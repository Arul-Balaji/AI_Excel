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88" firstSheet="0" activeTab="0" autoFilterDateGrouping="1"/>
  </bookViews>
  <sheets>
    <sheet name="Front Sheet" sheetId="1" state="visible" r:id="rId1"/>
    <sheet name="sysCheck" sheetId="2" state="visible" r:id="rId2"/>
    <sheet name="i_Setup" sheetId="3" state="visible" r:id="rId3"/>
    <sheet name="i_Actuals" sheetId="4" state="visible" r:id="rId4"/>
    <sheet name="i_Assumptions" sheetId="5" state="visible" r:id="rId5"/>
    <sheet name="c_Calculations" sheetId="6" state="visible" r:id="rId6"/>
    <sheet name="o_Fin Stats" sheetId="7" state="visible" r:id="rId7"/>
    <sheet name="o_DCF" sheetId="8" state="visible" r:id="rId8"/>
    <sheet name="o_Dashboard" sheetId="9" state="visible" r:id="rId9"/>
  </sheets>
  <definedNames>
    <definedName name="Month2">c_Calculations!$T$2:$GQ$2</definedName>
    <definedName name="sht_Contents">'Front Sheet'!$A$1</definedName>
    <definedName name="sht_sysCheck">sysCheck!$A$1</definedName>
    <definedName name="sysAlert">sysCheck!$L$25</definedName>
    <definedName name="sysCheck">sysCheck!$K$25</definedName>
    <definedName name="sysCheckText">sysCheck!$K$17</definedName>
    <definedName name="Heading1" localSheetId="0" hidden="1">MAX('Front Sheet'!A$1:A1048576)+1</definedName>
    <definedName name="Heading2" localSheetId="0" hidden="1">MAX('Front Sheet'!XFD$1:XFD1)&amp;"."&amp;COUNTIFS('Front Sheet'!A$1:A1048576,MAX('Front Sheet'!XFD$1:XFD1)&amp;".*")+1</definedName>
    <definedName name="_xlnm.Print_Titles" localSheetId="0">'Front Sheet'!$1:$7</definedName>
    <definedName name="Heading1" localSheetId="1" hidden="1">MAX(sysCheck!A$1:A1048576)+1</definedName>
    <definedName name="Heading2" localSheetId="1" hidden="1">MAX(sysCheck!XFD$1:XFD1)&amp;"."&amp;COUNTIFS(sysCheck!A$1:A1048576,MAX(sysCheck!XFD$1:XFD1)&amp;".*")+1</definedName>
    <definedName name="_xlnm.Print_Titles" localSheetId="1">'sysCheck'!$1:$7</definedName>
    <definedName name="Heading1" localSheetId="2" hidden="1">MAX(i_Setup!A$1:A1048576)+1</definedName>
    <definedName name="Heading2" localSheetId="2" hidden="1">MAX(i_Setup!XFD$1:XFD1)&amp;"."&amp;COUNTIFS(i_Setup!A$1:A1048576,MAX(i_Setup!XFD$1:XFD1)&amp;".*")+1</definedName>
    <definedName name="_xlnm.Print_Titles" localSheetId="2">'i_Setup'!$1:$6,'i_Setup'!$A:$J</definedName>
    <definedName name="_xlnm.Print_Area" localSheetId="2">'i_Setup'!$A$1:$S$130</definedName>
    <definedName name="Heading1" localSheetId="3" hidden="1">MAX(i_Actuals!A$1:A1048576)+1</definedName>
    <definedName name="Heading2" localSheetId="3" hidden="1">MAX(i_Actuals!XFD$1:XFD1)&amp;"."&amp;COUNTIFS(i_Actuals!A$1:A1048576,MAX(i_Actuals!XFD$1:XFD1)&amp;".*")+1</definedName>
    <definedName name="_xlnm.Print_Titles" localSheetId="3">'i_Actuals'!$1:$8,'i_Actuals'!$A:$J</definedName>
    <definedName name="_xlnm.Print_Area" localSheetId="3">'i_Actuals'!$A$1:$AV$157</definedName>
    <definedName name="Heading1" localSheetId="4" hidden="1">MAX(i_Assumptions!A$1:A1048576)+1</definedName>
    <definedName name="Heading2" localSheetId="4" hidden="1">MAX(i_Assumptions!XFD$1:XFD1)&amp;"."&amp;COUNTIFS(i_Assumptions!A$1:A1048576,MAX(i_Assumptions!XFD$1:XFD1)&amp;".*")+1</definedName>
    <definedName name="_xlnm.Print_Titles" localSheetId="4">'i_Assumptions'!$1:$8,'i_Assumptions'!$A:$J</definedName>
    <definedName name="_xlnm.Print_Area" localSheetId="4">'i_Assumptions'!$A$1:$AT$678</definedName>
    <definedName name="Heading1" localSheetId="5" hidden="1">MAX(c_Calculations!A$1:A1048576)+1</definedName>
    <definedName name="Heading2" localSheetId="5" hidden="1">MAX(c_Calculations!XFD$1:XFD1)&amp;"."&amp;COUNTIFS(c_Calculations!A$1:A1048576,MAX(c_Calculations!XFD$1:XFD1)&amp;".*")+1</definedName>
    <definedName name="_xlnm.Print_Titles" localSheetId="5">'c_Calculations'!$1:$8,'c_Calculations'!$A:$J</definedName>
    <definedName name="Heading1" localSheetId="6" hidden="1">MAX('o_Fin Stats'!A$1:A1048576)+1</definedName>
    <definedName name="Heading2" localSheetId="6" hidden="1">MAX('o_Fin Stats'!XFD$1:XFD1)&amp;"."&amp;COUNTIFS('o_Fin Stats'!A$1:A1048576,MAX('o_Fin Stats'!XFD$1:XFD1)&amp;".*")+1</definedName>
    <definedName name="_xlnm.Print_Titles" localSheetId="6">'o_Fin Stats'!$1:$8,'o_Fin Stats'!$A:$J</definedName>
    <definedName name="_xlnm.Print_Area" localSheetId="6">'o_Fin Stats'!$A$1:$BC$207</definedName>
    <definedName name="Heading1" localSheetId="7" hidden="1">MAX(o_DCF!A$1:A1048576)+1</definedName>
    <definedName name="Heading2" localSheetId="7" hidden="1">MAX(o_DCF!XFD$1:XFD1)&amp;"."&amp;COUNTIFS(o_DCF!A$1:A1048576,MAX(o_DCF!XFD$1:XFD1)&amp;".*")+1</definedName>
    <definedName name="sht_Contents" localSheetId="7">o_DCF!$A$1</definedName>
    <definedName name="_xlnm.Print_Titles" localSheetId="7">'o_DCF'!$1:$8</definedName>
    <definedName name="Heading1" localSheetId="8" hidden="1">MAX(o_Dashboard!A$1:A1048576)+1</definedName>
    <definedName name="Heading2" localSheetId="8" hidden="1">MAX(o_Dashboard!XFD$1:XFD1)&amp;"."&amp;COUNTIFS(o_Dashboard!A$1:A1048576,MAX(o_Dashboard!XFD$1:XFD1)&amp;".*")+1</definedName>
    <definedName name="sht_Contents" localSheetId="8">o_Dashboard!$A$1</definedName>
    <definedName name="_xlnm.Print_Titles" localSheetId="8">'o_Dashboard'!$1:$7</definedName>
    <definedName name="_xlnm.Print_Area" localSheetId="8">'o_Dashboard'!$A$1:$AD$306</definedName>
  </definedNames>
  <calcPr calcId="191028" fullCalcOnLoad="1"/>
</workbook>
</file>

<file path=xl/styles.xml><?xml version="1.0" encoding="utf-8"?>
<styleSheet xmlns="http://schemas.openxmlformats.org/spreadsheetml/2006/main">
  <numFmts count="26">
    <numFmt numFmtId="164" formatCode="#,##0;[Red]\(#,##0\);&quot;-&quot;_)"/>
    <numFmt numFmtId="165" formatCode="#,##0.000_);[Red]\(#,##0.000\);&quot;-&quot;_)"/>
    <numFmt numFmtId="166" formatCode="[Red]&quot;Err&quot;;[Red]&quot;Err&quot;;[Blue]&quot;OK&quot;"/>
    <numFmt numFmtId="167" formatCode="#,##0_);[Red]\(#,##0\);&quot;-&quot;_);[Red]&quot;Err-&quot;@"/>
    <numFmt numFmtId="168" formatCode="0.0%_);[Red]\-0.0%_);0.0%_)"/>
    <numFmt numFmtId="169" formatCode="[Red]#,##0\ &quot;Alert(s)&quot;;[Red]#,##0\ &quot;Alert(s)&quot;;[Blue]&quot;OK&quot;"/>
    <numFmt numFmtId="170" formatCode="[Red]#,##0&quot; Err(s)&quot;;\]#,##0&quot; Err(s)&quot;;[Blue]&quot;OK&quot;"/>
    <numFmt numFmtId="171" formatCode="#,##0_);[Red]\(#,##0\);&quot;-&quot;_)"/>
    <numFmt numFmtId="172" formatCode="0.0%"/>
    <numFmt numFmtId="173" formatCode="#,##0.0_);[Red]\(#,##0.0\);&quot;-&quot;_);[Red]&quot;Err-&quot;@"/>
    <numFmt numFmtId="174" formatCode="0.00%_);[Red]\-0.00%_);0.00%_);[Red]&quot;Err-&quot;@"/>
    <numFmt numFmtId="175" formatCode="#,##0.00_);[Red]\(#,##0.00\);&quot;-&quot;_);[Red]&quot;Err-&quot;@"/>
    <numFmt numFmtId="176" formatCode="0.00%_);[Red]\-0.00%_);0.00%_)"/>
    <numFmt numFmtId="177" formatCode="0.0000"/>
    <numFmt numFmtId="178" formatCode="#,##0.0&quot; x&quot;;[Red]\(#,##0.0&quot;x&quot;\);&quot;-&quot;_)"/>
    <numFmt numFmtId="179" formatCode="0.000%"/>
    <numFmt numFmtId="180" formatCode="#,##0.00_);[Red]\(#,##0.00\);&quot;-&quot;_)"/>
    <numFmt numFmtId="181" formatCode="0.0%_);[Red]\-0.0%_);0.0%_);[Red]&quot;Err-&quot;@"/>
    <numFmt numFmtId="182" formatCode="#,##0.0;[Red]\(#,##0.0\);&quot;-&quot;_)"/>
    <numFmt numFmtId="183" formatCode="#,##0.0_);[Red]\(#,##0.0\);&quot;-&quot;_)"/>
    <numFmt numFmtId="184" formatCode="#,##0.00;[Red]\(#,##0.00\);&quot;-&quot;_)"/>
    <numFmt numFmtId="185" formatCode="0%_);[Red]\-0%_);0%_)"/>
    <numFmt numFmtId="186" formatCode="#,##0.000_);[Red]\(#,##0.000\);&quot;-&quot;_);[Red]&quot;Err-&quot;@"/>
    <numFmt numFmtId="187" formatCode="0%_);[Red]\-0%_);0.00%_);[Red]&quot;Err-&quot;@"/>
    <numFmt numFmtId="188" formatCode="&quot;On&quot;;&quot;N/A&quot;;&quot;Off&quot;"/>
    <numFmt numFmtId="189" formatCode="&quot;Yes&quot;;&quot;N/A&quot;;&quot;No&quot;"/>
  </numFmts>
  <fonts count="47">
    <font>
      <name val="Arial"/>
      <family val="2"/>
      <color theme="1"/>
      <sz val="9"/>
    </font>
    <font>
      <name val="Arial"/>
      <family val="2"/>
      <color theme="0"/>
      <sz val="12"/>
    </font>
    <font>
      <name val="Arial"/>
      <family val="2"/>
      <b val="1"/>
      <color theme="1"/>
      <sz val="10"/>
    </font>
    <font>
      <name val="Arial"/>
      <family val="2"/>
      <b val="1"/>
      <color theme="0"/>
      <sz val="12"/>
    </font>
    <font>
      <name val="Arial"/>
      <family val="2"/>
      <b val="1"/>
      <color theme="0"/>
      <sz val="14"/>
    </font>
    <font>
      <name val="Arial"/>
      <family val="2"/>
      <sz val="9"/>
    </font>
    <font>
      <name val="Arial"/>
      <family val="2"/>
      <color theme="0"/>
      <sz val="9"/>
    </font>
    <font>
      <name val="Arial"/>
      <family val="2"/>
      <i val="1"/>
      <color theme="1"/>
      <sz val="9"/>
    </font>
    <font>
      <name val="Arial"/>
      <family val="2"/>
      <color theme="1"/>
      <sz val="9"/>
    </font>
    <font>
      <name val="Arial"/>
      <family val="2"/>
      <b val="1"/>
      <color theme="1"/>
      <sz val="9"/>
    </font>
    <font>
      <name val="Arial"/>
      <family val="2"/>
      <color rgb="FFFF0000"/>
      <sz val="9"/>
    </font>
    <font>
      <name val="Arial"/>
      <family val="2"/>
      <b val="1"/>
      <color rgb="FF000C4F"/>
      <sz val="14"/>
    </font>
    <font>
      <name val="Arial"/>
      <family val="2"/>
      <color rgb="FF000C4F"/>
      <sz val="12"/>
    </font>
    <font>
      <name val="Arial"/>
      <family val="2"/>
      <color rgb="FF000C4F"/>
      <sz val="9"/>
    </font>
    <font>
      <name val="Calibri"/>
      <family val="2"/>
      <color theme="1"/>
      <sz val="11"/>
      <scheme val="minor"/>
    </font>
    <font>
      <name val="Calibri"/>
      <family val="2"/>
      <b val="1"/>
      <color theme="1"/>
      <sz val="11"/>
      <scheme val="minor"/>
    </font>
    <font>
      <name val="Calibri"/>
      <family val="2"/>
      <color theme="0"/>
      <sz val="11"/>
      <scheme val="minor"/>
    </font>
    <font>
      <name val="Arial"/>
      <family val="2"/>
      <b val="1"/>
      <color theme="4"/>
      <sz val="10"/>
    </font>
    <font>
      <name val="Arial"/>
      <family val="2"/>
      <b val="1"/>
      <sz val="10"/>
    </font>
    <font>
      <name val="Calibri"/>
      <family val="2"/>
      <b val="1"/>
      <color rgb="FF3F3F3F"/>
      <sz val="11"/>
      <scheme val="minor"/>
    </font>
    <font>
      <name val="Arial"/>
      <family val="2"/>
      <b val="1"/>
      <color rgb="FFFF00FF"/>
      <sz val="9"/>
    </font>
    <font>
      <name val="Arial"/>
      <family val="2"/>
      <color rgb="FF9C0006"/>
      <sz val="9"/>
    </font>
    <font>
      <name val="Arial"/>
      <family val="2"/>
      <color rgb="FF006100"/>
      <sz val="9"/>
    </font>
    <font>
      <name val="Arial"/>
      <family val="2"/>
      <color rgb="FF9C6500"/>
      <sz val="9"/>
    </font>
    <font>
      <name val="Arial"/>
      <family val="2"/>
      <i val="1"/>
      <color rgb="FFFF0000"/>
      <sz val="9"/>
    </font>
    <font>
      <name val="Arial"/>
      <family val="2"/>
      <b val="1"/>
      <sz val="9"/>
    </font>
    <font>
      <name val="Arial"/>
      <family val="2"/>
      <color theme="10"/>
      <sz val="9"/>
      <u val="single"/>
    </font>
    <font>
      <name val="Arial"/>
      <family val="2"/>
      <b val="1"/>
      <color theme="0"/>
      <sz val="9"/>
    </font>
    <font>
      <name val="Arial"/>
      <family val="2"/>
      <b val="1"/>
      <color theme="0"/>
      <sz val="11"/>
    </font>
    <font>
      <name val="Arial"/>
      <family val="2"/>
      <b val="1"/>
      <color theme="1"/>
      <sz val="18"/>
    </font>
    <font>
      <name val="Arial"/>
      <family val="2"/>
      <color rgb="FF0000FF"/>
      <sz val="8"/>
    </font>
    <font>
      <name val="Arial"/>
      <family val="2"/>
      <i val="1"/>
      <color theme="1" tint="0.249946592608417"/>
      <sz val="11"/>
    </font>
    <font>
      <name val="Arial"/>
      <family val="2"/>
      <color rgb="FF009999"/>
      <sz val="9"/>
    </font>
    <font>
      <name val="Arial"/>
      <family val="2"/>
      <b val="1"/>
      <color rgb="FF86BC25"/>
      <sz val="9"/>
    </font>
    <font>
      <name val="Arial"/>
      <family val="2"/>
      <b val="1"/>
      <color rgb="FF0000FF"/>
      <sz val="8"/>
    </font>
    <font>
      <name val="Arial"/>
      <family val="2"/>
      <b val="1"/>
      <color rgb="FF009999"/>
      <sz val="9"/>
    </font>
    <font>
      <name val="Calibri"/>
      <family val="2"/>
      <color theme="0"/>
      <sz val="14"/>
      <scheme val="minor"/>
    </font>
    <font>
      <name val="Arial"/>
      <family val="2"/>
      <color theme="0"/>
      <sz val="14"/>
    </font>
    <font>
      <name val="Arial"/>
      <family val="2"/>
      <color theme="1"/>
      <sz val="10"/>
    </font>
    <font>
      <name val="Arial"/>
      <family val="2"/>
      <b val="1"/>
      <color theme="4"/>
      <sz val="9"/>
    </font>
    <font>
      <name val="Arial"/>
      <family val="2"/>
      <b val="1"/>
      <color theme="6" tint="0.7999816888943144"/>
      <sz val="9"/>
    </font>
    <font>
      <name val="Arial"/>
      <family val="2"/>
      <color theme="6" tint="0.7999816888943144"/>
      <sz val="9"/>
    </font>
    <font>
      <name val="Arial"/>
      <family val="2"/>
      <b val="1"/>
      <color theme="6"/>
      <sz val="9"/>
    </font>
    <font>
      <name val="Arial"/>
      <family val="2"/>
      <color theme="6"/>
      <sz val="9"/>
    </font>
    <font>
      <name val="Calibri"/>
      <family val="2"/>
      <b val="1"/>
      <color theme="3"/>
      <sz val="15"/>
      <scheme val="minor"/>
    </font>
    <font>
      <name val="Arial"/>
      <family val="2"/>
      <color theme="1"/>
      <sz val="7"/>
    </font>
    <font>
      <name val="Arial"/>
      <family val="2"/>
      <b val="1"/>
      <color theme="0"/>
      <sz val="7"/>
    </font>
  </fonts>
  <fills count="48">
    <fill>
      <patternFill/>
    </fill>
    <fill>
      <patternFill patternType="gray125"/>
    </fill>
    <fill>
      <patternFill patternType="solid">
        <fgColor rgb="FFCCEEFB"/>
        <bgColor indexed="64"/>
      </patternFill>
    </fill>
    <fill>
      <patternFill patternType="solid">
        <fgColor rgb="FF00FF00"/>
        <bgColor indexed="64"/>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FCC"/>
        <bgColor indexed="64"/>
      </patternFill>
    </fill>
    <fill>
      <patternFill patternType="solid">
        <fgColor theme="0" tint="-0.499984740745262"/>
        <bgColor indexed="64"/>
      </patternFill>
    </fill>
    <fill>
      <patternFill patternType="lightUp">
        <fgColor theme="0"/>
        <bgColor theme="0" tint="-0.0499893185216834"/>
      </patternFill>
    </fill>
    <fill>
      <patternFill patternType="lightUp">
        <fgColor theme="0"/>
        <bgColor theme="4" tint="0.7999816888943144"/>
      </patternFill>
    </fill>
    <fill>
      <patternFill patternType="solid">
        <fgColor rgb="FF86BC25"/>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4"/>
        <bgColor indexed="64"/>
      </patternFill>
    </fill>
    <fill>
      <patternFill patternType="solid">
        <fgColor theme="9" tint="-0.499984740745262"/>
        <bgColor indexed="64"/>
      </patternFill>
    </fill>
    <fill>
      <patternFill patternType="solid">
        <fgColor theme="5"/>
        <bgColor indexed="64"/>
      </patternFill>
    </fill>
    <fill>
      <patternFill patternType="solid">
        <fgColor rgb="FF92D050"/>
        <bgColor indexed="64"/>
      </patternFill>
    </fill>
    <fill>
      <patternFill patternType="solid">
        <fgColor rgb="FFFF7D00"/>
        <bgColor indexed="64"/>
      </patternFill>
    </fill>
    <fill>
      <patternFill patternType="solid">
        <fgColor rgb="FFFF0000"/>
        <bgColor indexed="64"/>
      </patternFill>
    </fill>
    <fill>
      <patternFill patternType="solid">
        <fgColor theme="9" tint="0.5999938962981048"/>
        <bgColor indexed="64"/>
      </patternFill>
    </fill>
    <fill>
      <patternFill patternType="solid">
        <fgColor theme="4" tint="0.5999938962981048"/>
        <bgColor indexed="64"/>
      </patternFill>
    </fill>
  </fills>
  <borders count="32">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bottom style="thick">
        <color theme="4"/>
      </bottom>
      <diagonal/>
    </border>
    <border>
      <left/>
      <right/>
      <top style="thin">
        <color theme="4"/>
      </top>
      <bottom style="double">
        <color theme="4"/>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hair">
        <color auto="1"/>
      </left>
      <right style="hair">
        <color auto="1"/>
      </right>
      <top style="hair">
        <color auto="1"/>
      </top>
      <bottom style="hair">
        <color auto="1"/>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hair">
        <color theme="0" tint="-0.499984740745262"/>
      </left>
      <right/>
      <top style="hair">
        <color theme="0" tint="-0.499984740745262"/>
      </top>
      <bottom style="hair">
        <color theme="0" tint="-0.499984740745262"/>
      </bottom>
      <diagonal/>
    </border>
    <border>
      <left/>
      <right style="hair">
        <color theme="0" tint="-0.499984740745262"/>
      </right>
      <top style="hair">
        <color theme="0" tint="-0.499984740745262"/>
      </top>
      <bottom style="hair">
        <color theme="0" tint="-0.499984740745262"/>
      </bottom>
      <diagonal/>
    </border>
    <border>
      <left/>
      <right/>
      <top/>
      <bottom style="thin">
        <color indexed="64"/>
      </bottom>
      <diagonal/>
    </border>
    <border>
      <left/>
      <right/>
      <top style="thin">
        <color indexed="64"/>
      </top>
      <bottom/>
      <diagonal/>
    </border>
    <border>
      <left/>
      <right/>
      <top style="thin">
        <color indexed="64"/>
      </top>
      <bottom style="medium">
        <color indexed="64"/>
      </bottom>
      <diagonal/>
    </border>
    <border>
      <left/>
      <right/>
      <top style="thin">
        <color indexed="64"/>
      </top>
      <bottom style="double">
        <color indexed="64"/>
      </bottom>
      <diagonal/>
    </border>
    <border>
      <left style="hair">
        <color theme="0" tint="-0.499984740745262"/>
      </left>
      <right style="hair">
        <color theme="0" tint="-0.499984740745262"/>
      </right>
      <top style="hair">
        <color theme="0" tint="-0.499984740745262"/>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hair">
        <color theme="0" tint="-0.499984740745262"/>
      </top>
      <bottom style="hair">
        <color theme="0" tint="-0.499984740745262"/>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hair">
        <color theme="0" tint="-0.499984740745262"/>
      </left>
      <right style="hair">
        <color theme="0" tint="-0.499984740745262"/>
      </right>
      <top style="hair">
        <color theme="0" tint="-0.499984740745262"/>
      </top>
      <bottom/>
      <diagonal/>
    </border>
    <border>
      <left/>
      <right/>
      <top style="hair">
        <color theme="0" tint="-0.499984740745262"/>
      </top>
      <bottom/>
      <diagonal/>
    </border>
    <border>
      <left/>
      <right style="hair">
        <color theme="0" tint="-0.499984740745262"/>
      </right>
      <top style="hair">
        <color theme="0" tint="-0.499984740745262"/>
      </top>
      <bottom/>
      <diagonal/>
    </border>
  </borders>
  <cellStyleXfs count="86">
    <xf numFmtId="0" fontId="8" fillId="0" borderId="0" applyAlignment="1">
      <alignment vertical="center"/>
    </xf>
    <xf numFmtId="0" fontId="5" fillId="33" borderId="1" applyAlignment="1" applyProtection="1">
      <alignment horizontal="left" vertical="center"/>
      <protection locked="0" hidden="0"/>
    </xf>
    <xf numFmtId="0" fontId="5" fillId="2" borderId="1" applyAlignment="1" applyProtection="1">
      <alignment horizontal="left" vertical="center"/>
      <protection locked="0" hidden="0"/>
    </xf>
    <xf numFmtId="167" fontId="5" fillId="33" borderId="1" applyAlignment="1" applyProtection="1">
      <alignment vertical="center"/>
      <protection locked="0" hidden="0"/>
    </xf>
    <xf numFmtId="0" fontId="5" fillId="0" borderId="0" applyAlignment="1">
      <alignment horizontal="left" vertical="center"/>
    </xf>
    <xf numFmtId="14" fontId="5" fillId="33" borderId="1" applyAlignment="1" applyProtection="1">
      <alignment horizontal="right" vertical="center"/>
      <protection locked="0" hidden="0"/>
    </xf>
    <xf numFmtId="0" fontId="8" fillId="0" borderId="0" applyAlignment="1">
      <alignment vertical="center"/>
    </xf>
    <xf numFmtId="164" fontId="5" fillId="0" borderId="0" applyAlignment="1">
      <alignment vertical="center"/>
    </xf>
    <xf numFmtId="14" fontId="5" fillId="0" borderId="0" applyAlignment="1">
      <alignment horizontal="right" vertical="center"/>
    </xf>
    <xf numFmtId="0" fontId="5" fillId="35" borderId="1" applyAlignment="1">
      <alignment vertical="center"/>
    </xf>
    <xf numFmtId="183" fontId="5" fillId="0" borderId="0" applyAlignment="1">
      <alignment vertical="center"/>
    </xf>
    <xf numFmtId="175" fontId="5" fillId="33" borderId="1" applyAlignment="1" applyProtection="1">
      <alignment vertical="center"/>
      <protection locked="0" hidden="0"/>
    </xf>
    <xf numFmtId="0" fontId="32" fillId="0" borderId="0" applyAlignment="1">
      <alignment horizontal="right" vertical="center"/>
    </xf>
    <xf numFmtId="174" fontId="5" fillId="33" borderId="1" applyAlignment="1" applyProtection="1">
      <alignment vertical="center"/>
      <protection locked="0" hidden="0"/>
    </xf>
    <xf numFmtId="176" fontId="5" fillId="0" borderId="0" applyAlignment="1">
      <alignment vertical="center"/>
    </xf>
    <xf numFmtId="171" fontId="5" fillId="0" borderId="1" applyAlignment="1">
      <alignment vertical="center"/>
    </xf>
    <xf numFmtId="14" fontId="5" fillId="0" borderId="1" applyAlignment="1">
      <alignment horizontal="right" vertical="center"/>
    </xf>
    <xf numFmtId="180" fontId="5" fillId="0" borderId="1" applyAlignment="1">
      <alignment vertical="center"/>
    </xf>
    <xf numFmtId="176" fontId="5" fillId="0" borderId="1" applyAlignment="1">
      <alignment vertical="center"/>
    </xf>
    <xf numFmtId="0" fontId="5" fillId="0" borderId="1" applyAlignment="1">
      <alignment horizontal="left" vertical="center"/>
    </xf>
    <xf numFmtId="0" fontId="8" fillId="3" borderId="0" applyAlignment="1">
      <alignment vertical="center"/>
    </xf>
    <xf numFmtId="0" fontId="25" fillId="0" borderId="0" applyAlignment="1">
      <alignment vertical="center"/>
    </xf>
    <xf numFmtId="0" fontId="3" fillId="28" borderId="0" applyAlignment="1">
      <alignment horizontal="left" vertical="center"/>
    </xf>
    <xf numFmtId="0" fontId="2" fillId="0" borderId="4" applyAlignment="1">
      <alignment horizontal="left" vertical="center"/>
    </xf>
    <xf numFmtId="0" fontId="17" fillId="0" borderId="0" applyAlignment="1">
      <alignment horizontal="left" vertical="center"/>
    </xf>
    <xf numFmtId="0" fontId="18" fillId="0" borderId="0" applyAlignment="1">
      <alignment horizontal="left" vertical="center"/>
    </xf>
    <xf numFmtId="0" fontId="15" fillId="0" borderId="3"/>
    <xf numFmtId="0" fontId="16" fillId="4" borderId="0"/>
    <xf numFmtId="0" fontId="14" fillId="5" borderId="0"/>
    <xf numFmtId="0" fontId="14" fillId="6" borderId="0"/>
    <xf numFmtId="0" fontId="16" fillId="7" borderId="0"/>
    <xf numFmtId="0" fontId="16" fillId="8" borderId="0"/>
    <xf numFmtId="0" fontId="14" fillId="9" borderId="0"/>
    <xf numFmtId="0" fontId="14" fillId="10" borderId="0"/>
    <xf numFmtId="0" fontId="16" fillId="11" borderId="0"/>
    <xf numFmtId="0" fontId="16" fillId="12" borderId="0"/>
    <xf numFmtId="0" fontId="14" fillId="13" borderId="0"/>
    <xf numFmtId="0" fontId="14" fillId="14" borderId="0"/>
    <xf numFmtId="0" fontId="16" fillId="15" borderId="0"/>
    <xf numFmtId="0" fontId="16" fillId="16" borderId="0"/>
    <xf numFmtId="0" fontId="14" fillId="17" borderId="0"/>
    <xf numFmtId="0" fontId="14" fillId="18" borderId="0"/>
    <xf numFmtId="0" fontId="16" fillId="19" borderId="0"/>
    <xf numFmtId="0" fontId="16" fillId="20" borderId="0"/>
    <xf numFmtId="0" fontId="14" fillId="21" borderId="0"/>
    <xf numFmtId="0" fontId="14" fillId="22" borderId="0"/>
    <xf numFmtId="0" fontId="16" fillId="23" borderId="0"/>
    <xf numFmtId="0" fontId="16" fillId="24" borderId="0"/>
    <xf numFmtId="0" fontId="14" fillId="25" borderId="0"/>
    <xf numFmtId="0" fontId="14" fillId="26" borderId="0"/>
    <xf numFmtId="0" fontId="16" fillId="27" borderId="0"/>
    <xf numFmtId="0" fontId="22" fillId="29" borderId="0"/>
    <xf numFmtId="0" fontId="21" fillId="30" borderId="0"/>
    <xf numFmtId="0" fontId="23" fillId="31" borderId="0"/>
    <xf numFmtId="0" fontId="5" fillId="33" borderId="6" applyProtection="1">
      <protection locked="0" hidden="0"/>
    </xf>
    <xf numFmtId="0" fontId="19" fillId="32" borderId="5"/>
    <xf numFmtId="0" fontId="5" fillId="0" borderId="0"/>
    <xf numFmtId="0" fontId="5" fillId="0" borderId="6"/>
    <xf numFmtId="166" fontId="30" fillId="0" borderId="0" applyAlignment="1">
      <alignment horizontal="center" vertical="center"/>
    </xf>
    <xf numFmtId="0" fontId="24" fillId="0" borderId="0" applyAlignment="1">
      <alignment vertical="center"/>
    </xf>
    <xf numFmtId="0" fontId="20" fillId="0" borderId="0" applyAlignment="1" applyProtection="1">
      <alignment vertical="center"/>
      <protection locked="0" hidden="0"/>
    </xf>
    <xf numFmtId="165" fontId="5" fillId="0" borderId="0" applyAlignment="1">
      <alignment vertical="center"/>
    </xf>
    <xf numFmtId="185" fontId="5" fillId="0" borderId="0" applyAlignment="1">
      <alignment vertical="center"/>
    </xf>
    <xf numFmtId="168" fontId="5" fillId="0" borderId="0" applyAlignment="1">
      <alignment vertical="center"/>
    </xf>
    <xf numFmtId="180" fontId="5" fillId="0" borderId="0" applyAlignment="1">
      <alignment vertical="center"/>
    </xf>
    <xf numFmtId="183" fontId="5" fillId="0" borderId="1" applyAlignment="1">
      <alignment vertical="center"/>
    </xf>
    <xf numFmtId="165" fontId="5" fillId="0" borderId="1" applyAlignment="1">
      <alignment vertical="center"/>
    </xf>
    <xf numFmtId="185" fontId="5" fillId="0" borderId="1" applyAlignment="1">
      <alignment vertical="center"/>
    </xf>
    <xf numFmtId="173" fontId="5" fillId="33" borderId="1" applyAlignment="1" applyProtection="1">
      <alignment vertical="center"/>
      <protection locked="0" hidden="0"/>
    </xf>
    <xf numFmtId="186" fontId="5" fillId="33" borderId="1" applyAlignment="1" applyProtection="1">
      <alignment vertical="center"/>
      <protection locked="0" hidden="0"/>
    </xf>
    <xf numFmtId="187" fontId="5" fillId="33" borderId="1" applyAlignment="1" applyProtection="1">
      <alignment vertical="center"/>
      <protection locked="0" hidden="0"/>
    </xf>
    <xf numFmtId="181" fontId="5" fillId="33" borderId="1" applyAlignment="1" applyProtection="1">
      <alignment vertical="center"/>
      <protection locked="0" hidden="0"/>
    </xf>
    <xf numFmtId="168" fontId="5" fillId="0" borderId="1" applyAlignment="1">
      <alignment vertical="center"/>
    </xf>
    <xf numFmtId="0" fontId="8" fillId="36" borderId="6" applyAlignment="1">
      <alignment vertical="center"/>
    </xf>
    <xf numFmtId="188" fontId="5" fillId="2" borderId="1" applyAlignment="1" applyProtection="1">
      <alignment horizontal="left" vertical="center"/>
      <protection locked="0" hidden="0"/>
    </xf>
    <xf numFmtId="189" fontId="5" fillId="2" borderId="1" applyAlignment="1" applyProtection="1">
      <alignment horizontal="left" vertical="center"/>
      <protection locked="0" hidden="0"/>
    </xf>
    <xf numFmtId="0" fontId="26" fillId="0" borderId="0" applyAlignment="1">
      <alignment vertical="center"/>
    </xf>
    <xf numFmtId="9" fontId="8" fillId="0" borderId="0"/>
    <xf numFmtId="0" fontId="31" fillId="0" borderId="0"/>
    <xf numFmtId="166" fontId="30" fillId="0" borderId="0" applyAlignment="1">
      <alignment horizontal="center" vertical="center"/>
    </xf>
    <xf numFmtId="169" fontId="30" fillId="0" borderId="0" applyAlignment="1">
      <alignment horizontal="center" vertical="center"/>
    </xf>
    <xf numFmtId="170" fontId="30" fillId="0" borderId="0" applyAlignment="1">
      <alignment horizontal="center" vertical="center"/>
    </xf>
    <xf numFmtId="0" fontId="8" fillId="36" borderId="0" applyAlignment="1">
      <alignment vertical="center"/>
    </xf>
    <xf numFmtId="171" fontId="5" fillId="0" borderId="0" applyAlignment="1">
      <alignment vertical="center"/>
    </xf>
    <xf numFmtId="0" fontId="38" fillId="0" borderId="0"/>
    <xf numFmtId="0" fontId="44" fillId="0" borderId="2"/>
  </cellStyleXfs>
  <cellXfs count="310">
    <xf numFmtId="0" fontId="0" fillId="0" borderId="0" applyAlignment="1" pivotButton="0" quotePrefix="0" xfId="0">
      <alignment vertical="center"/>
    </xf>
    <xf numFmtId="0" fontId="1" fillId="0" borderId="0" applyAlignment="1" pivotButton="0" quotePrefix="0" xfId="0">
      <alignment vertical="center"/>
    </xf>
    <xf numFmtId="0" fontId="4" fillId="0" borderId="0" applyAlignment="1" pivotButton="0" quotePrefix="0" xfId="0">
      <alignment vertical="center"/>
    </xf>
    <xf numFmtId="0" fontId="5" fillId="35" borderId="1" applyAlignment="1" pivotButton="0" quotePrefix="0" xfId="9">
      <alignment vertical="center"/>
    </xf>
    <xf numFmtId="0" fontId="8" fillId="0" borderId="0" applyAlignment="1" pivotButton="0" quotePrefix="0" xfId="0">
      <alignment vertical="center"/>
    </xf>
    <xf numFmtId="0" fontId="10" fillId="0" borderId="0" applyAlignment="1" pivotButton="0" quotePrefix="0" xfId="0">
      <alignment vertical="center"/>
    </xf>
    <xf numFmtId="0" fontId="8" fillId="0" borderId="0" applyAlignment="1" pivotButton="0" quotePrefix="0" xfId="0">
      <alignment horizontal="center" vertical="center"/>
    </xf>
    <xf numFmtId="0" fontId="7" fillId="0" borderId="0" applyAlignment="1" pivotButton="0" quotePrefix="0" xfId="6">
      <alignment vertical="center"/>
    </xf>
    <xf numFmtId="0" fontId="9" fillId="0" borderId="0" applyAlignment="1" pivotButton="0" quotePrefix="0" xfId="0">
      <alignment vertical="center"/>
    </xf>
    <xf numFmtId="164" fontId="5" fillId="0" borderId="0" applyAlignment="1" pivotButton="0" quotePrefix="0" xfId="7">
      <alignment vertical="center"/>
    </xf>
    <xf numFmtId="0" fontId="5" fillId="33" borderId="1" applyAlignment="1" applyProtection="1" pivotButton="0" quotePrefix="0" xfId="1">
      <alignment horizontal="left" vertical="center"/>
      <protection locked="0" hidden="0"/>
    </xf>
    <xf numFmtId="0" fontId="2" fillId="0" borderId="4" applyAlignment="1" pivotButton="0" quotePrefix="0" xfId="23">
      <alignment horizontal="left" vertical="center"/>
    </xf>
    <xf numFmtId="0" fontId="17" fillId="0" borderId="0" applyAlignment="1" pivotButton="0" quotePrefix="0" xfId="24">
      <alignment horizontal="left" vertical="center"/>
    </xf>
    <xf numFmtId="0" fontId="5" fillId="0" borderId="0" applyAlignment="1" pivotButton="0" quotePrefix="0" xfId="56">
      <alignment vertical="center"/>
    </xf>
    <xf numFmtId="165" fontId="5" fillId="0" borderId="0" applyAlignment="1" pivotButton="0" quotePrefix="0" xfId="61">
      <alignment vertical="center"/>
    </xf>
    <xf numFmtId="166" fontId="30" fillId="0" borderId="0" applyAlignment="1" pivotButton="0" quotePrefix="0" xfId="58">
      <alignment horizontal="center" vertical="center"/>
    </xf>
    <xf numFmtId="0" fontId="29" fillId="0" borderId="0" applyAlignment="1" pivotButton="0" quotePrefix="0" xfId="0">
      <alignment vertical="center"/>
    </xf>
    <xf numFmtId="167" fontId="5" fillId="33" borderId="1" applyAlignment="1" applyProtection="1" pivotButton="0" quotePrefix="0" xfId="3">
      <alignment vertical="center"/>
      <protection locked="0" hidden="0"/>
    </xf>
    <xf numFmtId="0" fontId="18" fillId="0" borderId="0" applyAlignment="1" pivotButton="0" quotePrefix="0" xfId="25">
      <alignment horizontal="left" vertical="center"/>
    </xf>
    <xf numFmtId="168" fontId="5" fillId="0" borderId="1" applyAlignment="1" pivotButton="0" quotePrefix="0" xfId="72">
      <alignment vertical="center"/>
    </xf>
    <xf numFmtId="168" fontId="5" fillId="0" borderId="0" applyAlignment="1" pivotButton="0" quotePrefix="0" xfId="63">
      <alignment vertical="center"/>
    </xf>
    <xf numFmtId="166" fontId="30" fillId="0" borderId="0" applyAlignment="1" pivotButton="0" quotePrefix="0" xfId="79">
      <alignment horizontal="center" vertical="center"/>
    </xf>
    <xf numFmtId="169" fontId="30" fillId="0" borderId="0" applyAlignment="1" pivotButton="0" quotePrefix="0" xfId="80">
      <alignment horizontal="center" vertical="center"/>
    </xf>
    <xf numFmtId="170" fontId="30" fillId="0" borderId="0" applyAlignment="1" pivotButton="0" quotePrefix="0" xfId="81">
      <alignment horizontal="center" vertical="center"/>
    </xf>
    <xf numFmtId="0" fontId="5" fillId="33" borderId="1" applyAlignment="1" applyProtection="1" pivotButton="0" quotePrefix="0" xfId="1">
      <alignment horizontal="center" vertical="center"/>
      <protection locked="0" hidden="0"/>
    </xf>
    <xf numFmtId="0" fontId="7" fillId="0" borderId="0" applyAlignment="1" pivotButton="0" quotePrefix="0" xfId="0">
      <alignment vertical="center"/>
    </xf>
    <xf numFmtId="0" fontId="28" fillId="34" borderId="0" applyAlignment="1" pivotButton="0" quotePrefix="0" xfId="76">
      <alignment horizontal="center" vertical="center"/>
    </xf>
    <xf numFmtId="0" fontId="32" fillId="0" borderId="0" applyAlignment="1" pivotButton="0" quotePrefix="0" xfId="12">
      <alignment horizontal="right" vertical="center"/>
    </xf>
    <xf numFmtId="0" fontId="27" fillId="37" borderId="0" applyAlignment="1" pivotButton="0" quotePrefix="0" xfId="76">
      <alignment horizontal="center" vertical="center"/>
    </xf>
    <xf numFmtId="15" fontId="0" fillId="0" borderId="0" applyAlignment="1" pivotButton="0" quotePrefix="0" xfId="0">
      <alignment vertical="center"/>
    </xf>
    <xf numFmtId="0" fontId="5" fillId="38" borderId="0" applyAlignment="1" pivotButton="0" quotePrefix="0" xfId="0">
      <alignment vertical="center"/>
    </xf>
    <xf numFmtId="14" fontId="5" fillId="38" borderId="0" applyAlignment="1" pivotButton="0" quotePrefix="0" xfId="77">
      <alignment vertical="center"/>
    </xf>
    <xf numFmtId="0" fontId="0" fillId="38" borderId="0" applyAlignment="1" pivotButton="0" quotePrefix="0" xfId="0">
      <alignment vertical="center"/>
    </xf>
    <xf numFmtId="164" fontId="9" fillId="0" borderId="0" applyAlignment="1" pivotButton="0" quotePrefix="0" xfId="7">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0" applyAlignment="1" pivotButton="0" quotePrefix="0" xfId="0">
      <alignment horizontal="left" vertical="center" indent="2"/>
    </xf>
    <xf numFmtId="0" fontId="9" fillId="0" borderId="0" applyAlignment="1" pivotButton="0" quotePrefix="0" xfId="0">
      <alignment horizontal="center" vertical="center"/>
    </xf>
    <xf numFmtId="0" fontId="0" fillId="38" borderId="0" applyAlignment="1" pivotButton="0" quotePrefix="0" xfId="0">
      <alignment horizontal="center" vertical="center"/>
    </xf>
    <xf numFmtId="0" fontId="9" fillId="0" borderId="15" applyAlignment="1" pivotButton="0" quotePrefix="0" xfId="0">
      <alignment vertical="center"/>
    </xf>
    <xf numFmtId="166" fontId="34" fillId="0" borderId="0" applyAlignment="1" pivotButton="0" quotePrefix="0" xfId="58">
      <alignment horizontal="center" vertical="center"/>
    </xf>
    <xf numFmtId="0" fontId="35" fillId="0" borderId="15" applyAlignment="1" pivotButton="0" quotePrefix="0" xfId="12">
      <alignment horizontal="right" vertical="center"/>
    </xf>
    <xf numFmtId="0" fontId="9" fillId="0" borderId="16" applyAlignment="1" pivotButton="0" quotePrefix="0" xfId="0">
      <alignment vertical="center"/>
    </xf>
    <xf numFmtId="0" fontId="35" fillId="0" borderId="16" applyAlignment="1" pivotButton="0" quotePrefix="0" xfId="12">
      <alignment horizontal="right" vertical="center"/>
    </xf>
    <xf numFmtId="164" fontId="25" fillId="0" borderId="0" applyAlignment="1" pivotButton="0" quotePrefix="0" xfId="7">
      <alignment vertical="center"/>
    </xf>
    <xf numFmtId="164" fontId="25" fillId="0" borderId="15" applyAlignment="1" pivotButton="0" quotePrefix="0" xfId="7">
      <alignment vertical="center"/>
    </xf>
    <xf numFmtId="164" fontId="25" fillId="0" borderId="16" applyAlignment="1" pivotButton="0" quotePrefix="0" xfId="7">
      <alignment vertical="center"/>
    </xf>
    <xf numFmtId="0" fontId="2" fillId="0" borderId="4" applyAlignment="1" pivotButton="0" quotePrefix="0" xfId="23">
      <alignment horizontal="right" vertical="center"/>
    </xf>
    <xf numFmtId="171" fontId="0" fillId="0" borderId="0" applyAlignment="1" pivotButton="0" quotePrefix="0" xfId="0">
      <alignment vertical="center"/>
    </xf>
    <xf numFmtId="0" fontId="5" fillId="38" borderId="0" applyAlignment="1" pivotButton="0" quotePrefix="0" xfId="0">
      <alignment horizontal="center" vertical="center"/>
    </xf>
    <xf numFmtId="0" fontId="8" fillId="0" borderId="0" pivotButton="0" quotePrefix="0" xfId="0"/>
    <xf numFmtId="0" fontId="9" fillId="0" borderId="16" pivotButton="0" quotePrefix="0" xfId="0"/>
    <xf numFmtId="171" fontId="5" fillId="0" borderId="0" applyAlignment="1" pivotButton="0" quotePrefix="0" xfId="83">
      <alignment vertical="center"/>
    </xf>
    <xf numFmtId="171" fontId="8" fillId="0" borderId="0" applyAlignment="1" pivotButton="0" quotePrefix="0" xfId="0">
      <alignment vertical="center"/>
    </xf>
    <xf numFmtId="14" fontId="0" fillId="0" borderId="0" applyAlignment="1" pivotButton="0" quotePrefix="0" xfId="0">
      <alignment horizontal="left" vertical="center"/>
    </xf>
    <xf numFmtId="171" fontId="5" fillId="0" borderId="18" applyAlignment="1" pivotButton="0" quotePrefix="0" xfId="15">
      <alignment vertical="center"/>
    </xf>
    <xf numFmtId="0" fontId="35" fillId="0" borderId="0" applyAlignment="1" pivotButton="0" quotePrefix="0" xfId="12">
      <alignment horizontal="right" vertical="center"/>
    </xf>
    <xf numFmtId="0" fontId="9" fillId="0" borderId="0" applyAlignment="1" pivotButton="0" quotePrefix="0" xfId="0">
      <alignment horizontal="right" vertical="center"/>
    </xf>
    <xf numFmtId="0" fontId="0" fillId="39" borderId="0" applyAlignment="1" pivotButton="0" quotePrefix="0" xfId="0">
      <alignment vertical="center"/>
    </xf>
    <xf numFmtId="0" fontId="0" fillId="0" borderId="0" applyAlignment="1" pivotButton="0" quotePrefix="0" xfId="0">
      <alignment horizontal="left" vertical="center" indent="1"/>
    </xf>
    <xf numFmtId="0" fontId="17" fillId="39" borderId="19" applyAlignment="1" pivotButton="0" quotePrefix="0" xfId="24">
      <alignment horizontal="left" vertical="center"/>
    </xf>
    <xf numFmtId="0" fontId="17" fillId="39" borderId="15" applyAlignment="1" pivotButton="0" quotePrefix="0" xfId="24">
      <alignment horizontal="left" vertical="center"/>
    </xf>
    <xf numFmtId="0" fontId="0" fillId="39" borderId="15" applyAlignment="1" pivotButton="0" quotePrefix="0" xfId="0">
      <alignment vertical="center"/>
    </xf>
    <xf numFmtId="0" fontId="9" fillId="39" borderId="15" applyAlignment="1" pivotButton="0" quotePrefix="0" xfId="0">
      <alignment horizontal="right" vertical="center"/>
    </xf>
    <xf numFmtId="0" fontId="17" fillId="39" borderId="21" applyAlignment="1" pivotButton="0" quotePrefix="0" xfId="24">
      <alignment horizontal="left" vertical="center"/>
    </xf>
    <xf numFmtId="0" fontId="0" fillId="39" borderId="0" applyAlignment="1" pivotButton="0" quotePrefix="0" xfId="0">
      <alignment horizontal="left" vertical="center"/>
    </xf>
    <xf numFmtId="172" fontId="8" fillId="39" borderId="0" applyAlignment="1" pivotButton="0" quotePrefix="0" xfId="77">
      <alignment horizontal="right" vertical="center"/>
    </xf>
    <xf numFmtId="0" fontId="0" fillId="39" borderId="21" applyAlignment="1" pivotButton="0" quotePrefix="0" xfId="0">
      <alignment vertical="center"/>
    </xf>
    <xf numFmtId="9" fontId="8" fillId="39" borderId="0" applyAlignment="1" pivotButton="0" quotePrefix="0" xfId="77">
      <alignment horizontal="right" vertical="center"/>
    </xf>
    <xf numFmtId="0" fontId="0" fillId="39" borderId="23" applyAlignment="1" pivotButton="0" quotePrefix="0" xfId="0">
      <alignment vertical="center"/>
    </xf>
    <xf numFmtId="0" fontId="0" fillId="39" borderId="14" applyAlignment="1" pivotButton="0" quotePrefix="0" xfId="0">
      <alignment horizontal="left" vertical="center"/>
    </xf>
    <xf numFmtId="0" fontId="0" fillId="39" borderId="14" applyAlignment="1" pivotButton="0" quotePrefix="0" xfId="0">
      <alignment vertical="center"/>
    </xf>
    <xf numFmtId="172" fontId="0" fillId="39" borderId="14" applyAlignment="1" pivotButton="0" quotePrefix="0" xfId="77">
      <alignment horizontal="right" vertical="center"/>
    </xf>
    <xf numFmtId="0" fontId="2" fillId="38" borderId="4" applyAlignment="1" pivotButton="0" quotePrefix="0" xfId="23">
      <alignment horizontal="left" vertical="center"/>
    </xf>
    <xf numFmtId="0" fontId="9" fillId="38" borderId="15" applyAlignment="1" pivotButton="0" quotePrefix="0" xfId="0">
      <alignment vertical="center"/>
    </xf>
    <xf numFmtId="0" fontId="35" fillId="38" borderId="15" applyAlignment="1" pivotButton="0" quotePrefix="0" xfId="12">
      <alignment horizontal="right" vertical="center"/>
    </xf>
    <xf numFmtId="164" fontId="25" fillId="38" borderId="15" applyAlignment="1" pivotButton="0" quotePrefix="0" xfId="7">
      <alignment vertical="center"/>
    </xf>
    <xf numFmtId="0" fontId="9" fillId="38" borderId="16" applyAlignment="1" pivotButton="0" quotePrefix="0" xfId="0">
      <alignment vertical="center"/>
    </xf>
    <xf numFmtId="0" fontId="35" fillId="38" borderId="16" applyAlignment="1" pivotButton="0" quotePrefix="0" xfId="12">
      <alignment horizontal="right" vertical="center"/>
    </xf>
    <xf numFmtId="164" fontId="25" fillId="38" borderId="16" applyAlignment="1" pivotButton="0" quotePrefix="0" xfId="7">
      <alignment vertical="center"/>
    </xf>
    <xf numFmtId="0" fontId="39" fillId="0" borderId="0" applyAlignment="1" pivotButton="0" quotePrefix="0" xfId="24">
      <alignment horizontal="left" vertical="center"/>
    </xf>
    <xf numFmtId="0" fontId="25" fillId="38" borderId="15" applyAlignment="1" pivotButton="0" quotePrefix="0" xfId="24">
      <alignment horizontal="left" vertical="center"/>
    </xf>
    <xf numFmtId="0" fontId="25" fillId="0" borderId="15" applyAlignment="1" pivotButton="0" quotePrefix="0" xfId="24">
      <alignment horizontal="left" vertical="center"/>
    </xf>
    <xf numFmtId="0" fontId="25" fillId="38" borderId="16" applyAlignment="1" pivotButton="0" quotePrefix="0" xfId="24">
      <alignment horizontal="left" vertical="center"/>
    </xf>
    <xf numFmtId="171" fontId="9" fillId="38" borderId="16" applyAlignment="1" pivotButton="0" quotePrefix="0" xfId="0">
      <alignment vertical="center"/>
    </xf>
    <xf numFmtId="0" fontId="9" fillId="38" borderId="17" applyAlignment="1" pivotButton="0" quotePrefix="0" xfId="0">
      <alignment vertical="center"/>
    </xf>
    <xf numFmtId="0" fontId="0" fillId="38" borderId="17" applyAlignment="1" pivotButton="0" quotePrefix="0" xfId="0">
      <alignment vertical="center"/>
    </xf>
    <xf numFmtId="164" fontId="25" fillId="38" borderId="17" applyAlignment="1" pivotButton="0" quotePrefix="0" xfId="7">
      <alignment vertical="center"/>
    </xf>
    <xf numFmtId="0" fontId="0" fillId="38" borderId="15" applyAlignment="1" pivotButton="0" quotePrefix="0" xfId="0">
      <alignment vertical="center"/>
    </xf>
    <xf numFmtId="171" fontId="5" fillId="0" borderId="1" applyAlignment="1" pivotButton="0" quotePrefix="0" xfId="15">
      <alignment vertical="center"/>
    </xf>
    <xf numFmtId="1" fontId="0" fillId="39" borderId="0" applyAlignment="1" pivotButton="0" quotePrefix="0" xfId="0">
      <alignment vertical="center"/>
    </xf>
    <xf numFmtId="168" fontId="25" fillId="38" borderId="15" applyAlignment="1" pivotButton="0" quotePrefix="0" xfId="63">
      <alignment vertical="center"/>
    </xf>
    <xf numFmtId="168" fontId="25" fillId="38" borderId="17" applyAlignment="1" pivotButton="0" quotePrefix="0" xfId="63">
      <alignment vertical="center"/>
    </xf>
    <xf numFmtId="0" fontId="0" fillId="39" borderId="20" applyAlignment="1" pivotButton="0" quotePrefix="0" xfId="0">
      <alignment vertical="center"/>
    </xf>
    <xf numFmtId="0" fontId="0" fillId="39" borderId="22" applyAlignment="1" pivotButton="0" quotePrefix="0" xfId="0">
      <alignment vertical="center"/>
    </xf>
    <xf numFmtId="0" fontId="0" fillId="39" borderId="24" applyAlignment="1" pivotButton="0" quotePrefix="0" xfId="0">
      <alignment vertical="center"/>
    </xf>
    <xf numFmtId="0" fontId="3" fillId="41" borderId="0" applyAlignment="1" pivotButton="0" quotePrefix="0" xfId="22">
      <alignment horizontal="left" vertical="center"/>
    </xf>
    <xf numFmtId="0" fontId="11" fillId="41" borderId="0" applyAlignment="1" pivotButton="0" quotePrefix="0" xfId="0">
      <alignment vertical="center"/>
    </xf>
    <xf numFmtId="0" fontId="27" fillId="41" borderId="0" applyAlignment="1" pivotButton="0" quotePrefix="0" xfId="22">
      <alignment horizontal="left" vertical="center"/>
    </xf>
    <xf numFmtId="0" fontId="3" fillId="41" borderId="0" applyAlignment="1" pivotButton="0" quotePrefix="0" xfId="22">
      <alignment horizontal="left" vertical="center"/>
    </xf>
    <xf numFmtId="0" fontId="12" fillId="41" borderId="0" applyAlignment="1" pivotButton="0" quotePrefix="0" xfId="0">
      <alignment vertical="center"/>
    </xf>
    <xf numFmtId="0" fontId="8" fillId="41" borderId="0" applyAlignment="1" pivotButton="0" quotePrefix="0" xfId="0">
      <alignment vertical="center"/>
    </xf>
    <xf numFmtId="166" fontId="30" fillId="41" borderId="10" applyAlignment="1" pivotButton="0" quotePrefix="0" xfId="79">
      <alignment horizontal="center" vertical="center"/>
    </xf>
    <xf numFmtId="166" fontId="30" fillId="41" borderId="0" applyAlignment="1" pivotButton="0" quotePrefix="0" xfId="79">
      <alignment horizontal="center" vertical="center"/>
    </xf>
    <xf numFmtId="0" fontId="8" fillId="41" borderId="11" applyAlignment="1" pivotButton="0" quotePrefix="0" xfId="0">
      <alignment vertical="center"/>
    </xf>
    <xf numFmtId="0" fontId="40" fillId="41" borderId="7" applyAlignment="1" pivotButton="0" quotePrefix="0" xfId="0">
      <alignment horizontal="left" vertical="center"/>
    </xf>
    <xf numFmtId="0" fontId="41" fillId="41" borderId="8" applyAlignment="1" pivotButton="0" quotePrefix="0" xfId="0">
      <alignment vertical="center"/>
    </xf>
    <xf numFmtId="0" fontId="41" fillId="41" borderId="9" applyAlignment="1" pivotButton="0" quotePrefix="0" xfId="0">
      <alignment vertical="center"/>
    </xf>
    <xf numFmtId="0" fontId="27" fillId="40" borderId="0" applyAlignment="1" pivotButton="0" quotePrefix="0" xfId="0">
      <alignment horizontal="left" vertical="center"/>
    </xf>
    <xf numFmtId="0" fontId="27" fillId="40" borderId="0" applyAlignment="1" pivotButton="0" quotePrefix="0" xfId="0">
      <alignment horizontal="center" vertical="center"/>
    </xf>
    <xf numFmtId="0" fontId="27" fillId="40" borderId="0" applyAlignment="1" pivotButton="0" quotePrefix="0" xfId="0">
      <alignment vertical="center"/>
    </xf>
    <xf numFmtId="14" fontId="27" fillId="40" borderId="0" applyAlignment="1" pivotButton="0" quotePrefix="0" xfId="0">
      <alignment horizontal="right" vertical="center"/>
    </xf>
    <xf numFmtId="0" fontId="6" fillId="40" borderId="0" applyAlignment="1" pivotButton="0" quotePrefix="0" xfId="0">
      <alignment vertical="center"/>
    </xf>
    <xf numFmtId="0" fontId="27" fillId="40" borderId="0" applyAlignment="1" pivotButton="0" quotePrefix="0" xfId="0">
      <alignment horizontal="right" vertical="center"/>
    </xf>
    <xf numFmtId="0" fontId="33" fillId="41" borderId="8" applyAlignment="1" pivotButton="0" quotePrefix="0" xfId="0">
      <alignment vertical="center"/>
    </xf>
    <xf numFmtId="0" fontId="8" fillId="41" borderId="8" applyAlignment="1" pivotButton="0" quotePrefix="0" xfId="0">
      <alignment vertical="center"/>
    </xf>
    <xf numFmtId="0" fontId="42" fillId="41" borderId="10" applyAlignment="1" pivotButton="0" quotePrefix="0" xfId="0">
      <alignment vertical="center"/>
    </xf>
    <xf numFmtId="0" fontId="42" fillId="41" borderId="0" applyAlignment="1" pivotButton="0" quotePrefix="0" xfId="0">
      <alignment vertical="center"/>
    </xf>
    <xf numFmtId="0" fontId="43" fillId="41" borderId="11" applyAlignment="1" pivotButton="0" quotePrefix="0" xfId="0">
      <alignment vertical="center"/>
    </xf>
    <xf numFmtId="0" fontId="42" fillId="41" borderId="26" applyAlignment="1" pivotButton="0" quotePrefix="0" xfId="0">
      <alignment vertical="center"/>
    </xf>
    <xf numFmtId="0" fontId="42" fillId="41" borderId="27" applyAlignment="1" pivotButton="0" quotePrefix="0" xfId="0">
      <alignment vertical="center"/>
    </xf>
    <xf numFmtId="0" fontId="43" fillId="41" borderId="28" applyAlignment="1" pivotButton="0" quotePrefix="0" xfId="0">
      <alignment vertical="center"/>
    </xf>
    <xf numFmtId="0" fontId="43" fillId="41" borderId="0" applyAlignment="1" pivotButton="0" quotePrefix="0" xfId="0">
      <alignment vertical="center"/>
    </xf>
    <xf numFmtId="0" fontId="32" fillId="41" borderId="0" applyAlignment="1" pivotButton="0" quotePrefix="0" xfId="12">
      <alignment horizontal="right" vertical="center"/>
    </xf>
    <xf numFmtId="0" fontId="13" fillId="41" borderId="0" applyAlignment="1" pivotButton="0" quotePrefix="0" xfId="0">
      <alignment vertical="center"/>
    </xf>
    <xf numFmtId="14" fontId="6" fillId="41" borderId="0" applyAlignment="1" pivotButton="0" quotePrefix="0" xfId="8">
      <alignment horizontal="center" vertical="center"/>
    </xf>
    <xf numFmtId="164" fontId="6" fillId="41" borderId="0" applyAlignment="1" pivotButton="0" quotePrefix="0" xfId="7">
      <alignment horizontal="center" vertical="center"/>
    </xf>
    <xf numFmtId="0" fontId="6" fillId="41" borderId="0" applyAlignment="1" pivotButton="0" quotePrefix="0" xfId="12">
      <alignment horizontal="right" vertical="center"/>
    </xf>
    <xf numFmtId="0" fontId="4" fillId="41" borderId="0" applyAlignment="1" pivotButton="0" quotePrefix="0" xfId="0">
      <alignment vertical="center"/>
    </xf>
    <xf numFmtId="0" fontId="1" fillId="41" borderId="0" applyAlignment="1" pivotButton="0" quotePrefix="0" xfId="0">
      <alignment vertical="center"/>
    </xf>
    <xf numFmtId="0" fontId="6" fillId="41" borderId="0" applyAlignment="1" pivotButton="0" quotePrefix="0" xfId="0">
      <alignment vertical="center"/>
    </xf>
    <xf numFmtId="15" fontId="6" fillId="41" borderId="0" applyAlignment="1" pivotButton="0" quotePrefix="0" xfId="8">
      <alignment horizontal="center" vertical="center"/>
    </xf>
    <xf numFmtId="0" fontId="9" fillId="41" borderId="0" applyAlignment="1" pivotButton="0" quotePrefix="0" xfId="0">
      <alignment vertical="center"/>
    </xf>
    <xf numFmtId="15" fontId="4" fillId="41" borderId="0" applyAlignment="1" pivotButton="0" quotePrefix="0" xfId="0">
      <alignment vertical="center"/>
    </xf>
    <xf numFmtId="15" fontId="1" fillId="41" borderId="0" applyAlignment="1" pivotButton="0" quotePrefix="0" xfId="0">
      <alignment vertical="center"/>
    </xf>
    <xf numFmtId="0" fontId="2" fillId="0" borderId="4" applyAlignment="1" pivotButton="0" quotePrefix="0" xfId="23">
      <alignment horizontal="center" vertical="center"/>
    </xf>
    <xf numFmtId="15" fontId="5" fillId="38" borderId="0" applyAlignment="1" pivotButton="0" quotePrefix="0" xfId="77">
      <alignment vertical="center"/>
    </xf>
    <xf numFmtId="15" fontId="5" fillId="38" borderId="0" applyAlignment="1" pivotButton="0" quotePrefix="0" xfId="0">
      <alignment vertical="center"/>
    </xf>
    <xf numFmtId="15" fontId="6" fillId="41" borderId="0" applyAlignment="1" pivotButton="0" quotePrefix="0" xfId="8">
      <alignment horizontal="right" vertical="center"/>
    </xf>
    <xf numFmtId="14" fontId="6" fillId="41" borderId="0" applyAlignment="1" pivotButton="0" quotePrefix="0" xfId="8">
      <alignment horizontal="right" vertical="center"/>
    </xf>
    <xf numFmtId="164" fontId="6" fillId="41" borderId="0" applyAlignment="1" pivotButton="0" quotePrefix="0" xfId="7">
      <alignment horizontal="right" vertical="center"/>
    </xf>
    <xf numFmtId="167" fontId="5" fillId="33" borderId="1" applyAlignment="1" applyProtection="1" pivotButton="0" quotePrefix="0" xfId="3">
      <alignment horizontal="center" vertical="center"/>
      <protection locked="0" hidden="0"/>
    </xf>
    <xf numFmtId="167" fontId="5" fillId="33" borderId="1" applyAlignment="1" applyProtection="1" pivotButton="0" quotePrefix="0" xfId="3">
      <alignment horizontal="left" vertical="center"/>
      <protection locked="0" hidden="0"/>
    </xf>
    <xf numFmtId="164" fontId="27" fillId="41" borderId="0" applyAlignment="1" pivotButton="0" quotePrefix="0" xfId="7">
      <alignment horizontal="right" vertical="center"/>
    </xf>
    <xf numFmtId="171" fontId="5" fillId="0" borderId="29" applyAlignment="1" pivotButton="0" quotePrefix="0" xfId="15">
      <alignment vertical="center"/>
    </xf>
    <xf numFmtId="0" fontId="8" fillId="0" borderId="0" applyAlignment="1" pivotButton="0" quotePrefix="0" xfId="0">
      <alignment vertical="center" wrapText="1"/>
    </xf>
    <xf numFmtId="0" fontId="46" fillId="43" borderId="0" applyAlignment="1" pivotButton="0" quotePrefix="0" xfId="76">
      <alignment horizontal="center" vertical="center"/>
    </xf>
    <xf numFmtId="0" fontId="46" fillId="44" borderId="0" applyAlignment="1" pivotButton="0" quotePrefix="0" xfId="76">
      <alignment horizontal="center" vertical="center"/>
    </xf>
    <xf numFmtId="0" fontId="46" fillId="45" borderId="0" applyAlignment="1" pivotButton="0" quotePrefix="0" xfId="76">
      <alignment horizontal="center" vertical="center"/>
    </xf>
    <xf numFmtId="0" fontId="8" fillId="0" borderId="0" applyAlignment="1" applyProtection="1" pivotButton="0" quotePrefix="0" xfId="0">
      <alignment vertical="center"/>
      <protection locked="0" hidden="0"/>
    </xf>
    <xf numFmtId="171" fontId="5" fillId="0" borderId="1" applyAlignment="1" pivotButton="0" quotePrefix="0" xfId="15">
      <alignment horizontal="center" vertical="center"/>
    </xf>
    <xf numFmtId="0" fontId="3" fillId="41" borderId="0" applyAlignment="1" pivotButton="0" quotePrefix="0" xfId="22">
      <alignment horizontal="center" vertical="center"/>
    </xf>
    <xf numFmtId="0" fontId="5" fillId="0" borderId="1" applyAlignment="1" pivotButton="0" quotePrefix="0" xfId="19">
      <alignment horizontal="center" vertical="center"/>
    </xf>
    <xf numFmtId="14" fontId="5" fillId="38" borderId="0" applyAlignment="1" pivotButton="0" quotePrefix="0" xfId="0">
      <alignment vertical="center"/>
    </xf>
    <xf numFmtId="164" fontId="25" fillId="41" borderId="0" applyAlignment="1" pivotButton="0" quotePrefix="0" xfId="7">
      <alignment horizontal="right" vertical="center"/>
    </xf>
    <xf numFmtId="166" fontId="30" fillId="0" borderId="0" applyAlignment="1" pivotButton="0" quotePrefix="0" xfId="58">
      <alignment horizontal="right" vertical="center"/>
    </xf>
    <xf numFmtId="166" fontId="30" fillId="0" borderId="0" applyAlignment="1" pivotButton="0" quotePrefix="0" xfId="58">
      <alignment horizontal="left" vertical="center" indent="4"/>
    </xf>
    <xf numFmtId="0" fontId="8" fillId="0" borderId="0" applyAlignment="1" pivotButton="0" quotePrefix="0" xfId="0">
      <alignment horizontal="left" vertical="center" indent="4"/>
    </xf>
    <xf numFmtId="167" fontId="5" fillId="38" borderId="1" applyAlignment="1" applyProtection="1" pivotButton="0" quotePrefix="0" xfId="3">
      <alignment vertical="center"/>
      <protection locked="0" hidden="0"/>
    </xf>
    <xf numFmtId="167" fontId="8" fillId="0" borderId="0" applyAlignment="1" pivotButton="0" quotePrefix="0" xfId="0">
      <alignment vertical="center"/>
    </xf>
    <xf numFmtId="167" fontId="25" fillId="38" borderId="16" applyAlignment="1" pivotButton="0" quotePrefix="0" xfId="7">
      <alignment vertical="center"/>
    </xf>
    <xf numFmtId="0" fontId="9" fillId="0" borderId="0" applyAlignment="1" pivotButton="0" quotePrefix="0" xfId="0">
      <alignment horizontal="center" vertical="center" wrapText="1"/>
    </xf>
    <xf numFmtId="173" fontId="8" fillId="0" borderId="0" applyAlignment="1" pivotButton="0" quotePrefix="0" xfId="0">
      <alignment horizontal="center" vertical="center"/>
    </xf>
    <xf numFmtId="174" fontId="5" fillId="33" borderId="1" applyAlignment="1" applyProtection="1" pivotButton="0" quotePrefix="0" xfId="13">
      <alignment vertical="center"/>
      <protection locked="0" hidden="0"/>
    </xf>
    <xf numFmtId="166" fontId="30" fillId="0" borderId="0" applyAlignment="1" pivotButton="0" quotePrefix="0" xfId="58">
      <alignment horizontal="left" vertical="center" indent="2"/>
    </xf>
    <xf numFmtId="175" fontId="5" fillId="33" borderId="1" applyAlignment="1" applyProtection="1" pivotButton="0" quotePrefix="0" xfId="11">
      <alignment vertical="center"/>
      <protection locked="0" hidden="0"/>
    </xf>
    <xf numFmtId="171" fontId="9" fillId="0" borderId="15" applyAlignment="1" pivotButton="0" quotePrefix="0" xfId="0">
      <alignment vertical="center"/>
    </xf>
    <xf numFmtId="171" fontId="9" fillId="0" borderId="0" applyAlignment="1" pivotButton="0" quotePrefix="0" xfId="0">
      <alignment vertical="center"/>
    </xf>
    <xf numFmtId="176" fontId="5" fillId="0" borderId="1" applyAlignment="1" pivotButton="0" quotePrefix="0" xfId="18">
      <alignment vertical="center"/>
    </xf>
    <xf numFmtId="177" fontId="8" fillId="0" borderId="0" applyAlignment="1" pivotButton="0" quotePrefix="0" xfId="0">
      <alignment vertical="center"/>
    </xf>
    <xf numFmtId="0" fontId="32" fillId="39" borderId="0" applyAlignment="1" pivotButton="0" quotePrefix="0" xfId="12">
      <alignment horizontal="right" vertical="center"/>
    </xf>
    <xf numFmtId="172" fontId="8" fillId="39" borderId="0" applyAlignment="1" pivotButton="0" quotePrefix="0" xfId="77">
      <alignment horizontal="right" vertical="center"/>
    </xf>
    <xf numFmtId="178" fontId="5" fillId="39" borderId="0" applyAlignment="1" pivotButton="0" quotePrefix="0" xfId="7">
      <alignment horizontal="right" vertical="center"/>
    </xf>
    <xf numFmtId="0" fontId="17" fillId="39" borderId="23" applyAlignment="1" pivotButton="0" quotePrefix="0" xfId="24">
      <alignment horizontal="left" vertical="center"/>
    </xf>
    <xf numFmtId="172" fontId="8" fillId="39" borderId="14" applyAlignment="1" pivotButton="0" quotePrefix="0" xfId="77">
      <alignment horizontal="right" vertical="center"/>
    </xf>
    <xf numFmtId="164" fontId="25" fillId="46" borderId="0" applyAlignment="1" pivotButton="0" quotePrefix="0" xfId="7">
      <alignment horizontal="right" vertical="center"/>
    </xf>
    <xf numFmtId="179" fontId="5" fillId="0" borderId="1" applyAlignment="1" pivotButton="0" quotePrefix="0" xfId="18">
      <alignment vertical="center"/>
    </xf>
    <xf numFmtId="180" fontId="5" fillId="0" borderId="0" applyAlignment="1" pivotButton="0" quotePrefix="0" xfId="7">
      <alignment vertical="center"/>
    </xf>
    <xf numFmtId="180" fontId="5" fillId="0" borderId="1" applyAlignment="1" pivotButton="0" quotePrefix="0" xfId="15">
      <alignment vertical="center"/>
    </xf>
    <xf numFmtId="15" fontId="5" fillId="0" borderId="1" applyAlignment="1" applyProtection="1" pivotButton="0" quotePrefix="0" xfId="5">
      <alignment horizontal="right" vertical="center"/>
      <protection locked="0" hidden="0"/>
    </xf>
    <xf numFmtId="0" fontId="17" fillId="39" borderId="0" applyAlignment="1" pivotButton="0" quotePrefix="0" xfId="24">
      <alignment horizontal="left" vertical="center"/>
    </xf>
    <xf numFmtId="0" fontId="9" fillId="39" borderId="0" applyAlignment="1" pivotButton="0" quotePrefix="0" xfId="0">
      <alignment horizontal="right" vertical="center"/>
    </xf>
    <xf numFmtId="171" fontId="5" fillId="38" borderId="1" applyAlignment="1" applyProtection="1" pivotButton="0" quotePrefix="0" xfId="15">
      <alignment vertical="center"/>
      <protection locked="0" hidden="0"/>
    </xf>
    <xf numFmtId="172" fontId="5" fillId="38" borderId="1" applyAlignment="1" applyProtection="1" pivotButton="0" quotePrefix="0" xfId="77">
      <alignment vertical="center"/>
      <protection locked="0" hidden="0"/>
    </xf>
    <xf numFmtId="181" fontId="5" fillId="33" borderId="1" applyAlignment="1" applyProtection="1" pivotButton="0" quotePrefix="0" xfId="71">
      <alignment vertical="center"/>
      <protection locked="0" hidden="0"/>
    </xf>
    <xf numFmtId="0" fontId="8" fillId="0" borderId="0" applyAlignment="1" pivotButton="0" quotePrefix="0" xfId="0">
      <alignment horizontal="left" vertical="center" indent="2"/>
    </xf>
    <xf numFmtId="164" fontId="8" fillId="0" borderId="0" applyAlignment="1" pivotButton="0" quotePrefix="0" xfId="0">
      <alignment vertical="center"/>
    </xf>
    <xf numFmtId="166" fontId="30" fillId="0" borderId="0" applyAlignment="1" pivotButton="0" quotePrefix="0" xfId="79">
      <alignment horizontal="right" vertical="center"/>
    </xf>
    <xf numFmtId="181" fontId="5" fillId="38" borderId="1" applyAlignment="1" applyProtection="1" pivotButton="0" quotePrefix="0" xfId="71">
      <alignment vertical="center"/>
      <protection locked="0" hidden="0"/>
    </xf>
    <xf numFmtId="176" fontId="25" fillId="0" borderId="0" applyAlignment="1" pivotButton="0" quotePrefix="0" xfId="63">
      <alignment vertical="center"/>
    </xf>
    <xf numFmtId="10" fontId="5" fillId="0" borderId="1" applyAlignment="1" pivotButton="0" quotePrefix="0" xfId="18">
      <alignment vertical="center"/>
    </xf>
    <xf numFmtId="0" fontId="5" fillId="0" borderId="1" applyAlignment="1" pivotButton="0" quotePrefix="0" xfId="19">
      <alignment horizontal="left" vertical="center"/>
    </xf>
    <xf numFmtId="164" fontId="9" fillId="0" borderId="0" applyAlignment="1" pivotButton="0" quotePrefix="0" xfId="0">
      <alignment vertical="center"/>
    </xf>
    <xf numFmtId="9" fontId="5" fillId="38" borderId="1" applyAlignment="1" applyProtection="1" pivotButton="0" quotePrefix="0" xfId="77">
      <alignment vertical="center"/>
      <protection locked="0" hidden="0"/>
    </xf>
    <xf numFmtId="164" fontId="25" fillId="0" borderId="0" applyAlignment="1" pivotButton="0" quotePrefix="0" xfId="7">
      <alignment horizontal="right" vertical="center"/>
    </xf>
    <xf numFmtId="182" fontId="5" fillId="0" borderId="0" applyAlignment="1" pivotButton="0" quotePrefix="0" xfId="7">
      <alignment vertical="center"/>
    </xf>
    <xf numFmtId="183" fontId="5" fillId="0" borderId="1" applyAlignment="1" pivotButton="0" quotePrefix="0" xfId="15">
      <alignment vertical="center"/>
    </xf>
    <xf numFmtId="0" fontId="9" fillId="0" borderId="0" applyAlignment="1" pivotButton="0" quotePrefix="0" xfId="0">
      <alignment horizontal="right" vertical="center" wrapText="1"/>
    </xf>
    <xf numFmtId="184" fontId="0" fillId="0" borderId="0" applyAlignment="1" pivotButton="0" quotePrefix="0" xfId="0">
      <alignment vertical="center"/>
    </xf>
    <xf numFmtId="183" fontId="5" fillId="38" borderId="1" applyAlignment="1" applyProtection="1" pivotButton="0" quotePrefix="0" xfId="15">
      <alignment vertical="center"/>
      <protection locked="0" hidden="0"/>
    </xf>
    <xf numFmtId="182" fontId="8" fillId="0" borderId="0" applyAlignment="1" pivotButton="0" quotePrefix="0" xfId="0">
      <alignment vertical="center"/>
    </xf>
    <xf numFmtId="15" fontId="5" fillId="0" borderId="1" applyAlignment="1" pivotButton="0" quotePrefix="0" xfId="19">
      <alignment horizontal="right" vertical="center"/>
    </xf>
    <xf numFmtId="0" fontId="8" fillId="0" borderId="0" applyAlignment="1" pivotButton="0" quotePrefix="0" xfId="0">
      <alignment horizontal="right" vertical="center"/>
    </xf>
    <xf numFmtId="176" fontId="5" fillId="0" borderId="1" applyAlignment="1" pivotButton="0" quotePrefix="0" xfId="18">
      <alignment horizontal="right" vertical="center"/>
    </xf>
    <xf numFmtId="176" fontId="5" fillId="0" borderId="1" applyAlignment="1" pivotButton="0" quotePrefix="0" xfId="72">
      <alignment vertical="center"/>
    </xf>
    <xf numFmtId="171" fontId="5" fillId="0" borderId="0" applyAlignment="1" pivotButton="0" quotePrefix="0" xfId="7">
      <alignment vertical="center"/>
    </xf>
    <xf numFmtId="17" fontId="5" fillId="33" borderId="1" applyAlignment="1" applyProtection="1" pivotButton="0" quotePrefix="0" xfId="1">
      <alignment horizontal="center" vertical="center"/>
      <protection locked="0" hidden="0"/>
    </xf>
    <xf numFmtId="172" fontId="5" fillId="33" borderId="1" applyAlignment="1" applyProtection="1" pivotButton="0" quotePrefix="0" xfId="77">
      <alignment vertical="center"/>
      <protection locked="0" hidden="0"/>
    </xf>
    <xf numFmtId="182" fontId="5" fillId="0" borderId="1" applyAlignment="1" pivotButton="0" quotePrefix="0" xfId="15">
      <alignment vertical="center"/>
    </xf>
    <xf numFmtId="0" fontId="5" fillId="33" borderId="12" applyAlignment="1" applyProtection="1" pivotButton="0" quotePrefix="0" xfId="1">
      <alignment horizontal="left" vertical="center"/>
      <protection locked="0" hidden="0"/>
    </xf>
    <xf numFmtId="0" fontId="5" fillId="33" borderId="13" applyAlignment="1" applyProtection="1" pivotButton="0" quotePrefix="0" xfId="1">
      <alignment horizontal="left" vertical="center"/>
      <protection locked="0" hidden="0"/>
    </xf>
    <xf numFmtId="0" fontId="9" fillId="0" borderId="0" applyAlignment="1" pivotButton="0" quotePrefix="0" xfId="0">
      <alignment horizontal="left" vertical="center" indent="2"/>
    </xf>
    <xf numFmtId="0" fontId="32" fillId="0" borderId="0" applyAlignment="1" pivotButton="0" quotePrefix="0" xfId="12">
      <alignment horizontal="left" vertical="center"/>
    </xf>
    <xf numFmtId="164" fontId="9" fillId="0" borderId="0" applyAlignment="1" pivotButton="0" quotePrefix="0" xfId="0">
      <alignment horizontal="right" vertical="center"/>
    </xf>
    <xf numFmtId="0" fontId="6" fillId="0" borderId="0" applyAlignment="1" pivotButton="0" quotePrefix="0" xfId="63">
      <alignment vertical="center"/>
    </xf>
    <xf numFmtId="176" fontId="25" fillId="47" borderId="1" applyAlignment="1" pivotButton="0" quotePrefix="0" xfId="18">
      <alignment vertical="center"/>
    </xf>
    <xf numFmtId="171" fontId="25" fillId="47" borderId="1" applyAlignment="1" pivotButton="0" quotePrefix="0" xfId="15">
      <alignment vertical="center"/>
    </xf>
    <xf numFmtId="0" fontId="0" fillId="0" borderId="0" applyAlignment="1" pivotButton="0" quotePrefix="0" xfId="0">
      <alignment horizontal="left" vertical="center" wrapText="1"/>
    </xf>
    <xf numFmtId="0" fontId="8" fillId="0" borderId="0" applyAlignment="1" pivotButton="0" quotePrefix="0" xfId="0">
      <alignment horizontal="left" vertical="center" wrapText="1"/>
    </xf>
    <xf numFmtId="0" fontId="5" fillId="33" borderId="12" applyAlignment="1" applyProtection="1" pivotButton="0" quotePrefix="0" xfId="1">
      <alignment horizontal="left" vertical="center"/>
      <protection locked="0" hidden="0"/>
    </xf>
    <xf numFmtId="0" fontId="5" fillId="33" borderId="13" applyAlignment="1" applyProtection="1" pivotButton="0" quotePrefix="0" xfId="1">
      <alignment horizontal="left" vertical="center"/>
      <protection locked="0" hidden="0"/>
    </xf>
    <xf numFmtId="0" fontId="5" fillId="33" borderId="25" applyAlignment="1" applyProtection="1" pivotButton="0" quotePrefix="0" xfId="1">
      <alignment horizontal="left" vertical="center"/>
      <protection locked="0" hidden="0"/>
    </xf>
    <xf numFmtId="0" fontId="17" fillId="0" borderId="0" applyAlignment="1" pivotButton="0" quotePrefix="0" xfId="24">
      <alignment horizontal="left" vertical="center"/>
    </xf>
    <xf numFmtId="0" fontId="2" fillId="0" borderId="4" applyAlignment="1" pivotButton="0" quotePrefix="0" xfId="23">
      <alignment horizontal="left" vertical="center"/>
    </xf>
    <xf numFmtId="0" fontId="36" fillId="34" borderId="0" applyAlignment="1" pivotButton="0" quotePrefix="0" xfId="0">
      <alignment horizontal="left" vertical="center"/>
    </xf>
    <xf numFmtId="172" fontId="37" fillId="42" borderId="0" applyAlignment="1" pivotButton="0" quotePrefix="0" xfId="0">
      <alignment horizontal="center" vertical="center"/>
    </xf>
    <xf numFmtId="0" fontId="36" fillId="34" borderId="0" applyAlignment="1" pivotButton="0" quotePrefix="0" xfId="0">
      <alignment horizontal="left" vertical="center" wrapText="1"/>
    </xf>
    <xf numFmtId="0" fontId="0" fillId="0" borderId="0" pivotButton="0" quotePrefix="0" xfId="0"/>
    <xf numFmtId="166" fontId="30" fillId="41" borderId="10" applyAlignment="1" pivotButton="0" quotePrefix="0" xfId="79">
      <alignment horizontal="center" vertical="center"/>
    </xf>
    <xf numFmtId="166" fontId="30" fillId="41" borderId="0" applyAlignment="1" pivotButton="0" quotePrefix="0" xfId="79">
      <alignment horizontal="center" vertical="center"/>
    </xf>
    <xf numFmtId="167" fontId="5" fillId="33" borderId="1" applyAlignment="1" applyProtection="1" pivotButton="0" quotePrefix="0" xfId="3">
      <alignment vertical="center"/>
      <protection locked="0" hidden="0"/>
    </xf>
    <xf numFmtId="166" fontId="30" fillId="0" borderId="0" applyAlignment="1" pivotButton="0" quotePrefix="0" xfId="79">
      <alignment horizontal="center" vertical="center"/>
    </xf>
    <xf numFmtId="165" fontId="5" fillId="0" borderId="0" applyAlignment="1" pivotButton="0" quotePrefix="0" xfId="61">
      <alignment vertical="center"/>
    </xf>
    <xf numFmtId="170" fontId="30" fillId="0" borderId="0" applyAlignment="1" pivotButton="0" quotePrefix="0" xfId="81">
      <alignment horizontal="center" vertical="center"/>
    </xf>
    <xf numFmtId="169" fontId="30" fillId="0" borderId="0" applyAlignment="1" pivotButton="0" quotePrefix="0" xfId="80">
      <alignment horizontal="center" vertical="center"/>
    </xf>
    <xf numFmtId="164" fontId="6" fillId="41" borderId="0" applyAlignment="1" pivotButton="0" quotePrefix="0" xfId="7">
      <alignment horizontal="center" vertical="center"/>
    </xf>
    <xf numFmtId="164" fontId="9" fillId="0" borderId="0" applyAlignment="1" pivotButton="0" quotePrefix="0" xfId="7">
      <alignment horizontal="center" vertical="center"/>
    </xf>
    <xf numFmtId="0" fontId="0" fillId="0" borderId="25" applyProtection="1" pivotButton="0" quotePrefix="0" xfId="0">
      <protection locked="0" hidden="0"/>
    </xf>
    <xf numFmtId="0" fontId="0" fillId="0" borderId="13" applyProtection="1" pivotButton="0" quotePrefix="0" xfId="0">
      <protection locked="0" hidden="0"/>
    </xf>
    <xf numFmtId="167" fontId="5" fillId="33" borderId="1" applyAlignment="1" applyProtection="1" pivotButton="0" quotePrefix="0" xfId="3">
      <alignment horizontal="left" vertical="center"/>
      <protection locked="0" hidden="0"/>
    </xf>
    <xf numFmtId="167" fontId="5" fillId="33" borderId="1" applyAlignment="1" applyProtection="1" pivotButton="0" quotePrefix="0" xfId="3">
      <alignment horizontal="center" vertical="center"/>
      <protection locked="0" hidden="0"/>
    </xf>
    <xf numFmtId="164" fontId="6" fillId="41" borderId="0" applyAlignment="1" pivotButton="0" quotePrefix="0" xfId="7">
      <alignment horizontal="right" vertical="center"/>
    </xf>
    <xf numFmtId="164" fontId="25" fillId="41" borderId="0" applyAlignment="1" pivotButton="0" quotePrefix="0" xfId="7">
      <alignment horizontal="right" vertical="center"/>
    </xf>
    <xf numFmtId="164" fontId="27" fillId="41" borderId="0" applyAlignment="1" pivotButton="0" quotePrefix="0" xfId="7">
      <alignment horizontal="right" vertical="center"/>
    </xf>
    <xf numFmtId="166" fontId="30" fillId="0" borderId="0" applyAlignment="1" pivotButton="0" quotePrefix="0" xfId="58">
      <alignment horizontal="center" vertical="center"/>
    </xf>
    <xf numFmtId="164" fontId="5" fillId="0" borderId="0" applyAlignment="1" pivotButton="0" quotePrefix="0" xfId="7">
      <alignment vertical="center"/>
    </xf>
    <xf numFmtId="167" fontId="5" fillId="38" borderId="1" applyAlignment="1" applyProtection="1" pivotButton="0" quotePrefix="0" xfId="3">
      <alignment vertical="center"/>
      <protection locked="0" hidden="0"/>
    </xf>
    <xf numFmtId="164" fontId="25" fillId="38" borderId="15" applyAlignment="1" pivotButton="0" quotePrefix="0" xfId="7">
      <alignment vertical="center"/>
    </xf>
    <xf numFmtId="164" fontId="25" fillId="0" borderId="0" applyAlignment="1" pivotButton="0" quotePrefix="0" xfId="7">
      <alignment vertical="center"/>
    </xf>
    <xf numFmtId="164" fontId="25" fillId="0" borderId="15" applyAlignment="1" pivotButton="0" quotePrefix="0" xfId="7">
      <alignment vertical="center"/>
    </xf>
    <xf numFmtId="164" fontId="25" fillId="38" borderId="16" applyAlignment="1" pivotButton="0" quotePrefix="0" xfId="7">
      <alignment vertical="center"/>
    </xf>
    <xf numFmtId="167" fontId="8" fillId="0" borderId="0" applyAlignment="1" pivotButton="0" quotePrefix="0" xfId="0">
      <alignment vertical="center"/>
    </xf>
    <xf numFmtId="173" fontId="8" fillId="0" borderId="0" applyAlignment="1" pivotButton="0" quotePrefix="0" xfId="0">
      <alignment horizontal="center" vertical="center"/>
    </xf>
    <xf numFmtId="167" fontId="25" fillId="38" borderId="16" applyAlignment="1" pivotButton="0" quotePrefix="0" xfId="7">
      <alignment vertical="center"/>
    </xf>
    <xf numFmtId="166" fontId="30" fillId="0" borderId="0" applyAlignment="1" pivotButton="0" quotePrefix="0" xfId="58">
      <alignment horizontal="right" vertical="center"/>
    </xf>
    <xf numFmtId="166" fontId="30" fillId="0" borderId="0" applyAlignment="1" pivotButton="0" quotePrefix="0" xfId="58">
      <alignment horizontal="left" vertical="center" indent="4"/>
    </xf>
    <xf numFmtId="171" fontId="5" fillId="38" borderId="1" applyAlignment="1" applyProtection="1" pivotButton="0" quotePrefix="0" xfId="15">
      <alignment vertical="center"/>
      <protection locked="0" hidden="0"/>
    </xf>
    <xf numFmtId="171" fontId="5" fillId="0" borderId="1" applyAlignment="1" pivotButton="0" quotePrefix="0" xfId="15">
      <alignment vertical="center"/>
    </xf>
    <xf numFmtId="183" fontId="5" fillId="38" borderId="1" applyAlignment="1" applyProtection="1" pivotButton="0" quotePrefix="0" xfId="15">
      <alignment vertical="center"/>
      <protection locked="0" hidden="0"/>
    </xf>
    <xf numFmtId="171" fontId="5" fillId="0" borderId="1" applyAlignment="1" pivotButton="0" quotePrefix="0" xfId="15">
      <alignment horizontal="center" vertical="center"/>
    </xf>
    <xf numFmtId="181" fontId="5" fillId="33" borderId="1" applyAlignment="1" applyProtection="1" pivotButton="0" quotePrefix="0" xfId="71">
      <alignment vertical="center"/>
      <protection locked="0" hidden="0"/>
    </xf>
    <xf numFmtId="172" fontId="5" fillId="38" borderId="1" applyAlignment="1" applyProtection="1" pivotButton="0" quotePrefix="0" xfId="77">
      <alignment vertical="center"/>
      <protection locked="0" hidden="0"/>
    </xf>
    <xf numFmtId="0" fontId="0" fillId="0" borderId="4" pivotButton="0" quotePrefix="0" xfId="0"/>
    <xf numFmtId="172" fontId="5" fillId="33" borderId="1" applyAlignment="1" applyProtection="1" pivotButton="0" quotePrefix="0" xfId="77">
      <alignment vertical="center"/>
      <protection locked="0" hidden="0"/>
    </xf>
    <xf numFmtId="164" fontId="25" fillId="0" borderId="16" applyAlignment="1" pivotButton="0" quotePrefix="0" xfId="7">
      <alignment vertical="center"/>
    </xf>
    <xf numFmtId="168" fontId="5" fillId="0" borderId="1" applyAlignment="1" pivotButton="0" quotePrefix="0" xfId="72">
      <alignment vertical="center"/>
    </xf>
    <xf numFmtId="182" fontId="5" fillId="0" borderId="0" applyAlignment="1" pivotButton="0" quotePrefix="0" xfId="7">
      <alignment vertical="center"/>
    </xf>
    <xf numFmtId="182" fontId="5" fillId="0" borderId="1" applyAlignment="1" pivotButton="0" quotePrefix="0" xfId="15">
      <alignment vertical="center"/>
    </xf>
    <xf numFmtId="182" fontId="8" fillId="0" borderId="0" applyAlignment="1" pivotButton="0" quotePrefix="0" xfId="0">
      <alignment vertical="center"/>
    </xf>
    <xf numFmtId="183" fontId="5" fillId="0" borderId="1" applyAlignment="1" pivotButton="0" quotePrefix="0" xfId="15">
      <alignment vertical="center"/>
    </xf>
    <xf numFmtId="164" fontId="8" fillId="0" borderId="0" applyAlignment="1" pivotButton="0" quotePrefix="0" xfId="0">
      <alignment vertical="center"/>
    </xf>
    <xf numFmtId="171" fontId="5" fillId="0" borderId="0" applyAlignment="1" pivotButton="0" quotePrefix="0" xfId="83">
      <alignment vertical="center"/>
    </xf>
    <xf numFmtId="171" fontId="8" fillId="0" borderId="0" applyAlignment="1" pivotButton="0" quotePrefix="0" xfId="0">
      <alignment vertical="center"/>
    </xf>
    <xf numFmtId="176" fontId="5" fillId="0" borderId="1" applyAlignment="1" pivotButton="0" quotePrefix="0" xfId="18">
      <alignment horizontal="right" vertical="center"/>
    </xf>
    <xf numFmtId="176" fontId="5" fillId="0" borderId="1" applyAlignment="1" pivotButton="0" quotePrefix="0" xfId="72">
      <alignment vertical="center"/>
    </xf>
    <xf numFmtId="171" fontId="5" fillId="0" borderId="0" applyAlignment="1" pivotButton="0" quotePrefix="0" xfId="7">
      <alignment vertical="center"/>
    </xf>
    <xf numFmtId="166" fontId="34" fillId="0" borderId="0" applyAlignment="1" pivotButton="0" quotePrefix="0" xfId="58">
      <alignment horizontal="center" vertical="center"/>
    </xf>
    <xf numFmtId="171" fontId="5" fillId="0" borderId="29" applyAlignment="1" pivotButton="0" quotePrefix="0" xfId="15">
      <alignment vertical="center"/>
    </xf>
    <xf numFmtId="171" fontId="5" fillId="0" borderId="18" applyAlignment="1" pivotButton="0" quotePrefix="0" xfId="15">
      <alignment vertical="center"/>
    </xf>
    <xf numFmtId="164" fontId="9" fillId="0" borderId="0" applyAlignment="1" pivotButton="0" quotePrefix="0" xfId="0">
      <alignment vertical="center"/>
    </xf>
    <xf numFmtId="171" fontId="0" fillId="0" borderId="0" applyAlignment="1" pivotButton="0" quotePrefix="0" xfId="0">
      <alignment vertical="center"/>
    </xf>
    <xf numFmtId="171" fontId="9" fillId="38" borderId="16" applyAlignment="1" pivotButton="0" quotePrefix="0" xfId="0">
      <alignment vertical="center"/>
    </xf>
    <xf numFmtId="184" fontId="0" fillId="0" borderId="0" applyAlignment="1" pivotButton="0" quotePrefix="0" xfId="0">
      <alignment vertical="center"/>
    </xf>
    <xf numFmtId="164" fontId="25" fillId="46" borderId="0" applyAlignment="1" pivotButton="0" quotePrefix="0" xfId="7">
      <alignment horizontal="right" vertical="center"/>
    </xf>
    <xf numFmtId="174" fontId="5" fillId="33" borderId="1" applyAlignment="1" applyProtection="1" pivotButton="0" quotePrefix="0" xfId="13">
      <alignment vertical="center"/>
      <protection locked="0" hidden="0"/>
    </xf>
    <xf numFmtId="166" fontId="30" fillId="0" borderId="0" applyAlignment="1" pivotButton="0" quotePrefix="0" xfId="58">
      <alignment horizontal="left" vertical="center" indent="2"/>
    </xf>
    <xf numFmtId="168" fontId="5" fillId="0" borderId="0" applyAlignment="1" pivotButton="0" quotePrefix="0" xfId="63">
      <alignment vertical="center"/>
    </xf>
    <xf numFmtId="175" fontId="5" fillId="33" borderId="1" applyAlignment="1" applyProtection="1" pivotButton="0" quotePrefix="0" xfId="11">
      <alignment vertical="center"/>
      <protection locked="0" hidden="0"/>
    </xf>
    <xf numFmtId="181" fontId="5" fillId="38" borderId="1" applyAlignment="1" applyProtection="1" pivotButton="0" quotePrefix="0" xfId="71">
      <alignment vertical="center"/>
      <protection locked="0" hidden="0"/>
    </xf>
    <xf numFmtId="176" fontId="25" fillId="0" borderId="0" applyAlignment="1" pivotButton="0" quotePrefix="0" xfId="63">
      <alignment vertical="center"/>
    </xf>
    <xf numFmtId="171" fontId="9" fillId="0" borderId="15" applyAlignment="1" pivotButton="0" quotePrefix="0" xfId="0">
      <alignment vertical="center"/>
    </xf>
    <xf numFmtId="171" fontId="9" fillId="0" borderId="0" applyAlignment="1" pivotButton="0" quotePrefix="0" xfId="0">
      <alignment vertical="center"/>
    </xf>
    <xf numFmtId="180" fontId="5" fillId="0" borderId="0" applyAlignment="1" pivotButton="0" quotePrefix="0" xfId="7">
      <alignment vertical="center"/>
    </xf>
    <xf numFmtId="180" fontId="5" fillId="0" borderId="1" applyAlignment="1" pivotButton="0" quotePrefix="0" xfId="15">
      <alignment vertical="center"/>
    </xf>
    <xf numFmtId="179" fontId="5" fillId="0" borderId="1" applyAlignment="1" pivotButton="0" quotePrefix="0" xfId="18">
      <alignment vertical="center"/>
    </xf>
    <xf numFmtId="177" fontId="8" fillId="0" borderId="0" applyAlignment="1" pivotButton="0" quotePrefix="0" xfId="0">
      <alignment vertical="center"/>
    </xf>
    <xf numFmtId="176" fontId="5" fillId="0" borderId="1" applyAlignment="1" pivotButton="0" quotePrefix="0" xfId="18">
      <alignment vertical="center"/>
    </xf>
    <xf numFmtId="172" fontId="8" fillId="39" borderId="0" applyAlignment="1" pivotButton="0" quotePrefix="0" xfId="77">
      <alignment horizontal="right" vertical="center"/>
    </xf>
    <xf numFmtId="178" fontId="5" fillId="39" borderId="0" applyAlignment="1" pivotButton="0" quotePrefix="0" xfId="7">
      <alignment horizontal="right" vertical="center"/>
    </xf>
    <xf numFmtId="172" fontId="8" fillId="39" borderId="14" applyAlignment="1" pivotButton="0" quotePrefix="0" xfId="77">
      <alignment horizontal="right" vertical="center"/>
    </xf>
    <xf numFmtId="176" fontId="25" fillId="47" borderId="1" applyAlignment="1" pivotButton="0" quotePrefix="0" xfId="18">
      <alignment vertical="center"/>
    </xf>
    <xf numFmtId="171" fontId="25" fillId="47" borderId="1" applyAlignment="1" pivotButton="0" quotePrefix="0" xfId="15">
      <alignment vertical="center"/>
    </xf>
    <xf numFmtId="164" fontId="25" fillId="0" borderId="0" applyAlignment="1" pivotButton="0" quotePrefix="0" xfId="7">
      <alignment horizontal="right" vertical="center"/>
    </xf>
    <xf numFmtId="164" fontId="9" fillId="0" borderId="0" applyAlignment="1" pivotButton="0" quotePrefix="0" xfId="0">
      <alignment horizontal="right" vertical="center"/>
    </xf>
    <xf numFmtId="172" fontId="37" fillId="42" borderId="0" applyAlignment="1" pivotButton="0" quotePrefix="0" xfId="0">
      <alignment horizontal="center" vertical="center"/>
    </xf>
    <xf numFmtId="168" fontId="25" fillId="38" borderId="15" applyAlignment="1" pivotButton="0" quotePrefix="0" xfId="63">
      <alignment vertical="center"/>
    </xf>
    <xf numFmtId="164" fontId="25" fillId="38" borderId="17" applyAlignment="1" pivotButton="0" quotePrefix="0" xfId="7">
      <alignment vertical="center"/>
    </xf>
    <xf numFmtId="168" fontId="25" fillId="38" borderId="17" applyAlignment="1" pivotButton="0" quotePrefix="0" xfId="63">
      <alignment vertical="center"/>
    </xf>
    <xf numFmtId="166" fontId="30" fillId="0" borderId="0" applyAlignment="1" pivotButton="0" quotePrefix="0" xfId="79">
      <alignment horizontal="right" vertical="center"/>
    </xf>
    <xf numFmtId="172" fontId="0" fillId="39" borderId="14" applyAlignment="1" pivotButton="0" quotePrefix="0" xfId="77">
      <alignment horizontal="right" vertical="center"/>
    </xf>
  </cellXfs>
  <cellStyles count="86">
    <cellStyle name="Normal" xfId="0" builtinId="0"/>
    <cellStyle name="DATA General" xfId="1"/>
    <cellStyle name="DATA List" xfId="2"/>
    <cellStyle name="DATA  Amount" xfId="3"/>
    <cellStyle name="CALC General" xfId="4"/>
    <cellStyle name="DATA Date" xfId="5"/>
    <cellStyle name="LABEL Name" xfId="6"/>
    <cellStyle name="CALC  Amount" xfId="7"/>
    <cellStyle name="CALC Date" xfId="8"/>
    <cellStyle name="DATA System" xfId="9"/>
    <cellStyle name="CALC  Dec 1dp" xfId="10"/>
    <cellStyle name="DATA  Dec 2dp" xfId="11"/>
    <cellStyle name="LABEL Time/Unit" xfId="12"/>
    <cellStyle name="DATA % 2dp" xfId="13"/>
    <cellStyle name="CALC % 2dp" xfId="14"/>
    <cellStyle name="LINK  Amount" xfId="15"/>
    <cellStyle name="LINK Date" xfId="16"/>
    <cellStyle name="LINK  Dec 2dp" xfId="17"/>
    <cellStyle name="LINK % 2dp" xfId="18"/>
    <cellStyle name="LINK General" xfId="19"/>
    <cellStyle name="WIP" xfId="20"/>
    <cellStyle name="Title" xfId="21" builtinId="15"/>
    <cellStyle name="Heading 1" xfId="22" builtinId="16"/>
    <cellStyle name="Heading 2" xfId="23" builtinId="17"/>
    <cellStyle name="Heading 3" xfId="24" builtinId="18"/>
    <cellStyle name="Heading 4" xfId="25" builtinId="19"/>
    <cellStyle name="Total" xfId="26" builtinId="25" hidden="1"/>
    <cellStyle name="Accent1" xfId="27" builtinId="29" hidden="1"/>
    <cellStyle name="20% - Accent1" xfId="28" builtinId="30" hidden="1"/>
    <cellStyle name="40% - Accent1" xfId="29" builtinId="31" hidden="1"/>
    <cellStyle name="60% - Accent1" xfId="30" builtinId="32" hidden="1"/>
    <cellStyle name="Accent2" xfId="31" builtinId="33" hidden="1"/>
    <cellStyle name="20% - Accent2" xfId="32" builtinId="34" hidden="1"/>
    <cellStyle name="40% - Accent2" xfId="33" builtinId="35" hidden="1"/>
    <cellStyle name="60% - Accent2" xfId="34" builtinId="36" hidden="1"/>
    <cellStyle name="Accent3" xfId="35" builtinId="37" hidden="1"/>
    <cellStyle name="20% - Accent3" xfId="36" builtinId="38" hidden="1"/>
    <cellStyle name="40% - Accent3" xfId="37" builtinId="39" hidden="1"/>
    <cellStyle name="60% - Accent3" xfId="38" builtinId="40" hidden="1"/>
    <cellStyle name="Accent4" xfId="39" builtinId="41" hidden="1"/>
    <cellStyle name="20% - Accent4" xfId="40" builtinId="42" hidden="1"/>
    <cellStyle name="40% - Accent4" xfId="41" builtinId="43" hidden="1"/>
    <cellStyle name="60% - Accent4" xfId="42" builtinId="44" hidden="1"/>
    <cellStyle name="Accent5" xfId="43" builtinId="45" hidden="1"/>
    <cellStyle name="20% - Accent5" xfId="44" builtinId="46" hidden="1"/>
    <cellStyle name="40% - Accent5" xfId="45" builtinId="47" hidden="1"/>
    <cellStyle name="60% - Accent5" xfId="46" builtinId="48" hidden="1"/>
    <cellStyle name="Accent6" xfId="47" builtinId="49" hidden="1"/>
    <cellStyle name="20% - Accent6" xfId="48" builtinId="50" hidden="1"/>
    <cellStyle name="40% - Accent6" xfId="49" builtinId="51" hidden="1"/>
    <cellStyle name="60% - Accent6" xfId="50" builtinId="52" hidden="1"/>
    <cellStyle name="Good" xfId="51" builtinId="26"/>
    <cellStyle name="Bad" xfId="52" builtinId="27"/>
    <cellStyle name="Neutral" xfId="53" builtinId="28"/>
    <cellStyle name="Input" xfId="54" builtinId="20"/>
    <cellStyle name="Output" xfId="55" builtinId="21" hidden="1"/>
    <cellStyle name="Calculation" xfId="56" builtinId="22"/>
    <cellStyle name="Linked Cell" xfId="57" builtinId="24"/>
    <cellStyle name="Check Cell" xfId="58" builtinId="23"/>
    <cellStyle name="Warning Text" xfId="59" builtinId="11"/>
    <cellStyle name="Note" xfId="60" builtinId="10"/>
    <cellStyle name="CALC  Dec 3dp" xfId="61"/>
    <cellStyle name="CALC % 0dp" xfId="62"/>
    <cellStyle name="CALC % 1dp" xfId="63"/>
    <cellStyle name="CALC  Dec 2dp" xfId="64"/>
    <cellStyle name="LINK  Dec 1dp" xfId="65"/>
    <cellStyle name="LINK  Dec 3dp" xfId="66"/>
    <cellStyle name="LINK % 0dp" xfId="67"/>
    <cellStyle name="DATA  Dec 1dp" xfId="68"/>
    <cellStyle name="DATA  Dec 3dp" xfId="69"/>
    <cellStyle name="DATA % 0dp" xfId="70"/>
    <cellStyle name="DATA % 1dp" xfId="71"/>
    <cellStyle name="LINK % 1dp" xfId="72"/>
    <cellStyle name="Unused" xfId="73"/>
    <cellStyle name="DATA List OnOff" xfId="74"/>
    <cellStyle name="DATA List YesNo" xfId="75"/>
    <cellStyle name="Hyperlink" xfId="76" builtinId="8"/>
    <cellStyle name="Percent" xfId="77" builtinId="5"/>
    <cellStyle name="Explanatory Text" xfId="78" builtinId="53"/>
    <cellStyle name="CHK Check" xfId="79"/>
    <cellStyle name="CHK Alert #" xfId="80"/>
    <cellStyle name="CHK Check #" xfId="81"/>
    <cellStyle name="Unused 2" xfId="82"/>
    <cellStyle name="CALC Amount" xfId="83"/>
    <cellStyle name="Normal 2" xfId="84"/>
    <cellStyle name="Heading 1 2" xfId="85"/>
  </cellStyles>
  <dxfs count="148">
    <dxf>
      <font>
        <color theme="0"/>
      </font>
      <fill>
        <patternFill>
          <bgColor rgb="FFFF7D00"/>
        </patternFill>
      </fill>
    </dxf>
    <dxf>
      <font>
        <color theme="0"/>
      </font>
      <fill>
        <patternFill>
          <bgColor rgb="FFFF0000"/>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strike val="0"/>
        <color theme="0"/>
      </font>
    </dxf>
    <dxf>
      <font>
        <color theme="0"/>
      </font>
      <fill>
        <patternFill>
          <bgColor rgb="FFFF0000"/>
        </patternFill>
      </fill>
    </dxf>
    <dxf>
      <font>
        <color theme="0"/>
      </font>
      <fill>
        <patternFill>
          <bgColor rgb="FFFF0000"/>
        </patternFill>
      </fill>
    </dxf>
    <dxf>
      <font>
        <color auto="1"/>
      </font>
      <fill>
        <patternFill>
          <bgColor rgb="FFFFC000"/>
        </patternFill>
      </fill>
    </dxf>
    <dxf>
      <fill>
        <patternFill>
          <bgColor theme="9" tint="0.5999633777886288"/>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strike val="0"/>
        <color theme="0"/>
      </font>
    </dxf>
    <dxf>
      <font>
        <color theme="0"/>
      </font>
      <fill>
        <patternFill>
          <bgColor rgb="FFFF0000"/>
        </patternFill>
      </fill>
    </dxf>
    <dxf>
      <font>
        <color theme="0"/>
      </font>
      <fill>
        <patternFill>
          <bgColor rgb="FFFF0000"/>
        </patternFill>
      </fill>
    </dxf>
    <dxf>
      <font>
        <color auto="1"/>
      </font>
      <fill>
        <patternFill>
          <bgColor rgb="FFFFC000"/>
        </patternFill>
      </fill>
    </dxf>
    <dxf>
      <fill>
        <patternFill>
          <bgColor theme="9" tint="0.5999633777886288"/>
        </patternFill>
      </fill>
    </dxf>
    <dxf>
      <font>
        <color auto="1"/>
      </font>
      <fill>
        <patternFill>
          <bgColor rgb="FFFFC000"/>
        </patternFill>
      </fill>
    </dxf>
    <dxf>
      <fill>
        <patternFill>
          <bgColor theme="9" tint="0.5999633777886288"/>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strike val="0"/>
        <color theme="0"/>
      </font>
    </dxf>
    <dxf>
      <font>
        <color theme="0"/>
      </font>
      <fill>
        <patternFill>
          <bgColor rgb="FFFF0000"/>
        </patternFill>
      </fill>
    </dxf>
    <dxf>
      <font>
        <color theme="0"/>
      </font>
      <fill>
        <patternFill>
          <bgColor rgb="FFFF0000"/>
        </patternFill>
      </fill>
    </dxf>
    <dxf>
      <font>
        <color auto="1"/>
      </font>
      <fill>
        <patternFill>
          <bgColor rgb="FFFFC000"/>
        </patternFill>
      </fill>
    </dxf>
    <dxf>
      <fill>
        <patternFill>
          <bgColor theme="9" tint="0.5999633777886288"/>
        </patternFill>
      </fill>
    </dxf>
    <dxf>
      <font>
        <color auto="1"/>
      </font>
      <fill>
        <patternFill>
          <bgColor rgb="FFFFC000"/>
        </patternFill>
      </fill>
    </dxf>
    <dxf>
      <fill>
        <patternFill>
          <bgColor theme="9" tint="0.5999633777886288"/>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strike val="0"/>
        <color theme="0"/>
      </font>
    </dxf>
    <dxf>
      <font>
        <color theme="0"/>
      </font>
      <fill>
        <patternFill>
          <bgColor rgb="FFFF0000"/>
        </patternFill>
      </fill>
    </dxf>
    <dxf>
      <font>
        <color theme="0"/>
      </font>
      <fill>
        <patternFill>
          <bgColor rgb="FFFF00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fill>
        <patternFill>
          <bgColor rgb="FFFFC000"/>
        </patternFill>
      </fill>
    </dxf>
    <dxf>
      <fill>
        <patternFill>
          <bgColor theme="9" tint="0.599963377788628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9" tint="0.5999633777886288"/>
        </patternFill>
      </fill>
    </dxf>
    <dxf>
      <font>
        <color auto="1"/>
      </font>
      <fill>
        <patternFill>
          <bgColor rgb="FFFFC000"/>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strike val="0"/>
        <color theme="0"/>
      </font>
    </dxf>
    <dxf>
      <font>
        <color theme="0"/>
      </font>
      <fill>
        <patternFill>
          <bgColor rgb="FFFF0000"/>
        </patternFill>
      </fill>
    </dxf>
    <dxf>
      <font>
        <color theme="0"/>
      </font>
      <fill>
        <patternFill>
          <bgColor rgb="FFFF00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fill>
        <patternFill>
          <bgColor rgb="FFFFC000"/>
        </patternFill>
      </fill>
    </dxf>
    <dxf>
      <fill>
        <patternFill>
          <bgColor theme="9" tint="0.5999633777886288"/>
        </patternFill>
      </fill>
    </dxf>
    <dxf>
      <font>
        <color auto="1"/>
      </font>
      <fill>
        <patternFill>
          <bgColor rgb="FFFFC000"/>
        </patternFill>
      </fill>
    </dxf>
    <dxf>
      <fill>
        <patternFill>
          <bgColor theme="9" tint="0.5999633777886288"/>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color theme="0"/>
      </font>
      <fill>
        <patternFill>
          <bgColor rgb="FFFF0000"/>
        </patternFill>
      </fill>
    </dxf>
    <dxf>
      <font>
        <strike val="0"/>
        <color theme="0"/>
      </font>
    </dxf>
    <dxf>
      <font>
        <color theme="0"/>
      </font>
      <fill>
        <patternFill>
          <bgColor rgb="FFFF0000"/>
        </patternFill>
      </fill>
    </dxf>
    <dxf>
      <font>
        <color theme="0"/>
      </font>
      <fill>
        <patternFill>
          <bgColor rgb="FFFF0000"/>
        </patternFill>
      </fill>
    </dxf>
    <dxf>
      <fill>
        <patternFill>
          <bgColor rgb="FFFFC000"/>
        </patternFill>
      </fill>
    </dxf>
    <dxf>
      <fill>
        <patternFill>
          <bgColor theme="4" tint="0.5999633777886288"/>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strike val="0"/>
        <color theme="0"/>
      </font>
    </dxf>
    <dxf>
      <font>
        <color theme="0"/>
      </font>
      <fill>
        <patternFill>
          <bgColor rgb="FFFF0000"/>
        </patternFill>
      </fill>
    </dxf>
    <dxf>
      <font>
        <color theme="0"/>
      </font>
      <fill>
        <patternFill>
          <bgColor rgb="FFFF0000"/>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strike val="0"/>
        <color theme="0"/>
      </font>
    </dxf>
    <dxf>
      <font>
        <color theme="0"/>
      </font>
      <fill>
        <patternFill>
          <bgColor rgb="FFFF0000"/>
        </patternFill>
      </fill>
    </dxf>
    <dxf>
      <font>
        <color theme="0"/>
      </font>
      <fill>
        <patternFill>
          <bgColor rgb="FFFF0000"/>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color theme="0"/>
      </font>
      <fill>
        <patternFill>
          <bgColor rgb="FFFF0000"/>
        </patternFill>
      </fill>
    </dxf>
    <dxf>
      <font>
        <color theme="0"/>
      </font>
      <fill>
        <patternFill>
          <bgColor rgb="FFFF7D00"/>
        </patternFill>
      </fill>
    </dxf>
    <dxf>
      <font>
        <strike val="0"/>
        <color theme="0"/>
      </font>
    </dxf>
    <dxf>
      <font>
        <color theme="0"/>
      </font>
      <fill>
        <patternFill>
          <bgColor rgb="FFFF0000"/>
        </patternFill>
      </fill>
    </dxf>
    <dxf>
      <font>
        <color theme="0"/>
      </font>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Income Statement</a:t>
            </a: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barChart>
        <barDir val="col"/>
        <grouping val="clustered"/>
        <varyColors val="0"/>
        <ser>
          <idx val="0"/>
          <order val="0"/>
          <tx>
            <strRef>
              <f>o_Dashboard!$H$14</f>
              <strCache>
                <ptCount val="1"/>
                <pt idx="0">
                  <v>Revenue</v>
                </pt>
              </strCache>
            </strRef>
          </tx>
          <spPr>
            <a:solidFill>
              <a:schemeClr val="accent1"/>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ct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o_Dashboard!$K$12:$O$13</f>
            </multiLvlStrRef>
          </cat>
          <val>
            <numRef>
              <f>o_Dashboard!$K$14:$O$14</f>
              <numCache>
                <formatCode>#,##0;[Red]\(#,##0\);"-"_)</formatCode>
                <ptCount val="5"/>
                <pt idx="0">
                  <v>6475000</v>
                </pt>
                <pt idx="1">
                  <v>13167000</v>
                </pt>
                <pt idx="2">
                  <v>15942150</v>
                </pt>
                <pt idx="3">
                  <v>16739257.5</v>
                </pt>
                <pt idx="4">
                  <v>17576220.375</v>
                </pt>
              </numCache>
            </numRef>
          </val>
        </ser>
        <ser>
          <idx val="1"/>
          <order val="1"/>
          <tx>
            <strRef>
              <f>o_Dashboard!$H$15</f>
              <strCache>
                <ptCount val="1"/>
                <pt idx="0">
                  <v>Net Profit</v>
                </pt>
              </strCache>
            </strRef>
          </tx>
          <spPr>
            <a:solidFill>
              <a:schemeClr val="accent2"/>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ct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o_Dashboard!$K$12:$O$13</f>
            </multiLvlStrRef>
          </cat>
          <val>
            <numRef>
              <f>o_Dashboard!$K$15:$O$15</f>
              <numCache>
                <formatCode>#,##0;[Red]\(#,##0\);"-"_)</formatCode>
                <ptCount val="5"/>
                <pt idx="0">
                  <v>115461.2356794112</v>
                </pt>
                <pt idx="1">
                  <v>756180.0491441647</v>
                </pt>
                <pt idx="2">
                  <v>1538553.286704739</v>
                </pt>
                <pt idx="3">
                  <v>1791598.80296058</v>
                </pt>
                <pt idx="4">
                  <v>2028950.589280499</v>
                </pt>
              </numCache>
            </numRef>
          </val>
        </ser>
        <dLbls>
          <showLegendKey val="0"/>
          <showVal val="0"/>
          <showCatName val="0"/>
          <showSerName val="0"/>
          <showPercent val="0"/>
          <showBubbleSize val="0"/>
        </dLbls>
        <gapWidth val="36"/>
        <axId val="671314152"/>
        <axId val="671316112"/>
      </barChart>
      <lineChart>
        <grouping val="standard"/>
        <varyColors val="0"/>
        <ser>
          <idx val="2"/>
          <order val="2"/>
          <tx>
            <strRef>
              <f>o_Dashboard!$H$16</f>
              <strCache>
                <ptCount val="1"/>
                <pt idx="0">
                  <v>Profit Margin</v>
                </pt>
              </strCache>
            </strRef>
          </tx>
          <spPr>
            <a:ln w="28575" cap="rnd">
              <a:solidFill>
                <a:srgbClr val="002060"/>
              </a:solidFill>
              <a:prstDash val="solid"/>
              <a:round/>
            </a:ln>
          </spPr>
          <marker>
            <symbol val="diamond"/>
            <size val="5"/>
            <spPr>
              <a:solidFill>
                <a:srgbClr val="002060"/>
              </a:solidFill>
              <a:ln w="9525">
                <a:solidFill>
                  <a:srgbClr val="002060"/>
                </a:solidFill>
                <a:prstDash val="solid"/>
              </a:ln>
            </spPr>
          </marker>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t"/>
            <showLegendKey val="0"/>
            <showVal val="1"/>
            <showCatName val="0"/>
            <showSerName val="0"/>
            <showPercent val="0"/>
            <showBubbleSize val="0"/>
            <showLeaderLines val="0"/>
          </dLbls>
          <cat>
            <numRef>
              <f>o_Dashboard!$K$12:$O$12</f>
              <numCache>
                <formatCode>General</formatCode>
                <ptCount val="5"/>
                <pt idx="0">
                  <v>2024</v>
                </pt>
                <pt idx="1">
                  <v>2025</v>
                </pt>
                <pt idx="2">
                  <v>2026</v>
                </pt>
                <pt idx="3">
                  <v>2027</v>
                </pt>
                <pt idx="4">
                  <v>2028</v>
                </pt>
              </numCache>
            </numRef>
          </cat>
          <val>
            <numRef>
              <f>o_Dashboard!$K$16:$O$16</f>
              <numCache>
                <formatCode>0.0%_);[Red]\-0.0%_);0.0%_)</formatCode>
                <ptCount val="5"/>
                <pt idx="0">
                  <v>0.01783185107017934</v>
                </pt>
                <pt idx="1">
                  <v>0.05742994221494378</v>
                </pt>
                <pt idx="2">
                  <v>0.09650851903317552</v>
                </pt>
                <pt idx="3">
                  <v>0.1070297653859844</v>
                </pt>
                <pt idx="4">
                  <v>0.1154372524918059</v>
                </pt>
              </numCache>
            </numRef>
          </val>
          <smooth val="0"/>
        </ser>
        <dLbls>
          <showLegendKey val="0"/>
          <showVal val="0"/>
          <showCatName val="0"/>
          <showSerName val="0"/>
          <showPercent val="0"/>
          <showBubbleSize val="0"/>
        </dLbls>
        <marker val="1"/>
        <smooth val="0"/>
        <axId val="671330224"/>
        <axId val="671329440"/>
      </lineChart>
      <catAx>
        <axId val="671314152"/>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6112"/>
        <crosses val="autoZero"/>
        <auto val="1"/>
        <lblAlgn val="ctr"/>
        <lblOffset val="100"/>
        <noMultiLvlLbl val="0"/>
      </catAx>
      <valAx>
        <axId val="671316112"/>
        <scaling>
          <orientation val="minMax"/>
        </scaling>
        <delete val="0"/>
        <axPos val="l"/>
        <majorGridlines>
          <spPr>
            <a:ln w="9525" cap="flat" cmpd="sng" algn="ctr">
              <a:noFill/>
              <a:prstDash val="solid"/>
              <a:round/>
            </a:ln>
          </spPr>
        </majorGridlines>
        <title>
          <tx>
            <rich>
              <a:bodyPr rot="-54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sz="800">
                    <a:latin typeface="Arial" panose="020B0604020202020204" pitchFamily="34" charset="0"/>
                    <a:cs typeface="Arial" panose="020B0604020202020204" pitchFamily="34" charset="0"/>
                  </a:rPr>
                  <a:t>Revenues</a:t>
                </a:r>
                <a:r>
                  <a:rPr lang="en-GB" sz="800" baseline="0">
                    <a:latin typeface="Arial" panose="020B0604020202020204" pitchFamily="34" charset="0"/>
                    <a:cs typeface="Arial" panose="020B0604020202020204" pitchFamily="34" charset="0"/>
                  </a:rPr>
                  <a:t xml:space="preserve"> and Net Profit</a:t>
                </a:r>
                <a:endParaRPr lang="en-GB" sz="800">
                  <a:latin typeface="Arial" panose="020B0604020202020204" pitchFamily="34" charset="0"/>
                  <a:cs typeface="Arial" panose="020B0604020202020204" pitchFamily="34" charset="0"/>
                </a:endParaRPr>
              </a:p>
            </rich>
          </tx>
          <overlay val="0"/>
          <spPr>
            <a:noFill/>
            <a:ln>
              <a:noFill/>
              <a:prstDash val="solid"/>
            </a:ln>
          </spPr>
          <txPr>
            <a:bodyPr rot="-54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GB"/>
            </a:p>
          </txPr>
        </title>
        <numFmt formatCode="#,##0;[Red]\(&quot;£&quot;#,##0\)" sourceLinked="0"/>
        <majorTickMark val="none"/>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4152"/>
        <crosses val="autoZero"/>
        <crossBetween val="between"/>
      </valAx>
      <catAx>
        <axId val="671330224"/>
        <scaling>
          <orientation val="minMax"/>
        </scaling>
        <delete val="1"/>
        <axPos val="b"/>
        <numFmt formatCode="General" sourceLinked="1"/>
        <majorTickMark val="out"/>
        <minorTickMark val="none"/>
        <tickLblPos val="nextTo"/>
        <crossAx val="671329440"/>
        <crosses val="autoZero"/>
        <auto val="1"/>
        <lblAlgn val="ctr"/>
        <lblOffset val="100"/>
        <noMultiLvlLbl val="0"/>
      </catAx>
      <valAx>
        <axId val="671329440"/>
        <scaling>
          <orientation val="minMax"/>
        </scaling>
        <delete val="0"/>
        <axPos val="r"/>
        <title>
          <tx>
            <rich>
              <a:bodyPr rot="-54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sz="800">
                    <a:latin typeface="Arial" panose="020B0604020202020204" pitchFamily="34" charset="0"/>
                    <a:cs typeface="Arial" panose="020B0604020202020204" pitchFamily="34" charset="0"/>
                  </a:rPr>
                  <a:t>Net</a:t>
                </a:r>
                <a:r>
                  <a:rPr lang="en-GB" sz="800" baseline="0">
                    <a:latin typeface="Arial" panose="020B0604020202020204" pitchFamily="34" charset="0"/>
                    <a:cs typeface="Arial" panose="020B0604020202020204" pitchFamily="34" charset="0"/>
                  </a:rPr>
                  <a:t xml:space="preserve"> Profit Margin</a:t>
                </a:r>
                <a:endParaRPr lang="en-GB" sz="800">
                  <a:latin typeface="Arial" panose="020B0604020202020204" pitchFamily="34" charset="0"/>
                  <a:cs typeface="Arial" panose="020B0604020202020204" pitchFamily="34" charset="0"/>
                </a:endParaRPr>
              </a:p>
            </rich>
          </tx>
          <overlay val="0"/>
          <spPr>
            <a:noFill/>
            <a:ln>
              <a:noFill/>
              <a:prstDash val="solid"/>
            </a:ln>
          </spPr>
          <txPr>
            <a:bodyPr rot="-54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GB"/>
            </a:p>
          </txPr>
        </title>
        <numFmt formatCode="0.0%_);[Red]\-0.0%_);0.0%_)" sourceLinked="1"/>
        <majorTickMark val="out"/>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30224"/>
        <crosses val="max"/>
        <crossBetween val="between"/>
      </valAx>
    </plotArea>
    <legend>
      <legendPos val="b"/>
      <overlay val="0"/>
      <spPr>
        <a:noFill/>
        <a:ln>
          <a:noFill/>
          <a:prstDash val="solid"/>
        </a:ln>
      </spPr>
      <txPr>
        <a:bodyPr rot="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legend>
    <plotVisOnly val="0"/>
    <dispBlanksAs val="gap"/>
  </chart>
  <spPr>
    <a:solidFill>
      <a:schemeClr val="bg1"/>
    </a:solidFill>
    <a:ln w="9525" cap="flat" cmpd="sng" algn="ctr">
      <a:solidFill>
        <a:schemeClr val="bg1">
          <a:lumMod val="7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Balance</a:t>
            </a:r>
            <a:r>
              <a:rPr lang="en-US" sz="1200" b="1" baseline="0">
                <a:latin typeface="Arial" panose="020B0604020202020204" pitchFamily="34" charset="0"/>
                <a:cs typeface="Arial" panose="020B0604020202020204" pitchFamily="34" charset="0"/>
              </a:rPr>
              <a:t xml:space="preserve"> Sheet</a:t>
            </a:r>
            <a:endParaRPr lang="en-US" sz="1200" b="1">
              <a:latin typeface="Arial" panose="020B0604020202020204" pitchFamily="34" charset="0"/>
              <a:cs typeface="Arial" panose="020B0604020202020204" pitchFamily="34" charset="0"/>
            </a:endParaRPr>
          </a:p>
        </rich>
      </tx>
      <layout>
        <manualLayout>
          <xMode val="edge"/>
          <yMode val="edge"/>
          <wMode val="factor"/>
          <hMode val="factor"/>
          <x val="0.4324089356233389"/>
          <y val="0.0205894249795119"/>
        </manualLayout>
      </layout>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barChart>
        <barDir val="col"/>
        <grouping val="clustered"/>
        <varyColors val="0"/>
        <ser>
          <idx val="0"/>
          <order val="0"/>
          <tx>
            <strRef>
              <f>o_Dashboard!$H$18</f>
              <strCache>
                <ptCount val="1"/>
                <pt idx="0">
                  <v>Total Assets</v>
                </pt>
              </strCache>
            </strRef>
          </tx>
          <spPr>
            <a:solidFill>
              <a:schemeClr val="accent2"/>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ct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o_Dashboard!$K$12:$O$13</f>
            </multiLvlStrRef>
          </cat>
          <val>
            <numRef>
              <f>o_Dashboard!$K$18:$O$18</f>
              <numCache>
                <formatCode>#,##0;[Red]\(#,##0\);"-"_)</formatCode>
                <ptCount val="5"/>
                <pt idx="0">
                  <v>1557503.93554247</v>
                </pt>
                <pt idx="1">
                  <v>2254245.233552182</v>
                </pt>
                <pt idx="2">
                  <v>3413522.99673344</v>
                </pt>
                <pt idx="3">
                  <v>4370318.495929697</v>
                </pt>
                <pt idx="4">
                  <v>5375046.201076271</v>
                </pt>
              </numCache>
            </numRef>
          </val>
        </ser>
        <ser>
          <idx val="1"/>
          <order val="1"/>
          <tx>
            <strRef>
              <f>o_Dashboard!$H$19</f>
              <strCache>
                <ptCount val="1"/>
                <pt idx="0">
                  <v>Total Liabilities</v>
                </pt>
              </strCache>
            </strRef>
          </tx>
          <spPr>
            <a:solidFill>
              <a:schemeClr val="accent4"/>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ct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o_Dashboard!$K$12:$O$13</f>
            </multiLvlStrRef>
          </cat>
          <val>
            <numRef>
              <f>o_Dashboard!$K$19:$O$19</f>
              <numCache>
                <formatCode>#,##0;[Red]\(#,##0\);"-"_)</formatCode>
                <ptCount val="5"/>
                <pt idx="0">
                  <v>443533.008782911</v>
                </pt>
                <pt idx="1">
                  <v>601632.0016243893</v>
                </pt>
                <pt idx="2">
                  <v>770148.1077590402</v>
                </pt>
                <pt idx="3">
                  <v>794088.2269784609</v>
                </pt>
                <pt idx="4">
                  <v>921160.5574024685</v>
                </pt>
              </numCache>
            </numRef>
          </val>
        </ser>
        <dLbls>
          <showLegendKey val="0"/>
          <showVal val="0"/>
          <showCatName val="0"/>
          <showSerName val="0"/>
          <showPercent val="0"/>
          <showBubbleSize val="0"/>
        </dLbls>
        <gapWidth val="36"/>
        <axId val="671320032"/>
        <axId val="671318856"/>
      </barChart>
      <lineChart>
        <grouping val="standard"/>
        <varyColors val="0"/>
        <ser>
          <idx val="2"/>
          <order val="2"/>
          <tx>
            <strRef>
              <f>o_Dashboard!$H$20</f>
              <strCache>
                <ptCount val="1"/>
                <pt idx="0">
                  <v>Borrowings to Assets</v>
                </pt>
              </strCache>
            </strRef>
          </tx>
          <spPr>
            <a:ln w="28575" cap="rnd">
              <a:solidFill>
                <a:srgbClr val="002060"/>
              </a:solidFill>
              <a:prstDash val="solid"/>
              <a:round/>
            </a:ln>
          </spPr>
          <marker>
            <symbol val="diamond"/>
            <size val="5"/>
            <spPr>
              <a:solidFill>
                <a:schemeClr val="accent4">
                  <a:lumMod val="60000"/>
                </a:schemeClr>
              </a:solidFill>
              <a:ln w="9525">
                <a:solidFill>
                  <a:schemeClr val="accent4">
                    <a:lumMod val="60000"/>
                  </a:schemeClr>
                </a:solidFill>
                <a:prstDash val="solid"/>
              </a:ln>
            </spPr>
          </marker>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t"/>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o_Dashboard!$K$12:$O$13</f>
            </multiLvlStrRef>
          </cat>
          <val>
            <numRef>
              <f>o_Dashboard!$K$20:$O$20</f>
              <numCache>
                <formatCode>0.0%_);[Red]\-0.0%_);0.0%_)</formatCode>
                <ptCount val="5"/>
                <pt idx="0">
                  <v>0.01821487988058995</v>
                </pt>
                <pt idx="1">
                  <v>0.01132077830556675</v>
                </pt>
                <pt idx="2">
                  <v>0.006620323220005364</v>
                </pt>
                <pt idx="3">
                  <v>0.004485808293600111</v>
                </pt>
                <pt idx="4">
                  <v>0.00307631606659653</v>
                </pt>
              </numCache>
            </numRef>
          </val>
          <smooth val="0"/>
        </ser>
        <dLbls>
          <showLegendKey val="0"/>
          <showVal val="0"/>
          <showCatName val="0"/>
          <showSerName val="0"/>
          <showPercent val="0"/>
          <showBubbleSize val="0"/>
        </dLbls>
        <marker val="1"/>
        <smooth val="0"/>
        <axId val="671324736"/>
        <axId val="671325520"/>
      </lineChart>
      <catAx>
        <axId val="671320032"/>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8856"/>
        <crosses val="autoZero"/>
        <auto val="1"/>
        <lblAlgn val="ctr"/>
        <lblOffset val="100"/>
        <noMultiLvlLbl val="0"/>
      </catAx>
      <valAx>
        <axId val="671318856"/>
        <scaling>
          <orientation val="minMax"/>
        </scaling>
        <delete val="0"/>
        <axPos val="l"/>
        <majorGridlines>
          <spPr>
            <a:ln w="9525" cap="flat" cmpd="sng" algn="ctr">
              <a:noFill/>
              <a:prstDash val="solid"/>
              <a:round/>
            </a:ln>
          </spPr>
        </majorGridlines>
        <title>
          <tx>
            <rich>
              <a:bodyPr rot="-54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sz="800" baseline="0">
                    <a:latin typeface="Arial" panose="020B0604020202020204" pitchFamily="34" charset="0"/>
                    <a:cs typeface="Arial" panose="020B0604020202020204" pitchFamily="34" charset="0"/>
                  </a:rPr>
                  <a:t>Assets and Liabilities</a:t>
                </a:r>
                <a:endParaRPr lang="en-GB" sz="800">
                  <a:latin typeface="Arial" panose="020B0604020202020204" pitchFamily="34" charset="0"/>
                  <a:cs typeface="Arial" panose="020B0604020202020204" pitchFamily="34" charset="0"/>
                </a:endParaRPr>
              </a:p>
            </rich>
          </tx>
          <overlay val="0"/>
          <spPr>
            <a:noFill/>
            <a:ln>
              <a:noFill/>
              <a:prstDash val="solid"/>
            </a:ln>
          </spPr>
          <txPr>
            <a:bodyPr rot="-54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GB"/>
            </a:p>
          </txPr>
        </title>
        <numFmt formatCode="#,##0;[Red]\(&quot;£&quot;#,##0\)" sourceLinked="0"/>
        <majorTickMark val="none"/>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20032"/>
        <crosses val="autoZero"/>
        <crossBetween val="between"/>
      </valAx>
      <catAx>
        <axId val="671324736"/>
        <scaling>
          <orientation val="minMax"/>
        </scaling>
        <delete val="1"/>
        <axPos val="b"/>
        <numFmt formatCode="General" sourceLinked="1"/>
        <majorTickMark val="out"/>
        <minorTickMark val="none"/>
        <tickLblPos val="nextTo"/>
        <crossAx val="671325520"/>
        <crosses val="autoZero"/>
        <auto val="1"/>
        <lblAlgn val="ctr"/>
        <lblOffset val="100"/>
        <noMultiLvlLbl val="0"/>
      </catAx>
      <valAx>
        <axId val="671325520"/>
        <scaling>
          <orientation val="minMax"/>
        </scaling>
        <delete val="0"/>
        <axPos val="r"/>
        <title>
          <tx>
            <rich>
              <a:bodyPr rot="-54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sz="800">
                    <a:latin typeface="Arial" panose="020B0604020202020204" pitchFamily="34" charset="0"/>
                    <a:cs typeface="Arial" panose="020B0604020202020204" pitchFamily="34" charset="0"/>
                  </a:rPr>
                  <a:t>Borrowings</a:t>
                </a:r>
                <a:r>
                  <a:rPr lang="en-GB" sz="800" baseline="0">
                    <a:latin typeface="Arial" panose="020B0604020202020204" pitchFamily="34" charset="0"/>
                    <a:cs typeface="Arial" panose="020B0604020202020204" pitchFamily="34" charset="0"/>
                  </a:rPr>
                  <a:t xml:space="preserve"> to Assets</a:t>
                </a:r>
                <a:endParaRPr lang="en-GB" sz="800">
                  <a:latin typeface="Arial" panose="020B0604020202020204" pitchFamily="34" charset="0"/>
                  <a:cs typeface="Arial" panose="020B0604020202020204" pitchFamily="34" charset="0"/>
                </a:endParaRPr>
              </a:p>
            </rich>
          </tx>
          <overlay val="0"/>
          <spPr>
            <a:noFill/>
            <a:ln>
              <a:noFill/>
              <a:prstDash val="solid"/>
            </a:ln>
          </spPr>
          <txPr>
            <a:bodyPr rot="-54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GB"/>
            </a:p>
          </txPr>
        </title>
        <numFmt formatCode="0.0%_);[Red]\-0.0%_);0.0%_)" sourceLinked="1"/>
        <majorTickMark val="out"/>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24736"/>
        <crosses val="max"/>
        <crossBetween val="between"/>
      </valAx>
    </plotArea>
    <legend>
      <legendPos val="b"/>
      <overlay val="0"/>
      <spPr>
        <a:noFill/>
        <a:ln>
          <a:noFill/>
          <a:prstDash val="solid"/>
        </a:ln>
      </spPr>
      <txPr>
        <a:bodyPr rot="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legend>
    <plotVisOnly val="0"/>
    <dispBlanksAs val="gap"/>
  </chart>
  <spPr>
    <a:solidFill>
      <a:schemeClr val="bg1"/>
    </a:solidFill>
    <a:ln w="9525" cap="flat" cmpd="sng" algn="ctr">
      <a:solidFill>
        <a:schemeClr val="bg1">
          <a:lumMod val="75000"/>
        </a:schemeClr>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baseline="0">
                <a:latin typeface="Arial" panose="020B0604020202020204" pitchFamily="34" charset="0"/>
                <a:cs typeface="Arial" panose="020B0604020202020204" pitchFamily="34" charset="0"/>
              </a:rPr>
              <a:t>Number of Ships Under Management</a:t>
            </a:r>
            <a:endParaRPr lang="en-US" sz="1200" b="1">
              <a:latin typeface="Arial" panose="020B0604020202020204" pitchFamily="34" charset="0"/>
              <a:cs typeface="Arial" panose="020B0604020202020204" pitchFamily="34" charset="0"/>
            </a:endParaRPr>
          </a:p>
        </rich>
      </tx>
      <layout>
        <manualLayout>
          <xMode val="edge"/>
          <yMode val="edge"/>
          <wMode val="factor"/>
          <hMode val="factor"/>
          <x val="0.4276697684083014"/>
          <y val="0.01715079010674004"/>
        </manualLayout>
      </layout>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manualLayout>
          <layoutTarget val="inner"/>
          <xMode val="edge"/>
          <yMode val="edge"/>
          <wMode val="factor"/>
          <hMode val="factor"/>
          <x val="0.0543730383216661"/>
          <y val="0.06719656062996267"/>
          <w val="0.9205283126017015"/>
          <h val="0.7719603638188253"/>
        </manualLayout>
      </layout>
      <barChart>
        <barDir val="col"/>
        <grouping val="stacked"/>
        <varyColors val="0"/>
        <ser>
          <idx val="0"/>
          <order val="0"/>
          <tx>
            <strRef>
              <f>c_Calculations!$H$15</f>
              <strCache>
                <ptCount val="1"/>
                <pt idx="0">
                  <v>ST1 - Container Ships</v>
                </pt>
              </strCache>
            </strRef>
          </tx>
          <spPr>
            <a:solidFill>
              <a:schemeClr val="accent3"/>
            </a:solidFill>
            <a:ln>
              <a:noFill/>
              <a:prstDash val="solid"/>
            </a:ln>
          </spPr>
          <invertIfNegative val="0"/>
          <cat>
            <numRef>
              <f>c_Calculations!$T$2:$CA$2</f>
              <numCache>
                <formatCode>d\-mmm\-yy</formatCode>
                <ptCount val="60"/>
                <pt idx="0">
                  <v>45322</v>
                </pt>
                <pt idx="1">
                  <v>45351</v>
                </pt>
                <pt idx="2">
                  <v>45382</v>
                </pt>
                <pt idx="3">
                  <v>45412</v>
                </pt>
                <pt idx="4">
                  <v>45443</v>
                </pt>
                <pt idx="5">
                  <v>45473</v>
                </pt>
                <pt idx="6">
                  <v>45504</v>
                </pt>
                <pt idx="7">
                  <v>45535</v>
                </pt>
                <pt idx="8">
                  <v>45565</v>
                </pt>
                <pt idx="9">
                  <v>45596</v>
                </pt>
                <pt idx="10">
                  <v>45626</v>
                </pt>
                <pt idx="11">
                  <v>45657</v>
                </pt>
                <pt idx="12">
                  <v>45688</v>
                </pt>
                <pt idx="13">
                  <v>45716</v>
                </pt>
                <pt idx="14">
                  <v>45747</v>
                </pt>
                <pt idx="15">
                  <v>45777</v>
                </pt>
                <pt idx="16">
                  <v>45808</v>
                </pt>
                <pt idx="17">
                  <v>45838</v>
                </pt>
                <pt idx="18">
                  <v>45869</v>
                </pt>
                <pt idx="19">
                  <v>45900</v>
                </pt>
                <pt idx="20">
                  <v>45930</v>
                </pt>
                <pt idx="21">
                  <v>45961</v>
                </pt>
                <pt idx="22">
                  <v>45991</v>
                </pt>
                <pt idx="23">
                  <v>46022</v>
                </pt>
                <pt idx="24">
                  <v>46053</v>
                </pt>
                <pt idx="25">
                  <v>46081</v>
                </pt>
                <pt idx="26">
                  <v>46112</v>
                </pt>
                <pt idx="27">
                  <v>46142</v>
                </pt>
                <pt idx="28">
                  <v>46173</v>
                </pt>
                <pt idx="29">
                  <v>46203</v>
                </pt>
                <pt idx="30">
                  <v>46234</v>
                </pt>
                <pt idx="31">
                  <v>46265</v>
                </pt>
                <pt idx="32">
                  <v>46295</v>
                </pt>
                <pt idx="33">
                  <v>46326</v>
                </pt>
                <pt idx="34">
                  <v>46356</v>
                </pt>
                <pt idx="35">
                  <v>46387</v>
                </pt>
                <pt idx="36">
                  <v>46418</v>
                </pt>
                <pt idx="37">
                  <v>46446</v>
                </pt>
                <pt idx="38">
                  <v>46477</v>
                </pt>
                <pt idx="39">
                  <v>46507</v>
                </pt>
                <pt idx="40">
                  <v>46538</v>
                </pt>
                <pt idx="41">
                  <v>46568</v>
                </pt>
                <pt idx="42">
                  <v>46599</v>
                </pt>
                <pt idx="43">
                  <v>46630</v>
                </pt>
                <pt idx="44">
                  <v>46660</v>
                </pt>
                <pt idx="45">
                  <v>46691</v>
                </pt>
                <pt idx="46">
                  <v>46721</v>
                </pt>
                <pt idx="47">
                  <v>46752</v>
                </pt>
                <pt idx="48">
                  <v>46783</v>
                </pt>
                <pt idx="49">
                  <v>46812</v>
                </pt>
                <pt idx="50">
                  <v>46843</v>
                </pt>
                <pt idx="51">
                  <v>46873</v>
                </pt>
                <pt idx="52">
                  <v>46904</v>
                </pt>
                <pt idx="53">
                  <v>46934</v>
                </pt>
                <pt idx="54">
                  <v>46965</v>
                </pt>
                <pt idx="55">
                  <v>46996</v>
                </pt>
                <pt idx="56">
                  <v>47026</v>
                </pt>
                <pt idx="57">
                  <v>47057</v>
                </pt>
                <pt idx="58">
                  <v>47087</v>
                </pt>
                <pt idx="59">
                  <v>47118</v>
                </pt>
              </numCache>
            </numRef>
          </cat>
          <val>
            <numRef>
              <f>c_Calculations!$T$15:$CA$15</f>
              <numCache>
                <formatCode>#,##0_);[Red]\(#,##0\);"-"_)</formatCode>
                <ptCount val="60"/>
                <pt idx="0">
                  <v>0</v>
                </pt>
                <pt idx="1">
                  <v>0</v>
                </pt>
                <pt idx="2">
                  <v>0</v>
                </pt>
                <pt idx="3">
                  <v>0</v>
                </pt>
                <pt idx="4">
                  <v>0</v>
                </pt>
                <pt idx="5">
                  <v>6</v>
                </pt>
                <pt idx="6">
                  <v>6</v>
                </pt>
                <pt idx="7">
                  <v>6</v>
                </pt>
                <pt idx="8">
                  <v>6</v>
                </pt>
                <pt idx="9">
                  <v>6</v>
                </pt>
                <pt idx="10">
                  <v>6</v>
                </pt>
                <pt idx="11">
                  <v>6</v>
                </pt>
                <pt idx="12">
                  <v>7</v>
                </pt>
                <pt idx="13">
                  <v>7</v>
                </pt>
                <pt idx="14">
                  <v>7</v>
                </pt>
                <pt idx="15">
                  <v>7</v>
                </pt>
                <pt idx="16">
                  <v>7</v>
                </pt>
                <pt idx="17">
                  <v>7</v>
                </pt>
                <pt idx="18">
                  <v>7</v>
                </pt>
                <pt idx="19">
                  <v>7</v>
                </pt>
                <pt idx="20">
                  <v>7</v>
                </pt>
                <pt idx="21">
                  <v>7</v>
                </pt>
                <pt idx="22">
                  <v>7</v>
                </pt>
                <pt idx="23">
                  <v>7</v>
                </pt>
                <pt idx="24">
                  <v>8</v>
                </pt>
                <pt idx="25">
                  <v>8</v>
                </pt>
                <pt idx="26">
                  <v>8</v>
                </pt>
                <pt idx="27">
                  <v>8</v>
                </pt>
                <pt idx="28">
                  <v>8</v>
                </pt>
                <pt idx="29">
                  <v>8</v>
                </pt>
                <pt idx="30">
                  <v>8</v>
                </pt>
                <pt idx="31">
                  <v>8</v>
                </pt>
                <pt idx="32">
                  <v>8</v>
                </pt>
                <pt idx="33">
                  <v>8</v>
                </pt>
                <pt idx="34">
                  <v>8</v>
                </pt>
                <pt idx="35">
                  <v>8</v>
                </pt>
                <pt idx="36">
                  <v>8</v>
                </pt>
                <pt idx="37">
                  <v>8</v>
                </pt>
                <pt idx="38">
                  <v>8</v>
                </pt>
                <pt idx="39">
                  <v>8</v>
                </pt>
                <pt idx="40">
                  <v>8</v>
                </pt>
                <pt idx="41">
                  <v>8</v>
                </pt>
                <pt idx="42">
                  <v>8</v>
                </pt>
                <pt idx="43">
                  <v>8</v>
                </pt>
                <pt idx="44">
                  <v>8</v>
                </pt>
                <pt idx="45">
                  <v>8</v>
                </pt>
                <pt idx="46">
                  <v>8</v>
                </pt>
                <pt idx="47">
                  <v>8</v>
                </pt>
                <pt idx="48">
                  <v>8</v>
                </pt>
                <pt idx="49">
                  <v>8</v>
                </pt>
                <pt idx="50">
                  <v>8</v>
                </pt>
                <pt idx="51">
                  <v>8</v>
                </pt>
                <pt idx="52">
                  <v>8</v>
                </pt>
                <pt idx="53">
                  <v>8</v>
                </pt>
                <pt idx="54">
                  <v>8</v>
                </pt>
                <pt idx="55">
                  <v>8</v>
                </pt>
                <pt idx="56">
                  <v>8</v>
                </pt>
                <pt idx="57">
                  <v>8</v>
                </pt>
                <pt idx="58">
                  <v>8</v>
                </pt>
                <pt idx="59">
                  <v>8</v>
                </pt>
              </numCache>
            </numRef>
          </val>
        </ser>
        <ser>
          <idx val="1"/>
          <order val="1"/>
          <tx>
            <strRef>
              <f>c_Calculations!$H$16</f>
              <strCache>
                <ptCount val="1"/>
                <pt idx="0">
                  <v>ST2 - Bulk Carriers</v>
                </pt>
              </strCache>
            </strRef>
          </tx>
          <spPr>
            <a:solidFill>
              <a:schemeClr val="accent5"/>
            </a:solidFill>
            <a:ln>
              <a:noFill/>
              <a:prstDash val="solid"/>
            </a:ln>
          </spPr>
          <invertIfNegative val="0"/>
          <cat>
            <numRef>
              <f>c_Calculations!$T$2:$CA$2</f>
              <numCache>
                <formatCode>d\-mmm\-yy</formatCode>
                <ptCount val="60"/>
                <pt idx="0">
                  <v>45322</v>
                </pt>
                <pt idx="1">
                  <v>45351</v>
                </pt>
                <pt idx="2">
                  <v>45382</v>
                </pt>
                <pt idx="3">
                  <v>45412</v>
                </pt>
                <pt idx="4">
                  <v>45443</v>
                </pt>
                <pt idx="5">
                  <v>45473</v>
                </pt>
                <pt idx="6">
                  <v>45504</v>
                </pt>
                <pt idx="7">
                  <v>45535</v>
                </pt>
                <pt idx="8">
                  <v>45565</v>
                </pt>
                <pt idx="9">
                  <v>45596</v>
                </pt>
                <pt idx="10">
                  <v>45626</v>
                </pt>
                <pt idx="11">
                  <v>45657</v>
                </pt>
                <pt idx="12">
                  <v>45688</v>
                </pt>
                <pt idx="13">
                  <v>45716</v>
                </pt>
                <pt idx="14">
                  <v>45747</v>
                </pt>
                <pt idx="15">
                  <v>45777</v>
                </pt>
                <pt idx="16">
                  <v>45808</v>
                </pt>
                <pt idx="17">
                  <v>45838</v>
                </pt>
                <pt idx="18">
                  <v>45869</v>
                </pt>
                <pt idx="19">
                  <v>45900</v>
                </pt>
                <pt idx="20">
                  <v>45930</v>
                </pt>
                <pt idx="21">
                  <v>45961</v>
                </pt>
                <pt idx="22">
                  <v>45991</v>
                </pt>
                <pt idx="23">
                  <v>46022</v>
                </pt>
                <pt idx="24">
                  <v>46053</v>
                </pt>
                <pt idx="25">
                  <v>46081</v>
                </pt>
                <pt idx="26">
                  <v>46112</v>
                </pt>
                <pt idx="27">
                  <v>46142</v>
                </pt>
                <pt idx="28">
                  <v>46173</v>
                </pt>
                <pt idx="29">
                  <v>46203</v>
                </pt>
                <pt idx="30">
                  <v>46234</v>
                </pt>
                <pt idx="31">
                  <v>46265</v>
                </pt>
                <pt idx="32">
                  <v>46295</v>
                </pt>
                <pt idx="33">
                  <v>46326</v>
                </pt>
                <pt idx="34">
                  <v>46356</v>
                </pt>
                <pt idx="35">
                  <v>46387</v>
                </pt>
                <pt idx="36">
                  <v>46418</v>
                </pt>
                <pt idx="37">
                  <v>46446</v>
                </pt>
                <pt idx="38">
                  <v>46477</v>
                </pt>
                <pt idx="39">
                  <v>46507</v>
                </pt>
                <pt idx="40">
                  <v>46538</v>
                </pt>
                <pt idx="41">
                  <v>46568</v>
                </pt>
                <pt idx="42">
                  <v>46599</v>
                </pt>
                <pt idx="43">
                  <v>46630</v>
                </pt>
                <pt idx="44">
                  <v>46660</v>
                </pt>
                <pt idx="45">
                  <v>46691</v>
                </pt>
                <pt idx="46">
                  <v>46721</v>
                </pt>
                <pt idx="47">
                  <v>46752</v>
                </pt>
                <pt idx="48">
                  <v>46783</v>
                </pt>
                <pt idx="49">
                  <v>46812</v>
                </pt>
                <pt idx="50">
                  <v>46843</v>
                </pt>
                <pt idx="51">
                  <v>46873</v>
                </pt>
                <pt idx="52">
                  <v>46904</v>
                </pt>
                <pt idx="53">
                  <v>46934</v>
                </pt>
                <pt idx="54">
                  <v>46965</v>
                </pt>
                <pt idx="55">
                  <v>46996</v>
                </pt>
                <pt idx="56">
                  <v>47026</v>
                </pt>
                <pt idx="57">
                  <v>47057</v>
                </pt>
                <pt idx="58">
                  <v>47087</v>
                </pt>
                <pt idx="59">
                  <v>47118</v>
                </pt>
              </numCache>
            </numRef>
          </cat>
          <val>
            <numRef>
              <f>c_Calculations!$T$16:$CA$16</f>
              <numCache>
                <formatCode>#,##0_);[Red]\(#,##0\);"-"_)</formatCode>
                <ptCount val="60"/>
                <pt idx="0">
                  <v>0</v>
                </pt>
                <pt idx="1">
                  <v>0</v>
                </pt>
                <pt idx="2">
                  <v>0</v>
                </pt>
                <pt idx="3">
                  <v>0</v>
                </pt>
                <pt idx="4">
                  <v>0</v>
                </pt>
                <pt idx="5">
                  <v>5</v>
                </pt>
                <pt idx="6">
                  <v>5</v>
                </pt>
                <pt idx="7">
                  <v>5</v>
                </pt>
                <pt idx="8">
                  <v>5</v>
                </pt>
                <pt idx="9">
                  <v>5</v>
                </pt>
                <pt idx="10">
                  <v>5</v>
                </pt>
                <pt idx="11">
                  <v>5</v>
                </pt>
                <pt idx="12">
                  <v>5</v>
                </pt>
                <pt idx="13">
                  <v>5</v>
                </pt>
                <pt idx="14">
                  <v>5</v>
                </pt>
                <pt idx="15">
                  <v>5</v>
                </pt>
                <pt idx="16">
                  <v>5</v>
                </pt>
                <pt idx="17">
                  <v>5</v>
                </pt>
                <pt idx="18">
                  <v>5</v>
                </pt>
                <pt idx="19">
                  <v>5</v>
                </pt>
                <pt idx="20">
                  <v>5</v>
                </pt>
                <pt idx="21">
                  <v>5</v>
                </pt>
                <pt idx="22">
                  <v>5</v>
                </pt>
                <pt idx="23">
                  <v>5</v>
                </pt>
                <pt idx="24">
                  <v>6</v>
                </pt>
                <pt idx="25">
                  <v>6</v>
                </pt>
                <pt idx="26">
                  <v>6</v>
                </pt>
                <pt idx="27">
                  <v>6</v>
                </pt>
                <pt idx="28">
                  <v>6</v>
                </pt>
                <pt idx="29">
                  <v>6</v>
                </pt>
                <pt idx="30">
                  <v>6</v>
                </pt>
                <pt idx="31">
                  <v>6</v>
                </pt>
                <pt idx="32">
                  <v>6</v>
                </pt>
                <pt idx="33">
                  <v>6</v>
                </pt>
                <pt idx="34">
                  <v>6</v>
                </pt>
                <pt idx="35">
                  <v>6</v>
                </pt>
                <pt idx="36">
                  <v>6</v>
                </pt>
                <pt idx="37">
                  <v>6</v>
                </pt>
                <pt idx="38">
                  <v>6</v>
                </pt>
                <pt idx="39">
                  <v>6</v>
                </pt>
                <pt idx="40">
                  <v>6</v>
                </pt>
                <pt idx="41">
                  <v>6</v>
                </pt>
                <pt idx="42">
                  <v>6</v>
                </pt>
                <pt idx="43">
                  <v>6</v>
                </pt>
                <pt idx="44">
                  <v>6</v>
                </pt>
                <pt idx="45">
                  <v>6</v>
                </pt>
                <pt idx="46">
                  <v>6</v>
                </pt>
                <pt idx="47">
                  <v>6</v>
                </pt>
                <pt idx="48">
                  <v>6</v>
                </pt>
                <pt idx="49">
                  <v>6</v>
                </pt>
                <pt idx="50">
                  <v>6</v>
                </pt>
                <pt idx="51">
                  <v>6</v>
                </pt>
                <pt idx="52">
                  <v>6</v>
                </pt>
                <pt idx="53">
                  <v>6</v>
                </pt>
                <pt idx="54">
                  <v>6</v>
                </pt>
                <pt idx="55">
                  <v>6</v>
                </pt>
                <pt idx="56">
                  <v>6</v>
                </pt>
                <pt idx="57">
                  <v>6</v>
                </pt>
                <pt idx="58">
                  <v>6</v>
                </pt>
                <pt idx="59">
                  <v>6</v>
                </pt>
              </numCache>
            </numRef>
          </val>
        </ser>
        <ser>
          <idx val="2"/>
          <order val="2"/>
          <tx>
            <strRef>
              <f>c_Calculations!$H$17</f>
              <strCache>
                <ptCount val="1"/>
                <pt idx="0">
                  <v>ST3 - Tankers</v>
                </pt>
              </strCache>
            </strRef>
          </tx>
          <spPr>
            <a:solidFill>
              <a:schemeClr val="accent6"/>
            </a:solidFill>
            <a:ln>
              <a:noFill/>
              <a:prstDash val="solid"/>
            </a:ln>
          </spPr>
          <invertIfNegative val="0"/>
          <cat>
            <numRef>
              <f>c_Calculations!$T$2:$CA$2</f>
              <numCache>
                <formatCode>d\-mmm\-yy</formatCode>
                <ptCount val="60"/>
                <pt idx="0">
                  <v>45322</v>
                </pt>
                <pt idx="1">
                  <v>45351</v>
                </pt>
                <pt idx="2">
                  <v>45382</v>
                </pt>
                <pt idx="3">
                  <v>45412</v>
                </pt>
                <pt idx="4">
                  <v>45443</v>
                </pt>
                <pt idx="5">
                  <v>45473</v>
                </pt>
                <pt idx="6">
                  <v>45504</v>
                </pt>
                <pt idx="7">
                  <v>45535</v>
                </pt>
                <pt idx="8">
                  <v>45565</v>
                </pt>
                <pt idx="9">
                  <v>45596</v>
                </pt>
                <pt idx="10">
                  <v>45626</v>
                </pt>
                <pt idx="11">
                  <v>45657</v>
                </pt>
                <pt idx="12">
                  <v>45688</v>
                </pt>
                <pt idx="13">
                  <v>45716</v>
                </pt>
                <pt idx="14">
                  <v>45747</v>
                </pt>
                <pt idx="15">
                  <v>45777</v>
                </pt>
                <pt idx="16">
                  <v>45808</v>
                </pt>
                <pt idx="17">
                  <v>45838</v>
                </pt>
                <pt idx="18">
                  <v>45869</v>
                </pt>
                <pt idx="19">
                  <v>45900</v>
                </pt>
                <pt idx="20">
                  <v>45930</v>
                </pt>
                <pt idx="21">
                  <v>45961</v>
                </pt>
                <pt idx="22">
                  <v>45991</v>
                </pt>
                <pt idx="23">
                  <v>46022</v>
                </pt>
                <pt idx="24">
                  <v>46053</v>
                </pt>
                <pt idx="25">
                  <v>46081</v>
                </pt>
                <pt idx="26">
                  <v>46112</v>
                </pt>
                <pt idx="27">
                  <v>46142</v>
                </pt>
                <pt idx="28">
                  <v>46173</v>
                </pt>
                <pt idx="29">
                  <v>46203</v>
                </pt>
                <pt idx="30">
                  <v>46234</v>
                </pt>
                <pt idx="31">
                  <v>46265</v>
                </pt>
                <pt idx="32">
                  <v>46295</v>
                </pt>
                <pt idx="33">
                  <v>46326</v>
                </pt>
                <pt idx="34">
                  <v>46356</v>
                </pt>
                <pt idx="35">
                  <v>46387</v>
                </pt>
                <pt idx="36">
                  <v>46418</v>
                </pt>
                <pt idx="37">
                  <v>46446</v>
                </pt>
                <pt idx="38">
                  <v>46477</v>
                </pt>
                <pt idx="39">
                  <v>46507</v>
                </pt>
                <pt idx="40">
                  <v>46538</v>
                </pt>
                <pt idx="41">
                  <v>46568</v>
                </pt>
                <pt idx="42">
                  <v>46599</v>
                </pt>
                <pt idx="43">
                  <v>46630</v>
                </pt>
                <pt idx="44">
                  <v>46660</v>
                </pt>
                <pt idx="45">
                  <v>46691</v>
                </pt>
                <pt idx="46">
                  <v>46721</v>
                </pt>
                <pt idx="47">
                  <v>46752</v>
                </pt>
                <pt idx="48">
                  <v>46783</v>
                </pt>
                <pt idx="49">
                  <v>46812</v>
                </pt>
                <pt idx="50">
                  <v>46843</v>
                </pt>
                <pt idx="51">
                  <v>46873</v>
                </pt>
                <pt idx="52">
                  <v>46904</v>
                </pt>
                <pt idx="53">
                  <v>46934</v>
                </pt>
                <pt idx="54">
                  <v>46965</v>
                </pt>
                <pt idx="55">
                  <v>46996</v>
                </pt>
                <pt idx="56">
                  <v>47026</v>
                </pt>
                <pt idx="57">
                  <v>47057</v>
                </pt>
                <pt idx="58">
                  <v>47087</v>
                </pt>
                <pt idx="59">
                  <v>47118</v>
                </pt>
              </numCache>
            </numRef>
          </cat>
          <val>
            <numRef>
              <f>c_Calculations!$T$17:$CA$17</f>
              <numCache>
                <formatCode>#,##0_);[Red]\(#,##0\);"-"_)</formatCode>
                <ptCount val="60"/>
                <pt idx="0">
                  <v>0</v>
                </pt>
                <pt idx="1">
                  <v>0</v>
                </pt>
                <pt idx="2">
                  <v>0</v>
                </pt>
                <pt idx="3">
                  <v>0</v>
                </pt>
                <pt idx="4">
                  <v>0</v>
                </pt>
                <pt idx="5">
                  <v>4</v>
                </pt>
                <pt idx="6">
                  <v>4</v>
                </pt>
                <pt idx="7">
                  <v>4</v>
                </pt>
                <pt idx="8">
                  <v>4</v>
                </pt>
                <pt idx="9">
                  <v>4</v>
                </pt>
                <pt idx="10">
                  <v>4</v>
                </pt>
                <pt idx="11">
                  <v>4</v>
                </pt>
                <pt idx="12">
                  <v>5</v>
                </pt>
                <pt idx="13">
                  <v>5</v>
                </pt>
                <pt idx="14">
                  <v>5</v>
                </pt>
                <pt idx="15">
                  <v>5</v>
                </pt>
                <pt idx="16">
                  <v>5</v>
                </pt>
                <pt idx="17">
                  <v>5</v>
                </pt>
                <pt idx="18">
                  <v>5</v>
                </pt>
                <pt idx="19">
                  <v>5</v>
                </pt>
                <pt idx="20">
                  <v>5</v>
                </pt>
                <pt idx="21">
                  <v>5</v>
                </pt>
                <pt idx="22">
                  <v>5</v>
                </pt>
                <pt idx="23">
                  <v>5</v>
                </pt>
                <pt idx="24">
                  <v>6</v>
                </pt>
                <pt idx="25">
                  <v>6</v>
                </pt>
                <pt idx="26">
                  <v>6</v>
                </pt>
                <pt idx="27">
                  <v>6</v>
                </pt>
                <pt idx="28">
                  <v>6</v>
                </pt>
                <pt idx="29">
                  <v>6</v>
                </pt>
                <pt idx="30">
                  <v>6</v>
                </pt>
                <pt idx="31">
                  <v>6</v>
                </pt>
                <pt idx="32">
                  <v>6</v>
                </pt>
                <pt idx="33">
                  <v>6</v>
                </pt>
                <pt idx="34">
                  <v>6</v>
                </pt>
                <pt idx="35">
                  <v>6</v>
                </pt>
                <pt idx="36">
                  <v>6</v>
                </pt>
                <pt idx="37">
                  <v>6</v>
                </pt>
                <pt idx="38">
                  <v>6</v>
                </pt>
                <pt idx="39">
                  <v>6</v>
                </pt>
                <pt idx="40">
                  <v>6</v>
                </pt>
                <pt idx="41">
                  <v>6</v>
                </pt>
                <pt idx="42">
                  <v>6</v>
                </pt>
                <pt idx="43">
                  <v>6</v>
                </pt>
                <pt idx="44">
                  <v>6</v>
                </pt>
                <pt idx="45">
                  <v>6</v>
                </pt>
                <pt idx="46">
                  <v>6</v>
                </pt>
                <pt idx="47">
                  <v>6</v>
                </pt>
                <pt idx="48">
                  <v>6</v>
                </pt>
                <pt idx="49">
                  <v>6</v>
                </pt>
                <pt idx="50">
                  <v>6</v>
                </pt>
                <pt idx="51">
                  <v>6</v>
                </pt>
                <pt idx="52">
                  <v>6</v>
                </pt>
                <pt idx="53">
                  <v>6</v>
                </pt>
                <pt idx="54">
                  <v>6</v>
                </pt>
                <pt idx="55">
                  <v>6</v>
                </pt>
                <pt idx="56">
                  <v>6</v>
                </pt>
                <pt idx="57">
                  <v>6</v>
                </pt>
                <pt idx="58">
                  <v>6</v>
                </pt>
                <pt idx="59">
                  <v>6</v>
                </pt>
              </numCache>
            </numRef>
          </val>
        </ser>
        <ser>
          <idx val="3"/>
          <order val="3"/>
          <tx>
            <strRef>
              <f>c_Calculations!$H$18</f>
              <strCache>
                <ptCount val="1"/>
                <pt idx="0">
                  <v>ST4 - Ro-Ro Vessels</v>
                </pt>
              </strCache>
            </strRef>
          </tx>
          <spPr>
            <a:solidFill>
              <a:schemeClr val="accent1">
                <a:lumMod val="60000"/>
              </a:schemeClr>
            </a:solidFill>
            <a:ln>
              <a:noFill/>
              <a:prstDash val="solid"/>
            </a:ln>
          </spPr>
          <invertIfNegative val="0"/>
          <cat>
            <numRef>
              <f>c_Calculations!$T$2:$CA$2</f>
              <numCache>
                <formatCode>d\-mmm\-yy</formatCode>
                <ptCount val="60"/>
                <pt idx="0">
                  <v>45322</v>
                </pt>
                <pt idx="1">
                  <v>45351</v>
                </pt>
                <pt idx="2">
                  <v>45382</v>
                </pt>
                <pt idx="3">
                  <v>45412</v>
                </pt>
                <pt idx="4">
                  <v>45443</v>
                </pt>
                <pt idx="5">
                  <v>45473</v>
                </pt>
                <pt idx="6">
                  <v>45504</v>
                </pt>
                <pt idx="7">
                  <v>45535</v>
                </pt>
                <pt idx="8">
                  <v>45565</v>
                </pt>
                <pt idx="9">
                  <v>45596</v>
                </pt>
                <pt idx="10">
                  <v>45626</v>
                </pt>
                <pt idx="11">
                  <v>45657</v>
                </pt>
                <pt idx="12">
                  <v>45688</v>
                </pt>
                <pt idx="13">
                  <v>45716</v>
                </pt>
                <pt idx="14">
                  <v>45747</v>
                </pt>
                <pt idx="15">
                  <v>45777</v>
                </pt>
                <pt idx="16">
                  <v>45808</v>
                </pt>
                <pt idx="17">
                  <v>45838</v>
                </pt>
                <pt idx="18">
                  <v>45869</v>
                </pt>
                <pt idx="19">
                  <v>45900</v>
                </pt>
                <pt idx="20">
                  <v>45930</v>
                </pt>
                <pt idx="21">
                  <v>45961</v>
                </pt>
                <pt idx="22">
                  <v>45991</v>
                </pt>
                <pt idx="23">
                  <v>46022</v>
                </pt>
                <pt idx="24">
                  <v>46053</v>
                </pt>
                <pt idx="25">
                  <v>46081</v>
                </pt>
                <pt idx="26">
                  <v>46112</v>
                </pt>
                <pt idx="27">
                  <v>46142</v>
                </pt>
                <pt idx="28">
                  <v>46173</v>
                </pt>
                <pt idx="29">
                  <v>46203</v>
                </pt>
                <pt idx="30">
                  <v>46234</v>
                </pt>
                <pt idx="31">
                  <v>46265</v>
                </pt>
                <pt idx="32">
                  <v>46295</v>
                </pt>
                <pt idx="33">
                  <v>46326</v>
                </pt>
                <pt idx="34">
                  <v>46356</v>
                </pt>
                <pt idx="35">
                  <v>46387</v>
                </pt>
                <pt idx="36">
                  <v>46418</v>
                </pt>
                <pt idx="37">
                  <v>46446</v>
                </pt>
                <pt idx="38">
                  <v>46477</v>
                </pt>
                <pt idx="39">
                  <v>46507</v>
                </pt>
                <pt idx="40">
                  <v>46538</v>
                </pt>
                <pt idx="41">
                  <v>46568</v>
                </pt>
                <pt idx="42">
                  <v>46599</v>
                </pt>
                <pt idx="43">
                  <v>46630</v>
                </pt>
                <pt idx="44">
                  <v>46660</v>
                </pt>
                <pt idx="45">
                  <v>46691</v>
                </pt>
                <pt idx="46">
                  <v>46721</v>
                </pt>
                <pt idx="47">
                  <v>46752</v>
                </pt>
                <pt idx="48">
                  <v>46783</v>
                </pt>
                <pt idx="49">
                  <v>46812</v>
                </pt>
                <pt idx="50">
                  <v>46843</v>
                </pt>
                <pt idx="51">
                  <v>46873</v>
                </pt>
                <pt idx="52">
                  <v>46904</v>
                </pt>
                <pt idx="53">
                  <v>46934</v>
                </pt>
                <pt idx="54">
                  <v>46965</v>
                </pt>
                <pt idx="55">
                  <v>46996</v>
                </pt>
                <pt idx="56">
                  <v>47026</v>
                </pt>
                <pt idx="57">
                  <v>47057</v>
                </pt>
                <pt idx="58">
                  <v>47087</v>
                </pt>
                <pt idx="59">
                  <v>47118</v>
                </pt>
              </numCache>
            </numRef>
          </cat>
          <val>
            <numRef>
              <f>c_Calculations!$T$18:$CA$18</f>
              <numCache>
                <formatCode>#,##0_);[Red]\(#,##0\);"-"_)</formatCode>
                <ptCount val="60"/>
                <pt idx="0">
                  <v>0</v>
                </pt>
                <pt idx="1">
                  <v>0</v>
                </pt>
                <pt idx="2">
                  <v>0</v>
                </pt>
                <pt idx="3">
                  <v>0</v>
                </pt>
                <pt idx="4">
                  <v>0</v>
                </pt>
                <pt idx="5">
                  <v>2</v>
                </pt>
                <pt idx="6">
                  <v>2</v>
                </pt>
                <pt idx="7">
                  <v>2</v>
                </pt>
                <pt idx="8">
                  <v>2</v>
                </pt>
                <pt idx="9">
                  <v>2</v>
                </pt>
                <pt idx="10">
                  <v>2</v>
                </pt>
                <pt idx="11">
                  <v>2</v>
                </pt>
                <pt idx="12">
                  <v>2</v>
                </pt>
                <pt idx="13">
                  <v>2</v>
                </pt>
                <pt idx="14">
                  <v>2</v>
                </pt>
                <pt idx="15">
                  <v>2</v>
                </pt>
                <pt idx="16">
                  <v>2</v>
                </pt>
                <pt idx="17">
                  <v>2</v>
                </pt>
                <pt idx="18">
                  <v>2</v>
                </pt>
                <pt idx="19">
                  <v>2</v>
                </pt>
                <pt idx="20">
                  <v>2</v>
                </pt>
                <pt idx="21">
                  <v>2</v>
                </pt>
                <pt idx="22">
                  <v>2</v>
                </pt>
                <pt idx="23">
                  <v>2</v>
                </pt>
                <pt idx="24">
                  <v>2</v>
                </pt>
                <pt idx="25">
                  <v>2</v>
                </pt>
                <pt idx="26">
                  <v>2</v>
                </pt>
                <pt idx="27">
                  <v>2</v>
                </pt>
                <pt idx="28">
                  <v>2</v>
                </pt>
                <pt idx="29">
                  <v>2</v>
                </pt>
                <pt idx="30">
                  <v>2</v>
                </pt>
                <pt idx="31">
                  <v>2</v>
                </pt>
                <pt idx="32">
                  <v>2</v>
                </pt>
                <pt idx="33">
                  <v>2</v>
                </pt>
                <pt idx="34">
                  <v>2</v>
                </pt>
                <pt idx="35">
                  <v>2</v>
                </pt>
                <pt idx="36">
                  <v>2</v>
                </pt>
                <pt idx="37">
                  <v>2</v>
                </pt>
                <pt idx="38">
                  <v>2</v>
                </pt>
                <pt idx="39">
                  <v>2</v>
                </pt>
                <pt idx="40">
                  <v>2</v>
                </pt>
                <pt idx="41">
                  <v>2</v>
                </pt>
                <pt idx="42">
                  <v>2</v>
                </pt>
                <pt idx="43">
                  <v>2</v>
                </pt>
                <pt idx="44">
                  <v>2</v>
                </pt>
                <pt idx="45">
                  <v>2</v>
                </pt>
                <pt idx="46">
                  <v>2</v>
                </pt>
                <pt idx="47">
                  <v>2</v>
                </pt>
                <pt idx="48">
                  <v>2</v>
                </pt>
                <pt idx="49">
                  <v>2</v>
                </pt>
                <pt idx="50">
                  <v>2</v>
                </pt>
                <pt idx="51">
                  <v>2</v>
                </pt>
                <pt idx="52">
                  <v>2</v>
                </pt>
                <pt idx="53">
                  <v>2</v>
                </pt>
                <pt idx="54">
                  <v>2</v>
                </pt>
                <pt idx="55">
                  <v>2</v>
                </pt>
                <pt idx="56">
                  <v>2</v>
                </pt>
                <pt idx="57">
                  <v>2</v>
                </pt>
                <pt idx="58">
                  <v>2</v>
                </pt>
                <pt idx="59">
                  <v>2</v>
                </pt>
              </numCache>
            </numRef>
          </val>
        </ser>
        <ser>
          <idx val="4"/>
          <order val="4"/>
          <tx>
            <strRef>
              <f>c_Calculations!$H$19</f>
              <strCache>
                <ptCount val="1"/>
                <pt idx="0">
                  <v>ST5 - LNG Carriers</v>
                </pt>
              </strCache>
            </strRef>
          </tx>
          <spPr>
            <a:solidFill>
              <a:schemeClr val="accent2">
                <a:lumMod val="60000"/>
              </a:schemeClr>
            </a:solidFill>
            <a:ln>
              <a:noFill/>
              <a:prstDash val="solid"/>
            </a:ln>
          </spPr>
          <invertIfNegative val="0"/>
          <cat>
            <numRef>
              <f>c_Calculations!$T$2:$CA$2</f>
              <numCache>
                <formatCode>d\-mmm\-yy</formatCode>
                <ptCount val="60"/>
                <pt idx="0">
                  <v>45322</v>
                </pt>
                <pt idx="1">
                  <v>45351</v>
                </pt>
                <pt idx="2">
                  <v>45382</v>
                </pt>
                <pt idx="3">
                  <v>45412</v>
                </pt>
                <pt idx="4">
                  <v>45443</v>
                </pt>
                <pt idx="5">
                  <v>45473</v>
                </pt>
                <pt idx="6">
                  <v>45504</v>
                </pt>
                <pt idx="7">
                  <v>45535</v>
                </pt>
                <pt idx="8">
                  <v>45565</v>
                </pt>
                <pt idx="9">
                  <v>45596</v>
                </pt>
                <pt idx="10">
                  <v>45626</v>
                </pt>
                <pt idx="11">
                  <v>45657</v>
                </pt>
                <pt idx="12">
                  <v>45688</v>
                </pt>
                <pt idx="13">
                  <v>45716</v>
                </pt>
                <pt idx="14">
                  <v>45747</v>
                </pt>
                <pt idx="15">
                  <v>45777</v>
                </pt>
                <pt idx="16">
                  <v>45808</v>
                </pt>
                <pt idx="17">
                  <v>45838</v>
                </pt>
                <pt idx="18">
                  <v>45869</v>
                </pt>
                <pt idx="19">
                  <v>45900</v>
                </pt>
                <pt idx="20">
                  <v>45930</v>
                </pt>
                <pt idx="21">
                  <v>45961</v>
                </pt>
                <pt idx="22">
                  <v>45991</v>
                </pt>
                <pt idx="23">
                  <v>46022</v>
                </pt>
                <pt idx="24">
                  <v>46053</v>
                </pt>
                <pt idx="25">
                  <v>46081</v>
                </pt>
                <pt idx="26">
                  <v>46112</v>
                </pt>
                <pt idx="27">
                  <v>46142</v>
                </pt>
                <pt idx="28">
                  <v>46173</v>
                </pt>
                <pt idx="29">
                  <v>46203</v>
                </pt>
                <pt idx="30">
                  <v>46234</v>
                </pt>
                <pt idx="31">
                  <v>46265</v>
                </pt>
                <pt idx="32">
                  <v>46295</v>
                </pt>
                <pt idx="33">
                  <v>46326</v>
                </pt>
                <pt idx="34">
                  <v>46356</v>
                </pt>
                <pt idx="35">
                  <v>46387</v>
                </pt>
                <pt idx="36">
                  <v>46418</v>
                </pt>
                <pt idx="37">
                  <v>46446</v>
                </pt>
                <pt idx="38">
                  <v>46477</v>
                </pt>
                <pt idx="39">
                  <v>46507</v>
                </pt>
                <pt idx="40">
                  <v>46538</v>
                </pt>
                <pt idx="41">
                  <v>46568</v>
                </pt>
                <pt idx="42">
                  <v>46599</v>
                </pt>
                <pt idx="43">
                  <v>46630</v>
                </pt>
                <pt idx="44">
                  <v>46660</v>
                </pt>
                <pt idx="45">
                  <v>46691</v>
                </pt>
                <pt idx="46">
                  <v>46721</v>
                </pt>
                <pt idx="47">
                  <v>46752</v>
                </pt>
                <pt idx="48">
                  <v>46783</v>
                </pt>
                <pt idx="49">
                  <v>46812</v>
                </pt>
                <pt idx="50">
                  <v>46843</v>
                </pt>
                <pt idx="51">
                  <v>46873</v>
                </pt>
                <pt idx="52">
                  <v>46904</v>
                </pt>
                <pt idx="53">
                  <v>46934</v>
                </pt>
                <pt idx="54">
                  <v>46965</v>
                </pt>
                <pt idx="55">
                  <v>46996</v>
                </pt>
                <pt idx="56">
                  <v>47026</v>
                </pt>
                <pt idx="57">
                  <v>47057</v>
                </pt>
                <pt idx="58">
                  <v>47087</v>
                </pt>
                <pt idx="59">
                  <v>47118</v>
                </pt>
              </numCache>
            </numRef>
          </cat>
          <val>
            <numRef>
              <f>c_Calculations!$T$19:$CA$19</f>
              <numCache>
                <formatCode>#,##0_);[Red]\(#,##0\);"-"_)</formatCode>
                <ptCount val="60"/>
                <pt idx="0">
                  <v>0</v>
                </pt>
                <pt idx="1">
                  <v>0</v>
                </pt>
                <pt idx="2">
                  <v>0</v>
                </pt>
                <pt idx="3">
                  <v>0</v>
                </pt>
                <pt idx="4">
                  <v>0</v>
                </pt>
                <pt idx="5">
                  <v>1</v>
                </pt>
                <pt idx="6">
                  <v>1</v>
                </pt>
                <pt idx="7">
                  <v>1</v>
                </pt>
                <pt idx="8">
                  <v>1</v>
                </pt>
                <pt idx="9">
                  <v>1</v>
                </pt>
                <pt idx="10">
                  <v>1</v>
                </pt>
                <pt idx="11">
                  <v>1</v>
                </pt>
                <pt idx="12">
                  <v>1</v>
                </pt>
                <pt idx="13">
                  <v>1</v>
                </pt>
                <pt idx="14">
                  <v>1</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pt idx="40">
                  <v>1</v>
                </pt>
                <pt idx="41">
                  <v>1</v>
                </pt>
                <pt idx="42">
                  <v>1</v>
                </pt>
                <pt idx="43">
                  <v>1</v>
                </pt>
                <pt idx="44">
                  <v>1</v>
                </pt>
                <pt idx="45">
                  <v>1</v>
                </pt>
                <pt idx="46">
                  <v>1</v>
                </pt>
                <pt idx="47">
                  <v>1</v>
                </pt>
                <pt idx="48">
                  <v>1</v>
                </pt>
                <pt idx="49">
                  <v>1</v>
                </pt>
                <pt idx="50">
                  <v>1</v>
                </pt>
                <pt idx="51">
                  <v>1</v>
                </pt>
                <pt idx="52">
                  <v>1</v>
                </pt>
                <pt idx="53">
                  <v>1</v>
                </pt>
                <pt idx="54">
                  <v>1</v>
                </pt>
                <pt idx="55">
                  <v>1</v>
                </pt>
                <pt idx="56">
                  <v>1</v>
                </pt>
                <pt idx="57">
                  <v>1</v>
                </pt>
                <pt idx="58">
                  <v>1</v>
                </pt>
                <pt idx="59">
                  <v>1</v>
                </pt>
              </numCache>
            </numRef>
          </val>
        </ser>
        <ser>
          <idx val="5"/>
          <order val="5"/>
          <tx>
            <strRef>
              <f>c_Calculations!$H$20</f>
              <strCache>
                <ptCount val="1"/>
                <pt idx="0">
                  <v>ST6 - N/A</v>
                </pt>
              </strCache>
            </strRef>
          </tx>
          <spPr>
            <a:solidFill>
              <a:schemeClr val="accent1"/>
            </a:solidFill>
            <a:ln>
              <a:noFill/>
              <a:prstDash val="solid"/>
            </a:ln>
          </spPr>
          <invertIfNegative val="0"/>
          <cat>
            <numRef>
              <f>c_Calculations!$T$2:$CA$2</f>
              <numCache>
                <formatCode>d\-mmm\-yy</formatCode>
                <ptCount val="60"/>
                <pt idx="0">
                  <v>45322</v>
                </pt>
                <pt idx="1">
                  <v>45351</v>
                </pt>
                <pt idx="2">
                  <v>45382</v>
                </pt>
                <pt idx="3">
                  <v>45412</v>
                </pt>
                <pt idx="4">
                  <v>45443</v>
                </pt>
                <pt idx="5">
                  <v>45473</v>
                </pt>
                <pt idx="6">
                  <v>45504</v>
                </pt>
                <pt idx="7">
                  <v>45535</v>
                </pt>
                <pt idx="8">
                  <v>45565</v>
                </pt>
                <pt idx="9">
                  <v>45596</v>
                </pt>
                <pt idx="10">
                  <v>45626</v>
                </pt>
                <pt idx="11">
                  <v>45657</v>
                </pt>
                <pt idx="12">
                  <v>45688</v>
                </pt>
                <pt idx="13">
                  <v>45716</v>
                </pt>
                <pt idx="14">
                  <v>45747</v>
                </pt>
                <pt idx="15">
                  <v>45777</v>
                </pt>
                <pt idx="16">
                  <v>45808</v>
                </pt>
                <pt idx="17">
                  <v>45838</v>
                </pt>
                <pt idx="18">
                  <v>45869</v>
                </pt>
                <pt idx="19">
                  <v>45900</v>
                </pt>
                <pt idx="20">
                  <v>45930</v>
                </pt>
                <pt idx="21">
                  <v>45961</v>
                </pt>
                <pt idx="22">
                  <v>45991</v>
                </pt>
                <pt idx="23">
                  <v>46022</v>
                </pt>
                <pt idx="24">
                  <v>46053</v>
                </pt>
                <pt idx="25">
                  <v>46081</v>
                </pt>
                <pt idx="26">
                  <v>46112</v>
                </pt>
                <pt idx="27">
                  <v>46142</v>
                </pt>
                <pt idx="28">
                  <v>46173</v>
                </pt>
                <pt idx="29">
                  <v>46203</v>
                </pt>
                <pt idx="30">
                  <v>46234</v>
                </pt>
                <pt idx="31">
                  <v>46265</v>
                </pt>
                <pt idx="32">
                  <v>46295</v>
                </pt>
                <pt idx="33">
                  <v>46326</v>
                </pt>
                <pt idx="34">
                  <v>46356</v>
                </pt>
                <pt idx="35">
                  <v>46387</v>
                </pt>
                <pt idx="36">
                  <v>46418</v>
                </pt>
                <pt idx="37">
                  <v>46446</v>
                </pt>
                <pt idx="38">
                  <v>46477</v>
                </pt>
                <pt idx="39">
                  <v>46507</v>
                </pt>
                <pt idx="40">
                  <v>46538</v>
                </pt>
                <pt idx="41">
                  <v>46568</v>
                </pt>
                <pt idx="42">
                  <v>46599</v>
                </pt>
                <pt idx="43">
                  <v>46630</v>
                </pt>
                <pt idx="44">
                  <v>46660</v>
                </pt>
                <pt idx="45">
                  <v>46691</v>
                </pt>
                <pt idx="46">
                  <v>46721</v>
                </pt>
                <pt idx="47">
                  <v>46752</v>
                </pt>
                <pt idx="48">
                  <v>46783</v>
                </pt>
                <pt idx="49">
                  <v>46812</v>
                </pt>
                <pt idx="50">
                  <v>46843</v>
                </pt>
                <pt idx="51">
                  <v>46873</v>
                </pt>
                <pt idx="52">
                  <v>46904</v>
                </pt>
                <pt idx="53">
                  <v>46934</v>
                </pt>
                <pt idx="54">
                  <v>46965</v>
                </pt>
                <pt idx="55">
                  <v>46996</v>
                </pt>
                <pt idx="56">
                  <v>47026</v>
                </pt>
                <pt idx="57">
                  <v>47057</v>
                </pt>
                <pt idx="58">
                  <v>47087</v>
                </pt>
                <pt idx="59">
                  <v>47118</v>
                </pt>
              </numCache>
            </numRef>
          </cat>
          <val>
            <numRef>
              <f>c_Calculations!$T$20:$CA$20</f>
              <numCache>
                <formatCode>#,##0_);[Red]\(#,##0\);"-"_)</formatCode>
                <ptCount val="6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numCache>
            </numRef>
          </val>
        </ser>
        <ser>
          <idx val="6"/>
          <order val="6"/>
          <tx>
            <strRef>
              <f>c_Calculations!$H$21</f>
              <strCache>
                <ptCount val="1"/>
                <pt idx="0">
                  <v>ST7 - N/A</v>
                </pt>
              </strCache>
            </strRef>
          </tx>
          <spPr>
            <a:solidFill>
              <a:schemeClr val="accent2"/>
            </a:solidFill>
            <a:ln>
              <a:noFill/>
              <a:prstDash val="solid"/>
            </a:ln>
          </spPr>
          <invertIfNegative val="0"/>
          <cat>
            <numRef>
              <f>c_Calculations!$T$2:$CA$2</f>
              <numCache>
                <formatCode>d\-mmm\-yy</formatCode>
                <ptCount val="60"/>
                <pt idx="0">
                  <v>45322</v>
                </pt>
                <pt idx="1">
                  <v>45351</v>
                </pt>
                <pt idx="2">
                  <v>45382</v>
                </pt>
                <pt idx="3">
                  <v>45412</v>
                </pt>
                <pt idx="4">
                  <v>45443</v>
                </pt>
                <pt idx="5">
                  <v>45473</v>
                </pt>
                <pt idx="6">
                  <v>45504</v>
                </pt>
                <pt idx="7">
                  <v>45535</v>
                </pt>
                <pt idx="8">
                  <v>45565</v>
                </pt>
                <pt idx="9">
                  <v>45596</v>
                </pt>
                <pt idx="10">
                  <v>45626</v>
                </pt>
                <pt idx="11">
                  <v>45657</v>
                </pt>
                <pt idx="12">
                  <v>45688</v>
                </pt>
                <pt idx="13">
                  <v>45716</v>
                </pt>
                <pt idx="14">
                  <v>45747</v>
                </pt>
                <pt idx="15">
                  <v>45777</v>
                </pt>
                <pt idx="16">
                  <v>45808</v>
                </pt>
                <pt idx="17">
                  <v>45838</v>
                </pt>
                <pt idx="18">
                  <v>45869</v>
                </pt>
                <pt idx="19">
                  <v>45900</v>
                </pt>
                <pt idx="20">
                  <v>45930</v>
                </pt>
                <pt idx="21">
                  <v>45961</v>
                </pt>
                <pt idx="22">
                  <v>45991</v>
                </pt>
                <pt idx="23">
                  <v>46022</v>
                </pt>
                <pt idx="24">
                  <v>46053</v>
                </pt>
                <pt idx="25">
                  <v>46081</v>
                </pt>
                <pt idx="26">
                  <v>46112</v>
                </pt>
                <pt idx="27">
                  <v>46142</v>
                </pt>
                <pt idx="28">
                  <v>46173</v>
                </pt>
                <pt idx="29">
                  <v>46203</v>
                </pt>
                <pt idx="30">
                  <v>46234</v>
                </pt>
                <pt idx="31">
                  <v>46265</v>
                </pt>
                <pt idx="32">
                  <v>46295</v>
                </pt>
                <pt idx="33">
                  <v>46326</v>
                </pt>
                <pt idx="34">
                  <v>46356</v>
                </pt>
                <pt idx="35">
                  <v>46387</v>
                </pt>
                <pt idx="36">
                  <v>46418</v>
                </pt>
                <pt idx="37">
                  <v>46446</v>
                </pt>
                <pt idx="38">
                  <v>46477</v>
                </pt>
                <pt idx="39">
                  <v>46507</v>
                </pt>
                <pt idx="40">
                  <v>46538</v>
                </pt>
                <pt idx="41">
                  <v>46568</v>
                </pt>
                <pt idx="42">
                  <v>46599</v>
                </pt>
                <pt idx="43">
                  <v>46630</v>
                </pt>
                <pt idx="44">
                  <v>46660</v>
                </pt>
                <pt idx="45">
                  <v>46691</v>
                </pt>
                <pt idx="46">
                  <v>46721</v>
                </pt>
                <pt idx="47">
                  <v>46752</v>
                </pt>
                <pt idx="48">
                  <v>46783</v>
                </pt>
                <pt idx="49">
                  <v>46812</v>
                </pt>
                <pt idx="50">
                  <v>46843</v>
                </pt>
                <pt idx="51">
                  <v>46873</v>
                </pt>
                <pt idx="52">
                  <v>46904</v>
                </pt>
                <pt idx="53">
                  <v>46934</v>
                </pt>
                <pt idx="54">
                  <v>46965</v>
                </pt>
                <pt idx="55">
                  <v>46996</v>
                </pt>
                <pt idx="56">
                  <v>47026</v>
                </pt>
                <pt idx="57">
                  <v>47057</v>
                </pt>
                <pt idx="58">
                  <v>47087</v>
                </pt>
                <pt idx="59">
                  <v>47118</v>
                </pt>
              </numCache>
            </numRef>
          </cat>
          <val>
            <numRef>
              <f>c_Calculations!$T$21:$CA$21</f>
              <numCache>
                <formatCode>#,##0_);[Red]\(#,##0\);"-"_)</formatCode>
                <ptCount val="6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numCache>
            </numRef>
          </val>
        </ser>
        <ser>
          <idx val="7"/>
          <order val="7"/>
          <tx>
            <strRef>
              <f>c_Calculations!$H$22</f>
              <strCache>
                <ptCount val="1"/>
                <pt idx="0">
                  <v>ST8 - N/A</v>
                </pt>
              </strCache>
            </strRef>
          </tx>
          <spPr>
            <a:solidFill>
              <a:schemeClr val="accent3">
                <a:lumMod val="60000"/>
              </a:schemeClr>
            </a:solidFill>
            <a:ln>
              <a:noFill/>
              <a:prstDash val="solid"/>
            </a:ln>
          </spPr>
          <invertIfNegative val="0"/>
          <cat>
            <numRef>
              <f>c_Calculations!$T$2:$CA$2</f>
              <numCache>
                <formatCode>d\-mmm\-yy</formatCode>
                <ptCount val="60"/>
                <pt idx="0">
                  <v>45322</v>
                </pt>
                <pt idx="1">
                  <v>45351</v>
                </pt>
                <pt idx="2">
                  <v>45382</v>
                </pt>
                <pt idx="3">
                  <v>45412</v>
                </pt>
                <pt idx="4">
                  <v>45443</v>
                </pt>
                <pt idx="5">
                  <v>45473</v>
                </pt>
                <pt idx="6">
                  <v>45504</v>
                </pt>
                <pt idx="7">
                  <v>45535</v>
                </pt>
                <pt idx="8">
                  <v>45565</v>
                </pt>
                <pt idx="9">
                  <v>45596</v>
                </pt>
                <pt idx="10">
                  <v>45626</v>
                </pt>
                <pt idx="11">
                  <v>45657</v>
                </pt>
                <pt idx="12">
                  <v>45688</v>
                </pt>
                <pt idx="13">
                  <v>45716</v>
                </pt>
                <pt idx="14">
                  <v>45747</v>
                </pt>
                <pt idx="15">
                  <v>45777</v>
                </pt>
                <pt idx="16">
                  <v>45808</v>
                </pt>
                <pt idx="17">
                  <v>45838</v>
                </pt>
                <pt idx="18">
                  <v>45869</v>
                </pt>
                <pt idx="19">
                  <v>45900</v>
                </pt>
                <pt idx="20">
                  <v>45930</v>
                </pt>
                <pt idx="21">
                  <v>45961</v>
                </pt>
                <pt idx="22">
                  <v>45991</v>
                </pt>
                <pt idx="23">
                  <v>46022</v>
                </pt>
                <pt idx="24">
                  <v>46053</v>
                </pt>
                <pt idx="25">
                  <v>46081</v>
                </pt>
                <pt idx="26">
                  <v>46112</v>
                </pt>
                <pt idx="27">
                  <v>46142</v>
                </pt>
                <pt idx="28">
                  <v>46173</v>
                </pt>
                <pt idx="29">
                  <v>46203</v>
                </pt>
                <pt idx="30">
                  <v>46234</v>
                </pt>
                <pt idx="31">
                  <v>46265</v>
                </pt>
                <pt idx="32">
                  <v>46295</v>
                </pt>
                <pt idx="33">
                  <v>46326</v>
                </pt>
                <pt idx="34">
                  <v>46356</v>
                </pt>
                <pt idx="35">
                  <v>46387</v>
                </pt>
                <pt idx="36">
                  <v>46418</v>
                </pt>
                <pt idx="37">
                  <v>46446</v>
                </pt>
                <pt idx="38">
                  <v>46477</v>
                </pt>
                <pt idx="39">
                  <v>46507</v>
                </pt>
                <pt idx="40">
                  <v>46538</v>
                </pt>
                <pt idx="41">
                  <v>46568</v>
                </pt>
                <pt idx="42">
                  <v>46599</v>
                </pt>
                <pt idx="43">
                  <v>46630</v>
                </pt>
                <pt idx="44">
                  <v>46660</v>
                </pt>
                <pt idx="45">
                  <v>46691</v>
                </pt>
                <pt idx="46">
                  <v>46721</v>
                </pt>
                <pt idx="47">
                  <v>46752</v>
                </pt>
                <pt idx="48">
                  <v>46783</v>
                </pt>
                <pt idx="49">
                  <v>46812</v>
                </pt>
                <pt idx="50">
                  <v>46843</v>
                </pt>
                <pt idx="51">
                  <v>46873</v>
                </pt>
                <pt idx="52">
                  <v>46904</v>
                </pt>
                <pt idx="53">
                  <v>46934</v>
                </pt>
                <pt idx="54">
                  <v>46965</v>
                </pt>
                <pt idx="55">
                  <v>46996</v>
                </pt>
                <pt idx="56">
                  <v>47026</v>
                </pt>
                <pt idx="57">
                  <v>47057</v>
                </pt>
                <pt idx="58">
                  <v>47087</v>
                </pt>
                <pt idx="59">
                  <v>47118</v>
                </pt>
              </numCache>
            </numRef>
          </cat>
          <val>
            <numRef>
              <f>c_Calculations!$T$22:$CA$22</f>
              <numCache>
                <formatCode>#,##0_);[Red]\(#,##0\);"-"_)</formatCode>
                <ptCount val="6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numCache>
            </numRef>
          </val>
        </ser>
        <ser>
          <idx val="8"/>
          <order val="8"/>
          <tx>
            <strRef>
              <f>c_Calculations!$H$23</f>
              <strCache>
                <ptCount val="1"/>
                <pt idx="0">
                  <v>ST9 - N/A</v>
                </pt>
              </strCache>
            </strRef>
          </tx>
          <spPr>
            <a:solidFill>
              <a:schemeClr val="accent4">
                <a:lumMod val="60000"/>
              </a:schemeClr>
            </a:solidFill>
            <a:ln>
              <a:noFill/>
              <a:prstDash val="solid"/>
            </a:ln>
          </spPr>
          <invertIfNegative val="0"/>
          <cat>
            <numRef>
              <f>c_Calculations!$T$2:$CA$2</f>
              <numCache>
                <formatCode>d\-mmm\-yy</formatCode>
                <ptCount val="60"/>
                <pt idx="0">
                  <v>45322</v>
                </pt>
                <pt idx="1">
                  <v>45351</v>
                </pt>
                <pt idx="2">
                  <v>45382</v>
                </pt>
                <pt idx="3">
                  <v>45412</v>
                </pt>
                <pt idx="4">
                  <v>45443</v>
                </pt>
                <pt idx="5">
                  <v>45473</v>
                </pt>
                <pt idx="6">
                  <v>45504</v>
                </pt>
                <pt idx="7">
                  <v>45535</v>
                </pt>
                <pt idx="8">
                  <v>45565</v>
                </pt>
                <pt idx="9">
                  <v>45596</v>
                </pt>
                <pt idx="10">
                  <v>45626</v>
                </pt>
                <pt idx="11">
                  <v>45657</v>
                </pt>
                <pt idx="12">
                  <v>45688</v>
                </pt>
                <pt idx="13">
                  <v>45716</v>
                </pt>
                <pt idx="14">
                  <v>45747</v>
                </pt>
                <pt idx="15">
                  <v>45777</v>
                </pt>
                <pt idx="16">
                  <v>45808</v>
                </pt>
                <pt idx="17">
                  <v>45838</v>
                </pt>
                <pt idx="18">
                  <v>45869</v>
                </pt>
                <pt idx="19">
                  <v>45900</v>
                </pt>
                <pt idx="20">
                  <v>45930</v>
                </pt>
                <pt idx="21">
                  <v>45961</v>
                </pt>
                <pt idx="22">
                  <v>45991</v>
                </pt>
                <pt idx="23">
                  <v>46022</v>
                </pt>
                <pt idx="24">
                  <v>46053</v>
                </pt>
                <pt idx="25">
                  <v>46081</v>
                </pt>
                <pt idx="26">
                  <v>46112</v>
                </pt>
                <pt idx="27">
                  <v>46142</v>
                </pt>
                <pt idx="28">
                  <v>46173</v>
                </pt>
                <pt idx="29">
                  <v>46203</v>
                </pt>
                <pt idx="30">
                  <v>46234</v>
                </pt>
                <pt idx="31">
                  <v>46265</v>
                </pt>
                <pt idx="32">
                  <v>46295</v>
                </pt>
                <pt idx="33">
                  <v>46326</v>
                </pt>
                <pt idx="34">
                  <v>46356</v>
                </pt>
                <pt idx="35">
                  <v>46387</v>
                </pt>
                <pt idx="36">
                  <v>46418</v>
                </pt>
                <pt idx="37">
                  <v>46446</v>
                </pt>
                <pt idx="38">
                  <v>46477</v>
                </pt>
                <pt idx="39">
                  <v>46507</v>
                </pt>
                <pt idx="40">
                  <v>46538</v>
                </pt>
                <pt idx="41">
                  <v>46568</v>
                </pt>
                <pt idx="42">
                  <v>46599</v>
                </pt>
                <pt idx="43">
                  <v>46630</v>
                </pt>
                <pt idx="44">
                  <v>46660</v>
                </pt>
                <pt idx="45">
                  <v>46691</v>
                </pt>
                <pt idx="46">
                  <v>46721</v>
                </pt>
                <pt idx="47">
                  <v>46752</v>
                </pt>
                <pt idx="48">
                  <v>46783</v>
                </pt>
                <pt idx="49">
                  <v>46812</v>
                </pt>
                <pt idx="50">
                  <v>46843</v>
                </pt>
                <pt idx="51">
                  <v>46873</v>
                </pt>
                <pt idx="52">
                  <v>46904</v>
                </pt>
                <pt idx="53">
                  <v>46934</v>
                </pt>
                <pt idx="54">
                  <v>46965</v>
                </pt>
                <pt idx="55">
                  <v>46996</v>
                </pt>
                <pt idx="56">
                  <v>47026</v>
                </pt>
                <pt idx="57">
                  <v>47057</v>
                </pt>
                <pt idx="58">
                  <v>47087</v>
                </pt>
                <pt idx="59">
                  <v>47118</v>
                </pt>
              </numCache>
            </numRef>
          </cat>
          <val>
            <numRef>
              <f>c_Calculations!$T$23:$CA$23</f>
              <numCache>
                <formatCode>#,##0_);[Red]\(#,##0\);"-"_)</formatCode>
                <ptCount val="6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numCache>
            </numRef>
          </val>
        </ser>
        <ser>
          <idx val="9"/>
          <order val="9"/>
          <tx>
            <strRef>
              <f>c_Calculations!$H$24</f>
              <strCache>
                <ptCount val="1"/>
                <pt idx="0">
                  <v>ST10 - N/A</v>
                </pt>
              </strCache>
            </strRef>
          </tx>
          <spPr>
            <a:solidFill>
              <a:schemeClr val="accent5">
                <a:lumMod val="60000"/>
              </a:schemeClr>
            </a:solidFill>
            <a:ln>
              <a:noFill/>
              <a:prstDash val="solid"/>
            </a:ln>
          </spPr>
          <invertIfNegative val="0"/>
          <cat>
            <numRef>
              <f>c_Calculations!$T$2:$CA$2</f>
              <numCache>
                <formatCode>d\-mmm\-yy</formatCode>
                <ptCount val="60"/>
                <pt idx="0">
                  <v>45322</v>
                </pt>
                <pt idx="1">
                  <v>45351</v>
                </pt>
                <pt idx="2">
                  <v>45382</v>
                </pt>
                <pt idx="3">
                  <v>45412</v>
                </pt>
                <pt idx="4">
                  <v>45443</v>
                </pt>
                <pt idx="5">
                  <v>45473</v>
                </pt>
                <pt idx="6">
                  <v>45504</v>
                </pt>
                <pt idx="7">
                  <v>45535</v>
                </pt>
                <pt idx="8">
                  <v>45565</v>
                </pt>
                <pt idx="9">
                  <v>45596</v>
                </pt>
                <pt idx="10">
                  <v>45626</v>
                </pt>
                <pt idx="11">
                  <v>45657</v>
                </pt>
                <pt idx="12">
                  <v>45688</v>
                </pt>
                <pt idx="13">
                  <v>45716</v>
                </pt>
                <pt idx="14">
                  <v>45747</v>
                </pt>
                <pt idx="15">
                  <v>45777</v>
                </pt>
                <pt idx="16">
                  <v>45808</v>
                </pt>
                <pt idx="17">
                  <v>45838</v>
                </pt>
                <pt idx="18">
                  <v>45869</v>
                </pt>
                <pt idx="19">
                  <v>45900</v>
                </pt>
                <pt idx="20">
                  <v>45930</v>
                </pt>
                <pt idx="21">
                  <v>45961</v>
                </pt>
                <pt idx="22">
                  <v>45991</v>
                </pt>
                <pt idx="23">
                  <v>46022</v>
                </pt>
                <pt idx="24">
                  <v>46053</v>
                </pt>
                <pt idx="25">
                  <v>46081</v>
                </pt>
                <pt idx="26">
                  <v>46112</v>
                </pt>
                <pt idx="27">
                  <v>46142</v>
                </pt>
                <pt idx="28">
                  <v>46173</v>
                </pt>
                <pt idx="29">
                  <v>46203</v>
                </pt>
                <pt idx="30">
                  <v>46234</v>
                </pt>
                <pt idx="31">
                  <v>46265</v>
                </pt>
                <pt idx="32">
                  <v>46295</v>
                </pt>
                <pt idx="33">
                  <v>46326</v>
                </pt>
                <pt idx="34">
                  <v>46356</v>
                </pt>
                <pt idx="35">
                  <v>46387</v>
                </pt>
                <pt idx="36">
                  <v>46418</v>
                </pt>
                <pt idx="37">
                  <v>46446</v>
                </pt>
                <pt idx="38">
                  <v>46477</v>
                </pt>
                <pt idx="39">
                  <v>46507</v>
                </pt>
                <pt idx="40">
                  <v>46538</v>
                </pt>
                <pt idx="41">
                  <v>46568</v>
                </pt>
                <pt idx="42">
                  <v>46599</v>
                </pt>
                <pt idx="43">
                  <v>46630</v>
                </pt>
                <pt idx="44">
                  <v>46660</v>
                </pt>
                <pt idx="45">
                  <v>46691</v>
                </pt>
                <pt idx="46">
                  <v>46721</v>
                </pt>
                <pt idx="47">
                  <v>46752</v>
                </pt>
                <pt idx="48">
                  <v>46783</v>
                </pt>
                <pt idx="49">
                  <v>46812</v>
                </pt>
                <pt idx="50">
                  <v>46843</v>
                </pt>
                <pt idx="51">
                  <v>46873</v>
                </pt>
                <pt idx="52">
                  <v>46904</v>
                </pt>
                <pt idx="53">
                  <v>46934</v>
                </pt>
                <pt idx="54">
                  <v>46965</v>
                </pt>
                <pt idx="55">
                  <v>46996</v>
                </pt>
                <pt idx="56">
                  <v>47026</v>
                </pt>
                <pt idx="57">
                  <v>47057</v>
                </pt>
                <pt idx="58">
                  <v>47087</v>
                </pt>
                <pt idx="59">
                  <v>47118</v>
                </pt>
              </numCache>
            </numRef>
          </cat>
          <val>
            <numRef>
              <f>c_Calculations!$T$24:$CA$24</f>
              <numCache>
                <formatCode>#,##0_);[Red]\(#,##0\);"-"_)</formatCode>
                <ptCount val="6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numCache>
            </numRef>
          </val>
        </ser>
        <dLbls>
          <showLegendKey val="0"/>
          <showVal val="0"/>
          <showCatName val="0"/>
          <showSerName val="0"/>
          <showPercent val="0"/>
          <showBubbleSize val="0"/>
        </dLbls>
        <gapWidth val="62"/>
        <overlap val="100"/>
        <axId val="671308664"/>
        <axId val="671317680"/>
      </barChart>
      <dateAx>
        <axId val="671308664"/>
        <scaling>
          <orientation val="minMax"/>
        </scaling>
        <delete val="0"/>
        <axPos val="b"/>
        <numFmt formatCode="mmm\-yy" sourceLinked="0"/>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7680"/>
        <crosses val="autoZero"/>
        <lblOffset val="100"/>
        <baseTimeUnit val="months"/>
      </dateAx>
      <valAx>
        <axId val="671317680"/>
        <scaling>
          <orientation val="minMax"/>
        </scaling>
        <delete val="0"/>
        <axPos val="l"/>
        <majorGridlines>
          <spPr>
            <a:ln w="9525" cap="flat" cmpd="sng" algn="ctr">
              <a:solidFill>
                <a:schemeClr val="bg1">
                  <a:lumMod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Number</a:t>
                </a:r>
                <a:r>
                  <a:rPr lang="en-US" baseline="0"/>
                  <a:t xml:space="preserve"> of Ships</a:t>
                </a:r>
                <a:endParaRPr lang="en-US"/>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None</a:t>
              </a:r>
              <a:endParaRPr lang="en-US"/>
            </a:p>
          </txPr>
        </title>
        <numFmt formatCode="#,##0;[Red]\(#,##0\)" sourceLinked="0"/>
        <majorTickMark val="none"/>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08664"/>
        <crosses val="autoZero"/>
        <crossBetween val="between"/>
      </valAx>
    </plotArea>
    <legend>
      <legendPos val="b"/>
      <layout>
        <manualLayout>
          <xMode val="edge"/>
          <yMode val="edge"/>
          <wMode val="factor"/>
          <hMode val="factor"/>
          <x val="0.05014657431642376"/>
          <y val="0.9105588546693364"/>
          <w val="0.9233980784446575"/>
          <h val="0.06821317876915246"/>
        </manualLayout>
      </layout>
      <overlay val="0"/>
      <spPr>
        <a:noFill/>
        <a:ln>
          <a:noFill/>
          <a:prstDash val="solid"/>
        </a:ln>
      </spPr>
      <txPr>
        <a:bodyPr rot="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legend>
    <plotVisOnly val="0"/>
    <dispBlanksAs val="gap"/>
  </chart>
  <spPr>
    <a:solidFill>
      <a:schemeClr val="bg1"/>
    </a:solidFill>
    <a:ln w="9525" cap="flat" cmpd="sng" algn="ctr">
      <a:solidFill>
        <a:schemeClr val="bg1">
          <a:lumMod val="75000"/>
        </a:schemeClr>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Cash Balance by Month</a:t>
            </a: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lineChart>
        <grouping val="standard"/>
        <varyColors val="0"/>
        <ser>
          <idx val="4"/>
          <order val="0"/>
          <tx>
            <v>Closing Cash Balance</v>
          </tx>
          <spPr>
            <a:ln w="28575" cap="rnd">
              <a:solidFill>
                <a:srgbClr val="002060"/>
              </a:solidFill>
              <a:prstDash val="solid"/>
              <a:round/>
            </a:ln>
          </spPr>
          <marker>
            <symbol val="none"/>
            <spPr>
              <a:ln>
                <a:prstDash val="solid"/>
              </a:ln>
            </spPr>
          </marker>
          <cat>
            <numRef>
              <f>'o_Fin Stats'!$T$2:$CA$2</f>
              <numCache>
                <formatCode>d\-mmm\-yy</formatCode>
                <ptCount val="60"/>
                <pt idx="0">
                  <v>45322</v>
                </pt>
                <pt idx="1">
                  <v>45351</v>
                </pt>
                <pt idx="2">
                  <v>45382</v>
                </pt>
                <pt idx="3">
                  <v>45412</v>
                </pt>
                <pt idx="4">
                  <v>45443</v>
                </pt>
                <pt idx="5">
                  <v>45473</v>
                </pt>
                <pt idx="6">
                  <v>45504</v>
                </pt>
                <pt idx="7">
                  <v>45535</v>
                </pt>
                <pt idx="8">
                  <v>45565</v>
                </pt>
                <pt idx="9">
                  <v>45596</v>
                </pt>
                <pt idx="10">
                  <v>45626</v>
                </pt>
                <pt idx="11">
                  <v>45657</v>
                </pt>
                <pt idx="12">
                  <v>45688</v>
                </pt>
                <pt idx="13">
                  <v>45716</v>
                </pt>
                <pt idx="14">
                  <v>45747</v>
                </pt>
                <pt idx="15">
                  <v>45777</v>
                </pt>
                <pt idx="16">
                  <v>45808</v>
                </pt>
                <pt idx="17">
                  <v>45838</v>
                </pt>
                <pt idx="18">
                  <v>45869</v>
                </pt>
                <pt idx="19">
                  <v>45900</v>
                </pt>
                <pt idx="20">
                  <v>45930</v>
                </pt>
                <pt idx="21">
                  <v>45961</v>
                </pt>
                <pt idx="22">
                  <v>45991</v>
                </pt>
                <pt idx="23">
                  <v>46022</v>
                </pt>
                <pt idx="24">
                  <v>46053</v>
                </pt>
                <pt idx="25">
                  <v>46081</v>
                </pt>
                <pt idx="26">
                  <v>46112</v>
                </pt>
                <pt idx="27">
                  <v>46142</v>
                </pt>
                <pt idx="28">
                  <v>46173</v>
                </pt>
                <pt idx="29">
                  <v>46203</v>
                </pt>
                <pt idx="30">
                  <v>46234</v>
                </pt>
                <pt idx="31">
                  <v>46265</v>
                </pt>
                <pt idx="32">
                  <v>46295</v>
                </pt>
                <pt idx="33">
                  <v>46326</v>
                </pt>
                <pt idx="34">
                  <v>46356</v>
                </pt>
                <pt idx="35">
                  <v>46387</v>
                </pt>
                <pt idx="36">
                  <v>46418</v>
                </pt>
                <pt idx="37">
                  <v>46446</v>
                </pt>
                <pt idx="38">
                  <v>46477</v>
                </pt>
                <pt idx="39">
                  <v>46507</v>
                </pt>
                <pt idx="40">
                  <v>46538</v>
                </pt>
                <pt idx="41">
                  <v>46568</v>
                </pt>
                <pt idx="42">
                  <v>46599</v>
                </pt>
                <pt idx="43">
                  <v>46630</v>
                </pt>
                <pt idx="44">
                  <v>46660</v>
                </pt>
                <pt idx="45">
                  <v>46691</v>
                </pt>
                <pt idx="46">
                  <v>46721</v>
                </pt>
                <pt idx="47">
                  <v>46752</v>
                </pt>
                <pt idx="48">
                  <v>46783</v>
                </pt>
                <pt idx="49">
                  <v>46812</v>
                </pt>
                <pt idx="50">
                  <v>46843</v>
                </pt>
                <pt idx="51">
                  <v>46873</v>
                </pt>
                <pt idx="52">
                  <v>46904</v>
                </pt>
                <pt idx="53">
                  <v>46934</v>
                </pt>
                <pt idx="54">
                  <v>46965</v>
                </pt>
                <pt idx="55">
                  <v>46996</v>
                </pt>
                <pt idx="56">
                  <v>47026</v>
                </pt>
                <pt idx="57">
                  <v>47057</v>
                </pt>
                <pt idx="58">
                  <v>47087</v>
                </pt>
                <pt idx="59">
                  <v>47118</v>
                </pt>
              </numCache>
            </numRef>
          </cat>
          <val>
            <numRef>
              <f>'o_Fin Stats'!$T$192:$CA$192</f>
              <numCache>
                <formatCode>#,##0_);[Red]\(#,##0\);"-"_)</formatCode>
                <ptCount val="60"/>
                <pt idx="0">
                  <v>0</v>
                </pt>
                <pt idx="1">
                  <v>0</v>
                </pt>
                <pt idx="2">
                  <v>0</v>
                </pt>
                <pt idx="3">
                  <v>0</v>
                </pt>
                <pt idx="4">
                  <v>1075000</v>
                </pt>
                <pt idx="5">
                  <v>-9368.253142095171</v>
                </pt>
                <pt idx="6">
                  <v>97088.49371580972</v>
                </pt>
                <pt idx="7">
                  <v>153270.2405737146</v>
                </pt>
                <pt idx="8">
                  <v>276226.9874316195</v>
                </pt>
                <pt idx="9">
                  <v>399183.7342895244</v>
                </pt>
                <pt idx="10">
                  <v>228216.6642710846</v>
                </pt>
                <pt idx="11">
                  <v>313183.1022091366</v>
                </pt>
                <pt idx="12">
                  <v>-237724.0259329586</v>
                </pt>
                <pt idx="13">
                  <v>-311406.9157585127</v>
                </pt>
                <pt idx="14">
                  <v>-75426.54390060803</v>
                </pt>
                <pt idx="15">
                  <v>-76746.17204270334</v>
                </pt>
                <pt idx="16">
                  <v>-201919.6166703957</v>
                </pt>
                <pt idx="17">
                  <v>34060.75518750891</v>
                </pt>
                <pt idx="18">
                  <v>270041.1270454136</v>
                </pt>
                <pt idx="19">
                  <v>145592.4989033188</v>
                </pt>
                <pt idx="20">
                  <v>381572.8707612234</v>
                </pt>
                <pt idx="21">
                  <v>617553.2426191281</v>
                </pt>
                <pt idx="22">
                  <v>415752.6056702077</v>
                </pt>
                <pt idx="23">
                  <v>434195.2335521817</v>
                </pt>
                <pt idx="24">
                  <v>-48094.33083991369</v>
                </pt>
                <pt idx="25">
                  <v>-120318.1603914679</v>
                </pt>
                <pt idx="26">
                  <v>245240.125216437</v>
                </pt>
                <pt idx="27">
                  <v>336254.2108243419</v>
                </pt>
                <pt idx="28">
                  <v>183288.4521318451</v>
                </pt>
                <pt idx="29">
                  <v>548846.73773975</v>
                </pt>
                <pt idx="30">
                  <v>914405.0233476548</v>
                </pt>
                <pt idx="31">
                  <v>773912.1503896139</v>
                </pt>
                <pt idx="32">
                  <v>1139470.435997519</v>
                </pt>
                <pt idx="33">
                  <v>1303778.721605424</v>
                </pt>
                <pt idx="34">
                  <v>1074404.465783668</v>
                </pt>
                <pt idx="35">
                  <v>892171.1217334403</v>
                </pt>
                <pt idx="36">
                  <v>1226250.761753845</v>
                </pt>
                <pt idx="37">
                  <v>1065389.57433314</v>
                </pt>
                <pt idx="38">
                  <v>1471649.562353545</v>
                </pt>
                <pt idx="39">
                  <v>1594688.02437395</v>
                </pt>
                <pt idx="40">
                  <v>1358743.710816591</v>
                </pt>
                <pt idx="41">
                  <v>1765003.698836996</v>
                </pt>
                <pt idx="42">
                  <v>2171263.6868574</v>
                </pt>
                <pt idx="43">
                  <v>2021262.227967075</v>
                </pt>
                <pt idx="44">
                  <v>2427522.21598748</v>
                </pt>
                <pt idx="45">
                  <v>2833782.204007884</v>
                </pt>
                <pt idx="46">
                  <v>2597835.587143036</v>
                </pt>
                <pt idx="47">
                  <v>1627852.152179696</v>
                </pt>
                <pt idx="48">
                  <v>2001647.653682476</v>
                </pt>
                <pt idx="49">
                  <v>1876608.935753266</v>
                </pt>
                <pt idx="50">
                  <v>2326277.985071045</v>
                </pt>
                <pt idx="51">
                  <v>2483765.812608825</v>
                </pt>
                <pt idx="52">
                  <v>2244498.689135905</v>
                </pt>
                <pt idx="53">
                  <v>2694167.738453684</v>
                </pt>
                <pt idx="54">
                  <v>3143836.787771464</v>
                </pt>
                <pt idx="55">
                  <v>2988351.903606464</v>
                </pt>
                <pt idx="56">
                  <v>3438020.952924243</v>
                </pt>
                <pt idx="57">
                  <v>3887690.002242023</v>
                </pt>
                <pt idx="58">
                  <v>3647584.580378925</v>
                </pt>
                <pt idx="59">
                  <v>2945958.415138771</v>
                </pt>
              </numCache>
            </numRef>
          </val>
          <smooth val="0"/>
        </ser>
        <dLbls>
          <showLegendKey val="0"/>
          <showVal val="0"/>
          <showCatName val="0"/>
          <showSerName val="0"/>
          <showPercent val="0"/>
          <showBubbleSize val="0"/>
        </dLbls>
        <smooth val="0"/>
        <axId val="671314152"/>
        <axId val="671316112"/>
      </lineChart>
      <dateAx>
        <axId val="671314152"/>
        <scaling>
          <orientation val="minMax"/>
        </scaling>
        <delete val="0"/>
        <axPos val="b"/>
        <numFmt formatCode="d\-mmm\-yy"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6112"/>
        <crosses val="autoZero"/>
        <lblOffset val="100"/>
        <baseTimeUnit val="months"/>
      </dateAx>
      <valAx>
        <axId val="671316112"/>
        <scaling>
          <orientation val="minMax"/>
        </scaling>
        <delete val="0"/>
        <axPos val="l"/>
        <majorGridlines>
          <spPr>
            <a:ln w="6350" cap="flat" cmpd="sng" algn="ctr">
              <a:solidFill>
                <a:schemeClr val="bg1">
                  <a:lumMod val="85000"/>
                </a:schemeClr>
              </a:solidFill>
              <a:prstDash val="solid"/>
              <a:round/>
            </a:ln>
          </spPr>
        </majorGridlines>
        <numFmt formatCode="#,##0;[Red]\(&quot;£&quot;#,##0\)" sourceLinked="0"/>
        <majorTickMark val="none"/>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4152"/>
        <crosses val="autoZero"/>
        <crossBetween val="between"/>
      </valAx>
    </plotArea>
    <plotVisOnly val="0"/>
    <dispBlanksAs val="gap"/>
  </chart>
  <spPr>
    <a:solidFill>
      <a:schemeClr val="bg1"/>
    </a:solidFill>
    <a:ln w="9525" cap="flat" cmpd="sng" algn="ctr">
      <a:solidFill>
        <a:schemeClr val="bg1">
          <a:lumMod val="75000"/>
        </a:schemeClr>
      </a:solidFill>
      <a:prstDash val="solid"/>
      <a:round/>
    </a:ln>
  </spPr>
</chartSpace>
</file>

<file path=xl/charts/chart5.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Free Cash Flow</a:t>
            </a:r>
            <a:r>
              <a:rPr lang="en-US" sz="1200" b="1" baseline="0">
                <a:latin typeface="Arial" panose="020B0604020202020204" pitchFamily="34" charset="0"/>
                <a:cs typeface="Arial" panose="020B0604020202020204" pitchFamily="34" charset="0"/>
              </a:rPr>
              <a:t xml:space="preserve"> Generation</a:t>
            </a:r>
            <a:endParaRPr lang="en-US" sz="1200" b="1">
              <a:latin typeface="Arial" panose="020B0604020202020204" pitchFamily="34" charset="0"/>
              <a:cs typeface="Arial" panose="020B0604020202020204" pitchFamily="34" charset="0"/>
            </a:endParaRP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barChart>
        <barDir val="col"/>
        <grouping val="clustered"/>
        <varyColors val="0"/>
        <ser>
          <idx val="4"/>
          <order val="0"/>
          <tx>
            <strRef>
              <f>o_Dashboard!$H$57</f>
              <strCache>
                <ptCount val="1"/>
                <pt idx="0">
                  <v>Free Cash Flow Generation</v>
                </pt>
              </strCache>
            </strRef>
          </tx>
          <spPr>
            <a:solidFill>
              <a:schemeClr val="accent5"/>
            </a:solidFill>
            <a:ln>
              <a:solidFill>
                <a:schemeClr val="tx1">
                  <a:lumMod val="50000"/>
                  <a:lumOff val="50000"/>
                </a:schemeClr>
              </a:solid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o_Dashboard!$K$57:$O$57</f>
              <numCache>
                <formatCode>#,##0;[Red]\(#,##0\);"-"_)</formatCode>
                <ptCount val="5"/>
                <pt idx="0">
                  <v>-920850</v>
                </pt>
                <pt idx="1">
                  <v>146855.2299545981</v>
                </pt>
                <pt idx="2">
                  <v>907282.2606673677</v>
                </pt>
                <pt idx="3">
                  <v>2074741.788722642</v>
                </pt>
                <pt idx="4">
                  <v>2472920.51522215</v>
                </pt>
              </numCache>
            </numRef>
          </val>
        </ser>
        <dLbls>
          <showLegendKey val="0"/>
          <showVal val="0"/>
          <showCatName val="0"/>
          <showSerName val="0"/>
          <showPercent val="0"/>
          <showBubbleSize val="0"/>
        </dLbls>
        <gapWidth val="61"/>
        <axId val="671314152"/>
        <axId val="671316112"/>
      </barChart>
      <catAx>
        <axId val="671314152"/>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6112"/>
        <crosses val="autoZero"/>
        <auto val="1"/>
        <lblAlgn val="ctr"/>
        <lblOffset val="100"/>
        <noMultiLvlLbl val="0"/>
      </catAx>
      <valAx>
        <axId val="671316112"/>
        <scaling>
          <orientation val="minMax"/>
        </scaling>
        <delete val="0"/>
        <axPos val="l"/>
        <majorGridlines>
          <spPr>
            <a:ln w="6350" cap="flat" cmpd="sng" algn="ctr">
              <a:solidFill>
                <a:schemeClr val="bg1">
                  <a:lumMod val="85000"/>
                </a:schemeClr>
              </a:solidFill>
              <a:prstDash val="solid"/>
              <a:round/>
            </a:ln>
          </spPr>
        </majorGridlines>
        <numFmt formatCode="#,##0;[Red]\(&quot;£&quot;#,##0\)" sourceLinked="0"/>
        <majorTickMark val="none"/>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4152"/>
        <crosses val="autoZero"/>
        <crossBetween val="between"/>
      </valAx>
    </plotArea>
    <plotVisOnly val="0"/>
    <dispBlanksAs val="gap"/>
  </chart>
  <spPr>
    <a:solidFill>
      <a:schemeClr val="bg1"/>
    </a:solidFill>
    <a:ln w="9525" cap="flat" cmpd="sng" algn="ctr">
      <a:solidFill>
        <a:schemeClr val="bg1">
          <a:lumMod val="75000"/>
        </a:schemeClr>
      </a:solidFill>
      <a:prstDash val="solid"/>
      <a:round/>
    </a:ln>
  </spPr>
</chartSpace>
</file>

<file path=xl/charts/chart6.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Cash Flow Statement Breakdown</a:t>
            </a: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barChart>
        <barDir val="col"/>
        <grouping val="stacked"/>
        <varyColors val="0"/>
        <ser>
          <idx val="0"/>
          <order val="0"/>
          <tx>
            <v>Cash Flow From Investing Activities</v>
          </tx>
          <spPr>
            <a:solidFill>
              <a:srgbClr val="FF9900"/>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'o_Fin Stats'!$M$178:$Q$178</f>
              <numCache>
                <formatCode>#,##0;[Red]\(#,##0\);"-"_)</formatCode>
                <ptCount val="5"/>
                <pt idx="0">
                  <v>-230575</v>
                </pt>
                <pt idx="1">
                  <v>-603750</v>
                </pt>
                <pt idx="2">
                  <v>-805000</v>
                </pt>
                <pt idx="3">
                  <v>-517499.9999999999</v>
                </pt>
                <pt idx="4">
                  <v>0</v>
                </pt>
              </numCache>
            </numRef>
          </val>
        </ser>
        <ser>
          <idx val="1"/>
          <order val="1"/>
          <tx>
            <v>Cash Flow From Operations</v>
          </tx>
          <spPr>
            <a:solidFill>
              <a:schemeClr val="accent1"/>
            </a:solidFill>
            <a:ln>
              <a:noFill/>
              <a:prstDash val="solid"/>
            </a:ln>
          </spPr>
          <invertIfNegative val="0"/>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'o_Fin Stats'!$M$173:$Q$173</f>
              <numCache>
                <formatCode>#,##0;[Red]\(#,##0\);"-"_)</formatCode>
                <ptCount val="5"/>
                <pt idx="0">
                  <v>-491198.8168763444</v>
                </pt>
                <pt idx="1">
                  <v>945818.9130241196</v>
                </pt>
                <pt idx="2">
                  <v>1814286.555544533</v>
                </pt>
                <pt idx="3">
                  <v>2115443.491135143</v>
                </pt>
                <pt idx="4">
                  <v>2472920.51522215</v>
                </pt>
              </numCache>
            </numRef>
          </val>
        </ser>
        <ser>
          <idx val="2"/>
          <order val="2"/>
          <tx>
            <v>Cash Flow from Financing Activities</v>
          </tx>
          <spPr>
            <a:solidFill>
              <a:schemeClr val="accent2"/>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'o_Fin Stats'!$M$186:$Q$186</f>
              <numCache>
                <formatCode>#,##0;[Red]\(#,##0\);"-"_)</formatCode>
                <ptCount val="5"/>
                <pt idx="0">
                  <v>-40043.08091451869</v>
                </pt>
                <pt idx="1">
                  <v>-221056.7816810721</v>
                </pt>
                <pt idx="2">
                  <v>-551310.6673632741</v>
                </pt>
                <pt idx="3">
                  <v>-862262.4606888855</v>
                </pt>
                <pt idx="4">
                  <v>-1154814.252263075</v>
                </pt>
              </numCache>
            </numRef>
          </val>
        </ser>
        <dLbls>
          <showLegendKey val="0"/>
          <showVal val="0"/>
          <showCatName val="0"/>
          <showSerName val="0"/>
          <showPercent val="0"/>
          <showBubbleSize val="0"/>
        </dLbls>
        <gapWidth val="30"/>
        <overlap val="100"/>
        <axId val="671314152"/>
        <axId val="671316112"/>
      </barChart>
      <lineChart>
        <grouping val="standard"/>
        <varyColors val="0"/>
        <ser>
          <idx val="3"/>
          <order val="3"/>
          <tx>
            <v>Net Cash Flow Movement</v>
          </tx>
          <spPr>
            <a:ln w="28575" cap="rnd">
              <a:solidFill>
                <a:srgbClr val="002060"/>
              </a:solidFill>
              <a:prstDash val="solid"/>
              <a:round/>
            </a:ln>
          </spPr>
          <marker>
            <symbol val="diamond"/>
            <size val="5"/>
            <spPr>
              <a:solidFill>
                <a:srgbClr val="002060"/>
              </a:solidFill>
              <a:ln w="9525">
                <a:solidFill>
                  <a:srgbClr val="002060"/>
                </a:solidFill>
                <a:prstDash val="solid"/>
              </a:ln>
            </spPr>
          </marker>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rgbClr val="002060"/>
                    </a:solidFill>
                    <a:latin typeface="+mn-lt"/>
                    <a:ea typeface="+mn-ea"/>
                    <a:cs typeface="+mn-cs"/>
                  </a:defRPr>
                </a:pPr>
                <a:r>
                  <a:t>None</a:t>
                </a:r>
                <a:endParaRPr lang="en-US"/>
              </a:p>
            </txPr>
            <dLblPos val="t"/>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'o_Fin Stats'!$M$190:$Q$190</f>
              <numCache>
                <formatCode>#,##0_);[Red]\(#,##0\);"-"_)</formatCode>
                <ptCount val="5"/>
                <pt idx="0">
                  <v>-761816.8977908631</v>
                </pt>
                <pt idx="1">
                  <v>121012.1313430475</v>
                </pt>
                <pt idx="2">
                  <v>457975.8881812592</v>
                </pt>
                <pt idx="3">
                  <v>735681.0304462572</v>
                </pt>
                <pt idx="4">
                  <v>1318106.262959075</v>
                </pt>
              </numCache>
            </numRef>
          </val>
          <smooth val="0"/>
        </ser>
        <dLbls>
          <showLegendKey val="0"/>
          <showVal val="0"/>
          <showCatName val="0"/>
          <showSerName val="0"/>
          <showPercent val="0"/>
          <showBubbleSize val="0"/>
        </dLbls>
        <marker val="1"/>
        <smooth val="0"/>
        <axId val="671314152"/>
        <axId val="671316112"/>
      </lineChart>
      <catAx>
        <axId val="671314152"/>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6112"/>
        <crosses val="autoZero"/>
        <auto val="1"/>
        <lblAlgn val="ctr"/>
        <lblOffset val="100"/>
        <noMultiLvlLbl val="0"/>
      </catAx>
      <valAx>
        <axId val="671316112"/>
        <scaling>
          <orientation val="minMax"/>
        </scaling>
        <delete val="0"/>
        <axPos val="l"/>
        <majorGridlines>
          <spPr>
            <a:ln w="6350" cap="flat" cmpd="sng" algn="ctr">
              <a:solidFill>
                <a:schemeClr val="bg1">
                  <a:lumMod val="85000"/>
                </a:schemeClr>
              </a:solidFill>
              <a:prstDash val="solid"/>
              <a:round/>
            </a:ln>
          </spPr>
        </majorGridlines>
        <numFmt formatCode="#,##0;[Red]\(&quot;£&quot;#,##0\)" sourceLinked="0"/>
        <majorTickMark val="none"/>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4152"/>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0"/>
    <dispBlanksAs val="gap"/>
  </chart>
  <spPr>
    <a:solidFill>
      <a:schemeClr val="bg1"/>
    </a:solidFill>
    <a:ln w="9525" cap="flat" cmpd="sng" algn="ctr">
      <a:solidFill>
        <a:schemeClr val="bg1">
          <a:lumMod val="75000"/>
        </a:schemeClr>
      </a:solidFill>
      <a:prstDash val="solid"/>
      <a:round/>
    </a:ln>
  </spPr>
</chartSpace>
</file>

<file path=xl/charts/chart7.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baseline="0">
                <a:latin typeface="Arial" panose="020B0604020202020204" pitchFamily="34" charset="0"/>
                <a:cs typeface="Arial" panose="020B0604020202020204" pitchFamily="34" charset="0"/>
              </a:rPr>
              <a:t>Average Revenue by Ship Type</a:t>
            </a:r>
            <a:endParaRPr lang="en-US" sz="1200" b="1">
              <a:latin typeface="Arial" panose="020B0604020202020204" pitchFamily="34" charset="0"/>
              <a:cs typeface="Arial" panose="020B0604020202020204" pitchFamily="34" charset="0"/>
            </a:endParaRP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manualLayout>
          <layoutTarget val="inner"/>
          <xMode val="edge"/>
          <yMode val="edge"/>
          <wMode val="factor"/>
          <hMode val="factor"/>
          <x val="0.1914015147604532"/>
          <y val="0.06719656062996267"/>
          <w val="0.6343902012248469"/>
          <h val="0.8750209672066853"/>
        </manualLayout>
      </layout>
      <pieChart>
        <varyColors val="1"/>
        <ser>
          <idx val="0"/>
          <order val="0"/>
          <tx>
            <strRef>
              <f>o_Dashboard!$G$39</f>
              <strCache>
                <ptCount val="1"/>
                <pt idx="0">
                  <v>Revenue</v>
                </pt>
              </strCache>
            </strRef>
          </tx>
          <spPr>
            <a:ln>
              <a:prstDash val="solid"/>
            </a:ln>
          </spPr>
          <dPt>
            <idx val="0"/>
            <bubble3D val="0"/>
            <spPr>
              <a:solidFill>
                <a:schemeClr val="accent1"/>
              </a:solidFill>
              <a:ln>
                <a:noFill/>
                <a:prstDash val="solid"/>
              </a:ln>
            </spPr>
          </dPt>
          <dPt>
            <idx val="1"/>
            <bubble3D val="0"/>
            <spPr>
              <a:solidFill>
                <a:schemeClr val="accent3"/>
              </a:solidFill>
              <a:ln>
                <a:noFill/>
                <a:prstDash val="solid"/>
              </a:ln>
            </spPr>
          </dPt>
          <dPt>
            <idx val="2"/>
            <bubble3D val="0"/>
            <spPr>
              <a:solidFill>
                <a:schemeClr val="accent5"/>
              </a:solidFill>
              <a:ln>
                <a:noFill/>
                <a:prstDash val="solid"/>
              </a:ln>
            </spPr>
          </dPt>
          <dPt>
            <idx val="3"/>
            <bubble3D val="0"/>
            <spPr>
              <a:solidFill>
                <a:schemeClr val="accent1">
                  <a:lumMod val="60000"/>
                </a:schemeClr>
              </a:solidFill>
              <a:ln>
                <a:noFill/>
                <a:prstDash val="solid"/>
              </a:ln>
            </spPr>
          </dPt>
          <dPt>
            <idx val="4"/>
            <bubble3D val="0"/>
            <spPr>
              <a:solidFill>
                <a:schemeClr val="accent3">
                  <a:lumMod val="60000"/>
                </a:schemeClr>
              </a:solidFill>
              <a:ln>
                <a:noFill/>
                <a:prstDash val="solid"/>
              </a:ln>
            </spPr>
          </dPt>
          <dPt>
            <idx val="5"/>
            <bubble3D val="0"/>
            <spPr>
              <a:solidFill>
                <a:schemeClr val="accent5">
                  <a:lumMod val="60000"/>
                </a:schemeClr>
              </a:solidFill>
              <a:ln>
                <a:noFill/>
                <a:prstDash val="solid"/>
              </a:ln>
            </spPr>
          </dPt>
          <dPt>
            <idx val="6"/>
            <bubble3D val="0"/>
            <spPr>
              <a:solidFill>
                <a:schemeClr val="accent1">
                  <a:lumMod val="80000"/>
                  <a:lumOff val="20000"/>
                </a:schemeClr>
              </a:solidFill>
              <a:ln>
                <a:noFill/>
                <a:prstDash val="solid"/>
              </a:ln>
            </spPr>
          </dPt>
          <dPt>
            <idx val="7"/>
            <bubble3D val="0"/>
            <spPr>
              <a:solidFill>
                <a:schemeClr val="accent3">
                  <a:lumMod val="80000"/>
                  <a:lumOff val="20000"/>
                </a:schemeClr>
              </a:solidFill>
              <a:ln>
                <a:noFill/>
                <a:prstDash val="solid"/>
              </a:ln>
            </spPr>
          </dPt>
          <dPt>
            <idx val="8"/>
            <bubble3D val="0"/>
            <spPr>
              <a:solidFill>
                <a:schemeClr val="accent5">
                  <a:lumMod val="80000"/>
                  <a:lumOff val="20000"/>
                </a:schemeClr>
              </a:solidFill>
              <a:ln>
                <a:noFill/>
                <a:prstDash val="solid"/>
              </a:ln>
            </spPr>
          </dPt>
          <dPt>
            <idx val="9"/>
            <bubble3D val="0"/>
            <spPr>
              <a:solidFill>
                <a:schemeClr val="accent1">
                  <a:lumMod val="80000"/>
                </a:schemeClr>
              </a:solidFill>
              <a:ln>
                <a:no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showLegendKey val="0"/>
            <showVal val="1"/>
            <showCatName val="1"/>
            <showSerName val="0"/>
            <showPercent val="1"/>
            <showBubbleSize val="0"/>
            <showLeaderLines val="1"/>
          </dLbls>
          <cat>
            <strRef>
              <f>o_Dashboard!$H$40:$H$49</f>
              <strCache>
                <ptCount val="10"/>
                <pt idx="0">
                  <v>ST1 - Container Ships</v>
                </pt>
                <pt idx="1">
                  <v>ST2 - Bulk Carriers</v>
                </pt>
                <pt idx="2">
                  <v>ST3 - Tankers</v>
                </pt>
                <pt idx="3">
                  <v>ST4 - Ro-Ro Vessels</v>
                </pt>
                <pt idx="4">
                  <v>ST5 - LNG Carriers</v>
                </pt>
                <pt idx="5">
                  <v>ST6 - N/A</v>
                </pt>
                <pt idx="6">
                  <v>ST7 - N/A</v>
                </pt>
                <pt idx="7">
                  <v>ST8 - N/A</v>
                </pt>
                <pt idx="8">
                  <v>ST9 - N/A</v>
                </pt>
                <pt idx="9">
                  <v>ST10 - N/A</v>
                </pt>
              </strCache>
            </strRef>
          </cat>
          <val>
            <numRef>
              <f>o_Dashboard!$Q$40:$Q$49</f>
              <numCache>
                <formatCode>#,##0_);[Red]\(#,##0\);"-"_)</formatCode>
                <ptCount val="10"/>
                <pt idx="0">
                  <v>4638606</v>
                </pt>
                <pt idx="1">
                  <v>2785963.6</v>
                </pt>
                <pt idx="2">
                  <v>4777436.3</v>
                </pt>
                <pt idx="3">
                  <v>735690.9</v>
                </pt>
                <pt idx="4">
                  <v>1042228.775</v>
                </pt>
                <pt idx="5">
                  <v>0</v>
                </pt>
                <pt idx="6">
                  <v>0</v>
                </pt>
                <pt idx="7">
                  <v>0</v>
                </pt>
                <pt idx="8">
                  <v>0</v>
                </pt>
                <pt idx="9">
                  <v>0</v>
                </pt>
              </numCache>
            </numRef>
          </val>
        </ser>
        <dLbls>
          <showLegendKey val="0"/>
          <showVal val="0"/>
          <showCatName val="0"/>
          <showSerName val="0"/>
          <showPercent val="0"/>
          <showBubbleSize val="0"/>
          <showLeaderLines val="1"/>
        </dLbls>
        <firstSliceAng val="0"/>
      </pieChart>
    </plotArea>
    <plotVisOnly val="0"/>
    <dispBlanksAs val="gap"/>
  </chart>
  <spPr>
    <a:solidFill>
      <a:schemeClr val="bg1"/>
    </a:solidFill>
    <a:ln w="9525" cap="flat" cmpd="sng" algn="ctr">
      <a:solidFill>
        <a:schemeClr val="bg1">
          <a:lumMod val="75000"/>
        </a:schemeClr>
      </a:solidFill>
      <a:prstDash val="solid"/>
      <a:round/>
    </a:ln>
  </spPr>
</chartSpace>
</file>

<file path=xl/charts/chart8.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Profit Margins</a:t>
            </a: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lineChart>
        <grouping val="standard"/>
        <varyColors val="0"/>
        <ser>
          <idx val="0"/>
          <order val="0"/>
          <tx>
            <strRef>
              <f>o_Dashboard!$H$125</f>
              <strCache>
                <ptCount val="1"/>
                <pt idx="0">
                  <v>Gross Profit Margin</v>
                </pt>
              </strCache>
            </strRef>
          </tx>
          <spPr>
            <a:ln w="28575" cap="rnd">
              <a:solidFill>
                <a:schemeClr val="accent3">
                  <a:lumMod val="60000"/>
                </a:schemeClr>
              </a:solidFill>
              <a:prstDash val="solid"/>
              <a:round/>
            </a:ln>
          </spPr>
          <marker>
            <symbol val="diamond"/>
            <size val="5"/>
            <spPr>
              <a:solidFill>
                <a:schemeClr val="accent3">
                  <a:lumMod val="60000"/>
                </a:schemeClr>
              </a:solidFill>
              <a:ln w="9525">
                <a:solidFill>
                  <a:schemeClr val="accent3">
                    <a:lumMod val="60000"/>
                  </a:schemeClr>
                </a:solidFill>
                <a:prstDash val="solid"/>
              </a:ln>
            </spPr>
          </marker>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rgbClr val="3B7C68"/>
                    </a:solidFill>
                    <a:latin typeface="+mn-lt"/>
                    <a:ea typeface="+mn-ea"/>
                    <a:cs typeface="+mn-cs"/>
                  </a:defRPr>
                </a:pPr>
                <a:r>
                  <a:t>None</a:t>
                </a:r>
                <a:endParaRPr lang="en-US"/>
              </a:p>
            </txPr>
            <dLblPos val="t"/>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o_Dashboard!$K$125:$O$125</f>
              <numCache>
                <formatCode>0.0%</formatCode>
                <ptCount val="5"/>
                <pt idx="0">
                  <v>0.3070540540540541</v>
                </pt>
                <pt idx="1">
                  <v>0.3328702437912964</v>
                </pt>
                <pt idx="2">
                  <v>0.3544056344345022</v>
                </pt>
                <pt idx="3">
                  <v>0.3667026699690832</v>
                </pt>
                <pt idx="4">
                  <v>0.3787654762553862</v>
                </pt>
              </numCache>
            </numRef>
          </val>
          <smooth val="0"/>
        </ser>
        <ser>
          <idx val="1"/>
          <order val="1"/>
          <tx>
            <strRef>
              <f>o_Dashboard!$H$126</f>
              <strCache>
                <ptCount val="1"/>
                <pt idx="0">
                  <v>EBITDA Margin</v>
                </pt>
              </strCache>
            </strRef>
          </tx>
          <spPr>
            <a:ln w="28575" cap="rnd">
              <a:solidFill>
                <a:schemeClr val="accent3"/>
              </a:solidFill>
              <a:prstDash val="solid"/>
              <a:round/>
            </a:ln>
          </spPr>
          <marker>
            <symbol val="diamond"/>
            <size val="5"/>
            <spPr>
              <a:solidFill>
                <a:schemeClr val="accent3"/>
              </a:solidFill>
              <a:ln w="9525">
                <a:solidFill>
                  <a:schemeClr val="accent3"/>
                </a:solidFill>
                <a:prstDash val="solid"/>
              </a:ln>
            </spPr>
          </marker>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accent3"/>
                    </a:solidFill>
                    <a:latin typeface="+mn-lt"/>
                    <a:ea typeface="+mn-ea"/>
                    <a:cs typeface="+mn-cs"/>
                  </a:defRPr>
                </a:pPr>
                <a:r>
                  <a:t>None</a:t>
                </a:r>
                <a:endParaRPr lang="en-US"/>
              </a:p>
            </txPr>
            <dLblPos val="t"/>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o_Dashboard!$K$126:$O$126</f>
              <numCache>
                <formatCode>0.0%</formatCode>
                <ptCount val="5"/>
                <pt idx="0">
                  <v>0.02745945945945942</v>
                </pt>
                <pt idx="1">
                  <v>0.08781556163135111</v>
                </pt>
                <pt idx="2">
                  <v>0.1453161734772285</v>
                </pt>
                <pt idx="3">
                  <v>0.1609747760347196</v>
                </pt>
                <pt idx="4">
                  <v>0.1763351194958772</v>
                </pt>
              </numCache>
            </numRef>
          </val>
          <smooth val="0"/>
        </ser>
        <ser>
          <idx val="2"/>
          <order val="2"/>
          <tx>
            <strRef>
              <f>o_Dashboard!$H$127</f>
              <strCache>
                <ptCount val="1"/>
                <pt idx="0">
                  <v>Net Profit Margin</v>
                </pt>
              </strCache>
            </strRef>
          </tx>
          <spPr>
            <a:ln w="28575" cap="rnd">
              <a:solidFill>
                <a:schemeClr val="accent1"/>
              </a:solidFill>
              <a:prstDash val="solid"/>
              <a:round/>
            </a:ln>
          </spPr>
          <marker>
            <symbol val="diamond"/>
            <size val="5"/>
            <spPr>
              <a:solidFill>
                <a:schemeClr val="accent1"/>
              </a:solidFill>
              <a:ln w="9525">
                <a:solidFill>
                  <a:schemeClr val="accent1"/>
                </a:solidFill>
                <a:prstDash val="solid"/>
              </a:ln>
            </spPr>
          </marker>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accent1"/>
                    </a:solidFill>
                    <a:latin typeface="+mn-lt"/>
                    <a:ea typeface="+mn-ea"/>
                    <a:cs typeface="+mn-cs"/>
                  </a:defRPr>
                </a:pPr>
                <a:r>
                  <a:t>None</a:t>
                </a:r>
                <a:endParaRPr lang="en-US"/>
              </a:p>
            </txPr>
            <dLblPos val="b"/>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o_Dashboard!$K$127:$O$127</f>
              <numCache>
                <formatCode>0.0%</formatCode>
                <ptCount val="5"/>
                <pt idx="0">
                  <v>0.01783185107017934</v>
                </pt>
                <pt idx="1">
                  <v>0.05742994221494378</v>
                </pt>
                <pt idx="2">
                  <v>0.09650851903317553</v>
                </pt>
                <pt idx="3">
                  <v>0.1070297653859845</v>
                </pt>
                <pt idx="4">
                  <v>0.115437252491806</v>
                </pt>
              </numCache>
            </numRef>
          </val>
          <smooth val="0"/>
        </ser>
        <dLbls>
          <showLegendKey val="0"/>
          <showVal val="0"/>
          <showCatName val="0"/>
          <showSerName val="0"/>
          <showPercent val="0"/>
          <showBubbleSize val="0"/>
        </dLbls>
        <marker val="1"/>
        <smooth val="0"/>
        <axId val="671314152"/>
        <axId val="671316112"/>
      </lineChart>
      <catAx>
        <axId val="671314152"/>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6112"/>
        <crosses val="autoZero"/>
        <auto val="1"/>
        <lblAlgn val="ctr"/>
        <lblOffset val="100"/>
        <noMultiLvlLbl val="0"/>
      </catAx>
      <valAx>
        <axId val="671316112"/>
        <scaling>
          <orientation val="minMax"/>
        </scaling>
        <delete val="0"/>
        <axPos val="l"/>
        <majorGridlines>
          <spPr>
            <a:ln w="6350" cap="flat" cmpd="sng" algn="ctr">
              <a:solidFill>
                <a:schemeClr val="bg1">
                  <a:lumMod val="85000"/>
                </a:schemeClr>
              </a:solidFill>
              <a:prstDash val="solid"/>
              <a:round/>
            </a:ln>
          </spPr>
        </majorGridlines>
        <numFmt formatCode="0%" sourceLinked="0"/>
        <majorTickMark val="none"/>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4152"/>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0"/>
    <dispBlanksAs val="gap"/>
  </chart>
  <spPr>
    <a:solidFill>
      <a:schemeClr val="bg1"/>
    </a:solidFill>
    <a:ln w="9525" cap="flat" cmpd="sng" algn="ctr">
      <a:solidFill>
        <a:schemeClr val="bg1">
          <a:lumMod val="75000"/>
        </a:schemeClr>
      </a:solidFill>
      <a:prstDash val="solid"/>
      <a:round/>
    </a:ln>
  </spPr>
</chartSpace>
</file>

<file path=xl/charts/chart9.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Income</a:t>
            </a:r>
            <a:r>
              <a:rPr lang="en-US" sz="1200" b="1" baseline="0">
                <a:latin typeface="Arial" panose="020B0604020202020204" pitchFamily="34" charset="0"/>
                <a:cs typeface="Arial" panose="020B0604020202020204" pitchFamily="34" charset="0"/>
              </a:rPr>
              <a:t xml:space="preserve"> Statement Breakdown</a:t>
            </a:r>
            <a:endParaRPr lang="en-US" sz="1200" b="1">
              <a:latin typeface="Arial" panose="020B0604020202020204" pitchFamily="34" charset="0"/>
              <a:cs typeface="Arial" panose="020B0604020202020204" pitchFamily="34" charset="0"/>
            </a:endParaRP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barChart>
        <barDir val="col"/>
        <grouping val="stacked"/>
        <varyColors val="0"/>
        <ser>
          <idx val="0"/>
          <order val="0"/>
          <tx>
            <strRef>
              <f>o_Dashboard!$H$63</f>
              <strCache>
                <ptCount val="1"/>
                <pt idx="0">
                  <v>Direct Expenses</v>
                </pt>
              </strCache>
            </strRef>
          </tx>
          <spPr>
            <a:solidFill>
              <a:srgbClr val="002060"/>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o_Dashboard!$K$63:$O$63</f>
              <numCache>
                <formatCode>#,##0;[Red]\(#,##0\);"-"_)</formatCode>
                <ptCount val="5"/>
                <pt idx="0">
                  <v>4486825</v>
                </pt>
                <pt idx="1">
                  <v>8784097.5</v>
                </pt>
                <pt idx="2">
                  <v>10292162.215</v>
                </pt>
                <pt idx="3">
                  <v>10600927.08145</v>
                </pt>
                <pt idx="4">
                  <v>10918954.8938935</v>
                </pt>
              </numCache>
            </numRef>
          </val>
        </ser>
        <ser>
          <idx val="1"/>
          <order val="1"/>
          <tx>
            <strRef>
              <f>o_Dashboard!$H$64</f>
              <strCache>
                <ptCount val="1"/>
                <pt idx="0">
                  <v>Non-Direct Expenses</v>
                </pt>
              </strCache>
            </strRef>
          </tx>
          <spPr>
            <a:solidFill>
              <a:schemeClr val="accent1"/>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o_Dashboard!$K$64:$O$64</f>
              <numCache>
                <formatCode>#,##0;[Red]\(#,##0\);"-"_)</formatCode>
                <ptCount val="5"/>
                <pt idx="0">
                  <v>1810375</v>
                </pt>
                <pt idx="1">
                  <v>3226635</v>
                </pt>
                <pt idx="2">
                  <v>3333335.55</v>
                </pt>
                <pt idx="3">
                  <v>3443732.1915</v>
                </pt>
                <pt idx="4">
                  <v>3557960.560995001</v>
                </pt>
              </numCache>
            </numRef>
          </val>
        </ser>
        <ser>
          <idx val="2"/>
          <order val="2"/>
          <tx>
            <strRef>
              <f>o_Dashboard!$H$65</f>
              <strCache>
                <ptCount val="1"/>
                <pt idx="0">
                  <v>Finance Charges &amp; Depreciation</v>
                </pt>
              </strCache>
            </strRef>
          </tx>
          <spPr>
            <a:solidFill>
              <a:schemeClr val="accent3"/>
            </a:solidFill>
            <a:ln>
              <a:noFill/>
              <a:prstDash val="solid"/>
            </a:ln>
          </spPr>
          <invertIfNegative val="0"/>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o_Dashboard!$K$65:$O$65</f>
              <numCache>
                <formatCode>#,##0;[Red]\(#,##0\);"-"_)</formatCode>
                <ptCount val="5"/>
                <pt idx="0">
                  <v>23851.68576078469</v>
                </pt>
                <pt idx="1">
                  <v>148027.4344744473</v>
                </pt>
                <pt idx="2">
                  <v>265247.8527270133</v>
                </pt>
                <pt idx="3">
                  <v>305799.8231025601</v>
                </pt>
                <pt idx="4">
                  <v>394037.4677374957</v>
                </pt>
              </numCache>
            </numRef>
          </val>
        </ser>
        <ser>
          <idx val="3"/>
          <order val="3"/>
          <tx>
            <strRef>
              <f>o_Dashboard!$H$66</f>
              <strCache>
                <ptCount val="1"/>
                <pt idx="0">
                  <v>Net Profit Before Tax</v>
                </pt>
              </strCache>
            </strRef>
          </tx>
          <spPr>
            <a:solidFill>
              <a:schemeClr val="accent5"/>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o_Dashboard!$K$66:$O$66</f>
              <numCache>
                <formatCode>#,##0;[Red]\(#,##0\);"-"_)</formatCode>
                <ptCount val="5"/>
                <pt idx="0">
                  <v>153948.3142392151</v>
                </pt>
                <pt idx="1">
                  <v>1008240.065525552</v>
                </pt>
                <pt idx="2">
                  <v>2051404.382272987</v>
                </pt>
                <pt idx="3">
                  <v>2388798.403947439</v>
                </pt>
                <pt idx="4">
                  <v>2705267.452374</v>
                </pt>
              </numCache>
            </numRef>
          </val>
        </ser>
        <dLbls>
          <showLegendKey val="0"/>
          <showVal val="0"/>
          <showCatName val="0"/>
          <showSerName val="0"/>
          <showPercent val="0"/>
          <showBubbleSize val="0"/>
        </dLbls>
        <gapWidth val="30"/>
        <overlap val="100"/>
        <axId val="671314152"/>
        <axId val="671316112"/>
      </barChart>
      <catAx>
        <axId val="671314152"/>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6112"/>
        <crosses val="autoZero"/>
        <auto val="1"/>
        <lblAlgn val="ctr"/>
        <lblOffset val="100"/>
        <noMultiLvlLbl val="0"/>
      </catAx>
      <valAx>
        <axId val="671316112"/>
        <scaling>
          <orientation val="minMax"/>
        </scaling>
        <delete val="0"/>
        <axPos val="l"/>
        <majorGridlines>
          <spPr>
            <a:ln w="6350" cap="flat" cmpd="sng" algn="ctr">
              <a:solidFill>
                <a:schemeClr val="bg1">
                  <a:lumMod val="85000"/>
                </a:schemeClr>
              </a:solidFill>
              <a:prstDash val="solid"/>
              <a:round/>
            </a:ln>
          </spPr>
        </majorGridlines>
        <numFmt formatCode="General" sourceLinked="0"/>
        <majorTickMark val="none"/>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4152"/>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0"/>
    <dispBlanksAs val="gap"/>
  </chart>
  <spPr>
    <a:solidFill>
      <a:schemeClr val="bg1"/>
    </a:solidFill>
    <a:ln w="9525" cap="flat" cmpd="sng" algn="ctr">
      <a:solidFill>
        <a:schemeClr val="bg1">
          <a:lumMod val="75000"/>
        </a:schemeClr>
      </a:solidFill>
      <a:prstDash val="solid"/>
      <a:round/>
    </a:ln>
  </spPr>
</chartSpace>
</file>

<file path=xl/charts/chart10.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Net Income</a:t>
            </a:r>
            <a:r>
              <a:rPr lang="en-US" sz="1200" b="1" baseline="0">
                <a:latin typeface="Arial" panose="020B0604020202020204" pitchFamily="34" charset="0"/>
                <a:cs typeface="Arial" panose="020B0604020202020204" pitchFamily="34" charset="0"/>
              </a:rPr>
              <a:t xml:space="preserve"> vs Net Cash</a:t>
            </a:r>
            <a:endParaRPr lang="en-US" sz="1200" b="1">
              <a:latin typeface="Arial" panose="020B0604020202020204" pitchFamily="34" charset="0"/>
              <a:cs typeface="Arial" panose="020B0604020202020204" pitchFamily="34" charset="0"/>
            </a:endParaRP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barChart>
        <barDir val="col"/>
        <grouping val="clustered"/>
        <varyColors val="0"/>
        <ser>
          <idx val="0"/>
          <order val="0"/>
          <tx>
            <strRef>
              <f>o_Dashboard!$H$59</f>
              <strCache>
                <ptCount val="1"/>
                <pt idx="0">
                  <v>Net Income After Tax</v>
                </pt>
              </strCache>
            </strRef>
          </tx>
          <spPr>
            <a:solidFill>
              <a:schemeClr val="accent2">
                <a:lumMod val="40000"/>
                <a:lumOff val="60000"/>
              </a:schemeClr>
            </a:solidFill>
            <a:ln>
              <a:solidFill>
                <a:schemeClr val="bg1">
                  <a:lumMod val="75000"/>
                </a:schemeClr>
              </a:solid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ct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o_Dashboard!$K$59:$O$59</f>
              <numCache>
                <formatCode>#,##0;[Red]\(#,##0\);"-"_)</formatCode>
                <ptCount val="5"/>
                <pt idx="0">
                  <v>115461.2356794112</v>
                </pt>
                <pt idx="1">
                  <v>756180.0491441647</v>
                </pt>
                <pt idx="2">
                  <v>1538553.286704739</v>
                </pt>
                <pt idx="3">
                  <v>1791598.802960581</v>
                </pt>
                <pt idx="4">
                  <v>2028950.5892805</v>
                </pt>
              </numCache>
            </numRef>
          </val>
        </ser>
        <ser>
          <idx val="1"/>
          <order val="1"/>
          <tx>
            <strRef>
              <f>o_Dashboard!$H$60</f>
              <strCache>
                <ptCount val="1"/>
                <pt idx="0">
                  <v>Net Operating &amp; Investing Cash Flow</v>
                </pt>
              </strCache>
            </strRef>
          </tx>
          <spPr>
            <a:solidFill>
              <a:schemeClr val="accent1"/>
            </a:solidFill>
            <a:ln>
              <a:solidFill>
                <a:schemeClr val="bg1">
                  <a:lumMod val="75000"/>
                </a:schemeClr>
              </a:solid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o_Dashboard!$K$54:$O$55</f>
            </multiLvlStrRef>
          </cat>
          <val>
            <numRef>
              <f>o_Dashboard!$K$60:$O$60</f>
              <numCache>
                <formatCode>#,##0;[Red]\(#,##0\);"-"_)</formatCode>
                <ptCount val="5"/>
                <pt idx="0">
                  <v>-721773.8168763444</v>
                </pt>
                <pt idx="1">
                  <v>342068.9130241196</v>
                </pt>
                <pt idx="2">
                  <v>1009286.555544533</v>
                </pt>
                <pt idx="3">
                  <v>1597943.491135143</v>
                </pt>
                <pt idx="4">
                  <v>2472920.51522215</v>
                </pt>
              </numCache>
            </numRef>
          </val>
        </ser>
        <dLbls>
          <showLegendKey val="0"/>
          <showVal val="0"/>
          <showCatName val="0"/>
          <showSerName val="0"/>
          <showPercent val="0"/>
          <showBubbleSize val="0"/>
        </dLbls>
        <gapWidth val="30"/>
        <axId val="671314152"/>
        <axId val="671316112"/>
      </barChart>
      <catAx>
        <axId val="671314152"/>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6112"/>
        <crosses val="autoZero"/>
        <auto val="1"/>
        <lblAlgn val="ctr"/>
        <lblOffset val="100"/>
        <noMultiLvlLbl val="0"/>
      </catAx>
      <valAx>
        <axId val="671316112"/>
        <scaling>
          <orientation val="minMax"/>
        </scaling>
        <delete val="0"/>
        <axPos val="l"/>
        <majorGridlines>
          <spPr>
            <a:ln w="6350" cap="flat" cmpd="sng" algn="ctr">
              <a:solidFill>
                <a:schemeClr val="bg1">
                  <a:lumMod val="85000"/>
                </a:schemeClr>
              </a:solidFill>
              <a:prstDash val="solid"/>
              <a:round/>
            </a:ln>
          </spPr>
        </majorGridlines>
        <numFmt formatCode="#,##0;[Red]\(&quot;£&quot;#,##0\)" sourceLinked="0"/>
        <majorTickMark val="none"/>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4152"/>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0"/>
    <dispBlanksAs val="gap"/>
  </chart>
  <spPr>
    <a:solidFill>
      <a:schemeClr val="bg1"/>
    </a:solidFill>
    <a:ln w="9525" cap="flat" cmpd="sng" algn="ctr">
      <a:solidFill>
        <a:schemeClr val="bg1">
          <a:lumMod val="75000"/>
        </a:schemeClr>
      </a:solidFill>
      <a:prstDash val="solid"/>
      <a:round/>
    </a:ln>
  </spPr>
</chartSpace>
</file>

<file path=xl/charts/chart1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Working</a:t>
            </a:r>
            <a:r>
              <a:rPr lang="en-US" sz="1200" b="1" baseline="0">
                <a:latin typeface="Arial" panose="020B0604020202020204" pitchFamily="34" charset="0"/>
                <a:cs typeface="Arial" panose="020B0604020202020204" pitchFamily="34" charset="0"/>
              </a:rPr>
              <a:t xml:space="preserve"> Capital</a:t>
            </a:r>
            <a:endParaRPr lang="en-US" sz="1200" b="1">
              <a:latin typeface="Arial" panose="020B0604020202020204" pitchFamily="34" charset="0"/>
              <a:cs typeface="Arial" panose="020B0604020202020204" pitchFamily="34" charset="0"/>
            </a:endParaRP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barChart>
        <barDir val="col"/>
        <grouping val="clustered"/>
        <varyColors val="0"/>
        <ser>
          <idx val="0"/>
          <order val="0"/>
          <tx>
            <strRef>
              <f>o_Dashboard!$H$68</f>
              <strCache>
                <ptCount val="1"/>
                <pt idx="0">
                  <v>Current Assets</v>
                </pt>
              </strCache>
            </strRef>
          </tx>
          <spPr>
            <a:solidFill>
              <a:schemeClr val="accent1"/>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o_Dashboard!$K$12:$O$13</f>
            </multiLvlStrRef>
          </cat>
          <val>
            <numRef>
              <f>o_Dashboard!$K$68:$O$68</f>
              <numCache>
                <formatCode>#,##0;[Red]\(#,##0\);"-"_)</formatCode>
                <ptCount val="5"/>
                <pt idx="0">
                  <v>1376933.102209137</v>
                </pt>
                <pt idx="1">
                  <v>1696032.733552182</v>
                </pt>
                <pt idx="2">
                  <v>2419960.49673344</v>
                </pt>
                <pt idx="3">
                  <v>3232030.995929697</v>
                </pt>
                <pt idx="4">
                  <v>4630346.201076271</v>
                </pt>
              </numCache>
            </numRef>
          </val>
        </ser>
        <ser>
          <idx val="1"/>
          <order val="1"/>
          <tx>
            <strRef>
              <f>o_Dashboard!$H$69</f>
              <strCache>
                <ptCount val="1"/>
                <pt idx="0">
                  <v>Current Liabilities</v>
                </pt>
              </strCache>
            </strRef>
          </tx>
          <spPr>
            <a:solidFill>
              <a:schemeClr val="accent2"/>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ct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o_Dashboard!$K$12:$O$13</f>
            </multiLvlStrRef>
          </cat>
          <val>
            <numRef>
              <f>o_Dashboard!$K$69:$O$69</f>
              <numCache>
                <formatCode>#,##0;[Red]\(#,##0\);"-"_)</formatCode>
                <ptCount val="5"/>
                <pt idx="0">
                  <v>415163.2616834588</v>
                </pt>
                <pt idx="1">
                  <v>576112.1910889645</v>
                </pt>
                <pt idx="2">
                  <v>747549.4822017435</v>
                </pt>
                <pt idx="3">
                  <v>774483.8160237455</v>
                </pt>
                <pt idx="4">
                  <v>904625.2164153988</v>
                </pt>
              </numCache>
            </numRef>
          </val>
        </ser>
        <dLbls>
          <showLegendKey val="0"/>
          <showVal val="0"/>
          <showCatName val="0"/>
          <showSerName val="0"/>
          <showPercent val="0"/>
          <showBubbleSize val="0"/>
        </dLbls>
        <gapWidth val="36"/>
        <axId val="671314152"/>
        <axId val="671316112"/>
      </barChart>
      <lineChart>
        <grouping val="standard"/>
        <varyColors val="0"/>
        <ser>
          <idx val="2"/>
          <order val="2"/>
          <tx>
            <strRef>
              <f>o_Dashboard!$H$70</f>
              <strCache>
                <ptCount val="1"/>
                <pt idx="0">
                  <v>Working Capital Ratio</v>
                </pt>
              </strCache>
            </strRef>
          </tx>
          <spPr>
            <a:ln w="28575" cap="rnd">
              <a:solidFill>
                <a:srgbClr val="002060"/>
              </a:solidFill>
              <a:prstDash val="solid"/>
              <a:round/>
            </a:ln>
          </spPr>
          <marker>
            <symbol val="diamond"/>
            <size val="5"/>
            <spPr>
              <a:solidFill>
                <a:srgbClr val="002060"/>
              </a:solidFill>
              <a:ln w="9525">
                <a:solidFill>
                  <a:srgbClr val="002060"/>
                </a:solidFill>
                <a:prstDash val="solid"/>
              </a:ln>
            </spPr>
          </marker>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rgbClr val="002060"/>
                    </a:solidFill>
                    <a:latin typeface="+mn-lt"/>
                    <a:ea typeface="+mn-ea"/>
                    <a:cs typeface="+mn-cs"/>
                  </a:defRPr>
                </a:pPr>
                <a:r>
                  <a:t>None</a:t>
                </a:r>
                <a:endParaRPr lang="en-US"/>
              </a:p>
            </txPr>
            <dLblPos val="t"/>
            <showLegendKey val="0"/>
            <showVal val="1"/>
            <showCatName val="0"/>
            <showSerName val="0"/>
            <showPercent val="0"/>
            <showBubbleSize val="0"/>
            <showLeaderLines val="0"/>
          </dLbls>
          <cat>
            <numRef>
              <f>o_Dashboard!$K$12:$O$12</f>
              <numCache>
                <formatCode>General</formatCode>
                <ptCount val="5"/>
                <pt idx="0">
                  <v>2024</v>
                </pt>
                <pt idx="1">
                  <v>2025</v>
                </pt>
                <pt idx="2">
                  <v>2026</v>
                </pt>
                <pt idx="3">
                  <v>2027</v>
                </pt>
                <pt idx="4">
                  <v>2028</v>
                </pt>
              </numCache>
            </numRef>
          </cat>
          <val>
            <numRef>
              <f>o_Dashboard!$K$70:$O$70</f>
              <numCache>
                <formatCode>#,##0.0;[Red]\(#,##0.0\);"-"_)</formatCode>
                <ptCount val="5"/>
                <pt idx="0">
                  <v>3.316606331267768</v>
                </pt>
                <pt idx="1">
                  <v>2.943927866456617</v>
                </pt>
                <pt idx="2">
                  <v>3.237191054705804</v>
                </pt>
                <pt idx="3">
                  <v>4.173142070964338</v>
                </pt>
                <pt idx="4">
                  <v>5.118524353570575</v>
                </pt>
              </numCache>
            </numRef>
          </val>
          <smooth val="0"/>
        </ser>
        <dLbls>
          <showLegendKey val="0"/>
          <showVal val="0"/>
          <showCatName val="0"/>
          <showSerName val="0"/>
          <showPercent val="0"/>
          <showBubbleSize val="0"/>
        </dLbls>
        <marker val="1"/>
        <smooth val="0"/>
        <axId val="671330224"/>
        <axId val="671329440"/>
      </lineChart>
      <catAx>
        <axId val="671314152"/>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6112"/>
        <crosses val="autoZero"/>
        <auto val="1"/>
        <lblAlgn val="ctr"/>
        <lblOffset val="100"/>
        <noMultiLvlLbl val="0"/>
      </catAx>
      <valAx>
        <axId val="671316112"/>
        <scaling>
          <orientation val="minMax"/>
        </scaling>
        <delete val="0"/>
        <axPos val="l"/>
        <majorGridlines>
          <spPr>
            <a:ln w="9525" cap="flat" cmpd="sng" algn="ctr">
              <a:solidFill>
                <a:schemeClr val="bg1">
                  <a:lumMod val="85000"/>
                </a:schemeClr>
              </a:solidFill>
              <a:prstDash val="solid"/>
              <a:round/>
            </a:ln>
          </spPr>
        </majorGridlines>
        <numFmt formatCode="#,##0;[Red]\(&quot;£&quot;#,##0\)" sourceLinked="0"/>
        <majorTickMark val="none"/>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4152"/>
        <crosses val="autoZero"/>
        <crossBetween val="between"/>
      </valAx>
      <catAx>
        <axId val="671330224"/>
        <scaling>
          <orientation val="minMax"/>
        </scaling>
        <delete val="1"/>
        <axPos val="b"/>
        <numFmt formatCode="General" sourceLinked="1"/>
        <majorTickMark val="out"/>
        <minorTickMark val="none"/>
        <tickLblPos val="nextTo"/>
        <crossAx val="671329440"/>
        <crosses val="autoZero"/>
        <auto val="1"/>
        <lblAlgn val="ctr"/>
        <lblOffset val="100"/>
        <noMultiLvlLbl val="0"/>
      </catAx>
      <valAx>
        <axId val="671329440"/>
        <scaling>
          <orientation val="minMax"/>
        </scaling>
        <delete val="0"/>
        <axPos val="r"/>
        <title>
          <tx>
            <rich>
              <a:bodyPr rot="-54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sz="800">
                    <a:latin typeface="Arial" panose="020B0604020202020204" pitchFamily="34" charset="0"/>
                    <a:cs typeface="Arial" panose="020B0604020202020204" pitchFamily="34" charset="0"/>
                  </a:rPr>
                  <a:t>Working</a:t>
                </a:r>
                <a:r>
                  <a:rPr lang="en-GB" sz="800" baseline="0">
                    <a:latin typeface="Arial" panose="020B0604020202020204" pitchFamily="34" charset="0"/>
                    <a:cs typeface="Arial" panose="020B0604020202020204" pitchFamily="34" charset="0"/>
                  </a:rPr>
                  <a:t xml:space="preserve"> Capital Ratio</a:t>
                </a:r>
                <a:endParaRPr lang="en-GB" sz="800">
                  <a:latin typeface="Arial" panose="020B0604020202020204" pitchFamily="34" charset="0"/>
                  <a:cs typeface="Arial" panose="020B0604020202020204" pitchFamily="34" charset="0"/>
                </a:endParaRPr>
              </a:p>
            </rich>
          </tx>
          <overlay val="0"/>
          <spPr>
            <a:noFill/>
            <a:ln>
              <a:noFill/>
              <a:prstDash val="solid"/>
            </a:ln>
          </spPr>
          <txPr>
            <a:bodyPr rot="-54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GB"/>
            </a:p>
          </txPr>
        </title>
        <numFmt formatCode="#,##0.0;[Red]\(#,##0.0\);&quot;-&quot;_)" sourceLinked="1"/>
        <majorTickMark val="out"/>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30224"/>
        <crosses val="max"/>
        <crossBetween val="between"/>
      </valAx>
    </plotArea>
    <legend>
      <legendPos val="b"/>
      <overlay val="0"/>
      <spPr>
        <a:noFill/>
        <a:ln>
          <a:noFill/>
          <a:prstDash val="solid"/>
        </a:ln>
      </spPr>
      <txPr>
        <a:bodyPr rot="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legend>
    <plotVisOnly val="0"/>
    <dispBlanksAs val="gap"/>
  </chart>
  <spPr>
    <a:solidFill>
      <a:schemeClr val="bg1"/>
    </a:solidFill>
    <a:ln w="9525" cap="flat" cmpd="sng" algn="ctr">
      <a:solidFill>
        <a:schemeClr val="bg1">
          <a:lumMod val="75000"/>
        </a:schemeClr>
      </a:solidFill>
      <a:prstDash val="solid"/>
      <a:round/>
    </a:ln>
  </spPr>
</chartSpace>
</file>

<file path=xl/charts/chart1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Capital</a:t>
            </a:r>
            <a:r>
              <a:rPr lang="en-US" sz="1200" b="1" baseline="0">
                <a:latin typeface="Arial" panose="020B0604020202020204" pitchFamily="34" charset="0"/>
                <a:cs typeface="Arial" panose="020B0604020202020204" pitchFamily="34" charset="0"/>
              </a:rPr>
              <a:t xml:space="preserve"> Structure</a:t>
            </a:r>
            <a:endParaRPr lang="en-US" sz="1200" b="1">
              <a:latin typeface="Arial" panose="020B0604020202020204" pitchFamily="34" charset="0"/>
              <a:cs typeface="Arial" panose="020B0604020202020204" pitchFamily="34" charset="0"/>
            </a:endParaRP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barChart>
        <barDir val="col"/>
        <grouping val="clustered"/>
        <varyColors val="0"/>
        <ser>
          <idx val="0"/>
          <order val="0"/>
          <tx>
            <strRef>
              <f>o_Dashboard!$H$72</f>
              <strCache>
                <ptCount val="1"/>
                <pt idx="0">
                  <v>Equity &amp; Retained Earning</v>
                </pt>
              </strCache>
            </strRef>
          </tx>
          <spPr>
            <a:solidFill>
              <a:schemeClr val="accent2">
                <a:lumMod val="75000"/>
              </a:schemeClr>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o_Dashboard!$K$12:$O$13</f>
            </multiLvlStrRef>
          </cat>
          <val>
            <numRef>
              <f>o_Dashboard!$K$72:$O$72</f>
              <numCache>
                <formatCode>#,##0;[Red]\(#,##0\);"-"_)</formatCode>
                <ptCount val="5"/>
                <pt idx="0">
                  <v>1113970.926759559</v>
                </pt>
                <pt idx="1">
                  <v>1652613.231927792</v>
                </pt>
                <pt idx="2">
                  <v>2643374.888974398</v>
                </pt>
                <pt idx="3">
                  <v>3576230.268951233</v>
                </pt>
                <pt idx="4">
                  <v>4453885.643673801</v>
                </pt>
              </numCache>
            </numRef>
          </val>
        </ser>
        <ser>
          <idx val="1"/>
          <order val="1"/>
          <tx>
            <strRef>
              <f>o_Dashboard!$H$73</f>
              <strCache>
                <ptCount val="1"/>
                <pt idx="0">
                  <v>Borrowings</v>
                </pt>
              </strCache>
            </strRef>
          </tx>
          <spPr>
            <a:solidFill>
              <a:schemeClr val="tx2">
                <a:lumMod val="20000"/>
                <a:lumOff val="80000"/>
              </a:schemeClr>
            </a:solidFill>
            <a:ln>
              <a:noFill/>
              <a:prstDash val="solid"/>
            </a:ln>
          </spPr>
          <invertIfNegative val="0"/>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dLblPos val="ctr"/>
            <showLegendKey val="0"/>
            <showVal val="1"/>
            <showCatName val="0"/>
            <showSerName val="0"/>
            <showPercent val="0"/>
            <showBubbleSize val="0"/>
            <showLeaderLines val="0"/>
          </dLbls>
          <cat>
            <multiLvlStrRef>
              <multiLvlStrCache>
                <lvl>
                  <pt idx="0">
                    <v>Forecast</v>
                  </pt>
                  <pt idx="1">
                    <v>Forecast</v>
                  </pt>
                  <pt idx="2">
                    <v>Forecast</v>
                  </pt>
                  <pt idx="3">
                    <v>Forecast</v>
                  </pt>
                  <pt idx="4">
                    <v>Forecast</v>
                  </pt>
                </lvl>
                <lvl>
                  <pt idx="0">
                    <v>2024</v>
                  </pt>
                  <pt idx="1">
                    <v>2025</v>
                  </pt>
                  <pt idx="2">
                    <v>2026</v>
                  </pt>
                  <pt idx="3">
                    <v>2027</v>
                  </pt>
                  <pt idx="4">
                    <v>2028</v>
                  </pt>
                </lvl>
              </multiLvlStrCache>
              <f>o_Dashboard!$K$12:$O$13</f>
            </multiLvlStrRef>
          </cat>
          <val>
            <numRef>
              <f>o_Dashboard!$K$73:$O$73</f>
              <numCache>
                <formatCode>#,##0;[Red]\(#,##0\);"-"_)</formatCode>
                <ptCount val="5"/>
                <pt idx="0">
                  <v>28369.7470994522</v>
                </pt>
                <pt idx="1">
                  <v>25519.81053542478</v>
                </pt>
                <pt idx="2">
                  <v>22598.62555729669</v>
                </pt>
                <pt idx="3">
                  <v>19604.4109547154</v>
                </pt>
                <pt idx="4">
                  <v>16535.34098706958</v>
                </pt>
              </numCache>
            </numRef>
          </val>
        </ser>
        <dLbls>
          <showLegendKey val="0"/>
          <showVal val="0"/>
          <showCatName val="0"/>
          <showSerName val="0"/>
          <showPercent val="0"/>
          <showBubbleSize val="0"/>
        </dLbls>
        <gapWidth val="36"/>
        <axId val="671314152"/>
        <axId val="671316112"/>
      </barChart>
      <lineChart>
        <grouping val="standard"/>
        <varyColors val="0"/>
        <ser>
          <idx val="2"/>
          <order val="2"/>
          <tx>
            <strRef>
              <f>o_Dashboard!$H$74</f>
              <strCache>
                <ptCount val="1"/>
                <pt idx="0">
                  <v>Debt to Equity Ratio</v>
                </pt>
              </strCache>
            </strRef>
          </tx>
          <spPr>
            <a:ln w="28575" cap="rnd">
              <a:solidFill>
                <a:srgbClr val="002060"/>
              </a:solidFill>
              <a:prstDash val="solid"/>
              <a:round/>
            </a:ln>
          </spPr>
          <marker>
            <symbol val="diamond"/>
            <size val="5"/>
            <spPr>
              <a:solidFill>
                <a:srgbClr val="002060"/>
              </a:solidFill>
              <a:ln w="9525">
                <a:solidFill>
                  <a:srgbClr val="002060"/>
                </a:solidFill>
                <a:prstDash val="solid"/>
              </a:ln>
            </spPr>
          </marker>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rgbClr val="002060"/>
                    </a:solidFill>
                    <a:latin typeface="+mn-lt"/>
                    <a:ea typeface="+mn-ea"/>
                    <a:cs typeface="+mn-cs"/>
                  </a:defRPr>
                </a:pPr>
                <a:r>
                  <a:t>None</a:t>
                </a:r>
                <a:endParaRPr lang="en-US"/>
              </a:p>
            </txPr>
            <dLblPos val="t"/>
            <showLegendKey val="0"/>
            <showVal val="1"/>
            <showCatName val="0"/>
            <showSerName val="0"/>
            <showPercent val="0"/>
            <showBubbleSize val="0"/>
            <showLeaderLines val="0"/>
          </dLbls>
          <cat>
            <numRef>
              <f>o_Dashboard!$K$12:$O$12</f>
              <numCache>
                <formatCode>General</formatCode>
                <ptCount val="5"/>
                <pt idx="0">
                  <v>2024</v>
                </pt>
                <pt idx="1">
                  <v>2025</v>
                </pt>
                <pt idx="2">
                  <v>2026</v>
                </pt>
                <pt idx="3">
                  <v>2027</v>
                </pt>
                <pt idx="4">
                  <v>2028</v>
                </pt>
              </numCache>
            </numRef>
          </cat>
          <val>
            <numRef>
              <f>o_Dashboard!$K$74:$O$74</f>
              <numCache>
                <formatCode>0.0%_);[Red]\-0.0%_);0.0%_)</formatCode>
                <ptCount val="5"/>
                <pt idx="0">
                  <v>0.02546722398041145</v>
                </pt>
                <pt idx="1">
                  <v>0.01544209500589296</v>
                </pt>
                <pt idx="2">
                  <v>0.008549156478544259</v>
                </pt>
                <pt idx="3">
                  <v>0.005481864835416372</v>
                </pt>
                <pt idx="4">
                  <v>0.003712565231789461</v>
                </pt>
              </numCache>
            </numRef>
          </val>
          <smooth val="0"/>
        </ser>
        <dLbls>
          <showLegendKey val="0"/>
          <showVal val="0"/>
          <showCatName val="0"/>
          <showSerName val="0"/>
          <showPercent val="0"/>
          <showBubbleSize val="0"/>
        </dLbls>
        <marker val="1"/>
        <smooth val="0"/>
        <axId val="671330224"/>
        <axId val="671329440"/>
      </lineChart>
      <catAx>
        <axId val="671314152"/>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6112"/>
        <crosses val="autoZero"/>
        <auto val="1"/>
        <lblAlgn val="ctr"/>
        <lblOffset val="100"/>
        <noMultiLvlLbl val="0"/>
      </catAx>
      <valAx>
        <axId val="671316112"/>
        <scaling>
          <orientation val="minMax"/>
        </scaling>
        <delete val="0"/>
        <axPos val="l"/>
        <majorGridlines>
          <spPr>
            <a:ln w="9525" cap="flat" cmpd="sng" algn="ctr">
              <a:solidFill>
                <a:schemeClr val="bg1">
                  <a:lumMod val="85000"/>
                </a:schemeClr>
              </a:solidFill>
              <a:prstDash val="solid"/>
              <a:round/>
            </a:ln>
          </spPr>
        </majorGridlines>
        <numFmt formatCode="#,##0;[Red]\(&quot;£&quot;#,##0\)" sourceLinked="0"/>
        <majorTickMark val="none"/>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4152"/>
        <crosses val="autoZero"/>
        <crossBetween val="between"/>
      </valAx>
      <catAx>
        <axId val="671330224"/>
        <scaling>
          <orientation val="minMax"/>
        </scaling>
        <delete val="1"/>
        <axPos val="b"/>
        <numFmt formatCode="General" sourceLinked="1"/>
        <majorTickMark val="out"/>
        <minorTickMark val="none"/>
        <tickLblPos val="nextTo"/>
        <crossAx val="671329440"/>
        <crosses val="autoZero"/>
        <auto val="1"/>
        <lblAlgn val="ctr"/>
        <lblOffset val="100"/>
        <noMultiLvlLbl val="0"/>
      </catAx>
      <valAx>
        <axId val="671329440"/>
        <scaling>
          <orientation val="minMax"/>
        </scaling>
        <delete val="0"/>
        <axPos val="r"/>
        <title>
          <tx>
            <rich>
              <a:bodyPr rot="-54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sz="800">
                    <a:latin typeface="Arial" panose="020B0604020202020204" pitchFamily="34" charset="0"/>
                    <a:cs typeface="Arial" panose="020B0604020202020204" pitchFamily="34" charset="0"/>
                  </a:rPr>
                  <a:t>Debt</a:t>
                </a:r>
                <a:r>
                  <a:rPr lang="en-GB" sz="800" baseline="0">
                    <a:latin typeface="Arial" panose="020B0604020202020204" pitchFamily="34" charset="0"/>
                    <a:cs typeface="Arial" panose="020B0604020202020204" pitchFamily="34" charset="0"/>
                  </a:rPr>
                  <a:t xml:space="preserve"> to Equity Ratio</a:t>
                </a:r>
                <a:endParaRPr lang="en-GB" sz="800">
                  <a:latin typeface="Arial" panose="020B0604020202020204" pitchFamily="34" charset="0"/>
                  <a:cs typeface="Arial" panose="020B0604020202020204" pitchFamily="34" charset="0"/>
                </a:endParaRPr>
              </a:p>
            </rich>
          </tx>
          <overlay val="0"/>
          <spPr>
            <a:noFill/>
            <a:ln>
              <a:noFill/>
              <a:prstDash val="solid"/>
            </a:ln>
          </spPr>
          <txPr>
            <a:bodyPr rot="-54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GB"/>
            </a:p>
          </txPr>
        </title>
        <numFmt formatCode="0.0%_);[Red]\-0.0%_);0.0%_)" sourceLinked="1"/>
        <majorTickMark val="out"/>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30224"/>
        <crosses val="max"/>
        <crossBetween val="between"/>
      </valAx>
    </plotArea>
    <legend>
      <legendPos val="b"/>
      <overlay val="0"/>
      <spPr>
        <a:noFill/>
        <a:ln>
          <a:noFill/>
          <a:prstDash val="solid"/>
        </a:ln>
      </spPr>
      <txPr>
        <a:bodyPr rot="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legend>
    <plotVisOnly val="0"/>
    <dispBlanksAs val="gap"/>
  </chart>
  <spPr>
    <a:solidFill>
      <a:schemeClr val="bg1"/>
    </a:solidFill>
    <a:ln w="9525" cap="flat" cmpd="sng" algn="ctr">
      <a:solidFill>
        <a:schemeClr val="bg1">
          <a:lumMod val="75000"/>
        </a:schemeClr>
      </a:solidFill>
      <a:prstDash val="solid"/>
      <a:round/>
    </a:ln>
  </spPr>
</chartSpace>
</file>

<file path=xl/charts/chart1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Business Valuation</a:t>
            </a: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title>
    <plotArea>
      <layout>
        <manualLayout>
          <layoutTarget val="inner"/>
          <xMode val="edge"/>
          <yMode val="edge"/>
          <wMode val="factor"/>
          <hMode val="factor"/>
          <x val="0.1035536282066222"/>
          <y val="0.1053116491279712"/>
          <w val="0.8731905578398894"/>
          <h val="0.8097610812667108"/>
        </manualLayout>
      </layout>
      <barChart>
        <barDir val="col"/>
        <grouping val="clustered"/>
        <varyColors val="0"/>
        <ser>
          <idx val="0"/>
          <order val="0"/>
          <tx>
            <strRef>
              <f>o_Dashboard!$H$72</f>
              <strCache>
                <ptCount val="1"/>
                <pt idx="0">
                  <v>Equity &amp; Retained Earning</v>
                </pt>
              </strCache>
            </strRef>
          </tx>
          <spPr>
            <a:solidFill>
              <a:schemeClr val="accent1"/>
            </a:solidFill>
            <a:ln>
              <a:noFill/>
              <a:prstDash val="solid"/>
            </a:ln>
          </spPr>
          <invertIfNegative val="0"/>
          <dPt>
            <idx val="1"/>
            <invertIfNegative val="0"/>
            <bubble3D val="0"/>
            <spPr>
              <a:solidFill>
                <a:schemeClr val="tx2">
                  <a:lumMod val="60000"/>
                  <a:lumOff val="40000"/>
                </a:schemeClr>
              </a:solidFill>
              <a:ln>
                <a:noFill/>
                <a:prstDash val="solid"/>
              </a:ln>
            </spPr>
          </dPt>
          <dPt>
            <idx val="2"/>
            <invertIfNegative val="0"/>
            <bubble3D val="0"/>
            <spPr>
              <a:solidFill>
                <a:schemeClr val="accent2"/>
              </a:solidFill>
              <a:ln>
                <a:noFill/>
                <a:prstDash val="solid"/>
              </a:ln>
            </spPr>
          </dPt>
          <dLbls>
            <numFmt formatCode="#,##0,&quot;k&quot;;[Red]\(#,##0,&quot;k&quot;\)"/>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o_Dashboard!$H$76:$H$78</f>
              <strCache>
                <ptCount val="3"/>
                <pt idx="0">
                  <v>Enterprise Value</v>
                </pt>
                <pt idx="1">
                  <v>Equity Value</v>
                </pt>
                <pt idx="2">
                  <v>Book Value</v>
                </pt>
              </strCache>
            </strRef>
          </cat>
          <val>
            <numRef>
              <f>o_Dashboard!$K$76:$K$78</f>
              <numCache>
                <formatCode>#,##0;[Red]\(#,##0\);"-"_)</formatCode>
                <ptCount val="3"/>
                <pt idx="0">
                  <v>32716420.10768883</v>
                </pt>
                <pt idx="1">
                  <v>33001233.46279851</v>
                </pt>
                <pt idx="2">
                  <v>1103500</v>
                </pt>
              </numCache>
            </numRef>
          </val>
        </ser>
        <dLbls>
          <showLegendKey val="0"/>
          <showVal val="0"/>
          <showCatName val="0"/>
          <showSerName val="0"/>
          <showPercent val="0"/>
          <showBubbleSize val="0"/>
        </dLbls>
        <gapWidth val="36"/>
        <axId val="671314152"/>
        <axId val="671316112"/>
      </barChart>
      <catAx>
        <axId val="671314152"/>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6112"/>
        <crosses val="autoZero"/>
        <auto val="1"/>
        <lblAlgn val="ctr"/>
        <lblOffset val="100"/>
        <noMultiLvlLbl val="0"/>
      </catAx>
      <valAx>
        <axId val="671316112"/>
        <scaling>
          <orientation val="minMax"/>
        </scaling>
        <delete val="0"/>
        <axPos val="l"/>
        <majorGridlines>
          <spPr>
            <a:ln w="9525" cap="flat" cmpd="sng" algn="ctr">
              <a:solidFill>
                <a:schemeClr val="bg1">
                  <a:lumMod val="85000"/>
                </a:schemeClr>
              </a:solidFill>
              <a:prstDash val="solid"/>
              <a:round/>
            </a:ln>
          </spPr>
        </majorGridlines>
        <numFmt formatCode="#,##0;[Red]\(&quot;£&quot;#,##0\)" sourceLinked="0"/>
        <majorTickMark val="none"/>
        <minorTickMark val="none"/>
        <tickLblPos val="nextTo"/>
        <spPr>
          <a:noFill/>
          <a:ln>
            <a:solidFill>
              <a:schemeClr val="bg1">
                <a:alpha val="64000"/>
                <a:lumMod val="75000"/>
              </a:schemeClr>
            </a:solid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None</a:t>
            </a:r>
            <a:endParaRPr lang="en-US"/>
          </a:p>
        </txPr>
        <crossAx val="671314152"/>
        <crosses val="autoZero"/>
        <crossBetween val="between"/>
      </valAx>
    </plotArea>
    <plotVisOnly val="0"/>
    <dispBlanksAs val="gap"/>
  </chart>
  <spPr>
    <a:solidFill>
      <a:schemeClr val="bg1"/>
    </a:solidFill>
    <a:ln w="9525" cap="flat" cmpd="sng" algn="ctr">
      <a:solidFill>
        <a:schemeClr val="bg1">
          <a:lumMod val="7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21</col>
      <colOff>321427</colOff>
      <row>84</row>
      <rowOff>11724</rowOff>
    </from>
    <to>
      <col>28</col>
      <colOff>721178</colOff>
      <row>108</row>
      <rowOff>70339</rowOff>
    </to>
    <graphicFrame>
      <nvGraphicFramePr>
        <cNvPr id="1" name="Chart 1"/>
        <cNvGraphicFramePr/>
      </nvGraphicFramePr>
      <xfrm/>
      <a:graphic>
        <a:graphicData uri="http://schemas.openxmlformats.org/drawingml/2006/chart">
          <c:chart r:id="rId1"/>
        </a:graphicData>
      </a:graphic>
    </graphicFrame>
    <clientData/>
  </twoCellAnchor>
  <twoCellAnchor>
    <from>
      <col>21</col>
      <colOff>319149</colOff>
      <row>109</row>
      <rowOff>45925</rowOff>
    </from>
    <to>
      <col>28</col>
      <colOff>717095</colOff>
      <row>137</row>
      <rowOff>58616</rowOff>
    </to>
    <graphicFrame>
      <nvGraphicFramePr>
        <cNvPr id="2" name="Chart 2"/>
        <cNvGraphicFramePr/>
      </nvGraphicFramePr>
      <xfrm/>
      <a:graphic>
        <a:graphicData uri="http://schemas.openxmlformats.org/drawingml/2006/chart">
          <c:chart r:id="rId2"/>
        </a:graphicData>
      </a:graphic>
    </graphicFrame>
    <clientData/>
  </twoCellAnchor>
  <twoCellAnchor>
    <from>
      <col>3</col>
      <colOff>218621</colOff>
      <row>139</row>
      <rowOff>104685</rowOff>
    </from>
    <to>
      <col>17</col>
      <colOff>381000</colOff>
      <row>187</row>
      <rowOff>63501</rowOff>
    </to>
    <graphicFrame>
      <nvGraphicFramePr>
        <cNvPr id="3" name="Chart 3"/>
        <cNvGraphicFramePr/>
      </nvGraphicFramePr>
      <xfrm/>
      <a:graphic>
        <a:graphicData uri="http://schemas.openxmlformats.org/drawingml/2006/chart">
          <c:chart r:id="rId3"/>
        </a:graphicData>
      </a:graphic>
    </graphicFrame>
    <clientData/>
  </twoCellAnchor>
  <twoCellAnchor>
    <from>
      <col>7</col>
      <colOff>1</colOff>
      <row>193</row>
      <rowOff>2968</rowOff>
    </from>
    <to>
      <col>16</col>
      <colOff>720436</colOff>
      <row>227</row>
      <rowOff>54427</rowOff>
    </to>
    <graphicFrame>
      <nvGraphicFramePr>
        <cNvPr id="4" name="Chart 4"/>
        <cNvGraphicFramePr/>
      </nvGraphicFramePr>
      <xfrm/>
      <a:graphic>
        <a:graphicData uri="http://schemas.openxmlformats.org/drawingml/2006/chart">
          <c:chart r:id="rId4"/>
        </a:graphicData>
      </a:graphic>
    </graphicFrame>
    <clientData/>
  </twoCellAnchor>
  <twoCellAnchor>
    <from>
      <col>17</col>
      <colOff>22514</colOff>
      <row>193</row>
      <rowOff>13855</rowOff>
    </from>
    <to>
      <col>23</col>
      <colOff>117764</colOff>
      <row>227</row>
      <rowOff>79169</rowOff>
    </to>
    <graphicFrame>
      <nvGraphicFramePr>
        <cNvPr id="5" name="Chart 5"/>
        <cNvGraphicFramePr/>
      </nvGraphicFramePr>
      <xfrm/>
      <a:graphic>
        <a:graphicData uri="http://schemas.openxmlformats.org/drawingml/2006/chart">
          <c:chart r:id="rId5"/>
        </a:graphicData>
      </a:graphic>
    </graphicFrame>
    <clientData/>
  </twoCellAnchor>
  <twoCellAnchor>
    <from>
      <col>23</col>
      <colOff>318655</colOff>
      <row>193</row>
      <rowOff>27709</rowOff>
    </from>
    <to>
      <col>28</col>
      <colOff>789708</colOff>
      <row>227</row>
      <rowOff>110837</rowOff>
    </to>
    <graphicFrame>
      <nvGraphicFramePr>
        <cNvPr id="6" name="Chart 6"/>
        <cNvGraphicFramePr/>
      </nvGraphicFramePr>
      <xfrm/>
      <a:graphic>
        <a:graphicData uri="http://schemas.openxmlformats.org/drawingml/2006/chart">
          <c:chart r:id="rId6"/>
        </a:graphicData>
      </a:graphic>
    </graphicFrame>
    <clientData/>
  </twoCellAnchor>
  <twoCellAnchor>
    <from>
      <col>17</col>
      <colOff>609600</colOff>
      <row>139</row>
      <rowOff>101600</rowOff>
    </from>
    <to>
      <col>28</col>
      <colOff>685800</colOff>
      <row>187</row>
      <rowOff>25400</rowOff>
    </to>
    <graphicFrame>
      <nvGraphicFramePr>
        <cNvPr id="7" name="Chart 7"/>
        <cNvGraphicFramePr/>
      </nvGraphicFramePr>
      <xfrm/>
      <a:graphic>
        <a:graphicData uri="http://schemas.openxmlformats.org/drawingml/2006/chart">
          <c:chart r:id="rId7"/>
        </a:graphicData>
      </a:graphic>
    </graphicFrame>
    <clientData/>
  </twoCellAnchor>
  <twoCellAnchor>
    <from>
      <col>6</col>
      <colOff>235526</colOff>
      <row>232</row>
      <rowOff>110837</rowOff>
    </from>
    <to>
      <col>13</col>
      <colOff>546100</colOff>
      <row>267</row>
      <rowOff>37605</rowOff>
    </to>
    <graphicFrame>
      <nvGraphicFramePr>
        <cNvPr id="8" name="Chart 8"/>
        <cNvGraphicFramePr/>
      </nvGraphicFramePr>
      <xfrm/>
      <a:graphic>
        <a:graphicData uri="http://schemas.openxmlformats.org/drawingml/2006/chart">
          <c:chart r:id="rId8"/>
        </a:graphicData>
      </a:graphic>
    </graphicFrame>
    <clientData/>
  </twoCellAnchor>
  <twoCellAnchor>
    <from>
      <col>13</col>
      <colOff>779318</colOff>
      <row>232</row>
      <rowOff>111991</rowOff>
    </from>
    <to>
      <col>21</col>
      <colOff>508000</colOff>
      <row>267</row>
      <rowOff>56573</rowOff>
    </to>
    <graphicFrame>
      <nvGraphicFramePr>
        <cNvPr id="9" name="Chart 9"/>
        <cNvGraphicFramePr/>
      </nvGraphicFramePr>
      <xfrm/>
      <a:graphic>
        <a:graphicData uri="http://schemas.openxmlformats.org/drawingml/2006/chart">
          <c:chart r:id="rId9"/>
        </a:graphicData>
      </a:graphic>
    </graphicFrame>
    <clientData/>
  </twoCellAnchor>
  <twoCellAnchor>
    <from>
      <col>21</col>
      <colOff>736600</colOff>
      <row>232</row>
      <rowOff>101600</rowOff>
    </from>
    <to>
      <col>28</col>
      <colOff>711200</colOff>
      <row>267</row>
      <rowOff>45028</rowOff>
    </to>
    <graphicFrame>
      <nvGraphicFramePr>
        <cNvPr id="10" name="Chart 10"/>
        <cNvGraphicFramePr/>
      </nvGraphicFramePr>
      <xfrm/>
      <a:graphic>
        <a:graphicData uri="http://schemas.openxmlformats.org/drawingml/2006/chart">
          <c:chart r:id="rId10"/>
        </a:graphicData>
      </a:graphic>
    </graphicFrame>
    <clientData/>
  </twoCellAnchor>
  <twoCellAnchor>
    <from>
      <col>6</col>
      <colOff>190501</colOff>
      <row>271</row>
      <rowOff>0</rowOff>
    </from>
    <to>
      <col>13</col>
      <colOff>495301</colOff>
      <row>303</row>
      <rowOff>38100</rowOff>
    </to>
    <graphicFrame>
      <nvGraphicFramePr>
        <cNvPr id="11" name="Chart 11"/>
        <cNvGraphicFramePr/>
      </nvGraphicFramePr>
      <xfrm/>
      <a:graphic>
        <a:graphicData uri="http://schemas.openxmlformats.org/drawingml/2006/chart">
          <c:chart r:id="rId11"/>
        </a:graphicData>
      </a:graphic>
    </graphicFrame>
    <clientData/>
  </twoCellAnchor>
  <twoCellAnchor>
    <from>
      <col>13</col>
      <colOff>749300</colOff>
      <row>271</row>
      <rowOff>12700</rowOff>
    </from>
    <to>
      <col>21</col>
      <colOff>609600</colOff>
      <row>303</row>
      <rowOff>38100</rowOff>
    </to>
    <graphicFrame>
      <nvGraphicFramePr>
        <cNvPr id="12" name="Chart 12"/>
        <cNvGraphicFramePr/>
      </nvGraphicFramePr>
      <xfrm/>
      <a:graphic>
        <a:graphicData uri="http://schemas.openxmlformats.org/drawingml/2006/chart">
          <c:chart r:id="rId12"/>
        </a:graphicData>
      </a:graphic>
    </graphicFrame>
    <clientData/>
  </twoCellAnchor>
  <twoCellAnchor>
    <from>
      <col>21</col>
      <colOff>774700</colOff>
      <row>271</row>
      <rowOff>25400</rowOff>
    </from>
    <to>
      <col>28</col>
      <colOff>647700</colOff>
      <row>303</row>
      <rowOff>50800</rowOff>
    </to>
    <graphicFrame>
      <nvGraphicFramePr>
        <cNvPr id="13" name="Chart 13"/>
        <cNvGraphicFramePr/>
      </nvGraphicFramePr>
      <xfrm/>
      <a:graphic>
        <a:graphicData uri="http://schemas.openxmlformats.org/drawingml/2006/chart">
          <c:chart r:id="rId13"/>
        </a:graphicData>
      </a:graphic>
    </graphicFrame>
    <clientData/>
  </twoCellAnchor>
</wsDr>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Contents">
    <tabColor theme="1" tint="0.499984740745262"/>
    <outlinePr summaryBelow="1" summaryRight="1"/>
    <pageSetUpPr fitToPage="1"/>
  </sheetPr>
  <dimension ref="A1:T103"/>
  <sheetViews>
    <sheetView showGridLines="0" tabSelected="1" zoomScale="70" zoomScaleNormal="70" workbookViewId="0">
      <pane ySplit="7" topLeftCell="A8" activePane="bottomLeft" state="frozen"/>
      <selection activeCell="R31" sqref="R31"/>
      <selection pane="bottomLeft" activeCell="P48" sqref="P48"/>
    </sheetView>
  </sheetViews>
  <sheetFormatPr baseColWidth="8" defaultColWidth="0" defaultRowHeight="12" zeroHeight="1"/>
  <cols>
    <col width="1.5703125" customWidth="1" style="4" min="1" max="1"/>
    <col width="4.140625" customWidth="1" style="4" min="2" max="3"/>
    <col width="4.42578125" customWidth="1" style="4" min="4" max="4"/>
    <col width="5.140625" customWidth="1" style="4" min="5" max="5"/>
    <col width="3.5703125" customWidth="1" style="4" min="6" max="6"/>
    <col width="4.7109375" customWidth="1" style="4" min="7" max="7"/>
    <col width="34.85546875" customWidth="1" style="4" min="8" max="8"/>
    <col width="9" customWidth="1" style="4" min="9" max="9"/>
    <col width="2.5703125" customWidth="1" style="4" min="10" max="10"/>
    <col width="14.42578125" customWidth="1" style="4" min="11" max="18"/>
    <col width="14.140625" customWidth="1" style="4" min="19" max="19"/>
    <col width="4" customWidth="1" style="4" min="20" max="20"/>
    <col hidden="1" width="13" customWidth="1" style="4" min="21" max="23"/>
    <col hidden="1" width="14.42578125" customWidth="1" style="4" min="24" max="16384"/>
  </cols>
  <sheetData>
    <row r="1" ht="17.65" customFormat="1" customHeight="1" s="2">
      <c r="A1" s="99" t="n"/>
      <c r="B1" s="99">
        <f>i_Setup!$M$13&amp;" Financial Projection"</f>
        <v/>
      </c>
      <c r="C1" s="99" t="n"/>
      <c r="D1" s="99" t="n"/>
      <c r="E1" s="99" t="n"/>
      <c r="F1" s="99" t="n"/>
      <c r="G1" s="99" t="n"/>
      <c r="H1" s="99" t="n"/>
      <c r="I1" s="97" t="n"/>
      <c r="J1" s="97" t="n"/>
      <c r="K1" s="97" t="n"/>
      <c r="L1" s="128" t="n"/>
      <c r="M1" s="128" t="n"/>
      <c r="N1" s="128" t="n"/>
      <c r="O1" s="128" t="n"/>
      <c r="P1" s="128" t="n"/>
      <c r="Q1" s="128" t="n"/>
      <c r="R1" s="128" t="n"/>
      <c r="S1" s="128" t="n"/>
      <c r="T1" s="128" t="n"/>
    </row>
    <row r="2" ht="17.65" customFormat="1" customHeight="1" s="1">
      <c r="A2" s="99" t="n"/>
      <c r="B2" s="98">
        <f>MID(CELL("filename",C1),FIND("]",CELL("filename",C1))+1,256)</f>
        <v/>
      </c>
      <c r="C2" s="99" t="n"/>
      <c r="D2" s="99" t="n"/>
      <c r="E2" s="99" t="n"/>
      <c r="F2" s="99" t="n"/>
      <c r="G2" s="99" t="n"/>
      <c r="H2" s="99" t="n"/>
      <c r="I2" s="97" t="n"/>
      <c r="J2" s="100" t="n"/>
      <c r="K2" s="100" t="n"/>
      <c r="L2" s="129" t="n"/>
      <c r="M2" s="129" t="n"/>
      <c r="N2" s="129" t="n"/>
      <c r="O2" s="129" t="n"/>
      <c r="P2" s="129" t="n"/>
      <c r="Q2" s="129" t="n"/>
      <c r="R2" s="129" t="n"/>
      <c r="S2" s="129" t="n"/>
      <c r="T2" s="129" t="n"/>
    </row>
    <row r="3" ht="17.65" customHeight="1" s="227">
      <c r="A3" s="99" t="n"/>
      <c r="B3" s="99" t="n"/>
      <c r="C3" s="99" t="n"/>
      <c r="D3" s="99" t="n"/>
      <c r="E3" s="99" t="n"/>
      <c r="F3" s="99" t="n"/>
      <c r="G3" s="99" t="n"/>
      <c r="H3" s="99" t="n"/>
      <c r="I3" s="100" t="n"/>
      <c r="J3" s="124" t="n"/>
      <c r="K3" s="124" t="n"/>
      <c r="L3" s="130" t="n"/>
      <c r="M3" s="101" t="n"/>
      <c r="N3" s="101" t="n"/>
      <c r="O3" s="101" t="n"/>
      <c r="P3" s="101" t="n"/>
      <c r="Q3" s="101" t="n"/>
      <c r="R3" s="101" t="n"/>
      <c r="S3" s="101" t="n"/>
      <c r="T3" s="101" t="n"/>
    </row>
    <row r="4" ht="17.65" customHeight="1" s="227">
      <c r="A4" s="101" t="n"/>
      <c r="B4" s="105" t="inlineStr">
        <is>
          <t>Tab Check</t>
        </is>
      </c>
      <c r="C4" s="106" t="n"/>
      <c r="D4" s="107" t="n"/>
      <c r="E4" s="99" t="n"/>
      <c r="F4" s="101" t="n"/>
      <c r="G4" s="101" t="n"/>
      <c r="H4" s="26" t="inlineStr">
        <is>
          <t>LINK TO FRONT SHEET</t>
        </is>
      </c>
      <c r="I4" s="101" t="n"/>
      <c r="J4" s="101" t="n"/>
      <c r="K4" s="124" t="n"/>
      <c r="L4" s="130" t="n"/>
      <c r="M4" s="101" t="n"/>
      <c r="N4" s="101" t="n"/>
      <c r="O4" s="101" t="n"/>
      <c r="P4" s="101" t="n"/>
      <c r="Q4" s="101" t="n"/>
      <c r="R4" s="101" t="n"/>
      <c r="S4" s="101" t="n"/>
      <c r="T4" s="101" t="n"/>
    </row>
    <row r="5" ht="17.65" customHeight="1" s="227">
      <c r="A5" s="101" t="n"/>
      <c r="B5" s="228">
        <f>SUM(B$8:B103)</f>
        <v/>
      </c>
      <c r="C5" s="229">
        <f>SUM(C$8:C103)</f>
        <v/>
      </c>
      <c r="D5" s="104" t="n"/>
      <c r="E5" s="99" t="n"/>
      <c r="F5" s="101" t="n"/>
      <c r="G5" s="101" t="n"/>
      <c r="H5" s="28">
        <f>sysCheckText</f>
        <v/>
      </c>
      <c r="I5" s="101" t="n"/>
      <c r="J5" s="101" t="n"/>
      <c r="K5" s="124" t="n"/>
      <c r="L5" s="130" t="n"/>
      <c r="M5" s="101" t="n"/>
      <c r="N5" s="101" t="n"/>
      <c r="O5" s="101" t="n"/>
      <c r="P5" s="101" t="n"/>
      <c r="Q5" s="101" t="n"/>
      <c r="R5" s="101" t="n"/>
      <c r="S5" s="101" t="n"/>
      <c r="T5" s="101" t="n"/>
    </row>
    <row r="6" ht="17.65" customHeight="1" s="227">
      <c r="A6" s="101" t="n"/>
      <c r="B6" s="116" t="inlineStr">
        <is>
          <t>Err</t>
        </is>
      </c>
      <c r="C6" s="117" t="inlineStr">
        <is>
          <t>Alert</t>
        </is>
      </c>
      <c r="D6" s="118" t="n"/>
      <c r="E6" s="99" t="n"/>
      <c r="F6" s="101" t="n"/>
      <c r="G6" s="101" t="n"/>
      <c r="H6" s="101" t="n"/>
      <c r="I6" s="101" t="n"/>
      <c r="J6" s="101" t="n"/>
      <c r="K6" s="101" t="n"/>
      <c r="L6" s="101" t="n"/>
      <c r="M6" s="101" t="n"/>
      <c r="N6" s="101" t="n"/>
      <c r="O6" s="101" t="n"/>
      <c r="P6" s="101" t="n"/>
      <c r="Q6" s="101" t="n"/>
      <c r="R6" s="101" t="n"/>
      <c r="S6" s="101" t="n"/>
      <c r="T6" s="101" t="n"/>
    </row>
    <row r="7" ht="17.65" customHeight="1" s="227"/>
    <row r="8" ht="15.75" customFormat="1" customHeight="1" s="99">
      <c r="D8" s="99">
        <f>Heading1</f>
        <v/>
      </c>
      <c r="E8" s="99" t="inlineStr">
        <is>
          <t>Disclaimer</t>
        </is>
      </c>
    </row>
    <row r="9" ht="12" customHeight="1" s="227"/>
    <row r="10" ht="12" customHeight="1" s="227"/>
    <row r="11" ht="12" customHeight="1" s="227"/>
    <row r="12" ht="12" customHeight="1" s="227"/>
    <row r="13" ht="12" customHeight="1" s="227"/>
    <row r="14" ht="12" customHeight="1" s="227"/>
    <row r="15" ht="12" customHeight="1" s="227"/>
    <row r="16" ht="12" customHeight="1" s="227"/>
    <row r="17" ht="12" customHeight="1" s="227"/>
    <row r="18" ht="12" customHeight="1" s="227"/>
    <row r="19" ht="12" customHeight="1" s="227"/>
    <row r="20" ht="12" customHeight="1" s="227"/>
    <row r="21" ht="12" customHeight="1" s="227"/>
    <row r="22" ht="12" customHeight="1" s="227"/>
    <row r="23" ht="12" customHeight="1" s="227"/>
    <row r="24" ht="12" customHeight="1" s="227"/>
    <row r="25" ht="12" customHeight="1" s="227"/>
    <row r="26" ht="12" customHeight="1" s="227"/>
    <row r="27" ht="15.75" customFormat="1" customHeight="1" s="99">
      <c r="D27" s="99">
        <f>Heading1</f>
        <v/>
      </c>
      <c r="E27" s="99" t="inlineStr">
        <is>
          <t>Instructions</t>
        </is>
      </c>
    </row>
    <row r="28" ht="12.4" customHeight="1" s="227"/>
    <row r="29" ht="12.4" customHeight="1" s="227">
      <c r="E29" s="4" t="n">
        <v>2.1</v>
      </c>
      <c r="H29" s="217" t="inlineStr">
        <is>
          <t>The only tabs that should be populated by the user are the input tabs. The calculation tab uses the user-defined inputs to produce the projection outputs which are presented in the output tabs.</t>
        </is>
      </c>
    </row>
    <row r="30" ht="12.4" customHeight="1" s="227"/>
    <row r="31" ht="12.4" customHeight="1" s="227">
      <c r="E31" s="4" t="n">
        <v>2.2</v>
      </c>
      <c r="H31" s="0" t="inlineStr">
        <is>
          <t>The user should start off my populating the 'i_Setup' tab followed by the 'i_Actuals' (if applicable) and 'i_Assumptions' tabs.</t>
        </is>
      </c>
      <c r="P31" s="145" t="n"/>
      <c r="Q31" s="145" t="n"/>
      <c r="R31" s="145" t="n"/>
      <c r="S31" s="145" t="n"/>
    </row>
    <row r="32" ht="12.4" customHeight="1" s="227"/>
    <row r="33" ht="12.4" customHeight="1" s="227">
      <c r="E33" s="4" t="n">
        <v>2.3</v>
      </c>
      <c r="H33" s="0" t="inlineStr">
        <is>
          <t>The input cells in the input sheets that are required to be populated are formatted as follows:</t>
        </is>
      </c>
      <c r="N33" s="230" t="n"/>
    </row>
    <row r="34" ht="12.4" customHeight="1" s="227"/>
    <row r="35" ht="12.4" customHeight="1" s="227">
      <c r="E35" s="4" t="n">
        <v>2.4</v>
      </c>
      <c r="H35" s="0" t="inlineStr">
        <is>
          <t>The following signage conventions apply throughout the model. Most Input cells contain data validations to help users populate assumption in line with the below conventions</t>
        </is>
      </c>
    </row>
    <row r="36" ht="12.4" customHeight="1" s="227">
      <c r="H36" s="59" t="inlineStr">
        <is>
          <t>·      Revenues (+) and expenses (-)</t>
        </is>
      </c>
    </row>
    <row r="37" ht="12.4" customHeight="1" s="227">
      <c r="H37" s="59" t="inlineStr">
        <is>
          <t>·      Assets (+), Liabilities (-) and Equity (-)</t>
        </is>
      </c>
    </row>
    <row r="38" ht="12.4" customHeight="1" s="227">
      <c r="H38" s="59" t="inlineStr">
        <is>
          <t>·      Cash Inflows (+) and cash outflows (-)</t>
        </is>
      </c>
    </row>
    <row r="39" ht="12.4" customHeight="1" s="227"/>
    <row r="40" ht="12.4" customHeight="1" s="227">
      <c r="E40" s="4" t="n">
        <v>2.5</v>
      </c>
      <c r="H40" s="0" t="inlineStr">
        <is>
          <t xml:space="preserve">Most of the reference or input cells contain input messages with details on the particular item or on how the input cell should be populated. Hover over the cells to see the input message </t>
        </is>
      </c>
    </row>
    <row r="41" ht="12.4" customHeight="1" s="227"/>
    <row r="42" ht="12.4" customHeight="1" s="227"/>
    <row r="43" ht="12.4" customHeight="1" s="227"/>
    <row r="44" ht="12.4" customHeight="1" s="227"/>
    <row r="45" ht="12.4" customHeight="1" s="227"/>
    <row r="46" ht="12.4" customHeight="1" s="227"/>
    <row r="47" ht="12.4" customHeight="1" s="227"/>
    <row r="48" ht="12.4" customHeight="1" s="227"/>
    <row r="49" ht="12.4" customHeight="1" s="227"/>
    <row r="50" ht="12.4" customHeight="1" s="227"/>
    <row r="51" ht="12.4" customHeight="1" s="227">
      <c r="E51" s="4" t="n">
        <v>2.6</v>
      </c>
      <c r="H51" s="0" t="inlineStr">
        <is>
          <t xml:space="preserve">The projection model contains error checks and warnings throughout the tabs. The workbook and tab checks status are displayed at the top left hand corner of each tab and summarised in the 'sysChecks' tab.  </t>
        </is>
      </c>
    </row>
    <row r="52" ht="12.4" customHeight="1" s="227">
      <c r="H52" s="0" t="inlineStr">
        <is>
          <t>The status bar is set out as follows:</t>
        </is>
      </c>
    </row>
    <row r="53" ht="12.4" customHeight="1" s="227">
      <c r="H53" s="0" t="n"/>
    </row>
    <row r="54" ht="12.4" customHeight="1" s="227">
      <c r="H54" s="146" t="inlineStr">
        <is>
          <t>All file checks &amp; alerts OK</t>
        </is>
      </c>
      <c r="I54" s="4" t="inlineStr">
        <is>
          <t xml:space="preserve"> - No errors or alerts</t>
        </is>
      </c>
    </row>
    <row r="55" ht="12.4" customHeight="1" s="227">
      <c r="H55" s="147" t="inlineStr">
        <is>
          <t>File: 1 alert</t>
        </is>
      </c>
      <c r="I55" s="4" t="inlineStr">
        <is>
          <t xml:space="preserve"> - Alert in input cells present </t>
        </is>
      </c>
    </row>
    <row r="56" ht="12.4" customHeight="1" s="227">
      <c r="H56" s="148" t="inlineStr">
        <is>
          <t>File: 1 error</t>
        </is>
      </c>
      <c r="I56" s="4" t="inlineStr">
        <is>
          <t xml:space="preserve"> - Errors in input cells present </t>
        </is>
      </c>
    </row>
    <row r="57" ht="12.4" customHeight="1" s="227">
      <c r="H57" s="0" t="n"/>
    </row>
    <row r="58" ht="12.4" customHeight="1" s="227">
      <c r="E58" s="4" t="n">
        <v>2.7</v>
      </c>
      <c r="H58" s="0" t="inlineStr">
        <is>
          <t>To add additional categories for most items (except direct staff, fixed assets and borrowings), this can be done by adding rows below the last category and applying this consistently across the</t>
        </is>
      </c>
    </row>
    <row r="59" ht="12.4" customHeight="1" s="227">
      <c r="H59" s="0" t="inlineStr">
        <is>
          <t>model starting from 'i_Setup' tab and moving right to 'o_Fin Stats'. Please ensure formulas in total rows are also updated to include the additional categories. For other categories, e.g. fixed</t>
        </is>
      </c>
    </row>
    <row r="60" ht="12.4" customHeight="1" s="227">
      <c r="H60" s="4" t="inlineStr">
        <is>
          <t>assets and borrowings you need to make sure the additional calculations (e.g. inventories, depreciation, interest) are also replicated and linked to the financial statements.</t>
        </is>
      </c>
    </row>
    <row r="61" ht="12.4" customHeight="1" s="227"/>
    <row r="62" ht="12.4" customHeight="1" s="227"/>
    <row r="63" ht="15.75" customFormat="1" customHeight="1" s="99">
      <c r="D63" s="99">
        <f>Heading1</f>
        <v/>
      </c>
      <c r="E63" s="99" t="inlineStr">
        <is>
          <t>Contents</t>
        </is>
      </c>
    </row>
    <row r="64" ht="12" customHeight="1" s="227"/>
    <row r="65" ht="12" customHeight="1" s="227"/>
    <row r="66" ht="12" customHeight="1" s="227"/>
    <row r="67" ht="12" customHeight="1" s="227"/>
    <row r="68" ht="12" customHeight="1" s="227"/>
    <row r="69" ht="12" customHeight="1" s="227"/>
    <row r="70" ht="12" customHeight="1" s="227"/>
    <row r="71" ht="12" customHeight="1" s="227"/>
    <row r="72" ht="12" customHeight="1" s="227"/>
    <row r="73" ht="12" customHeight="1" s="227"/>
    <row r="74" ht="12" customHeight="1" s="227"/>
    <row r="75" ht="12" customHeight="1" s="227"/>
    <row r="76" ht="12" customHeight="1" s="227"/>
    <row r="77" ht="12" customHeight="1" s="227"/>
    <row r="78" ht="12" customHeight="1" s="227"/>
    <row r="79" ht="12" customHeight="1" s="227"/>
    <row r="80" ht="12" customHeight="1" s="227"/>
    <row r="81" ht="12" customHeight="1" s="227"/>
    <row r="82" ht="12" customHeight="1" s="227"/>
    <row r="83" ht="12" customHeight="1" s="227"/>
    <row r="84" ht="12" customHeight="1" s="227"/>
    <row r="85" ht="12" customHeight="1" s="227"/>
    <row r="86" ht="12" customHeight="1" s="227"/>
    <row r="87" ht="12" customHeight="1" s="227"/>
    <row r="88" ht="12" customHeight="1" s="227"/>
    <row r="89" ht="12" customHeight="1" s="227"/>
    <row r="90" ht="12" customHeight="1" s="227"/>
    <row r="91" ht="12" customHeight="1" s="227"/>
    <row r="92" ht="12" customFormat="1" customHeight="1" s="8">
      <c r="G92" s="4" t="n"/>
    </row>
    <row r="93" ht="12" customFormat="1" customHeight="1" s="8">
      <c r="G93" s="4" t="n"/>
    </row>
    <row r="94" ht="12" customFormat="1" customHeight="1" s="8">
      <c r="G94" s="4" t="n"/>
    </row>
    <row r="95" ht="12" customFormat="1" customHeight="1" s="8">
      <c r="G95" s="4" t="n"/>
    </row>
    <row r="96" ht="12" customFormat="1" customHeight="1" s="8">
      <c r="G96" s="4" t="n"/>
    </row>
    <row r="97" ht="12" customFormat="1" customHeight="1" s="8">
      <c r="G97" s="4" t="n"/>
    </row>
    <row r="98" ht="12" customFormat="1" customHeight="1" s="8">
      <c r="G98" s="4" t="n"/>
    </row>
    <row r="99" ht="12" customFormat="1" customHeight="1" s="8">
      <c r="G99" s="4" t="n"/>
    </row>
    <row r="100" ht="12" customFormat="1" customHeight="1" s="8">
      <c r="G100" s="4" t="n"/>
    </row>
    <row r="101" ht="12" customFormat="1" customHeight="1" s="8">
      <c r="G101" s="4" t="n"/>
    </row>
    <row r="102" ht="12" customFormat="1" customHeight="1" s="8">
      <c r="G102" s="4" t="n"/>
    </row>
    <row r="103" ht="15.75" customFormat="1" customHeight="1" s="99">
      <c r="D103" s="99" t="inlineStr">
        <is>
          <t>END OF WORKSHEET</t>
        </is>
      </c>
    </row>
  </sheetData>
  <mergeCells count="1">
    <mergeCell ref="H29:S29"/>
  </mergeCells>
  <conditionalFormatting sqref="B5">
    <cfRule type="cellIs" priority="5" operator="notEqual" dxfId="1">
      <formula>0</formula>
    </cfRule>
    <cfRule type="expression" priority="6" dxfId="1">
      <formula>"$B$6&lt;&gt;0"</formula>
    </cfRule>
  </conditionalFormatting>
  <conditionalFormatting sqref="B5:C5">
    <cfRule type="cellIs" priority="7" operator="equal" dxfId="5">
      <formula>0</formula>
    </cfRule>
  </conditionalFormatting>
  <conditionalFormatting sqref="C5">
    <cfRule type="cellIs" priority="8" operator="notEqual" dxfId="0">
      <formula>0</formula>
    </cfRule>
  </conditionalFormatting>
  <conditionalFormatting sqref="H5">
    <cfRule type="expression" priority="1" dxfId="1">
      <formula>sysCheck&lt;&gt;0</formula>
    </cfRule>
    <cfRule type="expression" priority="2" dxfId="0">
      <formula>sysAlert&lt;&gt;0</formula>
    </cfRule>
    <cfRule type="expression" priority="3" dxfId="1">
      <formula>sysCheck&lt;&gt;0</formula>
    </cfRule>
    <cfRule type="expression" priority="4" dxfId="0">
      <formula>sysAlert&lt;&gt;0</formula>
    </cfRule>
  </conditionalFormatting>
  <hyperlinks>
    <hyperlink ref="H4" location="'Front Sheet'!A1" display="LINK TO FRONT SHEET"/>
    <hyperlink ref="H5" location="sht_sysCheck" display="sht_sysCheck"/>
  </hyperlinks>
  <pageMargins left="0.2362204724409449" right="0.2362204724409449" top="0.7480314960629921" bottom="0.7480314960629921" header="0.3149606299212598" footer="0.3149606299212598"/>
  <pageSetup orientation="portrait" paperSize="9" scale="53" fitToHeight="0"/>
  <headerFooter>
    <oddHeader>&amp;L&amp;C&amp;R</oddHeader>
    <oddFooter>&amp;L&amp;F&amp;CPage &amp;P of &amp;N&amp;RPrinted on: &amp;D &amp;T</oddFooter>
    <evenHeader/>
    <evenFooter/>
    <firstHeader/>
    <firstFooter/>
  </headerFooter>
</worksheet>
</file>

<file path=xl/worksheets/sheet2.xml><?xml version="1.0" encoding="utf-8"?>
<worksheet xmlns="http://schemas.openxmlformats.org/spreadsheetml/2006/main">
  <sheetPr codeName="sysCheck">
    <tabColor theme="1" tint="0.499984740745262"/>
    <outlinePr summaryBelow="1" summaryRight="1"/>
    <pageSetUpPr fitToPage="1"/>
  </sheetPr>
  <dimension ref="A1:AB49"/>
  <sheetViews>
    <sheetView showGridLines="0" zoomScale="70" zoomScaleNormal="70" workbookViewId="0">
      <pane ySplit="7" topLeftCell="A8" activePane="bottomLeft" state="frozen"/>
      <selection activeCell="P48" sqref="P48"/>
      <selection pane="bottomLeft" activeCell="P48" sqref="P48"/>
    </sheetView>
  </sheetViews>
  <sheetFormatPr baseColWidth="8" defaultColWidth="0" defaultRowHeight="12" zeroHeight="1"/>
  <cols>
    <col width="1.5703125" customWidth="1" style="4" min="1" max="1"/>
    <col width="4.140625" customWidth="1" style="4" min="2" max="3"/>
    <col width="4.42578125" customWidth="1" style="4" min="4" max="4"/>
    <col width="5.140625" customWidth="1" style="4" min="5" max="5"/>
    <col width="3.5703125" customWidth="1" style="4" min="6" max="7"/>
    <col width="34.85546875" customWidth="1" style="4" min="8" max="8"/>
    <col width="9" customWidth="1" style="4" min="9" max="9"/>
    <col width="2.5703125" customWidth="1" style="4" min="10" max="10"/>
    <col width="18" customWidth="1" style="4" min="11" max="13"/>
    <col hidden="1" width="4.42578125" customWidth="1" style="4" min="14" max="25"/>
    <col hidden="1" width="13" customWidth="1" style="4" min="26" max="28"/>
    <col hidden="1" width="12.7109375" customWidth="1" style="4" min="29" max="16384"/>
  </cols>
  <sheetData>
    <row r="1" ht="17.65" customFormat="1" customHeight="1" s="128">
      <c r="A1" s="99" t="n"/>
      <c r="B1" s="99">
        <f>i_Setup!$M$13&amp;" Financial Projection"</f>
        <v/>
      </c>
      <c r="C1" s="99" t="n"/>
      <c r="D1" s="99" t="n"/>
      <c r="E1" s="99" t="n"/>
      <c r="F1" s="99" t="n"/>
      <c r="G1" s="99" t="n"/>
      <c r="H1" s="99" t="n"/>
      <c r="I1" s="97" t="n"/>
      <c r="J1" s="97" t="n"/>
      <c r="K1" s="97" t="n"/>
    </row>
    <row r="2" ht="17.65" customFormat="1" customHeight="1" s="129">
      <c r="A2" s="99" t="n"/>
      <c r="B2" s="98">
        <f>MID(CELL("filename",C1),FIND("]",CELL("filename",C1))+1,256)</f>
        <v/>
      </c>
      <c r="C2" s="99" t="n"/>
      <c r="D2" s="99" t="n"/>
      <c r="E2" s="99" t="n"/>
      <c r="F2" s="99" t="n"/>
      <c r="G2" s="99" t="n"/>
      <c r="H2" s="99" t="n"/>
      <c r="I2" s="97" t="n"/>
      <c r="J2" s="100" t="n"/>
      <c r="K2" s="100" t="n"/>
    </row>
    <row r="3" ht="17.65" customFormat="1" customHeight="1" s="101">
      <c r="A3" s="99" t="n"/>
      <c r="B3" s="99" t="n"/>
      <c r="C3" s="99" t="n"/>
      <c r="D3" s="99" t="n"/>
      <c r="E3" s="99" t="n"/>
      <c r="F3" s="99" t="n"/>
      <c r="G3" s="99" t="n"/>
      <c r="H3" s="99" t="n"/>
      <c r="I3" s="100" t="n"/>
      <c r="J3" s="124" t="n"/>
      <c r="K3" s="124" t="n"/>
      <c r="L3" s="130" t="n"/>
    </row>
    <row r="4" ht="17.65" customFormat="1" customHeight="1" s="101">
      <c r="B4" s="105" t="inlineStr">
        <is>
          <t>Tab Check</t>
        </is>
      </c>
      <c r="C4" s="106" t="n"/>
      <c r="D4" s="107" t="n"/>
      <c r="E4" s="99" t="n"/>
      <c r="H4" s="26" t="inlineStr">
        <is>
          <t>LINK TO FRONT SHEET</t>
        </is>
      </c>
      <c r="K4" s="124" t="n"/>
      <c r="L4" s="130" t="n"/>
    </row>
    <row r="5" ht="17.65" customFormat="1" customHeight="1" s="101">
      <c r="B5" s="228">
        <f>SUM(B$8:B49)</f>
        <v/>
      </c>
      <c r="C5" s="229">
        <f>SUM(C$8:C49)</f>
        <v/>
      </c>
      <c r="D5" s="104" t="n"/>
      <c r="E5" s="99" t="n"/>
      <c r="H5" s="28">
        <f>sysCheckText</f>
        <v/>
      </c>
      <c r="K5" s="124" t="n"/>
      <c r="L5" s="130" t="n"/>
    </row>
    <row r="6" ht="17.65" customFormat="1" customHeight="1" s="101">
      <c r="B6" s="116" t="inlineStr">
        <is>
          <t>Err</t>
        </is>
      </c>
      <c r="C6" s="117" t="inlineStr">
        <is>
          <t>Alert</t>
        </is>
      </c>
      <c r="D6" s="118" t="n"/>
      <c r="E6" s="99" t="n"/>
    </row>
    <row r="7" ht="17.65" customHeight="1" s="227"/>
    <row r="8" ht="15.75" customFormat="1" customHeight="1" s="99">
      <c r="D8" s="99">
        <f>Heading1</f>
        <v/>
      </c>
      <c r="E8" s="99" t="inlineStr">
        <is>
          <t>Check Text</t>
        </is>
      </c>
    </row>
    <row r="10">
      <c r="B10" s="231" t="n"/>
      <c r="C10" s="231" t="n"/>
      <c r="H10" s="4" t="inlineStr">
        <is>
          <t># of checks triggered</t>
        </is>
      </c>
      <c r="K10" s="3">
        <f>sysCheck&amp;IF(sysCheck&gt;1," errors", " error")</f>
        <v/>
      </c>
    </row>
    <row r="11">
      <c r="B11" s="231" t="n"/>
      <c r="C11" s="231" t="n"/>
      <c r="H11" s="4" t="inlineStr">
        <is>
          <t># of alerts triggered</t>
        </is>
      </c>
      <c r="K11" s="3">
        <f>sysAlert&amp;IF(sysAlert&gt;1," alerts", " alert")</f>
        <v/>
      </c>
    </row>
    <row r="12">
      <c r="B12" s="231" t="n"/>
      <c r="C12" s="231" t="n"/>
    </row>
    <row r="13" customFormat="1" s="8">
      <c r="B13" s="231" t="n"/>
      <c r="C13" s="231" t="n"/>
      <c r="H13" s="4" t="inlineStr">
        <is>
          <t>Wording for triggered check</t>
        </is>
      </c>
      <c r="K13" s="3">
        <f>IF(sysCheck=0,"",K10)</f>
        <v/>
      </c>
      <c r="L13" s="7" t="n"/>
      <c r="M13" s="4" t="n"/>
      <c r="T13" s="13" t="n"/>
    </row>
    <row r="14" customFormat="1" s="8">
      <c r="B14" s="231" t="n"/>
      <c r="C14" s="231" t="n"/>
      <c r="H14" s="4" t="inlineStr">
        <is>
          <t>Wording for triggered alert</t>
        </is>
      </c>
      <c r="K14" s="3">
        <f>IF(sysAlert=0,"",K11)</f>
        <v/>
      </c>
      <c r="L14" s="7" t="n"/>
      <c r="M14" s="4" t="n"/>
      <c r="T14" s="13" t="n"/>
    </row>
    <row r="15" ht="13.15" customHeight="1" s="227">
      <c r="B15" s="231" t="n"/>
      <c r="C15" s="231" t="n"/>
      <c r="H15" s="4" t="inlineStr">
        <is>
          <t>Concatenated wording for check/alert</t>
        </is>
      </c>
      <c r="K15" s="3">
        <f>IF(AND(sysCheck&gt;0,sysAlert&gt;0),"File: "&amp;K13&amp; " and " &amp;K14,"File: "&amp;K13&amp;K14)</f>
        <v/>
      </c>
      <c r="M15" s="16" t="n"/>
    </row>
    <row r="16">
      <c r="B16" s="231" t="n"/>
      <c r="C16" s="231" t="n"/>
    </row>
    <row r="17">
      <c r="B17" s="231" t="n"/>
      <c r="C17" s="231" t="n"/>
      <c r="H17" s="4" t="inlineStr">
        <is>
          <t>Check/Alert Wording</t>
        </is>
      </c>
      <c r="K17" s="3">
        <f>IF(AND(sysCheck=0,sysAlert=0),"All file checks &amp; alerts OK",K15)</f>
        <v/>
      </c>
    </row>
    <row r="19" ht="15.75" customFormat="1" customHeight="1" s="99">
      <c r="D19" s="99">
        <f>Heading1</f>
        <v/>
      </c>
      <c r="E19" s="99" t="inlineStr">
        <is>
          <t>Model checks</t>
        </is>
      </c>
    </row>
    <row r="21" ht="13.5" customFormat="1" customHeight="1" s="223" thickBot="1">
      <c r="E21" s="223">
        <f>Heading2</f>
        <v/>
      </c>
      <c r="F21" s="223" t="inlineStr">
        <is>
          <t>Master check</t>
        </is>
      </c>
    </row>
    <row r="23">
      <c r="B23" s="231" t="n"/>
      <c r="C23" s="231" t="n"/>
      <c r="K23" s="8" t="inlineStr">
        <is>
          <t>Model error</t>
        </is>
      </c>
      <c r="L23" s="8" t="inlineStr">
        <is>
          <t>Model alert</t>
        </is>
      </c>
      <c r="AB23" s="232" t="n"/>
    </row>
    <row r="24">
      <c r="B24" s="231" t="n"/>
      <c r="C24" s="231" t="n"/>
    </row>
    <row r="25">
      <c r="B25" s="231" t="n"/>
      <c r="C25" s="231" t="n"/>
      <c r="H25" s="4" t="inlineStr">
        <is>
          <t>Model Error Check</t>
        </is>
      </c>
      <c r="K25" s="233">
        <f>SUM(K29:K46)</f>
        <v/>
      </c>
      <c r="L25" s="234">
        <f>SUM(L29:L46)</f>
        <v/>
      </c>
    </row>
    <row r="26">
      <c r="B26" s="231" t="n"/>
      <c r="C26" s="231" t="n"/>
    </row>
    <row r="27" ht="13.5" customFormat="1" customHeight="1" s="223" thickBot="1">
      <c r="E27" s="223">
        <f>Heading2</f>
        <v/>
      </c>
      <c r="F27" s="223" t="inlineStr">
        <is>
          <t>Individual error checks and alerts</t>
        </is>
      </c>
    </row>
    <row r="28">
      <c r="K28" s="35" t="inlineStr">
        <is>
          <t>B5</t>
        </is>
      </c>
      <c r="L28" s="35" t="inlineStr">
        <is>
          <t>C5</t>
        </is>
      </c>
    </row>
    <row r="29" ht="12.75" customHeight="1" s="227">
      <c r="B29" s="231" t="n"/>
      <c r="C29" s="231" t="n"/>
      <c r="H29" s="18" t="inlineStr">
        <is>
          <t>System sheets</t>
        </is>
      </c>
    </row>
    <row r="30">
      <c r="B30" s="231" t="n"/>
      <c r="C30" s="231" t="n"/>
      <c r="H30" s="4" t="inlineStr">
        <is>
          <t>sysCheck</t>
        </is>
      </c>
      <c r="K30" s="231">
        <f>INDIRECT("'"&amp;$H30&amp;"'!"&amp;K$28)</f>
        <v/>
      </c>
      <c r="L30" s="231">
        <f>INDIRECT("'"&amp;$H30&amp;"'!"&amp;L$28)</f>
        <v/>
      </c>
      <c r="Q30" s="5" t="n"/>
      <c r="R30" s="5" t="n"/>
      <c r="S30" s="5" t="n"/>
      <c r="T30" s="5" t="n"/>
      <c r="U30" s="5" t="n"/>
      <c r="V30" s="5" t="n"/>
      <c r="W30" s="5" t="n"/>
      <c r="X30" s="5" t="n"/>
      <c r="Y30" s="5" t="n"/>
    </row>
    <row r="31">
      <c r="B31" s="231" t="n"/>
      <c r="C31" s="231" t="n"/>
      <c r="H31" s="0" t="inlineStr">
        <is>
          <t>Front Sheet</t>
        </is>
      </c>
      <c r="K31" s="231">
        <f>INDIRECT("'"&amp;$H31&amp;"'!"&amp;K$28)</f>
        <v/>
      </c>
      <c r="L31" s="231">
        <f>INDIRECT("'"&amp;$H31&amp;"'!"&amp;L$28)</f>
        <v/>
      </c>
      <c r="Q31" s="5" t="n"/>
      <c r="R31" s="5" t="n"/>
      <c r="S31" s="5" t="n"/>
      <c r="T31" s="5" t="n"/>
      <c r="U31" s="5" t="n"/>
      <c r="V31" s="5" t="n"/>
      <c r="W31" s="5" t="n"/>
      <c r="X31" s="5" t="n"/>
      <c r="Y31" s="5" t="n"/>
    </row>
    <row r="32">
      <c r="B32" s="231" t="n"/>
      <c r="C32" s="231" t="n"/>
      <c r="K32" s="231" t="n"/>
      <c r="L32" s="231" t="n"/>
      <c r="Q32" s="5" t="n"/>
      <c r="R32" s="5" t="n"/>
      <c r="S32" s="5" t="n"/>
      <c r="T32" s="5" t="n"/>
      <c r="U32" s="5" t="n"/>
      <c r="V32" s="5" t="n"/>
      <c r="W32" s="5" t="n"/>
      <c r="X32" s="5" t="n"/>
      <c r="Y32" s="5" t="n"/>
    </row>
    <row r="33" ht="12.75" customHeight="1" s="227">
      <c r="B33" s="231" t="n"/>
      <c r="C33" s="231" t="n"/>
      <c r="H33" s="18" t="inlineStr">
        <is>
          <t>Input sheets</t>
        </is>
      </c>
      <c r="K33" s="231" t="n"/>
      <c r="L33" s="231" t="n"/>
    </row>
    <row r="34">
      <c r="B34" s="231" t="n"/>
      <c r="C34" s="231" t="n"/>
      <c r="H34" s="4" t="inlineStr">
        <is>
          <t>i_Setup</t>
        </is>
      </c>
      <c r="K34" s="231">
        <f>INDIRECT("'"&amp;$H34&amp;"'!"&amp;K$28)</f>
        <v/>
      </c>
      <c r="L34" s="231">
        <f>INDIRECT("'"&amp;$H34&amp;"'!"&amp;L$28)</f>
        <v/>
      </c>
      <c r="Q34" s="5" t="n"/>
      <c r="R34" s="5" t="n"/>
      <c r="S34" s="5" t="n"/>
      <c r="T34" s="5" t="n"/>
      <c r="U34" s="5" t="n"/>
      <c r="V34" s="5" t="n"/>
      <c r="W34" s="5" t="n"/>
      <c r="X34" s="5" t="n"/>
      <c r="Y34" s="5" t="n"/>
    </row>
    <row r="35">
      <c r="B35" s="231" t="n"/>
      <c r="C35" s="231" t="n"/>
      <c r="H35" s="0" t="inlineStr">
        <is>
          <t>i_Actuals</t>
        </is>
      </c>
      <c r="K35" s="231">
        <f>INDIRECT("'"&amp;$H35&amp;"'!"&amp;K$28)</f>
        <v/>
      </c>
      <c r="L35" s="231">
        <f>INDIRECT("'"&amp;$H35&amp;"'!"&amp;L$28)</f>
        <v/>
      </c>
      <c r="Q35" s="5" t="n"/>
      <c r="R35" s="5" t="n"/>
      <c r="S35" s="5" t="n"/>
      <c r="T35" s="5" t="n"/>
      <c r="U35" s="5" t="n"/>
      <c r="V35" s="5" t="n"/>
      <c r="W35" s="5" t="n"/>
      <c r="X35" s="5" t="n"/>
      <c r="Y35" s="5" t="n"/>
    </row>
    <row r="36">
      <c r="B36" s="231" t="n"/>
      <c r="C36" s="231" t="n"/>
      <c r="H36" s="0" t="inlineStr">
        <is>
          <t>i_Assumptions</t>
        </is>
      </c>
      <c r="K36" s="231">
        <f>INDIRECT("'"&amp;$H36&amp;"'!"&amp;K$28)</f>
        <v/>
      </c>
      <c r="L36" s="231">
        <f>INDIRECT("'"&amp;$H36&amp;"'!"&amp;L$28)</f>
        <v/>
      </c>
      <c r="Q36" s="5" t="n"/>
      <c r="R36" s="5" t="n"/>
      <c r="S36" s="5" t="n"/>
      <c r="T36" s="5" t="n"/>
      <c r="U36" s="5" t="n"/>
      <c r="V36" s="5" t="n"/>
      <c r="W36" s="5" t="n"/>
      <c r="X36" s="5" t="n"/>
      <c r="Y36" s="5" t="n"/>
    </row>
    <row r="37">
      <c r="B37" s="231" t="n"/>
      <c r="C37" s="231" t="n"/>
      <c r="K37" s="231" t="n"/>
      <c r="L37" s="231" t="n"/>
      <c r="Q37" s="5" t="n"/>
      <c r="R37" s="5" t="n"/>
      <c r="S37" s="5" t="n"/>
      <c r="T37" s="5" t="n"/>
      <c r="U37" s="5" t="n"/>
      <c r="V37" s="5" t="n"/>
      <c r="W37" s="5" t="n"/>
      <c r="X37" s="5" t="n"/>
      <c r="Y37" s="5" t="n"/>
    </row>
    <row r="38" ht="12.75" customHeight="1" s="227">
      <c r="B38" s="231" t="n"/>
      <c r="C38" s="231" t="n"/>
      <c r="H38" s="18" t="inlineStr">
        <is>
          <t>Calculation sheets</t>
        </is>
      </c>
      <c r="K38" s="231" t="n"/>
      <c r="L38" s="231" t="n"/>
    </row>
    <row r="39">
      <c r="B39" s="231" t="n"/>
      <c r="C39" s="231" t="n"/>
      <c r="H39" s="0" t="inlineStr">
        <is>
          <t>c_Calculations</t>
        </is>
      </c>
      <c r="K39" s="231">
        <f>INDIRECT("'"&amp;$H39&amp;"'!"&amp;K$28)</f>
        <v/>
      </c>
      <c r="L39" s="231">
        <f>INDIRECT("'"&amp;$H39&amp;"'!"&amp;L$28)</f>
        <v/>
      </c>
      <c r="Q39" s="5" t="n"/>
      <c r="R39" s="5" t="n"/>
      <c r="S39" s="5" t="n"/>
      <c r="T39" s="5" t="n"/>
      <c r="U39" s="5" t="n"/>
      <c r="V39" s="5" t="n"/>
      <c r="W39" s="5" t="n"/>
      <c r="X39" s="5" t="n"/>
      <c r="Y39" s="5" t="n"/>
    </row>
    <row r="40">
      <c r="B40" s="231" t="n"/>
      <c r="C40" s="231" t="n"/>
      <c r="K40" s="231" t="n"/>
      <c r="L40" s="231" t="n"/>
      <c r="Q40" s="5" t="n"/>
      <c r="R40" s="5" t="n"/>
      <c r="S40" s="5" t="n"/>
      <c r="T40" s="5" t="n"/>
      <c r="U40" s="5" t="n"/>
      <c r="V40" s="5" t="n"/>
      <c r="W40" s="5" t="n"/>
      <c r="X40" s="5" t="n"/>
      <c r="Y40" s="5" t="n"/>
    </row>
    <row r="41" ht="12.75" customHeight="1" s="227">
      <c r="B41" s="231" t="n"/>
      <c r="C41" s="231" t="n"/>
      <c r="H41" s="18" t="inlineStr">
        <is>
          <t>Output sheets</t>
        </is>
      </c>
      <c r="K41" s="231" t="n"/>
      <c r="L41" s="231" t="n"/>
    </row>
    <row r="42">
      <c r="B42" s="231" t="n"/>
      <c r="C42" s="231" t="n"/>
      <c r="H42" s="0" t="inlineStr">
        <is>
          <t>o_Dashboard</t>
        </is>
      </c>
      <c r="K42" s="231">
        <f>INDIRECT("'"&amp;$H42&amp;"'!"&amp;K$28)</f>
        <v/>
      </c>
      <c r="L42" s="231">
        <f>INDIRECT("'"&amp;$H42&amp;"'!"&amp;L$28)</f>
        <v/>
      </c>
    </row>
    <row r="43">
      <c r="B43" s="231" t="n"/>
      <c r="C43" s="231" t="n"/>
      <c r="H43" s="0" t="inlineStr">
        <is>
          <t>o_Fin Stats</t>
        </is>
      </c>
      <c r="K43" s="231">
        <f>INDIRECT("'"&amp;$H43&amp;"'!"&amp;K$28)</f>
        <v/>
      </c>
      <c r="L43" s="231">
        <f>INDIRECT("'"&amp;$H43&amp;"'!"&amp;L$28)</f>
        <v/>
      </c>
    </row>
    <row r="44">
      <c r="B44" s="231" t="n"/>
      <c r="C44" s="231" t="n"/>
      <c r="H44" s="0" t="inlineStr">
        <is>
          <t>o_DCF</t>
        </is>
      </c>
      <c r="K44" s="231">
        <f>INDIRECT("'"&amp;$H44&amp;"'!"&amp;K$28)</f>
        <v/>
      </c>
      <c r="L44" s="231">
        <f>INDIRECT("'"&amp;$H44&amp;"'!"&amp;L$28)</f>
        <v/>
      </c>
      <c r="Q44" s="5" t="n"/>
      <c r="R44" s="5" t="n"/>
      <c r="S44" s="5" t="n"/>
      <c r="T44" s="5" t="n"/>
      <c r="U44" s="5" t="n"/>
      <c r="V44" s="5" t="n"/>
      <c r="W44" s="5" t="n"/>
      <c r="X44" s="5" t="n"/>
      <c r="Y44" s="5" t="n"/>
    </row>
    <row r="45">
      <c r="B45" s="231" t="n"/>
      <c r="C45" s="231" t="n"/>
      <c r="H45" s="0" t="n"/>
      <c r="K45" s="231" t="n"/>
      <c r="L45" s="231" t="n"/>
      <c r="Q45" s="5" t="n"/>
      <c r="R45" s="5" t="n"/>
      <c r="S45" s="5" t="n"/>
      <c r="T45" s="5" t="n"/>
      <c r="U45" s="5" t="n"/>
      <c r="V45" s="5" t="n"/>
      <c r="W45" s="5" t="n"/>
      <c r="X45" s="5" t="n"/>
      <c r="Y45" s="5" t="n"/>
    </row>
    <row r="46">
      <c r="B46" s="231" t="n"/>
      <c r="C46" s="231" t="n"/>
      <c r="K46" s="231" t="n"/>
      <c r="L46" s="231" t="n"/>
      <c r="Q46" s="5" t="n"/>
      <c r="R46" s="5" t="n"/>
      <c r="S46" s="5" t="n"/>
      <c r="T46" s="5" t="n"/>
      <c r="U46" s="5" t="n"/>
      <c r="V46" s="5" t="n"/>
      <c r="W46" s="5" t="n"/>
      <c r="X46" s="5" t="n"/>
      <c r="Y46" s="5" t="n"/>
    </row>
    <row r="47">
      <c r="B47" s="231" t="n"/>
      <c r="C47" s="231" t="n"/>
      <c r="I47" s="0" t="n"/>
      <c r="M47" s="5" t="n"/>
      <c r="N47" s="5" t="n"/>
      <c r="O47" s="5" t="n"/>
      <c r="P47" s="5" t="n"/>
      <c r="Q47" s="5" t="n"/>
      <c r="R47" s="5" t="n"/>
      <c r="S47" s="5" t="n"/>
      <c r="T47" s="5" t="n"/>
      <c r="U47" s="5" t="n"/>
      <c r="V47" s="5" t="n"/>
      <c r="W47" s="5" t="n"/>
      <c r="X47" s="5" t="n"/>
      <c r="Y47" s="5" t="n"/>
    </row>
    <row r="49" ht="15.75" customFormat="1" customHeight="1" s="99">
      <c r="D49" s="99" t="inlineStr">
        <is>
          <t>END OF WORKSHEET</t>
        </is>
      </c>
    </row>
  </sheetData>
  <conditionalFormatting sqref="B5">
    <cfRule type="cellIs" priority="5" operator="notEqual" dxfId="1">
      <formula>0</formula>
    </cfRule>
    <cfRule type="expression" priority="6" dxfId="1">
      <formula>"$B$6&lt;&gt;0"</formula>
    </cfRule>
  </conditionalFormatting>
  <conditionalFormatting sqref="B5:C5">
    <cfRule type="cellIs" priority="7" operator="equal" dxfId="5">
      <formula>0</formula>
    </cfRule>
  </conditionalFormatting>
  <conditionalFormatting sqref="C5">
    <cfRule type="cellIs" priority="8" operator="notEqual" dxfId="0">
      <formula>0</formula>
    </cfRule>
  </conditionalFormatting>
  <conditionalFormatting sqref="H5">
    <cfRule type="expression" priority="1" dxfId="1">
      <formula>sysCheck&lt;&gt;0</formula>
    </cfRule>
    <cfRule type="expression" priority="2" dxfId="0">
      <formula>sysAlert&lt;&gt;0</formula>
    </cfRule>
    <cfRule type="expression" priority="3" dxfId="1">
      <formula>sysCheck&lt;&gt;0</formula>
    </cfRule>
    <cfRule type="expression" priority="4" dxfId="0">
      <formula>sysAlert&lt;&gt;0</formula>
    </cfRule>
  </conditionalFormatting>
  <hyperlinks>
    <hyperlink ref="H4" location="'Front Sheet'!A1" display="LINK TO FRONT SHEET"/>
    <hyperlink ref="H5" location="sht_sysCheck" display="sht_sysCheck"/>
  </hyperlinks>
  <pageMargins left="0.2362204724409449" right="0.2362204724409449" top="0.7480314960629921" bottom="0.7480314960629921" header="0.3149606299212598" footer="0.3149606299212598"/>
  <pageSetup orientation="portrait" paperSize="9" scale="87" fitToHeight="0"/>
  <headerFooter>
    <oddHeader>&amp;L&amp;C&amp;R</oddHeader>
    <oddFooter>&amp;L&amp;F&amp;CPage &amp;P of &amp;N&amp;RPrinted on: &amp;D &amp;T</oddFooter>
    <evenHeader/>
    <evenFooter/>
    <firstHeader/>
    <firstFooter/>
  </headerFooter>
</worksheet>
</file>

<file path=xl/worksheets/sheet3.xml><?xml version="1.0" encoding="utf-8"?>
<worksheet xmlns="http://schemas.openxmlformats.org/spreadsheetml/2006/main">
  <sheetPr>
    <tabColor theme="6"/>
    <outlinePr summaryBelow="1" summaryRight="1"/>
    <pageSetUpPr/>
  </sheetPr>
  <dimension ref="A1:AI594"/>
  <sheetViews>
    <sheetView showGridLines="0" zoomScale="70" zoomScaleNormal="70" workbookViewId="0">
      <pane ySplit="8" topLeftCell="A9" activePane="bottomLeft" state="frozen"/>
      <selection activeCell="P48" sqref="P48"/>
      <selection pane="bottomLeft" activeCell="P19" sqref="P19"/>
    </sheetView>
  </sheetViews>
  <sheetFormatPr baseColWidth="8" defaultColWidth="0" defaultRowHeight="11.45" customHeight="1" zeroHeight="1"/>
  <cols>
    <col width="1.5703125" customWidth="1" style="6" min="1" max="1"/>
    <col width="4.140625" customWidth="1" style="6" min="2" max="2"/>
    <col width="4.140625" customWidth="1" style="4" min="3" max="3"/>
    <col width="4.42578125" customWidth="1" style="4" min="4" max="4"/>
    <col width="5.140625" customWidth="1" style="4" min="5" max="5"/>
    <col width="4.140625" customWidth="1" style="4" min="6" max="6"/>
    <col width="4.7109375" customWidth="1" style="4" min="7" max="7"/>
    <col width="47.5703125" customWidth="1" style="4" min="8" max="8"/>
    <col width="9" customWidth="1" style="4" min="9" max="9"/>
    <col width="2.5703125" customWidth="1" style="4" min="10" max="10"/>
    <col width="13.5703125" customWidth="1" style="4" min="11" max="11"/>
    <col width="7.85546875" customWidth="1" style="4" min="12" max="12"/>
    <col width="19.42578125" customWidth="1" style="4" min="13" max="14"/>
    <col width="7" customWidth="1" style="4" min="15" max="15"/>
    <col width="19.140625" customWidth="1" style="4" min="16" max="16"/>
    <col width="3.7109375" customWidth="1" style="4" min="17" max="17"/>
    <col width="16.42578125" customWidth="1" style="4" min="18" max="18"/>
    <col width="5" customWidth="1" style="4" min="19" max="19"/>
    <col hidden="1" outlineLevel="1" width="12.7109375" customWidth="1" style="4" min="20" max="22"/>
    <col collapsed="1" width="5.42578125" customWidth="1" style="4" min="23" max="23"/>
    <col hidden="1" width="12.7109375" customWidth="1" style="4" min="24" max="16384"/>
  </cols>
  <sheetData>
    <row r="1" ht="17.65" customFormat="1" customHeight="1" s="2">
      <c r="A1" s="99" t="n"/>
      <c r="B1" s="99">
        <f>i_Setup!$M$13&amp;" Financial Projection"</f>
        <v/>
      </c>
      <c r="C1" s="99" t="n"/>
      <c r="D1" s="99" t="n"/>
      <c r="E1" s="99" t="n"/>
      <c r="F1" s="99" t="n"/>
      <c r="G1" s="99" t="n"/>
      <c r="H1" s="99" t="n"/>
      <c r="I1" s="97" t="n"/>
      <c r="J1" s="97" t="n"/>
      <c r="K1" s="127" t="n"/>
      <c r="L1" s="128" t="n"/>
      <c r="M1" s="131" t="n"/>
      <c r="N1" s="131" t="n"/>
      <c r="O1" s="131" t="n"/>
      <c r="P1" s="131" t="n"/>
      <c r="Q1" s="128" t="n"/>
      <c r="R1" s="128" t="n"/>
      <c r="S1" s="128" t="n"/>
      <c r="T1" s="128" t="n"/>
      <c r="U1" s="128" t="n"/>
      <c r="V1" s="128" t="n"/>
      <c r="W1" s="128" t="n"/>
    </row>
    <row r="2" ht="17.65" customFormat="1" customHeight="1" s="1">
      <c r="A2" s="99" t="n"/>
      <c r="B2" s="98">
        <f>MID(CELL("filename",C1),FIND("]",CELL("filename",C1))+1,256)</f>
        <v/>
      </c>
      <c r="C2" s="99" t="n"/>
      <c r="D2" s="99" t="n"/>
      <c r="E2" s="99" t="n"/>
      <c r="F2" s="99" t="n"/>
      <c r="G2" s="99" t="n"/>
      <c r="H2" s="99" t="n"/>
      <c r="I2" s="97" t="n"/>
      <c r="J2" s="100" t="n"/>
      <c r="K2" s="127" t="n"/>
      <c r="L2" s="129" t="n"/>
      <c r="M2" s="131" t="n"/>
      <c r="N2" s="131" t="n"/>
      <c r="O2" s="131" t="n"/>
      <c r="P2" s="131" t="n"/>
      <c r="Q2" s="129" t="n"/>
      <c r="R2" s="129" t="n"/>
      <c r="S2" s="129" t="n"/>
      <c r="T2" s="129" t="n"/>
      <c r="U2" s="129" t="n"/>
      <c r="V2" s="129" t="n"/>
      <c r="W2" s="129" t="n"/>
    </row>
    <row r="3" ht="17.65" customHeight="1" s="227">
      <c r="A3" s="99" t="n"/>
      <c r="B3" s="99" t="n"/>
      <c r="C3" s="99" t="n"/>
      <c r="D3" s="99" t="n"/>
      <c r="E3" s="99" t="n"/>
      <c r="F3" s="99" t="n"/>
      <c r="G3" s="99" t="n"/>
      <c r="H3" s="99" t="n"/>
      <c r="I3" s="100" t="n"/>
      <c r="J3" s="124" t="n"/>
      <c r="K3" s="127" t="n"/>
      <c r="L3" s="130" t="n"/>
      <c r="M3" s="125" t="n"/>
      <c r="N3" s="125" t="n"/>
      <c r="O3" s="125" t="n"/>
      <c r="P3" s="125" t="n"/>
      <c r="Q3" s="130" t="n"/>
      <c r="R3" s="130" t="n"/>
      <c r="S3" s="130" t="n"/>
      <c r="T3" s="130" t="n"/>
      <c r="U3" s="130" t="n"/>
      <c r="V3" s="130" t="n"/>
      <c r="W3" s="130" t="n"/>
    </row>
    <row r="4" ht="17.65" customHeight="1" s="227">
      <c r="A4" s="101" t="n"/>
      <c r="B4" s="105" t="inlineStr">
        <is>
          <t>Tab Check</t>
        </is>
      </c>
      <c r="C4" s="106" t="n"/>
      <c r="D4" s="107" t="n"/>
      <c r="E4" s="99" t="n"/>
      <c r="F4" s="101" t="n"/>
      <c r="G4" s="101" t="n"/>
      <c r="H4" s="26" t="inlineStr">
        <is>
          <t>LINK TO FRONT SHEET</t>
        </is>
      </c>
      <c r="I4" s="101" t="n"/>
      <c r="J4" s="101" t="n"/>
      <c r="K4" s="127" t="n"/>
      <c r="L4" s="130" t="n"/>
      <c r="M4" s="235" t="n"/>
      <c r="N4" s="235" t="n"/>
      <c r="O4" s="235" t="n"/>
      <c r="P4" s="235" t="n"/>
      <c r="Q4" s="130" t="n"/>
      <c r="R4" s="130" t="n"/>
      <c r="S4" s="130" t="n"/>
      <c r="T4" s="130" t="n"/>
      <c r="U4" s="130" t="n"/>
      <c r="V4" s="130" t="n"/>
      <c r="W4" s="130" t="n"/>
    </row>
    <row r="5" ht="17.65" customHeight="1" s="227">
      <c r="A5" s="101" t="n"/>
      <c r="B5" s="228">
        <f>SUM(B$9:B130)</f>
        <v/>
      </c>
      <c r="C5" s="229">
        <f>SUM(C$9:C130)</f>
        <v/>
      </c>
      <c r="D5" s="104" t="n"/>
      <c r="E5" s="99" t="n"/>
      <c r="F5" s="101" t="n"/>
      <c r="G5" s="101" t="n"/>
      <c r="H5" s="28">
        <f>sysCheckText</f>
        <v/>
      </c>
      <c r="I5" s="101" t="n"/>
      <c r="J5" s="101" t="n"/>
      <c r="K5" s="127" t="n"/>
      <c r="L5" s="130" t="n"/>
      <c r="M5" s="235" t="n"/>
      <c r="N5" s="235" t="n"/>
      <c r="O5" s="235" t="n"/>
      <c r="P5" s="235" t="n"/>
      <c r="Q5" s="130" t="n"/>
      <c r="R5" s="130" t="n"/>
      <c r="S5" s="130" t="n"/>
      <c r="T5" s="130" t="n"/>
      <c r="U5" s="130" t="n"/>
      <c r="V5" s="130" t="n"/>
      <c r="W5" s="130" t="n"/>
    </row>
    <row r="6" ht="17.65" customHeight="1" s="227">
      <c r="A6" s="101" t="n"/>
      <c r="B6" s="119" t="inlineStr">
        <is>
          <t>Err</t>
        </is>
      </c>
      <c r="C6" s="120" t="inlineStr">
        <is>
          <t>Alert</t>
        </is>
      </c>
      <c r="D6" s="121" t="n"/>
      <c r="E6" s="99" t="n"/>
      <c r="F6" s="101" t="n"/>
      <c r="G6" s="101" t="n"/>
      <c r="H6" s="101" t="n"/>
      <c r="I6" s="101" t="n"/>
      <c r="J6" s="101" t="n"/>
      <c r="K6" s="127" t="n"/>
      <c r="L6" s="130" t="n"/>
      <c r="M6" s="235" t="n"/>
      <c r="N6" s="235" t="n"/>
      <c r="O6" s="235" t="n"/>
      <c r="P6" s="235" t="n"/>
      <c r="Q6" s="130" t="n"/>
      <c r="R6" s="130" t="n"/>
      <c r="S6" s="130" t="n"/>
      <c r="T6" s="130" t="n"/>
      <c r="U6" s="130" t="n"/>
      <c r="V6" s="130" t="n"/>
      <c r="W6" s="130" t="n"/>
    </row>
    <row r="7" ht="17.65" customHeight="1" s="227">
      <c r="A7" s="101" t="n"/>
      <c r="B7" s="117" t="n"/>
      <c r="C7" s="117" t="n"/>
      <c r="D7" s="122" t="n"/>
      <c r="E7" s="99" t="n"/>
      <c r="F7" s="101" t="n"/>
      <c r="G7" s="101" t="n"/>
      <c r="H7" s="101" t="n"/>
      <c r="I7" s="101" t="n"/>
      <c r="J7" s="101" t="n"/>
      <c r="K7" s="127" t="n"/>
      <c r="L7" s="130" t="n"/>
      <c r="M7" s="235" t="n"/>
      <c r="N7" s="235" t="n"/>
      <c r="O7" s="235" t="n"/>
      <c r="P7" s="235" t="n"/>
      <c r="Q7" s="130" t="n"/>
      <c r="R7" s="130" t="n"/>
      <c r="S7" s="130" t="n"/>
      <c r="T7" s="130" t="n"/>
      <c r="U7" s="130" t="n"/>
      <c r="V7" s="130" t="n"/>
      <c r="W7" s="130" t="n"/>
    </row>
    <row r="8" ht="17.65" customHeight="1" s="227">
      <c r="A8" s="4" t="n"/>
      <c r="B8" s="4" t="n"/>
      <c r="K8" s="27" t="n"/>
      <c r="M8" s="236" t="n"/>
      <c r="N8" s="236" t="n"/>
      <c r="O8" s="236" t="n"/>
      <c r="P8" s="236" t="n"/>
      <c r="T8" s="30" t="n"/>
      <c r="U8" s="30" t="n"/>
      <c r="V8" s="30" t="n"/>
    </row>
    <row r="9" ht="15.75" customFormat="1" customHeight="1" s="99">
      <c r="D9" s="99">
        <f>Heading1</f>
        <v/>
      </c>
      <c r="E9" s="99" t="inlineStr">
        <is>
          <t>Setup Inputs</t>
        </is>
      </c>
    </row>
    <row r="10" ht="12" customHeight="1" s="227">
      <c r="A10" s="4" t="n"/>
      <c r="B10" s="4" t="n"/>
      <c r="T10" s="30" t="n"/>
      <c r="U10" s="30" t="n"/>
      <c r="V10" s="30" t="n"/>
    </row>
    <row r="11" ht="13.5" customFormat="1" customHeight="1" s="223" thickBot="1">
      <c r="E11" s="223">
        <f>Heading2</f>
        <v/>
      </c>
      <c r="F11" s="223" t="inlineStr">
        <is>
          <t>General Inputs</t>
        </is>
      </c>
      <c r="T11" s="73" t="n"/>
      <c r="U11" s="73" t="n"/>
      <c r="V11" s="73" t="n"/>
      <c r="AH11" s="47" t="n"/>
      <c r="AI11" s="47" t="n"/>
    </row>
    <row r="12" ht="12" customHeight="1" s="227">
      <c r="A12" s="4" t="n"/>
      <c r="B12" s="4" t="n"/>
      <c r="T12" s="30" t="n"/>
      <c r="U12" s="30" t="n"/>
      <c r="V12" s="30" t="n"/>
    </row>
    <row r="13" ht="12.75" customHeight="1" s="227">
      <c r="G13" s="222" t="n">
        <v>1</v>
      </c>
      <c r="H13" s="222" t="inlineStr">
        <is>
          <t>Name of company</t>
        </is>
      </c>
      <c r="I13" s="27" t="inlineStr">
        <is>
          <t>Text</t>
        </is>
      </c>
      <c r="M13" s="10" t="inlineStr">
        <is>
          <t>ABC Ship Management Ltd</t>
        </is>
      </c>
      <c r="N13" s="237" t="n"/>
      <c r="O13" s="237" t="n"/>
      <c r="P13" s="238" t="n"/>
      <c r="T13" s="30" t="n"/>
      <c r="U13" s="30" t="n"/>
      <c r="V13" s="30" t="n"/>
    </row>
    <row r="14" ht="12" customHeight="1" s="227">
      <c r="G14" s="37" t="n"/>
      <c r="H14" s="8" t="n"/>
      <c r="I14" s="27" t="n"/>
      <c r="M14" s="34" t="n"/>
      <c r="N14" s="34" t="n"/>
      <c r="O14" s="34" t="n"/>
      <c r="P14" s="34" t="n"/>
      <c r="T14" s="30" t="n"/>
      <c r="U14" s="30" t="n"/>
      <c r="V14" s="30" t="n"/>
    </row>
    <row r="15" ht="12" customHeight="1" s="227">
      <c r="G15" s="37" t="n"/>
      <c r="H15" s="8" t="n"/>
      <c r="I15" s="27" t="n"/>
      <c r="M15" s="34" t="n"/>
      <c r="N15" s="34" t="n"/>
      <c r="O15" s="34" t="n"/>
      <c r="P15" s="34" t="n"/>
      <c r="T15" s="30" t="n"/>
      <c r="U15" s="31" t="n"/>
      <c r="V15" s="136" t="n"/>
    </row>
    <row r="16" ht="12.75" customHeight="1" s="227">
      <c r="G16" s="222">
        <f>MAX(G$9:G15)+1</f>
        <v/>
      </c>
      <c r="H16" s="222" t="inlineStr">
        <is>
          <t>Currency</t>
        </is>
      </c>
      <c r="I16" s="27" t="inlineStr">
        <is>
          <t>List</t>
        </is>
      </c>
      <c r="M16" s="10" t="inlineStr">
        <is>
          <t>USD</t>
        </is>
      </c>
      <c r="N16" s="34" t="n"/>
      <c r="O16" s="34" t="n"/>
      <c r="P16" s="34" t="n"/>
      <c r="T16" s="30" t="n"/>
      <c r="U16" s="30" t="n"/>
      <c r="V16" s="136" t="n"/>
    </row>
    <row r="17" ht="12" customHeight="1" s="227">
      <c r="G17" s="8" t="n"/>
      <c r="H17" s="8" t="n"/>
      <c r="I17" s="27" t="n"/>
      <c r="M17" s="34" t="n"/>
      <c r="N17" s="34" t="n"/>
      <c r="O17" s="34" t="n"/>
      <c r="P17" s="34" t="n"/>
      <c r="T17" s="30" t="n"/>
      <c r="U17" s="30" t="n"/>
      <c r="V17" s="137" t="n"/>
    </row>
    <row r="18" ht="12" customHeight="1" s="227">
      <c r="G18" s="8" t="n"/>
      <c r="H18" s="8" t="n"/>
      <c r="I18" s="27" t="n"/>
      <c r="M18" s="34" t="n"/>
      <c r="N18" s="34" t="n"/>
      <c r="O18" s="34" t="n"/>
      <c r="P18" s="34" t="n"/>
      <c r="T18" s="30" t="n"/>
      <c r="U18" s="30" t="n"/>
      <c r="V18" s="137" t="n"/>
    </row>
    <row r="19" ht="12.75" customHeight="1" s="227">
      <c r="G19" s="222">
        <f>MAX(G$9:G18)+1</f>
        <v/>
      </c>
      <c r="H19" s="222" t="inlineStr">
        <is>
          <t>Timeline Start Year</t>
        </is>
      </c>
      <c r="I19" s="27" t="inlineStr">
        <is>
          <t>List</t>
        </is>
      </c>
      <c r="M19" s="10" t="n">
        <v>2024</v>
      </c>
      <c r="N19" s="34" t="n"/>
      <c r="O19" s="34" t="n"/>
      <c r="P19" s="34" t="n"/>
      <c r="T19" s="30" t="n"/>
      <c r="U19" s="30" t="n"/>
      <c r="V19" s="137" t="n"/>
    </row>
    <row r="20" ht="12" customHeight="1" s="227">
      <c r="G20" s="8" t="n"/>
      <c r="H20" s="8" t="n"/>
      <c r="I20" s="27" t="n"/>
      <c r="M20" s="34" t="n"/>
      <c r="N20" s="34" t="n"/>
      <c r="O20" s="34" t="n"/>
      <c r="P20" s="34" t="n"/>
      <c r="T20" s="30" t="n"/>
      <c r="U20" s="30" t="n"/>
      <c r="V20" s="137" t="n"/>
    </row>
    <row r="21" ht="12" customHeight="1" s="227">
      <c r="G21" s="8" t="n"/>
      <c r="H21" s="8" t="n"/>
      <c r="I21" s="27" t="n"/>
      <c r="M21" s="34" t="n"/>
      <c r="N21" s="34" t="n"/>
      <c r="O21" s="34" t="n"/>
      <c r="P21" s="34" t="n"/>
      <c r="T21" s="30" t="n"/>
      <c r="U21" s="30" t="n"/>
      <c r="V21" s="137" t="n"/>
    </row>
    <row r="22" ht="12.75" customHeight="1" s="227">
      <c r="G22" s="222">
        <f>MAX(G$9:G21)+1</f>
        <v/>
      </c>
      <c r="H22" s="222" t="inlineStr">
        <is>
          <t>First Projection Year</t>
        </is>
      </c>
      <c r="I22" s="27" t="inlineStr">
        <is>
          <t>List</t>
        </is>
      </c>
      <c r="M22" s="10" t="n">
        <v>2024</v>
      </c>
      <c r="N22" s="34" t="n"/>
      <c r="O22" s="34" t="n"/>
      <c r="P22" s="34" t="n"/>
      <c r="T22" s="30" t="n"/>
      <c r="U22" s="30" t="n"/>
      <c r="V22" s="137" t="n"/>
    </row>
    <row r="23" ht="12" customHeight="1" s="227">
      <c r="G23" s="8" t="n"/>
      <c r="H23" s="8" t="n"/>
      <c r="I23" s="27" t="n"/>
      <c r="M23" s="34" t="n"/>
      <c r="N23" s="34" t="n"/>
      <c r="O23" s="34" t="n"/>
      <c r="P23" s="34" t="n"/>
      <c r="T23" s="30" t="n"/>
      <c r="U23" s="30" t="n"/>
      <c r="V23" s="137" t="n"/>
    </row>
    <row r="24" ht="12" customHeight="1" s="227">
      <c r="M24" s="34" t="n"/>
      <c r="N24" s="34" t="n"/>
      <c r="O24" s="34" t="n"/>
      <c r="P24" s="34" t="n"/>
      <c r="T24" s="30" t="n"/>
      <c r="U24" s="30" t="n"/>
      <c r="V24" s="137" t="n"/>
    </row>
    <row r="25" ht="12.75" customHeight="1" s="227">
      <c r="G25" s="222">
        <f>MAX(G$9:G23)+1</f>
        <v/>
      </c>
      <c r="H25" s="222" t="inlineStr">
        <is>
          <t>First Projection Month</t>
        </is>
      </c>
      <c r="I25" s="27" t="inlineStr">
        <is>
          <t>List</t>
        </is>
      </c>
      <c r="M25" s="239" t="n">
        <v>6</v>
      </c>
      <c r="N25" s="34" t="n"/>
      <c r="O25" s="34" t="n"/>
      <c r="P25" s="34" t="n"/>
      <c r="T25" s="153">
        <f>IFERROR(DATE(M22,M25,1),0)</f>
        <v/>
      </c>
      <c r="U25" s="153">
        <f>EOMONTH(T25,0)</f>
        <v/>
      </c>
      <c r="V25" s="137" t="n"/>
    </row>
    <row r="26" ht="12.75" customHeight="1" s="227">
      <c r="G26" s="222" t="n"/>
      <c r="H26" s="222" t="n"/>
      <c r="I26" s="27" t="n"/>
      <c r="M26" s="34" t="n"/>
      <c r="N26" s="34" t="n"/>
      <c r="O26" s="34" t="n"/>
      <c r="P26" s="34" t="n"/>
      <c r="T26" s="153" t="n"/>
      <c r="U26" s="153">
        <f>IFERROR(EOMONTH(T25,-1),0)</f>
        <v/>
      </c>
      <c r="V26" s="137" t="n"/>
    </row>
    <row r="27" ht="12.75" customHeight="1" s="227">
      <c r="G27" s="222" t="n"/>
      <c r="H27" s="222" t="n"/>
      <c r="I27" s="27" t="n"/>
      <c r="M27" s="34" t="n"/>
      <c r="N27" s="34" t="n"/>
      <c r="O27" s="34" t="n"/>
      <c r="P27" s="34" t="n"/>
      <c r="T27" s="153" t="n"/>
      <c r="U27" s="153" t="n"/>
      <c r="V27" s="137" t="n"/>
    </row>
    <row r="28" ht="13.5" customFormat="1" customHeight="1" s="223" thickBot="1">
      <c r="E28" s="223">
        <f>Heading2</f>
        <v/>
      </c>
      <c r="F28" s="223" t="inlineStr">
        <is>
          <t>Naming Inputs</t>
        </is>
      </c>
      <c r="T28" s="73" t="n"/>
      <c r="U28" s="73" t="n"/>
      <c r="V28" s="73" t="n"/>
      <c r="AH28" s="47" t="n"/>
      <c r="AI28" s="47" t="n"/>
    </row>
    <row r="29" ht="12" customHeight="1" s="227">
      <c r="G29" s="35" t="n"/>
      <c r="I29" s="27" t="n"/>
      <c r="P29" s="35" t="n"/>
      <c r="T29" s="38" t="n"/>
      <c r="U29" s="32" t="n"/>
      <c r="V29" s="30" t="n"/>
    </row>
    <row r="30" ht="12" customHeight="1" s="227">
      <c r="G30" s="222">
        <f>MAX(G3:G$29)+1</f>
        <v/>
      </c>
      <c r="H30" s="222" t="inlineStr">
        <is>
          <t>Types of Ships</t>
        </is>
      </c>
      <c r="I30" s="27" t="n"/>
      <c r="P30" s="35" t="n"/>
      <c r="T30" s="38" t="n"/>
      <c r="U30" s="32" t="n"/>
      <c r="V30" s="30" t="n"/>
    </row>
    <row r="31" ht="12" customHeight="1" s="227">
      <c r="G31" s="35" t="n"/>
      <c r="I31" s="27" t="n"/>
      <c r="M31" s="8" t="inlineStr">
        <is>
          <t>Name</t>
        </is>
      </c>
      <c r="P31" s="37" t="inlineStr">
        <is>
          <t>Sales Tax</t>
        </is>
      </c>
      <c r="T31" s="38" t="n"/>
      <c r="U31" s="32" t="n"/>
      <c r="V31" s="30" t="n"/>
    </row>
    <row r="32" ht="12" customHeight="1" s="227">
      <c r="G32" s="35" t="n"/>
      <c r="H32" s="36">
        <f>"Ship Type "&amp;T32&amp;" (ST"&amp;T32&amp;")"</f>
        <v/>
      </c>
      <c r="I32" s="212" t="inlineStr">
        <is>
          <t>Text / List</t>
        </is>
      </c>
      <c r="M32" s="10" t="inlineStr">
        <is>
          <t>Container Ships</t>
        </is>
      </c>
      <c r="N32" s="238" t="n"/>
      <c r="P32" s="24" t="inlineStr">
        <is>
          <t>Yes</t>
        </is>
      </c>
      <c r="T32" s="38" t="n">
        <v>1</v>
      </c>
      <c r="U32" s="32">
        <f>IF(M32&lt;&gt;"","ST"&amp;T32&amp;" - "&amp;M32,"ST"&amp;T32&amp;" - "&amp;"N/A")</f>
        <v/>
      </c>
      <c r="V32" s="30" t="n"/>
    </row>
    <row r="33" ht="12" customHeight="1" s="227">
      <c r="G33" s="35" t="n"/>
      <c r="H33" s="36">
        <f>"Ship Type "&amp;T33&amp;" (ST"&amp;T33&amp;")"</f>
        <v/>
      </c>
      <c r="I33" s="212" t="inlineStr">
        <is>
          <t>Text / List</t>
        </is>
      </c>
      <c r="M33" s="10" t="inlineStr">
        <is>
          <t>Bulk Carriers</t>
        </is>
      </c>
      <c r="N33" s="238" t="n"/>
      <c r="P33" s="24" t="inlineStr">
        <is>
          <t>Yes</t>
        </is>
      </c>
      <c r="T33" s="38">
        <f>T32+1</f>
        <v/>
      </c>
      <c r="U33" s="32">
        <f>IF(M33&lt;&gt;"","ST"&amp;T33&amp;" - "&amp;M33,"ST"&amp;T33&amp;" - "&amp;"N/A")</f>
        <v/>
      </c>
      <c r="V33" s="30" t="n"/>
    </row>
    <row r="34" ht="12" customHeight="1" s="227">
      <c r="G34" s="35" t="n"/>
      <c r="H34" s="36">
        <f>"Ship Type "&amp;T34&amp;" (ST"&amp;T34&amp;")"</f>
        <v/>
      </c>
      <c r="I34" s="212" t="inlineStr">
        <is>
          <t>Text / List</t>
        </is>
      </c>
      <c r="M34" s="10" t="inlineStr">
        <is>
          <t>Tankers</t>
        </is>
      </c>
      <c r="N34" s="238" t="n"/>
      <c r="P34" s="24" t="inlineStr">
        <is>
          <t>Yes</t>
        </is>
      </c>
      <c r="T34" s="38">
        <f>T33+1</f>
        <v/>
      </c>
      <c r="U34" s="32">
        <f>IF(M34&lt;&gt;"","ST"&amp;T34&amp;" - "&amp;M34,"ST"&amp;T34&amp;" - "&amp;"N/A")</f>
        <v/>
      </c>
      <c r="V34" s="30" t="n"/>
    </row>
    <row r="35" ht="12" customHeight="1" s="227">
      <c r="G35" s="35" t="n"/>
      <c r="H35" s="36">
        <f>"Ship Type "&amp;T35&amp;" (ST"&amp;T35&amp;")"</f>
        <v/>
      </c>
      <c r="I35" s="212" t="inlineStr">
        <is>
          <t>Text / List</t>
        </is>
      </c>
      <c r="M35" s="10" t="inlineStr">
        <is>
          <t>Ro-Ro Vessels</t>
        </is>
      </c>
      <c r="N35" s="238" t="n"/>
      <c r="P35" s="24" t="inlineStr">
        <is>
          <t>Yes</t>
        </is>
      </c>
      <c r="T35" s="38">
        <f>T34+1</f>
        <v/>
      </c>
      <c r="U35" s="32">
        <f>IF(M35&lt;&gt;"","ST"&amp;T35&amp;" - "&amp;M35,"ST"&amp;T35&amp;" - "&amp;"N/A")</f>
        <v/>
      </c>
      <c r="V35" s="30" t="n"/>
    </row>
    <row r="36" ht="12" customHeight="1" s="227">
      <c r="G36" s="35" t="n"/>
      <c r="H36" s="36">
        <f>"Ship Type "&amp;T36&amp;" (ST"&amp;T36&amp;")"</f>
        <v/>
      </c>
      <c r="I36" s="212" t="inlineStr">
        <is>
          <t>Text / List</t>
        </is>
      </c>
      <c r="M36" s="10" t="inlineStr">
        <is>
          <t>LNG Carriers</t>
        </is>
      </c>
      <c r="N36" s="238" t="n"/>
      <c r="P36" s="24" t="inlineStr">
        <is>
          <t>Yes</t>
        </is>
      </c>
      <c r="T36" s="38">
        <f>T35+1</f>
        <v/>
      </c>
      <c r="U36" s="32">
        <f>IF(M36&lt;&gt;"","ST"&amp;T36&amp;" - "&amp;M36,"ST"&amp;T36&amp;" - "&amp;"N/A")</f>
        <v/>
      </c>
      <c r="V36" s="30" t="n"/>
    </row>
    <row r="37" ht="12" customHeight="1" s="227">
      <c r="G37" s="35" t="n"/>
      <c r="H37" s="36">
        <f>"Ship Type "&amp;T37&amp;" (ST"&amp;T37&amp;")"</f>
        <v/>
      </c>
      <c r="I37" s="212" t="inlineStr">
        <is>
          <t>Text / List</t>
        </is>
      </c>
      <c r="M37" s="10" t="inlineStr">
        <is>
          <t>Bulk Carrier</t>
        </is>
      </c>
      <c r="N37" s="238" t="n"/>
      <c r="P37" s="24" t="inlineStr">
        <is>
          <t>Yes</t>
        </is>
      </c>
      <c r="T37" s="38">
        <f>T36+1</f>
        <v/>
      </c>
      <c r="U37" s="32">
        <f>IF(M37&lt;&gt;"","ST"&amp;T37&amp;" - "&amp;M37,"ST"&amp;T37&amp;" - "&amp;"N/A")</f>
        <v/>
      </c>
      <c r="V37" s="30" t="n"/>
    </row>
    <row r="38" ht="12" customHeight="1" s="227">
      <c r="G38" s="35" t="n"/>
      <c r="H38" s="36">
        <f>"Ship Type "&amp;T38&amp;" (ST"&amp;T38&amp;")"</f>
        <v/>
      </c>
      <c r="I38" s="212" t="inlineStr">
        <is>
          <t>Text / List</t>
        </is>
      </c>
      <c r="M38" s="10" t="n"/>
      <c r="N38" s="238" t="n"/>
      <c r="P38" s="24" t="n"/>
      <c r="T38" s="38">
        <f>T37+1</f>
        <v/>
      </c>
      <c r="U38" s="32">
        <f>IF(M38&lt;&gt;"","ST"&amp;T38&amp;" - "&amp;M38,"ST"&amp;T38&amp;" - "&amp;"N/A")</f>
        <v/>
      </c>
      <c r="V38" s="30" t="n"/>
    </row>
    <row r="39" ht="12" customHeight="1" s="227">
      <c r="G39" s="35" t="n"/>
      <c r="H39" s="36">
        <f>"Ship Type "&amp;T39&amp;" (ST"&amp;T39&amp;")"</f>
        <v/>
      </c>
      <c r="I39" s="212" t="inlineStr">
        <is>
          <t>Text / List</t>
        </is>
      </c>
      <c r="M39" s="10" t="n"/>
      <c r="N39" s="238" t="n"/>
      <c r="P39" s="24" t="n"/>
      <c r="T39" s="38">
        <f>T38+1</f>
        <v/>
      </c>
      <c r="U39" s="32">
        <f>IF(M39&lt;&gt;"","ST"&amp;T39&amp;" - "&amp;M39,"ST"&amp;T39&amp;" - "&amp;"N/A")</f>
        <v/>
      </c>
      <c r="V39" s="30" t="n"/>
    </row>
    <row r="40" ht="12" customHeight="1" s="227">
      <c r="G40" s="35" t="n"/>
      <c r="H40" s="36">
        <f>"Ship Type "&amp;T40&amp;" (ST"&amp;T40&amp;")"</f>
        <v/>
      </c>
      <c r="I40" s="212" t="inlineStr">
        <is>
          <t>Text / List</t>
        </is>
      </c>
      <c r="M40" s="10" t="n"/>
      <c r="N40" s="238" t="n"/>
      <c r="P40" s="24" t="n"/>
      <c r="T40" s="38">
        <f>T39+1</f>
        <v/>
      </c>
      <c r="U40" s="32">
        <f>IF(M40&lt;&gt;"","ST"&amp;T40&amp;" - "&amp;M40,"ST"&amp;T40&amp;" - "&amp;"N/A")</f>
        <v/>
      </c>
      <c r="V40" s="30" t="n"/>
    </row>
    <row r="41" ht="12" customHeight="1" s="227">
      <c r="G41" s="35" t="n"/>
      <c r="H41" s="36">
        <f>"Ship Type "&amp;T41&amp;" (ST"&amp;T41&amp;")"</f>
        <v/>
      </c>
      <c r="I41" s="212" t="inlineStr">
        <is>
          <t>Text / List</t>
        </is>
      </c>
      <c r="M41" s="10" t="n"/>
      <c r="N41" s="238" t="n"/>
      <c r="P41" s="24" t="n"/>
      <c r="T41" s="38">
        <f>T40+1</f>
        <v/>
      </c>
      <c r="U41" s="32">
        <f>IF(M41&lt;&gt;"","ST"&amp;T41&amp;" - "&amp;M41,"ST"&amp;T41&amp;" - "&amp;"N/A")</f>
        <v/>
      </c>
      <c r="V41" s="30" t="n"/>
    </row>
    <row r="42" ht="12" customHeight="1" s="227">
      <c r="G42" s="35" t="n"/>
      <c r="I42" s="212" t="n"/>
      <c r="P42" s="35" t="n"/>
      <c r="T42" s="38" t="n"/>
      <c r="U42" s="32" t="n"/>
      <c r="V42" s="30" t="n"/>
    </row>
    <row r="43" ht="12" customHeight="1" s="227">
      <c r="G43" s="35" t="n"/>
      <c r="I43" s="212" t="n"/>
      <c r="P43" s="35" t="n"/>
      <c r="T43" s="38" t="n"/>
      <c r="U43" s="32" t="n"/>
      <c r="V43" s="30" t="n"/>
    </row>
    <row r="44" ht="12.75" customHeight="1" s="227">
      <c r="G44" s="222">
        <f>MAX(G$9:G43)+1</f>
        <v/>
      </c>
      <c r="H44" s="222" t="inlineStr">
        <is>
          <t>Staff costs</t>
        </is>
      </c>
      <c r="I44" s="212" t="n"/>
      <c r="T44" s="30" t="n"/>
      <c r="U44" s="30" t="n"/>
      <c r="V44" s="30" t="n"/>
    </row>
    <row r="45" ht="12" customHeight="1" s="227">
      <c r="G45" s="37" t="n"/>
      <c r="H45" s="8" t="n"/>
      <c r="I45" s="212" t="n"/>
      <c r="M45" s="8" t="inlineStr">
        <is>
          <t>Name</t>
        </is>
      </c>
      <c r="T45" s="30" t="n"/>
      <c r="U45" s="30" t="n"/>
      <c r="V45" s="30" t="n"/>
    </row>
    <row r="46" ht="12" customHeight="1" s="227">
      <c r="G46" s="35" t="n"/>
      <c r="H46" s="36">
        <f>"Direct Staff Category "&amp;T46</f>
        <v/>
      </c>
      <c r="I46" s="212" t="inlineStr">
        <is>
          <t>Text</t>
        </is>
      </c>
      <c r="M46" s="10" t="inlineStr">
        <is>
          <t>Crew - Captain</t>
        </is>
      </c>
      <c r="N46" s="238" t="n"/>
      <c r="T46" s="49" t="n">
        <v>1</v>
      </c>
      <c r="U46" s="32">
        <f>IF(M46&lt;&gt;"","DS"&amp;T46&amp;" - "&amp;M46,"DS"&amp;T46&amp;" - "&amp;"N/A")</f>
        <v/>
      </c>
      <c r="V46" s="30" t="n"/>
    </row>
    <row r="47" ht="12" customHeight="1" s="227">
      <c r="G47" s="35" t="n"/>
      <c r="H47" s="36">
        <f>"Direct Staff Category "&amp;T47</f>
        <v/>
      </c>
      <c r="I47" s="212" t="inlineStr">
        <is>
          <t>Text</t>
        </is>
      </c>
      <c r="M47" s="10" t="inlineStr">
        <is>
          <t>Crew - Officers</t>
        </is>
      </c>
      <c r="N47" s="238" t="n"/>
      <c r="T47" s="49">
        <f>T46+1</f>
        <v/>
      </c>
      <c r="U47" s="32">
        <f>IF(M47&lt;&gt;"","DS"&amp;T47&amp;" - "&amp;M47,"DS"&amp;T47&amp;" - "&amp;"N/A")</f>
        <v/>
      </c>
      <c r="V47" s="30" t="n"/>
    </row>
    <row r="48" ht="12" customHeight="1" s="227">
      <c r="G48" s="35" t="n"/>
      <c r="H48" s="36">
        <f>"Direct Staff Category "&amp;T48</f>
        <v/>
      </c>
      <c r="I48" s="212" t="inlineStr">
        <is>
          <t>Text</t>
        </is>
      </c>
      <c r="M48" s="10" t="inlineStr">
        <is>
          <t>Crew - Engineers</t>
        </is>
      </c>
      <c r="N48" s="238" t="n"/>
      <c r="T48" s="49">
        <f>T47+1</f>
        <v/>
      </c>
      <c r="U48" s="32">
        <f>IF(M48&lt;&gt;"","DS"&amp;T48&amp;" - "&amp;M48,"DS"&amp;T48&amp;" - "&amp;"N/A")</f>
        <v/>
      </c>
      <c r="V48" s="30" t="n"/>
    </row>
    <row r="49" ht="12" customHeight="1" s="227">
      <c r="G49" s="35" t="n"/>
      <c r="H49" s="36">
        <f>"Direct Staff Category "&amp;T49</f>
        <v/>
      </c>
      <c r="I49" s="212" t="inlineStr">
        <is>
          <t>Text</t>
        </is>
      </c>
      <c r="M49" s="10" t="inlineStr">
        <is>
          <t>Crew - Deck Cadets</t>
        </is>
      </c>
      <c r="N49" s="238" t="n"/>
      <c r="T49" s="49">
        <f>T48+1</f>
        <v/>
      </c>
      <c r="U49" s="32">
        <f>IF(M49&lt;&gt;"","DS"&amp;T49&amp;" - "&amp;M49,"DS"&amp;T49&amp;" - "&amp;"N/A")</f>
        <v/>
      </c>
      <c r="V49" s="30" t="n"/>
    </row>
    <row r="50" ht="12" customHeight="1" s="227">
      <c r="G50" s="35" t="n"/>
      <c r="H50" s="36">
        <f>"Direct Staff Category "&amp;T50</f>
        <v/>
      </c>
      <c r="I50" s="212" t="inlineStr">
        <is>
          <t>Text</t>
        </is>
      </c>
      <c r="M50" s="10" t="inlineStr">
        <is>
          <t>Crew - Engine Cadets</t>
        </is>
      </c>
      <c r="N50" s="238" t="n"/>
      <c r="T50" s="49">
        <f>T49+1</f>
        <v/>
      </c>
      <c r="U50" s="32">
        <f>IF(M50&lt;&gt;"","DS"&amp;T50&amp;" - "&amp;M50,"DS"&amp;T50&amp;" - "&amp;"N/A")</f>
        <v/>
      </c>
      <c r="V50" s="30" t="n"/>
    </row>
    <row r="51" ht="12" customHeight="1" s="227">
      <c r="G51" s="35" t="n"/>
      <c r="H51" s="36">
        <f>"Direct Staff Category "&amp;T51</f>
        <v/>
      </c>
      <c r="I51" s="212" t="inlineStr">
        <is>
          <t>Text</t>
        </is>
      </c>
      <c r="M51" s="10" t="inlineStr">
        <is>
          <t>Crew - Other</t>
        </is>
      </c>
      <c r="N51" s="238" t="n"/>
      <c r="T51" s="49">
        <f>T50+1</f>
        <v/>
      </c>
      <c r="U51" s="32">
        <f>IF(M51&lt;&gt;"","DS"&amp;T51&amp;" - "&amp;M51,"DS"&amp;T51&amp;" - "&amp;"N/A")</f>
        <v/>
      </c>
      <c r="V51" s="30" t="n"/>
    </row>
    <row r="52" ht="12" customHeight="1" s="227">
      <c r="G52" s="35" t="n"/>
      <c r="H52" s="36">
        <f>"Direct Staff Category "&amp;T52</f>
        <v/>
      </c>
      <c r="I52" s="212" t="inlineStr">
        <is>
          <t>Text</t>
        </is>
      </c>
      <c r="M52" s="10" t="n"/>
      <c r="N52" s="238" t="n"/>
      <c r="T52" s="49">
        <f>T51+1</f>
        <v/>
      </c>
      <c r="U52" s="32">
        <f>IF(M52&lt;&gt;"","DS"&amp;T52&amp;" - "&amp;M52,"DS"&amp;T52&amp;" - "&amp;"N/A")</f>
        <v/>
      </c>
      <c r="V52" s="30" t="n"/>
    </row>
    <row r="53" ht="12" customHeight="1" s="227">
      <c r="G53" s="35" t="n"/>
      <c r="H53" s="36">
        <f>"Direct Staff Category "&amp;T53</f>
        <v/>
      </c>
      <c r="I53" s="212" t="inlineStr">
        <is>
          <t>Text</t>
        </is>
      </c>
      <c r="M53" s="10" t="n"/>
      <c r="N53" s="238" t="n"/>
      <c r="T53" s="49">
        <f>T52+1</f>
        <v/>
      </c>
      <c r="U53" s="32">
        <f>IF(M53&lt;&gt;"","DS"&amp;T53&amp;" - "&amp;M53,"DS"&amp;T53&amp;" - "&amp;"N/A")</f>
        <v/>
      </c>
      <c r="V53" s="30" t="n"/>
    </row>
    <row r="54" ht="12" customHeight="1" s="227">
      <c r="G54" s="35" t="n"/>
      <c r="I54" s="212" t="n"/>
      <c r="P54" s="35" t="n"/>
      <c r="T54" s="38" t="n"/>
      <c r="U54" s="32" t="n"/>
      <c r="V54" s="30" t="n"/>
    </row>
    <row r="55" ht="12" customHeight="1" s="227">
      <c r="G55" s="35" t="n"/>
      <c r="H55" s="36">
        <f>"Non-Direct Staff Category "&amp;T55</f>
        <v/>
      </c>
      <c r="I55" s="212" t="inlineStr">
        <is>
          <t>Text</t>
        </is>
      </c>
      <c r="M55" s="10" t="inlineStr">
        <is>
          <t>Management</t>
        </is>
      </c>
      <c r="N55" s="238" t="n"/>
      <c r="T55" s="49" t="n">
        <v>1</v>
      </c>
      <c r="U55" s="32">
        <f>IF(M55&lt;&gt;"","NS"&amp;T55&amp;" - "&amp;M55,"NS"&amp;T55&amp;" - "&amp;"N/A")</f>
        <v/>
      </c>
      <c r="V55" s="30" t="n"/>
    </row>
    <row r="56" ht="12" customHeight="1" s="227">
      <c r="G56" s="35" t="n"/>
      <c r="H56" s="36">
        <f>"Non-Direct Staff Category "&amp;T56</f>
        <v/>
      </c>
      <c r="I56" s="212" t="inlineStr">
        <is>
          <t>Text</t>
        </is>
      </c>
      <c r="M56" s="10" t="inlineStr">
        <is>
          <t>Admin</t>
        </is>
      </c>
      <c r="N56" s="238" t="n"/>
      <c r="T56" s="49">
        <f>T55+1</f>
        <v/>
      </c>
      <c r="U56" s="32">
        <f>IF(M56&lt;&gt;"","NS"&amp;T56&amp;" - "&amp;M56,"NS"&amp;T56&amp;" - "&amp;"N/A")</f>
        <v/>
      </c>
      <c r="V56" s="30" t="n"/>
    </row>
    <row r="57" ht="12" customHeight="1" s="227">
      <c r="G57" s="35" t="n"/>
      <c r="H57" s="36">
        <f>"Non-Direct Staff Category "&amp;T57</f>
        <v/>
      </c>
      <c r="I57" s="212" t="inlineStr">
        <is>
          <t>Text</t>
        </is>
      </c>
      <c r="M57" s="219" t="inlineStr">
        <is>
          <t>Operations</t>
        </is>
      </c>
      <c r="N57" s="220" t="n"/>
      <c r="T57" s="49">
        <f>T56+1</f>
        <v/>
      </c>
      <c r="U57" s="32">
        <f>IF(M57&lt;&gt;"","NS"&amp;T57&amp;" - "&amp;M57,"NS"&amp;T57&amp;" - "&amp;"N/A")</f>
        <v/>
      </c>
      <c r="V57" s="30" t="n"/>
    </row>
    <row r="58" ht="12" customHeight="1" s="227">
      <c r="G58" s="35" t="n"/>
      <c r="H58" s="36">
        <f>"Non-Direct Staff Category "&amp;T58</f>
        <v/>
      </c>
      <c r="I58" s="212" t="inlineStr">
        <is>
          <t>Text</t>
        </is>
      </c>
      <c r="M58" s="219" t="inlineStr">
        <is>
          <t>Sales</t>
        </is>
      </c>
      <c r="N58" s="220" t="n"/>
      <c r="T58" s="49">
        <f>T57+1</f>
        <v/>
      </c>
      <c r="U58" s="32">
        <f>IF(M58&lt;&gt;"","NS"&amp;T58&amp;" - "&amp;M58,"NS"&amp;T58&amp;" - "&amp;"N/A")</f>
        <v/>
      </c>
      <c r="V58" s="30" t="n"/>
    </row>
    <row r="59" ht="12" customHeight="1" s="227">
      <c r="G59" s="35" t="n"/>
      <c r="H59" s="36">
        <f>"Non-Direct Staff Category "&amp;T59</f>
        <v/>
      </c>
      <c r="I59" s="212" t="inlineStr">
        <is>
          <t>Text</t>
        </is>
      </c>
      <c r="M59" s="219" t="n"/>
      <c r="N59" s="220" t="n"/>
      <c r="T59" s="49">
        <f>T58+1</f>
        <v/>
      </c>
      <c r="U59" s="32">
        <f>IF(M59&lt;&gt;"","NS"&amp;T59&amp;" - "&amp;M59,"NS"&amp;T59&amp;" - "&amp;"N/A")</f>
        <v/>
      </c>
      <c r="V59" s="30" t="n"/>
    </row>
    <row r="60" ht="12" customHeight="1" s="227">
      <c r="G60" s="35" t="n"/>
      <c r="H60" s="36">
        <f>"Non-Direct Staff Category "&amp;T60</f>
        <v/>
      </c>
      <c r="I60" s="212" t="inlineStr">
        <is>
          <t>Text</t>
        </is>
      </c>
      <c r="M60" s="10" t="n"/>
      <c r="N60" s="238" t="n"/>
      <c r="T60" s="49">
        <f>T59+1</f>
        <v/>
      </c>
      <c r="U60" s="32">
        <f>IF(M60&lt;&gt;"","NS"&amp;T60&amp;" - "&amp;M60,"NS"&amp;T60&amp;" - "&amp;"N/A")</f>
        <v/>
      </c>
      <c r="V60" s="30" t="n"/>
    </row>
    <row r="61" ht="12" customHeight="1" s="227">
      <c r="G61" s="35" t="n"/>
      <c r="H61" s="36">
        <f>"Non-Direct Staff Category "&amp;T61</f>
        <v/>
      </c>
      <c r="I61" s="212" t="inlineStr">
        <is>
          <t>Text</t>
        </is>
      </c>
      <c r="M61" s="10" t="n"/>
      <c r="N61" s="238" t="n"/>
      <c r="T61" s="49">
        <f>T60+1</f>
        <v/>
      </c>
      <c r="U61" s="32">
        <f>IF(M61&lt;&gt;"","NS"&amp;T61&amp;" - "&amp;M61,"NS"&amp;T61&amp;" - "&amp;"N/A")</f>
        <v/>
      </c>
      <c r="V61" s="30" t="n"/>
    </row>
    <row r="62" ht="12" customHeight="1" s="227">
      <c r="G62" s="35" t="n"/>
      <c r="H62" s="36">
        <f>"Non-Direct Staff Category "&amp;T62</f>
        <v/>
      </c>
      <c r="I62" s="212" t="inlineStr">
        <is>
          <t>Text</t>
        </is>
      </c>
      <c r="M62" s="10" t="n"/>
      <c r="N62" s="238" t="n"/>
      <c r="T62" s="49">
        <f>T61+1</f>
        <v/>
      </c>
      <c r="U62" s="32">
        <f>IF(M62&lt;&gt;"","NS"&amp;T62&amp;" - "&amp;M62,"NS"&amp;T62&amp;" - "&amp;"N/A")</f>
        <v/>
      </c>
      <c r="V62" s="30" t="n"/>
    </row>
    <row r="63" ht="12" customHeight="1" s="227">
      <c r="G63" s="35" t="n"/>
      <c r="I63" s="212" t="n"/>
      <c r="P63" s="35" t="n"/>
      <c r="T63" s="38" t="n"/>
      <c r="U63" s="32" t="n"/>
      <c r="V63" s="30" t="n"/>
    </row>
    <row r="64" ht="12" customHeight="1" s="227">
      <c r="G64" s="35" t="n"/>
      <c r="I64" s="212" t="n"/>
      <c r="P64" s="35" t="n"/>
      <c r="T64" s="38" t="n"/>
      <c r="U64" s="32" t="n"/>
      <c r="V64" s="30" t="n"/>
    </row>
    <row r="65" ht="12" customHeight="1" s="227">
      <c r="G65" s="222">
        <f>MAX(G$9:G64)+1</f>
        <v/>
      </c>
      <c r="H65" s="222" t="inlineStr">
        <is>
          <t>Direct Expenses</t>
        </is>
      </c>
      <c r="I65" s="212" t="n"/>
      <c r="P65" s="35" t="n"/>
      <c r="T65" s="38" t="n"/>
      <c r="U65" s="32" t="n"/>
      <c r="V65" s="30" t="n"/>
    </row>
    <row r="66" ht="12" customHeight="1" s="227">
      <c r="G66" s="222" t="n"/>
      <c r="H66" s="222" t="n"/>
      <c r="I66" s="212" t="n"/>
      <c r="P66" s="35" t="n"/>
      <c r="T66" s="38" t="n"/>
      <c r="U66" s="32" t="n"/>
      <c r="V66" s="30" t="n"/>
    </row>
    <row r="67" ht="12" customHeight="1" s="227">
      <c r="G67" s="35" t="n"/>
      <c r="H67" s="211" t="inlineStr">
        <is>
          <t>CAPEX</t>
        </is>
      </c>
      <c r="I67" s="212" t="n"/>
      <c r="M67" s="8" t="inlineStr">
        <is>
          <t>Name</t>
        </is>
      </c>
      <c r="P67" s="37" t="inlineStr">
        <is>
          <t>Sales Tax</t>
        </is>
      </c>
      <c r="R67" s="37" t="inlineStr">
        <is>
          <t>Useful Life</t>
        </is>
      </c>
      <c r="T67" s="38" t="n"/>
      <c r="U67" s="32" t="n"/>
      <c r="V67" s="30" t="n"/>
    </row>
    <row r="68" ht="12" customHeight="1" s="227">
      <c r="G68" s="35" t="n"/>
      <c r="H68" s="36">
        <f>"Direct Capital Expense Category "&amp;T68&amp;" (DC"&amp;T68&amp;")"</f>
        <v/>
      </c>
      <c r="I68" s="212" t="inlineStr">
        <is>
          <t>Text / List / Years</t>
        </is>
      </c>
      <c r="M68" s="10" t="inlineStr">
        <is>
          <t xml:space="preserve">Major ship repairs </t>
        </is>
      </c>
      <c r="N68" s="238" t="n"/>
      <c r="P68" s="24" t="inlineStr">
        <is>
          <t>Yes</t>
        </is>
      </c>
      <c r="R68" s="240" t="n">
        <v>5</v>
      </c>
      <c r="T68" s="38" t="n">
        <v>1</v>
      </c>
      <c r="U68" s="32">
        <f>IF(M68&lt;&gt;"","DC"&amp;T68&amp;" - "&amp;M68,"DC"&amp;T68&amp;" - "&amp;"N/A")</f>
        <v/>
      </c>
      <c r="V68" s="30" t="n"/>
    </row>
    <row r="69" ht="12" customHeight="1" s="227">
      <c r="G69" s="35" t="n"/>
      <c r="H69" s="36">
        <f>"Direct Capital Expense Category "&amp;T69&amp;" (DC"&amp;T69&amp;")"</f>
        <v/>
      </c>
      <c r="I69" s="212" t="inlineStr">
        <is>
          <t>Text / List / Years</t>
        </is>
      </c>
      <c r="M69" s="10" t="inlineStr">
        <is>
          <t>Ship Improvements</t>
        </is>
      </c>
      <c r="N69" s="238" t="n"/>
      <c r="P69" s="24" t="inlineStr">
        <is>
          <t>Yes</t>
        </is>
      </c>
      <c r="R69" s="240" t="n">
        <v>4</v>
      </c>
      <c r="T69" s="38">
        <f>T68+1</f>
        <v/>
      </c>
      <c r="U69" s="32">
        <f>IF(M69&lt;&gt;"","DC"&amp;T69&amp;" - "&amp;M69,"DC"&amp;T69&amp;" - "&amp;"N/A")</f>
        <v/>
      </c>
      <c r="V69" s="30" t="n"/>
    </row>
    <row r="70" ht="12" customHeight="1" s="227">
      <c r="G70" s="35" t="n"/>
      <c r="H70" s="36">
        <f>"Direct Capital Expense Category "&amp;T70&amp;" (DC"&amp;T70&amp;")"</f>
        <v/>
      </c>
      <c r="I70" s="212" t="inlineStr">
        <is>
          <t>Text / List / Years</t>
        </is>
      </c>
      <c r="M70" s="10" t="inlineStr">
        <is>
          <t>Dry Docks</t>
        </is>
      </c>
      <c r="N70" s="238" t="n"/>
      <c r="P70" s="24" t="inlineStr">
        <is>
          <t>Yes</t>
        </is>
      </c>
      <c r="R70" s="240" t="n">
        <v>5</v>
      </c>
      <c r="T70" s="38">
        <f>T69+1</f>
        <v/>
      </c>
      <c r="U70" s="32">
        <f>IF(M70&lt;&gt;"","DC"&amp;T70&amp;" - "&amp;M70,"DC"&amp;T70&amp;" - "&amp;"N/A")</f>
        <v/>
      </c>
      <c r="V70" s="30" t="n"/>
    </row>
    <row r="71" ht="12" customHeight="1" s="227">
      <c r="G71" s="35" t="n"/>
      <c r="H71" s="36">
        <f>"Direct Capital Expense Category "&amp;T71&amp;" (DC"&amp;T71&amp;")"</f>
        <v/>
      </c>
      <c r="I71" s="212" t="inlineStr">
        <is>
          <t>Text / List / Years</t>
        </is>
      </c>
      <c r="M71" s="10" t="n"/>
      <c r="N71" s="238" t="n"/>
      <c r="P71" s="24" t="n"/>
      <c r="R71" s="240" t="n"/>
      <c r="T71" s="38">
        <f>T70+1</f>
        <v/>
      </c>
      <c r="U71" s="32">
        <f>IF(M71&lt;&gt;"","DC"&amp;T71&amp;" - "&amp;M71,"DC"&amp;T71&amp;" - "&amp;"N/A")</f>
        <v/>
      </c>
      <c r="V71" s="30" t="n"/>
    </row>
    <row r="72" ht="12" customHeight="1" s="227">
      <c r="G72" s="35" t="n"/>
      <c r="H72" s="36">
        <f>"Direct Capital Expense Category "&amp;T72&amp;" (DC"&amp;T72&amp;")"</f>
        <v/>
      </c>
      <c r="I72" s="212" t="inlineStr">
        <is>
          <t>Text / List / Years</t>
        </is>
      </c>
      <c r="M72" s="10" t="n"/>
      <c r="N72" s="238" t="n"/>
      <c r="P72" s="24" t="n"/>
      <c r="R72" s="240" t="n"/>
      <c r="T72" s="38">
        <f>T71+1</f>
        <v/>
      </c>
      <c r="U72" s="32">
        <f>IF(M72&lt;&gt;"","DC"&amp;T72&amp;" - "&amp;M72,"DC"&amp;T72&amp;" - "&amp;"N/A")</f>
        <v/>
      </c>
      <c r="V72" s="30" t="n"/>
    </row>
    <row r="73" ht="12" customHeight="1" s="227">
      <c r="G73" s="35" t="n"/>
      <c r="I73" s="212" t="n"/>
      <c r="P73" s="35" t="n"/>
      <c r="T73" s="38" t="n"/>
      <c r="U73" s="32" t="n"/>
      <c r="V73" s="30" t="n"/>
    </row>
    <row r="74" ht="12" customHeight="1" s="227">
      <c r="G74" s="35" t="n"/>
      <c r="H74" s="211" t="inlineStr">
        <is>
          <t>OPEX</t>
        </is>
      </c>
      <c r="I74" s="212" t="n"/>
      <c r="M74" s="8" t="inlineStr">
        <is>
          <t>Name</t>
        </is>
      </c>
      <c r="P74" s="37" t="inlineStr">
        <is>
          <t>Sales Tax</t>
        </is>
      </c>
      <c r="T74" s="38" t="n"/>
      <c r="U74" s="32" t="n"/>
      <c r="V74" s="30" t="n"/>
    </row>
    <row r="75" ht="12" customHeight="1" s="227">
      <c r="G75" s="35" t="n"/>
      <c r="H75" s="36">
        <f>"Direct Operating Expense Category "&amp;T75&amp;" (DO"&amp;T75&amp;")"</f>
        <v/>
      </c>
      <c r="I75" s="212" t="inlineStr">
        <is>
          <t>Text / List</t>
        </is>
      </c>
      <c r="M75" s="10" t="inlineStr">
        <is>
          <t>Insurances</t>
        </is>
      </c>
      <c r="N75" s="238" t="n"/>
      <c r="P75" s="24" t="inlineStr">
        <is>
          <t>No</t>
        </is>
      </c>
      <c r="T75" s="38" t="n">
        <v>1</v>
      </c>
      <c r="U75" s="32">
        <f>IF(M75&lt;&gt;"","DO"&amp;T75&amp;" - "&amp;M75,"DO"&amp;T75&amp;" - "&amp;"N/A")</f>
        <v/>
      </c>
      <c r="V75" s="30" t="n"/>
    </row>
    <row r="76" ht="12" customHeight="1" s="227">
      <c r="G76" s="35" t="n"/>
      <c r="H76" s="36">
        <f>"Direct Operating Expense Category "&amp;T76&amp;" (DO"&amp;T76&amp;")"</f>
        <v/>
      </c>
      <c r="I76" s="212" t="inlineStr">
        <is>
          <t>Text / List</t>
        </is>
      </c>
      <c r="M76" s="10" t="inlineStr">
        <is>
          <t>Repairs &amp; Maintenance (Opex)</t>
        </is>
      </c>
      <c r="N76" s="238" t="n"/>
      <c r="P76" s="24" t="inlineStr">
        <is>
          <t>Yes</t>
        </is>
      </c>
      <c r="T76" s="38">
        <f>T75+1</f>
        <v/>
      </c>
      <c r="U76" s="32">
        <f>IF(M76&lt;&gt;"","DO"&amp;T76&amp;" - "&amp;M76,"DO"&amp;T76&amp;" - "&amp;"N/A")</f>
        <v/>
      </c>
      <c r="V76" s="30" t="n"/>
    </row>
    <row r="77" ht="12" customHeight="1" s="227">
      <c r="G77" s="35" t="n"/>
      <c r="H77" s="36">
        <f>"Direct Operating Expense Category "&amp;T77&amp;" (DO"&amp;T77&amp;")"</f>
        <v/>
      </c>
      <c r="I77" s="212" t="inlineStr">
        <is>
          <t>Text / List</t>
        </is>
      </c>
      <c r="M77" s="10" t="inlineStr">
        <is>
          <t>Storage</t>
        </is>
      </c>
      <c r="N77" s="238" t="n"/>
      <c r="P77" s="24" t="inlineStr">
        <is>
          <t>Yes</t>
        </is>
      </c>
      <c r="T77" s="38">
        <f>T76+1</f>
        <v/>
      </c>
      <c r="U77" s="32">
        <f>IF(M77&lt;&gt;"","DO"&amp;T77&amp;" - "&amp;M77,"DO"&amp;T77&amp;" - "&amp;"N/A")</f>
        <v/>
      </c>
      <c r="V77" s="30" t="n"/>
    </row>
    <row r="78" ht="12" customHeight="1" s="227">
      <c r="G78" s="35" t="n"/>
      <c r="H78" s="36">
        <f>"Direct Operating Expense Category "&amp;T78&amp;" (DO"&amp;T78&amp;")"</f>
        <v/>
      </c>
      <c r="I78" s="212" t="inlineStr">
        <is>
          <t>Text / List</t>
        </is>
      </c>
      <c r="M78" s="10" t="inlineStr">
        <is>
          <t>Safety / Environmental Compliance Costs</t>
        </is>
      </c>
      <c r="N78" s="238" t="n"/>
      <c r="P78" s="24" t="inlineStr">
        <is>
          <t>Yes</t>
        </is>
      </c>
      <c r="T78" s="38">
        <f>T77+1</f>
        <v/>
      </c>
      <c r="U78" s="32">
        <f>IF(M78&lt;&gt;"","DO"&amp;T78&amp;" - "&amp;M78,"DO"&amp;T78&amp;" - "&amp;"N/A")</f>
        <v/>
      </c>
      <c r="V78" s="30" t="n"/>
    </row>
    <row r="79" ht="12" customHeight="1" s="227">
      <c r="G79" s="35" t="n"/>
      <c r="H79" s="36">
        <f>"Direct Operating Expense Category "&amp;T79&amp;" (DO"&amp;T79&amp;")"</f>
        <v/>
      </c>
      <c r="I79" s="212" t="inlineStr">
        <is>
          <t>Text / List</t>
        </is>
      </c>
      <c r="M79" s="10" t="inlineStr">
        <is>
          <t>Fuel and Lubricants</t>
        </is>
      </c>
      <c r="N79" s="238" t="n"/>
      <c r="P79" s="24" t="inlineStr">
        <is>
          <t>Yes</t>
        </is>
      </c>
      <c r="T79" s="38">
        <f>T78+1</f>
        <v/>
      </c>
      <c r="U79" s="32">
        <f>IF(M79&lt;&gt;"","DO"&amp;T79&amp;" - "&amp;M79,"DO"&amp;T79&amp;" - "&amp;"N/A")</f>
        <v/>
      </c>
      <c r="V79" s="30" t="n"/>
    </row>
    <row r="80" ht="12" customHeight="1" s="227">
      <c r="G80" s="35" t="n"/>
      <c r="H80" s="36">
        <f>"Direct Operating Expense Category "&amp;T80&amp;" (DO"&amp;T80&amp;")"</f>
        <v/>
      </c>
      <c r="I80" s="212" t="inlineStr">
        <is>
          <t>Text / List</t>
        </is>
      </c>
      <c r="M80" s="10" t="n"/>
      <c r="N80" s="238" t="n"/>
      <c r="P80" s="24" t="n"/>
      <c r="T80" s="38">
        <f>T79+1</f>
        <v/>
      </c>
      <c r="U80" s="32">
        <f>IF(M80&lt;&gt;"","DO"&amp;T80&amp;" - "&amp;M80,"DO"&amp;T80&amp;" - "&amp;"N/A")</f>
        <v/>
      </c>
      <c r="V80" s="30" t="n"/>
    </row>
    <row r="81" ht="12" customHeight="1" s="227">
      <c r="G81" s="35" t="n"/>
      <c r="H81" s="36">
        <f>"Direct Operating Expense Category "&amp;T81&amp;" (DO"&amp;T81&amp;")"</f>
        <v/>
      </c>
      <c r="I81" s="212" t="inlineStr">
        <is>
          <t>Text / List</t>
        </is>
      </c>
      <c r="M81" s="10" t="n"/>
      <c r="N81" s="238" t="n"/>
      <c r="P81" s="24" t="n"/>
      <c r="T81" s="38">
        <f>T80+1</f>
        <v/>
      </c>
      <c r="U81" s="32">
        <f>IF(M81&lt;&gt;"","DO"&amp;T81&amp;" - "&amp;M81,"DO"&amp;T81&amp;" - "&amp;"N/A")</f>
        <v/>
      </c>
      <c r="V81" s="30" t="n"/>
    </row>
    <row r="82" ht="12" customHeight="1" s="227">
      <c r="G82" s="35" t="n"/>
      <c r="H82" s="36">
        <f>"Direct Operating Expense Category "&amp;T82&amp;" (DO"&amp;T82&amp;")"</f>
        <v/>
      </c>
      <c r="I82" s="212" t="inlineStr">
        <is>
          <t>Text / List</t>
        </is>
      </c>
      <c r="M82" s="10" t="n"/>
      <c r="N82" s="238" t="n"/>
      <c r="P82" s="24" t="n"/>
      <c r="T82" s="38">
        <f>T81+1</f>
        <v/>
      </c>
      <c r="U82" s="32">
        <f>IF(M82&lt;&gt;"","DO"&amp;T82&amp;" - "&amp;M82,"DO"&amp;T82&amp;" - "&amp;"N/A")</f>
        <v/>
      </c>
      <c r="V82" s="30" t="n"/>
    </row>
    <row r="83" ht="12" customHeight="1" s="227">
      <c r="G83" s="35" t="n"/>
      <c r="I83" s="212" t="n"/>
      <c r="P83" s="35" t="n"/>
      <c r="T83" s="38" t="n"/>
      <c r="U83" s="32" t="n"/>
      <c r="V83" s="30" t="n"/>
    </row>
    <row r="84" ht="12" customHeight="1" s="227">
      <c r="G84" s="35" t="n"/>
      <c r="I84" s="212" t="n"/>
      <c r="P84" s="35" t="n"/>
      <c r="T84" s="38" t="n"/>
      <c r="U84" s="32" t="n"/>
      <c r="V84" s="30" t="n"/>
    </row>
    <row r="85" ht="12.75" customHeight="1" s="227">
      <c r="G85" s="222">
        <f>MAX(G$9:G80)+1</f>
        <v/>
      </c>
      <c r="H85" s="222" t="inlineStr">
        <is>
          <t>Marketing Costs</t>
        </is>
      </c>
      <c r="I85" s="212" t="n"/>
      <c r="P85" s="35" t="n"/>
      <c r="T85" s="30" t="n"/>
      <c r="U85" s="30" t="n"/>
      <c r="V85" s="30" t="n"/>
    </row>
    <row r="86" ht="12" customHeight="1" s="227">
      <c r="I86" s="212" t="n"/>
      <c r="M86" s="8" t="inlineStr">
        <is>
          <t>Name</t>
        </is>
      </c>
      <c r="P86" s="37" t="inlineStr">
        <is>
          <t>Sales Tax</t>
        </is>
      </c>
      <c r="T86" s="30" t="n"/>
      <c r="U86" s="30" t="n"/>
      <c r="V86" s="30" t="n"/>
    </row>
    <row r="87" ht="12" customHeight="1" s="227">
      <c r="H87" s="36">
        <f>"Marketing Cost Category "&amp;T87</f>
        <v/>
      </c>
      <c r="I87" s="212" t="inlineStr">
        <is>
          <t>Text / List</t>
        </is>
      </c>
      <c r="M87" s="10" t="inlineStr">
        <is>
          <t>Website</t>
        </is>
      </c>
      <c r="N87" s="238" t="n"/>
      <c r="P87" s="24" t="inlineStr">
        <is>
          <t>Yes</t>
        </is>
      </c>
      <c r="T87" s="38" t="n">
        <v>1</v>
      </c>
      <c r="U87" s="32">
        <f>IF(M87&lt;&gt;"","MC"&amp;T87&amp;" - "&amp;M87,"MC"&amp;T87&amp;" - "&amp;"N/A")</f>
        <v/>
      </c>
      <c r="V87" s="30" t="n"/>
    </row>
    <row r="88" ht="12" customHeight="1" s="227">
      <c r="H88" s="36">
        <f>"Marketing Cost Category "&amp;T88</f>
        <v/>
      </c>
      <c r="I88" s="212" t="inlineStr">
        <is>
          <t>Text / List</t>
        </is>
      </c>
      <c r="M88" s="10" t="inlineStr">
        <is>
          <t>Social Media</t>
        </is>
      </c>
      <c r="N88" s="238" t="n"/>
      <c r="P88" s="24" t="inlineStr">
        <is>
          <t>Yes</t>
        </is>
      </c>
      <c r="T88" s="38">
        <f>SUM(T86:T87)+1</f>
        <v/>
      </c>
      <c r="U88" s="32">
        <f>IF(M88&lt;&gt;"","MC"&amp;T88&amp;" - "&amp;M88,"MC"&amp;T88&amp;" - "&amp;"N/A")</f>
        <v/>
      </c>
      <c r="V88" s="30" t="n"/>
    </row>
    <row r="89" ht="12" customHeight="1" s="227">
      <c r="H89" s="36">
        <f>"Marketing Cost Category "&amp;T89</f>
        <v/>
      </c>
      <c r="I89" s="212" t="inlineStr">
        <is>
          <t>Text / List</t>
        </is>
      </c>
      <c r="M89" s="10" t="n"/>
      <c r="N89" s="238" t="n"/>
      <c r="P89" s="24" t="n"/>
      <c r="T89" s="38">
        <f>T88+1</f>
        <v/>
      </c>
      <c r="U89" s="32">
        <f>IF(M89&lt;&gt;"","MC"&amp;T89&amp;" - "&amp;M89,"MC"&amp;T89&amp;" - "&amp;"N/A")</f>
        <v/>
      </c>
      <c r="V89" s="30" t="n"/>
    </row>
    <row r="90" ht="12" customHeight="1" s="227">
      <c r="H90" s="36">
        <f>"Marketing Cost Category "&amp;T90</f>
        <v/>
      </c>
      <c r="I90" s="212" t="inlineStr">
        <is>
          <t>Text / List</t>
        </is>
      </c>
      <c r="M90" s="10" t="n"/>
      <c r="N90" s="238" t="n"/>
      <c r="P90" s="24" t="n"/>
      <c r="T90" s="38">
        <f>T89+1</f>
        <v/>
      </c>
      <c r="U90" s="32">
        <f>IF(M90&lt;&gt;"","MC"&amp;T90&amp;" - "&amp;M90,"MC"&amp;T90&amp;" - "&amp;"N/A")</f>
        <v/>
      </c>
      <c r="V90" s="30" t="n"/>
    </row>
    <row r="91" ht="12" customHeight="1" s="227">
      <c r="H91" s="36">
        <f>"Marketing Cost Category "&amp;T91</f>
        <v/>
      </c>
      <c r="I91" s="212" t="inlineStr">
        <is>
          <t>Text / List</t>
        </is>
      </c>
      <c r="M91" s="10" t="n"/>
      <c r="N91" s="238" t="n"/>
      <c r="P91" s="24" t="n"/>
      <c r="T91" s="38">
        <f>T90+1</f>
        <v/>
      </c>
      <c r="U91" s="32">
        <f>IF(M91&lt;&gt;"","MC"&amp;T91&amp;" - "&amp;M91,"MC"&amp;T91&amp;" - "&amp;"N/A")</f>
        <v/>
      </c>
      <c r="V91" s="30" t="n"/>
    </row>
    <row r="92" ht="12" customHeight="1" s="227">
      <c r="I92" s="212" t="n"/>
      <c r="P92" s="35" t="n"/>
      <c r="T92" s="30" t="n"/>
      <c r="U92" s="30" t="n"/>
      <c r="V92" s="30" t="n"/>
    </row>
    <row r="93" ht="12" customHeight="1" s="227">
      <c r="I93" s="212" t="n"/>
      <c r="P93" s="35" t="n"/>
      <c r="T93" s="30" t="n"/>
      <c r="U93" s="30" t="n"/>
      <c r="V93" s="30" t="n"/>
    </row>
    <row r="94" ht="12.75" customHeight="1" s="227">
      <c r="G94" s="222">
        <f>MAX(G$9:G92)+1</f>
        <v/>
      </c>
      <c r="H94" s="222" t="inlineStr">
        <is>
          <t>Other Expenses</t>
        </is>
      </c>
      <c r="I94" s="212" t="n"/>
      <c r="P94" s="35" t="n"/>
      <c r="T94" s="30" t="n"/>
      <c r="U94" s="30" t="n"/>
      <c r="V94" s="30" t="n"/>
    </row>
    <row r="95" ht="12" customHeight="1" s="227">
      <c r="G95" s="37" t="n"/>
      <c r="H95" s="8" t="n"/>
      <c r="I95" s="212" t="n"/>
      <c r="M95" s="8" t="inlineStr">
        <is>
          <t>Name</t>
        </is>
      </c>
      <c r="P95" s="37" t="inlineStr">
        <is>
          <t>Sales Tax</t>
        </is>
      </c>
      <c r="T95" s="30" t="n"/>
      <c r="U95" s="30" t="n"/>
      <c r="V95" s="30" t="n"/>
    </row>
    <row r="96" ht="12" customHeight="1" s="227">
      <c r="G96" s="35" t="n"/>
      <c r="H96" s="36">
        <f>"Other Expenses Category "&amp;T96</f>
        <v/>
      </c>
      <c r="I96" s="212" t="inlineStr">
        <is>
          <t>Text / List</t>
        </is>
      </c>
      <c r="M96" s="10" t="inlineStr">
        <is>
          <t>Rent</t>
        </is>
      </c>
      <c r="N96" s="238" t="n"/>
      <c r="P96" s="24" t="inlineStr">
        <is>
          <t>No</t>
        </is>
      </c>
      <c r="T96" s="49" t="n">
        <v>1</v>
      </c>
      <c r="U96" s="32">
        <f>IF(M96&lt;&gt;"","OE"&amp;T96&amp;" - "&amp;M96,"OE"&amp;T96&amp;" - "&amp;"N/A")</f>
        <v/>
      </c>
      <c r="V96" s="30" t="n"/>
    </row>
    <row r="97" ht="12" customHeight="1" s="227">
      <c r="G97" s="35" t="n"/>
      <c r="H97" s="36">
        <f>"Other Expenses Category "&amp;T97</f>
        <v/>
      </c>
      <c r="I97" s="212" t="inlineStr">
        <is>
          <t>Text / List</t>
        </is>
      </c>
      <c r="M97" s="10" t="inlineStr">
        <is>
          <t>Utilities</t>
        </is>
      </c>
      <c r="N97" s="238" t="n"/>
      <c r="P97" s="24" t="inlineStr">
        <is>
          <t>Yes</t>
        </is>
      </c>
      <c r="T97" s="49">
        <f>T96+1</f>
        <v/>
      </c>
      <c r="U97" s="32">
        <f>IF(M97&lt;&gt;"","OE"&amp;T97&amp;" - "&amp;M97,"OE"&amp;T97&amp;" - "&amp;"N/A")</f>
        <v/>
      </c>
      <c r="V97" s="30" t="n"/>
    </row>
    <row r="98" ht="12" customHeight="1" s="227">
      <c r="G98" s="35" t="n"/>
      <c r="H98" s="36">
        <f>"Other Expenses Category "&amp;T98</f>
        <v/>
      </c>
      <c r="I98" s="212" t="inlineStr">
        <is>
          <t>Text / List</t>
        </is>
      </c>
      <c r="M98" s="10" t="inlineStr">
        <is>
          <t>Insurances</t>
        </is>
      </c>
      <c r="N98" s="238" t="n"/>
      <c r="P98" s="24" t="inlineStr">
        <is>
          <t>Yes</t>
        </is>
      </c>
      <c r="T98" s="49">
        <f>T97+1</f>
        <v/>
      </c>
      <c r="U98" s="32">
        <f>IF(M98&lt;&gt;"","OE"&amp;T98&amp;" - "&amp;M98,"OE"&amp;T98&amp;" - "&amp;"N/A")</f>
        <v/>
      </c>
      <c r="V98" s="30" t="n"/>
    </row>
    <row r="99" ht="12" customHeight="1" s="227">
      <c r="G99" s="35" t="n"/>
      <c r="H99" s="36">
        <f>"Other Expenses Category "&amp;T99</f>
        <v/>
      </c>
      <c r="I99" s="212" t="inlineStr">
        <is>
          <t>Text / List</t>
        </is>
      </c>
      <c r="M99" s="10" t="inlineStr">
        <is>
          <t>IT</t>
        </is>
      </c>
      <c r="N99" s="238" t="n"/>
      <c r="P99" s="24" t="inlineStr">
        <is>
          <t>Yes</t>
        </is>
      </c>
      <c r="T99" s="49">
        <f>T98+1</f>
        <v/>
      </c>
      <c r="U99" s="32">
        <f>IF(M99&lt;&gt;"","OE"&amp;T99&amp;" - "&amp;M99,"OE"&amp;T99&amp;" - "&amp;"N/A")</f>
        <v/>
      </c>
      <c r="V99" s="30" t="n"/>
    </row>
    <row r="100" ht="12" customHeight="1" s="227">
      <c r="G100" s="35" t="n"/>
      <c r="H100" s="36">
        <f>"Other Expenses Category "&amp;T100</f>
        <v/>
      </c>
      <c r="I100" s="212" t="inlineStr">
        <is>
          <t>Text / List</t>
        </is>
      </c>
      <c r="M100" s="10" t="inlineStr">
        <is>
          <t>Legal &amp; Professional fees</t>
        </is>
      </c>
      <c r="N100" s="238" t="n"/>
      <c r="P100" s="24" t="inlineStr">
        <is>
          <t>Yes</t>
        </is>
      </c>
      <c r="T100" s="49">
        <f>T99+1</f>
        <v/>
      </c>
      <c r="U100" s="32">
        <f>IF(M100&lt;&gt;"","OE"&amp;T100&amp;" - "&amp;M100,"OE"&amp;T100&amp;" - "&amp;"N/A")</f>
        <v/>
      </c>
      <c r="V100" s="30" t="n"/>
    </row>
    <row r="101" ht="12" customHeight="1" s="227">
      <c r="G101" s="35" t="n"/>
      <c r="H101" s="36">
        <f>"Other Expenses Category "&amp;T101</f>
        <v/>
      </c>
      <c r="I101" s="212" t="inlineStr">
        <is>
          <t>Text / List</t>
        </is>
      </c>
      <c r="M101" s="10" t="inlineStr">
        <is>
          <t>Audit fees</t>
        </is>
      </c>
      <c r="N101" s="238" t="n"/>
      <c r="P101" s="24" t="inlineStr">
        <is>
          <t>Yes</t>
        </is>
      </c>
      <c r="T101" s="49">
        <f>T100+1</f>
        <v/>
      </c>
      <c r="U101" s="32">
        <f>IF(M101&lt;&gt;"","OE"&amp;T101&amp;" - "&amp;M101,"OE"&amp;T101&amp;" - "&amp;"N/A")</f>
        <v/>
      </c>
      <c r="V101" s="30" t="n"/>
    </row>
    <row r="102" ht="12" customHeight="1" s="227">
      <c r="G102" s="35" t="n"/>
      <c r="H102" s="36">
        <f>"Other Expenses Category "&amp;T102</f>
        <v/>
      </c>
      <c r="I102" s="212" t="inlineStr">
        <is>
          <t>Text / List</t>
        </is>
      </c>
      <c r="M102" s="10" t="inlineStr">
        <is>
          <t>Training</t>
        </is>
      </c>
      <c r="N102" s="238" t="n"/>
      <c r="P102" s="24" t="inlineStr">
        <is>
          <t>Yes</t>
        </is>
      </c>
      <c r="T102" s="49">
        <f>T101+1</f>
        <v/>
      </c>
      <c r="U102" s="32">
        <f>IF(M102&lt;&gt;"","OE"&amp;T102&amp;" - "&amp;M102,"OE"&amp;T102&amp;" - "&amp;"N/A")</f>
        <v/>
      </c>
      <c r="V102" s="30" t="n"/>
    </row>
    <row r="103" ht="12" customHeight="1" s="227">
      <c r="G103" s="35" t="n"/>
      <c r="H103" s="36">
        <f>"Other Expenses Category "&amp;T103</f>
        <v/>
      </c>
      <c r="I103" s="212" t="inlineStr">
        <is>
          <t>Text / List</t>
        </is>
      </c>
      <c r="M103" s="10" t="n"/>
      <c r="N103" s="238" t="n"/>
      <c r="P103" s="24" t="n"/>
      <c r="T103" s="49">
        <f>T102+1</f>
        <v/>
      </c>
      <c r="U103" s="32">
        <f>IF(M103&lt;&gt;"","OE"&amp;T103&amp;" - "&amp;M103,"OE"&amp;T103&amp;" - "&amp;"N/A")</f>
        <v/>
      </c>
      <c r="V103" s="30" t="n"/>
    </row>
    <row r="104" ht="12" customHeight="1" s="227">
      <c r="G104" s="35" t="n"/>
      <c r="H104" s="36">
        <f>"Other Expenses Category "&amp;T104</f>
        <v/>
      </c>
      <c r="I104" s="212" t="inlineStr">
        <is>
          <t>Text / List</t>
        </is>
      </c>
      <c r="M104" s="10" t="n"/>
      <c r="N104" s="238" t="n"/>
      <c r="P104" s="24" t="n"/>
      <c r="T104" s="49">
        <f>T103+1</f>
        <v/>
      </c>
      <c r="U104" s="32">
        <f>IF(M104&lt;&gt;"","OE"&amp;T104&amp;" - "&amp;M104,"OE"&amp;T104&amp;" - "&amp;"N/A")</f>
        <v/>
      </c>
      <c r="V104" s="30" t="n"/>
    </row>
    <row r="105" ht="12" customHeight="1" s="227">
      <c r="G105" s="35" t="n"/>
      <c r="H105" s="36">
        <f>"Other Expenses Category "&amp;T105</f>
        <v/>
      </c>
      <c r="I105" s="212" t="inlineStr">
        <is>
          <t>Text / List</t>
        </is>
      </c>
      <c r="M105" s="10" t="n"/>
      <c r="N105" s="238" t="n"/>
      <c r="P105" s="24" t="n"/>
      <c r="T105" s="49">
        <f>T104+1</f>
        <v/>
      </c>
      <c r="U105" s="32">
        <f>IF(M105&lt;&gt;"","OE"&amp;T105&amp;" - "&amp;M105,"OE"&amp;T105&amp;" - "&amp;"N/A")</f>
        <v/>
      </c>
      <c r="V105" s="30" t="n"/>
    </row>
    <row r="106" ht="12" customHeight="1" s="227">
      <c r="G106" s="35" t="n"/>
      <c r="H106" s="36">
        <f>"Other Expenses Category "&amp;T106</f>
        <v/>
      </c>
      <c r="I106" s="212" t="inlineStr">
        <is>
          <t>Text / List</t>
        </is>
      </c>
      <c r="M106" s="10" t="n"/>
      <c r="N106" s="238" t="n"/>
      <c r="P106" s="24" t="n"/>
      <c r="T106" s="49">
        <f>T105+1</f>
        <v/>
      </c>
      <c r="U106" s="32">
        <f>IF(M106&lt;&gt;"","OE"&amp;T106&amp;" - "&amp;M106,"OE"&amp;T106&amp;" - "&amp;"N/A")</f>
        <v/>
      </c>
      <c r="V106" s="30" t="n"/>
    </row>
    <row r="107" ht="12" customHeight="1" s="227">
      <c r="G107" s="35" t="n"/>
      <c r="H107" s="36">
        <f>"Other Expenses Category "&amp;T107</f>
        <v/>
      </c>
      <c r="I107" s="212" t="inlineStr">
        <is>
          <t>Text / List</t>
        </is>
      </c>
      <c r="M107" s="10" t="n"/>
      <c r="N107" s="238" t="n"/>
      <c r="P107" s="24" t="n"/>
      <c r="T107" s="49">
        <f>T106+1</f>
        <v/>
      </c>
      <c r="U107" s="32">
        <f>IF(M107&lt;&gt;"","OE"&amp;T107&amp;" - "&amp;M107,"OE"&amp;T107&amp;" - "&amp;"N/A")</f>
        <v/>
      </c>
      <c r="V107" s="30" t="n"/>
    </row>
    <row r="108" ht="12" customHeight="1" s="227">
      <c r="G108" s="35" t="n"/>
      <c r="H108" s="36">
        <f>"Other Expenses Category "&amp;T108</f>
        <v/>
      </c>
      <c r="I108" s="212" t="inlineStr">
        <is>
          <t>Text / List</t>
        </is>
      </c>
      <c r="M108" s="10" t="n"/>
      <c r="N108" s="238" t="n"/>
      <c r="P108" s="24" t="n"/>
      <c r="T108" s="49">
        <f>T107+1</f>
        <v/>
      </c>
      <c r="U108" s="32">
        <f>IF(M108&lt;&gt;"","OE"&amp;T108&amp;" - "&amp;M108,"OE"&amp;T108&amp;" - "&amp;"N/A")</f>
        <v/>
      </c>
      <c r="V108" s="30" t="n"/>
    </row>
    <row r="109" ht="12" customHeight="1" s="227">
      <c r="G109" s="35" t="n"/>
      <c r="H109" s="36">
        <f>"Other Expenses Category "&amp;T109</f>
        <v/>
      </c>
      <c r="I109" s="212" t="inlineStr">
        <is>
          <t>Text / List</t>
        </is>
      </c>
      <c r="M109" s="10" t="n"/>
      <c r="N109" s="238" t="n"/>
      <c r="P109" s="24" t="n"/>
      <c r="T109" s="49">
        <f>T108+1</f>
        <v/>
      </c>
      <c r="U109" s="32">
        <f>IF(M109&lt;&gt;"","OE"&amp;T109&amp;" - "&amp;M109,"OE"&amp;T109&amp;" - "&amp;"N/A")</f>
        <v/>
      </c>
      <c r="V109" s="30" t="n"/>
    </row>
    <row r="110" ht="12" customHeight="1" s="227">
      <c r="G110" s="35" t="n"/>
      <c r="H110" s="36">
        <f>"Other Expenses Category "&amp;T110</f>
        <v/>
      </c>
      <c r="I110" s="212" t="inlineStr">
        <is>
          <t>Text / List</t>
        </is>
      </c>
      <c r="M110" s="10" t="n"/>
      <c r="N110" s="238" t="n"/>
      <c r="P110" s="24" t="n"/>
      <c r="T110" s="49">
        <f>T109+1</f>
        <v/>
      </c>
      <c r="U110" s="32">
        <f>IF(M110&lt;&gt;"","OE"&amp;T110&amp;" - "&amp;M110,"OE"&amp;T110&amp;" - "&amp;"N/A")</f>
        <v/>
      </c>
      <c r="V110" s="30" t="n"/>
    </row>
    <row r="111" ht="12" customHeight="1" s="227">
      <c r="G111" s="35" t="n"/>
      <c r="H111" s="36" t="n"/>
      <c r="I111" s="212" t="n"/>
      <c r="T111" s="30" t="n"/>
      <c r="U111" s="30" t="n"/>
      <c r="V111" s="30" t="n"/>
    </row>
    <row r="112" ht="12" customHeight="1" s="227">
      <c r="I112" s="212" t="n"/>
      <c r="T112" s="30" t="n"/>
      <c r="U112" s="30" t="n"/>
      <c r="V112" s="30" t="n"/>
    </row>
    <row r="113" ht="12.75" customHeight="1" s="227">
      <c r="G113" s="222">
        <f>MAX(G$9:G112)+1</f>
        <v/>
      </c>
      <c r="H113" s="222" t="inlineStr">
        <is>
          <t>Fixed Assets</t>
        </is>
      </c>
      <c r="I113" s="212" t="n"/>
      <c r="T113" s="30" t="n"/>
      <c r="U113" s="30" t="n"/>
      <c r="V113" s="30" t="n"/>
    </row>
    <row r="114" ht="12" customHeight="1" s="227">
      <c r="G114" s="37" t="n"/>
      <c r="H114" s="8" t="n"/>
      <c r="I114" s="212" t="n"/>
      <c r="M114" s="8" t="inlineStr">
        <is>
          <t>Name</t>
        </is>
      </c>
      <c r="P114" s="37" t="inlineStr">
        <is>
          <t>Sales Tax</t>
        </is>
      </c>
      <c r="R114" s="37" t="inlineStr">
        <is>
          <t>Useful Life</t>
        </is>
      </c>
      <c r="T114" s="30" t="n"/>
      <c r="U114" s="30" t="n"/>
      <c r="V114" s="30" t="n"/>
    </row>
    <row r="115" ht="12" customHeight="1" s="227">
      <c r="G115" s="35" t="n"/>
      <c r="H115" s="36">
        <f>"Fixed Asset "&amp;T115</f>
        <v/>
      </c>
      <c r="I115" s="212" t="inlineStr">
        <is>
          <t>Text / List / Years</t>
        </is>
      </c>
      <c r="M115" s="10" t="inlineStr">
        <is>
          <t>Furniture &amp; Fittings</t>
        </is>
      </c>
      <c r="N115" s="238" t="n"/>
      <c r="P115" s="24" t="inlineStr">
        <is>
          <t>Yes</t>
        </is>
      </c>
      <c r="R115" s="240" t="n">
        <v>5</v>
      </c>
      <c r="T115" s="38" t="n">
        <v>1</v>
      </c>
      <c r="U115" s="32">
        <f>IF(M115&lt;&gt;"","FA"&amp;T115&amp;" - "&amp;M115,"FA"&amp;T115&amp;" - "&amp;"N/A")</f>
        <v/>
      </c>
      <c r="V115" s="30" t="n"/>
    </row>
    <row r="116" ht="12" customHeight="1" s="227">
      <c r="G116" s="35" t="n"/>
      <c r="H116" s="36">
        <f>"Fixed Asset "&amp;T116</f>
        <v/>
      </c>
      <c r="I116" s="212" t="inlineStr">
        <is>
          <t>Text / List / Years</t>
        </is>
      </c>
      <c r="M116" s="10" t="inlineStr">
        <is>
          <t>Electronic Equipment</t>
        </is>
      </c>
      <c r="N116" s="238" t="n"/>
      <c r="P116" s="24" t="inlineStr">
        <is>
          <t>Yes</t>
        </is>
      </c>
      <c r="R116" s="240" t="n">
        <v>4</v>
      </c>
      <c r="T116" s="38">
        <f>T115+1</f>
        <v/>
      </c>
      <c r="U116" s="32">
        <f>IF(M116&lt;&gt;"","FA"&amp;T116&amp;" - "&amp;M116,"FA"&amp;T116&amp;" - "&amp;"N/A")</f>
        <v/>
      </c>
      <c r="V116" s="30" t="n"/>
    </row>
    <row r="117" ht="12" customHeight="1" s="227">
      <c r="H117" s="36">
        <f>"Fixed Asset "&amp;T117</f>
        <v/>
      </c>
      <c r="I117" s="212" t="inlineStr">
        <is>
          <t>Text / List / Years</t>
        </is>
      </c>
      <c r="M117" s="10" t="inlineStr">
        <is>
          <t>IT Equipment</t>
        </is>
      </c>
      <c r="N117" s="238" t="n"/>
      <c r="P117" s="24" t="inlineStr">
        <is>
          <t>Yes</t>
        </is>
      </c>
      <c r="R117" s="240" t="n">
        <v>5</v>
      </c>
      <c r="T117" s="38">
        <f>T116+1</f>
        <v/>
      </c>
      <c r="U117" s="32">
        <f>IF(M117&lt;&gt;"","FA"&amp;T117&amp;" - "&amp;M117,"FA"&amp;T117&amp;" - "&amp;"N/A")</f>
        <v/>
      </c>
      <c r="V117" s="30" t="n"/>
    </row>
    <row r="118" ht="12" customHeight="1" s="227">
      <c r="H118" s="36">
        <f>"Fixed Asset "&amp;T118</f>
        <v/>
      </c>
      <c r="I118" s="212" t="inlineStr">
        <is>
          <t>Text / List / Years</t>
        </is>
      </c>
      <c r="M118" s="10" t="n"/>
      <c r="N118" s="238" t="n"/>
      <c r="P118" s="24" t="n"/>
      <c r="R118" s="240" t="n"/>
      <c r="T118" s="38">
        <f>T117+1</f>
        <v/>
      </c>
      <c r="U118" s="32">
        <f>IF(M118&lt;&gt;"","FA"&amp;T118&amp;" - "&amp;M118,"FA"&amp;T118&amp;" - "&amp;"N/A")</f>
        <v/>
      </c>
      <c r="V118" s="30" t="n"/>
    </row>
    <row r="119" ht="12" customHeight="1" s="227">
      <c r="H119" s="36">
        <f>"Fixed Asset "&amp;T119</f>
        <v/>
      </c>
      <c r="I119" s="212" t="inlineStr">
        <is>
          <t>Text / List / Years</t>
        </is>
      </c>
      <c r="M119" s="10" t="n"/>
      <c r="N119" s="238" t="n"/>
      <c r="P119" s="24" t="n"/>
      <c r="R119" s="240" t="n"/>
      <c r="T119" s="38">
        <f>T118+1</f>
        <v/>
      </c>
      <c r="U119" s="32">
        <f>IF(M119&lt;&gt;"","FA"&amp;T119&amp;" - "&amp;M119,"FA"&amp;T119&amp;" - "&amp;"N/A")</f>
        <v/>
      </c>
      <c r="V119" s="30" t="n"/>
    </row>
    <row r="120" ht="12" customHeight="1" s="227">
      <c r="I120" s="212" t="n"/>
      <c r="T120" s="30" t="n"/>
      <c r="U120" s="30" t="n"/>
      <c r="V120" s="30" t="n"/>
    </row>
    <row r="121" ht="12" customHeight="1" s="227">
      <c r="I121" s="212" t="n"/>
      <c r="T121" s="30" t="n"/>
      <c r="U121" s="30" t="n"/>
      <c r="V121" s="30" t="n"/>
    </row>
    <row r="122" ht="12.75" customHeight="1" s="227">
      <c r="G122" s="222">
        <f>MAX(G$9:G121)+1</f>
        <v/>
      </c>
      <c r="H122" s="222" t="inlineStr">
        <is>
          <t>Borrowings</t>
        </is>
      </c>
      <c r="I122" s="212" t="n"/>
      <c r="T122" s="30" t="n"/>
      <c r="U122" s="30" t="n"/>
      <c r="V122" s="30" t="n"/>
    </row>
    <row r="123" ht="12" customHeight="1" s="227">
      <c r="G123" s="37" t="n"/>
      <c r="H123" s="8" t="n"/>
      <c r="I123" s="212" t="n"/>
      <c r="M123" s="8" t="inlineStr">
        <is>
          <t>Name</t>
        </is>
      </c>
      <c r="T123" s="30" t="n"/>
      <c r="U123" s="30" t="n"/>
      <c r="V123" s="30" t="n"/>
    </row>
    <row r="124" ht="12" customHeight="1" s="227">
      <c r="G124" s="35" t="n"/>
      <c r="H124" s="36">
        <f>"Borrowing Facility "&amp;T124</f>
        <v/>
      </c>
      <c r="I124" s="212" t="inlineStr">
        <is>
          <t>Text</t>
        </is>
      </c>
      <c r="M124" s="10" t="inlineStr">
        <is>
          <t>Loan XYZ</t>
        </is>
      </c>
      <c r="N124" s="238" t="n"/>
      <c r="T124" s="38" t="n">
        <v>1</v>
      </c>
      <c r="U124" s="32">
        <f>IF(M124&lt;&gt;"","BF"&amp;T124&amp;" - "&amp;M124,"BF"&amp;T124&amp;" - "&amp;"N/A")</f>
        <v/>
      </c>
      <c r="V124" s="30" t="n"/>
    </row>
    <row r="125" ht="12" customHeight="1" s="227">
      <c r="G125" s="35" t="n"/>
      <c r="H125" s="36">
        <f>"Borrowing Facility "&amp;T125</f>
        <v/>
      </c>
      <c r="I125" s="212" t="inlineStr">
        <is>
          <t>Text</t>
        </is>
      </c>
      <c r="M125" s="10" t="n"/>
      <c r="N125" s="238" t="n"/>
      <c r="T125" s="38">
        <f>T124+1</f>
        <v/>
      </c>
      <c r="U125" s="32">
        <f>IF(M125&lt;&gt;"","BF"&amp;T125&amp;" - "&amp;M125,"BF"&amp;T125&amp;" - "&amp;"N/A")</f>
        <v/>
      </c>
      <c r="V125" s="30" t="n"/>
    </row>
    <row r="126" ht="12" customHeight="1" s="227">
      <c r="H126" s="36">
        <f>"Borrowing Facility "&amp;T126</f>
        <v/>
      </c>
      <c r="I126" s="212" t="inlineStr">
        <is>
          <t>Text</t>
        </is>
      </c>
      <c r="M126" s="10" t="n"/>
      <c r="N126" s="238" t="n"/>
      <c r="T126" s="38">
        <f>T125+1</f>
        <v/>
      </c>
      <c r="U126" s="32">
        <f>IF(M126&lt;&gt;"","BF"&amp;T126&amp;" - "&amp;M126,"BF"&amp;T126&amp;" - "&amp;"N/A")</f>
        <v/>
      </c>
      <c r="V126" s="30" t="n"/>
    </row>
    <row r="127" ht="12" customHeight="1" s="227">
      <c r="I127" s="27" t="n"/>
      <c r="T127" s="30" t="n"/>
      <c r="U127" s="30" t="n"/>
      <c r="V127" s="30" t="n"/>
    </row>
    <row r="128" ht="12" customHeight="1" s="227">
      <c r="I128" s="27" t="n"/>
      <c r="T128" s="30" t="n"/>
      <c r="U128" s="30" t="n"/>
      <c r="V128" s="30" t="n"/>
    </row>
    <row r="129" ht="12" customHeight="1" s="227">
      <c r="I129" s="27" t="n"/>
      <c r="T129" s="30" t="n"/>
      <c r="U129" s="30" t="n"/>
      <c r="V129" s="30" t="n"/>
    </row>
    <row r="130" ht="15.75" customFormat="1" customHeight="1" s="99">
      <c r="D130" s="99" t="inlineStr">
        <is>
          <t>END OF WORKSHEET</t>
        </is>
      </c>
    </row>
    <row r="131" ht="12" customHeight="1" s="227"/>
    <row r="132" hidden="1" ht="12" customHeight="1" s="227"/>
    <row r="133" hidden="1" ht="12" customHeight="1" s="227"/>
    <row r="134" hidden="1" ht="12" customHeight="1" s="227"/>
    <row r="135" hidden="1" ht="12" customHeight="1" s="227"/>
    <row r="136" hidden="1" ht="12" customHeight="1" s="227"/>
    <row r="137" hidden="1" ht="12" customHeight="1" s="227"/>
    <row r="138" hidden="1" ht="12" customHeight="1" s="227"/>
    <row r="145" hidden="1" ht="12" customFormat="1" customHeight="1" s="6">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c r="AC145" s="4" t="n"/>
      <c r="AD145" s="4" t="n"/>
      <c r="AE145" s="4" t="n"/>
      <c r="AF145" s="4" t="n"/>
      <c r="AG145" s="4" t="n"/>
      <c r="AH145" s="4" t="n"/>
      <c r="AI145" s="4" t="n"/>
    </row>
    <row r="146" hidden="1" ht="12" customFormat="1" customHeight="1" s="6">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c r="AC146" s="4" t="n"/>
      <c r="AD146" s="4" t="n"/>
      <c r="AE146" s="4" t="n"/>
      <c r="AF146" s="4" t="n"/>
      <c r="AG146" s="4" t="n"/>
      <c r="AH146" s="4" t="n"/>
      <c r="AI146" s="4" t="n"/>
    </row>
    <row r="147" hidden="1" ht="12" customFormat="1" customHeight="1" s="6">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c r="AC147" s="4" t="n"/>
      <c r="AD147" s="4" t="n"/>
      <c r="AE147" s="4" t="n"/>
      <c r="AF147" s="4" t="n"/>
      <c r="AG147" s="4" t="n"/>
      <c r="AH147" s="4" t="n"/>
      <c r="AI147" s="4" t="n"/>
    </row>
    <row r="148" hidden="1" ht="12" customFormat="1" customHeight="1" s="6">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c r="AC148" s="4" t="n"/>
      <c r="AD148" s="4" t="n"/>
      <c r="AE148" s="4" t="n"/>
      <c r="AF148" s="4" t="n"/>
      <c r="AG148" s="4" t="n"/>
      <c r="AH148" s="4" t="n"/>
      <c r="AI148" s="4" t="n"/>
    </row>
    <row r="149" hidden="1" ht="12" customFormat="1" customHeight="1" s="6">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c r="AE149" s="4" t="n"/>
      <c r="AF149" s="4" t="n"/>
      <c r="AG149" s="4" t="n"/>
      <c r="AH149" s="4" t="n"/>
      <c r="AI149" s="4" t="n"/>
    </row>
    <row r="150" hidden="1" ht="12" customFormat="1" customHeight="1" s="6">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c r="AE150" s="4" t="n"/>
      <c r="AF150" s="4" t="n"/>
      <c r="AG150" s="4" t="n"/>
      <c r="AH150" s="4" t="n"/>
      <c r="AI150" s="4" t="n"/>
    </row>
    <row r="151" hidden="1" ht="12" customFormat="1" customHeight="1" s="6">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c r="AE151" s="4" t="n"/>
      <c r="AF151" s="4" t="n"/>
      <c r="AG151" s="4" t="n"/>
      <c r="AH151" s="4" t="n"/>
      <c r="AI151" s="4" t="n"/>
    </row>
    <row r="152" hidden="1" ht="12" customFormat="1" customHeight="1" s="6">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c r="AE152" s="4" t="n"/>
      <c r="AF152" s="4" t="n"/>
      <c r="AG152" s="4" t="n"/>
      <c r="AH152" s="4" t="n"/>
      <c r="AI152" s="4" t="n"/>
    </row>
    <row r="153" hidden="1" ht="12" customFormat="1" customHeight="1" s="6">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c r="AD153" s="4" t="n"/>
      <c r="AE153" s="4" t="n"/>
      <c r="AF153" s="4" t="n"/>
      <c r="AG153" s="4" t="n"/>
      <c r="AH153" s="4" t="n"/>
      <c r="AI153" s="4" t="n"/>
    </row>
    <row r="154" hidden="1" ht="12" customFormat="1" customHeight="1" s="6">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c r="AC154" s="4" t="n"/>
      <c r="AD154" s="4" t="n"/>
      <c r="AE154" s="4" t="n"/>
      <c r="AF154" s="4" t="n"/>
      <c r="AG154" s="4" t="n"/>
      <c r="AH154" s="4" t="n"/>
      <c r="AI154" s="4" t="n"/>
    </row>
    <row r="155" hidden="1" ht="12" customFormat="1" customHeight="1" s="6">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c r="AD155" s="4" t="n"/>
      <c r="AE155" s="4" t="n"/>
      <c r="AF155" s="4" t="n"/>
      <c r="AG155" s="4" t="n"/>
      <c r="AH155" s="4" t="n"/>
      <c r="AI155" s="4" t="n"/>
    </row>
    <row r="156" hidden="1" ht="12" customFormat="1" customHeight="1" s="6">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c r="AD156" s="4" t="n"/>
      <c r="AE156" s="4" t="n"/>
      <c r="AF156" s="4" t="n"/>
      <c r="AG156" s="4" t="n"/>
      <c r="AH156" s="4" t="n"/>
      <c r="AI156" s="4" t="n"/>
    </row>
    <row r="157" hidden="1" ht="12" customFormat="1" customHeight="1" s="6">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c r="AC157" s="4" t="n"/>
      <c r="AD157" s="4" t="n"/>
      <c r="AE157" s="4" t="n"/>
      <c r="AF157" s="4" t="n"/>
      <c r="AG157" s="4" t="n"/>
      <c r="AH157" s="4" t="n"/>
      <c r="AI157" s="4" t="n"/>
    </row>
    <row r="158" hidden="1" ht="12" customFormat="1" customHeight="1" s="6">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c r="AD158" s="4" t="n"/>
      <c r="AE158" s="4" t="n"/>
      <c r="AF158" s="4" t="n"/>
      <c r="AG158" s="4" t="n"/>
      <c r="AH158" s="4" t="n"/>
      <c r="AI158" s="4" t="n"/>
    </row>
    <row r="159" hidden="1" ht="12" customFormat="1" customHeight="1" s="6">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c r="AC159" s="4" t="n"/>
      <c r="AD159" s="4" t="n"/>
      <c r="AE159" s="4" t="n"/>
      <c r="AF159" s="4" t="n"/>
      <c r="AG159" s="4" t="n"/>
      <c r="AH159" s="4" t="n"/>
      <c r="AI159" s="4" t="n"/>
    </row>
    <row r="160" hidden="1" ht="12" customFormat="1" customHeight="1" s="6">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c r="AD160" s="4" t="n"/>
      <c r="AE160" s="4" t="n"/>
      <c r="AF160" s="4" t="n"/>
      <c r="AG160" s="4" t="n"/>
      <c r="AH160" s="4" t="n"/>
      <c r="AI160" s="4" t="n"/>
    </row>
    <row r="161" hidden="1" ht="12" customFormat="1" customHeight="1" s="6">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c r="AC161" s="4" t="n"/>
      <c r="AD161" s="4" t="n"/>
      <c r="AE161" s="4" t="n"/>
      <c r="AF161" s="4" t="n"/>
      <c r="AG161" s="4" t="n"/>
      <c r="AH161" s="4" t="n"/>
      <c r="AI161" s="4" t="n"/>
    </row>
    <row r="162" hidden="1" ht="12" customFormat="1" customHeight="1" s="6">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c r="AE162" s="4" t="n"/>
      <c r="AF162" s="4" t="n"/>
      <c r="AG162" s="4" t="n"/>
      <c r="AH162" s="4" t="n"/>
      <c r="AI162" s="4" t="n"/>
    </row>
    <row r="163" hidden="1" ht="12" customFormat="1" customHeight="1" s="6">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c r="AC163" s="4" t="n"/>
      <c r="AD163" s="4" t="n"/>
      <c r="AE163" s="4" t="n"/>
      <c r="AF163" s="4" t="n"/>
      <c r="AG163" s="4" t="n"/>
      <c r="AH163" s="4" t="n"/>
      <c r="AI163" s="4" t="n"/>
    </row>
    <row r="164" hidden="1" ht="12" customFormat="1" customHeight="1" s="6">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c r="AC164" s="4" t="n"/>
      <c r="AD164" s="4" t="n"/>
      <c r="AE164" s="4" t="n"/>
      <c r="AF164" s="4" t="n"/>
      <c r="AG164" s="4" t="n"/>
      <c r="AH164" s="4" t="n"/>
      <c r="AI164" s="4" t="n"/>
    </row>
    <row r="165" hidden="1" ht="12" customFormat="1" customHeight="1" s="6">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c r="AC165" s="4" t="n"/>
      <c r="AD165" s="4" t="n"/>
      <c r="AE165" s="4" t="n"/>
      <c r="AF165" s="4" t="n"/>
      <c r="AG165" s="4" t="n"/>
      <c r="AH165" s="4" t="n"/>
      <c r="AI165" s="4" t="n"/>
    </row>
    <row r="166" hidden="1" ht="12" customFormat="1" customHeight="1" s="6">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c r="AC166" s="4" t="n"/>
      <c r="AD166" s="4" t="n"/>
      <c r="AE166" s="4" t="n"/>
      <c r="AF166" s="4" t="n"/>
      <c r="AG166" s="4" t="n"/>
      <c r="AH166" s="4" t="n"/>
      <c r="AI166" s="4" t="n"/>
    </row>
    <row r="167" hidden="1" ht="12" customFormat="1" customHeight="1" s="6">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c r="AE167" s="4" t="n"/>
      <c r="AF167" s="4" t="n"/>
      <c r="AG167" s="4" t="n"/>
      <c r="AH167" s="4" t="n"/>
      <c r="AI167" s="4" t="n"/>
    </row>
    <row r="168" hidden="1" ht="12" customFormat="1" customHeight="1" s="6">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c r="AC168" s="4" t="n"/>
      <c r="AD168" s="4" t="n"/>
      <c r="AE168" s="4" t="n"/>
      <c r="AF168" s="4" t="n"/>
      <c r="AG168" s="4" t="n"/>
      <c r="AH168" s="4" t="n"/>
      <c r="AI168" s="4" t="n"/>
    </row>
    <row r="169" hidden="1" ht="12" customFormat="1" customHeight="1" s="6">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c r="AC169" s="4" t="n"/>
      <c r="AD169" s="4" t="n"/>
      <c r="AE169" s="4" t="n"/>
      <c r="AF169" s="4" t="n"/>
      <c r="AG169" s="4" t="n"/>
      <c r="AH169" s="4" t="n"/>
      <c r="AI169" s="4" t="n"/>
    </row>
    <row r="170" hidden="1" ht="12" customFormat="1" customHeight="1" s="6">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c r="AC170" s="4" t="n"/>
      <c r="AD170" s="4" t="n"/>
      <c r="AE170" s="4" t="n"/>
      <c r="AF170" s="4" t="n"/>
      <c r="AG170" s="4" t="n"/>
      <c r="AH170" s="4" t="n"/>
      <c r="AI170" s="4" t="n"/>
    </row>
    <row r="171" hidden="1" ht="12" customFormat="1" customHeight="1" s="6">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c r="AC171" s="4" t="n"/>
      <c r="AD171" s="4" t="n"/>
      <c r="AE171" s="4" t="n"/>
      <c r="AF171" s="4" t="n"/>
      <c r="AG171" s="4" t="n"/>
      <c r="AH171" s="4" t="n"/>
      <c r="AI171" s="4" t="n"/>
    </row>
    <row r="172" hidden="1" ht="12" customFormat="1" customHeight="1" s="6">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c r="AD172" s="4" t="n"/>
      <c r="AE172" s="4" t="n"/>
      <c r="AF172" s="4" t="n"/>
      <c r="AG172" s="4" t="n"/>
      <c r="AH172" s="4" t="n"/>
      <c r="AI172" s="4" t="n"/>
    </row>
    <row r="173" hidden="1" ht="12" customFormat="1" customHeight="1" s="6">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c r="AC173" s="4" t="n"/>
      <c r="AD173" s="4" t="n"/>
      <c r="AE173" s="4" t="n"/>
      <c r="AF173" s="4" t="n"/>
      <c r="AG173" s="4" t="n"/>
      <c r="AH173" s="4" t="n"/>
      <c r="AI173" s="4" t="n"/>
    </row>
    <row r="174" hidden="1" ht="12" customFormat="1" customHeight="1" s="6">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c r="AC174" s="4" t="n"/>
      <c r="AD174" s="4" t="n"/>
      <c r="AE174" s="4" t="n"/>
      <c r="AF174" s="4" t="n"/>
      <c r="AG174" s="4" t="n"/>
      <c r="AH174" s="4" t="n"/>
      <c r="AI174" s="4" t="n"/>
    </row>
    <row r="175" hidden="1" ht="12" customFormat="1" customHeight="1" s="6">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c r="AC175" s="4" t="n"/>
      <c r="AD175" s="4" t="n"/>
      <c r="AE175" s="4" t="n"/>
      <c r="AF175" s="4" t="n"/>
      <c r="AG175" s="4" t="n"/>
      <c r="AH175" s="4" t="n"/>
      <c r="AI175" s="4" t="n"/>
    </row>
    <row r="176" hidden="1" ht="12" customFormat="1" customHeight="1" s="6">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c r="AC176" s="4" t="n"/>
      <c r="AD176" s="4" t="n"/>
      <c r="AE176" s="4" t="n"/>
      <c r="AF176" s="4" t="n"/>
      <c r="AG176" s="4" t="n"/>
      <c r="AH176" s="4" t="n"/>
      <c r="AI176" s="4" t="n"/>
    </row>
    <row r="177" hidden="1" ht="12" customFormat="1" customHeight="1" s="6">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c r="AC177" s="4" t="n"/>
      <c r="AD177" s="4" t="n"/>
      <c r="AE177" s="4" t="n"/>
      <c r="AF177" s="4" t="n"/>
      <c r="AG177" s="4" t="n"/>
      <c r="AH177" s="4" t="n"/>
      <c r="AI177" s="4" t="n"/>
    </row>
    <row r="178" hidden="1" ht="12" customFormat="1" customHeight="1" s="6">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c r="AC178" s="4" t="n"/>
      <c r="AD178" s="4" t="n"/>
      <c r="AE178" s="4" t="n"/>
      <c r="AF178" s="4" t="n"/>
      <c r="AG178" s="4" t="n"/>
      <c r="AH178" s="4" t="n"/>
      <c r="AI178" s="4" t="n"/>
    </row>
    <row r="179" hidden="1" ht="12" customFormat="1" customHeight="1" s="6">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c r="AD179" s="4" t="n"/>
      <c r="AE179" s="4" t="n"/>
      <c r="AF179" s="4" t="n"/>
      <c r="AG179" s="4" t="n"/>
      <c r="AH179" s="4" t="n"/>
      <c r="AI179" s="4" t="n"/>
    </row>
    <row r="180" hidden="1" ht="12" customFormat="1" customHeight="1" s="6">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c r="AC180" s="4" t="n"/>
      <c r="AD180" s="4" t="n"/>
      <c r="AE180" s="4" t="n"/>
      <c r="AF180" s="4" t="n"/>
      <c r="AG180" s="4" t="n"/>
      <c r="AH180" s="4" t="n"/>
      <c r="AI180" s="4" t="n"/>
    </row>
    <row r="181" hidden="1" ht="12" customFormat="1" customHeight="1" s="6">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c r="AC181" s="4" t="n"/>
      <c r="AD181" s="4" t="n"/>
      <c r="AE181" s="4" t="n"/>
      <c r="AF181" s="4" t="n"/>
      <c r="AG181" s="4" t="n"/>
      <c r="AH181" s="4" t="n"/>
      <c r="AI181" s="4" t="n"/>
    </row>
    <row r="182" hidden="1" ht="12" customFormat="1" customHeight="1" s="6">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c r="AC182" s="4" t="n"/>
      <c r="AD182" s="4" t="n"/>
      <c r="AE182" s="4" t="n"/>
      <c r="AF182" s="4" t="n"/>
      <c r="AG182" s="4" t="n"/>
      <c r="AH182" s="4" t="n"/>
      <c r="AI182" s="4" t="n"/>
    </row>
    <row r="183" hidden="1" ht="12" customFormat="1" customHeight="1" s="6">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c r="AD183" s="4" t="n"/>
      <c r="AE183" s="4" t="n"/>
      <c r="AF183" s="4" t="n"/>
      <c r="AG183" s="4" t="n"/>
      <c r="AH183" s="4" t="n"/>
      <c r="AI183" s="4" t="n"/>
    </row>
    <row r="184" hidden="1" ht="12" customFormat="1" customHeight="1" s="6">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c r="AC184" s="4" t="n"/>
      <c r="AD184" s="4" t="n"/>
      <c r="AE184" s="4" t="n"/>
      <c r="AF184" s="4" t="n"/>
      <c r="AG184" s="4" t="n"/>
      <c r="AH184" s="4" t="n"/>
      <c r="AI184" s="4" t="n"/>
    </row>
    <row r="185" hidden="1" ht="12" customFormat="1" customHeight="1" s="6">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c r="AD185" s="4" t="n"/>
      <c r="AE185" s="4" t="n"/>
      <c r="AF185" s="4" t="n"/>
      <c r="AG185" s="4" t="n"/>
      <c r="AH185" s="4" t="n"/>
      <c r="AI185" s="4" t="n"/>
    </row>
    <row r="186" hidden="1" ht="12" customFormat="1" customHeight="1" s="6">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c r="AC186" s="4" t="n"/>
      <c r="AD186" s="4" t="n"/>
      <c r="AE186" s="4" t="n"/>
      <c r="AF186" s="4" t="n"/>
      <c r="AG186" s="4" t="n"/>
      <c r="AH186" s="4" t="n"/>
      <c r="AI186" s="4" t="n"/>
    </row>
    <row r="187" hidden="1" ht="12" customFormat="1" customHeight="1" s="6">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c r="AC187" s="4" t="n"/>
      <c r="AD187" s="4" t="n"/>
      <c r="AE187" s="4" t="n"/>
      <c r="AF187" s="4" t="n"/>
      <c r="AG187" s="4" t="n"/>
      <c r="AH187" s="4" t="n"/>
      <c r="AI187" s="4" t="n"/>
    </row>
    <row r="188" hidden="1" ht="12" customFormat="1" customHeight="1" s="6">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c r="AC188" s="4" t="n"/>
      <c r="AD188" s="4" t="n"/>
      <c r="AE188" s="4" t="n"/>
      <c r="AF188" s="4" t="n"/>
      <c r="AG188" s="4" t="n"/>
      <c r="AH188" s="4" t="n"/>
      <c r="AI188" s="4" t="n"/>
    </row>
    <row r="189" hidden="1" ht="12" customFormat="1" customHeight="1" s="6">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c r="AC189" s="4" t="n"/>
      <c r="AD189" s="4" t="n"/>
      <c r="AE189" s="4" t="n"/>
      <c r="AF189" s="4" t="n"/>
      <c r="AG189" s="4" t="n"/>
      <c r="AH189" s="4" t="n"/>
      <c r="AI189" s="4" t="n"/>
    </row>
    <row r="190" hidden="1" ht="12" customFormat="1" customHeight="1" s="6">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c r="AC190" s="4" t="n"/>
      <c r="AD190" s="4" t="n"/>
      <c r="AE190" s="4" t="n"/>
      <c r="AF190" s="4" t="n"/>
      <c r="AG190" s="4" t="n"/>
      <c r="AH190" s="4" t="n"/>
      <c r="AI190" s="4" t="n"/>
    </row>
    <row r="191" hidden="1" ht="12" customFormat="1" customHeight="1" s="6">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c r="AC191" s="4" t="n"/>
      <c r="AD191" s="4" t="n"/>
      <c r="AE191" s="4" t="n"/>
      <c r="AF191" s="4" t="n"/>
      <c r="AG191" s="4" t="n"/>
      <c r="AH191" s="4" t="n"/>
      <c r="AI191" s="4" t="n"/>
    </row>
    <row r="192" hidden="1" ht="12" customFormat="1" customHeight="1" s="6">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c r="AC192" s="4" t="n"/>
      <c r="AD192" s="4" t="n"/>
      <c r="AE192" s="4" t="n"/>
      <c r="AF192" s="4" t="n"/>
      <c r="AG192" s="4" t="n"/>
      <c r="AH192" s="4" t="n"/>
      <c r="AI192" s="4" t="n"/>
    </row>
    <row r="193" hidden="1" ht="12" customFormat="1" customHeight="1" s="6">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c r="AC193" s="4" t="n"/>
      <c r="AD193" s="4" t="n"/>
      <c r="AE193" s="4" t="n"/>
      <c r="AF193" s="4" t="n"/>
      <c r="AG193" s="4" t="n"/>
      <c r="AH193" s="4" t="n"/>
      <c r="AI193" s="4" t="n"/>
    </row>
    <row r="194" hidden="1" ht="12" customFormat="1" customHeight="1" s="6">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c r="AC194" s="4" t="n"/>
      <c r="AD194" s="4" t="n"/>
      <c r="AE194" s="4" t="n"/>
      <c r="AF194" s="4" t="n"/>
      <c r="AG194" s="4" t="n"/>
      <c r="AH194" s="4" t="n"/>
      <c r="AI194" s="4" t="n"/>
    </row>
    <row r="195" hidden="1" ht="12" customFormat="1" customHeight="1" s="6">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c r="AD195" s="4" t="n"/>
      <c r="AE195" s="4" t="n"/>
      <c r="AF195" s="4" t="n"/>
      <c r="AG195" s="4" t="n"/>
      <c r="AH195" s="4" t="n"/>
      <c r="AI195" s="4" t="n"/>
    </row>
    <row r="196" hidden="1" ht="12" customFormat="1" customHeight="1" s="6">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c r="AE196" s="4" t="n"/>
      <c r="AF196" s="4" t="n"/>
      <c r="AG196" s="4" t="n"/>
      <c r="AH196" s="4" t="n"/>
      <c r="AI196" s="4" t="n"/>
    </row>
    <row r="197" hidden="1" ht="12" customFormat="1" customHeight="1" s="6">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c r="AE197" s="4" t="n"/>
      <c r="AF197" s="4" t="n"/>
      <c r="AG197" s="4" t="n"/>
      <c r="AH197" s="4" t="n"/>
      <c r="AI197" s="4" t="n"/>
    </row>
    <row r="198" hidden="1" ht="12" customFormat="1" customHeight="1" s="6">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c r="AD198" s="4" t="n"/>
      <c r="AE198" s="4" t="n"/>
      <c r="AF198" s="4" t="n"/>
      <c r="AG198" s="4" t="n"/>
      <c r="AH198" s="4" t="n"/>
      <c r="AI198" s="4" t="n"/>
    </row>
    <row r="199" hidden="1" ht="12" customFormat="1" customHeight="1" s="6">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c r="AC199" s="4" t="n"/>
      <c r="AD199" s="4" t="n"/>
      <c r="AE199" s="4" t="n"/>
      <c r="AF199" s="4" t="n"/>
      <c r="AG199" s="4" t="n"/>
      <c r="AH199" s="4" t="n"/>
      <c r="AI199" s="4" t="n"/>
    </row>
    <row r="200" hidden="1" ht="12" customFormat="1" customHeight="1" s="6">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c r="AD200" s="4" t="n"/>
      <c r="AE200" s="4" t="n"/>
      <c r="AF200" s="4" t="n"/>
      <c r="AG200" s="4" t="n"/>
      <c r="AH200" s="4" t="n"/>
      <c r="AI200" s="4" t="n"/>
    </row>
    <row r="201" hidden="1" ht="12" customFormat="1" customHeight="1" s="6">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c r="AD201" s="4" t="n"/>
      <c r="AE201" s="4" t="n"/>
      <c r="AF201" s="4" t="n"/>
      <c r="AG201" s="4" t="n"/>
      <c r="AH201" s="4" t="n"/>
      <c r="AI201" s="4" t="n"/>
    </row>
    <row r="202" hidden="1" ht="12" customFormat="1" customHeight="1" s="6">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c r="AD202" s="4" t="n"/>
      <c r="AE202" s="4" t="n"/>
      <c r="AF202" s="4" t="n"/>
      <c r="AG202" s="4" t="n"/>
      <c r="AH202" s="4" t="n"/>
      <c r="AI202" s="4" t="n"/>
    </row>
    <row r="203" hidden="1" ht="12" customFormat="1" customHeight="1" s="6">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c r="AC203" s="4" t="n"/>
      <c r="AD203" s="4" t="n"/>
      <c r="AE203" s="4" t="n"/>
      <c r="AF203" s="4" t="n"/>
      <c r="AG203" s="4" t="n"/>
      <c r="AH203" s="4" t="n"/>
      <c r="AI203" s="4" t="n"/>
    </row>
    <row r="204" hidden="1" ht="12" customFormat="1" customHeight="1" s="6">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c r="AC204" s="4" t="n"/>
      <c r="AD204" s="4" t="n"/>
      <c r="AE204" s="4" t="n"/>
      <c r="AF204" s="4" t="n"/>
      <c r="AG204" s="4" t="n"/>
      <c r="AH204" s="4" t="n"/>
      <c r="AI204" s="4" t="n"/>
    </row>
    <row r="205" hidden="1" ht="12" customFormat="1" customHeight="1" s="6">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c r="AC205" s="4" t="n"/>
      <c r="AD205" s="4" t="n"/>
      <c r="AE205" s="4" t="n"/>
      <c r="AF205" s="4" t="n"/>
      <c r="AG205" s="4" t="n"/>
      <c r="AH205" s="4" t="n"/>
      <c r="AI205" s="4" t="n"/>
    </row>
    <row r="206" hidden="1" ht="12" customFormat="1" customHeight="1" s="6">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c r="AC206" s="4" t="n"/>
      <c r="AD206" s="4" t="n"/>
      <c r="AE206" s="4" t="n"/>
      <c r="AF206" s="4" t="n"/>
      <c r="AG206" s="4" t="n"/>
      <c r="AH206" s="4" t="n"/>
      <c r="AI206" s="4" t="n"/>
    </row>
    <row r="207" hidden="1" ht="12" customFormat="1" customHeight="1" s="6">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c r="AC207" s="4" t="n"/>
      <c r="AD207" s="4" t="n"/>
      <c r="AE207" s="4" t="n"/>
      <c r="AF207" s="4" t="n"/>
      <c r="AG207" s="4" t="n"/>
      <c r="AH207" s="4" t="n"/>
      <c r="AI207" s="4" t="n"/>
    </row>
    <row r="208" hidden="1" ht="12" customFormat="1" customHeight="1" s="6">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c r="AC208" s="4" t="n"/>
      <c r="AD208" s="4" t="n"/>
      <c r="AE208" s="4" t="n"/>
      <c r="AF208" s="4" t="n"/>
      <c r="AG208" s="4" t="n"/>
      <c r="AH208" s="4" t="n"/>
      <c r="AI208" s="4" t="n"/>
    </row>
    <row r="209" hidden="1" ht="12" customFormat="1" customHeight="1" s="6">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c r="AC209" s="4" t="n"/>
      <c r="AD209" s="4" t="n"/>
      <c r="AE209" s="4" t="n"/>
      <c r="AF209" s="4" t="n"/>
      <c r="AG209" s="4" t="n"/>
      <c r="AH209" s="4" t="n"/>
      <c r="AI209" s="4" t="n"/>
    </row>
    <row r="210" hidden="1" ht="12" customFormat="1" customHeight="1" s="6">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c r="AC210" s="4" t="n"/>
      <c r="AD210" s="4" t="n"/>
      <c r="AE210" s="4" t="n"/>
      <c r="AF210" s="4" t="n"/>
      <c r="AG210" s="4" t="n"/>
      <c r="AH210" s="4" t="n"/>
      <c r="AI210" s="4" t="n"/>
    </row>
    <row r="211" hidden="1" ht="12" customFormat="1" customHeight="1" s="6">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c r="AC211" s="4" t="n"/>
      <c r="AD211" s="4" t="n"/>
      <c r="AE211" s="4" t="n"/>
      <c r="AF211" s="4" t="n"/>
      <c r="AG211" s="4" t="n"/>
      <c r="AH211" s="4" t="n"/>
      <c r="AI211" s="4" t="n"/>
    </row>
    <row r="212" hidden="1" ht="12" customFormat="1" customHeight="1" s="6">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c r="AC212" s="4" t="n"/>
      <c r="AD212" s="4" t="n"/>
      <c r="AE212" s="4" t="n"/>
      <c r="AF212" s="4" t="n"/>
      <c r="AG212" s="4" t="n"/>
      <c r="AH212" s="4" t="n"/>
      <c r="AI212" s="4" t="n"/>
    </row>
    <row r="213" hidden="1" ht="12" customFormat="1" customHeight="1" s="6">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c r="AC213" s="4" t="n"/>
      <c r="AD213" s="4" t="n"/>
      <c r="AE213" s="4" t="n"/>
      <c r="AF213" s="4" t="n"/>
      <c r="AG213" s="4" t="n"/>
      <c r="AH213" s="4" t="n"/>
      <c r="AI213" s="4" t="n"/>
    </row>
    <row r="214" hidden="1" ht="12" customFormat="1" customHeight="1" s="6">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c r="AD214" s="4" t="n"/>
      <c r="AE214" s="4" t="n"/>
      <c r="AF214" s="4" t="n"/>
      <c r="AG214" s="4" t="n"/>
      <c r="AH214" s="4" t="n"/>
      <c r="AI214" s="4" t="n"/>
    </row>
    <row r="215" hidden="1" ht="12" customFormat="1" customHeight="1" s="6">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c r="AD215" s="4" t="n"/>
      <c r="AE215" s="4" t="n"/>
      <c r="AF215" s="4" t="n"/>
      <c r="AG215" s="4" t="n"/>
      <c r="AH215" s="4" t="n"/>
      <c r="AI215" s="4" t="n"/>
    </row>
    <row r="216" hidden="1" ht="12" customFormat="1" customHeight="1" s="6">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c r="AC216" s="4" t="n"/>
      <c r="AD216" s="4" t="n"/>
      <c r="AE216" s="4" t="n"/>
      <c r="AF216" s="4" t="n"/>
      <c r="AG216" s="4" t="n"/>
      <c r="AH216" s="4" t="n"/>
      <c r="AI216" s="4" t="n"/>
    </row>
    <row r="217" hidden="1" ht="12" customFormat="1" customHeight="1" s="6">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c r="AC217" s="4" t="n"/>
      <c r="AD217" s="4" t="n"/>
      <c r="AE217" s="4" t="n"/>
      <c r="AF217" s="4" t="n"/>
      <c r="AG217" s="4" t="n"/>
      <c r="AH217" s="4" t="n"/>
      <c r="AI217" s="4" t="n"/>
    </row>
    <row r="218" hidden="1" ht="12" customFormat="1" customHeight="1" s="6">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c r="AC218" s="4" t="n"/>
      <c r="AD218" s="4" t="n"/>
      <c r="AE218" s="4" t="n"/>
      <c r="AF218" s="4" t="n"/>
      <c r="AG218" s="4" t="n"/>
      <c r="AH218" s="4" t="n"/>
      <c r="AI218" s="4" t="n"/>
    </row>
    <row r="219" hidden="1" ht="12" customFormat="1" customHeight="1" s="6">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c r="AC219" s="4" t="n"/>
      <c r="AD219" s="4" t="n"/>
      <c r="AE219" s="4" t="n"/>
      <c r="AF219" s="4" t="n"/>
      <c r="AG219" s="4" t="n"/>
      <c r="AH219" s="4" t="n"/>
      <c r="AI219" s="4" t="n"/>
    </row>
    <row r="220" hidden="1" ht="12" customFormat="1" customHeight="1" s="6">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c r="AC220" s="4" t="n"/>
      <c r="AD220" s="4" t="n"/>
      <c r="AE220" s="4" t="n"/>
      <c r="AF220" s="4" t="n"/>
      <c r="AG220" s="4" t="n"/>
      <c r="AH220" s="4" t="n"/>
      <c r="AI220" s="4" t="n"/>
    </row>
    <row r="221" hidden="1" ht="12" customFormat="1" customHeight="1" s="6">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c r="AC221" s="4" t="n"/>
      <c r="AD221" s="4" t="n"/>
      <c r="AE221" s="4" t="n"/>
      <c r="AF221" s="4" t="n"/>
      <c r="AG221" s="4" t="n"/>
      <c r="AH221" s="4" t="n"/>
      <c r="AI221" s="4" t="n"/>
    </row>
    <row r="222" hidden="1" ht="12" customFormat="1" customHeight="1" s="6">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c r="AC222" s="4" t="n"/>
      <c r="AD222" s="4" t="n"/>
      <c r="AE222" s="4" t="n"/>
      <c r="AF222" s="4" t="n"/>
      <c r="AG222" s="4" t="n"/>
      <c r="AH222" s="4" t="n"/>
      <c r="AI222" s="4" t="n"/>
    </row>
    <row r="223" hidden="1" ht="12" customFormat="1" customHeight="1" s="6">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c r="AC223" s="4" t="n"/>
      <c r="AD223" s="4" t="n"/>
      <c r="AE223" s="4" t="n"/>
      <c r="AF223" s="4" t="n"/>
      <c r="AG223" s="4" t="n"/>
      <c r="AH223" s="4" t="n"/>
      <c r="AI223" s="4" t="n"/>
    </row>
    <row r="224" hidden="1" ht="12" customFormat="1" customHeight="1" s="6">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c r="AD224" s="4" t="n"/>
      <c r="AE224" s="4" t="n"/>
      <c r="AF224" s="4" t="n"/>
      <c r="AG224" s="4" t="n"/>
      <c r="AH224" s="4" t="n"/>
      <c r="AI224" s="4" t="n"/>
    </row>
    <row r="225" hidden="1" ht="12" customFormat="1" customHeight="1" s="6">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c r="AC225" s="4" t="n"/>
      <c r="AD225" s="4" t="n"/>
      <c r="AE225" s="4" t="n"/>
      <c r="AF225" s="4" t="n"/>
      <c r="AG225" s="4" t="n"/>
      <c r="AH225" s="4" t="n"/>
      <c r="AI225" s="4" t="n"/>
    </row>
    <row r="226" hidden="1" ht="12" customFormat="1" customHeight="1" s="6">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c r="AC226" s="4" t="n"/>
      <c r="AD226" s="4" t="n"/>
      <c r="AE226" s="4" t="n"/>
      <c r="AF226" s="4" t="n"/>
      <c r="AG226" s="4" t="n"/>
      <c r="AH226" s="4" t="n"/>
      <c r="AI226" s="4" t="n"/>
    </row>
    <row r="227" hidden="1" ht="12" customFormat="1" customHeight="1" s="6">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c r="AD227" s="4" t="n"/>
      <c r="AE227" s="4" t="n"/>
      <c r="AF227" s="4" t="n"/>
      <c r="AG227" s="4" t="n"/>
      <c r="AH227" s="4" t="n"/>
      <c r="AI227" s="4" t="n"/>
    </row>
    <row r="228" hidden="1" ht="12" customFormat="1" customHeight="1" s="6">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c r="AD228" s="4" t="n"/>
      <c r="AE228" s="4" t="n"/>
      <c r="AF228" s="4" t="n"/>
      <c r="AG228" s="4" t="n"/>
      <c r="AH228" s="4" t="n"/>
      <c r="AI228" s="4" t="n"/>
    </row>
    <row r="229" hidden="1" ht="12" customFormat="1" customHeight="1" s="6">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c r="AD229" s="4" t="n"/>
      <c r="AE229" s="4" t="n"/>
      <c r="AF229" s="4" t="n"/>
      <c r="AG229" s="4" t="n"/>
      <c r="AH229" s="4" t="n"/>
      <c r="AI229" s="4" t="n"/>
    </row>
    <row r="230" hidden="1" ht="12" customFormat="1" customHeight="1" s="6">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c r="AD230" s="4" t="n"/>
      <c r="AE230" s="4" t="n"/>
      <c r="AF230" s="4" t="n"/>
      <c r="AG230" s="4" t="n"/>
      <c r="AH230" s="4" t="n"/>
      <c r="AI230" s="4" t="n"/>
    </row>
    <row r="231" hidden="1" ht="12" customFormat="1" customHeight="1" s="6">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c r="AD231" s="4" t="n"/>
      <c r="AE231" s="4" t="n"/>
      <c r="AF231" s="4" t="n"/>
      <c r="AG231" s="4" t="n"/>
      <c r="AH231" s="4" t="n"/>
      <c r="AI231" s="4" t="n"/>
    </row>
    <row r="232" hidden="1" ht="12" customFormat="1" customHeight="1" s="6">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c r="AC232" s="4" t="n"/>
      <c r="AD232" s="4" t="n"/>
      <c r="AE232" s="4" t="n"/>
      <c r="AF232" s="4" t="n"/>
      <c r="AG232" s="4" t="n"/>
      <c r="AH232" s="4" t="n"/>
      <c r="AI232" s="4" t="n"/>
    </row>
    <row r="233" hidden="1" ht="12" customFormat="1" customHeight="1" s="6">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c r="AC233" s="4" t="n"/>
      <c r="AD233" s="4" t="n"/>
      <c r="AE233" s="4" t="n"/>
      <c r="AF233" s="4" t="n"/>
      <c r="AG233" s="4" t="n"/>
      <c r="AH233" s="4" t="n"/>
      <c r="AI233" s="4" t="n"/>
    </row>
    <row r="234" hidden="1" ht="12" customFormat="1" customHeight="1" s="6">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c r="AC234" s="4" t="n"/>
      <c r="AD234" s="4" t="n"/>
      <c r="AE234" s="4" t="n"/>
      <c r="AF234" s="4" t="n"/>
      <c r="AG234" s="4" t="n"/>
      <c r="AH234" s="4" t="n"/>
      <c r="AI234" s="4" t="n"/>
    </row>
    <row r="235" hidden="1" ht="12" customFormat="1" customHeight="1" s="6">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c r="AD235" s="4" t="n"/>
      <c r="AE235" s="4" t="n"/>
      <c r="AF235" s="4" t="n"/>
      <c r="AG235" s="4" t="n"/>
      <c r="AH235" s="4" t="n"/>
      <c r="AI235" s="4" t="n"/>
    </row>
    <row r="236" hidden="1" ht="12" customFormat="1" customHeight="1" s="6">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c r="AC236" s="4" t="n"/>
      <c r="AD236" s="4" t="n"/>
      <c r="AE236" s="4" t="n"/>
      <c r="AF236" s="4" t="n"/>
      <c r="AG236" s="4" t="n"/>
      <c r="AH236" s="4" t="n"/>
      <c r="AI236" s="4" t="n"/>
    </row>
    <row r="237" hidden="1" ht="12" customFormat="1" customHeight="1" s="6">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c r="AC237" s="4" t="n"/>
      <c r="AD237" s="4" t="n"/>
      <c r="AE237" s="4" t="n"/>
      <c r="AF237" s="4" t="n"/>
      <c r="AG237" s="4" t="n"/>
      <c r="AH237" s="4" t="n"/>
      <c r="AI237" s="4" t="n"/>
    </row>
    <row r="238" hidden="1" ht="12" customFormat="1" customHeight="1" s="6">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c r="AC238" s="4" t="n"/>
      <c r="AD238" s="4" t="n"/>
      <c r="AE238" s="4" t="n"/>
      <c r="AF238" s="4" t="n"/>
      <c r="AG238" s="4" t="n"/>
      <c r="AH238" s="4" t="n"/>
      <c r="AI238" s="4" t="n"/>
    </row>
    <row r="239" hidden="1" ht="12" customFormat="1" customHeight="1" s="6">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c r="AC239" s="4" t="n"/>
      <c r="AD239" s="4" t="n"/>
      <c r="AE239" s="4" t="n"/>
      <c r="AF239" s="4" t="n"/>
      <c r="AG239" s="4" t="n"/>
      <c r="AH239" s="4" t="n"/>
      <c r="AI239" s="4" t="n"/>
    </row>
    <row r="240" hidden="1" ht="12" customFormat="1" customHeight="1" s="6">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c r="AD240" s="4" t="n"/>
      <c r="AE240" s="4" t="n"/>
      <c r="AF240" s="4" t="n"/>
      <c r="AG240" s="4" t="n"/>
      <c r="AH240" s="4" t="n"/>
      <c r="AI240" s="4" t="n"/>
    </row>
    <row r="241" hidden="1" ht="12" customFormat="1" customHeight="1" s="6">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c r="AE241" s="4" t="n"/>
      <c r="AF241" s="4" t="n"/>
      <c r="AG241" s="4" t="n"/>
      <c r="AH241" s="4" t="n"/>
      <c r="AI241" s="4" t="n"/>
    </row>
    <row r="242" hidden="1" ht="12" customFormat="1" customHeight="1" s="6">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c r="AC242" s="4" t="n"/>
      <c r="AD242" s="4" t="n"/>
      <c r="AE242" s="4" t="n"/>
      <c r="AF242" s="4" t="n"/>
      <c r="AG242" s="4" t="n"/>
      <c r="AH242" s="4" t="n"/>
      <c r="AI242" s="4" t="n"/>
    </row>
    <row r="243" hidden="1" ht="12" customFormat="1" customHeight="1" s="6">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c r="AC243" s="4" t="n"/>
      <c r="AD243" s="4" t="n"/>
      <c r="AE243" s="4" t="n"/>
      <c r="AF243" s="4" t="n"/>
      <c r="AG243" s="4" t="n"/>
      <c r="AH243" s="4" t="n"/>
      <c r="AI243" s="4" t="n"/>
    </row>
    <row r="244" hidden="1" ht="12" customFormat="1" customHeight="1" s="6">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c r="AD244" s="4" t="n"/>
      <c r="AE244" s="4" t="n"/>
      <c r="AF244" s="4" t="n"/>
      <c r="AG244" s="4" t="n"/>
      <c r="AH244" s="4" t="n"/>
      <c r="AI244" s="4" t="n"/>
    </row>
    <row r="245" hidden="1" ht="12" customFormat="1" customHeight="1" s="6">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c r="AC245" s="4" t="n"/>
      <c r="AD245" s="4" t="n"/>
      <c r="AE245" s="4" t="n"/>
      <c r="AF245" s="4" t="n"/>
      <c r="AG245" s="4" t="n"/>
      <c r="AH245" s="4" t="n"/>
      <c r="AI245" s="4" t="n"/>
    </row>
    <row r="246" hidden="1" ht="12" customFormat="1" customHeight="1" s="6">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c r="AC246" s="4" t="n"/>
      <c r="AD246" s="4" t="n"/>
      <c r="AE246" s="4" t="n"/>
      <c r="AF246" s="4" t="n"/>
      <c r="AG246" s="4" t="n"/>
      <c r="AH246" s="4" t="n"/>
      <c r="AI246" s="4" t="n"/>
    </row>
    <row r="247" hidden="1" ht="12" customFormat="1" customHeight="1" s="6">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c r="AE247" s="4" t="n"/>
      <c r="AF247" s="4" t="n"/>
      <c r="AG247" s="4" t="n"/>
      <c r="AH247" s="4" t="n"/>
      <c r="AI247" s="4" t="n"/>
    </row>
    <row r="248" hidden="1" ht="12" customFormat="1" customHeight="1" s="6">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c r="AE248" s="4" t="n"/>
      <c r="AF248" s="4" t="n"/>
      <c r="AG248" s="4" t="n"/>
      <c r="AH248" s="4" t="n"/>
      <c r="AI248" s="4" t="n"/>
    </row>
    <row r="249" hidden="1" ht="12" customFormat="1" customHeight="1" s="6">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c r="AE249" s="4" t="n"/>
      <c r="AF249" s="4" t="n"/>
      <c r="AG249" s="4" t="n"/>
      <c r="AH249" s="4" t="n"/>
      <c r="AI249" s="4" t="n"/>
    </row>
    <row r="250" hidden="1" ht="12" customFormat="1" customHeight="1" s="6">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c r="AD250" s="4" t="n"/>
      <c r="AE250" s="4" t="n"/>
      <c r="AF250" s="4" t="n"/>
      <c r="AG250" s="4" t="n"/>
      <c r="AH250" s="4" t="n"/>
      <c r="AI250" s="4" t="n"/>
    </row>
    <row r="251" hidden="1" ht="12" customFormat="1" customHeight="1" s="6">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c r="AD251" s="4" t="n"/>
      <c r="AE251" s="4" t="n"/>
      <c r="AF251" s="4" t="n"/>
      <c r="AG251" s="4" t="n"/>
      <c r="AH251" s="4" t="n"/>
      <c r="AI251" s="4" t="n"/>
    </row>
    <row r="252" hidden="1" ht="12" customFormat="1" customHeight="1" s="6">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c r="AD252" s="4" t="n"/>
      <c r="AE252" s="4" t="n"/>
      <c r="AF252" s="4" t="n"/>
      <c r="AG252" s="4" t="n"/>
      <c r="AH252" s="4" t="n"/>
      <c r="AI252" s="4" t="n"/>
    </row>
    <row r="253" hidden="1" ht="12" customFormat="1" customHeight="1" s="6">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c r="AE253" s="4" t="n"/>
      <c r="AF253" s="4" t="n"/>
      <c r="AG253" s="4" t="n"/>
      <c r="AH253" s="4" t="n"/>
      <c r="AI253" s="4" t="n"/>
    </row>
    <row r="254" hidden="1" ht="12" customFormat="1" customHeight="1" s="6">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c r="AD254" s="4" t="n"/>
      <c r="AE254" s="4" t="n"/>
      <c r="AF254" s="4" t="n"/>
      <c r="AG254" s="4" t="n"/>
      <c r="AH254" s="4" t="n"/>
      <c r="AI254" s="4" t="n"/>
    </row>
    <row r="255" hidden="1" ht="12" customFormat="1" customHeight="1" s="6">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c r="AC255" s="4" t="n"/>
      <c r="AD255" s="4" t="n"/>
      <c r="AE255" s="4" t="n"/>
      <c r="AF255" s="4" t="n"/>
      <c r="AG255" s="4" t="n"/>
      <c r="AH255" s="4" t="n"/>
      <c r="AI255" s="4" t="n"/>
    </row>
    <row r="256" hidden="1" ht="12" customFormat="1" customHeight="1" s="6">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c r="AC256" s="4" t="n"/>
      <c r="AD256" s="4" t="n"/>
      <c r="AE256" s="4" t="n"/>
      <c r="AF256" s="4" t="n"/>
      <c r="AG256" s="4" t="n"/>
      <c r="AH256" s="4" t="n"/>
      <c r="AI256" s="4" t="n"/>
    </row>
    <row r="257" hidden="1" ht="12" customFormat="1" customHeight="1" s="6">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c r="AD257" s="4" t="n"/>
      <c r="AE257" s="4" t="n"/>
      <c r="AF257" s="4" t="n"/>
      <c r="AG257" s="4" t="n"/>
      <c r="AH257" s="4" t="n"/>
      <c r="AI257" s="4" t="n"/>
    </row>
    <row r="258" hidden="1" ht="12" customFormat="1" customHeight="1" s="6">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c r="AE258" s="4" t="n"/>
      <c r="AF258" s="4" t="n"/>
      <c r="AG258" s="4" t="n"/>
      <c r="AH258" s="4" t="n"/>
      <c r="AI258" s="4" t="n"/>
    </row>
    <row r="259" hidden="1" ht="12" customFormat="1" customHeight="1" s="6">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c r="AD259" s="4" t="n"/>
      <c r="AE259" s="4" t="n"/>
      <c r="AF259" s="4" t="n"/>
      <c r="AG259" s="4" t="n"/>
      <c r="AH259" s="4" t="n"/>
      <c r="AI259" s="4" t="n"/>
    </row>
    <row r="260" hidden="1" ht="12" customFormat="1" customHeight="1" s="6">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c r="AD260" s="4" t="n"/>
      <c r="AE260" s="4" t="n"/>
      <c r="AF260" s="4" t="n"/>
      <c r="AG260" s="4" t="n"/>
      <c r="AH260" s="4" t="n"/>
      <c r="AI260" s="4" t="n"/>
    </row>
    <row r="261" hidden="1" ht="12" customFormat="1" customHeight="1" s="6">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c r="AD261" s="4" t="n"/>
      <c r="AE261" s="4" t="n"/>
      <c r="AF261" s="4" t="n"/>
      <c r="AG261" s="4" t="n"/>
      <c r="AH261" s="4" t="n"/>
      <c r="AI261" s="4" t="n"/>
    </row>
    <row r="262" hidden="1" ht="12" customFormat="1" customHeight="1" s="6">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c r="AE262" s="4" t="n"/>
      <c r="AF262" s="4" t="n"/>
      <c r="AG262" s="4" t="n"/>
      <c r="AH262" s="4" t="n"/>
      <c r="AI262" s="4" t="n"/>
    </row>
    <row r="263" hidden="1" ht="12" customFormat="1" customHeight="1" s="6">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c r="AD263" s="4" t="n"/>
      <c r="AE263" s="4" t="n"/>
      <c r="AF263" s="4" t="n"/>
      <c r="AG263" s="4" t="n"/>
      <c r="AH263" s="4" t="n"/>
      <c r="AI263" s="4" t="n"/>
    </row>
    <row r="264" hidden="1" ht="12" customFormat="1" customHeight="1" s="6">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c r="AE264" s="4" t="n"/>
      <c r="AF264" s="4" t="n"/>
      <c r="AG264" s="4" t="n"/>
      <c r="AH264" s="4" t="n"/>
      <c r="AI264" s="4" t="n"/>
    </row>
    <row r="265" hidden="1" ht="12" customFormat="1" customHeight="1" s="6">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c r="AD265" s="4" t="n"/>
      <c r="AE265" s="4" t="n"/>
      <c r="AF265" s="4" t="n"/>
      <c r="AG265" s="4" t="n"/>
      <c r="AH265" s="4" t="n"/>
      <c r="AI265" s="4" t="n"/>
    </row>
    <row r="266" hidden="1" ht="12" customFormat="1" customHeight="1" s="6">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c r="AD266" s="4" t="n"/>
      <c r="AE266" s="4" t="n"/>
      <c r="AF266" s="4" t="n"/>
      <c r="AG266" s="4" t="n"/>
      <c r="AH266" s="4" t="n"/>
      <c r="AI266" s="4" t="n"/>
    </row>
    <row r="267" hidden="1" ht="12" customFormat="1" customHeight="1" s="6">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c r="AC267" s="4" t="n"/>
      <c r="AD267" s="4" t="n"/>
      <c r="AE267" s="4" t="n"/>
      <c r="AF267" s="4" t="n"/>
      <c r="AG267" s="4" t="n"/>
      <c r="AH267" s="4" t="n"/>
      <c r="AI267" s="4" t="n"/>
    </row>
    <row r="268" hidden="1" ht="12" customFormat="1" customHeight="1" s="6">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c r="AE268" s="4" t="n"/>
      <c r="AF268" s="4" t="n"/>
      <c r="AG268" s="4" t="n"/>
      <c r="AH268" s="4" t="n"/>
      <c r="AI268" s="4" t="n"/>
    </row>
    <row r="269" hidden="1" ht="12" customFormat="1" customHeight="1" s="6">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c r="AE269" s="4" t="n"/>
      <c r="AF269" s="4" t="n"/>
      <c r="AG269" s="4" t="n"/>
      <c r="AH269" s="4" t="n"/>
      <c r="AI269" s="4" t="n"/>
    </row>
    <row r="270" hidden="1" ht="12" customFormat="1" customHeight="1" s="6">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c r="AE270" s="4" t="n"/>
      <c r="AF270" s="4" t="n"/>
      <c r="AG270" s="4" t="n"/>
      <c r="AH270" s="4" t="n"/>
      <c r="AI270" s="4" t="n"/>
    </row>
    <row r="271" hidden="1" ht="12" customFormat="1" customHeight="1" s="6">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c r="AE271" s="4" t="n"/>
      <c r="AF271" s="4" t="n"/>
      <c r="AG271" s="4" t="n"/>
      <c r="AH271" s="4" t="n"/>
      <c r="AI271" s="4" t="n"/>
    </row>
    <row r="272" hidden="1" ht="12" customFormat="1" customHeight="1" s="6">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c r="AD272" s="4" t="n"/>
      <c r="AE272" s="4" t="n"/>
      <c r="AF272" s="4" t="n"/>
      <c r="AG272" s="4" t="n"/>
      <c r="AH272" s="4" t="n"/>
      <c r="AI272" s="4" t="n"/>
    </row>
    <row r="273" hidden="1" ht="12" customFormat="1" customHeight="1" s="6">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c r="AE273" s="4" t="n"/>
      <c r="AF273" s="4" t="n"/>
      <c r="AG273" s="4" t="n"/>
      <c r="AH273" s="4" t="n"/>
      <c r="AI273" s="4" t="n"/>
    </row>
    <row r="274" hidden="1" ht="12" customFormat="1" customHeight="1" s="6">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c r="AC274" s="4" t="n"/>
      <c r="AD274" s="4" t="n"/>
      <c r="AE274" s="4" t="n"/>
      <c r="AF274" s="4" t="n"/>
      <c r="AG274" s="4" t="n"/>
      <c r="AH274" s="4" t="n"/>
      <c r="AI274" s="4" t="n"/>
    </row>
    <row r="275" hidden="1" ht="12" customFormat="1" customHeight="1" s="6">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c r="AE275" s="4" t="n"/>
      <c r="AF275" s="4" t="n"/>
      <c r="AG275" s="4" t="n"/>
      <c r="AH275" s="4" t="n"/>
      <c r="AI275" s="4" t="n"/>
    </row>
    <row r="276" hidden="1" ht="12" customFormat="1" customHeight="1" s="6">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c r="AE276" s="4" t="n"/>
      <c r="AF276" s="4" t="n"/>
      <c r="AG276" s="4" t="n"/>
      <c r="AH276" s="4" t="n"/>
      <c r="AI276" s="4" t="n"/>
    </row>
    <row r="277" hidden="1" ht="12" customFormat="1" customHeight="1" s="6">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c r="AE277" s="4" t="n"/>
      <c r="AF277" s="4" t="n"/>
      <c r="AG277" s="4" t="n"/>
      <c r="AH277" s="4" t="n"/>
      <c r="AI277" s="4" t="n"/>
    </row>
    <row r="278" hidden="1" ht="12" customFormat="1" customHeight="1" s="6">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c r="AD278" s="4" t="n"/>
      <c r="AE278" s="4" t="n"/>
      <c r="AF278" s="4" t="n"/>
      <c r="AG278" s="4" t="n"/>
      <c r="AH278" s="4" t="n"/>
      <c r="AI278" s="4" t="n"/>
    </row>
    <row r="279" hidden="1" ht="12" customFormat="1" customHeight="1" s="6">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c r="AC279" s="4" t="n"/>
      <c r="AD279" s="4" t="n"/>
      <c r="AE279" s="4" t="n"/>
      <c r="AF279" s="4" t="n"/>
      <c r="AG279" s="4" t="n"/>
      <c r="AH279" s="4" t="n"/>
      <c r="AI279" s="4" t="n"/>
    </row>
    <row r="280" hidden="1" ht="12" customFormat="1" customHeight="1" s="6">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c r="AE280" s="4" t="n"/>
      <c r="AF280" s="4" t="n"/>
      <c r="AG280" s="4" t="n"/>
      <c r="AH280" s="4" t="n"/>
      <c r="AI280" s="4" t="n"/>
    </row>
    <row r="281" hidden="1" ht="12" customFormat="1" customHeight="1" s="6">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c r="AE281" s="4" t="n"/>
      <c r="AF281" s="4" t="n"/>
      <c r="AG281" s="4" t="n"/>
      <c r="AH281" s="4" t="n"/>
      <c r="AI281" s="4" t="n"/>
    </row>
    <row r="282" hidden="1" ht="12" customFormat="1" customHeight="1" s="6">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c r="AC282" s="4" t="n"/>
      <c r="AD282" s="4" t="n"/>
      <c r="AE282" s="4" t="n"/>
      <c r="AF282" s="4" t="n"/>
      <c r="AG282" s="4" t="n"/>
      <c r="AH282" s="4" t="n"/>
      <c r="AI282" s="4" t="n"/>
    </row>
    <row r="283" hidden="1" ht="12" customFormat="1" customHeight="1" s="6">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c r="AE283" s="4" t="n"/>
      <c r="AF283" s="4" t="n"/>
      <c r="AG283" s="4" t="n"/>
      <c r="AH283" s="4" t="n"/>
      <c r="AI283" s="4" t="n"/>
    </row>
    <row r="284" hidden="1" ht="12" customFormat="1" customHeight="1" s="6">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c r="AE284" s="4" t="n"/>
      <c r="AF284" s="4" t="n"/>
      <c r="AG284" s="4" t="n"/>
      <c r="AH284" s="4" t="n"/>
      <c r="AI284" s="4" t="n"/>
    </row>
    <row r="285" hidden="1" ht="12" customFormat="1" customHeight="1" s="6">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c r="AE285" s="4" t="n"/>
      <c r="AF285" s="4" t="n"/>
      <c r="AG285" s="4" t="n"/>
      <c r="AH285" s="4" t="n"/>
      <c r="AI285" s="4" t="n"/>
    </row>
    <row r="286" hidden="1" ht="12" customFormat="1" customHeight="1" s="6">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c r="AE286" s="4" t="n"/>
      <c r="AF286" s="4" t="n"/>
      <c r="AG286" s="4" t="n"/>
      <c r="AH286" s="4" t="n"/>
      <c r="AI286" s="4" t="n"/>
    </row>
    <row r="287" hidden="1" ht="12" customFormat="1" customHeight="1" s="6">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c r="AC287" s="4" t="n"/>
      <c r="AD287" s="4" t="n"/>
      <c r="AE287" s="4" t="n"/>
      <c r="AF287" s="4" t="n"/>
      <c r="AG287" s="4" t="n"/>
      <c r="AH287" s="4" t="n"/>
      <c r="AI287" s="4" t="n"/>
    </row>
    <row r="288" hidden="1" ht="12" customFormat="1" customHeight="1" s="6">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c r="AD288" s="4" t="n"/>
      <c r="AE288" s="4" t="n"/>
      <c r="AF288" s="4" t="n"/>
      <c r="AG288" s="4" t="n"/>
      <c r="AH288" s="4" t="n"/>
      <c r="AI288" s="4" t="n"/>
    </row>
    <row r="289" hidden="1" ht="12" customFormat="1" customHeight="1" s="6">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c r="AE289" s="4" t="n"/>
      <c r="AF289" s="4" t="n"/>
      <c r="AG289" s="4" t="n"/>
      <c r="AH289" s="4" t="n"/>
      <c r="AI289" s="4" t="n"/>
    </row>
    <row r="290" hidden="1" ht="12" customFormat="1" customHeight="1" s="6">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c r="AE290" s="4" t="n"/>
      <c r="AF290" s="4" t="n"/>
      <c r="AG290" s="4" t="n"/>
      <c r="AH290" s="4" t="n"/>
      <c r="AI290" s="4" t="n"/>
    </row>
    <row r="291" hidden="1" ht="12" customFormat="1" customHeight="1" s="6">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c r="AE291" s="4" t="n"/>
      <c r="AF291" s="4" t="n"/>
      <c r="AG291" s="4" t="n"/>
      <c r="AH291" s="4" t="n"/>
      <c r="AI291" s="4" t="n"/>
    </row>
    <row r="292" hidden="1" ht="12" customFormat="1" customHeight="1" s="6">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c r="AE292" s="4" t="n"/>
      <c r="AF292" s="4" t="n"/>
      <c r="AG292" s="4" t="n"/>
      <c r="AH292" s="4" t="n"/>
      <c r="AI292" s="4" t="n"/>
    </row>
    <row r="293" hidden="1" ht="12" customFormat="1" customHeight="1" s="6">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c r="AC293" s="4" t="n"/>
      <c r="AD293" s="4" t="n"/>
      <c r="AE293" s="4" t="n"/>
      <c r="AF293" s="4" t="n"/>
      <c r="AG293" s="4" t="n"/>
      <c r="AH293" s="4" t="n"/>
      <c r="AI293" s="4" t="n"/>
    </row>
    <row r="294" hidden="1" ht="12" customFormat="1" customHeight="1" s="6">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c r="AE294" s="4" t="n"/>
      <c r="AF294" s="4" t="n"/>
      <c r="AG294" s="4" t="n"/>
      <c r="AH294" s="4" t="n"/>
      <c r="AI294" s="4" t="n"/>
    </row>
    <row r="295" hidden="1" ht="12" customFormat="1" customHeight="1" s="6">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c r="AC295" s="4" t="n"/>
      <c r="AD295" s="4" t="n"/>
      <c r="AE295" s="4" t="n"/>
      <c r="AF295" s="4" t="n"/>
      <c r="AG295" s="4" t="n"/>
      <c r="AH295" s="4" t="n"/>
      <c r="AI295" s="4" t="n"/>
    </row>
    <row r="296" hidden="1" ht="12" customFormat="1" customHeight="1" s="6">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c r="AE296" s="4" t="n"/>
      <c r="AF296" s="4" t="n"/>
      <c r="AG296" s="4" t="n"/>
      <c r="AH296" s="4" t="n"/>
      <c r="AI296" s="4" t="n"/>
    </row>
    <row r="297" hidden="1" ht="12" customFormat="1" customHeight="1" s="6">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c r="AC297" s="4" t="n"/>
      <c r="AD297" s="4" t="n"/>
      <c r="AE297" s="4" t="n"/>
      <c r="AF297" s="4" t="n"/>
      <c r="AG297" s="4" t="n"/>
      <c r="AH297" s="4" t="n"/>
      <c r="AI297" s="4" t="n"/>
    </row>
    <row r="298" hidden="1" ht="12" customFormat="1" customHeight="1" s="6">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c r="AC298" s="4" t="n"/>
      <c r="AD298" s="4" t="n"/>
      <c r="AE298" s="4" t="n"/>
      <c r="AF298" s="4" t="n"/>
      <c r="AG298" s="4" t="n"/>
      <c r="AH298" s="4" t="n"/>
      <c r="AI298" s="4" t="n"/>
    </row>
    <row r="299" hidden="1" ht="12" customFormat="1" customHeight="1" s="6">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c r="AE299" s="4" t="n"/>
      <c r="AF299" s="4" t="n"/>
      <c r="AG299" s="4" t="n"/>
      <c r="AH299" s="4" t="n"/>
      <c r="AI299" s="4" t="n"/>
    </row>
    <row r="300" hidden="1" ht="12" customFormat="1" customHeight="1" s="6">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c r="AE300" s="4" t="n"/>
      <c r="AF300" s="4" t="n"/>
      <c r="AG300" s="4" t="n"/>
      <c r="AH300" s="4" t="n"/>
      <c r="AI300" s="4" t="n"/>
    </row>
    <row r="301" hidden="1" ht="12" customFormat="1" customHeight="1" s="6">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c r="AC301" s="4" t="n"/>
      <c r="AD301" s="4" t="n"/>
      <c r="AE301" s="4" t="n"/>
      <c r="AF301" s="4" t="n"/>
      <c r="AG301" s="4" t="n"/>
      <c r="AH301" s="4" t="n"/>
      <c r="AI301" s="4" t="n"/>
    </row>
    <row r="302" hidden="1" ht="12" customFormat="1" customHeight="1" s="6">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c r="AE302" s="4" t="n"/>
      <c r="AF302" s="4" t="n"/>
      <c r="AG302" s="4" t="n"/>
      <c r="AH302" s="4" t="n"/>
      <c r="AI302" s="4" t="n"/>
    </row>
    <row r="303" hidden="1" ht="12" customFormat="1" customHeight="1" s="6">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c r="AD303" s="4" t="n"/>
      <c r="AE303" s="4" t="n"/>
      <c r="AF303" s="4" t="n"/>
      <c r="AG303" s="4" t="n"/>
      <c r="AH303" s="4" t="n"/>
      <c r="AI303" s="4" t="n"/>
    </row>
    <row r="304" hidden="1" ht="12" customFormat="1" customHeight="1" s="6">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c r="AE304" s="4" t="n"/>
      <c r="AF304" s="4" t="n"/>
      <c r="AG304" s="4" t="n"/>
      <c r="AH304" s="4" t="n"/>
      <c r="AI304" s="4" t="n"/>
    </row>
    <row r="305" hidden="1" ht="12" customFormat="1" customHeight="1" s="6">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c r="AE305" s="4" t="n"/>
      <c r="AF305" s="4" t="n"/>
      <c r="AG305" s="4" t="n"/>
      <c r="AH305" s="4" t="n"/>
      <c r="AI305" s="4" t="n"/>
    </row>
    <row r="306" hidden="1" ht="12" customFormat="1" customHeight="1" s="6">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c r="AE306" s="4" t="n"/>
      <c r="AF306" s="4" t="n"/>
      <c r="AG306" s="4" t="n"/>
      <c r="AH306" s="4" t="n"/>
      <c r="AI306" s="4" t="n"/>
    </row>
    <row r="307" hidden="1" ht="12" customFormat="1" customHeight="1" s="6">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c r="AE307" s="4" t="n"/>
      <c r="AF307" s="4" t="n"/>
      <c r="AG307" s="4" t="n"/>
      <c r="AH307" s="4" t="n"/>
      <c r="AI307" s="4" t="n"/>
    </row>
    <row r="308" hidden="1" ht="12" customFormat="1" customHeight="1" s="6">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c r="AC308" s="4" t="n"/>
      <c r="AD308" s="4" t="n"/>
      <c r="AE308" s="4" t="n"/>
      <c r="AF308" s="4" t="n"/>
      <c r="AG308" s="4" t="n"/>
      <c r="AH308" s="4" t="n"/>
      <c r="AI308" s="4" t="n"/>
    </row>
    <row r="309" hidden="1" ht="12" customFormat="1" customHeight="1" s="6">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c r="AC309" s="4" t="n"/>
      <c r="AD309" s="4" t="n"/>
      <c r="AE309" s="4" t="n"/>
      <c r="AF309" s="4" t="n"/>
      <c r="AG309" s="4" t="n"/>
      <c r="AH309" s="4" t="n"/>
      <c r="AI309" s="4" t="n"/>
    </row>
    <row r="310" hidden="1" ht="12" customFormat="1" customHeight="1" s="6">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c r="AE310" s="4" t="n"/>
      <c r="AF310" s="4" t="n"/>
      <c r="AG310" s="4" t="n"/>
      <c r="AH310" s="4" t="n"/>
      <c r="AI310" s="4" t="n"/>
    </row>
    <row r="311" hidden="1" ht="12" customFormat="1" customHeight="1" s="6">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c r="AE311" s="4" t="n"/>
      <c r="AF311" s="4" t="n"/>
      <c r="AG311" s="4" t="n"/>
      <c r="AH311" s="4" t="n"/>
      <c r="AI311" s="4" t="n"/>
    </row>
    <row r="312" hidden="1" ht="12" customFormat="1" customHeight="1" s="6">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c r="AC312" s="4" t="n"/>
      <c r="AD312" s="4" t="n"/>
      <c r="AE312" s="4" t="n"/>
      <c r="AF312" s="4" t="n"/>
      <c r="AG312" s="4" t="n"/>
      <c r="AH312" s="4" t="n"/>
      <c r="AI312" s="4" t="n"/>
    </row>
    <row r="313" hidden="1" ht="12" customFormat="1" customHeight="1" s="6">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c r="AC313" s="4" t="n"/>
      <c r="AD313" s="4" t="n"/>
      <c r="AE313" s="4" t="n"/>
      <c r="AF313" s="4" t="n"/>
      <c r="AG313" s="4" t="n"/>
      <c r="AH313" s="4" t="n"/>
      <c r="AI313" s="4" t="n"/>
    </row>
    <row r="314" hidden="1" ht="12" customFormat="1" customHeight="1" s="6">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c r="AC314" s="4" t="n"/>
      <c r="AD314" s="4" t="n"/>
      <c r="AE314" s="4" t="n"/>
      <c r="AF314" s="4" t="n"/>
      <c r="AG314" s="4" t="n"/>
      <c r="AH314" s="4" t="n"/>
      <c r="AI314" s="4" t="n"/>
    </row>
    <row r="315" hidden="1" ht="12" customFormat="1" customHeight="1" s="6">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c r="AC315" s="4" t="n"/>
      <c r="AD315" s="4" t="n"/>
      <c r="AE315" s="4" t="n"/>
      <c r="AF315" s="4" t="n"/>
      <c r="AG315" s="4" t="n"/>
      <c r="AH315" s="4" t="n"/>
      <c r="AI315" s="4" t="n"/>
    </row>
    <row r="316" hidden="1" ht="12" customFormat="1" customHeight="1" s="6">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c r="AE316" s="4" t="n"/>
      <c r="AF316" s="4" t="n"/>
      <c r="AG316" s="4" t="n"/>
      <c r="AH316" s="4" t="n"/>
      <c r="AI316" s="4" t="n"/>
    </row>
    <row r="317" hidden="1" ht="12" customFormat="1" customHeight="1" s="6">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c r="AD317" s="4" t="n"/>
      <c r="AE317" s="4" t="n"/>
      <c r="AF317" s="4" t="n"/>
      <c r="AG317" s="4" t="n"/>
      <c r="AH317" s="4" t="n"/>
      <c r="AI317" s="4" t="n"/>
    </row>
    <row r="318" hidden="1" ht="12" customFormat="1" customHeight="1" s="6">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c r="AE318" s="4" t="n"/>
      <c r="AF318" s="4" t="n"/>
      <c r="AG318" s="4" t="n"/>
      <c r="AH318" s="4" t="n"/>
      <c r="AI318" s="4" t="n"/>
    </row>
    <row r="319" hidden="1" ht="12" customFormat="1" customHeight="1" s="6">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c r="AC319" s="4" t="n"/>
      <c r="AD319" s="4" t="n"/>
      <c r="AE319" s="4" t="n"/>
      <c r="AF319" s="4" t="n"/>
      <c r="AG319" s="4" t="n"/>
      <c r="AH319" s="4" t="n"/>
      <c r="AI319" s="4" t="n"/>
    </row>
    <row r="320" hidden="1" ht="12" customFormat="1" customHeight="1" s="6">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c r="AC320" s="4" t="n"/>
      <c r="AD320" s="4" t="n"/>
      <c r="AE320" s="4" t="n"/>
      <c r="AF320" s="4" t="n"/>
      <c r="AG320" s="4" t="n"/>
      <c r="AH320" s="4" t="n"/>
      <c r="AI320" s="4" t="n"/>
    </row>
    <row r="321" hidden="1" ht="12" customFormat="1" customHeight="1" s="6">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c r="AC321" s="4" t="n"/>
      <c r="AD321" s="4" t="n"/>
      <c r="AE321" s="4" t="n"/>
      <c r="AF321" s="4" t="n"/>
      <c r="AG321" s="4" t="n"/>
      <c r="AH321" s="4" t="n"/>
      <c r="AI321" s="4" t="n"/>
    </row>
    <row r="322" hidden="1" ht="12" customFormat="1" customHeight="1" s="6">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c r="AC322" s="4" t="n"/>
      <c r="AD322" s="4" t="n"/>
      <c r="AE322" s="4" t="n"/>
      <c r="AF322" s="4" t="n"/>
      <c r="AG322" s="4" t="n"/>
      <c r="AH322" s="4" t="n"/>
      <c r="AI322" s="4" t="n"/>
    </row>
    <row r="323" hidden="1" ht="12" customFormat="1" customHeight="1" s="6">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c r="AD323" s="4" t="n"/>
      <c r="AE323" s="4" t="n"/>
      <c r="AF323" s="4" t="n"/>
      <c r="AG323" s="4" t="n"/>
      <c r="AH323" s="4" t="n"/>
      <c r="AI323" s="4" t="n"/>
    </row>
    <row r="324" hidden="1" ht="12" customFormat="1" customHeight="1" s="6">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c r="AC324" s="4" t="n"/>
      <c r="AD324" s="4" t="n"/>
      <c r="AE324" s="4" t="n"/>
      <c r="AF324" s="4" t="n"/>
      <c r="AG324" s="4" t="n"/>
      <c r="AH324" s="4" t="n"/>
      <c r="AI324" s="4" t="n"/>
    </row>
    <row r="325" hidden="1" ht="12" customFormat="1" customHeight="1" s="6">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c r="AE325" s="4" t="n"/>
      <c r="AF325" s="4" t="n"/>
      <c r="AG325" s="4" t="n"/>
      <c r="AH325" s="4" t="n"/>
      <c r="AI325" s="4" t="n"/>
    </row>
    <row r="326" hidden="1" ht="12" customFormat="1" customHeight="1" s="6">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c r="AD326" s="4" t="n"/>
      <c r="AE326" s="4" t="n"/>
      <c r="AF326" s="4" t="n"/>
      <c r="AG326" s="4" t="n"/>
      <c r="AH326" s="4" t="n"/>
      <c r="AI326" s="4" t="n"/>
    </row>
    <row r="327" hidden="1" ht="12" customFormat="1" customHeight="1" s="6">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c r="AE327" s="4" t="n"/>
      <c r="AF327" s="4" t="n"/>
      <c r="AG327" s="4" t="n"/>
      <c r="AH327" s="4" t="n"/>
      <c r="AI327" s="4" t="n"/>
    </row>
    <row r="328" hidden="1" ht="12" customFormat="1" customHeight="1" s="6">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c r="AC328" s="4" t="n"/>
      <c r="AD328" s="4" t="n"/>
      <c r="AE328" s="4" t="n"/>
      <c r="AF328" s="4" t="n"/>
      <c r="AG328" s="4" t="n"/>
      <c r="AH328" s="4" t="n"/>
      <c r="AI328" s="4" t="n"/>
    </row>
    <row r="329" hidden="1" ht="12" customFormat="1" customHeight="1" s="6">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c r="AE329" s="4" t="n"/>
      <c r="AF329" s="4" t="n"/>
      <c r="AG329" s="4" t="n"/>
      <c r="AH329" s="4" t="n"/>
      <c r="AI329" s="4" t="n"/>
    </row>
    <row r="330" hidden="1" ht="12" customFormat="1" customHeight="1" s="6">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c r="AE330" s="4" t="n"/>
      <c r="AF330" s="4" t="n"/>
      <c r="AG330" s="4" t="n"/>
      <c r="AH330" s="4" t="n"/>
      <c r="AI330" s="4" t="n"/>
    </row>
    <row r="331" hidden="1" ht="12" customFormat="1" customHeight="1" s="6">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c r="AD331" s="4" t="n"/>
      <c r="AE331" s="4" t="n"/>
      <c r="AF331" s="4" t="n"/>
      <c r="AG331" s="4" t="n"/>
      <c r="AH331" s="4" t="n"/>
      <c r="AI331" s="4" t="n"/>
    </row>
    <row r="332" hidden="1" ht="12" customFormat="1" customHeight="1" s="6">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c r="AE332" s="4" t="n"/>
      <c r="AF332" s="4" t="n"/>
      <c r="AG332" s="4" t="n"/>
      <c r="AH332" s="4" t="n"/>
      <c r="AI332" s="4" t="n"/>
    </row>
    <row r="333" hidden="1" ht="12" customFormat="1" customHeight="1" s="6">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c r="AE333" s="4" t="n"/>
      <c r="AF333" s="4" t="n"/>
      <c r="AG333" s="4" t="n"/>
      <c r="AH333" s="4" t="n"/>
      <c r="AI333" s="4" t="n"/>
    </row>
    <row r="334" hidden="1" ht="12" customFormat="1" customHeight="1" s="6">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c r="AE334" s="4" t="n"/>
      <c r="AF334" s="4" t="n"/>
      <c r="AG334" s="4" t="n"/>
      <c r="AH334" s="4" t="n"/>
      <c r="AI334" s="4" t="n"/>
    </row>
    <row r="335" hidden="1" ht="12" customFormat="1" customHeight="1" s="6">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c r="AD335" s="4" t="n"/>
      <c r="AE335" s="4" t="n"/>
      <c r="AF335" s="4" t="n"/>
      <c r="AG335" s="4" t="n"/>
      <c r="AH335" s="4" t="n"/>
      <c r="AI335" s="4" t="n"/>
    </row>
    <row r="336" hidden="1" ht="12" customFormat="1" customHeight="1" s="6">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c r="AE336" s="4" t="n"/>
      <c r="AF336" s="4" t="n"/>
      <c r="AG336" s="4" t="n"/>
      <c r="AH336" s="4" t="n"/>
      <c r="AI336" s="4" t="n"/>
    </row>
    <row r="337" hidden="1" ht="12" customFormat="1" customHeight="1" s="6">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c r="AC337" s="4" t="n"/>
      <c r="AD337" s="4" t="n"/>
      <c r="AE337" s="4" t="n"/>
      <c r="AF337" s="4" t="n"/>
      <c r="AG337" s="4" t="n"/>
      <c r="AH337" s="4" t="n"/>
      <c r="AI337" s="4" t="n"/>
    </row>
    <row r="338" hidden="1" ht="12" customFormat="1" customHeight="1" s="6">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c r="AD338" s="4" t="n"/>
      <c r="AE338" s="4" t="n"/>
      <c r="AF338" s="4" t="n"/>
      <c r="AG338" s="4" t="n"/>
      <c r="AH338" s="4" t="n"/>
      <c r="AI338" s="4" t="n"/>
    </row>
    <row r="339" hidden="1" ht="12" customFormat="1" customHeight="1" s="6">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c r="AC339" s="4" t="n"/>
      <c r="AD339" s="4" t="n"/>
      <c r="AE339" s="4" t="n"/>
      <c r="AF339" s="4" t="n"/>
      <c r="AG339" s="4" t="n"/>
      <c r="AH339" s="4" t="n"/>
      <c r="AI339" s="4" t="n"/>
    </row>
    <row r="340" hidden="1" ht="12" customFormat="1" customHeight="1" s="6">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c r="AC340" s="4" t="n"/>
      <c r="AD340" s="4" t="n"/>
      <c r="AE340" s="4" t="n"/>
      <c r="AF340" s="4" t="n"/>
      <c r="AG340" s="4" t="n"/>
      <c r="AH340" s="4" t="n"/>
      <c r="AI340" s="4" t="n"/>
    </row>
    <row r="341" hidden="1" ht="12" customFormat="1" customHeight="1" s="6">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c r="AD341" s="4" t="n"/>
      <c r="AE341" s="4" t="n"/>
      <c r="AF341" s="4" t="n"/>
      <c r="AG341" s="4" t="n"/>
      <c r="AH341" s="4" t="n"/>
      <c r="AI341" s="4" t="n"/>
    </row>
    <row r="342" hidden="1" ht="12" customFormat="1" customHeight="1" s="6">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c r="AD342" s="4" t="n"/>
      <c r="AE342" s="4" t="n"/>
      <c r="AF342" s="4" t="n"/>
      <c r="AG342" s="4" t="n"/>
      <c r="AH342" s="4" t="n"/>
      <c r="AI342" s="4" t="n"/>
    </row>
    <row r="343" hidden="1" ht="12" customFormat="1" customHeight="1" s="6">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c r="AD343" s="4" t="n"/>
      <c r="AE343" s="4" t="n"/>
      <c r="AF343" s="4" t="n"/>
      <c r="AG343" s="4" t="n"/>
      <c r="AH343" s="4" t="n"/>
      <c r="AI343" s="4" t="n"/>
    </row>
    <row r="344" hidden="1" ht="12" customFormat="1" customHeight="1" s="6">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c r="AD344" s="4" t="n"/>
      <c r="AE344" s="4" t="n"/>
      <c r="AF344" s="4" t="n"/>
      <c r="AG344" s="4" t="n"/>
      <c r="AH344" s="4" t="n"/>
      <c r="AI344" s="4" t="n"/>
    </row>
    <row r="345" hidden="1" ht="12" customFormat="1" customHeight="1" s="6">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c r="AE345" s="4" t="n"/>
      <c r="AF345" s="4" t="n"/>
      <c r="AG345" s="4" t="n"/>
      <c r="AH345" s="4" t="n"/>
      <c r="AI345" s="4" t="n"/>
    </row>
    <row r="346" hidden="1" ht="12" customFormat="1" customHeight="1" s="6">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c r="AE346" s="4" t="n"/>
      <c r="AF346" s="4" t="n"/>
      <c r="AG346" s="4" t="n"/>
      <c r="AH346" s="4" t="n"/>
      <c r="AI346" s="4" t="n"/>
    </row>
    <row r="347" hidden="1" ht="12" customFormat="1" customHeight="1" s="6">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c r="AD347" s="4" t="n"/>
      <c r="AE347" s="4" t="n"/>
      <c r="AF347" s="4" t="n"/>
      <c r="AG347" s="4" t="n"/>
      <c r="AH347" s="4" t="n"/>
      <c r="AI347" s="4" t="n"/>
    </row>
    <row r="348" hidden="1" ht="12" customFormat="1" customHeight="1" s="6">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c r="AC348" s="4" t="n"/>
      <c r="AD348" s="4" t="n"/>
      <c r="AE348" s="4" t="n"/>
      <c r="AF348" s="4" t="n"/>
      <c r="AG348" s="4" t="n"/>
      <c r="AH348" s="4" t="n"/>
      <c r="AI348" s="4" t="n"/>
    </row>
    <row r="349" hidden="1" ht="12" customFormat="1" customHeight="1" s="6">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c r="AE349" s="4" t="n"/>
      <c r="AF349" s="4" t="n"/>
      <c r="AG349" s="4" t="n"/>
      <c r="AH349" s="4" t="n"/>
      <c r="AI349" s="4" t="n"/>
    </row>
    <row r="350" hidden="1" ht="12" customFormat="1" customHeight="1" s="6">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c r="AE350" s="4" t="n"/>
      <c r="AF350" s="4" t="n"/>
      <c r="AG350" s="4" t="n"/>
      <c r="AH350" s="4" t="n"/>
      <c r="AI350" s="4" t="n"/>
    </row>
    <row r="351" hidden="1" ht="12" customFormat="1" customHeight="1" s="6">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c r="AF351" s="4" t="n"/>
      <c r="AG351" s="4" t="n"/>
      <c r="AH351" s="4" t="n"/>
      <c r="AI351" s="4" t="n"/>
    </row>
    <row r="352" hidden="1" ht="12" customFormat="1" customHeight="1" s="6">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c r="AC352" s="4" t="n"/>
      <c r="AD352" s="4" t="n"/>
      <c r="AE352" s="4" t="n"/>
      <c r="AF352" s="4" t="n"/>
      <c r="AG352" s="4" t="n"/>
      <c r="AH352" s="4" t="n"/>
      <c r="AI352" s="4" t="n"/>
    </row>
    <row r="353" hidden="1" ht="12" customFormat="1" customHeight="1" s="6">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c r="AE353" s="4" t="n"/>
      <c r="AF353" s="4" t="n"/>
      <c r="AG353" s="4" t="n"/>
      <c r="AH353" s="4" t="n"/>
      <c r="AI353" s="4" t="n"/>
    </row>
    <row r="354" hidden="1" ht="12" customFormat="1" customHeight="1" s="6">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c r="AE354" s="4" t="n"/>
      <c r="AF354" s="4" t="n"/>
      <c r="AG354" s="4" t="n"/>
      <c r="AH354" s="4" t="n"/>
      <c r="AI354" s="4" t="n"/>
    </row>
    <row r="355" hidden="1" ht="12" customFormat="1" customHeight="1" s="6">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c r="AE355" s="4" t="n"/>
      <c r="AF355" s="4" t="n"/>
      <c r="AG355" s="4" t="n"/>
      <c r="AH355" s="4" t="n"/>
      <c r="AI355" s="4" t="n"/>
    </row>
    <row r="356" hidden="1" ht="12" customFormat="1" customHeight="1" s="6">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c r="AE356" s="4" t="n"/>
      <c r="AF356" s="4" t="n"/>
      <c r="AG356" s="4" t="n"/>
      <c r="AH356" s="4" t="n"/>
      <c r="AI356" s="4" t="n"/>
    </row>
    <row r="357" hidden="1" ht="12" customFormat="1" customHeight="1" s="6">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c r="AE357" s="4" t="n"/>
      <c r="AF357" s="4" t="n"/>
      <c r="AG357" s="4" t="n"/>
      <c r="AH357" s="4" t="n"/>
      <c r="AI357" s="4" t="n"/>
    </row>
    <row r="358" hidden="1" ht="12" customFormat="1" customHeight="1" s="6">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c r="AE358" s="4" t="n"/>
      <c r="AF358" s="4" t="n"/>
      <c r="AG358" s="4" t="n"/>
      <c r="AH358" s="4" t="n"/>
      <c r="AI358" s="4" t="n"/>
    </row>
    <row r="359" hidden="1" ht="12" customFormat="1" customHeight="1" s="6">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c r="AD359" s="4" t="n"/>
      <c r="AE359" s="4" t="n"/>
      <c r="AF359" s="4" t="n"/>
      <c r="AG359" s="4" t="n"/>
      <c r="AH359" s="4" t="n"/>
      <c r="AI359" s="4" t="n"/>
    </row>
    <row r="360" hidden="1" ht="12" customFormat="1" customHeight="1" s="6">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c r="AC360" s="4" t="n"/>
      <c r="AD360" s="4" t="n"/>
      <c r="AE360" s="4" t="n"/>
      <c r="AF360" s="4" t="n"/>
      <c r="AG360" s="4" t="n"/>
      <c r="AH360" s="4" t="n"/>
      <c r="AI360" s="4" t="n"/>
    </row>
    <row r="361" hidden="1" ht="12" customFormat="1" customHeight="1" s="6">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c r="AD361" s="4" t="n"/>
      <c r="AE361" s="4" t="n"/>
      <c r="AF361" s="4" t="n"/>
      <c r="AG361" s="4" t="n"/>
      <c r="AH361" s="4" t="n"/>
      <c r="AI361" s="4" t="n"/>
    </row>
    <row r="362" hidden="1" ht="12" customFormat="1" customHeight="1" s="6">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c r="AE362" s="4" t="n"/>
      <c r="AF362" s="4" t="n"/>
      <c r="AG362" s="4" t="n"/>
      <c r="AH362" s="4" t="n"/>
      <c r="AI362" s="4" t="n"/>
    </row>
    <row r="363" hidden="1" ht="12" customFormat="1" customHeight="1" s="6">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c r="AD363" s="4" t="n"/>
      <c r="AE363" s="4" t="n"/>
      <c r="AF363" s="4" t="n"/>
      <c r="AG363" s="4" t="n"/>
      <c r="AH363" s="4" t="n"/>
      <c r="AI363" s="4" t="n"/>
    </row>
    <row r="364" hidden="1" ht="12" customFormat="1" customHeight="1" s="6">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c r="AD364" s="4" t="n"/>
      <c r="AE364" s="4" t="n"/>
      <c r="AF364" s="4" t="n"/>
      <c r="AG364" s="4" t="n"/>
      <c r="AH364" s="4" t="n"/>
      <c r="AI364" s="4" t="n"/>
    </row>
    <row r="365" hidden="1" ht="12" customFormat="1" customHeight="1" s="6">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c r="AD365" s="4" t="n"/>
      <c r="AE365" s="4" t="n"/>
      <c r="AF365" s="4" t="n"/>
      <c r="AG365" s="4" t="n"/>
      <c r="AH365" s="4" t="n"/>
      <c r="AI365" s="4" t="n"/>
    </row>
    <row r="366" hidden="1" ht="12" customFormat="1" customHeight="1" s="6">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c r="AE366" s="4" t="n"/>
      <c r="AF366" s="4" t="n"/>
      <c r="AG366" s="4" t="n"/>
      <c r="AH366" s="4" t="n"/>
      <c r="AI366" s="4" t="n"/>
    </row>
    <row r="367" hidden="1" ht="12" customFormat="1" customHeight="1" s="6">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c r="AD367" s="4" t="n"/>
      <c r="AE367" s="4" t="n"/>
      <c r="AF367" s="4" t="n"/>
      <c r="AG367" s="4" t="n"/>
      <c r="AH367" s="4" t="n"/>
      <c r="AI367" s="4" t="n"/>
    </row>
    <row r="368" hidden="1" ht="12" customFormat="1" customHeight="1" s="6">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c r="AE368" s="4" t="n"/>
      <c r="AF368" s="4" t="n"/>
      <c r="AG368" s="4" t="n"/>
      <c r="AH368" s="4" t="n"/>
      <c r="AI368" s="4" t="n"/>
    </row>
    <row r="369" hidden="1" ht="12" customFormat="1" customHeight="1" s="6">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c r="AC369" s="4" t="n"/>
      <c r="AD369" s="4" t="n"/>
      <c r="AE369" s="4" t="n"/>
      <c r="AF369" s="4" t="n"/>
      <c r="AG369" s="4" t="n"/>
      <c r="AH369" s="4" t="n"/>
      <c r="AI369" s="4" t="n"/>
    </row>
    <row r="370" hidden="1" ht="12" customFormat="1" customHeight="1" s="6">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c r="AF370" s="4" t="n"/>
      <c r="AG370" s="4" t="n"/>
      <c r="AH370" s="4" t="n"/>
      <c r="AI370" s="4" t="n"/>
    </row>
    <row r="371" hidden="1" ht="12" customFormat="1" customHeight="1" s="6">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c r="AC371" s="4" t="n"/>
      <c r="AD371" s="4" t="n"/>
      <c r="AE371" s="4" t="n"/>
      <c r="AF371" s="4" t="n"/>
      <c r="AG371" s="4" t="n"/>
      <c r="AH371" s="4" t="n"/>
      <c r="AI371" s="4" t="n"/>
    </row>
    <row r="372" hidden="1" ht="12" customFormat="1" customHeight="1" s="6">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c r="AE372" s="4" t="n"/>
      <c r="AF372" s="4" t="n"/>
      <c r="AG372" s="4" t="n"/>
      <c r="AH372" s="4" t="n"/>
      <c r="AI372" s="4" t="n"/>
    </row>
    <row r="373" hidden="1" ht="12" customFormat="1" customHeight="1" s="6">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c r="AE373" s="4" t="n"/>
      <c r="AF373" s="4" t="n"/>
      <c r="AG373" s="4" t="n"/>
      <c r="AH373" s="4" t="n"/>
      <c r="AI373" s="4" t="n"/>
    </row>
    <row r="374" hidden="1" ht="12" customFormat="1" customHeight="1" s="6">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c r="AE374" s="4" t="n"/>
      <c r="AF374" s="4" t="n"/>
      <c r="AG374" s="4" t="n"/>
      <c r="AH374" s="4" t="n"/>
      <c r="AI374" s="4" t="n"/>
    </row>
    <row r="375" hidden="1" ht="12" customFormat="1" customHeight="1" s="6">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c r="AC375" s="4" t="n"/>
      <c r="AD375" s="4" t="n"/>
      <c r="AE375" s="4" t="n"/>
      <c r="AF375" s="4" t="n"/>
      <c r="AG375" s="4" t="n"/>
      <c r="AH375" s="4" t="n"/>
      <c r="AI375" s="4" t="n"/>
    </row>
    <row r="376" hidden="1" ht="12" customFormat="1" customHeight="1" s="6">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c r="AC376" s="4" t="n"/>
      <c r="AD376" s="4" t="n"/>
      <c r="AE376" s="4" t="n"/>
      <c r="AF376" s="4" t="n"/>
      <c r="AG376" s="4" t="n"/>
      <c r="AH376" s="4" t="n"/>
      <c r="AI376" s="4" t="n"/>
    </row>
    <row r="377" hidden="1" ht="12" customFormat="1" customHeight="1" s="6">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c r="AE377" s="4" t="n"/>
      <c r="AF377" s="4" t="n"/>
      <c r="AG377" s="4" t="n"/>
      <c r="AH377" s="4" t="n"/>
      <c r="AI377" s="4" t="n"/>
    </row>
    <row r="378" hidden="1" ht="12" customFormat="1" customHeight="1" s="6">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c r="AC378" s="4" t="n"/>
      <c r="AD378" s="4" t="n"/>
      <c r="AE378" s="4" t="n"/>
      <c r="AF378" s="4" t="n"/>
      <c r="AG378" s="4" t="n"/>
      <c r="AH378" s="4" t="n"/>
      <c r="AI378" s="4" t="n"/>
    </row>
    <row r="379" hidden="1" ht="12" customFormat="1" customHeight="1" s="6">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c r="AD379" s="4" t="n"/>
      <c r="AE379" s="4" t="n"/>
      <c r="AF379" s="4" t="n"/>
      <c r="AG379" s="4" t="n"/>
      <c r="AH379" s="4" t="n"/>
      <c r="AI379" s="4" t="n"/>
    </row>
    <row r="380" hidden="1" ht="12" customFormat="1" customHeight="1" s="6">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c r="AE380" s="4" t="n"/>
      <c r="AF380" s="4" t="n"/>
      <c r="AG380" s="4" t="n"/>
      <c r="AH380" s="4" t="n"/>
      <c r="AI380" s="4" t="n"/>
    </row>
    <row r="381" hidden="1" ht="12" customFormat="1" customHeight="1" s="6">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c r="AC381" s="4" t="n"/>
      <c r="AD381" s="4" t="n"/>
      <c r="AE381" s="4" t="n"/>
      <c r="AF381" s="4" t="n"/>
      <c r="AG381" s="4" t="n"/>
      <c r="AH381" s="4" t="n"/>
      <c r="AI381" s="4" t="n"/>
    </row>
    <row r="382" hidden="1" ht="12" customFormat="1" customHeight="1" s="6">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c r="AE382" s="4" t="n"/>
      <c r="AF382" s="4" t="n"/>
      <c r="AG382" s="4" t="n"/>
      <c r="AH382" s="4" t="n"/>
      <c r="AI382" s="4" t="n"/>
    </row>
    <row r="383" hidden="1" ht="12" customFormat="1" customHeight="1" s="6">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c r="AD383" s="4" t="n"/>
      <c r="AE383" s="4" t="n"/>
      <c r="AF383" s="4" t="n"/>
      <c r="AG383" s="4" t="n"/>
      <c r="AH383" s="4" t="n"/>
      <c r="AI383" s="4" t="n"/>
    </row>
    <row r="384" hidden="1" ht="12" customFormat="1" customHeight="1" s="6">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c r="AE384" s="4" t="n"/>
      <c r="AF384" s="4" t="n"/>
      <c r="AG384" s="4" t="n"/>
      <c r="AH384" s="4" t="n"/>
      <c r="AI384" s="4" t="n"/>
    </row>
    <row r="385" hidden="1" ht="12" customFormat="1" customHeight="1" s="6">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c r="AE385" s="4" t="n"/>
      <c r="AF385" s="4" t="n"/>
      <c r="AG385" s="4" t="n"/>
      <c r="AH385" s="4" t="n"/>
      <c r="AI385" s="4" t="n"/>
    </row>
    <row r="386" hidden="1" ht="12" customFormat="1" customHeight="1" s="6">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c r="AC386" s="4" t="n"/>
      <c r="AD386" s="4" t="n"/>
      <c r="AE386" s="4" t="n"/>
      <c r="AF386" s="4" t="n"/>
      <c r="AG386" s="4" t="n"/>
      <c r="AH386" s="4" t="n"/>
      <c r="AI386" s="4" t="n"/>
    </row>
    <row r="387" hidden="1" ht="12" customFormat="1" customHeight="1" s="6">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c r="AE387" s="4" t="n"/>
      <c r="AF387" s="4" t="n"/>
      <c r="AG387" s="4" t="n"/>
      <c r="AH387" s="4" t="n"/>
      <c r="AI387" s="4" t="n"/>
    </row>
    <row r="388" hidden="1" ht="12" customFormat="1" customHeight="1" s="6">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c r="AE388" s="4" t="n"/>
      <c r="AF388" s="4" t="n"/>
      <c r="AG388" s="4" t="n"/>
      <c r="AH388" s="4" t="n"/>
      <c r="AI388" s="4" t="n"/>
    </row>
    <row r="389" hidden="1" ht="12" customFormat="1" customHeight="1" s="6">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c r="AE389" s="4" t="n"/>
      <c r="AF389" s="4" t="n"/>
      <c r="AG389" s="4" t="n"/>
      <c r="AH389" s="4" t="n"/>
      <c r="AI389" s="4" t="n"/>
    </row>
    <row r="390" hidden="1" ht="12" customFormat="1" customHeight="1" s="6">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c r="AE390" s="4" t="n"/>
      <c r="AF390" s="4" t="n"/>
      <c r="AG390" s="4" t="n"/>
      <c r="AH390" s="4" t="n"/>
      <c r="AI390" s="4" t="n"/>
    </row>
    <row r="391" hidden="1" ht="12" customFormat="1" customHeight="1" s="6">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c r="AE391" s="4" t="n"/>
      <c r="AF391" s="4" t="n"/>
      <c r="AG391" s="4" t="n"/>
      <c r="AH391" s="4" t="n"/>
      <c r="AI391" s="4" t="n"/>
    </row>
    <row r="392" hidden="1" ht="12" customFormat="1" customHeight="1" s="6">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c r="AE392" s="4" t="n"/>
      <c r="AF392" s="4" t="n"/>
      <c r="AG392" s="4" t="n"/>
      <c r="AH392" s="4" t="n"/>
      <c r="AI392" s="4" t="n"/>
    </row>
    <row r="393" hidden="1" ht="12" customFormat="1" customHeight="1" s="6">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c r="AE393" s="4" t="n"/>
      <c r="AF393" s="4" t="n"/>
      <c r="AG393" s="4" t="n"/>
      <c r="AH393" s="4" t="n"/>
      <c r="AI393" s="4" t="n"/>
    </row>
    <row r="394" hidden="1" ht="12" customFormat="1" customHeight="1" s="6">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c r="AD394" s="4" t="n"/>
      <c r="AE394" s="4" t="n"/>
      <c r="AF394" s="4" t="n"/>
      <c r="AG394" s="4" t="n"/>
      <c r="AH394" s="4" t="n"/>
      <c r="AI394" s="4" t="n"/>
    </row>
    <row r="395" hidden="1" ht="12" customFormat="1" customHeight="1" s="6">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c r="AD395" s="4" t="n"/>
      <c r="AE395" s="4" t="n"/>
      <c r="AF395" s="4" t="n"/>
      <c r="AG395" s="4" t="n"/>
      <c r="AH395" s="4" t="n"/>
      <c r="AI395" s="4" t="n"/>
    </row>
    <row r="396" hidden="1" ht="12" customFormat="1" customHeight="1" s="6">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c r="AE396" s="4" t="n"/>
      <c r="AF396" s="4" t="n"/>
      <c r="AG396" s="4" t="n"/>
      <c r="AH396" s="4" t="n"/>
      <c r="AI396" s="4" t="n"/>
    </row>
    <row r="397" hidden="1" ht="12" customFormat="1" customHeight="1" s="6">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c r="AD397" s="4" t="n"/>
      <c r="AE397" s="4" t="n"/>
      <c r="AF397" s="4" t="n"/>
      <c r="AG397" s="4" t="n"/>
      <c r="AH397" s="4" t="n"/>
      <c r="AI397" s="4" t="n"/>
    </row>
    <row r="398" hidden="1" ht="12" customFormat="1" customHeight="1" s="6">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c r="AE398" s="4" t="n"/>
      <c r="AF398" s="4" t="n"/>
      <c r="AG398" s="4" t="n"/>
      <c r="AH398" s="4" t="n"/>
      <c r="AI398" s="4" t="n"/>
    </row>
    <row r="399" hidden="1" ht="12" customFormat="1" customHeight="1" s="6">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c r="AE399" s="4" t="n"/>
      <c r="AF399" s="4" t="n"/>
      <c r="AG399" s="4" t="n"/>
      <c r="AH399" s="4" t="n"/>
      <c r="AI399" s="4" t="n"/>
    </row>
    <row r="400" hidden="1" ht="12" customFormat="1" customHeight="1" s="6">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c r="AC400" s="4" t="n"/>
      <c r="AD400" s="4" t="n"/>
      <c r="AE400" s="4" t="n"/>
      <c r="AF400" s="4" t="n"/>
      <c r="AG400" s="4" t="n"/>
      <c r="AH400" s="4" t="n"/>
      <c r="AI400" s="4" t="n"/>
    </row>
    <row r="401" hidden="1" ht="12" customFormat="1" customHeight="1" s="6">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c r="AC401" s="4" t="n"/>
      <c r="AD401" s="4" t="n"/>
      <c r="AE401" s="4" t="n"/>
      <c r="AF401" s="4" t="n"/>
      <c r="AG401" s="4" t="n"/>
      <c r="AH401" s="4" t="n"/>
      <c r="AI401" s="4" t="n"/>
    </row>
    <row r="402" hidden="1" ht="12" customFormat="1" customHeight="1" s="6">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c r="AE402" s="4" t="n"/>
      <c r="AF402" s="4" t="n"/>
      <c r="AG402" s="4" t="n"/>
      <c r="AH402" s="4" t="n"/>
      <c r="AI402" s="4" t="n"/>
    </row>
    <row r="403" hidden="1" ht="12" customFormat="1" customHeight="1" s="6">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c r="AE403" s="4" t="n"/>
      <c r="AF403" s="4" t="n"/>
      <c r="AG403" s="4" t="n"/>
      <c r="AH403" s="4" t="n"/>
      <c r="AI403" s="4" t="n"/>
    </row>
    <row r="404" hidden="1" ht="12" customFormat="1" customHeight="1" s="6">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c r="AE404" s="4" t="n"/>
      <c r="AF404" s="4" t="n"/>
      <c r="AG404" s="4" t="n"/>
      <c r="AH404" s="4" t="n"/>
      <c r="AI404" s="4" t="n"/>
    </row>
    <row r="405" hidden="1" ht="12" customFormat="1" customHeight="1" s="6">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c r="AE405" s="4" t="n"/>
      <c r="AF405" s="4" t="n"/>
      <c r="AG405" s="4" t="n"/>
      <c r="AH405" s="4" t="n"/>
      <c r="AI405" s="4" t="n"/>
    </row>
    <row r="406" hidden="1" ht="12" customFormat="1" customHeight="1" s="6">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c r="AE406" s="4" t="n"/>
      <c r="AF406" s="4" t="n"/>
      <c r="AG406" s="4" t="n"/>
      <c r="AH406" s="4" t="n"/>
      <c r="AI406" s="4" t="n"/>
    </row>
    <row r="407" hidden="1" ht="12" customFormat="1" customHeight="1" s="6">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c r="AE407" s="4" t="n"/>
      <c r="AF407" s="4" t="n"/>
      <c r="AG407" s="4" t="n"/>
      <c r="AH407" s="4" t="n"/>
      <c r="AI407" s="4" t="n"/>
    </row>
    <row r="408" hidden="1" ht="12" customFormat="1" customHeight="1" s="6">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c r="AE408" s="4" t="n"/>
      <c r="AF408" s="4" t="n"/>
      <c r="AG408" s="4" t="n"/>
      <c r="AH408" s="4" t="n"/>
      <c r="AI408" s="4" t="n"/>
    </row>
    <row r="409" hidden="1" ht="12" customFormat="1" customHeight="1" s="6">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c r="AF409" s="4" t="n"/>
      <c r="AG409" s="4" t="n"/>
      <c r="AH409" s="4" t="n"/>
      <c r="AI409" s="4" t="n"/>
    </row>
    <row r="410" hidden="1" ht="12" customFormat="1" customHeight="1" s="6">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c r="AC410" s="4" t="n"/>
      <c r="AD410" s="4" t="n"/>
      <c r="AE410" s="4" t="n"/>
      <c r="AF410" s="4" t="n"/>
      <c r="AG410" s="4" t="n"/>
      <c r="AH410" s="4" t="n"/>
      <c r="AI410" s="4" t="n"/>
    </row>
    <row r="411" hidden="1" ht="12" customFormat="1" customHeight="1" s="6">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c r="AE411" s="4" t="n"/>
      <c r="AF411" s="4" t="n"/>
      <c r="AG411" s="4" t="n"/>
      <c r="AH411" s="4" t="n"/>
      <c r="AI411" s="4" t="n"/>
    </row>
    <row r="412" hidden="1" ht="12" customFormat="1" customHeight="1" s="6">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c r="AE412" s="4" t="n"/>
      <c r="AF412" s="4" t="n"/>
      <c r="AG412" s="4" t="n"/>
      <c r="AH412" s="4" t="n"/>
      <c r="AI412" s="4" t="n"/>
    </row>
    <row r="413" hidden="1" ht="12" customFormat="1" customHeight="1" s="6">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c r="AD413" s="4" t="n"/>
      <c r="AE413" s="4" t="n"/>
      <c r="AF413" s="4" t="n"/>
      <c r="AG413" s="4" t="n"/>
      <c r="AH413" s="4" t="n"/>
      <c r="AI413" s="4" t="n"/>
    </row>
    <row r="414" hidden="1" ht="12" customFormat="1" customHeight="1" s="6">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c r="AE414" s="4" t="n"/>
      <c r="AF414" s="4" t="n"/>
      <c r="AG414" s="4" t="n"/>
      <c r="AH414" s="4" t="n"/>
      <c r="AI414" s="4" t="n"/>
    </row>
    <row r="415" hidden="1" ht="12" customFormat="1" customHeight="1" s="6">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c r="AD415" s="4" t="n"/>
      <c r="AE415" s="4" t="n"/>
      <c r="AF415" s="4" t="n"/>
      <c r="AG415" s="4" t="n"/>
      <c r="AH415" s="4" t="n"/>
      <c r="AI415" s="4" t="n"/>
    </row>
    <row r="416" hidden="1" ht="12" customFormat="1" customHeight="1" s="6">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c r="AE416" s="4" t="n"/>
      <c r="AF416" s="4" t="n"/>
      <c r="AG416" s="4" t="n"/>
      <c r="AH416" s="4" t="n"/>
      <c r="AI416" s="4" t="n"/>
    </row>
    <row r="417" hidden="1" ht="12" customFormat="1" customHeight="1" s="6">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c r="AD417" s="4" t="n"/>
      <c r="AE417" s="4" t="n"/>
      <c r="AF417" s="4" t="n"/>
      <c r="AG417" s="4" t="n"/>
      <c r="AH417" s="4" t="n"/>
      <c r="AI417" s="4" t="n"/>
    </row>
    <row r="418" hidden="1" ht="12" customFormat="1" customHeight="1" s="6">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c r="AE418" s="4" t="n"/>
      <c r="AF418" s="4" t="n"/>
      <c r="AG418" s="4" t="n"/>
      <c r="AH418" s="4" t="n"/>
      <c r="AI418" s="4" t="n"/>
    </row>
    <row r="419" hidden="1" ht="12" customFormat="1" customHeight="1" s="6">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c r="AE419" s="4" t="n"/>
      <c r="AF419" s="4" t="n"/>
      <c r="AG419" s="4" t="n"/>
      <c r="AH419" s="4" t="n"/>
      <c r="AI419" s="4" t="n"/>
    </row>
    <row r="420" hidden="1" ht="12" customFormat="1" customHeight="1" s="6">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c r="AD420" s="4" t="n"/>
      <c r="AE420" s="4" t="n"/>
      <c r="AF420" s="4" t="n"/>
      <c r="AG420" s="4" t="n"/>
      <c r="AH420" s="4" t="n"/>
      <c r="AI420" s="4" t="n"/>
    </row>
    <row r="421" hidden="1" ht="12" customFormat="1" customHeight="1" s="6">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c r="AD421" s="4" t="n"/>
      <c r="AE421" s="4" t="n"/>
      <c r="AF421" s="4" t="n"/>
      <c r="AG421" s="4" t="n"/>
      <c r="AH421" s="4" t="n"/>
      <c r="AI421" s="4" t="n"/>
    </row>
    <row r="422" hidden="1" ht="12" customFormat="1" customHeight="1" s="6">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c r="AE422" s="4" t="n"/>
      <c r="AF422" s="4" t="n"/>
      <c r="AG422" s="4" t="n"/>
      <c r="AH422" s="4" t="n"/>
      <c r="AI422" s="4" t="n"/>
    </row>
    <row r="423" hidden="1" ht="12" customFormat="1" customHeight="1" s="6">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c r="AE423" s="4" t="n"/>
      <c r="AF423" s="4" t="n"/>
      <c r="AG423" s="4" t="n"/>
      <c r="AH423" s="4" t="n"/>
      <c r="AI423" s="4" t="n"/>
    </row>
    <row r="424" hidden="1" ht="12" customFormat="1" customHeight="1" s="6">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c r="AE424" s="4" t="n"/>
      <c r="AF424" s="4" t="n"/>
      <c r="AG424" s="4" t="n"/>
      <c r="AH424" s="4" t="n"/>
      <c r="AI424" s="4" t="n"/>
    </row>
    <row r="425" hidden="1" ht="12" customFormat="1" customHeight="1" s="6">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c r="AD425" s="4" t="n"/>
      <c r="AE425" s="4" t="n"/>
      <c r="AF425" s="4" t="n"/>
      <c r="AG425" s="4" t="n"/>
      <c r="AH425" s="4" t="n"/>
      <c r="AI425" s="4" t="n"/>
    </row>
    <row r="426" hidden="1" ht="12" customFormat="1" customHeight="1" s="6">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c r="AE426" s="4" t="n"/>
      <c r="AF426" s="4" t="n"/>
      <c r="AG426" s="4" t="n"/>
      <c r="AH426" s="4" t="n"/>
      <c r="AI426" s="4" t="n"/>
    </row>
    <row r="427" hidden="1" ht="12" customFormat="1" customHeight="1" s="6">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c r="AE427" s="4" t="n"/>
      <c r="AF427" s="4" t="n"/>
      <c r="AG427" s="4" t="n"/>
      <c r="AH427" s="4" t="n"/>
      <c r="AI427" s="4" t="n"/>
    </row>
    <row r="428" hidden="1" ht="12" customFormat="1" customHeight="1" s="6">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c r="AE428" s="4" t="n"/>
      <c r="AF428" s="4" t="n"/>
      <c r="AG428" s="4" t="n"/>
      <c r="AH428" s="4" t="n"/>
      <c r="AI428" s="4" t="n"/>
    </row>
    <row r="429" hidden="1" ht="12" customFormat="1" customHeight="1" s="6">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c r="AE429" s="4" t="n"/>
      <c r="AF429" s="4" t="n"/>
      <c r="AG429" s="4" t="n"/>
      <c r="AH429" s="4" t="n"/>
      <c r="AI429" s="4" t="n"/>
    </row>
    <row r="430" hidden="1" ht="12" customFormat="1" customHeight="1" s="6">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c r="AE430" s="4" t="n"/>
      <c r="AF430" s="4" t="n"/>
      <c r="AG430" s="4" t="n"/>
      <c r="AH430" s="4" t="n"/>
      <c r="AI430" s="4" t="n"/>
    </row>
    <row r="431" hidden="1" ht="12" customFormat="1" customHeight="1" s="6">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c r="AE431" s="4" t="n"/>
      <c r="AF431" s="4" t="n"/>
      <c r="AG431" s="4" t="n"/>
      <c r="AH431" s="4" t="n"/>
      <c r="AI431" s="4" t="n"/>
    </row>
    <row r="432" hidden="1" ht="12" customFormat="1" customHeight="1" s="6">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c r="AE432" s="4" t="n"/>
      <c r="AF432" s="4" t="n"/>
      <c r="AG432" s="4" t="n"/>
      <c r="AH432" s="4" t="n"/>
      <c r="AI432" s="4" t="n"/>
    </row>
    <row r="433" hidden="1" ht="12" customFormat="1" customHeight="1" s="6">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c r="AE433" s="4" t="n"/>
      <c r="AF433" s="4" t="n"/>
      <c r="AG433" s="4" t="n"/>
      <c r="AH433" s="4" t="n"/>
      <c r="AI433" s="4" t="n"/>
    </row>
    <row r="434" hidden="1" ht="12" customFormat="1" customHeight="1" s="6">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c r="AE434" s="4" t="n"/>
      <c r="AF434" s="4" t="n"/>
      <c r="AG434" s="4" t="n"/>
      <c r="AH434" s="4" t="n"/>
      <c r="AI434" s="4" t="n"/>
    </row>
    <row r="435" hidden="1" ht="12" customFormat="1" customHeight="1" s="6">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c r="AE435" s="4" t="n"/>
      <c r="AF435" s="4" t="n"/>
      <c r="AG435" s="4" t="n"/>
      <c r="AH435" s="4" t="n"/>
      <c r="AI435" s="4" t="n"/>
    </row>
    <row r="436" hidden="1" ht="12" customFormat="1" customHeight="1" s="6">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c r="AE436" s="4" t="n"/>
      <c r="AF436" s="4" t="n"/>
      <c r="AG436" s="4" t="n"/>
      <c r="AH436" s="4" t="n"/>
      <c r="AI436" s="4" t="n"/>
    </row>
    <row r="437" hidden="1" ht="12" customFormat="1" customHeight="1" s="6">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c r="AD437" s="4" t="n"/>
      <c r="AE437" s="4" t="n"/>
      <c r="AF437" s="4" t="n"/>
      <c r="AG437" s="4" t="n"/>
      <c r="AH437" s="4" t="n"/>
      <c r="AI437" s="4" t="n"/>
    </row>
    <row r="438" hidden="1" ht="12" customFormat="1" customHeight="1" s="6">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c r="AE438" s="4" t="n"/>
      <c r="AF438" s="4" t="n"/>
      <c r="AG438" s="4" t="n"/>
      <c r="AH438" s="4" t="n"/>
      <c r="AI438" s="4" t="n"/>
    </row>
    <row r="439" hidden="1" ht="12" customFormat="1" customHeight="1" s="6">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c r="AE439" s="4" t="n"/>
      <c r="AF439" s="4" t="n"/>
      <c r="AG439" s="4" t="n"/>
      <c r="AH439" s="4" t="n"/>
      <c r="AI439" s="4" t="n"/>
    </row>
    <row r="440" hidden="1" ht="12" customFormat="1" customHeight="1" s="6">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c r="AE440" s="4" t="n"/>
      <c r="AF440" s="4" t="n"/>
      <c r="AG440" s="4" t="n"/>
      <c r="AH440" s="4" t="n"/>
      <c r="AI440" s="4" t="n"/>
    </row>
    <row r="441" hidden="1" ht="12" customFormat="1" customHeight="1" s="6">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c r="AE441" s="4" t="n"/>
      <c r="AF441" s="4" t="n"/>
      <c r="AG441" s="4" t="n"/>
      <c r="AH441" s="4" t="n"/>
      <c r="AI441" s="4" t="n"/>
    </row>
    <row r="442" hidden="1" ht="12" customFormat="1" customHeight="1" s="6">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c r="AE442" s="4" t="n"/>
      <c r="AF442" s="4" t="n"/>
      <c r="AG442" s="4" t="n"/>
      <c r="AH442" s="4" t="n"/>
      <c r="AI442" s="4" t="n"/>
    </row>
    <row r="443" hidden="1" ht="12" customFormat="1" customHeight="1" s="6">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c r="AD443" s="4" t="n"/>
      <c r="AE443" s="4" t="n"/>
      <c r="AF443" s="4" t="n"/>
      <c r="AG443" s="4" t="n"/>
      <c r="AH443" s="4" t="n"/>
      <c r="AI443" s="4" t="n"/>
    </row>
    <row r="444" hidden="1" ht="12" customFormat="1" customHeight="1" s="6">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c r="AE444" s="4" t="n"/>
      <c r="AF444" s="4" t="n"/>
      <c r="AG444" s="4" t="n"/>
      <c r="AH444" s="4" t="n"/>
      <c r="AI444" s="4" t="n"/>
    </row>
    <row r="445" hidden="1" ht="12" customFormat="1" customHeight="1" s="6">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c r="AD445" s="4" t="n"/>
      <c r="AE445" s="4" t="n"/>
      <c r="AF445" s="4" t="n"/>
      <c r="AG445" s="4" t="n"/>
      <c r="AH445" s="4" t="n"/>
      <c r="AI445" s="4" t="n"/>
    </row>
    <row r="446" hidden="1" ht="12" customFormat="1" customHeight="1" s="6">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c r="AD446" s="4" t="n"/>
      <c r="AE446" s="4" t="n"/>
      <c r="AF446" s="4" t="n"/>
      <c r="AG446" s="4" t="n"/>
      <c r="AH446" s="4" t="n"/>
      <c r="AI446" s="4" t="n"/>
    </row>
    <row r="447" hidden="1" ht="12" customFormat="1" customHeight="1" s="6">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c r="AD447" s="4" t="n"/>
      <c r="AE447" s="4" t="n"/>
      <c r="AF447" s="4" t="n"/>
      <c r="AG447" s="4" t="n"/>
      <c r="AH447" s="4" t="n"/>
      <c r="AI447" s="4" t="n"/>
    </row>
    <row r="448" hidden="1" ht="12" customFormat="1" customHeight="1" s="6">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c r="AE448" s="4" t="n"/>
      <c r="AF448" s="4" t="n"/>
      <c r="AG448" s="4" t="n"/>
      <c r="AH448" s="4" t="n"/>
      <c r="AI448" s="4" t="n"/>
    </row>
    <row r="449" hidden="1" ht="12" customFormat="1" customHeight="1" s="6">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c r="AE449" s="4" t="n"/>
      <c r="AF449" s="4" t="n"/>
      <c r="AG449" s="4" t="n"/>
      <c r="AH449" s="4" t="n"/>
      <c r="AI449" s="4" t="n"/>
    </row>
    <row r="450" hidden="1" ht="12" customFormat="1" customHeight="1" s="6">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c r="AC450" s="4" t="n"/>
      <c r="AD450" s="4" t="n"/>
      <c r="AE450" s="4" t="n"/>
      <c r="AF450" s="4" t="n"/>
      <c r="AG450" s="4" t="n"/>
      <c r="AH450" s="4" t="n"/>
      <c r="AI450" s="4" t="n"/>
    </row>
    <row r="451" hidden="1" ht="12" customFormat="1" customHeight="1" s="6">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c r="AD451" s="4" t="n"/>
      <c r="AE451" s="4" t="n"/>
      <c r="AF451" s="4" t="n"/>
      <c r="AG451" s="4" t="n"/>
      <c r="AH451" s="4" t="n"/>
      <c r="AI451" s="4" t="n"/>
    </row>
    <row r="452" hidden="1" ht="12" customFormat="1" customHeight="1" s="6">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c r="AE452" s="4" t="n"/>
      <c r="AF452" s="4" t="n"/>
      <c r="AG452" s="4" t="n"/>
      <c r="AH452" s="4" t="n"/>
      <c r="AI452" s="4" t="n"/>
    </row>
    <row r="453" hidden="1" ht="12" customFormat="1" customHeight="1" s="6">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c r="AD453" s="4" t="n"/>
      <c r="AE453" s="4" t="n"/>
      <c r="AF453" s="4" t="n"/>
      <c r="AG453" s="4" t="n"/>
      <c r="AH453" s="4" t="n"/>
      <c r="AI453" s="4" t="n"/>
    </row>
    <row r="454" hidden="1" ht="12" customFormat="1" customHeight="1" s="6">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c r="AE454" s="4" t="n"/>
      <c r="AF454" s="4" t="n"/>
      <c r="AG454" s="4" t="n"/>
      <c r="AH454" s="4" t="n"/>
      <c r="AI454" s="4" t="n"/>
    </row>
    <row r="455" hidden="1" ht="12" customFormat="1" customHeight="1" s="6">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c r="AE455" s="4" t="n"/>
      <c r="AF455" s="4" t="n"/>
      <c r="AG455" s="4" t="n"/>
      <c r="AH455" s="4" t="n"/>
      <c r="AI455" s="4" t="n"/>
    </row>
    <row r="456" hidden="1" ht="12" customFormat="1" customHeight="1" s="6">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c r="AE456" s="4" t="n"/>
      <c r="AF456" s="4" t="n"/>
      <c r="AG456" s="4" t="n"/>
      <c r="AH456" s="4" t="n"/>
      <c r="AI456" s="4" t="n"/>
    </row>
    <row r="457" hidden="1" ht="12" customFormat="1" customHeight="1" s="6">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c r="AE457" s="4" t="n"/>
      <c r="AF457" s="4" t="n"/>
      <c r="AG457" s="4" t="n"/>
      <c r="AH457" s="4" t="n"/>
      <c r="AI457" s="4" t="n"/>
    </row>
    <row r="458" hidden="1" ht="12" customFormat="1" customHeight="1" s="6">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c r="AE458" s="4" t="n"/>
      <c r="AF458" s="4" t="n"/>
      <c r="AG458" s="4" t="n"/>
      <c r="AH458" s="4" t="n"/>
      <c r="AI458" s="4" t="n"/>
    </row>
    <row r="459" hidden="1" ht="12" customFormat="1" customHeight="1" s="6">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c r="AE459" s="4" t="n"/>
      <c r="AF459" s="4" t="n"/>
      <c r="AG459" s="4" t="n"/>
      <c r="AH459" s="4" t="n"/>
      <c r="AI459" s="4" t="n"/>
    </row>
    <row r="460" hidden="1" ht="12" customFormat="1" customHeight="1" s="6">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c r="AE460" s="4" t="n"/>
      <c r="AF460" s="4" t="n"/>
      <c r="AG460" s="4" t="n"/>
      <c r="AH460" s="4" t="n"/>
      <c r="AI460" s="4" t="n"/>
    </row>
    <row r="461" hidden="1" ht="12" customFormat="1" customHeight="1" s="6">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c r="AD461" s="4" t="n"/>
      <c r="AE461" s="4" t="n"/>
      <c r="AF461" s="4" t="n"/>
      <c r="AG461" s="4" t="n"/>
      <c r="AH461" s="4" t="n"/>
      <c r="AI461" s="4" t="n"/>
    </row>
    <row r="462" hidden="1" ht="12" customFormat="1" customHeight="1" s="6">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c r="AE462" s="4" t="n"/>
      <c r="AF462" s="4" t="n"/>
      <c r="AG462" s="4" t="n"/>
      <c r="AH462" s="4" t="n"/>
      <c r="AI462" s="4" t="n"/>
    </row>
    <row r="463" hidden="1" ht="12" customFormat="1" customHeight="1" s="6">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c r="AE463" s="4" t="n"/>
      <c r="AF463" s="4" t="n"/>
      <c r="AG463" s="4" t="n"/>
      <c r="AH463" s="4" t="n"/>
      <c r="AI463" s="4" t="n"/>
    </row>
    <row r="464" hidden="1" ht="12" customFormat="1" customHeight="1" s="6">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c r="AC464" s="4" t="n"/>
      <c r="AD464" s="4" t="n"/>
      <c r="AE464" s="4" t="n"/>
      <c r="AF464" s="4" t="n"/>
      <c r="AG464" s="4" t="n"/>
      <c r="AH464" s="4" t="n"/>
      <c r="AI464" s="4" t="n"/>
    </row>
    <row r="465" hidden="1" ht="12" customFormat="1" customHeight="1" s="6">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c r="AE465" s="4" t="n"/>
      <c r="AF465" s="4" t="n"/>
      <c r="AG465" s="4" t="n"/>
      <c r="AH465" s="4" t="n"/>
      <c r="AI465" s="4" t="n"/>
    </row>
    <row r="466" hidden="1" ht="12" customFormat="1" customHeight="1" s="6">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c r="AE466" s="4" t="n"/>
      <c r="AF466" s="4" t="n"/>
      <c r="AG466" s="4" t="n"/>
      <c r="AH466" s="4" t="n"/>
      <c r="AI466" s="4" t="n"/>
    </row>
    <row r="467" hidden="1" ht="12" customFormat="1" customHeight="1" s="6">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c r="AE467" s="4" t="n"/>
      <c r="AF467" s="4" t="n"/>
      <c r="AG467" s="4" t="n"/>
      <c r="AH467" s="4" t="n"/>
      <c r="AI467" s="4" t="n"/>
    </row>
    <row r="468" hidden="1" ht="12" customFormat="1" customHeight="1" s="6">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c r="AE468" s="4" t="n"/>
      <c r="AF468" s="4" t="n"/>
      <c r="AG468" s="4" t="n"/>
      <c r="AH468" s="4" t="n"/>
      <c r="AI468" s="4" t="n"/>
    </row>
    <row r="469" hidden="1" ht="12" customFormat="1" customHeight="1" s="6">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c r="AD469" s="4" t="n"/>
      <c r="AE469" s="4" t="n"/>
      <c r="AF469" s="4" t="n"/>
      <c r="AG469" s="4" t="n"/>
      <c r="AH469" s="4" t="n"/>
      <c r="AI469" s="4" t="n"/>
    </row>
    <row r="470" hidden="1" ht="12" customFormat="1" customHeight="1" s="6">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c r="AE470" s="4" t="n"/>
      <c r="AF470" s="4" t="n"/>
      <c r="AG470" s="4" t="n"/>
      <c r="AH470" s="4" t="n"/>
      <c r="AI470" s="4" t="n"/>
    </row>
    <row r="471" hidden="1" ht="12" customFormat="1" customHeight="1" s="6">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c r="AE471" s="4" t="n"/>
      <c r="AF471" s="4" t="n"/>
      <c r="AG471" s="4" t="n"/>
      <c r="AH471" s="4" t="n"/>
      <c r="AI471" s="4" t="n"/>
    </row>
    <row r="472" hidden="1" ht="12" customFormat="1" customHeight="1" s="6">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c r="AE472" s="4" t="n"/>
      <c r="AF472" s="4" t="n"/>
      <c r="AG472" s="4" t="n"/>
      <c r="AH472" s="4" t="n"/>
      <c r="AI472" s="4" t="n"/>
    </row>
    <row r="473" hidden="1" ht="12" customFormat="1" customHeight="1" s="6">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c r="AE473" s="4" t="n"/>
      <c r="AF473" s="4" t="n"/>
      <c r="AG473" s="4" t="n"/>
      <c r="AH473" s="4" t="n"/>
      <c r="AI473" s="4" t="n"/>
    </row>
    <row r="474" hidden="1" ht="12" customFormat="1" customHeight="1" s="6">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c r="AC474" s="4" t="n"/>
      <c r="AD474" s="4" t="n"/>
      <c r="AE474" s="4" t="n"/>
      <c r="AF474" s="4" t="n"/>
      <c r="AG474" s="4" t="n"/>
      <c r="AH474" s="4" t="n"/>
      <c r="AI474" s="4" t="n"/>
    </row>
    <row r="475" hidden="1" ht="12" customFormat="1" customHeight="1" s="6">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c r="AE475" s="4" t="n"/>
      <c r="AF475" s="4" t="n"/>
      <c r="AG475" s="4" t="n"/>
      <c r="AH475" s="4" t="n"/>
      <c r="AI475" s="4" t="n"/>
    </row>
    <row r="476" hidden="1" ht="12" customFormat="1" customHeight="1" s="6">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c r="AE476" s="4" t="n"/>
      <c r="AF476" s="4" t="n"/>
      <c r="AG476" s="4" t="n"/>
      <c r="AH476" s="4" t="n"/>
      <c r="AI476" s="4" t="n"/>
    </row>
    <row r="477" hidden="1" ht="12" customFormat="1" customHeight="1" s="6">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c r="AC477" s="4" t="n"/>
      <c r="AD477" s="4" t="n"/>
      <c r="AE477" s="4" t="n"/>
      <c r="AF477" s="4" t="n"/>
      <c r="AG477" s="4" t="n"/>
      <c r="AH477" s="4" t="n"/>
      <c r="AI477" s="4" t="n"/>
    </row>
    <row r="478" hidden="1" ht="12" customFormat="1" customHeight="1" s="6">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c r="AE478" s="4" t="n"/>
      <c r="AF478" s="4" t="n"/>
      <c r="AG478" s="4" t="n"/>
      <c r="AH478" s="4" t="n"/>
      <c r="AI478" s="4" t="n"/>
    </row>
    <row r="479" hidden="1" ht="12" customFormat="1" customHeight="1" s="6">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c r="AD479" s="4" t="n"/>
      <c r="AE479" s="4" t="n"/>
      <c r="AF479" s="4" t="n"/>
      <c r="AG479" s="4" t="n"/>
      <c r="AH479" s="4" t="n"/>
      <c r="AI479" s="4" t="n"/>
    </row>
    <row r="480" hidden="1" ht="12" customFormat="1" customHeight="1" s="6">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c r="AE480" s="4" t="n"/>
      <c r="AF480" s="4" t="n"/>
      <c r="AG480" s="4" t="n"/>
      <c r="AH480" s="4" t="n"/>
      <c r="AI480" s="4" t="n"/>
    </row>
    <row r="481" hidden="1" ht="12" customFormat="1" customHeight="1" s="6">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c r="AC481" s="4" t="n"/>
      <c r="AD481" s="4" t="n"/>
      <c r="AE481" s="4" t="n"/>
      <c r="AF481" s="4" t="n"/>
      <c r="AG481" s="4" t="n"/>
      <c r="AH481" s="4" t="n"/>
      <c r="AI481" s="4" t="n"/>
    </row>
    <row r="482" hidden="1" ht="12" customFormat="1" customHeight="1" s="6">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c r="AD482" s="4" t="n"/>
      <c r="AE482" s="4" t="n"/>
      <c r="AF482" s="4" t="n"/>
      <c r="AG482" s="4" t="n"/>
      <c r="AH482" s="4" t="n"/>
      <c r="AI482" s="4" t="n"/>
    </row>
    <row r="483" hidden="1" ht="12" customFormat="1" customHeight="1" s="6">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c r="AC483" s="4" t="n"/>
      <c r="AD483" s="4" t="n"/>
      <c r="AE483" s="4" t="n"/>
      <c r="AF483" s="4" t="n"/>
      <c r="AG483" s="4" t="n"/>
      <c r="AH483" s="4" t="n"/>
      <c r="AI483" s="4" t="n"/>
    </row>
    <row r="484" hidden="1" ht="12" customFormat="1" customHeight="1" s="6">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c r="AE484" s="4" t="n"/>
      <c r="AF484" s="4" t="n"/>
      <c r="AG484" s="4" t="n"/>
      <c r="AH484" s="4" t="n"/>
      <c r="AI484" s="4" t="n"/>
    </row>
    <row r="485" hidden="1" ht="12" customFormat="1" customHeight="1" s="6">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c r="AC485" s="4" t="n"/>
      <c r="AD485" s="4" t="n"/>
      <c r="AE485" s="4" t="n"/>
      <c r="AF485" s="4" t="n"/>
      <c r="AG485" s="4" t="n"/>
      <c r="AH485" s="4" t="n"/>
      <c r="AI485" s="4" t="n"/>
    </row>
    <row r="486" hidden="1" ht="12" customFormat="1" customHeight="1" s="6">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c r="AE486" s="4" t="n"/>
      <c r="AF486" s="4" t="n"/>
      <c r="AG486" s="4" t="n"/>
      <c r="AH486" s="4" t="n"/>
      <c r="AI486" s="4" t="n"/>
    </row>
    <row r="487" hidden="1" ht="12" customFormat="1" customHeight="1" s="6">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c r="AE487" s="4" t="n"/>
      <c r="AF487" s="4" t="n"/>
      <c r="AG487" s="4" t="n"/>
      <c r="AH487" s="4" t="n"/>
      <c r="AI487" s="4" t="n"/>
    </row>
    <row r="488" hidden="1" ht="12" customFormat="1" customHeight="1" s="6">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c r="AE488" s="4" t="n"/>
      <c r="AF488" s="4" t="n"/>
      <c r="AG488" s="4" t="n"/>
      <c r="AH488" s="4" t="n"/>
      <c r="AI488" s="4" t="n"/>
    </row>
    <row r="489" hidden="1" ht="12" customFormat="1" customHeight="1" s="6">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c r="AC489" s="4" t="n"/>
      <c r="AD489" s="4" t="n"/>
      <c r="AE489" s="4" t="n"/>
      <c r="AF489" s="4" t="n"/>
      <c r="AG489" s="4" t="n"/>
      <c r="AH489" s="4" t="n"/>
      <c r="AI489" s="4" t="n"/>
    </row>
    <row r="490" hidden="1" ht="12" customFormat="1" customHeight="1" s="6">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c r="AE490" s="4" t="n"/>
      <c r="AF490" s="4" t="n"/>
      <c r="AG490" s="4" t="n"/>
      <c r="AH490" s="4" t="n"/>
      <c r="AI490" s="4" t="n"/>
    </row>
    <row r="491" hidden="1" ht="12" customFormat="1" customHeight="1" s="6">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c r="AE491" s="4" t="n"/>
      <c r="AF491" s="4" t="n"/>
      <c r="AG491" s="4" t="n"/>
      <c r="AH491" s="4" t="n"/>
      <c r="AI491" s="4" t="n"/>
    </row>
    <row r="492" hidden="1" ht="12" customFormat="1" customHeight="1" s="6">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c r="AC492" s="4" t="n"/>
      <c r="AD492" s="4" t="n"/>
      <c r="AE492" s="4" t="n"/>
      <c r="AF492" s="4" t="n"/>
      <c r="AG492" s="4" t="n"/>
      <c r="AH492" s="4" t="n"/>
      <c r="AI492" s="4" t="n"/>
    </row>
    <row r="493" hidden="1" ht="12" customFormat="1" customHeight="1" s="6">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c r="AC493" s="4" t="n"/>
      <c r="AD493" s="4" t="n"/>
      <c r="AE493" s="4" t="n"/>
      <c r="AF493" s="4" t="n"/>
      <c r="AG493" s="4" t="n"/>
      <c r="AH493" s="4" t="n"/>
      <c r="AI493" s="4" t="n"/>
    </row>
    <row r="494" hidden="1" ht="12" customFormat="1" customHeight="1" s="6">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c r="AE494" s="4" t="n"/>
      <c r="AF494" s="4" t="n"/>
      <c r="AG494" s="4" t="n"/>
      <c r="AH494" s="4" t="n"/>
      <c r="AI494" s="4" t="n"/>
    </row>
    <row r="495" hidden="1" ht="12" customFormat="1" customHeight="1" s="6">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c r="AE495" s="4" t="n"/>
      <c r="AF495" s="4" t="n"/>
      <c r="AG495" s="4" t="n"/>
      <c r="AH495" s="4" t="n"/>
      <c r="AI495" s="4" t="n"/>
    </row>
    <row r="496" hidden="1" ht="12" customFormat="1" customHeight="1" s="6">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c r="AC496" s="4" t="n"/>
      <c r="AD496" s="4" t="n"/>
      <c r="AE496" s="4" t="n"/>
      <c r="AF496" s="4" t="n"/>
      <c r="AG496" s="4" t="n"/>
      <c r="AH496" s="4" t="n"/>
      <c r="AI496" s="4" t="n"/>
    </row>
    <row r="497" hidden="1" ht="12" customFormat="1" customHeight="1" s="6">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c r="AE497" s="4" t="n"/>
      <c r="AF497" s="4" t="n"/>
      <c r="AG497" s="4" t="n"/>
      <c r="AH497" s="4" t="n"/>
      <c r="AI497" s="4" t="n"/>
    </row>
    <row r="498" hidden="1" ht="12" customFormat="1" customHeight="1" s="6">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c r="AE498" s="4" t="n"/>
      <c r="AF498" s="4" t="n"/>
      <c r="AG498" s="4" t="n"/>
      <c r="AH498" s="4" t="n"/>
      <c r="AI498" s="4" t="n"/>
    </row>
    <row r="499" hidden="1" ht="12" customFormat="1" customHeight="1" s="6">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c r="AC499" s="4" t="n"/>
      <c r="AD499" s="4" t="n"/>
      <c r="AE499" s="4" t="n"/>
      <c r="AF499" s="4" t="n"/>
      <c r="AG499" s="4" t="n"/>
      <c r="AH499" s="4" t="n"/>
      <c r="AI499" s="4" t="n"/>
    </row>
    <row r="500" hidden="1" ht="12" customFormat="1" customHeight="1" s="6">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c r="AE500" s="4" t="n"/>
      <c r="AF500" s="4" t="n"/>
      <c r="AG500" s="4" t="n"/>
      <c r="AH500" s="4" t="n"/>
      <c r="AI500" s="4" t="n"/>
    </row>
    <row r="501" hidden="1" ht="12" customFormat="1" customHeight="1" s="6">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c r="AE501" s="4" t="n"/>
      <c r="AF501" s="4" t="n"/>
      <c r="AG501" s="4" t="n"/>
      <c r="AH501" s="4" t="n"/>
      <c r="AI501" s="4" t="n"/>
    </row>
    <row r="502" hidden="1" ht="12" customFormat="1" customHeight="1" s="6">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c r="AE502" s="4" t="n"/>
      <c r="AF502" s="4" t="n"/>
      <c r="AG502" s="4" t="n"/>
      <c r="AH502" s="4" t="n"/>
      <c r="AI502" s="4" t="n"/>
    </row>
    <row r="503" hidden="1" ht="12" customFormat="1" customHeight="1" s="6">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c r="AC503" s="4" t="n"/>
      <c r="AD503" s="4" t="n"/>
      <c r="AE503" s="4" t="n"/>
      <c r="AF503" s="4" t="n"/>
      <c r="AG503" s="4" t="n"/>
      <c r="AH503" s="4" t="n"/>
      <c r="AI503" s="4" t="n"/>
    </row>
    <row r="504" hidden="1" ht="12" customFormat="1" customHeight="1" s="6">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c r="AC504" s="4" t="n"/>
      <c r="AD504" s="4" t="n"/>
      <c r="AE504" s="4" t="n"/>
      <c r="AF504" s="4" t="n"/>
      <c r="AG504" s="4" t="n"/>
      <c r="AH504" s="4" t="n"/>
      <c r="AI504" s="4" t="n"/>
    </row>
    <row r="505" hidden="1" ht="12" customFormat="1" customHeight="1" s="6">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c r="AD505" s="4" t="n"/>
      <c r="AE505" s="4" t="n"/>
      <c r="AF505" s="4" t="n"/>
      <c r="AG505" s="4" t="n"/>
      <c r="AH505" s="4" t="n"/>
      <c r="AI505" s="4" t="n"/>
    </row>
    <row r="506" hidden="1" ht="12" customFormat="1" customHeight="1" s="6">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c r="AE506" s="4" t="n"/>
      <c r="AF506" s="4" t="n"/>
      <c r="AG506" s="4" t="n"/>
      <c r="AH506" s="4" t="n"/>
      <c r="AI506" s="4" t="n"/>
    </row>
    <row r="507" hidden="1" ht="12" customFormat="1" customHeight="1" s="6">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c r="AE507" s="4" t="n"/>
      <c r="AF507" s="4" t="n"/>
      <c r="AG507" s="4" t="n"/>
      <c r="AH507" s="4" t="n"/>
      <c r="AI507" s="4" t="n"/>
    </row>
    <row r="508" hidden="1" ht="12" customFormat="1" customHeight="1" s="6">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c r="AC508" s="4" t="n"/>
      <c r="AD508" s="4" t="n"/>
      <c r="AE508" s="4" t="n"/>
      <c r="AF508" s="4" t="n"/>
      <c r="AG508" s="4" t="n"/>
      <c r="AH508" s="4" t="n"/>
      <c r="AI508" s="4" t="n"/>
    </row>
    <row r="509" hidden="1" ht="12" customFormat="1" customHeight="1" s="6">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c r="AC509" s="4" t="n"/>
      <c r="AD509" s="4" t="n"/>
      <c r="AE509" s="4" t="n"/>
      <c r="AF509" s="4" t="n"/>
      <c r="AG509" s="4" t="n"/>
      <c r="AH509" s="4" t="n"/>
      <c r="AI509" s="4" t="n"/>
    </row>
    <row r="510" hidden="1" ht="12" customFormat="1" customHeight="1" s="6">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c r="AC510" s="4" t="n"/>
      <c r="AD510" s="4" t="n"/>
      <c r="AE510" s="4" t="n"/>
      <c r="AF510" s="4" t="n"/>
      <c r="AG510" s="4" t="n"/>
      <c r="AH510" s="4" t="n"/>
      <c r="AI510" s="4" t="n"/>
    </row>
    <row r="511" hidden="1" ht="12" customFormat="1" customHeight="1" s="6">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c r="AC511" s="4" t="n"/>
      <c r="AD511" s="4" t="n"/>
      <c r="AE511" s="4" t="n"/>
      <c r="AF511" s="4" t="n"/>
      <c r="AG511" s="4" t="n"/>
      <c r="AH511" s="4" t="n"/>
      <c r="AI511" s="4" t="n"/>
    </row>
    <row r="512" hidden="1" ht="12" customFormat="1" customHeight="1" s="6">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c r="AC512" s="4" t="n"/>
      <c r="AD512" s="4" t="n"/>
      <c r="AE512" s="4" t="n"/>
      <c r="AF512" s="4" t="n"/>
      <c r="AG512" s="4" t="n"/>
      <c r="AH512" s="4" t="n"/>
      <c r="AI512" s="4" t="n"/>
    </row>
    <row r="513" hidden="1" ht="12" customFormat="1" customHeight="1" s="6">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c r="AC513" s="4" t="n"/>
      <c r="AD513" s="4" t="n"/>
      <c r="AE513" s="4" t="n"/>
      <c r="AF513" s="4" t="n"/>
      <c r="AG513" s="4" t="n"/>
      <c r="AH513" s="4" t="n"/>
      <c r="AI513" s="4" t="n"/>
    </row>
    <row r="514" hidden="1" ht="12" customFormat="1" customHeight="1" s="6">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c r="AD514" s="4" t="n"/>
      <c r="AE514" s="4" t="n"/>
      <c r="AF514" s="4" t="n"/>
      <c r="AG514" s="4" t="n"/>
      <c r="AH514" s="4" t="n"/>
      <c r="AI514" s="4" t="n"/>
    </row>
    <row r="515" hidden="1" ht="12" customFormat="1" customHeight="1" s="6">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c r="AC515" s="4" t="n"/>
      <c r="AD515" s="4" t="n"/>
      <c r="AE515" s="4" t="n"/>
      <c r="AF515" s="4" t="n"/>
      <c r="AG515" s="4" t="n"/>
      <c r="AH515" s="4" t="n"/>
      <c r="AI515" s="4" t="n"/>
    </row>
    <row r="516" hidden="1" ht="12" customFormat="1" customHeight="1" s="6">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c r="AD516" s="4" t="n"/>
      <c r="AE516" s="4" t="n"/>
      <c r="AF516" s="4" t="n"/>
      <c r="AG516" s="4" t="n"/>
      <c r="AH516" s="4" t="n"/>
      <c r="AI516" s="4" t="n"/>
    </row>
    <row r="517" hidden="1" ht="12" customFormat="1" customHeight="1" s="6">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c r="AC517" s="4" t="n"/>
      <c r="AD517" s="4" t="n"/>
      <c r="AE517" s="4" t="n"/>
      <c r="AF517" s="4" t="n"/>
      <c r="AG517" s="4" t="n"/>
      <c r="AH517" s="4" t="n"/>
      <c r="AI517" s="4" t="n"/>
    </row>
    <row r="518" hidden="1" ht="12" customFormat="1" customHeight="1" s="6">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c r="AC518" s="4" t="n"/>
      <c r="AD518" s="4" t="n"/>
      <c r="AE518" s="4" t="n"/>
      <c r="AF518" s="4" t="n"/>
      <c r="AG518" s="4" t="n"/>
      <c r="AH518" s="4" t="n"/>
      <c r="AI518" s="4" t="n"/>
    </row>
    <row r="519" hidden="1" ht="12" customFormat="1" customHeight="1" s="6">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c r="AC519" s="4" t="n"/>
      <c r="AD519" s="4" t="n"/>
      <c r="AE519" s="4" t="n"/>
      <c r="AF519" s="4" t="n"/>
      <c r="AG519" s="4" t="n"/>
      <c r="AH519" s="4" t="n"/>
      <c r="AI519" s="4" t="n"/>
    </row>
    <row r="520" hidden="1" ht="12" customFormat="1" customHeight="1" s="6">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c r="AD520" s="4" t="n"/>
      <c r="AE520" s="4" t="n"/>
      <c r="AF520" s="4" t="n"/>
      <c r="AG520" s="4" t="n"/>
      <c r="AH520" s="4" t="n"/>
      <c r="AI520" s="4" t="n"/>
    </row>
    <row r="521" hidden="1" ht="12" customFormat="1" customHeight="1" s="6">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c r="AD521" s="4" t="n"/>
      <c r="AE521" s="4" t="n"/>
      <c r="AF521" s="4" t="n"/>
      <c r="AG521" s="4" t="n"/>
      <c r="AH521" s="4" t="n"/>
      <c r="AI521" s="4" t="n"/>
    </row>
    <row r="522" hidden="1" ht="12" customFormat="1" customHeight="1" s="6">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c r="AC522" s="4" t="n"/>
      <c r="AD522" s="4" t="n"/>
      <c r="AE522" s="4" t="n"/>
      <c r="AF522" s="4" t="n"/>
      <c r="AG522" s="4" t="n"/>
      <c r="AH522" s="4" t="n"/>
      <c r="AI522" s="4" t="n"/>
    </row>
    <row r="523" hidden="1" ht="12" customFormat="1" customHeight="1" s="6">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c r="AE523" s="4" t="n"/>
      <c r="AF523" s="4" t="n"/>
      <c r="AG523" s="4" t="n"/>
      <c r="AH523" s="4" t="n"/>
      <c r="AI523" s="4" t="n"/>
    </row>
    <row r="524" hidden="1" ht="12" customFormat="1" customHeight="1" s="6">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c r="AD524" s="4" t="n"/>
      <c r="AE524" s="4" t="n"/>
      <c r="AF524" s="4" t="n"/>
      <c r="AG524" s="4" t="n"/>
      <c r="AH524" s="4" t="n"/>
      <c r="AI524" s="4" t="n"/>
    </row>
    <row r="525" hidden="1" ht="12" customFormat="1" customHeight="1" s="6">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c r="AE525" s="4" t="n"/>
      <c r="AF525" s="4" t="n"/>
      <c r="AG525" s="4" t="n"/>
      <c r="AH525" s="4" t="n"/>
      <c r="AI525" s="4" t="n"/>
    </row>
    <row r="526" hidden="1" ht="12" customFormat="1" customHeight="1" s="6">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c r="AE526" s="4" t="n"/>
      <c r="AF526" s="4" t="n"/>
      <c r="AG526" s="4" t="n"/>
      <c r="AH526" s="4" t="n"/>
      <c r="AI526" s="4" t="n"/>
    </row>
    <row r="527" hidden="1" ht="12" customFormat="1" customHeight="1" s="6">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c r="AE527" s="4" t="n"/>
      <c r="AF527" s="4" t="n"/>
      <c r="AG527" s="4" t="n"/>
      <c r="AH527" s="4" t="n"/>
      <c r="AI527" s="4" t="n"/>
    </row>
    <row r="528" hidden="1" ht="12" customFormat="1" customHeight="1" s="6">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c r="AE528" s="4" t="n"/>
      <c r="AF528" s="4" t="n"/>
      <c r="AG528" s="4" t="n"/>
      <c r="AH528" s="4" t="n"/>
      <c r="AI528" s="4" t="n"/>
    </row>
    <row r="529" hidden="1" ht="12" customFormat="1" customHeight="1" s="6">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c r="AE529" s="4" t="n"/>
      <c r="AF529" s="4" t="n"/>
      <c r="AG529" s="4" t="n"/>
      <c r="AH529" s="4" t="n"/>
      <c r="AI529" s="4" t="n"/>
    </row>
    <row r="530" hidden="1" ht="12" customFormat="1" customHeight="1" s="6">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c r="AD530" s="4" t="n"/>
      <c r="AE530" s="4" t="n"/>
      <c r="AF530" s="4" t="n"/>
      <c r="AG530" s="4" t="n"/>
      <c r="AH530" s="4" t="n"/>
      <c r="AI530" s="4" t="n"/>
    </row>
    <row r="531" hidden="1" ht="12" customFormat="1" customHeight="1" s="6">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c r="AE531" s="4" t="n"/>
      <c r="AF531" s="4" t="n"/>
      <c r="AG531" s="4" t="n"/>
      <c r="AH531" s="4" t="n"/>
      <c r="AI531" s="4" t="n"/>
    </row>
    <row r="532" hidden="1" ht="12" customFormat="1" customHeight="1" s="6">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c r="AC532" s="4" t="n"/>
      <c r="AD532" s="4" t="n"/>
      <c r="AE532" s="4" t="n"/>
      <c r="AF532" s="4" t="n"/>
      <c r="AG532" s="4" t="n"/>
      <c r="AH532" s="4" t="n"/>
      <c r="AI532" s="4" t="n"/>
    </row>
    <row r="533" hidden="1" ht="12" customFormat="1" customHeight="1" s="6">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c r="AC533" s="4" t="n"/>
      <c r="AD533" s="4" t="n"/>
      <c r="AE533" s="4" t="n"/>
      <c r="AF533" s="4" t="n"/>
      <c r="AG533" s="4" t="n"/>
      <c r="AH533" s="4" t="n"/>
      <c r="AI533" s="4" t="n"/>
    </row>
    <row r="534" hidden="1" ht="12" customFormat="1" customHeight="1" s="6">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c r="AD534" s="4" t="n"/>
      <c r="AE534" s="4" t="n"/>
      <c r="AF534" s="4" t="n"/>
      <c r="AG534" s="4" t="n"/>
      <c r="AH534" s="4" t="n"/>
      <c r="AI534" s="4" t="n"/>
    </row>
    <row r="535" hidden="1" ht="12" customFormat="1" customHeight="1" s="6">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c r="AC535" s="4" t="n"/>
      <c r="AD535" s="4" t="n"/>
      <c r="AE535" s="4" t="n"/>
      <c r="AF535" s="4" t="n"/>
      <c r="AG535" s="4" t="n"/>
      <c r="AH535" s="4" t="n"/>
      <c r="AI535" s="4" t="n"/>
    </row>
    <row r="536" hidden="1" ht="12" customFormat="1" customHeight="1" s="6">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c r="AC536" s="4" t="n"/>
      <c r="AD536" s="4" t="n"/>
      <c r="AE536" s="4" t="n"/>
      <c r="AF536" s="4" t="n"/>
      <c r="AG536" s="4" t="n"/>
      <c r="AH536" s="4" t="n"/>
      <c r="AI536" s="4" t="n"/>
    </row>
    <row r="537" hidden="1" ht="12" customFormat="1" customHeight="1" s="6">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c r="AE537" s="4" t="n"/>
      <c r="AF537" s="4" t="n"/>
      <c r="AG537" s="4" t="n"/>
      <c r="AH537" s="4" t="n"/>
      <c r="AI537" s="4" t="n"/>
    </row>
    <row r="538" hidden="1" ht="12" customFormat="1" customHeight="1" s="6">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c r="AC538" s="4" t="n"/>
      <c r="AD538" s="4" t="n"/>
      <c r="AE538" s="4" t="n"/>
      <c r="AF538" s="4" t="n"/>
      <c r="AG538" s="4" t="n"/>
      <c r="AH538" s="4" t="n"/>
      <c r="AI538" s="4" t="n"/>
    </row>
    <row r="539" hidden="1" ht="12" customFormat="1" customHeight="1" s="6">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c r="AC539" s="4" t="n"/>
      <c r="AD539" s="4" t="n"/>
      <c r="AE539" s="4" t="n"/>
      <c r="AF539" s="4" t="n"/>
      <c r="AG539" s="4" t="n"/>
      <c r="AH539" s="4" t="n"/>
      <c r="AI539" s="4" t="n"/>
    </row>
    <row r="540" hidden="1" ht="12" customFormat="1" customHeight="1" s="6">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c r="AD540" s="4" t="n"/>
      <c r="AE540" s="4" t="n"/>
      <c r="AF540" s="4" t="n"/>
      <c r="AG540" s="4" t="n"/>
      <c r="AH540" s="4" t="n"/>
      <c r="AI540" s="4" t="n"/>
    </row>
    <row r="541" hidden="1" ht="12" customFormat="1" customHeight="1" s="6">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c r="AC541" s="4" t="n"/>
      <c r="AD541" s="4" t="n"/>
      <c r="AE541" s="4" t="n"/>
      <c r="AF541" s="4" t="n"/>
      <c r="AG541" s="4" t="n"/>
      <c r="AH541" s="4" t="n"/>
      <c r="AI541" s="4" t="n"/>
    </row>
    <row r="542" hidden="1" ht="12" customFormat="1" customHeight="1" s="6">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c r="AE542" s="4" t="n"/>
      <c r="AF542" s="4" t="n"/>
      <c r="AG542" s="4" t="n"/>
      <c r="AH542" s="4" t="n"/>
      <c r="AI542" s="4" t="n"/>
    </row>
    <row r="543" hidden="1" ht="12" customFormat="1" customHeight="1" s="6">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c r="AD543" s="4" t="n"/>
      <c r="AE543" s="4" t="n"/>
      <c r="AF543" s="4" t="n"/>
      <c r="AG543" s="4" t="n"/>
      <c r="AH543" s="4" t="n"/>
      <c r="AI543" s="4" t="n"/>
    </row>
    <row r="544" hidden="1" ht="12" customFormat="1" customHeight="1" s="6">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c r="AC544" s="4" t="n"/>
      <c r="AD544" s="4" t="n"/>
      <c r="AE544" s="4" t="n"/>
      <c r="AF544" s="4" t="n"/>
      <c r="AG544" s="4" t="n"/>
      <c r="AH544" s="4" t="n"/>
      <c r="AI544" s="4" t="n"/>
    </row>
    <row r="545" hidden="1" ht="12" customFormat="1" customHeight="1" s="6">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c r="AC545" s="4" t="n"/>
      <c r="AD545" s="4" t="n"/>
      <c r="AE545" s="4" t="n"/>
      <c r="AF545" s="4" t="n"/>
      <c r="AG545" s="4" t="n"/>
      <c r="AH545" s="4" t="n"/>
      <c r="AI545" s="4" t="n"/>
    </row>
    <row r="546" hidden="1" ht="12" customFormat="1" customHeight="1" s="6">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c r="AE546" s="4" t="n"/>
      <c r="AF546" s="4" t="n"/>
      <c r="AG546" s="4" t="n"/>
      <c r="AH546" s="4" t="n"/>
      <c r="AI546" s="4" t="n"/>
    </row>
    <row r="547" hidden="1" ht="12" customFormat="1" customHeight="1" s="6">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c r="AC547" s="4" t="n"/>
      <c r="AD547" s="4" t="n"/>
      <c r="AE547" s="4" t="n"/>
      <c r="AF547" s="4" t="n"/>
      <c r="AG547" s="4" t="n"/>
      <c r="AH547" s="4" t="n"/>
      <c r="AI547" s="4" t="n"/>
    </row>
    <row r="548" hidden="1" ht="12" customFormat="1" customHeight="1" s="6">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c r="AE548" s="4" t="n"/>
      <c r="AF548" s="4" t="n"/>
      <c r="AG548" s="4" t="n"/>
      <c r="AH548" s="4" t="n"/>
      <c r="AI548" s="4" t="n"/>
    </row>
    <row r="549" hidden="1" ht="12" customFormat="1" customHeight="1" s="6">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c r="AE549" s="4" t="n"/>
      <c r="AF549" s="4" t="n"/>
      <c r="AG549" s="4" t="n"/>
      <c r="AH549" s="4" t="n"/>
      <c r="AI549" s="4" t="n"/>
    </row>
    <row r="550" hidden="1" ht="12" customFormat="1" customHeight="1" s="6">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c r="AD550" s="4" t="n"/>
      <c r="AE550" s="4" t="n"/>
      <c r="AF550" s="4" t="n"/>
      <c r="AG550" s="4" t="n"/>
      <c r="AH550" s="4" t="n"/>
      <c r="AI550" s="4" t="n"/>
    </row>
    <row r="551" hidden="1" ht="12" customFormat="1" customHeight="1" s="6">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c r="AE551" s="4" t="n"/>
      <c r="AF551" s="4" t="n"/>
      <c r="AG551" s="4" t="n"/>
      <c r="AH551" s="4" t="n"/>
      <c r="AI551" s="4" t="n"/>
    </row>
    <row r="552" hidden="1" ht="12" customFormat="1" customHeight="1" s="6">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c r="AE552" s="4" t="n"/>
      <c r="AF552" s="4" t="n"/>
      <c r="AG552" s="4" t="n"/>
      <c r="AH552" s="4" t="n"/>
      <c r="AI552" s="4" t="n"/>
    </row>
    <row r="553" hidden="1" ht="12" customFormat="1" customHeight="1" s="6">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c r="AC553" s="4" t="n"/>
      <c r="AD553" s="4" t="n"/>
      <c r="AE553" s="4" t="n"/>
      <c r="AF553" s="4" t="n"/>
      <c r="AG553" s="4" t="n"/>
      <c r="AH553" s="4" t="n"/>
      <c r="AI553" s="4" t="n"/>
    </row>
    <row r="554" hidden="1" ht="12" customFormat="1" customHeight="1" s="6">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c r="AC554" s="4" t="n"/>
      <c r="AD554" s="4" t="n"/>
      <c r="AE554" s="4" t="n"/>
      <c r="AF554" s="4" t="n"/>
      <c r="AG554" s="4" t="n"/>
      <c r="AH554" s="4" t="n"/>
      <c r="AI554" s="4" t="n"/>
    </row>
    <row r="555" hidden="1" ht="12" customFormat="1" customHeight="1" s="6">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c r="AC555" s="4" t="n"/>
      <c r="AD555" s="4" t="n"/>
      <c r="AE555" s="4" t="n"/>
      <c r="AF555" s="4" t="n"/>
      <c r="AG555" s="4" t="n"/>
      <c r="AH555" s="4" t="n"/>
      <c r="AI555" s="4" t="n"/>
    </row>
    <row r="556" hidden="1" ht="12" customFormat="1" customHeight="1" s="6">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c r="AD556" s="4" t="n"/>
      <c r="AE556" s="4" t="n"/>
      <c r="AF556" s="4" t="n"/>
      <c r="AG556" s="4" t="n"/>
      <c r="AH556" s="4" t="n"/>
      <c r="AI556" s="4" t="n"/>
    </row>
    <row r="557" hidden="1" ht="12" customFormat="1" customHeight="1" s="6">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c r="AC557" s="4" t="n"/>
      <c r="AD557" s="4" t="n"/>
      <c r="AE557" s="4" t="n"/>
      <c r="AF557" s="4" t="n"/>
      <c r="AG557" s="4" t="n"/>
      <c r="AH557" s="4" t="n"/>
      <c r="AI557" s="4" t="n"/>
    </row>
    <row r="558" hidden="1" ht="12" customFormat="1" customHeight="1" s="6">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c r="AC558" s="4" t="n"/>
      <c r="AD558" s="4" t="n"/>
      <c r="AE558" s="4" t="n"/>
      <c r="AF558" s="4" t="n"/>
      <c r="AG558" s="4" t="n"/>
      <c r="AH558" s="4" t="n"/>
      <c r="AI558" s="4" t="n"/>
    </row>
    <row r="559" hidden="1" ht="12" customFormat="1" customHeight="1" s="6">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c r="AC559" s="4" t="n"/>
      <c r="AD559" s="4" t="n"/>
      <c r="AE559" s="4" t="n"/>
      <c r="AF559" s="4" t="n"/>
      <c r="AG559" s="4" t="n"/>
      <c r="AH559" s="4" t="n"/>
      <c r="AI559" s="4" t="n"/>
    </row>
    <row r="560" hidden="1" ht="12" customFormat="1" customHeight="1" s="6">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c r="AE560" s="4" t="n"/>
      <c r="AF560" s="4" t="n"/>
      <c r="AG560" s="4" t="n"/>
      <c r="AH560" s="4" t="n"/>
      <c r="AI560" s="4" t="n"/>
    </row>
    <row r="561" hidden="1" ht="12" customFormat="1" customHeight="1" s="6">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c r="AC561" s="4" t="n"/>
      <c r="AD561" s="4" t="n"/>
      <c r="AE561" s="4" t="n"/>
      <c r="AF561" s="4" t="n"/>
      <c r="AG561" s="4" t="n"/>
      <c r="AH561" s="4" t="n"/>
      <c r="AI561" s="4" t="n"/>
    </row>
    <row r="562" hidden="1" ht="12" customFormat="1" customHeight="1" s="6">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c r="AC562" s="4" t="n"/>
      <c r="AD562" s="4" t="n"/>
      <c r="AE562" s="4" t="n"/>
      <c r="AF562" s="4" t="n"/>
      <c r="AG562" s="4" t="n"/>
      <c r="AH562" s="4" t="n"/>
      <c r="AI562" s="4" t="n"/>
    </row>
    <row r="563" hidden="1" ht="12" customFormat="1" customHeight="1" s="6">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c r="AD563" s="4" t="n"/>
      <c r="AE563" s="4" t="n"/>
      <c r="AF563" s="4" t="n"/>
      <c r="AG563" s="4" t="n"/>
      <c r="AH563" s="4" t="n"/>
      <c r="AI563" s="4" t="n"/>
    </row>
    <row r="564" hidden="1" ht="12" customFormat="1" customHeight="1" s="6">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c r="AC564" s="4" t="n"/>
      <c r="AD564" s="4" t="n"/>
      <c r="AE564" s="4" t="n"/>
      <c r="AF564" s="4" t="n"/>
      <c r="AG564" s="4" t="n"/>
      <c r="AH564" s="4" t="n"/>
      <c r="AI564" s="4" t="n"/>
    </row>
    <row r="565" hidden="1" ht="12" customFormat="1" customHeight="1" s="6">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c r="AD565" s="4" t="n"/>
      <c r="AE565" s="4" t="n"/>
      <c r="AF565" s="4" t="n"/>
      <c r="AG565" s="4" t="n"/>
      <c r="AH565" s="4" t="n"/>
      <c r="AI565" s="4" t="n"/>
    </row>
    <row r="566" hidden="1" ht="12" customFormat="1" customHeight="1" s="6">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c r="AC566" s="4" t="n"/>
      <c r="AD566" s="4" t="n"/>
      <c r="AE566" s="4" t="n"/>
      <c r="AF566" s="4" t="n"/>
      <c r="AG566" s="4" t="n"/>
      <c r="AH566" s="4" t="n"/>
      <c r="AI566" s="4" t="n"/>
    </row>
    <row r="567" hidden="1" ht="12" customFormat="1" customHeight="1" s="6">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c r="AE567" s="4" t="n"/>
      <c r="AF567" s="4" t="n"/>
      <c r="AG567" s="4" t="n"/>
      <c r="AH567" s="4" t="n"/>
      <c r="AI567" s="4" t="n"/>
    </row>
    <row r="568" hidden="1" ht="12" customFormat="1" customHeight="1" s="6">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c r="AC568" s="4" t="n"/>
      <c r="AD568" s="4" t="n"/>
      <c r="AE568" s="4" t="n"/>
      <c r="AF568" s="4" t="n"/>
      <c r="AG568" s="4" t="n"/>
      <c r="AH568" s="4" t="n"/>
      <c r="AI568" s="4" t="n"/>
    </row>
    <row r="569" hidden="1" ht="12" customFormat="1" customHeight="1" s="6">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c r="AC569" s="4" t="n"/>
      <c r="AD569" s="4" t="n"/>
      <c r="AE569" s="4" t="n"/>
      <c r="AF569" s="4" t="n"/>
      <c r="AG569" s="4" t="n"/>
      <c r="AH569" s="4" t="n"/>
      <c r="AI569" s="4" t="n"/>
    </row>
    <row r="570" hidden="1" ht="12" customFormat="1" customHeight="1" s="6">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c r="AC570" s="4" t="n"/>
      <c r="AD570" s="4" t="n"/>
      <c r="AE570" s="4" t="n"/>
      <c r="AF570" s="4" t="n"/>
      <c r="AG570" s="4" t="n"/>
      <c r="AH570" s="4" t="n"/>
      <c r="AI570" s="4" t="n"/>
    </row>
    <row r="571" hidden="1" ht="12" customFormat="1" customHeight="1" s="6">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c r="AC571" s="4" t="n"/>
      <c r="AD571" s="4" t="n"/>
      <c r="AE571" s="4" t="n"/>
      <c r="AF571" s="4" t="n"/>
      <c r="AG571" s="4" t="n"/>
      <c r="AH571" s="4" t="n"/>
      <c r="AI571" s="4" t="n"/>
    </row>
    <row r="572" hidden="1" ht="12" customFormat="1" customHeight="1" s="6">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c r="AD572" s="4" t="n"/>
      <c r="AE572" s="4" t="n"/>
      <c r="AF572" s="4" t="n"/>
      <c r="AG572" s="4" t="n"/>
      <c r="AH572" s="4" t="n"/>
      <c r="AI572" s="4" t="n"/>
    </row>
    <row r="573" hidden="1" ht="12" customFormat="1" customHeight="1" s="6">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c r="AD573" s="4" t="n"/>
      <c r="AE573" s="4" t="n"/>
      <c r="AF573" s="4" t="n"/>
      <c r="AG573" s="4" t="n"/>
      <c r="AH573" s="4" t="n"/>
      <c r="AI573" s="4" t="n"/>
    </row>
    <row r="574" hidden="1" ht="12" customFormat="1" customHeight="1" s="6">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c r="AD574" s="4" t="n"/>
      <c r="AE574" s="4" t="n"/>
      <c r="AF574" s="4" t="n"/>
      <c r="AG574" s="4" t="n"/>
      <c r="AH574" s="4" t="n"/>
      <c r="AI574" s="4" t="n"/>
    </row>
    <row r="575" hidden="1" ht="12" customFormat="1" customHeight="1" s="6">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c r="AC575" s="4" t="n"/>
      <c r="AD575" s="4" t="n"/>
      <c r="AE575" s="4" t="n"/>
      <c r="AF575" s="4" t="n"/>
      <c r="AG575" s="4" t="n"/>
      <c r="AH575" s="4" t="n"/>
      <c r="AI575" s="4" t="n"/>
    </row>
    <row r="576" hidden="1" ht="12" customFormat="1" customHeight="1" s="6">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c r="AC576" s="4" t="n"/>
      <c r="AD576" s="4" t="n"/>
      <c r="AE576" s="4" t="n"/>
      <c r="AF576" s="4" t="n"/>
      <c r="AG576" s="4" t="n"/>
      <c r="AH576" s="4" t="n"/>
      <c r="AI576" s="4" t="n"/>
    </row>
    <row r="577" hidden="1" ht="12" customFormat="1" customHeight="1" s="6">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c r="AD577" s="4" t="n"/>
      <c r="AE577" s="4" t="n"/>
      <c r="AF577" s="4" t="n"/>
      <c r="AG577" s="4" t="n"/>
      <c r="AH577" s="4" t="n"/>
      <c r="AI577" s="4" t="n"/>
    </row>
    <row r="578" hidden="1" ht="12" customFormat="1" customHeight="1" s="6">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c r="AE578" s="4" t="n"/>
      <c r="AF578" s="4" t="n"/>
      <c r="AG578" s="4" t="n"/>
      <c r="AH578" s="4" t="n"/>
      <c r="AI578" s="4" t="n"/>
    </row>
    <row r="579" hidden="1" ht="12" customFormat="1" customHeight="1" s="6">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c r="AD579" s="4" t="n"/>
      <c r="AE579" s="4" t="n"/>
      <c r="AF579" s="4" t="n"/>
      <c r="AG579" s="4" t="n"/>
      <c r="AH579" s="4" t="n"/>
      <c r="AI579" s="4" t="n"/>
    </row>
    <row r="580" hidden="1" ht="12" customFormat="1" customHeight="1" s="6">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c r="AD580" s="4" t="n"/>
      <c r="AE580" s="4" t="n"/>
      <c r="AF580" s="4" t="n"/>
      <c r="AG580" s="4" t="n"/>
      <c r="AH580" s="4" t="n"/>
      <c r="AI580" s="4" t="n"/>
    </row>
    <row r="581" hidden="1" ht="12" customFormat="1" customHeight="1" s="6">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c r="AE581" s="4" t="n"/>
      <c r="AF581" s="4" t="n"/>
      <c r="AG581" s="4" t="n"/>
      <c r="AH581" s="4" t="n"/>
      <c r="AI581" s="4" t="n"/>
    </row>
    <row r="582" hidden="1" ht="12" customFormat="1" customHeight="1" s="6">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c r="AC582" s="4" t="n"/>
      <c r="AD582" s="4" t="n"/>
      <c r="AE582" s="4" t="n"/>
      <c r="AF582" s="4" t="n"/>
      <c r="AG582" s="4" t="n"/>
      <c r="AH582" s="4" t="n"/>
      <c r="AI582" s="4" t="n"/>
    </row>
    <row r="583" hidden="1" ht="12" customFormat="1" customHeight="1" s="6">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c r="AE583" s="4" t="n"/>
      <c r="AF583" s="4" t="n"/>
      <c r="AG583" s="4" t="n"/>
      <c r="AH583" s="4" t="n"/>
      <c r="AI583" s="4" t="n"/>
    </row>
    <row r="584" hidden="1" ht="12" customFormat="1" customHeight="1" s="6">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c r="AC584" s="4" t="n"/>
      <c r="AD584" s="4" t="n"/>
      <c r="AE584" s="4" t="n"/>
      <c r="AF584" s="4" t="n"/>
      <c r="AG584" s="4" t="n"/>
      <c r="AH584" s="4" t="n"/>
      <c r="AI584" s="4" t="n"/>
    </row>
    <row r="585" hidden="1" ht="12" customFormat="1" customHeight="1" s="6">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c r="AC585" s="4" t="n"/>
      <c r="AD585" s="4" t="n"/>
      <c r="AE585" s="4" t="n"/>
      <c r="AF585" s="4" t="n"/>
      <c r="AG585" s="4" t="n"/>
      <c r="AH585" s="4" t="n"/>
      <c r="AI585" s="4" t="n"/>
    </row>
    <row r="586" hidden="1" ht="12" customFormat="1" customHeight="1" s="6">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c r="AC586" s="4" t="n"/>
      <c r="AD586" s="4" t="n"/>
      <c r="AE586" s="4" t="n"/>
      <c r="AF586" s="4" t="n"/>
      <c r="AG586" s="4" t="n"/>
      <c r="AH586" s="4" t="n"/>
      <c r="AI586" s="4" t="n"/>
    </row>
    <row r="587" hidden="1" ht="12" customFormat="1" customHeight="1" s="6">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c r="AD587" s="4" t="n"/>
      <c r="AE587" s="4" t="n"/>
      <c r="AF587" s="4" t="n"/>
      <c r="AG587" s="4" t="n"/>
      <c r="AH587" s="4" t="n"/>
      <c r="AI587" s="4" t="n"/>
    </row>
    <row r="588" hidden="1" ht="12" customFormat="1" customHeight="1" s="6">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c r="AE588" s="4" t="n"/>
      <c r="AF588" s="4" t="n"/>
      <c r="AG588" s="4" t="n"/>
      <c r="AH588" s="4" t="n"/>
      <c r="AI588" s="4" t="n"/>
    </row>
    <row r="589" hidden="1" ht="12" customFormat="1" customHeight="1" s="6">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c r="AE589" s="4" t="n"/>
      <c r="AF589" s="4" t="n"/>
      <c r="AG589" s="4" t="n"/>
      <c r="AH589" s="4" t="n"/>
      <c r="AI589" s="4" t="n"/>
    </row>
    <row r="590" hidden="1" ht="12" customFormat="1" customHeight="1" s="6">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c r="AD590" s="4" t="n"/>
      <c r="AE590" s="4" t="n"/>
      <c r="AF590" s="4" t="n"/>
      <c r="AG590" s="4" t="n"/>
      <c r="AH590" s="4" t="n"/>
      <c r="AI590" s="4" t="n"/>
    </row>
    <row r="591" hidden="1" ht="12" customFormat="1" customHeight="1" s="6">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c r="AC591" s="4" t="n"/>
      <c r="AD591" s="4" t="n"/>
      <c r="AE591" s="4" t="n"/>
      <c r="AF591" s="4" t="n"/>
      <c r="AG591" s="4" t="n"/>
      <c r="AH591" s="4" t="n"/>
      <c r="AI591" s="4" t="n"/>
    </row>
    <row r="592" hidden="1" ht="12" customFormat="1" customHeight="1" s="6">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c r="AC592" s="4" t="n"/>
      <c r="AD592" s="4" t="n"/>
      <c r="AE592" s="4" t="n"/>
      <c r="AF592" s="4" t="n"/>
      <c r="AG592" s="4" t="n"/>
      <c r="AH592" s="4" t="n"/>
      <c r="AI592" s="4" t="n"/>
    </row>
    <row r="593" hidden="1" ht="12" customFormat="1" customHeight="1" s="6">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c r="AE593" s="4" t="n"/>
      <c r="AF593" s="4" t="n"/>
      <c r="AG593" s="4" t="n"/>
      <c r="AH593" s="4" t="n"/>
      <c r="AI593" s="4" t="n"/>
    </row>
    <row r="594" hidden="1" ht="12" customFormat="1" customHeight="1" s="6">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c r="AE594" s="4" t="n"/>
      <c r="AF594" s="4" t="n"/>
      <c r="AG594" s="4" t="n"/>
      <c r="AH594" s="4" t="n"/>
      <c r="AI594" s="4" t="n"/>
    </row>
  </sheetData>
  <mergeCells count="65">
    <mergeCell ref="M118:N118"/>
    <mergeCell ref="M68:N68"/>
    <mergeCell ref="M34:N34"/>
    <mergeCell ref="M117:N117"/>
    <mergeCell ref="M55:N55"/>
    <mergeCell ref="M52:N52"/>
    <mergeCell ref="M98:N98"/>
    <mergeCell ref="M49:N49"/>
    <mergeCell ref="M107:N107"/>
    <mergeCell ref="M39:N39"/>
    <mergeCell ref="M79:N79"/>
    <mergeCell ref="M48:N48"/>
    <mergeCell ref="M119:N119"/>
    <mergeCell ref="M88:N88"/>
    <mergeCell ref="M70:N70"/>
    <mergeCell ref="M82:N82"/>
    <mergeCell ref="M110:N110"/>
    <mergeCell ref="M60:N60"/>
    <mergeCell ref="M35:N35"/>
    <mergeCell ref="M56:N56"/>
    <mergeCell ref="M51:N51"/>
    <mergeCell ref="M69:N69"/>
    <mergeCell ref="M78:N78"/>
    <mergeCell ref="M109:N109"/>
    <mergeCell ref="M90:N90"/>
    <mergeCell ref="M108:N108"/>
    <mergeCell ref="M99:N99"/>
    <mergeCell ref="M75:N75"/>
    <mergeCell ref="M40:N40"/>
    <mergeCell ref="M105:N105"/>
    <mergeCell ref="M81:N81"/>
    <mergeCell ref="M77:N77"/>
    <mergeCell ref="M37:N37"/>
    <mergeCell ref="M46:N46"/>
    <mergeCell ref="M89:N89"/>
    <mergeCell ref="M124:N124"/>
    <mergeCell ref="M104:N104"/>
    <mergeCell ref="M36:N36"/>
    <mergeCell ref="M80:N80"/>
    <mergeCell ref="M33:N33"/>
    <mergeCell ref="M87:N87"/>
    <mergeCell ref="M41:N41"/>
    <mergeCell ref="M116:N116"/>
    <mergeCell ref="M61:N61"/>
    <mergeCell ref="M101:N101"/>
    <mergeCell ref="M97:N97"/>
    <mergeCell ref="M115:N115"/>
    <mergeCell ref="M126:N126"/>
    <mergeCell ref="M100:N100"/>
    <mergeCell ref="M106:N106"/>
    <mergeCell ref="M76:N76"/>
    <mergeCell ref="M91:N91"/>
    <mergeCell ref="M47:N47"/>
    <mergeCell ref="M62:N62"/>
    <mergeCell ref="M13:P13"/>
    <mergeCell ref="M38:N38"/>
    <mergeCell ref="M32:N32"/>
    <mergeCell ref="M103:N103"/>
    <mergeCell ref="M72:N72"/>
    <mergeCell ref="M125:N125"/>
    <mergeCell ref="M53:N53"/>
    <mergeCell ref="M50:N50"/>
    <mergeCell ref="M102:N102"/>
    <mergeCell ref="M71:N71"/>
    <mergeCell ref="M96:N96"/>
  </mergeCells>
  <conditionalFormatting sqref="B5">
    <cfRule type="cellIs" priority="7" operator="notEqual" dxfId="1">
      <formula>0</formula>
    </cfRule>
    <cfRule type="expression" priority="8" dxfId="1">
      <formula>"$B$6&lt;&gt;0"</formula>
    </cfRule>
  </conditionalFormatting>
  <conditionalFormatting sqref="B5:C5">
    <cfRule type="cellIs" priority="9" operator="equal" dxfId="5">
      <formula>0</formula>
    </cfRule>
  </conditionalFormatting>
  <conditionalFormatting sqref="C5">
    <cfRule type="cellIs" priority="10" operator="notEqual" dxfId="0">
      <formula>0</formula>
    </cfRule>
  </conditionalFormatting>
  <conditionalFormatting sqref="H5">
    <cfRule type="expression" priority="3" dxfId="1">
      <formula>sysCheck&lt;&gt;0</formula>
    </cfRule>
    <cfRule type="expression" priority="4" dxfId="0">
      <formula>sysAlert&lt;&gt;0</formula>
    </cfRule>
    <cfRule type="expression" priority="5" dxfId="1">
      <formula>sysCheck&lt;&gt;0</formula>
    </cfRule>
    <cfRule type="expression" priority="6" dxfId="0">
      <formula>sysAlert&lt;&gt;0</formula>
    </cfRule>
  </conditionalFormatting>
  <conditionalFormatting sqref="M8:P8">
    <cfRule type="containsText" priority="1" operator="containsText" dxfId="123" text="Forecast">
      <formula>NOT(ISERROR(SEARCH("Forecast",M8)))</formula>
    </cfRule>
    <cfRule type="containsText" priority="2" operator="containsText" dxfId="122" text="Actual">
      <formula>NOT(ISERROR(SEARCH("Actual",M8)))</formula>
    </cfRule>
  </conditionalFormatting>
  <dataValidations count="12">
    <dataValidation sqref="P32:P41 P68:P72 P75:P82 P87:P91 P96:P110 P115:P119" showDropDown="0" showInputMessage="1" showErrorMessage="1" allowBlank="1" type="list">
      <formula1>"Yes,No"</formula1>
    </dataValidation>
    <dataValidation sqref="H113" showDropDown="0" showInputMessage="1" showErrorMessage="1" allowBlank="1" promptTitle="Fixed Assets" prompt="Assets which are purchased for long-term use and are not likely to be converted quickly into cash. Fixed assets can be capitalised (held on the balance sheet rather than expensed immediately) and depreciated over their useful life. eg fixtures &amp; fittings"/>
    <dataValidation sqref="H94" showDropDown="0" showInputMessage="1" showErrorMessage="1" allowBlank="1" promptTitle="Other Expenses" prompt="Cost that do not change with the amount of services sold (ie fixed costs). Fixed costs are expenses that have to be paid by a business irrespective of any business activity, eg. office rent, utilities, audit fees, insurances etc._x000a_ "/>
    <dataValidation sqref="H85" showDropDown="0" showInputMessage="1" showErrorMessage="1" allowBlank="1" promptTitle="Marketing Costs" prompt="Costs of selling the services and typically include items such as marketing research, promotions, public relations, advertising, SEO, etc."/>
    <dataValidation sqref="M25" showDropDown="0" showInputMessage="1" showErrorMessage="1" allowBlank="1" type="list">
      <formula1>"1,2,3,4,5,6,7,8,9,10,11,12"</formula1>
    </dataValidation>
    <dataValidation sqref="M16" showDropDown="0" showInputMessage="1" showErrorMessage="1" allowBlank="1" type="list">
      <formula1>"AED,GBP,EUR,USD,AUD,CAD,CHF,CNY,SEK,MXN,NZD,SGD,HKD,NOK,KRW,TRY,INR,RUB,ZAR,DKK,PLN,TWD,THB,MYR,"</formula1>
    </dataValidation>
    <dataValidation sqref="H122" showDropDown="0" showInputMessage="1" showErrorMessage="1" allowBlank="1" promptTitle="Borrowings" prompt="Consist of debt-based funding arrangements between a business and a financial institution on which interest is paid and typically used to fund major capital expenditures and/or to cover operating costs that otherwise business may not afford."/>
    <dataValidation sqref="H44" showDropDown="0" showInputMessage="1" showErrorMessage="1" allowBlank="1" promptTitle="Staff Costs" prompt="Costs arising from the employment of staff and include wages and salaries, benefits, bonus, payroll taxes paid by an employer. Staff cost categories could refer to individual staff positions or groups of positions with similar cost characteristics. "/>
    <dataValidation sqref="H65:H66" showDropDown="0" showInputMessage="1" showErrorMessage="1" allowBlank="1" promptTitle="Direct Expenses" prompt="Other expenses incurred in the provision of the IT / tech services that are not direct staff costs."/>
    <dataValidation sqref="H30" showDropDown="0" showInputMessage="0" showErrorMessage="1" allowBlank="1"/>
    <dataValidation sqref="M19 M22" showDropDown="0" showInputMessage="1" showErrorMessage="1" allowBlank="1" type="list">
      <formula1>"2018,2019,2020,2021,2022,2023,2024,2025,2026,2027,2028,2029,2030"</formula1>
    </dataValidation>
    <dataValidation sqref="R68:R72 R115:R119" showDropDown="0" showInputMessage="1" showErrorMessage="1" allowBlank="1" error="Values must be whole number between 0-100" type="whole">
      <formula1>0</formula1>
      <formula2>100</formula2>
    </dataValidation>
  </dataValidations>
  <hyperlinks>
    <hyperlink ref="H4" location="'Front Sheet'!A1" display="LINK TO FRONT SHEET"/>
    <hyperlink ref="H5" location="sht_sysCheck" display="sht_sysCheck"/>
  </hyperlinks>
  <pageMargins left="0.2362204724409449" right="0.2362204724409449" top="0.7480314960629921" bottom="0.7480314960629921" header="0.3149606299212598" footer="0.3149606299212598"/>
  <pageSetup orientation="portrait" paperSize="9" scale="55"/>
  <headerFooter>
    <oddHeader>&amp;L&amp;C&amp;R</oddHeader>
    <oddFooter>&amp;L&amp;F&amp;CPage &amp;P of &amp;N&amp;RPrinted on: &amp;D &amp;T</oddFooter>
    <evenHeader/>
    <evenFooter/>
    <firstHeader/>
    <firstFooter/>
  </headerFooter>
</worksheet>
</file>

<file path=xl/worksheets/sheet4.xml><?xml version="1.0" encoding="utf-8"?>
<worksheet xmlns="http://schemas.openxmlformats.org/spreadsheetml/2006/main">
  <sheetPr>
    <tabColor theme="6"/>
    <outlinePr summaryBelow="1" summaryRight="1"/>
    <pageSetUpPr/>
  </sheetPr>
  <dimension ref="A1:EN458"/>
  <sheetViews>
    <sheetView showGridLines="0" zoomScale="70" zoomScaleNormal="70" zoomScaleSheetLayoutView="40" workbookViewId="0">
      <pane xSplit="11" ySplit="8" topLeftCell="M9" activePane="bottomRight" state="frozen"/>
      <selection activeCell="P48" sqref="P48"/>
      <selection pane="topRight" activeCell="P48" sqref="P48"/>
      <selection pane="bottomLeft" activeCell="P48" sqref="P48"/>
      <selection pane="bottomRight" activeCell="P48" sqref="P48"/>
    </sheetView>
  </sheetViews>
  <sheetFormatPr baseColWidth="8" defaultColWidth="0" defaultRowHeight="12" zeroHeight="1"/>
  <cols>
    <col width="1.5703125" customWidth="1" style="6" min="1" max="1"/>
    <col width="4.140625" customWidth="1" style="6" min="2" max="2"/>
    <col width="4.140625" customWidth="1" style="4" min="3" max="3"/>
    <col width="4.42578125" customWidth="1" style="4" min="4" max="4"/>
    <col width="5.140625" customWidth="1" style="4" min="5" max="5"/>
    <col width="3.5703125" customWidth="1" style="4" min="6" max="7"/>
    <col width="40.140625" customWidth="1" style="4" min="8" max="8"/>
    <col width="9" customWidth="1" style="4" min="9" max="9"/>
    <col width="2.5703125" customWidth="1" style="4" min="10" max="10"/>
    <col width="17.140625" customWidth="1" style="4" min="11" max="11"/>
    <col width="3" customWidth="1" style="4" min="12" max="12"/>
    <col width="12.7109375" customWidth="1" style="4" min="13" max="17"/>
    <col width="9.7109375" customWidth="1" style="4" min="18" max="19"/>
    <col width="12.85546875" customWidth="1" style="4" min="20" max="79"/>
    <col width="5.140625" customWidth="1" style="4" min="80" max="80"/>
    <col hidden="1" width="12.7109375" customWidth="1" style="4" min="81" max="16384"/>
  </cols>
  <sheetData>
    <row r="1" ht="17.65" customFormat="1" customHeight="1" s="2">
      <c r="A1" s="99" t="n"/>
      <c r="B1" s="99">
        <f>i_Setup!$M$13&amp;" Financial Projection"</f>
        <v/>
      </c>
      <c r="C1" s="99" t="n"/>
      <c r="D1" s="99" t="n"/>
      <c r="E1" s="99" t="n"/>
      <c r="F1" s="99" t="n"/>
      <c r="G1" s="99" t="n"/>
      <c r="H1" s="99" t="n"/>
      <c r="I1" s="97" t="n"/>
      <c r="J1" s="97" t="n"/>
      <c r="K1" s="127" t="inlineStr">
        <is>
          <t>Start date</t>
        </is>
      </c>
      <c r="L1" s="127" t="n"/>
      <c r="M1" s="138">
        <f>DATE(i_Setup!$M$19,1,1)</f>
        <v/>
      </c>
      <c r="N1" s="138">
        <f>M2+1</f>
        <v/>
      </c>
      <c r="O1" s="138">
        <f>N2+1</f>
        <v/>
      </c>
      <c r="P1" s="138">
        <f>O2+1</f>
        <v/>
      </c>
      <c r="Q1" s="138">
        <f>P2+1</f>
        <v/>
      </c>
      <c r="R1" s="138" t="n"/>
      <c r="S1" s="138" t="n"/>
      <c r="T1" s="138">
        <f>DATE(i_Setup!$M$19,1,1)</f>
        <v/>
      </c>
      <c r="U1" s="138">
        <f>T2+1</f>
        <v/>
      </c>
      <c r="V1" s="138">
        <f>U2+1</f>
        <v/>
      </c>
      <c r="W1" s="138">
        <f>V2+1</f>
        <v/>
      </c>
      <c r="X1" s="138">
        <f>W2+1</f>
        <v/>
      </c>
      <c r="Y1" s="138">
        <f>X2+1</f>
        <v/>
      </c>
      <c r="Z1" s="138">
        <f>Y2+1</f>
        <v/>
      </c>
      <c r="AA1" s="138">
        <f>Z2+1</f>
        <v/>
      </c>
      <c r="AB1" s="138">
        <f>AA2+1</f>
        <v/>
      </c>
      <c r="AC1" s="138">
        <f>AB2+1</f>
        <v/>
      </c>
      <c r="AD1" s="138">
        <f>AC2+1</f>
        <v/>
      </c>
      <c r="AE1" s="138">
        <f>AD2+1</f>
        <v/>
      </c>
      <c r="AF1" s="138">
        <f>AE2+1</f>
        <v/>
      </c>
      <c r="AG1" s="138">
        <f>AF2+1</f>
        <v/>
      </c>
      <c r="AH1" s="138">
        <f>AG2+1</f>
        <v/>
      </c>
      <c r="AI1" s="138">
        <f>AH2+1</f>
        <v/>
      </c>
      <c r="AJ1" s="138">
        <f>AI2+1</f>
        <v/>
      </c>
      <c r="AK1" s="138">
        <f>AJ2+1</f>
        <v/>
      </c>
      <c r="AL1" s="138">
        <f>AK2+1</f>
        <v/>
      </c>
      <c r="AM1" s="138">
        <f>AL2+1</f>
        <v/>
      </c>
      <c r="AN1" s="138">
        <f>AM2+1</f>
        <v/>
      </c>
      <c r="AO1" s="138">
        <f>AN2+1</f>
        <v/>
      </c>
      <c r="AP1" s="138">
        <f>AO2+1</f>
        <v/>
      </c>
      <c r="AQ1" s="138">
        <f>AP2+1</f>
        <v/>
      </c>
      <c r="AR1" s="138">
        <f>AQ2+1</f>
        <v/>
      </c>
      <c r="AS1" s="138">
        <f>AR2+1</f>
        <v/>
      </c>
      <c r="AT1" s="138">
        <f>AS2+1</f>
        <v/>
      </c>
      <c r="AU1" s="138">
        <f>AT2+1</f>
        <v/>
      </c>
      <c r="AV1" s="138">
        <f>AU2+1</f>
        <v/>
      </c>
      <c r="AW1" s="138">
        <f>AV2+1</f>
        <v/>
      </c>
      <c r="AX1" s="138">
        <f>AW2+1</f>
        <v/>
      </c>
      <c r="AY1" s="138">
        <f>AX2+1</f>
        <v/>
      </c>
      <c r="AZ1" s="138">
        <f>AY2+1</f>
        <v/>
      </c>
      <c r="BA1" s="138">
        <f>AZ2+1</f>
        <v/>
      </c>
      <c r="BB1" s="138">
        <f>BA2+1</f>
        <v/>
      </c>
      <c r="BC1" s="138">
        <f>BB2+1</f>
        <v/>
      </c>
      <c r="BD1" s="138">
        <f>BC2+1</f>
        <v/>
      </c>
      <c r="BE1" s="138">
        <f>BD2+1</f>
        <v/>
      </c>
      <c r="BF1" s="138">
        <f>BE2+1</f>
        <v/>
      </c>
      <c r="BG1" s="138">
        <f>BF2+1</f>
        <v/>
      </c>
      <c r="BH1" s="138">
        <f>BG2+1</f>
        <v/>
      </c>
      <c r="BI1" s="138">
        <f>BH2+1</f>
        <v/>
      </c>
      <c r="BJ1" s="138">
        <f>BI2+1</f>
        <v/>
      </c>
      <c r="BK1" s="138">
        <f>BJ2+1</f>
        <v/>
      </c>
      <c r="BL1" s="138">
        <f>BK2+1</f>
        <v/>
      </c>
      <c r="BM1" s="138">
        <f>BL2+1</f>
        <v/>
      </c>
      <c r="BN1" s="138">
        <f>BM2+1</f>
        <v/>
      </c>
      <c r="BO1" s="138">
        <f>BN2+1</f>
        <v/>
      </c>
      <c r="BP1" s="138">
        <f>BO2+1</f>
        <v/>
      </c>
      <c r="BQ1" s="138">
        <f>BP2+1</f>
        <v/>
      </c>
      <c r="BR1" s="138">
        <f>BQ2+1</f>
        <v/>
      </c>
      <c r="BS1" s="138">
        <f>BR2+1</f>
        <v/>
      </c>
      <c r="BT1" s="138">
        <f>BS2+1</f>
        <v/>
      </c>
      <c r="BU1" s="138">
        <f>BT2+1</f>
        <v/>
      </c>
      <c r="BV1" s="138">
        <f>BU2+1</f>
        <v/>
      </c>
      <c r="BW1" s="138">
        <f>BV2+1</f>
        <v/>
      </c>
      <c r="BX1" s="138">
        <f>BW2+1</f>
        <v/>
      </c>
      <c r="BY1" s="138">
        <f>BX2+1</f>
        <v/>
      </c>
      <c r="BZ1" s="138">
        <f>BY2+1</f>
        <v/>
      </c>
      <c r="CA1" s="138">
        <f>BZ2+1</f>
        <v/>
      </c>
      <c r="CB1" s="131" t="n"/>
    </row>
    <row r="2" ht="17.65" customFormat="1" customHeight="1" s="1">
      <c r="A2" s="99" t="n"/>
      <c r="B2" s="98">
        <f>MID(CELL("filename",C1),FIND("]",CELL("filename",C1))+1,256)</f>
        <v/>
      </c>
      <c r="C2" s="99" t="n"/>
      <c r="D2" s="99" t="n"/>
      <c r="E2" s="99" t="n"/>
      <c r="F2" s="99" t="n"/>
      <c r="G2" s="99" t="n"/>
      <c r="H2" s="99" t="n"/>
      <c r="I2" s="97" t="n"/>
      <c r="J2" s="100" t="n"/>
      <c r="K2" s="127" t="inlineStr">
        <is>
          <t>End date</t>
        </is>
      </c>
      <c r="L2" s="127" t="n"/>
      <c r="M2" s="138">
        <f>EDATE(M$1,12)-1</f>
        <v/>
      </c>
      <c r="N2" s="138">
        <f>EDATE(N$1,12)-1</f>
        <v/>
      </c>
      <c r="O2" s="138">
        <f>EDATE(O$1,12)-1</f>
        <v/>
      </c>
      <c r="P2" s="138">
        <f>EDATE(P$1,12)-1</f>
        <v/>
      </c>
      <c r="Q2" s="138">
        <f>EDATE(Q$1,12)-1</f>
        <v/>
      </c>
      <c r="R2" s="138" t="n"/>
      <c r="S2" s="138" t="n"/>
      <c r="T2" s="138">
        <f>EDATE(T$1,1)-1</f>
        <v/>
      </c>
      <c r="U2" s="138">
        <f>EDATE(U$1,1)-1</f>
        <v/>
      </c>
      <c r="V2" s="138">
        <f>EDATE(V$1,1)-1</f>
        <v/>
      </c>
      <c r="W2" s="138">
        <f>EDATE(W$1,1)-1</f>
        <v/>
      </c>
      <c r="X2" s="138">
        <f>EDATE(X$1,1)-1</f>
        <v/>
      </c>
      <c r="Y2" s="138">
        <f>EDATE(Y$1,1)-1</f>
        <v/>
      </c>
      <c r="Z2" s="138">
        <f>EDATE(Z$1,1)-1</f>
        <v/>
      </c>
      <c r="AA2" s="138">
        <f>EDATE(AA$1,1)-1</f>
        <v/>
      </c>
      <c r="AB2" s="138">
        <f>EDATE(AB$1,1)-1</f>
        <v/>
      </c>
      <c r="AC2" s="138">
        <f>EDATE(AC$1,1)-1</f>
        <v/>
      </c>
      <c r="AD2" s="138">
        <f>EDATE(AD$1,1)-1</f>
        <v/>
      </c>
      <c r="AE2" s="138">
        <f>EDATE(AE$1,1)-1</f>
        <v/>
      </c>
      <c r="AF2" s="138">
        <f>EDATE(AF$1,1)-1</f>
        <v/>
      </c>
      <c r="AG2" s="138">
        <f>EDATE(AG$1,1)-1</f>
        <v/>
      </c>
      <c r="AH2" s="138">
        <f>EDATE(AH$1,1)-1</f>
        <v/>
      </c>
      <c r="AI2" s="138">
        <f>EDATE(AI$1,1)-1</f>
        <v/>
      </c>
      <c r="AJ2" s="138">
        <f>EDATE(AJ$1,1)-1</f>
        <v/>
      </c>
      <c r="AK2" s="138">
        <f>EDATE(AK$1,1)-1</f>
        <v/>
      </c>
      <c r="AL2" s="138">
        <f>EDATE(AL$1,1)-1</f>
        <v/>
      </c>
      <c r="AM2" s="138">
        <f>EDATE(AM$1,1)-1</f>
        <v/>
      </c>
      <c r="AN2" s="138">
        <f>EDATE(AN$1,1)-1</f>
        <v/>
      </c>
      <c r="AO2" s="138">
        <f>EDATE(AO$1,1)-1</f>
        <v/>
      </c>
      <c r="AP2" s="138">
        <f>EDATE(AP$1,1)-1</f>
        <v/>
      </c>
      <c r="AQ2" s="138">
        <f>EDATE(AQ$1,1)-1</f>
        <v/>
      </c>
      <c r="AR2" s="138">
        <f>EDATE(AR$1,1)-1</f>
        <v/>
      </c>
      <c r="AS2" s="138">
        <f>EDATE(AS$1,1)-1</f>
        <v/>
      </c>
      <c r="AT2" s="138">
        <f>EDATE(AT$1,1)-1</f>
        <v/>
      </c>
      <c r="AU2" s="138">
        <f>EDATE(AU$1,1)-1</f>
        <v/>
      </c>
      <c r="AV2" s="138">
        <f>EDATE(AV$1,1)-1</f>
        <v/>
      </c>
      <c r="AW2" s="138">
        <f>EDATE(AW$1,1)-1</f>
        <v/>
      </c>
      <c r="AX2" s="138">
        <f>EDATE(AX$1,1)-1</f>
        <v/>
      </c>
      <c r="AY2" s="138">
        <f>EDATE(AY$1,1)-1</f>
        <v/>
      </c>
      <c r="AZ2" s="138">
        <f>EDATE(AZ$1,1)-1</f>
        <v/>
      </c>
      <c r="BA2" s="138">
        <f>EDATE(BA$1,1)-1</f>
        <v/>
      </c>
      <c r="BB2" s="138">
        <f>EDATE(BB$1,1)-1</f>
        <v/>
      </c>
      <c r="BC2" s="138">
        <f>EDATE(BC$1,1)-1</f>
        <v/>
      </c>
      <c r="BD2" s="138">
        <f>EDATE(BD$1,1)-1</f>
        <v/>
      </c>
      <c r="BE2" s="138">
        <f>EDATE(BE$1,1)-1</f>
        <v/>
      </c>
      <c r="BF2" s="138">
        <f>EDATE(BF$1,1)-1</f>
        <v/>
      </c>
      <c r="BG2" s="138">
        <f>EDATE(BG$1,1)-1</f>
        <v/>
      </c>
      <c r="BH2" s="138">
        <f>EDATE(BH$1,1)-1</f>
        <v/>
      </c>
      <c r="BI2" s="138">
        <f>EDATE(BI$1,1)-1</f>
        <v/>
      </c>
      <c r="BJ2" s="138">
        <f>EDATE(BJ$1,1)-1</f>
        <v/>
      </c>
      <c r="BK2" s="138">
        <f>EDATE(BK$1,1)-1</f>
        <v/>
      </c>
      <c r="BL2" s="138">
        <f>EDATE(BL$1,1)-1</f>
        <v/>
      </c>
      <c r="BM2" s="138">
        <f>EDATE(BM$1,1)-1</f>
        <v/>
      </c>
      <c r="BN2" s="138">
        <f>EDATE(BN$1,1)-1</f>
        <v/>
      </c>
      <c r="BO2" s="138">
        <f>EDATE(BO$1,1)-1</f>
        <v/>
      </c>
      <c r="BP2" s="138">
        <f>EDATE(BP$1,1)-1</f>
        <v/>
      </c>
      <c r="BQ2" s="138">
        <f>EDATE(BQ$1,1)-1</f>
        <v/>
      </c>
      <c r="BR2" s="138">
        <f>EDATE(BR$1,1)-1</f>
        <v/>
      </c>
      <c r="BS2" s="138">
        <f>EDATE(BS$1,1)-1</f>
        <v/>
      </c>
      <c r="BT2" s="138">
        <f>EDATE(BT$1,1)-1</f>
        <v/>
      </c>
      <c r="BU2" s="138">
        <f>EDATE(BU$1,1)-1</f>
        <v/>
      </c>
      <c r="BV2" s="138">
        <f>EDATE(BV$1,1)-1</f>
        <v/>
      </c>
      <c r="BW2" s="138">
        <f>EDATE(BW$1,1)-1</f>
        <v/>
      </c>
      <c r="BX2" s="138">
        <f>EDATE(BX$1,1)-1</f>
        <v/>
      </c>
      <c r="BY2" s="138">
        <f>EDATE(BY$1,1)-1</f>
        <v/>
      </c>
      <c r="BZ2" s="138">
        <f>EDATE(BZ$1,1)-1</f>
        <v/>
      </c>
      <c r="CA2" s="138">
        <f>EDATE(CA$1,1)-1</f>
        <v/>
      </c>
      <c r="CB2" s="131" t="n"/>
    </row>
    <row r="3" ht="17.65" customHeight="1" s="227">
      <c r="A3" s="99" t="n"/>
      <c r="B3" s="99" t="n"/>
      <c r="C3" s="99" t="n"/>
      <c r="D3" s="99" t="n"/>
      <c r="E3" s="99" t="n"/>
      <c r="F3" s="99" t="n"/>
      <c r="G3" s="99" t="n"/>
      <c r="H3" s="99" t="n"/>
      <c r="I3" s="100" t="n"/>
      <c r="J3" s="124" t="n"/>
      <c r="K3" s="127" t="inlineStr">
        <is>
          <t>Timeline</t>
        </is>
      </c>
      <c r="L3" s="127" t="n"/>
      <c r="M3" s="139" t="inlineStr">
        <is>
          <t>ANNUAL</t>
        </is>
      </c>
      <c r="N3" s="139" t="inlineStr">
        <is>
          <t>ANNUAL</t>
        </is>
      </c>
      <c r="O3" s="139" t="inlineStr">
        <is>
          <t>ANNUAL</t>
        </is>
      </c>
      <c r="P3" s="139" t="inlineStr">
        <is>
          <t>ANNUAL</t>
        </is>
      </c>
      <c r="Q3" s="139" t="inlineStr">
        <is>
          <t>ANNUAL</t>
        </is>
      </c>
      <c r="R3" s="139" t="n"/>
      <c r="S3" s="139" t="n"/>
      <c r="T3" s="139" t="inlineStr">
        <is>
          <t>MONTHLY</t>
        </is>
      </c>
      <c r="U3" s="139" t="inlineStr">
        <is>
          <t>MONTHLY</t>
        </is>
      </c>
      <c r="V3" s="139" t="inlineStr">
        <is>
          <t>MONTHLY</t>
        </is>
      </c>
      <c r="W3" s="139" t="inlineStr">
        <is>
          <t>MONTHLY</t>
        </is>
      </c>
      <c r="X3" s="139" t="inlineStr">
        <is>
          <t>MONTHLY</t>
        </is>
      </c>
      <c r="Y3" s="139" t="inlineStr">
        <is>
          <t>MONTHLY</t>
        </is>
      </c>
      <c r="Z3" s="139" t="inlineStr">
        <is>
          <t>MONTHLY</t>
        </is>
      </c>
      <c r="AA3" s="139" t="inlineStr">
        <is>
          <t>MONTHLY</t>
        </is>
      </c>
      <c r="AB3" s="139" t="inlineStr">
        <is>
          <t>MONTHLY</t>
        </is>
      </c>
      <c r="AC3" s="139" t="inlineStr">
        <is>
          <t>MONTHLY</t>
        </is>
      </c>
      <c r="AD3" s="139" t="inlineStr">
        <is>
          <t>MONTHLY</t>
        </is>
      </c>
      <c r="AE3" s="139" t="inlineStr">
        <is>
          <t>MONTHLY</t>
        </is>
      </c>
      <c r="AF3" s="139" t="inlineStr">
        <is>
          <t>MONTHLY</t>
        </is>
      </c>
      <c r="AG3" s="139" t="inlineStr">
        <is>
          <t>MONTHLY</t>
        </is>
      </c>
      <c r="AH3" s="139" t="inlineStr">
        <is>
          <t>MONTHLY</t>
        </is>
      </c>
      <c r="AI3" s="139" t="inlineStr">
        <is>
          <t>MONTHLY</t>
        </is>
      </c>
      <c r="AJ3" s="139" t="inlineStr">
        <is>
          <t>MONTHLY</t>
        </is>
      </c>
      <c r="AK3" s="139" t="inlineStr">
        <is>
          <t>MONTHLY</t>
        </is>
      </c>
      <c r="AL3" s="139" t="inlineStr">
        <is>
          <t>MONTHLY</t>
        </is>
      </c>
      <c r="AM3" s="139" t="inlineStr">
        <is>
          <t>MONTHLY</t>
        </is>
      </c>
      <c r="AN3" s="139" t="inlineStr">
        <is>
          <t>MONTHLY</t>
        </is>
      </c>
      <c r="AO3" s="139" t="inlineStr">
        <is>
          <t>MONTHLY</t>
        </is>
      </c>
      <c r="AP3" s="139" t="inlineStr">
        <is>
          <t>MONTHLY</t>
        </is>
      </c>
      <c r="AQ3" s="139" t="inlineStr">
        <is>
          <t>MONTHLY</t>
        </is>
      </c>
      <c r="AR3" s="139" t="inlineStr">
        <is>
          <t>MONTHLY</t>
        </is>
      </c>
      <c r="AS3" s="139" t="inlineStr">
        <is>
          <t>MONTHLY</t>
        </is>
      </c>
      <c r="AT3" s="139" t="inlineStr">
        <is>
          <t>MONTHLY</t>
        </is>
      </c>
      <c r="AU3" s="139" t="inlineStr">
        <is>
          <t>MONTHLY</t>
        </is>
      </c>
      <c r="AV3" s="139" t="inlineStr">
        <is>
          <t>MONTHLY</t>
        </is>
      </c>
      <c r="AW3" s="139" t="inlineStr">
        <is>
          <t>MONTHLY</t>
        </is>
      </c>
      <c r="AX3" s="139" t="inlineStr">
        <is>
          <t>MONTHLY</t>
        </is>
      </c>
      <c r="AY3" s="139" t="inlineStr">
        <is>
          <t>MONTHLY</t>
        </is>
      </c>
      <c r="AZ3" s="139" t="inlineStr">
        <is>
          <t>MONTHLY</t>
        </is>
      </c>
      <c r="BA3" s="139" t="inlineStr">
        <is>
          <t>MONTHLY</t>
        </is>
      </c>
      <c r="BB3" s="139" t="inlineStr">
        <is>
          <t>MONTHLY</t>
        </is>
      </c>
      <c r="BC3" s="139" t="inlineStr">
        <is>
          <t>MONTHLY</t>
        </is>
      </c>
      <c r="BD3" s="139" t="inlineStr">
        <is>
          <t>MONTHLY</t>
        </is>
      </c>
      <c r="BE3" s="139" t="inlineStr">
        <is>
          <t>MONTHLY</t>
        </is>
      </c>
      <c r="BF3" s="139" t="inlineStr">
        <is>
          <t>MONTHLY</t>
        </is>
      </c>
      <c r="BG3" s="139" t="inlineStr">
        <is>
          <t>MONTHLY</t>
        </is>
      </c>
      <c r="BH3" s="139" t="inlineStr">
        <is>
          <t>MONTHLY</t>
        </is>
      </c>
      <c r="BI3" s="139" t="inlineStr">
        <is>
          <t>MONTHLY</t>
        </is>
      </c>
      <c r="BJ3" s="139" t="inlineStr">
        <is>
          <t>MONTHLY</t>
        </is>
      </c>
      <c r="BK3" s="139" t="inlineStr">
        <is>
          <t>MONTHLY</t>
        </is>
      </c>
      <c r="BL3" s="139" t="inlineStr">
        <is>
          <t>MONTHLY</t>
        </is>
      </c>
      <c r="BM3" s="139" t="inlineStr">
        <is>
          <t>MONTHLY</t>
        </is>
      </c>
      <c r="BN3" s="139" t="inlineStr">
        <is>
          <t>MONTHLY</t>
        </is>
      </c>
      <c r="BO3" s="139" t="inlineStr">
        <is>
          <t>MONTHLY</t>
        </is>
      </c>
      <c r="BP3" s="139" t="inlineStr">
        <is>
          <t>MONTHLY</t>
        </is>
      </c>
      <c r="BQ3" s="139" t="inlineStr">
        <is>
          <t>MONTHLY</t>
        </is>
      </c>
      <c r="BR3" s="139" t="inlineStr">
        <is>
          <t>MONTHLY</t>
        </is>
      </c>
      <c r="BS3" s="139" t="inlineStr">
        <is>
          <t>MONTHLY</t>
        </is>
      </c>
      <c r="BT3" s="139" t="inlineStr">
        <is>
          <t>MONTHLY</t>
        </is>
      </c>
      <c r="BU3" s="139" t="inlineStr">
        <is>
          <t>MONTHLY</t>
        </is>
      </c>
      <c r="BV3" s="139" t="inlineStr">
        <is>
          <t>MONTHLY</t>
        </is>
      </c>
      <c r="BW3" s="139" t="inlineStr">
        <is>
          <t>MONTHLY</t>
        </is>
      </c>
      <c r="BX3" s="139" t="inlineStr">
        <is>
          <t>MONTHLY</t>
        </is>
      </c>
      <c r="BY3" s="139" t="inlineStr">
        <is>
          <t>MONTHLY</t>
        </is>
      </c>
      <c r="BZ3" s="139" t="inlineStr">
        <is>
          <t>MONTHLY</t>
        </is>
      </c>
      <c r="CA3" s="139" t="inlineStr">
        <is>
          <t>MONTHLY</t>
        </is>
      </c>
      <c r="CB3" s="125" t="n"/>
    </row>
    <row r="4" ht="17.65" customHeight="1" s="227">
      <c r="A4" s="101" t="n"/>
      <c r="B4" s="105" t="inlineStr">
        <is>
          <t>Tab Check</t>
        </is>
      </c>
      <c r="C4" s="106" t="n"/>
      <c r="D4" s="107" t="n"/>
      <c r="E4" s="99" t="n"/>
      <c r="F4" s="101" t="n"/>
      <c r="G4" s="101" t="n"/>
      <c r="H4" s="26" t="inlineStr">
        <is>
          <t>LINK TO FRONT SHEET</t>
        </is>
      </c>
      <c r="I4" s="101" t="n"/>
      <c r="J4" s="101" t="n"/>
      <c r="K4" s="127" t="inlineStr">
        <is>
          <t>Year index</t>
        </is>
      </c>
      <c r="L4" s="127" t="n"/>
      <c r="M4" s="241" t="n">
        <v>1</v>
      </c>
      <c r="N4" s="241">
        <f>M$4+1</f>
        <v/>
      </c>
      <c r="O4" s="241">
        <f>N$4+1</f>
        <v/>
      </c>
      <c r="P4" s="241">
        <f>O$4+1</f>
        <v/>
      </c>
      <c r="Q4" s="241">
        <f>P$4+1</f>
        <v/>
      </c>
      <c r="R4" s="241" t="n"/>
      <c r="S4" s="241" t="n"/>
      <c r="T4" s="241">
        <f>YEAR(T2)-(YEAR($M$1)-1)</f>
        <v/>
      </c>
      <c r="U4" s="241">
        <f>YEAR(U2)-(YEAR($M$1)-1)</f>
        <v/>
      </c>
      <c r="V4" s="241">
        <f>YEAR(V2)-(YEAR($M$1)-1)</f>
        <v/>
      </c>
      <c r="W4" s="241">
        <f>YEAR(W2)-(YEAR($M$1)-1)</f>
        <v/>
      </c>
      <c r="X4" s="241">
        <f>YEAR(X2)-(YEAR($M$1)-1)</f>
        <v/>
      </c>
      <c r="Y4" s="241">
        <f>YEAR(Y2)-(YEAR($M$1)-1)</f>
        <v/>
      </c>
      <c r="Z4" s="241">
        <f>YEAR(Z2)-(YEAR($M$1)-1)</f>
        <v/>
      </c>
      <c r="AA4" s="241">
        <f>YEAR(AA2)-(YEAR($M$1)-1)</f>
        <v/>
      </c>
      <c r="AB4" s="241">
        <f>YEAR(AB2)-(YEAR($M$1)-1)</f>
        <v/>
      </c>
      <c r="AC4" s="241">
        <f>YEAR(AC2)-(YEAR($M$1)-1)</f>
        <v/>
      </c>
      <c r="AD4" s="241">
        <f>YEAR(AD2)-(YEAR($M$1)-1)</f>
        <v/>
      </c>
      <c r="AE4" s="241">
        <f>YEAR(AE2)-(YEAR($M$1)-1)</f>
        <v/>
      </c>
      <c r="AF4" s="241">
        <f>YEAR(AF2)-(YEAR($M$1)-1)</f>
        <v/>
      </c>
      <c r="AG4" s="241">
        <f>YEAR(AG2)-(YEAR($M$1)-1)</f>
        <v/>
      </c>
      <c r="AH4" s="241">
        <f>YEAR(AH2)-(YEAR($M$1)-1)</f>
        <v/>
      </c>
      <c r="AI4" s="241">
        <f>YEAR(AI2)-(YEAR($M$1)-1)</f>
        <v/>
      </c>
      <c r="AJ4" s="241">
        <f>YEAR(AJ2)-(YEAR($M$1)-1)</f>
        <v/>
      </c>
      <c r="AK4" s="241">
        <f>YEAR(AK2)-(YEAR($M$1)-1)</f>
        <v/>
      </c>
      <c r="AL4" s="241">
        <f>YEAR(AL2)-(YEAR($M$1)-1)</f>
        <v/>
      </c>
      <c r="AM4" s="241">
        <f>YEAR(AM2)-(YEAR($M$1)-1)</f>
        <v/>
      </c>
      <c r="AN4" s="241">
        <f>YEAR(AN2)-(YEAR($M$1)-1)</f>
        <v/>
      </c>
      <c r="AO4" s="241">
        <f>YEAR(AO2)-(YEAR($M$1)-1)</f>
        <v/>
      </c>
      <c r="AP4" s="241">
        <f>YEAR(AP2)-(YEAR($M$1)-1)</f>
        <v/>
      </c>
      <c r="AQ4" s="241">
        <f>YEAR(AQ2)-(YEAR($M$1)-1)</f>
        <v/>
      </c>
      <c r="AR4" s="241">
        <f>YEAR(AR2)-(YEAR($M$1)-1)</f>
        <v/>
      </c>
      <c r="AS4" s="241">
        <f>YEAR(AS2)-(YEAR($M$1)-1)</f>
        <v/>
      </c>
      <c r="AT4" s="241">
        <f>YEAR(AT2)-(YEAR($M$1)-1)</f>
        <v/>
      </c>
      <c r="AU4" s="241">
        <f>YEAR(AU2)-(YEAR($M$1)-1)</f>
        <v/>
      </c>
      <c r="AV4" s="241">
        <f>YEAR(AV2)-(YEAR($M$1)-1)</f>
        <v/>
      </c>
      <c r="AW4" s="241">
        <f>YEAR(AW2)-(YEAR($M$1)-1)</f>
        <v/>
      </c>
      <c r="AX4" s="241">
        <f>YEAR(AX2)-(YEAR($M$1)-1)</f>
        <v/>
      </c>
      <c r="AY4" s="241">
        <f>YEAR(AY2)-(YEAR($M$1)-1)</f>
        <v/>
      </c>
      <c r="AZ4" s="241">
        <f>YEAR(AZ2)-(YEAR($M$1)-1)</f>
        <v/>
      </c>
      <c r="BA4" s="241">
        <f>YEAR(BA2)-(YEAR($M$1)-1)</f>
        <v/>
      </c>
      <c r="BB4" s="241">
        <f>YEAR(BB2)-(YEAR($M$1)-1)</f>
        <v/>
      </c>
      <c r="BC4" s="241">
        <f>YEAR(BC2)-(YEAR($M$1)-1)</f>
        <v/>
      </c>
      <c r="BD4" s="241">
        <f>YEAR(BD2)-(YEAR($M$1)-1)</f>
        <v/>
      </c>
      <c r="BE4" s="241">
        <f>YEAR(BE2)-(YEAR($M$1)-1)</f>
        <v/>
      </c>
      <c r="BF4" s="241">
        <f>YEAR(BF2)-(YEAR($M$1)-1)</f>
        <v/>
      </c>
      <c r="BG4" s="241">
        <f>YEAR(BG2)-(YEAR($M$1)-1)</f>
        <v/>
      </c>
      <c r="BH4" s="241">
        <f>YEAR(BH2)-(YEAR($M$1)-1)</f>
        <v/>
      </c>
      <c r="BI4" s="241">
        <f>YEAR(BI2)-(YEAR($M$1)-1)</f>
        <v/>
      </c>
      <c r="BJ4" s="241">
        <f>YEAR(BJ2)-(YEAR($M$1)-1)</f>
        <v/>
      </c>
      <c r="BK4" s="241">
        <f>YEAR(BK2)-(YEAR($M$1)-1)</f>
        <v/>
      </c>
      <c r="BL4" s="241">
        <f>YEAR(BL2)-(YEAR($M$1)-1)</f>
        <v/>
      </c>
      <c r="BM4" s="241">
        <f>YEAR(BM2)-(YEAR($M$1)-1)</f>
        <v/>
      </c>
      <c r="BN4" s="241">
        <f>YEAR(BN2)-(YEAR($M$1)-1)</f>
        <v/>
      </c>
      <c r="BO4" s="241">
        <f>YEAR(BO2)-(YEAR($M$1)-1)</f>
        <v/>
      </c>
      <c r="BP4" s="241">
        <f>YEAR(BP2)-(YEAR($M$1)-1)</f>
        <v/>
      </c>
      <c r="BQ4" s="241">
        <f>YEAR(BQ2)-(YEAR($M$1)-1)</f>
        <v/>
      </c>
      <c r="BR4" s="241">
        <f>YEAR(BR2)-(YEAR($M$1)-1)</f>
        <v/>
      </c>
      <c r="BS4" s="241">
        <f>YEAR(BS2)-(YEAR($M$1)-1)</f>
        <v/>
      </c>
      <c r="BT4" s="241">
        <f>YEAR(BT2)-(YEAR($M$1)-1)</f>
        <v/>
      </c>
      <c r="BU4" s="241">
        <f>YEAR(BU2)-(YEAR($M$1)-1)</f>
        <v/>
      </c>
      <c r="BV4" s="241">
        <f>YEAR(BV2)-(YEAR($M$1)-1)</f>
        <v/>
      </c>
      <c r="BW4" s="241">
        <f>YEAR(BW2)-(YEAR($M$1)-1)</f>
        <v/>
      </c>
      <c r="BX4" s="241">
        <f>YEAR(BX2)-(YEAR($M$1)-1)</f>
        <v/>
      </c>
      <c r="BY4" s="241">
        <f>YEAR(BY2)-(YEAR($M$1)-1)</f>
        <v/>
      </c>
      <c r="BZ4" s="241">
        <f>YEAR(BZ2)-(YEAR($M$1)-1)</f>
        <v/>
      </c>
      <c r="CA4" s="241">
        <f>YEAR(CA2)-(YEAR($M$1)-1)</f>
        <v/>
      </c>
      <c r="CB4" s="235" t="n"/>
    </row>
    <row r="5" ht="17.65" customHeight="1" s="227">
      <c r="A5" s="101" t="n"/>
      <c r="B5" s="228">
        <f>SUM(B$9:B157)</f>
        <v/>
      </c>
      <c r="C5" s="229">
        <f>SUM(C$9:C157)</f>
        <v/>
      </c>
      <c r="D5" s="104" t="n"/>
      <c r="E5" s="99" t="n"/>
      <c r="F5" s="101" t="n"/>
      <c r="G5" s="101" t="n"/>
      <c r="H5" s="28">
        <f>sysCheckText</f>
        <v/>
      </c>
      <c r="I5" s="101" t="n"/>
      <c r="J5" s="101" t="n"/>
      <c r="K5" s="127" t="inlineStr">
        <is>
          <t>Relative period</t>
        </is>
      </c>
      <c r="L5" s="127" t="n"/>
      <c r="M5" s="241" t="n">
        <v>1</v>
      </c>
      <c r="N5" s="241" t="n">
        <v>1</v>
      </c>
      <c r="O5" s="241" t="n">
        <v>1</v>
      </c>
      <c r="P5" s="241" t="n">
        <v>1</v>
      </c>
      <c r="Q5" s="241" t="n">
        <v>1</v>
      </c>
      <c r="R5" s="241" t="n"/>
      <c r="S5" s="241" t="n"/>
      <c r="T5" s="241">
        <f>MONTH(T2)</f>
        <v/>
      </c>
      <c r="U5" s="241">
        <f>MONTH(U2)</f>
        <v/>
      </c>
      <c r="V5" s="241">
        <f>MONTH(V2)</f>
        <v/>
      </c>
      <c r="W5" s="241">
        <f>MONTH(W2)</f>
        <v/>
      </c>
      <c r="X5" s="241">
        <f>MONTH(X2)</f>
        <v/>
      </c>
      <c r="Y5" s="241">
        <f>MONTH(Y2)</f>
        <v/>
      </c>
      <c r="Z5" s="241">
        <f>MONTH(Z2)</f>
        <v/>
      </c>
      <c r="AA5" s="241">
        <f>MONTH(AA2)</f>
        <v/>
      </c>
      <c r="AB5" s="241">
        <f>MONTH(AB2)</f>
        <v/>
      </c>
      <c r="AC5" s="241">
        <f>MONTH(AC2)</f>
        <v/>
      </c>
      <c r="AD5" s="241">
        <f>MONTH(AD2)</f>
        <v/>
      </c>
      <c r="AE5" s="241">
        <f>MONTH(AE2)</f>
        <v/>
      </c>
      <c r="AF5" s="241">
        <f>MONTH(AF2)</f>
        <v/>
      </c>
      <c r="AG5" s="241">
        <f>MONTH(AG2)</f>
        <v/>
      </c>
      <c r="AH5" s="241">
        <f>MONTH(AH2)</f>
        <v/>
      </c>
      <c r="AI5" s="241">
        <f>MONTH(AI2)</f>
        <v/>
      </c>
      <c r="AJ5" s="241">
        <f>MONTH(AJ2)</f>
        <v/>
      </c>
      <c r="AK5" s="241">
        <f>MONTH(AK2)</f>
        <v/>
      </c>
      <c r="AL5" s="241">
        <f>MONTH(AL2)</f>
        <v/>
      </c>
      <c r="AM5" s="241">
        <f>MONTH(AM2)</f>
        <v/>
      </c>
      <c r="AN5" s="241">
        <f>MONTH(AN2)</f>
        <v/>
      </c>
      <c r="AO5" s="241">
        <f>MONTH(AO2)</f>
        <v/>
      </c>
      <c r="AP5" s="241">
        <f>MONTH(AP2)</f>
        <v/>
      </c>
      <c r="AQ5" s="241">
        <f>MONTH(AQ2)</f>
        <v/>
      </c>
      <c r="AR5" s="241">
        <f>MONTH(AR2)</f>
        <v/>
      </c>
      <c r="AS5" s="241">
        <f>MONTH(AS2)</f>
        <v/>
      </c>
      <c r="AT5" s="241">
        <f>MONTH(AT2)</f>
        <v/>
      </c>
      <c r="AU5" s="241">
        <f>MONTH(AU2)</f>
        <v/>
      </c>
      <c r="AV5" s="241">
        <f>MONTH(AV2)</f>
        <v/>
      </c>
      <c r="AW5" s="241">
        <f>MONTH(AW2)</f>
        <v/>
      </c>
      <c r="AX5" s="241">
        <f>MONTH(AX2)</f>
        <v/>
      </c>
      <c r="AY5" s="241">
        <f>MONTH(AY2)</f>
        <v/>
      </c>
      <c r="AZ5" s="241">
        <f>MONTH(AZ2)</f>
        <v/>
      </c>
      <c r="BA5" s="241">
        <f>MONTH(BA2)</f>
        <v/>
      </c>
      <c r="BB5" s="241">
        <f>MONTH(BB2)</f>
        <v/>
      </c>
      <c r="BC5" s="241">
        <f>MONTH(BC2)</f>
        <v/>
      </c>
      <c r="BD5" s="241">
        <f>MONTH(BD2)</f>
        <v/>
      </c>
      <c r="BE5" s="241">
        <f>MONTH(BE2)</f>
        <v/>
      </c>
      <c r="BF5" s="241">
        <f>MONTH(BF2)</f>
        <v/>
      </c>
      <c r="BG5" s="241">
        <f>MONTH(BG2)</f>
        <v/>
      </c>
      <c r="BH5" s="241">
        <f>MONTH(BH2)</f>
        <v/>
      </c>
      <c r="BI5" s="241">
        <f>MONTH(BI2)</f>
        <v/>
      </c>
      <c r="BJ5" s="241">
        <f>MONTH(BJ2)</f>
        <v/>
      </c>
      <c r="BK5" s="241">
        <f>MONTH(BK2)</f>
        <v/>
      </c>
      <c r="BL5" s="241">
        <f>MONTH(BL2)</f>
        <v/>
      </c>
      <c r="BM5" s="241">
        <f>MONTH(BM2)</f>
        <v/>
      </c>
      <c r="BN5" s="241">
        <f>MONTH(BN2)</f>
        <v/>
      </c>
      <c r="BO5" s="241">
        <f>MONTH(BO2)</f>
        <v/>
      </c>
      <c r="BP5" s="241">
        <f>MONTH(BP2)</f>
        <v/>
      </c>
      <c r="BQ5" s="241">
        <f>MONTH(BQ2)</f>
        <v/>
      </c>
      <c r="BR5" s="241">
        <f>MONTH(BR2)</f>
        <v/>
      </c>
      <c r="BS5" s="241">
        <f>MONTH(BS2)</f>
        <v/>
      </c>
      <c r="BT5" s="241">
        <f>MONTH(BT2)</f>
        <v/>
      </c>
      <c r="BU5" s="241">
        <f>MONTH(BU2)</f>
        <v/>
      </c>
      <c r="BV5" s="241">
        <f>MONTH(BV2)</f>
        <v/>
      </c>
      <c r="BW5" s="241">
        <f>MONTH(BW2)</f>
        <v/>
      </c>
      <c r="BX5" s="241">
        <f>MONTH(BX2)</f>
        <v/>
      </c>
      <c r="BY5" s="241">
        <f>MONTH(BY2)</f>
        <v/>
      </c>
      <c r="BZ5" s="241">
        <f>MONTH(BZ2)</f>
        <v/>
      </c>
      <c r="CA5" s="241">
        <f>MONTH(CA2)</f>
        <v/>
      </c>
      <c r="CB5" s="235" t="n"/>
    </row>
    <row r="6" ht="17.65" customHeight="1" s="227">
      <c r="A6" s="101" t="n"/>
      <c r="B6" s="119" t="inlineStr">
        <is>
          <t>Err</t>
        </is>
      </c>
      <c r="C6" s="120" t="inlineStr">
        <is>
          <t>Alert</t>
        </is>
      </c>
      <c r="D6" s="121" t="n"/>
      <c r="E6" s="99" t="n"/>
      <c r="F6" s="101" t="n"/>
      <c r="G6" s="101" t="n"/>
      <c r="H6" s="101" t="n"/>
      <c r="I6" s="101" t="n"/>
      <c r="J6" s="101" t="n"/>
      <c r="K6" s="127" t="inlineStr">
        <is>
          <t>Period index</t>
        </is>
      </c>
      <c r="L6" s="127" t="n"/>
      <c r="M6" s="241" t="n">
        <v>1</v>
      </c>
      <c r="N6" s="241">
        <f>M$6+1</f>
        <v/>
      </c>
      <c r="O6" s="241">
        <f>N$6+1</f>
        <v/>
      </c>
      <c r="P6" s="241">
        <f>O$6+1</f>
        <v/>
      </c>
      <c r="Q6" s="241">
        <f>P$6+1</f>
        <v/>
      </c>
      <c r="R6" s="241" t="n"/>
      <c r="S6" s="241" t="n"/>
      <c r="T6" s="241" t="n">
        <v>1</v>
      </c>
      <c r="U6" s="241">
        <f>T$6+1</f>
        <v/>
      </c>
      <c r="V6" s="241">
        <f>U$6+1</f>
        <v/>
      </c>
      <c r="W6" s="241">
        <f>V$6+1</f>
        <v/>
      </c>
      <c r="X6" s="241">
        <f>W$6+1</f>
        <v/>
      </c>
      <c r="Y6" s="241">
        <f>X$6+1</f>
        <v/>
      </c>
      <c r="Z6" s="241">
        <f>Y$6+1</f>
        <v/>
      </c>
      <c r="AA6" s="241">
        <f>Z$6+1</f>
        <v/>
      </c>
      <c r="AB6" s="241">
        <f>AA$6+1</f>
        <v/>
      </c>
      <c r="AC6" s="241">
        <f>AB$6+1</f>
        <v/>
      </c>
      <c r="AD6" s="241">
        <f>AC$6+1</f>
        <v/>
      </c>
      <c r="AE6" s="241">
        <f>AD$6+1</f>
        <v/>
      </c>
      <c r="AF6" s="241">
        <f>AE$6+1</f>
        <v/>
      </c>
      <c r="AG6" s="241">
        <f>AF$6+1</f>
        <v/>
      </c>
      <c r="AH6" s="241">
        <f>AG$6+1</f>
        <v/>
      </c>
      <c r="AI6" s="241">
        <f>AH$6+1</f>
        <v/>
      </c>
      <c r="AJ6" s="241">
        <f>AI$6+1</f>
        <v/>
      </c>
      <c r="AK6" s="241">
        <f>AJ$6+1</f>
        <v/>
      </c>
      <c r="AL6" s="241">
        <f>AK$6+1</f>
        <v/>
      </c>
      <c r="AM6" s="241">
        <f>AL$6+1</f>
        <v/>
      </c>
      <c r="AN6" s="241">
        <f>AM$6+1</f>
        <v/>
      </c>
      <c r="AO6" s="241">
        <f>AN$6+1</f>
        <v/>
      </c>
      <c r="AP6" s="241">
        <f>AO$6+1</f>
        <v/>
      </c>
      <c r="AQ6" s="241">
        <f>AP$6+1</f>
        <v/>
      </c>
      <c r="AR6" s="241">
        <f>AQ$6+1</f>
        <v/>
      </c>
      <c r="AS6" s="241">
        <f>AR$6+1</f>
        <v/>
      </c>
      <c r="AT6" s="241">
        <f>AS$6+1</f>
        <v/>
      </c>
      <c r="AU6" s="241">
        <f>AT$6+1</f>
        <v/>
      </c>
      <c r="AV6" s="241">
        <f>AU$6+1</f>
        <v/>
      </c>
      <c r="AW6" s="241">
        <f>AV$6+1</f>
        <v/>
      </c>
      <c r="AX6" s="241">
        <f>AW$6+1</f>
        <v/>
      </c>
      <c r="AY6" s="241">
        <f>AX$6+1</f>
        <v/>
      </c>
      <c r="AZ6" s="241">
        <f>AY$6+1</f>
        <v/>
      </c>
      <c r="BA6" s="241">
        <f>AZ$6+1</f>
        <v/>
      </c>
      <c r="BB6" s="241">
        <f>BA$6+1</f>
        <v/>
      </c>
      <c r="BC6" s="241">
        <f>BB$6+1</f>
        <v/>
      </c>
      <c r="BD6" s="241">
        <f>BC$6+1</f>
        <v/>
      </c>
      <c r="BE6" s="241">
        <f>BD$6+1</f>
        <v/>
      </c>
      <c r="BF6" s="241">
        <f>BE$6+1</f>
        <v/>
      </c>
      <c r="BG6" s="241">
        <f>BF$6+1</f>
        <v/>
      </c>
      <c r="BH6" s="241">
        <f>BG$6+1</f>
        <v/>
      </c>
      <c r="BI6" s="241">
        <f>BH$6+1</f>
        <v/>
      </c>
      <c r="BJ6" s="241">
        <f>BI$6+1</f>
        <v/>
      </c>
      <c r="BK6" s="241">
        <f>BJ$6+1</f>
        <v/>
      </c>
      <c r="BL6" s="241">
        <f>BK$6+1</f>
        <v/>
      </c>
      <c r="BM6" s="241">
        <f>BL$6+1</f>
        <v/>
      </c>
      <c r="BN6" s="241">
        <f>BM$6+1</f>
        <v/>
      </c>
      <c r="BO6" s="241">
        <f>BN$6+1</f>
        <v/>
      </c>
      <c r="BP6" s="241">
        <f>BO$6+1</f>
        <v/>
      </c>
      <c r="BQ6" s="241">
        <f>BP$6+1</f>
        <v/>
      </c>
      <c r="BR6" s="241">
        <f>BQ$6+1</f>
        <v/>
      </c>
      <c r="BS6" s="241">
        <f>BR$6+1</f>
        <v/>
      </c>
      <c r="BT6" s="241">
        <f>BS$6+1</f>
        <v/>
      </c>
      <c r="BU6" s="241">
        <f>BT$6+1</f>
        <v/>
      </c>
      <c r="BV6" s="241">
        <f>BU$6+1</f>
        <v/>
      </c>
      <c r="BW6" s="241">
        <f>BV$6+1</f>
        <v/>
      </c>
      <c r="BX6" s="241">
        <f>BW$6+1</f>
        <v/>
      </c>
      <c r="BY6" s="241">
        <f>BX$6+1</f>
        <v/>
      </c>
      <c r="BZ6" s="241">
        <f>BY$6+1</f>
        <v/>
      </c>
      <c r="CA6" s="241">
        <f>BZ$6+1</f>
        <v/>
      </c>
      <c r="CB6" s="235" t="n"/>
    </row>
    <row r="7" ht="17.65" customHeight="1" s="227">
      <c r="A7" s="101" t="n"/>
      <c r="B7" s="117" t="n"/>
      <c r="C7" s="117" t="n"/>
      <c r="D7" s="122" t="n"/>
      <c r="E7" s="99" t="n"/>
      <c r="F7" s="101" t="n"/>
      <c r="G7" s="101" t="n"/>
      <c r="H7" s="101" t="n"/>
      <c r="I7" s="101" t="n"/>
      <c r="J7" s="101" t="n"/>
      <c r="K7" s="127" t="inlineStr">
        <is>
          <t>Status</t>
        </is>
      </c>
      <c r="L7" s="127" t="n"/>
      <c r="M7" s="242">
        <f>IF(M2&lt;i_Setup!$U$25,"Actual","Forecast")</f>
        <v/>
      </c>
      <c r="N7" s="242">
        <f>IF(N2&lt;i_Setup!$U$25,"Actual","Forecast")</f>
        <v/>
      </c>
      <c r="O7" s="242">
        <f>IF(O2&lt;i_Setup!$U$25,"Actual","Forecast")</f>
        <v/>
      </c>
      <c r="P7" s="242">
        <f>IF(P2&lt;i_Setup!$U$25,"Actual","Forecast")</f>
        <v/>
      </c>
      <c r="Q7" s="242">
        <f>IF(Q2&lt;i_Setup!$U$25,"Actual","Forecast")</f>
        <v/>
      </c>
      <c r="R7" s="243" t="n"/>
      <c r="S7" s="243" t="n"/>
      <c r="T7" s="242">
        <f>IF(T2&lt;i_Setup!$U$25,"Actual","Forecast")</f>
        <v/>
      </c>
      <c r="U7" s="242">
        <f>IF(U2&lt;i_Setup!$U$25,"Actual","Forecast")</f>
        <v/>
      </c>
      <c r="V7" s="242">
        <f>IF(V2&lt;i_Setup!$U$25,"Actual","Forecast")</f>
        <v/>
      </c>
      <c r="W7" s="242">
        <f>IF(W2&lt;i_Setup!$U$25,"Actual","Forecast")</f>
        <v/>
      </c>
      <c r="X7" s="242">
        <f>IF(X2&lt;i_Setup!$U$25,"Actual","Forecast")</f>
        <v/>
      </c>
      <c r="Y7" s="242">
        <f>IF(Y2&lt;i_Setup!$U$25,"Actual","Forecast")</f>
        <v/>
      </c>
      <c r="Z7" s="242">
        <f>IF(Z2&lt;i_Setup!$U$25,"Actual","Forecast")</f>
        <v/>
      </c>
      <c r="AA7" s="242">
        <f>IF(AA2&lt;i_Setup!$U$25,"Actual","Forecast")</f>
        <v/>
      </c>
      <c r="AB7" s="242">
        <f>IF(AB2&lt;i_Setup!$U$25,"Actual","Forecast")</f>
        <v/>
      </c>
      <c r="AC7" s="242">
        <f>IF(AC2&lt;i_Setup!$U$25,"Actual","Forecast")</f>
        <v/>
      </c>
      <c r="AD7" s="242">
        <f>IF(AD2&lt;i_Setup!$U$25,"Actual","Forecast")</f>
        <v/>
      </c>
      <c r="AE7" s="242">
        <f>IF(AE2&lt;i_Setup!$U$25,"Actual","Forecast")</f>
        <v/>
      </c>
      <c r="AF7" s="242">
        <f>IF(AF2&lt;i_Setup!$U$25,"Actual","Forecast")</f>
        <v/>
      </c>
      <c r="AG7" s="242">
        <f>IF(AG2&lt;i_Setup!$U$25,"Actual","Forecast")</f>
        <v/>
      </c>
      <c r="AH7" s="242">
        <f>IF(AH2&lt;i_Setup!$U$25,"Actual","Forecast")</f>
        <v/>
      </c>
      <c r="AI7" s="242">
        <f>IF(AI2&lt;i_Setup!$U$25,"Actual","Forecast")</f>
        <v/>
      </c>
      <c r="AJ7" s="242">
        <f>IF(AJ2&lt;i_Setup!$U$25,"Actual","Forecast")</f>
        <v/>
      </c>
      <c r="AK7" s="242">
        <f>IF(AK2&lt;i_Setup!$U$25,"Actual","Forecast")</f>
        <v/>
      </c>
      <c r="AL7" s="242">
        <f>IF(AL2&lt;i_Setup!$U$25,"Actual","Forecast")</f>
        <v/>
      </c>
      <c r="AM7" s="242">
        <f>IF(AM2&lt;i_Setup!$U$25,"Actual","Forecast")</f>
        <v/>
      </c>
      <c r="AN7" s="242">
        <f>IF(AN2&lt;i_Setup!$U$25,"Actual","Forecast")</f>
        <v/>
      </c>
      <c r="AO7" s="242">
        <f>IF(AO2&lt;i_Setup!$U$25,"Actual","Forecast")</f>
        <v/>
      </c>
      <c r="AP7" s="242">
        <f>IF(AP2&lt;i_Setup!$U$25,"Actual","Forecast")</f>
        <v/>
      </c>
      <c r="AQ7" s="242">
        <f>IF(AQ2&lt;i_Setup!$U$25,"Actual","Forecast")</f>
        <v/>
      </c>
      <c r="AR7" s="242">
        <f>IF(AR2&lt;i_Setup!$U$25,"Actual","Forecast")</f>
        <v/>
      </c>
      <c r="AS7" s="242">
        <f>IF(AS2&lt;i_Setup!$U$25,"Actual","Forecast")</f>
        <v/>
      </c>
      <c r="AT7" s="242">
        <f>IF(AT2&lt;i_Setup!$U$25,"Actual","Forecast")</f>
        <v/>
      </c>
      <c r="AU7" s="242">
        <f>IF(AU2&lt;i_Setup!$U$25,"Actual","Forecast")</f>
        <v/>
      </c>
      <c r="AV7" s="242">
        <f>IF(AV2&lt;i_Setup!$U$25,"Actual","Forecast")</f>
        <v/>
      </c>
      <c r="AW7" s="242">
        <f>IF(AW2&lt;i_Setup!$U$25,"Actual","Forecast")</f>
        <v/>
      </c>
      <c r="AX7" s="242">
        <f>IF(AX2&lt;i_Setup!$U$25,"Actual","Forecast")</f>
        <v/>
      </c>
      <c r="AY7" s="242">
        <f>IF(AY2&lt;i_Setup!$U$25,"Actual","Forecast")</f>
        <v/>
      </c>
      <c r="AZ7" s="242">
        <f>IF(AZ2&lt;i_Setup!$U$25,"Actual","Forecast")</f>
        <v/>
      </c>
      <c r="BA7" s="242">
        <f>IF(BA2&lt;i_Setup!$U$25,"Actual","Forecast")</f>
        <v/>
      </c>
      <c r="BB7" s="242">
        <f>IF(BB2&lt;i_Setup!$U$25,"Actual","Forecast")</f>
        <v/>
      </c>
      <c r="BC7" s="242">
        <f>IF(BC2&lt;i_Setup!$U$25,"Actual","Forecast")</f>
        <v/>
      </c>
      <c r="BD7" s="242">
        <f>IF(BD2&lt;i_Setup!$U$25,"Actual","Forecast")</f>
        <v/>
      </c>
      <c r="BE7" s="242">
        <f>IF(BE2&lt;i_Setup!$U$25,"Actual","Forecast")</f>
        <v/>
      </c>
      <c r="BF7" s="242">
        <f>IF(BF2&lt;i_Setup!$U$25,"Actual","Forecast")</f>
        <v/>
      </c>
      <c r="BG7" s="242">
        <f>IF(BG2&lt;i_Setup!$U$25,"Actual","Forecast")</f>
        <v/>
      </c>
      <c r="BH7" s="242">
        <f>IF(BH2&lt;i_Setup!$U$25,"Actual","Forecast")</f>
        <v/>
      </c>
      <c r="BI7" s="242">
        <f>IF(BI2&lt;i_Setup!$U$25,"Actual","Forecast")</f>
        <v/>
      </c>
      <c r="BJ7" s="242">
        <f>IF(BJ2&lt;i_Setup!$U$25,"Actual","Forecast")</f>
        <v/>
      </c>
      <c r="BK7" s="242">
        <f>IF(BK2&lt;i_Setup!$U$25,"Actual","Forecast")</f>
        <v/>
      </c>
      <c r="BL7" s="242">
        <f>IF(BL2&lt;i_Setup!$U$25,"Actual","Forecast")</f>
        <v/>
      </c>
      <c r="BM7" s="242">
        <f>IF(BM2&lt;i_Setup!$U$25,"Actual","Forecast")</f>
        <v/>
      </c>
      <c r="BN7" s="242">
        <f>IF(BN2&lt;i_Setup!$U$25,"Actual","Forecast")</f>
        <v/>
      </c>
      <c r="BO7" s="242">
        <f>IF(BO2&lt;i_Setup!$U$25,"Actual","Forecast")</f>
        <v/>
      </c>
      <c r="BP7" s="242">
        <f>IF(BP2&lt;i_Setup!$U$25,"Actual","Forecast")</f>
        <v/>
      </c>
      <c r="BQ7" s="242">
        <f>IF(BQ2&lt;i_Setup!$U$25,"Actual","Forecast")</f>
        <v/>
      </c>
      <c r="BR7" s="242">
        <f>IF(BR2&lt;i_Setup!$U$25,"Actual","Forecast")</f>
        <v/>
      </c>
      <c r="BS7" s="242">
        <f>IF(BS2&lt;i_Setup!$U$25,"Actual","Forecast")</f>
        <v/>
      </c>
      <c r="BT7" s="242">
        <f>IF(BT2&lt;i_Setup!$U$25,"Actual","Forecast")</f>
        <v/>
      </c>
      <c r="BU7" s="242">
        <f>IF(BU2&lt;i_Setup!$U$25,"Actual","Forecast")</f>
        <v/>
      </c>
      <c r="BV7" s="242">
        <f>IF(BV2&lt;i_Setup!$U$25,"Actual","Forecast")</f>
        <v/>
      </c>
      <c r="BW7" s="242">
        <f>IF(BW2&lt;i_Setup!$U$25,"Actual","Forecast")</f>
        <v/>
      </c>
      <c r="BX7" s="242">
        <f>IF(BX2&lt;i_Setup!$U$25,"Actual","Forecast")</f>
        <v/>
      </c>
      <c r="BY7" s="242">
        <f>IF(BY2&lt;i_Setup!$U$25,"Actual","Forecast")</f>
        <v/>
      </c>
      <c r="BZ7" s="242">
        <f>IF(BZ2&lt;i_Setup!$U$25,"Actual","Forecast")</f>
        <v/>
      </c>
      <c r="CA7" s="242">
        <f>IF(CA2&lt;i_Setup!$U$25,"Actual","Forecast")</f>
        <v/>
      </c>
      <c r="CB7" s="235" t="n"/>
    </row>
    <row r="8" ht="17.65" customHeight="1" s="227">
      <c r="A8" s="4" t="n"/>
      <c r="B8" s="4" t="n"/>
      <c r="T8" s="0" t="n"/>
    </row>
    <row r="9" ht="15.75" customFormat="1" customHeight="1" s="99">
      <c r="D9" s="99">
        <f>Heading1</f>
        <v/>
      </c>
      <c r="E9" s="99" t="inlineStr">
        <is>
          <t>Actuals</t>
        </is>
      </c>
    </row>
    <row r="10" ht="12" customHeight="1" s="227">
      <c r="A10" s="244" t="n"/>
      <c r="B10" s="244" t="n"/>
      <c r="C10" s="244" t="n"/>
    </row>
    <row r="11" ht="13.5" customFormat="1" customHeight="1" s="223" thickBot="1">
      <c r="E11" s="223">
        <f>Heading2</f>
        <v/>
      </c>
      <c r="F11" s="223" t="inlineStr">
        <is>
          <t>Income Statement</t>
        </is>
      </c>
    </row>
    <row r="12" ht="12" customHeight="1" s="227">
      <c r="A12" s="244" t="n"/>
      <c r="B12" s="244" t="n"/>
      <c r="C12" s="244" t="n"/>
    </row>
    <row r="13" ht="12" customHeight="1" s="227">
      <c r="A13" s="244" t="n"/>
      <c r="B13" s="244" t="n"/>
      <c r="C13" s="244" t="n"/>
      <c r="G13" s="222" t="inlineStr">
        <is>
          <t>Total Revenue</t>
        </is>
      </c>
    </row>
    <row r="14" ht="12" customHeight="1" s="227">
      <c r="A14" s="244" t="n"/>
      <c r="B14" s="244" t="n"/>
      <c r="C14" s="244" t="n"/>
      <c r="G14" s="222" t="n"/>
      <c r="H14" s="34">
        <f>i_Setup!U32</f>
        <v/>
      </c>
      <c r="I14" s="27">
        <f>i_Setup!$M$16</f>
        <v/>
      </c>
      <c r="M14" s="245">
        <f>SUMIF($T$4:$CA$4,M$4,$T14:$CA14)</f>
        <v/>
      </c>
      <c r="N14" s="245">
        <f>SUMIF($T$4:$CA$4,N$4,$T14:$CA14)</f>
        <v/>
      </c>
      <c r="O14" s="245">
        <f>SUMIF($T$4:$CA$4,O$4,$T14:$CA14)</f>
        <v/>
      </c>
      <c r="P14" s="245">
        <f>SUMIF($T$4:$CA$4,P$4,$T14:$CA14)</f>
        <v/>
      </c>
      <c r="Q14" s="245">
        <f>SUMIF($T$4:$CA$4,Q$4,$T14:$CA14)</f>
        <v/>
      </c>
      <c r="T14" s="246" t="n"/>
      <c r="U14" s="246" t="n"/>
      <c r="V14" s="246" t="n"/>
      <c r="W14" s="246" t="n"/>
      <c r="X14" s="246" t="n"/>
      <c r="Y14" s="246" t="n"/>
      <c r="Z14" s="246" t="n"/>
      <c r="AA14" s="246" t="n"/>
      <c r="AB14" s="246" t="n"/>
      <c r="AC14" s="246" t="n"/>
      <c r="AD14" s="246" t="n"/>
      <c r="AE14" s="246" t="n"/>
      <c r="AF14" s="246" t="n"/>
      <c r="AG14" s="246" t="n"/>
      <c r="AH14" s="246" t="n"/>
      <c r="AI14" s="246" t="n"/>
      <c r="AJ14" s="246" t="n"/>
      <c r="AK14" s="246" t="n"/>
      <c r="AL14" s="246" t="n"/>
      <c r="AM14" s="246" t="n"/>
      <c r="AN14" s="246" t="n"/>
      <c r="AO14" s="246" t="n"/>
      <c r="AP14" s="246" t="n"/>
      <c r="AQ14" s="246" t="n"/>
      <c r="AR14" s="246" t="n"/>
      <c r="AS14" s="246" t="n"/>
      <c r="AT14" s="246" t="n"/>
      <c r="AU14" s="246" t="n"/>
      <c r="AV14" s="246" t="n"/>
      <c r="AW14" s="246" t="n"/>
      <c r="AX14" s="246" t="n"/>
      <c r="AY14" s="246" t="n"/>
      <c r="AZ14" s="246" t="n"/>
      <c r="BA14" s="246" t="n"/>
      <c r="BB14" s="246" t="n"/>
      <c r="BC14" s="246" t="n"/>
      <c r="BD14" s="246" t="n"/>
      <c r="BE14" s="246" t="n"/>
      <c r="BF14" s="246" t="n"/>
      <c r="BG14" s="246" t="n"/>
      <c r="BH14" s="246" t="n"/>
      <c r="BI14" s="246" t="n"/>
      <c r="BJ14" s="246" t="n"/>
      <c r="BK14" s="246" t="n"/>
      <c r="BL14" s="246" t="n"/>
      <c r="BM14" s="246" t="n"/>
      <c r="BN14" s="246" t="n"/>
      <c r="BO14" s="246" t="n"/>
      <c r="BP14" s="246" t="n"/>
      <c r="BQ14" s="246" t="n"/>
      <c r="BR14" s="246" t="n"/>
      <c r="BS14" s="246" t="n"/>
      <c r="BT14" s="246" t="n"/>
      <c r="BU14" s="246" t="n"/>
      <c r="BV14" s="246" t="n"/>
      <c r="BW14" s="246" t="n"/>
      <c r="BX14" s="246" t="n"/>
      <c r="BY14" s="246" t="n"/>
      <c r="BZ14" s="246" t="n"/>
      <c r="CA14" s="246" t="n"/>
    </row>
    <row r="15" ht="12" customHeight="1" s="227">
      <c r="A15" s="244" t="n"/>
      <c r="B15" s="244" t="n"/>
      <c r="C15" s="244" t="n"/>
      <c r="G15" s="222" t="n"/>
      <c r="H15" s="34">
        <f>i_Setup!U33</f>
        <v/>
      </c>
      <c r="I15" s="27">
        <f>i_Setup!$M$16</f>
        <v/>
      </c>
      <c r="M15" s="245">
        <f>SUMIF($T$4:$CA$4,M$4,$T15:$CA15)</f>
        <v/>
      </c>
      <c r="N15" s="245">
        <f>SUMIF($T$4:$CA$4,N$4,$T15:$CA15)</f>
        <v/>
      </c>
      <c r="O15" s="245">
        <f>SUMIF($T$4:$CA$4,O$4,$T15:$CA15)</f>
        <v/>
      </c>
      <c r="P15" s="245">
        <f>SUMIF($T$4:$CA$4,P$4,$T15:$CA15)</f>
        <v/>
      </c>
      <c r="Q15" s="245">
        <f>SUMIF($T$4:$CA$4,Q$4,$T15:$CA15)</f>
        <v/>
      </c>
      <c r="T15" s="246" t="n"/>
      <c r="U15" s="246" t="n"/>
      <c r="V15" s="246" t="n"/>
      <c r="W15" s="246" t="n"/>
      <c r="X15" s="246" t="n"/>
      <c r="Y15" s="246" t="n"/>
      <c r="Z15" s="246" t="n"/>
      <c r="AA15" s="246" t="n"/>
      <c r="AB15" s="246" t="n"/>
      <c r="AC15" s="246" t="n"/>
      <c r="AD15" s="246" t="n"/>
      <c r="AE15" s="246" t="n"/>
      <c r="AF15" s="246" t="n"/>
      <c r="AG15" s="246" t="n"/>
      <c r="AH15" s="246" t="n"/>
      <c r="AI15" s="246" t="n"/>
      <c r="AJ15" s="246" t="n"/>
      <c r="AK15" s="246" t="n"/>
      <c r="AL15" s="246" t="n"/>
      <c r="AM15" s="246" t="n"/>
      <c r="AN15" s="246" t="n"/>
      <c r="AO15" s="246" t="n"/>
      <c r="AP15" s="246" t="n"/>
      <c r="AQ15" s="246" t="n"/>
      <c r="AR15" s="246" t="n"/>
      <c r="AS15" s="246" t="n"/>
      <c r="AT15" s="246" t="n"/>
      <c r="AU15" s="246" t="n"/>
      <c r="AV15" s="246" t="n"/>
      <c r="AW15" s="246" t="n"/>
      <c r="AX15" s="246" t="n"/>
      <c r="AY15" s="246" t="n"/>
      <c r="AZ15" s="246" t="n"/>
      <c r="BA15" s="246" t="n"/>
      <c r="BB15" s="246" t="n"/>
      <c r="BC15" s="246" t="n"/>
      <c r="BD15" s="246" t="n"/>
      <c r="BE15" s="246" t="n"/>
      <c r="BF15" s="246" t="n"/>
      <c r="BG15" s="246" t="n"/>
      <c r="BH15" s="246" t="n"/>
      <c r="BI15" s="246" t="n"/>
      <c r="BJ15" s="246" t="n"/>
      <c r="BK15" s="246" t="n"/>
      <c r="BL15" s="246" t="n"/>
      <c r="BM15" s="246" t="n"/>
      <c r="BN15" s="246" t="n"/>
      <c r="BO15" s="246" t="n"/>
      <c r="BP15" s="246" t="n"/>
      <c r="BQ15" s="246" t="n"/>
      <c r="BR15" s="246" t="n"/>
      <c r="BS15" s="246" t="n"/>
      <c r="BT15" s="246" t="n"/>
      <c r="BU15" s="246" t="n"/>
      <c r="BV15" s="246" t="n"/>
      <c r="BW15" s="246" t="n"/>
      <c r="BX15" s="246" t="n"/>
      <c r="BY15" s="246" t="n"/>
      <c r="BZ15" s="246" t="n"/>
      <c r="CA15" s="246" t="n"/>
    </row>
    <row r="16" ht="12" customHeight="1" s="227">
      <c r="A16" s="244" t="n"/>
      <c r="B16" s="244" t="n"/>
      <c r="C16" s="244" t="n"/>
      <c r="G16" s="222" t="n"/>
      <c r="H16" s="34">
        <f>i_Setup!U34</f>
        <v/>
      </c>
      <c r="I16" s="27">
        <f>i_Setup!$M$16</f>
        <v/>
      </c>
      <c r="M16" s="245">
        <f>SUMIF($T$4:$CA$4,M$4,$T16:$CA16)</f>
        <v/>
      </c>
      <c r="N16" s="245">
        <f>SUMIF($T$4:$CA$4,N$4,$T16:$CA16)</f>
        <v/>
      </c>
      <c r="O16" s="245">
        <f>SUMIF($T$4:$CA$4,O$4,$T16:$CA16)</f>
        <v/>
      </c>
      <c r="P16" s="245">
        <f>SUMIF($T$4:$CA$4,P$4,$T16:$CA16)</f>
        <v/>
      </c>
      <c r="Q16" s="245">
        <f>SUMIF($T$4:$CA$4,Q$4,$T16:$CA16)</f>
        <v/>
      </c>
      <c r="T16" s="246" t="n"/>
      <c r="U16" s="246" t="n"/>
      <c r="V16" s="246" t="n"/>
      <c r="W16" s="246" t="n"/>
      <c r="X16" s="246" t="n"/>
      <c r="Y16" s="246" t="n"/>
      <c r="Z16" s="246" t="n"/>
      <c r="AA16" s="246" t="n"/>
      <c r="AB16" s="246" t="n"/>
      <c r="AC16" s="246" t="n"/>
      <c r="AD16" s="246" t="n"/>
      <c r="AE16" s="246" t="n"/>
      <c r="AF16" s="246" t="n"/>
      <c r="AG16" s="246" t="n"/>
      <c r="AH16" s="246" t="n"/>
      <c r="AI16" s="246" t="n"/>
      <c r="AJ16" s="246" t="n"/>
      <c r="AK16" s="246" t="n"/>
      <c r="AL16" s="246" t="n"/>
      <c r="AM16" s="246" t="n"/>
      <c r="AN16" s="246" t="n"/>
      <c r="AO16" s="246" t="n"/>
      <c r="AP16" s="246" t="n"/>
      <c r="AQ16" s="246" t="n"/>
      <c r="AR16" s="246" t="n"/>
      <c r="AS16" s="246" t="n"/>
      <c r="AT16" s="246" t="n"/>
      <c r="AU16" s="246" t="n"/>
      <c r="AV16" s="246" t="n"/>
      <c r="AW16" s="246" t="n"/>
      <c r="AX16" s="246" t="n"/>
      <c r="AY16" s="246" t="n"/>
      <c r="AZ16" s="246" t="n"/>
      <c r="BA16" s="246" t="n"/>
      <c r="BB16" s="246" t="n"/>
      <c r="BC16" s="246" t="n"/>
      <c r="BD16" s="246" t="n"/>
      <c r="BE16" s="246" t="n"/>
      <c r="BF16" s="246" t="n"/>
      <c r="BG16" s="246" t="n"/>
      <c r="BH16" s="246" t="n"/>
      <c r="BI16" s="246" t="n"/>
      <c r="BJ16" s="246" t="n"/>
      <c r="BK16" s="246" t="n"/>
      <c r="BL16" s="246" t="n"/>
      <c r="BM16" s="246" t="n"/>
      <c r="BN16" s="246" t="n"/>
      <c r="BO16" s="246" t="n"/>
      <c r="BP16" s="246" t="n"/>
      <c r="BQ16" s="246" t="n"/>
      <c r="BR16" s="246" t="n"/>
      <c r="BS16" s="246" t="n"/>
      <c r="BT16" s="246" t="n"/>
      <c r="BU16" s="246" t="n"/>
      <c r="BV16" s="246" t="n"/>
      <c r="BW16" s="246" t="n"/>
      <c r="BX16" s="246" t="n"/>
      <c r="BY16" s="246" t="n"/>
      <c r="BZ16" s="246" t="n"/>
      <c r="CA16" s="246" t="n"/>
    </row>
    <row r="17" ht="12" customHeight="1" s="227">
      <c r="A17" s="244" t="n"/>
      <c r="B17" s="244" t="n"/>
      <c r="C17" s="244" t="n"/>
      <c r="G17" s="222" t="n"/>
      <c r="H17" s="34">
        <f>i_Setup!U35</f>
        <v/>
      </c>
      <c r="I17" s="27">
        <f>i_Setup!$M$16</f>
        <v/>
      </c>
      <c r="M17" s="245">
        <f>SUMIF($T$4:$CA$4,M$4,$T17:$CA17)</f>
        <v/>
      </c>
      <c r="N17" s="245">
        <f>SUMIF($T$4:$CA$4,N$4,$T17:$CA17)</f>
        <v/>
      </c>
      <c r="O17" s="245">
        <f>SUMIF($T$4:$CA$4,O$4,$T17:$CA17)</f>
        <v/>
      </c>
      <c r="P17" s="245">
        <f>SUMIF($T$4:$CA$4,P$4,$T17:$CA17)</f>
        <v/>
      </c>
      <c r="Q17" s="245">
        <f>SUMIF($T$4:$CA$4,Q$4,$T17:$CA17)</f>
        <v/>
      </c>
      <c r="T17" s="246" t="n"/>
      <c r="U17" s="246" t="n"/>
      <c r="V17" s="246" t="n"/>
      <c r="W17" s="246" t="n"/>
      <c r="X17" s="246" t="n"/>
      <c r="Y17" s="246" t="n"/>
      <c r="Z17" s="246" t="n"/>
      <c r="AA17" s="246" t="n"/>
      <c r="AB17" s="246" t="n"/>
      <c r="AC17" s="246" t="n"/>
      <c r="AD17" s="246" t="n"/>
      <c r="AE17" s="246" t="n"/>
      <c r="AF17" s="246" t="n"/>
      <c r="AG17" s="246" t="n"/>
      <c r="AH17" s="246" t="n"/>
      <c r="AI17" s="246" t="n"/>
      <c r="AJ17" s="246" t="n"/>
      <c r="AK17" s="246" t="n"/>
      <c r="AL17" s="246" t="n"/>
      <c r="AM17" s="246" t="n"/>
      <c r="AN17" s="246" t="n"/>
      <c r="AO17" s="246" t="n"/>
      <c r="AP17" s="246" t="n"/>
      <c r="AQ17" s="246" t="n"/>
      <c r="AR17" s="246" t="n"/>
      <c r="AS17" s="246" t="n"/>
      <c r="AT17" s="246" t="n"/>
      <c r="AU17" s="246" t="n"/>
      <c r="AV17" s="246" t="n"/>
      <c r="AW17" s="246" t="n"/>
      <c r="AX17" s="246" t="n"/>
      <c r="AY17" s="246" t="n"/>
      <c r="AZ17" s="246" t="n"/>
      <c r="BA17" s="246" t="n"/>
      <c r="BB17" s="246" t="n"/>
      <c r="BC17" s="246" t="n"/>
      <c r="BD17" s="246" t="n"/>
      <c r="BE17" s="246" t="n"/>
      <c r="BF17" s="246" t="n"/>
      <c r="BG17" s="246" t="n"/>
      <c r="BH17" s="246" t="n"/>
      <c r="BI17" s="246" t="n"/>
      <c r="BJ17" s="246" t="n"/>
      <c r="BK17" s="246" t="n"/>
      <c r="BL17" s="246" t="n"/>
      <c r="BM17" s="246" t="n"/>
      <c r="BN17" s="246" t="n"/>
      <c r="BO17" s="246" t="n"/>
      <c r="BP17" s="246" t="n"/>
      <c r="BQ17" s="246" t="n"/>
      <c r="BR17" s="246" t="n"/>
      <c r="BS17" s="246" t="n"/>
      <c r="BT17" s="246" t="n"/>
      <c r="BU17" s="246" t="n"/>
      <c r="BV17" s="246" t="n"/>
      <c r="BW17" s="246" t="n"/>
      <c r="BX17" s="246" t="n"/>
      <c r="BY17" s="246" t="n"/>
      <c r="BZ17" s="246" t="n"/>
      <c r="CA17" s="246" t="n"/>
    </row>
    <row r="18" ht="12" customHeight="1" s="227">
      <c r="A18" s="244" t="n"/>
      <c r="B18" s="244" t="n"/>
      <c r="C18" s="244" t="n"/>
      <c r="G18" s="222" t="n"/>
      <c r="H18" s="34">
        <f>i_Setup!U36</f>
        <v/>
      </c>
      <c r="I18" s="27">
        <f>i_Setup!$M$16</f>
        <v/>
      </c>
      <c r="M18" s="245">
        <f>SUMIF($T$4:$CA$4,M$4,$T18:$CA18)</f>
        <v/>
      </c>
      <c r="N18" s="245">
        <f>SUMIF($T$4:$CA$4,N$4,$T18:$CA18)</f>
        <v/>
      </c>
      <c r="O18" s="245">
        <f>SUMIF($T$4:$CA$4,O$4,$T18:$CA18)</f>
        <v/>
      </c>
      <c r="P18" s="245">
        <f>SUMIF($T$4:$CA$4,P$4,$T18:$CA18)</f>
        <v/>
      </c>
      <c r="Q18" s="245">
        <f>SUMIF($T$4:$CA$4,Q$4,$T18:$CA18)</f>
        <v/>
      </c>
      <c r="T18" s="246" t="n"/>
      <c r="U18" s="246" t="n"/>
      <c r="V18" s="246" t="n"/>
      <c r="W18" s="246" t="n"/>
      <c r="X18" s="246" t="n"/>
      <c r="Y18" s="246" t="n"/>
      <c r="Z18" s="246" t="n"/>
      <c r="AA18" s="246" t="n"/>
      <c r="AB18" s="246" t="n"/>
      <c r="AC18" s="246" t="n"/>
      <c r="AD18" s="246" t="n"/>
      <c r="AE18" s="246" t="n"/>
      <c r="AF18" s="246" t="n"/>
      <c r="AG18" s="246" t="n"/>
      <c r="AH18" s="246" t="n"/>
      <c r="AI18" s="246" t="n"/>
      <c r="AJ18" s="246" t="n"/>
      <c r="AK18" s="246" t="n"/>
      <c r="AL18" s="246" t="n"/>
      <c r="AM18" s="246" t="n"/>
      <c r="AN18" s="246" t="n"/>
      <c r="AO18" s="246" t="n"/>
      <c r="AP18" s="246" t="n"/>
      <c r="AQ18" s="246" t="n"/>
      <c r="AR18" s="246" t="n"/>
      <c r="AS18" s="246" t="n"/>
      <c r="AT18" s="246" t="n"/>
      <c r="AU18" s="246" t="n"/>
      <c r="AV18" s="246" t="n"/>
      <c r="AW18" s="246" t="n"/>
      <c r="AX18" s="246" t="n"/>
      <c r="AY18" s="246" t="n"/>
      <c r="AZ18" s="246" t="n"/>
      <c r="BA18" s="246" t="n"/>
      <c r="BB18" s="246" t="n"/>
      <c r="BC18" s="246" t="n"/>
      <c r="BD18" s="246" t="n"/>
      <c r="BE18" s="246" t="n"/>
      <c r="BF18" s="246" t="n"/>
      <c r="BG18" s="246" t="n"/>
      <c r="BH18" s="246" t="n"/>
      <c r="BI18" s="246" t="n"/>
      <c r="BJ18" s="246" t="n"/>
      <c r="BK18" s="246" t="n"/>
      <c r="BL18" s="246" t="n"/>
      <c r="BM18" s="246" t="n"/>
      <c r="BN18" s="246" t="n"/>
      <c r="BO18" s="246" t="n"/>
      <c r="BP18" s="246" t="n"/>
      <c r="BQ18" s="246" t="n"/>
      <c r="BR18" s="246" t="n"/>
      <c r="BS18" s="246" t="n"/>
      <c r="BT18" s="246" t="n"/>
      <c r="BU18" s="246" t="n"/>
      <c r="BV18" s="246" t="n"/>
      <c r="BW18" s="246" t="n"/>
      <c r="BX18" s="246" t="n"/>
      <c r="BY18" s="246" t="n"/>
      <c r="BZ18" s="246" t="n"/>
      <c r="CA18" s="246" t="n"/>
    </row>
    <row r="19" ht="12" customHeight="1" s="227">
      <c r="A19" s="244" t="n"/>
      <c r="B19" s="244" t="n"/>
      <c r="C19" s="244" t="n"/>
      <c r="G19" s="222" t="n"/>
      <c r="H19" s="34">
        <f>i_Setup!U37</f>
        <v/>
      </c>
      <c r="I19" s="27">
        <f>i_Setup!$M$16</f>
        <v/>
      </c>
      <c r="M19" s="245">
        <f>SUMIF($T$4:$CA$4,M$4,$T19:$CA19)</f>
        <v/>
      </c>
      <c r="N19" s="245">
        <f>SUMIF($T$4:$CA$4,N$4,$T19:$CA19)</f>
        <v/>
      </c>
      <c r="O19" s="245">
        <f>SUMIF($T$4:$CA$4,O$4,$T19:$CA19)</f>
        <v/>
      </c>
      <c r="P19" s="245">
        <f>SUMIF($T$4:$CA$4,P$4,$T19:$CA19)</f>
        <v/>
      </c>
      <c r="Q19" s="245">
        <f>SUMIF($T$4:$CA$4,Q$4,$T19:$CA19)</f>
        <v/>
      </c>
      <c r="T19" s="246" t="n"/>
      <c r="U19" s="246" t="n"/>
      <c r="V19" s="246" t="n"/>
      <c r="W19" s="246" t="n"/>
      <c r="X19" s="246" t="n"/>
      <c r="Y19" s="246" t="n"/>
      <c r="Z19" s="246" t="n"/>
      <c r="AA19" s="246" t="n"/>
      <c r="AB19" s="246" t="n"/>
      <c r="AC19" s="246" t="n"/>
      <c r="AD19" s="246" t="n"/>
      <c r="AE19" s="246" t="n"/>
      <c r="AF19" s="246" t="n"/>
      <c r="AG19" s="246" t="n"/>
      <c r="AH19" s="246" t="n"/>
      <c r="AI19" s="246" t="n"/>
      <c r="AJ19" s="246" t="n"/>
      <c r="AK19" s="246" t="n"/>
      <c r="AL19" s="246" t="n"/>
      <c r="AM19" s="246" t="n"/>
      <c r="AN19" s="246" t="n"/>
      <c r="AO19" s="246" t="n"/>
      <c r="AP19" s="246" t="n"/>
      <c r="AQ19" s="246" t="n"/>
      <c r="AR19" s="246" t="n"/>
      <c r="AS19" s="246" t="n"/>
      <c r="AT19" s="246" t="n"/>
      <c r="AU19" s="246" t="n"/>
      <c r="AV19" s="246" t="n"/>
      <c r="AW19" s="246" t="n"/>
      <c r="AX19" s="246" t="n"/>
      <c r="AY19" s="246" t="n"/>
      <c r="AZ19" s="246" t="n"/>
      <c r="BA19" s="246" t="n"/>
      <c r="BB19" s="246" t="n"/>
      <c r="BC19" s="246" t="n"/>
      <c r="BD19" s="246" t="n"/>
      <c r="BE19" s="246" t="n"/>
      <c r="BF19" s="246" t="n"/>
      <c r="BG19" s="246" t="n"/>
      <c r="BH19" s="246" t="n"/>
      <c r="BI19" s="246" t="n"/>
      <c r="BJ19" s="246" t="n"/>
      <c r="BK19" s="246" t="n"/>
      <c r="BL19" s="246" t="n"/>
      <c r="BM19" s="246" t="n"/>
      <c r="BN19" s="246" t="n"/>
      <c r="BO19" s="246" t="n"/>
      <c r="BP19" s="246" t="n"/>
      <c r="BQ19" s="246" t="n"/>
      <c r="BR19" s="246" t="n"/>
      <c r="BS19" s="246" t="n"/>
      <c r="BT19" s="246" t="n"/>
      <c r="BU19" s="246" t="n"/>
      <c r="BV19" s="246" t="n"/>
      <c r="BW19" s="246" t="n"/>
      <c r="BX19" s="246" t="n"/>
      <c r="BY19" s="246" t="n"/>
      <c r="BZ19" s="246" t="n"/>
      <c r="CA19" s="246" t="n"/>
    </row>
    <row r="20" ht="12" customHeight="1" s="227">
      <c r="A20" s="244" t="n"/>
      <c r="B20" s="244" t="n"/>
      <c r="C20" s="244" t="n"/>
      <c r="G20" s="222" t="n"/>
      <c r="H20" s="34">
        <f>i_Setup!U38</f>
        <v/>
      </c>
      <c r="I20" s="27">
        <f>i_Setup!$M$16</f>
        <v/>
      </c>
      <c r="M20" s="245">
        <f>SUMIF($T$4:$CA$4,M$4,$T20:$CA20)</f>
        <v/>
      </c>
      <c r="N20" s="245">
        <f>SUMIF($T$4:$CA$4,N$4,$T20:$CA20)</f>
        <v/>
      </c>
      <c r="O20" s="245">
        <f>SUMIF($T$4:$CA$4,O$4,$T20:$CA20)</f>
        <v/>
      </c>
      <c r="P20" s="245">
        <f>SUMIF($T$4:$CA$4,P$4,$T20:$CA20)</f>
        <v/>
      </c>
      <c r="Q20" s="245">
        <f>SUMIF($T$4:$CA$4,Q$4,$T20:$CA20)</f>
        <v/>
      </c>
      <c r="T20" s="246" t="n"/>
      <c r="U20" s="246" t="n"/>
      <c r="V20" s="246" t="n"/>
      <c r="W20" s="246" t="n"/>
      <c r="X20" s="246" t="n"/>
      <c r="Y20" s="246" t="n"/>
      <c r="Z20" s="246" t="n"/>
      <c r="AA20" s="246" t="n"/>
      <c r="AB20" s="246" t="n"/>
      <c r="AC20" s="246" t="n"/>
      <c r="AD20" s="246" t="n"/>
      <c r="AE20" s="246" t="n"/>
      <c r="AF20" s="246" t="n"/>
      <c r="AG20" s="246" t="n"/>
      <c r="AH20" s="246" t="n"/>
      <c r="AI20" s="246" t="n"/>
      <c r="AJ20" s="246" t="n"/>
      <c r="AK20" s="246" t="n"/>
      <c r="AL20" s="246" t="n"/>
      <c r="AM20" s="246" t="n"/>
      <c r="AN20" s="246" t="n"/>
      <c r="AO20" s="246" t="n"/>
      <c r="AP20" s="246" t="n"/>
      <c r="AQ20" s="246" t="n"/>
      <c r="AR20" s="246" t="n"/>
      <c r="AS20" s="246" t="n"/>
      <c r="AT20" s="246" t="n"/>
      <c r="AU20" s="246" t="n"/>
      <c r="AV20" s="246" t="n"/>
      <c r="AW20" s="246" t="n"/>
      <c r="AX20" s="246" t="n"/>
      <c r="AY20" s="246" t="n"/>
      <c r="AZ20" s="246" t="n"/>
      <c r="BA20" s="246" t="n"/>
      <c r="BB20" s="246" t="n"/>
      <c r="BC20" s="246" t="n"/>
      <c r="BD20" s="246" t="n"/>
      <c r="BE20" s="246" t="n"/>
      <c r="BF20" s="246" t="n"/>
      <c r="BG20" s="246" t="n"/>
      <c r="BH20" s="246" t="n"/>
      <c r="BI20" s="246" t="n"/>
      <c r="BJ20" s="246" t="n"/>
      <c r="BK20" s="246" t="n"/>
      <c r="BL20" s="246" t="n"/>
      <c r="BM20" s="246" t="n"/>
      <c r="BN20" s="246" t="n"/>
      <c r="BO20" s="246" t="n"/>
      <c r="BP20" s="246" t="n"/>
      <c r="BQ20" s="246" t="n"/>
      <c r="BR20" s="246" t="n"/>
      <c r="BS20" s="246" t="n"/>
      <c r="BT20" s="246" t="n"/>
      <c r="BU20" s="246" t="n"/>
      <c r="BV20" s="246" t="n"/>
      <c r="BW20" s="246" t="n"/>
      <c r="BX20" s="246" t="n"/>
      <c r="BY20" s="246" t="n"/>
      <c r="BZ20" s="246" t="n"/>
      <c r="CA20" s="246" t="n"/>
    </row>
    <row r="21" ht="12" customHeight="1" s="227">
      <c r="A21" s="244" t="n"/>
      <c r="B21" s="244" t="n"/>
      <c r="C21" s="244" t="n"/>
      <c r="G21" s="222" t="n"/>
      <c r="H21" s="34">
        <f>i_Setup!U39</f>
        <v/>
      </c>
      <c r="I21" s="27">
        <f>i_Setup!$M$16</f>
        <v/>
      </c>
      <c r="M21" s="245">
        <f>SUMIF($T$4:$CA$4,M$4,$T21:$CA21)</f>
        <v/>
      </c>
      <c r="N21" s="245">
        <f>SUMIF($T$4:$CA$4,N$4,$T21:$CA21)</f>
        <v/>
      </c>
      <c r="O21" s="245">
        <f>SUMIF($T$4:$CA$4,O$4,$T21:$CA21)</f>
        <v/>
      </c>
      <c r="P21" s="245">
        <f>SUMIF($T$4:$CA$4,P$4,$T21:$CA21)</f>
        <v/>
      </c>
      <c r="Q21" s="245">
        <f>SUMIF($T$4:$CA$4,Q$4,$T21:$CA21)</f>
        <v/>
      </c>
      <c r="T21" s="246" t="n"/>
      <c r="U21" s="246" t="n"/>
      <c r="V21" s="246" t="n"/>
      <c r="W21" s="246" t="n"/>
      <c r="X21" s="246" t="n"/>
      <c r="Y21" s="246" t="n"/>
      <c r="Z21" s="246" t="n"/>
      <c r="AA21" s="246" t="n"/>
      <c r="AB21" s="246" t="n"/>
      <c r="AC21" s="246" t="n"/>
      <c r="AD21" s="246" t="n"/>
      <c r="AE21" s="246" t="n"/>
      <c r="AF21" s="246" t="n"/>
      <c r="AG21" s="246" t="n"/>
      <c r="AH21" s="246" t="n"/>
      <c r="AI21" s="246" t="n"/>
      <c r="AJ21" s="246" t="n"/>
      <c r="AK21" s="246" t="n"/>
      <c r="AL21" s="246" t="n"/>
      <c r="AM21" s="246" t="n"/>
      <c r="AN21" s="246" t="n"/>
      <c r="AO21" s="246" t="n"/>
      <c r="AP21" s="246" t="n"/>
      <c r="AQ21" s="246" t="n"/>
      <c r="AR21" s="246" t="n"/>
      <c r="AS21" s="246" t="n"/>
      <c r="AT21" s="246" t="n"/>
      <c r="AU21" s="246" t="n"/>
      <c r="AV21" s="246" t="n"/>
      <c r="AW21" s="246" t="n"/>
      <c r="AX21" s="246" t="n"/>
      <c r="AY21" s="246" t="n"/>
      <c r="AZ21" s="246" t="n"/>
      <c r="BA21" s="246" t="n"/>
      <c r="BB21" s="246" t="n"/>
      <c r="BC21" s="246" t="n"/>
      <c r="BD21" s="246" t="n"/>
      <c r="BE21" s="246" t="n"/>
      <c r="BF21" s="246" t="n"/>
      <c r="BG21" s="246" t="n"/>
      <c r="BH21" s="246" t="n"/>
      <c r="BI21" s="246" t="n"/>
      <c r="BJ21" s="246" t="n"/>
      <c r="BK21" s="246" t="n"/>
      <c r="BL21" s="246" t="n"/>
      <c r="BM21" s="246" t="n"/>
      <c r="BN21" s="246" t="n"/>
      <c r="BO21" s="246" t="n"/>
      <c r="BP21" s="246" t="n"/>
      <c r="BQ21" s="246" t="n"/>
      <c r="BR21" s="246" t="n"/>
      <c r="BS21" s="246" t="n"/>
      <c r="BT21" s="246" t="n"/>
      <c r="BU21" s="246" t="n"/>
      <c r="BV21" s="246" t="n"/>
      <c r="BW21" s="246" t="n"/>
      <c r="BX21" s="246" t="n"/>
      <c r="BY21" s="246" t="n"/>
      <c r="BZ21" s="246" t="n"/>
      <c r="CA21" s="246" t="n"/>
    </row>
    <row r="22" ht="12" customHeight="1" s="227">
      <c r="A22" s="244" t="n"/>
      <c r="B22" s="244" t="n"/>
      <c r="C22" s="244" t="n"/>
      <c r="G22" s="222" t="n"/>
      <c r="H22" s="34">
        <f>i_Setup!U40</f>
        <v/>
      </c>
      <c r="I22" s="27">
        <f>i_Setup!$M$16</f>
        <v/>
      </c>
      <c r="M22" s="245">
        <f>SUMIF($T$4:$CA$4,M$4,$T22:$CA22)</f>
        <v/>
      </c>
      <c r="N22" s="245">
        <f>SUMIF($T$4:$CA$4,N$4,$T22:$CA22)</f>
        <v/>
      </c>
      <c r="O22" s="245">
        <f>SUMIF($T$4:$CA$4,O$4,$T22:$CA22)</f>
        <v/>
      </c>
      <c r="P22" s="245">
        <f>SUMIF($T$4:$CA$4,P$4,$T22:$CA22)</f>
        <v/>
      </c>
      <c r="Q22" s="245">
        <f>SUMIF($T$4:$CA$4,Q$4,$T22:$CA22)</f>
        <v/>
      </c>
      <c r="T22" s="246" t="n"/>
      <c r="U22" s="246" t="n"/>
      <c r="V22" s="246" t="n"/>
      <c r="W22" s="246" t="n"/>
      <c r="X22" s="246" t="n"/>
      <c r="Y22" s="246" t="n"/>
      <c r="Z22" s="246" t="n"/>
      <c r="AA22" s="246" t="n"/>
      <c r="AB22" s="246" t="n"/>
      <c r="AC22" s="246" t="n"/>
      <c r="AD22" s="246" t="n"/>
      <c r="AE22" s="246" t="n"/>
      <c r="AF22" s="246" t="n"/>
      <c r="AG22" s="246" t="n"/>
      <c r="AH22" s="246" t="n"/>
      <c r="AI22" s="246" t="n"/>
      <c r="AJ22" s="246" t="n"/>
      <c r="AK22" s="246" t="n"/>
      <c r="AL22" s="246" t="n"/>
      <c r="AM22" s="246" t="n"/>
      <c r="AN22" s="246" t="n"/>
      <c r="AO22" s="246" t="n"/>
      <c r="AP22" s="246" t="n"/>
      <c r="AQ22" s="246" t="n"/>
      <c r="AR22" s="246" t="n"/>
      <c r="AS22" s="246" t="n"/>
      <c r="AT22" s="246" t="n"/>
      <c r="AU22" s="246" t="n"/>
      <c r="AV22" s="246" t="n"/>
      <c r="AW22" s="246" t="n"/>
      <c r="AX22" s="246" t="n"/>
      <c r="AY22" s="246" t="n"/>
      <c r="AZ22" s="246" t="n"/>
      <c r="BA22" s="246" t="n"/>
      <c r="BB22" s="246" t="n"/>
      <c r="BC22" s="246" t="n"/>
      <c r="BD22" s="246" t="n"/>
      <c r="BE22" s="246" t="n"/>
      <c r="BF22" s="246" t="n"/>
      <c r="BG22" s="246" t="n"/>
      <c r="BH22" s="246" t="n"/>
      <c r="BI22" s="246" t="n"/>
      <c r="BJ22" s="246" t="n"/>
      <c r="BK22" s="246" t="n"/>
      <c r="BL22" s="246" t="n"/>
      <c r="BM22" s="246" t="n"/>
      <c r="BN22" s="246" t="n"/>
      <c r="BO22" s="246" t="n"/>
      <c r="BP22" s="246" t="n"/>
      <c r="BQ22" s="246" t="n"/>
      <c r="BR22" s="246" t="n"/>
      <c r="BS22" s="246" t="n"/>
      <c r="BT22" s="246" t="n"/>
      <c r="BU22" s="246" t="n"/>
      <c r="BV22" s="246" t="n"/>
      <c r="BW22" s="246" t="n"/>
      <c r="BX22" s="246" t="n"/>
      <c r="BY22" s="246" t="n"/>
      <c r="BZ22" s="246" t="n"/>
      <c r="CA22" s="246" t="n"/>
    </row>
    <row r="23" ht="12" customHeight="1" s="227">
      <c r="A23" s="244" t="n"/>
      <c r="B23" s="244" t="n"/>
      <c r="C23" s="244" t="n"/>
      <c r="G23" s="222" t="n"/>
      <c r="H23" s="34">
        <f>i_Setup!U41</f>
        <v/>
      </c>
      <c r="I23" s="27">
        <f>i_Setup!$M$16</f>
        <v/>
      </c>
      <c r="M23" s="245">
        <f>SUMIF($T$4:$CA$4,M$4,$T23:$CA23)</f>
        <v/>
      </c>
      <c r="N23" s="245">
        <f>SUMIF($T$4:$CA$4,N$4,$T23:$CA23)</f>
        <v/>
      </c>
      <c r="O23" s="245">
        <f>SUMIF($T$4:$CA$4,O$4,$T23:$CA23)</f>
        <v/>
      </c>
      <c r="P23" s="245">
        <f>SUMIF($T$4:$CA$4,P$4,$T23:$CA23)</f>
        <v/>
      </c>
      <c r="Q23" s="245">
        <f>SUMIF($T$4:$CA$4,Q$4,$T23:$CA23)</f>
        <v/>
      </c>
      <c r="T23" s="246" t="n"/>
      <c r="U23" s="246" t="n"/>
      <c r="V23" s="246" t="n"/>
      <c r="W23" s="246" t="n"/>
      <c r="X23" s="246" t="n"/>
      <c r="Y23" s="246" t="n"/>
      <c r="Z23" s="246" t="n"/>
      <c r="AA23" s="246" t="n"/>
      <c r="AB23" s="246" t="n"/>
      <c r="AC23" s="246" t="n"/>
      <c r="AD23" s="246" t="n"/>
      <c r="AE23" s="246" t="n"/>
      <c r="AF23" s="246" t="n"/>
      <c r="AG23" s="246" t="n"/>
      <c r="AH23" s="246" t="n"/>
      <c r="AI23" s="246" t="n"/>
      <c r="AJ23" s="246" t="n"/>
      <c r="AK23" s="246" t="n"/>
      <c r="AL23" s="246" t="n"/>
      <c r="AM23" s="246" t="n"/>
      <c r="AN23" s="246" t="n"/>
      <c r="AO23" s="246" t="n"/>
      <c r="AP23" s="246" t="n"/>
      <c r="AQ23" s="246" t="n"/>
      <c r="AR23" s="246" t="n"/>
      <c r="AS23" s="246" t="n"/>
      <c r="AT23" s="246" t="n"/>
      <c r="AU23" s="246" t="n"/>
      <c r="AV23" s="246" t="n"/>
      <c r="AW23" s="246" t="n"/>
      <c r="AX23" s="246" t="n"/>
      <c r="AY23" s="246" t="n"/>
      <c r="AZ23" s="246" t="n"/>
      <c r="BA23" s="246" t="n"/>
      <c r="BB23" s="246" t="n"/>
      <c r="BC23" s="246" t="n"/>
      <c r="BD23" s="246" t="n"/>
      <c r="BE23" s="246" t="n"/>
      <c r="BF23" s="246" t="n"/>
      <c r="BG23" s="246" t="n"/>
      <c r="BH23" s="246" t="n"/>
      <c r="BI23" s="246" t="n"/>
      <c r="BJ23" s="246" t="n"/>
      <c r="BK23" s="246" t="n"/>
      <c r="BL23" s="246" t="n"/>
      <c r="BM23" s="246" t="n"/>
      <c r="BN23" s="246" t="n"/>
      <c r="BO23" s="246" t="n"/>
      <c r="BP23" s="246" t="n"/>
      <c r="BQ23" s="246" t="n"/>
      <c r="BR23" s="246" t="n"/>
      <c r="BS23" s="246" t="n"/>
      <c r="BT23" s="246" t="n"/>
      <c r="BU23" s="246" t="n"/>
      <c r="BV23" s="246" t="n"/>
      <c r="BW23" s="246" t="n"/>
      <c r="BX23" s="246" t="n"/>
      <c r="BY23" s="246" t="n"/>
      <c r="BZ23" s="246" t="n"/>
      <c r="CA23" s="246" t="n"/>
    </row>
    <row r="24" ht="12" customHeight="1" s="227">
      <c r="A24" s="244" t="n"/>
      <c r="B24" s="244" t="n"/>
      <c r="C24" s="244" t="n"/>
      <c r="G24" s="81" t="inlineStr">
        <is>
          <t>Total Revenue</t>
        </is>
      </c>
      <c r="H24" s="74" t="n"/>
      <c r="I24" s="75">
        <f>i_Setup!$M$16</f>
        <v/>
      </c>
      <c r="M24" s="247">
        <f>SUM(M14:M23)</f>
        <v/>
      </c>
      <c r="N24" s="247">
        <f>SUM(N14:N23)</f>
        <v/>
      </c>
      <c r="O24" s="247">
        <f>SUM(O14:O23)</f>
        <v/>
      </c>
      <c r="P24" s="247">
        <f>SUM(P14:P23)</f>
        <v/>
      </c>
      <c r="Q24" s="247">
        <f>SUM(Q14:Q23)</f>
        <v/>
      </c>
      <c r="T24" s="247">
        <f>SUM(T14:T23)</f>
        <v/>
      </c>
      <c r="U24" s="247">
        <f>SUM(U14:U23)</f>
        <v/>
      </c>
      <c r="V24" s="247">
        <f>SUM(V14:V23)</f>
        <v/>
      </c>
      <c r="W24" s="247">
        <f>SUM(W14:W23)</f>
        <v/>
      </c>
      <c r="X24" s="247">
        <f>SUM(X14:X23)</f>
        <v/>
      </c>
      <c r="Y24" s="247">
        <f>SUM(Y14:Y23)</f>
        <v/>
      </c>
      <c r="Z24" s="247">
        <f>SUM(Z14:Z23)</f>
        <v/>
      </c>
      <c r="AA24" s="247">
        <f>SUM(AA14:AA23)</f>
        <v/>
      </c>
      <c r="AB24" s="247">
        <f>SUM(AB14:AB23)</f>
        <v/>
      </c>
      <c r="AC24" s="247">
        <f>SUM(AC14:AC23)</f>
        <v/>
      </c>
      <c r="AD24" s="247">
        <f>SUM(AD14:AD23)</f>
        <v/>
      </c>
      <c r="AE24" s="247">
        <f>SUM(AE14:AE23)</f>
        <v/>
      </c>
      <c r="AF24" s="247">
        <f>SUM(AF14:AF23)</f>
        <v/>
      </c>
      <c r="AG24" s="247">
        <f>SUM(AG14:AG23)</f>
        <v/>
      </c>
      <c r="AH24" s="247">
        <f>SUM(AH14:AH23)</f>
        <v/>
      </c>
      <c r="AI24" s="247">
        <f>SUM(AI14:AI23)</f>
        <v/>
      </c>
      <c r="AJ24" s="247">
        <f>SUM(AJ14:AJ23)</f>
        <v/>
      </c>
      <c r="AK24" s="247">
        <f>SUM(AK14:AK23)</f>
        <v/>
      </c>
      <c r="AL24" s="247">
        <f>SUM(AL14:AL23)</f>
        <v/>
      </c>
      <c r="AM24" s="247">
        <f>SUM(AM14:AM23)</f>
        <v/>
      </c>
      <c r="AN24" s="247">
        <f>SUM(AN14:AN23)</f>
        <v/>
      </c>
      <c r="AO24" s="247">
        <f>SUM(AO14:AO23)</f>
        <v/>
      </c>
      <c r="AP24" s="247">
        <f>SUM(AP14:AP23)</f>
        <v/>
      </c>
      <c r="AQ24" s="247">
        <f>SUM(AQ14:AQ23)</f>
        <v/>
      </c>
      <c r="AR24" s="247">
        <f>SUM(AR14:AR23)</f>
        <v/>
      </c>
      <c r="AS24" s="247">
        <f>SUM(AS14:AS23)</f>
        <v/>
      </c>
      <c r="AT24" s="247">
        <f>SUM(AT14:AT23)</f>
        <v/>
      </c>
      <c r="AU24" s="247">
        <f>SUM(AU14:AU23)</f>
        <v/>
      </c>
      <c r="AV24" s="247">
        <f>SUM(AV14:AV23)</f>
        <v/>
      </c>
      <c r="AW24" s="247">
        <f>SUM(AW14:AW23)</f>
        <v/>
      </c>
      <c r="AX24" s="247">
        <f>SUM(AX14:AX23)</f>
        <v/>
      </c>
      <c r="AY24" s="247">
        <f>SUM(AY14:AY23)</f>
        <v/>
      </c>
      <c r="AZ24" s="247">
        <f>SUM(AZ14:AZ23)</f>
        <v/>
      </c>
      <c r="BA24" s="247">
        <f>SUM(BA14:BA23)</f>
        <v/>
      </c>
      <c r="BB24" s="247">
        <f>SUM(BB14:BB23)</f>
        <v/>
      </c>
      <c r="BC24" s="247">
        <f>SUM(BC14:BC23)</f>
        <v/>
      </c>
      <c r="BD24" s="247">
        <f>SUM(BD14:BD23)</f>
        <v/>
      </c>
      <c r="BE24" s="247">
        <f>SUM(BE14:BE23)</f>
        <v/>
      </c>
      <c r="BF24" s="247">
        <f>SUM(BF14:BF23)</f>
        <v/>
      </c>
      <c r="BG24" s="247">
        <f>SUM(BG14:BG23)</f>
        <v/>
      </c>
      <c r="BH24" s="247">
        <f>SUM(BH14:BH23)</f>
        <v/>
      </c>
      <c r="BI24" s="247">
        <f>SUM(BI14:BI23)</f>
        <v/>
      </c>
      <c r="BJ24" s="247">
        <f>SUM(BJ14:BJ23)</f>
        <v/>
      </c>
      <c r="BK24" s="247">
        <f>SUM(BK14:BK23)</f>
        <v/>
      </c>
      <c r="BL24" s="247">
        <f>SUM(BL14:BL23)</f>
        <v/>
      </c>
      <c r="BM24" s="247">
        <f>SUM(BM14:BM23)</f>
        <v/>
      </c>
      <c r="BN24" s="247">
        <f>SUM(BN14:BN23)</f>
        <v/>
      </c>
      <c r="BO24" s="247">
        <f>SUM(BO14:BO23)</f>
        <v/>
      </c>
      <c r="BP24" s="247">
        <f>SUM(BP14:BP23)</f>
        <v/>
      </c>
      <c r="BQ24" s="247">
        <f>SUM(BQ14:BQ23)</f>
        <v/>
      </c>
      <c r="BR24" s="247">
        <f>SUM(BR14:BR23)</f>
        <v/>
      </c>
      <c r="BS24" s="247">
        <f>SUM(BS14:BS23)</f>
        <v/>
      </c>
      <c r="BT24" s="247">
        <f>SUM(BT14:BT23)</f>
        <v/>
      </c>
      <c r="BU24" s="247">
        <f>SUM(BU14:BU23)</f>
        <v/>
      </c>
      <c r="BV24" s="247">
        <f>SUM(BV14:BV23)</f>
        <v/>
      </c>
      <c r="BW24" s="247">
        <f>SUM(BW14:BW23)</f>
        <v/>
      </c>
      <c r="BX24" s="247">
        <f>SUM(BX14:BX23)</f>
        <v/>
      </c>
      <c r="BY24" s="247">
        <f>SUM(BY14:BY23)</f>
        <v/>
      </c>
      <c r="BZ24" s="247">
        <f>SUM(BZ14:BZ23)</f>
        <v/>
      </c>
      <c r="CA24" s="247">
        <f>SUM(CA14:CA23)</f>
        <v/>
      </c>
    </row>
    <row r="25" ht="12" customHeight="1" s="227">
      <c r="A25" s="244" t="n"/>
      <c r="B25" s="244" t="n"/>
      <c r="C25" s="244" t="n"/>
      <c r="G25" s="8" t="n"/>
      <c r="H25" s="8" t="n"/>
      <c r="I25" s="56" t="n"/>
      <c r="M25" s="248" t="n"/>
      <c r="N25" s="248" t="n"/>
      <c r="O25" s="248" t="n"/>
      <c r="P25" s="248" t="n"/>
      <c r="Q25" s="248" t="n"/>
      <c r="T25" s="248" t="n"/>
      <c r="U25" s="248" t="n"/>
      <c r="V25" s="248" t="n"/>
      <c r="W25" s="248" t="n"/>
      <c r="X25" s="248" t="n"/>
      <c r="Y25" s="248" t="n"/>
      <c r="Z25" s="248" t="n"/>
      <c r="AA25" s="248" t="n"/>
      <c r="AB25" s="248" t="n"/>
      <c r="AC25" s="248" t="n"/>
      <c r="AD25" s="248" t="n"/>
      <c r="AE25" s="248" t="n"/>
      <c r="AF25" s="248" t="n"/>
      <c r="AG25" s="248" t="n"/>
      <c r="AH25" s="248" t="n"/>
      <c r="AI25" s="248" t="n"/>
      <c r="AJ25" s="248" t="n"/>
      <c r="AK25" s="248" t="n"/>
      <c r="AL25" s="248" t="n"/>
      <c r="AM25" s="248" t="n"/>
      <c r="AN25" s="248" t="n"/>
      <c r="AO25" s="248" t="n"/>
      <c r="AP25" s="248" t="n"/>
      <c r="AQ25" s="248" t="n"/>
      <c r="AR25" s="248" t="n"/>
      <c r="AS25" s="248" t="n"/>
      <c r="AT25" s="248" t="n"/>
      <c r="AU25" s="248" t="n"/>
      <c r="AV25" s="248" t="n"/>
      <c r="AW25" s="248" t="n"/>
      <c r="AX25" s="248" t="n"/>
      <c r="AY25" s="248" t="n"/>
      <c r="AZ25" s="248" t="n"/>
      <c r="BA25" s="248" t="n"/>
      <c r="BB25" s="248" t="n"/>
      <c r="BC25" s="248" t="n"/>
      <c r="BD25" s="248" t="n"/>
      <c r="BE25" s="248" t="n"/>
      <c r="BF25" s="248" t="n"/>
      <c r="BG25" s="248" t="n"/>
      <c r="BH25" s="248" t="n"/>
      <c r="BI25" s="248" t="n"/>
      <c r="BJ25" s="248" t="n"/>
      <c r="BK25" s="248" t="n"/>
      <c r="BL25" s="248" t="n"/>
      <c r="BM25" s="248" t="n"/>
      <c r="BN25" s="248" t="n"/>
      <c r="BO25" s="248" t="n"/>
      <c r="BP25" s="248" t="n"/>
      <c r="BQ25" s="248" t="n"/>
      <c r="BR25" s="248" t="n"/>
      <c r="BS25" s="248" t="n"/>
      <c r="BT25" s="248" t="n"/>
      <c r="BU25" s="248" t="n"/>
      <c r="BV25" s="248" t="n"/>
      <c r="BW25" s="248" t="n"/>
      <c r="BX25" s="248" t="n"/>
      <c r="BY25" s="248" t="n"/>
      <c r="BZ25" s="248" t="n"/>
      <c r="CA25" s="248" t="n"/>
    </row>
    <row r="26" ht="12" customHeight="1" s="227">
      <c r="A26" s="244" t="n"/>
      <c r="B26" s="244" t="n"/>
      <c r="C26" s="244" t="n"/>
      <c r="G26" s="222" t="inlineStr">
        <is>
          <t>Direct Staff Costs</t>
        </is>
      </c>
    </row>
    <row r="27" ht="12" customHeight="1" s="227">
      <c r="A27" s="244" t="n"/>
      <c r="B27" s="244" t="n"/>
      <c r="C27" s="244" t="n"/>
      <c r="G27" s="222" t="n"/>
      <c r="H27" s="4">
        <f>i_Setup!U46</f>
        <v/>
      </c>
      <c r="I27" s="27">
        <f>i_Setup!$M$16</f>
        <v/>
      </c>
      <c r="M27" s="245">
        <f>SUMIF($T$4:$CA$4,M$4,$T27:$CA27)</f>
        <v/>
      </c>
      <c r="N27" s="245">
        <f>SUMIF($T$4:$CA$4,N$4,$T27:$CA27)</f>
        <v/>
      </c>
      <c r="O27" s="245">
        <f>SUMIF($T$4:$CA$4,O$4,$T27:$CA27)</f>
        <v/>
      </c>
      <c r="P27" s="245">
        <f>SUMIF($T$4:$CA$4,P$4,$T27:$CA27)</f>
        <v/>
      </c>
      <c r="Q27" s="245">
        <f>SUMIF($T$4:$CA$4,Q$4,$T27:$CA27)</f>
        <v/>
      </c>
      <c r="T27" s="246" t="n"/>
      <c r="U27" s="246" t="n"/>
      <c r="V27" s="246" t="n"/>
      <c r="W27" s="246" t="n"/>
      <c r="X27" s="246" t="n"/>
      <c r="Y27" s="246" t="n"/>
      <c r="Z27" s="246" t="n"/>
      <c r="AA27" s="246" t="n"/>
      <c r="AB27" s="246" t="n"/>
      <c r="AC27" s="246" t="n"/>
      <c r="AD27" s="246" t="n"/>
      <c r="AE27" s="246" t="n"/>
      <c r="AF27" s="246" t="n"/>
      <c r="AG27" s="246" t="n"/>
      <c r="AH27" s="246" t="n"/>
      <c r="AI27" s="246" t="n"/>
      <c r="AJ27" s="246" t="n"/>
      <c r="AK27" s="246" t="n"/>
      <c r="AL27" s="246" t="n"/>
      <c r="AM27" s="246" t="n"/>
      <c r="AN27" s="246" t="n"/>
      <c r="AO27" s="246" t="n"/>
      <c r="AP27" s="246" t="n"/>
      <c r="AQ27" s="246" t="n"/>
      <c r="AR27" s="246" t="n"/>
      <c r="AS27" s="246" t="n"/>
      <c r="AT27" s="246" t="n"/>
      <c r="AU27" s="246" t="n"/>
      <c r="AV27" s="246" t="n"/>
      <c r="AW27" s="246" t="n"/>
      <c r="AX27" s="246" t="n"/>
      <c r="AY27" s="246" t="n"/>
      <c r="AZ27" s="246" t="n"/>
      <c r="BA27" s="246" t="n"/>
      <c r="BB27" s="246" t="n"/>
      <c r="BC27" s="246" t="n"/>
      <c r="BD27" s="246" t="n"/>
      <c r="BE27" s="246" t="n"/>
      <c r="BF27" s="246" t="n"/>
      <c r="BG27" s="246" t="n"/>
      <c r="BH27" s="246" t="n"/>
      <c r="BI27" s="246" t="n"/>
      <c r="BJ27" s="246" t="n"/>
      <c r="BK27" s="246" t="n"/>
      <c r="BL27" s="246" t="n"/>
      <c r="BM27" s="246" t="n"/>
      <c r="BN27" s="246" t="n"/>
      <c r="BO27" s="246" t="n"/>
      <c r="BP27" s="246" t="n"/>
      <c r="BQ27" s="246" t="n"/>
      <c r="BR27" s="246" t="n"/>
      <c r="BS27" s="246" t="n"/>
      <c r="BT27" s="246" t="n"/>
      <c r="BU27" s="246" t="n"/>
      <c r="BV27" s="246" t="n"/>
      <c r="BW27" s="246" t="n"/>
      <c r="BX27" s="246" t="n"/>
      <c r="BY27" s="246" t="n"/>
      <c r="BZ27" s="246" t="n"/>
      <c r="CA27" s="246" t="n"/>
    </row>
    <row r="28" ht="12" customHeight="1" s="227">
      <c r="A28" s="244" t="n"/>
      <c r="B28" s="244" t="n"/>
      <c r="C28" s="244" t="n"/>
      <c r="G28" s="222" t="n"/>
      <c r="H28" s="4">
        <f>i_Setup!U47</f>
        <v/>
      </c>
      <c r="I28" s="27">
        <f>i_Setup!$M$16</f>
        <v/>
      </c>
      <c r="M28" s="245">
        <f>SUMIF($T$4:$CA$4,M$4,$T28:$CA28)</f>
        <v/>
      </c>
      <c r="N28" s="245">
        <f>SUMIF($T$4:$CA$4,N$4,$T28:$CA28)</f>
        <v/>
      </c>
      <c r="O28" s="245">
        <f>SUMIF($T$4:$CA$4,O$4,$T28:$CA28)</f>
        <v/>
      </c>
      <c r="P28" s="245">
        <f>SUMIF($T$4:$CA$4,P$4,$T28:$CA28)</f>
        <v/>
      </c>
      <c r="Q28" s="245">
        <f>SUMIF($T$4:$CA$4,Q$4,$T28:$CA28)</f>
        <v/>
      </c>
      <c r="T28" s="246" t="n"/>
      <c r="U28" s="246" t="n"/>
      <c r="V28" s="246" t="n"/>
      <c r="W28" s="246" t="n"/>
      <c r="X28" s="246" t="n"/>
      <c r="Y28" s="246" t="n"/>
      <c r="Z28" s="246" t="n"/>
      <c r="AA28" s="246" t="n"/>
      <c r="AB28" s="246" t="n"/>
      <c r="AC28" s="246" t="n"/>
      <c r="AD28" s="246" t="n"/>
      <c r="AE28" s="246" t="n"/>
      <c r="AF28" s="246" t="n"/>
      <c r="AG28" s="246" t="n"/>
      <c r="AH28" s="246" t="n"/>
      <c r="AI28" s="246" t="n"/>
      <c r="AJ28" s="246" t="n"/>
      <c r="AK28" s="246" t="n"/>
      <c r="AL28" s="246" t="n"/>
      <c r="AM28" s="246" t="n"/>
      <c r="AN28" s="246" t="n"/>
      <c r="AO28" s="246" t="n"/>
      <c r="AP28" s="246" t="n"/>
      <c r="AQ28" s="246" t="n"/>
      <c r="AR28" s="246" t="n"/>
      <c r="AS28" s="246" t="n"/>
      <c r="AT28" s="246" t="n"/>
      <c r="AU28" s="246" t="n"/>
      <c r="AV28" s="246" t="n"/>
      <c r="AW28" s="246" t="n"/>
      <c r="AX28" s="246" t="n"/>
      <c r="AY28" s="246" t="n"/>
      <c r="AZ28" s="246" t="n"/>
      <c r="BA28" s="246" t="n"/>
      <c r="BB28" s="246" t="n"/>
      <c r="BC28" s="246" t="n"/>
      <c r="BD28" s="246" t="n"/>
      <c r="BE28" s="246" t="n"/>
      <c r="BF28" s="246" t="n"/>
      <c r="BG28" s="246" t="n"/>
      <c r="BH28" s="246" t="n"/>
      <c r="BI28" s="246" t="n"/>
      <c r="BJ28" s="246" t="n"/>
      <c r="BK28" s="246" t="n"/>
      <c r="BL28" s="246" t="n"/>
      <c r="BM28" s="246" t="n"/>
      <c r="BN28" s="246" t="n"/>
      <c r="BO28" s="246" t="n"/>
      <c r="BP28" s="246" t="n"/>
      <c r="BQ28" s="246" t="n"/>
      <c r="BR28" s="246" t="n"/>
      <c r="BS28" s="246" t="n"/>
      <c r="BT28" s="246" t="n"/>
      <c r="BU28" s="246" t="n"/>
      <c r="BV28" s="246" t="n"/>
      <c r="BW28" s="246" t="n"/>
      <c r="BX28" s="246" t="n"/>
      <c r="BY28" s="246" t="n"/>
      <c r="BZ28" s="246" t="n"/>
      <c r="CA28" s="246" t="n"/>
    </row>
    <row r="29" ht="12" customHeight="1" s="227">
      <c r="A29" s="244" t="n"/>
      <c r="B29" s="244" t="n"/>
      <c r="C29" s="244" t="n"/>
      <c r="G29" s="222" t="n"/>
      <c r="H29" s="4">
        <f>i_Setup!U48</f>
        <v/>
      </c>
      <c r="I29" s="27">
        <f>i_Setup!$M$16</f>
        <v/>
      </c>
      <c r="M29" s="245">
        <f>SUMIF($T$4:$CA$4,M$4,$T29:$CA29)</f>
        <v/>
      </c>
      <c r="N29" s="245">
        <f>SUMIF($T$4:$CA$4,N$4,$T29:$CA29)</f>
        <v/>
      </c>
      <c r="O29" s="245">
        <f>SUMIF($T$4:$CA$4,O$4,$T29:$CA29)</f>
        <v/>
      </c>
      <c r="P29" s="245">
        <f>SUMIF($T$4:$CA$4,P$4,$T29:$CA29)</f>
        <v/>
      </c>
      <c r="Q29" s="245">
        <f>SUMIF($T$4:$CA$4,Q$4,$T29:$CA29)</f>
        <v/>
      </c>
      <c r="T29" s="246" t="n"/>
      <c r="U29" s="246" t="n"/>
      <c r="V29" s="246" t="n"/>
      <c r="W29" s="246" t="n"/>
      <c r="X29" s="246" t="n"/>
      <c r="Y29" s="246" t="n"/>
      <c r="Z29" s="246" t="n"/>
      <c r="AA29" s="246" t="n"/>
      <c r="AB29" s="246" t="n"/>
      <c r="AC29" s="246" t="n"/>
      <c r="AD29" s="246" t="n"/>
      <c r="AE29" s="246" t="n"/>
      <c r="AF29" s="246" t="n"/>
      <c r="AG29" s="246" t="n"/>
      <c r="AH29" s="246" t="n"/>
      <c r="AI29" s="246" t="n"/>
      <c r="AJ29" s="246" t="n"/>
      <c r="AK29" s="246" t="n"/>
      <c r="AL29" s="246" t="n"/>
      <c r="AM29" s="246" t="n"/>
      <c r="AN29" s="246" t="n"/>
      <c r="AO29" s="246" t="n"/>
      <c r="AP29" s="246" t="n"/>
      <c r="AQ29" s="246" t="n"/>
      <c r="AR29" s="246" t="n"/>
      <c r="AS29" s="246" t="n"/>
      <c r="AT29" s="246" t="n"/>
      <c r="AU29" s="246" t="n"/>
      <c r="AV29" s="246" t="n"/>
      <c r="AW29" s="246" t="n"/>
      <c r="AX29" s="246" t="n"/>
      <c r="AY29" s="246" t="n"/>
      <c r="AZ29" s="246" t="n"/>
      <c r="BA29" s="246" t="n"/>
      <c r="BB29" s="246" t="n"/>
      <c r="BC29" s="246" t="n"/>
      <c r="BD29" s="246" t="n"/>
      <c r="BE29" s="246" t="n"/>
      <c r="BF29" s="246" t="n"/>
      <c r="BG29" s="246" t="n"/>
      <c r="BH29" s="246" t="n"/>
      <c r="BI29" s="246" t="n"/>
      <c r="BJ29" s="246" t="n"/>
      <c r="BK29" s="246" t="n"/>
      <c r="BL29" s="246" t="n"/>
      <c r="BM29" s="246" t="n"/>
      <c r="BN29" s="246" t="n"/>
      <c r="BO29" s="246" t="n"/>
      <c r="BP29" s="246" t="n"/>
      <c r="BQ29" s="246" t="n"/>
      <c r="BR29" s="246" t="n"/>
      <c r="BS29" s="246" t="n"/>
      <c r="BT29" s="246" t="n"/>
      <c r="BU29" s="246" t="n"/>
      <c r="BV29" s="246" t="n"/>
      <c r="BW29" s="246" t="n"/>
      <c r="BX29" s="246" t="n"/>
      <c r="BY29" s="246" t="n"/>
      <c r="BZ29" s="246" t="n"/>
      <c r="CA29" s="246" t="n"/>
    </row>
    <row r="30" ht="12" customHeight="1" s="227">
      <c r="A30" s="244" t="n"/>
      <c r="B30" s="244" t="n"/>
      <c r="C30" s="244" t="n"/>
      <c r="G30" s="222" t="n"/>
      <c r="H30" s="4">
        <f>i_Setup!U49</f>
        <v/>
      </c>
      <c r="I30" s="27">
        <f>i_Setup!$M$16</f>
        <v/>
      </c>
      <c r="M30" s="245">
        <f>SUMIF($T$4:$CA$4,M$4,$T30:$CA30)</f>
        <v/>
      </c>
      <c r="N30" s="245">
        <f>SUMIF($T$4:$CA$4,N$4,$T30:$CA30)</f>
        <v/>
      </c>
      <c r="O30" s="245">
        <f>SUMIF($T$4:$CA$4,O$4,$T30:$CA30)</f>
        <v/>
      </c>
      <c r="P30" s="245">
        <f>SUMIF($T$4:$CA$4,P$4,$T30:$CA30)</f>
        <v/>
      </c>
      <c r="Q30" s="245">
        <f>SUMIF($T$4:$CA$4,Q$4,$T30:$CA30)</f>
        <v/>
      </c>
      <c r="T30" s="246" t="n"/>
      <c r="U30" s="246" t="n"/>
      <c r="V30" s="246" t="n"/>
      <c r="W30" s="246" t="n"/>
      <c r="X30" s="246" t="n"/>
      <c r="Y30" s="246" t="n"/>
      <c r="Z30" s="246" t="n"/>
      <c r="AA30" s="246" t="n"/>
      <c r="AB30" s="246" t="n"/>
      <c r="AC30" s="246" t="n"/>
      <c r="AD30" s="246" t="n"/>
      <c r="AE30" s="246" t="n"/>
      <c r="AF30" s="246" t="n"/>
      <c r="AG30" s="246" t="n"/>
      <c r="AH30" s="246" t="n"/>
      <c r="AI30" s="246" t="n"/>
      <c r="AJ30" s="246" t="n"/>
      <c r="AK30" s="246" t="n"/>
      <c r="AL30" s="246" t="n"/>
      <c r="AM30" s="246" t="n"/>
      <c r="AN30" s="246" t="n"/>
      <c r="AO30" s="246" t="n"/>
      <c r="AP30" s="246" t="n"/>
      <c r="AQ30" s="246" t="n"/>
      <c r="AR30" s="246" t="n"/>
      <c r="AS30" s="246" t="n"/>
      <c r="AT30" s="246" t="n"/>
      <c r="AU30" s="246" t="n"/>
      <c r="AV30" s="246" t="n"/>
      <c r="AW30" s="246" t="n"/>
      <c r="AX30" s="246" t="n"/>
      <c r="AY30" s="246" t="n"/>
      <c r="AZ30" s="246" t="n"/>
      <c r="BA30" s="246" t="n"/>
      <c r="BB30" s="246" t="n"/>
      <c r="BC30" s="246" t="n"/>
      <c r="BD30" s="246" t="n"/>
      <c r="BE30" s="246" t="n"/>
      <c r="BF30" s="246" t="n"/>
      <c r="BG30" s="246" t="n"/>
      <c r="BH30" s="246" t="n"/>
      <c r="BI30" s="246" t="n"/>
      <c r="BJ30" s="246" t="n"/>
      <c r="BK30" s="246" t="n"/>
      <c r="BL30" s="246" t="n"/>
      <c r="BM30" s="246" t="n"/>
      <c r="BN30" s="246" t="n"/>
      <c r="BO30" s="246" t="n"/>
      <c r="BP30" s="246" t="n"/>
      <c r="BQ30" s="246" t="n"/>
      <c r="BR30" s="246" t="n"/>
      <c r="BS30" s="246" t="n"/>
      <c r="BT30" s="246" t="n"/>
      <c r="BU30" s="246" t="n"/>
      <c r="BV30" s="246" t="n"/>
      <c r="BW30" s="246" t="n"/>
      <c r="BX30" s="246" t="n"/>
      <c r="BY30" s="246" t="n"/>
      <c r="BZ30" s="246" t="n"/>
      <c r="CA30" s="246" t="n"/>
    </row>
    <row r="31" ht="12" customHeight="1" s="227">
      <c r="A31" s="244" t="n"/>
      <c r="B31" s="244" t="n"/>
      <c r="C31" s="244" t="n"/>
      <c r="G31" s="222" t="n"/>
      <c r="H31" s="4">
        <f>i_Setup!U50</f>
        <v/>
      </c>
      <c r="I31" s="27">
        <f>i_Setup!$M$16</f>
        <v/>
      </c>
      <c r="M31" s="245">
        <f>SUMIF($T$4:$CA$4,M$4,$T31:$CA31)</f>
        <v/>
      </c>
      <c r="N31" s="245">
        <f>SUMIF($T$4:$CA$4,N$4,$T31:$CA31)</f>
        <v/>
      </c>
      <c r="O31" s="245">
        <f>SUMIF($T$4:$CA$4,O$4,$T31:$CA31)</f>
        <v/>
      </c>
      <c r="P31" s="245">
        <f>SUMIF($T$4:$CA$4,P$4,$T31:$CA31)</f>
        <v/>
      </c>
      <c r="Q31" s="245">
        <f>SUMIF($T$4:$CA$4,Q$4,$T31:$CA31)</f>
        <v/>
      </c>
      <c r="T31" s="246" t="n"/>
      <c r="U31" s="246" t="n"/>
      <c r="V31" s="246" t="n"/>
      <c r="W31" s="246" t="n"/>
      <c r="X31" s="246" t="n"/>
      <c r="Y31" s="246" t="n"/>
      <c r="Z31" s="246" t="n"/>
      <c r="AA31" s="246" t="n"/>
      <c r="AB31" s="246" t="n"/>
      <c r="AC31" s="246" t="n"/>
      <c r="AD31" s="246" t="n"/>
      <c r="AE31" s="246" t="n"/>
      <c r="AF31" s="246" t="n"/>
      <c r="AG31" s="246" t="n"/>
      <c r="AH31" s="246" t="n"/>
      <c r="AI31" s="246" t="n"/>
      <c r="AJ31" s="246" t="n"/>
      <c r="AK31" s="246" t="n"/>
      <c r="AL31" s="246" t="n"/>
      <c r="AM31" s="246" t="n"/>
      <c r="AN31" s="246" t="n"/>
      <c r="AO31" s="246" t="n"/>
      <c r="AP31" s="246" t="n"/>
      <c r="AQ31" s="246" t="n"/>
      <c r="AR31" s="246" t="n"/>
      <c r="AS31" s="246" t="n"/>
      <c r="AT31" s="246" t="n"/>
      <c r="AU31" s="246" t="n"/>
      <c r="AV31" s="246" t="n"/>
      <c r="AW31" s="246" t="n"/>
      <c r="AX31" s="246" t="n"/>
      <c r="AY31" s="246" t="n"/>
      <c r="AZ31" s="246" t="n"/>
      <c r="BA31" s="246" t="n"/>
      <c r="BB31" s="246" t="n"/>
      <c r="BC31" s="246" t="n"/>
      <c r="BD31" s="246" t="n"/>
      <c r="BE31" s="246" t="n"/>
      <c r="BF31" s="246" t="n"/>
      <c r="BG31" s="246" t="n"/>
      <c r="BH31" s="246" t="n"/>
      <c r="BI31" s="246" t="n"/>
      <c r="BJ31" s="246" t="n"/>
      <c r="BK31" s="246" t="n"/>
      <c r="BL31" s="246" t="n"/>
      <c r="BM31" s="246" t="n"/>
      <c r="BN31" s="246" t="n"/>
      <c r="BO31" s="246" t="n"/>
      <c r="BP31" s="246" t="n"/>
      <c r="BQ31" s="246" t="n"/>
      <c r="BR31" s="246" t="n"/>
      <c r="BS31" s="246" t="n"/>
      <c r="BT31" s="246" t="n"/>
      <c r="BU31" s="246" t="n"/>
      <c r="BV31" s="246" t="n"/>
      <c r="BW31" s="246" t="n"/>
      <c r="BX31" s="246" t="n"/>
      <c r="BY31" s="246" t="n"/>
      <c r="BZ31" s="246" t="n"/>
      <c r="CA31" s="246" t="n"/>
    </row>
    <row r="32" ht="12" customHeight="1" s="227">
      <c r="A32" s="244" t="n"/>
      <c r="B32" s="244" t="n"/>
      <c r="C32" s="244" t="n"/>
      <c r="G32" s="222" t="n"/>
      <c r="H32" s="4">
        <f>i_Setup!U51</f>
        <v/>
      </c>
      <c r="I32" s="27">
        <f>i_Setup!$M$16</f>
        <v/>
      </c>
      <c r="M32" s="245">
        <f>SUMIF($T$4:$CA$4,M$4,$T32:$CA32)</f>
        <v/>
      </c>
      <c r="N32" s="245">
        <f>SUMIF($T$4:$CA$4,N$4,$T32:$CA32)</f>
        <v/>
      </c>
      <c r="O32" s="245">
        <f>SUMIF($T$4:$CA$4,O$4,$T32:$CA32)</f>
        <v/>
      </c>
      <c r="P32" s="245">
        <f>SUMIF($T$4:$CA$4,P$4,$T32:$CA32)</f>
        <v/>
      </c>
      <c r="Q32" s="245">
        <f>SUMIF($T$4:$CA$4,Q$4,$T32:$CA32)</f>
        <v/>
      </c>
      <c r="T32" s="246" t="n"/>
      <c r="U32" s="246" t="n"/>
      <c r="V32" s="246" t="n"/>
      <c r="W32" s="246" t="n"/>
      <c r="X32" s="246" t="n"/>
      <c r="Y32" s="246" t="n"/>
      <c r="Z32" s="246" t="n"/>
      <c r="AA32" s="246" t="n"/>
      <c r="AB32" s="246" t="n"/>
      <c r="AC32" s="246" t="n"/>
      <c r="AD32" s="246" t="n"/>
      <c r="AE32" s="246" t="n"/>
      <c r="AF32" s="246" t="n"/>
      <c r="AG32" s="246" t="n"/>
      <c r="AH32" s="246" t="n"/>
      <c r="AI32" s="246" t="n"/>
      <c r="AJ32" s="246" t="n"/>
      <c r="AK32" s="246" t="n"/>
      <c r="AL32" s="246" t="n"/>
      <c r="AM32" s="246" t="n"/>
      <c r="AN32" s="246" t="n"/>
      <c r="AO32" s="246" t="n"/>
      <c r="AP32" s="246" t="n"/>
      <c r="AQ32" s="246" t="n"/>
      <c r="AR32" s="246" t="n"/>
      <c r="AS32" s="246" t="n"/>
      <c r="AT32" s="246" t="n"/>
      <c r="AU32" s="246" t="n"/>
      <c r="AV32" s="246" t="n"/>
      <c r="AW32" s="246" t="n"/>
      <c r="AX32" s="246" t="n"/>
      <c r="AY32" s="246" t="n"/>
      <c r="AZ32" s="246" t="n"/>
      <c r="BA32" s="246" t="n"/>
      <c r="BB32" s="246" t="n"/>
      <c r="BC32" s="246" t="n"/>
      <c r="BD32" s="246" t="n"/>
      <c r="BE32" s="246" t="n"/>
      <c r="BF32" s="246" t="n"/>
      <c r="BG32" s="246" t="n"/>
      <c r="BH32" s="246" t="n"/>
      <c r="BI32" s="246" t="n"/>
      <c r="BJ32" s="246" t="n"/>
      <c r="BK32" s="246" t="n"/>
      <c r="BL32" s="246" t="n"/>
      <c r="BM32" s="246" t="n"/>
      <c r="BN32" s="246" t="n"/>
      <c r="BO32" s="246" t="n"/>
      <c r="BP32" s="246" t="n"/>
      <c r="BQ32" s="246" t="n"/>
      <c r="BR32" s="246" t="n"/>
      <c r="BS32" s="246" t="n"/>
      <c r="BT32" s="246" t="n"/>
      <c r="BU32" s="246" t="n"/>
      <c r="BV32" s="246" t="n"/>
      <c r="BW32" s="246" t="n"/>
      <c r="BX32" s="246" t="n"/>
      <c r="BY32" s="246" t="n"/>
      <c r="BZ32" s="246" t="n"/>
      <c r="CA32" s="246" t="n"/>
    </row>
    <row r="33" ht="12" customHeight="1" s="227">
      <c r="A33" s="244" t="n"/>
      <c r="B33" s="244" t="n"/>
      <c r="C33" s="244" t="n"/>
      <c r="G33" s="222" t="n"/>
      <c r="H33" s="4">
        <f>i_Setup!U52</f>
        <v/>
      </c>
      <c r="I33" s="27">
        <f>i_Setup!$M$16</f>
        <v/>
      </c>
      <c r="M33" s="245">
        <f>SUMIF($T$4:$CA$4,M$4,$T33:$CA33)</f>
        <v/>
      </c>
      <c r="N33" s="245">
        <f>SUMIF($T$4:$CA$4,N$4,$T33:$CA33)</f>
        <v/>
      </c>
      <c r="O33" s="245">
        <f>SUMIF($T$4:$CA$4,O$4,$T33:$CA33)</f>
        <v/>
      </c>
      <c r="P33" s="245">
        <f>SUMIF($T$4:$CA$4,P$4,$T33:$CA33)</f>
        <v/>
      </c>
      <c r="Q33" s="245">
        <f>SUMIF($T$4:$CA$4,Q$4,$T33:$CA33)</f>
        <v/>
      </c>
      <c r="T33" s="246" t="n"/>
      <c r="U33" s="246" t="n"/>
      <c r="V33" s="246" t="n"/>
      <c r="W33" s="246" t="n"/>
      <c r="X33" s="246" t="n"/>
      <c r="Y33" s="246" t="n"/>
      <c r="Z33" s="246" t="n"/>
      <c r="AA33" s="246" t="n"/>
      <c r="AB33" s="246" t="n"/>
      <c r="AC33" s="246" t="n"/>
      <c r="AD33" s="246" t="n"/>
      <c r="AE33" s="246" t="n"/>
      <c r="AF33" s="246" t="n"/>
      <c r="AG33" s="246" t="n"/>
      <c r="AH33" s="246" t="n"/>
      <c r="AI33" s="246" t="n"/>
      <c r="AJ33" s="246" t="n"/>
      <c r="AK33" s="246" t="n"/>
      <c r="AL33" s="246" t="n"/>
      <c r="AM33" s="246" t="n"/>
      <c r="AN33" s="246" t="n"/>
      <c r="AO33" s="246" t="n"/>
      <c r="AP33" s="246" t="n"/>
      <c r="AQ33" s="246" t="n"/>
      <c r="AR33" s="246" t="n"/>
      <c r="AS33" s="246" t="n"/>
      <c r="AT33" s="246" t="n"/>
      <c r="AU33" s="246" t="n"/>
      <c r="AV33" s="246" t="n"/>
      <c r="AW33" s="246" t="n"/>
      <c r="AX33" s="246" t="n"/>
      <c r="AY33" s="246" t="n"/>
      <c r="AZ33" s="246" t="n"/>
      <c r="BA33" s="246" t="n"/>
      <c r="BB33" s="246" t="n"/>
      <c r="BC33" s="246" t="n"/>
      <c r="BD33" s="246" t="n"/>
      <c r="BE33" s="246" t="n"/>
      <c r="BF33" s="246" t="n"/>
      <c r="BG33" s="246" t="n"/>
      <c r="BH33" s="246" t="n"/>
      <c r="BI33" s="246" t="n"/>
      <c r="BJ33" s="246" t="n"/>
      <c r="BK33" s="246" t="n"/>
      <c r="BL33" s="246" t="n"/>
      <c r="BM33" s="246" t="n"/>
      <c r="BN33" s="246" t="n"/>
      <c r="BO33" s="246" t="n"/>
      <c r="BP33" s="246" t="n"/>
      <c r="BQ33" s="246" t="n"/>
      <c r="BR33" s="246" t="n"/>
      <c r="BS33" s="246" t="n"/>
      <c r="BT33" s="246" t="n"/>
      <c r="BU33" s="246" t="n"/>
      <c r="BV33" s="246" t="n"/>
      <c r="BW33" s="246" t="n"/>
      <c r="BX33" s="246" t="n"/>
      <c r="BY33" s="246" t="n"/>
      <c r="BZ33" s="246" t="n"/>
      <c r="CA33" s="246" t="n"/>
    </row>
    <row r="34" ht="12" customHeight="1" s="227">
      <c r="A34" s="244" t="n"/>
      <c r="B34" s="244" t="n"/>
      <c r="C34" s="244" t="n"/>
      <c r="G34" s="222" t="n"/>
      <c r="H34" s="4">
        <f>i_Setup!U53</f>
        <v/>
      </c>
      <c r="I34" s="27">
        <f>i_Setup!$M$16</f>
        <v/>
      </c>
      <c r="M34" s="245">
        <f>SUMIF($T$4:$CA$4,M$4,$T34:$CA34)</f>
        <v/>
      </c>
      <c r="N34" s="245">
        <f>SUMIF($T$4:$CA$4,N$4,$T34:$CA34)</f>
        <v/>
      </c>
      <c r="O34" s="245">
        <f>SUMIF($T$4:$CA$4,O$4,$T34:$CA34)</f>
        <v/>
      </c>
      <c r="P34" s="245">
        <f>SUMIF($T$4:$CA$4,P$4,$T34:$CA34)</f>
        <v/>
      </c>
      <c r="Q34" s="245">
        <f>SUMIF($T$4:$CA$4,Q$4,$T34:$CA34)</f>
        <v/>
      </c>
      <c r="T34" s="246" t="n"/>
      <c r="U34" s="246" t="n"/>
      <c r="V34" s="246" t="n"/>
      <c r="W34" s="246" t="n"/>
      <c r="X34" s="246" t="n"/>
      <c r="Y34" s="246" t="n"/>
      <c r="Z34" s="246" t="n"/>
      <c r="AA34" s="246" t="n"/>
      <c r="AB34" s="246" t="n"/>
      <c r="AC34" s="246" t="n"/>
      <c r="AD34" s="246" t="n"/>
      <c r="AE34" s="246" t="n"/>
      <c r="AF34" s="246" t="n"/>
      <c r="AG34" s="246" t="n"/>
      <c r="AH34" s="246" t="n"/>
      <c r="AI34" s="246" t="n"/>
      <c r="AJ34" s="246" t="n"/>
      <c r="AK34" s="246" t="n"/>
      <c r="AL34" s="246" t="n"/>
      <c r="AM34" s="246" t="n"/>
      <c r="AN34" s="246" t="n"/>
      <c r="AO34" s="246" t="n"/>
      <c r="AP34" s="246" t="n"/>
      <c r="AQ34" s="246" t="n"/>
      <c r="AR34" s="246" t="n"/>
      <c r="AS34" s="246" t="n"/>
      <c r="AT34" s="246" t="n"/>
      <c r="AU34" s="246" t="n"/>
      <c r="AV34" s="246" t="n"/>
      <c r="AW34" s="246" t="n"/>
      <c r="AX34" s="246" t="n"/>
      <c r="AY34" s="246" t="n"/>
      <c r="AZ34" s="246" t="n"/>
      <c r="BA34" s="246" t="n"/>
      <c r="BB34" s="246" t="n"/>
      <c r="BC34" s="246" t="n"/>
      <c r="BD34" s="246" t="n"/>
      <c r="BE34" s="246" t="n"/>
      <c r="BF34" s="246" t="n"/>
      <c r="BG34" s="246" t="n"/>
      <c r="BH34" s="246" t="n"/>
      <c r="BI34" s="246" t="n"/>
      <c r="BJ34" s="246" t="n"/>
      <c r="BK34" s="246" t="n"/>
      <c r="BL34" s="246" t="n"/>
      <c r="BM34" s="246" t="n"/>
      <c r="BN34" s="246" t="n"/>
      <c r="BO34" s="246" t="n"/>
      <c r="BP34" s="246" t="n"/>
      <c r="BQ34" s="246" t="n"/>
      <c r="BR34" s="246" t="n"/>
      <c r="BS34" s="246" t="n"/>
      <c r="BT34" s="246" t="n"/>
      <c r="BU34" s="246" t="n"/>
      <c r="BV34" s="246" t="n"/>
      <c r="BW34" s="246" t="n"/>
      <c r="BX34" s="246" t="n"/>
      <c r="BY34" s="246" t="n"/>
      <c r="BZ34" s="246" t="n"/>
      <c r="CA34" s="246" t="n"/>
    </row>
    <row r="35" ht="12" customHeight="1" s="227">
      <c r="A35" s="244" t="n"/>
      <c r="B35" s="244" t="n"/>
      <c r="C35" s="244" t="n"/>
      <c r="G35" s="39" t="inlineStr">
        <is>
          <t>Total Direct Staff Costs</t>
        </is>
      </c>
      <c r="H35" s="39" t="n"/>
      <c r="I35" s="41">
        <f>i_Setup!$M$16</f>
        <v/>
      </c>
      <c r="M35" s="249">
        <f>SUM(M27:M34)</f>
        <v/>
      </c>
      <c r="N35" s="249">
        <f>SUM(N27:N34)</f>
        <v/>
      </c>
      <c r="O35" s="249">
        <f>SUM(O27:O34)</f>
        <v/>
      </c>
      <c r="P35" s="249">
        <f>SUM(P27:P34)</f>
        <v/>
      </c>
      <c r="Q35" s="249">
        <f>SUM(Q27:Q34)</f>
        <v/>
      </c>
      <c r="T35" s="249">
        <f>SUM(T27:T34)</f>
        <v/>
      </c>
      <c r="U35" s="249">
        <f>SUM(U27:U34)</f>
        <v/>
      </c>
      <c r="V35" s="249">
        <f>SUM(V27:V34)</f>
        <v/>
      </c>
      <c r="W35" s="249">
        <f>SUM(W27:W34)</f>
        <v/>
      </c>
      <c r="X35" s="249">
        <f>SUM(X27:X34)</f>
        <v/>
      </c>
      <c r="Y35" s="249">
        <f>SUM(Y27:Y34)</f>
        <v/>
      </c>
      <c r="Z35" s="249">
        <f>SUM(Z27:Z34)</f>
        <v/>
      </c>
      <c r="AA35" s="249">
        <f>SUM(AA27:AA34)</f>
        <v/>
      </c>
      <c r="AB35" s="249">
        <f>SUM(AB27:AB34)</f>
        <v/>
      </c>
      <c r="AC35" s="249">
        <f>SUM(AC27:AC34)</f>
        <v/>
      </c>
      <c r="AD35" s="249">
        <f>SUM(AD27:AD34)</f>
        <v/>
      </c>
      <c r="AE35" s="249">
        <f>SUM(AE27:AE34)</f>
        <v/>
      </c>
      <c r="AF35" s="249">
        <f>SUM(AF27:AF34)</f>
        <v/>
      </c>
      <c r="AG35" s="249">
        <f>SUM(AG27:AG34)</f>
        <v/>
      </c>
      <c r="AH35" s="249">
        <f>SUM(AH27:AH34)</f>
        <v/>
      </c>
      <c r="AI35" s="249">
        <f>SUM(AI27:AI34)</f>
        <v/>
      </c>
      <c r="AJ35" s="249">
        <f>SUM(AJ27:AJ34)</f>
        <v/>
      </c>
      <c r="AK35" s="249">
        <f>SUM(AK27:AK34)</f>
        <v/>
      </c>
      <c r="AL35" s="249">
        <f>SUM(AL27:AL34)</f>
        <v/>
      </c>
      <c r="AM35" s="249">
        <f>SUM(AM27:AM34)</f>
        <v/>
      </c>
      <c r="AN35" s="249">
        <f>SUM(AN27:AN34)</f>
        <v/>
      </c>
      <c r="AO35" s="249">
        <f>SUM(AO27:AO34)</f>
        <v/>
      </c>
      <c r="AP35" s="249">
        <f>SUM(AP27:AP34)</f>
        <v/>
      </c>
      <c r="AQ35" s="249">
        <f>SUM(AQ27:AQ34)</f>
        <v/>
      </c>
      <c r="AR35" s="249">
        <f>SUM(AR27:AR34)</f>
        <v/>
      </c>
      <c r="AS35" s="249">
        <f>SUM(AS27:AS34)</f>
        <v/>
      </c>
      <c r="AT35" s="249">
        <f>SUM(AT27:AT34)</f>
        <v/>
      </c>
      <c r="AU35" s="249">
        <f>SUM(AU27:AU34)</f>
        <v/>
      </c>
      <c r="AV35" s="249">
        <f>SUM(AV27:AV34)</f>
        <v/>
      </c>
      <c r="AW35" s="249">
        <f>SUM(AW27:AW34)</f>
        <v/>
      </c>
      <c r="AX35" s="249">
        <f>SUM(AX27:AX34)</f>
        <v/>
      </c>
      <c r="AY35" s="249">
        <f>SUM(AY27:AY34)</f>
        <v/>
      </c>
      <c r="AZ35" s="249">
        <f>SUM(AZ27:AZ34)</f>
        <v/>
      </c>
      <c r="BA35" s="249">
        <f>SUM(BA27:BA34)</f>
        <v/>
      </c>
      <c r="BB35" s="249">
        <f>SUM(BB27:BB34)</f>
        <v/>
      </c>
      <c r="BC35" s="249">
        <f>SUM(BC27:BC34)</f>
        <v/>
      </c>
      <c r="BD35" s="249">
        <f>SUM(BD27:BD34)</f>
        <v/>
      </c>
      <c r="BE35" s="249">
        <f>SUM(BE27:BE34)</f>
        <v/>
      </c>
      <c r="BF35" s="249">
        <f>SUM(BF27:BF34)</f>
        <v/>
      </c>
      <c r="BG35" s="249">
        <f>SUM(BG27:BG34)</f>
        <v/>
      </c>
      <c r="BH35" s="249">
        <f>SUM(BH27:BH34)</f>
        <v/>
      </c>
      <c r="BI35" s="249">
        <f>SUM(BI27:BI34)</f>
        <v/>
      </c>
      <c r="BJ35" s="249">
        <f>SUM(BJ27:BJ34)</f>
        <v/>
      </c>
      <c r="BK35" s="249">
        <f>SUM(BK27:BK34)</f>
        <v/>
      </c>
      <c r="BL35" s="249">
        <f>SUM(BL27:BL34)</f>
        <v/>
      </c>
      <c r="BM35" s="249">
        <f>SUM(BM27:BM34)</f>
        <v/>
      </c>
      <c r="BN35" s="249">
        <f>SUM(BN27:BN34)</f>
        <v/>
      </c>
      <c r="BO35" s="249">
        <f>SUM(BO27:BO34)</f>
        <v/>
      </c>
      <c r="BP35" s="249">
        <f>SUM(BP27:BP34)</f>
        <v/>
      </c>
      <c r="BQ35" s="249">
        <f>SUM(BQ27:BQ34)</f>
        <v/>
      </c>
      <c r="BR35" s="249">
        <f>SUM(BR27:BR34)</f>
        <v/>
      </c>
      <c r="BS35" s="249">
        <f>SUM(BS27:BS34)</f>
        <v/>
      </c>
      <c r="BT35" s="249">
        <f>SUM(BT27:BT34)</f>
        <v/>
      </c>
      <c r="BU35" s="249">
        <f>SUM(BU27:BU34)</f>
        <v/>
      </c>
      <c r="BV35" s="249">
        <f>SUM(BV27:BV34)</f>
        <v/>
      </c>
      <c r="BW35" s="249">
        <f>SUM(BW27:BW34)</f>
        <v/>
      </c>
      <c r="BX35" s="249">
        <f>SUM(BX27:BX34)</f>
        <v/>
      </c>
      <c r="BY35" s="249">
        <f>SUM(BY27:BY34)</f>
        <v/>
      </c>
      <c r="BZ35" s="249">
        <f>SUM(BZ27:BZ34)</f>
        <v/>
      </c>
      <c r="CA35" s="249">
        <f>SUM(CA27:CA34)</f>
        <v/>
      </c>
    </row>
    <row r="36" ht="12" customHeight="1" s="227">
      <c r="A36" s="244" t="n"/>
      <c r="B36" s="244" t="n"/>
      <c r="C36" s="244" t="n"/>
      <c r="G36" s="222" t="n"/>
    </row>
    <row r="37" ht="12" customHeight="1" s="227">
      <c r="A37" s="244" t="n"/>
      <c r="B37" s="244" t="n"/>
      <c r="C37" s="244" t="n"/>
      <c r="G37" s="222" t="inlineStr">
        <is>
          <t>Direct Expenses</t>
        </is>
      </c>
    </row>
    <row r="38" ht="12" customHeight="1" s="227">
      <c r="A38" s="244" t="n"/>
      <c r="B38" s="244" t="n"/>
      <c r="C38" s="244" t="n"/>
      <c r="G38" s="222" t="n"/>
      <c r="H38" s="0">
        <f>i_Setup!U75</f>
        <v/>
      </c>
      <c r="I38" s="27">
        <f>i_Setup!$M$16</f>
        <v/>
      </c>
      <c r="M38" s="245">
        <f>SUMIF($T$4:$CA$4,M$4,$T38:$CA38)</f>
        <v/>
      </c>
      <c r="N38" s="245">
        <f>SUMIF($T$4:$CA$4,N$4,$T38:$CA38)</f>
        <v/>
      </c>
      <c r="O38" s="245">
        <f>SUMIF($T$4:$CA$4,O$4,$T38:$CA38)</f>
        <v/>
      </c>
      <c r="P38" s="245">
        <f>SUMIF($T$4:$CA$4,P$4,$T38:$CA38)</f>
        <v/>
      </c>
      <c r="Q38" s="245">
        <f>SUMIF($T$4:$CA$4,Q$4,$T38:$CA38)</f>
        <v/>
      </c>
      <c r="T38" s="246" t="n"/>
      <c r="U38" s="246" t="n"/>
      <c r="V38" s="246" t="n"/>
      <c r="W38" s="246" t="n"/>
      <c r="X38" s="246" t="n"/>
      <c r="Y38" s="246" t="n"/>
      <c r="Z38" s="246" t="n"/>
      <c r="AA38" s="246" t="n"/>
      <c r="AB38" s="246" t="n"/>
      <c r="AC38" s="246" t="n"/>
      <c r="AD38" s="246" t="n"/>
      <c r="AE38" s="246" t="n"/>
      <c r="AF38" s="246" t="n"/>
      <c r="AG38" s="246" t="n"/>
      <c r="AH38" s="246" t="n"/>
      <c r="AI38" s="246" t="n"/>
      <c r="AJ38" s="246" t="n"/>
      <c r="AK38" s="246" t="n"/>
      <c r="AL38" s="246" t="n"/>
      <c r="AM38" s="246" t="n"/>
      <c r="AN38" s="246" t="n"/>
      <c r="AO38" s="246" t="n"/>
      <c r="AP38" s="246" t="n"/>
      <c r="AQ38" s="246" t="n"/>
      <c r="AR38" s="246" t="n"/>
      <c r="AS38" s="246" t="n"/>
      <c r="AT38" s="246" t="n"/>
      <c r="AU38" s="246" t="n"/>
      <c r="AV38" s="246" t="n"/>
      <c r="AW38" s="246" t="n"/>
      <c r="AX38" s="246" t="n"/>
      <c r="AY38" s="246" t="n"/>
      <c r="AZ38" s="246" t="n"/>
      <c r="BA38" s="246" t="n"/>
      <c r="BB38" s="246" t="n"/>
      <c r="BC38" s="246" t="n"/>
      <c r="BD38" s="246" t="n"/>
      <c r="BE38" s="246" t="n"/>
      <c r="BF38" s="246" t="n"/>
      <c r="BG38" s="246" t="n"/>
      <c r="BH38" s="246" t="n"/>
      <c r="BI38" s="246" t="n"/>
      <c r="BJ38" s="246" t="n"/>
      <c r="BK38" s="246" t="n"/>
      <c r="BL38" s="246" t="n"/>
      <c r="BM38" s="246" t="n"/>
      <c r="BN38" s="246" t="n"/>
      <c r="BO38" s="246" t="n"/>
      <c r="BP38" s="246" t="n"/>
      <c r="BQ38" s="246" t="n"/>
      <c r="BR38" s="246" t="n"/>
      <c r="BS38" s="246" t="n"/>
      <c r="BT38" s="246" t="n"/>
      <c r="BU38" s="246" t="n"/>
      <c r="BV38" s="246" t="n"/>
      <c r="BW38" s="246" t="n"/>
      <c r="BX38" s="246" t="n"/>
      <c r="BY38" s="246" t="n"/>
      <c r="BZ38" s="246" t="n"/>
      <c r="CA38" s="246" t="n"/>
    </row>
    <row r="39" ht="12" customHeight="1" s="227">
      <c r="A39" s="244" t="n"/>
      <c r="B39" s="244" t="n"/>
      <c r="C39" s="244" t="n"/>
      <c r="G39" s="222" t="n"/>
      <c r="H39" s="0">
        <f>i_Setup!U76</f>
        <v/>
      </c>
      <c r="I39" s="27">
        <f>i_Setup!$M$16</f>
        <v/>
      </c>
      <c r="M39" s="245">
        <f>SUMIF($T$4:$CA$4,M$4,$T39:$CA39)</f>
        <v/>
      </c>
      <c r="N39" s="245">
        <f>SUMIF($T$4:$CA$4,N$4,$T39:$CA39)</f>
        <v/>
      </c>
      <c r="O39" s="245">
        <f>SUMIF($T$4:$CA$4,O$4,$T39:$CA39)</f>
        <v/>
      </c>
      <c r="P39" s="245">
        <f>SUMIF($T$4:$CA$4,P$4,$T39:$CA39)</f>
        <v/>
      </c>
      <c r="Q39" s="245">
        <f>SUMIF($T$4:$CA$4,Q$4,$T39:$CA39)</f>
        <v/>
      </c>
      <c r="T39" s="246" t="n"/>
      <c r="U39" s="246" t="n"/>
      <c r="V39" s="246" t="n"/>
      <c r="W39" s="246" t="n"/>
      <c r="X39" s="246" t="n"/>
      <c r="Y39" s="246" t="n"/>
      <c r="Z39" s="246" t="n"/>
      <c r="AA39" s="246" t="n"/>
      <c r="AB39" s="246" t="n"/>
      <c r="AC39" s="246" t="n"/>
      <c r="AD39" s="246" t="n"/>
      <c r="AE39" s="246" t="n"/>
      <c r="AF39" s="246" t="n"/>
      <c r="AG39" s="246" t="n"/>
      <c r="AH39" s="246" t="n"/>
      <c r="AI39" s="246" t="n"/>
      <c r="AJ39" s="246" t="n"/>
      <c r="AK39" s="246" t="n"/>
      <c r="AL39" s="246" t="n"/>
      <c r="AM39" s="246" t="n"/>
      <c r="AN39" s="246" t="n"/>
      <c r="AO39" s="246" t="n"/>
      <c r="AP39" s="246" t="n"/>
      <c r="AQ39" s="246" t="n"/>
      <c r="AR39" s="246" t="n"/>
      <c r="AS39" s="246" t="n"/>
      <c r="AT39" s="246" t="n"/>
      <c r="AU39" s="246" t="n"/>
      <c r="AV39" s="246" t="n"/>
      <c r="AW39" s="246" t="n"/>
      <c r="AX39" s="246" t="n"/>
      <c r="AY39" s="246" t="n"/>
      <c r="AZ39" s="246" t="n"/>
      <c r="BA39" s="246" t="n"/>
      <c r="BB39" s="246" t="n"/>
      <c r="BC39" s="246" t="n"/>
      <c r="BD39" s="246" t="n"/>
      <c r="BE39" s="246" t="n"/>
      <c r="BF39" s="246" t="n"/>
      <c r="BG39" s="246" t="n"/>
      <c r="BH39" s="246" t="n"/>
      <c r="BI39" s="246" t="n"/>
      <c r="BJ39" s="246" t="n"/>
      <c r="BK39" s="246" t="n"/>
      <c r="BL39" s="246" t="n"/>
      <c r="BM39" s="246" t="n"/>
      <c r="BN39" s="246" t="n"/>
      <c r="BO39" s="246" t="n"/>
      <c r="BP39" s="246" t="n"/>
      <c r="BQ39" s="246" t="n"/>
      <c r="BR39" s="246" t="n"/>
      <c r="BS39" s="246" t="n"/>
      <c r="BT39" s="246" t="n"/>
      <c r="BU39" s="246" t="n"/>
      <c r="BV39" s="246" t="n"/>
      <c r="BW39" s="246" t="n"/>
      <c r="BX39" s="246" t="n"/>
      <c r="BY39" s="246" t="n"/>
      <c r="BZ39" s="246" t="n"/>
      <c r="CA39" s="246" t="n"/>
    </row>
    <row r="40" ht="12" customHeight="1" s="227">
      <c r="A40" s="244" t="n"/>
      <c r="B40" s="244" t="n"/>
      <c r="C40" s="244" t="n"/>
      <c r="G40" s="222" t="n"/>
      <c r="H40" s="0">
        <f>i_Setup!U77</f>
        <v/>
      </c>
      <c r="I40" s="27">
        <f>i_Setup!$M$16</f>
        <v/>
      </c>
      <c r="M40" s="245">
        <f>SUMIF($T$4:$CA$4,M$4,$T40:$CA40)</f>
        <v/>
      </c>
      <c r="N40" s="245">
        <f>SUMIF($T$4:$CA$4,N$4,$T40:$CA40)</f>
        <v/>
      </c>
      <c r="O40" s="245">
        <f>SUMIF($T$4:$CA$4,O$4,$T40:$CA40)</f>
        <v/>
      </c>
      <c r="P40" s="245">
        <f>SUMIF($T$4:$CA$4,P$4,$T40:$CA40)</f>
        <v/>
      </c>
      <c r="Q40" s="245">
        <f>SUMIF($T$4:$CA$4,Q$4,$T40:$CA40)</f>
        <v/>
      </c>
      <c r="T40" s="246" t="n"/>
      <c r="U40" s="246" t="n"/>
      <c r="V40" s="246" t="n"/>
      <c r="W40" s="246" t="n"/>
      <c r="X40" s="246" t="n"/>
      <c r="Y40" s="246" t="n"/>
      <c r="Z40" s="246" t="n"/>
      <c r="AA40" s="246" t="n"/>
      <c r="AB40" s="246" t="n"/>
      <c r="AC40" s="246" t="n"/>
      <c r="AD40" s="246" t="n"/>
      <c r="AE40" s="246" t="n"/>
      <c r="AF40" s="246" t="n"/>
      <c r="AG40" s="246" t="n"/>
      <c r="AH40" s="246" t="n"/>
      <c r="AI40" s="246" t="n"/>
      <c r="AJ40" s="246" t="n"/>
      <c r="AK40" s="246" t="n"/>
      <c r="AL40" s="246" t="n"/>
      <c r="AM40" s="246" t="n"/>
      <c r="AN40" s="246" t="n"/>
      <c r="AO40" s="246" t="n"/>
      <c r="AP40" s="246" t="n"/>
      <c r="AQ40" s="246" t="n"/>
      <c r="AR40" s="246" t="n"/>
      <c r="AS40" s="246" t="n"/>
      <c r="AT40" s="246" t="n"/>
      <c r="AU40" s="246" t="n"/>
      <c r="AV40" s="246" t="n"/>
      <c r="AW40" s="246" t="n"/>
      <c r="AX40" s="246" t="n"/>
      <c r="AY40" s="246" t="n"/>
      <c r="AZ40" s="246" t="n"/>
      <c r="BA40" s="246" t="n"/>
      <c r="BB40" s="246" t="n"/>
      <c r="BC40" s="246" t="n"/>
      <c r="BD40" s="246" t="n"/>
      <c r="BE40" s="246" t="n"/>
      <c r="BF40" s="246" t="n"/>
      <c r="BG40" s="246" t="n"/>
      <c r="BH40" s="246" t="n"/>
      <c r="BI40" s="246" t="n"/>
      <c r="BJ40" s="246" t="n"/>
      <c r="BK40" s="246" t="n"/>
      <c r="BL40" s="246" t="n"/>
      <c r="BM40" s="246" t="n"/>
      <c r="BN40" s="246" t="n"/>
      <c r="BO40" s="246" t="n"/>
      <c r="BP40" s="246" t="n"/>
      <c r="BQ40" s="246" t="n"/>
      <c r="BR40" s="246" t="n"/>
      <c r="BS40" s="246" t="n"/>
      <c r="BT40" s="246" t="n"/>
      <c r="BU40" s="246" t="n"/>
      <c r="BV40" s="246" t="n"/>
      <c r="BW40" s="246" t="n"/>
      <c r="BX40" s="246" t="n"/>
      <c r="BY40" s="246" t="n"/>
      <c r="BZ40" s="246" t="n"/>
      <c r="CA40" s="246" t="n"/>
    </row>
    <row r="41" ht="12" customHeight="1" s="227">
      <c r="A41" s="244" t="n"/>
      <c r="B41" s="244" t="n"/>
      <c r="C41" s="244" t="n"/>
      <c r="G41" s="222" t="n"/>
      <c r="H41" s="0">
        <f>i_Setup!U78</f>
        <v/>
      </c>
      <c r="I41" s="27">
        <f>i_Setup!$M$16</f>
        <v/>
      </c>
      <c r="M41" s="245">
        <f>SUMIF($T$4:$CA$4,M$4,$T41:$CA41)</f>
        <v/>
      </c>
      <c r="N41" s="245">
        <f>SUMIF($T$4:$CA$4,N$4,$T41:$CA41)</f>
        <v/>
      </c>
      <c r="O41" s="245">
        <f>SUMIF($T$4:$CA$4,O$4,$T41:$CA41)</f>
        <v/>
      </c>
      <c r="P41" s="245">
        <f>SUMIF($T$4:$CA$4,P$4,$T41:$CA41)</f>
        <v/>
      </c>
      <c r="Q41" s="245">
        <f>SUMIF($T$4:$CA$4,Q$4,$T41:$CA41)</f>
        <v/>
      </c>
      <c r="T41" s="246" t="n"/>
      <c r="U41" s="246" t="n"/>
      <c r="V41" s="246" t="n"/>
      <c r="W41" s="246" t="n"/>
      <c r="X41" s="246" t="n"/>
      <c r="Y41" s="246" t="n"/>
      <c r="Z41" s="246" t="n"/>
      <c r="AA41" s="246" t="n"/>
      <c r="AB41" s="246" t="n"/>
      <c r="AC41" s="246" t="n"/>
      <c r="AD41" s="246" t="n"/>
      <c r="AE41" s="246" t="n"/>
      <c r="AF41" s="246" t="n"/>
      <c r="AG41" s="246" t="n"/>
      <c r="AH41" s="246" t="n"/>
      <c r="AI41" s="246" t="n"/>
      <c r="AJ41" s="246" t="n"/>
      <c r="AK41" s="246" t="n"/>
      <c r="AL41" s="246" t="n"/>
      <c r="AM41" s="246" t="n"/>
      <c r="AN41" s="246" t="n"/>
      <c r="AO41" s="246" t="n"/>
      <c r="AP41" s="246" t="n"/>
      <c r="AQ41" s="246" t="n"/>
      <c r="AR41" s="246" t="n"/>
      <c r="AS41" s="246" t="n"/>
      <c r="AT41" s="246" t="n"/>
      <c r="AU41" s="246" t="n"/>
      <c r="AV41" s="246" t="n"/>
      <c r="AW41" s="246" t="n"/>
      <c r="AX41" s="246" t="n"/>
      <c r="AY41" s="246" t="n"/>
      <c r="AZ41" s="246" t="n"/>
      <c r="BA41" s="246" t="n"/>
      <c r="BB41" s="246" t="n"/>
      <c r="BC41" s="246" t="n"/>
      <c r="BD41" s="246" t="n"/>
      <c r="BE41" s="246" t="n"/>
      <c r="BF41" s="246" t="n"/>
      <c r="BG41" s="246" t="n"/>
      <c r="BH41" s="246" t="n"/>
      <c r="BI41" s="246" t="n"/>
      <c r="BJ41" s="246" t="n"/>
      <c r="BK41" s="246" t="n"/>
      <c r="BL41" s="246" t="n"/>
      <c r="BM41" s="246" t="n"/>
      <c r="BN41" s="246" t="n"/>
      <c r="BO41" s="246" t="n"/>
      <c r="BP41" s="246" t="n"/>
      <c r="BQ41" s="246" t="n"/>
      <c r="BR41" s="246" t="n"/>
      <c r="BS41" s="246" t="n"/>
      <c r="BT41" s="246" t="n"/>
      <c r="BU41" s="246" t="n"/>
      <c r="BV41" s="246" t="n"/>
      <c r="BW41" s="246" t="n"/>
      <c r="BX41" s="246" t="n"/>
      <c r="BY41" s="246" t="n"/>
      <c r="BZ41" s="246" t="n"/>
      <c r="CA41" s="246" t="n"/>
    </row>
    <row r="42" ht="12" customHeight="1" s="227">
      <c r="A42" s="244" t="n"/>
      <c r="B42" s="244" t="n"/>
      <c r="C42" s="244" t="n"/>
      <c r="G42" s="222" t="n"/>
      <c r="H42" s="0">
        <f>i_Setup!U79</f>
        <v/>
      </c>
      <c r="I42" s="27">
        <f>i_Setup!$M$16</f>
        <v/>
      </c>
      <c r="M42" s="245">
        <f>SUMIF($T$4:$CA$4,M$4,$T42:$CA42)</f>
        <v/>
      </c>
      <c r="N42" s="245">
        <f>SUMIF($T$4:$CA$4,N$4,$T42:$CA42)</f>
        <v/>
      </c>
      <c r="O42" s="245">
        <f>SUMIF($T$4:$CA$4,O$4,$T42:$CA42)</f>
        <v/>
      </c>
      <c r="P42" s="245">
        <f>SUMIF($T$4:$CA$4,P$4,$T42:$CA42)</f>
        <v/>
      </c>
      <c r="Q42" s="245">
        <f>SUMIF($T$4:$CA$4,Q$4,$T42:$CA42)</f>
        <v/>
      </c>
      <c r="T42" s="246" t="n"/>
      <c r="U42" s="246" t="n"/>
      <c r="V42" s="246" t="n"/>
      <c r="W42" s="246" t="n"/>
      <c r="X42" s="246" t="n"/>
      <c r="Y42" s="246" t="n"/>
      <c r="Z42" s="246" t="n"/>
      <c r="AA42" s="246" t="n"/>
      <c r="AB42" s="246" t="n"/>
      <c r="AC42" s="246" t="n"/>
      <c r="AD42" s="246" t="n"/>
      <c r="AE42" s="246" t="n"/>
      <c r="AF42" s="246" t="n"/>
      <c r="AG42" s="246" t="n"/>
      <c r="AH42" s="246" t="n"/>
      <c r="AI42" s="246" t="n"/>
      <c r="AJ42" s="246" t="n"/>
      <c r="AK42" s="246" t="n"/>
      <c r="AL42" s="246" t="n"/>
      <c r="AM42" s="246" t="n"/>
      <c r="AN42" s="246" t="n"/>
      <c r="AO42" s="246" t="n"/>
      <c r="AP42" s="246" t="n"/>
      <c r="AQ42" s="246" t="n"/>
      <c r="AR42" s="246" t="n"/>
      <c r="AS42" s="246" t="n"/>
      <c r="AT42" s="246" t="n"/>
      <c r="AU42" s="246" t="n"/>
      <c r="AV42" s="246" t="n"/>
      <c r="AW42" s="246" t="n"/>
      <c r="AX42" s="246" t="n"/>
      <c r="AY42" s="246" t="n"/>
      <c r="AZ42" s="246" t="n"/>
      <c r="BA42" s="246" t="n"/>
      <c r="BB42" s="246" t="n"/>
      <c r="BC42" s="246" t="n"/>
      <c r="BD42" s="246" t="n"/>
      <c r="BE42" s="246" t="n"/>
      <c r="BF42" s="246" t="n"/>
      <c r="BG42" s="246" t="n"/>
      <c r="BH42" s="246" t="n"/>
      <c r="BI42" s="246" t="n"/>
      <c r="BJ42" s="246" t="n"/>
      <c r="BK42" s="246" t="n"/>
      <c r="BL42" s="246" t="n"/>
      <c r="BM42" s="246" t="n"/>
      <c r="BN42" s="246" t="n"/>
      <c r="BO42" s="246" t="n"/>
      <c r="BP42" s="246" t="n"/>
      <c r="BQ42" s="246" t="n"/>
      <c r="BR42" s="246" t="n"/>
      <c r="BS42" s="246" t="n"/>
      <c r="BT42" s="246" t="n"/>
      <c r="BU42" s="246" t="n"/>
      <c r="BV42" s="246" t="n"/>
      <c r="BW42" s="246" t="n"/>
      <c r="BX42" s="246" t="n"/>
      <c r="BY42" s="246" t="n"/>
      <c r="BZ42" s="246" t="n"/>
      <c r="CA42" s="246" t="n"/>
    </row>
    <row r="43" ht="12" customHeight="1" s="227">
      <c r="A43" s="244" t="n"/>
      <c r="B43" s="244" t="n"/>
      <c r="C43" s="244" t="n"/>
      <c r="G43" s="222" t="n"/>
      <c r="H43" s="0">
        <f>i_Setup!U80</f>
        <v/>
      </c>
      <c r="I43" s="27">
        <f>i_Setup!$M$16</f>
        <v/>
      </c>
      <c r="M43" s="245">
        <f>SUMIF($T$4:$CA$4,M$4,$T43:$CA43)</f>
        <v/>
      </c>
      <c r="N43" s="245">
        <f>SUMIF($T$4:$CA$4,N$4,$T43:$CA43)</f>
        <v/>
      </c>
      <c r="O43" s="245">
        <f>SUMIF($T$4:$CA$4,O$4,$T43:$CA43)</f>
        <v/>
      </c>
      <c r="P43" s="245">
        <f>SUMIF($T$4:$CA$4,P$4,$T43:$CA43)</f>
        <v/>
      </c>
      <c r="Q43" s="245">
        <f>SUMIF($T$4:$CA$4,Q$4,$T43:$CA43)</f>
        <v/>
      </c>
      <c r="T43" s="246" t="n"/>
      <c r="U43" s="246" t="n"/>
      <c r="V43" s="246" t="n"/>
      <c r="W43" s="246" t="n"/>
      <c r="X43" s="246" t="n"/>
      <c r="Y43" s="246" t="n"/>
      <c r="Z43" s="246" t="n"/>
      <c r="AA43" s="246" t="n"/>
      <c r="AB43" s="246" t="n"/>
      <c r="AC43" s="246" t="n"/>
      <c r="AD43" s="246" t="n"/>
      <c r="AE43" s="246" t="n"/>
      <c r="AF43" s="246" t="n"/>
      <c r="AG43" s="246" t="n"/>
      <c r="AH43" s="246" t="n"/>
      <c r="AI43" s="246" t="n"/>
      <c r="AJ43" s="246" t="n"/>
      <c r="AK43" s="246" t="n"/>
      <c r="AL43" s="246" t="n"/>
      <c r="AM43" s="246" t="n"/>
      <c r="AN43" s="246" t="n"/>
      <c r="AO43" s="246" t="n"/>
      <c r="AP43" s="246" t="n"/>
      <c r="AQ43" s="246" t="n"/>
      <c r="AR43" s="246" t="n"/>
      <c r="AS43" s="246" t="n"/>
      <c r="AT43" s="246" t="n"/>
      <c r="AU43" s="246" t="n"/>
      <c r="AV43" s="246" t="n"/>
      <c r="AW43" s="246" t="n"/>
      <c r="AX43" s="246" t="n"/>
      <c r="AY43" s="246" t="n"/>
      <c r="AZ43" s="246" t="n"/>
      <c r="BA43" s="246" t="n"/>
      <c r="BB43" s="246" t="n"/>
      <c r="BC43" s="246" t="n"/>
      <c r="BD43" s="246" t="n"/>
      <c r="BE43" s="246" t="n"/>
      <c r="BF43" s="246" t="n"/>
      <c r="BG43" s="246" t="n"/>
      <c r="BH43" s="246" t="n"/>
      <c r="BI43" s="246" t="n"/>
      <c r="BJ43" s="246" t="n"/>
      <c r="BK43" s="246" t="n"/>
      <c r="BL43" s="246" t="n"/>
      <c r="BM43" s="246" t="n"/>
      <c r="BN43" s="246" t="n"/>
      <c r="BO43" s="246" t="n"/>
      <c r="BP43" s="246" t="n"/>
      <c r="BQ43" s="246" t="n"/>
      <c r="BR43" s="246" t="n"/>
      <c r="BS43" s="246" t="n"/>
      <c r="BT43" s="246" t="n"/>
      <c r="BU43" s="246" t="n"/>
      <c r="BV43" s="246" t="n"/>
      <c r="BW43" s="246" t="n"/>
      <c r="BX43" s="246" t="n"/>
      <c r="BY43" s="246" t="n"/>
      <c r="BZ43" s="246" t="n"/>
      <c r="CA43" s="246" t="n"/>
    </row>
    <row r="44" ht="12" customHeight="1" s="227">
      <c r="A44" s="244" t="n"/>
      <c r="B44" s="244" t="n"/>
      <c r="C44" s="244" t="n"/>
      <c r="G44" s="222" t="n"/>
      <c r="H44" s="0">
        <f>i_Setup!U81</f>
        <v/>
      </c>
      <c r="I44" s="27">
        <f>i_Setup!$M$16</f>
        <v/>
      </c>
      <c r="M44" s="245">
        <f>SUMIF($T$4:$CA$4,M$4,$T44:$CA44)</f>
        <v/>
      </c>
      <c r="N44" s="245">
        <f>SUMIF($T$4:$CA$4,N$4,$T44:$CA44)</f>
        <v/>
      </c>
      <c r="O44" s="245">
        <f>SUMIF($T$4:$CA$4,O$4,$T44:$CA44)</f>
        <v/>
      </c>
      <c r="P44" s="245">
        <f>SUMIF($T$4:$CA$4,P$4,$T44:$CA44)</f>
        <v/>
      </c>
      <c r="Q44" s="245">
        <f>SUMIF($T$4:$CA$4,Q$4,$T44:$CA44)</f>
        <v/>
      </c>
      <c r="T44" s="246" t="n"/>
      <c r="U44" s="246" t="n"/>
      <c r="V44" s="246" t="n"/>
      <c r="W44" s="246" t="n"/>
      <c r="X44" s="246" t="n"/>
      <c r="Y44" s="246" t="n"/>
      <c r="Z44" s="246" t="n"/>
      <c r="AA44" s="246" t="n"/>
      <c r="AB44" s="246" t="n"/>
      <c r="AC44" s="246" t="n"/>
      <c r="AD44" s="246" t="n"/>
      <c r="AE44" s="246" t="n"/>
      <c r="AF44" s="246" t="n"/>
      <c r="AG44" s="246" t="n"/>
      <c r="AH44" s="246" t="n"/>
      <c r="AI44" s="246" t="n"/>
      <c r="AJ44" s="246" t="n"/>
      <c r="AK44" s="246" t="n"/>
      <c r="AL44" s="246" t="n"/>
      <c r="AM44" s="246" t="n"/>
      <c r="AN44" s="246" t="n"/>
      <c r="AO44" s="246" t="n"/>
      <c r="AP44" s="246" t="n"/>
      <c r="AQ44" s="246" t="n"/>
      <c r="AR44" s="246" t="n"/>
      <c r="AS44" s="246" t="n"/>
      <c r="AT44" s="246" t="n"/>
      <c r="AU44" s="246" t="n"/>
      <c r="AV44" s="246" t="n"/>
      <c r="AW44" s="246" t="n"/>
      <c r="AX44" s="246" t="n"/>
      <c r="AY44" s="246" t="n"/>
      <c r="AZ44" s="246" t="n"/>
      <c r="BA44" s="246" t="n"/>
      <c r="BB44" s="246" t="n"/>
      <c r="BC44" s="246" t="n"/>
      <c r="BD44" s="246" t="n"/>
      <c r="BE44" s="246" t="n"/>
      <c r="BF44" s="246" t="n"/>
      <c r="BG44" s="246" t="n"/>
      <c r="BH44" s="246" t="n"/>
      <c r="BI44" s="246" t="n"/>
      <c r="BJ44" s="246" t="n"/>
      <c r="BK44" s="246" t="n"/>
      <c r="BL44" s="246" t="n"/>
      <c r="BM44" s="246" t="n"/>
      <c r="BN44" s="246" t="n"/>
      <c r="BO44" s="246" t="n"/>
      <c r="BP44" s="246" t="n"/>
      <c r="BQ44" s="246" t="n"/>
      <c r="BR44" s="246" t="n"/>
      <c r="BS44" s="246" t="n"/>
      <c r="BT44" s="246" t="n"/>
      <c r="BU44" s="246" t="n"/>
      <c r="BV44" s="246" t="n"/>
      <c r="BW44" s="246" t="n"/>
      <c r="BX44" s="246" t="n"/>
      <c r="BY44" s="246" t="n"/>
      <c r="BZ44" s="246" t="n"/>
      <c r="CA44" s="246" t="n"/>
    </row>
    <row r="45" ht="12" customHeight="1" s="227">
      <c r="A45" s="244" t="n"/>
      <c r="B45" s="244" t="n"/>
      <c r="C45" s="244" t="n"/>
      <c r="G45" s="222" t="n"/>
      <c r="H45" s="0">
        <f>i_Setup!U82</f>
        <v/>
      </c>
      <c r="I45" s="27">
        <f>i_Setup!$M$16</f>
        <v/>
      </c>
      <c r="M45" s="245">
        <f>SUMIF($T$4:$CA$4,M$4,$T45:$CA45)</f>
        <v/>
      </c>
      <c r="N45" s="245">
        <f>SUMIF($T$4:$CA$4,N$4,$T45:$CA45)</f>
        <v/>
      </c>
      <c r="O45" s="245">
        <f>SUMIF($T$4:$CA$4,O$4,$T45:$CA45)</f>
        <v/>
      </c>
      <c r="P45" s="245">
        <f>SUMIF($T$4:$CA$4,P$4,$T45:$CA45)</f>
        <v/>
      </c>
      <c r="Q45" s="245">
        <f>SUMIF($T$4:$CA$4,Q$4,$T45:$CA45)</f>
        <v/>
      </c>
      <c r="T45" s="246" t="n"/>
      <c r="U45" s="246" t="n"/>
      <c r="V45" s="246" t="n"/>
      <c r="W45" s="246" t="n"/>
      <c r="X45" s="246" t="n"/>
      <c r="Y45" s="246" t="n"/>
      <c r="Z45" s="246" t="n"/>
      <c r="AA45" s="246" t="n"/>
      <c r="AB45" s="246" t="n"/>
      <c r="AC45" s="246" t="n"/>
      <c r="AD45" s="246" t="n"/>
      <c r="AE45" s="246" t="n"/>
      <c r="AF45" s="246" t="n"/>
      <c r="AG45" s="246" t="n"/>
      <c r="AH45" s="246" t="n"/>
      <c r="AI45" s="246" t="n"/>
      <c r="AJ45" s="246" t="n"/>
      <c r="AK45" s="246" t="n"/>
      <c r="AL45" s="246" t="n"/>
      <c r="AM45" s="246" t="n"/>
      <c r="AN45" s="246" t="n"/>
      <c r="AO45" s="246" t="n"/>
      <c r="AP45" s="246" t="n"/>
      <c r="AQ45" s="246" t="n"/>
      <c r="AR45" s="246" t="n"/>
      <c r="AS45" s="246" t="n"/>
      <c r="AT45" s="246" t="n"/>
      <c r="AU45" s="246" t="n"/>
      <c r="AV45" s="246" t="n"/>
      <c r="AW45" s="246" t="n"/>
      <c r="AX45" s="246" t="n"/>
      <c r="AY45" s="246" t="n"/>
      <c r="AZ45" s="246" t="n"/>
      <c r="BA45" s="246" t="n"/>
      <c r="BB45" s="246" t="n"/>
      <c r="BC45" s="246" t="n"/>
      <c r="BD45" s="246" t="n"/>
      <c r="BE45" s="246" t="n"/>
      <c r="BF45" s="246" t="n"/>
      <c r="BG45" s="246" t="n"/>
      <c r="BH45" s="246" t="n"/>
      <c r="BI45" s="246" t="n"/>
      <c r="BJ45" s="246" t="n"/>
      <c r="BK45" s="246" t="n"/>
      <c r="BL45" s="246" t="n"/>
      <c r="BM45" s="246" t="n"/>
      <c r="BN45" s="246" t="n"/>
      <c r="BO45" s="246" t="n"/>
      <c r="BP45" s="246" t="n"/>
      <c r="BQ45" s="246" t="n"/>
      <c r="BR45" s="246" t="n"/>
      <c r="BS45" s="246" t="n"/>
      <c r="BT45" s="246" t="n"/>
      <c r="BU45" s="246" t="n"/>
      <c r="BV45" s="246" t="n"/>
      <c r="BW45" s="246" t="n"/>
      <c r="BX45" s="246" t="n"/>
      <c r="BY45" s="246" t="n"/>
      <c r="BZ45" s="246" t="n"/>
      <c r="CA45" s="246" t="n"/>
    </row>
    <row r="46" ht="12" customHeight="1" s="227">
      <c r="A46" s="244" t="n"/>
      <c r="B46" s="244" t="n"/>
      <c r="C46" s="244" t="n"/>
      <c r="G46" s="39" t="inlineStr">
        <is>
          <t>Total Direct Expenses</t>
        </is>
      </c>
      <c r="H46" s="39" t="n"/>
      <c r="I46" s="41">
        <f>i_Setup!$M$16</f>
        <v/>
      </c>
      <c r="M46" s="249">
        <f>SUM(M38:M45)</f>
        <v/>
      </c>
      <c r="N46" s="249">
        <f>SUM(N38:N45)</f>
        <v/>
      </c>
      <c r="O46" s="249">
        <f>SUM(O38:O45)</f>
        <v/>
      </c>
      <c r="P46" s="249">
        <f>SUM(P38:P45)</f>
        <v/>
      </c>
      <c r="Q46" s="249">
        <f>SUM(Q38:Q45)</f>
        <v/>
      </c>
      <c r="T46" s="249">
        <f>SUM(T38:T45)</f>
        <v/>
      </c>
      <c r="U46" s="249">
        <f>SUM(U38:U45)</f>
        <v/>
      </c>
      <c r="V46" s="249">
        <f>SUM(V38:V45)</f>
        <v/>
      </c>
      <c r="W46" s="249">
        <f>SUM(W38:W45)</f>
        <v/>
      </c>
      <c r="X46" s="249">
        <f>SUM(X38:X45)</f>
        <v/>
      </c>
      <c r="Y46" s="249">
        <f>SUM(Y38:Y45)</f>
        <v/>
      </c>
      <c r="Z46" s="249">
        <f>SUM(Z38:Z45)</f>
        <v/>
      </c>
      <c r="AA46" s="249">
        <f>SUM(AA38:AA45)</f>
        <v/>
      </c>
      <c r="AB46" s="249">
        <f>SUM(AB38:AB45)</f>
        <v/>
      </c>
      <c r="AC46" s="249">
        <f>SUM(AC38:AC45)</f>
        <v/>
      </c>
      <c r="AD46" s="249">
        <f>SUM(AD38:AD45)</f>
        <v/>
      </c>
      <c r="AE46" s="249">
        <f>SUM(AE38:AE45)</f>
        <v/>
      </c>
      <c r="AF46" s="249">
        <f>SUM(AF38:AF45)</f>
        <v/>
      </c>
      <c r="AG46" s="249">
        <f>SUM(AG38:AG45)</f>
        <v/>
      </c>
      <c r="AH46" s="249">
        <f>SUM(AH38:AH45)</f>
        <v/>
      </c>
      <c r="AI46" s="249">
        <f>SUM(AI38:AI45)</f>
        <v/>
      </c>
      <c r="AJ46" s="249">
        <f>SUM(AJ38:AJ45)</f>
        <v/>
      </c>
      <c r="AK46" s="249">
        <f>SUM(AK38:AK45)</f>
        <v/>
      </c>
      <c r="AL46" s="249">
        <f>SUM(AL38:AL45)</f>
        <v/>
      </c>
      <c r="AM46" s="249">
        <f>SUM(AM38:AM45)</f>
        <v/>
      </c>
      <c r="AN46" s="249">
        <f>SUM(AN38:AN45)</f>
        <v/>
      </c>
      <c r="AO46" s="249">
        <f>SUM(AO38:AO45)</f>
        <v/>
      </c>
      <c r="AP46" s="249">
        <f>SUM(AP38:AP45)</f>
        <v/>
      </c>
      <c r="AQ46" s="249">
        <f>SUM(AQ38:AQ45)</f>
        <v/>
      </c>
      <c r="AR46" s="249">
        <f>SUM(AR38:AR45)</f>
        <v/>
      </c>
      <c r="AS46" s="249">
        <f>SUM(AS38:AS45)</f>
        <v/>
      </c>
      <c r="AT46" s="249">
        <f>SUM(AT38:AT45)</f>
        <v/>
      </c>
      <c r="AU46" s="249">
        <f>SUM(AU38:AU45)</f>
        <v/>
      </c>
      <c r="AV46" s="249">
        <f>SUM(AV38:AV45)</f>
        <v/>
      </c>
      <c r="AW46" s="249">
        <f>SUM(AW38:AW45)</f>
        <v/>
      </c>
      <c r="AX46" s="249">
        <f>SUM(AX38:AX45)</f>
        <v/>
      </c>
      <c r="AY46" s="249">
        <f>SUM(AY38:AY45)</f>
        <v/>
      </c>
      <c r="AZ46" s="249">
        <f>SUM(AZ38:AZ45)</f>
        <v/>
      </c>
      <c r="BA46" s="249">
        <f>SUM(BA38:BA45)</f>
        <v/>
      </c>
      <c r="BB46" s="249">
        <f>SUM(BB38:BB45)</f>
        <v/>
      </c>
      <c r="BC46" s="249">
        <f>SUM(BC38:BC45)</f>
        <v/>
      </c>
      <c r="BD46" s="249">
        <f>SUM(BD38:BD45)</f>
        <v/>
      </c>
      <c r="BE46" s="249">
        <f>SUM(BE38:BE45)</f>
        <v/>
      </c>
      <c r="BF46" s="249">
        <f>SUM(BF38:BF45)</f>
        <v/>
      </c>
      <c r="BG46" s="249">
        <f>SUM(BG38:BG45)</f>
        <v/>
      </c>
      <c r="BH46" s="249">
        <f>SUM(BH38:BH45)</f>
        <v/>
      </c>
      <c r="BI46" s="249">
        <f>SUM(BI38:BI45)</f>
        <v/>
      </c>
      <c r="BJ46" s="249">
        <f>SUM(BJ38:BJ45)</f>
        <v/>
      </c>
      <c r="BK46" s="249">
        <f>SUM(BK38:BK45)</f>
        <v/>
      </c>
      <c r="BL46" s="249">
        <f>SUM(BL38:BL45)</f>
        <v/>
      </c>
      <c r="BM46" s="249">
        <f>SUM(BM38:BM45)</f>
        <v/>
      </c>
      <c r="BN46" s="249">
        <f>SUM(BN38:BN45)</f>
        <v/>
      </c>
      <c r="BO46" s="249">
        <f>SUM(BO38:BO45)</f>
        <v/>
      </c>
      <c r="BP46" s="249">
        <f>SUM(BP38:BP45)</f>
        <v/>
      </c>
      <c r="BQ46" s="249">
        <f>SUM(BQ38:BQ45)</f>
        <v/>
      </c>
      <c r="BR46" s="249">
        <f>SUM(BR38:BR45)</f>
        <v/>
      </c>
      <c r="BS46" s="249">
        <f>SUM(BS38:BS45)</f>
        <v/>
      </c>
      <c r="BT46" s="249">
        <f>SUM(BT38:BT45)</f>
        <v/>
      </c>
      <c r="BU46" s="249">
        <f>SUM(BU38:BU45)</f>
        <v/>
      </c>
      <c r="BV46" s="249">
        <f>SUM(BV38:BV45)</f>
        <v/>
      </c>
      <c r="BW46" s="249">
        <f>SUM(BW38:BW45)</f>
        <v/>
      </c>
      <c r="BX46" s="249">
        <f>SUM(BX38:BX45)</f>
        <v/>
      </c>
      <c r="BY46" s="249">
        <f>SUM(BY38:BY45)</f>
        <v/>
      </c>
      <c r="BZ46" s="249">
        <f>SUM(BZ38:BZ45)</f>
        <v/>
      </c>
      <c r="CA46" s="249">
        <f>SUM(CA38:CA45)</f>
        <v/>
      </c>
    </row>
    <row r="47" ht="12" customHeight="1" s="227">
      <c r="A47" s="244" t="n"/>
      <c r="B47" s="244" t="n"/>
      <c r="C47" s="244" t="n"/>
      <c r="G47" s="222" t="n"/>
    </row>
    <row r="48" ht="12" customHeight="1" s="227">
      <c r="A48" s="244" t="n"/>
      <c r="B48" s="244" t="n"/>
      <c r="C48" s="244" t="n"/>
      <c r="G48" s="81" t="inlineStr">
        <is>
          <t>Gross Profit</t>
        </is>
      </c>
      <c r="H48" s="74" t="n"/>
      <c r="I48" s="75">
        <f>i_Setup!$M$16</f>
        <v/>
      </c>
      <c r="M48" s="247">
        <f>M35+M46+M24</f>
        <v/>
      </c>
      <c r="N48" s="247">
        <f>N35+N46+N24</f>
        <v/>
      </c>
      <c r="O48" s="247">
        <f>O35+O46+O24</f>
        <v/>
      </c>
      <c r="P48" s="247">
        <f>P35+P46+P24</f>
        <v/>
      </c>
      <c r="Q48" s="247">
        <f>Q35+Q46+Q24</f>
        <v/>
      </c>
      <c r="T48" s="247">
        <f>T35+T46+T24</f>
        <v/>
      </c>
      <c r="U48" s="247">
        <f>U35+U46+U24</f>
        <v/>
      </c>
      <c r="V48" s="247">
        <f>V35+V46+V24</f>
        <v/>
      </c>
      <c r="W48" s="247">
        <f>W35+W46+W24</f>
        <v/>
      </c>
      <c r="X48" s="247">
        <f>X35+X46+X24</f>
        <v/>
      </c>
      <c r="Y48" s="247">
        <f>Y35+Y46+Y24</f>
        <v/>
      </c>
      <c r="Z48" s="247">
        <f>Z35+Z46+Z24</f>
        <v/>
      </c>
      <c r="AA48" s="247">
        <f>AA35+AA46+AA24</f>
        <v/>
      </c>
      <c r="AB48" s="247">
        <f>AB35+AB46+AB24</f>
        <v/>
      </c>
      <c r="AC48" s="247">
        <f>AC35+AC46+AC24</f>
        <v/>
      </c>
      <c r="AD48" s="247">
        <f>AD35+AD46+AD24</f>
        <v/>
      </c>
      <c r="AE48" s="247">
        <f>AE35+AE46+AE24</f>
        <v/>
      </c>
      <c r="AF48" s="247">
        <f>AF35+AF46+AF24</f>
        <v/>
      </c>
      <c r="AG48" s="247">
        <f>AG35+AG46+AG24</f>
        <v/>
      </c>
      <c r="AH48" s="247">
        <f>AH35+AH46+AH24</f>
        <v/>
      </c>
      <c r="AI48" s="247">
        <f>AI35+AI46+AI24</f>
        <v/>
      </c>
      <c r="AJ48" s="247">
        <f>AJ35+AJ46+AJ24</f>
        <v/>
      </c>
      <c r="AK48" s="247">
        <f>AK35+AK46+AK24</f>
        <v/>
      </c>
      <c r="AL48" s="247">
        <f>AL35+AL46+AL24</f>
        <v/>
      </c>
      <c r="AM48" s="247">
        <f>AM35+AM46+AM24</f>
        <v/>
      </c>
      <c r="AN48" s="247">
        <f>AN35+AN46+AN24</f>
        <v/>
      </c>
      <c r="AO48" s="247">
        <f>AO35+AO46+AO24</f>
        <v/>
      </c>
      <c r="AP48" s="247">
        <f>AP35+AP46+AP24</f>
        <v/>
      </c>
      <c r="AQ48" s="247">
        <f>AQ35+AQ46+AQ24</f>
        <v/>
      </c>
      <c r="AR48" s="247">
        <f>AR35+AR46+AR24</f>
        <v/>
      </c>
      <c r="AS48" s="247">
        <f>AS35+AS46+AS24</f>
        <v/>
      </c>
      <c r="AT48" s="247">
        <f>AT35+AT46+AT24</f>
        <v/>
      </c>
      <c r="AU48" s="247">
        <f>AU35+AU46+AU24</f>
        <v/>
      </c>
      <c r="AV48" s="247">
        <f>AV35+AV46+AV24</f>
        <v/>
      </c>
      <c r="AW48" s="247">
        <f>AW35+AW46+AW24</f>
        <v/>
      </c>
      <c r="AX48" s="247">
        <f>AX35+AX46+AX24</f>
        <v/>
      </c>
      <c r="AY48" s="247">
        <f>AY35+AY46+AY24</f>
        <v/>
      </c>
      <c r="AZ48" s="247">
        <f>AZ35+AZ46+AZ24</f>
        <v/>
      </c>
      <c r="BA48" s="247">
        <f>BA35+BA46+BA24</f>
        <v/>
      </c>
      <c r="BB48" s="247">
        <f>BB35+BB46+BB24</f>
        <v/>
      </c>
      <c r="BC48" s="247">
        <f>BC35+BC46+BC24</f>
        <v/>
      </c>
      <c r="BD48" s="247">
        <f>BD35+BD46+BD24</f>
        <v/>
      </c>
      <c r="BE48" s="247">
        <f>BE35+BE46+BE24</f>
        <v/>
      </c>
      <c r="BF48" s="247">
        <f>BF35+BF46+BF24</f>
        <v/>
      </c>
      <c r="BG48" s="247">
        <f>BG35+BG46+BG24</f>
        <v/>
      </c>
      <c r="BH48" s="247">
        <f>BH35+BH46+BH24</f>
        <v/>
      </c>
      <c r="BI48" s="247">
        <f>BI35+BI46+BI24</f>
        <v/>
      </c>
      <c r="BJ48" s="247">
        <f>BJ35+BJ46+BJ24</f>
        <v/>
      </c>
      <c r="BK48" s="247">
        <f>BK35+BK46+BK24</f>
        <v/>
      </c>
      <c r="BL48" s="247">
        <f>BL35+BL46+BL24</f>
        <v/>
      </c>
      <c r="BM48" s="247">
        <f>BM35+BM46+BM24</f>
        <v/>
      </c>
      <c r="BN48" s="247">
        <f>BN35+BN46+BN24</f>
        <v/>
      </c>
      <c r="BO48" s="247">
        <f>BO35+BO46+BO24</f>
        <v/>
      </c>
      <c r="BP48" s="247">
        <f>BP35+BP46+BP24</f>
        <v/>
      </c>
      <c r="BQ48" s="247">
        <f>BQ35+BQ46+BQ24</f>
        <v/>
      </c>
      <c r="BR48" s="247">
        <f>BR35+BR46+BR24</f>
        <v/>
      </c>
      <c r="BS48" s="247">
        <f>BS35+BS46+BS24</f>
        <v/>
      </c>
      <c r="BT48" s="247">
        <f>BT35+BT46+BT24</f>
        <v/>
      </c>
      <c r="BU48" s="247">
        <f>BU35+BU46+BU24</f>
        <v/>
      </c>
      <c r="BV48" s="247">
        <f>BV35+BV46+BV24</f>
        <v/>
      </c>
      <c r="BW48" s="247">
        <f>BW35+BW46+BW24</f>
        <v/>
      </c>
      <c r="BX48" s="247">
        <f>BX35+BX46+BX24</f>
        <v/>
      </c>
      <c r="BY48" s="247">
        <f>BY35+BY46+BY24</f>
        <v/>
      </c>
      <c r="BZ48" s="247">
        <f>BZ35+BZ46+BZ24</f>
        <v/>
      </c>
      <c r="CA48" s="247">
        <f>CA35+CA46+CA24</f>
        <v/>
      </c>
    </row>
    <row r="49" ht="12" customHeight="1" s="227">
      <c r="A49" s="244" t="n"/>
      <c r="B49" s="244" t="n"/>
      <c r="C49" s="244" t="n"/>
      <c r="G49" s="222" t="n"/>
    </row>
    <row r="50" ht="12" customHeight="1" s="227">
      <c r="A50" s="244" t="n"/>
      <c r="B50" s="244" t="n"/>
      <c r="C50" s="244" t="n"/>
      <c r="G50" s="222" t="inlineStr">
        <is>
          <t>Non-Direct Staff Costs</t>
        </is>
      </c>
    </row>
    <row r="51" ht="12" customHeight="1" s="227">
      <c r="A51" s="244" t="n"/>
      <c r="B51" s="244" t="n"/>
      <c r="C51" s="244" t="n"/>
      <c r="G51" s="222" t="n"/>
      <c r="H51" s="4">
        <f>i_Setup!U55</f>
        <v/>
      </c>
      <c r="I51" s="27">
        <f>i_Setup!$M$16</f>
        <v/>
      </c>
      <c r="M51" s="245">
        <f>SUMIF($T$4:$CA$4,M$4,$T51:$CA51)</f>
        <v/>
      </c>
      <c r="N51" s="245">
        <f>SUMIF($T$4:$CA$4,N$4,$T51:$CA51)</f>
        <v/>
      </c>
      <c r="O51" s="245">
        <f>SUMIF($T$4:$CA$4,O$4,$T51:$CA51)</f>
        <v/>
      </c>
      <c r="P51" s="245">
        <f>SUMIF($T$4:$CA$4,P$4,$T51:$CA51)</f>
        <v/>
      </c>
      <c r="Q51" s="245">
        <f>SUMIF($T$4:$CA$4,Q$4,$T51:$CA51)</f>
        <v/>
      </c>
      <c r="T51" s="246" t="n"/>
      <c r="U51" s="246" t="n"/>
      <c r="V51" s="246" t="n"/>
      <c r="W51" s="246" t="n"/>
      <c r="X51" s="246" t="n"/>
      <c r="Y51" s="246" t="n"/>
      <c r="Z51" s="246" t="n"/>
      <c r="AA51" s="246" t="n"/>
      <c r="AB51" s="246" t="n"/>
      <c r="AC51" s="246" t="n"/>
      <c r="AD51" s="246" t="n"/>
      <c r="AE51" s="246" t="n"/>
      <c r="AF51" s="246" t="n"/>
      <c r="AG51" s="246" t="n"/>
      <c r="AH51" s="246" t="n"/>
      <c r="AI51" s="246" t="n"/>
      <c r="AJ51" s="246" t="n"/>
      <c r="AK51" s="246" t="n"/>
      <c r="AL51" s="246" t="n"/>
      <c r="AM51" s="246" t="n"/>
      <c r="AN51" s="246" t="n"/>
      <c r="AO51" s="246" t="n"/>
      <c r="AP51" s="246" t="n"/>
      <c r="AQ51" s="246" t="n"/>
      <c r="AR51" s="246" t="n"/>
      <c r="AS51" s="246" t="n"/>
      <c r="AT51" s="246" t="n"/>
      <c r="AU51" s="246" t="n"/>
      <c r="AV51" s="246" t="n"/>
      <c r="AW51" s="246" t="n"/>
      <c r="AX51" s="246" t="n"/>
      <c r="AY51" s="246" t="n"/>
      <c r="AZ51" s="246" t="n"/>
      <c r="BA51" s="246" t="n"/>
      <c r="BB51" s="246" t="n"/>
      <c r="BC51" s="246" t="n"/>
      <c r="BD51" s="246" t="n"/>
      <c r="BE51" s="246" t="n"/>
      <c r="BF51" s="246" t="n"/>
      <c r="BG51" s="246" t="n"/>
      <c r="BH51" s="246" t="n"/>
      <c r="BI51" s="246" t="n"/>
      <c r="BJ51" s="246" t="n"/>
      <c r="BK51" s="246" t="n"/>
      <c r="BL51" s="246" t="n"/>
      <c r="BM51" s="246" t="n"/>
      <c r="BN51" s="246" t="n"/>
      <c r="BO51" s="246" t="n"/>
      <c r="BP51" s="246" t="n"/>
      <c r="BQ51" s="246" t="n"/>
      <c r="BR51" s="246" t="n"/>
      <c r="BS51" s="246" t="n"/>
      <c r="BT51" s="246" t="n"/>
      <c r="BU51" s="246" t="n"/>
      <c r="BV51" s="246" t="n"/>
      <c r="BW51" s="246" t="n"/>
      <c r="BX51" s="246" t="n"/>
      <c r="BY51" s="246" t="n"/>
      <c r="BZ51" s="246" t="n"/>
      <c r="CA51" s="246" t="n"/>
    </row>
    <row r="52" ht="12" customHeight="1" s="227">
      <c r="A52" s="244" t="n"/>
      <c r="B52" s="244" t="n"/>
      <c r="C52" s="244" t="n"/>
      <c r="G52" s="222" t="n"/>
      <c r="H52" s="4">
        <f>i_Setup!U56</f>
        <v/>
      </c>
      <c r="I52" s="27">
        <f>i_Setup!$M$16</f>
        <v/>
      </c>
      <c r="M52" s="245">
        <f>SUMIF($T$4:$CA$4,M$4,$T52:$CA52)</f>
        <v/>
      </c>
      <c r="N52" s="245">
        <f>SUMIF($T$4:$CA$4,N$4,$T52:$CA52)</f>
        <v/>
      </c>
      <c r="O52" s="245">
        <f>SUMIF($T$4:$CA$4,O$4,$T52:$CA52)</f>
        <v/>
      </c>
      <c r="P52" s="245">
        <f>SUMIF($T$4:$CA$4,P$4,$T52:$CA52)</f>
        <v/>
      </c>
      <c r="Q52" s="245">
        <f>SUMIF($T$4:$CA$4,Q$4,$T52:$CA52)</f>
        <v/>
      </c>
      <c r="T52" s="246" t="n"/>
      <c r="U52" s="246" t="n"/>
      <c r="V52" s="246" t="n"/>
      <c r="W52" s="246" t="n"/>
      <c r="X52" s="246" t="n"/>
      <c r="Y52" s="246" t="n"/>
      <c r="Z52" s="246" t="n"/>
      <c r="AA52" s="246" t="n"/>
      <c r="AB52" s="246" t="n"/>
      <c r="AC52" s="246" t="n"/>
      <c r="AD52" s="246" t="n"/>
      <c r="AE52" s="246" t="n"/>
      <c r="AF52" s="246" t="n"/>
      <c r="AG52" s="246" t="n"/>
      <c r="AH52" s="246" t="n"/>
      <c r="AI52" s="246" t="n"/>
      <c r="AJ52" s="246" t="n"/>
      <c r="AK52" s="246" t="n"/>
      <c r="AL52" s="246" t="n"/>
      <c r="AM52" s="246" t="n"/>
      <c r="AN52" s="246" t="n"/>
      <c r="AO52" s="246" t="n"/>
      <c r="AP52" s="246" t="n"/>
      <c r="AQ52" s="246" t="n"/>
      <c r="AR52" s="246" t="n"/>
      <c r="AS52" s="246" t="n"/>
      <c r="AT52" s="246" t="n"/>
      <c r="AU52" s="246" t="n"/>
      <c r="AV52" s="246" t="n"/>
      <c r="AW52" s="246" t="n"/>
      <c r="AX52" s="246" t="n"/>
      <c r="AY52" s="246" t="n"/>
      <c r="AZ52" s="246" t="n"/>
      <c r="BA52" s="246" t="n"/>
      <c r="BB52" s="246" t="n"/>
      <c r="BC52" s="246" t="n"/>
      <c r="BD52" s="246" t="n"/>
      <c r="BE52" s="246" t="n"/>
      <c r="BF52" s="246" t="n"/>
      <c r="BG52" s="246" t="n"/>
      <c r="BH52" s="246" t="n"/>
      <c r="BI52" s="246" t="n"/>
      <c r="BJ52" s="246" t="n"/>
      <c r="BK52" s="246" t="n"/>
      <c r="BL52" s="246" t="n"/>
      <c r="BM52" s="246" t="n"/>
      <c r="BN52" s="246" t="n"/>
      <c r="BO52" s="246" t="n"/>
      <c r="BP52" s="246" t="n"/>
      <c r="BQ52" s="246" t="n"/>
      <c r="BR52" s="246" t="n"/>
      <c r="BS52" s="246" t="n"/>
      <c r="BT52" s="246" t="n"/>
      <c r="BU52" s="246" t="n"/>
      <c r="BV52" s="246" t="n"/>
      <c r="BW52" s="246" t="n"/>
      <c r="BX52" s="246" t="n"/>
      <c r="BY52" s="246" t="n"/>
      <c r="BZ52" s="246" t="n"/>
      <c r="CA52" s="246" t="n"/>
    </row>
    <row r="53" ht="12" customHeight="1" s="227">
      <c r="A53" s="244" t="n"/>
      <c r="B53" s="244" t="n"/>
      <c r="C53" s="244" t="n"/>
      <c r="G53" s="222" t="n"/>
      <c r="H53" s="4">
        <f>i_Setup!U57</f>
        <v/>
      </c>
      <c r="I53" s="27">
        <f>i_Setup!$M$16</f>
        <v/>
      </c>
      <c r="M53" s="245">
        <f>SUMIF($T$4:$CA$4,M$4,$T53:$CA53)</f>
        <v/>
      </c>
      <c r="N53" s="245">
        <f>SUMIF($T$4:$CA$4,N$4,$T53:$CA53)</f>
        <v/>
      </c>
      <c r="O53" s="245">
        <f>SUMIF($T$4:$CA$4,O$4,$T53:$CA53)</f>
        <v/>
      </c>
      <c r="P53" s="245">
        <f>SUMIF($T$4:$CA$4,P$4,$T53:$CA53)</f>
        <v/>
      </c>
      <c r="Q53" s="245">
        <f>SUMIF($T$4:$CA$4,Q$4,$T53:$CA53)</f>
        <v/>
      </c>
      <c r="T53" s="246" t="n"/>
      <c r="U53" s="246" t="n"/>
      <c r="V53" s="246" t="n"/>
      <c r="W53" s="246" t="n"/>
      <c r="X53" s="246" t="n"/>
      <c r="Y53" s="246" t="n"/>
      <c r="Z53" s="246" t="n"/>
      <c r="AA53" s="246" t="n"/>
      <c r="AB53" s="246" t="n"/>
      <c r="AC53" s="246" t="n"/>
      <c r="AD53" s="246" t="n"/>
      <c r="AE53" s="246" t="n"/>
      <c r="AF53" s="246" t="n"/>
      <c r="AG53" s="246" t="n"/>
      <c r="AH53" s="246" t="n"/>
      <c r="AI53" s="246" t="n"/>
      <c r="AJ53" s="246" t="n"/>
      <c r="AK53" s="246" t="n"/>
      <c r="AL53" s="246" t="n"/>
      <c r="AM53" s="246" t="n"/>
      <c r="AN53" s="246" t="n"/>
      <c r="AO53" s="246" t="n"/>
      <c r="AP53" s="246" t="n"/>
      <c r="AQ53" s="246" t="n"/>
      <c r="AR53" s="246" t="n"/>
      <c r="AS53" s="246" t="n"/>
      <c r="AT53" s="246" t="n"/>
      <c r="AU53" s="246" t="n"/>
      <c r="AV53" s="246" t="n"/>
      <c r="AW53" s="246" t="n"/>
      <c r="AX53" s="246" t="n"/>
      <c r="AY53" s="246" t="n"/>
      <c r="AZ53" s="246" t="n"/>
      <c r="BA53" s="246" t="n"/>
      <c r="BB53" s="246" t="n"/>
      <c r="BC53" s="246" t="n"/>
      <c r="BD53" s="246" t="n"/>
      <c r="BE53" s="246" t="n"/>
      <c r="BF53" s="246" t="n"/>
      <c r="BG53" s="246" t="n"/>
      <c r="BH53" s="246" t="n"/>
      <c r="BI53" s="246" t="n"/>
      <c r="BJ53" s="246" t="n"/>
      <c r="BK53" s="246" t="n"/>
      <c r="BL53" s="246" t="n"/>
      <c r="BM53" s="246" t="n"/>
      <c r="BN53" s="246" t="n"/>
      <c r="BO53" s="246" t="n"/>
      <c r="BP53" s="246" t="n"/>
      <c r="BQ53" s="246" t="n"/>
      <c r="BR53" s="246" t="n"/>
      <c r="BS53" s="246" t="n"/>
      <c r="BT53" s="246" t="n"/>
      <c r="BU53" s="246" t="n"/>
      <c r="BV53" s="246" t="n"/>
      <c r="BW53" s="246" t="n"/>
      <c r="BX53" s="246" t="n"/>
      <c r="BY53" s="246" t="n"/>
      <c r="BZ53" s="246" t="n"/>
      <c r="CA53" s="246" t="n"/>
    </row>
    <row r="54" ht="12" customHeight="1" s="227">
      <c r="A54" s="244" t="n"/>
      <c r="B54" s="244" t="n"/>
      <c r="C54" s="244" t="n"/>
      <c r="G54" s="222" t="n"/>
      <c r="H54" s="4">
        <f>i_Setup!U58</f>
        <v/>
      </c>
      <c r="I54" s="27">
        <f>i_Setup!$M$16</f>
        <v/>
      </c>
      <c r="M54" s="245">
        <f>SUMIF($T$4:$CA$4,M$4,$T54:$CA54)</f>
        <v/>
      </c>
      <c r="N54" s="245">
        <f>SUMIF($T$4:$CA$4,N$4,$T54:$CA54)</f>
        <v/>
      </c>
      <c r="O54" s="245">
        <f>SUMIF($T$4:$CA$4,O$4,$T54:$CA54)</f>
        <v/>
      </c>
      <c r="P54" s="245">
        <f>SUMIF($T$4:$CA$4,P$4,$T54:$CA54)</f>
        <v/>
      </c>
      <c r="Q54" s="245">
        <f>SUMIF($T$4:$CA$4,Q$4,$T54:$CA54)</f>
        <v/>
      </c>
      <c r="T54" s="246" t="n"/>
      <c r="U54" s="246" t="n"/>
      <c r="V54" s="246" t="n"/>
      <c r="W54" s="246" t="n"/>
      <c r="X54" s="246" t="n"/>
      <c r="Y54" s="246" t="n"/>
      <c r="Z54" s="246" t="n"/>
      <c r="AA54" s="246" t="n"/>
      <c r="AB54" s="246" t="n"/>
      <c r="AC54" s="246" t="n"/>
      <c r="AD54" s="246" t="n"/>
      <c r="AE54" s="246" t="n"/>
      <c r="AF54" s="246" t="n"/>
      <c r="AG54" s="246" t="n"/>
      <c r="AH54" s="246" t="n"/>
      <c r="AI54" s="246" t="n"/>
      <c r="AJ54" s="246" t="n"/>
      <c r="AK54" s="246" t="n"/>
      <c r="AL54" s="246" t="n"/>
      <c r="AM54" s="246" t="n"/>
      <c r="AN54" s="246" t="n"/>
      <c r="AO54" s="246" t="n"/>
      <c r="AP54" s="246" t="n"/>
      <c r="AQ54" s="246" t="n"/>
      <c r="AR54" s="246" t="n"/>
      <c r="AS54" s="246" t="n"/>
      <c r="AT54" s="246" t="n"/>
      <c r="AU54" s="246" t="n"/>
      <c r="AV54" s="246" t="n"/>
      <c r="AW54" s="246" t="n"/>
      <c r="AX54" s="246" t="n"/>
      <c r="AY54" s="246" t="n"/>
      <c r="AZ54" s="246" t="n"/>
      <c r="BA54" s="246" t="n"/>
      <c r="BB54" s="246" t="n"/>
      <c r="BC54" s="246" t="n"/>
      <c r="BD54" s="246" t="n"/>
      <c r="BE54" s="246" t="n"/>
      <c r="BF54" s="246" t="n"/>
      <c r="BG54" s="246" t="n"/>
      <c r="BH54" s="246" t="n"/>
      <c r="BI54" s="246" t="n"/>
      <c r="BJ54" s="246" t="n"/>
      <c r="BK54" s="246" t="n"/>
      <c r="BL54" s="246" t="n"/>
      <c r="BM54" s="246" t="n"/>
      <c r="BN54" s="246" t="n"/>
      <c r="BO54" s="246" t="n"/>
      <c r="BP54" s="246" t="n"/>
      <c r="BQ54" s="246" t="n"/>
      <c r="BR54" s="246" t="n"/>
      <c r="BS54" s="246" t="n"/>
      <c r="BT54" s="246" t="n"/>
      <c r="BU54" s="246" t="n"/>
      <c r="BV54" s="246" t="n"/>
      <c r="BW54" s="246" t="n"/>
      <c r="BX54" s="246" t="n"/>
      <c r="BY54" s="246" t="n"/>
      <c r="BZ54" s="246" t="n"/>
      <c r="CA54" s="246" t="n"/>
    </row>
    <row r="55" ht="12" customHeight="1" s="227">
      <c r="A55" s="244" t="n"/>
      <c r="B55" s="244" t="n"/>
      <c r="C55" s="244" t="n"/>
      <c r="G55" s="222" t="n"/>
      <c r="H55" s="4">
        <f>i_Setup!U59</f>
        <v/>
      </c>
      <c r="I55" s="27">
        <f>i_Setup!$M$16</f>
        <v/>
      </c>
      <c r="M55" s="245">
        <f>SUMIF($T$4:$CA$4,M$4,$T55:$CA55)</f>
        <v/>
      </c>
      <c r="N55" s="245">
        <f>SUMIF($T$4:$CA$4,N$4,$T55:$CA55)</f>
        <v/>
      </c>
      <c r="O55" s="245">
        <f>SUMIF($T$4:$CA$4,O$4,$T55:$CA55)</f>
        <v/>
      </c>
      <c r="P55" s="245">
        <f>SUMIF($T$4:$CA$4,P$4,$T55:$CA55)</f>
        <v/>
      </c>
      <c r="Q55" s="245">
        <f>SUMIF($T$4:$CA$4,Q$4,$T55:$CA55)</f>
        <v/>
      </c>
      <c r="T55" s="246" t="n"/>
      <c r="U55" s="246" t="n"/>
      <c r="V55" s="246" t="n"/>
      <c r="W55" s="246" t="n"/>
      <c r="X55" s="246" t="n"/>
      <c r="Y55" s="246" t="n"/>
      <c r="Z55" s="246" t="n"/>
      <c r="AA55" s="246" t="n"/>
      <c r="AB55" s="246" t="n"/>
      <c r="AC55" s="246" t="n"/>
      <c r="AD55" s="246" t="n"/>
      <c r="AE55" s="246" t="n"/>
      <c r="AF55" s="246" t="n"/>
      <c r="AG55" s="246" t="n"/>
      <c r="AH55" s="246" t="n"/>
      <c r="AI55" s="246" t="n"/>
      <c r="AJ55" s="246" t="n"/>
      <c r="AK55" s="246" t="n"/>
      <c r="AL55" s="246" t="n"/>
      <c r="AM55" s="246" t="n"/>
      <c r="AN55" s="246" t="n"/>
      <c r="AO55" s="246" t="n"/>
      <c r="AP55" s="246" t="n"/>
      <c r="AQ55" s="246" t="n"/>
      <c r="AR55" s="246" t="n"/>
      <c r="AS55" s="246" t="n"/>
      <c r="AT55" s="246" t="n"/>
      <c r="AU55" s="246" t="n"/>
      <c r="AV55" s="246" t="n"/>
      <c r="AW55" s="246" t="n"/>
      <c r="AX55" s="246" t="n"/>
      <c r="AY55" s="246" t="n"/>
      <c r="AZ55" s="246" t="n"/>
      <c r="BA55" s="246" t="n"/>
      <c r="BB55" s="246" t="n"/>
      <c r="BC55" s="246" t="n"/>
      <c r="BD55" s="246" t="n"/>
      <c r="BE55" s="246" t="n"/>
      <c r="BF55" s="246" t="n"/>
      <c r="BG55" s="246" t="n"/>
      <c r="BH55" s="246" t="n"/>
      <c r="BI55" s="246" t="n"/>
      <c r="BJ55" s="246" t="n"/>
      <c r="BK55" s="246" t="n"/>
      <c r="BL55" s="246" t="n"/>
      <c r="BM55" s="246" t="n"/>
      <c r="BN55" s="246" t="n"/>
      <c r="BO55" s="246" t="n"/>
      <c r="BP55" s="246" t="n"/>
      <c r="BQ55" s="246" t="n"/>
      <c r="BR55" s="246" t="n"/>
      <c r="BS55" s="246" t="n"/>
      <c r="BT55" s="246" t="n"/>
      <c r="BU55" s="246" t="n"/>
      <c r="BV55" s="246" t="n"/>
      <c r="BW55" s="246" t="n"/>
      <c r="BX55" s="246" t="n"/>
      <c r="BY55" s="246" t="n"/>
      <c r="BZ55" s="246" t="n"/>
      <c r="CA55" s="246" t="n"/>
    </row>
    <row r="56" ht="12" customHeight="1" s="227">
      <c r="A56" s="244" t="n"/>
      <c r="B56" s="244" t="n"/>
      <c r="C56" s="244" t="n"/>
      <c r="G56" s="222" t="n"/>
      <c r="H56" s="4">
        <f>i_Setup!U60</f>
        <v/>
      </c>
      <c r="I56" s="27">
        <f>i_Setup!$M$16</f>
        <v/>
      </c>
      <c r="M56" s="245">
        <f>SUMIF($T$4:$CA$4,M$4,$T56:$CA56)</f>
        <v/>
      </c>
      <c r="N56" s="245">
        <f>SUMIF($T$4:$CA$4,N$4,$T56:$CA56)</f>
        <v/>
      </c>
      <c r="O56" s="245">
        <f>SUMIF($T$4:$CA$4,O$4,$T56:$CA56)</f>
        <v/>
      </c>
      <c r="P56" s="245">
        <f>SUMIF($T$4:$CA$4,P$4,$T56:$CA56)</f>
        <v/>
      </c>
      <c r="Q56" s="245">
        <f>SUMIF($T$4:$CA$4,Q$4,$T56:$CA56)</f>
        <v/>
      </c>
      <c r="T56" s="246" t="n"/>
      <c r="U56" s="246" t="n"/>
      <c r="V56" s="246" t="n"/>
      <c r="W56" s="246" t="n"/>
      <c r="X56" s="246" t="n"/>
      <c r="Y56" s="246" t="n"/>
      <c r="Z56" s="246" t="n"/>
      <c r="AA56" s="246" t="n"/>
      <c r="AB56" s="246" t="n"/>
      <c r="AC56" s="246" t="n"/>
      <c r="AD56" s="246" t="n"/>
      <c r="AE56" s="246" t="n"/>
      <c r="AF56" s="246" t="n"/>
      <c r="AG56" s="246" t="n"/>
      <c r="AH56" s="246" t="n"/>
      <c r="AI56" s="246" t="n"/>
      <c r="AJ56" s="246" t="n"/>
      <c r="AK56" s="246" t="n"/>
      <c r="AL56" s="246" t="n"/>
      <c r="AM56" s="246" t="n"/>
      <c r="AN56" s="246" t="n"/>
      <c r="AO56" s="246" t="n"/>
      <c r="AP56" s="246" t="n"/>
      <c r="AQ56" s="246" t="n"/>
      <c r="AR56" s="246" t="n"/>
      <c r="AS56" s="246" t="n"/>
      <c r="AT56" s="246" t="n"/>
      <c r="AU56" s="246" t="n"/>
      <c r="AV56" s="246" t="n"/>
      <c r="AW56" s="246" t="n"/>
      <c r="AX56" s="246" t="n"/>
      <c r="AY56" s="246" t="n"/>
      <c r="AZ56" s="246" t="n"/>
      <c r="BA56" s="246" t="n"/>
      <c r="BB56" s="246" t="n"/>
      <c r="BC56" s="246" t="n"/>
      <c r="BD56" s="246" t="n"/>
      <c r="BE56" s="246" t="n"/>
      <c r="BF56" s="246" t="n"/>
      <c r="BG56" s="246" t="n"/>
      <c r="BH56" s="246" t="n"/>
      <c r="BI56" s="246" t="n"/>
      <c r="BJ56" s="246" t="n"/>
      <c r="BK56" s="246" t="n"/>
      <c r="BL56" s="246" t="n"/>
      <c r="BM56" s="246" t="n"/>
      <c r="BN56" s="246" t="n"/>
      <c r="BO56" s="246" t="n"/>
      <c r="BP56" s="246" t="n"/>
      <c r="BQ56" s="246" t="n"/>
      <c r="BR56" s="246" t="n"/>
      <c r="BS56" s="246" t="n"/>
      <c r="BT56" s="246" t="n"/>
      <c r="BU56" s="246" t="n"/>
      <c r="BV56" s="246" t="n"/>
      <c r="BW56" s="246" t="n"/>
      <c r="BX56" s="246" t="n"/>
      <c r="BY56" s="246" t="n"/>
      <c r="BZ56" s="246" t="n"/>
      <c r="CA56" s="246" t="n"/>
    </row>
    <row r="57" ht="12" customHeight="1" s="227">
      <c r="A57" s="244" t="n"/>
      <c r="B57" s="244" t="n"/>
      <c r="C57" s="244" t="n"/>
      <c r="G57" s="222" t="n"/>
      <c r="H57" s="4">
        <f>i_Setup!U61</f>
        <v/>
      </c>
      <c r="I57" s="27">
        <f>i_Setup!$M$16</f>
        <v/>
      </c>
      <c r="M57" s="245">
        <f>SUMIF($T$4:$CA$4,M$4,$T57:$CA57)</f>
        <v/>
      </c>
      <c r="N57" s="245">
        <f>SUMIF($T$4:$CA$4,N$4,$T57:$CA57)</f>
        <v/>
      </c>
      <c r="O57" s="245">
        <f>SUMIF($T$4:$CA$4,O$4,$T57:$CA57)</f>
        <v/>
      </c>
      <c r="P57" s="245">
        <f>SUMIF($T$4:$CA$4,P$4,$T57:$CA57)</f>
        <v/>
      </c>
      <c r="Q57" s="245">
        <f>SUMIF($T$4:$CA$4,Q$4,$T57:$CA57)</f>
        <v/>
      </c>
      <c r="T57" s="246" t="n"/>
      <c r="U57" s="246" t="n"/>
      <c r="V57" s="246" t="n"/>
      <c r="W57" s="246" t="n"/>
      <c r="X57" s="246" t="n"/>
      <c r="Y57" s="246" t="n"/>
      <c r="Z57" s="246" t="n"/>
      <c r="AA57" s="246" t="n"/>
      <c r="AB57" s="246" t="n"/>
      <c r="AC57" s="246" t="n"/>
      <c r="AD57" s="246" t="n"/>
      <c r="AE57" s="246" t="n"/>
      <c r="AF57" s="246" t="n"/>
      <c r="AG57" s="246" t="n"/>
      <c r="AH57" s="246" t="n"/>
      <c r="AI57" s="246" t="n"/>
      <c r="AJ57" s="246" t="n"/>
      <c r="AK57" s="246" t="n"/>
      <c r="AL57" s="246" t="n"/>
      <c r="AM57" s="246" t="n"/>
      <c r="AN57" s="246" t="n"/>
      <c r="AO57" s="246" t="n"/>
      <c r="AP57" s="246" t="n"/>
      <c r="AQ57" s="246" t="n"/>
      <c r="AR57" s="246" t="n"/>
      <c r="AS57" s="246" t="n"/>
      <c r="AT57" s="246" t="n"/>
      <c r="AU57" s="246" t="n"/>
      <c r="AV57" s="246" t="n"/>
      <c r="AW57" s="246" t="n"/>
      <c r="AX57" s="246" t="n"/>
      <c r="AY57" s="246" t="n"/>
      <c r="AZ57" s="246" t="n"/>
      <c r="BA57" s="246" t="n"/>
      <c r="BB57" s="246" t="n"/>
      <c r="BC57" s="246" t="n"/>
      <c r="BD57" s="246" t="n"/>
      <c r="BE57" s="246" t="n"/>
      <c r="BF57" s="246" t="n"/>
      <c r="BG57" s="246" t="n"/>
      <c r="BH57" s="246" t="n"/>
      <c r="BI57" s="246" t="n"/>
      <c r="BJ57" s="246" t="n"/>
      <c r="BK57" s="246" t="n"/>
      <c r="BL57" s="246" t="n"/>
      <c r="BM57" s="246" t="n"/>
      <c r="BN57" s="246" t="n"/>
      <c r="BO57" s="246" t="n"/>
      <c r="BP57" s="246" t="n"/>
      <c r="BQ57" s="246" t="n"/>
      <c r="BR57" s="246" t="n"/>
      <c r="BS57" s="246" t="n"/>
      <c r="BT57" s="246" t="n"/>
      <c r="BU57" s="246" t="n"/>
      <c r="BV57" s="246" t="n"/>
      <c r="BW57" s="246" t="n"/>
      <c r="BX57" s="246" t="n"/>
      <c r="BY57" s="246" t="n"/>
      <c r="BZ57" s="246" t="n"/>
      <c r="CA57" s="246" t="n"/>
    </row>
    <row r="58" ht="12" customHeight="1" s="227">
      <c r="A58" s="244" t="n"/>
      <c r="B58" s="244" t="n"/>
      <c r="C58" s="244" t="n"/>
      <c r="G58" s="222" t="n"/>
      <c r="H58" s="4">
        <f>i_Setup!U62</f>
        <v/>
      </c>
      <c r="I58" s="27">
        <f>i_Setup!$M$16</f>
        <v/>
      </c>
      <c r="M58" s="245">
        <f>SUMIF($T$4:$CA$4,M$4,$T58:$CA58)</f>
        <v/>
      </c>
      <c r="N58" s="245">
        <f>SUMIF($T$4:$CA$4,N$4,$T58:$CA58)</f>
        <v/>
      </c>
      <c r="O58" s="245">
        <f>SUMIF($T$4:$CA$4,O$4,$T58:$CA58)</f>
        <v/>
      </c>
      <c r="P58" s="245">
        <f>SUMIF($T$4:$CA$4,P$4,$T58:$CA58)</f>
        <v/>
      </c>
      <c r="Q58" s="245">
        <f>SUMIF($T$4:$CA$4,Q$4,$T58:$CA58)</f>
        <v/>
      </c>
      <c r="T58" s="246" t="n"/>
      <c r="U58" s="246" t="n"/>
      <c r="V58" s="246" t="n"/>
      <c r="W58" s="246" t="n"/>
      <c r="X58" s="246" t="n"/>
      <c r="Y58" s="246" t="n"/>
      <c r="Z58" s="246" t="n"/>
      <c r="AA58" s="246" t="n"/>
      <c r="AB58" s="246" t="n"/>
      <c r="AC58" s="246" t="n"/>
      <c r="AD58" s="246" t="n"/>
      <c r="AE58" s="246" t="n"/>
      <c r="AF58" s="246" t="n"/>
      <c r="AG58" s="246" t="n"/>
      <c r="AH58" s="246" t="n"/>
      <c r="AI58" s="246" t="n"/>
      <c r="AJ58" s="246" t="n"/>
      <c r="AK58" s="246" t="n"/>
      <c r="AL58" s="246" t="n"/>
      <c r="AM58" s="246" t="n"/>
      <c r="AN58" s="246" t="n"/>
      <c r="AO58" s="246" t="n"/>
      <c r="AP58" s="246" t="n"/>
      <c r="AQ58" s="246" t="n"/>
      <c r="AR58" s="246" t="n"/>
      <c r="AS58" s="246" t="n"/>
      <c r="AT58" s="246" t="n"/>
      <c r="AU58" s="246" t="n"/>
      <c r="AV58" s="246" t="n"/>
      <c r="AW58" s="246" t="n"/>
      <c r="AX58" s="246" t="n"/>
      <c r="AY58" s="246" t="n"/>
      <c r="AZ58" s="246" t="n"/>
      <c r="BA58" s="246" t="n"/>
      <c r="BB58" s="246" t="n"/>
      <c r="BC58" s="246" t="n"/>
      <c r="BD58" s="246" t="n"/>
      <c r="BE58" s="246" t="n"/>
      <c r="BF58" s="246" t="n"/>
      <c r="BG58" s="246" t="n"/>
      <c r="BH58" s="246" t="n"/>
      <c r="BI58" s="246" t="n"/>
      <c r="BJ58" s="246" t="n"/>
      <c r="BK58" s="246" t="n"/>
      <c r="BL58" s="246" t="n"/>
      <c r="BM58" s="246" t="n"/>
      <c r="BN58" s="246" t="n"/>
      <c r="BO58" s="246" t="n"/>
      <c r="BP58" s="246" t="n"/>
      <c r="BQ58" s="246" t="n"/>
      <c r="BR58" s="246" t="n"/>
      <c r="BS58" s="246" t="n"/>
      <c r="BT58" s="246" t="n"/>
      <c r="BU58" s="246" t="n"/>
      <c r="BV58" s="246" t="n"/>
      <c r="BW58" s="246" t="n"/>
      <c r="BX58" s="246" t="n"/>
      <c r="BY58" s="246" t="n"/>
      <c r="BZ58" s="246" t="n"/>
      <c r="CA58" s="246" t="n"/>
    </row>
    <row r="59" ht="12" customHeight="1" s="227">
      <c r="A59" s="244" t="n"/>
      <c r="B59" s="244" t="n"/>
      <c r="C59" s="244" t="n"/>
      <c r="G59" s="39" t="inlineStr">
        <is>
          <t>Total Non-Direct Staff Costs</t>
        </is>
      </c>
      <c r="H59" s="39" t="n"/>
      <c r="I59" s="41">
        <f>i_Setup!$M$16</f>
        <v/>
      </c>
      <c r="M59" s="249">
        <f>SUM(M51:M58)</f>
        <v/>
      </c>
      <c r="N59" s="249">
        <f>SUM(N51:N58)</f>
        <v/>
      </c>
      <c r="O59" s="249">
        <f>SUM(O51:O58)</f>
        <v/>
      </c>
      <c r="P59" s="249">
        <f>SUM(P51:P58)</f>
        <v/>
      </c>
      <c r="Q59" s="249">
        <f>SUM(Q51:Q58)</f>
        <v/>
      </c>
      <c r="T59" s="249">
        <f>SUM(T51:T58)</f>
        <v/>
      </c>
      <c r="U59" s="249">
        <f>SUM(U51:U58)</f>
        <v/>
      </c>
      <c r="V59" s="249">
        <f>SUM(V51:V58)</f>
        <v/>
      </c>
      <c r="W59" s="249">
        <f>SUM(W51:W58)</f>
        <v/>
      </c>
      <c r="X59" s="249">
        <f>SUM(X51:X58)</f>
        <v/>
      </c>
      <c r="Y59" s="249">
        <f>SUM(Y51:Y58)</f>
        <v/>
      </c>
      <c r="Z59" s="249">
        <f>SUM(Z51:Z58)</f>
        <v/>
      </c>
      <c r="AA59" s="249">
        <f>SUM(AA51:AA58)</f>
        <v/>
      </c>
      <c r="AB59" s="249">
        <f>SUM(AB51:AB58)</f>
        <v/>
      </c>
      <c r="AC59" s="249">
        <f>SUM(AC51:AC58)</f>
        <v/>
      </c>
      <c r="AD59" s="249">
        <f>SUM(AD51:AD58)</f>
        <v/>
      </c>
      <c r="AE59" s="249">
        <f>SUM(AE51:AE58)</f>
        <v/>
      </c>
      <c r="AF59" s="249">
        <f>SUM(AF51:AF58)</f>
        <v/>
      </c>
      <c r="AG59" s="249">
        <f>SUM(AG51:AG58)</f>
        <v/>
      </c>
      <c r="AH59" s="249">
        <f>SUM(AH51:AH58)</f>
        <v/>
      </c>
      <c r="AI59" s="249">
        <f>SUM(AI51:AI58)</f>
        <v/>
      </c>
      <c r="AJ59" s="249">
        <f>SUM(AJ51:AJ58)</f>
        <v/>
      </c>
      <c r="AK59" s="249">
        <f>SUM(AK51:AK58)</f>
        <v/>
      </c>
      <c r="AL59" s="249">
        <f>SUM(AL51:AL58)</f>
        <v/>
      </c>
      <c r="AM59" s="249">
        <f>SUM(AM51:AM58)</f>
        <v/>
      </c>
      <c r="AN59" s="249">
        <f>SUM(AN51:AN58)</f>
        <v/>
      </c>
      <c r="AO59" s="249">
        <f>SUM(AO51:AO58)</f>
        <v/>
      </c>
      <c r="AP59" s="249">
        <f>SUM(AP51:AP58)</f>
        <v/>
      </c>
      <c r="AQ59" s="249">
        <f>SUM(AQ51:AQ58)</f>
        <v/>
      </c>
      <c r="AR59" s="249">
        <f>SUM(AR51:AR58)</f>
        <v/>
      </c>
      <c r="AS59" s="249">
        <f>SUM(AS51:AS58)</f>
        <v/>
      </c>
      <c r="AT59" s="249">
        <f>SUM(AT51:AT58)</f>
        <v/>
      </c>
      <c r="AU59" s="249">
        <f>SUM(AU51:AU58)</f>
        <v/>
      </c>
      <c r="AV59" s="249">
        <f>SUM(AV51:AV58)</f>
        <v/>
      </c>
      <c r="AW59" s="249">
        <f>SUM(AW51:AW58)</f>
        <v/>
      </c>
      <c r="AX59" s="249">
        <f>SUM(AX51:AX58)</f>
        <v/>
      </c>
      <c r="AY59" s="249">
        <f>SUM(AY51:AY58)</f>
        <v/>
      </c>
      <c r="AZ59" s="249">
        <f>SUM(AZ51:AZ58)</f>
        <v/>
      </c>
      <c r="BA59" s="249">
        <f>SUM(BA51:BA58)</f>
        <v/>
      </c>
      <c r="BB59" s="249">
        <f>SUM(BB51:BB58)</f>
        <v/>
      </c>
      <c r="BC59" s="249">
        <f>SUM(BC51:BC58)</f>
        <v/>
      </c>
      <c r="BD59" s="249">
        <f>SUM(BD51:BD58)</f>
        <v/>
      </c>
      <c r="BE59" s="249">
        <f>SUM(BE51:BE58)</f>
        <v/>
      </c>
      <c r="BF59" s="249">
        <f>SUM(BF51:BF58)</f>
        <v/>
      </c>
      <c r="BG59" s="249">
        <f>SUM(BG51:BG58)</f>
        <v/>
      </c>
      <c r="BH59" s="249">
        <f>SUM(BH51:BH58)</f>
        <v/>
      </c>
      <c r="BI59" s="249">
        <f>SUM(BI51:BI58)</f>
        <v/>
      </c>
      <c r="BJ59" s="249">
        <f>SUM(BJ51:BJ58)</f>
        <v/>
      </c>
      <c r="BK59" s="249">
        <f>SUM(BK51:BK58)</f>
        <v/>
      </c>
      <c r="BL59" s="249">
        <f>SUM(BL51:BL58)</f>
        <v/>
      </c>
      <c r="BM59" s="249">
        <f>SUM(BM51:BM58)</f>
        <v/>
      </c>
      <c r="BN59" s="249">
        <f>SUM(BN51:BN58)</f>
        <v/>
      </c>
      <c r="BO59" s="249">
        <f>SUM(BO51:BO58)</f>
        <v/>
      </c>
      <c r="BP59" s="249">
        <f>SUM(BP51:BP58)</f>
        <v/>
      </c>
      <c r="BQ59" s="249">
        <f>SUM(BQ51:BQ58)</f>
        <v/>
      </c>
      <c r="BR59" s="249">
        <f>SUM(BR51:BR58)</f>
        <v/>
      </c>
      <c r="BS59" s="249">
        <f>SUM(BS51:BS58)</f>
        <v/>
      </c>
      <c r="BT59" s="249">
        <f>SUM(BT51:BT58)</f>
        <v/>
      </c>
      <c r="BU59" s="249">
        <f>SUM(BU51:BU58)</f>
        <v/>
      </c>
      <c r="BV59" s="249">
        <f>SUM(BV51:BV58)</f>
        <v/>
      </c>
      <c r="BW59" s="249">
        <f>SUM(BW51:BW58)</f>
        <v/>
      </c>
      <c r="BX59" s="249">
        <f>SUM(BX51:BX58)</f>
        <v/>
      </c>
      <c r="BY59" s="249">
        <f>SUM(BY51:BY58)</f>
        <v/>
      </c>
      <c r="BZ59" s="249">
        <f>SUM(BZ51:BZ58)</f>
        <v/>
      </c>
      <c r="CA59" s="249">
        <f>SUM(CA51:CA58)</f>
        <v/>
      </c>
    </row>
    <row r="60" ht="12" customHeight="1" s="227">
      <c r="A60" s="244" t="n"/>
      <c r="B60" s="244" t="n"/>
      <c r="C60" s="244" t="n"/>
      <c r="G60" s="222" t="n"/>
    </row>
    <row r="61" ht="12" customHeight="1" s="227">
      <c r="A61" s="244" t="n"/>
      <c r="B61" s="244" t="n"/>
      <c r="C61" s="244" t="n"/>
      <c r="G61" s="222" t="inlineStr">
        <is>
          <t>Marketing Costs</t>
        </is>
      </c>
    </row>
    <row r="62" ht="12" customHeight="1" s="227">
      <c r="A62" s="244" t="n"/>
      <c r="B62" s="244" t="n"/>
      <c r="C62" s="244" t="n"/>
      <c r="G62" s="222" t="n"/>
      <c r="H62" s="4">
        <f>i_Setup!U87</f>
        <v/>
      </c>
      <c r="I62" s="27">
        <f>i_Setup!$M$16</f>
        <v/>
      </c>
      <c r="M62" s="245">
        <f>SUMIF($T$4:$CA$4,M$4,$T62:$CA62)</f>
        <v/>
      </c>
      <c r="N62" s="245">
        <f>SUMIF($T$4:$CA$4,N$4,$T62:$CA62)</f>
        <v/>
      </c>
      <c r="O62" s="245">
        <f>SUMIF($T$4:$CA$4,O$4,$T62:$CA62)</f>
        <v/>
      </c>
      <c r="P62" s="245">
        <f>SUMIF($T$4:$CA$4,P$4,$T62:$CA62)</f>
        <v/>
      </c>
      <c r="Q62" s="245">
        <f>SUMIF($T$4:$CA$4,Q$4,$T62:$CA62)</f>
        <v/>
      </c>
      <c r="T62" s="246" t="n"/>
      <c r="U62" s="246" t="n"/>
      <c r="V62" s="246" t="n"/>
      <c r="W62" s="246" t="n"/>
      <c r="X62" s="246" t="n"/>
      <c r="Y62" s="246" t="n"/>
      <c r="Z62" s="246" t="n"/>
      <c r="AA62" s="246" t="n"/>
      <c r="AB62" s="246" t="n"/>
      <c r="AC62" s="246" t="n"/>
      <c r="AD62" s="246" t="n"/>
      <c r="AE62" s="246" t="n"/>
      <c r="AF62" s="246" t="n"/>
      <c r="AG62" s="246" t="n"/>
      <c r="AH62" s="246" t="n"/>
      <c r="AI62" s="246" t="n"/>
      <c r="AJ62" s="246" t="n"/>
      <c r="AK62" s="246" t="n"/>
      <c r="AL62" s="246" t="n"/>
      <c r="AM62" s="246" t="n"/>
      <c r="AN62" s="246" t="n"/>
      <c r="AO62" s="246" t="n"/>
      <c r="AP62" s="246" t="n"/>
      <c r="AQ62" s="246" t="n"/>
      <c r="AR62" s="246" t="n"/>
      <c r="AS62" s="246" t="n"/>
      <c r="AT62" s="246" t="n"/>
      <c r="AU62" s="246" t="n"/>
      <c r="AV62" s="246" t="n"/>
      <c r="AW62" s="246" t="n"/>
      <c r="AX62" s="246" t="n"/>
      <c r="AY62" s="246" t="n"/>
      <c r="AZ62" s="246" t="n"/>
      <c r="BA62" s="246" t="n"/>
      <c r="BB62" s="246" t="n"/>
      <c r="BC62" s="246" t="n"/>
      <c r="BD62" s="246" t="n"/>
      <c r="BE62" s="246" t="n"/>
      <c r="BF62" s="246" t="n"/>
      <c r="BG62" s="246" t="n"/>
      <c r="BH62" s="246" t="n"/>
      <c r="BI62" s="246" t="n"/>
      <c r="BJ62" s="246" t="n"/>
      <c r="BK62" s="246" t="n"/>
      <c r="BL62" s="246" t="n"/>
      <c r="BM62" s="246" t="n"/>
      <c r="BN62" s="246" t="n"/>
      <c r="BO62" s="246" t="n"/>
      <c r="BP62" s="246" t="n"/>
      <c r="BQ62" s="246" t="n"/>
      <c r="BR62" s="246" t="n"/>
      <c r="BS62" s="246" t="n"/>
      <c r="BT62" s="246" t="n"/>
      <c r="BU62" s="246" t="n"/>
      <c r="BV62" s="246" t="n"/>
      <c r="BW62" s="246" t="n"/>
      <c r="BX62" s="246" t="n"/>
      <c r="BY62" s="246" t="n"/>
      <c r="BZ62" s="246" t="n"/>
      <c r="CA62" s="246" t="n"/>
    </row>
    <row r="63" ht="12" customHeight="1" s="227">
      <c r="A63" s="244" t="n"/>
      <c r="B63" s="244" t="n"/>
      <c r="C63" s="244" t="n"/>
      <c r="G63" s="222" t="n"/>
      <c r="H63" s="4">
        <f>i_Setup!U88</f>
        <v/>
      </c>
      <c r="I63" s="27">
        <f>i_Setup!$M$16</f>
        <v/>
      </c>
      <c r="M63" s="245">
        <f>SUMIF($T$4:$CA$4,M$4,$T63:$CA63)</f>
        <v/>
      </c>
      <c r="N63" s="245">
        <f>SUMIF($T$4:$CA$4,N$4,$T63:$CA63)</f>
        <v/>
      </c>
      <c r="O63" s="245">
        <f>SUMIF($T$4:$CA$4,O$4,$T63:$CA63)</f>
        <v/>
      </c>
      <c r="P63" s="245">
        <f>SUMIF($T$4:$CA$4,P$4,$T63:$CA63)</f>
        <v/>
      </c>
      <c r="Q63" s="245">
        <f>SUMIF($T$4:$CA$4,Q$4,$T63:$CA63)</f>
        <v/>
      </c>
      <c r="T63" s="246" t="n"/>
      <c r="U63" s="246" t="n"/>
      <c r="V63" s="246" t="n"/>
      <c r="W63" s="246" t="n"/>
      <c r="X63" s="246" t="n"/>
      <c r="Y63" s="246" t="n"/>
      <c r="Z63" s="246" t="n"/>
      <c r="AA63" s="246" t="n"/>
      <c r="AB63" s="246" t="n"/>
      <c r="AC63" s="246" t="n"/>
      <c r="AD63" s="246" t="n"/>
      <c r="AE63" s="246" t="n"/>
      <c r="AF63" s="246" t="n"/>
      <c r="AG63" s="246" t="n"/>
      <c r="AH63" s="246" t="n"/>
      <c r="AI63" s="246" t="n"/>
      <c r="AJ63" s="246" t="n"/>
      <c r="AK63" s="246" t="n"/>
      <c r="AL63" s="246" t="n"/>
      <c r="AM63" s="246" t="n"/>
      <c r="AN63" s="246" t="n"/>
      <c r="AO63" s="246" t="n"/>
      <c r="AP63" s="246" t="n"/>
      <c r="AQ63" s="246" t="n"/>
      <c r="AR63" s="246" t="n"/>
      <c r="AS63" s="246" t="n"/>
      <c r="AT63" s="246" t="n"/>
      <c r="AU63" s="246" t="n"/>
      <c r="AV63" s="246" t="n"/>
      <c r="AW63" s="246" t="n"/>
      <c r="AX63" s="246" t="n"/>
      <c r="AY63" s="246" t="n"/>
      <c r="AZ63" s="246" t="n"/>
      <c r="BA63" s="246" t="n"/>
      <c r="BB63" s="246" t="n"/>
      <c r="BC63" s="246" t="n"/>
      <c r="BD63" s="246" t="n"/>
      <c r="BE63" s="246" t="n"/>
      <c r="BF63" s="246" t="n"/>
      <c r="BG63" s="246" t="n"/>
      <c r="BH63" s="246" t="n"/>
      <c r="BI63" s="246" t="n"/>
      <c r="BJ63" s="246" t="n"/>
      <c r="BK63" s="246" t="n"/>
      <c r="BL63" s="246" t="n"/>
      <c r="BM63" s="246" t="n"/>
      <c r="BN63" s="246" t="n"/>
      <c r="BO63" s="246" t="n"/>
      <c r="BP63" s="246" t="n"/>
      <c r="BQ63" s="246" t="n"/>
      <c r="BR63" s="246" t="n"/>
      <c r="BS63" s="246" t="n"/>
      <c r="BT63" s="246" t="n"/>
      <c r="BU63" s="246" t="n"/>
      <c r="BV63" s="246" t="n"/>
      <c r="BW63" s="246" t="n"/>
      <c r="BX63" s="246" t="n"/>
      <c r="BY63" s="246" t="n"/>
      <c r="BZ63" s="246" t="n"/>
      <c r="CA63" s="246" t="n"/>
    </row>
    <row r="64" ht="12" customHeight="1" s="227">
      <c r="A64" s="244" t="n"/>
      <c r="B64" s="244" t="n"/>
      <c r="C64" s="244" t="n"/>
      <c r="G64" s="222" t="n"/>
      <c r="H64" s="4">
        <f>i_Setup!U89</f>
        <v/>
      </c>
      <c r="I64" s="27">
        <f>i_Setup!$M$16</f>
        <v/>
      </c>
      <c r="M64" s="245">
        <f>SUMIF($T$4:$CA$4,M$4,$T64:$CA64)</f>
        <v/>
      </c>
      <c r="N64" s="245">
        <f>SUMIF($T$4:$CA$4,N$4,$T64:$CA64)</f>
        <v/>
      </c>
      <c r="O64" s="245">
        <f>SUMIF($T$4:$CA$4,O$4,$T64:$CA64)</f>
        <v/>
      </c>
      <c r="P64" s="245">
        <f>SUMIF($T$4:$CA$4,P$4,$T64:$CA64)</f>
        <v/>
      </c>
      <c r="Q64" s="245">
        <f>SUMIF($T$4:$CA$4,Q$4,$T64:$CA64)</f>
        <v/>
      </c>
      <c r="T64" s="246" t="n"/>
      <c r="U64" s="246" t="n"/>
      <c r="V64" s="246" t="n"/>
      <c r="W64" s="246" t="n"/>
      <c r="X64" s="246" t="n"/>
      <c r="Y64" s="246" t="n"/>
      <c r="Z64" s="246" t="n"/>
      <c r="AA64" s="246" t="n"/>
      <c r="AB64" s="246" t="n"/>
      <c r="AC64" s="246" t="n"/>
      <c r="AD64" s="246" t="n"/>
      <c r="AE64" s="246" t="n"/>
      <c r="AF64" s="246" t="n"/>
      <c r="AG64" s="246" t="n"/>
      <c r="AH64" s="246" t="n"/>
      <c r="AI64" s="246" t="n"/>
      <c r="AJ64" s="246" t="n"/>
      <c r="AK64" s="246" t="n"/>
      <c r="AL64" s="246" t="n"/>
      <c r="AM64" s="246" t="n"/>
      <c r="AN64" s="246" t="n"/>
      <c r="AO64" s="246" t="n"/>
      <c r="AP64" s="246" t="n"/>
      <c r="AQ64" s="246" t="n"/>
      <c r="AR64" s="246" t="n"/>
      <c r="AS64" s="246" t="n"/>
      <c r="AT64" s="246" t="n"/>
      <c r="AU64" s="246" t="n"/>
      <c r="AV64" s="246" t="n"/>
      <c r="AW64" s="246" t="n"/>
      <c r="AX64" s="246" t="n"/>
      <c r="AY64" s="246" t="n"/>
      <c r="AZ64" s="246" t="n"/>
      <c r="BA64" s="246" t="n"/>
      <c r="BB64" s="246" t="n"/>
      <c r="BC64" s="246" t="n"/>
      <c r="BD64" s="246" t="n"/>
      <c r="BE64" s="246" t="n"/>
      <c r="BF64" s="246" t="n"/>
      <c r="BG64" s="246" t="n"/>
      <c r="BH64" s="246" t="n"/>
      <c r="BI64" s="246" t="n"/>
      <c r="BJ64" s="246" t="n"/>
      <c r="BK64" s="246" t="n"/>
      <c r="BL64" s="246" t="n"/>
      <c r="BM64" s="246" t="n"/>
      <c r="BN64" s="246" t="n"/>
      <c r="BO64" s="246" t="n"/>
      <c r="BP64" s="246" t="n"/>
      <c r="BQ64" s="246" t="n"/>
      <c r="BR64" s="246" t="n"/>
      <c r="BS64" s="246" t="n"/>
      <c r="BT64" s="246" t="n"/>
      <c r="BU64" s="246" t="n"/>
      <c r="BV64" s="246" t="n"/>
      <c r="BW64" s="246" t="n"/>
      <c r="BX64" s="246" t="n"/>
      <c r="BY64" s="246" t="n"/>
      <c r="BZ64" s="246" t="n"/>
      <c r="CA64" s="246" t="n"/>
    </row>
    <row r="65" ht="12" customHeight="1" s="227">
      <c r="A65" s="244" t="n"/>
      <c r="B65" s="244" t="n"/>
      <c r="C65" s="244" t="n"/>
      <c r="G65" s="222" t="n"/>
      <c r="H65" s="4">
        <f>i_Setup!U90</f>
        <v/>
      </c>
      <c r="I65" s="27">
        <f>i_Setup!$M$16</f>
        <v/>
      </c>
      <c r="M65" s="245">
        <f>SUMIF($T$4:$CA$4,M$4,$T65:$CA65)</f>
        <v/>
      </c>
      <c r="N65" s="245">
        <f>SUMIF($T$4:$CA$4,N$4,$T65:$CA65)</f>
        <v/>
      </c>
      <c r="O65" s="245">
        <f>SUMIF($T$4:$CA$4,O$4,$T65:$CA65)</f>
        <v/>
      </c>
      <c r="P65" s="245">
        <f>SUMIF($T$4:$CA$4,P$4,$T65:$CA65)</f>
        <v/>
      </c>
      <c r="Q65" s="245">
        <f>SUMIF($T$4:$CA$4,Q$4,$T65:$CA65)</f>
        <v/>
      </c>
      <c r="T65" s="246" t="n"/>
      <c r="U65" s="246" t="n"/>
      <c r="V65" s="246" t="n"/>
      <c r="W65" s="246" t="n"/>
      <c r="X65" s="246" t="n"/>
      <c r="Y65" s="246" t="n"/>
      <c r="Z65" s="246" t="n"/>
      <c r="AA65" s="246" t="n"/>
      <c r="AB65" s="246" t="n"/>
      <c r="AC65" s="246" t="n"/>
      <c r="AD65" s="246" t="n"/>
      <c r="AE65" s="246" t="n"/>
      <c r="AF65" s="246" t="n"/>
      <c r="AG65" s="246" t="n"/>
      <c r="AH65" s="246" t="n"/>
      <c r="AI65" s="246" t="n"/>
      <c r="AJ65" s="246" t="n"/>
      <c r="AK65" s="246" t="n"/>
      <c r="AL65" s="246" t="n"/>
      <c r="AM65" s="246" t="n"/>
      <c r="AN65" s="246" t="n"/>
      <c r="AO65" s="246" t="n"/>
      <c r="AP65" s="246" t="n"/>
      <c r="AQ65" s="246" t="n"/>
      <c r="AR65" s="246" t="n"/>
      <c r="AS65" s="246" t="n"/>
      <c r="AT65" s="246" t="n"/>
      <c r="AU65" s="246" t="n"/>
      <c r="AV65" s="246" t="n"/>
      <c r="AW65" s="246" t="n"/>
      <c r="AX65" s="246" t="n"/>
      <c r="AY65" s="246" t="n"/>
      <c r="AZ65" s="246" t="n"/>
      <c r="BA65" s="246" t="n"/>
      <c r="BB65" s="246" t="n"/>
      <c r="BC65" s="246" t="n"/>
      <c r="BD65" s="246" t="n"/>
      <c r="BE65" s="246" t="n"/>
      <c r="BF65" s="246" t="n"/>
      <c r="BG65" s="246" t="n"/>
      <c r="BH65" s="246" t="n"/>
      <c r="BI65" s="246" t="n"/>
      <c r="BJ65" s="246" t="n"/>
      <c r="BK65" s="246" t="n"/>
      <c r="BL65" s="246" t="n"/>
      <c r="BM65" s="246" t="n"/>
      <c r="BN65" s="246" t="n"/>
      <c r="BO65" s="246" t="n"/>
      <c r="BP65" s="246" t="n"/>
      <c r="BQ65" s="246" t="n"/>
      <c r="BR65" s="246" t="n"/>
      <c r="BS65" s="246" t="n"/>
      <c r="BT65" s="246" t="n"/>
      <c r="BU65" s="246" t="n"/>
      <c r="BV65" s="246" t="n"/>
      <c r="BW65" s="246" t="n"/>
      <c r="BX65" s="246" t="n"/>
      <c r="BY65" s="246" t="n"/>
      <c r="BZ65" s="246" t="n"/>
      <c r="CA65" s="246" t="n"/>
    </row>
    <row r="66" ht="12" customHeight="1" s="227">
      <c r="A66" s="244" t="n"/>
      <c r="B66" s="244" t="n"/>
      <c r="C66" s="244" t="n"/>
      <c r="G66" s="222" t="n"/>
      <c r="H66" s="4">
        <f>i_Setup!U91</f>
        <v/>
      </c>
      <c r="I66" s="27">
        <f>i_Setup!$M$16</f>
        <v/>
      </c>
      <c r="M66" s="245">
        <f>SUMIF($T$4:$CA$4,M$4,$T66:$CA66)</f>
        <v/>
      </c>
      <c r="N66" s="245">
        <f>SUMIF($T$4:$CA$4,N$4,$T66:$CA66)</f>
        <v/>
      </c>
      <c r="O66" s="245">
        <f>SUMIF($T$4:$CA$4,O$4,$T66:$CA66)</f>
        <v/>
      </c>
      <c r="P66" s="245">
        <f>SUMIF($T$4:$CA$4,P$4,$T66:$CA66)</f>
        <v/>
      </c>
      <c r="Q66" s="245">
        <f>SUMIF($T$4:$CA$4,Q$4,$T66:$CA66)</f>
        <v/>
      </c>
      <c r="T66" s="246" t="n"/>
      <c r="U66" s="246" t="n"/>
      <c r="V66" s="246" t="n"/>
      <c r="W66" s="246" t="n"/>
      <c r="X66" s="246" t="n"/>
      <c r="Y66" s="246" t="n"/>
      <c r="Z66" s="246" t="n"/>
      <c r="AA66" s="246" t="n"/>
      <c r="AB66" s="246" t="n"/>
      <c r="AC66" s="246" t="n"/>
      <c r="AD66" s="246" t="n"/>
      <c r="AE66" s="246" t="n"/>
      <c r="AF66" s="246" t="n"/>
      <c r="AG66" s="246" t="n"/>
      <c r="AH66" s="246" t="n"/>
      <c r="AI66" s="246" t="n"/>
      <c r="AJ66" s="246" t="n"/>
      <c r="AK66" s="246" t="n"/>
      <c r="AL66" s="246" t="n"/>
      <c r="AM66" s="246" t="n"/>
      <c r="AN66" s="246" t="n"/>
      <c r="AO66" s="246" t="n"/>
      <c r="AP66" s="246" t="n"/>
      <c r="AQ66" s="246" t="n"/>
      <c r="AR66" s="246" t="n"/>
      <c r="AS66" s="246" t="n"/>
      <c r="AT66" s="246" t="n"/>
      <c r="AU66" s="246" t="n"/>
      <c r="AV66" s="246" t="n"/>
      <c r="AW66" s="246" t="n"/>
      <c r="AX66" s="246" t="n"/>
      <c r="AY66" s="246" t="n"/>
      <c r="AZ66" s="246" t="n"/>
      <c r="BA66" s="246" t="n"/>
      <c r="BB66" s="246" t="n"/>
      <c r="BC66" s="246" t="n"/>
      <c r="BD66" s="246" t="n"/>
      <c r="BE66" s="246" t="n"/>
      <c r="BF66" s="246" t="n"/>
      <c r="BG66" s="246" t="n"/>
      <c r="BH66" s="246" t="n"/>
      <c r="BI66" s="246" t="n"/>
      <c r="BJ66" s="246" t="n"/>
      <c r="BK66" s="246" t="n"/>
      <c r="BL66" s="246" t="n"/>
      <c r="BM66" s="246" t="n"/>
      <c r="BN66" s="246" t="n"/>
      <c r="BO66" s="246" t="n"/>
      <c r="BP66" s="246" t="n"/>
      <c r="BQ66" s="246" t="n"/>
      <c r="BR66" s="246" t="n"/>
      <c r="BS66" s="246" t="n"/>
      <c r="BT66" s="246" t="n"/>
      <c r="BU66" s="246" t="n"/>
      <c r="BV66" s="246" t="n"/>
      <c r="BW66" s="246" t="n"/>
      <c r="BX66" s="246" t="n"/>
      <c r="BY66" s="246" t="n"/>
      <c r="BZ66" s="246" t="n"/>
      <c r="CA66" s="246" t="n"/>
    </row>
    <row r="67" ht="12" customHeight="1" s="227">
      <c r="A67" s="244" t="n"/>
      <c r="B67" s="244" t="n"/>
      <c r="C67" s="244" t="n"/>
      <c r="G67" s="39" t="inlineStr">
        <is>
          <t>Total Marketing Costs</t>
        </is>
      </c>
      <c r="H67" s="39" t="n"/>
      <c r="I67" s="41">
        <f>i_Setup!$M$16</f>
        <v/>
      </c>
      <c r="M67" s="249">
        <f>SUM(M62:M66)</f>
        <v/>
      </c>
      <c r="N67" s="249">
        <f>SUM(N62:N66)</f>
        <v/>
      </c>
      <c r="O67" s="249">
        <f>SUM(O62:O66)</f>
        <v/>
      </c>
      <c r="P67" s="249">
        <f>SUM(P62:P66)</f>
        <v/>
      </c>
      <c r="Q67" s="249">
        <f>SUM(Q62:Q66)</f>
        <v/>
      </c>
      <c r="T67" s="249">
        <f>SUM(T62:T66)</f>
        <v/>
      </c>
      <c r="U67" s="249">
        <f>SUM(U62:U66)</f>
        <v/>
      </c>
      <c r="V67" s="249">
        <f>SUM(V62:V66)</f>
        <v/>
      </c>
      <c r="W67" s="249">
        <f>SUM(W62:W66)</f>
        <v/>
      </c>
      <c r="X67" s="249">
        <f>SUM(X62:X66)</f>
        <v/>
      </c>
      <c r="Y67" s="249">
        <f>SUM(Y62:Y66)</f>
        <v/>
      </c>
      <c r="Z67" s="249">
        <f>SUM(Z62:Z66)</f>
        <v/>
      </c>
      <c r="AA67" s="249">
        <f>SUM(AA62:AA66)</f>
        <v/>
      </c>
      <c r="AB67" s="249">
        <f>SUM(AB62:AB66)</f>
        <v/>
      </c>
      <c r="AC67" s="249">
        <f>SUM(AC62:AC66)</f>
        <v/>
      </c>
      <c r="AD67" s="249">
        <f>SUM(AD62:AD66)</f>
        <v/>
      </c>
      <c r="AE67" s="249">
        <f>SUM(AE62:AE66)</f>
        <v/>
      </c>
      <c r="AF67" s="249">
        <f>SUM(AF62:AF66)</f>
        <v/>
      </c>
      <c r="AG67" s="249">
        <f>SUM(AG62:AG66)</f>
        <v/>
      </c>
      <c r="AH67" s="249">
        <f>SUM(AH62:AH66)</f>
        <v/>
      </c>
      <c r="AI67" s="249">
        <f>SUM(AI62:AI66)</f>
        <v/>
      </c>
      <c r="AJ67" s="249">
        <f>SUM(AJ62:AJ66)</f>
        <v/>
      </c>
      <c r="AK67" s="249">
        <f>SUM(AK62:AK66)</f>
        <v/>
      </c>
      <c r="AL67" s="249">
        <f>SUM(AL62:AL66)</f>
        <v/>
      </c>
      <c r="AM67" s="249">
        <f>SUM(AM62:AM66)</f>
        <v/>
      </c>
      <c r="AN67" s="249">
        <f>SUM(AN62:AN66)</f>
        <v/>
      </c>
      <c r="AO67" s="249">
        <f>SUM(AO62:AO66)</f>
        <v/>
      </c>
      <c r="AP67" s="249">
        <f>SUM(AP62:AP66)</f>
        <v/>
      </c>
      <c r="AQ67" s="249">
        <f>SUM(AQ62:AQ66)</f>
        <v/>
      </c>
      <c r="AR67" s="249">
        <f>SUM(AR62:AR66)</f>
        <v/>
      </c>
      <c r="AS67" s="249">
        <f>SUM(AS62:AS66)</f>
        <v/>
      </c>
      <c r="AT67" s="249">
        <f>SUM(AT62:AT66)</f>
        <v/>
      </c>
      <c r="AU67" s="249">
        <f>SUM(AU62:AU66)</f>
        <v/>
      </c>
      <c r="AV67" s="249">
        <f>SUM(AV62:AV66)</f>
        <v/>
      </c>
      <c r="AW67" s="249">
        <f>SUM(AW62:AW66)</f>
        <v/>
      </c>
      <c r="AX67" s="249">
        <f>SUM(AX62:AX66)</f>
        <v/>
      </c>
      <c r="AY67" s="249">
        <f>SUM(AY62:AY66)</f>
        <v/>
      </c>
      <c r="AZ67" s="249">
        <f>SUM(AZ62:AZ66)</f>
        <v/>
      </c>
      <c r="BA67" s="249">
        <f>SUM(BA62:BA66)</f>
        <v/>
      </c>
      <c r="BB67" s="249">
        <f>SUM(BB62:BB66)</f>
        <v/>
      </c>
      <c r="BC67" s="249">
        <f>SUM(BC62:BC66)</f>
        <v/>
      </c>
      <c r="BD67" s="249">
        <f>SUM(BD62:BD66)</f>
        <v/>
      </c>
      <c r="BE67" s="249">
        <f>SUM(BE62:BE66)</f>
        <v/>
      </c>
      <c r="BF67" s="249">
        <f>SUM(BF62:BF66)</f>
        <v/>
      </c>
      <c r="BG67" s="249">
        <f>SUM(BG62:BG66)</f>
        <v/>
      </c>
      <c r="BH67" s="249">
        <f>SUM(BH62:BH66)</f>
        <v/>
      </c>
      <c r="BI67" s="249">
        <f>SUM(BI62:BI66)</f>
        <v/>
      </c>
      <c r="BJ67" s="249">
        <f>SUM(BJ62:BJ66)</f>
        <v/>
      </c>
      <c r="BK67" s="249">
        <f>SUM(BK62:BK66)</f>
        <v/>
      </c>
      <c r="BL67" s="249">
        <f>SUM(BL62:BL66)</f>
        <v/>
      </c>
      <c r="BM67" s="249">
        <f>SUM(BM62:BM66)</f>
        <v/>
      </c>
      <c r="BN67" s="249">
        <f>SUM(BN62:BN66)</f>
        <v/>
      </c>
      <c r="BO67" s="249">
        <f>SUM(BO62:BO66)</f>
        <v/>
      </c>
      <c r="BP67" s="249">
        <f>SUM(BP62:BP66)</f>
        <v/>
      </c>
      <c r="BQ67" s="249">
        <f>SUM(BQ62:BQ66)</f>
        <v/>
      </c>
      <c r="BR67" s="249">
        <f>SUM(BR62:BR66)</f>
        <v/>
      </c>
      <c r="BS67" s="249">
        <f>SUM(BS62:BS66)</f>
        <v/>
      </c>
      <c r="BT67" s="249">
        <f>SUM(BT62:BT66)</f>
        <v/>
      </c>
      <c r="BU67" s="249">
        <f>SUM(BU62:BU66)</f>
        <v/>
      </c>
      <c r="BV67" s="249">
        <f>SUM(BV62:BV66)</f>
        <v/>
      </c>
      <c r="BW67" s="249">
        <f>SUM(BW62:BW66)</f>
        <v/>
      </c>
      <c r="BX67" s="249">
        <f>SUM(BX62:BX66)</f>
        <v/>
      </c>
      <c r="BY67" s="249">
        <f>SUM(BY62:BY66)</f>
        <v/>
      </c>
      <c r="BZ67" s="249">
        <f>SUM(BZ62:BZ66)</f>
        <v/>
      </c>
      <c r="CA67" s="249">
        <f>SUM(CA62:CA66)</f>
        <v/>
      </c>
    </row>
    <row r="68" ht="12" customHeight="1" s="227">
      <c r="A68" s="244" t="n"/>
      <c r="B68" s="244" t="n"/>
      <c r="C68" s="244" t="n"/>
      <c r="G68" s="222" t="n"/>
    </row>
    <row r="69" ht="12" customHeight="1" s="227">
      <c r="A69" s="244" t="n"/>
      <c r="B69" s="244" t="n"/>
      <c r="C69" s="244" t="n"/>
      <c r="G69" s="222" t="inlineStr">
        <is>
          <t>Other Expenses</t>
        </is>
      </c>
    </row>
    <row r="70" ht="12" customHeight="1" s="227">
      <c r="A70" s="244" t="n"/>
      <c r="B70" s="244" t="n"/>
      <c r="C70" s="244" t="n"/>
      <c r="G70" s="222" t="n"/>
      <c r="H70" s="4">
        <f>i_Setup!U96</f>
        <v/>
      </c>
      <c r="I70" s="27">
        <f>i_Setup!$M$16</f>
        <v/>
      </c>
      <c r="M70" s="245">
        <f>SUMIF($T$4:$CA$4,M$4,$T70:$CA70)</f>
        <v/>
      </c>
      <c r="N70" s="245">
        <f>SUMIF($T$4:$CA$4,N$4,$T70:$CA70)</f>
        <v/>
      </c>
      <c r="O70" s="245">
        <f>SUMIF($T$4:$CA$4,O$4,$T70:$CA70)</f>
        <v/>
      </c>
      <c r="P70" s="245">
        <f>SUMIF($T$4:$CA$4,P$4,$T70:$CA70)</f>
        <v/>
      </c>
      <c r="Q70" s="245">
        <f>SUMIF($T$4:$CA$4,Q$4,$T70:$CA70)</f>
        <v/>
      </c>
      <c r="T70" s="246" t="n"/>
      <c r="U70" s="246" t="n"/>
      <c r="V70" s="246" t="n"/>
      <c r="W70" s="246" t="n"/>
      <c r="X70" s="246" t="n"/>
      <c r="Y70" s="246" t="n"/>
      <c r="Z70" s="246" t="n"/>
      <c r="AA70" s="246" t="n"/>
      <c r="AB70" s="246" t="n"/>
      <c r="AC70" s="246" t="n"/>
      <c r="AD70" s="246" t="n"/>
      <c r="AE70" s="246" t="n"/>
      <c r="AF70" s="246" t="n"/>
      <c r="AG70" s="246" t="n"/>
      <c r="AH70" s="246" t="n"/>
      <c r="AI70" s="246" t="n"/>
      <c r="AJ70" s="246" t="n"/>
      <c r="AK70" s="246" t="n"/>
      <c r="AL70" s="246" t="n"/>
      <c r="AM70" s="246" t="n"/>
      <c r="AN70" s="246" t="n"/>
      <c r="AO70" s="246" t="n"/>
      <c r="AP70" s="246" t="n"/>
      <c r="AQ70" s="246" t="n"/>
      <c r="AR70" s="246" t="n"/>
      <c r="AS70" s="246" t="n"/>
      <c r="AT70" s="246" t="n"/>
      <c r="AU70" s="246" t="n"/>
      <c r="AV70" s="246" t="n"/>
      <c r="AW70" s="246" t="n"/>
      <c r="AX70" s="246" t="n"/>
      <c r="AY70" s="246" t="n"/>
      <c r="AZ70" s="246" t="n"/>
      <c r="BA70" s="246" t="n"/>
      <c r="BB70" s="246" t="n"/>
      <c r="BC70" s="246" t="n"/>
      <c r="BD70" s="246" t="n"/>
      <c r="BE70" s="246" t="n"/>
      <c r="BF70" s="246" t="n"/>
      <c r="BG70" s="246" t="n"/>
      <c r="BH70" s="246" t="n"/>
      <c r="BI70" s="246" t="n"/>
      <c r="BJ70" s="246" t="n"/>
      <c r="BK70" s="246" t="n"/>
      <c r="BL70" s="246" t="n"/>
      <c r="BM70" s="246" t="n"/>
      <c r="BN70" s="246" t="n"/>
      <c r="BO70" s="246" t="n"/>
      <c r="BP70" s="246" t="n"/>
      <c r="BQ70" s="246" t="n"/>
      <c r="BR70" s="246" t="n"/>
      <c r="BS70" s="246" t="n"/>
      <c r="BT70" s="246" t="n"/>
      <c r="BU70" s="246" t="n"/>
      <c r="BV70" s="246" t="n"/>
      <c r="BW70" s="246" t="n"/>
      <c r="BX70" s="246" t="n"/>
      <c r="BY70" s="246" t="n"/>
      <c r="BZ70" s="246" t="n"/>
      <c r="CA70" s="246" t="n"/>
    </row>
    <row r="71" ht="12" customHeight="1" s="227">
      <c r="A71" s="244" t="n"/>
      <c r="B71" s="244" t="n"/>
      <c r="C71" s="244" t="n"/>
      <c r="G71" s="222" t="n"/>
      <c r="H71" s="4">
        <f>i_Setup!U97</f>
        <v/>
      </c>
      <c r="I71" s="27">
        <f>i_Setup!$M$16</f>
        <v/>
      </c>
      <c r="M71" s="245">
        <f>SUMIF($T$4:$CA$4,M$4,$T71:$CA71)</f>
        <v/>
      </c>
      <c r="N71" s="245">
        <f>SUMIF($T$4:$CA$4,N$4,$T71:$CA71)</f>
        <v/>
      </c>
      <c r="O71" s="245">
        <f>SUMIF($T$4:$CA$4,O$4,$T71:$CA71)</f>
        <v/>
      </c>
      <c r="P71" s="245">
        <f>SUMIF($T$4:$CA$4,P$4,$T71:$CA71)</f>
        <v/>
      </c>
      <c r="Q71" s="245">
        <f>SUMIF($T$4:$CA$4,Q$4,$T71:$CA71)</f>
        <v/>
      </c>
      <c r="T71" s="246" t="n"/>
      <c r="U71" s="246" t="n"/>
      <c r="V71" s="246" t="n"/>
      <c r="W71" s="246" t="n"/>
      <c r="X71" s="246" t="n"/>
      <c r="Y71" s="246" t="n"/>
      <c r="Z71" s="246" t="n"/>
      <c r="AA71" s="246" t="n"/>
      <c r="AB71" s="246" t="n"/>
      <c r="AC71" s="246" t="n"/>
      <c r="AD71" s="246" t="n"/>
      <c r="AE71" s="246" t="n"/>
      <c r="AF71" s="246" t="n"/>
      <c r="AG71" s="246" t="n"/>
      <c r="AH71" s="246" t="n"/>
      <c r="AI71" s="246" t="n"/>
      <c r="AJ71" s="246" t="n"/>
      <c r="AK71" s="246" t="n"/>
      <c r="AL71" s="246" t="n"/>
      <c r="AM71" s="246" t="n"/>
      <c r="AN71" s="246" t="n"/>
      <c r="AO71" s="246" t="n"/>
      <c r="AP71" s="246" t="n"/>
      <c r="AQ71" s="246" t="n"/>
      <c r="AR71" s="246" t="n"/>
      <c r="AS71" s="246" t="n"/>
      <c r="AT71" s="246" t="n"/>
      <c r="AU71" s="246" t="n"/>
      <c r="AV71" s="246" t="n"/>
      <c r="AW71" s="246" t="n"/>
      <c r="AX71" s="246" t="n"/>
      <c r="AY71" s="246" t="n"/>
      <c r="AZ71" s="246" t="n"/>
      <c r="BA71" s="246" t="n"/>
      <c r="BB71" s="246" t="n"/>
      <c r="BC71" s="246" t="n"/>
      <c r="BD71" s="246" t="n"/>
      <c r="BE71" s="246" t="n"/>
      <c r="BF71" s="246" t="n"/>
      <c r="BG71" s="246" t="n"/>
      <c r="BH71" s="246" t="n"/>
      <c r="BI71" s="246" t="n"/>
      <c r="BJ71" s="246" t="n"/>
      <c r="BK71" s="246" t="n"/>
      <c r="BL71" s="246" t="n"/>
      <c r="BM71" s="246" t="n"/>
      <c r="BN71" s="246" t="n"/>
      <c r="BO71" s="246" t="n"/>
      <c r="BP71" s="246" t="n"/>
      <c r="BQ71" s="246" t="n"/>
      <c r="BR71" s="246" t="n"/>
      <c r="BS71" s="246" t="n"/>
      <c r="BT71" s="246" t="n"/>
      <c r="BU71" s="246" t="n"/>
      <c r="BV71" s="246" t="n"/>
      <c r="BW71" s="246" t="n"/>
      <c r="BX71" s="246" t="n"/>
      <c r="BY71" s="246" t="n"/>
      <c r="BZ71" s="246" t="n"/>
      <c r="CA71" s="246" t="n"/>
    </row>
    <row r="72" ht="12" customHeight="1" s="227">
      <c r="A72" s="244" t="n"/>
      <c r="B72" s="244" t="n"/>
      <c r="C72" s="244" t="n"/>
      <c r="G72" s="222" t="n"/>
      <c r="H72" s="4">
        <f>i_Setup!U98</f>
        <v/>
      </c>
      <c r="I72" s="27">
        <f>i_Setup!$M$16</f>
        <v/>
      </c>
      <c r="M72" s="245">
        <f>SUMIF($T$4:$CA$4,M$4,$T72:$CA72)</f>
        <v/>
      </c>
      <c r="N72" s="245">
        <f>SUMIF($T$4:$CA$4,N$4,$T72:$CA72)</f>
        <v/>
      </c>
      <c r="O72" s="245">
        <f>SUMIF($T$4:$CA$4,O$4,$T72:$CA72)</f>
        <v/>
      </c>
      <c r="P72" s="245">
        <f>SUMIF($T$4:$CA$4,P$4,$T72:$CA72)</f>
        <v/>
      </c>
      <c r="Q72" s="245">
        <f>SUMIF($T$4:$CA$4,Q$4,$T72:$CA72)</f>
        <v/>
      </c>
      <c r="T72" s="246" t="n"/>
      <c r="U72" s="246" t="n"/>
      <c r="V72" s="246" t="n"/>
      <c r="W72" s="246" t="n"/>
      <c r="X72" s="246" t="n"/>
      <c r="Y72" s="246" t="n"/>
      <c r="Z72" s="246" t="n"/>
      <c r="AA72" s="246" t="n"/>
      <c r="AB72" s="246" t="n"/>
      <c r="AC72" s="246" t="n"/>
      <c r="AD72" s="246" t="n"/>
      <c r="AE72" s="246" t="n"/>
      <c r="AF72" s="246" t="n"/>
      <c r="AG72" s="246" t="n"/>
      <c r="AH72" s="246" t="n"/>
      <c r="AI72" s="246" t="n"/>
      <c r="AJ72" s="246" t="n"/>
      <c r="AK72" s="246" t="n"/>
      <c r="AL72" s="246" t="n"/>
      <c r="AM72" s="246" t="n"/>
      <c r="AN72" s="246" t="n"/>
      <c r="AO72" s="246" t="n"/>
      <c r="AP72" s="246" t="n"/>
      <c r="AQ72" s="246" t="n"/>
      <c r="AR72" s="246" t="n"/>
      <c r="AS72" s="246" t="n"/>
      <c r="AT72" s="246" t="n"/>
      <c r="AU72" s="246" t="n"/>
      <c r="AV72" s="246" t="n"/>
      <c r="AW72" s="246" t="n"/>
      <c r="AX72" s="246" t="n"/>
      <c r="AY72" s="246" t="n"/>
      <c r="AZ72" s="246" t="n"/>
      <c r="BA72" s="246" t="n"/>
      <c r="BB72" s="246" t="n"/>
      <c r="BC72" s="246" t="n"/>
      <c r="BD72" s="246" t="n"/>
      <c r="BE72" s="246" t="n"/>
      <c r="BF72" s="246" t="n"/>
      <c r="BG72" s="246" t="n"/>
      <c r="BH72" s="246" t="n"/>
      <c r="BI72" s="246" t="n"/>
      <c r="BJ72" s="246" t="n"/>
      <c r="BK72" s="246" t="n"/>
      <c r="BL72" s="246" t="n"/>
      <c r="BM72" s="246" t="n"/>
      <c r="BN72" s="246" t="n"/>
      <c r="BO72" s="246" t="n"/>
      <c r="BP72" s="246" t="n"/>
      <c r="BQ72" s="246" t="n"/>
      <c r="BR72" s="246" t="n"/>
      <c r="BS72" s="246" t="n"/>
      <c r="BT72" s="246" t="n"/>
      <c r="BU72" s="246" t="n"/>
      <c r="BV72" s="246" t="n"/>
      <c r="BW72" s="246" t="n"/>
      <c r="BX72" s="246" t="n"/>
      <c r="BY72" s="246" t="n"/>
      <c r="BZ72" s="246" t="n"/>
      <c r="CA72" s="246" t="n"/>
    </row>
    <row r="73" ht="12" customHeight="1" s="227">
      <c r="A73" s="244" t="n"/>
      <c r="B73" s="244" t="n"/>
      <c r="C73" s="244" t="n"/>
      <c r="G73" s="222" t="n"/>
      <c r="H73" s="4">
        <f>i_Setup!U99</f>
        <v/>
      </c>
      <c r="I73" s="27">
        <f>i_Setup!$M$16</f>
        <v/>
      </c>
      <c r="M73" s="245">
        <f>SUMIF($T$4:$CA$4,M$4,$T73:$CA73)</f>
        <v/>
      </c>
      <c r="N73" s="245">
        <f>SUMIF($T$4:$CA$4,N$4,$T73:$CA73)</f>
        <v/>
      </c>
      <c r="O73" s="245">
        <f>SUMIF($T$4:$CA$4,O$4,$T73:$CA73)</f>
        <v/>
      </c>
      <c r="P73" s="245">
        <f>SUMIF($T$4:$CA$4,P$4,$T73:$CA73)</f>
        <v/>
      </c>
      <c r="Q73" s="245">
        <f>SUMIF($T$4:$CA$4,Q$4,$T73:$CA73)</f>
        <v/>
      </c>
      <c r="T73" s="246" t="n"/>
      <c r="U73" s="246" t="n"/>
      <c r="V73" s="246" t="n"/>
      <c r="W73" s="246" t="n"/>
      <c r="X73" s="246" t="n"/>
      <c r="Y73" s="246" t="n"/>
      <c r="Z73" s="246" t="n"/>
      <c r="AA73" s="246" t="n"/>
      <c r="AB73" s="246" t="n"/>
      <c r="AC73" s="246" t="n"/>
      <c r="AD73" s="246" t="n"/>
      <c r="AE73" s="246" t="n"/>
      <c r="AF73" s="246" t="n"/>
      <c r="AG73" s="246" t="n"/>
      <c r="AH73" s="246" t="n"/>
      <c r="AI73" s="246" t="n"/>
      <c r="AJ73" s="246" t="n"/>
      <c r="AK73" s="246" t="n"/>
      <c r="AL73" s="246" t="n"/>
      <c r="AM73" s="246" t="n"/>
      <c r="AN73" s="246" t="n"/>
      <c r="AO73" s="246" t="n"/>
      <c r="AP73" s="246" t="n"/>
      <c r="AQ73" s="246" t="n"/>
      <c r="AR73" s="246" t="n"/>
      <c r="AS73" s="246" t="n"/>
      <c r="AT73" s="246" t="n"/>
      <c r="AU73" s="246" t="n"/>
      <c r="AV73" s="246" t="n"/>
      <c r="AW73" s="246" t="n"/>
      <c r="AX73" s="246" t="n"/>
      <c r="AY73" s="246" t="n"/>
      <c r="AZ73" s="246" t="n"/>
      <c r="BA73" s="246" t="n"/>
      <c r="BB73" s="246" t="n"/>
      <c r="BC73" s="246" t="n"/>
      <c r="BD73" s="246" t="n"/>
      <c r="BE73" s="246" t="n"/>
      <c r="BF73" s="246" t="n"/>
      <c r="BG73" s="246" t="n"/>
      <c r="BH73" s="246" t="n"/>
      <c r="BI73" s="246" t="n"/>
      <c r="BJ73" s="246" t="n"/>
      <c r="BK73" s="246" t="n"/>
      <c r="BL73" s="246" t="n"/>
      <c r="BM73" s="246" t="n"/>
      <c r="BN73" s="246" t="n"/>
      <c r="BO73" s="246" t="n"/>
      <c r="BP73" s="246" t="n"/>
      <c r="BQ73" s="246" t="n"/>
      <c r="BR73" s="246" t="n"/>
      <c r="BS73" s="246" t="n"/>
      <c r="BT73" s="246" t="n"/>
      <c r="BU73" s="246" t="n"/>
      <c r="BV73" s="246" t="n"/>
      <c r="BW73" s="246" t="n"/>
      <c r="BX73" s="246" t="n"/>
      <c r="BY73" s="246" t="n"/>
      <c r="BZ73" s="246" t="n"/>
      <c r="CA73" s="246" t="n"/>
    </row>
    <row r="74" ht="12" customHeight="1" s="227">
      <c r="A74" s="244" t="n"/>
      <c r="B74" s="244" t="n"/>
      <c r="C74" s="244" t="n"/>
      <c r="G74" s="222" t="n"/>
      <c r="H74" s="4">
        <f>i_Setup!U100</f>
        <v/>
      </c>
      <c r="I74" s="27">
        <f>i_Setup!$M$16</f>
        <v/>
      </c>
      <c r="M74" s="245">
        <f>SUMIF($T$4:$CA$4,M$4,$T74:$CA74)</f>
        <v/>
      </c>
      <c r="N74" s="245">
        <f>SUMIF($T$4:$CA$4,N$4,$T74:$CA74)</f>
        <v/>
      </c>
      <c r="O74" s="245">
        <f>SUMIF($T$4:$CA$4,O$4,$T74:$CA74)</f>
        <v/>
      </c>
      <c r="P74" s="245">
        <f>SUMIF($T$4:$CA$4,P$4,$T74:$CA74)</f>
        <v/>
      </c>
      <c r="Q74" s="245">
        <f>SUMIF($T$4:$CA$4,Q$4,$T74:$CA74)</f>
        <v/>
      </c>
      <c r="T74" s="246" t="n"/>
      <c r="U74" s="246" t="n"/>
      <c r="V74" s="246" t="n"/>
      <c r="W74" s="246" t="n"/>
      <c r="X74" s="246" t="n"/>
      <c r="Y74" s="246" t="n"/>
      <c r="Z74" s="246" t="n"/>
      <c r="AA74" s="246" t="n"/>
      <c r="AB74" s="246" t="n"/>
      <c r="AC74" s="246" t="n"/>
      <c r="AD74" s="246" t="n"/>
      <c r="AE74" s="246" t="n"/>
      <c r="AF74" s="246" t="n"/>
      <c r="AG74" s="246" t="n"/>
      <c r="AH74" s="246" t="n"/>
      <c r="AI74" s="246" t="n"/>
      <c r="AJ74" s="246" t="n"/>
      <c r="AK74" s="246" t="n"/>
      <c r="AL74" s="246" t="n"/>
      <c r="AM74" s="246" t="n"/>
      <c r="AN74" s="246" t="n"/>
      <c r="AO74" s="246" t="n"/>
      <c r="AP74" s="246" t="n"/>
      <c r="AQ74" s="246" t="n"/>
      <c r="AR74" s="246" t="n"/>
      <c r="AS74" s="246" t="n"/>
      <c r="AT74" s="246" t="n"/>
      <c r="AU74" s="246" t="n"/>
      <c r="AV74" s="246" t="n"/>
      <c r="AW74" s="246" t="n"/>
      <c r="AX74" s="246" t="n"/>
      <c r="AY74" s="246" t="n"/>
      <c r="AZ74" s="246" t="n"/>
      <c r="BA74" s="246" t="n"/>
      <c r="BB74" s="246" t="n"/>
      <c r="BC74" s="246" t="n"/>
      <c r="BD74" s="246" t="n"/>
      <c r="BE74" s="246" t="n"/>
      <c r="BF74" s="246" t="n"/>
      <c r="BG74" s="246" t="n"/>
      <c r="BH74" s="246" t="n"/>
      <c r="BI74" s="246" t="n"/>
      <c r="BJ74" s="246" t="n"/>
      <c r="BK74" s="246" t="n"/>
      <c r="BL74" s="246" t="n"/>
      <c r="BM74" s="246" t="n"/>
      <c r="BN74" s="246" t="n"/>
      <c r="BO74" s="246" t="n"/>
      <c r="BP74" s="246" t="n"/>
      <c r="BQ74" s="246" t="n"/>
      <c r="BR74" s="246" t="n"/>
      <c r="BS74" s="246" t="n"/>
      <c r="BT74" s="246" t="n"/>
      <c r="BU74" s="246" t="n"/>
      <c r="BV74" s="246" t="n"/>
      <c r="BW74" s="246" t="n"/>
      <c r="BX74" s="246" t="n"/>
      <c r="BY74" s="246" t="n"/>
      <c r="BZ74" s="246" t="n"/>
      <c r="CA74" s="246" t="n"/>
    </row>
    <row r="75" ht="12" customHeight="1" s="227">
      <c r="A75" s="244" t="n"/>
      <c r="B75" s="244" t="n"/>
      <c r="C75" s="244" t="n"/>
      <c r="G75" s="222" t="n"/>
      <c r="H75" s="4">
        <f>i_Setup!U101</f>
        <v/>
      </c>
      <c r="I75" s="27">
        <f>i_Setup!$M$16</f>
        <v/>
      </c>
      <c r="M75" s="245">
        <f>SUMIF($T$4:$CA$4,M$4,$T75:$CA75)</f>
        <v/>
      </c>
      <c r="N75" s="245">
        <f>SUMIF($T$4:$CA$4,N$4,$T75:$CA75)</f>
        <v/>
      </c>
      <c r="O75" s="245">
        <f>SUMIF($T$4:$CA$4,O$4,$T75:$CA75)</f>
        <v/>
      </c>
      <c r="P75" s="245">
        <f>SUMIF($T$4:$CA$4,P$4,$T75:$CA75)</f>
        <v/>
      </c>
      <c r="Q75" s="245">
        <f>SUMIF($T$4:$CA$4,Q$4,$T75:$CA75)</f>
        <v/>
      </c>
      <c r="T75" s="246" t="n"/>
      <c r="U75" s="246" t="n"/>
      <c r="V75" s="246" t="n"/>
      <c r="W75" s="246" t="n"/>
      <c r="X75" s="246" t="n"/>
      <c r="Y75" s="246" t="n"/>
      <c r="Z75" s="246" t="n"/>
      <c r="AA75" s="246" t="n"/>
      <c r="AB75" s="246" t="n"/>
      <c r="AC75" s="246" t="n"/>
      <c r="AD75" s="246" t="n"/>
      <c r="AE75" s="246" t="n"/>
      <c r="AF75" s="246" t="n"/>
      <c r="AG75" s="246" t="n"/>
      <c r="AH75" s="246" t="n"/>
      <c r="AI75" s="246" t="n"/>
      <c r="AJ75" s="246" t="n"/>
      <c r="AK75" s="246" t="n"/>
      <c r="AL75" s="246" t="n"/>
      <c r="AM75" s="246" t="n"/>
      <c r="AN75" s="246" t="n"/>
      <c r="AO75" s="246" t="n"/>
      <c r="AP75" s="246" t="n"/>
      <c r="AQ75" s="246" t="n"/>
      <c r="AR75" s="246" t="n"/>
      <c r="AS75" s="246" t="n"/>
      <c r="AT75" s="246" t="n"/>
      <c r="AU75" s="246" t="n"/>
      <c r="AV75" s="246" t="n"/>
      <c r="AW75" s="246" t="n"/>
      <c r="AX75" s="246" t="n"/>
      <c r="AY75" s="246" t="n"/>
      <c r="AZ75" s="246" t="n"/>
      <c r="BA75" s="246" t="n"/>
      <c r="BB75" s="246" t="n"/>
      <c r="BC75" s="246" t="n"/>
      <c r="BD75" s="246" t="n"/>
      <c r="BE75" s="246" t="n"/>
      <c r="BF75" s="246" t="n"/>
      <c r="BG75" s="246" t="n"/>
      <c r="BH75" s="246" t="n"/>
      <c r="BI75" s="246" t="n"/>
      <c r="BJ75" s="246" t="n"/>
      <c r="BK75" s="246" t="n"/>
      <c r="BL75" s="246" t="n"/>
      <c r="BM75" s="246" t="n"/>
      <c r="BN75" s="246" t="n"/>
      <c r="BO75" s="246" t="n"/>
      <c r="BP75" s="246" t="n"/>
      <c r="BQ75" s="246" t="n"/>
      <c r="BR75" s="246" t="n"/>
      <c r="BS75" s="246" t="n"/>
      <c r="BT75" s="246" t="n"/>
      <c r="BU75" s="246" t="n"/>
      <c r="BV75" s="246" t="n"/>
      <c r="BW75" s="246" t="n"/>
      <c r="BX75" s="246" t="n"/>
      <c r="BY75" s="246" t="n"/>
      <c r="BZ75" s="246" t="n"/>
      <c r="CA75" s="246" t="n"/>
    </row>
    <row r="76" ht="12" customHeight="1" s="227">
      <c r="A76" s="244" t="n"/>
      <c r="B76" s="244" t="n"/>
      <c r="C76" s="244" t="n"/>
      <c r="G76" s="222" t="n"/>
      <c r="H76" s="4">
        <f>i_Setup!U102</f>
        <v/>
      </c>
      <c r="I76" s="27">
        <f>i_Setup!$M$16</f>
        <v/>
      </c>
      <c r="M76" s="245">
        <f>SUMIF($T$4:$CA$4,M$4,$T76:$CA76)</f>
        <v/>
      </c>
      <c r="N76" s="245">
        <f>SUMIF($T$4:$CA$4,N$4,$T76:$CA76)</f>
        <v/>
      </c>
      <c r="O76" s="245">
        <f>SUMIF($T$4:$CA$4,O$4,$T76:$CA76)</f>
        <v/>
      </c>
      <c r="P76" s="245">
        <f>SUMIF($T$4:$CA$4,P$4,$T76:$CA76)</f>
        <v/>
      </c>
      <c r="Q76" s="245">
        <f>SUMIF($T$4:$CA$4,Q$4,$T76:$CA76)</f>
        <v/>
      </c>
      <c r="T76" s="246" t="n"/>
      <c r="U76" s="246" t="n"/>
      <c r="V76" s="246" t="n"/>
      <c r="W76" s="246" t="n"/>
      <c r="X76" s="246" t="n"/>
      <c r="Y76" s="246" t="n"/>
      <c r="Z76" s="246" t="n"/>
      <c r="AA76" s="246" t="n"/>
      <c r="AB76" s="246" t="n"/>
      <c r="AC76" s="246" t="n"/>
      <c r="AD76" s="246" t="n"/>
      <c r="AE76" s="246" t="n"/>
      <c r="AF76" s="246" t="n"/>
      <c r="AG76" s="246" t="n"/>
      <c r="AH76" s="246" t="n"/>
      <c r="AI76" s="246" t="n"/>
      <c r="AJ76" s="246" t="n"/>
      <c r="AK76" s="246" t="n"/>
      <c r="AL76" s="246" t="n"/>
      <c r="AM76" s="246" t="n"/>
      <c r="AN76" s="246" t="n"/>
      <c r="AO76" s="246" t="n"/>
      <c r="AP76" s="246" t="n"/>
      <c r="AQ76" s="246" t="n"/>
      <c r="AR76" s="246" t="n"/>
      <c r="AS76" s="246" t="n"/>
      <c r="AT76" s="246" t="n"/>
      <c r="AU76" s="246" t="n"/>
      <c r="AV76" s="246" t="n"/>
      <c r="AW76" s="246" t="n"/>
      <c r="AX76" s="246" t="n"/>
      <c r="AY76" s="246" t="n"/>
      <c r="AZ76" s="246" t="n"/>
      <c r="BA76" s="246" t="n"/>
      <c r="BB76" s="246" t="n"/>
      <c r="BC76" s="246" t="n"/>
      <c r="BD76" s="246" t="n"/>
      <c r="BE76" s="246" t="n"/>
      <c r="BF76" s="246" t="n"/>
      <c r="BG76" s="246" t="n"/>
      <c r="BH76" s="246" t="n"/>
      <c r="BI76" s="246" t="n"/>
      <c r="BJ76" s="246" t="n"/>
      <c r="BK76" s="246" t="n"/>
      <c r="BL76" s="246" t="n"/>
      <c r="BM76" s="246" t="n"/>
      <c r="BN76" s="246" t="n"/>
      <c r="BO76" s="246" t="n"/>
      <c r="BP76" s="246" t="n"/>
      <c r="BQ76" s="246" t="n"/>
      <c r="BR76" s="246" t="n"/>
      <c r="BS76" s="246" t="n"/>
      <c r="BT76" s="246" t="n"/>
      <c r="BU76" s="246" t="n"/>
      <c r="BV76" s="246" t="n"/>
      <c r="BW76" s="246" t="n"/>
      <c r="BX76" s="246" t="n"/>
      <c r="BY76" s="246" t="n"/>
      <c r="BZ76" s="246" t="n"/>
      <c r="CA76" s="246" t="n"/>
    </row>
    <row r="77" ht="12" customHeight="1" s="227">
      <c r="A77" s="244" t="n"/>
      <c r="B77" s="244" t="n"/>
      <c r="C77" s="244" t="n"/>
      <c r="G77" s="222" t="n"/>
      <c r="H77" s="4">
        <f>i_Setup!U103</f>
        <v/>
      </c>
      <c r="I77" s="27">
        <f>i_Setup!$M$16</f>
        <v/>
      </c>
      <c r="M77" s="245">
        <f>SUMIF($T$4:$CA$4,M$4,$T77:$CA77)</f>
        <v/>
      </c>
      <c r="N77" s="245">
        <f>SUMIF($T$4:$CA$4,N$4,$T77:$CA77)</f>
        <v/>
      </c>
      <c r="O77" s="245">
        <f>SUMIF($T$4:$CA$4,O$4,$T77:$CA77)</f>
        <v/>
      </c>
      <c r="P77" s="245">
        <f>SUMIF($T$4:$CA$4,P$4,$T77:$CA77)</f>
        <v/>
      </c>
      <c r="Q77" s="245">
        <f>SUMIF($T$4:$CA$4,Q$4,$T77:$CA77)</f>
        <v/>
      </c>
      <c r="T77" s="246" t="n"/>
      <c r="U77" s="246" t="n"/>
      <c r="V77" s="246" t="n"/>
      <c r="W77" s="246" t="n"/>
      <c r="X77" s="246" t="n"/>
      <c r="Y77" s="246" t="n"/>
      <c r="Z77" s="246" t="n"/>
      <c r="AA77" s="246" t="n"/>
      <c r="AB77" s="246" t="n"/>
      <c r="AC77" s="246" t="n"/>
      <c r="AD77" s="246" t="n"/>
      <c r="AE77" s="246" t="n"/>
      <c r="AF77" s="246" t="n"/>
      <c r="AG77" s="246" t="n"/>
      <c r="AH77" s="246" t="n"/>
      <c r="AI77" s="246" t="n"/>
      <c r="AJ77" s="246" t="n"/>
      <c r="AK77" s="246" t="n"/>
      <c r="AL77" s="246" t="n"/>
      <c r="AM77" s="246" t="n"/>
      <c r="AN77" s="246" t="n"/>
      <c r="AO77" s="246" t="n"/>
      <c r="AP77" s="246" t="n"/>
      <c r="AQ77" s="246" t="n"/>
      <c r="AR77" s="246" t="n"/>
      <c r="AS77" s="246" t="n"/>
      <c r="AT77" s="246" t="n"/>
      <c r="AU77" s="246" t="n"/>
      <c r="AV77" s="246" t="n"/>
      <c r="AW77" s="246" t="n"/>
      <c r="AX77" s="246" t="n"/>
      <c r="AY77" s="246" t="n"/>
      <c r="AZ77" s="246" t="n"/>
      <c r="BA77" s="246" t="n"/>
      <c r="BB77" s="246" t="n"/>
      <c r="BC77" s="246" t="n"/>
      <c r="BD77" s="246" t="n"/>
      <c r="BE77" s="246" t="n"/>
      <c r="BF77" s="246" t="n"/>
      <c r="BG77" s="246" t="n"/>
      <c r="BH77" s="246" t="n"/>
      <c r="BI77" s="246" t="n"/>
      <c r="BJ77" s="246" t="n"/>
      <c r="BK77" s="246" t="n"/>
      <c r="BL77" s="246" t="n"/>
      <c r="BM77" s="246" t="n"/>
      <c r="BN77" s="246" t="n"/>
      <c r="BO77" s="246" t="n"/>
      <c r="BP77" s="246" t="n"/>
      <c r="BQ77" s="246" t="n"/>
      <c r="BR77" s="246" t="n"/>
      <c r="BS77" s="246" t="n"/>
      <c r="BT77" s="246" t="n"/>
      <c r="BU77" s="246" t="n"/>
      <c r="BV77" s="246" t="n"/>
      <c r="BW77" s="246" t="n"/>
      <c r="BX77" s="246" t="n"/>
      <c r="BY77" s="246" t="n"/>
      <c r="BZ77" s="246" t="n"/>
      <c r="CA77" s="246" t="n"/>
    </row>
    <row r="78" ht="12" customHeight="1" s="227">
      <c r="A78" s="244" t="n"/>
      <c r="B78" s="244" t="n"/>
      <c r="C78" s="244" t="n"/>
      <c r="G78" s="222" t="n"/>
      <c r="H78" s="4">
        <f>i_Setup!U104</f>
        <v/>
      </c>
      <c r="I78" s="27">
        <f>i_Setup!$M$16</f>
        <v/>
      </c>
      <c r="M78" s="245">
        <f>SUMIF($T$4:$CA$4,M$4,$T78:$CA78)</f>
        <v/>
      </c>
      <c r="N78" s="245">
        <f>SUMIF($T$4:$CA$4,N$4,$T78:$CA78)</f>
        <v/>
      </c>
      <c r="O78" s="245">
        <f>SUMIF($T$4:$CA$4,O$4,$T78:$CA78)</f>
        <v/>
      </c>
      <c r="P78" s="245">
        <f>SUMIF($T$4:$CA$4,P$4,$T78:$CA78)</f>
        <v/>
      </c>
      <c r="Q78" s="245">
        <f>SUMIF($T$4:$CA$4,Q$4,$T78:$CA78)</f>
        <v/>
      </c>
      <c r="T78" s="246" t="n"/>
      <c r="U78" s="246" t="n"/>
      <c r="V78" s="246" t="n"/>
      <c r="W78" s="246" t="n"/>
      <c r="X78" s="246" t="n"/>
      <c r="Y78" s="246" t="n"/>
      <c r="Z78" s="246" t="n"/>
      <c r="AA78" s="246" t="n"/>
      <c r="AB78" s="246" t="n"/>
      <c r="AC78" s="246" t="n"/>
      <c r="AD78" s="246" t="n"/>
      <c r="AE78" s="246" t="n"/>
      <c r="AF78" s="246" t="n"/>
      <c r="AG78" s="246" t="n"/>
      <c r="AH78" s="246" t="n"/>
      <c r="AI78" s="246" t="n"/>
      <c r="AJ78" s="246" t="n"/>
      <c r="AK78" s="246" t="n"/>
      <c r="AL78" s="246" t="n"/>
      <c r="AM78" s="246" t="n"/>
      <c r="AN78" s="246" t="n"/>
      <c r="AO78" s="246" t="n"/>
      <c r="AP78" s="246" t="n"/>
      <c r="AQ78" s="246" t="n"/>
      <c r="AR78" s="246" t="n"/>
      <c r="AS78" s="246" t="n"/>
      <c r="AT78" s="246" t="n"/>
      <c r="AU78" s="246" t="n"/>
      <c r="AV78" s="246" t="n"/>
      <c r="AW78" s="246" t="n"/>
      <c r="AX78" s="246" t="n"/>
      <c r="AY78" s="246" t="n"/>
      <c r="AZ78" s="246" t="n"/>
      <c r="BA78" s="246" t="n"/>
      <c r="BB78" s="246" t="n"/>
      <c r="BC78" s="246" t="n"/>
      <c r="BD78" s="246" t="n"/>
      <c r="BE78" s="246" t="n"/>
      <c r="BF78" s="246" t="n"/>
      <c r="BG78" s="246" t="n"/>
      <c r="BH78" s="246" t="n"/>
      <c r="BI78" s="246" t="n"/>
      <c r="BJ78" s="246" t="n"/>
      <c r="BK78" s="246" t="n"/>
      <c r="BL78" s="246" t="n"/>
      <c r="BM78" s="246" t="n"/>
      <c r="BN78" s="246" t="n"/>
      <c r="BO78" s="246" t="n"/>
      <c r="BP78" s="246" t="n"/>
      <c r="BQ78" s="246" t="n"/>
      <c r="BR78" s="246" t="n"/>
      <c r="BS78" s="246" t="n"/>
      <c r="BT78" s="246" t="n"/>
      <c r="BU78" s="246" t="n"/>
      <c r="BV78" s="246" t="n"/>
      <c r="BW78" s="246" t="n"/>
      <c r="BX78" s="246" t="n"/>
      <c r="BY78" s="246" t="n"/>
      <c r="BZ78" s="246" t="n"/>
      <c r="CA78" s="246" t="n"/>
    </row>
    <row r="79" ht="12" customHeight="1" s="227">
      <c r="A79" s="244" t="n"/>
      <c r="B79" s="244" t="n"/>
      <c r="C79" s="244" t="n"/>
      <c r="G79" s="222" t="n"/>
      <c r="H79" s="4">
        <f>i_Setup!U105</f>
        <v/>
      </c>
      <c r="I79" s="27">
        <f>i_Setup!$M$16</f>
        <v/>
      </c>
      <c r="M79" s="245">
        <f>SUMIF($T$4:$CA$4,M$4,$T79:$CA79)</f>
        <v/>
      </c>
      <c r="N79" s="245">
        <f>SUMIF($T$4:$CA$4,N$4,$T79:$CA79)</f>
        <v/>
      </c>
      <c r="O79" s="245">
        <f>SUMIF($T$4:$CA$4,O$4,$T79:$CA79)</f>
        <v/>
      </c>
      <c r="P79" s="245">
        <f>SUMIF($T$4:$CA$4,P$4,$T79:$CA79)</f>
        <v/>
      </c>
      <c r="Q79" s="245">
        <f>SUMIF($T$4:$CA$4,Q$4,$T79:$CA79)</f>
        <v/>
      </c>
      <c r="T79" s="246" t="n"/>
      <c r="U79" s="246" t="n"/>
      <c r="V79" s="246" t="n"/>
      <c r="W79" s="246" t="n"/>
      <c r="X79" s="246" t="n"/>
      <c r="Y79" s="246" t="n"/>
      <c r="Z79" s="246" t="n"/>
      <c r="AA79" s="246" t="n"/>
      <c r="AB79" s="246" t="n"/>
      <c r="AC79" s="246" t="n"/>
      <c r="AD79" s="246" t="n"/>
      <c r="AE79" s="246" t="n"/>
      <c r="AF79" s="246" t="n"/>
      <c r="AG79" s="246" t="n"/>
      <c r="AH79" s="246" t="n"/>
      <c r="AI79" s="246" t="n"/>
      <c r="AJ79" s="246" t="n"/>
      <c r="AK79" s="246" t="n"/>
      <c r="AL79" s="246" t="n"/>
      <c r="AM79" s="246" t="n"/>
      <c r="AN79" s="246" t="n"/>
      <c r="AO79" s="246" t="n"/>
      <c r="AP79" s="246" t="n"/>
      <c r="AQ79" s="246" t="n"/>
      <c r="AR79" s="246" t="n"/>
      <c r="AS79" s="246" t="n"/>
      <c r="AT79" s="246" t="n"/>
      <c r="AU79" s="246" t="n"/>
      <c r="AV79" s="246" t="n"/>
      <c r="AW79" s="246" t="n"/>
      <c r="AX79" s="246" t="n"/>
      <c r="AY79" s="246" t="n"/>
      <c r="AZ79" s="246" t="n"/>
      <c r="BA79" s="246" t="n"/>
      <c r="BB79" s="246" t="n"/>
      <c r="BC79" s="246" t="n"/>
      <c r="BD79" s="246" t="n"/>
      <c r="BE79" s="246" t="n"/>
      <c r="BF79" s="246" t="n"/>
      <c r="BG79" s="246" t="n"/>
      <c r="BH79" s="246" t="n"/>
      <c r="BI79" s="246" t="n"/>
      <c r="BJ79" s="246" t="n"/>
      <c r="BK79" s="246" t="n"/>
      <c r="BL79" s="246" t="n"/>
      <c r="BM79" s="246" t="n"/>
      <c r="BN79" s="246" t="n"/>
      <c r="BO79" s="246" t="n"/>
      <c r="BP79" s="246" t="n"/>
      <c r="BQ79" s="246" t="n"/>
      <c r="BR79" s="246" t="n"/>
      <c r="BS79" s="246" t="n"/>
      <c r="BT79" s="246" t="n"/>
      <c r="BU79" s="246" t="n"/>
      <c r="BV79" s="246" t="n"/>
      <c r="BW79" s="246" t="n"/>
      <c r="BX79" s="246" t="n"/>
      <c r="BY79" s="246" t="n"/>
      <c r="BZ79" s="246" t="n"/>
      <c r="CA79" s="246" t="n"/>
    </row>
    <row r="80" ht="12" customHeight="1" s="227">
      <c r="A80" s="244" t="n"/>
      <c r="B80" s="244" t="n"/>
      <c r="C80" s="244" t="n"/>
      <c r="G80" s="222" t="n"/>
      <c r="H80" s="4">
        <f>i_Setup!U106</f>
        <v/>
      </c>
      <c r="I80" s="27">
        <f>i_Setup!$M$16</f>
        <v/>
      </c>
      <c r="M80" s="245">
        <f>SUMIF($T$4:$CA$4,M$4,$T80:$CA80)</f>
        <v/>
      </c>
      <c r="N80" s="245">
        <f>SUMIF($T$4:$CA$4,N$4,$T80:$CA80)</f>
        <v/>
      </c>
      <c r="O80" s="245">
        <f>SUMIF($T$4:$CA$4,O$4,$T80:$CA80)</f>
        <v/>
      </c>
      <c r="P80" s="245">
        <f>SUMIF($T$4:$CA$4,P$4,$T80:$CA80)</f>
        <v/>
      </c>
      <c r="Q80" s="245">
        <f>SUMIF($T$4:$CA$4,Q$4,$T80:$CA80)</f>
        <v/>
      </c>
      <c r="T80" s="246" t="n"/>
      <c r="U80" s="246" t="n"/>
      <c r="V80" s="246" t="n"/>
      <c r="W80" s="246" t="n"/>
      <c r="X80" s="246" t="n"/>
      <c r="Y80" s="246" t="n"/>
      <c r="Z80" s="246" t="n"/>
      <c r="AA80" s="246" t="n"/>
      <c r="AB80" s="246" t="n"/>
      <c r="AC80" s="246" t="n"/>
      <c r="AD80" s="246" t="n"/>
      <c r="AE80" s="246" t="n"/>
      <c r="AF80" s="246" t="n"/>
      <c r="AG80" s="246" t="n"/>
      <c r="AH80" s="246" t="n"/>
      <c r="AI80" s="246" t="n"/>
      <c r="AJ80" s="246" t="n"/>
      <c r="AK80" s="246" t="n"/>
      <c r="AL80" s="246" t="n"/>
      <c r="AM80" s="246" t="n"/>
      <c r="AN80" s="246" t="n"/>
      <c r="AO80" s="246" t="n"/>
      <c r="AP80" s="246" t="n"/>
      <c r="AQ80" s="246" t="n"/>
      <c r="AR80" s="246" t="n"/>
      <c r="AS80" s="246" t="n"/>
      <c r="AT80" s="246" t="n"/>
      <c r="AU80" s="246" t="n"/>
      <c r="AV80" s="246" t="n"/>
      <c r="AW80" s="246" t="n"/>
      <c r="AX80" s="246" t="n"/>
      <c r="AY80" s="246" t="n"/>
      <c r="AZ80" s="246" t="n"/>
      <c r="BA80" s="246" t="n"/>
      <c r="BB80" s="246" t="n"/>
      <c r="BC80" s="246" t="n"/>
      <c r="BD80" s="246" t="n"/>
      <c r="BE80" s="246" t="n"/>
      <c r="BF80" s="246" t="n"/>
      <c r="BG80" s="246" t="n"/>
      <c r="BH80" s="246" t="n"/>
      <c r="BI80" s="246" t="n"/>
      <c r="BJ80" s="246" t="n"/>
      <c r="BK80" s="246" t="n"/>
      <c r="BL80" s="246" t="n"/>
      <c r="BM80" s="246" t="n"/>
      <c r="BN80" s="246" t="n"/>
      <c r="BO80" s="246" t="n"/>
      <c r="BP80" s="246" t="n"/>
      <c r="BQ80" s="246" t="n"/>
      <c r="BR80" s="246" t="n"/>
      <c r="BS80" s="246" t="n"/>
      <c r="BT80" s="246" t="n"/>
      <c r="BU80" s="246" t="n"/>
      <c r="BV80" s="246" t="n"/>
      <c r="BW80" s="246" t="n"/>
      <c r="BX80" s="246" t="n"/>
      <c r="BY80" s="246" t="n"/>
      <c r="BZ80" s="246" t="n"/>
      <c r="CA80" s="246" t="n"/>
    </row>
    <row r="81" ht="12" customHeight="1" s="227">
      <c r="A81" s="244" t="n"/>
      <c r="B81" s="244" t="n"/>
      <c r="C81" s="244" t="n"/>
      <c r="G81" s="222" t="n"/>
      <c r="H81" s="4">
        <f>i_Setup!U107</f>
        <v/>
      </c>
      <c r="I81" s="27">
        <f>i_Setup!$M$16</f>
        <v/>
      </c>
      <c r="M81" s="245">
        <f>SUMIF($T$4:$CA$4,M$4,$T81:$CA81)</f>
        <v/>
      </c>
      <c r="N81" s="245">
        <f>SUMIF($T$4:$CA$4,N$4,$T81:$CA81)</f>
        <v/>
      </c>
      <c r="O81" s="245">
        <f>SUMIF($T$4:$CA$4,O$4,$T81:$CA81)</f>
        <v/>
      </c>
      <c r="P81" s="245">
        <f>SUMIF($T$4:$CA$4,P$4,$T81:$CA81)</f>
        <v/>
      </c>
      <c r="Q81" s="245">
        <f>SUMIF($T$4:$CA$4,Q$4,$T81:$CA81)</f>
        <v/>
      </c>
      <c r="T81" s="246" t="n"/>
      <c r="U81" s="246" t="n"/>
      <c r="V81" s="246" t="n"/>
      <c r="W81" s="246" t="n"/>
      <c r="X81" s="246" t="n"/>
      <c r="Y81" s="246" t="n"/>
      <c r="Z81" s="246" t="n"/>
      <c r="AA81" s="246" t="n"/>
      <c r="AB81" s="246" t="n"/>
      <c r="AC81" s="246" t="n"/>
      <c r="AD81" s="246" t="n"/>
      <c r="AE81" s="246" t="n"/>
      <c r="AF81" s="246" t="n"/>
      <c r="AG81" s="246" t="n"/>
      <c r="AH81" s="246" t="n"/>
      <c r="AI81" s="246" t="n"/>
      <c r="AJ81" s="246" t="n"/>
      <c r="AK81" s="246" t="n"/>
      <c r="AL81" s="246" t="n"/>
      <c r="AM81" s="246" t="n"/>
      <c r="AN81" s="246" t="n"/>
      <c r="AO81" s="246" t="n"/>
      <c r="AP81" s="246" t="n"/>
      <c r="AQ81" s="246" t="n"/>
      <c r="AR81" s="246" t="n"/>
      <c r="AS81" s="246" t="n"/>
      <c r="AT81" s="246" t="n"/>
      <c r="AU81" s="246" t="n"/>
      <c r="AV81" s="246" t="n"/>
      <c r="AW81" s="246" t="n"/>
      <c r="AX81" s="246" t="n"/>
      <c r="AY81" s="246" t="n"/>
      <c r="AZ81" s="246" t="n"/>
      <c r="BA81" s="246" t="n"/>
      <c r="BB81" s="246" t="n"/>
      <c r="BC81" s="246" t="n"/>
      <c r="BD81" s="246" t="n"/>
      <c r="BE81" s="246" t="n"/>
      <c r="BF81" s="246" t="n"/>
      <c r="BG81" s="246" t="n"/>
      <c r="BH81" s="246" t="n"/>
      <c r="BI81" s="246" t="n"/>
      <c r="BJ81" s="246" t="n"/>
      <c r="BK81" s="246" t="n"/>
      <c r="BL81" s="246" t="n"/>
      <c r="BM81" s="246" t="n"/>
      <c r="BN81" s="246" t="n"/>
      <c r="BO81" s="246" t="n"/>
      <c r="BP81" s="246" t="n"/>
      <c r="BQ81" s="246" t="n"/>
      <c r="BR81" s="246" t="n"/>
      <c r="BS81" s="246" t="n"/>
      <c r="BT81" s="246" t="n"/>
      <c r="BU81" s="246" t="n"/>
      <c r="BV81" s="246" t="n"/>
      <c r="BW81" s="246" t="n"/>
      <c r="BX81" s="246" t="n"/>
      <c r="BY81" s="246" t="n"/>
      <c r="BZ81" s="246" t="n"/>
      <c r="CA81" s="246" t="n"/>
    </row>
    <row r="82" ht="12" customHeight="1" s="227">
      <c r="A82" s="244" t="n"/>
      <c r="B82" s="244" t="n"/>
      <c r="C82" s="244" t="n"/>
      <c r="G82" s="222" t="n"/>
      <c r="H82" s="4">
        <f>i_Setup!U108</f>
        <v/>
      </c>
      <c r="I82" s="27">
        <f>i_Setup!$M$16</f>
        <v/>
      </c>
      <c r="M82" s="245">
        <f>SUMIF($T$4:$CA$4,M$4,$T82:$CA82)</f>
        <v/>
      </c>
      <c r="N82" s="245">
        <f>SUMIF($T$4:$CA$4,N$4,$T82:$CA82)</f>
        <v/>
      </c>
      <c r="O82" s="245">
        <f>SUMIF($T$4:$CA$4,O$4,$T82:$CA82)</f>
        <v/>
      </c>
      <c r="P82" s="245">
        <f>SUMIF($T$4:$CA$4,P$4,$T82:$CA82)</f>
        <v/>
      </c>
      <c r="Q82" s="245">
        <f>SUMIF($T$4:$CA$4,Q$4,$T82:$CA82)</f>
        <v/>
      </c>
      <c r="T82" s="246" t="n"/>
      <c r="U82" s="246" t="n"/>
      <c r="V82" s="246" t="n"/>
      <c r="W82" s="246" t="n"/>
      <c r="X82" s="246" t="n"/>
      <c r="Y82" s="246" t="n"/>
      <c r="Z82" s="246" t="n"/>
      <c r="AA82" s="246" t="n"/>
      <c r="AB82" s="246" t="n"/>
      <c r="AC82" s="246" t="n"/>
      <c r="AD82" s="246" t="n"/>
      <c r="AE82" s="246" t="n"/>
      <c r="AF82" s="246" t="n"/>
      <c r="AG82" s="246" t="n"/>
      <c r="AH82" s="246" t="n"/>
      <c r="AI82" s="246" t="n"/>
      <c r="AJ82" s="246" t="n"/>
      <c r="AK82" s="246" t="n"/>
      <c r="AL82" s="246" t="n"/>
      <c r="AM82" s="246" t="n"/>
      <c r="AN82" s="246" t="n"/>
      <c r="AO82" s="246" t="n"/>
      <c r="AP82" s="246" t="n"/>
      <c r="AQ82" s="246" t="n"/>
      <c r="AR82" s="246" t="n"/>
      <c r="AS82" s="246" t="n"/>
      <c r="AT82" s="246" t="n"/>
      <c r="AU82" s="246" t="n"/>
      <c r="AV82" s="246" t="n"/>
      <c r="AW82" s="246" t="n"/>
      <c r="AX82" s="246" t="n"/>
      <c r="AY82" s="246" t="n"/>
      <c r="AZ82" s="246" t="n"/>
      <c r="BA82" s="246" t="n"/>
      <c r="BB82" s="246" t="n"/>
      <c r="BC82" s="246" t="n"/>
      <c r="BD82" s="246" t="n"/>
      <c r="BE82" s="246" t="n"/>
      <c r="BF82" s="246" t="n"/>
      <c r="BG82" s="246" t="n"/>
      <c r="BH82" s="246" t="n"/>
      <c r="BI82" s="246" t="n"/>
      <c r="BJ82" s="246" t="n"/>
      <c r="BK82" s="246" t="n"/>
      <c r="BL82" s="246" t="n"/>
      <c r="BM82" s="246" t="n"/>
      <c r="BN82" s="246" t="n"/>
      <c r="BO82" s="246" t="n"/>
      <c r="BP82" s="246" t="n"/>
      <c r="BQ82" s="246" t="n"/>
      <c r="BR82" s="246" t="n"/>
      <c r="BS82" s="246" t="n"/>
      <c r="BT82" s="246" t="n"/>
      <c r="BU82" s="246" t="n"/>
      <c r="BV82" s="246" t="n"/>
      <c r="BW82" s="246" t="n"/>
      <c r="BX82" s="246" t="n"/>
      <c r="BY82" s="246" t="n"/>
      <c r="BZ82" s="246" t="n"/>
      <c r="CA82" s="246" t="n"/>
    </row>
    <row r="83" ht="12" customHeight="1" s="227">
      <c r="A83" s="244" t="n"/>
      <c r="B83" s="244" t="n"/>
      <c r="C83" s="244" t="n"/>
      <c r="G83" s="222" t="n"/>
      <c r="H83" s="4">
        <f>i_Setup!U109</f>
        <v/>
      </c>
      <c r="I83" s="27">
        <f>i_Setup!$M$16</f>
        <v/>
      </c>
      <c r="M83" s="245">
        <f>SUMIF($T$4:$CA$4,M$4,$T83:$CA83)</f>
        <v/>
      </c>
      <c r="N83" s="245">
        <f>SUMIF($T$4:$CA$4,N$4,$T83:$CA83)</f>
        <v/>
      </c>
      <c r="O83" s="245">
        <f>SUMIF($T$4:$CA$4,O$4,$T83:$CA83)</f>
        <v/>
      </c>
      <c r="P83" s="245">
        <f>SUMIF($T$4:$CA$4,P$4,$T83:$CA83)</f>
        <v/>
      </c>
      <c r="Q83" s="245">
        <f>SUMIF($T$4:$CA$4,Q$4,$T83:$CA83)</f>
        <v/>
      </c>
      <c r="T83" s="246" t="n"/>
      <c r="U83" s="246" t="n"/>
      <c r="V83" s="246" t="n"/>
      <c r="W83" s="246" t="n"/>
      <c r="X83" s="246" t="n"/>
      <c r="Y83" s="246" t="n"/>
      <c r="Z83" s="246" t="n"/>
      <c r="AA83" s="246" t="n"/>
      <c r="AB83" s="246" t="n"/>
      <c r="AC83" s="246" t="n"/>
      <c r="AD83" s="246" t="n"/>
      <c r="AE83" s="246" t="n"/>
      <c r="AF83" s="246" t="n"/>
      <c r="AG83" s="246" t="n"/>
      <c r="AH83" s="246" t="n"/>
      <c r="AI83" s="246" t="n"/>
      <c r="AJ83" s="246" t="n"/>
      <c r="AK83" s="246" t="n"/>
      <c r="AL83" s="246" t="n"/>
      <c r="AM83" s="246" t="n"/>
      <c r="AN83" s="246" t="n"/>
      <c r="AO83" s="246" t="n"/>
      <c r="AP83" s="246" t="n"/>
      <c r="AQ83" s="246" t="n"/>
      <c r="AR83" s="246" t="n"/>
      <c r="AS83" s="246" t="n"/>
      <c r="AT83" s="246" t="n"/>
      <c r="AU83" s="246" t="n"/>
      <c r="AV83" s="246" t="n"/>
      <c r="AW83" s="246" t="n"/>
      <c r="AX83" s="246" t="n"/>
      <c r="AY83" s="246" t="n"/>
      <c r="AZ83" s="246" t="n"/>
      <c r="BA83" s="246" t="n"/>
      <c r="BB83" s="246" t="n"/>
      <c r="BC83" s="246" t="n"/>
      <c r="BD83" s="246" t="n"/>
      <c r="BE83" s="246" t="n"/>
      <c r="BF83" s="246" t="n"/>
      <c r="BG83" s="246" t="n"/>
      <c r="BH83" s="246" t="n"/>
      <c r="BI83" s="246" t="n"/>
      <c r="BJ83" s="246" t="n"/>
      <c r="BK83" s="246" t="n"/>
      <c r="BL83" s="246" t="n"/>
      <c r="BM83" s="246" t="n"/>
      <c r="BN83" s="246" t="n"/>
      <c r="BO83" s="246" t="n"/>
      <c r="BP83" s="246" t="n"/>
      <c r="BQ83" s="246" t="n"/>
      <c r="BR83" s="246" t="n"/>
      <c r="BS83" s="246" t="n"/>
      <c r="BT83" s="246" t="n"/>
      <c r="BU83" s="246" t="n"/>
      <c r="BV83" s="246" t="n"/>
      <c r="BW83" s="246" t="n"/>
      <c r="BX83" s="246" t="n"/>
      <c r="BY83" s="246" t="n"/>
      <c r="BZ83" s="246" t="n"/>
      <c r="CA83" s="246" t="n"/>
    </row>
    <row r="84" ht="12" customHeight="1" s="227">
      <c r="A84" s="244" t="n"/>
      <c r="B84" s="244" t="n"/>
      <c r="C84" s="244" t="n"/>
      <c r="G84" s="222" t="n"/>
      <c r="H84" s="4">
        <f>i_Setup!U110</f>
        <v/>
      </c>
      <c r="I84" s="27">
        <f>i_Setup!$M$16</f>
        <v/>
      </c>
      <c r="M84" s="245">
        <f>SUMIF($T$4:$CA$4,M$4,$T84:$CA84)</f>
        <v/>
      </c>
      <c r="N84" s="245">
        <f>SUMIF($T$4:$CA$4,N$4,$T84:$CA84)</f>
        <v/>
      </c>
      <c r="O84" s="245">
        <f>SUMIF($T$4:$CA$4,O$4,$T84:$CA84)</f>
        <v/>
      </c>
      <c r="P84" s="245">
        <f>SUMIF($T$4:$CA$4,P$4,$T84:$CA84)</f>
        <v/>
      </c>
      <c r="Q84" s="245">
        <f>SUMIF($T$4:$CA$4,Q$4,$T84:$CA84)</f>
        <v/>
      </c>
      <c r="T84" s="246" t="n"/>
      <c r="U84" s="246" t="n"/>
      <c r="V84" s="246" t="n"/>
      <c r="W84" s="246" t="n"/>
      <c r="X84" s="246" t="n"/>
      <c r="Y84" s="246" t="n"/>
      <c r="Z84" s="246" t="n"/>
      <c r="AA84" s="246" t="n"/>
      <c r="AB84" s="246" t="n"/>
      <c r="AC84" s="246" t="n"/>
      <c r="AD84" s="246" t="n"/>
      <c r="AE84" s="246" t="n"/>
      <c r="AF84" s="246" t="n"/>
      <c r="AG84" s="246" t="n"/>
      <c r="AH84" s="246" t="n"/>
      <c r="AI84" s="246" t="n"/>
      <c r="AJ84" s="246" t="n"/>
      <c r="AK84" s="246" t="n"/>
      <c r="AL84" s="246" t="n"/>
      <c r="AM84" s="246" t="n"/>
      <c r="AN84" s="246" t="n"/>
      <c r="AO84" s="246" t="n"/>
      <c r="AP84" s="246" t="n"/>
      <c r="AQ84" s="246" t="n"/>
      <c r="AR84" s="246" t="n"/>
      <c r="AS84" s="246" t="n"/>
      <c r="AT84" s="246" t="n"/>
      <c r="AU84" s="246" t="n"/>
      <c r="AV84" s="246" t="n"/>
      <c r="AW84" s="246" t="n"/>
      <c r="AX84" s="246" t="n"/>
      <c r="AY84" s="246" t="n"/>
      <c r="AZ84" s="246" t="n"/>
      <c r="BA84" s="246" t="n"/>
      <c r="BB84" s="246" t="n"/>
      <c r="BC84" s="246" t="n"/>
      <c r="BD84" s="246" t="n"/>
      <c r="BE84" s="246" t="n"/>
      <c r="BF84" s="246" t="n"/>
      <c r="BG84" s="246" t="n"/>
      <c r="BH84" s="246" t="n"/>
      <c r="BI84" s="246" t="n"/>
      <c r="BJ84" s="246" t="n"/>
      <c r="BK84" s="246" t="n"/>
      <c r="BL84" s="246" t="n"/>
      <c r="BM84" s="246" t="n"/>
      <c r="BN84" s="246" t="n"/>
      <c r="BO84" s="246" t="n"/>
      <c r="BP84" s="246" t="n"/>
      <c r="BQ84" s="246" t="n"/>
      <c r="BR84" s="246" t="n"/>
      <c r="BS84" s="246" t="n"/>
      <c r="BT84" s="246" t="n"/>
      <c r="BU84" s="246" t="n"/>
      <c r="BV84" s="246" t="n"/>
      <c r="BW84" s="246" t="n"/>
      <c r="BX84" s="246" t="n"/>
      <c r="BY84" s="246" t="n"/>
      <c r="BZ84" s="246" t="n"/>
      <c r="CA84" s="246" t="n"/>
    </row>
    <row r="85" ht="12" customHeight="1" s="227">
      <c r="A85" s="244" t="n"/>
      <c r="B85" s="244" t="n"/>
      <c r="C85" s="244" t="n"/>
      <c r="G85" s="39" t="inlineStr">
        <is>
          <t>Total Other Expenses</t>
        </is>
      </c>
      <c r="H85" s="39" t="n"/>
      <c r="I85" s="41">
        <f>i_Setup!$M$16</f>
        <v/>
      </c>
      <c r="M85" s="249">
        <f>SUM(M70:M84)</f>
        <v/>
      </c>
      <c r="N85" s="249">
        <f>SUM(N70:N84)</f>
        <v/>
      </c>
      <c r="O85" s="249">
        <f>SUM(O70:O84)</f>
        <v/>
      </c>
      <c r="P85" s="249">
        <f>SUM(P70:P84)</f>
        <v/>
      </c>
      <c r="Q85" s="249">
        <f>SUM(Q70:Q84)</f>
        <v/>
      </c>
      <c r="T85" s="249">
        <f>SUM(T70:T84)</f>
        <v/>
      </c>
      <c r="U85" s="249">
        <f>SUM(U70:U84)</f>
        <v/>
      </c>
      <c r="V85" s="249">
        <f>SUM(V70:V84)</f>
        <v/>
      </c>
      <c r="W85" s="249">
        <f>SUM(W70:W84)</f>
        <v/>
      </c>
      <c r="X85" s="249">
        <f>SUM(X70:X84)</f>
        <v/>
      </c>
      <c r="Y85" s="249">
        <f>SUM(Y70:Y84)</f>
        <v/>
      </c>
      <c r="Z85" s="249">
        <f>SUM(Z70:Z84)</f>
        <v/>
      </c>
      <c r="AA85" s="249">
        <f>SUM(AA70:AA84)</f>
        <v/>
      </c>
      <c r="AB85" s="249">
        <f>SUM(AB70:AB84)</f>
        <v/>
      </c>
      <c r="AC85" s="249">
        <f>SUM(AC70:AC84)</f>
        <v/>
      </c>
      <c r="AD85" s="249">
        <f>SUM(AD70:AD84)</f>
        <v/>
      </c>
      <c r="AE85" s="249">
        <f>SUM(AE70:AE84)</f>
        <v/>
      </c>
      <c r="AF85" s="249">
        <f>SUM(AF70:AF84)</f>
        <v/>
      </c>
      <c r="AG85" s="249">
        <f>SUM(AG70:AG84)</f>
        <v/>
      </c>
      <c r="AH85" s="249">
        <f>SUM(AH70:AH84)</f>
        <v/>
      </c>
      <c r="AI85" s="249">
        <f>SUM(AI70:AI84)</f>
        <v/>
      </c>
      <c r="AJ85" s="249">
        <f>SUM(AJ70:AJ84)</f>
        <v/>
      </c>
      <c r="AK85" s="249">
        <f>SUM(AK70:AK84)</f>
        <v/>
      </c>
      <c r="AL85" s="249">
        <f>SUM(AL70:AL84)</f>
        <v/>
      </c>
      <c r="AM85" s="249">
        <f>SUM(AM70:AM84)</f>
        <v/>
      </c>
      <c r="AN85" s="249">
        <f>SUM(AN70:AN84)</f>
        <v/>
      </c>
      <c r="AO85" s="249">
        <f>SUM(AO70:AO84)</f>
        <v/>
      </c>
      <c r="AP85" s="249">
        <f>SUM(AP70:AP84)</f>
        <v/>
      </c>
      <c r="AQ85" s="249">
        <f>SUM(AQ70:AQ84)</f>
        <v/>
      </c>
      <c r="AR85" s="249">
        <f>SUM(AR70:AR84)</f>
        <v/>
      </c>
      <c r="AS85" s="249">
        <f>SUM(AS70:AS84)</f>
        <v/>
      </c>
      <c r="AT85" s="249">
        <f>SUM(AT70:AT84)</f>
        <v/>
      </c>
      <c r="AU85" s="249">
        <f>SUM(AU70:AU84)</f>
        <v/>
      </c>
      <c r="AV85" s="249">
        <f>SUM(AV70:AV84)</f>
        <v/>
      </c>
      <c r="AW85" s="249">
        <f>SUM(AW70:AW84)</f>
        <v/>
      </c>
      <c r="AX85" s="249">
        <f>SUM(AX70:AX84)</f>
        <v/>
      </c>
      <c r="AY85" s="249">
        <f>SUM(AY70:AY84)</f>
        <v/>
      </c>
      <c r="AZ85" s="249">
        <f>SUM(AZ70:AZ84)</f>
        <v/>
      </c>
      <c r="BA85" s="249">
        <f>SUM(BA70:BA84)</f>
        <v/>
      </c>
      <c r="BB85" s="249">
        <f>SUM(BB70:BB84)</f>
        <v/>
      </c>
      <c r="BC85" s="249">
        <f>SUM(BC70:BC84)</f>
        <v/>
      </c>
      <c r="BD85" s="249">
        <f>SUM(BD70:BD84)</f>
        <v/>
      </c>
      <c r="BE85" s="249">
        <f>SUM(BE70:BE84)</f>
        <v/>
      </c>
      <c r="BF85" s="249">
        <f>SUM(BF70:BF84)</f>
        <v/>
      </c>
      <c r="BG85" s="249">
        <f>SUM(BG70:BG84)</f>
        <v/>
      </c>
      <c r="BH85" s="249">
        <f>SUM(BH70:BH84)</f>
        <v/>
      </c>
      <c r="BI85" s="249">
        <f>SUM(BI70:BI84)</f>
        <v/>
      </c>
      <c r="BJ85" s="249">
        <f>SUM(BJ70:BJ84)</f>
        <v/>
      </c>
      <c r="BK85" s="249">
        <f>SUM(BK70:BK84)</f>
        <v/>
      </c>
      <c r="BL85" s="249">
        <f>SUM(BL70:BL84)</f>
        <v/>
      </c>
      <c r="BM85" s="249">
        <f>SUM(BM70:BM84)</f>
        <v/>
      </c>
      <c r="BN85" s="249">
        <f>SUM(BN70:BN84)</f>
        <v/>
      </c>
      <c r="BO85" s="249">
        <f>SUM(BO70:BO84)</f>
        <v/>
      </c>
      <c r="BP85" s="249">
        <f>SUM(BP70:BP84)</f>
        <v/>
      </c>
      <c r="BQ85" s="249">
        <f>SUM(BQ70:BQ84)</f>
        <v/>
      </c>
      <c r="BR85" s="249">
        <f>SUM(BR70:BR84)</f>
        <v/>
      </c>
      <c r="BS85" s="249">
        <f>SUM(BS70:BS84)</f>
        <v/>
      </c>
      <c r="BT85" s="249">
        <f>SUM(BT70:BT84)</f>
        <v/>
      </c>
      <c r="BU85" s="249">
        <f>SUM(BU70:BU84)</f>
        <v/>
      </c>
      <c r="BV85" s="249">
        <f>SUM(BV70:BV84)</f>
        <v/>
      </c>
      <c r="BW85" s="249">
        <f>SUM(BW70:BW84)</f>
        <v/>
      </c>
      <c r="BX85" s="249">
        <f>SUM(BX70:BX84)</f>
        <v/>
      </c>
      <c r="BY85" s="249">
        <f>SUM(BY70:BY84)</f>
        <v/>
      </c>
      <c r="BZ85" s="249">
        <f>SUM(BZ70:BZ84)</f>
        <v/>
      </c>
      <c r="CA85" s="249">
        <f>SUM(CA70:CA84)</f>
        <v/>
      </c>
    </row>
    <row r="86" ht="12" customHeight="1" s="227">
      <c r="A86" s="244" t="n"/>
      <c r="B86" s="244" t="n"/>
      <c r="C86" s="244" t="n"/>
      <c r="G86" s="222" t="n"/>
      <c r="H86" s="8" t="n"/>
      <c r="I86" s="27" t="n"/>
    </row>
    <row r="87" ht="12" customHeight="1" s="227">
      <c r="A87" s="244" t="n"/>
      <c r="B87" s="244" t="n"/>
      <c r="C87" s="244" t="n"/>
      <c r="G87" s="81" t="inlineStr">
        <is>
          <t>EBITDA</t>
        </is>
      </c>
      <c r="H87" s="74" t="n"/>
      <c r="I87" s="75">
        <f>i_Setup!$M$16</f>
        <v/>
      </c>
      <c r="M87" s="247">
        <f>M48+M59+M67+M85</f>
        <v/>
      </c>
      <c r="N87" s="247">
        <f>N48+N59+N67+N85</f>
        <v/>
      </c>
      <c r="O87" s="247">
        <f>O48+O59+O67+O85</f>
        <v/>
      </c>
      <c r="P87" s="247">
        <f>P48+P59+P67+P85</f>
        <v/>
      </c>
      <c r="Q87" s="247">
        <f>Q48+Q59+Q67+Q85</f>
        <v/>
      </c>
      <c r="T87" s="247">
        <f>T48+T59+T67+T85</f>
        <v/>
      </c>
      <c r="U87" s="247">
        <f>U48+U59+U67+U85</f>
        <v/>
      </c>
      <c r="V87" s="247">
        <f>V48+V59+V67+V85</f>
        <v/>
      </c>
      <c r="W87" s="247">
        <f>W48+W59+W67+W85</f>
        <v/>
      </c>
      <c r="X87" s="247">
        <f>X48+X59+X67+X85</f>
        <v/>
      </c>
      <c r="Y87" s="247">
        <f>Y48+Y59+Y67+Y85</f>
        <v/>
      </c>
      <c r="Z87" s="247">
        <f>Z48+Z59+Z67+Z85</f>
        <v/>
      </c>
      <c r="AA87" s="247">
        <f>AA48+AA59+AA67+AA85</f>
        <v/>
      </c>
      <c r="AB87" s="247">
        <f>AB48+AB59+AB67+AB85</f>
        <v/>
      </c>
      <c r="AC87" s="247">
        <f>AC48+AC59+AC67+AC85</f>
        <v/>
      </c>
      <c r="AD87" s="247">
        <f>AD48+AD59+AD67+AD85</f>
        <v/>
      </c>
      <c r="AE87" s="247">
        <f>AE48+AE59+AE67+AE85</f>
        <v/>
      </c>
      <c r="AF87" s="247">
        <f>AF48+AF59+AF67+AF85</f>
        <v/>
      </c>
      <c r="AG87" s="247">
        <f>AG48+AG59+AG67+AG85</f>
        <v/>
      </c>
      <c r="AH87" s="247">
        <f>AH48+AH59+AH67+AH85</f>
        <v/>
      </c>
      <c r="AI87" s="247">
        <f>AI48+AI59+AI67+AI85</f>
        <v/>
      </c>
      <c r="AJ87" s="247">
        <f>AJ48+AJ59+AJ67+AJ85</f>
        <v/>
      </c>
      <c r="AK87" s="247">
        <f>AK48+AK59+AK67+AK85</f>
        <v/>
      </c>
      <c r="AL87" s="247">
        <f>AL48+AL59+AL67+AL85</f>
        <v/>
      </c>
      <c r="AM87" s="247">
        <f>AM48+AM59+AM67+AM85</f>
        <v/>
      </c>
      <c r="AN87" s="247">
        <f>AN48+AN59+AN67+AN85</f>
        <v/>
      </c>
      <c r="AO87" s="247">
        <f>AO48+AO59+AO67+AO85</f>
        <v/>
      </c>
      <c r="AP87" s="247">
        <f>AP48+AP59+AP67+AP85</f>
        <v/>
      </c>
      <c r="AQ87" s="247">
        <f>AQ48+AQ59+AQ67+AQ85</f>
        <v/>
      </c>
      <c r="AR87" s="247">
        <f>AR48+AR59+AR67+AR85</f>
        <v/>
      </c>
      <c r="AS87" s="247">
        <f>AS48+AS59+AS67+AS85</f>
        <v/>
      </c>
      <c r="AT87" s="247">
        <f>AT48+AT59+AT67+AT85</f>
        <v/>
      </c>
      <c r="AU87" s="247">
        <f>AU48+AU59+AU67+AU85</f>
        <v/>
      </c>
      <c r="AV87" s="247">
        <f>AV48+AV59+AV67+AV85</f>
        <v/>
      </c>
      <c r="AW87" s="247">
        <f>AW48+AW59+AW67+AW85</f>
        <v/>
      </c>
      <c r="AX87" s="247">
        <f>AX48+AX59+AX67+AX85</f>
        <v/>
      </c>
      <c r="AY87" s="247">
        <f>AY48+AY59+AY67+AY85</f>
        <v/>
      </c>
      <c r="AZ87" s="247">
        <f>AZ48+AZ59+AZ67+AZ85</f>
        <v/>
      </c>
      <c r="BA87" s="247">
        <f>BA48+BA59+BA67+BA85</f>
        <v/>
      </c>
      <c r="BB87" s="247">
        <f>BB48+BB59+BB67+BB85</f>
        <v/>
      </c>
      <c r="BC87" s="247">
        <f>BC48+BC59+BC67+BC85</f>
        <v/>
      </c>
      <c r="BD87" s="247">
        <f>BD48+BD59+BD67+BD85</f>
        <v/>
      </c>
      <c r="BE87" s="247">
        <f>BE48+BE59+BE67+BE85</f>
        <v/>
      </c>
      <c r="BF87" s="247">
        <f>BF48+BF59+BF67+BF85</f>
        <v/>
      </c>
      <c r="BG87" s="247">
        <f>BG48+BG59+BG67+BG85</f>
        <v/>
      </c>
      <c r="BH87" s="247">
        <f>BH48+BH59+BH67+BH85</f>
        <v/>
      </c>
      <c r="BI87" s="247">
        <f>BI48+BI59+BI67+BI85</f>
        <v/>
      </c>
      <c r="BJ87" s="247">
        <f>BJ48+BJ59+BJ67+BJ85</f>
        <v/>
      </c>
      <c r="BK87" s="247">
        <f>BK48+BK59+BK67+BK85</f>
        <v/>
      </c>
      <c r="BL87" s="247">
        <f>BL48+BL59+BL67+BL85</f>
        <v/>
      </c>
      <c r="BM87" s="247">
        <f>BM48+BM59+BM67+BM85</f>
        <v/>
      </c>
      <c r="BN87" s="247">
        <f>BN48+BN59+BN67+BN85</f>
        <v/>
      </c>
      <c r="BO87" s="247">
        <f>BO48+BO59+BO67+BO85</f>
        <v/>
      </c>
      <c r="BP87" s="247">
        <f>BP48+BP59+BP67+BP85</f>
        <v/>
      </c>
      <c r="BQ87" s="247">
        <f>BQ48+BQ59+BQ67+BQ85</f>
        <v/>
      </c>
      <c r="BR87" s="247">
        <f>BR48+BR59+BR67+BR85</f>
        <v/>
      </c>
      <c r="BS87" s="247">
        <f>BS48+BS59+BS67+BS85</f>
        <v/>
      </c>
      <c r="BT87" s="247">
        <f>BT48+BT59+BT67+BT85</f>
        <v/>
      </c>
      <c r="BU87" s="247">
        <f>BU48+BU59+BU67+BU85</f>
        <v/>
      </c>
      <c r="BV87" s="247">
        <f>BV48+BV59+BV67+BV85</f>
        <v/>
      </c>
      <c r="BW87" s="247">
        <f>BW48+BW59+BW67+BW85</f>
        <v/>
      </c>
      <c r="BX87" s="247">
        <f>BX48+BX59+BX67+BX85</f>
        <v/>
      </c>
      <c r="BY87" s="247">
        <f>BY48+BY59+BY67+BY85</f>
        <v/>
      </c>
      <c r="BZ87" s="247">
        <f>BZ48+BZ59+BZ67+BZ85</f>
        <v/>
      </c>
      <c r="CA87" s="247">
        <f>CA48+CA59+CA67+CA85</f>
        <v/>
      </c>
    </row>
    <row r="88" ht="12" customHeight="1" s="227">
      <c r="A88" s="244" t="n"/>
      <c r="B88" s="244" t="n"/>
      <c r="C88" s="244" t="n"/>
      <c r="G88" s="222" t="n"/>
    </row>
    <row r="89" ht="12" customHeight="1" s="227">
      <c r="A89" s="244" t="n"/>
      <c r="B89" s="244" t="n"/>
      <c r="C89" s="244" t="n"/>
      <c r="G89" s="222" t="inlineStr">
        <is>
          <t>Other Income &amp; Expenses</t>
        </is>
      </c>
    </row>
    <row r="90" ht="12" customHeight="1" s="227">
      <c r="A90" s="244" t="n"/>
      <c r="B90" s="244" t="n"/>
      <c r="C90" s="244" t="n"/>
      <c r="G90" s="222" t="n"/>
      <c r="H90" s="4" t="inlineStr">
        <is>
          <t>Depreciation</t>
        </is>
      </c>
      <c r="I90" s="27">
        <f>i_Setup!$M$16</f>
        <v/>
      </c>
      <c r="M90" s="245">
        <f>SUMIF($T$4:$CA$4,M$4,$T90:$CA90)</f>
        <v/>
      </c>
      <c r="N90" s="245">
        <f>SUMIF($T$4:$CA$4,N$4,$T90:$CA90)</f>
        <v/>
      </c>
      <c r="O90" s="245">
        <f>SUMIF($T$4:$CA$4,O$4,$T90:$CA90)</f>
        <v/>
      </c>
      <c r="P90" s="245">
        <f>SUMIF($T$4:$CA$4,P$4,$T90:$CA90)</f>
        <v/>
      </c>
      <c r="Q90" s="245">
        <f>SUMIF($T$4:$CA$4,Q$4,$T90:$CA90)</f>
        <v/>
      </c>
      <c r="T90" s="246" t="n"/>
      <c r="U90" s="246" t="n"/>
      <c r="V90" s="246" t="n"/>
      <c r="W90" s="246" t="n"/>
      <c r="X90" s="246" t="n"/>
      <c r="Y90" s="246" t="n"/>
      <c r="Z90" s="246" t="n"/>
      <c r="AA90" s="246" t="n"/>
      <c r="AB90" s="246" t="n"/>
      <c r="AC90" s="246" t="n"/>
      <c r="AD90" s="246" t="n"/>
      <c r="AE90" s="246" t="n"/>
      <c r="AF90" s="246" t="n"/>
      <c r="AG90" s="246" t="n"/>
      <c r="AH90" s="246" t="n"/>
      <c r="AI90" s="246" t="n"/>
      <c r="AJ90" s="246" t="n"/>
      <c r="AK90" s="246" t="n"/>
      <c r="AL90" s="246" t="n"/>
      <c r="AM90" s="246" t="n"/>
      <c r="AN90" s="246" t="n"/>
      <c r="AO90" s="246" t="n"/>
      <c r="AP90" s="246" t="n"/>
      <c r="AQ90" s="246" t="n"/>
      <c r="AR90" s="246" t="n"/>
      <c r="AS90" s="246" t="n"/>
      <c r="AT90" s="246" t="n"/>
      <c r="AU90" s="246" t="n"/>
      <c r="AV90" s="246" t="n"/>
      <c r="AW90" s="246" t="n"/>
      <c r="AX90" s="246" t="n"/>
      <c r="AY90" s="246" t="n"/>
      <c r="AZ90" s="246" t="n"/>
      <c r="BA90" s="246" t="n"/>
      <c r="BB90" s="246" t="n"/>
      <c r="BC90" s="246" t="n"/>
      <c r="BD90" s="246" t="n"/>
      <c r="BE90" s="246" t="n"/>
      <c r="BF90" s="246" t="n"/>
      <c r="BG90" s="246" t="n"/>
      <c r="BH90" s="246" t="n"/>
      <c r="BI90" s="246" t="n"/>
      <c r="BJ90" s="246" t="n"/>
      <c r="BK90" s="246" t="n"/>
      <c r="BL90" s="246" t="n"/>
      <c r="BM90" s="246" t="n"/>
      <c r="BN90" s="246" t="n"/>
      <c r="BO90" s="246" t="n"/>
      <c r="BP90" s="246" t="n"/>
      <c r="BQ90" s="246" t="n"/>
      <c r="BR90" s="246" t="n"/>
      <c r="BS90" s="246" t="n"/>
      <c r="BT90" s="246" t="n"/>
      <c r="BU90" s="246" t="n"/>
      <c r="BV90" s="246" t="n"/>
      <c r="BW90" s="246" t="n"/>
      <c r="BX90" s="246" t="n"/>
      <c r="BY90" s="246" t="n"/>
      <c r="BZ90" s="246" t="n"/>
      <c r="CA90" s="246" t="n"/>
    </row>
    <row r="91" ht="12" customHeight="1" s="227">
      <c r="A91" s="244" t="n"/>
      <c r="B91" s="244" t="n"/>
      <c r="C91" s="244" t="n"/>
      <c r="G91" s="222" t="n"/>
      <c r="H91" s="0" t="inlineStr">
        <is>
          <t>Financing Costs</t>
        </is>
      </c>
      <c r="I91" s="27">
        <f>i_Setup!$M$16</f>
        <v/>
      </c>
      <c r="M91" s="245">
        <f>SUMIF($T$4:$CA$4,M$4,$T91:$CA91)</f>
        <v/>
      </c>
      <c r="N91" s="245">
        <f>SUMIF($T$4:$CA$4,N$4,$T91:$CA91)</f>
        <v/>
      </c>
      <c r="O91" s="245">
        <f>SUMIF($T$4:$CA$4,O$4,$T91:$CA91)</f>
        <v/>
      </c>
      <c r="P91" s="245">
        <f>SUMIF($T$4:$CA$4,P$4,$T91:$CA91)</f>
        <v/>
      </c>
      <c r="Q91" s="245">
        <f>SUMIF($T$4:$CA$4,Q$4,$T91:$CA91)</f>
        <v/>
      </c>
      <c r="T91" s="246" t="n"/>
      <c r="U91" s="246" t="n"/>
      <c r="V91" s="246" t="n"/>
      <c r="W91" s="246" t="n"/>
      <c r="X91" s="246" t="n"/>
      <c r="Y91" s="246" t="n"/>
      <c r="Z91" s="246" t="n"/>
      <c r="AA91" s="246" t="n"/>
      <c r="AB91" s="246" t="n"/>
      <c r="AC91" s="246" t="n"/>
      <c r="AD91" s="246" t="n"/>
      <c r="AE91" s="246" t="n"/>
      <c r="AF91" s="246" t="n"/>
      <c r="AG91" s="246" t="n"/>
      <c r="AH91" s="246" t="n"/>
      <c r="AI91" s="246" t="n"/>
      <c r="AJ91" s="246" t="n"/>
      <c r="AK91" s="246" t="n"/>
      <c r="AL91" s="246" t="n"/>
      <c r="AM91" s="246" t="n"/>
      <c r="AN91" s="246" t="n"/>
      <c r="AO91" s="246" t="n"/>
      <c r="AP91" s="246" t="n"/>
      <c r="AQ91" s="246" t="n"/>
      <c r="AR91" s="246" t="n"/>
      <c r="AS91" s="246" t="n"/>
      <c r="AT91" s="246" t="n"/>
      <c r="AU91" s="246" t="n"/>
      <c r="AV91" s="246" t="n"/>
      <c r="AW91" s="246" t="n"/>
      <c r="AX91" s="246" t="n"/>
      <c r="AY91" s="246" t="n"/>
      <c r="AZ91" s="246" t="n"/>
      <c r="BA91" s="246" t="n"/>
      <c r="BB91" s="246" t="n"/>
      <c r="BC91" s="246" t="n"/>
      <c r="BD91" s="246" t="n"/>
      <c r="BE91" s="246" t="n"/>
      <c r="BF91" s="246" t="n"/>
      <c r="BG91" s="246" t="n"/>
      <c r="BH91" s="246" t="n"/>
      <c r="BI91" s="246" t="n"/>
      <c r="BJ91" s="246" t="n"/>
      <c r="BK91" s="246" t="n"/>
      <c r="BL91" s="246" t="n"/>
      <c r="BM91" s="246" t="n"/>
      <c r="BN91" s="246" t="n"/>
      <c r="BO91" s="246" t="n"/>
      <c r="BP91" s="246" t="n"/>
      <c r="BQ91" s="246" t="n"/>
      <c r="BR91" s="246" t="n"/>
      <c r="BS91" s="246" t="n"/>
      <c r="BT91" s="246" t="n"/>
      <c r="BU91" s="246" t="n"/>
      <c r="BV91" s="246" t="n"/>
      <c r="BW91" s="246" t="n"/>
      <c r="BX91" s="246" t="n"/>
      <c r="BY91" s="246" t="n"/>
      <c r="BZ91" s="246" t="n"/>
      <c r="CA91" s="246" t="n"/>
    </row>
    <row r="92" ht="12" customHeight="1" s="227">
      <c r="A92" s="244" t="n"/>
      <c r="B92" s="244" t="n"/>
      <c r="C92" s="244" t="n"/>
      <c r="G92" s="39" t="inlineStr">
        <is>
          <t>Total Other Income &amp; Expenses</t>
        </is>
      </c>
      <c r="H92" s="39" t="n"/>
      <c r="I92" s="41">
        <f>i_Setup!$M$16</f>
        <v/>
      </c>
      <c r="M92" s="249">
        <f>SUM(M90:M91)</f>
        <v/>
      </c>
      <c r="N92" s="249">
        <f>SUM(N90:N91)</f>
        <v/>
      </c>
      <c r="O92" s="249">
        <f>SUM(O90:O91)</f>
        <v/>
      </c>
      <c r="P92" s="249">
        <f>SUM(P90:P91)</f>
        <v/>
      </c>
      <c r="Q92" s="249">
        <f>SUM(Q90:Q91)</f>
        <v/>
      </c>
      <c r="T92" s="249">
        <f>SUM(T90:T91)</f>
        <v/>
      </c>
      <c r="U92" s="249">
        <f>SUM(U90:U91)</f>
        <v/>
      </c>
      <c r="V92" s="249">
        <f>SUM(V90:V91)</f>
        <v/>
      </c>
      <c r="W92" s="249">
        <f>SUM(W90:W91)</f>
        <v/>
      </c>
      <c r="X92" s="249">
        <f>SUM(X90:X91)</f>
        <v/>
      </c>
      <c r="Y92" s="249">
        <f>SUM(Y90:Y91)</f>
        <v/>
      </c>
      <c r="Z92" s="249">
        <f>SUM(Z90:Z91)</f>
        <v/>
      </c>
      <c r="AA92" s="249">
        <f>SUM(AA90:AA91)</f>
        <v/>
      </c>
      <c r="AB92" s="249">
        <f>SUM(AB90:AB91)</f>
        <v/>
      </c>
      <c r="AC92" s="249">
        <f>SUM(AC90:AC91)</f>
        <v/>
      </c>
      <c r="AD92" s="249">
        <f>SUM(AD90:AD91)</f>
        <v/>
      </c>
      <c r="AE92" s="249">
        <f>SUM(AE90:AE91)</f>
        <v/>
      </c>
      <c r="AF92" s="249">
        <f>SUM(AF90:AF91)</f>
        <v/>
      </c>
      <c r="AG92" s="249">
        <f>SUM(AG90:AG91)</f>
        <v/>
      </c>
      <c r="AH92" s="249">
        <f>SUM(AH90:AH91)</f>
        <v/>
      </c>
      <c r="AI92" s="249">
        <f>SUM(AI90:AI91)</f>
        <v/>
      </c>
      <c r="AJ92" s="249">
        <f>SUM(AJ90:AJ91)</f>
        <v/>
      </c>
      <c r="AK92" s="249">
        <f>SUM(AK90:AK91)</f>
        <v/>
      </c>
      <c r="AL92" s="249">
        <f>SUM(AL90:AL91)</f>
        <v/>
      </c>
      <c r="AM92" s="249">
        <f>SUM(AM90:AM91)</f>
        <v/>
      </c>
      <c r="AN92" s="249">
        <f>SUM(AN90:AN91)</f>
        <v/>
      </c>
      <c r="AO92" s="249">
        <f>SUM(AO90:AO91)</f>
        <v/>
      </c>
      <c r="AP92" s="249">
        <f>SUM(AP90:AP91)</f>
        <v/>
      </c>
      <c r="AQ92" s="249">
        <f>SUM(AQ90:AQ91)</f>
        <v/>
      </c>
      <c r="AR92" s="249">
        <f>SUM(AR90:AR91)</f>
        <v/>
      </c>
      <c r="AS92" s="249">
        <f>SUM(AS90:AS91)</f>
        <v/>
      </c>
      <c r="AT92" s="249">
        <f>SUM(AT90:AT91)</f>
        <v/>
      </c>
      <c r="AU92" s="249">
        <f>SUM(AU90:AU91)</f>
        <v/>
      </c>
      <c r="AV92" s="249">
        <f>SUM(AV90:AV91)</f>
        <v/>
      </c>
      <c r="AW92" s="249">
        <f>SUM(AW90:AW91)</f>
        <v/>
      </c>
      <c r="AX92" s="249">
        <f>SUM(AX90:AX91)</f>
        <v/>
      </c>
      <c r="AY92" s="249">
        <f>SUM(AY90:AY91)</f>
        <v/>
      </c>
      <c r="AZ92" s="249">
        <f>SUM(AZ90:AZ91)</f>
        <v/>
      </c>
      <c r="BA92" s="249">
        <f>SUM(BA90:BA91)</f>
        <v/>
      </c>
      <c r="BB92" s="249">
        <f>SUM(BB90:BB91)</f>
        <v/>
      </c>
      <c r="BC92" s="249">
        <f>SUM(BC90:BC91)</f>
        <v/>
      </c>
      <c r="BD92" s="249">
        <f>SUM(BD90:BD91)</f>
        <v/>
      </c>
      <c r="BE92" s="249">
        <f>SUM(BE90:BE91)</f>
        <v/>
      </c>
      <c r="BF92" s="249">
        <f>SUM(BF90:BF91)</f>
        <v/>
      </c>
      <c r="BG92" s="249">
        <f>SUM(BG90:BG91)</f>
        <v/>
      </c>
      <c r="BH92" s="249">
        <f>SUM(BH90:BH91)</f>
        <v/>
      </c>
      <c r="BI92" s="249">
        <f>SUM(BI90:BI91)</f>
        <v/>
      </c>
      <c r="BJ92" s="249">
        <f>SUM(BJ90:BJ91)</f>
        <v/>
      </c>
      <c r="BK92" s="249">
        <f>SUM(BK90:BK91)</f>
        <v/>
      </c>
      <c r="BL92" s="249">
        <f>SUM(BL90:BL91)</f>
        <v/>
      </c>
      <c r="BM92" s="249">
        <f>SUM(BM90:BM91)</f>
        <v/>
      </c>
      <c r="BN92" s="249">
        <f>SUM(BN90:BN91)</f>
        <v/>
      </c>
      <c r="BO92" s="249">
        <f>SUM(BO90:BO91)</f>
        <v/>
      </c>
      <c r="BP92" s="249">
        <f>SUM(BP90:BP91)</f>
        <v/>
      </c>
      <c r="BQ92" s="249">
        <f>SUM(BQ90:BQ91)</f>
        <v/>
      </c>
      <c r="BR92" s="249">
        <f>SUM(BR90:BR91)</f>
        <v/>
      </c>
      <c r="BS92" s="249">
        <f>SUM(BS90:BS91)</f>
        <v/>
      </c>
      <c r="BT92" s="249">
        <f>SUM(BT90:BT91)</f>
        <v/>
      </c>
      <c r="BU92" s="249">
        <f>SUM(BU90:BU91)</f>
        <v/>
      </c>
      <c r="BV92" s="249">
        <f>SUM(BV90:BV91)</f>
        <v/>
      </c>
      <c r="BW92" s="249">
        <f>SUM(BW90:BW91)</f>
        <v/>
      </c>
      <c r="BX92" s="249">
        <f>SUM(BX90:BX91)</f>
        <v/>
      </c>
      <c r="BY92" s="249">
        <f>SUM(BY90:BY91)</f>
        <v/>
      </c>
      <c r="BZ92" s="249">
        <f>SUM(BZ90:BZ91)</f>
        <v/>
      </c>
      <c r="CA92" s="249">
        <f>SUM(CA90:CA91)</f>
        <v/>
      </c>
    </row>
    <row r="93" ht="12" customHeight="1" s="227">
      <c r="A93" s="244" t="n"/>
      <c r="B93" s="244" t="n"/>
      <c r="C93" s="244" t="n"/>
      <c r="G93" s="80" t="n"/>
    </row>
    <row r="94" ht="12" customHeight="1" s="227">
      <c r="A94" s="244" t="n"/>
      <c r="B94" s="244" t="n"/>
      <c r="C94" s="244" t="n"/>
      <c r="G94" s="82" t="inlineStr">
        <is>
          <t>Total Profit Before Tax</t>
        </is>
      </c>
      <c r="H94" s="39" t="n"/>
      <c r="I94" s="41">
        <f>i_Setup!$M$16</f>
        <v/>
      </c>
      <c r="M94" s="249">
        <f>M92+M87</f>
        <v/>
      </c>
      <c r="N94" s="249">
        <f>N92+N87</f>
        <v/>
      </c>
      <c r="O94" s="249">
        <f>O92+O87</f>
        <v/>
      </c>
      <c r="P94" s="249">
        <f>P92+P87</f>
        <v/>
      </c>
      <c r="Q94" s="249">
        <f>Q92+Q87</f>
        <v/>
      </c>
      <c r="T94" s="249">
        <f>T92+T87</f>
        <v/>
      </c>
      <c r="U94" s="249">
        <f>U92+U87</f>
        <v/>
      </c>
      <c r="V94" s="249">
        <f>V92+V87</f>
        <v/>
      </c>
      <c r="W94" s="249">
        <f>W92+W87</f>
        <v/>
      </c>
      <c r="X94" s="249">
        <f>X92+X87</f>
        <v/>
      </c>
      <c r="Y94" s="249">
        <f>Y92+Y87</f>
        <v/>
      </c>
      <c r="Z94" s="249">
        <f>Z92+Z87</f>
        <v/>
      </c>
      <c r="AA94" s="249">
        <f>AA92+AA87</f>
        <v/>
      </c>
      <c r="AB94" s="249">
        <f>AB92+AB87</f>
        <v/>
      </c>
      <c r="AC94" s="249">
        <f>AC92+AC87</f>
        <v/>
      </c>
      <c r="AD94" s="249">
        <f>AD92+AD87</f>
        <v/>
      </c>
      <c r="AE94" s="249">
        <f>AE92+AE87</f>
        <v/>
      </c>
      <c r="AF94" s="249">
        <f>AF92+AF87</f>
        <v/>
      </c>
      <c r="AG94" s="249">
        <f>AG92+AG87</f>
        <v/>
      </c>
      <c r="AH94" s="249">
        <f>AH92+AH87</f>
        <v/>
      </c>
      <c r="AI94" s="249">
        <f>AI92+AI87</f>
        <v/>
      </c>
      <c r="AJ94" s="249">
        <f>AJ92+AJ87</f>
        <v/>
      </c>
      <c r="AK94" s="249">
        <f>AK92+AK87</f>
        <v/>
      </c>
      <c r="AL94" s="249">
        <f>AL92+AL87</f>
        <v/>
      </c>
      <c r="AM94" s="249">
        <f>AM92+AM87</f>
        <v/>
      </c>
      <c r="AN94" s="249">
        <f>AN92+AN87</f>
        <v/>
      </c>
      <c r="AO94" s="249">
        <f>AO92+AO87</f>
        <v/>
      </c>
      <c r="AP94" s="249">
        <f>AP92+AP87</f>
        <v/>
      </c>
      <c r="AQ94" s="249">
        <f>AQ92+AQ87</f>
        <v/>
      </c>
      <c r="AR94" s="249">
        <f>AR92+AR87</f>
        <v/>
      </c>
      <c r="AS94" s="249">
        <f>AS92+AS87</f>
        <v/>
      </c>
      <c r="AT94" s="249">
        <f>AT92+AT87</f>
        <v/>
      </c>
      <c r="AU94" s="249">
        <f>AU92+AU87</f>
        <v/>
      </c>
      <c r="AV94" s="249">
        <f>AV92+AV87</f>
        <v/>
      </c>
      <c r="AW94" s="249">
        <f>AW92+AW87</f>
        <v/>
      </c>
      <c r="AX94" s="249">
        <f>AX92+AX87</f>
        <v/>
      </c>
      <c r="AY94" s="249">
        <f>AY92+AY87</f>
        <v/>
      </c>
      <c r="AZ94" s="249">
        <f>AZ92+AZ87</f>
        <v/>
      </c>
      <c r="BA94" s="249">
        <f>BA92+BA87</f>
        <v/>
      </c>
      <c r="BB94" s="249">
        <f>BB92+BB87</f>
        <v/>
      </c>
      <c r="BC94" s="249">
        <f>BC92+BC87</f>
        <v/>
      </c>
      <c r="BD94" s="249">
        <f>BD92+BD87</f>
        <v/>
      </c>
      <c r="BE94" s="249">
        <f>BE92+BE87</f>
        <v/>
      </c>
      <c r="BF94" s="249">
        <f>BF92+BF87</f>
        <v/>
      </c>
      <c r="BG94" s="249">
        <f>BG92+BG87</f>
        <v/>
      </c>
      <c r="BH94" s="249">
        <f>BH92+BH87</f>
        <v/>
      </c>
      <c r="BI94" s="249">
        <f>BI92+BI87</f>
        <v/>
      </c>
      <c r="BJ94" s="249">
        <f>BJ92+BJ87</f>
        <v/>
      </c>
      <c r="BK94" s="249">
        <f>BK92+BK87</f>
        <v/>
      </c>
      <c r="BL94" s="249">
        <f>BL92+BL87</f>
        <v/>
      </c>
      <c r="BM94" s="249">
        <f>BM92+BM87</f>
        <v/>
      </c>
      <c r="BN94" s="249">
        <f>BN92+BN87</f>
        <v/>
      </c>
      <c r="BO94" s="249">
        <f>BO92+BO87</f>
        <v/>
      </c>
      <c r="BP94" s="249">
        <f>BP92+BP87</f>
        <v/>
      </c>
      <c r="BQ94" s="249">
        <f>BQ92+BQ87</f>
        <v/>
      </c>
      <c r="BR94" s="249">
        <f>BR92+BR87</f>
        <v/>
      </c>
      <c r="BS94" s="249">
        <f>BS92+BS87</f>
        <v/>
      </c>
      <c r="BT94" s="249">
        <f>BT92+BT87</f>
        <v/>
      </c>
      <c r="BU94" s="249">
        <f>BU92+BU87</f>
        <v/>
      </c>
      <c r="BV94" s="249">
        <f>BV92+BV87</f>
        <v/>
      </c>
      <c r="BW94" s="249">
        <f>BW92+BW87</f>
        <v/>
      </c>
      <c r="BX94" s="249">
        <f>BX92+BX87</f>
        <v/>
      </c>
      <c r="BY94" s="249">
        <f>BY92+BY87</f>
        <v/>
      </c>
      <c r="BZ94" s="249">
        <f>BZ92+BZ87</f>
        <v/>
      </c>
      <c r="CA94" s="249">
        <f>CA92+CA87</f>
        <v/>
      </c>
    </row>
    <row r="95" ht="12" customHeight="1" s="227">
      <c r="A95" s="244" t="n"/>
      <c r="B95" s="244" t="n"/>
      <c r="C95" s="244" t="n"/>
      <c r="G95" s="222" t="n"/>
    </row>
    <row r="96" ht="12" customHeight="1" s="227">
      <c r="A96" s="244" t="n"/>
      <c r="B96" s="244" t="n"/>
      <c r="C96" s="244" t="n"/>
      <c r="G96" s="0" t="inlineStr">
        <is>
          <t>Taxes</t>
        </is>
      </c>
      <c r="H96" s="0" t="n"/>
      <c r="I96" s="27">
        <f>i_Setup!$M$16</f>
        <v/>
      </c>
      <c r="M96" s="245">
        <f>SUMIF($T$4:$CA$4,M$4,$T96:$CA96)</f>
        <v/>
      </c>
      <c r="N96" s="245">
        <f>SUMIF($T$4:$CA$4,N$4,$T96:$CA96)</f>
        <v/>
      </c>
      <c r="O96" s="245">
        <f>SUMIF($T$4:$CA$4,O$4,$T96:$CA96)</f>
        <v/>
      </c>
      <c r="P96" s="245">
        <f>SUMIF($T$4:$CA$4,P$4,$T96:$CA96)</f>
        <v/>
      </c>
      <c r="Q96" s="245">
        <f>SUMIF($T$4:$CA$4,Q$4,$T96:$CA96)</f>
        <v/>
      </c>
      <c r="T96" s="246" t="n"/>
      <c r="U96" s="246" t="n"/>
      <c r="V96" s="246" t="n"/>
      <c r="W96" s="246" t="n"/>
      <c r="X96" s="246" t="n"/>
      <c r="Y96" s="246" t="n"/>
      <c r="Z96" s="246" t="n"/>
      <c r="AA96" s="246" t="n"/>
      <c r="AB96" s="246" t="n"/>
      <c r="AC96" s="246" t="n"/>
      <c r="AD96" s="246" t="n"/>
      <c r="AE96" s="246" t="n"/>
      <c r="AF96" s="246" t="n"/>
      <c r="AG96" s="246" t="n"/>
      <c r="AH96" s="246" t="n"/>
      <c r="AI96" s="246" t="n"/>
      <c r="AJ96" s="246" t="n"/>
      <c r="AK96" s="246" t="n"/>
      <c r="AL96" s="246" t="n"/>
      <c r="AM96" s="246" t="n"/>
      <c r="AN96" s="246" t="n"/>
      <c r="AO96" s="246" t="n"/>
      <c r="AP96" s="246" t="n"/>
      <c r="AQ96" s="246" t="n"/>
      <c r="AR96" s="246" t="n"/>
      <c r="AS96" s="246" t="n"/>
      <c r="AT96" s="246" t="n"/>
      <c r="AU96" s="246" t="n"/>
      <c r="AV96" s="246" t="n"/>
      <c r="AW96" s="246" t="n"/>
      <c r="AX96" s="246" t="n"/>
      <c r="AY96" s="246" t="n"/>
      <c r="AZ96" s="246" t="n"/>
      <c r="BA96" s="246" t="n"/>
      <c r="BB96" s="246" t="n"/>
      <c r="BC96" s="246" t="n"/>
      <c r="BD96" s="246" t="n"/>
      <c r="BE96" s="246" t="n"/>
      <c r="BF96" s="246" t="n"/>
      <c r="BG96" s="246" t="n"/>
      <c r="BH96" s="246" t="n"/>
      <c r="BI96" s="246" t="n"/>
      <c r="BJ96" s="246" t="n"/>
      <c r="BK96" s="246" t="n"/>
      <c r="BL96" s="246" t="n"/>
      <c r="BM96" s="246" t="n"/>
      <c r="BN96" s="246" t="n"/>
      <c r="BO96" s="246" t="n"/>
      <c r="BP96" s="246" t="n"/>
      <c r="BQ96" s="246" t="n"/>
      <c r="BR96" s="246" t="n"/>
      <c r="BS96" s="246" t="n"/>
      <c r="BT96" s="246" t="n"/>
      <c r="BU96" s="246" t="n"/>
      <c r="BV96" s="246" t="n"/>
      <c r="BW96" s="246" t="n"/>
      <c r="BX96" s="246" t="n"/>
      <c r="BY96" s="246" t="n"/>
      <c r="BZ96" s="246" t="n"/>
      <c r="CA96" s="246" t="n"/>
    </row>
    <row r="97" ht="12" customHeight="1" s="227">
      <c r="A97" s="244" t="n"/>
      <c r="B97" s="244" t="n"/>
      <c r="C97" s="244" t="n"/>
      <c r="G97" s="222" t="n"/>
    </row>
    <row r="98" ht="12" customHeight="1" s="227">
      <c r="A98" s="244" t="n"/>
      <c r="B98" s="244" t="n"/>
      <c r="C98" s="244" t="n"/>
      <c r="G98" s="81" t="inlineStr">
        <is>
          <t>Total Profit After Tax</t>
        </is>
      </c>
      <c r="H98" s="74" t="n"/>
      <c r="I98" s="75">
        <f>i_Setup!$M$16</f>
        <v/>
      </c>
      <c r="M98" s="247">
        <f>M96+M94</f>
        <v/>
      </c>
      <c r="N98" s="247">
        <f>N96+N94</f>
        <v/>
      </c>
      <c r="O98" s="247">
        <f>O96+O94</f>
        <v/>
      </c>
      <c r="P98" s="247">
        <f>P96+P94</f>
        <v/>
      </c>
      <c r="Q98" s="247">
        <f>Q96+Q94</f>
        <v/>
      </c>
      <c r="T98" s="247">
        <f>T96+T94</f>
        <v/>
      </c>
      <c r="U98" s="247">
        <f>U96+U94</f>
        <v/>
      </c>
      <c r="V98" s="247">
        <f>V96+V94</f>
        <v/>
      </c>
      <c r="W98" s="247">
        <f>W96+W94</f>
        <v/>
      </c>
      <c r="X98" s="247">
        <f>X96+X94</f>
        <v/>
      </c>
      <c r="Y98" s="247">
        <f>Y96+Y94</f>
        <v/>
      </c>
      <c r="Z98" s="247">
        <f>Z96+Z94</f>
        <v/>
      </c>
      <c r="AA98" s="247">
        <f>AA96+AA94</f>
        <v/>
      </c>
      <c r="AB98" s="247">
        <f>AB96+AB94</f>
        <v/>
      </c>
      <c r="AC98" s="247">
        <f>AC96+AC94</f>
        <v/>
      </c>
      <c r="AD98" s="247">
        <f>AD96+AD94</f>
        <v/>
      </c>
      <c r="AE98" s="247">
        <f>AE96+AE94</f>
        <v/>
      </c>
      <c r="AF98" s="247">
        <f>AF96+AF94</f>
        <v/>
      </c>
      <c r="AG98" s="247">
        <f>AG96+AG94</f>
        <v/>
      </c>
      <c r="AH98" s="247">
        <f>AH96+AH94</f>
        <v/>
      </c>
      <c r="AI98" s="247">
        <f>AI96+AI94</f>
        <v/>
      </c>
      <c r="AJ98" s="247">
        <f>AJ96+AJ94</f>
        <v/>
      </c>
      <c r="AK98" s="247">
        <f>AK96+AK94</f>
        <v/>
      </c>
      <c r="AL98" s="247">
        <f>AL96+AL94</f>
        <v/>
      </c>
      <c r="AM98" s="247">
        <f>AM96+AM94</f>
        <v/>
      </c>
      <c r="AN98" s="247">
        <f>AN96+AN94</f>
        <v/>
      </c>
      <c r="AO98" s="247">
        <f>AO96+AO94</f>
        <v/>
      </c>
      <c r="AP98" s="247">
        <f>AP96+AP94</f>
        <v/>
      </c>
      <c r="AQ98" s="247">
        <f>AQ96+AQ94</f>
        <v/>
      </c>
      <c r="AR98" s="247">
        <f>AR96+AR94</f>
        <v/>
      </c>
      <c r="AS98" s="247">
        <f>AS96+AS94</f>
        <v/>
      </c>
      <c r="AT98" s="247">
        <f>AT96+AT94</f>
        <v/>
      </c>
      <c r="AU98" s="247">
        <f>AU96+AU94</f>
        <v/>
      </c>
      <c r="AV98" s="247">
        <f>AV96+AV94</f>
        <v/>
      </c>
      <c r="AW98" s="247">
        <f>AW96+AW94</f>
        <v/>
      </c>
      <c r="AX98" s="247">
        <f>AX96+AX94</f>
        <v/>
      </c>
      <c r="AY98" s="247">
        <f>AY96+AY94</f>
        <v/>
      </c>
      <c r="AZ98" s="247">
        <f>AZ96+AZ94</f>
        <v/>
      </c>
      <c r="BA98" s="247">
        <f>BA96+BA94</f>
        <v/>
      </c>
      <c r="BB98" s="247">
        <f>BB96+BB94</f>
        <v/>
      </c>
      <c r="BC98" s="247">
        <f>BC96+BC94</f>
        <v/>
      </c>
      <c r="BD98" s="247">
        <f>BD96+BD94</f>
        <v/>
      </c>
      <c r="BE98" s="247">
        <f>BE96+BE94</f>
        <v/>
      </c>
      <c r="BF98" s="247">
        <f>BF96+BF94</f>
        <v/>
      </c>
      <c r="BG98" s="247">
        <f>BG96+BG94</f>
        <v/>
      </c>
      <c r="BH98" s="247">
        <f>BH96+BH94</f>
        <v/>
      </c>
      <c r="BI98" s="247">
        <f>BI96+BI94</f>
        <v/>
      </c>
      <c r="BJ98" s="247">
        <f>BJ96+BJ94</f>
        <v/>
      </c>
      <c r="BK98" s="247">
        <f>BK96+BK94</f>
        <v/>
      </c>
      <c r="BL98" s="247">
        <f>BL96+BL94</f>
        <v/>
      </c>
      <c r="BM98" s="247">
        <f>BM96+BM94</f>
        <v/>
      </c>
      <c r="BN98" s="247">
        <f>BN96+BN94</f>
        <v/>
      </c>
      <c r="BO98" s="247">
        <f>BO96+BO94</f>
        <v/>
      </c>
      <c r="BP98" s="247">
        <f>BP96+BP94</f>
        <v/>
      </c>
      <c r="BQ98" s="247">
        <f>BQ96+BQ94</f>
        <v/>
      </c>
      <c r="BR98" s="247">
        <f>BR96+BR94</f>
        <v/>
      </c>
      <c r="BS98" s="247">
        <f>BS96+BS94</f>
        <v/>
      </c>
      <c r="BT98" s="247">
        <f>BT96+BT94</f>
        <v/>
      </c>
      <c r="BU98" s="247">
        <f>BU96+BU94</f>
        <v/>
      </c>
      <c r="BV98" s="247">
        <f>BV96+BV94</f>
        <v/>
      </c>
      <c r="BW98" s="247">
        <f>BW96+BW94</f>
        <v/>
      </c>
      <c r="BX98" s="247">
        <f>BX96+BX94</f>
        <v/>
      </c>
      <c r="BY98" s="247">
        <f>BY96+BY94</f>
        <v/>
      </c>
      <c r="BZ98" s="247">
        <f>BZ96+BZ94</f>
        <v/>
      </c>
      <c r="CA98" s="247">
        <f>CA96+CA94</f>
        <v/>
      </c>
    </row>
    <row r="99" ht="12" customHeight="1" s="227">
      <c r="A99" s="244" t="n"/>
      <c r="B99" s="244" t="n"/>
      <c r="C99" s="244" t="n"/>
      <c r="G99" s="222" t="n"/>
    </row>
    <row r="100" ht="12" customHeight="1" s="227">
      <c r="A100" s="244" t="n"/>
      <c r="B100" s="244" t="n"/>
      <c r="C100" s="244" t="n"/>
      <c r="G100" s="0" t="inlineStr">
        <is>
          <t>Dividends Paid</t>
        </is>
      </c>
      <c r="H100" s="0" t="n"/>
      <c r="I100" s="27">
        <f>i_Setup!$M$16</f>
        <v/>
      </c>
      <c r="M100" s="245">
        <f>SUMIF($T$4:$CA$4,M$4,$T100:$CA100)</f>
        <v/>
      </c>
      <c r="N100" s="245">
        <f>SUMIF($T$4:$CA$4,N$4,$T100:$CA100)</f>
        <v/>
      </c>
      <c r="O100" s="245">
        <f>SUMIF($T$4:$CA$4,O$4,$T100:$CA100)</f>
        <v/>
      </c>
      <c r="P100" s="245">
        <f>SUMIF($T$4:$CA$4,P$4,$T100:$CA100)</f>
        <v/>
      </c>
      <c r="Q100" s="245">
        <f>SUMIF($T$4:$CA$4,Q$4,$T100:$CA100)</f>
        <v/>
      </c>
      <c r="T100" s="246" t="n"/>
      <c r="U100" s="246" t="n"/>
      <c r="V100" s="246" t="n"/>
      <c r="W100" s="246" t="n"/>
      <c r="X100" s="246" t="n"/>
      <c r="Y100" s="246" t="n"/>
      <c r="Z100" s="246" t="n"/>
      <c r="AA100" s="246" t="n"/>
      <c r="AB100" s="246" t="n"/>
      <c r="AC100" s="246" t="n"/>
      <c r="AD100" s="246" t="n"/>
      <c r="AE100" s="246" t="n"/>
      <c r="AF100" s="246" t="n"/>
      <c r="AG100" s="246" t="n"/>
      <c r="AH100" s="246" t="n"/>
      <c r="AI100" s="246" t="n"/>
      <c r="AJ100" s="246" t="n"/>
      <c r="AK100" s="246" t="n"/>
      <c r="AL100" s="246" t="n"/>
      <c r="AM100" s="246" t="n"/>
      <c r="AN100" s="246" t="n"/>
      <c r="AO100" s="246" t="n"/>
      <c r="AP100" s="246" t="n"/>
      <c r="AQ100" s="246" t="n"/>
      <c r="AR100" s="246" t="n"/>
      <c r="AS100" s="246" t="n"/>
      <c r="AT100" s="246" t="n"/>
      <c r="AU100" s="246" t="n"/>
      <c r="AV100" s="246" t="n"/>
      <c r="AW100" s="246" t="n"/>
      <c r="AX100" s="246" t="n"/>
      <c r="AY100" s="246" t="n"/>
      <c r="AZ100" s="246" t="n"/>
      <c r="BA100" s="246" t="n"/>
      <c r="BB100" s="246" t="n"/>
      <c r="BC100" s="246" t="n"/>
      <c r="BD100" s="246" t="n"/>
      <c r="BE100" s="246" t="n"/>
      <c r="BF100" s="246" t="n"/>
      <c r="BG100" s="246" t="n"/>
      <c r="BH100" s="246" t="n"/>
      <c r="BI100" s="246" t="n"/>
      <c r="BJ100" s="246" t="n"/>
      <c r="BK100" s="246" t="n"/>
      <c r="BL100" s="246" t="n"/>
      <c r="BM100" s="246" t="n"/>
      <c r="BN100" s="246" t="n"/>
      <c r="BO100" s="246" t="n"/>
      <c r="BP100" s="246" t="n"/>
      <c r="BQ100" s="246" t="n"/>
      <c r="BR100" s="246" t="n"/>
      <c r="BS100" s="246" t="n"/>
      <c r="BT100" s="246" t="n"/>
      <c r="BU100" s="246" t="n"/>
      <c r="BV100" s="246" t="n"/>
      <c r="BW100" s="246" t="n"/>
      <c r="BX100" s="246" t="n"/>
      <c r="BY100" s="246" t="n"/>
      <c r="BZ100" s="246" t="n"/>
      <c r="CA100" s="246" t="n"/>
    </row>
    <row r="101" ht="12" customHeight="1" s="227">
      <c r="A101" s="244" t="n"/>
      <c r="B101" s="244" t="n"/>
      <c r="C101" s="244" t="n"/>
      <c r="G101" s="222" t="n"/>
    </row>
    <row r="102" ht="12" customHeight="1" s="227" thickBot="1">
      <c r="A102" s="244" t="n"/>
      <c r="B102" s="244" t="n"/>
      <c r="C102" s="244" t="n"/>
      <c r="G102" s="83" t="inlineStr">
        <is>
          <t>Total Retained Earnings</t>
        </is>
      </c>
      <c r="H102" s="77" t="n"/>
      <c r="I102" s="78">
        <f>i_Setup!$M$16</f>
        <v/>
      </c>
      <c r="M102" s="250">
        <f>M100+M98</f>
        <v/>
      </c>
      <c r="N102" s="250">
        <f>N100+N98</f>
        <v/>
      </c>
      <c r="O102" s="250">
        <f>O100+O98</f>
        <v/>
      </c>
      <c r="P102" s="250">
        <f>P100+P98</f>
        <v/>
      </c>
      <c r="Q102" s="250">
        <f>Q100+Q98</f>
        <v/>
      </c>
      <c r="T102" s="250">
        <f>T100+T98</f>
        <v/>
      </c>
      <c r="U102" s="250">
        <f>U100+U98</f>
        <v/>
      </c>
      <c r="V102" s="250">
        <f>V100+V98</f>
        <v/>
      </c>
      <c r="W102" s="250">
        <f>W100+W98</f>
        <v/>
      </c>
      <c r="X102" s="250">
        <f>X100+X98</f>
        <v/>
      </c>
      <c r="Y102" s="250">
        <f>Y100+Y98</f>
        <v/>
      </c>
      <c r="Z102" s="250">
        <f>Z100+Z98</f>
        <v/>
      </c>
      <c r="AA102" s="250">
        <f>AA100+AA98</f>
        <v/>
      </c>
      <c r="AB102" s="250">
        <f>AB100+AB98</f>
        <v/>
      </c>
      <c r="AC102" s="250">
        <f>AC100+AC98</f>
        <v/>
      </c>
      <c r="AD102" s="250">
        <f>AD100+AD98</f>
        <v/>
      </c>
      <c r="AE102" s="250">
        <f>AE100+AE98</f>
        <v/>
      </c>
      <c r="AF102" s="250">
        <f>AF100+AF98</f>
        <v/>
      </c>
      <c r="AG102" s="250">
        <f>AG100+AG98</f>
        <v/>
      </c>
      <c r="AH102" s="250">
        <f>AH100+AH98</f>
        <v/>
      </c>
      <c r="AI102" s="250">
        <f>AI100+AI98</f>
        <v/>
      </c>
      <c r="AJ102" s="250">
        <f>AJ100+AJ98</f>
        <v/>
      </c>
      <c r="AK102" s="250">
        <f>AK100+AK98</f>
        <v/>
      </c>
      <c r="AL102" s="250">
        <f>AL100+AL98</f>
        <v/>
      </c>
      <c r="AM102" s="250">
        <f>AM100+AM98</f>
        <v/>
      </c>
      <c r="AN102" s="250">
        <f>AN100+AN98</f>
        <v/>
      </c>
      <c r="AO102" s="250">
        <f>AO100+AO98</f>
        <v/>
      </c>
      <c r="AP102" s="250">
        <f>AP100+AP98</f>
        <v/>
      </c>
      <c r="AQ102" s="250">
        <f>AQ100+AQ98</f>
        <v/>
      </c>
      <c r="AR102" s="250">
        <f>AR100+AR98</f>
        <v/>
      </c>
      <c r="AS102" s="250">
        <f>AS100+AS98</f>
        <v/>
      </c>
      <c r="AT102" s="250">
        <f>AT100+AT98</f>
        <v/>
      </c>
      <c r="AU102" s="250">
        <f>AU100+AU98</f>
        <v/>
      </c>
      <c r="AV102" s="250">
        <f>AV100+AV98</f>
        <v/>
      </c>
      <c r="AW102" s="250">
        <f>AW100+AW98</f>
        <v/>
      </c>
      <c r="AX102" s="250">
        <f>AX100+AX98</f>
        <v/>
      </c>
      <c r="AY102" s="250">
        <f>AY100+AY98</f>
        <v/>
      </c>
      <c r="AZ102" s="250">
        <f>AZ100+AZ98</f>
        <v/>
      </c>
      <c r="BA102" s="250">
        <f>BA100+BA98</f>
        <v/>
      </c>
      <c r="BB102" s="250">
        <f>BB100+BB98</f>
        <v/>
      </c>
      <c r="BC102" s="250">
        <f>BC100+BC98</f>
        <v/>
      </c>
      <c r="BD102" s="250">
        <f>BD100+BD98</f>
        <v/>
      </c>
      <c r="BE102" s="250">
        <f>BE100+BE98</f>
        <v/>
      </c>
      <c r="BF102" s="250">
        <f>BF100+BF98</f>
        <v/>
      </c>
      <c r="BG102" s="250">
        <f>BG100+BG98</f>
        <v/>
      </c>
      <c r="BH102" s="250">
        <f>BH100+BH98</f>
        <v/>
      </c>
      <c r="BI102" s="250">
        <f>BI100+BI98</f>
        <v/>
      </c>
      <c r="BJ102" s="250">
        <f>BJ100+BJ98</f>
        <v/>
      </c>
      <c r="BK102" s="250">
        <f>BK100+BK98</f>
        <v/>
      </c>
      <c r="BL102" s="250">
        <f>BL100+BL98</f>
        <v/>
      </c>
      <c r="BM102" s="250">
        <f>BM100+BM98</f>
        <v/>
      </c>
      <c r="BN102" s="250">
        <f>BN100+BN98</f>
        <v/>
      </c>
      <c r="BO102" s="250">
        <f>BO100+BO98</f>
        <v/>
      </c>
      <c r="BP102" s="250">
        <f>BP100+BP98</f>
        <v/>
      </c>
      <c r="BQ102" s="250">
        <f>BQ100+BQ98</f>
        <v/>
      </c>
      <c r="BR102" s="250">
        <f>BR100+BR98</f>
        <v/>
      </c>
      <c r="BS102" s="250">
        <f>BS100+BS98</f>
        <v/>
      </c>
      <c r="BT102" s="250">
        <f>BT100+BT98</f>
        <v/>
      </c>
      <c r="BU102" s="250">
        <f>BU100+BU98</f>
        <v/>
      </c>
      <c r="BV102" s="250">
        <f>BV100+BV98</f>
        <v/>
      </c>
      <c r="BW102" s="250">
        <f>BW100+BW98</f>
        <v/>
      </c>
      <c r="BX102" s="250">
        <f>BX100+BX98</f>
        <v/>
      </c>
      <c r="BY102" s="250">
        <f>BY100+BY98</f>
        <v/>
      </c>
      <c r="BZ102" s="250">
        <f>BZ100+BZ98</f>
        <v/>
      </c>
      <c r="CA102" s="250">
        <f>CA100+CA98</f>
        <v/>
      </c>
    </row>
    <row r="103" ht="12" customHeight="1" s="227">
      <c r="A103" s="244" t="n"/>
      <c r="B103" s="244" t="n"/>
      <c r="C103" s="244" t="n"/>
    </row>
    <row r="104" ht="12" customHeight="1" s="227">
      <c r="A104" s="244" t="n"/>
      <c r="B104" s="244" t="n"/>
      <c r="C104" s="244" t="n"/>
    </row>
    <row r="105" ht="12" customHeight="1" s="227">
      <c r="A105" s="244" t="n"/>
      <c r="B105" s="244" t="n"/>
      <c r="C105" s="244" t="n"/>
    </row>
    <row r="106" ht="13.5" customFormat="1" customHeight="1" s="223" thickBot="1">
      <c r="E106" s="223">
        <f>Heading2</f>
        <v/>
      </c>
      <c r="F106" s="223" t="inlineStr">
        <is>
          <t>Balance Sheet</t>
        </is>
      </c>
    </row>
    <row r="107" ht="12" customHeight="1" s="227">
      <c r="A107" s="244" t="n"/>
      <c r="B107" s="244" t="n"/>
      <c r="C107" s="244" t="n"/>
    </row>
    <row r="108" ht="39" customHeight="1" s="227">
      <c r="A108" s="244" t="n"/>
      <c r="B108" s="244" t="n"/>
      <c r="C108" s="244" t="n"/>
      <c r="G108" s="222" t="inlineStr">
        <is>
          <t>Assets</t>
        </is>
      </c>
      <c r="K108" s="161" t="inlineStr">
        <is>
          <t>Remaining Useful Life (Yrs.)</t>
        </is>
      </c>
    </row>
    <row r="109" ht="15" customHeight="1" s="227">
      <c r="A109" s="244" t="n"/>
      <c r="B109" s="244" t="n"/>
      <c r="C109" s="244" t="n"/>
      <c r="G109" s="222" t="n"/>
      <c r="H109" s="8" t="inlineStr">
        <is>
          <t>Fixed Assets</t>
        </is>
      </c>
      <c r="K109" s="161" t="n"/>
    </row>
    <row r="110" ht="12" customHeight="1" s="227">
      <c r="A110" s="244" t="n"/>
      <c r="B110" s="244" t="n"/>
      <c r="C110" s="244" t="n"/>
      <c r="G110" s="222" t="n"/>
      <c r="H110" s="36">
        <f>i_Setup!U68</f>
        <v/>
      </c>
      <c r="I110" s="27">
        <f>i_Setup!$M$16</f>
        <v/>
      </c>
      <c r="K110" s="240" t="n">
        <v>1</v>
      </c>
      <c r="M110" s="245">
        <f>SUMIF($T$2:$CA$2,M$2,$T110:$CA110)</f>
        <v/>
      </c>
      <c r="N110" s="245">
        <f>SUMIF($T$2:$CA$2,N$2,$T110:$CA110)</f>
        <v/>
      </c>
      <c r="O110" s="245">
        <f>SUMIF($T$2:$CA$2,O$2,$T110:$CA110)</f>
        <v/>
      </c>
      <c r="P110" s="245">
        <f>SUMIF($T$2:$CA$2,P$2,$T110:$CA110)</f>
        <v/>
      </c>
      <c r="Q110" s="245">
        <f>SUMIF($T$2:$CA$2,Q$2,$T110:$CA110)</f>
        <v/>
      </c>
      <c r="T110" s="246" t="n"/>
      <c r="U110" s="246" t="n"/>
      <c r="V110" s="246" t="n"/>
      <c r="W110" s="246" t="n"/>
      <c r="X110" s="246" t="n"/>
      <c r="Y110" s="246" t="n"/>
      <c r="Z110" s="246" t="n"/>
      <c r="AA110" s="246" t="n"/>
      <c r="AB110" s="246" t="n"/>
      <c r="AC110" s="246" t="n"/>
      <c r="AD110" s="246" t="n"/>
      <c r="AE110" s="246" t="n"/>
      <c r="AF110" s="246" t="n"/>
      <c r="AG110" s="246" t="n"/>
      <c r="AH110" s="246" t="n"/>
      <c r="AI110" s="246" t="n"/>
      <c r="AJ110" s="246" t="n"/>
      <c r="AK110" s="246" t="n"/>
      <c r="AL110" s="246" t="n"/>
      <c r="AM110" s="246" t="n"/>
      <c r="AN110" s="246" t="n"/>
      <c r="AO110" s="246" t="n"/>
      <c r="AP110" s="246" t="n"/>
      <c r="AQ110" s="246" t="n"/>
      <c r="AR110" s="246" t="n"/>
      <c r="AS110" s="246" t="n"/>
      <c r="AT110" s="246" t="n"/>
      <c r="AU110" s="246" t="n"/>
      <c r="AV110" s="246" t="n"/>
      <c r="AW110" s="246" t="n"/>
      <c r="AX110" s="246" t="n"/>
      <c r="AY110" s="246" t="n"/>
      <c r="AZ110" s="246" t="n"/>
      <c r="BA110" s="246" t="n"/>
      <c r="BB110" s="246" t="n"/>
      <c r="BC110" s="246" t="n"/>
      <c r="BD110" s="246" t="n"/>
      <c r="BE110" s="246" t="n"/>
      <c r="BF110" s="246" t="n"/>
      <c r="BG110" s="246" t="n"/>
      <c r="BH110" s="246" t="n"/>
      <c r="BI110" s="246" t="n"/>
      <c r="BJ110" s="246" t="n"/>
      <c r="BK110" s="246" t="n"/>
      <c r="BL110" s="246" t="n"/>
      <c r="BM110" s="246" t="n"/>
      <c r="BN110" s="246" t="n"/>
      <c r="BO110" s="246" t="n"/>
      <c r="BP110" s="246" t="n"/>
      <c r="BQ110" s="246" t="n"/>
      <c r="BR110" s="246" t="n"/>
      <c r="BS110" s="246" t="n"/>
      <c r="BT110" s="246" t="n"/>
      <c r="BU110" s="246" t="n"/>
      <c r="BV110" s="246" t="n"/>
      <c r="BW110" s="246" t="n"/>
      <c r="BX110" s="246" t="n"/>
      <c r="BY110" s="246" t="n"/>
      <c r="BZ110" s="246" t="n"/>
      <c r="CA110" s="246" t="n"/>
      <c r="CB110" s="251" t="n"/>
    </row>
    <row r="111" ht="12" customHeight="1" s="227">
      <c r="A111" s="244" t="n"/>
      <c r="B111" s="244" t="n"/>
      <c r="C111" s="244" t="n"/>
      <c r="G111" s="222" t="n"/>
      <c r="H111" s="36">
        <f>i_Setup!U69</f>
        <v/>
      </c>
      <c r="I111" s="27">
        <f>i_Setup!$M$16</f>
        <v/>
      </c>
      <c r="K111" s="240" t="n">
        <v>1</v>
      </c>
      <c r="M111" s="245">
        <f>SUMIF($T$2:$CA$2,M$2,$T111:$CA111)</f>
        <v/>
      </c>
      <c r="N111" s="245">
        <f>SUMIF($T$2:$CA$2,N$2,$T111:$CA111)</f>
        <v/>
      </c>
      <c r="O111" s="245">
        <f>SUMIF($T$2:$CA$2,O$2,$T111:$CA111)</f>
        <v/>
      </c>
      <c r="P111" s="245">
        <f>SUMIF($T$2:$CA$2,P$2,$T111:$CA111)</f>
        <v/>
      </c>
      <c r="Q111" s="245">
        <f>SUMIF($T$2:$CA$2,Q$2,$T111:$CA111)</f>
        <v/>
      </c>
      <c r="T111" s="246" t="n"/>
      <c r="U111" s="246" t="n"/>
      <c r="V111" s="246" t="n"/>
      <c r="W111" s="246" t="n"/>
      <c r="X111" s="246" t="n"/>
      <c r="Y111" s="246" t="n"/>
      <c r="Z111" s="246" t="n"/>
      <c r="AA111" s="246" t="n"/>
      <c r="AB111" s="246" t="n"/>
      <c r="AC111" s="246" t="n"/>
      <c r="AD111" s="246" t="n"/>
      <c r="AE111" s="246" t="n"/>
      <c r="AF111" s="246" t="n"/>
      <c r="AG111" s="246" t="n"/>
      <c r="AH111" s="246" t="n"/>
      <c r="AI111" s="246" t="n"/>
      <c r="AJ111" s="246" t="n"/>
      <c r="AK111" s="246" t="n"/>
      <c r="AL111" s="246" t="n"/>
      <c r="AM111" s="246" t="n"/>
      <c r="AN111" s="246" t="n"/>
      <c r="AO111" s="246" t="n"/>
      <c r="AP111" s="246" t="n"/>
      <c r="AQ111" s="246" t="n"/>
      <c r="AR111" s="246" t="n"/>
      <c r="AS111" s="246" t="n"/>
      <c r="AT111" s="246" t="n"/>
      <c r="AU111" s="246" t="n"/>
      <c r="AV111" s="246" t="n"/>
      <c r="AW111" s="246" t="n"/>
      <c r="AX111" s="246" t="n"/>
      <c r="AY111" s="246" t="n"/>
      <c r="AZ111" s="246" t="n"/>
      <c r="BA111" s="246" t="n"/>
      <c r="BB111" s="246" t="n"/>
      <c r="BC111" s="246" t="n"/>
      <c r="BD111" s="246" t="n"/>
      <c r="BE111" s="246" t="n"/>
      <c r="BF111" s="246" t="n"/>
      <c r="BG111" s="246" t="n"/>
      <c r="BH111" s="246" t="n"/>
      <c r="BI111" s="246" t="n"/>
      <c r="BJ111" s="246" t="n"/>
      <c r="BK111" s="246" t="n"/>
      <c r="BL111" s="246" t="n"/>
      <c r="BM111" s="246" t="n"/>
      <c r="BN111" s="246" t="n"/>
      <c r="BO111" s="246" t="n"/>
      <c r="BP111" s="246" t="n"/>
      <c r="BQ111" s="246" t="n"/>
      <c r="BR111" s="246" t="n"/>
      <c r="BS111" s="246" t="n"/>
      <c r="BT111" s="246" t="n"/>
      <c r="BU111" s="246" t="n"/>
      <c r="BV111" s="246" t="n"/>
      <c r="BW111" s="246" t="n"/>
      <c r="BX111" s="246" t="n"/>
      <c r="BY111" s="246" t="n"/>
      <c r="BZ111" s="246" t="n"/>
      <c r="CA111" s="246" t="n"/>
      <c r="CB111" s="251" t="n"/>
    </row>
    <row r="112" ht="12" customHeight="1" s="227">
      <c r="A112" s="244" t="n"/>
      <c r="B112" s="244" t="n"/>
      <c r="C112" s="244" t="n"/>
      <c r="G112" s="222" t="n"/>
      <c r="H112" s="36">
        <f>i_Setup!U70</f>
        <v/>
      </c>
      <c r="I112" s="27">
        <f>i_Setup!$M$16</f>
        <v/>
      </c>
      <c r="K112" s="240" t="n">
        <v>1</v>
      </c>
      <c r="M112" s="245">
        <f>SUMIF($T$2:$CA$2,M$2,$T112:$CA112)</f>
        <v/>
      </c>
      <c r="N112" s="245">
        <f>SUMIF($T$2:$CA$2,N$2,$T112:$CA112)</f>
        <v/>
      </c>
      <c r="O112" s="245">
        <f>SUMIF($T$2:$CA$2,O$2,$T112:$CA112)</f>
        <v/>
      </c>
      <c r="P112" s="245">
        <f>SUMIF($T$2:$CA$2,P$2,$T112:$CA112)</f>
        <v/>
      </c>
      <c r="Q112" s="245">
        <f>SUMIF($T$2:$CA$2,Q$2,$T112:$CA112)</f>
        <v/>
      </c>
      <c r="T112" s="246" t="n"/>
      <c r="U112" s="246" t="n"/>
      <c r="V112" s="246" t="n"/>
      <c r="W112" s="246" t="n"/>
      <c r="X112" s="246" t="n"/>
      <c r="Y112" s="246" t="n"/>
      <c r="Z112" s="246" t="n"/>
      <c r="AA112" s="246" t="n"/>
      <c r="AB112" s="246" t="n"/>
      <c r="AC112" s="246" t="n"/>
      <c r="AD112" s="246" t="n"/>
      <c r="AE112" s="246" t="n"/>
      <c r="AF112" s="246" t="n"/>
      <c r="AG112" s="246" t="n"/>
      <c r="AH112" s="246" t="n"/>
      <c r="AI112" s="246" t="n"/>
      <c r="AJ112" s="246" t="n"/>
      <c r="AK112" s="246" t="n"/>
      <c r="AL112" s="246" t="n"/>
      <c r="AM112" s="246" t="n"/>
      <c r="AN112" s="246" t="n"/>
      <c r="AO112" s="246" t="n"/>
      <c r="AP112" s="246" t="n"/>
      <c r="AQ112" s="246" t="n"/>
      <c r="AR112" s="246" t="n"/>
      <c r="AS112" s="246" t="n"/>
      <c r="AT112" s="246" t="n"/>
      <c r="AU112" s="246" t="n"/>
      <c r="AV112" s="246" t="n"/>
      <c r="AW112" s="246" t="n"/>
      <c r="AX112" s="246" t="n"/>
      <c r="AY112" s="246" t="n"/>
      <c r="AZ112" s="246" t="n"/>
      <c r="BA112" s="246" t="n"/>
      <c r="BB112" s="246" t="n"/>
      <c r="BC112" s="246" t="n"/>
      <c r="BD112" s="246" t="n"/>
      <c r="BE112" s="246" t="n"/>
      <c r="BF112" s="246" t="n"/>
      <c r="BG112" s="246" t="n"/>
      <c r="BH112" s="246" t="n"/>
      <c r="BI112" s="246" t="n"/>
      <c r="BJ112" s="246" t="n"/>
      <c r="BK112" s="246" t="n"/>
      <c r="BL112" s="246" t="n"/>
      <c r="BM112" s="246" t="n"/>
      <c r="BN112" s="246" t="n"/>
      <c r="BO112" s="246" t="n"/>
      <c r="BP112" s="246" t="n"/>
      <c r="BQ112" s="246" t="n"/>
      <c r="BR112" s="246" t="n"/>
      <c r="BS112" s="246" t="n"/>
      <c r="BT112" s="246" t="n"/>
      <c r="BU112" s="246" t="n"/>
      <c r="BV112" s="246" t="n"/>
      <c r="BW112" s="246" t="n"/>
      <c r="BX112" s="246" t="n"/>
      <c r="BY112" s="246" t="n"/>
      <c r="BZ112" s="246" t="n"/>
      <c r="CA112" s="246" t="n"/>
      <c r="CB112" s="251" t="n"/>
    </row>
    <row r="113" ht="12" customHeight="1" s="227">
      <c r="A113" s="244" t="n"/>
      <c r="B113" s="244" t="n"/>
      <c r="C113" s="244" t="n"/>
      <c r="G113" s="222" t="n"/>
      <c r="H113" s="36">
        <f>i_Setup!U71</f>
        <v/>
      </c>
      <c r="I113" s="27">
        <f>i_Setup!$M$16</f>
        <v/>
      </c>
      <c r="K113" s="240" t="n">
        <v>1</v>
      </c>
      <c r="M113" s="245">
        <f>SUMIF($T$2:$CA$2,M$2,$T113:$CA113)</f>
        <v/>
      </c>
      <c r="N113" s="245">
        <f>SUMIF($T$2:$CA$2,N$2,$T113:$CA113)</f>
        <v/>
      </c>
      <c r="O113" s="245">
        <f>SUMIF($T$2:$CA$2,O$2,$T113:$CA113)</f>
        <v/>
      </c>
      <c r="P113" s="245">
        <f>SUMIF($T$2:$CA$2,P$2,$T113:$CA113)</f>
        <v/>
      </c>
      <c r="Q113" s="245">
        <f>SUMIF($T$2:$CA$2,Q$2,$T113:$CA113)</f>
        <v/>
      </c>
      <c r="T113" s="246" t="n"/>
      <c r="U113" s="246" t="n"/>
      <c r="V113" s="246" t="n"/>
      <c r="W113" s="246" t="n"/>
      <c r="X113" s="246" t="n"/>
      <c r="Y113" s="246" t="n"/>
      <c r="Z113" s="246" t="n"/>
      <c r="AA113" s="246" t="n"/>
      <c r="AB113" s="246" t="n"/>
      <c r="AC113" s="246" t="n"/>
      <c r="AD113" s="246" t="n"/>
      <c r="AE113" s="246" t="n"/>
      <c r="AF113" s="246" t="n"/>
      <c r="AG113" s="246" t="n"/>
      <c r="AH113" s="246" t="n"/>
      <c r="AI113" s="246" t="n"/>
      <c r="AJ113" s="246" t="n"/>
      <c r="AK113" s="246" t="n"/>
      <c r="AL113" s="246" t="n"/>
      <c r="AM113" s="246" t="n"/>
      <c r="AN113" s="246" t="n"/>
      <c r="AO113" s="246" t="n"/>
      <c r="AP113" s="246" t="n"/>
      <c r="AQ113" s="246" t="n"/>
      <c r="AR113" s="246" t="n"/>
      <c r="AS113" s="246" t="n"/>
      <c r="AT113" s="246" t="n"/>
      <c r="AU113" s="246" t="n"/>
      <c r="AV113" s="246" t="n"/>
      <c r="AW113" s="246" t="n"/>
      <c r="AX113" s="246" t="n"/>
      <c r="AY113" s="246" t="n"/>
      <c r="AZ113" s="246" t="n"/>
      <c r="BA113" s="246" t="n"/>
      <c r="BB113" s="246" t="n"/>
      <c r="BC113" s="246" t="n"/>
      <c r="BD113" s="246" t="n"/>
      <c r="BE113" s="246" t="n"/>
      <c r="BF113" s="246" t="n"/>
      <c r="BG113" s="246" t="n"/>
      <c r="BH113" s="246" t="n"/>
      <c r="BI113" s="246" t="n"/>
      <c r="BJ113" s="246" t="n"/>
      <c r="BK113" s="246" t="n"/>
      <c r="BL113" s="246" t="n"/>
      <c r="BM113" s="246" t="n"/>
      <c r="BN113" s="246" t="n"/>
      <c r="BO113" s="246" t="n"/>
      <c r="BP113" s="246" t="n"/>
      <c r="BQ113" s="246" t="n"/>
      <c r="BR113" s="246" t="n"/>
      <c r="BS113" s="246" t="n"/>
      <c r="BT113" s="246" t="n"/>
      <c r="BU113" s="246" t="n"/>
      <c r="BV113" s="246" t="n"/>
      <c r="BW113" s="246" t="n"/>
      <c r="BX113" s="246" t="n"/>
      <c r="BY113" s="246" t="n"/>
      <c r="BZ113" s="246" t="n"/>
      <c r="CA113" s="246" t="n"/>
      <c r="CB113" s="251" t="n"/>
    </row>
    <row r="114" ht="12" customHeight="1" s="227">
      <c r="A114" s="244" t="n"/>
      <c r="B114" s="244" t="n"/>
      <c r="C114" s="244" t="n"/>
      <c r="G114" s="222" t="n"/>
      <c r="H114" s="36">
        <f>i_Setup!U72</f>
        <v/>
      </c>
      <c r="I114" s="27">
        <f>i_Setup!$M$16</f>
        <v/>
      </c>
      <c r="K114" s="240" t="n">
        <v>1</v>
      </c>
      <c r="M114" s="245">
        <f>SUMIF($T$2:$CA$2,M$2,$T114:$CA114)</f>
        <v/>
      </c>
      <c r="N114" s="245">
        <f>SUMIF($T$2:$CA$2,N$2,$T114:$CA114)</f>
        <v/>
      </c>
      <c r="O114" s="245">
        <f>SUMIF($T$2:$CA$2,O$2,$T114:$CA114)</f>
        <v/>
      </c>
      <c r="P114" s="245">
        <f>SUMIF($T$2:$CA$2,P$2,$T114:$CA114)</f>
        <v/>
      </c>
      <c r="Q114" s="245">
        <f>SUMIF($T$2:$CA$2,Q$2,$T114:$CA114)</f>
        <v/>
      </c>
      <c r="T114" s="246" t="n"/>
      <c r="U114" s="246" t="n"/>
      <c r="V114" s="246" t="n"/>
      <c r="W114" s="246" t="n"/>
      <c r="X114" s="246" t="n"/>
      <c r="Y114" s="246" t="n"/>
      <c r="Z114" s="246" t="n"/>
      <c r="AA114" s="246" t="n"/>
      <c r="AB114" s="246" t="n"/>
      <c r="AC114" s="246" t="n"/>
      <c r="AD114" s="246" t="n"/>
      <c r="AE114" s="246" t="n"/>
      <c r="AF114" s="246" t="n"/>
      <c r="AG114" s="246" t="n"/>
      <c r="AH114" s="246" t="n"/>
      <c r="AI114" s="246" t="n"/>
      <c r="AJ114" s="246" t="n"/>
      <c r="AK114" s="246" t="n"/>
      <c r="AL114" s="246" t="n"/>
      <c r="AM114" s="246" t="n"/>
      <c r="AN114" s="246" t="n"/>
      <c r="AO114" s="246" t="n"/>
      <c r="AP114" s="246" t="n"/>
      <c r="AQ114" s="246" t="n"/>
      <c r="AR114" s="246" t="n"/>
      <c r="AS114" s="246" t="n"/>
      <c r="AT114" s="246" t="n"/>
      <c r="AU114" s="246" t="n"/>
      <c r="AV114" s="246" t="n"/>
      <c r="AW114" s="246" t="n"/>
      <c r="AX114" s="246" t="n"/>
      <c r="AY114" s="246" t="n"/>
      <c r="AZ114" s="246" t="n"/>
      <c r="BA114" s="246" t="n"/>
      <c r="BB114" s="246" t="n"/>
      <c r="BC114" s="246" t="n"/>
      <c r="BD114" s="246" t="n"/>
      <c r="BE114" s="246" t="n"/>
      <c r="BF114" s="246" t="n"/>
      <c r="BG114" s="246" t="n"/>
      <c r="BH114" s="246" t="n"/>
      <c r="BI114" s="246" t="n"/>
      <c r="BJ114" s="246" t="n"/>
      <c r="BK114" s="246" t="n"/>
      <c r="BL114" s="246" t="n"/>
      <c r="BM114" s="246" t="n"/>
      <c r="BN114" s="246" t="n"/>
      <c r="BO114" s="246" t="n"/>
      <c r="BP114" s="246" t="n"/>
      <c r="BQ114" s="246" t="n"/>
      <c r="BR114" s="246" t="n"/>
      <c r="BS114" s="246" t="n"/>
      <c r="BT114" s="246" t="n"/>
      <c r="BU114" s="246" t="n"/>
      <c r="BV114" s="246" t="n"/>
      <c r="BW114" s="246" t="n"/>
      <c r="BX114" s="246" t="n"/>
      <c r="BY114" s="246" t="n"/>
      <c r="BZ114" s="246" t="n"/>
      <c r="CA114" s="246" t="n"/>
      <c r="CB114" s="251" t="n"/>
    </row>
    <row r="115" ht="12" customHeight="1" s="227">
      <c r="A115" s="244" t="n"/>
      <c r="B115" s="244" t="n"/>
      <c r="C115" s="244" t="n"/>
      <c r="G115" s="222" t="n"/>
      <c r="H115" s="34" t="n"/>
      <c r="I115" s="27" t="n"/>
      <c r="K115" s="252" t="n"/>
      <c r="T115" s="251" t="n"/>
      <c r="U115" s="251" t="n"/>
      <c r="V115" s="251" t="n"/>
      <c r="W115" s="251" t="n"/>
      <c r="X115" s="251" t="n"/>
      <c r="Y115" s="251" t="n"/>
      <c r="Z115" s="251" t="n"/>
      <c r="AA115" s="251" t="n"/>
      <c r="AB115" s="251" t="n"/>
      <c r="AC115" s="251" t="n"/>
      <c r="AD115" s="251" t="n"/>
      <c r="AE115" s="251" t="n"/>
      <c r="AF115" s="251" t="n"/>
      <c r="AG115" s="251" t="n"/>
      <c r="AH115" s="251" t="n"/>
      <c r="AI115" s="251" t="n"/>
      <c r="AJ115" s="251" t="n"/>
      <c r="AK115" s="251" t="n"/>
      <c r="AL115" s="251" t="n"/>
      <c r="AM115" s="251" t="n"/>
      <c r="AN115" s="251" t="n"/>
      <c r="AO115" s="251" t="n"/>
      <c r="AP115" s="251" t="n"/>
      <c r="AQ115" s="251" t="n"/>
      <c r="AR115" s="251" t="n"/>
      <c r="AS115" s="251" t="n"/>
      <c r="AT115" s="251" t="n"/>
      <c r="AU115" s="251" t="n"/>
      <c r="AV115" s="251" t="n"/>
      <c r="AW115" s="251" t="n"/>
      <c r="AX115" s="251" t="n"/>
      <c r="AY115" s="251" t="n"/>
      <c r="AZ115" s="251" t="n"/>
      <c r="BA115" s="251" t="n"/>
      <c r="BB115" s="251" t="n"/>
      <c r="BC115" s="251" t="n"/>
      <c r="BD115" s="251" t="n"/>
      <c r="BE115" s="251" t="n"/>
      <c r="BF115" s="251" t="n"/>
      <c r="BG115" s="251" t="n"/>
      <c r="BH115" s="251" t="n"/>
      <c r="BI115" s="251" t="n"/>
      <c r="BJ115" s="251" t="n"/>
      <c r="BK115" s="251" t="n"/>
      <c r="BL115" s="251" t="n"/>
      <c r="BM115" s="251" t="n"/>
      <c r="BN115" s="251" t="n"/>
      <c r="BO115" s="251" t="n"/>
      <c r="BP115" s="251" t="n"/>
      <c r="BQ115" s="251" t="n"/>
      <c r="BR115" s="251" t="n"/>
      <c r="BS115" s="251" t="n"/>
      <c r="BT115" s="251" t="n"/>
      <c r="BU115" s="251" t="n"/>
      <c r="BV115" s="251" t="n"/>
      <c r="BW115" s="251" t="n"/>
      <c r="BX115" s="251" t="n"/>
      <c r="BY115" s="251" t="n"/>
      <c r="BZ115" s="251" t="n"/>
      <c r="CA115" s="251" t="n"/>
      <c r="CB115" s="251" t="n"/>
    </row>
    <row r="116" ht="12" customHeight="1" s="227">
      <c r="A116" s="244" t="n"/>
      <c r="B116" s="244" t="n"/>
      <c r="C116" s="244" t="n"/>
      <c r="G116" s="222" t="n"/>
      <c r="H116" s="36">
        <f>i_Setup!U115</f>
        <v/>
      </c>
      <c r="I116" s="27">
        <f>i_Setup!$M$16</f>
        <v/>
      </c>
      <c r="K116" s="240" t="n">
        <v>1</v>
      </c>
      <c r="M116" s="245">
        <f>SUMIF($T$2:$CA$2,M$2,$T116:$CA116)</f>
        <v/>
      </c>
      <c r="N116" s="245">
        <f>SUMIF($T$2:$CA$2,N$2,$T116:$CA116)</f>
        <v/>
      </c>
      <c r="O116" s="245">
        <f>SUMIF($T$2:$CA$2,O$2,$T116:$CA116)</f>
        <v/>
      </c>
      <c r="P116" s="245">
        <f>SUMIF($T$2:$CA$2,P$2,$T116:$CA116)</f>
        <v/>
      </c>
      <c r="Q116" s="245">
        <f>SUMIF($T$2:$CA$2,Q$2,$T116:$CA116)</f>
        <v/>
      </c>
      <c r="T116" s="246" t="n"/>
      <c r="U116" s="246" t="n"/>
      <c r="V116" s="246" t="n"/>
      <c r="W116" s="246" t="n"/>
      <c r="X116" s="246" t="n">
        <v>500</v>
      </c>
      <c r="Y116" s="246" t="n"/>
      <c r="Z116" s="246" t="n"/>
      <c r="AA116" s="246" t="n"/>
      <c r="AB116" s="246" t="n"/>
      <c r="AC116" s="246" t="n"/>
      <c r="AD116" s="246" t="n"/>
      <c r="AE116" s="246" t="n"/>
      <c r="AF116" s="246" t="n"/>
      <c r="AG116" s="246" t="n"/>
      <c r="AH116" s="246" t="n"/>
      <c r="AI116" s="246" t="n"/>
      <c r="AJ116" s="246" t="n"/>
      <c r="AK116" s="246" t="n"/>
      <c r="AL116" s="246" t="n"/>
      <c r="AM116" s="246" t="n"/>
      <c r="AN116" s="246" t="n"/>
      <c r="AO116" s="246" t="n"/>
      <c r="AP116" s="246" t="n"/>
      <c r="AQ116" s="246" t="n"/>
      <c r="AR116" s="246" t="n"/>
      <c r="AS116" s="246" t="n"/>
      <c r="AT116" s="246" t="n"/>
      <c r="AU116" s="246" t="n"/>
      <c r="AV116" s="246" t="n"/>
      <c r="AW116" s="246" t="n"/>
      <c r="AX116" s="246" t="n"/>
      <c r="AY116" s="246" t="n"/>
      <c r="AZ116" s="246" t="n"/>
      <c r="BA116" s="246" t="n"/>
      <c r="BB116" s="246" t="n"/>
      <c r="BC116" s="246" t="n"/>
      <c r="BD116" s="246" t="n"/>
      <c r="BE116" s="246" t="n"/>
      <c r="BF116" s="246" t="n"/>
      <c r="BG116" s="246" t="n"/>
      <c r="BH116" s="246" t="n"/>
      <c r="BI116" s="246" t="n"/>
      <c r="BJ116" s="246" t="n"/>
      <c r="BK116" s="246" t="n"/>
      <c r="BL116" s="246" t="n"/>
      <c r="BM116" s="246" t="n"/>
      <c r="BN116" s="246" t="n"/>
      <c r="BO116" s="246" t="n"/>
      <c r="BP116" s="246" t="n"/>
      <c r="BQ116" s="246" t="n"/>
      <c r="BR116" s="246" t="n"/>
      <c r="BS116" s="246" t="n"/>
      <c r="BT116" s="246" t="n"/>
      <c r="BU116" s="246" t="n"/>
      <c r="BV116" s="246" t="n"/>
      <c r="BW116" s="246" t="n"/>
      <c r="BX116" s="246" t="n"/>
      <c r="BY116" s="246" t="n"/>
      <c r="BZ116" s="246" t="n"/>
      <c r="CA116" s="246" t="n"/>
      <c r="CB116" s="251" t="n"/>
    </row>
    <row r="117" ht="12" customHeight="1" s="227">
      <c r="A117" s="244" t="n"/>
      <c r="B117" s="244" t="n"/>
      <c r="C117" s="244" t="n"/>
      <c r="G117" s="222" t="n"/>
      <c r="H117" s="36">
        <f>i_Setup!U116</f>
        <v/>
      </c>
      <c r="I117" s="27">
        <f>i_Setup!$M$16</f>
        <v/>
      </c>
      <c r="K117" s="240" t="n">
        <v>1</v>
      </c>
      <c r="M117" s="245">
        <f>SUMIF($T$2:$CA$2,M$2,$T117:$CA117)</f>
        <v/>
      </c>
      <c r="N117" s="245">
        <f>SUMIF($T$2:$CA$2,N$2,$T117:$CA117)</f>
        <v/>
      </c>
      <c r="O117" s="245">
        <f>SUMIF($T$2:$CA$2,O$2,$T117:$CA117)</f>
        <v/>
      </c>
      <c r="P117" s="245">
        <f>SUMIF($T$2:$CA$2,P$2,$T117:$CA117)</f>
        <v/>
      </c>
      <c r="Q117" s="245">
        <f>SUMIF($T$2:$CA$2,Q$2,$T117:$CA117)</f>
        <v/>
      </c>
      <c r="T117" s="246" t="n"/>
      <c r="U117" s="246" t="n"/>
      <c r="V117" s="246" t="n"/>
      <c r="W117" s="246" t="n"/>
      <c r="X117" s="246" t="n">
        <v>600</v>
      </c>
      <c r="Y117" s="246" t="n"/>
      <c r="Z117" s="246" t="n"/>
      <c r="AA117" s="246" t="n"/>
      <c r="AB117" s="246" t="n"/>
      <c r="AC117" s="246" t="n"/>
      <c r="AD117" s="246" t="n"/>
      <c r="AE117" s="246" t="n"/>
      <c r="AF117" s="246" t="n"/>
      <c r="AG117" s="246" t="n"/>
      <c r="AH117" s="246" t="n"/>
      <c r="AI117" s="246" t="n"/>
      <c r="AJ117" s="246" t="n"/>
      <c r="AK117" s="246" t="n"/>
      <c r="AL117" s="246" t="n"/>
      <c r="AM117" s="246" t="n"/>
      <c r="AN117" s="246" t="n"/>
      <c r="AO117" s="246" t="n"/>
      <c r="AP117" s="246" t="n"/>
      <c r="AQ117" s="246" t="n"/>
      <c r="AR117" s="246" t="n"/>
      <c r="AS117" s="246" t="n"/>
      <c r="AT117" s="246" t="n"/>
      <c r="AU117" s="246" t="n"/>
      <c r="AV117" s="246" t="n"/>
      <c r="AW117" s="246" t="n"/>
      <c r="AX117" s="246" t="n"/>
      <c r="AY117" s="246" t="n"/>
      <c r="AZ117" s="246" t="n"/>
      <c r="BA117" s="246" t="n"/>
      <c r="BB117" s="246" t="n"/>
      <c r="BC117" s="246" t="n"/>
      <c r="BD117" s="246" t="n"/>
      <c r="BE117" s="246" t="n"/>
      <c r="BF117" s="246" t="n"/>
      <c r="BG117" s="246" t="n"/>
      <c r="BH117" s="246" t="n"/>
      <c r="BI117" s="246" t="n"/>
      <c r="BJ117" s="246" t="n"/>
      <c r="BK117" s="246" t="n"/>
      <c r="BL117" s="246" t="n"/>
      <c r="BM117" s="246" t="n"/>
      <c r="BN117" s="246" t="n"/>
      <c r="BO117" s="246" t="n"/>
      <c r="BP117" s="246" t="n"/>
      <c r="BQ117" s="246" t="n"/>
      <c r="BR117" s="246" t="n"/>
      <c r="BS117" s="246" t="n"/>
      <c r="BT117" s="246" t="n"/>
      <c r="BU117" s="246" t="n"/>
      <c r="BV117" s="246" t="n"/>
      <c r="BW117" s="246" t="n"/>
      <c r="BX117" s="246" t="n"/>
      <c r="BY117" s="246" t="n"/>
      <c r="BZ117" s="246" t="n"/>
      <c r="CA117" s="246" t="n"/>
      <c r="CB117" s="251" t="n"/>
    </row>
    <row r="118" ht="12" customHeight="1" s="227">
      <c r="A118" s="244" t="n"/>
      <c r="B118" s="244" t="n"/>
      <c r="C118" s="244" t="n"/>
      <c r="G118" s="222" t="n"/>
      <c r="H118" s="36">
        <f>i_Setup!U117</f>
        <v/>
      </c>
      <c r="I118" s="27">
        <f>i_Setup!$M$16</f>
        <v/>
      </c>
      <c r="K118" s="240" t="n">
        <v>1</v>
      </c>
      <c r="M118" s="245">
        <f>SUMIF($T$2:$CA$2,M$2,$T118:$CA118)</f>
        <v/>
      </c>
      <c r="N118" s="245">
        <f>SUMIF($T$2:$CA$2,N$2,$T118:$CA118)</f>
        <v/>
      </c>
      <c r="O118" s="245">
        <f>SUMIF($T$2:$CA$2,O$2,$T118:$CA118)</f>
        <v/>
      </c>
      <c r="P118" s="245">
        <f>SUMIF($T$2:$CA$2,P$2,$T118:$CA118)</f>
        <v/>
      </c>
      <c r="Q118" s="245">
        <f>SUMIF($T$2:$CA$2,Q$2,$T118:$CA118)</f>
        <v/>
      </c>
      <c r="T118" s="246" t="n"/>
      <c r="U118" s="246" t="n"/>
      <c r="V118" s="246" t="n"/>
      <c r="W118" s="246" t="n"/>
      <c r="X118" s="246" t="n">
        <v>700</v>
      </c>
      <c r="Y118" s="246" t="n"/>
      <c r="Z118" s="246" t="n"/>
      <c r="AA118" s="246" t="n"/>
      <c r="AB118" s="246" t="n"/>
      <c r="AC118" s="246" t="n"/>
      <c r="AD118" s="246" t="n"/>
      <c r="AE118" s="246" t="n"/>
      <c r="AF118" s="246" t="n"/>
      <c r="AG118" s="246" t="n"/>
      <c r="AH118" s="246" t="n"/>
      <c r="AI118" s="246" t="n"/>
      <c r="AJ118" s="246" t="n"/>
      <c r="AK118" s="246" t="n"/>
      <c r="AL118" s="246" t="n"/>
      <c r="AM118" s="246" t="n"/>
      <c r="AN118" s="246" t="n"/>
      <c r="AO118" s="246" t="n"/>
      <c r="AP118" s="246" t="n"/>
      <c r="AQ118" s="246" t="n"/>
      <c r="AR118" s="246" t="n"/>
      <c r="AS118" s="246" t="n"/>
      <c r="AT118" s="246" t="n"/>
      <c r="AU118" s="246" t="n"/>
      <c r="AV118" s="246" t="n"/>
      <c r="AW118" s="246" t="n"/>
      <c r="AX118" s="246" t="n"/>
      <c r="AY118" s="246" t="n"/>
      <c r="AZ118" s="246" t="n"/>
      <c r="BA118" s="246" t="n"/>
      <c r="BB118" s="246" t="n"/>
      <c r="BC118" s="246" t="n"/>
      <c r="BD118" s="246" t="n"/>
      <c r="BE118" s="246" t="n"/>
      <c r="BF118" s="246" t="n"/>
      <c r="BG118" s="246" t="n"/>
      <c r="BH118" s="246" t="n"/>
      <c r="BI118" s="246" t="n"/>
      <c r="BJ118" s="246" t="n"/>
      <c r="BK118" s="246" t="n"/>
      <c r="BL118" s="246" t="n"/>
      <c r="BM118" s="246" t="n"/>
      <c r="BN118" s="246" t="n"/>
      <c r="BO118" s="246" t="n"/>
      <c r="BP118" s="246" t="n"/>
      <c r="BQ118" s="246" t="n"/>
      <c r="BR118" s="246" t="n"/>
      <c r="BS118" s="246" t="n"/>
      <c r="BT118" s="246" t="n"/>
      <c r="BU118" s="246" t="n"/>
      <c r="BV118" s="246" t="n"/>
      <c r="BW118" s="246" t="n"/>
      <c r="BX118" s="246" t="n"/>
      <c r="BY118" s="246" t="n"/>
      <c r="BZ118" s="246" t="n"/>
      <c r="CA118" s="246" t="n"/>
      <c r="CB118" s="251" t="n"/>
    </row>
    <row r="119" ht="12" customHeight="1" s="227">
      <c r="A119" s="244" t="n"/>
      <c r="B119" s="244" t="n"/>
      <c r="C119" s="244" t="n"/>
      <c r="G119" s="222" t="n"/>
      <c r="H119" s="36">
        <f>i_Setup!U118</f>
        <v/>
      </c>
      <c r="I119" s="27">
        <f>i_Setup!$M$16</f>
        <v/>
      </c>
      <c r="K119" s="240" t="n">
        <v>1</v>
      </c>
      <c r="M119" s="245">
        <f>SUMIF($T$2:$CA$2,M$2,$T119:$CA119)</f>
        <v/>
      </c>
      <c r="N119" s="245">
        <f>SUMIF($T$2:$CA$2,N$2,$T119:$CA119)</f>
        <v/>
      </c>
      <c r="O119" s="245">
        <f>SUMIF($T$2:$CA$2,O$2,$T119:$CA119)</f>
        <v/>
      </c>
      <c r="P119" s="245">
        <f>SUMIF($T$2:$CA$2,P$2,$T119:$CA119)</f>
        <v/>
      </c>
      <c r="Q119" s="245">
        <f>SUMIF($T$2:$CA$2,Q$2,$T119:$CA119)</f>
        <v/>
      </c>
      <c r="T119" s="246" t="n"/>
      <c r="U119" s="246" t="n"/>
      <c r="V119" s="246" t="n"/>
      <c r="W119" s="246" t="n"/>
      <c r="X119" s="246" t="n">
        <v>800</v>
      </c>
      <c r="Y119" s="246" t="n"/>
      <c r="Z119" s="246" t="n"/>
      <c r="AA119" s="246" t="n"/>
      <c r="AB119" s="246" t="n"/>
      <c r="AC119" s="246" t="n"/>
      <c r="AD119" s="246" t="n"/>
      <c r="AE119" s="246" t="n"/>
      <c r="AF119" s="246" t="n"/>
      <c r="AG119" s="246" t="n"/>
      <c r="AH119" s="246" t="n"/>
      <c r="AI119" s="246" t="n"/>
      <c r="AJ119" s="246" t="n"/>
      <c r="AK119" s="246" t="n"/>
      <c r="AL119" s="246" t="n"/>
      <c r="AM119" s="246" t="n"/>
      <c r="AN119" s="246" t="n"/>
      <c r="AO119" s="246" t="n"/>
      <c r="AP119" s="246" t="n"/>
      <c r="AQ119" s="246" t="n"/>
      <c r="AR119" s="246" t="n"/>
      <c r="AS119" s="246" t="n"/>
      <c r="AT119" s="246" t="n"/>
      <c r="AU119" s="246" t="n"/>
      <c r="AV119" s="246" t="n"/>
      <c r="AW119" s="246" t="n"/>
      <c r="AX119" s="246" t="n"/>
      <c r="AY119" s="246" t="n"/>
      <c r="AZ119" s="246" t="n"/>
      <c r="BA119" s="246" t="n"/>
      <c r="BB119" s="246" t="n"/>
      <c r="BC119" s="246" t="n"/>
      <c r="BD119" s="246" t="n"/>
      <c r="BE119" s="246" t="n"/>
      <c r="BF119" s="246" t="n"/>
      <c r="BG119" s="246" t="n"/>
      <c r="BH119" s="246" t="n"/>
      <c r="BI119" s="246" t="n"/>
      <c r="BJ119" s="246" t="n"/>
      <c r="BK119" s="246" t="n"/>
      <c r="BL119" s="246" t="n"/>
      <c r="BM119" s="246" t="n"/>
      <c r="BN119" s="246" t="n"/>
      <c r="BO119" s="246" t="n"/>
      <c r="BP119" s="246" t="n"/>
      <c r="BQ119" s="246" t="n"/>
      <c r="BR119" s="246" t="n"/>
      <c r="BS119" s="246" t="n"/>
      <c r="BT119" s="246" t="n"/>
      <c r="BU119" s="246" t="n"/>
      <c r="BV119" s="246" t="n"/>
      <c r="BW119" s="246" t="n"/>
      <c r="BX119" s="246" t="n"/>
      <c r="BY119" s="246" t="n"/>
      <c r="BZ119" s="246" t="n"/>
      <c r="CA119" s="246" t="n"/>
      <c r="CB119" s="251" t="n"/>
    </row>
    <row r="120" ht="12" customHeight="1" s="227">
      <c r="A120" s="244" t="n"/>
      <c r="B120" s="244" t="n"/>
      <c r="C120" s="244" t="n"/>
      <c r="G120" s="222" t="n"/>
      <c r="H120" s="36">
        <f>i_Setup!U119</f>
        <v/>
      </c>
      <c r="I120" s="27">
        <f>i_Setup!$M$16</f>
        <v/>
      </c>
      <c r="K120" s="240" t="n">
        <v>1</v>
      </c>
      <c r="M120" s="245">
        <f>SUMIF($T$2:$CA$2,M$2,$T120:$CA120)</f>
        <v/>
      </c>
      <c r="N120" s="245">
        <f>SUMIF($T$2:$CA$2,N$2,$T120:$CA120)</f>
        <v/>
      </c>
      <c r="O120" s="245">
        <f>SUMIF($T$2:$CA$2,O$2,$T120:$CA120)</f>
        <v/>
      </c>
      <c r="P120" s="245">
        <f>SUMIF($T$2:$CA$2,P$2,$T120:$CA120)</f>
        <v/>
      </c>
      <c r="Q120" s="245">
        <f>SUMIF($T$2:$CA$2,Q$2,$T120:$CA120)</f>
        <v/>
      </c>
      <c r="T120" s="246" t="n"/>
      <c r="U120" s="246" t="n"/>
      <c r="V120" s="246" t="n"/>
      <c r="W120" s="246" t="n"/>
      <c r="X120" s="246" t="n">
        <v>900</v>
      </c>
      <c r="Y120" s="246" t="n"/>
      <c r="Z120" s="246" t="n"/>
      <c r="AA120" s="246" t="n"/>
      <c r="AB120" s="246" t="n"/>
      <c r="AC120" s="246" t="n"/>
      <c r="AD120" s="246" t="n"/>
      <c r="AE120" s="246" t="n"/>
      <c r="AF120" s="246" t="n"/>
      <c r="AG120" s="246" t="n"/>
      <c r="AH120" s="246" t="n"/>
      <c r="AI120" s="246" t="n"/>
      <c r="AJ120" s="246" t="n"/>
      <c r="AK120" s="246" t="n"/>
      <c r="AL120" s="246" t="n"/>
      <c r="AM120" s="246" t="n"/>
      <c r="AN120" s="246" t="n"/>
      <c r="AO120" s="246" t="n"/>
      <c r="AP120" s="246" t="n"/>
      <c r="AQ120" s="246" t="n"/>
      <c r="AR120" s="246" t="n"/>
      <c r="AS120" s="246" t="n"/>
      <c r="AT120" s="246" t="n"/>
      <c r="AU120" s="246" t="n"/>
      <c r="AV120" s="246" t="n"/>
      <c r="AW120" s="246" t="n"/>
      <c r="AX120" s="246" t="n"/>
      <c r="AY120" s="246" t="n"/>
      <c r="AZ120" s="246" t="n"/>
      <c r="BA120" s="246" t="n"/>
      <c r="BB120" s="246" t="n"/>
      <c r="BC120" s="246" t="n"/>
      <c r="BD120" s="246" t="n"/>
      <c r="BE120" s="246" t="n"/>
      <c r="BF120" s="246" t="n"/>
      <c r="BG120" s="246" t="n"/>
      <c r="BH120" s="246" t="n"/>
      <c r="BI120" s="246" t="n"/>
      <c r="BJ120" s="246" t="n"/>
      <c r="BK120" s="246" t="n"/>
      <c r="BL120" s="246" t="n"/>
      <c r="BM120" s="246" t="n"/>
      <c r="BN120" s="246" t="n"/>
      <c r="BO120" s="246" t="n"/>
      <c r="BP120" s="246" t="n"/>
      <c r="BQ120" s="246" t="n"/>
      <c r="BR120" s="246" t="n"/>
      <c r="BS120" s="246" t="n"/>
      <c r="BT120" s="246" t="n"/>
      <c r="BU120" s="246" t="n"/>
      <c r="BV120" s="246" t="n"/>
      <c r="BW120" s="246" t="n"/>
      <c r="BX120" s="246" t="n"/>
      <c r="BY120" s="246" t="n"/>
      <c r="BZ120" s="246" t="n"/>
      <c r="CA120" s="246" t="n"/>
      <c r="CB120" s="251" t="n"/>
    </row>
    <row r="121" ht="12" customHeight="1" s="227">
      <c r="A121" s="244" t="n"/>
      <c r="B121" s="244" t="n"/>
      <c r="C121" s="244" t="n"/>
      <c r="G121" s="222" t="n"/>
      <c r="H121" s="34" t="n"/>
      <c r="I121" s="27" t="n"/>
      <c r="K121" s="252" t="n"/>
      <c r="T121" s="251" t="n"/>
      <c r="U121" s="251" t="n"/>
      <c r="V121" s="251" t="n"/>
      <c r="W121" s="251" t="n"/>
      <c r="X121" s="251" t="n"/>
      <c r="Y121" s="251" t="n"/>
      <c r="Z121" s="251" t="n"/>
      <c r="AA121" s="251" t="n"/>
      <c r="AB121" s="251" t="n"/>
      <c r="AC121" s="251" t="n"/>
      <c r="AD121" s="251" t="n"/>
      <c r="AE121" s="251" t="n"/>
      <c r="AF121" s="251" t="n"/>
      <c r="AG121" s="251" t="n"/>
      <c r="AH121" s="251" t="n"/>
      <c r="AI121" s="251" t="n"/>
      <c r="AJ121" s="251" t="n"/>
      <c r="AK121" s="251" t="n"/>
      <c r="AL121" s="251" t="n"/>
      <c r="AM121" s="251" t="n"/>
      <c r="AN121" s="251" t="n"/>
      <c r="AO121" s="251" t="n"/>
      <c r="AP121" s="251" t="n"/>
      <c r="AQ121" s="251" t="n"/>
      <c r="AR121" s="251" t="n"/>
      <c r="AS121" s="251" t="n"/>
      <c r="AT121" s="251" t="n"/>
      <c r="AU121" s="251" t="n"/>
      <c r="AV121" s="251" t="n"/>
      <c r="AW121" s="251" t="n"/>
      <c r="AX121" s="251" t="n"/>
      <c r="AY121" s="251" t="n"/>
      <c r="AZ121" s="251" t="n"/>
      <c r="BA121" s="251" t="n"/>
      <c r="BB121" s="251" t="n"/>
      <c r="BC121" s="251" t="n"/>
      <c r="BD121" s="251" t="n"/>
      <c r="BE121" s="251" t="n"/>
      <c r="BF121" s="251" t="n"/>
      <c r="BG121" s="251" t="n"/>
      <c r="BH121" s="251" t="n"/>
      <c r="BI121" s="251" t="n"/>
      <c r="BJ121" s="251" t="n"/>
      <c r="BK121" s="251" t="n"/>
      <c r="BL121" s="251" t="n"/>
      <c r="BM121" s="251" t="n"/>
      <c r="BN121" s="251" t="n"/>
      <c r="BO121" s="251" t="n"/>
      <c r="BP121" s="251" t="n"/>
      <c r="BQ121" s="251" t="n"/>
      <c r="BR121" s="251" t="n"/>
      <c r="BS121" s="251" t="n"/>
      <c r="BT121" s="251" t="n"/>
      <c r="BU121" s="251" t="n"/>
      <c r="BV121" s="251" t="n"/>
      <c r="BW121" s="251" t="n"/>
      <c r="BX121" s="251" t="n"/>
      <c r="BY121" s="251" t="n"/>
      <c r="BZ121" s="251" t="n"/>
      <c r="CA121" s="251" t="n"/>
      <c r="CB121" s="251" t="n"/>
    </row>
    <row r="122" ht="12" customHeight="1" s="227">
      <c r="A122" s="244" t="n"/>
      <c r="B122" s="244" t="n"/>
      <c r="C122" s="244" t="n"/>
      <c r="G122" s="222" t="n"/>
      <c r="H122" s="8" t="inlineStr">
        <is>
          <t>Current Assets</t>
        </is>
      </c>
      <c r="I122" s="27" t="n"/>
      <c r="K122" s="252" t="n"/>
      <c r="T122" s="251" t="n"/>
      <c r="U122" s="251" t="n"/>
      <c r="V122" s="251" t="n"/>
      <c r="W122" s="251" t="n"/>
      <c r="X122" s="251" t="n"/>
      <c r="Y122" s="251" t="n"/>
      <c r="Z122" s="251" t="n"/>
      <c r="AA122" s="251" t="n"/>
      <c r="AB122" s="251" t="n"/>
      <c r="AC122" s="251" t="n"/>
      <c r="AD122" s="251" t="n"/>
      <c r="AE122" s="251" t="n"/>
      <c r="AF122" s="251" t="n"/>
      <c r="AG122" s="251" t="n"/>
      <c r="AH122" s="251" t="n"/>
      <c r="AI122" s="251" t="n"/>
      <c r="AJ122" s="251" t="n"/>
      <c r="AK122" s="251" t="n"/>
      <c r="AL122" s="251" t="n"/>
      <c r="AM122" s="251" t="n"/>
      <c r="AN122" s="251" t="n"/>
      <c r="AO122" s="251" t="n"/>
      <c r="AP122" s="251" t="n"/>
      <c r="AQ122" s="251" t="n"/>
      <c r="AR122" s="251" t="n"/>
      <c r="AS122" s="251" t="n"/>
      <c r="AT122" s="251" t="n"/>
      <c r="AU122" s="251" t="n"/>
      <c r="AV122" s="251" t="n"/>
      <c r="AW122" s="251" t="n"/>
      <c r="AX122" s="251" t="n"/>
      <c r="AY122" s="251" t="n"/>
      <c r="AZ122" s="251" t="n"/>
      <c r="BA122" s="251" t="n"/>
      <c r="BB122" s="251" t="n"/>
      <c r="BC122" s="251" t="n"/>
      <c r="BD122" s="251" t="n"/>
      <c r="BE122" s="251" t="n"/>
      <c r="BF122" s="251" t="n"/>
      <c r="BG122" s="251" t="n"/>
      <c r="BH122" s="251" t="n"/>
      <c r="BI122" s="251" t="n"/>
      <c r="BJ122" s="251" t="n"/>
      <c r="BK122" s="251" t="n"/>
      <c r="BL122" s="251" t="n"/>
      <c r="BM122" s="251" t="n"/>
      <c r="BN122" s="251" t="n"/>
      <c r="BO122" s="251" t="n"/>
      <c r="BP122" s="251" t="n"/>
      <c r="BQ122" s="251" t="n"/>
      <c r="BR122" s="251" t="n"/>
      <c r="BS122" s="251" t="n"/>
      <c r="BT122" s="251" t="n"/>
      <c r="BU122" s="251" t="n"/>
      <c r="BV122" s="251" t="n"/>
      <c r="BW122" s="251" t="n"/>
      <c r="BX122" s="251" t="n"/>
      <c r="BY122" s="251" t="n"/>
      <c r="BZ122" s="251" t="n"/>
      <c r="CA122" s="251" t="n"/>
      <c r="CB122" s="251" t="n"/>
    </row>
    <row r="123" ht="12" customHeight="1" s="227">
      <c r="A123" s="244" t="n"/>
      <c r="B123" s="244" t="n"/>
      <c r="C123" s="244" t="n"/>
      <c r="G123" s="222" t="n"/>
      <c r="H123" s="36" t="inlineStr">
        <is>
          <t>Cash</t>
        </is>
      </c>
      <c r="I123" s="27">
        <f>i_Setup!$M$16</f>
        <v/>
      </c>
      <c r="K123" s="6" t="n"/>
      <c r="M123" s="245">
        <f>SUMIF($T$2:$CA$2,M$2,$T123:$CA123)</f>
        <v/>
      </c>
      <c r="N123" s="245">
        <f>SUMIF($T$2:$CA$2,N$2,$T123:$CA123)</f>
        <v/>
      </c>
      <c r="O123" s="245">
        <f>SUMIF($T$2:$CA$2,O$2,$T123:$CA123)</f>
        <v/>
      </c>
      <c r="P123" s="245">
        <f>SUMIF($T$2:$CA$2,P$2,$T123:$CA123)</f>
        <v/>
      </c>
      <c r="Q123" s="245">
        <f>SUMIF($T$2:$CA$2,Q$2,$T123:$CA123)</f>
        <v/>
      </c>
      <c r="T123" s="246" t="n"/>
      <c r="U123" s="246" t="n"/>
      <c r="V123" s="246" t="n"/>
      <c r="W123" s="246" t="n"/>
      <c r="X123" s="246" t="n">
        <v>1075000</v>
      </c>
      <c r="Y123" s="246" t="n"/>
      <c r="Z123" s="246" t="n"/>
      <c r="AA123" s="246" t="n"/>
      <c r="AB123" s="246" t="n"/>
      <c r="AC123" s="246" t="n"/>
      <c r="AD123" s="246" t="n"/>
      <c r="AE123" s="246" t="n"/>
      <c r="AF123" s="246" t="n"/>
      <c r="AG123" s="246" t="n"/>
      <c r="AH123" s="246" t="n"/>
      <c r="AI123" s="246" t="n"/>
      <c r="AJ123" s="246" t="n"/>
      <c r="AK123" s="246" t="n"/>
      <c r="AL123" s="246" t="n"/>
      <c r="AM123" s="246" t="n"/>
      <c r="AN123" s="246" t="n"/>
      <c r="AO123" s="246" t="n"/>
      <c r="AP123" s="246" t="n"/>
      <c r="AQ123" s="246" t="n"/>
      <c r="AR123" s="246" t="n"/>
      <c r="AS123" s="246" t="n"/>
      <c r="AT123" s="246" t="n"/>
      <c r="AU123" s="246" t="n"/>
      <c r="AV123" s="246" t="n"/>
      <c r="AW123" s="246" t="n"/>
      <c r="AX123" s="246" t="n"/>
      <c r="AY123" s="246" t="n"/>
      <c r="AZ123" s="246" t="n"/>
      <c r="BA123" s="246" t="n"/>
      <c r="BB123" s="246" t="n"/>
      <c r="BC123" s="246" t="n"/>
      <c r="BD123" s="246" t="n"/>
      <c r="BE123" s="246" t="n"/>
      <c r="BF123" s="246" t="n"/>
      <c r="BG123" s="246" t="n"/>
      <c r="BH123" s="246" t="n"/>
      <c r="BI123" s="246" t="n"/>
      <c r="BJ123" s="246" t="n"/>
      <c r="BK123" s="246" t="n"/>
      <c r="BL123" s="246" t="n"/>
      <c r="BM123" s="246" t="n"/>
      <c r="BN123" s="246" t="n"/>
      <c r="BO123" s="246" t="n"/>
      <c r="BP123" s="246" t="n"/>
      <c r="BQ123" s="246" t="n"/>
      <c r="BR123" s="246" t="n"/>
      <c r="BS123" s="246" t="n"/>
      <c r="BT123" s="246" t="n"/>
      <c r="BU123" s="246" t="n"/>
      <c r="BV123" s="246" t="n"/>
      <c r="BW123" s="246" t="n"/>
      <c r="BX123" s="246" t="n"/>
      <c r="BY123" s="246" t="n"/>
      <c r="BZ123" s="246" t="n"/>
      <c r="CA123" s="246" t="n"/>
      <c r="CB123" s="251" t="n"/>
    </row>
    <row r="124" ht="12" customHeight="1" s="227">
      <c r="A124" s="244" t="n"/>
      <c r="B124" s="244" t="n"/>
      <c r="C124" s="244" t="n"/>
      <c r="G124" s="222" t="n"/>
      <c r="H124" s="36" t="inlineStr">
        <is>
          <t>Tax Asset</t>
        </is>
      </c>
      <c r="I124" s="27">
        <f>i_Setup!$M$16</f>
        <v/>
      </c>
      <c r="K124" s="6" t="n"/>
      <c r="M124" s="245">
        <f>SUMIF($T$2:$CA$2,M$2,$T124:$CA124)</f>
        <v/>
      </c>
      <c r="N124" s="245">
        <f>SUMIF($T$2:$CA$2,N$2,$T124:$CA124)</f>
        <v/>
      </c>
      <c r="O124" s="245">
        <f>SUMIF($T$2:$CA$2,O$2,$T124:$CA124)</f>
        <v/>
      </c>
      <c r="P124" s="245">
        <f>SUMIF($T$2:$CA$2,P$2,$T124:$CA124)</f>
        <v/>
      </c>
      <c r="Q124" s="245">
        <f>SUMIF($T$2:$CA$2,Q$2,$T124:$CA124)</f>
        <v/>
      </c>
      <c r="T124" s="246" t="n"/>
      <c r="U124" s="246" t="n"/>
      <c r="V124" s="246" t="n"/>
      <c r="W124" s="246" t="n"/>
      <c r="X124" s="246" t="n">
        <v>22000</v>
      </c>
      <c r="Y124" s="246" t="n"/>
      <c r="Z124" s="246" t="n"/>
      <c r="AA124" s="246" t="n"/>
      <c r="AB124" s="246" t="n"/>
      <c r="AC124" s="246" t="n"/>
      <c r="AD124" s="246" t="n"/>
      <c r="AE124" s="246" t="n"/>
      <c r="AF124" s="246" t="n"/>
      <c r="AG124" s="246" t="n"/>
      <c r="AH124" s="246" t="n"/>
      <c r="AI124" s="246" t="n"/>
      <c r="AJ124" s="246" t="n"/>
      <c r="AK124" s="246" t="n"/>
      <c r="AL124" s="246" t="n"/>
      <c r="AM124" s="246" t="n"/>
      <c r="AN124" s="246" t="n"/>
      <c r="AO124" s="246" t="n"/>
      <c r="AP124" s="246" t="n"/>
      <c r="AQ124" s="246" t="n"/>
      <c r="AR124" s="246" t="n"/>
      <c r="AS124" s="246" t="n"/>
      <c r="AT124" s="246" t="n"/>
      <c r="AU124" s="246" t="n"/>
      <c r="AV124" s="246" t="n"/>
      <c r="AW124" s="246" t="n"/>
      <c r="AX124" s="246" t="n"/>
      <c r="AY124" s="246" t="n"/>
      <c r="AZ124" s="246" t="n"/>
      <c r="BA124" s="246" t="n"/>
      <c r="BB124" s="246" t="n"/>
      <c r="BC124" s="246" t="n"/>
      <c r="BD124" s="246" t="n"/>
      <c r="BE124" s="246" t="n"/>
      <c r="BF124" s="246" t="n"/>
      <c r="BG124" s="246" t="n"/>
      <c r="BH124" s="246" t="n"/>
      <c r="BI124" s="246" t="n"/>
      <c r="BJ124" s="246" t="n"/>
      <c r="BK124" s="246" t="n"/>
      <c r="BL124" s="246" t="n"/>
      <c r="BM124" s="246" t="n"/>
      <c r="BN124" s="246" t="n"/>
      <c r="BO124" s="246" t="n"/>
      <c r="BP124" s="246" t="n"/>
      <c r="BQ124" s="246" t="n"/>
      <c r="BR124" s="246" t="n"/>
      <c r="BS124" s="246" t="n"/>
      <c r="BT124" s="246" t="n"/>
      <c r="BU124" s="246" t="n"/>
      <c r="BV124" s="246" t="n"/>
      <c r="BW124" s="246" t="n"/>
      <c r="BX124" s="246" t="n"/>
      <c r="BY124" s="246" t="n"/>
      <c r="BZ124" s="246" t="n"/>
      <c r="CA124" s="246" t="n"/>
      <c r="CB124" s="251" t="n"/>
    </row>
    <row r="125" ht="12" customHeight="1" s="227">
      <c r="A125" s="244" t="n"/>
      <c r="B125" s="244" t="n"/>
      <c r="C125" s="244" t="n"/>
      <c r="G125" s="222" t="n"/>
      <c r="H125" s="36" t="inlineStr">
        <is>
          <t>Accounts Receivable</t>
        </is>
      </c>
      <c r="I125" s="27">
        <f>i_Setup!$M$16</f>
        <v/>
      </c>
      <c r="K125" s="240" t="n">
        <v>3</v>
      </c>
      <c r="M125" s="245">
        <f>SUMIF($T$2:$CA$2,M$2,$T125:$CA125)</f>
        <v/>
      </c>
      <c r="N125" s="245">
        <f>SUMIF($T$2:$CA$2,N$2,$T125:$CA125)</f>
        <v/>
      </c>
      <c r="O125" s="245">
        <f>SUMIF($T$2:$CA$2,O$2,$T125:$CA125)</f>
        <v/>
      </c>
      <c r="P125" s="245">
        <f>SUMIF($T$2:$CA$2,P$2,$T125:$CA125)</f>
        <v/>
      </c>
      <c r="Q125" s="245">
        <f>SUMIF($T$2:$CA$2,Q$2,$T125:$CA125)</f>
        <v/>
      </c>
      <c r="T125" s="246" t="n"/>
      <c r="U125" s="246" t="n"/>
      <c r="V125" s="246" t="n"/>
      <c r="W125" s="246" t="n"/>
      <c r="X125" s="246" t="n">
        <v>3000</v>
      </c>
      <c r="Y125" s="246" t="n"/>
      <c r="Z125" s="246" t="n"/>
      <c r="AA125" s="246" t="n"/>
      <c r="AB125" s="246" t="n"/>
      <c r="AC125" s="246" t="n"/>
      <c r="AD125" s="246" t="n"/>
      <c r="AE125" s="246" t="n"/>
      <c r="AF125" s="246" t="n"/>
      <c r="AG125" s="246" t="n"/>
      <c r="AH125" s="246" t="n"/>
      <c r="AI125" s="246" t="n"/>
      <c r="AJ125" s="246" t="n"/>
      <c r="AK125" s="246" t="n"/>
      <c r="AL125" s="246" t="n"/>
      <c r="AM125" s="246" t="n"/>
      <c r="AN125" s="246" t="n"/>
      <c r="AO125" s="246" t="n"/>
      <c r="AP125" s="246" t="n"/>
      <c r="AQ125" s="246" t="n"/>
      <c r="AR125" s="246" t="n"/>
      <c r="AS125" s="246" t="n"/>
      <c r="AT125" s="246" t="n"/>
      <c r="AU125" s="246" t="n"/>
      <c r="AV125" s="246" t="n"/>
      <c r="AW125" s="246" t="n"/>
      <c r="AX125" s="246" t="n"/>
      <c r="AY125" s="246" t="n"/>
      <c r="AZ125" s="246" t="n"/>
      <c r="BA125" s="246" t="n"/>
      <c r="BB125" s="246" t="n"/>
      <c r="BC125" s="246" t="n"/>
      <c r="BD125" s="246" t="n"/>
      <c r="BE125" s="246" t="n"/>
      <c r="BF125" s="246" t="n"/>
      <c r="BG125" s="246" t="n"/>
      <c r="BH125" s="246" t="n"/>
      <c r="BI125" s="246" t="n"/>
      <c r="BJ125" s="246" t="n"/>
      <c r="BK125" s="246" t="n"/>
      <c r="BL125" s="246" t="n"/>
      <c r="BM125" s="246" t="n"/>
      <c r="BN125" s="246" t="n"/>
      <c r="BO125" s="246" t="n"/>
      <c r="BP125" s="246" t="n"/>
      <c r="BQ125" s="246" t="n"/>
      <c r="BR125" s="246" t="n"/>
      <c r="BS125" s="246" t="n"/>
      <c r="BT125" s="246" t="n"/>
      <c r="BU125" s="246" t="n"/>
      <c r="BV125" s="246" t="n"/>
      <c r="BW125" s="246" t="n"/>
      <c r="BX125" s="246" t="n"/>
      <c r="BY125" s="246" t="n"/>
      <c r="BZ125" s="246" t="n"/>
      <c r="CA125" s="246" t="n"/>
      <c r="CB125" s="251" t="n"/>
    </row>
    <row r="126" ht="12" customHeight="1" s="227">
      <c r="A126" s="244" t="n"/>
      <c r="B126" s="244" t="n"/>
      <c r="C126" s="244" t="n"/>
      <c r="G126" s="222" t="n"/>
      <c r="H126" s="36" t="inlineStr">
        <is>
          <t>Other Assets</t>
        </is>
      </c>
      <c r="I126" s="27">
        <f>i_Setup!$M$16</f>
        <v/>
      </c>
      <c r="K126" s="6" t="n"/>
      <c r="M126" s="245">
        <f>SUMIF($T$2:$CA$2,M$2,$T126:$CA126)</f>
        <v/>
      </c>
      <c r="N126" s="245">
        <f>SUMIF($T$2:$CA$2,N$2,$T126:$CA126)</f>
        <v/>
      </c>
      <c r="O126" s="245">
        <f>SUMIF($T$2:$CA$2,O$2,$T126:$CA126)</f>
        <v/>
      </c>
      <c r="P126" s="245">
        <f>SUMIF($T$2:$CA$2,P$2,$T126:$CA126)</f>
        <v/>
      </c>
      <c r="Q126" s="245">
        <f>SUMIF($T$2:$CA$2,Q$2,$T126:$CA126)</f>
        <v/>
      </c>
      <c r="T126" s="246" t="n"/>
      <c r="U126" s="246" t="n"/>
      <c r="V126" s="246" t="n"/>
      <c r="W126" s="246" t="n"/>
      <c r="X126" s="246" t="n"/>
      <c r="Y126" s="246" t="n"/>
      <c r="Z126" s="246" t="n"/>
      <c r="AA126" s="246" t="n"/>
      <c r="AB126" s="246" t="n"/>
      <c r="AC126" s="246" t="n"/>
      <c r="AD126" s="246" t="n"/>
      <c r="AE126" s="246" t="n"/>
      <c r="AF126" s="246" t="n"/>
      <c r="AG126" s="246" t="n"/>
      <c r="AH126" s="246" t="n"/>
      <c r="AI126" s="246" t="n"/>
      <c r="AJ126" s="246" t="n"/>
      <c r="AK126" s="246" t="n"/>
      <c r="AL126" s="246" t="n"/>
      <c r="AM126" s="246" t="n"/>
      <c r="AN126" s="246" t="n"/>
      <c r="AO126" s="246" t="n"/>
      <c r="AP126" s="246" t="n"/>
      <c r="AQ126" s="246" t="n"/>
      <c r="AR126" s="246" t="n"/>
      <c r="AS126" s="246" t="n"/>
      <c r="AT126" s="246" t="n"/>
      <c r="AU126" s="246" t="n"/>
      <c r="AV126" s="246" t="n"/>
      <c r="AW126" s="246" t="n"/>
      <c r="AX126" s="246" t="n"/>
      <c r="AY126" s="246" t="n"/>
      <c r="AZ126" s="246" t="n"/>
      <c r="BA126" s="246" t="n"/>
      <c r="BB126" s="246" t="n"/>
      <c r="BC126" s="246" t="n"/>
      <c r="BD126" s="246" t="n"/>
      <c r="BE126" s="246" t="n"/>
      <c r="BF126" s="246" t="n"/>
      <c r="BG126" s="246" t="n"/>
      <c r="BH126" s="246" t="n"/>
      <c r="BI126" s="246" t="n"/>
      <c r="BJ126" s="246" t="n"/>
      <c r="BK126" s="246" t="n"/>
      <c r="BL126" s="246" t="n"/>
      <c r="BM126" s="246" t="n"/>
      <c r="BN126" s="246" t="n"/>
      <c r="BO126" s="246" t="n"/>
      <c r="BP126" s="246" t="n"/>
      <c r="BQ126" s="246" t="n"/>
      <c r="BR126" s="246" t="n"/>
      <c r="BS126" s="246" t="n"/>
      <c r="BT126" s="246" t="n"/>
      <c r="BU126" s="246" t="n"/>
      <c r="BV126" s="246" t="n"/>
      <c r="BW126" s="246" t="n"/>
      <c r="BX126" s="246" t="n"/>
      <c r="BY126" s="246" t="n"/>
      <c r="BZ126" s="246" t="n"/>
      <c r="CA126" s="246" t="n"/>
      <c r="CB126" s="251" t="n"/>
    </row>
    <row r="127" ht="12" customHeight="1" s="227">
      <c r="A127" s="244" t="n"/>
      <c r="B127" s="244" t="n"/>
      <c r="C127" s="244" t="n"/>
      <c r="G127" s="222" t="n"/>
      <c r="K127" s="6" t="n"/>
      <c r="T127" s="251" t="n"/>
      <c r="U127" s="251" t="n"/>
      <c r="V127" s="251" t="n"/>
      <c r="W127" s="251" t="n"/>
      <c r="X127" s="251" t="n"/>
      <c r="Y127" s="251" t="n"/>
      <c r="Z127" s="251" t="n"/>
      <c r="AA127" s="251" t="n"/>
      <c r="AB127" s="251" t="n"/>
      <c r="AC127" s="251" t="n"/>
      <c r="AD127" s="251" t="n"/>
      <c r="AE127" s="251" t="n"/>
      <c r="AF127" s="251" t="n"/>
      <c r="AG127" s="251" t="n"/>
      <c r="AH127" s="251" t="n"/>
      <c r="AI127" s="251" t="n"/>
      <c r="AJ127" s="251" t="n"/>
      <c r="AK127" s="251" t="n"/>
      <c r="AL127" s="251" t="n"/>
      <c r="AM127" s="251" t="n"/>
      <c r="AN127" s="251" t="n"/>
      <c r="AO127" s="251" t="n"/>
      <c r="AP127" s="251" t="n"/>
      <c r="AQ127" s="251" t="n"/>
      <c r="AR127" s="251" t="n"/>
      <c r="AS127" s="251" t="n"/>
      <c r="AT127" s="251" t="n"/>
      <c r="AU127" s="251" t="n"/>
      <c r="AV127" s="251" t="n"/>
      <c r="AW127" s="251" t="n"/>
      <c r="AX127" s="251" t="n"/>
      <c r="AY127" s="251" t="n"/>
      <c r="AZ127" s="251" t="n"/>
      <c r="BA127" s="251" t="n"/>
      <c r="BB127" s="251" t="n"/>
      <c r="BC127" s="251" t="n"/>
      <c r="BD127" s="251" t="n"/>
      <c r="BE127" s="251" t="n"/>
      <c r="BF127" s="251" t="n"/>
      <c r="BG127" s="251" t="n"/>
      <c r="BH127" s="251" t="n"/>
      <c r="BI127" s="251" t="n"/>
      <c r="BJ127" s="251" t="n"/>
      <c r="BK127" s="251" t="n"/>
      <c r="BL127" s="251" t="n"/>
      <c r="BM127" s="251" t="n"/>
      <c r="BN127" s="251" t="n"/>
      <c r="BO127" s="251" t="n"/>
      <c r="BP127" s="251" t="n"/>
      <c r="BQ127" s="251" t="n"/>
      <c r="BR127" s="251" t="n"/>
      <c r="BS127" s="251" t="n"/>
      <c r="BT127" s="251" t="n"/>
      <c r="BU127" s="251" t="n"/>
      <c r="BV127" s="251" t="n"/>
      <c r="BW127" s="251" t="n"/>
      <c r="BX127" s="251" t="n"/>
      <c r="BY127" s="251" t="n"/>
      <c r="BZ127" s="251" t="n"/>
      <c r="CA127" s="251" t="n"/>
      <c r="CB127" s="251" t="n"/>
    </row>
    <row r="128" ht="12" customHeight="1" s="227" thickBot="1">
      <c r="A128" s="244" t="n"/>
      <c r="B128" s="244" t="n"/>
      <c r="C128" s="244" t="n"/>
      <c r="G128" s="83" t="inlineStr">
        <is>
          <t>Total Assets</t>
        </is>
      </c>
      <c r="H128" s="77" t="n"/>
      <c r="I128" s="78">
        <f>i_Setup!$M$16</f>
        <v/>
      </c>
      <c r="K128" s="6" t="n"/>
      <c r="M128" s="250">
        <f>SUM(M110:M126)</f>
        <v/>
      </c>
      <c r="N128" s="250">
        <f>SUM(N110:N126)</f>
        <v/>
      </c>
      <c r="O128" s="250">
        <f>SUM(O110:O126)</f>
        <v/>
      </c>
      <c r="P128" s="250">
        <f>SUM(P110:P126)</f>
        <v/>
      </c>
      <c r="Q128" s="250">
        <f>SUM(Q110:Q126)</f>
        <v/>
      </c>
      <c r="T128" s="250">
        <f>SUM(T110:T126)</f>
        <v/>
      </c>
      <c r="U128" s="250">
        <f>SUM(U110:U126)</f>
        <v/>
      </c>
      <c r="V128" s="250">
        <f>SUM(V110:V126)</f>
        <v/>
      </c>
      <c r="W128" s="250">
        <f>SUM(W110:W126)</f>
        <v/>
      </c>
      <c r="X128" s="250">
        <f>SUM(X110:X126)</f>
        <v/>
      </c>
      <c r="Y128" s="250">
        <f>SUM(Y110:Y126)</f>
        <v/>
      </c>
      <c r="Z128" s="250">
        <f>SUM(Z110:Z126)</f>
        <v/>
      </c>
      <c r="AA128" s="250">
        <f>SUM(AA110:AA126)</f>
        <v/>
      </c>
      <c r="AB128" s="250">
        <f>SUM(AB110:AB126)</f>
        <v/>
      </c>
      <c r="AC128" s="250">
        <f>SUM(AC110:AC126)</f>
        <v/>
      </c>
      <c r="AD128" s="250">
        <f>SUM(AD110:AD126)</f>
        <v/>
      </c>
      <c r="AE128" s="250">
        <f>SUM(AE110:AE126)</f>
        <v/>
      </c>
      <c r="AF128" s="250">
        <f>SUM(AF110:AF126)</f>
        <v/>
      </c>
      <c r="AG128" s="250">
        <f>SUM(AG110:AG126)</f>
        <v/>
      </c>
      <c r="AH128" s="250">
        <f>SUM(AH110:AH126)</f>
        <v/>
      </c>
      <c r="AI128" s="250">
        <f>SUM(AI110:AI126)</f>
        <v/>
      </c>
      <c r="AJ128" s="250">
        <f>SUM(AJ110:AJ126)</f>
        <v/>
      </c>
      <c r="AK128" s="250">
        <f>SUM(AK110:AK126)</f>
        <v/>
      </c>
      <c r="AL128" s="250">
        <f>SUM(AL110:AL126)</f>
        <v/>
      </c>
      <c r="AM128" s="250">
        <f>SUM(AM110:AM126)</f>
        <v/>
      </c>
      <c r="AN128" s="250">
        <f>SUM(AN110:AN126)</f>
        <v/>
      </c>
      <c r="AO128" s="250">
        <f>SUM(AO110:AO126)</f>
        <v/>
      </c>
      <c r="AP128" s="250">
        <f>SUM(AP110:AP126)</f>
        <v/>
      </c>
      <c r="AQ128" s="250">
        <f>SUM(AQ110:AQ126)</f>
        <v/>
      </c>
      <c r="AR128" s="250">
        <f>SUM(AR110:AR126)</f>
        <v/>
      </c>
      <c r="AS128" s="250">
        <f>SUM(AS110:AS126)</f>
        <v/>
      </c>
      <c r="AT128" s="250">
        <f>SUM(AT110:AT126)</f>
        <v/>
      </c>
      <c r="AU128" s="250">
        <f>SUM(AU110:AU126)</f>
        <v/>
      </c>
      <c r="AV128" s="250">
        <f>SUM(AV110:AV126)</f>
        <v/>
      </c>
      <c r="AW128" s="250">
        <f>SUM(AW110:AW126)</f>
        <v/>
      </c>
      <c r="AX128" s="250">
        <f>SUM(AX110:AX126)</f>
        <v/>
      </c>
      <c r="AY128" s="250">
        <f>SUM(AY110:AY126)</f>
        <v/>
      </c>
      <c r="AZ128" s="250">
        <f>SUM(AZ110:AZ126)</f>
        <v/>
      </c>
      <c r="BA128" s="250">
        <f>SUM(BA110:BA126)</f>
        <v/>
      </c>
      <c r="BB128" s="250">
        <f>SUM(BB110:BB126)</f>
        <v/>
      </c>
      <c r="BC128" s="250">
        <f>SUM(BC110:BC126)</f>
        <v/>
      </c>
      <c r="BD128" s="250">
        <f>SUM(BD110:BD126)</f>
        <v/>
      </c>
      <c r="BE128" s="250">
        <f>SUM(BE110:BE126)</f>
        <v/>
      </c>
      <c r="BF128" s="250">
        <f>SUM(BF110:BF126)</f>
        <v/>
      </c>
      <c r="BG128" s="250">
        <f>SUM(BG110:BG126)</f>
        <v/>
      </c>
      <c r="BH128" s="250">
        <f>SUM(BH110:BH126)</f>
        <v/>
      </c>
      <c r="BI128" s="250">
        <f>SUM(BI110:BI126)</f>
        <v/>
      </c>
      <c r="BJ128" s="250">
        <f>SUM(BJ110:BJ126)</f>
        <v/>
      </c>
      <c r="BK128" s="250">
        <f>SUM(BK110:BK126)</f>
        <v/>
      </c>
      <c r="BL128" s="250">
        <f>SUM(BL110:BL126)</f>
        <v/>
      </c>
      <c r="BM128" s="250">
        <f>SUM(BM110:BM126)</f>
        <v/>
      </c>
      <c r="BN128" s="250">
        <f>SUM(BN110:BN126)</f>
        <v/>
      </c>
      <c r="BO128" s="250">
        <f>SUM(BO110:BO126)</f>
        <v/>
      </c>
      <c r="BP128" s="250">
        <f>SUM(BP110:BP126)</f>
        <v/>
      </c>
      <c r="BQ128" s="250">
        <f>SUM(BQ110:BQ126)</f>
        <v/>
      </c>
      <c r="BR128" s="250">
        <f>SUM(BR110:BR126)</f>
        <v/>
      </c>
      <c r="BS128" s="250">
        <f>SUM(BS110:BS126)</f>
        <v/>
      </c>
      <c r="BT128" s="250">
        <f>SUM(BT110:BT126)</f>
        <v/>
      </c>
      <c r="BU128" s="250">
        <f>SUM(BU110:BU126)</f>
        <v/>
      </c>
      <c r="BV128" s="250">
        <f>SUM(BV110:BV126)</f>
        <v/>
      </c>
      <c r="BW128" s="250">
        <f>SUM(BW110:BW126)</f>
        <v/>
      </c>
      <c r="BX128" s="250">
        <f>SUM(BX110:BX126)</f>
        <v/>
      </c>
      <c r="BY128" s="250">
        <f>SUM(BY110:BY126)</f>
        <v/>
      </c>
      <c r="BZ128" s="250">
        <f>SUM(BZ110:BZ126)</f>
        <v/>
      </c>
      <c r="CA128" s="250">
        <f>SUM(CA110:CA126)</f>
        <v/>
      </c>
      <c r="CB128" s="251" t="n"/>
    </row>
    <row r="129" ht="12" customHeight="1" s="227">
      <c r="A129" s="244" t="n"/>
      <c r="B129" s="244" t="n"/>
      <c r="C129" s="244" t="n"/>
      <c r="K129" s="6" t="n"/>
      <c r="T129" s="251" t="n"/>
      <c r="U129" s="251" t="n"/>
      <c r="V129" s="251" t="n"/>
      <c r="W129" s="251" t="n"/>
      <c r="X129" s="251" t="n"/>
      <c r="Y129" s="251" t="n"/>
      <c r="Z129" s="251" t="n"/>
      <c r="AA129" s="251" t="n"/>
      <c r="AB129" s="251" t="n"/>
      <c r="AC129" s="251" t="n"/>
      <c r="AD129" s="251" t="n"/>
      <c r="AE129" s="251" t="n"/>
      <c r="AF129" s="251" t="n"/>
      <c r="AG129" s="251" t="n"/>
      <c r="AH129" s="251" t="n"/>
      <c r="AI129" s="251" t="n"/>
      <c r="AJ129" s="251" t="n"/>
      <c r="AK129" s="251" t="n"/>
      <c r="AL129" s="251" t="n"/>
      <c r="AM129" s="251" t="n"/>
      <c r="AN129" s="251" t="n"/>
      <c r="AO129" s="251" t="n"/>
      <c r="AP129" s="251" t="n"/>
      <c r="AQ129" s="251" t="n"/>
      <c r="AR129" s="251" t="n"/>
      <c r="AS129" s="251" t="n"/>
      <c r="AT129" s="251" t="n"/>
      <c r="AU129" s="251" t="n"/>
      <c r="AV129" s="251" t="n"/>
      <c r="AW129" s="251" t="n"/>
      <c r="AX129" s="251" t="n"/>
      <c r="AY129" s="251" t="n"/>
      <c r="AZ129" s="251" t="n"/>
      <c r="BA129" s="251" t="n"/>
      <c r="BB129" s="251" t="n"/>
      <c r="BC129" s="251" t="n"/>
      <c r="BD129" s="251" t="n"/>
      <c r="BE129" s="251" t="n"/>
      <c r="BF129" s="251" t="n"/>
      <c r="BG129" s="251" t="n"/>
      <c r="BH129" s="251" t="n"/>
      <c r="BI129" s="251" t="n"/>
      <c r="BJ129" s="251" t="n"/>
      <c r="BK129" s="251" t="n"/>
      <c r="BL129" s="251" t="n"/>
      <c r="BM129" s="251" t="n"/>
      <c r="BN129" s="251" t="n"/>
      <c r="BO129" s="251" t="n"/>
      <c r="BP129" s="251" t="n"/>
      <c r="BQ129" s="251" t="n"/>
      <c r="BR129" s="251" t="n"/>
      <c r="BS129" s="251" t="n"/>
      <c r="BT129" s="251" t="n"/>
      <c r="BU129" s="251" t="n"/>
      <c r="BV129" s="251" t="n"/>
      <c r="BW129" s="251" t="n"/>
      <c r="BX129" s="251" t="n"/>
      <c r="BY129" s="251" t="n"/>
      <c r="BZ129" s="251" t="n"/>
      <c r="CA129" s="251" t="n"/>
      <c r="CB129" s="251" t="n"/>
    </row>
    <row r="130" ht="12" customHeight="1" s="227">
      <c r="A130" s="244" t="n"/>
      <c r="B130" s="244" t="n"/>
      <c r="C130" s="244" t="n"/>
      <c r="K130" s="6" t="n"/>
      <c r="T130" s="251" t="n"/>
      <c r="U130" s="251" t="n"/>
      <c r="V130" s="251" t="n"/>
      <c r="W130" s="251" t="n"/>
      <c r="X130" s="251" t="n"/>
      <c r="Y130" s="251" t="n"/>
      <c r="Z130" s="251" t="n"/>
      <c r="AA130" s="251" t="n"/>
      <c r="AB130" s="251" t="n"/>
      <c r="AC130" s="251" t="n"/>
      <c r="AD130" s="251" t="n"/>
      <c r="AE130" s="251" t="n"/>
      <c r="AF130" s="251" t="n"/>
      <c r="AG130" s="251" t="n"/>
      <c r="AH130" s="251" t="n"/>
      <c r="AI130" s="251" t="n"/>
      <c r="AJ130" s="251" t="n"/>
      <c r="AK130" s="251" t="n"/>
      <c r="AL130" s="251" t="n"/>
      <c r="AM130" s="251" t="n"/>
      <c r="AN130" s="251" t="n"/>
      <c r="AO130" s="251" t="n"/>
      <c r="AP130" s="251" t="n"/>
      <c r="AQ130" s="251" t="n"/>
      <c r="AR130" s="251" t="n"/>
      <c r="AS130" s="251" t="n"/>
      <c r="AT130" s="251" t="n"/>
      <c r="AU130" s="251" t="n"/>
      <c r="AV130" s="251" t="n"/>
      <c r="AW130" s="251" t="n"/>
      <c r="AX130" s="251" t="n"/>
      <c r="AY130" s="251" t="n"/>
      <c r="AZ130" s="251" t="n"/>
      <c r="BA130" s="251" t="n"/>
      <c r="BB130" s="251" t="n"/>
      <c r="BC130" s="251" t="n"/>
      <c r="BD130" s="251" t="n"/>
      <c r="BE130" s="251" t="n"/>
      <c r="BF130" s="251" t="n"/>
      <c r="BG130" s="251" t="n"/>
      <c r="BH130" s="251" t="n"/>
      <c r="BI130" s="251" t="n"/>
      <c r="BJ130" s="251" t="n"/>
      <c r="BK130" s="251" t="n"/>
      <c r="BL130" s="251" t="n"/>
      <c r="BM130" s="251" t="n"/>
      <c r="BN130" s="251" t="n"/>
      <c r="BO130" s="251" t="n"/>
      <c r="BP130" s="251" t="n"/>
      <c r="BQ130" s="251" t="n"/>
      <c r="BR130" s="251" t="n"/>
      <c r="BS130" s="251" t="n"/>
      <c r="BT130" s="251" t="n"/>
      <c r="BU130" s="251" t="n"/>
      <c r="BV130" s="251" t="n"/>
      <c r="BW130" s="251" t="n"/>
      <c r="BX130" s="251" t="n"/>
      <c r="BY130" s="251" t="n"/>
      <c r="BZ130" s="251" t="n"/>
      <c r="CA130" s="251" t="n"/>
      <c r="CB130" s="251" t="n"/>
    </row>
    <row r="131" ht="30" customHeight="1" s="227">
      <c r="A131" s="244" t="n"/>
      <c r="B131" s="244" t="n"/>
      <c r="C131" s="244" t="n"/>
      <c r="G131" s="222" t="inlineStr">
        <is>
          <t>Liabilities</t>
        </is>
      </c>
      <c r="K131" s="161" t="inlineStr">
        <is>
          <t>Settlement (Months)</t>
        </is>
      </c>
      <c r="T131" s="251" t="n"/>
      <c r="U131" s="251" t="n"/>
      <c r="V131" s="251" t="n"/>
      <c r="W131" s="251" t="n"/>
      <c r="X131" s="251" t="n"/>
      <c r="Y131" s="251" t="n"/>
      <c r="Z131" s="251" t="n"/>
      <c r="AA131" s="251" t="n"/>
      <c r="AB131" s="251" t="n"/>
      <c r="AC131" s="251" t="n"/>
      <c r="AD131" s="251" t="n"/>
      <c r="AE131" s="251" t="n"/>
      <c r="AF131" s="251" t="n"/>
      <c r="AG131" s="251" t="n"/>
      <c r="AH131" s="251" t="n"/>
      <c r="AI131" s="251" t="n"/>
      <c r="AJ131" s="251" t="n"/>
      <c r="AK131" s="251" t="n"/>
      <c r="AL131" s="251" t="n"/>
      <c r="AM131" s="251" t="n"/>
      <c r="AN131" s="251" t="n"/>
      <c r="AO131" s="251" t="n"/>
      <c r="AP131" s="251" t="n"/>
      <c r="AQ131" s="251" t="n"/>
      <c r="AR131" s="251" t="n"/>
      <c r="AS131" s="251" t="n"/>
      <c r="AT131" s="251" t="n"/>
      <c r="AU131" s="251" t="n"/>
      <c r="AV131" s="251" t="n"/>
      <c r="AW131" s="251" t="n"/>
      <c r="AX131" s="251" t="n"/>
      <c r="AY131" s="251" t="n"/>
      <c r="AZ131" s="251" t="n"/>
      <c r="BA131" s="251" t="n"/>
      <c r="BB131" s="251" t="n"/>
      <c r="BC131" s="251" t="n"/>
      <c r="BD131" s="251" t="n"/>
      <c r="BE131" s="251" t="n"/>
      <c r="BF131" s="251" t="n"/>
      <c r="BG131" s="251" t="n"/>
      <c r="BH131" s="251" t="n"/>
      <c r="BI131" s="251" t="n"/>
      <c r="BJ131" s="251" t="n"/>
      <c r="BK131" s="251" t="n"/>
      <c r="BL131" s="251" t="n"/>
      <c r="BM131" s="251" t="n"/>
      <c r="BN131" s="251" t="n"/>
      <c r="BO131" s="251" t="n"/>
      <c r="BP131" s="251" t="n"/>
      <c r="BQ131" s="251" t="n"/>
      <c r="BR131" s="251" t="n"/>
      <c r="BS131" s="251" t="n"/>
      <c r="BT131" s="251" t="n"/>
      <c r="BU131" s="251" t="n"/>
      <c r="BV131" s="251" t="n"/>
      <c r="BW131" s="251" t="n"/>
      <c r="BX131" s="251" t="n"/>
      <c r="BY131" s="251" t="n"/>
      <c r="BZ131" s="251" t="n"/>
      <c r="CA131" s="251" t="n"/>
      <c r="CB131" s="251" t="n"/>
    </row>
    <row r="132" ht="12" customHeight="1" s="227">
      <c r="A132" s="244" t="n"/>
      <c r="B132" s="244" t="n"/>
      <c r="C132" s="244" t="n"/>
      <c r="G132" s="222" t="n"/>
      <c r="H132" s="8" t="inlineStr">
        <is>
          <t>Borrowings</t>
        </is>
      </c>
      <c r="I132" s="27" t="n"/>
      <c r="K132" s="252" t="n"/>
      <c r="T132" s="251" t="n"/>
      <c r="U132" s="251" t="n"/>
      <c r="V132" s="251" t="n"/>
      <c r="W132" s="251" t="n"/>
      <c r="X132" s="251" t="n"/>
      <c r="Y132" s="251" t="n"/>
      <c r="Z132" s="251" t="n"/>
      <c r="AA132" s="251" t="n"/>
      <c r="AB132" s="251" t="n"/>
      <c r="AC132" s="251" t="n"/>
      <c r="AD132" s="251" t="n"/>
      <c r="AE132" s="251" t="n"/>
      <c r="AF132" s="251" t="n"/>
      <c r="AG132" s="251" t="n"/>
      <c r="AH132" s="251" t="n"/>
      <c r="AI132" s="251" t="n"/>
      <c r="AJ132" s="251" t="n"/>
      <c r="AK132" s="251" t="n"/>
      <c r="AL132" s="251" t="n"/>
      <c r="AM132" s="251" t="n"/>
      <c r="AN132" s="251" t="n"/>
      <c r="AO132" s="251" t="n"/>
      <c r="AP132" s="251" t="n"/>
      <c r="AQ132" s="251" t="n"/>
      <c r="AR132" s="251" t="n"/>
      <c r="AS132" s="251" t="n"/>
      <c r="AT132" s="251" t="n"/>
      <c r="AU132" s="251" t="n"/>
      <c r="AV132" s="251" t="n"/>
      <c r="AW132" s="251" t="n"/>
      <c r="AX132" s="251" t="n"/>
      <c r="AY132" s="251" t="n"/>
      <c r="AZ132" s="251" t="n"/>
      <c r="BA132" s="251" t="n"/>
      <c r="BB132" s="251" t="n"/>
      <c r="BC132" s="251" t="n"/>
      <c r="BD132" s="251" t="n"/>
      <c r="BE132" s="251" t="n"/>
      <c r="BF132" s="251" t="n"/>
      <c r="BG132" s="251" t="n"/>
      <c r="BH132" s="251" t="n"/>
      <c r="BI132" s="251" t="n"/>
      <c r="BJ132" s="251" t="n"/>
      <c r="BK132" s="251" t="n"/>
      <c r="BL132" s="251" t="n"/>
      <c r="BM132" s="251" t="n"/>
      <c r="BN132" s="251" t="n"/>
      <c r="BO132" s="251" t="n"/>
      <c r="BP132" s="251" t="n"/>
      <c r="BQ132" s="251" t="n"/>
      <c r="BR132" s="251" t="n"/>
      <c r="BS132" s="251" t="n"/>
      <c r="BT132" s="251" t="n"/>
      <c r="BU132" s="251" t="n"/>
      <c r="BV132" s="251" t="n"/>
      <c r="BW132" s="251" t="n"/>
      <c r="BX132" s="251" t="n"/>
      <c r="BY132" s="251" t="n"/>
      <c r="BZ132" s="251" t="n"/>
      <c r="CA132" s="251" t="n"/>
      <c r="CB132" s="251" t="n"/>
    </row>
    <row r="133" ht="12" customHeight="1" s="227">
      <c r="A133" s="244" t="n"/>
      <c r="B133" s="244" t="n"/>
      <c r="C133" s="244" t="n"/>
      <c r="G133" s="222" t="n"/>
      <c r="H133" s="36">
        <f>i_Setup!U124</f>
        <v/>
      </c>
      <c r="I133" s="27">
        <f>i_Setup!$M$16</f>
        <v/>
      </c>
      <c r="M133" s="245">
        <f>SUMIF($T$2:$CA$2,M$2,$T133:$CA133)</f>
        <v/>
      </c>
      <c r="N133" s="245">
        <f>SUMIF($T$2:$CA$2,N$2,$T133:$CA133)</f>
        <v/>
      </c>
      <c r="O133" s="245">
        <f>SUMIF($T$2:$CA$2,O$2,$T133:$CA133)</f>
        <v/>
      </c>
      <c r="P133" s="245">
        <f>SUMIF($T$2:$CA$2,P$2,$T133:$CA133)</f>
        <v/>
      </c>
      <c r="Q133" s="245">
        <f>SUMIF($T$2:$CA$2,Q$2,$T133:$CA133)</f>
        <v/>
      </c>
      <c r="T133" s="246" t="n"/>
      <c r="U133" s="246" t="n"/>
      <c r="V133" s="246" t="n"/>
      <c r="W133" s="246" t="n"/>
      <c r="X133" s="246" t="n">
        <v>-30000</v>
      </c>
      <c r="Y133" s="246" t="n"/>
      <c r="Z133" s="246" t="n"/>
      <c r="AA133" s="246" t="n"/>
      <c r="AB133" s="246" t="n"/>
      <c r="AC133" s="246" t="n"/>
      <c r="AD133" s="246" t="n"/>
      <c r="AE133" s="246" t="n"/>
      <c r="AF133" s="246" t="n"/>
      <c r="AG133" s="246" t="n"/>
      <c r="AH133" s="246" t="n"/>
      <c r="AI133" s="246" t="n"/>
      <c r="AJ133" s="246" t="n"/>
      <c r="AK133" s="246" t="n"/>
      <c r="AL133" s="246" t="n"/>
      <c r="AM133" s="246" t="n"/>
      <c r="AN133" s="246" t="n"/>
      <c r="AO133" s="246" t="n"/>
      <c r="AP133" s="246" t="n"/>
      <c r="AQ133" s="246" t="n"/>
      <c r="AR133" s="246" t="n"/>
      <c r="AS133" s="246" t="n"/>
      <c r="AT133" s="246" t="n"/>
      <c r="AU133" s="246" t="n"/>
      <c r="AV133" s="246" t="n"/>
      <c r="AW133" s="246" t="n"/>
      <c r="AX133" s="246" t="n"/>
      <c r="AY133" s="246" t="n"/>
      <c r="AZ133" s="246" t="n"/>
      <c r="BA133" s="246" t="n"/>
      <c r="BB133" s="246" t="n"/>
      <c r="BC133" s="246" t="n"/>
      <c r="BD133" s="246" t="n"/>
      <c r="BE133" s="246" t="n"/>
      <c r="BF133" s="246" t="n"/>
      <c r="BG133" s="246" t="n"/>
      <c r="BH133" s="246" t="n"/>
      <c r="BI133" s="246" t="n"/>
      <c r="BJ133" s="246" t="n"/>
      <c r="BK133" s="246" t="n"/>
      <c r="BL133" s="246" t="n"/>
      <c r="BM133" s="246" t="n"/>
      <c r="BN133" s="246" t="n"/>
      <c r="BO133" s="246" t="n"/>
      <c r="BP133" s="246" t="n"/>
      <c r="BQ133" s="246" t="n"/>
      <c r="BR133" s="246" t="n"/>
      <c r="BS133" s="246" t="n"/>
      <c r="BT133" s="246" t="n"/>
      <c r="BU133" s="246" t="n"/>
      <c r="BV133" s="246" t="n"/>
      <c r="BW133" s="246" t="n"/>
      <c r="BX133" s="246" t="n"/>
      <c r="BY133" s="246" t="n"/>
      <c r="BZ133" s="246" t="n"/>
      <c r="CA133" s="246" t="n"/>
      <c r="CB133" s="251" t="n"/>
    </row>
    <row r="134" ht="12" customHeight="1" s="227">
      <c r="A134" s="244" t="n"/>
      <c r="B134" s="244" t="n"/>
      <c r="C134" s="244" t="n"/>
      <c r="G134" s="222" t="n"/>
      <c r="H134" s="36">
        <f>i_Setup!U125</f>
        <v/>
      </c>
      <c r="I134" s="27">
        <f>i_Setup!$M$16</f>
        <v/>
      </c>
      <c r="M134" s="245">
        <f>SUMIF($T$2:$CA$2,M$2,$T134:$CA134)</f>
        <v/>
      </c>
      <c r="N134" s="245">
        <f>SUMIF($T$2:$CA$2,N$2,$T134:$CA134)</f>
        <v/>
      </c>
      <c r="O134" s="245">
        <f>SUMIF($T$2:$CA$2,O$2,$T134:$CA134)</f>
        <v/>
      </c>
      <c r="P134" s="245">
        <f>SUMIF($T$2:$CA$2,P$2,$T134:$CA134)</f>
        <v/>
      </c>
      <c r="Q134" s="245">
        <f>SUMIF($T$2:$CA$2,Q$2,$T134:$CA134)</f>
        <v/>
      </c>
      <c r="T134" s="246" t="n"/>
      <c r="U134" s="246" t="n"/>
      <c r="V134" s="246" t="n"/>
      <c r="W134" s="246" t="n"/>
      <c r="X134" s="246" t="n"/>
      <c r="Y134" s="246" t="n"/>
      <c r="Z134" s="246" t="n"/>
      <c r="AA134" s="246" t="n"/>
      <c r="AB134" s="246" t="n"/>
      <c r="AC134" s="246" t="n"/>
      <c r="AD134" s="246" t="n"/>
      <c r="AE134" s="246" t="n"/>
      <c r="AF134" s="246" t="n"/>
      <c r="AG134" s="246" t="n"/>
      <c r="AH134" s="246" t="n"/>
      <c r="AI134" s="246" t="n"/>
      <c r="AJ134" s="246" t="n"/>
      <c r="AK134" s="246" t="n"/>
      <c r="AL134" s="246" t="n"/>
      <c r="AM134" s="246" t="n"/>
      <c r="AN134" s="246" t="n"/>
      <c r="AO134" s="246" t="n"/>
      <c r="AP134" s="246" t="n"/>
      <c r="AQ134" s="246" t="n"/>
      <c r="AR134" s="246" t="n"/>
      <c r="AS134" s="246" t="n"/>
      <c r="AT134" s="246" t="n"/>
      <c r="AU134" s="246" t="n"/>
      <c r="AV134" s="246" t="n"/>
      <c r="AW134" s="246" t="n"/>
      <c r="AX134" s="246" t="n"/>
      <c r="AY134" s="246" t="n"/>
      <c r="AZ134" s="246" t="n"/>
      <c r="BA134" s="246" t="n"/>
      <c r="BB134" s="246" t="n"/>
      <c r="BC134" s="246" t="n"/>
      <c r="BD134" s="246" t="n"/>
      <c r="BE134" s="246" t="n"/>
      <c r="BF134" s="246" t="n"/>
      <c r="BG134" s="246" t="n"/>
      <c r="BH134" s="246" t="n"/>
      <c r="BI134" s="246" t="n"/>
      <c r="BJ134" s="246" t="n"/>
      <c r="BK134" s="246" t="n"/>
      <c r="BL134" s="246" t="n"/>
      <c r="BM134" s="246" t="n"/>
      <c r="BN134" s="246" t="n"/>
      <c r="BO134" s="246" t="n"/>
      <c r="BP134" s="246" t="n"/>
      <c r="BQ134" s="246" t="n"/>
      <c r="BR134" s="246" t="n"/>
      <c r="BS134" s="246" t="n"/>
      <c r="BT134" s="246" t="n"/>
      <c r="BU134" s="246" t="n"/>
      <c r="BV134" s="246" t="n"/>
      <c r="BW134" s="246" t="n"/>
      <c r="BX134" s="246" t="n"/>
      <c r="BY134" s="246" t="n"/>
      <c r="BZ134" s="246" t="n"/>
      <c r="CA134" s="246" t="n"/>
      <c r="CB134" s="251" t="n"/>
    </row>
    <row r="135" ht="12" customHeight="1" s="227">
      <c r="A135" s="244" t="n"/>
      <c r="B135" s="244" t="n"/>
      <c r="C135" s="244" t="n"/>
      <c r="G135" s="222" t="n"/>
      <c r="H135" s="36">
        <f>i_Setup!U126</f>
        <v/>
      </c>
      <c r="I135" s="27">
        <f>i_Setup!$M$16</f>
        <v/>
      </c>
      <c r="M135" s="245">
        <f>SUMIF($T$2:$CA$2,M$2,$T135:$CA135)</f>
        <v/>
      </c>
      <c r="N135" s="245">
        <f>SUMIF($T$2:$CA$2,N$2,$T135:$CA135)</f>
        <v/>
      </c>
      <c r="O135" s="245">
        <f>SUMIF($T$2:$CA$2,O$2,$T135:$CA135)</f>
        <v/>
      </c>
      <c r="P135" s="245">
        <f>SUMIF($T$2:$CA$2,P$2,$T135:$CA135)</f>
        <v/>
      </c>
      <c r="Q135" s="245">
        <f>SUMIF($T$2:$CA$2,Q$2,$T135:$CA135)</f>
        <v/>
      </c>
      <c r="T135" s="246" t="n"/>
      <c r="U135" s="246" t="n"/>
      <c r="V135" s="246" t="n"/>
      <c r="W135" s="246" t="n"/>
      <c r="X135" s="246" t="n"/>
      <c r="Y135" s="246" t="n"/>
      <c r="Z135" s="246" t="n"/>
      <c r="AA135" s="246" t="n"/>
      <c r="AB135" s="246" t="n"/>
      <c r="AC135" s="246" t="n"/>
      <c r="AD135" s="246" t="n"/>
      <c r="AE135" s="246" t="n"/>
      <c r="AF135" s="246" t="n"/>
      <c r="AG135" s="246" t="n"/>
      <c r="AH135" s="246" t="n"/>
      <c r="AI135" s="246" t="n"/>
      <c r="AJ135" s="246" t="n"/>
      <c r="AK135" s="246" t="n"/>
      <c r="AL135" s="246" t="n"/>
      <c r="AM135" s="246" t="n"/>
      <c r="AN135" s="246" t="n"/>
      <c r="AO135" s="246" t="n"/>
      <c r="AP135" s="246" t="n"/>
      <c r="AQ135" s="246" t="n"/>
      <c r="AR135" s="246" t="n"/>
      <c r="AS135" s="246" t="n"/>
      <c r="AT135" s="246" t="n"/>
      <c r="AU135" s="246" t="n"/>
      <c r="AV135" s="246" t="n"/>
      <c r="AW135" s="246" t="n"/>
      <c r="AX135" s="246" t="n"/>
      <c r="AY135" s="246" t="n"/>
      <c r="AZ135" s="246" t="n"/>
      <c r="BA135" s="246" t="n"/>
      <c r="BB135" s="246" t="n"/>
      <c r="BC135" s="246" t="n"/>
      <c r="BD135" s="246" t="n"/>
      <c r="BE135" s="246" t="n"/>
      <c r="BF135" s="246" t="n"/>
      <c r="BG135" s="246" t="n"/>
      <c r="BH135" s="246" t="n"/>
      <c r="BI135" s="246" t="n"/>
      <c r="BJ135" s="246" t="n"/>
      <c r="BK135" s="246" t="n"/>
      <c r="BL135" s="246" t="n"/>
      <c r="BM135" s="246" t="n"/>
      <c r="BN135" s="246" t="n"/>
      <c r="BO135" s="246" t="n"/>
      <c r="BP135" s="246" t="n"/>
      <c r="BQ135" s="246" t="n"/>
      <c r="BR135" s="246" t="n"/>
      <c r="BS135" s="246" t="n"/>
      <c r="BT135" s="246" t="n"/>
      <c r="BU135" s="246" t="n"/>
      <c r="BV135" s="246" t="n"/>
      <c r="BW135" s="246" t="n"/>
      <c r="BX135" s="246" t="n"/>
      <c r="BY135" s="246" t="n"/>
      <c r="BZ135" s="246" t="n"/>
      <c r="CA135" s="246" t="n"/>
      <c r="CB135" s="251" t="n"/>
    </row>
    <row r="136" ht="12" customHeight="1" s="227">
      <c r="A136" s="244" t="n"/>
      <c r="B136" s="244" t="n"/>
      <c r="C136" s="244" t="n"/>
      <c r="G136" s="222" t="n"/>
      <c r="T136" s="251" t="n"/>
      <c r="U136" s="251" t="n"/>
      <c r="V136" s="251" t="n"/>
      <c r="W136" s="251" t="n"/>
      <c r="X136" s="251" t="n"/>
      <c r="Y136" s="251" t="n"/>
      <c r="Z136" s="251" t="n"/>
      <c r="AA136" s="251" t="n"/>
      <c r="AB136" s="251" t="n"/>
      <c r="AC136" s="251" t="n"/>
      <c r="AD136" s="251" t="n"/>
      <c r="AE136" s="251" t="n"/>
      <c r="AF136" s="251" t="n"/>
      <c r="AG136" s="251" t="n"/>
      <c r="AH136" s="251" t="n"/>
      <c r="AI136" s="251" t="n"/>
      <c r="AJ136" s="251" t="n"/>
      <c r="AK136" s="251" t="n"/>
      <c r="AL136" s="251" t="n"/>
      <c r="AM136" s="251" t="n"/>
      <c r="AN136" s="251" t="n"/>
      <c r="AO136" s="251" t="n"/>
      <c r="AP136" s="251" t="n"/>
      <c r="AQ136" s="251" t="n"/>
      <c r="AR136" s="251" t="n"/>
      <c r="AS136" s="251" t="n"/>
      <c r="AT136" s="251" t="n"/>
      <c r="AU136" s="251" t="n"/>
      <c r="AV136" s="251" t="n"/>
      <c r="AW136" s="251" t="n"/>
      <c r="AX136" s="251" t="n"/>
      <c r="AY136" s="251" t="n"/>
      <c r="AZ136" s="251" t="n"/>
      <c r="BA136" s="251" t="n"/>
      <c r="BB136" s="251" t="n"/>
      <c r="BC136" s="251" t="n"/>
      <c r="BD136" s="251" t="n"/>
      <c r="BE136" s="251" t="n"/>
      <c r="BF136" s="251" t="n"/>
      <c r="BG136" s="251" t="n"/>
      <c r="BH136" s="251" t="n"/>
      <c r="BI136" s="251" t="n"/>
      <c r="BJ136" s="251" t="n"/>
      <c r="BK136" s="251" t="n"/>
      <c r="BL136" s="251" t="n"/>
      <c r="BM136" s="251" t="n"/>
      <c r="BN136" s="251" t="n"/>
      <c r="BO136" s="251" t="n"/>
      <c r="BP136" s="251" t="n"/>
      <c r="BQ136" s="251" t="n"/>
      <c r="BR136" s="251" t="n"/>
      <c r="BS136" s="251" t="n"/>
      <c r="BT136" s="251" t="n"/>
      <c r="BU136" s="251" t="n"/>
      <c r="BV136" s="251" t="n"/>
      <c r="BW136" s="251" t="n"/>
      <c r="BX136" s="251" t="n"/>
      <c r="BY136" s="251" t="n"/>
      <c r="BZ136" s="251" t="n"/>
      <c r="CA136" s="251" t="n"/>
      <c r="CB136" s="251" t="n"/>
    </row>
    <row r="137" ht="12" customHeight="1" s="227">
      <c r="A137" s="244" t="n"/>
      <c r="B137" s="244" t="n"/>
      <c r="C137" s="244" t="n"/>
      <c r="G137" s="222" t="n"/>
      <c r="H137" s="0" t="inlineStr">
        <is>
          <t>Sales Tax Liability</t>
        </is>
      </c>
      <c r="I137" s="27">
        <f>i_Setup!$M$16</f>
        <v/>
      </c>
      <c r="K137" s="240" t="n"/>
      <c r="M137" s="245">
        <f>SUMIF($T$2:$CA$2,M$2,$T137:$CA137)</f>
        <v/>
      </c>
      <c r="N137" s="245">
        <f>SUMIF($T$2:$CA$2,N$2,$T137:$CA137)</f>
        <v/>
      </c>
      <c r="O137" s="245">
        <f>SUMIF($T$2:$CA$2,O$2,$T137:$CA137)</f>
        <v/>
      </c>
      <c r="P137" s="245">
        <f>SUMIF($T$2:$CA$2,P$2,$T137:$CA137)</f>
        <v/>
      </c>
      <c r="Q137" s="245">
        <f>SUMIF($T$2:$CA$2,Q$2,$T137:$CA137)</f>
        <v/>
      </c>
      <c r="T137" s="246" t="n"/>
      <c r="U137" s="246" t="n"/>
      <c r="V137" s="246" t="n"/>
      <c r="W137" s="246" t="n"/>
      <c r="X137" s="246" t="n">
        <v>-2000</v>
      </c>
      <c r="Y137" s="246" t="n"/>
      <c r="Z137" s="246" t="n"/>
      <c r="AA137" s="246" t="n"/>
      <c r="AB137" s="246" t="n"/>
      <c r="AC137" s="246" t="n"/>
      <c r="AD137" s="246" t="n"/>
      <c r="AE137" s="246" t="n"/>
      <c r="AF137" s="246" t="n"/>
      <c r="AG137" s="246" t="n"/>
      <c r="AH137" s="246" t="n"/>
      <c r="AI137" s="246" t="n"/>
      <c r="AJ137" s="246" t="n"/>
      <c r="AK137" s="246" t="n"/>
      <c r="AL137" s="246" t="n"/>
      <c r="AM137" s="246" t="n"/>
      <c r="AN137" s="246" t="n"/>
      <c r="AO137" s="246" t="n"/>
      <c r="AP137" s="246" t="n"/>
      <c r="AQ137" s="246" t="n"/>
      <c r="AR137" s="246" t="n"/>
      <c r="AS137" s="246" t="n"/>
      <c r="AT137" s="246" t="n"/>
      <c r="AU137" s="246" t="n"/>
      <c r="AV137" s="246" t="n"/>
      <c r="AW137" s="246" t="n"/>
      <c r="AX137" s="246" t="n"/>
      <c r="AY137" s="246" t="n"/>
      <c r="AZ137" s="246" t="n"/>
      <c r="BA137" s="246" t="n"/>
      <c r="BB137" s="246" t="n"/>
      <c r="BC137" s="246" t="n"/>
      <c r="BD137" s="246" t="n"/>
      <c r="BE137" s="246" t="n"/>
      <c r="BF137" s="246" t="n"/>
      <c r="BG137" s="246" t="n"/>
      <c r="BH137" s="246" t="n"/>
      <c r="BI137" s="246" t="n"/>
      <c r="BJ137" s="246" t="n"/>
      <c r="BK137" s="246" t="n"/>
      <c r="BL137" s="246" t="n"/>
      <c r="BM137" s="246" t="n"/>
      <c r="BN137" s="246" t="n"/>
      <c r="BO137" s="246" t="n"/>
      <c r="BP137" s="246" t="n"/>
      <c r="BQ137" s="246" t="n"/>
      <c r="BR137" s="246" t="n"/>
      <c r="BS137" s="246" t="n"/>
      <c r="BT137" s="246" t="n"/>
      <c r="BU137" s="246" t="n"/>
      <c r="BV137" s="246" t="n"/>
      <c r="BW137" s="246" t="n"/>
      <c r="BX137" s="246" t="n"/>
      <c r="BY137" s="246" t="n"/>
      <c r="BZ137" s="246" t="n"/>
      <c r="CA137" s="246" t="n"/>
      <c r="CB137" s="251" t="n"/>
    </row>
    <row r="138" ht="12" customHeight="1" s="227">
      <c r="A138" s="244" t="n"/>
      <c r="B138" s="244" t="n"/>
      <c r="C138" s="244" t="n"/>
      <c r="G138" s="222" t="n"/>
      <c r="H138" s="0" t="inlineStr">
        <is>
          <t>Corporate Tax Liability</t>
        </is>
      </c>
      <c r="I138" s="27">
        <f>i_Setup!$M$16</f>
        <v/>
      </c>
      <c r="K138" s="240" t="n"/>
      <c r="M138" s="245">
        <f>SUMIF($T$2:$CA$2,M$2,$T138:$CA138)</f>
        <v/>
      </c>
      <c r="N138" s="245">
        <f>SUMIF($T$2:$CA$2,N$2,$T138:$CA138)</f>
        <v/>
      </c>
      <c r="O138" s="245">
        <f>SUMIF($T$2:$CA$2,O$2,$T138:$CA138)</f>
        <v/>
      </c>
      <c r="P138" s="245">
        <f>SUMIF($T$2:$CA$2,P$2,$T138:$CA138)</f>
        <v/>
      </c>
      <c r="Q138" s="245">
        <f>SUMIF($T$2:$CA$2,Q$2,$T138:$CA138)</f>
        <v/>
      </c>
      <c r="T138" s="246" t="n"/>
      <c r="U138" s="246" t="n"/>
      <c r="V138" s="246" t="n"/>
      <c r="W138" s="246" t="n"/>
      <c r="X138" s="246" t="n"/>
      <c r="Y138" s="246" t="n"/>
      <c r="Z138" s="246" t="n"/>
      <c r="AA138" s="246" t="n"/>
      <c r="AB138" s="246" t="n"/>
      <c r="AC138" s="246" t="n"/>
      <c r="AD138" s="246" t="n"/>
      <c r="AE138" s="246" t="n"/>
      <c r="AF138" s="246" t="n"/>
      <c r="AG138" s="246" t="n"/>
      <c r="AH138" s="246" t="n"/>
      <c r="AI138" s="246" t="n"/>
      <c r="AJ138" s="246" t="n"/>
      <c r="AK138" s="246" t="n"/>
      <c r="AL138" s="246" t="n"/>
      <c r="AM138" s="246" t="n"/>
      <c r="AN138" s="246" t="n"/>
      <c r="AO138" s="246" t="n"/>
      <c r="AP138" s="246" t="n"/>
      <c r="AQ138" s="246" t="n"/>
      <c r="AR138" s="246" t="n"/>
      <c r="AS138" s="246" t="n"/>
      <c r="AT138" s="246" t="n"/>
      <c r="AU138" s="246" t="n"/>
      <c r="AV138" s="246" t="n"/>
      <c r="AW138" s="246" t="n"/>
      <c r="AX138" s="246" t="n"/>
      <c r="AY138" s="246" t="n"/>
      <c r="AZ138" s="246" t="n"/>
      <c r="BA138" s="246" t="n"/>
      <c r="BB138" s="246" t="n"/>
      <c r="BC138" s="246" t="n"/>
      <c r="BD138" s="246" t="n"/>
      <c r="BE138" s="246" t="n"/>
      <c r="BF138" s="246" t="n"/>
      <c r="BG138" s="246" t="n"/>
      <c r="BH138" s="246" t="n"/>
      <c r="BI138" s="246" t="n"/>
      <c r="BJ138" s="246" t="n"/>
      <c r="BK138" s="246" t="n"/>
      <c r="BL138" s="246" t="n"/>
      <c r="BM138" s="246" t="n"/>
      <c r="BN138" s="246" t="n"/>
      <c r="BO138" s="246" t="n"/>
      <c r="BP138" s="246" t="n"/>
      <c r="BQ138" s="246" t="n"/>
      <c r="BR138" s="246" t="n"/>
      <c r="BS138" s="246" t="n"/>
      <c r="BT138" s="246" t="n"/>
      <c r="BU138" s="246" t="n"/>
      <c r="BV138" s="246" t="n"/>
      <c r="BW138" s="246" t="n"/>
      <c r="BX138" s="246" t="n"/>
      <c r="BY138" s="246" t="n"/>
      <c r="BZ138" s="246" t="n"/>
      <c r="CA138" s="246" t="n"/>
      <c r="CB138" s="251" t="n"/>
    </row>
    <row r="139" ht="12" customHeight="1" s="227">
      <c r="A139" s="244" t="n"/>
      <c r="B139" s="244" t="n"/>
      <c r="C139" s="244" t="n"/>
      <c r="G139" s="222" t="n"/>
      <c r="H139" s="0" t="inlineStr">
        <is>
          <t>Accounts Payable</t>
        </is>
      </c>
      <c r="I139" s="27">
        <f>i_Setup!$M$16</f>
        <v/>
      </c>
      <c r="K139" s="240" t="n">
        <v>2</v>
      </c>
      <c r="M139" s="245" t="n"/>
      <c r="N139" s="245" t="n"/>
      <c r="O139" s="245" t="n"/>
      <c r="P139" s="245" t="n"/>
      <c r="Q139" s="245" t="n"/>
      <c r="T139" s="246" t="n"/>
      <c r="U139" s="246" t="n"/>
      <c r="V139" s="246" t="n"/>
      <c r="W139" s="246" t="n"/>
      <c r="X139" s="246" t="n">
        <v>-35000</v>
      </c>
      <c r="Y139" s="246" t="n"/>
      <c r="Z139" s="246" t="n"/>
      <c r="AA139" s="246" t="n"/>
      <c r="AB139" s="246" t="n"/>
      <c r="AC139" s="246" t="n"/>
      <c r="AD139" s="246" t="n"/>
      <c r="AE139" s="246" t="n"/>
      <c r="AF139" s="246" t="n"/>
      <c r="AG139" s="246" t="n"/>
      <c r="AH139" s="246" t="n"/>
      <c r="AI139" s="246" t="n"/>
      <c r="AJ139" s="246" t="n"/>
      <c r="AK139" s="246" t="n"/>
      <c r="AL139" s="246" t="n"/>
      <c r="AM139" s="246" t="n"/>
      <c r="AN139" s="246" t="n"/>
      <c r="AO139" s="246" t="n"/>
      <c r="AP139" s="246" t="n"/>
      <c r="AQ139" s="246" t="n"/>
      <c r="AR139" s="246" t="n"/>
      <c r="AS139" s="246" t="n"/>
      <c r="AT139" s="246" t="n"/>
      <c r="AU139" s="246" t="n"/>
      <c r="AV139" s="246" t="n"/>
      <c r="AW139" s="246" t="n"/>
      <c r="AX139" s="246" t="n"/>
      <c r="AY139" s="246" t="n"/>
      <c r="AZ139" s="246" t="n"/>
      <c r="BA139" s="246" t="n"/>
      <c r="BB139" s="246" t="n"/>
      <c r="BC139" s="246" t="n"/>
      <c r="BD139" s="246" t="n"/>
      <c r="BE139" s="246" t="n"/>
      <c r="BF139" s="246" t="n"/>
      <c r="BG139" s="246" t="n"/>
      <c r="BH139" s="246" t="n"/>
      <c r="BI139" s="246" t="n"/>
      <c r="BJ139" s="246" t="n"/>
      <c r="BK139" s="246" t="n"/>
      <c r="BL139" s="246" t="n"/>
      <c r="BM139" s="246" t="n"/>
      <c r="BN139" s="246" t="n"/>
      <c r="BO139" s="246" t="n"/>
      <c r="BP139" s="246" t="n"/>
      <c r="BQ139" s="246" t="n"/>
      <c r="BR139" s="246" t="n"/>
      <c r="BS139" s="246" t="n"/>
      <c r="BT139" s="246" t="n"/>
      <c r="BU139" s="246" t="n"/>
      <c r="BV139" s="246" t="n"/>
      <c r="BW139" s="246" t="n"/>
      <c r="BX139" s="246" t="n"/>
      <c r="BY139" s="246" t="n"/>
      <c r="BZ139" s="246" t="n"/>
      <c r="CA139" s="246" t="n"/>
      <c r="CB139" s="251" t="n"/>
    </row>
    <row r="140" ht="12" customHeight="1" s="227">
      <c r="A140" s="244" t="n"/>
      <c r="B140" s="244" t="n"/>
      <c r="C140" s="244" t="n"/>
      <c r="G140" s="222" t="n"/>
      <c r="H140" s="0" t="inlineStr">
        <is>
          <t>Other Liabilities</t>
        </is>
      </c>
      <c r="I140" s="27">
        <f>i_Setup!$M$16</f>
        <v/>
      </c>
      <c r="M140" s="245">
        <f>SUMIF($T$2:$CA$2,M$2,$T140:$CA140)</f>
        <v/>
      </c>
      <c r="N140" s="245">
        <f>SUMIF($T$2:$CA$2,N$2,$T140:$CA140)</f>
        <v/>
      </c>
      <c r="O140" s="245">
        <f>SUMIF($T$2:$CA$2,O$2,$T140:$CA140)</f>
        <v/>
      </c>
      <c r="P140" s="245">
        <f>SUMIF($T$2:$CA$2,P$2,$T140:$CA140)</f>
        <v/>
      </c>
      <c r="Q140" s="245">
        <f>SUMIF($T$2:$CA$2,Q$2,$T140:$CA140)</f>
        <v/>
      </c>
      <c r="T140" s="246" t="n"/>
      <c r="U140" s="246" t="n"/>
      <c r="V140" s="246" t="n"/>
      <c r="W140" s="246" t="n"/>
      <c r="X140" s="246" t="n"/>
      <c r="Y140" s="246" t="n"/>
      <c r="Z140" s="246" t="n"/>
      <c r="AA140" s="246" t="n"/>
      <c r="AB140" s="246" t="n"/>
      <c r="AC140" s="246" t="n"/>
      <c r="AD140" s="246" t="n"/>
      <c r="AE140" s="246" t="n"/>
      <c r="AF140" s="246" t="n"/>
      <c r="AG140" s="246" t="n"/>
      <c r="AH140" s="246" t="n"/>
      <c r="AI140" s="246" t="n"/>
      <c r="AJ140" s="246" t="n"/>
      <c r="AK140" s="246" t="n"/>
      <c r="AL140" s="246" t="n"/>
      <c r="AM140" s="246" t="n"/>
      <c r="AN140" s="246" t="n"/>
      <c r="AO140" s="246" t="n"/>
      <c r="AP140" s="246" t="n"/>
      <c r="AQ140" s="246" t="n"/>
      <c r="AR140" s="246" t="n"/>
      <c r="AS140" s="246" t="n"/>
      <c r="AT140" s="246" t="n"/>
      <c r="AU140" s="246" t="n"/>
      <c r="AV140" s="246" t="n"/>
      <c r="AW140" s="246" t="n"/>
      <c r="AX140" s="246" t="n"/>
      <c r="AY140" s="246" t="n"/>
      <c r="AZ140" s="246" t="n"/>
      <c r="BA140" s="246" t="n"/>
      <c r="BB140" s="246" t="n"/>
      <c r="BC140" s="246" t="n"/>
      <c r="BD140" s="246" t="n"/>
      <c r="BE140" s="246" t="n"/>
      <c r="BF140" s="246" t="n"/>
      <c r="BG140" s="246" t="n"/>
      <c r="BH140" s="246" t="n"/>
      <c r="BI140" s="246" t="n"/>
      <c r="BJ140" s="246" t="n"/>
      <c r="BK140" s="246" t="n"/>
      <c r="BL140" s="246" t="n"/>
      <c r="BM140" s="246" t="n"/>
      <c r="BN140" s="246" t="n"/>
      <c r="BO140" s="246" t="n"/>
      <c r="BP140" s="246" t="n"/>
      <c r="BQ140" s="246" t="n"/>
      <c r="BR140" s="246" t="n"/>
      <c r="BS140" s="246" t="n"/>
      <c r="BT140" s="246" t="n"/>
      <c r="BU140" s="246" t="n"/>
      <c r="BV140" s="246" t="n"/>
      <c r="BW140" s="246" t="n"/>
      <c r="BX140" s="246" t="n"/>
      <c r="BY140" s="246" t="n"/>
      <c r="BZ140" s="246" t="n"/>
      <c r="CA140" s="246" t="n"/>
      <c r="CB140" s="251" t="n"/>
    </row>
    <row r="141" ht="12" customHeight="1" s="227">
      <c r="A141" s="244" t="n"/>
      <c r="B141" s="244" t="n"/>
      <c r="C141" s="244" t="n"/>
      <c r="G141" s="222" t="n"/>
      <c r="T141" s="251" t="n"/>
      <c r="U141" s="251" t="n"/>
      <c r="V141" s="251" t="n"/>
      <c r="W141" s="251" t="n"/>
      <c r="X141" s="251" t="n"/>
      <c r="Y141" s="251" t="n"/>
      <c r="Z141" s="251" t="n"/>
      <c r="AA141" s="251" t="n"/>
      <c r="AB141" s="251" t="n"/>
      <c r="AC141" s="251" t="n"/>
      <c r="AD141" s="251" t="n"/>
      <c r="AE141" s="251" t="n"/>
      <c r="AF141" s="251" t="n"/>
      <c r="AG141" s="251" t="n"/>
      <c r="AH141" s="251" t="n"/>
      <c r="AI141" s="251" t="n"/>
      <c r="AJ141" s="251" t="n"/>
      <c r="AK141" s="251" t="n"/>
      <c r="AL141" s="251" t="n"/>
      <c r="AM141" s="251" t="n"/>
      <c r="AN141" s="251" t="n"/>
      <c r="AO141" s="251" t="n"/>
      <c r="AP141" s="251" t="n"/>
      <c r="AQ141" s="251" t="n"/>
      <c r="AR141" s="251" t="n"/>
      <c r="AS141" s="251" t="n"/>
      <c r="AT141" s="251" t="n"/>
      <c r="AU141" s="251" t="n"/>
      <c r="AV141" s="251" t="n"/>
      <c r="AW141" s="251" t="n"/>
      <c r="AX141" s="251" t="n"/>
      <c r="AY141" s="251" t="n"/>
      <c r="AZ141" s="251" t="n"/>
      <c r="BA141" s="251" t="n"/>
      <c r="BB141" s="251" t="n"/>
      <c r="BC141" s="251" t="n"/>
      <c r="BD141" s="251" t="n"/>
      <c r="BE141" s="251" t="n"/>
      <c r="BF141" s="251" t="n"/>
      <c r="BG141" s="251" t="n"/>
      <c r="BH141" s="251" t="n"/>
      <c r="BI141" s="251" t="n"/>
      <c r="BJ141" s="251" t="n"/>
      <c r="BK141" s="251" t="n"/>
      <c r="BL141" s="251" t="n"/>
      <c r="BM141" s="251" t="n"/>
      <c r="BN141" s="251" t="n"/>
      <c r="BO141" s="251" t="n"/>
      <c r="BP141" s="251" t="n"/>
      <c r="BQ141" s="251" t="n"/>
      <c r="BR141" s="251" t="n"/>
      <c r="BS141" s="251" t="n"/>
      <c r="BT141" s="251" t="n"/>
      <c r="BU141" s="251" t="n"/>
      <c r="BV141" s="251" t="n"/>
      <c r="BW141" s="251" t="n"/>
      <c r="BX141" s="251" t="n"/>
      <c r="BY141" s="251" t="n"/>
      <c r="BZ141" s="251" t="n"/>
      <c r="CA141" s="251" t="n"/>
      <c r="CB141" s="251" t="n"/>
    </row>
    <row r="142" ht="12" customHeight="1" s="227" thickBot="1">
      <c r="A142" s="244" t="n"/>
      <c r="B142" s="244" t="n"/>
      <c r="C142" s="244" t="n"/>
      <c r="G142" s="83" t="inlineStr">
        <is>
          <t>Total Liabilities</t>
        </is>
      </c>
      <c r="H142" s="77" t="n"/>
      <c r="I142" s="78">
        <f>i_Setup!$M$16</f>
        <v/>
      </c>
      <c r="M142" s="253">
        <f>SUM(M133:M140)</f>
        <v/>
      </c>
      <c r="N142" s="253">
        <f>SUM(N133:N140)</f>
        <v/>
      </c>
      <c r="O142" s="253">
        <f>SUM(O133:O140)</f>
        <v/>
      </c>
      <c r="P142" s="253">
        <f>SUM(P133:P140)</f>
        <v/>
      </c>
      <c r="Q142" s="253">
        <f>SUM(Q133:Q140)</f>
        <v/>
      </c>
      <c r="T142" s="253">
        <f>SUM(T133:T140)</f>
        <v/>
      </c>
      <c r="U142" s="253">
        <f>SUM(U133:U140)</f>
        <v/>
      </c>
      <c r="V142" s="253">
        <f>SUM(V133:V140)</f>
        <v/>
      </c>
      <c r="W142" s="253">
        <f>SUM(W133:W140)</f>
        <v/>
      </c>
      <c r="X142" s="253">
        <f>SUM(X133:X140)</f>
        <v/>
      </c>
      <c r="Y142" s="253">
        <f>SUM(Y133:Y140)</f>
        <v/>
      </c>
      <c r="Z142" s="253">
        <f>SUM(Z133:Z140)</f>
        <v/>
      </c>
      <c r="AA142" s="253">
        <f>SUM(AA133:AA140)</f>
        <v/>
      </c>
      <c r="AB142" s="253">
        <f>SUM(AB133:AB140)</f>
        <v/>
      </c>
      <c r="AC142" s="253">
        <f>SUM(AC133:AC140)</f>
        <v/>
      </c>
      <c r="AD142" s="253">
        <f>SUM(AD133:AD140)</f>
        <v/>
      </c>
      <c r="AE142" s="253">
        <f>SUM(AE133:AE140)</f>
        <v/>
      </c>
      <c r="AF142" s="253">
        <f>SUM(AF133:AF140)</f>
        <v/>
      </c>
      <c r="AG142" s="253">
        <f>SUM(AG133:AG140)</f>
        <v/>
      </c>
      <c r="AH142" s="253">
        <f>SUM(AH133:AH140)</f>
        <v/>
      </c>
      <c r="AI142" s="253">
        <f>SUM(AI133:AI140)</f>
        <v/>
      </c>
      <c r="AJ142" s="253">
        <f>SUM(AJ133:AJ140)</f>
        <v/>
      </c>
      <c r="AK142" s="253">
        <f>SUM(AK133:AK140)</f>
        <v/>
      </c>
      <c r="AL142" s="253">
        <f>SUM(AL133:AL140)</f>
        <v/>
      </c>
      <c r="AM142" s="253">
        <f>SUM(AM133:AM140)</f>
        <v/>
      </c>
      <c r="AN142" s="253">
        <f>SUM(AN133:AN140)</f>
        <v/>
      </c>
      <c r="AO142" s="253">
        <f>SUM(AO133:AO140)</f>
        <v/>
      </c>
      <c r="AP142" s="253">
        <f>SUM(AP133:AP140)</f>
        <v/>
      </c>
      <c r="AQ142" s="253">
        <f>SUM(AQ133:AQ140)</f>
        <v/>
      </c>
      <c r="AR142" s="253">
        <f>SUM(AR133:AR140)</f>
        <v/>
      </c>
      <c r="AS142" s="253">
        <f>SUM(AS133:AS140)</f>
        <v/>
      </c>
      <c r="AT142" s="253">
        <f>SUM(AT133:AT140)</f>
        <v/>
      </c>
      <c r="AU142" s="253">
        <f>SUM(AU133:AU140)</f>
        <v/>
      </c>
      <c r="AV142" s="253">
        <f>SUM(AV133:AV140)</f>
        <v/>
      </c>
      <c r="AW142" s="253">
        <f>SUM(AW133:AW140)</f>
        <v/>
      </c>
      <c r="AX142" s="253">
        <f>SUM(AX133:AX140)</f>
        <v/>
      </c>
      <c r="AY142" s="253">
        <f>SUM(AY133:AY140)</f>
        <v/>
      </c>
      <c r="AZ142" s="253">
        <f>SUM(AZ133:AZ140)</f>
        <v/>
      </c>
      <c r="BA142" s="253">
        <f>SUM(BA133:BA140)</f>
        <v/>
      </c>
      <c r="BB142" s="253">
        <f>SUM(BB133:BB140)</f>
        <v/>
      </c>
      <c r="BC142" s="253">
        <f>SUM(BC133:BC140)</f>
        <v/>
      </c>
      <c r="BD142" s="253">
        <f>SUM(BD133:BD140)</f>
        <v/>
      </c>
      <c r="BE142" s="253">
        <f>SUM(BE133:BE140)</f>
        <v/>
      </c>
      <c r="BF142" s="253">
        <f>SUM(BF133:BF140)</f>
        <v/>
      </c>
      <c r="BG142" s="253">
        <f>SUM(BG133:BG140)</f>
        <v/>
      </c>
      <c r="BH142" s="253">
        <f>SUM(BH133:BH140)</f>
        <v/>
      </c>
      <c r="BI142" s="253">
        <f>SUM(BI133:BI140)</f>
        <v/>
      </c>
      <c r="BJ142" s="253">
        <f>SUM(BJ133:BJ140)</f>
        <v/>
      </c>
      <c r="BK142" s="253">
        <f>SUM(BK133:BK140)</f>
        <v/>
      </c>
      <c r="BL142" s="253">
        <f>SUM(BL133:BL140)</f>
        <v/>
      </c>
      <c r="BM142" s="253">
        <f>SUM(BM133:BM140)</f>
        <v/>
      </c>
      <c r="BN142" s="253">
        <f>SUM(BN133:BN140)</f>
        <v/>
      </c>
      <c r="BO142" s="253">
        <f>SUM(BO133:BO140)</f>
        <v/>
      </c>
      <c r="BP142" s="253">
        <f>SUM(BP133:BP140)</f>
        <v/>
      </c>
      <c r="BQ142" s="253">
        <f>SUM(BQ133:BQ140)</f>
        <v/>
      </c>
      <c r="BR142" s="253">
        <f>SUM(BR133:BR140)</f>
        <v/>
      </c>
      <c r="BS142" s="253">
        <f>SUM(BS133:BS140)</f>
        <v/>
      </c>
      <c r="BT142" s="253">
        <f>SUM(BT133:BT140)</f>
        <v/>
      </c>
      <c r="BU142" s="253">
        <f>SUM(BU133:BU140)</f>
        <v/>
      </c>
      <c r="BV142" s="253">
        <f>SUM(BV133:BV140)</f>
        <v/>
      </c>
      <c r="BW142" s="253">
        <f>SUM(BW133:BW140)</f>
        <v/>
      </c>
      <c r="BX142" s="253">
        <f>SUM(BX133:BX140)</f>
        <v/>
      </c>
      <c r="BY142" s="253">
        <f>SUM(BY133:BY140)</f>
        <v/>
      </c>
      <c r="BZ142" s="253">
        <f>SUM(BZ133:BZ140)</f>
        <v/>
      </c>
      <c r="CA142" s="253">
        <f>SUM(CA133:CA140)</f>
        <v/>
      </c>
      <c r="CB142" s="251" t="n"/>
    </row>
    <row r="143" ht="12" customHeight="1" s="227">
      <c r="A143" s="244" t="n"/>
      <c r="B143" s="244" t="n"/>
      <c r="C143" s="244" t="n"/>
      <c r="G143" s="222" t="n"/>
      <c r="T143" s="251" t="n"/>
      <c r="U143" s="251" t="n"/>
      <c r="V143" s="251" t="n"/>
      <c r="W143" s="251" t="n"/>
      <c r="X143" s="251" t="n"/>
      <c r="Y143" s="251" t="n"/>
      <c r="Z143" s="251" t="n"/>
      <c r="AA143" s="251" t="n"/>
      <c r="AB143" s="251" t="n"/>
      <c r="AC143" s="251" t="n"/>
      <c r="AD143" s="251" t="n"/>
      <c r="AE143" s="251" t="n"/>
      <c r="AF143" s="251" t="n"/>
      <c r="AG143" s="251" t="n"/>
      <c r="AH143" s="251" t="n"/>
      <c r="AI143" s="251" t="n"/>
      <c r="AJ143" s="251" t="n"/>
      <c r="AK143" s="251" t="n"/>
      <c r="AL143" s="251" t="n"/>
      <c r="AM143" s="251" t="n"/>
      <c r="AN143" s="251" t="n"/>
      <c r="AO143" s="251" t="n"/>
      <c r="AP143" s="251" t="n"/>
      <c r="AQ143" s="251" t="n"/>
      <c r="AR143" s="251" t="n"/>
      <c r="AS143" s="251" t="n"/>
      <c r="AT143" s="251" t="n"/>
      <c r="AU143" s="251" t="n"/>
      <c r="AV143" s="251" t="n"/>
      <c r="AW143" s="251" t="n"/>
      <c r="AX143" s="251" t="n"/>
      <c r="AY143" s="251" t="n"/>
      <c r="AZ143" s="251" t="n"/>
      <c r="BA143" s="251" t="n"/>
      <c r="BB143" s="251" t="n"/>
      <c r="BC143" s="251" t="n"/>
      <c r="BD143" s="251" t="n"/>
      <c r="BE143" s="251" t="n"/>
      <c r="BF143" s="251" t="n"/>
      <c r="BG143" s="251" t="n"/>
      <c r="BH143" s="251" t="n"/>
      <c r="BI143" s="251" t="n"/>
      <c r="BJ143" s="251" t="n"/>
      <c r="BK143" s="251" t="n"/>
      <c r="BL143" s="251" t="n"/>
      <c r="BM143" s="251" t="n"/>
      <c r="BN143" s="251" t="n"/>
      <c r="BO143" s="251" t="n"/>
      <c r="BP143" s="251" t="n"/>
      <c r="BQ143" s="251" t="n"/>
      <c r="BR143" s="251" t="n"/>
      <c r="BS143" s="251" t="n"/>
      <c r="BT143" s="251" t="n"/>
      <c r="BU143" s="251" t="n"/>
      <c r="BV143" s="251" t="n"/>
      <c r="BW143" s="251" t="n"/>
      <c r="BX143" s="251" t="n"/>
      <c r="BY143" s="251" t="n"/>
      <c r="BZ143" s="251" t="n"/>
      <c r="CA143" s="251" t="n"/>
      <c r="CB143" s="251" t="n"/>
    </row>
    <row r="144" ht="12" customHeight="1" s="227">
      <c r="A144" s="244" t="n"/>
      <c r="B144" s="244" t="n"/>
      <c r="C144" s="244" t="n"/>
      <c r="G144" s="222" t="n"/>
      <c r="T144" s="251" t="n"/>
      <c r="U144" s="251" t="n"/>
      <c r="V144" s="251" t="n"/>
      <c r="W144" s="251" t="n"/>
      <c r="X144" s="251" t="n"/>
      <c r="Y144" s="251" t="n"/>
      <c r="Z144" s="251" t="n"/>
      <c r="AA144" s="251" t="n"/>
      <c r="AB144" s="251" t="n"/>
      <c r="AC144" s="251" t="n"/>
      <c r="AD144" s="251" t="n"/>
      <c r="AE144" s="251" t="n"/>
      <c r="AF144" s="251" t="n"/>
      <c r="AG144" s="251" t="n"/>
      <c r="AH144" s="251" t="n"/>
      <c r="AI144" s="251" t="n"/>
      <c r="AJ144" s="251" t="n"/>
      <c r="AK144" s="251" t="n"/>
      <c r="AL144" s="251" t="n"/>
      <c r="AM144" s="251" t="n"/>
      <c r="AN144" s="251" t="n"/>
      <c r="AO144" s="251" t="n"/>
      <c r="AP144" s="251" t="n"/>
      <c r="AQ144" s="251" t="n"/>
      <c r="AR144" s="251" t="n"/>
      <c r="AS144" s="251" t="n"/>
      <c r="AT144" s="251" t="n"/>
      <c r="AU144" s="251" t="n"/>
      <c r="AV144" s="251" t="n"/>
      <c r="AW144" s="251" t="n"/>
      <c r="AX144" s="251" t="n"/>
      <c r="AY144" s="251" t="n"/>
      <c r="AZ144" s="251" t="n"/>
      <c r="BA144" s="251" t="n"/>
      <c r="BB144" s="251" t="n"/>
      <c r="BC144" s="251" t="n"/>
      <c r="BD144" s="251" t="n"/>
      <c r="BE144" s="251" t="n"/>
      <c r="BF144" s="251" t="n"/>
      <c r="BG144" s="251" t="n"/>
      <c r="BH144" s="251" t="n"/>
      <c r="BI144" s="251" t="n"/>
      <c r="BJ144" s="251" t="n"/>
      <c r="BK144" s="251" t="n"/>
      <c r="BL144" s="251" t="n"/>
      <c r="BM144" s="251" t="n"/>
      <c r="BN144" s="251" t="n"/>
      <c r="BO144" s="251" t="n"/>
      <c r="BP144" s="251" t="n"/>
      <c r="BQ144" s="251" t="n"/>
      <c r="BR144" s="251" t="n"/>
      <c r="BS144" s="251" t="n"/>
      <c r="BT144" s="251" t="n"/>
      <c r="BU144" s="251" t="n"/>
      <c r="BV144" s="251" t="n"/>
      <c r="BW144" s="251" t="n"/>
      <c r="BX144" s="251" t="n"/>
      <c r="BY144" s="251" t="n"/>
      <c r="BZ144" s="251" t="n"/>
      <c r="CA144" s="251" t="n"/>
      <c r="CB144" s="251" t="n"/>
    </row>
    <row r="145" ht="12" customHeight="1" s="227">
      <c r="A145" s="244" t="n"/>
      <c r="B145" s="244" t="n"/>
      <c r="C145" s="244" t="n"/>
      <c r="G145" s="222" t="inlineStr">
        <is>
          <t>Equity</t>
        </is>
      </c>
      <c r="T145" s="251" t="n"/>
      <c r="U145" s="251" t="n"/>
      <c r="V145" s="251" t="n"/>
      <c r="W145" s="251" t="n"/>
      <c r="X145" s="251" t="n"/>
      <c r="Y145" s="251" t="n"/>
      <c r="Z145" s="251" t="n"/>
      <c r="AA145" s="251" t="n"/>
      <c r="AB145" s="251" t="n"/>
      <c r="AC145" s="251" t="n"/>
      <c r="AD145" s="251" t="n"/>
      <c r="AE145" s="251" t="n"/>
      <c r="AF145" s="251" t="n"/>
      <c r="AG145" s="251" t="n"/>
      <c r="AH145" s="251" t="n"/>
      <c r="AI145" s="251" t="n"/>
      <c r="AJ145" s="251" t="n"/>
      <c r="AK145" s="251" t="n"/>
      <c r="AL145" s="251" t="n"/>
      <c r="AM145" s="251" t="n"/>
      <c r="AN145" s="251" t="n"/>
      <c r="AO145" s="251" t="n"/>
      <c r="AP145" s="251" t="n"/>
      <c r="AQ145" s="251" t="n"/>
      <c r="AR145" s="251" t="n"/>
      <c r="AS145" s="251" t="n"/>
      <c r="AT145" s="251" t="n"/>
      <c r="AU145" s="251" t="n"/>
      <c r="AV145" s="251" t="n"/>
      <c r="AW145" s="251" t="n"/>
      <c r="AX145" s="251" t="n"/>
      <c r="AY145" s="251" t="n"/>
      <c r="AZ145" s="251" t="n"/>
      <c r="BA145" s="251" t="n"/>
      <c r="BB145" s="251" t="n"/>
      <c r="BC145" s="251" t="n"/>
      <c r="BD145" s="251" t="n"/>
      <c r="BE145" s="251" t="n"/>
      <c r="BF145" s="251" t="n"/>
      <c r="BG145" s="251" t="n"/>
      <c r="BH145" s="251" t="n"/>
      <c r="BI145" s="251" t="n"/>
      <c r="BJ145" s="251" t="n"/>
      <c r="BK145" s="251" t="n"/>
      <c r="BL145" s="251" t="n"/>
      <c r="BM145" s="251" t="n"/>
      <c r="BN145" s="251" t="n"/>
      <c r="BO145" s="251" t="n"/>
      <c r="BP145" s="251" t="n"/>
      <c r="BQ145" s="251" t="n"/>
      <c r="BR145" s="251" t="n"/>
      <c r="BS145" s="251" t="n"/>
      <c r="BT145" s="251" t="n"/>
      <c r="BU145" s="251" t="n"/>
      <c r="BV145" s="251" t="n"/>
      <c r="BW145" s="251" t="n"/>
      <c r="BX145" s="251" t="n"/>
      <c r="BY145" s="251" t="n"/>
      <c r="BZ145" s="251" t="n"/>
      <c r="CA145" s="251" t="n"/>
      <c r="CB145" s="251" t="n"/>
    </row>
    <row r="146" ht="12" customHeight="1" s="227">
      <c r="A146" s="244" t="n"/>
      <c r="B146" s="244" t="n"/>
      <c r="C146" s="244" t="n"/>
      <c r="G146" s="222" t="n"/>
      <c r="T146" s="251" t="n"/>
      <c r="U146" s="251" t="n"/>
      <c r="V146" s="251" t="n"/>
      <c r="W146" s="251" t="n"/>
      <c r="X146" s="251" t="n"/>
      <c r="Y146" s="251" t="n"/>
      <c r="Z146" s="251" t="n"/>
      <c r="AA146" s="251" t="n"/>
      <c r="AB146" s="251" t="n"/>
      <c r="AC146" s="251" t="n"/>
      <c r="AD146" s="251" t="n"/>
      <c r="AE146" s="251" t="n"/>
      <c r="AF146" s="251" t="n"/>
      <c r="AG146" s="251" t="n"/>
      <c r="AH146" s="251" t="n"/>
      <c r="AI146" s="251" t="n"/>
      <c r="AJ146" s="251" t="n"/>
      <c r="AK146" s="251" t="n"/>
      <c r="AL146" s="251" t="n"/>
      <c r="AM146" s="251" t="n"/>
      <c r="AN146" s="251" t="n"/>
      <c r="AO146" s="251" t="n"/>
      <c r="AP146" s="251" t="n"/>
      <c r="AQ146" s="251" t="n"/>
      <c r="AR146" s="251" t="n"/>
      <c r="AS146" s="251" t="n"/>
      <c r="AT146" s="251" t="n"/>
      <c r="AU146" s="251" t="n"/>
      <c r="AV146" s="251" t="n"/>
      <c r="AW146" s="251" t="n"/>
      <c r="AX146" s="251" t="n"/>
      <c r="AY146" s="251" t="n"/>
      <c r="AZ146" s="251" t="n"/>
      <c r="BA146" s="251" t="n"/>
      <c r="BB146" s="251" t="n"/>
      <c r="BC146" s="251" t="n"/>
      <c r="BD146" s="251" t="n"/>
      <c r="BE146" s="251" t="n"/>
      <c r="BF146" s="251" t="n"/>
      <c r="BG146" s="251" t="n"/>
      <c r="BH146" s="251" t="n"/>
      <c r="BI146" s="251" t="n"/>
      <c r="BJ146" s="251" t="n"/>
      <c r="BK146" s="251" t="n"/>
      <c r="BL146" s="251" t="n"/>
      <c r="BM146" s="251" t="n"/>
      <c r="BN146" s="251" t="n"/>
      <c r="BO146" s="251" t="n"/>
      <c r="BP146" s="251" t="n"/>
      <c r="BQ146" s="251" t="n"/>
      <c r="BR146" s="251" t="n"/>
      <c r="BS146" s="251" t="n"/>
      <c r="BT146" s="251" t="n"/>
      <c r="BU146" s="251" t="n"/>
      <c r="BV146" s="251" t="n"/>
      <c r="BW146" s="251" t="n"/>
      <c r="BX146" s="251" t="n"/>
      <c r="BY146" s="251" t="n"/>
      <c r="BZ146" s="251" t="n"/>
      <c r="CA146" s="251" t="n"/>
      <c r="CB146" s="251" t="n"/>
    </row>
    <row r="147" ht="12" customHeight="1" s="227">
      <c r="A147" s="244" t="n"/>
      <c r="B147" s="244" t="n"/>
      <c r="C147" s="244" t="n"/>
      <c r="G147" s="222" t="n"/>
      <c r="H147" s="0" t="inlineStr">
        <is>
          <t>Share Capital</t>
        </is>
      </c>
      <c r="I147" s="27">
        <f>i_Setup!$M$16</f>
        <v/>
      </c>
      <c r="M147" s="245">
        <f>SUMIF($T$2:$CA$2,M$2,$T147:$CA147)</f>
        <v/>
      </c>
      <c r="N147" s="245">
        <f>SUMIF($T$2:$CA$2,N$2,$T147:$CA147)</f>
        <v/>
      </c>
      <c r="O147" s="245">
        <f>SUMIF($T$2:$CA$2,O$2,$T147:$CA147)</f>
        <v/>
      </c>
      <c r="P147" s="245">
        <f>SUMIF($T$2:$CA$2,P$2,$T147:$CA147)</f>
        <v/>
      </c>
      <c r="Q147" s="245">
        <f>SUMIF($T$2:$CA$2,Q$2,$T147:$CA147)</f>
        <v/>
      </c>
      <c r="T147" s="246" t="n"/>
      <c r="U147" s="246" t="n"/>
      <c r="V147" s="246" t="n"/>
      <c r="W147" s="246" t="n"/>
      <c r="X147" s="246" t="n">
        <v>-1000000</v>
      </c>
      <c r="Y147" s="246" t="n"/>
      <c r="Z147" s="246" t="n"/>
      <c r="AA147" s="246" t="n"/>
      <c r="AB147" s="246" t="n"/>
      <c r="AC147" s="246" t="n"/>
      <c r="AD147" s="246" t="n"/>
      <c r="AE147" s="246" t="n"/>
      <c r="AF147" s="246" t="n"/>
      <c r="AG147" s="246" t="n"/>
      <c r="AH147" s="246" t="n"/>
      <c r="AI147" s="246" t="n"/>
      <c r="AJ147" s="246" t="n"/>
      <c r="AK147" s="246" t="n"/>
      <c r="AL147" s="246" t="n"/>
      <c r="AM147" s="246" t="n"/>
      <c r="AN147" s="246" t="n"/>
      <c r="AO147" s="246" t="n"/>
      <c r="AP147" s="246" t="n"/>
      <c r="AQ147" s="246" t="n"/>
      <c r="AR147" s="246" t="n"/>
      <c r="AS147" s="246" t="n"/>
      <c r="AT147" s="246" t="n"/>
      <c r="AU147" s="246" t="n"/>
      <c r="AV147" s="246" t="n"/>
      <c r="AW147" s="246" t="n"/>
      <c r="AX147" s="246" t="n"/>
      <c r="AY147" s="246" t="n"/>
      <c r="AZ147" s="246" t="n"/>
      <c r="BA147" s="246" t="n"/>
      <c r="BB147" s="246" t="n"/>
      <c r="BC147" s="246" t="n"/>
      <c r="BD147" s="246" t="n"/>
      <c r="BE147" s="246" t="n"/>
      <c r="BF147" s="246" t="n"/>
      <c r="BG147" s="246" t="n"/>
      <c r="BH147" s="246" t="n"/>
      <c r="BI147" s="246" t="n"/>
      <c r="BJ147" s="246" t="n"/>
      <c r="BK147" s="246" t="n"/>
      <c r="BL147" s="246" t="n"/>
      <c r="BM147" s="246" t="n"/>
      <c r="BN147" s="246" t="n"/>
      <c r="BO147" s="246" t="n"/>
      <c r="BP147" s="246" t="n"/>
      <c r="BQ147" s="246" t="n"/>
      <c r="BR147" s="246" t="n"/>
      <c r="BS147" s="246" t="n"/>
      <c r="BT147" s="246" t="n"/>
      <c r="BU147" s="246" t="n"/>
      <c r="BV147" s="246" t="n"/>
      <c r="BW147" s="246" t="n"/>
      <c r="BX147" s="246" t="n"/>
      <c r="BY147" s="246" t="n"/>
      <c r="BZ147" s="246" t="n"/>
      <c r="CA147" s="246" t="n"/>
      <c r="CB147" s="251" t="n"/>
    </row>
    <row r="148" ht="12" customHeight="1" s="227">
      <c r="A148" s="244" t="n"/>
      <c r="B148" s="244" t="n"/>
      <c r="C148" s="244" t="n"/>
      <c r="G148" s="222" t="n"/>
      <c r="H148" s="4" t="inlineStr">
        <is>
          <t>Retained Earnings</t>
        </is>
      </c>
      <c r="I148" s="27">
        <f>i_Setup!$M$16</f>
        <v/>
      </c>
      <c r="M148" s="245">
        <f>SUMIF($T$2:$CA$2,M$2,$T148:$CA148)</f>
        <v/>
      </c>
      <c r="N148" s="245">
        <f>SUMIF($T$2:$CA$2,N$2,$T148:$CA148)</f>
        <v/>
      </c>
      <c r="O148" s="245">
        <f>SUMIF($T$2:$CA$2,O$2,$T148:$CA148)</f>
        <v/>
      </c>
      <c r="P148" s="245">
        <f>SUMIF($T$2:$CA$2,P$2,$T148:$CA148)</f>
        <v/>
      </c>
      <c r="Q148" s="245">
        <f>SUMIF($T$2:$CA$2,Q$2,$T148:$CA148)</f>
        <v/>
      </c>
      <c r="T148" s="246" t="n"/>
      <c r="U148" s="246" t="n"/>
      <c r="V148" s="246" t="n"/>
      <c r="W148" s="246" t="n"/>
      <c r="X148" s="246" t="n">
        <v>-36500</v>
      </c>
      <c r="Y148" s="246" t="n"/>
      <c r="Z148" s="246" t="n"/>
      <c r="AA148" s="246" t="n"/>
      <c r="AB148" s="246" t="n"/>
      <c r="AC148" s="246" t="n"/>
      <c r="AD148" s="246" t="n"/>
      <c r="AE148" s="246" t="n"/>
      <c r="AF148" s="246" t="n"/>
      <c r="AG148" s="246" t="n"/>
      <c r="AH148" s="246" t="n"/>
      <c r="AI148" s="246" t="n"/>
      <c r="AJ148" s="246" t="n"/>
      <c r="AK148" s="246" t="n"/>
      <c r="AL148" s="246" t="n"/>
      <c r="AM148" s="246" t="n"/>
      <c r="AN148" s="246" t="n"/>
      <c r="AO148" s="246" t="n"/>
      <c r="AP148" s="246" t="n"/>
      <c r="AQ148" s="246" t="n"/>
      <c r="AR148" s="246" t="n"/>
      <c r="AS148" s="246" t="n"/>
      <c r="AT148" s="246" t="n"/>
      <c r="AU148" s="246" t="n"/>
      <c r="AV148" s="246" t="n"/>
      <c r="AW148" s="246" t="n"/>
      <c r="AX148" s="246" t="n"/>
      <c r="AY148" s="246" t="n"/>
      <c r="AZ148" s="246" t="n"/>
      <c r="BA148" s="246" t="n"/>
      <c r="BB148" s="246" t="n"/>
      <c r="BC148" s="246" t="n"/>
      <c r="BD148" s="246" t="n"/>
      <c r="BE148" s="246" t="n"/>
      <c r="BF148" s="246" t="n"/>
      <c r="BG148" s="246" t="n"/>
      <c r="BH148" s="246" t="n"/>
      <c r="BI148" s="246" t="n"/>
      <c r="BJ148" s="246" t="n"/>
      <c r="BK148" s="246" t="n"/>
      <c r="BL148" s="246" t="n"/>
      <c r="BM148" s="246" t="n"/>
      <c r="BN148" s="246" t="n"/>
      <c r="BO148" s="246" t="n"/>
      <c r="BP148" s="246" t="n"/>
      <c r="BQ148" s="246" t="n"/>
      <c r="BR148" s="246" t="n"/>
      <c r="BS148" s="246" t="n"/>
      <c r="BT148" s="246" t="n"/>
      <c r="BU148" s="246" t="n"/>
      <c r="BV148" s="246" t="n"/>
      <c r="BW148" s="246" t="n"/>
      <c r="BX148" s="246" t="n"/>
      <c r="BY148" s="246" t="n"/>
      <c r="BZ148" s="246" t="n"/>
      <c r="CA148" s="246" t="n"/>
      <c r="CB148" s="251" t="n"/>
    </row>
    <row r="149" ht="12" customHeight="1" s="227">
      <c r="A149" s="244" t="n"/>
      <c r="B149" s="244" t="n"/>
      <c r="C149" s="244" t="n"/>
      <c r="G149" s="222" t="n"/>
      <c r="I149" s="27" t="n"/>
      <c r="T149" s="251" t="n"/>
      <c r="U149" s="251" t="n"/>
      <c r="V149" s="251" t="n"/>
      <c r="W149" s="251" t="n"/>
      <c r="X149" s="251" t="n"/>
      <c r="Y149" s="251" t="n"/>
      <c r="Z149" s="251" t="n"/>
      <c r="AA149" s="251" t="n"/>
      <c r="AB149" s="251" t="n"/>
      <c r="AC149" s="251" t="n"/>
      <c r="AD149" s="251" t="n"/>
      <c r="AE149" s="251" t="n"/>
      <c r="AF149" s="251" t="n"/>
      <c r="AG149" s="251" t="n"/>
      <c r="AH149" s="251" t="n"/>
      <c r="AI149" s="251" t="n"/>
      <c r="AJ149" s="251" t="n"/>
      <c r="AK149" s="251" t="n"/>
      <c r="AL149" s="251" t="n"/>
      <c r="AM149" s="251" t="n"/>
      <c r="AN149" s="251" t="n"/>
      <c r="AO149" s="251" t="n"/>
      <c r="AP149" s="251" t="n"/>
      <c r="AQ149" s="251" t="n"/>
      <c r="AR149" s="251" t="n"/>
      <c r="AS149" s="251" t="n"/>
      <c r="AT149" s="251" t="n"/>
      <c r="AU149" s="251" t="n"/>
      <c r="AV149" s="251" t="n"/>
      <c r="AW149" s="251" t="n"/>
      <c r="AX149" s="251" t="n"/>
      <c r="AY149" s="251" t="n"/>
      <c r="AZ149" s="251" t="n"/>
      <c r="BA149" s="251" t="n"/>
      <c r="BB149" s="251" t="n"/>
      <c r="BC149" s="251" t="n"/>
      <c r="BD149" s="251" t="n"/>
      <c r="BE149" s="251" t="n"/>
      <c r="BF149" s="251" t="n"/>
      <c r="BG149" s="251" t="n"/>
      <c r="BH149" s="251" t="n"/>
      <c r="BI149" s="251" t="n"/>
      <c r="BJ149" s="251" t="n"/>
      <c r="BK149" s="251" t="n"/>
      <c r="BL149" s="251" t="n"/>
      <c r="BM149" s="251" t="n"/>
      <c r="BN149" s="251" t="n"/>
      <c r="BO149" s="251" t="n"/>
      <c r="BP149" s="251" t="n"/>
      <c r="BQ149" s="251" t="n"/>
      <c r="BR149" s="251" t="n"/>
      <c r="BS149" s="251" t="n"/>
      <c r="BT149" s="251" t="n"/>
      <c r="BU149" s="251" t="n"/>
      <c r="BV149" s="251" t="n"/>
      <c r="BW149" s="251" t="n"/>
      <c r="BX149" s="251" t="n"/>
      <c r="BY149" s="251" t="n"/>
      <c r="BZ149" s="251" t="n"/>
      <c r="CA149" s="251" t="n"/>
      <c r="CB149" s="251" t="n"/>
    </row>
    <row r="150" ht="12" customHeight="1" s="227" thickBot="1">
      <c r="A150" s="244" t="n"/>
      <c r="B150" s="244" t="n"/>
      <c r="C150" s="244" t="n"/>
      <c r="G150" s="83" t="inlineStr">
        <is>
          <t>Total Equity</t>
        </is>
      </c>
      <c r="H150" s="77" t="n"/>
      <c r="I150" s="78">
        <f>i_Setup!$M$16</f>
        <v/>
      </c>
      <c r="M150" s="250">
        <f>SUM(M147:M148)</f>
        <v/>
      </c>
      <c r="N150" s="250">
        <f>SUM(N147:N148)</f>
        <v/>
      </c>
      <c r="O150" s="250">
        <f>SUM(O147:O148)</f>
        <v/>
      </c>
      <c r="P150" s="250">
        <f>SUM(P147:P148)</f>
        <v/>
      </c>
      <c r="Q150" s="250">
        <f>SUM(Q147:Q148)</f>
        <v/>
      </c>
      <c r="T150" s="253">
        <f>SUM(T147:T148)</f>
        <v/>
      </c>
      <c r="U150" s="253">
        <f>SUM(U147:U148)</f>
        <v/>
      </c>
      <c r="V150" s="253">
        <f>SUM(V147:V148)</f>
        <v/>
      </c>
      <c r="W150" s="253">
        <f>SUM(W147:W148)</f>
        <v/>
      </c>
      <c r="X150" s="253">
        <f>SUM(X147:X148)</f>
        <v/>
      </c>
      <c r="Y150" s="253">
        <f>SUM(Y147:Y148)</f>
        <v/>
      </c>
      <c r="Z150" s="253">
        <f>SUM(Z147:Z148)</f>
        <v/>
      </c>
      <c r="AA150" s="253">
        <f>SUM(AA147:AA148)</f>
        <v/>
      </c>
      <c r="AB150" s="253">
        <f>SUM(AB147:AB148)</f>
        <v/>
      </c>
      <c r="AC150" s="253">
        <f>SUM(AC147:AC148)</f>
        <v/>
      </c>
      <c r="AD150" s="253">
        <f>SUM(AD147:AD148)</f>
        <v/>
      </c>
      <c r="AE150" s="253">
        <f>SUM(AE147:AE148)</f>
        <v/>
      </c>
      <c r="AF150" s="253">
        <f>SUM(AF147:AF148)</f>
        <v/>
      </c>
      <c r="AG150" s="253">
        <f>SUM(AG147:AG148)</f>
        <v/>
      </c>
      <c r="AH150" s="253">
        <f>SUM(AH147:AH148)</f>
        <v/>
      </c>
      <c r="AI150" s="253">
        <f>SUM(AI147:AI148)</f>
        <v/>
      </c>
      <c r="AJ150" s="253">
        <f>SUM(AJ147:AJ148)</f>
        <v/>
      </c>
      <c r="AK150" s="253">
        <f>SUM(AK147:AK148)</f>
        <v/>
      </c>
      <c r="AL150" s="253">
        <f>SUM(AL147:AL148)</f>
        <v/>
      </c>
      <c r="AM150" s="253">
        <f>SUM(AM147:AM148)</f>
        <v/>
      </c>
      <c r="AN150" s="253">
        <f>SUM(AN147:AN148)</f>
        <v/>
      </c>
      <c r="AO150" s="253">
        <f>SUM(AO147:AO148)</f>
        <v/>
      </c>
      <c r="AP150" s="253">
        <f>SUM(AP147:AP148)</f>
        <v/>
      </c>
      <c r="AQ150" s="253">
        <f>SUM(AQ147:AQ148)</f>
        <v/>
      </c>
      <c r="AR150" s="253">
        <f>SUM(AR147:AR148)</f>
        <v/>
      </c>
      <c r="AS150" s="253">
        <f>SUM(AS147:AS148)</f>
        <v/>
      </c>
      <c r="AT150" s="253">
        <f>SUM(AT147:AT148)</f>
        <v/>
      </c>
      <c r="AU150" s="253">
        <f>SUM(AU147:AU148)</f>
        <v/>
      </c>
      <c r="AV150" s="253">
        <f>SUM(AV147:AV148)</f>
        <v/>
      </c>
      <c r="AW150" s="253">
        <f>SUM(AW147:AW148)</f>
        <v/>
      </c>
      <c r="AX150" s="253">
        <f>SUM(AX147:AX148)</f>
        <v/>
      </c>
      <c r="AY150" s="253">
        <f>SUM(AY147:AY148)</f>
        <v/>
      </c>
      <c r="AZ150" s="253">
        <f>SUM(AZ147:AZ148)</f>
        <v/>
      </c>
      <c r="BA150" s="253">
        <f>SUM(BA147:BA148)</f>
        <v/>
      </c>
      <c r="BB150" s="253">
        <f>SUM(BB147:BB148)</f>
        <v/>
      </c>
      <c r="BC150" s="253">
        <f>SUM(BC147:BC148)</f>
        <v/>
      </c>
      <c r="BD150" s="253">
        <f>SUM(BD147:BD148)</f>
        <v/>
      </c>
      <c r="BE150" s="253">
        <f>SUM(BE147:BE148)</f>
        <v/>
      </c>
      <c r="BF150" s="253">
        <f>SUM(BF147:BF148)</f>
        <v/>
      </c>
      <c r="BG150" s="253">
        <f>SUM(BG147:BG148)</f>
        <v/>
      </c>
      <c r="BH150" s="253">
        <f>SUM(BH147:BH148)</f>
        <v/>
      </c>
      <c r="BI150" s="253">
        <f>SUM(BI147:BI148)</f>
        <v/>
      </c>
      <c r="BJ150" s="253">
        <f>SUM(BJ147:BJ148)</f>
        <v/>
      </c>
      <c r="BK150" s="253">
        <f>SUM(BK147:BK148)</f>
        <v/>
      </c>
      <c r="BL150" s="253">
        <f>SUM(BL147:BL148)</f>
        <v/>
      </c>
      <c r="BM150" s="253">
        <f>SUM(BM147:BM148)</f>
        <v/>
      </c>
      <c r="BN150" s="253">
        <f>SUM(BN147:BN148)</f>
        <v/>
      </c>
      <c r="BO150" s="253">
        <f>SUM(BO147:BO148)</f>
        <v/>
      </c>
      <c r="BP150" s="253">
        <f>SUM(BP147:BP148)</f>
        <v/>
      </c>
      <c r="BQ150" s="253">
        <f>SUM(BQ147:BQ148)</f>
        <v/>
      </c>
      <c r="BR150" s="253">
        <f>SUM(BR147:BR148)</f>
        <v/>
      </c>
      <c r="BS150" s="253">
        <f>SUM(BS147:BS148)</f>
        <v/>
      </c>
      <c r="BT150" s="253">
        <f>SUM(BT147:BT148)</f>
        <v/>
      </c>
      <c r="BU150" s="253">
        <f>SUM(BU147:BU148)</f>
        <v/>
      </c>
      <c r="BV150" s="253">
        <f>SUM(BV147:BV148)</f>
        <v/>
      </c>
      <c r="BW150" s="253">
        <f>SUM(BW147:BW148)</f>
        <v/>
      </c>
      <c r="BX150" s="253">
        <f>SUM(BX147:BX148)</f>
        <v/>
      </c>
      <c r="BY150" s="253">
        <f>SUM(BY147:BY148)</f>
        <v/>
      </c>
      <c r="BZ150" s="253">
        <f>SUM(BZ147:BZ148)</f>
        <v/>
      </c>
      <c r="CA150" s="253">
        <f>SUM(CA147:CA148)</f>
        <v/>
      </c>
      <c r="CB150" s="251" t="n"/>
    </row>
    <row r="151" ht="12" customHeight="1" s="227">
      <c r="A151" s="244" t="n"/>
      <c r="B151" s="244" t="n"/>
      <c r="C151" s="244" t="n"/>
      <c r="G151" s="222" t="n"/>
      <c r="T151" s="251" t="n"/>
      <c r="U151" s="251" t="n"/>
      <c r="V151" s="251" t="n"/>
      <c r="W151" s="251" t="n"/>
      <c r="X151" s="251" t="n"/>
      <c r="Y151" s="251" t="n"/>
      <c r="Z151" s="251" t="n"/>
      <c r="AA151" s="251" t="n"/>
      <c r="AB151" s="251" t="n"/>
      <c r="AC151" s="251" t="n"/>
      <c r="AD151" s="251" t="n"/>
      <c r="AE151" s="251" t="n"/>
      <c r="AF151" s="251" t="n"/>
      <c r="AG151" s="251" t="n"/>
      <c r="AH151" s="251" t="n"/>
      <c r="AI151" s="251" t="n"/>
      <c r="AJ151" s="251" t="n"/>
      <c r="AK151" s="251" t="n"/>
      <c r="AL151" s="251" t="n"/>
      <c r="AM151" s="251" t="n"/>
      <c r="AN151" s="251" t="n"/>
      <c r="AO151" s="251" t="n"/>
      <c r="AP151" s="251" t="n"/>
      <c r="AQ151" s="251" t="n"/>
      <c r="AR151" s="251" t="n"/>
      <c r="AS151" s="251" t="n"/>
      <c r="AT151" s="251" t="n"/>
      <c r="AU151" s="251" t="n"/>
      <c r="AV151" s="251" t="n"/>
      <c r="AW151" s="251" t="n"/>
      <c r="AX151" s="251" t="n"/>
      <c r="AY151" s="251" t="n"/>
      <c r="AZ151" s="251" t="n"/>
      <c r="BA151" s="251" t="n"/>
      <c r="BB151" s="251" t="n"/>
      <c r="BC151" s="251" t="n"/>
      <c r="BD151" s="251" t="n"/>
      <c r="BE151" s="251" t="n"/>
      <c r="BF151" s="251" t="n"/>
      <c r="BG151" s="251" t="n"/>
      <c r="BH151" s="251" t="n"/>
      <c r="BI151" s="251" t="n"/>
      <c r="BJ151" s="251" t="n"/>
      <c r="BK151" s="251" t="n"/>
      <c r="BL151" s="251" t="n"/>
      <c r="BM151" s="251" t="n"/>
      <c r="BN151" s="251" t="n"/>
      <c r="BO151" s="251" t="n"/>
      <c r="BP151" s="251" t="n"/>
      <c r="BQ151" s="251" t="n"/>
      <c r="BR151" s="251" t="n"/>
      <c r="BS151" s="251" t="n"/>
      <c r="BT151" s="251" t="n"/>
      <c r="BU151" s="251" t="n"/>
      <c r="BV151" s="251" t="n"/>
      <c r="BW151" s="251" t="n"/>
      <c r="BX151" s="251" t="n"/>
      <c r="BY151" s="251" t="n"/>
      <c r="BZ151" s="251" t="n"/>
      <c r="CA151" s="251" t="n"/>
      <c r="CB151" s="251" t="n"/>
    </row>
    <row r="152" ht="12" customHeight="1" s="227" thickBot="1">
      <c r="A152" s="244" t="n"/>
      <c r="B152" s="244" t="n"/>
      <c r="C152" s="244" t="n"/>
      <c r="G152" s="83" t="inlineStr">
        <is>
          <t>Total Liabilities &amp; Equity</t>
        </is>
      </c>
      <c r="H152" s="77" t="n"/>
      <c r="I152" s="78">
        <f>i_Setup!$M$16</f>
        <v/>
      </c>
      <c r="M152" s="250">
        <f>M142+M150</f>
        <v/>
      </c>
      <c r="N152" s="250">
        <f>N142+N150</f>
        <v/>
      </c>
      <c r="O152" s="250">
        <f>O142+O150</f>
        <v/>
      </c>
      <c r="P152" s="250">
        <f>P142+P150</f>
        <v/>
      </c>
      <c r="Q152" s="250">
        <f>Q142+Q150</f>
        <v/>
      </c>
      <c r="T152" s="253">
        <f>T142+T150</f>
        <v/>
      </c>
      <c r="U152" s="253">
        <f>U142+U150</f>
        <v/>
      </c>
      <c r="V152" s="253">
        <f>V142+V150</f>
        <v/>
      </c>
      <c r="W152" s="253">
        <f>W142+W150</f>
        <v/>
      </c>
      <c r="X152" s="253">
        <f>X142+X150</f>
        <v/>
      </c>
      <c r="Y152" s="253">
        <f>Y142+Y150</f>
        <v/>
      </c>
      <c r="Z152" s="253">
        <f>Z142+Z150</f>
        <v/>
      </c>
      <c r="AA152" s="253">
        <f>AA142+AA150</f>
        <v/>
      </c>
      <c r="AB152" s="253">
        <f>AB142+AB150</f>
        <v/>
      </c>
      <c r="AC152" s="253">
        <f>AC142+AC150</f>
        <v/>
      </c>
      <c r="AD152" s="253">
        <f>AD142+AD150</f>
        <v/>
      </c>
      <c r="AE152" s="253">
        <f>AE142+AE150</f>
        <v/>
      </c>
      <c r="AF152" s="253">
        <f>AF142+AF150</f>
        <v/>
      </c>
      <c r="AG152" s="253">
        <f>AG142+AG150</f>
        <v/>
      </c>
      <c r="AH152" s="253">
        <f>AH142+AH150</f>
        <v/>
      </c>
      <c r="AI152" s="253">
        <f>AI142+AI150</f>
        <v/>
      </c>
      <c r="AJ152" s="253">
        <f>AJ142+AJ150</f>
        <v/>
      </c>
      <c r="AK152" s="253">
        <f>AK142+AK150</f>
        <v/>
      </c>
      <c r="AL152" s="253">
        <f>AL142+AL150</f>
        <v/>
      </c>
      <c r="AM152" s="253">
        <f>AM142+AM150</f>
        <v/>
      </c>
      <c r="AN152" s="253">
        <f>AN142+AN150</f>
        <v/>
      </c>
      <c r="AO152" s="253">
        <f>AO142+AO150</f>
        <v/>
      </c>
      <c r="AP152" s="253">
        <f>AP142+AP150</f>
        <v/>
      </c>
      <c r="AQ152" s="253">
        <f>AQ142+AQ150</f>
        <v/>
      </c>
      <c r="AR152" s="253">
        <f>AR142+AR150</f>
        <v/>
      </c>
      <c r="AS152" s="253">
        <f>AS142+AS150</f>
        <v/>
      </c>
      <c r="AT152" s="253">
        <f>AT142+AT150</f>
        <v/>
      </c>
      <c r="AU152" s="253">
        <f>AU142+AU150</f>
        <v/>
      </c>
      <c r="AV152" s="253">
        <f>AV142+AV150</f>
        <v/>
      </c>
      <c r="AW152" s="253">
        <f>AW142+AW150</f>
        <v/>
      </c>
      <c r="AX152" s="253">
        <f>AX142+AX150</f>
        <v/>
      </c>
      <c r="AY152" s="253">
        <f>AY142+AY150</f>
        <v/>
      </c>
      <c r="AZ152" s="253">
        <f>AZ142+AZ150</f>
        <v/>
      </c>
      <c r="BA152" s="253">
        <f>BA142+BA150</f>
        <v/>
      </c>
      <c r="BB152" s="253">
        <f>BB142+BB150</f>
        <v/>
      </c>
      <c r="BC152" s="253">
        <f>BC142+BC150</f>
        <v/>
      </c>
      <c r="BD152" s="253">
        <f>BD142+BD150</f>
        <v/>
      </c>
      <c r="BE152" s="253">
        <f>BE142+BE150</f>
        <v/>
      </c>
      <c r="BF152" s="253">
        <f>BF142+BF150</f>
        <v/>
      </c>
      <c r="BG152" s="253">
        <f>BG142+BG150</f>
        <v/>
      </c>
      <c r="BH152" s="253">
        <f>BH142+BH150</f>
        <v/>
      </c>
      <c r="BI152" s="253">
        <f>BI142+BI150</f>
        <v/>
      </c>
      <c r="BJ152" s="253">
        <f>BJ142+BJ150</f>
        <v/>
      </c>
      <c r="BK152" s="253">
        <f>BK142+BK150</f>
        <v/>
      </c>
      <c r="BL152" s="253">
        <f>BL142+BL150</f>
        <v/>
      </c>
      <c r="BM152" s="253">
        <f>BM142+BM150</f>
        <v/>
      </c>
      <c r="BN152" s="253">
        <f>BN142+BN150</f>
        <v/>
      </c>
      <c r="BO152" s="253">
        <f>BO142+BO150</f>
        <v/>
      </c>
      <c r="BP152" s="253">
        <f>BP142+BP150</f>
        <v/>
      </c>
      <c r="BQ152" s="253">
        <f>BQ142+BQ150</f>
        <v/>
      </c>
      <c r="BR152" s="253">
        <f>BR142+BR150</f>
        <v/>
      </c>
      <c r="BS152" s="253">
        <f>BS142+BS150</f>
        <v/>
      </c>
      <c r="BT152" s="253">
        <f>BT142+BT150</f>
        <v/>
      </c>
      <c r="BU152" s="253">
        <f>BU142+BU150</f>
        <v/>
      </c>
      <c r="BV152" s="253">
        <f>BV142+BV150</f>
        <v/>
      </c>
      <c r="BW152" s="253">
        <f>BW142+BW150</f>
        <v/>
      </c>
      <c r="BX152" s="253">
        <f>BX142+BX150</f>
        <v/>
      </c>
      <c r="BY152" s="253">
        <f>BY142+BY150</f>
        <v/>
      </c>
      <c r="BZ152" s="253">
        <f>BZ142+BZ150</f>
        <v/>
      </c>
      <c r="CA152" s="253">
        <f>CA142+CA150</f>
        <v/>
      </c>
      <c r="CB152" s="251" t="n"/>
    </row>
    <row r="153" ht="12" customHeight="1" s="227">
      <c r="A153" s="244" t="n"/>
      <c r="B153" s="244" t="n"/>
      <c r="C153" s="244" t="n"/>
      <c r="T153" s="251" t="n"/>
      <c r="U153" s="251" t="n"/>
      <c r="V153" s="251" t="n"/>
      <c r="W153" s="251" t="n"/>
      <c r="X153" s="251" t="n"/>
      <c r="Y153" s="251" t="n"/>
      <c r="Z153" s="251" t="n"/>
      <c r="AA153" s="251" t="n"/>
      <c r="AB153" s="251" t="n"/>
      <c r="AC153" s="251" t="n"/>
      <c r="AD153" s="251" t="n"/>
      <c r="AE153" s="251" t="n"/>
      <c r="AF153" s="251" t="n"/>
      <c r="AG153" s="251" t="n"/>
      <c r="AH153" s="251" t="n"/>
      <c r="AI153" s="251" t="n"/>
      <c r="AJ153" s="251" t="n"/>
      <c r="AK153" s="251" t="n"/>
      <c r="AL153" s="251" t="n"/>
      <c r="AM153" s="251" t="n"/>
      <c r="AN153" s="251" t="n"/>
      <c r="AO153" s="251" t="n"/>
      <c r="AP153" s="251" t="n"/>
      <c r="AQ153" s="251" t="n"/>
      <c r="AR153" s="251" t="n"/>
      <c r="AS153" s="251" t="n"/>
      <c r="AT153" s="251" t="n"/>
      <c r="AU153" s="251" t="n"/>
      <c r="AV153" s="251" t="n"/>
      <c r="AW153" s="251" t="n"/>
      <c r="AX153" s="251" t="n"/>
      <c r="AY153" s="251" t="n"/>
      <c r="AZ153" s="251" t="n"/>
      <c r="BA153" s="251" t="n"/>
      <c r="BB153" s="251" t="n"/>
      <c r="BC153" s="251" t="n"/>
      <c r="BD153" s="251" t="n"/>
      <c r="BE153" s="251" t="n"/>
      <c r="BF153" s="251" t="n"/>
      <c r="BG153" s="251" t="n"/>
      <c r="BH153" s="251" t="n"/>
      <c r="BI153" s="251" t="n"/>
      <c r="BJ153" s="251" t="n"/>
      <c r="BK153" s="251" t="n"/>
      <c r="BL153" s="251" t="n"/>
      <c r="BM153" s="251" t="n"/>
      <c r="BN153" s="251" t="n"/>
      <c r="BO153" s="251" t="n"/>
      <c r="BP153" s="251" t="n"/>
      <c r="BQ153" s="251" t="n"/>
      <c r="BR153" s="251" t="n"/>
      <c r="BS153" s="251" t="n"/>
      <c r="BT153" s="251" t="n"/>
      <c r="BU153" s="251" t="n"/>
      <c r="BV153" s="251" t="n"/>
      <c r="BW153" s="251" t="n"/>
      <c r="BX153" s="251" t="n"/>
      <c r="BY153" s="251" t="n"/>
      <c r="BZ153" s="251" t="n"/>
      <c r="CA153" s="251" t="n"/>
      <c r="CB153" s="251" t="n"/>
    </row>
    <row r="154" ht="12" customHeight="1" s="227">
      <c r="A154" s="244" t="n"/>
      <c r="B154" s="254">
        <f>SUM(M154:CA154)</f>
        <v/>
      </c>
      <c r="C154" s="244" t="n"/>
      <c r="H154" s="25" t="inlineStr">
        <is>
          <t>Balance Sheet Check</t>
        </is>
      </c>
      <c r="M154" s="255">
        <f>IF(ROUND(M128+M152,0)=0,0,1)</f>
        <v/>
      </c>
      <c r="N154" s="255">
        <f>IF(ROUND(N128+N152,0)=0,0,1)</f>
        <v/>
      </c>
      <c r="O154" s="255">
        <f>IF(ROUND(O128+O152,0)=0,0,1)</f>
        <v/>
      </c>
      <c r="P154" s="255">
        <f>IF(ROUND(P128+P152,0)=0,0,1)</f>
        <v/>
      </c>
      <c r="Q154" s="255">
        <f>IF(ROUND(Q128+Q152,0)=0,0,1)</f>
        <v/>
      </c>
      <c r="R154" s="157" t="n"/>
      <c r="S154" s="157" t="n"/>
      <c r="T154" s="255">
        <f>IF(ROUND(T128+T152,0)=0,0,1)</f>
        <v/>
      </c>
      <c r="U154" s="255">
        <f>IF(ROUND(U128+U152,0)=0,0,1)</f>
        <v/>
      </c>
      <c r="V154" s="255">
        <f>IF(ROUND(V128+V152,0)=0,0,1)</f>
        <v/>
      </c>
      <c r="W154" s="255">
        <f>IF(ROUND(W128+W152,0)=0,0,1)</f>
        <v/>
      </c>
      <c r="X154" s="255">
        <f>IF(ROUND(X128+X152,0)=0,0,1)</f>
        <v/>
      </c>
      <c r="Y154" s="255">
        <f>IF(ROUND(Y128+Y152,0)=0,0,1)</f>
        <v/>
      </c>
      <c r="Z154" s="255">
        <f>IF(ROUND(Z128+Z152,0)=0,0,1)</f>
        <v/>
      </c>
      <c r="AA154" s="255">
        <f>IF(ROUND(AA128+AA152,0)=0,0,1)</f>
        <v/>
      </c>
      <c r="AB154" s="255">
        <f>IF(ROUND(AB128+AB152,0)=0,0,1)</f>
        <v/>
      </c>
      <c r="AC154" s="255">
        <f>IF(ROUND(AC128+AC152,0)=0,0,1)</f>
        <v/>
      </c>
      <c r="AD154" s="255">
        <f>IF(ROUND(AD128+AD152,0)=0,0,1)</f>
        <v/>
      </c>
      <c r="AE154" s="255">
        <f>IF(ROUND(AE128+AE152,0)=0,0,1)</f>
        <v/>
      </c>
      <c r="AF154" s="255">
        <f>IF(ROUND(AF128+AF152,0)=0,0,1)</f>
        <v/>
      </c>
      <c r="AG154" s="255">
        <f>IF(ROUND(AG128+AG152,0)=0,0,1)</f>
        <v/>
      </c>
      <c r="AH154" s="255">
        <f>IF(ROUND(AH128+AH152,0)=0,0,1)</f>
        <v/>
      </c>
      <c r="AI154" s="255">
        <f>IF(ROUND(AI128+AI152,0)=0,0,1)</f>
        <v/>
      </c>
      <c r="AJ154" s="255">
        <f>IF(ROUND(AJ128+AJ152,0)=0,0,1)</f>
        <v/>
      </c>
      <c r="AK154" s="255">
        <f>IF(ROUND(AK128+AK152,0)=0,0,1)</f>
        <v/>
      </c>
      <c r="AL154" s="255">
        <f>IF(ROUND(AL128+AL152,0)=0,0,1)</f>
        <v/>
      </c>
      <c r="AM154" s="255">
        <f>IF(ROUND(AM128+AM152,0)=0,0,1)</f>
        <v/>
      </c>
      <c r="AN154" s="255">
        <f>IF(ROUND(AN128+AN152,0)=0,0,1)</f>
        <v/>
      </c>
      <c r="AO154" s="255">
        <f>IF(ROUND(AO128+AO152,0)=0,0,1)</f>
        <v/>
      </c>
      <c r="AP154" s="255">
        <f>IF(ROUND(AP128+AP152,0)=0,0,1)</f>
        <v/>
      </c>
      <c r="AQ154" s="255">
        <f>IF(ROUND(AQ128+AQ152,0)=0,0,1)</f>
        <v/>
      </c>
      <c r="AR154" s="255">
        <f>IF(ROUND(AR128+AR152,0)=0,0,1)</f>
        <v/>
      </c>
      <c r="AS154" s="255">
        <f>IF(ROUND(AS128+AS152,0)=0,0,1)</f>
        <v/>
      </c>
      <c r="AT154" s="255">
        <f>IF(ROUND(AT128+AT152,0)=0,0,1)</f>
        <v/>
      </c>
      <c r="AU154" s="255">
        <f>IF(ROUND(AU128+AU152,0)=0,0,1)</f>
        <v/>
      </c>
      <c r="AV154" s="255">
        <f>IF(ROUND(AV128+AV152,0)=0,0,1)</f>
        <v/>
      </c>
      <c r="AW154" s="255">
        <f>IF(ROUND(AW128+AW152,0)=0,0,1)</f>
        <v/>
      </c>
      <c r="AX154" s="255">
        <f>IF(ROUND(AX128+AX152,0)=0,0,1)</f>
        <v/>
      </c>
      <c r="AY154" s="255">
        <f>IF(ROUND(AY128+AY152,0)=0,0,1)</f>
        <v/>
      </c>
      <c r="AZ154" s="255">
        <f>IF(ROUND(AZ128+AZ152,0)=0,0,1)</f>
        <v/>
      </c>
      <c r="BA154" s="255">
        <f>IF(ROUND(BA128+BA152,0)=0,0,1)</f>
        <v/>
      </c>
      <c r="BB154" s="255">
        <f>IF(ROUND(BB128+BB152,0)=0,0,1)</f>
        <v/>
      </c>
      <c r="BC154" s="255">
        <f>IF(ROUND(BC128+BC152,0)=0,0,1)</f>
        <v/>
      </c>
      <c r="BD154" s="255">
        <f>IF(ROUND(BD128+BD152,0)=0,0,1)</f>
        <v/>
      </c>
      <c r="BE154" s="255">
        <f>IF(ROUND(BE128+BE152,0)=0,0,1)</f>
        <v/>
      </c>
      <c r="BF154" s="255">
        <f>IF(ROUND(BF128+BF152,0)=0,0,1)</f>
        <v/>
      </c>
      <c r="BG154" s="255">
        <f>IF(ROUND(BG128+BG152,0)=0,0,1)</f>
        <v/>
      </c>
      <c r="BH154" s="255">
        <f>IF(ROUND(BH128+BH152,0)=0,0,1)</f>
        <v/>
      </c>
      <c r="BI154" s="255">
        <f>IF(ROUND(BI128+BI152,0)=0,0,1)</f>
        <v/>
      </c>
      <c r="BJ154" s="255">
        <f>IF(ROUND(BJ128+BJ152,0)=0,0,1)</f>
        <v/>
      </c>
      <c r="BK154" s="255">
        <f>IF(ROUND(BK128+BK152,0)=0,0,1)</f>
        <v/>
      </c>
      <c r="BL154" s="255">
        <f>IF(ROUND(BL128+BL152,0)=0,0,1)</f>
        <v/>
      </c>
      <c r="BM154" s="255">
        <f>IF(ROUND(BM128+BM152,0)=0,0,1)</f>
        <v/>
      </c>
      <c r="BN154" s="255">
        <f>IF(ROUND(BN128+BN152,0)=0,0,1)</f>
        <v/>
      </c>
      <c r="BO154" s="255">
        <f>IF(ROUND(BO128+BO152,0)=0,0,1)</f>
        <v/>
      </c>
      <c r="BP154" s="255">
        <f>IF(ROUND(BP128+BP152,0)=0,0,1)</f>
        <v/>
      </c>
      <c r="BQ154" s="255">
        <f>IF(ROUND(BQ128+BQ152,0)=0,0,1)</f>
        <v/>
      </c>
      <c r="BR154" s="255">
        <f>IF(ROUND(BR128+BR152,0)=0,0,1)</f>
        <v/>
      </c>
      <c r="BS154" s="255">
        <f>IF(ROUND(BS128+BS152,0)=0,0,1)</f>
        <v/>
      </c>
      <c r="BT154" s="255">
        <f>IF(ROUND(BT128+BT152,0)=0,0,1)</f>
        <v/>
      </c>
      <c r="BU154" s="255">
        <f>IF(ROUND(BU128+BU152,0)=0,0,1)</f>
        <v/>
      </c>
      <c r="BV154" s="255">
        <f>IF(ROUND(BV128+BV152,0)=0,0,1)</f>
        <v/>
      </c>
      <c r="BW154" s="255">
        <f>IF(ROUND(BW128+BW152,0)=0,0,1)</f>
        <v/>
      </c>
      <c r="BX154" s="255">
        <f>IF(ROUND(BX128+BX152,0)=0,0,1)</f>
        <v/>
      </c>
      <c r="BY154" s="255">
        <f>IF(ROUND(BY128+BY152,0)=0,0,1)</f>
        <v/>
      </c>
      <c r="BZ154" s="255">
        <f>IF(ROUND(BZ128+BZ152,0)=0,0,1)</f>
        <v/>
      </c>
      <c r="CA154" s="255">
        <f>IF(ROUND(CA128+CA152,0)=0,0,1)</f>
        <v/>
      </c>
    </row>
    <row r="155" ht="12" customHeight="1" s="227">
      <c r="A155" s="244" t="n"/>
      <c r="B155" s="244" t="n"/>
      <c r="C155" s="244" t="n"/>
    </row>
    <row r="156" ht="12" customHeight="1" s="227"/>
    <row r="157" ht="15.75" customFormat="1" customHeight="1" s="99">
      <c r="D157" s="99" t="inlineStr">
        <is>
          <t>END OF WORKSHEET</t>
        </is>
      </c>
    </row>
    <row r="160" hidden="1" s="227">
      <c r="H160" s="29" t="n"/>
    </row>
    <row r="166" hidden="1" customFormat="1" s="6">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c r="AC166" s="4" t="n"/>
      <c r="AD166" s="4" t="n"/>
      <c r="AE166" s="4" t="n"/>
      <c r="AF166" s="4" t="n"/>
      <c r="AG166" s="4" t="n"/>
      <c r="AH166" s="4" t="n"/>
      <c r="AI166" s="4" t="n"/>
      <c r="AJ166" s="4" t="n"/>
      <c r="AK166" s="4" t="n"/>
      <c r="AL166" s="4" t="n"/>
      <c r="AM166" s="4" t="n"/>
      <c r="AN166" s="4" t="n"/>
      <c r="AO166" s="4" t="n"/>
      <c r="AP166" s="4" t="n"/>
      <c r="AQ166" s="4" t="n"/>
      <c r="AR166" s="4" t="n"/>
      <c r="AS166" s="4" t="n"/>
      <c r="AT166" s="4" t="n"/>
      <c r="AU166" s="4" t="n"/>
      <c r="AV166" s="4" t="n"/>
      <c r="AW166" s="4" t="n"/>
      <c r="AX166" s="4" t="n"/>
      <c r="AY166" s="4" t="n"/>
      <c r="AZ166" s="4" t="n"/>
      <c r="BA166" s="4" t="n"/>
      <c r="BB166" s="4" t="n"/>
      <c r="BC166" s="4" t="n"/>
      <c r="BD166" s="4" t="n"/>
      <c r="BE166" s="4" t="n"/>
      <c r="BF166" s="4" t="n"/>
      <c r="BG166" s="4" t="n"/>
      <c r="BH166" s="4" t="n"/>
      <c r="BI166" s="4" t="n"/>
      <c r="BJ166" s="4" t="n"/>
      <c r="BK166" s="4" t="n"/>
      <c r="BL166" s="4" t="n"/>
      <c r="BM166" s="4" t="n"/>
      <c r="BN166" s="4" t="n"/>
      <c r="BO166" s="4" t="n"/>
      <c r="BP166" s="4" t="n"/>
      <c r="BQ166" s="4" t="n"/>
      <c r="BR166" s="4" t="n"/>
      <c r="BS166" s="4" t="n"/>
      <c r="BT166" s="4" t="n"/>
      <c r="BU166" s="4" t="n"/>
      <c r="BV166" s="4" t="n"/>
      <c r="BW166" s="4" t="n"/>
      <c r="BX166" s="4" t="n"/>
      <c r="BY166" s="4" t="n"/>
      <c r="BZ166" s="4" t="n"/>
      <c r="CA166" s="4" t="n"/>
      <c r="CB166" s="4" t="n"/>
      <c r="CC166" s="4" t="n"/>
      <c r="CD166" s="4" t="n"/>
      <c r="CE166" s="4" t="n"/>
      <c r="CF166" s="4" t="n"/>
      <c r="CG166" s="4" t="n"/>
      <c r="CH166" s="4" t="n"/>
      <c r="CI166" s="4" t="n"/>
      <c r="CJ166" s="4" t="n"/>
      <c r="CK166" s="4" t="n"/>
      <c r="CL166" s="4" t="n"/>
      <c r="CM166" s="4" t="n"/>
      <c r="CN166" s="4" t="n"/>
      <c r="CO166" s="4" t="n"/>
      <c r="CP166" s="4" t="n"/>
      <c r="CQ166" s="4" t="n"/>
      <c r="CR166" s="4" t="n"/>
      <c r="CS166" s="4" t="n"/>
      <c r="CT166" s="4" t="n"/>
      <c r="CU166" s="4" t="n"/>
      <c r="CV166" s="4" t="n"/>
      <c r="CW166" s="4" t="n"/>
      <c r="CX166" s="4" t="n"/>
      <c r="CY166" s="4" t="n"/>
      <c r="CZ166" s="4" t="n"/>
      <c r="DA166" s="4" t="n"/>
      <c r="DB166" s="4" t="n"/>
      <c r="DC166" s="4" t="n"/>
      <c r="DD166" s="4" t="n"/>
      <c r="DE166" s="4" t="n"/>
      <c r="DF166" s="4" t="n"/>
      <c r="DG166" s="4" t="n"/>
      <c r="DH166" s="4" t="n"/>
      <c r="DI166" s="4" t="n"/>
      <c r="DJ166" s="4" t="n"/>
      <c r="DK166" s="4" t="n"/>
      <c r="DL166" s="4" t="n"/>
      <c r="DM166" s="4" t="n"/>
      <c r="DN166" s="4" t="n"/>
      <c r="DO166" s="4" t="n"/>
      <c r="DP166" s="4" t="n"/>
      <c r="DQ166" s="4" t="n"/>
      <c r="DR166" s="4" t="n"/>
      <c r="DS166" s="4" t="n"/>
      <c r="DT166" s="4" t="n"/>
      <c r="DU166" s="4" t="n"/>
      <c r="DV166" s="4" t="n"/>
      <c r="DW166" s="4" t="n"/>
      <c r="DX166" s="4" t="n"/>
      <c r="DY166" s="4" t="n"/>
      <c r="DZ166" s="4" t="n"/>
      <c r="EA166" s="4" t="n"/>
      <c r="EB166" s="4" t="n"/>
      <c r="EC166" s="4" t="n"/>
      <c r="ED166" s="4" t="n"/>
      <c r="EE166" s="4" t="n"/>
      <c r="EF166" s="4" t="n"/>
      <c r="EG166" s="4" t="n"/>
      <c r="EH166" s="4" t="n"/>
      <c r="EI166" s="4" t="n"/>
      <c r="EJ166" s="4" t="n"/>
      <c r="EK166" s="4" t="n"/>
      <c r="EL166" s="4" t="n"/>
      <c r="EM166" s="4" t="n"/>
      <c r="EN166" s="4" t="n"/>
    </row>
    <row r="167" hidden="1" customFormat="1" s="6">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c r="AE167" s="4" t="n"/>
      <c r="AF167" s="4" t="n"/>
      <c r="AG167" s="4" t="n"/>
      <c r="AH167" s="4" t="n"/>
      <c r="AI167" s="4" t="n"/>
      <c r="AJ167" s="4" t="n"/>
      <c r="AK167" s="4" t="n"/>
      <c r="AL167" s="4" t="n"/>
      <c r="AM167" s="4" t="n"/>
      <c r="AN167" s="4" t="n"/>
      <c r="AO167" s="4" t="n"/>
      <c r="AP167" s="4" t="n"/>
      <c r="AQ167" s="4" t="n"/>
      <c r="AR167" s="4" t="n"/>
      <c r="AS167" s="4" t="n"/>
      <c r="AT167" s="4" t="n"/>
      <c r="AU167" s="4" t="n"/>
      <c r="AV167" s="4" t="n"/>
      <c r="AW167" s="4" t="n"/>
      <c r="AX167" s="4" t="n"/>
      <c r="AY167" s="4" t="n"/>
      <c r="AZ167" s="4" t="n"/>
      <c r="BA167" s="4" t="n"/>
      <c r="BB167" s="4" t="n"/>
      <c r="BC167" s="4" t="n"/>
      <c r="BD167" s="4" t="n"/>
      <c r="BE167" s="4" t="n"/>
      <c r="BF167" s="4" t="n"/>
      <c r="BG167" s="4" t="n"/>
      <c r="BH167" s="4" t="n"/>
      <c r="BI167" s="4" t="n"/>
      <c r="BJ167" s="4" t="n"/>
      <c r="BK167" s="4" t="n"/>
      <c r="BL167" s="4" t="n"/>
      <c r="BM167" s="4" t="n"/>
      <c r="BN167" s="4" t="n"/>
      <c r="BO167" s="4" t="n"/>
      <c r="BP167" s="4" t="n"/>
      <c r="BQ167" s="4" t="n"/>
      <c r="BR167" s="4" t="n"/>
      <c r="BS167" s="4" t="n"/>
      <c r="BT167" s="4" t="n"/>
      <c r="BU167" s="4" t="n"/>
      <c r="BV167" s="4" t="n"/>
      <c r="BW167" s="4" t="n"/>
      <c r="BX167" s="4" t="n"/>
      <c r="BY167" s="4" t="n"/>
      <c r="BZ167" s="4" t="n"/>
      <c r="CA167" s="4" t="n"/>
      <c r="CB167" s="4" t="n"/>
      <c r="CC167" s="4" t="n"/>
      <c r="CD167" s="4" t="n"/>
      <c r="CE167" s="4" t="n"/>
      <c r="CF167" s="4" t="n"/>
      <c r="CG167" s="4" t="n"/>
      <c r="CH167" s="4" t="n"/>
      <c r="CI167" s="4" t="n"/>
      <c r="CJ167" s="4" t="n"/>
      <c r="CK167" s="4" t="n"/>
      <c r="CL167" s="4" t="n"/>
      <c r="CM167" s="4" t="n"/>
      <c r="CN167" s="4" t="n"/>
      <c r="CO167" s="4" t="n"/>
      <c r="CP167" s="4" t="n"/>
      <c r="CQ167" s="4" t="n"/>
      <c r="CR167" s="4" t="n"/>
      <c r="CS167" s="4" t="n"/>
      <c r="CT167" s="4" t="n"/>
      <c r="CU167" s="4" t="n"/>
      <c r="CV167" s="4" t="n"/>
      <c r="CW167" s="4" t="n"/>
      <c r="CX167" s="4" t="n"/>
      <c r="CY167" s="4" t="n"/>
      <c r="CZ167" s="4" t="n"/>
      <c r="DA167" s="4" t="n"/>
      <c r="DB167" s="4" t="n"/>
      <c r="DC167" s="4" t="n"/>
      <c r="DD167" s="4" t="n"/>
      <c r="DE167" s="4" t="n"/>
      <c r="DF167" s="4" t="n"/>
      <c r="DG167" s="4" t="n"/>
      <c r="DH167" s="4" t="n"/>
      <c r="DI167" s="4" t="n"/>
      <c r="DJ167" s="4" t="n"/>
      <c r="DK167" s="4" t="n"/>
      <c r="DL167" s="4" t="n"/>
      <c r="DM167" s="4" t="n"/>
      <c r="DN167" s="4" t="n"/>
      <c r="DO167" s="4" t="n"/>
      <c r="DP167" s="4" t="n"/>
      <c r="DQ167" s="4" t="n"/>
      <c r="DR167" s="4" t="n"/>
      <c r="DS167" s="4" t="n"/>
      <c r="DT167" s="4" t="n"/>
      <c r="DU167" s="4" t="n"/>
      <c r="DV167" s="4" t="n"/>
      <c r="DW167" s="4" t="n"/>
      <c r="DX167" s="4" t="n"/>
      <c r="DY167" s="4" t="n"/>
      <c r="DZ167" s="4" t="n"/>
      <c r="EA167" s="4" t="n"/>
      <c r="EB167" s="4" t="n"/>
      <c r="EC167" s="4" t="n"/>
      <c r="ED167" s="4" t="n"/>
      <c r="EE167" s="4" t="n"/>
      <c r="EF167" s="4" t="n"/>
      <c r="EG167" s="4" t="n"/>
      <c r="EH167" s="4" t="n"/>
      <c r="EI167" s="4" t="n"/>
      <c r="EJ167" s="4" t="n"/>
      <c r="EK167" s="4" t="n"/>
      <c r="EL167" s="4" t="n"/>
      <c r="EM167" s="4" t="n"/>
      <c r="EN167" s="4" t="n"/>
    </row>
    <row r="168" hidden="1" customFormat="1" s="6">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c r="AC168" s="4" t="n"/>
      <c r="AD168" s="4" t="n"/>
      <c r="AE168" s="4" t="n"/>
      <c r="AF168" s="4" t="n"/>
      <c r="AG168" s="4" t="n"/>
      <c r="AH168" s="4" t="n"/>
      <c r="AI168" s="4" t="n"/>
      <c r="AJ168" s="4" t="n"/>
      <c r="AK168" s="4" t="n"/>
      <c r="AL168" s="4" t="n"/>
      <c r="AM168" s="4" t="n"/>
      <c r="AN168" s="4" t="n"/>
      <c r="AO168" s="4" t="n"/>
      <c r="AP168" s="4" t="n"/>
      <c r="AQ168" s="4" t="n"/>
      <c r="AR168" s="4" t="n"/>
      <c r="AS168" s="4" t="n"/>
      <c r="AT168" s="4" t="n"/>
      <c r="AU168" s="4" t="n"/>
      <c r="AV168" s="4" t="n"/>
      <c r="AW168" s="4" t="n"/>
      <c r="AX168" s="4" t="n"/>
      <c r="AY168" s="4" t="n"/>
      <c r="AZ168" s="4" t="n"/>
      <c r="BA168" s="4" t="n"/>
      <c r="BB168" s="4" t="n"/>
      <c r="BC168" s="4" t="n"/>
      <c r="BD168" s="4" t="n"/>
      <c r="BE168" s="4" t="n"/>
      <c r="BF168" s="4" t="n"/>
      <c r="BG168" s="4" t="n"/>
      <c r="BH168" s="4" t="n"/>
      <c r="BI168" s="4" t="n"/>
      <c r="BJ168" s="4" t="n"/>
      <c r="BK168" s="4" t="n"/>
      <c r="BL168" s="4" t="n"/>
      <c r="BM168" s="4" t="n"/>
      <c r="BN168" s="4" t="n"/>
      <c r="BO168" s="4" t="n"/>
      <c r="BP168" s="4" t="n"/>
      <c r="BQ168" s="4" t="n"/>
      <c r="BR168" s="4" t="n"/>
      <c r="BS168" s="4" t="n"/>
      <c r="BT168" s="4" t="n"/>
      <c r="BU168" s="4" t="n"/>
      <c r="BV168" s="4" t="n"/>
      <c r="BW168" s="4" t="n"/>
      <c r="BX168" s="4" t="n"/>
      <c r="BY168" s="4" t="n"/>
      <c r="BZ168" s="4" t="n"/>
      <c r="CA168" s="4" t="n"/>
      <c r="CB168" s="4" t="n"/>
      <c r="CC168" s="4" t="n"/>
      <c r="CD168" s="4" t="n"/>
      <c r="CE168" s="4" t="n"/>
      <c r="CF168" s="4" t="n"/>
      <c r="CG168" s="4" t="n"/>
      <c r="CH168" s="4" t="n"/>
      <c r="CI168" s="4" t="n"/>
      <c r="CJ168" s="4" t="n"/>
      <c r="CK168" s="4" t="n"/>
      <c r="CL168" s="4" t="n"/>
      <c r="CM168" s="4" t="n"/>
      <c r="CN168" s="4" t="n"/>
      <c r="CO168" s="4" t="n"/>
      <c r="CP168" s="4" t="n"/>
      <c r="CQ168" s="4" t="n"/>
      <c r="CR168" s="4" t="n"/>
      <c r="CS168" s="4" t="n"/>
      <c r="CT168" s="4" t="n"/>
      <c r="CU168" s="4" t="n"/>
      <c r="CV168" s="4" t="n"/>
      <c r="CW168" s="4" t="n"/>
      <c r="CX168" s="4" t="n"/>
      <c r="CY168" s="4" t="n"/>
      <c r="CZ168" s="4" t="n"/>
      <c r="DA168" s="4" t="n"/>
      <c r="DB168" s="4" t="n"/>
      <c r="DC168" s="4" t="n"/>
      <c r="DD168" s="4" t="n"/>
      <c r="DE168" s="4" t="n"/>
      <c r="DF168" s="4" t="n"/>
      <c r="DG168" s="4" t="n"/>
      <c r="DH168" s="4" t="n"/>
      <c r="DI168" s="4" t="n"/>
      <c r="DJ168" s="4" t="n"/>
      <c r="DK168" s="4" t="n"/>
      <c r="DL168" s="4" t="n"/>
      <c r="DM168" s="4" t="n"/>
      <c r="DN168" s="4" t="n"/>
      <c r="DO168" s="4" t="n"/>
      <c r="DP168" s="4" t="n"/>
      <c r="DQ168" s="4" t="n"/>
      <c r="DR168" s="4" t="n"/>
      <c r="DS168" s="4" t="n"/>
      <c r="DT168" s="4" t="n"/>
      <c r="DU168" s="4" t="n"/>
      <c r="DV168" s="4" t="n"/>
      <c r="DW168" s="4" t="n"/>
      <c r="DX168" s="4" t="n"/>
      <c r="DY168" s="4" t="n"/>
      <c r="DZ168" s="4" t="n"/>
      <c r="EA168" s="4" t="n"/>
      <c r="EB168" s="4" t="n"/>
      <c r="EC168" s="4" t="n"/>
      <c r="ED168" s="4" t="n"/>
      <c r="EE168" s="4" t="n"/>
      <c r="EF168" s="4" t="n"/>
      <c r="EG168" s="4" t="n"/>
      <c r="EH168" s="4" t="n"/>
      <c r="EI168" s="4" t="n"/>
      <c r="EJ168" s="4" t="n"/>
      <c r="EK168" s="4" t="n"/>
      <c r="EL168" s="4" t="n"/>
      <c r="EM168" s="4" t="n"/>
      <c r="EN168" s="4" t="n"/>
    </row>
    <row r="169" hidden="1" customFormat="1" s="6">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c r="AC169" s="4" t="n"/>
      <c r="AD169" s="4" t="n"/>
      <c r="AE169" s="4" t="n"/>
      <c r="AF169" s="4" t="n"/>
      <c r="AG169" s="4" t="n"/>
      <c r="AH169" s="4" t="n"/>
      <c r="AI169" s="4" t="n"/>
      <c r="AJ169" s="4" t="n"/>
      <c r="AK169" s="4" t="n"/>
      <c r="AL169" s="4" t="n"/>
      <c r="AM169" s="4" t="n"/>
      <c r="AN169" s="4" t="n"/>
      <c r="AO169" s="4" t="n"/>
      <c r="AP169" s="4" t="n"/>
      <c r="AQ169" s="4" t="n"/>
      <c r="AR169" s="4" t="n"/>
      <c r="AS169" s="4" t="n"/>
      <c r="AT169" s="4" t="n"/>
      <c r="AU169" s="4" t="n"/>
      <c r="AV169" s="4" t="n"/>
      <c r="AW169" s="4" t="n"/>
      <c r="AX169" s="4" t="n"/>
      <c r="AY169" s="4" t="n"/>
      <c r="AZ169" s="4" t="n"/>
      <c r="BA169" s="4" t="n"/>
      <c r="BB169" s="4" t="n"/>
      <c r="BC169" s="4" t="n"/>
      <c r="BD169" s="4" t="n"/>
      <c r="BE169" s="4" t="n"/>
      <c r="BF169" s="4" t="n"/>
      <c r="BG169" s="4" t="n"/>
      <c r="BH169" s="4" t="n"/>
      <c r="BI169" s="4" t="n"/>
      <c r="BJ169" s="4" t="n"/>
      <c r="BK169" s="4" t="n"/>
      <c r="BL169" s="4" t="n"/>
      <c r="BM169" s="4" t="n"/>
      <c r="BN169" s="4" t="n"/>
      <c r="BO169" s="4" t="n"/>
      <c r="BP169" s="4" t="n"/>
      <c r="BQ169" s="4" t="n"/>
      <c r="BR169" s="4" t="n"/>
      <c r="BS169" s="4" t="n"/>
      <c r="BT169" s="4" t="n"/>
      <c r="BU169" s="4" t="n"/>
      <c r="BV169" s="4" t="n"/>
      <c r="BW169" s="4" t="n"/>
      <c r="BX169" s="4" t="n"/>
      <c r="BY169" s="4" t="n"/>
      <c r="BZ169" s="4" t="n"/>
      <c r="CA169" s="4" t="n"/>
      <c r="CB169" s="4" t="n"/>
      <c r="CC169" s="4" t="n"/>
      <c r="CD169" s="4" t="n"/>
      <c r="CE169" s="4" t="n"/>
      <c r="CF169" s="4" t="n"/>
      <c r="CG169" s="4" t="n"/>
      <c r="CH169" s="4" t="n"/>
      <c r="CI169" s="4" t="n"/>
      <c r="CJ169" s="4" t="n"/>
      <c r="CK169" s="4" t="n"/>
      <c r="CL169" s="4" t="n"/>
      <c r="CM169" s="4" t="n"/>
      <c r="CN169" s="4" t="n"/>
      <c r="CO169" s="4" t="n"/>
      <c r="CP169" s="4" t="n"/>
      <c r="CQ169" s="4" t="n"/>
      <c r="CR169" s="4" t="n"/>
      <c r="CS169" s="4" t="n"/>
      <c r="CT169" s="4" t="n"/>
      <c r="CU169" s="4" t="n"/>
      <c r="CV169" s="4" t="n"/>
      <c r="CW169" s="4" t="n"/>
      <c r="CX169" s="4" t="n"/>
      <c r="CY169" s="4" t="n"/>
      <c r="CZ169" s="4" t="n"/>
      <c r="DA169" s="4" t="n"/>
      <c r="DB169" s="4" t="n"/>
      <c r="DC169" s="4" t="n"/>
      <c r="DD169" s="4" t="n"/>
      <c r="DE169" s="4" t="n"/>
      <c r="DF169" s="4" t="n"/>
      <c r="DG169" s="4" t="n"/>
      <c r="DH169" s="4" t="n"/>
      <c r="DI169" s="4" t="n"/>
      <c r="DJ169" s="4" t="n"/>
      <c r="DK169" s="4" t="n"/>
      <c r="DL169" s="4" t="n"/>
      <c r="DM169" s="4" t="n"/>
      <c r="DN169" s="4" t="n"/>
      <c r="DO169" s="4" t="n"/>
      <c r="DP169" s="4" t="n"/>
      <c r="DQ169" s="4" t="n"/>
      <c r="DR169" s="4" t="n"/>
      <c r="DS169" s="4" t="n"/>
      <c r="DT169" s="4" t="n"/>
      <c r="DU169" s="4" t="n"/>
      <c r="DV169" s="4" t="n"/>
      <c r="DW169" s="4" t="n"/>
      <c r="DX169" s="4" t="n"/>
      <c r="DY169" s="4" t="n"/>
      <c r="DZ169" s="4" t="n"/>
      <c r="EA169" s="4" t="n"/>
      <c r="EB169" s="4" t="n"/>
      <c r="EC169" s="4" t="n"/>
      <c r="ED169" s="4" t="n"/>
      <c r="EE169" s="4" t="n"/>
      <c r="EF169" s="4" t="n"/>
      <c r="EG169" s="4" t="n"/>
      <c r="EH169" s="4" t="n"/>
      <c r="EI169" s="4" t="n"/>
      <c r="EJ169" s="4" t="n"/>
      <c r="EK169" s="4" t="n"/>
      <c r="EL169" s="4" t="n"/>
      <c r="EM169" s="4" t="n"/>
      <c r="EN169" s="4" t="n"/>
    </row>
    <row r="170" hidden="1" customFormat="1" s="6">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c r="AC170" s="4" t="n"/>
      <c r="AD170" s="4" t="n"/>
      <c r="AE170" s="4" t="n"/>
      <c r="AF170" s="4" t="n"/>
      <c r="AG170" s="4" t="n"/>
      <c r="AH170" s="4" t="n"/>
      <c r="AI170" s="4" t="n"/>
      <c r="AJ170" s="4" t="n"/>
      <c r="AK170" s="4" t="n"/>
      <c r="AL170" s="4" t="n"/>
      <c r="AM170" s="4" t="n"/>
      <c r="AN170" s="4" t="n"/>
      <c r="AO170" s="4" t="n"/>
      <c r="AP170" s="4" t="n"/>
      <c r="AQ170" s="4" t="n"/>
      <c r="AR170" s="4" t="n"/>
      <c r="AS170" s="4" t="n"/>
      <c r="AT170" s="4" t="n"/>
      <c r="AU170" s="4" t="n"/>
      <c r="AV170" s="4" t="n"/>
      <c r="AW170" s="4" t="n"/>
      <c r="AX170" s="4" t="n"/>
      <c r="AY170" s="4" t="n"/>
      <c r="AZ170" s="4" t="n"/>
      <c r="BA170" s="4" t="n"/>
      <c r="BB170" s="4" t="n"/>
      <c r="BC170" s="4" t="n"/>
      <c r="BD170" s="4" t="n"/>
      <c r="BE170" s="4" t="n"/>
      <c r="BF170" s="4" t="n"/>
      <c r="BG170" s="4" t="n"/>
      <c r="BH170" s="4" t="n"/>
      <c r="BI170" s="4" t="n"/>
      <c r="BJ170" s="4" t="n"/>
      <c r="BK170" s="4" t="n"/>
      <c r="BL170" s="4" t="n"/>
      <c r="BM170" s="4" t="n"/>
      <c r="BN170" s="4" t="n"/>
      <c r="BO170" s="4" t="n"/>
      <c r="BP170" s="4" t="n"/>
      <c r="BQ170" s="4" t="n"/>
      <c r="BR170" s="4" t="n"/>
      <c r="BS170" s="4" t="n"/>
      <c r="BT170" s="4" t="n"/>
      <c r="BU170" s="4" t="n"/>
      <c r="BV170" s="4" t="n"/>
      <c r="BW170" s="4" t="n"/>
      <c r="BX170" s="4" t="n"/>
      <c r="BY170" s="4" t="n"/>
      <c r="BZ170" s="4" t="n"/>
      <c r="CA170" s="4" t="n"/>
      <c r="CB170" s="4" t="n"/>
      <c r="CC170" s="4" t="n"/>
      <c r="CD170" s="4" t="n"/>
      <c r="CE170" s="4" t="n"/>
      <c r="CF170" s="4" t="n"/>
      <c r="CG170" s="4" t="n"/>
      <c r="CH170" s="4" t="n"/>
      <c r="CI170" s="4" t="n"/>
      <c r="CJ170" s="4" t="n"/>
      <c r="CK170" s="4" t="n"/>
      <c r="CL170" s="4" t="n"/>
      <c r="CM170" s="4" t="n"/>
      <c r="CN170" s="4" t="n"/>
      <c r="CO170" s="4" t="n"/>
      <c r="CP170" s="4" t="n"/>
      <c r="CQ170" s="4" t="n"/>
      <c r="CR170" s="4" t="n"/>
      <c r="CS170" s="4" t="n"/>
      <c r="CT170" s="4" t="n"/>
      <c r="CU170" s="4" t="n"/>
      <c r="CV170" s="4" t="n"/>
      <c r="CW170" s="4" t="n"/>
      <c r="CX170" s="4" t="n"/>
      <c r="CY170" s="4" t="n"/>
      <c r="CZ170" s="4" t="n"/>
      <c r="DA170" s="4" t="n"/>
      <c r="DB170" s="4" t="n"/>
      <c r="DC170" s="4" t="n"/>
      <c r="DD170" s="4" t="n"/>
      <c r="DE170" s="4" t="n"/>
      <c r="DF170" s="4" t="n"/>
      <c r="DG170" s="4" t="n"/>
      <c r="DH170" s="4" t="n"/>
      <c r="DI170" s="4" t="n"/>
      <c r="DJ170" s="4" t="n"/>
      <c r="DK170" s="4" t="n"/>
      <c r="DL170" s="4" t="n"/>
      <c r="DM170" s="4" t="n"/>
      <c r="DN170" s="4" t="n"/>
      <c r="DO170" s="4" t="n"/>
      <c r="DP170" s="4" t="n"/>
      <c r="DQ170" s="4" t="n"/>
      <c r="DR170" s="4" t="n"/>
      <c r="DS170" s="4" t="n"/>
      <c r="DT170" s="4" t="n"/>
      <c r="DU170" s="4" t="n"/>
      <c r="DV170" s="4" t="n"/>
      <c r="DW170" s="4" t="n"/>
      <c r="DX170" s="4" t="n"/>
      <c r="DY170" s="4" t="n"/>
      <c r="DZ170" s="4" t="n"/>
      <c r="EA170" s="4" t="n"/>
      <c r="EB170" s="4" t="n"/>
      <c r="EC170" s="4" t="n"/>
      <c r="ED170" s="4" t="n"/>
      <c r="EE170" s="4" t="n"/>
      <c r="EF170" s="4" t="n"/>
      <c r="EG170" s="4" t="n"/>
      <c r="EH170" s="4" t="n"/>
      <c r="EI170" s="4" t="n"/>
      <c r="EJ170" s="4" t="n"/>
      <c r="EK170" s="4" t="n"/>
      <c r="EL170" s="4" t="n"/>
      <c r="EM170" s="4" t="n"/>
      <c r="EN170" s="4" t="n"/>
    </row>
    <row r="171" hidden="1" customFormat="1" s="6">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c r="AC171" s="4" t="n"/>
      <c r="AD171" s="4" t="n"/>
      <c r="AE171" s="4" t="n"/>
      <c r="AF171" s="4" t="n"/>
      <c r="AG171" s="4" t="n"/>
      <c r="AH171" s="4" t="n"/>
      <c r="AI171" s="4" t="n"/>
      <c r="AJ171" s="4" t="n"/>
      <c r="AK171" s="4" t="n"/>
      <c r="AL171" s="4" t="n"/>
      <c r="AM171" s="4" t="n"/>
      <c r="AN171" s="4" t="n"/>
      <c r="AO171" s="4" t="n"/>
      <c r="AP171" s="4" t="n"/>
      <c r="AQ171" s="4" t="n"/>
      <c r="AR171" s="4" t="n"/>
      <c r="AS171" s="4" t="n"/>
      <c r="AT171" s="4" t="n"/>
      <c r="AU171" s="4" t="n"/>
      <c r="AV171" s="4" t="n"/>
      <c r="AW171" s="4" t="n"/>
      <c r="AX171" s="4" t="n"/>
      <c r="AY171" s="4" t="n"/>
      <c r="AZ171" s="4" t="n"/>
      <c r="BA171" s="4" t="n"/>
      <c r="BB171" s="4" t="n"/>
      <c r="BC171" s="4" t="n"/>
      <c r="BD171" s="4" t="n"/>
      <c r="BE171" s="4" t="n"/>
      <c r="BF171" s="4" t="n"/>
      <c r="BG171" s="4" t="n"/>
      <c r="BH171" s="4" t="n"/>
      <c r="BI171" s="4" t="n"/>
      <c r="BJ171" s="4" t="n"/>
      <c r="BK171" s="4" t="n"/>
      <c r="BL171" s="4" t="n"/>
      <c r="BM171" s="4" t="n"/>
      <c r="BN171" s="4" t="n"/>
      <c r="BO171" s="4" t="n"/>
      <c r="BP171" s="4" t="n"/>
      <c r="BQ171" s="4" t="n"/>
      <c r="BR171" s="4" t="n"/>
      <c r="BS171" s="4" t="n"/>
      <c r="BT171" s="4" t="n"/>
      <c r="BU171" s="4" t="n"/>
      <c r="BV171" s="4" t="n"/>
      <c r="BW171" s="4" t="n"/>
      <c r="BX171" s="4" t="n"/>
      <c r="BY171" s="4" t="n"/>
      <c r="BZ171" s="4" t="n"/>
      <c r="CA171" s="4" t="n"/>
      <c r="CB171" s="4" t="n"/>
      <c r="CC171" s="4" t="n"/>
      <c r="CD171" s="4" t="n"/>
      <c r="CE171" s="4" t="n"/>
      <c r="CF171" s="4" t="n"/>
      <c r="CG171" s="4" t="n"/>
      <c r="CH171" s="4" t="n"/>
      <c r="CI171" s="4" t="n"/>
      <c r="CJ171" s="4" t="n"/>
      <c r="CK171" s="4" t="n"/>
      <c r="CL171" s="4" t="n"/>
      <c r="CM171" s="4" t="n"/>
      <c r="CN171" s="4" t="n"/>
      <c r="CO171" s="4" t="n"/>
      <c r="CP171" s="4" t="n"/>
      <c r="CQ171" s="4" t="n"/>
      <c r="CR171" s="4" t="n"/>
      <c r="CS171" s="4" t="n"/>
      <c r="CT171" s="4" t="n"/>
      <c r="CU171" s="4" t="n"/>
      <c r="CV171" s="4" t="n"/>
      <c r="CW171" s="4" t="n"/>
      <c r="CX171" s="4" t="n"/>
      <c r="CY171" s="4" t="n"/>
      <c r="CZ171" s="4" t="n"/>
      <c r="DA171" s="4" t="n"/>
      <c r="DB171" s="4" t="n"/>
      <c r="DC171" s="4" t="n"/>
      <c r="DD171" s="4" t="n"/>
      <c r="DE171" s="4" t="n"/>
      <c r="DF171" s="4" t="n"/>
      <c r="DG171" s="4" t="n"/>
      <c r="DH171" s="4" t="n"/>
      <c r="DI171" s="4" t="n"/>
      <c r="DJ171" s="4" t="n"/>
      <c r="DK171" s="4" t="n"/>
      <c r="DL171" s="4" t="n"/>
      <c r="DM171" s="4" t="n"/>
      <c r="DN171" s="4" t="n"/>
      <c r="DO171" s="4" t="n"/>
      <c r="DP171" s="4" t="n"/>
      <c r="DQ171" s="4" t="n"/>
      <c r="DR171" s="4" t="n"/>
      <c r="DS171" s="4" t="n"/>
      <c r="DT171" s="4" t="n"/>
      <c r="DU171" s="4" t="n"/>
      <c r="DV171" s="4" t="n"/>
      <c r="DW171" s="4" t="n"/>
      <c r="DX171" s="4" t="n"/>
      <c r="DY171" s="4" t="n"/>
      <c r="DZ171" s="4" t="n"/>
      <c r="EA171" s="4" t="n"/>
      <c r="EB171" s="4" t="n"/>
      <c r="EC171" s="4" t="n"/>
      <c r="ED171" s="4" t="n"/>
      <c r="EE171" s="4" t="n"/>
      <c r="EF171" s="4" t="n"/>
      <c r="EG171" s="4" t="n"/>
      <c r="EH171" s="4" t="n"/>
      <c r="EI171" s="4" t="n"/>
      <c r="EJ171" s="4" t="n"/>
      <c r="EK171" s="4" t="n"/>
      <c r="EL171" s="4" t="n"/>
      <c r="EM171" s="4" t="n"/>
      <c r="EN171" s="4" t="n"/>
    </row>
    <row r="172" hidden="1" customFormat="1" s="6">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c r="AD172" s="4" t="n"/>
      <c r="AE172" s="4" t="n"/>
      <c r="AF172" s="4" t="n"/>
      <c r="AG172" s="4" t="n"/>
      <c r="AH172" s="4" t="n"/>
      <c r="AI172" s="4" t="n"/>
      <c r="AJ172" s="4" t="n"/>
      <c r="AK172" s="4" t="n"/>
      <c r="AL172" s="4" t="n"/>
      <c r="AM172" s="4" t="n"/>
      <c r="AN172" s="4" t="n"/>
      <c r="AO172" s="4" t="n"/>
      <c r="AP172" s="4" t="n"/>
      <c r="AQ172" s="4" t="n"/>
      <c r="AR172" s="4" t="n"/>
      <c r="AS172" s="4" t="n"/>
      <c r="AT172" s="4" t="n"/>
      <c r="AU172" s="4" t="n"/>
      <c r="AV172" s="4" t="n"/>
      <c r="AW172" s="4" t="n"/>
      <c r="AX172" s="4" t="n"/>
      <c r="AY172" s="4" t="n"/>
      <c r="AZ172" s="4" t="n"/>
      <c r="BA172" s="4" t="n"/>
      <c r="BB172" s="4" t="n"/>
      <c r="BC172" s="4" t="n"/>
      <c r="BD172" s="4" t="n"/>
      <c r="BE172" s="4" t="n"/>
      <c r="BF172" s="4" t="n"/>
      <c r="BG172" s="4" t="n"/>
      <c r="BH172" s="4" t="n"/>
      <c r="BI172" s="4" t="n"/>
      <c r="BJ172" s="4" t="n"/>
      <c r="BK172" s="4" t="n"/>
      <c r="BL172" s="4" t="n"/>
      <c r="BM172" s="4" t="n"/>
      <c r="BN172" s="4" t="n"/>
      <c r="BO172" s="4" t="n"/>
      <c r="BP172" s="4" t="n"/>
      <c r="BQ172" s="4" t="n"/>
      <c r="BR172" s="4" t="n"/>
      <c r="BS172" s="4" t="n"/>
      <c r="BT172" s="4" t="n"/>
      <c r="BU172" s="4" t="n"/>
      <c r="BV172" s="4" t="n"/>
      <c r="BW172" s="4" t="n"/>
      <c r="BX172" s="4" t="n"/>
      <c r="BY172" s="4" t="n"/>
      <c r="BZ172" s="4" t="n"/>
      <c r="CA172" s="4" t="n"/>
      <c r="CB172" s="4" t="n"/>
      <c r="CC172" s="4" t="n"/>
      <c r="CD172" s="4" t="n"/>
      <c r="CE172" s="4" t="n"/>
      <c r="CF172" s="4" t="n"/>
      <c r="CG172" s="4" t="n"/>
      <c r="CH172" s="4" t="n"/>
      <c r="CI172" s="4" t="n"/>
      <c r="CJ172" s="4" t="n"/>
      <c r="CK172" s="4" t="n"/>
      <c r="CL172" s="4" t="n"/>
      <c r="CM172" s="4" t="n"/>
      <c r="CN172" s="4" t="n"/>
      <c r="CO172" s="4" t="n"/>
      <c r="CP172" s="4" t="n"/>
      <c r="CQ172" s="4" t="n"/>
      <c r="CR172" s="4" t="n"/>
      <c r="CS172" s="4" t="n"/>
      <c r="CT172" s="4" t="n"/>
      <c r="CU172" s="4" t="n"/>
      <c r="CV172" s="4" t="n"/>
      <c r="CW172" s="4" t="n"/>
      <c r="CX172" s="4" t="n"/>
      <c r="CY172" s="4" t="n"/>
      <c r="CZ172" s="4" t="n"/>
      <c r="DA172" s="4" t="n"/>
      <c r="DB172" s="4" t="n"/>
      <c r="DC172" s="4" t="n"/>
      <c r="DD172" s="4" t="n"/>
      <c r="DE172" s="4" t="n"/>
      <c r="DF172" s="4" t="n"/>
      <c r="DG172" s="4" t="n"/>
      <c r="DH172" s="4" t="n"/>
      <c r="DI172" s="4" t="n"/>
      <c r="DJ172" s="4" t="n"/>
      <c r="DK172" s="4" t="n"/>
      <c r="DL172" s="4" t="n"/>
      <c r="DM172" s="4" t="n"/>
      <c r="DN172" s="4" t="n"/>
      <c r="DO172" s="4" t="n"/>
      <c r="DP172" s="4" t="n"/>
      <c r="DQ172" s="4" t="n"/>
      <c r="DR172" s="4" t="n"/>
      <c r="DS172" s="4" t="n"/>
      <c r="DT172" s="4" t="n"/>
      <c r="DU172" s="4" t="n"/>
      <c r="DV172" s="4" t="n"/>
      <c r="DW172" s="4" t="n"/>
      <c r="DX172" s="4" t="n"/>
      <c r="DY172" s="4" t="n"/>
      <c r="DZ172" s="4" t="n"/>
      <c r="EA172" s="4" t="n"/>
      <c r="EB172" s="4" t="n"/>
      <c r="EC172" s="4" t="n"/>
      <c r="ED172" s="4" t="n"/>
      <c r="EE172" s="4" t="n"/>
      <c r="EF172" s="4" t="n"/>
      <c r="EG172" s="4" t="n"/>
      <c r="EH172" s="4" t="n"/>
      <c r="EI172" s="4" t="n"/>
      <c r="EJ172" s="4" t="n"/>
      <c r="EK172" s="4" t="n"/>
      <c r="EL172" s="4" t="n"/>
      <c r="EM172" s="4" t="n"/>
      <c r="EN172" s="4" t="n"/>
    </row>
    <row r="173" hidden="1" customFormat="1" s="6">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c r="AC173" s="4" t="n"/>
      <c r="AD173" s="4" t="n"/>
      <c r="AE173" s="4" t="n"/>
      <c r="AF173" s="4" t="n"/>
      <c r="AG173" s="4" t="n"/>
      <c r="AH173" s="4" t="n"/>
      <c r="AI173" s="4" t="n"/>
      <c r="AJ173" s="4" t="n"/>
      <c r="AK173" s="4" t="n"/>
      <c r="AL173" s="4" t="n"/>
      <c r="AM173" s="4" t="n"/>
      <c r="AN173" s="4" t="n"/>
      <c r="AO173" s="4" t="n"/>
      <c r="AP173" s="4" t="n"/>
      <c r="AQ173" s="4" t="n"/>
      <c r="AR173" s="4" t="n"/>
      <c r="AS173" s="4" t="n"/>
      <c r="AT173" s="4" t="n"/>
      <c r="AU173" s="4" t="n"/>
      <c r="AV173" s="4" t="n"/>
      <c r="AW173" s="4" t="n"/>
      <c r="AX173" s="4" t="n"/>
      <c r="AY173" s="4" t="n"/>
      <c r="AZ173" s="4" t="n"/>
      <c r="BA173" s="4" t="n"/>
      <c r="BB173" s="4" t="n"/>
      <c r="BC173" s="4" t="n"/>
      <c r="BD173" s="4" t="n"/>
      <c r="BE173" s="4" t="n"/>
      <c r="BF173" s="4" t="n"/>
      <c r="BG173" s="4" t="n"/>
      <c r="BH173" s="4" t="n"/>
      <c r="BI173" s="4" t="n"/>
      <c r="BJ173" s="4" t="n"/>
      <c r="BK173" s="4" t="n"/>
      <c r="BL173" s="4" t="n"/>
      <c r="BM173" s="4" t="n"/>
      <c r="BN173" s="4" t="n"/>
      <c r="BO173" s="4" t="n"/>
      <c r="BP173" s="4" t="n"/>
      <c r="BQ173" s="4" t="n"/>
      <c r="BR173" s="4" t="n"/>
      <c r="BS173" s="4" t="n"/>
      <c r="BT173" s="4" t="n"/>
      <c r="BU173" s="4" t="n"/>
      <c r="BV173" s="4" t="n"/>
      <c r="BW173" s="4" t="n"/>
      <c r="BX173" s="4" t="n"/>
      <c r="BY173" s="4" t="n"/>
      <c r="BZ173" s="4" t="n"/>
      <c r="CA173" s="4" t="n"/>
      <c r="CB173" s="4" t="n"/>
      <c r="CC173" s="4" t="n"/>
      <c r="CD173" s="4" t="n"/>
      <c r="CE173" s="4" t="n"/>
      <c r="CF173" s="4" t="n"/>
      <c r="CG173" s="4" t="n"/>
      <c r="CH173" s="4" t="n"/>
      <c r="CI173" s="4" t="n"/>
      <c r="CJ173" s="4" t="n"/>
      <c r="CK173" s="4" t="n"/>
      <c r="CL173" s="4" t="n"/>
      <c r="CM173" s="4" t="n"/>
      <c r="CN173" s="4" t="n"/>
      <c r="CO173" s="4" t="n"/>
      <c r="CP173" s="4" t="n"/>
      <c r="CQ173" s="4" t="n"/>
      <c r="CR173" s="4" t="n"/>
      <c r="CS173" s="4" t="n"/>
      <c r="CT173" s="4" t="n"/>
      <c r="CU173" s="4" t="n"/>
      <c r="CV173" s="4" t="n"/>
      <c r="CW173" s="4" t="n"/>
      <c r="CX173" s="4" t="n"/>
      <c r="CY173" s="4" t="n"/>
      <c r="CZ173" s="4" t="n"/>
      <c r="DA173" s="4" t="n"/>
      <c r="DB173" s="4" t="n"/>
      <c r="DC173" s="4" t="n"/>
      <c r="DD173" s="4" t="n"/>
      <c r="DE173" s="4" t="n"/>
      <c r="DF173" s="4" t="n"/>
      <c r="DG173" s="4" t="n"/>
      <c r="DH173" s="4" t="n"/>
      <c r="DI173" s="4" t="n"/>
      <c r="DJ173" s="4" t="n"/>
      <c r="DK173" s="4" t="n"/>
      <c r="DL173" s="4" t="n"/>
      <c r="DM173" s="4" t="n"/>
      <c r="DN173" s="4" t="n"/>
      <c r="DO173" s="4" t="n"/>
      <c r="DP173" s="4" t="n"/>
      <c r="DQ173" s="4" t="n"/>
      <c r="DR173" s="4" t="n"/>
      <c r="DS173" s="4" t="n"/>
      <c r="DT173" s="4" t="n"/>
      <c r="DU173" s="4" t="n"/>
      <c r="DV173" s="4" t="n"/>
      <c r="DW173" s="4" t="n"/>
      <c r="DX173" s="4" t="n"/>
      <c r="DY173" s="4" t="n"/>
      <c r="DZ173" s="4" t="n"/>
      <c r="EA173" s="4" t="n"/>
      <c r="EB173" s="4" t="n"/>
      <c r="EC173" s="4" t="n"/>
      <c r="ED173" s="4" t="n"/>
      <c r="EE173" s="4" t="n"/>
      <c r="EF173" s="4" t="n"/>
      <c r="EG173" s="4" t="n"/>
      <c r="EH173" s="4" t="n"/>
      <c r="EI173" s="4" t="n"/>
      <c r="EJ173" s="4" t="n"/>
      <c r="EK173" s="4" t="n"/>
      <c r="EL173" s="4" t="n"/>
      <c r="EM173" s="4" t="n"/>
      <c r="EN173" s="4" t="n"/>
    </row>
    <row r="174" hidden="1" customFormat="1" s="6">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c r="AC174" s="4" t="n"/>
      <c r="AD174" s="4" t="n"/>
      <c r="AE174" s="4" t="n"/>
      <c r="AF174" s="4" t="n"/>
      <c r="AG174" s="4" t="n"/>
      <c r="AH174" s="4" t="n"/>
      <c r="AI174" s="4" t="n"/>
      <c r="AJ174" s="4" t="n"/>
      <c r="AK174" s="4" t="n"/>
      <c r="AL174" s="4" t="n"/>
      <c r="AM174" s="4" t="n"/>
      <c r="AN174" s="4" t="n"/>
      <c r="AO174" s="4" t="n"/>
      <c r="AP174" s="4" t="n"/>
      <c r="AQ174" s="4" t="n"/>
      <c r="AR174" s="4" t="n"/>
      <c r="AS174" s="4" t="n"/>
      <c r="AT174" s="4" t="n"/>
      <c r="AU174" s="4" t="n"/>
      <c r="AV174" s="4" t="n"/>
      <c r="AW174" s="4" t="n"/>
      <c r="AX174" s="4" t="n"/>
      <c r="AY174" s="4" t="n"/>
      <c r="AZ174" s="4" t="n"/>
      <c r="BA174" s="4" t="n"/>
      <c r="BB174" s="4" t="n"/>
      <c r="BC174" s="4" t="n"/>
      <c r="BD174" s="4" t="n"/>
      <c r="BE174" s="4" t="n"/>
      <c r="BF174" s="4" t="n"/>
      <c r="BG174" s="4" t="n"/>
      <c r="BH174" s="4" t="n"/>
      <c r="BI174" s="4" t="n"/>
      <c r="BJ174" s="4" t="n"/>
      <c r="BK174" s="4" t="n"/>
      <c r="BL174" s="4" t="n"/>
      <c r="BM174" s="4" t="n"/>
      <c r="BN174" s="4" t="n"/>
      <c r="BO174" s="4" t="n"/>
      <c r="BP174" s="4" t="n"/>
      <c r="BQ174" s="4" t="n"/>
      <c r="BR174" s="4" t="n"/>
      <c r="BS174" s="4" t="n"/>
      <c r="BT174" s="4" t="n"/>
      <c r="BU174" s="4" t="n"/>
      <c r="BV174" s="4" t="n"/>
      <c r="BW174" s="4" t="n"/>
      <c r="BX174" s="4" t="n"/>
      <c r="BY174" s="4" t="n"/>
      <c r="BZ174" s="4" t="n"/>
      <c r="CA174" s="4" t="n"/>
      <c r="CB174" s="4" t="n"/>
      <c r="CC174" s="4" t="n"/>
      <c r="CD174" s="4" t="n"/>
      <c r="CE174" s="4" t="n"/>
      <c r="CF174" s="4" t="n"/>
      <c r="CG174" s="4" t="n"/>
      <c r="CH174" s="4" t="n"/>
      <c r="CI174" s="4" t="n"/>
      <c r="CJ174" s="4" t="n"/>
      <c r="CK174" s="4" t="n"/>
      <c r="CL174" s="4" t="n"/>
      <c r="CM174" s="4" t="n"/>
      <c r="CN174" s="4" t="n"/>
      <c r="CO174" s="4" t="n"/>
      <c r="CP174" s="4" t="n"/>
      <c r="CQ174" s="4" t="n"/>
      <c r="CR174" s="4" t="n"/>
      <c r="CS174" s="4" t="n"/>
      <c r="CT174" s="4" t="n"/>
      <c r="CU174" s="4" t="n"/>
      <c r="CV174" s="4" t="n"/>
      <c r="CW174" s="4" t="n"/>
      <c r="CX174" s="4" t="n"/>
      <c r="CY174" s="4" t="n"/>
      <c r="CZ174" s="4" t="n"/>
      <c r="DA174" s="4" t="n"/>
      <c r="DB174" s="4" t="n"/>
      <c r="DC174" s="4" t="n"/>
      <c r="DD174" s="4" t="n"/>
      <c r="DE174" s="4" t="n"/>
      <c r="DF174" s="4" t="n"/>
      <c r="DG174" s="4" t="n"/>
      <c r="DH174" s="4" t="n"/>
      <c r="DI174" s="4" t="n"/>
      <c r="DJ174" s="4" t="n"/>
      <c r="DK174" s="4" t="n"/>
      <c r="DL174" s="4" t="n"/>
      <c r="DM174" s="4" t="n"/>
      <c r="DN174" s="4" t="n"/>
      <c r="DO174" s="4" t="n"/>
      <c r="DP174" s="4" t="n"/>
      <c r="DQ174" s="4" t="n"/>
      <c r="DR174" s="4" t="n"/>
      <c r="DS174" s="4" t="n"/>
      <c r="DT174" s="4" t="n"/>
      <c r="DU174" s="4" t="n"/>
      <c r="DV174" s="4" t="n"/>
      <c r="DW174" s="4" t="n"/>
      <c r="DX174" s="4" t="n"/>
      <c r="DY174" s="4" t="n"/>
      <c r="DZ174" s="4" t="n"/>
      <c r="EA174" s="4" t="n"/>
      <c r="EB174" s="4" t="n"/>
      <c r="EC174" s="4" t="n"/>
      <c r="ED174" s="4" t="n"/>
      <c r="EE174" s="4" t="n"/>
      <c r="EF174" s="4" t="n"/>
      <c r="EG174" s="4" t="n"/>
      <c r="EH174" s="4" t="n"/>
      <c r="EI174" s="4" t="n"/>
      <c r="EJ174" s="4" t="n"/>
      <c r="EK174" s="4" t="n"/>
      <c r="EL174" s="4" t="n"/>
      <c r="EM174" s="4" t="n"/>
      <c r="EN174" s="4" t="n"/>
    </row>
    <row r="175" hidden="1" customFormat="1" s="6">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c r="AC175" s="4" t="n"/>
      <c r="AD175" s="4" t="n"/>
      <c r="AE175" s="4" t="n"/>
      <c r="AF175" s="4" t="n"/>
      <c r="AG175" s="4" t="n"/>
      <c r="AH175" s="4" t="n"/>
      <c r="AI175" s="4" t="n"/>
      <c r="AJ175" s="4" t="n"/>
      <c r="AK175" s="4" t="n"/>
      <c r="AL175" s="4" t="n"/>
      <c r="AM175" s="4" t="n"/>
      <c r="AN175" s="4" t="n"/>
      <c r="AO175" s="4" t="n"/>
      <c r="AP175" s="4" t="n"/>
      <c r="AQ175" s="4" t="n"/>
      <c r="AR175" s="4" t="n"/>
      <c r="AS175" s="4" t="n"/>
      <c r="AT175" s="4" t="n"/>
      <c r="AU175" s="4" t="n"/>
      <c r="AV175" s="4" t="n"/>
      <c r="AW175" s="4" t="n"/>
      <c r="AX175" s="4" t="n"/>
      <c r="AY175" s="4" t="n"/>
      <c r="AZ175" s="4" t="n"/>
      <c r="BA175" s="4" t="n"/>
      <c r="BB175" s="4" t="n"/>
      <c r="BC175" s="4" t="n"/>
      <c r="BD175" s="4" t="n"/>
      <c r="BE175" s="4" t="n"/>
      <c r="BF175" s="4" t="n"/>
      <c r="BG175" s="4" t="n"/>
      <c r="BH175" s="4" t="n"/>
      <c r="BI175" s="4" t="n"/>
      <c r="BJ175" s="4" t="n"/>
      <c r="BK175" s="4" t="n"/>
      <c r="BL175" s="4" t="n"/>
      <c r="BM175" s="4" t="n"/>
      <c r="BN175" s="4" t="n"/>
      <c r="BO175" s="4" t="n"/>
      <c r="BP175" s="4" t="n"/>
      <c r="BQ175" s="4" t="n"/>
      <c r="BR175" s="4" t="n"/>
      <c r="BS175" s="4" t="n"/>
      <c r="BT175" s="4" t="n"/>
      <c r="BU175" s="4" t="n"/>
      <c r="BV175" s="4" t="n"/>
      <c r="BW175" s="4" t="n"/>
      <c r="BX175" s="4" t="n"/>
      <c r="BY175" s="4" t="n"/>
      <c r="BZ175" s="4" t="n"/>
      <c r="CA175" s="4" t="n"/>
      <c r="CB175" s="4" t="n"/>
      <c r="CC175" s="4" t="n"/>
      <c r="CD175" s="4" t="n"/>
      <c r="CE175" s="4" t="n"/>
      <c r="CF175" s="4" t="n"/>
      <c r="CG175" s="4" t="n"/>
      <c r="CH175" s="4" t="n"/>
      <c r="CI175" s="4" t="n"/>
      <c r="CJ175" s="4" t="n"/>
      <c r="CK175" s="4" t="n"/>
      <c r="CL175" s="4" t="n"/>
      <c r="CM175" s="4" t="n"/>
      <c r="CN175" s="4" t="n"/>
      <c r="CO175" s="4" t="n"/>
      <c r="CP175" s="4" t="n"/>
      <c r="CQ175" s="4" t="n"/>
      <c r="CR175" s="4" t="n"/>
      <c r="CS175" s="4" t="n"/>
      <c r="CT175" s="4" t="n"/>
      <c r="CU175" s="4" t="n"/>
      <c r="CV175" s="4" t="n"/>
      <c r="CW175" s="4" t="n"/>
      <c r="CX175" s="4" t="n"/>
      <c r="CY175" s="4" t="n"/>
      <c r="CZ175" s="4" t="n"/>
      <c r="DA175" s="4" t="n"/>
      <c r="DB175" s="4" t="n"/>
      <c r="DC175" s="4" t="n"/>
      <c r="DD175" s="4" t="n"/>
      <c r="DE175" s="4" t="n"/>
      <c r="DF175" s="4" t="n"/>
      <c r="DG175" s="4" t="n"/>
      <c r="DH175" s="4" t="n"/>
      <c r="DI175" s="4" t="n"/>
      <c r="DJ175" s="4" t="n"/>
      <c r="DK175" s="4" t="n"/>
      <c r="DL175" s="4" t="n"/>
      <c r="DM175" s="4" t="n"/>
      <c r="DN175" s="4" t="n"/>
      <c r="DO175" s="4" t="n"/>
      <c r="DP175" s="4" t="n"/>
      <c r="DQ175" s="4" t="n"/>
      <c r="DR175" s="4" t="n"/>
      <c r="DS175" s="4" t="n"/>
      <c r="DT175" s="4" t="n"/>
      <c r="DU175" s="4" t="n"/>
      <c r="DV175" s="4" t="n"/>
      <c r="DW175" s="4" t="n"/>
      <c r="DX175" s="4" t="n"/>
      <c r="DY175" s="4" t="n"/>
      <c r="DZ175" s="4" t="n"/>
      <c r="EA175" s="4" t="n"/>
      <c r="EB175" s="4" t="n"/>
      <c r="EC175" s="4" t="n"/>
      <c r="ED175" s="4" t="n"/>
      <c r="EE175" s="4" t="n"/>
      <c r="EF175" s="4" t="n"/>
      <c r="EG175" s="4" t="n"/>
      <c r="EH175" s="4" t="n"/>
      <c r="EI175" s="4" t="n"/>
      <c r="EJ175" s="4" t="n"/>
      <c r="EK175" s="4" t="n"/>
      <c r="EL175" s="4" t="n"/>
      <c r="EM175" s="4" t="n"/>
      <c r="EN175" s="4" t="n"/>
    </row>
    <row r="176" hidden="1" customFormat="1" s="6">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c r="AC176" s="4" t="n"/>
      <c r="AD176" s="4" t="n"/>
      <c r="AE176" s="4" t="n"/>
      <c r="AF176" s="4" t="n"/>
      <c r="AG176" s="4" t="n"/>
      <c r="AH176" s="4" t="n"/>
      <c r="AI176" s="4" t="n"/>
      <c r="AJ176" s="4" t="n"/>
      <c r="AK176" s="4" t="n"/>
      <c r="AL176" s="4" t="n"/>
      <c r="AM176" s="4" t="n"/>
      <c r="AN176" s="4" t="n"/>
      <c r="AO176" s="4" t="n"/>
      <c r="AP176" s="4" t="n"/>
      <c r="AQ176" s="4" t="n"/>
      <c r="AR176" s="4" t="n"/>
      <c r="AS176" s="4" t="n"/>
      <c r="AT176" s="4" t="n"/>
      <c r="AU176" s="4" t="n"/>
      <c r="AV176" s="4" t="n"/>
      <c r="AW176" s="4" t="n"/>
      <c r="AX176" s="4" t="n"/>
      <c r="AY176" s="4" t="n"/>
      <c r="AZ176" s="4" t="n"/>
      <c r="BA176" s="4" t="n"/>
      <c r="BB176" s="4" t="n"/>
      <c r="BC176" s="4" t="n"/>
      <c r="BD176" s="4" t="n"/>
      <c r="BE176" s="4" t="n"/>
      <c r="BF176" s="4" t="n"/>
      <c r="BG176" s="4" t="n"/>
      <c r="BH176" s="4" t="n"/>
      <c r="BI176" s="4" t="n"/>
      <c r="BJ176" s="4" t="n"/>
      <c r="BK176" s="4" t="n"/>
      <c r="BL176" s="4" t="n"/>
      <c r="BM176" s="4" t="n"/>
      <c r="BN176" s="4" t="n"/>
      <c r="BO176" s="4" t="n"/>
      <c r="BP176" s="4" t="n"/>
      <c r="BQ176" s="4" t="n"/>
      <c r="BR176" s="4" t="n"/>
      <c r="BS176" s="4" t="n"/>
      <c r="BT176" s="4" t="n"/>
      <c r="BU176" s="4" t="n"/>
      <c r="BV176" s="4" t="n"/>
      <c r="BW176" s="4" t="n"/>
      <c r="BX176" s="4" t="n"/>
      <c r="BY176" s="4" t="n"/>
      <c r="BZ176" s="4" t="n"/>
      <c r="CA176" s="4" t="n"/>
      <c r="CB176" s="4" t="n"/>
      <c r="CC176" s="4" t="n"/>
      <c r="CD176" s="4" t="n"/>
      <c r="CE176" s="4" t="n"/>
      <c r="CF176" s="4" t="n"/>
      <c r="CG176" s="4" t="n"/>
      <c r="CH176" s="4" t="n"/>
      <c r="CI176" s="4" t="n"/>
      <c r="CJ176" s="4" t="n"/>
      <c r="CK176" s="4" t="n"/>
      <c r="CL176" s="4" t="n"/>
      <c r="CM176" s="4" t="n"/>
      <c r="CN176" s="4" t="n"/>
      <c r="CO176" s="4" t="n"/>
      <c r="CP176" s="4" t="n"/>
      <c r="CQ176" s="4" t="n"/>
      <c r="CR176" s="4" t="n"/>
      <c r="CS176" s="4" t="n"/>
      <c r="CT176" s="4" t="n"/>
      <c r="CU176" s="4" t="n"/>
      <c r="CV176" s="4" t="n"/>
      <c r="CW176" s="4" t="n"/>
      <c r="CX176" s="4" t="n"/>
      <c r="CY176" s="4" t="n"/>
      <c r="CZ176" s="4" t="n"/>
      <c r="DA176" s="4" t="n"/>
      <c r="DB176" s="4" t="n"/>
      <c r="DC176" s="4" t="n"/>
      <c r="DD176" s="4" t="n"/>
      <c r="DE176" s="4" t="n"/>
      <c r="DF176" s="4" t="n"/>
      <c r="DG176" s="4" t="n"/>
      <c r="DH176" s="4" t="n"/>
      <c r="DI176" s="4" t="n"/>
      <c r="DJ176" s="4" t="n"/>
      <c r="DK176" s="4" t="n"/>
      <c r="DL176" s="4" t="n"/>
      <c r="DM176" s="4" t="n"/>
      <c r="DN176" s="4" t="n"/>
      <c r="DO176" s="4" t="n"/>
      <c r="DP176" s="4" t="n"/>
      <c r="DQ176" s="4" t="n"/>
      <c r="DR176" s="4" t="n"/>
      <c r="DS176" s="4" t="n"/>
      <c r="DT176" s="4" t="n"/>
      <c r="DU176" s="4" t="n"/>
      <c r="DV176" s="4" t="n"/>
      <c r="DW176" s="4" t="n"/>
      <c r="DX176" s="4" t="n"/>
      <c r="DY176" s="4" t="n"/>
      <c r="DZ176" s="4" t="n"/>
      <c r="EA176" s="4" t="n"/>
      <c r="EB176" s="4" t="n"/>
      <c r="EC176" s="4" t="n"/>
      <c r="ED176" s="4" t="n"/>
      <c r="EE176" s="4" t="n"/>
      <c r="EF176" s="4" t="n"/>
      <c r="EG176" s="4" t="n"/>
      <c r="EH176" s="4" t="n"/>
      <c r="EI176" s="4" t="n"/>
      <c r="EJ176" s="4" t="n"/>
      <c r="EK176" s="4" t="n"/>
      <c r="EL176" s="4" t="n"/>
      <c r="EM176" s="4" t="n"/>
      <c r="EN176" s="4" t="n"/>
    </row>
    <row r="177" hidden="1" customFormat="1" s="6">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c r="AC177" s="4" t="n"/>
      <c r="AD177" s="4" t="n"/>
      <c r="AE177" s="4" t="n"/>
      <c r="AF177" s="4" t="n"/>
      <c r="AG177" s="4" t="n"/>
      <c r="AH177" s="4" t="n"/>
      <c r="AI177" s="4" t="n"/>
      <c r="AJ177" s="4" t="n"/>
      <c r="AK177" s="4" t="n"/>
      <c r="AL177" s="4" t="n"/>
      <c r="AM177" s="4" t="n"/>
      <c r="AN177" s="4" t="n"/>
      <c r="AO177" s="4" t="n"/>
      <c r="AP177" s="4" t="n"/>
      <c r="AQ177" s="4" t="n"/>
      <c r="AR177" s="4" t="n"/>
      <c r="AS177" s="4" t="n"/>
      <c r="AT177" s="4" t="n"/>
      <c r="AU177" s="4" t="n"/>
      <c r="AV177" s="4" t="n"/>
      <c r="AW177" s="4" t="n"/>
      <c r="AX177" s="4" t="n"/>
      <c r="AY177" s="4" t="n"/>
      <c r="AZ177" s="4" t="n"/>
      <c r="BA177" s="4" t="n"/>
      <c r="BB177" s="4" t="n"/>
      <c r="BC177" s="4" t="n"/>
      <c r="BD177" s="4" t="n"/>
      <c r="BE177" s="4" t="n"/>
      <c r="BF177" s="4" t="n"/>
      <c r="BG177" s="4" t="n"/>
      <c r="BH177" s="4" t="n"/>
      <c r="BI177" s="4" t="n"/>
      <c r="BJ177" s="4" t="n"/>
      <c r="BK177" s="4" t="n"/>
      <c r="BL177" s="4" t="n"/>
      <c r="BM177" s="4" t="n"/>
      <c r="BN177" s="4" t="n"/>
      <c r="BO177" s="4" t="n"/>
      <c r="BP177" s="4" t="n"/>
      <c r="BQ177" s="4" t="n"/>
      <c r="BR177" s="4" t="n"/>
      <c r="BS177" s="4" t="n"/>
      <c r="BT177" s="4" t="n"/>
      <c r="BU177" s="4" t="n"/>
      <c r="BV177" s="4" t="n"/>
      <c r="BW177" s="4" t="n"/>
      <c r="BX177" s="4" t="n"/>
      <c r="BY177" s="4" t="n"/>
      <c r="BZ177" s="4" t="n"/>
      <c r="CA177" s="4" t="n"/>
      <c r="CB177" s="4" t="n"/>
      <c r="CC177" s="4" t="n"/>
      <c r="CD177" s="4" t="n"/>
      <c r="CE177" s="4" t="n"/>
      <c r="CF177" s="4" t="n"/>
      <c r="CG177" s="4" t="n"/>
      <c r="CH177" s="4" t="n"/>
      <c r="CI177" s="4" t="n"/>
      <c r="CJ177" s="4" t="n"/>
      <c r="CK177" s="4" t="n"/>
      <c r="CL177" s="4" t="n"/>
      <c r="CM177" s="4" t="n"/>
      <c r="CN177" s="4" t="n"/>
      <c r="CO177" s="4" t="n"/>
      <c r="CP177" s="4" t="n"/>
      <c r="CQ177" s="4" t="n"/>
      <c r="CR177" s="4" t="n"/>
      <c r="CS177" s="4" t="n"/>
      <c r="CT177" s="4" t="n"/>
      <c r="CU177" s="4" t="n"/>
      <c r="CV177" s="4" t="n"/>
      <c r="CW177" s="4" t="n"/>
      <c r="CX177" s="4" t="n"/>
      <c r="CY177" s="4" t="n"/>
      <c r="CZ177" s="4" t="n"/>
      <c r="DA177" s="4" t="n"/>
      <c r="DB177" s="4" t="n"/>
      <c r="DC177" s="4" t="n"/>
      <c r="DD177" s="4" t="n"/>
      <c r="DE177" s="4" t="n"/>
      <c r="DF177" s="4" t="n"/>
      <c r="DG177" s="4" t="n"/>
      <c r="DH177" s="4" t="n"/>
      <c r="DI177" s="4" t="n"/>
      <c r="DJ177" s="4" t="n"/>
      <c r="DK177" s="4" t="n"/>
      <c r="DL177" s="4" t="n"/>
      <c r="DM177" s="4" t="n"/>
      <c r="DN177" s="4" t="n"/>
      <c r="DO177" s="4" t="n"/>
      <c r="DP177" s="4" t="n"/>
      <c r="DQ177" s="4" t="n"/>
      <c r="DR177" s="4" t="n"/>
      <c r="DS177" s="4" t="n"/>
      <c r="DT177" s="4" t="n"/>
      <c r="DU177" s="4" t="n"/>
      <c r="DV177" s="4" t="n"/>
      <c r="DW177" s="4" t="n"/>
      <c r="DX177" s="4" t="n"/>
      <c r="DY177" s="4" t="n"/>
      <c r="DZ177" s="4" t="n"/>
      <c r="EA177" s="4" t="n"/>
      <c r="EB177" s="4" t="n"/>
      <c r="EC177" s="4" t="n"/>
      <c r="ED177" s="4" t="n"/>
      <c r="EE177" s="4" t="n"/>
      <c r="EF177" s="4" t="n"/>
      <c r="EG177" s="4" t="n"/>
      <c r="EH177" s="4" t="n"/>
      <c r="EI177" s="4" t="n"/>
      <c r="EJ177" s="4" t="n"/>
      <c r="EK177" s="4" t="n"/>
      <c r="EL177" s="4" t="n"/>
      <c r="EM177" s="4" t="n"/>
      <c r="EN177" s="4" t="n"/>
    </row>
    <row r="178" hidden="1" customFormat="1" s="6">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c r="AC178" s="4" t="n"/>
      <c r="AD178" s="4" t="n"/>
      <c r="AE178" s="4" t="n"/>
      <c r="AF178" s="4" t="n"/>
      <c r="AG178" s="4" t="n"/>
      <c r="AH178" s="4" t="n"/>
      <c r="AI178" s="4" t="n"/>
      <c r="AJ178" s="4" t="n"/>
      <c r="AK178" s="4" t="n"/>
      <c r="AL178" s="4" t="n"/>
      <c r="AM178" s="4" t="n"/>
      <c r="AN178" s="4" t="n"/>
      <c r="AO178" s="4" t="n"/>
      <c r="AP178" s="4" t="n"/>
      <c r="AQ178" s="4" t="n"/>
      <c r="AR178" s="4" t="n"/>
      <c r="AS178" s="4" t="n"/>
      <c r="AT178" s="4" t="n"/>
      <c r="AU178" s="4" t="n"/>
      <c r="AV178" s="4" t="n"/>
      <c r="AW178" s="4" t="n"/>
      <c r="AX178" s="4" t="n"/>
      <c r="AY178" s="4" t="n"/>
      <c r="AZ178" s="4" t="n"/>
      <c r="BA178" s="4" t="n"/>
      <c r="BB178" s="4" t="n"/>
      <c r="BC178" s="4" t="n"/>
      <c r="BD178" s="4" t="n"/>
      <c r="BE178" s="4" t="n"/>
      <c r="BF178" s="4" t="n"/>
      <c r="BG178" s="4" t="n"/>
      <c r="BH178" s="4" t="n"/>
      <c r="BI178" s="4" t="n"/>
      <c r="BJ178" s="4" t="n"/>
      <c r="BK178" s="4" t="n"/>
      <c r="BL178" s="4" t="n"/>
      <c r="BM178" s="4" t="n"/>
      <c r="BN178" s="4" t="n"/>
      <c r="BO178" s="4" t="n"/>
      <c r="BP178" s="4" t="n"/>
      <c r="BQ178" s="4" t="n"/>
      <c r="BR178" s="4" t="n"/>
      <c r="BS178" s="4" t="n"/>
      <c r="BT178" s="4" t="n"/>
      <c r="BU178" s="4" t="n"/>
      <c r="BV178" s="4" t="n"/>
      <c r="BW178" s="4" t="n"/>
      <c r="BX178" s="4" t="n"/>
      <c r="BY178" s="4" t="n"/>
      <c r="BZ178" s="4" t="n"/>
      <c r="CA178" s="4" t="n"/>
      <c r="CB178" s="4" t="n"/>
      <c r="CC178" s="4" t="n"/>
      <c r="CD178" s="4" t="n"/>
      <c r="CE178" s="4" t="n"/>
      <c r="CF178" s="4" t="n"/>
      <c r="CG178" s="4" t="n"/>
      <c r="CH178" s="4" t="n"/>
      <c r="CI178" s="4" t="n"/>
      <c r="CJ178" s="4" t="n"/>
      <c r="CK178" s="4" t="n"/>
      <c r="CL178" s="4" t="n"/>
      <c r="CM178" s="4" t="n"/>
      <c r="CN178" s="4" t="n"/>
      <c r="CO178" s="4" t="n"/>
      <c r="CP178" s="4" t="n"/>
      <c r="CQ178" s="4" t="n"/>
      <c r="CR178" s="4" t="n"/>
      <c r="CS178" s="4" t="n"/>
      <c r="CT178" s="4" t="n"/>
      <c r="CU178" s="4" t="n"/>
      <c r="CV178" s="4" t="n"/>
      <c r="CW178" s="4" t="n"/>
      <c r="CX178" s="4" t="n"/>
      <c r="CY178" s="4" t="n"/>
      <c r="CZ178" s="4" t="n"/>
      <c r="DA178" s="4" t="n"/>
      <c r="DB178" s="4" t="n"/>
      <c r="DC178" s="4" t="n"/>
      <c r="DD178" s="4" t="n"/>
      <c r="DE178" s="4" t="n"/>
      <c r="DF178" s="4" t="n"/>
      <c r="DG178" s="4" t="n"/>
      <c r="DH178" s="4" t="n"/>
      <c r="DI178" s="4" t="n"/>
      <c r="DJ178" s="4" t="n"/>
      <c r="DK178" s="4" t="n"/>
      <c r="DL178" s="4" t="n"/>
      <c r="DM178" s="4" t="n"/>
      <c r="DN178" s="4" t="n"/>
      <c r="DO178" s="4" t="n"/>
      <c r="DP178" s="4" t="n"/>
      <c r="DQ178" s="4" t="n"/>
      <c r="DR178" s="4" t="n"/>
      <c r="DS178" s="4" t="n"/>
      <c r="DT178" s="4" t="n"/>
      <c r="DU178" s="4" t="n"/>
      <c r="DV178" s="4" t="n"/>
      <c r="DW178" s="4" t="n"/>
      <c r="DX178" s="4" t="n"/>
      <c r="DY178" s="4" t="n"/>
      <c r="DZ178" s="4" t="n"/>
      <c r="EA178" s="4" t="n"/>
      <c r="EB178" s="4" t="n"/>
      <c r="EC178" s="4" t="n"/>
      <c r="ED178" s="4" t="n"/>
      <c r="EE178" s="4" t="n"/>
      <c r="EF178" s="4" t="n"/>
      <c r="EG178" s="4" t="n"/>
      <c r="EH178" s="4" t="n"/>
      <c r="EI178" s="4" t="n"/>
      <c r="EJ178" s="4" t="n"/>
      <c r="EK178" s="4" t="n"/>
      <c r="EL178" s="4" t="n"/>
      <c r="EM178" s="4" t="n"/>
      <c r="EN178" s="4" t="n"/>
    </row>
    <row r="179" hidden="1" customFormat="1" s="6">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c r="AD179" s="4" t="n"/>
      <c r="AE179" s="4" t="n"/>
      <c r="AF179" s="4" t="n"/>
      <c r="AG179" s="4" t="n"/>
      <c r="AH179" s="4" t="n"/>
      <c r="AI179" s="4" t="n"/>
      <c r="AJ179" s="4" t="n"/>
      <c r="AK179" s="4" t="n"/>
      <c r="AL179" s="4" t="n"/>
      <c r="AM179" s="4" t="n"/>
      <c r="AN179" s="4" t="n"/>
      <c r="AO179" s="4" t="n"/>
      <c r="AP179" s="4" t="n"/>
      <c r="AQ179" s="4" t="n"/>
      <c r="AR179" s="4" t="n"/>
      <c r="AS179" s="4" t="n"/>
      <c r="AT179" s="4" t="n"/>
      <c r="AU179" s="4" t="n"/>
      <c r="AV179" s="4" t="n"/>
      <c r="AW179" s="4" t="n"/>
      <c r="AX179" s="4" t="n"/>
      <c r="AY179" s="4" t="n"/>
      <c r="AZ179" s="4" t="n"/>
      <c r="BA179" s="4" t="n"/>
      <c r="BB179" s="4" t="n"/>
      <c r="BC179" s="4" t="n"/>
      <c r="BD179" s="4" t="n"/>
      <c r="BE179" s="4" t="n"/>
      <c r="BF179" s="4" t="n"/>
      <c r="BG179" s="4" t="n"/>
      <c r="BH179" s="4" t="n"/>
      <c r="BI179" s="4" t="n"/>
      <c r="BJ179" s="4" t="n"/>
      <c r="BK179" s="4" t="n"/>
      <c r="BL179" s="4" t="n"/>
      <c r="BM179" s="4" t="n"/>
      <c r="BN179" s="4" t="n"/>
      <c r="BO179" s="4" t="n"/>
      <c r="BP179" s="4" t="n"/>
      <c r="BQ179" s="4" t="n"/>
      <c r="BR179" s="4" t="n"/>
      <c r="BS179" s="4" t="n"/>
      <c r="BT179" s="4" t="n"/>
      <c r="BU179" s="4" t="n"/>
      <c r="BV179" s="4" t="n"/>
      <c r="BW179" s="4" t="n"/>
      <c r="BX179" s="4" t="n"/>
      <c r="BY179" s="4" t="n"/>
      <c r="BZ179" s="4" t="n"/>
      <c r="CA179" s="4" t="n"/>
      <c r="CB179" s="4" t="n"/>
      <c r="CC179" s="4" t="n"/>
      <c r="CD179" s="4" t="n"/>
      <c r="CE179" s="4" t="n"/>
      <c r="CF179" s="4" t="n"/>
      <c r="CG179" s="4" t="n"/>
      <c r="CH179" s="4" t="n"/>
      <c r="CI179" s="4" t="n"/>
      <c r="CJ179" s="4" t="n"/>
      <c r="CK179" s="4" t="n"/>
      <c r="CL179" s="4" t="n"/>
      <c r="CM179" s="4" t="n"/>
      <c r="CN179" s="4" t="n"/>
      <c r="CO179" s="4" t="n"/>
      <c r="CP179" s="4" t="n"/>
      <c r="CQ179" s="4" t="n"/>
      <c r="CR179" s="4" t="n"/>
      <c r="CS179" s="4" t="n"/>
      <c r="CT179" s="4" t="n"/>
      <c r="CU179" s="4" t="n"/>
      <c r="CV179" s="4" t="n"/>
      <c r="CW179" s="4" t="n"/>
      <c r="CX179" s="4" t="n"/>
      <c r="CY179" s="4" t="n"/>
      <c r="CZ179" s="4" t="n"/>
      <c r="DA179" s="4" t="n"/>
      <c r="DB179" s="4" t="n"/>
      <c r="DC179" s="4" t="n"/>
      <c r="DD179" s="4" t="n"/>
      <c r="DE179" s="4" t="n"/>
      <c r="DF179" s="4" t="n"/>
      <c r="DG179" s="4" t="n"/>
      <c r="DH179" s="4" t="n"/>
      <c r="DI179" s="4" t="n"/>
      <c r="DJ179" s="4" t="n"/>
      <c r="DK179" s="4" t="n"/>
      <c r="DL179" s="4" t="n"/>
      <c r="DM179" s="4" t="n"/>
      <c r="DN179" s="4" t="n"/>
      <c r="DO179" s="4" t="n"/>
      <c r="DP179" s="4" t="n"/>
      <c r="DQ179" s="4" t="n"/>
      <c r="DR179" s="4" t="n"/>
      <c r="DS179" s="4" t="n"/>
      <c r="DT179" s="4" t="n"/>
      <c r="DU179" s="4" t="n"/>
      <c r="DV179" s="4" t="n"/>
      <c r="DW179" s="4" t="n"/>
      <c r="DX179" s="4" t="n"/>
      <c r="DY179" s="4" t="n"/>
      <c r="DZ179" s="4" t="n"/>
      <c r="EA179" s="4" t="n"/>
      <c r="EB179" s="4" t="n"/>
      <c r="EC179" s="4" t="n"/>
      <c r="ED179" s="4" t="n"/>
      <c r="EE179" s="4" t="n"/>
      <c r="EF179" s="4" t="n"/>
      <c r="EG179" s="4" t="n"/>
      <c r="EH179" s="4" t="n"/>
      <c r="EI179" s="4" t="n"/>
      <c r="EJ179" s="4" t="n"/>
      <c r="EK179" s="4" t="n"/>
      <c r="EL179" s="4" t="n"/>
      <c r="EM179" s="4" t="n"/>
      <c r="EN179" s="4" t="n"/>
    </row>
    <row r="180" hidden="1" customFormat="1" s="6">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c r="AC180" s="4" t="n"/>
      <c r="AD180" s="4" t="n"/>
      <c r="AE180" s="4" t="n"/>
      <c r="AF180" s="4" t="n"/>
      <c r="AG180" s="4" t="n"/>
      <c r="AH180" s="4" t="n"/>
      <c r="AI180" s="4" t="n"/>
      <c r="AJ180" s="4" t="n"/>
      <c r="AK180" s="4" t="n"/>
      <c r="AL180" s="4" t="n"/>
      <c r="AM180" s="4" t="n"/>
      <c r="AN180" s="4" t="n"/>
      <c r="AO180" s="4" t="n"/>
      <c r="AP180" s="4" t="n"/>
      <c r="AQ180" s="4" t="n"/>
      <c r="AR180" s="4" t="n"/>
      <c r="AS180" s="4" t="n"/>
      <c r="AT180" s="4" t="n"/>
      <c r="AU180" s="4" t="n"/>
      <c r="AV180" s="4" t="n"/>
      <c r="AW180" s="4" t="n"/>
      <c r="AX180" s="4" t="n"/>
      <c r="AY180" s="4" t="n"/>
      <c r="AZ180" s="4" t="n"/>
      <c r="BA180" s="4" t="n"/>
      <c r="BB180" s="4" t="n"/>
      <c r="BC180" s="4" t="n"/>
      <c r="BD180" s="4" t="n"/>
      <c r="BE180" s="4" t="n"/>
      <c r="BF180" s="4" t="n"/>
      <c r="BG180" s="4" t="n"/>
      <c r="BH180" s="4" t="n"/>
      <c r="BI180" s="4" t="n"/>
      <c r="BJ180" s="4" t="n"/>
      <c r="BK180" s="4" t="n"/>
      <c r="BL180" s="4" t="n"/>
      <c r="BM180" s="4" t="n"/>
      <c r="BN180" s="4" t="n"/>
      <c r="BO180" s="4" t="n"/>
      <c r="BP180" s="4" t="n"/>
      <c r="BQ180" s="4" t="n"/>
      <c r="BR180" s="4" t="n"/>
      <c r="BS180" s="4" t="n"/>
      <c r="BT180" s="4" t="n"/>
      <c r="BU180" s="4" t="n"/>
      <c r="BV180" s="4" t="n"/>
      <c r="BW180" s="4" t="n"/>
      <c r="BX180" s="4" t="n"/>
      <c r="BY180" s="4" t="n"/>
      <c r="BZ180" s="4" t="n"/>
      <c r="CA180" s="4" t="n"/>
      <c r="CB180" s="4" t="n"/>
      <c r="CC180" s="4" t="n"/>
      <c r="CD180" s="4" t="n"/>
      <c r="CE180" s="4" t="n"/>
      <c r="CF180" s="4" t="n"/>
      <c r="CG180" s="4" t="n"/>
      <c r="CH180" s="4" t="n"/>
      <c r="CI180" s="4" t="n"/>
      <c r="CJ180" s="4" t="n"/>
      <c r="CK180" s="4" t="n"/>
      <c r="CL180" s="4" t="n"/>
      <c r="CM180" s="4" t="n"/>
      <c r="CN180" s="4" t="n"/>
      <c r="CO180" s="4" t="n"/>
      <c r="CP180" s="4" t="n"/>
      <c r="CQ180" s="4" t="n"/>
      <c r="CR180" s="4" t="n"/>
      <c r="CS180" s="4" t="n"/>
      <c r="CT180" s="4" t="n"/>
      <c r="CU180" s="4" t="n"/>
      <c r="CV180" s="4" t="n"/>
      <c r="CW180" s="4" t="n"/>
      <c r="CX180" s="4" t="n"/>
      <c r="CY180" s="4" t="n"/>
      <c r="CZ180" s="4" t="n"/>
      <c r="DA180" s="4" t="n"/>
      <c r="DB180" s="4" t="n"/>
      <c r="DC180" s="4" t="n"/>
      <c r="DD180" s="4" t="n"/>
      <c r="DE180" s="4" t="n"/>
      <c r="DF180" s="4" t="n"/>
      <c r="DG180" s="4" t="n"/>
      <c r="DH180" s="4" t="n"/>
      <c r="DI180" s="4" t="n"/>
      <c r="DJ180" s="4" t="n"/>
      <c r="DK180" s="4" t="n"/>
      <c r="DL180" s="4" t="n"/>
      <c r="DM180" s="4" t="n"/>
      <c r="DN180" s="4" t="n"/>
      <c r="DO180" s="4" t="n"/>
      <c r="DP180" s="4" t="n"/>
      <c r="DQ180" s="4" t="n"/>
      <c r="DR180" s="4" t="n"/>
      <c r="DS180" s="4" t="n"/>
      <c r="DT180" s="4" t="n"/>
      <c r="DU180" s="4" t="n"/>
      <c r="DV180" s="4" t="n"/>
      <c r="DW180" s="4" t="n"/>
      <c r="DX180" s="4" t="n"/>
      <c r="DY180" s="4" t="n"/>
      <c r="DZ180" s="4" t="n"/>
      <c r="EA180" s="4" t="n"/>
      <c r="EB180" s="4" t="n"/>
      <c r="EC180" s="4" t="n"/>
      <c r="ED180" s="4" t="n"/>
      <c r="EE180" s="4" t="n"/>
      <c r="EF180" s="4" t="n"/>
      <c r="EG180" s="4" t="n"/>
      <c r="EH180" s="4" t="n"/>
      <c r="EI180" s="4" t="n"/>
      <c r="EJ180" s="4" t="n"/>
      <c r="EK180" s="4" t="n"/>
      <c r="EL180" s="4" t="n"/>
      <c r="EM180" s="4" t="n"/>
      <c r="EN180" s="4" t="n"/>
    </row>
    <row r="181" hidden="1" customFormat="1" s="6">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c r="AC181" s="4" t="n"/>
      <c r="AD181" s="4" t="n"/>
      <c r="AE181" s="4" t="n"/>
      <c r="AF181" s="4" t="n"/>
      <c r="AG181" s="4" t="n"/>
      <c r="AH181" s="4" t="n"/>
      <c r="AI181" s="4" t="n"/>
      <c r="AJ181" s="4" t="n"/>
      <c r="AK181" s="4" t="n"/>
      <c r="AL181" s="4" t="n"/>
      <c r="AM181" s="4" t="n"/>
      <c r="AN181" s="4" t="n"/>
      <c r="AO181" s="4" t="n"/>
      <c r="AP181" s="4" t="n"/>
      <c r="AQ181" s="4" t="n"/>
      <c r="AR181" s="4" t="n"/>
      <c r="AS181" s="4" t="n"/>
      <c r="AT181" s="4" t="n"/>
      <c r="AU181" s="4" t="n"/>
      <c r="AV181" s="4" t="n"/>
      <c r="AW181" s="4" t="n"/>
      <c r="AX181" s="4" t="n"/>
      <c r="AY181" s="4" t="n"/>
      <c r="AZ181" s="4" t="n"/>
      <c r="BA181" s="4" t="n"/>
      <c r="BB181" s="4" t="n"/>
      <c r="BC181" s="4" t="n"/>
      <c r="BD181" s="4" t="n"/>
      <c r="BE181" s="4" t="n"/>
      <c r="BF181" s="4" t="n"/>
      <c r="BG181" s="4" t="n"/>
      <c r="BH181" s="4" t="n"/>
      <c r="BI181" s="4" t="n"/>
      <c r="BJ181" s="4" t="n"/>
      <c r="BK181" s="4" t="n"/>
      <c r="BL181" s="4" t="n"/>
      <c r="BM181" s="4" t="n"/>
      <c r="BN181" s="4" t="n"/>
      <c r="BO181" s="4" t="n"/>
      <c r="BP181" s="4" t="n"/>
      <c r="BQ181" s="4" t="n"/>
      <c r="BR181" s="4" t="n"/>
      <c r="BS181" s="4" t="n"/>
      <c r="BT181" s="4" t="n"/>
      <c r="BU181" s="4" t="n"/>
      <c r="BV181" s="4" t="n"/>
      <c r="BW181" s="4" t="n"/>
      <c r="BX181" s="4" t="n"/>
      <c r="BY181" s="4" t="n"/>
      <c r="BZ181" s="4" t="n"/>
      <c r="CA181" s="4" t="n"/>
      <c r="CB181" s="4" t="n"/>
      <c r="CC181" s="4" t="n"/>
      <c r="CD181" s="4" t="n"/>
      <c r="CE181" s="4" t="n"/>
      <c r="CF181" s="4" t="n"/>
      <c r="CG181" s="4" t="n"/>
      <c r="CH181" s="4" t="n"/>
      <c r="CI181" s="4" t="n"/>
      <c r="CJ181" s="4" t="n"/>
      <c r="CK181" s="4" t="n"/>
      <c r="CL181" s="4" t="n"/>
      <c r="CM181" s="4" t="n"/>
      <c r="CN181" s="4" t="n"/>
      <c r="CO181" s="4" t="n"/>
      <c r="CP181" s="4" t="n"/>
      <c r="CQ181" s="4" t="n"/>
      <c r="CR181" s="4" t="n"/>
      <c r="CS181" s="4" t="n"/>
      <c r="CT181" s="4" t="n"/>
      <c r="CU181" s="4" t="n"/>
      <c r="CV181" s="4" t="n"/>
      <c r="CW181" s="4" t="n"/>
      <c r="CX181" s="4" t="n"/>
      <c r="CY181" s="4" t="n"/>
      <c r="CZ181" s="4" t="n"/>
      <c r="DA181" s="4" t="n"/>
      <c r="DB181" s="4" t="n"/>
      <c r="DC181" s="4" t="n"/>
      <c r="DD181" s="4" t="n"/>
      <c r="DE181" s="4" t="n"/>
      <c r="DF181" s="4" t="n"/>
      <c r="DG181" s="4" t="n"/>
      <c r="DH181" s="4" t="n"/>
      <c r="DI181" s="4" t="n"/>
      <c r="DJ181" s="4" t="n"/>
      <c r="DK181" s="4" t="n"/>
      <c r="DL181" s="4" t="n"/>
      <c r="DM181" s="4" t="n"/>
      <c r="DN181" s="4" t="n"/>
      <c r="DO181" s="4" t="n"/>
      <c r="DP181" s="4" t="n"/>
      <c r="DQ181" s="4" t="n"/>
      <c r="DR181" s="4" t="n"/>
      <c r="DS181" s="4" t="n"/>
      <c r="DT181" s="4" t="n"/>
      <c r="DU181" s="4" t="n"/>
      <c r="DV181" s="4" t="n"/>
      <c r="DW181" s="4" t="n"/>
      <c r="DX181" s="4" t="n"/>
      <c r="DY181" s="4" t="n"/>
      <c r="DZ181" s="4" t="n"/>
      <c r="EA181" s="4" t="n"/>
      <c r="EB181" s="4" t="n"/>
      <c r="EC181" s="4" t="n"/>
      <c r="ED181" s="4" t="n"/>
      <c r="EE181" s="4" t="n"/>
      <c r="EF181" s="4" t="n"/>
      <c r="EG181" s="4" t="n"/>
      <c r="EH181" s="4" t="n"/>
      <c r="EI181" s="4" t="n"/>
      <c r="EJ181" s="4" t="n"/>
      <c r="EK181" s="4" t="n"/>
      <c r="EL181" s="4" t="n"/>
      <c r="EM181" s="4" t="n"/>
      <c r="EN181" s="4" t="n"/>
    </row>
    <row r="182" hidden="1" customFormat="1" s="6">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c r="AC182" s="4" t="n"/>
      <c r="AD182" s="4" t="n"/>
      <c r="AE182" s="4" t="n"/>
      <c r="AF182" s="4" t="n"/>
      <c r="AG182" s="4" t="n"/>
      <c r="AH182" s="4" t="n"/>
      <c r="AI182" s="4" t="n"/>
      <c r="AJ182" s="4" t="n"/>
      <c r="AK182" s="4" t="n"/>
      <c r="AL182" s="4" t="n"/>
      <c r="AM182" s="4" t="n"/>
      <c r="AN182" s="4" t="n"/>
      <c r="AO182" s="4" t="n"/>
      <c r="AP182" s="4" t="n"/>
      <c r="AQ182" s="4" t="n"/>
      <c r="AR182" s="4" t="n"/>
      <c r="AS182" s="4" t="n"/>
      <c r="AT182" s="4" t="n"/>
      <c r="AU182" s="4" t="n"/>
      <c r="AV182" s="4" t="n"/>
      <c r="AW182" s="4" t="n"/>
      <c r="AX182" s="4" t="n"/>
      <c r="AY182" s="4" t="n"/>
      <c r="AZ182" s="4" t="n"/>
      <c r="BA182" s="4" t="n"/>
      <c r="BB182" s="4" t="n"/>
      <c r="BC182" s="4" t="n"/>
      <c r="BD182" s="4" t="n"/>
      <c r="BE182" s="4" t="n"/>
      <c r="BF182" s="4" t="n"/>
      <c r="BG182" s="4" t="n"/>
      <c r="BH182" s="4" t="n"/>
      <c r="BI182" s="4" t="n"/>
      <c r="BJ182" s="4" t="n"/>
      <c r="BK182" s="4" t="n"/>
      <c r="BL182" s="4" t="n"/>
      <c r="BM182" s="4" t="n"/>
      <c r="BN182" s="4" t="n"/>
      <c r="BO182" s="4" t="n"/>
      <c r="BP182" s="4" t="n"/>
      <c r="BQ182" s="4" t="n"/>
      <c r="BR182" s="4" t="n"/>
      <c r="BS182" s="4" t="n"/>
      <c r="BT182" s="4" t="n"/>
      <c r="BU182" s="4" t="n"/>
      <c r="BV182" s="4" t="n"/>
      <c r="BW182" s="4" t="n"/>
      <c r="BX182" s="4" t="n"/>
      <c r="BY182" s="4" t="n"/>
      <c r="BZ182" s="4" t="n"/>
      <c r="CA182" s="4" t="n"/>
      <c r="CB182" s="4" t="n"/>
      <c r="CC182" s="4" t="n"/>
      <c r="CD182" s="4" t="n"/>
      <c r="CE182" s="4" t="n"/>
      <c r="CF182" s="4" t="n"/>
      <c r="CG182" s="4" t="n"/>
      <c r="CH182" s="4" t="n"/>
      <c r="CI182" s="4" t="n"/>
      <c r="CJ182" s="4" t="n"/>
      <c r="CK182" s="4" t="n"/>
      <c r="CL182" s="4" t="n"/>
      <c r="CM182" s="4" t="n"/>
      <c r="CN182" s="4" t="n"/>
      <c r="CO182" s="4" t="n"/>
      <c r="CP182" s="4" t="n"/>
      <c r="CQ182" s="4" t="n"/>
      <c r="CR182" s="4" t="n"/>
      <c r="CS182" s="4" t="n"/>
      <c r="CT182" s="4" t="n"/>
      <c r="CU182" s="4" t="n"/>
      <c r="CV182" s="4" t="n"/>
      <c r="CW182" s="4" t="n"/>
      <c r="CX182" s="4" t="n"/>
      <c r="CY182" s="4" t="n"/>
      <c r="CZ182" s="4" t="n"/>
      <c r="DA182" s="4" t="n"/>
      <c r="DB182" s="4" t="n"/>
      <c r="DC182" s="4" t="n"/>
      <c r="DD182" s="4" t="n"/>
      <c r="DE182" s="4" t="n"/>
      <c r="DF182" s="4" t="n"/>
      <c r="DG182" s="4" t="n"/>
      <c r="DH182" s="4" t="n"/>
      <c r="DI182" s="4" t="n"/>
      <c r="DJ182" s="4" t="n"/>
      <c r="DK182" s="4" t="n"/>
      <c r="DL182" s="4" t="n"/>
      <c r="DM182" s="4" t="n"/>
      <c r="DN182" s="4" t="n"/>
      <c r="DO182" s="4" t="n"/>
      <c r="DP182" s="4" t="n"/>
      <c r="DQ182" s="4" t="n"/>
      <c r="DR182" s="4" t="n"/>
      <c r="DS182" s="4" t="n"/>
      <c r="DT182" s="4" t="n"/>
      <c r="DU182" s="4" t="n"/>
      <c r="DV182" s="4" t="n"/>
      <c r="DW182" s="4" t="n"/>
      <c r="DX182" s="4" t="n"/>
      <c r="DY182" s="4" t="n"/>
      <c r="DZ182" s="4" t="n"/>
      <c r="EA182" s="4" t="n"/>
      <c r="EB182" s="4" t="n"/>
      <c r="EC182" s="4" t="n"/>
      <c r="ED182" s="4" t="n"/>
      <c r="EE182" s="4" t="n"/>
      <c r="EF182" s="4" t="n"/>
      <c r="EG182" s="4" t="n"/>
      <c r="EH182" s="4" t="n"/>
      <c r="EI182" s="4" t="n"/>
      <c r="EJ182" s="4" t="n"/>
      <c r="EK182" s="4" t="n"/>
      <c r="EL182" s="4" t="n"/>
      <c r="EM182" s="4" t="n"/>
      <c r="EN182" s="4" t="n"/>
    </row>
    <row r="183" hidden="1" customFormat="1" s="6">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c r="AD183" s="4" t="n"/>
      <c r="AE183" s="4" t="n"/>
      <c r="AF183" s="4" t="n"/>
      <c r="AG183" s="4" t="n"/>
      <c r="AH183" s="4" t="n"/>
      <c r="AI183" s="4" t="n"/>
      <c r="AJ183" s="4" t="n"/>
      <c r="AK183" s="4" t="n"/>
      <c r="AL183" s="4" t="n"/>
      <c r="AM183" s="4" t="n"/>
      <c r="AN183" s="4" t="n"/>
      <c r="AO183" s="4" t="n"/>
      <c r="AP183" s="4" t="n"/>
      <c r="AQ183" s="4" t="n"/>
      <c r="AR183" s="4" t="n"/>
      <c r="AS183" s="4" t="n"/>
      <c r="AT183" s="4" t="n"/>
      <c r="AU183" s="4" t="n"/>
      <c r="AV183" s="4" t="n"/>
      <c r="AW183" s="4" t="n"/>
      <c r="AX183" s="4" t="n"/>
      <c r="AY183" s="4" t="n"/>
      <c r="AZ183" s="4" t="n"/>
      <c r="BA183" s="4" t="n"/>
      <c r="BB183" s="4" t="n"/>
      <c r="BC183" s="4" t="n"/>
      <c r="BD183" s="4" t="n"/>
      <c r="BE183" s="4" t="n"/>
      <c r="BF183" s="4" t="n"/>
      <c r="BG183" s="4" t="n"/>
      <c r="BH183" s="4" t="n"/>
      <c r="BI183" s="4" t="n"/>
      <c r="BJ183" s="4" t="n"/>
      <c r="BK183" s="4" t="n"/>
      <c r="BL183" s="4" t="n"/>
      <c r="BM183" s="4" t="n"/>
      <c r="BN183" s="4" t="n"/>
      <c r="BO183" s="4" t="n"/>
      <c r="BP183" s="4" t="n"/>
      <c r="BQ183" s="4" t="n"/>
      <c r="BR183" s="4" t="n"/>
      <c r="BS183" s="4" t="n"/>
      <c r="BT183" s="4" t="n"/>
      <c r="BU183" s="4" t="n"/>
      <c r="BV183" s="4" t="n"/>
      <c r="BW183" s="4" t="n"/>
      <c r="BX183" s="4" t="n"/>
      <c r="BY183" s="4" t="n"/>
      <c r="BZ183" s="4" t="n"/>
      <c r="CA183" s="4" t="n"/>
      <c r="CB183" s="4" t="n"/>
      <c r="CC183" s="4" t="n"/>
      <c r="CD183" s="4" t="n"/>
      <c r="CE183" s="4" t="n"/>
      <c r="CF183" s="4" t="n"/>
      <c r="CG183" s="4" t="n"/>
      <c r="CH183" s="4" t="n"/>
      <c r="CI183" s="4" t="n"/>
      <c r="CJ183" s="4" t="n"/>
      <c r="CK183" s="4" t="n"/>
      <c r="CL183" s="4" t="n"/>
      <c r="CM183" s="4" t="n"/>
      <c r="CN183" s="4" t="n"/>
      <c r="CO183" s="4" t="n"/>
      <c r="CP183" s="4" t="n"/>
      <c r="CQ183" s="4" t="n"/>
      <c r="CR183" s="4" t="n"/>
      <c r="CS183" s="4" t="n"/>
      <c r="CT183" s="4" t="n"/>
      <c r="CU183" s="4" t="n"/>
      <c r="CV183" s="4" t="n"/>
      <c r="CW183" s="4" t="n"/>
      <c r="CX183" s="4" t="n"/>
      <c r="CY183" s="4" t="n"/>
      <c r="CZ183" s="4" t="n"/>
      <c r="DA183" s="4" t="n"/>
      <c r="DB183" s="4" t="n"/>
      <c r="DC183" s="4" t="n"/>
      <c r="DD183" s="4" t="n"/>
      <c r="DE183" s="4" t="n"/>
      <c r="DF183" s="4" t="n"/>
      <c r="DG183" s="4" t="n"/>
      <c r="DH183" s="4" t="n"/>
      <c r="DI183" s="4" t="n"/>
      <c r="DJ183" s="4" t="n"/>
      <c r="DK183" s="4" t="n"/>
      <c r="DL183" s="4" t="n"/>
      <c r="DM183" s="4" t="n"/>
      <c r="DN183" s="4" t="n"/>
      <c r="DO183" s="4" t="n"/>
      <c r="DP183" s="4" t="n"/>
      <c r="DQ183" s="4" t="n"/>
      <c r="DR183" s="4" t="n"/>
      <c r="DS183" s="4" t="n"/>
      <c r="DT183" s="4" t="n"/>
      <c r="DU183" s="4" t="n"/>
      <c r="DV183" s="4" t="n"/>
      <c r="DW183" s="4" t="n"/>
      <c r="DX183" s="4" t="n"/>
      <c r="DY183" s="4" t="n"/>
      <c r="DZ183" s="4" t="n"/>
      <c r="EA183" s="4" t="n"/>
      <c r="EB183" s="4" t="n"/>
      <c r="EC183" s="4" t="n"/>
      <c r="ED183" s="4" t="n"/>
      <c r="EE183" s="4" t="n"/>
      <c r="EF183" s="4" t="n"/>
      <c r="EG183" s="4" t="n"/>
      <c r="EH183" s="4" t="n"/>
      <c r="EI183" s="4" t="n"/>
      <c r="EJ183" s="4" t="n"/>
      <c r="EK183" s="4" t="n"/>
      <c r="EL183" s="4" t="n"/>
      <c r="EM183" s="4" t="n"/>
      <c r="EN183" s="4" t="n"/>
    </row>
    <row r="184" hidden="1" customFormat="1" s="6">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c r="AC184" s="4" t="n"/>
      <c r="AD184" s="4" t="n"/>
      <c r="AE184" s="4" t="n"/>
      <c r="AF184" s="4" t="n"/>
      <c r="AG184" s="4" t="n"/>
      <c r="AH184" s="4" t="n"/>
      <c r="AI184" s="4" t="n"/>
      <c r="AJ184" s="4" t="n"/>
      <c r="AK184" s="4" t="n"/>
      <c r="AL184" s="4" t="n"/>
      <c r="AM184" s="4" t="n"/>
      <c r="AN184" s="4" t="n"/>
      <c r="AO184" s="4" t="n"/>
      <c r="AP184" s="4" t="n"/>
      <c r="AQ184" s="4" t="n"/>
      <c r="AR184" s="4" t="n"/>
      <c r="AS184" s="4" t="n"/>
      <c r="AT184" s="4" t="n"/>
      <c r="AU184" s="4" t="n"/>
      <c r="AV184" s="4" t="n"/>
      <c r="AW184" s="4" t="n"/>
      <c r="AX184" s="4" t="n"/>
      <c r="AY184" s="4" t="n"/>
      <c r="AZ184" s="4" t="n"/>
      <c r="BA184" s="4" t="n"/>
      <c r="BB184" s="4" t="n"/>
      <c r="BC184" s="4" t="n"/>
      <c r="BD184" s="4" t="n"/>
      <c r="BE184" s="4" t="n"/>
      <c r="BF184" s="4" t="n"/>
      <c r="BG184" s="4" t="n"/>
      <c r="BH184" s="4" t="n"/>
      <c r="BI184" s="4" t="n"/>
      <c r="BJ184" s="4" t="n"/>
      <c r="BK184" s="4" t="n"/>
      <c r="BL184" s="4" t="n"/>
      <c r="BM184" s="4" t="n"/>
      <c r="BN184" s="4" t="n"/>
      <c r="BO184" s="4" t="n"/>
      <c r="BP184" s="4" t="n"/>
      <c r="BQ184" s="4" t="n"/>
      <c r="BR184" s="4" t="n"/>
      <c r="BS184" s="4" t="n"/>
      <c r="BT184" s="4" t="n"/>
      <c r="BU184" s="4" t="n"/>
      <c r="BV184" s="4" t="n"/>
      <c r="BW184" s="4" t="n"/>
      <c r="BX184" s="4" t="n"/>
      <c r="BY184" s="4" t="n"/>
      <c r="BZ184" s="4" t="n"/>
      <c r="CA184" s="4" t="n"/>
      <c r="CB184" s="4" t="n"/>
      <c r="CC184" s="4" t="n"/>
      <c r="CD184" s="4" t="n"/>
      <c r="CE184" s="4" t="n"/>
      <c r="CF184" s="4" t="n"/>
      <c r="CG184" s="4" t="n"/>
      <c r="CH184" s="4" t="n"/>
      <c r="CI184" s="4" t="n"/>
      <c r="CJ184" s="4" t="n"/>
      <c r="CK184" s="4" t="n"/>
      <c r="CL184" s="4" t="n"/>
      <c r="CM184" s="4" t="n"/>
      <c r="CN184" s="4" t="n"/>
      <c r="CO184" s="4" t="n"/>
      <c r="CP184" s="4" t="n"/>
      <c r="CQ184" s="4" t="n"/>
      <c r="CR184" s="4" t="n"/>
      <c r="CS184" s="4" t="n"/>
      <c r="CT184" s="4" t="n"/>
      <c r="CU184" s="4" t="n"/>
      <c r="CV184" s="4" t="n"/>
      <c r="CW184" s="4" t="n"/>
      <c r="CX184" s="4" t="n"/>
      <c r="CY184" s="4" t="n"/>
      <c r="CZ184" s="4" t="n"/>
      <c r="DA184" s="4" t="n"/>
      <c r="DB184" s="4" t="n"/>
      <c r="DC184" s="4" t="n"/>
      <c r="DD184" s="4" t="n"/>
      <c r="DE184" s="4" t="n"/>
      <c r="DF184" s="4" t="n"/>
      <c r="DG184" s="4" t="n"/>
      <c r="DH184" s="4" t="n"/>
      <c r="DI184" s="4" t="n"/>
      <c r="DJ184" s="4" t="n"/>
      <c r="DK184" s="4" t="n"/>
      <c r="DL184" s="4" t="n"/>
      <c r="DM184" s="4" t="n"/>
      <c r="DN184" s="4" t="n"/>
      <c r="DO184" s="4" t="n"/>
      <c r="DP184" s="4" t="n"/>
      <c r="DQ184" s="4" t="n"/>
      <c r="DR184" s="4" t="n"/>
      <c r="DS184" s="4" t="n"/>
      <c r="DT184" s="4" t="n"/>
      <c r="DU184" s="4" t="n"/>
      <c r="DV184" s="4" t="n"/>
      <c r="DW184" s="4" t="n"/>
      <c r="DX184" s="4" t="n"/>
      <c r="DY184" s="4" t="n"/>
      <c r="DZ184" s="4" t="n"/>
      <c r="EA184" s="4" t="n"/>
      <c r="EB184" s="4" t="n"/>
      <c r="EC184" s="4" t="n"/>
      <c r="ED184" s="4" t="n"/>
      <c r="EE184" s="4" t="n"/>
      <c r="EF184" s="4" t="n"/>
      <c r="EG184" s="4" t="n"/>
      <c r="EH184" s="4" t="n"/>
      <c r="EI184" s="4" t="n"/>
      <c r="EJ184" s="4" t="n"/>
      <c r="EK184" s="4" t="n"/>
      <c r="EL184" s="4" t="n"/>
      <c r="EM184" s="4" t="n"/>
      <c r="EN184" s="4" t="n"/>
    </row>
    <row r="185" hidden="1" customFormat="1" s="6">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c r="AD185" s="4" t="n"/>
      <c r="AE185" s="4" t="n"/>
      <c r="AF185" s="4" t="n"/>
      <c r="AG185" s="4" t="n"/>
      <c r="AH185" s="4" t="n"/>
      <c r="AI185" s="4" t="n"/>
      <c r="AJ185" s="4" t="n"/>
      <c r="AK185" s="4" t="n"/>
      <c r="AL185" s="4" t="n"/>
      <c r="AM185" s="4" t="n"/>
      <c r="AN185" s="4" t="n"/>
      <c r="AO185" s="4" t="n"/>
      <c r="AP185" s="4" t="n"/>
      <c r="AQ185" s="4" t="n"/>
      <c r="AR185" s="4" t="n"/>
      <c r="AS185" s="4" t="n"/>
      <c r="AT185" s="4" t="n"/>
      <c r="AU185" s="4" t="n"/>
      <c r="AV185" s="4" t="n"/>
      <c r="AW185" s="4" t="n"/>
      <c r="AX185" s="4" t="n"/>
      <c r="AY185" s="4" t="n"/>
      <c r="AZ185" s="4" t="n"/>
      <c r="BA185" s="4" t="n"/>
      <c r="BB185" s="4" t="n"/>
      <c r="BC185" s="4" t="n"/>
      <c r="BD185" s="4" t="n"/>
      <c r="BE185" s="4" t="n"/>
      <c r="BF185" s="4" t="n"/>
      <c r="BG185" s="4" t="n"/>
      <c r="BH185" s="4" t="n"/>
      <c r="BI185" s="4" t="n"/>
      <c r="BJ185" s="4" t="n"/>
      <c r="BK185" s="4" t="n"/>
      <c r="BL185" s="4" t="n"/>
      <c r="BM185" s="4" t="n"/>
      <c r="BN185" s="4" t="n"/>
      <c r="BO185" s="4" t="n"/>
      <c r="BP185" s="4" t="n"/>
      <c r="BQ185" s="4" t="n"/>
      <c r="BR185" s="4" t="n"/>
      <c r="BS185" s="4" t="n"/>
      <c r="BT185" s="4" t="n"/>
      <c r="BU185" s="4" t="n"/>
      <c r="BV185" s="4" t="n"/>
      <c r="BW185" s="4" t="n"/>
      <c r="BX185" s="4" t="n"/>
      <c r="BY185" s="4" t="n"/>
      <c r="BZ185" s="4" t="n"/>
      <c r="CA185" s="4" t="n"/>
      <c r="CB185" s="4" t="n"/>
      <c r="CC185" s="4" t="n"/>
      <c r="CD185" s="4" t="n"/>
      <c r="CE185" s="4" t="n"/>
      <c r="CF185" s="4" t="n"/>
      <c r="CG185" s="4" t="n"/>
      <c r="CH185" s="4" t="n"/>
      <c r="CI185" s="4" t="n"/>
      <c r="CJ185" s="4" t="n"/>
      <c r="CK185" s="4" t="n"/>
      <c r="CL185" s="4" t="n"/>
      <c r="CM185" s="4" t="n"/>
      <c r="CN185" s="4" t="n"/>
      <c r="CO185" s="4" t="n"/>
      <c r="CP185" s="4" t="n"/>
      <c r="CQ185" s="4" t="n"/>
      <c r="CR185" s="4" t="n"/>
      <c r="CS185" s="4" t="n"/>
      <c r="CT185" s="4" t="n"/>
      <c r="CU185" s="4" t="n"/>
      <c r="CV185" s="4" t="n"/>
      <c r="CW185" s="4" t="n"/>
      <c r="CX185" s="4" t="n"/>
      <c r="CY185" s="4" t="n"/>
      <c r="CZ185" s="4" t="n"/>
      <c r="DA185" s="4" t="n"/>
      <c r="DB185" s="4" t="n"/>
      <c r="DC185" s="4" t="n"/>
      <c r="DD185" s="4" t="n"/>
      <c r="DE185" s="4" t="n"/>
      <c r="DF185" s="4" t="n"/>
      <c r="DG185" s="4" t="n"/>
      <c r="DH185" s="4" t="n"/>
      <c r="DI185" s="4" t="n"/>
      <c r="DJ185" s="4" t="n"/>
      <c r="DK185" s="4" t="n"/>
      <c r="DL185" s="4" t="n"/>
      <c r="DM185" s="4" t="n"/>
      <c r="DN185" s="4" t="n"/>
      <c r="DO185" s="4" t="n"/>
      <c r="DP185" s="4" t="n"/>
      <c r="DQ185" s="4" t="n"/>
      <c r="DR185" s="4" t="n"/>
      <c r="DS185" s="4" t="n"/>
      <c r="DT185" s="4" t="n"/>
      <c r="DU185" s="4" t="n"/>
      <c r="DV185" s="4" t="n"/>
      <c r="DW185" s="4" t="n"/>
      <c r="DX185" s="4" t="n"/>
      <c r="DY185" s="4" t="n"/>
      <c r="DZ185" s="4" t="n"/>
      <c r="EA185" s="4" t="n"/>
      <c r="EB185" s="4" t="n"/>
      <c r="EC185" s="4" t="n"/>
      <c r="ED185" s="4" t="n"/>
      <c r="EE185" s="4" t="n"/>
      <c r="EF185" s="4" t="n"/>
      <c r="EG185" s="4" t="n"/>
      <c r="EH185" s="4" t="n"/>
      <c r="EI185" s="4" t="n"/>
      <c r="EJ185" s="4" t="n"/>
      <c r="EK185" s="4" t="n"/>
      <c r="EL185" s="4" t="n"/>
      <c r="EM185" s="4" t="n"/>
      <c r="EN185" s="4" t="n"/>
    </row>
    <row r="186" hidden="1" customFormat="1" s="6">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c r="AC186" s="4" t="n"/>
      <c r="AD186" s="4" t="n"/>
      <c r="AE186" s="4" t="n"/>
      <c r="AF186" s="4" t="n"/>
      <c r="AG186" s="4" t="n"/>
      <c r="AH186" s="4" t="n"/>
      <c r="AI186" s="4" t="n"/>
      <c r="AJ186" s="4" t="n"/>
      <c r="AK186" s="4" t="n"/>
      <c r="AL186" s="4" t="n"/>
      <c r="AM186" s="4" t="n"/>
      <c r="AN186" s="4" t="n"/>
      <c r="AO186" s="4" t="n"/>
      <c r="AP186" s="4" t="n"/>
      <c r="AQ186" s="4" t="n"/>
      <c r="AR186" s="4" t="n"/>
      <c r="AS186" s="4" t="n"/>
      <c r="AT186" s="4" t="n"/>
      <c r="AU186" s="4" t="n"/>
      <c r="AV186" s="4" t="n"/>
      <c r="AW186" s="4" t="n"/>
      <c r="AX186" s="4" t="n"/>
      <c r="AY186" s="4" t="n"/>
      <c r="AZ186" s="4" t="n"/>
      <c r="BA186" s="4" t="n"/>
      <c r="BB186" s="4" t="n"/>
      <c r="BC186" s="4" t="n"/>
      <c r="BD186" s="4" t="n"/>
      <c r="BE186" s="4" t="n"/>
      <c r="BF186" s="4" t="n"/>
      <c r="BG186" s="4" t="n"/>
      <c r="BH186" s="4" t="n"/>
      <c r="BI186" s="4" t="n"/>
      <c r="BJ186" s="4" t="n"/>
      <c r="BK186" s="4" t="n"/>
      <c r="BL186" s="4" t="n"/>
      <c r="BM186" s="4" t="n"/>
      <c r="BN186" s="4" t="n"/>
      <c r="BO186" s="4" t="n"/>
      <c r="BP186" s="4" t="n"/>
      <c r="BQ186" s="4" t="n"/>
      <c r="BR186" s="4" t="n"/>
      <c r="BS186" s="4" t="n"/>
      <c r="BT186" s="4" t="n"/>
      <c r="BU186" s="4" t="n"/>
      <c r="BV186" s="4" t="n"/>
      <c r="BW186" s="4" t="n"/>
      <c r="BX186" s="4" t="n"/>
      <c r="BY186" s="4" t="n"/>
      <c r="BZ186" s="4" t="n"/>
      <c r="CA186" s="4" t="n"/>
      <c r="CB186" s="4" t="n"/>
      <c r="CC186" s="4" t="n"/>
      <c r="CD186" s="4" t="n"/>
      <c r="CE186" s="4" t="n"/>
      <c r="CF186" s="4" t="n"/>
      <c r="CG186" s="4" t="n"/>
      <c r="CH186" s="4" t="n"/>
      <c r="CI186" s="4" t="n"/>
      <c r="CJ186" s="4" t="n"/>
      <c r="CK186" s="4" t="n"/>
      <c r="CL186" s="4" t="n"/>
      <c r="CM186" s="4" t="n"/>
      <c r="CN186" s="4" t="n"/>
      <c r="CO186" s="4" t="n"/>
      <c r="CP186" s="4" t="n"/>
      <c r="CQ186" s="4" t="n"/>
      <c r="CR186" s="4" t="n"/>
      <c r="CS186" s="4" t="n"/>
      <c r="CT186" s="4" t="n"/>
      <c r="CU186" s="4" t="n"/>
      <c r="CV186" s="4" t="n"/>
      <c r="CW186" s="4" t="n"/>
      <c r="CX186" s="4" t="n"/>
      <c r="CY186" s="4" t="n"/>
      <c r="CZ186" s="4" t="n"/>
      <c r="DA186" s="4" t="n"/>
      <c r="DB186" s="4" t="n"/>
      <c r="DC186" s="4" t="n"/>
      <c r="DD186" s="4" t="n"/>
      <c r="DE186" s="4" t="n"/>
      <c r="DF186" s="4" t="n"/>
      <c r="DG186" s="4" t="n"/>
      <c r="DH186" s="4" t="n"/>
      <c r="DI186" s="4" t="n"/>
      <c r="DJ186" s="4" t="n"/>
      <c r="DK186" s="4" t="n"/>
      <c r="DL186" s="4" t="n"/>
      <c r="DM186" s="4" t="n"/>
      <c r="DN186" s="4" t="n"/>
      <c r="DO186" s="4" t="n"/>
      <c r="DP186" s="4" t="n"/>
      <c r="DQ186" s="4" t="n"/>
      <c r="DR186" s="4" t="n"/>
      <c r="DS186" s="4" t="n"/>
      <c r="DT186" s="4" t="n"/>
      <c r="DU186" s="4" t="n"/>
      <c r="DV186" s="4" t="n"/>
      <c r="DW186" s="4" t="n"/>
      <c r="DX186" s="4" t="n"/>
      <c r="DY186" s="4" t="n"/>
      <c r="DZ186" s="4" t="n"/>
      <c r="EA186" s="4" t="n"/>
      <c r="EB186" s="4" t="n"/>
      <c r="EC186" s="4" t="n"/>
      <c r="ED186" s="4" t="n"/>
      <c r="EE186" s="4" t="n"/>
      <c r="EF186" s="4" t="n"/>
      <c r="EG186" s="4" t="n"/>
      <c r="EH186" s="4" t="n"/>
      <c r="EI186" s="4" t="n"/>
      <c r="EJ186" s="4" t="n"/>
      <c r="EK186" s="4" t="n"/>
      <c r="EL186" s="4" t="n"/>
      <c r="EM186" s="4" t="n"/>
      <c r="EN186" s="4" t="n"/>
    </row>
    <row r="187" hidden="1" customFormat="1" s="6">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c r="AC187" s="4" t="n"/>
      <c r="AD187" s="4" t="n"/>
      <c r="AE187" s="4" t="n"/>
      <c r="AF187" s="4" t="n"/>
      <c r="AG187" s="4" t="n"/>
      <c r="AH187" s="4" t="n"/>
      <c r="AI187" s="4" t="n"/>
      <c r="AJ187" s="4" t="n"/>
      <c r="AK187" s="4" t="n"/>
      <c r="AL187" s="4" t="n"/>
      <c r="AM187" s="4" t="n"/>
      <c r="AN187" s="4" t="n"/>
      <c r="AO187" s="4" t="n"/>
      <c r="AP187" s="4" t="n"/>
      <c r="AQ187" s="4" t="n"/>
      <c r="AR187" s="4" t="n"/>
      <c r="AS187" s="4" t="n"/>
      <c r="AT187" s="4" t="n"/>
      <c r="AU187" s="4" t="n"/>
      <c r="AV187" s="4" t="n"/>
      <c r="AW187" s="4" t="n"/>
      <c r="AX187" s="4" t="n"/>
      <c r="AY187" s="4" t="n"/>
      <c r="AZ187" s="4" t="n"/>
      <c r="BA187" s="4" t="n"/>
      <c r="BB187" s="4" t="n"/>
      <c r="BC187" s="4" t="n"/>
      <c r="BD187" s="4" t="n"/>
      <c r="BE187" s="4" t="n"/>
      <c r="BF187" s="4" t="n"/>
      <c r="BG187" s="4" t="n"/>
      <c r="BH187" s="4" t="n"/>
      <c r="BI187" s="4" t="n"/>
      <c r="BJ187" s="4" t="n"/>
      <c r="BK187" s="4" t="n"/>
      <c r="BL187" s="4" t="n"/>
      <c r="BM187" s="4" t="n"/>
      <c r="BN187" s="4" t="n"/>
      <c r="BO187" s="4" t="n"/>
      <c r="BP187" s="4" t="n"/>
      <c r="BQ187" s="4" t="n"/>
      <c r="BR187" s="4" t="n"/>
      <c r="BS187" s="4" t="n"/>
      <c r="BT187" s="4" t="n"/>
      <c r="BU187" s="4" t="n"/>
      <c r="BV187" s="4" t="n"/>
      <c r="BW187" s="4" t="n"/>
      <c r="BX187" s="4" t="n"/>
      <c r="BY187" s="4" t="n"/>
      <c r="BZ187" s="4" t="n"/>
      <c r="CA187" s="4" t="n"/>
      <c r="CB187" s="4" t="n"/>
      <c r="CC187" s="4" t="n"/>
      <c r="CD187" s="4" t="n"/>
      <c r="CE187" s="4" t="n"/>
      <c r="CF187" s="4" t="n"/>
      <c r="CG187" s="4" t="n"/>
      <c r="CH187" s="4" t="n"/>
      <c r="CI187" s="4" t="n"/>
      <c r="CJ187" s="4" t="n"/>
      <c r="CK187" s="4" t="n"/>
      <c r="CL187" s="4" t="n"/>
      <c r="CM187" s="4" t="n"/>
      <c r="CN187" s="4" t="n"/>
      <c r="CO187" s="4" t="n"/>
      <c r="CP187" s="4" t="n"/>
      <c r="CQ187" s="4" t="n"/>
      <c r="CR187" s="4" t="n"/>
      <c r="CS187" s="4" t="n"/>
      <c r="CT187" s="4" t="n"/>
      <c r="CU187" s="4" t="n"/>
      <c r="CV187" s="4" t="n"/>
      <c r="CW187" s="4" t="n"/>
      <c r="CX187" s="4" t="n"/>
      <c r="CY187" s="4" t="n"/>
      <c r="CZ187" s="4" t="n"/>
      <c r="DA187" s="4" t="n"/>
      <c r="DB187" s="4" t="n"/>
      <c r="DC187" s="4" t="n"/>
      <c r="DD187" s="4" t="n"/>
      <c r="DE187" s="4" t="n"/>
      <c r="DF187" s="4" t="n"/>
      <c r="DG187" s="4" t="n"/>
      <c r="DH187" s="4" t="n"/>
      <c r="DI187" s="4" t="n"/>
      <c r="DJ187" s="4" t="n"/>
      <c r="DK187" s="4" t="n"/>
      <c r="DL187" s="4" t="n"/>
      <c r="DM187" s="4" t="n"/>
      <c r="DN187" s="4" t="n"/>
      <c r="DO187" s="4" t="n"/>
      <c r="DP187" s="4" t="n"/>
      <c r="DQ187" s="4" t="n"/>
      <c r="DR187" s="4" t="n"/>
      <c r="DS187" s="4" t="n"/>
      <c r="DT187" s="4" t="n"/>
      <c r="DU187" s="4" t="n"/>
      <c r="DV187" s="4" t="n"/>
      <c r="DW187" s="4" t="n"/>
      <c r="DX187" s="4" t="n"/>
      <c r="DY187" s="4" t="n"/>
      <c r="DZ187" s="4" t="n"/>
      <c r="EA187" s="4" t="n"/>
      <c r="EB187" s="4" t="n"/>
      <c r="EC187" s="4" t="n"/>
      <c r="ED187" s="4" t="n"/>
      <c r="EE187" s="4" t="n"/>
      <c r="EF187" s="4" t="n"/>
      <c r="EG187" s="4" t="n"/>
      <c r="EH187" s="4" t="n"/>
      <c r="EI187" s="4" t="n"/>
      <c r="EJ187" s="4" t="n"/>
      <c r="EK187" s="4" t="n"/>
      <c r="EL187" s="4" t="n"/>
      <c r="EM187" s="4" t="n"/>
      <c r="EN187" s="4" t="n"/>
    </row>
    <row r="188" hidden="1" customFormat="1" s="6">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c r="AC188" s="4" t="n"/>
      <c r="AD188" s="4" t="n"/>
      <c r="AE188" s="4" t="n"/>
      <c r="AF188" s="4" t="n"/>
      <c r="AG188" s="4" t="n"/>
      <c r="AH188" s="4" t="n"/>
      <c r="AI188" s="4" t="n"/>
      <c r="AJ188" s="4" t="n"/>
      <c r="AK188" s="4" t="n"/>
      <c r="AL188" s="4" t="n"/>
      <c r="AM188" s="4" t="n"/>
      <c r="AN188" s="4" t="n"/>
      <c r="AO188" s="4" t="n"/>
      <c r="AP188" s="4" t="n"/>
      <c r="AQ188" s="4" t="n"/>
      <c r="AR188" s="4" t="n"/>
      <c r="AS188" s="4" t="n"/>
      <c r="AT188" s="4" t="n"/>
      <c r="AU188" s="4" t="n"/>
      <c r="AV188" s="4" t="n"/>
      <c r="AW188" s="4" t="n"/>
      <c r="AX188" s="4" t="n"/>
      <c r="AY188" s="4" t="n"/>
      <c r="AZ188" s="4" t="n"/>
      <c r="BA188" s="4" t="n"/>
      <c r="BB188" s="4" t="n"/>
      <c r="BC188" s="4" t="n"/>
      <c r="BD188" s="4" t="n"/>
      <c r="BE188" s="4" t="n"/>
      <c r="BF188" s="4" t="n"/>
      <c r="BG188" s="4" t="n"/>
      <c r="BH188" s="4" t="n"/>
      <c r="BI188" s="4" t="n"/>
      <c r="BJ188" s="4" t="n"/>
      <c r="BK188" s="4" t="n"/>
      <c r="BL188" s="4" t="n"/>
      <c r="BM188" s="4" t="n"/>
      <c r="BN188" s="4" t="n"/>
      <c r="BO188" s="4" t="n"/>
      <c r="BP188" s="4" t="n"/>
      <c r="BQ188" s="4" t="n"/>
      <c r="BR188" s="4" t="n"/>
      <c r="BS188" s="4" t="n"/>
      <c r="BT188" s="4" t="n"/>
      <c r="BU188" s="4" t="n"/>
      <c r="BV188" s="4" t="n"/>
      <c r="BW188" s="4" t="n"/>
      <c r="BX188" s="4" t="n"/>
      <c r="BY188" s="4" t="n"/>
      <c r="BZ188" s="4" t="n"/>
      <c r="CA188" s="4" t="n"/>
      <c r="CB188" s="4" t="n"/>
      <c r="CC188" s="4" t="n"/>
      <c r="CD188" s="4" t="n"/>
      <c r="CE188" s="4" t="n"/>
      <c r="CF188" s="4" t="n"/>
      <c r="CG188" s="4" t="n"/>
      <c r="CH188" s="4" t="n"/>
      <c r="CI188" s="4" t="n"/>
      <c r="CJ188" s="4" t="n"/>
      <c r="CK188" s="4" t="n"/>
      <c r="CL188" s="4" t="n"/>
      <c r="CM188" s="4" t="n"/>
      <c r="CN188" s="4" t="n"/>
      <c r="CO188" s="4" t="n"/>
      <c r="CP188" s="4" t="n"/>
      <c r="CQ188" s="4" t="n"/>
      <c r="CR188" s="4" t="n"/>
      <c r="CS188" s="4" t="n"/>
      <c r="CT188" s="4" t="n"/>
      <c r="CU188" s="4" t="n"/>
      <c r="CV188" s="4" t="n"/>
      <c r="CW188" s="4" t="n"/>
      <c r="CX188" s="4" t="n"/>
      <c r="CY188" s="4" t="n"/>
      <c r="CZ188" s="4" t="n"/>
      <c r="DA188" s="4" t="n"/>
      <c r="DB188" s="4" t="n"/>
      <c r="DC188" s="4" t="n"/>
      <c r="DD188" s="4" t="n"/>
      <c r="DE188" s="4" t="n"/>
      <c r="DF188" s="4" t="n"/>
      <c r="DG188" s="4" t="n"/>
      <c r="DH188" s="4" t="n"/>
      <c r="DI188" s="4" t="n"/>
      <c r="DJ188" s="4" t="n"/>
      <c r="DK188" s="4" t="n"/>
      <c r="DL188" s="4" t="n"/>
      <c r="DM188" s="4" t="n"/>
      <c r="DN188" s="4" t="n"/>
      <c r="DO188" s="4" t="n"/>
      <c r="DP188" s="4" t="n"/>
      <c r="DQ188" s="4" t="n"/>
      <c r="DR188" s="4" t="n"/>
      <c r="DS188" s="4" t="n"/>
      <c r="DT188" s="4" t="n"/>
      <c r="DU188" s="4" t="n"/>
      <c r="DV188" s="4" t="n"/>
      <c r="DW188" s="4" t="n"/>
      <c r="DX188" s="4" t="n"/>
      <c r="DY188" s="4" t="n"/>
      <c r="DZ188" s="4" t="n"/>
      <c r="EA188" s="4" t="n"/>
      <c r="EB188" s="4" t="n"/>
      <c r="EC188" s="4" t="n"/>
      <c r="ED188" s="4" t="n"/>
      <c r="EE188" s="4" t="n"/>
      <c r="EF188" s="4" t="n"/>
      <c r="EG188" s="4" t="n"/>
      <c r="EH188" s="4" t="n"/>
      <c r="EI188" s="4" t="n"/>
      <c r="EJ188" s="4" t="n"/>
      <c r="EK188" s="4" t="n"/>
      <c r="EL188" s="4" t="n"/>
      <c r="EM188" s="4" t="n"/>
      <c r="EN188" s="4" t="n"/>
    </row>
    <row r="189" hidden="1" customFormat="1" s="6">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c r="AC189" s="4" t="n"/>
      <c r="AD189" s="4" t="n"/>
      <c r="AE189" s="4" t="n"/>
      <c r="AF189" s="4" t="n"/>
      <c r="AG189" s="4" t="n"/>
      <c r="AH189" s="4" t="n"/>
      <c r="AI189" s="4" t="n"/>
      <c r="AJ189" s="4" t="n"/>
      <c r="AK189" s="4" t="n"/>
      <c r="AL189" s="4" t="n"/>
      <c r="AM189" s="4" t="n"/>
      <c r="AN189" s="4" t="n"/>
      <c r="AO189" s="4" t="n"/>
      <c r="AP189" s="4" t="n"/>
      <c r="AQ189" s="4" t="n"/>
      <c r="AR189" s="4" t="n"/>
      <c r="AS189" s="4" t="n"/>
      <c r="AT189" s="4" t="n"/>
      <c r="AU189" s="4" t="n"/>
      <c r="AV189" s="4" t="n"/>
      <c r="AW189" s="4" t="n"/>
      <c r="AX189" s="4" t="n"/>
      <c r="AY189" s="4" t="n"/>
      <c r="AZ189" s="4" t="n"/>
      <c r="BA189" s="4" t="n"/>
      <c r="BB189" s="4" t="n"/>
      <c r="BC189" s="4" t="n"/>
      <c r="BD189" s="4" t="n"/>
      <c r="BE189" s="4" t="n"/>
      <c r="BF189" s="4" t="n"/>
      <c r="BG189" s="4" t="n"/>
      <c r="BH189" s="4" t="n"/>
      <c r="BI189" s="4" t="n"/>
      <c r="BJ189" s="4" t="n"/>
      <c r="BK189" s="4" t="n"/>
      <c r="BL189" s="4" t="n"/>
      <c r="BM189" s="4" t="n"/>
      <c r="BN189" s="4" t="n"/>
      <c r="BO189" s="4" t="n"/>
      <c r="BP189" s="4" t="n"/>
      <c r="BQ189" s="4" t="n"/>
      <c r="BR189" s="4" t="n"/>
      <c r="BS189" s="4" t="n"/>
      <c r="BT189" s="4" t="n"/>
      <c r="BU189" s="4" t="n"/>
      <c r="BV189" s="4" t="n"/>
      <c r="BW189" s="4" t="n"/>
      <c r="BX189" s="4" t="n"/>
      <c r="BY189" s="4" t="n"/>
      <c r="BZ189" s="4" t="n"/>
      <c r="CA189" s="4" t="n"/>
      <c r="CB189" s="4" t="n"/>
      <c r="CC189" s="4" t="n"/>
      <c r="CD189" s="4" t="n"/>
      <c r="CE189" s="4" t="n"/>
      <c r="CF189" s="4" t="n"/>
      <c r="CG189" s="4" t="n"/>
      <c r="CH189" s="4" t="n"/>
      <c r="CI189" s="4" t="n"/>
      <c r="CJ189" s="4" t="n"/>
      <c r="CK189" s="4" t="n"/>
      <c r="CL189" s="4" t="n"/>
      <c r="CM189" s="4" t="n"/>
      <c r="CN189" s="4" t="n"/>
      <c r="CO189" s="4" t="n"/>
      <c r="CP189" s="4" t="n"/>
      <c r="CQ189" s="4" t="n"/>
      <c r="CR189" s="4" t="n"/>
      <c r="CS189" s="4" t="n"/>
      <c r="CT189" s="4" t="n"/>
      <c r="CU189" s="4" t="n"/>
      <c r="CV189" s="4" t="n"/>
      <c r="CW189" s="4" t="n"/>
      <c r="CX189" s="4" t="n"/>
      <c r="CY189" s="4" t="n"/>
      <c r="CZ189" s="4" t="n"/>
      <c r="DA189" s="4" t="n"/>
      <c r="DB189" s="4" t="n"/>
      <c r="DC189" s="4" t="n"/>
      <c r="DD189" s="4" t="n"/>
      <c r="DE189" s="4" t="n"/>
      <c r="DF189" s="4" t="n"/>
      <c r="DG189" s="4" t="n"/>
      <c r="DH189" s="4" t="n"/>
      <c r="DI189" s="4" t="n"/>
      <c r="DJ189" s="4" t="n"/>
      <c r="DK189" s="4" t="n"/>
      <c r="DL189" s="4" t="n"/>
      <c r="DM189" s="4" t="n"/>
      <c r="DN189" s="4" t="n"/>
      <c r="DO189" s="4" t="n"/>
      <c r="DP189" s="4" t="n"/>
      <c r="DQ189" s="4" t="n"/>
      <c r="DR189" s="4" t="n"/>
      <c r="DS189" s="4" t="n"/>
      <c r="DT189" s="4" t="n"/>
      <c r="DU189" s="4" t="n"/>
      <c r="DV189" s="4" t="n"/>
      <c r="DW189" s="4" t="n"/>
      <c r="DX189" s="4" t="n"/>
      <c r="DY189" s="4" t="n"/>
      <c r="DZ189" s="4" t="n"/>
      <c r="EA189" s="4" t="n"/>
      <c r="EB189" s="4" t="n"/>
      <c r="EC189" s="4" t="n"/>
      <c r="ED189" s="4" t="n"/>
      <c r="EE189" s="4" t="n"/>
      <c r="EF189" s="4" t="n"/>
      <c r="EG189" s="4" t="n"/>
      <c r="EH189" s="4" t="n"/>
      <c r="EI189" s="4" t="n"/>
      <c r="EJ189" s="4" t="n"/>
      <c r="EK189" s="4" t="n"/>
      <c r="EL189" s="4" t="n"/>
      <c r="EM189" s="4" t="n"/>
      <c r="EN189" s="4" t="n"/>
    </row>
    <row r="190" hidden="1" customFormat="1" s="6">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c r="AC190" s="4" t="n"/>
      <c r="AD190" s="4" t="n"/>
      <c r="AE190" s="4" t="n"/>
      <c r="AF190" s="4" t="n"/>
      <c r="AG190" s="4" t="n"/>
      <c r="AH190" s="4" t="n"/>
      <c r="AI190" s="4" t="n"/>
      <c r="AJ190" s="4" t="n"/>
      <c r="AK190" s="4" t="n"/>
      <c r="AL190" s="4" t="n"/>
      <c r="AM190" s="4" t="n"/>
      <c r="AN190" s="4" t="n"/>
      <c r="AO190" s="4" t="n"/>
      <c r="AP190" s="4" t="n"/>
      <c r="AQ190" s="4" t="n"/>
      <c r="AR190" s="4" t="n"/>
      <c r="AS190" s="4" t="n"/>
      <c r="AT190" s="4" t="n"/>
      <c r="AU190" s="4" t="n"/>
      <c r="AV190" s="4" t="n"/>
      <c r="AW190" s="4" t="n"/>
      <c r="AX190" s="4" t="n"/>
      <c r="AY190" s="4" t="n"/>
      <c r="AZ190" s="4" t="n"/>
      <c r="BA190" s="4" t="n"/>
      <c r="BB190" s="4" t="n"/>
      <c r="BC190" s="4" t="n"/>
      <c r="BD190" s="4" t="n"/>
      <c r="BE190" s="4" t="n"/>
      <c r="BF190" s="4" t="n"/>
      <c r="BG190" s="4" t="n"/>
      <c r="BH190" s="4" t="n"/>
      <c r="BI190" s="4" t="n"/>
      <c r="BJ190" s="4" t="n"/>
      <c r="BK190" s="4" t="n"/>
      <c r="BL190" s="4" t="n"/>
      <c r="BM190" s="4" t="n"/>
      <c r="BN190" s="4" t="n"/>
      <c r="BO190" s="4" t="n"/>
      <c r="BP190" s="4" t="n"/>
      <c r="BQ190" s="4" t="n"/>
      <c r="BR190" s="4" t="n"/>
      <c r="BS190" s="4" t="n"/>
      <c r="BT190" s="4" t="n"/>
      <c r="BU190" s="4" t="n"/>
      <c r="BV190" s="4" t="n"/>
      <c r="BW190" s="4" t="n"/>
      <c r="BX190" s="4" t="n"/>
      <c r="BY190" s="4" t="n"/>
      <c r="BZ190" s="4" t="n"/>
      <c r="CA190" s="4" t="n"/>
      <c r="CB190" s="4" t="n"/>
      <c r="CC190" s="4" t="n"/>
      <c r="CD190" s="4" t="n"/>
      <c r="CE190" s="4" t="n"/>
      <c r="CF190" s="4" t="n"/>
      <c r="CG190" s="4" t="n"/>
      <c r="CH190" s="4" t="n"/>
      <c r="CI190" s="4" t="n"/>
      <c r="CJ190" s="4" t="n"/>
      <c r="CK190" s="4" t="n"/>
      <c r="CL190" s="4" t="n"/>
      <c r="CM190" s="4" t="n"/>
      <c r="CN190" s="4" t="n"/>
      <c r="CO190" s="4" t="n"/>
      <c r="CP190" s="4" t="n"/>
      <c r="CQ190" s="4" t="n"/>
      <c r="CR190" s="4" t="n"/>
      <c r="CS190" s="4" t="n"/>
      <c r="CT190" s="4" t="n"/>
      <c r="CU190" s="4" t="n"/>
      <c r="CV190" s="4" t="n"/>
      <c r="CW190" s="4" t="n"/>
      <c r="CX190" s="4" t="n"/>
      <c r="CY190" s="4" t="n"/>
      <c r="CZ190" s="4" t="n"/>
      <c r="DA190" s="4" t="n"/>
      <c r="DB190" s="4" t="n"/>
      <c r="DC190" s="4" t="n"/>
      <c r="DD190" s="4" t="n"/>
      <c r="DE190" s="4" t="n"/>
      <c r="DF190" s="4" t="n"/>
      <c r="DG190" s="4" t="n"/>
      <c r="DH190" s="4" t="n"/>
      <c r="DI190" s="4" t="n"/>
      <c r="DJ190" s="4" t="n"/>
      <c r="DK190" s="4" t="n"/>
      <c r="DL190" s="4" t="n"/>
      <c r="DM190" s="4" t="n"/>
      <c r="DN190" s="4" t="n"/>
      <c r="DO190" s="4" t="n"/>
      <c r="DP190" s="4" t="n"/>
      <c r="DQ190" s="4" t="n"/>
      <c r="DR190" s="4" t="n"/>
      <c r="DS190" s="4" t="n"/>
      <c r="DT190" s="4" t="n"/>
      <c r="DU190" s="4" t="n"/>
      <c r="DV190" s="4" t="n"/>
      <c r="DW190" s="4" t="n"/>
      <c r="DX190" s="4" t="n"/>
      <c r="DY190" s="4" t="n"/>
      <c r="DZ190" s="4" t="n"/>
      <c r="EA190" s="4" t="n"/>
      <c r="EB190" s="4" t="n"/>
      <c r="EC190" s="4" t="n"/>
      <c r="ED190" s="4" t="n"/>
      <c r="EE190" s="4" t="n"/>
      <c r="EF190" s="4" t="n"/>
      <c r="EG190" s="4" t="n"/>
      <c r="EH190" s="4" t="n"/>
      <c r="EI190" s="4" t="n"/>
      <c r="EJ190" s="4" t="n"/>
      <c r="EK190" s="4" t="n"/>
      <c r="EL190" s="4" t="n"/>
      <c r="EM190" s="4" t="n"/>
      <c r="EN190" s="4" t="n"/>
    </row>
    <row r="191" hidden="1" customFormat="1" s="6">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c r="AC191" s="4" t="n"/>
      <c r="AD191" s="4" t="n"/>
      <c r="AE191" s="4" t="n"/>
      <c r="AF191" s="4" t="n"/>
      <c r="AG191" s="4" t="n"/>
      <c r="AH191" s="4" t="n"/>
      <c r="AI191" s="4" t="n"/>
      <c r="AJ191" s="4" t="n"/>
      <c r="AK191" s="4" t="n"/>
      <c r="AL191" s="4" t="n"/>
      <c r="AM191" s="4" t="n"/>
      <c r="AN191" s="4" t="n"/>
      <c r="AO191" s="4" t="n"/>
      <c r="AP191" s="4" t="n"/>
      <c r="AQ191" s="4" t="n"/>
      <c r="AR191" s="4" t="n"/>
      <c r="AS191" s="4" t="n"/>
      <c r="AT191" s="4" t="n"/>
      <c r="AU191" s="4" t="n"/>
      <c r="AV191" s="4" t="n"/>
      <c r="AW191" s="4" t="n"/>
      <c r="AX191" s="4" t="n"/>
      <c r="AY191" s="4" t="n"/>
      <c r="AZ191" s="4" t="n"/>
      <c r="BA191" s="4" t="n"/>
      <c r="BB191" s="4" t="n"/>
      <c r="BC191" s="4" t="n"/>
      <c r="BD191" s="4" t="n"/>
      <c r="BE191" s="4" t="n"/>
      <c r="BF191" s="4" t="n"/>
      <c r="BG191" s="4" t="n"/>
      <c r="BH191" s="4" t="n"/>
      <c r="BI191" s="4" t="n"/>
      <c r="BJ191" s="4" t="n"/>
      <c r="BK191" s="4" t="n"/>
      <c r="BL191" s="4" t="n"/>
      <c r="BM191" s="4" t="n"/>
      <c r="BN191" s="4" t="n"/>
      <c r="BO191" s="4" t="n"/>
      <c r="BP191" s="4" t="n"/>
      <c r="BQ191" s="4" t="n"/>
      <c r="BR191" s="4" t="n"/>
      <c r="BS191" s="4" t="n"/>
      <c r="BT191" s="4" t="n"/>
      <c r="BU191" s="4" t="n"/>
      <c r="BV191" s="4" t="n"/>
      <c r="BW191" s="4" t="n"/>
      <c r="BX191" s="4" t="n"/>
      <c r="BY191" s="4" t="n"/>
      <c r="BZ191" s="4" t="n"/>
      <c r="CA191" s="4" t="n"/>
      <c r="CB191" s="4" t="n"/>
      <c r="CC191" s="4" t="n"/>
      <c r="CD191" s="4" t="n"/>
      <c r="CE191" s="4" t="n"/>
      <c r="CF191" s="4" t="n"/>
      <c r="CG191" s="4" t="n"/>
      <c r="CH191" s="4" t="n"/>
      <c r="CI191" s="4" t="n"/>
      <c r="CJ191" s="4" t="n"/>
      <c r="CK191" s="4" t="n"/>
      <c r="CL191" s="4" t="n"/>
      <c r="CM191" s="4" t="n"/>
      <c r="CN191" s="4" t="n"/>
      <c r="CO191" s="4" t="n"/>
      <c r="CP191" s="4" t="n"/>
      <c r="CQ191" s="4" t="n"/>
      <c r="CR191" s="4" t="n"/>
      <c r="CS191" s="4" t="n"/>
      <c r="CT191" s="4" t="n"/>
      <c r="CU191" s="4" t="n"/>
      <c r="CV191" s="4" t="n"/>
      <c r="CW191" s="4" t="n"/>
      <c r="CX191" s="4" t="n"/>
      <c r="CY191" s="4" t="n"/>
      <c r="CZ191" s="4" t="n"/>
      <c r="DA191" s="4" t="n"/>
      <c r="DB191" s="4" t="n"/>
      <c r="DC191" s="4" t="n"/>
      <c r="DD191" s="4" t="n"/>
      <c r="DE191" s="4" t="n"/>
      <c r="DF191" s="4" t="n"/>
      <c r="DG191" s="4" t="n"/>
      <c r="DH191" s="4" t="n"/>
      <c r="DI191" s="4" t="n"/>
      <c r="DJ191" s="4" t="n"/>
      <c r="DK191" s="4" t="n"/>
      <c r="DL191" s="4" t="n"/>
      <c r="DM191" s="4" t="n"/>
      <c r="DN191" s="4" t="n"/>
      <c r="DO191" s="4" t="n"/>
      <c r="DP191" s="4" t="n"/>
      <c r="DQ191" s="4" t="n"/>
      <c r="DR191" s="4" t="n"/>
      <c r="DS191" s="4" t="n"/>
      <c r="DT191" s="4" t="n"/>
      <c r="DU191" s="4" t="n"/>
      <c r="DV191" s="4" t="n"/>
      <c r="DW191" s="4" t="n"/>
      <c r="DX191" s="4" t="n"/>
      <c r="DY191" s="4" t="n"/>
      <c r="DZ191" s="4" t="n"/>
      <c r="EA191" s="4" t="n"/>
      <c r="EB191" s="4" t="n"/>
      <c r="EC191" s="4" t="n"/>
      <c r="ED191" s="4" t="n"/>
      <c r="EE191" s="4" t="n"/>
      <c r="EF191" s="4" t="n"/>
      <c r="EG191" s="4" t="n"/>
      <c r="EH191" s="4" t="n"/>
      <c r="EI191" s="4" t="n"/>
      <c r="EJ191" s="4" t="n"/>
      <c r="EK191" s="4" t="n"/>
      <c r="EL191" s="4" t="n"/>
      <c r="EM191" s="4" t="n"/>
      <c r="EN191" s="4" t="n"/>
    </row>
    <row r="192" hidden="1" customFormat="1" s="6">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c r="AC192" s="4" t="n"/>
      <c r="AD192" s="4" t="n"/>
      <c r="AE192" s="4" t="n"/>
      <c r="AF192" s="4" t="n"/>
      <c r="AG192" s="4" t="n"/>
      <c r="AH192" s="4" t="n"/>
      <c r="AI192" s="4" t="n"/>
      <c r="AJ192" s="4" t="n"/>
      <c r="AK192" s="4" t="n"/>
      <c r="AL192" s="4" t="n"/>
      <c r="AM192" s="4" t="n"/>
      <c r="AN192" s="4" t="n"/>
      <c r="AO192" s="4" t="n"/>
      <c r="AP192" s="4" t="n"/>
      <c r="AQ192" s="4" t="n"/>
      <c r="AR192" s="4" t="n"/>
      <c r="AS192" s="4" t="n"/>
      <c r="AT192" s="4" t="n"/>
      <c r="AU192" s="4" t="n"/>
      <c r="AV192" s="4" t="n"/>
      <c r="AW192" s="4" t="n"/>
      <c r="AX192" s="4" t="n"/>
      <c r="AY192" s="4" t="n"/>
      <c r="AZ192" s="4" t="n"/>
      <c r="BA192" s="4" t="n"/>
      <c r="BB192" s="4" t="n"/>
      <c r="BC192" s="4" t="n"/>
      <c r="BD192" s="4" t="n"/>
      <c r="BE192" s="4" t="n"/>
      <c r="BF192" s="4" t="n"/>
      <c r="BG192" s="4" t="n"/>
      <c r="BH192" s="4" t="n"/>
      <c r="BI192" s="4" t="n"/>
      <c r="BJ192" s="4" t="n"/>
      <c r="BK192" s="4" t="n"/>
      <c r="BL192" s="4" t="n"/>
      <c r="BM192" s="4" t="n"/>
      <c r="BN192" s="4" t="n"/>
      <c r="BO192" s="4" t="n"/>
      <c r="BP192" s="4" t="n"/>
      <c r="BQ192" s="4" t="n"/>
      <c r="BR192" s="4" t="n"/>
      <c r="BS192" s="4" t="n"/>
      <c r="BT192" s="4" t="n"/>
      <c r="BU192" s="4" t="n"/>
      <c r="BV192" s="4" t="n"/>
      <c r="BW192" s="4" t="n"/>
      <c r="BX192" s="4" t="n"/>
      <c r="BY192" s="4" t="n"/>
      <c r="BZ192" s="4" t="n"/>
      <c r="CA192" s="4" t="n"/>
      <c r="CB192" s="4" t="n"/>
      <c r="CC192" s="4" t="n"/>
      <c r="CD192" s="4" t="n"/>
      <c r="CE192" s="4" t="n"/>
      <c r="CF192" s="4" t="n"/>
      <c r="CG192" s="4" t="n"/>
      <c r="CH192" s="4" t="n"/>
      <c r="CI192" s="4" t="n"/>
      <c r="CJ192" s="4" t="n"/>
      <c r="CK192" s="4" t="n"/>
      <c r="CL192" s="4" t="n"/>
      <c r="CM192" s="4" t="n"/>
      <c r="CN192" s="4" t="n"/>
      <c r="CO192" s="4" t="n"/>
      <c r="CP192" s="4" t="n"/>
      <c r="CQ192" s="4" t="n"/>
      <c r="CR192" s="4" t="n"/>
      <c r="CS192" s="4" t="n"/>
      <c r="CT192" s="4" t="n"/>
      <c r="CU192" s="4" t="n"/>
      <c r="CV192" s="4" t="n"/>
      <c r="CW192" s="4" t="n"/>
      <c r="CX192" s="4" t="n"/>
      <c r="CY192" s="4" t="n"/>
      <c r="CZ192" s="4" t="n"/>
      <c r="DA192" s="4" t="n"/>
      <c r="DB192" s="4" t="n"/>
      <c r="DC192" s="4" t="n"/>
      <c r="DD192" s="4" t="n"/>
      <c r="DE192" s="4" t="n"/>
      <c r="DF192" s="4" t="n"/>
      <c r="DG192" s="4" t="n"/>
      <c r="DH192" s="4" t="n"/>
      <c r="DI192" s="4" t="n"/>
      <c r="DJ192" s="4" t="n"/>
      <c r="DK192" s="4" t="n"/>
      <c r="DL192" s="4" t="n"/>
      <c r="DM192" s="4" t="n"/>
      <c r="DN192" s="4" t="n"/>
      <c r="DO192" s="4" t="n"/>
      <c r="DP192" s="4" t="n"/>
      <c r="DQ192" s="4" t="n"/>
      <c r="DR192" s="4" t="n"/>
      <c r="DS192" s="4" t="n"/>
      <c r="DT192" s="4" t="n"/>
      <c r="DU192" s="4" t="n"/>
      <c r="DV192" s="4" t="n"/>
      <c r="DW192" s="4" t="n"/>
      <c r="DX192" s="4" t="n"/>
      <c r="DY192" s="4" t="n"/>
      <c r="DZ192" s="4" t="n"/>
      <c r="EA192" s="4" t="n"/>
      <c r="EB192" s="4" t="n"/>
      <c r="EC192" s="4" t="n"/>
      <c r="ED192" s="4" t="n"/>
      <c r="EE192" s="4" t="n"/>
      <c r="EF192" s="4" t="n"/>
      <c r="EG192" s="4" t="n"/>
      <c r="EH192" s="4" t="n"/>
      <c r="EI192" s="4" t="n"/>
      <c r="EJ192" s="4" t="n"/>
      <c r="EK192" s="4" t="n"/>
      <c r="EL192" s="4" t="n"/>
      <c r="EM192" s="4" t="n"/>
      <c r="EN192" s="4" t="n"/>
    </row>
    <row r="193" hidden="1" customFormat="1" s="6">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c r="AC193" s="4" t="n"/>
      <c r="AD193" s="4" t="n"/>
      <c r="AE193" s="4" t="n"/>
      <c r="AF193" s="4" t="n"/>
      <c r="AG193" s="4" t="n"/>
      <c r="AH193" s="4" t="n"/>
      <c r="AI193" s="4" t="n"/>
      <c r="AJ193" s="4" t="n"/>
      <c r="AK193" s="4" t="n"/>
      <c r="AL193" s="4" t="n"/>
      <c r="AM193" s="4" t="n"/>
      <c r="AN193" s="4" t="n"/>
      <c r="AO193" s="4" t="n"/>
      <c r="AP193" s="4" t="n"/>
      <c r="AQ193" s="4" t="n"/>
      <c r="AR193" s="4" t="n"/>
      <c r="AS193" s="4" t="n"/>
      <c r="AT193" s="4" t="n"/>
      <c r="AU193" s="4" t="n"/>
      <c r="AV193" s="4" t="n"/>
      <c r="AW193" s="4" t="n"/>
      <c r="AX193" s="4" t="n"/>
      <c r="AY193" s="4" t="n"/>
      <c r="AZ193" s="4" t="n"/>
      <c r="BA193" s="4" t="n"/>
      <c r="BB193" s="4" t="n"/>
      <c r="BC193" s="4" t="n"/>
      <c r="BD193" s="4" t="n"/>
      <c r="BE193" s="4" t="n"/>
      <c r="BF193" s="4" t="n"/>
      <c r="BG193" s="4" t="n"/>
      <c r="BH193" s="4" t="n"/>
      <c r="BI193" s="4" t="n"/>
      <c r="BJ193" s="4" t="n"/>
      <c r="BK193" s="4" t="n"/>
      <c r="BL193" s="4" t="n"/>
      <c r="BM193" s="4" t="n"/>
      <c r="BN193" s="4" t="n"/>
      <c r="BO193" s="4" t="n"/>
      <c r="BP193" s="4" t="n"/>
      <c r="BQ193" s="4" t="n"/>
      <c r="BR193" s="4" t="n"/>
      <c r="BS193" s="4" t="n"/>
      <c r="BT193" s="4" t="n"/>
      <c r="BU193" s="4" t="n"/>
      <c r="BV193" s="4" t="n"/>
      <c r="BW193" s="4" t="n"/>
      <c r="BX193" s="4" t="n"/>
      <c r="BY193" s="4" t="n"/>
      <c r="BZ193" s="4" t="n"/>
      <c r="CA193" s="4" t="n"/>
      <c r="CB193" s="4" t="n"/>
      <c r="CC193" s="4" t="n"/>
      <c r="CD193" s="4" t="n"/>
      <c r="CE193" s="4" t="n"/>
      <c r="CF193" s="4" t="n"/>
      <c r="CG193" s="4" t="n"/>
      <c r="CH193" s="4" t="n"/>
      <c r="CI193" s="4" t="n"/>
      <c r="CJ193" s="4" t="n"/>
      <c r="CK193" s="4" t="n"/>
      <c r="CL193" s="4" t="n"/>
      <c r="CM193" s="4" t="n"/>
      <c r="CN193" s="4" t="n"/>
      <c r="CO193" s="4" t="n"/>
      <c r="CP193" s="4" t="n"/>
      <c r="CQ193" s="4" t="n"/>
      <c r="CR193" s="4" t="n"/>
      <c r="CS193" s="4" t="n"/>
      <c r="CT193" s="4" t="n"/>
      <c r="CU193" s="4" t="n"/>
      <c r="CV193" s="4" t="n"/>
      <c r="CW193" s="4" t="n"/>
      <c r="CX193" s="4" t="n"/>
      <c r="CY193" s="4" t="n"/>
      <c r="CZ193" s="4" t="n"/>
      <c r="DA193" s="4" t="n"/>
      <c r="DB193" s="4" t="n"/>
      <c r="DC193" s="4" t="n"/>
      <c r="DD193" s="4" t="n"/>
      <c r="DE193" s="4" t="n"/>
      <c r="DF193" s="4" t="n"/>
      <c r="DG193" s="4" t="n"/>
      <c r="DH193" s="4" t="n"/>
      <c r="DI193" s="4" t="n"/>
      <c r="DJ193" s="4" t="n"/>
      <c r="DK193" s="4" t="n"/>
      <c r="DL193" s="4" t="n"/>
      <c r="DM193" s="4" t="n"/>
      <c r="DN193" s="4" t="n"/>
      <c r="DO193" s="4" t="n"/>
      <c r="DP193" s="4" t="n"/>
      <c r="DQ193" s="4" t="n"/>
      <c r="DR193" s="4" t="n"/>
      <c r="DS193" s="4" t="n"/>
      <c r="DT193" s="4" t="n"/>
      <c r="DU193" s="4" t="n"/>
      <c r="DV193" s="4" t="n"/>
      <c r="DW193" s="4" t="n"/>
      <c r="DX193" s="4" t="n"/>
      <c r="DY193" s="4" t="n"/>
      <c r="DZ193" s="4" t="n"/>
      <c r="EA193" s="4" t="n"/>
      <c r="EB193" s="4" t="n"/>
      <c r="EC193" s="4" t="n"/>
      <c r="ED193" s="4" t="n"/>
      <c r="EE193" s="4" t="n"/>
      <c r="EF193" s="4" t="n"/>
      <c r="EG193" s="4" t="n"/>
      <c r="EH193" s="4" t="n"/>
      <c r="EI193" s="4" t="n"/>
      <c r="EJ193" s="4" t="n"/>
      <c r="EK193" s="4" t="n"/>
      <c r="EL193" s="4" t="n"/>
      <c r="EM193" s="4" t="n"/>
      <c r="EN193" s="4" t="n"/>
    </row>
    <row r="194" hidden="1" customFormat="1" s="6">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c r="AC194" s="4" t="n"/>
      <c r="AD194" s="4" t="n"/>
      <c r="AE194" s="4" t="n"/>
      <c r="AF194" s="4" t="n"/>
      <c r="AG194" s="4" t="n"/>
      <c r="AH194" s="4" t="n"/>
      <c r="AI194" s="4" t="n"/>
      <c r="AJ194" s="4" t="n"/>
      <c r="AK194" s="4" t="n"/>
      <c r="AL194" s="4" t="n"/>
      <c r="AM194" s="4" t="n"/>
      <c r="AN194" s="4" t="n"/>
      <c r="AO194" s="4" t="n"/>
      <c r="AP194" s="4" t="n"/>
      <c r="AQ194" s="4" t="n"/>
      <c r="AR194" s="4" t="n"/>
      <c r="AS194" s="4" t="n"/>
      <c r="AT194" s="4" t="n"/>
      <c r="AU194" s="4" t="n"/>
      <c r="AV194" s="4" t="n"/>
      <c r="AW194" s="4" t="n"/>
      <c r="AX194" s="4" t="n"/>
      <c r="AY194" s="4" t="n"/>
      <c r="AZ194" s="4" t="n"/>
      <c r="BA194" s="4" t="n"/>
      <c r="BB194" s="4" t="n"/>
      <c r="BC194" s="4" t="n"/>
      <c r="BD194" s="4" t="n"/>
      <c r="BE194" s="4" t="n"/>
      <c r="BF194" s="4" t="n"/>
      <c r="BG194" s="4" t="n"/>
      <c r="BH194" s="4" t="n"/>
      <c r="BI194" s="4" t="n"/>
      <c r="BJ194" s="4" t="n"/>
      <c r="BK194" s="4" t="n"/>
      <c r="BL194" s="4" t="n"/>
      <c r="BM194" s="4" t="n"/>
      <c r="BN194" s="4" t="n"/>
      <c r="BO194" s="4" t="n"/>
      <c r="BP194" s="4" t="n"/>
      <c r="BQ194" s="4" t="n"/>
      <c r="BR194" s="4" t="n"/>
      <c r="BS194" s="4" t="n"/>
      <c r="BT194" s="4" t="n"/>
      <c r="BU194" s="4" t="n"/>
      <c r="BV194" s="4" t="n"/>
      <c r="BW194" s="4" t="n"/>
      <c r="BX194" s="4" t="n"/>
      <c r="BY194" s="4" t="n"/>
      <c r="BZ194" s="4" t="n"/>
      <c r="CA194" s="4" t="n"/>
      <c r="CB194" s="4" t="n"/>
      <c r="CC194" s="4" t="n"/>
      <c r="CD194" s="4" t="n"/>
      <c r="CE194" s="4" t="n"/>
      <c r="CF194" s="4" t="n"/>
      <c r="CG194" s="4" t="n"/>
      <c r="CH194" s="4" t="n"/>
      <c r="CI194" s="4" t="n"/>
      <c r="CJ194" s="4" t="n"/>
      <c r="CK194" s="4" t="n"/>
      <c r="CL194" s="4" t="n"/>
      <c r="CM194" s="4" t="n"/>
      <c r="CN194" s="4" t="n"/>
      <c r="CO194" s="4" t="n"/>
      <c r="CP194" s="4" t="n"/>
      <c r="CQ194" s="4" t="n"/>
      <c r="CR194" s="4" t="n"/>
      <c r="CS194" s="4" t="n"/>
      <c r="CT194" s="4" t="n"/>
      <c r="CU194" s="4" t="n"/>
      <c r="CV194" s="4" t="n"/>
      <c r="CW194" s="4" t="n"/>
      <c r="CX194" s="4" t="n"/>
      <c r="CY194" s="4" t="n"/>
      <c r="CZ194" s="4" t="n"/>
      <c r="DA194" s="4" t="n"/>
      <c r="DB194" s="4" t="n"/>
      <c r="DC194" s="4" t="n"/>
      <c r="DD194" s="4" t="n"/>
      <c r="DE194" s="4" t="n"/>
      <c r="DF194" s="4" t="n"/>
      <c r="DG194" s="4" t="n"/>
      <c r="DH194" s="4" t="n"/>
      <c r="DI194" s="4" t="n"/>
      <c r="DJ194" s="4" t="n"/>
      <c r="DK194" s="4" t="n"/>
      <c r="DL194" s="4" t="n"/>
      <c r="DM194" s="4" t="n"/>
      <c r="DN194" s="4" t="n"/>
      <c r="DO194" s="4" t="n"/>
      <c r="DP194" s="4" t="n"/>
      <c r="DQ194" s="4" t="n"/>
      <c r="DR194" s="4" t="n"/>
      <c r="DS194" s="4" t="n"/>
      <c r="DT194" s="4" t="n"/>
      <c r="DU194" s="4" t="n"/>
      <c r="DV194" s="4" t="n"/>
      <c r="DW194" s="4" t="n"/>
      <c r="DX194" s="4" t="n"/>
      <c r="DY194" s="4" t="n"/>
      <c r="DZ194" s="4" t="n"/>
      <c r="EA194" s="4" t="n"/>
      <c r="EB194" s="4" t="n"/>
      <c r="EC194" s="4" t="n"/>
      <c r="ED194" s="4" t="n"/>
      <c r="EE194" s="4" t="n"/>
      <c r="EF194" s="4" t="n"/>
      <c r="EG194" s="4" t="n"/>
      <c r="EH194" s="4" t="n"/>
      <c r="EI194" s="4" t="n"/>
      <c r="EJ194" s="4" t="n"/>
      <c r="EK194" s="4" t="n"/>
      <c r="EL194" s="4" t="n"/>
      <c r="EM194" s="4" t="n"/>
      <c r="EN194" s="4" t="n"/>
    </row>
    <row r="195" hidden="1" customFormat="1" s="6">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c r="AD195" s="4" t="n"/>
      <c r="AE195" s="4" t="n"/>
      <c r="AF195" s="4" t="n"/>
      <c r="AG195" s="4" t="n"/>
      <c r="AH195" s="4" t="n"/>
      <c r="AI195" s="4" t="n"/>
      <c r="AJ195" s="4" t="n"/>
      <c r="AK195" s="4" t="n"/>
      <c r="AL195" s="4" t="n"/>
      <c r="AM195" s="4" t="n"/>
      <c r="AN195" s="4" t="n"/>
      <c r="AO195" s="4" t="n"/>
      <c r="AP195" s="4" t="n"/>
      <c r="AQ195" s="4" t="n"/>
      <c r="AR195" s="4" t="n"/>
      <c r="AS195" s="4" t="n"/>
      <c r="AT195" s="4" t="n"/>
      <c r="AU195" s="4" t="n"/>
      <c r="AV195" s="4" t="n"/>
      <c r="AW195" s="4" t="n"/>
      <c r="AX195" s="4" t="n"/>
      <c r="AY195" s="4" t="n"/>
      <c r="AZ195" s="4" t="n"/>
      <c r="BA195" s="4" t="n"/>
      <c r="BB195" s="4" t="n"/>
      <c r="BC195" s="4" t="n"/>
      <c r="BD195" s="4" t="n"/>
      <c r="BE195" s="4" t="n"/>
      <c r="BF195" s="4" t="n"/>
      <c r="BG195" s="4" t="n"/>
      <c r="BH195" s="4" t="n"/>
      <c r="BI195" s="4" t="n"/>
      <c r="BJ195" s="4" t="n"/>
      <c r="BK195" s="4" t="n"/>
      <c r="BL195" s="4" t="n"/>
      <c r="BM195" s="4" t="n"/>
      <c r="BN195" s="4" t="n"/>
      <c r="BO195" s="4" t="n"/>
      <c r="BP195" s="4" t="n"/>
      <c r="BQ195" s="4" t="n"/>
      <c r="BR195" s="4" t="n"/>
      <c r="BS195" s="4" t="n"/>
      <c r="BT195" s="4" t="n"/>
      <c r="BU195" s="4" t="n"/>
      <c r="BV195" s="4" t="n"/>
      <c r="BW195" s="4" t="n"/>
      <c r="BX195" s="4" t="n"/>
      <c r="BY195" s="4" t="n"/>
      <c r="BZ195" s="4" t="n"/>
      <c r="CA195" s="4" t="n"/>
      <c r="CB195" s="4" t="n"/>
      <c r="CC195" s="4" t="n"/>
      <c r="CD195" s="4" t="n"/>
      <c r="CE195" s="4" t="n"/>
      <c r="CF195" s="4" t="n"/>
      <c r="CG195" s="4" t="n"/>
      <c r="CH195" s="4" t="n"/>
      <c r="CI195" s="4" t="n"/>
      <c r="CJ195" s="4" t="n"/>
      <c r="CK195" s="4" t="n"/>
      <c r="CL195" s="4" t="n"/>
      <c r="CM195" s="4" t="n"/>
      <c r="CN195" s="4" t="n"/>
      <c r="CO195" s="4" t="n"/>
      <c r="CP195" s="4" t="n"/>
      <c r="CQ195" s="4" t="n"/>
      <c r="CR195" s="4" t="n"/>
      <c r="CS195" s="4" t="n"/>
      <c r="CT195" s="4" t="n"/>
      <c r="CU195" s="4" t="n"/>
      <c r="CV195" s="4" t="n"/>
      <c r="CW195" s="4" t="n"/>
      <c r="CX195" s="4" t="n"/>
      <c r="CY195" s="4" t="n"/>
      <c r="CZ195" s="4" t="n"/>
      <c r="DA195" s="4" t="n"/>
      <c r="DB195" s="4" t="n"/>
      <c r="DC195" s="4" t="n"/>
      <c r="DD195" s="4" t="n"/>
      <c r="DE195" s="4" t="n"/>
      <c r="DF195" s="4" t="n"/>
      <c r="DG195" s="4" t="n"/>
      <c r="DH195" s="4" t="n"/>
      <c r="DI195" s="4" t="n"/>
      <c r="DJ195" s="4" t="n"/>
      <c r="DK195" s="4" t="n"/>
      <c r="DL195" s="4" t="n"/>
      <c r="DM195" s="4" t="n"/>
      <c r="DN195" s="4" t="n"/>
      <c r="DO195" s="4" t="n"/>
      <c r="DP195" s="4" t="n"/>
      <c r="DQ195" s="4" t="n"/>
      <c r="DR195" s="4" t="n"/>
      <c r="DS195" s="4" t="n"/>
      <c r="DT195" s="4" t="n"/>
      <c r="DU195" s="4" t="n"/>
      <c r="DV195" s="4" t="n"/>
      <c r="DW195" s="4" t="n"/>
      <c r="DX195" s="4" t="n"/>
      <c r="DY195" s="4" t="n"/>
      <c r="DZ195" s="4" t="n"/>
      <c r="EA195" s="4" t="n"/>
      <c r="EB195" s="4" t="n"/>
      <c r="EC195" s="4" t="n"/>
      <c r="ED195" s="4" t="n"/>
      <c r="EE195" s="4" t="n"/>
      <c r="EF195" s="4" t="n"/>
      <c r="EG195" s="4" t="n"/>
      <c r="EH195" s="4" t="n"/>
      <c r="EI195" s="4" t="n"/>
      <c r="EJ195" s="4" t="n"/>
      <c r="EK195" s="4" t="n"/>
      <c r="EL195" s="4" t="n"/>
      <c r="EM195" s="4" t="n"/>
      <c r="EN195" s="4" t="n"/>
    </row>
    <row r="196" hidden="1" customFormat="1" s="6">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c r="AE196" s="4" t="n"/>
      <c r="AF196" s="4" t="n"/>
      <c r="AG196" s="4" t="n"/>
      <c r="AH196" s="4" t="n"/>
      <c r="AI196" s="4" t="n"/>
      <c r="AJ196" s="4" t="n"/>
      <c r="AK196" s="4" t="n"/>
      <c r="AL196" s="4" t="n"/>
      <c r="AM196" s="4" t="n"/>
      <c r="AN196" s="4" t="n"/>
      <c r="AO196" s="4" t="n"/>
      <c r="AP196" s="4" t="n"/>
      <c r="AQ196" s="4" t="n"/>
      <c r="AR196" s="4" t="n"/>
      <c r="AS196" s="4" t="n"/>
      <c r="AT196" s="4" t="n"/>
      <c r="AU196" s="4" t="n"/>
      <c r="AV196" s="4" t="n"/>
      <c r="AW196" s="4" t="n"/>
      <c r="AX196" s="4" t="n"/>
      <c r="AY196" s="4" t="n"/>
      <c r="AZ196" s="4" t="n"/>
      <c r="BA196" s="4" t="n"/>
      <c r="BB196" s="4" t="n"/>
      <c r="BC196" s="4" t="n"/>
      <c r="BD196" s="4" t="n"/>
      <c r="BE196" s="4" t="n"/>
      <c r="BF196" s="4" t="n"/>
      <c r="BG196" s="4" t="n"/>
      <c r="BH196" s="4" t="n"/>
      <c r="BI196" s="4" t="n"/>
      <c r="BJ196" s="4" t="n"/>
      <c r="BK196" s="4" t="n"/>
      <c r="BL196" s="4" t="n"/>
      <c r="BM196" s="4" t="n"/>
      <c r="BN196" s="4" t="n"/>
      <c r="BO196" s="4" t="n"/>
      <c r="BP196" s="4" t="n"/>
      <c r="BQ196" s="4" t="n"/>
      <c r="BR196" s="4" t="n"/>
      <c r="BS196" s="4" t="n"/>
      <c r="BT196" s="4" t="n"/>
      <c r="BU196" s="4" t="n"/>
      <c r="BV196" s="4" t="n"/>
      <c r="BW196" s="4" t="n"/>
      <c r="BX196" s="4" t="n"/>
      <c r="BY196" s="4" t="n"/>
      <c r="BZ196" s="4" t="n"/>
      <c r="CA196" s="4" t="n"/>
      <c r="CB196" s="4" t="n"/>
      <c r="CC196" s="4" t="n"/>
      <c r="CD196" s="4" t="n"/>
      <c r="CE196" s="4" t="n"/>
      <c r="CF196" s="4" t="n"/>
      <c r="CG196" s="4" t="n"/>
      <c r="CH196" s="4" t="n"/>
      <c r="CI196" s="4" t="n"/>
      <c r="CJ196" s="4" t="n"/>
      <c r="CK196" s="4" t="n"/>
      <c r="CL196" s="4" t="n"/>
      <c r="CM196" s="4" t="n"/>
      <c r="CN196" s="4" t="n"/>
      <c r="CO196" s="4" t="n"/>
      <c r="CP196" s="4" t="n"/>
      <c r="CQ196" s="4" t="n"/>
      <c r="CR196" s="4" t="n"/>
      <c r="CS196" s="4" t="n"/>
      <c r="CT196" s="4" t="n"/>
      <c r="CU196" s="4" t="n"/>
      <c r="CV196" s="4" t="n"/>
      <c r="CW196" s="4" t="n"/>
      <c r="CX196" s="4" t="n"/>
      <c r="CY196" s="4" t="n"/>
      <c r="CZ196" s="4" t="n"/>
      <c r="DA196" s="4" t="n"/>
      <c r="DB196" s="4" t="n"/>
      <c r="DC196" s="4" t="n"/>
      <c r="DD196" s="4" t="n"/>
      <c r="DE196" s="4" t="n"/>
      <c r="DF196" s="4" t="n"/>
      <c r="DG196" s="4" t="n"/>
      <c r="DH196" s="4" t="n"/>
      <c r="DI196" s="4" t="n"/>
      <c r="DJ196" s="4" t="n"/>
      <c r="DK196" s="4" t="n"/>
      <c r="DL196" s="4" t="n"/>
      <c r="DM196" s="4" t="n"/>
      <c r="DN196" s="4" t="n"/>
      <c r="DO196" s="4" t="n"/>
      <c r="DP196" s="4" t="n"/>
      <c r="DQ196" s="4" t="n"/>
      <c r="DR196" s="4" t="n"/>
      <c r="DS196" s="4" t="n"/>
      <c r="DT196" s="4" t="n"/>
      <c r="DU196" s="4" t="n"/>
      <c r="DV196" s="4" t="n"/>
      <c r="DW196" s="4" t="n"/>
      <c r="DX196" s="4" t="n"/>
      <c r="DY196" s="4" t="n"/>
      <c r="DZ196" s="4" t="n"/>
      <c r="EA196" s="4" t="n"/>
      <c r="EB196" s="4" t="n"/>
      <c r="EC196" s="4" t="n"/>
      <c r="ED196" s="4" t="n"/>
      <c r="EE196" s="4" t="n"/>
      <c r="EF196" s="4" t="n"/>
      <c r="EG196" s="4" t="n"/>
      <c r="EH196" s="4" t="n"/>
      <c r="EI196" s="4" t="n"/>
      <c r="EJ196" s="4" t="n"/>
      <c r="EK196" s="4" t="n"/>
      <c r="EL196" s="4" t="n"/>
      <c r="EM196" s="4" t="n"/>
      <c r="EN196" s="4" t="n"/>
    </row>
    <row r="197" hidden="1" customFormat="1" s="6">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c r="AE197" s="4" t="n"/>
      <c r="AF197" s="4" t="n"/>
      <c r="AG197" s="4" t="n"/>
      <c r="AH197" s="4" t="n"/>
      <c r="AI197" s="4" t="n"/>
      <c r="AJ197" s="4" t="n"/>
      <c r="AK197" s="4" t="n"/>
      <c r="AL197" s="4" t="n"/>
      <c r="AM197" s="4" t="n"/>
      <c r="AN197" s="4" t="n"/>
      <c r="AO197" s="4" t="n"/>
      <c r="AP197" s="4" t="n"/>
      <c r="AQ197" s="4" t="n"/>
      <c r="AR197" s="4" t="n"/>
      <c r="AS197" s="4" t="n"/>
      <c r="AT197" s="4" t="n"/>
      <c r="AU197" s="4" t="n"/>
      <c r="AV197" s="4" t="n"/>
      <c r="AW197" s="4" t="n"/>
      <c r="AX197" s="4" t="n"/>
      <c r="AY197" s="4" t="n"/>
      <c r="AZ197" s="4" t="n"/>
      <c r="BA197" s="4" t="n"/>
      <c r="BB197" s="4" t="n"/>
      <c r="BC197" s="4" t="n"/>
      <c r="BD197" s="4" t="n"/>
      <c r="BE197" s="4" t="n"/>
      <c r="BF197" s="4" t="n"/>
      <c r="BG197" s="4" t="n"/>
      <c r="BH197" s="4" t="n"/>
      <c r="BI197" s="4" t="n"/>
      <c r="BJ197" s="4" t="n"/>
      <c r="BK197" s="4" t="n"/>
      <c r="BL197" s="4" t="n"/>
      <c r="BM197" s="4" t="n"/>
      <c r="BN197" s="4" t="n"/>
      <c r="BO197" s="4" t="n"/>
      <c r="BP197" s="4" t="n"/>
      <c r="BQ197" s="4" t="n"/>
      <c r="BR197" s="4" t="n"/>
      <c r="BS197" s="4" t="n"/>
      <c r="BT197" s="4" t="n"/>
      <c r="BU197" s="4" t="n"/>
      <c r="BV197" s="4" t="n"/>
      <c r="BW197" s="4" t="n"/>
      <c r="BX197" s="4" t="n"/>
      <c r="BY197" s="4" t="n"/>
      <c r="BZ197" s="4" t="n"/>
      <c r="CA197" s="4" t="n"/>
      <c r="CB197" s="4" t="n"/>
      <c r="CC197" s="4" t="n"/>
      <c r="CD197" s="4" t="n"/>
      <c r="CE197" s="4" t="n"/>
      <c r="CF197" s="4" t="n"/>
      <c r="CG197" s="4" t="n"/>
      <c r="CH197" s="4" t="n"/>
      <c r="CI197" s="4" t="n"/>
      <c r="CJ197" s="4" t="n"/>
      <c r="CK197" s="4" t="n"/>
      <c r="CL197" s="4" t="n"/>
      <c r="CM197" s="4" t="n"/>
      <c r="CN197" s="4" t="n"/>
      <c r="CO197" s="4" t="n"/>
      <c r="CP197" s="4" t="n"/>
      <c r="CQ197" s="4" t="n"/>
      <c r="CR197" s="4" t="n"/>
      <c r="CS197" s="4" t="n"/>
      <c r="CT197" s="4" t="n"/>
      <c r="CU197" s="4" t="n"/>
      <c r="CV197" s="4" t="n"/>
      <c r="CW197" s="4" t="n"/>
      <c r="CX197" s="4" t="n"/>
      <c r="CY197" s="4" t="n"/>
      <c r="CZ197" s="4" t="n"/>
      <c r="DA197" s="4" t="n"/>
      <c r="DB197" s="4" t="n"/>
      <c r="DC197" s="4" t="n"/>
      <c r="DD197" s="4" t="n"/>
      <c r="DE197" s="4" t="n"/>
      <c r="DF197" s="4" t="n"/>
      <c r="DG197" s="4" t="n"/>
      <c r="DH197" s="4" t="n"/>
      <c r="DI197" s="4" t="n"/>
      <c r="DJ197" s="4" t="n"/>
      <c r="DK197" s="4" t="n"/>
      <c r="DL197" s="4" t="n"/>
      <c r="DM197" s="4" t="n"/>
      <c r="DN197" s="4" t="n"/>
      <c r="DO197" s="4" t="n"/>
      <c r="DP197" s="4" t="n"/>
      <c r="DQ197" s="4" t="n"/>
      <c r="DR197" s="4" t="n"/>
      <c r="DS197" s="4" t="n"/>
      <c r="DT197" s="4" t="n"/>
      <c r="DU197" s="4" t="n"/>
      <c r="DV197" s="4" t="n"/>
      <c r="DW197" s="4" t="n"/>
      <c r="DX197" s="4" t="n"/>
      <c r="DY197" s="4" t="n"/>
      <c r="DZ197" s="4" t="n"/>
      <c r="EA197" s="4" t="n"/>
      <c r="EB197" s="4" t="n"/>
      <c r="EC197" s="4" t="n"/>
      <c r="ED197" s="4" t="n"/>
      <c r="EE197" s="4" t="n"/>
      <c r="EF197" s="4" t="n"/>
      <c r="EG197" s="4" t="n"/>
      <c r="EH197" s="4" t="n"/>
      <c r="EI197" s="4" t="n"/>
      <c r="EJ197" s="4" t="n"/>
      <c r="EK197" s="4" t="n"/>
      <c r="EL197" s="4" t="n"/>
      <c r="EM197" s="4" t="n"/>
      <c r="EN197" s="4" t="n"/>
    </row>
    <row r="198" hidden="1" customFormat="1" s="6">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c r="AD198" s="4" t="n"/>
      <c r="AE198" s="4" t="n"/>
      <c r="AF198" s="4" t="n"/>
      <c r="AG198" s="4" t="n"/>
      <c r="AH198" s="4" t="n"/>
      <c r="AI198" s="4" t="n"/>
      <c r="AJ198" s="4" t="n"/>
      <c r="AK198" s="4" t="n"/>
      <c r="AL198" s="4" t="n"/>
      <c r="AM198" s="4" t="n"/>
      <c r="AN198" s="4" t="n"/>
      <c r="AO198" s="4" t="n"/>
      <c r="AP198" s="4" t="n"/>
      <c r="AQ198" s="4" t="n"/>
      <c r="AR198" s="4" t="n"/>
      <c r="AS198" s="4" t="n"/>
      <c r="AT198" s="4" t="n"/>
      <c r="AU198" s="4" t="n"/>
      <c r="AV198" s="4" t="n"/>
      <c r="AW198" s="4" t="n"/>
      <c r="AX198" s="4" t="n"/>
      <c r="AY198" s="4" t="n"/>
      <c r="AZ198" s="4" t="n"/>
      <c r="BA198" s="4" t="n"/>
      <c r="BB198" s="4" t="n"/>
      <c r="BC198" s="4" t="n"/>
      <c r="BD198" s="4" t="n"/>
      <c r="BE198" s="4" t="n"/>
      <c r="BF198" s="4" t="n"/>
      <c r="BG198" s="4" t="n"/>
      <c r="BH198" s="4" t="n"/>
      <c r="BI198" s="4" t="n"/>
      <c r="BJ198" s="4" t="n"/>
      <c r="BK198" s="4" t="n"/>
      <c r="BL198" s="4" t="n"/>
      <c r="BM198" s="4" t="n"/>
      <c r="BN198" s="4" t="n"/>
      <c r="BO198" s="4" t="n"/>
      <c r="BP198" s="4" t="n"/>
      <c r="BQ198" s="4" t="n"/>
      <c r="BR198" s="4" t="n"/>
      <c r="BS198" s="4" t="n"/>
      <c r="BT198" s="4" t="n"/>
      <c r="BU198" s="4" t="n"/>
      <c r="BV198" s="4" t="n"/>
      <c r="BW198" s="4" t="n"/>
      <c r="BX198" s="4" t="n"/>
      <c r="BY198" s="4" t="n"/>
      <c r="BZ198" s="4" t="n"/>
      <c r="CA198" s="4" t="n"/>
      <c r="CB198" s="4" t="n"/>
      <c r="CC198" s="4" t="n"/>
      <c r="CD198" s="4" t="n"/>
      <c r="CE198" s="4" t="n"/>
      <c r="CF198" s="4" t="n"/>
      <c r="CG198" s="4" t="n"/>
      <c r="CH198" s="4" t="n"/>
      <c r="CI198" s="4" t="n"/>
      <c r="CJ198" s="4" t="n"/>
      <c r="CK198" s="4" t="n"/>
      <c r="CL198" s="4" t="n"/>
      <c r="CM198" s="4" t="n"/>
      <c r="CN198" s="4" t="n"/>
      <c r="CO198" s="4" t="n"/>
      <c r="CP198" s="4" t="n"/>
      <c r="CQ198" s="4" t="n"/>
      <c r="CR198" s="4" t="n"/>
      <c r="CS198" s="4" t="n"/>
      <c r="CT198" s="4" t="n"/>
      <c r="CU198" s="4" t="n"/>
      <c r="CV198" s="4" t="n"/>
      <c r="CW198" s="4" t="n"/>
      <c r="CX198" s="4" t="n"/>
      <c r="CY198" s="4" t="n"/>
      <c r="CZ198" s="4" t="n"/>
      <c r="DA198" s="4" t="n"/>
      <c r="DB198" s="4" t="n"/>
      <c r="DC198" s="4" t="n"/>
      <c r="DD198" s="4" t="n"/>
      <c r="DE198" s="4" t="n"/>
      <c r="DF198" s="4" t="n"/>
      <c r="DG198" s="4" t="n"/>
      <c r="DH198" s="4" t="n"/>
      <c r="DI198" s="4" t="n"/>
      <c r="DJ198" s="4" t="n"/>
      <c r="DK198" s="4" t="n"/>
      <c r="DL198" s="4" t="n"/>
      <c r="DM198" s="4" t="n"/>
      <c r="DN198" s="4" t="n"/>
      <c r="DO198" s="4" t="n"/>
      <c r="DP198" s="4" t="n"/>
      <c r="DQ198" s="4" t="n"/>
      <c r="DR198" s="4" t="n"/>
      <c r="DS198" s="4" t="n"/>
      <c r="DT198" s="4" t="n"/>
      <c r="DU198" s="4" t="n"/>
      <c r="DV198" s="4" t="n"/>
      <c r="DW198" s="4" t="n"/>
      <c r="DX198" s="4" t="n"/>
      <c r="DY198" s="4" t="n"/>
      <c r="DZ198" s="4" t="n"/>
      <c r="EA198" s="4" t="n"/>
      <c r="EB198" s="4" t="n"/>
      <c r="EC198" s="4" t="n"/>
      <c r="ED198" s="4" t="n"/>
      <c r="EE198" s="4" t="n"/>
      <c r="EF198" s="4" t="n"/>
      <c r="EG198" s="4" t="n"/>
      <c r="EH198" s="4" t="n"/>
      <c r="EI198" s="4" t="n"/>
      <c r="EJ198" s="4" t="n"/>
      <c r="EK198" s="4" t="n"/>
      <c r="EL198" s="4" t="n"/>
      <c r="EM198" s="4" t="n"/>
      <c r="EN198" s="4" t="n"/>
    </row>
    <row r="199" hidden="1" customFormat="1" s="6">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c r="AC199" s="4" t="n"/>
      <c r="AD199" s="4" t="n"/>
      <c r="AE199" s="4" t="n"/>
      <c r="AF199" s="4" t="n"/>
      <c r="AG199" s="4" t="n"/>
      <c r="AH199" s="4" t="n"/>
      <c r="AI199" s="4" t="n"/>
      <c r="AJ199" s="4" t="n"/>
      <c r="AK199" s="4" t="n"/>
      <c r="AL199" s="4" t="n"/>
      <c r="AM199" s="4" t="n"/>
      <c r="AN199" s="4" t="n"/>
      <c r="AO199" s="4" t="n"/>
      <c r="AP199" s="4" t="n"/>
      <c r="AQ199" s="4" t="n"/>
      <c r="AR199" s="4" t="n"/>
      <c r="AS199" s="4" t="n"/>
      <c r="AT199" s="4" t="n"/>
      <c r="AU199" s="4" t="n"/>
      <c r="AV199" s="4" t="n"/>
      <c r="AW199" s="4" t="n"/>
      <c r="AX199" s="4" t="n"/>
      <c r="AY199" s="4" t="n"/>
      <c r="AZ199" s="4" t="n"/>
      <c r="BA199" s="4" t="n"/>
      <c r="BB199" s="4" t="n"/>
      <c r="BC199" s="4" t="n"/>
      <c r="BD199" s="4" t="n"/>
      <c r="BE199" s="4" t="n"/>
      <c r="BF199" s="4" t="n"/>
      <c r="BG199" s="4" t="n"/>
      <c r="BH199" s="4" t="n"/>
      <c r="BI199" s="4" t="n"/>
      <c r="BJ199" s="4" t="n"/>
      <c r="BK199" s="4" t="n"/>
      <c r="BL199" s="4" t="n"/>
      <c r="BM199" s="4" t="n"/>
      <c r="BN199" s="4" t="n"/>
      <c r="BO199" s="4" t="n"/>
      <c r="BP199" s="4" t="n"/>
      <c r="BQ199" s="4" t="n"/>
      <c r="BR199" s="4" t="n"/>
      <c r="BS199" s="4" t="n"/>
      <c r="BT199" s="4" t="n"/>
      <c r="BU199" s="4" t="n"/>
      <c r="BV199" s="4" t="n"/>
      <c r="BW199" s="4" t="n"/>
      <c r="BX199" s="4" t="n"/>
      <c r="BY199" s="4" t="n"/>
      <c r="BZ199" s="4" t="n"/>
      <c r="CA199" s="4" t="n"/>
      <c r="CB199" s="4" t="n"/>
      <c r="CC199" s="4" t="n"/>
      <c r="CD199" s="4" t="n"/>
      <c r="CE199" s="4" t="n"/>
      <c r="CF199" s="4" t="n"/>
      <c r="CG199" s="4" t="n"/>
      <c r="CH199" s="4" t="n"/>
      <c r="CI199" s="4" t="n"/>
      <c r="CJ199" s="4" t="n"/>
      <c r="CK199" s="4" t="n"/>
      <c r="CL199" s="4" t="n"/>
      <c r="CM199" s="4" t="n"/>
      <c r="CN199" s="4" t="n"/>
      <c r="CO199" s="4" t="n"/>
      <c r="CP199" s="4" t="n"/>
      <c r="CQ199" s="4" t="n"/>
      <c r="CR199" s="4" t="n"/>
      <c r="CS199" s="4" t="n"/>
      <c r="CT199" s="4" t="n"/>
      <c r="CU199" s="4" t="n"/>
      <c r="CV199" s="4" t="n"/>
      <c r="CW199" s="4" t="n"/>
      <c r="CX199" s="4" t="n"/>
      <c r="CY199" s="4" t="n"/>
      <c r="CZ199" s="4" t="n"/>
      <c r="DA199" s="4" t="n"/>
      <c r="DB199" s="4" t="n"/>
      <c r="DC199" s="4" t="n"/>
      <c r="DD199" s="4" t="n"/>
      <c r="DE199" s="4" t="n"/>
      <c r="DF199" s="4" t="n"/>
      <c r="DG199" s="4" t="n"/>
      <c r="DH199" s="4" t="n"/>
      <c r="DI199" s="4" t="n"/>
      <c r="DJ199" s="4" t="n"/>
      <c r="DK199" s="4" t="n"/>
      <c r="DL199" s="4" t="n"/>
      <c r="DM199" s="4" t="n"/>
      <c r="DN199" s="4" t="n"/>
      <c r="DO199" s="4" t="n"/>
      <c r="DP199" s="4" t="n"/>
      <c r="DQ199" s="4" t="n"/>
      <c r="DR199" s="4" t="n"/>
      <c r="DS199" s="4" t="n"/>
      <c r="DT199" s="4" t="n"/>
      <c r="DU199" s="4" t="n"/>
      <c r="DV199" s="4" t="n"/>
      <c r="DW199" s="4" t="n"/>
      <c r="DX199" s="4" t="n"/>
      <c r="DY199" s="4" t="n"/>
      <c r="DZ199" s="4" t="n"/>
      <c r="EA199" s="4" t="n"/>
      <c r="EB199" s="4" t="n"/>
      <c r="EC199" s="4" t="n"/>
      <c r="ED199" s="4" t="n"/>
      <c r="EE199" s="4" t="n"/>
      <c r="EF199" s="4" t="n"/>
      <c r="EG199" s="4" t="n"/>
      <c r="EH199" s="4" t="n"/>
      <c r="EI199" s="4" t="n"/>
      <c r="EJ199" s="4" t="n"/>
      <c r="EK199" s="4" t="n"/>
      <c r="EL199" s="4" t="n"/>
      <c r="EM199" s="4" t="n"/>
      <c r="EN199" s="4" t="n"/>
    </row>
    <row r="200" hidden="1" customFormat="1" s="6">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c r="AD200" s="4" t="n"/>
      <c r="AE200" s="4" t="n"/>
      <c r="AF200" s="4" t="n"/>
      <c r="AG200" s="4" t="n"/>
      <c r="AH200" s="4" t="n"/>
      <c r="AI200" s="4" t="n"/>
      <c r="AJ200" s="4" t="n"/>
      <c r="AK200" s="4" t="n"/>
      <c r="AL200" s="4" t="n"/>
      <c r="AM200" s="4" t="n"/>
      <c r="AN200" s="4" t="n"/>
      <c r="AO200" s="4" t="n"/>
      <c r="AP200" s="4" t="n"/>
      <c r="AQ200" s="4" t="n"/>
      <c r="AR200" s="4" t="n"/>
      <c r="AS200" s="4" t="n"/>
      <c r="AT200" s="4" t="n"/>
      <c r="AU200" s="4" t="n"/>
      <c r="AV200" s="4" t="n"/>
      <c r="AW200" s="4" t="n"/>
      <c r="AX200" s="4" t="n"/>
      <c r="AY200" s="4" t="n"/>
      <c r="AZ200" s="4" t="n"/>
      <c r="BA200" s="4" t="n"/>
      <c r="BB200" s="4" t="n"/>
      <c r="BC200" s="4" t="n"/>
      <c r="BD200" s="4" t="n"/>
      <c r="BE200" s="4" t="n"/>
      <c r="BF200" s="4" t="n"/>
      <c r="BG200" s="4" t="n"/>
      <c r="BH200" s="4" t="n"/>
      <c r="BI200" s="4" t="n"/>
      <c r="BJ200" s="4" t="n"/>
      <c r="BK200" s="4" t="n"/>
      <c r="BL200" s="4" t="n"/>
      <c r="BM200" s="4" t="n"/>
      <c r="BN200" s="4" t="n"/>
      <c r="BO200" s="4" t="n"/>
      <c r="BP200" s="4" t="n"/>
      <c r="BQ200" s="4" t="n"/>
      <c r="BR200" s="4" t="n"/>
      <c r="BS200" s="4" t="n"/>
      <c r="BT200" s="4" t="n"/>
      <c r="BU200" s="4" t="n"/>
      <c r="BV200" s="4" t="n"/>
      <c r="BW200" s="4" t="n"/>
      <c r="BX200" s="4" t="n"/>
      <c r="BY200" s="4" t="n"/>
      <c r="BZ200" s="4" t="n"/>
      <c r="CA200" s="4" t="n"/>
      <c r="CB200" s="4" t="n"/>
      <c r="CC200" s="4" t="n"/>
      <c r="CD200" s="4" t="n"/>
      <c r="CE200" s="4" t="n"/>
      <c r="CF200" s="4" t="n"/>
      <c r="CG200" s="4" t="n"/>
      <c r="CH200" s="4" t="n"/>
      <c r="CI200" s="4" t="n"/>
      <c r="CJ200" s="4" t="n"/>
      <c r="CK200" s="4" t="n"/>
      <c r="CL200" s="4" t="n"/>
      <c r="CM200" s="4" t="n"/>
      <c r="CN200" s="4" t="n"/>
      <c r="CO200" s="4" t="n"/>
      <c r="CP200" s="4" t="n"/>
      <c r="CQ200" s="4" t="n"/>
      <c r="CR200" s="4" t="n"/>
      <c r="CS200" s="4" t="n"/>
      <c r="CT200" s="4" t="n"/>
      <c r="CU200" s="4" t="n"/>
      <c r="CV200" s="4" t="n"/>
      <c r="CW200" s="4" t="n"/>
      <c r="CX200" s="4" t="n"/>
      <c r="CY200" s="4" t="n"/>
      <c r="CZ200" s="4" t="n"/>
      <c r="DA200" s="4" t="n"/>
      <c r="DB200" s="4" t="n"/>
      <c r="DC200" s="4" t="n"/>
      <c r="DD200" s="4" t="n"/>
      <c r="DE200" s="4" t="n"/>
      <c r="DF200" s="4" t="n"/>
      <c r="DG200" s="4" t="n"/>
      <c r="DH200" s="4" t="n"/>
      <c r="DI200" s="4" t="n"/>
      <c r="DJ200" s="4" t="n"/>
      <c r="DK200" s="4" t="n"/>
      <c r="DL200" s="4" t="n"/>
      <c r="DM200" s="4" t="n"/>
      <c r="DN200" s="4" t="n"/>
      <c r="DO200" s="4" t="n"/>
      <c r="DP200" s="4" t="n"/>
      <c r="DQ200" s="4" t="n"/>
      <c r="DR200" s="4" t="n"/>
      <c r="DS200" s="4" t="n"/>
      <c r="DT200" s="4" t="n"/>
      <c r="DU200" s="4" t="n"/>
      <c r="DV200" s="4" t="n"/>
      <c r="DW200" s="4" t="n"/>
      <c r="DX200" s="4" t="n"/>
      <c r="DY200" s="4" t="n"/>
      <c r="DZ200" s="4" t="n"/>
      <c r="EA200" s="4" t="n"/>
      <c r="EB200" s="4" t="n"/>
      <c r="EC200" s="4" t="n"/>
      <c r="ED200" s="4" t="n"/>
      <c r="EE200" s="4" t="n"/>
      <c r="EF200" s="4" t="n"/>
      <c r="EG200" s="4" t="n"/>
      <c r="EH200" s="4" t="n"/>
      <c r="EI200" s="4" t="n"/>
      <c r="EJ200" s="4" t="n"/>
      <c r="EK200" s="4" t="n"/>
      <c r="EL200" s="4" t="n"/>
      <c r="EM200" s="4" t="n"/>
      <c r="EN200" s="4" t="n"/>
    </row>
    <row r="201" hidden="1" customFormat="1" s="6">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c r="AD201" s="4" t="n"/>
      <c r="AE201" s="4" t="n"/>
      <c r="AF201" s="4" t="n"/>
      <c r="AG201" s="4" t="n"/>
      <c r="AH201" s="4" t="n"/>
      <c r="AI201" s="4" t="n"/>
      <c r="AJ201" s="4" t="n"/>
      <c r="AK201" s="4" t="n"/>
      <c r="AL201" s="4" t="n"/>
      <c r="AM201" s="4" t="n"/>
      <c r="AN201" s="4" t="n"/>
      <c r="AO201" s="4" t="n"/>
      <c r="AP201" s="4" t="n"/>
      <c r="AQ201" s="4" t="n"/>
      <c r="AR201" s="4" t="n"/>
      <c r="AS201" s="4" t="n"/>
      <c r="AT201" s="4" t="n"/>
      <c r="AU201" s="4" t="n"/>
      <c r="AV201" s="4" t="n"/>
      <c r="AW201" s="4" t="n"/>
      <c r="AX201" s="4" t="n"/>
      <c r="AY201" s="4" t="n"/>
      <c r="AZ201" s="4" t="n"/>
      <c r="BA201" s="4" t="n"/>
      <c r="BB201" s="4" t="n"/>
      <c r="BC201" s="4" t="n"/>
      <c r="BD201" s="4" t="n"/>
      <c r="BE201" s="4" t="n"/>
      <c r="BF201" s="4" t="n"/>
      <c r="BG201" s="4" t="n"/>
      <c r="BH201" s="4" t="n"/>
      <c r="BI201" s="4" t="n"/>
      <c r="BJ201" s="4" t="n"/>
      <c r="BK201" s="4" t="n"/>
      <c r="BL201" s="4" t="n"/>
      <c r="BM201" s="4" t="n"/>
      <c r="BN201" s="4" t="n"/>
      <c r="BO201" s="4" t="n"/>
      <c r="BP201" s="4" t="n"/>
      <c r="BQ201" s="4" t="n"/>
      <c r="BR201" s="4" t="n"/>
      <c r="BS201" s="4" t="n"/>
      <c r="BT201" s="4" t="n"/>
      <c r="BU201" s="4" t="n"/>
      <c r="BV201" s="4" t="n"/>
      <c r="BW201" s="4" t="n"/>
      <c r="BX201" s="4" t="n"/>
      <c r="BY201" s="4" t="n"/>
      <c r="BZ201" s="4" t="n"/>
      <c r="CA201" s="4" t="n"/>
      <c r="CB201" s="4" t="n"/>
      <c r="CC201" s="4" t="n"/>
      <c r="CD201" s="4" t="n"/>
      <c r="CE201" s="4" t="n"/>
      <c r="CF201" s="4" t="n"/>
      <c r="CG201" s="4" t="n"/>
      <c r="CH201" s="4" t="n"/>
      <c r="CI201" s="4" t="n"/>
      <c r="CJ201" s="4" t="n"/>
      <c r="CK201" s="4" t="n"/>
      <c r="CL201" s="4" t="n"/>
      <c r="CM201" s="4" t="n"/>
      <c r="CN201" s="4" t="n"/>
      <c r="CO201" s="4" t="n"/>
      <c r="CP201" s="4" t="n"/>
      <c r="CQ201" s="4" t="n"/>
      <c r="CR201" s="4" t="n"/>
      <c r="CS201" s="4" t="n"/>
      <c r="CT201" s="4" t="n"/>
      <c r="CU201" s="4" t="n"/>
      <c r="CV201" s="4" t="n"/>
      <c r="CW201" s="4" t="n"/>
      <c r="CX201" s="4" t="n"/>
      <c r="CY201" s="4" t="n"/>
      <c r="CZ201" s="4" t="n"/>
      <c r="DA201" s="4" t="n"/>
      <c r="DB201" s="4" t="n"/>
      <c r="DC201" s="4" t="n"/>
      <c r="DD201" s="4" t="n"/>
      <c r="DE201" s="4" t="n"/>
      <c r="DF201" s="4" t="n"/>
      <c r="DG201" s="4" t="n"/>
      <c r="DH201" s="4" t="n"/>
      <c r="DI201" s="4" t="n"/>
      <c r="DJ201" s="4" t="n"/>
      <c r="DK201" s="4" t="n"/>
      <c r="DL201" s="4" t="n"/>
      <c r="DM201" s="4" t="n"/>
      <c r="DN201" s="4" t="n"/>
      <c r="DO201" s="4" t="n"/>
      <c r="DP201" s="4" t="n"/>
      <c r="DQ201" s="4" t="n"/>
      <c r="DR201" s="4" t="n"/>
      <c r="DS201" s="4" t="n"/>
      <c r="DT201" s="4" t="n"/>
      <c r="DU201" s="4" t="n"/>
      <c r="DV201" s="4" t="n"/>
      <c r="DW201" s="4" t="n"/>
      <c r="DX201" s="4" t="n"/>
      <c r="DY201" s="4" t="n"/>
      <c r="DZ201" s="4" t="n"/>
      <c r="EA201" s="4" t="n"/>
      <c r="EB201" s="4" t="n"/>
      <c r="EC201" s="4" t="n"/>
      <c r="ED201" s="4" t="n"/>
      <c r="EE201" s="4" t="n"/>
      <c r="EF201" s="4" t="n"/>
      <c r="EG201" s="4" t="n"/>
      <c r="EH201" s="4" t="n"/>
      <c r="EI201" s="4" t="n"/>
      <c r="EJ201" s="4" t="n"/>
      <c r="EK201" s="4" t="n"/>
      <c r="EL201" s="4" t="n"/>
      <c r="EM201" s="4" t="n"/>
      <c r="EN201" s="4" t="n"/>
    </row>
    <row r="202" hidden="1" customFormat="1" s="6">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c r="AD202" s="4" t="n"/>
      <c r="AE202" s="4" t="n"/>
      <c r="AF202" s="4" t="n"/>
      <c r="AG202" s="4" t="n"/>
      <c r="AH202" s="4" t="n"/>
      <c r="AI202" s="4" t="n"/>
      <c r="AJ202" s="4" t="n"/>
      <c r="AK202" s="4" t="n"/>
      <c r="AL202" s="4" t="n"/>
      <c r="AM202" s="4" t="n"/>
      <c r="AN202" s="4" t="n"/>
      <c r="AO202" s="4" t="n"/>
      <c r="AP202" s="4" t="n"/>
      <c r="AQ202" s="4" t="n"/>
      <c r="AR202" s="4" t="n"/>
      <c r="AS202" s="4" t="n"/>
      <c r="AT202" s="4" t="n"/>
      <c r="AU202" s="4" t="n"/>
      <c r="AV202" s="4" t="n"/>
      <c r="AW202" s="4" t="n"/>
      <c r="AX202" s="4" t="n"/>
      <c r="AY202" s="4" t="n"/>
      <c r="AZ202" s="4" t="n"/>
      <c r="BA202" s="4" t="n"/>
      <c r="BB202" s="4" t="n"/>
      <c r="BC202" s="4" t="n"/>
      <c r="BD202" s="4" t="n"/>
      <c r="BE202" s="4" t="n"/>
      <c r="BF202" s="4" t="n"/>
      <c r="BG202" s="4" t="n"/>
      <c r="BH202" s="4" t="n"/>
      <c r="BI202" s="4" t="n"/>
      <c r="BJ202" s="4" t="n"/>
      <c r="BK202" s="4" t="n"/>
      <c r="BL202" s="4" t="n"/>
      <c r="BM202" s="4" t="n"/>
      <c r="BN202" s="4" t="n"/>
      <c r="BO202" s="4" t="n"/>
      <c r="BP202" s="4" t="n"/>
      <c r="BQ202" s="4" t="n"/>
      <c r="BR202" s="4" t="n"/>
      <c r="BS202" s="4" t="n"/>
      <c r="BT202" s="4" t="n"/>
      <c r="BU202" s="4" t="n"/>
      <c r="BV202" s="4" t="n"/>
      <c r="BW202" s="4" t="n"/>
      <c r="BX202" s="4" t="n"/>
      <c r="BY202" s="4" t="n"/>
      <c r="BZ202" s="4" t="n"/>
      <c r="CA202" s="4" t="n"/>
      <c r="CB202" s="4" t="n"/>
      <c r="CC202" s="4" t="n"/>
      <c r="CD202" s="4" t="n"/>
      <c r="CE202" s="4" t="n"/>
      <c r="CF202" s="4" t="n"/>
      <c r="CG202" s="4" t="n"/>
      <c r="CH202" s="4" t="n"/>
      <c r="CI202" s="4" t="n"/>
      <c r="CJ202" s="4" t="n"/>
      <c r="CK202" s="4" t="n"/>
      <c r="CL202" s="4" t="n"/>
      <c r="CM202" s="4" t="n"/>
      <c r="CN202" s="4" t="n"/>
      <c r="CO202" s="4" t="n"/>
      <c r="CP202" s="4" t="n"/>
      <c r="CQ202" s="4" t="n"/>
      <c r="CR202" s="4" t="n"/>
      <c r="CS202" s="4" t="n"/>
      <c r="CT202" s="4" t="n"/>
      <c r="CU202" s="4" t="n"/>
      <c r="CV202" s="4" t="n"/>
      <c r="CW202" s="4" t="n"/>
      <c r="CX202" s="4" t="n"/>
      <c r="CY202" s="4" t="n"/>
      <c r="CZ202" s="4" t="n"/>
      <c r="DA202" s="4" t="n"/>
      <c r="DB202" s="4" t="n"/>
      <c r="DC202" s="4" t="n"/>
      <c r="DD202" s="4" t="n"/>
      <c r="DE202" s="4" t="n"/>
      <c r="DF202" s="4" t="n"/>
      <c r="DG202" s="4" t="n"/>
      <c r="DH202" s="4" t="n"/>
      <c r="DI202" s="4" t="n"/>
      <c r="DJ202" s="4" t="n"/>
      <c r="DK202" s="4" t="n"/>
      <c r="DL202" s="4" t="n"/>
      <c r="DM202" s="4" t="n"/>
      <c r="DN202" s="4" t="n"/>
      <c r="DO202" s="4" t="n"/>
      <c r="DP202" s="4" t="n"/>
      <c r="DQ202" s="4" t="n"/>
      <c r="DR202" s="4" t="n"/>
      <c r="DS202" s="4" t="n"/>
      <c r="DT202" s="4" t="n"/>
      <c r="DU202" s="4" t="n"/>
      <c r="DV202" s="4" t="n"/>
      <c r="DW202" s="4" t="n"/>
      <c r="DX202" s="4" t="n"/>
      <c r="DY202" s="4" t="n"/>
      <c r="DZ202" s="4" t="n"/>
      <c r="EA202" s="4" t="n"/>
      <c r="EB202" s="4" t="n"/>
      <c r="EC202" s="4" t="n"/>
      <c r="ED202" s="4" t="n"/>
      <c r="EE202" s="4" t="n"/>
      <c r="EF202" s="4" t="n"/>
      <c r="EG202" s="4" t="n"/>
      <c r="EH202" s="4" t="n"/>
      <c r="EI202" s="4" t="n"/>
      <c r="EJ202" s="4" t="n"/>
      <c r="EK202" s="4" t="n"/>
      <c r="EL202" s="4" t="n"/>
      <c r="EM202" s="4" t="n"/>
      <c r="EN202" s="4" t="n"/>
    </row>
    <row r="203" hidden="1" customFormat="1" s="6">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c r="AC203" s="4" t="n"/>
      <c r="AD203" s="4" t="n"/>
      <c r="AE203" s="4" t="n"/>
      <c r="AF203" s="4" t="n"/>
      <c r="AG203" s="4" t="n"/>
      <c r="AH203" s="4" t="n"/>
      <c r="AI203" s="4" t="n"/>
      <c r="AJ203" s="4" t="n"/>
      <c r="AK203" s="4" t="n"/>
      <c r="AL203" s="4" t="n"/>
      <c r="AM203" s="4" t="n"/>
      <c r="AN203" s="4" t="n"/>
      <c r="AO203" s="4" t="n"/>
      <c r="AP203" s="4" t="n"/>
      <c r="AQ203" s="4" t="n"/>
      <c r="AR203" s="4" t="n"/>
      <c r="AS203" s="4" t="n"/>
      <c r="AT203" s="4" t="n"/>
      <c r="AU203" s="4" t="n"/>
      <c r="AV203" s="4" t="n"/>
      <c r="AW203" s="4" t="n"/>
      <c r="AX203" s="4" t="n"/>
      <c r="AY203" s="4" t="n"/>
      <c r="AZ203" s="4" t="n"/>
      <c r="BA203" s="4" t="n"/>
      <c r="BB203" s="4" t="n"/>
      <c r="BC203" s="4" t="n"/>
      <c r="BD203" s="4" t="n"/>
      <c r="BE203" s="4" t="n"/>
      <c r="BF203" s="4" t="n"/>
      <c r="BG203" s="4" t="n"/>
      <c r="BH203" s="4" t="n"/>
      <c r="BI203" s="4" t="n"/>
      <c r="BJ203" s="4" t="n"/>
      <c r="BK203" s="4" t="n"/>
      <c r="BL203" s="4" t="n"/>
      <c r="BM203" s="4" t="n"/>
      <c r="BN203" s="4" t="n"/>
      <c r="BO203" s="4" t="n"/>
      <c r="BP203" s="4" t="n"/>
      <c r="BQ203" s="4" t="n"/>
      <c r="BR203" s="4" t="n"/>
      <c r="BS203" s="4" t="n"/>
      <c r="BT203" s="4" t="n"/>
      <c r="BU203" s="4" t="n"/>
      <c r="BV203" s="4" t="n"/>
      <c r="BW203" s="4" t="n"/>
      <c r="BX203" s="4" t="n"/>
      <c r="BY203" s="4" t="n"/>
      <c r="BZ203" s="4" t="n"/>
      <c r="CA203" s="4" t="n"/>
      <c r="CB203" s="4" t="n"/>
      <c r="CC203" s="4" t="n"/>
      <c r="CD203" s="4" t="n"/>
      <c r="CE203" s="4" t="n"/>
      <c r="CF203" s="4" t="n"/>
      <c r="CG203" s="4" t="n"/>
      <c r="CH203" s="4" t="n"/>
      <c r="CI203" s="4" t="n"/>
      <c r="CJ203" s="4" t="n"/>
      <c r="CK203" s="4" t="n"/>
      <c r="CL203" s="4" t="n"/>
      <c r="CM203" s="4" t="n"/>
      <c r="CN203" s="4" t="n"/>
      <c r="CO203" s="4" t="n"/>
      <c r="CP203" s="4" t="n"/>
      <c r="CQ203" s="4" t="n"/>
      <c r="CR203" s="4" t="n"/>
      <c r="CS203" s="4" t="n"/>
      <c r="CT203" s="4" t="n"/>
      <c r="CU203" s="4" t="n"/>
      <c r="CV203" s="4" t="n"/>
      <c r="CW203" s="4" t="n"/>
      <c r="CX203" s="4" t="n"/>
      <c r="CY203" s="4" t="n"/>
      <c r="CZ203" s="4" t="n"/>
      <c r="DA203" s="4" t="n"/>
      <c r="DB203" s="4" t="n"/>
      <c r="DC203" s="4" t="n"/>
      <c r="DD203" s="4" t="n"/>
      <c r="DE203" s="4" t="n"/>
      <c r="DF203" s="4" t="n"/>
      <c r="DG203" s="4" t="n"/>
      <c r="DH203" s="4" t="n"/>
      <c r="DI203" s="4" t="n"/>
      <c r="DJ203" s="4" t="n"/>
      <c r="DK203" s="4" t="n"/>
      <c r="DL203" s="4" t="n"/>
      <c r="DM203" s="4" t="n"/>
      <c r="DN203" s="4" t="n"/>
      <c r="DO203" s="4" t="n"/>
      <c r="DP203" s="4" t="n"/>
      <c r="DQ203" s="4" t="n"/>
      <c r="DR203" s="4" t="n"/>
      <c r="DS203" s="4" t="n"/>
      <c r="DT203" s="4" t="n"/>
      <c r="DU203" s="4" t="n"/>
      <c r="DV203" s="4" t="n"/>
      <c r="DW203" s="4" t="n"/>
      <c r="DX203" s="4" t="n"/>
      <c r="DY203" s="4" t="n"/>
      <c r="DZ203" s="4" t="n"/>
      <c r="EA203" s="4" t="n"/>
      <c r="EB203" s="4" t="n"/>
      <c r="EC203" s="4" t="n"/>
      <c r="ED203" s="4" t="n"/>
      <c r="EE203" s="4" t="n"/>
      <c r="EF203" s="4" t="n"/>
      <c r="EG203" s="4" t="n"/>
      <c r="EH203" s="4" t="n"/>
      <c r="EI203" s="4" t="n"/>
      <c r="EJ203" s="4" t="n"/>
      <c r="EK203" s="4" t="n"/>
      <c r="EL203" s="4" t="n"/>
      <c r="EM203" s="4" t="n"/>
      <c r="EN203" s="4" t="n"/>
    </row>
    <row r="204" hidden="1" customFormat="1" s="6">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c r="AC204" s="4" t="n"/>
      <c r="AD204" s="4" t="n"/>
      <c r="AE204" s="4" t="n"/>
      <c r="AF204" s="4" t="n"/>
      <c r="AG204" s="4" t="n"/>
      <c r="AH204" s="4" t="n"/>
      <c r="AI204" s="4" t="n"/>
      <c r="AJ204" s="4" t="n"/>
      <c r="AK204" s="4" t="n"/>
      <c r="AL204" s="4" t="n"/>
      <c r="AM204" s="4" t="n"/>
      <c r="AN204" s="4" t="n"/>
      <c r="AO204" s="4" t="n"/>
      <c r="AP204" s="4" t="n"/>
      <c r="AQ204" s="4" t="n"/>
      <c r="AR204" s="4" t="n"/>
      <c r="AS204" s="4" t="n"/>
      <c r="AT204" s="4" t="n"/>
      <c r="AU204" s="4" t="n"/>
      <c r="AV204" s="4" t="n"/>
      <c r="AW204" s="4" t="n"/>
      <c r="AX204" s="4" t="n"/>
      <c r="AY204" s="4" t="n"/>
      <c r="AZ204" s="4" t="n"/>
      <c r="BA204" s="4" t="n"/>
      <c r="BB204" s="4" t="n"/>
      <c r="BC204" s="4" t="n"/>
      <c r="BD204" s="4" t="n"/>
      <c r="BE204" s="4" t="n"/>
      <c r="BF204" s="4" t="n"/>
      <c r="BG204" s="4" t="n"/>
      <c r="BH204" s="4" t="n"/>
      <c r="BI204" s="4" t="n"/>
      <c r="BJ204" s="4" t="n"/>
      <c r="BK204" s="4" t="n"/>
      <c r="BL204" s="4" t="n"/>
      <c r="BM204" s="4" t="n"/>
      <c r="BN204" s="4" t="n"/>
      <c r="BO204" s="4" t="n"/>
      <c r="BP204" s="4" t="n"/>
      <c r="BQ204" s="4" t="n"/>
      <c r="BR204" s="4" t="n"/>
      <c r="BS204" s="4" t="n"/>
      <c r="BT204" s="4" t="n"/>
      <c r="BU204" s="4" t="n"/>
      <c r="BV204" s="4" t="n"/>
      <c r="BW204" s="4" t="n"/>
      <c r="BX204" s="4" t="n"/>
      <c r="BY204" s="4" t="n"/>
      <c r="BZ204" s="4" t="n"/>
      <c r="CA204" s="4" t="n"/>
      <c r="CB204" s="4" t="n"/>
      <c r="CC204" s="4" t="n"/>
      <c r="CD204" s="4" t="n"/>
      <c r="CE204" s="4" t="n"/>
      <c r="CF204" s="4" t="n"/>
      <c r="CG204" s="4" t="n"/>
      <c r="CH204" s="4" t="n"/>
      <c r="CI204" s="4" t="n"/>
      <c r="CJ204" s="4" t="n"/>
      <c r="CK204" s="4" t="n"/>
      <c r="CL204" s="4" t="n"/>
      <c r="CM204" s="4" t="n"/>
      <c r="CN204" s="4" t="n"/>
      <c r="CO204" s="4" t="n"/>
      <c r="CP204" s="4" t="n"/>
      <c r="CQ204" s="4" t="n"/>
      <c r="CR204" s="4" t="n"/>
      <c r="CS204" s="4" t="n"/>
      <c r="CT204" s="4" t="n"/>
      <c r="CU204" s="4" t="n"/>
      <c r="CV204" s="4" t="n"/>
      <c r="CW204" s="4" t="n"/>
      <c r="CX204" s="4" t="n"/>
      <c r="CY204" s="4" t="n"/>
      <c r="CZ204" s="4" t="n"/>
      <c r="DA204" s="4" t="n"/>
      <c r="DB204" s="4" t="n"/>
      <c r="DC204" s="4" t="n"/>
      <c r="DD204" s="4" t="n"/>
      <c r="DE204" s="4" t="n"/>
      <c r="DF204" s="4" t="n"/>
      <c r="DG204" s="4" t="n"/>
      <c r="DH204" s="4" t="n"/>
      <c r="DI204" s="4" t="n"/>
      <c r="DJ204" s="4" t="n"/>
      <c r="DK204" s="4" t="n"/>
      <c r="DL204" s="4" t="n"/>
      <c r="DM204" s="4" t="n"/>
      <c r="DN204" s="4" t="n"/>
      <c r="DO204" s="4" t="n"/>
      <c r="DP204" s="4" t="n"/>
      <c r="DQ204" s="4" t="n"/>
      <c r="DR204" s="4" t="n"/>
      <c r="DS204" s="4" t="n"/>
      <c r="DT204" s="4" t="n"/>
      <c r="DU204" s="4" t="n"/>
      <c r="DV204" s="4" t="n"/>
      <c r="DW204" s="4" t="n"/>
      <c r="DX204" s="4" t="n"/>
      <c r="DY204" s="4" t="n"/>
      <c r="DZ204" s="4" t="n"/>
      <c r="EA204" s="4" t="n"/>
      <c r="EB204" s="4" t="n"/>
      <c r="EC204" s="4" t="n"/>
      <c r="ED204" s="4" t="n"/>
      <c r="EE204" s="4" t="n"/>
      <c r="EF204" s="4" t="n"/>
      <c r="EG204" s="4" t="n"/>
      <c r="EH204" s="4" t="n"/>
      <c r="EI204" s="4" t="n"/>
      <c r="EJ204" s="4" t="n"/>
      <c r="EK204" s="4" t="n"/>
      <c r="EL204" s="4" t="n"/>
      <c r="EM204" s="4" t="n"/>
      <c r="EN204" s="4" t="n"/>
    </row>
    <row r="205" hidden="1" customFormat="1" s="6">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c r="AC205" s="4" t="n"/>
      <c r="AD205" s="4" t="n"/>
      <c r="AE205" s="4" t="n"/>
      <c r="AF205" s="4" t="n"/>
      <c r="AG205" s="4" t="n"/>
      <c r="AH205" s="4" t="n"/>
      <c r="AI205" s="4" t="n"/>
      <c r="AJ205" s="4" t="n"/>
      <c r="AK205" s="4" t="n"/>
      <c r="AL205" s="4" t="n"/>
      <c r="AM205" s="4" t="n"/>
      <c r="AN205" s="4" t="n"/>
      <c r="AO205" s="4" t="n"/>
      <c r="AP205" s="4" t="n"/>
      <c r="AQ205" s="4" t="n"/>
      <c r="AR205" s="4" t="n"/>
      <c r="AS205" s="4" t="n"/>
      <c r="AT205" s="4" t="n"/>
      <c r="AU205" s="4" t="n"/>
      <c r="AV205" s="4" t="n"/>
      <c r="AW205" s="4" t="n"/>
      <c r="AX205" s="4" t="n"/>
      <c r="AY205" s="4" t="n"/>
      <c r="AZ205" s="4" t="n"/>
      <c r="BA205" s="4" t="n"/>
      <c r="BB205" s="4" t="n"/>
      <c r="BC205" s="4" t="n"/>
      <c r="BD205" s="4" t="n"/>
      <c r="BE205" s="4" t="n"/>
      <c r="BF205" s="4" t="n"/>
      <c r="BG205" s="4" t="n"/>
      <c r="BH205" s="4" t="n"/>
      <c r="BI205" s="4" t="n"/>
      <c r="BJ205" s="4" t="n"/>
      <c r="BK205" s="4" t="n"/>
      <c r="BL205" s="4" t="n"/>
      <c r="BM205" s="4" t="n"/>
      <c r="BN205" s="4" t="n"/>
      <c r="BO205" s="4" t="n"/>
      <c r="BP205" s="4" t="n"/>
      <c r="BQ205" s="4" t="n"/>
      <c r="BR205" s="4" t="n"/>
      <c r="BS205" s="4" t="n"/>
      <c r="BT205" s="4" t="n"/>
      <c r="BU205" s="4" t="n"/>
      <c r="BV205" s="4" t="n"/>
      <c r="BW205" s="4" t="n"/>
      <c r="BX205" s="4" t="n"/>
      <c r="BY205" s="4" t="n"/>
      <c r="BZ205" s="4" t="n"/>
      <c r="CA205" s="4" t="n"/>
      <c r="CB205" s="4" t="n"/>
      <c r="CC205" s="4" t="n"/>
      <c r="CD205" s="4" t="n"/>
      <c r="CE205" s="4" t="n"/>
      <c r="CF205" s="4" t="n"/>
      <c r="CG205" s="4" t="n"/>
      <c r="CH205" s="4" t="n"/>
      <c r="CI205" s="4" t="n"/>
      <c r="CJ205" s="4" t="n"/>
      <c r="CK205" s="4" t="n"/>
      <c r="CL205" s="4" t="n"/>
      <c r="CM205" s="4" t="n"/>
      <c r="CN205" s="4" t="n"/>
      <c r="CO205" s="4" t="n"/>
      <c r="CP205" s="4" t="n"/>
      <c r="CQ205" s="4" t="n"/>
      <c r="CR205" s="4" t="n"/>
      <c r="CS205" s="4" t="n"/>
      <c r="CT205" s="4" t="n"/>
      <c r="CU205" s="4" t="n"/>
      <c r="CV205" s="4" t="n"/>
      <c r="CW205" s="4" t="n"/>
      <c r="CX205" s="4" t="n"/>
      <c r="CY205" s="4" t="n"/>
      <c r="CZ205" s="4" t="n"/>
      <c r="DA205" s="4" t="n"/>
      <c r="DB205" s="4" t="n"/>
      <c r="DC205" s="4" t="n"/>
      <c r="DD205" s="4" t="n"/>
      <c r="DE205" s="4" t="n"/>
      <c r="DF205" s="4" t="n"/>
      <c r="DG205" s="4" t="n"/>
      <c r="DH205" s="4" t="n"/>
      <c r="DI205" s="4" t="n"/>
      <c r="DJ205" s="4" t="n"/>
      <c r="DK205" s="4" t="n"/>
      <c r="DL205" s="4" t="n"/>
      <c r="DM205" s="4" t="n"/>
      <c r="DN205" s="4" t="n"/>
      <c r="DO205" s="4" t="n"/>
      <c r="DP205" s="4" t="n"/>
      <c r="DQ205" s="4" t="n"/>
      <c r="DR205" s="4" t="n"/>
      <c r="DS205" s="4" t="n"/>
      <c r="DT205" s="4" t="n"/>
      <c r="DU205" s="4" t="n"/>
      <c r="DV205" s="4" t="n"/>
      <c r="DW205" s="4" t="n"/>
      <c r="DX205" s="4" t="n"/>
      <c r="DY205" s="4" t="n"/>
      <c r="DZ205" s="4" t="n"/>
      <c r="EA205" s="4" t="n"/>
      <c r="EB205" s="4" t="n"/>
      <c r="EC205" s="4" t="n"/>
      <c r="ED205" s="4" t="n"/>
      <c r="EE205" s="4" t="n"/>
      <c r="EF205" s="4" t="n"/>
      <c r="EG205" s="4" t="n"/>
      <c r="EH205" s="4" t="n"/>
      <c r="EI205" s="4" t="n"/>
      <c r="EJ205" s="4" t="n"/>
      <c r="EK205" s="4" t="n"/>
      <c r="EL205" s="4" t="n"/>
      <c r="EM205" s="4" t="n"/>
      <c r="EN205" s="4" t="n"/>
    </row>
    <row r="206" hidden="1" customFormat="1" s="6">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c r="AC206" s="4" t="n"/>
      <c r="AD206" s="4" t="n"/>
      <c r="AE206" s="4" t="n"/>
      <c r="AF206" s="4" t="n"/>
      <c r="AG206" s="4" t="n"/>
      <c r="AH206" s="4" t="n"/>
      <c r="AI206" s="4" t="n"/>
      <c r="AJ206" s="4" t="n"/>
      <c r="AK206" s="4" t="n"/>
      <c r="AL206" s="4" t="n"/>
      <c r="AM206" s="4" t="n"/>
      <c r="AN206" s="4" t="n"/>
      <c r="AO206" s="4" t="n"/>
      <c r="AP206" s="4" t="n"/>
      <c r="AQ206" s="4" t="n"/>
      <c r="AR206" s="4" t="n"/>
      <c r="AS206" s="4" t="n"/>
      <c r="AT206" s="4" t="n"/>
      <c r="AU206" s="4" t="n"/>
      <c r="AV206" s="4" t="n"/>
      <c r="AW206" s="4" t="n"/>
      <c r="AX206" s="4" t="n"/>
      <c r="AY206" s="4" t="n"/>
      <c r="AZ206" s="4" t="n"/>
      <c r="BA206" s="4" t="n"/>
      <c r="BB206" s="4" t="n"/>
      <c r="BC206" s="4" t="n"/>
      <c r="BD206" s="4" t="n"/>
      <c r="BE206" s="4" t="n"/>
      <c r="BF206" s="4" t="n"/>
      <c r="BG206" s="4" t="n"/>
      <c r="BH206" s="4" t="n"/>
      <c r="BI206" s="4" t="n"/>
      <c r="BJ206" s="4" t="n"/>
      <c r="BK206" s="4" t="n"/>
      <c r="BL206" s="4" t="n"/>
      <c r="BM206" s="4" t="n"/>
      <c r="BN206" s="4" t="n"/>
      <c r="BO206" s="4" t="n"/>
      <c r="BP206" s="4" t="n"/>
      <c r="BQ206" s="4" t="n"/>
      <c r="BR206" s="4" t="n"/>
      <c r="BS206" s="4" t="n"/>
      <c r="BT206" s="4" t="n"/>
      <c r="BU206" s="4" t="n"/>
      <c r="BV206" s="4" t="n"/>
      <c r="BW206" s="4" t="n"/>
      <c r="BX206" s="4" t="n"/>
      <c r="BY206" s="4" t="n"/>
      <c r="BZ206" s="4" t="n"/>
      <c r="CA206" s="4" t="n"/>
      <c r="CB206" s="4" t="n"/>
      <c r="CC206" s="4" t="n"/>
      <c r="CD206" s="4" t="n"/>
      <c r="CE206" s="4" t="n"/>
      <c r="CF206" s="4" t="n"/>
      <c r="CG206" s="4" t="n"/>
      <c r="CH206" s="4" t="n"/>
      <c r="CI206" s="4" t="n"/>
      <c r="CJ206" s="4" t="n"/>
      <c r="CK206" s="4" t="n"/>
      <c r="CL206" s="4" t="n"/>
      <c r="CM206" s="4" t="n"/>
      <c r="CN206" s="4" t="n"/>
      <c r="CO206" s="4" t="n"/>
      <c r="CP206" s="4" t="n"/>
      <c r="CQ206" s="4" t="n"/>
      <c r="CR206" s="4" t="n"/>
      <c r="CS206" s="4" t="n"/>
      <c r="CT206" s="4" t="n"/>
      <c r="CU206" s="4" t="n"/>
      <c r="CV206" s="4" t="n"/>
      <c r="CW206" s="4" t="n"/>
      <c r="CX206" s="4" t="n"/>
      <c r="CY206" s="4" t="n"/>
      <c r="CZ206" s="4" t="n"/>
      <c r="DA206" s="4" t="n"/>
      <c r="DB206" s="4" t="n"/>
      <c r="DC206" s="4" t="n"/>
      <c r="DD206" s="4" t="n"/>
      <c r="DE206" s="4" t="n"/>
      <c r="DF206" s="4" t="n"/>
      <c r="DG206" s="4" t="n"/>
      <c r="DH206" s="4" t="n"/>
      <c r="DI206" s="4" t="n"/>
      <c r="DJ206" s="4" t="n"/>
      <c r="DK206" s="4" t="n"/>
      <c r="DL206" s="4" t="n"/>
      <c r="DM206" s="4" t="n"/>
      <c r="DN206" s="4" t="n"/>
      <c r="DO206" s="4" t="n"/>
      <c r="DP206" s="4" t="n"/>
      <c r="DQ206" s="4" t="n"/>
      <c r="DR206" s="4" t="n"/>
      <c r="DS206" s="4" t="n"/>
      <c r="DT206" s="4" t="n"/>
      <c r="DU206" s="4" t="n"/>
      <c r="DV206" s="4" t="n"/>
      <c r="DW206" s="4" t="n"/>
      <c r="DX206" s="4" t="n"/>
      <c r="DY206" s="4" t="n"/>
      <c r="DZ206" s="4" t="n"/>
      <c r="EA206" s="4" t="n"/>
      <c r="EB206" s="4" t="n"/>
      <c r="EC206" s="4" t="n"/>
      <c r="ED206" s="4" t="n"/>
      <c r="EE206" s="4" t="n"/>
      <c r="EF206" s="4" t="n"/>
      <c r="EG206" s="4" t="n"/>
      <c r="EH206" s="4" t="n"/>
      <c r="EI206" s="4" t="n"/>
      <c r="EJ206" s="4" t="n"/>
      <c r="EK206" s="4" t="n"/>
      <c r="EL206" s="4" t="n"/>
      <c r="EM206" s="4" t="n"/>
      <c r="EN206" s="4" t="n"/>
    </row>
    <row r="207" hidden="1" customFormat="1" s="6">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c r="AC207" s="4" t="n"/>
      <c r="AD207" s="4" t="n"/>
      <c r="AE207" s="4" t="n"/>
      <c r="AF207" s="4" t="n"/>
      <c r="AG207" s="4" t="n"/>
      <c r="AH207" s="4" t="n"/>
      <c r="AI207" s="4" t="n"/>
      <c r="AJ207" s="4" t="n"/>
      <c r="AK207" s="4" t="n"/>
      <c r="AL207" s="4" t="n"/>
      <c r="AM207" s="4" t="n"/>
      <c r="AN207" s="4" t="n"/>
      <c r="AO207" s="4" t="n"/>
      <c r="AP207" s="4" t="n"/>
      <c r="AQ207" s="4" t="n"/>
      <c r="AR207" s="4" t="n"/>
      <c r="AS207" s="4" t="n"/>
      <c r="AT207" s="4" t="n"/>
      <c r="AU207" s="4" t="n"/>
      <c r="AV207" s="4" t="n"/>
      <c r="AW207" s="4" t="n"/>
      <c r="AX207" s="4" t="n"/>
      <c r="AY207" s="4" t="n"/>
      <c r="AZ207" s="4" t="n"/>
      <c r="BA207" s="4" t="n"/>
      <c r="BB207" s="4" t="n"/>
      <c r="BC207" s="4" t="n"/>
      <c r="BD207" s="4" t="n"/>
      <c r="BE207" s="4" t="n"/>
      <c r="BF207" s="4" t="n"/>
      <c r="BG207" s="4" t="n"/>
      <c r="BH207" s="4" t="n"/>
      <c r="BI207" s="4" t="n"/>
      <c r="BJ207" s="4" t="n"/>
      <c r="BK207" s="4" t="n"/>
      <c r="BL207" s="4" t="n"/>
      <c r="BM207" s="4" t="n"/>
      <c r="BN207" s="4" t="n"/>
      <c r="BO207" s="4" t="n"/>
      <c r="BP207" s="4" t="n"/>
      <c r="BQ207" s="4" t="n"/>
      <c r="BR207" s="4" t="n"/>
      <c r="BS207" s="4" t="n"/>
      <c r="BT207" s="4" t="n"/>
      <c r="BU207" s="4" t="n"/>
      <c r="BV207" s="4" t="n"/>
      <c r="BW207" s="4" t="n"/>
      <c r="BX207" s="4" t="n"/>
      <c r="BY207" s="4" t="n"/>
      <c r="BZ207" s="4" t="n"/>
      <c r="CA207" s="4" t="n"/>
      <c r="CB207" s="4" t="n"/>
      <c r="CC207" s="4" t="n"/>
      <c r="CD207" s="4" t="n"/>
      <c r="CE207" s="4" t="n"/>
      <c r="CF207" s="4" t="n"/>
      <c r="CG207" s="4" t="n"/>
      <c r="CH207" s="4" t="n"/>
      <c r="CI207" s="4" t="n"/>
      <c r="CJ207" s="4" t="n"/>
      <c r="CK207" s="4" t="n"/>
      <c r="CL207" s="4" t="n"/>
      <c r="CM207" s="4" t="n"/>
      <c r="CN207" s="4" t="n"/>
      <c r="CO207" s="4" t="n"/>
      <c r="CP207" s="4" t="n"/>
      <c r="CQ207" s="4" t="n"/>
      <c r="CR207" s="4" t="n"/>
      <c r="CS207" s="4" t="n"/>
      <c r="CT207" s="4" t="n"/>
      <c r="CU207" s="4" t="n"/>
      <c r="CV207" s="4" t="n"/>
      <c r="CW207" s="4" t="n"/>
      <c r="CX207" s="4" t="n"/>
      <c r="CY207" s="4" t="n"/>
      <c r="CZ207" s="4" t="n"/>
      <c r="DA207" s="4" t="n"/>
      <c r="DB207" s="4" t="n"/>
      <c r="DC207" s="4" t="n"/>
      <c r="DD207" s="4" t="n"/>
      <c r="DE207" s="4" t="n"/>
      <c r="DF207" s="4" t="n"/>
      <c r="DG207" s="4" t="n"/>
      <c r="DH207" s="4" t="n"/>
      <c r="DI207" s="4" t="n"/>
      <c r="DJ207" s="4" t="n"/>
      <c r="DK207" s="4" t="n"/>
      <c r="DL207" s="4" t="n"/>
      <c r="DM207" s="4" t="n"/>
      <c r="DN207" s="4" t="n"/>
      <c r="DO207" s="4" t="n"/>
      <c r="DP207" s="4" t="n"/>
      <c r="DQ207" s="4" t="n"/>
      <c r="DR207" s="4" t="n"/>
      <c r="DS207" s="4" t="n"/>
      <c r="DT207" s="4" t="n"/>
      <c r="DU207" s="4" t="n"/>
      <c r="DV207" s="4" t="n"/>
      <c r="DW207" s="4" t="n"/>
      <c r="DX207" s="4" t="n"/>
      <c r="DY207" s="4" t="n"/>
      <c r="DZ207" s="4" t="n"/>
      <c r="EA207" s="4" t="n"/>
      <c r="EB207" s="4" t="n"/>
      <c r="EC207" s="4" t="n"/>
      <c r="ED207" s="4" t="n"/>
      <c r="EE207" s="4" t="n"/>
      <c r="EF207" s="4" t="n"/>
      <c r="EG207" s="4" t="n"/>
      <c r="EH207" s="4" t="n"/>
      <c r="EI207" s="4" t="n"/>
      <c r="EJ207" s="4" t="n"/>
      <c r="EK207" s="4" t="n"/>
      <c r="EL207" s="4" t="n"/>
      <c r="EM207" s="4" t="n"/>
      <c r="EN207" s="4" t="n"/>
    </row>
    <row r="208" hidden="1" customFormat="1" s="6">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c r="AC208" s="4" t="n"/>
      <c r="AD208" s="4" t="n"/>
      <c r="AE208" s="4" t="n"/>
      <c r="AF208" s="4" t="n"/>
      <c r="AG208" s="4" t="n"/>
      <c r="AH208" s="4" t="n"/>
      <c r="AI208" s="4" t="n"/>
      <c r="AJ208" s="4" t="n"/>
      <c r="AK208" s="4" t="n"/>
      <c r="AL208" s="4" t="n"/>
      <c r="AM208" s="4" t="n"/>
      <c r="AN208" s="4" t="n"/>
      <c r="AO208" s="4" t="n"/>
      <c r="AP208" s="4" t="n"/>
      <c r="AQ208" s="4" t="n"/>
      <c r="AR208" s="4" t="n"/>
      <c r="AS208" s="4" t="n"/>
      <c r="AT208" s="4" t="n"/>
      <c r="AU208" s="4" t="n"/>
      <c r="AV208" s="4" t="n"/>
      <c r="AW208" s="4" t="n"/>
      <c r="AX208" s="4" t="n"/>
      <c r="AY208" s="4" t="n"/>
      <c r="AZ208" s="4" t="n"/>
      <c r="BA208" s="4" t="n"/>
      <c r="BB208" s="4" t="n"/>
      <c r="BC208" s="4" t="n"/>
      <c r="BD208" s="4" t="n"/>
      <c r="BE208" s="4" t="n"/>
      <c r="BF208" s="4" t="n"/>
      <c r="BG208" s="4" t="n"/>
      <c r="BH208" s="4" t="n"/>
      <c r="BI208" s="4" t="n"/>
      <c r="BJ208" s="4" t="n"/>
      <c r="BK208" s="4" t="n"/>
      <c r="BL208" s="4" t="n"/>
      <c r="BM208" s="4" t="n"/>
      <c r="BN208" s="4" t="n"/>
      <c r="BO208" s="4" t="n"/>
      <c r="BP208" s="4" t="n"/>
      <c r="BQ208" s="4" t="n"/>
      <c r="BR208" s="4" t="n"/>
      <c r="BS208" s="4" t="n"/>
      <c r="BT208" s="4" t="n"/>
      <c r="BU208" s="4" t="n"/>
      <c r="BV208" s="4" t="n"/>
      <c r="BW208" s="4" t="n"/>
      <c r="BX208" s="4" t="n"/>
      <c r="BY208" s="4" t="n"/>
      <c r="BZ208" s="4" t="n"/>
      <c r="CA208" s="4" t="n"/>
      <c r="CB208" s="4" t="n"/>
      <c r="CC208" s="4" t="n"/>
      <c r="CD208" s="4" t="n"/>
      <c r="CE208" s="4" t="n"/>
      <c r="CF208" s="4" t="n"/>
      <c r="CG208" s="4" t="n"/>
      <c r="CH208" s="4" t="n"/>
      <c r="CI208" s="4" t="n"/>
      <c r="CJ208" s="4" t="n"/>
      <c r="CK208" s="4" t="n"/>
      <c r="CL208" s="4" t="n"/>
      <c r="CM208" s="4" t="n"/>
      <c r="CN208" s="4" t="n"/>
      <c r="CO208" s="4" t="n"/>
      <c r="CP208" s="4" t="n"/>
      <c r="CQ208" s="4" t="n"/>
      <c r="CR208" s="4" t="n"/>
      <c r="CS208" s="4" t="n"/>
      <c r="CT208" s="4" t="n"/>
      <c r="CU208" s="4" t="n"/>
      <c r="CV208" s="4" t="n"/>
      <c r="CW208" s="4" t="n"/>
      <c r="CX208" s="4" t="n"/>
      <c r="CY208" s="4" t="n"/>
      <c r="CZ208" s="4" t="n"/>
      <c r="DA208" s="4" t="n"/>
      <c r="DB208" s="4" t="n"/>
      <c r="DC208" s="4" t="n"/>
      <c r="DD208" s="4" t="n"/>
      <c r="DE208" s="4" t="n"/>
      <c r="DF208" s="4" t="n"/>
      <c r="DG208" s="4" t="n"/>
      <c r="DH208" s="4" t="n"/>
      <c r="DI208" s="4" t="n"/>
      <c r="DJ208" s="4" t="n"/>
      <c r="DK208" s="4" t="n"/>
      <c r="DL208" s="4" t="n"/>
      <c r="DM208" s="4" t="n"/>
      <c r="DN208" s="4" t="n"/>
      <c r="DO208" s="4" t="n"/>
      <c r="DP208" s="4" t="n"/>
      <c r="DQ208" s="4" t="n"/>
      <c r="DR208" s="4" t="n"/>
      <c r="DS208" s="4" t="n"/>
      <c r="DT208" s="4" t="n"/>
      <c r="DU208" s="4" t="n"/>
      <c r="DV208" s="4" t="n"/>
      <c r="DW208" s="4" t="n"/>
      <c r="DX208" s="4" t="n"/>
      <c r="DY208" s="4" t="n"/>
      <c r="DZ208" s="4" t="n"/>
      <c r="EA208" s="4" t="n"/>
      <c r="EB208" s="4" t="n"/>
      <c r="EC208" s="4" t="n"/>
      <c r="ED208" s="4" t="n"/>
      <c r="EE208" s="4" t="n"/>
      <c r="EF208" s="4" t="n"/>
      <c r="EG208" s="4" t="n"/>
      <c r="EH208" s="4" t="n"/>
      <c r="EI208" s="4" t="n"/>
      <c r="EJ208" s="4" t="n"/>
      <c r="EK208" s="4" t="n"/>
      <c r="EL208" s="4" t="n"/>
      <c r="EM208" s="4" t="n"/>
      <c r="EN208" s="4" t="n"/>
    </row>
    <row r="209" hidden="1" customFormat="1" s="6">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c r="AC209" s="4" t="n"/>
      <c r="AD209" s="4" t="n"/>
      <c r="AE209" s="4" t="n"/>
      <c r="AF209" s="4" t="n"/>
      <c r="AG209" s="4" t="n"/>
      <c r="AH209" s="4" t="n"/>
      <c r="AI209" s="4" t="n"/>
      <c r="AJ209" s="4" t="n"/>
      <c r="AK209" s="4" t="n"/>
      <c r="AL209" s="4" t="n"/>
      <c r="AM209" s="4" t="n"/>
      <c r="AN209" s="4" t="n"/>
      <c r="AO209" s="4" t="n"/>
      <c r="AP209" s="4" t="n"/>
      <c r="AQ209" s="4" t="n"/>
      <c r="AR209" s="4" t="n"/>
      <c r="AS209" s="4" t="n"/>
      <c r="AT209" s="4" t="n"/>
      <c r="AU209" s="4" t="n"/>
      <c r="AV209" s="4" t="n"/>
      <c r="AW209" s="4" t="n"/>
      <c r="AX209" s="4" t="n"/>
      <c r="AY209" s="4" t="n"/>
      <c r="AZ209" s="4" t="n"/>
      <c r="BA209" s="4" t="n"/>
      <c r="BB209" s="4" t="n"/>
      <c r="BC209" s="4" t="n"/>
      <c r="BD209" s="4" t="n"/>
      <c r="BE209" s="4" t="n"/>
      <c r="BF209" s="4" t="n"/>
      <c r="BG209" s="4" t="n"/>
      <c r="BH209" s="4" t="n"/>
      <c r="BI209" s="4" t="n"/>
      <c r="BJ209" s="4" t="n"/>
      <c r="BK209" s="4" t="n"/>
      <c r="BL209" s="4" t="n"/>
      <c r="BM209" s="4" t="n"/>
      <c r="BN209" s="4" t="n"/>
      <c r="BO209" s="4" t="n"/>
      <c r="BP209" s="4" t="n"/>
      <c r="BQ209" s="4" t="n"/>
      <c r="BR209" s="4" t="n"/>
      <c r="BS209" s="4" t="n"/>
      <c r="BT209" s="4" t="n"/>
      <c r="BU209" s="4" t="n"/>
      <c r="BV209" s="4" t="n"/>
      <c r="BW209" s="4" t="n"/>
      <c r="BX209" s="4" t="n"/>
      <c r="BY209" s="4" t="n"/>
      <c r="BZ209" s="4" t="n"/>
      <c r="CA209" s="4" t="n"/>
      <c r="CB209" s="4" t="n"/>
      <c r="CC209" s="4" t="n"/>
      <c r="CD209" s="4" t="n"/>
      <c r="CE209" s="4" t="n"/>
      <c r="CF209" s="4" t="n"/>
      <c r="CG209" s="4" t="n"/>
      <c r="CH209" s="4" t="n"/>
      <c r="CI209" s="4" t="n"/>
      <c r="CJ209" s="4" t="n"/>
      <c r="CK209" s="4" t="n"/>
      <c r="CL209" s="4" t="n"/>
      <c r="CM209" s="4" t="n"/>
      <c r="CN209" s="4" t="n"/>
      <c r="CO209" s="4" t="n"/>
      <c r="CP209" s="4" t="n"/>
      <c r="CQ209" s="4" t="n"/>
      <c r="CR209" s="4" t="n"/>
      <c r="CS209" s="4" t="n"/>
      <c r="CT209" s="4" t="n"/>
      <c r="CU209" s="4" t="n"/>
      <c r="CV209" s="4" t="n"/>
      <c r="CW209" s="4" t="n"/>
      <c r="CX209" s="4" t="n"/>
      <c r="CY209" s="4" t="n"/>
      <c r="CZ209" s="4" t="n"/>
      <c r="DA209" s="4" t="n"/>
      <c r="DB209" s="4" t="n"/>
      <c r="DC209" s="4" t="n"/>
      <c r="DD209" s="4" t="n"/>
      <c r="DE209" s="4" t="n"/>
      <c r="DF209" s="4" t="n"/>
      <c r="DG209" s="4" t="n"/>
      <c r="DH209" s="4" t="n"/>
      <c r="DI209" s="4" t="n"/>
      <c r="DJ209" s="4" t="n"/>
      <c r="DK209" s="4" t="n"/>
      <c r="DL209" s="4" t="n"/>
      <c r="DM209" s="4" t="n"/>
      <c r="DN209" s="4" t="n"/>
      <c r="DO209" s="4" t="n"/>
      <c r="DP209" s="4" t="n"/>
      <c r="DQ209" s="4" t="n"/>
      <c r="DR209" s="4" t="n"/>
      <c r="DS209" s="4" t="n"/>
      <c r="DT209" s="4" t="n"/>
      <c r="DU209" s="4" t="n"/>
      <c r="DV209" s="4" t="n"/>
      <c r="DW209" s="4" t="n"/>
      <c r="DX209" s="4" t="n"/>
      <c r="DY209" s="4" t="n"/>
      <c r="DZ209" s="4" t="n"/>
      <c r="EA209" s="4" t="n"/>
      <c r="EB209" s="4" t="n"/>
      <c r="EC209" s="4" t="n"/>
      <c r="ED209" s="4" t="n"/>
      <c r="EE209" s="4" t="n"/>
      <c r="EF209" s="4" t="n"/>
      <c r="EG209" s="4" t="n"/>
      <c r="EH209" s="4" t="n"/>
      <c r="EI209" s="4" t="n"/>
      <c r="EJ209" s="4" t="n"/>
      <c r="EK209" s="4" t="n"/>
      <c r="EL209" s="4" t="n"/>
      <c r="EM209" s="4" t="n"/>
      <c r="EN209" s="4" t="n"/>
    </row>
    <row r="210" hidden="1" customFormat="1" s="6">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c r="AC210" s="4" t="n"/>
      <c r="AD210" s="4" t="n"/>
      <c r="AE210" s="4" t="n"/>
      <c r="AF210" s="4" t="n"/>
      <c r="AG210" s="4" t="n"/>
      <c r="AH210" s="4" t="n"/>
      <c r="AI210" s="4" t="n"/>
      <c r="AJ210" s="4" t="n"/>
      <c r="AK210" s="4" t="n"/>
      <c r="AL210" s="4" t="n"/>
      <c r="AM210" s="4" t="n"/>
      <c r="AN210" s="4" t="n"/>
      <c r="AO210" s="4" t="n"/>
      <c r="AP210" s="4" t="n"/>
      <c r="AQ210" s="4" t="n"/>
      <c r="AR210" s="4" t="n"/>
      <c r="AS210" s="4" t="n"/>
      <c r="AT210" s="4" t="n"/>
      <c r="AU210" s="4" t="n"/>
      <c r="AV210" s="4" t="n"/>
      <c r="AW210" s="4" t="n"/>
      <c r="AX210" s="4" t="n"/>
      <c r="AY210" s="4" t="n"/>
      <c r="AZ210" s="4" t="n"/>
      <c r="BA210" s="4" t="n"/>
      <c r="BB210" s="4" t="n"/>
      <c r="BC210" s="4" t="n"/>
      <c r="BD210" s="4" t="n"/>
      <c r="BE210" s="4" t="n"/>
      <c r="BF210" s="4" t="n"/>
      <c r="BG210" s="4" t="n"/>
      <c r="BH210" s="4" t="n"/>
      <c r="BI210" s="4" t="n"/>
      <c r="BJ210" s="4" t="n"/>
      <c r="BK210" s="4" t="n"/>
      <c r="BL210" s="4" t="n"/>
      <c r="BM210" s="4" t="n"/>
      <c r="BN210" s="4" t="n"/>
      <c r="BO210" s="4" t="n"/>
      <c r="BP210" s="4" t="n"/>
      <c r="BQ210" s="4" t="n"/>
      <c r="BR210" s="4" t="n"/>
      <c r="BS210" s="4" t="n"/>
      <c r="BT210" s="4" t="n"/>
      <c r="BU210" s="4" t="n"/>
      <c r="BV210" s="4" t="n"/>
      <c r="BW210" s="4" t="n"/>
      <c r="BX210" s="4" t="n"/>
      <c r="BY210" s="4" t="n"/>
      <c r="BZ210" s="4" t="n"/>
      <c r="CA210" s="4" t="n"/>
      <c r="CB210" s="4" t="n"/>
      <c r="CC210" s="4" t="n"/>
      <c r="CD210" s="4" t="n"/>
      <c r="CE210" s="4" t="n"/>
      <c r="CF210" s="4" t="n"/>
      <c r="CG210" s="4" t="n"/>
      <c r="CH210" s="4" t="n"/>
      <c r="CI210" s="4" t="n"/>
      <c r="CJ210" s="4" t="n"/>
      <c r="CK210" s="4" t="n"/>
      <c r="CL210" s="4" t="n"/>
      <c r="CM210" s="4" t="n"/>
      <c r="CN210" s="4" t="n"/>
      <c r="CO210" s="4" t="n"/>
      <c r="CP210" s="4" t="n"/>
      <c r="CQ210" s="4" t="n"/>
      <c r="CR210" s="4" t="n"/>
      <c r="CS210" s="4" t="n"/>
      <c r="CT210" s="4" t="n"/>
      <c r="CU210" s="4" t="n"/>
      <c r="CV210" s="4" t="n"/>
      <c r="CW210" s="4" t="n"/>
      <c r="CX210" s="4" t="n"/>
      <c r="CY210" s="4" t="n"/>
      <c r="CZ210" s="4" t="n"/>
      <c r="DA210" s="4" t="n"/>
      <c r="DB210" s="4" t="n"/>
      <c r="DC210" s="4" t="n"/>
      <c r="DD210" s="4" t="n"/>
      <c r="DE210" s="4" t="n"/>
      <c r="DF210" s="4" t="n"/>
      <c r="DG210" s="4" t="n"/>
      <c r="DH210" s="4" t="n"/>
      <c r="DI210" s="4" t="n"/>
      <c r="DJ210" s="4" t="n"/>
      <c r="DK210" s="4" t="n"/>
      <c r="DL210" s="4" t="n"/>
      <c r="DM210" s="4" t="n"/>
      <c r="DN210" s="4" t="n"/>
      <c r="DO210" s="4" t="n"/>
      <c r="DP210" s="4" t="n"/>
      <c r="DQ210" s="4" t="n"/>
      <c r="DR210" s="4" t="n"/>
      <c r="DS210" s="4" t="n"/>
      <c r="DT210" s="4" t="n"/>
      <c r="DU210" s="4" t="n"/>
      <c r="DV210" s="4" t="n"/>
      <c r="DW210" s="4" t="n"/>
      <c r="DX210" s="4" t="n"/>
      <c r="DY210" s="4" t="n"/>
      <c r="DZ210" s="4" t="n"/>
      <c r="EA210" s="4" t="n"/>
      <c r="EB210" s="4" t="n"/>
      <c r="EC210" s="4" t="n"/>
      <c r="ED210" s="4" t="n"/>
      <c r="EE210" s="4" t="n"/>
      <c r="EF210" s="4" t="n"/>
      <c r="EG210" s="4" t="n"/>
      <c r="EH210" s="4" t="n"/>
      <c r="EI210" s="4" t="n"/>
      <c r="EJ210" s="4" t="n"/>
      <c r="EK210" s="4" t="n"/>
      <c r="EL210" s="4" t="n"/>
      <c r="EM210" s="4" t="n"/>
      <c r="EN210" s="4" t="n"/>
    </row>
    <row r="211" hidden="1" customFormat="1" s="6">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c r="AC211" s="4" t="n"/>
      <c r="AD211" s="4" t="n"/>
      <c r="AE211" s="4" t="n"/>
      <c r="AF211" s="4" t="n"/>
      <c r="AG211" s="4" t="n"/>
      <c r="AH211" s="4" t="n"/>
      <c r="AI211" s="4" t="n"/>
      <c r="AJ211" s="4" t="n"/>
      <c r="AK211" s="4" t="n"/>
      <c r="AL211" s="4" t="n"/>
      <c r="AM211" s="4" t="n"/>
      <c r="AN211" s="4" t="n"/>
      <c r="AO211" s="4" t="n"/>
      <c r="AP211" s="4" t="n"/>
      <c r="AQ211" s="4" t="n"/>
      <c r="AR211" s="4" t="n"/>
      <c r="AS211" s="4" t="n"/>
      <c r="AT211" s="4" t="n"/>
      <c r="AU211" s="4" t="n"/>
      <c r="AV211" s="4" t="n"/>
      <c r="AW211" s="4" t="n"/>
      <c r="AX211" s="4" t="n"/>
      <c r="AY211" s="4" t="n"/>
      <c r="AZ211" s="4" t="n"/>
      <c r="BA211" s="4" t="n"/>
      <c r="BB211" s="4" t="n"/>
      <c r="BC211" s="4" t="n"/>
      <c r="BD211" s="4" t="n"/>
      <c r="BE211" s="4" t="n"/>
      <c r="BF211" s="4" t="n"/>
      <c r="BG211" s="4" t="n"/>
      <c r="BH211" s="4" t="n"/>
      <c r="BI211" s="4" t="n"/>
      <c r="BJ211" s="4" t="n"/>
      <c r="BK211" s="4" t="n"/>
      <c r="BL211" s="4" t="n"/>
      <c r="BM211" s="4" t="n"/>
      <c r="BN211" s="4" t="n"/>
      <c r="BO211" s="4" t="n"/>
      <c r="BP211" s="4" t="n"/>
      <c r="BQ211" s="4" t="n"/>
      <c r="BR211" s="4" t="n"/>
      <c r="BS211" s="4" t="n"/>
      <c r="BT211" s="4" t="n"/>
      <c r="BU211" s="4" t="n"/>
      <c r="BV211" s="4" t="n"/>
      <c r="BW211" s="4" t="n"/>
      <c r="BX211" s="4" t="n"/>
      <c r="BY211" s="4" t="n"/>
      <c r="BZ211" s="4" t="n"/>
      <c r="CA211" s="4" t="n"/>
      <c r="CB211" s="4" t="n"/>
      <c r="CC211" s="4" t="n"/>
      <c r="CD211" s="4" t="n"/>
      <c r="CE211" s="4" t="n"/>
      <c r="CF211" s="4" t="n"/>
      <c r="CG211" s="4" t="n"/>
      <c r="CH211" s="4" t="n"/>
      <c r="CI211" s="4" t="n"/>
      <c r="CJ211" s="4" t="n"/>
      <c r="CK211" s="4" t="n"/>
      <c r="CL211" s="4" t="n"/>
      <c r="CM211" s="4" t="n"/>
      <c r="CN211" s="4" t="n"/>
      <c r="CO211" s="4" t="n"/>
      <c r="CP211" s="4" t="n"/>
      <c r="CQ211" s="4" t="n"/>
      <c r="CR211" s="4" t="n"/>
      <c r="CS211" s="4" t="n"/>
      <c r="CT211" s="4" t="n"/>
      <c r="CU211" s="4" t="n"/>
      <c r="CV211" s="4" t="n"/>
      <c r="CW211" s="4" t="n"/>
      <c r="CX211" s="4" t="n"/>
      <c r="CY211" s="4" t="n"/>
      <c r="CZ211" s="4" t="n"/>
      <c r="DA211" s="4" t="n"/>
      <c r="DB211" s="4" t="n"/>
      <c r="DC211" s="4" t="n"/>
      <c r="DD211" s="4" t="n"/>
      <c r="DE211" s="4" t="n"/>
      <c r="DF211" s="4" t="n"/>
      <c r="DG211" s="4" t="n"/>
      <c r="DH211" s="4" t="n"/>
      <c r="DI211" s="4" t="n"/>
      <c r="DJ211" s="4" t="n"/>
      <c r="DK211" s="4" t="n"/>
      <c r="DL211" s="4" t="n"/>
      <c r="DM211" s="4" t="n"/>
      <c r="DN211" s="4" t="n"/>
      <c r="DO211" s="4" t="n"/>
      <c r="DP211" s="4" t="n"/>
      <c r="DQ211" s="4" t="n"/>
      <c r="DR211" s="4" t="n"/>
      <c r="DS211" s="4" t="n"/>
      <c r="DT211" s="4" t="n"/>
      <c r="DU211" s="4" t="n"/>
      <c r="DV211" s="4" t="n"/>
      <c r="DW211" s="4" t="n"/>
      <c r="DX211" s="4" t="n"/>
      <c r="DY211" s="4" t="n"/>
      <c r="DZ211" s="4" t="n"/>
      <c r="EA211" s="4" t="n"/>
      <c r="EB211" s="4" t="n"/>
      <c r="EC211" s="4" t="n"/>
      <c r="ED211" s="4" t="n"/>
      <c r="EE211" s="4" t="n"/>
      <c r="EF211" s="4" t="n"/>
      <c r="EG211" s="4" t="n"/>
      <c r="EH211" s="4" t="n"/>
      <c r="EI211" s="4" t="n"/>
      <c r="EJ211" s="4" t="n"/>
      <c r="EK211" s="4" t="n"/>
      <c r="EL211" s="4" t="n"/>
      <c r="EM211" s="4" t="n"/>
      <c r="EN211" s="4" t="n"/>
    </row>
    <row r="212" hidden="1" customFormat="1" s="6">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c r="AC212" s="4" t="n"/>
      <c r="AD212" s="4" t="n"/>
      <c r="AE212" s="4" t="n"/>
      <c r="AF212" s="4" t="n"/>
      <c r="AG212" s="4" t="n"/>
      <c r="AH212" s="4" t="n"/>
      <c r="AI212" s="4" t="n"/>
      <c r="AJ212" s="4" t="n"/>
      <c r="AK212" s="4" t="n"/>
      <c r="AL212" s="4" t="n"/>
      <c r="AM212" s="4" t="n"/>
      <c r="AN212" s="4" t="n"/>
      <c r="AO212" s="4" t="n"/>
      <c r="AP212" s="4" t="n"/>
      <c r="AQ212" s="4" t="n"/>
      <c r="AR212" s="4" t="n"/>
      <c r="AS212" s="4" t="n"/>
      <c r="AT212" s="4" t="n"/>
      <c r="AU212" s="4" t="n"/>
      <c r="AV212" s="4" t="n"/>
      <c r="AW212" s="4" t="n"/>
      <c r="AX212" s="4" t="n"/>
      <c r="AY212" s="4" t="n"/>
      <c r="AZ212" s="4" t="n"/>
      <c r="BA212" s="4" t="n"/>
      <c r="BB212" s="4" t="n"/>
      <c r="BC212" s="4" t="n"/>
      <c r="BD212" s="4" t="n"/>
      <c r="BE212" s="4" t="n"/>
      <c r="BF212" s="4" t="n"/>
      <c r="BG212" s="4" t="n"/>
      <c r="BH212" s="4" t="n"/>
      <c r="BI212" s="4" t="n"/>
      <c r="BJ212" s="4" t="n"/>
      <c r="BK212" s="4" t="n"/>
      <c r="BL212" s="4" t="n"/>
      <c r="BM212" s="4" t="n"/>
      <c r="BN212" s="4" t="n"/>
      <c r="BO212" s="4" t="n"/>
      <c r="BP212" s="4" t="n"/>
      <c r="BQ212" s="4" t="n"/>
      <c r="BR212" s="4" t="n"/>
      <c r="BS212" s="4" t="n"/>
      <c r="BT212" s="4" t="n"/>
      <c r="BU212" s="4" t="n"/>
      <c r="BV212" s="4" t="n"/>
      <c r="BW212" s="4" t="n"/>
      <c r="BX212" s="4" t="n"/>
      <c r="BY212" s="4" t="n"/>
      <c r="BZ212" s="4" t="n"/>
      <c r="CA212" s="4" t="n"/>
      <c r="CB212" s="4" t="n"/>
      <c r="CC212" s="4" t="n"/>
      <c r="CD212" s="4" t="n"/>
      <c r="CE212" s="4" t="n"/>
      <c r="CF212" s="4" t="n"/>
      <c r="CG212" s="4" t="n"/>
      <c r="CH212" s="4" t="n"/>
      <c r="CI212" s="4" t="n"/>
      <c r="CJ212" s="4" t="n"/>
      <c r="CK212" s="4" t="n"/>
      <c r="CL212" s="4" t="n"/>
      <c r="CM212" s="4" t="n"/>
      <c r="CN212" s="4" t="n"/>
      <c r="CO212" s="4" t="n"/>
      <c r="CP212" s="4" t="n"/>
      <c r="CQ212" s="4" t="n"/>
      <c r="CR212" s="4" t="n"/>
      <c r="CS212" s="4" t="n"/>
      <c r="CT212" s="4" t="n"/>
      <c r="CU212" s="4" t="n"/>
      <c r="CV212" s="4" t="n"/>
      <c r="CW212" s="4" t="n"/>
      <c r="CX212" s="4" t="n"/>
      <c r="CY212" s="4" t="n"/>
      <c r="CZ212" s="4" t="n"/>
      <c r="DA212" s="4" t="n"/>
      <c r="DB212" s="4" t="n"/>
      <c r="DC212" s="4" t="n"/>
      <c r="DD212" s="4" t="n"/>
      <c r="DE212" s="4" t="n"/>
      <c r="DF212" s="4" t="n"/>
      <c r="DG212" s="4" t="n"/>
      <c r="DH212" s="4" t="n"/>
      <c r="DI212" s="4" t="n"/>
      <c r="DJ212" s="4" t="n"/>
      <c r="DK212" s="4" t="n"/>
      <c r="DL212" s="4" t="n"/>
      <c r="DM212" s="4" t="n"/>
      <c r="DN212" s="4" t="n"/>
      <c r="DO212" s="4" t="n"/>
      <c r="DP212" s="4" t="n"/>
      <c r="DQ212" s="4" t="n"/>
      <c r="DR212" s="4" t="n"/>
      <c r="DS212" s="4" t="n"/>
      <c r="DT212" s="4" t="n"/>
      <c r="DU212" s="4" t="n"/>
      <c r="DV212" s="4" t="n"/>
      <c r="DW212" s="4" t="n"/>
      <c r="DX212" s="4" t="n"/>
      <c r="DY212" s="4" t="n"/>
      <c r="DZ212" s="4" t="n"/>
      <c r="EA212" s="4" t="n"/>
      <c r="EB212" s="4" t="n"/>
      <c r="EC212" s="4" t="n"/>
      <c r="ED212" s="4" t="n"/>
      <c r="EE212" s="4" t="n"/>
      <c r="EF212" s="4" t="n"/>
      <c r="EG212" s="4" t="n"/>
      <c r="EH212" s="4" t="n"/>
      <c r="EI212" s="4" t="n"/>
      <c r="EJ212" s="4" t="n"/>
      <c r="EK212" s="4" t="n"/>
      <c r="EL212" s="4" t="n"/>
      <c r="EM212" s="4" t="n"/>
      <c r="EN212" s="4" t="n"/>
    </row>
    <row r="213" hidden="1" customFormat="1" s="6">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c r="AC213" s="4" t="n"/>
      <c r="AD213" s="4" t="n"/>
      <c r="AE213" s="4" t="n"/>
      <c r="AF213" s="4" t="n"/>
      <c r="AG213" s="4" t="n"/>
      <c r="AH213" s="4" t="n"/>
      <c r="AI213" s="4" t="n"/>
      <c r="AJ213" s="4" t="n"/>
      <c r="AK213" s="4" t="n"/>
      <c r="AL213" s="4" t="n"/>
      <c r="AM213" s="4" t="n"/>
      <c r="AN213" s="4" t="n"/>
      <c r="AO213" s="4" t="n"/>
      <c r="AP213" s="4" t="n"/>
      <c r="AQ213" s="4" t="n"/>
      <c r="AR213" s="4" t="n"/>
      <c r="AS213" s="4" t="n"/>
      <c r="AT213" s="4" t="n"/>
      <c r="AU213" s="4" t="n"/>
      <c r="AV213" s="4" t="n"/>
      <c r="AW213" s="4" t="n"/>
      <c r="AX213" s="4" t="n"/>
      <c r="AY213" s="4" t="n"/>
      <c r="AZ213" s="4" t="n"/>
      <c r="BA213" s="4" t="n"/>
      <c r="BB213" s="4" t="n"/>
      <c r="BC213" s="4" t="n"/>
      <c r="BD213" s="4" t="n"/>
      <c r="BE213" s="4" t="n"/>
      <c r="BF213" s="4" t="n"/>
      <c r="BG213" s="4" t="n"/>
      <c r="BH213" s="4" t="n"/>
      <c r="BI213" s="4" t="n"/>
      <c r="BJ213" s="4" t="n"/>
      <c r="BK213" s="4" t="n"/>
      <c r="BL213" s="4" t="n"/>
      <c r="BM213" s="4" t="n"/>
      <c r="BN213" s="4" t="n"/>
      <c r="BO213" s="4" t="n"/>
      <c r="BP213" s="4" t="n"/>
      <c r="BQ213" s="4" t="n"/>
      <c r="BR213" s="4" t="n"/>
      <c r="BS213" s="4" t="n"/>
      <c r="BT213" s="4" t="n"/>
      <c r="BU213" s="4" t="n"/>
      <c r="BV213" s="4" t="n"/>
      <c r="BW213" s="4" t="n"/>
      <c r="BX213" s="4" t="n"/>
      <c r="BY213" s="4" t="n"/>
      <c r="BZ213" s="4" t="n"/>
      <c r="CA213" s="4" t="n"/>
      <c r="CB213" s="4" t="n"/>
      <c r="CC213" s="4" t="n"/>
      <c r="CD213" s="4" t="n"/>
      <c r="CE213" s="4" t="n"/>
      <c r="CF213" s="4" t="n"/>
      <c r="CG213" s="4" t="n"/>
      <c r="CH213" s="4" t="n"/>
      <c r="CI213" s="4" t="n"/>
      <c r="CJ213" s="4" t="n"/>
      <c r="CK213" s="4" t="n"/>
      <c r="CL213" s="4" t="n"/>
      <c r="CM213" s="4" t="n"/>
      <c r="CN213" s="4" t="n"/>
      <c r="CO213" s="4" t="n"/>
      <c r="CP213" s="4" t="n"/>
      <c r="CQ213" s="4" t="n"/>
      <c r="CR213" s="4" t="n"/>
      <c r="CS213" s="4" t="n"/>
      <c r="CT213" s="4" t="n"/>
      <c r="CU213" s="4" t="n"/>
      <c r="CV213" s="4" t="n"/>
      <c r="CW213" s="4" t="n"/>
      <c r="CX213" s="4" t="n"/>
      <c r="CY213" s="4" t="n"/>
      <c r="CZ213" s="4" t="n"/>
      <c r="DA213" s="4" t="n"/>
      <c r="DB213" s="4" t="n"/>
      <c r="DC213" s="4" t="n"/>
      <c r="DD213" s="4" t="n"/>
      <c r="DE213" s="4" t="n"/>
      <c r="DF213" s="4" t="n"/>
      <c r="DG213" s="4" t="n"/>
      <c r="DH213" s="4" t="n"/>
      <c r="DI213" s="4" t="n"/>
      <c r="DJ213" s="4" t="n"/>
      <c r="DK213" s="4" t="n"/>
      <c r="DL213" s="4" t="n"/>
      <c r="DM213" s="4" t="n"/>
      <c r="DN213" s="4" t="n"/>
      <c r="DO213" s="4" t="n"/>
      <c r="DP213" s="4" t="n"/>
      <c r="DQ213" s="4" t="n"/>
      <c r="DR213" s="4" t="n"/>
      <c r="DS213" s="4" t="n"/>
      <c r="DT213" s="4" t="n"/>
      <c r="DU213" s="4" t="n"/>
      <c r="DV213" s="4" t="n"/>
      <c r="DW213" s="4" t="n"/>
      <c r="DX213" s="4" t="n"/>
      <c r="DY213" s="4" t="n"/>
      <c r="DZ213" s="4" t="n"/>
      <c r="EA213" s="4" t="n"/>
      <c r="EB213" s="4" t="n"/>
      <c r="EC213" s="4" t="n"/>
      <c r="ED213" s="4" t="n"/>
      <c r="EE213" s="4" t="n"/>
      <c r="EF213" s="4" t="n"/>
      <c r="EG213" s="4" t="n"/>
      <c r="EH213" s="4" t="n"/>
      <c r="EI213" s="4" t="n"/>
      <c r="EJ213" s="4" t="n"/>
      <c r="EK213" s="4" t="n"/>
      <c r="EL213" s="4" t="n"/>
      <c r="EM213" s="4" t="n"/>
      <c r="EN213" s="4" t="n"/>
    </row>
    <row r="214" hidden="1" customFormat="1" s="6">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c r="AD214" s="4" t="n"/>
      <c r="AE214" s="4" t="n"/>
      <c r="AF214" s="4" t="n"/>
      <c r="AG214" s="4" t="n"/>
      <c r="AH214" s="4" t="n"/>
      <c r="AI214" s="4" t="n"/>
      <c r="AJ214" s="4" t="n"/>
      <c r="AK214" s="4" t="n"/>
      <c r="AL214" s="4" t="n"/>
      <c r="AM214" s="4" t="n"/>
      <c r="AN214" s="4" t="n"/>
      <c r="AO214" s="4" t="n"/>
      <c r="AP214" s="4" t="n"/>
      <c r="AQ214" s="4" t="n"/>
      <c r="AR214" s="4" t="n"/>
      <c r="AS214" s="4" t="n"/>
      <c r="AT214" s="4" t="n"/>
      <c r="AU214" s="4" t="n"/>
      <c r="AV214" s="4" t="n"/>
      <c r="AW214" s="4" t="n"/>
      <c r="AX214" s="4" t="n"/>
      <c r="AY214" s="4" t="n"/>
      <c r="AZ214" s="4" t="n"/>
      <c r="BA214" s="4" t="n"/>
      <c r="BB214" s="4" t="n"/>
      <c r="BC214" s="4" t="n"/>
      <c r="BD214" s="4" t="n"/>
      <c r="BE214" s="4" t="n"/>
      <c r="BF214" s="4" t="n"/>
      <c r="BG214" s="4" t="n"/>
      <c r="BH214" s="4" t="n"/>
      <c r="BI214" s="4" t="n"/>
      <c r="BJ214" s="4" t="n"/>
      <c r="BK214" s="4" t="n"/>
      <c r="BL214" s="4" t="n"/>
      <c r="BM214" s="4" t="n"/>
      <c r="BN214" s="4" t="n"/>
      <c r="BO214" s="4" t="n"/>
      <c r="BP214" s="4" t="n"/>
      <c r="BQ214" s="4" t="n"/>
      <c r="BR214" s="4" t="n"/>
      <c r="BS214" s="4" t="n"/>
      <c r="BT214" s="4" t="n"/>
      <c r="BU214" s="4" t="n"/>
      <c r="BV214" s="4" t="n"/>
      <c r="BW214" s="4" t="n"/>
      <c r="BX214" s="4" t="n"/>
      <c r="BY214" s="4" t="n"/>
      <c r="BZ214" s="4" t="n"/>
      <c r="CA214" s="4" t="n"/>
      <c r="CB214" s="4" t="n"/>
      <c r="CC214" s="4" t="n"/>
      <c r="CD214" s="4" t="n"/>
      <c r="CE214" s="4" t="n"/>
      <c r="CF214" s="4" t="n"/>
      <c r="CG214" s="4" t="n"/>
      <c r="CH214" s="4" t="n"/>
      <c r="CI214" s="4" t="n"/>
      <c r="CJ214" s="4" t="n"/>
      <c r="CK214" s="4" t="n"/>
      <c r="CL214" s="4" t="n"/>
      <c r="CM214" s="4" t="n"/>
      <c r="CN214" s="4" t="n"/>
      <c r="CO214" s="4" t="n"/>
      <c r="CP214" s="4" t="n"/>
      <c r="CQ214" s="4" t="n"/>
      <c r="CR214" s="4" t="n"/>
      <c r="CS214" s="4" t="n"/>
      <c r="CT214" s="4" t="n"/>
      <c r="CU214" s="4" t="n"/>
      <c r="CV214" s="4" t="n"/>
      <c r="CW214" s="4" t="n"/>
      <c r="CX214" s="4" t="n"/>
      <c r="CY214" s="4" t="n"/>
      <c r="CZ214" s="4" t="n"/>
      <c r="DA214" s="4" t="n"/>
      <c r="DB214" s="4" t="n"/>
      <c r="DC214" s="4" t="n"/>
      <c r="DD214" s="4" t="n"/>
      <c r="DE214" s="4" t="n"/>
      <c r="DF214" s="4" t="n"/>
      <c r="DG214" s="4" t="n"/>
      <c r="DH214" s="4" t="n"/>
      <c r="DI214" s="4" t="n"/>
      <c r="DJ214" s="4" t="n"/>
      <c r="DK214" s="4" t="n"/>
      <c r="DL214" s="4" t="n"/>
      <c r="DM214" s="4" t="n"/>
      <c r="DN214" s="4" t="n"/>
      <c r="DO214" s="4" t="n"/>
      <c r="DP214" s="4" t="n"/>
      <c r="DQ214" s="4" t="n"/>
      <c r="DR214" s="4" t="n"/>
      <c r="DS214" s="4" t="n"/>
      <c r="DT214" s="4" t="n"/>
      <c r="DU214" s="4" t="n"/>
      <c r="DV214" s="4" t="n"/>
      <c r="DW214" s="4" t="n"/>
      <c r="DX214" s="4" t="n"/>
      <c r="DY214" s="4" t="n"/>
      <c r="DZ214" s="4" t="n"/>
      <c r="EA214" s="4" t="n"/>
      <c r="EB214" s="4" t="n"/>
      <c r="EC214" s="4" t="n"/>
      <c r="ED214" s="4" t="n"/>
      <c r="EE214" s="4" t="n"/>
      <c r="EF214" s="4" t="n"/>
      <c r="EG214" s="4" t="n"/>
      <c r="EH214" s="4" t="n"/>
      <c r="EI214" s="4" t="n"/>
      <c r="EJ214" s="4" t="n"/>
      <c r="EK214" s="4" t="n"/>
      <c r="EL214" s="4" t="n"/>
      <c r="EM214" s="4" t="n"/>
      <c r="EN214" s="4" t="n"/>
    </row>
    <row r="215" hidden="1" customFormat="1" s="6">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c r="AD215" s="4" t="n"/>
      <c r="AE215" s="4" t="n"/>
      <c r="AF215" s="4" t="n"/>
      <c r="AG215" s="4" t="n"/>
      <c r="AH215" s="4" t="n"/>
      <c r="AI215" s="4" t="n"/>
      <c r="AJ215" s="4" t="n"/>
      <c r="AK215" s="4" t="n"/>
      <c r="AL215" s="4" t="n"/>
      <c r="AM215" s="4" t="n"/>
      <c r="AN215" s="4" t="n"/>
      <c r="AO215" s="4" t="n"/>
      <c r="AP215" s="4" t="n"/>
      <c r="AQ215" s="4" t="n"/>
      <c r="AR215" s="4" t="n"/>
      <c r="AS215" s="4" t="n"/>
      <c r="AT215" s="4" t="n"/>
      <c r="AU215" s="4" t="n"/>
      <c r="AV215" s="4" t="n"/>
      <c r="AW215" s="4" t="n"/>
      <c r="AX215" s="4" t="n"/>
      <c r="AY215" s="4" t="n"/>
      <c r="AZ215" s="4" t="n"/>
      <c r="BA215" s="4" t="n"/>
      <c r="BB215" s="4" t="n"/>
      <c r="BC215" s="4" t="n"/>
      <c r="BD215" s="4" t="n"/>
      <c r="BE215" s="4" t="n"/>
      <c r="BF215" s="4" t="n"/>
      <c r="BG215" s="4" t="n"/>
      <c r="BH215" s="4" t="n"/>
      <c r="BI215" s="4" t="n"/>
      <c r="BJ215" s="4" t="n"/>
      <c r="BK215" s="4" t="n"/>
      <c r="BL215" s="4" t="n"/>
      <c r="BM215" s="4" t="n"/>
      <c r="BN215" s="4" t="n"/>
      <c r="BO215" s="4" t="n"/>
      <c r="BP215" s="4" t="n"/>
      <c r="BQ215" s="4" t="n"/>
      <c r="BR215" s="4" t="n"/>
      <c r="BS215" s="4" t="n"/>
      <c r="BT215" s="4" t="n"/>
      <c r="BU215" s="4" t="n"/>
      <c r="BV215" s="4" t="n"/>
      <c r="BW215" s="4" t="n"/>
      <c r="BX215" s="4" t="n"/>
      <c r="BY215" s="4" t="n"/>
      <c r="BZ215" s="4" t="n"/>
      <c r="CA215" s="4" t="n"/>
      <c r="CB215" s="4" t="n"/>
      <c r="CC215" s="4" t="n"/>
      <c r="CD215" s="4" t="n"/>
      <c r="CE215" s="4" t="n"/>
      <c r="CF215" s="4" t="n"/>
      <c r="CG215" s="4" t="n"/>
      <c r="CH215" s="4" t="n"/>
      <c r="CI215" s="4" t="n"/>
      <c r="CJ215" s="4" t="n"/>
      <c r="CK215" s="4" t="n"/>
      <c r="CL215" s="4" t="n"/>
      <c r="CM215" s="4" t="n"/>
      <c r="CN215" s="4" t="n"/>
      <c r="CO215" s="4" t="n"/>
      <c r="CP215" s="4" t="n"/>
      <c r="CQ215" s="4" t="n"/>
      <c r="CR215" s="4" t="n"/>
      <c r="CS215" s="4" t="n"/>
      <c r="CT215" s="4" t="n"/>
      <c r="CU215" s="4" t="n"/>
      <c r="CV215" s="4" t="n"/>
      <c r="CW215" s="4" t="n"/>
      <c r="CX215" s="4" t="n"/>
      <c r="CY215" s="4" t="n"/>
      <c r="CZ215" s="4" t="n"/>
      <c r="DA215" s="4" t="n"/>
      <c r="DB215" s="4" t="n"/>
      <c r="DC215" s="4" t="n"/>
      <c r="DD215" s="4" t="n"/>
      <c r="DE215" s="4" t="n"/>
      <c r="DF215" s="4" t="n"/>
      <c r="DG215" s="4" t="n"/>
      <c r="DH215" s="4" t="n"/>
      <c r="DI215" s="4" t="n"/>
      <c r="DJ215" s="4" t="n"/>
      <c r="DK215" s="4" t="n"/>
      <c r="DL215" s="4" t="n"/>
      <c r="DM215" s="4" t="n"/>
      <c r="DN215" s="4" t="n"/>
      <c r="DO215" s="4" t="n"/>
      <c r="DP215" s="4" t="n"/>
      <c r="DQ215" s="4" t="n"/>
      <c r="DR215" s="4" t="n"/>
      <c r="DS215" s="4" t="n"/>
      <c r="DT215" s="4" t="n"/>
      <c r="DU215" s="4" t="n"/>
      <c r="DV215" s="4" t="n"/>
      <c r="DW215" s="4" t="n"/>
      <c r="DX215" s="4" t="n"/>
      <c r="DY215" s="4" t="n"/>
      <c r="DZ215" s="4" t="n"/>
      <c r="EA215" s="4" t="n"/>
      <c r="EB215" s="4" t="n"/>
      <c r="EC215" s="4" t="n"/>
      <c r="ED215" s="4" t="n"/>
      <c r="EE215" s="4" t="n"/>
      <c r="EF215" s="4" t="n"/>
      <c r="EG215" s="4" t="n"/>
      <c r="EH215" s="4" t="n"/>
      <c r="EI215" s="4" t="n"/>
      <c r="EJ215" s="4" t="n"/>
      <c r="EK215" s="4" t="n"/>
      <c r="EL215" s="4" t="n"/>
      <c r="EM215" s="4" t="n"/>
      <c r="EN215" s="4" t="n"/>
    </row>
    <row r="216" hidden="1" customFormat="1" s="6">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c r="AC216" s="4" t="n"/>
      <c r="AD216" s="4" t="n"/>
      <c r="AE216" s="4" t="n"/>
      <c r="AF216" s="4" t="n"/>
      <c r="AG216" s="4" t="n"/>
      <c r="AH216" s="4" t="n"/>
      <c r="AI216" s="4" t="n"/>
      <c r="AJ216" s="4" t="n"/>
      <c r="AK216" s="4" t="n"/>
      <c r="AL216" s="4" t="n"/>
      <c r="AM216" s="4" t="n"/>
      <c r="AN216" s="4" t="n"/>
      <c r="AO216" s="4" t="n"/>
      <c r="AP216" s="4" t="n"/>
      <c r="AQ216" s="4" t="n"/>
      <c r="AR216" s="4" t="n"/>
      <c r="AS216" s="4" t="n"/>
      <c r="AT216" s="4" t="n"/>
      <c r="AU216" s="4" t="n"/>
      <c r="AV216" s="4" t="n"/>
      <c r="AW216" s="4" t="n"/>
      <c r="AX216" s="4" t="n"/>
      <c r="AY216" s="4" t="n"/>
      <c r="AZ216" s="4" t="n"/>
      <c r="BA216" s="4" t="n"/>
      <c r="BB216" s="4" t="n"/>
      <c r="BC216" s="4" t="n"/>
      <c r="BD216" s="4" t="n"/>
      <c r="BE216" s="4" t="n"/>
      <c r="BF216" s="4" t="n"/>
      <c r="BG216" s="4" t="n"/>
      <c r="BH216" s="4" t="n"/>
      <c r="BI216" s="4" t="n"/>
      <c r="BJ216" s="4" t="n"/>
      <c r="BK216" s="4" t="n"/>
      <c r="BL216" s="4" t="n"/>
      <c r="BM216" s="4" t="n"/>
      <c r="BN216" s="4" t="n"/>
      <c r="BO216" s="4" t="n"/>
      <c r="BP216" s="4" t="n"/>
      <c r="BQ216" s="4" t="n"/>
      <c r="BR216" s="4" t="n"/>
      <c r="BS216" s="4" t="n"/>
      <c r="BT216" s="4" t="n"/>
      <c r="BU216" s="4" t="n"/>
      <c r="BV216" s="4" t="n"/>
      <c r="BW216" s="4" t="n"/>
      <c r="BX216" s="4" t="n"/>
      <c r="BY216" s="4" t="n"/>
      <c r="BZ216" s="4" t="n"/>
      <c r="CA216" s="4" t="n"/>
      <c r="CB216" s="4" t="n"/>
      <c r="CC216" s="4" t="n"/>
      <c r="CD216" s="4" t="n"/>
      <c r="CE216" s="4" t="n"/>
      <c r="CF216" s="4" t="n"/>
      <c r="CG216" s="4" t="n"/>
      <c r="CH216" s="4" t="n"/>
      <c r="CI216" s="4" t="n"/>
      <c r="CJ216" s="4" t="n"/>
      <c r="CK216" s="4" t="n"/>
      <c r="CL216" s="4" t="n"/>
      <c r="CM216" s="4" t="n"/>
      <c r="CN216" s="4" t="n"/>
      <c r="CO216" s="4" t="n"/>
      <c r="CP216" s="4" t="n"/>
      <c r="CQ216" s="4" t="n"/>
      <c r="CR216" s="4" t="n"/>
      <c r="CS216" s="4" t="n"/>
      <c r="CT216" s="4" t="n"/>
      <c r="CU216" s="4" t="n"/>
      <c r="CV216" s="4" t="n"/>
      <c r="CW216" s="4" t="n"/>
      <c r="CX216" s="4" t="n"/>
      <c r="CY216" s="4" t="n"/>
      <c r="CZ216" s="4" t="n"/>
      <c r="DA216" s="4" t="n"/>
      <c r="DB216" s="4" t="n"/>
      <c r="DC216" s="4" t="n"/>
      <c r="DD216" s="4" t="n"/>
      <c r="DE216" s="4" t="n"/>
      <c r="DF216" s="4" t="n"/>
      <c r="DG216" s="4" t="n"/>
      <c r="DH216" s="4" t="n"/>
      <c r="DI216" s="4" t="n"/>
      <c r="DJ216" s="4" t="n"/>
      <c r="DK216" s="4" t="n"/>
      <c r="DL216" s="4" t="n"/>
      <c r="DM216" s="4" t="n"/>
      <c r="DN216" s="4" t="n"/>
      <c r="DO216" s="4" t="n"/>
      <c r="DP216" s="4" t="n"/>
      <c r="DQ216" s="4" t="n"/>
      <c r="DR216" s="4" t="n"/>
      <c r="DS216" s="4" t="n"/>
      <c r="DT216" s="4" t="n"/>
      <c r="DU216" s="4" t="n"/>
      <c r="DV216" s="4" t="n"/>
      <c r="DW216" s="4" t="n"/>
      <c r="DX216" s="4" t="n"/>
      <c r="DY216" s="4" t="n"/>
      <c r="DZ216" s="4" t="n"/>
      <c r="EA216" s="4" t="n"/>
      <c r="EB216" s="4" t="n"/>
      <c r="EC216" s="4" t="n"/>
      <c r="ED216" s="4" t="n"/>
      <c r="EE216" s="4" t="n"/>
      <c r="EF216" s="4" t="n"/>
      <c r="EG216" s="4" t="n"/>
      <c r="EH216" s="4" t="n"/>
      <c r="EI216" s="4" t="n"/>
      <c r="EJ216" s="4" t="n"/>
      <c r="EK216" s="4" t="n"/>
      <c r="EL216" s="4" t="n"/>
      <c r="EM216" s="4" t="n"/>
      <c r="EN216" s="4" t="n"/>
    </row>
    <row r="217" hidden="1" customFormat="1" s="6">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c r="AC217" s="4" t="n"/>
      <c r="AD217" s="4" t="n"/>
      <c r="AE217" s="4" t="n"/>
      <c r="AF217" s="4" t="n"/>
      <c r="AG217" s="4" t="n"/>
      <c r="AH217" s="4" t="n"/>
      <c r="AI217" s="4" t="n"/>
      <c r="AJ217" s="4" t="n"/>
      <c r="AK217" s="4" t="n"/>
      <c r="AL217" s="4" t="n"/>
      <c r="AM217" s="4" t="n"/>
      <c r="AN217" s="4" t="n"/>
      <c r="AO217" s="4" t="n"/>
      <c r="AP217" s="4" t="n"/>
      <c r="AQ217" s="4" t="n"/>
      <c r="AR217" s="4" t="n"/>
      <c r="AS217" s="4" t="n"/>
      <c r="AT217" s="4" t="n"/>
      <c r="AU217" s="4" t="n"/>
      <c r="AV217" s="4" t="n"/>
      <c r="AW217" s="4" t="n"/>
      <c r="AX217" s="4" t="n"/>
      <c r="AY217" s="4" t="n"/>
      <c r="AZ217" s="4" t="n"/>
      <c r="BA217" s="4" t="n"/>
      <c r="BB217" s="4" t="n"/>
      <c r="BC217" s="4" t="n"/>
      <c r="BD217" s="4" t="n"/>
      <c r="BE217" s="4" t="n"/>
      <c r="BF217" s="4" t="n"/>
      <c r="BG217" s="4" t="n"/>
      <c r="BH217" s="4" t="n"/>
      <c r="BI217" s="4" t="n"/>
      <c r="BJ217" s="4" t="n"/>
      <c r="BK217" s="4" t="n"/>
      <c r="BL217" s="4" t="n"/>
      <c r="BM217" s="4" t="n"/>
      <c r="BN217" s="4" t="n"/>
      <c r="BO217" s="4" t="n"/>
      <c r="BP217" s="4" t="n"/>
      <c r="BQ217" s="4" t="n"/>
      <c r="BR217" s="4" t="n"/>
      <c r="BS217" s="4" t="n"/>
      <c r="BT217" s="4" t="n"/>
      <c r="BU217" s="4" t="n"/>
      <c r="BV217" s="4" t="n"/>
      <c r="BW217" s="4" t="n"/>
      <c r="BX217" s="4" t="n"/>
      <c r="BY217" s="4" t="n"/>
      <c r="BZ217" s="4" t="n"/>
      <c r="CA217" s="4" t="n"/>
      <c r="CB217" s="4" t="n"/>
      <c r="CC217" s="4" t="n"/>
      <c r="CD217" s="4" t="n"/>
      <c r="CE217" s="4" t="n"/>
      <c r="CF217" s="4" t="n"/>
      <c r="CG217" s="4" t="n"/>
      <c r="CH217" s="4" t="n"/>
      <c r="CI217" s="4" t="n"/>
      <c r="CJ217" s="4" t="n"/>
      <c r="CK217" s="4" t="n"/>
      <c r="CL217" s="4" t="n"/>
      <c r="CM217" s="4" t="n"/>
      <c r="CN217" s="4" t="n"/>
      <c r="CO217" s="4" t="n"/>
      <c r="CP217" s="4" t="n"/>
      <c r="CQ217" s="4" t="n"/>
      <c r="CR217" s="4" t="n"/>
      <c r="CS217" s="4" t="n"/>
      <c r="CT217" s="4" t="n"/>
      <c r="CU217" s="4" t="n"/>
      <c r="CV217" s="4" t="n"/>
      <c r="CW217" s="4" t="n"/>
      <c r="CX217" s="4" t="n"/>
      <c r="CY217" s="4" t="n"/>
      <c r="CZ217" s="4" t="n"/>
      <c r="DA217" s="4" t="n"/>
      <c r="DB217" s="4" t="n"/>
      <c r="DC217" s="4" t="n"/>
      <c r="DD217" s="4" t="n"/>
      <c r="DE217" s="4" t="n"/>
      <c r="DF217" s="4" t="n"/>
      <c r="DG217" s="4" t="n"/>
      <c r="DH217" s="4" t="n"/>
      <c r="DI217" s="4" t="n"/>
      <c r="DJ217" s="4" t="n"/>
      <c r="DK217" s="4" t="n"/>
      <c r="DL217" s="4" t="n"/>
      <c r="DM217" s="4" t="n"/>
      <c r="DN217" s="4" t="n"/>
      <c r="DO217" s="4" t="n"/>
      <c r="DP217" s="4" t="n"/>
      <c r="DQ217" s="4" t="n"/>
      <c r="DR217" s="4" t="n"/>
      <c r="DS217" s="4" t="n"/>
      <c r="DT217" s="4" t="n"/>
      <c r="DU217" s="4" t="n"/>
      <c r="DV217" s="4" t="n"/>
      <c r="DW217" s="4" t="n"/>
      <c r="DX217" s="4" t="n"/>
      <c r="DY217" s="4" t="n"/>
      <c r="DZ217" s="4" t="n"/>
      <c r="EA217" s="4" t="n"/>
      <c r="EB217" s="4" t="n"/>
      <c r="EC217" s="4" t="n"/>
      <c r="ED217" s="4" t="n"/>
      <c r="EE217" s="4" t="n"/>
      <c r="EF217" s="4" t="n"/>
      <c r="EG217" s="4" t="n"/>
      <c r="EH217" s="4" t="n"/>
      <c r="EI217" s="4" t="n"/>
      <c r="EJ217" s="4" t="n"/>
      <c r="EK217" s="4" t="n"/>
      <c r="EL217" s="4" t="n"/>
      <c r="EM217" s="4" t="n"/>
      <c r="EN217" s="4" t="n"/>
    </row>
    <row r="218" hidden="1" customFormat="1" s="6">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c r="AC218" s="4" t="n"/>
      <c r="AD218" s="4" t="n"/>
      <c r="AE218" s="4" t="n"/>
      <c r="AF218" s="4" t="n"/>
      <c r="AG218" s="4" t="n"/>
      <c r="AH218" s="4" t="n"/>
      <c r="AI218" s="4" t="n"/>
      <c r="AJ218" s="4" t="n"/>
      <c r="AK218" s="4" t="n"/>
      <c r="AL218" s="4" t="n"/>
      <c r="AM218" s="4" t="n"/>
      <c r="AN218" s="4" t="n"/>
      <c r="AO218" s="4" t="n"/>
      <c r="AP218" s="4" t="n"/>
      <c r="AQ218" s="4" t="n"/>
      <c r="AR218" s="4" t="n"/>
      <c r="AS218" s="4" t="n"/>
      <c r="AT218" s="4" t="n"/>
      <c r="AU218" s="4" t="n"/>
      <c r="AV218" s="4" t="n"/>
      <c r="AW218" s="4" t="n"/>
      <c r="AX218" s="4" t="n"/>
      <c r="AY218" s="4" t="n"/>
      <c r="AZ218" s="4" t="n"/>
      <c r="BA218" s="4" t="n"/>
      <c r="BB218" s="4" t="n"/>
      <c r="BC218" s="4" t="n"/>
      <c r="BD218" s="4" t="n"/>
      <c r="BE218" s="4" t="n"/>
      <c r="BF218" s="4" t="n"/>
      <c r="BG218" s="4" t="n"/>
      <c r="BH218" s="4" t="n"/>
      <c r="BI218" s="4" t="n"/>
      <c r="BJ218" s="4" t="n"/>
      <c r="BK218" s="4" t="n"/>
      <c r="BL218" s="4" t="n"/>
      <c r="BM218" s="4" t="n"/>
      <c r="BN218" s="4" t="n"/>
      <c r="BO218" s="4" t="n"/>
      <c r="BP218" s="4" t="n"/>
      <c r="BQ218" s="4" t="n"/>
      <c r="BR218" s="4" t="n"/>
      <c r="BS218" s="4" t="n"/>
      <c r="BT218" s="4" t="n"/>
      <c r="BU218" s="4" t="n"/>
      <c r="BV218" s="4" t="n"/>
      <c r="BW218" s="4" t="n"/>
      <c r="BX218" s="4" t="n"/>
      <c r="BY218" s="4" t="n"/>
      <c r="BZ218" s="4" t="n"/>
      <c r="CA218" s="4" t="n"/>
      <c r="CB218" s="4" t="n"/>
      <c r="CC218" s="4" t="n"/>
      <c r="CD218" s="4" t="n"/>
      <c r="CE218" s="4" t="n"/>
      <c r="CF218" s="4" t="n"/>
      <c r="CG218" s="4" t="n"/>
      <c r="CH218" s="4" t="n"/>
      <c r="CI218" s="4" t="n"/>
      <c r="CJ218" s="4" t="n"/>
      <c r="CK218" s="4" t="n"/>
      <c r="CL218" s="4" t="n"/>
      <c r="CM218" s="4" t="n"/>
      <c r="CN218" s="4" t="n"/>
      <c r="CO218" s="4" t="n"/>
      <c r="CP218" s="4" t="n"/>
      <c r="CQ218" s="4" t="n"/>
      <c r="CR218" s="4" t="n"/>
      <c r="CS218" s="4" t="n"/>
      <c r="CT218" s="4" t="n"/>
      <c r="CU218" s="4" t="n"/>
      <c r="CV218" s="4" t="n"/>
      <c r="CW218" s="4" t="n"/>
      <c r="CX218" s="4" t="n"/>
      <c r="CY218" s="4" t="n"/>
      <c r="CZ218" s="4" t="n"/>
      <c r="DA218" s="4" t="n"/>
      <c r="DB218" s="4" t="n"/>
      <c r="DC218" s="4" t="n"/>
      <c r="DD218" s="4" t="n"/>
      <c r="DE218" s="4" t="n"/>
      <c r="DF218" s="4" t="n"/>
      <c r="DG218" s="4" t="n"/>
      <c r="DH218" s="4" t="n"/>
      <c r="DI218" s="4" t="n"/>
      <c r="DJ218" s="4" t="n"/>
      <c r="DK218" s="4" t="n"/>
      <c r="DL218" s="4" t="n"/>
      <c r="DM218" s="4" t="n"/>
      <c r="DN218" s="4" t="n"/>
      <c r="DO218" s="4" t="n"/>
      <c r="DP218" s="4" t="n"/>
      <c r="DQ218" s="4" t="n"/>
      <c r="DR218" s="4" t="n"/>
      <c r="DS218" s="4" t="n"/>
      <c r="DT218" s="4" t="n"/>
      <c r="DU218" s="4" t="n"/>
      <c r="DV218" s="4" t="n"/>
      <c r="DW218" s="4" t="n"/>
      <c r="DX218" s="4" t="n"/>
      <c r="DY218" s="4" t="n"/>
      <c r="DZ218" s="4" t="n"/>
      <c r="EA218" s="4" t="n"/>
      <c r="EB218" s="4" t="n"/>
      <c r="EC218" s="4" t="n"/>
      <c r="ED218" s="4" t="n"/>
      <c r="EE218" s="4" t="n"/>
      <c r="EF218" s="4" t="n"/>
      <c r="EG218" s="4" t="n"/>
      <c r="EH218" s="4" t="n"/>
      <c r="EI218" s="4" t="n"/>
      <c r="EJ218" s="4" t="n"/>
      <c r="EK218" s="4" t="n"/>
      <c r="EL218" s="4" t="n"/>
      <c r="EM218" s="4" t="n"/>
      <c r="EN218" s="4" t="n"/>
    </row>
    <row r="219" hidden="1" customFormat="1" s="6">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c r="AC219" s="4" t="n"/>
      <c r="AD219" s="4" t="n"/>
      <c r="AE219" s="4" t="n"/>
      <c r="AF219" s="4" t="n"/>
      <c r="AG219" s="4" t="n"/>
      <c r="AH219" s="4" t="n"/>
      <c r="AI219" s="4" t="n"/>
      <c r="AJ219" s="4" t="n"/>
      <c r="AK219" s="4" t="n"/>
      <c r="AL219" s="4" t="n"/>
      <c r="AM219" s="4" t="n"/>
      <c r="AN219" s="4" t="n"/>
      <c r="AO219" s="4" t="n"/>
      <c r="AP219" s="4" t="n"/>
      <c r="AQ219" s="4" t="n"/>
      <c r="AR219" s="4" t="n"/>
      <c r="AS219" s="4" t="n"/>
      <c r="AT219" s="4" t="n"/>
      <c r="AU219" s="4" t="n"/>
      <c r="AV219" s="4" t="n"/>
      <c r="AW219" s="4" t="n"/>
      <c r="AX219" s="4" t="n"/>
      <c r="AY219" s="4" t="n"/>
      <c r="AZ219" s="4" t="n"/>
      <c r="BA219" s="4" t="n"/>
      <c r="BB219" s="4" t="n"/>
      <c r="BC219" s="4" t="n"/>
      <c r="BD219" s="4" t="n"/>
      <c r="BE219" s="4" t="n"/>
      <c r="BF219" s="4" t="n"/>
      <c r="BG219" s="4" t="n"/>
      <c r="BH219" s="4" t="n"/>
      <c r="BI219" s="4" t="n"/>
      <c r="BJ219" s="4" t="n"/>
      <c r="BK219" s="4" t="n"/>
      <c r="BL219" s="4" t="n"/>
      <c r="BM219" s="4" t="n"/>
      <c r="BN219" s="4" t="n"/>
      <c r="BO219" s="4" t="n"/>
      <c r="BP219" s="4" t="n"/>
      <c r="BQ219" s="4" t="n"/>
      <c r="BR219" s="4" t="n"/>
      <c r="BS219" s="4" t="n"/>
      <c r="BT219" s="4" t="n"/>
      <c r="BU219" s="4" t="n"/>
      <c r="BV219" s="4" t="n"/>
      <c r="BW219" s="4" t="n"/>
      <c r="BX219" s="4" t="n"/>
      <c r="BY219" s="4" t="n"/>
      <c r="BZ219" s="4" t="n"/>
      <c r="CA219" s="4" t="n"/>
      <c r="CB219" s="4" t="n"/>
      <c r="CC219" s="4" t="n"/>
      <c r="CD219" s="4" t="n"/>
      <c r="CE219" s="4" t="n"/>
      <c r="CF219" s="4" t="n"/>
      <c r="CG219" s="4" t="n"/>
      <c r="CH219" s="4" t="n"/>
      <c r="CI219" s="4" t="n"/>
      <c r="CJ219" s="4" t="n"/>
      <c r="CK219" s="4" t="n"/>
      <c r="CL219" s="4" t="n"/>
      <c r="CM219" s="4" t="n"/>
      <c r="CN219" s="4" t="n"/>
      <c r="CO219" s="4" t="n"/>
      <c r="CP219" s="4" t="n"/>
      <c r="CQ219" s="4" t="n"/>
      <c r="CR219" s="4" t="n"/>
      <c r="CS219" s="4" t="n"/>
      <c r="CT219" s="4" t="n"/>
      <c r="CU219" s="4" t="n"/>
      <c r="CV219" s="4" t="n"/>
      <c r="CW219" s="4" t="n"/>
      <c r="CX219" s="4" t="n"/>
      <c r="CY219" s="4" t="n"/>
      <c r="CZ219" s="4" t="n"/>
      <c r="DA219" s="4" t="n"/>
      <c r="DB219" s="4" t="n"/>
      <c r="DC219" s="4" t="n"/>
      <c r="DD219" s="4" t="n"/>
      <c r="DE219" s="4" t="n"/>
      <c r="DF219" s="4" t="n"/>
      <c r="DG219" s="4" t="n"/>
      <c r="DH219" s="4" t="n"/>
      <c r="DI219" s="4" t="n"/>
      <c r="DJ219" s="4" t="n"/>
      <c r="DK219" s="4" t="n"/>
      <c r="DL219" s="4" t="n"/>
      <c r="DM219" s="4" t="n"/>
      <c r="DN219" s="4" t="n"/>
      <c r="DO219" s="4" t="n"/>
      <c r="DP219" s="4" t="n"/>
      <c r="DQ219" s="4" t="n"/>
      <c r="DR219" s="4" t="n"/>
      <c r="DS219" s="4" t="n"/>
      <c r="DT219" s="4" t="n"/>
      <c r="DU219" s="4" t="n"/>
      <c r="DV219" s="4" t="n"/>
      <c r="DW219" s="4" t="n"/>
      <c r="DX219" s="4" t="n"/>
      <c r="DY219" s="4" t="n"/>
      <c r="DZ219" s="4" t="n"/>
      <c r="EA219" s="4" t="n"/>
      <c r="EB219" s="4" t="n"/>
      <c r="EC219" s="4" t="n"/>
      <c r="ED219" s="4" t="n"/>
      <c r="EE219" s="4" t="n"/>
      <c r="EF219" s="4" t="n"/>
      <c r="EG219" s="4" t="n"/>
      <c r="EH219" s="4" t="n"/>
      <c r="EI219" s="4" t="n"/>
      <c r="EJ219" s="4" t="n"/>
      <c r="EK219" s="4" t="n"/>
      <c r="EL219" s="4" t="n"/>
      <c r="EM219" s="4" t="n"/>
      <c r="EN219" s="4" t="n"/>
    </row>
    <row r="220" hidden="1" customFormat="1" s="6">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c r="AC220" s="4" t="n"/>
      <c r="AD220" s="4" t="n"/>
      <c r="AE220" s="4" t="n"/>
      <c r="AF220" s="4" t="n"/>
      <c r="AG220" s="4" t="n"/>
      <c r="AH220" s="4" t="n"/>
      <c r="AI220" s="4" t="n"/>
      <c r="AJ220" s="4" t="n"/>
      <c r="AK220" s="4" t="n"/>
      <c r="AL220" s="4" t="n"/>
      <c r="AM220" s="4" t="n"/>
      <c r="AN220" s="4" t="n"/>
      <c r="AO220" s="4" t="n"/>
      <c r="AP220" s="4" t="n"/>
      <c r="AQ220" s="4" t="n"/>
      <c r="AR220" s="4" t="n"/>
      <c r="AS220" s="4" t="n"/>
      <c r="AT220" s="4" t="n"/>
      <c r="AU220" s="4" t="n"/>
      <c r="AV220" s="4" t="n"/>
      <c r="AW220" s="4" t="n"/>
      <c r="AX220" s="4" t="n"/>
      <c r="AY220" s="4" t="n"/>
      <c r="AZ220" s="4" t="n"/>
      <c r="BA220" s="4" t="n"/>
      <c r="BB220" s="4" t="n"/>
      <c r="BC220" s="4" t="n"/>
      <c r="BD220" s="4" t="n"/>
      <c r="BE220" s="4" t="n"/>
      <c r="BF220" s="4" t="n"/>
      <c r="BG220" s="4" t="n"/>
      <c r="BH220" s="4" t="n"/>
      <c r="BI220" s="4" t="n"/>
      <c r="BJ220" s="4" t="n"/>
      <c r="BK220" s="4" t="n"/>
      <c r="BL220" s="4" t="n"/>
      <c r="BM220" s="4" t="n"/>
      <c r="BN220" s="4" t="n"/>
      <c r="BO220" s="4" t="n"/>
      <c r="BP220" s="4" t="n"/>
      <c r="BQ220" s="4" t="n"/>
      <c r="BR220" s="4" t="n"/>
      <c r="BS220" s="4" t="n"/>
      <c r="BT220" s="4" t="n"/>
      <c r="BU220" s="4" t="n"/>
      <c r="BV220" s="4" t="n"/>
      <c r="BW220" s="4" t="n"/>
      <c r="BX220" s="4" t="n"/>
      <c r="BY220" s="4" t="n"/>
      <c r="BZ220" s="4" t="n"/>
      <c r="CA220" s="4" t="n"/>
      <c r="CB220" s="4" t="n"/>
      <c r="CC220" s="4" t="n"/>
      <c r="CD220" s="4" t="n"/>
      <c r="CE220" s="4" t="n"/>
      <c r="CF220" s="4" t="n"/>
      <c r="CG220" s="4" t="n"/>
      <c r="CH220" s="4" t="n"/>
      <c r="CI220" s="4" t="n"/>
      <c r="CJ220" s="4" t="n"/>
      <c r="CK220" s="4" t="n"/>
      <c r="CL220" s="4" t="n"/>
      <c r="CM220" s="4" t="n"/>
      <c r="CN220" s="4" t="n"/>
      <c r="CO220" s="4" t="n"/>
      <c r="CP220" s="4" t="n"/>
      <c r="CQ220" s="4" t="n"/>
      <c r="CR220" s="4" t="n"/>
      <c r="CS220" s="4" t="n"/>
      <c r="CT220" s="4" t="n"/>
      <c r="CU220" s="4" t="n"/>
      <c r="CV220" s="4" t="n"/>
      <c r="CW220" s="4" t="n"/>
      <c r="CX220" s="4" t="n"/>
      <c r="CY220" s="4" t="n"/>
      <c r="CZ220" s="4" t="n"/>
      <c r="DA220" s="4" t="n"/>
      <c r="DB220" s="4" t="n"/>
      <c r="DC220" s="4" t="n"/>
      <c r="DD220" s="4" t="n"/>
      <c r="DE220" s="4" t="n"/>
      <c r="DF220" s="4" t="n"/>
      <c r="DG220" s="4" t="n"/>
      <c r="DH220" s="4" t="n"/>
      <c r="DI220" s="4" t="n"/>
      <c r="DJ220" s="4" t="n"/>
      <c r="DK220" s="4" t="n"/>
      <c r="DL220" s="4" t="n"/>
      <c r="DM220" s="4" t="n"/>
      <c r="DN220" s="4" t="n"/>
      <c r="DO220" s="4" t="n"/>
      <c r="DP220" s="4" t="n"/>
      <c r="DQ220" s="4" t="n"/>
      <c r="DR220" s="4" t="n"/>
      <c r="DS220" s="4" t="n"/>
      <c r="DT220" s="4" t="n"/>
      <c r="DU220" s="4" t="n"/>
      <c r="DV220" s="4" t="n"/>
      <c r="DW220" s="4" t="n"/>
      <c r="DX220" s="4" t="n"/>
      <c r="DY220" s="4" t="n"/>
      <c r="DZ220" s="4" t="n"/>
      <c r="EA220" s="4" t="n"/>
      <c r="EB220" s="4" t="n"/>
      <c r="EC220" s="4" t="n"/>
      <c r="ED220" s="4" t="n"/>
      <c r="EE220" s="4" t="n"/>
      <c r="EF220" s="4" t="n"/>
      <c r="EG220" s="4" t="n"/>
      <c r="EH220" s="4" t="n"/>
      <c r="EI220" s="4" t="n"/>
      <c r="EJ220" s="4" t="n"/>
      <c r="EK220" s="4" t="n"/>
      <c r="EL220" s="4" t="n"/>
      <c r="EM220" s="4" t="n"/>
      <c r="EN220" s="4" t="n"/>
    </row>
    <row r="221" hidden="1" customFormat="1" s="6">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c r="AC221" s="4" t="n"/>
      <c r="AD221" s="4" t="n"/>
      <c r="AE221" s="4" t="n"/>
      <c r="AF221" s="4" t="n"/>
      <c r="AG221" s="4" t="n"/>
      <c r="AH221" s="4" t="n"/>
      <c r="AI221" s="4" t="n"/>
      <c r="AJ221" s="4" t="n"/>
      <c r="AK221" s="4" t="n"/>
      <c r="AL221" s="4" t="n"/>
      <c r="AM221" s="4" t="n"/>
      <c r="AN221" s="4" t="n"/>
      <c r="AO221" s="4" t="n"/>
      <c r="AP221" s="4" t="n"/>
      <c r="AQ221" s="4" t="n"/>
      <c r="AR221" s="4" t="n"/>
      <c r="AS221" s="4" t="n"/>
      <c r="AT221" s="4" t="n"/>
      <c r="AU221" s="4" t="n"/>
      <c r="AV221" s="4" t="n"/>
      <c r="AW221" s="4" t="n"/>
      <c r="AX221" s="4" t="n"/>
      <c r="AY221" s="4" t="n"/>
      <c r="AZ221" s="4" t="n"/>
      <c r="BA221" s="4" t="n"/>
      <c r="BB221" s="4" t="n"/>
      <c r="BC221" s="4" t="n"/>
      <c r="BD221" s="4" t="n"/>
      <c r="BE221" s="4" t="n"/>
      <c r="BF221" s="4" t="n"/>
      <c r="BG221" s="4" t="n"/>
      <c r="BH221" s="4" t="n"/>
      <c r="BI221" s="4" t="n"/>
      <c r="BJ221" s="4" t="n"/>
      <c r="BK221" s="4" t="n"/>
      <c r="BL221" s="4" t="n"/>
      <c r="BM221" s="4" t="n"/>
      <c r="BN221" s="4" t="n"/>
      <c r="BO221" s="4" t="n"/>
      <c r="BP221" s="4" t="n"/>
      <c r="BQ221" s="4" t="n"/>
      <c r="BR221" s="4" t="n"/>
      <c r="BS221" s="4" t="n"/>
      <c r="BT221" s="4" t="n"/>
      <c r="BU221" s="4" t="n"/>
      <c r="BV221" s="4" t="n"/>
      <c r="BW221" s="4" t="n"/>
      <c r="BX221" s="4" t="n"/>
      <c r="BY221" s="4" t="n"/>
      <c r="BZ221" s="4" t="n"/>
      <c r="CA221" s="4" t="n"/>
      <c r="CB221" s="4" t="n"/>
      <c r="CC221" s="4" t="n"/>
      <c r="CD221" s="4" t="n"/>
      <c r="CE221" s="4" t="n"/>
      <c r="CF221" s="4" t="n"/>
      <c r="CG221" s="4" t="n"/>
      <c r="CH221" s="4" t="n"/>
      <c r="CI221" s="4" t="n"/>
      <c r="CJ221" s="4" t="n"/>
      <c r="CK221" s="4" t="n"/>
      <c r="CL221" s="4" t="n"/>
      <c r="CM221" s="4" t="n"/>
      <c r="CN221" s="4" t="n"/>
      <c r="CO221" s="4" t="n"/>
      <c r="CP221" s="4" t="n"/>
      <c r="CQ221" s="4" t="n"/>
      <c r="CR221" s="4" t="n"/>
      <c r="CS221" s="4" t="n"/>
      <c r="CT221" s="4" t="n"/>
      <c r="CU221" s="4" t="n"/>
      <c r="CV221" s="4" t="n"/>
      <c r="CW221" s="4" t="n"/>
      <c r="CX221" s="4" t="n"/>
      <c r="CY221" s="4" t="n"/>
      <c r="CZ221" s="4" t="n"/>
      <c r="DA221" s="4" t="n"/>
      <c r="DB221" s="4" t="n"/>
      <c r="DC221" s="4" t="n"/>
      <c r="DD221" s="4" t="n"/>
      <c r="DE221" s="4" t="n"/>
      <c r="DF221" s="4" t="n"/>
      <c r="DG221" s="4" t="n"/>
      <c r="DH221" s="4" t="n"/>
      <c r="DI221" s="4" t="n"/>
      <c r="DJ221" s="4" t="n"/>
      <c r="DK221" s="4" t="n"/>
      <c r="DL221" s="4" t="n"/>
      <c r="DM221" s="4" t="n"/>
      <c r="DN221" s="4" t="n"/>
      <c r="DO221" s="4" t="n"/>
      <c r="DP221" s="4" t="n"/>
      <c r="DQ221" s="4" t="n"/>
      <c r="DR221" s="4" t="n"/>
      <c r="DS221" s="4" t="n"/>
      <c r="DT221" s="4" t="n"/>
      <c r="DU221" s="4" t="n"/>
      <c r="DV221" s="4" t="n"/>
      <c r="DW221" s="4" t="n"/>
      <c r="DX221" s="4" t="n"/>
      <c r="DY221" s="4" t="n"/>
      <c r="DZ221" s="4" t="n"/>
      <c r="EA221" s="4" t="n"/>
      <c r="EB221" s="4" t="n"/>
      <c r="EC221" s="4" t="n"/>
      <c r="ED221" s="4" t="n"/>
      <c r="EE221" s="4" t="n"/>
      <c r="EF221" s="4" t="n"/>
      <c r="EG221" s="4" t="n"/>
      <c r="EH221" s="4" t="n"/>
      <c r="EI221" s="4" t="n"/>
      <c r="EJ221" s="4" t="n"/>
      <c r="EK221" s="4" t="n"/>
      <c r="EL221" s="4" t="n"/>
      <c r="EM221" s="4" t="n"/>
      <c r="EN221" s="4" t="n"/>
    </row>
    <row r="222" hidden="1" customFormat="1" s="6">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c r="AC222" s="4" t="n"/>
      <c r="AD222" s="4" t="n"/>
      <c r="AE222" s="4" t="n"/>
      <c r="AF222" s="4" t="n"/>
      <c r="AG222" s="4" t="n"/>
      <c r="AH222" s="4" t="n"/>
      <c r="AI222" s="4" t="n"/>
      <c r="AJ222" s="4" t="n"/>
      <c r="AK222" s="4" t="n"/>
      <c r="AL222" s="4" t="n"/>
      <c r="AM222" s="4" t="n"/>
      <c r="AN222" s="4" t="n"/>
      <c r="AO222" s="4" t="n"/>
      <c r="AP222" s="4" t="n"/>
      <c r="AQ222" s="4" t="n"/>
      <c r="AR222" s="4" t="n"/>
      <c r="AS222" s="4" t="n"/>
      <c r="AT222" s="4" t="n"/>
      <c r="AU222" s="4" t="n"/>
      <c r="AV222" s="4" t="n"/>
      <c r="AW222" s="4" t="n"/>
      <c r="AX222" s="4" t="n"/>
      <c r="AY222" s="4" t="n"/>
      <c r="AZ222" s="4" t="n"/>
      <c r="BA222" s="4" t="n"/>
      <c r="BB222" s="4" t="n"/>
      <c r="BC222" s="4" t="n"/>
      <c r="BD222" s="4" t="n"/>
      <c r="BE222" s="4" t="n"/>
      <c r="BF222" s="4" t="n"/>
      <c r="BG222" s="4" t="n"/>
      <c r="BH222" s="4" t="n"/>
      <c r="BI222" s="4" t="n"/>
      <c r="BJ222" s="4" t="n"/>
      <c r="BK222" s="4" t="n"/>
      <c r="BL222" s="4" t="n"/>
      <c r="BM222" s="4" t="n"/>
      <c r="BN222" s="4" t="n"/>
      <c r="BO222" s="4" t="n"/>
      <c r="BP222" s="4" t="n"/>
      <c r="BQ222" s="4" t="n"/>
      <c r="BR222" s="4" t="n"/>
      <c r="BS222" s="4" t="n"/>
      <c r="BT222" s="4" t="n"/>
      <c r="BU222" s="4" t="n"/>
      <c r="BV222" s="4" t="n"/>
      <c r="BW222" s="4" t="n"/>
      <c r="BX222" s="4" t="n"/>
      <c r="BY222" s="4" t="n"/>
      <c r="BZ222" s="4" t="n"/>
      <c r="CA222" s="4" t="n"/>
      <c r="CB222" s="4" t="n"/>
      <c r="CC222" s="4" t="n"/>
      <c r="CD222" s="4" t="n"/>
      <c r="CE222" s="4" t="n"/>
      <c r="CF222" s="4" t="n"/>
      <c r="CG222" s="4" t="n"/>
      <c r="CH222" s="4" t="n"/>
      <c r="CI222" s="4" t="n"/>
      <c r="CJ222" s="4" t="n"/>
      <c r="CK222" s="4" t="n"/>
      <c r="CL222" s="4" t="n"/>
      <c r="CM222" s="4" t="n"/>
      <c r="CN222" s="4" t="n"/>
      <c r="CO222" s="4" t="n"/>
      <c r="CP222" s="4" t="n"/>
      <c r="CQ222" s="4" t="n"/>
      <c r="CR222" s="4" t="n"/>
      <c r="CS222" s="4" t="n"/>
      <c r="CT222" s="4" t="n"/>
      <c r="CU222" s="4" t="n"/>
      <c r="CV222" s="4" t="n"/>
      <c r="CW222" s="4" t="n"/>
      <c r="CX222" s="4" t="n"/>
      <c r="CY222" s="4" t="n"/>
      <c r="CZ222" s="4" t="n"/>
      <c r="DA222" s="4" t="n"/>
      <c r="DB222" s="4" t="n"/>
      <c r="DC222" s="4" t="n"/>
      <c r="DD222" s="4" t="n"/>
      <c r="DE222" s="4" t="n"/>
      <c r="DF222" s="4" t="n"/>
      <c r="DG222" s="4" t="n"/>
      <c r="DH222" s="4" t="n"/>
      <c r="DI222" s="4" t="n"/>
      <c r="DJ222" s="4" t="n"/>
      <c r="DK222" s="4" t="n"/>
      <c r="DL222" s="4" t="n"/>
      <c r="DM222" s="4" t="n"/>
      <c r="DN222" s="4" t="n"/>
      <c r="DO222" s="4" t="n"/>
      <c r="DP222" s="4" t="n"/>
      <c r="DQ222" s="4" t="n"/>
      <c r="DR222" s="4" t="n"/>
      <c r="DS222" s="4" t="n"/>
      <c r="DT222" s="4" t="n"/>
      <c r="DU222" s="4" t="n"/>
      <c r="DV222" s="4" t="n"/>
      <c r="DW222" s="4" t="n"/>
      <c r="DX222" s="4" t="n"/>
      <c r="DY222" s="4" t="n"/>
      <c r="DZ222" s="4" t="n"/>
      <c r="EA222" s="4" t="n"/>
      <c r="EB222" s="4" t="n"/>
      <c r="EC222" s="4" t="n"/>
      <c r="ED222" s="4" t="n"/>
      <c r="EE222" s="4" t="n"/>
      <c r="EF222" s="4" t="n"/>
      <c r="EG222" s="4" t="n"/>
      <c r="EH222" s="4" t="n"/>
      <c r="EI222" s="4" t="n"/>
      <c r="EJ222" s="4" t="n"/>
      <c r="EK222" s="4" t="n"/>
      <c r="EL222" s="4" t="n"/>
      <c r="EM222" s="4" t="n"/>
      <c r="EN222" s="4" t="n"/>
    </row>
    <row r="223" hidden="1" customFormat="1" s="6">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c r="AC223" s="4" t="n"/>
      <c r="AD223" s="4" t="n"/>
      <c r="AE223" s="4" t="n"/>
      <c r="AF223" s="4" t="n"/>
      <c r="AG223" s="4" t="n"/>
      <c r="AH223" s="4" t="n"/>
      <c r="AI223" s="4" t="n"/>
      <c r="AJ223" s="4" t="n"/>
      <c r="AK223" s="4" t="n"/>
      <c r="AL223" s="4" t="n"/>
      <c r="AM223" s="4" t="n"/>
      <c r="AN223" s="4" t="n"/>
      <c r="AO223" s="4" t="n"/>
      <c r="AP223" s="4" t="n"/>
      <c r="AQ223" s="4" t="n"/>
      <c r="AR223" s="4" t="n"/>
      <c r="AS223" s="4" t="n"/>
      <c r="AT223" s="4" t="n"/>
      <c r="AU223" s="4" t="n"/>
      <c r="AV223" s="4" t="n"/>
      <c r="AW223" s="4" t="n"/>
      <c r="AX223" s="4" t="n"/>
      <c r="AY223" s="4" t="n"/>
      <c r="AZ223" s="4" t="n"/>
      <c r="BA223" s="4" t="n"/>
      <c r="BB223" s="4" t="n"/>
      <c r="BC223" s="4" t="n"/>
      <c r="BD223" s="4" t="n"/>
      <c r="BE223" s="4" t="n"/>
      <c r="BF223" s="4" t="n"/>
      <c r="BG223" s="4" t="n"/>
      <c r="BH223" s="4" t="n"/>
      <c r="BI223" s="4" t="n"/>
      <c r="BJ223" s="4" t="n"/>
      <c r="BK223" s="4" t="n"/>
      <c r="BL223" s="4" t="n"/>
      <c r="BM223" s="4" t="n"/>
      <c r="BN223" s="4" t="n"/>
      <c r="BO223" s="4" t="n"/>
      <c r="BP223" s="4" t="n"/>
      <c r="BQ223" s="4" t="n"/>
      <c r="BR223" s="4" t="n"/>
      <c r="BS223" s="4" t="n"/>
      <c r="BT223" s="4" t="n"/>
      <c r="BU223" s="4" t="n"/>
      <c r="BV223" s="4" t="n"/>
      <c r="BW223" s="4" t="n"/>
      <c r="BX223" s="4" t="n"/>
      <c r="BY223" s="4" t="n"/>
      <c r="BZ223" s="4" t="n"/>
      <c r="CA223" s="4" t="n"/>
      <c r="CB223" s="4" t="n"/>
      <c r="CC223" s="4" t="n"/>
      <c r="CD223" s="4" t="n"/>
      <c r="CE223" s="4" t="n"/>
      <c r="CF223" s="4" t="n"/>
      <c r="CG223" s="4" t="n"/>
      <c r="CH223" s="4" t="n"/>
      <c r="CI223" s="4" t="n"/>
      <c r="CJ223" s="4" t="n"/>
      <c r="CK223" s="4" t="n"/>
      <c r="CL223" s="4" t="n"/>
      <c r="CM223" s="4" t="n"/>
      <c r="CN223" s="4" t="n"/>
      <c r="CO223" s="4" t="n"/>
      <c r="CP223" s="4" t="n"/>
      <c r="CQ223" s="4" t="n"/>
      <c r="CR223" s="4" t="n"/>
      <c r="CS223" s="4" t="n"/>
      <c r="CT223" s="4" t="n"/>
      <c r="CU223" s="4" t="n"/>
      <c r="CV223" s="4" t="n"/>
      <c r="CW223" s="4" t="n"/>
      <c r="CX223" s="4" t="n"/>
      <c r="CY223" s="4" t="n"/>
      <c r="CZ223" s="4" t="n"/>
      <c r="DA223" s="4" t="n"/>
      <c r="DB223" s="4" t="n"/>
      <c r="DC223" s="4" t="n"/>
      <c r="DD223" s="4" t="n"/>
      <c r="DE223" s="4" t="n"/>
      <c r="DF223" s="4" t="n"/>
      <c r="DG223" s="4" t="n"/>
      <c r="DH223" s="4" t="n"/>
      <c r="DI223" s="4" t="n"/>
      <c r="DJ223" s="4" t="n"/>
      <c r="DK223" s="4" t="n"/>
      <c r="DL223" s="4" t="n"/>
      <c r="DM223" s="4" t="n"/>
      <c r="DN223" s="4" t="n"/>
      <c r="DO223" s="4" t="n"/>
      <c r="DP223" s="4" t="n"/>
      <c r="DQ223" s="4" t="n"/>
      <c r="DR223" s="4" t="n"/>
      <c r="DS223" s="4" t="n"/>
      <c r="DT223" s="4" t="n"/>
      <c r="DU223" s="4" t="n"/>
      <c r="DV223" s="4" t="n"/>
      <c r="DW223" s="4" t="n"/>
      <c r="DX223" s="4" t="n"/>
      <c r="DY223" s="4" t="n"/>
      <c r="DZ223" s="4" t="n"/>
      <c r="EA223" s="4" t="n"/>
      <c r="EB223" s="4" t="n"/>
      <c r="EC223" s="4" t="n"/>
      <c r="ED223" s="4" t="n"/>
      <c r="EE223" s="4" t="n"/>
      <c r="EF223" s="4" t="n"/>
      <c r="EG223" s="4" t="n"/>
      <c r="EH223" s="4" t="n"/>
      <c r="EI223" s="4" t="n"/>
      <c r="EJ223" s="4" t="n"/>
      <c r="EK223" s="4" t="n"/>
      <c r="EL223" s="4" t="n"/>
      <c r="EM223" s="4" t="n"/>
      <c r="EN223" s="4" t="n"/>
    </row>
    <row r="224" hidden="1" customFormat="1" s="6">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c r="AD224" s="4" t="n"/>
      <c r="AE224" s="4" t="n"/>
      <c r="AF224" s="4" t="n"/>
      <c r="AG224" s="4" t="n"/>
      <c r="AH224" s="4" t="n"/>
      <c r="AI224" s="4" t="n"/>
      <c r="AJ224" s="4" t="n"/>
      <c r="AK224" s="4" t="n"/>
      <c r="AL224" s="4" t="n"/>
      <c r="AM224" s="4" t="n"/>
      <c r="AN224" s="4" t="n"/>
      <c r="AO224" s="4" t="n"/>
      <c r="AP224" s="4" t="n"/>
      <c r="AQ224" s="4" t="n"/>
      <c r="AR224" s="4" t="n"/>
      <c r="AS224" s="4" t="n"/>
      <c r="AT224" s="4" t="n"/>
      <c r="AU224" s="4" t="n"/>
      <c r="AV224" s="4" t="n"/>
      <c r="AW224" s="4" t="n"/>
      <c r="AX224" s="4" t="n"/>
      <c r="AY224" s="4" t="n"/>
      <c r="AZ224" s="4" t="n"/>
      <c r="BA224" s="4" t="n"/>
      <c r="BB224" s="4" t="n"/>
      <c r="BC224" s="4" t="n"/>
      <c r="BD224" s="4" t="n"/>
      <c r="BE224" s="4" t="n"/>
      <c r="BF224" s="4" t="n"/>
      <c r="BG224" s="4" t="n"/>
      <c r="BH224" s="4" t="n"/>
      <c r="BI224" s="4" t="n"/>
      <c r="BJ224" s="4" t="n"/>
      <c r="BK224" s="4" t="n"/>
      <c r="BL224" s="4" t="n"/>
      <c r="BM224" s="4" t="n"/>
      <c r="BN224" s="4" t="n"/>
      <c r="BO224" s="4" t="n"/>
      <c r="BP224" s="4" t="n"/>
      <c r="BQ224" s="4" t="n"/>
      <c r="BR224" s="4" t="n"/>
      <c r="BS224" s="4" t="n"/>
      <c r="BT224" s="4" t="n"/>
      <c r="BU224" s="4" t="n"/>
      <c r="BV224" s="4" t="n"/>
      <c r="BW224" s="4" t="n"/>
      <c r="BX224" s="4" t="n"/>
      <c r="BY224" s="4" t="n"/>
      <c r="BZ224" s="4" t="n"/>
      <c r="CA224" s="4" t="n"/>
      <c r="CB224" s="4" t="n"/>
      <c r="CC224" s="4" t="n"/>
      <c r="CD224" s="4" t="n"/>
      <c r="CE224" s="4" t="n"/>
      <c r="CF224" s="4" t="n"/>
      <c r="CG224" s="4" t="n"/>
      <c r="CH224" s="4" t="n"/>
      <c r="CI224" s="4" t="n"/>
      <c r="CJ224" s="4" t="n"/>
      <c r="CK224" s="4" t="n"/>
      <c r="CL224" s="4" t="n"/>
      <c r="CM224" s="4" t="n"/>
      <c r="CN224" s="4" t="n"/>
      <c r="CO224" s="4" t="n"/>
      <c r="CP224" s="4" t="n"/>
      <c r="CQ224" s="4" t="n"/>
      <c r="CR224" s="4" t="n"/>
      <c r="CS224" s="4" t="n"/>
      <c r="CT224" s="4" t="n"/>
      <c r="CU224" s="4" t="n"/>
      <c r="CV224" s="4" t="n"/>
      <c r="CW224" s="4" t="n"/>
      <c r="CX224" s="4" t="n"/>
      <c r="CY224" s="4" t="n"/>
      <c r="CZ224" s="4" t="n"/>
      <c r="DA224" s="4" t="n"/>
      <c r="DB224" s="4" t="n"/>
      <c r="DC224" s="4" t="n"/>
      <c r="DD224" s="4" t="n"/>
      <c r="DE224" s="4" t="n"/>
      <c r="DF224" s="4" t="n"/>
      <c r="DG224" s="4" t="n"/>
      <c r="DH224" s="4" t="n"/>
      <c r="DI224" s="4" t="n"/>
      <c r="DJ224" s="4" t="n"/>
      <c r="DK224" s="4" t="n"/>
      <c r="DL224" s="4" t="n"/>
      <c r="DM224" s="4" t="n"/>
      <c r="DN224" s="4" t="n"/>
      <c r="DO224" s="4" t="n"/>
      <c r="DP224" s="4" t="n"/>
      <c r="DQ224" s="4" t="n"/>
      <c r="DR224" s="4" t="n"/>
      <c r="DS224" s="4" t="n"/>
      <c r="DT224" s="4" t="n"/>
      <c r="DU224" s="4" t="n"/>
      <c r="DV224" s="4" t="n"/>
      <c r="DW224" s="4" t="n"/>
      <c r="DX224" s="4" t="n"/>
      <c r="DY224" s="4" t="n"/>
      <c r="DZ224" s="4" t="n"/>
      <c r="EA224" s="4" t="n"/>
      <c r="EB224" s="4" t="n"/>
      <c r="EC224" s="4" t="n"/>
      <c r="ED224" s="4" t="n"/>
      <c r="EE224" s="4" t="n"/>
      <c r="EF224" s="4" t="n"/>
      <c r="EG224" s="4" t="n"/>
      <c r="EH224" s="4" t="n"/>
      <c r="EI224" s="4" t="n"/>
      <c r="EJ224" s="4" t="n"/>
      <c r="EK224" s="4" t="n"/>
      <c r="EL224" s="4" t="n"/>
      <c r="EM224" s="4" t="n"/>
      <c r="EN224" s="4" t="n"/>
    </row>
    <row r="225" hidden="1" customFormat="1" s="6">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c r="AC225" s="4" t="n"/>
      <c r="AD225" s="4" t="n"/>
      <c r="AE225" s="4" t="n"/>
      <c r="AF225" s="4" t="n"/>
      <c r="AG225" s="4" t="n"/>
      <c r="AH225" s="4" t="n"/>
      <c r="AI225" s="4" t="n"/>
      <c r="AJ225" s="4" t="n"/>
      <c r="AK225" s="4" t="n"/>
      <c r="AL225" s="4" t="n"/>
      <c r="AM225" s="4" t="n"/>
      <c r="AN225" s="4" t="n"/>
      <c r="AO225" s="4" t="n"/>
      <c r="AP225" s="4" t="n"/>
      <c r="AQ225" s="4" t="n"/>
      <c r="AR225" s="4" t="n"/>
      <c r="AS225" s="4" t="n"/>
      <c r="AT225" s="4" t="n"/>
      <c r="AU225" s="4" t="n"/>
      <c r="AV225" s="4" t="n"/>
      <c r="AW225" s="4" t="n"/>
      <c r="AX225" s="4" t="n"/>
      <c r="AY225" s="4" t="n"/>
      <c r="AZ225" s="4" t="n"/>
      <c r="BA225" s="4" t="n"/>
      <c r="BB225" s="4" t="n"/>
      <c r="BC225" s="4" t="n"/>
      <c r="BD225" s="4" t="n"/>
      <c r="BE225" s="4" t="n"/>
      <c r="BF225" s="4" t="n"/>
      <c r="BG225" s="4" t="n"/>
      <c r="BH225" s="4" t="n"/>
      <c r="BI225" s="4" t="n"/>
      <c r="BJ225" s="4" t="n"/>
      <c r="BK225" s="4" t="n"/>
      <c r="BL225" s="4" t="n"/>
      <c r="BM225" s="4" t="n"/>
      <c r="BN225" s="4" t="n"/>
      <c r="BO225" s="4" t="n"/>
      <c r="BP225" s="4" t="n"/>
      <c r="BQ225" s="4" t="n"/>
      <c r="BR225" s="4" t="n"/>
      <c r="BS225" s="4" t="n"/>
      <c r="BT225" s="4" t="n"/>
      <c r="BU225" s="4" t="n"/>
      <c r="BV225" s="4" t="n"/>
      <c r="BW225" s="4" t="n"/>
      <c r="BX225" s="4" t="n"/>
      <c r="BY225" s="4" t="n"/>
      <c r="BZ225" s="4" t="n"/>
      <c r="CA225" s="4" t="n"/>
      <c r="CB225" s="4" t="n"/>
      <c r="CC225" s="4" t="n"/>
      <c r="CD225" s="4" t="n"/>
      <c r="CE225" s="4" t="n"/>
      <c r="CF225" s="4" t="n"/>
      <c r="CG225" s="4" t="n"/>
      <c r="CH225" s="4" t="n"/>
      <c r="CI225" s="4" t="n"/>
      <c r="CJ225" s="4" t="n"/>
      <c r="CK225" s="4" t="n"/>
      <c r="CL225" s="4" t="n"/>
      <c r="CM225" s="4" t="n"/>
      <c r="CN225" s="4" t="n"/>
      <c r="CO225" s="4" t="n"/>
      <c r="CP225" s="4" t="n"/>
      <c r="CQ225" s="4" t="n"/>
      <c r="CR225" s="4" t="n"/>
      <c r="CS225" s="4" t="n"/>
      <c r="CT225" s="4" t="n"/>
      <c r="CU225" s="4" t="n"/>
      <c r="CV225" s="4" t="n"/>
      <c r="CW225" s="4" t="n"/>
      <c r="CX225" s="4" t="n"/>
      <c r="CY225" s="4" t="n"/>
      <c r="CZ225" s="4" t="n"/>
      <c r="DA225" s="4" t="n"/>
      <c r="DB225" s="4" t="n"/>
      <c r="DC225" s="4" t="n"/>
      <c r="DD225" s="4" t="n"/>
      <c r="DE225" s="4" t="n"/>
      <c r="DF225" s="4" t="n"/>
      <c r="DG225" s="4" t="n"/>
      <c r="DH225" s="4" t="n"/>
      <c r="DI225" s="4" t="n"/>
      <c r="DJ225" s="4" t="n"/>
      <c r="DK225" s="4" t="n"/>
      <c r="DL225" s="4" t="n"/>
      <c r="DM225" s="4" t="n"/>
      <c r="DN225" s="4" t="n"/>
      <c r="DO225" s="4" t="n"/>
      <c r="DP225" s="4" t="n"/>
      <c r="DQ225" s="4" t="n"/>
      <c r="DR225" s="4" t="n"/>
      <c r="DS225" s="4" t="n"/>
      <c r="DT225" s="4" t="n"/>
      <c r="DU225" s="4" t="n"/>
      <c r="DV225" s="4" t="n"/>
      <c r="DW225" s="4" t="n"/>
      <c r="DX225" s="4" t="n"/>
      <c r="DY225" s="4" t="n"/>
      <c r="DZ225" s="4" t="n"/>
      <c r="EA225" s="4" t="n"/>
      <c r="EB225" s="4" t="n"/>
      <c r="EC225" s="4" t="n"/>
      <c r="ED225" s="4" t="n"/>
      <c r="EE225" s="4" t="n"/>
      <c r="EF225" s="4" t="n"/>
      <c r="EG225" s="4" t="n"/>
      <c r="EH225" s="4" t="n"/>
      <c r="EI225" s="4" t="n"/>
      <c r="EJ225" s="4" t="n"/>
      <c r="EK225" s="4" t="n"/>
      <c r="EL225" s="4" t="n"/>
      <c r="EM225" s="4" t="n"/>
      <c r="EN225" s="4" t="n"/>
    </row>
    <row r="226" hidden="1" customFormat="1" s="6">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c r="AC226" s="4" t="n"/>
      <c r="AD226" s="4" t="n"/>
      <c r="AE226" s="4" t="n"/>
      <c r="AF226" s="4" t="n"/>
      <c r="AG226" s="4" t="n"/>
      <c r="AH226" s="4" t="n"/>
      <c r="AI226" s="4" t="n"/>
      <c r="AJ226" s="4" t="n"/>
      <c r="AK226" s="4" t="n"/>
      <c r="AL226" s="4" t="n"/>
      <c r="AM226" s="4" t="n"/>
      <c r="AN226" s="4" t="n"/>
      <c r="AO226" s="4" t="n"/>
      <c r="AP226" s="4" t="n"/>
      <c r="AQ226" s="4" t="n"/>
      <c r="AR226" s="4" t="n"/>
      <c r="AS226" s="4" t="n"/>
      <c r="AT226" s="4" t="n"/>
      <c r="AU226" s="4" t="n"/>
      <c r="AV226" s="4" t="n"/>
      <c r="AW226" s="4" t="n"/>
      <c r="AX226" s="4" t="n"/>
      <c r="AY226" s="4" t="n"/>
      <c r="AZ226" s="4" t="n"/>
      <c r="BA226" s="4" t="n"/>
      <c r="BB226" s="4" t="n"/>
      <c r="BC226" s="4" t="n"/>
      <c r="BD226" s="4" t="n"/>
      <c r="BE226" s="4" t="n"/>
      <c r="BF226" s="4" t="n"/>
      <c r="BG226" s="4" t="n"/>
      <c r="BH226" s="4" t="n"/>
      <c r="BI226" s="4" t="n"/>
      <c r="BJ226" s="4" t="n"/>
      <c r="BK226" s="4" t="n"/>
      <c r="BL226" s="4" t="n"/>
      <c r="BM226" s="4" t="n"/>
      <c r="BN226" s="4" t="n"/>
      <c r="BO226" s="4" t="n"/>
      <c r="BP226" s="4" t="n"/>
      <c r="BQ226" s="4" t="n"/>
      <c r="BR226" s="4" t="n"/>
      <c r="BS226" s="4" t="n"/>
      <c r="BT226" s="4" t="n"/>
      <c r="BU226" s="4" t="n"/>
      <c r="BV226" s="4" t="n"/>
      <c r="BW226" s="4" t="n"/>
      <c r="BX226" s="4" t="n"/>
      <c r="BY226" s="4" t="n"/>
      <c r="BZ226" s="4" t="n"/>
      <c r="CA226" s="4" t="n"/>
      <c r="CB226" s="4" t="n"/>
      <c r="CC226" s="4" t="n"/>
      <c r="CD226" s="4" t="n"/>
      <c r="CE226" s="4" t="n"/>
      <c r="CF226" s="4" t="n"/>
      <c r="CG226" s="4" t="n"/>
      <c r="CH226" s="4" t="n"/>
      <c r="CI226" s="4" t="n"/>
      <c r="CJ226" s="4" t="n"/>
      <c r="CK226" s="4" t="n"/>
      <c r="CL226" s="4" t="n"/>
      <c r="CM226" s="4" t="n"/>
      <c r="CN226" s="4" t="n"/>
      <c r="CO226" s="4" t="n"/>
      <c r="CP226" s="4" t="n"/>
      <c r="CQ226" s="4" t="n"/>
      <c r="CR226" s="4" t="n"/>
      <c r="CS226" s="4" t="n"/>
      <c r="CT226" s="4" t="n"/>
      <c r="CU226" s="4" t="n"/>
      <c r="CV226" s="4" t="n"/>
      <c r="CW226" s="4" t="n"/>
      <c r="CX226" s="4" t="n"/>
      <c r="CY226" s="4" t="n"/>
      <c r="CZ226" s="4" t="n"/>
      <c r="DA226" s="4" t="n"/>
      <c r="DB226" s="4" t="n"/>
      <c r="DC226" s="4" t="n"/>
      <c r="DD226" s="4" t="n"/>
      <c r="DE226" s="4" t="n"/>
      <c r="DF226" s="4" t="n"/>
      <c r="DG226" s="4" t="n"/>
      <c r="DH226" s="4" t="n"/>
      <c r="DI226" s="4" t="n"/>
      <c r="DJ226" s="4" t="n"/>
      <c r="DK226" s="4" t="n"/>
      <c r="DL226" s="4" t="n"/>
      <c r="DM226" s="4" t="n"/>
      <c r="DN226" s="4" t="n"/>
      <c r="DO226" s="4" t="n"/>
      <c r="DP226" s="4" t="n"/>
      <c r="DQ226" s="4" t="n"/>
      <c r="DR226" s="4" t="n"/>
      <c r="DS226" s="4" t="n"/>
      <c r="DT226" s="4" t="n"/>
      <c r="DU226" s="4" t="n"/>
      <c r="DV226" s="4" t="n"/>
      <c r="DW226" s="4" t="n"/>
      <c r="DX226" s="4" t="n"/>
      <c r="DY226" s="4" t="n"/>
      <c r="DZ226" s="4" t="n"/>
      <c r="EA226" s="4" t="n"/>
      <c r="EB226" s="4" t="n"/>
      <c r="EC226" s="4" t="n"/>
      <c r="ED226" s="4" t="n"/>
      <c r="EE226" s="4" t="n"/>
      <c r="EF226" s="4" t="n"/>
      <c r="EG226" s="4" t="n"/>
      <c r="EH226" s="4" t="n"/>
      <c r="EI226" s="4" t="n"/>
      <c r="EJ226" s="4" t="n"/>
      <c r="EK226" s="4" t="n"/>
      <c r="EL226" s="4" t="n"/>
      <c r="EM226" s="4" t="n"/>
      <c r="EN226" s="4" t="n"/>
    </row>
    <row r="227" hidden="1" customFormat="1" s="6">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c r="AD227" s="4" t="n"/>
      <c r="AE227" s="4" t="n"/>
      <c r="AF227" s="4" t="n"/>
      <c r="AG227" s="4" t="n"/>
      <c r="AH227" s="4" t="n"/>
      <c r="AI227" s="4" t="n"/>
      <c r="AJ227" s="4" t="n"/>
      <c r="AK227" s="4" t="n"/>
      <c r="AL227" s="4" t="n"/>
      <c r="AM227" s="4" t="n"/>
      <c r="AN227" s="4" t="n"/>
      <c r="AO227" s="4" t="n"/>
      <c r="AP227" s="4" t="n"/>
      <c r="AQ227" s="4" t="n"/>
      <c r="AR227" s="4" t="n"/>
      <c r="AS227" s="4" t="n"/>
      <c r="AT227" s="4" t="n"/>
      <c r="AU227" s="4" t="n"/>
      <c r="AV227" s="4" t="n"/>
      <c r="AW227" s="4" t="n"/>
      <c r="AX227" s="4" t="n"/>
      <c r="AY227" s="4" t="n"/>
      <c r="AZ227" s="4" t="n"/>
      <c r="BA227" s="4" t="n"/>
      <c r="BB227" s="4" t="n"/>
      <c r="BC227" s="4" t="n"/>
      <c r="BD227" s="4" t="n"/>
      <c r="BE227" s="4" t="n"/>
      <c r="BF227" s="4" t="n"/>
      <c r="BG227" s="4" t="n"/>
      <c r="BH227" s="4" t="n"/>
      <c r="BI227" s="4" t="n"/>
      <c r="BJ227" s="4" t="n"/>
      <c r="BK227" s="4" t="n"/>
      <c r="BL227" s="4" t="n"/>
      <c r="BM227" s="4" t="n"/>
      <c r="BN227" s="4" t="n"/>
      <c r="BO227" s="4" t="n"/>
      <c r="BP227" s="4" t="n"/>
      <c r="BQ227" s="4" t="n"/>
      <c r="BR227" s="4" t="n"/>
      <c r="BS227" s="4" t="n"/>
      <c r="BT227" s="4" t="n"/>
      <c r="BU227" s="4" t="n"/>
      <c r="BV227" s="4" t="n"/>
      <c r="BW227" s="4" t="n"/>
      <c r="BX227" s="4" t="n"/>
      <c r="BY227" s="4" t="n"/>
      <c r="BZ227" s="4" t="n"/>
      <c r="CA227" s="4" t="n"/>
      <c r="CB227" s="4" t="n"/>
      <c r="CC227" s="4" t="n"/>
      <c r="CD227" s="4" t="n"/>
      <c r="CE227" s="4" t="n"/>
      <c r="CF227" s="4" t="n"/>
      <c r="CG227" s="4" t="n"/>
      <c r="CH227" s="4" t="n"/>
      <c r="CI227" s="4" t="n"/>
      <c r="CJ227" s="4" t="n"/>
      <c r="CK227" s="4" t="n"/>
      <c r="CL227" s="4" t="n"/>
      <c r="CM227" s="4" t="n"/>
      <c r="CN227" s="4" t="n"/>
      <c r="CO227" s="4" t="n"/>
      <c r="CP227" s="4" t="n"/>
      <c r="CQ227" s="4" t="n"/>
      <c r="CR227" s="4" t="n"/>
      <c r="CS227" s="4" t="n"/>
      <c r="CT227" s="4" t="n"/>
      <c r="CU227" s="4" t="n"/>
      <c r="CV227" s="4" t="n"/>
      <c r="CW227" s="4" t="n"/>
      <c r="CX227" s="4" t="n"/>
      <c r="CY227" s="4" t="n"/>
      <c r="CZ227" s="4" t="n"/>
      <c r="DA227" s="4" t="n"/>
      <c r="DB227" s="4" t="n"/>
      <c r="DC227" s="4" t="n"/>
      <c r="DD227" s="4" t="n"/>
      <c r="DE227" s="4" t="n"/>
      <c r="DF227" s="4" t="n"/>
      <c r="DG227" s="4" t="n"/>
      <c r="DH227" s="4" t="n"/>
      <c r="DI227" s="4" t="n"/>
      <c r="DJ227" s="4" t="n"/>
      <c r="DK227" s="4" t="n"/>
      <c r="DL227" s="4" t="n"/>
      <c r="DM227" s="4" t="n"/>
      <c r="DN227" s="4" t="n"/>
      <c r="DO227" s="4" t="n"/>
      <c r="DP227" s="4" t="n"/>
      <c r="DQ227" s="4" t="n"/>
      <c r="DR227" s="4" t="n"/>
      <c r="DS227" s="4" t="n"/>
      <c r="DT227" s="4" t="n"/>
      <c r="DU227" s="4" t="n"/>
      <c r="DV227" s="4" t="n"/>
      <c r="DW227" s="4" t="n"/>
      <c r="DX227" s="4" t="n"/>
      <c r="DY227" s="4" t="n"/>
      <c r="DZ227" s="4" t="n"/>
      <c r="EA227" s="4" t="n"/>
      <c r="EB227" s="4" t="n"/>
      <c r="EC227" s="4" t="n"/>
      <c r="ED227" s="4" t="n"/>
      <c r="EE227" s="4" t="n"/>
      <c r="EF227" s="4" t="n"/>
      <c r="EG227" s="4" t="n"/>
      <c r="EH227" s="4" t="n"/>
      <c r="EI227" s="4" t="n"/>
      <c r="EJ227" s="4" t="n"/>
      <c r="EK227" s="4" t="n"/>
      <c r="EL227" s="4" t="n"/>
      <c r="EM227" s="4" t="n"/>
      <c r="EN227" s="4" t="n"/>
    </row>
    <row r="228" hidden="1" customFormat="1" s="6">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c r="AD228" s="4" t="n"/>
      <c r="AE228" s="4" t="n"/>
      <c r="AF228" s="4" t="n"/>
      <c r="AG228" s="4" t="n"/>
      <c r="AH228" s="4" t="n"/>
      <c r="AI228" s="4" t="n"/>
      <c r="AJ228" s="4" t="n"/>
      <c r="AK228" s="4" t="n"/>
      <c r="AL228" s="4" t="n"/>
      <c r="AM228" s="4" t="n"/>
      <c r="AN228" s="4" t="n"/>
      <c r="AO228" s="4" t="n"/>
      <c r="AP228" s="4" t="n"/>
      <c r="AQ228" s="4" t="n"/>
      <c r="AR228" s="4" t="n"/>
      <c r="AS228" s="4" t="n"/>
      <c r="AT228" s="4" t="n"/>
      <c r="AU228" s="4" t="n"/>
      <c r="AV228" s="4" t="n"/>
      <c r="AW228" s="4" t="n"/>
      <c r="AX228" s="4" t="n"/>
      <c r="AY228" s="4" t="n"/>
      <c r="AZ228" s="4" t="n"/>
      <c r="BA228" s="4" t="n"/>
      <c r="BB228" s="4" t="n"/>
      <c r="BC228" s="4" t="n"/>
      <c r="BD228" s="4" t="n"/>
      <c r="BE228" s="4" t="n"/>
      <c r="BF228" s="4" t="n"/>
      <c r="BG228" s="4" t="n"/>
      <c r="BH228" s="4" t="n"/>
      <c r="BI228" s="4" t="n"/>
      <c r="BJ228" s="4" t="n"/>
      <c r="BK228" s="4" t="n"/>
      <c r="BL228" s="4" t="n"/>
      <c r="BM228" s="4" t="n"/>
      <c r="BN228" s="4" t="n"/>
      <c r="BO228" s="4" t="n"/>
      <c r="BP228" s="4" t="n"/>
      <c r="BQ228" s="4" t="n"/>
      <c r="BR228" s="4" t="n"/>
      <c r="BS228" s="4" t="n"/>
      <c r="BT228" s="4" t="n"/>
      <c r="BU228" s="4" t="n"/>
      <c r="BV228" s="4" t="n"/>
      <c r="BW228" s="4" t="n"/>
      <c r="BX228" s="4" t="n"/>
      <c r="BY228" s="4" t="n"/>
      <c r="BZ228" s="4" t="n"/>
      <c r="CA228" s="4" t="n"/>
      <c r="CB228" s="4" t="n"/>
      <c r="CC228" s="4" t="n"/>
      <c r="CD228" s="4" t="n"/>
      <c r="CE228" s="4" t="n"/>
      <c r="CF228" s="4" t="n"/>
      <c r="CG228" s="4" t="n"/>
      <c r="CH228" s="4" t="n"/>
      <c r="CI228" s="4" t="n"/>
      <c r="CJ228" s="4" t="n"/>
      <c r="CK228" s="4" t="n"/>
      <c r="CL228" s="4" t="n"/>
      <c r="CM228" s="4" t="n"/>
      <c r="CN228" s="4" t="n"/>
      <c r="CO228" s="4" t="n"/>
      <c r="CP228" s="4" t="n"/>
      <c r="CQ228" s="4" t="n"/>
      <c r="CR228" s="4" t="n"/>
      <c r="CS228" s="4" t="n"/>
      <c r="CT228" s="4" t="n"/>
      <c r="CU228" s="4" t="n"/>
      <c r="CV228" s="4" t="n"/>
      <c r="CW228" s="4" t="n"/>
      <c r="CX228" s="4" t="n"/>
      <c r="CY228" s="4" t="n"/>
      <c r="CZ228" s="4" t="n"/>
      <c r="DA228" s="4" t="n"/>
      <c r="DB228" s="4" t="n"/>
      <c r="DC228" s="4" t="n"/>
      <c r="DD228" s="4" t="n"/>
      <c r="DE228" s="4" t="n"/>
      <c r="DF228" s="4" t="n"/>
      <c r="DG228" s="4" t="n"/>
      <c r="DH228" s="4" t="n"/>
      <c r="DI228" s="4" t="n"/>
      <c r="DJ228" s="4" t="n"/>
      <c r="DK228" s="4" t="n"/>
      <c r="DL228" s="4" t="n"/>
      <c r="DM228" s="4" t="n"/>
      <c r="DN228" s="4" t="n"/>
      <c r="DO228" s="4" t="n"/>
      <c r="DP228" s="4" t="n"/>
      <c r="DQ228" s="4" t="n"/>
      <c r="DR228" s="4" t="n"/>
      <c r="DS228" s="4" t="n"/>
      <c r="DT228" s="4" t="n"/>
      <c r="DU228" s="4" t="n"/>
      <c r="DV228" s="4" t="n"/>
      <c r="DW228" s="4" t="n"/>
      <c r="DX228" s="4" t="n"/>
      <c r="DY228" s="4" t="n"/>
      <c r="DZ228" s="4" t="n"/>
      <c r="EA228" s="4" t="n"/>
      <c r="EB228" s="4" t="n"/>
      <c r="EC228" s="4" t="n"/>
      <c r="ED228" s="4" t="n"/>
      <c r="EE228" s="4" t="n"/>
      <c r="EF228" s="4" t="n"/>
      <c r="EG228" s="4" t="n"/>
      <c r="EH228" s="4" t="n"/>
      <c r="EI228" s="4" t="n"/>
      <c r="EJ228" s="4" t="n"/>
      <c r="EK228" s="4" t="n"/>
      <c r="EL228" s="4" t="n"/>
      <c r="EM228" s="4" t="n"/>
      <c r="EN228" s="4" t="n"/>
    </row>
    <row r="229" hidden="1" customFormat="1" s="6">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c r="AD229" s="4" t="n"/>
      <c r="AE229" s="4" t="n"/>
      <c r="AF229" s="4" t="n"/>
      <c r="AG229" s="4" t="n"/>
      <c r="AH229" s="4" t="n"/>
      <c r="AI229" s="4" t="n"/>
      <c r="AJ229" s="4" t="n"/>
      <c r="AK229" s="4" t="n"/>
      <c r="AL229" s="4" t="n"/>
      <c r="AM229" s="4" t="n"/>
      <c r="AN229" s="4" t="n"/>
      <c r="AO229" s="4" t="n"/>
      <c r="AP229" s="4" t="n"/>
      <c r="AQ229" s="4" t="n"/>
      <c r="AR229" s="4" t="n"/>
      <c r="AS229" s="4" t="n"/>
      <c r="AT229" s="4" t="n"/>
      <c r="AU229" s="4" t="n"/>
      <c r="AV229" s="4" t="n"/>
      <c r="AW229" s="4" t="n"/>
      <c r="AX229" s="4" t="n"/>
      <c r="AY229" s="4" t="n"/>
      <c r="AZ229" s="4" t="n"/>
      <c r="BA229" s="4" t="n"/>
      <c r="BB229" s="4" t="n"/>
      <c r="BC229" s="4" t="n"/>
      <c r="BD229" s="4" t="n"/>
      <c r="BE229" s="4" t="n"/>
      <c r="BF229" s="4" t="n"/>
      <c r="BG229" s="4" t="n"/>
      <c r="BH229" s="4" t="n"/>
      <c r="BI229" s="4" t="n"/>
      <c r="BJ229" s="4" t="n"/>
      <c r="BK229" s="4" t="n"/>
      <c r="BL229" s="4" t="n"/>
      <c r="BM229" s="4" t="n"/>
      <c r="BN229" s="4" t="n"/>
      <c r="BO229" s="4" t="n"/>
      <c r="BP229" s="4" t="n"/>
      <c r="BQ229" s="4" t="n"/>
      <c r="BR229" s="4" t="n"/>
      <c r="BS229" s="4" t="n"/>
      <c r="BT229" s="4" t="n"/>
      <c r="BU229" s="4" t="n"/>
      <c r="BV229" s="4" t="n"/>
      <c r="BW229" s="4" t="n"/>
      <c r="BX229" s="4" t="n"/>
      <c r="BY229" s="4" t="n"/>
      <c r="BZ229" s="4" t="n"/>
      <c r="CA229" s="4" t="n"/>
      <c r="CB229" s="4" t="n"/>
      <c r="CC229" s="4" t="n"/>
      <c r="CD229" s="4" t="n"/>
      <c r="CE229" s="4" t="n"/>
      <c r="CF229" s="4" t="n"/>
      <c r="CG229" s="4" t="n"/>
      <c r="CH229" s="4" t="n"/>
      <c r="CI229" s="4" t="n"/>
      <c r="CJ229" s="4" t="n"/>
      <c r="CK229" s="4" t="n"/>
      <c r="CL229" s="4" t="n"/>
      <c r="CM229" s="4" t="n"/>
      <c r="CN229" s="4" t="n"/>
      <c r="CO229" s="4" t="n"/>
      <c r="CP229" s="4" t="n"/>
      <c r="CQ229" s="4" t="n"/>
      <c r="CR229" s="4" t="n"/>
      <c r="CS229" s="4" t="n"/>
      <c r="CT229" s="4" t="n"/>
      <c r="CU229" s="4" t="n"/>
      <c r="CV229" s="4" t="n"/>
      <c r="CW229" s="4" t="n"/>
      <c r="CX229" s="4" t="n"/>
      <c r="CY229" s="4" t="n"/>
      <c r="CZ229" s="4" t="n"/>
      <c r="DA229" s="4" t="n"/>
      <c r="DB229" s="4" t="n"/>
      <c r="DC229" s="4" t="n"/>
      <c r="DD229" s="4" t="n"/>
      <c r="DE229" s="4" t="n"/>
      <c r="DF229" s="4" t="n"/>
      <c r="DG229" s="4" t="n"/>
      <c r="DH229" s="4" t="n"/>
      <c r="DI229" s="4" t="n"/>
      <c r="DJ229" s="4" t="n"/>
      <c r="DK229" s="4" t="n"/>
      <c r="DL229" s="4" t="n"/>
      <c r="DM229" s="4" t="n"/>
      <c r="DN229" s="4" t="n"/>
      <c r="DO229" s="4" t="n"/>
      <c r="DP229" s="4" t="n"/>
      <c r="DQ229" s="4" t="n"/>
      <c r="DR229" s="4" t="n"/>
      <c r="DS229" s="4" t="n"/>
      <c r="DT229" s="4" t="n"/>
      <c r="DU229" s="4" t="n"/>
      <c r="DV229" s="4" t="n"/>
      <c r="DW229" s="4" t="n"/>
      <c r="DX229" s="4" t="n"/>
      <c r="DY229" s="4" t="n"/>
      <c r="DZ229" s="4" t="n"/>
      <c r="EA229" s="4" t="n"/>
      <c r="EB229" s="4" t="n"/>
      <c r="EC229" s="4" t="n"/>
      <c r="ED229" s="4" t="n"/>
      <c r="EE229" s="4" t="n"/>
      <c r="EF229" s="4" t="n"/>
      <c r="EG229" s="4" t="n"/>
      <c r="EH229" s="4" t="n"/>
      <c r="EI229" s="4" t="n"/>
      <c r="EJ229" s="4" t="n"/>
      <c r="EK229" s="4" t="n"/>
      <c r="EL229" s="4" t="n"/>
      <c r="EM229" s="4" t="n"/>
      <c r="EN229" s="4" t="n"/>
    </row>
    <row r="230" hidden="1" customFormat="1" s="6">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c r="AD230" s="4" t="n"/>
      <c r="AE230" s="4" t="n"/>
      <c r="AF230" s="4" t="n"/>
      <c r="AG230" s="4" t="n"/>
      <c r="AH230" s="4" t="n"/>
      <c r="AI230" s="4" t="n"/>
      <c r="AJ230" s="4" t="n"/>
      <c r="AK230" s="4" t="n"/>
      <c r="AL230" s="4" t="n"/>
      <c r="AM230" s="4" t="n"/>
      <c r="AN230" s="4" t="n"/>
      <c r="AO230" s="4" t="n"/>
      <c r="AP230" s="4" t="n"/>
      <c r="AQ230" s="4" t="n"/>
      <c r="AR230" s="4" t="n"/>
      <c r="AS230" s="4" t="n"/>
      <c r="AT230" s="4" t="n"/>
      <c r="AU230" s="4" t="n"/>
      <c r="AV230" s="4" t="n"/>
      <c r="AW230" s="4" t="n"/>
      <c r="AX230" s="4" t="n"/>
      <c r="AY230" s="4" t="n"/>
      <c r="AZ230" s="4" t="n"/>
      <c r="BA230" s="4" t="n"/>
      <c r="BB230" s="4" t="n"/>
      <c r="BC230" s="4" t="n"/>
      <c r="BD230" s="4" t="n"/>
      <c r="BE230" s="4" t="n"/>
      <c r="BF230" s="4" t="n"/>
      <c r="BG230" s="4" t="n"/>
      <c r="BH230" s="4" t="n"/>
      <c r="BI230" s="4" t="n"/>
      <c r="BJ230" s="4" t="n"/>
      <c r="BK230" s="4" t="n"/>
      <c r="BL230" s="4" t="n"/>
      <c r="BM230" s="4" t="n"/>
      <c r="BN230" s="4" t="n"/>
      <c r="BO230" s="4" t="n"/>
      <c r="BP230" s="4" t="n"/>
      <c r="BQ230" s="4" t="n"/>
      <c r="BR230" s="4" t="n"/>
      <c r="BS230" s="4" t="n"/>
      <c r="BT230" s="4" t="n"/>
      <c r="BU230" s="4" t="n"/>
      <c r="BV230" s="4" t="n"/>
      <c r="BW230" s="4" t="n"/>
      <c r="BX230" s="4" t="n"/>
      <c r="BY230" s="4" t="n"/>
      <c r="BZ230" s="4" t="n"/>
      <c r="CA230" s="4" t="n"/>
      <c r="CB230" s="4" t="n"/>
      <c r="CC230" s="4" t="n"/>
      <c r="CD230" s="4" t="n"/>
      <c r="CE230" s="4" t="n"/>
      <c r="CF230" s="4" t="n"/>
      <c r="CG230" s="4" t="n"/>
      <c r="CH230" s="4" t="n"/>
      <c r="CI230" s="4" t="n"/>
      <c r="CJ230" s="4" t="n"/>
      <c r="CK230" s="4" t="n"/>
      <c r="CL230" s="4" t="n"/>
      <c r="CM230" s="4" t="n"/>
      <c r="CN230" s="4" t="n"/>
      <c r="CO230" s="4" t="n"/>
      <c r="CP230" s="4" t="n"/>
      <c r="CQ230" s="4" t="n"/>
      <c r="CR230" s="4" t="n"/>
      <c r="CS230" s="4" t="n"/>
      <c r="CT230" s="4" t="n"/>
      <c r="CU230" s="4" t="n"/>
      <c r="CV230" s="4" t="n"/>
      <c r="CW230" s="4" t="n"/>
      <c r="CX230" s="4" t="n"/>
      <c r="CY230" s="4" t="n"/>
      <c r="CZ230" s="4" t="n"/>
      <c r="DA230" s="4" t="n"/>
      <c r="DB230" s="4" t="n"/>
      <c r="DC230" s="4" t="n"/>
      <c r="DD230" s="4" t="n"/>
      <c r="DE230" s="4" t="n"/>
      <c r="DF230" s="4" t="n"/>
      <c r="DG230" s="4" t="n"/>
      <c r="DH230" s="4" t="n"/>
      <c r="DI230" s="4" t="n"/>
      <c r="DJ230" s="4" t="n"/>
      <c r="DK230" s="4" t="n"/>
      <c r="DL230" s="4" t="n"/>
      <c r="DM230" s="4" t="n"/>
      <c r="DN230" s="4" t="n"/>
      <c r="DO230" s="4" t="n"/>
      <c r="DP230" s="4" t="n"/>
      <c r="DQ230" s="4" t="n"/>
      <c r="DR230" s="4" t="n"/>
      <c r="DS230" s="4" t="n"/>
      <c r="DT230" s="4" t="n"/>
      <c r="DU230" s="4" t="n"/>
      <c r="DV230" s="4" t="n"/>
      <c r="DW230" s="4" t="n"/>
      <c r="DX230" s="4" t="n"/>
      <c r="DY230" s="4" t="n"/>
      <c r="DZ230" s="4" t="n"/>
      <c r="EA230" s="4" t="n"/>
      <c r="EB230" s="4" t="n"/>
      <c r="EC230" s="4" t="n"/>
      <c r="ED230" s="4" t="n"/>
      <c r="EE230" s="4" t="n"/>
      <c r="EF230" s="4" t="n"/>
      <c r="EG230" s="4" t="n"/>
      <c r="EH230" s="4" t="n"/>
      <c r="EI230" s="4" t="n"/>
      <c r="EJ230" s="4" t="n"/>
      <c r="EK230" s="4" t="n"/>
      <c r="EL230" s="4" t="n"/>
      <c r="EM230" s="4" t="n"/>
      <c r="EN230" s="4" t="n"/>
    </row>
    <row r="231" hidden="1" customFormat="1" s="6">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c r="AD231" s="4" t="n"/>
      <c r="AE231" s="4" t="n"/>
      <c r="AF231" s="4" t="n"/>
      <c r="AG231" s="4" t="n"/>
      <c r="AH231" s="4" t="n"/>
      <c r="AI231" s="4" t="n"/>
      <c r="AJ231" s="4" t="n"/>
      <c r="AK231" s="4" t="n"/>
      <c r="AL231" s="4" t="n"/>
      <c r="AM231" s="4" t="n"/>
      <c r="AN231" s="4" t="n"/>
      <c r="AO231" s="4" t="n"/>
      <c r="AP231" s="4" t="n"/>
      <c r="AQ231" s="4" t="n"/>
      <c r="AR231" s="4" t="n"/>
      <c r="AS231" s="4" t="n"/>
      <c r="AT231" s="4" t="n"/>
      <c r="AU231" s="4" t="n"/>
      <c r="AV231" s="4" t="n"/>
      <c r="AW231" s="4" t="n"/>
      <c r="AX231" s="4" t="n"/>
      <c r="AY231" s="4" t="n"/>
      <c r="AZ231" s="4" t="n"/>
      <c r="BA231" s="4" t="n"/>
      <c r="BB231" s="4" t="n"/>
      <c r="BC231" s="4" t="n"/>
      <c r="BD231" s="4" t="n"/>
      <c r="BE231" s="4" t="n"/>
      <c r="BF231" s="4" t="n"/>
      <c r="BG231" s="4" t="n"/>
      <c r="BH231" s="4" t="n"/>
      <c r="BI231" s="4" t="n"/>
      <c r="BJ231" s="4" t="n"/>
      <c r="BK231" s="4" t="n"/>
      <c r="BL231" s="4" t="n"/>
      <c r="BM231" s="4" t="n"/>
      <c r="BN231" s="4" t="n"/>
      <c r="BO231" s="4" t="n"/>
      <c r="BP231" s="4" t="n"/>
      <c r="BQ231" s="4" t="n"/>
      <c r="BR231" s="4" t="n"/>
      <c r="BS231" s="4" t="n"/>
      <c r="BT231" s="4" t="n"/>
      <c r="BU231" s="4" t="n"/>
      <c r="BV231" s="4" t="n"/>
      <c r="BW231" s="4" t="n"/>
      <c r="BX231" s="4" t="n"/>
      <c r="BY231" s="4" t="n"/>
      <c r="BZ231" s="4" t="n"/>
      <c r="CA231" s="4" t="n"/>
      <c r="CB231" s="4" t="n"/>
      <c r="CC231" s="4" t="n"/>
      <c r="CD231" s="4" t="n"/>
      <c r="CE231" s="4" t="n"/>
      <c r="CF231" s="4" t="n"/>
      <c r="CG231" s="4" t="n"/>
      <c r="CH231" s="4" t="n"/>
      <c r="CI231" s="4" t="n"/>
      <c r="CJ231" s="4" t="n"/>
      <c r="CK231" s="4" t="n"/>
      <c r="CL231" s="4" t="n"/>
      <c r="CM231" s="4" t="n"/>
      <c r="CN231" s="4" t="n"/>
      <c r="CO231" s="4" t="n"/>
      <c r="CP231" s="4" t="n"/>
      <c r="CQ231" s="4" t="n"/>
      <c r="CR231" s="4" t="n"/>
      <c r="CS231" s="4" t="n"/>
      <c r="CT231" s="4" t="n"/>
      <c r="CU231" s="4" t="n"/>
      <c r="CV231" s="4" t="n"/>
      <c r="CW231" s="4" t="n"/>
      <c r="CX231" s="4" t="n"/>
      <c r="CY231" s="4" t="n"/>
      <c r="CZ231" s="4" t="n"/>
      <c r="DA231" s="4" t="n"/>
      <c r="DB231" s="4" t="n"/>
      <c r="DC231" s="4" t="n"/>
      <c r="DD231" s="4" t="n"/>
      <c r="DE231" s="4" t="n"/>
      <c r="DF231" s="4" t="n"/>
      <c r="DG231" s="4" t="n"/>
      <c r="DH231" s="4" t="n"/>
      <c r="DI231" s="4" t="n"/>
      <c r="DJ231" s="4" t="n"/>
      <c r="DK231" s="4" t="n"/>
      <c r="DL231" s="4" t="n"/>
      <c r="DM231" s="4" t="n"/>
      <c r="DN231" s="4" t="n"/>
      <c r="DO231" s="4" t="n"/>
      <c r="DP231" s="4" t="n"/>
      <c r="DQ231" s="4" t="n"/>
      <c r="DR231" s="4" t="n"/>
      <c r="DS231" s="4" t="n"/>
      <c r="DT231" s="4" t="n"/>
      <c r="DU231" s="4" t="n"/>
      <c r="DV231" s="4" t="n"/>
      <c r="DW231" s="4" t="n"/>
      <c r="DX231" s="4" t="n"/>
      <c r="DY231" s="4" t="n"/>
      <c r="DZ231" s="4" t="n"/>
      <c r="EA231" s="4" t="n"/>
      <c r="EB231" s="4" t="n"/>
      <c r="EC231" s="4" t="n"/>
      <c r="ED231" s="4" t="n"/>
      <c r="EE231" s="4" t="n"/>
      <c r="EF231" s="4" t="n"/>
      <c r="EG231" s="4" t="n"/>
      <c r="EH231" s="4" t="n"/>
      <c r="EI231" s="4" t="n"/>
      <c r="EJ231" s="4" t="n"/>
      <c r="EK231" s="4" t="n"/>
      <c r="EL231" s="4" t="n"/>
      <c r="EM231" s="4" t="n"/>
      <c r="EN231" s="4" t="n"/>
    </row>
    <row r="232" hidden="1" customFormat="1" s="6">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c r="AC232" s="4" t="n"/>
      <c r="AD232" s="4" t="n"/>
      <c r="AE232" s="4" t="n"/>
      <c r="AF232" s="4" t="n"/>
      <c r="AG232" s="4" t="n"/>
      <c r="AH232" s="4" t="n"/>
      <c r="AI232" s="4" t="n"/>
      <c r="AJ232" s="4" t="n"/>
      <c r="AK232" s="4" t="n"/>
      <c r="AL232" s="4" t="n"/>
      <c r="AM232" s="4" t="n"/>
      <c r="AN232" s="4" t="n"/>
      <c r="AO232" s="4" t="n"/>
      <c r="AP232" s="4" t="n"/>
      <c r="AQ232" s="4" t="n"/>
      <c r="AR232" s="4" t="n"/>
      <c r="AS232" s="4" t="n"/>
      <c r="AT232" s="4" t="n"/>
      <c r="AU232" s="4" t="n"/>
      <c r="AV232" s="4" t="n"/>
      <c r="AW232" s="4" t="n"/>
      <c r="AX232" s="4" t="n"/>
      <c r="AY232" s="4" t="n"/>
      <c r="AZ232" s="4" t="n"/>
      <c r="BA232" s="4" t="n"/>
      <c r="BB232" s="4" t="n"/>
      <c r="BC232" s="4" t="n"/>
      <c r="BD232" s="4" t="n"/>
      <c r="BE232" s="4" t="n"/>
      <c r="BF232" s="4" t="n"/>
      <c r="BG232" s="4" t="n"/>
      <c r="BH232" s="4" t="n"/>
      <c r="BI232" s="4" t="n"/>
      <c r="BJ232" s="4" t="n"/>
      <c r="BK232" s="4" t="n"/>
      <c r="BL232" s="4" t="n"/>
      <c r="BM232" s="4" t="n"/>
      <c r="BN232" s="4" t="n"/>
      <c r="BO232" s="4" t="n"/>
      <c r="BP232" s="4" t="n"/>
      <c r="BQ232" s="4" t="n"/>
      <c r="BR232" s="4" t="n"/>
      <c r="BS232" s="4" t="n"/>
      <c r="BT232" s="4" t="n"/>
      <c r="BU232" s="4" t="n"/>
      <c r="BV232" s="4" t="n"/>
      <c r="BW232" s="4" t="n"/>
      <c r="BX232" s="4" t="n"/>
      <c r="BY232" s="4" t="n"/>
      <c r="BZ232" s="4" t="n"/>
      <c r="CA232" s="4" t="n"/>
      <c r="CB232" s="4" t="n"/>
      <c r="CC232" s="4" t="n"/>
      <c r="CD232" s="4" t="n"/>
      <c r="CE232" s="4" t="n"/>
      <c r="CF232" s="4" t="n"/>
      <c r="CG232" s="4" t="n"/>
      <c r="CH232" s="4" t="n"/>
      <c r="CI232" s="4" t="n"/>
      <c r="CJ232" s="4" t="n"/>
      <c r="CK232" s="4" t="n"/>
      <c r="CL232" s="4" t="n"/>
      <c r="CM232" s="4" t="n"/>
      <c r="CN232" s="4" t="n"/>
      <c r="CO232" s="4" t="n"/>
      <c r="CP232" s="4" t="n"/>
      <c r="CQ232" s="4" t="n"/>
      <c r="CR232" s="4" t="n"/>
      <c r="CS232" s="4" t="n"/>
      <c r="CT232" s="4" t="n"/>
      <c r="CU232" s="4" t="n"/>
      <c r="CV232" s="4" t="n"/>
      <c r="CW232" s="4" t="n"/>
      <c r="CX232" s="4" t="n"/>
      <c r="CY232" s="4" t="n"/>
      <c r="CZ232" s="4" t="n"/>
      <c r="DA232" s="4" t="n"/>
      <c r="DB232" s="4" t="n"/>
      <c r="DC232" s="4" t="n"/>
      <c r="DD232" s="4" t="n"/>
      <c r="DE232" s="4" t="n"/>
      <c r="DF232" s="4" t="n"/>
      <c r="DG232" s="4" t="n"/>
      <c r="DH232" s="4" t="n"/>
      <c r="DI232" s="4" t="n"/>
      <c r="DJ232" s="4" t="n"/>
      <c r="DK232" s="4" t="n"/>
      <c r="DL232" s="4" t="n"/>
      <c r="DM232" s="4" t="n"/>
      <c r="DN232" s="4" t="n"/>
      <c r="DO232" s="4" t="n"/>
      <c r="DP232" s="4" t="n"/>
      <c r="DQ232" s="4" t="n"/>
      <c r="DR232" s="4" t="n"/>
      <c r="DS232" s="4" t="n"/>
      <c r="DT232" s="4" t="n"/>
      <c r="DU232" s="4" t="n"/>
      <c r="DV232" s="4" t="n"/>
      <c r="DW232" s="4" t="n"/>
      <c r="DX232" s="4" t="n"/>
      <c r="DY232" s="4" t="n"/>
      <c r="DZ232" s="4" t="n"/>
      <c r="EA232" s="4" t="n"/>
      <c r="EB232" s="4" t="n"/>
      <c r="EC232" s="4" t="n"/>
      <c r="ED232" s="4" t="n"/>
      <c r="EE232" s="4" t="n"/>
      <c r="EF232" s="4" t="n"/>
      <c r="EG232" s="4" t="n"/>
      <c r="EH232" s="4" t="n"/>
      <c r="EI232" s="4" t="n"/>
      <c r="EJ232" s="4" t="n"/>
      <c r="EK232" s="4" t="n"/>
      <c r="EL232" s="4" t="n"/>
      <c r="EM232" s="4" t="n"/>
      <c r="EN232" s="4" t="n"/>
    </row>
    <row r="233" hidden="1" customFormat="1" s="6">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c r="AC233" s="4" t="n"/>
      <c r="AD233" s="4" t="n"/>
      <c r="AE233" s="4" t="n"/>
      <c r="AF233" s="4" t="n"/>
      <c r="AG233" s="4" t="n"/>
      <c r="AH233" s="4" t="n"/>
      <c r="AI233" s="4" t="n"/>
      <c r="AJ233" s="4" t="n"/>
      <c r="AK233" s="4" t="n"/>
      <c r="AL233" s="4" t="n"/>
      <c r="AM233" s="4" t="n"/>
      <c r="AN233" s="4" t="n"/>
      <c r="AO233" s="4" t="n"/>
      <c r="AP233" s="4" t="n"/>
      <c r="AQ233" s="4" t="n"/>
      <c r="AR233" s="4" t="n"/>
      <c r="AS233" s="4" t="n"/>
      <c r="AT233" s="4" t="n"/>
      <c r="AU233" s="4" t="n"/>
      <c r="AV233" s="4" t="n"/>
      <c r="AW233" s="4" t="n"/>
      <c r="AX233" s="4" t="n"/>
      <c r="AY233" s="4" t="n"/>
      <c r="AZ233" s="4" t="n"/>
      <c r="BA233" s="4" t="n"/>
      <c r="BB233" s="4" t="n"/>
      <c r="BC233" s="4" t="n"/>
      <c r="BD233" s="4" t="n"/>
      <c r="BE233" s="4" t="n"/>
      <c r="BF233" s="4" t="n"/>
      <c r="BG233" s="4" t="n"/>
      <c r="BH233" s="4" t="n"/>
      <c r="BI233" s="4" t="n"/>
      <c r="BJ233" s="4" t="n"/>
      <c r="BK233" s="4" t="n"/>
      <c r="BL233" s="4" t="n"/>
      <c r="BM233" s="4" t="n"/>
      <c r="BN233" s="4" t="n"/>
      <c r="BO233" s="4" t="n"/>
      <c r="BP233" s="4" t="n"/>
      <c r="BQ233" s="4" t="n"/>
      <c r="BR233" s="4" t="n"/>
      <c r="BS233" s="4" t="n"/>
      <c r="BT233" s="4" t="n"/>
      <c r="BU233" s="4" t="n"/>
      <c r="BV233" s="4" t="n"/>
      <c r="BW233" s="4" t="n"/>
      <c r="BX233" s="4" t="n"/>
      <c r="BY233" s="4" t="n"/>
      <c r="BZ233" s="4" t="n"/>
      <c r="CA233" s="4" t="n"/>
      <c r="CB233" s="4" t="n"/>
      <c r="CC233" s="4" t="n"/>
      <c r="CD233" s="4" t="n"/>
      <c r="CE233" s="4" t="n"/>
      <c r="CF233" s="4" t="n"/>
      <c r="CG233" s="4" t="n"/>
      <c r="CH233" s="4" t="n"/>
      <c r="CI233" s="4" t="n"/>
      <c r="CJ233" s="4" t="n"/>
      <c r="CK233" s="4" t="n"/>
      <c r="CL233" s="4" t="n"/>
      <c r="CM233" s="4" t="n"/>
      <c r="CN233" s="4" t="n"/>
      <c r="CO233" s="4" t="n"/>
      <c r="CP233" s="4" t="n"/>
      <c r="CQ233" s="4" t="n"/>
      <c r="CR233" s="4" t="n"/>
      <c r="CS233" s="4" t="n"/>
      <c r="CT233" s="4" t="n"/>
      <c r="CU233" s="4" t="n"/>
      <c r="CV233" s="4" t="n"/>
      <c r="CW233" s="4" t="n"/>
      <c r="CX233" s="4" t="n"/>
      <c r="CY233" s="4" t="n"/>
      <c r="CZ233" s="4" t="n"/>
      <c r="DA233" s="4" t="n"/>
      <c r="DB233" s="4" t="n"/>
      <c r="DC233" s="4" t="n"/>
      <c r="DD233" s="4" t="n"/>
      <c r="DE233" s="4" t="n"/>
      <c r="DF233" s="4" t="n"/>
      <c r="DG233" s="4" t="n"/>
      <c r="DH233" s="4" t="n"/>
      <c r="DI233" s="4" t="n"/>
      <c r="DJ233" s="4" t="n"/>
      <c r="DK233" s="4" t="n"/>
      <c r="DL233" s="4" t="n"/>
      <c r="DM233" s="4" t="n"/>
      <c r="DN233" s="4" t="n"/>
      <c r="DO233" s="4" t="n"/>
      <c r="DP233" s="4" t="n"/>
      <c r="DQ233" s="4" t="n"/>
      <c r="DR233" s="4" t="n"/>
      <c r="DS233" s="4" t="n"/>
      <c r="DT233" s="4" t="n"/>
      <c r="DU233" s="4" t="n"/>
      <c r="DV233" s="4" t="n"/>
      <c r="DW233" s="4" t="n"/>
      <c r="DX233" s="4" t="n"/>
      <c r="DY233" s="4" t="n"/>
      <c r="DZ233" s="4" t="n"/>
      <c r="EA233" s="4" t="n"/>
      <c r="EB233" s="4" t="n"/>
      <c r="EC233" s="4" t="n"/>
      <c r="ED233" s="4" t="n"/>
      <c r="EE233" s="4" t="n"/>
      <c r="EF233" s="4" t="n"/>
      <c r="EG233" s="4" t="n"/>
      <c r="EH233" s="4" t="n"/>
      <c r="EI233" s="4" t="n"/>
      <c r="EJ233" s="4" t="n"/>
      <c r="EK233" s="4" t="n"/>
      <c r="EL233" s="4" t="n"/>
      <c r="EM233" s="4" t="n"/>
      <c r="EN233" s="4" t="n"/>
    </row>
    <row r="234" hidden="1" customFormat="1" s="6">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c r="AC234" s="4" t="n"/>
      <c r="AD234" s="4" t="n"/>
      <c r="AE234" s="4" t="n"/>
      <c r="AF234" s="4" t="n"/>
      <c r="AG234" s="4" t="n"/>
      <c r="AH234" s="4" t="n"/>
      <c r="AI234" s="4" t="n"/>
      <c r="AJ234" s="4" t="n"/>
      <c r="AK234" s="4" t="n"/>
      <c r="AL234" s="4" t="n"/>
      <c r="AM234" s="4" t="n"/>
      <c r="AN234" s="4" t="n"/>
      <c r="AO234" s="4" t="n"/>
      <c r="AP234" s="4" t="n"/>
      <c r="AQ234" s="4" t="n"/>
      <c r="AR234" s="4" t="n"/>
      <c r="AS234" s="4" t="n"/>
      <c r="AT234" s="4" t="n"/>
      <c r="AU234" s="4" t="n"/>
      <c r="AV234" s="4" t="n"/>
      <c r="AW234" s="4" t="n"/>
      <c r="AX234" s="4" t="n"/>
      <c r="AY234" s="4" t="n"/>
      <c r="AZ234" s="4" t="n"/>
      <c r="BA234" s="4" t="n"/>
      <c r="BB234" s="4" t="n"/>
      <c r="BC234" s="4" t="n"/>
      <c r="BD234" s="4" t="n"/>
      <c r="BE234" s="4" t="n"/>
      <c r="BF234" s="4" t="n"/>
      <c r="BG234" s="4" t="n"/>
      <c r="BH234" s="4" t="n"/>
      <c r="BI234" s="4" t="n"/>
      <c r="BJ234" s="4" t="n"/>
      <c r="BK234" s="4" t="n"/>
      <c r="BL234" s="4" t="n"/>
      <c r="BM234" s="4" t="n"/>
      <c r="BN234" s="4" t="n"/>
      <c r="BO234" s="4" t="n"/>
      <c r="BP234" s="4" t="n"/>
      <c r="BQ234" s="4" t="n"/>
      <c r="BR234" s="4" t="n"/>
      <c r="BS234" s="4" t="n"/>
      <c r="BT234" s="4" t="n"/>
      <c r="BU234" s="4" t="n"/>
      <c r="BV234" s="4" t="n"/>
      <c r="BW234" s="4" t="n"/>
      <c r="BX234" s="4" t="n"/>
      <c r="BY234" s="4" t="n"/>
      <c r="BZ234" s="4" t="n"/>
      <c r="CA234" s="4" t="n"/>
      <c r="CB234" s="4" t="n"/>
      <c r="CC234" s="4" t="n"/>
      <c r="CD234" s="4" t="n"/>
      <c r="CE234" s="4" t="n"/>
      <c r="CF234" s="4" t="n"/>
      <c r="CG234" s="4" t="n"/>
      <c r="CH234" s="4" t="n"/>
      <c r="CI234" s="4" t="n"/>
      <c r="CJ234" s="4" t="n"/>
      <c r="CK234" s="4" t="n"/>
      <c r="CL234" s="4" t="n"/>
      <c r="CM234" s="4" t="n"/>
      <c r="CN234" s="4" t="n"/>
      <c r="CO234" s="4" t="n"/>
      <c r="CP234" s="4" t="n"/>
      <c r="CQ234" s="4" t="n"/>
      <c r="CR234" s="4" t="n"/>
      <c r="CS234" s="4" t="n"/>
      <c r="CT234" s="4" t="n"/>
      <c r="CU234" s="4" t="n"/>
      <c r="CV234" s="4" t="n"/>
      <c r="CW234" s="4" t="n"/>
      <c r="CX234" s="4" t="n"/>
      <c r="CY234" s="4" t="n"/>
      <c r="CZ234" s="4" t="n"/>
      <c r="DA234" s="4" t="n"/>
      <c r="DB234" s="4" t="n"/>
      <c r="DC234" s="4" t="n"/>
      <c r="DD234" s="4" t="n"/>
      <c r="DE234" s="4" t="n"/>
      <c r="DF234" s="4" t="n"/>
      <c r="DG234" s="4" t="n"/>
      <c r="DH234" s="4" t="n"/>
      <c r="DI234" s="4" t="n"/>
      <c r="DJ234" s="4" t="n"/>
      <c r="DK234" s="4" t="n"/>
      <c r="DL234" s="4" t="n"/>
      <c r="DM234" s="4" t="n"/>
      <c r="DN234" s="4" t="n"/>
      <c r="DO234" s="4" t="n"/>
      <c r="DP234" s="4" t="n"/>
      <c r="DQ234" s="4" t="n"/>
      <c r="DR234" s="4" t="n"/>
      <c r="DS234" s="4" t="n"/>
      <c r="DT234" s="4" t="n"/>
      <c r="DU234" s="4" t="n"/>
      <c r="DV234" s="4" t="n"/>
      <c r="DW234" s="4" t="n"/>
      <c r="DX234" s="4" t="n"/>
      <c r="DY234" s="4" t="n"/>
      <c r="DZ234" s="4" t="n"/>
      <c r="EA234" s="4" t="n"/>
      <c r="EB234" s="4" t="n"/>
      <c r="EC234" s="4" t="n"/>
      <c r="ED234" s="4" t="n"/>
      <c r="EE234" s="4" t="n"/>
      <c r="EF234" s="4" t="n"/>
      <c r="EG234" s="4" t="n"/>
      <c r="EH234" s="4" t="n"/>
      <c r="EI234" s="4" t="n"/>
      <c r="EJ234" s="4" t="n"/>
      <c r="EK234" s="4" t="n"/>
      <c r="EL234" s="4" t="n"/>
      <c r="EM234" s="4" t="n"/>
      <c r="EN234" s="4" t="n"/>
    </row>
    <row r="235" hidden="1" customFormat="1" s="6">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c r="AD235" s="4" t="n"/>
      <c r="AE235" s="4" t="n"/>
      <c r="AF235" s="4" t="n"/>
      <c r="AG235" s="4" t="n"/>
      <c r="AH235" s="4" t="n"/>
      <c r="AI235" s="4" t="n"/>
      <c r="AJ235" s="4" t="n"/>
      <c r="AK235" s="4" t="n"/>
      <c r="AL235" s="4" t="n"/>
      <c r="AM235" s="4" t="n"/>
      <c r="AN235" s="4" t="n"/>
      <c r="AO235" s="4" t="n"/>
      <c r="AP235" s="4" t="n"/>
      <c r="AQ235" s="4" t="n"/>
      <c r="AR235" s="4" t="n"/>
      <c r="AS235" s="4" t="n"/>
      <c r="AT235" s="4" t="n"/>
      <c r="AU235" s="4" t="n"/>
      <c r="AV235" s="4" t="n"/>
      <c r="AW235" s="4" t="n"/>
      <c r="AX235" s="4" t="n"/>
      <c r="AY235" s="4" t="n"/>
      <c r="AZ235" s="4" t="n"/>
      <c r="BA235" s="4" t="n"/>
      <c r="BB235" s="4" t="n"/>
      <c r="BC235" s="4" t="n"/>
      <c r="BD235" s="4" t="n"/>
      <c r="BE235" s="4" t="n"/>
      <c r="BF235" s="4" t="n"/>
      <c r="BG235" s="4" t="n"/>
      <c r="BH235" s="4" t="n"/>
      <c r="BI235" s="4" t="n"/>
      <c r="BJ235" s="4" t="n"/>
      <c r="BK235" s="4" t="n"/>
      <c r="BL235" s="4" t="n"/>
      <c r="BM235" s="4" t="n"/>
      <c r="BN235" s="4" t="n"/>
      <c r="BO235" s="4" t="n"/>
      <c r="BP235" s="4" t="n"/>
      <c r="BQ235" s="4" t="n"/>
      <c r="BR235" s="4" t="n"/>
      <c r="BS235" s="4" t="n"/>
      <c r="BT235" s="4" t="n"/>
      <c r="BU235" s="4" t="n"/>
      <c r="BV235" s="4" t="n"/>
      <c r="BW235" s="4" t="n"/>
      <c r="BX235" s="4" t="n"/>
      <c r="BY235" s="4" t="n"/>
      <c r="BZ235" s="4" t="n"/>
      <c r="CA235" s="4" t="n"/>
      <c r="CB235" s="4" t="n"/>
      <c r="CC235" s="4" t="n"/>
      <c r="CD235" s="4" t="n"/>
      <c r="CE235" s="4" t="n"/>
      <c r="CF235" s="4" t="n"/>
      <c r="CG235" s="4" t="n"/>
      <c r="CH235" s="4" t="n"/>
      <c r="CI235" s="4" t="n"/>
      <c r="CJ235" s="4" t="n"/>
      <c r="CK235" s="4" t="n"/>
      <c r="CL235" s="4" t="n"/>
      <c r="CM235" s="4" t="n"/>
      <c r="CN235" s="4" t="n"/>
      <c r="CO235" s="4" t="n"/>
      <c r="CP235" s="4" t="n"/>
      <c r="CQ235" s="4" t="n"/>
      <c r="CR235" s="4" t="n"/>
      <c r="CS235" s="4" t="n"/>
      <c r="CT235" s="4" t="n"/>
      <c r="CU235" s="4" t="n"/>
      <c r="CV235" s="4" t="n"/>
      <c r="CW235" s="4" t="n"/>
      <c r="CX235" s="4" t="n"/>
      <c r="CY235" s="4" t="n"/>
      <c r="CZ235" s="4" t="n"/>
      <c r="DA235" s="4" t="n"/>
      <c r="DB235" s="4" t="n"/>
      <c r="DC235" s="4" t="n"/>
      <c r="DD235" s="4" t="n"/>
      <c r="DE235" s="4" t="n"/>
      <c r="DF235" s="4" t="n"/>
      <c r="DG235" s="4" t="n"/>
      <c r="DH235" s="4" t="n"/>
      <c r="DI235" s="4" t="n"/>
      <c r="DJ235" s="4" t="n"/>
      <c r="DK235" s="4" t="n"/>
      <c r="DL235" s="4" t="n"/>
      <c r="DM235" s="4" t="n"/>
      <c r="DN235" s="4" t="n"/>
      <c r="DO235" s="4" t="n"/>
      <c r="DP235" s="4" t="n"/>
      <c r="DQ235" s="4" t="n"/>
      <c r="DR235" s="4" t="n"/>
      <c r="DS235" s="4" t="n"/>
      <c r="DT235" s="4" t="n"/>
      <c r="DU235" s="4" t="n"/>
      <c r="DV235" s="4" t="n"/>
      <c r="DW235" s="4" t="n"/>
      <c r="DX235" s="4" t="n"/>
      <c r="DY235" s="4" t="n"/>
      <c r="DZ235" s="4" t="n"/>
      <c r="EA235" s="4" t="n"/>
      <c r="EB235" s="4" t="n"/>
      <c r="EC235" s="4" t="n"/>
      <c r="ED235" s="4" t="n"/>
      <c r="EE235" s="4" t="n"/>
      <c r="EF235" s="4" t="n"/>
      <c r="EG235" s="4" t="n"/>
      <c r="EH235" s="4" t="n"/>
      <c r="EI235" s="4" t="n"/>
      <c r="EJ235" s="4" t="n"/>
      <c r="EK235" s="4" t="n"/>
      <c r="EL235" s="4" t="n"/>
      <c r="EM235" s="4" t="n"/>
      <c r="EN235" s="4" t="n"/>
    </row>
    <row r="236" hidden="1" customFormat="1" s="6">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c r="AC236" s="4" t="n"/>
      <c r="AD236" s="4" t="n"/>
      <c r="AE236" s="4" t="n"/>
      <c r="AF236" s="4" t="n"/>
      <c r="AG236" s="4" t="n"/>
      <c r="AH236" s="4" t="n"/>
      <c r="AI236" s="4" t="n"/>
      <c r="AJ236" s="4" t="n"/>
      <c r="AK236" s="4" t="n"/>
      <c r="AL236" s="4" t="n"/>
      <c r="AM236" s="4" t="n"/>
      <c r="AN236" s="4" t="n"/>
      <c r="AO236" s="4" t="n"/>
      <c r="AP236" s="4" t="n"/>
      <c r="AQ236" s="4" t="n"/>
      <c r="AR236" s="4" t="n"/>
      <c r="AS236" s="4" t="n"/>
      <c r="AT236" s="4" t="n"/>
      <c r="AU236" s="4" t="n"/>
      <c r="AV236" s="4" t="n"/>
      <c r="AW236" s="4" t="n"/>
      <c r="AX236" s="4" t="n"/>
      <c r="AY236" s="4" t="n"/>
      <c r="AZ236" s="4" t="n"/>
      <c r="BA236" s="4" t="n"/>
      <c r="BB236" s="4" t="n"/>
      <c r="BC236" s="4" t="n"/>
      <c r="BD236" s="4" t="n"/>
      <c r="BE236" s="4" t="n"/>
      <c r="BF236" s="4" t="n"/>
      <c r="BG236" s="4" t="n"/>
      <c r="BH236" s="4" t="n"/>
      <c r="BI236" s="4" t="n"/>
      <c r="BJ236" s="4" t="n"/>
      <c r="BK236" s="4" t="n"/>
      <c r="BL236" s="4" t="n"/>
      <c r="BM236" s="4" t="n"/>
      <c r="BN236" s="4" t="n"/>
      <c r="BO236" s="4" t="n"/>
      <c r="BP236" s="4" t="n"/>
      <c r="BQ236" s="4" t="n"/>
      <c r="BR236" s="4" t="n"/>
      <c r="BS236" s="4" t="n"/>
      <c r="BT236" s="4" t="n"/>
      <c r="BU236" s="4" t="n"/>
      <c r="BV236" s="4" t="n"/>
      <c r="BW236" s="4" t="n"/>
      <c r="BX236" s="4" t="n"/>
      <c r="BY236" s="4" t="n"/>
      <c r="BZ236" s="4" t="n"/>
      <c r="CA236" s="4" t="n"/>
      <c r="CB236" s="4" t="n"/>
      <c r="CC236" s="4" t="n"/>
      <c r="CD236" s="4" t="n"/>
      <c r="CE236" s="4" t="n"/>
      <c r="CF236" s="4" t="n"/>
      <c r="CG236" s="4" t="n"/>
      <c r="CH236" s="4" t="n"/>
      <c r="CI236" s="4" t="n"/>
      <c r="CJ236" s="4" t="n"/>
      <c r="CK236" s="4" t="n"/>
      <c r="CL236" s="4" t="n"/>
      <c r="CM236" s="4" t="n"/>
      <c r="CN236" s="4" t="n"/>
      <c r="CO236" s="4" t="n"/>
      <c r="CP236" s="4" t="n"/>
      <c r="CQ236" s="4" t="n"/>
      <c r="CR236" s="4" t="n"/>
      <c r="CS236" s="4" t="n"/>
      <c r="CT236" s="4" t="n"/>
      <c r="CU236" s="4" t="n"/>
      <c r="CV236" s="4" t="n"/>
      <c r="CW236" s="4" t="n"/>
      <c r="CX236" s="4" t="n"/>
      <c r="CY236" s="4" t="n"/>
      <c r="CZ236" s="4" t="n"/>
      <c r="DA236" s="4" t="n"/>
      <c r="DB236" s="4" t="n"/>
      <c r="DC236" s="4" t="n"/>
      <c r="DD236" s="4" t="n"/>
      <c r="DE236" s="4" t="n"/>
      <c r="DF236" s="4" t="n"/>
      <c r="DG236" s="4" t="n"/>
      <c r="DH236" s="4" t="n"/>
      <c r="DI236" s="4" t="n"/>
      <c r="DJ236" s="4" t="n"/>
      <c r="DK236" s="4" t="n"/>
      <c r="DL236" s="4" t="n"/>
      <c r="DM236" s="4" t="n"/>
      <c r="DN236" s="4" t="n"/>
      <c r="DO236" s="4" t="n"/>
      <c r="DP236" s="4" t="n"/>
      <c r="DQ236" s="4" t="n"/>
      <c r="DR236" s="4" t="n"/>
      <c r="DS236" s="4" t="n"/>
      <c r="DT236" s="4" t="n"/>
      <c r="DU236" s="4" t="n"/>
      <c r="DV236" s="4" t="n"/>
      <c r="DW236" s="4" t="n"/>
      <c r="DX236" s="4" t="n"/>
      <c r="DY236" s="4" t="n"/>
      <c r="DZ236" s="4" t="n"/>
      <c r="EA236" s="4" t="n"/>
      <c r="EB236" s="4" t="n"/>
      <c r="EC236" s="4" t="n"/>
      <c r="ED236" s="4" t="n"/>
      <c r="EE236" s="4" t="n"/>
      <c r="EF236" s="4" t="n"/>
      <c r="EG236" s="4" t="n"/>
      <c r="EH236" s="4" t="n"/>
      <c r="EI236" s="4" t="n"/>
      <c r="EJ236" s="4" t="n"/>
      <c r="EK236" s="4" t="n"/>
      <c r="EL236" s="4" t="n"/>
      <c r="EM236" s="4" t="n"/>
      <c r="EN236" s="4" t="n"/>
    </row>
    <row r="237" hidden="1" customFormat="1" s="6">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c r="AC237" s="4" t="n"/>
      <c r="AD237" s="4" t="n"/>
      <c r="AE237" s="4" t="n"/>
      <c r="AF237" s="4" t="n"/>
      <c r="AG237" s="4" t="n"/>
      <c r="AH237" s="4" t="n"/>
      <c r="AI237" s="4" t="n"/>
      <c r="AJ237" s="4" t="n"/>
      <c r="AK237" s="4" t="n"/>
      <c r="AL237" s="4" t="n"/>
      <c r="AM237" s="4" t="n"/>
      <c r="AN237" s="4" t="n"/>
      <c r="AO237" s="4" t="n"/>
      <c r="AP237" s="4" t="n"/>
      <c r="AQ237" s="4" t="n"/>
      <c r="AR237" s="4" t="n"/>
      <c r="AS237" s="4" t="n"/>
      <c r="AT237" s="4" t="n"/>
      <c r="AU237" s="4" t="n"/>
      <c r="AV237" s="4" t="n"/>
      <c r="AW237" s="4" t="n"/>
      <c r="AX237" s="4" t="n"/>
      <c r="AY237" s="4" t="n"/>
      <c r="AZ237" s="4" t="n"/>
      <c r="BA237" s="4" t="n"/>
      <c r="BB237" s="4" t="n"/>
      <c r="BC237" s="4" t="n"/>
      <c r="BD237" s="4" t="n"/>
      <c r="BE237" s="4" t="n"/>
      <c r="BF237" s="4" t="n"/>
      <c r="BG237" s="4" t="n"/>
      <c r="BH237" s="4" t="n"/>
      <c r="BI237" s="4" t="n"/>
      <c r="BJ237" s="4" t="n"/>
      <c r="BK237" s="4" t="n"/>
      <c r="BL237" s="4" t="n"/>
      <c r="BM237" s="4" t="n"/>
      <c r="BN237" s="4" t="n"/>
      <c r="BO237" s="4" t="n"/>
      <c r="BP237" s="4" t="n"/>
      <c r="BQ237" s="4" t="n"/>
      <c r="BR237" s="4" t="n"/>
      <c r="BS237" s="4" t="n"/>
      <c r="BT237" s="4" t="n"/>
      <c r="BU237" s="4" t="n"/>
      <c r="BV237" s="4" t="n"/>
      <c r="BW237" s="4" t="n"/>
      <c r="BX237" s="4" t="n"/>
      <c r="BY237" s="4" t="n"/>
      <c r="BZ237" s="4" t="n"/>
      <c r="CA237" s="4" t="n"/>
      <c r="CB237" s="4" t="n"/>
      <c r="CC237" s="4" t="n"/>
      <c r="CD237" s="4" t="n"/>
      <c r="CE237" s="4" t="n"/>
      <c r="CF237" s="4" t="n"/>
      <c r="CG237" s="4" t="n"/>
      <c r="CH237" s="4" t="n"/>
      <c r="CI237" s="4" t="n"/>
      <c r="CJ237" s="4" t="n"/>
      <c r="CK237" s="4" t="n"/>
      <c r="CL237" s="4" t="n"/>
      <c r="CM237" s="4" t="n"/>
      <c r="CN237" s="4" t="n"/>
      <c r="CO237" s="4" t="n"/>
      <c r="CP237" s="4" t="n"/>
      <c r="CQ237" s="4" t="n"/>
      <c r="CR237" s="4" t="n"/>
      <c r="CS237" s="4" t="n"/>
      <c r="CT237" s="4" t="n"/>
      <c r="CU237" s="4" t="n"/>
      <c r="CV237" s="4" t="n"/>
      <c r="CW237" s="4" t="n"/>
      <c r="CX237" s="4" t="n"/>
      <c r="CY237" s="4" t="n"/>
      <c r="CZ237" s="4" t="n"/>
      <c r="DA237" s="4" t="n"/>
      <c r="DB237" s="4" t="n"/>
      <c r="DC237" s="4" t="n"/>
      <c r="DD237" s="4" t="n"/>
      <c r="DE237" s="4" t="n"/>
      <c r="DF237" s="4" t="n"/>
      <c r="DG237" s="4" t="n"/>
      <c r="DH237" s="4" t="n"/>
      <c r="DI237" s="4" t="n"/>
      <c r="DJ237" s="4" t="n"/>
      <c r="DK237" s="4" t="n"/>
      <c r="DL237" s="4" t="n"/>
      <c r="DM237" s="4" t="n"/>
      <c r="DN237" s="4" t="n"/>
      <c r="DO237" s="4" t="n"/>
      <c r="DP237" s="4" t="n"/>
      <c r="DQ237" s="4" t="n"/>
      <c r="DR237" s="4" t="n"/>
      <c r="DS237" s="4" t="n"/>
      <c r="DT237" s="4" t="n"/>
      <c r="DU237" s="4" t="n"/>
      <c r="DV237" s="4" t="n"/>
      <c r="DW237" s="4" t="n"/>
      <c r="DX237" s="4" t="n"/>
      <c r="DY237" s="4" t="n"/>
      <c r="DZ237" s="4" t="n"/>
      <c r="EA237" s="4" t="n"/>
      <c r="EB237" s="4" t="n"/>
      <c r="EC237" s="4" t="n"/>
      <c r="ED237" s="4" t="n"/>
      <c r="EE237" s="4" t="n"/>
      <c r="EF237" s="4" t="n"/>
      <c r="EG237" s="4" t="n"/>
      <c r="EH237" s="4" t="n"/>
      <c r="EI237" s="4" t="n"/>
      <c r="EJ237" s="4" t="n"/>
      <c r="EK237" s="4" t="n"/>
      <c r="EL237" s="4" t="n"/>
      <c r="EM237" s="4" t="n"/>
      <c r="EN237" s="4" t="n"/>
    </row>
    <row r="238" hidden="1" customFormat="1" s="6">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c r="AC238" s="4" t="n"/>
      <c r="AD238" s="4" t="n"/>
      <c r="AE238" s="4" t="n"/>
      <c r="AF238" s="4" t="n"/>
      <c r="AG238" s="4" t="n"/>
      <c r="AH238" s="4" t="n"/>
      <c r="AI238" s="4" t="n"/>
      <c r="AJ238" s="4" t="n"/>
      <c r="AK238" s="4" t="n"/>
      <c r="AL238" s="4" t="n"/>
      <c r="AM238" s="4" t="n"/>
      <c r="AN238" s="4" t="n"/>
      <c r="AO238" s="4" t="n"/>
      <c r="AP238" s="4" t="n"/>
      <c r="AQ238" s="4" t="n"/>
      <c r="AR238" s="4" t="n"/>
      <c r="AS238" s="4" t="n"/>
      <c r="AT238" s="4" t="n"/>
      <c r="AU238" s="4" t="n"/>
      <c r="AV238" s="4" t="n"/>
      <c r="AW238" s="4" t="n"/>
      <c r="AX238" s="4" t="n"/>
      <c r="AY238" s="4" t="n"/>
      <c r="AZ238" s="4" t="n"/>
      <c r="BA238" s="4" t="n"/>
      <c r="BB238" s="4" t="n"/>
      <c r="BC238" s="4" t="n"/>
      <c r="BD238" s="4" t="n"/>
      <c r="BE238" s="4" t="n"/>
      <c r="BF238" s="4" t="n"/>
      <c r="BG238" s="4" t="n"/>
      <c r="BH238" s="4" t="n"/>
      <c r="BI238" s="4" t="n"/>
      <c r="BJ238" s="4" t="n"/>
      <c r="BK238" s="4" t="n"/>
      <c r="BL238" s="4" t="n"/>
      <c r="BM238" s="4" t="n"/>
      <c r="BN238" s="4" t="n"/>
      <c r="BO238" s="4" t="n"/>
      <c r="BP238" s="4" t="n"/>
      <c r="BQ238" s="4" t="n"/>
      <c r="BR238" s="4" t="n"/>
      <c r="BS238" s="4" t="n"/>
      <c r="BT238" s="4" t="n"/>
      <c r="BU238" s="4" t="n"/>
      <c r="BV238" s="4" t="n"/>
      <c r="BW238" s="4" t="n"/>
      <c r="BX238" s="4" t="n"/>
      <c r="BY238" s="4" t="n"/>
      <c r="BZ238" s="4" t="n"/>
      <c r="CA238" s="4" t="n"/>
      <c r="CB238" s="4" t="n"/>
      <c r="CC238" s="4" t="n"/>
      <c r="CD238" s="4" t="n"/>
      <c r="CE238" s="4" t="n"/>
      <c r="CF238" s="4" t="n"/>
      <c r="CG238" s="4" t="n"/>
      <c r="CH238" s="4" t="n"/>
      <c r="CI238" s="4" t="n"/>
      <c r="CJ238" s="4" t="n"/>
      <c r="CK238" s="4" t="n"/>
      <c r="CL238" s="4" t="n"/>
      <c r="CM238" s="4" t="n"/>
      <c r="CN238" s="4" t="n"/>
      <c r="CO238" s="4" t="n"/>
      <c r="CP238" s="4" t="n"/>
      <c r="CQ238" s="4" t="n"/>
      <c r="CR238" s="4" t="n"/>
      <c r="CS238" s="4" t="n"/>
      <c r="CT238" s="4" t="n"/>
      <c r="CU238" s="4" t="n"/>
      <c r="CV238" s="4" t="n"/>
      <c r="CW238" s="4" t="n"/>
      <c r="CX238" s="4" t="n"/>
      <c r="CY238" s="4" t="n"/>
      <c r="CZ238" s="4" t="n"/>
      <c r="DA238" s="4" t="n"/>
      <c r="DB238" s="4" t="n"/>
      <c r="DC238" s="4" t="n"/>
      <c r="DD238" s="4" t="n"/>
      <c r="DE238" s="4" t="n"/>
      <c r="DF238" s="4" t="n"/>
      <c r="DG238" s="4" t="n"/>
      <c r="DH238" s="4" t="n"/>
      <c r="DI238" s="4" t="n"/>
      <c r="DJ238" s="4" t="n"/>
      <c r="DK238" s="4" t="n"/>
      <c r="DL238" s="4" t="n"/>
      <c r="DM238" s="4" t="n"/>
      <c r="DN238" s="4" t="n"/>
      <c r="DO238" s="4" t="n"/>
      <c r="DP238" s="4" t="n"/>
      <c r="DQ238" s="4" t="n"/>
      <c r="DR238" s="4" t="n"/>
      <c r="DS238" s="4" t="n"/>
      <c r="DT238" s="4" t="n"/>
      <c r="DU238" s="4" t="n"/>
      <c r="DV238" s="4" t="n"/>
      <c r="DW238" s="4" t="n"/>
      <c r="DX238" s="4" t="n"/>
      <c r="DY238" s="4" t="n"/>
      <c r="DZ238" s="4" t="n"/>
      <c r="EA238" s="4" t="n"/>
      <c r="EB238" s="4" t="n"/>
      <c r="EC238" s="4" t="n"/>
      <c r="ED238" s="4" t="n"/>
      <c r="EE238" s="4" t="n"/>
      <c r="EF238" s="4" t="n"/>
      <c r="EG238" s="4" t="n"/>
      <c r="EH238" s="4" t="n"/>
      <c r="EI238" s="4" t="n"/>
      <c r="EJ238" s="4" t="n"/>
      <c r="EK238" s="4" t="n"/>
      <c r="EL238" s="4" t="n"/>
      <c r="EM238" s="4" t="n"/>
      <c r="EN238" s="4" t="n"/>
    </row>
    <row r="239" hidden="1" customFormat="1" s="6">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c r="AC239" s="4" t="n"/>
      <c r="AD239" s="4" t="n"/>
      <c r="AE239" s="4" t="n"/>
      <c r="AF239" s="4" t="n"/>
      <c r="AG239" s="4" t="n"/>
      <c r="AH239" s="4" t="n"/>
      <c r="AI239" s="4" t="n"/>
      <c r="AJ239" s="4" t="n"/>
      <c r="AK239" s="4" t="n"/>
      <c r="AL239" s="4" t="n"/>
      <c r="AM239" s="4" t="n"/>
      <c r="AN239" s="4" t="n"/>
      <c r="AO239" s="4" t="n"/>
      <c r="AP239" s="4" t="n"/>
      <c r="AQ239" s="4" t="n"/>
      <c r="AR239" s="4" t="n"/>
      <c r="AS239" s="4" t="n"/>
      <c r="AT239" s="4" t="n"/>
      <c r="AU239" s="4" t="n"/>
      <c r="AV239" s="4" t="n"/>
      <c r="AW239" s="4" t="n"/>
      <c r="AX239" s="4" t="n"/>
      <c r="AY239" s="4" t="n"/>
      <c r="AZ239" s="4" t="n"/>
      <c r="BA239" s="4" t="n"/>
      <c r="BB239" s="4" t="n"/>
      <c r="BC239" s="4" t="n"/>
      <c r="BD239" s="4" t="n"/>
      <c r="BE239" s="4" t="n"/>
      <c r="BF239" s="4" t="n"/>
      <c r="BG239" s="4" t="n"/>
      <c r="BH239" s="4" t="n"/>
      <c r="BI239" s="4" t="n"/>
      <c r="BJ239" s="4" t="n"/>
      <c r="BK239" s="4" t="n"/>
      <c r="BL239" s="4" t="n"/>
      <c r="BM239" s="4" t="n"/>
      <c r="BN239" s="4" t="n"/>
      <c r="BO239" s="4" t="n"/>
      <c r="BP239" s="4" t="n"/>
      <c r="BQ239" s="4" t="n"/>
      <c r="BR239" s="4" t="n"/>
      <c r="BS239" s="4" t="n"/>
      <c r="BT239" s="4" t="n"/>
      <c r="BU239" s="4" t="n"/>
      <c r="BV239" s="4" t="n"/>
      <c r="BW239" s="4" t="n"/>
      <c r="BX239" s="4" t="n"/>
      <c r="BY239" s="4" t="n"/>
      <c r="BZ239" s="4" t="n"/>
      <c r="CA239" s="4" t="n"/>
      <c r="CB239" s="4" t="n"/>
      <c r="CC239" s="4" t="n"/>
      <c r="CD239" s="4" t="n"/>
      <c r="CE239" s="4" t="n"/>
      <c r="CF239" s="4" t="n"/>
      <c r="CG239" s="4" t="n"/>
      <c r="CH239" s="4" t="n"/>
      <c r="CI239" s="4" t="n"/>
      <c r="CJ239" s="4" t="n"/>
      <c r="CK239" s="4" t="n"/>
      <c r="CL239" s="4" t="n"/>
      <c r="CM239" s="4" t="n"/>
      <c r="CN239" s="4" t="n"/>
      <c r="CO239" s="4" t="n"/>
      <c r="CP239" s="4" t="n"/>
      <c r="CQ239" s="4" t="n"/>
      <c r="CR239" s="4" t="n"/>
      <c r="CS239" s="4" t="n"/>
      <c r="CT239" s="4" t="n"/>
      <c r="CU239" s="4" t="n"/>
      <c r="CV239" s="4" t="n"/>
      <c r="CW239" s="4" t="n"/>
      <c r="CX239" s="4" t="n"/>
      <c r="CY239" s="4" t="n"/>
      <c r="CZ239" s="4" t="n"/>
      <c r="DA239" s="4" t="n"/>
      <c r="DB239" s="4" t="n"/>
      <c r="DC239" s="4" t="n"/>
      <c r="DD239" s="4" t="n"/>
      <c r="DE239" s="4" t="n"/>
      <c r="DF239" s="4" t="n"/>
      <c r="DG239" s="4" t="n"/>
      <c r="DH239" s="4" t="n"/>
      <c r="DI239" s="4" t="n"/>
      <c r="DJ239" s="4" t="n"/>
      <c r="DK239" s="4" t="n"/>
      <c r="DL239" s="4" t="n"/>
      <c r="DM239" s="4" t="n"/>
      <c r="DN239" s="4" t="n"/>
      <c r="DO239" s="4" t="n"/>
      <c r="DP239" s="4" t="n"/>
      <c r="DQ239" s="4" t="n"/>
      <c r="DR239" s="4" t="n"/>
      <c r="DS239" s="4" t="n"/>
      <c r="DT239" s="4" t="n"/>
      <c r="DU239" s="4" t="n"/>
      <c r="DV239" s="4" t="n"/>
      <c r="DW239" s="4" t="n"/>
      <c r="DX239" s="4" t="n"/>
      <c r="DY239" s="4" t="n"/>
      <c r="DZ239" s="4" t="n"/>
      <c r="EA239" s="4" t="n"/>
      <c r="EB239" s="4" t="n"/>
      <c r="EC239" s="4" t="n"/>
      <c r="ED239" s="4" t="n"/>
      <c r="EE239" s="4" t="n"/>
      <c r="EF239" s="4" t="n"/>
      <c r="EG239" s="4" t="n"/>
      <c r="EH239" s="4" t="n"/>
      <c r="EI239" s="4" t="n"/>
      <c r="EJ239" s="4" t="n"/>
      <c r="EK239" s="4" t="n"/>
      <c r="EL239" s="4" t="n"/>
      <c r="EM239" s="4" t="n"/>
      <c r="EN239" s="4" t="n"/>
    </row>
    <row r="240" hidden="1" customFormat="1" s="6">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c r="AD240" s="4" t="n"/>
      <c r="AE240" s="4" t="n"/>
      <c r="AF240" s="4" t="n"/>
      <c r="AG240" s="4" t="n"/>
      <c r="AH240" s="4" t="n"/>
      <c r="AI240" s="4" t="n"/>
      <c r="AJ240" s="4" t="n"/>
      <c r="AK240" s="4" t="n"/>
      <c r="AL240" s="4" t="n"/>
      <c r="AM240" s="4" t="n"/>
      <c r="AN240" s="4" t="n"/>
      <c r="AO240" s="4" t="n"/>
      <c r="AP240" s="4" t="n"/>
      <c r="AQ240" s="4" t="n"/>
      <c r="AR240" s="4" t="n"/>
      <c r="AS240" s="4" t="n"/>
      <c r="AT240" s="4" t="n"/>
      <c r="AU240" s="4" t="n"/>
      <c r="AV240" s="4" t="n"/>
      <c r="AW240" s="4" t="n"/>
      <c r="AX240" s="4" t="n"/>
      <c r="AY240" s="4" t="n"/>
      <c r="AZ240" s="4" t="n"/>
      <c r="BA240" s="4" t="n"/>
      <c r="BB240" s="4" t="n"/>
      <c r="BC240" s="4" t="n"/>
      <c r="BD240" s="4" t="n"/>
      <c r="BE240" s="4" t="n"/>
      <c r="BF240" s="4" t="n"/>
      <c r="BG240" s="4" t="n"/>
      <c r="BH240" s="4" t="n"/>
      <c r="BI240" s="4" t="n"/>
      <c r="BJ240" s="4" t="n"/>
      <c r="BK240" s="4" t="n"/>
      <c r="BL240" s="4" t="n"/>
      <c r="BM240" s="4" t="n"/>
      <c r="BN240" s="4" t="n"/>
      <c r="BO240" s="4" t="n"/>
      <c r="BP240" s="4" t="n"/>
      <c r="BQ240" s="4" t="n"/>
      <c r="BR240" s="4" t="n"/>
      <c r="BS240" s="4" t="n"/>
      <c r="BT240" s="4" t="n"/>
      <c r="BU240" s="4" t="n"/>
      <c r="BV240" s="4" t="n"/>
      <c r="BW240" s="4" t="n"/>
      <c r="BX240" s="4" t="n"/>
      <c r="BY240" s="4" t="n"/>
      <c r="BZ240" s="4" t="n"/>
      <c r="CA240" s="4" t="n"/>
      <c r="CB240" s="4" t="n"/>
      <c r="CC240" s="4" t="n"/>
      <c r="CD240" s="4" t="n"/>
      <c r="CE240" s="4" t="n"/>
      <c r="CF240" s="4" t="n"/>
      <c r="CG240" s="4" t="n"/>
      <c r="CH240" s="4" t="n"/>
      <c r="CI240" s="4" t="n"/>
      <c r="CJ240" s="4" t="n"/>
      <c r="CK240" s="4" t="n"/>
      <c r="CL240" s="4" t="n"/>
      <c r="CM240" s="4" t="n"/>
      <c r="CN240" s="4" t="n"/>
      <c r="CO240" s="4" t="n"/>
      <c r="CP240" s="4" t="n"/>
      <c r="CQ240" s="4" t="n"/>
      <c r="CR240" s="4" t="n"/>
      <c r="CS240" s="4" t="n"/>
      <c r="CT240" s="4" t="n"/>
      <c r="CU240" s="4" t="n"/>
      <c r="CV240" s="4" t="n"/>
      <c r="CW240" s="4" t="n"/>
      <c r="CX240" s="4" t="n"/>
      <c r="CY240" s="4" t="n"/>
      <c r="CZ240" s="4" t="n"/>
      <c r="DA240" s="4" t="n"/>
      <c r="DB240" s="4" t="n"/>
      <c r="DC240" s="4" t="n"/>
      <c r="DD240" s="4" t="n"/>
      <c r="DE240" s="4" t="n"/>
      <c r="DF240" s="4" t="n"/>
      <c r="DG240" s="4" t="n"/>
      <c r="DH240" s="4" t="n"/>
      <c r="DI240" s="4" t="n"/>
      <c r="DJ240" s="4" t="n"/>
      <c r="DK240" s="4" t="n"/>
      <c r="DL240" s="4" t="n"/>
      <c r="DM240" s="4" t="n"/>
      <c r="DN240" s="4" t="n"/>
      <c r="DO240" s="4" t="n"/>
      <c r="DP240" s="4" t="n"/>
      <c r="DQ240" s="4" t="n"/>
      <c r="DR240" s="4" t="n"/>
      <c r="DS240" s="4" t="n"/>
      <c r="DT240" s="4" t="n"/>
      <c r="DU240" s="4" t="n"/>
      <c r="DV240" s="4" t="n"/>
      <c r="DW240" s="4" t="n"/>
      <c r="DX240" s="4" t="n"/>
      <c r="DY240" s="4" t="n"/>
      <c r="DZ240" s="4" t="n"/>
      <c r="EA240" s="4" t="n"/>
      <c r="EB240" s="4" t="n"/>
      <c r="EC240" s="4" t="n"/>
      <c r="ED240" s="4" t="n"/>
      <c r="EE240" s="4" t="n"/>
      <c r="EF240" s="4" t="n"/>
      <c r="EG240" s="4" t="n"/>
      <c r="EH240" s="4" t="n"/>
      <c r="EI240" s="4" t="n"/>
      <c r="EJ240" s="4" t="n"/>
      <c r="EK240" s="4" t="n"/>
      <c r="EL240" s="4" t="n"/>
      <c r="EM240" s="4" t="n"/>
      <c r="EN240" s="4" t="n"/>
    </row>
    <row r="241" hidden="1" customFormat="1" s="6">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c r="AE241" s="4" t="n"/>
      <c r="AF241" s="4" t="n"/>
      <c r="AG241" s="4" t="n"/>
      <c r="AH241" s="4" t="n"/>
      <c r="AI241" s="4" t="n"/>
      <c r="AJ241" s="4" t="n"/>
      <c r="AK241" s="4" t="n"/>
      <c r="AL241" s="4" t="n"/>
      <c r="AM241" s="4" t="n"/>
      <c r="AN241" s="4" t="n"/>
      <c r="AO241" s="4" t="n"/>
      <c r="AP241" s="4" t="n"/>
      <c r="AQ241" s="4" t="n"/>
      <c r="AR241" s="4" t="n"/>
      <c r="AS241" s="4" t="n"/>
      <c r="AT241" s="4" t="n"/>
      <c r="AU241" s="4" t="n"/>
      <c r="AV241" s="4" t="n"/>
      <c r="AW241" s="4" t="n"/>
      <c r="AX241" s="4" t="n"/>
      <c r="AY241" s="4" t="n"/>
      <c r="AZ241" s="4" t="n"/>
      <c r="BA241" s="4" t="n"/>
      <c r="BB241" s="4" t="n"/>
      <c r="BC241" s="4" t="n"/>
      <c r="BD241" s="4" t="n"/>
      <c r="BE241" s="4" t="n"/>
      <c r="BF241" s="4" t="n"/>
      <c r="BG241" s="4" t="n"/>
      <c r="BH241" s="4" t="n"/>
      <c r="BI241" s="4" t="n"/>
      <c r="BJ241" s="4" t="n"/>
      <c r="BK241" s="4" t="n"/>
      <c r="BL241" s="4" t="n"/>
      <c r="BM241" s="4" t="n"/>
      <c r="BN241" s="4" t="n"/>
      <c r="BO241" s="4" t="n"/>
      <c r="BP241" s="4" t="n"/>
      <c r="BQ241" s="4" t="n"/>
      <c r="BR241" s="4" t="n"/>
      <c r="BS241" s="4" t="n"/>
      <c r="BT241" s="4" t="n"/>
      <c r="BU241" s="4" t="n"/>
      <c r="BV241" s="4" t="n"/>
      <c r="BW241" s="4" t="n"/>
      <c r="BX241" s="4" t="n"/>
      <c r="BY241" s="4" t="n"/>
      <c r="BZ241" s="4" t="n"/>
      <c r="CA241" s="4" t="n"/>
      <c r="CB241" s="4" t="n"/>
      <c r="CC241" s="4" t="n"/>
      <c r="CD241" s="4" t="n"/>
      <c r="CE241" s="4" t="n"/>
      <c r="CF241" s="4" t="n"/>
      <c r="CG241" s="4" t="n"/>
      <c r="CH241" s="4" t="n"/>
      <c r="CI241" s="4" t="n"/>
      <c r="CJ241" s="4" t="n"/>
      <c r="CK241" s="4" t="n"/>
      <c r="CL241" s="4" t="n"/>
      <c r="CM241" s="4" t="n"/>
      <c r="CN241" s="4" t="n"/>
      <c r="CO241" s="4" t="n"/>
      <c r="CP241" s="4" t="n"/>
      <c r="CQ241" s="4" t="n"/>
      <c r="CR241" s="4" t="n"/>
      <c r="CS241" s="4" t="n"/>
      <c r="CT241" s="4" t="n"/>
      <c r="CU241" s="4" t="n"/>
      <c r="CV241" s="4" t="n"/>
      <c r="CW241" s="4" t="n"/>
      <c r="CX241" s="4" t="n"/>
      <c r="CY241" s="4" t="n"/>
      <c r="CZ241" s="4" t="n"/>
      <c r="DA241" s="4" t="n"/>
      <c r="DB241" s="4" t="n"/>
      <c r="DC241" s="4" t="n"/>
      <c r="DD241" s="4" t="n"/>
      <c r="DE241" s="4" t="n"/>
      <c r="DF241" s="4" t="n"/>
      <c r="DG241" s="4" t="n"/>
      <c r="DH241" s="4" t="n"/>
      <c r="DI241" s="4" t="n"/>
      <c r="DJ241" s="4" t="n"/>
      <c r="DK241" s="4" t="n"/>
      <c r="DL241" s="4" t="n"/>
      <c r="DM241" s="4" t="n"/>
      <c r="DN241" s="4" t="n"/>
      <c r="DO241" s="4" t="n"/>
      <c r="DP241" s="4" t="n"/>
      <c r="DQ241" s="4" t="n"/>
      <c r="DR241" s="4" t="n"/>
      <c r="DS241" s="4" t="n"/>
      <c r="DT241" s="4" t="n"/>
      <c r="DU241" s="4" t="n"/>
      <c r="DV241" s="4" t="n"/>
      <c r="DW241" s="4" t="n"/>
      <c r="DX241" s="4" t="n"/>
      <c r="DY241" s="4" t="n"/>
      <c r="DZ241" s="4" t="n"/>
      <c r="EA241" s="4" t="n"/>
      <c r="EB241" s="4" t="n"/>
      <c r="EC241" s="4" t="n"/>
      <c r="ED241" s="4" t="n"/>
      <c r="EE241" s="4" t="n"/>
      <c r="EF241" s="4" t="n"/>
      <c r="EG241" s="4" t="n"/>
      <c r="EH241" s="4" t="n"/>
      <c r="EI241" s="4" t="n"/>
      <c r="EJ241" s="4" t="n"/>
      <c r="EK241" s="4" t="n"/>
      <c r="EL241" s="4" t="n"/>
      <c r="EM241" s="4" t="n"/>
      <c r="EN241" s="4" t="n"/>
    </row>
    <row r="242" hidden="1" customFormat="1" s="6">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c r="AC242" s="4" t="n"/>
      <c r="AD242" s="4" t="n"/>
      <c r="AE242" s="4" t="n"/>
      <c r="AF242" s="4" t="n"/>
      <c r="AG242" s="4" t="n"/>
      <c r="AH242" s="4" t="n"/>
      <c r="AI242" s="4" t="n"/>
      <c r="AJ242" s="4" t="n"/>
      <c r="AK242" s="4" t="n"/>
      <c r="AL242" s="4" t="n"/>
      <c r="AM242" s="4" t="n"/>
      <c r="AN242" s="4" t="n"/>
      <c r="AO242" s="4" t="n"/>
      <c r="AP242" s="4" t="n"/>
      <c r="AQ242" s="4" t="n"/>
      <c r="AR242" s="4" t="n"/>
      <c r="AS242" s="4" t="n"/>
      <c r="AT242" s="4" t="n"/>
      <c r="AU242" s="4" t="n"/>
      <c r="AV242" s="4" t="n"/>
      <c r="AW242" s="4" t="n"/>
      <c r="AX242" s="4" t="n"/>
      <c r="AY242" s="4" t="n"/>
      <c r="AZ242" s="4" t="n"/>
      <c r="BA242" s="4" t="n"/>
      <c r="BB242" s="4" t="n"/>
      <c r="BC242" s="4" t="n"/>
      <c r="BD242" s="4" t="n"/>
      <c r="BE242" s="4" t="n"/>
      <c r="BF242" s="4" t="n"/>
      <c r="BG242" s="4" t="n"/>
      <c r="BH242" s="4" t="n"/>
      <c r="BI242" s="4" t="n"/>
      <c r="BJ242" s="4" t="n"/>
      <c r="BK242" s="4" t="n"/>
      <c r="BL242" s="4" t="n"/>
      <c r="BM242" s="4" t="n"/>
      <c r="BN242" s="4" t="n"/>
      <c r="BO242" s="4" t="n"/>
      <c r="BP242" s="4" t="n"/>
      <c r="BQ242" s="4" t="n"/>
      <c r="BR242" s="4" t="n"/>
      <c r="BS242" s="4" t="n"/>
      <c r="BT242" s="4" t="n"/>
      <c r="BU242" s="4" t="n"/>
      <c r="BV242" s="4" t="n"/>
      <c r="BW242" s="4" t="n"/>
      <c r="BX242" s="4" t="n"/>
      <c r="BY242" s="4" t="n"/>
      <c r="BZ242" s="4" t="n"/>
      <c r="CA242" s="4" t="n"/>
      <c r="CB242" s="4" t="n"/>
      <c r="CC242" s="4" t="n"/>
      <c r="CD242" s="4" t="n"/>
      <c r="CE242" s="4" t="n"/>
      <c r="CF242" s="4" t="n"/>
      <c r="CG242" s="4" t="n"/>
      <c r="CH242" s="4" t="n"/>
      <c r="CI242" s="4" t="n"/>
      <c r="CJ242" s="4" t="n"/>
      <c r="CK242" s="4" t="n"/>
      <c r="CL242" s="4" t="n"/>
      <c r="CM242" s="4" t="n"/>
      <c r="CN242" s="4" t="n"/>
      <c r="CO242" s="4" t="n"/>
      <c r="CP242" s="4" t="n"/>
      <c r="CQ242" s="4" t="n"/>
      <c r="CR242" s="4" t="n"/>
      <c r="CS242" s="4" t="n"/>
      <c r="CT242" s="4" t="n"/>
      <c r="CU242" s="4" t="n"/>
      <c r="CV242" s="4" t="n"/>
      <c r="CW242" s="4" t="n"/>
      <c r="CX242" s="4" t="n"/>
      <c r="CY242" s="4" t="n"/>
      <c r="CZ242" s="4" t="n"/>
      <c r="DA242" s="4" t="n"/>
      <c r="DB242" s="4" t="n"/>
      <c r="DC242" s="4" t="n"/>
      <c r="DD242" s="4" t="n"/>
      <c r="DE242" s="4" t="n"/>
      <c r="DF242" s="4" t="n"/>
      <c r="DG242" s="4" t="n"/>
      <c r="DH242" s="4" t="n"/>
      <c r="DI242" s="4" t="n"/>
      <c r="DJ242" s="4" t="n"/>
      <c r="DK242" s="4" t="n"/>
      <c r="DL242" s="4" t="n"/>
      <c r="DM242" s="4" t="n"/>
      <c r="DN242" s="4" t="n"/>
      <c r="DO242" s="4" t="n"/>
      <c r="DP242" s="4" t="n"/>
      <c r="DQ242" s="4" t="n"/>
      <c r="DR242" s="4" t="n"/>
      <c r="DS242" s="4" t="n"/>
      <c r="DT242" s="4" t="n"/>
      <c r="DU242" s="4" t="n"/>
      <c r="DV242" s="4" t="n"/>
      <c r="DW242" s="4" t="n"/>
      <c r="DX242" s="4" t="n"/>
      <c r="DY242" s="4" t="n"/>
      <c r="DZ242" s="4" t="n"/>
      <c r="EA242" s="4" t="n"/>
      <c r="EB242" s="4" t="n"/>
      <c r="EC242" s="4" t="n"/>
      <c r="ED242" s="4" t="n"/>
      <c r="EE242" s="4" t="n"/>
      <c r="EF242" s="4" t="n"/>
      <c r="EG242" s="4" t="n"/>
      <c r="EH242" s="4" t="n"/>
      <c r="EI242" s="4" t="n"/>
      <c r="EJ242" s="4" t="n"/>
      <c r="EK242" s="4" t="n"/>
      <c r="EL242" s="4" t="n"/>
      <c r="EM242" s="4" t="n"/>
      <c r="EN242" s="4" t="n"/>
    </row>
    <row r="243" hidden="1" customFormat="1" s="6">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c r="AC243" s="4" t="n"/>
      <c r="AD243" s="4" t="n"/>
      <c r="AE243" s="4" t="n"/>
      <c r="AF243" s="4" t="n"/>
      <c r="AG243" s="4" t="n"/>
      <c r="AH243" s="4" t="n"/>
      <c r="AI243" s="4" t="n"/>
      <c r="AJ243" s="4" t="n"/>
      <c r="AK243" s="4" t="n"/>
      <c r="AL243" s="4" t="n"/>
      <c r="AM243" s="4" t="n"/>
      <c r="AN243" s="4" t="n"/>
      <c r="AO243" s="4" t="n"/>
      <c r="AP243" s="4" t="n"/>
      <c r="AQ243" s="4" t="n"/>
      <c r="AR243" s="4" t="n"/>
      <c r="AS243" s="4" t="n"/>
      <c r="AT243" s="4" t="n"/>
      <c r="AU243" s="4" t="n"/>
      <c r="AV243" s="4" t="n"/>
      <c r="AW243" s="4" t="n"/>
      <c r="AX243" s="4" t="n"/>
      <c r="AY243" s="4" t="n"/>
      <c r="AZ243" s="4" t="n"/>
      <c r="BA243" s="4" t="n"/>
      <c r="BB243" s="4" t="n"/>
      <c r="BC243" s="4" t="n"/>
      <c r="BD243" s="4" t="n"/>
      <c r="BE243" s="4" t="n"/>
      <c r="BF243" s="4" t="n"/>
      <c r="BG243" s="4" t="n"/>
      <c r="BH243" s="4" t="n"/>
      <c r="BI243" s="4" t="n"/>
      <c r="BJ243" s="4" t="n"/>
      <c r="BK243" s="4" t="n"/>
      <c r="BL243" s="4" t="n"/>
      <c r="BM243" s="4" t="n"/>
      <c r="BN243" s="4" t="n"/>
      <c r="BO243" s="4" t="n"/>
      <c r="BP243" s="4" t="n"/>
      <c r="BQ243" s="4" t="n"/>
      <c r="BR243" s="4" t="n"/>
      <c r="BS243" s="4" t="n"/>
      <c r="BT243" s="4" t="n"/>
      <c r="BU243" s="4" t="n"/>
      <c r="BV243" s="4" t="n"/>
      <c r="BW243" s="4" t="n"/>
      <c r="BX243" s="4" t="n"/>
      <c r="BY243" s="4" t="n"/>
      <c r="BZ243" s="4" t="n"/>
      <c r="CA243" s="4" t="n"/>
      <c r="CB243" s="4" t="n"/>
      <c r="CC243" s="4" t="n"/>
      <c r="CD243" s="4" t="n"/>
      <c r="CE243" s="4" t="n"/>
      <c r="CF243" s="4" t="n"/>
      <c r="CG243" s="4" t="n"/>
      <c r="CH243" s="4" t="n"/>
      <c r="CI243" s="4" t="n"/>
      <c r="CJ243" s="4" t="n"/>
      <c r="CK243" s="4" t="n"/>
      <c r="CL243" s="4" t="n"/>
      <c r="CM243" s="4" t="n"/>
      <c r="CN243" s="4" t="n"/>
      <c r="CO243" s="4" t="n"/>
      <c r="CP243" s="4" t="n"/>
      <c r="CQ243" s="4" t="n"/>
      <c r="CR243" s="4" t="n"/>
      <c r="CS243" s="4" t="n"/>
      <c r="CT243" s="4" t="n"/>
      <c r="CU243" s="4" t="n"/>
      <c r="CV243" s="4" t="n"/>
      <c r="CW243" s="4" t="n"/>
      <c r="CX243" s="4" t="n"/>
      <c r="CY243" s="4" t="n"/>
      <c r="CZ243" s="4" t="n"/>
      <c r="DA243" s="4" t="n"/>
      <c r="DB243" s="4" t="n"/>
      <c r="DC243" s="4" t="n"/>
      <c r="DD243" s="4" t="n"/>
      <c r="DE243" s="4" t="n"/>
      <c r="DF243" s="4" t="n"/>
      <c r="DG243" s="4" t="n"/>
      <c r="DH243" s="4" t="n"/>
      <c r="DI243" s="4" t="n"/>
      <c r="DJ243" s="4" t="n"/>
      <c r="DK243" s="4" t="n"/>
      <c r="DL243" s="4" t="n"/>
      <c r="DM243" s="4" t="n"/>
      <c r="DN243" s="4" t="n"/>
      <c r="DO243" s="4" t="n"/>
      <c r="DP243" s="4" t="n"/>
      <c r="DQ243" s="4" t="n"/>
      <c r="DR243" s="4" t="n"/>
      <c r="DS243" s="4" t="n"/>
      <c r="DT243" s="4" t="n"/>
      <c r="DU243" s="4" t="n"/>
      <c r="DV243" s="4" t="n"/>
      <c r="DW243" s="4" t="n"/>
      <c r="DX243" s="4" t="n"/>
      <c r="DY243" s="4" t="n"/>
      <c r="DZ243" s="4" t="n"/>
      <c r="EA243" s="4" t="n"/>
      <c r="EB243" s="4" t="n"/>
      <c r="EC243" s="4" t="n"/>
      <c r="ED243" s="4" t="n"/>
      <c r="EE243" s="4" t="n"/>
      <c r="EF243" s="4" t="n"/>
      <c r="EG243" s="4" t="n"/>
      <c r="EH243" s="4" t="n"/>
      <c r="EI243" s="4" t="n"/>
      <c r="EJ243" s="4" t="n"/>
      <c r="EK243" s="4" t="n"/>
      <c r="EL243" s="4" t="n"/>
      <c r="EM243" s="4" t="n"/>
      <c r="EN243" s="4" t="n"/>
    </row>
    <row r="244" hidden="1" customFormat="1" s="6">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c r="AD244" s="4" t="n"/>
      <c r="AE244" s="4" t="n"/>
      <c r="AF244" s="4" t="n"/>
      <c r="AG244" s="4" t="n"/>
      <c r="AH244" s="4" t="n"/>
      <c r="AI244" s="4" t="n"/>
      <c r="AJ244" s="4" t="n"/>
      <c r="AK244" s="4" t="n"/>
      <c r="AL244" s="4" t="n"/>
      <c r="AM244" s="4" t="n"/>
      <c r="AN244" s="4" t="n"/>
      <c r="AO244" s="4" t="n"/>
      <c r="AP244" s="4" t="n"/>
      <c r="AQ244" s="4" t="n"/>
      <c r="AR244" s="4" t="n"/>
      <c r="AS244" s="4" t="n"/>
      <c r="AT244" s="4" t="n"/>
      <c r="AU244" s="4" t="n"/>
      <c r="AV244" s="4" t="n"/>
      <c r="AW244" s="4" t="n"/>
      <c r="AX244" s="4" t="n"/>
      <c r="AY244" s="4" t="n"/>
      <c r="AZ244" s="4" t="n"/>
      <c r="BA244" s="4" t="n"/>
      <c r="BB244" s="4" t="n"/>
      <c r="BC244" s="4" t="n"/>
      <c r="BD244" s="4" t="n"/>
      <c r="BE244" s="4" t="n"/>
      <c r="BF244" s="4" t="n"/>
      <c r="BG244" s="4" t="n"/>
      <c r="BH244" s="4" t="n"/>
      <c r="BI244" s="4" t="n"/>
      <c r="BJ244" s="4" t="n"/>
      <c r="BK244" s="4" t="n"/>
      <c r="BL244" s="4" t="n"/>
      <c r="BM244" s="4" t="n"/>
      <c r="BN244" s="4" t="n"/>
      <c r="BO244" s="4" t="n"/>
      <c r="BP244" s="4" t="n"/>
      <c r="BQ244" s="4" t="n"/>
      <c r="BR244" s="4" t="n"/>
      <c r="BS244" s="4" t="n"/>
      <c r="BT244" s="4" t="n"/>
      <c r="BU244" s="4" t="n"/>
      <c r="BV244" s="4" t="n"/>
      <c r="BW244" s="4" t="n"/>
      <c r="BX244" s="4" t="n"/>
      <c r="BY244" s="4" t="n"/>
      <c r="BZ244" s="4" t="n"/>
      <c r="CA244" s="4" t="n"/>
      <c r="CB244" s="4" t="n"/>
      <c r="CC244" s="4" t="n"/>
      <c r="CD244" s="4" t="n"/>
      <c r="CE244" s="4" t="n"/>
      <c r="CF244" s="4" t="n"/>
      <c r="CG244" s="4" t="n"/>
      <c r="CH244" s="4" t="n"/>
      <c r="CI244" s="4" t="n"/>
      <c r="CJ244" s="4" t="n"/>
      <c r="CK244" s="4" t="n"/>
      <c r="CL244" s="4" t="n"/>
      <c r="CM244" s="4" t="n"/>
      <c r="CN244" s="4" t="n"/>
      <c r="CO244" s="4" t="n"/>
      <c r="CP244" s="4" t="n"/>
      <c r="CQ244" s="4" t="n"/>
      <c r="CR244" s="4" t="n"/>
      <c r="CS244" s="4" t="n"/>
      <c r="CT244" s="4" t="n"/>
      <c r="CU244" s="4" t="n"/>
      <c r="CV244" s="4" t="n"/>
      <c r="CW244" s="4" t="n"/>
      <c r="CX244" s="4" t="n"/>
      <c r="CY244" s="4" t="n"/>
      <c r="CZ244" s="4" t="n"/>
      <c r="DA244" s="4" t="n"/>
      <c r="DB244" s="4" t="n"/>
      <c r="DC244" s="4" t="n"/>
      <c r="DD244" s="4" t="n"/>
      <c r="DE244" s="4" t="n"/>
      <c r="DF244" s="4" t="n"/>
      <c r="DG244" s="4" t="n"/>
      <c r="DH244" s="4" t="n"/>
      <c r="DI244" s="4" t="n"/>
      <c r="DJ244" s="4" t="n"/>
      <c r="DK244" s="4" t="n"/>
      <c r="DL244" s="4" t="n"/>
      <c r="DM244" s="4" t="n"/>
      <c r="DN244" s="4" t="n"/>
      <c r="DO244" s="4" t="n"/>
      <c r="DP244" s="4" t="n"/>
      <c r="DQ244" s="4" t="n"/>
      <c r="DR244" s="4" t="n"/>
      <c r="DS244" s="4" t="n"/>
      <c r="DT244" s="4" t="n"/>
      <c r="DU244" s="4" t="n"/>
      <c r="DV244" s="4" t="n"/>
      <c r="DW244" s="4" t="n"/>
      <c r="DX244" s="4" t="n"/>
      <c r="DY244" s="4" t="n"/>
      <c r="DZ244" s="4" t="n"/>
      <c r="EA244" s="4" t="n"/>
      <c r="EB244" s="4" t="n"/>
      <c r="EC244" s="4" t="n"/>
      <c r="ED244" s="4" t="n"/>
      <c r="EE244" s="4" t="n"/>
      <c r="EF244" s="4" t="n"/>
      <c r="EG244" s="4" t="n"/>
      <c r="EH244" s="4" t="n"/>
      <c r="EI244" s="4" t="n"/>
      <c r="EJ244" s="4" t="n"/>
      <c r="EK244" s="4" t="n"/>
      <c r="EL244" s="4" t="n"/>
      <c r="EM244" s="4" t="n"/>
      <c r="EN244" s="4" t="n"/>
    </row>
    <row r="245" hidden="1" customFormat="1" s="6">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c r="AC245" s="4" t="n"/>
      <c r="AD245" s="4" t="n"/>
      <c r="AE245" s="4" t="n"/>
      <c r="AF245" s="4" t="n"/>
      <c r="AG245" s="4" t="n"/>
      <c r="AH245" s="4" t="n"/>
      <c r="AI245" s="4" t="n"/>
      <c r="AJ245" s="4" t="n"/>
      <c r="AK245" s="4" t="n"/>
      <c r="AL245" s="4" t="n"/>
      <c r="AM245" s="4" t="n"/>
      <c r="AN245" s="4" t="n"/>
      <c r="AO245" s="4" t="n"/>
      <c r="AP245" s="4" t="n"/>
      <c r="AQ245" s="4" t="n"/>
      <c r="AR245" s="4" t="n"/>
      <c r="AS245" s="4" t="n"/>
      <c r="AT245" s="4" t="n"/>
      <c r="AU245" s="4" t="n"/>
      <c r="AV245" s="4" t="n"/>
      <c r="AW245" s="4" t="n"/>
      <c r="AX245" s="4" t="n"/>
      <c r="AY245" s="4" t="n"/>
      <c r="AZ245" s="4" t="n"/>
      <c r="BA245" s="4" t="n"/>
      <c r="BB245" s="4" t="n"/>
      <c r="BC245" s="4" t="n"/>
      <c r="BD245" s="4" t="n"/>
      <c r="BE245" s="4" t="n"/>
      <c r="BF245" s="4" t="n"/>
      <c r="BG245" s="4" t="n"/>
      <c r="BH245" s="4" t="n"/>
      <c r="BI245" s="4" t="n"/>
      <c r="BJ245" s="4" t="n"/>
      <c r="BK245" s="4" t="n"/>
      <c r="BL245" s="4" t="n"/>
      <c r="BM245" s="4" t="n"/>
      <c r="BN245" s="4" t="n"/>
      <c r="BO245" s="4" t="n"/>
      <c r="BP245" s="4" t="n"/>
      <c r="BQ245" s="4" t="n"/>
      <c r="BR245" s="4" t="n"/>
      <c r="BS245" s="4" t="n"/>
      <c r="BT245" s="4" t="n"/>
      <c r="BU245" s="4" t="n"/>
      <c r="BV245" s="4" t="n"/>
      <c r="BW245" s="4" t="n"/>
      <c r="BX245" s="4" t="n"/>
      <c r="BY245" s="4" t="n"/>
      <c r="BZ245" s="4" t="n"/>
      <c r="CA245" s="4" t="n"/>
      <c r="CB245" s="4" t="n"/>
      <c r="CC245" s="4" t="n"/>
      <c r="CD245" s="4" t="n"/>
      <c r="CE245" s="4" t="n"/>
      <c r="CF245" s="4" t="n"/>
      <c r="CG245" s="4" t="n"/>
      <c r="CH245" s="4" t="n"/>
      <c r="CI245" s="4" t="n"/>
      <c r="CJ245" s="4" t="n"/>
      <c r="CK245" s="4" t="n"/>
      <c r="CL245" s="4" t="n"/>
      <c r="CM245" s="4" t="n"/>
      <c r="CN245" s="4" t="n"/>
      <c r="CO245" s="4" t="n"/>
      <c r="CP245" s="4" t="n"/>
      <c r="CQ245" s="4" t="n"/>
      <c r="CR245" s="4" t="n"/>
      <c r="CS245" s="4" t="n"/>
      <c r="CT245" s="4" t="n"/>
      <c r="CU245" s="4" t="n"/>
      <c r="CV245" s="4" t="n"/>
      <c r="CW245" s="4" t="n"/>
      <c r="CX245" s="4" t="n"/>
      <c r="CY245" s="4" t="n"/>
      <c r="CZ245" s="4" t="n"/>
      <c r="DA245" s="4" t="n"/>
      <c r="DB245" s="4" t="n"/>
      <c r="DC245" s="4" t="n"/>
      <c r="DD245" s="4" t="n"/>
      <c r="DE245" s="4" t="n"/>
      <c r="DF245" s="4" t="n"/>
      <c r="DG245" s="4" t="n"/>
      <c r="DH245" s="4" t="n"/>
      <c r="DI245" s="4" t="n"/>
      <c r="DJ245" s="4" t="n"/>
      <c r="DK245" s="4" t="n"/>
      <c r="DL245" s="4" t="n"/>
      <c r="DM245" s="4" t="n"/>
      <c r="DN245" s="4" t="n"/>
      <c r="DO245" s="4" t="n"/>
      <c r="DP245" s="4" t="n"/>
      <c r="DQ245" s="4" t="n"/>
      <c r="DR245" s="4" t="n"/>
      <c r="DS245" s="4" t="n"/>
      <c r="DT245" s="4" t="n"/>
      <c r="DU245" s="4" t="n"/>
      <c r="DV245" s="4" t="n"/>
      <c r="DW245" s="4" t="n"/>
      <c r="DX245" s="4" t="n"/>
      <c r="DY245" s="4" t="n"/>
      <c r="DZ245" s="4" t="n"/>
      <c r="EA245" s="4" t="n"/>
      <c r="EB245" s="4" t="n"/>
      <c r="EC245" s="4" t="n"/>
      <c r="ED245" s="4" t="n"/>
      <c r="EE245" s="4" t="n"/>
      <c r="EF245" s="4" t="n"/>
      <c r="EG245" s="4" t="n"/>
      <c r="EH245" s="4" t="n"/>
      <c r="EI245" s="4" t="n"/>
      <c r="EJ245" s="4" t="n"/>
      <c r="EK245" s="4" t="n"/>
      <c r="EL245" s="4" t="n"/>
      <c r="EM245" s="4" t="n"/>
      <c r="EN245" s="4" t="n"/>
    </row>
    <row r="246" hidden="1" customFormat="1" s="6">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c r="AC246" s="4" t="n"/>
      <c r="AD246" s="4" t="n"/>
      <c r="AE246" s="4" t="n"/>
      <c r="AF246" s="4" t="n"/>
      <c r="AG246" s="4" t="n"/>
      <c r="AH246" s="4" t="n"/>
      <c r="AI246" s="4" t="n"/>
      <c r="AJ246" s="4" t="n"/>
      <c r="AK246" s="4" t="n"/>
      <c r="AL246" s="4" t="n"/>
      <c r="AM246" s="4" t="n"/>
      <c r="AN246" s="4" t="n"/>
      <c r="AO246" s="4" t="n"/>
      <c r="AP246" s="4" t="n"/>
      <c r="AQ246" s="4" t="n"/>
      <c r="AR246" s="4" t="n"/>
      <c r="AS246" s="4" t="n"/>
      <c r="AT246" s="4" t="n"/>
      <c r="AU246" s="4" t="n"/>
      <c r="AV246" s="4" t="n"/>
      <c r="AW246" s="4" t="n"/>
      <c r="AX246" s="4" t="n"/>
      <c r="AY246" s="4" t="n"/>
      <c r="AZ246" s="4" t="n"/>
      <c r="BA246" s="4" t="n"/>
      <c r="BB246" s="4" t="n"/>
      <c r="BC246" s="4" t="n"/>
      <c r="BD246" s="4" t="n"/>
      <c r="BE246" s="4" t="n"/>
      <c r="BF246" s="4" t="n"/>
      <c r="BG246" s="4" t="n"/>
      <c r="BH246" s="4" t="n"/>
      <c r="BI246" s="4" t="n"/>
      <c r="BJ246" s="4" t="n"/>
      <c r="BK246" s="4" t="n"/>
      <c r="BL246" s="4" t="n"/>
      <c r="BM246" s="4" t="n"/>
      <c r="BN246" s="4" t="n"/>
      <c r="BO246" s="4" t="n"/>
      <c r="BP246" s="4" t="n"/>
      <c r="BQ246" s="4" t="n"/>
      <c r="BR246" s="4" t="n"/>
      <c r="BS246" s="4" t="n"/>
      <c r="BT246" s="4" t="n"/>
      <c r="BU246" s="4" t="n"/>
      <c r="BV246" s="4" t="n"/>
      <c r="BW246" s="4" t="n"/>
      <c r="BX246" s="4" t="n"/>
      <c r="BY246" s="4" t="n"/>
      <c r="BZ246" s="4" t="n"/>
      <c r="CA246" s="4" t="n"/>
      <c r="CB246" s="4" t="n"/>
      <c r="CC246" s="4" t="n"/>
      <c r="CD246" s="4" t="n"/>
      <c r="CE246" s="4" t="n"/>
      <c r="CF246" s="4" t="n"/>
      <c r="CG246" s="4" t="n"/>
      <c r="CH246" s="4" t="n"/>
      <c r="CI246" s="4" t="n"/>
      <c r="CJ246" s="4" t="n"/>
      <c r="CK246" s="4" t="n"/>
      <c r="CL246" s="4" t="n"/>
      <c r="CM246" s="4" t="n"/>
      <c r="CN246" s="4" t="n"/>
      <c r="CO246" s="4" t="n"/>
      <c r="CP246" s="4" t="n"/>
      <c r="CQ246" s="4" t="n"/>
      <c r="CR246" s="4" t="n"/>
      <c r="CS246" s="4" t="n"/>
      <c r="CT246" s="4" t="n"/>
      <c r="CU246" s="4" t="n"/>
      <c r="CV246" s="4" t="n"/>
      <c r="CW246" s="4" t="n"/>
      <c r="CX246" s="4" t="n"/>
      <c r="CY246" s="4" t="n"/>
      <c r="CZ246" s="4" t="n"/>
      <c r="DA246" s="4" t="n"/>
      <c r="DB246" s="4" t="n"/>
      <c r="DC246" s="4" t="n"/>
      <c r="DD246" s="4" t="n"/>
      <c r="DE246" s="4" t="n"/>
      <c r="DF246" s="4" t="n"/>
      <c r="DG246" s="4" t="n"/>
      <c r="DH246" s="4" t="n"/>
      <c r="DI246" s="4" t="n"/>
      <c r="DJ246" s="4" t="n"/>
      <c r="DK246" s="4" t="n"/>
      <c r="DL246" s="4" t="n"/>
      <c r="DM246" s="4" t="n"/>
      <c r="DN246" s="4" t="n"/>
      <c r="DO246" s="4" t="n"/>
      <c r="DP246" s="4" t="n"/>
      <c r="DQ246" s="4" t="n"/>
      <c r="DR246" s="4" t="n"/>
      <c r="DS246" s="4" t="n"/>
      <c r="DT246" s="4" t="n"/>
      <c r="DU246" s="4" t="n"/>
      <c r="DV246" s="4" t="n"/>
      <c r="DW246" s="4" t="n"/>
      <c r="DX246" s="4" t="n"/>
      <c r="DY246" s="4" t="n"/>
      <c r="DZ246" s="4" t="n"/>
      <c r="EA246" s="4" t="n"/>
      <c r="EB246" s="4" t="n"/>
      <c r="EC246" s="4" t="n"/>
      <c r="ED246" s="4" t="n"/>
      <c r="EE246" s="4" t="n"/>
      <c r="EF246" s="4" t="n"/>
      <c r="EG246" s="4" t="n"/>
      <c r="EH246" s="4" t="n"/>
      <c r="EI246" s="4" t="n"/>
      <c r="EJ246" s="4" t="n"/>
      <c r="EK246" s="4" t="n"/>
      <c r="EL246" s="4" t="n"/>
      <c r="EM246" s="4" t="n"/>
      <c r="EN246" s="4" t="n"/>
    </row>
    <row r="247" hidden="1" customFormat="1" s="6">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c r="AE247" s="4" t="n"/>
      <c r="AF247" s="4" t="n"/>
      <c r="AG247" s="4" t="n"/>
      <c r="AH247" s="4" t="n"/>
      <c r="AI247" s="4" t="n"/>
      <c r="AJ247" s="4" t="n"/>
      <c r="AK247" s="4" t="n"/>
      <c r="AL247" s="4" t="n"/>
      <c r="AM247" s="4" t="n"/>
      <c r="AN247" s="4" t="n"/>
      <c r="AO247" s="4" t="n"/>
      <c r="AP247" s="4" t="n"/>
      <c r="AQ247" s="4" t="n"/>
      <c r="AR247" s="4" t="n"/>
      <c r="AS247" s="4" t="n"/>
      <c r="AT247" s="4" t="n"/>
      <c r="AU247" s="4" t="n"/>
      <c r="AV247" s="4" t="n"/>
      <c r="AW247" s="4" t="n"/>
      <c r="AX247" s="4" t="n"/>
      <c r="AY247" s="4" t="n"/>
      <c r="AZ247" s="4" t="n"/>
      <c r="BA247" s="4" t="n"/>
      <c r="BB247" s="4" t="n"/>
      <c r="BC247" s="4" t="n"/>
      <c r="BD247" s="4" t="n"/>
      <c r="BE247" s="4" t="n"/>
      <c r="BF247" s="4" t="n"/>
      <c r="BG247" s="4" t="n"/>
      <c r="BH247" s="4" t="n"/>
      <c r="BI247" s="4" t="n"/>
      <c r="BJ247" s="4" t="n"/>
      <c r="BK247" s="4" t="n"/>
      <c r="BL247" s="4" t="n"/>
      <c r="BM247" s="4" t="n"/>
      <c r="BN247" s="4" t="n"/>
      <c r="BO247" s="4" t="n"/>
      <c r="BP247" s="4" t="n"/>
      <c r="BQ247" s="4" t="n"/>
      <c r="BR247" s="4" t="n"/>
      <c r="BS247" s="4" t="n"/>
      <c r="BT247" s="4" t="n"/>
      <c r="BU247" s="4" t="n"/>
      <c r="BV247" s="4" t="n"/>
      <c r="BW247" s="4" t="n"/>
      <c r="BX247" s="4" t="n"/>
      <c r="BY247" s="4" t="n"/>
      <c r="BZ247" s="4" t="n"/>
      <c r="CA247" s="4" t="n"/>
      <c r="CB247" s="4" t="n"/>
      <c r="CC247" s="4" t="n"/>
      <c r="CD247" s="4" t="n"/>
      <c r="CE247" s="4" t="n"/>
      <c r="CF247" s="4" t="n"/>
      <c r="CG247" s="4" t="n"/>
      <c r="CH247" s="4" t="n"/>
      <c r="CI247" s="4" t="n"/>
      <c r="CJ247" s="4" t="n"/>
      <c r="CK247" s="4" t="n"/>
      <c r="CL247" s="4" t="n"/>
      <c r="CM247" s="4" t="n"/>
      <c r="CN247" s="4" t="n"/>
      <c r="CO247" s="4" t="n"/>
      <c r="CP247" s="4" t="n"/>
      <c r="CQ247" s="4" t="n"/>
      <c r="CR247" s="4" t="n"/>
      <c r="CS247" s="4" t="n"/>
      <c r="CT247" s="4" t="n"/>
      <c r="CU247" s="4" t="n"/>
      <c r="CV247" s="4" t="n"/>
      <c r="CW247" s="4" t="n"/>
      <c r="CX247" s="4" t="n"/>
      <c r="CY247" s="4" t="n"/>
      <c r="CZ247" s="4" t="n"/>
      <c r="DA247" s="4" t="n"/>
      <c r="DB247" s="4" t="n"/>
      <c r="DC247" s="4" t="n"/>
      <c r="DD247" s="4" t="n"/>
      <c r="DE247" s="4" t="n"/>
      <c r="DF247" s="4" t="n"/>
      <c r="DG247" s="4" t="n"/>
      <c r="DH247" s="4" t="n"/>
      <c r="DI247" s="4" t="n"/>
      <c r="DJ247" s="4" t="n"/>
      <c r="DK247" s="4" t="n"/>
      <c r="DL247" s="4" t="n"/>
      <c r="DM247" s="4" t="n"/>
      <c r="DN247" s="4" t="n"/>
      <c r="DO247" s="4" t="n"/>
      <c r="DP247" s="4" t="n"/>
      <c r="DQ247" s="4" t="n"/>
      <c r="DR247" s="4" t="n"/>
      <c r="DS247" s="4" t="n"/>
      <c r="DT247" s="4" t="n"/>
      <c r="DU247" s="4" t="n"/>
      <c r="DV247" s="4" t="n"/>
      <c r="DW247" s="4" t="n"/>
      <c r="DX247" s="4" t="n"/>
      <c r="DY247" s="4" t="n"/>
      <c r="DZ247" s="4" t="n"/>
      <c r="EA247" s="4" t="n"/>
      <c r="EB247" s="4" t="n"/>
      <c r="EC247" s="4" t="n"/>
      <c r="ED247" s="4" t="n"/>
      <c r="EE247" s="4" t="n"/>
      <c r="EF247" s="4" t="n"/>
      <c r="EG247" s="4" t="n"/>
      <c r="EH247" s="4" t="n"/>
      <c r="EI247" s="4" t="n"/>
      <c r="EJ247" s="4" t="n"/>
      <c r="EK247" s="4" t="n"/>
      <c r="EL247" s="4" t="n"/>
      <c r="EM247" s="4" t="n"/>
      <c r="EN247" s="4" t="n"/>
    </row>
    <row r="248" hidden="1" customFormat="1" s="6">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c r="AE248" s="4" t="n"/>
      <c r="AF248" s="4" t="n"/>
      <c r="AG248" s="4" t="n"/>
      <c r="AH248" s="4" t="n"/>
      <c r="AI248" s="4" t="n"/>
      <c r="AJ248" s="4" t="n"/>
      <c r="AK248" s="4" t="n"/>
      <c r="AL248" s="4" t="n"/>
      <c r="AM248" s="4" t="n"/>
      <c r="AN248" s="4" t="n"/>
      <c r="AO248" s="4" t="n"/>
      <c r="AP248" s="4" t="n"/>
      <c r="AQ248" s="4" t="n"/>
      <c r="AR248" s="4" t="n"/>
      <c r="AS248" s="4" t="n"/>
      <c r="AT248" s="4" t="n"/>
      <c r="AU248" s="4" t="n"/>
      <c r="AV248" s="4" t="n"/>
      <c r="AW248" s="4" t="n"/>
      <c r="AX248" s="4" t="n"/>
      <c r="AY248" s="4" t="n"/>
      <c r="AZ248" s="4" t="n"/>
      <c r="BA248" s="4" t="n"/>
      <c r="BB248" s="4" t="n"/>
      <c r="BC248" s="4" t="n"/>
      <c r="BD248" s="4" t="n"/>
      <c r="BE248" s="4" t="n"/>
      <c r="BF248" s="4" t="n"/>
      <c r="BG248" s="4" t="n"/>
      <c r="BH248" s="4" t="n"/>
      <c r="BI248" s="4" t="n"/>
      <c r="BJ248" s="4" t="n"/>
      <c r="BK248" s="4" t="n"/>
      <c r="BL248" s="4" t="n"/>
      <c r="BM248" s="4" t="n"/>
      <c r="BN248" s="4" t="n"/>
      <c r="BO248" s="4" t="n"/>
      <c r="BP248" s="4" t="n"/>
      <c r="BQ248" s="4" t="n"/>
      <c r="BR248" s="4" t="n"/>
      <c r="BS248" s="4" t="n"/>
      <c r="BT248" s="4" t="n"/>
      <c r="BU248" s="4" t="n"/>
      <c r="BV248" s="4" t="n"/>
      <c r="BW248" s="4" t="n"/>
      <c r="BX248" s="4" t="n"/>
      <c r="BY248" s="4" t="n"/>
      <c r="BZ248" s="4" t="n"/>
      <c r="CA248" s="4" t="n"/>
      <c r="CB248" s="4" t="n"/>
      <c r="CC248" s="4" t="n"/>
      <c r="CD248" s="4" t="n"/>
      <c r="CE248" s="4" t="n"/>
      <c r="CF248" s="4" t="n"/>
      <c r="CG248" s="4" t="n"/>
      <c r="CH248" s="4" t="n"/>
      <c r="CI248" s="4" t="n"/>
      <c r="CJ248" s="4" t="n"/>
      <c r="CK248" s="4" t="n"/>
      <c r="CL248" s="4" t="n"/>
      <c r="CM248" s="4" t="n"/>
      <c r="CN248" s="4" t="n"/>
      <c r="CO248" s="4" t="n"/>
      <c r="CP248" s="4" t="n"/>
      <c r="CQ248" s="4" t="n"/>
      <c r="CR248" s="4" t="n"/>
      <c r="CS248" s="4" t="n"/>
      <c r="CT248" s="4" t="n"/>
      <c r="CU248" s="4" t="n"/>
      <c r="CV248" s="4" t="n"/>
      <c r="CW248" s="4" t="n"/>
      <c r="CX248" s="4" t="n"/>
      <c r="CY248" s="4" t="n"/>
      <c r="CZ248" s="4" t="n"/>
      <c r="DA248" s="4" t="n"/>
      <c r="DB248" s="4" t="n"/>
      <c r="DC248" s="4" t="n"/>
      <c r="DD248" s="4" t="n"/>
      <c r="DE248" s="4" t="n"/>
      <c r="DF248" s="4" t="n"/>
      <c r="DG248" s="4" t="n"/>
      <c r="DH248" s="4" t="n"/>
      <c r="DI248" s="4" t="n"/>
      <c r="DJ248" s="4" t="n"/>
      <c r="DK248" s="4" t="n"/>
      <c r="DL248" s="4" t="n"/>
      <c r="DM248" s="4" t="n"/>
      <c r="DN248" s="4" t="n"/>
      <c r="DO248" s="4" t="n"/>
      <c r="DP248" s="4" t="n"/>
      <c r="DQ248" s="4" t="n"/>
      <c r="DR248" s="4" t="n"/>
      <c r="DS248" s="4" t="n"/>
      <c r="DT248" s="4" t="n"/>
      <c r="DU248" s="4" t="n"/>
      <c r="DV248" s="4" t="n"/>
      <c r="DW248" s="4" t="n"/>
      <c r="DX248" s="4" t="n"/>
      <c r="DY248" s="4" t="n"/>
      <c r="DZ248" s="4" t="n"/>
      <c r="EA248" s="4" t="n"/>
      <c r="EB248" s="4" t="n"/>
      <c r="EC248" s="4" t="n"/>
      <c r="ED248" s="4" t="n"/>
      <c r="EE248" s="4" t="n"/>
      <c r="EF248" s="4" t="n"/>
      <c r="EG248" s="4" t="n"/>
      <c r="EH248" s="4" t="n"/>
      <c r="EI248" s="4" t="n"/>
      <c r="EJ248" s="4" t="n"/>
      <c r="EK248" s="4" t="n"/>
      <c r="EL248" s="4" t="n"/>
      <c r="EM248" s="4" t="n"/>
      <c r="EN248" s="4" t="n"/>
    </row>
    <row r="249" hidden="1" customFormat="1" s="6">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c r="AE249" s="4" t="n"/>
      <c r="AF249" s="4" t="n"/>
      <c r="AG249" s="4" t="n"/>
      <c r="AH249" s="4" t="n"/>
      <c r="AI249" s="4" t="n"/>
      <c r="AJ249" s="4" t="n"/>
      <c r="AK249" s="4" t="n"/>
      <c r="AL249" s="4" t="n"/>
      <c r="AM249" s="4" t="n"/>
      <c r="AN249" s="4" t="n"/>
      <c r="AO249" s="4" t="n"/>
      <c r="AP249" s="4" t="n"/>
      <c r="AQ249" s="4" t="n"/>
      <c r="AR249" s="4" t="n"/>
      <c r="AS249" s="4" t="n"/>
      <c r="AT249" s="4" t="n"/>
      <c r="AU249" s="4" t="n"/>
      <c r="AV249" s="4" t="n"/>
      <c r="AW249" s="4" t="n"/>
      <c r="AX249" s="4" t="n"/>
      <c r="AY249" s="4" t="n"/>
      <c r="AZ249" s="4" t="n"/>
      <c r="BA249" s="4" t="n"/>
      <c r="BB249" s="4" t="n"/>
      <c r="BC249" s="4" t="n"/>
      <c r="BD249" s="4" t="n"/>
      <c r="BE249" s="4" t="n"/>
      <c r="BF249" s="4" t="n"/>
      <c r="BG249" s="4" t="n"/>
      <c r="BH249" s="4" t="n"/>
      <c r="BI249" s="4" t="n"/>
      <c r="BJ249" s="4" t="n"/>
      <c r="BK249" s="4" t="n"/>
      <c r="BL249" s="4" t="n"/>
      <c r="BM249" s="4" t="n"/>
      <c r="BN249" s="4" t="n"/>
      <c r="BO249" s="4" t="n"/>
      <c r="BP249" s="4" t="n"/>
      <c r="BQ249" s="4" t="n"/>
      <c r="BR249" s="4" t="n"/>
      <c r="BS249" s="4" t="n"/>
      <c r="BT249" s="4" t="n"/>
      <c r="BU249" s="4" t="n"/>
      <c r="BV249" s="4" t="n"/>
      <c r="BW249" s="4" t="n"/>
      <c r="BX249" s="4" t="n"/>
      <c r="BY249" s="4" t="n"/>
      <c r="BZ249" s="4" t="n"/>
      <c r="CA249" s="4" t="n"/>
      <c r="CB249" s="4" t="n"/>
      <c r="CC249" s="4" t="n"/>
      <c r="CD249" s="4" t="n"/>
      <c r="CE249" s="4" t="n"/>
      <c r="CF249" s="4" t="n"/>
      <c r="CG249" s="4" t="n"/>
      <c r="CH249" s="4" t="n"/>
      <c r="CI249" s="4" t="n"/>
      <c r="CJ249" s="4" t="n"/>
      <c r="CK249" s="4" t="n"/>
      <c r="CL249" s="4" t="n"/>
      <c r="CM249" s="4" t="n"/>
      <c r="CN249" s="4" t="n"/>
      <c r="CO249" s="4" t="n"/>
      <c r="CP249" s="4" t="n"/>
      <c r="CQ249" s="4" t="n"/>
      <c r="CR249" s="4" t="n"/>
      <c r="CS249" s="4" t="n"/>
      <c r="CT249" s="4" t="n"/>
      <c r="CU249" s="4" t="n"/>
      <c r="CV249" s="4" t="n"/>
      <c r="CW249" s="4" t="n"/>
      <c r="CX249" s="4" t="n"/>
      <c r="CY249" s="4" t="n"/>
      <c r="CZ249" s="4" t="n"/>
      <c r="DA249" s="4" t="n"/>
      <c r="DB249" s="4" t="n"/>
      <c r="DC249" s="4" t="n"/>
      <c r="DD249" s="4" t="n"/>
      <c r="DE249" s="4" t="n"/>
      <c r="DF249" s="4" t="n"/>
      <c r="DG249" s="4" t="n"/>
      <c r="DH249" s="4" t="n"/>
      <c r="DI249" s="4" t="n"/>
      <c r="DJ249" s="4" t="n"/>
      <c r="DK249" s="4" t="n"/>
      <c r="DL249" s="4" t="n"/>
      <c r="DM249" s="4" t="n"/>
      <c r="DN249" s="4" t="n"/>
      <c r="DO249" s="4" t="n"/>
      <c r="DP249" s="4" t="n"/>
      <c r="DQ249" s="4" t="n"/>
      <c r="DR249" s="4" t="n"/>
      <c r="DS249" s="4" t="n"/>
      <c r="DT249" s="4" t="n"/>
      <c r="DU249" s="4" t="n"/>
      <c r="DV249" s="4" t="n"/>
      <c r="DW249" s="4" t="n"/>
      <c r="DX249" s="4" t="n"/>
      <c r="DY249" s="4" t="n"/>
      <c r="DZ249" s="4" t="n"/>
      <c r="EA249" s="4" t="n"/>
      <c r="EB249" s="4" t="n"/>
      <c r="EC249" s="4" t="n"/>
      <c r="ED249" s="4" t="n"/>
      <c r="EE249" s="4" t="n"/>
      <c r="EF249" s="4" t="n"/>
      <c r="EG249" s="4" t="n"/>
      <c r="EH249" s="4" t="n"/>
      <c r="EI249" s="4" t="n"/>
      <c r="EJ249" s="4" t="n"/>
      <c r="EK249" s="4" t="n"/>
      <c r="EL249" s="4" t="n"/>
      <c r="EM249" s="4" t="n"/>
      <c r="EN249" s="4" t="n"/>
    </row>
    <row r="250" hidden="1" customFormat="1" s="6">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c r="AD250" s="4" t="n"/>
      <c r="AE250" s="4" t="n"/>
      <c r="AF250" s="4" t="n"/>
      <c r="AG250" s="4" t="n"/>
      <c r="AH250" s="4" t="n"/>
      <c r="AI250" s="4" t="n"/>
      <c r="AJ250" s="4" t="n"/>
      <c r="AK250" s="4" t="n"/>
      <c r="AL250" s="4" t="n"/>
      <c r="AM250" s="4" t="n"/>
      <c r="AN250" s="4" t="n"/>
      <c r="AO250" s="4" t="n"/>
      <c r="AP250" s="4" t="n"/>
      <c r="AQ250" s="4" t="n"/>
      <c r="AR250" s="4" t="n"/>
      <c r="AS250" s="4" t="n"/>
      <c r="AT250" s="4" t="n"/>
      <c r="AU250" s="4" t="n"/>
      <c r="AV250" s="4" t="n"/>
      <c r="AW250" s="4" t="n"/>
      <c r="AX250" s="4" t="n"/>
      <c r="AY250" s="4" t="n"/>
      <c r="AZ250" s="4" t="n"/>
      <c r="BA250" s="4" t="n"/>
      <c r="BB250" s="4" t="n"/>
      <c r="BC250" s="4" t="n"/>
      <c r="BD250" s="4" t="n"/>
      <c r="BE250" s="4" t="n"/>
      <c r="BF250" s="4" t="n"/>
      <c r="BG250" s="4" t="n"/>
      <c r="BH250" s="4" t="n"/>
      <c r="BI250" s="4" t="n"/>
      <c r="BJ250" s="4" t="n"/>
      <c r="BK250" s="4" t="n"/>
      <c r="BL250" s="4" t="n"/>
      <c r="BM250" s="4" t="n"/>
      <c r="BN250" s="4" t="n"/>
      <c r="BO250" s="4" t="n"/>
      <c r="BP250" s="4" t="n"/>
      <c r="BQ250" s="4" t="n"/>
      <c r="BR250" s="4" t="n"/>
      <c r="BS250" s="4" t="n"/>
      <c r="BT250" s="4" t="n"/>
      <c r="BU250" s="4" t="n"/>
      <c r="BV250" s="4" t="n"/>
      <c r="BW250" s="4" t="n"/>
      <c r="BX250" s="4" t="n"/>
      <c r="BY250" s="4" t="n"/>
      <c r="BZ250" s="4" t="n"/>
      <c r="CA250" s="4" t="n"/>
      <c r="CB250" s="4" t="n"/>
      <c r="CC250" s="4" t="n"/>
      <c r="CD250" s="4" t="n"/>
      <c r="CE250" s="4" t="n"/>
      <c r="CF250" s="4" t="n"/>
      <c r="CG250" s="4" t="n"/>
      <c r="CH250" s="4" t="n"/>
      <c r="CI250" s="4" t="n"/>
      <c r="CJ250" s="4" t="n"/>
      <c r="CK250" s="4" t="n"/>
      <c r="CL250" s="4" t="n"/>
      <c r="CM250" s="4" t="n"/>
      <c r="CN250" s="4" t="n"/>
      <c r="CO250" s="4" t="n"/>
      <c r="CP250" s="4" t="n"/>
      <c r="CQ250" s="4" t="n"/>
      <c r="CR250" s="4" t="n"/>
      <c r="CS250" s="4" t="n"/>
      <c r="CT250" s="4" t="n"/>
      <c r="CU250" s="4" t="n"/>
      <c r="CV250" s="4" t="n"/>
      <c r="CW250" s="4" t="n"/>
      <c r="CX250" s="4" t="n"/>
      <c r="CY250" s="4" t="n"/>
      <c r="CZ250" s="4" t="n"/>
      <c r="DA250" s="4" t="n"/>
      <c r="DB250" s="4" t="n"/>
      <c r="DC250" s="4" t="n"/>
      <c r="DD250" s="4" t="n"/>
      <c r="DE250" s="4" t="n"/>
      <c r="DF250" s="4" t="n"/>
      <c r="DG250" s="4" t="n"/>
      <c r="DH250" s="4" t="n"/>
      <c r="DI250" s="4" t="n"/>
      <c r="DJ250" s="4" t="n"/>
      <c r="DK250" s="4" t="n"/>
      <c r="DL250" s="4" t="n"/>
      <c r="DM250" s="4" t="n"/>
      <c r="DN250" s="4" t="n"/>
      <c r="DO250" s="4" t="n"/>
      <c r="DP250" s="4" t="n"/>
      <c r="DQ250" s="4" t="n"/>
      <c r="DR250" s="4" t="n"/>
      <c r="DS250" s="4" t="n"/>
      <c r="DT250" s="4" t="n"/>
      <c r="DU250" s="4" t="n"/>
      <c r="DV250" s="4" t="n"/>
      <c r="DW250" s="4" t="n"/>
      <c r="DX250" s="4" t="n"/>
      <c r="DY250" s="4" t="n"/>
      <c r="DZ250" s="4" t="n"/>
      <c r="EA250" s="4" t="n"/>
      <c r="EB250" s="4" t="n"/>
      <c r="EC250" s="4" t="n"/>
      <c r="ED250" s="4" t="n"/>
      <c r="EE250" s="4" t="n"/>
      <c r="EF250" s="4" t="n"/>
      <c r="EG250" s="4" t="n"/>
      <c r="EH250" s="4" t="n"/>
      <c r="EI250" s="4" t="n"/>
      <c r="EJ250" s="4" t="n"/>
      <c r="EK250" s="4" t="n"/>
      <c r="EL250" s="4" t="n"/>
      <c r="EM250" s="4" t="n"/>
      <c r="EN250" s="4" t="n"/>
    </row>
    <row r="251" hidden="1" customFormat="1" s="6">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c r="AD251" s="4" t="n"/>
      <c r="AE251" s="4" t="n"/>
      <c r="AF251" s="4" t="n"/>
      <c r="AG251" s="4" t="n"/>
      <c r="AH251" s="4" t="n"/>
      <c r="AI251" s="4" t="n"/>
      <c r="AJ251" s="4" t="n"/>
      <c r="AK251" s="4" t="n"/>
      <c r="AL251" s="4" t="n"/>
      <c r="AM251" s="4" t="n"/>
      <c r="AN251" s="4" t="n"/>
      <c r="AO251" s="4" t="n"/>
      <c r="AP251" s="4" t="n"/>
      <c r="AQ251" s="4" t="n"/>
      <c r="AR251" s="4" t="n"/>
      <c r="AS251" s="4" t="n"/>
      <c r="AT251" s="4" t="n"/>
      <c r="AU251" s="4" t="n"/>
      <c r="AV251" s="4" t="n"/>
      <c r="AW251" s="4" t="n"/>
      <c r="AX251" s="4" t="n"/>
      <c r="AY251" s="4" t="n"/>
      <c r="AZ251" s="4" t="n"/>
      <c r="BA251" s="4" t="n"/>
      <c r="BB251" s="4" t="n"/>
      <c r="BC251" s="4" t="n"/>
      <c r="BD251" s="4" t="n"/>
      <c r="BE251" s="4" t="n"/>
      <c r="BF251" s="4" t="n"/>
      <c r="BG251" s="4" t="n"/>
      <c r="BH251" s="4" t="n"/>
      <c r="BI251" s="4" t="n"/>
      <c r="BJ251" s="4" t="n"/>
      <c r="BK251" s="4" t="n"/>
      <c r="BL251" s="4" t="n"/>
      <c r="BM251" s="4" t="n"/>
      <c r="BN251" s="4" t="n"/>
      <c r="BO251" s="4" t="n"/>
      <c r="BP251" s="4" t="n"/>
      <c r="BQ251" s="4" t="n"/>
      <c r="BR251" s="4" t="n"/>
      <c r="BS251" s="4" t="n"/>
      <c r="BT251" s="4" t="n"/>
      <c r="BU251" s="4" t="n"/>
      <c r="BV251" s="4" t="n"/>
      <c r="BW251" s="4" t="n"/>
      <c r="BX251" s="4" t="n"/>
      <c r="BY251" s="4" t="n"/>
      <c r="BZ251" s="4" t="n"/>
      <c r="CA251" s="4" t="n"/>
      <c r="CB251" s="4" t="n"/>
      <c r="CC251" s="4" t="n"/>
      <c r="CD251" s="4" t="n"/>
      <c r="CE251" s="4" t="n"/>
      <c r="CF251" s="4" t="n"/>
      <c r="CG251" s="4" t="n"/>
      <c r="CH251" s="4" t="n"/>
      <c r="CI251" s="4" t="n"/>
      <c r="CJ251" s="4" t="n"/>
      <c r="CK251" s="4" t="n"/>
      <c r="CL251" s="4" t="n"/>
      <c r="CM251" s="4" t="n"/>
      <c r="CN251" s="4" t="n"/>
      <c r="CO251" s="4" t="n"/>
      <c r="CP251" s="4" t="n"/>
      <c r="CQ251" s="4" t="n"/>
      <c r="CR251" s="4" t="n"/>
      <c r="CS251" s="4" t="n"/>
      <c r="CT251" s="4" t="n"/>
      <c r="CU251" s="4" t="n"/>
      <c r="CV251" s="4" t="n"/>
      <c r="CW251" s="4" t="n"/>
      <c r="CX251" s="4" t="n"/>
      <c r="CY251" s="4" t="n"/>
      <c r="CZ251" s="4" t="n"/>
      <c r="DA251" s="4" t="n"/>
      <c r="DB251" s="4" t="n"/>
      <c r="DC251" s="4" t="n"/>
      <c r="DD251" s="4" t="n"/>
      <c r="DE251" s="4" t="n"/>
      <c r="DF251" s="4" t="n"/>
      <c r="DG251" s="4" t="n"/>
      <c r="DH251" s="4" t="n"/>
      <c r="DI251" s="4" t="n"/>
      <c r="DJ251" s="4" t="n"/>
      <c r="DK251" s="4" t="n"/>
      <c r="DL251" s="4" t="n"/>
      <c r="DM251" s="4" t="n"/>
      <c r="DN251" s="4" t="n"/>
      <c r="DO251" s="4" t="n"/>
      <c r="DP251" s="4" t="n"/>
      <c r="DQ251" s="4" t="n"/>
      <c r="DR251" s="4" t="n"/>
      <c r="DS251" s="4" t="n"/>
      <c r="DT251" s="4" t="n"/>
      <c r="DU251" s="4" t="n"/>
      <c r="DV251" s="4" t="n"/>
      <c r="DW251" s="4" t="n"/>
      <c r="DX251" s="4" t="n"/>
      <c r="DY251" s="4" t="n"/>
      <c r="DZ251" s="4" t="n"/>
      <c r="EA251" s="4" t="n"/>
      <c r="EB251" s="4" t="n"/>
      <c r="EC251" s="4" t="n"/>
      <c r="ED251" s="4" t="n"/>
      <c r="EE251" s="4" t="n"/>
      <c r="EF251" s="4" t="n"/>
      <c r="EG251" s="4" t="n"/>
      <c r="EH251" s="4" t="n"/>
      <c r="EI251" s="4" t="n"/>
      <c r="EJ251" s="4" t="n"/>
      <c r="EK251" s="4" t="n"/>
      <c r="EL251" s="4" t="n"/>
      <c r="EM251" s="4" t="n"/>
      <c r="EN251" s="4" t="n"/>
    </row>
    <row r="252" hidden="1" customFormat="1" s="6">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c r="AD252" s="4" t="n"/>
      <c r="AE252" s="4" t="n"/>
      <c r="AF252" s="4" t="n"/>
      <c r="AG252" s="4" t="n"/>
      <c r="AH252" s="4" t="n"/>
      <c r="AI252" s="4" t="n"/>
      <c r="AJ252" s="4" t="n"/>
      <c r="AK252" s="4" t="n"/>
      <c r="AL252" s="4" t="n"/>
      <c r="AM252" s="4" t="n"/>
      <c r="AN252" s="4" t="n"/>
      <c r="AO252" s="4" t="n"/>
      <c r="AP252" s="4" t="n"/>
      <c r="AQ252" s="4" t="n"/>
      <c r="AR252" s="4" t="n"/>
      <c r="AS252" s="4" t="n"/>
      <c r="AT252" s="4" t="n"/>
      <c r="AU252" s="4" t="n"/>
      <c r="AV252" s="4" t="n"/>
      <c r="AW252" s="4" t="n"/>
      <c r="AX252" s="4" t="n"/>
      <c r="AY252" s="4" t="n"/>
      <c r="AZ252" s="4" t="n"/>
      <c r="BA252" s="4" t="n"/>
      <c r="BB252" s="4" t="n"/>
      <c r="BC252" s="4" t="n"/>
      <c r="BD252" s="4" t="n"/>
      <c r="BE252" s="4" t="n"/>
      <c r="BF252" s="4" t="n"/>
      <c r="BG252" s="4" t="n"/>
      <c r="BH252" s="4" t="n"/>
      <c r="BI252" s="4" t="n"/>
      <c r="BJ252" s="4" t="n"/>
      <c r="BK252" s="4" t="n"/>
      <c r="BL252" s="4" t="n"/>
      <c r="BM252" s="4" t="n"/>
      <c r="BN252" s="4" t="n"/>
      <c r="BO252" s="4" t="n"/>
      <c r="BP252" s="4" t="n"/>
      <c r="BQ252" s="4" t="n"/>
      <c r="BR252" s="4" t="n"/>
      <c r="BS252" s="4" t="n"/>
      <c r="BT252" s="4" t="n"/>
      <c r="BU252" s="4" t="n"/>
      <c r="BV252" s="4" t="n"/>
      <c r="BW252" s="4" t="n"/>
      <c r="BX252" s="4" t="n"/>
      <c r="BY252" s="4" t="n"/>
      <c r="BZ252" s="4" t="n"/>
      <c r="CA252" s="4" t="n"/>
      <c r="CB252" s="4" t="n"/>
      <c r="CC252" s="4" t="n"/>
      <c r="CD252" s="4" t="n"/>
      <c r="CE252" s="4" t="n"/>
      <c r="CF252" s="4" t="n"/>
      <c r="CG252" s="4" t="n"/>
      <c r="CH252" s="4" t="n"/>
      <c r="CI252" s="4" t="n"/>
      <c r="CJ252" s="4" t="n"/>
      <c r="CK252" s="4" t="n"/>
      <c r="CL252" s="4" t="n"/>
      <c r="CM252" s="4" t="n"/>
      <c r="CN252" s="4" t="n"/>
      <c r="CO252" s="4" t="n"/>
      <c r="CP252" s="4" t="n"/>
      <c r="CQ252" s="4" t="n"/>
      <c r="CR252" s="4" t="n"/>
      <c r="CS252" s="4" t="n"/>
      <c r="CT252" s="4" t="n"/>
      <c r="CU252" s="4" t="n"/>
      <c r="CV252" s="4" t="n"/>
      <c r="CW252" s="4" t="n"/>
      <c r="CX252" s="4" t="n"/>
      <c r="CY252" s="4" t="n"/>
      <c r="CZ252" s="4" t="n"/>
      <c r="DA252" s="4" t="n"/>
      <c r="DB252" s="4" t="n"/>
      <c r="DC252" s="4" t="n"/>
      <c r="DD252" s="4" t="n"/>
      <c r="DE252" s="4" t="n"/>
      <c r="DF252" s="4" t="n"/>
      <c r="DG252" s="4" t="n"/>
      <c r="DH252" s="4" t="n"/>
      <c r="DI252" s="4" t="n"/>
      <c r="DJ252" s="4" t="n"/>
      <c r="DK252" s="4" t="n"/>
      <c r="DL252" s="4" t="n"/>
      <c r="DM252" s="4" t="n"/>
      <c r="DN252" s="4" t="n"/>
      <c r="DO252" s="4" t="n"/>
      <c r="DP252" s="4" t="n"/>
      <c r="DQ252" s="4" t="n"/>
      <c r="DR252" s="4" t="n"/>
      <c r="DS252" s="4" t="n"/>
      <c r="DT252" s="4" t="n"/>
      <c r="DU252" s="4" t="n"/>
      <c r="DV252" s="4" t="n"/>
      <c r="DW252" s="4" t="n"/>
      <c r="DX252" s="4" t="n"/>
      <c r="DY252" s="4" t="n"/>
      <c r="DZ252" s="4" t="n"/>
      <c r="EA252" s="4" t="n"/>
      <c r="EB252" s="4" t="n"/>
      <c r="EC252" s="4" t="n"/>
      <c r="ED252" s="4" t="n"/>
      <c r="EE252" s="4" t="n"/>
      <c r="EF252" s="4" t="n"/>
      <c r="EG252" s="4" t="n"/>
      <c r="EH252" s="4" t="n"/>
      <c r="EI252" s="4" t="n"/>
      <c r="EJ252" s="4" t="n"/>
      <c r="EK252" s="4" t="n"/>
      <c r="EL252" s="4" t="n"/>
      <c r="EM252" s="4" t="n"/>
      <c r="EN252" s="4" t="n"/>
    </row>
    <row r="253" hidden="1" customFormat="1" s="6">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c r="AE253" s="4" t="n"/>
      <c r="AF253" s="4" t="n"/>
      <c r="AG253" s="4" t="n"/>
      <c r="AH253" s="4" t="n"/>
      <c r="AI253" s="4" t="n"/>
      <c r="AJ253" s="4" t="n"/>
      <c r="AK253" s="4" t="n"/>
      <c r="AL253" s="4" t="n"/>
      <c r="AM253" s="4" t="n"/>
      <c r="AN253" s="4" t="n"/>
      <c r="AO253" s="4" t="n"/>
      <c r="AP253" s="4" t="n"/>
      <c r="AQ253" s="4" t="n"/>
      <c r="AR253" s="4" t="n"/>
      <c r="AS253" s="4" t="n"/>
      <c r="AT253" s="4" t="n"/>
      <c r="AU253" s="4" t="n"/>
      <c r="AV253" s="4" t="n"/>
      <c r="AW253" s="4" t="n"/>
      <c r="AX253" s="4" t="n"/>
      <c r="AY253" s="4" t="n"/>
      <c r="AZ253" s="4" t="n"/>
      <c r="BA253" s="4" t="n"/>
      <c r="BB253" s="4" t="n"/>
      <c r="BC253" s="4" t="n"/>
      <c r="BD253" s="4" t="n"/>
      <c r="BE253" s="4" t="n"/>
      <c r="BF253" s="4" t="n"/>
      <c r="BG253" s="4" t="n"/>
      <c r="BH253" s="4" t="n"/>
      <c r="BI253" s="4" t="n"/>
      <c r="BJ253" s="4" t="n"/>
      <c r="BK253" s="4" t="n"/>
      <c r="BL253" s="4" t="n"/>
      <c r="BM253" s="4" t="n"/>
      <c r="BN253" s="4" t="n"/>
      <c r="BO253" s="4" t="n"/>
      <c r="BP253" s="4" t="n"/>
      <c r="BQ253" s="4" t="n"/>
      <c r="BR253" s="4" t="n"/>
      <c r="BS253" s="4" t="n"/>
      <c r="BT253" s="4" t="n"/>
      <c r="BU253" s="4" t="n"/>
      <c r="BV253" s="4" t="n"/>
      <c r="BW253" s="4" t="n"/>
      <c r="BX253" s="4" t="n"/>
      <c r="BY253" s="4" t="n"/>
      <c r="BZ253" s="4" t="n"/>
      <c r="CA253" s="4" t="n"/>
      <c r="CB253" s="4" t="n"/>
      <c r="CC253" s="4" t="n"/>
      <c r="CD253" s="4" t="n"/>
      <c r="CE253" s="4" t="n"/>
      <c r="CF253" s="4" t="n"/>
      <c r="CG253" s="4" t="n"/>
      <c r="CH253" s="4" t="n"/>
      <c r="CI253" s="4" t="n"/>
      <c r="CJ253" s="4" t="n"/>
      <c r="CK253" s="4" t="n"/>
      <c r="CL253" s="4" t="n"/>
      <c r="CM253" s="4" t="n"/>
      <c r="CN253" s="4" t="n"/>
      <c r="CO253" s="4" t="n"/>
      <c r="CP253" s="4" t="n"/>
      <c r="CQ253" s="4" t="n"/>
      <c r="CR253" s="4" t="n"/>
      <c r="CS253" s="4" t="n"/>
      <c r="CT253" s="4" t="n"/>
      <c r="CU253" s="4" t="n"/>
      <c r="CV253" s="4" t="n"/>
      <c r="CW253" s="4" t="n"/>
      <c r="CX253" s="4" t="n"/>
      <c r="CY253" s="4" t="n"/>
      <c r="CZ253" s="4" t="n"/>
      <c r="DA253" s="4" t="n"/>
      <c r="DB253" s="4" t="n"/>
      <c r="DC253" s="4" t="n"/>
      <c r="DD253" s="4" t="n"/>
      <c r="DE253" s="4" t="n"/>
      <c r="DF253" s="4" t="n"/>
      <c r="DG253" s="4" t="n"/>
      <c r="DH253" s="4" t="n"/>
      <c r="DI253" s="4" t="n"/>
      <c r="DJ253" s="4" t="n"/>
      <c r="DK253" s="4" t="n"/>
      <c r="DL253" s="4" t="n"/>
      <c r="DM253" s="4" t="n"/>
      <c r="DN253" s="4" t="n"/>
      <c r="DO253" s="4" t="n"/>
      <c r="DP253" s="4" t="n"/>
      <c r="DQ253" s="4" t="n"/>
      <c r="DR253" s="4" t="n"/>
      <c r="DS253" s="4" t="n"/>
      <c r="DT253" s="4" t="n"/>
      <c r="DU253" s="4" t="n"/>
      <c r="DV253" s="4" t="n"/>
      <c r="DW253" s="4" t="n"/>
      <c r="DX253" s="4" t="n"/>
      <c r="DY253" s="4" t="n"/>
      <c r="DZ253" s="4" t="n"/>
      <c r="EA253" s="4" t="n"/>
      <c r="EB253" s="4" t="n"/>
      <c r="EC253" s="4" t="n"/>
      <c r="ED253" s="4" t="n"/>
      <c r="EE253" s="4" t="n"/>
      <c r="EF253" s="4" t="n"/>
      <c r="EG253" s="4" t="n"/>
      <c r="EH253" s="4" t="n"/>
      <c r="EI253" s="4" t="n"/>
      <c r="EJ253" s="4" t="n"/>
      <c r="EK253" s="4" t="n"/>
      <c r="EL253" s="4" t="n"/>
      <c r="EM253" s="4" t="n"/>
      <c r="EN253" s="4" t="n"/>
    </row>
    <row r="254" hidden="1" customFormat="1" s="6">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c r="AD254" s="4" t="n"/>
      <c r="AE254" s="4" t="n"/>
      <c r="AF254" s="4" t="n"/>
      <c r="AG254" s="4" t="n"/>
      <c r="AH254" s="4" t="n"/>
      <c r="AI254" s="4" t="n"/>
      <c r="AJ254" s="4" t="n"/>
      <c r="AK254" s="4" t="n"/>
      <c r="AL254" s="4" t="n"/>
      <c r="AM254" s="4" t="n"/>
      <c r="AN254" s="4" t="n"/>
      <c r="AO254" s="4" t="n"/>
      <c r="AP254" s="4" t="n"/>
      <c r="AQ254" s="4" t="n"/>
      <c r="AR254" s="4" t="n"/>
      <c r="AS254" s="4" t="n"/>
      <c r="AT254" s="4" t="n"/>
      <c r="AU254" s="4" t="n"/>
      <c r="AV254" s="4" t="n"/>
      <c r="AW254" s="4" t="n"/>
      <c r="AX254" s="4" t="n"/>
      <c r="AY254" s="4" t="n"/>
      <c r="AZ254" s="4" t="n"/>
      <c r="BA254" s="4" t="n"/>
      <c r="BB254" s="4" t="n"/>
      <c r="BC254" s="4" t="n"/>
      <c r="BD254" s="4" t="n"/>
      <c r="BE254" s="4" t="n"/>
      <c r="BF254" s="4" t="n"/>
      <c r="BG254" s="4" t="n"/>
      <c r="BH254" s="4" t="n"/>
      <c r="BI254" s="4" t="n"/>
      <c r="BJ254" s="4" t="n"/>
      <c r="BK254" s="4" t="n"/>
      <c r="BL254" s="4" t="n"/>
      <c r="BM254" s="4" t="n"/>
      <c r="BN254" s="4" t="n"/>
      <c r="BO254" s="4" t="n"/>
      <c r="BP254" s="4" t="n"/>
      <c r="BQ254" s="4" t="n"/>
      <c r="BR254" s="4" t="n"/>
      <c r="BS254" s="4" t="n"/>
      <c r="BT254" s="4" t="n"/>
      <c r="BU254" s="4" t="n"/>
      <c r="BV254" s="4" t="n"/>
      <c r="BW254" s="4" t="n"/>
      <c r="BX254" s="4" t="n"/>
      <c r="BY254" s="4" t="n"/>
      <c r="BZ254" s="4" t="n"/>
      <c r="CA254" s="4" t="n"/>
      <c r="CB254" s="4" t="n"/>
      <c r="CC254" s="4" t="n"/>
      <c r="CD254" s="4" t="n"/>
      <c r="CE254" s="4" t="n"/>
      <c r="CF254" s="4" t="n"/>
      <c r="CG254" s="4" t="n"/>
      <c r="CH254" s="4" t="n"/>
      <c r="CI254" s="4" t="n"/>
      <c r="CJ254" s="4" t="n"/>
      <c r="CK254" s="4" t="n"/>
      <c r="CL254" s="4" t="n"/>
      <c r="CM254" s="4" t="n"/>
      <c r="CN254" s="4" t="n"/>
      <c r="CO254" s="4" t="n"/>
      <c r="CP254" s="4" t="n"/>
      <c r="CQ254" s="4" t="n"/>
      <c r="CR254" s="4" t="n"/>
      <c r="CS254" s="4" t="n"/>
      <c r="CT254" s="4" t="n"/>
      <c r="CU254" s="4" t="n"/>
      <c r="CV254" s="4" t="n"/>
      <c r="CW254" s="4" t="n"/>
      <c r="CX254" s="4" t="n"/>
      <c r="CY254" s="4" t="n"/>
      <c r="CZ254" s="4" t="n"/>
      <c r="DA254" s="4" t="n"/>
      <c r="DB254" s="4" t="n"/>
      <c r="DC254" s="4" t="n"/>
      <c r="DD254" s="4" t="n"/>
      <c r="DE254" s="4" t="n"/>
      <c r="DF254" s="4" t="n"/>
      <c r="DG254" s="4" t="n"/>
      <c r="DH254" s="4" t="n"/>
      <c r="DI254" s="4" t="n"/>
      <c r="DJ254" s="4" t="n"/>
      <c r="DK254" s="4" t="n"/>
      <c r="DL254" s="4" t="n"/>
      <c r="DM254" s="4" t="n"/>
      <c r="DN254" s="4" t="n"/>
      <c r="DO254" s="4" t="n"/>
      <c r="DP254" s="4" t="n"/>
      <c r="DQ254" s="4" t="n"/>
      <c r="DR254" s="4" t="n"/>
      <c r="DS254" s="4" t="n"/>
      <c r="DT254" s="4" t="n"/>
      <c r="DU254" s="4" t="n"/>
      <c r="DV254" s="4" t="n"/>
      <c r="DW254" s="4" t="n"/>
      <c r="DX254" s="4" t="n"/>
      <c r="DY254" s="4" t="n"/>
      <c r="DZ254" s="4" t="n"/>
      <c r="EA254" s="4" t="n"/>
      <c r="EB254" s="4" t="n"/>
      <c r="EC254" s="4" t="n"/>
      <c r="ED254" s="4" t="n"/>
      <c r="EE254" s="4" t="n"/>
      <c r="EF254" s="4" t="n"/>
      <c r="EG254" s="4" t="n"/>
      <c r="EH254" s="4" t="n"/>
      <c r="EI254" s="4" t="n"/>
      <c r="EJ254" s="4" t="n"/>
      <c r="EK254" s="4" t="n"/>
      <c r="EL254" s="4" t="n"/>
      <c r="EM254" s="4" t="n"/>
      <c r="EN254" s="4" t="n"/>
    </row>
    <row r="255" hidden="1" customFormat="1" s="6">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c r="AC255" s="4" t="n"/>
      <c r="AD255" s="4" t="n"/>
      <c r="AE255" s="4" t="n"/>
      <c r="AF255" s="4" t="n"/>
      <c r="AG255" s="4" t="n"/>
      <c r="AH255" s="4" t="n"/>
      <c r="AI255" s="4" t="n"/>
      <c r="AJ255" s="4" t="n"/>
      <c r="AK255" s="4" t="n"/>
      <c r="AL255" s="4" t="n"/>
      <c r="AM255" s="4" t="n"/>
      <c r="AN255" s="4" t="n"/>
      <c r="AO255" s="4" t="n"/>
      <c r="AP255" s="4" t="n"/>
      <c r="AQ255" s="4" t="n"/>
      <c r="AR255" s="4" t="n"/>
      <c r="AS255" s="4" t="n"/>
      <c r="AT255" s="4" t="n"/>
      <c r="AU255" s="4" t="n"/>
      <c r="AV255" s="4" t="n"/>
      <c r="AW255" s="4" t="n"/>
      <c r="AX255" s="4" t="n"/>
      <c r="AY255" s="4" t="n"/>
      <c r="AZ255" s="4" t="n"/>
      <c r="BA255" s="4" t="n"/>
      <c r="BB255" s="4" t="n"/>
      <c r="BC255" s="4" t="n"/>
      <c r="BD255" s="4" t="n"/>
      <c r="BE255" s="4" t="n"/>
      <c r="BF255" s="4" t="n"/>
      <c r="BG255" s="4" t="n"/>
      <c r="BH255" s="4" t="n"/>
      <c r="BI255" s="4" t="n"/>
      <c r="BJ255" s="4" t="n"/>
      <c r="BK255" s="4" t="n"/>
      <c r="BL255" s="4" t="n"/>
      <c r="BM255" s="4" t="n"/>
      <c r="BN255" s="4" t="n"/>
      <c r="BO255" s="4" t="n"/>
      <c r="BP255" s="4" t="n"/>
      <c r="BQ255" s="4" t="n"/>
      <c r="BR255" s="4" t="n"/>
      <c r="BS255" s="4" t="n"/>
      <c r="BT255" s="4" t="n"/>
      <c r="BU255" s="4" t="n"/>
      <c r="BV255" s="4" t="n"/>
      <c r="BW255" s="4" t="n"/>
      <c r="BX255" s="4" t="n"/>
      <c r="BY255" s="4" t="n"/>
      <c r="BZ255" s="4" t="n"/>
      <c r="CA255" s="4" t="n"/>
      <c r="CB255" s="4" t="n"/>
      <c r="CC255" s="4" t="n"/>
      <c r="CD255" s="4" t="n"/>
      <c r="CE255" s="4" t="n"/>
      <c r="CF255" s="4" t="n"/>
      <c r="CG255" s="4" t="n"/>
      <c r="CH255" s="4" t="n"/>
      <c r="CI255" s="4" t="n"/>
      <c r="CJ255" s="4" t="n"/>
      <c r="CK255" s="4" t="n"/>
      <c r="CL255" s="4" t="n"/>
      <c r="CM255" s="4" t="n"/>
      <c r="CN255" s="4" t="n"/>
      <c r="CO255" s="4" t="n"/>
      <c r="CP255" s="4" t="n"/>
      <c r="CQ255" s="4" t="n"/>
      <c r="CR255" s="4" t="n"/>
      <c r="CS255" s="4" t="n"/>
      <c r="CT255" s="4" t="n"/>
      <c r="CU255" s="4" t="n"/>
      <c r="CV255" s="4" t="n"/>
      <c r="CW255" s="4" t="n"/>
      <c r="CX255" s="4" t="n"/>
      <c r="CY255" s="4" t="n"/>
      <c r="CZ255" s="4" t="n"/>
      <c r="DA255" s="4" t="n"/>
      <c r="DB255" s="4" t="n"/>
      <c r="DC255" s="4" t="n"/>
      <c r="DD255" s="4" t="n"/>
      <c r="DE255" s="4" t="n"/>
      <c r="DF255" s="4" t="n"/>
      <c r="DG255" s="4" t="n"/>
      <c r="DH255" s="4" t="n"/>
      <c r="DI255" s="4" t="n"/>
      <c r="DJ255" s="4" t="n"/>
      <c r="DK255" s="4" t="n"/>
      <c r="DL255" s="4" t="n"/>
      <c r="DM255" s="4" t="n"/>
      <c r="DN255" s="4" t="n"/>
      <c r="DO255" s="4" t="n"/>
      <c r="DP255" s="4" t="n"/>
      <c r="DQ255" s="4" t="n"/>
      <c r="DR255" s="4" t="n"/>
      <c r="DS255" s="4" t="n"/>
      <c r="DT255" s="4" t="n"/>
      <c r="DU255" s="4" t="n"/>
      <c r="DV255" s="4" t="n"/>
      <c r="DW255" s="4" t="n"/>
      <c r="DX255" s="4" t="n"/>
      <c r="DY255" s="4" t="n"/>
      <c r="DZ255" s="4" t="n"/>
      <c r="EA255" s="4" t="n"/>
      <c r="EB255" s="4" t="n"/>
      <c r="EC255" s="4" t="n"/>
      <c r="ED255" s="4" t="n"/>
      <c r="EE255" s="4" t="n"/>
      <c r="EF255" s="4" t="n"/>
      <c r="EG255" s="4" t="n"/>
      <c r="EH255" s="4" t="n"/>
      <c r="EI255" s="4" t="n"/>
      <c r="EJ255" s="4" t="n"/>
      <c r="EK255" s="4" t="n"/>
      <c r="EL255" s="4" t="n"/>
      <c r="EM255" s="4" t="n"/>
      <c r="EN255" s="4" t="n"/>
    </row>
    <row r="256" hidden="1" customFormat="1" s="6">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c r="AC256" s="4" t="n"/>
      <c r="AD256" s="4" t="n"/>
      <c r="AE256" s="4" t="n"/>
      <c r="AF256" s="4" t="n"/>
      <c r="AG256" s="4" t="n"/>
      <c r="AH256" s="4" t="n"/>
      <c r="AI256" s="4" t="n"/>
      <c r="AJ256" s="4" t="n"/>
      <c r="AK256" s="4" t="n"/>
      <c r="AL256" s="4" t="n"/>
      <c r="AM256" s="4" t="n"/>
      <c r="AN256" s="4" t="n"/>
      <c r="AO256" s="4" t="n"/>
      <c r="AP256" s="4" t="n"/>
      <c r="AQ256" s="4" t="n"/>
      <c r="AR256" s="4" t="n"/>
      <c r="AS256" s="4" t="n"/>
      <c r="AT256" s="4" t="n"/>
      <c r="AU256" s="4" t="n"/>
      <c r="AV256" s="4" t="n"/>
      <c r="AW256" s="4" t="n"/>
      <c r="AX256" s="4" t="n"/>
      <c r="AY256" s="4" t="n"/>
      <c r="AZ256" s="4" t="n"/>
      <c r="BA256" s="4" t="n"/>
      <c r="BB256" s="4" t="n"/>
      <c r="BC256" s="4" t="n"/>
      <c r="BD256" s="4" t="n"/>
      <c r="BE256" s="4" t="n"/>
      <c r="BF256" s="4" t="n"/>
      <c r="BG256" s="4" t="n"/>
      <c r="BH256" s="4" t="n"/>
      <c r="BI256" s="4" t="n"/>
      <c r="BJ256" s="4" t="n"/>
      <c r="BK256" s="4" t="n"/>
      <c r="BL256" s="4" t="n"/>
      <c r="BM256" s="4" t="n"/>
      <c r="BN256" s="4" t="n"/>
      <c r="BO256" s="4" t="n"/>
      <c r="BP256" s="4" t="n"/>
      <c r="BQ256" s="4" t="n"/>
      <c r="BR256" s="4" t="n"/>
      <c r="BS256" s="4" t="n"/>
      <c r="BT256" s="4" t="n"/>
      <c r="BU256" s="4" t="n"/>
      <c r="BV256" s="4" t="n"/>
      <c r="BW256" s="4" t="n"/>
      <c r="BX256" s="4" t="n"/>
      <c r="BY256" s="4" t="n"/>
      <c r="BZ256" s="4" t="n"/>
      <c r="CA256" s="4" t="n"/>
      <c r="CB256" s="4" t="n"/>
      <c r="CC256" s="4" t="n"/>
      <c r="CD256" s="4" t="n"/>
      <c r="CE256" s="4" t="n"/>
      <c r="CF256" s="4" t="n"/>
      <c r="CG256" s="4" t="n"/>
      <c r="CH256" s="4" t="n"/>
      <c r="CI256" s="4" t="n"/>
      <c r="CJ256" s="4" t="n"/>
      <c r="CK256" s="4" t="n"/>
      <c r="CL256" s="4" t="n"/>
      <c r="CM256" s="4" t="n"/>
      <c r="CN256" s="4" t="n"/>
      <c r="CO256" s="4" t="n"/>
      <c r="CP256" s="4" t="n"/>
      <c r="CQ256" s="4" t="n"/>
      <c r="CR256" s="4" t="n"/>
      <c r="CS256" s="4" t="n"/>
      <c r="CT256" s="4" t="n"/>
      <c r="CU256" s="4" t="n"/>
      <c r="CV256" s="4" t="n"/>
      <c r="CW256" s="4" t="n"/>
      <c r="CX256" s="4" t="n"/>
      <c r="CY256" s="4" t="n"/>
      <c r="CZ256" s="4" t="n"/>
      <c r="DA256" s="4" t="n"/>
      <c r="DB256" s="4" t="n"/>
      <c r="DC256" s="4" t="n"/>
      <c r="DD256" s="4" t="n"/>
      <c r="DE256" s="4" t="n"/>
      <c r="DF256" s="4" t="n"/>
      <c r="DG256" s="4" t="n"/>
      <c r="DH256" s="4" t="n"/>
      <c r="DI256" s="4" t="n"/>
      <c r="DJ256" s="4" t="n"/>
      <c r="DK256" s="4" t="n"/>
      <c r="DL256" s="4" t="n"/>
      <c r="DM256" s="4" t="n"/>
      <c r="DN256" s="4" t="n"/>
      <c r="DO256" s="4" t="n"/>
      <c r="DP256" s="4" t="n"/>
      <c r="DQ256" s="4" t="n"/>
      <c r="DR256" s="4" t="n"/>
      <c r="DS256" s="4" t="n"/>
      <c r="DT256" s="4" t="n"/>
      <c r="DU256" s="4" t="n"/>
      <c r="DV256" s="4" t="n"/>
      <c r="DW256" s="4" t="n"/>
      <c r="DX256" s="4" t="n"/>
      <c r="DY256" s="4" t="n"/>
      <c r="DZ256" s="4" t="n"/>
      <c r="EA256" s="4" t="n"/>
      <c r="EB256" s="4" t="n"/>
      <c r="EC256" s="4" t="n"/>
      <c r="ED256" s="4" t="n"/>
      <c r="EE256" s="4" t="n"/>
      <c r="EF256" s="4" t="n"/>
      <c r="EG256" s="4" t="n"/>
      <c r="EH256" s="4" t="n"/>
      <c r="EI256" s="4" t="n"/>
      <c r="EJ256" s="4" t="n"/>
      <c r="EK256" s="4" t="n"/>
      <c r="EL256" s="4" t="n"/>
      <c r="EM256" s="4" t="n"/>
      <c r="EN256" s="4" t="n"/>
    </row>
    <row r="257" hidden="1" customFormat="1" s="6">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c r="AD257" s="4" t="n"/>
      <c r="AE257" s="4" t="n"/>
      <c r="AF257" s="4" t="n"/>
      <c r="AG257" s="4" t="n"/>
      <c r="AH257" s="4" t="n"/>
      <c r="AI257" s="4" t="n"/>
      <c r="AJ257" s="4" t="n"/>
      <c r="AK257" s="4" t="n"/>
      <c r="AL257" s="4" t="n"/>
      <c r="AM257" s="4" t="n"/>
      <c r="AN257" s="4" t="n"/>
      <c r="AO257" s="4" t="n"/>
      <c r="AP257" s="4" t="n"/>
      <c r="AQ257" s="4" t="n"/>
      <c r="AR257" s="4" t="n"/>
      <c r="AS257" s="4" t="n"/>
      <c r="AT257" s="4" t="n"/>
      <c r="AU257" s="4" t="n"/>
      <c r="AV257" s="4" t="n"/>
      <c r="AW257" s="4" t="n"/>
      <c r="AX257" s="4" t="n"/>
      <c r="AY257" s="4" t="n"/>
      <c r="AZ257" s="4" t="n"/>
      <c r="BA257" s="4" t="n"/>
      <c r="BB257" s="4" t="n"/>
      <c r="BC257" s="4" t="n"/>
      <c r="BD257" s="4" t="n"/>
      <c r="BE257" s="4" t="n"/>
      <c r="BF257" s="4" t="n"/>
      <c r="BG257" s="4" t="n"/>
      <c r="BH257" s="4" t="n"/>
      <c r="BI257" s="4" t="n"/>
      <c r="BJ257" s="4" t="n"/>
      <c r="BK257" s="4" t="n"/>
      <c r="BL257" s="4" t="n"/>
      <c r="BM257" s="4" t="n"/>
      <c r="BN257" s="4" t="n"/>
      <c r="BO257" s="4" t="n"/>
      <c r="BP257" s="4" t="n"/>
      <c r="BQ257" s="4" t="n"/>
      <c r="BR257" s="4" t="n"/>
      <c r="BS257" s="4" t="n"/>
      <c r="BT257" s="4" t="n"/>
      <c r="BU257" s="4" t="n"/>
      <c r="BV257" s="4" t="n"/>
      <c r="BW257" s="4" t="n"/>
      <c r="BX257" s="4" t="n"/>
      <c r="BY257" s="4" t="n"/>
      <c r="BZ257" s="4" t="n"/>
      <c r="CA257" s="4" t="n"/>
      <c r="CB257" s="4" t="n"/>
      <c r="CC257" s="4" t="n"/>
      <c r="CD257" s="4" t="n"/>
      <c r="CE257" s="4" t="n"/>
      <c r="CF257" s="4" t="n"/>
      <c r="CG257" s="4" t="n"/>
      <c r="CH257" s="4" t="n"/>
      <c r="CI257" s="4" t="n"/>
      <c r="CJ257" s="4" t="n"/>
      <c r="CK257" s="4" t="n"/>
      <c r="CL257" s="4" t="n"/>
      <c r="CM257" s="4" t="n"/>
      <c r="CN257" s="4" t="n"/>
      <c r="CO257" s="4" t="n"/>
      <c r="CP257" s="4" t="n"/>
      <c r="CQ257" s="4" t="n"/>
      <c r="CR257" s="4" t="n"/>
      <c r="CS257" s="4" t="n"/>
      <c r="CT257" s="4" t="n"/>
      <c r="CU257" s="4" t="n"/>
      <c r="CV257" s="4" t="n"/>
      <c r="CW257" s="4" t="n"/>
      <c r="CX257" s="4" t="n"/>
      <c r="CY257" s="4" t="n"/>
      <c r="CZ257" s="4" t="n"/>
      <c r="DA257" s="4" t="n"/>
      <c r="DB257" s="4" t="n"/>
      <c r="DC257" s="4" t="n"/>
      <c r="DD257" s="4" t="n"/>
      <c r="DE257" s="4" t="n"/>
      <c r="DF257" s="4" t="n"/>
      <c r="DG257" s="4" t="n"/>
      <c r="DH257" s="4" t="n"/>
      <c r="DI257" s="4" t="n"/>
      <c r="DJ257" s="4" t="n"/>
      <c r="DK257" s="4" t="n"/>
      <c r="DL257" s="4" t="n"/>
      <c r="DM257" s="4" t="n"/>
      <c r="DN257" s="4" t="n"/>
      <c r="DO257" s="4" t="n"/>
      <c r="DP257" s="4" t="n"/>
      <c r="DQ257" s="4" t="n"/>
      <c r="DR257" s="4" t="n"/>
      <c r="DS257" s="4" t="n"/>
      <c r="DT257" s="4" t="n"/>
      <c r="DU257" s="4" t="n"/>
      <c r="DV257" s="4" t="n"/>
      <c r="DW257" s="4" t="n"/>
      <c r="DX257" s="4" t="n"/>
      <c r="DY257" s="4" t="n"/>
      <c r="DZ257" s="4" t="n"/>
      <c r="EA257" s="4" t="n"/>
      <c r="EB257" s="4" t="n"/>
      <c r="EC257" s="4" t="n"/>
      <c r="ED257" s="4" t="n"/>
      <c r="EE257" s="4" t="n"/>
      <c r="EF257" s="4" t="n"/>
      <c r="EG257" s="4" t="n"/>
      <c r="EH257" s="4" t="n"/>
      <c r="EI257" s="4" t="n"/>
      <c r="EJ257" s="4" t="n"/>
      <c r="EK257" s="4" t="n"/>
      <c r="EL257" s="4" t="n"/>
      <c r="EM257" s="4" t="n"/>
      <c r="EN257" s="4" t="n"/>
    </row>
    <row r="258" hidden="1" customFormat="1" s="6">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c r="AE258" s="4" t="n"/>
      <c r="AF258" s="4" t="n"/>
      <c r="AG258" s="4" t="n"/>
      <c r="AH258" s="4" t="n"/>
      <c r="AI258" s="4" t="n"/>
      <c r="AJ258" s="4" t="n"/>
      <c r="AK258" s="4" t="n"/>
      <c r="AL258" s="4" t="n"/>
      <c r="AM258" s="4" t="n"/>
      <c r="AN258" s="4" t="n"/>
      <c r="AO258" s="4" t="n"/>
      <c r="AP258" s="4" t="n"/>
      <c r="AQ258" s="4" t="n"/>
      <c r="AR258" s="4" t="n"/>
      <c r="AS258" s="4" t="n"/>
      <c r="AT258" s="4" t="n"/>
      <c r="AU258" s="4" t="n"/>
      <c r="AV258" s="4" t="n"/>
      <c r="AW258" s="4" t="n"/>
      <c r="AX258" s="4" t="n"/>
      <c r="AY258" s="4" t="n"/>
      <c r="AZ258" s="4" t="n"/>
      <c r="BA258" s="4" t="n"/>
      <c r="BB258" s="4" t="n"/>
      <c r="BC258" s="4" t="n"/>
      <c r="BD258" s="4" t="n"/>
      <c r="BE258" s="4" t="n"/>
      <c r="BF258" s="4" t="n"/>
      <c r="BG258" s="4" t="n"/>
      <c r="BH258" s="4" t="n"/>
      <c r="BI258" s="4" t="n"/>
      <c r="BJ258" s="4" t="n"/>
      <c r="BK258" s="4" t="n"/>
      <c r="BL258" s="4" t="n"/>
      <c r="BM258" s="4" t="n"/>
      <c r="BN258" s="4" t="n"/>
      <c r="BO258" s="4" t="n"/>
      <c r="BP258" s="4" t="n"/>
      <c r="BQ258" s="4" t="n"/>
      <c r="BR258" s="4" t="n"/>
      <c r="BS258" s="4" t="n"/>
      <c r="BT258" s="4" t="n"/>
      <c r="BU258" s="4" t="n"/>
      <c r="BV258" s="4" t="n"/>
      <c r="BW258" s="4" t="n"/>
      <c r="BX258" s="4" t="n"/>
      <c r="BY258" s="4" t="n"/>
      <c r="BZ258" s="4" t="n"/>
      <c r="CA258" s="4" t="n"/>
      <c r="CB258" s="4" t="n"/>
      <c r="CC258" s="4" t="n"/>
      <c r="CD258" s="4" t="n"/>
      <c r="CE258" s="4" t="n"/>
      <c r="CF258" s="4" t="n"/>
      <c r="CG258" s="4" t="n"/>
      <c r="CH258" s="4" t="n"/>
      <c r="CI258" s="4" t="n"/>
      <c r="CJ258" s="4" t="n"/>
      <c r="CK258" s="4" t="n"/>
      <c r="CL258" s="4" t="n"/>
      <c r="CM258" s="4" t="n"/>
      <c r="CN258" s="4" t="n"/>
      <c r="CO258" s="4" t="n"/>
      <c r="CP258" s="4" t="n"/>
      <c r="CQ258" s="4" t="n"/>
      <c r="CR258" s="4" t="n"/>
      <c r="CS258" s="4" t="n"/>
      <c r="CT258" s="4" t="n"/>
      <c r="CU258" s="4" t="n"/>
      <c r="CV258" s="4" t="n"/>
      <c r="CW258" s="4" t="n"/>
      <c r="CX258" s="4" t="n"/>
      <c r="CY258" s="4" t="n"/>
      <c r="CZ258" s="4" t="n"/>
      <c r="DA258" s="4" t="n"/>
      <c r="DB258" s="4" t="n"/>
      <c r="DC258" s="4" t="n"/>
      <c r="DD258" s="4" t="n"/>
      <c r="DE258" s="4" t="n"/>
      <c r="DF258" s="4" t="n"/>
      <c r="DG258" s="4" t="n"/>
      <c r="DH258" s="4" t="n"/>
      <c r="DI258" s="4" t="n"/>
      <c r="DJ258" s="4" t="n"/>
      <c r="DK258" s="4" t="n"/>
      <c r="DL258" s="4" t="n"/>
      <c r="DM258" s="4" t="n"/>
      <c r="DN258" s="4" t="n"/>
      <c r="DO258" s="4" t="n"/>
      <c r="DP258" s="4" t="n"/>
      <c r="DQ258" s="4" t="n"/>
      <c r="DR258" s="4" t="n"/>
      <c r="DS258" s="4" t="n"/>
      <c r="DT258" s="4" t="n"/>
      <c r="DU258" s="4" t="n"/>
      <c r="DV258" s="4" t="n"/>
      <c r="DW258" s="4" t="n"/>
      <c r="DX258" s="4" t="n"/>
      <c r="DY258" s="4" t="n"/>
      <c r="DZ258" s="4" t="n"/>
      <c r="EA258" s="4" t="n"/>
      <c r="EB258" s="4" t="n"/>
      <c r="EC258" s="4" t="n"/>
      <c r="ED258" s="4" t="n"/>
      <c r="EE258" s="4" t="n"/>
      <c r="EF258" s="4" t="n"/>
      <c r="EG258" s="4" t="n"/>
      <c r="EH258" s="4" t="n"/>
      <c r="EI258" s="4" t="n"/>
      <c r="EJ258" s="4" t="n"/>
      <c r="EK258" s="4" t="n"/>
      <c r="EL258" s="4" t="n"/>
      <c r="EM258" s="4" t="n"/>
      <c r="EN258" s="4" t="n"/>
    </row>
    <row r="259" hidden="1" customFormat="1" s="6">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c r="AD259" s="4" t="n"/>
      <c r="AE259" s="4" t="n"/>
      <c r="AF259" s="4" t="n"/>
      <c r="AG259" s="4" t="n"/>
      <c r="AH259" s="4" t="n"/>
      <c r="AI259" s="4" t="n"/>
      <c r="AJ259" s="4" t="n"/>
      <c r="AK259" s="4" t="n"/>
      <c r="AL259" s="4" t="n"/>
      <c r="AM259" s="4" t="n"/>
      <c r="AN259" s="4" t="n"/>
      <c r="AO259" s="4" t="n"/>
      <c r="AP259" s="4" t="n"/>
      <c r="AQ259" s="4" t="n"/>
      <c r="AR259" s="4" t="n"/>
      <c r="AS259" s="4" t="n"/>
      <c r="AT259" s="4" t="n"/>
      <c r="AU259" s="4" t="n"/>
      <c r="AV259" s="4" t="n"/>
      <c r="AW259" s="4" t="n"/>
      <c r="AX259" s="4" t="n"/>
      <c r="AY259" s="4" t="n"/>
      <c r="AZ259" s="4" t="n"/>
      <c r="BA259" s="4" t="n"/>
      <c r="BB259" s="4" t="n"/>
      <c r="BC259" s="4" t="n"/>
      <c r="BD259" s="4" t="n"/>
      <c r="BE259" s="4" t="n"/>
      <c r="BF259" s="4" t="n"/>
      <c r="BG259" s="4" t="n"/>
      <c r="BH259" s="4" t="n"/>
      <c r="BI259" s="4" t="n"/>
      <c r="BJ259" s="4" t="n"/>
      <c r="BK259" s="4" t="n"/>
      <c r="BL259" s="4" t="n"/>
      <c r="BM259" s="4" t="n"/>
      <c r="BN259" s="4" t="n"/>
      <c r="BO259" s="4" t="n"/>
      <c r="BP259" s="4" t="n"/>
      <c r="BQ259" s="4" t="n"/>
      <c r="BR259" s="4" t="n"/>
      <c r="BS259" s="4" t="n"/>
      <c r="BT259" s="4" t="n"/>
      <c r="BU259" s="4" t="n"/>
      <c r="BV259" s="4" t="n"/>
      <c r="BW259" s="4" t="n"/>
      <c r="BX259" s="4" t="n"/>
      <c r="BY259" s="4" t="n"/>
      <c r="BZ259" s="4" t="n"/>
      <c r="CA259" s="4" t="n"/>
      <c r="CB259" s="4" t="n"/>
      <c r="CC259" s="4" t="n"/>
      <c r="CD259" s="4" t="n"/>
      <c r="CE259" s="4" t="n"/>
      <c r="CF259" s="4" t="n"/>
      <c r="CG259" s="4" t="n"/>
      <c r="CH259" s="4" t="n"/>
      <c r="CI259" s="4" t="n"/>
      <c r="CJ259" s="4" t="n"/>
      <c r="CK259" s="4" t="n"/>
      <c r="CL259" s="4" t="n"/>
      <c r="CM259" s="4" t="n"/>
      <c r="CN259" s="4" t="n"/>
      <c r="CO259" s="4" t="n"/>
      <c r="CP259" s="4" t="n"/>
      <c r="CQ259" s="4" t="n"/>
      <c r="CR259" s="4" t="n"/>
      <c r="CS259" s="4" t="n"/>
      <c r="CT259" s="4" t="n"/>
      <c r="CU259" s="4" t="n"/>
      <c r="CV259" s="4" t="n"/>
      <c r="CW259" s="4" t="n"/>
      <c r="CX259" s="4" t="n"/>
      <c r="CY259" s="4" t="n"/>
      <c r="CZ259" s="4" t="n"/>
      <c r="DA259" s="4" t="n"/>
      <c r="DB259" s="4" t="n"/>
      <c r="DC259" s="4" t="n"/>
      <c r="DD259" s="4" t="n"/>
      <c r="DE259" s="4" t="n"/>
      <c r="DF259" s="4" t="n"/>
      <c r="DG259" s="4" t="n"/>
      <c r="DH259" s="4" t="n"/>
      <c r="DI259" s="4" t="n"/>
      <c r="DJ259" s="4" t="n"/>
      <c r="DK259" s="4" t="n"/>
      <c r="DL259" s="4" t="n"/>
      <c r="DM259" s="4" t="n"/>
      <c r="DN259" s="4" t="n"/>
      <c r="DO259" s="4" t="n"/>
      <c r="DP259" s="4" t="n"/>
      <c r="DQ259" s="4" t="n"/>
      <c r="DR259" s="4" t="n"/>
      <c r="DS259" s="4" t="n"/>
      <c r="DT259" s="4" t="n"/>
      <c r="DU259" s="4" t="n"/>
      <c r="DV259" s="4" t="n"/>
      <c r="DW259" s="4" t="n"/>
      <c r="DX259" s="4" t="n"/>
      <c r="DY259" s="4" t="n"/>
      <c r="DZ259" s="4" t="n"/>
      <c r="EA259" s="4" t="n"/>
      <c r="EB259" s="4" t="n"/>
      <c r="EC259" s="4" t="n"/>
      <c r="ED259" s="4" t="n"/>
      <c r="EE259" s="4" t="n"/>
      <c r="EF259" s="4" t="n"/>
      <c r="EG259" s="4" t="n"/>
      <c r="EH259" s="4" t="n"/>
      <c r="EI259" s="4" t="n"/>
      <c r="EJ259" s="4" t="n"/>
      <c r="EK259" s="4" t="n"/>
      <c r="EL259" s="4" t="n"/>
      <c r="EM259" s="4" t="n"/>
      <c r="EN259" s="4" t="n"/>
    </row>
    <row r="260" hidden="1" customFormat="1" s="6">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c r="AD260" s="4" t="n"/>
      <c r="AE260" s="4" t="n"/>
      <c r="AF260" s="4" t="n"/>
      <c r="AG260" s="4" t="n"/>
      <c r="AH260" s="4" t="n"/>
      <c r="AI260" s="4" t="n"/>
      <c r="AJ260" s="4" t="n"/>
      <c r="AK260" s="4" t="n"/>
      <c r="AL260" s="4" t="n"/>
      <c r="AM260" s="4" t="n"/>
      <c r="AN260" s="4" t="n"/>
      <c r="AO260" s="4" t="n"/>
      <c r="AP260" s="4" t="n"/>
      <c r="AQ260" s="4" t="n"/>
      <c r="AR260" s="4" t="n"/>
      <c r="AS260" s="4" t="n"/>
      <c r="AT260" s="4" t="n"/>
      <c r="AU260" s="4" t="n"/>
      <c r="AV260" s="4" t="n"/>
      <c r="AW260" s="4" t="n"/>
      <c r="AX260" s="4" t="n"/>
      <c r="AY260" s="4" t="n"/>
      <c r="AZ260" s="4" t="n"/>
      <c r="BA260" s="4" t="n"/>
      <c r="BB260" s="4" t="n"/>
      <c r="BC260" s="4" t="n"/>
      <c r="BD260" s="4" t="n"/>
      <c r="BE260" s="4" t="n"/>
      <c r="BF260" s="4" t="n"/>
      <c r="BG260" s="4" t="n"/>
      <c r="BH260" s="4" t="n"/>
      <c r="BI260" s="4" t="n"/>
      <c r="BJ260" s="4" t="n"/>
      <c r="BK260" s="4" t="n"/>
      <c r="BL260" s="4" t="n"/>
      <c r="BM260" s="4" t="n"/>
      <c r="BN260" s="4" t="n"/>
      <c r="BO260" s="4" t="n"/>
      <c r="BP260" s="4" t="n"/>
      <c r="BQ260" s="4" t="n"/>
      <c r="BR260" s="4" t="n"/>
      <c r="BS260" s="4" t="n"/>
      <c r="BT260" s="4" t="n"/>
      <c r="BU260" s="4" t="n"/>
      <c r="BV260" s="4" t="n"/>
      <c r="BW260" s="4" t="n"/>
      <c r="BX260" s="4" t="n"/>
      <c r="BY260" s="4" t="n"/>
      <c r="BZ260" s="4" t="n"/>
      <c r="CA260" s="4" t="n"/>
      <c r="CB260" s="4" t="n"/>
      <c r="CC260" s="4" t="n"/>
      <c r="CD260" s="4" t="n"/>
      <c r="CE260" s="4" t="n"/>
      <c r="CF260" s="4" t="n"/>
      <c r="CG260" s="4" t="n"/>
      <c r="CH260" s="4" t="n"/>
      <c r="CI260" s="4" t="n"/>
      <c r="CJ260" s="4" t="n"/>
      <c r="CK260" s="4" t="n"/>
      <c r="CL260" s="4" t="n"/>
      <c r="CM260" s="4" t="n"/>
      <c r="CN260" s="4" t="n"/>
      <c r="CO260" s="4" t="n"/>
      <c r="CP260" s="4" t="n"/>
      <c r="CQ260" s="4" t="n"/>
      <c r="CR260" s="4" t="n"/>
      <c r="CS260" s="4" t="n"/>
      <c r="CT260" s="4" t="n"/>
      <c r="CU260" s="4" t="n"/>
      <c r="CV260" s="4" t="n"/>
      <c r="CW260" s="4" t="n"/>
      <c r="CX260" s="4" t="n"/>
      <c r="CY260" s="4" t="n"/>
      <c r="CZ260" s="4" t="n"/>
      <c r="DA260" s="4" t="n"/>
      <c r="DB260" s="4" t="n"/>
      <c r="DC260" s="4" t="n"/>
      <c r="DD260" s="4" t="n"/>
      <c r="DE260" s="4" t="n"/>
      <c r="DF260" s="4" t="n"/>
      <c r="DG260" s="4" t="n"/>
      <c r="DH260" s="4" t="n"/>
      <c r="DI260" s="4" t="n"/>
      <c r="DJ260" s="4" t="n"/>
      <c r="DK260" s="4" t="n"/>
      <c r="DL260" s="4" t="n"/>
      <c r="DM260" s="4" t="n"/>
      <c r="DN260" s="4" t="n"/>
      <c r="DO260" s="4" t="n"/>
      <c r="DP260" s="4" t="n"/>
      <c r="DQ260" s="4" t="n"/>
      <c r="DR260" s="4" t="n"/>
      <c r="DS260" s="4" t="n"/>
      <c r="DT260" s="4" t="n"/>
      <c r="DU260" s="4" t="n"/>
      <c r="DV260" s="4" t="n"/>
      <c r="DW260" s="4" t="n"/>
      <c r="DX260" s="4" t="n"/>
      <c r="DY260" s="4" t="n"/>
      <c r="DZ260" s="4" t="n"/>
      <c r="EA260" s="4" t="n"/>
      <c r="EB260" s="4" t="n"/>
      <c r="EC260" s="4" t="n"/>
      <c r="ED260" s="4" t="n"/>
      <c r="EE260" s="4" t="n"/>
      <c r="EF260" s="4" t="n"/>
      <c r="EG260" s="4" t="n"/>
      <c r="EH260" s="4" t="n"/>
      <c r="EI260" s="4" t="n"/>
      <c r="EJ260" s="4" t="n"/>
      <c r="EK260" s="4" t="n"/>
      <c r="EL260" s="4" t="n"/>
      <c r="EM260" s="4" t="n"/>
      <c r="EN260" s="4" t="n"/>
    </row>
    <row r="261" hidden="1" customFormat="1" s="6">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c r="AD261" s="4" t="n"/>
      <c r="AE261" s="4" t="n"/>
      <c r="AF261" s="4" t="n"/>
      <c r="AG261" s="4" t="n"/>
      <c r="AH261" s="4" t="n"/>
      <c r="AI261" s="4" t="n"/>
      <c r="AJ261" s="4" t="n"/>
      <c r="AK261" s="4" t="n"/>
      <c r="AL261" s="4" t="n"/>
      <c r="AM261" s="4" t="n"/>
      <c r="AN261" s="4" t="n"/>
      <c r="AO261" s="4" t="n"/>
      <c r="AP261" s="4" t="n"/>
      <c r="AQ261" s="4" t="n"/>
      <c r="AR261" s="4" t="n"/>
      <c r="AS261" s="4" t="n"/>
      <c r="AT261" s="4" t="n"/>
      <c r="AU261" s="4" t="n"/>
      <c r="AV261" s="4" t="n"/>
      <c r="AW261" s="4" t="n"/>
      <c r="AX261" s="4" t="n"/>
      <c r="AY261" s="4" t="n"/>
      <c r="AZ261" s="4" t="n"/>
      <c r="BA261" s="4" t="n"/>
      <c r="BB261" s="4" t="n"/>
      <c r="BC261" s="4" t="n"/>
      <c r="BD261" s="4" t="n"/>
      <c r="BE261" s="4" t="n"/>
      <c r="BF261" s="4" t="n"/>
      <c r="BG261" s="4" t="n"/>
      <c r="BH261" s="4" t="n"/>
      <c r="BI261" s="4" t="n"/>
      <c r="BJ261" s="4" t="n"/>
      <c r="BK261" s="4" t="n"/>
      <c r="BL261" s="4" t="n"/>
      <c r="BM261" s="4" t="n"/>
      <c r="BN261" s="4" t="n"/>
      <c r="BO261" s="4" t="n"/>
      <c r="BP261" s="4" t="n"/>
      <c r="BQ261" s="4" t="n"/>
      <c r="BR261" s="4" t="n"/>
      <c r="BS261" s="4" t="n"/>
      <c r="BT261" s="4" t="n"/>
      <c r="BU261" s="4" t="n"/>
      <c r="BV261" s="4" t="n"/>
      <c r="BW261" s="4" t="n"/>
      <c r="BX261" s="4" t="n"/>
      <c r="BY261" s="4" t="n"/>
      <c r="BZ261" s="4" t="n"/>
      <c r="CA261" s="4" t="n"/>
      <c r="CB261" s="4" t="n"/>
      <c r="CC261" s="4" t="n"/>
      <c r="CD261" s="4" t="n"/>
      <c r="CE261" s="4" t="n"/>
      <c r="CF261" s="4" t="n"/>
      <c r="CG261" s="4" t="n"/>
      <c r="CH261" s="4" t="n"/>
      <c r="CI261" s="4" t="n"/>
      <c r="CJ261" s="4" t="n"/>
      <c r="CK261" s="4" t="n"/>
      <c r="CL261" s="4" t="n"/>
      <c r="CM261" s="4" t="n"/>
      <c r="CN261" s="4" t="n"/>
      <c r="CO261" s="4" t="n"/>
      <c r="CP261" s="4" t="n"/>
      <c r="CQ261" s="4" t="n"/>
      <c r="CR261" s="4" t="n"/>
      <c r="CS261" s="4" t="n"/>
      <c r="CT261" s="4" t="n"/>
      <c r="CU261" s="4" t="n"/>
      <c r="CV261" s="4" t="n"/>
      <c r="CW261" s="4" t="n"/>
      <c r="CX261" s="4" t="n"/>
      <c r="CY261" s="4" t="n"/>
      <c r="CZ261" s="4" t="n"/>
      <c r="DA261" s="4" t="n"/>
      <c r="DB261" s="4" t="n"/>
      <c r="DC261" s="4" t="n"/>
      <c r="DD261" s="4" t="n"/>
      <c r="DE261" s="4" t="n"/>
      <c r="DF261" s="4" t="n"/>
      <c r="DG261" s="4" t="n"/>
      <c r="DH261" s="4" t="n"/>
      <c r="DI261" s="4" t="n"/>
      <c r="DJ261" s="4" t="n"/>
      <c r="DK261" s="4" t="n"/>
      <c r="DL261" s="4" t="n"/>
      <c r="DM261" s="4" t="n"/>
      <c r="DN261" s="4" t="n"/>
      <c r="DO261" s="4" t="n"/>
      <c r="DP261" s="4" t="n"/>
      <c r="DQ261" s="4" t="n"/>
      <c r="DR261" s="4" t="n"/>
      <c r="DS261" s="4" t="n"/>
      <c r="DT261" s="4" t="n"/>
      <c r="DU261" s="4" t="n"/>
      <c r="DV261" s="4" t="n"/>
      <c r="DW261" s="4" t="n"/>
      <c r="DX261" s="4" t="n"/>
      <c r="DY261" s="4" t="n"/>
      <c r="DZ261" s="4" t="n"/>
      <c r="EA261" s="4" t="n"/>
      <c r="EB261" s="4" t="n"/>
      <c r="EC261" s="4" t="n"/>
      <c r="ED261" s="4" t="n"/>
      <c r="EE261" s="4" t="n"/>
      <c r="EF261" s="4" t="n"/>
      <c r="EG261" s="4" t="n"/>
      <c r="EH261" s="4" t="n"/>
      <c r="EI261" s="4" t="n"/>
      <c r="EJ261" s="4" t="n"/>
      <c r="EK261" s="4" t="n"/>
      <c r="EL261" s="4" t="n"/>
      <c r="EM261" s="4" t="n"/>
      <c r="EN261" s="4" t="n"/>
    </row>
    <row r="262" hidden="1" customFormat="1" s="6">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c r="AE262" s="4" t="n"/>
      <c r="AF262" s="4" t="n"/>
      <c r="AG262" s="4" t="n"/>
      <c r="AH262" s="4" t="n"/>
      <c r="AI262" s="4" t="n"/>
      <c r="AJ262" s="4" t="n"/>
      <c r="AK262" s="4" t="n"/>
      <c r="AL262" s="4" t="n"/>
      <c r="AM262" s="4" t="n"/>
      <c r="AN262" s="4" t="n"/>
      <c r="AO262" s="4" t="n"/>
      <c r="AP262" s="4" t="n"/>
      <c r="AQ262" s="4" t="n"/>
      <c r="AR262" s="4" t="n"/>
      <c r="AS262" s="4" t="n"/>
      <c r="AT262" s="4" t="n"/>
      <c r="AU262" s="4" t="n"/>
      <c r="AV262" s="4" t="n"/>
      <c r="AW262" s="4" t="n"/>
      <c r="AX262" s="4" t="n"/>
      <c r="AY262" s="4" t="n"/>
      <c r="AZ262" s="4" t="n"/>
      <c r="BA262" s="4" t="n"/>
      <c r="BB262" s="4" t="n"/>
      <c r="BC262" s="4" t="n"/>
      <c r="BD262" s="4" t="n"/>
      <c r="BE262" s="4" t="n"/>
      <c r="BF262" s="4" t="n"/>
      <c r="BG262" s="4" t="n"/>
      <c r="BH262" s="4" t="n"/>
      <c r="BI262" s="4" t="n"/>
      <c r="BJ262" s="4" t="n"/>
      <c r="BK262" s="4" t="n"/>
      <c r="BL262" s="4" t="n"/>
      <c r="BM262" s="4" t="n"/>
      <c r="BN262" s="4" t="n"/>
      <c r="BO262" s="4" t="n"/>
      <c r="BP262" s="4" t="n"/>
      <c r="BQ262" s="4" t="n"/>
      <c r="BR262" s="4" t="n"/>
      <c r="BS262" s="4" t="n"/>
      <c r="BT262" s="4" t="n"/>
      <c r="BU262" s="4" t="n"/>
      <c r="BV262" s="4" t="n"/>
      <c r="BW262" s="4" t="n"/>
      <c r="BX262" s="4" t="n"/>
      <c r="BY262" s="4" t="n"/>
      <c r="BZ262" s="4" t="n"/>
      <c r="CA262" s="4" t="n"/>
      <c r="CB262" s="4" t="n"/>
      <c r="CC262" s="4" t="n"/>
      <c r="CD262" s="4" t="n"/>
      <c r="CE262" s="4" t="n"/>
      <c r="CF262" s="4" t="n"/>
      <c r="CG262" s="4" t="n"/>
      <c r="CH262" s="4" t="n"/>
      <c r="CI262" s="4" t="n"/>
      <c r="CJ262" s="4" t="n"/>
      <c r="CK262" s="4" t="n"/>
      <c r="CL262" s="4" t="n"/>
      <c r="CM262" s="4" t="n"/>
      <c r="CN262" s="4" t="n"/>
      <c r="CO262" s="4" t="n"/>
      <c r="CP262" s="4" t="n"/>
      <c r="CQ262" s="4" t="n"/>
      <c r="CR262" s="4" t="n"/>
      <c r="CS262" s="4" t="n"/>
      <c r="CT262" s="4" t="n"/>
      <c r="CU262" s="4" t="n"/>
      <c r="CV262" s="4" t="n"/>
      <c r="CW262" s="4" t="n"/>
      <c r="CX262" s="4" t="n"/>
      <c r="CY262" s="4" t="n"/>
      <c r="CZ262" s="4" t="n"/>
      <c r="DA262" s="4" t="n"/>
      <c r="DB262" s="4" t="n"/>
      <c r="DC262" s="4" t="n"/>
      <c r="DD262" s="4" t="n"/>
      <c r="DE262" s="4" t="n"/>
      <c r="DF262" s="4" t="n"/>
      <c r="DG262" s="4" t="n"/>
      <c r="DH262" s="4" t="n"/>
      <c r="DI262" s="4" t="n"/>
      <c r="DJ262" s="4" t="n"/>
      <c r="DK262" s="4" t="n"/>
      <c r="DL262" s="4" t="n"/>
      <c r="DM262" s="4" t="n"/>
      <c r="DN262" s="4" t="n"/>
      <c r="DO262" s="4" t="n"/>
      <c r="DP262" s="4" t="n"/>
      <c r="DQ262" s="4" t="n"/>
      <c r="DR262" s="4" t="n"/>
      <c r="DS262" s="4" t="n"/>
      <c r="DT262" s="4" t="n"/>
      <c r="DU262" s="4" t="n"/>
      <c r="DV262" s="4" t="n"/>
      <c r="DW262" s="4" t="n"/>
      <c r="DX262" s="4" t="n"/>
      <c r="DY262" s="4" t="n"/>
      <c r="DZ262" s="4" t="n"/>
      <c r="EA262" s="4" t="n"/>
      <c r="EB262" s="4" t="n"/>
      <c r="EC262" s="4" t="n"/>
      <c r="ED262" s="4" t="n"/>
      <c r="EE262" s="4" t="n"/>
      <c r="EF262" s="4" t="n"/>
      <c r="EG262" s="4" t="n"/>
      <c r="EH262" s="4" t="n"/>
      <c r="EI262" s="4" t="n"/>
      <c r="EJ262" s="4" t="n"/>
      <c r="EK262" s="4" t="n"/>
      <c r="EL262" s="4" t="n"/>
      <c r="EM262" s="4" t="n"/>
      <c r="EN262" s="4" t="n"/>
    </row>
    <row r="263" hidden="1" customFormat="1" s="6">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c r="AD263" s="4" t="n"/>
      <c r="AE263" s="4" t="n"/>
      <c r="AF263" s="4" t="n"/>
      <c r="AG263" s="4" t="n"/>
      <c r="AH263" s="4" t="n"/>
      <c r="AI263" s="4" t="n"/>
      <c r="AJ263" s="4" t="n"/>
      <c r="AK263" s="4" t="n"/>
      <c r="AL263" s="4" t="n"/>
      <c r="AM263" s="4" t="n"/>
      <c r="AN263" s="4" t="n"/>
      <c r="AO263" s="4" t="n"/>
      <c r="AP263" s="4" t="n"/>
      <c r="AQ263" s="4" t="n"/>
      <c r="AR263" s="4" t="n"/>
      <c r="AS263" s="4" t="n"/>
      <c r="AT263" s="4" t="n"/>
      <c r="AU263" s="4" t="n"/>
      <c r="AV263" s="4" t="n"/>
      <c r="AW263" s="4" t="n"/>
      <c r="AX263" s="4" t="n"/>
      <c r="AY263" s="4" t="n"/>
      <c r="AZ263" s="4" t="n"/>
      <c r="BA263" s="4" t="n"/>
      <c r="BB263" s="4" t="n"/>
      <c r="BC263" s="4" t="n"/>
      <c r="BD263" s="4" t="n"/>
      <c r="BE263" s="4" t="n"/>
      <c r="BF263" s="4" t="n"/>
      <c r="BG263" s="4" t="n"/>
      <c r="BH263" s="4" t="n"/>
      <c r="BI263" s="4" t="n"/>
      <c r="BJ263" s="4" t="n"/>
      <c r="BK263" s="4" t="n"/>
      <c r="BL263" s="4" t="n"/>
      <c r="BM263" s="4" t="n"/>
      <c r="BN263" s="4" t="n"/>
      <c r="BO263" s="4" t="n"/>
      <c r="BP263" s="4" t="n"/>
      <c r="BQ263" s="4" t="n"/>
      <c r="BR263" s="4" t="n"/>
      <c r="BS263" s="4" t="n"/>
      <c r="BT263" s="4" t="n"/>
      <c r="BU263" s="4" t="n"/>
      <c r="BV263" s="4" t="n"/>
      <c r="BW263" s="4" t="n"/>
      <c r="BX263" s="4" t="n"/>
      <c r="BY263" s="4" t="n"/>
      <c r="BZ263" s="4" t="n"/>
      <c r="CA263" s="4" t="n"/>
      <c r="CB263" s="4" t="n"/>
      <c r="CC263" s="4" t="n"/>
      <c r="CD263" s="4" t="n"/>
      <c r="CE263" s="4" t="n"/>
      <c r="CF263" s="4" t="n"/>
      <c r="CG263" s="4" t="n"/>
      <c r="CH263" s="4" t="n"/>
      <c r="CI263" s="4" t="n"/>
      <c r="CJ263" s="4" t="n"/>
      <c r="CK263" s="4" t="n"/>
      <c r="CL263" s="4" t="n"/>
      <c r="CM263" s="4" t="n"/>
      <c r="CN263" s="4" t="n"/>
      <c r="CO263" s="4" t="n"/>
      <c r="CP263" s="4" t="n"/>
      <c r="CQ263" s="4" t="n"/>
      <c r="CR263" s="4" t="n"/>
      <c r="CS263" s="4" t="n"/>
      <c r="CT263" s="4" t="n"/>
      <c r="CU263" s="4" t="n"/>
      <c r="CV263" s="4" t="n"/>
      <c r="CW263" s="4" t="n"/>
      <c r="CX263" s="4" t="n"/>
      <c r="CY263" s="4" t="n"/>
      <c r="CZ263" s="4" t="n"/>
      <c r="DA263" s="4" t="n"/>
      <c r="DB263" s="4" t="n"/>
      <c r="DC263" s="4" t="n"/>
      <c r="DD263" s="4" t="n"/>
      <c r="DE263" s="4" t="n"/>
      <c r="DF263" s="4" t="n"/>
      <c r="DG263" s="4" t="n"/>
      <c r="DH263" s="4" t="n"/>
      <c r="DI263" s="4" t="n"/>
      <c r="DJ263" s="4" t="n"/>
      <c r="DK263" s="4" t="n"/>
      <c r="DL263" s="4" t="n"/>
      <c r="DM263" s="4" t="n"/>
      <c r="DN263" s="4" t="n"/>
      <c r="DO263" s="4" t="n"/>
      <c r="DP263" s="4" t="n"/>
      <c r="DQ263" s="4" t="n"/>
      <c r="DR263" s="4" t="n"/>
      <c r="DS263" s="4" t="n"/>
      <c r="DT263" s="4" t="n"/>
      <c r="DU263" s="4" t="n"/>
      <c r="DV263" s="4" t="n"/>
      <c r="DW263" s="4" t="n"/>
      <c r="DX263" s="4" t="n"/>
      <c r="DY263" s="4" t="n"/>
      <c r="DZ263" s="4" t="n"/>
      <c r="EA263" s="4" t="n"/>
      <c r="EB263" s="4" t="n"/>
      <c r="EC263" s="4" t="n"/>
      <c r="ED263" s="4" t="n"/>
      <c r="EE263" s="4" t="n"/>
      <c r="EF263" s="4" t="n"/>
      <c r="EG263" s="4" t="n"/>
      <c r="EH263" s="4" t="n"/>
      <c r="EI263" s="4" t="n"/>
      <c r="EJ263" s="4" t="n"/>
      <c r="EK263" s="4" t="n"/>
      <c r="EL263" s="4" t="n"/>
      <c r="EM263" s="4" t="n"/>
      <c r="EN263" s="4" t="n"/>
    </row>
    <row r="264" hidden="1" customFormat="1" s="6">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c r="AE264" s="4" t="n"/>
      <c r="AF264" s="4" t="n"/>
      <c r="AG264" s="4" t="n"/>
      <c r="AH264" s="4" t="n"/>
      <c r="AI264" s="4" t="n"/>
      <c r="AJ264" s="4" t="n"/>
      <c r="AK264" s="4" t="n"/>
      <c r="AL264" s="4" t="n"/>
      <c r="AM264" s="4" t="n"/>
      <c r="AN264" s="4" t="n"/>
      <c r="AO264" s="4" t="n"/>
      <c r="AP264" s="4" t="n"/>
      <c r="AQ264" s="4" t="n"/>
      <c r="AR264" s="4" t="n"/>
      <c r="AS264" s="4" t="n"/>
      <c r="AT264" s="4" t="n"/>
      <c r="AU264" s="4" t="n"/>
      <c r="AV264" s="4" t="n"/>
      <c r="AW264" s="4" t="n"/>
      <c r="AX264" s="4" t="n"/>
      <c r="AY264" s="4" t="n"/>
      <c r="AZ264" s="4" t="n"/>
      <c r="BA264" s="4" t="n"/>
      <c r="BB264" s="4" t="n"/>
      <c r="BC264" s="4" t="n"/>
      <c r="BD264" s="4" t="n"/>
      <c r="BE264" s="4" t="n"/>
      <c r="BF264" s="4" t="n"/>
      <c r="BG264" s="4" t="n"/>
      <c r="BH264" s="4" t="n"/>
      <c r="BI264" s="4" t="n"/>
      <c r="BJ264" s="4" t="n"/>
      <c r="BK264" s="4" t="n"/>
      <c r="BL264" s="4" t="n"/>
      <c r="BM264" s="4" t="n"/>
      <c r="BN264" s="4" t="n"/>
      <c r="BO264" s="4" t="n"/>
      <c r="BP264" s="4" t="n"/>
      <c r="BQ264" s="4" t="n"/>
      <c r="BR264" s="4" t="n"/>
      <c r="BS264" s="4" t="n"/>
      <c r="BT264" s="4" t="n"/>
      <c r="BU264" s="4" t="n"/>
      <c r="BV264" s="4" t="n"/>
      <c r="BW264" s="4" t="n"/>
      <c r="BX264" s="4" t="n"/>
      <c r="BY264" s="4" t="n"/>
      <c r="BZ264" s="4" t="n"/>
      <c r="CA264" s="4" t="n"/>
      <c r="CB264" s="4" t="n"/>
      <c r="CC264" s="4" t="n"/>
      <c r="CD264" s="4" t="n"/>
      <c r="CE264" s="4" t="n"/>
      <c r="CF264" s="4" t="n"/>
      <c r="CG264" s="4" t="n"/>
      <c r="CH264" s="4" t="n"/>
      <c r="CI264" s="4" t="n"/>
      <c r="CJ264" s="4" t="n"/>
      <c r="CK264" s="4" t="n"/>
      <c r="CL264" s="4" t="n"/>
      <c r="CM264" s="4" t="n"/>
      <c r="CN264" s="4" t="n"/>
      <c r="CO264" s="4" t="n"/>
      <c r="CP264" s="4" t="n"/>
      <c r="CQ264" s="4" t="n"/>
      <c r="CR264" s="4" t="n"/>
      <c r="CS264" s="4" t="n"/>
      <c r="CT264" s="4" t="n"/>
      <c r="CU264" s="4" t="n"/>
      <c r="CV264" s="4" t="n"/>
      <c r="CW264" s="4" t="n"/>
      <c r="CX264" s="4" t="n"/>
      <c r="CY264" s="4" t="n"/>
      <c r="CZ264" s="4" t="n"/>
      <c r="DA264" s="4" t="n"/>
      <c r="DB264" s="4" t="n"/>
      <c r="DC264" s="4" t="n"/>
      <c r="DD264" s="4" t="n"/>
      <c r="DE264" s="4" t="n"/>
      <c r="DF264" s="4" t="n"/>
      <c r="DG264" s="4" t="n"/>
      <c r="DH264" s="4" t="n"/>
      <c r="DI264" s="4" t="n"/>
      <c r="DJ264" s="4" t="n"/>
      <c r="DK264" s="4" t="n"/>
      <c r="DL264" s="4" t="n"/>
      <c r="DM264" s="4" t="n"/>
      <c r="DN264" s="4" t="n"/>
      <c r="DO264" s="4" t="n"/>
      <c r="DP264" s="4" t="n"/>
      <c r="DQ264" s="4" t="n"/>
      <c r="DR264" s="4" t="n"/>
      <c r="DS264" s="4" t="n"/>
      <c r="DT264" s="4" t="n"/>
      <c r="DU264" s="4" t="n"/>
      <c r="DV264" s="4" t="n"/>
      <c r="DW264" s="4" t="n"/>
      <c r="DX264" s="4" t="n"/>
      <c r="DY264" s="4" t="n"/>
      <c r="DZ264" s="4" t="n"/>
      <c r="EA264" s="4" t="n"/>
      <c r="EB264" s="4" t="n"/>
      <c r="EC264" s="4" t="n"/>
      <c r="ED264" s="4" t="n"/>
      <c r="EE264" s="4" t="n"/>
      <c r="EF264" s="4" t="n"/>
      <c r="EG264" s="4" t="n"/>
      <c r="EH264" s="4" t="n"/>
      <c r="EI264" s="4" t="n"/>
      <c r="EJ264" s="4" t="n"/>
      <c r="EK264" s="4" t="n"/>
      <c r="EL264" s="4" t="n"/>
      <c r="EM264" s="4" t="n"/>
      <c r="EN264" s="4" t="n"/>
    </row>
    <row r="265" hidden="1" customFormat="1" s="6">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c r="AD265" s="4" t="n"/>
      <c r="AE265" s="4" t="n"/>
      <c r="AF265" s="4" t="n"/>
      <c r="AG265" s="4" t="n"/>
      <c r="AH265" s="4" t="n"/>
      <c r="AI265" s="4" t="n"/>
      <c r="AJ265" s="4" t="n"/>
      <c r="AK265" s="4" t="n"/>
      <c r="AL265" s="4" t="n"/>
      <c r="AM265" s="4" t="n"/>
      <c r="AN265" s="4" t="n"/>
      <c r="AO265" s="4" t="n"/>
      <c r="AP265" s="4" t="n"/>
      <c r="AQ265" s="4" t="n"/>
      <c r="AR265" s="4" t="n"/>
      <c r="AS265" s="4" t="n"/>
      <c r="AT265" s="4" t="n"/>
      <c r="AU265" s="4" t="n"/>
      <c r="AV265" s="4" t="n"/>
      <c r="AW265" s="4" t="n"/>
      <c r="AX265" s="4" t="n"/>
      <c r="AY265" s="4" t="n"/>
      <c r="AZ265" s="4" t="n"/>
      <c r="BA265" s="4" t="n"/>
      <c r="BB265" s="4" t="n"/>
      <c r="BC265" s="4" t="n"/>
      <c r="BD265" s="4" t="n"/>
      <c r="BE265" s="4" t="n"/>
      <c r="BF265" s="4" t="n"/>
      <c r="BG265" s="4" t="n"/>
      <c r="BH265" s="4" t="n"/>
      <c r="BI265" s="4" t="n"/>
      <c r="BJ265" s="4" t="n"/>
      <c r="BK265" s="4" t="n"/>
      <c r="BL265" s="4" t="n"/>
      <c r="BM265" s="4" t="n"/>
      <c r="BN265" s="4" t="n"/>
      <c r="BO265" s="4" t="n"/>
      <c r="BP265" s="4" t="n"/>
      <c r="BQ265" s="4" t="n"/>
      <c r="BR265" s="4" t="n"/>
      <c r="BS265" s="4" t="n"/>
      <c r="BT265" s="4" t="n"/>
      <c r="BU265" s="4" t="n"/>
      <c r="BV265" s="4" t="n"/>
      <c r="BW265" s="4" t="n"/>
      <c r="BX265" s="4" t="n"/>
      <c r="BY265" s="4" t="n"/>
      <c r="BZ265" s="4" t="n"/>
      <c r="CA265" s="4" t="n"/>
      <c r="CB265" s="4" t="n"/>
      <c r="CC265" s="4" t="n"/>
      <c r="CD265" s="4" t="n"/>
      <c r="CE265" s="4" t="n"/>
      <c r="CF265" s="4" t="n"/>
      <c r="CG265" s="4" t="n"/>
      <c r="CH265" s="4" t="n"/>
      <c r="CI265" s="4" t="n"/>
      <c r="CJ265" s="4" t="n"/>
      <c r="CK265" s="4" t="n"/>
      <c r="CL265" s="4" t="n"/>
      <c r="CM265" s="4" t="n"/>
      <c r="CN265" s="4" t="n"/>
      <c r="CO265" s="4" t="n"/>
      <c r="CP265" s="4" t="n"/>
      <c r="CQ265" s="4" t="n"/>
      <c r="CR265" s="4" t="n"/>
      <c r="CS265" s="4" t="n"/>
      <c r="CT265" s="4" t="n"/>
      <c r="CU265" s="4" t="n"/>
      <c r="CV265" s="4" t="n"/>
      <c r="CW265" s="4" t="n"/>
      <c r="CX265" s="4" t="n"/>
      <c r="CY265" s="4" t="n"/>
      <c r="CZ265" s="4" t="n"/>
      <c r="DA265" s="4" t="n"/>
      <c r="DB265" s="4" t="n"/>
      <c r="DC265" s="4" t="n"/>
      <c r="DD265" s="4" t="n"/>
      <c r="DE265" s="4" t="n"/>
      <c r="DF265" s="4" t="n"/>
      <c r="DG265" s="4" t="n"/>
      <c r="DH265" s="4" t="n"/>
      <c r="DI265" s="4" t="n"/>
      <c r="DJ265" s="4" t="n"/>
      <c r="DK265" s="4" t="n"/>
      <c r="DL265" s="4" t="n"/>
      <c r="DM265" s="4" t="n"/>
      <c r="DN265" s="4" t="n"/>
      <c r="DO265" s="4" t="n"/>
      <c r="DP265" s="4" t="n"/>
      <c r="DQ265" s="4" t="n"/>
      <c r="DR265" s="4" t="n"/>
      <c r="DS265" s="4" t="n"/>
      <c r="DT265" s="4" t="n"/>
      <c r="DU265" s="4" t="n"/>
      <c r="DV265" s="4" t="n"/>
      <c r="DW265" s="4" t="n"/>
      <c r="DX265" s="4" t="n"/>
      <c r="DY265" s="4" t="n"/>
      <c r="DZ265" s="4" t="n"/>
      <c r="EA265" s="4" t="n"/>
      <c r="EB265" s="4" t="n"/>
      <c r="EC265" s="4" t="n"/>
      <c r="ED265" s="4" t="n"/>
      <c r="EE265" s="4" t="n"/>
      <c r="EF265" s="4" t="n"/>
      <c r="EG265" s="4" t="n"/>
      <c r="EH265" s="4" t="n"/>
      <c r="EI265" s="4" t="n"/>
      <c r="EJ265" s="4" t="n"/>
      <c r="EK265" s="4" t="n"/>
      <c r="EL265" s="4" t="n"/>
      <c r="EM265" s="4" t="n"/>
      <c r="EN265" s="4" t="n"/>
    </row>
    <row r="266" hidden="1" customFormat="1" s="6">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c r="AD266" s="4" t="n"/>
      <c r="AE266" s="4" t="n"/>
      <c r="AF266" s="4" t="n"/>
      <c r="AG266" s="4" t="n"/>
      <c r="AH266" s="4" t="n"/>
      <c r="AI266" s="4" t="n"/>
      <c r="AJ266" s="4" t="n"/>
      <c r="AK266" s="4" t="n"/>
      <c r="AL266" s="4" t="n"/>
      <c r="AM266" s="4" t="n"/>
      <c r="AN266" s="4" t="n"/>
      <c r="AO266" s="4" t="n"/>
      <c r="AP266" s="4" t="n"/>
      <c r="AQ266" s="4" t="n"/>
      <c r="AR266" s="4" t="n"/>
      <c r="AS266" s="4" t="n"/>
      <c r="AT266" s="4" t="n"/>
      <c r="AU266" s="4" t="n"/>
      <c r="AV266" s="4" t="n"/>
      <c r="AW266" s="4" t="n"/>
      <c r="AX266" s="4" t="n"/>
      <c r="AY266" s="4" t="n"/>
      <c r="AZ266" s="4" t="n"/>
      <c r="BA266" s="4" t="n"/>
      <c r="BB266" s="4" t="n"/>
      <c r="BC266" s="4" t="n"/>
      <c r="BD266" s="4" t="n"/>
      <c r="BE266" s="4" t="n"/>
      <c r="BF266" s="4" t="n"/>
      <c r="BG266" s="4" t="n"/>
      <c r="BH266" s="4" t="n"/>
      <c r="BI266" s="4" t="n"/>
      <c r="BJ266" s="4" t="n"/>
      <c r="BK266" s="4" t="n"/>
      <c r="BL266" s="4" t="n"/>
      <c r="BM266" s="4" t="n"/>
      <c r="BN266" s="4" t="n"/>
      <c r="BO266" s="4" t="n"/>
      <c r="BP266" s="4" t="n"/>
      <c r="BQ266" s="4" t="n"/>
      <c r="BR266" s="4" t="n"/>
      <c r="BS266" s="4" t="n"/>
      <c r="BT266" s="4" t="n"/>
      <c r="BU266" s="4" t="n"/>
      <c r="BV266" s="4" t="n"/>
      <c r="BW266" s="4" t="n"/>
      <c r="BX266" s="4" t="n"/>
      <c r="BY266" s="4" t="n"/>
      <c r="BZ266" s="4" t="n"/>
      <c r="CA266" s="4" t="n"/>
      <c r="CB266" s="4" t="n"/>
      <c r="CC266" s="4" t="n"/>
      <c r="CD266" s="4" t="n"/>
      <c r="CE266" s="4" t="n"/>
      <c r="CF266" s="4" t="n"/>
      <c r="CG266" s="4" t="n"/>
      <c r="CH266" s="4" t="n"/>
      <c r="CI266" s="4" t="n"/>
      <c r="CJ266" s="4" t="n"/>
      <c r="CK266" s="4" t="n"/>
      <c r="CL266" s="4" t="n"/>
      <c r="CM266" s="4" t="n"/>
      <c r="CN266" s="4" t="n"/>
      <c r="CO266" s="4" t="n"/>
      <c r="CP266" s="4" t="n"/>
      <c r="CQ266" s="4" t="n"/>
      <c r="CR266" s="4" t="n"/>
      <c r="CS266" s="4" t="n"/>
      <c r="CT266" s="4" t="n"/>
      <c r="CU266" s="4" t="n"/>
      <c r="CV266" s="4" t="n"/>
      <c r="CW266" s="4" t="n"/>
      <c r="CX266" s="4" t="n"/>
      <c r="CY266" s="4" t="n"/>
      <c r="CZ266" s="4" t="n"/>
      <c r="DA266" s="4" t="n"/>
      <c r="DB266" s="4" t="n"/>
      <c r="DC266" s="4" t="n"/>
      <c r="DD266" s="4" t="n"/>
      <c r="DE266" s="4" t="n"/>
      <c r="DF266" s="4" t="n"/>
      <c r="DG266" s="4" t="n"/>
      <c r="DH266" s="4" t="n"/>
      <c r="DI266" s="4" t="n"/>
      <c r="DJ266" s="4" t="n"/>
      <c r="DK266" s="4" t="n"/>
      <c r="DL266" s="4" t="n"/>
      <c r="DM266" s="4" t="n"/>
      <c r="DN266" s="4" t="n"/>
      <c r="DO266" s="4" t="n"/>
      <c r="DP266" s="4" t="n"/>
      <c r="DQ266" s="4" t="n"/>
      <c r="DR266" s="4" t="n"/>
      <c r="DS266" s="4" t="n"/>
      <c r="DT266" s="4" t="n"/>
      <c r="DU266" s="4" t="n"/>
      <c r="DV266" s="4" t="n"/>
      <c r="DW266" s="4" t="n"/>
      <c r="DX266" s="4" t="n"/>
      <c r="DY266" s="4" t="n"/>
      <c r="DZ266" s="4" t="n"/>
      <c r="EA266" s="4" t="n"/>
      <c r="EB266" s="4" t="n"/>
      <c r="EC266" s="4" t="n"/>
      <c r="ED266" s="4" t="n"/>
      <c r="EE266" s="4" t="n"/>
      <c r="EF266" s="4" t="n"/>
      <c r="EG266" s="4" t="n"/>
      <c r="EH266" s="4" t="n"/>
      <c r="EI266" s="4" t="n"/>
      <c r="EJ266" s="4" t="n"/>
      <c r="EK266" s="4" t="n"/>
      <c r="EL266" s="4" t="n"/>
      <c r="EM266" s="4" t="n"/>
      <c r="EN266" s="4" t="n"/>
    </row>
    <row r="267" hidden="1" customFormat="1" s="6">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c r="AC267" s="4" t="n"/>
      <c r="AD267" s="4" t="n"/>
      <c r="AE267" s="4" t="n"/>
      <c r="AF267" s="4" t="n"/>
      <c r="AG267" s="4" t="n"/>
      <c r="AH267" s="4" t="n"/>
      <c r="AI267" s="4" t="n"/>
      <c r="AJ267" s="4" t="n"/>
      <c r="AK267" s="4" t="n"/>
      <c r="AL267" s="4" t="n"/>
      <c r="AM267" s="4" t="n"/>
      <c r="AN267" s="4" t="n"/>
      <c r="AO267" s="4" t="n"/>
      <c r="AP267" s="4" t="n"/>
      <c r="AQ267" s="4" t="n"/>
      <c r="AR267" s="4" t="n"/>
      <c r="AS267" s="4" t="n"/>
      <c r="AT267" s="4" t="n"/>
      <c r="AU267" s="4" t="n"/>
      <c r="AV267" s="4" t="n"/>
      <c r="AW267" s="4" t="n"/>
      <c r="AX267" s="4" t="n"/>
      <c r="AY267" s="4" t="n"/>
      <c r="AZ267" s="4" t="n"/>
      <c r="BA267" s="4" t="n"/>
      <c r="BB267" s="4" t="n"/>
      <c r="BC267" s="4" t="n"/>
      <c r="BD267" s="4" t="n"/>
      <c r="BE267" s="4" t="n"/>
      <c r="BF267" s="4" t="n"/>
      <c r="BG267" s="4" t="n"/>
      <c r="BH267" s="4" t="n"/>
      <c r="BI267" s="4" t="n"/>
      <c r="BJ267" s="4" t="n"/>
      <c r="BK267" s="4" t="n"/>
      <c r="BL267" s="4" t="n"/>
      <c r="BM267" s="4" t="n"/>
      <c r="BN267" s="4" t="n"/>
      <c r="BO267" s="4" t="n"/>
      <c r="BP267" s="4" t="n"/>
      <c r="BQ267" s="4" t="n"/>
      <c r="BR267" s="4" t="n"/>
      <c r="BS267" s="4" t="n"/>
      <c r="BT267" s="4" t="n"/>
      <c r="BU267" s="4" t="n"/>
      <c r="BV267" s="4" t="n"/>
      <c r="BW267" s="4" t="n"/>
      <c r="BX267" s="4" t="n"/>
      <c r="BY267" s="4" t="n"/>
      <c r="BZ267" s="4" t="n"/>
      <c r="CA267" s="4" t="n"/>
      <c r="CB267" s="4" t="n"/>
      <c r="CC267" s="4" t="n"/>
      <c r="CD267" s="4" t="n"/>
      <c r="CE267" s="4" t="n"/>
      <c r="CF267" s="4" t="n"/>
      <c r="CG267" s="4" t="n"/>
      <c r="CH267" s="4" t="n"/>
      <c r="CI267" s="4" t="n"/>
      <c r="CJ267" s="4" t="n"/>
      <c r="CK267" s="4" t="n"/>
      <c r="CL267" s="4" t="n"/>
      <c r="CM267" s="4" t="n"/>
      <c r="CN267" s="4" t="n"/>
      <c r="CO267" s="4" t="n"/>
      <c r="CP267" s="4" t="n"/>
      <c r="CQ267" s="4" t="n"/>
      <c r="CR267" s="4" t="n"/>
      <c r="CS267" s="4" t="n"/>
      <c r="CT267" s="4" t="n"/>
      <c r="CU267" s="4" t="n"/>
      <c r="CV267" s="4" t="n"/>
      <c r="CW267" s="4" t="n"/>
      <c r="CX267" s="4" t="n"/>
      <c r="CY267" s="4" t="n"/>
      <c r="CZ267" s="4" t="n"/>
      <c r="DA267" s="4" t="n"/>
      <c r="DB267" s="4" t="n"/>
      <c r="DC267" s="4" t="n"/>
      <c r="DD267" s="4" t="n"/>
      <c r="DE267" s="4" t="n"/>
      <c r="DF267" s="4" t="n"/>
      <c r="DG267" s="4" t="n"/>
      <c r="DH267" s="4" t="n"/>
      <c r="DI267" s="4" t="n"/>
      <c r="DJ267" s="4" t="n"/>
      <c r="DK267" s="4" t="n"/>
      <c r="DL267" s="4" t="n"/>
      <c r="DM267" s="4" t="n"/>
      <c r="DN267" s="4" t="n"/>
      <c r="DO267" s="4" t="n"/>
      <c r="DP267" s="4" t="n"/>
      <c r="DQ267" s="4" t="n"/>
      <c r="DR267" s="4" t="n"/>
      <c r="DS267" s="4" t="n"/>
      <c r="DT267" s="4" t="n"/>
      <c r="DU267" s="4" t="n"/>
      <c r="DV267" s="4" t="n"/>
      <c r="DW267" s="4" t="n"/>
      <c r="DX267" s="4" t="n"/>
      <c r="DY267" s="4" t="n"/>
      <c r="DZ267" s="4" t="n"/>
      <c r="EA267" s="4" t="n"/>
      <c r="EB267" s="4" t="n"/>
      <c r="EC267" s="4" t="n"/>
      <c r="ED267" s="4" t="n"/>
      <c r="EE267" s="4" t="n"/>
      <c r="EF267" s="4" t="n"/>
      <c r="EG267" s="4" t="n"/>
      <c r="EH267" s="4" t="n"/>
      <c r="EI267" s="4" t="n"/>
      <c r="EJ267" s="4" t="n"/>
      <c r="EK267" s="4" t="n"/>
      <c r="EL267" s="4" t="n"/>
      <c r="EM267" s="4" t="n"/>
      <c r="EN267" s="4" t="n"/>
    </row>
    <row r="268" hidden="1" customFormat="1" s="6">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c r="AE268" s="4" t="n"/>
      <c r="AF268" s="4" t="n"/>
      <c r="AG268" s="4" t="n"/>
      <c r="AH268" s="4" t="n"/>
      <c r="AI268" s="4" t="n"/>
      <c r="AJ268" s="4" t="n"/>
      <c r="AK268" s="4" t="n"/>
      <c r="AL268" s="4" t="n"/>
      <c r="AM268" s="4" t="n"/>
      <c r="AN268" s="4" t="n"/>
      <c r="AO268" s="4" t="n"/>
      <c r="AP268" s="4" t="n"/>
      <c r="AQ268" s="4" t="n"/>
      <c r="AR268" s="4" t="n"/>
      <c r="AS268" s="4" t="n"/>
      <c r="AT268" s="4" t="n"/>
      <c r="AU268" s="4" t="n"/>
      <c r="AV268" s="4" t="n"/>
      <c r="AW268" s="4" t="n"/>
      <c r="AX268" s="4" t="n"/>
      <c r="AY268" s="4" t="n"/>
      <c r="AZ268" s="4" t="n"/>
      <c r="BA268" s="4" t="n"/>
      <c r="BB268" s="4" t="n"/>
      <c r="BC268" s="4" t="n"/>
      <c r="BD268" s="4" t="n"/>
      <c r="BE268" s="4" t="n"/>
      <c r="BF268" s="4" t="n"/>
      <c r="BG268" s="4" t="n"/>
      <c r="BH268" s="4" t="n"/>
      <c r="BI268" s="4" t="n"/>
      <c r="BJ268" s="4" t="n"/>
      <c r="BK268" s="4" t="n"/>
      <c r="BL268" s="4" t="n"/>
      <c r="BM268" s="4" t="n"/>
      <c r="BN268" s="4" t="n"/>
      <c r="BO268" s="4" t="n"/>
      <c r="BP268" s="4" t="n"/>
      <c r="BQ268" s="4" t="n"/>
      <c r="BR268" s="4" t="n"/>
      <c r="BS268" s="4" t="n"/>
      <c r="BT268" s="4" t="n"/>
      <c r="BU268" s="4" t="n"/>
      <c r="BV268" s="4" t="n"/>
      <c r="BW268" s="4" t="n"/>
      <c r="BX268" s="4" t="n"/>
      <c r="BY268" s="4" t="n"/>
      <c r="BZ268" s="4" t="n"/>
      <c r="CA268" s="4" t="n"/>
      <c r="CB268" s="4" t="n"/>
      <c r="CC268" s="4" t="n"/>
      <c r="CD268" s="4" t="n"/>
      <c r="CE268" s="4" t="n"/>
      <c r="CF268" s="4" t="n"/>
      <c r="CG268" s="4" t="n"/>
      <c r="CH268" s="4" t="n"/>
      <c r="CI268" s="4" t="n"/>
      <c r="CJ268" s="4" t="n"/>
      <c r="CK268" s="4" t="n"/>
      <c r="CL268" s="4" t="n"/>
      <c r="CM268" s="4" t="n"/>
      <c r="CN268" s="4" t="n"/>
      <c r="CO268" s="4" t="n"/>
      <c r="CP268" s="4" t="n"/>
      <c r="CQ268" s="4" t="n"/>
      <c r="CR268" s="4" t="n"/>
      <c r="CS268" s="4" t="n"/>
      <c r="CT268" s="4" t="n"/>
      <c r="CU268" s="4" t="n"/>
      <c r="CV268" s="4" t="n"/>
      <c r="CW268" s="4" t="n"/>
      <c r="CX268" s="4" t="n"/>
      <c r="CY268" s="4" t="n"/>
      <c r="CZ268" s="4" t="n"/>
      <c r="DA268" s="4" t="n"/>
      <c r="DB268" s="4" t="n"/>
      <c r="DC268" s="4" t="n"/>
      <c r="DD268" s="4" t="n"/>
      <c r="DE268" s="4" t="n"/>
      <c r="DF268" s="4" t="n"/>
      <c r="DG268" s="4" t="n"/>
      <c r="DH268" s="4" t="n"/>
      <c r="DI268" s="4" t="n"/>
      <c r="DJ268" s="4" t="n"/>
      <c r="DK268" s="4" t="n"/>
      <c r="DL268" s="4" t="n"/>
      <c r="DM268" s="4" t="n"/>
      <c r="DN268" s="4" t="n"/>
      <c r="DO268" s="4" t="n"/>
      <c r="DP268" s="4" t="n"/>
      <c r="DQ268" s="4" t="n"/>
      <c r="DR268" s="4" t="n"/>
      <c r="DS268" s="4" t="n"/>
      <c r="DT268" s="4" t="n"/>
      <c r="DU268" s="4" t="n"/>
      <c r="DV268" s="4" t="n"/>
      <c r="DW268" s="4" t="n"/>
      <c r="DX268" s="4" t="n"/>
      <c r="DY268" s="4" t="n"/>
      <c r="DZ268" s="4" t="n"/>
      <c r="EA268" s="4" t="n"/>
      <c r="EB268" s="4" t="n"/>
      <c r="EC268" s="4" t="n"/>
      <c r="ED268" s="4" t="n"/>
      <c r="EE268" s="4" t="n"/>
      <c r="EF268" s="4" t="n"/>
      <c r="EG268" s="4" t="n"/>
      <c r="EH268" s="4" t="n"/>
      <c r="EI268" s="4" t="n"/>
      <c r="EJ268" s="4" t="n"/>
      <c r="EK268" s="4" t="n"/>
      <c r="EL268" s="4" t="n"/>
      <c r="EM268" s="4" t="n"/>
      <c r="EN268" s="4" t="n"/>
    </row>
    <row r="269" hidden="1" customFormat="1" s="6">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c r="AE269" s="4" t="n"/>
      <c r="AF269" s="4" t="n"/>
      <c r="AG269" s="4" t="n"/>
      <c r="AH269" s="4" t="n"/>
      <c r="AI269" s="4" t="n"/>
      <c r="AJ269" s="4" t="n"/>
      <c r="AK269" s="4" t="n"/>
      <c r="AL269" s="4" t="n"/>
      <c r="AM269" s="4" t="n"/>
      <c r="AN269" s="4" t="n"/>
      <c r="AO269" s="4" t="n"/>
      <c r="AP269" s="4" t="n"/>
      <c r="AQ269" s="4" t="n"/>
      <c r="AR269" s="4" t="n"/>
      <c r="AS269" s="4" t="n"/>
      <c r="AT269" s="4" t="n"/>
      <c r="AU269" s="4" t="n"/>
      <c r="AV269" s="4" t="n"/>
      <c r="AW269" s="4" t="n"/>
      <c r="AX269" s="4" t="n"/>
      <c r="AY269" s="4" t="n"/>
      <c r="AZ269" s="4" t="n"/>
      <c r="BA269" s="4" t="n"/>
      <c r="BB269" s="4" t="n"/>
      <c r="BC269" s="4" t="n"/>
      <c r="BD269" s="4" t="n"/>
      <c r="BE269" s="4" t="n"/>
      <c r="BF269" s="4" t="n"/>
      <c r="BG269" s="4" t="n"/>
      <c r="BH269" s="4" t="n"/>
      <c r="BI269" s="4" t="n"/>
      <c r="BJ269" s="4" t="n"/>
      <c r="BK269" s="4" t="n"/>
      <c r="BL269" s="4" t="n"/>
      <c r="BM269" s="4" t="n"/>
      <c r="BN269" s="4" t="n"/>
      <c r="BO269" s="4" t="n"/>
      <c r="BP269" s="4" t="n"/>
      <c r="BQ269" s="4" t="n"/>
      <c r="BR269" s="4" t="n"/>
      <c r="BS269" s="4" t="n"/>
      <c r="BT269" s="4" t="n"/>
      <c r="BU269" s="4" t="n"/>
      <c r="BV269" s="4" t="n"/>
      <c r="BW269" s="4" t="n"/>
      <c r="BX269" s="4" t="n"/>
      <c r="BY269" s="4" t="n"/>
      <c r="BZ269" s="4" t="n"/>
      <c r="CA269" s="4" t="n"/>
      <c r="CB269" s="4" t="n"/>
      <c r="CC269" s="4" t="n"/>
      <c r="CD269" s="4" t="n"/>
      <c r="CE269" s="4" t="n"/>
      <c r="CF269" s="4" t="n"/>
      <c r="CG269" s="4" t="n"/>
      <c r="CH269" s="4" t="n"/>
      <c r="CI269" s="4" t="n"/>
      <c r="CJ269" s="4" t="n"/>
      <c r="CK269" s="4" t="n"/>
      <c r="CL269" s="4" t="n"/>
      <c r="CM269" s="4" t="n"/>
      <c r="CN269" s="4" t="n"/>
      <c r="CO269" s="4" t="n"/>
      <c r="CP269" s="4" t="n"/>
      <c r="CQ269" s="4" t="n"/>
      <c r="CR269" s="4" t="n"/>
      <c r="CS269" s="4" t="n"/>
      <c r="CT269" s="4" t="n"/>
      <c r="CU269" s="4" t="n"/>
      <c r="CV269" s="4" t="n"/>
      <c r="CW269" s="4" t="n"/>
      <c r="CX269" s="4" t="n"/>
      <c r="CY269" s="4" t="n"/>
      <c r="CZ269" s="4" t="n"/>
      <c r="DA269" s="4" t="n"/>
      <c r="DB269" s="4" t="n"/>
      <c r="DC269" s="4" t="n"/>
      <c r="DD269" s="4" t="n"/>
      <c r="DE269" s="4" t="n"/>
      <c r="DF269" s="4" t="n"/>
      <c r="DG269" s="4" t="n"/>
      <c r="DH269" s="4" t="n"/>
      <c r="DI269" s="4" t="n"/>
      <c r="DJ269" s="4" t="n"/>
      <c r="DK269" s="4" t="n"/>
      <c r="DL269" s="4" t="n"/>
      <c r="DM269" s="4" t="n"/>
      <c r="DN269" s="4" t="n"/>
      <c r="DO269" s="4" t="n"/>
      <c r="DP269" s="4" t="n"/>
      <c r="DQ269" s="4" t="n"/>
      <c r="DR269" s="4" t="n"/>
      <c r="DS269" s="4" t="n"/>
      <c r="DT269" s="4" t="n"/>
      <c r="DU269" s="4" t="n"/>
      <c r="DV269" s="4" t="n"/>
      <c r="DW269" s="4" t="n"/>
      <c r="DX269" s="4" t="n"/>
      <c r="DY269" s="4" t="n"/>
      <c r="DZ269" s="4" t="n"/>
      <c r="EA269" s="4" t="n"/>
      <c r="EB269" s="4" t="n"/>
      <c r="EC269" s="4" t="n"/>
      <c r="ED269" s="4" t="n"/>
      <c r="EE269" s="4" t="n"/>
      <c r="EF269" s="4" t="n"/>
      <c r="EG269" s="4" t="n"/>
      <c r="EH269" s="4" t="n"/>
      <c r="EI269" s="4" t="n"/>
      <c r="EJ269" s="4" t="n"/>
      <c r="EK269" s="4" t="n"/>
      <c r="EL269" s="4" t="n"/>
      <c r="EM269" s="4" t="n"/>
      <c r="EN269" s="4" t="n"/>
    </row>
    <row r="270" hidden="1" customFormat="1" s="6">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c r="AE270" s="4" t="n"/>
      <c r="AF270" s="4" t="n"/>
      <c r="AG270" s="4" t="n"/>
      <c r="AH270" s="4" t="n"/>
      <c r="AI270" s="4" t="n"/>
      <c r="AJ270" s="4" t="n"/>
      <c r="AK270" s="4" t="n"/>
      <c r="AL270" s="4" t="n"/>
      <c r="AM270" s="4" t="n"/>
      <c r="AN270" s="4" t="n"/>
      <c r="AO270" s="4" t="n"/>
      <c r="AP270" s="4" t="n"/>
      <c r="AQ270" s="4" t="n"/>
      <c r="AR270" s="4" t="n"/>
      <c r="AS270" s="4" t="n"/>
      <c r="AT270" s="4" t="n"/>
      <c r="AU270" s="4" t="n"/>
      <c r="AV270" s="4" t="n"/>
      <c r="AW270" s="4" t="n"/>
      <c r="AX270" s="4" t="n"/>
      <c r="AY270" s="4" t="n"/>
      <c r="AZ270" s="4" t="n"/>
      <c r="BA270" s="4" t="n"/>
      <c r="BB270" s="4" t="n"/>
      <c r="BC270" s="4" t="n"/>
      <c r="BD270" s="4" t="n"/>
      <c r="BE270" s="4" t="n"/>
      <c r="BF270" s="4" t="n"/>
      <c r="BG270" s="4" t="n"/>
      <c r="BH270" s="4" t="n"/>
      <c r="BI270" s="4" t="n"/>
      <c r="BJ270" s="4" t="n"/>
      <c r="BK270" s="4" t="n"/>
      <c r="BL270" s="4" t="n"/>
      <c r="BM270" s="4" t="n"/>
      <c r="BN270" s="4" t="n"/>
      <c r="BO270" s="4" t="n"/>
      <c r="BP270" s="4" t="n"/>
      <c r="BQ270" s="4" t="n"/>
      <c r="BR270" s="4" t="n"/>
      <c r="BS270" s="4" t="n"/>
      <c r="BT270" s="4" t="n"/>
      <c r="BU270" s="4" t="n"/>
      <c r="BV270" s="4" t="n"/>
      <c r="BW270" s="4" t="n"/>
      <c r="BX270" s="4" t="n"/>
      <c r="BY270" s="4" t="n"/>
      <c r="BZ270" s="4" t="n"/>
      <c r="CA270" s="4" t="n"/>
      <c r="CB270" s="4" t="n"/>
      <c r="CC270" s="4" t="n"/>
      <c r="CD270" s="4" t="n"/>
      <c r="CE270" s="4" t="n"/>
      <c r="CF270" s="4" t="n"/>
      <c r="CG270" s="4" t="n"/>
      <c r="CH270" s="4" t="n"/>
      <c r="CI270" s="4" t="n"/>
      <c r="CJ270" s="4" t="n"/>
      <c r="CK270" s="4" t="n"/>
      <c r="CL270" s="4" t="n"/>
      <c r="CM270" s="4" t="n"/>
      <c r="CN270" s="4" t="n"/>
      <c r="CO270" s="4" t="n"/>
      <c r="CP270" s="4" t="n"/>
      <c r="CQ270" s="4" t="n"/>
      <c r="CR270" s="4" t="n"/>
      <c r="CS270" s="4" t="n"/>
      <c r="CT270" s="4" t="n"/>
      <c r="CU270" s="4" t="n"/>
      <c r="CV270" s="4" t="n"/>
      <c r="CW270" s="4" t="n"/>
      <c r="CX270" s="4" t="n"/>
      <c r="CY270" s="4" t="n"/>
      <c r="CZ270" s="4" t="n"/>
      <c r="DA270" s="4" t="n"/>
      <c r="DB270" s="4" t="n"/>
      <c r="DC270" s="4" t="n"/>
      <c r="DD270" s="4" t="n"/>
      <c r="DE270" s="4" t="n"/>
      <c r="DF270" s="4" t="n"/>
      <c r="DG270" s="4" t="n"/>
      <c r="DH270" s="4" t="n"/>
      <c r="DI270" s="4" t="n"/>
      <c r="DJ270" s="4" t="n"/>
      <c r="DK270" s="4" t="n"/>
      <c r="DL270" s="4" t="n"/>
      <c r="DM270" s="4" t="n"/>
      <c r="DN270" s="4" t="n"/>
      <c r="DO270" s="4" t="n"/>
      <c r="DP270" s="4" t="n"/>
      <c r="DQ270" s="4" t="n"/>
      <c r="DR270" s="4" t="n"/>
      <c r="DS270" s="4" t="n"/>
      <c r="DT270" s="4" t="n"/>
      <c r="DU270" s="4" t="n"/>
      <c r="DV270" s="4" t="n"/>
      <c r="DW270" s="4" t="n"/>
      <c r="DX270" s="4" t="n"/>
      <c r="DY270" s="4" t="n"/>
      <c r="DZ270" s="4" t="n"/>
      <c r="EA270" s="4" t="n"/>
      <c r="EB270" s="4" t="n"/>
      <c r="EC270" s="4" t="n"/>
      <c r="ED270" s="4" t="n"/>
      <c r="EE270" s="4" t="n"/>
      <c r="EF270" s="4" t="n"/>
      <c r="EG270" s="4" t="n"/>
      <c r="EH270" s="4" t="n"/>
      <c r="EI270" s="4" t="n"/>
      <c r="EJ270" s="4" t="n"/>
      <c r="EK270" s="4" t="n"/>
      <c r="EL270" s="4" t="n"/>
      <c r="EM270" s="4" t="n"/>
      <c r="EN270" s="4" t="n"/>
    </row>
    <row r="271" hidden="1" customFormat="1" s="6">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c r="AE271" s="4" t="n"/>
      <c r="AF271" s="4" t="n"/>
      <c r="AG271" s="4" t="n"/>
      <c r="AH271" s="4" t="n"/>
      <c r="AI271" s="4" t="n"/>
      <c r="AJ271" s="4" t="n"/>
      <c r="AK271" s="4" t="n"/>
      <c r="AL271" s="4" t="n"/>
      <c r="AM271" s="4" t="n"/>
      <c r="AN271" s="4" t="n"/>
      <c r="AO271" s="4" t="n"/>
      <c r="AP271" s="4" t="n"/>
      <c r="AQ271" s="4" t="n"/>
      <c r="AR271" s="4" t="n"/>
      <c r="AS271" s="4" t="n"/>
      <c r="AT271" s="4" t="n"/>
      <c r="AU271" s="4" t="n"/>
      <c r="AV271" s="4" t="n"/>
      <c r="AW271" s="4" t="n"/>
      <c r="AX271" s="4" t="n"/>
      <c r="AY271" s="4" t="n"/>
      <c r="AZ271" s="4" t="n"/>
      <c r="BA271" s="4" t="n"/>
      <c r="BB271" s="4" t="n"/>
      <c r="BC271" s="4" t="n"/>
      <c r="BD271" s="4" t="n"/>
      <c r="BE271" s="4" t="n"/>
      <c r="BF271" s="4" t="n"/>
      <c r="BG271" s="4" t="n"/>
      <c r="BH271" s="4" t="n"/>
      <c r="BI271" s="4" t="n"/>
      <c r="BJ271" s="4" t="n"/>
      <c r="BK271" s="4" t="n"/>
      <c r="BL271" s="4" t="n"/>
      <c r="BM271" s="4" t="n"/>
      <c r="BN271" s="4" t="n"/>
      <c r="BO271" s="4" t="n"/>
      <c r="BP271" s="4" t="n"/>
      <c r="BQ271" s="4" t="n"/>
      <c r="BR271" s="4" t="n"/>
      <c r="BS271" s="4" t="n"/>
      <c r="BT271" s="4" t="n"/>
      <c r="BU271" s="4" t="n"/>
      <c r="BV271" s="4" t="n"/>
      <c r="BW271" s="4" t="n"/>
      <c r="BX271" s="4" t="n"/>
      <c r="BY271" s="4" t="n"/>
      <c r="BZ271" s="4" t="n"/>
      <c r="CA271" s="4" t="n"/>
      <c r="CB271" s="4" t="n"/>
      <c r="CC271" s="4" t="n"/>
      <c r="CD271" s="4" t="n"/>
      <c r="CE271" s="4" t="n"/>
      <c r="CF271" s="4" t="n"/>
      <c r="CG271" s="4" t="n"/>
      <c r="CH271" s="4" t="n"/>
      <c r="CI271" s="4" t="n"/>
      <c r="CJ271" s="4" t="n"/>
      <c r="CK271" s="4" t="n"/>
      <c r="CL271" s="4" t="n"/>
      <c r="CM271" s="4" t="n"/>
      <c r="CN271" s="4" t="n"/>
      <c r="CO271" s="4" t="n"/>
      <c r="CP271" s="4" t="n"/>
      <c r="CQ271" s="4" t="n"/>
      <c r="CR271" s="4" t="n"/>
      <c r="CS271" s="4" t="n"/>
      <c r="CT271" s="4" t="n"/>
      <c r="CU271" s="4" t="n"/>
      <c r="CV271" s="4" t="n"/>
      <c r="CW271" s="4" t="n"/>
      <c r="CX271" s="4" t="n"/>
      <c r="CY271" s="4" t="n"/>
      <c r="CZ271" s="4" t="n"/>
      <c r="DA271" s="4" t="n"/>
      <c r="DB271" s="4" t="n"/>
      <c r="DC271" s="4" t="n"/>
      <c r="DD271" s="4" t="n"/>
      <c r="DE271" s="4" t="n"/>
      <c r="DF271" s="4" t="n"/>
      <c r="DG271" s="4" t="n"/>
      <c r="DH271" s="4" t="n"/>
      <c r="DI271" s="4" t="n"/>
      <c r="DJ271" s="4" t="n"/>
      <c r="DK271" s="4" t="n"/>
      <c r="DL271" s="4" t="n"/>
      <c r="DM271" s="4" t="n"/>
      <c r="DN271" s="4" t="n"/>
      <c r="DO271" s="4" t="n"/>
      <c r="DP271" s="4" t="n"/>
      <c r="DQ271" s="4" t="n"/>
      <c r="DR271" s="4" t="n"/>
      <c r="DS271" s="4" t="n"/>
      <c r="DT271" s="4" t="n"/>
      <c r="DU271" s="4" t="n"/>
      <c r="DV271" s="4" t="n"/>
      <c r="DW271" s="4" t="n"/>
      <c r="DX271" s="4" t="n"/>
      <c r="DY271" s="4" t="n"/>
      <c r="DZ271" s="4" t="n"/>
      <c r="EA271" s="4" t="n"/>
      <c r="EB271" s="4" t="n"/>
      <c r="EC271" s="4" t="n"/>
      <c r="ED271" s="4" t="n"/>
      <c r="EE271" s="4" t="n"/>
      <c r="EF271" s="4" t="n"/>
      <c r="EG271" s="4" t="n"/>
      <c r="EH271" s="4" t="n"/>
      <c r="EI271" s="4" t="n"/>
      <c r="EJ271" s="4" t="n"/>
      <c r="EK271" s="4" t="n"/>
      <c r="EL271" s="4" t="n"/>
      <c r="EM271" s="4" t="n"/>
      <c r="EN271" s="4" t="n"/>
    </row>
    <row r="272" hidden="1" customFormat="1" s="6">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c r="AD272" s="4" t="n"/>
      <c r="AE272" s="4" t="n"/>
      <c r="AF272" s="4" t="n"/>
      <c r="AG272" s="4" t="n"/>
      <c r="AH272" s="4" t="n"/>
      <c r="AI272" s="4" t="n"/>
      <c r="AJ272" s="4" t="n"/>
      <c r="AK272" s="4" t="n"/>
      <c r="AL272" s="4" t="n"/>
      <c r="AM272" s="4" t="n"/>
      <c r="AN272" s="4" t="n"/>
      <c r="AO272" s="4" t="n"/>
      <c r="AP272" s="4" t="n"/>
      <c r="AQ272" s="4" t="n"/>
      <c r="AR272" s="4" t="n"/>
      <c r="AS272" s="4" t="n"/>
      <c r="AT272" s="4" t="n"/>
      <c r="AU272" s="4" t="n"/>
      <c r="AV272" s="4" t="n"/>
      <c r="AW272" s="4" t="n"/>
      <c r="AX272" s="4" t="n"/>
      <c r="AY272" s="4" t="n"/>
      <c r="AZ272" s="4" t="n"/>
      <c r="BA272" s="4" t="n"/>
      <c r="BB272" s="4" t="n"/>
      <c r="BC272" s="4" t="n"/>
      <c r="BD272" s="4" t="n"/>
      <c r="BE272" s="4" t="n"/>
      <c r="BF272" s="4" t="n"/>
      <c r="BG272" s="4" t="n"/>
      <c r="BH272" s="4" t="n"/>
      <c r="BI272" s="4" t="n"/>
      <c r="BJ272" s="4" t="n"/>
      <c r="BK272" s="4" t="n"/>
      <c r="BL272" s="4" t="n"/>
      <c r="BM272" s="4" t="n"/>
      <c r="BN272" s="4" t="n"/>
      <c r="BO272" s="4" t="n"/>
      <c r="BP272" s="4" t="n"/>
      <c r="BQ272" s="4" t="n"/>
      <c r="BR272" s="4" t="n"/>
      <c r="BS272" s="4" t="n"/>
      <c r="BT272" s="4" t="n"/>
      <c r="BU272" s="4" t="n"/>
      <c r="BV272" s="4" t="n"/>
      <c r="BW272" s="4" t="n"/>
      <c r="BX272" s="4" t="n"/>
      <c r="BY272" s="4" t="n"/>
      <c r="BZ272" s="4" t="n"/>
      <c r="CA272" s="4" t="n"/>
      <c r="CB272" s="4" t="n"/>
      <c r="CC272" s="4" t="n"/>
      <c r="CD272" s="4" t="n"/>
      <c r="CE272" s="4" t="n"/>
      <c r="CF272" s="4" t="n"/>
      <c r="CG272" s="4" t="n"/>
      <c r="CH272" s="4" t="n"/>
      <c r="CI272" s="4" t="n"/>
      <c r="CJ272" s="4" t="n"/>
      <c r="CK272" s="4" t="n"/>
      <c r="CL272" s="4" t="n"/>
      <c r="CM272" s="4" t="n"/>
      <c r="CN272" s="4" t="n"/>
      <c r="CO272" s="4" t="n"/>
      <c r="CP272" s="4" t="n"/>
      <c r="CQ272" s="4" t="n"/>
      <c r="CR272" s="4" t="n"/>
      <c r="CS272" s="4" t="n"/>
      <c r="CT272" s="4" t="n"/>
      <c r="CU272" s="4" t="n"/>
      <c r="CV272" s="4" t="n"/>
      <c r="CW272" s="4" t="n"/>
      <c r="CX272" s="4" t="n"/>
      <c r="CY272" s="4" t="n"/>
      <c r="CZ272" s="4" t="n"/>
      <c r="DA272" s="4" t="n"/>
      <c r="DB272" s="4" t="n"/>
      <c r="DC272" s="4" t="n"/>
      <c r="DD272" s="4" t="n"/>
      <c r="DE272" s="4" t="n"/>
      <c r="DF272" s="4" t="n"/>
      <c r="DG272" s="4" t="n"/>
      <c r="DH272" s="4" t="n"/>
      <c r="DI272" s="4" t="n"/>
      <c r="DJ272" s="4" t="n"/>
      <c r="DK272" s="4" t="n"/>
      <c r="DL272" s="4" t="n"/>
      <c r="DM272" s="4" t="n"/>
      <c r="DN272" s="4" t="n"/>
      <c r="DO272" s="4" t="n"/>
      <c r="DP272" s="4" t="n"/>
      <c r="DQ272" s="4" t="n"/>
      <c r="DR272" s="4" t="n"/>
      <c r="DS272" s="4" t="n"/>
      <c r="DT272" s="4" t="n"/>
      <c r="DU272" s="4" t="n"/>
      <c r="DV272" s="4" t="n"/>
      <c r="DW272" s="4" t="n"/>
      <c r="DX272" s="4" t="n"/>
      <c r="DY272" s="4" t="n"/>
      <c r="DZ272" s="4" t="n"/>
      <c r="EA272" s="4" t="n"/>
      <c r="EB272" s="4" t="n"/>
      <c r="EC272" s="4" t="n"/>
      <c r="ED272" s="4" t="n"/>
      <c r="EE272" s="4" t="n"/>
      <c r="EF272" s="4" t="n"/>
      <c r="EG272" s="4" t="n"/>
      <c r="EH272" s="4" t="n"/>
      <c r="EI272" s="4" t="n"/>
      <c r="EJ272" s="4" t="n"/>
      <c r="EK272" s="4" t="n"/>
      <c r="EL272" s="4" t="n"/>
      <c r="EM272" s="4" t="n"/>
      <c r="EN272" s="4" t="n"/>
    </row>
    <row r="273" hidden="1" customFormat="1" s="6">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c r="AE273" s="4" t="n"/>
      <c r="AF273" s="4" t="n"/>
      <c r="AG273" s="4" t="n"/>
      <c r="AH273" s="4" t="n"/>
      <c r="AI273" s="4" t="n"/>
      <c r="AJ273" s="4" t="n"/>
      <c r="AK273" s="4" t="n"/>
      <c r="AL273" s="4" t="n"/>
      <c r="AM273" s="4" t="n"/>
      <c r="AN273" s="4" t="n"/>
      <c r="AO273" s="4" t="n"/>
      <c r="AP273" s="4" t="n"/>
      <c r="AQ273" s="4" t="n"/>
      <c r="AR273" s="4" t="n"/>
      <c r="AS273" s="4" t="n"/>
      <c r="AT273" s="4" t="n"/>
      <c r="AU273" s="4" t="n"/>
      <c r="AV273" s="4" t="n"/>
      <c r="AW273" s="4" t="n"/>
      <c r="AX273" s="4" t="n"/>
      <c r="AY273" s="4" t="n"/>
      <c r="AZ273" s="4" t="n"/>
      <c r="BA273" s="4" t="n"/>
      <c r="BB273" s="4" t="n"/>
      <c r="BC273" s="4" t="n"/>
      <c r="BD273" s="4" t="n"/>
      <c r="BE273" s="4" t="n"/>
      <c r="BF273" s="4" t="n"/>
      <c r="BG273" s="4" t="n"/>
      <c r="BH273" s="4" t="n"/>
      <c r="BI273" s="4" t="n"/>
      <c r="BJ273" s="4" t="n"/>
      <c r="BK273" s="4" t="n"/>
      <c r="BL273" s="4" t="n"/>
      <c r="BM273" s="4" t="n"/>
      <c r="BN273" s="4" t="n"/>
      <c r="BO273" s="4" t="n"/>
      <c r="BP273" s="4" t="n"/>
      <c r="BQ273" s="4" t="n"/>
      <c r="BR273" s="4" t="n"/>
      <c r="BS273" s="4" t="n"/>
      <c r="BT273" s="4" t="n"/>
      <c r="BU273" s="4" t="n"/>
      <c r="BV273" s="4" t="n"/>
      <c r="BW273" s="4" t="n"/>
      <c r="BX273" s="4" t="n"/>
      <c r="BY273" s="4" t="n"/>
      <c r="BZ273" s="4" t="n"/>
      <c r="CA273" s="4" t="n"/>
      <c r="CB273" s="4" t="n"/>
      <c r="CC273" s="4" t="n"/>
      <c r="CD273" s="4" t="n"/>
      <c r="CE273" s="4" t="n"/>
      <c r="CF273" s="4" t="n"/>
      <c r="CG273" s="4" t="n"/>
      <c r="CH273" s="4" t="n"/>
      <c r="CI273" s="4" t="n"/>
      <c r="CJ273" s="4" t="n"/>
      <c r="CK273" s="4" t="n"/>
      <c r="CL273" s="4" t="n"/>
      <c r="CM273" s="4" t="n"/>
      <c r="CN273" s="4" t="n"/>
      <c r="CO273" s="4" t="n"/>
      <c r="CP273" s="4" t="n"/>
      <c r="CQ273" s="4" t="n"/>
      <c r="CR273" s="4" t="n"/>
      <c r="CS273" s="4" t="n"/>
      <c r="CT273" s="4" t="n"/>
      <c r="CU273" s="4" t="n"/>
      <c r="CV273" s="4" t="n"/>
      <c r="CW273" s="4" t="n"/>
      <c r="CX273" s="4" t="n"/>
      <c r="CY273" s="4" t="n"/>
      <c r="CZ273" s="4" t="n"/>
      <c r="DA273" s="4" t="n"/>
      <c r="DB273" s="4" t="n"/>
      <c r="DC273" s="4" t="n"/>
      <c r="DD273" s="4" t="n"/>
      <c r="DE273" s="4" t="n"/>
      <c r="DF273" s="4" t="n"/>
      <c r="DG273" s="4" t="n"/>
      <c r="DH273" s="4" t="n"/>
      <c r="DI273" s="4" t="n"/>
      <c r="DJ273" s="4" t="n"/>
      <c r="DK273" s="4" t="n"/>
      <c r="DL273" s="4" t="n"/>
      <c r="DM273" s="4" t="n"/>
      <c r="DN273" s="4" t="n"/>
      <c r="DO273" s="4" t="n"/>
      <c r="DP273" s="4" t="n"/>
      <c r="DQ273" s="4" t="n"/>
      <c r="DR273" s="4" t="n"/>
      <c r="DS273" s="4" t="n"/>
      <c r="DT273" s="4" t="n"/>
      <c r="DU273" s="4" t="n"/>
      <c r="DV273" s="4" t="n"/>
      <c r="DW273" s="4" t="n"/>
      <c r="DX273" s="4" t="n"/>
      <c r="DY273" s="4" t="n"/>
      <c r="DZ273" s="4" t="n"/>
      <c r="EA273" s="4" t="n"/>
      <c r="EB273" s="4" t="n"/>
      <c r="EC273" s="4" t="n"/>
      <c r="ED273" s="4" t="n"/>
      <c r="EE273" s="4" t="n"/>
      <c r="EF273" s="4" t="n"/>
      <c r="EG273" s="4" t="n"/>
      <c r="EH273" s="4" t="n"/>
      <c r="EI273" s="4" t="n"/>
      <c r="EJ273" s="4" t="n"/>
      <c r="EK273" s="4" t="n"/>
      <c r="EL273" s="4" t="n"/>
      <c r="EM273" s="4" t="n"/>
      <c r="EN273" s="4" t="n"/>
    </row>
    <row r="274" hidden="1" customFormat="1" s="6">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c r="AC274" s="4" t="n"/>
      <c r="AD274" s="4" t="n"/>
      <c r="AE274" s="4" t="n"/>
      <c r="AF274" s="4" t="n"/>
      <c r="AG274" s="4" t="n"/>
      <c r="AH274" s="4" t="n"/>
      <c r="AI274" s="4" t="n"/>
      <c r="AJ274" s="4" t="n"/>
      <c r="AK274" s="4" t="n"/>
      <c r="AL274" s="4" t="n"/>
      <c r="AM274" s="4" t="n"/>
      <c r="AN274" s="4" t="n"/>
      <c r="AO274" s="4" t="n"/>
      <c r="AP274" s="4" t="n"/>
      <c r="AQ274" s="4" t="n"/>
      <c r="AR274" s="4" t="n"/>
      <c r="AS274" s="4" t="n"/>
      <c r="AT274" s="4" t="n"/>
      <c r="AU274" s="4" t="n"/>
      <c r="AV274" s="4" t="n"/>
      <c r="AW274" s="4" t="n"/>
      <c r="AX274" s="4" t="n"/>
      <c r="AY274" s="4" t="n"/>
      <c r="AZ274" s="4" t="n"/>
      <c r="BA274" s="4" t="n"/>
      <c r="BB274" s="4" t="n"/>
      <c r="BC274" s="4" t="n"/>
      <c r="BD274" s="4" t="n"/>
      <c r="BE274" s="4" t="n"/>
      <c r="BF274" s="4" t="n"/>
      <c r="BG274" s="4" t="n"/>
      <c r="BH274" s="4" t="n"/>
      <c r="BI274" s="4" t="n"/>
      <c r="BJ274" s="4" t="n"/>
      <c r="BK274" s="4" t="n"/>
      <c r="BL274" s="4" t="n"/>
      <c r="BM274" s="4" t="n"/>
      <c r="BN274" s="4" t="n"/>
      <c r="BO274" s="4" t="n"/>
      <c r="BP274" s="4" t="n"/>
      <c r="BQ274" s="4" t="n"/>
      <c r="BR274" s="4" t="n"/>
      <c r="BS274" s="4" t="n"/>
      <c r="BT274" s="4" t="n"/>
      <c r="BU274" s="4" t="n"/>
      <c r="BV274" s="4" t="n"/>
      <c r="BW274" s="4" t="n"/>
      <c r="BX274" s="4" t="n"/>
      <c r="BY274" s="4" t="n"/>
      <c r="BZ274" s="4" t="n"/>
      <c r="CA274" s="4" t="n"/>
      <c r="CB274" s="4" t="n"/>
      <c r="CC274" s="4" t="n"/>
      <c r="CD274" s="4" t="n"/>
      <c r="CE274" s="4" t="n"/>
      <c r="CF274" s="4" t="n"/>
      <c r="CG274" s="4" t="n"/>
      <c r="CH274" s="4" t="n"/>
      <c r="CI274" s="4" t="n"/>
      <c r="CJ274" s="4" t="n"/>
      <c r="CK274" s="4" t="n"/>
      <c r="CL274" s="4" t="n"/>
      <c r="CM274" s="4" t="n"/>
      <c r="CN274" s="4" t="n"/>
      <c r="CO274" s="4" t="n"/>
      <c r="CP274" s="4" t="n"/>
      <c r="CQ274" s="4" t="n"/>
      <c r="CR274" s="4" t="n"/>
      <c r="CS274" s="4" t="n"/>
      <c r="CT274" s="4" t="n"/>
      <c r="CU274" s="4" t="n"/>
      <c r="CV274" s="4" t="n"/>
      <c r="CW274" s="4" t="n"/>
      <c r="CX274" s="4" t="n"/>
      <c r="CY274" s="4" t="n"/>
      <c r="CZ274" s="4" t="n"/>
      <c r="DA274" s="4" t="n"/>
      <c r="DB274" s="4" t="n"/>
      <c r="DC274" s="4" t="n"/>
      <c r="DD274" s="4" t="n"/>
      <c r="DE274" s="4" t="n"/>
      <c r="DF274" s="4" t="n"/>
      <c r="DG274" s="4" t="n"/>
      <c r="DH274" s="4" t="n"/>
      <c r="DI274" s="4" t="n"/>
      <c r="DJ274" s="4" t="n"/>
      <c r="DK274" s="4" t="n"/>
      <c r="DL274" s="4" t="n"/>
      <c r="DM274" s="4" t="n"/>
      <c r="DN274" s="4" t="n"/>
      <c r="DO274" s="4" t="n"/>
      <c r="DP274" s="4" t="n"/>
      <c r="DQ274" s="4" t="n"/>
      <c r="DR274" s="4" t="n"/>
      <c r="DS274" s="4" t="n"/>
      <c r="DT274" s="4" t="n"/>
      <c r="DU274" s="4" t="n"/>
      <c r="DV274" s="4" t="n"/>
      <c r="DW274" s="4" t="n"/>
      <c r="DX274" s="4" t="n"/>
      <c r="DY274" s="4" t="n"/>
      <c r="DZ274" s="4" t="n"/>
      <c r="EA274" s="4" t="n"/>
      <c r="EB274" s="4" t="n"/>
      <c r="EC274" s="4" t="n"/>
      <c r="ED274" s="4" t="n"/>
      <c r="EE274" s="4" t="n"/>
      <c r="EF274" s="4" t="n"/>
      <c r="EG274" s="4" t="n"/>
      <c r="EH274" s="4" t="n"/>
      <c r="EI274" s="4" t="n"/>
      <c r="EJ274" s="4" t="n"/>
      <c r="EK274" s="4" t="n"/>
      <c r="EL274" s="4" t="n"/>
      <c r="EM274" s="4" t="n"/>
      <c r="EN274" s="4" t="n"/>
    </row>
    <row r="275" hidden="1" customFormat="1" s="6">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c r="AE275" s="4" t="n"/>
      <c r="AF275" s="4" t="n"/>
      <c r="AG275" s="4" t="n"/>
      <c r="AH275" s="4" t="n"/>
      <c r="AI275" s="4" t="n"/>
      <c r="AJ275" s="4" t="n"/>
      <c r="AK275" s="4" t="n"/>
      <c r="AL275" s="4" t="n"/>
      <c r="AM275" s="4" t="n"/>
      <c r="AN275" s="4" t="n"/>
      <c r="AO275" s="4" t="n"/>
      <c r="AP275" s="4" t="n"/>
      <c r="AQ275" s="4" t="n"/>
      <c r="AR275" s="4" t="n"/>
      <c r="AS275" s="4" t="n"/>
      <c r="AT275" s="4" t="n"/>
      <c r="AU275" s="4" t="n"/>
      <c r="AV275" s="4" t="n"/>
      <c r="AW275" s="4" t="n"/>
      <c r="AX275" s="4" t="n"/>
      <c r="AY275" s="4" t="n"/>
      <c r="AZ275" s="4" t="n"/>
      <c r="BA275" s="4" t="n"/>
      <c r="BB275" s="4" t="n"/>
      <c r="BC275" s="4" t="n"/>
      <c r="BD275" s="4" t="n"/>
      <c r="BE275" s="4" t="n"/>
      <c r="BF275" s="4" t="n"/>
      <c r="BG275" s="4" t="n"/>
      <c r="BH275" s="4" t="n"/>
      <c r="BI275" s="4" t="n"/>
      <c r="BJ275" s="4" t="n"/>
      <c r="BK275" s="4" t="n"/>
      <c r="BL275" s="4" t="n"/>
      <c r="BM275" s="4" t="n"/>
      <c r="BN275" s="4" t="n"/>
      <c r="BO275" s="4" t="n"/>
      <c r="BP275" s="4" t="n"/>
      <c r="BQ275" s="4" t="n"/>
      <c r="BR275" s="4" t="n"/>
      <c r="BS275" s="4" t="n"/>
      <c r="BT275" s="4" t="n"/>
      <c r="BU275" s="4" t="n"/>
      <c r="BV275" s="4" t="n"/>
      <c r="BW275" s="4" t="n"/>
      <c r="BX275" s="4" t="n"/>
      <c r="BY275" s="4" t="n"/>
      <c r="BZ275" s="4" t="n"/>
      <c r="CA275" s="4" t="n"/>
      <c r="CB275" s="4" t="n"/>
      <c r="CC275" s="4" t="n"/>
      <c r="CD275" s="4" t="n"/>
      <c r="CE275" s="4" t="n"/>
      <c r="CF275" s="4" t="n"/>
      <c r="CG275" s="4" t="n"/>
      <c r="CH275" s="4" t="n"/>
      <c r="CI275" s="4" t="n"/>
      <c r="CJ275" s="4" t="n"/>
      <c r="CK275" s="4" t="n"/>
      <c r="CL275" s="4" t="n"/>
      <c r="CM275" s="4" t="n"/>
      <c r="CN275" s="4" t="n"/>
      <c r="CO275" s="4" t="n"/>
      <c r="CP275" s="4" t="n"/>
      <c r="CQ275" s="4" t="n"/>
      <c r="CR275" s="4" t="n"/>
      <c r="CS275" s="4" t="n"/>
      <c r="CT275" s="4" t="n"/>
      <c r="CU275" s="4" t="n"/>
      <c r="CV275" s="4" t="n"/>
      <c r="CW275" s="4" t="n"/>
      <c r="CX275" s="4" t="n"/>
      <c r="CY275" s="4" t="n"/>
      <c r="CZ275" s="4" t="n"/>
      <c r="DA275" s="4" t="n"/>
      <c r="DB275" s="4" t="n"/>
      <c r="DC275" s="4" t="n"/>
      <c r="DD275" s="4" t="n"/>
      <c r="DE275" s="4" t="n"/>
      <c r="DF275" s="4" t="n"/>
      <c r="DG275" s="4" t="n"/>
      <c r="DH275" s="4" t="n"/>
      <c r="DI275" s="4" t="n"/>
      <c r="DJ275" s="4" t="n"/>
      <c r="DK275" s="4" t="n"/>
      <c r="DL275" s="4" t="n"/>
      <c r="DM275" s="4" t="n"/>
      <c r="DN275" s="4" t="n"/>
      <c r="DO275" s="4" t="n"/>
      <c r="DP275" s="4" t="n"/>
      <c r="DQ275" s="4" t="n"/>
      <c r="DR275" s="4" t="n"/>
      <c r="DS275" s="4" t="n"/>
      <c r="DT275" s="4" t="n"/>
      <c r="DU275" s="4" t="n"/>
      <c r="DV275" s="4" t="n"/>
      <c r="DW275" s="4" t="n"/>
      <c r="DX275" s="4" t="n"/>
      <c r="DY275" s="4" t="n"/>
      <c r="DZ275" s="4" t="n"/>
      <c r="EA275" s="4" t="n"/>
      <c r="EB275" s="4" t="n"/>
      <c r="EC275" s="4" t="n"/>
      <c r="ED275" s="4" t="n"/>
      <c r="EE275" s="4" t="n"/>
      <c r="EF275" s="4" t="n"/>
      <c r="EG275" s="4" t="n"/>
      <c r="EH275" s="4" t="n"/>
      <c r="EI275" s="4" t="n"/>
      <c r="EJ275" s="4" t="n"/>
      <c r="EK275" s="4" t="n"/>
      <c r="EL275" s="4" t="n"/>
      <c r="EM275" s="4" t="n"/>
      <c r="EN275" s="4" t="n"/>
    </row>
    <row r="276" hidden="1" customFormat="1" s="6">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c r="AE276" s="4" t="n"/>
      <c r="AF276" s="4" t="n"/>
      <c r="AG276" s="4" t="n"/>
      <c r="AH276" s="4" t="n"/>
      <c r="AI276" s="4" t="n"/>
      <c r="AJ276" s="4" t="n"/>
      <c r="AK276" s="4" t="n"/>
      <c r="AL276" s="4" t="n"/>
      <c r="AM276" s="4" t="n"/>
      <c r="AN276" s="4" t="n"/>
      <c r="AO276" s="4" t="n"/>
      <c r="AP276" s="4" t="n"/>
      <c r="AQ276" s="4" t="n"/>
      <c r="AR276" s="4" t="n"/>
      <c r="AS276" s="4" t="n"/>
      <c r="AT276" s="4" t="n"/>
      <c r="AU276" s="4" t="n"/>
      <c r="AV276" s="4" t="n"/>
      <c r="AW276" s="4" t="n"/>
      <c r="AX276" s="4" t="n"/>
      <c r="AY276" s="4" t="n"/>
      <c r="AZ276" s="4" t="n"/>
      <c r="BA276" s="4" t="n"/>
      <c r="BB276" s="4" t="n"/>
      <c r="BC276" s="4" t="n"/>
      <c r="BD276" s="4" t="n"/>
      <c r="BE276" s="4" t="n"/>
      <c r="BF276" s="4" t="n"/>
      <c r="BG276" s="4" t="n"/>
      <c r="BH276" s="4" t="n"/>
      <c r="BI276" s="4" t="n"/>
      <c r="BJ276" s="4" t="n"/>
      <c r="BK276" s="4" t="n"/>
      <c r="BL276" s="4" t="n"/>
      <c r="BM276" s="4" t="n"/>
      <c r="BN276" s="4" t="n"/>
      <c r="BO276" s="4" t="n"/>
      <c r="BP276" s="4" t="n"/>
      <c r="BQ276" s="4" t="n"/>
      <c r="BR276" s="4" t="n"/>
      <c r="BS276" s="4" t="n"/>
      <c r="BT276" s="4" t="n"/>
      <c r="BU276" s="4" t="n"/>
      <c r="BV276" s="4" t="n"/>
      <c r="BW276" s="4" t="n"/>
      <c r="BX276" s="4" t="n"/>
      <c r="BY276" s="4" t="n"/>
      <c r="BZ276" s="4" t="n"/>
      <c r="CA276" s="4" t="n"/>
      <c r="CB276" s="4" t="n"/>
      <c r="CC276" s="4" t="n"/>
      <c r="CD276" s="4" t="n"/>
      <c r="CE276" s="4" t="n"/>
      <c r="CF276" s="4" t="n"/>
      <c r="CG276" s="4" t="n"/>
      <c r="CH276" s="4" t="n"/>
      <c r="CI276" s="4" t="n"/>
      <c r="CJ276" s="4" t="n"/>
      <c r="CK276" s="4" t="n"/>
      <c r="CL276" s="4" t="n"/>
      <c r="CM276" s="4" t="n"/>
      <c r="CN276" s="4" t="n"/>
      <c r="CO276" s="4" t="n"/>
      <c r="CP276" s="4" t="n"/>
      <c r="CQ276" s="4" t="n"/>
      <c r="CR276" s="4" t="n"/>
      <c r="CS276" s="4" t="n"/>
      <c r="CT276" s="4" t="n"/>
      <c r="CU276" s="4" t="n"/>
      <c r="CV276" s="4" t="n"/>
      <c r="CW276" s="4" t="n"/>
      <c r="CX276" s="4" t="n"/>
      <c r="CY276" s="4" t="n"/>
      <c r="CZ276" s="4" t="n"/>
      <c r="DA276" s="4" t="n"/>
      <c r="DB276" s="4" t="n"/>
      <c r="DC276" s="4" t="n"/>
      <c r="DD276" s="4" t="n"/>
      <c r="DE276" s="4" t="n"/>
      <c r="DF276" s="4" t="n"/>
      <c r="DG276" s="4" t="n"/>
      <c r="DH276" s="4" t="n"/>
      <c r="DI276" s="4" t="n"/>
      <c r="DJ276" s="4" t="n"/>
      <c r="DK276" s="4" t="n"/>
      <c r="DL276" s="4" t="n"/>
      <c r="DM276" s="4" t="n"/>
      <c r="DN276" s="4" t="n"/>
      <c r="DO276" s="4" t="n"/>
      <c r="DP276" s="4" t="n"/>
      <c r="DQ276" s="4" t="n"/>
      <c r="DR276" s="4" t="n"/>
      <c r="DS276" s="4" t="n"/>
      <c r="DT276" s="4" t="n"/>
      <c r="DU276" s="4" t="n"/>
      <c r="DV276" s="4" t="n"/>
      <c r="DW276" s="4" t="n"/>
      <c r="DX276" s="4" t="n"/>
      <c r="DY276" s="4" t="n"/>
      <c r="DZ276" s="4" t="n"/>
      <c r="EA276" s="4" t="n"/>
      <c r="EB276" s="4" t="n"/>
      <c r="EC276" s="4" t="n"/>
      <c r="ED276" s="4" t="n"/>
      <c r="EE276" s="4" t="n"/>
      <c r="EF276" s="4" t="n"/>
      <c r="EG276" s="4" t="n"/>
      <c r="EH276" s="4" t="n"/>
      <c r="EI276" s="4" t="n"/>
      <c r="EJ276" s="4" t="n"/>
      <c r="EK276" s="4" t="n"/>
      <c r="EL276" s="4" t="n"/>
      <c r="EM276" s="4" t="n"/>
      <c r="EN276" s="4" t="n"/>
    </row>
    <row r="277" hidden="1" customFormat="1" s="6">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c r="AE277" s="4" t="n"/>
      <c r="AF277" s="4" t="n"/>
      <c r="AG277" s="4" t="n"/>
      <c r="AH277" s="4" t="n"/>
      <c r="AI277" s="4" t="n"/>
      <c r="AJ277" s="4" t="n"/>
      <c r="AK277" s="4" t="n"/>
      <c r="AL277" s="4" t="n"/>
      <c r="AM277" s="4" t="n"/>
      <c r="AN277" s="4" t="n"/>
      <c r="AO277" s="4" t="n"/>
      <c r="AP277" s="4" t="n"/>
      <c r="AQ277" s="4" t="n"/>
      <c r="AR277" s="4" t="n"/>
      <c r="AS277" s="4" t="n"/>
      <c r="AT277" s="4" t="n"/>
      <c r="AU277" s="4" t="n"/>
      <c r="AV277" s="4" t="n"/>
      <c r="AW277" s="4" t="n"/>
      <c r="AX277" s="4" t="n"/>
      <c r="AY277" s="4" t="n"/>
      <c r="AZ277" s="4" t="n"/>
      <c r="BA277" s="4" t="n"/>
      <c r="BB277" s="4" t="n"/>
      <c r="BC277" s="4" t="n"/>
      <c r="BD277" s="4" t="n"/>
      <c r="BE277" s="4" t="n"/>
      <c r="BF277" s="4" t="n"/>
      <c r="BG277" s="4" t="n"/>
      <c r="BH277" s="4" t="n"/>
      <c r="BI277" s="4" t="n"/>
      <c r="BJ277" s="4" t="n"/>
      <c r="BK277" s="4" t="n"/>
      <c r="BL277" s="4" t="n"/>
      <c r="BM277" s="4" t="n"/>
      <c r="BN277" s="4" t="n"/>
      <c r="BO277" s="4" t="n"/>
      <c r="BP277" s="4" t="n"/>
      <c r="BQ277" s="4" t="n"/>
      <c r="BR277" s="4" t="n"/>
      <c r="BS277" s="4" t="n"/>
      <c r="BT277" s="4" t="n"/>
      <c r="BU277" s="4" t="n"/>
      <c r="BV277" s="4" t="n"/>
      <c r="BW277" s="4" t="n"/>
      <c r="BX277" s="4" t="n"/>
      <c r="BY277" s="4" t="n"/>
      <c r="BZ277" s="4" t="n"/>
      <c r="CA277" s="4" t="n"/>
      <c r="CB277" s="4" t="n"/>
      <c r="CC277" s="4" t="n"/>
      <c r="CD277" s="4" t="n"/>
      <c r="CE277" s="4" t="n"/>
      <c r="CF277" s="4" t="n"/>
      <c r="CG277" s="4" t="n"/>
      <c r="CH277" s="4" t="n"/>
      <c r="CI277" s="4" t="n"/>
      <c r="CJ277" s="4" t="n"/>
      <c r="CK277" s="4" t="n"/>
      <c r="CL277" s="4" t="n"/>
      <c r="CM277" s="4" t="n"/>
      <c r="CN277" s="4" t="n"/>
      <c r="CO277" s="4" t="n"/>
      <c r="CP277" s="4" t="n"/>
      <c r="CQ277" s="4" t="n"/>
      <c r="CR277" s="4" t="n"/>
      <c r="CS277" s="4" t="n"/>
      <c r="CT277" s="4" t="n"/>
      <c r="CU277" s="4" t="n"/>
      <c r="CV277" s="4" t="n"/>
      <c r="CW277" s="4" t="n"/>
      <c r="CX277" s="4" t="n"/>
      <c r="CY277" s="4" t="n"/>
      <c r="CZ277" s="4" t="n"/>
      <c r="DA277" s="4" t="n"/>
      <c r="DB277" s="4" t="n"/>
      <c r="DC277" s="4" t="n"/>
      <c r="DD277" s="4" t="n"/>
      <c r="DE277" s="4" t="n"/>
      <c r="DF277" s="4" t="n"/>
      <c r="DG277" s="4" t="n"/>
      <c r="DH277" s="4" t="n"/>
      <c r="DI277" s="4" t="n"/>
      <c r="DJ277" s="4" t="n"/>
      <c r="DK277" s="4" t="n"/>
      <c r="DL277" s="4" t="n"/>
      <c r="DM277" s="4" t="n"/>
      <c r="DN277" s="4" t="n"/>
      <c r="DO277" s="4" t="n"/>
      <c r="DP277" s="4" t="n"/>
      <c r="DQ277" s="4" t="n"/>
      <c r="DR277" s="4" t="n"/>
      <c r="DS277" s="4" t="n"/>
      <c r="DT277" s="4" t="n"/>
      <c r="DU277" s="4" t="n"/>
      <c r="DV277" s="4" t="n"/>
      <c r="DW277" s="4" t="n"/>
      <c r="DX277" s="4" t="n"/>
      <c r="DY277" s="4" t="n"/>
      <c r="DZ277" s="4" t="n"/>
      <c r="EA277" s="4" t="n"/>
      <c r="EB277" s="4" t="n"/>
      <c r="EC277" s="4" t="n"/>
      <c r="ED277" s="4" t="n"/>
      <c r="EE277" s="4" t="n"/>
      <c r="EF277" s="4" t="n"/>
      <c r="EG277" s="4" t="n"/>
      <c r="EH277" s="4" t="n"/>
      <c r="EI277" s="4" t="n"/>
      <c r="EJ277" s="4" t="n"/>
      <c r="EK277" s="4" t="n"/>
      <c r="EL277" s="4" t="n"/>
      <c r="EM277" s="4" t="n"/>
      <c r="EN277" s="4" t="n"/>
    </row>
    <row r="278" hidden="1" customFormat="1" s="6">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c r="AD278" s="4" t="n"/>
      <c r="AE278" s="4" t="n"/>
      <c r="AF278" s="4" t="n"/>
      <c r="AG278" s="4" t="n"/>
      <c r="AH278" s="4" t="n"/>
      <c r="AI278" s="4" t="n"/>
      <c r="AJ278" s="4" t="n"/>
      <c r="AK278" s="4" t="n"/>
      <c r="AL278" s="4" t="n"/>
      <c r="AM278" s="4" t="n"/>
      <c r="AN278" s="4" t="n"/>
      <c r="AO278" s="4" t="n"/>
      <c r="AP278" s="4" t="n"/>
      <c r="AQ278" s="4" t="n"/>
      <c r="AR278" s="4" t="n"/>
      <c r="AS278" s="4" t="n"/>
      <c r="AT278" s="4" t="n"/>
      <c r="AU278" s="4" t="n"/>
      <c r="AV278" s="4" t="n"/>
      <c r="AW278" s="4" t="n"/>
      <c r="AX278" s="4" t="n"/>
      <c r="AY278" s="4" t="n"/>
      <c r="AZ278" s="4" t="n"/>
      <c r="BA278" s="4" t="n"/>
      <c r="BB278" s="4" t="n"/>
      <c r="BC278" s="4" t="n"/>
      <c r="BD278" s="4" t="n"/>
      <c r="BE278" s="4" t="n"/>
      <c r="BF278" s="4" t="n"/>
      <c r="BG278" s="4" t="n"/>
      <c r="BH278" s="4" t="n"/>
      <c r="BI278" s="4" t="n"/>
      <c r="BJ278" s="4" t="n"/>
      <c r="BK278" s="4" t="n"/>
      <c r="BL278" s="4" t="n"/>
      <c r="BM278" s="4" t="n"/>
      <c r="BN278" s="4" t="n"/>
      <c r="BO278" s="4" t="n"/>
      <c r="BP278" s="4" t="n"/>
      <c r="BQ278" s="4" t="n"/>
      <c r="BR278" s="4" t="n"/>
      <c r="BS278" s="4" t="n"/>
      <c r="BT278" s="4" t="n"/>
      <c r="BU278" s="4" t="n"/>
      <c r="BV278" s="4" t="n"/>
      <c r="BW278" s="4" t="n"/>
      <c r="BX278" s="4" t="n"/>
      <c r="BY278" s="4" t="n"/>
      <c r="BZ278" s="4" t="n"/>
      <c r="CA278" s="4" t="n"/>
      <c r="CB278" s="4" t="n"/>
      <c r="CC278" s="4" t="n"/>
      <c r="CD278" s="4" t="n"/>
      <c r="CE278" s="4" t="n"/>
      <c r="CF278" s="4" t="n"/>
      <c r="CG278" s="4" t="n"/>
      <c r="CH278" s="4" t="n"/>
      <c r="CI278" s="4" t="n"/>
      <c r="CJ278" s="4" t="n"/>
      <c r="CK278" s="4" t="n"/>
      <c r="CL278" s="4" t="n"/>
      <c r="CM278" s="4" t="n"/>
      <c r="CN278" s="4" t="n"/>
      <c r="CO278" s="4" t="n"/>
      <c r="CP278" s="4" t="n"/>
      <c r="CQ278" s="4" t="n"/>
      <c r="CR278" s="4" t="n"/>
      <c r="CS278" s="4" t="n"/>
      <c r="CT278" s="4" t="n"/>
      <c r="CU278" s="4" t="n"/>
      <c r="CV278" s="4" t="n"/>
      <c r="CW278" s="4" t="n"/>
      <c r="CX278" s="4" t="n"/>
      <c r="CY278" s="4" t="n"/>
      <c r="CZ278" s="4" t="n"/>
      <c r="DA278" s="4" t="n"/>
      <c r="DB278" s="4" t="n"/>
      <c r="DC278" s="4" t="n"/>
      <c r="DD278" s="4" t="n"/>
      <c r="DE278" s="4" t="n"/>
      <c r="DF278" s="4" t="n"/>
      <c r="DG278" s="4" t="n"/>
      <c r="DH278" s="4" t="n"/>
      <c r="DI278" s="4" t="n"/>
      <c r="DJ278" s="4" t="n"/>
      <c r="DK278" s="4" t="n"/>
      <c r="DL278" s="4" t="n"/>
      <c r="DM278" s="4" t="n"/>
      <c r="DN278" s="4" t="n"/>
      <c r="DO278" s="4" t="n"/>
      <c r="DP278" s="4" t="n"/>
      <c r="DQ278" s="4" t="n"/>
      <c r="DR278" s="4" t="n"/>
      <c r="DS278" s="4" t="n"/>
      <c r="DT278" s="4" t="n"/>
      <c r="DU278" s="4" t="n"/>
      <c r="DV278" s="4" t="n"/>
      <c r="DW278" s="4" t="n"/>
      <c r="DX278" s="4" t="n"/>
      <c r="DY278" s="4" t="n"/>
      <c r="DZ278" s="4" t="n"/>
      <c r="EA278" s="4" t="n"/>
      <c r="EB278" s="4" t="n"/>
      <c r="EC278" s="4" t="n"/>
      <c r="ED278" s="4" t="n"/>
      <c r="EE278" s="4" t="n"/>
      <c r="EF278" s="4" t="n"/>
      <c r="EG278" s="4" t="n"/>
      <c r="EH278" s="4" t="n"/>
      <c r="EI278" s="4" t="n"/>
      <c r="EJ278" s="4" t="n"/>
      <c r="EK278" s="4" t="n"/>
      <c r="EL278" s="4" t="n"/>
      <c r="EM278" s="4" t="n"/>
      <c r="EN278" s="4" t="n"/>
    </row>
    <row r="279" hidden="1" customFormat="1" s="6">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c r="AC279" s="4" t="n"/>
      <c r="AD279" s="4" t="n"/>
      <c r="AE279" s="4" t="n"/>
      <c r="AF279" s="4" t="n"/>
      <c r="AG279" s="4" t="n"/>
      <c r="AH279" s="4" t="n"/>
      <c r="AI279" s="4" t="n"/>
      <c r="AJ279" s="4" t="n"/>
      <c r="AK279" s="4" t="n"/>
      <c r="AL279" s="4" t="n"/>
      <c r="AM279" s="4" t="n"/>
      <c r="AN279" s="4" t="n"/>
      <c r="AO279" s="4" t="n"/>
      <c r="AP279" s="4" t="n"/>
      <c r="AQ279" s="4" t="n"/>
      <c r="AR279" s="4" t="n"/>
      <c r="AS279" s="4" t="n"/>
      <c r="AT279" s="4" t="n"/>
      <c r="AU279" s="4" t="n"/>
      <c r="AV279" s="4" t="n"/>
      <c r="AW279" s="4" t="n"/>
      <c r="AX279" s="4" t="n"/>
      <c r="AY279" s="4" t="n"/>
      <c r="AZ279" s="4" t="n"/>
      <c r="BA279" s="4" t="n"/>
      <c r="BB279" s="4" t="n"/>
      <c r="BC279" s="4" t="n"/>
      <c r="BD279" s="4" t="n"/>
      <c r="BE279" s="4" t="n"/>
      <c r="BF279" s="4" t="n"/>
      <c r="BG279" s="4" t="n"/>
      <c r="BH279" s="4" t="n"/>
      <c r="BI279" s="4" t="n"/>
      <c r="BJ279" s="4" t="n"/>
      <c r="BK279" s="4" t="n"/>
      <c r="BL279" s="4" t="n"/>
      <c r="BM279" s="4" t="n"/>
      <c r="BN279" s="4" t="n"/>
      <c r="BO279" s="4" t="n"/>
      <c r="BP279" s="4" t="n"/>
      <c r="BQ279" s="4" t="n"/>
      <c r="BR279" s="4" t="n"/>
      <c r="BS279" s="4" t="n"/>
      <c r="BT279" s="4" t="n"/>
      <c r="BU279" s="4" t="n"/>
      <c r="BV279" s="4" t="n"/>
      <c r="BW279" s="4" t="n"/>
      <c r="BX279" s="4" t="n"/>
      <c r="BY279" s="4" t="n"/>
      <c r="BZ279" s="4" t="n"/>
      <c r="CA279" s="4" t="n"/>
      <c r="CB279" s="4" t="n"/>
      <c r="CC279" s="4" t="n"/>
      <c r="CD279" s="4" t="n"/>
      <c r="CE279" s="4" t="n"/>
      <c r="CF279" s="4" t="n"/>
      <c r="CG279" s="4" t="n"/>
      <c r="CH279" s="4" t="n"/>
      <c r="CI279" s="4" t="n"/>
      <c r="CJ279" s="4" t="n"/>
      <c r="CK279" s="4" t="n"/>
      <c r="CL279" s="4" t="n"/>
      <c r="CM279" s="4" t="n"/>
      <c r="CN279" s="4" t="n"/>
      <c r="CO279" s="4" t="n"/>
      <c r="CP279" s="4" t="n"/>
      <c r="CQ279" s="4" t="n"/>
      <c r="CR279" s="4" t="n"/>
      <c r="CS279" s="4" t="n"/>
      <c r="CT279" s="4" t="n"/>
      <c r="CU279" s="4" t="n"/>
      <c r="CV279" s="4" t="n"/>
      <c r="CW279" s="4" t="n"/>
      <c r="CX279" s="4" t="n"/>
      <c r="CY279" s="4" t="n"/>
      <c r="CZ279" s="4" t="n"/>
      <c r="DA279" s="4" t="n"/>
      <c r="DB279" s="4" t="n"/>
      <c r="DC279" s="4" t="n"/>
      <c r="DD279" s="4" t="n"/>
      <c r="DE279" s="4" t="n"/>
      <c r="DF279" s="4" t="n"/>
      <c r="DG279" s="4" t="n"/>
      <c r="DH279" s="4" t="n"/>
      <c r="DI279" s="4" t="n"/>
      <c r="DJ279" s="4" t="n"/>
      <c r="DK279" s="4" t="n"/>
      <c r="DL279" s="4" t="n"/>
      <c r="DM279" s="4" t="n"/>
      <c r="DN279" s="4" t="n"/>
      <c r="DO279" s="4" t="n"/>
      <c r="DP279" s="4" t="n"/>
      <c r="DQ279" s="4" t="n"/>
      <c r="DR279" s="4" t="n"/>
      <c r="DS279" s="4" t="n"/>
      <c r="DT279" s="4" t="n"/>
      <c r="DU279" s="4" t="n"/>
      <c r="DV279" s="4" t="n"/>
      <c r="DW279" s="4" t="n"/>
      <c r="DX279" s="4" t="n"/>
      <c r="DY279" s="4" t="n"/>
      <c r="DZ279" s="4" t="n"/>
      <c r="EA279" s="4" t="n"/>
      <c r="EB279" s="4" t="n"/>
      <c r="EC279" s="4" t="n"/>
      <c r="ED279" s="4" t="n"/>
      <c r="EE279" s="4" t="n"/>
      <c r="EF279" s="4" t="n"/>
      <c r="EG279" s="4" t="n"/>
      <c r="EH279" s="4" t="n"/>
      <c r="EI279" s="4" t="n"/>
      <c r="EJ279" s="4" t="n"/>
      <c r="EK279" s="4" t="n"/>
      <c r="EL279" s="4" t="n"/>
      <c r="EM279" s="4" t="n"/>
      <c r="EN279" s="4" t="n"/>
    </row>
    <row r="280" hidden="1" customFormat="1" s="6">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c r="AE280" s="4" t="n"/>
      <c r="AF280" s="4" t="n"/>
      <c r="AG280" s="4" t="n"/>
      <c r="AH280" s="4" t="n"/>
      <c r="AI280" s="4" t="n"/>
      <c r="AJ280" s="4" t="n"/>
      <c r="AK280" s="4" t="n"/>
      <c r="AL280" s="4" t="n"/>
      <c r="AM280" s="4" t="n"/>
      <c r="AN280" s="4" t="n"/>
      <c r="AO280" s="4" t="n"/>
      <c r="AP280" s="4" t="n"/>
      <c r="AQ280" s="4" t="n"/>
      <c r="AR280" s="4" t="n"/>
      <c r="AS280" s="4" t="n"/>
      <c r="AT280" s="4" t="n"/>
      <c r="AU280" s="4" t="n"/>
      <c r="AV280" s="4" t="n"/>
      <c r="AW280" s="4" t="n"/>
      <c r="AX280" s="4" t="n"/>
      <c r="AY280" s="4" t="n"/>
      <c r="AZ280" s="4" t="n"/>
      <c r="BA280" s="4" t="n"/>
      <c r="BB280" s="4" t="n"/>
      <c r="BC280" s="4" t="n"/>
      <c r="BD280" s="4" t="n"/>
      <c r="BE280" s="4" t="n"/>
      <c r="BF280" s="4" t="n"/>
      <c r="BG280" s="4" t="n"/>
      <c r="BH280" s="4" t="n"/>
      <c r="BI280" s="4" t="n"/>
      <c r="BJ280" s="4" t="n"/>
      <c r="BK280" s="4" t="n"/>
      <c r="BL280" s="4" t="n"/>
      <c r="BM280" s="4" t="n"/>
      <c r="BN280" s="4" t="n"/>
      <c r="BO280" s="4" t="n"/>
      <c r="BP280" s="4" t="n"/>
      <c r="BQ280" s="4" t="n"/>
      <c r="BR280" s="4" t="n"/>
      <c r="BS280" s="4" t="n"/>
      <c r="BT280" s="4" t="n"/>
      <c r="BU280" s="4" t="n"/>
      <c r="BV280" s="4" t="n"/>
      <c r="BW280" s="4" t="n"/>
      <c r="BX280" s="4" t="n"/>
      <c r="BY280" s="4" t="n"/>
      <c r="BZ280" s="4" t="n"/>
      <c r="CA280" s="4" t="n"/>
      <c r="CB280" s="4" t="n"/>
      <c r="CC280" s="4" t="n"/>
      <c r="CD280" s="4" t="n"/>
      <c r="CE280" s="4" t="n"/>
      <c r="CF280" s="4" t="n"/>
      <c r="CG280" s="4" t="n"/>
      <c r="CH280" s="4" t="n"/>
      <c r="CI280" s="4" t="n"/>
      <c r="CJ280" s="4" t="n"/>
      <c r="CK280" s="4" t="n"/>
      <c r="CL280" s="4" t="n"/>
      <c r="CM280" s="4" t="n"/>
      <c r="CN280" s="4" t="n"/>
      <c r="CO280" s="4" t="n"/>
      <c r="CP280" s="4" t="n"/>
      <c r="CQ280" s="4" t="n"/>
      <c r="CR280" s="4" t="n"/>
      <c r="CS280" s="4" t="n"/>
      <c r="CT280" s="4" t="n"/>
      <c r="CU280" s="4" t="n"/>
      <c r="CV280" s="4" t="n"/>
      <c r="CW280" s="4" t="n"/>
      <c r="CX280" s="4" t="n"/>
      <c r="CY280" s="4" t="n"/>
      <c r="CZ280" s="4" t="n"/>
      <c r="DA280" s="4" t="n"/>
      <c r="DB280" s="4" t="n"/>
      <c r="DC280" s="4" t="n"/>
      <c r="DD280" s="4" t="n"/>
      <c r="DE280" s="4" t="n"/>
      <c r="DF280" s="4" t="n"/>
      <c r="DG280" s="4" t="n"/>
      <c r="DH280" s="4" t="n"/>
      <c r="DI280" s="4" t="n"/>
      <c r="DJ280" s="4" t="n"/>
      <c r="DK280" s="4" t="n"/>
      <c r="DL280" s="4" t="n"/>
      <c r="DM280" s="4" t="n"/>
      <c r="DN280" s="4" t="n"/>
      <c r="DO280" s="4" t="n"/>
      <c r="DP280" s="4" t="n"/>
      <c r="DQ280" s="4" t="n"/>
      <c r="DR280" s="4" t="n"/>
      <c r="DS280" s="4" t="n"/>
      <c r="DT280" s="4" t="n"/>
      <c r="DU280" s="4" t="n"/>
      <c r="DV280" s="4" t="n"/>
      <c r="DW280" s="4" t="n"/>
      <c r="DX280" s="4" t="n"/>
      <c r="DY280" s="4" t="n"/>
      <c r="DZ280" s="4" t="n"/>
      <c r="EA280" s="4" t="n"/>
      <c r="EB280" s="4" t="n"/>
      <c r="EC280" s="4" t="n"/>
      <c r="ED280" s="4" t="n"/>
      <c r="EE280" s="4" t="n"/>
      <c r="EF280" s="4" t="n"/>
      <c r="EG280" s="4" t="n"/>
      <c r="EH280" s="4" t="n"/>
      <c r="EI280" s="4" t="n"/>
      <c r="EJ280" s="4" t="n"/>
      <c r="EK280" s="4" t="n"/>
      <c r="EL280" s="4" t="n"/>
      <c r="EM280" s="4" t="n"/>
      <c r="EN280" s="4" t="n"/>
    </row>
    <row r="281" hidden="1" customFormat="1" s="6">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c r="AE281" s="4" t="n"/>
      <c r="AF281" s="4" t="n"/>
      <c r="AG281" s="4" t="n"/>
      <c r="AH281" s="4" t="n"/>
      <c r="AI281" s="4" t="n"/>
      <c r="AJ281" s="4" t="n"/>
      <c r="AK281" s="4" t="n"/>
      <c r="AL281" s="4" t="n"/>
      <c r="AM281" s="4" t="n"/>
      <c r="AN281" s="4" t="n"/>
      <c r="AO281" s="4" t="n"/>
      <c r="AP281" s="4" t="n"/>
      <c r="AQ281" s="4" t="n"/>
      <c r="AR281" s="4" t="n"/>
      <c r="AS281" s="4" t="n"/>
      <c r="AT281" s="4" t="n"/>
      <c r="AU281" s="4" t="n"/>
      <c r="AV281" s="4" t="n"/>
      <c r="AW281" s="4" t="n"/>
      <c r="AX281" s="4" t="n"/>
      <c r="AY281" s="4" t="n"/>
      <c r="AZ281" s="4" t="n"/>
      <c r="BA281" s="4" t="n"/>
      <c r="BB281" s="4" t="n"/>
      <c r="BC281" s="4" t="n"/>
      <c r="BD281" s="4" t="n"/>
      <c r="BE281" s="4" t="n"/>
      <c r="BF281" s="4" t="n"/>
      <c r="BG281" s="4" t="n"/>
      <c r="BH281" s="4" t="n"/>
      <c r="BI281" s="4" t="n"/>
      <c r="BJ281" s="4" t="n"/>
      <c r="BK281" s="4" t="n"/>
      <c r="BL281" s="4" t="n"/>
      <c r="BM281" s="4" t="n"/>
      <c r="BN281" s="4" t="n"/>
      <c r="BO281" s="4" t="n"/>
      <c r="BP281" s="4" t="n"/>
      <c r="BQ281" s="4" t="n"/>
      <c r="BR281" s="4" t="n"/>
      <c r="BS281" s="4" t="n"/>
      <c r="BT281" s="4" t="n"/>
      <c r="BU281" s="4" t="n"/>
      <c r="BV281" s="4" t="n"/>
      <c r="BW281" s="4" t="n"/>
      <c r="BX281" s="4" t="n"/>
      <c r="BY281" s="4" t="n"/>
      <c r="BZ281" s="4" t="n"/>
      <c r="CA281" s="4" t="n"/>
      <c r="CB281" s="4" t="n"/>
      <c r="CC281" s="4" t="n"/>
      <c r="CD281" s="4" t="n"/>
      <c r="CE281" s="4" t="n"/>
      <c r="CF281" s="4" t="n"/>
      <c r="CG281" s="4" t="n"/>
      <c r="CH281" s="4" t="n"/>
      <c r="CI281" s="4" t="n"/>
      <c r="CJ281" s="4" t="n"/>
      <c r="CK281" s="4" t="n"/>
      <c r="CL281" s="4" t="n"/>
      <c r="CM281" s="4" t="n"/>
      <c r="CN281" s="4" t="n"/>
      <c r="CO281" s="4" t="n"/>
      <c r="CP281" s="4" t="n"/>
      <c r="CQ281" s="4" t="n"/>
      <c r="CR281" s="4" t="n"/>
      <c r="CS281" s="4" t="n"/>
      <c r="CT281" s="4" t="n"/>
      <c r="CU281" s="4" t="n"/>
      <c r="CV281" s="4" t="n"/>
      <c r="CW281" s="4" t="n"/>
      <c r="CX281" s="4" t="n"/>
      <c r="CY281" s="4" t="n"/>
      <c r="CZ281" s="4" t="n"/>
      <c r="DA281" s="4" t="n"/>
      <c r="DB281" s="4" t="n"/>
      <c r="DC281" s="4" t="n"/>
      <c r="DD281" s="4" t="n"/>
      <c r="DE281" s="4" t="n"/>
      <c r="DF281" s="4" t="n"/>
      <c r="DG281" s="4" t="n"/>
      <c r="DH281" s="4" t="n"/>
      <c r="DI281" s="4" t="n"/>
      <c r="DJ281" s="4" t="n"/>
      <c r="DK281" s="4" t="n"/>
      <c r="DL281" s="4" t="n"/>
      <c r="DM281" s="4" t="n"/>
      <c r="DN281" s="4" t="n"/>
      <c r="DO281" s="4" t="n"/>
      <c r="DP281" s="4" t="n"/>
      <c r="DQ281" s="4" t="n"/>
      <c r="DR281" s="4" t="n"/>
      <c r="DS281" s="4" t="n"/>
      <c r="DT281" s="4" t="n"/>
      <c r="DU281" s="4" t="n"/>
      <c r="DV281" s="4" t="n"/>
      <c r="DW281" s="4" t="n"/>
      <c r="DX281" s="4" t="n"/>
      <c r="DY281" s="4" t="n"/>
      <c r="DZ281" s="4" t="n"/>
      <c r="EA281" s="4" t="n"/>
      <c r="EB281" s="4" t="n"/>
      <c r="EC281" s="4" t="n"/>
      <c r="ED281" s="4" t="n"/>
      <c r="EE281" s="4" t="n"/>
      <c r="EF281" s="4" t="n"/>
      <c r="EG281" s="4" t="n"/>
      <c r="EH281" s="4" t="n"/>
      <c r="EI281" s="4" t="n"/>
      <c r="EJ281" s="4" t="n"/>
      <c r="EK281" s="4" t="n"/>
      <c r="EL281" s="4" t="n"/>
      <c r="EM281" s="4" t="n"/>
      <c r="EN281" s="4" t="n"/>
    </row>
    <row r="282" hidden="1" customFormat="1" s="6">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c r="AC282" s="4" t="n"/>
      <c r="AD282" s="4" t="n"/>
      <c r="AE282" s="4" t="n"/>
      <c r="AF282" s="4" t="n"/>
      <c r="AG282" s="4" t="n"/>
      <c r="AH282" s="4" t="n"/>
      <c r="AI282" s="4" t="n"/>
      <c r="AJ282" s="4" t="n"/>
      <c r="AK282" s="4" t="n"/>
      <c r="AL282" s="4" t="n"/>
      <c r="AM282" s="4" t="n"/>
      <c r="AN282" s="4" t="n"/>
      <c r="AO282" s="4" t="n"/>
      <c r="AP282" s="4" t="n"/>
      <c r="AQ282" s="4" t="n"/>
      <c r="AR282" s="4" t="n"/>
      <c r="AS282" s="4" t="n"/>
      <c r="AT282" s="4" t="n"/>
      <c r="AU282" s="4" t="n"/>
      <c r="AV282" s="4" t="n"/>
      <c r="AW282" s="4" t="n"/>
      <c r="AX282" s="4" t="n"/>
      <c r="AY282" s="4" t="n"/>
      <c r="AZ282" s="4" t="n"/>
      <c r="BA282" s="4" t="n"/>
      <c r="BB282" s="4" t="n"/>
      <c r="BC282" s="4" t="n"/>
      <c r="BD282" s="4" t="n"/>
      <c r="BE282" s="4" t="n"/>
      <c r="BF282" s="4" t="n"/>
      <c r="BG282" s="4" t="n"/>
      <c r="BH282" s="4" t="n"/>
      <c r="BI282" s="4" t="n"/>
      <c r="BJ282" s="4" t="n"/>
      <c r="BK282" s="4" t="n"/>
      <c r="BL282" s="4" t="n"/>
      <c r="BM282" s="4" t="n"/>
      <c r="BN282" s="4" t="n"/>
      <c r="BO282" s="4" t="n"/>
      <c r="BP282" s="4" t="n"/>
      <c r="BQ282" s="4" t="n"/>
      <c r="BR282" s="4" t="n"/>
      <c r="BS282" s="4" t="n"/>
      <c r="BT282" s="4" t="n"/>
      <c r="BU282" s="4" t="n"/>
      <c r="BV282" s="4" t="n"/>
      <c r="BW282" s="4" t="n"/>
      <c r="BX282" s="4" t="n"/>
      <c r="BY282" s="4" t="n"/>
      <c r="BZ282" s="4" t="n"/>
      <c r="CA282" s="4" t="n"/>
      <c r="CB282" s="4" t="n"/>
      <c r="CC282" s="4" t="n"/>
      <c r="CD282" s="4" t="n"/>
      <c r="CE282" s="4" t="n"/>
      <c r="CF282" s="4" t="n"/>
      <c r="CG282" s="4" t="n"/>
      <c r="CH282" s="4" t="n"/>
      <c r="CI282" s="4" t="n"/>
      <c r="CJ282" s="4" t="n"/>
      <c r="CK282" s="4" t="n"/>
      <c r="CL282" s="4" t="n"/>
      <c r="CM282" s="4" t="n"/>
      <c r="CN282" s="4" t="n"/>
      <c r="CO282" s="4" t="n"/>
      <c r="CP282" s="4" t="n"/>
      <c r="CQ282" s="4" t="n"/>
      <c r="CR282" s="4" t="n"/>
      <c r="CS282" s="4" t="n"/>
      <c r="CT282" s="4" t="n"/>
      <c r="CU282" s="4" t="n"/>
      <c r="CV282" s="4" t="n"/>
      <c r="CW282" s="4" t="n"/>
      <c r="CX282" s="4" t="n"/>
      <c r="CY282" s="4" t="n"/>
      <c r="CZ282" s="4" t="n"/>
      <c r="DA282" s="4" t="n"/>
      <c r="DB282" s="4" t="n"/>
      <c r="DC282" s="4" t="n"/>
      <c r="DD282" s="4" t="n"/>
      <c r="DE282" s="4" t="n"/>
      <c r="DF282" s="4" t="n"/>
      <c r="DG282" s="4" t="n"/>
      <c r="DH282" s="4" t="n"/>
      <c r="DI282" s="4" t="n"/>
      <c r="DJ282" s="4" t="n"/>
      <c r="DK282" s="4" t="n"/>
      <c r="DL282" s="4" t="n"/>
      <c r="DM282" s="4" t="n"/>
      <c r="DN282" s="4" t="n"/>
      <c r="DO282" s="4" t="n"/>
      <c r="DP282" s="4" t="n"/>
      <c r="DQ282" s="4" t="n"/>
      <c r="DR282" s="4" t="n"/>
      <c r="DS282" s="4" t="n"/>
      <c r="DT282" s="4" t="n"/>
      <c r="DU282" s="4" t="n"/>
      <c r="DV282" s="4" t="n"/>
      <c r="DW282" s="4" t="n"/>
      <c r="DX282" s="4" t="n"/>
      <c r="DY282" s="4" t="n"/>
      <c r="DZ282" s="4" t="n"/>
      <c r="EA282" s="4" t="n"/>
      <c r="EB282" s="4" t="n"/>
      <c r="EC282" s="4" t="n"/>
      <c r="ED282" s="4" t="n"/>
      <c r="EE282" s="4" t="n"/>
      <c r="EF282" s="4" t="n"/>
      <c r="EG282" s="4" t="n"/>
      <c r="EH282" s="4" t="n"/>
      <c r="EI282" s="4" t="n"/>
      <c r="EJ282" s="4" t="n"/>
      <c r="EK282" s="4" t="n"/>
      <c r="EL282" s="4" t="n"/>
      <c r="EM282" s="4" t="n"/>
      <c r="EN282" s="4" t="n"/>
    </row>
    <row r="283" hidden="1" customFormat="1" s="6">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c r="AE283" s="4" t="n"/>
      <c r="AF283" s="4" t="n"/>
      <c r="AG283" s="4" t="n"/>
      <c r="AH283" s="4" t="n"/>
      <c r="AI283" s="4" t="n"/>
      <c r="AJ283" s="4" t="n"/>
      <c r="AK283" s="4" t="n"/>
      <c r="AL283" s="4" t="n"/>
      <c r="AM283" s="4" t="n"/>
      <c r="AN283" s="4" t="n"/>
      <c r="AO283" s="4" t="n"/>
      <c r="AP283" s="4" t="n"/>
      <c r="AQ283" s="4" t="n"/>
      <c r="AR283" s="4" t="n"/>
      <c r="AS283" s="4" t="n"/>
      <c r="AT283" s="4" t="n"/>
      <c r="AU283" s="4" t="n"/>
      <c r="AV283" s="4" t="n"/>
      <c r="AW283" s="4" t="n"/>
      <c r="AX283" s="4" t="n"/>
      <c r="AY283" s="4" t="n"/>
      <c r="AZ283" s="4" t="n"/>
      <c r="BA283" s="4" t="n"/>
      <c r="BB283" s="4" t="n"/>
      <c r="BC283" s="4" t="n"/>
      <c r="BD283" s="4" t="n"/>
      <c r="BE283" s="4" t="n"/>
      <c r="BF283" s="4" t="n"/>
      <c r="BG283" s="4" t="n"/>
      <c r="BH283" s="4" t="n"/>
      <c r="BI283" s="4" t="n"/>
      <c r="BJ283" s="4" t="n"/>
      <c r="BK283" s="4" t="n"/>
      <c r="BL283" s="4" t="n"/>
      <c r="BM283" s="4" t="n"/>
      <c r="BN283" s="4" t="n"/>
      <c r="BO283" s="4" t="n"/>
      <c r="BP283" s="4" t="n"/>
      <c r="BQ283" s="4" t="n"/>
      <c r="BR283" s="4" t="n"/>
      <c r="BS283" s="4" t="n"/>
      <c r="BT283" s="4" t="n"/>
      <c r="BU283" s="4" t="n"/>
      <c r="BV283" s="4" t="n"/>
      <c r="BW283" s="4" t="n"/>
      <c r="BX283" s="4" t="n"/>
      <c r="BY283" s="4" t="n"/>
      <c r="BZ283" s="4" t="n"/>
      <c r="CA283" s="4" t="n"/>
      <c r="CB283" s="4" t="n"/>
      <c r="CC283" s="4" t="n"/>
      <c r="CD283" s="4" t="n"/>
      <c r="CE283" s="4" t="n"/>
      <c r="CF283" s="4" t="n"/>
      <c r="CG283" s="4" t="n"/>
      <c r="CH283" s="4" t="n"/>
      <c r="CI283" s="4" t="n"/>
      <c r="CJ283" s="4" t="n"/>
      <c r="CK283" s="4" t="n"/>
      <c r="CL283" s="4" t="n"/>
      <c r="CM283" s="4" t="n"/>
      <c r="CN283" s="4" t="n"/>
      <c r="CO283" s="4" t="n"/>
      <c r="CP283" s="4" t="n"/>
      <c r="CQ283" s="4" t="n"/>
      <c r="CR283" s="4" t="n"/>
      <c r="CS283" s="4" t="n"/>
      <c r="CT283" s="4" t="n"/>
      <c r="CU283" s="4" t="n"/>
      <c r="CV283" s="4" t="n"/>
      <c r="CW283" s="4" t="n"/>
      <c r="CX283" s="4" t="n"/>
      <c r="CY283" s="4" t="n"/>
      <c r="CZ283" s="4" t="n"/>
      <c r="DA283" s="4" t="n"/>
      <c r="DB283" s="4" t="n"/>
      <c r="DC283" s="4" t="n"/>
      <c r="DD283" s="4" t="n"/>
      <c r="DE283" s="4" t="n"/>
      <c r="DF283" s="4" t="n"/>
      <c r="DG283" s="4" t="n"/>
      <c r="DH283" s="4" t="n"/>
      <c r="DI283" s="4" t="n"/>
      <c r="DJ283" s="4" t="n"/>
      <c r="DK283" s="4" t="n"/>
      <c r="DL283" s="4" t="n"/>
      <c r="DM283" s="4" t="n"/>
      <c r="DN283" s="4" t="n"/>
      <c r="DO283" s="4" t="n"/>
      <c r="DP283" s="4" t="n"/>
      <c r="DQ283" s="4" t="n"/>
      <c r="DR283" s="4" t="n"/>
      <c r="DS283" s="4" t="n"/>
      <c r="DT283" s="4" t="n"/>
      <c r="DU283" s="4" t="n"/>
      <c r="DV283" s="4" t="n"/>
      <c r="DW283" s="4" t="n"/>
      <c r="DX283" s="4" t="n"/>
      <c r="DY283" s="4" t="n"/>
      <c r="DZ283" s="4" t="n"/>
      <c r="EA283" s="4" t="n"/>
      <c r="EB283" s="4" t="n"/>
      <c r="EC283" s="4" t="n"/>
      <c r="ED283" s="4" t="n"/>
      <c r="EE283" s="4" t="n"/>
      <c r="EF283" s="4" t="n"/>
      <c r="EG283" s="4" t="n"/>
      <c r="EH283" s="4" t="n"/>
      <c r="EI283" s="4" t="n"/>
      <c r="EJ283" s="4" t="n"/>
      <c r="EK283" s="4" t="n"/>
      <c r="EL283" s="4" t="n"/>
      <c r="EM283" s="4" t="n"/>
      <c r="EN283" s="4" t="n"/>
    </row>
    <row r="284" hidden="1" customFormat="1" s="6">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c r="AE284" s="4" t="n"/>
      <c r="AF284" s="4" t="n"/>
      <c r="AG284" s="4" t="n"/>
      <c r="AH284" s="4" t="n"/>
      <c r="AI284" s="4" t="n"/>
      <c r="AJ284" s="4" t="n"/>
      <c r="AK284" s="4" t="n"/>
      <c r="AL284" s="4" t="n"/>
      <c r="AM284" s="4" t="n"/>
      <c r="AN284" s="4" t="n"/>
      <c r="AO284" s="4" t="n"/>
      <c r="AP284" s="4" t="n"/>
      <c r="AQ284" s="4" t="n"/>
      <c r="AR284" s="4" t="n"/>
      <c r="AS284" s="4" t="n"/>
      <c r="AT284" s="4" t="n"/>
      <c r="AU284" s="4" t="n"/>
      <c r="AV284" s="4" t="n"/>
      <c r="AW284" s="4" t="n"/>
      <c r="AX284" s="4" t="n"/>
      <c r="AY284" s="4" t="n"/>
      <c r="AZ284" s="4" t="n"/>
      <c r="BA284" s="4" t="n"/>
      <c r="BB284" s="4" t="n"/>
      <c r="BC284" s="4" t="n"/>
      <c r="BD284" s="4" t="n"/>
      <c r="BE284" s="4" t="n"/>
      <c r="BF284" s="4" t="n"/>
      <c r="BG284" s="4" t="n"/>
      <c r="BH284" s="4" t="n"/>
      <c r="BI284" s="4" t="n"/>
      <c r="BJ284" s="4" t="n"/>
      <c r="BK284" s="4" t="n"/>
      <c r="BL284" s="4" t="n"/>
      <c r="BM284" s="4" t="n"/>
      <c r="BN284" s="4" t="n"/>
      <c r="BO284" s="4" t="n"/>
      <c r="BP284" s="4" t="n"/>
      <c r="BQ284" s="4" t="n"/>
      <c r="BR284" s="4" t="n"/>
      <c r="BS284" s="4" t="n"/>
      <c r="BT284" s="4" t="n"/>
      <c r="BU284" s="4" t="n"/>
      <c r="BV284" s="4" t="n"/>
      <c r="BW284" s="4" t="n"/>
      <c r="BX284" s="4" t="n"/>
      <c r="BY284" s="4" t="n"/>
      <c r="BZ284" s="4" t="n"/>
      <c r="CA284" s="4" t="n"/>
      <c r="CB284" s="4" t="n"/>
      <c r="CC284" s="4" t="n"/>
      <c r="CD284" s="4" t="n"/>
      <c r="CE284" s="4" t="n"/>
      <c r="CF284" s="4" t="n"/>
      <c r="CG284" s="4" t="n"/>
      <c r="CH284" s="4" t="n"/>
      <c r="CI284" s="4" t="n"/>
      <c r="CJ284" s="4" t="n"/>
      <c r="CK284" s="4" t="n"/>
      <c r="CL284" s="4" t="n"/>
      <c r="CM284" s="4" t="n"/>
      <c r="CN284" s="4" t="n"/>
      <c r="CO284" s="4" t="n"/>
      <c r="CP284" s="4" t="n"/>
      <c r="CQ284" s="4" t="n"/>
      <c r="CR284" s="4" t="n"/>
      <c r="CS284" s="4" t="n"/>
      <c r="CT284" s="4" t="n"/>
      <c r="CU284" s="4" t="n"/>
      <c r="CV284" s="4" t="n"/>
      <c r="CW284" s="4" t="n"/>
      <c r="CX284" s="4" t="n"/>
      <c r="CY284" s="4" t="n"/>
      <c r="CZ284" s="4" t="n"/>
      <c r="DA284" s="4" t="n"/>
      <c r="DB284" s="4" t="n"/>
      <c r="DC284" s="4" t="n"/>
      <c r="DD284" s="4" t="n"/>
      <c r="DE284" s="4" t="n"/>
      <c r="DF284" s="4" t="n"/>
      <c r="DG284" s="4" t="n"/>
      <c r="DH284" s="4" t="n"/>
      <c r="DI284" s="4" t="n"/>
      <c r="DJ284" s="4" t="n"/>
      <c r="DK284" s="4" t="n"/>
      <c r="DL284" s="4" t="n"/>
      <c r="DM284" s="4" t="n"/>
      <c r="DN284" s="4" t="n"/>
      <c r="DO284" s="4" t="n"/>
      <c r="DP284" s="4" t="n"/>
      <c r="DQ284" s="4" t="n"/>
      <c r="DR284" s="4" t="n"/>
      <c r="DS284" s="4" t="n"/>
      <c r="DT284" s="4" t="n"/>
      <c r="DU284" s="4" t="n"/>
      <c r="DV284" s="4" t="n"/>
      <c r="DW284" s="4" t="n"/>
      <c r="DX284" s="4" t="n"/>
      <c r="DY284" s="4" t="n"/>
      <c r="DZ284" s="4" t="n"/>
      <c r="EA284" s="4" t="n"/>
      <c r="EB284" s="4" t="n"/>
      <c r="EC284" s="4" t="n"/>
      <c r="ED284" s="4" t="n"/>
      <c r="EE284" s="4" t="n"/>
      <c r="EF284" s="4" t="n"/>
      <c r="EG284" s="4" t="n"/>
      <c r="EH284" s="4" t="n"/>
      <c r="EI284" s="4" t="n"/>
      <c r="EJ284" s="4" t="n"/>
      <c r="EK284" s="4" t="n"/>
      <c r="EL284" s="4" t="n"/>
      <c r="EM284" s="4" t="n"/>
      <c r="EN284" s="4" t="n"/>
    </row>
    <row r="285" hidden="1" customFormat="1" s="6">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c r="AE285" s="4" t="n"/>
      <c r="AF285" s="4" t="n"/>
      <c r="AG285" s="4" t="n"/>
      <c r="AH285" s="4" t="n"/>
      <c r="AI285" s="4" t="n"/>
      <c r="AJ285" s="4" t="n"/>
      <c r="AK285" s="4" t="n"/>
      <c r="AL285" s="4" t="n"/>
      <c r="AM285" s="4" t="n"/>
      <c r="AN285" s="4" t="n"/>
      <c r="AO285" s="4" t="n"/>
      <c r="AP285" s="4" t="n"/>
      <c r="AQ285" s="4" t="n"/>
      <c r="AR285" s="4" t="n"/>
      <c r="AS285" s="4" t="n"/>
      <c r="AT285" s="4" t="n"/>
      <c r="AU285" s="4" t="n"/>
      <c r="AV285" s="4" t="n"/>
      <c r="AW285" s="4" t="n"/>
      <c r="AX285" s="4" t="n"/>
      <c r="AY285" s="4" t="n"/>
      <c r="AZ285" s="4" t="n"/>
      <c r="BA285" s="4" t="n"/>
      <c r="BB285" s="4" t="n"/>
      <c r="BC285" s="4" t="n"/>
      <c r="BD285" s="4" t="n"/>
      <c r="BE285" s="4" t="n"/>
      <c r="BF285" s="4" t="n"/>
      <c r="BG285" s="4" t="n"/>
      <c r="BH285" s="4" t="n"/>
      <c r="BI285" s="4" t="n"/>
      <c r="BJ285" s="4" t="n"/>
      <c r="BK285" s="4" t="n"/>
      <c r="BL285" s="4" t="n"/>
      <c r="BM285" s="4" t="n"/>
      <c r="BN285" s="4" t="n"/>
      <c r="BO285" s="4" t="n"/>
      <c r="BP285" s="4" t="n"/>
      <c r="BQ285" s="4" t="n"/>
      <c r="BR285" s="4" t="n"/>
      <c r="BS285" s="4" t="n"/>
      <c r="BT285" s="4" t="n"/>
      <c r="BU285" s="4" t="n"/>
      <c r="BV285" s="4" t="n"/>
      <c r="BW285" s="4" t="n"/>
      <c r="BX285" s="4" t="n"/>
      <c r="BY285" s="4" t="n"/>
      <c r="BZ285" s="4" t="n"/>
      <c r="CA285" s="4" t="n"/>
      <c r="CB285" s="4" t="n"/>
      <c r="CC285" s="4" t="n"/>
      <c r="CD285" s="4" t="n"/>
      <c r="CE285" s="4" t="n"/>
      <c r="CF285" s="4" t="n"/>
      <c r="CG285" s="4" t="n"/>
      <c r="CH285" s="4" t="n"/>
      <c r="CI285" s="4" t="n"/>
      <c r="CJ285" s="4" t="n"/>
      <c r="CK285" s="4" t="n"/>
      <c r="CL285" s="4" t="n"/>
      <c r="CM285" s="4" t="n"/>
      <c r="CN285" s="4" t="n"/>
      <c r="CO285" s="4" t="n"/>
      <c r="CP285" s="4" t="n"/>
      <c r="CQ285" s="4" t="n"/>
      <c r="CR285" s="4" t="n"/>
      <c r="CS285" s="4" t="n"/>
      <c r="CT285" s="4" t="n"/>
      <c r="CU285" s="4" t="n"/>
      <c r="CV285" s="4" t="n"/>
      <c r="CW285" s="4" t="n"/>
      <c r="CX285" s="4" t="n"/>
      <c r="CY285" s="4" t="n"/>
      <c r="CZ285" s="4" t="n"/>
      <c r="DA285" s="4" t="n"/>
      <c r="DB285" s="4" t="n"/>
      <c r="DC285" s="4" t="n"/>
      <c r="DD285" s="4" t="n"/>
      <c r="DE285" s="4" t="n"/>
      <c r="DF285" s="4" t="n"/>
      <c r="DG285" s="4" t="n"/>
      <c r="DH285" s="4" t="n"/>
      <c r="DI285" s="4" t="n"/>
      <c r="DJ285" s="4" t="n"/>
      <c r="DK285" s="4" t="n"/>
      <c r="DL285" s="4" t="n"/>
      <c r="DM285" s="4" t="n"/>
      <c r="DN285" s="4" t="n"/>
      <c r="DO285" s="4" t="n"/>
      <c r="DP285" s="4" t="n"/>
      <c r="DQ285" s="4" t="n"/>
      <c r="DR285" s="4" t="n"/>
      <c r="DS285" s="4" t="n"/>
      <c r="DT285" s="4" t="n"/>
      <c r="DU285" s="4" t="n"/>
      <c r="DV285" s="4" t="n"/>
      <c r="DW285" s="4" t="n"/>
      <c r="DX285" s="4" t="n"/>
      <c r="DY285" s="4" t="n"/>
      <c r="DZ285" s="4" t="n"/>
      <c r="EA285" s="4" t="n"/>
      <c r="EB285" s="4" t="n"/>
      <c r="EC285" s="4" t="n"/>
      <c r="ED285" s="4" t="n"/>
      <c r="EE285" s="4" t="n"/>
      <c r="EF285" s="4" t="n"/>
      <c r="EG285" s="4" t="n"/>
      <c r="EH285" s="4" t="n"/>
      <c r="EI285" s="4" t="n"/>
      <c r="EJ285" s="4" t="n"/>
      <c r="EK285" s="4" t="n"/>
      <c r="EL285" s="4" t="n"/>
      <c r="EM285" s="4" t="n"/>
      <c r="EN285" s="4" t="n"/>
    </row>
    <row r="286" hidden="1" customFormat="1" s="6">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c r="AE286" s="4" t="n"/>
      <c r="AF286" s="4" t="n"/>
      <c r="AG286" s="4" t="n"/>
      <c r="AH286" s="4" t="n"/>
      <c r="AI286" s="4" t="n"/>
      <c r="AJ286" s="4" t="n"/>
      <c r="AK286" s="4" t="n"/>
      <c r="AL286" s="4" t="n"/>
      <c r="AM286" s="4" t="n"/>
      <c r="AN286" s="4" t="n"/>
      <c r="AO286" s="4" t="n"/>
      <c r="AP286" s="4" t="n"/>
      <c r="AQ286" s="4" t="n"/>
      <c r="AR286" s="4" t="n"/>
      <c r="AS286" s="4" t="n"/>
      <c r="AT286" s="4" t="n"/>
      <c r="AU286" s="4" t="n"/>
      <c r="AV286" s="4" t="n"/>
      <c r="AW286" s="4" t="n"/>
      <c r="AX286" s="4" t="n"/>
      <c r="AY286" s="4" t="n"/>
      <c r="AZ286" s="4" t="n"/>
      <c r="BA286" s="4" t="n"/>
      <c r="BB286" s="4" t="n"/>
      <c r="BC286" s="4" t="n"/>
      <c r="BD286" s="4" t="n"/>
      <c r="BE286" s="4" t="n"/>
      <c r="BF286" s="4" t="n"/>
      <c r="BG286" s="4" t="n"/>
      <c r="BH286" s="4" t="n"/>
      <c r="BI286" s="4" t="n"/>
      <c r="BJ286" s="4" t="n"/>
      <c r="BK286" s="4" t="n"/>
      <c r="BL286" s="4" t="n"/>
      <c r="BM286" s="4" t="n"/>
      <c r="BN286" s="4" t="n"/>
      <c r="BO286" s="4" t="n"/>
      <c r="BP286" s="4" t="n"/>
      <c r="BQ286" s="4" t="n"/>
      <c r="BR286" s="4" t="n"/>
      <c r="BS286" s="4" t="n"/>
      <c r="BT286" s="4" t="n"/>
      <c r="BU286" s="4" t="n"/>
      <c r="BV286" s="4" t="n"/>
      <c r="BW286" s="4" t="n"/>
      <c r="BX286" s="4" t="n"/>
      <c r="BY286" s="4" t="n"/>
      <c r="BZ286" s="4" t="n"/>
      <c r="CA286" s="4" t="n"/>
      <c r="CB286" s="4" t="n"/>
      <c r="CC286" s="4" t="n"/>
      <c r="CD286" s="4" t="n"/>
      <c r="CE286" s="4" t="n"/>
      <c r="CF286" s="4" t="n"/>
      <c r="CG286" s="4" t="n"/>
      <c r="CH286" s="4" t="n"/>
      <c r="CI286" s="4" t="n"/>
      <c r="CJ286" s="4" t="n"/>
      <c r="CK286" s="4" t="n"/>
      <c r="CL286" s="4" t="n"/>
      <c r="CM286" s="4" t="n"/>
      <c r="CN286" s="4" t="n"/>
      <c r="CO286" s="4" t="n"/>
      <c r="CP286" s="4" t="n"/>
      <c r="CQ286" s="4" t="n"/>
      <c r="CR286" s="4" t="n"/>
      <c r="CS286" s="4" t="n"/>
      <c r="CT286" s="4" t="n"/>
      <c r="CU286" s="4" t="n"/>
      <c r="CV286" s="4" t="n"/>
      <c r="CW286" s="4" t="n"/>
      <c r="CX286" s="4" t="n"/>
      <c r="CY286" s="4" t="n"/>
      <c r="CZ286" s="4" t="n"/>
      <c r="DA286" s="4" t="n"/>
      <c r="DB286" s="4" t="n"/>
      <c r="DC286" s="4" t="n"/>
      <c r="DD286" s="4" t="n"/>
      <c r="DE286" s="4" t="n"/>
      <c r="DF286" s="4" t="n"/>
      <c r="DG286" s="4" t="n"/>
      <c r="DH286" s="4" t="n"/>
      <c r="DI286" s="4" t="n"/>
      <c r="DJ286" s="4" t="n"/>
      <c r="DK286" s="4" t="n"/>
      <c r="DL286" s="4" t="n"/>
      <c r="DM286" s="4" t="n"/>
      <c r="DN286" s="4" t="n"/>
      <c r="DO286" s="4" t="n"/>
      <c r="DP286" s="4" t="n"/>
      <c r="DQ286" s="4" t="n"/>
      <c r="DR286" s="4" t="n"/>
      <c r="DS286" s="4" t="n"/>
      <c r="DT286" s="4" t="n"/>
      <c r="DU286" s="4" t="n"/>
      <c r="DV286" s="4" t="n"/>
      <c r="DW286" s="4" t="n"/>
      <c r="DX286" s="4" t="n"/>
      <c r="DY286" s="4" t="n"/>
      <c r="DZ286" s="4" t="n"/>
      <c r="EA286" s="4" t="n"/>
      <c r="EB286" s="4" t="n"/>
      <c r="EC286" s="4" t="n"/>
      <c r="ED286" s="4" t="n"/>
      <c r="EE286" s="4" t="n"/>
      <c r="EF286" s="4" t="n"/>
      <c r="EG286" s="4" t="n"/>
      <c r="EH286" s="4" t="n"/>
      <c r="EI286" s="4" t="n"/>
      <c r="EJ286" s="4" t="n"/>
      <c r="EK286" s="4" t="n"/>
      <c r="EL286" s="4" t="n"/>
      <c r="EM286" s="4" t="n"/>
      <c r="EN286" s="4" t="n"/>
    </row>
    <row r="287" hidden="1" customFormat="1" s="6">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c r="AC287" s="4" t="n"/>
      <c r="AD287" s="4" t="n"/>
      <c r="AE287" s="4" t="n"/>
      <c r="AF287" s="4" t="n"/>
      <c r="AG287" s="4" t="n"/>
      <c r="AH287" s="4" t="n"/>
      <c r="AI287" s="4" t="n"/>
      <c r="AJ287" s="4" t="n"/>
      <c r="AK287" s="4" t="n"/>
      <c r="AL287" s="4" t="n"/>
      <c r="AM287" s="4" t="n"/>
      <c r="AN287" s="4" t="n"/>
      <c r="AO287" s="4" t="n"/>
      <c r="AP287" s="4" t="n"/>
      <c r="AQ287" s="4" t="n"/>
      <c r="AR287" s="4" t="n"/>
      <c r="AS287" s="4" t="n"/>
      <c r="AT287" s="4" t="n"/>
      <c r="AU287" s="4" t="n"/>
      <c r="AV287" s="4" t="n"/>
      <c r="AW287" s="4" t="n"/>
      <c r="AX287" s="4" t="n"/>
      <c r="AY287" s="4" t="n"/>
      <c r="AZ287" s="4" t="n"/>
      <c r="BA287" s="4" t="n"/>
      <c r="BB287" s="4" t="n"/>
      <c r="BC287" s="4" t="n"/>
      <c r="BD287" s="4" t="n"/>
      <c r="BE287" s="4" t="n"/>
      <c r="BF287" s="4" t="n"/>
      <c r="BG287" s="4" t="n"/>
      <c r="BH287" s="4" t="n"/>
      <c r="BI287" s="4" t="n"/>
      <c r="BJ287" s="4" t="n"/>
      <c r="BK287" s="4" t="n"/>
      <c r="BL287" s="4" t="n"/>
      <c r="BM287" s="4" t="n"/>
      <c r="BN287" s="4" t="n"/>
      <c r="BO287" s="4" t="n"/>
      <c r="BP287" s="4" t="n"/>
      <c r="BQ287" s="4" t="n"/>
      <c r="BR287" s="4" t="n"/>
      <c r="BS287" s="4" t="n"/>
      <c r="BT287" s="4" t="n"/>
      <c r="BU287" s="4" t="n"/>
      <c r="BV287" s="4" t="n"/>
      <c r="BW287" s="4" t="n"/>
      <c r="BX287" s="4" t="n"/>
      <c r="BY287" s="4" t="n"/>
      <c r="BZ287" s="4" t="n"/>
      <c r="CA287" s="4" t="n"/>
      <c r="CB287" s="4" t="n"/>
      <c r="CC287" s="4" t="n"/>
      <c r="CD287" s="4" t="n"/>
      <c r="CE287" s="4" t="n"/>
      <c r="CF287" s="4" t="n"/>
      <c r="CG287" s="4" t="n"/>
      <c r="CH287" s="4" t="n"/>
      <c r="CI287" s="4" t="n"/>
      <c r="CJ287" s="4" t="n"/>
      <c r="CK287" s="4" t="n"/>
      <c r="CL287" s="4" t="n"/>
      <c r="CM287" s="4" t="n"/>
      <c r="CN287" s="4" t="n"/>
      <c r="CO287" s="4" t="n"/>
      <c r="CP287" s="4" t="n"/>
      <c r="CQ287" s="4" t="n"/>
      <c r="CR287" s="4" t="n"/>
      <c r="CS287" s="4" t="n"/>
      <c r="CT287" s="4" t="n"/>
      <c r="CU287" s="4" t="n"/>
      <c r="CV287" s="4" t="n"/>
      <c r="CW287" s="4" t="n"/>
      <c r="CX287" s="4" t="n"/>
      <c r="CY287" s="4" t="n"/>
      <c r="CZ287" s="4" t="n"/>
      <c r="DA287" s="4" t="n"/>
      <c r="DB287" s="4" t="n"/>
      <c r="DC287" s="4" t="n"/>
      <c r="DD287" s="4" t="n"/>
      <c r="DE287" s="4" t="n"/>
      <c r="DF287" s="4" t="n"/>
      <c r="DG287" s="4" t="n"/>
      <c r="DH287" s="4" t="n"/>
      <c r="DI287" s="4" t="n"/>
      <c r="DJ287" s="4" t="n"/>
      <c r="DK287" s="4" t="n"/>
      <c r="DL287" s="4" t="n"/>
      <c r="DM287" s="4" t="n"/>
      <c r="DN287" s="4" t="n"/>
      <c r="DO287" s="4" t="n"/>
      <c r="DP287" s="4" t="n"/>
      <c r="DQ287" s="4" t="n"/>
      <c r="DR287" s="4" t="n"/>
      <c r="DS287" s="4" t="n"/>
      <c r="DT287" s="4" t="n"/>
      <c r="DU287" s="4" t="n"/>
      <c r="DV287" s="4" t="n"/>
      <c r="DW287" s="4" t="n"/>
      <c r="DX287" s="4" t="n"/>
      <c r="DY287" s="4" t="n"/>
      <c r="DZ287" s="4" t="n"/>
      <c r="EA287" s="4" t="n"/>
      <c r="EB287" s="4" t="n"/>
      <c r="EC287" s="4" t="n"/>
      <c r="ED287" s="4" t="n"/>
      <c r="EE287" s="4" t="n"/>
      <c r="EF287" s="4" t="n"/>
      <c r="EG287" s="4" t="n"/>
      <c r="EH287" s="4" t="n"/>
      <c r="EI287" s="4" t="n"/>
      <c r="EJ287" s="4" t="n"/>
      <c r="EK287" s="4" t="n"/>
      <c r="EL287" s="4" t="n"/>
      <c r="EM287" s="4" t="n"/>
      <c r="EN287" s="4" t="n"/>
    </row>
    <row r="288" hidden="1" customFormat="1" s="6">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c r="AD288" s="4" t="n"/>
      <c r="AE288" s="4" t="n"/>
      <c r="AF288" s="4" t="n"/>
      <c r="AG288" s="4" t="n"/>
      <c r="AH288" s="4" t="n"/>
      <c r="AI288" s="4" t="n"/>
      <c r="AJ288" s="4" t="n"/>
      <c r="AK288" s="4" t="n"/>
      <c r="AL288" s="4" t="n"/>
      <c r="AM288" s="4" t="n"/>
      <c r="AN288" s="4" t="n"/>
      <c r="AO288" s="4" t="n"/>
      <c r="AP288" s="4" t="n"/>
      <c r="AQ288" s="4" t="n"/>
      <c r="AR288" s="4" t="n"/>
      <c r="AS288" s="4" t="n"/>
      <c r="AT288" s="4" t="n"/>
      <c r="AU288" s="4" t="n"/>
      <c r="AV288" s="4" t="n"/>
      <c r="AW288" s="4" t="n"/>
      <c r="AX288" s="4" t="n"/>
      <c r="AY288" s="4" t="n"/>
      <c r="AZ288" s="4" t="n"/>
      <c r="BA288" s="4" t="n"/>
      <c r="BB288" s="4" t="n"/>
      <c r="BC288" s="4" t="n"/>
      <c r="BD288" s="4" t="n"/>
      <c r="BE288" s="4" t="n"/>
      <c r="BF288" s="4" t="n"/>
      <c r="BG288" s="4" t="n"/>
      <c r="BH288" s="4" t="n"/>
      <c r="BI288" s="4" t="n"/>
      <c r="BJ288" s="4" t="n"/>
      <c r="BK288" s="4" t="n"/>
      <c r="BL288" s="4" t="n"/>
      <c r="BM288" s="4" t="n"/>
      <c r="BN288" s="4" t="n"/>
      <c r="BO288" s="4" t="n"/>
      <c r="BP288" s="4" t="n"/>
      <c r="BQ288" s="4" t="n"/>
      <c r="BR288" s="4" t="n"/>
      <c r="BS288" s="4" t="n"/>
      <c r="BT288" s="4" t="n"/>
      <c r="BU288" s="4" t="n"/>
      <c r="BV288" s="4" t="n"/>
      <c r="BW288" s="4" t="n"/>
      <c r="BX288" s="4" t="n"/>
      <c r="BY288" s="4" t="n"/>
      <c r="BZ288" s="4" t="n"/>
      <c r="CA288" s="4" t="n"/>
      <c r="CB288" s="4" t="n"/>
      <c r="CC288" s="4" t="n"/>
      <c r="CD288" s="4" t="n"/>
      <c r="CE288" s="4" t="n"/>
      <c r="CF288" s="4" t="n"/>
      <c r="CG288" s="4" t="n"/>
      <c r="CH288" s="4" t="n"/>
      <c r="CI288" s="4" t="n"/>
      <c r="CJ288" s="4" t="n"/>
      <c r="CK288" s="4" t="n"/>
      <c r="CL288" s="4" t="n"/>
      <c r="CM288" s="4" t="n"/>
      <c r="CN288" s="4" t="n"/>
      <c r="CO288" s="4" t="n"/>
      <c r="CP288" s="4" t="n"/>
      <c r="CQ288" s="4" t="n"/>
      <c r="CR288" s="4" t="n"/>
      <c r="CS288" s="4" t="n"/>
      <c r="CT288" s="4" t="n"/>
      <c r="CU288" s="4" t="n"/>
      <c r="CV288" s="4" t="n"/>
      <c r="CW288" s="4" t="n"/>
      <c r="CX288" s="4" t="n"/>
      <c r="CY288" s="4" t="n"/>
      <c r="CZ288" s="4" t="n"/>
      <c r="DA288" s="4" t="n"/>
      <c r="DB288" s="4" t="n"/>
      <c r="DC288" s="4" t="n"/>
      <c r="DD288" s="4" t="n"/>
      <c r="DE288" s="4" t="n"/>
      <c r="DF288" s="4" t="n"/>
      <c r="DG288" s="4" t="n"/>
      <c r="DH288" s="4" t="n"/>
      <c r="DI288" s="4" t="n"/>
      <c r="DJ288" s="4" t="n"/>
      <c r="DK288" s="4" t="n"/>
      <c r="DL288" s="4" t="n"/>
      <c r="DM288" s="4" t="n"/>
      <c r="DN288" s="4" t="n"/>
      <c r="DO288" s="4" t="n"/>
      <c r="DP288" s="4" t="n"/>
      <c r="DQ288" s="4" t="n"/>
      <c r="DR288" s="4" t="n"/>
      <c r="DS288" s="4" t="n"/>
      <c r="DT288" s="4" t="n"/>
      <c r="DU288" s="4" t="n"/>
      <c r="DV288" s="4" t="n"/>
      <c r="DW288" s="4" t="n"/>
      <c r="DX288" s="4" t="n"/>
      <c r="DY288" s="4" t="n"/>
      <c r="DZ288" s="4" t="n"/>
      <c r="EA288" s="4" t="n"/>
      <c r="EB288" s="4" t="n"/>
      <c r="EC288" s="4" t="n"/>
      <c r="ED288" s="4" t="n"/>
      <c r="EE288" s="4" t="n"/>
      <c r="EF288" s="4" t="n"/>
      <c r="EG288" s="4" t="n"/>
      <c r="EH288" s="4" t="n"/>
      <c r="EI288" s="4" t="n"/>
      <c r="EJ288" s="4" t="n"/>
      <c r="EK288" s="4" t="n"/>
      <c r="EL288" s="4" t="n"/>
      <c r="EM288" s="4" t="n"/>
      <c r="EN288" s="4" t="n"/>
    </row>
    <row r="289" hidden="1" customFormat="1" s="6">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c r="AE289" s="4" t="n"/>
      <c r="AF289" s="4" t="n"/>
      <c r="AG289" s="4" t="n"/>
      <c r="AH289" s="4" t="n"/>
      <c r="AI289" s="4" t="n"/>
      <c r="AJ289" s="4" t="n"/>
      <c r="AK289" s="4" t="n"/>
      <c r="AL289" s="4" t="n"/>
      <c r="AM289" s="4" t="n"/>
      <c r="AN289" s="4" t="n"/>
      <c r="AO289" s="4" t="n"/>
      <c r="AP289" s="4" t="n"/>
      <c r="AQ289" s="4" t="n"/>
      <c r="AR289" s="4" t="n"/>
      <c r="AS289" s="4" t="n"/>
      <c r="AT289" s="4" t="n"/>
      <c r="AU289" s="4" t="n"/>
      <c r="AV289" s="4" t="n"/>
      <c r="AW289" s="4" t="n"/>
      <c r="AX289" s="4" t="n"/>
      <c r="AY289" s="4" t="n"/>
      <c r="AZ289" s="4" t="n"/>
      <c r="BA289" s="4" t="n"/>
      <c r="BB289" s="4" t="n"/>
      <c r="BC289" s="4" t="n"/>
      <c r="BD289" s="4" t="n"/>
      <c r="BE289" s="4" t="n"/>
      <c r="BF289" s="4" t="n"/>
      <c r="BG289" s="4" t="n"/>
      <c r="BH289" s="4" t="n"/>
      <c r="BI289" s="4" t="n"/>
      <c r="BJ289" s="4" t="n"/>
      <c r="BK289" s="4" t="n"/>
      <c r="BL289" s="4" t="n"/>
      <c r="BM289" s="4" t="n"/>
      <c r="BN289" s="4" t="n"/>
      <c r="BO289" s="4" t="n"/>
      <c r="BP289" s="4" t="n"/>
      <c r="BQ289" s="4" t="n"/>
      <c r="BR289" s="4" t="n"/>
      <c r="BS289" s="4" t="n"/>
      <c r="BT289" s="4" t="n"/>
      <c r="BU289" s="4" t="n"/>
      <c r="BV289" s="4" t="n"/>
      <c r="BW289" s="4" t="n"/>
      <c r="BX289" s="4" t="n"/>
      <c r="BY289" s="4" t="n"/>
      <c r="BZ289" s="4" t="n"/>
      <c r="CA289" s="4" t="n"/>
      <c r="CB289" s="4" t="n"/>
      <c r="CC289" s="4" t="n"/>
      <c r="CD289" s="4" t="n"/>
      <c r="CE289" s="4" t="n"/>
      <c r="CF289" s="4" t="n"/>
      <c r="CG289" s="4" t="n"/>
      <c r="CH289" s="4" t="n"/>
      <c r="CI289" s="4" t="n"/>
      <c r="CJ289" s="4" t="n"/>
      <c r="CK289" s="4" t="n"/>
      <c r="CL289" s="4" t="n"/>
      <c r="CM289" s="4" t="n"/>
      <c r="CN289" s="4" t="n"/>
      <c r="CO289" s="4" t="n"/>
      <c r="CP289" s="4" t="n"/>
      <c r="CQ289" s="4" t="n"/>
      <c r="CR289" s="4" t="n"/>
      <c r="CS289" s="4" t="n"/>
      <c r="CT289" s="4" t="n"/>
      <c r="CU289" s="4" t="n"/>
      <c r="CV289" s="4" t="n"/>
      <c r="CW289" s="4" t="n"/>
      <c r="CX289" s="4" t="n"/>
      <c r="CY289" s="4" t="n"/>
      <c r="CZ289" s="4" t="n"/>
      <c r="DA289" s="4" t="n"/>
      <c r="DB289" s="4" t="n"/>
      <c r="DC289" s="4" t="n"/>
      <c r="DD289" s="4" t="n"/>
      <c r="DE289" s="4" t="n"/>
      <c r="DF289" s="4" t="n"/>
      <c r="DG289" s="4" t="n"/>
      <c r="DH289" s="4" t="n"/>
      <c r="DI289" s="4" t="n"/>
      <c r="DJ289" s="4" t="n"/>
      <c r="DK289" s="4" t="n"/>
      <c r="DL289" s="4" t="n"/>
      <c r="DM289" s="4" t="n"/>
      <c r="DN289" s="4" t="n"/>
      <c r="DO289" s="4" t="n"/>
      <c r="DP289" s="4" t="n"/>
      <c r="DQ289" s="4" t="n"/>
      <c r="DR289" s="4" t="n"/>
      <c r="DS289" s="4" t="n"/>
      <c r="DT289" s="4" t="n"/>
      <c r="DU289" s="4" t="n"/>
      <c r="DV289" s="4" t="n"/>
      <c r="DW289" s="4" t="n"/>
      <c r="DX289" s="4" t="n"/>
      <c r="DY289" s="4" t="n"/>
      <c r="DZ289" s="4" t="n"/>
      <c r="EA289" s="4" t="n"/>
      <c r="EB289" s="4" t="n"/>
      <c r="EC289" s="4" t="n"/>
      <c r="ED289" s="4" t="n"/>
      <c r="EE289" s="4" t="n"/>
      <c r="EF289" s="4" t="n"/>
      <c r="EG289" s="4" t="n"/>
      <c r="EH289" s="4" t="n"/>
      <c r="EI289" s="4" t="n"/>
      <c r="EJ289" s="4" t="n"/>
      <c r="EK289" s="4" t="n"/>
      <c r="EL289" s="4" t="n"/>
      <c r="EM289" s="4" t="n"/>
      <c r="EN289" s="4" t="n"/>
    </row>
    <row r="290" hidden="1" customFormat="1" s="6">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c r="AE290" s="4" t="n"/>
      <c r="AF290" s="4" t="n"/>
      <c r="AG290" s="4" t="n"/>
      <c r="AH290" s="4" t="n"/>
      <c r="AI290" s="4" t="n"/>
      <c r="AJ290" s="4" t="n"/>
      <c r="AK290" s="4" t="n"/>
      <c r="AL290" s="4" t="n"/>
      <c r="AM290" s="4" t="n"/>
      <c r="AN290" s="4" t="n"/>
      <c r="AO290" s="4" t="n"/>
      <c r="AP290" s="4" t="n"/>
      <c r="AQ290" s="4" t="n"/>
      <c r="AR290" s="4" t="n"/>
      <c r="AS290" s="4" t="n"/>
      <c r="AT290" s="4" t="n"/>
      <c r="AU290" s="4" t="n"/>
      <c r="AV290" s="4" t="n"/>
      <c r="AW290" s="4" t="n"/>
      <c r="AX290" s="4" t="n"/>
      <c r="AY290" s="4" t="n"/>
      <c r="AZ290" s="4" t="n"/>
      <c r="BA290" s="4" t="n"/>
      <c r="BB290" s="4" t="n"/>
      <c r="BC290" s="4" t="n"/>
      <c r="BD290" s="4" t="n"/>
      <c r="BE290" s="4" t="n"/>
      <c r="BF290" s="4" t="n"/>
      <c r="BG290" s="4" t="n"/>
      <c r="BH290" s="4" t="n"/>
      <c r="BI290" s="4" t="n"/>
      <c r="BJ290" s="4" t="n"/>
      <c r="BK290" s="4" t="n"/>
      <c r="BL290" s="4" t="n"/>
      <c r="BM290" s="4" t="n"/>
      <c r="BN290" s="4" t="n"/>
      <c r="BO290" s="4" t="n"/>
      <c r="BP290" s="4" t="n"/>
      <c r="BQ290" s="4" t="n"/>
      <c r="BR290" s="4" t="n"/>
      <c r="BS290" s="4" t="n"/>
      <c r="BT290" s="4" t="n"/>
      <c r="BU290" s="4" t="n"/>
      <c r="BV290" s="4" t="n"/>
      <c r="BW290" s="4" t="n"/>
      <c r="BX290" s="4" t="n"/>
      <c r="BY290" s="4" t="n"/>
      <c r="BZ290" s="4" t="n"/>
      <c r="CA290" s="4" t="n"/>
      <c r="CB290" s="4" t="n"/>
      <c r="CC290" s="4" t="n"/>
      <c r="CD290" s="4" t="n"/>
      <c r="CE290" s="4" t="n"/>
      <c r="CF290" s="4" t="n"/>
      <c r="CG290" s="4" t="n"/>
      <c r="CH290" s="4" t="n"/>
      <c r="CI290" s="4" t="n"/>
      <c r="CJ290" s="4" t="n"/>
      <c r="CK290" s="4" t="n"/>
      <c r="CL290" s="4" t="n"/>
      <c r="CM290" s="4" t="n"/>
      <c r="CN290" s="4" t="n"/>
      <c r="CO290" s="4" t="n"/>
      <c r="CP290" s="4" t="n"/>
      <c r="CQ290" s="4" t="n"/>
      <c r="CR290" s="4" t="n"/>
      <c r="CS290" s="4" t="n"/>
      <c r="CT290" s="4" t="n"/>
      <c r="CU290" s="4" t="n"/>
      <c r="CV290" s="4" t="n"/>
      <c r="CW290" s="4" t="n"/>
      <c r="CX290" s="4" t="n"/>
      <c r="CY290" s="4" t="n"/>
      <c r="CZ290" s="4" t="n"/>
      <c r="DA290" s="4" t="n"/>
      <c r="DB290" s="4" t="n"/>
      <c r="DC290" s="4" t="n"/>
      <c r="DD290" s="4" t="n"/>
      <c r="DE290" s="4" t="n"/>
      <c r="DF290" s="4" t="n"/>
      <c r="DG290" s="4" t="n"/>
      <c r="DH290" s="4" t="n"/>
      <c r="DI290" s="4" t="n"/>
      <c r="DJ290" s="4" t="n"/>
      <c r="DK290" s="4" t="n"/>
      <c r="DL290" s="4" t="n"/>
      <c r="DM290" s="4" t="n"/>
      <c r="DN290" s="4" t="n"/>
      <c r="DO290" s="4" t="n"/>
      <c r="DP290" s="4" t="n"/>
      <c r="DQ290" s="4" t="n"/>
      <c r="DR290" s="4" t="n"/>
      <c r="DS290" s="4" t="n"/>
      <c r="DT290" s="4" t="n"/>
      <c r="DU290" s="4" t="n"/>
      <c r="DV290" s="4" t="n"/>
      <c r="DW290" s="4" t="n"/>
      <c r="DX290" s="4" t="n"/>
      <c r="DY290" s="4" t="n"/>
      <c r="DZ290" s="4" t="n"/>
      <c r="EA290" s="4" t="n"/>
      <c r="EB290" s="4" t="n"/>
      <c r="EC290" s="4" t="n"/>
      <c r="ED290" s="4" t="n"/>
      <c r="EE290" s="4" t="n"/>
      <c r="EF290" s="4" t="n"/>
      <c r="EG290" s="4" t="n"/>
      <c r="EH290" s="4" t="n"/>
      <c r="EI290" s="4" t="n"/>
      <c r="EJ290" s="4" t="n"/>
      <c r="EK290" s="4" t="n"/>
      <c r="EL290" s="4" t="n"/>
      <c r="EM290" s="4" t="n"/>
      <c r="EN290" s="4" t="n"/>
    </row>
    <row r="291" hidden="1" customFormat="1" s="6">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c r="AE291" s="4" t="n"/>
      <c r="AF291" s="4" t="n"/>
      <c r="AG291" s="4" t="n"/>
      <c r="AH291" s="4" t="n"/>
      <c r="AI291" s="4" t="n"/>
      <c r="AJ291" s="4" t="n"/>
      <c r="AK291" s="4" t="n"/>
      <c r="AL291" s="4" t="n"/>
      <c r="AM291" s="4" t="n"/>
      <c r="AN291" s="4" t="n"/>
      <c r="AO291" s="4" t="n"/>
      <c r="AP291" s="4" t="n"/>
      <c r="AQ291" s="4" t="n"/>
      <c r="AR291" s="4" t="n"/>
      <c r="AS291" s="4" t="n"/>
      <c r="AT291" s="4" t="n"/>
      <c r="AU291" s="4" t="n"/>
      <c r="AV291" s="4" t="n"/>
      <c r="AW291" s="4" t="n"/>
      <c r="AX291" s="4" t="n"/>
      <c r="AY291" s="4" t="n"/>
      <c r="AZ291" s="4" t="n"/>
      <c r="BA291" s="4" t="n"/>
      <c r="BB291" s="4" t="n"/>
      <c r="BC291" s="4" t="n"/>
      <c r="BD291" s="4" t="n"/>
      <c r="BE291" s="4" t="n"/>
      <c r="BF291" s="4" t="n"/>
      <c r="BG291" s="4" t="n"/>
      <c r="BH291" s="4" t="n"/>
      <c r="BI291" s="4" t="n"/>
      <c r="BJ291" s="4" t="n"/>
      <c r="BK291" s="4" t="n"/>
      <c r="BL291" s="4" t="n"/>
      <c r="BM291" s="4" t="n"/>
      <c r="BN291" s="4" t="n"/>
      <c r="BO291" s="4" t="n"/>
      <c r="BP291" s="4" t="n"/>
      <c r="BQ291" s="4" t="n"/>
      <c r="BR291" s="4" t="n"/>
      <c r="BS291" s="4" t="n"/>
      <c r="BT291" s="4" t="n"/>
      <c r="BU291" s="4" t="n"/>
      <c r="BV291" s="4" t="n"/>
      <c r="BW291" s="4" t="n"/>
      <c r="BX291" s="4" t="n"/>
      <c r="BY291" s="4" t="n"/>
      <c r="BZ291" s="4" t="n"/>
      <c r="CA291" s="4" t="n"/>
      <c r="CB291" s="4" t="n"/>
      <c r="CC291" s="4" t="n"/>
      <c r="CD291" s="4" t="n"/>
      <c r="CE291" s="4" t="n"/>
      <c r="CF291" s="4" t="n"/>
      <c r="CG291" s="4" t="n"/>
      <c r="CH291" s="4" t="n"/>
      <c r="CI291" s="4" t="n"/>
      <c r="CJ291" s="4" t="n"/>
      <c r="CK291" s="4" t="n"/>
      <c r="CL291" s="4" t="n"/>
      <c r="CM291" s="4" t="n"/>
      <c r="CN291" s="4" t="n"/>
      <c r="CO291" s="4" t="n"/>
      <c r="CP291" s="4" t="n"/>
      <c r="CQ291" s="4" t="n"/>
      <c r="CR291" s="4" t="n"/>
      <c r="CS291" s="4" t="n"/>
      <c r="CT291" s="4" t="n"/>
      <c r="CU291" s="4" t="n"/>
      <c r="CV291" s="4" t="n"/>
      <c r="CW291" s="4" t="n"/>
      <c r="CX291" s="4" t="n"/>
      <c r="CY291" s="4" t="n"/>
      <c r="CZ291" s="4" t="n"/>
      <c r="DA291" s="4" t="n"/>
      <c r="DB291" s="4" t="n"/>
      <c r="DC291" s="4" t="n"/>
      <c r="DD291" s="4" t="n"/>
      <c r="DE291" s="4" t="n"/>
      <c r="DF291" s="4" t="n"/>
      <c r="DG291" s="4" t="n"/>
      <c r="DH291" s="4" t="n"/>
      <c r="DI291" s="4" t="n"/>
      <c r="DJ291" s="4" t="n"/>
      <c r="DK291" s="4" t="n"/>
      <c r="DL291" s="4" t="n"/>
      <c r="DM291" s="4" t="n"/>
      <c r="DN291" s="4" t="n"/>
      <c r="DO291" s="4" t="n"/>
      <c r="DP291" s="4" t="n"/>
      <c r="DQ291" s="4" t="n"/>
      <c r="DR291" s="4" t="n"/>
      <c r="DS291" s="4" t="n"/>
      <c r="DT291" s="4" t="n"/>
      <c r="DU291" s="4" t="n"/>
      <c r="DV291" s="4" t="n"/>
      <c r="DW291" s="4" t="n"/>
      <c r="DX291" s="4" t="n"/>
      <c r="DY291" s="4" t="n"/>
      <c r="DZ291" s="4" t="n"/>
      <c r="EA291" s="4" t="n"/>
      <c r="EB291" s="4" t="n"/>
      <c r="EC291" s="4" t="n"/>
      <c r="ED291" s="4" t="n"/>
      <c r="EE291" s="4" t="n"/>
      <c r="EF291" s="4" t="n"/>
      <c r="EG291" s="4" t="n"/>
      <c r="EH291" s="4" t="n"/>
      <c r="EI291" s="4" t="n"/>
      <c r="EJ291" s="4" t="n"/>
      <c r="EK291" s="4" t="n"/>
      <c r="EL291" s="4" t="n"/>
      <c r="EM291" s="4" t="n"/>
      <c r="EN291" s="4" t="n"/>
    </row>
    <row r="292" hidden="1" customFormat="1" s="6">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c r="AE292" s="4" t="n"/>
      <c r="AF292" s="4" t="n"/>
      <c r="AG292" s="4" t="n"/>
      <c r="AH292" s="4" t="n"/>
      <c r="AI292" s="4" t="n"/>
      <c r="AJ292" s="4" t="n"/>
      <c r="AK292" s="4" t="n"/>
      <c r="AL292" s="4" t="n"/>
      <c r="AM292" s="4" t="n"/>
      <c r="AN292" s="4" t="n"/>
      <c r="AO292" s="4" t="n"/>
      <c r="AP292" s="4" t="n"/>
      <c r="AQ292" s="4" t="n"/>
      <c r="AR292" s="4" t="n"/>
      <c r="AS292" s="4" t="n"/>
      <c r="AT292" s="4" t="n"/>
      <c r="AU292" s="4" t="n"/>
      <c r="AV292" s="4" t="n"/>
      <c r="AW292" s="4" t="n"/>
      <c r="AX292" s="4" t="n"/>
      <c r="AY292" s="4" t="n"/>
      <c r="AZ292" s="4" t="n"/>
      <c r="BA292" s="4" t="n"/>
      <c r="BB292" s="4" t="n"/>
      <c r="BC292" s="4" t="n"/>
      <c r="BD292" s="4" t="n"/>
      <c r="BE292" s="4" t="n"/>
      <c r="BF292" s="4" t="n"/>
      <c r="BG292" s="4" t="n"/>
      <c r="BH292" s="4" t="n"/>
      <c r="BI292" s="4" t="n"/>
      <c r="BJ292" s="4" t="n"/>
      <c r="BK292" s="4" t="n"/>
      <c r="BL292" s="4" t="n"/>
      <c r="BM292" s="4" t="n"/>
      <c r="BN292" s="4" t="n"/>
      <c r="BO292" s="4" t="n"/>
      <c r="BP292" s="4" t="n"/>
      <c r="BQ292" s="4" t="n"/>
      <c r="BR292" s="4" t="n"/>
      <c r="BS292" s="4" t="n"/>
      <c r="BT292" s="4" t="n"/>
      <c r="BU292" s="4" t="n"/>
      <c r="BV292" s="4" t="n"/>
      <c r="BW292" s="4" t="n"/>
      <c r="BX292" s="4" t="n"/>
      <c r="BY292" s="4" t="n"/>
      <c r="BZ292" s="4" t="n"/>
      <c r="CA292" s="4" t="n"/>
      <c r="CB292" s="4" t="n"/>
      <c r="CC292" s="4" t="n"/>
      <c r="CD292" s="4" t="n"/>
      <c r="CE292" s="4" t="n"/>
      <c r="CF292" s="4" t="n"/>
      <c r="CG292" s="4" t="n"/>
      <c r="CH292" s="4" t="n"/>
      <c r="CI292" s="4" t="n"/>
      <c r="CJ292" s="4" t="n"/>
      <c r="CK292" s="4" t="n"/>
      <c r="CL292" s="4" t="n"/>
      <c r="CM292" s="4" t="n"/>
      <c r="CN292" s="4" t="n"/>
      <c r="CO292" s="4" t="n"/>
      <c r="CP292" s="4" t="n"/>
      <c r="CQ292" s="4" t="n"/>
      <c r="CR292" s="4" t="n"/>
      <c r="CS292" s="4" t="n"/>
      <c r="CT292" s="4" t="n"/>
      <c r="CU292" s="4" t="n"/>
      <c r="CV292" s="4" t="n"/>
      <c r="CW292" s="4" t="n"/>
      <c r="CX292" s="4" t="n"/>
      <c r="CY292" s="4" t="n"/>
      <c r="CZ292" s="4" t="n"/>
      <c r="DA292" s="4" t="n"/>
      <c r="DB292" s="4" t="n"/>
      <c r="DC292" s="4" t="n"/>
      <c r="DD292" s="4" t="n"/>
      <c r="DE292" s="4" t="n"/>
      <c r="DF292" s="4" t="n"/>
      <c r="DG292" s="4" t="n"/>
      <c r="DH292" s="4" t="n"/>
      <c r="DI292" s="4" t="n"/>
      <c r="DJ292" s="4" t="n"/>
      <c r="DK292" s="4" t="n"/>
      <c r="DL292" s="4" t="n"/>
      <c r="DM292" s="4" t="n"/>
      <c r="DN292" s="4" t="n"/>
      <c r="DO292" s="4" t="n"/>
      <c r="DP292" s="4" t="n"/>
      <c r="DQ292" s="4" t="n"/>
      <c r="DR292" s="4" t="n"/>
      <c r="DS292" s="4" t="n"/>
      <c r="DT292" s="4" t="n"/>
      <c r="DU292" s="4" t="n"/>
      <c r="DV292" s="4" t="n"/>
      <c r="DW292" s="4" t="n"/>
      <c r="DX292" s="4" t="n"/>
      <c r="DY292" s="4" t="n"/>
      <c r="DZ292" s="4" t="n"/>
      <c r="EA292" s="4" t="n"/>
      <c r="EB292" s="4" t="n"/>
      <c r="EC292" s="4" t="n"/>
      <c r="ED292" s="4" t="n"/>
      <c r="EE292" s="4" t="n"/>
      <c r="EF292" s="4" t="n"/>
      <c r="EG292" s="4" t="n"/>
      <c r="EH292" s="4" t="n"/>
      <c r="EI292" s="4" t="n"/>
      <c r="EJ292" s="4" t="n"/>
      <c r="EK292" s="4" t="n"/>
      <c r="EL292" s="4" t="n"/>
      <c r="EM292" s="4" t="n"/>
      <c r="EN292" s="4" t="n"/>
    </row>
    <row r="293" hidden="1" customFormat="1" s="6">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c r="AC293" s="4" t="n"/>
      <c r="AD293" s="4" t="n"/>
      <c r="AE293" s="4" t="n"/>
      <c r="AF293" s="4" t="n"/>
      <c r="AG293" s="4" t="n"/>
      <c r="AH293" s="4" t="n"/>
      <c r="AI293" s="4" t="n"/>
      <c r="AJ293" s="4" t="n"/>
      <c r="AK293" s="4" t="n"/>
      <c r="AL293" s="4" t="n"/>
      <c r="AM293" s="4" t="n"/>
      <c r="AN293" s="4" t="n"/>
      <c r="AO293" s="4" t="n"/>
      <c r="AP293" s="4" t="n"/>
      <c r="AQ293" s="4" t="n"/>
      <c r="AR293" s="4" t="n"/>
      <c r="AS293" s="4" t="n"/>
      <c r="AT293" s="4" t="n"/>
      <c r="AU293" s="4" t="n"/>
      <c r="AV293" s="4" t="n"/>
      <c r="AW293" s="4" t="n"/>
      <c r="AX293" s="4" t="n"/>
      <c r="AY293" s="4" t="n"/>
      <c r="AZ293" s="4" t="n"/>
      <c r="BA293" s="4" t="n"/>
      <c r="BB293" s="4" t="n"/>
      <c r="BC293" s="4" t="n"/>
      <c r="BD293" s="4" t="n"/>
      <c r="BE293" s="4" t="n"/>
      <c r="BF293" s="4" t="n"/>
      <c r="BG293" s="4" t="n"/>
      <c r="BH293" s="4" t="n"/>
      <c r="BI293" s="4" t="n"/>
      <c r="BJ293" s="4" t="n"/>
      <c r="BK293" s="4" t="n"/>
      <c r="BL293" s="4" t="n"/>
      <c r="BM293" s="4" t="n"/>
      <c r="BN293" s="4" t="n"/>
      <c r="BO293" s="4" t="n"/>
      <c r="BP293" s="4" t="n"/>
      <c r="BQ293" s="4" t="n"/>
      <c r="BR293" s="4" t="n"/>
      <c r="BS293" s="4" t="n"/>
      <c r="BT293" s="4" t="n"/>
      <c r="BU293" s="4" t="n"/>
      <c r="BV293" s="4" t="n"/>
      <c r="BW293" s="4" t="n"/>
      <c r="BX293" s="4" t="n"/>
      <c r="BY293" s="4" t="n"/>
      <c r="BZ293" s="4" t="n"/>
      <c r="CA293" s="4" t="n"/>
      <c r="CB293" s="4" t="n"/>
      <c r="CC293" s="4" t="n"/>
      <c r="CD293" s="4" t="n"/>
      <c r="CE293" s="4" t="n"/>
      <c r="CF293" s="4" t="n"/>
      <c r="CG293" s="4" t="n"/>
      <c r="CH293" s="4" t="n"/>
      <c r="CI293" s="4" t="n"/>
      <c r="CJ293" s="4" t="n"/>
      <c r="CK293" s="4" t="n"/>
      <c r="CL293" s="4" t="n"/>
      <c r="CM293" s="4" t="n"/>
      <c r="CN293" s="4" t="n"/>
      <c r="CO293" s="4" t="n"/>
      <c r="CP293" s="4" t="n"/>
      <c r="CQ293" s="4" t="n"/>
      <c r="CR293" s="4" t="n"/>
      <c r="CS293" s="4" t="n"/>
      <c r="CT293" s="4" t="n"/>
      <c r="CU293" s="4" t="n"/>
      <c r="CV293" s="4" t="n"/>
      <c r="CW293" s="4" t="n"/>
      <c r="CX293" s="4" t="n"/>
      <c r="CY293" s="4" t="n"/>
      <c r="CZ293" s="4" t="n"/>
      <c r="DA293" s="4" t="n"/>
      <c r="DB293" s="4" t="n"/>
      <c r="DC293" s="4" t="n"/>
      <c r="DD293" s="4" t="n"/>
      <c r="DE293" s="4" t="n"/>
      <c r="DF293" s="4" t="n"/>
      <c r="DG293" s="4" t="n"/>
      <c r="DH293" s="4" t="n"/>
      <c r="DI293" s="4" t="n"/>
      <c r="DJ293" s="4" t="n"/>
      <c r="DK293" s="4" t="n"/>
      <c r="DL293" s="4" t="n"/>
      <c r="DM293" s="4" t="n"/>
      <c r="DN293" s="4" t="n"/>
      <c r="DO293" s="4" t="n"/>
      <c r="DP293" s="4" t="n"/>
      <c r="DQ293" s="4" t="n"/>
      <c r="DR293" s="4" t="n"/>
      <c r="DS293" s="4" t="n"/>
      <c r="DT293" s="4" t="n"/>
      <c r="DU293" s="4" t="n"/>
      <c r="DV293" s="4" t="n"/>
      <c r="DW293" s="4" t="n"/>
      <c r="DX293" s="4" t="n"/>
      <c r="DY293" s="4" t="n"/>
      <c r="DZ293" s="4" t="n"/>
      <c r="EA293" s="4" t="n"/>
      <c r="EB293" s="4" t="n"/>
      <c r="EC293" s="4" t="n"/>
      <c r="ED293" s="4" t="n"/>
      <c r="EE293" s="4" t="n"/>
      <c r="EF293" s="4" t="n"/>
      <c r="EG293" s="4" t="n"/>
      <c r="EH293" s="4" t="n"/>
      <c r="EI293" s="4" t="n"/>
      <c r="EJ293" s="4" t="n"/>
      <c r="EK293" s="4" t="n"/>
      <c r="EL293" s="4" t="n"/>
      <c r="EM293" s="4" t="n"/>
      <c r="EN293" s="4" t="n"/>
    </row>
    <row r="294" hidden="1" customFormat="1" s="6">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c r="AE294" s="4" t="n"/>
      <c r="AF294" s="4" t="n"/>
      <c r="AG294" s="4" t="n"/>
      <c r="AH294" s="4" t="n"/>
      <c r="AI294" s="4" t="n"/>
      <c r="AJ294" s="4" t="n"/>
      <c r="AK294" s="4" t="n"/>
      <c r="AL294" s="4" t="n"/>
      <c r="AM294" s="4" t="n"/>
      <c r="AN294" s="4" t="n"/>
      <c r="AO294" s="4" t="n"/>
      <c r="AP294" s="4" t="n"/>
      <c r="AQ294" s="4" t="n"/>
      <c r="AR294" s="4" t="n"/>
      <c r="AS294" s="4" t="n"/>
      <c r="AT294" s="4" t="n"/>
      <c r="AU294" s="4" t="n"/>
      <c r="AV294" s="4" t="n"/>
      <c r="AW294" s="4" t="n"/>
      <c r="AX294" s="4" t="n"/>
      <c r="AY294" s="4" t="n"/>
      <c r="AZ294" s="4" t="n"/>
      <c r="BA294" s="4" t="n"/>
      <c r="BB294" s="4" t="n"/>
      <c r="BC294" s="4" t="n"/>
      <c r="BD294" s="4" t="n"/>
      <c r="BE294" s="4" t="n"/>
      <c r="BF294" s="4" t="n"/>
      <c r="BG294" s="4" t="n"/>
      <c r="BH294" s="4" t="n"/>
      <c r="BI294" s="4" t="n"/>
      <c r="BJ294" s="4" t="n"/>
      <c r="BK294" s="4" t="n"/>
      <c r="BL294" s="4" t="n"/>
      <c r="BM294" s="4" t="n"/>
      <c r="BN294" s="4" t="n"/>
      <c r="BO294" s="4" t="n"/>
      <c r="BP294" s="4" t="n"/>
      <c r="BQ294" s="4" t="n"/>
      <c r="BR294" s="4" t="n"/>
      <c r="BS294" s="4" t="n"/>
      <c r="BT294" s="4" t="n"/>
      <c r="BU294" s="4" t="n"/>
      <c r="BV294" s="4" t="n"/>
      <c r="BW294" s="4" t="n"/>
      <c r="BX294" s="4" t="n"/>
      <c r="BY294" s="4" t="n"/>
      <c r="BZ294" s="4" t="n"/>
      <c r="CA294" s="4" t="n"/>
      <c r="CB294" s="4" t="n"/>
      <c r="CC294" s="4" t="n"/>
      <c r="CD294" s="4" t="n"/>
      <c r="CE294" s="4" t="n"/>
      <c r="CF294" s="4" t="n"/>
      <c r="CG294" s="4" t="n"/>
      <c r="CH294" s="4" t="n"/>
      <c r="CI294" s="4" t="n"/>
      <c r="CJ294" s="4" t="n"/>
      <c r="CK294" s="4" t="n"/>
      <c r="CL294" s="4" t="n"/>
      <c r="CM294" s="4" t="n"/>
      <c r="CN294" s="4" t="n"/>
      <c r="CO294" s="4" t="n"/>
      <c r="CP294" s="4" t="n"/>
      <c r="CQ294" s="4" t="n"/>
      <c r="CR294" s="4" t="n"/>
      <c r="CS294" s="4" t="n"/>
      <c r="CT294" s="4" t="n"/>
      <c r="CU294" s="4" t="n"/>
      <c r="CV294" s="4" t="n"/>
      <c r="CW294" s="4" t="n"/>
      <c r="CX294" s="4" t="n"/>
      <c r="CY294" s="4" t="n"/>
      <c r="CZ294" s="4" t="n"/>
      <c r="DA294" s="4" t="n"/>
      <c r="DB294" s="4" t="n"/>
      <c r="DC294" s="4" t="n"/>
      <c r="DD294" s="4" t="n"/>
      <c r="DE294" s="4" t="n"/>
      <c r="DF294" s="4" t="n"/>
      <c r="DG294" s="4" t="n"/>
      <c r="DH294" s="4" t="n"/>
      <c r="DI294" s="4" t="n"/>
      <c r="DJ294" s="4" t="n"/>
      <c r="DK294" s="4" t="n"/>
      <c r="DL294" s="4" t="n"/>
      <c r="DM294" s="4" t="n"/>
      <c r="DN294" s="4" t="n"/>
      <c r="DO294" s="4" t="n"/>
      <c r="DP294" s="4" t="n"/>
      <c r="DQ294" s="4" t="n"/>
      <c r="DR294" s="4" t="n"/>
      <c r="DS294" s="4" t="n"/>
      <c r="DT294" s="4" t="n"/>
      <c r="DU294" s="4" t="n"/>
      <c r="DV294" s="4" t="n"/>
      <c r="DW294" s="4" t="n"/>
      <c r="DX294" s="4" t="n"/>
      <c r="DY294" s="4" t="n"/>
      <c r="DZ294" s="4" t="n"/>
      <c r="EA294" s="4" t="n"/>
      <c r="EB294" s="4" t="n"/>
      <c r="EC294" s="4" t="n"/>
      <c r="ED294" s="4" t="n"/>
      <c r="EE294" s="4" t="n"/>
      <c r="EF294" s="4" t="n"/>
      <c r="EG294" s="4" t="n"/>
      <c r="EH294" s="4" t="n"/>
      <c r="EI294" s="4" t="n"/>
      <c r="EJ294" s="4" t="n"/>
      <c r="EK294" s="4" t="n"/>
      <c r="EL294" s="4" t="n"/>
      <c r="EM294" s="4" t="n"/>
      <c r="EN294" s="4" t="n"/>
    </row>
    <row r="295" hidden="1" customFormat="1" s="6">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c r="AC295" s="4" t="n"/>
      <c r="AD295" s="4" t="n"/>
      <c r="AE295" s="4" t="n"/>
      <c r="AF295" s="4" t="n"/>
      <c r="AG295" s="4" t="n"/>
      <c r="AH295" s="4" t="n"/>
      <c r="AI295" s="4" t="n"/>
      <c r="AJ295" s="4" t="n"/>
      <c r="AK295" s="4" t="n"/>
      <c r="AL295" s="4" t="n"/>
      <c r="AM295" s="4" t="n"/>
      <c r="AN295" s="4" t="n"/>
      <c r="AO295" s="4" t="n"/>
      <c r="AP295" s="4" t="n"/>
      <c r="AQ295" s="4" t="n"/>
      <c r="AR295" s="4" t="n"/>
      <c r="AS295" s="4" t="n"/>
      <c r="AT295" s="4" t="n"/>
      <c r="AU295" s="4" t="n"/>
      <c r="AV295" s="4" t="n"/>
      <c r="AW295" s="4" t="n"/>
      <c r="AX295" s="4" t="n"/>
      <c r="AY295" s="4" t="n"/>
      <c r="AZ295" s="4" t="n"/>
      <c r="BA295" s="4" t="n"/>
      <c r="BB295" s="4" t="n"/>
      <c r="BC295" s="4" t="n"/>
      <c r="BD295" s="4" t="n"/>
      <c r="BE295" s="4" t="n"/>
      <c r="BF295" s="4" t="n"/>
      <c r="BG295" s="4" t="n"/>
      <c r="BH295" s="4" t="n"/>
      <c r="BI295" s="4" t="n"/>
      <c r="BJ295" s="4" t="n"/>
      <c r="BK295" s="4" t="n"/>
      <c r="BL295" s="4" t="n"/>
      <c r="BM295" s="4" t="n"/>
      <c r="BN295" s="4" t="n"/>
      <c r="BO295" s="4" t="n"/>
      <c r="BP295" s="4" t="n"/>
      <c r="BQ295" s="4" t="n"/>
      <c r="BR295" s="4" t="n"/>
      <c r="BS295" s="4" t="n"/>
      <c r="BT295" s="4" t="n"/>
      <c r="BU295" s="4" t="n"/>
      <c r="BV295" s="4" t="n"/>
      <c r="BW295" s="4" t="n"/>
      <c r="BX295" s="4" t="n"/>
      <c r="BY295" s="4" t="n"/>
      <c r="BZ295" s="4" t="n"/>
      <c r="CA295" s="4" t="n"/>
      <c r="CB295" s="4" t="n"/>
      <c r="CC295" s="4" t="n"/>
      <c r="CD295" s="4" t="n"/>
      <c r="CE295" s="4" t="n"/>
      <c r="CF295" s="4" t="n"/>
      <c r="CG295" s="4" t="n"/>
      <c r="CH295" s="4" t="n"/>
      <c r="CI295" s="4" t="n"/>
      <c r="CJ295" s="4" t="n"/>
      <c r="CK295" s="4" t="n"/>
      <c r="CL295" s="4" t="n"/>
      <c r="CM295" s="4" t="n"/>
      <c r="CN295" s="4" t="n"/>
      <c r="CO295" s="4" t="n"/>
      <c r="CP295" s="4" t="n"/>
      <c r="CQ295" s="4" t="n"/>
      <c r="CR295" s="4" t="n"/>
      <c r="CS295" s="4" t="n"/>
      <c r="CT295" s="4" t="n"/>
      <c r="CU295" s="4" t="n"/>
      <c r="CV295" s="4" t="n"/>
      <c r="CW295" s="4" t="n"/>
      <c r="CX295" s="4" t="n"/>
      <c r="CY295" s="4" t="n"/>
      <c r="CZ295" s="4" t="n"/>
      <c r="DA295" s="4" t="n"/>
      <c r="DB295" s="4" t="n"/>
      <c r="DC295" s="4" t="n"/>
      <c r="DD295" s="4" t="n"/>
      <c r="DE295" s="4" t="n"/>
      <c r="DF295" s="4" t="n"/>
      <c r="DG295" s="4" t="n"/>
      <c r="DH295" s="4" t="n"/>
      <c r="DI295" s="4" t="n"/>
      <c r="DJ295" s="4" t="n"/>
      <c r="DK295" s="4" t="n"/>
      <c r="DL295" s="4" t="n"/>
      <c r="DM295" s="4" t="n"/>
      <c r="DN295" s="4" t="n"/>
      <c r="DO295" s="4" t="n"/>
      <c r="DP295" s="4" t="n"/>
      <c r="DQ295" s="4" t="n"/>
      <c r="DR295" s="4" t="n"/>
      <c r="DS295" s="4" t="n"/>
      <c r="DT295" s="4" t="n"/>
      <c r="DU295" s="4" t="n"/>
      <c r="DV295" s="4" t="n"/>
      <c r="DW295" s="4" t="n"/>
      <c r="DX295" s="4" t="n"/>
      <c r="DY295" s="4" t="n"/>
      <c r="DZ295" s="4" t="n"/>
      <c r="EA295" s="4" t="n"/>
      <c r="EB295" s="4" t="n"/>
      <c r="EC295" s="4" t="n"/>
      <c r="ED295" s="4" t="n"/>
      <c r="EE295" s="4" t="n"/>
      <c r="EF295" s="4" t="n"/>
      <c r="EG295" s="4" t="n"/>
      <c r="EH295" s="4" t="n"/>
      <c r="EI295" s="4" t="n"/>
      <c r="EJ295" s="4" t="n"/>
      <c r="EK295" s="4" t="n"/>
      <c r="EL295" s="4" t="n"/>
      <c r="EM295" s="4" t="n"/>
      <c r="EN295" s="4" t="n"/>
    </row>
    <row r="296" hidden="1" customFormat="1" s="6">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c r="AE296" s="4" t="n"/>
      <c r="AF296" s="4" t="n"/>
      <c r="AG296" s="4" t="n"/>
      <c r="AH296" s="4" t="n"/>
      <c r="AI296" s="4" t="n"/>
      <c r="AJ296" s="4" t="n"/>
      <c r="AK296" s="4" t="n"/>
      <c r="AL296" s="4" t="n"/>
      <c r="AM296" s="4" t="n"/>
      <c r="AN296" s="4" t="n"/>
      <c r="AO296" s="4" t="n"/>
      <c r="AP296" s="4" t="n"/>
      <c r="AQ296" s="4" t="n"/>
      <c r="AR296" s="4" t="n"/>
      <c r="AS296" s="4" t="n"/>
      <c r="AT296" s="4" t="n"/>
      <c r="AU296" s="4" t="n"/>
      <c r="AV296" s="4" t="n"/>
      <c r="AW296" s="4" t="n"/>
      <c r="AX296" s="4" t="n"/>
      <c r="AY296" s="4" t="n"/>
      <c r="AZ296" s="4" t="n"/>
      <c r="BA296" s="4" t="n"/>
      <c r="BB296" s="4" t="n"/>
      <c r="BC296" s="4" t="n"/>
      <c r="BD296" s="4" t="n"/>
      <c r="BE296" s="4" t="n"/>
      <c r="BF296" s="4" t="n"/>
      <c r="BG296" s="4" t="n"/>
      <c r="BH296" s="4" t="n"/>
      <c r="BI296" s="4" t="n"/>
      <c r="BJ296" s="4" t="n"/>
      <c r="BK296" s="4" t="n"/>
      <c r="BL296" s="4" t="n"/>
      <c r="BM296" s="4" t="n"/>
      <c r="BN296" s="4" t="n"/>
      <c r="BO296" s="4" t="n"/>
      <c r="BP296" s="4" t="n"/>
      <c r="BQ296" s="4" t="n"/>
      <c r="BR296" s="4" t="n"/>
      <c r="BS296" s="4" t="n"/>
      <c r="BT296" s="4" t="n"/>
      <c r="BU296" s="4" t="n"/>
      <c r="BV296" s="4" t="n"/>
      <c r="BW296" s="4" t="n"/>
      <c r="BX296" s="4" t="n"/>
      <c r="BY296" s="4" t="n"/>
      <c r="BZ296" s="4" t="n"/>
      <c r="CA296" s="4" t="n"/>
      <c r="CB296" s="4" t="n"/>
      <c r="CC296" s="4" t="n"/>
      <c r="CD296" s="4" t="n"/>
      <c r="CE296" s="4" t="n"/>
      <c r="CF296" s="4" t="n"/>
      <c r="CG296" s="4" t="n"/>
      <c r="CH296" s="4" t="n"/>
      <c r="CI296" s="4" t="n"/>
      <c r="CJ296" s="4" t="n"/>
      <c r="CK296" s="4" t="n"/>
      <c r="CL296" s="4" t="n"/>
      <c r="CM296" s="4" t="n"/>
      <c r="CN296" s="4" t="n"/>
      <c r="CO296" s="4" t="n"/>
      <c r="CP296" s="4" t="n"/>
      <c r="CQ296" s="4" t="n"/>
      <c r="CR296" s="4" t="n"/>
      <c r="CS296" s="4" t="n"/>
      <c r="CT296" s="4" t="n"/>
      <c r="CU296" s="4" t="n"/>
      <c r="CV296" s="4" t="n"/>
      <c r="CW296" s="4" t="n"/>
      <c r="CX296" s="4" t="n"/>
      <c r="CY296" s="4" t="n"/>
      <c r="CZ296" s="4" t="n"/>
      <c r="DA296" s="4" t="n"/>
      <c r="DB296" s="4" t="n"/>
      <c r="DC296" s="4" t="n"/>
      <c r="DD296" s="4" t="n"/>
      <c r="DE296" s="4" t="n"/>
      <c r="DF296" s="4" t="n"/>
      <c r="DG296" s="4" t="n"/>
      <c r="DH296" s="4" t="n"/>
      <c r="DI296" s="4" t="n"/>
      <c r="DJ296" s="4" t="n"/>
      <c r="DK296" s="4" t="n"/>
      <c r="DL296" s="4" t="n"/>
      <c r="DM296" s="4" t="n"/>
      <c r="DN296" s="4" t="n"/>
      <c r="DO296" s="4" t="n"/>
      <c r="DP296" s="4" t="n"/>
      <c r="DQ296" s="4" t="n"/>
      <c r="DR296" s="4" t="n"/>
      <c r="DS296" s="4" t="n"/>
      <c r="DT296" s="4" t="n"/>
      <c r="DU296" s="4" t="n"/>
      <c r="DV296" s="4" t="n"/>
      <c r="DW296" s="4" t="n"/>
      <c r="DX296" s="4" t="n"/>
      <c r="DY296" s="4" t="n"/>
      <c r="DZ296" s="4" t="n"/>
      <c r="EA296" s="4" t="n"/>
      <c r="EB296" s="4" t="n"/>
      <c r="EC296" s="4" t="n"/>
      <c r="ED296" s="4" t="n"/>
      <c r="EE296" s="4" t="n"/>
      <c r="EF296" s="4" t="n"/>
      <c r="EG296" s="4" t="n"/>
      <c r="EH296" s="4" t="n"/>
      <c r="EI296" s="4" t="n"/>
      <c r="EJ296" s="4" t="n"/>
      <c r="EK296" s="4" t="n"/>
      <c r="EL296" s="4" t="n"/>
      <c r="EM296" s="4" t="n"/>
      <c r="EN296" s="4" t="n"/>
    </row>
    <row r="297" hidden="1" customFormat="1" s="6">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c r="AC297" s="4" t="n"/>
      <c r="AD297" s="4" t="n"/>
      <c r="AE297" s="4" t="n"/>
      <c r="AF297" s="4" t="n"/>
      <c r="AG297" s="4" t="n"/>
      <c r="AH297" s="4" t="n"/>
      <c r="AI297" s="4" t="n"/>
      <c r="AJ297" s="4" t="n"/>
      <c r="AK297" s="4" t="n"/>
      <c r="AL297" s="4" t="n"/>
      <c r="AM297" s="4" t="n"/>
      <c r="AN297" s="4" t="n"/>
      <c r="AO297" s="4" t="n"/>
      <c r="AP297" s="4" t="n"/>
      <c r="AQ297" s="4" t="n"/>
      <c r="AR297" s="4" t="n"/>
      <c r="AS297" s="4" t="n"/>
      <c r="AT297" s="4" t="n"/>
      <c r="AU297" s="4" t="n"/>
      <c r="AV297" s="4" t="n"/>
      <c r="AW297" s="4" t="n"/>
      <c r="AX297" s="4" t="n"/>
      <c r="AY297" s="4" t="n"/>
      <c r="AZ297" s="4" t="n"/>
      <c r="BA297" s="4" t="n"/>
      <c r="BB297" s="4" t="n"/>
      <c r="BC297" s="4" t="n"/>
      <c r="BD297" s="4" t="n"/>
      <c r="BE297" s="4" t="n"/>
      <c r="BF297" s="4" t="n"/>
      <c r="BG297" s="4" t="n"/>
      <c r="BH297" s="4" t="n"/>
      <c r="BI297" s="4" t="n"/>
      <c r="BJ297" s="4" t="n"/>
      <c r="BK297" s="4" t="n"/>
      <c r="BL297" s="4" t="n"/>
      <c r="BM297" s="4" t="n"/>
      <c r="BN297" s="4" t="n"/>
      <c r="BO297" s="4" t="n"/>
      <c r="BP297" s="4" t="n"/>
      <c r="BQ297" s="4" t="n"/>
      <c r="BR297" s="4" t="n"/>
      <c r="BS297" s="4" t="n"/>
      <c r="BT297" s="4" t="n"/>
      <c r="BU297" s="4" t="n"/>
      <c r="BV297" s="4" t="n"/>
      <c r="BW297" s="4" t="n"/>
      <c r="BX297" s="4" t="n"/>
      <c r="BY297" s="4" t="n"/>
      <c r="BZ297" s="4" t="n"/>
      <c r="CA297" s="4" t="n"/>
      <c r="CB297" s="4" t="n"/>
      <c r="CC297" s="4" t="n"/>
      <c r="CD297" s="4" t="n"/>
      <c r="CE297" s="4" t="n"/>
      <c r="CF297" s="4" t="n"/>
      <c r="CG297" s="4" t="n"/>
      <c r="CH297" s="4" t="n"/>
      <c r="CI297" s="4" t="n"/>
      <c r="CJ297" s="4" t="n"/>
      <c r="CK297" s="4" t="n"/>
      <c r="CL297" s="4" t="n"/>
      <c r="CM297" s="4" t="n"/>
      <c r="CN297" s="4" t="n"/>
      <c r="CO297" s="4" t="n"/>
      <c r="CP297" s="4" t="n"/>
      <c r="CQ297" s="4" t="n"/>
      <c r="CR297" s="4" t="n"/>
      <c r="CS297" s="4" t="n"/>
      <c r="CT297" s="4" t="n"/>
      <c r="CU297" s="4" t="n"/>
      <c r="CV297" s="4" t="n"/>
      <c r="CW297" s="4" t="n"/>
      <c r="CX297" s="4" t="n"/>
      <c r="CY297" s="4" t="n"/>
      <c r="CZ297" s="4" t="n"/>
      <c r="DA297" s="4" t="n"/>
      <c r="DB297" s="4" t="n"/>
      <c r="DC297" s="4" t="n"/>
      <c r="DD297" s="4" t="n"/>
      <c r="DE297" s="4" t="n"/>
      <c r="DF297" s="4" t="n"/>
      <c r="DG297" s="4" t="n"/>
      <c r="DH297" s="4" t="n"/>
      <c r="DI297" s="4" t="n"/>
      <c r="DJ297" s="4" t="n"/>
      <c r="DK297" s="4" t="n"/>
      <c r="DL297" s="4" t="n"/>
      <c r="DM297" s="4" t="n"/>
      <c r="DN297" s="4" t="n"/>
      <c r="DO297" s="4" t="n"/>
      <c r="DP297" s="4" t="n"/>
      <c r="DQ297" s="4" t="n"/>
      <c r="DR297" s="4" t="n"/>
      <c r="DS297" s="4" t="n"/>
      <c r="DT297" s="4" t="n"/>
      <c r="DU297" s="4" t="n"/>
      <c r="DV297" s="4" t="n"/>
      <c r="DW297" s="4" t="n"/>
      <c r="DX297" s="4" t="n"/>
      <c r="DY297" s="4" t="n"/>
      <c r="DZ297" s="4" t="n"/>
      <c r="EA297" s="4" t="n"/>
      <c r="EB297" s="4" t="n"/>
      <c r="EC297" s="4" t="n"/>
      <c r="ED297" s="4" t="n"/>
      <c r="EE297" s="4" t="n"/>
      <c r="EF297" s="4" t="n"/>
      <c r="EG297" s="4" t="n"/>
      <c r="EH297" s="4" t="n"/>
      <c r="EI297" s="4" t="n"/>
      <c r="EJ297" s="4" t="n"/>
      <c r="EK297" s="4" t="n"/>
      <c r="EL297" s="4" t="n"/>
      <c r="EM297" s="4" t="n"/>
      <c r="EN297" s="4" t="n"/>
    </row>
    <row r="298" hidden="1" customFormat="1" s="6">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c r="AC298" s="4" t="n"/>
      <c r="AD298" s="4" t="n"/>
      <c r="AE298" s="4" t="n"/>
      <c r="AF298" s="4" t="n"/>
      <c r="AG298" s="4" t="n"/>
      <c r="AH298" s="4" t="n"/>
      <c r="AI298" s="4" t="n"/>
      <c r="AJ298" s="4" t="n"/>
      <c r="AK298" s="4" t="n"/>
      <c r="AL298" s="4" t="n"/>
      <c r="AM298" s="4" t="n"/>
      <c r="AN298" s="4" t="n"/>
      <c r="AO298" s="4" t="n"/>
      <c r="AP298" s="4" t="n"/>
      <c r="AQ298" s="4" t="n"/>
      <c r="AR298" s="4" t="n"/>
      <c r="AS298" s="4" t="n"/>
      <c r="AT298" s="4" t="n"/>
      <c r="AU298" s="4" t="n"/>
      <c r="AV298" s="4" t="n"/>
      <c r="AW298" s="4" t="n"/>
      <c r="AX298" s="4" t="n"/>
      <c r="AY298" s="4" t="n"/>
      <c r="AZ298" s="4" t="n"/>
      <c r="BA298" s="4" t="n"/>
      <c r="BB298" s="4" t="n"/>
      <c r="BC298" s="4" t="n"/>
      <c r="BD298" s="4" t="n"/>
      <c r="BE298" s="4" t="n"/>
      <c r="BF298" s="4" t="n"/>
      <c r="BG298" s="4" t="n"/>
      <c r="BH298" s="4" t="n"/>
      <c r="BI298" s="4" t="n"/>
      <c r="BJ298" s="4" t="n"/>
      <c r="BK298" s="4" t="n"/>
      <c r="BL298" s="4" t="n"/>
      <c r="BM298" s="4" t="n"/>
      <c r="BN298" s="4" t="n"/>
      <c r="BO298" s="4" t="n"/>
      <c r="BP298" s="4" t="n"/>
      <c r="BQ298" s="4" t="n"/>
      <c r="BR298" s="4" t="n"/>
      <c r="BS298" s="4" t="n"/>
      <c r="BT298" s="4" t="n"/>
      <c r="BU298" s="4" t="n"/>
      <c r="BV298" s="4" t="n"/>
      <c r="BW298" s="4" t="n"/>
      <c r="BX298" s="4" t="n"/>
      <c r="BY298" s="4" t="n"/>
      <c r="BZ298" s="4" t="n"/>
      <c r="CA298" s="4" t="n"/>
      <c r="CB298" s="4" t="n"/>
      <c r="CC298" s="4" t="n"/>
      <c r="CD298" s="4" t="n"/>
      <c r="CE298" s="4" t="n"/>
      <c r="CF298" s="4" t="n"/>
      <c r="CG298" s="4" t="n"/>
      <c r="CH298" s="4" t="n"/>
      <c r="CI298" s="4" t="n"/>
      <c r="CJ298" s="4" t="n"/>
      <c r="CK298" s="4" t="n"/>
      <c r="CL298" s="4" t="n"/>
      <c r="CM298" s="4" t="n"/>
      <c r="CN298" s="4" t="n"/>
      <c r="CO298" s="4" t="n"/>
      <c r="CP298" s="4" t="n"/>
      <c r="CQ298" s="4" t="n"/>
      <c r="CR298" s="4" t="n"/>
      <c r="CS298" s="4" t="n"/>
      <c r="CT298" s="4" t="n"/>
      <c r="CU298" s="4" t="n"/>
      <c r="CV298" s="4" t="n"/>
      <c r="CW298" s="4" t="n"/>
      <c r="CX298" s="4" t="n"/>
      <c r="CY298" s="4" t="n"/>
      <c r="CZ298" s="4" t="n"/>
      <c r="DA298" s="4" t="n"/>
      <c r="DB298" s="4" t="n"/>
      <c r="DC298" s="4" t="n"/>
      <c r="DD298" s="4" t="n"/>
      <c r="DE298" s="4" t="n"/>
      <c r="DF298" s="4" t="n"/>
      <c r="DG298" s="4" t="n"/>
      <c r="DH298" s="4" t="n"/>
      <c r="DI298" s="4" t="n"/>
      <c r="DJ298" s="4" t="n"/>
      <c r="DK298" s="4" t="n"/>
      <c r="DL298" s="4" t="n"/>
      <c r="DM298" s="4" t="n"/>
      <c r="DN298" s="4" t="n"/>
      <c r="DO298" s="4" t="n"/>
      <c r="DP298" s="4" t="n"/>
      <c r="DQ298" s="4" t="n"/>
      <c r="DR298" s="4" t="n"/>
      <c r="DS298" s="4" t="n"/>
      <c r="DT298" s="4" t="n"/>
      <c r="DU298" s="4" t="n"/>
      <c r="DV298" s="4" t="n"/>
      <c r="DW298" s="4" t="n"/>
      <c r="DX298" s="4" t="n"/>
      <c r="DY298" s="4" t="n"/>
      <c r="DZ298" s="4" t="n"/>
      <c r="EA298" s="4" t="n"/>
      <c r="EB298" s="4" t="n"/>
      <c r="EC298" s="4" t="n"/>
      <c r="ED298" s="4" t="n"/>
      <c r="EE298" s="4" t="n"/>
      <c r="EF298" s="4" t="n"/>
      <c r="EG298" s="4" t="n"/>
      <c r="EH298" s="4" t="n"/>
      <c r="EI298" s="4" t="n"/>
      <c r="EJ298" s="4" t="n"/>
      <c r="EK298" s="4" t="n"/>
      <c r="EL298" s="4" t="n"/>
      <c r="EM298" s="4" t="n"/>
      <c r="EN298" s="4" t="n"/>
    </row>
    <row r="299" hidden="1" customFormat="1" s="6">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c r="AE299" s="4" t="n"/>
      <c r="AF299" s="4" t="n"/>
      <c r="AG299" s="4" t="n"/>
      <c r="AH299" s="4" t="n"/>
      <c r="AI299" s="4" t="n"/>
      <c r="AJ299" s="4" t="n"/>
      <c r="AK299" s="4" t="n"/>
      <c r="AL299" s="4" t="n"/>
      <c r="AM299" s="4" t="n"/>
      <c r="AN299" s="4" t="n"/>
      <c r="AO299" s="4" t="n"/>
      <c r="AP299" s="4" t="n"/>
      <c r="AQ299" s="4" t="n"/>
      <c r="AR299" s="4" t="n"/>
      <c r="AS299" s="4" t="n"/>
      <c r="AT299" s="4" t="n"/>
      <c r="AU299" s="4" t="n"/>
      <c r="AV299" s="4" t="n"/>
      <c r="AW299" s="4" t="n"/>
      <c r="AX299" s="4" t="n"/>
      <c r="AY299" s="4" t="n"/>
      <c r="AZ299" s="4" t="n"/>
      <c r="BA299" s="4" t="n"/>
      <c r="BB299" s="4" t="n"/>
      <c r="BC299" s="4" t="n"/>
      <c r="BD299" s="4" t="n"/>
      <c r="BE299" s="4" t="n"/>
      <c r="BF299" s="4" t="n"/>
      <c r="BG299" s="4" t="n"/>
      <c r="BH299" s="4" t="n"/>
      <c r="BI299" s="4" t="n"/>
      <c r="BJ299" s="4" t="n"/>
      <c r="BK299" s="4" t="n"/>
      <c r="BL299" s="4" t="n"/>
      <c r="BM299" s="4" t="n"/>
      <c r="BN299" s="4" t="n"/>
      <c r="BO299" s="4" t="n"/>
      <c r="BP299" s="4" t="n"/>
      <c r="BQ299" s="4" t="n"/>
      <c r="BR299" s="4" t="n"/>
      <c r="BS299" s="4" t="n"/>
      <c r="BT299" s="4" t="n"/>
      <c r="BU299" s="4" t="n"/>
      <c r="BV299" s="4" t="n"/>
      <c r="BW299" s="4" t="n"/>
      <c r="BX299" s="4" t="n"/>
      <c r="BY299" s="4" t="n"/>
      <c r="BZ299" s="4" t="n"/>
      <c r="CA299" s="4" t="n"/>
      <c r="CB299" s="4" t="n"/>
      <c r="CC299" s="4" t="n"/>
      <c r="CD299" s="4" t="n"/>
      <c r="CE299" s="4" t="n"/>
      <c r="CF299" s="4" t="n"/>
      <c r="CG299" s="4" t="n"/>
      <c r="CH299" s="4" t="n"/>
      <c r="CI299" s="4" t="n"/>
      <c r="CJ299" s="4" t="n"/>
      <c r="CK299" s="4" t="n"/>
      <c r="CL299" s="4" t="n"/>
      <c r="CM299" s="4" t="n"/>
      <c r="CN299" s="4" t="n"/>
      <c r="CO299" s="4" t="n"/>
      <c r="CP299" s="4" t="n"/>
      <c r="CQ299" s="4" t="n"/>
      <c r="CR299" s="4" t="n"/>
      <c r="CS299" s="4" t="n"/>
      <c r="CT299" s="4" t="n"/>
      <c r="CU299" s="4" t="n"/>
      <c r="CV299" s="4" t="n"/>
      <c r="CW299" s="4" t="n"/>
      <c r="CX299" s="4" t="n"/>
      <c r="CY299" s="4" t="n"/>
      <c r="CZ299" s="4" t="n"/>
      <c r="DA299" s="4" t="n"/>
      <c r="DB299" s="4" t="n"/>
      <c r="DC299" s="4" t="n"/>
      <c r="DD299" s="4" t="n"/>
      <c r="DE299" s="4" t="n"/>
      <c r="DF299" s="4" t="n"/>
      <c r="DG299" s="4" t="n"/>
      <c r="DH299" s="4" t="n"/>
      <c r="DI299" s="4" t="n"/>
      <c r="DJ299" s="4" t="n"/>
      <c r="DK299" s="4" t="n"/>
      <c r="DL299" s="4" t="n"/>
      <c r="DM299" s="4" t="n"/>
      <c r="DN299" s="4" t="n"/>
      <c r="DO299" s="4" t="n"/>
      <c r="DP299" s="4" t="n"/>
      <c r="DQ299" s="4" t="n"/>
      <c r="DR299" s="4" t="n"/>
      <c r="DS299" s="4" t="n"/>
      <c r="DT299" s="4" t="n"/>
      <c r="DU299" s="4" t="n"/>
      <c r="DV299" s="4" t="n"/>
      <c r="DW299" s="4" t="n"/>
      <c r="DX299" s="4" t="n"/>
      <c r="DY299" s="4" t="n"/>
      <c r="DZ299" s="4" t="n"/>
      <c r="EA299" s="4" t="n"/>
      <c r="EB299" s="4" t="n"/>
      <c r="EC299" s="4" t="n"/>
      <c r="ED299" s="4" t="n"/>
      <c r="EE299" s="4" t="n"/>
      <c r="EF299" s="4" t="n"/>
      <c r="EG299" s="4" t="n"/>
      <c r="EH299" s="4" t="n"/>
      <c r="EI299" s="4" t="n"/>
      <c r="EJ299" s="4" t="n"/>
      <c r="EK299" s="4" t="n"/>
      <c r="EL299" s="4" t="n"/>
      <c r="EM299" s="4" t="n"/>
      <c r="EN299" s="4" t="n"/>
    </row>
    <row r="300" hidden="1" customFormat="1" s="6">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c r="AE300" s="4" t="n"/>
      <c r="AF300" s="4" t="n"/>
      <c r="AG300" s="4" t="n"/>
      <c r="AH300" s="4" t="n"/>
      <c r="AI300" s="4" t="n"/>
      <c r="AJ300" s="4" t="n"/>
      <c r="AK300" s="4" t="n"/>
      <c r="AL300" s="4" t="n"/>
      <c r="AM300" s="4" t="n"/>
      <c r="AN300" s="4" t="n"/>
      <c r="AO300" s="4" t="n"/>
      <c r="AP300" s="4" t="n"/>
      <c r="AQ300" s="4" t="n"/>
      <c r="AR300" s="4" t="n"/>
      <c r="AS300" s="4" t="n"/>
      <c r="AT300" s="4" t="n"/>
      <c r="AU300" s="4" t="n"/>
      <c r="AV300" s="4" t="n"/>
      <c r="AW300" s="4" t="n"/>
      <c r="AX300" s="4" t="n"/>
      <c r="AY300" s="4" t="n"/>
      <c r="AZ300" s="4" t="n"/>
      <c r="BA300" s="4" t="n"/>
      <c r="BB300" s="4" t="n"/>
      <c r="BC300" s="4" t="n"/>
      <c r="BD300" s="4" t="n"/>
      <c r="BE300" s="4" t="n"/>
      <c r="BF300" s="4" t="n"/>
      <c r="BG300" s="4" t="n"/>
      <c r="BH300" s="4" t="n"/>
      <c r="BI300" s="4" t="n"/>
      <c r="BJ300" s="4" t="n"/>
      <c r="BK300" s="4" t="n"/>
      <c r="BL300" s="4" t="n"/>
      <c r="BM300" s="4" t="n"/>
      <c r="BN300" s="4" t="n"/>
      <c r="BO300" s="4" t="n"/>
      <c r="BP300" s="4" t="n"/>
      <c r="BQ300" s="4" t="n"/>
      <c r="BR300" s="4" t="n"/>
      <c r="BS300" s="4" t="n"/>
      <c r="BT300" s="4" t="n"/>
      <c r="BU300" s="4" t="n"/>
      <c r="BV300" s="4" t="n"/>
      <c r="BW300" s="4" t="n"/>
      <c r="BX300" s="4" t="n"/>
      <c r="BY300" s="4" t="n"/>
      <c r="BZ300" s="4" t="n"/>
      <c r="CA300" s="4" t="n"/>
      <c r="CB300" s="4" t="n"/>
      <c r="CC300" s="4" t="n"/>
      <c r="CD300" s="4" t="n"/>
      <c r="CE300" s="4" t="n"/>
      <c r="CF300" s="4" t="n"/>
      <c r="CG300" s="4" t="n"/>
      <c r="CH300" s="4" t="n"/>
      <c r="CI300" s="4" t="n"/>
      <c r="CJ300" s="4" t="n"/>
      <c r="CK300" s="4" t="n"/>
      <c r="CL300" s="4" t="n"/>
      <c r="CM300" s="4" t="n"/>
      <c r="CN300" s="4" t="n"/>
      <c r="CO300" s="4" t="n"/>
      <c r="CP300" s="4" t="n"/>
      <c r="CQ300" s="4" t="n"/>
      <c r="CR300" s="4" t="n"/>
      <c r="CS300" s="4" t="n"/>
      <c r="CT300" s="4" t="n"/>
      <c r="CU300" s="4" t="n"/>
      <c r="CV300" s="4" t="n"/>
      <c r="CW300" s="4" t="n"/>
      <c r="CX300" s="4" t="n"/>
      <c r="CY300" s="4" t="n"/>
      <c r="CZ300" s="4" t="n"/>
      <c r="DA300" s="4" t="n"/>
      <c r="DB300" s="4" t="n"/>
      <c r="DC300" s="4" t="n"/>
      <c r="DD300" s="4" t="n"/>
      <c r="DE300" s="4" t="n"/>
      <c r="DF300" s="4" t="n"/>
      <c r="DG300" s="4" t="n"/>
      <c r="DH300" s="4" t="n"/>
      <c r="DI300" s="4" t="n"/>
      <c r="DJ300" s="4" t="n"/>
      <c r="DK300" s="4" t="n"/>
      <c r="DL300" s="4" t="n"/>
      <c r="DM300" s="4" t="n"/>
      <c r="DN300" s="4" t="n"/>
      <c r="DO300" s="4" t="n"/>
      <c r="DP300" s="4" t="n"/>
      <c r="DQ300" s="4" t="n"/>
      <c r="DR300" s="4" t="n"/>
      <c r="DS300" s="4" t="n"/>
      <c r="DT300" s="4" t="n"/>
      <c r="DU300" s="4" t="n"/>
      <c r="DV300" s="4" t="n"/>
      <c r="DW300" s="4" t="n"/>
      <c r="DX300" s="4" t="n"/>
      <c r="DY300" s="4" t="n"/>
      <c r="DZ300" s="4" t="n"/>
      <c r="EA300" s="4" t="n"/>
      <c r="EB300" s="4" t="n"/>
      <c r="EC300" s="4" t="n"/>
      <c r="ED300" s="4" t="n"/>
      <c r="EE300" s="4" t="n"/>
      <c r="EF300" s="4" t="n"/>
      <c r="EG300" s="4" t="n"/>
      <c r="EH300" s="4" t="n"/>
      <c r="EI300" s="4" t="n"/>
      <c r="EJ300" s="4" t="n"/>
      <c r="EK300" s="4" t="n"/>
      <c r="EL300" s="4" t="n"/>
      <c r="EM300" s="4" t="n"/>
      <c r="EN300" s="4" t="n"/>
    </row>
    <row r="301" hidden="1" customFormat="1" s="6">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c r="AC301" s="4" t="n"/>
      <c r="AD301" s="4" t="n"/>
      <c r="AE301" s="4" t="n"/>
      <c r="AF301" s="4" t="n"/>
      <c r="AG301" s="4" t="n"/>
      <c r="AH301" s="4" t="n"/>
      <c r="AI301" s="4" t="n"/>
      <c r="AJ301" s="4" t="n"/>
      <c r="AK301" s="4" t="n"/>
      <c r="AL301" s="4" t="n"/>
      <c r="AM301" s="4" t="n"/>
      <c r="AN301" s="4" t="n"/>
      <c r="AO301" s="4" t="n"/>
      <c r="AP301" s="4" t="n"/>
      <c r="AQ301" s="4" t="n"/>
      <c r="AR301" s="4" t="n"/>
      <c r="AS301" s="4" t="n"/>
      <c r="AT301" s="4" t="n"/>
      <c r="AU301" s="4" t="n"/>
      <c r="AV301" s="4" t="n"/>
      <c r="AW301" s="4" t="n"/>
      <c r="AX301" s="4" t="n"/>
      <c r="AY301" s="4" t="n"/>
      <c r="AZ301" s="4" t="n"/>
      <c r="BA301" s="4" t="n"/>
      <c r="BB301" s="4" t="n"/>
      <c r="BC301" s="4" t="n"/>
      <c r="BD301" s="4" t="n"/>
      <c r="BE301" s="4" t="n"/>
      <c r="BF301" s="4" t="n"/>
      <c r="BG301" s="4" t="n"/>
      <c r="BH301" s="4" t="n"/>
      <c r="BI301" s="4" t="n"/>
      <c r="BJ301" s="4" t="n"/>
      <c r="BK301" s="4" t="n"/>
      <c r="BL301" s="4" t="n"/>
      <c r="BM301" s="4" t="n"/>
      <c r="BN301" s="4" t="n"/>
      <c r="BO301" s="4" t="n"/>
      <c r="BP301" s="4" t="n"/>
      <c r="BQ301" s="4" t="n"/>
      <c r="BR301" s="4" t="n"/>
      <c r="BS301" s="4" t="n"/>
      <c r="BT301" s="4" t="n"/>
      <c r="BU301" s="4" t="n"/>
      <c r="BV301" s="4" t="n"/>
      <c r="BW301" s="4" t="n"/>
      <c r="BX301" s="4" t="n"/>
      <c r="BY301" s="4" t="n"/>
      <c r="BZ301" s="4" t="n"/>
      <c r="CA301" s="4" t="n"/>
      <c r="CB301" s="4" t="n"/>
      <c r="CC301" s="4" t="n"/>
      <c r="CD301" s="4" t="n"/>
      <c r="CE301" s="4" t="n"/>
      <c r="CF301" s="4" t="n"/>
      <c r="CG301" s="4" t="n"/>
      <c r="CH301" s="4" t="n"/>
      <c r="CI301" s="4" t="n"/>
      <c r="CJ301" s="4" t="n"/>
      <c r="CK301" s="4" t="n"/>
      <c r="CL301" s="4" t="n"/>
      <c r="CM301" s="4" t="n"/>
      <c r="CN301" s="4" t="n"/>
      <c r="CO301" s="4" t="n"/>
      <c r="CP301" s="4" t="n"/>
      <c r="CQ301" s="4" t="n"/>
      <c r="CR301" s="4" t="n"/>
      <c r="CS301" s="4" t="n"/>
      <c r="CT301" s="4" t="n"/>
      <c r="CU301" s="4" t="n"/>
      <c r="CV301" s="4" t="n"/>
      <c r="CW301" s="4" t="n"/>
      <c r="CX301" s="4" t="n"/>
      <c r="CY301" s="4" t="n"/>
      <c r="CZ301" s="4" t="n"/>
      <c r="DA301" s="4" t="n"/>
      <c r="DB301" s="4" t="n"/>
      <c r="DC301" s="4" t="n"/>
      <c r="DD301" s="4" t="n"/>
      <c r="DE301" s="4" t="n"/>
      <c r="DF301" s="4" t="n"/>
      <c r="DG301" s="4" t="n"/>
      <c r="DH301" s="4" t="n"/>
      <c r="DI301" s="4" t="n"/>
      <c r="DJ301" s="4" t="n"/>
      <c r="DK301" s="4" t="n"/>
      <c r="DL301" s="4" t="n"/>
      <c r="DM301" s="4" t="n"/>
      <c r="DN301" s="4" t="n"/>
      <c r="DO301" s="4" t="n"/>
      <c r="DP301" s="4" t="n"/>
      <c r="DQ301" s="4" t="n"/>
      <c r="DR301" s="4" t="n"/>
      <c r="DS301" s="4" t="n"/>
      <c r="DT301" s="4" t="n"/>
      <c r="DU301" s="4" t="n"/>
      <c r="DV301" s="4" t="n"/>
      <c r="DW301" s="4" t="n"/>
      <c r="DX301" s="4" t="n"/>
      <c r="DY301" s="4" t="n"/>
      <c r="DZ301" s="4" t="n"/>
      <c r="EA301" s="4" t="n"/>
      <c r="EB301" s="4" t="n"/>
      <c r="EC301" s="4" t="n"/>
      <c r="ED301" s="4" t="n"/>
      <c r="EE301" s="4" t="n"/>
      <c r="EF301" s="4" t="n"/>
      <c r="EG301" s="4" t="n"/>
      <c r="EH301" s="4" t="n"/>
      <c r="EI301" s="4" t="n"/>
      <c r="EJ301" s="4" t="n"/>
      <c r="EK301" s="4" t="n"/>
      <c r="EL301" s="4" t="n"/>
      <c r="EM301" s="4" t="n"/>
      <c r="EN301" s="4" t="n"/>
    </row>
    <row r="302" hidden="1" customFormat="1" s="6">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c r="AE302" s="4" t="n"/>
      <c r="AF302" s="4" t="n"/>
      <c r="AG302" s="4" t="n"/>
      <c r="AH302" s="4" t="n"/>
      <c r="AI302" s="4" t="n"/>
      <c r="AJ302" s="4" t="n"/>
      <c r="AK302" s="4" t="n"/>
      <c r="AL302" s="4" t="n"/>
      <c r="AM302" s="4" t="n"/>
      <c r="AN302" s="4" t="n"/>
      <c r="AO302" s="4" t="n"/>
      <c r="AP302" s="4" t="n"/>
      <c r="AQ302" s="4" t="n"/>
      <c r="AR302" s="4" t="n"/>
      <c r="AS302" s="4" t="n"/>
      <c r="AT302" s="4" t="n"/>
      <c r="AU302" s="4" t="n"/>
      <c r="AV302" s="4" t="n"/>
      <c r="AW302" s="4" t="n"/>
      <c r="AX302" s="4" t="n"/>
      <c r="AY302" s="4" t="n"/>
      <c r="AZ302" s="4" t="n"/>
      <c r="BA302" s="4" t="n"/>
      <c r="BB302" s="4" t="n"/>
      <c r="BC302" s="4" t="n"/>
      <c r="BD302" s="4" t="n"/>
      <c r="BE302" s="4" t="n"/>
      <c r="BF302" s="4" t="n"/>
      <c r="BG302" s="4" t="n"/>
      <c r="BH302" s="4" t="n"/>
      <c r="BI302" s="4" t="n"/>
      <c r="BJ302" s="4" t="n"/>
      <c r="BK302" s="4" t="n"/>
      <c r="BL302" s="4" t="n"/>
      <c r="BM302" s="4" t="n"/>
      <c r="BN302" s="4" t="n"/>
      <c r="BO302" s="4" t="n"/>
      <c r="BP302" s="4" t="n"/>
      <c r="BQ302" s="4" t="n"/>
      <c r="BR302" s="4" t="n"/>
      <c r="BS302" s="4" t="n"/>
      <c r="BT302" s="4" t="n"/>
      <c r="BU302" s="4" t="n"/>
      <c r="BV302" s="4" t="n"/>
      <c r="BW302" s="4" t="n"/>
      <c r="BX302" s="4" t="n"/>
      <c r="BY302" s="4" t="n"/>
      <c r="BZ302" s="4" t="n"/>
      <c r="CA302" s="4" t="n"/>
      <c r="CB302" s="4" t="n"/>
      <c r="CC302" s="4" t="n"/>
      <c r="CD302" s="4" t="n"/>
      <c r="CE302" s="4" t="n"/>
      <c r="CF302" s="4" t="n"/>
      <c r="CG302" s="4" t="n"/>
      <c r="CH302" s="4" t="n"/>
      <c r="CI302" s="4" t="n"/>
      <c r="CJ302" s="4" t="n"/>
      <c r="CK302" s="4" t="n"/>
      <c r="CL302" s="4" t="n"/>
      <c r="CM302" s="4" t="n"/>
      <c r="CN302" s="4" t="n"/>
      <c r="CO302" s="4" t="n"/>
      <c r="CP302" s="4" t="n"/>
      <c r="CQ302" s="4" t="n"/>
      <c r="CR302" s="4" t="n"/>
      <c r="CS302" s="4" t="n"/>
      <c r="CT302" s="4" t="n"/>
      <c r="CU302" s="4" t="n"/>
      <c r="CV302" s="4" t="n"/>
      <c r="CW302" s="4" t="n"/>
      <c r="CX302" s="4" t="n"/>
      <c r="CY302" s="4" t="n"/>
      <c r="CZ302" s="4" t="n"/>
      <c r="DA302" s="4" t="n"/>
      <c r="DB302" s="4" t="n"/>
      <c r="DC302" s="4" t="n"/>
      <c r="DD302" s="4" t="n"/>
      <c r="DE302" s="4" t="n"/>
      <c r="DF302" s="4" t="n"/>
      <c r="DG302" s="4" t="n"/>
      <c r="DH302" s="4" t="n"/>
      <c r="DI302" s="4" t="n"/>
      <c r="DJ302" s="4" t="n"/>
      <c r="DK302" s="4" t="n"/>
      <c r="DL302" s="4" t="n"/>
      <c r="DM302" s="4" t="n"/>
      <c r="DN302" s="4" t="n"/>
      <c r="DO302" s="4" t="n"/>
      <c r="DP302" s="4" t="n"/>
      <c r="DQ302" s="4" t="n"/>
      <c r="DR302" s="4" t="n"/>
      <c r="DS302" s="4" t="n"/>
      <c r="DT302" s="4" t="n"/>
      <c r="DU302" s="4" t="n"/>
      <c r="DV302" s="4" t="n"/>
      <c r="DW302" s="4" t="n"/>
      <c r="DX302" s="4" t="n"/>
      <c r="DY302" s="4" t="n"/>
      <c r="DZ302" s="4" t="n"/>
      <c r="EA302" s="4" t="n"/>
      <c r="EB302" s="4" t="n"/>
      <c r="EC302" s="4" t="n"/>
      <c r="ED302" s="4" t="n"/>
      <c r="EE302" s="4" t="n"/>
      <c r="EF302" s="4" t="n"/>
      <c r="EG302" s="4" t="n"/>
      <c r="EH302" s="4" t="n"/>
      <c r="EI302" s="4" t="n"/>
      <c r="EJ302" s="4" t="n"/>
      <c r="EK302" s="4" t="n"/>
      <c r="EL302" s="4" t="n"/>
      <c r="EM302" s="4" t="n"/>
      <c r="EN302" s="4" t="n"/>
    </row>
    <row r="303" hidden="1" customFormat="1" s="6">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c r="AD303" s="4" t="n"/>
      <c r="AE303" s="4" t="n"/>
      <c r="AF303" s="4" t="n"/>
      <c r="AG303" s="4" t="n"/>
      <c r="AH303" s="4" t="n"/>
      <c r="AI303" s="4" t="n"/>
      <c r="AJ303" s="4" t="n"/>
      <c r="AK303" s="4" t="n"/>
      <c r="AL303" s="4" t="n"/>
      <c r="AM303" s="4" t="n"/>
      <c r="AN303" s="4" t="n"/>
      <c r="AO303" s="4" t="n"/>
      <c r="AP303" s="4" t="n"/>
      <c r="AQ303" s="4" t="n"/>
      <c r="AR303" s="4" t="n"/>
      <c r="AS303" s="4" t="n"/>
      <c r="AT303" s="4" t="n"/>
      <c r="AU303" s="4" t="n"/>
      <c r="AV303" s="4" t="n"/>
      <c r="AW303" s="4" t="n"/>
      <c r="AX303" s="4" t="n"/>
      <c r="AY303" s="4" t="n"/>
      <c r="AZ303" s="4" t="n"/>
      <c r="BA303" s="4" t="n"/>
      <c r="BB303" s="4" t="n"/>
      <c r="BC303" s="4" t="n"/>
      <c r="BD303" s="4" t="n"/>
      <c r="BE303" s="4" t="n"/>
      <c r="BF303" s="4" t="n"/>
      <c r="BG303" s="4" t="n"/>
      <c r="BH303" s="4" t="n"/>
      <c r="BI303" s="4" t="n"/>
      <c r="BJ303" s="4" t="n"/>
      <c r="BK303" s="4" t="n"/>
      <c r="BL303" s="4" t="n"/>
      <c r="BM303" s="4" t="n"/>
      <c r="BN303" s="4" t="n"/>
      <c r="BO303" s="4" t="n"/>
      <c r="BP303" s="4" t="n"/>
      <c r="BQ303" s="4" t="n"/>
      <c r="BR303" s="4" t="n"/>
      <c r="BS303" s="4" t="n"/>
      <c r="BT303" s="4" t="n"/>
      <c r="BU303" s="4" t="n"/>
      <c r="BV303" s="4" t="n"/>
      <c r="BW303" s="4" t="n"/>
      <c r="BX303" s="4" t="n"/>
      <c r="BY303" s="4" t="n"/>
      <c r="BZ303" s="4" t="n"/>
      <c r="CA303" s="4" t="n"/>
      <c r="CB303" s="4" t="n"/>
      <c r="CC303" s="4" t="n"/>
      <c r="CD303" s="4" t="n"/>
      <c r="CE303" s="4" t="n"/>
      <c r="CF303" s="4" t="n"/>
      <c r="CG303" s="4" t="n"/>
      <c r="CH303" s="4" t="n"/>
      <c r="CI303" s="4" t="n"/>
      <c r="CJ303" s="4" t="n"/>
      <c r="CK303" s="4" t="n"/>
      <c r="CL303" s="4" t="n"/>
      <c r="CM303" s="4" t="n"/>
      <c r="CN303" s="4" t="n"/>
      <c r="CO303" s="4" t="n"/>
      <c r="CP303" s="4" t="n"/>
      <c r="CQ303" s="4" t="n"/>
      <c r="CR303" s="4" t="n"/>
      <c r="CS303" s="4" t="n"/>
      <c r="CT303" s="4" t="n"/>
      <c r="CU303" s="4" t="n"/>
      <c r="CV303" s="4" t="n"/>
      <c r="CW303" s="4" t="n"/>
      <c r="CX303" s="4" t="n"/>
      <c r="CY303" s="4" t="n"/>
      <c r="CZ303" s="4" t="n"/>
      <c r="DA303" s="4" t="n"/>
      <c r="DB303" s="4" t="n"/>
      <c r="DC303" s="4" t="n"/>
      <c r="DD303" s="4" t="n"/>
      <c r="DE303" s="4" t="n"/>
      <c r="DF303" s="4" t="n"/>
      <c r="DG303" s="4" t="n"/>
      <c r="DH303" s="4" t="n"/>
      <c r="DI303" s="4" t="n"/>
      <c r="DJ303" s="4" t="n"/>
      <c r="DK303" s="4" t="n"/>
      <c r="DL303" s="4" t="n"/>
      <c r="DM303" s="4" t="n"/>
      <c r="DN303" s="4" t="n"/>
      <c r="DO303" s="4" t="n"/>
      <c r="DP303" s="4" t="n"/>
      <c r="DQ303" s="4" t="n"/>
      <c r="DR303" s="4" t="n"/>
      <c r="DS303" s="4" t="n"/>
      <c r="DT303" s="4" t="n"/>
      <c r="DU303" s="4" t="n"/>
      <c r="DV303" s="4" t="n"/>
      <c r="DW303" s="4" t="n"/>
      <c r="DX303" s="4" t="n"/>
      <c r="DY303" s="4" t="n"/>
      <c r="DZ303" s="4" t="n"/>
      <c r="EA303" s="4" t="n"/>
      <c r="EB303" s="4" t="n"/>
      <c r="EC303" s="4" t="n"/>
      <c r="ED303" s="4" t="n"/>
      <c r="EE303" s="4" t="n"/>
      <c r="EF303" s="4" t="n"/>
      <c r="EG303" s="4" t="n"/>
      <c r="EH303" s="4" t="n"/>
      <c r="EI303" s="4" t="n"/>
      <c r="EJ303" s="4" t="n"/>
      <c r="EK303" s="4" t="n"/>
      <c r="EL303" s="4" t="n"/>
      <c r="EM303" s="4" t="n"/>
      <c r="EN303" s="4" t="n"/>
    </row>
    <row r="304" hidden="1" customFormat="1" s="6">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c r="AE304" s="4" t="n"/>
      <c r="AF304" s="4" t="n"/>
      <c r="AG304" s="4" t="n"/>
      <c r="AH304" s="4" t="n"/>
      <c r="AI304" s="4" t="n"/>
      <c r="AJ304" s="4" t="n"/>
      <c r="AK304" s="4" t="n"/>
      <c r="AL304" s="4" t="n"/>
      <c r="AM304" s="4" t="n"/>
      <c r="AN304" s="4" t="n"/>
      <c r="AO304" s="4" t="n"/>
      <c r="AP304" s="4" t="n"/>
      <c r="AQ304" s="4" t="n"/>
      <c r="AR304" s="4" t="n"/>
      <c r="AS304" s="4" t="n"/>
      <c r="AT304" s="4" t="n"/>
      <c r="AU304" s="4" t="n"/>
      <c r="AV304" s="4" t="n"/>
      <c r="AW304" s="4" t="n"/>
      <c r="AX304" s="4" t="n"/>
      <c r="AY304" s="4" t="n"/>
      <c r="AZ304" s="4" t="n"/>
      <c r="BA304" s="4" t="n"/>
      <c r="BB304" s="4" t="n"/>
      <c r="BC304" s="4" t="n"/>
      <c r="BD304" s="4" t="n"/>
      <c r="BE304" s="4" t="n"/>
      <c r="BF304" s="4" t="n"/>
      <c r="BG304" s="4" t="n"/>
      <c r="BH304" s="4" t="n"/>
      <c r="BI304" s="4" t="n"/>
      <c r="BJ304" s="4" t="n"/>
      <c r="BK304" s="4" t="n"/>
      <c r="BL304" s="4" t="n"/>
      <c r="BM304" s="4" t="n"/>
      <c r="BN304" s="4" t="n"/>
      <c r="BO304" s="4" t="n"/>
      <c r="BP304" s="4" t="n"/>
      <c r="BQ304" s="4" t="n"/>
      <c r="BR304" s="4" t="n"/>
      <c r="BS304" s="4" t="n"/>
      <c r="BT304" s="4" t="n"/>
      <c r="BU304" s="4" t="n"/>
      <c r="BV304" s="4" t="n"/>
      <c r="BW304" s="4" t="n"/>
      <c r="BX304" s="4" t="n"/>
      <c r="BY304" s="4" t="n"/>
      <c r="BZ304" s="4" t="n"/>
      <c r="CA304" s="4" t="n"/>
      <c r="CB304" s="4" t="n"/>
      <c r="CC304" s="4" t="n"/>
      <c r="CD304" s="4" t="n"/>
      <c r="CE304" s="4" t="n"/>
      <c r="CF304" s="4" t="n"/>
      <c r="CG304" s="4" t="n"/>
      <c r="CH304" s="4" t="n"/>
      <c r="CI304" s="4" t="n"/>
      <c r="CJ304" s="4" t="n"/>
      <c r="CK304" s="4" t="n"/>
      <c r="CL304" s="4" t="n"/>
      <c r="CM304" s="4" t="n"/>
      <c r="CN304" s="4" t="n"/>
      <c r="CO304" s="4" t="n"/>
      <c r="CP304" s="4" t="n"/>
      <c r="CQ304" s="4" t="n"/>
      <c r="CR304" s="4" t="n"/>
      <c r="CS304" s="4" t="n"/>
      <c r="CT304" s="4" t="n"/>
      <c r="CU304" s="4" t="n"/>
      <c r="CV304" s="4" t="n"/>
      <c r="CW304" s="4" t="n"/>
      <c r="CX304" s="4" t="n"/>
      <c r="CY304" s="4" t="n"/>
      <c r="CZ304" s="4" t="n"/>
      <c r="DA304" s="4" t="n"/>
      <c r="DB304" s="4" t="n"/>
      <c r="DC304" s="4" t="n"/>
      <c r="DD304" s="4" t="n"/>
      <c r="DE304" s="4" t="n"/>
      <c r="DF304" s="4" t="n"/>
      <c r="DG304" s="4" t="n"/>
      <c r="DH304" s="4" t="n"/>
      <c r="DI304" s="4" t="n"/>
      <c r="DJ304" s="4" t="n"/>
      <c r="DK304" s="4" t="n"/>
      <c r="DL304" s="4" t="n"/>
      <c r="DM304" s="4" t="n"/>
      <c r="DN304" s="4" t="n"/>
      <c r="DO304" s="4" t="n"/>
      <c r="DP304" s="4" t="n"/>
      <c r="DQ304" s="4" t="n"/>
      <c r="DR304" s="4" t="n"/>
      <c r="DS304" s="4" t="n"/>
      <c r="DT304" s="4" t="n"/>
      <c r="DU304" s="4" t="n"/>
      <c r="DV304" s="4" t="n"/>
      <c r="DW304" s="4" t="n"/>
      <c r="DX304" s="4" t="n"/>
      <c r="DY304" s="4" t="n"/>
      <c r="DZ304" s="4" t="n"/>
      <c r="EA304" s="4" t="n"/>
      <c r="EB304" s="4" t="n"/>
      <c r="EC304" s="4" t="n"/>
      <c r="ED304" s="4" t="n"/>
      <c r="EE304" s="4" t="n"/>
      <c r="EF304" s="4" t="n"/>
      <c r="EG304" s="4" t="n"/>
      <c r="EH304" s="4" t="n"/>
      <c r="EI304" s="4" t="n"/>
      <c r="EJ304" s="4" t="n"/>
      <c r="EK304" s="4" t="n"/>
      <c r="EL304" s="4" t="n"/>
      <c r="EM304" s="4" t="n"/>
      <c r="EN304" s="4" t="n"/>
    </row>
    <row r="305" hidden="1" customFormat="1" s="6">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c r="AE305" s="4" t="n"/>
      <c r="AF305" s="4" t="n"/>
      <c r="AG305" s="4" t="n"/>
      <c r="AH305" s="4" t="n"/>
      <c r="AI305" s="4" t="n"/>
      <c r="AJ305" s="4" t="n"/>
      <c r="AK305" s="4" t="n"/>
      <c r="AL305" s="4" t="n"/>
      <c r="AM305" s="4" t="n"/>
      <c r="AN305" s="4" t="n"/>
      <c r="AO305" s="4" t="n"/>
      <c r="AP305" s="4" t="n"/>
      <c r="AQ305" s="4" t="n"/>
      <c r="AR305" s="4" t="n"/>
      <c r="AS305" s="4" t="n"/>
      <c r="AT305" s="4" t="n"/>
      <c r="AU305" s="4" t="n"/>
      <c r="AV305" s="4" t="n"/>
      <c r="AW305" s="4" t="n"/>
      <c r="AX305" s="4" t="n"/>
      <c r="AY305" s="4" t="n"/>
      <c r="AZ305" s="4" t="n"/>
      <c r="BA305" s="4" t="n"/>
      <c r="BB305" s="4" t="n"/>
      <c r="BC305" s="4" t="n"/>
      <c r="BD305" s="4" t="n"/>
      <c r="BE305" s="4" t="n"/>
      <c r="BF305" s="4" t="n"/>
      <c r="BG305" s="4" t="n"/>
      <c r="BH305" s="4" t="n"/>
      <c r="BI305" s="4" t="n"/>
      <c r="BJ305" s="4" t="n"/>
      <c r="BK305" s="4" t="n"/>
      <c r="BL305" s="4" t="n"/>
      <c r="BM305" s="4" t="n"/>
      <c r="BN305" s="4" t="n"/>
      <c r="BO305" s="4" t="n"/>
      <c r="BP305" s="4" t="n"/>
      <c r="BQ305" s="4" t="n"/>
      <c r="BR305" s="4" t="n"/>
      <c r="BS305" s="4" t="n"/>
      <c r="BT305" s="4" t="n"/>
      <c r="BU305" s="4" t="n"/>
      <c r="BV305" s="4" t="n"/>
      <c r="BW305" s="4" t="n"/>
      <c r="BX305" s="4" t="n"/>
      <c r="BY305" s="4" t="n"/>
      <c r="BZ305" s="4" t="n"/>
      <c r="CA305" s="4" t="n"/>
      <c r="CB305" s="4" t="n"/>
      <c r="CC305" s="4" t="n"/>
      <c r="CD305" s="4" t="n"/>
      <c r="CE305" s="4" t="n"/>
      <c r="CF305" s="4" t="n"/>
      <c r="CG305" s="4" t="n"/>
      <c r="CH305" s="4" t="n"/>
      <c r="CI305" s="4" t="n"/>
      <c r="CJ305" s="4" t="n"/>
      <c r="CK305" s="4" t="n"/>
      <c r="CL305" s="4" t="n"/>
      <c r="CM305" s="4" t="n"/>
      <c r="CN305" s="4" t="n"/>
      <c r="CO305" s="4" t="n"/>
      <c r="CP305" s="4" t="n"/>
      <c r="CQ305" s="4" t="n"/>
      <c r="CR305" s="4" t="n"/>
      <c r="CS305" s="4" t="n"/>
      <c r="CT305" s="4" t="n"/>
      <c r="CU305" s="4" t="n"/>
      <c r="CV305" s="4" t="n"/>
      <c r="CW305" s="4" t="n"/>
      <c r="CX305" s="4" t="n"/>
      <c r="CY305" s="4" t="n"/>
      <c r="CZ305" s="4" t="n"/>
      <c r="DA305" s="4" t="n"/>
      <c r="DB305" s="4" t="n"/>
      <c r="DC305" s="4" t="n"/>
      <c r="DD305" s="4" t="n"/>
      <c r="DE305" s="4" t="n"/>
      <c r="DF305" s="4" t="n"/>
      <c r="DG305" s="4" t="n"/>
      <c r="DH305" s="4" t="n"/>
      <c r="DI305" s="4" t="n"/>
      <c r="DJ305" s="4" t="n"/>
      <c r="DK305" s="4" t="n"/>
      <c r="DL305" s="4" t="n"/>
      <c r="DM305" s="4" t="n"/>
      <c r="DN305" s="4" t="n"/>
      <c r="DO305" s="4" t="n"/>
      <c r="DP305" s="4" t="n"/>
      <c r="DQ305" s="4" t="n"/>
      <c r="DR305" s="4" t="n"/>
      <c r="DS305" s="4" t="n"/>
      <c r="DT305" s="4" t="n"/>
      <c r="DU305" s="4" t="n"/>
      <c r="DV305" s="4" t="n"/>
      <c r="DW305" s="4" t="n"/>
      <c r="DX305" s="4" t="n"/>
      <c r="DY305" s="4" t="n"/>
      <c r="DZ305" s="4" t="n"/>
      <c r="EA305" s="4" t="n"/>
      <c r="EB305" s="4" t="n"/>
      <c r="EC305" s="4" t="n"/>
      <c r="ED305" s="4" t="n"/>
      <c r="EE305" s="4" t="n"/>
      <c r="EF305" s="4" t="n"/>
      <c r="EG305" s="4" t="n"/>
      <c r="EH305" s="4" t="n"/>
      <c r="EI305" s="4" t="n"/>
      <c r="EJ305" s="4" t="n"/>
      <c r="EK305" s="4" t="n"/>
      <c r="EL305" s="4" t="n"/>
      <c r="EM305" s="4" t="n"/>
      <c r="EN305" s="4" t="n"/>
    </row>
    <row r="306" hidden="1" customFormat="1" s="6">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c r="AE306" s="4" t="n"/>
      <c r="AF306" s="4" t="n"/>
      <c r="AG306" s="4" t="n"/>
      <c r="AH306" s="4" t="n"/>
      <c r="AI306" s="4" t="n"/>
      <c r="AJ306" s="4" t="n"/>
      <c r="AK306" s="4" t="n"/>
      <c r="AL306" s="4" t="n"/>
      <c r="AM306" s="4" t="n"/>
      <c r="AN306" s="4" t="n"/>
      <c r="AO306" s="4" t="n"/>
      <c r="AP306" s="4" t="n"/>
      <c r="AQ306" s="4" t="n"/>
      <c r="AR306" s="4" t="n"/>
      <c r="AS306" s="4" t="n"/>
      <c r="AT306" s="4" t="n"/>
      <c r="AU306" s="4" t="n"/>
      <c r="AV306" s="4" t="n"/>
      <c r="AW306" s="4" t="n"/>
      <c r="AX306" s="4" t="n"/>
      <c r="AY306" s="4" t="n"/>
      <c r="AZ306" s="4" t="n"/>
      <c r="BA306" s="4" t="n"/>
      <c r="BB306" s="4" t="n"/>
      <c r="BC306" s="4" t="n"/>
      <c r="BD306" s="4" t="n"/>
      <c r="BE306" s="4" t="n"/>
      <c r="BF306" s="4" t="n"/>
      <c r="BG306" s="4" t="n"/>
      <c r="BH306" s="4" t="n"/>
      <c r="BI306" s="4" t="n"/>
      <c r="BJ306" s="4" t="n"/>
      <c r="BK306" s="4" t="n"/>
      <c r="BL306" s="4" t="n"/>
      <c r="BM306" s="4" t="n"/>
      <c r="BN306" s="4" t="n"/>
      <c r="BO306" s="4" t="n"/>
      <c r="BP306" s="4" t="n"/>
      <c r="BQ306" s="4" t="n"/>
      <c r="BR306" s="4" t="n"/>
      <c r="BS306" s="4" t="n"/>
      <c r="BT306" s="4" t="n"/>
      <c r="BU306" s="4" t="n"/>
      <c r="BV306" s="4" t="n"/>
      <c r="BW306" s="4" t="n"/>
      <c r="BX306" s="4" t="n"/>
      <c r="BY306" s="4" t="n"/>
      <c r="BZ306" s="4" t="n"/>
      <c r="CA306" s="4" t="n"/>
      <c r="CB306" s="4" t="n"/>
      <c r="CC306" s="4" t="n"/>
      <c r="CD306" s="4" t="n"/>
      <c r="CE306" s="4" t="n"/>
      <c r="CF306" s="4" t="n"/>
      <c r="CG306" s="4" t="n"/>
      <c r="CH306" s="4" t="n"/>
      <c r="CI306" s="4" t="n"/>
      <c r="CJ306" s="4" t="n"/>
      <c r="CK306" s="4" t="n"/>
      <c r="CL306" s="4" t="n"/>
      <c r="CM306" s="4" t="n"/>
      <c r="CN306" s="4" t="n"/>
      <c r="CO306" s="4" t="n"/>
      <c r="CP306" s="4" t="n"/>
      <c r="CQ306" s="4" t="n"/>
      <c r="CR306" s="4" t="n"/>
      <c r="CS306" s="4" t="n"/>
      <c r="CT306" s="4" t="n"/>
      <c r="CU306" s="4" t="n"/>
      <c r="CV306" s="4" t="n"/>
      <c r="CW306" s="4" t="n"/>
      <c r="CX306" s="4" t="n"/>
      <c r="CY306" s="4" t="n"/>
      <c r="CZ306" s="4" t="n"/>
      <c r="DA306" s="4" t="n"/>
      <c r="DB306" s="4" t="n"/>
      <c r="DC306" s="4" t="n"/>
      <c r="DD306" s="4" t="n"/>
      <c r="DE306" s="4" t="n"/>
      <c r="DF306" s="4" t="n"/>
      <c r="DG306" s="4" t="n"/>
      <c r="DH306" s="4" t="n"/>
      <c r="DI306" s="4" t="n"/>
      <c r="DJ306" s="4" t="n"/>
      <c r="DK306" s="4" t="n"/>
      <c r="DL306" s="4" t="n"/>
      <c r="DM306" s="4" t="n"/>
      <c r="DN306" s="4" t="n"/>
      <c r="DO306" s="4" t="n"/>
      <c r="DP306" s="4" t="n"/>
      <c r="DQ306" s="4" t="n"/>
      <c r="DR306" s="4" t="n"/>
      <c r="DS306" s="4" t="n"/>
      <c r="DT306" s="4" t="n"/>
      <c r="DU306" s="4" t="n"/>
      <c r="DV306" s="4" t="n"/>
      <c r="DW306" s="4" t="n"/>
      <c r="DX306" s="4" t="n"/>
      <c r="DY306" s="4" t="n"/>
      <c r="DZ306" s="4" t="n"/>
      <c r="EA306" s="4" t="n"/>
      <c r="EB306" s="4" t="n"/>
      <c r="EC306" s="4" t="n"/>
      <c r="ED306" s="4" t="n"/>
      <c r="EE306" s="4" t="n"/>
      <c r="EF306" s="4" t="n"/>
      <c r="EG306" s="4" t="n"/>
      <c r="EH306" s="4" t="n"/>
      <c r="EI306" s="4" t="n"/>
      <c r="EJ306" s="4" t="n"/>
      <c r="EK306" s="4" t="n"/>
      <c r="EL306" s="4" t="n"/>
      <c r="EM306" s="4" t="n"/>
      <c r="EN306" s="4" t="n"/>
    </row>
    <row r="307" hidden="1" customFormat="1" s="6">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c r="AE307" s="4" t="n"/>
      <c r="AF307" s="4" t="n"/>
      <c r="AG307" s="4" t="n"/>
      <c r="AH307" s="4" t="n"/>
      <c r="AI307" s="4" t="n"/>
      <c r="AJ307" s="4" t="n"/>
      <c r="AK307" s="4" t="n"/>
      <c r="AL307" s="4" t="n"/>
      <c r="AM307" s="4" t="n"/>
      <c r="AN307" s="4" t="n"/>
      <c r="AO307" s="4" t="n"/>
      <c r="AP307" s="4" t="n"/>
      <c r="AQ307" s="4" t="n"/>
      <c r="AR307" s="4" t="n"/>
      <c r="AS307" s="4" t="n"/>
      <c r="AT307" s="4" t="n"/>
      <c r="AU307" s="4" t="n"/>
      <c r="AV307" s="4" t="n"/>
      <c r="AW307" s="4" t="n"/>
      <c r="AX307" s="4" t="n"/>
      <c r="AY307" s="4" t="n"/>
      <c r="AZ307" s="4" t="n"/>
      <c r="BA307" s="4" t="n"/>
      <c r="BB307" s="4" t="n"/>
      <c r="BC307" s="4" t="n"/>
      <c r="BD307" s="4" t="n"/>
      <c r="BE307" s="4" t="n"/>
      <c r="BF307" s="4" t="n"/>
      <c r="BG307" s="4" t="n"/>
      <c r="BH307" s="4" t="n"/>
      <c r="BI307" s="4" t="n"/>
      <c r="BJ307" s="4" t="n"/>
      <c r="BK307" s="4" t="n"/>
      <c r="BL307" s="4" t="n"/>
      <c r="BM307" s="4" t="n"/>
      <c r="BN307" s="4" t="n"/>
      <c r="BO307" s="4" t="n"/>
      <c r="BP307" s="4" t="n"/>
      <c r="BQ307" s="4" t="n"/>
      <c r="BR307" s="4" t="n"/>
      <c r="BS307" s="4" t="n"/>
      <c r="BT307" s="4" t="n"/>
      <c r="BU307" s="4" t="n"/>
      <c r="BV307" s="4" t="n"/>
      <c r="BW307" s="4" t="n"/>
      <c r="BX307" s="4" t="n"/>
      <c r="BY307" s="4" t="n"/>
      <c r="BZ307" s="4" t="n"/>
      <c r="CA307" s="4" t="n"/>
      <c r="CB307" s="4" t="n"/>
      <c r="CC307" s="4" t="n"/>
      <c r="CD307" s="4" t="n"/>
      <c r="CE307" s="4" t="n"/>
      <c r="CF307" s="4" t="n"/>
      <c r="CG307" s="4" t="n"/>
      <c r="CH307" s="4" t="n"/>
      <c r="CI307" s="4" t="n"/>
      <c r="CJ307" s="4" t="n"/>
      <c r="CK307" s="4" t="n"/>
      <c r="CL307" s="4" t="n"/>
      <c r="CM307" s="4" t="n"/>
      <c r="CN307" s="4" t="n"/>
      <c r="CO307" s="4" t="n"/>
      <c r="CP307" s="4" t="n"/>
      <c r="CQ307" s="4" t="n"/>
      <c r="CR307" s="4" t="n"/>
      <c r="CS307" s="4" t="n"/>
      <c r="CT307" s="4" t="n"/>
      <c r="CU307" s="4" t="n"/>
      <c r="CV307" s="4" t="n"/>
      <c r="CW307" s="4" t="n"/>
      <c r="CX307" s="4" t="n"/>
      <c r="CY307" s="4" t="n"/>
      <c r="CZ307" s="4" t="n"/>
      <c r="DA307" s="4" t="n"/>
      <c r="DB307" s="4" t="n"/>
      <c r="DC307" s="4" t="n"/>
      <c r="DD307" s="4" t="n"/>
      <c r="DE307" s="4" t="n"/>
      <c r="DF307" s="4" t="n"/>
      <c r="DG307" s="4" t="n"/>
      <c r="DH307" s="4" t="n"/>
      <c r="DI307" s="4" t="n"/>
      <c r="DJ307" s="4" t="n"/>
      <c r="DK307" s="4" t="n"/>
      <c r="DL307" s="4" t="n"/>
      <c r="DM307" s="4" t="n"/>
      <c r="DN307" s="4" t="n"/>
      <c r="DO307" s="4" t="n"/>
      <c r="DP307" s="4" t="n"/>
      <c r="DQ307" s="4" t="n"/>
      <c r="DR307" s="4" t="n"/>
      <c r="DS307" s="4" t="n"/>
      <c r="DT307" s="4" t="n"/>
      <c r="DU307" s="4" t="n"/>
      <c r="DV307" s="4" t="n"/>
      <c r="DW307" s="4" t="n"/>
      <c r="DX307" s="4" t="n"/>
      <c r="DY307" s="4" t="n"/>
      <c r="DZ307" s="4" t="n"/>
      <c r="EA307" s="4" t="n"/>
      <c r="EB307" s="4" t="n"/>
      <c r="EC307" s="4" t="n"/>
      <c r="ED307" s="4" t="n"/>
      <c r="EE307" s="4" t="n"/>
      <c r="EF307" s="4" t="n"/>
      <c r="EG307" s="4" t="n"/>
      <c r="EH307" s="4" t="n"/>
      <c r="EI307" s="4" t="n"/>
      <c r="EJ307" s="4" t="n"/>
      <c r="EK307" s="4" t="n"/>
      <c r="EL307" s="4" t="n"/>
      <c r="EM307" s="4" t="n"/>
      <c r="EN307" s="4" t="n"/>
    </row>
    <row r="308" hidden="1" customFormat="1" s="6">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c r="AC308" s="4" t="n"/>
      <c r="AD308" s="4" t="n"/>
      <c r="AE308" s="4" t="n"/>
      <c r="AF308" s="4" t="n"/>
      <c r="AG308" s="4" t="n"/>
      <c r="AH308" s="4" t="n"/>
      <c r="AI308" s="4" t="n"/>
      <c r="AJ308" s="4" t="n"/>
      <c r="AK308" s="4" t="n"/>
      <c r="AL308" s="4" t="n"/>
      <c r="AM308" s="4" t="n"/>
      <c r="AN308" s="4" t="n"/>
      <c r="AO308" s="4" t="n"/>
      <c r="AP308" s="4" t="n"/>
      <c r="AQ308" s="4" t="n"/>
      <c r="AR308" s="4" t="n"/>
      <c r="AS308" s="4" t="n"/>
      <c r="AT308" s="4" t="n"/>
      <c r="AU308" s="4" t="n"/>
      <c r="AV308" s="4" t="n"/>
      <c r="AW308" s="4" t="n"/>
      <c r="AX308" s="4" t="n"/>
      <c r="AY308" s="4" t="n"/>
      <c r="AZ308" s="4" t="n"/>
      <c r="BA308" s="4" t="n"/>
      <c r="BB308" s="4" t="n"/>
      <c r="BC308" s="4" t="n"/>
      <c r="BD308" s="4" t="n"/>
      <c r="BE308" s="4" t="n"/>
      <c r="BF308" s="4" t="n"/>
      <c r="BG308" s="4" t="n"/>
      <c r="BH308" s="4" t="n"/>
      <c r="BI308" s="4" t="n"/>
      <c r="BJ308" s="4" t="n"/>
      <c r="BK308" s="4" t="n"/>
      <c r="BL308" s="4" t="n"/>
      <c r="BM308" s="4" t="n"/>
      <c r="BN308" s="4" t="n"/>
      <c r="BO308" s="4" t="n"/>
      <c r="BP308" s="4" t="n"/>
      <c r="BQ308" s="4" t="n"/>
      <c r="BR308" s="4" t="n"/>
      <c r="BS308" s="4" t="n"/>
      <c r="BT308" s="4" t="n"/>
      <c r="BU308" s="4" t="n"/>
      <c r="BV308" s="4" t="n"/>
      <c r="BW308" s="4" t="n"/>
      <c r="BX308" s="4" t="n"/>
      <c r="BY308" s="4" t="n"/>
      <c r="BZ308" s="4" t="n"/>
      <c r="CA308" s="4" t="n"/>
      <c r="CB308" s="4" t="n"/>
      <c r="CC308" s="4" t="n"/>
      <c r="CD308" s="4" t="n"/>
      <c r="CE308" s="4" t="n"/>
      <c r="CF308" s="4" t="n"/>
      <c r="CG308" s="4" t="n"/>
      <c r="CH308" s="4" t="n"/>
      <c r="CI308" s="4" t="n"/>
      <c r="CJ308" s="4" t="n"/>
      <c r="CK308" s="4" t="n"/>
      <c r="CL308" s="4" t="n"/>
      <c r="CM308" s="4" t="n"/>
      <c r="CN308" s="4" t="n"/>
      <c r="CO308" s="4" t="n"/>
      <c r="CP308" s="4" t="n"/>
      <c r="CQ308" s="4" t="n"/>
      <c r="CR308" s="4" t="n"/>
      <c r="CS308" s="4" t="n"/>
      <c r="CT308" s="4" t="n"/>
      <c r="CU308" s="4" t="n"/>
      <c r="CV308" s="4" t="n"/>
      <c r="CW308" s="4" t="n"/>
      <c r="CX308" s="4" t="n"/>
      <c r="CY308" s="4" t="n"/>
      <c r="CZ308" s="4" t="n"/>
      <c r="DA308" s="4" t="n"/>
      <c r="DB308" s="4" t="n"/>
      <c r="DC308" s="4" t="n"/>
      <c r="DD308" s="4" t="n"/>
      <c r="DE308" s="4" t="n"/>
      <c r="DF308" s="4" t="n"/>
      <c r="DG308" s="4" t="n"/>
      <c r="DH308" s="4" t="n"/>
      <c r="DI308" s="4" t="n"/>
      <c r="DJ308" s="4" t="n"/>
      <c r="DK308" s="4" t="n"/>
      <c r="DL308" s="4" t="n"/>
      <c r="DM308" s="4" t="n"/>
      <c r="DN308" s="4" t="n"/>
      <c r="DO308" s="4" t="n"/>
      <c r="DP308" s="4" t="n"/>
      <c r="DQ308" s="4" t="n"/>
      <c r="DR308" s="4" t="n"/>
      <c r="DS308" s="4" t="n"/>
      <c r="DT308" s="4" t="n"/>
      <c r="DU308" s="4" t="n"/>
      <c r="DV308" s="4" t="n"/>
      <c r="DW308" s="4" t="n"/>
      <c r="DX308" s="4" t="n"/>
      <c r="DY308" s="4" t="n"/>
      <c r="DZ308" s="4" t="n"/>
      <c r="EA308" s="4" t="n"/>
      <c r="EB308" s="4" t="n"/>
      <c r="EC308" s="4" t="n"/>
      <c r="ED308" s="4" t="n"/>
      <c r="EE308" s="4" t="n"/>
      <c r="EF308" s="4" t="n"/>
      <c r="EG308" s="4" t="n"/>
      <c r="EH308" s="4" t="n"/>
      <c r="EI308" s="4" t="n"/>
      <c r="EJ308" s="4" t="n"/>
      <c r="EK308" s="4" t="n"/>
      <c r="EL308" s="4" t="n"/>
      <c r="EM308" s="4" t="n"/>
      <c r="EN308" s="4" t="n"/>
    </row>
    <row r="309" hidden="1" customFormat="1" s="6">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c r="AC309" s="4" t="n"/>
      <c r="AD309" s="4" t="n"/>
      <c r="AE309" s="4" t="n"/>
      <c r="AF309" s="4" t="n"/>
      <c r="AG309" s="4" t="n"/>
      <c r="AH309" s="4" t="n"/>
      <c r="AI309" s="4" t="n"/>
      <c r="AJ309" s="4" t="n"/>
      <c r="AK309" s="4" t="n"/>
      <c r="AL309" s="4" t="n"/>
      <c r="AM309" s="4" t="n"/>
      <c r="AN309" s="4" t="n"/>
      <c r="AO309" s="4" t="n"/>
      <c r="AP309" s="4" t="n"/>
      <c r="AQ309" s="4" t="n"/>
      <c r="AR309" s="4" t="n"/>
      <c r="AS309" s="4" t="n"/>
      <c r="AT309" s="4" t="n"/>
      <c r="AU309" s="4" t="n"/>
      <c r="AV309" s="4" t="n"/>
      <c r="AW309" s="4" t="n"/>
      <c r="AX309" s="4" t="n"/>
      <c r="AY309" s="4" t="n"/>
      <c r="AZ309" s="4" t="n"/>
      <c r="BA309" s="4" t="n"/>
      <c r="BB309" s="4" t="n"/>
      <c r="BC309" s="4" t="n"/>
      <c r="BD309" s="4" t="n"/>
      <c r="BE309" s="4" t="n"/>
      <c r="BF309" s="4" t="n"/>
      <c r="BG309" s="4" t="n"/>
      <c r="BH309" s="4" t="n"/>
      <c r="BI309" s="4" t="n"/>
      <c r="BJ309" s="4" t="n"/>
      <c r="BK309" s="4" t="n"/>
      <c r="BL309" s="4" t="n"/>
      <c r="BM309" s="4" t="n"/>
      <c r="BN309" s="4" t="n"/>
      <c r="BO309" s="4" t="n"/>
      <c r="BP309" s="4" t="n"/>
      <c r="BQ309" s="4" t="n"/>
      <c r="BR309" s="4" t="n"/>
      <c r="BS309" s="4" t="n"/>
      <c r="BT309" s="4" t="n"/>
      <c r="BU309" s="4" t="n"/>
      <c r="BV309" s="4" t="n"/>
      <c r="BW309" s="4" t="n"/>
      <c r="BX309" s="4" t="n"/>
      <c r="BY309" s="4" t="n"/>
      <c r="BZ309" s="4" t="n"/>
      <c r="CA309" s="4" t="n"/>
      <c r="CB309" s="4" t="n"/>
      <c r="CC309" s="4" t="n"/>
      <c r="CD309" s="4" t="n"/>
      <c r="CE309" s="4" t="n"/>
      <c r="CF309" s="4" t="n"/>
      <c r="CG309" s="4" t="n"/>
      <c r="CH309" s="4" t="n"/>
      <c r="CI309" s="4" t="n"/>
      <c r="CJ309" s="4" t="n"/>
      <c r="CK309" s="4" t="n"/>
      <c r="CL309" s="4" t="n"/>
      <c r="CM309" s="4" t="n"/>
      <c r="CN309" s="4" t="n"/>
      <c r="CO309" s="4" t="n"/>
      <c r="CP309" s="4" t="n"/>
      <c r="CQ309" s="4" t="n"/>
      <c r="CR309" s="4" t="n"/>
      <c r="CS309" s="4" t="n"/>
      <c r="CT309" s="4" t="n"/>
      <c r="CU309" s="4" t="n"/>
      <c r="CV309" s="4" t="n"/>
      <c r="CW309" s="4" t="n"/>
      <c r="CX309" s="4" t="n"/>
      <c r="CY309" s="4" t="n"/>
      <c r="CZ309" s="4" t="n"/>
      <c r="DA309" s="4" t="n"/>
      <c r="DB309" s="4" t="n"/>
      <c r="DC309" s="4" t="n"/>
      <c r="DD309" s="4" t="n"/>
      <c r="DE309" s="4" t="n"/>
      <c r="DF309" s="4" t="n"/>
      <c r="DG309" s="4" t="n"/>
      <c r="DH309" s="4" t="n"/>
      <c r="DI309" s="4" t="n"/>
      <c r="DJ309" s="4" t="n"/>
      <c r="DK309" s="4" t="n"/>
      <c r="DL309" s="4" t="n"/>
      <c r="DM309" s="4" t="n"/>
      <c r="DN309" s="4" t="n"/>
      <c r="DO309" s="4" t="n"/>
      <c r="DP309" s="4" t="n"/>
      <c r="DQ309" s="4" t="n"/>
      <c r="DR309" s="4" t="n"/>
      <c r="DS309" s="4" t="n"/>
      <c r="DT309" s="4" t="n"/>
      <c r="DU309" s="4" t="n"/>
      <c r="DV309" s="4" t="n"/>
      <c r="DW309" s="4" t="n"/>
      <c r="DX309" s="4" t="n"/>
      <c r="DY309" s="4" t="n"/>
      <c r="DZ309" s="4" t="n"/>
      <c r="EA309" s="4" t="n"/>
      <c r="EB309" s="4" t="n"/>
      <c r="EC309" s="4" t="n"/>
      <c r="ED309" s="4" t="n"/>
      <c r="EE309" s="4" t="n"/>
      <c r="EF309" s="4" t="n"/>
      <c r="EG309" s="4" t="n"/>
      <c r="EH309" s="4" t="n"/>
      <c r="EI309" s="4" t="n"/>
      <c r="EJ309" s="4" t="n"/>
      <c r="EK309" s="4" t="n"/>
      <c r="EL309" s="4" t="n"/>
      <c r="EM309" s="4" t="n"/>
      <c r="EN309" s="4" t="n"/>
    </row>
    <row r="310" hidden="1" customFormat="1" s="6">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c r="AE310" s="4" t="n"/>
      <c r="AF310" s="4" t="n"/>
      <c r="AG310" s="4" t="n"/>
      <c r="AH310" s="4" t="n"/>
      <c r="AI310" s="4" t="n"/>
      <c r="AJ310" s="4" t="n"/>
      <c r="AK310" s="4" t="n"/>
      <c r="AL310" s="4" t="n"/>
      <c r="AM310" s="4" t="n"/>
      <c r="AN310" s="4" t="n"/>
      <c r="AO310" s="4" t="n"/>
      <c r="AP310" s="4" t="n"/>
      <c r="AQ310" s="4" t="n"/>
      <c r="AR310" s="4" t="n"/>
      <c r="AS310" s="4" t="n"/>
      <c r="AT310" s="4" t="n"/>
      <c r="AU310" s="4" t="n"/>
      <c r="AV310" s="4" t="n"/>
      <c r="AW310" s="4" t="n"/>
      <c r="AX310" s="4" t="n"/>
      <c r="AY310" s="4" t="n"/>
      <c r="AZ310" s="4" t="n"/>
      <c r="BA310" s="4" t="n"/>
      <c r="BB310" s="4" t="n"/>
      <c r="BC310" s="4" t="n"/>
      <c r="BD310" s="4" t="n"/>
      <c r="BE310" s="4" t="n"/>
      <c r="BF310" s="4" t="n"/>
      <c r="BG310" s="4" t="n"/>
      <c r="BH310" s="4" t="n"/>
      <c r="BI310" s="4" t="n"/>
      <c r="BJ310" s="4" t="n"/>
      <c r="BK310" s="4" t="n"/>
      <c r="BL310" s="4" t="n"/>
      <c r="BM310" s="4" t="n"/>
      <c r="BN310" s="4" t="n"/>
      <c r="BO310" s="4" t="n"/>
      <c r="BP310" s="4" t="n"/>
      <c r="BQ310" s="4" t="n"/>
      <c r="BR310" s="4" t="n"/>
      <c r="BS310" s="4" t="n"/>
      <c r="BT310" s="4" t="n"/>
      <c r="BU310" s="4" t="n"/>
      <c r="BV310" s="4" t="n"/>
      <c r="BW310" s="4" t="n"/>
      <c r="BX310" s="4" t="n"/>
      <c r="BY310" s="4" t="n"/>
      <c r="BZ310" s="4" t="n"/>
      <c r="CA310" s="4" t="n"/>
      <c r="CB310" s="4" t="n"/>
      <c r="CC310" s="4" t="n"/>
      <c r="CD310" s="4" t="n"/>
      <c r="CE310" s="4" t="n"/>
      <c r="CF310" s="4" t="n"/>
      <c r="CG310" s="4" t="n"/>
      <c r="CH310" s="4" t="n"/>
      <c r="CI310" s="4" t="n"/>
      <c r="CJ310" s="4" t="n"/>
      <c r="CK310" s="4" t="n"/>
      <c r="CL310" s="4" t="n"/>
      <c r="CM310" s="4" t="n"/>
      <c r="CN310" s="4" t="n"/>
      <c r="CO310" s="4" t="n"/>
      <c r="CP310" s="4" t="n"/>
      <c r="CQ310" s="4" t="n"/>
      <c r="CR310" s="4" t="n"/>
      <c r="CS310" s="4" t="n"/>
      <c r="CT310" s="4" t="n"/>
      <c r="CU310" s="4" t="n"/>
      <c r="CV310" s="4" t="n"/>
      <c r="CW310" s="4" t="n"/>
      <c r="CX310" s="4" t="n"/>
      <c r="CY310" s="4" t="n"/>
      <c r="CZ310" s="4" t="n"/>
      <c r="DA310" s="4" t="n"/>
      <c r="DB310" s="4" t="n"/>
      <c r="DC310" s="4" t="n"/>
      <c r="DD310" s="4" t="n"/>
      <c r="DE310" s="4" t="n"/>
      <c r="DF310" s="4" t="n"/>
      <c r="DG310" s="4" t="n"/>
      <c r="DH310" s="4" t="n"/>
      <c r="DI310" s="4" t="n"/>
      <c r="DJ310" s="4" t="n"/>
      <c r="DK310" s="4" t="n"/>
      <c r="DL310" s="4" t="n"/>
      <c r="DM310" s="4" t="n"/>
      <c r="DN310" s="4" t="n"/>
      <c r="DO310" s="4" t="n"/>
      <c r="DP310" s="4" t="n"/>
      <c r="DQ310" s="4" t="n"/>
      <c r="DR310" s="4" t="n"/>
      <c r="DS310" s="4" t="n"/>
      <c r="DT310" s="4" t="n"/>
      <c r="DU310" s="4" t="n"/>
      <c r="DV310" s="4" t="n"/>
      <c r="DW310" s="4" t="n"/>
      <c r="DX310" s="4" t="n"/>
      <c r="DY310" s="4" t="n"/>
      <c r="DZ310" s="4" t="n"/>
      <c r="EA310" s="4" t="n"/>
      <c r="EB310" s="4" t="n"/>
      <c r="EC310" s="4" t="n"/>
      <c r="ED310" s="4" t="n"/>
      <c r="EE310" s="4" t="n"/>
      <c r="EF310" s="4" t="n"/>
      <c r="EG310" s="4" t="n"/>
      <c r="EH310" s="4" t="n"/>
      <c r="EI310" s="4" t="n"/>
      <c r="EJ310" s="4" t="n"/>
      <c r="EK310" s="4" t="n"/>
      <c r="EL310" s="4" t="n"/>
      <c r="EM310" s="4" t="n"/>
      <c r="EN310" s="4" t="n"/>
    </row>
    <row r="311" hidden="1" customFormat="1" s="6">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c r="AE311" s="4" t="n"/>
      <c r="AF311" s="4" t="n"/>
      <c r="AG311" s="4" t="n"/>
      <c r="AH311" s="4" t="n"/>
      <c r="AI311" s="4" t="n"/>
      <c r="AJ311" s="4" t="n"/>
      <c r="AK311" s="4" t="n"/>
      <c r="AL311" s="4" t="n"/>
      <c r="AM311" s="4" t="n"/>
      <c r="AN311" s="4" t="n"/>
      <c r="AO311" s="4" t="n"/>
      <c r="AP311" s="4" t="n"/>
      <c r="AQ311" s="4" t="n"/>
      <c r="AR311" s="4" t="n"/>
      <c r="AS311" s="4" t="n"/>
      <c r="AT311" s="4" t="n"/>
      <c r="AU311" s="4" t="n"/>
      <c r="AV311" s="4" t="n"/>
      <c r="AW311" s="4" t="n"/>
      <c r="AX311" s="4" t="n"/>
      <c r="AY311" s="4" t="n"/>
      <c r="AZ311" s="4" t="n"/>
      <c r="BA311" s="4" t="n"/>
      <c r="BB311" s="4" t="n"/>
      <c r="BC311" s="4" t="n"/>
      <c r="BD311" s="4" t="n"/>
      <c r="BE311" s="4" t="n"/>
      <c r="BF311" s="4" t="n"/>
      <c r="BG311" s="4" t="n"/>
      <c r="BH311" s="4" t="n"/>
      <c r="BI311" s="4" t="n"/>
      <c r="BJ311" s="4" t="n"/>
      <c r="BK311" s="4" t="n"/>
      <c r="BL311" s="4" t="n"/>
      <c r="BM311" s="4" t="n"/>
      <c r="BN311" s="4" t="n"/>
      <c r="BO311" s="4" t="n"/>
      <c r="BP311" s="4" t="n"/>
      <c r="BQ311" s="4" t="n"/>
      <c r="BR311" s="4" t="n"/>
      <c r="BS311" s="4" t="n"/>
      <c r="BT311" s="4" t="n"/>
      <c r="BU311" s="4" t="n"/>
      <c r="BV311" s="4" t="n"/>
      <c r="BW311" s="4" t="n"/>
      <c r="BX311" s="4" t="n"/>
      <c r="BY311" s="4" t="n"/>
      <c r="BZ311" s="4" t="n"/>
      <c r="CA311" s="4" t="n"/>
      <c r="CB311" s="4" t="n"/>
      <c r="CC311" s="4" t="n"/>
      <c r="CD311" s="4" t="n"/>
      <c r="CE311" s="4" t="n"/>
      <c r="CF311" s="4" t="n"/>
      <c r="CG311" s="4" t="n"/>
      <c r="CH311" s="4" t="n"/>
      <c r="CI311" s="4" t="n"/>
      <c r="CJ311" s="4" t="n"/>
      <c r="CK311" s="4" t="n"/>
      <c r="CL311" s="4" t="n"/>
      <c r="CM311" s="4" t="n"/>
      <c r="CN311" s="4" t="n"/>
      <c r="CO311" s="4" t="n"/>
      <c r="CP311" s="4" t="n"/>
      <c r="CQ311" s="4" t="n"/>
      <c r="CR311" s="4" t="n"/>
      <c r="CS311" s="4" t="n"/>
      <c r="CT311" s="4" t="n"/>
      <c r="CU311" s="4" t="n"/>
      <c r="CV311" s="4" t="n"/>
      <c r="CW311" s="4" t="n"/>
      <c r="CX311" s="4" t="n"/>
      <c r="CY311" s="4" t="n"/>
      <c r="CZ311" s="4" t="n"/>
      <c r="DA311" s="4" t="n"/>
      <c r="DB311" s="4" t="n"/>
      <c r="DC311" s="4" t="n"/>
      <c r="DD311" s="4" t="n"/>
      <c r="DE311" s="4" t="n"/>
      <c r="DF311" s="4" t="n"/>
      <c r="DG311" s="4" t="n"/>
      <c r="DH311" s="4" t="n"/>
      <c r="DI311" s="4" t="n"/>
      <c r="DJ311" s="4" t="n"/>
      <c r="DK311" s="4" t="n"/>
      <c r="DL311" s="4" t="n"/>
      <c r="DM311" s="4" t="n"/>
      <c r="DN311" s="4" t="n"/>
      <c r="DO311" s="4" t="n"/>
      <c r="DP311" s="4" t="n"/>
      <c r="DQ311" s="4" t="n"/>
      <c r="DR311" s="4" t="n"/>
      <c r="DS311" s="4" t="n"/>
      <c r="DT311" s="4" t="n"/>
      <c r="DU311" s="4" t="n"/>
      <c r="DV311" s="4" t="n"/>
      <c r="DW311" s="4" t="n"/>
      <c r="DX311" s="4" t="n"/>
      <c r="DY311" s="4" t="n"/>
      <c r="DZ311" s="4" t="n"/>
      <c r="EA311" s="4" t="n"/>
      <c r="EB311" s="4" t="n"/>
      <c r="EC311" s="4" t="n"/>
      <c r="ED311" s="4" t="n"/>
      <c r="EE311" s="4" t="n"/>
      <c r="EF311" s="4" t="n"/>
      <c r="EG311" s="4" t="n"/>
      <c r="EH311" s="4" t="n"/>
      <c r="EI311" s="4" t="n"/>
      <c r="EJ311" s="4" t="n"/>
      <c r="EK311" s="4" t="n"/>
      <c r="EL311" s="4" t="n"/>
      <c r="EM311" s="4" t="n"/>
      <c r="EN311" s="4" t="n"/>
    </row>
    <row r="312" hidden="1" customFormat="1" s="6">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c r="AC312" s="4" t="n"/>
      <c r="AD312" s="4" t="n"/>
      <c r="AE312" s="4" t="n"/>
      <c r="AF312" s="4" t="n"/>
      <c r="AG312" s="4" t="n"/>
      <c r="AH312" s="4" t="n"/>
      <c r="AI312" s="4" t="n"/>
      <c r="AJ312" s="4" t="n"/>
      <c r="AK312" s="4" t="n"/>
      <c r="AL312" s="4" t="n"/>
      <c r="AM312" s="4" t="n"/>
      <c r="AN312" s="4" t="n"/>
      <c r="AO312" s="4" t="n"/>
      <c r="AP312" s="4" t="n"/>
      <c r="AQ312" s="4" t="n"/>
      <c r="AR312" s="4" t="n"/>
      <c r="AS312" s="4" t="n"/>
      <c r="AT312" s="4" t="n"/>
      <c r="AU312" s="4" t="n"/>
      <c r="AV312" s="4" t="n"/>
      <c r="AW312" s="4" t="n"/>
      <c r="AX312" s="4" t="n"/>
      <c r="AY312" s="4" t="n"/>
      <c r="AZ312" s="4" t="n"/>
      <c r="BA312" s="4" t="n"/>
      <c r="BB312" s="4" t="n"/>
      <c r="BC312" s="4" t="n"/>
      <c r="BD312" s="4" t="n"/>
      <c r="BE312" s="4" t="n"/>
      <c r="BF312" s="4" t="n"/>
      <c r="BG312" s="4" t="n"/>
      <c r="BH312" s="4" t="n"/>
      <c r="BI312" s="4" t="n"/>
      <c r="BJ312" s="4" t="n"/>
      <c r="BK312" s="4" t="n"/>
      <c r="BL312" s="4" t="n"/>
      <c r="BM312" s="4" t="n"/>
      <c r="BN312" s="4" t="n"/>
      <c r="BO312" s="4" t="n"/>
      <c r="BP312" s="4" t="n"/>
      <c r="BQ312" s="4" t="n"/>
      <c r="BR312" s="4" t="n"/>
      <c r="BS312" s="4" t="n"/>
      <c r="BT312" s="4" t="n"/>
      <c r="BU312" s="4" t="n"/>
      <c r="BV312" s="4" t="n"/>
      <c r="BW312" s="4" t="n"/>
      <c r="BX312" s="4" t="n"/>
      <c r="BY312" s="4" t="n"/>
      <c r="BZ312" s="4" t="n"/>
      <c r="CA312" s="4" t="n"/>
      <c r="CB312" s="4" t="n"/>
      <c r="CC312" s="4" t="n"/>
      <c r="CD312" s="4" t="n"/>
      <c r="CE312" s="4" t="n"/>
      <c r="CF312" s="4" t="n"/>
      <c r="CG312" s="4" t="n"/>
      <c r="CH312" s="4" t="n"/>
      <c r="CI312" s="4" t="n"/>
      <c r="CJ312" s="4" t="n"/>
      <c r="CK312" s="4" t="n"/>
      <c r="CL312" s="4" t="n"/>
      <c r="CM312" s="4" t="n"/>
      <c r="CN312" s="4" t="n"/>
      <c r="CO312" s="4" t="n"/>
      <c r="CP312" s="4" t="n"/>
      <c r="CQ312" s="4" t="n"/>
      <c r="CR312" s="4" t="n"/>
      <c r="CS312" s="4" t="n"/>
      <c r="CT312" s="4" t="n"/>
      <c r="CU312" s="4" t="n"/>
      <c r="CV312" s="4" t="n"/>
      <c r="CW312" s="4" t="n"/>
      <c r="CX312" s="4" t="n"/>
      <c r="CY312" s="4" t="n"/>
      <c r="CZ312" s="4" t="n"/>
      <c r="DA312" s="4" t="n"/>
      <c r="DB312" s="4" t="n"/>
      <c r="DC312" s="4" t="n"/>
      <c r="DD312" s="4" t="n"/>
      <c r="DE312" s="4" t="n"/>
      <c r="DF312" s="4" t="n"/>
      <c r="DG312" s="4" t="n"/>
      <c r="DH312" s="4" t="n"/>
      <c r="DI312" s="4" t="n"/>
      <c r="DJ312" s="4" t="n"/>
      <c r="DK312" s="4" t="n"/>
      <c r="DL312" s="4" t="n"/>
      <c r="DM312" s="4" t="n"/>
      <c r="DN312" s="4" t="n"/>
      <c r="DO312" s="4" t="n"/>
      <c r="DP312" s="4" t="n"/>
      <c r="DQ312" s="4" t="n"/>
      <c r="DR312" s="4" t="n"/>
      <c r="DS312" s="4" t="n"/>
      <c r="DT312" s="4" t="n"/>
      <c r="DU312" s="4" t="n"/>
      <c r="DV312" s="4" t="n"/>
      <c r="DW312" s="4" t="n"/>
      <c r="DX312" s="4" t="n"/>
      <c r="DY312" s="4" t="n"/>
      <c r="DZ312" s="4" t="n"/>
      <c r="EA312" s="4" t="n"/>
      <c r="EB312" s="4" t="n"/>
      <c r="EC312" s="4" t="n"/>
      <c r="ED312" s="4" t="n"/>
      <c r="EE312" s="4" t="n"/>
      <c r="EF312" s="4" t="n"/>
      <c r="EG312" s="4" t="n"/>
      <c r="EH312" s="4" t="n"/>
      <c r="EI312" s="4" t="n"/>
      <c r="EJ312" s="4" t="n"/>
      <c r="EK312" s="4" t="n"/>
      <c r="EL312" s="4" t="n"/>
      <c r="EM312" s="4" t="n"/>
      <c r="EN312" s="4" t="n"/>
    </row>
    <row r="313" hidden="1" customFormat="1" s="6">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c r="AC313" s="4" t="n"/>
      <c r="AD313" s="4" t="n"/>
      <c r="AE313" s="4" t="n"/>
      <c r="AF313" s="4" t="n"/>
      <c r="AG313" s="4" t="n"/>
      <c r="AH313" s="4" t="n"/>
      <c r="AI313" s="4" t="n"/>
      <c r="AJ313" s="4" t="n"/>
      <c r="AK313" s="4" t="n"/>
      <c r="AL313" s="4" t="n"/>
      <c r="AM313" s="4" t="n"/>
      <c r="AN313" s="4" t="n"/>
      <c r="AO313" s="4" t="n"/>
      <c r="AP313" s="4" t="n"/>
      <c r="AQ313" s="4" t="n"/>
      <c r="AR313" s="4" t="n"/>
      <c r="AS313" s="4" t="n"/>
      <c r="AT313" s="4" t="n"/>
      <c r="AU313" s="4" t="n"/>
      <c r="AV313" s="4" t="n"/>
      <c r="AW313" s="4" t="n"/>
      <c r="AX313" s="4" t="n"/>
      <c r="AY313" s="4" t="n"/>
      <c r="AZ313" s="4" t="n"/>
      <c r="BA313" s="4" t="n"/>
      <c r="BB313" s="4" t="n"/>
      <c r="BC313" s="4" t="n"/>
      <c r="BD313" s="4" t="n"/>
      <c r="BE313" s="4" t="n"/>
      <c r="BF313" s="4" t="n"/>
      <c r="BG313" s="4" t="n"/>
      <c r="BH313" s="4" t="n"/>
      <c r="BI313" s="4" t="n"/>
      <c r="BJ313" s="4" t="n"/>
      <c r="BK313" s="4" t="n"/>
      <c r="BL313" s="4" t="n"/>
      <c r="BM313" s="4" t="n"/>
      <c r="BN313" s="4" t="n"/>
      <c r="BO313" s="4" t="n"/>
      <c r="BP313" s="4" t="n"/>
      <c r="BQ313" s="4" t="n"/>
      <c r="BR313" s="4" t="n"/>
      <c r="BS313" s="4" t="n"/>
      <c r="BT313" s="4" t="n"/>
      <c r="BU313" s="4" t="n"/>
      <c r="BV313" s="4" t="n"/>
      <c r="BW313" s="4" t="n"/>
      <c r="BX313" s="4" t="n"/>
      <c r="BY313" s="4" t="n"/>
      <c r="BZ313" s="4" t="n"/>
      <c r="CA313" s="4" t="n"/>
      <c r="CB313" s="4" t="n"/>
      <c r="CC313" s="4" t="n"/>
      <c r="CD313" s="4" t="n"/>
      <c r="CE313" s="4" t="n"/>
      <c r="CF313" s="4" t="n"/>
      <c r="CG313" s="4" t="n"/>
      <c r="CH313" s="4" t="n"/>
      <c r="CI313" s="4" t="n"/>
      <c r="CJ313" s="4" t="n"/>
      <c r="CK313" s="4" t="n"/>
      <c r="CL313" s="4" t="n"/>
      <c r="CM313" s="4" t="n"/>
      <c r="CN313" s="4" t="n"/>
      <c r="CO313" s="4" t="n"/>
      <c r="CP313" s="4" t="n"/>
      <c r="CQ313" s="4" t="n"/>
      <c r="CR313" s="4" t="n"/>
      <c r="CS313" s="4" t="n"/>
      <c r="CT313" s="4" t="n"/>
      <c r="CU313" s="4" t="n"/>
      <c r="CV313" s="4" t="n"/>
      <c r="CW313" s="4" t="n"/>
      <c r="CX313" s="4" t="n"/>
      <c r="CY313" s="4" t="n"/>
      <c r="CZ313" s="4" t="n"/>
      <c r="DA313" s="4" t="n"/>
      <c r="DB313" s="4" t="n"/>
      <c r="DC313" s="4" t="n"/>
      <c r="DD313" s="4" t="n"/>
      <c r="DE313" s="4" t="n"/>
      <c r="DF313" s="4" t="n"/>
      <c r="DG313" s="4" t="n"/>
      <c r="DH313" s="4" t="n"/>
      <c r="DI313" s="4" t="n"/>
      <c r="DJ313" s="4" t="n"/>
      <c r="DK313" s="4" t="n"/>
      <c r="DL313" s="4" t="n"/>
      <c r="DM313" s="4" t="n"/>
      <c r="DN313" s="4" t="n"/>
      <c r="DO313" s="4" t="n"/>
      <c r="DP313" s="4" t="n"/>
      <c r="DQ313" s="4" t="n"/>
      <c r="DR313" s="4" t="n"/>
      <c r="DS313" s="4" t="n"/>
      <c r="DT313" s="4" t="n"/>
      <c r="DU313" s="4" t="n"/>
      <c r="DV313" s="4" t="n"/>
      <c r="DW313" s="4" t="n"/>
      <c r="DX313" s="4" t="n"/>
      <c r="DY313" s="4" t="n"/>
      <c r="DZ313" s="4" t="n"/>
      <c r="EA313" s="4" t="n"/>
      <c r="EB313" s="4" t="n"/>
      <c r="EC313" s="4" t="n"/>
      <c r="ED313" s="4" t="n"/>
      <c r="EE313" s="4" t="n"/>
      <c r="EF313" s="4" t="n"/>
      <c r="EG313" s="4" t="n"/>
      <c r="EH313" s="4" t="n"/>
      <c r="EI313" s="4" t="n"/>
      <c r="EJ313" s="4" t="n"/>
      <c r="EK313" s="4" t="n"/>
      <c r="EL313" s="4" t="n"/>
      <c r="EM313" s="4" t="n"/>
      <c r="EN313" s="4" t="n"/>
    </row>
    <row r="314" hidden="1" customFormat="1" s="6">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c r="AC314" s="4" t="n"/>
      <c r="AD314" s="4" t="n"/>
      <c r="AE314" s="4" t="n"/>
      <c r="AF314" s="4" t="n"/>
      <c r="AG314" s="4" t="n"/>
      <c r="AH314" s="4" t="n"/>
      <c r="AI314" s="4" t="n"/>
      <c r="AJ314" s="4" t="n"/>
      <c r="AK314" s="4" t="n"/>
      <c r="AL314" s="4" t="n"/>
      <c r="AM314" s="4" t="n"/>
      <c r="AN314" s="4" t="n"/>
      <c r="AO314" s="4" t="n"/>
      <c r="AP314" s="4" t="n"/>
      <c r="AQ314" s="4" t="n"/>
      <c r="AR314" s="4" t="n"/>
      <c r="AS314" s="4" t="n"/>
      <c r="AT314" s="4" t="n"/>
      <c r="AU314" s="4" t="n"/>
      <c r="AV314" s="4" t="n"/>
      <c r="AW314" s="4" t="n"/>
      <c r="AX314" s="4" t="n"/>
      <c r="AY314" s="4" t="n"/>
      <c r="AZ314" s="4" t="n"/>
      <c r="BA314" s="4" t="n"/>
      <c r="BB314" s="4" t="n"/>
      <c r="BC314" s="4" t="n"/>
      <c r="BD314" s="4" t="n"/>
      <c r="BE314" s="4" t="n"/>
      <c r="BF314" s="4" t="n"/>
      <c r="BG314" s="4" t="n"/>
      <c r="BH314" s="4" t="n"/>
      <c r="BI314" s="4" t="n"/>
      <c r="BJ314" s="4" t="n"/>
      <c r="BK314" s="4" t="n"/>
      <c r="BL314" s="4" t="n"/>
      <c r="BM314" s="4" t="n"/>
      <c r="BN314" s="4" t="n"/>
      <c r="BO314" s="4" t="n"/>
      <c r="BP314" s="4" t="n"/>
      <c r="BQ314" s="4" t="n"/>
      <c r="BR314" s="4" t="n"/>
      <c r="BS314" s="4" t="n"/>
      <c r="BT314" s="4" t="n"/>
      <c r="BU314" s="4" t="n"/>
      <c r="BV314" s="4" t="n"/>
      <c r="BW314" s="4" t="n"/>
      <c r="BX314" s="4" t="n"/>
      <c r="BY314" s="4" t="n"/>
      <c r="BZ314" s="4" t="n"/>
      <c r="CA314" s="4" t="n"/>
      <c r="CB314" s="4" t="n"/>
      <c r="CC314" s="4" t="n"/>
      <c r="CD314" s="4" t="n"/>
      <c r="CE314" s="4" t="n"/>
      <c r="CF314" s="4" t="n"/>
      <c r="CG314" s="4" t="n"/>
      <c r="CH314" s="4" t="n"/>
      <c r="CI314" s="4" t="n"/>
      <c r="CJ314" s="4" t="n"/>
      <c r="CK314" s="4" t="n"/>
      <c r="CL314" s="4" t="n"/>
      <c r="CM314" s="4" t="n"/>
      <c r="CN314" s="4" t="n"/>
      <c r="CO314" s="4" t="n"/>
      <c r="CP314" s="4" t="n"/>
      <c r="CQ314" s="4" t="n"/>
      <c r="CR314" s="4" t="n"/>
      <c r="CS314" s="4" t="n"/>
      <c r="CT314" s="4" t="n"/>
      <c r="CU314" s="4" t="n"/>
      <c r="CV314" s="4" t="n"/>
      <c r="CW314" s="4" t="n"/>
      <c r="CX314" s="4" t="n"/>
      <c r="CY314" s="4" t="n"/>
      <c r="CZ314" s="4" t="n"/>
      <c r="DA314" s="4" t="n"/>
      <c r="DB314" s="4" t="n"/>
      <c r="DC314" s="4" t="n"/>
      <c r="DD314" s="4" t="n"/>
      <c r="DE314" s="4" t="n"/>
      <c r="DF314" s="4" t="n"/>
      <c r="DG314" s="4" t="n"/>
      <c r="DH314" s="4" t="n"/>
      <c r="DI314" s="4" t="n"/>
      <c r="DJ314" s="4" t="n"/>
      <c r="DK314" s="4" t="n"/>
      <c r="DL314" s="4" t="n"/>
      <c r="DM314" s="4" t="n"/>
      <c r="DN314" s="4" t="n"/>
      <c r="DO314" s="4" t="n"/>
      <c r="DP314" s="4" t="n"/>
      <c r="DQ314" s="4" t="n"/>
      <c r="DR314" s="4" t="n"/>
      <c r="DS314" s="4" t="n"/>
      <c r="DT314" s="4" t="n"/>
      <c r="DU314" s="4" t="n"/>
      <c r="DV314" s="4" t="n"/>
      <c r="DW314" s="4" t="n"/>
      <c r="DX314" s="4" t="n"/>
      <c r="DY314" s="4" t="n"/>
      <c r="DZ314" s="4" t="n"/>
      <c r="EA314" s="4" t="n"/>
      <c r="EB314" s="4" t="n"/>
      <c r="EC314" s="4" t="n"/>
      <c r="ED314" s="4" t="n"/>
      <c r="EE314" s="4" t="n"/>
      <c r="EF314" s="4" t="n"/>
      <c r="EG314" s="4" t="n"/>
      <c r="EH314" s="4" t="n"/>
      <c r="EI314" s="4" t="n"/>
      <c r="EJ314" s="4" t="n"/>
      <c r="EK314" s="4" t="n"/>
      <c r="EL314" s="4" t="n"/>
      <c r="EM314" s="4" t="n"/>
      <c r="EN314" s="4" t="n"/>
    </row>
    <row r="315" hidden="1" customFormat="1" s="6">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c r="AC315" s="4" t="n"/>
      <c r="AD315" s="4" t="n"/>
      <c r="AE315" s="4" t="n"/>
      <c r="AF315" s="4" t="n"/>
      <c r="AG315" s="4" t="n"/>
      <c r="AH315" s="4" t="n"/>
      <c r="AI315" s="4" t="n"/>
      <c r="AJ315" s="4" t="n"/>
      <c r="AK315" s="4" t="n"/>
      <c r="AL315" s="4" t="n"/>
      <c r="AM315" s="4" t="n"/>
      <c r="AN315" s="4" t="n"/>
      <c r="AO315" s="4" t="n"/>
      <c r="AP315" s="4" t="n"/>
      <c r="AQ315" s="4" t="n"/>
      <c r="AR315" s="4" t="n"/>
      <c r="AS315" s="4" t="n"/>
      <c r="AT315" s="4" t="n"/>
      <c r="AU315" s="4" t="n"/>
      <c r="AV315" s="4" t="n"/>
      <c r="AW315" s="4" t="n"/>
      <c r="AX315" s="4" t="n"/>
      <c r="AY315" s="4" t="n"/>
      <c r="AZ315" s="4" t="n"/>
      <c r="BA315" s="4" t="n"/>
      <c r="BB315" s="4" t="n"/>
      <c r="BC315" s="4" t="n"/>
      <c r="BD315" s="4" t="n"/>
      <c r="BE315" s="4" t="n"/>
      <c r="BF315" s="4" t="n"/>
      <c r="BG315" s="4" t="n"/>
      <c r="BH315" s="4" t="n"/>
      <c r="BI315" s="4" t="n"/>
      <c r="BJ315" s="4" t="n"/>
      <c r="BK315" s="4" t="n"/>
      <c r="BL315" s="4" t="n"/>
      <c r="BM315" s="4" t="n"/>
      <c r="BN315" s="4" t="n"/>
      <c r="BO315" s="4" t="n"/>
      <c r="BP315" s="4" t="n"/>
      <c r="BQ315" s="4" t="n"/>
      <c r="BR315" s="4" t="n"/>
      <c r="BS315" s="4" t="n"/>
      <c r="BT315" s="4" t="n"/>
      <c r="BU315" s="4" t="n"/>
      <c r="BV315" s="4" t="n"/>
      <c r="BW315" s="4" t="n"/>
      <c r="BX315" s="4" t="n"/>
      <c r="BY315" s="4" t="n"/>
      <c r="BZ315" s="4" t="n"/>
      <c r="CA315" s="4" t="n"/>
      <c r="CB315" s="4" t="n"/>
      <c r="CC315" s="4" t="n"/>
      <c r="CD315" s="4" t="n"/>
      <c r="CE315" s="4" t="n"/>
      <c r="CF315" s="4" t="n"/>
      <c r="CG315" s="4" t="n"/>
      <c r="CH315" s="4" t="n"/>
      <c r="CI315" s="4" t="n"/>
      <c r="CJ315" s="4" t="n"/>
      <c r="CK315" s="4" t="n"/>
      <c r="CL315" s="4" t="n"/>
      <c r="CM315" s="4" t="n"/>
      <c r="CN315" s="4" t="n"/>
      <c r="CO315" s="4" t="n"/>
      <c r="CP315" s="4" t="n"/>
      <c r="CQ315" s="4" t="n"/>
      <c r="CR315" s="4" t="n"/>
      <c r="CS315" s="4" t="n"/>
      <c r="CT315" s="4" t="n"/>
      <c r="CU315" s="4" t="n"/>
      <c r="CV315" s="4" t="n"/>
      <c r="CW315" s="4" t="n"/>
      <c r="CX315" s="4" t="n"/>
      <c r="CY315" s="4" t="n"/>
      <c r="CZ315" s="4" t="n"/>
      <c r="DA315" s="4" t="n"/>
      <c r="DB315" s="4" t="n"/>
      <c r="DC315" s="4" t="n"/>
      <c r="DD315" s="4" t="n"/>
      <c r="DE315" s="4" t="n"/>
      <c r="DF315" s="4" t="n"/>
      <c r="DG315" s="4" t="n"/>
      <c r="DH315" s="4" t="n"/>
      <c r="DI315" s="4" t="n"/>
      <c r="DJ315" s="4" t="n"/>
      <c r="DK315" s="4" t="n"/>
      <c r="DL315" s="4" t="n"/>
      <c r="DM315" s="4" t="n"/>
      <c r="DN315" s="4" t="n"/>
      <c r="DO315" s="4" t="n"/>
      <c r="DP315" s="4" t="n"/>
      <c r="DQ315" s="4" t="n"/>
      <c r="DR315" s="4" t="n"/>
      <c r="DS315" s="4" t="n"/>
      <c r="DT315" s="4" t="n"/>
      <c r="DU315" s="4" t="n"/>
      <c r="DV315" s="4" t="n"/>
      <c r="DW315" s="4" t="n"/>
      <c r="DX315" s="4" t="n"/>
      <c r="DY315" s="4" t="n"/>
      <c r="DZ315" s="4" t="n"/>
      <c r="EA315" s="4" t="n"/>
      <c r="EB315" s="4" t="n"/>
      <c r="EC315" s="4" t="n"/>
      <c r="ED315" s="4" t="n"/>
      <c r="EE315" s="4" t="n"/>
      <c r="EF315" s="4" t="n"/>
      <c r="EG315" s="4" t="n"/>
      <c r="EH315" s="4" t="n"/>
      <c r="EI315" s="4" t="n"/>
      <c r="EJ315" s="4" t="n"/>
      <c r="EK315" s="4" t="n"/>
      <c r="EL315" s="4" t="n"/>
      <c r="EM315" s="4" t="n"/>
      <c r="EN315" s="4" t="n"/>
    </row>
    <row r="316" hidden="1" customFormat="1" s="6">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c r="AE316" s="4" t="n"/>
      <c r="AF316" s="4" t="n"/>
      <c r="AG316" s="4" t="n"/>
      <c r="AH316" s="4" t="n"/>
      <c r="AI316" s="4" t="n"/>
      <c r="AJ316" s="4" t="n"/>
      <c r="AK316" s="4" t="n"/>
      <c r="AL316" s="4" t="n"/>
      <c r="AM316" s="4" t="n"/>
      <c r="AN316" s="4" t="n"/>
      <c r="AO316" s="4" t="n"/>
      <c r="AP316" s="4" t="n"/>
      <c r="AQ316" s="4" t="n"/>
      <c r="AR316" s="4" t="n"/>
      <c r="AS316" s="4" t="n"/>
      <c r="AT316" s="4" t="n"/>
      <c r="AU316" s="4" t="n"/>
      <c r="AV316" s="4" t="n"/>
      <c r="AW316" s="4" t="n"/>
      <c r="AX316" s="4" t="n"/>
      <c r="AY316" s="4" t="n"/>
      <c r="AZ316" s="4" t="n"/>
      <c r="BA316" s="4" t="n"/>
      <c r="BB316" s="4" t="n"/>
      <c r="BC316" s="4" t="n"/>
      <c r="BD316" s="4" t="n"/>
      <c r="BE316" s="4" t="n"/>
      <c r="BF316" s="4" t="n"/>
      <c r="BG316" s="4" t="n"/>
      <c r="BH316" s="4" t="n"/>
      <c r="BI316" s="4" t="n"/>
      <c r="BJ316" s="4" t="n"/>
      <c r="BK316" s="4" t="n"/>
      <c r="BL316" s="4" t="n"/>
      <c r="BM316" s="4" t="n"/>
      <c r="BN316" s="4" t="n"/>
      <c r="BO316" s="4" t="n"/>
      <c r="BP316" s="4" t="n"/>
      <c r="BQ316" s="4" t="n"/>
      <c r="BR316" s="4" t="n"/>
      <c r="BS316" s="4" t="n"/>
      <c r="BT316" s="4" t="n"/>
      <c r="BU316" s="4" t="n"/>
      <c r="BV316" s="4" t="n"/>
      <c r="BW316" s="4" t="n"/>
      <c r="BX316" s="4" t="n"/>
      <c r="BY316" s="4" t="n"/>
      <c r="BZ316" s="4" t="n"/>
      <c r="CA316" s="4" t="n"/>
      <c r="CB316" s="4" t="n"/>
      <c r="CC316" s="4" t="n"/>
      <c r="CD316" s="4" t="n"/>
      <c r="CE316" s="4" t="n"/>
      <c r="CF316" s="4" t="n"/>
      <c r="CG316" s="4" t="n"/>
      <c r="CH316" s="4" t="n"/>
      <c r="CI316" s="4" t="n"/>
      <c r="CJ316" s="4" t="n"/>
      <c r="CK316" s="4" t="n"/>
      <c r="CL316" s="4" t="n"/>
      <c r="CM316" s="4" t="n"/>
      <c r="CN316" s="4" t="n"/>
      <c r="CO316" s="4" t="n"/>
      <c r="CP316" s="4" t="n"/>
      <c r="CQ316" s="4" t="n"/>
      <c r="CR316" s="4" t="n"/>
      <c r="CS316" s="4" t="n"/>
      <c r="CT316" s="4" t="n"/>
      <c r="CU316" s="4" t="n"/>
      <c r="CV316" s="4" t="n"/>
      <c r="CW316" s="4" t="n"/>
      <c r="CX316" s="4" t="n"/>
      <c r="CY316" s="4" t="n"/>
      <c r="CZ316" s="4" t="n"/>
      <c r="DA316" s="4" t="n"/>
      <c r="DB316" s="4" t="n"/>
      <c r="DC316" s="4" t="n"/>
      <c r="DD316" s="4" t="n"/>
      <c r="DE316" s="4" t="n"/>
      <c r="DF316" s="4" t="n"/>
      <c r="DG316" s="4" t="n"/>
      <c r="DH316" s="4" t="n"/>
      <c r="DI316" s="4" t="n"/>
      <c r="DJ316" s="4" t="n"/>
      <c r="DK316" s="4" t="n"/>
      <c r="DL316" s="4" t="n"/>
      <c r="DM316" s="4" t="n"/>
      <c r="DN316" s="4" t="n"/>
      <c r="DO316" s="4" t="n"/>
      <c r="DP316" s="4" t="n"/>
      <c r="DQ316" s="4" t="n"/>
      <c r="DR316" s="4" t="n"/>
      <c r="DS316" s="4" t="n"/>
      <c r="DT316" s="4" t="n"/>
      <c r="DU316" s="4" t="n"/>
      <c r="DV316" s="4" t="n"/>
      <c r="DW316" s="4" t="n"/>
      <c r="DX316" s="4" t="n"/>
      <c r="DY316" s="4" t="n"/>
      <c r="DZ316" s="4" t="n"/>
      <c r="EA316" s="4" t="n"/>
      <c r="EB316" s="4" t="n"/>
      <c r="EC316" s="4" t="n"/>
      <c r="ED316" s="4" t="n"/>
      <c r="EE316" s="4" t="n"/>
      <c r="EF316" s="4" t="n"/>
      <c r="EG316" s="4" t="n"/>
      <c r="EH316" s="4" t="n"/>
      <c r="EI316" s="4" t="n"/>
      <c r="EJ316" s="4" t="n"/>
      <c r="EK316" s="4" t="n"/>
      <c r="EL316" s="4" t="n"/>
      <c r="EM316" s="4" t="n"/>
      <c r="EN316" s="4" t="n"/>
    </row>
    <row r="317" hidden="1" customFormat="1" s="6">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c r="AD317" s="4" t="n"/>
      <c r="AE317" s="4" t="n"/>
      <c r="AF317" s="4" t="n"/>
      <c r="AG317" s="4" t="n"/>
      <c r="AH317" s="4" t="n"/>
      <c r="AI317" s="4" t="n"/>
      <c r="AJ317" s="4" t="n"/>
      <c r="AK317" s="4" t="n"/>
      <c r="AL317" s="4" t="n"/>
      <c r="AM317" s="4" t="n"/>
      <c r="AN317" s="4" t="n"/>
      <c r="AO317" s="4" t="n"/>
      <c r="AP317" s="4" t="n"/>
      <c r="AQ317" s="4" t="n"/>
      <c r="AR317" s="4" t="n"/>
      <c r="AS317" s="4" t="n"/>
      <c r="AT317" s="4" t="n"/>
      <c r="AU317" s="4" t="n"/>
      <c r="AV317" s="4" t="n"/>
      <c r="AW317" s="4" t="n"/>
      <c r="AX317" s="4" t="n"/>
      <c r="AY317" s="4" t="n"/>
      <c r="AZ317" s="4" t="n"/>
      <c r="BA317" s="4" t="n"/>
      <c r="BB317" s="4" t="n"/>
      <c r="BC317" s="4" t="n"/>
      <c r="BD317" s="4" t="n"/>
      <c r="BE317" s="4" t="n"/>
      <c r="BF317" s="4" t="n"/>
      <c r="BG317" s="4" t="n"/>
      <c r="BH317" s="4" t="n"/>
      <c r="BI317" s="4" t="n"/>
      <c r="BJ317" s="4" t="n"/>
      <c r="BK317" s="4" t="n"/>
      <c r="BL317" s="4" t="n"/>
      <c r="BM317" s="4" t="n"/>
      <c r="BN317" s="4" t="n"/>
      <c r="BO317" s="4" t="n"/>
      <c r="BP317" s="4" t="n"/>
      <c r="BQ317" s="4" t="n"/>
      <c r="BR317" s="4" t="n"/>
      <c r="BS317" s="4" t="n"/>
      <c r="BT317" s="4" t="n"/>
      <c r="BU317" s="4" t="n"/>
      <c r="BV317" s="4" t="n"/>
      <c r="BW317" s="4" t="n"/>
      <c r="BX317" s="4" t="n"/>
      <c r="BY317" s="4" t="n"/>
      <c r="BZ317" s="4" t="n"/>
      <c r="CA317" s="4" t="n"/>
      <c r="CB317" s="4" t="n"/>
      <c r="CC317" s="4" t="n"/>
      <c r="CD317" s="4" t="n"/>
      <c r="CE317" s="4" t="n"/>
      <c r="CF317" s="4" t="n"/>
      <c r="CG317" s="4" t="n"/>
      <c r="CH317" s="4" t="n"/>
      <c r="CI317" s="4" t="n"/>
      <c r="CJ317" s="4" t="n"/>
      <c r="CK317" s="4" t="n"/>
      <c r="CL317" s="4" t="n"/>
      <c r="CM317" s="4" t="n"/>
      <c r="CN317" s="4" t="n"/>
      <c r="CO317" s="4" t="n"/>
      <c r="CP317" s="4" t="n"/>
      <c r="CQ317" s="4" t="n"/>
      <c r="CR317" s="4" t="n"/>
      <c r="CS317" s="4" t="n"/>
      <c r="CT317" s="4" t="n"/>
      <c r="CU317" s="4" t="n"/>
      <c r="CV317" s="4" t="n"/>
      <c r="CW317" s="4" t="n"/>
      <c r="CX317" s="4" t="n"/>
      <c r="CY317" s="4" t="n"/>
      <c r="CZ317" s="4" t="n"/>
      <c r="DA317" s="4" t="n"/>
      <c r="DB317" s="4" t="n"/>
      <c r="DC317" s="4" t="n"/>
      <c r="DD317" s="4" t="n"/>
      <c r="DE317" s="4" t="n"/>
      <c r="DF317" s="4" t="n"/>
      <c r="DG317" s="4" t="n"/>
      <c r="DH317" s="4" t="n"/>
      <c r="DI317" s="4" t="n"/>
      <c r="DJ317" s="4" t="n"/>
      <c r="DK317" s="4" t="n"/>
      <c r="DL317" s="4" t="n"/>
      <c r="DM317" s="4" t="n"/>
      <c r="DN317" s="4" t="n"/>
      <c r="DO317" s="4" t="n"/>
      <c r="DP317" s="4" t="n"/>
      <c r="DQ317" s="4" t="n"/>
      <c r="DR317" s="4" t="n"/>
      <c r="DS317" s="4" t="n"/>
      <c r="DT317" s="4" t="n"/>
      <c r="DU317" s="4" t="n"/>
      <c r="DV317" s="4" t="n"/>
      <c r="DW317" s="4" t="n"/>
      <c r="DX317" s="4" t="n"/>
      <c r="DY317" s="4" t="n"/>
      <c r="DZ317" s="4" t="n"/>
      <c r="EA317" s="4" t="n"/>
      <c r="EB317" s="4" t="n"/>
      <c r="EC317" s="4" t="n"/>
      <c r="ED317" s="4" t="n"/>
      <c r="EE317" s="4" t="n"/>
      <c r="EF317" s="4" t="n"/>
      <c r="EG317" s="4" t="n"/>
      <c r="EH317" s="4" t="n"/>
      <c r="EI317" s="4" t="n"/>
      <c r="EJ317" s="4" t="n"/>
      <c r="EK317" s="4" t="n"/>
      <c r="EL317" s="4" t="n"/>
      <c r="EM317" s="4" t="n"/>
      <c r="EN317" s="4" t="n"/>
    </row>
    <row r="318" hidden="1" customFormat="1" s="6">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c r="AE318" s="4" t="n"/>
      <c r="AF318" s="4" t="n"/>
      <c r="AG318" s="4" t="n"/>
      <c r="AH318" s="4" t="n"/>
      <c r="AI318" s="4" t="n"/>
      <c r="AJ318" s="4" t="n"/>
      <c r="AK318" s="4" t="n"/>
      <c r="AL318" s="4" t="n"/>
      <c r="AM318" s="4" t="n"/>
      <c r="AN318" s="4" t="n"/>
      <c r="AO318" s="4" t="n"/>
      <c r="AP318" s="4" t="n"/>
      <c r="AQ318" s="4" t="n"/>
      <c r="AR318" s="4" t="n"/>
      <c r="AS318" s="4" t="n"/>
      <c r="AT318" s="4" t="n"/>
      <c r="AU318" s="4" t="n"/>
      <c r="AV318" s="4" t="n"/>
      <c r="AW318" s="4" t="n"/>
      <c r="AX318" s="4" t="n"/>
      <c r="AY318" s="4" t="n"/>
      <c r="AZ318" s="4" t="n"/>
      <c r="BA318" s="4" t="n"/>
      <c r="BB318" s="4" t="n"/>
      <c r="BC318" s="4" t="n"/>
      <c r="BD318" s="4" t="n"/>
      <c r="BE318" s="4" t="n"/>
      <c r="BF318" s="4" t="n"/>
      <c r="BG318" s="4" t="n"/>
      <c r="BH318" s="4" t="n"/>
      <c r="BI318" s="4" t="n"/>
      <c r="BJ318" s="4" t="n"/>
      <c r="BK318" s="4" t="n"/>
      <c r="BL318" s="4" t="n"/>
      <c r="BM318" s="4" t="n"/>
      <c r="BN318" s="4" t="n"/>
      <c r="BO318" s="4" t="n"/>
      <c r="BP318" s="4" t="n"/>
      <c r="BQ318" s="4" t="n"/>
      <c r="BR318" s="4" t="n"/>
      <c r="BS318" s="4" t="n"/>
      <c r="BT318" s="4" t="n"/>
      <c r="BU318" s="4" t="n"/>
      <c r="BV318" s="4" t="n"/>
      <c r="BW318" s="4" t="n"/>
      <c r="BX318" s="4" t="n"/>
      <c r="BY318" s="4" t="n"/>
      <c r="BZ318" s="4" t="n"/>
      <c r="CA318" s="4" t="n"/>
      <c r="CB318" s="4" t="n"/>
      <c r="CC318" s="4" t="n"/>
      <c r="CD318" s="4" t="n"/>
      <c r="CE318" s="4" t="n"/>
      <c r="CF318" s="4" t="n"/>
      <c r="CG318" s="4" t="n"/>
      <c r="CH318" s="4" t="n"/>
      <c r="CI318" s="4" t="n"/>
      <c r="CJ318" s="4" t="n"/>
      <c r="CK318" s="4" t="n"/>
      <c r="CL318" s="4" t="n"/>
      <c r="CM318" s="4" t="n"/>
      <c r="CN318" s="4" t="n"/>
      <c r="CO318" s="4" t="n"/>
      <c r="CP318" s="4" t="n"/>
      <c r="CQ318" s="4" t="n"/>
      <c r="CR318" s="4" t="n"/>
      <c r="CS318" s="4" t="n"/>
      <c r="CT318" s="4" t="n"/>
      <c r="CU318" s="4" t="n"/>
      <c r="CV318" s="4" t="n"/>
      <c r="CW318" s="4" t="n"/>
      <c r="CX318" s="4" t="n"/>
      <c r="CY318" s="4" t="n"/>
      <c r="CZ318" s="4" t="n"/>
      <c r="DA318" s="4" t="n"/>
      <c r="DB318" s="4" t="n"/>
      <c r="DC318" s="4" t="n"/>
      <c r="DD318" s="4" t="n"/>
      <c r="DE318" s="4" t="n"/>
      <c r="DF318" s="4" t="n"/>
      <c r="DG318" s="4" t="n"/>
      <c r="DH318" s="4" t="n"/>
      <c r="DI318" s="4" t="n"/>
      <c r="DJ318" s="4" t="n"/>
      <c r="DK318" s="4" t="n"/>
      <c r="DL318" s="4" t="n"/>
      <c r="DM318" s="4" t="n"/>
      <c r="DN318" s="4" t="n"/>
      <c r="DO318" s="4" t="n"/>
      <c r="DP318" s="4" t="n"/>
      <c r="DQ318" s="4" t="n"/>
      <c r="DR318" s="4" t="n"/>
      <c r="DS318" s="4" t="n"/>
      <c r="DT318" s="4" t="n"/>
      <c r="DU318" s="4" t="n"/>
      <c r="DV318" s="4" t="n"/>
      <c r="DW318" s="4" t="n"/>
      <c r="DX318" s="4" t="n"/>
      <c r="DY318" s="4" t="n"/>
      <c r="DZ318" s="4" t="n"/>
      <c r="EA318" s="4" t="n"/>
      <c r="EB318" s="4" t="n"/>
      <c r="EC318" s="4" t="n"/>
      <c r="ED318" s="4" t="n"/>
      <c r="EE318" s="4" t="n"/>
      <c r="EF318" s="4" t="n"/>
      <c r="EG318" s="4" t="n"/>
      <c r="EH318" s="4" t="n"/>
      <c r="EI318" s="4" t="n"/>
      <c r="EJ318" s="4" t="n"/>
      <c r="EK318" s="4" t="n"/>
      <c r="EL318" s="4" t="n"/>
      <c r="EM318" s="4" t="n"/>
      <c r="EN318" s="4" t="n"/>
    </row>
    <row r="319" hidden="1" customFormat="1" s="6">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c r="AC319" s="4" t="n"/>
      <c r="AD319" s="4" t="n"/>
      <c r="AE319" s="4" t="n"/>
      <c r="AF319" s="4" t="n"/>
      <c r="AG319" s="4" t="n"/>
      <c r="AH319" s="4" t="n"/>
      <c r="AI319" s="4" t="n"/>
      <c r="AJ319" s="4" t="n"/>
      <c r="AK319" s="4" t="n"/>
      <c r="AL319" s="4" t="n"/>
      <c r="AM319" s="4" t="n"/>
      <c r="AN319" s="4" t="n"/>
      <c r="AO319" s="4" t="n"/>
      <c r="AP319" s="4" t="n"/>
      <c r="AQ319" s="4" t="n"/>
      <c r="AR319" s="4" t="n"/>
      <c r="AS319" s="4" t="n"/>
      <c r="AT319" s="4" t="n"/>
      <c r="AU319" s="4" t="n"/>
      <c r="AV319" s="4" t="n"/>
      <c r="AW319" s="4" t="n"/>
      <c r="AX319" s="4" t="n"/>
      <c r="AY319" s="4" t="n"/>
      <c r="AZ319" s="4" t="n"/>
      <c r="BA319" s="4" t="n"/>
      <c r="BB319" s="4" t="n"/>
      <c r="BC319" s="4" t="n"/>
      <c r="BD319" s="4" t="n"/>
      <c r="BE319" s="4" t="n"/>
      <c r="BF319" s="4" t="n"/>
      <c r="BG319" s="4" t="n"/>
      <c r="BH319" s="4" t="n"/>
      <c r="BI319" s="4" t="n"/>
      <c r="BJ319" s="4" t="n"/>
      <c r="BK319" s="4" t="n"/>
      <c r="BL319" s="4" t="n"/>
      <c r="BM319" s="4" t="n"/>
      <c r="BN319" s="4" t="n"/>
      <c r="BO319" s="4" t="n"/>
      <c r="BP319" s="4" t="n"/>
      <c r="BQ319" s="4" t="n"/>
      <c r="BR319" s="4" t="n"/>
      <c r="BS319" s="4" t="n"/>
      <c r="BT319" s="4" t="n"/>
      <c r="BU319" s="4" t="n"/>
      <c r="BV319" s="4" t="n"/>
      <c r="BW319" s="4" t="n"/>
      <c r="BX319" s="4" t="n"/>
      <c r="BY319" s="4" t="n"/>
      <c r="BZ319" s="4" t="n"/>
      <c r="CA319" s="4" t="n"/>
      <c r="CB319" s="4" t="n"/>
      <c r="CC319" s="4" t="n"/>
      <c r="CD319" s="4" t="n"/>
      <c r="CE319" s="4" t="n"/>
      <c r="CF319" s="4" t="n"/>
      <c r="CG319" s="4" t="n"/>
      <c r="CH319" s="4" t="n"/>
      <c r="CI319" s="4" t="n"/>
      <c r="CJ319" s="4" t="n"/>
      <c r="CK319" s="4" t="n"/>
      <c r="CL319" s="4" t="n"/>
      <c r="CM319" s="4" t="n"/>
      <c r="CN319" s="4" t="n"/>
      <c r="CO319" s="4" t="n"/>
      <c r="CP319" s="4" t="n"/>
      <c r="CQ319" s="4" t="n"/>
      <c r="CR319" s="4" t="n"/>
      <c r="CS319" s="4" t="n"/>
      <c r="CT319" s="4" t="n"/>
      <c r="CU319" s="4" t="n"/>
      <c r="CV319" s="4" t="n"/>
      <c r="CW319" s="4" t="n"/>
      <c r="CX319" s="4" t="n"/>
      <c r="CY319" s="4" t="n"/>
      <c r="CZ319" s="4" t="n"/>
      <c r="DA319" s="4" t="n"/>
      <c r="DB319" s="4" t="n"/>
      <c r="DC319" s="4" t="n"/>
      <c r="DD319" s="4" t="n"/>
      <c r="DE319" s="4" t="n"/>
      <c r="DF319" s="4" t="n"/>
      <c r="DG319" s="4" t="n"/>
      <c r="DH319" s="4" t="n"/>
      <c r="DI319" s="4" t="n"/>
      <c r="DJ319" s="4" t="n"/>
      <c r="DK319" s="4" t="n"/>
      <c r="DL319" s="4" t="n"/>
      <c r="DM319" s="4" t="n"/>
      <c r="DN319" s="4" t="n"/>
      <c r="DO319" s="4" t="n"/>
      <c r="DP319" s="4" t="n"/>
      <c r="DQ319" s="4" t="n"/>
      <c r="DR319" s="4" t="n"/>
      <c r="DS319" s="4" t="n"/>
      <c r="DT319" s="4" t="n"/>
      <c r="DU319" s="4" t="n"/>
      <c r="DV319" s="4" t="n"/>
      <c r="DW319" s="4" t="n"/>
      <c r="DX319" s="4" t="n"/>
      <c r="DY319" s="4" t="n"/>
      <c r="DZ319" s="4" t="n"/>
      <c r="EA319" s="4" t="n"/>
      <c r="EB319" s="4" t="n"/>
      <c r="EC319" s="4" t="n"/>
      <c r="ED319" s="4" t="n"/>
      <c r="EE319" s="4" t="n"/>
      <c r="EF319" s="4" t="n"/>
      <c r="EG319" s="4" t="n"/>
      <c r="EH319" s="4" t="n"/>
      <c r="EI319" s="4" t="n"/>
      <c r="EJ319" s="4" t="n"/>
      <c r="EK319" s="4" t="n"/>
      <c r="EL319" s="4" t="n"/>
      <c r="EM319" s="4" t="n"/>
      <c r="EN319" s="4" t="n"/>
    </row>
    <row r="320" hidden="1" customFormat="1" s="6">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c r="AC320" s="4" t="n"/>
      <c r="AD320" s="4" t="n"/>
      <c r="AE320" s="4" t="n"/>
      <c r="AF320" s="4" t="n"/>
      <c r="AG320" s="4" t="n"/>
      <c r="AH320" s="4" t="n"/>
      <c r="AI320" s="4" t="n"/>
      <c r="AJ320" s="4" t="n"/>
      <c r="AK320" s="4" t="n"/>
      <c r="AL320" s="4" t="n"/>
      <c r="AM320" s="4" t="n"/>
      <c r="AN320" s="4" t="n"/>
      <c r="AO320" s="4" t="n"/>
      <c r="AP320" s="4" t="n"/>
      <c r="AQ320" s="4" t="n"/>
      <c r="AR320" s="4" t="n"/>
      <c r="AS320" s="4" t="n"/>
      <c r="AT320" s="4" t="n"/>
      <c r="AU320" s="4" t="n"/>
      <c r="AV320" s="4" t="n"/>
      <c r="AW320" s="4" t="n"/>
      <c r="AX320" s="4" t="n"/>
      <c r="AY320" s="4" t="n"/>
      <c r="AZ320" s="4" t="n"/>
      <c r="BA320" s="4" t="n"/>
      <c r="BB320" s="4" t="n"/>
      <c r="BC320" s="4" t="n"/>
      <c r="BD320" s="4" t="n"/>
      <c r="BE320" s="4" t="n"/>
      <c r="BF320" s="4" t="n"/>
      <c r="BG320" s="4" t="n"/>
      <c r="BH320" s="4" t="n"/>
      <c r="BI320" s="4" t="n"/>
      <c r="BJ320" s="4" t="n"/>
      <c r="BK320" s="4" t="n"/>
      <c r="BL320" s="4" t="n"/>
      <c r="BM320" s="4" t="n"/>
      <c r="BN320" s="4" t="n"/>
      <c r="BO320" s="4" t="n"/>
      <c r="BP320" s="4" t="n"/>
      <c r="BQ320" s="4" t="n"/>
      <c r="BR320" s="4" t="n"/>
      <c r="BS320" s="4" t="n"/>
      <c r="BT320" s="4" t="n"/>
      <c r="BU320" s="4" t="n"/>
      <c r="BV320" s="4" t="n"/>
      <c r="BW320" s="4" t="n"/>
      <c r="BX320" s="4" t="n"/>
      <c r="BY320" s="4" t="n"/>
      <c r="BZ320" s="4" t="n"/>
      <c r="CA320" s="4" t="n"/>
      <c r="CB320" s="4" t="n"/>
      <c r="CC320" s="4" t="n"/>
      <c r="CD320" s="4" t="n"/>
      <c r="CE320" s="4" t="n"/>
      <c r="CF320" s="4" t="n"/>
      <c r="CG320" s="4" t="n"/>
      <c r="CH320" s="4" t="n"/>
      <c r="CI320" s="4" t="n"/>
      <c r="CJ320" s="4" t="n"/>
      <c r="CK320" s="4" t="n"/>
      <c r="CL320" s="4" t="n"/>
      <c r="CM320" s="4" t="n"/>
      <c r="CN320" s="4" t="n"/>
      <c r="CO320" s="4" t="n"/>
      <c r="CP320" s="4" t="n"/>
      <c r="CQ320" s="4" t="n"/>
      <c r="CR320" s="4" t="n"/>
      <c r="CS320" s="4" t="n"/>
      <c r="CT320" s="4" t="n"/>
      <c r="CU320" s="4" t="n"/>
      <c r="CV320" s="4" t="n"/>
      <c r="CW320" s="4" t="n"/>
      <c r="CX320" s="4" t="n"/>
      <c r="CY320" s="4" t="n"/>
      <c r="CZ320" s="4" t="n"/>
      <c r="DA320" s="4" t="n"/>
      <c r="DB320" s="4" t="n"/>
      <c r="DC320" s="4" t="n"/>
      <c r="DD320" s="4" t="n"/>
      <c r="DE320" s="4" t="n"/>
      <c r="DF320" s="4" t="n"/>
      <c r="DG320" s="4" t="n"/>
      <c r="DH320" s="4" t="n"/>
      <c r="DI320" s="4" t="n"/>
      <c r="DJ320" s="4" t="n"/>
      <c r="DK320" s="4" t="n"/>
      <c r="DL320" s="4" t="n"/>
      <c r="DM320" s="4" t="n"/>
      <c r="DN320" s="4" t="n"/>
      <c r="DO320" s="4" t="n"/>
      <c r="DP320" s="4" t="n"/>
      <c r="DQ320" s="4" t="n"/>
      <c r="DR320" s="4" t="n"/>
      <c r="DS320" s="4" t="n"/>
      <c r="DT320" s="4" t="n"/>
      <c r="DU320" s="4" t="n"/>
      <c r="DV320" s="4" t="n"/>
      <c r="DW320" s="4" t="n"/>
      <c r="DX320" s="4" t="n"/>
      <c r="DY320" s="4" t="n"/>
      <c r="DZ320" s="4" t="n"/>
      <c r="EA320" s="4" t="n"/>
      <c r="EB320" s="4" t="n"/>
      <c r="EC320" s="4" t="n"/>
      <c r="ED320" s="4" t="n"/>
      <c r="EE320" s="4" t="n"/>
      <c r="EF320" s="4" t="n"/>
      <c r="EG320" s="4" t="n"/>
      <c r="EH320" s="4" t="n"/>
      <c r="EI320" s="4" t="n"/>
      <c r="EJ320" s="4" t="n"/>
      <c r="EK320" s="4" t="n"/>
      <c r="EL320" s="4" t="n"/>
      <c r="EM320" s="4" t="n"/>
      <c r="EN320" s="4" t="n"/>
    </row>
    <row r="321" hidden="1" customFormat="1" s="6">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c r="AC321" s="4" t="n"/>
      <c r="AD321" s="4" t="n"/>
      <c r="AE321" s="4" t="n"/>
      <c r="AF321" s="4" t="n"/>
      <c r="AG321" s="4" t="n"/>
      <c r="AH321" s="4" t="n"/>
      <c r="AI321" s="4" t="n"/>
      <c r="AJ321" s="4" t="n"/>
      <c r="AK321" s="4" t="n"/>
      <c r="AL321" s="4" t="n"/>
      <c r="AM321" s="4" t="n"/>
      <c r="AN321" s="4" t="n"/>
      <c r="AO321" s="4" t="n"/>
      <c r="AP321" s="4" t="n"/>
      <c r="AQ321" s="4" t="n"/>
      <c r="AR321" s="4" t="n"/>
      <c r="AS321" s="4" t="n"/>
      <c r="AT321" s="4" t="n"/>
      <c r="AU321" s="4" t="n"/>
      <c r="AV321" s="4" t="n"/>
      <c r="AW321" s="4" t="n"/>
      <c r="AX321" s="4" t="n"/>
      <c r="AY321" s="4" t="n"/>
      <c r="AZ321" s="4" t="n"/>
      <c r="BA321" s="4" t="n"/>
      <c r="BB321" s="4" t="n"/>
      <c r="BC321" s="4" t="n"/>
      <c r="BD321" s="4" t="n"/>
      <c r="BE321" s="4" t="n"/>
      <c r="BF321" s="4" t="n"/>
      <c r="BG321" s="4" t="n"/>
      <c r="BH321" s="4" t="n"/>
      <c r="BI321" s="4" t="n"/>
      <c r="BJ321" s="4" t="n"/>
      <c r="BK321" s="4" t="n"/>
      <c r="BL321" s="4" t="n"/>
      <c r="BM321" s="4" t="n"/>
      <c r="BN321" s="4" t="n"/>
      <c r="BO321" s="4" t="n"/>
      <c r="BP321" s="4" t="n"/>
      <c r="BQ321" s="4" t="n"/>
      <c r="BR321" s="4" t="n"/>
      <c r="BS321" s="4" t="n"/>
      <c r="BT321" s="4" t="n"/>
      <c r="BU321" s="4" t="n"/>
      <c r="BV321" s="4" t="n"/>
      <c r="BW321" s="4" t="n"/>
      <c r="BX321" s="4" t="n"/>
      <c r="BY321" s="4" t="n"/>
      <c r="BZ321" s="4" t="n"/>
      <c r="CA321" s="4" t="n"/>
      <c r="CB321" s="4" t="n"/>
      <c r="CC321" s="4" t="n"/>
      <c r="CD321" s="4" t="n"/>
      <c r="CE321" s="4" t="n"/>
      <c r="CF321" s="4" t="n"/>
      <c r="CG321" s="4" t="n"/>
      <c r="CH321" s="4" t="n"/>
      <c r="CI321" s="4" t="n"/>
      <c r="CJ321" s="4" t="n"/>
      <c r="CK321" s="4" t="n"/>
      <c r="CL321" s="4" t="n"/>
      <c r="CM321" s="4" t="n"/>
      <c r="CN321" s="4" t="n"/>
      <c r="CO321" s="4" t="n"/>
      <c r="CP321" s="4" t="n"/>
      <c r="CQ321" s="4" t="n"/>
      <c r="CR321" s="4" t="n"/>
      <c r="CS321" s="4" t="n"/>
      <c r="CT321" s="4" t="n"/>
      <c r="CU321" s="4" t="n"/>
      <c r="CV321" s="4" t="n"/>
      <c r="CW321" s="4" t="n"/>
      <c r="CX321" s="4" t="n"/>
      <c r="CY321" s="4" t="n"/>
      <c r="CZ321" s="4" t="n"/>
      <c r="DA321" s="4" t="n"/>
      <c r="DB321" s="4" t="n"/>
      <c r="DC321" s="4" t="n"/>
      <c r="DD321" s="4" t="n"/>
      <c r="DE321" s="4" t="n"/>
      <c r="DF321" s="4" t="n"/>
      <c r="DG321" s="4" t="n"/>
      <c r="DH321" s="4" t="n"/>
      <c r="DI321" s="4" t="n"/>
      <c r="DJ321" s="4" t="n"/>
      <c r="DK321" s="4" t="n"/>
      <c r="DL321" s="4" t="n"/>
      <c r="DM321" s="4" t="n"/>
      <c r="DN321" s="4" t="n"/>
      <c r="DO321" s="4" t="n"/>
      <c r="DP321" s="4" t="n"/>
      <c r="DQ321" s="4" t="n"/>
      <c r="DR321" s="4" t="n"/>
      <c r="DS321" s="4" t="n"/>
      <c r="DT321" s="4" t="n"/>
      <c r="DU321" s="4" t="n"/>
      <c r="DV321" s="4" t="n"/>
      <c r="DW321" s="4" t="n"/>
      <c r="DX321" s="4" t="n"/>
      <c r="DY321" s="4" t="n"/>
      <c r="DZ321" s="4" t="n"/>
      <c r="EA321" s="4" t="n"/>
      <c r="EB321" s="4" t="n"/>
      <c r="EC321" s="4" t="n"/>
      <c r="ED321" s="4" t="n"/>
      <c r="EE321" s="4" t="n"/>
      <c r="EF321" s="4" t="n"/>
      <c r="EG321" s="4" t="n"/>
      <c r="EH321" s="4" t="n"/>
      <c r="EI321" s="4" t="n"/>
      <c r="EJ321" s="4" t="n"/>
      <c r="EK321" s="4" t="n"/>
      <c r="EL321" s="4" t="n"/>
      <c r="EM321" s="4" t="n"/>
      <c r="EN321" s="4" t="n"/>
    </row>
    <row r="322" hidden="1" customFormat="1" s="6">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c r="AC322" s="4" t="n"/>
      <c r="AD322" s="4" t="n"/>
      <c r="AE322" s="4" t="n"/>
      <c r="AF322" s="4" t="n"/>
      <c r="AG322" s="4" t="n"/>
      <c r="AH322" s="4" t="n"/>
      <c r="AI322" s="4" t="n"/>
      <c r="AJ322" s="4" t="n"/>
      <c r="AK322" s="4" t="n"/>
      <c r="AL322" s="4" t="n"/>
      <c r="AM322" s="4" t="n"/>
      <c r="AN322" s="4" t="n"/>
      <c r="AO322" s="4" t="n"/>
      <c r="AP322" s="4" t="n"/>
      <c r="AQ322" s="4" t="n"/>
      <c r="AR322" s="4" t="n"/>
      <c r="AS322" s="4" t="n"/>
      <c r="AT322" s="4" t="n"/>
      <c r="AU322" s="4" t="n"/>
      <c r="AV322" s="4" t="n"/>
      <c r="AW322" s="4" t="n"/>
      <c r="AX322" s="4" t="n"/>
      <c r="AY322" s="4" t="n"/>
      <c r="AZ322" s="4" t="n"/>
      <c r="BA322" s="4" t="n"/>
      <c r="BB322" s="4" t="n"/>
      <c r="BC322" s="4" t="n"/>
      <c r="BD322" s="4" t="n"/>
      <c r="BE322" s="4" t="n"/>
      <c r="BF322" s="4" t="n"/>
      <c r="BG322" s="4" t="n"/>
      <c r="BH322" s="4" t="n"/>
      <c r="BI322" s="4" t="n"/>
      <c r="BJ322" s="4" t="n"/>
      <c r="BK322" s="4" t="n"/>
      <c r="BL322" s="4" t="n"/>
      <c r="BM322" s="4" t="n"/>
      <c r="BN322" s="4" t="n"/>
      <c r="BO322" s="4" t="n"/>
      <c r="BP322" s="4" t="n"/>
      <c r="BQ322" s="4" t="n"/>
      <c r="BR322" s="4" t="n"/>
      <c r="BS322" s="4" t="n"/>
      <c r="BT322" s="4" t="n"/>
      <c r="BU322" s="4" t="n"/>
      <c r="BV322" s="4" t="n"/>
      <c r="BW322" s="4" t="n"/>
      <c r="BX322" s="4" t="n"/>
      <c r="BY322" s="4" t="n"/>
      <c r="BZ322" s="4" t="n"/>
      <c r="CA322" s="4" t="n"/>
      <c r="CB322" s="4" t="n"/>
      <c r="CC322" s="4" t="n"/>
      <c r="CD322" s="4" t="n"/>
      <c r="CE322" s="4" t="n"/>
      <c r="CF322" s="4" t="n"/>
      <c r="CG322" s="4" t="n"/>
      <c r="CH322" s="4" t="n"/>
      <c r="CI322" s="4" t="n"/>
      <c r="CJ322" s="4" t="n"/>
      <c r="CK322" s="4" t="n"/>
      <c r="CL322" s="4" t="n"/>
      <c r="CM322" s="4" t="n"/>
      <c r="CN322" s="4" t="n"/>
      <c r="CO322" s="4" t="n"/>
      <c r="CP322" s="4" t="n"/>
      <c r="CQ322" s="4" t="n"/>
      <c r="CR322" s="4" t="n"/>
      <c r="CS322" s="4" t="n"/>
      <c r="CT322" s="4" t="n"/>
      <c r="CU322" s="4" t="n"/>
      <c r="CV322" s="4" t="n"/>
      <c r="CW322" s="4" t="n"/>
      <c r="CX322" s="4" t="n"/>
      <c r="CY322" s="4" t="n"/>
      <c r="CZ322" s="4" t="n"/>
      <c r="DA322" s="4" t="n"/>
      <c r="DB322" s="4" t="n"/>
      <c r="DC322" s="4" t="n"/>
      <c r="DD322" s="4" t="n"/>
      <c r="DE322" s="4" t="n"/>
      <c r="DF322" s="4" t="n"/>
      <c r="DG322" s="4" t="n"/>
      <c r="DH322" s="4" t="n"/>
      <c r="DI322" s="4" t="n"/>
      <c r="DJ322" s="4" t="n"/>
      <c r="DK322" s="4" t="n"/>
      <c r="DL322" s="4" t="n"/>
      <c r="DM322" s="4" t="n"/>
      <c r="DN322" s="4" t="n"/>
      <c r="DO322" s="4" t="n"/>
      <c r="DP322" s="4" t="n"/>
      <c r="DQ322" s="4" t="n"/>
      <c r="DR322" s="4" t="n"/>
      <c r="DS322" s="4" t="n"/>
      <c r="DT322" s="4" t="n"/>
      <c r="DU322" s="4" t="n"/>
      <c r="DV322" s="4" t="n"/>
      <c r="DW322" s="4" t="n"/>
      <c r="DX322" s="4" t="n"/>
      <c r="DY322" s="4" t="n"/>
      <c r="DZ322" s="4" t="n"/>
      <c r="EA322" s="4" t="n"/>
      <c r="EB322" s="4" t="n"/>
      <c r="EC322" s="4" t="n"/>
      <c r="ED322" s="4" t="n"/>
      <c r="EE322" s="4" t="n"/>
      <c r="EF322" s="4" t="n"/>
      <c r="EG322" s="4" t="n"/>
      <c r="EH322" s="4" t="n"/>
      <c r="EI322" s="4" t="n"/>
      <c r="EJ322" s="4" t="n"/>
      <c r="EK322" s="4" t="n"/>
      <c r="EL322" s="4" t="n"/>
      <c r="EM322" s="4" t="n"/>
      <c r="EN322" s="4" t="n"/>
    </row>
    <row r="323" hidden="1" customFormat="1" s="6">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c r="AD323" s="4" t="n"/>
      <c r="AE323" s="4" t="n"/>
      <c r="AF323" s="4" t="n"/>
      <c r="AG323" s="4" t="n"/>
      <c r="AH323" s="4" t="n"/>
      <c r="AI323" s="4" t="n"/>
      <c r="AJ323" s="4" t="n"/>
      <c r="AK323" s="4" t="n"/>
      <c r="AL323" s="4" t="n"/>
      <c r="AM323" s="4" t="n"/>
      <c r="AN323" s="4" t="n"/>
      <c r="AO323" s="4" t="n"/>
      <c r="AP323" s="4" t="n"/>
      <c r="AQ323" s="4" t="n"/>
      <c r="AR323" s="4" t="n"/>
      <c r="AS323" s="4" t="n"/>
      <c r="AT323" s="4" t="n"/>
      <c r="AU323" s="4" t="n"/>
      <c r="AV323" s="4" t="n"/>
      <c r="AW323" s="4" t="n"/>
      <c r="AX323" s="4" t="n"/>
      <c r="AY323" s="4" t="n"/>
      <c r="AZ323" s="4" t="n"/>
      <c r="BA323" s="4" t="n"/>
      <c r="BB323" s="4" t="n"/>
      <c r="BC323" s="4" t="n"/>
      <c r="BD323" s="4" t="n"/>
      <c r="BE323" s="4" t="n"/>
      <c r="BF323" s="4" t="n"/>
      <c r="BG323" s="4" t="n"/>
      <c r="BH323" s="4" t="n"/>
      <c r="BI323" s="4" t="n"/>
      <c r="BJ323" s="4" t="n"/>
      <c r="BK323" s="4" t="n"/>
      <c r="BL323" s="4" t="n"/>
      <c r="BM323" s="4" t="n"/>
      <c r="BN323" s="4" t="n"/>
      <c r="BO323" s="4" t="n"/>
      <c r="BP323" s="4" t="n"/>
      <c r="BQ323" s="4" t="n"/>
      <c r="BR323" s="4" t="n"/>
      <c r="BS323" s="4" t="n"/>
      <c r="BT323" s="4" t="n"/>
      <c r="BU323" s="4" t="n"/>
      <c r="BV323" s="4" t="n"/>
      <c r="BW323" s="4" t="n"/>
      <c r="BX323" s="4" t="n"/>
      <c r="BY323" s="4" t="n"/>
      <c r="BZ323" s="4" t="n"/>
      <c r="CA323" s="4" t="n"/>
      <c r="CB323" s="4" t="n"/>
      <c r="CC323" s="4" t="n"/>
      <c r="CD323" s="4" t="n"/>
      <c r="CE323" s="4" t="n"/>
      <c r="CF323" s="4" t="n"/>
      <c r="CG323" s="4" t="n"/>
      <c r="CH323" s="4" t="n"/>
      <c r="CI323" s="4" t="n"/>
      <c r="CJ323" s="4" t="n"/>
      <c r="CK323" s="4" t="n"/>
      <c r="CL323" s="4" t="n"/>
      <c r="CM323" s="4" t="n"/>
      <c r="CN323" s="4" t="n"/>
      <c r="CO323" s="4" t="n"/>
      <c r="CP323" s="4" t="n"/>
      <c r="CQ323" s="4" t="n"/>
      <c r="CR323" s="4" t="n"/>
      <c r="CS323" s="4" t="n"/>
      <c r="CT323" s="4" t="n"/>
      <c r="CU323" s="4" t="n"/>
      <c r="CV323" s="4" t="n"/>
      <c r="CW323" s="4" t="n"/>
      <c r="CX323" s="4" t="n"/>
      <c r="CY323" s="4" t="n"/>
      <c r="CZ323" s="4" t="n"/>
      <c r="DA323" s="4" t="n"/>
      <c r="DB323" s="4" t="n"/>
      <c r="DC323" s="4" t="n"/>
      <c r="DD323" s="4" t="n"/>
      <c r="DE323" s="4" t="n"/>
      <c r="DF323" s="4" t="n"/>
      <c r="DG323" s="4" t="n"/>
      <c r="DH323" s="4" t="n"/>
      <c r="DI323" s="4" t="n"/>
      <c r="DJ323" s="4" t="n"/>
      <c r="DK323" s="4" t="n"/>
      <c r="DL323" s="4" t="n"/>
      <c r="DM323" s="4" t="n"/>
      <c r="DN323" s="4" t="n"/>
      <c r="DO323" s="4" t="n"/>
      <c r="DP323" s="4" t="n"/>
      <c r="DQ323" s="4" t="n"/>
      <c r="DR323" s="4" t="n"/>
      <c r="DS323" s="4" t="n"/>
      <c r="DT323" s="4" t="n"/>
      <c r="DU323" s="4" t="n"/>
      <c r="DV323" s="4" t="n"/>
      <c r="DW323" s="4" t="n"/>
      <c r="DX323" s="4" t="n"/>
      <c r="DY323" s="4" t="n"/>
      <c r="DZ323" s="4" t="n"/>
      <c r="EA323" s="4" t="n"/>
      <c r="EB323" s="4" t="n"/>
      <c r="EC323" s="4" t="n"/>
      <c r="ED323" s="4" t="n"/>
      <c r="EE323" s="4" t="n"/>
      <c r="EF323" s="4" t="n"/>
      <c r="EG323" s="4" t="n"/>
      <c r="EH323" s="4" t="n"/>
      <c r="EI323" s="4" t="n"/>
      <c r="EJ323" s="4" t="n"/>
      <c r="EK323" s="4" t="n"/>
      <c r="EL323" s="4" t="n"/>
      <c r="EM323" s="4" t="n"/>
      <c r="EN323" s="4" t="n"/>
    </row>
    <row r="324" hidden="1" customFormat="1" s="6">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c r="AC324" s="4" t="n"/>
      <c r="AD324" s="4" t="n"/>
      <c r="AE324" s="4" t="n"/>
      <c r="AF324" s="4" t="n"/>
      <c r="AG324" s="4" t="n"/>
      <c r="AH324" s="4" t="n"/>
      <c r="AI324" s="4" t="n"/>
      <c r="AJ324" s="4" t="n"/>
      <c r="AK324" s="4" t="n"/>
      <c r="AL324" s="4" t="n"/>
      <c r="AM324" s="4" t="n"/>
      <c r="AN324" s="4" t="n"/>
      <c r="AO324" s="4" t="n"/>
      <c r="AP324" s="4" t="n"/>
      <c r="AQ324" s="4" t="n"/>
      <c r="AR324" s="4" t="n"/>
      <c r="AS324" s="4" t="n"/>
      <c r="AT324" s="4" t="n"/>
      <c r="AU324" s="4" t="n"/>
      <c r="AV324" s="4" t="n"/>
      <c r="AW324" s="4" t="n"/>
      <c r="AX324" s="4" t="n"/>
      <c r="AY324" s="4" t="n"/>
      <c r="AZ324" s="4" t="n"/>
      <c r="BA324" s="4" t="n"/>
      <c r="BB324" s="4" t="n"/>
      <c r="BC324" s="4" t="n"/>
      <c r="BD324" s="4" t="n"/>
      <c r="BE324" s="4" t="n"/>
      <c r="BF324" s="4" t="n"/>
      <c r="BG324" s="4" t="n"/>
      <c r="BH324" s="4" t="n"/>
      <c r="BI324" s="4" t="n"/>
      <c r="BJ324" s="4" t="n"/>
      <c r="BK324" s="4" t="n"/>
      <c r="BL324" s="4" t="n"/>
      <c r="BM324" s="4" t="n"/>
      <c r="BN324" s="4" t="n"/>
      <c r="BO324" s="4" t="n"/>
      <c r="BP324" s="4" t="n"/>
      <c r="BQ324" s="4" t="n"/>
      <c r="BR324" s="4" t="n"/>
      <c r="BS324" s="4" t="n"/>
      <c r="BT324" s="4" t="n"/>
      <c r="BU324" s="4" t="n"/>
      <c r="BV324" s="4" t="n"/>
      <c r="BW324" s="4" t="n"/>
      <c r="BX324" s="4" t="n"/>
      <c r="BY324" s="4" t="n"/>
      <c r="BZ324" s="4" t="n"/>
      <c r="CA324" s="4" t="n"/>
      <c r="CB324" s="4" t="n"/>
      <c r="CC324" s="4" t="n"/>
      <c r="CD324" s="4" t="n"/>
      <c r="CE324" s="4" t="n"/>
      <c r="CF324" s="4" t="n"/>
      <c r="CG324" s="4" t="n"/>
      <c r="CH324" s="4" t="n"/>
      <c r="CI324" s="4" t="n"/>
      <c r="CJ324" s="4" t="n"/>
      <c r="CK324" s="4" t="n"/>
      <c r="CL324" s="4" t="n"/>
      <c r="CM324" s="4" t="n"/>
      <c r="CN324" s="4" t="n"/>
      <c r="CO324" s="4" t="n"/>
      <c r="CP324" s="4" t="n"/>
      <c r="CQ324" s="4" t="n"/>
      <c r="CR324" s="4" t="n"/>
      <c r="CS324" s="4" t="n"/>
      <c r="CT324" s="4" t="n"/>
      <c r="CU324" s="4" t="n"/>
      <c r="CV324" s="4" t="n"/>
      <c r="CW324" s="4" t="n"/>
      <c r="CX324" s="4" t="n"/>
      <c r="CY324" s="4" t="n"/>
      <c r="CZ324" s="4" t="n"/>
      <c r="DA324" s="4" t="n"/>
      <c r="DB324" s="4" t="n"/>
      <c r="DC324" s="4" t="n"/>
      <c r="DD324" s="4" t="n"/>
      <c r="DE324" s="4" t="n"/>
      <c r="DF324" s="4" t="n"/>
      <c r="DG324" s="4" t="n"/>
      <c r="DH324" s="4" t="n"/>
      <c r="DI324" s="4" t="n"/>
      <c r="DJ324" s="4" t="n"/>
      <c r="DK324" s="4" t="n"/>
      <c r="DL324" s="4" t="n"/>
      <c r="DM324" s="4" t="n"/>
      <c r="DN324" s="4" t="n"/>
      <c r="DO324" s="4" t="n"/>
      <c r="DP324" s="4" t="n"/>
      <c r="DQ324" s="4" t="n"/>
      <c r="DR324" s="4" t="n"/>
      <c r="DS324" s="4" t="n"/>
      <c r="DT324" s="4" t="n"/>
      <c r="DU324" s="4" t="n"/>
      <c r="DV324" s="4" t="n"/>
      <c r="DW324" s="4" t="n"/>
      <c r="DX324" s="4" t="n"/>
      <c r="DY324" s="4" t="n"/>
      <c r="DZ324" s="4" t="n"/>
      <c r="EA324" s="4" t="n"/>
      <c r="EB324" s="4" t="n"/>
      <c r="EC324" s="4" t="n"/>
      <c r="ED324" s="4" t="n"/>
      <c r="EE324" s="4" t="n"/>
      <c r="EF324" s="4" t="n"/>
      <c r="EG324" s="4" t="n"/>
      <c r="EH324" s="4" t="n"/>
      <c r="EI324" s="4" t="n"/>
      <c r="EJ324" s="4" t="n"/>
      <c r="EK324" s="4" t="n"/>
      <c r="EL324" s="4" t="n"/>
      <c r="EM324" s="4" t="n"/>
      <c r="EN324" s="4" t="n"/>
    </row>
    <row r="325" hidden="1" customFormat="1" s="6">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c r="AE325" s="4" t="n"/>
      <c r="AF325" s="4" t="n"/>
      <c r="AG325" s="4" t="n"/>
      <c r="AH325" s="4" t="n"/>
      <c r="AI325" s="4" t="n"/>
      <c r="AJ325" s="4" t="n"/>
      <c r="AK325" s="4" t="n"/>
      <c r="AL325" s="4" t="n"/>
      <c r="AM325" s="4" t="n"/>
      <c r="AN325" s="4" t="n"/>
      <c r="AO325" s="4" t="n"/>
      <c r="AP325" s="4" t="n"/>
      <c r="AQ325" s="4" t="n"/>
      <c r="AR325" s="4" t="n"/>
      <c r="AS325" s="4" t="n"/>
      <c r="AT325" s="4" t="n"/>
      <c r="AU325" s="4" t="n"/>
      <c r="AV325" s="4" t="n"/>
      <c r="AW325" s="4" t="n"/>
      <c r="AX325" s="4" t="n"/>
      <c r="AY325" s="4" t="n"/>
      <c r="AZ325" s="4" t="n"/>
      <c r="BA325" s="4" t="n"/>
      <c r="BB325" s="4" t="n"/>
      <c r="BC325" s="4" t="n"/>
      <c r="BD325" s="4" t="n"/>
      <c r="BE325" s="4" t="n"/>
      <c r="BF325" s="4" t="n"/>
      <c r="BG325" s="4" t="n"/>
      <c r="BH325" s="4" t="n"/>
      <c r="BI325" s="4" t="n"/>
      <c r="BJ325" s="4" t="n"/>
      <c r="BK325" s="4" t="n"/>
      <c r="BL325" s="4" t="n"/>
      <c r="BM325" s="4" t="n"/>
      <c r="BN325" s="4" t="n"/>
      <c r="BO325" s="4" t="n"/>
      <c r="BP325" s="4" t="n"/>
      <c r="BQ325" s="4" t="n"/>
      <c r="BR325" s="4" t="n"/>
      <c r="BS325" s="4" t="n"/>
      <c r="BT325" s="4" t="n"/>
      <c r="BU325" s="4" t="n"/>
      <c r="BV325" s="4" t="n"/>
      <c r="BW325" s="4" t="n"/>
      <c r="BX325" s="4" t="n"/>
      <c r="BY325" s="4" t="n"/>
      <c r="BZ325" s="4" t="n"/>
      <c r="CA325" s="4" t="n"/>
      <c r="CB325" s="4" t="n"/>
      <c r="CC325" s="4" t="n"/>
      <c r="CD325" s="4" t="n"/>
      <c r="CE325" s="4" t="n"/>
      <c r="CF325" s="4" t="n"/>
      <c r="CG325" s="4" t="n"/>
      <c r="CH325" s="4" t="n"/>
      <c r="CI325" s="4" t="n"/>
      <c r="CJ325" s="4" t="n"/>
      <c r="CK325" s="4" t="n"/>
      <c r="CL325" s="4" t="n"/>
      <c r="CM325" s="4" t="n"/>
      <c r="CN325" s="4" t="n"/>
      <c r="CO325" s="4" t="n"/>
      <c r="CP325" s="4" t="n"/>
      <c r="CQ325" s="4" t="n"/>
      <c r="CR325" s="4" t="n"/>
      <c r="CS325" s="4" t="n"/>
      <c r="CT325" s="4" t="n"/>
      <c r="CU325" s="4" t="n"/>
      <c r="CV325" s="4" t="n"/>
      <c r="CW325" s="4" t="n"/>
      <c r="CX325" s="4" t="n"/>
      <c r="CY325" s="4" t="n"/>
      <c r="CZ325" s="4" t="n"/>
      <c r="DA325" s="4" t="n"/>
      <c r="DB325" s="4" t="n"/>
      <c r="DC325" s="4" t="n"/>
      <c r="DD325" s="4" t="n"/>
      <c r="DE325" s="4" t="n"/>
      <c r="DF325" s="4" t="n"/>
      <c r="DG325" s="4" t="n"/>
      <c r="DH325" s="4" t="n"/>
      <c r="DI325" s="4" t="n"/>
      <c r="DJ325" s="4" t="n"/>
      <c r="DK325" s="4" t="n"/>
      <c r="DL325" s="4" t="n"/>
      <c r="DM325" s="4" t="n"/>
      <c r="DN325" s="4" t="n"/>
      <c r="DO325" s="4" t="n"/>
      <c r="DP325" s="4" t="n"/>
      <c r="DQ325" s="4" t="n"/>
      <c r="DR325" s="4" t="n"/>
      <c r="DS325" s="4" t="n"/>
      <c r="DT325" s="4" t="n"/>
      <c r="DU325" s="4" t="n"/>
      <c r="DV325" s="4" t="n"/>
      <c r="DW325" s="4" t="n"/>
      <c r="DX325" s="4" t="n"/>
      <c r="DY325" s="4" t="n"/>
      <c r="DZ325" s="4" t="n"/>
      <c r="EA325" s="4" t="n"/>
      <c r="EB325" s="4" t="n"/>
      <c r="EC325" s="4" t="n"/>
      <c r="ED325" s="4" t="n"/>
      <c r="EE325" s="4" t="n"/>
      <c r="EF325" s="4" t="n"/>
      <c r="EG325" s="4" t="n"/>
      <c r="EH325" s="4" t="n"/>
      <c r="EI325" s="4" t="n"/>
      <c r="EJ325" s="4" t="n"/>
      <c r="EK325" s="4" t="n"/>
      <c r="EL325" s="4" t="n"/>
      <c r="EM325" s="4" t="n"/>
      <c r="EN325" s="4" t="n"/>
    </row>
    <row r="326" hidden="1" customFormat="1" s="6">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c r="AD326" s="4" t="n"/>
      <c r="AE326" s="4" t="n"/>
      <c r="AF326" s="4" t="n"/>
      <c r="AG326" s="4" t="n"/>
      <c r="AH326" s="4" t="n"/>
      <c r="AI326" s="4" t="n"/>
      <c r="AJ326" s="4" t="n"/>
      <c r="AK326" s="4" t="n"/>
      <c r="AL326" s="4" t="n"/>
      <c r="AM326" s="4" t="n"/>
      <c r="AN326" s="4" t="n"/>
      <c r="AO326" s="4" t="n"/>
      <c r="AP326" s="4" t="n"/>
      <c r="AQ326" s="4" t="n"/>
      <c r="AR326" s="4" t="n"/>
      <c r="AS326" s="4" t="n"/>
      <c r="AT326" s="4" t="n"/>
      <c r="AU326" s="4" t="n"/>
      <c r="AV326" s="4" t="n"/>
      <c r="AW326" s="4" t="n"/>
      <c r="AX326" s="4" t="n"/>
      <c r="AY326" s="4" t="n"/>
      <c r="AZ326" s="4" t="n"/>
      <c r="BA326" s="4" t="n"/>
      <c r="BB326" s="4" t="n"/>
      <c r="BC326" s="4" t="n"/>
      <c r="BD326" s="4" t="n"/>
      <c r="BE326" s="4" t="n"/>
      <c r="BF326" s="4" t="n"/>
      <c r="BG326" s="4" t="n"/>
      <c r="BH326" s="4" t="n"/>
      <c r="BI326" s="4" t="n"/>
      <c r="BJ326" s="4" t="n"/>
      <c r="BK326" s="4" t="n"/>
      <c r="BL326" s="4" t="n"/>
      <c r="BM326" s="4" t="n"/>
      <c r="BN326" s="4" t="n"/>
      <c r="BO326" s="4" t="n"/>
      <c r="BP326" s="4" t="n"/>
      <c r="BQ326" s="4" t="n"/>
      <c r="BR326" s="4" t="n"/>
      <c r="BS326" s="4" t="n"/>
      <c r="BT326" s="4" t="n"/>
      <c r="BU326" s="4" t="n"/>
      <c r="BV326" s="4" t="n"/>
      <c r="BW326" s="4" t="n"/>
      <c r="BX326" s="4" t="n"/>
      <c r="BY326" s="4" t="n"/>
      <c r="BZ326" s="4" t="n"/>
      <c r="CA326" s="4" t="n"/>
      <c r="CB326" s="4" t="n"/>
      <c r="CC326" s="4" t="n"/>
      <c r="CD326" s="4" t="n"/>
      <c r="CE326" s="4" t="n"/>
      <c r="CF326" s="4" t="n"/>
      <c r="CG326" s="4" t="n"/>
      <c r="CH326" s="4" t="n"/>
      <c r="CI326" s="4" t="n"/>
      <c r="CJ326" s="4" t="n"/>
      <c r="CK326" s="4" t="n"/>
      <c r="CL326" s="4" t="n"/>
      <c r="CM326" s="4" t="n"/>
      <c r="CN326" s="4" t="n"/>
      <c r="CO326" s="4" t="n"/>
      <c r="CP326" s="4" t="n"/>
      <c r="CQ326" s="4" t="n"/>
      <c r="CR326" s="4" t="n"/>
      <c r="CS326" s="4" t="n"/>
      <c r="CT326" s="4" t="n"/>
      <c r="CU326" s="4" t="n"/>
      <c r="CV326" s="4" t="n"/>
      <c r="CW326" s="4" t="n"/>
      <c r="CX326" s="4" t="n"/>
      <c r="CY326" s="4" t="n"/>
      <c r="CZ326" s="4" t="n"/>
      <c r="DA326" s="4" t="n"/>
      <c r="DB326" s="4" t="n"/>
      <c r="DC326" s="4" t="n"/>
      <c r="DD326" s="4" t="n"/>
      <c r="DE326" s="4" t="n"/>
      <c r="DF326" s="4" t="n"/>
      <c r="DG326" s="4" t="n"/>
      <c r="DH326" s="4" t="n"/>
      <c r="DI326" s="4" t="n"/>
      <c r="DJ326" s="4" t="n"/>
      <c r="DK326" s="4" t="n"/>
      <c r="DL326" s="4" t="n"/>
      <c r="DM326" s="4" t="n"/>
      <c r="DN326" s="4" t="n"/>
      <c r="DO326" s="4" t="n"/>
      <c r="DP326" s="4" t="n"/>
      <c r="DQ326" s="4" t="n"/>
      <c r="DR326" s="4" t="n"/>
      <c r="DS326" s="4" t="n"/>
      <c r="DT326" s="4" t="n"/>
      <c r="DU326" s="4" t="n"/>
      <c r="DV326" s="4" t="n"/>
      <c r="DW326" s="4" t="n"/>
      <c r="DX326" s="4" t="n"/>
      <c r="DY326" s="4" t="n"/>
      <c r="DZ326" s="4" t="n"/>
      <c r="EA326" s="4" t="n"/>
      <c r="EB326" s="4" t="n"/>
      <c r="EC326" s="4" t="n"/>
      <c r="ED326" s="4" t="n"/>
      <c r="EE326" s="4" t="n"/>
      <c r="EF326" s="4" t="n"/>
      <c r="EG326" s="4" t="n"/>
      <c r="EH326" s="4" t="n"/>
      <c r="EI326" s="4" t="n"/>
      <c r="EJ326" s="4" t="n"/>
      <c r="EK326" s="4" t="n"/>
      <c r="EL326" s="4" t="n"/>
      <c r="EM326" s="4" t="n"/>
      <c r="EN326" s="4" t="n"/>
    </row>
    <row r="327" hidden="1" customFormat="1" s="6">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c r="AE327" s="4" t="n"/>
      <c r="AF327" s="4" t="n"/>
      <c r="AG327" s="4" t="n"/>
      <c r="AH327" s="4" t="n"/>
      <c r="AI327" s="4" t="n"/>
      <c r="AJ327" s="4" t="n"/>
      <c r="AK327" s="4" t="n"/>
      <c r="AL327" s="4" t="n"/>
      <c r="AM327" s="4" t="n"/>
      <c r="AN327" s="4" t="n"/>
      <c r="AO327" s="4" t="n"/>
      <c r="AP327" s="4" t="n"/>
      <c r="AQ327" s="4" t="n"/>
      <c r="AR327" s="4" t="n"/>
      <c r="AS327" s="4" t="n"/>
      <c r="AT327" s="4" t="n"/>
      <c r="AU327" s="4" t="n"/>
      <c r="AV327" s="4" t="n"/>
      <c r="AW327" s="4" t="n"/>
      <c r="AX327" s="4" t="n"/>
      <c r="AY327" s="4" t="n"/>
      <c r="AZ327" s="4" t="n"/>
      <c r="BA327" s="4" t="n"/>
      <c r="BB327" s="4" t="n"/>
      <c r="BC327" s="4" t="n"/>
      <c r="BD327" s="4" t="n"/>
      <c r="BE327" s="4" t="n"/>
      <c r="BF327" s="4" t="n"/>
      <c r="BG327" s="4" t="n"/>
      <c r="BH327" s="4" t="n"/>
      <c r="BI327" s="4" t="n"/>
      <c r="BJ327" s="4" t="n"/>
      <c r="BK327" s="4" t="n"/>
      <c r="BL327" s="4" t="n"/>
      <c r="BM327" s="4" t="n"/>
      <c r="BN327" s="4" t="n"/>
      <c r="BO327" s="4" t="n"/>
      <c r="BP327" s="4" t="n"/>
      <c r="BQ327" s="4" t="n"/>
      <c r="BR327" s="4" t="n"/>
      <c r="BS327" s="4" t="n"/>
      <c r="BT327" s="4" t="n"/>
      <c r="BU327" s="4" t="n"/>
      <c r="BV327" s="4" t="n"/>
      <c r="BW327" s="4" t="n"/>
      <c r="BX327" s="4" t="n"/>
      <c r="BY327" s="4" t="n"/>
      <c r="BZ327" s="4" t="n"/>
      <c r="CA327" s="4" t="n"/>
      <c r="CB327" s="4" t="n"/>
      <c r="CC327" s="4" t="n"/>
      <c r="CD327" s="4" t="n"/>
      <c r="CE327" s="4" t="n"/>
      <c r="CF327" s="4" t="n"/>
      <c r="CG327" s="4" t="n"/>
      <c r="CH327" s="4" t="n"/>
      <c r="CI327" s="4" t="n"/>
      <c r="CJ327" s="4" t="n"/>
      <c r="CK327" s="4" t="n"/>
      <c r="CL327" s="4" t="n"/>
      <c r="CM327" s="4" t="n"/>
      <c r="CN327" s="4" t="n"/>
      <c r="CO327" s="4" t="n"/>
      <c r="CP327" s="4" t="n"/>
      <c r="CQ327" s="4" t="n"/>
      <c r="CR327" s="4" t="n"/>
      <c r="CS327" s="4" t="n"/>
      <c r="CT327" s="4" t="n"/>
      <c r="CU327" s="4" t="n"/>
      <c r="CV327" s="4" t="n"/>
      <c r="CW327" s="4" t="n"/>
      <c r="CX327" s="4" t="n"/>
      <c r="CY327" s="4" t="n"/>
      <c r="CZ327" s="4" t="n"/>
      <c r="DA327" s="4" t="n"/>
      <c r="DB327" s="4" t="n"/>
      <c r="DC327" s="4" t="n"/>
      <c r="DD327" s="4" t="n"/>
      <c r="DE327" s="4" t="n"/>
      <c r="DF327" s="4" t="n"/>
      <c r="DG327" s="4" t="n"/>
      <c r="DH327" s="4" t="n"/>
      <c r="DI327" s="4" t="n"/>
      <c r="DJ327" s="4" t="n"/>
      <c r="DK327" s="4" t="n"/>
      <c r="DL327" s="4" t="n"/>
      <c r="DM327" s="4" t="n"/>
      <c r="DN327" s="4" t="n"/>
      <c r="DO327" s="4" t="n"/>
      <c r="DP327" s="4" t="n"/>
      <c r="DQ327" s="4" t="n"/>
      <c r="DR327" s="4" t="n"/>
      <c r="DS327" s="4" t="n"/>
      <c r="DT327" s="4" t="n"/>
      <c r="DU327" s="4" t="n"/>
      <c r="DV327" s="4" t="n"/>
      <c r="DW327" s="4" t="n"/>
      <c r="DX327" s="4" t="n"/>
      <c r="DY327" s="4" t="n"/>
      <c r="DZ327" s="4" t="n"/>
      <c r="EA327" s="4" t="n"/>
      <c r="EB327" s="4" t="n"/>
      <c r="EC327" s="4" t="n"/>
      <c r="ED327" s="4" t="n"/>
      <c r="EE327" s="4" t="n"/>
      <c r="EF327" s="4" t="n"/>
      <c r="EG327" s="4" t="n"/>
      <c r="EH327" s="4" t="n"/>
      <c r="EI327" s="4" t="n"/>
      <c r="EJ327" s="4" t="n"/>
      <c r="EK327" s="4" t="n"/>
      <c r="EL327" s="4" t="n"/>
      <c r="EM327" s="4" t="n"/>
      <c r="EN327" s="4" t="n"/>
    </row>
    <row r="328" hidden="1" customFormat="1" s="6">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c r="AC328" s="4" t="n"/>
      <c r="AD328" s="4" t="n"/>
      <c r="AE328" s="4" t="n"/>
      <c r="AF328" s="4" t="n"/>
      <c r="AG328" s="4" t="n"/>
      <c r="AH328" s="4" t="n"/>
      <c r="AI328" s="4" t="n"/>
      <c r="AJ328" s="4" t="n"/>
      <c r="AK328" s="4" t="n"/>
      <c r="AL328" s="4" t="n"/>
      <c r="AM328" s="4" t="n"/>
      <c r="AN328" s="4" t="n"/>
      <c r="AO328" s="4" t="n"/>
      <c r="AP328" s="4" t="n"/>
      <c r="AQ328" s="4" t="n"/>
      <c r="AR328" s="4" t="n"/>
      <c r="AS328" s="4" t="n"/>
      <c r="AT328" s="4" t="n"/>
      <c r="AU328" s="4" t="n"/>
      <c r="AV328" s="4" t="n"/>
      <c r="AW328" s="4" t="n"/>
      <c r="AX328" s="4" t="n"/>
      <c r="AY328" s="4" t="n"/>
      <c r="AZ328" s="4" t="n"/>
      <c r="BA328" s="4" t="n"/>
      <c r="BB328" s="4" t="n"/>
      <c r="BC328" s="4" t="n"/>
      <c r="BD328" s="4" t="n"/>
      <c r="BE328" s="4" t="n"/>
      <c r="BF328" s="4" t="n"/>
      <c r="BG328" s="4" t="n"/>
      <c r="BH328" s="4" t="n"/>
      <c r="BI328" s="4" t="n"/>
      <c r="BJ328" s="4" t="n"/>
      <c r="BK328" s="4" t="n"/>
      <c r="BL328" s="4" t="n"/>
      <c r="BM328" s="4" t="n"/>
      <c r="BN328" s="4" t="n"/>
      <c r="BO328" s="4" t="n"/>
      <c r="BP328" s="4" t="n"/>
      <c r="BQ328" s="4" t="n"/>
      <c r="BR328" s="4" t="n"/>
      <c r="BS328" s="4" t="n"/>
      <c r="BT328" s="4" t="n"/>
      <c r="BU328" s="4" t="n"/>
      <c r="BV328" s="4" t="n"/>
      <c r="BW328" s="4" t="n"/>
      <c r="BX328" s="4" t="n"/>
      <c r="BY328" s="4" t="n"/>
      <c r="BZ328" s="4" t="n"/>
      <c r="CA328" s="4" t="n"/>
      <c r="CB328" s="4" t="n"/>
      <c r="CC328" s="4" t="n"/>
      <c r="CD328" s="4" t="n"/>
      <c r="CE328" s="4" t="n"/>
      <c r="CF328" s="4" t="n"/>
      <c r="CG328" s="4" t="n"/>
      <c r="CH328" s="4" t="n"/>
      <c r="CI328" s="4" t="n"/>
      <c r="CJ328" s="4" t="n"/>
      <c r="CK328" s="4" t="n"/>
      <c r="CL328" s="4" t="n"/>
      <c r="CM328" s="4" t="n"/>
      <c r="CN328" s="4" t="n"/>
      <c r="CO328" s="4" t="n"/>
      <c r="CP328" s="4" t="n"/>
      <c r="CQ328" s="4" t="n"/>
      <c r="CR328" s="4" t="n"/>
      <c r="CS328" s="4" t="n"/>
      <c r="CT328" s="4" t="n"/>
      <c r="CU328" s="4" t="n"/>
      <c r="CV328" s="4" t="n"/>
      <c r="CW328" s="4" t="n"/>
      <c r="CX328" s="4" t="n"/>
      <c r="CY328" s="4" t="n"/>
      <c r="CZ328" s="4" t="n"/>
      <c r="DA328" s="4" t="n"/>
      <c r="DB328" s="4" t="n"/>
      <c r="DC328" s="4" t="n"/>
      <c r="DD328" s="4" t="n"/>
      <c r="DE328" s="4" t="n"/>
      <c r="DF328" s="4" t="n"/>
      <c r="DG328" s="4" t="n"/>
      <c r="DH328" s="4" t="n"/>
      <c r="DI328" s="4" t="n"/>
      <c r="DJ328" s="4" t="n"/>
      <c r="DK328" s="4" t="n"/>
      <c r="DL328" s="4" t="n"/>
      <c r="DM328" s="4" t="n"/>
      <c r="DN328" s="4" t="n"/>
      <c r="DO328" s="4" t="n"/>
      <c r="DP328" s="4" t="n"/>
      <c r="DQ328" s="4" t="n"/>
      <c r="DR328" s="4" t="n"/>
      <c r="DS328" s="4" t="n"/>
      <c r="DT328" s="4" t="n"/>
      <c r="DU328" s="4" t="n"/>
      <c r="DV328" s="4" t="n"/>
      <c r="DW328" s="4" t="n"/>
      <c r="DX328" s="4" t="n"/>
      <c r="DY328" s="4" t="n"/>
      <c r="DZ328" s="4" t="n"/>
      <c r="EA328" s="4" t="n"/>
      <c r="EB328" s="4" t="n"/>
      <c r="EC328" s="4" t="n"/>
      <c r="ED328" s="4" t="n"/>
      <c r="EE328" s="4" t="n"/>
      <c r="EF328" s="4" t="n"/>
      <c r="EG328" s="4" t="n"/>
      <c r="EH328" s="4" t="n"/>
      <c r="EI328" s="4" t="n"/>
      <c r="EJ328" s="4" t="n"/>
      <c r="EK328" s="4" t="n"/>
      <c r="EL328" s="4" t="n"/>
      <c r="EM328" s="4" t="n"/>
      <c r="EN328" s="4" t="n"/>
    </row>
    <row r="329" hidden="1" customFormat="1" s="6">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c r="AE329" s="4" t="n"/>
      <c r="AF329" s="4" t="n"/>
      <c r="AG329" s="4" t="n"/>
      <c r="AH329" s="4" t="n"/>
      <c r="AI329" s="4" t="n"/>
      <c r="AJ329" s="4" t="n"/>
      <c r="AK329" s="4" t="n"/>
      <c r="AL329" s="4" t="n"/>
      <c r="AM329" s="4" t="n"/>
      <c r="AN329" s="4" t="n"/>
      <c r="AO329" s="4" t="n"/>
      <c r="AP329" s="4" t="n"/>
      <c r="AQ329" s="4" t="n"/>
      <c r="AR329" s="4" t="n"/>
      <c r="AS329" s="4" t="n"/>
      <c r="AT329" s="4" t="n"/>
      <c r="AU329" s="4" t="n"/>
      <c r="AV329" s="4" t="n"/>
      <c r="AW329" s="4" t="n"/>
      <c r="AX329" s="4" t="n"/>
      <c r="AY329" s="4" t="n"/>
      <c r="AZ329" s="4" t="n"/>
      <c r="BA329" s="4" t="n"/>
      <c r="BB329" s="4" t="n"/>
      <c r="BC329" s="4" t="n"/>
      <c r="BD329" s="4" t="n"/>
      <c r="BE329" s="4" t="n"/>
      <c r="BF329" s="4" t="n"/>
      <c r="BG329" s="4" t="n"/>
      <c r="BH329" s="4" t="n"/>
      <c r="BI329" s="4" t="n"/>
      <c r="BJ329" s="4" t="n"/>
      <c r="BK329" s="4" t="n"/>
      <c r="BL329" s="4" t="n"/>
      <c r="BM329" s="4" t="n"/>
      <c r="BN329" s="4" t="n"/>
      <c r="BO329" s="4" t="n"/>
      <c r="BP329" s="4" t="n"/>
      <c r="BQ329" s="4" t="n"/>
      <c r="BR329" s="4" t="n"/>
      <c r="BS329" s="4" t="n"/>
      <c r="BT329" s="4" t="n"/>
      <c r="BU329" s="4" t="n"/>
      <c r="BV329" s="4" t="n"/>
      <c r="BW329" s="4" t="n"/>
      <c r="BX329" s="4" t="n"/>
      <c r="BY329" s="4" t="n"/>
      <c r="BZ329" s="4" t="n"/>
      <c r="CA329" s="4" t="n"/>
      <c r="CB329" s="4" t="n"/>
      <c r="CC329" s="4" t="n"/>
      <c r="CD329" s="4" t="n"/>
      <c r="CE329" s="4" t="n"/>
      <c r="CF329" s="4" t="n"/>
      <c r="CG329" s="4" t="n"/>
      <c r="CH329" s="4" t="n"/>
      <c r="CI329" s="4" t="n"/>
      <c r="CJ329" s="4" t="n"/>
      <c r="CK329" s="4" t="n"/>
      <c r="CL329" s="4" t="n"/>
      <c r="CM329" s="4" t="n"/>
      <c r="CN329" s="4" t="n"/>
      <c r="CO329" s="4" t="n"/>
      <c r="CP329" s="4" t="n"/>
      <c r="CQ329" s="4" t="n"/>
      <c r="CR329" s="4" t="n"/>
      <c r="CS329" s="4" t="n"/>
      <c r="CT329" s="4" t="n"/>
      <c r="CU329" s="4" t="n"/>
      <c r="CV329" s="4" t="n"/>
      <c r="CW329" s="4" t="n"/>
      <c r="CX329" s="4" t="n"/>
      <c r="CY329" s="4" t="n"/>
      <c r="CZ329" s="4" t="n"/>
      <c r="DA329" s="4" t="n"/>
      <c r="DB329" s="4" t="n"/>
      <c r="DC329" s="4" t="n"/>
      <c r="DD329" s="4" t="n"/>
      <c r="DE329" s="4" t="n"/>
      <c r="DF329" s="4" t="n"/>
      <c r="DG329" s="4" t="n"/>
      <c r="DH329" s="4" t="n"/>
      <c r="DI329" s="4" t="n"/>
      <c r="DJ329" s="4" t="n"/>
      <c r="DK329" s="4" t="n"/>
      <c r="DL329" s="4" t="n"/>
      <c r="DM329" s="4" t="n"/>
      <c r="DN329" s="4" t="n"/>
      <c r="DO329" s="4" t="n"/>
      <c r="DP329" s="4" t="n"/>
      <c r="DQ329" s="4" t="n"/>
      <c r="DR329" s="4" t="n"/>
      <c r="DS329" s="4" t="n"/>
      <c r="DT329" s="4" t="n"/>
      <c r="DU329" s="4" t="n"/>
      <c r="DV329" s="4" t="n"/>
      <c r="DW329" s="4" t="n"/>
      <c r="DX329" s="4" t="n"/>
      <c r="DY329" s="4" t="n"/>
      <c r="DZ329" s="4" t="n"/>
      <c r="EA329" s="4" t="n"/>
      <c r="EB329" s="4" t="n"/>
      <c r="EC329" s="4" t="n"/>
      <c r="ED329" s="4" t="n"/>
      <c r="EE329" s="4" t="n"/>
      <c r="EF329" s="4" t="n"/>
      <c r="EG329" s="4" t="n"/>
      <c r="EH329" s="4" t="n"/>
      <c r="EI329" s="4" t="n"/>
      <c r="EJ329" s="4" t="n"/>
      <c r="EK329" s="4" t="n"/>
      <c r="EL329" s="4" t="n"/>
      <c r="EM329" s="4" t="n"/>
      <c r="EN329" s="4" t="n"/>
    </row>
    <row r="330" hidden="1" customFormat="1" s="6">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c r="AE330" s="4" t="n"/>
      <c r="AF330" s="4" t="n"/>
      <c r="AG330" s="4" t="n"/>
      <c r="AH330" s="4" t="n"/>
      <c r="AI330" s="4" t="n"/>
      <c r="AJ330" s="4" t="n"/>
      <c r="AK330" s="4" t="n"/>
      <c r="AL330" s="4" t="n"/>
      <c r="AM330" s="4" t="n"/>
      <c r="AN330" s="4" t="n"/>
      <c r="AO330" s="4" t="n"/>
      <c r="AP330" s="4" t="n"/>
      <c r="AQ330" s="4" t="n"/>
      <c r="AR330" s="4" t="n"/>
      <c r="AS330" s="4" t="n"/>
      <c r="AT330" s="4" t="n"/>
      <c r="AU330" s="4" t="n"/>
      <c r="AV330" s="4" t="n"/>
      <c r="AW330" s="4" t="n"/>
      <c r="AX330" s="4" t="n"/>
      <c r="AY330" s="4" t="n"/>
      <c r="AZ330" s="4" t="n"/>
      <c r="BA330" s="4" t="n"/>
      <c r="BB330" s="4" t="n"/>
      <c r="BC330" s="4" t="n"/>
      <c r="BD330" s="4" t="n"/>
      <c r="BE330" s="4" t="n"/>
      <c r="BF330" s="4" t="n"/>
      <c r="BG330" s="4" t="n"/>
      <c r="BH330" s="4" t="n"/>
      <c r="BI330" s="4" t="n"/>
      <c r="BJ330" s="4" t="n"/>
      <c r="BK330" s="4" t="n"/>
      <c r="BL330" s="4" t="n"/>
      <c r="BM330" s="4" t="n"/>
      <c r="BN330" s="4" t="n"/>
      <c r="BO330" s="4" t="n"/>
      <c r="BP330" s="4" t="n"/>
      <c r="BQ330" s="4" t="n"/>
      <c r="BR330" s="4" t="n"/>
      <c r="BS330" s="4" t="n"/>
      <c r="BT330" s="4" t="n"/>
      <c r="BU330" s="4" t="n"/>
      <c r="BV330" s="4" t="n"/>
      <c r="BW330" s="4" t="n"/>
      <c r="BX330" s="4" t="n"/>
      <c r="BY330" s="4" t="n"/>
      <c r="BZ330" s="4" t="n"/>
      <c r="CA330" s="4" t="n"/>
      <c r="CB330" s="4" t="n"/>
      <c r="CC330" s="4" t="n"/>
      <c r="CD330" s="4" t="n"/>
      <c r="CE330" s="4" t="n"/>
      <c r="CF330" s="4" t="n"/>
      <c r="CG330" s="4" t="n"/>
      <c r="CH330" s="4" t="n"/>
      <c r="CI330" s="4" t="n"/>
      <c r="CJ330" s="4" t="n"/>
      <c r="CK330" s="4" t="n"/>
      <c r="CL330" s="4" t="n"/>
      <c r="CM330" s="4" t="n"/>
      <c r="CN330" s="4" t="n"/>
      <c r="CO330" s="4" t="n"/>
      <c r="CP330" s="4" t="n"/>
      <c r="CQ330" s="4" t="n"/>
      <c r="CR330" s="4" t="n"/>
      <c r="CS330" s="4" t="n"/>
      <c r="CT330" s="4" t="n"/>
      <c r="CU330" s="4" t="n"/>
      <c r="CV330" s="4" t="n"/>
      <c r="CW330" s="4" t="n"/>
      <c r="CX330" s="4" t="n"/>
      <c r="CY330" s="4" t="n"/>
      <c r="CZ330" s="4" t="n"/>
      <c r="DA330" s="4" t="n"/>
      <c r="DB330" s="4" t="n"/>
      <c r="DC330" s="4" t="n"/>
      <c r="DD330" s="4" t="n"/>
      <c r="DE330" s="4" t="n"/>
      <c r="DF330" s="4" t="n"/>
      <c r="DG330" s="4" t="n"/>
      <c r="DH330" s="4" t="n"/>
      <c r="DI330" s="4" t="n"/>
      <c r="DJ330" s="4" t="n"/>
      <c r="DK330" s="4" t="n"/>
      <c r="DL330" s="4" t="n"/>
      <c r="DM330" s="4" t="n"/>
      <c r="DN330" s="4" t="n"/>
      <c r="DO330" s="4" t="n"/>
      <c r="DP330" s="4" t="n"/>
      <c r="DQ330" s="4" t="n"/>
      <c r="DR330" s="4" t="n"/>
      <c r="DS330" s="4" t="n"/>
      <c r="DT330" s="4" t="n"/>
      <c r="DU330" s="4" t="n"/>
      <c r="DV330" s="4" t="n"/>
      <c r="DW330" s="4" t="n"/>
      <c r="DX330" s="4" t="n"/>
      <c r="DY330" s="4" t="n"/>
      <c r="DZ330" s="4" t="n"/>
      <c r="EA330" s="4" t="n"/>
      <c r="EB330" s="4" t="n"/>
      <c r="EC330" s="4" t="n"/>
      <c r="ED330" s="4" t="n"/>
      <c r="EE330" s="4" t="n"/>
      <c r="EF330" s="4" t="n"/>
      <c r="EG330" s="4" t="n"/>
      <c r="EH330" s="4" t="n"/>
      <c r="EI330" s="4" t="n"/>
      <c r="EJ330" s="4" t="n"/>
      <c r="EK330" s="4" t="n"/>
      <c r="EL330" s="4" t="n"/>
      <c r="EM330" s="4" t="n"/>
      <c r="EN330" s="4" t="n"/>
    </row>
    <row r="331" hidden="1" customFormat="1" s="6">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c r="AD331" s="4" t="n"/>
      <c r="AE331" s="4" t="n"/>
      <c r="AF331" s="4" t="n"/>
      <c r="AG331" s="4" t="n"/>
      <c r="AH331" s="4" t="n"/>
      <c r="AI331" s="4" t="n"/>
      <c r="AJ331" s="4" t="n"/>
      <c r="AK331" s="4" t="n"/>
      <c r="AL331" s="4" t="n"/>
      <c r="AM331" s="4" t="n"/>
      <c r="AN331" s="4" t="n"/>
      <c r="AO331" s="4" t="n"/>
      <c r="AP331" s="4" t="n"/>
      <c r="AQ331" s="4" t="n"/>
      <c r="AR331" s="4" t="n"/>
      <c r="AS331" s="4" t="n"/>
      <c r="AT331" s="4" t="n"/>
      <c r="AU331" s="4" t="n"/>
      <c r="AV331" s="4" t="n"/>
      <c r="AW331" s="4" t="n"/>
      <c r="AX331" s="4" t="n"/>
      <c r="AY331" s="4" t="n"/>
      <c r="AZ331" s="4" t="n"/>
      <c r="BA331" s="4" t="n"/>
      <c r="BB331" s="4" t="n"/>
      <c r="BC331" s="4" t="n"/>
      <c r="BD331" s="4" t="n"/>
      <c r="BE331" s="4" t="n"/>
      <c r="BF331" s="4" t="n"/>
      <c r="BG331" s="4" t="n"/>
      <c r="BH331" s="4" t="n"/>
      <c r="BI331" s="4" t="n"/>
      <c r="BJ331" s="4" t="n"/>
      <c r="BK331" s="4" t="n"/>
      <c r="BL331" s="4" t="n"/>
      <c r="BM331" s="4" t="n"/>
      <c r="BN331" s="4" t="n"/>
      <c r="BO331" s="4" t="n"/>
      <c r="BP331" s="4" t="n"/>
      <c r="BQ331" s="4" t="n"/>
      <c r="BR331" s="4" t="n"/>
      <c r="BS331" s="4" t="n"/>
      <c r="BT331" s="4" t="n"/>
      <c r="BU331" s="4" t="n"/>
      <c r="BV331" s="4" t="n"/>
      <c r="BW331" s="4" t="n"/>
      <c r="BX331" s="4" t="n"/>
      <c r="BY331" s="4" t="n"/>
      <c r="BZ331" s="4" t="n"/>
      <c r="CA331" s="4" t="n"/>
      <c r="CB331" s="4" t="n"/>
      <c r="CC331" s="4" t="n"/>
      <c r="CD331" s="4" t="n"/>
      <c r="CE331" s="4" t="n"/>
      <c r="CF331" s="4" t="n"/>
      <c r="CG331" s="4" t="n"/>
      <c r="CH331" s="4" t="n"/>
      <c r="CI331" s="4" t="n"/>
      <c r="CJ331" s="4" t="n"/>
      <c r="CK331" s="4" t="n"/>
      <c r="CL331" s="4" t="n"/>
      <c r="CM331" s="4" t="n"/>
      <c r="CN331" s="4" t="n"/>
      <c r="CO331" s="4" t="n"/>
      <c r="CP331" s="4" t="n"/>
      <c r="CQ331" s="4" t="n"/>
      <c r="CR331" s="4" t="n"/>
      <c r="CS331" s="4" t="n"/>
      <c r="CT331" s="4" t="n"/>
      <c r="CU331" s="4" t="n"/>
      <c r="CV331" s="4" t="n"/>
      <c r="CW331" s="4" t="n"/>
      <c r="CX331" s="4" t="n"/>
      <c r="CY331" s="4" t="n"/>
      <c r="CZ331" s="4" t="n"/>
      <c r="DA331" s="4" t="n"/>
      <c r="DB331" s="4" t="n"/>
      <c r="DC331" s="4" t="n"/>
      <c r="DD331" s="4" t="n"/>
      <c r="DE331" s="4" t="n"/>
      <c r="DF331" s="4" t="n"/>
      <c r="DG331" s="4" t="n"/>
      <c r="DH331" s="4" t="n"/>
      <c r="DI331" s="4" t="n"/>
      <c r="DJ331" s="4" t="n"/>
      <c r="DK331" s="4" t="n"/>
      <c r="DL331" s="4" t="n"/>
      <c r="DM331" s="4" t="n"/>
      <c r="DN331" s="4" t="n"/>
      <c r="DO331" s="4" t="n"/>
      <c r="DP331" s="4" t="n"/>
      <c r="DQ331" s="4" t="n"/>
      <c r="DR331" s="4" t="n"/>
      <c r="DS331" s="4" t="n"/>
      <c r="DT331" s="4" t="n"/>
      <c r="DU331" s="4" t="n"/>
      <c r="DV331" s="4" t="n"/>
      <c r="DW331" s="4" t="n"/>
      <c r="DX331" s="4" t="n"/>
      <c r="DY331" s="4" t="n"/>
      <c r="DZ331" s="4" t="n"/>
      <c r="EA331" s="4" t="n"/>
      <c r="EB331" s="4" t="n"/>
      <c r="EC331" s="4" t="n"/>
      <c r="ED331" s="4" t="n"/>
      <c r="EE331" s="4" t="n"/>
      <c r="EF331" s="4" t="n"/>
      <c r="EG331" s="4" t="n"/>
      <c r="EH331" s="4" t="n"/>
      <c r="EI331" s="4" t="n"/>
      <c r="EJ331" s="4" t="n"/>
      <c r="EK331" s="4" t="n"/>
      <c r="EL331" s="4" t="n"/>
      <c r="EM331" s="4" t="n"/>
      <c r="EN331" s="4" t="n"/>
    </row>
    <row r="332" hidden="1" customFormat="1" s="6">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c r="AE332" s="4" t="n"/>
      <c r="AF332" s="4" t="n"/>
      <c r="AG332" s="4" t="n"/>
      <c r="AH332" s="4" t="n"/>
      <c r="AI332" s="4" t="n"/>
      <c r="AJ332" s="4" t="n"/>
      <c r="AK332" s="4" t="n"/>
      <c r="AL332" s="4" t="n"/>
      <c r="AM332" s="4" t="n"/>
      <c r="AN332" s="4" t="n"/>
      <c r="AO332" s="4" t="n"/>
      <c r="AP332" s="4" t="n"/>
      <c r="AQ332" s="4" t="n"/>
      <c r="AR332" s="4" t="n"/>
      <c r="AS332" s="4" t="n"/>
      <c r="AT332" s="4" t="n"/>
      <c r="AU332" s="4" t="n"/>
      <c r="AV332" s="4" t="n"/>
      <c r="AW332" s="4" t="n"/>
      <c r="AX332" s="4" t="n"/>
      <c r="AY332" s="4" t="n"/>
      <c r="AZ332" s="4" t="n"/>
      <c r="BA332" s="4" t="n"/>
      <c r="BB332" s="4" t="n"/>
      <c r="BC332" s="4" t="n"/>
      <c r="BD332" s="4" t="n"/>
      <c r="BE332" s="4" t="n"/>
      <c r="BF332" s="4" t="n"/>
      <c r="BG332" s="4" t="n"/>
      <c r="BH332" s="4" t="n"/>
      <c r="BI332" s="4" t="n"/>
      <c r="BJ332" s="4" t="n"/>
      <c r="BK332" s="4" t="n"/>
      <c r="BL332" s="4" t="n"/>
      <c r="BM332" s="4" t="n"/>
      <c r="BN332" s="4" t="n"/>
      <c r="BO332" s="4" t="n"/>
      <c r="BP332" s="4" t="n"/>
      <c r="BQ332" s="4" t="n"/>
      <c r="BR332" s="4" t="n"/>
      <c r="BS332" s="4" t="n"/>
      <c r="BT332" s="4" t="n"/>
      <c r="BU332" s="4" t="n"/>
      <c r="BV332" s="4" t="n"/>
      <c r="BW332" s="4" t="n"/>
      <c r="BX332" s="4" t="n"/>
      <c r="BY332" s="4" t="n"/>
      <c r="BZ332" s="4" t="n"/>
      <c r="CA332" s="4" t="n"/>
      <c r="CB332" s="4" t="n"/>
      <c r="CC332" s="4" t="n"/>
      <c r="CD332" s="4" t="n"/>
      <c r="CE332" s="4" t="n"/>
      <c r="CF332" s="4" t="n"/>
      <c r="CG332" s="4" t="n"/>
      <c r="CH332" s="4" t="n"/>
      <c r="CI332" s="4" t="n"/>
      <c r="CJ332" s="4" t="n"/>
      <c r="CK332" s="4" t="n"/>
      <c r="CL332" s="4" t="n"/>
      <c r="CM332" s="4" t="n"/>
      <c r="CN332" s="4" t="n"/>
      <c r="CO332" s="4" t="n"/>
      <c r="CP332" s="4" t="n"/>
      <c r="CQ332" s="4" t="n"/>
      <c r="CR332" s="4" t="n"/>
      <c r="CS332" s="4" t="n"/>
      <c r="CT332" s="4" t="n"/>
      <c r="CU332" s="4" t="n"/>
      <c r="CV332" s="4" t="n"/>
      <c r="CW332" s="4" t="n"/>
      <c r="CX332" s="4" t="n"/>
      <c r="CY332" s="4" t="n"/>
      <c r="CZ332" s="4" t="n"/>
      <c r="DA332" s="4" t="n"/>
      <c r="DB332" s="4" t="n"/>
      <c r="DC332" s="4" t="n"/>
      <c r="DD332" s="4" t="n"/>
      <c r="DE332" s="4" t="n"/>
      <c r="DF332" s="4" t="n"/>
      <c r="DG332" s="4" t="n"/>
      <c r="DH332" s="4" t="n"/>
      <c r="DI332" s="4" t="n"/>
      <c r="DJ332" s="4" t="n"/>
      <c r="DK332" s="4" t="n"/>
      <c r="DL332" s="4" t="n"/>
      <c r="DM332" s="4" t="n"/>
      <c r="DN332" s="4" t="n"/>
      <c r="DO332" s="4" t="n"/>
      <c r="DP332" s="4" t="n"/>
      <c r="DQ332" s="4" t="n"/>
      <c r="DR332" s="4" t="n"/>
      <c r="DS332" s="4" t="n"/>
      <c r="DT332" s="4" t="n"/>
      <c r="DU332" s="4" t="n"/>
      <c r="DV332" s="4" t="n"/>
      <c r="DW332" s="4" t="n"/>
      <c r="DX332" s="4" t="n"/>
      <c r="DY332" s="4" t="n"/>
      <c r="DZ332" s="4" t="n"/>
      <c r="EA332" s="4" t="n"/>
      <c r="EB332" s="4" t="n"/>
      <c r="EC332" s="4" t="n"/>
      <c r="ED332" s="4" t="n"/>
      <c r="EE332" s="4" t="n"/>
      <c r="EF332" s="4" t="n"/>
      <c r="EG332" s="4" t="n"/>
      <c r="EH332" s="4" t="n"/>
      <c r="EI332" s="4" t="n"/>
      <c r="EJ332" s="4" t="n"/>
      <c r="EK332" s="4" t="n"/>
      <c r="EL332" s="4" t="n"/>
      <c r="EM332" s="4" t="n"/>
      <c r="EN332" s="4" t="n"/>
    </row>
    <row r="333" hidden="1" customFormat="1" s="6">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c r="AE333" s="4" t="n"/>
      <c r="AF333" s="4" t="n"/>
      <c r="AG333" s="4" t="n"/>
      <c r="AH333" s="4" t="n"/>
      <c r="AI333" s="4" t="n"/>
      <c r="AJ333" s="4" t="n"/>
      <c r="AK333" s="4" t="n"/>
      <c r="AL333" s="4" t="n"/>
      <c r="AM333" s="4" t="n"/>
      <c r="AN333" s="4" t="n"/>
      <c r="AO333" s="4" t="n"/>
      <c r="AP333" s="4" t="n"/>
      <c r="AQ333" s="4" t="n"/>
      <c r="AR333" s="4" t="n"/>
      <c r="AS333" s="4" t="n"/>
      <c r="AT333" s="4" t="n"/>
      <c r="AU333" s="4" t="n"/>
      <c r="AV333" s="4" t="n"/>
      <c r="AW333" s="4" t="n"/>
      <c r="AX333" s="4" t="n"/>
      <c r="AY333" s="4" t="n"/>
      <c r="AZ333" s="4" t="n"/>
      <c r="BA333" s="4" t="n"/>
      <c r="BB333" s="4" t="n"/>
      <c r="BC333" s="4" t="n"/>
      <c r="BD333" s="4" t="n"/>
      <c r="BE333" s="4" t="n"/>
      <c r="BF333" s="4" t="n"/>
      <c r="BG333" s="4" t="n"/>
      <c r="BH333" s="4" t="n"/>
      <c r="BI333" s="4" t="n"/>
      <c r="BJ333" s="4" t="n"/>
      <c r="BK333" s="4" t="n"/>
      <c r="BL333" s="4" t="n"/>
      <c r="BM333" s="4" t="n"/>
      <c r="BN333" s="4" t="n"/>
      <c r="BO333" s="4" t="n"/>
      <c r="BP333" s="4" t="n"/>
      <c r="BQ333" s="4" t="n"/>
      <c r="BR333" s="4" t="n"/>
      <c r="BS333" s="4" t="n"/>
      <c r="BT333" s="4" t="n"/>
      <c r="BU333" s="4" t="n"/>
      <c r="BV333" s="4" t="n"/>
      <c r="BW333" s="4" t="n"/>
      <c r="BX333" s="4" t="n"/>
      <c r="BY333" s="4" t="n"/>
      <c r="BZ333" s="4" t="n"/>
      <c r="CA333" s="4" t="n"/>
      <c r="CB333" s="4" t="n"/>
      <c r="CC333" s="4" t="n"/>
      <c r="CD333" s="4" t="n"/>
      <c r="CE333" s="4" t="n"/>
      <c r="CF333" s="4" t="n"/>
      <c r="CG333" s="4" t="n"/>
      <c r="CH333" s="4" t="n"/>
      <c r="CI333" s="4" t="n"/>
      <c r="CJ333" s="4" t="n"/>
      <c r="CK333" s="4" t="n"/>
      <c r="CL333" s="4" t="n"/>
      <c r="CM333" s="4" t="n"/>
      <c r="CN333" s="4" t="n"/>
      <c r="CO333" s="4" t="n"/>
      <c r="CP333" s="4" t="n"/>
      <c r="CQ333" s="4" t="n"/>
      <c r="CR333" s="4" t="n"/>
      <c r="CS333" s="4" t="n"/>
      <c r="CT333" s="4" t="n"/>
      <c r="CU333" s="4" t="n"/>
      <c r="CV333" s="4" t="n"/>
      <c r="CW333" s="4" t="n"/>
      <c r="CX333" s="4" t="n"/>
      <c r="CY333" s="4" t="n"/>
      <c r="CZ333" s="4" t="n"/>
      <c r="DA333" s="4" t="n"/>
      <c r="DB333" s="4" t="n"/>
      <c r="DC333" s="4" t="n"/>
      <c r="DD333" s="4" t="n"/>
      <c r="DE333" s="4" t="n"/>
      <c r="DF333" s="4" t="n"/>
      <c r="DG333" s="4" t="n"/>
      <c r="DH333" s="4" t="n"/>
      <c r="DI333" s="4" t="n"/>
      <c r="DJ333" s="4" t="n"/>
      <c r="DK333" s="4" t="n"/>
      <c r="DL333" s="4" t="n"/>
      <c r="DM333" s="4" t="n"/>
      <c r="DN333" s="4" t="n"/>
      <c r="DO333" s="4" t="n"/>
      <c r="DP333" s="4" t="n"/>
      <c r="DQ333" s="4" t="n"/>
      <c r="DR333" s="4" t="n"/>
      <c r="DS333" s="4" t="n"/>
      <c r="DT333" s="4" t="n"/>
      <c r="DU333" s="4" t="n"/>
      <c r="DV333" s="4" t="n"/>
      <c r="DW333" s="4" t="n"/>
      <c r="DX333" s="4" t="n"/>
      <c r="DY333" s="4" t="n"/>
      <c r="DZ333" s="4" t="n"/>
      <c r="EA333" s="4" t="n"/>
      <c r="EB333" s="4" t="n"/>
      <c r="EC333" s="4" t="n"/>
      <c r="ED333" s="4" t="n"/>
      <c r="EE333" s="4" t="n"/>
      <c r="EF333" s="4" t="n"/>
      <c r="EG333" s="4" t="n"/>
      <c r="EH333" s="4" t="n"/>
      <c r="EI333" s="4" t="n"/>
      <c r="EJ333" s="4" t="n"/>
      <c r="EK333" s="4" t="n"/>
      <c r="EL333" s="4" t="n"/>
      <c r="EM333" s="4" t="n"/>
      <c r="EN333" s="4" t="n"/>
    </row>
    <row r="334" hidden="1" customFormat="1" s="6">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c r="AE334" s="4" t="n"/>
      <c r="AF334" s="4" t="n"/>
      <c r="AG334" s="4" t="n"/>
      <c r="AH334" s="4" t="n"/>
      <c r="AI334" s="4" t="n"/>
      <c r="AJ334" s="4" t="n"/>
      <c r="AK334" s="4" t="n"/>
      <c r="AL334" s="4" t="n"/>
      <c r="AM334" s="4" t="n"/>
      <c r="AN334" s="4" t="n"/>
      <c r="AO334" s="4" t="n"/>
      <c r="AP334" s="4" t="n"/>
      <c r="AQ334" s="4" t="n"/>
      <c r="AR334" s="4" t="n"/>
      <c r="AS334" s="4" t="n"/>
      <c r="AT334" s="4" t="n"/>
      <c r="AU334" s="4" t="n"/>
      <c r="AV334" s="4" t="n"/>
      <c r="AW334" s="4" t="n"/>
      <c r="AX334" s="4" t="n"/>
      <c r="AY334" s="4" t="n"/>
      <c r="AZ334" s="4" t="n"/>
      <c r="BA334" s="4" t="n"/>
      <c r="BB334" s="4" t="n"/>
      <c r="BC334" s="4" t="n"/>
      <c r="BD334" s="4" t="n"/>
      <c r="BE334" s="4" t="n"/>
      <c r="BF334" s="4" t="n"/>
      <c r="BG334" s="4" t="n"/>
      <c r="BH334" s="4" t="n"/>
      <c r="BI334" s="4" t="n"/>
      <c r="BJ334" s="4" t="n"/>
      <c r="BK334" s="4" t="n"/>
      <c r="BL334" s="4" t="n"/>
      <c r="BM334" s="4" t="n"/>
      <c r="BN334" s="4" t="n"/>
      <c r="BO334" s="4" t="n"/>
      <c r="BP334" s="4" t="n"/>
      <c r="BQ334" s="4" t="n"/>
      <c r="BR334" s="4" t="n"/>
      <c r="BS334" s="4" t="n"/>
      <c r="BT334" s="4" t="n"/>
      <c r="BU334" s="4" t="n"/>
      <c r="BV334" s="4" t="n"/>
      <c r="BW334" s="4" t="n"/>
      <c r="BX334" s="4" t="n"/>
      <c r="BY334" s="4" t="n"/>
      <c r="BZ334" s="4" t="n"/>
      <c r="CA334" s="4" t="n"/>
      <c r="CB334" s="4" t="n"/>
      <c r="CC334" s="4" t="n"/>
      <c r="CD334" s="4" t="n"/>
      <c r="CE334" s="4" t="n"/>
      <c r="CF334" s="4" t="n"/>
      <c r="CG334" s="4" t="n"/>
      <c r="CH334" s="4" t="n"/>
      <c r="CI334" s="4" t="n"/>
      <c r="CJ334" s="4" t="n"/>
      <c r="CK334" s="4" t="n"/>
      <c r="CL334" s="4" t="n"/>
      <c r="CM334" s="4" t="n"/>
      <c r="CN334" s="4" t="n"/>
      <c r="CO334" s="4" t="n"/>
      <c r="CP334" s="4" t="n"/>
      <c r="CQ334" s="4" t="n"/>
      <c r="CR334" s="4" t="n"/>
      <c r="CS334" s="4" t="n"/>
      <c r="CT334" s="4" t="n"/>
      <c r="CU334" s="4" t="n"/>
      <c r="CV334" s="4" t="n"/>
      <c r="CW334" s="4" t="n"/>
      <c r="CX334" s="4" t="n"/>
      <c r="CY334" s="4" t="n"/>
      <c r="CZ334" s="4" t="n"/>
      <c r="DA334" s="4" t="n"/>
      <c r="DB334" s="4" t="n"/>
      <c r="DC334" s="4" t="n"/>
      <c r="DD334" s="4" t="n"/>
      <c r="DE334" s="4" t="n"/>
      <c r="DF334" s="4" t="n"/>
      <c r="DG334" s="4" t="n"/>
      <c r="DH334" s="4" t="n"/>
      <c r="DI334" s="4" t="n"/>
      <c r="DJ334" s="4" t="n"/>
      <c r="DK334" s="4" t="n"/>
      <c r="DL334" s="4" t="n"/>
      <c r="DM334" s="4" t="n"/>
      <c r="DN334" s="4" t="n"/>
      <c r="DO334" s="4" t="n"/>
      <c r="DP334" s="4" t="n"/>
      <c r="DQ334" s="4" t="n"/>
      <c r="DR334" s="4" t="n"/>
      <c r="DS334" s="4" t="n"/>
      <c r="DT334" s="4" t="n"/>
      <c r="DU334" s="4" t="n"/>
      <c r="DV334" s="4" t="n"/>
      <c r="DW334" s="4" t="n"/>
      <c r="DX334" s="4" t="n"/>
      <c r="DY334" s="4" t="n"/>
      <c r="DZ334" s="4" t="n"/>
      <c r="EA334" s="4" t="n"/>
      <c r="EB334" s="4" t="n"/>
      <c r="EC334" s="4" t="n"/>
      <c r="ED334" s="4" t="n"/>
      <c r="EE334" s="4" t="n"/>
      <c r="EF334" s="4" t="n"/>
      <c r="EG334" s="4" t="n"/>
      <c r="EH334" s="4" t="n"/>
      <c r="EI334" s="4" t="n"/>
      <c r="EJ334" s="4" t="n"/>
      <c r="EK334" s="4" t="n"/>
      <c r="EL334" s="4" t="n"/>
      <c r="EM334" s="4" t="n"/>
      <c r="EN334" s="4" t="n"/>
    </row>
    <row r="335" hidden="1" customFormat="1" s="6">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c r="AD335" s="4" t="n"/>
      <c r="AE335" s="4" t="n"/>
      <c r="AF335" s="4" t="n"/>
      <c r="AG335" s="4" t="n"/>
      <c r="AH335" s="4" t="n"/>
      <c r="AI335" s="4" t="n"/>
      <c r="AJ335" s="4" t="n"/>
      <c r="AK335" s="4" t="n"/>
      <c r="AL335" s="4" t="n"/>
      <c r="AM335" s="4" t="n"/>
      <c r="AN335" s="4" t="n"/>
      <c r="AO335" s="4" t="n"/>
      <c r="AP335" s="4" t="n"/>
      <c r="AQ335" s="4" t="n"/>
      <c r="AR335" s="4" t="n"/>
      <c r="AS335" s="4" t="n"/>
      <c r="AT335" s="4" t="n"/>
      <c r="AU335" s="4" t="n"/>
      <c r="AV335" s="4" t="n"/>
      <c r="AW335" s="4" t="n"/>
      <c r="AX335" s="4" t="n"/>
      <c r="AY335" s="4" t="n"/>
      <c r="AZ335" s="4" t="n"/>
      <c r="BA335" s="4" t="n"/>
      <c r="BB335" s="4" t="n"/>
      <c r="BC335" s="4" t="n"/>
      <c r="BD335" s="4" t="n"/>
      <c r="BE335" s="4" t="n"/>
      <c r="BF335" s="4" t="n"/>
      <c r="BG335" s="4" t="n"/>
      <c r="BH335" s="4" t="n"/>
      <c r="BI335" s="4" t="n"/>
      <c r="BJ335" s="4" t="n"/>
      <c r="BK335" s="4" t="n"/>
      <c r="BL335" s="4" t="n"/>
      <c r="BM335" s="4" t="n"/>
      <c r="BN335" s="4" t="n"/>
      <c r="BO335" s="4" t="n"/>
      <c r="BP335" s="4" t="n"/>
      <c r="BQ335" s="4" t="n"/>
      <c r="BR335" s="4" t="n"/>
      <c r="BS335" s="4" t="n"/>
      <c r="BT335" s="4" t="n"/>
      <c r="BU335" s="4" t="n"/>
      <c r="BV335" s="4" t="n"/>
      <c r="BW335" s="4" t="n"/>
      <c r="BX335" s="4" t="n"/>
      <c r="BY335" s="4" t="n"/>
      <c r="BZ335" s="4" t="n"/>
      <c r="CA335" s="4" t="n"/>
      <c r="CB335" s="4" t="n"/>
      <c r="CC335" s="4" t="n"/>
      <c r="CD335" s="4" t="n"/>
      <c r="CE335" s="4" t="n"/>
      <c r="CF335" s="4" t="n"/>
      <c r="CG335" s="4" t="n"/>
      <c r="CH335" s="4" t="n"/>
      <c r="CI335" s="4" t="n"/>
      <c r="CJ335" s="4" t="n"/>
      <c r="CK335" s="4" t="n"/>
      <c r="CL335" s="4" t="n"/>
      <c r="CM335" s="4" t="n"/>
      <c r="CN335" s="4" t="n"/>
      <c r="CO335" s="4" t="n"/>
      <c r="CP335" s="4" t="n"/>
      <c r="CQ335" s="4" t="n"/>
      <c r="CR335" s="4" t="n"/>
      <c r="CS335" s="4" t="n"/>
      <c r="CT335" s="4" t="n"/>
      <c r="CU335" s="4" t="n"/>
      <c r="CV335" s="4" t="n"/>
      <c r="CW335" s="4" t="n"/>
      <c r="CX335" s="4" t="n"/>
      <c r="CY335" s="4" t="n"/>
      <c r="CZ335" s="4" t="n"/>
      <c r="DA335" s="4" t="n"/>
      <c r="DB335" s="4" t="n"/>
      <c r="DC335" s="4" t="n"/>
      <c r="DD335" s="4" t="n"/>
      <c r="DE335" s="4" t="n"/>
      <c r="DF335" s="4" t="n"/>
      <c r="DG335" s="4" t="n"/>
      <c r="DH335" s="4" t="n"/>
      <c r="DI335" s="4" t="n"/>
      <c r="DJ335" s="4" t="n"/>
      <c r="DK335" s="4" t="n"/>
      <c r="DL335" s="4" t="n"/>
      <c r="DM335" s="4" t="n"/>
      <c r="DN335" s="4" t="n"/>
      <c r="DO335" s="4" t="n"/>
      <c r="DP335" s="4" t="n"/>
      <c r="DQ335" s="4" t="n"/>
      <c r="DR335" s="4" t="n"/>
      <c r="DS335" s="4" t="n"/>
      <c r="DT335" s="4" t="n"/>
      <c r="DU335" s="4" t="n"/>
      <c r="DV335" s="4" t="n"/>
      <c r="DW335" s="4" t="n"/>
      <c r="DX335" s="4" t="n"/>
      <c r="DY335" s="4" t="n"/>
      <c r="DZ335" s="4" t="n"/>
      <c r="EA335" s="4" t="n"/>
      <c r="EB335" s="4" t="n"/>
      <c r="EC335" s="4" t="n"/>
      <c r="ED335" s="4" t="n"/>
      <c r="EE335" s="4" t="n"/>
      <c r="EF335" s="4" t="n"/>
      <c r="EG335" s="4" t="n"/>
      <c r="EH335" s="4" t="n"/>
      <c r="EI335" s="4" t="n"/>
      <c r="EJ335" s="4" t="n"/>
      <c r="EK335" s="4" t="n"/>
      <c r="EL335" s="4" t="n"/>
      <c r="EM335" s="4" t="n"/>
      <c r="EN335" s="4" t="n"/>
    </row>
    <row r="336" hidden="1" customFormat="1" s="6">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c r="AE336" s="4" t="n"/>
      <c r="AF336" s="4" t="n"/>
      <c r="AG336" s="4" t="n"/>
      <c r="AH336" s="4" t="n"/>
      <c r="AI336" s="4" t="n"/>
      <c r="AJ336" s="4" t="n"/>
      <c r="AK336" s="4" t="n"/>
      <c r="AL336" s="4" t="n"/>
      <c r="AM336" s="4" t="n"/>
      <c r="AN336" s="4" t="n"/>
      <c r="AO336" s="4" t="n"/>
      <c r="AP336" s="4" t="n"/>
      <c r="AQ336" s="4" t="n"/>
      <c r="AR336" s="4" t="n"/>
      <c r="AS336" s="4" t="n"/>
      <c r="AT336" s="4" t="n"/>
      <c r="AU336" s="4" t="n"/>
      <c r="AV336" s="4" t="n"/>
      <c r="AW336" s="4" t="n"/>
      <c r="AX336" s="4" t="n"/>
      <c r="AY336" s="4" t="n"/>
      <c r="AZ336" s="4" t="n"/>
      <c r="BA336" s="4" t="n"/>
      <c r="BB336" s="4" t="n"/>
      <c r="BC336" s="4" t="n"/>
      <c r="BD336" s="4" t="n"/>
      <c r="BE336" s="4" t="n"/>
      <c r="BF336" s="4" t="n"/>
      <c r="BG336" s="4" t="n"/>
      <c r="BH336" s="4" t="n"/>
      <c r="BI336" s="4" t="n"/>
      <c r="BJ336" s="4" t="n"/>
      <c r="BK336" s="4" t="n"/>
      <c r="BL336" s="4" t="n"/>
      <c r="BM336" s="4" t="n"/>
      <c r="BN336" s="4" t="n"/>
      <c r="BO336" s="4" t="n"/>
      <c r="BP336" s="4" t="n"/>
      <c r="BQ336" s="4" t="n"/>
      <c r="BR336" s="4" t="n"/>
      <c r="BS336" s="4" t="n"/>
      <c r="BT336" s="4" t="n"/>
      <c r="BU336" s="4" t="n"/>
      <c r="BV336" s="4" t="n"/>
      <c r="BW336" s="4" t="n"/>
      <c r="BX336" s="4" t="n"/>
      <c r="BY336" s="4" t="n"/>
      <c r="BZ336" s="4" t="n"/>
      <c r="CA336" s="4" t="n"/>
      <c r="CB336" s="4" t="n"/>
      <c r="CC336" s="4" t="n"/>
      <c r="CD336" s="4" t="n"/>
      <c r="CE336" s="4" t="n"/>
      <c r="CF336" s="4" t="n"/>
      <c r="CG336" s="4" t="n"/>
      <c r="CH336" s="4" t="n"/>
      <c r="CI336" s="4" t="n"/>
      <c r="CJ336" s="4" t="n"/>
      <c r="CK336" s="4" t="n"/>
      <c r="CL336" s="4" t="n"/>
      <c r="CM336" s="4" t="n"/>
      <c r="CN336" s="4" t="n"/>
      <c r="CO336" s="4" t="n"/>
      <c r="CP336" s="4" t="n"/>
      <c r="CQ336" s="4" t="n"/>
      <c r="CR336" s="4" t="n"/>
      <c r="CS336" s="4" t="n"/>
      <c r="CT336" s="4" t="n"/>
      <c r="CU336" s="4" t="n"/>
      <c r="CV336" s="4" t="n"/>
      <c r="CW336" s="4" t="n"/>
      <c r="CX336" s="4" t="n"/>
      <c r="CY336" s="4" t="n"/>
      <c r="CZ336" s="4" t="n"/>
      <c r="DA336" s="4" t="n"/>
      <c r="DB336" s="4" t="n"/>
      <c r="DC336" s="4" t="n"/>
      <c r="DD336" s="4" t="n"/>
      <c r="DE336" s="4" t="n"/>
      <c r="DF336" s="4" t="n"/>
      <c r="DG336" s="4" t="n"/>
      <c r="DH336" s="4" t="n"/>
      <c r="DI336" s="4" t="n"/>
      <c r="DJ336" s="4" t="n"/>
      <c r="DK336" s="4" t="n"/>
      <c r="DL336" s="4" t="n"/>
      <c r="DM336" s="4" t="n"/>
      <c r="DN336" s="4" t="n"/>
      <c r="DO336" s="4" t="n"/>
      <c r="DP336" s="4" t="n"/>
      <c r="DQ336" s="4" t="n"/>
      <c r="DR336" s="4" t="n"/>
      <c r="DS336" s="4" t="n"/>
      <c r="DT336" s="4" t="n"/>
      <c r="DU336" s="4" t="n"/>
      <c r="DV336" s="4" t="n"/>
      <c r="DW336" s="4" t="n"/>
      <c r="DX336" s="4" t="n"/>
      <c r="DY336" s="4" t="n"/>
      <c r="DZ336" s="4" t="n"/>
      <c r="EA336" s="4" t="n"/>
      <c r="EB336" s="4" t="n"/>
      <c r="EC336" s="4" t="n"/>
      <c r="ED336" s="4" t="n"/>
      <c r="EE336" s="4" t="n"/>
      <c r="EF336" s="4" t="n"/>
      <c r="EG336" s="4" t="n"/>
      <c r="EH336" s="4" t="n"/>
      <c r="EI336" s="4" t="n"/>
      <c r="EJ336" s="4" t="n"/>
      <c r="EK336" s="4" t="n"/>
      <c r="EL336" s="4" t="n"/>
      <c r="EM336" s="4" t="n"/>
      <c r="EN336" s="4" t="n"/>
    </row>
    <row r="337" hidden="1" customFormat="1" s="6">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c r="AC337" s="4" t="n"/>
      <c r="AD337" s="4" t="n"/>
      <c r="AE337" s="4" t="n"/>
      <c r="AF337" s="4" t="n"/>
      <c r="AG337" s="4" t="n"/>
      <c r="AH337" s="4" t="n"/>
      <c r="AI337" s="4" t="n"/>
      <c r="AJ337" s="4" t="n"/>
      <c r="AK337" s="4" t="n"/>
      <c r="AL337" s="4" t="n"/>
      <c r="AM337" s="4" t="n"/>
      <c r="AN337" s="4" t="n"/>
      <c r="AO337" s="4" t="n"/>
      <c r="AP337" s="4" t="n"/>
      <c r="AQ337" s="4" t="n"/>
      <c r="AR337" s="4" t="n"/>
      <c r="AS337" s="4" t="n"/>
      <c r="AT337" s="4" t="n"/>
      <c r="AU337" s="4" t="n"/>
      <c r="AV337" s="4" t="n"/>
      <c r="AW337" s="4" t="n"/>
      <c r="AX337" s="4" t="n"/>
      <c r="AY337" s="4" t="n"/>
      <c r="AZ337" s="4" t="n"/>
      <c r="BA337" s="4" t="n"/>
      <c r="BB337" s="4" t="n"/>
      <c r="BC337" s="4" t="n"/>
      <c r="BD337" s="4" t="n"/>
      <c r="BE337" s="4" t="n"/>
      <c r="BF337" s="4" t="n"/>
      <c r="BG337" s="4" t="n"/>
      <c r="BH337" s="4" t="n"/>
      <c r="BI337" s="4" t="n"/>
      <c r="BJ337" s="4" t="n"/>
      <c r="BK337" s="4" t="n"/>
      <c r="BL337" s="4" t="n"/>
      <c r="BM337" s="4" t="n"/>
      <c r="BN337" s="4" t="n"/>
      <c r="BO337" s="4" t="n"/>
      <c r="BP337" s="4" t="n"/>
      <c r="BQ337" s="4" t="n"/>
      <c r="BR337" s="4" t="n"/>
      <c r="BS337" s="4" t="n"/>
      <c r="BT337" s="4" t="n"/>
      <c r="BU337" s="4" t="n"/>
      <c r="BV337" s="4" t="n"/>
      <c r="BW337" s="4" t="n"/>
      <c r="BX337" s="4" t="n"/>
      <c r="BY337" s="4" t="n"/>
      <c r="BZ337" s="4" t="n"/>
      <c r="CA337" s="4" t="n"/>
      <c r="CB337" s="4" t="n"/>
      <c r="CC337" s="4" t="n"/>
      <c r="CD337" s="4" t="n"/>
      <c r="CE337" s="4" t="n"/>
      <c r="CF337" s="4" t="n"/>
      <c r="CG337" s="4" t="n"/>
      <c r="CH337" s="4" t="n"/>
      <c r="CI337" s="4" t="n"/>
      <c r="CJ337" s="4" t="n"/>
      <c r="CK337" s="4" t="n"/>
      <c r="CL337" s="4" t="n"/>
      <c r="CM337" s="4" t="n"/>
      <c r="CN337" s="4" t="n"/>
      <c r="CO337" s="4" t="n"/>
      <c r="CP337" s="4" t="n"/>
      <c r="CQ337" s="4" t="n"/>
      <c r="CR337" s="4" t="n"/>
      <c r="CS337" s="4" t="n"/>
      <c r="CT337" s="4" t="n"/>
      <c r="CU337" s="4" t="n"/>
      <c r="CV337" s="4" t="n"/>
      <c r="CW337" s="4" t="n"/>
      <c r="CX337" s="4" t="n"/>
      <c r="CY337" s="4" t="n"/>
      <c r="CZ337" s="4" t="n"/>
      <c r="DA337" s="4" t="n"/>
      <c r="DB337" s="4" t="n"/>
      <c r="DC337" s="4" t="n"/>
      <c r="DD337" s="4" t="n"/>
      <c r="DE337" s="4" t="n"/>
      <c r="DF337" s="4" t="n"/>
      <c r="DG337" s="4" t="n"/>
      <c r="DH337" s="4" t="n"/>
      <c r="DI337" s="4" t="n"/>
      <c r="DJ337" s="4" t="n"/>
      <c r="DK337" s="4" t="n"/>
      <c r="DL337" s="4" t="n"/>
      <c r="DM337" s="4" t="n"/>
      <c r="DN337" s="4" t="n"/>
      <c r="DO337" s="4" t="n"/>
      <c r="DP337" s="4" t="n"/>
      <c r="DQ337" s="4" t="n"/>
      <c r="DR337" s="4" t="n"/>
      <c r="DS337" s="4" t="n"/>
      <c r="DT337" s="4" t="n"/>
      <c r="DU337" s="4" t="n"/>
      <c r="DV337" s="4" t="n"/>
      <c r="DW337" s="4" t="n"/>
      <c r="DX337" s="4" t="n"/>
      <c r="DY337" s="4" t="n"/>
      <c r="DZ337" s="4" t="n"/>
      <c r="EA337" s="4" t="n"/>
      <c r="EB337" s="4" t="n"/>
      <c r="EC337" s="4" t="n"/>
      <c r="ED337" s="4" t="n"/>
      <c r="EE337" s="4" t="n"/>
      <c r="EF337" s="4" t="n"/>
      <c r="EG337" s="4" t="n"/>
      <c r="EH337" s="4" t="n"/>
      <c r="EI337" s="4" t="n"/>
      <c r="EJ337" s="4" t="n"/>
      <c r="EK337" s="4" t="n"/>
      <c r="EL337" s="4" t="n"/>
      <c r="EM337" s="4" t="n"/>
      <c r="EN337" s="4" t="n"/>
    </row>
    <row r="338" hidden="1" customFormat="1" s="6">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c r="AD338" s="4" t="n"/>
      <c r="AE338" s="4" t="n"/>
      <c r="AF338" s="4" t="n"/>
      <c r="AG338" s="4" t="n"/>
      <c r="AH338" s="4" t="n"/>
      <c r="AI338" s="4" t="n"/>
      <c r="AJ338" s="4" t="n"/>
      <c r="AK338" s="4" t="n"/>
      <c r="AL338" s="4" t="n"/>
      <c r="AM338" s="4" t="n"/>
      <c r="AN338" s="4" t="n"/>
      <c r="AO338" s="4" t="n"/>
      <c r="AP338" s="4" t="n"/>
      <c r="AQ338" s="4" t="n"/>
      <c r="AR338" s="4" t="n"/>
      <c r="AS338" s="4" t="n"/>
      <c r="AT338" s="4" t="n"/>
      <c r="AU338" s="4" t="n"/>
      <c r="AV338" s="4" t="n"/>
      <c r="AW338" s="4" t="n"/>
      <c r="AX338" s="4" t="n"/>
      <c r="AY338" s="4" t="n"/>
      <c r="AZ338" s="4" t="n"/>
      <c r="BA338" s="4" t="n"/>
      <c r="BB338" s="4" t="n"/>
      <c r="BC338" s="4" t="n"/>
      <c r="BD338" s="4" t="n"/>
      <c r="BE338" s="4" t="n"/>
      <c r="BF338" s="4" t="n"/>
      <c r="BG338" s="4" t="n"/>
      <c r="BH338" s="4" t="n"/>
      <c r="BI338" s="4" t="n"/>
      <c r="BJ338" s="4" t="n"/>
      <c r="BK338" s="4" t="n"/>
      <c r="BL338" s="4" t="n"/>
      <c r="BM338" s="4" t="n"/>
      <c r="BN338" s="4" t="n"/>
      <c r="BO338" s="4" t="n"/>
      <c r="BP338" s="4" t="n"/>
      <c r="BQ338" s="4" t="n"/>
      <c r="BR338" s="4" t="n"/>
      <c r="BS338" s="4" t="n"/>
      <c r="BT338" s="4" t="n"/>
      <c r="BU338" s="4" t="n"/>
      <c r="BV338" s="4" t="n"/>
      <c r="BW338" s="4" t="n"/>
      <c r="BX338" s="4" t="n"/>
      <c r="BY338" s="4" t="n"/>
      <c r="BZ338" s="4" t="n"/>
      <c r="CA338" s="4" t="n"/>
      <c r="CB338" s="4" t="n"/>
      <c r="CC338" s="4" t="n"/>
      <c r="CD338" s="4" t="n"/>
      <c r="CE338" s="4" t="n"/>
      <c r="CF338" s="4" t="n"/>
      <c r="CG338" s="4" t="n"/>
      <c r="CH338" s="4" t="n"/>
      <c r="CI338" s="4" t="n"/>
      <c r="CJ338" s="4" t="n"/>
      <c r="CK338" s="4" t="n"/>
      <c r="CL338" s="4" t="n"/>
      <c r="CM338" s="4" t="n"/>
      <c r="CN338" s="4" t="n"/>
      <c r="CO338" s="4" t="n"/>
      <c r="CP338" s="4" t="n"/>
      <c r="CQ338" s="4" t="n"/>
      <c r="CR338" s="4" t="n"/>
      <c r="CS338" s="4" t="n"/>
      <c r="CT338" s="4" t="n"/>
      <c r="CU338" s="4" t="n"/>
      <c r="CV338" s="4" t="n"/>
      <c r="CW338" s="4" t="n"/>
      <c r="CX338" s="4" t="n"/>
      <c r="CY338" s="4" t="n"/>
      <c r="CZ338" s="4" t="n"/>
      <c r="DA338" s="4" t="n"/>
      <c r="DB338" s="4" t="n"/>
      <c r="DC338" s="4" t="n"/>
      <c r="DD338" s="4" t="n"/>
      <c r="DE338" s="4" t="n"/>
      <c r="DF338" s="4" t="n"/>
      <c r="DG338" s="4" t="n"/>
      <c r="DH338" s="4" t="n"/>
      <c r="DI338" s="4" t="n"/>
      <c r="DJ338" s="4" t="n"/>
      <c r="DK338" s="4" t="n"/>
      <c r="DL338" s="4" t="n"/>
      <c r="DM338" s="4" t="n"/>
      <c r="DN338" s="4" t="n"/>
      <c r="DO338" s="4" t="n"/>
      <c r="DP338" s="4" t="n"/>
      <c r="DQ338" s="4" t="n"/>
      <c r="DR338" s="4" t="n"/>
      <c r="DS338" s="4" t="n"/>
      <c r="DT338" s="4" t="n"/>
      <c r="DU338" s="4" t="n"/>
      <c r="DV338" s="4" t="n"/>
      <c r="DW338" s="4" t="n"/>
      <c r="DX338" s="4" t="n"/>
      <c r="DY338" s="4" t="n"/>
      <c r="DZ338" s="4" t="n"/>
      <c r="EA338" s="4" t="n"/>
      <c r="EB338" s="4" t="n"/>
      <c r="EC338" s="4" t="n"/>
      <c r="ED338" s="4" t="n"/>
      <c r="EE338" s="4" t="n"/>
      <c r="EF338" s="4" t="n"/>
      <c r="EG338" s="4" t="n"/>
      <c r="EH338" s="4" t="n"/>
      <c r="EI338" s="4" t="n"/>
      <c r="EJ338" s="4" t="n"/>
      <c r="EK338" s="4" t="n"/>
      <c r="EL338" s="4" t="n"/>
      <c r="EM338" s="4" t="n"/>
      <c r="EN338" s="4" t="n"/>
    </row>
    <row r="339" hidden="1" customFormat="1" s="6">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c r="AC339" s="4" t="n"/>
      <c r="AD339" s="4" t="n"/>
      <c r="AE339" s="4" t="n"/>
      <c r="AF339" s="4" t="n"/>
      <c r="AG339" s="4" t="n"/>
      <c r="AH339" s="4" t="n"/>
      <c r="AI339" s="4" t="n"/>
      <c r="AJ339" s="4" t="n"/>
      <c r="AK339" s="4" t="n"/>
      <c r="AL339" s="4" t="n"/>
      <c r="AM339" s="4" t="n"/>
      <c r="AN339" s="4" t="n"/>
      <c r="AO339" s="4" t="n"/>
      <c r="AP339" s="4" t="n"/>
      <c r="AQ339" s="4" t="n"/>
      <c r="AR339" s="4" t="n"/>
      <c r="AS339" s="4" t="n"/>
      <c r="AT339" s="4" t="n"/>
      <c r="AU339" s="4" t="n"/>
      <c r="AV339" s="4" t="n"/>
      <c r="AW339" s="4" t="n"/>
      <c r="AX339" s="4" t="n"/>
      <c r="AY339" s="4" t="n"/>
      <c r="AZ339" s="4" t="n"/>
      <c r="BA339" s="4" t="n"/>
      <c r="BB339" s="4" t="n"/>
      <c r="BC339" s="4" t="n"/>
      <c r="BD339" s="4" t="n"/>
      <c r="BE339" s="4" t="n"/>
      <c r="BF339" s="4" t="n"/>
      <c r="BG339" s="4" t="n"/>
      <c r="BH339" s="4" t="n"/>
      <c r="BI339" s="4" t="n"/>
      <c r="BJ339" s="4" t="n"/>
      <c r="BK339" s="4" t="n"/>
      <c r="BL339" s="4" t="n"/>
      <c r="BM339" s="4" t="n"/>
      <c r="BN339" s="4" t="n"/>
      <c r="BO339" s="4" t="n"/>
      <c r="BP339" s="4" t="n"/>
      <c r="BQ339" s="4" t="n"/>
      <c r="BR339" s="4" t="n"/>
      <c r="BS339" s="4" t="n"/>
      <c r="BT339" s="4" t="n"/>
      <c r="BU339" s="4" t="n"/>
      <c r="BV339" s="4" t="n"/>
      <c r="BW339" s="4" t="n"/>
      <c r="BX339" s="4" t="n"/>
      <c r="BY339" s="4" t="n"/>
      <c r="BZ339" s="4" t="n"/>
      <c r="CA339" s="4" t="n"/>
      <c r="CB339" s="4" t="n"/>
      <c r="CC339" s="4" t="n"/>
      <c r="CD339" s="4" t="n"/>
      <c r="CE339" s="4" t="n"/>
      <c r="CF339" s="4" t="n"/>
      <c r="CG339" s="4" t="n"/>
      <c r="CH339" s="4" t="n"/>
      <c r="CI339" s="4" t="n"/>
      <c r="CJ339" s="4" t="n"/>
      <c r="CK339" s="4" t="n"/>
      <c r="CL339" s="4" t="n"/>
      <c r="CM339" s="4" t="n"/>
      <c r="CN339" s="4" t="n"/>
      <c r="CO339" s="4" t="n"/>
      <c r="CP339" s="4" t="n"/>
      <c r="CQ339" s="4" t="n"/>
      <c r="CR339" s="4" t="n"/>
      <c r="CS339" s="4" t="n"/>
      <c r="CT339" s="4" t="n"/>
      <c r="CU339" s="4" t="n"/>
      <c r="CV339" s="4" t="n"/>
      <c r="CW339" s="4" t="n"/>
      <c r="CX339" s="4" t="n"/>
      <c r="CY339" s="4" t="n"/>
      <c r="CZ339" s="4" t="n"/>
      <c r="DA339" s="4" t="n"/>
      <c r="DB339" s="4" t="n"/>
      <c r="DC339" s="4" t="n"/>
      <c r="DD339" s="4" t="n"/>
      <c r="DE339" s="4" t="n"/>
      <c r="DF339" s="4" t="n"/>
      <c r="DG339" s="4" t="n"/>
      <c r="DH339" s="4" t="n"/>
      <c r="DI339" s="4" t="n"/>
      <c r="DJ339" s="4" t="n"/>
      <c r="DK339" s="4" t="n"/>
      <c r="DL339" s="4" t="n"/>
      <c r="DM339" s="4" t="n"/>
      <c r="DN339" s="4" t="n"/>
      <c r="DO339" s="4" t="n"/>
      <c r="DP339" s="4" t="n"/>
      <c r="DQ339" s="4" t="n"/>
      <c r="DR339" s="4" t="n"/>
      <c r="DS339" s="4" t="n"/>
      <c r="DT339" s="4" t="n"/>
      <c r="DU339" s="4" t="n"/>
      <c r="DV339" s="4" t="n"/>
      <c r="DW339" s="4" t="n"/>
      <c r="DX339" s="4" t="n"/>
      <c r="DY339" s="4" t="n"/>
      <c r="DZ339" s="4" t="n"/>
      <c r="EA339" s="4" t="n"/>
      <c r="EB339" s="4" t="n"/>
      <c r="EC339" s="4" t="n"/>
      <c r="ED339" s="4" t="n"/>
      <c r="EE339" s="4" t="n"/>
      <c r="EF339" s="4" t="n"/>
      <c r="EG339" s="4" t="n"/>
      <c r="EH339" s="4" t="n"/>
      <c r="EI339" s="4" t="n"/>
      <c r="EJ339" s="4" t="n"/>
      <c r="EK339" s="4" t="n"/>
      <c r="EL339" s="4" t="n"/>
      <c r="EM339" s="4" t="n"/>
      <c r="EN339" s="4" t="n"/>
    </row>
    <row r="340" hidden="1" customFormat="1" s="6">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c r="AC340" s="4" t="n"/>
      <c r="AD340" s="4" t="n"/>
      <c r="AE340" s="4" t="n"/>
      <c r="AF340" s="4" t="n"/>
      <c r="AG340" s="4" t="n"/>
      <c r="AH340" s="4" t="n"/>
      <c r="AI340" s="4" t="n"/>
      <c r="AJ340" s="4" t="n"/>
      <c r="AK340" s="4" t="n"/>
      <c r="AL340" s="4" t="n"/>
      <c r="AM340" s="4" t="n"/>
      <c r="AN340" s="4" t="n"/>
      <c r="AO340" s="4" t="n"/>
      <c r="AP340" s="4" t="n"/>
      <c r="AQ340" s="4" t="n"/>
      <c r="AR340" s="4" t="n"/>
      <c r="AS340" s="4" t="n"/>
      <c r="AT340" s="4" t="n"/>
      <c r="AU340" s="4" t="n"/>
      <c r="AV340" s="4" t="n"/>
      <c r="AW340" s="4" t="n"/>
      <c r="AX340" s="4" t="n"/>
      <c r="AY340" s="4" t="n"/>
      <c r="AZ340" s="4" t="n"/>
      <c r="BA340" s="4" t="n"/>
      <c r="BB340" s="4" t="n"/>
      <c r="BC340" s="4" t="n"/>
      <c r="BD340" s="4" t="n"/>
      <c r="BE340" s="4" t="n"/>
      <c r="BF340" s="4" t="n"/>
      <c r="BG340" s="4" t="n"/>
      <c r="BH340" s="4" t="n"/>
      <c r="BI340" s="4" t="n"/>
      <c r="BJ340" s="4" t="n"/>
      <c r="BK340" s="4" t="n"/>
      <c r="BL340" s="4" t="n"/>
      <c r="BM340" s="4" t="n"/>
      <c r="BN340" s="4" t="n"/>
      <c r="BO340" s="4" t="n"/>
      <c r="BP340" s="4" t="n"/>
      <c r="BQ340" s="4" t="n"/>
      <c r="BR340" s="4" t="n"/>
      <c r="BS340" s="4" t="n"/>
      <c r="BT340" s="4" t="n"/>
      <c r="BU340" s="4" t="n"/>
      <c r="BV340" s="4" t="n"/>
      <c r="BW340" s="4" t="n"/>
      <c r="BX340" s="4" t="n"/>
      <c r="BY340" s="4" t="n"/>
      <c r="BZ340" s="4" t="n"/>
      <c r="CA340" s="4" t="n"/>
      <c r="CB340" s="4" t="n"/>
      <c r="CC340" s="4" t="n"/>
      <c r="CD340" s="4" t="n"/>
      <c r="CE340" s="4" t="n"/>
      <c r="CF340" s="4" t="n"/>
      <c r="CG340" s="4" t="n"/>
      <c r="CH340" s="4" t="n"/>
      <c r="CI340" s="4" t="n"/>
      <c r="CJ340" s="4" t="n"/>
      <c r="CK340" s="4" t="n"/>
      <c r="CL340" s="4" t="n"/>
      <c r="CM340" s="4" t="n"/>
      <c r="CN340" s="4" t="n"/>
      <c r="CO340" s="4" t="n"/>
      <c r="CP340" s="4" t="n"/>
      <c r="CQ340" s="4" t="n"/>
      <c r="CR340" s="4" t="n"/>
      <c r="CS340" s="4" t="n"/>
      <c r="CT340" s="4" t="n"/>
      <c r="CU340" s="4" t="n"/>
      <c r="CV340" s="4" t="n"/>
      <c r="CW340" s="4" t="n"/>
      <c r="CX340" s="4" t="n"/>
      <c r="CY340" s="4" t="n"/>
      <c r="CZ340" s="4" t="n"/>
      <c r="DA340" s="4" t="n"/>
      <c r="DB340" s="4" t="n"/>
      <c r="DC340" s="4" t="n"/>
      <c r="DD340" s="4" t="n"/>
      <c r="DE340" s="4" t="n"/>
      <c r="DF340" s="4" t="n"/>
      <c r="DG340" s="4" t="n"/>
      <c r="DH340" s="4" t="n"/>
      <c r="DI340" s="4" t="n"/>
      <c r="DJ340" s="4" t="n"/>
      <c r="DK340" s="4" t="n"/>
      <c r="DL340" s="4" t="n"/>
      <c r="DM340" s="4" t="n"/>
      <c r="DN340" s="4" t="n"/>
      <c r="DO340" s="4" t="n"/>
      <c r="DP340" s="4" t="n"/>
      <c r="DQ340" s="4" t="n"/>
      <c r="DR340" s="4" t="n"/>
      <c r="DS340" s="4" t="n"/>
      <c r="DT340" s="4" t="n"/>
      <c r="DU340" s="4" t="n"/>
      <c r="DV340" s="4" t="n"/>
      <c r="DW340" s="4" t="n"/>
      <c r="DX340" s="4" t="n"/>
      <c r="DY340" s="4" t="n"/>
      <c r="DZ340" s="4" t="n"/>
      <c r="EA340" s="4" t="n"/>
      <c r="EB340" s="4" t="n"/>
      <c r="EC340" s="4" t="n"/>
      <c r="ED340" s="4" t="n"/>
      <c r="EE340" s="4" t="n"/>
      <c r="EF340" s="4" t="n"/>
      <c r="EG340" s="4" t="n"/>
      <c r="EH340" s="4" t="n"/>
      <c r="EI340" s="4" t="n"/>
      <c r="EJ340" s="4" t="n"/>
      <c r="EK340" s="4" t="n"/>
      <c r="EL340" s="4" t="n"/>
      <c r="EM340" s="4" t="n"/>
      <c r="EN340" s="4" t="n"/>
    </row>
    <row r="341" hidden="1" customFormat="1" s="6">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c r="AD341" s="4" t="n"/>
      <c r="AE341" s="4" t="n"/>
      <c r="AF341" s="4" t="n"/>
      <c r="AG341" s="4" t="n"/>
      <c r="AH341" s="4" t="n"/>
      <c r="AI341" s="4" t="n"/>
      <c r="AJ341" s="4" t="n"/>
      <c r="AK341" s="4" t="n"/>
      <c r="AL341" s="4" t="n"/>
      <c r="AM341" s="4" t="n"/>
      <c r="AN341" s="4" t="n"/>
      <c r="AO341" s="4" t="n"/>
      <c r="AP341" s="4" t="n"/>
      <c r="AQ341" s="4" t="n"/>
      <c r="AR341" s="4" t="n"/>
      <c r="AS341" s="4" t="n"/>
      <c r="AT341" s="4" t="n"/>
      <c r="AU341" s="4" t="n"/>
      <c r="AV341" s="4" t="n"/>
      <c r="AW341" s="4" t="n"/>
      <c r="AX341" s="4" t="n"/>
      <c r="AY341" s="4" t="n"/>
      <c r="AZ341" s="4" t="n"/>
      <c r="BA341" s="4" t="n"/>
      <c r="BB341" s="4" t="n"/>
      <c r="BC341" s="4" t="n"/>
      <c r="BD341" s="4" t="n"/>
      <c r="BE341" s="4" t="n"/>
      <c r="BF341" s="4" t="n"/>
      <c r="BG341" s="4" t="n"/>
      <c r="BH341" s="4" t="n"/>
      <c r="BI341" s="4" t="n"/>
      <c r="BJ341" s="4" t="n"/>
      <c r="BK341" s="4" t="n"/>
      <c r="BL341" s="4" t="n"/>
      <c r="BM341" s="4" t="n"/>
      <c r="BN341" s="4" t="n"/>
      <c r="BO341" s="4" t="n"/>
      <c r="BP341" s="4" t="n"/>
      <c r="BQ341" s="4" t="n"/>
      <c r="BR341" s="4" t="n"/>
      <c r="BS341" s="4" t="n"/>
      <c r="BT341" s="4" t="n"/>
      <c r="BU341" s="4" t="n"/>
      <c r="BV341" s="4" t="n"/>
      <c r="BW341" s="4" t="n"/>
      <c r="BX341" s="4" t="n"/>
      <c r="BY341" s="4" t="n"/>
      <c r="BZ341" s="4" t="n"/>
      <c r="CA341" s="4" t="n"/>
      <c r="CB341" s="4" t="n"/>
      <c r="CC341" s="4" t="n"/>
      <c r="CD341" s="4" t="n"/>
      <c r="CE341" s="4" t="n"/>
      <c r="CF341" s="4" t="n"/>
      <c r="CG341" s="4" t="n"/>
      <c r="CH341" s="4" t="n"/>
      <c r="CI341" s="4" t="n"/>
      <c r="CJ341" s="4" t="n"/>
      <c r="CK341" s="4" t="n"/>
      <c r="CL341" s="4" t="n"/>
      <c r="CM341" s="4" t="n"/>
      <c r="CN341" s="4" t="n"/>
      <c r="CO341" s="4" t="n"/>
      <c r="CP341" s="4" t="n"/>
      <c r="CQ341" s="4" t="n"/>
      <c r="CR341" s="4" t="n"/>
      <c r="CS341" s="4" t="n"/>
      <c r="CT341" s="4" t="n"/>
      <c r="CU341" s="4" t="n"/>
      <c r="CV341" s="4" t="n"/>
      <c r="CW341" s="4" t="n"/>
      <c r="CX341" s="4" t="n"/>
      <c r="CY341" s="4" t="n"/>
      <c r="CZ341" s="4" t="n"/>
      <c r="DA341" s="4" t="n"/>
      <c r="DB341" s="4" t="n"/>
      <c r="DC341" s="4" t="n"/>
      <c r="DD341" s="4" t="n"/>
      <c r="DE341" s="4" t="n"/>
      <c r="DF341" s="4" t="n"/>
      <c r="DG341" s="4" t="n"/>
      <c r="DH341" s="4" t="n"/>
      <c r="DI341" s="4" t="n"/>
      <c r="DJ341" s="4" t="n"/>
      <c r="DK341" s="4" t="n"/>
      <c r="DL341" s="4" t="n"/>
      <c r="DM341" s="4" t="n"/>
      <c r="DN341" s="4" t="n"/>
      <c r="DO341" s="4" t="n"/>
      <c r="DP341" s="4" t="n"/>
      <c r="DQ341" s="4" t="n"/>
      <c r="DR341" s="4" t="n"/>
      <c r="DS341" s="4" t="n"/>
      <c r="DT341" s="4" t="n"/>
      <c r="DU341" s="4" t="n"/>
      <c r="DV341" s="4" t="n"/>
      <c r="DW341" s="4" t="n"/>
      <c r="DX341" s="4" t="n"/>
      <c r="DY341" s="4" t="n"/>
      <c r="DZ341" s="4" t="n"/>
      <c r="EA341" s="4" t="n"/>
      <c r="EB341" s="4" t="n"/>
      <c r="EC341" s="4" t="n"/>
      <c r="ED341" s="4" t="n"/>
      <c r="EE341" s="4" t="n"/>
      <c r="EF341" s="4" t="n"/>
      <c r="EG341" s="4" t="n"/>
      <c r="EH341" s="4" t="n"/>
      <c r="EI341" s="4" t="n"/>
      <c r="EJ341" s="4" t="n"/>
      <c r="EK341" s="4" t="n"/>
      <c r="EL341" s="4" t="n"/>
      <c r="EM341" s="4" t="n"/>
      <c r="EN341" s="4" t="n"/>
    </row>
    <row r="342" hidden="1" customFormat="1" s="6">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c r="AD342" s="4" t="n"/>
      <c r="AE342" s="4" t="n"/>
      <c r="AF342" s="4" t="n"/>
      <c r="AG342" s="4" t="n"/>
      <c r="AH342" s="4" t="n"/>
      <c r="AI342" s="4" t="n"/>
      <c r="AJ342" s="4" t="n"/>
      <c r="AK342" s="4" t="n"/>
      <c r="AL342" s="4" t="n"/>
      <c r="AM342" s="4" t="n"/>
      <c r="AN342" s="4" t="n"/>
      <c r="AO342" s="4" t="n"/>
      <c r="AP342" s="4" t="n"/>
      <c r="AQ342" s="4" t="n"/>
      <c r="AR342" s="4" t="n"/>
      <c r="AS342" s="4" t="n"/>
      <c r="AT342" s="4" t="n"/>
      <c r="AU342" s="4" t="n"/>
      <c r="AV342" s="4" t="n"/>
      <c r="AW342" s="4" t="n"/>
      <c r="AX342" s="4" t="n"/>
      <c r="AY342" s="4" t="n"/>
      <c r="AZ342" s="4" t="n"/>
      <c r="BA342" s="4" t="n"/>
      <c r="BB342" s="4" t="n"/>
      <c r="BC342" s="4" t="n"/>
      <c r="BD342" s="4" t="n"/>
      <c r="BE342" s="4" t="n"/>
      <c r="BF342" s="4" t="n"/>
      <c r="BG342" s="4" t="n"/>
      <c r="BH342" s="4" t="n"/>
      <c r="BI342" s="4" t="n"/>
      <c r="BJ342" s="4" t="n"/>
      <c r="BK342" s="4" t="n"/>
      <c r="BL342" s="4" t="n"/>
      <c r="BM342" s="4" t="n"/>
      <c r="BN342" s="4" t="n"/>
      <c r="BO342" s="4" t="n"/>
      <c r="BP342" s="4" t="n"/>
      <c r="BQ342" s="4" t="n"/>
      <c r="BR342" s="4" t="n"/>
      <c r="BS342" s="4" t="n"/>
      <c r="BT342" s="4" t="n"/>
      <c r="BU342" s="4" t="n"/>
      <c r="BV342" s="4" t="n"/>
      <c r="BW342" s="4" t="n"/>
      <c r="BX342" s="4" t="n"/>
      <c r="BY342" s="4" t="n"/>
      <c r="BZ342" s="4" t="n"/>
      <c r="CA342" s="4" t="n"/>
      <c r="CB342" s="4" t="n"/>
      <c r="CC342" s="4" t="n"/>
      <c r="CD342" s="4" t="n"/>
      <c r="CE342" s="4" t="n"/>
      <c r="CF342" s="4" t="n"/>
      <c r="CG342" s="4" t="n"/>
      <c r="CH342" s="4" t="n"/>
      <c r="CI342" s="4" t="n"/>
      <c r="CJ342" s="4" t="n"/>
      <c r="CK342" s="4" t="n"/>
      <c r="CL342" s="4" t="n"/>
      <c r="CM342" s="4" t="n"/>
      <c r="CN342" s="4" t="n"/>
      <c r="CO342" s="4" t="n"/>
      <c r="CP342" s="4" t="n"/>
      <c r="CQ342" s="4" t="n"/>
      <c r="CR342" s="4" t="n"/>
      <c r="CS342" s="4" t="n"/>
      <c r="CT342" s="4" t="n"/>
      <c r="CU342" s="4" t="n"/>
      <c r="CV342" s="4" t="n"/>
      <c r="CW342" s="4" t="n"/>
      <c r="CX342" s="4" t="n"/>
      <c r="CY342" s="4" t="n"/>
      <c r="CZ342" s="4" t="n"/>
      <c r="DA342" s="4" t="n"/>
      <c r="DB342" s="4" t="n"/>
      <c r="DC342" s="4" t="n"/>
      <c r="DD342" s="4" t="n"/>
      <c r="DE342" s="4" t="n"/>
      <c r="DF342" s="4" t="n"/>
      <c r="DG342" s="4" t="n"/>
      <c r="DH342" s="4" t="n"/>
      <c r="DI342" s="4" t="n"/>
      <c r="DJ342" s="4" t="n"/>
      <c r="DK342" s="4" t="n"/>
      <c r="DL342" s="4" t="n"/>
      <c r="DM342" s="4" t="n"/>
      <c r="DN342" s="4" t="n"/>
      <c r="DO342" s="4" t="n"/>
      <c r="DP342" s="4" t="n"/>
      <c r="DQ342" s="4" t="n"/>
      <c r="DR342" s="4" t="n"/>
      <c r="DS342" s="4" t="n"/>
      <c r="DT342" s="4" t="n"/>
      <c r="DU342" s="4" t="n"/>
      <c r="DV342" s="4" t="n"/>
      <c r="DW342" s="4" t="n"/>
      <c r="DX342" s="4" t="n"/>
      <c r="DY342" s="4" t="n"/>
      <c r="DZ342" s="4" t="n"/>
      <c r="EA342" s="4" t="n"/>
      <c r="EB342" s="4" t="n"/>
      <c r="EC342" s="4" t="n"/>
      <c r="ED342" s="4" t="n"/>
      <c r="EE342" s="4" t="n"/>
      <c r="EF342" s="4" t="n"/>
      <c r="EG342" s="4" t="n"/>
      <c r="EH342" s="4" t="n"/>
      <c r="EI342" s="4" t="n"/>
      <c r="EJ342" s="4" t="n"/>
      <c r="EK342" s="4" t="n"/>
      <c r="EL342" s="4" t="n"/>
      <c r="EM342" s="4" t="n"/>
      <c r="EN342" s="4" t="n"/>
    </row>
    <row r="343" hidden="1" customFormat="1" s="6">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c r="AD343" s="4" t="n"/>
      <c r="AE343" s="4" t="n"/>
      <c r="AF343" s="4" t="n"/>
      <c r="AG343" s="4" t="n"/>
      <c r="AH343" s="4" t="n"/>
      <c r="AI343" s="4" t="n"/>
      <c r="AJ343" s="4" t="n"/>
      <c r="AK343" s="4" t="n"/>
      <c r="AL343" s="4" t="n"/>
      <c r="AM343" s="4" t="n"/>
      <c r="AN343" s="4" t="n"/>
      <c r="AO343" s="4" t="n"/>
      <c r="AP343" s="4" t="n"/>
      <c r="AQ343" s="4" t="n"/>
      <c r="AR343" s="4" t="n"/>
      <c r="AS343" s="4" t="n"/>
      <c r="AT343" s="4" t="n"/>
      <c r="AU343" s="4" t="n"/>
      <c r="AV343" s="4" t="n"/>
      <c r="AW343" s="4" t="n"/>
      <c r="AX343" s="4" t="n"/>
      <c r="AY343" s="4" t="n"/>
      <c r="AZ343" s="4" t="n"/>
      <c r="BA343" s="4" t="n"/>
      <c r="BB343" s="4" t="n"/>
      <c r="BC343" s="4" t="n"/>
      <c r="BD343" s="4" t="n"/>
      <c r="BE343" s="4" t="n"/>
      <c r="BF343" s="4" t="n"/>
      <c r="BG343" s="4" t="n"/>
      <c r="BH343" s="4" t="n"/>
      <c r="BI343" s="4" t="n"/>
      <c r="BJ343" s="4" t="n"/>
      <c r="BK343" s="4" t="n"/>
      <c r="BL343" s="4" t="n"/>
      <c r="BM343" s="4" t="n"/>
      <c r="BN343" s="4" t="n"/>
      <c r="BO343" s="4" t="n"/>
      <c r="BP343" s="4" t="n"/>
      <c r="BQ343" s="4" t="n"/>
      <c r="BR343" s="4" t="n"/>
      <c r="BS343" s="4" t="n"/>
      <c r="BT343" s="4" t="n"/>
      <c r="BU343" s="4" t="n"/>
      <c r="BV343" s="4" t="n"/>
      <c r="BW343" s="4" t="n"/>
      <c r="BX343" s="4" t="n"/>
      <c r="BY343" s="4" t="n"/>
      <c r="BZ343" s="4" t="n"/>
      <c r="CA343" s="4" t="n"/>
      <c r="CB343" s="4" t="n"/>
      <c r="CC343" s="4" t="n"/>
      <c r="CD343" s="4" t="n"/>
      <c r="CE343" s="4" t="n"/>
      <c r="CF343" s="4" t="n"/>
      <c r="CG343" s="4" t="n"/>
      <c r="CH343" s="4" t="n"/>
      <c r="CI343" s="4" t="n"/>
      <c r="CJ343" s="4" t="n"/>
      <c r="CK343" s="4" t="n"/>
      <c r="CL343" s="4" t="n"/>
      <c r="CM343" s="4" t="n"/>
      <c r="CN343" s="4" t="n"/>
      <c r="CO343" s="4" t="n"/>
      <c r="CP343" s="4" t="n"/>
      <c r="CQ343" s="4" t="n"/>
      <c r="CR343" s="4" t="n"/>
      <c r="CS343" s="4" t="n"/>
      <c r="CT343" s="4" t="n"/>
      <c r="CU343" s="4" t="n"/>
      <c r="CV343" s="4" t="n"/>
      <c r="CW343" s="4" t="n"/>
      <c r="CX343" s="4" t="n"/>
      <c r="CY343" s="4" t="n"/>
      <c r="CZ343" s="4" t="n"/>
      <c r="DA343" s="4" t="n"/>
      <c r="DB343" s="4" t="n"/>
      <c r="DC343" s="4" t="n"/>
      <c r="DD343" s="4" t="n"/>
      <c r="DE343" s="4" t="n"/>
      <c r="DF343" s="4" t="n"/>
      <c r="DG343" s="4" t="n"/>
      <c r="DH343" s="4" t="n"/>
      <c r="DI343" s="4" t="n"/>
      <c r="DJ343" s="4" t="n"/>
      <c r="DK343" s="4" t="n"/>
      <c r="DL343" s="4" t="n"/>
      <c r="DM343" s="4" t="n"/>
      <c r="DN343" s="4" t="n"/>
      <c r="DO343" s="4" t="n"/>
      <c r="DP343" s="4" t="n"/>
      <c r="DQ343" s="4" t="n"/>
      <c r="DR343" s="4" t="n"/>
      <c r="DS343" s="4" t="n"/>
      <c r="DT343" s="4" t="n"/>
      <c r="DU343" s="4" t="n"/>
      <c r="DV343" s="4" t="n"/>
      <c r="DW343" s="4" t="n"/>
      <c r="DX343" s="4" t="n"/>
      <c r="DY343" s="4" t="n"/>
      <c r="DZ343" s="4" t="n"/>
      <c r="EA343" s="4" t="n"/>
      <c r="EB343" s="4" t="n"/>
      <c r="EC343" s="4" t="n"/>
      <c r="ED343" s="4" t="n"/>
      <c r="EE343" s="4" t="n"/>
      <c r="EF343" s="4" t="n"/>
      <c r="EG343" s="4" t="n"/>
      <c r="EH343" s="4" t="n"/>
      <c r="EI343" s="4" t="n"/>
      <c r="EJ343" s="4" t="n"/>
      <c r="EK343" s="4" t="n"/>
      <c r="EL343" s="4" t="n"/>
      <c r="EM343" s="4" t="n"/>
      <c r="EN343" s="4" t="n"/>
    </row>
    <row r="344" hidden="1" customFormat="1" s="6">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c r="AD344" s="4" t="n"/>
      <c r="AE344" s="4" t="n"/>
      <c r="AF344" s="4" t="n"/>
      <c r="AG344" s="4" t="n"/>
      <c r="AH344" s="4" t="n"/>
      <c r="AI344" s="4" t="n"/>
      <c r="AJ344" s="4" t="n"/>
      <c r="AK344" s="4" t="n"/>
      <c r="AL344" s="4" t="n"/>
      <c r="AM344" s="4" t="n"/>
      <c r="AN344" s="4" t="n"/>
      <c r="AO344" s="4" t="n"/>
      <c r="AP344" s="4" t="n"/>
      <c r="AQ344" s="4" t="n"/>
      <c r="AR344" s="4" t="n"/>
      <c r="AS344" s="4" t="n"/>
      <c r="AT344" s="4" t="n"/>
      <c r="AU344" s="4" t="n"/>
      <c r="AV344" s="4" t="n"/>
      <c r="AW344" s="4" t="n"/>
      <c r="AX344" s="4" t="n"/>
      <c r="AY344" s="4" t="n"/>
      <c r="AZ344" s="4" t="n"/>
      <c r="BA344" s="4" t="n"/>
      <c r="BB344" s="4" t="n"/>
      <c r="BC344" s="4" t="n"/>
      <c r="BD344" s="4" t="n"/>
      <c r="BE344" s="4" t="n"/>
      <c r="BF344" s="4" t="n"/>
      <c r="BG344" s="4" t="n"/>
      <c r="BH344" s="4" t="n"/>
      <c r="BI344" s="4" t="n"/>
      <c r="BJ344" s="4" t="n"/>
      <c r="BK344" s="4" t="n"/>
      <c r="BL344" s="4" t="n"/>
      <c r="BM344" s="4" t="n"/>
      <c r="BN344" s="4" t="n"/>
      <c r="BO344" s="4" t="n"/>
      <c r="BP344" s="4" t="n"/>
      <c r="BQ344" s="4" t="n"/>
      <c r="BR344" s="4" t="n"/>
      <c r="BS344" s="4" t="n"/>
      <c r="BT344" s="4" t="n"/>
      <c r="BU344" s="4" t="n"/>
      <c r="BV344" s="4" t="n"/>
      <c r="BW344" s="4" t="n"/>
      <c r="BX344" s="4" t="n"/>
      <c r="BY344" s="4" t="n"/>
      <c r="BZ344" s="4" t="n"/>
      <c r="CA344" s="4" t="n"/>
      <c r="CB344" s="4" t="n"/>
      <c r="CC344" s="4" t="n"/>
      <c r="CD344" s="4" t="n"/>
      <c r="CE344" s="4" t="n"/>
      <c r="CF344" s="4" t="n"/>
      <c r="CG344" s="4" t="n"/>
      <c r="CH344" s="4" t="n"/>
      <c r="CI344" s="4" t="n"/>
      <c r="CJ344" s="4" t="n"/>
      <c r="CK344" s="4" t="n"/>
      <c r="CL344" s="4" t="n"/>
      <c r="CM344" s="4" t="n"/>
      <c r="CN344" s="4" t="n"/>
      <c r="CO344" s="4" t="n"/>
      <c r="CP344" s="4" t="n"/>
      <c r="CQ344" s="4" t="n"/>
      <c r="CR344" s="4" t="n"/>
      <c r="CS344" s="4" t="n"/>
      <c r="CT344" s="4" t="n"/>
      <c r="CU344" s="4" t="n"/>
      <c r="CV344" s="4" t="n"/>
      <c r="CW344" s="4" t="n"/>
      <c r="CX344" s="4" t="n"/>
      <c r="CY344" s="4" t="n"/>
      <c r="CZ344" s="4" t="n"/>
      <c r="DA344" s="4" t="n"/>
      <c r="DB344" s="4" t="n"/>
      <c r="DC344" s="4" t="n"/>
      <c r="DD344" s="4" t="n"/>
      <c r="DE344" s="4" t="n"/>
      <c r="DF344" s="4" t="n"/>
      <c r="DG344" s="4" t="n"/>
      <c r="DH344" s="4" t="n"/>
      <c r="DI344" s="4" t="n"/>
      <c r="DJ344" s="4" t="n"/>
      <c r="DK344" s="4" t="n"/>
      <c r="DL344" s="4" t="n"/>
      <c r="DM344" s="4" t="n"/>
      <c r="DN344" s="4" t="n"/>
      <c r="DO344" s="4" t="n"/>
      <c r="DP344" s="4" t="n"/>
      <c r="DQ344" s="4" t="n"/>
      <c r="DR344" s="4" t="n"/>
      <c r="DS344" s="4" t="n"/>
      <c r="DT344" s="4" t="n"/>
      <c r="DU344" s="4" t="n"/>
      <c r="DV344" s="4" t="n"/>
      <c r="DW344" s="4" t="n"/>
      <c r="DX344" s="4" t="n"/>
      <c r="DY344" s="4" t="n"/>
      <c r="DZ344" s="4" t="n"/>
      <c r="EA344" s="4" t="n"/>
      <c r="EB344" s="4" t="n"/>
      <c r="EC344" s="4" t="n"/>
      <c r="ED344" s="4" t="n"/>
      <c r="EE344" s="4" t="n"/>
      <c r="EF344" s="4" t="n"/>
      <c r="EG344" s="4" t="n"/>
      <c r="EH344" s="4" t="n"/>
      <c r="EI344" s="4" t="n"/>
      <c r="EJ344" s="4" t="n"/>
      <c r="EK344" s="4" t="n"/>
      <c r="EL344" s="4" t="n"/>
      <c r="EM344" s="4" t="n"/>
      <c r="EN344" s="4" t="n"/>
    </row>
    <row r="345" hidden="1" customFormat="1" s="6">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c r="AE345" s="4" t="n"/>
      <c r="AF345" s="4" t="n"/>
      <c r="AG345" s="4" t="n"/>
      <c r="AH345" s="4" t="n"/>
      <c r="AI345" s="4" t="n"/>
      <c r="AJ345" s="4" t="n"/>
      <c r="AK345" s="4" t="n"/>
      <c r="AL345" s="4" t="n"/>
      <c r="AM345" s="4" t="n"/>
      <c r="AN345" s="4" t="n"/>
      <c r="AO345" s="4" t="n"/>
      <c r="AP345" s="4" t="n"/>
      <c r="AQ345" s="4" t="n"/>
      <c r="AR345" s="4" t="n"/>
      <c r="AS345" s="4" t="n"/>
      <c r="AT345" s="4" t="n"/>
      <c r="AU345" s="4" t="n"/>
      <c r="AV345" s="4" t="n"/>
      <c r="AW345" s="4" t="n"/>
      <c r="AX345" s="4" t="n"/>
      <c r="AY345" s="4" t="n"/>
      <c r="AZ345" s="4" t="n"/>
      <c r="BA345" s="4" t="n"/>
      <c r="BB345" s="4" t="n"/>
      <c r="BC345" s="4" t="n"/>
      <c r="BD345" s="4" t="n"/>
      <c r="BE345" s="4" t="n"/>
      <c r="BF345" s="4" t="n"/>
      <c r="BG345" s="4" t="n"/>
      <c r="BH345" s="4" t="n"/>
      <c r="BI345" s="4" t="n"/>
      <c r="BJ345" s="4" t="n"/>
      <c r="BK345" s="4" t="n"/>
      <c r="BL345" s="4" t="n"/>
      <c r="BM345" s="4" t="n"/>
      <c r="BN345" s="4" t="n"/>
      <c r="BO345" s="4" t="n"/>
      <c r="BP345" s="4" t="n"/>
      <c r="BQ345" s="4" t="n"/>
      <c r="BR345" s="4" t="n"/>
      <c r="BS345" s="4" t="n"/>
      <c r="BT345" s="4" t="n"/>
      <c r="BU345" s="4" t="n"/>
      <c r="BV345" s="4" t="n"/>
      <c r="BW345" s="4" t="n"/>
      <c r="BX345" s="4" t="n"/>
      <c r="BY345" s="4" t="n"/>
      <c r="BZ345" s="4" t="n"/>
      <c r="CA345" s="4" t="n"/>
      <c r="CB345" s="4" t="n"/>
      <c r="CC345" s="4" t="n"/>
      <c r="CD345" s="4" t="n"/>
      <c r="CE345" s="4" t="n"/>
      <c r="CF345" s="4" t="n"/>
      <c r="CG345" s="4" t="n"/>
      <c r="CH345" s="4" t="n"/>
      <c r="CI345" s="4" t="n"/>
      <c r="CJ345" s="4" t="n"/>
      <c r="CK345" s="4" t="n"/>
      <c r="CL345" s="4" t="n"/>
      <c r="CM345" s="4" t="n"/>
      <c r="CN345" s="4" t="n"/>
      <c r="CO345" s="4" t="n"/>
      <c r="CP345" s="4" t="n"/>
      <c r="CQ345" s="4" t="n"/>
      <c r="CR345" s="4" t="n"/>
      <c r="CS345" s="4" t="n"/>
      <c r="CT345" s="4" t="n"/>
      <c r="CU345" s="4" t="n"/>
      <c r="CV345" s="4" t="n"/>
      <c r="CW345" s="4" t="n"/>
      <c r="CX345" s="4" t="n"/>
      <c r="CY345" s="4" t="n"/>
      <c r="CZ345" s="4" t="n"/>
      <c r="DA345" s="4" t="n"/>
      <c r="DB345" s="4" t="n"/>
      <c r="DC345" s="4" t="n"/>
      <c r="DD345" s="4" t="n"/>
      <c r="DE345" s="4" t="n"/>
      <c r="DF345" s="4" t="n"/>
      <c r="DG345" s="4" t="n"/>
      <c r="DH345" s="4" t="n"/>
      <c r="DI345" s="4" t="n"/>
      <c r="DJ345" s="4" t="n"/>
      <c r="DK345" s="4" t="n"/>
      <c r="DL345" s="4" t="n"/>
      <c r="DM345" s="4" t="n"/>
      <c r="DN345" s="4" t="n"/>
      <c r="DO345" s="4" t="n"/>
      <c r="DP345" s="4" t="n"/>
      <c r="DQ345" s="4" t="n"/>
      <c r="DR345" s="4" t="n"/>
      <c r="DS345" s="4" t="n"/>
      <c r="DT345" s="4" t="n"/>
      <c r="DU345" s="4" t="n"/>
      <c r="DV345" s="4" t="n"/>
      <c r="DW345" s="4" t="n"/>
      <c r="DX345" s="4" t="n"/>
      <c r="DY345" s="4" t="n"/>
      <c r="DZ345" s="4" t="n"/>
      <c r="EA345" s="4" t="n"/>
      <c r="EB345" s="4" t="n"/>
      <c r="EC345" s="4" t="n"/>
      <c r="ED345" s="4" t="n"/>
      <c r="EE345" s="4" t="n"/>
      <c r="EF345" s="4" t="n"/>
      <c r="EG345" s="4" t="n"/>
      <c r="EH345" s="4" t="n"/>
      <c r="EI345" s="4" t="n"/>
      <c r="EJ345" s="4" t="n"/>
      <c r="EK345" s="4" t="n"/>
      <c r="EL345" s="4" t="n"/>
      <c r="EM345" s="4" t="n"/>
      <c r="EN345" s="4" t="n"/>
    </row>
    <row r="346" hidden="1" customFormat="1" s="6">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c r="AE346" s="4" t="n"/>
      <c r="AF346" s="4" t="n"/>
      <c r="AG346" s="4" t="n"/>
      <c r="AH346" s="4" t="n"/>
      <c r="AI346" s="4" t="n"/>
      <c r="AJ346" s="4" t="n"/>
      <c r="AK346" s="4" t="n"/>
      <c r="AL346" s="4" t="n"/>
      <c r="AM346" s="4" t="n"/>
      <c r="AN346" s="4" t="n"/>
      <c r="AO346" s="4" t="n"/>
      <c r="AP346" s="4" t="n"/>
      <c r="AQ346" s="4" t="n"/>
      <c r="AR346" s="4" t="n"/>
      <c r="AS346" s="4" t="n"/>
      <c r="AT346" s="4" t="n"/>
      <c r="AU346" s="4" t="n"/>
      <c r="AV346" s="4" t="n"/>
      <c r="AW346" s="4" t="n"/>
      <c r="AX346" s="4" t="n"/>
      <c r="AY346" s="4" t="n"/>
      <c r="AZ346" s="4" t="n"/>
      <c r="BA346" s="4" t="n"/>
      <c r="BB346" s="4" t="n"/>
      <c r="BC346" s="4" t="n"/>
      <c r="BD346" s="4" t="n"/>
      <c r="BE346" s="4" t="n"/>
      <c r="BF346" s="4" t="n"/>
      <c r="BG346" s="4" t="n"/>
      <c r="BH346" s="4" t="n"/>
      <c r="BI346" s="4" t="n"/>
      <c r="BJ346" s="4" t="n"/>
      <c r="BK346" s="4" t="n"/>
      <c r="BL346" s="4" t="n"/>
      <c r="BM346" s="4" t="n"/>
      <c r="BN346" s="4" t="n"/>
      <c r="BO346" s="4" t="n"/>
      <c r="BP346" s="4" t="n"/>
      <c r="BQ346" s="4" t="n"/>
      <c r="BR346" s="4" t="n"/>
      <c r="BS346" s="4" t="n"/>
      <c r="BT346" s="4" t="n"/>
      <c r="BU346" s="4" t="n"/>
      <c r="BV346" s="4" t="n"/>
      <c r="BW346" s="4" t="n"/>
      <c r="BX346" s="4" t="n"/>
      <c r="BY346" s="4" t="n"/>
      <c r="BZ346" s="4" t="n"/>
      <c r="CA346" s="4" t="n"/>
      <c r="CB346" s="4" t="n"/>
      <c r="CC346" s="4" t="n"/>
      <c r="CD346" s="4" t="n"/>
      <c r="CE346" s="4" t="n"/>
      <c r="CF346" s="4" t="n"/>
      <c r="CG346" s="4" t="n"/>
      <c r="CH346" s="4" t="n"/>
      <c r="CI346" s="4" t="n"/>
      <c r="CJ346" s="4" t="n"/>
      <c r="CK346" s="4" t="n"/>
      <c r="CL346" s="4" t="n"/>
      <c r="CM346" s="4" t="n"/>
      <c r="CN346" s="4" t="n"/>
      <c r="CO346" s="4" t="n"/>
      <c r="CP346" s="4" t="n"/>
      <c r="CQ346" s="4" t="n"/>
      <c r="CR346" s="4" t="n"/>
      <c r="CS346" s="4" t="n"/>
      <c r="CT346" s="4" t="n"/>
      <c r="CU346" s="4" t="n"/>
      <c r="CV346" s="4" t="n"/>
      <c r="CW346" s="4" t="n"/>
      <c r="CX346" s="4" t="n"/>
      <c r="CY346" s="4" t="n"/>
      <c r="CZ346" s="4" t="n"/>
      <c r="DA346" s="4" t="n"/>
      <c r="DB346" s="4" t="n"/>
      <c r="DC346" s="4" t="n"/>
      <c r="DD346" s="4" t="n"/>
      <c r="DE346" s="4" t="n"/>
      <c r="DF346" s="4" t="n"/>
      <c r="DG346" s="4" t="n"/>
      <c r="DH346" s="4" t="n"/>
      <c r="DI346" s="4" t="n"/>
      <c r="DJ346" s="4" t="n"/>
      <c r="DK346" s="4" t="n"/>
      <c r="DL346" s="4" t="n"/>
      <c r="DM346" s="4" t="n"/>
      <c r="DN346" s="4" t="n"/>
      <c r="DO346" s="4" t="n"/>
      <c r="DP346" s="4" t="n"/>
      <c r="DQ346" s="4" t="n"/>
      <c r="DR346" s="4" t="n"/>
      <c r="DS346" s="4" t="n"/>
      <c r="DT346" s="4" t="n"/>
      <c r="DU346" s="4" t="n"/>
      <c r="DV346" s="4" t="n"/>
      <c r="DW346" s="4" t="n"/>
      <c r="DX346" s="4" t="n"/>
      <c r="DY346" s="4" t="n"/>
      <c r="DZ346" s="4" t="n"/>
      <c r="EA346" s="4" t="n"/>
      <c r="EB346" s="4" t="n"/>
      <c r="EC346" s="4" t="n"/>
      <c r="ED346" s="4" t="n"/>
      <c r="EE346" s="4" t="n"/>
      <c r="EF346" s="4" t="n"/>
      <c r="EG346" s="4" t="n"/>
      <c r="EH346" s="4" t="n"/>
      <c r="EI346" s="4" t="n"/>
      <c r="EJ346" s="4" t="n"/>
      <c r="EK346" s="4" t="n"/>
      <c r="EL346" s="4" t="n"/>
      <c r="EM346" s="4" t="n"/>
      <c r="EN346" s="4" t="n"/>
    </row>
    <row r="347" hidden="1" customFormat="1" s="6">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c r="AD347" s="4" t="n"/>
      <c r="AE347" s="4" t="n"/>
      <c r="AF347" s="4" t="n"/>
      <c r="AG347" s="4" t="n"/>
      <c r="AH347" s="4" t="n"/>
      <c r="AI347" s="4" t="n"/>
      <c r="AJ347" s="4" t="n"/>
      <c r="AK347" s="4" t="n"/>
      <c r="AL347" s="4" t="n"/>
      <c r="AM347" s="4" t="n"/>
      <c r="AN347" s="4" t="n"/>
      <c r="AO347" s="4" t="n"/>
      <c r="AP347" s="4" t="n"/>
      <c r="AQ347" s="4" t="n"/>
      <c r="AR347" s="4" t="n"/>
      <c r="AS347" s="4" t="n"/>
      <c r="AT347" s="4" t="n"/>
      <c r="AU347" s="4" t="n"/>
      <c r="AV347" s="4" t="n"/>
      <c r="AW347" s="4" t="n"/>
      <c r="AX347" s="4" t="n"/>
      <c r="AY347" s="4" t="n"/>
      <c r="AZ347" s="4" t="n"/>
      <c r="BA347" s="4" t="n"/>
      <c r="BB347" s="4" t="n"/>
      <c r="BC347" s="4" t="n"/>
      <c r="BD347" s="4" t="n"/>
      <c r="BE347" s="4" t="n"/>
      <c r="BF347" s="4" t="n"/>
      <c r="BG347" s="4" t="n"/>
      <c r="BH347" s="4" t="n"/>
      <c r="BI347" s="4" t="n"/>
      <c r="BJ347" s="4" t="n"/>
      <c r="BK347" s="4" t="n"/>
      <c r="BL347" s="4" t="n"/>
      <c r="BM347" s="4" t="n"/>
      <c r="BN347" s="4" t="n"/>
      <c r="BO347" s="4" t="n"/>
      <c r="BP347" s="4" t="n"/>
      <c r="BQ347" s="4" t="n"/>
      <c r="BR347" s="4" t="n"/>
      <c r="BS347" s="4" t="n"/>
      <c r="BT347" s="4" t="n"/>
      <c r="BU347" s="4" t="n"/>
      <c r="BV347" s="4" t="n"/>
      <c r="BW347" s="4" t="n"/>
      <c r="BX347" s="4" t="n"/>
      <c r="BY347" s="4" t="n"/>
      <c r="BZ347" s="4" t="n"/>
      <c r="CA347" s="4" t="n"/>
      <c r="CB347" s="4" t="n"/>
      <c r="CC347" s="4" t="n"/>
      <c r="CD347" s="4" t="n"/>
      <c r="CE347" s="4" t="n"/>
      <c r="CF347" s="4" t="n"/>
      <c r="CG347" s="4" t="n"/>
      <c r="CH347" s="4" t="n"/>
      <c r="CI347" s="4" t="n"/>
      <c r="CJ347" s="4" t="n"/>
      <c r="CK347" s="4" t="n"/>
      <c r="CL347" s="4" t="n"/>
      <c r="CM347" s="4" t="n"/>
      <c r="CN347" s="4" t="n"/>
      <c r="CO347" s="4" t="n"/>
      <c r="CP347" s="4" t="n"/>
      <c r="CQ347" s="4" t="n"/>
      <c r="CR347" s="4" t="n"/>
      <c r="CS347" s="4" t="n"/>
      <c r="CT347" s="4" t="n"/>
      <c r="CU347" s="4" t="n"/>
      <c r="CV347" s="4" t="n"/>
      <c r="CW347" s="4" t="n"/>
      <c r="CX347" s="4" t="n"/>
      <c r="CY347" s="4" t="n"/>
      <c r="CZ347" s="4" t="n"/>
      <c r="DA347" s="4" t="n"/>
      <c r="DB347" s="4" t="n"/>
      <c r="DC347" s="4" t="n"/>
      <c r="DD347" s="4" t="n"/>
      <c r="DE347" s="4" t="n"/>
      <c r="DF347" s="4" t="n"/>
      <c r="DG347" s="4" t="n"/>
      <c r="DH347" s="4" t="n"/>
      <c r="DI347" s="4" t="n"/>
      <c r="DJ347" s="4" t="n"/>
      <c r="DK347" s="4" t="n"/>
      <c r="DL347" s="4" t="n"/>
      <c r="DM347" s="4" t="n"/>
      <c r="DN347" s="4" t="n"/>
      <c r="DO347" s="4" t="n"/>
      <c r="DP347" s="4" t="n"/>
      <c r="DQ347" s="4" t="n"/>
      <c r="DR347" s="4" t="n"/>
      <c r="DS347" s="4" t="n"/>
      <c r="DT347" s="4" t="n"/>
      <c r="DU347" s="4" t="n"/>
      <c r="DV347" s="4" t="n"/>
      <c r="DW347" s="4" t="n"/>
      <c r="DX347" s="4" t="n"/>
      <c r="DY347" s="4" t="n"/>
      <c r="DZ347" s="4" t="n"/>
      <c r="EA347" s="4" t="n"/>
      <c r="EB347" s="4" t="n"/>
      <c r="EC347" s="4" t="n"/>
      <c r="ED347" s="4" t="n"/>
      <c r="EE347" s="4" t="n"/>
      <c r="EF347" s="4" t="n"/>
      <c r="EG347" s="4" t="n"/>
      <c r="EH347" s="4" t="n"/>
      <c r="EI347" s="4" t="n"/>
      <c r="EJ347" s="4" t="n"/>
      <c r="EK347" s="4" t="n"/>
      <c r="EL347" s="4" t="n"/>
      <c r="EM347" s="4" t="n"/>
      <c r="EN347" s="4" t="n"/>
    </row>
    <row r="348" hidden="1" customFormat="1" s="6">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c r="AC348" s="4" t="n"/>
      <c r="AD348" s="4" t="n"/>
      <c r="AE348" s="4" t="n"/>
      <c r="AF348" s="4" t="n"/>
      <c r="AG348" s="4" t="n"/>
      <c r="AH348" s="4" t="n"/>
      <c r="AI348" s="4" t="n"/>
      <c r="AJ348" s="4" t="n"/>
      <c r="AK348" s="4" t="n"/>
      <c r="AL348" s="4" t="n"/>
      <c r="AM348" s="4" t="n"/>
      <c r="AN348" s="4" t="n"/>
      <c r="AO348" s="4" t="n"/>
      <c r="AP348" s="4" t="n"/>
      <c r="AQ348" s="4" t="n"/>
      <c r="AR348" s="4" t="n"/>
      <c r="AS348" s="4" t="n"/>
      <c r="AT348" s="4" t="n"/>
      <c r="AU348" s="4" t="n"/>
      <c r="AV348" s="4" t="n"/>
      <c r="AW348" s="4" t="n"/>
      <c r="AX348" s="4" t="n"/>
      <c r="AY348" s="4" t="n"/>
      <c r="AZ348" s="4" t="n"/>
      <c r="BA348" s="4" t="n"/>
      <c r="BB348" s="4" t="n"/>
      <c r="BC348" s="4" t="n"/>
      <c r="BD348" s="4" t="n"/>
      <c r="BE348" s="4" t="n"/>
      <c r="BF348" s="4" t="n"/>
      <c r="BG348" s="4" t="n"/>
      <c r="BH348" s="4" t="n"/>
      <c r="BI348" s="4" t="n"/>
      <c r="BJ348" s="4" t="n"/>
      <c r="BK348" s="4" t="n"/>
      <c r="BL348" s="4" t="n"/>
      <c r="BM348" s="4" t="n"/>
      <c r="BN348" s="4" t="n"/>
      <c r="BO348" s="4" t="n"/>
      <c r="BP348" s="4" t="n"/>
      <c r="BQ348" s="4" t="n"/>
      <c r="BR348" s="4" t="n"/>
      <c r="BS348" s="4" t="n"/>
      <c r="BT348" s="4" t="n"/>
      <c r="BU348" s="4" t="n"/>
      <c r="BV348" s="4" t="n"/>
      <c r="BW348" s="4" t="n"/>
      <c r="BX348" s="4" t="n"/>
      <c r="BY348" s="4" t="n"/>
      <c r="BZ348" s="4" t="n"/>
      <c r="CA348" s="4" t="n"/>
      <c r="CB348" s="4" t="n"/>
      <c r="CC348" s="4" t="n"/>
      <c r="CD348" s="4" t="n"/>
      <c r="CE348" s="4" t="n"/>
      <c r="CF348" s="4" t="n"/>
      <c r="CG348" s="4" t="n"/>
      <c r="CH348" s="4" t="n"/>
      <c r="CI348" s="4" t="n"/>
      <c r="CJ348" s="4" t="n"/>
      <c r="CK348" s="4" t="n"/>
      <c r="CL348" s="4" t="n"/>
      <c r="CM348" s="4" t="n"/>
      <c r="CN348" s="4" t="n"/>
      <c r="CO348" s="4" t="n"/>
      <c r="CP348" s="4" t="n"/>
      <c r="CQ348" s="4" t="n"/>
      <c r="CR348" s="4" t="n"/>
      <c r="CS348" s="4" t="n"/>
      <c r="CT348" s="4" t="n"/>
      <c r="CU348" s="4" t="n"/>
      <c r="CV348" s="4" t="n"/>
      <c r="CW348" s="4" t="n"/>
      <c r="CX348" s="4" t="n"/>
      <c r="CY348" s="4" t="n"/>
      <c r="CZ348" s="4" t="n"/>
      <c r="DA348" s="4" t="n"/>
      <c r="DB348" s="4" t="n"/>
      <c r="DC348" s="4" t="n"/>
      <c r="DD348" s="4" t="n"/>
      <c r="DE348" s="4" t="n"/>
      <c r="DF348" s="4" t="n"/>
      <c r="DG348" s="4" t="n"/>
      <c r="DH348" s="4" t="n"/>
      <c r="DI348" s="4" t="n"/>
      <c r="DJ348" s="4" t="n"/>
      <c r="DK348" s="4" t="n"/>
      <c r="DL348" s="4" t="n"/>
      <c r="DM348" s="4" t="n"/>
      <c r="DN348" s="4" t="n"/>
      <c r="DO348" s="4" t="n"/>
      <c r="DP348" s="4" t="n"/>
      <c r="DQ348" s="4" t="n"/>
      <c r="DR348" s="4" t="n"/>
      <c r="DS348" s="4" t="n"/>
      <c r="DT348" s="4" t="n"/>
      <c r="DU348" s="4" t="n"/>
      <c r="DV348" s="4" t="n"/>
      <c r="DW348" s="4" t="n"/>
      <c r="DX348" s="4" t="n"/>
      <c r="DY348" s="4" t="n"/>
      <c r="DZ348" s="4" t="n"/>
      <c r="EA348" s="4" t="n"/>
      <c r="EB348" s="4" t="n"/>
      <c r="EC348" s="4" t="n"/>
      <c r="ED348" s="4" t="n"/>
      <c r="EE348" s="4" t="n"/>
      <c r="EF348" s="4" t="n"/>
      <c r="EG348" s="4" t="n"/>
      <c r="EH348" s="4" t="n"/>
      <c r="EI348" s="4" t="n"/>
      <c r="EJ348" s="4" t="n"/>
      <c r="EK348" s="4" t="n"/>
      <c r="EL348" s="4" t="n"/>
      <c r="EM348" s="4" t="n"/>
      <c r="EN348" s="4" t="n"/>
    </row>
    <row r="349" hidden="1" customFormat="1" s="6">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c r="AE349" s="4" t="n"/>
      <c r="AF349" s="4" t="n"/>
      <c r="AG349" s="4" t="n"/>
      <c r="AH349" s="4" t="n"/>
      <c r="AI349" s="4" t="n"/>
      <c r="AJ349" s="4" t="n"/>
      <c r="AK349" s="4" t="n"/>
      <c r="AL349" s="4" t="n"/>
      <c r="AM349" s="4" t="n"/>
      <c r="AN349" s="4" t="n"/>
      <c r="AO349" s="4" t="n"/>
      <c r="AP349" s="4" t="n"/>
      <c r="AQ349" s="4" t="n"/>
      <c r="AR349" s="4" t="n"/>
      <c r="AS349" s="4" t="n"/>
      <c r="AT349" s="4" t="n"/>
      <c r="AU349" s="4" t="n"/>
      <c r="AV349" s="4" t="n"/>
      <c r="AW349" s="4" t="n"/>
      <c r="AX349" s="4" t="n"/>
      <c r="AY349" s="4" t="n"/>
      <c r="AZ349" s="4" t="n"/>
      <c r="BA349" s="4" t="n"/>
      <c r="BB349" s="4" t="n"/>
      <c r="BC349" s="4" t="n"/>
      <c r="BD349" s="4" t="n"/>
      <c r="BE349" s="4" t="n"/>
      <c r="BF349" s="4" t="n"/>
      <c r="BG349" s="4" t="n"/>
      <c r="BH349" s="4" t="n"/>
      <c r="BI349" s="4" t="n"/>
      <c r="BJ349" s="4" t="n"/>
      <c r="BK349" s="4" t="n"/>
      <c r="BL349" s="4" t="n"/>
      <c r="BM349" s="4" t="n"/>
      <c r="BN349" s="4" t="n"/>
      <c r="BO349" s="4" t="n"/>
      <c r="BP349" s="4" t="n"/>
      <c r="BQ349" s="4" t="n"/>
      <c r="BR349" s="4" t="n"/>
      <c r="BS349" s="4" t="n"/>
      <c r="BT349" s="4" t="n"/>
      <c r="BU349" s="4" t="n"/>
      <c r="BV349" s="4" t="n"/>
      <c r="BW349" s="4" t="n"/>
      <c r="BX349" s="4" t="n"/>
      <c r="BY349" s="4" t="n"/>
      <c r="BZ349" s="4" t="n"/>
      <c r="CA349" s="4" t="n"/>
      <c r="CB349" s="4" t="n"/>
      <c r="CC349" s="4" t="n"/>
      <c r="CD349" s="4" t="n"/>
      <c r="CE349" s="4" t="n"/>
      <c r="CF349" s="4" t="n"/>
      <c r="CG349" s="4" t="n"/>
      <c r="CH349" s="4" t="n"/>
      <c r="CI349" s="4" t="n"/>
      <c r="CJ349" s="4" t="n"/>
      <c r="CK349" s="4" t="n"/>
      <c r="CL349" s="4" t="n"/>
      <c r="CM349" s="4" t="n"/>
      <c r="CN349" s="4" t="n"/>
      <c r="CO349" s="4" t="n"/>
      <c r="CP349" s="4" t="n"/>
      <c r="CQ349" s="4" t="n"/>
      <c r="CR349" s="4" t="n"/>
      <c r="CS349" s="4" t="n"/>
      <c r="CT349" s="4" t="n"/>
      <c r="CU349" s="4" t="n"/>
      <c r="CV349" s="4" t="n"/>
      <c r="CW349" s="4" t="n"/>
      <c r="CX349" s="4" t="n"/>
      <c r="CY349" s="4" t="n"/>
      <c r="CZ349" s="4" t="n"/>
      <c r="DA349" s="4" t="n"/>
      <c r="DB349" s="4" t="n"/>
      <c r="DC349" s="4" t="n"/>
      <c r="DD349" s="4" t="n"/>
      <c r="DE349" s="4" t="n"/>
      <c r="DF349" s="4" t="n"/>
      <c r="DG349" s="4" t="n"/>
      <c r="DH349" s="4" t="n"/>
      <c r="DI349" s="4" t="n"/>
      <c r="DJ349" s="4" t="n"/>
      <c r="DK349" s="4" t="n"/>
      <c r="DL349" s="4" t="n"/>
      <c r="DM349" s="4" t="n"/>
      <c r="DN349" s="4" t="n"/>
      <c r="DO349" s="4" t="n"/>
      <c r="DP349" s="4" t="n"/>
      <c r="DQ349" s="4" t="n"/>
      <c r="DR349" s="4" t="n"/>
      <c r="DS349" s="4" t="n"/>
      <c r="DT349" s="4" t="n"/>
      <c r="DU349" s="4" t="n"/>
      <c r="DV349" s="4" t="n"/>
      <c r="DW349" s="4" t="n"/>
      <c r="DX349" s="4" t="n"/>
      <c r="DY349" s="4" t="n"/>
      <c r="DZ349" s="4" t="n"/>
      <c r="EA349" s="4" t="n"/>
      <c r="EB349" s="4" t="n"/>
      <c r="EC349" s="4" t="n"/>
      <c r="ED349" s="4" t="n"/>
      <c r="EE349" s="4" t="n"/>
      <c r="EF349" s="4" t="n"/>
      <c r="EG349" s="4" t="n"/>
      <c r="EH349" s="4" t="n"/>
      <c r="EI349" s="4" t="n"/>
      <c r="EJ349" s="4" t="n"/>
      <c r="EK349" s="4" t="n"/>
      <c r="EL349" s="4" t="n"/>
      <c r="EM349" s="4" t="n"/>
      <c r="EN349" s="4" t="n"/>
    </row>
    <row r="350" hidden="1" customFormat="1" s="6">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c r="AE350" s="4" t="n"/>
      <c r="AF350" s="4" t="n"/>
      <c r="AG350" s="4" t="n"/>
      <c r="AH350" s="4" t="n"/>
      <c r="AI350" s="4" t="n"/>
      <c r="AJ350" s="4" t="n"/>
      <c r="AK350" s="4" t="n"/>
      <c r="AL350" s="4" t="n"/>
      <c r="AM350" s="4" t="n"/>
      <c r="AN350" s="4" t="n"/>
      <c r="AO350" s="4" t="n"/>
      <c r="AP350" s="4" t="n"/>
      <c r="AQ350" s="4" t="n"/>
      <c r="AR350" s="4" t="n"/>
      <c r="AS350" s="4" t="n"/>
      <c r="AT350" s="4" t="n"/>
      <c r="AU350" s="4" t="n"/>
      <c r="AV350" s="4" t="n"/>
      <c r="AW350" s="4" t="n"/>
      <c r="AX350" s="4" t="n"/>
      <c r="AY350" s="4" t="n"/>
      <c r="AZ350" s="4" t="n"/>
      <c r="BA350" s="4" t="n"/>
      <c r="BB350" s="4" t="n"/>
      <c r="BC350" s="4" t="n"/>
      <c r="BD350" s="4" t="n"/>
      <c r="BE350" s="4" t="n"/>
      <c r="BF350" s="4" t="n"/>
      <c r="BG350" s="4" t="n"/>
      <c r="BH350" s="4" t="n"/>
      <c r="BI350" s="4" t="n"/>
      <c r="BJ350" s="4" t="n"/>
      <c r="BK350" s="4" t="n"/>
      <c r="BL350" s="4" t="n"/>
      <c r="BM350" s="4" t="n"/>
      <c r="BN350" s="4" t="n"/>
      <c r="BO350" s="4" t="n"/>
      <c r="BP350" s="4" t="n"/>
      <c r="BQ350" s="4" t="n"/>
      <c r="BR350" s="4" t="n"/>
      <c r="BS350" s="4" t="n"/>
      <c r="BT350" s="4" t="n"/>
      <c r="BU350" s="4" t="n"/>
      <c r="BV350" s="4" t="n"/>
      <c r="BW350" s="4" t="n"/>
      <c r="BX350" s="4" t="n"/>
      <c r="BY350" s="4" t="n"/>
      <c r="BZ350" s="4" t="n"/>
      <c r="CA350" s="4" t="n"/>
      <c r="CB350" s="4" t="n"/>
      <c r="CC350" s="4" t="n"/>
      <c r="CD350" s="4" t="n"/>
      <c r="CE350" s="4" t="n"/>
      <c r="CF350" s="4" t="n"/>
      <c r="CG350" s="4" t="n"/>
      <c r="CH350" s="4" t="n"/>
      <c r="CI350" s="4" t="n"/>
      <c r="CJ350" s="4" t="n"/>
      <c r="CK350" s="4" t="n"/>
      <c r="CL350" s="4" t="n"/>
      <c r="CM350" s="4" t="n"/>
      <c r="CN350" s="4" t="n"/>
      <c r="CO350" s="4" t="n"/>
      <c r="CP350" s="4" t="n"/>
      <c r="CQ350" s="4" t="n"/>
      <c r="CR350" s="4" t="n"/>
      <c r="CS350" s="4" t="n"/>
      <c r="CT350" s="4" t="n"/>
      <c r="CU350" s="4" t="n"/>
      <c r="CV350" s="4" t="n"/>
      <c r="CW350" s="4" t="n"/>
      <c r="CX350" s="4" t="n"/>
      <c r="CY350" s="4" t="n"/>
      <c r="CZ350" s="4" t="n"/>
      <c r="DA350" s="4" t="n"/>
      <c r="DB350" s="4" t="n"/>
      <c r="DC350" s="4" t="n"/>
      <c r="DD350" s="4" t="n"/>
      <c r="DE350" s="4" t="n"/>
      <c r="DF350" s="4" t="n"/>
      <c r="DG350" s="4" t="n"/>
      <c r="DH350" s="4" t="n"/>
      <c r="DI350" s="4" t="n"/>
      <c r="DJ350" s="4" t="n"/>
      <c r="DK350" s="4" t="n"/>
      <c r="DL350" s="4" t="n"/>
      <c r="DM350" s="4" t="n"/>
      <c r="DN350" s="4" t="n"/>
      <c r="DO350" s="4" t="n"/>
      <c r="DP350" s="4" t="n"/>
      <c r="DQ350" s="4" t="n"/>
      <c r="DR350" s="4" t="n"/>
      <c r="DS350" s="4" t="n"/>
      <c r="DT350" s="4" t="n"/>
      <c r="DU350" s="4" t="n"/>
      <c r="DV350" s="4" t="n"/>
      <c r="DW350" s="4" t="n"/>
      <c r="DX350" s="4" t="n"/>
      <c r="DY350" s="4" t="n"/>
      <c r="DZ350" s="4" t="n"/>
      <c r="EA350" s="4" t="n"/>
      <c r="EB350" s="4" t="n"/>
      <c r="EC350" s="4" t="n"/>
      <c r="ED350" s="4" t="n"/>
      <c r="EE350" s="4" t="n"/>
      <c r="EF350" s="4" t="n"/>
      <c r="EG350" s="4" t="n"/>
      <c r="EH350" s="4" t="n"/>
      <c r="EI350" s="4" t="n"/>
      <c r="EJ350" s="4" t="n"/>
      <c r="EK350" s="4" t="n"/>
      <c r="EL350" s="4" t="n"/>
      <c r="EM350" s="4" t="n"/>
      <c r="EN350" s="4" t="n"/>
    </row>
    <row r="351" hidden="1" customFormat="1" s="6">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c r="AF351" s="4" t="n"/>
      <c r="AG351" s="4" t="n"/>
      <c r="AH351" s="4" t="n"/>
      <c r="AI351" s="4" t="n"/>
      <c r="AJ351" s="4" t="n"/>
      <c r="AK351" s="4" t="n"/>
      <c r="AL351" s="4" t="n"/>
      <c r="AM351" s="4" t="n"/>
      <c r="AN351" s="4" t="n"/>
      <c r="AO351" s="4" t="n"/>
      <c r="AP351" s="4" t="n"/>
      <c r="AQ351" s="4" t="n"/>
      <c r="AR351" s="4" t="n"/>
      <c r="AS351" s="4" t="n"/>
      <c r="AT351" s="4" t="n"/>
      <c r="AU351" s="4" t="n"/>
      <c r="AV351" s="4" t="n"/>
      <c r="AW351" s="4" t="n"/>
      <c r="AX351" s="4" t="n"/>
      <c r="AY351" s="4" t="n"/>
      <c r="AZ351" s="4" t="n"/>
      <c r="BA351" s="4" t="n"/>
      <c r="BB351" s="4" t="n"/>
      <c r="BC351" s="4" t="n"/>
      <c r="BD351" s="4" t="n"/>
      <c r="BE351" s="4" t="n"/>
      <c r="BF351" s="4" t="n"/>
      <c r="BG351" s="4" t="n"/>
      <c r="BH351" s="4" t="n"/>
      <c r="BI351" s="4" t="n"/>
      <c r="BJ351" s="4" t="n"/>
      <c r="BK351" s="4" t="n"/>
      <c r="BL351" s="4" t="n"/>
      <c r="BM351" s="4" t="n"/>
      <c r="BN351" s="4" t="n"/>
      <c r="BO351" s="4" t="n"/>
      <c r="BP351" s="4" t="n"/>
      <c r="BQ351" s="4" t="n"/>
      <c r="BR351" s="4" t="n"/>
      <c r="BS351" s="4" t="n"/>
      <c r="BT351" s="4" t="n"/>
      <c r="BU351" s="4" t="n"/>
      <c r="BV351" s="4" t="n"/>
      <c r="BW351" s="4" t="n"/>
      <c r="BX351" s="4" t="n"/>
      <c r="BY351" s="4" t="n"/>
      <c r="BZ351" s="4" t="n"/>
      <c r="CA351" s="4" t="n"/>
      <c r="CB351" s="4" t="n"/>
      <c r="CC351" s="4" t="n"/>
      <c r="CD351" s="4" t="n"/>
      <c r="CE351" s="4" t="n"/>
      <c r="CF351" s="4" t="n"/>
      <c r="CG351" s="4" t="n"/>
      <c r="CH351" s="4" t="n"/>
      <c r="CI351" s="4" t="n"/>
      <c r="CJ351" s="4" t="n"/>
      <c r="CK351" s="4" t="n"/>
      <c r="CL351" s="4" t="n"/>
      <c r="CM351" s="4" t="n"/>
      <c r="CN351" s="4" t="n"/>
      <c r="CO351" s="4" t="n"/>
      <c r="CP351" s="4" t="n"/>
      <c r="CQ351" s="4" t="n"/>
      <c r="CR351" s="4" t="n"/>
      <c r="CS351" s="4" t="n"/>
      <c r="CT351" s="4" t="n"/>
      <c r="CU351" s="4" t="n"/>
      <c r="CV351" s="4" t="n"/>
      <c r="CW351" s="4" t="n"/>
      <c r="CX351" s="4" t="n"/>
      <c r="CY351" s="4" t="n"/>
      <c r="CZ351" s="4" t="n"/>
      <c r="DA351" s="4" t="n"/>
      <c r="DB351" s="4" t="n"/>
      <c r="DC351" s="4" t="n"/>
      <c r="DD351" s="4" t="n"/>
      <c r="DE351" s="4" t="n"/>
      <c r="DF351" s="4" t="n"/>
      <c r="DG351" s="4" t="n"/>
      <c r="DH351" s="4" t="n"/>
      <c r="DI351" s="4" t="n"/>
      <c r="DJ351" s="4" t="n"/>
      <c r="DK351" s="4" t="n"/>
      <c r="DL351" s="4" t="n"/>
      <c r="DM351" s="4" t="n"/>
      <c r="DN351" s="4" t="n"/>
      <c r="DO351" s="4" t="n"/>
      <c r="DP351" s="4" t="n"/>
      <c r="DQ351" s="4" t="n"/>
      <c r="DR351" s="4" t="n"/>
      <c r="DS351" s="4" t="n"/>
      <c r="DT351" s="4" t="n"/>
      <c r="DU351" s="4" t="n"/>
      <c r="DV351" s="4" t="n"/>
      <c r="DW351" s="4" t="n"/>
      <c r="DX351" s="4" t="n"/>
      <c r="DY351" s="4" t="n"/>
      <c r="DZ351" s="4" t="n"/>
      <c r="EA351" s="4" t="n"/>
      <c r="EB351" s="4" t="n"/>
      <c r="EC351" s="4" t="n"/>
      <c r="ED351" s="4" t="n"/>
      <c r="EE351" s="4" t="n"/>
      <c r="EF351" s="4" t="n"/>
      <c r="EG351" s="4" t="n"/>
      <c r="EH351" s="4" t="n"/>
      <c r="EI351" s="4" t="n"/>
      <c r="EJ351" s="4" t="n"/>
      <c r="EK351" s="4" t="n"/>
      <c r="EL351" s="4" t="n"/>
      <c r="EM351" s="4" t="n"/>
      <c r="EN351" s="4" t="n"/>
    </row>
    <row r="352" hidden="1" customFormat="1" s="6">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c r="AC352" s="4" t="n"/>
      <c r="AD352" s="4" t="n"/>
      <c r="AE352" s="4" t="n"/>
      <c r="AF352" s="4" t="n"/>
      <c r="AG352" s="4" t="n"/>
      <c r="AH352" s="4" t="n"/>
      <c r="AI352" s="4" t="n"/>
      <c r="AJ352" s="4" t="n"/>
      <c r="AK352" s="4" t="n"/>
      <c r="AL352" s="4" t="n"/>
      <c r="AM352" s="4" t="n"/>
      <c r="AN352" s="4" t="n"/>
      <c r="AO352" s="4" t="n"/>
      <c r="AP352" s="4" t="n"/>
      <c r="AQ352" s="4" t="n"/>
      <c r="AR352" s="4" t="n"/>
      <c r="AS352" s="4" t="n"/>
      <c r="AT352" s="4" t="n"/>
      <c r="AU352" s="4" t="n"/>
      <c r="AV352" s="4" t="n"/>
      <c r="AW352" s="4" t="n"/>
      <c r="AX352" s="4" t="n"/>
      <c r="AY352" s="4" t="n"/>
      <c r="AZ352" s="4" t="n"/>
      <c r="BA352" s="4" t="n"/>
      <c r="BB352" s="4" t="n"/>
      <c r="BC352" s="4" t="n"/>
      <c r="BD352" s="4" t="n"/>
      <c r="BE352" s="4" t="n"/>
      <c r="BF352" s="4" t="n"/>
      <c r="BG352" s="4" t="n"/>
      <c r="BH352" s="4" t="n"/>
      <c r="BI352" s="4" t="n"/>
      <c r="BJ352" s="4" t="n"/>
      <c r="BK352" s="4" t="n"/>
      <c r="BL352" s="4" t="n"/>
      <c r="BM352" s="4" t="n"/>
      <c r="BN352" s="4" t="n"/>
      <c r="BO352" s="4" t="n"/>
      <c r="BP352" s="4" t="n"/>
      <c r="BQ352" s="4" t="n"/>
      <c r="BR352" s="4" t="n"/>
      <c r="BS352" s="4" t="n"/>
      <c r="BT352" s="4" t="n"/>
      <c r="BU352" s="4" t="n"/>
      <c r="BV352" s="4" t="n"/>
      <c r="BW352" s="4" t="n"/>
      <c r="BX352" s="4" t="n"/>
      <c r="BY352" s="4" t="n"/>
      <c r="BZ352" s="4" t="n"/>
      <c r="CA352" s="4" t="n"/>
      <c r="CB352" s="4" t="n"/>
      <c r="CC352" s="4" t="n"/>
      <c r="CD352" s="4" t="n"/>
      <c r="CE352" s="4" t="n"/>
      <c r="CF352" s="4" t="n"/>
      <c r="CG352" s="4" t="n"/>
      <c r="CH352" s="4" t="n"/>
      <c r="CI352" s="4" t="n"/>
      <c r="CJ352" s="4" t="n"/>
      <c r="CK352" s="4" t="n"/>
      <c r="CL352" s="4" t="n"/>
      <c r="CM352" s="4" t="n"/>
      <c r="CN352" s="4" t="n"/>
      <c r="CO352" s="4" t="n"/>
      <c r="CP352" s="4" t="n"/>
      <c r="CQ352" s="4" t="n"/>
      <c r="CR352" s="4" t="n"/>
      <c r="CS352" s="4" t="n"/>
      <c r="CT352" s="4" t="n"/>
      <c r="CU352" s="4" t="n"/>
      <c r="CV352" s="4" t="n"/>
      <c r="CW352" s="4" t="n"/>
      <c r="CX352" s="4" t="n"/>
      <c r="CY352" s="4" t="n"/>
      <c r="CZ352" s="4" t="n"/>
      <c r="DA352" s="4" t="n"/>
      <c r="DB352" s="4" t="n"/>
      <c r="DC352" s="4" t="n"/>
      <c r="DD352" s="4" t="n"/>
      <c r="DE352" s="4" t="n"/>
      <c r="DF352" s="4" t="n"/>
      <c r="DG352" s="4" t="n"/>
      <c r="DH352" s="4" t="n"/>
      <c r="DI352" s="4" t="n"/>
      <c r="DJ352" s="4" t="n"/>
      <c r="DK352" s="4" t="n"/>
      <c r="DL352" s="4" t="n"/>
      <c r="DM352" s="4" t="n"/>
      <c r="DN352" s="4" t="n"/>
      <c r="DO352" s="4" t="n"/>
      <c r="DP352" s="4" t="n"/>
      <c r="DQ352" s="4" t="n"/>
      <c r="DR352" s="4" t="n"/>
      <c r="DS352" s="4" t="n"/>
      <c r="DT352" s="4" t="n"/>
      <c r="DU352" s="4" t="n"/>
      <c r="DV352" s="4" t="n"/>
      <c r="DW352" s="4" t="n"/>
      <c r="DX352" s="4" t="n"/>
      <c r="DY352" s="4" t="n"/>
      <c r="DZ352" s="4" t="n"/>
      <c r="EA352" s="4" t="n"/>
      <c r="EB352" s="4" t="n"/>
      <c r="EC352" s="4" t="n"/>
      <c r="ED352" s="4" t="n"/>
      <c r="EE352" s="4" t="n"/>
      <c r="EF352" s="4" t="n"/>
      <c r="EG352" s="4" t="n"/>
      <c r="EH352" s="4" t="n"/>
      <c r="EI352" s="4" t="n"/>
      <c r="EJ352" s="4" t="n"/>
      <c r="EK352" s="4" t="n"/>
      <c r="EL352" s="4" t="n"/>
      <c r="EM352" s="4" t="n"/>
      <c r="EN352" s="4" t="n"/>
    </row>
    <row r="353" hidden="1" customFormat="1" s="6">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c r="AE353" s="4" t="n"/>
      <c r="AF353" s="4" t="n"/>
      <c r="AG353" s="4" t="n"/>
      <c r="AH353" s="4" t="n"/>
      <c r="AI353" s="4" t="n"/>
      <c r="AJ353" s="4" t="n"/>
      <c r="AK353" s="4" t="n"/>
      <c r="AL353" s="4" t="n"/>
      <c r="AM353" s="4" t="n"/>
      <c r="AN353" s="4" t="n"/>
      <c r="AO353" s="4" t="n"/>
      <c r="AP353" s="4" t="n"/>
      <c r="AQ353" s="4" t="n"/>
      <c r="AR353" s="4" t="n"/>
      <c r="AS353" s="4" t="n"/>
      <c r="AT353" s="4" t="n"/>
      <c r="AU353" s="4" t="n"/>
      <c r="AV353" s="4" t="n"/>
      <c r="AW353" s="4" t="n"/>
      <c r="AX353" s="4" t="n"/>
      <c r="AY353" s="4" t="n"/>
      <c r="AZ353" s="4" t="n"/>
      <c r="BA353" s="4" t="n"/>
      <c r="BB353" s="4" t="n"/>
      <c r="BC353" s="4" t="n"/>
      <c r="BD353" s="4" t="n"/>
      <c r="BE353" s="4" t="n"/>
      <c r="BF353" s="4" t="n"/>
      <c r="BG353" s="4" t="n"/>
      <c r="BH353" s="4" t="n"/>
      <c r="BI353" s="4" t="n"/>
      <c r="BJ353" s="4" t="n"/>
      <c r="BK353" s="4" t="n"/>
      <c r="BL353" s="4" t="n"/>
      <c r="BM353" s="4" t="n"/>
      <c r="BN353" s="4" t="n"/>
      <c r="BO353" s="4" t="n"/>
      <c r="BP353" s="4" t="n"/>
      <c r="BQ353" s="4" t="n"/>
      <c r="BR353" s="4" t="n"/>
      <c r="BS353" s="4" t="n"/>
      <c r="BT353" s="4" t="n"/>
      <c r="BU353" s="4" t="n"/>
      <c r="BV353" s="4" t="n"/>
      <c r="BW353" s="4" t="n"/>
      <c r="BX353" s="4" t="n"/>
      <c r="BY353" s="4" t="n"/>
      <c r="BZ353" s="4" t="n"/>
      <c r="CA353" s="4" t="n"/>
      <c r="CB353" s="4" t="n"/>
      <c r="CC353" s="4" t="n"/>
      <c r="CD353" s="4" t="n"/>
      <c r="CE353" s="4" t="n"/>
      <c r="CF353" s="4" t="n"/>
      <c r="CG353" s="4" t="n"/>
      <c r="CH353" s="4" t="n"/>
      <c r="CI353" s="4" t="n"/>
      <c r="CJ353" s="4" t="n"/>
      <c r="CK353" s="4" t="n"/>
      <c r="CL353" s="4" t="n"/>
      <c r="CM353" s="4" t="n"/>
      <c r="CN353" s="4" t="n"/>
      <c r="CO353" s="4" t="n"/>
      <c r="CP353" s="4" t="n"/>
      <c r="CQ353" s="4" t="n"/>
      <c r="CR353" s="4" t="n"/>
      <c r="CS353" s="4" t="n"/>
      <c r="CT353" s="4" t="n"/>
      <c r="CU353" s="4" t="n"/>
      <c r="CV353" s="4" t="n"/>
      <c r="CW353" s="4" t="n"/>
      <c r="CX353" s="4" t="n"/>
      <c r="CY353" s="4" t="n"/>
      <c r="CZ353" s="4" t="n"/>
      <c r="DA353" s="4" t="n"/>
      <c r="DB353" s="4" t="n"/>
      <c r="DC353" s="4" t="n"/>
      <c r="DD353" s="4" t="n"/>
      <c r="DE353" s="4" t="n"/>
      <c r="DF353" s="4" t="n"/>
      <c r="DG353" s="4" t="n"/>
      <c r="DH353" s="4" t="n"/>
      <c r="DI353" s="4" t="n"/>
      <c r="DJ353" s="4" t="n"/>
      <c r="DK353" s="4" t="n"/>
      <c r="DL353" s="4" t="n"/>
      <c r="DM353" s="4" t="n"/>
      <c r="DN353" s="4" t="n"/>
      <c r="DO353" s="4" t="n"/>
      <c r="DP353" s="4" t="n"/>
      <c r="DQ353" s="4" t="n"/>
      <c r="DR353" s="4" t="n"/>
      <c r="DS353" s="4" t="n"/>
      <c r="DT353" s="4" t="n"/>
      <c r="DU353" s="4" t="n"/>
      <c r="DV353" s="4" t="n"/>
      <c r="DW353" s="4" t="n"/>
      <c r="DX353" s="4" t="n"/>
      <c r="DY353" s="4" t="n"/>
      <c r="DZ353" s="4" t="n"/>
      <c r="EA353" s="4" t="n"/>
      <c r="EB353" s="4" t="n"/>
      <c r="EC353" s="4" t="n"/>
      <c r="ED353" s="4" t="n"/>
      <c r="EE353" s="4" t="n"/>
      <c r="EF353" s="4" t="n"/>
      <c r="EG353" s="4" t="n"/>
      <c r="EH353" s="4" t="n"/>
      <c r="EI353" s="4" t="n"/>
      <c r="EJ353" s="4" t="n"/>
      <c r="EK353" s="4" t="n"/>
      <c r="EL353" s="4" t="n"/>
      <c r="EM353" s="4" t="n"/>
      <c r="EN353" s="4" t="n"/>
    </row>
    <row r="354" hidden="1" customFormat="1" s="6">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c r="AE354" s="4" t="n"/>
      <c r="AF354" s="4" t="n"/>
      <c r="AG354" s="4" t="n"/>
      <c r="AH354" s="4" t="n"/>
      <c r="AI354" s="4" t="n"/>
      <c r="AJ354" s="4" t="n"/>
      <c r="AK354" s="4" t="n"/>
      <c r="AL354" s="4" t="n"/>
      <c r="AM354" s="4" t="n"/>
      <c r="AN354" s="4" t="n"/>
      <c r="AO354" s="4" t="n"/>
      <c r="AP354" s="4" t="n"/>
      <c r="AQ354" s="4" t="n"/>
      <c r="AR354" s="4" t="n"/>
      <c r="AS354" s="4" t="n"/>
      <c r="AT354" s="4" t="n"/>
      <c r="AU354" s="4" t="n"/>
      <c r="AV354" s="4" t="n"/>
      <c r="AW354" s="4" t="n"/>
      <c r="AX354" s="4" t="n"/>
      <c r="AY354" s="4" t="n"/>
      <c r="AZ354" s="4" t="n"/>
      <c r="BA354" s="4" t="n"/>
      <c r="BB354" s="4" t="n"/>
      <c r="BC354" s="4" t="n"/>
      <c r="BD354" s="4" t="n"/>
      <c r="BE354" s="4" t="n"/>
      <c r="BF354" s="4" t="n"/>
      <c r="BG354" s="4" t="n"/>
      <c r="BH354" s="4" t="n"/>
      <c r="BI354" s="4" t="n"/>
      <c r="BJ354" s="4" t="n"/>
      <c r="BK354" s="4" t="n"/>
      <c r="BL354" s="4" t="n"/>
      <c r="BM354" s="4" t="n"/>
      <c r="BN354" s="4" t="n"/>
      <c r="BO354" s="4" t="n"/>
      <c r="BP354" s="4" t="n"/>
      <c r="BQ354" s="4" t="n"/>
      <c r="BR354" s="4" t="n"/>
      <c r="BS354" s="4" t="n"/>
      <c r="BT354" s="4" t="n"/>
      <c r="BU354" s="4" t="n"/>
      <c r="BV354" s="4" t="n"/>
      <c r="BW354" s="4" t="n"/>
      <c r="BX354" s="4" t="n"/>
      <c r="BY354" s="4" t="n"/>
      <c r="BZ354" s="4" t="n"/>
      <c r="CA354" s="4" t="n"/>
      <c r="CB354" s="4" t="n"/>
      <c r="CC354" s="4" t="n"/>
      <c r="CD354" s="4" t="n"/>
      <c r="CE354" s="4" t="n"/>
      <c r="CF354" s="4" t="n"/>
      <c r="CG354" s="4" t="n"/>
      <c r="CH354" s="4" t="n"/>
      <c r="CI354" s="4" t="n"/>
      <c r="CJ354" s="4" t="n"/>
      <c r="CK354" s="4" t="n"/>
      <c r="CL354" s="4" t="n"/>
      <c r="CM354" s="4" t="n"/>
      <c r="CN354" s="4" t="n"/>
      <c r="CO354" s="4" t="n"/>
      <c r="CP354" s="4" t="n"/>
      <c r="CQ354" s="4" t="n"/>
      <c r="CR354" s="4" t="n"/>
      <c r="CS354" s="4" t="n"/>
      <c r="CT354" s="4" t="n"/>
      <c r="CU354" s="4" t="n"/>
      <c r="CV354" s="4" t="n"/>
      <c r="CW354" s="4" t="n"/>
      <c r="CX354" s="4" t="n"/>
      <c r="CY354" s="4" t="n"/>
      <c r="CZ354" s="4" t="n"/>
      <c r="DA354" s="4" t="n"/>
      <c r="DB354" s="4" t="n"/>
      <c r="DC354" s="4" t="n"/>
      <c r="DD354" s="4" t="n"/>
      <c r="DE354" s="4" t="n"/>
      <c r="DF354" s="4" t="n"/>
      <c r="DG354" s="4" t="n"/>
      <c r="DH354" s="4" t="n"/>
      <c r="DI354" s="4" t="n"/>
      <c r="DJ354" s="4" t="n"/>
      <c r="DK354" s="4" t="n"/>
      <c r="DL354" s="4" t="n"/>
      <c r="DM354" s="4" t="n"/>
      <c r="DN354" s="4" t="n"/>
      <c r="DO354" s="4" t="n"/>
      <c r="DP354" s="4" t="n"/>
      <c r="DQ354" s="4" t="n"/>
      <c r="DR354" s="4" t="n"/>
      <c r="DS354" s="4" t="n"/>
      <c r="DT354" s="4" t="n"/>
      <c r="DU354" s="4" t="n"/>
      <c r="DV354" s="4" t="n"/>
      <c r="DW354" s="4" t="n"/>
      <c r="DX354" s="4" t="n"/>
      <c r="DY354" s="4" t="n"/>
      <c r="DZ354" s="4" t="n"/>
      <c r="EA354" s="4" t="n"/>
      <c r="EB354" s="4" t="n"/>
      <c r="EC354" s="4" t="n"/>
      <c r="ED354" s="4" t="n"/>
      <c r="EE354" s="4" t="n"/>
      <c r="EF354" s="4" t="n"/>
      <c r="EG354" s="4" t="n"/>
      <c r="EH354" s="4" t="n"/>
      <c r="EI354" s="4" t="n"/>
      <c r="EJ354" s="4" t="n"/>
      <c r="EK354" s="4" t="n"/>
      <c r="EL354" s="4" t="n"/>
      <c r="EM354" s="4" t="n"/>
      <c r="EN354" s="4" t="n"/>
    </row>
    <row r="355" hidden="1" customFormat="1" s="6">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c r="AE355" s="4" t="n"/>
      <c r="AF355" s="4" t="n"/>
      <c r="AG355" s="4" t="n"/>
      <c r="AH355" s="4" t="n"/>
      <c r="AI355" s="4" t="n"/>
      <c r="AJ355" s="4" t="n"/>
      <c r="AK355" s="4" t="n"/>
      <c r="AL355" s="4" t="n"/>
      <c r="AM355" s="4" t="n"/>
      <c r="AN355" s="4" t="n"/>
      <c r="AO355" s="4" t="n"/>
      <c r="AP355" s="4" t="n"/>
      <c r="AQ355" s="4" t="n"/>
      <c r="AR355" s="4" t="n"/>
      <c r="AS355" s="4" t="n"/>
      <c r="AT355" s="4" t="n"/>
      <c r="AU355" s="4" t="n"/>
      <c r="AV355" s="4" t="n"/>
      <c r="AW355" s="4" t="n"/>
      <c r="AX355" s="4" t="n"/>
      <c r="AY355" s="4" t="n"/>
      <c r="AZ355" s="4" t="n"/>
      <c r="BA355" s="4" t="n"/>
      <c r="BB355" s="4" t="n"/>
      <c r="BC355" s="4" t="n"/>
      <c r="BD355" s="4" t="n"/>
      <c r="BE355" s="4" t="n"/>
      <c r="BF355" s="4" t="n"/>
      <c r="BG355" s="4" t="n"/>
      <c r="BH355" s="4" t="n"/>
      <c r="BI355" s="4" t="n"/>
      <c r="BJ355" s="4" t="n"/>
      <c r="BK355" s="4" t="n"/>
      <c r="BL355" s="4" t="n"/>
      <c r="BM355" s="4" t="n"/>
      <c r="BN355" s="4" t="n"/>
      <c r="BO355" s="4" t="n"/>
      <c r="BP355" s="4" t="n"/>
      <c r="BQ355" s="4" t="n"/>
      <c r="BR355" s="4" t="n"/>
      <c r="BS355" s="4" t="n"/>
      <c r="BT355" s="4" t="n"/>
      <c r="BU355" s="4" t="n"/>
      <c r="BV355" s="4" t="n"/>
      <c r="BW355" s="4" t="n"/>
      <c r="BX355" s="4" t="n"/>
      <c r="BY355" s="4" t="n"/>
      <c r="BZ355" s="4" t="n"/>
      <c r="CA355" s="4" t="n"/>
      <c r="CB355" s="4" t="n"/>
      <c r="CC355" s="4" t="n"/>
      <c r="CD355" s="4" t="n"/>
      <c r="CE355" s="4" t="n"/>
      <c r="CF355" s="4" t="n"/>
      <c r="CG355" s="4" t="n"/>
      <c r="CH355" s="4" t="n"/>
      <c r="CI355" s="4" t="n"/>
      <c r="CJ355" s="4" t="n"/>
      <c r="CK355" s="4" t="n"/>
      <c r="CL355" s="4" t="n"/>
      <c r="CM355" s="4" t="n"/>
      <c r="CN355" s="4" t="n"/>
      <c r="CO355" s="4" t="n"/>
      <c r="CP355" s="4" t="n"/>
      <c r="CQ355" s="4" t="n"/>
      <c r="CR355" s="4" t="n"/>
      <c r="CS355" s="4" t="n"/>
      <c r="CT355" s="4" t="n"/>
      <c r="CU355" s="4" t="n"/>
      <c r="CV355" s="4" t="n"/>
      <c r="CW355" s="4" t="n"/>
      <c r="CX355" s="4" t="n"/>
      <c r="CY355" s="4" t="n"/>
      <c r="CZ355" s="4" t="n"/>
      <c r="DA355" s="4" t="n"/>
      <c r="DB355" s="4" t="n"/>
      <c r="DC355" s="4" t="n"/>
      <c r="DD355" s="4" t="n"/>
      <c r="DE355" s="4" t="n"/>
      <c r="DF355" s="4" t="n"/>
      <c r="DG355" s="4" t="n"/>
      <c r="DH355" s="4" t="n"/>
      <c r="DI355" s="4" t="n"/>
      <c r="DJ355" s="4" t="n"/>
      <c r="DK355" s="4" t="n"/>
      <c r="DL355" s="4" t="n"/>
      <c r="DM355" s="4" t="n"/>
      <c r="DN355" s="4" t="n"/>
      <c r="DO355" s="4" t="n"/>
      <c r="DP355" s="4" t="n"/>
      <c r="DQ355" s="4" t="n"/>
      <c r="DR355" s="4" t="n"/>
      <c r="DS355" s="4" t="n"/>
      <c r="DT355" s="4" t="n"/>
      <c r="DU355" s="4" t="n"/>
      <c r="DV355" s="4" t="n"/>
      <c r="DW355" s="4" t="n"/>
      <c r="DX355" s="4" t="n"/>
      <c r="DY355" s="4" t="n"/>
      <c r="DZ355" s="4" t="n"/>
      <c r="EA355" s="4" t="n"/>
      <c r="EB355" s="4" t="n"/>
      <c r="EC355" s="4" t="n"/>
      <c r="ED355" s="4" t="n"/>
      <c r="EE355" s="4" t="n"/>
      <c r="EF355" s="4" t="n"/>
      <c r="EG355" s="4" t="n"/>
      <c r="EH355" s="4" t="n"/>
      <c r="EI355" s="4" t="n"/>
      <c r="EJ355" s="4" t="n"/>
      <c r="EK355" s="4" t="n"/>
      <c r="EL355" s="4" t="n"/>
      <c r="EM355" s="4" t="n"/>
      <c r="EN355" s="4" t="n"/>
    </row>
    <row r="356" hidden="1" customFormat="1" s="6">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c r="AE356" s="4" t="n"/>
      <c r="AF356" s="4" t="n"/>
      <c r="AG356" s="4" t="n"/>
      <c r="AH356" s="4" t="n"/>
      <c r="AI356" s="4" t="n"/>
      <c r="AJ356" s="4" t="n"/>
      <c r="AK356" s="4" t="n"/>
      <c r="AL356" s="4" t="n"/>
      <c r="AM356" s="4" t="n"/>
      <c r="AN356" s="4" t="n"/>
      <c r="AO356" s="4" t="n"/>
      <c r="AP356" s="4" t="n"/>
      <c r="AQ356" s="4" t="n"/>
      <c r="AR356" s="4" t="n"/>
      <c r="AS356" s="4" t="n"/>
      <c r="AT356" s="4" t="n"/>
      <c r="AU356" s="4" t="n"/>
      <c r="AV356" s="4" t="n"/>
      <c r="AW356" s="4" t="n"/>
      <c r="AX356" s="4" t="n"/>
      <c r="AY356" s="4" t="n"/>
      <c r="AZ356" s="4" t="n"/>
      <c r="BA356" s="4" t="n"/>
      <c r="BB356" s="4" t="n"/>
      <c r="BC356" s="4" t="n"/>
      <c r="BD356" s="4" t="n"/>
      <c r="BE356" s="4" t="n"/>
      <c r="BF356" s="4" t="n"/>
      <c r="BG356" s="4" t="n"/>
      <c r="BH356" s="4" t="n"/>
      <c r="BI356" s="4" t="n"/>
      <c r="BJ356" s="4" t="n"/>
      <c r="BK356" s="4" t="n"/>
      <c r="BL356" s="4" t="n"/>
      <c r="BM356" s="4" t="n"/>
      <c r="BN356" s="4" t="n"/>
      <c r="BO356" s="4" t="n"/>
      <c r="BP356" s="4" t="n"/>
      <c r="BQ356" s="4" t="n"/>
      <c r="BR356" s="4" t="n"/>
      <c r="BS356" s="4" t="n"/>
      <c r="BT356" s="4" t="n"/>
      <c r="BU356" s="4" t="n"/>
      <c r="BV356" s="4" t="n"/>
      <c r="BW356" s="4" t="n"/>
      <c r="BX356" s="4" t="n"/>
      <c r="BY356" s="4" t="n"/>
      <c r="BZ356" s="4" t="n"/>
      <c r="CA356" s="4" t="n"/>
      <c r="CB356" s="4" t="n"/>
      <c r="CC356" s="4" t="n"/>
      <c r="CD356" s="4" t="n"/>
      <c r="CE356" s="4" t="n"/>
      <c r="CF356" s="4" t="n"/>
      <c r="CG356" s="4" t="n"/>
      <c r="CH356" s="4" t="n"/>
      <c r="CI356" s="4" t="n"/>
      <c r="CJ356" s="4" t="n"/>
      <c r="CK356" s="4" t="n"/>
      <c r="CL356" s="4" t="n"/>
      <c r="CM356" s="4" t="n"/>
      <c r="CN356" s="4" t="n"/>
      <c r="CO356" s="4" t="n"/>
      <c r="CP356" s="4" t="n"/>
      <c r="CQ356" s="4" t="n"/>
      <c r="CR356" s="4" t="n"/>
      <c r="CS356" s="4" t="n"/>
      <c r="CT356" s="4" t="n"/>
      <c r="CU356" s="4" t="n"/>
      <c r="CV356" s="4" t="n"/>
      <c r="CW356" s="4" t="n"/>
      <c r="CX356" s="4" t="n"/>
      <c r="CY356" s="4" t="n"/>
      <c r="CZ356" s="4" t="n"/>
      <c r="DA356" s="4" t="n"/>
      <c r="DB356" s="4" t="n"/>
      <c r="DC356" s="4" t="n"/>
      <c r="DD356" s="4" t="n"/>
      <c r="DE356" s="4" t="n"/>
      <c r="DF356" s="4" t="n"/>
      <c r="DG356" s="4" t="n"/>
      <c r="DH356" s="4" t="n"/>
      <c r="DI356" s="4" t="n"/>
      <c r="DJ356" s="4" t="n"/>
      <c r="DK356" s="4" t="n"/>
      <c r="DL356" s="4" t="n"/>
      <c r="DM356" s="4" t="n"/>
      <c r="DN356" s="4" t="n"/>
      <c r="DO356" s="4" t="n"/>
      <c r="DP356" s="4" t="n"/>
      <c r="DQ356" s="4" t="n"/>
      <c r="DR356" s="4" t="n"/>
      <c r="DS356" s="4" t="n"/>
      <c r="DT356" s="4" t="n"/>
      <c r="DU356" s="4" t="n"/>
      <c r="DV356" s="4" t="n"/>
      <c r="DW356" s="4" t="n"/>
      <c r="DX356" s="4" t="n"/>
      <c r="DY356" s="4" t="n"/>
      <c r="DZ356" s="4" t="n"/>
      <c r="EA356" s="4" t="n"/>
      <c r="EB356" s="4" t="n"/>
      <c r="EC356" s="4" t="n"/>
      <c r="ED356" s="4" t="n"/>
      <c r="EE356" s="4" t="n"/>
      <c r="EF356" s="4" t="n"/>
      <c r="EG356" s="4" t="n"/>
      <c r="EH356" s="4" t="n"/>
      <c r="EI356" s="4" t="n"/>
      <c r="EJ356" s="4" t="n"/>
      <c r="EK356" s="4" t="n"/>
      <c r="EL356" s="4" t="n"/>
      <c r="EM356" s="4" t="n"/>
      <c r="EN356" s="4" t="n"/>
    </row>
    <row r="357" hidden="1" customFormat="1" s="6">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c r="AE357" s="4" t="n"/>
      <c r="AF357" s="4" t="n"/>
      <c r="AG357" s="4" t="n"/>
      <c r="AH357" s="4" t="n"/>
      <c r="AI357" s="4" t="n"/>
      <c r="AJ357" s="4" t="n"/>
      <c r="AK357" s="4" t="n"/>
      <c r="AL357" s="4" t="n"/>
      <c r="AM357" s="4" t="n"/>
      <c r="AN357" s="4" t="n"/>
      <c r="AO357" s="4" t="n"/>
      <c r="AP357" s="4" t="n"/>
      <c r="AQ357" s="4" t="n"/>
      <c r="AR357" s="4" t="n"/>
      <c r="AS357" s="4" t="n"/>
      <c r="AT357" s="4" t="n"/>
      <c r="AU357" s="4" t="n"/>
      <c r="AV357" s="4" t="n"/>
      <c r="AW357" s="4" t="n"/>
      <c r="AX357" s="4" t="n"/>
      <c r="AY357" s="4" t="n"/>
      <c r="AZ357" s="4" t="n"/>
      <c r="BA357" s="4" t="n"/>
      <c r="BB357" s="4" t="n"/>
      <c r="BC357" s="4" t="n"/>
      <c r="BD357" s="4" t="n"/>
      <c r="BE357" s="4" t="n"/>
      <c r="BF357" s="4" t="n"/>
      <c r="BG357" s="4" t="n"/>
      <c r="BH357" s="4" t="n"/>
      <c r="BI357" s="4" t="n"/>
      <c r="BJ357" s="4" t="n"/>
      <c r="BK357" s="4" t="n"/>
      <c r="BL357" s="4" t="n"/>
      <c r="BM357" s="4" t="n"/>
      <c r="BN357" s="4" t="n"/>
      <c r="BO357" s="4" t="n"/>
      <c r="BP357" s="4" t="n"/>
      <c r="BQ357" s="4" t="n"/>
      <c r="BR357" s="4" t="n"/>
      <c r="BS357" s="4" t="n"/>
      <c r="BT357" s="4" t="n"/>
      <c r="BU357" s="4" t="n"/>
      <c r="BV357" s="4" t="n"/>
      <c r="BW357" s="4" t="n"/>
      <c r="BX357" s="4" t="n"/>
      <c r="BY357" s="4" t="n"/>
      <c r="BZ357" s="4" t="n"/>
      <c r="CA357" s="4" t="n"/>
      <c r="CB357" s="4" t="n"/>
      <c r="CC357" s="4" t="n"/>
      <c r="CD357" s="4" t="n"/>
      <c r="CE357" s="4" t="n"/>
      <c r="CF357" s="4" t="n"/>
      <c r="CG357" s="4" t="n"/>
      <c r="CH357" s="4" t="n"/>
      <c r="CI357" s="4" t="n"/>
      <c r="CJ357" s="4" t="n"/>
      <c r="CK357" s="4" t="n"/>
      <c r="CL357" s="4" t="n"/>
      <c r="CM357" s="4" t="n"/>
      <c r="CN357" s="4" t="n"/>
      <c r="CO357" s="4" t="n"/>
      <c r="CP357" s="4" t="n"/>
      <c r="CQ357" s="4" t="n"/>
      <c r="CR357" s="4" t="n"/>
      <c r="CS357" s="4" t="n"/>
      <c r="CT357" s="4" t="n"/>
      <c r="CU357" s="4" t="n"/>
      <c r="CV357" s="4" t="n"/>
      <c r="CW357" s="4" t="n"/>
      <c r="CX357" s="4" t="n"/>
      <c r="CY357" s="4" t="n"/>
      <c r="CZ357" s="4" t="n"/>
      <c r="DA357" s="4" t="n"/>
      <c r="DB357" s="4" t="n"/>
      <c r="DC357" s="4" t="n"/>
      <c r="DD357" s="4" t="n"/>
      <c r="DE357" s="4" t="n"/>
      <c r="DF357" s="4" t="n"/>
      <c r="DG357" s="4" t="n"/>
      <c r="DH357" s="4" t="n"/>
      <c r="DI357" s="4" t="n"/>
      <c r="DJ357" s="4" t="n"/>
      <c r="DK357" s="4" t="n"/>
      <c r="DL357" s="4" t="n"/>
      <c r="DM357" s="4" t="n"/>
      <c r="DN357" s="4" t="n"/>
      <c r="DO357" s="4" t="n"/>
      <c r="DP357" s="4" t="n"/>
      <c r="DQ357" s="4" t="n"/>
      <c r="DR357" s="4" t="n"/>
      <c r="DS357" s="4" t="n"/>
      <c r="DT357" s="4" t="n"/>
      <c r="DU357" s="4" t="n"/>
      <c r="DV357" s="4" t="n"/>
      <c r="DW357" s="4" t="n"/>
      <c r="DX357" s="4" t="n"/>
      <c r="DY357" s="4" t="n"/>
      <c r="DZ357" s="4" t="n"/>
      <c r="EA357" s="4" t="n"/>
      <c r="EB357" s="4" t="n"/>
      <c r="EC357" s="4" t="n"/>
      <c r="ED357" s="4" t="n"/>
      <c r="EE357" s="4" t="n"/>
      <c r="EF357" s="4" t="n"/>
      <c r="EG357" s="4" t="n"/>
      <c r="EH357" s="4" t="n"/>
      <c r="EI357" s="4" t="n"/>
      <c r="EJ357" s="4" t="n"/>
      <c r="EK357" s="4" t="n"/>
      <c r="EL357" s="4" t="n"/>
      <c r="EM357" s="4" t="n"/>
      <c r="EN357" s="4" t="n"/>
    </row>
    <row r="358" hidden="1" customFormat="1" s="6">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c r="AE358" s="4" t="n"/>
      <c r="AF358" s="4" t="n"/>
      <c r="AG358" s="4" t="n"/>
      <c r="AH358" s="4" t="n"/>
      <c r="AI358" s="4" t="n"/>
      <c r="AJ358" s="4" t="n"/>
      <c r="AK358" s="4" t="n"/>
      <c r="AL358" s="4" t="n"/>
      <c r="AM358" s="4" t="n"/>
      <c r="AN358" s="4" t="n"/>
      <c r="AO358" s="4" t="n"/>
      <c r="AP358" s="4" t="n"/>
      <c r="AQ358" s="4" t="n"/>
      <c r="AR358" s="4" t="n"/>
      <c r="AS358" s="4" t="n"/>
      <c r="AT358" s="4" t="n"/>
      <c r="AU358" s="4" t="n"/>
      <c r="AV358" s="4" t="n"/>
      <c r="AW358" s="4" t="n"/>
      <c r="AX358" s="4" t="n"/>
      <c r="AY358" s="4" t="n"/>
      <c r="AZ358" s="4" t="n"/>
      <c r="BA358" s="4" t="n"/>
      <c r="BB358" s="4" t="n"/>
      <c r="BC358" s="4" t="n"/>
      <c r="BD358" s="4" t="n"/>
      <c r="BE358" s="4" t="n"/>
      <c r="BF358" s="4" t="n"/>
      <c r="BG358" s="4" t="n"/>
      <c r="BH358" s="4" t="n"/>
      <c r="BI358" s="4" t="n"/>
      <c r="BJ358" s="4" t="n"/>
      <c r="BK358" s="4" t="n"/>
      <c r="BL358" s="4" t="n"/>
      <c r="BM358" s="4" t="n"/>
      <c r="BN358" s="4" t="n"/>
      <c r="BO358" s="4" t="n"/>
      <c r="BP358" s="4" t="n"/>
      <c r="BQ358" s="4" t="n"/>
      <c r="BR358" s="4" t="n"/>
      <c r="BS358" s="4" t="n"/>
      <c r="BT358" s="4" t="n"/>
      <c r="BU358" s="4" t="n"/>
      <c r="BV358" s="4" t="n"/>
      <c r="BW358" s="4" t="n"/>
      <c r="BX358" s="4" t="n"/>
      <c r="BY358" s="4" t="n"/>
      <c r="BZ358" s="4" t="n"/>
      <c r="CA358" s="4" t="n"/>
      <c r="CB358" s="4" t="n"/>
      <c r="CC358" s="4" t="n"/>
      <c r="CD358" s="4" t="n"/>
      <c r="CE358" s="4" t="n"/>
      <c r="CF358" s="4" t="n"/>
      <c r="CG358" s="4" t="n"/>
      <c r="CH358" s="4" t="n"/>
      <c r="CI358" s="4" t="n"/>
      <c r="CJ358" s="4" t="n"/>
      <c r="CK358" s="4" t="n"/>
      <c r="CL358" s="4" t="n"/>
      <c r="CM358" s="4" t="n"/>
      <c r="CN358" s="4" t="n"/>
      <c r="CO358" s="4" t="n"/>
      <c r="CP358" s="4" t="n"/>
      <c r="CQ358" s="4" t="n"/>
      <c r="CR358" s="4" t="n"/>
      <c r="CS358" s="4" t="n"/>
      <c r="CT358" s="4" t="n"/>
      <c r="CU358" s="4" t="n"/>
      <c r="CV358" s="4" t="n"/>
      <c r="CW358" s="4" t="n"/>
      <c r="CX358" s="4" t="n"/>
      <c r="CY358" s="4" t="n"/>
      <c r="CZ358" s="4" t="n"/>
      <c r="DA358" s="4" t="n"/>
      <c r="DB358" s="4" t="n"/>
      <c r="DC358" s="4" t="n"/>
      <c r="DD358" s="4" t="n"/>
      <c r="DE358" s="4" t="n"/>
      <c r="DF358" s="4" t="n"/>
      <c r="DG358" s="4" t="n"/>
      <c r="DH358" s="4" t="n"/>
      <c r="DI358" s="4" t="n"/>
      <c r="DJ358" s="4" t="n"/>
      <c r="DK358" s="4" t="n"/>
      <c r="DL358" s="4" t="n"/>
      <c r="DM358" s="4" t="n"/>
      <c r="DN358" s="4" t="n"/>
      <c r="DO358" s="4" t="n"/>
      <c r="DP358" s="4" t="n"/>
      <c r="DQ358" s="4" t="n"/>
      <c r="DR358" s="4" t="n"/>
      <c r="DS358" s="4" t="n"/>
      <c r="DT358" s="4" t="n"/>
      <c r="DU358" s="4" t="n"/>
      <c r="DV358" s="4" t="n"/>
      <c r="DW358" s="4" t="n"/>
      <c r="DX358" s="4" t="n"/>
      <c r="DY358" s="4" t="n"/>
      <c r="DZ358" s="4" t="n"/>
      <c r="EA358" s="4" t="n"/>
      <c r="EB358" s="4" t="n"/>
      <c r="EC358" s="4" t="n"/>
      <c r="ED358" s="4" t="n"/>
      <c r="EE358" s="4" t="n"/>
      <c r="EF358" s="4" t="n"/>
      <c r="EG358" s="4" t="n"/>
      <c r="EH358" s="4" t="n"/>
      <c r="EI358" s="4" t="n"/>
      <c r="EJ358" s="4" t="n"/>
      <c r="EK358" s="4" t="n"/>
      <c r="EL358" s="4" t="n"/>
      <c r="EM358" s="4" t="n"/>
      <c r="EN358" s="4" t="n"/>
    </row>
    <row r="359" hidden="1" customFormat="1" s="6">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c r="AD359" s="4" t="n"/>
      <c r="AE359" s="4" t="n"/>
      <c r="AF359" s="4" t="n"/>
      <c r="AG359" s="4" t="n"/>
      <c r="AH359" s="4" t="n"/>
      <c r="AI359" s="4" t="n"/>
      <c r="AJ359" s="4" t="n"/>
      <c r="AK359" s="4" t="n"/>
      <c r="AL359" s="4" t="n"/>
      <c r="AM359" s="4" t="n"/>
      <c r="AN359" s="4" t="n"/>
      <c r="AO359" s="4" t="n"/>
      <c r="AP359" s="4" t="n"/>
      <c r="AQ359" s="4" t="n"/>
      <c r="AR359" s="4" t="n"/>
      <c r="AS359" s="4" t="n"/>
      <c r="AT359" s="4" t="n"/>
      <c r="AU359" s="4" t="n"/>
      <c r="AV359" s="4" t="n"/>
      <c r="AW359" s="4" t="n"/>
      <c r="AX359" s="4" t="n"/>
      <c r="AY359" s="4" t="n"/>
      <c r="AZ359" s="4" t="n"/>
      <c r="BA359" s="4" t="n"/>
      <c r="BB359" s="4" t="n"/>
      <c r="BC359" s="4" t="n"/>
      <c r="BD359" s="4" t="n"/>
      <c r="BE359" s="4" t="n"/>
      <c r="BF359" s="4" t="n"/>
      <c r="BG359" s="4" t="n"/>
      <c r="BH359" s="4" t="n"/>
      <c r="BI359" s="4" t="n"/>
      <c r="BJ359" s="4" t="n"/>
      <c r="BK359" s="4" t="n"/>
      <c r="BL359" s="4" t="n"/>
      <c r="BM359" s="4" t="n"/>
      <c r="BN359" s="4" t="n"/>
      <c r="BO359" s="4" t="n"/>
      <c r="BP359" s="4" t="n"/>
      <c r="BQ359" s="4" t="n"/>
      <c r="BR359" s="4" t="n"/>
      <c r="BS359" s="4" t="n"/>
      <c r="BT359" s="4" t="n"/>
      <c r="BU359" s="4" t="n"/>
      <c r="BV359" s="4" t="n"/>
      <c r="BW359" s="4" t="n"/>
      <c r="BX359" s="4" t="n"/>
      <c r="BY359" s="4" t="n"/>
      <c r="BZ359" s="4" t="n"/>
      <c r="CA359" s="4" t="n"/>
      <c r="CB359" s="4" t="n"/>
      <c r="CC359" s="4" t="n"/>
      <c r="CD359" s="4" t="n"/>
      <c r="CE359" s="4" t="n"/>
      <c r="CF359" s="4" t="n"/>
      <c r="CG359" s="4" t="n"/>
      <c r="CH359" s="4" t="n"/>
      <c r="CI359" s="4" t="n"/>
      <c r="CJ359" s="4" t="n"/>
      <c r="CK359" s="4" t="n"/>
      <c r="CL359" s="4" t="n"/>
      <c r="CM359" s="4" t="n"/>
      <c r="CN359" s="4" t="n"/>
      <c r="CO359" s="4" t="n"/>
      <c r="CP359" s="4" t="n"/>
      <c r="CQ359" s="4" t="n"/>
      <c r="CR359" s="4" t="n"/>
      <c r="CS359" s="4" t="n"/>
      <c r="CT359" s="4" t="n"/>
      <c r="CU359" s="4" t="n"/>
      <c r="CV359" s="4" t="n"/>
      <c r="CW359" s="4" t="n"/>
      <c r="CX359" s="4" t="n"/>
      <c r="CY359" s="4" t="n"/>
      <c r="CZ359" s="4" t="n"/>
      <c r="DA359" s="4" t="n"/>
      <c r="DB359" s="4" t="n"/>
      <c r="DC359" s="4" t="n"/>
      <c r="DD359" s="4" t="n"/>
      <c r="DE359" s="4" t="n"/>
      <c r="DF359" s="4" t="n"/>
      <c r="DG359" s="4" t="n"/>
      <c r="DH359" s="4" t="n"/>
      <c r="DI359" s="4" t="n"/>
      <c r="DJ359" s="4" t="n"/>
      <c r="DK359" s="4" t="n"/>
      <c r="DL359" s="4" t="n"/>
      <c r="DM359" s="4" t="n"/>
      <c r="DN359" s="4" t="n"/>
      <c r="DO359" s="4" t="n"/>
      <c r="DP359" s="4" t="n"/>
      <c r="DQ359" s="4" t="n"/>
      <c r="DR359" s="4" t="n"/>
      <c r="DS359" s="4" t="n"/>
      <c r="DT359" s="4" t="n"/>
      <c r="DU359" s="4" t="n"/>
      <c r="DV359" s="4" t="n"/>
      <c r="DW359" s="4" t="n"/>
      <c r="DX359" s="4" t="n"/>
      <c r="DY359" s="4" t="n"/>
      <c r="DZ359" s="4" t="n"/>
      <c r="EA359" s="4" t="n"/>
      <c r="EB359" s="4" t="n"/>
      <c r="EC359" s="4" t="n"/>
      <c r="ED359" s="4" t="n"/>
      <c r="EE359" s="4" t="n"/>
      <c r="EF359" s="4" t="n"/>
      <c r="EG359" s="4" t="n"/>
      <c r="EH359" s="4" t="n"/>
      <c r="EI359" s="4" t="n"/>
      <c r="EJ359" s="4" t="n"/>
      <c r="EK359" s="4" t="n"/>
      <c r="EL359" s="4" t="n"/>
      <c r="EM359" s="4" t="n"/>
      <c r="EN359" s="4" t="n"/>
    </row>
    <row r="360" hidden="1" customFormat="1" s="6">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c r="AC360" s="4" t="n"/>
      <c r="AD360" s="4" t="n"/>
      <c r="AE360" s="4" t="n"/>
      <c r="AF360" s="4" t="n"/>
      <c r="AG360" s="4" t="n"/>
      <c r="AH360" s="4" t="n"/>
      <c r="AI360" s="4" t="n"/>
      <c r="AJ360" s="4" t="n"/>
      <c r="AK360" s="4" t="n"/>
      <c r="AL360" s="4" t="n"/>
      <c r="AM360" s="4" t="n"/>
      <c r="AN360" s="4" t="n"/>
      <c r="AO360" s="4" t="n"/>
      <c r="AP360" s="4" t="n"/>
      <c r="AQ360" s="4" t="n"/>
      <c r="AR360" s="4" t="n"/>
      <c r="AS360" s="4" t="n"/>
      <c r="AT360" s="4" t="n"/>
      <c r="AU360" s="4" t="n"/>
      <c r="AV360" s="4" t="n"/>
      <c r="AW360" s="4" t="n"/>
      <c r="AX360" s="4" t="n"/>
      <c r="AY360" s="4" t="n"/>
      <c r="AZ360" s="4" t="n"/>
      <c r="BA360" s="4" t="n"/>
      <c r="BB360" s="4" t="n"/>
      <c r="BC360" s="4" t="n"/>
      <c r="BD360" s="4" t="n"/>
      <c r="BE360" s="4" t="n"/>
      <c r="BF360" s="4" t="n"/>
      <c r="BG360" s="4" t="n"/>
      <c r="BH360" s="4" t="n"/>
      <c r="BI360" s="4" t="n"/>
      <c r="BJ360" s="4" t="n"/>
      <c r="BK360" s="4" t="n"/>
      <c r="BL360" s="4" t="n"/>
      <c r="BM360" s="4" t="n"/>
      <c r="BN360" s="4" t="n"/>
      <c r="BO360" s="4" t="n"/>
      <c r="BP360" s="4" t="n"/>
      <c r="BQ360" s="4" t="n"/>
      <c r="BR360" s="4" t="n"/>
      <c r="BS360" s="4" t="n"/>
      <c r="BT360" s="4" t="n"/>
      <c r="BU360" s="4" t="n"/>
      <c r="BV360" s="4" t="n"/>
      <c r="BW360" s="4" t="n"/>
      <c r="BX360" s="4" t="n"/>
      <c r="BY360" s="4" t="n"/>
      <c r="BZ360" s="4" t="n"/>
      <c r="CA360" s="4" t="n"/>
      <c r="CB360" s="4" t="n"/>
      <c r="CC360" s="4" t="n"/>
      <c r="CD360" s="4" t="n"/>
      <c r="CE360" s="4" t="n"/>
      <c r="CF360" s="4" t="n"/>
      <c r="CG360" s="4" t="n"/>
      <c r="CH360" s="4" t="n"/>
      <c r="CI360" s="4" t="n"/>
      <c r="CJ360" s="4" t="n"/>
      <c r="CK360" s="4" t="n"/>
      <c r="CL360" s="4" t="n"/>
      <c r="CM360" s="4" t="n"/>
      <c r="CN360" s="4" t="n"/>
      <c r="CO360" s="4" t="n"/>
      <c r="CP360" s="4" t="n"/>
      <c r="CQ360" s="4" t="n"/>
      <c r="CR360" s="4" t="n"/>
      <c r="CS360" s="4" t="n"/>
      <c r="CT360" s="4" t="n"/>
      <c r="CU360" s="4" t="n"/>
      <c r="CV360" s="4" t="n"/>
      <c r="CW360" s="4" t="n"/>
      <c r="CX360" s="4" t="n"/>
      <c r="CY360" s="4" t="n"/>
      <c r="CZ360" s="4" t="n"/>
      <c r="DA360" s="4" t="n"/>
      <c r="DB360" s="4" t="n"/>
      <c r="DC360" s="4" t="n"/>
      <c r="DD360" s="4" t="n"/>
      <c r="DE360" s="4" t="n"/>
      <c r="DF360" s="4" t="n"/>
      <c r="DG360" s="4" t="n"/>
      <c r="DH360" s="4" t="n"/>
      <c r="DI360" s="4" t="n"/>
      <c r="DJ360" s="4" t="n"/>
      <c r="DK360" s="4" t="n"/>
      <c r="DL360" s="4" t="n"/>
      <c r="DM360" s="4" t="n"/>
      <c r="DN360" s="4" t="n"/>
      <c r="DO360" s="4" t="n"/>
      <c r="DP360" s="4" t="n"/>
      <c r="DQ360" s="4" t="n"/>
      <c r="DR360" s="4" t="n"/>
      <c r="DS360" s="4" t="n"/>
      <c r="DT360" s="4" t="n"/>
      <c r="DU360" s="4" t="n"/>
      <c r="DV360" s="4" t="n"/>
      <c r="DW360" s="4" t="n"/>
      <c r="DX360" s="4" t="n"/>
      <c r="DY360" s="4" t="n"/>
      <c r="DZ360" s="4" t="n"/>
      <c r="EA360" s="4" t="n"/>
      <c r="EB360" s="4" t="n"/>
      <c r="EC360" s="4" t="n"/>
      <c r="ED360" s="4" t="n"/>
      <c r="EE360" s="4" t="n"/>
      <c r="EF360" s="4" t="n"/>
      <c r="EG360" s="4" t="n"/>
      <c r="EH360" s="4" t="n"/>
      <c r="EI360" s="4" t="n"/>
      <c r="EJ360" s="4" t="n"/>
      <c r="EK360" s="4" t="n"/>
      <c r="EL360" s="4" t="n"/>
      <c r="EM360" s="4" t="n"/>
      <c r="EN360" s="4" t="n"/>
    </row>
    <row r="361" hidden="1" customFormat="1" s="6">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c r="AD361" s="4" t="n"/>
      <c r="AE361" s="4" t="n"/>
      <c r="AF361" s="4" t="n"/>
      <c r="AG361" s="4" t="n"/>
      <c r="AH361" s="4" t="n"/>
      <c r="AI361" s="4" t="n"/>
      <c r="AJ361" s="4" t="n"/>
      <c r="AK361" s="4" t="n"/>
      <c r="AL361" s="4" t="n"/>
      <c r="AM361" s="4" t="n"/>
      <c r="AN361" s="4" t="n"/>
      <c r="AO361" s="4" t="n"/>
      <c r="AP361" s="4" t="n"/>
      <c r="AQ361" s="4" t="n"/>
      <c r="AR361" s="4" t="n"/>
      <c r="AS361" s="4" t="n"/>
      <c r="AT361" s="4" t="n"/>
      <c r="AU361" s="4" t="n"/>
      <c r="AV361" s="4" t="n"/>
      <c r="AW361" s="4" t="n"/>
      <c r="AX361" s="4" t="n"/>
      <c r="AY361" s="4" t="n"/>
      <c r="AZ361" s="4" t="n"/>
      <c r="BA361" s="4" t="n"/>
      <c r="BB361" s="4" t="n"/>
      <c r="BC361" s="4" t="n"/>
      <c r="BD361" s="4" t="n"/>
      <c r="BE361" s="4" t="n"/>
      <c r="BF361" s="4" t="n"/>
      <c r="BG361" s="4" t="n"/>
      <c r="BH361" s="4" t="n"/>
      <c r="BI361" s="4" t="n"/>
      <c r="BJ361" s="4" t="n"/>
      <c r="BK361" s="4" t="n"/>
      <c r="BL361" s="4" t="n"/>
      <c r="BM361" s="4" t="n"/>
      <c r="BN361" s="4" t="n"/>
      <c r="BO361" s="4" t="n"/>
      <c r="BP361" s="4" t="n"/>
      <c r="BQ361" s="4" t="n"/>
      <c r="BR361" s="4" t="n"/>
      <c r="BS361" s="4" t="n"/>
      <c r="BT361" s="4" t="n"/>
      <c r="BU361" s="4" t="n"/>
      <c r="BV361" s="4" t="n"/>
      <c r="BW361" s="4" t="n"/>
      <c r="BX361" s="4" t="n"/>
      <c r="BY361" s="4" t="n"/>
      <c r="BZ361" s="4" t="n"/>
      <c r="CA361" s="4" t="n"/>
      <c r="CB361" s="4" t="n"/>
      <c r="CC361" s="4" t="n"/>
      <c r="CD361" s="4" t="n"/>
      <c r="CE361" s="4" t="n"/>
      <c r="CF361" s="4" t="n"/>
      <c r="CG361" s="4" t="n"/>
      <c r="CH361" s="4" t="n"/>
      <c r="CI361" s="4" t="n"/>
      <c r="CJ361" s="4" t="n"/>
      <c r="CK361" s="4" t="n"/>
      <c r="CL361" s="4" t="n"/>
      <c r="CM361" s="4" t="n"/>
      <c r="CN361" s="4" t="n"/>
      <c r="CO361" s="4" t="n"/>
      <c r="CP361" s="4" t="n"/>
      <c r="CQ361" s="4" t="n"/>
      <c r="CR361" s="4" t="n"/>
      <c r="CS361" s="4" t="n"/>
      <c r="CT361" s="4" t="n"/>
      <c r="CU361" s="4" t="n"/>
      <c r="CV361" s="4" t="n"/>
      <c r="CW361" s="4" t="n"/>
      <c r="CX361" s="4" t="n"/>
      <c r="CY361" s="4" t="n"/>
      <c r="CZ361" s="4" t="n"/>
      <c r="DA361" s="4" t="n"/>
      <c r="DB361" s="4" t="n"/>
      <c r="DC361" s="4" t="n"/>
      <c r="DD361" s="4" t="n"/>
      <c r="DE361" s="4" t="n"/>
      <c r="DF361" s="4" t="n"/>
      <c r="DG361" s="4" t="n"/>
      <c r="DH361" s="4" t="n"/>
      <c r="DI361" s="4" t="n"/>
      <c r="DJ361" s="4" t="n"/>
      <c r="DK361" s="4" t="n"/>
      <c r="DL361" s="4" t="n"/>
      <c r="DM361" s="4" t="n"/>
      <c r="DN361" s="4" t="n"/>
      <c r="DO361" s="4" t="n"/>
      <c r="DP361" s="4" t="n"/>
      <c r="DQ361" s="4" t="n"/>
      <c r="DR361" s="4" t="n"/>
      <c r="DS361" s="4" t="n"/>
      <c r="DT361" s="4" t="n"/>
      <c r="DU361" s="4" t="n"/>
      <c r="DV361" s="4" t="n"/>
      <c r="DW361" s="4" t="n"/>
      <c r="DX361" s="4" t="n"/>
      <c r="DY361" s="4" t="n"/>
      <c r="DZ361" s="4" t="n"/>
      <c r="EA361" s="4" t="n"/>
      <c r="EB361" s="4" t="n"/>
      <c r="EC361" s="4" t="n"/>
      <c r="ED361" s="4" t="n"/>
      <c r="EE361" s="4" t="n"/>
      <c r="EF361" s="4" t="n"/>
      <c r="EG361" s="4" t="n"/>
      <c r="EH361" s="4" t="n"/>
      <c r="EI361" s="4" t="n"/>
      <c r="EJ361" s="4" t="n"/>
      <c r="EK361" s="4" t="n"/>
      <c r="EL361" s="4" t="n"/>
      <c r="EM361" s="4" t="n"/>
      <c r="EN361" s="4" t="n"/>
    </row>
    <row r="362" hidden="1" customFormat="1" s="6">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c r="AE362" s="4" t="n"/>
      <c r="AF362" s="4" t="n"/>
      <c r="AG362" s="4" t="n"/>
      <c r="AH362" s="4" t="n"/>
      <c r="AI362" s="4" t="n"/>
      <c r="AJ362" s="4" t="n"/>
      <c r="AK362" s="4" t="n"/>
      <c r="AL362" s="4" t="n"/>
      <c r="AM362" s="4" t="n"/>
      <c r="AN362" s="4" t="n"/>
      <c r="AO362" s="4" t="n"/>
      <c r="AP362" s="4" t="n"/>
      <c r="AQ362" s="4" t="n"/>
      <c r="AR362" s="4" t="n"/>
      <c r="AS362" s="4" t="n"/>
      <c r="AT362" s="4" t="n"/>
      <c r="AU362" s="4" t="n"/>
      <c r="AV362" s="4" t="n"/>
      <c r="AW362" s="4" t="n"/>
      <c r="AX362" s="4" t="n"/>
      <c r="AY362" s="4" t="n"/>
      <c r="AZ362" s="4" t="n"/>
      <c r="BA362" s="4" t="n"/>
      <c r="BB362" s="4" t="n"/>
      <c r="BC362" s="4" t="n"/>
      <c r="BD362" s="4" t="n"/>
      <c r="BE362" s="4" t="n"/>
      <c r="BF362" s="4" t="n"/>
      <c r="BG362" s="4" t="n"/>
      <c r="BH362" s="4" t="n"/>
      <c r="BI362" s="4" t="n"/>
      <c r="BJ362" s="4" t="n"/>
      <c r="BK362" s="4" t="n"/>
      <c r="BL362" s="4" t="n"/>
      <c r="BM362" s="4" t="n"/>
      <c r="BN362" s="4" t="n"/>
      <c r="BO362" s="4" t="n"/>
      <c r="BP362" s="4" t="n"/>
      <c r="BQ362" s="4" t="n"/>
      <c r="BR362" s="4" t="n"/>
      <c r="BS362" s="4" t="n"/>
      <c r="BT362" s="4" t="n"/>
      <c r="BU362" s="4" t="n"/>
      <c r="BV362" s="4" t="n"/>
      <c r="BW362" s="4" t="n"/>
      <c r="BX362" s="4" t="n"/>
      <c r="BY362" s="4" t="n"/>
      <c r="BZ362" s="4" t="n"/>
      <c r="CA362" s="4" t="n"/>
      <c r="CB362" s="4" t="n"/>
      <c r="CC362" s="4" t="n"/>
      <c r="CD362" s="4" t="n"/>
      <c r="CE362" s="4" t="n"/>
      <c r="CF362" s="4" t="n"/>
      <c r="CG362" s="4" t="n"/>
      <c r="CH362" s="4" t="n"/>
      <c r="CI362" s="4" t="n"/>
      <c r="CJ362" s="4" t="n"/>
      <c r="CK362" s="4" t="n"/>
      <c r="CL362" s="4" t="n"/>
      <c r="CM362" s="4" t="n"/>
      <c r="CN362" s="4" t="n"/>
      <c r="CO362" s="4" t="n"/>
      <c r="CP362" s="4" t="n"/>
      <c r="CQ362" s="4" t="n"/>
      <c r="CR362" s="4" t="n"/>
      <c r="CS362" s="4" t="n"/>
      <c r="CT362" s="4" t="n"/>
      <c r="CU362" s="4" t="n"/>
      <c r="CV362" s="4" t="n"/>
      <c r="CW362" s="4" t="n"/>
      <c r="CX362" s="4" t="n"/>
      <c r="CY362" s="4" t="n"/>
      <c r="CZ362" s="4" t="n"/>
      <c r="DA362" s="4" t="n"/>
      <c r="DB362" s="4" t="n"/>
      <c r="DC362" s="4" t="n"/>
      <c r="DD362" s="4" t="n"/>
      <c r="DE362" s="4" t="n"/>
      <c r="DF362" s="4" t="n"/>
      <c r="DG362" s="4" t="n"/>
      <c r="DH362" s="4" t="n"/>
      <c r="DI362" s="4" t="n"/>
      <c r="DJ362" s="4" t="n"/>
      <c r="DK362" s="4" t="n"/>
      <c r="DL362" s="4" t="n"/>
      <c r="DM362" s="4" t="n"/>
      <c r="DN362" s="4" t="n"/>
      <c r="DO362" s="4" t="n"/>
      <c r="DP362" s="4" t="n"/>
      <c r="DQ362" s="4" t="n"/>
      <c r="DR362" s="4" t="n"/>
      <c r="DS362" s="4" t="n"/>
      <c r="DT362" s="4" t="n"/>
      <c r="DU362" s="4" t="n"/>
      <c r="DV362" s="4" t="n"/>
      <c r="DW362" s="4" t="n"/>
      <c r="DX362" s="4" t="n"/>
      <c r="DY362" s="4" t="n"/>
      <c r="DZ362" s="4" t="n"/>
      <c r="EA362" s="4" t="n"/>
      <c r="EB362" s="4" t="n"/>
      <c r="EC362" s="4" t="n"/>
      <c r="ED362" s="4" t="n"/>
      <c r="EE362" s="4" t="n"/>
      <c r="EF362" s="4" t="n"/>
      <c r="EG362" s="4" t="n"/>
      <c r="EH362" s="4" t="n"/>
      <c r="EI362" s="4" t="n"/>
      <c r="EJ362" s="4" t="n"/>
      <c r="EK362" s="4" t="n"/>
      <c r="EL362" s="4" t="n"/>
      <c r="EM362" s="4" t="n"/>
      <c r="EN362" s="4" t="n"/>
    </row>
    <row r="363" hidden="1" customFormat="1" s="6">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c r="AD363" s="4" t="n"/>
      <c r="AE363" s="4" t="n"/>
      <c r="AF363" s="4" t="n"/>
      <c r="AG363" s="4" t="n"/>
      <c r="AH363" s="4" t="n"/>
      <c r="AI363" s="4" t="n"/>
      <c r="AJ363" s="4" t="n"/>
      <c r="AK363" s="4" t="n"/>
      <c r="AL363" s="4" t="n"/>
      <c r="AM363" s="4" t="n"/>
      <c r="AN363" s="4" t="n"/>
      <c r="AO363" s="4" t="n"/>
      <c r="AP363" s="4" t="n"/>
      <c r="AQ363" s="4" t="n"/>
      <c r="AR363" s="4" t="n"/>
      <c r="AS363" s="4" t="n"/>
      <c r="AT363" s="4" t="n"/>
      <c r="AU363" s="4" t="n"/>
      <c r="AV363" s="4" t="n"/>
      <c r="AW363" s="4" t="n"/>
      <c r="AX363" s="4" t="n"/>
      <c r="AY363" s="4" t="n"/>
      <c r="AZ363" s="4" t="n"/>
      <c r="BA363" s="4" t="n"/>
      <c r="BB363" s="4" t="n"/>
      <c r="BC363" s="4" t="n"/>
      <c r="BD363" s="4" t="n"/>
      <c r="BE363" s="4" t="n"/>
      <c r="BF363" s="4" t="n"/>
      <c r="BG363" s="4" t="n"/>
      <c r="BH363" s="4" t="n"/>
      <c r="BI363" s="4" t="n"/>
      <c r="BJ363" s="4" t="n"/>
      <c r="BK363" s="4" t="n"/>
      <c r="BL363" s="4" t="n"/>
      <c r="BM363" s="4" t="n"/>
      <c r="BN363" s="4" t="n"/>
      <c r="BO363" s="4" t="n"/>
      <c r="BP363" s="4" t="n"/>
      <c r="BQ363" s="4" t="n"/>
      <c r="BR363" s="4" t="n"/>
      <c r="BS363" s="4" t="n"/>
      <c r="BT363" s="4" t="n"/>
      <c r="BU363" s="4" t="n"/>
      <c r="BV363" s="4" t="n"/>
      <c r="BW363" s="4" t="n"/>
      <c r="BX363" s="4" t="n"/>
      <c r="BY363" s="4" t="n"/>
      <c r="BZ363" s="4" t="n"/>
      <c r="CA363" s="4" t="n"/>
      <c r="CB363" s="4" t="n"/>
      <c r="CC363" s="4" t="n"/>
      <c r="CD363" s="4" t="n"/>
      <c r="CE363" s="4" t="n"/>
      <c r="CF363" s="4" t="n"/>
      <c r="CG363" s="4" t="n"/>
      <c r="CH363" s="4" t="n"/>
      <c r="CI363" s="4" t="n"/>
      <c r="CJ363" s="4" t="n"/>
      <c r="CK363" s="4" t="n"/>
      <c r="CL363" s="4" t="n"/>
      <c r="CM363" s="4" t="n"/>
      <c r="CN363" s="4" t="n"/>
      <c r="CO363" s="4" t="n"/>
      <c r="CP363" s="4" t="n"/>
      <c r="CQ363" s="4" t="n"/>
      <c r="CR363" s="4" t="n"/>
      <c r="CS363" s="4" t="n"/>
      <c r="CT363" s="4" t="n"/>
      <c r="CU363" s="4" t="n"/>
      <c r="CV363" s="4" t="n"/>
      <c r="CW363" s="4" t="n"/>
      <c r="CX363" s="4" t="n"/>
      <c r="CY363" s="4" t="n"/>
      <c r="CZ363" s="4" t="n"/>
      <c r="DA363" s="4" t="n"/>
      <c r="DB363" s="4" t="n"/>
      <c r="DC363" s="4" t="n"/>
      <c r="DD363" s="4" t="n"/>
      <c r="DE363" s="4" t="n"/>
      <c r="DF363" s="4" t="n"/>
      <c r="DG363" s="4" t="n"/>
      <c r="DH363" s="4" t="n"/>
      <c r="DI363" s="4" t="n"/>
      <c r="DJ363" s="4" t="n"/>
      <c r="DK363" s="4" t="n"/>
      <c r="DL363" s="4" t="n"/>
      <c r="DM363" s="4" t="n"/>
      <c r="DN363" s="4" t="n"/>
      <c r="DO363" s="4" t="n"/>
      <c r="DP363" s="4" t="n"/>
      <c r="DQ363" s="4" t="n"/>
      <c r="DR363" s="4" t="n"/>
      <c r="DS363" s="4" t="n"/>
      <c r="DT363" s="4" t="n"/>
      <c r="DU363" s="4" t="n"/>
      <c r="DV363" s="4" t="n"/>
      <c r="DW363" s="4" t="n"/>
      <c r="DX363" s="4" t="n"/>
      <c r="DY363" s="4" t="n"/>
      <c r="DZ363" s="4" t="n"/>
      <c r="EA363" s="4" t="n"/>
      <c r="EB363" s="4" t="n"/>
      <c r="EC363" s="4" t="n"/>
      <c r="ED363" s="4" t="n"/>
      <c r="EE363" s="4" t="n"/>
      <c r="EF363" s="4" t="n"/>
      <c r="EG363" s="4" t="n"/>
      <c r="EH363" s="4" t="n"/>
      <c r="EI363" s="4" t="n"/>
      <c r="EJ363" s="4" t="n"/>
      <c r="EK363" s="4" t="n"/>
      <c r="EL363" s="4" t="n"/>
      <c r="EM363" s="4" t="n"/>
      <c r="EN363" s="4" t="n"/>
    </row>
    <row r="364" hidden="1" customFormat="1" s="6">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c r="AD364" s="4" t="n"/>
      <c r="AE364" s="4" t="n"/>
      <c r="AF364" s="4" t="n"/>
      <c r="AG364" s="4" t="n"/>
      <c r="AH364" s="4" t="n"/>
      <c r="AI364" s="4" t="n"/>
      <c r="AJ364" s="4" t="n"/>
      <c r="AK364" s="4" t="n"/>
      <c r="AL364" s="4" t="n"/>
      <c r="AM364" s="4" t="n"/>
      <c r="AN364" s="4" t="n"/>
      <c r="AO364" s="4" t="n"/>
      <c r="AP364" s="4" t="n"/>
      <c r="AQ364" s="4" t="n"/>
      <c r="AR364" s="4" t="n"/>
      <c r="AS364" s="4" t="n"/>
      <c r="AT364" s="4" t="n"/>
      <c r="AU364" s="4" t="n"/>
      <c r="AV364" s="4" t="n"/>
      <c r="AW364" s="4" t="n"/>
      <c r="AX364" s="4" t="n"/>
      <c r="AY364" s="4" t="n"/>
      <c r="AZ364" s="4" t="n"/>
      <c r="BA364" s="4" t="n"/>
      <c r="BB364" s="4" t="n"/>
      <c r="BC364" s="4" t="n"/>
      <c r="BD364" s="4" t="n"/>
      <c r="BE364" s="4" t="n"/>
      <c r="BF364" s="4" t="n"/>
      <c r="BG364" s="4" t="n"/>
      <c r="BH364" s="4" t="n"/>
      <c r="BI364" s="4" t="n"/>
      <c r="BJ364" s="4" t="n"/>
      <c r="BK364" s="4" t="n"/>
      <c r="BL364" s="4" t="n"/>
      <c r="BM364" s="4" t="n"/>
      <c r="BN364" s="4" t="n"/>
      <c r="BO364" s="4" t="n"/>
      <c r="BP364" s="4" t="n"/>
      <c r="BQ364" s="4" t="n"/>
      <c r="BR364" s="4" t="n"/>
      <c r="BS364" s="4" t="n"/>
      <c r="BT364" s="4" t="n"/>
      <c r="BU364" s="4" t="n"/>
      <c r="BV364" s="4" t="n"/>
      <c r="BW364" s="4" t="n"/>
      <c r="BX364" s="4" t="n"/>
      <c r="BY364" s="4" t="n"/>
      <c r="BZ364" s="4" t="n"/>
      <c r="CA364" s="4" t="n"/>
      <c r="CB364" s="4" t="n"/>
      <c r="CC364" s="4" t="n"/>
      <c r="CD364" s="4" t="n"/>
      <c r="CE364" s="4" t="n"/>
      <c r="CF364" s="4" t="n"/>
      <c r="CG364" s="4" t="n"/>
      <c r="CH364" s="4" t="n"/>
      <c r="CI364" s="4" t="n"/>
      <c r="CJ364" s="4" t="n"/>
      <c r="CK364" s="4" t="n"/>
      <c r="CL364" s="4" t="n"/>
      <c r="CM364" s="4" t="n"/>
      <c r="CN364" s="4" t="n"/>
      <c r="CO364" s="4" t="n"/>
      <c r="CP364" s="4" t="n"/>
      <c r="CQ364" s="4" t="n"/>
      <c r="CR364" s="4" t="n"/>
      <c r="CS364" s="4" t="n"/>
      <c r="CT364" s="4" t="n"/>
      <c r="CU364" s="4" t="n"/>
      <c r="CV364" s="4" t="n"/>
      <c r="CW364" s="4" t="n"/>
      <c r="CX364" s="4" t="n"/>
      <c r="CY364" s="4" t="n"/>
      <c r="CZ364" s="4" t="n"/>
      <c r="DA364" s="4" t="n"/>
      <c r="DB364" s="4" t="n"/>
      <c r="DC364" s="4" t="n"/>
      <c r="DD364" s="4" t="n"/>
      <c r="DE364" s="4" t="n"/>
      <c r="DF364" s="4" t="n"/>
      <c r="DG364" s="4" t="n"/>
      <c r="DH364" s="4" t="n"/>
      <c r="DI364" s="4" t="n"/>
      <c r="DJ364" s="4" t="n"/>
      <c r="DK364" s="4" t="n"/>
      <c r="DL364" s="4" t="n"/>
      <c r="DM364" s="4" t="n"/>
      <c r="DN364" s="4" t="n"/>
      <c r="DO364" s="4" t="n"/>
      <c r="DP364" s="4" t="n"/>
      <c r="DQ364" s="4" t="n"/>
      <c r="DR364" s="4" t="n"/>
      <c r="DS364" s="4" t="n"/>
      <c r="DT364" s="4" t="n"/>
      <c r="DU364" s="4" t="n"/>
      <c r="DV364" s="4" t="n"/>
      <c r="DW364" s="4" t="n"/>
      <c r="DX364" s="4" t="n"/>
      <c r="DY364" s="4" t="n"/>
      <c r="DZ364" s="4" t="n"/>
      <c r="EA364" s="4" t="n"/>
      <c r="EB364" s="4" t="n"/>
      <c r="EC364" s="4" t="n"/>
      <c r="ED364" s="4" t="n"/>
      <c r="EE364" s="4" t="n"/>
      <c r="EF364" s="4" t="n"/>
      <c r="EG364" s="4" t="n"/>
      <c r="EH364" s="4" t="n"/>
      <c r="EI364" s="4" t="n"/>
      <c r="EJ364" s="4" t="n"/>
      <c r="EK364" s="4" t="n"/>
      <c r="EL364" s="4" t="n"/>
      <c r="EM364" s="4" t="n"/>
      <c r="EN364" s="4" t="n"/>
    </row>
    <row r="365" hidden="1" customFormat="1" s="6">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c r="AD365" s="4" t="n"/>
      <c r="AE365" s="4" t="n"/>
      <c r="AF365" s="4" t="n"/>
      <c r="AG365" s="4" t="n"/>
      <c r="AH365" s="4" t="n"/>
      <c r="AI365" s="4" t="n"/>
      <c r="AJ365" s="4" t="n"/>
      <c r="AK365" s="4" t="n"/>
      <c r="AL365" s="4" t="n"/>
      <c r="AM365" s="4" t="n"/>
      <c r="AN365" s="4" t="n"/>
      <c r="AO365" s="4" t="n"/>
      <c r="AP365" s="4" t="n"/>
      <c r="AQ365" s="4" t="n"/>
      <c r="AR365" s="4" t="n"/>
      <c r="AS365" s="4" t="n"/>
      <c r="AT365" s="4" t="n"/>
      <c r="AU365" s="4" t="n"/>
      <c r="AV365" s="4" t="n"/>
      <c r="AW365" s="4" t="n"/>
      <c r="AX365" s="4" t="n"/>
      <c r="AY365" s="4" t="n"/>
      <c r="AZ365" s="4" t="n"/>
      <c r="BA365" s="4" t="n"/>
      <c r="BB365" s="4" t="n"/>
      <c r="BC365" s="4" t="n"/>
      <c r="BD365" s="4" t="n"/>
      <c r="BE365" s="4" t="n"/>
      <c r="BF365" s="4" t="n"/>
      <c r="BG365" s="4" t="n"/>
      <c r="BH365" s="4" t="n"/>
      <c r="BI365" s="4" t="n"/>
      <c r="BJ365" s="4" t="n"/>
      <c r="BK365" s="4" t="n"/>
      <c r="BL365" s="4" t="n"/>
      <c r="BM365" s="4" t="n"/>
      <c r="BN365" s="4" t="n"/>
      <c r="BO365" s="4" t="n"/>
      <c r="BP365" s="4" t="n"/>
      <c r="BQ365" s="4" t="n"/>
      <c r="BR365" s="4" t="n"/>
      <c r="BS365" s="4" t="n"/>
      <c r="BT365" s="4" t="n"/>
      <c r="BU365" s="4" t="n"/>
      <c r="BV365" s="4" t="n"/>
      <c r="BW365" s="4" t="n"/>
      <c r="BX365" s="4" t="n"/>
      <c r="BY365" s="4" t="n"/>
      <c r="BZ365" s="4" t="n"/>
      <c r="CA365" s="4" t="n"/>
      <c r="CB365" s="4" t="n"/>
      <c r="CC365" s="4" t="n"/>
      <c r="CD365" s="4" t="n"/>
      <c r="CE365" s="4" t="n"/>
      <c r="CF365" s="4" t="n"/>
      <c r="CG365" s="4" t="n"/>
      <c r="CH365" s="4" t="n"/>
      <c r="CI365" s="4" t="n"/>
      <c r="CJ365" s="4" t="n"/>
      <c r="CK365" s="4" t="n"/>
      <c r="CL365" s="4" t="n"/>
      <c r="CM365" s="4" t="n"/>
      <c r="CN365" s="4" t="n"/>
      <c r="CO365" s="4" t="n"/>
      <c r="CP365" s="4" t="n"/>
      <c r="CQ365" s="4" t="n"/>
      <c r="CR365" s="4" t="n"/>
      <c r="CS365" s="4" t="n"/>
      <c r="CT365" s="4" t="n"/>
      <c r="CU365" s="4" t="n"/>
      <c r="CV365" s="4" t="n"/>
      <c r="CW365" s="4" t="n"/>
      <c r="CX365" s="4" t="n"/>
      <c r="CY365" s="4" t="n"/>
      <c r="CZ365" s="4" t="n"/>
      <c r="DA365" s="4" t="n"/>
      <c r="DB365" s="4" t="n"/>
      <c r="DC365" s="4" t="n"/>
      <c r="DD365" s="4" t="n"/>
      <c r="DE365" s="4" t="n"/>
      <c r="DF365" s="4" t="n"/>
      <c r="DG365" s="4" t="n"/>
      <c r="DH365" s="4" t="n"/>
      <c r="DI365" s="4" t="n"/>
      <c r="DJ365" s="4" t="n"/>
      <c r="DK365" s="4" t="n"/>
      <c r="DL365" s="4" t="n"/>
      <c r="DM365" s="4" t="n"/>
      <c r="DN365" s="4" t="n"/>
      <c r="DO365" s="4" t="n"/>
      <c r="DP365" s="4" t="n"/>
      <c r="DQ365" s="4" t="n"/>
      <c r="DR365" s="4" t="n"/>
      <c r="DS365" s="4" t="n"/>
      <c r="DT365" s="4" t="n"/>
      <c r="DU365" s="4" t="n"/>
      <c r="DV365" s="4" t="n"/>
      <c r="DW365" s="4" t="n"/>
      <c r="DX365" s="4" t="n"/>
      <c r="DY365" s="4" t="n"/>
      <c r="DZ365" s="4" t="n"/>
      <c r="EA365" s="4" t="n"/>
      <c r="EB365" s="4" t="n"/>
      <c r="EC365" s="4" t="n"/>
      <c r="ED365" s="4" t="n"/>
      <c r="EE365" s="4" t="n"/>
      <c r="EF365" s="4" t="n"/>
      <c r="EG365" s="4" t="n"/>
      <c r="EH365" s="4" t="n"/>
      <c r="EI365" s="4" t="n"/>
      <c r="EJ365" s="4" t="n"/>
      <c r="EK365" s="4" t="n"/>
      <c r="EL365" s="4" t="n"/>
      <c r="EM365" s="4" t="n"/>
      <c r="EN365" s="4" t="n"/>
    </row>
    <row r="366" hidden="1" customFormat="1" s="6">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c r="AE366" s="4" t="n"/>
      <c r="AF366" s="4" t="n"/>
      <c r="AG366" s="4" t="n"/>
      <c r="AH366" s="4" t="n"/>
      <c r="AI366" s="4" t="n"/>
      <c r="AJ366" s="4" t="n"/>
      <c r="AK366" s="4" t="n"/>
      <c r="AL366" s="4" t="n"/>
      <c r="AM366" s="4" t="n"/>
      <c r="AN366" s="4" t="n"/>
      <c r="AO366" s="4" t="n"/>
      <c r="AP366" s="4" t="n"/>
      <c r="AQ366" s="4" t="n"/>
      <c r="AR366" s="4" t="n"/>
      <c r="AS366" s="4" t="n"/>
      <c r="AT366" s="4" t="n"/>
      <c r="AU366" s="4" t="n"/>
      <c r="AV366" s="4" t="n"/>
      <c r="AW366" s="4" t="n"/>
      <c r="AX366" s="4" t="n"/>
      <c r="AY366" s="4" t="n"/>
      <c r="AZ366" s="4" t="n"/>
      <c r="BA366" s="4" t="n"/>
      <c r="BB366" s="4" t="n"/>
      <c r="BC366" s="4" t="n"/>
      <c r="BD366" s="4" t="n"/>
      <c r="BE366" s="4" t="n"/>
      <c r="BF366" s="4" t="n"/>
      <c r="BG366" s="4" t="n"/>
      <c r="BH366" s="4" t="n"/>
      <c r="BI366" s="4" t="n"/>
      <c r="BJ366" s="4" t="n"/>
      <c r="BK366" s="4" t="n"/>
      <c r="BL366" s="4" t="n"/>
      <c r="BM366" s="4" t="n"/>
      <c r="BN366" s="4" t="n"/>
      <c r="BO366" s="4" t="n"/>
      <c r="BP366" s="4" t="n"/>
      <c r="BQ366" s="4" t="n"/>
      <c r="BR366" s="4" t="n"/>
      <c r="BS366" s="4" t="n"/>
      <c r="BT366" s="4" t="n"/>
      <c r="BU366" s="4" t="n"/>
      <c r="BV366" s="4" t="n"/>
      <c r="BW366" s="4" t="n"/>
      <c r="BX366" s="4" t="n"/>
      <c r="BY366" s="4" t="n"/>
      <c r="BZ366" s="4" t="n"/>
      <c r="CA366" s="4" t="n"/>
      <c r="CB366" s="4" t="n"/>
      <c r="CC366" s="4" t="n"/>
      <c r="CD366" s="4" t="n"/>
      <c r="CE366" s="4" t="n"/>
      <c r="CF366" s="4" t="n"/>
      <c r="CG366" s="4" t="n"/>
      <c r="CH366" s="4" t="n"/>
      <c r="CI366" s="4" t="n"/>
      <c r="CJ366" s="4" t="n"/>
      <c r="CK366" s="4" t="n"/>
      <c r="CL366" s="4" t="n"/>
      <c r="CM366" s="4" t="n"/>
      <c r="CN366" s="4" t="n"/>
      <c r="CO366" s="4" t="n"/>
      <c r="CP366" s="4" t="n"/>
      <c r="CQ366" s="4" t="n"/>
      <c r="CR366" s="4" t="n"/>
      <c r="CS366" s="4" t="n"/>
      <c r="CT366" s="4" t="n"/>
      <c r="CU366" s="4" t="n"/>
      <c r="CV366" s="4" t="n"/>
      <c r="CW366" s="4" t="n"/>
      <c r="CX366" s="4" t="n"/>
      <c r="CY366" s="4" t="n"/>
      <c r="CZ366" s="4" t="n"/>
      <c r="DA366" s="4" t="n"/>
      <c r="DB366" s="4" t="n"/>
      <c r="DC366" s="4" t="n"/>
      <c r="DD366" s="4" t="n"/>
      <c r="DE366" s="4" t="n"/>
      <c r="DF366" s="4" t="n"/>
      <c r="DG366" s="4" t="n"/>
      <c r="DH366" s="4" t="n"/>
      <c r="DI366" s="4" t="n"/>
      <c r="DJ366" s="4" t="n"/>
      <c r="DK366" s="4" t="n"/>
      <c r="DL366" s="4" t="n"/>
      <c r="DM366" s="4" t="n"/>
      <c r="DN366" s="4" t="n"/>
      <c r="DO366" s="4" t="n"/>
      <c r="DP366" s="4" t="n"/>
      <c r="DQ366" s="4" t="n"/>
      <c r="DR366" s="4" t="n"/>
      <c r="DS366" s="4" t="n"/>
      <c r="DT366" s="4" t="n"/>
      <c r="DU366" s="4" t="n"/>
      <c r="DV366" s="4" t="n"/>
      <c r="DW366" s="4" t="n"/>
      <c r="DX366" s="4" t="n"/>
      <c r="DY366" s="4" t="n"/>
      <c r="DZ366" s="4" t="n"/>
      <c r="EA366" s="4" t="n"/>
      <c r="EB366" s="4" t="n"/>
      <c r="EC366" s="4" t="n"/>
      <c r="ED366" s="4" t="n"/>
      <c r="EE366" s="4" t="n"/>
      <c r="EF366" s="4" t="n"/>
      <c r="EG366" s="4" t="n"/>
      <c r="EH366" s="4" t="n"/>
      <c r="EI366" s="4" t="n"/>
      <c r="EJ366" s="4" t="n"/>
      <c r="EK366" s="4" t="n"/>
      <c r="EL366" s="4" t="n"/>
      <c r="EM366" s="4" t="n"/>
      <c r="EN366" s="4" t="n"/>
    </row>
    <row r="367" hidden="1" customFormat="1" s="6">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c r="AD367" s="4" t="n"/>
      <c r="AE367" s="4" t="n"/>
      <c r="AF367" s="4" t="n"/>
      <c r="AG367" s="4" t="n"/>
      <c r="AH367" s="4" t="n"/>
      <c r="AI367" s="4" t="n"/>
      <c r="AJ367" s="4" t="n"/>
      <c r="AK367" s="4" t="n"/>
      <c r="AL367" s="4" t="n"/>
      <c r="AM367" s="4" t="n"/>
      <c r="AN367" s="4" t="n"/>
      <c r="AO367" s="4" t="n"/>
      <c r="AP367" s="4" t="n"/>
      <c r="AQ367" s="4" t="n"/>
      <c r="AR367" s="4" t="n"/>
      <c r="AS367" s="4" t="n"/>
      <c r="AT367" s="4" t="n"/>
      <c r="AU367" s="4" t="n"/>
      <c r="AV367" s="4" t="n"/>
      <c r="AW367" s="4" t="n"/>
      <c r="AX367" s="4" t="n"/>
      <c r="AY367" s="4" t="n"/>
      <c r="AZ367" s="4" t="n"/>
      <c r="BA367" s="4" t="n"/>
      <c r="BB367" s="4" t="n"/>
      <c r="BC367" s="4" t="n"/>
      <c r="BD367" s="4" t="n"/>
      <c r="BE367" s="4" t="n"/>
      <c r="BF367" s="4" t="n"/>
      <c r="BG367" s="4" t="n"/>
      <c r="BH367" s="4" t="n"/>
      <c r="BI367" s="4" t="n"/>
      <c r="BJ367" s="4" t="n"/>
      <c r="BK367" s="4" t="n"/>
      <c r="BL367" s="4" t="n"/>
      <c r="BM367" s="4" t="n"/>
      <c r="BN367" s="4" t="n"/>
      <c r="BO367" s="4" t="n"/>
      <c r="BP367" s="4" t="n"/>
      <c r="BQ367" s="4" t="n"/>
      <c r="BR367" s="4" t="n"/>
      <c r="BS367" s="4" t="n"/>
      <c r="BT367" s="4" t="n"/>
      <c r="BU367" s="4" t="n"/>
      <c r="BV367" s="4" t="n"/>
      <c r="BW367" s="4" t="n"/>
      <c r="BX367" s="4" t="n"/>
      <c r="BY367" s="4" t="n"/>
      <c r="BZ367" s="4" t="n"/>
      <c r="CA367" s="4" t="n"/>
      <c r="CB367" s="4" t="n"/>
      <c r="CC367" s="4" t="n"/>
      <c r="CD367" s="4" t="n"/>
      <c r="CE367" s="4" t="n"/>
      <c r="CF367" s="4" t="n"/>
      <c r="CG367" s="4" t="n"/>
      <c r="CH367" s="4" t="n"/>
      <c r="CI367" s="4" t="n"/>
      <c r="CJ367" s="4" t="n"/>
      <c r="CK367" s="4" t="n"/>
      <c r="CL367" s="4" t="n"/>
      <c r="CM367" s="4" t="n"/>
      <c r="CN367" s="4" t="n"/>
      <c r="CO367" s="4" t="n"/>
      <c r="CP367" s="4" t="n"/>
      <c r="CQ367" s="4" t="n"/>
      <c r="CR367" s="4" t="n"/>
      <c r="CS367" s="4" t="n"/>
      <c r="CT367" s="4" t="n"/>
      <c r="CU367" s="4" t="n"/>
      <c r="CV367" s="4" t="n"/>
      <c r="CW367" s="4" t="n"/>
      <c r="CX367" s="4" t="n"/>
      <c r="CY367" s="4" t="n"/>
      <c r="CZ367" s="4" t="n"/>
      <c r="DA367" s="4" t="n"/>
      <c r="DB367" s="4" t="n"/>
      <c r="DC367" s="4" t="n"/>
      <c r="DD367" s="4" t="n"/>
      <c r="DE367" s="4" t="n"/>
      <c r="DF367" s="4" t="n"/>
      <c r="DG367" s="4" t="n"/>
      <c r="DH367" s="4" t="n"/>
      <c r="DI367" s="4" t="n"/>
      <c r="DJ367" s="4" t="n"/>
      <c r="DK367" s="4" t="n"/>
      <c r="DL367" s="4" t="n"/>
      <c r="DM367" s="4" t="n"/>
      <c r="DN367" s="4" t="n"/>
      <c r="DO367" s="4" t="n"/>
      <c r="DP367" s="4" t="n"/>
      <c r="DQ367" s="4" t="n"/>
      <c r="DR367" s="4" t="n"/>
      <c r="DS367" s="4" t="n"/>
      <c r="DT367" s="4" t="n"/>
      <c r="DU367" s="4" t="n"/>
      <c r="DV367" s="4" t="n"/>
      <c r="DW367" s="4" t="n"/>
      <c r="DX367" s="4" t="n"/>
      <c r="DY367" s="4" t="n"/>
      <c r="DZ367" s="4" t="n"/>
      <c r="EA367" s="4" t="n"/>
      <c r="EB367" s="4" t="n"/>
      <c r="EC367" s="4" t="n"/>
      <c r="ED367" s="4" t="n"/>
      <c r="EE367" s="4" t="n"/>
      <c r="EF367" s="4" t="n"/>
      <c r="EG367" s="4" t="n"/>
      <c r="EH367" s="4" t="n"/>
      <c r="EI367" s="4" t="n"/>
      <c r="EJ367" s="4" t="n"/>
      <c r="EK367" s="4" t="n"/>
      <c r="EL367" s="4" t="n"/>
      <c r="EM367" s="4" t="n"/>
      <c r="EN367" s="4" t="n"/>
    </row>
    <row r="368" hidden="1" customFormat="1" s="6">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c r="AE368" s="4" t="n"/>
      <c r="AF368" s="4" t="n"/>
      <c r="AG368" s="4" t="n"/>
      <c r="AH368" s="4" t="n"/>
      <c r="AI368" s="4" t="n"/>
      <c r="AJ368" s="4" t="n"/>
      <c r="AK368" s="4" t="n"/>
      <c r="AL368" s="4" t="n"/>
      <c r="AM368" s="4" t="n"/>
      <c r="AN368" s="4" t="n"/>
      <c r="AO368" s="4" t="n"/>
      <c r="AP368" s="4" t="n"/>
      <c r="AQ368" s="4" t="n"/>
      <c r="AR368" s="4" t="n"/>
      <c r="AS368" s="4" t="n"/>
      <c r="AT368" s="4" t="n"/>
      <c r="AU368" s="4" t="n"/>
      <c r="AV368" s="4" t="n"/>
      <c r="AW368" s="4" t="n"/>
      <c r="AX368" s="4" t="n"/>
      <c r="AY368" s="4" t="n"/>
      <c r="AZ368" s="4" t="n"/>
      <c r="BA368" s="4" t="n"/>
      <c r="BB368" s="4" t="n"/>
      <c r="BC368" s="4" t="n"/>
      <c r="BD368" s="4" t="n"/>
      <c r="BE368" s="4" t="n"/>
      <c r="BF368" s="4" t="n"/>
      <c r="BG368" s="4" t="n"/>
      <c r="BH368" s="4" t="n"/>
      <c r="BI368" s="4" t="n"/>
      <c r="BJ368" s="4" t="n"/>
      <c r="BK368" s="4" t="n"/>
      <c r="BL368" s="4" t="n"/>
      <c r="BM368" s="4" t="n"/>
      <c r="BN368" s="4" t="n"/>
      <c r="BO368" s="4" t="n"/>
      <c r="BP368" s="4" t="n"/>
      <c r="BQ368" s="4" t="n"/>
      <c r="BR368" s="4" t="n"/>
      <c r="BS368" s="4" t="n"/>
      <c r="BT368" s="4" t="n"/>
      <c r="BU368" s="4" t="n"/>
      <c r="BV368" s="4" t="n"/>
      <c r="BW368" s="4" t="n"/>
      <c r="BX368" s="4" t="n"/>
      <c r="BY368" s="4" t="n"/>
      <c r="BZ368" s="4" t="n"/>
      <c r="CA368" s="4" t="n"/>
      <c r="CB368" s="4" t="n"/>
      <c r="CC368" s="4" t="n"/>
      <c r="CD368" s="4" t="n"/>
      <c r="CE368" s="4" t="n"/>
      <c r="CF368" s="4" t="n"/>
      <c r="CG368" s="4" t="n"/>
      <c r="CH368" s="4" t="n"/>
      <c r="CI368" s="4" t="n"/>
      <c r="CJ368" s="4" t="n"/>
      <c r="CK368" s="4" t="n"/>
      <c r="CL368" s="4" t="n"/>
      <c r="CM368" s="4" t="n"/>
      <c r="CN368" s="4" t="n"/>
      <c r="CO368" s="4" t="n"/>
      <c r="CP368" s="4" t="n"/>
      <c r="CQ368" s="4" t="n"/>
      <c r="CR368" s="4" t="n"/>
      <c r="CS368" s="4" t="n"/>
      <c r="CT368" s="4" t="n"/>
      <c r="CU368" s="4" t="n"/>
      <c r="CV368" s="4" t="n"/>
      <c r="CW368" s="4" t="n"/>
      <c r="CX368" s="4" t="n"/>
      <c r="CY368" s="4" t="n"/>
      <c r="CZ368" s="4" t="n"/>
      <c r="DA368" s="4" t="n"/>
      <c r="DB368" s="4" t="n"/>
      <c r="DC368" s="4" t="n"/>
      <c r="DD368" s="4" t="n"/>
      <c r="DE368" s="4" t="n"/>
      <c r="DF368" s="4" t="n"/>
      <c r="DG368" s="4" t="n"/>
      <c r="DH368" s="4" t="n"/>
      <c r="DI368" s="4" t="n"/>
      <c r="DJ368" s="4" t="n"/>
      <c r="DK368" s="4" t="n"/>
      <c r="DL368" s="4" t="n"/>
      <c r="DM368" s="4" t="n"/>
      <c r="DN368" s="4" t="n"/>
      <c r="DO368" s="4" t="n"/>
      <c r="DP368" s="4" t="n"/>
      <c r="DQ368" s="4" t="n"/>
      <c r="DR368" s="4" t="n"/>
      <c r="DS368" s="4" t="n"/>
      <c r="DT368" s="4" t="n"/>
      <c r="DU368" s="4" t="n"/>
      <c r="DV368" s="4" t="n"/>
      <c r="DW368" s="4" t="n"/>
      <c r="DX368" s="4" t="n"/>
      <c r="DY368" s="4" t="n"/>
      <c r="DZ368" s="4" t="n"/>
      <c r="EA368" s="4" t="n"/>
      <c r="EB368" s="4" t="n"/>
      <c r="EC368" s="4" t="n"/>
      <c r="ED368" s="4" t="n"/>
      <c r="EE368" s="4" t="n"/>
      <c r="EF368" s="4" t="n"/>
      <c r="EG368" s="4" t="n"/>
      <c r="EH368" s="4" t="n"/>
      <c r="EI368" s="4" t="n"/>
      <c r="EJ368" s="4" t="n"/>
      <c r="EK368" s="4" t="n"/>
      <c r="EL368" s="4" t="n"/>
      <c r="EM368" s="4" t="n"/>
      <c r="EN368" s="4" t="n"/>
    </row>
    <row r="369" hidden="1" customFormat="1" s="6">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c r="AC369" s="4" t="n"/>
      <c r="AD369" s="4" t="n"/>
      <c r="AE369" s="4" t="n"/>
      <c r="AF369" s="4" t="n"/>
      <c r="AG369" s="4" t="n"/>
      <c r="AH369" s="4" t="n"/>
      <c r="AI369" s="4" t="n"/>
      <c r="AJ369" s="4" t="n"/>
      <c r="AK369" s="4" t="n"/>
      <c r="AL369" s="4" t="n"/>
      <c r="AM369" s="4" t="n"/>
      <c r="AN369" s="4" t="n"/>
      <c r="AO369" s="4" t="n"/>
      <c r="AP369" s="4" t="n"/>
      <c r="AQ369" s="4" t="n"/>
      <c r="AR369" s="4" t="n"/>
      <c r="AS369" s="4" t="n"/>
      <c r="AT369" s="4" t="n"/>
      <c r="AU369" s="4" t="n"/>
      <c r="AV369" s="4" t="n"/>
      <c r="AW369" s="4" t="n"/>
      <c r="AX369" s="4" t="n"/>
      <c r="AY369" s="4" t="n"/>
      <c r="AZ369" s="4" t="n"/>
      <c r="BA369" s="4" t="n"/>
      <c r="BB369" s="4" t="n"/>
      <c r="BC369" s="4" t="n"/>
      <c r="BD369" s="4" t="n"/>
      <c r="BE369" s="4" t="n"/>
      <c r="BF369" s="4" t="n"/>
      <c r="BG369" s="4" t="n"/>
      <c r="BH369" s="4" t="n"/>
      <c r="BI369" s="4" t="n"/>
      <c r="BJ369" s="4" t="n"/>
      <c r="BK369" s="4" t="n"/>
      <c r="BL369" s="4" t="n"/>
      <c r="BM369" s="4" t="n"/>
      <c r="BN369" s="4" t="n"/>
      <c r="BO369" s="4" t="n"/>
      <c r="BP369" s="4" t="n"/>
      <c r="BQ369" s="4" t="n"/>
      <c r="BR369" s="4" t="n"/>
      <c r="BS369" s="4" t="n"/>
      <c r="BT369" s="4" t="n"/>
      <c r="BU369" s="4" t="n"/>
      <c r="BV369" s="4" t="n"/>
      <c r="BW369" s="4" t="n"/>
      <c r="BX369" s="4" t="n"/>
      <c r="BY369" s="4" t="n"/>
      <c r="BZ369" s="4" t="n"/>
      <c r="CA369" s="4" t="n"/>
      <c r="CB369" s="4" t="n"/>
      <c r="CC369" s="4" t="n"/>
      <c r="CD369" s="4" t="n"/>
      <c r="CE369" s="4" t="n"/>
      <c r="CF369" s="4" t="n"/>
      <c r="CG369" s="4" t="n"/>
      <c r="CH369" s="4" t="n"/>
      <c r="CI369" s="4" t="n"/>
      <c r="CJ369" s="4" t="n"/>
      <c r="CK369" s="4" t="n"/>
      <c r="CL369" s="4" t="n"/>
      <c r="CM369" s="4" t="n"/>
      <c r="CN369" s="4" t="n"/>
      <c r="CO369" s="4" t="n"/>
      <c r="CP369" s="4" t="n"/>
      <c r="CQ369" s="4" t="n"/>
      <c r="CR369" s="4" t="n"/>
      <c r="CS369" s="4" t="n"/>
      <c r="CT369" s="4" t="n"/>
      <c r="CU369" s="4" t="n"/>
      <c r="CV369" s="4" t="n"/>
      <c r="CW369" s="4" t="n"/>
      <c r="CX369" s="4" t="n"/>
      <c r="CY369" s="4" t="n"/>
      <c r="CZ369" s="4" t="n"/>
      <c r="DA369" s="4" t="n"/>
      <c r="DB369" s="4" t="n"/>
      <c r="DC369" s="4" t="n"/>
      <c r="DD369" s="4" t="n"/>
      <c r="DE369" s="4" t="n"/>
      <c r="DF369" s="4" t="n"/>
      <c r="DG369" s="4" t="n"/>
      <c r="DH369" s="4" t="n"/>
      <c r="DI369" s="4" t="n"/>
      <c r="DJ369" s="4" t="n"/>
      <c r="DK369" s="4" t="n"/>
      <c r="DL369" s="4" t="n"/>
      <c r="DM369" s="4" t="n"/>
      <c r="DN369" s="4" t="n"/>
      <c r="DO369" s="4" t="n"/>
      <c r="DP369" s="4" t="n"/>
      <c r="DQ369" s="4" t="n"/>
      <c r="DR369" s="4" t="n"/>
      <c r="DS369" s="4" t="n"/>
      <c r="DT369" s="4" t="n"/>
      <c r="DU369" s="4" t="n"/>
      <c r="DV369" s="4" t="n"/>
      <c r="DW369" s="4" t="n"/>
      <c r="DX369" s="4" t="n"/>
      <c r="DY369" s="4" t="n"/>
      <c r="DZ369" s="4" t="n"/>
      <c r="EA369" s="4" t="n"/>
      <c r="EB369" s="4" t="n"/>
      <c r="EC369" s="4" t="n"/>
      <c r="ED369" s="4" t="n"/>
      <c r="EE369" s="4" t="n"/>
      <c r="EF369" s="4" t="n"/>
      <c r="EG369" s="4" t="n"/>
      <c r="EH369" s="4" t="n"/>
      <c r="EI369" s="4" t="n"/>
      <c r="EJ369" s="4" t="n"/>
      <c r="EK369" s="4" t="n"/>
      <c r="EL369" s="4" t="n"/>
      <c r="EM369" s="4" t="n"/>
      <c r="EN369" s="4" t="n"/>
    </row>
    <row r="370" hidden="1" customFormat="1" s="6">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c r="AF370" s="4" t="n"/>
      <c r="AG370" s="4" t="n"/>
      <c r="AH370" s="4" t="n"/>
      <c r="AI370" s="4" t="n"/>
      <c r="AJ370" s="4" t="n"/>
      <c r="AK370" s="4" t="n"/>
      <c r="AL370" s="4" t="n"/>
      <c r="AM370" s="4" t="n"/>
      <c r="AN370" s="4" t="n"/>
      <c r="AO370" s="4" t="n"/>
      <c r="AP370" s="4" t="n"/>
      <c r="AQ370" s="4" t="n"/>
      <c r="AR370" s="4" t="n"/>
      <c r="AS370" s="4" t="n"/>
      <c r="AT370" s="4" t="n"/>
      <c r="AU370" s="4" t="n"/>
      <c r="AV370" s="4" t="n"/>
      <c r="AW370" s="4" t="n"/>
      <c r="AX370" s="4" t="n"/>
      <c r="AY370" s="4" t="n"/>
      <c r="AZ370" s="4" t="n"/>
      <c r="BA370" s="4" t="n"/>
      <c r="BB370" s="4" t="n"/>
      <c r="BC370" s="4" t="n"/>
      <c r="BD370" s="4" t="n"/>
      <c r="BE370" s="4" t="n"/>
      <c r="BF370" s="4" t="n"/>
      <c r="BG370" s="4" t="n"/>
      <c r="BH370" s="4" t="n"/>
      <c r="BI370" s="4" t="n"/>
      <c r="BJ370" s="4" t="n"/>
      <c r="BK370" s="4" t="n"/>
      <c r="BL370" s="4" t="n"/>
      <c r="BM370" s="4" t="n"/>
      <c r="BN370" s="4" t="n"/>
      <c r="BO370" s="4" t="n"/>
      <c r="BP370" s="4" t="n"/>
      <c r="BQ370" s="4" t="n"/>
      <c r="BR370" s="4" t="n"/>
      <c r="BS370" s="4" t="n"/>
      <c r="BT370" s="4" t="n"/>
      <c r="BU370" s="4" t="n"/>
      <c r="BV370" s="4" t="n"/>
      <c r="BW370" s="4" t="n"/>
      <c r="BX370" s="4" t="n"/>
      <c r="BY370" s="4" t="n"/>
      <c r="BZ370" s="4" t="n"/>
      <c r="CA370" s="4" t="n"/>
      <c r="CB370" s="4" t="n"/>
      <c r="CC370" s="4" t="n"/>
      <c r="CD370" s="4" t="n"/>
      <c r="CE370" s="4" t="n"/>
      <c r="CF370" s="4" t="n"/>
      <c r="CG370" s="4" t="n"/>
      <c r="CH370" s="4" t="n"/>
      <c r="CI370" s="4" t="n"/>
      <c r="CJ370" s="4" t="n"/>
      <c r="CK370" s="4" t="n"/>
      <c r="CL370" s="4" t="n"/>
      <c r="CM370" s="4" t="n"/>
      <c r="CN370" s="4" t="n"/>
      <c r="CO370" s="4" t="n"/>
      <c r="CP370" s="4" t="n"/>
      <c r="CQ370" s="4" t="n"/>
      <c r="CR370" s="4" t="n"/>
      <c r="CS370" s="4" t="n"/>
      <c r="CT370" s="4" t="n"/>
      <c r="CU370" s="4" t="n"/>
      <c r="CV370" s="4" t="n"/>
      <c r="CW370" s="4" t="n"/>
      <c r="CX370" s="4" t="n"/>
      <c r="CY370" s="4" t="n"/>
      <c r="CZ370" s="4" t="n"/>
      <c r="DA370" s="4" t="n"/>
      <c r="DB370" s="4" t="n"/>
      <c r="DC370" s="4" t="n"/>
      <c r="DD370" s="4" t="n"/>
      <c r="DE370" s="4" t="n"/>
      <c r="DF370" s="4" t="n"/>
      <c r="DG370" s="4" t="n"/>
      <c r="DH370" s="4" t="n"/>
      <c r="DI370" s="4" t="n"/>
      <c r="DJ370" s="4" t="n"/>
      <c r="DK370" s="4" t="n"/>
      <c r="DL370" s="4" t="n"/>
      <c r="DM370" s="4" t="n"/>
      <c r="DN370" s="4" t="n"/>
      <c r="DO370" s="4" t="n"/>
      <c r="DP370" s="4" t="n"/>
      <c r="DQ370" s="4" t="n"/>
      <c r="DR370" s="4" t="n"/>
      <c r="DS370" s="4" t="n"/>
      <c r="DT370" s="4" t="n"/>
      <c r="DU370" s="4" t="n"/>
      <c r="DV370" s="4" t="n"/>
      <c r="DW370" s="4" t="n"/>
      <c r="DX370" s="4" t="n"/>
      <c r="DY370" s="4" t="n"/>
      <c r="DZ370" s="4" t="n"/>
      <c r="EA370" s="4" t="n"/>
      <c r="EB370" s="4" t="n"/>
      <c r="EC370" s="4" t="n"/>
      <c r="ED370" s="4" t="n"/>
      <c r="EE370" s="4" t="n"/>
      <c r="EF370" s="4" t="n"/>
      <c r="EG370" s="4" t="n"/>
      <c r="EH370" s="4" t="n"/>
      <c r="EI370" s="4" t="n"/>
      <c r="EJ370" s="4" t="n"/>
      <c r="EK370" s="4" t="n"/>
      <c r="EL370" s="4" t="n"/>
      <c r="EM370" s="4" t="n"/>
      <c r="EN370" s="4" t="n"/>
    </row>
    <row r="371" hidden="1" customFormat="1" s="6">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c r="AC371" s="4" t="n"/>
      <c r="AD371" s="4" t="n"/>
      <c r="AE371" s="4" t="n"/>
      <c r="AF371" s="4" t="n"/>
      <c r="AG371" s="4" t="n"/>
      <c r="AH371" s="4" t="n"/>
      <c r="AI371" s="4" t="n"/>
      <c r="AJ371" s="4" t="n"/>
      <c r="AK371" s="4" t="n"/>
      <c r="AL371" s="4" t="n"/>
      <c r="AM371" s="4" t="n"/>
      <c r="AN371" s="4" t="n"/>
      <c r="AO371" s="4" t="n"/>
      <c r="AP371" s="4" t="n"/>
      <c r="AQ371" s="4" t="n"/>
      <c r="AR371" s="4" t="n"/>
      <c r="AS371" s="4" t="n"/>
      <c r="AT371" s="4" t="n"/>
      <c r="AU371" s="4" t="n"/>
      <c r="AV371" s="4" t="n"/>
      <c r="AW371" s="4" t="n"/>
      <c r="AX371" s="4" t="n"/>
      <c r="AY371" s="4" t="n"/>
      <c r="AZ371" s="4" t="n"/>
      <c r="BA371" s="4" t="n"/>
      <c r="BB371" s="4" t="n"/>
      <c r="BC371" s="4" t="n"/>
      <c r="BD371" s="4" t="n"/>
      <c r="BE371" s="4" t="n"/>
      <c r="BF371" s="4" t="n"/>
      <c r="BG371" s="4" t="n"/>
      <c r="BH371" s="4" t="n"/>
      <c r="BI371" s="4" t="n"/>
      <c r="BJ371" s="4" t="n"/>
      <c r="BK371" s="4" t="n"/>
      <c r="BL371" s="4" t="n"/>
      <c r="BM371" s="4" t="n"/>
      <c r="BN371" s="4" t="n"/>
      <c r="BO371" s="4" t="n"/>
      <c r="BP371" s="4" t="n"/>
      <c r="BQ371" s="4" t="n"/>
      <c r="BR371" s="4" t="n"/>
      <c r="BS371" s="4" t="n"/>
      <c r="BT371" s="4" t="n"/>
      <c r="BU371" s="4" t="n"/>
      <c r="BV371" s="4" t="n"/>
      <c r="BW371" s="4" t="n"/>
      <c r="BX371" s="4" t="n"/>
      <c r="BY371" s="4" t="n"/>
      <c r="BZ371" s="4" t="n"/>
      <c r="CA371" s="4" t="n"/>
      <c r="CB371" s="4" t="n"/>
      <c r="CC371" s="4" t="n"/>
      <c r="CD371" s="4" t="n"/>
      <c r="CE371" s="4" t="n"/>
      <c r="CF371" s="4" t="n"/>
      <c r="CG371" s="4" t="n"/>
      <c r="CH371" s="4" t="n"/>
      <c r="CI371" s="4" t="n"/>
      <c r="CJ371" s="4" t="n"/>
      <c r="CK371" s="4" t="n"/>
      <c r="CL371" s="4" t="n"/>
      <c r="CM371" s="4" t="n"/>
      <c r="CN371" s="4" t="n"/>
      <c r="CO371" s="4" t="n"/>
      <c r="CP371" s="4" t="n"/>
      <c r="CQ371" s="4" t="n"/>
      <c r="CR371" s="4" t="n"/>
      <c r="CS371" s="4" t="n"/>
      <c r="CT371" s="4" t="n"/>
      <c r="CU371" s="4" t="n"/>
      <c r="CV371" s="4" t="n"/>
      <c r="CW371" s="4" t="n"/>
      <c r="CX371" s="4" t="n"/>
      <c r="CY371" s="4" t="n"/>
      <c r="CZ371" s="4" t="n"/>
      <c r="DA371" s="4" t="n"/>
      <c r="DB371" s="4" t="n"/>
      <c r="DC371" s="4" t="n"/>
      <c r="DD371" s="4" t="n"/>
      <c r="DE371" s="4" t="n"/>
      <c r="DF371" s="4" t="n"/>
      <c r="DG371" s="4" t="n"/>
      <c r="DH371" s="4" t="n"/>
      <c r="DI371" s="4" t="n"/>
      <c r="DJ371" s="4" t="n"/>
      <c r="DK371" s="4" t="n"/>
      <c r="DL371" s="4" t="n"/>
      <c r="DM371" s="4" t="n"/>
      <c r="DN371" s="4" t="n"/>
      <c r="DO371" s="4" t="n"/>
      <c r="DP371" s="4" t="n"/>
      <c r="DQ371" s="4" t="n"/>
      <c r="DR371" s="4" t="n"/>
      <c r="DS371" s="4" t="n"/>
      <c r="DT371" s="4" t="n"/>
      <c r="DU371" s="4" t="n"/>
      <c r="DV371" s="4" t="n"/>
      <c r="DW371" s="4" t="n"/>
      <c r="DX371" s="4" t="n"/>
      <c r="DY371" s="4" t="n"/>
      <c r="DZ371" s="4" t="n"/>
      <c r="EA371" s="4" t="n"/>
      <c r="EB371" s="4" t="n"/>
      <c r="EC371" s="4" t="n"/>
      <c r="ED371" s="4" t="n"/>
      <c r="EE371" s="4" t="n"/>
      <c r="EF371" s="4" t="n"/>
      <c r="EG371" s="4" t="n"/>
      <c r="EH371" s="4" t="n"/>
      <c r="EI371" s="4" t="n"/>
      <c r="EJ371" s="4" t="n"/>
      <c r="EK371" s="4" t="n"/>
      <c r="EL371" s="4" t="n"/>
      <c r="EM371" s="4" t="n"/>
      <c r="EN371" s="4" t="n"/>
    </row>
    <row r="372" hidden="1" customFormat="1" s="6">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c r="AE372" s="4" t="n"/>
      <c r="AF372" s="4" t="n"/>
      <c r="AG372" s="4" t="n"/>
      <c r="AH372" s="4" t="n"/>
      <c r="AI372" s="4" t="n"/>
      <c r="AJ372" s="4" t="n"/>
      <c r="AK372" s="4" t="n"/>
      <c r="AL372" s="4" t="n"/>
      <c r="AM372" s="4" t="n"/>
      <c r="AN372" s="4" t="n"/>
      <c r="AO372" s="4" t="n"/>
      <c r="AP372" s="4" t="n"/>
      <c r="AQ372" s="4" t="n"/>
      <c r="AR372" s="4" t="n"/>
      <c r="AS372" s="4" t="n"/>
      <c r="AT372" s="4" t="n"/>
      <c r="AU372" s="4" t="n"/>
      <c r="AV372" s="4" t="n"/>
      <c r="AW372" s="4" t="n"/>
      <c r="AX372" s="4" t="n"/>
      <c r="AY372" s="4" t="n"/>
      <c r="AZ372" s="4" t="n"/>
      <c r="BA372" s="4" t="n"/>
      <c r="BB372" s="4" t="n"/>
      <c r="BC372" s="4" t="n"/>
      <c r="BD372" s="4" t="n"/>
      <c r="BE372" s="4" t="n"/>
      <c r="BF372" s="4" t="n"/>
      <c r="BG372" s="4" t="n"/>
      <c r="BH372" s="4" t="n"/>
      <c r="BI372" s="4" t="n"/>
      <c r="BJ372" s="4" t="n"/>
      <c r="BK372" s="4" t="n"/>
      <c r="BL372" s="4" t="n"/>
      <c r="BM372" s="4" t="n"/>
      <c r="BN372" s="4" t="n"/>
      <c r="BO372" s="4" t="n"/>
      <c r="BP372" s="4" t="n"/>
      <c r="BQ372" s="4" t="n"/>
      <c r="BR372" s="4" t="n"/>
      <c r="BS372" s="4" t="n"/>
      <c r="BT372" s="4" t="n"/>
      <c r="BU372" s="4" t="n"/>
      <c r="BV372" s="4" t="n"/>
      <c r="BW372" s="4" t="n"/>
      <c r="BX372" s="4" t="n"/>
      <c r="BY372" s="4" t="n"/>
      <c r="BZ372" s="4" t="n"/>
      <c r="CA372" s="4" t="n"/>
      <c r="CB372" s="4" t="n"/>
      <c r="CC372" s="4" t="n"/>
      <c r="CD372" s="4" t="n"/>
      <c r="CE372" s="4" t="n"/>
      <c r="CF372" s="4" t="n"/>
      <c r="CG372" s="4" t="n"/>
      <c r="CH372" s="4" t="n"/>
      <c r="CI372" s="4" t="n"/>
      <c r="CJ372" s="4" t="n"/>
      <c r="CK372" s="4" t="n"/>
      <c r="CL372" s="4" t="n"/>
      <c r="CM372" s="4" t="n"/>
      <c r="CN372" s="4" t="n"/>
      <c r="CO372" s="4" t="n"/>
      <c r="CP372" s="4" t="n"/>
      <c r="CQ372" s="4" t="n"/>
      <c r="CR372" s="4" t="n"/>
      <c r="CS372" s="4" t="n"/>
      <c r="CT372" s="4" t="n"/>
      <c r="CU372" s="4" t="n"/>
      <c r="CV372" s="4" t="n"/>
      <c r="CW372" s="4" t="n"/>
      <c r="CX372" s="4" t="n"/>
      <c r="CY372" s="4" t="n"/>
      <c r="CZ372" s="4" t="n"/>
      <c r="DA372" s="4" t="n"/>
      <c r="DB372" s="4" t="n"/>
      <c r="DC372" s="4" t="n"/>
      <c r="DD372" s="4" t="n"/>
      <c r="DE372" s="4" t="n"/>
      <c r="DF372" s="4" t="n"/>
      <c r="DG372" s="4" t="n"/>
      <c r="DH372" s="4" t="n"/>
      <c r="DI372" s="4" t="n"/>
      <c r="DJ372" s="4" t="n"/>
      <c r="DK372" s="4" t="n"/>
      <c r="DL372" s="4" t="n"/>
      <c r="DM372" s="4" t="n"/>
      <c r="DN372" s="4" t="n"/>
      <c r="DO372" s="4" t="n"/>
      <c r="DP372" s="4" t="n"/>
      <c r="DQ372" s="4" t="n"/>
      <c r="DR372" s="4" t="n"/>
      <c r="DS372" s="4" t="n"/>
      <c r="DT372" s="4" t="n"/>
      <c r="DU372" s="4" t="n"/>
      <c r="DV372" s="4" t="n"/>
      <c r="DW372" s="4" t="n"/>
      <c r="DX372" s="4" t="n"/>
      <c r="DY372" s="4" t="n"/>
      <c r="DZ372" s="4" t="n"/>
      <c r="EA372" s="4" t="n"/>
      <c r="EB372" s="4" t="n"/>
      <c r="EC372" s="4" t="n"/>
      <c r="ED372" s="4" t="n"/>
      <c r="EE372" s="4" t="n"/>
      <c r="EF372" s="4" t="n"/>
      <c r="EG372" s="4" t="n"/>
      <c r="EH372" s="4" t="n"/>
      <c r="EI372" s="4" t="n"/>
      <c r="EJ372" s="4" t="n"/>
      <c r="EK372" s="4" t="n"/>
      <c r="EL372" s="4" t="n"/>
      <c r="EM372" s="4" t="n"/>
      <c r="EN372" s="4" t="n"/>
    </row>
    <row r="373" hidden="1" customFormat="1" s="6">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c r="AE373" s="4" t="n"/>
      <c r="AF373" s="4" t="n"/>
      <c r="AG373" s="4" t="n"/>
      <c r="AH373" s="4" t="n"/>
      <c r="AI373" s="4" t="n"/>
      <c r="AJ373" s="4" t="n"/>
      <c r="AK373" s="4" t="n"/>
      <c r="AL373" s="4" t="n"/>
      <c r="AM373" s="4" t="n"/>
      <c r="AN373" s="4" t="n"/>
      <c r="AO373" s="4" t="n"/>
      <c r="AP373" s="4" t="n"/>
      <c r="AQ373" s="4" t="n"/>
      <c r="AR373" s="4" t="n"/>
      <c r="AS373" s="4" t="n"/>
      <c r="AT373" s="4" t="n"/>
      <c r="AU373" s="4" t="n"/>
      <c r="AV373" s="4" t="n"/>
      <c r="AW373" s="4" t="n"/>
      <c r="AX373" s="4" t="n"/>
      <c r="AY373" s="4" t="n"/>
      <c r="AZ373" s="4" t="n"/>
      <c r="BA373" s="4" t="n"/>
      <c r="BB373" s="4" t="n"/>
      <c r="BC373" s="4" t="n"/>
      <c r="BD373" s="4" t="n"/>
      <c r="BE373" s="4" t="n"/>
      <c r="BF373" s="4" t="n"/>
      <c r="BG373" s="4" t="n"/>
      <c r="BH373" s="4" t="n"/>
      <c r="BI373" s="4" t="n"/>
      <c r="BJ373" s="4" t="n"/>
      <c r="BK373" s="4" t="n"/>
      <c r="BL373" s="4" t="n"/>
      <c r="BM373" s="4" t="n"/>
      <c r="BN373" s="4" t="n"/>
      <c r="BO373" s="4" t="n"/>
      <c r="BP373" s="4" t="n"/>
      <c r="BQ373" s="4" t="n"/>
      <c r="BR373" s="4" t="n"/>
      <c r="BS373" s="4" t="n"/>
      <c r="BT373" s="4" t="n"/>
      <c r="BU373" s="4" t="n"/>
      <c r="BV373" s="4" t="n"/>
      <c r="BW373" s="4" t="n"/>
      <c r="BX373" s="4" t="n"/>
      <c r="BY373" s="4" t="n"/>
      <c r="BZ373" s="4" t="n"/>
      <c r="CA373" s="4" t="n"/>
      <c r="CB373" s="4" t="n"/>
      <c r="CC373" s="4" t="n"/>
      <c r="CD373" s="4" t="n"/>
      <c r="CE373" s="4" t="n"/>
      <c r="CF373" s="4" t="n"/>
      <c r="CG373" s="4" t="n"/>
      <c r="CH373" s="4" t="n"/>
      <c r="CI373" s="4" t="n"/>
      <c r="CJ373" s="4" t="n"/>
      <c r="CK373" s="4" t="n"/>
      <c r="CL373" s="4" t="n"/>
      <c r="CM373" s="4" t="n"/>
      <c r="CN373" s="4" t="n"/>
      <c r="CO373" s="4" t="n"/>
      <c r="CP373" s="4" t="n"/>
      <c r="CQ373" s="4" t="n"/>
      <c r="CR373" s="4" t="n"/>
      <c r="CS373" s="4" t="n"/>
      <c r="CT373" s="4" t="n"/>
      <c r="CU373" s="4" t="n"/>
      <c r="CV373" s="4" t="n"/>
      <c r="CW373" s="4" t="n"/>
      <c r="CX373" s="4" t="n"/>
      <c r="CY373" s="4" t="n"/>
      <c r="CZ373" s="4" t="n"/>
      <c r="DA373" s="4" t="n"/>
      <c r="DB373" s="4" t="n"/>
      <c r="DC373" s="4" t="n"/>
      <c r="DD373" s="4" t="n"/>
      <c r="DE373" s="4" t="n"/>
      <c r="DF373" s="4" t="n"/>
      <c r="DG373" s="4" t="n"/>
      <c r="DH373" s="4" t="n"/>
      <c r="DI373" s="4" t="n"/>
      <c r="DJ373" s="4" t="n"/>
      <c r="DK373" s="4" t="n"/>
      <c r="DL373" s="4" t="n"/>
      <c r="DM373" s="4" t="n"/>
      <c r="DN373" s="4" t="n"/>
      <c r="DO373" s="4" t="n"/>
      <c r="DP373" s="4" t="n"/>
      <c r="DQ373" s="4" t="n"/>
      <c r="DR373" s="4" t="n"/>
      <c r="DS373" s="4" t="n"/>
      <c r="DT373" s="4" t="n"/>
      <c r="DU373" s="4" t="n"/>
      <c r="DV373" s="4" t="n"/>
      <c r="DW373" s="4" t="n"/>
      <c r="DX373" s="4" t="n"/>
      <c r="DY373" s="4" t="n"/>
      <c r="DZ373" s="4" t="n"/>
      <c r="EA373" s="4" t="n"/>
      <c r="EB373" s="4" t="n"/>
      <c r="EC373" s="4" t="n"/>
      <c r="ED373" s="4" t="n"/>
      <c r="EE373" s="4" t="n"/>
      <c r="EF373" s="4" t="n"/>
      <c r="EG373" s="4" t="n"/>
      <c r="EH373" s="4" t="n"/>
      <c r="EI373" s="4" t="n"/>
      <c r="EJ373" s="4" t="n"/>
      <c r="EK373" s="4" t="n"/>
      <c r="EL373" s="4" t="n"/>
      <c r="EM373" s="4" t="n"/>
      <c r="EN373" s="4" t="n"/>
    </row>
    <row r="374" hidden="1" customFormat="1" s="6">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c r="AE374" s="4" t="n"/>
      <c r="AF374" s="4" t="n"/>
      <c r="AG374" s="4" t="n"/>
      <c r="AH374" s="4" t="n"/>
      <c r="AI374" s="4" t="n"/>
      <c r="AJ374" s="4" t="n"/>
      <c r="AK374" s="4" t="n"/>
      <c r="AL374" s="4" t="n"/>
      <c r="AM374" s="4" t="n"/>
      <c r="AN374" s="4" t="n"/>
      <c r="AO374" s="4" t="n"/>
      <c r="AP374" s="4" t="n"/>
      <c r="AQ374" s="4" t="n"/>
      <c r="AR374" s="4" t="n"/>
      <c r="AS374" s="4" t="n"/>
      <c r="AT374" s="4" t="n"/>
      <c r="AU374" s="4" t="n"/>
      <c r="AV374" s="4" t="n"/>
      <c r="AW374" s="4" t="n"/>
      <c r="AX374" s="4" t="n"/>
      <c r="AY374" s="4" t="n"/>
      <c r="AZ374" s="4" t="n"/>
      <c r="BA374" s="4" t="n"/>
      <c r="BB374" s="4" t="n"/>
      <c r="BC374" s="4" t="n"/>
      <c r="BD374" s="4" t="n"/>
      <c r="BE374" s="4" t="n"/>
      <c r="BF374" s="4" t="n"/>
      <c r="BG374" s="4" t="n"/>
      <c r="BH374" s="4" t="n"/>
      <c r="BI374" s="4" t="n"/>
      <c r="BJ374" s="4" t="n"/>
      <c r="BK374" s="4" t="n"/>
      <c r="BL374" s="4" t="n"/>
      <c r="BM374" s="4" t="n"/>
      <c r="BN374" s="4" t="n"/>
      <c r="BO374" s="4" t="n"/>
      <c r="BP374" s="4" t="n"/>
      <c r="BQ374" s="4" t="n"/>
      <c r="BR374" s="4" t="n"/>
      <c r="BS374" s="4" t="n"/>
      <c r="BT374" s="4" t="n"/>
      <c r="BU374" s="4" t="n"/>
      <c r="BV374" s="4" t="n"/>
      <c r="BW374" s="4" t="n"/>
      <c r="BX374" s="4" t="n"/>
      <c r="BY374" s="4" t="n"/>
      <c r="BZ374" s="4" t="n"/>
      <c r="CA374" s="4" t="n"/>
      <c r="CB374" s="4" t="n"/>
      <c r="CC374" s="4" t="n"/>
      <c r="CD374" s="4" t="n"/>
      <c r="CE374" s="4" t="n"/>
      <c r="CF374" s="4" t="n"/>
      <c r="CG374" s="4" t="n"/>
      <c r="CH374" s="4" t="n"/>
      <c r="CI374" s="4" t="n"/>
      <c r="CJ374" s="4" t="n"/>
      <c r="CK374" s="4" t="n"/>
      <c r="CL374" s="4" t="n"/>
      <c r="CM374" s="4" t="n"/>
      <c r="CN374" s="4" t="n"/>
      <c r="CO374" s="4" t="n"/>
      <c r="CP374" s="4" t="n"/>
      <c r="CQ374" s="4" t="n"/>
      <c r="CR374" s="4" t="n"/>
      <c r="CS374" s="4" t="n"/>
      <c r="CT374" s="4" t="n"/>
      <c r="CU374" s="4" t="n"/>
      <c r="CV374" s="4" t="n"/>
      <c r="CW374" s="4" t="n"/>
      <c r="CX374" s="4" t="n"/>
      <c r="CY374" s="4" t="n"/>
      <c r="CZ374" s="4" t="n"/>
      <c r="DA374" s="4" t="n"/>
      <c r="DB374" s="4" t="n"/>
      <c r="DC374" s="4" t="n"/>
      <c r="DD374" s="4" t="n"/>
      <c r="DE374" s="4" t="n"/>
      <c r="DF374" s="4" t="n"/>
      <c r="DG374" s="4" t="n"/>
      <c r="DH374" s="4" t="n"/>
      <c r="DI374" s="4" t="n"/>
      <c r="DJ374" s="4" t="n"/>
      <c r="DK374" s="4" t="n"/>
      <c r="DL374" s="4" t="n"/>
      <c r="DM374" s="4" t="n"/>
      <c r="DN374" s="4" t="n"/>
      <c r="DO374" s="4" t="n"/>
      <c r="DP374" s="4" t="n"/>
      <c r="DQ374" s="4" t="n"/>
      <c r="DR374" s="4" t="n"/>
      <c r="DS374" s="4" t="n"/>
      <c r="DT374" s="4" t="n"/>
      <c r="DU374" s="4" t="n"/>
      <c r="DV374" s="4" t="n"/>
      <c r="DW374" s="4" t="n"/>
      <c r="DX374" s="4" t="n"/>
      <c r="DY374" s="4" t="n"/>
      <c r="DZ374" s="4" t="n"/>
      <c r="EA374" s="4" t="n"/>
      <c r="EB374" s="4" t="n"/>
      <c r="EC374" s="4" t="n"/>
      <c r="ED374" s="4" t="n"/>
      <c r="EE374" s="4" t="n"/>
      <c r="EF374" s="4" t="n"/>
      <c r="EG374" s="4" t="n"/>
      <c r="EH374" s="4" t="n"/>
      <c r="EI374" s="4" t="n"/>
      <c r="EJ374" s="4" t="n"/>
      <c r="EK374" s="4" t="n"/>
      <c r="EL374" s="4" t="n"/>
      <c r="EM374" s="4" t="n"/>
      <c r="EN374" s="4" t="n"/>
    </row>
    <row r="375" hidden="1" customFormat="1" s="6">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c r="AC375" s="4" t="n"/>
      <c r="AD375" s="4" t="n"/>
      <c r="AE375" s="4" t="n"/>
      <c r="AF375" s="4" t="n"/>
      <c r="AG375" s="4" t="n"/>
      <c r="AH375" s="4" t="n"/>
      <c r="AI375" s="4" t="n"/>
      <c r="AJ375" s="4" t="n"/>
      <c r="AK375" s="4" t="n"/>
      <c r="AL375" s="4" t="n"/>
      <c r="AM375" s="4" t="n"/>
      <c r="AN375" s="4" t="n"/>
      <c r="AO375" s="4" t="n"/>
      <c r="AP375" s="4" t="n"/>
      <c r="AQ375" s="4" t="n"/>
      <c r="AR375" s="4" t="n"/>
      <c r="AS375" s="4" t="n"/>
      <c r="AT375" s="4" t="n"/>
      <c r="AU375" s="4" t="n"/>
      <c r="AV375" s="4" t="n"/>
      <c r="AW375" s="4" t="n"/>
      <c r="AX375" s="4" t="n"/>
      <c r="AY375" s="4" t="n"/>
      <c r="AZ375" s="4" t="n"/>
      <c r="BA375" s="4" t="n"/>
      <c r="BB375" s="4" t="n"/>
      <c r="BC375" s="4" t="n"/>
      <c r="BD375" s="4" t="n"/>
      <c r="BE375" s="4" t="n"/>
      <c r="BF375" s="4" t="n"/>
      <c r="BG375" s="4" t="n"/>
      <c r="BH375" s="4" t="n"/>
      <c r="BI375" s="4" t="n"/>
      <c r="BJ375" s="4" t="n"/>
      <c r="BK375" s="4" t="n"/>
      <c r="BL375" s="4" t="n"/>
      <c r="BM375" s="4" t="n"/>
      <c r="BN375" s="4" t="n"/>
      <c r="BO375" s="4" t="n"/>
      <c r="BP375" s="4" t="n"/>
      <c r="BQ375" s="4" t="n"/>
      <c r="BR375" s="4" t="n"/>
      <c r="BS375" s="4" t="n"/>
      <c r="BT375" s="4" t="n"/>
      <c r="BU375" s="4" t="n"/>
      <c r="BV375" s="4" t="n"/>
      <c r="BW375" s="4" t="n"/>
      <c r="BX375" s="4" t="n"/>
      <c r="BY375" s="4" t="n"/>
      <c r="BZ375" s="4" t="n"/>
      <c r="CA375" s="4" t="n"/>
      <c r="CB375" s="4" t="n"/>
      <c r="CC375" s="4" t="n"/>
      <c r="CD375" s="4" t="n"/>
      <c r="CE375" s="4" t="n"/>
      <c r="CF375" s="4" t="n"/>
      <c r="CG375" s="4" t="n"/>
      <c r="CH375" s="4" t="n"/>
      <c r="CI375" s="4" t="n"/>
      <c r="CJ375" s="4" t="n"/>
      <c r="CK375" s="4" t="n"/>
      <c r="CL375" s="4" t="n"/>
      <c r="CM375" s="4" t="n"/>
      <c r="CN375" s="4" t="n"/>
      <c r="CO375" s="4" t="n"/>
      <c r="CP375" s="4" t="n"/>
      <c r="CQ375" s="4" t="n"/>
      <c r="CR375" s="4" t="n"/>
      <c r="CS375" s="4" t="n"/>
      <c r="CT375" s="4" t="n"/>
      <c r="CU375" s="4" t="n"/>
      <c r="CV375" s="4" t="n"/>
      <c r="CW375" s="4" t="n"/>
      <c r="CX375" s="4" t="n"/>
      <c r="CY375" s="4" t="n"/>
      <c r="CZ375" s="4" t="n"/>
      <c r="DA375" s="4" t="n"/>
      <c r="DB375" s="4" t="n"/>
      <c r="DC375" s="4" t="n"/>
      <c r="DD375" s="4" t="n"/>
      <c r="DE375" s="4" t="n"/>
      <c r="DF375" s="4" t="n"/>
      <c r="DG375" s="4" t="n"/>
      <c r="DH375" s="4" t="n"/>
      <c r="DI375" s="4" t="n"/>
      <c r="DJ375" s="4" t="n"/>
      <c r="DK375" s="4" t="n"/>
      <c r="DL375" s="4" t="n"/>
      <c r="DM375" s="4" t="n"/>
      <c r="DN375" s="4" t="n"/>
      <c r="DO375" s="4" t="n"/>
      <c r="DP375" s="4" t="n"/>
      <c r="DQ375" s="4" t="n"/>
      <c r="DR375" s="4" t="n"/>
      <c r="DS375" s="4" t="n"/>
      <c r="DT375" s="4" t="n"/>
      <c r="DU375" s="4" t="n"/>
      <c r="DV375" s="4" t="n"/>
      <c r="DW375" s="4" t="n"/>
      <c r="DX375" s="4" t="n"/>
      <c r="DY375" s="4" t="n"/>
      <c r="DZ375" s="4" t="n"/>
      <c r="EA375" s="4" t="n"/>
      <c r="EB375" s="4" t="n"/>
      <c r="EC375" s="4" t="n"/>
      <c r="ED375" s="4" t="n"/>
      <c r="EE375" s="4" t="n"/>
      <c r="EF375" s="4" t="n"/>
      <c r="EG375" s="4" t="n"/>
      <c r="EH375" s="4" t="n"/>
      <c r="EI375" s="4" t="n"/>
      <c r="EJ375" s="4" t="n"/>
      <c r="EK375" s="4" t="n"/>
      <c r="EL375" s="4" t="n"/>
      <c r="EM375" s="4" t="n"/>
      <c r="EN375" s="4" t="n"/>
    </row>
    <row r="376" hidden="1" customFormat="1" s="6">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c r="AC376" s="4" t="n"/>
      <c r="AD376" s="4" t="n"/>
      <c r="AE376" s="4" t="n"/>
      <c r="AF376" s="4" t="n"/>
      <c r="AG376" s="4" t="n"/>
      <c r="AH376" s="4" t="n"/>
      <c r="AI376" s="4" t="n"/>
      <c r="AJ376" s="4" t="n"/>
      <c r="AK376" s="4" t="n"/>
      <c r="AL376" s="4" t="n"/>
      <c r="AM376" s="4" t="n"/>
      <c r="AN376" s="4" t="n"/>
      <c r="AO376" s="4" t="n"/>
      <c r="AP376" s="4" t="n"/>
      <c r="AQ376" s="4" t="n"/>
      <c r="AR376" s="4" t="n"/>
      <c r="AS376" s="4" t="n"/>
      <c r="AT376" s="4" t="n"/>
      <c r="AU376" s="4" t="n"/>
      <c r="AV376" s="4" t="n"/>
      <c r="AW376" s="4" t="n"/>
      <c r="AX376" s="4" t="n"/>
      <c r="AY376" s="4" t="n"/>
      <c r="AZ376" s="4" t="n"/>
      <c r="BA376" s="4" t="n"/>
      <c r="BB376" s="4" t="n"/>
      <c r="BC376" s="4" t="n"/>
      <c r="BD376" s="4" t="n"/>
      <c r="BE376" s="4" t="n"/>
      <c r="BF376" s="4" t="n"/>
      <c r="BG376" s="4" t="n"/>
      <c r="BH376" s="4" t="n"/>
      <c r="BI376" s="4" t="n"/>
      <c r="BJ376" s="4" t="n"/>
      <c r="BK376" s="4" t="n"/>
      <c r="BL376" s="4" t="n"/>
      <c r="BM376" s="4" t="n"/>
      <c r="BN376" s="4" t="n"/>
      <c r="BO376" s="4" t="n"/>
      <c r="BP376" s="4" t="n"/>
      <c r="BQ376" s="4" t="n"/>
      <c r="BR376" s="4" t="n"/>
      <c r="BS376" s="4" t="n"/>
      <c r="BT376" s="4" t="n"/>
      <c r="BU376" s="4" t="n"/>
      <c r="BV376" s="4" t="n"/>
      <c r="BW376" s="4" t="n"/>
      <c r="BX376" s="4" t="n"/>
      <c r="BY376" s="4" t="n"/>
      <c r="BZ376" s="4" t="n"/>
      <c r="CA376" s="4" t="n"/>
      <c r="CB376" s="4" t="n"/>
      <c r="CC376" s="4" t="n"/>
      <c r="CD376" s="4" t="n"/>
      <c r="CE376" s="4" t="n"/>
      <c r="CF376" s="4" t="n"/>
      <c r="CG376" s="4" t="n"/>
      <c r="CH376" s="4" t="n"/>
      <c r="CI376" s="4" t="n"/>
      <c r="CJ376" s="4" t="n"/>
      <c r="CK376" s="4" t="n"/>
      <c r="CL376" s="4" t="n"/>
      <c r="CM376" s="4" t="n"/>
      <c r="CN376" s="4" t="n"/>
      <c r="CO376" s="4" t="n"/>
      <c r="CP376" s="4" t="n"/>
      <c r="CQ376" s="4" t="n"/>
      <c r="CR376" s="4" t="n"/>
      <c r="CS376" s="4" t="n"/>
      <c r="CT376" s="4" t="n"/>
      <c r="CU376" s="4" t="n"/>
      <c r="CV376" s="4" t="n"/>
      <c r="CW376" s="4" t="n"/>
      <c r="CX376" s="4" t="n"/>
      <c r="CY376" s="4" t="n"/>
      <c r="CZ376" s="4" t="n"/>
      <c r="DA376" s="4" t="n"/>
      <c r="DB376" s="4" t="n"/>
      <c r="DC376" s="4" t="n"/>
      <c r="DD376" s="4" t="n"/>
      <c r="DE376" s="4" t="n"/>
      <c r="DF376" s="4" t="n"/>
      <c r="DG376" s="4" t="n"/>
      <c r="DH376" s="4" t="n"/>
      <c r="DI376" s="4" t="n"/>
      <c r="DJ376" s="4" t="n"/>
      <c r="DK376" s="4" t="n"/>
      <c r="DL376" s="4" t="n"/>
      <c r="DM376" s="4" t="n"/>
      <c r="DN376" s="4" t="n"/>
      <c r="DO376" s="4" t="n"/>
      <c r="DP376" s="4" t="n"/>
      <c r="DQ376" s="4" t="n"/>
      <c r="DR376" s="4" t="n"/>
      <c r="DS376" s="4" t="n"/>
      <c r="DT376" s="4" t="n"/>
      <c r="DU376" s="4" t="n"/>
      <c r="DV376" s="4" t="n"/>
      <c r="DW376" s="4" t="n"/>
      <c r="DX376" s="4" t="n"/>
      <c r="DY376" s="4" t="n"/>
      <c r="DZ376" s="4" t="n"/>
      <c r="EA376" s="4" t="n"/>
      <c r="EB376" s="4" t="n"/>
      <c r="EC376" s="4" t="n"/>
      <c r="ED376" s="4" t="n"/>
      <c r="EE376" s="4" t="n"/>
      <c r="EF376" s="4" t="n"/>
      <c r="EG376" s="4" t="n"/>
      <c r="EH376" s="4" t="n"/>
      <c r="EI376" s="4" t="n"/>
      <c r="EJ376" s="4" t="n"/>
      <c r="EK376" s="4" t="n"/>
      <c r="EL376" s="4" t="n"/>
      <c r="EM376" s="4" t="n"/>
      <c r="EN376" s="4" t="n"/>
    </row>
    <row r="377" hidden="1" customFormat="1" s="6">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c r="AE377" s="4" t="n"/>
      <c r="AF377" s="4" t="n"/>
      <c r="AG377" s="4" t="n"/>
      <c r="AH377" s="4" t="n"/>
      <c r="AI377" s="4" t="n"/>
      <c r="AJ377" s="4" t="n"/>
      <c r="AK377" s="4" t="n"/>
      <c r="AL377" s="4" t="n"/>
      <c r="AM377" s="4" t="n"/>
      <c r="AN377" s="4" t="n"/>
      <c r="AO377" s="4" t="n"/>
      <c r="AP377" s="4" t="n"/>
      <c r="AQ377" s="4" t="n"/>
      <c r="AR377" s="4" t="n"/>
      <c r="AS377" s="4" t="n"/>
      <c r="AT377" s="4" t="n"/>
      <c r="AU377" s="4" t="n"/>
      <c r="AV377" s="4" t="n"/>
      <c r="AW377" s="4" t="n"/>
      <c r="AX377" s="4" t="n"/>
      <c r="AY377" s="4" t="n"/>
      <c r="AZ377" s="4" t="n"/>
      <c r="BA377" s="4" t="n"/>
      <c r="BB377" s="4" t="n"/>
      <c r="BC377" s="4" t="n"/>
      <c r="BD377" s="4" t="n"/>
      <c r="BE377" s="4" t="n"/>
      <c r="BF377" s="4" t="n"/>
      <c r="BG377" s="4" t="n"/>
      <c r="BH377" s="4" t="n"/>
      <c r="BI377" s="4" t="n"/>
      <c r="BJ377" s="4" t="n"/>
      <c r="BK377" s="4" t="n"/>
      <c r="BL377" s="4" t="n"/>
      <c r="BM377" s="4" t="n"/>
      <c r="BN377" s="4" t="n"/>
      <c r="BO377" s="4" t="n"/>
      <c r="BP377" s="4" t="n"/>
      <c r="BQ377" s="4" t="n"/>
      <c r="BR377" s="4" t="n"/>
      <c r="BS377" s="4" t="n"/>
      <c r="BT377" s="4" t="n"/>
      <c r="BU377" s="4" t="n"/>
      <c r="BV377" s="4" t="n"/>
      <c r="BW377" s="4" t="n"/>
      <c r="BX377" s="4" t="n"/>
      <c r="BY377" s="4" t="n"/>
      <c r="BZ377" s="4" t="n"/>
      <c r="CA377" s="4" t="n"/>
      <c r="CB377" s="4" t="n"/>
      <c r="CC377" s="4" t="n"/>
      <c r="CD377" s="4" t="n"/>
      <c r="CE377" s="4" t="n"/>
      <c r="CF377" s="4" t="n"/>
      <c r="CG377" s="4" t="n"/>
      <c r="CH377" s="4" t="n"/>
      <c r="CI377" s="4" t="n"/>
      <c r="CJ377" s="4" t="n"/>
      <c r="CK377" s="4" t="n"/>
      <c r="CL377" s="4" t="n"/>
      <c r="CM377" s="4" t="n"/>
      <c r="CN377" s="4" t="n"/>
      <c r="CO377" s="4" t="n"/>
      <c r="CP377" s="4" t="n"/>
      <c r="CQ377" s="4" t="n"/>
      <c r="CR377" s="4" t="n"/>
      <c r="CS377" s="4" t="n"/>
      <c r="CT377" s="4" t="n"/>
      <c r="CU377" s="4" t="n"/>
      <c r="CV377" s="4" t="n"/>
      <c r="CW377" s="4" t="n"/>
      <c r="CX377" s="4" t="n"/>
      <c r="CY377" s="4" t="n"/>
      <c r="CZ377" s="4" t="n"/>
      <c r="DA377" s="4" t="n"/>
      <c r="DB377" s="4" t="n"/>
      <c r="DC377" s="4" t="n"/>
      <c r="DD377" s="4" t="n"/>
      <c r="DE377" s="4" t="n"/>
      <c r="DF377" s="4" t="n"/>
      <c r="DG377" s="4" t="n"/>
      <c r="DH377" s="4" t="n"/>
      <c r="DI377" s="4" t="n"/>
      <c r="DJ377" s="4" t="n"/>
      <c r="DK377" s="4" t="n"/>
      <c r="DL377" s="4" t="n"/>
      <c r="DM377" s="4" t="n"/>
      <c r="DN377" s="4" t="n"/>
      <c r="DO377" s="4" t="n"/>
      <c r="DP377" s="4" t="n"/>
      <c r="DQ377" s="4" t="n"/>
      <c r="DR377" s="4" t="n"/>
      <c r="DS377" s="4" t="n"/>
      <c r="DT377" s="4" t="n"/>
      <c r="DU377" s="4" t="n"/>
      <c r="DV377" s="4" t="n"/>
      <c r="DW377" s="4" t="n"/>
      <c r="DX377" s="4" t="n"/>
      <c r="DY377" s="4" t="n"/>
      <c r="DZ377" s="4" t="n"/>
      <c r="EA377" s="4" t="n"/>
      <c r="EB377" s="4" t="n"/>
      <c r="EC377" s="4" t="n"/>
      <c r="ED377" s="4" t="n"/>
      <c r="EE377" s="4" t="n"/>
      <c r="EF377" s="4" t="n"/>
      <c r="EG377" s="4" t="n"/>
      <c r="EH377" s="4" t="n"/>
      <c r="EI377" s="4" t="n"/>
      <c r="EJ377" s="4" t="n"/>
      <c r="EK377" s="4" t="n"/>
      <c r="EL377" s="4" t="n"/>
      <c r="EM377" s="4" t="n"/>
      <c r="EN377" s="4" t="n"/>
    </row>
    <row r="378" hidden="1" customFormat="1" s="6">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c r="AC378" s="4" t="n"/>
      <c r="AD378" s="4" t="n"/>
      <c r="AE378" s="4" t="n"/>
      <c r="AF378" s="4" t="n"/>
      <c r="AG378" s="4" t="n"/>
      <c r="AH378" s="4" t="n"/>
      <c r="AI378" s="4" t="n"/>
      <c r="AJ378" s="4" t="n"/>
      <c r="AK378" s="4" t="n"/>
      <c r="AL378" s="4" t="n"/>
      <c r="AM378" s="4" t="n"/>
      <c r="AN378" s="4" t="n"/>
      <c r="AO378" s="4" t="n"/>
      <c r="AP378" s="4" t="n"/>
      <c r="AQ378" s="4" t="n"/>
      <c r="AR378" s="4" t="n"/>
      <c r="AS378" s="4" t="n"/>
      <c r="AT378" s="4" t="n"/>
      <c r="AU378" s="4" t="n"/>
      <c r="AV378" s="4" t="n"/>
      <c r="AW378" s="4" t="n"/>
      <c r="AX378" s="4" t="n"/>
      <c r="AY378" s="4" t="n"/>
      <c r="AZ378" s="4" t="n"/>
      <c r="BA378" s="4" t="n"/>
      <c r="BB378" s="4" t="n"/>
      <c r="BC378" s="4" t="n"/>
      <c r="BD378" s="4" t="n"/>
      <c r="BE378" s="4" t="n"/>
      <c r="BF378" s="4" t="n"/>
      <c r="BG378" s="4" t="n"/>
      <c r="BH378" s="4" t="n"/>
      <c r="BI378" s="4" t="n"/>
      <c r="BJ378" s="4" t="n"/>
      <c r="BK378" s="4" t="n"/>
      <c r="BL378" s="4" t="n"/>
      <c r="BM378" s="4" t="n"/>
      <c r="BN378" s="4" t="n"/>
      <c r="BO378" s="4" t="n"/>
      <c r="BP378" s="4" t="n"/>
      <c r="BQ378" s="4" t="n"/>
      <c r="BR378" s="4" t="n"/>
      <c r="BS378" s="4" t="n"/>
      <c r="BT378" s="4" t="n"/>
      <c r="BU378" s="4" t="n"/>
      <c r="BV378" s="4" t="n"/>
      <c r="BW378" s="4" t="n"/>
      <c r="BX378" s="4" t="n"/>
      <c r="BY378" s="4" t="n"/>
      <c r="BZ378" s="4" t="n"/>
      <c r="CA378" s="4" t="n"/>
      <c r="CB378" s="4" t="n"/>
      <c r="CC378" s="4" t="n"/>
      <c r="CD378" s="4" t="n"/>
      <c r="CE378" s="4" t="n"/>
      <c r="CF378" s="4" t="n"/>
      <c r="CG378" s="4" t="n"/>
      <c r="CH378" s="4" t="n"/>
      <c r="CI378" s="4" t="n"/>
      <c r="CJ378" s="4" t="n"/>
      <c r="CK378" s="4" t="n"/>
      <c r="CL378" s="4" t="n"/>
      <c r="CM378" s="4" t="n"/>
      <c r="CN378" s="4" t="n"/>
      <c r="CO378" s="4" t="n"/>
      <c r="CP378" s="4" t="n"/>
      <c r="CQ378" s="4" t="n"/>
      <c r="CR378" s="4" t="n"/>
      <c r="CS378" s="4" t="n"/>
      <c r="CT378" s="4" t="n"/>
      <c r="CU378" s="4" t="n"/>
      <c r="CV378" s="4" t="n"/>
      <c r="CW378" s="4" t="n"/>
      <c r="CX378" s="4" t="n"/>
      <c r="CY378" s="4" t="n"/>
      <c r="CZ378" s="4" t="n"/>
      <c r="DA378" s="4" t="n"/>
      <c r="DB378" s="4" t="n"/>
      <c r="DC378" s="4" t="n"/>
      <c r="DD378" s="4" t="n"/>
      <c r="DE378" s="4" t="n"/>
      <c r="DF378" s="4" t="n"/>
      <c r="DG378" s="4" t="n"/>
      <c r="DH378" s="4" t="n"/>
      <c r="DI378" s="4" t="n"/>
      <c r="DJ378" s="4" t="n"/>
      <c r="DK378" s="4" t="n"/>
      <c r="DL378" s="4" t="n"/>
      <c r="DM378" s="4" t="n"/>
      <c r="DN378" s="4" t="n"/>
      <c r="DO378" s="4" t="n"/>
      <c r="DP378" s="4" t="n"/>
      <c r="DQ378" s="4" t="n"/>
      <c r="DR378" s="4" t="n"/>
      <c r="DS378" s="4" t="n"/>
      <c r="DT378" s="4" t="n"/>
      <c r="DU378" s="4" t="n"/>
      <c r="DV378" s="4" t="n"/>
      <c r="DW378" s="4" t="n"/>
      <c r="DX378" s="4" t="n"/>
      <c r="DY378" s="4" t="n"/>
      <c r="DZ378" s="4" t="n"/>
      <c r="EA378" s="4" t="n"/>
      <c r="EB378" s="4" t="n"/>
      <c r="EC378" s="4" t="n"/>
      <c r="ED378" s="4" t="n"/>
      <c r="EE378" s="4" t="n"/>
      <c r="EF378" s="4" t="n"/>
      <c r="EG378" s="4" t="n"/>
      <c r="EH378" s="4" t="n"/>
      <c r="EI378" s="4" t="n"/>
      <c r="EJ378" s="4" t="n"/>
      <c r="EK378" s="4" t="n"/>
      <c r="EL378" s="4" t="n"/>
      <c r="EM378" s="4" t="n"/>
      <c r="EN378" s="4" t="n"/>
    </row>
    <row r="379" hidden="1" customFormat="1" s="6">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c r="AD379" s="4" t="n"/>
      <c r="AE379" s="4" t="n"/>
      <c r="AF379" s="4" t="n"/>
      <c r="AG379" s="4" t="n"/>
      <c r="AH379" s="4" t="n"/>
      <c r="AI379" s="4" t="n"/>
      <c r="AJ379" s="4" t="n"/>
      <c r="AK379" s="4" t="n"/>
      <c r="AL379" s="4" t="n"/>
      <c r="AM379" s="4" t="n"/>
      <c r="AN379" s="4" t="n"/>
      <c r="AO379" s="4" t="n"/>
      <c r="AP379" s="4" t="n"/>
      <c r="AQ379" s="4" t="n"/>
      <c r="AR379" s="4" t="n"/>
      <c r="AS379" s="4" t="n"/>
      <c r="AT379" s="4" t="n"/>
      <c r="AU379" s="4" t="n"/>
      <c r="AV379" s="4" t="n"/>
      <c r="AW379" s="4" t="n"/>
      <c r="AX379" s="4" t="n"/>
      <c r="AY379" s="4" t="n"/>
      <c r="AZ379" s="4" t="n"/>
      <c r="BA379" s="4" t="n"/>
      <c r="BB379" s="4" t="n"/>
      <c r="BC379" s="4" t="n"/>
      <c r="BD379" s="4" t="n"/>
      <c r="BE379" s="4" t="n"/>
      <c r="BF379" s="4" t="n"/>
      <c r="BG379" s="4" t="n"/>
      <c r="BH379" s="4" t="n"/>
      <c r="BI379" s="4" t="n"/>
      <c r="BJ379" s="4" t="n"/>
      <c r="BK379" s="4" t="n"/>
      <c r="BL379" s="4" t="n"/>
      <c r="BM379" s="4" t="n"/>
      <c r="BN379" s="4" t="n"/>
      <c r="BO379" s="4" t="n"/>
      <c r="BP379" s="4" t="n"/>
      <c r="BQ379" s="4" t="n"/>
      <c r="BR379" s="4" t="n"/>
      <c r="BS379" s="4" t="n"/>
      <c r="BT379" s="4" t="n"/>
      <c r="BU379" s="4" t="n"/>
      <c r="BV379" s="4" t="n"/>
      <c r="BW379" s="4" t="n"/>
      <c r="BX379" s="4" t="n"/>
      <c r="BY379" s="4" t="n"/>
      <c r="BZ379" s="4" t="n"/>
      <c r="CA379" s="4" t="n"/>
      <c r="CB379" s="4" t="n"/>
      <c r="CC379" s="4" t="n"/>
      <c r="CD379" s="4" t="n"/>
      <c r="CE379" s="4" t="n"/>
      <c r="CF379" s="4" t="n"/>
      <c r="CG379" s="4" t="n"/>
      <c r="CH379" s="4" t="n"/>
      <c r="CI379" s="4" t="n"/>
      <c r="CJ379" s="4" t="n"/>
      <c r="CK379" s="4" t="n"/>
      <c r="CL379" s="4" t="n"/>
      <c r="CM379" s="4" t="n"/>
      <c r="CN379" s="4" t="n"/>
      <c r="CO379" s="4" t="n"/>
      <c r="CP379" s="4" t="n"/>
      <c r="CQ379" s="4" t="n"/>
      <c r="CR379" s="4" t="n"/>
      <c r="CS379" s="4" t="n"/>
      <c r="CT379" s="4" t="n"/>
      <c r="CU379" s="4" t="n"/>
      <c r="CV379" s="4" t="n"/>
      <c r="CW379" s="4" t="n"/>
      <c r="CX379" s="4" t="n"/>
      <c r="CY379" s="4" t="n"/>
      <c r="CZ379" s="4" t="n"/>
      <c r="DA379" s="4" t="n"/>
      <c r="DB379" s="4" t="n"/>
      <c r="DC379" s="4" t="n"/>
      <c r="DD379" s="4" t="n"/>
      <c r="DE379" s="4" t="n"/>
      <c r="DF379" s="4" t="n"/>
      <c r="DG379" s="4" t="n"/>
      <c r="DH379" s="4" t="n"/>
      <c r="DI379" s="4" t="n"/>
      <c r="DJ379" s="4" t="n"/>
      <c r="DK379" s="4" t="n"/>
      <c r="DL379" s="4" t="n"/>
      <c r="DM379" s="4" t="n"/>
      <c r="DN379" s="4" t="n"/>
      <c r="DO379" s="4" t="n"/>
      <c r="DP379" s="4" t="n"/>
      <c r="DQ379" s="4" t="n"/>
      <c r="DR379" s="4" t="n"/>
      <c r="DS379" s="4" t="n"/>
      <c r="DT379" s="4" t="n"/>
      <c r="DU379" s="4" t="n"/>
      <c r="DV379" s="4" t="n"/>
      <c r="DW379" s="4" t="n"/>
      <c r="DX379" s="4" t="n"/>
      <c r="DY379" s="4" t="n"/>
      <c r="DZ379" s="4" t="n"/>
      <c r="EA379" s="4" t="n"/>
      <c r="EB379" s="4" t="n"/>
      <c r="EC379" s="4" t="n"/>
      <c r="ED379" s="4" t="n"/>
      <c r="EE379" s="4" t="n"/>
      <c r="EF379" s="4" t="n"/>
      <c r="EG379" s="4" t="n"/>
      <c r="EH379" s="4" t="n"/>
      <c r="EI379" s="4" t="n"/>
      <c r="EJ379" s="4" t="n"/>
      <c r="EK379" s="4" t="n"/>
      <c r="EL379" s="4" t="n"/>
      <c r="EM379" s="4" t="n"/>
      <c r="EN379" s="4" t="n"/>
    </row>
    <row r="380" hidden="1" customFormat="1" s="6">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c r="AE380" s="4" t="n"/>
      <c r="AF380" s="4" t="n"/>
      <c r="AG380" s="4" t="n"/>
      <c r="AH380" s="4" t="n"/>
      <c r="AI380" s="4" t="n"/>
      <c r="AJ380" s="4" t="n"/>
      <c r="AK380" s="4" t="n"/>
      <c r="AL380" s="4" t="n"/>
      <c r="AM380" s="4" t="n"/>
      <c r="AN380" s="4" t="n"/>
      <c r="AO380" s="4" t="n"/>
      <c r="AP380" s="4" t="n"/>
      <c r="AQ380" s="4" t="n"/>
      <c r="AR380" s="4" t="n"/>
      <c r="AS380" s="4" t="n"/>
      <c r="AT380" s="4" t="n"/>
      <c r="AU380" s="4" t="n"/>
      <c r="AV380" s="4" t="n"/>
      <c r="AW380" s="4" t="n"/>
      <c r="AX380" s="4" t="n"/>
      <c r="AY380" s="4" t="n"/>
      <c r="AZ380" s="4" t="n"/>
      <c r="BA380" s="4" t="n"/>
      <c r="BB380" s="4" t="n"/>
      <c r="BC380" s="4" t="n"/>
      <c r="BD380" s="4" t="n"/>
      <c r="BE380" s="4" t="n"/>
      <c r="BF380" s="4" t="n"/>
      <c r="BG380" s="4" t="n"/>
      <c r="BH380" s="4" t="n"/>
      <c r="BI380" s="4" t="n"/>
      <c r="BJ380" s="4" t="n"/>
      <c r="BK380" s="4" t="n"/>
      <c r="BL380" s="4" t="n"/>
      <c r="BM380" s="4" t="n"/>
      <c r="BN380" s="4" t="n"/>
      <c r="BO380" s="4" t="n"/>
      <c r="BP380" s="4" t="n"/>
      <c r="BQ380" s="4" t="n"/>
      <c r="BR380" s="4" t="n"/>
      <c r="BS380" s="4" t="n"/>
      <c r="BT380" s="4" t="n"/>
      <c r="BU380" s="4" t="n"/>
      <c r="BV380" s="4" t="n"/>
      <c r="BW380" s="4" t="n"/>
      <c r="BX380" s="4" t="n"/>
      <c r="BY380" s="4" t="n"/>
      <c r="BZ380" s="4" t="n"/>
      <c r="CA380" s="4" t="n"/>
      <c r="CB380" s="4" t="n"/>
      <c r="CC380" s="4" t="n"/>
      <c r="CD380" s="4" t="n"/>
      <c r="CE380" s="4" t="n"/>
      <c r="CF380" s="4" t="n"/>
      <c r="CG380" s="4" t="n"/>
      <c r="CH380" s="4" t="n"/>
      <c r="CI380" s="4" t="n"/>
      <c r="CJ380" s="4" t="n"/>
      <c r="CK380" s="4" t="n"/>
      <c r="CL380" s="4" t="n"/>
      <c r="CM380" s="4" t="n"/>
      <c r="CN380" s="4" t="n"/>
      <c r="CO380" s="4" t="n"/>
      <c r="CP380" s="4" t="n"/>
      <c r="CQ380" s="4" t="n"/>
      <c r="CR380" s="4" t="n"/>
      <c r="CS380" s="4" t="n"/>
      <c r="CT380" s="4" t="n"/>
      <c r="CU380" s="4" t="n"/>
      <c r="CV380" s="4" t="n"/>
      <c r="CW380" s="4" t="n"/>
      <c r="CX380" s="4" t="n"/>
      <c r="CY380" s="4" t="n"/>
      <c r="CZ380" s="4" t="n"/>
      <c r="DA380" s="4" t="n"/>
      <c r="DB380" s="4" t="n"/>
      <c r="DC380" s="4" t="n"/>
      <c r="DD380" s="4" t="n"/>
      <c r="DE380" s="4" t="n"/>
      <c r="DF380" s="4" t="n"/>
      <c r="DG380" s="4" t="n"/>
      <c r="DH380" s="4" t="n"/>
      <c r="DI380" s="4" t="n"/>
      <c r="DJ380" s="4" t="n"/>
      <c r="DK380" s="4" t="n"/>
      <c r="DL380" s="4" t="n"/>
      <c r="DM380" s="4" t="n"/>
      <c r="DN380" s="4" t="n"/>
      <c r="DO380" s="4" t="n"/>
      <c r="DP380" s="4" t="n"/>
      <c r="DQ380" s="4" t="n"/>
      <c r="DR380" s="4" t="n"/>
      <c r="DS380" s="4" t="n"/>
      <c r="DT380" s="4" t="n"/>
      <c r="DU380" s="4" t="n"/>
      <c r="DV380" s="4" t="n"/>
      <c r="DW380" s="4" t="n"/>
      <c r="DX380" s="4" t="n"/>
      <c r="DY380" s="4" t="n"/>
      <c r="DZ380" s="4" t="n"/>
      <c r="EA380" s="4" t="n"/>
      <c r="EB380" s="4" t="n"/>
      <c r="EC380" s="4" t="n"/>
      <c r="ED380" s="4" t="n"/>
      <c r="EE380" s="4" t="n"/>
      <c r="EF380" s="4" t="n"/>
      <c r="EG380" s="4" t="n"/>
      <c r="EH380" s="4" t="n"/>
      <c r="EI380" s="4" t="n"/>
      <c r="EJ380" s="4" t="n"/>
      <c r="EK380" s="4" t="n"/>
      <c r="EL380" s="4" t="n"/>
      <c r="EM380" s="4" t="n"/>
      <c r="EN380" s="4" t="n"/>
    </row>
    <row r="381" hidden="1" customFormat="1" s="6">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c r="AC381" s="4" t="n"/>
      <c r="AD381" s="4" t="n"/>
      <c r="AE381" s="4" t="n"/>
      <c r="AF381" s="4" t="n"/>
      <c r="AG381" s="4" t="n"/>
      <c r="AH381" s="4" t="n"/>
      <c r="AI381" s="4" t="n"/>
      <c r="AJ381" s="4" t="n"/>
      <c r="AK381" s="4" t="n"/>
      <c r="AL381" s="4" t="n"/>
      <c r="AM381" s="4" t="n"/>
      <c r="AN381" s="4" t="n"/>
      <c r="AO381" s="4" t="n"/>
      <c r="AP381" s="4" t="n"/>
      <c r="AQ381" s="4" t="n"/>
      <c r="AR381" s="4" t="n"/>
      <c r="AS381" s="4" t="n"/>
      <c r="AT381" s="4" t="n"/>
      <c r="AU381" s="4" t="n"/>
      <c r="AV381" s="4" t="n"/>
      <c r="AW381" s="4" t="n"/>
      <c r="AX381" s="4" t="n"/>
      <c r="AY381" s="4" t="n"/>
      <c r="AZ381" s="4" t="n"/>
      <c r="BA381" s="4" t="n"/>
      <c r="BB381" s="4" t="n"/>
      <c r="BC381" s="4" t="n"/>
      <c r="BD381" s="4" t="n"/>
      <c r="BE381" s="4" t="n"/>
      <c r="BF381" s="4" t="n"/>
      <c r="BG381" s="4" t="n"/>
      <c r="BH381" s="4" t="n"/>
      <c r="BI381" s="4" t="n"/>
      <c r="BJ381" s="4" t="n"/>
      <c r="BK381" s="4" t="n"/>
      <c r="BL381" s="4" t="n"/>
      <c r="BM381" s="4" t="n"/>
      <c r="BN381" s="4" t="n"/>
      <c r="BO381" s="4" t="n"/>
      <c r="BP381" s="4" t="n"/>
      <c r="BQ381" s="4" t="n"/>
      <c r="BR381" s="4" t="n"/>
      <c r="BS381" s="4" t="n"/>
      <c r="BT381" s="4" t="n"/>
      <c r="BU381" s="4" t="n"/>
      <c r="BV381" s="4" t="n"/>
      <c r="BW381" s="4" t="n"/>
      <c r="BX381" s="4" t="n"/>
      <c r="BY381" s="4" t="n"/>
      <c r="BZ381" s="4" t="n"/>
      <c r="CA381" s="4" t="n"/>
      <c r="CB381" s="4" t="n"/>
      <c r="CC381" s="4" t="n"/>
      <c r="CD381" s="4" t="n"/>
      <c r="CE381" s="4" t="n"/>
      <c r="CF381" s="4" t="n"/>
      <c r="CG381" s="4" t="n"/>
      <c r="CH381" s="4" t="n"/>
      <c r="CI381" s="4" t="n"/>
      <c r="CJ381" s="4" t="n"/>
      <c r="CK381" s="4" t="n"/>
      <c r="CL381" s="4" t="n"/>
      <c r="CM381" s="4" t="n"/>
      <c r="CN381" s="4" t="n"/>
      <c r="CO381" s="4" t="n"/>
      <c r="CP381" s="4" t="n"/>
      <c r="CQ381" s="4" t="n"/>
      <c r="CR381" s="4" t="n"/>
      <c r="CS381" s="4" t="n"/>
      <c r="CT381" s="4" t="n"/>
      <c r="CU381" s="4" t="n"/>
      <c r="CV381" s="4" t="n"/>
      <c r="CW381" s="4" t="n"/>
      <c r="CX381" s="4" t="n"/>
      <c r="CY381" s="4" t="n"/>
      <c r="CZ381" s="4" t="n"/>
      <c r="DA381" s="4" t="n"/>
      <c r="DB381" s="4" t="n"/>
      <c r="DC381" s="4" t="n"/>
      <c r="DD381" s="4" t="n"/>
      <c r="DE381" s="4" t="n"/>
      <c r="DF381" s="4" t="n"/>
      <c r="DG381" s="4" t="n"/>
      <c r="DH381" s="4" t="n"/>
      <c r="DI381" s="4" t="n"/>
      <c r="DJ381" s="4" t="n"/>
      <c r="DK381" s="4" t="n"/>
      <c r="DL381" s="4" t="n"/>
      <c r="DM381" s="4" t="n"/>
      <c r="DN381" s="4" t="n"/>
      <c r="DO381" s="4" t="n"/>
      <c r="DP381" s="4" t="n"/>
      <c r="DQ381" s="4" t="n"/>
      <c r="DR381" s="4" t="n"/>
      <c r="DS381" s="4" t="n"/>
      <c r="DT381" s="4" t="n"/>
      <c r="DU381" s="4" t="n"/>
      <c r="DV381" s="4" t="n"/>
      <c r="DW381" s="4" t="n"/>
      <c r="DX381" s="4" t="n"/>
      <c r="DY381" s="4" t="n"/>
      <c r="DZ381" s="4" t="n"/>
      <c r="EA381" s="4" t="n"/>
      <c r="EB381" s="4" t="n"/>
      <c r="EC381" s="4" t="n"/>
      <c r="ED381" s="4" t="n"/>
      <c r="EE381" s="4" t="n"/>
      <c r="EF381" s="4" t="n"/>
      <c r="EG381" s="4" t="n"/>
      <c r="EH381" s="4" t="n"/>
      <c r="EI381" s="4" t="n"/>
      <c r="EJ381" s="4" t="n"/>
      <c r="EK381" s="4" t="n"/>
      <c r="EL381" s="4" t="n"/>
      <c r="EM381" s="4" t="n"/>
      <c r="EN381" s="4" t="n"/>
    </row>
    <row r="382" hidden="1" customFormat="1" s="6">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c r="AE382" s="4" t="n"/>
      <c r="AF382" s="4" t="n"/>
      <c r="AG382" s="4" t="n"/>
      <c r="AH382" s="4" t="n"/>
      <c r="AI382" s="4" t="n"/>
      <c r="AJ382" s="4" t="n"/>
      <c r="AK382" s="4" t="n"/>
      <c r="AL382" s="4" t="n"/>
      <c r="AM382" s="4" t="n"/>
      <c r="AN382" s="4" t="n"/>
      <c r="AO382" s="4" t="n"/>
      <c r="AP382" s="4" t="n"/>
      <c r="AQ382" s="4" t="n"/>
      <c r="AR382" s="4" t="n"/>
      <c r="AS382" s="4" t="n"/>
      <c r="AT382" s="4" t="n"/>
      <c r="AU382" s="4" t="n"/>
      <c r="AV382" s="4" t="n"/>
      <c r="AW382" s="4" t="n"/>
      <c r="AX382" s="4" t="n"/>
      <c r="AY382" s="4" t="n"/>
      <c r="AZ382" s="4" t="n"/>
      <c r="BA382" s="4" t="n"/>
      <c r="BB382" s="4" t="n"/>
      <c r="BC382" s="4" t="n"/>
      <c r="BD382" s="4" t="n"/>
      <c r="BE382" s="4" t="n"/>
      <c r="BF382" s="4" t="n"/>
      <c r="BG382" s="4" t="n"/>
      <c r="BH382" s="4" t="n"/>
      <c r="BI382" s="4" t="n"/>
      <c r="BJ382" s="4" t="n"/>
      <c r="BK382" s="4" t="n"/>
      <c r="BL382" s="4" t="n"/>
      <c r="BM382" s="4" t="n"/>
      <c r="BN382" s="4" t="n"/>
      <c r="BO382" s="4" t="n"/>
      <c r="BP382" s="4" t="n"/>
      <c r="BQ382" s="4" t="n"/>
      <c r="BR382" s="4" t="n"/>
      <c r="BS382" s="4" t="n"/>
      <c r="BT382" s="4" t="n"/>
      <c r="BU382" s="4" t="n"/>
      <c r="BV382" s="4" t="n"/>
      <c r="BW382" s="4" t="n"/>
      <c r="BX382" s="4" t="n"/>
      <c r="BY382" s="4" t="n"/>
      <c r="BZ382" s="4" t="n"/>
      <c r="CA382" s="4" t="n"/>
      <c r="CB382" s="4" t="n"/>
      <c r="CC382" s="4" t="n"/>
      <c r="CD382" s="4" t="n"/>
      <c r="CE382" s="4" t="n"/>
      <c r="CF382" s="4" t="n"/>
      <c r="CG382" s="4" t="n"/>
      <c r="CH382" s="4" t="n"/>
      <c r="CI382" s="4" t="n"/>
      <c r="CJ382" s="4" t="n"/>
      <c r="CK382" s="4" t="n"/>
      <c r="CL382" s="4" t="n"/>
      <c r="CM382" s="4" t="n"/>
      <c r="CN382" s="4" t="n"/>
      <c r="CO382" s="4" t="n"/>
      <c r="CP382" s="4" t="n"/>
      <c r="CQ382" s="4" t="n"/>
      <c r="CR382" s="4" t="n"/>
      <c r="CS382" s="4" t="n"/>
      <c r="CT382" s="4" t="n"/>
      <c r="CU382" s="4" t="n"/>
      <c r="CV382" s="4" t="n"/>
      <c r="CW382" s="4" t="n"/>
      <c r="CX382" s="4" t="n"/>
      <c r="CY382" s="4" t="n"/>
      <c r="CZ382" s="4" t="n"/>
      <c r="DA382" s="4" t="n"/>
      <c r="DB382" s="4" t="n"/>
      <c r="DC382" s="4" t="n"/>
      <c r="DD382" s="4" t="n"/>
      <c r="DE382" s="4" t="n"/>
      <c r="DF382" s="4" t="n"/>
      <c r="DG382" s="4" t="n"/>
      <c r="DH382" s="4" t="n"/>
      <c r="DI382" s="4" t="n"/>
      <c r="DJ382" s="4" t="n"/>
      <c r="DK382" s="4" t="n"/>
      <c r="DL382" s="4" t="n"/>
      <c r="DM382" s="4" t="n"/>
      <c r="DN382" s="4" t="n"/>
      <c r="DO382" s="4" t="n"/>
      <c r="DP382" s="4" t="n"/>
      <c r="DQ382" s="4" t="n"/>
      <c r="DR382" s="4" t="n"/>
      <c r="DS382" s="4" t="n"/>
      <c r="DT382" s="4" t="n"/>
      <c r="DU382" s="4" t="n"/>
      <c r="DV382" s="4" t="n"/>
      <c r="DW382" s="4" t="n"/>
      <c r="DX382" s="4" t="n"/>
      <c r="DY382" s="4" t="n"/>
      <c r="DZ382" s="4" t="n"/>
      <c r="EA382" s="4" t="n"/>
      <c r="EB382" s="4" t="n"/>
      <c r="EC382" s="4" t="n"/>
      <c r="ED382" s="4" t="n"/>
      <c r="EE382" s="4" t="n"/>
      <c r="EF382" s="4" t="n"/>
      <c r="EG382" s="4" t="n"/>
      <c r="EH382" s="4" t="n"/>
      <c r="EI382" s="4" t="n"/>
      <c r="EJ382" s="4" t="n"/>
      <c r="EK382" s="4" t="n"/>
      <c r="EL382" s="4" t="n"/>
      <c r="EM382" s="4" t="n"/>
      <c r="EN382" s="4" t="n"/>
    </row>
    <row r="383" hidden="1" customFormat="1" s="6">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c r="AD383" s="4" t="n"/>
      <c r="AE383" s="4" t="n"/>
      <c r="AF383" s="4" t="n"/>
      <c r="AG383" s="4" t="n"/>
      <c r="AH383" s="4" t="n"/>
      <c r="AI383" s="4" t="n"/>
      <c r="AJ383" s="4" t="n"/>
      <c r="AK383" s="4" t="n"/>
      <c r="AL383" s="4" t="n"/>
      <c r="AM383" s="4" t="n"/>
      <c r="AN383" s="4" t="n"/>
      <c r="AO383" s="4" t="n"/>
      <c r="AP383" s="4" t="n"/>
      <c r="AQ383" s="4" t="n"/>
      <c r="AR383" s="4" t="n"/>
      <c r="AS383" s="4" t="n"/>
      <c r="AT383" s="4" t="n"/>
      <c r="AU383" s="4" t="n"/>
      <c r="AV383" s="4" t="n"/>
      <c r="AW383" s="4" t="n"/>
      <c r="AX383" s="4" t="n"/>
      <c r="AY383" s="4" t="n"/>
      <c r="AZ383" s="4" t="n"/>
      <c r="BA383" s="4" t="n"/>
      <c r="BB383" s="4" t="n"/>
      <c r="BC383" s="4" t="n"/>
      <c r="BD383" s="4" t="n"/>
      <c r="BE383" s="4" t="n"/>
      <c r="BF383" s="4" t="n"/>
      <c r="BG383" s="4" t="n"/>
      <c r="BH383" s="4" t="n"/>
      <c r="BI383" s="4" t="n"/>
      <c r="BJ383" s="4" t="n"/>
      <c r="BK383" s="4" t="n"/>
      <c r="BL383" s="4" t="n"/>
      <c r="BM383" s="4" t="n"/>
      <c r="BN383" s="4" t="n"/>
      <c r="BO383" s="4" t="n"/>
      <c r="BP383" s="4" t="n"/>
      <c r="BQ383" s="4" t="n"/>
      <c r="BR383" s="4" t="n"/>
      <c r="BS383" s="4" t="n"/>
      <c r="BT383" s="4" t="n"/>
      <c r="BU383" s="4" t="n"/>
      <c r="BV383" s="4" t="n"/>
      <c r="BW383" s="4" t="n"/>
      <c r="BX383" s="4" t="n"/>
      <c r="BY383" s="4" t="n"/>
      <c r="BZ383" s="4" t="n"/>
      <c r="CA383" s="4" t="n"/>
      <c r="CB383" s="4" t="n"/>
      <c r="CC383" s="4" t="n"/>
      <c r="CD383" s="4" t="n"/>
      <c r="CE383" s="4" t="n"/>
      <c r="CF383" s="4" t="n"/>
      <c r="CG383" s="4" t="n"/>
      <c r="CH383" s="4" t="n"/>
      <c r="CI383" s="4" t="n"/>
      <c r="CJ383" s="4" t="n"/>
      <c r="CK383" s="4" t="n"/>
      <c r="CL383" s="4" t="n"/>
      <c r="CM383" s="4" t="n"/>
      <c r="CN383" s="4" t="n"/>
      <c r="CO383" s="4" t="n"/>
      <c r="CP383" s="4" t="n"/>
      <c r="CQ383" s="4" t="n"/>
      <c r="CR383" s="4" t="n"/>
      <c r="CS383" s="4" t="n"/>
      <c r="CT383" s="4" t="n"/>
      <c r="CU383" s="4" t="n"/>
      <c r="CV383" s="4" t="n"/>
      <c r="CW383" s="4" t="n"/>
      <c r="CX383" s="4" t="n"/>
      <c r="CY383" s="4" t="n"/>
      <c r="CZ383" s="4" t="n"/>
      <c r="DA383" s="4" t="n"/>
      <c r="DB383" s="4" t="n"/>
      <c r="DC383" s="4" t="n"/>
      <c r="DD383" s="4" t="n"/>
      <c r="DE383" s="4" t="n"/>
      <c r="DF383" s="4" t="n"/>
      <c r="DG383" s="4" t="n"/>
      <c r="DH383" s="4" t="n"/>
      <c r="DI383" s="4" t="n"/>
      <c r="DJ383" s="4" t="n"/>
      <c r="DK383" s="4" t="n"/>
      <c r="DL383" s="4" t="n"/>
      <c r="DM383" s="4" t="n"/>
      <c r="DN383" s="4" t="n"/>
      <c r="DO383" s="4" t="n"/>
      <c r="DP383" s="4" t="n"/>
      <c r="DQ383" s="4" t="n"/>
      <c r="DR383" s="4" t="n"/>
      <c r="DS383" s="4" t="n"/>
      <c r="DT383" s="4" t="n"/>
      <c r="DU383" s="4" t="n"/>
      <c r="DV383" s="4" t="n"/>
      <c r="DW383" s="4" t="n"/>
      <c r="DX383" s="4" t="n"/>
      <c r="DY383" s="4" t="n"/>
      <c r="DZ383" s="4" t="n"/>
      <c r="EA383" s="4" t="n"/>
      <c r="EB383" s="4" t="n"/>
      <c r="EC383" s="4" t="n"/>
      <c r="ED383" s="4" t="n"/>
      <c r="EE383" s="4" t="n"/>
      <c r="EF383" s="4" t="n"/>
      <c r="EG383" s="4" t="n"/>
      <c r="EH383" s="4" t="n"/>
      <c r="EI383" s="4" t="n"/>
      <c r="EJ383" s="4" t="n"/>
      <c r="EK383" s="4" t="n"/>
      <c r="EL383" s="4" t="n"/>
      <c r="EM383" s="4" t="n"/>
      <c r="EN383" s="4" t="n"/>
    </row>
    <row r="384" hidden="1" customFormat="1" s="6">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c r="AE384" s="4" t="n"/>
      <c r="AF384" s="4" t="n"/>
      <c r="AG384" s="4" t="n"/>
      <c r="AH384" s="4" t="n"/>
      <c r="AI384" s="4" t="n"/>
      <c r="AJ384" s="4" t="n"/>
      <c r="AK384" s="4" t="n"/>
      <c r="AL384" s="4" t="n"/>
      <c r="AM384" s="4" t="n"/>
      <c r="AN384" s="4" t="n"/>
      <c r="AO384" s="4" t="n"/>
      <c r="AP384" s="4" t="n"/>
      <c r="AQ384" s="4" t="n"/>
      <c r="AR384" s="4" t="n"/>
      <c r="AS384" s="4" t="n"/>
      <c r="AT384" s="4" t="n"/>
      <c r="AU384" s="4" t="n"/>
      <c r="AV384" s="4" t="n"/>
      <c r="AW384" s="4" t="n"/>
      <c r="AX384" s="4" t="n"/>
      <c r="AY384" s="4" t="n"/>
      <c r="AZ384" s="4" t="n"/>
      <c r="BA384" s="4" t="n"/>
      <c r="BB384" s="4" t="n"/>
      <c r="BC384" s="4" t="n"/>
      <c r="BD384" s="4" t="n"/>
      <c r="BE384" s="4" t="n"/>
      <c r="BF384" s="4" t="n"/>
      <c r="BG384" s="4" t="n"/>
      <c r="BH384" s="4" t="n"/>
      <c r="BI384" s="4" t="n"/>
      <c r="BJ384" s="4" t="n"/>
      <c r="BK384" s="4" t="n"/>
      <c r="BL384" s="4" t="n"/>
      <c r="BM384" s="4" t="n"/>
      <c r="BN384" s="4" t="n"/>
      <c r="BO384" s="4" t="n"/>
      <c r="BP384" s="4" t="n"/>
      <c r="BQ384" s="4" t="n"/>
      <c r="BR384" s="4" t="n"/>
      <c r="BS384" s="4" t="n"/>
      <c r="BT384" s="4" t="n"/>
      <c r="BU384" s="4" t="n"/>
      <c r="BV384" s="4" t="n"/>
      <c r="BW384" s="4" t="n"/>
      <c r="BX384" s="4" t="n"/>
      <c r="BY384" s="4" t="n"/>
      <c r="BZ384" s="4" t="n"/>
      <c r="CA384" s="4" t="n"/>
      <c r="CB384" s="4" t="n"/>
      <c r="CC384" s="4" t="n"/>
      <c r="CD384" s="4" t="n"/>
      <c r="CE384" s="4" t="n"/>
      <c r="CF384" s="4" t="n"/>
      <c r="CG384" s="4" t="n"/>
      <c r="CH384" s="4" t="n"/>
      <c r="CI384" s="4" t="n"/>
      <c r="CJ384" s="4" t="n"/>
      <c r="CK384" s="4" t="n"/>
      <c r="CL384" s="4" t="n"/>
      <c r="CM384" s="4" t="n"/>
      <c r="CN384" s="4" t="n"/>
      <c r="CO384" s="4" t="n"/>
      <c r="CP384" s="4" t="n"/>
      <c r="CQ384" s="4" t="n"/>
      <c r="CR384" s="4" t="n"/>
      <c r="CS384" s="4" t="n"/>
      <c r="CT384" s="4" t="n"/>
      <c r="CU384" s="4" t="n"/>
      <c r="CV384" s="4" t="n"/>
      <c r="CW384" s="4" t="n"/>
      <c r="CX384" s="4" t="n"/>
      <c r="CY384" s="4" t="n"/>
      <c r="CZ384" s="4" t="n"/>
      <c r="DA384" s="4" t="n"/>
      <c r="DB384" s="4" t="n"/>
      <c r="DC384" s="4" t="n"/>
      <c r="DD384" s="4" t="n"/>
      <c r="DE384" s="4" t="n"/>
      <c r="DF384" s="4" t="n"/>
      <c r="DG384" s="4" t="n"/>
      <c r="DH384" s="4" t="n"/>
      <c r="DI384" s="4" t="n"/>
      <c r="DJ384" s="4" t="n"/>
      <c r="DK384" s="4" t="n"/>
      <c r="DL384" s="4" t="n"/>
      <c r="DM384" s="4" t="n"/>
      <c r="DN384" s="4" t="n"/>
      <c r="DO384" s="4" t="n"/>
      <c r="DP384" s="4" t="n"/>
      <c r="DQ384" s="4" t="n"/>
      <c r="DR384" s="4" t="n"/>
      <c r="DS384" s="4" t="n"/>
      <c r="DT384" s="4" t="n"/>
      <c r="DU384" s="4" t="n"/>
      <c r="DV384" s="4" t="n"/>
      <c r="DW384" s="4" t="n"/>
      <c r="DX384" s="4" t="n"/>
      <c r="DY384" s="4" t="n"/>
      <c r="DZ384" s="4" t="n"/>
      <c r="EA384" s="4" t="n"/>
      <c r="EB384" s="4" t="n"/>
      <c r="EC384" s="4" t="n"/>
      <c r="ED384" s="4" t="n"/>
      <c r="EE384" s="4" t="n"/>
      <c r="EF384" s="4" t="n"/>
      <c r="EG384" s="4" t="n"/>
      <c r="EH384" s="4" t="n"/>
      <c r="EI384" s="4" t="n"/>
      <c r="EJ384" s="4" t="n"/>
      <c r="EK384" s="4" t="n"/>
      <c r="EL384" s="4" t="n"/>
      <c r="EM384" s="4" t="n"/>
      <c r="EN384" s="4" t="n"/>
    </row>
    <row r="385" hidden="1" customFormat="1" s="6">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c r="AE385" s="4" t="n"/>
      <c r="AF385" s="4" t="n"/>
      <c r="AG385" s="4" t="n"/>
      <c r="AH385" s="4" t="n"/>
      <c r="AI385" s="4" t="n"/>
      <c r="AJ385" s="4" t="n"/>
      <c r="AK385" s="4" t="n"/>
      <c r="AL385" s="4" t="n"/>
      <c r="AM385" s="4" t="n"/>
      <c r="AN385" s="4" t="n"/>
      <c r="AO385" s="4" t="n"/>
      <c r="AP385" s="4" t="n"/>
      <c r="AQ385" s="4" t="n"/>
      <c r="AR385" s="4" t="n"/>
      <c r="AS385" s="4" t="n"/>
      <c r="AT385" s="4" t="n"/>
      <c r="AU385" s="4" t="n"/>
      <c r="AV385" s="4" t="n"/>
      <c r="AW385" s="4" t="n"/>
      <c r="AX385" s="4" t="n"/>
      <c r="AY385" s="4" t="n"/>
      <c r="AZ385" s="4" t="n"/>
      <c r="BA385" s="4" t="n"/>
      <c r="BB385" s="4" t="n"/>
      <c r="BC385" s="4" t="n"/>
      <c r="BD385" s="4" t="n"/>
      <c r="BE385" s="4" t="n"/>
      <c r="BF385" s="4" t="n"/>
      <c r="BG385" s="4" t="n"/>
      <c r="BH385" s="4" t="n"/>
      <c r="BI385" s="4" t="n"/>
      <c r="BJ385" s="4" t="n"/>
      <c r="BK385" s="4" t="n"/>
      <c r="BL385" s="4" t="n"/>
      <c r="BM385" s="4" t="n"/>
      <c r="BN385" s="4" t="n"/>
      <c r="BO385" s="4" t="n"/>
      <c r="BP385" s="4" t="n"/>
      <c r="BQ385" s="4" t="n"/>
      <c r="BR385" s="4" t="n"/>
      <c r="BS385" s="4" t="n"/>
      <c r="BT385" s="4" t="n"/>
      <c r="BU385" s="4" t="n"/>
      <c r="BV385" s="4" t="n"/>
      <c r="BW385" s="4" t="n"/>
      <c r="BX385" s="4" t="n"/>
      <c r="BY385" s="4" t="n"/>
      <c r="BZ385" s="4" t="n"/>
      <c r="CA385" s="4" t="n"/>
      <c r="CB385" s="4" t="n"/>
      <c r="CC385" s="4" t="n"/>
      <c r="CD385" s="4" t="n"/>
      <c r="CE385" s="4" t="n"/>
      <c r="CF385" s="4" t="n"/>
      <c r="CG385" s="4" t="n"/>
      <c r="CH385" s="4" t="n"/>
      <c r="CI385" s="4" t="n"/>
      <c r="CJ385" s="4" t="n"/>
      <c r="CK385" s="4" t="n"/>
      <c r="CL385" s="4" t="n"/>
      <c r="CM385" s="4" t="n"/>
      <c r="CN385" s="4" t="n"/>
      <c r="CO385" s="4" t="n"/>
      <c r="CP385" s="4" t="n"/>
      <c r="CQ385" s="4" t="n"/>
      <c r="CR385" s="4" t="n"/>
      <c r="CS385" s="4" t="n"/>
      <c r="CT385" s="4" t="n"/>
      <c r="CU385" s="4" t="n"/>
      <c r="CV385" s="4" t="n"/>
      <c r="CW385" s="4" t="n"/>
      <c r="CX385" s="4" t="n"/>
      <c r="CY385" s="4" t="n"/>
      <c r="CZ385" s="4" t="n"/>
      <c r="DA385" s="4" t="n"/>
      <c r="DB385" s="4" t="n"/>
      <c r="DC385" s="4" t="n"/>
      <c r="DD385" s="4" t="n"/>
      <c r="DE385" s="4" t="n"/>
      <c r="DF385" s="4" t="n"/>
      <c r="DG385" s="4" t="n"/>
      <c r="DH385" s="4" t="n"/>
      <c r="DI385" s="4" t="n"/>
      <c r="DJ385" s="4" t="n"/>
      <c r="DK385" s="4" t="n"/>
      <c r="DL385" s="4" t="n"/>
      <c r="DM385" s="4" t="n"/>
      <c r="DN385" s="4" t="n"/>
      <c r="DO385" s="4" t="n"/>
      <c r="DP385" s="4" t="n"/>
      <c r="DQ385" s="4" t="n"/>
      <c r="DR385" s="4" t="n"/>
      <c r="DS385" s="4" t="n"/>
      <c r="DT385" s="4" t="n"/>
      <c r="DU385" s="4" t="n"/>
      <c r="DV385" s="4" t="n"/>
      <c r="DW385" s="4" t="n"/>
      <c r="DX385" s="4" t="n"/>
      <c r="DY385" s="4" t="n"/>
      <c r="DZ385" s="4" t="n"/>
      <c r="EA385" s="4" t="n"/>
      <c r="EB385" s="4" t="n"/>
      <c r="EC385" s="4" t="n"/>
      <c r="ED385" s="4" t="n"/>
      <c r="EE385" s="4" t="n"/>
      <c r="EF385" s="4" t="n"/>
      <c r="EG385" s="4" t="n"/>
      <c r="EH385" s="4" t="n"/>
      <c r="EI385" s="4" t="n"/>
      <c r="EJ385" s="4" t="n"/>
      <c r="EK385" s="4" t="n"/>
      <c r="EL385" s="4" t="n"/>
      <c r="EM385" s="4" t="n"/>
      <c r="EN385" s="4" t="n"/>
    </row>
    <row r="386" hidden="1" customFormat="1" s="6">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c r="AC386" s="4" t="n"/>
      <c r="AD386" s="4" t="n"/>
      <c r="AE386" s="4" t="n"/>
      <c r="AF386" s="4" t="n"/>
      <c r="AG386" s="4" t="n"/>
      <c r="AH386" s="4" t="n"/>
      <c r="AI386" s="4" t="n"/>
      <c r="AJ386" s="4" t="n"/>
      <c r="AK386" s="4" t="n"/>
      <c r="AL386" s="4" t="n"/>
      <c r="AM386" s="4" t="n"/>
      <c r="AN386" s="4" t="n"/>
      <c r="AO386" s="4" t="n"/>
      <c r="AP386" s="4" t="n"/>
      <c r="AQ386" s="4" t="n"/>
      <c r="AR386" s="4" t="n"/>
      <c r="AS386" s="4" t="n"/>
      <c r="AT386" s="4" t="n"/>
      <c r="AU386" s="4" t="n"/>
      <c r="AV386" s="4" t="n"/>
      <c r="AW386" s="4" t="n"/>
      <c r="AX386" s="4" t="n"/>
      <c r="AY386" s="4" t="n"/>
      <c r="AZ386" s="4" t="n"/>
      <c r="BA386" s="4" t="n"/>
      <c r="BB386" s="4" t="n"/>
      <c r="BC386" s="4" t="n"/>
      <c r="BD386" s="4" t="n"/>
      <c r="BE386" s="4" t="n"/>
      <c r="BF386" s="4" t="n"/>
      <c r="BG386" s="4" t="n"/>
      <c r="BH386" s="4" t="n"/>
      <c r="BI386" s="4" t="n"/>
      <c r="BJ386" s="4" t="n"/>
      <c r="BK386" s="4" t="n"/>
      <c r="BL386" s="4" t="n"/>
      <c r="BM386" s="4" t="n"/>
      <c r="BN386" s="4" t="n"/>
      <c r="BO386" s="4" t="n"/>
      <c r="BP386" s="4" t="n"/>
      <c r="BQ386" s="4" t="n"/>
      <c r="BR386" s="4" t="n"/>
      <c r="BS386" s="4" t="n"/>
      <c r="BT386" s="4" t="n"/>
      <c r="BU386" s="4" t="n"/>
      <c r="BV386" s="4" t="n"/>
      <c r="BW386" s="4" t="n"/>
      <c r="BX386" s="4" t="n"/>
      <c r="BY386" s="4" t="n"/>
      <c r="BZ386" s="4" t="n"/>
      <c r="CA386" s="4" t="n"/>
      <c r="CB386" s="4" t="n"/>
      <c r="CC386" s="4" t="n"/>
      <c r="CD386" s="4" t="n"/>
      <c r="CE386" s="4" t="n"/>
      <c r="CF386" s="4" t="n"/>
      <c r="CG386" s="4" t="n"/>
      <c r="CH386" s="4" t="n"/>
      <c r="CI386" s="4" t="n"/>
      <c r="CJ386" s="4" t="n"/>
      <c r="CK386" s="4" t="n"/>
      <c r="CL386" s="4" t="n"/>
      <c r="CM386" s="4" t="n"/>
      <c r="CN386" s="4" t="n"/>
      <c r="CO386" s="4" t="n"/>
      <c r="CP386" s="4" t="n"/>
      <c r="CQ386" s="4" t="n"/>
      <c r="CR386" s="4" t="n"/>
      <c r="CS386" s="4" t="n"/>
      <c r="CT386" s="4" t="n"/>
      <c r="CU386" s="4" t="n"/>
      <c r="CV386" s="4" t="n"/>
      <c r="CW386" s="4" t="n"/>
      <c r="CX386" s="4" t="n"/>
      <c r="CY386" s="4" t="n"/>
      <c r="CZ386" s="4" t="n"/>
      <c r="DA386" s="4" t="n"/>
      <c r="DB386" s="4" t="n"/>
      <c r="DC386" s="4" t="n"/>
      <c r="DD386" s="4" t="n"/>
      <c r="DE386" s="4" t="n"/>
      <c r="DF386" s="4" t="n"/>
      <c r="DG386" s="4" t="n"/>
      <c r="DH386" s="4" t="n"/>
      <c r="DI386" s="4" t="n"/>
      <c r="DJ386" s="4" t="n"/>
      <c r="DK386" s="4" t="n"/>
      <c r="DL386" s="4" t="n"/>
      <c r="DM386" s="4" t="n"/>
      <c r="DN386" s="4" t="n"/>
      <c r="DO386" s="4" t="n"/>
      <c r="DP386" s="4" t="n"/>
      <c r="DQ386" s="4" t="n"/>
      <c r="DR386" s="4" t="n"/>
      <c r="DS386" s="4" t="n"/>
      <c r="DT386" s="4" t="n"/>
      <c r="DU386" s="4" t="n"/>
      <c r="DV386" s="4" t="n"/>
      <c r="DW386" s="4" t="n"/>
      <c r="DX386" s="4" t="n"/>
      <c r="DY386" s="4" t="n"/>
      <c r="DZ386" s="4" t="n"/>
      <c r="EA386" s="4" t="n"/>
      <c r="EB386" s="4" t="n"/>
      <c r="EC386" s="4" t="n"/>
      <c r="ED386" s="4" t="n"/>
      <c r="EE386" s="4" t="n"/>
      <c r="EF386" s="4" t="n"/>
      <c r="EG386" s="4" t="n"/>
      <c r="EH386" s="4" t="n"/>
      <c r="EI386" s="4" t="n"/>
      <c r="EJ386" s="4" t="n"/>
      <c r="EK386" s="4" t="n"/>
      <c r="EL386" s="4" t="n"/>
      <c r="EM386" s="4" t="n"/>
      <c r="EN386" s="4" t="n"/>
    </row>
    <row r="387" hidden="1" customFormat="1" s="6">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c r="AE387" s="4" t="n"/>
      <c r="AF387" s="4" t="n"/>
      <c r="AG387" s="4" t="n"/>
      <c r="AH387" s="4" t="n"/>
      <c r="AI387" s="4" t="n"/>
      <c r="AJ387" s="4" t="n"/>
      <c r="AK387" s="4" t="n"/>
      <c r="AL387" s="4" t="n"/>
      <c r="AM387" s="4" t="n"/>
      <c r="AN387" s="4" t="n"/>
      <c r="AO387" s="4" t="n"/>
      <c r="AP387" s="4" t="n"/>
      <c r="AQ387" s="4" t="n"/>
      <c r="AR387" s="4" t="n"/>
      <c r="AS387" s="4" t="n"/>
      <c r="AT387" s="4" t="n"/>
      <c r="AU387" s="4" t="n"/>
      <c r="AV387" s="4" t="n"/>
      <c r="AW387" s="4" t="n"/>
      <c r="AX387" s="4" t="n"/>
      <c r="AY387" s="4" t="n"/>
      <c r="AZ387" s="4" t="n"/>
      <c r="BA387" s="4" t="n"/>
      <c r="BB387" s="4" t="n"/>
      <c r="BC387" s="4" t="n"/>
      <c r="BD387" s="4" t="n"/>
      <c r="BE387" s="4" t="n"/>
      <c r="BF387" s="4" t="n"/>
      <c r="BG387" s="4" t="n"/>
      <c r="BH387" s="4" t="n"/>
      <c r="BI387" s="4" t="n"/>
      <c r="BJ387" s="4" t="n"/>
      <c r="BK387" s="4" t="n"/>
      <c r="BL387" s="4" t="n"/>
      <c r="BM387" s="4" t="n"/>
      <c r="BN387" s="4" t="n"/>
      <c r="BO387" s="4" t="n"/>
      <c r="BP387" s="4" t="n"/>
      <c r="BQ387" s="4" t="n"/>
      <c r="BR387" s="4" t="n"/>
      <c r="BS387" s="4" t="n"/>
      <c r="BT387" s="4" t="n"/>
      <c r="BU387" s="4" t="n"/>
      <c r="BV387" s="4" t="n"/>
      <c r="BW387" s="4" t="n"/>
      <c r="BX387" s="4" t="n"/>
      <c r="BY387" s="4" t="n"/>
      <c r="BZ387" s="4" t="n"/>
      <c r="CA387" s="4" t="n"/>
      <c r="CB387" s="4" t="n"/>
      <c r="CC387" s="4" t="n"/>
      <c r="CD387" s="4" t="n"/>
      <c r="CE387" s="4" t="n"/>
      <c r="CF387" s="4" t="n"/>
      <c r="CG387" s="4" t="n"/>
      <c r="CH387" s="4" t="n"/>
      <c r="CI387" s="4" t="n"/>
      <c r="CJ387" s="4" t="n"/>
      <c r="CK387" s="4" t="n"/>
      <c r="CL387" s="4" t="n"/>
      <c r="CM387" s="4" t="n"/>
      <c r="CN387" s="4" t="n"/>
      <c r="CO387" s="4" t="n"/>
      <c r="CP387" s="4" t="n"/>
      <c r="CQ387" s="4" t="n"/>
      <c r="CR387" s="4" t="n"/>
      <c r="CS387" s="4" t="n"/>
      <c r="CT387" s="4" t="n"/>
      <c r="CU387" s="4" t="n"/>
      <c r="CV387" s="4" t="n"/>
      <c r="CW387" s="4" t="n"/>
      <c r="CX387" s="4" t="n"/>
      <c r="CY387" s="4" t="n"/>
      <c r="CZ387" s="4" t="n"/>
      <c r="DA387" s="4" t="n"/>
      <c r="DB387" s="4" t="n"/>
      <c r="DC387" s="4" t="n"/>
      <c r="DD387" s="4" t="n"/>
      <c r="DE387" s="4" t="n"/>
      <c r="DF387" s="4" t="n"/>
      <c r="DG387" s="4" t="n"/>
      <c r="DH387" s="4" t="n"/>
      <c r="DI387" s="4" t="n"/>
      <c r="DJ387" s="4" t="n"/>
      <c r="DK387" s="4" t="n"/>
      <c r="DL387" s="4" t="n"/>
      <c r="DM387" s="4" t="n"/>
      <c r="DN387" s="4" t="n"/>
      <c r="DO387" s="4" t="n"/>
      <c r="DP387" s="4" t="n"/>
      <c r="DQ387" s="4" t="n"/>
      <c r="DR387" s="4" t="n"/>
      <c r="DS387" s="4" t="n"/>
      <c r="DT387" s="4" t="n"/>
      <c r="DU387" s="4" t="n"/>
      <c r="DV387" s="4" t="n"/>
      <c r="DW387" s="4" t="n"/>
      <c r="DX387" s="4" t="n"/>
      <c r="DY387" s="4" t="n"/>
      <c r="DZ387" s="4" t="n"/>
      <c r="EA387" s="4" t="n"/>
      <c r="EB387" s="4" t="n"/>
      <c r="EC387" s="4" t="n"/>
      <c r="ED387" s="4" t="n"/>
      <c r="EE387" s="4" t="n"/>
      <c r="EF387" s="4" t="n"/>
      <c r="EG387" s="4" t="n"/>
      <c r="EH387" s="4" t="n"/>
      <c r="EI387" s="4" t="n"/>
      <c r="EJ387" s="4" t="n"/>
      <c r="EK387" s="4" t="n"/>
      <c r="EL387" s="4" t="n"/>
      <c r="EM387" s="4" t="n"/>
      <c r="EN387" s="4" t="n"/>
    </row>
    <row r="388" hidden="1" customFormat="1" s="6">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c r="AE388" s="4" t="n"/>
      <c r="AF388" s="4" t="n"/>
      <c r="AG388" s="4" t="n"/>
      <c r="AH388" s="4" t="n"/>
      <c r="AI388" s="4" t="n"/>
      <c r="AJ388" s="4" t="n"/>
      <c r="AK388" s="4" t="n"/>
      <c r="AL388" s="4" t="n"/>
      <c r="AM388" s="4" t="n"/>
      <c r="AN388" s="4" t="n"/>
      <c r="AO388" s="4" t="n"/>
      <c r="AP388" s="4" t="n"/>
      <c r="AQ388" s="4" t="n"/>
      <c r="AR388" s="4" t="n"/>
      <c r="AS388" s="4" t="n"/>
      <c r="AT388" s="4" t="n"/>
      <c r="AU388" s="4" t="n"/>
      <c r="AV388" s="4" t="n"/>
      <c r="AW388" s="4" t="n"/>
      <c r="AX388" s="4" t="n"/>
      <c r="AY388" s="4" t="n"/>
      <c r="AZ388" s="4" t="n"/>
      <c r="BA388" s="4" t="n"/>
      <c r="BB388" s="4" t="n"/>
      <c r="BC388" s="4" t="n"/>
      <c r="BD388" s="4" t="n"/>
      <c r="BE388" s="4" t="n"/>
      <c r="BF388" s="4" t="n"/>
      <c r="BG388" s="4" t="n"/>
      <c r="BH388" s="4" t="n"/>
      <c r="BI388" s="4" t="n"/>
      <c r="BJ388" s="4" t="n"/>
      <c r="BK388" s="4" t="n"/>
      <c r="BL388" s="4" t="n"/>
      <c r="BM388" s="4" t="n"/>
      <c r="BN388" s="4" t="n"/>
      <c r="BO388" s="4" t="n"/>
      <c r="BP388" s="4" t="n"/>
      <c r="BQ388" s="4" t="n"/>
      <c r="BR388" s="4" t="n"/>
      <c r="BS388" s="4" t="n"/>
      <c r="BT388" s="4" t="n"/>
      <c r="BU388" s="4" t="n"/>
      <c r="BV388" s="4" t="n"/>
      <c r="BW388" s="4" t="n"/>
      <c r="BX388" s="4" t="n"/>
      <c r="BY388" s="4" t="n"/>
      <c r="BZ388" s="4" t="n"/>
      <c r="CA388" s="4" t="n"/>
      <c r="CB388" s="4" t="n"/>
      <c r="CC388" s="4" t="n"/>
      <c r="CD388" s="4" t="n"/>
      <c r="CE388" s="4" t="n"/>
      <c r="CF388" s="4" t="n"/>
      <c r="CG388" s="4" t="n"/>
      <c r="CH388" s="4" t="n"/>
      <c r="CI388" s="4" t="n"/>
      <c r="CJ388" s="4" t="n"/>
      <c r="CK388" s="4" t="n"/>
      <c r="CL388" s="4" t="n"/>
      <c r="CM388" s="4" t="n"/>
      <c r="CN388" s="4" t="n"/>
      <c r="CO388" s="4" t="n"/>
      <c r="CP388" s="4" t="n"/>
      <c r="CQ388" s="4" t="n"/>
      <c r="CR388" s="4" t="n"/>
      <c r="CS388" s="4" t="n"/>
      <c r="CT388" s="4" t="n"/>
      <c r="CU388" s="4" t="n"/>
      <c r="CV388" s="4" t="n"/>
      <c r="CW388" s="4" t="n"/>
      <c r="CX388" s="4" t="n"/>
      <c r="CY388" s="4" t="n"/>
      <c r="CZ388" s="4" t="n"/>
      <c r="DA388" s="4" t="n"/>
      <c r="DB388" s="4" t="n"/>
      <c r="DC388" s="4" t="n"/>
      <c r="DD388" s="4" t="n"/>
      <c r="DE388" s="4" t="n"/>
      <c r="DF388" s="4" t="n"/>
      <c r="DG388" s="4" t="n"/>
      <c r="DH388" s="4" t="n"/>
      <c r="DI388" s="4" t="n"/>
      <c r="DJ388" s="4" t="n"/>
      <c r="DK388" s="4" t="n"/>
      <c r="DL388" s="4" t="n"/>
      <c r="DM388" s="4" t="n"/>
      <c r="DN388" s="4" t="n"/>
      <c r="DO388" s="4" t="n"/>
      <c r="DP388" s="4" t="n"/>
      <c r="DQ388" s="4" t="n"/>
      <c r="DR388" s="4" t="n"/>
      <c r="DS388" s="4" t="n"/>
      <c r="DT388" s="4" t="n"/>
      <c r="DU388" s="4" t="n"/>
      <c r="DV388" s="4" t="n"/>
      <c r="DW388" s="4" t="n"/>
      <c r="DX388" s="4" t="n"/>
      <c r="DY388" s="4" t="n"/>
      <c r="DZ388" s="4" t="n"/>
      <c r="EA388" s="4" t="n"/>
      <c r="EB388" s="4" t="n"/>
      <c r="EC388" s="4" t="n"/>
      <c r="ED388" s="4" t="n"/>
      <c r="EE388" s="4" t="n"/>
      <c r="EF388" s="4" t="n"/>
      <c r="EG388" s="4" t="n"/>
      <c r="EH388" s="4" t="n"/>
      <c r="EI388" s="4" t="n"/>
      <c r="EJ388" s="4" t="n"/>
      <c r="EK388" s="4" t="n"/>
      <c r="EL388" s="4" t="n"/>
      <c r="EM388" s="4" t="n"/>
      <c r="EN388" s="4" t="n"/>
    </row>
    <row r="389" hidden="1" customFormat="1" s="6">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c r="AE389" s="4" t="n"/>
      <c r="AF389" s="4" t="n"/>
      <c r="AG389" s="4" t="n"/>
      <c r="AH389" s="4" t="n"/>
      <c r="AI389" s="4" t="n"/>
      <c r="AJ389" s="4" t="n"/>
      <c r="AK389" s="4" t="n"/>
      <c r="AL389" s="4" t="n"/>
      <c r="AM389" s="4" t="n"/>
      <c r="AN389" s="4" t="n"/>
      <c r="AO389" s="4" t="n"/>
      <c r="AP389" s="4" t="n"/>
      <c r="AQ389" s="4" t="n"/>
      <c r="AR389" s="4" t="n"/>
      <c r="AS389" s="4" t="n"/>
      <c r="AT389" s="4" t="n"/>
      <c r="AU389" s="4" t="n"/>
      <c r="AV389" s="4" t="n"/>
      <c r="AW389" s="4" t="n"/>
      <c r="AX389" s="4" t="n"/>
      <c r="AY389" s="4" t="n"/>
      <c r="AZ389" s="4" t="n"/>
      <c r="BA389" s="4" t="n"/>
      <c r="BB389" s="4" t="n"/>
      <c r="BC389" s="4" t="n"/>
      <c r="BD389" s="4" t="n"/>
      <c r="BE389" s="4" t="n"/>
      <c r="BF389" s="4" t="n"/>
      <c r="BG389" s="4" t="n"/>
      <c r="BH389" s="4" t="n"/>
      <c r="BI389" s="4" t="n"/>
      <c r="BJ389" s="4" t="n"/>
      <c r="BK389" s="4" t="n"/>
      <c r="BL389" s="4" t="n"/>
      <c r="BM389" s="4" t="n"/>
      <c r="BN389" s="4" t="n"/>
      <c r="BO389" s="4" t="n"/>
      <c r="BP389" s="4" t="n"/>
      <c r="BQ389" s="4" t="n"/>
      <c r="BR389" s="4" t="n"/>
      <c r="BS389" s="4" t="n"/>
      <c r="BT389" s="4" t="n"/>
      <c r="BU389" s="4" t="n"/>
      <c r="BV389" s="4" t="n"/>
      <c r="BW389" s="4" t="n"/>
      <c r="BX389" s="4" t="n"/>
      <c r="BY389" s="4" t="n"/>
      <c r="BZ389" s="4" t="n"/>
      <c r="CA389" s="4" t="n"/>
      <c r="CB389" s="4" t="n"/>
      <c r="CC389" s="4" t="n"/>
      <c r="CD389" s="4" t="n"/>
      <c r="CE389" s="4" t="n"/>
      <c r="CF389" s="4" t="n"/>
      <c r="CG389" s="4" t="n"/>
      <c r="CH389" s="4" t="n"/>
      <c r="CI389" s="4" t="n"/>
      <c r="CJ389" s="4" t="n"/>
      <c r="CK389" s="4" t="n"/>
      <c r="CL389" s="4" t="n"/>
      <c r="CM389" s="4" t="n"/>
      <c r="CN389" s="4" t="n"/>
      <c r="CO389" s="4" t="n"/>
      <c r="CP389" s="4" t="n"/>
      <c r="CQ389" s="4" t="n"/>
      <c r="CR389" s="4" t="n"/>
      <c r="CS389" s="4" t="n"/>
      <c r="CT389" s="4" t="n"/>
      <c r="CU389" s="4" t="n"/>
      <c r="CV389" s="4" t="n"/>
      <c r="CW389" s="4" t="n"/>
      <c r="CX389" s="4" t="n"/>
      <c r="CY389" s="4" t="n"/>
      <c r="CZ389" s="4" t="n"/>
      <c r="DA389" s="4" t="n"/>
      <c r="DB389" s="4" t="n"/>
      <c r="DC389" s="4" t="n"/>
      <c r="DD389" s="4" t="n"/>
      <c r="DE389" s="4" t="n"/>
      <c r="DF389" s="4" t="n"/>
      <c r="DG389" s="4" t="n"/>
      <c r="DH389" s="4" t="n"/>
      <c r="DI389" s="4" t="n"/>
      <c r="DJ389" s="4" t="n"/>
      <c r="DK389" s="4" t="n"/>
      <c r="DL389" s="4" t="n"/>
      <c r="DM389" s="4" t="n"/>
      <c r="DN389" s="4" t="n"/>
      <c r="DO389" s="4" t="n"/>
      <c r="DP389" s="4" t="n"/>
      <c r="DQ389" s="4" t="n"/>
      <c r="DR389" s="4" t="n"/>
      <c r="DS389" s="4" t="n"/>
      <c r="DT389" s="4" t="n"/>
      <c r="DU389" s="4" t="n"/>
      <c r="DV389" s="4" t="n"/>
      <c r="DW389" s="4" t="n"/>
      <c r="DX389" s="4" t="n"/>
      <c r="DY389" s="4" t="n"/>
      <c r="DZ389" s="4" t="n"/>
      <c r="EA389" s="4" t="n"/>
      <c r="EB389" s="4" t="n"/>
      <c r="EC389" s="4" t="n"/>
      <c r="ED389" s="4" t="n"/>
      <c r="EE389" s="4" t="n"/>
      <c r="EF389" s="4" t="n"/>
      <c r="EG389" s="4" t="n"/>
      <c r="EH389" s="4" t="n"/>
      <c r="EI389" s="4" t="n"/>
      <c r="EJ389" s="4" t="n"/>
      <c r="EK389" s="4" t="n"/>
      <c r="EL389" s="4" t="n"/>
      <c r="EM389" s="4" t="n"/>
      <c r="EN389" s="4" t="n"/>
    </row>
    <row r="390" hidden="1" customFormat="1" s="6">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c r="AE390" s="4" t="n"/>
      <c r="AF390" s="4" t="n"/>
      <c r="AG390" s="4" t="n"/>
      <c r="AH390" s="4" t="n"/>
      <c r="AI390" s="4" t="n"/>
      <c r="AJ390" s="4" t="n"/>
      <c r="AK390" s="4" t="n"/>
      <c r="AL390" s="4" t="n"/>
      <c r="AM390" s="4" t="n"/>
      <c r="AN390" s="4" t="n"/>
      <c r="AO390" s="4" t="n"/>
      <c r="AP390" s="4" t="n"/>
      <c r="AQ390" s="4" t="n"/>
      <c r="AR390" s="4" t="n"/>
      <c r="AS390" s="4" t="n"/>
      <c r="AT390" s="4" t="n"/>
      <c r="AU390" s="4" t="n"/>
      <c r="AV390" s="4" t="n"/>
      <c r="AW390" s="4" t="n"/>
      <c r="AX390" s="4" t="n"/>
      <c r="AY390" s="4" t="n"/>
      <c r="AZ390" s="4" t="n"/>
      <c r="BA390" s="4" t="n"/>
      <c r="BB390" s="4" t="n"/>
      <c r="BC390" s="4" t="n"/>
      <c r="BD390" s="4" t="n"/>
      <c r="BE390" s="4" t="n"/>
      <c r="BF390" s="4" t="n"/>
      <c r="BG390" s="4" t="n"/>
      <c r="BH390" s="4" t="n"/>
      <c r="BI390" s="4" t="n"/>
      <c r="BJ390" s="4" t="n"/>
      <c r="BK390" s="4" t="n"/>
      <c r="BL390" s="4" t="n"/>
      <c r="BM390" s="4" t="n"/>
      <c r="BN390" s="4" t="n"/>
      <c r="BO390" s="4" t="n"/>
      <c r="BP390" s="4" t="n"/>
      <c r="BQ390" s="4" t="n"/>
      <c r="BR390" s="4" t="n"/>
      <c r="BS390" s="4" t="n"/>
      <c r="BT390" s="4" t="n"/>
      <c r="BU390" s="4" t="n"/>
      <c r="BV390" s="4" t="n"/>
      <c r="BW390" s="4" t="n"/>
      <c r="BX390" s="4" t="n"/>
      <c r="BY390" s="4" t="n"/>
      <c r="BZ390" s="4" t="n"/>
      <c r="CA390" s="4" t="n"/>
      <c r="CB390" s="4" t="n"/>
      <c r="CC390" s="4" t="n"/>
      <c r="CD390" s="4" t="n"/>
      <c r="CE390" s="4" t="n"/>
      <c r="CF390" s="4" t="n"/>
      <c r="CG390" s="4" t="n"/>
      <c r="CH390" s="4" t="n"/>
      <c r="CI390" s="4" t="n"/>
      <c r="CJ390" s="4" t="n"/>
      <c r="CK390" s="4" t="n"/>
      <c r="CL390" s="4" t="n"/>
      <c r="CM390" s="4" t="n"/>
      <c r="CN390" s="4" t="n"/>
      <c r="CO390" s="4" t="n"/>
      <c r="CP390" s="4" t="n"/>
      <c r="CQ390" s="4" t="n"/>
      <c r="CR390" s="4" t="n"/>
      <c r="CS390" s="4" t="n"/>
      <c r="CT390" s="4" t="n"/>
      <c r="CU390" s="4" t="n"/>
      <c r="CV390" s="4" t="n"/>
      <c r="CW390" s="4" t="n"/>
      <c r="CX390" s="4" t="n"/>
      <c r="CY390" s="4" t="n"/>
      <c r="CZ390" s="4" t="n"/>
      <c r="DA390" s="4" t="n"/>
      <c r="DB390" s="4" t="n"/>
      <c r="DC390" s="4" t="n"/>
      <c r="DD390" s="4" t="n"/>
      <c r="DE390" s="4" t="n"/>
      <c r="DF390" s="4" t="n"/>
      <c r="DG390" s="4" t="n"/>
      <c r="DH390" s="4" t="n"/>
      <c r="DI390" s="4" t="n"/>
      <c r="DJ390" s="4" t="n"/>
      <c r="DK390" s="4" t="n"/>
      <c r="DL390" s="4" t="n"/>
      <c r="DM390" s="4" t="n"/>
      <c r="DN390" s="4" t="n"/>
      <c r="DO390" s="4" t="n"/>
      <c r="DP390" s="4" t="n"/>
      <c r="DQ390" s="4" t="n"/>
      <c r="DR390" s="4" t="n"/>
      <c r="DS390" s="4" t="n"/>
      <c r="DT390" s="4" t="n"/>
      <c r="DU390" s="4" t="n"/>
      <c r="DV390" s="4" t="n"/>
      <c r="DW390" s="4" t="n"/>
      <c r="DX390" s="4" t="n"/>
      <c r="DY390" s="4" t="n"/>
      <c r="DZ390" s="4" t="n"/>
      <c r="EA390" s="4" t="n"/>
      <c r="EB390" s="4" t="n"/>
      <c r="EC390" s="4" t="n"/>
      <c r="ED390" s="4" t="n"/>
      <c r="EE390" s="4" t="n"/>
      <c r="EF390" s="4" t="n"/>
      <c r="EG390" s="4" t="n"/>
      <c r="EH390" s="4" t="n"/>
      <c r="EI390" s="4" t="n"/>
      <c r="EJ390" s="4" t="n"/>
      <c r="EK390" s="4" t="n"/>
      <c r="EL390" s="4" t="n"/>
      <c r="EM390" s="4" t="n"/>
      <c r="EN390" s="4" t="n"/>
    </row>
    <row r="391" hidden="1" customFormat="1" s="6">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c r="AE391" s="4" t="n"/>
      <c r="AF391" s="4" t="n"/>
      <c r="AG391" s="4" t="n"/>
      <c r="AH391" s="4" t="n"/>
      <c r="AI391" s="4" t="n"/>
      <c r="AJ391" s="4" t="n"/>
      <c r="AK391" s="4" t="n"/>
      <c r="AL391" s="4" t="n"/>
      <c r="AM391" s="4" t="n"/>
      <c r="AN391" s="4" t="n"/>
      <c r="AO391" s="4" t="n"/>
      <c r="AP391" s="4" t="n"/>
      <c r="AQ391" s="4" t="n"/>
      <c r="AR391" s="4" t="n"/>
      <c r="AS391" s="4" t="n"/>
      <c r="AT391" s="4" t="n"/>
      <c r="AU391" s="4" t="n"/>
      <c r="AV391" s="4" t="n"/>
      <c r="AW391" s="4" t="n"/>
      <c r="AX391" s="4" t="n"/>
      <c r="AY391" s="4" t="n"/>
      <c r="AZ391" s="4" t="n"/>
      <c r="BA391" s="4" t="n"/>
      <c r="BB391" s="4" t="n"/>
      <c r="BC391" s="4" t="n"/>
      <c r="BD391" s="4" t="n"/>
      <c r="BE391" s="4" t="n"/>
      <c r="BF391" s="4" t="n"/>
      <c r="BG391" s="4" t="n"/>
      <c r="BH391" s="4" t="n"/>
      <c r="BI391" s="4" t="n"/>
      <c r="BJ391" s="4" t="n"/>
      <c r="BK391" s="4" t="n"/>
      <c r="BL391" s="4" t="n"/>
      <c r="BM391" s="4" t="n"/>
      <c r="BN391" s="4" t="n"/>
      <c r="BO391" s="4" t="n"/>
      <c r="BP391" s="4" t="n"/>
      <c r="BQ391" s="4" t="n"/>
      <c r="BR391" s="4" t="n"/>
      <c r="BS391" s="4" t="n"/>
      <c r="BT391" s="4" t="n"/>
      <c r="BU391" s="4" t="n"/>
      <c r="BV391" s="4" t="n"/>
      <c r="BW391" s="4" t="n"/>
      <c r="BX391" s="4" t="n"/>
      <c r="BY391" s="4" t="n"/>
      <c r="BZ391" s="4" t="n"/>
      <c r="CA391" s="4" t="n"/>
      <c r="CB391" s="4" t="n"/>
      <c r="CC391" s="4" t="n"/>
      <c r="CD391" s="4" t="n"/>
      <c r="CE391" s="4" t="n"/>
      <c r="CF391" s="4" t="n"/>
      <c r="CG391" s="4" t="n"/>
      <c r="CH391" s="4" t="n"/>
      <c r="CI391" s="4" t="n"/>
      <c r="CJ391" s="4" t="n"/>
      <c r="CK391" s="4" t="n"/>
      <c r="CL391" s="4" t="n"/>
      <c r="CM391" s="4" t="n"/>
      <c r="CN391" s="4" t="n"/>
      <c r="CO391" s="4" t="n"/>
      <c r="CP391" s="4" t="n"/>
      <c r="CQ391" s="4" t="n"/>
      <c r="CR391" s="4" t="n"/>
      <c r="CS391" s="4" t="n"/>
      <c r="CT391" s="4" t="n"/>
      <c r="CU391" s="4" t="n"/>
      <c r="CV391" s="4" t="n"/>
      <c r="CW391" s="4" t="n"/>
      <c r="CX391" s="4" t="n"/>
      <c r="CY391" s="4" t="n"/>
      <c r="CZ391" s="4" t="n"/>
      <c r="DA391" s="4" t="n"/>
      <c r="DB391" s="4" t="n"/>
      <c r="DC391" s="4" t="n"/>
      <c r="DD391" s="4" t="n"/>
      <c r="DE391" s="4" t="n"/>
      <c r="DF391" s="4" t="n"/>
      <c r="DG391" s="4" t="n"/>
      <c r="DH391" s="4" t="n"/>
      <c r="DI391" s="4" t="n"/>
      <c r="DJ391" s="4" t="n"/>
      <c r="DK391" s="4" t="n"/>
      <c r="DL391" s="4" t="n"/>
      <c r="DM391" s="4" t="n"/>
      <c r="DN391" s="4" t="n"/>
      <c r="DO391" s="4" t="n"/>
      <c r="DP391" s="4" t="n"/>
      <c r="DQ391" s="4" t="n"/>
      <c r="DR391" s="4" t="n"/>
      <c r="DS391" s="4" t="n"/>
      <c r="DT391" s="4" t="n"/>
      <c r="DU391" s="4" t="n"/>
      <c r="DV391" s="4" t="n"/>
      <c r="DW391" s="4" t="n"/>
      <c r="DX391" s="4" t="n"/>
      <c r="DY391" s="4" t="n"/>
      <c r="DZ391" s="4" t="n"/>
      <c r="EA391" s="4" t="n"/>
      <c r="EB391" s="4" t="n"/>
      <c r="EC391" s="4" t="n"/>
      <c r="ED391" s="4" t="n"/>
      <c r="EE391" s="4" t="n"/>
      <c r="EF391" s="4" t="n"/>
      <c r="EG391" s="4" t="n"/>
      <c r="EH391" s="4" t="n"/>
      <c r="EI391" s="4" t="n"/>
      <c r="EJ391" s="4" t="n"/>
      <c r="EK391" s="4" t="n"/>
      <c r="EL391" s="4" t="n"/>
      <c r="EM391" s="4" t="n"/>
      <c r="EN391" s="4" t="n"/>
    </row>
    <row r="392" hidden="1" customFormat="1" s="6">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c r="AE392" s="4" t="n"/>
      <c r="AF392" s="4" t="n"/>
      <c r="AG392" s="4" t="n"/>
      <c r="AH392" s="4" t="n"/>
      <c r="AI392" s="4" t="n"/>
      <c r="AJ392" s="4" t="n"/>
      <c r="AK392" s="4" t="n"/>
      <c r="AL392" s="4" t="n"/>
      <c r="AM392" s="4" t="n"/>
      <c r="AN392" s="4" t="n"/>
      <c r="AO392" s="4" t="n"/>
      <c r="AP392" s="4" t="n"/>
      <c r="AQ392" s="4" t="n"/>
      <c r="AR392" s="4" t="n"/>
      <c r="AS392" s="4" t="n"/>
      <c r="AT392" s="4" t="n"/>
      <c r="AU392" s="4" t="n"/>
      <c r="AV392" s="4" t="n"/>
      <c r="AW392" s="4" t="n"/>
      <c r="AX392" s="4" t="n"/>
      <c r="AY392" s="4" t="n"/>
      <c r="AZ392" s="4" t="n"/>
      <c r="BA392" s="4" t="n"/>
      <c r="BB392" s="4" t="n"/>
      <c r="BC392" s="4" t="n"/>
      <c r="BD392" s="4" t="n"/>
      <c r="BE392" s="4" t="n"/>
      <c r="BF392" s="4" t="n"/>
      <c r="BG392" s="4" t="n"/>
      <c r="BH392" s="4" t="n"/>
      <c r="BI392" s="4" t="n"/>
      <c r="BJ392" s="4" t="n"/>
      <c r="BK392" s="4" t="n"/>
      <c r="BL392" s="4" t="n"/>
      <c r="BM392" s="4" t="n"/>
      <c r="BN392" s="4" t="n"/>
      <c r="BO392" s="4" t="n"/>
      <c r="BP392" s="4" t="n"/>
      <c r="BQ392" s="4" t="n"/>
      <c r="BR392" s="4" t="n"/>
      <c r="BS392" s="4" t="n"/>
      <c r="BT392" s="4" t="n"/>
      <c r="BU392" s="4" t="n"/>
      <c r="BV392" s="4" t="n"/>
      <c r="BW392" s="4" t="n"/>
      <c r="BX392" s="4" t="n"/>
      <c r="BY392" s="4" t="n"/>
      <c r="BZ392" s="4" t="n"/>
      <c r="CA392" s="4" t="n"/>
      <c r="CB392" s="4" t="n"/>
      <c r="CC392" s="4" t="n"/>
      <c r="CD392" s="4" t="n"/>
      <c r="CE392" s="4" t="n"/>
      <c r="CF392" s="4" t="n"/>
      <c r="CG392" s="4" t="n"/>
      <c r="CH392" s="4" t="n"/>
      <c r="CI392" s="4" t="n"/>
      <c r="CJ392" s="4" t="n"/>
      <c r="CK392" s="4" t="n"/>
      <c r="CL392" s="4" t="n"/>
      <c r="CM392" s="4" t="n"/>
      <c r="CN392" s="4" t="n"/>
      <c r="CO392" s="4" t="n"/>
      <c r="CP392" s="4" t="n"/>
      <c r="CQ392" s="4" t="n"/>
      <c r="CR392" s="4" t="n"/>
      <c r="CS392" s="4" t="n"/>
      <c r="CT392" s="4" t="n"/>
      <c r="CU392" s="4" t="n"/>
      <c r="CV392" s="4" t="n"/>
      <c r="CW392" s="4" t="n"/>
      <c r="CX392" s="4" t="n"/>
      <c r="CY392" s="4" t="n"/>
      <c r="CZ392" s="4" t="n"/>
      <c r="DA392" s="4" t="n"/>
      <c r="DB392" s="4" t="n"/>
      <c r="DC392" s="4" t="n"/>
      <c r="DD392" s="4" t="n"/>
      <c r="DE392" s="4" t="n"/>
      <c r="DF392" s="4" t="n"/>
      <c r="DG392" s="4" t="n"/>
      <c r="DH392" s="4" t="n"/>
      <c r="DI392" s="4" t="n"/>
      <c r="DJ392" s="4" t="n"/>
      <c r="DK392" s="4" t="n"/>
      <c r="DL392" s="4" t="n"/>
      <c r="DM392" s="4" t="n"/>
      <c r="DN392" s="4" t="n"/>
      <c r="DO392" s="4" t="n"/>
      <c r="DP392" s="4" t="n"/>
      <c r="DQ392" s="4" t="n"/>
      <c r="DR392" s="4" t="n"/>
      <c r="DS392" s="4" t="n"/>
      <c r="DT392" s="4" t="n"/>
      <c r="DU392" s="4" t="n"/>
      <c r="DV392" s="4" t="n"/>
      <c r="DW392" s="4" t="n"/>
      <c r="DX392" s="4" t="n"/>
      <c r="DY392" s="4" t="n"/>
      <c r="DZ392" s="4" t="n"/>
      <c r="EA392" s="4" t="n"/>
      <c r="EB392" s="4" t="n"/>
      <c r="EC392" s="4" t="n"/>
      <c r="ED392" s="4" t="n"/>
      <c r="EE392" s="4" t="n"/>
      <c r="EF392" s="4" t="n"/>
      <c r="EG392" s="4" t="n"/>
      <c r="EH392" s="4" t="n"/>
      <c r="EI392" s="4" t="n"/>
      <c r="EJ392" s="4" t="n"/>
      <c r="EK392" s="4" t="n"/>
      <c r="EL392" s="4" t="n"/>
      <c r="EM392" s="4" t="n"/>
      <c r="EN392" s="4" t="n"/>
    </row>
    <row r="393" hidden="1" customFormat="1" s="6">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c r="AE393" s="4" t="n"/>
      <c r="AF393" s="4" t="n"/>
      <c r="AG393" s="4" t="n"/>
      <c r="AH393" s="4" t="n"/>
      <c r="AI393" s="4" t="n"/>
      <c r="AJ393" s="4" t="n"/>
      <c r="AK393" s="4" t="n"/>
      <c r="AL393" s="4" t="n"/>
      <c r="AM393" s="4" t="n"/>
      <c r="AN393" s="4" t="n"/>
      <c r="AO393" s="4" t="n"/>
      <c r="AP393" s="4" t="n"/>
      <c r="AQ393" s="4" t="n"/>
      <c r="AR393" s="4" t="n"/>
      <c r="AS393" s="4" t="n"/>
      <c r="AT393" s="4" t="n"/>
      <c r="AU393" s="4" t="n"/>
      <c r="AV393" s="4" t="n"/>
      <c r="AW393" s="4" t="n"/>
      <c r="AX393" s="4" t="n"/>
      <c r="AY393" s="4" t="n"/>
      <c r="AZ393" s="4" t="n"/>
      <c r="BA393" s="4" t="n"/>
      <c r="BB393" s="4" t="n"/>
      <c r="BC393" s="4" t="n"/>
      <c r="BD393" s="4" t="n"/>
      <c r="BE393" s="4" t="n"/>
      <c r="BF393" s="4" t="n"/>
      <c r="BG393" s="4" t="n"/>
      <c r="BH393" s="4" t="n"/>
      <c r="BI393" s="4" t="n"/>
      <c r="BJ393" s="4" t="n"/>
      <c r="BK393" s="4" t="n"/>
      <c r="BL393" s="4" t="n"/>
      <c r="BM393" s="4" t="n"/>
      <c r="BN393" s="4" t="n"/>
      <c r="BO393" s="4" t="n"/>
      <c r="BP393" s="4" t="n"/>
      <c r="BQ393" s="4" t="n"/>
      <c r="BR393" s="4" t="n"/>
      <c r="BS393" s="4" t="n"/>
      <c r="BT393" s="4" t="n"/>
      <c r="BU393" s="4" t="n"/>
      <c r="BV393" s="4" t="n"/>
      <c r="BW393" s="4" t="n"/>
      <c r="BX393" s="4" t="n"/>
      <c r="BY393" s="4" t="n"/>
      <c r="BZ393" s="4" t="n"/>
      <c r="CA393" s="4" t="n"/>
      <c r="CB393" s="4" t="n"/>
      <c r="CC393" s="4" t="n"/>
      <c r="CD393" s="4" t="n"/>
      <c r="CE393" s="4" t="n"/>
      <c r="CF393" s="4" t="n"/>
      <c r="CG393" s="4" t="n"/>
      <c r="CH393" s="4" t="n"/>
      <c r="CI393" s="4" t="n"/>
      <c r="CJ393" s="4" t="n"/>
      <c r="CK393" s="4" t="n"/>
      <c r="CL393" s="4" t="n"/>
      <c r="CM393" s="4" t="n"/>
      <c r="CN393" s="4" t="n"/>
      <c r="CO393" s="4" t="n"/>
      <c r="CP393" s="4" t="n"/>
      <c r="CQ393" s="4" t="n"/>
      <c r="CR393" s="4" t="n"/>
      <c r="CS393" s="4" t="n"/>
      <c r="CT393" s="4" t="n"/>
      <c r="CU393" s="4" t="n"/>
      <c r="CV393" s="4" t="n"/>
      <c r="CW393" s="4" t="n"/>
      <c r="CX393" s="4" t="n"/>
      <c r="CY393" s="4" t="n"/>
      <c r="CZ393" s="4" t="n"/>
      <c r="DA393" s="4" t="n"/>
      <c r="DB393" s="4" t="n"/>
      <c r="DC393" s="4" t="n"/>
      <c r="DD393" s="4" t="n"/>
      <c r="DE393" s="4" t="n"/>
      <c r="DF393" s="4" t="n"/>
      <c r="DG393" s="4" t="n"/>
      <c r="DH393" s="4" t="n"/>
      <c r="DI393" s="4" t="n"/>
      <c r="DJ393" s="4" t="n"/>
      <c r="DK393" s="4" t="n"/>
      <c r="DL393" s="4" t="n"/>
      <c r="DM393" s="4" t="n"/>
      <c r="DN393" s="4" t="n"/>
      <c r="DO393" s="4" t="n"/>
      <c r="DP393" s="4" t="n"/>
      <c r="DQ393" s="4" t="n"/>
      <c r="DR393" s="4" t="n"/>
      <c r="DS393" s="4" t="n"/>
      <c r="DT393" s="4" t="n"/>
      <c r="DU393" s="4" t="n"/>
      <c r="DV393" s="4" t="n"/>
      <c r="DW393" s="4" t="n"/>
      <c r="DX393" s="4" t="n"/>
      <c r="DY393" s="4" t="n"/>
      <c r="DZ393" s="4" t="n"/>
      <c r="EA393" s="4" t="n"/>
      <c r="EB393" s="4" t="n"/>
      <c r="EC393" s="4" t="n"/>
      <c r="ED393" s="4" t="n"/>
      <c r="EE393" s="4" t="n"/>
      <c r="EF393" s="4" t="n"/>
      <c r="EG393" s="4" t="n"/>
      <c r="EH393" s="4" t="n"/>
      <c r="EI393" s="4" t="n"/>
      <c r="EJ393" s="4" t="n"/>
      <c r="EK393" s="4" t="n"/>
      <c r="EL393" s="4" t="n"/>
      <c r="EM393" s="4" t="n"/>
      <c r="EN393" s="4" t="n"/>
    </row>
    <row r="394" hidden="1" customFormat="1" s="6">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c r="AD394" s="4" t="n"/>
      <c r="AE394" s="4" t="n"/>
      <c r="AF394" s="4" t="n"/>
      <c r="AG394" s="4" t="n"/>
      <c r="AH394" s="4" t="n"/>
      <c r="AI394" s="4" t="n"/>
      <c r="AJ394" s="4" t="n"/>
      <c r="AK394" s="4" t="n"/>
      <c r="AL394" s="4" t="n"/>
      <c r="AM394" s="4" t="n"/>
      <c r="AN394" s="4" t="n"/>
      <c r="AO394" s="4" t="n"/>
      <c r="AP394" s="4" t="n"/>
      <c r="AQ394" s="4" t="n"/>
      <c r="AR394" s="4" t="n"/>
      <c r="AS394" s="4" t="n"/>
      <c r="AT394" s="4" t="n"/>
      <c r="AU394" s="4" t="n"/>
      <c r="AV394" s="4" t="n"/>
      <c r="AW394" s="4" t="n"/>
      <c r="AX394" s="4" t="n"/>
      <c r="AY394" s="4" t="n"/>
      <c r="AZ394" s="4" t="n"/>
      <c r="BA394" s="4" t="n"/>
      <c r="BB394" s="4" t="n"/>
      <c r="BC394" s="4" t="n"/>
      <c r="BD394" s="4" t="n"/>
      <c r="BE394" s="4" t="n"/>
      <c r="BF394" s="4" t="n"/>
      <c r="BG394" s="4" t="n"/>
      <c r="BH394" s="4" t="n"/>
      <c r="BI394" s="4" t="n"/>
      <c r="BJ394" s="4" t="n"/>
      <c r="BK394" s="4" t="n"/>
      <c r="BL394" s="4" t="n"/>
      <c r="BM394" s="4" t="n"/>
      <c r="BN394" s="4" t="n"/>
      <c r="BO394" s="4" t="n"/>
      <c r="BP394" s="4" t="n"/>
      <c r="BQ394" s="4" t="n"/>
      <c r="BR394" s="4" t="n"/>
      <c r="BS394" s="4" t="n"/>
      <c r="BT394" s="4" t="n"/>
      <c r="BU394" s="4" t="n"/>
      <c r="BV394" s="4" t="n"/>
      <c r="BW394" s="4" t="n"/>
      <c r="BX394" s="4" t="n"/>
      <c r="BY394" s="4" t="n"/>
      <c r="BZ394" s="4" t="n"/>
      <c r="CA394" s="4" t="n"/>
      <c r="CB394" s="4" t="n"/>
      <c r="CC394" s="4" t="n"/>
      <c r="CD394" s="4" t="n"/>
      <c r="CE394" s="4" t="n"/>
      <c r="CF394" s="4" t="n"/>
      <c r="CG394" s="4" t="n"/>
      <c r="CH394" s="4" t="n"/>
      <c r="CI394" s="4" t="n"/>
      <c r="CJ394" s="4" t="n"/>
      <c r="CK394" s="4" t="n"/>
      <c r="CL394" s="4" t="n"/>
      <c r="CM394" s="4" t="n"/>
      <c r="CN394" s="4" t="n"/>
      <c r="CO394" s="4" t="n"/>
      <c r="CP394" s="4" t="n"/>
      <c r="CQ394" s="4" t="n"/>
      <c r="CR394" s="4" t="n"/>
      <c r="CS394" s="4" t="n"/>
      <c r="CT394" s="4" t="n"/>
      <c r="CU394" s="4" t="n"/>
      <c r="CV394" s="4" t="n"/>
      <c r="CW394" s="4" t="n"/>
      <c r="CX394" s="4" t="n"/>
      <c r="CY394" s="4" t="n"/>
      <c r="CZ394" s="4" t="n"/>
      <c r="DA394" s="4" t="n"/>
      <c r="DB394" s="4" t="n"/>
      <c r="DC394" s="4" t="n"/>
      <c r="DD394" s="4" t="n"/>
      <c r="DE394" s="4" t="n"/>
      <c r="DF394" s="4" t="n"/>
      <c r="DG394" s="4" t="n"/>
      <c r="DH394" s="4" t="n"/>
      <c r="DI394" s="4" t="n"/>
      <c r="DJ394" s="4" t="n"/>
      <c r="DK394" s="4" t="n"/>
      <c r="DL394" s="4" t="n"/>
      <c r="DM394" s="4" t="n"/>
      <c r="DN394" s="4" t="n"/>
      <c r="DO394" s="4" t="n"/>
      <c r="DP394" s="4" t="n"/>
      <c r="DQ394" s="4" t="n"/>
      <c r="DR394" s="4" t="n"/>
      <c r="DS394" s="4" t="n"/>
      <c r="DT394" s="4" t="n"/>
      <c r="DU394" s="4" t="n"/>
      <c r="DV394" s="4" t="n"/>
      <c r="DW394" s="4" t="n"/>
      <c r="DX394" s="4" t="n"/>
      <c r="DY394" s="4" t="n"/>
      <c r="DZ394" s="4" t="n"/>
      <c r="EA394" s="4" t="n"/>
      <c r="EB394" s="4" t="n"/>
      <c r="EC394" s="4" t="n"/>
      <c r="ED394" s="4" t="n"/>
      <c r="EE394" s="4" t="n"/>
      <c r="EF394" s="4" t="n"/>
      <c r="EG394" s="4" t="n"/>
      <c r="EH394" s="4" t="n"/>
      <c r="EI394" s="4" t="n"/>
      <c r="EJ394" s="4" t="n"/>
      <c r="EK394" s="4" t="n"/>
      <c r="EL394" s="4" t="n"/>
      <c r="EM394" s="4" t="n"/>
      <c r="EN394" s="4" t="n"/>
    </row>
    <row r="395" hidden="1" customFormat="1" s="6">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c r="AD395" s="4" t="n"/>
      <c r="AE395" s="4" t="n"/>
      <c r="AF395" s="4" t="n"/>
      <c r="AG395" s="4" t="n"/>
      <c r="AH395" s="4" t="n"/>
      <c r="AI395" s="4" t="n"/>
      <c r="AJ395" s="4" t="n"/>
      <c r="AK395" s="4" t="n"/>
      <c r="AL395" s="4" t="n"/>
      <c r="AM395" s="4" t="n"/>
      <c r="AN395" s="4" t="n"/>
      <c r="AO395" s="4" t="n"/>
      <c r="AP395" s="4" t="n"/>
      <c r="AQ395" s="4" t="n"/>
      <c r="AR395" s="4" t="n"/>
      <c r="AS395" s="4" t="n"/>
      <c r="AT395" s="4" t="n"/>
      <c r="AU395" s="4" t="n"/>
      <c r="AV395" s="4" t="n"/>
      <c r="AW395" s="4" t="n"/>
      <c r="AX395" s="4" t="n"/>
      <c r="AY395" s="4" t="n"/>
      <c r="AZ395" s="4" t="n"/>
      <c r="BA395" s="4" t="n"/>
      <c r="BB395" s="4" t="n"/>
      <c r="BC395" s="4" t="n"/>
      <c r="BD395" s="4" t="n"/>
      <c r="BE395" s="4" t="n"/>
      <c r="BF395" s="4" t="n"/>
      <c r="BG395" s="4" t="n"/>
      <c r="BH395" s="4" t="n"/>
      <c r="BI395" s="4" t="n"/>
      <c r="BJ395" s="4" t="n"/>
      <c r="BK395" s="4" t="n"/>
      <c r="BL395" s="4" t="n"/>
      <c r="BM395" s="4" t="n"/>
      <c r="BN395" s="4" t="n"/>
      <c r="BO395" s="4" t="n"/>
      <c r="BP395" s="4" t="n"/>
      <c r="BQ395" s="4" t="n"/>
      <c r="BR395" s="4" t="n"/>
      <c r="BS395" s="4" t="n"/>
      <c r="BT395" s="4" t="n"/>
      <c r="BU395" s="4" t="n"/>
      <c r="BV395" s="4" t="n"/>
      <c r="BW395" s="4" t="n"/>
      <c r="BX395" s="4" t="n"/>
      <c r="BY395" s="4" t="n"/>
      <c r="BZ395" s="4" t="n"/>
      <c r="CA395" s="4" t="n"/>
      <c r="CB395" s="4" t="n"/>
      <c r="CC395" s="4" t="n"/>
      <c r="CD395" s="4" t="n"/>
      <c r="CE395" s="4" t="n"/>
      <c r="CF395" s="4" t="n"/>
      <c r="CG395" s="4" t="n"/>
      <c r="CH395" s="4" t="n"/>
      <c r="CI395" s="4" t="n"/>
      <c r="CJ395" s="4" t="n"/>
      <c r="CK395" s="4" t="n"/>
      <c r="CL395" s="4" t="n"/>
      <c r="CM395" s="4" t="n"/>
      <c r="CN395" s="4" t="n"/>
      <c r="CO395" s="4" t="n"/>
      <c r="CP395" s="4" t="n"/>
      <c r="CQ395" s="4" t="n"/>
      <c r="CR395" s="4" t="n"/>
      <c r="CS395" s="4" t="n"/>
      <c r="CT395" s="4" t="n"/>
      <c r="CU395" s="4" t="n"/>
      <c r="CV395" s="4" t="n"/>
      <c r="CW395" s="4" t="n"/>
      <c r="CX395" s="4" t="n"/>
      <c r="CY395" s="4" t="n"/>
      <c r="CZ395" s="4" t="n"/>
      <c r="DA395" s="4" t="n"/>
      <c r="DB395" s="4" t="n"/>
      <c r="DC395" s="4" t="n"/>
      <c r="DD395" s="4" t="n"/>
      <c r="DE395" s="4" t="n"/>
      <c r="DF395" s="4" t="n"/>
      <c r="DG395" s="4" t="n"/>
      <c r="DH395" s="4" t="n"/>
      <c r="DI395" s="4" t="n"/>
      <c r="DJ395" s="4" t="n"/>
      <c r="DK395" s="4" t="n"/>
      <c r="DL395" s="4" t="n"/>
      <c r="DM395" s="4" t="n"/>
      <c r="DN395" s="4" t="n"/>
      <c r="DO395" s="4" t="n"/>
      <c r="DP395" s="4" t="n"/>
      <c r="DQ395" s="4" t="n"/>
      <c r="DR395" s="4" t="n"/>
      <c r="DS395" s="4" t="n"/>
      <c r="DT395" s="4" t="n"/>
      <c r="DU395" s="4" t="n"/>
      <c r="DV395" s="4" t="n"/>
      <c r="DW395" s="4" t="n"/>
      <c r="DX395" s="4" t="n"/>
      <c r="DY395" s="4" t="n"/>
      <c r="DZ395" s="4" t="n"/>
      <c r="EA395" s="4" t="n"/>
      <c r="EB395" s="4" t="n"/>
      <c r="EC395" s="4" t="n"/>
      <c r="ED395" s="4" t="n"/>
      <c r="EE395" s="4" t="n"/>
      <c r="EF395" s="4" t="n"/>
      <c r="EG395" s="4" t="n"/>
      <c r="EH395" s="4" t="n"/>
      <c r="EI395" s="4" t="n"/>
      <c r="EJ395" s="4" t="n"/>
      <c r="EK395" s="4" t="n"/>
      <c r="EL395" s="4" t="n"/>
      <c r="EM395" s="4" t="n"/>
      <c r="EN395" s="4" t="n"/>
    </row>
    <row r="396" hidden="1" customFormat="1" s="6">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c r="AE396" s="4" t="n"/>
      <c r="AF396" s="4" t="n"/>
      <c r="AG396" s="4" t="n"/>
      <c r="AH396" s="4" t="n"/>
      <c r="AI396" s="4" t="n"/>
      <c r="AJ396" s="4" t="n"/>
      <c r="AK396" s="4" t="n"/>
      <c r="AL396" s="4" t="n"/>
      <c r="AM396" s="4" t="n"/>
      <c r="AN396" s="4" t="n"/>
      <c r="AO396" s="4" t="n"/>
      <c r="AP396" s="4" t="n"/>
      <c r="AQ396" s="4" t="n"/>
      <c r="AR396" s="4" t="n"/>
      <c r="AS396" s="4" t="n"/>
      <c r="AT396" s="4" t="n"/>
      <c r="AU396" s="4" t="n"/>
      <c r="AV396" s="4" t="n"/>
      <c r="AW396" s="4" t="n"/>
      <c r="AX396" s="4" t="n"/>
      <c r="AY396" s="4" t="n"/>
      <c r="AZ396" s="4" t="n"/>
      <c r="BA396" s="4" t="n"/>
      <c r="BB396" s="4" t="n"/>
      <c r="BC396" s="4" t="n"/>
      <c r="BD396" s="4" t="n"/>
      <c r="BE396" s="4" t="n"/>
      <c r="BF396" s="4" t="n"/>
      <c r="BG396" s="4" t="n"/>
      <c r="BH396" s="4" t="n"/>
      <c r="BI396" s="4" t="n"/>
      <c r="BJ396" s="4" t="n"/>
      <c r="BK396" s="4" t="n"/>
      <c r="BL396" s="4" t="n"/>
      <c r="BM396" s="4" t="n"/>
      <c r="BN396" s="4" t="n"/>
      <c r="BO396" s="4" t="n"/>
      <c r="BP396" s="4" t="n"/>
      <c r="BQ396" s="4" t="n"/>
      <c r="BR396" s="4" t="n"/>
      <c r="BS396" s="4" t="n"/>
      <c r="BT396" s="4" t="n"/>
      <c r="BU396" s="4" t="n"/>
      <c r="BV396" s="4" t="n"/>
      <c r="BW396" s="4" t="n"/>
      <c r="BX396" s="4" t="n"/>
      <c r="BY396" s="4" t="n"/>
      <c r="BZ396" s="4" t="n"/>
      <c r="CA396" s="4" t="n"/>
      <c r="CB396" s="4" t="n"/>
      <c r="CC396" s="4" t="n"/>
      <c r="CD396" s="4" t="n"/>
      <c r="CE396" s="4" t="n"/>
      <c r="CF396" s="4" t="n"/>
      <c r="CG396" s="4" t="n"/>
      <c r="CH396" s="4" t="n"/>
      <c r="CI396" s="4" t="n"/>
      <c r="CJ396" s="4" t="n"/>
      <c r="CK396" s="4" t="n"/>
      <c r="CL396" s="4" t="n"/>
      <c r="CM396" s="4" t="n"/>
      <c r="CN396" s="4" t="n"/>
      <c r="CO396" s="4" t="n"/>
      <c r="CP396" s="4" t="n"/>
      <c r="CQ396" s="4" t="n"/>
      <c r="CR396" s="4" t="n"/>
      <c r="CS396" s="4" t="n"/>
      <c r="CT396" s="4" t="n"/>
      <c r="CU396" s="4" t="n"/>
      <c r="CV396" s="4" t="n"/>
      <c r="CW396" s="4" t="n"/>
      <c r="CX396" s="4" t="n"/>
      <c r="CY396" s="4" t="n"/>
      <c r="CZ396" s="4" t="n"/>
      <c r="DA396" s="4" t="n"/>
      <c r="DB396" s="4" t="n"/>
      <c r="DC396" s="4" t="n"/>
      <c r="DD396" s="4" t="n"/>
      <c r="DE396" s="4" t="n"/>
      <c r="DF396" s="4" t="n"/>
      <c r="DG396" s="4" t="n"/>
      <c r="DH396" s="4" t="n"/>
      <c r="DI396" s="4" t="n"/>
      <c r="DJ396" s="4" t="n"/>
      <c r="DK396" s="4" t="n"/>
      <c r="DL396" s="4" t="n"/>
      <c r="DM396" s="4" t="n"/>
      <c r="DN396" s="4" t="n"/>
      <c r="DO396" s="4" t="n"/>
      <c r="DP396" s="4" t="n"/>
      <c r="DQ396" s="4" t="n"/>
      <c r="DR396" s="4" t="n"/>
      <c r="DS396" s="4" t="n"/>
      <c r="DT396" s="4" t="n"/>
      <c r="DU396" s="4" t="n"/>
      <c r="DV396" s="4" t="n"/>
      <c r="DW396" s="4" t="n"/>
      <c r="DX396" s="4" t="n"/>
      <c r="DY396" s="4" t="n"/>
      <c r="DZ396" s="4" t="n"/>
      <c r="EA396" s="4" t="n"/>
      <c r="EB396" s="4" t="n"/>
      <c r="EC396" s="4" t="n"/>
      <c r="ED396" s="4" t="n"/>
      <c r="EE396" s="4" t="n"/>
      <c r="EF396" s="4" t="n"/>
      <c r="EG396" s="4" t="n"/>
      <c r="EH396" s="4" t="n"/>
      <c r="EI396" s="4" t="n"/>
      <c r="EJ396" s="4" t="n"/>
      <c r="EK396" s="4" t="n"/>
      <c r="EL396" s="4" t="n"/>
      <c r="EM396" s="4" t="n"/>
      <c r="EN396" s="4" t="n"/>
    </row>
    <row r="397" hidden="1" customFormat="1" s="6">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c r="AD397" s="4" t="n"/>
      <c r="AE397" s="4" t="n"/>
      <c r="AF397" s="4" t="n"/>
      <c r="AG397" s="4" t="n"/>
      <c r="AH397" s="4" t="n"/>
      <c r="AI397" s="4" t="n"/>
      <c r="AJ397" s="4" t="n"/>
      <c r="AK397" s="4" t="n"/>
      <c r="AL397" s="4" t="n"/>
      <c r="AM397" s="4" t="n"/>
      <c r="AN397" s="4" t="n"/>
      <c r="AO397" s="4" t="n"/>
      <c r="AP397" s="4" t="n"/>
      <c r="AQ397" s="4" t="n"/>
      <c r="AR397" s="4" t="n"/>
      <c r="AS397" s="4" t="n"/>
      <c r="AT397" s="4" t="n"/>
      <c r="AU397" s="4" t="n"/>
      <c r="AV397" s="4" t="n"/>
      <c r="AW397" s="4" t="n"/>
      <c r="AX397" s="4" t="n"/>
      <c r="AY397" s="4" t="n"/>
      <c r="AZ397" s="4" t="n"/>
      <c r="BA397" s="4" t="n"/>
      <c r="BB397" s="4" t="n"/>
      <c r="BC397" s="4" t="n"/>
      <c r="BD397" s="4" t="n"/>
      <c r="BE397" s="4" t="n"/>
      <c r="BF397" s="4" t="n"/>
      <c r="BG397" s="4" t="n"/>
      <c r="BH397" s="4" t="n"/>
      <c r="BI397" s="4" t="n"/>
      <c r="BJ397" s="4" t="n"/>
      <c r="BK397" s="4" t="n"/>
      <c r="BL397" s="4" t="n"/>
      <c r="BM397" s="4" t="n"/>
      <c r="BN397" s="4" t="n"/>
      <c r="BO397" s="4" t="n"/>
      <c r="BP397" s="4" t="n"/>
      <c r="BQ397" s="4" t="n"/>
      <c r="BR397" s="4" t="n"/>
      <c r="BS397" s="4" t="n"/>
      <c r="BT397" s="4" t="n"/>
      <c r="BU397" s="4" t="n"/>
      <c r="BV397" s="4" t="n"/>
      <c r="BW397" s="4" t="n"/>
      <c r="BX397" s="4" t="n"/>
      <c r="BY397" s="4" t="n"/>
      <c r="BZ397" s="4" t="n"/>
      <c r="CA397" s="4" t="n"/>
      <c r="CB397" s="4" t="n"/>
      <c r="CC397" s="4" t="n"/>
      <c r="CD397" s="4" t="n"/>
      <c r="CE397" s="4" t="n"/>
      <c r="CF397" s="4" t="n"/>
      <c r="CG397" s="4" t="n"/>
      <c r="CH397" s="4" t="n"/>
      <c r="CI397" s="4" t="n"/>
      <c r="CJ397" s="4" t="n"/>
      <c r="CK397" s="4" t="n"/>
      <c r="CL397" s="4" t="n"/>
      <c r="CM397" s="4" t="n"/>
      <c r="CN397" s="4" t="n"/>
      <c r="CO397" s="4" t="n"/>
      <c r="CP397" s="4" t="n"/>
      <c r="CQ397" s="4" t="n"/>
      <c r="CR397" s="4" t="n"/>
      <c r="CS397" s="4" t="n"/>
      <c r="CT397" s="4" t="n"/>
      <c r="CU397" s="4" t="n"/>
      <c r="CV397" s="4" t="n"/>
      <c r="CW397" s="4" t="n"/>
      <c r="CX397" s="4" t="n"/>
      <c r="CY397" s="4" t="n"/>
      <c r="CZ397" s="4" t="n"/>
      <c r="DA397" s="4" t="n"/>
      <c r="DB397" s="4" t="n"/>
      <c r="DC397" s="4" t="n"/>
      <c r="DD397" s="4" t="n"/>
      <c r="DE397" s="4" t="n"/>
      <c r="DF397" s="4" t="n"/>
      <c r="DG397" s="4" t="n"/>
      <c r="DH397" s="4" t="n"/>
      <c r="DI397" s="4" t="n"/>
      <c r="DJ397" s="4" t="n"/>
      <c r="DK397" s="4" t="n"/>
      <c r="DL397" s="4" t="n"/>
      <c r="DM397" s="4" t="n"/>
      <c r="DN397" s="4" t="n"/>
      <c r="DO397" s="4" t="n"/>
      <c r="DP397" s="4" t="n"/>
      <c r="DQ397" s="4" t="n"/>
      <c r="DR397" s="4" t="n"/>
      <c r="DS397" s="4" t="n"/>
      <c r="DT397" s="4" t="n"/>
      <c r="DU397" s="4" t="n"/>
      <c r="DV397" s="4" t="n"/>
      <c r="DW397" s="4" t="n"/>
      <c r="DX397" s="4" t="n"/>
      <c r="DY397" s="4" t="n"/>
      <c r="DZ397" s="4" t="n"/>
      <c r="EA397" s="4" t="n"/>
      <c r="EB397" s="4" t="n"/>
      <c r="EC397" s="4" t="n"/>
      <c r="ED397" s="4" t="n"/>
      <c r="EE397" s="4" t="n"/>
      <c r="EF397" s="4" t="n"/>
      <c r="EG397" s="4" t="n"/>
      <c r="EH397" s="4" t="n"/>
      <c r="EI397" s="4" t="n"/>
      <c r="EJ397" s="4" t="n"/>
      <c r="EK397" s="4" t="n"/>
      <c r="EL397" s="4" t="n"/>
      <c r="EM397" s="4" t="n"/>
      <c r="EN397" s="4" t="n"/>
    </row>
    <row r="398" hidden="1" customFormat="1" s="6">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c r="AE398" s="4" t="n"/>
      <c r="AF398" s="4" t="n"/>
      <c r="AG398" s="4" t="n"/>
      <c r="AH398" s="4" t="n"/>
      <c r="AI398" s="4" t="n"/>
      <c r="AJ398" s="4" t="n"/>
      <c r="AK398" s="4" t="n"/>
      <c r="AL398" s="4" t="n"/>
      <c r="AM398" s="4" t="n"/>
      <c r="AN398" s="4" t="n"/>
      <c r="AO398" s="4" t="n"/>
      <c r="AP398" s="4" t="n"/>
      <c r="AQ398" s="4" t="n"/>
      <c r="AR398" s="4" t="n"/>
      <c r="AS398" s="4" t="n"/>
      <c r="AT398" s="4" t="n"/>
      <c r="AU398" s="4" t="n"/>
      <c r="AV398" s="4" t="n"/>
      <c r="AW398" s="4" t="n"/>
      <c r="AX398" s="4" t="n"/>
      <c r="AY398" s="4" t="n"/>
      <c r="AZ398" s="4" t="n"/>
      <c r="BA398" s="4" t="n"/>
      <c r="BB398" s="4" t="n"/>
      <c r="BC398" s="4" t="n"/>
      <c r="BD398" s="4" t="n"/>
      <c r="BE398" s="4" t="n"/>
      <c r="BF398" s="4" t="n"/>
      <c r="BG398" s="4" t="n"/>
      <c r="BH398" s="4" t="n"/>
      <c r="BI398" s="4" t="n"/>
      <c r="BJ398" s="4" t="n"/>
      <c r="BK398" s="4" t="n"/>
      <c r="BL398" s="4" t="n"/>
      <c r="BM398" s="4" t="n"/>
      <c r="BN398" s="4" t="n"/>
      <c r="BO398" s="4" t="n"/>
      <c r="BP398" s="4" t="n"/>
      <c r="BQ398" s="4" t="n"/>
      <c r="BR398" s="4" t="n"/>
      <c r="BS398" s="4" t="n"/>
      <c r="BT398" s="4" t="n"/>
      <c r="BU398" s="4" t="n"/>
      <c r="BV398" s="4" t="n"/>
      <c r="BW398" s="4" t="n"/>
      <c r="BX398" s="4" t="n"/>
      <c r="BY398" s="4" t="n"/>
      <c r="BZ398" s="4" t="n"/>
      <c r="CA398" s="4" t="n"/>
      <c r="CB398" s="4" t="n"/>
      <c r="CC398" s="4" t="n"/>
      <c r="CD398" s="4" t="n"/>
      <c r="CE398" s="4" t="n"/>
      <c r="CF398" s="4" t="n"/>
      <c r="CG398" s="4" t="n"/>
      <c r="CH398" s="4" t="n"/>
      <c r="CI398" s="4" t="n"/>
      <c r="CJ398" s="4" t="n"/>
      <c r="CK398" s="4" t="n"/>
      <c r="CL398" s="4" t="n"/>
      <c r="CM398" s="4" t="n"/>
      <c r="CN398" s="4" t="n"/>
      <c r="CO398" s="4" t="n"/>
      <c r="CP398" s="4" t="n"/>
      <c r="CQ398" s="4" t="n"/>
      <c r="CR398" s="4" t="n"/>
      <c r="CS398" s="4" t="n"/>
      <c r="CT398" s="4" t="n"/>
      <c r="CU398" s="4" t="n"/>
      <c r="CV398" s="4" t="n"/>
      <c r="CW398" s="4" t="n"/>
      <c r="CX398" s="4" t="n"/>
      <c r="CY398" s="4" t="n"/>
      <c r="CZ398" s="4" t="n"/>
      <c r="DA398" s="4" t="n"/>
      <c r="DB398" s="4" t="n"/>
      <c r="DC398" s="4" t="n"/>
      <c r="DD398" s="4" t="n"/>
      <c r="DE398" s="4" t="n"/>
      <c r="DF398" s="4" t="n"/>
      <c r="DG398" s="4" t="n"/>
      <c r="DH398" s="4" t="n"/>
      <c r="DI398" s="4" t="n"/>
      <c r="DJ398" s="4" t="n"/>
      <c r="DK398" s="4" t="n"/>
      <c r="DL398" s="4" t="n"/>
      <c r="DM398" s="4" t="n"/>
      <c r="DN398" s="4" t="n"/>
      <c r="DO398" s="4" t="n"/>
      <c r="DP398" s="4" t="n"/>
      <c r="DQ398" s="4" t="n"/>
      <c r="DR398" s="4" t="n"/>
      <c r="DS398" s="4" t="n"/>
      <c r="DT398" s="4" t="n"/>
      <c r="DU398" s="4" t="n"/>
      <c r="DV398" s="4" t="n"/>
      <c r="DW398" s="4" t="n"/>
      <c r="DX398" s="4" t="n"/>
      <c r="DY398" s="4" t="n"/>
      <c r="DZ398" s="4" t="n"/>
      <c r="EA398" s="4" t="n"/>
      <c r="EB398" s="4" t="n"/>
      <c r="EC398" s="4" t="n"/>
      <c r="ED398" s="4" t="n"/>
      <c r="EE398" s="4" t="n"/>
      <c r="EF398" s="4" t="n"/>
      <c r="EG398" s="4" t="n"/>
      <c r="EH398" s="4" t="n"/>
      <c r="EI398" s="4" t="n"/>
      <c r="EJ398" s="4" t="n"/>
      <c r="EK398" s="4" t="n"/>
      <c r="EL398" s="4" t="n"/>
      <c r="EM398" s="4" t="n"/>
      <c r="EN398" s="4" t="n"/>
    </row>
    <row r="399" hidden="1" customFormat="1" s="6">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c r="AE399" s="4" t="n"/>
      <c r="AF399" s="4" t="n"/>
      <c r="AG399" s="4" t="n"/>
      <c r="AH399" s="4" t="n"/>
      <c r="AI399" s="4" t="n"/>
      <c r="AJ399" s="4" t="n"/>
      <c r="AK399" s="4" t="n"/>
      <c r="AL399" s="4" t="n"/>
      <c r="AM399" s="4" t="n"/>
      <c r="AN399" s="4" t="n"/>
      <c r="AO399" s="4" t="n"/>
      <c r="AP399" s="4" t="n"/>
      <c r="AQ399" s="4" t="n"/>
      <c r="AR399" s="4" t="n"/>
      <c r="AS399" s="4" t="n"/>
      <c r="AT399" s="4" t="n"/>
      <c r="AU399" s="4" t="n"/>
      <c r="AV399" s="4" t="n"/>
      <c r="AW399" s="4" t="n"/>
      <c r="AX399" s="4" t="n"/>
      <c r="AY399" s="4" t="n"/>
      <c r="AZ399" s="4" t="n"/>
      <c r="BA399" s="4" t="n"/>
      <c r="BB399" s="4" t="n"/>
      <c r="BC399" s="4" t="n"/>
      <c r="BD399" s="4" t="n"/>
      <c r="BE399" s="4" t="n"/>
      <c r="BF399" s="4" t="n"/>
      <c r="BG399" s="4" t="n"/>
      <c r="BH399" s="4" t="n"/>
      <c r="BI399" s="4" t="n"/>
      <c r="BJ399" s="4" t="n"/>
      <c r="BK399" s="4" t="n"/>
      <c r="BL399" s="4" t="n"/>
      <c r="BM399" s="4" t="n"/>
      <c r="BN399" s="4" t="n"/>
      <c r="BO399" s="4" t="n"/>
      <c r="BP399" s="4" t="n"/>
      <c r="BQ399" s="4" t="n"/>
      <c r="BR399" s="4" t="n"/>
      <c r="BS399" s="4" t="n"/>
      <c r="BT399" s="4" t="n"/>
      <c r="BU399" s="4" t="n"/>
      <c r="BV399" s="4" t="n"/>
      <c r="BW399" s="4" t="n"/>
      <c r="BX399" s="4" t="n"/>
      <c r="BY399" s="4" t="n"/>
      <c r="BZ399" s="4" t="n"/>
      <c r="CA399" s="4" t="n"/>
      <c r="CB399" s="4" t="n"/>
      <c r="CC399" s="4" t="n"/>
      <c r="CD399" s="4" t="n"/>
      <c r="CE399" s="4" t="n"/>
      <c r="CF399" s="4" t="n"/>
      <c r="CG399" s="4" t="n"/>
      <c r="CH399" s="4" t="n"/>
      <c r="CI399" s="4" t="n"/>
      <c r="CJ399" s="4" t="n"/>
      <c r="CK399" s="4" t="n"/>
      <c r="CL399" s="4" t="n"/>
      <c r="CM399" s="4" t="n"/>
      <c r="CN399" s="4" t="n"/>
      <c r="CO399" s="4" t="n"/>
      <c r="CP399" s="4" t="n"/>
      <c r="CQ399" s="4" t="n"/>
      <c r="CR399" s="4" t="n"/>
      <c r="CS399" s="4" t="n"/>
      <c r="CT399" s="4" t="n"/>
      <c r="CU399" s="4" t="n"/>
      <c r="CV399" s="4" t="n"/>
      <c r="CW399" s="4" t="n"/>
      <c r="CX399" s="4" t="n"/>
      <c r="CY399" s="4" t="n"/>
      <c r="CZ399" s="4" t="n"/>
      <c r="DA399" s="4" t="n"/>
      <c r="DB399" s="4" t="n"/>
      <c r="DC399" s="4" t="n"/>
      <c r="DD399" s="4" t="n"/>
      <c r="DE399" s="4" t="n"/>
      <c r="DF399" s="4" t="n"/>
      <c r="DG399" s="4" t="n"/>
      <c r="DH399" s="4" t="n"/>
      <c r="DI399" s="4" t="n"/>
      <c r="DJ399" s="4" t="n"/>
      <c r="DK399" s="4" t="n"/>
      <c r="DL399" s="4" t="n"/>
      <c r="DM399" s="4" t="n"/>
      <c r="DN399" s="4" t="n"/>
      <c r="DO399" s="4" t="n"/>
      <c r="DP399" s="4" t="n"/>
      <c r="DQ399" s="4" t="n"/>
      <c r="DR399" s="4" t="n"/>
      <c r="DS399" s="4" t="n"/>
      <c r="DT399" s="4" t="n"/>
      <c r="DU399" s="4" t="n"/>
      <c r="DV399" s="4" t="n"/>
      <c r="DW399" s="4" t="n"/>
      <c r="DX399" s="4" t="n"/>
      <c r="DY399" s="4" t="n"/>
      <c r="DZ399" s="4" t="n"/>
      <c r="EA399" s="4" t="n"/>
      <c r="EB399" s="4" t="n"/>
      <c r="EC399" s="4" t="n"/>
      <c r="ED399" s="4" t="n"/>
      <c r="EE399" s="4" t="n"/>
      <c r="EF399" s="4" t="n"/>
      <c r="EG399" s="4" t="n"/>
      <c r="EH399" s="4" t="n"/>
      <c r="EI399" s="4" t="n"/>
      <c r="EJ399" s="4" t="n"/>
      <c r="EK399" s="4" t="n"/>
      <c r="EL399" s="4" t="n"/>
      <c r="EM399" s="4" t="n"/>
      <c r="EN399" s="4" t="n"/>
    </row>
    <row r="400" hidden="1" customFormat="1" s="6">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c r="AC400" s="4" t="n"/>
      <c r="AD400" s="4" t="n"/>
      <c r="AE400" s="4" t="n"/>
      <c r="AF400" s="4" t="n"/>
      <c r="AG400" s="4" t="n"/>
      <c r="AH400" s="4" t="n"/>
      <c r="AI400" s="4" t="n"/>
      <c r="AJ400" s="4" t="n"/>
      <c r="AK400" s="4" t="n"/>
      <c r="AL400" s="4" t="n"/>
      <c r="AM400" s="4" t="n"/>
      <c r="AN400" s="4" t="n"/>
      <c r="AO400" s="4" t="n"/>
      <c r="AP400" s="4" t="n"/>
      <c r="AQ400" s="4" t="n"/>
      <c r="AR400" s="4" t="n"/>
      <c r="AS400" s="4" t="n"/>
      <c r="AT400" s="4" t="n"/>
      <c r="AU400" s="4" t="n"/>
      <c r="AV400" s="4" t="n"/>
      <c r="AW400" s="4" t="n"/>
      <c r="AX400" s="4" t="n"/>
      <c r="AY400" s="4" t="n"/>
      <c r="AZ400" s="4" t="n"/>
      <c r="BA400" s="4" t="n"/>
      <c r="BB400" s="4" t="n"/>
      <c r="BC400" s="4" t="n"/>
      <c r="BD400" s="4" t="n"/>
      <c r="BE400" s="4" t="n"/>
      <c r="BF400" s="4" t="n"/>
      <c r="BG400" s="4" t="n"/>
      <c r="BH400" s="4" t="n"/>
      <c r="BI400" s="4" t="n"/>
      <c r="BJ400" s="4" t="n"/>
      <c r="BK400" s="4" t="n"/>
      <c r="BL400" s="4" t="n"/>
      <c r="BM400" s="4" t="n"/>
      <c r="BN400" s="4" t="n"/>
      <c r="BO400" s="4" t="n"/>
      <c r="BP400" s="4" t="n"/>
      <c r="BQ400" s="4" t="n"/>
      <c r="BR400" s="4" t="n"/>
      <c r="BS400" s="4" t="n"/>
      <c r="BT400" s="4" t="n"/>
      <c r="BU400" s="4" t="n"/>
      <c r="BV400" s="4" t="n"/>
      <c r="BW400" s="4" t="n"/>
      <c r="BX400" s="4" t="n"/>
      <c r="BY400" s="4" t="n"/>
      <c r="BZ400" s="4" t="n"/>
      <c r="CA400" s="4" t="n"/>
      <c r="CB400" s="4" t="n"/>
      <c r="CC400" s="4" t="n"/>
      <c r="CD400" s="4" t="n"/>
      <c r="CE400" s="4" t="n"/>
      <c r="CF400" s="4" t="n"/>
      <c r="CG400" s="4" t="n"/>
      <c r="CH400" s="4" t="n"/>
      <c r="CI400" s="4" t="n"/>
      <c r="CJ400" s="4" t="n"/>
      <c r="CK400" s="4" t="n"/>
      <c r="CL400" s="4" t="n"/>
      <c r="CM400" s="4" t="n"/>
      <c r="CN400" s="4" t="n"/>
      <c r="CO400" s="4" t="n"/>
      <c r="CP400" s="4" t="n"/>
      <c r="CQ400" s="4" t="n"/>
      <c r="CR400" s="4" t="n"/>
      <c r="CS400" s="4" t="n"/>
      <c r="CT400" s="4" t="n"/>
      <c r="CU400" s="4" t="n"/>
      <c r="CV400" s="4" t="n"/>
      <c r="CW400" s="4" t="n"/>
      <c r="CX400" s="4" t="n"/>
      <c r="CY400" s="4" t="n"/>
      <c r="CZ400" s="4" t="n"/>
      <c r="DA400" s="4" t="n"/>
      <c r="DB400" s="4" t="n"/>
      <c r="DC400" s="4" t="n"/>
      <c r="DD400" s="4" t="n"/>
      <c r="DE400" s="4" t="n"/>
      <c r="DF400" s="4" t="n"/>
      <c r="DG400" s="4" t="n"/>
      <c r="DH400" s="4" t="n"/>
      <c r="DI400" s="4" t="n"/>
      <c r="DJ400" s="4" t="n"/>
      <c r="DK400" s="4" t="n"/>
      <c r="DL400" s="4" t="n"/>
      <c r="DM400" s="4" t="n"/>
      <c r="DN400" s="4" t="n"/>
      <c r="DO400" s="4" t="n"/>
      <c r="DP400" s="4" t="n"/>
      <c r="DQ400" s="4" t="n"/>
      <c r="DR400" s="4" t="n"/>
      <c r="DS400" s="4" t="n"/>
      <c r="DT400" s="4" t="n"/>
      <c r="DU400" s="4" t="n"/>
      <c r="DV400" s="4" t="n"/>
      <c r="DW400" s="4" t="n"/>
      <c r="DX400" s="4" t="n"/>
      <c r="DY400" s="4" t="n"/>
      <c r="DZ400" s="4" t="n"/>
      <c r="EA400" s="4" t="n"/>
      <c r="EB400" s="4" t="n"/>
      <c r="EC400" s="4" t="n"/>
      <c r="ED400" s="4" t="n"/>
      <c r="EE400" s="4" t="n"/>
      <c r="EF400" s="4" t="n"/>
      <c r="EG400" s="4" t="n"/>
      <c r="EH400" s="4" t="n"/>
      <c r="EI400" s="4" t="n"/>
      <c r="EJ400" s="4" t="n"/>
      <c r="EK400" s="4" t="n"/>
      <c r="EL400" s="4" t="n"/>
      <c r="EM400" s="4" t="n"/>
      <c r="EN400" s="4" t="n"/>
    </row>
    <row r="401" hidden="1" customFormat="1" s="6">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c r="AC401" s="4" t="n"/>
      <c r="AD401" s="4" t="n"/>
      <c r="AE401" s="4" t="n"/>
      <c r="AF401" s="4" t="n"/>
      <c r="AG401" s="4" t="n"/>
      <c r="AH401" s="4" t="n"/>
      <c r="AI401" s="4" t="n"/>
      <c r="AJ401" s="4" t="n"/>
      <c r="AK401" s="4" t="n"/>
      <c r="AL401" s="4" t="n"/>
      <c r="AM401" s="4" t="n"/>
      <c r="AN401" s="4" t="n"/>
      <c r="AO401" s="4" t="n"/>
      <c r="AP401" s="4" t="n"/>
      <c r="AQ401" s="4" t="n"/>
      <c r="AR401" s="4" t="n"/>
      <c r="AS401" s="4" t="n"/>
      <c r="AT401" s="4" t="n"/>
      <c r="AU401" s="4" t="n"/>
      <c r="AV401" s="4" t="n"/>
      <c r="AW401" s="4" t="n"/>
      <c r="AX401" s="4" t="n"/>
      <c r="AY401" s="4" t="n"/>
      <c r="AZ401" s="4" t="n"/>
      <c r="BA401" s="4" t="n"/>
      <c r="BB401" s="4" t="n"/>
      <c r="BC401" s="4" t="n"/>
      <c r="BD401" s="4" t="n"/>
      <c r="BE401" s="4" t="n"/>
      <c r="BF401" s="4" t="n"/>
      <c r="BG401" s="4" t="n"/>
      <c r="BH401" s="4" t="n"/>
      <c r="BI401" s="4" t="n"/>
      <c r="BJ401" s="4" t="n"/>
      <c r="BK401" s="4" t="n"/>
      <c r="BL401" s="4" t="n"/>
      <c r="BM401" s="4" t="n"/>
      <c r="BN401" s="4" t="n"/>
      <c r="BO401" s="4" t="n"/>
      <c r="BP401" s="4" t="n"/>
      <c r="BQ401" s="4" t="n"/>
      <c r="BR401" s="4" t="n"/>
      <c r="BS401" s="4" t="n"/>
      <c r="BT401" s="4" t="n"/>
      <c r="BU401" s="4" t="n"/>
      <c r="BV401" s="4" t="n"/>
      <c r="BW401" s="4" t="n"/>
      <c r="BX401" s="4" t="n"/>
      <c r="BY401" s="4" t="n"/>
      <c r="BZ401" s="4" t="n"/>
      <c r="CA401" s="4" t="n"/>
      <c r="CB401" s="4" t="n"/>
      <c r="CC401" s="4" t="n"/>
      <c r="CD401" s="4" t="n"/>
      <c r="CE401" s="4" t="n"/>
      <c r="CF401" s="4" t="n"/>
      <c r="CG401" s="4" t="n"/>
      <c r="CH401" s="4" t="n"/>
      <c r="CI401" s="4" t="n"/>
      <c r="CJ401" s="4" t="n"/>
      <c r="CK401" s="4" t="n"/>
      <c r="CL401" s="4" t="n"/>
      <c r="CM401" s="4" t="n"/>
      <c r="CN401" s="4" t="n"/>
      <c r="CO401" s="4" t="n"/>
      <c r="CP401" s="4" t="n"/>
      <c r="CQ401" s="4" t="n"/>
      <c r="CR401" s="4" t="n"/>
      <c r="CS401" s="4" t="n"/>
      <c r="CT401" s="4" t="n"/>
      <c r="CU401" s="4" t="n"/>
      <c r="CV401" s="4" t="n"/>
      <c r="CW401" s="4" t="n"/>
      <c r="CX401" s="4" t="n"/>
      <c r="CY401" s="4" t="n"/>
      <c r="CZ401" s="4" t="n"/>
      <c r="DA401" s="4" t="n"/>
      <c r="DB401" s="4" t="n"/>
      <c r="DC401" s="4" t="n"/>
      <c r="DD401" s="4" t="n"/>
      <c r="DE401" s="4" t="n"/>
      <c r="DF401" s="4" t="n"/>
      <c r="DG401" s="4" t="n"/>
      <c r="DH401" s="4" t="n"/>
      <c r="DI401" s="4" t="n"/>
      <c r="DJ401" s="4" t="n"/>
      <c r="DK401" s="4" t="n"/>
      <c r="DL401" s="4" t="n"/>
      <c r="DM401" s="4" t="n"/>
      <c r="DN401" s="4" t="n"/>
      <c r="DO401" s="4" t="n"/>
      <c r="DP401" s="4" t="n"/>
      <c r="DQ401" s="4" t="n"/>
      <c r="DR401" s="4" t="n"/>
      <c r="DS401" s="4" t="n"/>
      <c r="DT401" s="4" t="n"/>
      <c r="DU401" s="4" t="n"/>
      <c r="DV401" s="4" t="n"/>
      <c r="DW401" s="4" t="n"/>
      <c r="DX401" s="4" t="n"/>
      <c r="DY401" s="4" t="n"/>
      <c r="DZ401" s="4" t="n"/>
      <c r="EA401" s="4" t="n"/>
      <c r="EB401" s="4" t="n"/>
      <c r="EC401" s="4" t="n"/>
      <c r="ED401" s="4" t="n"/>
      <c r="EE401" s="4" t="n"/>
      <c r="EF401" s="4" t="n"/>
      <c r="EG401" s="4" t="n"/>
      <c r="EH401" s="4" t="n"/>
      <c r="EI401" s="4" t="n"/>
      <c r="EJ401" s="4" t="n"/>
      <c r="EK401" s="4" t="n"/>
      <c r="EL401" s="4" t="n"/>
      <c r="EM401" s="4" t="n"/>
      <c r="EN401" s="4" t="n"/>
    </row>
    <row r="402" hidden="1" customFormat="1" s="6">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c r="AE402" s="4" t="n"/>
      <c r="AF402" s="4" t="n"/>
      <c r="AG402" s="4" t="n"/>
      <c r="AH402" s="4" t="n"/>
      <c r="AI402" s="4" t="n"/>
      <c r="AJ402" s="4" t="n"/>
      <c r="AK402" s="4" t="n"/>
      <c r="AL402" s="4" t="n"/>
      <c r="AM402" s="4" t="n"/>
      <c r="AN402" s="4" t="n"/>
      <c r="AO402" s="4" t="n"/>
      <c r="AP402" s="4" t="n"/>
      <c r="AQ402" s="4" t="n"/>
      <c r="AR402" s="4" t="n"/>
      <c r="AS402" s="4" t="n"/>
      <c r="AT402" s="4" t="n"/>
      <c r="AU402" s="4" t="n"/>
      <c r="AV402" s="4" t="n"/>
      <c r="AW402" s="4" t="n"/>
      <c r="AX402" s="4" t="n"/>
      <c r="AY402" s="4" t="n"/>
      <c r="AZ402" s="4" t="n"/>
      <c r="BA402" s="4" t="n"/>
      <c r="BB402" s="4" t="n"/>
      <c r="BC402" s="4" t="n"/>
      <c r="BD402" s="4" t="n"/>
      <c r="BE402" s="4" t="n"/>
      <c r="BF402" s="4" t="n"/>
      <c r="BG402" s="4" t="n"/>
      <c r="BH402" s="4" t="n"/>
      <c r="BI402" s="4" t="n"/>
      <c r="BJ402" s="4" t="n"/>
      <c r="BK402" s="4" t="n"/>
      <c r="BL402" s="4" t="n"/>
      <c r="BM402" s="4" t="n"/>
      <c r="BN402" s="4" t="n"/>
      <c r="BO402" s="4" t="n"/>
      <c r="BP402" s="4" t="n"/>
      <c r="BQ402" s="4" t="n"/>
      <c r="BR402" s="4" t="n"/>
      <c r="BS402" s="4" t="n"/>
      <c r="BT402" s="4" t="n"/>
      <c r="BU402" s="4" t="n"/>
      <c r="BV402" s="4" t="n"/>
      <c r="BW402" s="4" t="n"/>
      <c r="BX402" s="4" t="n"/>
      <c r="BY402" s="4" t="n"/>
      <c r="BZ402" s="4" t="n"/>
      <c r="CA402" s="4" t="n"/>
      <c r="CB402" s="4" t="n"/>
      <c r="CC402" s="4" t="n"/>
      <c r="CD402" s="4" t="n"/>
      <c r="CE402" s="4" t="n"/>
      <c r="CF402" s="4" t="n"/>
      <c r="CG402" s="4" t="n"/>
      <c r="CH402" s="4" t="n"/>
      <c r="CI402" s="4" t="n"/>
      <c r="CJ402" s="4" t="n"/>
      <c r="CK402" s="4" t="n"/>
      <c r="CL402" s="4" t="n"/>
      <c r="CM402" s="4" t="n"/>
      <c r="CN402" s="4" t="n"/>
      <c r="CO402" s="4" t="n"/>
      <c r="CP402" s="4" t="n"/>
      <c r="CQ402" s="4" t="n"/>
      <c r="CR402" s="4" t="n"/>
      <c r="CS402" s="4" t="n"/>
      <c r="CT402" s="4" t="n"/>
      <c r="CU402" s="4" t="n"/>
      <c r="CV402" s="4" t="n"/>
      <c r="CW402" s="4" t="n"/>
      <c r="CX402" s="4" t="n"/>
      <c r="CY402" s="4" t="n"/>
      <c r="CZ402" s="4" t="n"/>
      <c r="DA402" s="4" t="n"/>
      <c r="DB402" s="4" t="n"/>
      <c r="DC402" s="4" t="n"/>
      <c r="DD402" s="4" t="n"/>
      <c r="DE402" s="4" t="n"/>
      <c r="DF402" s="4" t="n"/>
      <c r="DG402" s="4" t="n"/>
      <c r="DH402" s="4" t="n"/>
      <c r="DI402" s="4" t="n"/>
      <c r="DJ402" s="4" t="n"/>
      <c r="DK402" s="4" t="n"/>
      <c r="DL402" s="4" t="n"/>
      <c r="DM402" s="4" t="n"/>
      <c r="DN402" s="4" t="n"/>
      <c r="DO402" s="4" t="n"/>
      <c r="DP402" s="4" t="n"/>
      <c r="DQ402" s="4" t="n"/>
      <c r="DR402" s="4" t="n"/>
      <c r="DS402" s="4" t="n"/>
      <c r="DT402" s="4" t="n"/>
      <c r="DU402" s="4" t="n"/>
      <c r="DV402" s="4" t="n"/>
      <c r="DW402" s="4" t="n"/>
      <c r="DX402" s="4" t="n"/>
      <c r="DY402" s="4" t="n"/>
      <c r="DZ402" s="4" t="n"/>
      <c r="EA402" s="4" t="n"/>
      <c r="EB402" s="4" t="n"/>
      <c r="EC402" s="4" t="n"/>
      <c r="ED402" s="4" t="n"/>
      <c r="EE402" s="4" t="n"/>
      <c r="EF402" s="4" t="n"/>
      <c r="EG402" s="4" t="n"/>
      <c r="EH402" s="4" t="n"/>
      <c r="EI402" s="4" t="n"/>
      <c r="EJ402" s="4" t="n"/>
      <c r="EK402" s="4" t="n"/>
      <c r="EL402" s="4" t="n"/>
      <c r="EM402" s="4" t="n"/>
      <c r="EN402" s="4" t="n"/>
    </row>
    <row r="403" hidden="1" customFormat="1" s="6">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c r="AE403" s="4" t="n"/>
      <c r="AF403" s="4" t="n"/>
      <c r="AG403" s="4" t="n"/>
      <c r="AH403" s="4" t="n"/>
      <c r="AI403" s="4" t="n"/>
      <c r="AJ403" s="4" t="n"/>
      <c r="AK403" s="4" t="n"/>
      <c r="AL403" s="4" t="n"/>
      <c r="AM403" s="4" t="n"/>
      <c r="AN403" s="4" t="n"/>
      <c r="AO403" s="4" t="n"/>
      <c r="AP403" s="4" t="n"/>
      <c r="AQ403" s="4" t="n"/>
      <c r="AR403" s="4" t="n"/>
      <c r="AS403" s="4" t="n"/>
      <c r="AT403" s="4" t="n"/>
      <c r="AU403" s="4" t="n"/>
      <c r="AV403" s="4" t="n"/>
      <c r="AW403" s="4" t="n"/>
      <c r="AX403" s="4" t="n"/>
      <c r="AY403" s="4" t="n"/>
      <c r="AZ403" s="4" t="n"/>
      <c r="BA403" s="4" t="n"/>
      <c r="BB403" s="4" t="n"/>
      <c r="BC403" s="4" t="n"/>
      <c r="BD403" s="4" t="n"/>
      <c r="BE403" s="4" t="n"/>
      <c r="BF403" s="4" t="n"/>
      <c r="BG403" s="4" t="n"/>
      <c r="BH403" s="4" t="n"/>
      <c r="BI403" s="4" t="n"/>
      <c r="BJ403" s="4" t="n"/>
      <c r="BK403" s="4" t="n"/>
      <c r="BL403" s="4" t="n"/>
      <c r="BM403" s="4" t="n"/>
      <c r="BN403" s="4" t="n"/>
      <c r="BO403" s="4" t="n"/>
      <c r="BP403" s="4" t="n"/>
      <c r="BQ403" s="4" t="n"/>
      <c r="BR403" s="4" t="n"/>
      <c r="BS403" s="4" t="n"/>
      <c r="BT403" s="4" t="n"/>
      <c r="BU403" s="4" t="n"/>
      <c r="BV403" s="4" t="n"/>
      <c r="BW403" s="4" t="n"/>
      <c r="BX403" s="4" t="n"/>
      <c r="BY403" s="4" t="n"/>
      <c r="BZ403" s="4" t="n"/>
      <c r="CA403" s="4" t="n"/>
      <c r="CB403" s="4" t="n"/>
      <c r="CC403" s="4" t="n"/>
      <c r="CD403" s="4" t="n"/>
      <c r="CE403" s="4" t="n"/>
      <c r="CF403" s="4" t="n"/>
      <c r="CG403" s="4" t="n"/>
      <c r="CH403" s="4" t="n"/>
      <c r="CI403" s="4" t="n"/>
      <c r="CJ403" s="4" t="n"/>
      <c r="CK403" s="4" t="n"/>
      <c r="CL403" s="4" t="n"/>
      <c r="CM403" s="4" t="n"/>
      <c r="CN403" s="4" t="n"/>
      <c r="CO403" s="4" t="n"/>
      <c r="CP403" s="4" t="n"/>
      <c r="CQ403" s="4" t="n"/>
      <c r="CR403" s="4" t="n"/>
      <c r="CS403" s="4" t="n"/>
      <c r="CT403" s="4" t="n"/>
      <c r="CU403" s="4" t="n"/>
      <c r="CV403" s="4" t="n"/>
      <c r="CW403" s="4" t="n"/>
      <c r="CX403" s="4" t="n"/>
      <c r="CY403" s="4" t="n"/>
      <c r="CZ403" s="4" t="n"/>
      <c r="DA403" s="4" t="n"/>
      <c r="DB403" s="4" t="n"/>
      <c r="DC403" s="4" t="n"/>
      <c r="DD403" s="4" t="n"/>
      <c r="DE403" s="4" t="n"/>
      <c r="DF403" s="4" t="n"/>
      <c r="DG403" s="4" t="n"/>
      <c r="DH403" s="4" t="n"/>
      <c r="DI403" s="4" t="n"/>
      <c r="DJ403" s="4" t="n"/>
      <c r="DK403" s="4" t="n"/>
      <c r="DL403" s="4" t="n"/>
      <c r="DM403" s="4" t="n"/>
      <c r="DN403" s="4" t="n"/>
      <c r="DO403" s="4" t="n"/>
      <c r="DP403" s="4" t="n"/>
      <c r="DQ403" s="4" t="n"/>
      <c r="DR403" s="4" t="n"/>
      <c r="DS403" s="4" t="n"/>
      <c r="DT403" s="4" t="n"/>
      <c r="DU403" s="4" t="n"/>
      <c r="DV403" s="4" t="n"/>
      <c r="DW403" s="4" t="n"/>
      <c r="DX403" s="4" t="n"/>
      <c r="DY403" s="4" t="n"/>
      <c r="DZ403" s="4" t="n"/>
      <c r="EA403" s="4" t="n"/>
      <c r="EB403" s="4" t="n"/>
      <c r="EC403" s="4" t="n"/>
      <c r="ED403" s="4" t="n"/>
      <c r="EE403" s="4" t="n"/>
      <c r="EF403" s="4" t="n"/>
      <c r="EG403" s="4" t="n"/>
      <c r="EH403" s="4" t="n"/>
      <c r="EI403" s="4" t="n"/>
      <c r="EJ403" s="4" t="n"/>
      <c r="EK403" s="4" t="n"/>
      <c r="EL403" s="4" t="n"/>
      <c r="EM403" s="4" t="n"/>
      <c r="EN403" s="4" t="n"/>
    </row>
    <row r="404" hidden="1" customFormat="1" s="6">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c r="AE404" s="4" t="n"/>
      <c r="AF404" s="4" t="n"/>
      <c r="AG404" s="4" t="n"/>
      <c r="AH404" s="4" t="n"/>
      <c r="AI404" s="4" t="n"/>
      <c r="AJ404" s="4" t="n"/>
      <c r="AK404" s="4" t="n"/>
      <c r="AL404" s="4" t="n"/>
      <c r="AM404" s="4" t="n"/>
      <c r="AN404" s="4" t="n"/>
      <c r="AO404" s="4" t="n"/>
      <c r="AP404" s="4" t="n"/>
      <c r="AQ404" s="4" t="n"/>
      <c r="AR404" s="4" t="n"/>
      <c r="AS404" s="4" t="n"/>
      <c r="AT404" s="4" t="n"/>
      <c r="AU404" s="4" t="n"/>
      <c r="AV404" s="4" t="n"/>
      <c r="AW404" s="4" t="n"/>
      <c r="AX404" s="4" t="n"/>
      <c r="AY404" s="4" t="n"/>
      <c r="AZ404" s="4" t="n"/>
      <c r="BA404" s="4" t="n"/>
      <c r="BB404" s="4" t="n"/>
      <c r="BC404" s="4" t="n"/>
      <c r="BD404" s="4" t="n"/>
      <c r="BE404" s="4" t="n"/>
      <c r="BF404" s="4" t="n"/>
      <c r="BG404" s="4" t="n"/>
      <c r="BH404" s="4" t="n"/>
      <c r="BI404" s="4" t="n"/>
      <c r="BJ404" s="4" t="n"/>
      <c r="BK404" s="4" t="n"/>
      <c r="BL404" s="4" t="n"/>
      <c r="BM404" s="4" t="n"/>
      <c r="BN404" s="4" t="n"/>
      <c r="BO404" s="4" t="n"/>
      <c r="BP404" s="4" t="n"/>
      <c r="BQ404" s="4" t="n"/>
      <c r="BR404" s="4" t="n"/>
      <c r="BS404" s="4" t="n"/>
      <c r="BT404" s="4" t="n"/>
      <c r="BU404" s="4" t="n"/>
      <c r="BV404" s="4" t="n"/>
      <c r="BW404" s="4" t="n"/>
      <c r="BX404" s="4" t="n"/>
      <c r="BY404" s="4" t="n"/>
      <c r="BZ404" s="4" t="n"/>
      <c r="CA404" s="4" t="n"/>
      <c r="CB404" s="4" t="n"/>
      <c r="CC404" s="4" t="n"/>
      <c r="CD404" s="4" t="n"/>
      <c r="CE404" s="4" t="n"/>
      <c r="CF404" s="4" t="n"/>
      <c r="CG404" s="4" t="n"/>
      <c r="CH404" s="4" t="n"/>
      <c r="CI404" s="4" t="n"/>
      <c r="CJ404" s="4" t="n"/>
      <c r="CK404" s="4" t="n"/>
      <c r="CL404" s="4" t="n"/>
      <c r="CM404" s="4" t="n"/>
      <c r="CN404" s="4" t="n"/>
      <c r="CO404" s="4" t="n"/>
      <c r="CP404" s="4" t="n"/>
      <c r="CQ404" s="4" t="n"/>
      <c r="CR404" s="4" t="n"/>
      <c r="CS404" s="4" t="n"/>
      <c r="CT404" s="4" t="n"/>
      <c r="CU404" s="4" t="n"/>
      <c r="CV404" s="4" t="n"/>
      <c r="CW404" s="4" t="n"/>
      <c r="CX404" s="4" t="n"/>
      <c r="CY404" s="4" t="n"/>
      <c r="CZ404" s="4" t="n"/>
      <c r="DA404" s="4" t="n"/>
      <c r="DB404" s="4" t="n"/>
      <c r="DC404" s="4" t="n"/>
      <c r="DD404" s="4" t="n"/>
      <c r="DE404" s="4" t="n"/>
      <c r="DF404" s="4" t="n"/>
      <c r="DG404" s="4" t="n"/>
      <c r="DH404" s="4" t="n"/>
      <c r="DI404" s="4" t="n"/>
      <c r="DJ404" s="4" t="n"/>
      <c r="DK404" s="4" t="n"/>
      <c r="DL404" s="4" t="n"/>
      <c r="DM404" s="4" t="n"/>
      <c r="DN404" s="4" t="n"/>
      <c r="DO404" s="4" t="n"/>
      <c r="DP404" s="4" t="n"/>
      <c r="DQ404" s="4" t="n"/>
      <c r="DR404" s="4" t="n"/>
      <c r="DS404" s="4" t="n"/>
      <c r="DT404" s="4" t="n"/>
      <c r="DU404" s="4" t="n"/>
      <c r="DV404" s="4" t="n"/>
      <c r="DW404" s="4" t="n"/>
      <c r="DX404" s="4" t="n"/>
      <c r="DY404" s="4" t="n"/>
      <c r="DZ404" s="4" t="n"/>
      <c r="EA404" s="4" t="n"/>
      <c r="EB404" s="4" t="n"/>
      <c r="EC404" s="4" t="n"/>
      <c r="ED404" s="4" t="n"/>
      <c r="EE404" s="4" t="n"/>
      <c r="EF404" s="4" t="n"/>
      <c r="EG404" s="4" t="n"/>
      <c r="EH404" s="4" t="n"/>
      <c r="EI404" s="4" t="n"/>
      <c r="EJ404" s="4" t="n"/>
      <c r="EK404" s="4" t="n"/>
      <c r="EL404" s="4" t="n"/>
      <c r="EM404" s="4" t="n"/>
      <c r="EN404" s="4" t="n"/>
    </row>
    <row r="405" hidden="1" customFormat="1" s="6">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c r="AE405" s="4" t="n"/>
      <c r="AF405" s="4" t="n"/>
      <c r="AG405" s="4" t="n"/>
      <c r="AH405" s="4" t="n"/>
      <c r="AI405" s="4" t="n"/>
      <c r="AJ405" s="4" t="n"/>
      <c r="AK405" s="4" t="n"/>
      <c r="AL405" s="4" t="n"/>
      <c r="AM405" s="4" t="n"/>
      <c r="AN405" s="4" t="n"/>
      <c r="AO405" s="4" t="n"/>
      <c r="AP405" s="4" t="n"/>
      <c r="AQ405" s="4" t="n"/>
      <c r="AR405" s="4" t="n"/>
      <c r="AS405" s="4" t="n"/>
      <c r="AT405" s="4" t="n"/>
      <c r="AU405" s="4" t="n"/>
      <c r="AV405" s="4" t="n"/>
      <c r="AW405" s="4" t="n"/>
      <c r="AX405" s="4" t="n"/>
      <c r="AY405" s="4" t="n"/>
      <c r="AZ405" s="4" t="n"/>
      <c r="BA405" s="4" t="n"/>
      <c r="BB405" s="4" t="n"/>
      <c r="BC405" s="4" t="n"/>
      <c r="BD405" s="4" t="n"/>
      <c r="BE405" s="4" t="n"/>
      <c r="BF405" s="4" t="n"/>
      <c r="BG405" s="4" t="n"/>
      <c r="BH405" s="4" t="n"/>
      <c r="BI405" s="4" t="n"/>
      <c r="BJ405" s="4" t="n"/>
      <c r="BK405" s="4" t="n"/>
      <c r="BL405" s="4" t="n"/>
      <c r="BM405" s="4" t="n"/>
      <c r="BN405" s="4" t="n"/>
      <c r="BO405" s="4" t="n"/>
      <c r="BP405" s="4" t="n"/>
      <c r="BQ405" s="4" t="n"/>
      <c r="BR405" s="4" t="n"/>
      <c r="BS405" s="4" t="n"/>
      <c r="BT405" s="4" t="n"/>
      <c r="BU405" s="4" t="n"/>
      <c r="BV405" s="4" t="n"/>
      <c r="BW405" s="4" t="n"/>
      <c r="BX405" s="4" t="n"/>
      <c r="BY405" s="4" t="n"/>
      <c r="BZ405" s="4" t="n"/>
      <c r="CA405" s="4" t="n"/>
      <c r="CB405" s="4" t="n"/>
      <c r="CC405" s="4" t="n"/>
      <c r="CD405" s="4" t="n"/>
      <c r="CE405" s="4" t="n"/>
      <c r="CF405" s="4" t="n"/>
      <c r="CG405" s="4" t="n"/>
      <c r="CH405" s="4" t="n"/>
      <c r="CI405" s="4" t="n"/>
      <c r="CJ405" s="4" t="n"/>
      <c r="CK405" s="4" t="n"/>
      <c r="CL405" s="4" t="n"/>
      <c r="CM405" s="4" t="n"/>
      <c r="CN405" s="4" t="n"/>
      <c r="CO405" s="4" t="n"/>
      <c r="CP405" s="4" t="n"/>
      <c r="CQ405" s="4" t="n"/>
      <c r="CR405" s="4" t="n"/>
      <c r="CS405" s="4" t="n"/>
      <c r="CT405" s="4" t="n"/>
      <c r="CU405" s="4" t="n"/>
      <c r="CV405" s="4" t="n"/>
      <c r="CW405" s="4" t="n"/>
      <c r="CX405" s="4" t="n"/>
      <c r="CY405" s="4" t="n"/>
      <c r="CZ405" s="4" t="n"/>
      <c r="DA405" s="4" t="n"/>
      <c r="DB405" s="4" t="n"/>
      <c r="DC405" s="4" t="n"/>
      <c r="DD405" s="4" t="n"/>
      <c r="DE405" s="4" t="n"/>
      <c r="DF405" s="4" t="n"/>
      <c r="DG405" s="4" t="n"/>
      <c r="DH405" s="4" t="n"/>
      <c r="DI405" s="4" t="n"/>
      <c r="DJ405" s="4" t="n"/>
      <c r="DK405" s="4" t="n"/>
      <c r="DL405" s="4" t="n"/>
      <c r="DM405" s="4" t="n"/>
      <c r="DN405" s="4" t="n"/>
      <c r="DO405" s="4" t="n"/>
      <c r="DP405" s="4" t="n"/>
      <c r="DQ405" s="4" t="n"/>
      <c r="DR405" s="4" t="n"/>
      <c r="DS405" s="4" t="n"/>
      <c r="DT405" s="4" t="n"/>
      <c r="DU405" s="4" t="n"/>
      <c r="DV405" s="4" t="n"/>
      <c r="DW405" s="4" t="n"/>
      <c r="DX405" s="4" t="n"/>
      <c r="DY405" s="4" t="n"/>
      <c r="DZ405" s="4" t="n"/>
      <c r="EA405" s="4" t="n"/>
      <c r="EB405" s="4" t="n"/>
      <c r="EC405" s="4" t="n"/>
      <c r="ED405" s="4" t="n"/>
      <c r="EE405" s="4" t="n"/>
      <c r="EF405" s="4" t="n"/>
      <c r="EG405" s="4" t="n"/>
      <c r="EH405" s="4" t="n"/>
      <c r="EI405" s="4" t="n"/>
      <c r="EJ405" s="4" t="n"/>
      <c r="EK405" s="4" t="n"/>
      <c r="EL405" s="4" t="n"/>
      <c r="EM405" s="4" t="n"/>
      <c r="EN405" s="4" t="n"/>
    </row>
    <row r="406" hidden="1" customFormat="1" s="6">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c r="AE406" s="4" t="n"/>
      <c r="AF406" s="4" t="n"/>
      <c r="AG406" s="4" t="n"/>
      <c r="AH406" s="4" t="n"/>
      <c r="AI406" s="4" t="n"/>
      <c r="AJ406" s="4" t="n"/>
      <c r="AK406" s="4" t="n"/>
      <c r="AL406" s="4" t="n"/>
      <c r="AM406" s="4" t="n"/>
      <c r="AN406" s="4" t="n"/>
      <c r="AO406" s="4" t="n"/>
      <c r="AP406" s="4" t="n"/>
      <c r="AQ406" s="4" t="n"/>
      <c r="AR406" s="4" t="n"/>
      <c r="AS406" s="4" t="n"/>
      <c r="AT406" s="4" t="n"/>
      <c r="AU406" s="4" t="n"/>
      <c r="AV406" s="4" t="n"/>
      <c r="AW406" s="4" t="n"/>
      <c r="AX406" s="4" t="n"/>
      <c r="AY406" s="4" t="n"/>
      <c r="AZ406" s="4" t="n"/>
      <c r="BA406" s="4" t="n"/>
      <c r="BB406" s="4" t="n"/>
      <c r="BC406" s="4" t="n"/>
      <c r="BD406" s="4" t="n"/>
      <c r="BE406" s="4" t="n"/>
      <c r="BF406" s="4" t="n"/>
      <c r="BG406" s="4" t="n"/>
      <c r="BH406" s="4" t="n"/>
      <c r="BI406" s="4" t="n"/>
      <c r="BJ406" s="4" t="n"/>
      <c r="BK406" s="4" t="n"/>
      <c r="BL406" s="4" t="n"/>
      <c r="BM406" s="4" t="n"/>
      <c r="BN406" s="4" t="n"/>
      <c r="BO406" s="4" t="n"/>
      <c r="BP406" s="4" t="n"/>
      <c r="BQ406" s="4" t="n"/>
      <c r="BR406" s="4" t="n"/>
      <c r="BS406" s="4" t="n"/>
      <c r="BT406" s="4" t="n"/>
      <c r="BU406" s="4" t="n"/>
      <c r="BV406" s="4" t="n"/>
      <c r="BW406" s="4" t="n"/>
      <c r="BX406" s="4" t="n"/>
      <c r="BY406" s="4" t="n"/>
      <c r="BZ406" s="4" t="n"/>
      <c r="CA406" s="4" t="n"/>
      <c r="CB406" s="4" t="n"/>
      <c r="CC406" s="4" t="n"/>
      <c r="CD406" s="4" t="n"/>
      <c r="CE406" s="4" t="n"/>
      <c r="CF406" s="4" t="n"/>
      <c r="CG406" s="4" t="n"/>
      <c r="CH406" s="4" t="n"/>
      <c r="CI406" s="4" t="n"/>
      <c r="CJ406" s="4" t="n"/>
      <c r="CK406" s="4" t="n"/>
      <c r="CL406" s="4" t="n"/>
      <c r="CM406" s="4" t="n"/>
      <c r="CN406" s="4" t="n"/>
      <c r="CO406" s="4" t="n"/>
      <c r="CP406" s="4" t="n"/>
      <c r="CQ406" s="4" t="n"/>
      <c r="CR406" s="4" t="n"/>
      <c r="CS406" s="4" t="n"/>
      <c r="CT406" s="4" t="n"/>
      <c r="CU406" s="4" t="n"/>
      <c r="CV406" s="4" t="n"/>
      <c r="CW406" s="4" t="n"/>
      <c r="CX406" s="4" t="n"/>
      <c r="CY406" s="4" t="n"/>
      <c r="CZ406" s="4" t="n"/>
      <c r="DA406" s="4" t="n"/>
      <c r="DB406" s="4" t="n"/>
      <c r="DC406" s="4" t="n"/>
      <c r="DD406" s="4" t="n"/>
      <c r="DE406" s="4" t="n"/>
      <c r="DF406" s="4" t="n"/>
      <c r="DG406" s="4" t="n"/>
      <c r="DH406" s="4" t="n"/>
      <c r="DI406" s="4" t="n"/>
      <c r="DJ406" s="4" t="n"/>
      <c r="DK406" s="4" t="n"/>
      <c r="DL406" s="4" t="n"/>
      <c r="DM406" s="4" t="n"/>
      <c r="DN406" s="4" t="n"/>
      <c r="DO406" s="4" t="n"/>
      <c r="DP406" s="4" t="n"/>
      <c r="DQ406" s="4" t="n"/>
      <c r="DR406" s="4" t="n"/>
      <c r="DS406" s="4" t="n"/>
      <c r="DT406" s="4" t="n"/>
      <c r="DU406" s="4" t="n"/>
      <c r="DV406" s="4" t="n"/>
      <c r="DW406" s="4" t="n"/>
      <c r="DX406" s="4" t="n"/>
      <c r="DY406" s="4" t="n"/>
      <c r="DZ406" s="4" t="n"/>
      <c r="EA406" s="4" t="n"/>
      <c r="EB406" s="4" t="n"/>
      <c r="EC406" s="4" t="n"/>
      <c r="ED406" s="4" t="n"/>
      <c r="EE406" s="4" t="n"/>
      <c r="EF406" s="4" t="n"/>
      <c r="EG406" s="4" t="n"/>
      <c r="EH406" s="4" t="n"/>
      <c r="EI406" s="4" t="n"/>
      <c r="EJ406" s="4" t="n"/>
      <c r="EK406" s="4" t="n"/>
      <c r="EL406" s="4" t="n"/>
      <c r="EM406" s="4" t="n"/>
      <c r="EN406" s="4" t="n"/>
    </row>
    <row r="407" hidden="1" customFormat="1" s="6">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c r="AE407" s="4" t="n"/>
      <c r="AF407" s="4" t="n"/>
      <c r="AG407" s="4" t="n"/>
      <c r="AH407" s="4" t="n"/>
      <c r="AI407" s="4" t="n"/>
      <c r="AJ407" s="4" t="n"/>
      <c r="AK407" s="4" t="n"/>
      <c r="AL407" s="4" t="n"/>
      <c r="AM407" s="4" t="n"/>
      <c r="AN407" s="4" t="n"/>
      <c r="AO407" s="4" t="n"/>
      <c r="AP407" s="4" t="n"/>
      <c r="AQ407" s="4" t="n"/>
      <c r="AR407" s="4" t="n"/>
      <c r="AS407" s="4" t="n"/>
      <c r="AT407" s="4" t="n"/>
      <c r="AU407" s="4" t="n"/>
      <c r="AV407" s="4" t="n"/>
      <c r="AW407" s="4" t="n"/>
      <c r="AX407" s="4" t="n"/>
      <c r="AY407" s="4" t="n"/>
      <c r="AZ407" s="4" t="n"/>
      <c r="BA407" s="4" t="n"/>
      <c r="BB407" s="4" t="n"/>
      <c r="BC407" s="4" t="n"/>
      <c r="BD407" s="4" t="n"/>
      <c r="BE407" s="4" t="n"/>
      <c r="BF407" s="4" t="n"/>
      <c r="BG407" s="4" t="n"/>
      <c r="BH407" s="4" t="n"/>
      <c r="BI407" s="4" t="n"/>
      <c r="BJ407" s="4" t="n"/>
      <c r="BK407" s="4" t="n"/>
      <c r="BL407" s="4" t="n"/>
      <c r="BM407" s="4" t="n"/>
      <c r="BN407" s="4" t="n"/>
      <c r="BO407" s="4" t="n"/>
      <c r="BP407" s="4" t="n"/>
      <c r="BQ407" s="4" t="n"/>
      <c r="BR407" s="4" t="n"/>
      <c r="BS407" s="4" t="n"/>
      <c r="BT407" s="4" t="n"/>
      <c r="BU407" s="4" t="n"/>
      <c r="BV407" s="4" t="n"/>
      <c r="BW407" s="4" t="n"/>
      <c r="BX407" s="4" t="n"/>
      <c r="BY407" s="4" t="n"/>
      <c r="BZ407" s="4" t="n"/>
      <c r="CA407" s="4" t="n"/>
      <c r="CB407" s="4" t="n"/>
      <c r="CC407" s="4" t="n"/>
      <c r="CD407" s="4" t="n"/>
      <c r="CE407" s="4" t="n"/>
      <c r="CF407" s="4" t="n"/>
      <c r="CG407" s="4" t="n"/>
      <c r="CH407" s="4" t="n"/>
      <c r="CI407" s="4" t="n"/>
      <c r="CJ407" s="4" t="n"/>
      <c r="CK407" s="4" t="n"/>
      <c r="CL407" s="4" t="n"/>
      <c r="CM407" s="4" t="n"/>
      <c r="CN407" s="4" t="n"/>
      <c r="CO407" s="4" t="n"/>
      <c r="CP407" s="4" t="n"/>
      <c r="CQ407" s="4" t="n"/>
      <c r="CR407" s="4" t="n"/>
      <c r="CS407" s="4" t="n"/>
      <c r="CT407" s="4" t="n"/>
      <c r="CU407" s="4" t="n"/>
      <c r="CV407" s="4" t="n"/>
      <c r="CW407" s="4" t="n"/>
      <c r="CX407" s="4" t="n"/>
      <c r="CY407" s="4" t="n"/>
      <c r="CZ407" s="4" t="n"/>
      <c r="DA407" s="4" t="n"/>
      <c r="DB407" s="4" t="n"/>
      <c r="DC407" s="4" t="n"/>
      <c r="DD407" s="4" t="n"/>
      <c r="DE407" s="4" t="n"/>
      <c r="DF407" s="4" t="n"/>
      <c r="DG407" s="4" t="n"/>
      <c r="DH407" s="4" t="n"/>
      <c r="DI407" s="4" t="n"/>
      <c r="DJ407" s="4" t="n"/>
      <c r="DK407" s="4" t="n"/>
      <c r="DL407" s="4" t="n"/>
      <c r="DM407" s="4" t="n"/>
      <c r="DN407" s="4" t="n"/>
      <c r="DO407" s="4" t="n"/>
      <c r="DP407" s="4" t="n"/>
      <c r="DQ407" s="4" t="n"/>
      <c r="DR407" s="4" t="n"/>
      <c r="DS407" s="4" t="n"/>
      <c r="DT407" s="4" t="n"/>
      <c r="DU407" s="4" t="n"/>
      <c r="DV407" s="4" t="n"/>
      <c r="DW407" s="4" t="n"/>
      <c r="DX407" s="4" t="n"/>
      <c r="DY407" s="4" t="n"/>
      <c r="DZ407" s="4" t="n"/>
      <c r="EA407" s="4" t="n"/>
      <c r="EB407" s="4" t="n"/>
      <c r="EC407" s="4" t="n"/>
      <c r="ED407" s="4" t="n"/>
      <c r="EE407" s="4" t="n"/>
      <c r="EF407" s="4" t="n"/>
      <c r="EG407" s="4" t="n"/>
      <c r="EH407" s="4" t="n"/>
      <c r="EI407" s="4" t="n"/>
      <c r="EJ407" s="4" t="n"/>
      <c r="EK407" s="4" t="n"/>
      <c r="EL407" s="4" t="n"/>
      <c r="EM407" s="4" t="n"/>
      <c r="EN407" s="4" t="n"/>
    </row>
    <row r="408" hidden="1" customFormat="1" s="6">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c r="AE408" s="4" t="n"/>
      <c r="AF408" s="4" t="n"/>
      <c r="AG408" s="4" t="n"/>
      <c r="AH408" s="4" t="n"/>
      <c r="AI408" s="4" t="n"/>
      <c r="AJ408" s="4" t="n"/>
      <c r="AK408" s="4" t="n"/>
      <c r="AL408" s="4" t="n"/>
      <c r="AM408" s="4" t="n"/>
      <c r="AN408" s="4" t="n"/>
      <c r="AO408" s="4" t="n"/>
      <c r="AP408" s="4" t="n"/>
      <c r="AQ408" s="4" t="n"/>
      <c r="AR408" s="4" t="n"/>
      <c r="AS408" s="4" t="n"/>
      <c r="AT408" s="4" t="n"/>
      <c r="AU408" s="4" t="n"/>
      <c r="AV408" s="4" t="n"/>
      <c r="AW408" s="4" t="n"/>
      <c r="AX408" s="4" t="n"/>
      <c r="AY408" s="4" t="n"/>
      <c r="AZ408" s="4" t="n"/>
      <c r="BA408" s="4" t="n"/>
      <c r="BB408" s="4" t="n"/>
      <c r="BC408" s="4" t="n"/>
      <c r="BD408" s="4" t="n"/>
      <c r="BE408" s="4" t="n"/>
      <c r="BF408" s="4" t="n"/>
      <c r="BG408" s="4" t="n"/>
      <c r="BH408" s="4" t="n"/>
      <c r="BI408" s="4" t="n"/>
      <c r="BJ408" s="4" t="n"/>
      <c r="BK408" s="4" t="n"/>
      <c r="BL408" s="4" t="n"/>
      <c r="BM408" s="4" t="n"/>
      <c r="BN408" s="4" t="n"/>
      <c r="BO408" s="4" t="n"/>
      <c r="BP408" s="4" t="n"/>
      <c r="BQ408" s="4" t="n"/>
      <c r="BR408" s="4" t="n"/>
      <c r="BS408" s="4" t="n"/>
      <c r="BT408" s="4" t="n"/>
      <c r="BU408" s="4" t="n"/>
      <c r="BV408" s="4" t="n"/>
      <c r="BW408" s="4" t="n"/>
      <c r="BX408" s="4" t="n"/>
      <c r="BY408" s="4" t="n"/>
      <c r="BZ408" s="4" t="n"/>
      <c r="CA408" s="4" t="n"/>
      <c r="CB408" s="4" t="n"/>
      <c r="CC408" s="4" t="n"/>
      <c r="CD408" s="4" t="n"/>
      <c r="CE408" s="4" t="n"/>
      <c r="CF408" s="4" t="n"/>
      <c r="CG408" s="4" t="n"/>
      <c r="CH408" s="4" t="n"/>
      <c r="CI408" s="4" t="n"/>
      <c r="CJ408" s="4" t="n"/>
      <c r="CK408" s="4" t="n"/>
      <c r="CL408" s="4" t="n"/>
      <c r="CM408" s="4" t="n"/>
      <c r="CN408" s="4" t="n"/>
      <c r="CO408" s="4" t="n"/>
      <c r="CP408" s="4" t="n"/>
      <c r="CQ408" s="4" t="n"/>
      <c r="CR408" s="4" t="n"/>
      <c r="CS408" s="4" t="n"/>
      <c r="CT408" s="4" t="n"/>
      <c r="CU408" s="4" t="n"/>
      <c r="CV408" s="4" t="n"/>
      <c r="CW408" s="4" t="n"/>
      <c r="CX408" s="4" t="n"/>
      <c r="CY408" s="4" t="n"/>
      <c r="CZ408" s="4" t="n"/>
      <c r="DA408" s="4" t="n"/>
      <c r="DB408" s="4" t="n"/>
      <c r="DC408" s="4" t="n"/>
      <c r="DD408" s="4" t="n"/>
      <c r="DE408" s="4" t="n"/>
      <c r="DF408" s="4" t="n"/>
      <c r="DG408" s="4" t="n"/>
      <c r="DH408" s="4" t="n"/>
      <c r="DI408" s="4" t="n"/>
      <c r="DJ408" s="4" t="n"/>
      <c r="DK408" s="4" t="n"/>
      <c r="DL408" s="4" t="n"/>
      <c r="DM408" s="4" t="n"/>
      <c r="DN408" s="4" t="n"/>
      <c r="DO408" s="4" t="n"/>
      <c r="DP408" s="4" t="n"/>
      <c r="DQ408" s="4" t="n"/>
      <c r="DR408" s="4" t="n"/>
      <c r="DS408" s="4" t="n"/>
      <c r="DT408" s="4" t="n"/>
      <c r="DU408" s="4" t="n"/>
      <c r="DV408" s="4" t="n"/>
      <c r="DW408" s="4" t="n"/>
      <c r="DX408" s="4" t="n"/>
      <c r="DY408" s="4" t="n"/>
      <c r="DZ408" s="4" t="n"/>
      <c r="EA408" s="4" t="n"/>
      <c r="EB408" s="4" t="n"/>
      <c r="EC408" s="4" t="n"/>
      <c r="ED408" s="4" t="n"/>
      <c r="EE408" s="4" t="n"/>
      <c r="EF408" s="4" t="n"/>
      <c r="EG408" s="4" t="n"/>
      <c r="EH408" s="4" t="n"/>
      <c r="EI408" s="4" t="n"/>
      <c r="EJ408" s="4" t="n"/>
      <c r="EK408" s="4" t="n"/>
      <c r="EL408" s="4" t="n"/>
      <c r="EM408" s="4" t="n"/>
      <c r="EN408" s="4" t="n"/>
    </row>
    <row r="409" hidden="1" customFormat="1" s="6">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c r="AF409" s="4" t="n"/>
      <c r="AG409" s="4" t="n"/>
      <c r="AH409" s="4" t="n"/>
      <c r="AI409" s="4" t="n"/>
      <c r="AJ409" s="4" t="n"/>
      <c r="AK409" s="4" t="n"/>
      <c r="AL409" s="4" t="n"/>
      <c r="AM409" s="4" t="n"/>
      <c r="AN409" s="4" t="n"/>
      <c r="AO409" s="4" t="n"/>
      <c r="AP409" s="4" t="n"/>
      <c r="AQ409" s="4" t="n"/>
      <c r="AR409" s="4" t="n"/>
      <c r="AS409" s="4" t="n"/>
      <c r="AT409" s="4" t="n"/>
      <c r="AU409" s="4" t="n"/>
      <c r="AV409" s="4" t="n"/>
      <c r="AW409" s="4" t="n"/>
      <c r="AX409" s="4" t="n"/>
      <c r="AY409" s="4" t="n"/>
      <c r="AZ409" s="4" t="n"/>
      <c r="BA409" s="4" t="n"/>
      <c r="BB409" s="4" t="n"/>
      <c r="BC409" s="4" t="n"/>
      <c r="BD409" s="4" t="n"/>
      <c r="BE409" s="4" t="n"/>
      <c r="BF409" s="4" t="n"/>
      <c r="BG409" s="4" t="n"/>
      <c r="BH409" s="4" t="n"/>
      <c r="BI409" s="4" t="n"/>
      <c r="BJ409" s="4" t="n"/>
      <c r="BK409" s="4" t="n"/>
      <c r="BL409" s="4" t="n"/>
      <c r="BM409" s="4" t="n"/>
      <c r="BN409" s="4" t="n"/>
      <c r="BO409" s="4" t="n"/>
      <c r="BP409" s="4" t="n"/>
      <c r="BQ409" s="4" t="n"/>
      <c r="BR409" s="4" t="n"/>
      <c r="BS409" s="4" t="n"/>
      <c r="BT409" s="4" t="n"/>
      <c r="BU409" s="4" t="n"/>
      <c r="BV409" s="4" t="n"/>
      <c r="BW409" s="4" t="n"/>
      <c r="BX409" s="4" t="n"/>
      <c r="BY409" s="4" t="n"/>
      <c r="BZ409" s="4" t="n"/>
      <c r="CA409" s="4" t="n"/>
      <c r="CB409" s="4" t="n"/>
      <c r="CC409" s="4" t="n"/>
      <c r="CD409" s="4" t="n"/>
      <c r="CE409" s="4" t="n"/>
      <c r="CF409" s="4" t="n"/>
      <c r="CG409" s="4" t="n"/>
      <c r="CH409" s="4" t="n"/>
      <c r="CI409" s="4" t="n"/>
      <c r="CJ409" s="4" t="n"/>
      <c r="CK409" s="4" t="n"/>
      <c r="CL409" s="4" t="n"/>
      <c r="CM409" s="4" t="n"/>
      <c r="CN409" s="4" t="n"/>
      <c r="CO409" s="4" t="n"/>
      <c r="CP409" s="4" t="n"/>
      <c r="CQ409" s="4" t="n"/>
      <c r="CR409" s="4" t="n"/>
      <c r="CS409" s="4" t="n"/>
      <c r="CT409" s="4" t="n"/>
      <c r="CU409" s="4" t="n"/>
      <c r="CV409" s="4" t="n"/>
      <c r="CW409" s="4" t="n"/>
      <c r="CX409" s="4" t="n"/>
      <c r="CY409" s="4" t="n"/>
      <c r="CZ409" s="4" t="n"/>
      <c r="DA409" s="4" t="n"/>
      <c r="DB409" s="4" t="n"/>
      <c r="DC409" s="4" t="n"/>
      <c r="DD409" s="4" t="n"/>
      <c r="DE409" s="4" t="n"/>
      <c r="DF409" s="4" t="n"/>
      <c r="DG409" s="4" t="n"/>
      <c r="DH409" s="4" t="n"/>
      <c r="DI409" s="4" t="n"/>
      <c r="DJ409" s="4" t="n"/>
      <c r="DK409" s="4" t="n"/>
      <c r="DL409" s="4" t="n"/>
      <c r="DM409" s="4" t="n"/>
      <c r="DN409" s="4" t="n"/>
      <c r="DO409" s="4" t="n"/>
      <c r="DP409" s="4" t="n"/>
      <c r="DQ409" s="4" t="n"/>
      <c r="DR409" s="4" t="n"/>
      <c r="DS409" s="4" t="n"/>
      <c r="DT409" s="4" t="n"/>
      <c r="DU409" s="4" t="n"/>
      <c r="DV409" s="4" t="n"/>
      <c r="DW409" s="4" t="n"/>
      <c r="DX409" s="4" t="n"/>
      <c r="DY409" s="4" t="n"/>
      <c r="DZ409" s="4" t="n"/>
      <c r="EA409" s="4" t="n"/>
      <c r="EB409" s="4" t="n"/>
      <c r="EC409" s="4" t="n"/>
      <c r="ED409" s="4" t="n"/>
      <c r="EE409" s="4" t="n"/>
      <c r="EF409" s="4" t="n"/>
      <c r="EG409" s="4" t="n"/>
      <c r="EH409" s="4" t="n"/>
      <c r="EI409" s="4" t="n"/>
      <c r="EJ409" s="4" t="n"/>
      <c r="EK409" s="4" t="n"/>
      <c r="EL409" s="4" t="n"/>
      <c r="EM409" s="4" t="n"/>
      <c r="EN409" s="4" t="n"/>
    </row>
    <row r="410" hidden="1" customFormat="1" s="6">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c r="AC410" s="4" t="n"/>
      <c r="AD410" s="4" t="n"/>
      <c r="AE410" s="4" t="n"/>
      <c r="AF410" s="4" t="n"/>
      <c r="AG410" s="4" t="n"/>
      <c r="AH410" s="4" t="n"/>
      <c r="AI410" s="4" t="n"/>
      <c r="AJ410" s="4" t="n"/>
      <c r="AK410" s="4" t="n"/>
      <c r="AL410" s="4" t="n"/>
      <c r="AM410" s="4" t="n"/>
      <c r="AN410" s="4" t="n"/>
      <c r="AO410" s="4" t="n"/>
      <c r="AP410" s="4" t="n"/>
      <c r="AQ410" s="4" t="n"/>
      <c r="AR410" s="4" t="n"/>
      <c r="AS410" s="4" t="n"/>
      <c r="AT410" s="4" t="n"/>
      <c r="AU410" s="4" t="n"/>
      <c r="AV410" s="4" t="n"/>
      <c r="AW410" s="4" t="n"/>
      <c r="AX410" s="4" t="n"/>
      <c r="AY410" s="4" t="n"/>
      <c r="AZ410" s="4" t="n"/>
      <c r="BA410" s="4" t="n"/>
      <c r="BB410" s="4" t="n"/>
      <c r="BC410" s="4" t="n"/>
      <c r="BD410" s="4" t="n"/>
      <c r="BE410" s="4" t="n"/>
      <c r="BF410" s="4" t="n"/>
      <c r="BG410" s="4" t="n"/>
      <c r="BH410" s="4" t="n"/>
      <c r="BI410" s="4" t="n"/>
      <c r="BJ410" s="4" t="n"/>
      <c r="BK410" s="4" t="n"/>
      <c r="BL410" s="4" t="n"/>
      <c r="BM410" s="4" t="n"/>
      <c r="BN410" s="4" t="n"/>
      <c r="BO410" s="4" t="n"/>
      <c r="BP410" s="4" t="n"/>
      <c r="BQ410" s="4" t="n"/>
      <c r="BR410" s="4" t="n"/>
      <c r="BS410" s="4" t="n"/>
      <c r="BT410" s="4" t="n"/>
      <c r="BU410" s="4" t="n"/>
      <c r="BV410" s="4" t="n"/>
      <c r="BW410" s="4" t="n"/>
      <c r="BX410" s="4" t="n"/>
      <c r="BY410" s="4" t="n"/>
      <c r="BZ410" s="4" t="n"/>
      <c r="CA410" s="4" t="n"/>
      <c r="CB410" s="4" t="n"/>
      <c r="CC410" s="4" t="n"/>
      <c r="CD410" s="4" t="n"/>
      <c r="CE410" s="4" t="n"/>
      <c r="CF410" s="4" t="n"/>
      <c r="CG410" s="4" t="n"/>
      <c r="CH410" s="4" t="n"/>
      <c r="CI410" s="4" t="n"/>
      <c r="CJ410" s="4" t="n"/>
      <c r="CK410" s="4" t="n"/>
      <c r="CL410" s="4" t="n"/>
      <c r="CM410" s="4" t="n"/>
      <c r="CN410" s="4" t="n"/>
      <c r="CO410" s="4" t="n"/>
      <c r="CP410" s="4" t="n"/>
      <c r="CQ410" s="4" t="n"/>
      <c r="CR410" s="4" t="n"/>
      <c r="CS410" s="4" t="n"/>
      <c r="CT410" s="4" t="n"/>
      <c r="CU410" s="4" t="n"/>
      <c r="CV410" s="4" t="n"/>
      <c r="CW410" s="4" t="n"/>
      <c r="CX410" s="4" t="n"/>
      <c r="CY410" s="4" t="n"/>
      <c r="CZ410" s="4" t="n"/>
      <c r="DA410" s="4" t="n"/>
      <c r="DB410" s="4" t="n"/>
      <c r="DC410" s="4" t="n"/>
      <c r="DD410" s="4" t="n"/>
      <c r="DE410" s="4" t="n"/>
      <c r="DF410" s="4" t="n"/>
      <c r="DG410" s="4" t="n"/>
      <c r="DH410" s="4" t="n"/>
      <c r="DI410" s="4" t="n"/>
      <c r="DJ410" s="4" t="n"/>
      <c r="DK410" s="4" t="n"/>
      <c r="DL410" s="4" t="n"/>
      <c r="DM410" s="4" t="n"/>
      <c r="DN410" s="4" t="n"/>
      <c r="DO410" s="4" t="n"/>
      <c r="DP410" s="4" t="n"/>
      <c r="DQ410" s="4" t="n"/>
      <c r="DR410" s="4" t="n"/>
      <c r="DS410" s="4" t="n"/>
      <c r="DT410" s="4" t="n"/>
      <c r="DU410" s="4" t="n"/>
      <c r="DV410" s="4" t="n"/>
      <c r="DW410" s="4" t="n"/>
      <c r="DX410" s="4" t="n"/>
      <c r="DY410" s="4" t="n"/>
      <c r="DZ410" s="4" t="n"/>
      <c r="EA410" s="4" t="n"/>
      <c r="EB410" s="4" t="n"/>
      <c r="EC410" s="4" t="n"/>
      <c r="ED410" s="4" t="n"/>
      <c r="EE410" s="4" t="n"/>
      <c r="EF410" s="4" t="n"/>
      <c r="EG410" s="4" t="n"/>
      <c r="EH410" s="4" t="n"/>
      <c r="EI410" s="4" t="n"/>
      <c r="EJ410" s="4" t="n"/>
      <c r="EK410" s="4" t="n"/>
      <c r="EL410" s="4" t="n"/>
      <c r="EM410" s="4" t="n"/>
      <c r="EN410" s="4" t="n"/>
    </row>
    <row r="411" hidden="1" customFormat="1" s="6">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c r="AE411" s="4" t="n"/>
      <c r="AF411" s="4" t="n"/>
      <c r="AG411" s="4" t="n"/>
      <c r="AH411" s="4" t="n"/>
      <c r="AI411" s="4" t="n"/>
      <c r="AJ411" s="4" t="n"/>
      <c r="AK411" s="4" t="n"/>
      <c r="AL411" s="4" t="n"/>
      <c r="AM411" s="4" t="n"/>
      <c r="AN411" s="4" t="n"/>
      <c r="AO411" s="4" t="n"/>
      <c r="AP411" s="4" t="n"/>
      <c r="AQ411" s="4" t="n"/>
      <c r="AR411" s="4" t="n"/>
      <c r="AS411" s="4" t="n"/>
      <c r="AT411" s="4" t="n"/>
      <c r="AU411" s="4" t="n"/>
      <c r="AV411" s="4" t="n"/>
      <c r="AW411" s="4" t="n"/>
      <c r="AX411" s="4" t="n"/>
      <c r="AY411" s="4" t="n"/>
      <c r="AZ411" s="4" t="n"/>
      <c r="BA411" s="4" t="n"/>
      <c r="BB411" s="4" t="n"/>
      <c r="BC411" s="4" t="n"/>
      <c r="BD411" s="4" t="n"/>
      <c r="BE411" s="4" t="n"/>
      <c r="BF411" s="4" t="n"/>
      <c r="BG411" s="4" t="n"/>
      <c r="BH411" s="4" t="n"/>
      <c r="BI411" s="4" t="n"/>
      <c r="BJ411" s="4" t="n"/>
      <c r="BK411" s="4" t="n"/>
      <c r="BL411" s="4" t="n"/>
      <c r="BM411" s="4" t="n"/>
      <c r="BN411" s="4" t="n"/>
      <c r="BO411" s="4" t="n"/>
      <c r="BP411" s="4" t="n"/>
      <c r="BQ411" s="4" t="n"/>
      <c r="BR411" s="4" t="n"/>
      <c r="BS411" s="4" t="n"/>
      <c r="BT411" s="4" t="n"/>
      <c r="BU411" s="4" t="n"/>
      <c r="BV411" s="4" t="n"/>
      <c r="BW411" s="4" t="n"/>
      <c r="BX411" s="4" t="n"/>
      <c r="BY411" s="4" t="n"/>
      <c r="BZ411" s="4" t="n"/>
      <c r="CA411" s="4" t="n"/>
      <c r="CB411" s="4" t="n"/>
      <c r="CC411" s="4" t="n"/>
      <c r="CD411" s="4" t="n"/>
      <c r="CE411" s="4" t="n"/>
      <c r="CF411" s="4" t="n"/>
      <c r="CG411" s="4" t="n"/>
      <c r="CH411" s="4" t="n"/>
      <c r="CI411" s="4" t="n"/>
      <c r="CJ411" s="4" t="n"/>
      <c r="CK411" s="4" t="n"/>
      <c r="CL411" s="4" t="n"/>
      <c r="CM411" s="4" t="n"/>
      <c r="CN411" s="4" t="n"/>
      <c r="CO411" s="4" t="n"/>
      <c r="CP411" s="4" t="n"/>
      <c r="CQ411" s="4" t="n"/>
      <c r="CR411" s="4" t="n"/>
      <c r="CS411" s="4" t="n"/>
      <c r="CT411" s="4" t="n"/>
      <c r="CU411" s="4" t="n"/>
      <c r="CV411" s="4" t="n"/>
      <c r="CW411" s="4" t="n"/>
      <c r="CX411" s="4" t="n"/>
      <c r="CY411" s="4" t="n"/>
      <c r="CZ411" s="4" t="n"/>
      <c r="DA411" s="4" t="n"/>
      <c r="DB411" s="4" t="n"/>
      <c r="DC411" s="4" t="n"/>
      <c r="DD411" s="4" t="n"/>
      <c r="DE411" s="4" t="n"/>
      <c r="DF411" s="4" t="n"/>
      <c r="DG411" s="4" t="n"/>
      <c r="DH411" s="4" t="n"/>
      <c r="DI411" s="4" t="n"/>
      <c r="DJ411" s="4" t="n"/>
      <c r="DK411" s="4" t="n"/>
      <c r="DL411" s="4" t="n"/>
      <c r="DM411" s="4" t="n"/>
      <c r="DN411" s="4" t="n"/>
      <c r="DO411" s="4" t="n"/>
      <c r="DP411" s="4" t="n"/>
      <c r="DQ411" s="4" t="n"/>
      <c r="DR411" s="4" t="n"/>
      <c r="DS411" s="4" t="n"/>
      <c r="DT411" s="4" t="n"/>
      <c r="DU411" s="4" t="n"/>
      <c r="DV411" s="4" t="n"/>
      <c r="DW411" s="4" t="n"/>
      <c r="DX411" s="4" t="n"/>
      <c r="DY411" s="4" t="n"/>
      <c r="DZ411" s="4" t="n"/>
      <c r="EA411" s="4" t="n"/>
      <c r="EB411" s="4" t="n"/>
      <c r="EC411" s="4" t="n"/>
      <c r="ED411" s="4" t="n"/>
      <c r="EE411" s="4" t="n"/>
      <c r="EF411" s="4" t="n"/>
      <c r="EG411" s="4" t="n"/>
      <c r="EH411" s="4" t="n"/>
      <c r="EI411" s="4" t="n"/>
      <c r="EJ411" s="4" t="n"/>
      <c r="EK411" s="4" t="n"/>
      <c r="EL411" s="4" t="n"/>
      <c r="EM411" s="4" t="n"/>
      <c r="EN411" s="4" t="n"/>
    </row>
    <row r="412" hidden="1" customFormat="1" s="6">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c r="AE412" s="4" t="n"/>
      <c r="AF412" s="4" t="n"/>
      <c r="AG412" s="4" t="n"/>
      <c r="AH412" s="4" t="n"/>
      <c r="AI412" s="4" t="n"/>
      <c r="AJ412" s="4" t="n"/>
      <c r="AK412" s="4" t="n"/>
      <c r="AL412" s="4" t="n"/>
      <c r="AM412" s="4" t="n"/>
      <c r="AN412" s="4" t="n"/>
      <c r="AO412" s="4" t="n"/>
      <c r="AP412" s="4" t="n"/>
      <c r="AQ412" s="4" t="n"/>
      <c r="AR412" s="4" t="n"/>
      <c r="AS412" s="4" t="n"/>
      <c r="AT412" s="4" t="n"/>
      <c r="AU412" s="4" t="n"/>
      <c r="AV412" s="4" t="n"/>
      <c r="AW412" s="4" t="n"/>
      <c r="AX412" s="4" t="n"/>
      <c r="AY412" s="4" t="n"/>
      <c r="AZ412" s="4" t="n"/>
      <c r="BA412" s="4" t="n"/>
      <c r="BB412" s="4" t="n"/>
      <c r="BC412" s="4" t="n"/>
      <c r="BD412" s="4" t="n"/>
      <c r="BE412" s="4" t="n"/>
      <c r="BF412" s="4" t="n"/>
      <c r="BG412" s="4" t="n"/>
      <c r="BH412" s="4" t="n"/>
      <c r="BI412" s="4" t="n"/>
      <c r="BJ412" s="4" t="n"/>
      <c r="BK412" s="4" t="n"/>
      <c r="BL412" s="4" t="n"/>
      <c r="BM412" s="4" t="n"/>
      <c r="BN412" s="4" t="n"/>
      <c r="BO412" s="4" t="n"/>
      <c r="BP412" s="4" t="n"/>
      <c r="BQ412" s="4" t="n"/>
      <c r="BR412" s="4" t="n"/>
      <c r="BS412" s="4" t="n"/>
      <c r="BT412" s="4" t="n"/>
      <c r="BU412" s="4" t="n"/>
      <c r="BV412" s="4" t="n"/>
      <c r="BW412" s="4" t="n"/>
      <c r="BX412" s="4" t="n"/>
      <c r="BY412" s="4" t="n"/>
      <c r="BZ412" s="4" t="n"/>
      <c r="CA412" s="4" t="n"/>
      <c r="CB412" s="4" t="n"/>
      <c r="CC412" s="4" t="n"/>
      <c r="CD412" s="4" t="n"/>
      <c r="CE412" s="4" t="n"/>
      <c r="CF412" s="4" t="n"/>
      <c r="CG412" s="4" t="n"/>
      <c r="CH412" s="4" t="n"/>
      <c r="CI412" s="4" t="n"/>
      <c r="CJ412" s="4" t="n"/>
      <c r="CK412" s="4" t="n"/>
      <c r="CL412" s="4" t="n"/>
      <c r="CM412" s="4" t="n"/>
      <c r="CN412" s="4" t="n"/>
      <c r="CO412" s="4" t="n"/>
      <c r="CP412" s="4" t="n"/>
      <c r="CQ412" s="4" t="n"/>
      <c r="CR412" s="4" t="n"/>
      <c r="CS412" s="4" t="n"/>
      <c r="CT412" s="4" t="n"/>
      <c r="CU412" s="4" t="n"/>
      <c r="CV412" s="4" t="n"/>
      <c r="CW412" s="4" t="n"/>
      <c r="CX412" s="4" t="n"/>
      <c r="CY412" s="4" t="n"/>
      <c r="CZ412" s="4" t="n"/>
      <c r="DA412" s="4" t="n"/>
      <c r="DB412" s="4" t="n"/>
      <c r="DC412" s="4" t="n"/>
      <c r="DD412" s="4" t="n"/>
      <c r="DE412" s="4" t="n"/>
      <c r="DF412" s="4" t="n"/>
      <c r="DG412" s="4" t="n"/>
      <c r="DH412" s="4" t="n"/>
      <c r="DI412" s="4" t="n"/>
      <c r="DJ412" s="4" t="n"/>
      <c r="DK412" s="4" t="n"/>
      <c r="DL412" s="4" t="n"/>
      <c r="DM412" s="4" t="n"/>
      <c r="DN412" s="4" t="n"/>
      <c r="DO412" s="4" t="n"/>
      <c r="DP412" s="4" t="n"/>
      <c r="DQ412" s="4" t="n"/>
      <c r="DR412" s="4" t="n"/>
      <c r="DS412" s="4" t="n"/>
      <c r="DT412" s="4" t="n"/>
      <c r="DU412" s="4" t="n"/>
      <c r="DV412" s="4" t="n"/>
      <c r="DW412" s="4" t="n"/>
      <c r="DX412" s="4" t="n"/>
      <c r="DY412" s="4" t="n"/>
      <c r="DZ412" s="4" t="n"/>
      <c r="EA412" s="4" t="n"/>
      <c r="EB412" s="4" t="n"/>
      <c r="EC412" s="4" t="n"/>
      <c r="ED412" s="4" t="n"/>
      <c r="EE412" s="4" t="n"/>
      <c r="EF412" s="4" t="n"/>
      <c r="EG412" s="4" t="n"/>
      <c r="EH412" s="4" t="n"/>
      <c r="EI412" s="4" t="n"/>
      <c r="EJ412" s="4" t="n"/>
      <c r="EK412" s="4" t="n"/>
      <c r="EL412" s="4" t="n"/>
      <c r="EM412" s="4" t="n"/>
      <c r="EN412" s="4" t="n"/>
    </row>
    <row r="413" hidden="1" customFormat="1" s="6">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c r="AD413" s="4" t="n"/>
      <c r="AE413" s="4" t="n"/>
      <c r="AF413" s="4" t="n"/>
      <c r="AG413" s="4" t="n"/>
      <c r="AH413" s="4" t="n"/>
      <c r="AI413" s="4" t="n"/>
      <c r="AJ413" s="4" t="n"/>
      <c r="AK413" s="4" t="n"/>
      <c r="AL413" s="4" t="n"/>
      <c r="AM413" s="4" t="n"/>
      <c r="AN413" s="4" t="n"/>
      <c r="AO413" s="4" t="n"/>
      <c r="AP413" s="4" t="n"/>
      <c r="AQ413" s="4" t="n"/>
      <c r="AR413" s="4" t="n"/>
      <c r="AS413" s="4" t="n"/>
      <c r="AT413" s="4" t="n"/>
      <c r="AU413" s="4" t="n"/>
      <c r="AV413" s="4" t="n"/>
      <c r="AW413" s="4" t="n"/>
      <c r="AX413" s="4" t="n"/>
      <c r="AY413" s="4" t="n"/>
      <c r="AZ413" s="4" t="n"/>
      <c r="BA413" s="4" t="n"/>
      <c r="BB413" s="4" t="n"/>
      <c r="BC413" s="4" t="n"/>
      <c r="BD413" s="4" t="n"/>
      <c r="BE413" s="4" t="n"/>
      <c r="BF413" s="4" t="n"/>
      <c r="BG413" s="4" t="n"/>
      <c r="BH413" s="4" t="n"/>
      <c r="BI413" s="4" t="n"/>
      <c r="BJ413" s="4" t="n"/>
      <c r="BK413" s="4" t="n"/>
      <c r="BL413" s="4" t="n"/>
      <c r="BM413" s="4" t="n"/>
      <c r="BN413" s="4" t="n"/>
      <c r="BO413" s="4" t="n"/>
      <c r="BP413" s="4" t="n"/>
      <c r="BQ413" s="4" t="n"/>
      <c r="BR413" s="4" t="n"/>
      <c r="BS413" s="4" t="n"/>
      <c r="BT413" s="4" t="n"/>
      <c r="BU413" s="4" t="n"/>
      <c r="BV413" s="4" t="n"/>
      <c r="BW413" s="4" t="n"/>
      <c r="BX413" s="4" t="n"/>
      <c r="BY413" s="4" t="n"/>
      <c r="BZ413" s="4" t="n"/>
      <c r="CA413" s="4" t="n"/>
      <c r="CB413" s="4" t="n"/>
      <c r="CC413" s="4" t="n"/>
      <c r="CD413" s="4" t="n"/>
      <c r="CE413" s="4" t="n"/>
      <c r="CF413" s="4" t="n"/>
      <c r="CG413" s="4" t="n"/>
      <c r="CH413" s="4" t="n"/>
      <c r="CI413" s="4" t="n"/>
      <c r="CJ413" s="4" t="n"/>
      <c r="CK413" s="4" t="n"/>
      <c r="CL413" s="4" t="n"/>
      <c r="CM413" s="4" t="n"/>
      <c r="CN413" s="4" t="n"/>
      <c r="CO413" s="4" t="n"/>
      <c r="CP413" s="4" t="n"/>
      <c r="CQ413" s="4" t="n"/>
      <c r="CR413" s="4" t="n"/>
      <c r="CS413" s="4" t="n"/>
      <c r="CT413" s="4" t="n"/>
      <c r="CU413" s="4" t="n"/>
      <c r="CV413" s="4" t="n"/>
      <c r="CW413" s="4" t="n"/>
      <c r="CX413" s="4" t="n"/>
      <c r="CY413" s="4" t="n"/>
      <c r="CZ413" s="4" t="n"/>
      <c r="DA413" s="4" t="n"/>
      <c r="DB413" s="4" t="n"/>
      <c r="DC413" s="4" t="n"/>
      <c r="DD413" s="4" t="n"/>
      <c r="DE413" s="4" t="n"/>
      <c r="DF413" s="4" t="n"/>
      <c r="DG413" s="4" t="n"/>
      <c r="DH413" s="4" t="n"/>
      <c r="DI413" s="4" t="n"/>
      <c r="DJ413" s="4" t="n"/>
      <c r="DK413" s="4" t="n"/>
      <c r="DL413" s="4" t="n"/>
      <c r="DM413" s="4" t="n"/>
      <c r="DN413" s="4" t="n"/>
      <c r="DO413" s="4" t="n"/>
      <c r="DP413" s="4" t="n"/>
      <c r="DQ413" s="4" t="n"/>
      <c r="DR413" s="4" t="n"/>
      <c r="DS413" s="4" t="n"/>
      <c r="DT413" s="4" t="n"/>
      <c r="DU413" s="4" t="n"/>
      <c r="DV413" s="4" t="n"/>
      <c r="DW413" s="4" t="n"/>
      <c r="DX413" s="4" t="n"/>
      <c r="DY413" s="4" t="n"/>
      <c r="DZ413" s="4" t="n"/>
      <c r="EA413" s="4" t="n"/>
      <c r="EB413" s="4" t="n"/>
      <c r="EC413" s="4" t="n"/>
      <c r="ED413" s="4" t="n"/>
      <c r="EE413" s="4" t="n"/>
      <c r="EF413" s="4" t="n"/>
      <c r="EG413" s="4" t="n"/>
      <c r="EH413" s="4" t="n"/>
      <c r="EI413" s="4" t="n"/>
      <c r="EJ413" s="4" t="n"/>
      <c r="EK413" s="4" t="n"/>
      <c r="EL413" s="4" t="n"/>
      <c r="EM413" s="4" t="n"/>
      <c r="EN413" s="4" t="n"/>
    </row>
    <row r="414" hidden="1" customFormat="1" s="6">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c r="AE414" s="4" t="n"/>
      <c r="AF414" s="4" t="n"/>
      <c r="AG414" s="4" t="n"/>
      <c r="AH414" s="4" t="n"/>
      <c r="AI414" s="4" t="n"/>
      <c r="AJ414" s="4" t="n"/>
      <c r="AK414" s="4" t="n"/>
      <c r="AL414" s="4" t="n"/>
      <c r="AM414" s="4" t="n"/>
      <c r="AN414" s="4" t="n"/>
      <c r="AO414" s="4" t="n"/>
      <c r="AP414" s="4" t="n"/>
      <c r="AQ414" s="4" t="n"/>
      <c r="AR414" s="4" t="n"/>
      <c r="AS414" s="4" t="n"/>
      <c r="AT414" s="4" t="n"/>
      <c r="AU414" s="4" t="n"/>
      <c r="AV414" s="4" t="n"/>
      <c r="AW414" s="4" t="n"/>
      <c r="AX414" s="4" t="n"/>
      <c r="AY414" s="4" t="n"/>
      <c r="AZ414" s="4" t="n"/>
      <c r="BA414" s="4" t="n"/>
      <c r="BB414" s="4" t="n"/>
      <c r="BC414" s="4" t="n"/>
      <c r="BD414" s="4" t="n"/>
      <c r="BE414" s="4" t="n"/>
      <c r="BF414" s="4" t="n"/>
      <c r="BG414" s="4" t="n"/>
      <c r="BH414" s="4" t="n"/>
      <c r="BI414" s="4" t="n"/>
      <c r="BJ414" s="4" t="n"/>
      <c r="BK414" s="4" t="n"/>
      <c r="BL414" s="4" t="n"/>
      <c r="BM414" s="4" t="n"/>
      <c r="BN414" s="4" t="n"/>
      <c r="BO414" s="4" t="n"/>
      <c r="BP414" s="4" t="n"/>
      <c r="BQ414" s="4" t="n"/>
      <c r="BR414" s="4" t="n"/>
      <c r="BS414" s="4" t="n"/>
      <c r="BT414" s="4" t="n"/>
      <c r="BU414" s="4" t="n"/>
      <c r="BV414" s="4" t="n"/>
      <c r="BW414" s="4" t="n"/>
      <c r="BX414" s="4" t="n"/>
      <c r="BY414" s="4" t="n"/>
      <c r="BZ414" s="4" t="n"/>
      <c r="CA414" s="4" t="n"/>
      <c r="CB414" s="4" t="n"/>
      <c r="CC414" s="4" t="n"/>
      <c r="CD414" s="4" t="n"/>
      <c r="CE414" s="4" t="n"/>
      <c r="CF414" s="4" t="n"/>
      <c r="CG414" s="4" t="n"/>
      <c r="CH414" s="4" t="n"/>
      <c r="CI414" s="4" t="n"/>
      <c r="CJ414" s="4" t="n"/>
      <c r="CK414" s="4" t="n"/>
      <c r="CL414" s="4" t="n"/>
      <c r="CM414" s="4" t="n"/>
      <c r="CN414" s="4" t="n"/>
      <c r="CO414" s="4" t="n"/>
      <c r="CP414" s="4" t="n"/>
      <c r="CQ414" s="4" t="n"/>
      <c r="CR414" s="4" t="n"/>
      <c r="CS414" s="4" t="n"/>
      <c r="CT414" s="4" t="n"/>
      <c r="CU414" s="4" t="n"/>
      <c r="CV414" s="4" t="n"/>
      <c r="CW414" s="4" t="n"/>
      <c r="CX414" s="4" t="n"/>
      <c r="CY414" s="4" t="n"/>
      <c r="CZ414" s="4" t="n"/>
      <c r="DA414" s="4" t="n"/>
      <c r="DB414" s="4" t="n"/>
      <c r="DC414" s="4" t="n"/>
      <c r="DD414" s="4" t="n"/>
      <c r="DE414" s="4" t="n"/>
      <c r="DF414" s="4" t="n"/>
      <c r="DG414" s="4" t="n"/>
      <c r="DH414" s="4" t="n"/>
      <c r="DI414" s="4" t="n"/>
      <c r="DJ414" s="4" t="n"/>
      <c r="DK414" s="4" t="n"/>
      <c r="DL414" s="4" t="n"/>
      <c r="DM414" s="4" t="n"/>
      <c r="DN414" s="4" t="n"/>
      <c r="DO414" s="4" t="n"/>
      <c r="DP414" s="4" t="n"/>
      <c r="DQ414" s="4" t="n"/>
      <c r="DR414" s="4" t="n"/>
      <c r="DS414" s="4" t="n"/>
      <c r="DT414" s="4" t="n"/>
      <c r="DU414" s="4" t="n"/>
      <c r="DV414" s="4" t="n"/>
      <c r="DW414" s="4" t="n"/>
      <c r="DX414" s="4" t="n"/>
      <c r="DY414" s="4" t="n"/>
      <c r="DZ414" s="4" t="n"/>
      <c r="EA414" s="4" t="n"/>
      <c r="EB414" s="4" t="n"/>
      <c r="EC414" s="4" t="n"/>
      <c r="ED414" s="4" t="n"/>
      <c r="EE414" s="4" t="n"/>
      <c r="EF414" s="4" t="n"/>
      <c r="EG414" s="4" t="n"/>
      <c r="EH414" s="4" t="n"/>
      <c r="EI414" s="4" t="n"/>
      <c r="EJ414" s="4" t="n"/>
      <c r="EK414" s="4" t="n"/>
      <c r="EL414" s="4" t="n"/>
      <c r="EM414" s="4" t="n"/>
      <c r="EN414" s="4" t="n"/>
    </row>
    <row r="415" hidden="1" customFormat="1" s="6">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c r="AD415" s="4" t="n"/>
      <c r="AE415" s="4" t="n"/>
      <c r="AF415" s="4" t="n"/>
      <c r="AG415" s="4" t="n"/>
      <c r="AH415" s="4" t="n"/>
      <c r="AI415" s="4" t="n"/>
      <c r="AJ415" s="4" t="n"/>
      <c r="AK415" s="4" t="n"/>
      <c r="AL415" s="4" t="n"/>
      <c r="AM415" s="4" t="n"/>
      <c r="AN415" s="4" t="n"/>
      <c r="AO415" s="4" t="n"/>
      <c r="AP415" s="4" t="n"/>
      <c r="AQ415" s="4" t="n"/>
      <c r="AR415" s="4" t="n"/>
      <c r="AS415" s="4" t="n"/>
      <c r="AT415" s="4" t="n"/>
      <c r="AU415" s="4" t="n"/>
      <c r="AV415" s="4" t="n"/>
      <c r="AW415" s="4" t="n"/>
      <c r="AX415" s="4" t="n"/>
      <c r="AY415" s="4" t="n"/>
      <c r="AZ415" s="4" t="n"/>
      <c r="BA415" s="4" t="n"/>
      <c r="BB415" s="4" t="n"/>
      <c r="BC415" s="4" t="n"/>
      <c r="BD415" s="4" t="n"/>
      <c r="BE415" s="4" t="n"/>
      <c r="BF415" s="4" t="n"/>
      <c r="BG415" s="4" t="n"/>
      <c r="BH415" s="4" t="n"/>
      <c r="BI415" s="4" t="n"/>
      <c r="BJ415" s="4" t="n"/>
      <c r="BK415" s="4" t="n"/>
      <c r="BL415" s="4" t="n"/>
      <c r="BM415" s="4" t="n"/>
      <c r="BN415" s="4" t="n"/>
      <c r="BO415" s="4" t="n"/>
      <c r="BP415" s="4" t="n"/>
      <c r="BQ415" s="4" t="n"/>
      <c r="BR415" s="4" t="n"/>
      <c r="BS415" s="4" t="n"/>
      <c r="BT415" s="4" t="n"/>
      <c r="BU415" s="4" t="n"/>
      <c r="BV415" s="4" t="n"/>
      <c r="BW415" s="4" t="n"/>
      <c r="BX415" s="4" t="n"/>
      <c r="BY415" s="4" t="n"/>
      <c r="BZ415" s="4" t="n"/>
      <c r="CA415" s="4" t="n"/>
      <c r="CB415" s="4" t="n"/>
      <c r="CC415" s="4" t="n"/>
      <c r="CD415" s="4" t="n"/>
      <c r="CE415" s="4" t="n"/>
      <c r="CF415" s="4" t="n"/>
      <c r="CG415" s="4" t="n"/>
      <c r="CH415" s="4" t="n"/>
      <c r="CI415" s="4" t="n"/>
      <c r="CJ415" s="4" t="n"/>
      <c r="CK415" s="4" t="n"/>
      <c r="CL415" s="4" t="n"/>
      <c r="CM415" s="4" t="n"/>
      <c r="CN415" s="4" t="n"/>
      <c r="CO415" s="4" t="n"/>
      <c r="CP415" s="4" t="n"/>
      <c r="CQ415" s="4" t="n"/>
      <c r="CR415" s="4" t="n"/>
      <c r="CS415" s="4" t="n"/>
      <c r="CT415" s="4" t="n"/>
      <c r="CU415" s="4" t="n"/>
      <c r="CV415" s="4" t="n"/>
      <c r="CW415" s="4" t="n"/>
      <c r="CX415" s="4" t="n"/>
      <c r="CY415" s="4" t="n"/>
      <c r="CZ415" s="4" t="n"/>
      <c r="DA415" s="4" t="n"/>
      <c r="DB415" s="4" t="n"/>
      <c r="DC415" s="4" t="n"/>
      <c r="DD415" s="4" t="n"/>
      <c r="DE415" s="4" t="n"/>
      <c r="DF415" s="4" t="n"/>
      <c r="DG415" s="4" t="n"/>
      <c r="DH415" s="4" t="n"/>
      <c r="DI415" s="4" t="n"/>
      <c r="DJ415" s="4" t="n"/>
      <c r="DK415" s="4" t="n"/>
      <c r="DL415" s="4" t="n"/>
      <c r="DM415" s="4" t="n"/>
      <c r="DN415" s="4" t="n"/>
      <c r="DO415" s="4" t="n"/>
      <c r="DP415" s="4" t="n"/>
      <c r="DQ415" s="4" t="n"/>
      <c r="DR415" s="4" t="n"/>
      <c r="DS415" s="4" t="n"/>
      <c r="DT415" s="4" t="n"/>
      <c r="DU415" s="4" t="n"/>
      <c r="DV415" s="4" t="n"/>
      <c r="DW415" s="4" t="n"/>
      <c r="DX415" s="4" t="n"/>
      <c r="DY415" s="4" t="n"/>
      <c r="DZ415" s="4" t="n"/>
      <c r="EA415" s="4" t="n"/>
      <c r="EB415" s="4" t="n"/>
      <c r="EC415" s="4" t="n"/>
      <c r="ED415" s="4" t="n"/>
      <c r="EE415" s="4" t="n"/>
      <c r="EF415" s="4" t="n"/>
      <c r="EG415" s="4" t="n"/>
      <c r="EH415" s="4" t="n"/>
      <c r="EI415" s="4" t="n"/>
      <c r="EJ415" s="4" t="n"/>
      <c r="EK415" s="4" t="n"/>
      <c r="EL415" s="4" t="n"/>
      <c r="EM415" s="4" t="n"/>
      <c r="EN415" s="4" t="n"/>
    </row>
    <row r="416" hidden="1" customFormat="1" s="6">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c r="AE416" s="4" t="n"/>
      <c r="AF416" s="4" t="n"/>
      <c r="AG416" s="4" t="n"/>
      <c r="AH416" s="4" t="n"/>
      <c r="AI416" s="4" t="n"/>
      <c r="AJ416" s="4" t="n"/>
      <c r="AK416" s="4" t="n"/>
      <c r="AL416" s="4" t="n"/>
      <c r="AM416" s="4" t="n"/>
      <c r="AN416" s="4" t="n"/>
      <c r="AO416" s="4" t="n"/>
      <c r="AP416" s="4" t="n"/>
      <c r="AQ416" s="4" t="n"/>
      <c r="AR416" s="4" t="n"/>
      <c r="AS416" s="4" t="n"/>
      <c r="AT416" s="4" t="n"/>
      <c r="AU416" s="4" t="n"/>
      <c r="AV416" s="4" t="n"/>
      <c r="AW416" s="4" t="n"/>
      <c r="AX416" s="4" t="n"/>
      <c r="AY416" s="4" t="n"/>
      <c r="AZ416" s="4" t="n"/>
      <c r="BA416" s="4" t="n"/>
      <c r="BB416" s="4" t="n"/>
      <c r="BC416" s="4" t="n"/>
      <c r="BD416" s="4" t="n"/>
      <c r="BE416" s="4" t="n"/>
      <c r="BF416" s="4" t="n"/>
      <c r="BG416" s="4" t="n"/>
      <c r="BH416" s="4" t="n"/>
      <c r="BI416" s="4" t="n"/>
      <c r="BJ416" s="4" t="n"/>
      <c r="BK416" s="4" t="n"/>
      <c r="BL416" s="4" t="n"/>
      <c r="BM416" s="4" t="n"/>
      <c r="BN416" s="4" t="n"/>
      <c r="BO416" s="4" t="n"/>
      <c r="BP416" s="4" t="n"/>
      <c r="BQ416" s="4" t="n"/>
      <c r="BR416" s="4" t="n"/>
      <c r="BS416" s="4" t="n"/>
      <c r="BT416" s="4" t="n"/>
      <c r="BU416" s="4" t="n"/>
      <c r="BV416" s="4" t="n"/>
      <c r="BW416" s="4" t="n"/>
      <c r="BX416" s="4" t="n"/>
      <c r="BY416" s="4" t="n"/>
      <c r="BZ416" s="4" t="n"/>
      <c r="CA416" s="4" t="n"/>
      <c r="CB416" s="4" t="n"/>
      <c r="CC416" s="4" t="n"/>
      <c r="CD416" s="4" t="n"/>
      <c r="CE416" s="4" t="n"/>
      <c r="CF416" s="4" t="n"/>
      <c r="CG416" s="4" t="n"/>
      <c r="CH416" s="4" t="n"/>
      <c r="CI416" s="4" t="n"/>
      <c r="CJ416" s="4" t="n"/>
      <c r="CK416" s="4" t="n"/>
      <c r="CL416" s="4" t="n"/>
      <c r="CM416" s="4" t="n"/>
      <c r="CN416" s="4" t="n"/>
      <c r="CO416" s="4" t="n"/>
      <c r="CP416" s="4" t="n"/>
      <c r="CQ416" s="4" t="n"/>
      <c r="CR416" s="4" t="n"/>
      <c r="CS416" s="4" t="n"/>
      <c r="CT416" s="4" t="n"/>
      <c r="CU416" s="4" t="n"/>
      <c r="CV416" s="4" t="n"/>
      <c r="CW416" s="4" t="n"/>
      <c r="CX416" s="4" t="n"/>
      <c r="CY416" s="4" t="n"/>
      <c r="CZ416" s="4" t="n"/>
      <c r="DA416" s="4" t="n"/>
      <c r="DB416" s="4" t="n"/>
      <c r="DC416" s="4" t="n"/>
      <c r="DD416" s="4" t="n"/>
      <c r="DE416" s="4" t="n"/>
      <c r="DF416" s="4" t="n"/>
      <c r="DG416" s="4" t="n"/>
      <c r="DH416" s="4" t="n"/>
      <c r="DI416" s="4" t="n"/>
      <c r="DJ416" s="4" t="n"/>
      <c r="DK416" s="4" t="n"/>
      <c r="DL416" s="4" t="n"/>
      <c r="DM416" s="4" t="n"/>
      <c r="DN416" s="4" t="n"/>
      <c r="DO416" s="4" t="n"/>
      <c r="DP416" s="4" t="n"/>
      <c r="DQ416" s="4" t="n"/>
      <c r="DR416" s="4" t="n"/>
      <c r="DS416" s="4" t="n"/>
      <c r="DT416" s="4" t="n"/>
      <c r="DU416" s="4" t="n"/>
      <c r="DV416" s="4" t="n"/>
      <c r="DW416" s="4" t="n"/>
      <c r="DX416" s="4" t="n"/>
      <c r="DY416" s="4" t="n"/>
      <c r="DZ416" s="4" t="n"/>
      <c r="EA416" s="4" t="n"/>
      <c r="EB416" s="4" t="n"/>
      <c r="EC416" s="4" t="n"/>
      <c r="ED416" s="4" t="n"/>
      <c r="EE416" s="4" t="n"/>
      <c r="EF416" s="4" t="n"/>
      <c r="EG416" s="4" t="n"/>
      <c r="EH416" s="4" t="n"/>
      <c r="EI416" s="4" t="n"/>
      <c r="EJ416" s="4" t="n"/>
      <c r="EK416" s="4" t="n"/>
      <c r="EL416" s="4" t="n"/>
      <c r="EM416" s="4" t="n"/>
      <c r="EN416" s="4" t="n"/>
    </row>
    <row r="417" hidden="1" customFormat="1" s="6">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c r="AD417" s="4" t="n"/>
      <c r="AE417" s="4" t="n"/>
      <c r="AF417" s="4" t="n"/>
      <c r="AG417" s="4" t="n"/>
      <c r="AH417" s="4" t="n"/>
      <c r="AI417" s="4" t="n"/>
      <c r="AJ417" s="4" t="n"/>
      <c r="AK417" s="4" t="n"/>
      <c r="AL417" s="4" t="n"/>
      <c r="AM417" s="4" t="n"/>
      <c r="AN417" s="4" t="n"/>
      <c r="AO417" s="4" t="n"/>
      <c r="AP417" s="4" t="n"/>
      <c r="AQ417" s="4" t="n"/>
      <c r="AR417" s="4" t="n"/>
      <c r="AS417" s="4" t="n"/>
      <c r="AT417" s="4" t="n"/>
      <c r="AU417" s="4" t="n"/>
      <c r="AV417" s="4" t="n"/>
      <c r="AW417" s="4" t="n"/>
      <c r="AX417" s="4" t="n"/>
      <c r="AY417" s="4" t="n"/>
      <c r="AZ417" s="4" t="n"/>
      <c r="BA417" s="4" t="n"/>
      <c r="BB417" s="4" t="n"/>
      <c r="BC417" s="4" t="n"/>
      <c r="BD417" s="4" t="n"/>
      <c r="BE417" s="4" t="n"/>
      <c r="BF417" s="4" t="n"/>
      <c r="BG417" s="4" t="n"/>
      <c r="BH417" s="4" t="n"/>
      <c r="BI417" s="4" t="n"/>
      <c r="BJ417" s="4" t="n"/>
      <c r="BK417" s="4" t="n"/>
      <c r="BL417" s="4" t="n"/>
      <c r="BM417" s="4" t="n"/>
      <c r="BN417" s="4" t="n"/>
      <c r="BO417" s="4" t="n"/>
      <c r="BP417" s="4" t="n"/>
      <c r="BQ417" s="4" t="n"/>
      <c r="BR417" s="4" t="n"/>
      <c r="BS417" s="4" t="n"/>
      <c r="BT417" s="4" t="n"/>
      <c r="BU417" s="4" t="n"/>
      <c r="BV417" s="4" t="n"/>
      <c r="BW417" s="4" t="n"/>
      <c r="BX417" s="4" t="n"/>
      <c r="BY417" s="4" t="n"/>
      <c r="BZ417" s="4" t="n"/>
      <c r="CA417" s="4" t="n"/>
      <c r="CB417" s="4" t="n"/>
      <c r="CC417" s="4" t="n"/>
      <c r="CD417" s="4" t="n"/>
      <c r="CE417" s="4" t="n"/>
      <c r="CF417" s="4" t="n"/>
      <c r="CG417" s="4" t="n"/>
      <c r="CH417" s="4" t="n"/>
      <c r="CI417" s="4" t="n"/>
      <c r="CJ417" s="4" t="n"/>
      <c r="CK417" s="4" t="n"/>
      <c r="CL417" s="4" t="n"/>
      <c r="CM417" s="4" t="n"/>
      <c r="CN417" s="4" t="n"/>
      <c r="CO417" s="4" t="n"/>
      <c r="CP417" s="4" t="n"/>
      <c r="CQ417" s="4" t="n"/>
      <c r="CR417" s="4" t="n"/>
      <c r="CS417" s="4" t="n"/>
      <c r="CT417" s="4" t="n"/>
      <c r="CU417" s="4" t="n"/>
      <c r="CV417" s="4" t="n"/>
      <c r="CW417" s="4" t="n"/>
      <c r="CX417" s="4" t="n"/>
      <c r="CY417" s="4" t="n"/>
      <c r="CZ417" s="4" t="n"/>
      <c r="DA417" s="4" t="n"/>
      <c r="DB417" s="4" t="n"/>
      <c r="DC417" s="4" t="n"/>
      <c r="DD417" s="4" t="n"/>
      <c r="DE417" s="4" t="n"/>
      <c r="DF417" s="4" t="n"/>
      <c r="DG417" s="4" t="n"/>
      <c r="DH417" s="4" t="n"/>
      <c r="DI417" s="4" t="n"/>
      <c r="DJ417" s="4" t="n"/>
      <c r="DK417" s="4" t="n"/>
      <c r="DL417" s="4" t="n"/>
      <c r="DM417" s="4" t="n"/>
      <c r="DN417" s="4" t="n"/>
      <c r="DO417" s="4" t="n"/>
      <c r="DP417" s="4" t="n"/>
      <c r="DQ417" s="4" t="n"/>
      <c r="DR417" s="4" t="n"/>
      <c r="DS417" s="4" t="n"/>
      <c r="DT417" s="4" t="n"/>
      <c r="DU417" s="4" t="n"/>
      <c r="DV417" s="4" t="n"/>
      <c r="DW417" s="4" t="n"/>
      <c r="DX417" s="4" t="n"/>
      <c r="DY417" s="4" t="n"/>
      <c r="DZ417" s="4" t="n"/>
      <c r="EA417" s="4" t="n"/>
      <c r="EB417" s="4" t="n"/>
      <c r="EC417" s="4" t="n"/>
      <c r="ED417" s="4" t="n"/>
      <c r="EE417" s="4" t="n"/>
      <c r="EF417" s="4" t="n"/>
      <c r="EG417" s="4" t="n"/>
      <c r="EH417" s="4" t="n"/>
      <c r="EI417" s="4" t="n"/>
      <c r="EJ417" s="4" t="n"/>
      <c r="EK417" s="4" t="n"/>
      <c r="EL417" s="4" t="n"/>
      <c r="EM417" s="4" t="n"/>
      <c r="EN417" s="4" t="n"/>
    </row>
    <row r="418" hidden="1" customFormat="1" s="6">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c r="AE418" s="4" t="n"/>
      <c r="AF418" s="4" t="n"/>
      <c r="AG418" s="4" t="n"/>
      <c r="AH418" s="4" t="n"/>
      <c r="AI418" s="4" t="n"/>
      <c r="AJ418" s="4" t="n"/>
      <c r="AK418" s="4" t="n"/>
      <c r="AL418" s="4" t="n"/>
      <c r="AM418" s="4" t="n"/>
      <c r="AN418" s="4" t="n"/>
      <c r="AO418" s="4" t="n"/>
      <c r="AP418" s="4" t="n"/>
      <c r="AQ418" s="4" t="n"/>
      <c r="AR418" s="4" t="n"/>
      <c r="AS418" s="4" t="n"/>
      <c r="AT418" s="4" t="n"/>
      <c r="AU418" s="4" t="n"/>
      <c r="AV418" s="4" t="n"/>
      <c r="AW418" s="4" t="n"/>
      <c r="AX418" s="4" t="n"/>
      <c r="AY418" s="4" t="n"/>
      <c r="AZ418" s="4" t="n"/>
      <c r="BA418" s="4" t="n"/>
      <c r="BB418" s="4" t="n"/>
      <c r="BC418" s="4" t="n"/>
      <c r="BD418" s="4" t="n"/>
      <c r="BE418" s="4" t="n"/>
      <c r="BF418" s="4" t="n"/>
      <c r="BG418" s="4" t="n"/>
      <c r="BH418" s="4" t="n"/>
      <c r="BI418" s="4" t="n"/>
      <c r="BJ418" s="4" t="n"/>
      <c r="BK418" s="4" t="n"/>
      <c r="BL418" s="4" t="n"/>
      <c r="BM418" s="4" t="n"/>
      <c r="BN418" s="4" t="n"/>
      <c r="BO418" s="4" t="n"/>
      <c r="BP418" s="4" t="n"/>
      <c r="BQ418" s="4" t="n"/>
      <c r="BR418" s="4" t="n"/>
      <c r="BS418" s="4" t="n"/>
      <c r="BT418" s="4" t="n"/>
      <c r="BU418" s="4" t="n"/>
      <c r="BV418" s="4" t="n"/>
      <c r="BW418" s="4" t="n"/>
      <c r="BX418" s="4" t="n"/>
      <c r="BY418" s="4" t="n"/>
      <c r="BZ418" s="4" t="n"/>
      <c r="CA418" s="4" t="n"/>
      <c r="CB418" s="4" t="n"/>
      <c r="CC418" s="4" t="n"/>
      <c r="CD418" s="4" t="n"/>
      <c r="CE418" s="4" t="n"/>
      <c r="CF418" s="4" t="n"/>
      <c r="CG418" s="4" t="n"/>
      <c r="CH418" s="4" t="n"/>
      <c r="CI418" s="4" t="n"/>
      <c r="CJ418" s="4" t="n"/>
      <c r="CK418" s="4" t="n"/>
      <c r="CL418" s="4" t="n"/>
      <c r="CM418" s="4" t="n"/>
      <c r="CN418" s="4" t="n"/>
      <c r="CO418" s="4" t="n"/>
      <c r="CP418" s="4" t="n"/>
      <c r="CQ418" s="4" t="n"/>
      <c r="CR418" s="4" t="n"/>
      <c r="CS418" s="4" t="n"/>
      <c r="CT418" s="4" t="n"/>
      <c r="CU418" s="4" t="n"/>
      <c r="CV418" s="4" t="n"/>
      <c r="CW418" s="4" t="n"/>
      <c r="CX418" s="4" t="n"/>
      <c r="CY418" s="4" t="n"/>
      <c r="CZ418" s="4" t="n"/>
      <c r="DA418" s="4" t="n"/>
      <c r="DB418" s="4" t="n"/>
      <c r="DC418" s="4" t="n"/>
      <c r="DD418" s="4" t="n"/>
      <c r="DE418" s="4" t="n"/>
      <c r="DF418" s="4" t="n"/>
      <c r="DG418" s="4" t="n"/>
      <c r="DH418" s="4" t="n"/>
      <c r="DI418" s="4" t="n"/>
      <c r="DJ418" s="4" t="n"/>
      <c r="DK418" s="4" t="n"/>
      <c r="DL418" s="4" t="n"/>
      <c r="DM418" s="4" t="n"/>
      <c r="DN418" s="4" t="n"/>
      <c r="DO418" s="4" t="n"/>
      <c r="DP418" s="4" t="n"/>
      <c r="DQ418" s="4" t="n"/>
      <c r="DR418" s="4" t="n"/>
      <c r="DS418" s="4" t="n"/>
      <c r="DT418" s="4" t="n"/>
      <c r="DU418" s="4" t="n"/>
      <c r="DV418" s="4" t="n"/>
      <c r="DW418" s="4" t="n"/>
      <c r="DX418" s="4" t="n"/>
      <c r="DY418" s="4" t="n"/>
      <c r="DZ418" s="4" t="n"/>
      <c r="EA418" s="4" t="n"/>
      <c r="EB418" s="4" t="n"/>
      <c r="EC418" s="4" t="n"/>
      <c r="ED418" s="4" t="n"/>
      <c r="EE418" s="4" t="n"/>
      <c r="EF418" s="4" t="n"/>
      <c r="EG418" s="4" t="n"/>
      <c r="EH418" s="4" t="n"/>
      <c r="EI418" s="4" t="n"/>
      <c r="EJ418" s="4" t="n"/>
      <c r="EK418" s="4" t="n"/>
      <c r="EL418" s="4" t="n"/>
      <c r="EM418" s="4" t="n"/>
      <c r="EN418" s="4" t="n"/>
    </row>
    <row r="419" hidden="1" customFormat="1" s="6">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c r="AE419" s="4" t="n"/>
      <c r="AF419" s="4" t="n"/>
      <c r="AG419" s="4" t="n"/>
      <c r="AH419" s="4" t="n"/>
      <c r="AI419" s="4" t="n"/>
      <c r="AJ419" s="4" t="n"/>
      <c r="AK419" s="4" t="n"/>
      <c r="AL419" s="4" t="n"/>
      <c r="AM419" s="4" t="n"/>
      <c r="AN419" s="4" t="n"/>
      <c r="AO419" s="4" t="n"/>
      <c r="AP419" s="4" t="n"/>
      <c r="AQ419" s="4" t="n"/>
      <c r="AR419" s="4" t="n"/>
      <c r="AS419" s="4" t="n"/>
      <c r="AT419" s="4" t="n"/>
      <c r="AU419" s="4" t="n"/>
      <c r="AV419" s="4" t="n"/>
      <c r="AW419" s="4" t="n"/>
      <c r="AX419" s="4" t="n"/>
      <c r="AY419" s="4" t="n"/>
      <c r="AZ419" s="4" t="n"/>
      <c r="BA419" s="4" t="n"/>
      <c r="BB419" s="4" t="n"/>
      <c r="BC419" s="4" t="n"/>
      <c r="BD419" s="4" t="n"/>
      <c r="BE419" s="4" t="n"/>
      <c r="BF419" s="4" t="n"/>
      <c r="BG419" s="4" t="n"/>
      <c r="BH419" s="4" t="n"/>
      <c r="BI419" s="4" t="n"/>
      <c r="BJ419" s="4" t="n"/>
      <c r="BK419" s="4" t="n"/>
      <c r="BL419" s="4" t="n"/>
      <c r="BM419" s="4" t="n"/>
      <c r="BN419" s="4" t="n"/>
      <c r="BO419" s="4" t="n"/>
      <c r="BP419" s="4" t="n"/>
      <c r="BQ419" s="4" t="n"/>
      <c r="BR419" s="4" t="n"/>
      <c r="BS419" s="4" t="n"/>
      <c r="BT419" s="4" t="n"/>
      <c r="BU419" s="4" t="n"/>
      <c r="BV419" s="4" t="n"/>
      <c r="BW419" s="4" t="n"/>
      <c r="BX419" s="4" t="n"/>
      <c r="BY419" s="4" t="n"/>
      <c r="BZ419" s="4" t="n"/>
      <c r="CA419" s="4" t="n"/>
      <c r="CB419" s="4" t="n"/>
      <c r="CC419" s="4" t="n"/>
      <c r="CD419" s="4" t="n"/>
      <c r="CE419" s="4" t="n"/>
      <c r="CF419" s="4" t="n"/>
      <c r="CG419" s="4" t="n"/>
      <c r="CH419" s="4" t="n"/>
      <c r="CI419" s="4" t="n"/>
      <c r="CJ419" s="4" t="n"/>
      <c r="CK419" s="4" t="n"/>
      <c r="CL419" s="4" t="n"/>
      <c r="CM419" s="4" t="n"/>
      <c r="CN419" s="4" t="n"/>
      <c r="CO419" s="4" t="n"/>
      <c r="CP419" s="4" t="n"/>
      <c r="CQ419" s="4" t="n"/>
      <c r="CR419" s="4" t="n"/>
      <c r="CS419" s="4" t="n"/>
      <c r="CT419" s="4" t="n"/>
      <c r="CU419" s="4" t="n"/>
      <c r="CV419" s="4" t="n"/>
      <c r="CW419" s="4" t="n"/>
      <c r="CX419" s="4" t="n"/>
      <c r="CY419" s="4" t="n"/>
      <c r="CZ419" s="4" t="n"/>
      <c r="DA419" s="4" t="n"/>
      <c r="DB419" s="4" t="n"/>
      <c r="DC419" s="4" t="n"/>
      <c r="DD419" s="4" t="n"/>
      <c r="DE419" s="4" t="n"/>
      <c r="DF419" s="4" t="n"/>
      <c r="DG419" s="4" t="n"/>
      <c r="DH419" s="4" t="n"/>
      <c r="DI419" s="4" t="n"/>
      <c r="DJ419" s="4" t="n"/>
      <c r="DK419" s="4" t="n"/>
      <c r="DL419" s="4" t="n"/>
      <c r="DM419" s="4" t="n"/>
      <c r="DN419" s="4" t="n"/>
      <c r="DO419" s="4" t="n"/>
      <c r="DP419" s="4" t="n"/>
      <c r="DQ419" s="4" t="n"/>
      <c r="DR419" s="4" t="n"/>
      <c r="DS419" s="4" t="n"/>
      <c r="DT419" s="4" t="n"/>
      <c r="DU419" s="4" t="n"/>
      <c r="DV419" s="4" t="n"/>
      <c r="DW419" s="4" t="n"/>
      <c r="DX419" s="4" t="n"/>
      <c r="DY419" s="4" t="n"/>
      <c r="DZ419" s="4" t="n"/>
      <c r="EA419" s="4" t="n"/>
      <c r="EB419" s="4" t="n"/>
      <c r="EC419" s="4" t="n"/>
      <c r="ED419" s="4" t="n"/>
      <c r="EE419" s="4" t="n"/>
      <c r="EF419" s="4" t="n"/>
      <c r="EG419" s="4" t="n"/>
      <c r="EH419" s="4" t="n"/>
      <c r="EI419" s="4" t="n"/>
      <c r="EJ419" s="4" t="n"/>
      <c r="EK419" s="4" t="n"/>
      <c r="EL419" s="4" t="n"/>
      <c r="EM419" s="4" t="n"/>
      <c r="EN419" s="4" t="n"/>
    </row>
    <row r="420" hidden="1" customFormat="1" s="6">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c r="AD420" s="4" t="n"/>
      <c r="AE420" s="4" t="n"/>
      <c r="AF420" s="4" t="n"/>
      <c r="AG420" s="4" t="n"/>
      <c r="AH420" s="4" t="n"/>
      <c r="AI420" s="4" t="n"/>
      <c r="AJ420" s="4" t="n"/>
      <c r="AK420" s="4" t="n"/>
      <c r="AL420" s="4" t="n"/>
      <c r="AM420" s="4" t="n"/>
      <c r="AN420" s="4" t="n"/>
      <c r="AO420" s="4" t="n"/>
      <c r="AP420" s="4" t="n"/>
      <c r="AQ420" s="4" t="n"/>
      <c r="AR420" s="4" t="n"/>
      <c r="AS420" s="4" t="n"/>
      <c r="AT420" s="4" t="n"/>
      <c r="AU420" s="4" t="n"/>
      <c r="AV420" s="4" t="n"/>
      <c r="AW420" s="4" t="n"/>
      <c r="AX420" s="4" t="n"/>
      <c r="AY420" s="4" t="n"/>
      <c r="AZ420" s="4" t="n"/>
      <c r="BA420" s="4" t="n"/>
      <c r="BB420" s="4" t="n"/>
      <c r="BC420" s="4" t="n"/>
      <c r="BD420" s="4" t="n"/>
      <c r="BE420" s="4" t="n"/>
      <c r="BF420" s="4" t="n"/>
      <c r="BG420" s="4" t="n"/>
      <c r="BH420" s="4" t="n"/>
      <c r="BI420" s="4" t="n"/>
      <c r="BJ420" s="4" t="n"/>
      <c r="BK420" s="4" t="n"/>
      <c r="BL420" s="4" t="n"/>
      <c r="BM420" s="4" t="n"/>
      <c r="BN420" s="4" t="n"/>
      <c r="BO420" s="4" t="n"/>
      <c r="BP420" s="4" t="n"/>
      <c r="BQ420" s="4" t="n"/>
      <c r="BR420" s="4" t="n"/>
      <c r="BS420" s="4" t="n"/>
      <c r="BT420" s="4" t="n"/>
      <c r="BU420" s="4" t="n"/>
      <c r="BV420" s="4" t="n"/>
      <c r="BW420" s="4" t="n"/>
      <c r="BX420" s="4" t="n"/>
      <c r="BY420" s="4" t="n"/>
      <c r="BZ420" s="4" t="n"/>
      <c r="CA420" s="4" t="n"/>
      <c r="CB420" s="4" t="n"/>
      <c r="CC420" s="4" t="n"/>
      <c r="CD420" s="4" t="n"/>
      <c r="CE420" s="4" t="n"/>
      <c r="CF420" s="4" t="n"/>
      <c r="CG420" s="4" t="n"/>
      <c r="CH420" s="4" t="n"/>
      <c r="CI420" s="4" t="n"/>
      <c r="CJ420" s="4" t="n"/>
      <c r="CK420" s="4" t="n"/>
      <c r="CL420" s="4" t="n"/>
      <c r="CM420" s="4" t="n"/>
      <c r="CN420" s="4" t="n"/>
      <c r="CO420" s="4" t="n"/>
      <c r="CP420" s="4" t="n"/>
      <c r="CQ420" s="4" t="n"/>
      <c r="CR420" s="4" t="n"/>
      <c r="CS420" s="4" t="n"/>
      <c r="CT420" s="4" t="n"/>
      <c r="CU420" s="4" t="n"/>
      <c r="CV420" s="4" t="n"/>
      <c r="CW420" s="4" t="n"/>
      <c r="CX420" s="4" t="n"/>
      <c r="CY420" s="4" t="n"/>
      <c r="CZ420" s="4" t="n"/>
      <c r="DA420" s="4" t="n"/>
      <c r="DB420" s="4" t="n"/>
      <c r="DC420" s="4" t="n"/>
      <c r="DD420" s="4" t="n"/>
      <c r="DE420" s="4" t="n"/>
      <c r="DF420" s="4" t="n"/>
      <c r="DG420" s="4" t="n"/>
      <c r="DH420" s="4" t="n"/>
      <c r="DI420" s="4" t="n"/>
      <c r="DJ420" s="4" t="n"/>
      <c r="DK420" s="4" t="n"/>
      <c r="DL420" s="4" t="n"/>
      <c r="DM420" s="4" t="n"/>
      <c r="DN420" s="4" t="n"/>
      <c r="DO420" s="4" t="n"/>
      <c r="DP420" s="4" t="n"/>
      <c r="DQ420" s="4" t="n"/>
      <c r="DR420" s="4" t="n"/>
      <c r="DS420" s="4" t="n"/>
      <c r="DT420" s="4" t="n"/>
      <c r="DU420" s="4" t="n"/>
      <c r="DV420" s="4" t="n"/>
      <c r="DW420" s="4" t="n"/>
      <c r="DX420" s="4" t="n"/>
      <c r="DY420" s="4" t="n"/>
      <c r="DZ420" s="4" t="n"/>
      <c r="EA420" s="4" t="n"/>
      <c r="EB420" s="4" t="n"/>
      <c r="EC420" s="4" t="n"/>
      <c r="ED420" s="4" t="n"/>
      <c r="EE420" s="4" t="n"/>
      <c r="EF420" s="4" t="n"/>
      <c r="EG420" s="4" t="n"/>
      <c r="EH420" s="4" t="n"/>
      <c r="EI420" s="4" t="n"/>
      <c r="EJ420" s="4" t="n"/>
      <c r="EK420" s="4" t="n"/>
      <c r="EL420" s="4" t="n"/>
      <c r="EM420" s="4" t="n"/>
      <c r="EN420" s="4" t="n"/>
    </row>
    <row r="421" hidden="1" customFormat="1" s="6">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c r="AD421" s="4" t="n"/>
      <c r="AE421" s="4" t="n"/>
      <c r="AF421" s="4" t="n"/>
      <c r="AG421" s="4" t="n"/>
      <c r="AH421" s="4" t="n"/>
      <c r="AI421" s="4" t="n"/>
      <c r="AJ421" s="4" t="n"/>
      <c r="AK421" s="4" t="n"/>
      <c r="AL421" s="4" t="n"/>
      <c r="AM421" s="4" t="n"/>
      <c r="AN421" s="4" t="n"/>
      <c r="AO421" s="4" t="n"/>
      <c r="AP421" s="4" t="n"/>
      <c r="AQ421" s="4" t="n"/>
      <c r="AR421" s="4" t="n"/>
      <c r="AS421" s="4" t="n"/>
      <c r="AT421" s="4" t="n"/>
      <c r="AU421" s="4" t="n"/>
      <c r="AV421" s="4" t="n"/>
      <c r="AW421" s="4" t="n"/>
      <c r="AX421" s="4" t="n"/>
      <c r="AY421" s="4" t="n"/>
      <c r="AZ421" s="4" t="n"/>
      <c r="BA421" s="4" t="n"/>
      <c r="BB421" s="4" t="n"/>
      <c r="BC421" s="4" t="n"/>
      <c r="BD421" s="4" t="n"/>
      <c r="BE421" s="4" t="n"/>
      <c r="BF421" s="4" t="n"/>
      <c r="BG421" s="4" t="n"/>
      <c r="BH421" s="4" t="n"/>
      <c r="BI421" s="4" t="n"/>
      <c r="BJ421" s="4" t="n"/>
      <c r="BK421" s="4" t="n"/>
      <c r="BL421" s="4" t="n"/>
      <c r="BM421" s="4" t="n"/>
      <c r="BN421" s="4" t="n"/>
      <c r="BO421" s="4" t="n"/>
      <c r="BP421" s="4" t="n"/>
      <c r="BQ421" s="4" t="n"/>
      <c r="BR421" s="4" t="n"/>
      <c r="BS421" s="4" t="n"/>
      <c r="BT421" s="4" t="n"/>
      <c r="BU421" s="4" t="n"/>
      <c r="BV421" s="4" t="n"/>
      <c r="BW421" s="4" t="n"/>
      <c r="BX421" s="4" t="n"/>
      <c r="BY421" s="4" t="n"/>
      <c r="BZ421" s="4" t="n"/>
      <c r="CA421" s="4" t="n"/>
      <c r="CB421" s="4" t="n"/>
      <c r="CC421" s="4" t="n"/>
      <c r="CD421" s="4" t="n"/>
      <c r="CE421" s="4" t="n"/>
      <c r="CF421" s="4" t="n"/>
      <c r="CG421" s="4" t="n"/>
      <c r="CH421" s="4" t="n"/>
      <c r="CI421" s="4" t="n"/>
      <c r="CJ421" s="4" t="n"/>
      <c r="CK421" s="4" t="n"/>
      <c r="CL421" s="4" t="n"/>
      <c r="CM421" s="4" t="n"/>
      <c r="CN421" s="4" t="n"/>
      <c r="CO421" s="4" t="n"/>
      <c r="CP421" s="4" t="n"/>
      <c r="CQ421" s="4" t="n"/>
      <c r="CR421" s="4" t="n"/>
      <c r="CS421" s="4" t="n"/>
      <c r="CT421" s="4" t="n"/>
      <c r="CU421" s="4" t="n"/>
      <c r="CV421" s="4" t="n"/>
      <c r="CW421" s="4" t="n"/>
      <c r="CX421" s="4" t="n"/>
      <c r="CY421" s="4" t="n"/>
      <c r="CZ421" s="4" t="n"/>
      <c r="DA421" s="4" t="n"/>
      <c r="DB421" s="4" t="n"/>
      <c r="DC421" s="4" t="n"/>
      <c r="DD421" s="4" t="n"/>
      <c r="DE421" s="4" t="n"/>
      <c r="DF421" s="4" t="n"/>
      <c r="DG421" s="4" t="n"/>
      <c r="DH421" s="4" t="n"/>
      <c r="DI421" s="4" t="n"/>
      <c r="DJ421" s="4" t="n"/>
      <c r="DK421" s="4" t="n"/>
      <c r="DL421" s="4" t="n"/>
      <c r="DM421" s="4" t="n"/>
      <c r="DN421" s="4" t="n"/>
      <c r="DO421" s="4" t="n"/>
      <c r="DP421" s="4" t="n"/>
      <c r="DQ421" s="4" t="n"/>
      <c r="DR421" s="4" t="n"/>
      <c r="DS421" s="4" t="n"/>
      <c r="DT421" s="4" t="n"/>
      <c r="DU421" s="4" t="n"/>
      <c r="DV421" s="4" t="n"/>
      <c r="DW421" s="4" t="n"/>
      <c r="DX421" s="4" t="n"/>
      <c r="DY421" s="4" t="n"/>
      <c r="DZ421" s="4" t="n"/>
      <c r="EA421" s="4" t="n"/>
      <c r="EB421" s="4" t="n"/>
      <c r="EC421" s="4" t="n"/>
      <c r="ED421" s="4" t="n"/>
      <c r="EE421" s="4" t="n"/>
      <c r="EF421" s="4" t="n"/>
      <c r="EG421" s="4" t="n"/>
      <c r="EH421" s="4" t="n"/>
      <c r="EI421" s="4" t="n"/>
      <c r="EJ421" s="4" t="n"/>
      <c r="EK421" s="4" t="n"/>
      <c r="EL421" s="4" t="n"/>
      <c r="EM421" s="4" t="n"/>
      <c r="EN421" s="4" t="n"/>
    </row>
    <row r="422" hidden="1" customFormat="1" s="6">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c r="AE422" s="4" t="n"/>
      <c r="AF422" s="4" t="n"/>
      <c r="AG422" s="4" t="n"/>
      <c r="AH422" s="4" t="n"/>
      <c r="AI422" s="4" t="n"/>
      <c r="AJ422" s="4" t="n"/>
      <c r="AK422" s="4" t="n"/>
      <c r="AL422" s="4" t="n"/>
      <c r="AM422" s="4" t="n"/>
      <c r="AN422" s="4" t="n"/>
      <c r="AO422" s="4" t="n"/>
      <c r="AP422" s="4" t="n"/>
      <c r="AQ422" s="4" t="n"/>
      <c r="AR422" s="4" t="n"/>
      <c r="AS422" s="4" t="n"/>
      <c r="AT422" s="4" t="n"/>
      <c r="AU422" s="4" t="n"/>
      <c r="AV422" s="4" t="n"/>
      <c r="AW422" s="4" t="n"/>
      <c r="AX422" s="4" t="n"/>
      <c r="AY422" s="4" t="n"/>
      <c r="AZ422" s="4" t="n"/>
      <c r="BA422" s="4" t="n"/>
      <c r="BB422" s="4" t="n"/>
      <c r="BC422" s="4" t="n"/>
      <c r="BD422" s="4" t="n"/>
      <c r="BE422" s="4" t="n"/>
      <c r="BF422" s="4" t="n"/>
      <c r="BG422" s="4" t="n"/>
      <c r="BH422" s="4" t="n"/>
      <c r="BI422" s="4" t="n"/>
      <c r="BJ422" s="4" t="n"/>
      <c r="BK422" s="4" t="n"/>
      <c r="BL422" s="4" t="n"/>
      <c r="BM422" s="4" t="n"/>
      <c r="BN422" s="4" t="n"/>
      <c r="BO422" s="4" t="n"/>
      <c r="BP422" s="4" t="n"/>
      <c r="BQ422" s="4" t="n"/>
      <c r="BR422" s="4" t="n"/>
      <c r="BS422" s="4" t="n"/>
      <c r="BT422" s="4" t="n"/>
      <c r="BU422" s="4" t="n"/>
      <c r="BV422" s="4" t="n"/>
      <c r="BW422" s="4" t="n"/>
      <c r="BX422" s="4" t="n"/>
      <c r="BY422" s="4" t="n"/>
      <c r="BZ422" s="4" t="n"/>
      <c r="CA422" s="4" t="n"/>
      <c r="CB422" s="4" t="n"/>
      <c r="CC422" s="4" t="n"/>
      <c r="CD422" s="4" t="n"/>
      <c r="CE422" s="4" t="n"/>
      <c r="CF422" s="4" t="n"/>
      <c r="CG422" s="4" t="n"/>
      <c r="CH422" s="4" t="n"/>
      <c r="CI422" s="4" t="n"/>
      <c r="CJ422" s="4" t="n"/>
      <c r="CK422" s="4" t="n"/>
      <c r="CL422" s="4" t="n"/>
      <c r="CM422" s="4" t="n"/>
      <c r="CN422" s="4" t="n"/>
      <c r="CO422" s="4" t="n"/>
      <c r="CP422" s="4" t="n"/>
      <c r="CQ422" s="4" t="n"/>
      <c r="CR422" s="4" t="n"/>
      <c r="CS422" s="4" t="n"/>
      <c r="CT422" s="4" t="n"/>
      <c r="CU422" s="4" t="n"/>
      <c r="CV422" s="4" t="n"/>
      <c r="CW422" s="4" t="n"/>
      <c r="CX422" s="4" t="n"/>
      <c r="CY422" s="4" t="n"/>
      <c r="CZ422" s="4" t="n"/>
      <c r="DA422" s="4" t="n"/>
      <c r="DB422" s="4" t="n"/>
      <c r="DC422" s="4" t="n"/>
      <c r="DD422" s="4" t="n"/>
      <c r="DE422" s="4" t="n"/>
      <c r="DF422" s="4" t="n"/>
      <c r="DG422" s="4" t="n"/>
      <c r="DH422" s="4" t="n"/>
      <c r="DI422" s="4" t="n"/>
      <c r="DJ422" s="4" t="n"/>
      <c r="DK422" s="4" t="n"/>
      <c r="DL422" s="4" t="n"/>
      <c r="DM422" s="4" t="n"/>
      <c r="DN422" s="4" t="n"/>
      <c r="DO422" s="4" t="n"/>
      <c r="DP422" s="4" t="n"/>
      <c r="DQ422" s="4" t="n"/>
      <c r="DR422" s="4" t="n"/>
      <c r="DS422" s="4" t="n"/>
      <c r="DT422" s="4" t="n"/>
      <c r="DU422" s="4" t="n"/>
      <c r="DV422" s="4" t="n"/>
      <c r="DW422" s="4" t="n"/>
      <c r="DX422" s="4" t="n"/>
      <c r="DY422" s="4" t="n"/>
      <c r="DZ422" s="4" t="n"/>
      <c r="EA422" s="4" t="n"/>
      <c r="EB422" s="4" t="n"/>
      <c r="EC422" s="4" t="n"/>
      <c r="ED422" s="4" t="n"/>
      <c r="EE422" s="4" t="n"/>
      <c r="EF422" s="4" t="n"/>
      <c r="EG422" s="4" t="n"/>
      <c r="EH422" s="4" t="n"/>
      <c r="EI422" s="4" t="n"/>
      <c r="EJ422" s="4" t="n"/>
      <c r="EK422" s="4" t="n"/>
      <c r="EL422" s="4" t="n"/>
      <c r="EM422" s="4" t="n"/>
      <c r="EN422" s="4" t="n"/>
    </row>
    <row r="423" hidden="1" customFormat="1" s="6">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c r="AE423" s="4" t="n"/>
      <c r="AF423" s="4" t="n"/>
      <c r="AG423" s="4" t="n"/>
      <c r="AH423" s="4" t="n"/>
      <c r="AI423" s="4" t="n"/>
      <c r="AJ423" s="4" t="n"/>
      <c r="AK423" s="4" t="n"/>
      <c r="AL423" s="4" t="n"/>
      <c r="AM423" s="4" t="n"/>
      <c r="AN423" s="4" t="n"/>
      <c r="AO423" s="4" t="n"/>
      <c r="AP423" s="4" t="n"/>
      <c r="AQ423" s="4" t="n"/>
      <c r="AR423" s="4" t="n"/>
      <c r="AS423" s="4" t="n"/>
      <c r="AT423" s="4" t="n"/>
      <c r="AU423" s="4" t="n"/>
      <c r="AV423" s="4" t="n"/>
      <c r="AW423" s="4" t="n"/>
      <c r="AX423" s="4" t="n"/>
      <c r="AY423" s="4" t="n"/>
      <c r="AZ423" s="4" t="n"/>
      <c r="BA423" s="4" t="n"/>
      <c r="BB423" s="4" t="n"/>
      <c r="BC423" s="4" t="n"/>
      <c r="BD423" s="4" t="n"/>
      <c r="BE423" s="4" t="n"/>
      <c r="BF423" s="4" t="n"/>
      <c r="BG423" s="4" t="n"/>
      <c r="BH423" s="4" t="n"/>
      <c r="BI423" s="4" t="n"/>
      <c r="BJ423" s="4" t="n"/>
      <c r="BK423" s="4" t="n"/>
      <c r="BL423" s="4" t="n"/>
      <c r="BM423" s="4" t="n"/>
      <c r="BN423" s="4" t="n"/>
      <c r="BO423" s="4" t="n"/>
      <c r="BP423" s="4" t="n"/>
      <c r="BQ423" s="4" t="n"/>
      <c r="BR423" s="4" t="n"/>
      <c r="BS423" s="4" t="n"/>
      <c r="BT423" s="4" t="n"/>
      <c r="BU423" s="4" t="n"/>
      <c r="BV423" s="4" t="n"/>
      <c r="BW423" s="4" t="n"/>
      <c r="BX423" s="4" t="n"/>
      <c r="BY423" s="4" t="n"/>
      <c r="BZ423" s="4" t="n"/>
      <c r="CA423" s="4" t="n"/>
      <c r="CB423" s="4" t="n"/>
      <c r="CC423" s="4" t="n"/>
      <c r="CD423" s="4" t="n"/>
      <c r="CE423" s="4" t="n"/>
      <c r="CF423" s="4" t="n"/>
      <c r="CG423" s="4" t="n"/>
      <c r="CH423" s="4" t="n"/>
      <c r="CI423" s="4" t="n"/>
      <c r="CJ423" s="4" t="n"/>
      <c r="CK423" s="4" t="n"/>
      <c r="CL423" s="4" t="n"/>
      <c r="CM423" s="4" t="n"/>
      <c r="CN423" s="4" t="n"/>
      <c r="CO423" s="4" t="n"/>
      <c r="CP423" s="4" t="n"/>
      <c r="CQ423" s="4" t="n"/>
      <c r="CR423" s="4" t="n"/>
      <c r="CS423" s="4" t="n"/>
      <c r="CT423" s="4" t="n"/>
      <c r="CU423" s="4" t="n"/>
      <c r="CV423" s="4" t="n"/>
      <c r="CW423" s="4" t="n"/>
      <c r="CX423" s="4" t="n"/>
      <c r="CY423" s="4" t="n"/>
      <c r="CZ423" s="4" t="n"/>
      <c r="DA423" s="4" t="n"/>
      <c r="DB423" s="4" t="n"/>
      <c r="DC423" s="4" t="n"/>
      <c r="DD423" s="4" t="n"/>
      <c r="DE423" s="4" t="n"/>
      <c r="DF423" s="4" t="n"/>
      <c r="DG423" s="4" t="n"/>
      <c r="DH423" s="4" t="n"/>
      <c r="DI423" s="4" t="n"/>
      <c r="DJ423" s="4" t="n"/>
      <c r="DK423" s="4" t="n"/>
      <c r="DL423" s="4" t="n"/>
      <c r="DM423" s="4" t="n"/>
      <c r="DN423" s="4" t="n"/>
      <c r="DO423" s="4" t="n"/>
      <c r="DP423" s="4" t="n"/>
      <c r="DQ423" s="4" t="n"/>
      <c r="DR423" s="4" t="n"/>
      <c r="DS423" s="4" t="n"/>
      <c r="DT423" s="4" t="n"/>
      <c r="DU423" s="4" t="n"/>
      <c r="DV423" s="4" t="n"/>
      <c r="DW423" s="4" t="n"/>
      <c r="DX423" s="4" t="n"/>
      <c r="DY423" s="4" t="n"/>
      <c r="DZ423" s="4" t="n"/>
      <c r="EA423" s="4" t="n"/>
      <c r="EB423" s="4" t="n"/>
      <c r="EC423" s="4" t="n"/>
      <c r="ED423" s="4" t="n"/>
      <c r="EE423" s="4" t="n"/>
      <c r="EF423" s="4" t="n"/>
      <c r="EG423" s="4" t="n"/>
      <c r="EH423" s="4" t="n"/>
      <c r="EI423" s="4" t="n"/>
      <c r="EJ423" s="4" t="n"/>
      <c r="EK423" s="4" t="n"/>
      <c r="EL423" s="4" t="n"/>
      <c r="EM423" s="4" t="n"/>
      <c r="EN423" s="4" t="n"/>
    </row>
    <row r="424" hidden="1" customFormat="1" s="6">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c r="AE424" s="4" t="n"/>
      <c r="AF424" s="4" t="n"/>
      <c r="AG424" s="4" t="n"/>
      <c r="AH424" s="4" t="n"/>
      <c r="AI424" s="4" t="n"/>
      <c r="AJ424" s="4" t="n"/>
      <c r="AK424" s="4" t="n"/>
      <c r="AL424" s="4" t="n"/>
      <c r="AM424" s="4" t="n"/>
      <c r="AN424" s="4" t="n"/>
      <c r="AO424" s="4" t="n"/>
      <c r="AP424" s="4" t="n"/>
      <c r="AQ424" s="4" t="n"/>
      <c r="AR424" s="4" t="n"/>
      <c r="AS424" s="4" t="n"/>
      <c r="AT424" s="4" t="n"/>
      <c r="AU424" s="4" t="n"/>
      <c r="AV424" s="4" t="n"/>
      <c r="AW424" s="4" t="n"/>
      <c r="AX424" s="4" t="n"/>
      <c r="AY424" s="4" t="n"/>
      <c r="AZ424" s="4" t="n"/>
      <c r="BA424" s="4" t="n"/>
      <c r="BB424" s="4" t="n"/>
      <c r="BC424" s="4" t="n"/>
      <c r="BD424" s="4" t="n"/>
      <c r="BE424" s="4" t="n"/>
      <c r="BF424" s="4" t="n"/>
      <c r="BG424" s="4" t="n"/>
      <c r="BH424" s="4" t="n"/>
      <c r="BI424" s="4" t="n"/>
      <c r="BJ424" s="4" t="n"/>
      <c r="BK424" s="4" t="n"/>
      <c r="BL424" s="4" t="n"/>
      <c r="BM424" s="4" t="n"/>
      <c r="BN424" s="4" t="n"/>
      <c r="BO424" s="4" t="n"/>
      <c r="BP424" s="4" t="n"/>
      <c r="BQ424" s="4" t="n"/>
      <c r="BR424" s="4" t="n"/>
      <c r="BS424" s="4" t="n"/>
      <c r="BT424" s="4" t="n"/>
      <c r="BU424" s="4" t="n"/>
      <c r="BV424" s="4" t="n"/>
      <c r="BW424" s="4" t="n"/>
      <c r="BX424" s="4" t="n"/>
      <c r="BY424" s="4" t="n"/>
      <c r="BZ424" s="4" t="n"/>
      <c r="CA424" s="4" t="n"/>
      <c r="CB424" s="4" t="n"/>
      <c r="CC424" s="4" t="n"/>
      <c r="CD424" s="4" t="n"/>
      <c r="CE424" s="4" t="n"/>
      <c r="CF424" s="4" t="n"/>
      <c r="CG424" s="4" t="n"/>
      <c r="CH424" s="4" t="n"/>
      <c r="CI424" s="4" t="n"/>
      <c r="CJ424" s="4" t="n"/>
      <c r="CK424" s="4" t="n"/>
      <c r="CL424" s="4" t="n"/>
      <c r="CM424" s="4" t="n"/>
      <c r="CN424" s="4" t="n"/>
      <c r="CO424" s="4" t="n"/>
      <c r="CP424" s="4" t="n"/>
      <c r="CQ424" s="4" t="n"/>
      <c r="CR424" s="4" t="n"/>
      <c r="CS424" s="4" t="n"/>
      <c r="CT424" s="4" t="n"/>
      <c r="CU424" s="4" t="n"/>
      <c r="CV424" s="4" t="n"/>
      <c r="CW424" s="4" t="n"/>
      <c r="CX424" s="4" t="n"/>
      <c r="CY424" s="4" t="n"/>
      <c r="CZ424" s="4" t="n"/>
      <c r="DA424" s="4" t="n"/>
      <c r="DB424" s="4" t="n"/>
      <c r="DC424" s="4" t="n"/>
      <c r="DD424" s="4" t="n"/>
      <c r="DE424" s="4" t="n"/>
      <c r="DF424" s="4" t="n"/>
      <c r="DG424" s="4" t="n"/>
      <c r="DH424" s="4" t="n"/>
      <c r="DI424" s="4" t="n"/>
      <c r="DJ424" s="4" t="n"/>
      <c r="DK424" s="4" t="n"/>
      <c r="DL424" s="4" t="n"/>
      <c r="DM424" s="4" t="n"/>
      <c r="DN424" s="4" t="n"/>
      <c r="DO424" s="4" t="n"/>
      <c r="DP424" s="4" t="n"/>
      <c r="DQ424" s="4" t="n"/>
      <c r="DR424" s="4" t="n"/>
      <c r="DS424" s="4" t="n"/>
      <c r="DT424" s="4" t="n"/>
      <c r="DU424" s="4" t="n"/>
      <c r="DV424" s="4" t="n"/>
      <c r="DW424" s="4" t="n"/>
      <c r="DX424" s="4" t="n"/>
      <c r="DY424" s="4" t="n"/>
      <c r="DZ424" s="4" t="n"/>
      <c r="EA424" s="4" t="n"/>
      <c r="EB424" s="4" t="n"/>
      <c r="EC424" s="4" t="n"/>
      <c r="ED424" s="4" t="n"/>
      <c r="EE424" s="4" t="n"/>
      <c r="EF424" s="4" t="n"/>
      <c r="EG424" s="4" t="n"/>
      <c r="EH424" s="4" t="n"/>
      <c r="EI424" s="4" t="n"/>
      <c r="EJ424" s="4" t="n"/>
      <c r="EK424" s="4" t="n"/>
      <c r="EL424" s="4" t="n"/>
      <c r="EM424" s="4" t="n"/>
      <c r="EN424" s="4" t="n"/>
    </row>
    <row r="425" hidden="1" customFormat="1" s="6">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c r="AD425" s="4" t="n"/>
      <c r="AE425" s="4" t="n"/>
      <c r="AF425" s="4" t="n"/>
      <c r="AG425" s="4" t="n"/>
      <c r="AH425" s="4" t="n"/>
      <c r="AI425" s="4" t="n"/>
      <c r="AJ425" s="4" t="n"/>
      <c r="AK425" s="4" t="n"/>
      <c r="AL425" s="4" t="n"/>
      <c r="AM425" s="4" t="n"/>
      <c r="AN425" s="4" t="n"/>
      <c r="AO425" s="4" t="n"/>
      <c r="AP425" s="4" t="n"/>
      <c r="AQ425" s="4" t="n"/>
      <c r="AR425" s="4" t="n"/>
      <c r="AS425" s="4" t="n"/>
      <c r="AT425" s="4" t="n"/>
      <c r="AU425" s="4" t="n"/>
      <c r="AV425" s="4" t="n"/>
      <c r="AW425" s="4" t="n"/>
      <c r="AX425" s="4" t="n"/>
      <c r="AY425" s="4" t="n"/>
      <c r="AZ425" s="4" t="n"/>
      <c r="BA425" s="4" t="n"/>
      <c r="BB425" s="4" t="n"/>
      <c r="BC425" s="4" t="n"/>
      <c r="BD425" s="4" t="n"/>
      <c r="BE425" s="4" t="n"/>
      <c r="BF425" s="4" t="n"/>
      <c r="BG425" s="4" t="n"/>
      <c r="BH425" s="4" t="n"/>
      <c r="BI425" s="4" t="n"/>
      <c r="BJ425" s="4" t="n"/>
      <c r="BK425" s="4" t="n"/>
      <c r="BL425" s="4" t="n"/>
      <c r="BM425" s="4" t="n"/>
      <c r="BN425" s="4" t="n"/>
      <c r="BO425" s="4" t="n"/>
      <c r="BP425" s="4" t="n"/>
      <c r="BQ425" s="4" t="n"/>
      <c r="BR425" s="4" t="n"/>
      <c r="BS425" s="4" t="n"/>
      <c r="BT425" s="4" t="n"/>
      <c r="BU425" s="4" t="n"/>
      <c r="BV425" s="4" t="n"/>
      <c r="BW425" s="4" t="n"/>
      <c r="BX425" s="4" t="n"/>
      <c r="BY425" s="4" t="n"/>
      <c r="BZ425" s="4" t="n"/>
      <c r="CA425" s="4" t="n"/>
      <c r="CB425" s="4" t="n"/>
      <c r="CC425" s="4" t="n"/>
      <c r="CD425" s="4" t="n"/>
      <c r="CE425" s="4" t="n"/>
      <c r="CF425" s="4" t="n"/>
      <c r="CG425" s="4" t="n"/>
      <c r="CH425" s="4" t="n"/>
      <c r="CI425" s="4" t="n"/>
      <c r="CJ425" s="4" t="n"/>
      <c r="CK425" s="4" t="n"/>
      <c r="CL425" s="4" t="n"/>
      <c r="CM425" s="4" t="n"/>
      <c r="CN425" s="4" t="n"/>
      <c r="CO425" s="4" t="n"/>
      <c r="CP425" s="4" t="n"/>
      <c r="CQ425" s="4" t="n"/>
      <c r="CR425" s="4" t="n"/>
      <c r="CS425" s="4" t="n"/>
      <c r="CT425" s="4" t="n"/>
      <c r="CU425" s="4" t="n"/>
      <c r="CV425" s="4" t="n"/>
      <c r="CW425" s="4" t="n"/>
      <c r="CX425" s="4" t="n"/>
      <c r="CY425" s="4" t="n"/>
      <c r="CZ425" s="4" t="n"/>
      <c r="DA425" s="4" t="n"/>
      <c r="DB425" s="4" t="n"/>
      <c r="DC425" s="4" t="n"/>
      <c r="DD425" s="4" t="n"/>
      <c r="DE425" s="4" t="n"/>
      <c r="DF425" s="4" t="n"/>
      <c r="DG425" s="4" t="n"/>
      <c r="DH425" s="4" t="n"/>
      <c r="DI425" s="4" t="n"/>
      <c r="DJ425" s="4" t="n"/>
      <c r="DK425" s="4" t="n"/>
      <c r="DL425" s="4" t="n"/>
      <c r="DM425" s="4" t="n"/>
      <c r="DN425" s="4" t="n"/>
      <c r="DO425" s="4" t="n"/>
      <c r="DP425" s="4" t="n"/>
      <c r="DQ425" s="4" t="n"/>
      <c r="DR425" s="4" t="n"/>
      <c r="DS425" s="4" t="n"/>
      <c r="DT425" s="4" t="n"/>
      <c r="DU425" s="4" t="n"/>
      <c r="DV425" s="4" t="n"/>
      <c r="DW425" s="4" t="n"/>
      <c r="DX425" s="4" t="n"/>
      <c r="DY425" s="4" t="n"/>
      <c r="DZ425" s="4" t="n"/>
      <c r="EA425" s="4" t="n"/>
      <c r="EB425" s="4" t="n"/>
      <c r="EC425" s="4" t="n"/>
      <c r="ED425" s="4" t="n"/>
      <c r="EE425" s="4" t="n"/>
      <c r="EF425" s="4" t="n"/>
      <c r="EG425" s="4" t="n"/>
      <c r="EH425" s="4" t="n"/>
      <c r="EI425" s="4" t="n"/>
      <c r="EJ425" s="4" t="n"/>
      <c r="EK425" s="4" t="n"/>
      <c r="EL425" s="4" t="n"/>
      <c r="EM425" s="4" t="n"/>
      <c r="EN425" s="4" t="n"/>
    </row>
    <row r="426" hidden="1" customFormat="1" s="6">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c r="AE426" s="4" t="n"/>
      <c r="AF426" s="4" t="n"/>
      <c r="AG426" s="4" t="n"/>
      <c r="AH426" s="4" t="n"/>
      <c r="AI426" s="4" t="n"/>
      <c r="AJ426" s="4" t="n"/>
      <c r="AK426" s="4" t="n"/>
      <c r="AL426" s="4" t="n"/>
      <c r="AM426" s="4" t="n"/>
      <c r="AN426" s="4" t="n"/>
      <c r="AO426" s="4" t="n"/>
      <c r="AP426" s="4" t="n"/>
      <c r="AQ426" s="4" t="n"/>
      <c r="AR426" s="4" t="n"/>
      <c r="AS426" s="4" t="n"/>
      <c r="AT426" s="4" t="n"/>
      <c r="AU426" s="4" t="n"/>
      <c r="AV426" s="4" t="n"/>
      <c r="AW426" s="4" t="n"/>
      <c r="AX426" s="4" t="n"/>
      <c r="AY426" s="4" t="n"/>
      <c r="AZ426" s="4" t="n"/>
      <c r="BA426" s="4" t="n"/>
      <c r="BB426" s="4" t="n"/>
      <c r="BC426" s="4" t="n"/>
      <c r="BD426" s="4" t="n"/>
      <c r="BE426" s="4" t="n"/>
      <c r="BF426" s="4" t="n"/>
      <c r="BG426" s="4" t="n"/>
      <c r="BH426" s="4" t="n"/>
      <c r="BI426" s="4" t="n"/>
      <c r="BJ426" s="4" t="n"/>
      <c r="BK426" s="4" t="n"/>
      <c r="BL426" s="4" t="n"/>
      <c r="BM426" s="4" t="n"/>
      <c r="BN426" s="4" t="n"/>
      <c r="BO426" s="4" t="n"/>
      <c r="BP426" s="4" t="n"/>
      <c r="BQ426" s="4" t="n"/>
      <c r="BR426" s="4" t="n"/>
      <c r="BS426" s="4" t="n"/>
      <c r="BT426" s="4" t="n"/>
      <c r="BU426" s="4" t="n"/>
      <c r="BV426" s="4" t="n"/>
      <c r="BW426" s="4" t="n"/>
      <c r="BX426" s="4" t="n"/>
      <c r="BY426" s="4" t="n"/>
      <c r="BZ426" s="4" t="n"/>
      <c r="CA426" s="4" t="n"/>
      <c r="CB426" s="4" t="n"/>
      <c r="CC426" s="4" t="n"/>
      <c r="CD426" s="4" t="n"/>
      <c r="CE426" s="4" t="n"/>
      <c r="CF426" s="4" t="n"/>
      <c r="CG426" s="4" t="n"/>
      <c r="CH426" s="4" t="n"/>
      <c r="CI426" s="4" t="n"/>
      <c r="CJ426" s="4" t="n"/>
      <c r="CK426" s="4" t="n"/>
      <c r="CL426" s="4" t="n"/>
      <c r="CM426" s="4" t="n"/>
      <c r="CN426" s="4" t="n"/>
      <c r="CO426" s="4" t="n"/>
      <c r="CP426" s="4" t="n"/>
      <c r="CQ426" s="4" t="n"/>
      <c r="CR426" s="4" t="n"/>
      <c r="CS426" s="4" t="n"/>
      <c r="CT426" s="4" t="n"/>
      <c r="CU426" s="4" t="n"/>
      <c r="CV426" s="4" t="n"/>
      <c r="CW426" s="4" t="n"/>
      <c r="CX426" s="4" t="n"/>
      <c r="CY426" s="4" t="n"/>
      <c r="CZ426" s="4" t="n"/>
      <c r="DA426" s="4" t="n"/>
      <c r="DB426" s="4" t="n"/>
      <c r="DC426" s="4" t="n"/>
      <c r="DD426" s="4" t="n"/>
      <c r="DE426" s="4" t="n"/>
      <c r="DF426" s="4" t="n"/>
      <c r="DG426" s="4" t="n"/>
      <c r="DH426" s="4" t="n"/>
      <c r="DI426" s="4" t="n"/>
      <c r="DJ426" s="4" t="n"/>
      <c r="DK426" s="4" t="n"/>
      <c r="DL426" s="4" t="n"/>
      <c r="DM426" s="4" t="n"/>
      <c r="DN426" s="4" t="n"/>
      <c r="DO426" s="4" t="n"/>
      <c r="DP426" s="4" t="n"/>
      <c r="DQ426" s="4" t="n"/>
      <c r="DR426" s="4" t="n"/>
      <c r="DS426" s="4" t="n"/>
      <c r="DT426" s="4" t="n"/>
      <c r="DU426" s="4" t="n"/>
      <c r="DV426" s="4" t="n"/>
      <c r="DW426" s="4" t="n"/>
      <c r="DX426" s="4" t="n"/>
      <c r="DY426" s="4" t="n"/>
      <c r="DZ426" s="4" t="n"/>
      <c r="EA426" s="4" t="n"/>
      <c r="EB426" s="4" t="n"/>
      <c r="EC426" s="4" t="n"/>
      <c r="ED426" s="4" t="n"/>
      <c r="EE426" s="4" t="n"/>
      <c r="EF426" s="4" t="n"/>
      <c r="EG426" s="4" t="n"/>
      <c r="EH426" s="4" t="n"/>
      <c r="EI426" s="4" t="n"/>
      <c r="EJ426" s="4" t="n"/>
      <c r="EK426" s="4" t="n"/>
      <c r="EL426" s="4" t="n"/>
      <c r="EM426" s="4" t="n"/>
      <c r="EN426" s="4" t="n"/>
    </row>
    <row r="427" hidden="1" customFormat="1" s="6">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c r="AE427" s="4" t="n"/>
      <c r="AF427" s="4" t="n"/>
      <c r="AG427" s="4" t="n"/>
      <c r="AH427" s="4" t="n"/>
      <c r="AI427" s="4" t="n"/>
      <c r="AJ427" s="4" t="n"/>
      <c r="AK427" s="4" t="n"/>
      <c r="AL427" s="4" t="n"/>
      <c r="AM427" s="4" t="n"/>
      <c r="AN427" s="4" t="n"/>
      <c r="AO427" s="4" t="n"/>
      <c r="AP427" s="4" t="n"/>
      <c r="AQ427" s="4" t="n"/>
      <c r="AR427" s="4" t="n"/>
      <c r="AS427" s="4" t="n"/>
      <c r="AT427" s="4" t="n"/>
      <c r="AU427" s="4" t="n"/>
      <c r="AV427" s="4" t="n"/>
      <c r="AW427" s="4" t="n"/>
      <c r="AX427" s="4" t="n"/>
      <c r="AY427" s="4" t="n"/>
      <c r="AZ427" s="4" t="n"/>
      <c r="BA427" s="4" t="n"/>
      <c r="BB427" s="4" t="n"/>
      <c r="BC427" s="4" t="n"/>
      <c r="BD427" s="4" t="n"/>
      <c r="BE427" s="4" t="n"/>
      <c r="BF427" s="4" t="n"/>
      <c r="BG427" s="4" t="n"/>
      <c r="BH427" s="4" t="n"/>
      <c r="BI427" s="4" t="n"/>
      <c r="BJ427" s="4" t="n"/>
      <c r="BK427" s="4" t="n"/>
      <c r="BL427" s="4" t="n"/>
      <c r="BM427" s="4" t="n"/>
      <c r="BN427" s="4" t="n"/>
      <c r="BO427" s="4" t="n"/>
      <c r="BP427" s="4" t="n"/>
      <c r="BQ427" s="4" t="n"/>
      <c r="BR427" s="4" t="n"/>
      <c r="BS427" s="4" t="n"/>
      <c r="BT427" s="4" t="n"/>
      <c r="BU427" s="4" t="n"/>
      <c r="BV427" s="4" t="n"/>
      <c r="BW427" s="4" t="n"/>
      <c r="BX427" s="4" t="n"/>
      <c r="BY427" s="4" t="n"/>
      <c r="BZ427" s="4" t="n"/>
      <c r="CA427" s="4" t="n"/>
      <c r="CB427" s="4" t="n"/>
      <c r="CC427" s="4" t="n"/>
      <c r="CD427" s="4" t="n"/>
      <c r="CE427" s="4" t="n"/>
      <c r="CF427" s="4" t="n"/>
      <c r="CG427" s="4" t="n"/>
      <c r="CH427" s="4" t="n"/>
      <c r="CI427" s="4" t="n"/>
      <c r="CJ427" s="4" t="n"/>
      <c r="CK427" s="4" t="n"/>
      <c r="CL427" s="4" t="n"/>
      <c r="CM427" s="4" t="n"/>
      <c r="CN427" s="4" t="n"/>
      <c r="CO427" s="4" t="n"/>
      <c r="CP427" s="4" t="n"/>
      <c r="CQ427" s="4" t="n"/>
      <c r="CR427" s="4" t="n"/>
      <c r="CS427" s="4" t="n"/>
      <c r="CT427" s="4" t="n"/>
      <c r="CU427" s="4" t="n"/>
      <c r="CV427" s="4" t="n"/>
      <c r="CW427" s="4" t="n"/>
      <c r="CX427" s="4" t="n"/>
      <c r="CY427" s="4" t="n"/>
      <c r="CZ427" s="4" t="n"/>
      <c r="DA427" s="4" t="n"/>
      <c r="DB427" s="4" t="n"/>
      <c r="DC427" s="4" t="n"/>
      <c r="DD427" s="4" t="n"/>
      <c r="DE427" s="4" t="n"/>
      <c r="DF427" s="4" t="n"/>
      <c r="DG427" s="4" t="n"/>
      <c r="DH427" s="4" t="n"/>
      <c r="DI427" s="4" t="n"/>
      <c r="DJ427" s="4" t="n"/>
      <c r="DK427" s="4" t="n"/>
      <c r="DL427" s="4" t="n"/>
      <c r="DM427" s="4" t="n"/>
      <c r="DN427" s="4" t="n"/>
      <c r="DO427" s="4" t="n"/>
      <c r="DP427" s="4" t="n"/>
      <c r="DQ427" s="4" t="n"/>
      <c r="DR427" s="4" t="n"/>
      <c r="DS427" s="4" t="n"/>
      <c r="DT427" s="4" t="n"/>
      <c r="DU427" s="4" t="n"/>
      <c r="DV427" s="4" t="n"/>
      <c r="DW427" s="4" t="n"/>
      <c r="DX427" s="4" t="n"/>
      <c r="DY427" s="4" t="n"/>
      <c r="DZ427" s="4" t="n"/>
      <c r="EA427" s="4" t="n"/>
      <c r="EB427" s="4" t="n"/>
      <c r="EC427" s="4" t="n"/>
      <c r="ED427" s="4" t="n"/>
      <c r="EE427" s="4" t="n"/>
      <c r="EF427" s="4" t="n"/>
      <c r="EG427" s="4" t="n"/>
      <c r="EH427" s="4" t="n"/>
      <c r="EI427" s="4" t="n"/>
      <c r="EJ427" s="4" t="n"/>
      <c r="EK427" s="4" t="n"/>
      <c r="EL427" s="4" t="n"/>
      <c r="EM427" s="4" t="n"/>
      <c r="EN427" s="4" t="n"/>
    </row>
    <row r="428" hidden="1" customFormat="1" s="6">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c r="AE428" s="4" t="n"/>
      <c r="AF428" s="4" t="n"/>
      <c r="AG428" s="4" t="n"/>
      <c r="AH428" s="4" t="n"/>
      <c r="AI428" s="4" t="n"/>
      <c r="AJ428" s="4" t="n"/>
      <c r="AK428" s="4" t="n"/>
      <c r="AL428" s="4" t="n"/>
      <c r="AM428" s="4" t="n"/>
      <c r="AN428" s="4" t="n"/>
      <c r="AO428" s="4" t="n"/>
      <c r="AP428" s="4" t="n"/>
      <c r="AQ428" s="4" t="n"/>
      <c r="AR428" s="4" t="n"/>
      <c r="AS428" s="4" t="n"/>
      <c r="AT428" s="4" t="n"/>
      <c r="AU428" s="4" t="n"/>
      <c r="AV428" s="4" t="n"/>
      <c r="AW428" s="4" t="n"/>
      <c r="AX428" s="4" t="n"/>
      <c r="AY428" s="4" t="n"/>
      <c r="AZ428" s="4" t="n"/>
      <c r="BA428" s="4" t="n"/>
      <c r="BB428" s="4" t="n"/>
      <c r="BC428" s="4" t="n"/>
      <c r="BD428" s="4" t="n"/>
      <c r="BE428" s="4" t="n"/>
      <c r="BF428" s="4" t="n"/>
      <c r="BG428" s="4" t="n"/>
      <c r="BH428" s="4" t="n"/>
      <c r="BI428" s="4" t="n"/>
      <c r="BJ428" s="4" t="n"/>
      <c r="BK428" s="4" t="n"/>
      <c r="BL428" s="4" t="n"/>
      <c r="BM428" s="4" t="n"/>
      <c r="BN428" s="4" t="n"/>
      <c r="BO428" s="4" t="n"/>
      <c r="BP428" s="4" t="n"/>
      <c r="BQ428" s="4" t="n"/>
      <c r="BR428" s="4" t="n"/>
      <c r="BS428" s="4" t="n"/>
      <c r="BT428" s="4" t="n"/>
      <c r="BU428" s="4" t="n"/>
      <c r="BV428" s="4" t="n"/>
      <c r="BW428" s="4" t="n"/>
      <c r="BX428" s="4" t="n"/>
      <c r="BY428" s="4" t="n"/>
      <c r="BZ428" s="4" t="n"/>
      <c r="CA428" s="4" t="n"/>
      <c r="CB428" s="4" t="n"/>
      <c r="CC428" s="4" t="n"/>
      <c r="CD428" s="4" t="n"/>
      <c r="CE428" s="4" t="n"/>
      <c r="CF428" s="4" t="n"/>
      <c r="CG428" s="4" t="n"/>
      <c r="CH428" s="4" t="n"/>
      <c r="CI428" s="4" t="n"/>
      <c r="CJ428" s="4" t="n"/>
      <c r="CK428" s="4" t="n"/>
      <c r="CL428" s="4" t="n"/>
      <c r="CM428" s="4" t="n"/>
      <c r="CN428" s="4" t="n"/>
      <c r="CO428" s="4" t="n"/>
      <c r="CP428" s="4" t="n"/>
      <c r="CQ428" s="4" t="n"/>
      <c r="CR428" s="4" t="n"/>
      <c r="CS428" s="4" t="n"/>
      <c r="CT428" s="4" t="n"/>
      <c r="CU428" s="4" t="n"/>
      <c r="CV428" s="4" t="n"/>
      <c r="CW428" s="4" t="n"/>
      <c r="CX428" s="4" t="n"/>
      <c r="CY428" s="4" t="n"/>
      <c r="CZ428" s="4" t="n"/>
      <c r="DA428" s="4" t="n"/>
      <c r="DB428" s="4" t="n"/>
      <c r="DC428" s="4" t="n"/>
      <c r="DD428" s="4" t="n"/>
      <c r="DE428" s="4" t="n"/>
      <c r="DF428" s="4" t="n"/>
      <c r="DG428" s="4" t="n"/>
      <c r="DH428" s="4" t="n"/>
      <c r="DI428" s="4" t="n"/>
      <c r="DJ428" s="4" t="n"/>
      <c r="DK428" s="4" t="n"/>
      <c r="DL428" s="4" t="n"/>
      <c r="DM428" s="4" t="n"/>
      <c r="DN428" s="4" t="n"/>
      <c r="DO428" s="4" t="n"/>
      <c r="DP428" s="4" t="n"/>
      <c r="DQ428" s="4" t="n"/>
      <c r="DR428" s="4" t="n"/>
      <c r="DS428" s="4" t="n"/>
      <c r="DT428" s="4" t="n"/>
      <c r="DU428" s="4" t="n"/>
      <c r="DV428" s="4" t="n"/>
      <c r="DW428" s="4" t="n"/>
      <c r="DX428" s="4" t="n"/>
      <c r="DY428" s="4" t="n"/>
      <c r="DZ428" s="4" t="n"/>
      <c r="EA428" s="4" t="n"/>
      <c r="EB428" s="4" t="n"/>
      <c r="EC428" s="4" t="n"/>
      <c r="ED428" s="4" t="n"/>
      <c r="EE428" s="4" t="n"/>
      <c r="EF428" s="4" t="n"/>
      <c r="EG428" s="4" t="n"/>
      <c r="EH428" s="4" t="n"/>
      <c r="EI428" s="4" t="n"/>
      <c r="EJ428" s="4" t="n"/>
      <c r="EK428" s="4" t="n"/>
      <c r="EL428" s="4" t="n"/>
      <c r="EM428" s="4" t="n"/>
      <c r="EN428" s="4" t="n"/>
    </row>
    <row r="429" hidden="1" customFormat="1" s="6">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c r="AE429" s="4" t="n"/>
      <c r="AF429" s="4" t="n"/>
      <c r="AG429" s="4" t="n"/>
      <c r="AH429" s="4" t="n"/>
      <c r="AI429" s="4" t="n"/>
      <c r="AJ429" s="4" t="n"/>
      <c r="AK429" s="4" t="n"/>
      <c r="AL429" s="4" t="n"/>
      <c r="AM429" s="4" t="n"/>
      <c r="AN429" s="4" t="n"/>
      <c r="AO429" s="4" t="n"/>
      <c r="AP429" s="4" t="n"/>
      <c r="AQ429" s="4" t="n"/>
      <c r="AR429" s="4" t="n"/>
      <c r="AS429" s="4" t="n"/>
      <c r="AT429" s="4" t="n"/>
      <c r="AU429" s="4" t="n"/>
      <c r="AV429" s="4" t="n"/>
      <c r="AW429" s="4" t="n"/>
      <c r="AX429" s="4" t="n"/>
      <c r="AY429" s="4" t="n"/>
      <c r="AZ429" s="4" t="n"/>
      <c r="BA429" s="4" t="n"/>
      <c r="BB429" s="4" t="n"/>
      <c r="BC429" s="4" t="n"/>
      <c r="BD429" s="4" t="n"/>
      <c r="BE429" s="4" t="n"/>
      <c r="BF429" s="4" t="n"/>
      <c r="BG429" s="4" t="n"/>
      <c r="BH429" s="4" t="n"/>
      <c r="BI429" s="4" t="n"/>
      <c r="BJ429" s="4" t="n"/>
      <c r="BK429" s="4" t="n"/>
      <c r="BL429" s="4" t="n"/>
      <c r="BM429" s="4" t="n"/>
      <c r="BN429" s="4" t="n"/>
      <c r="BO429" s="4" t="n"/>
      <c r="BP429" s="4" t="n"/>
      <c r="BQ429" s="4" t="n"/>
      <c r="BR429" s="4" t="n"/>
      <c r="BS429" s="4" t="n"/>
      <c r="BT429" s="4" t="n"/>
      <c r="BU429" s="4" t="n"/>
      <c r="BV429" s="4" t="n"/>
      <c r="BW429" s="4" t="n"/>
      <c r="BX429" s="4" t="n"/>
      <c r="BY429" s="4" t="n"/>
      <c r="BZ429" s="4" t="n"/>
      <c r="CA429" s="4" t="n"/>
      <c r="CB429" s="4" t="n"/>
      <c r="CC429" s="4" t="n"/>
      <c r="CD429" s="4" t="n"/>
      <c r="CE429" s="4" t="n"/>
      <c r="CF429" s="4" t="n"/>
      <c r="CG429" s="4" t="n"/>
      <c r="CH429" s="4" t="n"/>
      <c r="CI429" s="4" t="n"/>
      <c r="CJ429" s="4" t="n"/>
      <c r="CK429" s="4" t="n"/>
      <c r="CL429" s="4" t="n"/>
      <c r="CM429" s="4" t="n"/>
      <c r="CN429" s="4" t="n"/>
      <c r="CO429" s="4" t="n"/>
      <c r="CP429" s="4" t="n"/>
      <c r="CQ429" s="4" t="n"/>
      <c r="CR429" s="4" t="n"/>
      <c r="CS429" s="4" t="n"/>
      <c r="CT429" s="4" t="n"/>
      <c r="CU429" s="4" t="n"/>
      <c r="CV429" s="4" t="n"/>
      <c r="CW429" s="4" t="n"/>
      <c r="CX429" s="4" t="n"/>
      <c r="CY429" s="4" t="n"/>
      <c r="CZ429" s="4" t="n"/>
      <c r="DA429" s="4" t="n"/>
      <c r="DB429" s="4" t="n"/>
      <c r="DC429" s="4" t="n"/>
      <c r="DD429" s="4" t="n"/>
      <c r="DE429" s="4" t="n"/>
      <c r="DF429" s="4" t="n"/>
      <c r="DG429" s="4" t="n"/>
      <c r="DH429" s="4" t="n"/>
      <c r="DI429" s="4" t="n"/>
      <c r="DJ429" s="4" t="n"/>
      <c r="DK429" s="4" t="n"/>
      <c r="DL429" s="4" t="n"/>
      <c r="DM429" s="4" t="n"/>
      <c r="DN429" s="4" t="n"/>
      <c r="DO429" s="4" t="n"/>
      <c r="DP429" s="4" t="n"/>
      <c r="DQ429" s="4" t="n"/>
      <c r="DR429" s="4" t="n"/>
      <c r="DS429" s="4" t="n"/>
      <c r="DT429" s="4" t="n"/>
      <c r="DU429" s="4" t="n"/>
      <c r="DV429" s="4" t="n"/>
      <c r="DW429" s="4" t="n"/>
      <c r="DX429" s="4" t="n"/>
      <c r="DY429" s="4" t="n"/>
      <c r="DZ429" s="4" t="n"/>
      <c r="EA429" s="4" t="n"/>
      <c r="EB429" s="4" t="n"/>
      <c r="EC429" s="4" t="n"/>
      <c r="ED429" s="4" t="n"/>
      <c r="EE429" s="4" t="n"/>
      <c r="EF429" s="4" t="n"/>
      <c r="EG429" s="4" t="n"/>
      <c r="EH429" s="4" t="n"/>
      <c r="EI429" s="4" t="n"/>
      <c r="EJ429" s="4" t="n"/>
      <c r="EK429" s="4" t="n"/>
      <c r="EL429" s="4" t="n"/>
      <c r="EM429" s="4" t="n"/>
      <c r="EN429" s="4" t="n"/>
    </row>
    <row r="430" hidden="1" customFormat="1" s="6">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c r="AE430" s="4" t="n"/>
      <c r="AF430" s="4" t="n"/>
      <c r="AG430" s="4" t="n"/>
      <c r="AH430" s="4" t="n"/>
      <c r="AI430" s="4" t="n"/>
      <c r="AJ430" s="4" t="n"/>
      <c r="AK430" s="4" t="n"/>
      <c r="AL430" s="4" t="n"/>
      <c r="AM430" s="4" t="n"/>
      <c r="AN430" s="4" t="n"/>
      <c r="AO430" s="4" t="n"/>
      <c r="AP430" s="4" t="n"/>
      <c r="AQ430" s="4" t="n"/>
      <c r="AR430" s="4" t="n"/>
      <c r="AS430" s="4" t="n"/>
      <c r="AT430" s="4" t="n"/>
      <c r="AU430" s="4" t="n"/>
      <c r="AV430" s="4" t="n"/>
      <c r="AW430" s="4" t="n"/>
      <c r="AX430" s="4" t="n"/>
      <c r="AY430" s="4" t="n"/>
      <c r="AZ430" s="4" t="n"/>
      <c r="BA430" s="4" t="n"/>
      <c r="BB430" s="4" t="n"/>
      <c r="BC430" s="4" t="n"/>
      <c r="BD430" s="4" t="n"/>
      <c r="BE430" s="4" t="n"/>
      <c r="BF430" s="4" t="n"/>
      <c r="BG430" s="4" t="n"/>
      <c r="BH430" s="4" t="n"/>
      <c r="BI430" s="4" t="n"/>
      <c r="BJ430" s="4" t="n"/>
      <c r="BK430" s="4" t="n"/>
      <c r="BL430" s="4" t="n"/>
      <c r="BM430" s="4" t="n"/>
      <c r="BN430" s="4" t="n"/>
      <c r="BO430" s="4" t="n"/>
      <c r="BP430" s="4" t="n"/>
      <c r="BQ430" s="4" t="n"/>
      <c r="BR430" s="4" t="n"/>
      <c r="BS430" s="4" t="n"/>
      <c r="BT430" s="4" t="n"/>
      <c r="BU430" s="4" t="n"/>
      <c r="BV430" s="4" t="n"/>
      <c r="BW430" s="4" t="n"/>
      <c r="BX430" s="4" t="n"/>
      <c r="BY430" s="4" t="n"/>
      <c r="BZ430" s="4" t="n"/>
      <c r="CA430" s="4" t="n"/>
      <c r="CB430" s="4" t="n"/>
      <c r="CC430" s="4" t="n"/>
      <c r="CD430" s="4" t="n"/>
      <c r="CE430" s="4" t="n"/>
      <c r="CF430" s="4" t="n"/>
      <c r="CG430" s="4" t="n"/>
      <c r="CH430" s="4" t="n"/>
      <c r="CI430" s="4" t="n"/>
      <c r="CJ430" s="4" t="n"/>
      <c r="CK430" s="4" t="n"/>
      <c r="CL430" s="4" t="n"/>
      <c r="CM430" s="4" t="n"/>
      <c r="CN430" s="4" t="n"/>
      <c r="CO430" s="4" t="n"/>
      <c r="CP430" s="4" t="n"/>
      <c r="CQ430" s="4" t="n"/>
      <c r="CR430" s="4" t="n"/>
      <c r="CS430" s="4" t="n"/>
      <c r="CT430" s="4" t="n"/>
      <c r="CU430" s="4" t="n"/>
      <c r="CV430" s="4" t="n"/>
      <c r="CW430" s="4" t="n"/>
      <c r="CX430" s="4" t="n"/>
      <c r="CY430" s="4" t="n"/>
      <c r="CZ430" s="4" t="n"/>
      <c r="DA430" s="4" t="n"/>
      <c r="DB430" s="4" t="n"/>
      <c r="DC430" s="4" t="n"/>
      <c r="DD430" s="4" t="n"/>
      <c r="DE430" s="4" t="n"/>
      <c r="DF430" s="4" t="n"/>
      <c r="DG430" s="4" t="n"/>
      <c r="DH430" s="4" t="n"/>
      <c r="DI430" s="4" t="n"/>
      <c r="DJ430" s="4" t="n"/>
      <c r="DK430" s="4" t="n"/>
      <c r="DL430" s="4" t="n"/>
      <c r="DM430" s="4" t="n"/>
      <c r="DN430" s="4" t="n"/>
      <c r="DO430" s="4" t="n"/>
      <c r="DP430" s="4" t="n"/>
      <c r="DQ430" s="4" t="n"/>
      <c r="DR430" s="4" t="n"/>
      <c r="DS430" s="4" t="n"/>
      <c r="DT430" s="4" t="n"/>
      <c r="DU430" s="4" t="n"/>
      <c r="DV430" s="4" t="n"/>
      <c r="DW430" s="4" t="n"/>
      <c r="DX430" s="4" t="n"/>
      <c r="DY430" s="4" t="n"/>
      <c r="DZ430" s="4" t="n"/>
      <c r="EA430" s="4" t="n"/>
      <c r="EB430" s="4" t="n"/>
      <c r="EC430" s="4" t="n"/>
      <c r="ED430" s="4" t="n"/>
      <c r="EE430" s="4" t="n"/>
      <c r="EF430" s="4" t="n"/>
      <c r="EG430" s="4" t="n"/>
      <c r="EH430" s="4" t="n"/>
      <c r="EI430" s="4" t="n"/>
      <c r="EJ430" s="4" t="n"/>
      <c r="EK430" s="4" t="n"/>
      <c r="EL430" s="4" t="n"/>
      <c r="EM430" s="4" t="n"/>
      <c r="EN430" s="4" t="n"/>
    </row>
    <row r="431" hidden="1" customFormat="1" s="6">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c r="AE431" s="4" t="n"/>
      <c r="AF431" s="4" t="n"/>
      <c r="AG431" s="4" t="n"/>
      <c r="AH431" s="4" t="n"/>
      <c r="AI431" s="4" t="n"/>
      <c r="AJ431" s="4" t="n"/>
      <c r="AK431" s="4" t="n"/>
      <c r="AL431" s="4" t="n"/>
      <c r="AM431" s="4" t="n"/>
      <c r="AN431" s="4" t="n"/>
      <c r="AO431" s="4" t="n"/>
      <c r="AP431" s="4" t="n"/>
      <c r="AQ431" s="4" t="n"/>
      <c r="AR431" s="4" t="n"/>
      <c r="AS431" s="4" t="n"/>
      <c r="AT431" s="4" t="n"/>
      <c r="AU431" s="4" t="n"/>
      <c r="AV431" s="4" t="n"/>
      <c r="AW431" s="4" t="n"/>
      <c r="AX431" s="4" t="n"/>
      <c r="AY431" s="4" t="n"/>
      <c r="AZ431" s="4" t="n"/>
      <c r="BA431" s="4" t="n"/>
      <c r="BB431" s="4" t="n"/>
      <c r="BC431" s="4" t="n"/>
      <c r="BD431" s="4" t="n"/>
      <c r="BE431" s="4" t="n"/>
      <c r="BF431" s="4" t="n"/>
      <c r="BG431" s="4" t="n"/>
      <c r="BH431" s="4" t="n"/>
      <c r="BI431" s="4" t="n"/>
      <c r="BJ431" s="4" t="n"/>
      <c r="BK431" s="4" t="n"/>
      <c r="BL431" s="4" t="n"/>
      <c r="BM431" s="4" t="n"/>
      <c r="BN431" s="4" t="n"/>
      <c r="BO431" s="4" t="n"/>
      <c r="BP431" s="4" t="n"/>
      <c r="BQ431" s="4" t="n"/>
      <c r="BR431" s="4" t="n"/>
      <c r="BS431" s="4" t="n"/>
      <c r="BT431" s="4" t="n"/>
      <c r="BU431" s="4" t="n"/>
      <c r="BV431" s="4" t="n"/>
      <c r="BW431" s="4" t="n"/>
      <c r="BX431" s="4" t="n"/>
      <c r="BY431" s="4" t="n"/>
      <c r="BZ431" s="4" t="n"/>
      <c r="CA431" s="4" t="n"/>
      <c r="CB431" s="4" t="n"/>
      <c r="CC431" s="4" t="n"/>
      <c r="CD431" s="4" t="n"/>
      <c r="CE431" s="4" t="n"/>
      <c r="CF431" s="4" t="n"/>
      <c r="CG431" s="4" t="n"/>
      <c r="CH431" s="4" t="n"/>
      <c r="CI431" s="4" t="n"/>
      <c r="CJ431" s="4" t="n"/>
      <c r="CK431" s="4" t="n"/>
      <c r="CL431" s="4" t="n"/>
      <c r="CM431" s="4" t="n"/>
      <c r="CN431" s="4" t="n"/>
      <c r="CO431" s="4" t="n"/>
      <c r="CP431" s="4" t="n"/>
      <c r="CQ431" s="4" t="n"/>
      <c r="CR431" s="4" t="n"/>
      <c r="CS431" s="4" t="n"/>
      <c r="CT431" s="4" t="n"/>
      <c r="CU431" s="4" t="n"/>
      <c r="CV431" s="4" t="n"/>
      <c r="CW431" s="4" t="n"/>
      <c r="CX431" s="4" t="n"/>
      <c r="CY431" s="4" t="n"/>
      <c r="CZ431" s="4" t="n"/>
      <c r="DA431" s="4" t="n"/>
      <c r="DB431" s="4" t="n"/>
      <c r="DC431" s="4" t="n"/>
      <c r="DD431" s="4" t="n"/>
      <c r="DE431" s="4" t="n"/>
      <c r="DF431" s="4" t="n"/>
      <c r="DG431" s="4" t="n"/>
      <c r="DH431" s="4" t="n"/>
      <c r="DI431" s="4" t="n"/>
      <c r="DJ431" s="4" t="n"/>
      <c r="DK431" s="4" t="n"/>
      <c r="DL431" s="4" t="n"/>
      <c r="DM431" s="4" t="n"/>
      <c r="DN431" s="4" t="n"/>
      <c r="DO431" s="4" t="n"/>
      <c r="DP431" s="4" t="n"/>
      <c r="DQ431" s="4" t="n"/>
      <c r="DR431" s="4" t="n"/>
      <c r="DS431" s="4" t="n"/>
      <c r="DT431" s="4" t="n"/>
      <c r="DU431" s="4" t="n"/>
      <c r="DV431" s="4" t="n"/>
      <c r="DW431" s="4" t="n"/>
      <c r="DX431" s="4" t="n"/>
      <c r="DY431" s="4" t="n"/>
      <c r="DZ431" s="4" t="n"/>
      <c r="EA431" s="4" t="n"/>
      <c r="EB431" s="4" t="n"/>
      <c r="EC431" s="4" t="n"/>
      <c r="ED431" s="4" t="n"/>
      <c r="EE431" s="4" t="n"/>
      <c r="EF431" s="4" t="n"/>
      <c r="EG431" s="4" t="n"/>
      <c r="EH431" s="4" t="n"/>
      <c r="EI431" s="4" t="n"/>
      <c r="EJ431" s="4" t="n"/>
      <c r="EK431" s="4" t="n"/>
      <c r="EL431" s="4" t="n"/>
      <c r="EM431" s="4" t="n"/>
      <c r="EN431" s="4" t="n"/>
    </row>
    <row r="432" hidden="1" customFormat="1" s="6">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c r="AE432" s="4" t="n"/>
      <c r="AF432" s="4" t="n"/>
      <c r="AG432" s="4" t="n"/>
      <c r="AH432" s="4" t="n"/>
      <c r="AI432" s="4" t="n"/>
      <c r="AJ432" s="4" t="n"/>
      <c r="AK432" s="4" t="n"/>
      <c r="AL432" s="4" t="n"/>
      <c r="AM432" s="4" t="n"/>
      <c r="AN432" s="4" t="n"/>
      <c r="AO432" s="4" t="n"/>
      <c r="AP432" s="4" t="n"/>
      <c r="AQ432" s="4" t="n"/>
      <c r="AR432" s="4" t="n"/>
      <c r="AS432" s="4" t="n"/>
      <c r="AT432" s="4" t="n"/>
      <c r="AU432" s="4" t="n"/>
      <c r="AV432" s="4" t="n"/>
      <c r="AW432" s="4" t="n"/>
      <c r="AX432" s="4" t="n"/>
      <c r="AY432" s="4" t="n"/>
      <c r="AZ432" s="4" t="n"/>
      <c r="BA432" s="4" t="n"/>
      <c r="BB432" s="4" t="n"/>
      <c r="BC432" s="4" t="n"/>
      <c r="BD432" s="4" t="n"/>
      <c r="BE432" s="4" t="n"/>
      <c r="BF432" s="4" t="n"/>
      <c r="BG432" s="4" t="n"/>
      <c r="BH432" s="4" t="n"/>
      <c r="BI432" s="4" t="n"/>
      <c r="BJ432" s="4" t="n"/>
      <c r="BK432" s="4" t="n"/>
      <c r="BL432" s="4" t="n"/>
      <c r="BM432" s="4" t="n"/>
      <c r="BN432" s="4" t="n"/>
      <c r="BO432" s="4" t="n"/>
      <c r="BP432" s="4" t="n"/>
      <c r="BQ432" s="4" t="n"/>
      <c r="BR432" s="4" t="n"/>
      <c r="BS432" s="4" t="n"/>
      <c r="BT432" s="4" t="n"/>
      <c r="BU432" s="4" t="n"/>
      <c r="BV432" s="4" t="n"/>
      <c r="BW432" s="4" t="n"/>
      <c r="BX432" s="4" t="n"/>
      <c r="BY432" s="4" t="n"/>
      <c r="BZ432" s="4" t="n"/>
      <c r="CA432" s="4" t="n"/>
      <c r="CB432" s="4" t="n"/>
      <c r="CC432" s="4" t="n"/>
      <c r="CD432" s="4" t="n"/>
      <c r="CE432" s="4" t="n"/>
      <c r="CF432" s="4" t="n"/>
      <c r="CG432" s="4" t="n"/>
      <c r="CH432" s="4" t="n"/>
      <c r="CI432" s="4" t="n"/>
      <c r="CJ432" s="4" t="n"/>
      <c r="CK432" s="4" t="n"/>
      <c r="CL432" s="4" t="n"/>
      <c r="CM432" s="4" t="n"/>
      <c r="CN432" s="4" t="n"/>
      <c r="CO432" s="4" t="n"/>
      <c r="CP432" s="4" t="n"/>
      <c r="CQ432" s="4" t="n"/>
      <c r="CR432" s="4" t="n"/>
      <c r="CS432" s="4" t="n"/>
      <c r="CT432" s="4" t="n"/>
      <c r="CU432" s="4" t="n"/>
      <c r="CV432" s="4" t="n"/>
      <c r="CW432" s="4" t="n"/>
      <c r="CX432" s="4" t="n"/>
      <c r="CY432" s="4" t="n"/>
      <c r="CZ432" s="4" t="n"/>
      <c r="DA432" s="4" t="n"/>
      <c r="DB432" s="4" t="n"/>
      <c r="DC432" s="4" t="n"/>
      <c r="DD432" s="4" t="n"/>
      <c r="DE432" s="4" t="n"/>
      <c r="DF432" s="4" t="n"/>
      <c r="DG432" s="4" t="n"/>
      <c r="DH432" s="4" t="n"/>
      <c r="DI432" s="4" t="n"/>
      <c r="DJ432" s="4" t="n"/>
      <c r="DK432" s="4" t="n"/>
      <c r="DL432" s="4" t="n"/>
      <c r="DM432" s="4" t="n"/>
      <c r="DN432" s="4" t="n"/>
      <c r="DO432" s="4" t="n"/>
      <c r="DP432" s="4" t="n"/>
      <c r="DQ432" s="4" t="n"/>
      <c r="DR432" s="4" t="n"/>
      <c r="DS432" s="4" t="n"/>
      <c r="DT432" s="4" t="n"/>
      <c r="DU432" s="4" t="n"/>
      <c r="DV432" s="4" t="n"/>
      <c r="DW432" s="4" t="n"/>
      <c r="DX432" s="4" t="n"/>
      <c r="DY432" s="4" t="n"/>
      <c r="DZ432" s="4" t="n"/>
      <c r="EA432" s="4" t="n"/>
      <c r="EB432" s="4" t="n"/>
      <c r="EC432" s="4" t="n"/>
      <c r="ED432" s="4" t="n"/>
      <c r="EE432" s="4" t="n"/>
      <c r="EF432" s="4" t="n"/>
      <c r="EG432" s="4" t="n"/>
      <c r="EH432" s="4" t="n"/>
      <c r="EI432" s="4" t="n"/>
      <c r="EJ432" s="4" t="n"/>
      <c r="EK432" s="4" t="n"/>
      <c r="EL432" s="4" t="n"/>
      <c r="EM432" s="4" t="n"/>
      <c r="EN432" s="4" t="n"/>
    </row>
    <row r="433" hidden="1" customFormat="1" s="6">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c r="AE433" s="4" t="n"/>
      <c r="AF433" s="4" t="n"/>
      <c r="AG433" s="4" t="n"/>
      <c r="AH433" s="4" t="n"/>
      <c r="AI433" s="4" t="n"/>
      <c r="AJ433" s="4" t="n"/>
      <c r="AK433" s="4" t="n"/>
      <c r="AL433" s="4" t="n"/>
      <c r="AM433" s="4" t="n"/>
      <c r="AN433" s="4" t="n"/>
      <c r="AO433" s="4" t="n"/>
      <c r="AP433" s="4" t="n"/>
      <c r="AQ433" s="4" t="n"/>
      <c r="AR433" s="4" t="n"/>
      <c r="AS433" s="4" t="n"/>
      <c r="AT433" s="4" t="n"/>
      <c r="AU433" s="4" t="n"/>
      <c r="AV433" s="4" t="n"/>
      <c r="AW433" s="4" t="n"/>
      <c r="AX433" s="4" t="n"/>
      <c r="AY433" s="4" t="n"/>
      <c r="AZ433" s="4" t="n"/>
      <c r="BA433" s="4" t="n"/>
      <c r="BB433" s="4" t="n"/>
      <c r="BC433" s="4" t="n"/>
      <c r="BD433" s="4" t="n"/>
      <c r="BE433" s="4" t="n"/>
      <c r="BF433" s="4" t="n"/>
      <c r="BG433" s="4" t="n"/>
      <c r="BH433" s="4" t="n"/>
      <c r="BI433" s="4" t="n"/>
      <c r="BJ433" s="4" t="n"/>
      <c r="BK433" s="4" t="n"/>
      <c r="BL433" s="4" t="n"/>
      <c r="BM433" s="4" t="n"/>
      <c r="BN433" s="4" t="n"/>
      <c r="BO433" s="4" t="n"/>
      <c r="BP433" s="4" t="n"/>
      <c r="BQ433" s="4" t="n"/>
      <c r="BR433" s="4" t="n"/>
      <c r="BS433" s="4" t="n"/>
      <c r="BT433" s="4" t="n"/>
      <c r="BU433" s="4" t="n"/>
      <c r="BV433" s="4" t="n"/>
      <c r="BW433" s="4" t="n"/>
      <c r="BX433" s="4" t="n"/>
      <c r="BY433" s="4" t="n"/>
      <c r="BZ433" s="4" t="n"/>
      <c r="CA433" s="4" t="n"/>
      <c r="CB433" s="4" t="n"/>
      <c r="CC433" s="4" t="n"/>
      <c r="CD433" s="4" t="n"/>
      <c r="CE433" s="4" t="n"/>
      <c r="CF433" s="4" t="n"/>
      <c r="CG433" s="4" t="n"/>
      <c r="CH433" s="4" t="n"/>
      <c r="CI433" s="4" t="n"/>
      <c r="CJ433" s="4" t="n"/>
      <c r="CK433" s="4" t="n"/>
      <c r="CL433" s="4" t="n"/>
      <c r="CM433" s="4" t="n"/>
      <c r="CN433" s="4" t="n"/>
      <c r="CO433" s="4" t="n"/>
      <c r="CP433" s="4" t="n"/>
      <c r="CQ433" s="4" t="n"/>
      <c r="CR433" s="4" t="n"/>
      <c r="CS433" s="4" t="n"/>
      <c r="CT433" s="4" t="n"/>
      <c r="CU433" s="4" t="n"/>
      <c r="CV433" s="4" t="n"/>
      <c r="CW433" s="4" t="n"/>
      <c r="CX433" s="4" t="n"/>
      <c r="CY433" s="4" t="n"/>
      <c r="CZ433" s="4" t="n"/>
      <c r="DA433" s="4" t="n"/>
      <c r="DB433" s="4" t="n"/>
      <c r="DC433" s="4" t="n"/>
      <c r="DD433" s="4" t="n"/>
      <c r="DE433" s="4" t="n"/>
      <c r="DF433" s="4" t="n"/>
      <c r="DG433" s="4" t="n"/>
      <c r="DH433" s="4" t="n"/>
      <c r="DI433" s="4" t="n"/>
      <c r="DJ433" s="4" t="n"/>
      <c r="DK433" s="4" t="n"/>
      <c r="DL433" s="4" t="n"/>
      <c r="DM433" s="4" t="n"/>
      <c r="DN433" s="4" t="n"/>
      <c r="DO433" s="4" t="n"/>
      <c r="DP433" s="4" t="n"/>
      <c r="DQ433" s="4" t="n"/>
      <c r="DR433" s="4" t="n"/>
      <c r="DS433" s="4" t="n"/>
      <c r="DT433" s="4" t="n"/>
      <c r="DU433" s="4" t="n"/>
      <c r="DV433" s="4" t="n"/>
      <c r="DW433" s="4" t="n"/>
      <c r="DX433" s="4" t="n"/>
      <c r="DY433" s="4" t="n"/>
      <c r="DZ433" s="4" t="n"/>
      <c r="EA433" s="4" t="n"/>
      <c r="EB433" s="4" t="n"/>
      <c r="EC433" s="4" t="n"/>
      <c r="ED433" s="4" t="n"/>
      <c r="EE433" s="4" t="n"/>
      <c r="EF433" s="4" t="n"/>
      <c r="EG433" s="4" t="n"/>
      <c r="EH433" s="4" t="n"/>
      <c r="EI433" s="4" t="n"/>
      <c r="EJ433" s="4" t="n"/>
      <c r="EK433" s="4" t="n"/>
      <c r="EL433" s="4" t="n"/>
      <c r="EM433" s="4" t="n"/>
      <c r="EN433" s="4" t="n"/>
    </row>
    <row r="434" hidden="1" customFormat="1" s="6">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c r="AE434" s="4" t="n"/>
      <c r="AF434" s="4" t="n"/>
      <c r="AG434" s="4" t="n"/>
      <c r="AH434" s="4" t="n"/>
      <c r="AI434" s="4" t="n"/>
      <c r="AJ434" s="4" t="n"/>
      <c r="AK434" s="4" t="n"/>
      <c r="AL434" s="4" t="n"/>
      <c r="AM434" s="4" t="n"/>
      <c r="AN434" s="4" t="n"/>
      <c r="AO434" s="4" t="n"/>
      <c r="AP434" s="4" t="n"/>
      <c r="AQ434" s="4" t="n"/>
      <c r="AR434" s="4" t="n"/>
      <c r="AS434" s="4" t="n"/>
      <c r="AT434" s="4" t="n"/>
      <c r="AU434" s="4" t="n"/>
      <c r="AV434" s="4" t="n"/>
      <c r="AW434" s="4" t="n"/>
      <c r="AX434" s="4" t="n"/>
      <c r="AY434" s="4" t="n"/>
      <c r="AZ434" s="4" t="n"/>
      <c r="BA434" s="4" t="n"/>
      <c r="BB434" s="4" t="n"/>
      <c r="BC434" s="4" t="n"/>
      <c r="BD434" s="4" t="n"/>
      <c r="BE434" s="4" t="n"/>
      <c r="BF434" s="4" t="n"/>
      <c r="BG434" s="4" t="n"/>
      <c r="BH434" s="4" t="n"/>
      <c r="BI434" s="4" t="n"/>
      <c r="BJ434" s="4" t="n"/>
      <c r="BK434" s="4" t="n"/>
      <c r="BL434" s="4" t="n"/>
      <c r="BM434" s="4" t="n"/>
      <c r="BN434" s="4" t="n"/>
      <c r="BO434" s="4" t="n"/>
      <c r="BP434" s="4" t="n"/>
      <c r="BQ434" s="4" t="n"/>
      <c r="BR434" s="4" t="n"/>
      <c r="BS434" s="4" t="n"/>
      <c r="BT434" s="4" t="n"/>
      <c r="BU434" s="4" t="n"/>
      <c r="BV434" s="4" t="n"/>
      <c r="BW434" s="4" t="n"/>
      <c r="BX434" s="4" t="n"/>
      <c r="BY434" s="4" t="n"/>
      <c r="BZ434" s="4" t="n"/>
      <c r="CA434" s="4" t="n"/>
      <c r="CB434" s="4" t="n"/>
      <c r="CC434" s="4" t="n"/>
      <c r="CD434" s="4" t="n"/>
      <c r="CE434" s="4" t="n"/>
      <c r="CF434" s="4" t="n"/>
      <c r="CG434" s="4" t="n"/>
      <c r="CH434" s="4" t="n"/>
      <c r="CI434" s="4" t="n"/>
      <c r="CJ434" s="4" t="n"/>
      <c r="CK434" s="4" t="n"/>
      <c r="CL434" s="4" t="n"/>
      <c r="CM434" s="4" t="n"/>
      <c r="CN434" s="4" t="n"/>
      <c r="CO434" s="4" t="n"/>
      <c r="CP434" s="4" t="n"/>
      <c r="CQ434" s="4" t="n"/>
      <c r="CR434" s="4" t="n"/>
      <c r="CS434" s="4" t="n"/>
      <c r="CT434" s="4" t="n"/>
      <c r="CU434" s="4" t="n"/>
      <c r="CV434" s="4" t="n"/>
      <c r="CW434" s="4" t="n"/>
      <c r="CX434" s="4" t="n"/>
      <c r="CY434" s="4" t="n"/>
      <c r="CZ434" s="4" t="n"/>
      <c r="DA434" s="4" t="n"/>
      <c r="DB434" s="4" t="n"/>
      <c r="DC434" s="4" t="n"/>
      <c r="DD434" s="4" t="n"/>
      <c r="DE434" s="4" t="n"/>
      <c r="DF434" s="4" t="n"/>
      <c r="DG434" s="4" t="n"/>
      <c r="DH434" s="4" t="n"/>
      <c r="DI434" s="4" t="n"/>
      <c r="DJ434" s="4" t="n"/>
      <c r="DK434" s="4" t="n"/>
      <c r="DL434" s="4" t="n"/>
      <c r="DM434" s="4" t="n"/>
      <c r="DN434" s="4" t="n"/>
      <c r="DO434" s="4" t="n"/>
      <c r="DP434" s="4" t="n"/>
      <c r="DQ434" s="4" t="n"/>
      <c r="DR434" s="4" t="n"/>
      <c r="DS434" s="4" t="n"/>
      <c r="DT434" s="4" t="n"/>
      <c r="DU434" s="4" t="n"/>
      <c r="DV434" s="4" t="n"/>
      <c r="DW434" s="4" t="n"/>
      <c r="DX434" s="4" t="n"/>
      <c r="DY434" s="4" t="n"/>
      <c r="DZ434" s="4" t="n"/>
      <c r="EA434" s="4" t="n"/>
      <c r="EB434" s="4" t="n"/>
      <c r="EC434" s="4" t="n"/>
      <c r="ED434" s="4" t="n"/>
      <c r="EE434" s="4" t="n"/>
      <c r="EF434" s="4" t="n"/>
      <c r="EG434" s="4" t="n"/>
      <c r="EH434" s="4" t="n"/>
      <c r="EI434" s="4" t="n"/>
      <c r="EJ434" s="4" t="n"/>
      <c r="EK434" s="4" t="n"/>
      <c r="EL434" s="4" t="n"/>
      <c r="EM434" s="4" t="n"/>
      <c r="EN434" s="4" t="n"/>
    </row>
    <row r="435" hidden="1" customFormat="1" s="6">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c r="AE435" s="4" t="n"/>
      <c r="AF435" s="4" t="n"/>
      <c r="AG435" s="4" t="n"/>
      <c r="AH435" s="4" t="n"/>
      <c r="AI435" s="4" t="n"/>
      <c r="AJ435" s="4" t="n"/>
      <c r="AK435" s="4" t="n"/>
      <c r="AL435" s="4" t="n"/>
      <c r="AM435" s="4" t="n"/>
      <c r="AN435" s="4" t="n"/>
      <c r="AO435" s="4" t="n"/>
      <c r="AP435" s="4" t="n"/>
      <c r="AQ435" s="4" t="n"/>
      <c r="AR435" s="4" t="n"/>
      <c r="AS435" s="4" t="n"/>
      <c r="AT435" s="4" t="n"/>
      <c r="AU435" s="4" t="n"/>
      <c r="AV435" s="4" t="n"/>
      <c r="AW435" s="4" t="n"/>
      <c r="AX435" s="4" t="n"/>
      <c r="AY435" s="4" t="n"/>
      <c r="AZ435" s="4" t="n"/>
      <c r="BA435" s="4" t="n"/>
      <c r="BB435" s="4" t="n"/>
      <c r="BC435" s="4" t="n"/>
      <c r="BD435" s="4" t="n"/>
      <c r="BE435" s="4" t="n"/>
      <c r="BF435" s="4" t="n"/>
      <c r="BG435" s="4" t="n"/>
      <c r="BH435" s="4" t="n"/>
      <c r="BI435" s="4" t="n"/>
      <c r="BJ435" s="4" t="n"/>
      <c r="BK435" s="4" t="n"/>
      <c r="BL435" s="4" t="n"/>
      <c r="BM435" s="4" t="n"/>
      <c r="BN435" s="4" t="n"/>
      <c r="BO435" s="4" t="n"/>
      <c r="BP435" s="4" t="n"/>
      <c r="BQ435" s="4" t="n"/>
      <c r="BR435" s="4" t="n"/>
      <c r="BS435" s="4" t="n"/>
      <c r="BT435" s="4" t="n"/>
      <c r="BU435" s="4" t="n"/>
      <c r="BV435" s="4" t="n"/>
      <c r="BW435" s="4" t="n"/>
      <c r="BX435" s="4" t="n"/>
      <c r="BY435" s="4" t="n"/>
      <c r="BZ435" s="4" t="n"/>
      <c r="CA435" s="4" t="n"/>
      <c r="CB435" s="4" t="n"/>
      <c r="CC435" s="4" t="n"/>
      <c r="CD435" s="4" t="n"/>
      <c r="CE435" s="4" t="n"/>
      <c r="CF435" s="4" t="n"/>
      <c r="CG435" s="4" t="n"/>
      <c r="CH435" s="4" t="n"/>
      <c r="CI435" s="4" t="n"/>
      <c r="CJ435" s="4" t="n"/>
      <c r="CK435" s="4" t="n"/>
      <c r="CL435" s="4" t="n"/>
      <c r="CM435" s="4" t="n"/>
      <c r="CN435" s="4" t="n"/>
      <c r="CO435" s="4" t="n"/>
      <c r="CP435" s="4" t="n"/>
      <c r="CQ435" s="4" t="n"/>
      <c r="CR435" s="4" t="n"/>
      <c r="CS435" s="4" t="n"/>
      <c r="CT435" s="4" t="n"/>
      <c r="CU435" s="4" t="n"/>
      <c r="CV435" s="4" t="n"/>
      <c r="CW435" s="4" t="n"/>
      <c r="CX435" s="4" t="n"/>
      <c r="CY435" s="4" t="n"/>
      <c r="CZ435" s="4" t="n"/>
      <c r="DA435" s="4" t="n"/>
      <c r="DB435" s="4" t="n"/>
      <c r="DC435" s="4" t="n"/>
      <c r="DD435" s="4" t="n"/>
      <c r="DE435" s="4" t="n"/>
      <c r="DF435" s="4" t="n"/>
      <c r="DG435" s="4" t="n"/>
      <c r="DH435" s="4" t="n"/>
      <c r="DI435" s="4" t="n"/>
      <c r="DJ435" s="4" t="n"/>
      <c r="DK435" s="4" t="n"/>
      <c r="DL435" s="4" t="n"/>
      <c r="DM435" s="4" t="n"/>
      <c r="DN435" s="4" t="n"/>
      <c r="DO435" s="4" t="n"/>
      <c r="DP435" s="4" t="n"/>
      <c r="DQ435" s="4" t="n"/>
      <c r="DR435" s="4" t="n"/>
      <c r="DS435" s="4" t="n"/>
      <c r="DT435" s="4" t="n"/>
      <c r="DU435" s="4" t="n"/>
      <c r="DV435" s="4" t="n"/>
      <c r="DW435" s="4" t="n"/>
      <c r="DX435" s="4" t="n"/>
      <c r="DY435" s="4" t="n"/>
      <c r="DZ435" s="4" t="n"/>
      <c r="EA435" s="4" t="n"/>
      <c r="EB435" s="4" t="n"/>
      <c r="EC435" s="4" t="n"/>
      <c r="ED435" s="4" t="n"/>
      <c r="EE435" s="4" t="n"/>
      <c r="EF435" s="4" t="n"/>
      <c r="EG435" s="4" t="n"/>
      <c r="EH435" s="4" t="n"/>
      <c r="EI435" s="4" t="n"/>
      <c r="EJ435" s="4" t="n"/>
      <c r="EK435" s="4" t="n"/>
      <c r="EL435" s="4" t="n"/>
      <c r="EM435" s="4" t="n"/>
      <c r="EN435" s="4" t="n"/>
    </row>
    <row r="436" hidden="1" customFormat="1" s="6">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c r="AE436" s="4" t="n"/>
      <c r="AF436" s="4" t="n"/>
      <c r="AG436" s="4" t="n"/>
      <c r="AH436" s="4" t="n"/>
      <c r="AI436" s="4" t="n"/>
      <c r="AJ436" s="4" t="n"/>
      <c r="AK436" s="4" t="n"/>
      <c r="AL436" s="4" t="n"/>
      <c r="AM436" s="4" t="n"/>
      <c r="AN436" s="4" t="n"/>
      <c r="AO436" s="4" t="n"/>
      <c r="AP436" s="4" t="n"/>
      <c r="AQ436" s="4" t="n"/>
      <c r="AR436" s="4" t="n"/>
      <c r="AS436" s="4" t="n"/>
      <c r="AT436" s="4" t="n"/>
      <c r="AU436" s="4" t="n"/>
      <c r="AV436" s="4" t="n"/>
      <c r="AW436" s="4" t="n"/>
      <c r="AX436" s="4" t="n"/>
      <c r="AY436" s="4" t="n"/>
      <c r="AZ436" s="4" t="n"/>
      <c r="BA436" s="4" t="n"/>
      <c r="BB436" s="4" t="n"/>
      <c r="BC436" s="4" t="n"/>
      <c r="BD436" s="4" t="n"/>
      <c r="BE436" s="4" t="n"/>
      <c r="BF436" s="4" t="n"/>
      <c r="BG436" s="4" t="n"/>
      <c r="BH436" s="4" t="n"/>
      <c r="BI436" s="4" t="n"/>
      <c r="BJ436" s="4" t="n"/>
      <c r="BK436" s="4" t="n"/>
      <c r="BL436" s="4" t="n"/>
      <c r="BM436" s="4" t="n"/>
      <c r="BN436" s="4" t="n"/>
      <c r="BO436" s="4" t="n"/>
      <c r="BP436" s="4" t="n"/>
      <c r="BQ436" s="4" t="n"/>
      <c r="BR436" s="4" t="n"/>
      <c r="BS436" s="4" t="n"/>
      <c r="BT436" s="4" t="n"/>
      <c r="BU436" s="4" t="n"/>
      <c r="BV436" s="4" t="n"/>
      <c r="BW436" s="4" t="n"/>
      <c r="BX436" s="4" t="n"/>
      <c r="BY436" s="4" t="n"/>
      <c r="BZ436" s="4" t="n"/>
      <c r="CA436" s="4" t="n"/>
      <c r="CB436" s="4" t="n"/>
      <c r="CC436" s="4" t="n"/>
      <c r="CD436" s="4" t="n"/>
      <c r="CE436" s="4" t="n"/>
      <c r="CF436" s="4" t="n"/>
      <c r="CG436" s="4" t="n"/>
      <c r="CH436" s="4" t="n"/>
      <c r="CI436" s="4" t="n"/>
      <c r="CJ436" s="4" t="n"/>
      <c r="CK436" s="4" t="n"/>
      <c r="CL436" s="4" t="n"/>
      <c r="CM436" s="4" t="n"/>
      <c r="CN436" s="4" t="n"/>
      <c r="CO436" s="4" t="n"/>
      <c r="CP436" s="4" t="n"/>
      <c r="CQ436" s="4" t="n"/>
      <c r="CR436" s="4" t="n"/>
      <c r="CS436" s="4" t="n"/>
      <c r="CT436" s="4" t="n"/>
      <c r="CU436" s="4" t="n"/>
      <c r="CV436" s="4" t="n"/>
      <c r="CW436" s="4" t="n"/>
      <c r="CX436" s="4" t="n"/>
      <c r="CY436" s="4" t="n"/>
      <c r="CZ436" s="4" t="n"/>
      <c r="DA436" s="4" t="n"/>
      <c r="DB436" s="4" t="n"/>
      <c r="DC436" s="4" t="n"/>
      <c r="DD436" s="4" t="n"/>
      <c r="DE436" s="4" t="n"/>
      <c r="DF436" s="4" t="n"/>
      <c r="DG436" s="4" t="n"/>
      <c r="DH436" s="4" t="n"/>
      <c r="DI436" s="4" t="n"/>
      <c r="DJ436" s="4" t="n"/>
      <c r="DK436" s="4" t="n"/>
      <c r="DL436" s="4" t="n"/>
      <c r="DM436" s="4" t="n"/>
      <c r="DN436" s="4" t="n"/>
      <c r="DO436" s="4" t="n"/>
      <c r="DP436" s="4" t="n"/>
      <c r="DQ436" s="4" t="n"/>
      <c r="DR436" s="4" t="n"/>
      <c r="DS436" s="4" t="n"/>
      <c r="DT436" s="4" t="n"/>
      <c r="DU436" s="4" t="n"/>
      <c r="DV436" s="4" t="n"/>
      <c r="DW436" s="4" t="n"/>
      <c r="DX436" s="4" t="n"/>
      <c r="DY436" s="4" t="n"/>
      <c r="DZ436" s="4" t="n"/>
      <c r="EA436" s="4" t="n"/>
      <c r="EB436" s="4" t="n"/>
      <c r="EC436" s="4" t="n"/>
      <c r="ED436" s="4" t="n"/>
      <c r="EE436" s="4" t="n"/>
      <c r="EF436" s="4" t="n"/>
      <c r="EG436" s="4" t="n"/>
      <c r="EH436" s="4" t="n"/>
      <c r="EI436" s="4" t="n"/>
      <c r="EJ436" s="4" t="n"/>
      <c r="EK436" s="4" t="n"/>
      <c r="EL436" s="4" t="n"/>
      <c r="EM436" s="4" t="n"/>
      <c r="EN436" s="4" t="n"/>
    </row>
    <row r="437" hidden="1" customFormat="1" s="6">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c r="AD437" s="4" t="n"/>
      <c r="AE437" s="4" t="n"/>
      <c r="AF437" s="4" t="n"/>
      <c r="AG437" s="4" t="n"/>
      <c r="AH437" s="4" t="n"/>
      <c r="AI437" s="4" t="n"/>
      <c r="AJ437" s="4" t="n"/>
      <c r="AK437" s="4" t="n"/>
      <c r="AL437" s="4" t="n"/>
      <c r="AM437" s="4" t="n"/>
      <c r="AN437" s="4" t="n"/>
      <c r="AO437" s="4" t="n"/>
      <c r="AP437" s="4" t="n"/>
      <c r="AQ437" s="4" t="n"/>
      <c r="AR437" s="4" t="n"/>
      <c r="AS437" s="4" t="n"/>
      <c r="AT437" s="4" t="n"/>
      <c r="AU437" s="4" t="n"/>
      <c r="AV437" s="4" t="n"/>
      <c r="AW437" s="4" t="n"/>
      <c r="AX437" s="4" t="n"/>
      <c r="AY437" s="4" t="n"/>
      <c r="AZ437" s="4" t="n"/>
      <c r="BA437" s="4" t="n"/>
      <c r="BB437" s="4" t="n"/>
      <c r="BC437" s="4" t="n"/>
      <c r="BD437" s="4" t="n"/>
      <c r="BE437" s="4" t="n"/>
      <c r="BF437" s="4" t="n"/>
      <c r="BG437" s="4" t="n"/>
      <c r="BH437" s="4" t="n"/>
      <c r="BI437" s="4" t="n"/>
      <c r="BJ437" s="4" t="n"/>
      <c r="BK437" s="4" t="n"/>
      <c r="BL437" s="4" t="n"/>
      <c r="BM437" s="4" t="n"/>
      <c r="BN437" s="4" t="n"/>
      <c r="BO437" s="4" t="n"/>
      <c r="BP437" s="4" t="n"/>
      <c r="BQ437" s="4" t="n"/>
      <c r="BR437" s="4" t="n"/>
      <c r="BS437" s="4" t="n"/>
      <c r="BT437" s="4" t="n"/>
      <c r="BU437" s="4" t="n"/>
      <c r="BV437" s="4" t="n"/>
      <c r="BW437" s="4" t="n"/>
      <c r="BX437" s="4" t="n"/>
      <c r="BY437" s="4" t="n"/>
      <c r="BZ437" s="4" t="n"/>
      <c r="CA437" s="4" t="n"/>
      <c r="CB437" s="4" t="n"/>
      <c r="CC437" s="4" t="n"/>
      <c r="CD437" s="4" t="n"/>
      <c r="CE437" s="4" t="n"/>
      <c r="CF437" s="4" t="n"/>
      <c r="CG437" s="4" t="n"/>
      <c r="CH437" s="4" t="n"/>
      <c r="CI437" s="4" t="n"/>
      <c r="CJ437" s="4" t="n"/>
      <c r="CK437" s="4" t="n"/>
      <c r="CL437" s="4" t="n"/>
      <c r="CM437" s="4" t="n"/>
      <c r="CN437" s="4" t="n"/>
      <c r="CO437" s="4" t="n"/>
      <c r="CP437" s="4" t="n"/>
      <c r="CQ437" s="4" t="n"/>
      <c r="CR437" s="4" t="n"/>
      <c r="CS437" s="4" t="n"/>
      <c r="CT437" s="4" t="n"/>
      <c r="CU437" s="4" t="n"/>
      <c r="CV437" s="4" t="n"/>
      <c r="CW437" s="4" t="n"/>
      <c r="CX437" s="4" t="n"/>
      <c r="CY437" s="4" t="n"/>
      <c r="CZ437" s="4" t="n"/>
      <c r="DA437" s="4" t="n"/>
      <c r="DB437" s="4" t="n"/>
      <c r="DC437" s="4" t="n"/>
      <c r="DD437" s="4" t="n"/>
      <c r="DE437" s="4" t="n"/>
      <c r="DF437" s="4" t="n"/>
      <c r="DG437" s="4" t="n"/>
      <c r="DH437" s="4" t="n"/>
      <c r="DI437" s="4" t="n"/>
      <c r="DJ437" s="4" t="n"/>
      <c r="DK437" s="4" t="n"/>
      <c r="DL437" s="4" t="n"/>
      <c r="DM437" s="4" t="n"/>
      <c r="DN437" s="4" t="n"/>
      <c r="DO437" s="4" t="n"/>
      <c r="DP437" s="4" t="n"/>
      <c r="DQ437" s="4" t="n"/>
      <c r="DR437" s="4" t="n"/>
      <c r="DS437" s="4" t="n"/>
      <c r="DT437" s="4" t="n"/>
      <c r="DU437" s="4" t="n"/>
      <c r="DV437" s="4" t="n"/>
      <c r="DW437" s="4" t="n"/>
      <c r="DX437" s="4" t="n"/>
      <c r="DY437" s="4" t="n"/>
      <c r="DZ437" s="4" t="n"/>
      <c r="EA437" s="4" t="n"/>
      <c r="EB437" s="4" t="n"/>
      <c r="EC437" s="4" t="n"/>
      <c r="ED437" s="4" t="n"/>
      <c r="EE437" s="4" t="n"/>
      <c r="EF437" s="4" t="n"/>
      <c r="EG437" s="4" t="n"/>
      <c r="EH437" s="4" t="n"/>
      <c r="EI437" s="4" t="n"/>
      <c r="EJ437" s="4" t="n"/>
      <c r="EK437" s="4" t="n"/>
      <c r="EL437" s="4" t="n"/>
      <c r="EM437" s="4" t="n"/>
      <c r="EN437" s="4" t="n"/>
    </row>
    <row r="438" hidden="1" customFormat="1" s="6">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c r="AE438" s="4" t="n"/>
      <c r="AF438" s="4" t="n"/>
      <c r="AG438" s="4" t="n"/>
      <c r="AH438" s="4" t="n"/>
      <c r="AI438" s="4" t="n"/>
      <c r="AJ438" s="4" t="n"/>
      <c r="AK438" s="4" t="n"/>
      <c r="AL438" s="4" t="n"/>
      <c r="AM438" s="4" t="n"/>
      <c r="AN438" s="4" t="n"/>
      <c r="AO438" s="4" t="n"/>
      <c r="AP438" s="4" t="n"/>
      <c r="AQ438" s="4" t="n"/>
      <c r="AR438" s="4" t="n"/>
      <c r="AS438" s="4" t="n"/>
      <c r="AT438" s="4" t="n"/>
      <c r="AU438" s="4" t="n"/>
      <c r="AV438" s="4" t="n"/>
      <c r="AW438" s="4" t="n"/>
      <c r="AX438" s="4" t="n"/>
      <c r="AY438" s="4" t="n"/>
      <c r="AZ438" s="4" t="n"/>
      <c r="BA438" s="4" t="n"/>
      <c r="BB438" s="4" t="n"/>
      <c r="BC438" s="4" t="n"/>
      <c r="BD438" s="4" t="n"/>
      <c r="BE438" s="4" t="n"/>
      <c r="BF438" s="4" t="n"/>
      <c r="BG438" s="4" t="n"/>
      <c r="BH438" s="4" t="n"/>
      <c r="BI438" s="4" t="n"/>
      <c r="BJ438" s="4" t="n"/>
      <c r="BK438" s="4" t="n"/>
      <c r="BL438" s="4" t="n"/>
      <c r="BM438" s="4" t="n"/>
      <c r="BN438" s="4" t="n"/>
      <c r="BO438" s="4" t="n"/>
      <c r="BP438" s="4" t="n"/>
      <c r="BQ438" s="4" t="n"/>
      <c r="BR438" s="4" t="n"/>
      <c r="BS438" s="4" t="n"/>
      <c r="BT438" s="4" t="n"/>
      <c r="BU438" s="4" t="n"/>
      <c r="BV438" s="4" t="n"/>
      <c r="BW438" s="4" t="n"/>
      <c r="BX438" s="4" t="n"/>
      <c r="BY438" s="4" t="n"/>
      <c r="BZ438" s="4" t="n"/>
      <c r="CA438" s="4" t="n"/>
      <c r="CB438" s="4" t="n"/>
      <c r="CC438" s="4" t="n"/>
      <c r="CD438" s="4" t="n"/>
      <c r="CE438" s="4" t="n"/>
      <c r="CF438" s="4" t="n"/>
      <c r="CG438" s="4" t="n"/>
      <c r="CH438" s="4" t="n"/>
      <c r="CI438" s="4" t="n"/>
      <c r="CJ438" s="4" t="n"/>
      <c r="CK438" s="4" t="n"/>
      <c r="CL438" s="4" t="n"/>
      <c r="CM438" s="4" t="n"/>
      <c r="CN438" s="4" t="n"/>
      <c r="CO438" s="4" t="n"/>
      <c r="CP438" s="4" t="n"/>
      <c r="CQ438" s="4" t="n"/>
      <c r="CR438" s="4" t="n"/>
      <c r="CS438" s="4" t="n"/>
      <c r="CT438" s="4" t="n"/>
      <c r="CU438" s="4" t="n"/>
      <c r="CV438" s="4" t="n"/>
      <c r="CW438" s="4" t="n"/>
      <c r="CX438" s="4" t="n"/>
      <c r="CY438" s="4" t="n"/>
      <c r="CZ438" s="4" t="n"/>
      <c r="DA438" s="4" t="n"/>
      <c r="DB438" s="4" t="n"/>
      <c r="DC438" s="4" t="n"/>
      <c r="DD438" s="4" t="n"/>
      <c r="DE438" s="4" t="n"/>
      <c r="DF438" s="4" t="n"/>
      <c r="DG438" s="4" t="n"/>
      <c r="DH438" s="4" t="n"/>
      <c r="DI438" s="4" t="n"/>
      <c r="DJ438" s="4" t="n"/>
      <c r="DK438" s="4" t="n"/>
      <c r="DL438" s="4" t="n"/>
      <c r="DM438" s="4" t="n"/>
      <c r="DN438" s="4" t="n"/>
      <c r="DO438" s="4" t="n"/>
      <c r="DP438" s="4" t="n"/>
      <c r="DQ438" s="4" t="n"/>
      <c r="DR438" s="4" t="n"/>
      <c r="DS438" s="4" t="n"/>
      <c r="DT438" s="4" t="n"/>
      <c r="DU438" s="4" t="n"/>
      <c r="DV438" s="4" t="n"/>
      <c r="DW438" s="4" t="n"/>
      <c r="DX438" s="4" t="n"/>
      <c r="DY438" s="4" t="n"/>
      <c r="DZ438" s="4" t="n"/>
      <c r="EA438" s="4" t="n"/>
      <c r="EB438" s="4" t="n"/>
      <c r="EC438" s="4" t="n"/>
      <c r="ED438" s="4" t="n"/>
      <c r="EE438" s="4" t="n"/>
      <c r="EF438" s="4" t="n"/>
      <c r="EG438" s="4" t="n"/>
      <c r="EH438" s="4" t="n"/>
      <c r="EI438" s="4" t="n"/>
      <c r="EJ438" s="4" t="n"/>
      <c r="EK438" s="4" t="n"/>
      <c r="EL438" s="4" t="n"/>
      <c r="EM438" s="4" t="n"/>
      <c r="EN438" s="4" t="n"/>
    </row>
    <row r="439" hidden="1" customFormat="1" s="6">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c r="AE439" s="4" t="n"/>
      <c r="AF439" s="4" t="n"/>
      <c r="AG439" s="4" t="n"/>
      <c r="AH439" s="4" t="n"/>
      <c r="AI439" s="4" t="n"/>
      <c r="AJ439" s="4" t="n"/>
      <c r="AK439" s="4" t="n"/>
      <c r="AL439" s="4" t="n"/>
      <c r="AM439" s="4" t="n"/>
      <c r="AN439" s="4" t="n"/>
      <c r="AO439" s="4" t="n"/>
      <c r="AP439" s="4" t="n"/>
      <c r="AQ439" s="4" t="n"/>
      <c r="AR439" s="4" t="n"/>
      <c r="AS439" s="4" t="n"/>
      <c r="AT439" s="4" t="n"/>
      <c r="AU439" s="4" t="n"/>
      <c r="AV439" s="4" t="n"/>
      <c r="AW439" s="4" t="n"/>
      <c r="AX439" s="4" t="n"/>
      <c r="AY439" s="4" t="n"/>
      <c r="AZ439" s="4" t="n"/>
      <c r="BA439" s="4" t="n"/>
      <c r="BB439" s="4" t="n"/>
      <c r="BC439" s="4" t="n"/>
      <c r="BD439" s="4" t="n"/>
      <c r="BE439" s="4" t="n"/>
      <c r="BF439" s="4" t="n"/>
      <c r="BG439" s="4" t="n"/>
      <c r="BH439" s="4" t="n"/>
      <c r="BI439" s="4" t="n"/>
      <c r="BJ439" s="4" t="n"/>
      <c r="BK439" s="4" t="n"/>
      <c r="BL439" s="4" t="n"/>
      <c r="BM439" s="4" t="n"/>
      <c r="BN439" s="4" t="n"/>
      <c r="BO439" s="4" t="n"/>
      <c r="BP439" s="4" t="n"/>
      <c r="BQ439" s="4" t="n"/>
      <c r="BR439" s="4" t="n"/>
      <c r="BS439" s="4" t="n"/>
      <c r="BT439" s="4" t="n"/>
      <c r="BU439" s="4" t="n"/>
      <c r="BV439" s="4" t="n"/>
      <c r="BW439" s="4" t="n"/>
      <c r="BX439" s="4" t="n"/>
      <c r="BY439" s="4" t="n"/>
      <c r="BZ439" s="4" t="n"/>
      <c r="CA439" s="4" t="n"/>
      <c r="CB439" s="4" t="n"/>
      <c r="CC439" s="4" t="n"/>
      <c r="CD439" s="4" t="n"/>
      <c r="CE439" s="4" t="n"/>
      <c r="CF439" s="4" t="n"/>
      <c r="CG439" s="4" t="n"/>
      <c r="CH439" s="4" t="n"/>
      <c r="CI439" s="4" t="n"/>
      <c r="CJ439" s="4" t="n"/>
      <c r="CK439" s="4" t="n"/>
      <c r="CL439" s="4" t="n"/>
      <c r="CM439" s="4" t="n"/>
      <c r="CN439" s="4" t="n"/>
      <c r="CO439" s="4" t="n"/>
      <c r="CP439" s="4" t="n"/>
      <c r="CQ439" s="4" t="n"/>
      <c r="CR439" s="4" t="n"/>
      <c r="CS439" s="4" t="n"/>
      <c r="CT439" s="4" t="n"/>
      <c r="CU439" s="4" t="n"/>
      <c r="CV439" s="4" t="n"/>
      <c r="CW439" s="4" t="n"/>
      <c r="CX439" s="4" t="n"/>
      <c r="CY439" s="4" t="n"/>
      <c r="CZ439" s="4" t="n"/>
      <c r="DA439" s="4" t="n"/>
      <c r="DB439" s="4" t="n"/>
      <c r="DC439" s="4" t="n"/>
      <c r="DD439" s="4" t="n"/>
      <c r="DE439" s="4" t="n"/>
      <c r="DF439" s="4" t="n"/>
      <c r="DG439" s="4" t="n"/>
      <c r="DH439" s="4" t="n"/>
      <c r="DI439" s="4" t="n"/>
      <c r="DJ439" s="4" t="n"/>
      <c r="DK439" s="4" t="n"/>
      <c r="DL439" s="4" t="n"/>
      <c r="DM439" s="4" t="n"/>
      <c r="DN439" s="4" t="n"/>
      <c r="DO439" s="4" t="n"/>
      <c r="DP439" s="4" t="n"/>
      <c r="DQ439" s="4" t="n"/>
      <c r="DR439" s="4" t="n"/>
      <c r="DS439" s="4" t="n"/>
      <c r="DT439" s="4" t="n"/>
      <c r="DU439" s="4" t="n"/>
      <c r="DV439" s="4" t="n"/>
      <c r="DW439" s="4" t="n"/>
      <c r="DX439" s="4" t="n"/>
      <c r="DY439" s="4" t="n"/>
      <c r="DZ439" s="4" t="n"/>
      <c r="EA439" s="4" t="n"/>
      <c r="EB439" s="4" t="n"/>
      <c r="EC439" s="4" t="n"/>
      <c r="ED439" s="4" t="n"/>
      <c r="EE439" s="4" t="n"/>
      <c r="EF439" s="4" t="n"/>
      <c r="EG439" s="4" t="n"/>
      <c r="EH439" s="4" t="n"/>
      <c r="EI439" s="4" t="n"/>
      <c r="EJ439" s="4" t="n"/>
      <c r="EK439" s="4" t="n"/>
      <c r="EL439" s="4" t="n"/>
      <c r="EM439" s="4" t="n"/>
      <c r="EN439" s="4" t="n"/>
    </row>
    <row r="440" hidden="1" customFormat="1" s="6">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c r="AE440" s="4" t="n"/>
      <c r="AF440" s="4" t="n"/>
      <c r="AG440" s="4" t="n"/>
      <c r="AH440" s="4" t="n"/>
      <c r="AI440" s="4" t="n"/>
      <c r="AJ440" s="4" t="n"/>
      <c r="AK440" s="4" t="n"/>
      <c r="AL440" s="4" t="n"/>
      <c r="AM440" s="4" t="n"/>
      <c r="AN440" s="4" t="n"/>
      <c r="AO440" s="4" t="n"/>
      <c r="AP440" s="4" t="n"/>
      <c r="AQ440" s="4" t="n"/>
      <c r="AR440" s="4" t="n"/>
      <c r="AS440" s="4" t="n"/>
      <c r="AT440" s="4" t="n"/>
      <c r="AU440" s="4" t="n"/>
      <c r="AV440" s="4" t="n"/>
      <c r="AW440" s="4" t="n"/>
      <c r="AX440" s="4" t="n"/>
      <c r="AY440" s="4" t="n"/>
      <c r="AZ440" s="4" t="n"/>
      <c r="BA440" s="4" t="n"/>
      <c r="BB440" s="4" t="n"/>
      <c r="BC440" s="4" t="n"/>
      <c r="BD440" s="4" t="n"/>
      <c r="BE440" s="4" t="n"/>
      <c r="BF440" s="4" t="n"/>
      <c r="BG440" s="4" t="n"/>
      <c r="BH440" s="4" t="n"/>
      <c r="BI440" s="4" t="n"/>
      <c r="BJ440" s="4" t="n"/>
      <c r="BK440" s="4" t="n"/>
      <c r="BL440" s="4" t="n"/>
      <c r="BM440" s="4" t="n"/>
      <c r="BN440" s="4" t="n"/>
      <c r="BO440" s="4" t="n"/>
      <c r="BP440" s="4" t="n"/>
      <c r="BQ440" s="4" t="n"/>
      <c r="BR440" s="4" t="n"/>
      <c r="BS440" s="4" t="n"/>
      <c r="BT440" s="4" t="n"/>
      <c r="BU440" s="4" t="n"/>
      <c r="BV440" s="4" t="n"/>
      <c r="BW440" s="4" t="n"/>
      <c r="BX440" s="4" t="n"/>
      <c r="BY440" s="4" t="n"/>
      <c r="BZ440" s="4" t="n"/>
      <c r="CA440" s="4" t="n"/>
      <c r="CB440" s="4" t="n"/>
      <c r="CC440" s="4" t="n"/>
      <c r="CD440" s="4" t="n"/>
      <c r="CE440" s="4" t="n"/>
      <c r="CF440" s="4" t="n"/>
      <c r="CG440" s="4" t="n"/>
      <c r="CH440" s="4" t="n"/>
      <c r="CI440" s="4" t="n"/>
      <c r="CJ440" s="4" t="n"/>
      <c r="CK440" s="4" t="n"/>
      <c r="CL440" s="4" t="n"/>
      <c r="CM440" s="4" t="n"/>
      <c r="CN440" s="4" t="n"/>
      <c r="CO440" s="4" t="n"/>
      <c r="CP440" s="4" t="n"/>
      <c r="CQ440" s="4" t="n"/>
      <c r="CR440" s="4" t="n"/>
      <c r="CS440" s="4" t="n"/>
      <c r="CT440" s="4" t="n"/>
      <c r="CU440" s="4" t="n"/>
      <c r="CV440" s="4" t="n"/>
      <c r="CW440" s="4" t="n"/>
      <c r="CX440" s="4" t="n"/>
      <c r="CY440" s="4" t="n"/>
      <c r="CZ440" s="4" t="n"/>
      <c r="DA440" s="4" t="n"/>
      <c r="DB440" s="4" t="n"/>
      <c r="DC440" s="4" t="n"/>
      <c r="DD440" s="4" t="n"/>
      <c r="DE440" s="4" t="n"/>
      <c r="DF440" s="4" t="n"/>
      <c r="DG440" s="4" t="n"/>
      <c r="DH440" s="4" t="n"/>
      <c r="DI440" s="4" t="n"/>
      <c r="DJ440" s="4" t="n"/>
      <c r="DK440" s="4" t="n"/>
      <c r="DL440" s="4" t="n"/>
      <c r="DM440" s="4" t="n"/>
      <c r="DN440" s="4" t="n"/>
      <c r="DO440" s="4" t="n"/>
      <c r="DP440" s="4" t="n"/>
      <c r="DQ440" s="4" t="n"/>
      <c r="DR440" s="4" t="n"/>
      <c r="DS440" s="4" t="n"/>
      <c r="DT440" s="4" t="n"/>
      <c r="DU440" s="4" t="n"/>
      <c r="DV440" s="4" t="n"/>
      <c r="DW440" s="4" t="n"/>
      <c r="DX440" s="4" t="n"/>
      <c r="DY440" s="4" t="n"/>
      <c r="DZ440" s="4" t="n"/>
      <c r="EA440" s="4" t="n"/>
      <c r="EB440" s="4" t="n"/>
      <c r="EC440" s="4" t="n"/>
      <c r="ED440" s="4" t="n"/>
      <c r="EE440" s="4" t="n"/>
      <c r="EF440" s="4" t="n"/>
      <c r="EG440" s="4" t="n"/>
      <c r="EH440" s="4" t="n"/>
      <c r="EI440" s="4" t="n"/>
      <c r="EJ440" s="4" t="n"/>
      <c r="EK440" s="4" t="n"/>
      <c r="EL440" s="4" t="n"/>
      <c r="EM440" s="4" t="n"/>
      <c r="EN440" s="4" t="n"/>
    </row>
    <row r="441" hidden="1" customFormat="1" s="6">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c r="AE441" s="4" t="n"/>
      <c r="AF441" s="4" t="n"/>
      <c r="AG441" s="4" t="n"/>
      <c r="AH441" s="4" t="n"/>
      <c r="AI441" s="4" t="n"/>
      <c r="AJ441" s="4" t="n"/>
      <c r="AK441" s="4" t="n"/>
      <c r="AL441" s="4" t="n"/>
      <c r="AM441" s="4" t="n"/>
      <c r="AN441" s="4" t="n"/>
      <c r="AO441" s="4" t="n"/>
      <c r="AP441" s="4" t="n"/>
      <c r="AQ441" s="4" t="n"/>
      <c r="AR441" s="4" t="n"/>
      <c r="AS441" s="4" t="n"/>
      <c r="AT441" s="4" t="n"/>
      <c r="AU441" s="4" t="n"/>
      <c r="AV441" s="4" t="n"/>
      <c r="AW441" s="4" t="n"/>
      <c r="AX441" s="4" t="n"/>
      <c r="AY441" s="4" t="n"/>
      <c r="AZ441" s="4" t="n"/>
      <c r="BA441" s="4" t="n"/>
      <c r="BB441" s="4" t="n"/>
      <c r="BC441" s="4" t="n"/>
      <c r="BD441" s="4" t="n"/>
      <c r="BE441" s="4" t="n"/>
      <c r="BF441" s="4" t="n"/>
      <c r="BG441" s="4" t="n"/>
      <c r="BH441" s="4" t="n"/>
      <c r="BI441" s="4" t="n"/>
      <c r="BJ441" s="4" t="n"/>
      <c r="BK441" s="4" t="n"/>
      <c r="BL441" s="4" t="n"/>
      <c r="BM441" s="4" t="n"/>
      <c r="BN441" s="4" t="n"/>
      <c r="BO441" s="4" t="n"/>
      <c r="BP441" s="4" t="n"/>
      <c r="BQ441" s="4" t="n"/>
      <c r="BR441" s="4" t="n"/>
      <c r="BS441" s="4" t="n"/>
      <c r="BT441" s="4" t="n"/>
      <c r="BU441" s="4" t="n"/>
      <c r="BV441" s="4" t="n"/>
      <c r="BW441" s="4" t="n"/>
      <c r="BX441" s="4" t="n"/>
      <c r="BY441" s="4" t="n"/>
      <c r="BZ441" s="4" t="n"/>
      <c r="CA441" s="4" t="n"/>
      <c r="CB441" s="4" t="n"/>
      <c r="CC441" s="4" t="n"/>
      <c r="CD441" s="4" t="n"/>
      <c r="CE441" s="4" t="n"/>
      <c r="CF441" s="4" t="n"/>
      <c r="CG441" s="4" t="n"/>
      <c r="CH441" s="4" t="n"/>
      <c r="CI441" s="4" t="n"/>
      <c r="CJ441" s="4" t="n"/>
      <c r="CK441" s="4" t="n"/>
      <c r="CL441" s="4" t="n"/>
      <c r="CM441" s="4" t="n"/>
      <c r="CN441" s="4" t="n"/>
      <c r="CO441" s="4" t="n"/>
      <c r="CP441" s="4" t="n"/>
      <c r="CQ441" s="4" t="n"/>
      <c r="CR441" s="4" t="n"/>
      <c r="CS441" s="4" t="n"/>
      <c r="CT441" s="4" t="n"/>
      <c r="CU441" s="4" t="n"/>
      <c r="CV441" s="4" t="n"/>
      <c r="CW441" s="4" t="n"/>
      <c r="CX441" s="4" t="n"/>
      <c r="CY441" s="4" t="n"/>
      <c r="CZ441" s="4" t="n"/>
      <c r="DA441" s="4" t="n"/>
      <c r="DB441" s="4" t="n"/>
      <c r="DC441" s="4" t="n"/>
      <c r="DD441" s="4" t="n"/>
      <c r="DE441" s="4" t="n"/>
      <c r="DF441" s="4" t="n"/>
      <c r="DG441" s="4" t="n"/>
      <c r="DH441" s="4" t="n"/>
      <c r="DI441" s="4" t="n"/>
      <c r="DJ441" s="4" t="n"/>
      <c r="DK441" s="4" t="n"/>
      <c r="DL441" s="4" t="n"/>
      <c r="DM441" s="4" t="n"/>
      <c r="DN441" s="4" t="n"/>
      <c r="DO441" s="4" t="n"/>
      <c r="DP441" s="4" t="n"/>
      <c r="DQ441" s="4" t="n"/>
      <c r="DR441" s="4" t="n"/>
      <c r="DS441" s="4" t="n"/>
      <c r="DT441" s="4" t="n"/>
      <c r="DU441" s="4" t="n"/>
      <c r="DV441" s="4" t="n"/>
      <c r="DW441" s="4" t="n"/>
      <c r="DX441" s="4" t="n"/>
      <c r="DY441" s="4" t="n"/>
      <c r="DZ441" s="4" t="n"/>
      <c r="EA441" s="4" t="n"/>
      <c r="EB441" s="4" t="n"/>
      <c r="EC441" s="4" t="n"/>
      <c r="ED441" s="4" t="n"/>
      <c r="EE441" s="4" t="n"/>
      <c r="EF441" s="4" t="n"/>
      <c r="EG441" s="4" t="n"/>
      <c r="EH441" s="4" t="n"/>
      <c r="EI441" s="4" t="n"/>
      <c r="EJ441" s="4" t="n"/>
      <c r="EK441" s="4" t="n"/>
      <c r="EL441" s="4" t="n"/>
      <c r="EM441" s="4" t="n"/>
      <c r="EN441" s="4" t="n"/>
    </row>
    <row r="442" hidden="1" customFormat="1" s="6">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c r="AE442" s="4" t="n"/>
      <c r="AF442" s="4" t="n"/>
      <c r="AG442" s="4" t="n"/>
      <c r="AH442" s="4" t="n"/>
      <c r="AI442" s="4" t="n"/>
      <c r="AJ442" s="4" t="n"/>
      <c r="AK442" s="4" t="n"/>
      <c r="AL442" s="4" t="n"/>
      <c r="AM442" s="4" t="n"/>
      <c r="AN442" s="4" t="n"/>
      <c r="AO442" s="4" t="n"/>
      <c r="AP442" s="4" t="n"/>
      <c r="AQ442" s="4" t="n"/>
      <c r="AR442" s="4" t="n"/>
      <c r="AS442" s="4" t="n"/>
      <c r="AT442" s="4" t="n"/>
      <c r="AU442" s="4" t="n"/>
      <c r="AV442" s="4" t="n"/>
      <c r="AW442" s="4" t="n"/>
      <c r="AX442" s="4" t="n"/>
      <c r="AY442" s="4" t="n"/>
      <c r="AZ442" s="4" t="n"/>
      <c r="BA442" s="4" t="n"/>
      <c r="BB442" s="4" t="n"/>
      <c r="BC442" s="4" t="n"/>
      <c r="BD442" s="4" t="n"/>
      <c r="BE442" s="4" t="n"/>
      <c r="BF442" s="4" t="n"/>
      <c r="BG442" s="4" t="n"/>
      <c r="BH442" s="4" t="n"/>
      <c r="BI442" s="4" t="n"/>
      <c r="BJ442" s="4" t="n"/>
      <c r="BK442" s="4" t="n"/>
      <c r="BL442" s="4" t="n"/>
      <c r="BM442" s="4" t="n"/>
      <c r="BN442" s="4" t="n"/>
      <c r="BO442" s="4" t="n"/>
      <c r="BP442" s="4" t="n"/>
      <c r="BQ442" s="4" t="n"/>
      <c r="BR442" s="4" t="n"/>
      <c r="BS442" s="4" t="n"/>
      <c r="BT442" s="4" t="n"/>
      <c r="BU442" s="4" t="n"/>
      <c r="BV442" s="4" t="n"/>
      <c r="BW442" s="4" t="n"/>
      <c r="BX442" s="4" t="n"/>
      <c r="BY442" s="4" t="n"/>
      <c r="BZ442" s="4" t="n"/>
      <c r="CA442" s="4" t="n"/>
      <c r="CB442" s="4" t="n"/>
      <c r="CC442" s="4" t="n"/>
      <c r="CD442" s="4" t="n"/>
      <c r="CE442" s="4" t="n"/>
      <c r="CF442" s="4" t="n"/>
      <c r="CG442" s="4" t="n"/>
      <c r="CH442" s="4" t="n"/>
      <c r="CI442" s="4" t="n"/>
      <c r="CJ442" s="4" t="n"/>
      <c r="CK442" s="4" t="n"/>
      <c r="CL442" s="4" t="n"/>
      <c r="CM442" s="4" t="n"/>
      <c r="CN442" s="4" t="n"/>
      <c r="CO442" s="4" t="n"/>
      <c r="CP442" s="4" t="n"/>
      <c r="CQ442" s="4" t="n"/>
      <c r="CR442" s="4" t="n"/>
      <c r="CS442" s="4" t="n"/>
      <c r="CT442" s="4" t="n"/>
      <c r="CU442" s="4" t="n"/>
      <c r="CV442" s="4" t="n"/>
      <c r="CW442" s="4" t="n"/>
      <c r="CX442" s="4" t="n"/>
      <c r="CY442" s="4" t="n"/>
      <c r="CZ442" s="4" t="n"/>
      <c r="DA442" s="4" t="n"/>
      <c r="DB442" s="4" t="n"/>
      <c r="DC442" s="4" t="n"/>
      <c r="DD442" s="4" t="n"/>
      <c r="DE442" s="4" t="n"/>
      <c r="DF442" s="4" t="n"/>
      <c r="DG442" s="4" t="n"/>
      <c r="DH442" s="4" t="n"/>
      <c r="DI442" s="4" t="n"/>
      <c r="DJ442" s="4" t="n"/>
      <c r="DK442" s="4" t="n"/>
      <c r="DL442" s="4" t="n"/>
      <c r="DM442" s="4" t="n"/>
      <c r="DN442" s="4" t="n"/>
      <c r="DO442" s="4" t="n"/>
      <c r="DP442" s="4" t="n"/>
      <c r="DQ442" s="4" t="n"/>
      <c r="DR442" s="4" t="n"/>
      <c r="DS442" s="4" t="n"/>
      <c r="DT442" s="4" t="n"/>
      <c r="DU442" s="4" t="n"/>
      <c r="DV442" s="4" t="n"/>
      <c r="DW442" s="4" t="n"/>
      <c r="DX442" s="4" t="n"/>
      <c r="DY442" s="4" t="n"/>
      <c r="DZ442" s="4" t="n"/>
      <c r="EA442" s="4" t="n"/>
      <c r="EB442" s="4" t="n"/>
      <c r="EC442" s="4" t="n"/>
      <c r="ED442" s="4" t="n"/>
      <c r="EE442" s="4" t="n"/>
      <c r="EF442" s="4" t="n"/>
      <c r="EG442" s="4" t="n"/>
      <c r="EH442" s="4" t="n"/>
      <c r="EI442" s="4" t="n"/>
      <c r="EJ442" s="4" t="n"/>
      <c r="EK442" s="4" t="n"/>
      <c r="EL442" s="4" t="n"/>
      <c r="EM442" s="4" t="n"/>
      <c r="EN442" s="4" t="n"/>
    </row>
    <row r="443" hidden="1" customFormat="1" s="6">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c r="AD443" s="4" t="n"/>
      <c r="AE443" s="4" t="n"/>
      <c r="AF443" s="4" t="n"/>
      <c r="AG443" s="4" t="n"/>
      <c r="AH443" s="4" t="n"/>
      <c r="AI443" s="4" t="n"/>
      <c r="AJ443" s="4" t="n"/>
      <c r="AK443" s="4" t="n"/>
      <c r="AL443" s="4" t="n"/>
      <c r="AM443" s="4" t="n"/>
      <c r="AN443" s="4" t="n"/>
      <c r="AO443" s="4" t="n"/>
      <c r="AP443" s="4" t="n"/>
      <c r="AQ443" s="4" t="n"/>
      <c r="AR443" s="4" t="n"/>
      <c r="AS443" s="4" t="n"/>
      <c r="AT443" s="4" t="n"/>
      <c r="AU443" s="4" t="n"/>
      <c r="AV443" s="4" t="n"/>
      <c r="AW443" s="4" t="n"/>
      <c r="AX443" s="4" t="n"/>
      <c r="AY443" s="4" t="n"/>
      <c r="AZ443" s="4" t="n"/>
      <c r="BA443" s="4" t="n"/>
      <c r="BB443" s="4" t="n"/>
      <c r="BC443" s="4" t="n"/>
      <c r="BD443" s="4" t="n"/>
      <c r="BE443" s="4" t="n"/>
      <c r="BF443" s="4" t="n"/>
      <c r="BG443" s="4" t="n"/>
      <c r="BH443" s="4" t="n"/>
      <c r="BI443" s="4" t="n"/>
      <c r="BJ443" s="4" t="n"/>
      <c r="BK443" s="4" t="n"/>
      <c r="BL443" s="4" t="n"/>
      <c r="BM443" s="4" t="n"/>
      <c r="BN443" s="4" t="n"/>
      <c r="BO443" s="4" t="n"/>
      <c r="BP443" s="4" t="n"/>
      <c r="BQ443" s="4" t="n"/>
      <c r="BR443" s="4" t="n"/>
      <c r="BS443" s="4" t="n"/>
      <c r="BT443" s="4" t="n"/>
      <c r="BU443" s="4" t="n"/>
      <c r="BV443" s="4" t="n"/>
      <c r="BW443" s="4" t="n"/>
      <c r="BX443" s="4" t="n"/>
      <c r="BY443" s="4" t="n"/>
      <c r="BZ443" s="4" t="n"/>
      <c r="CA443" s="4" t="n"/>
      <c r="CB443" s="4" t="n"/>
      <c r="CC443" s="4" t="n"/>
      <c r="CD443" s="4" t="n"/>
      <c r="CE443" s="4" t="n"/>
      <c r="CF443" s="4" t="n"/>
      <c r="CG443" s="4" t="n"/>
      <c r="CH443" s="4" t="n"/>
      <c r="CI443" s="4" t="n"/>
      <c r="CJ443" s="4" t="n"/>
      <c r="CK443" s="4" t="n"/>
      <c r="CL443" s="4" t="n"/>
      <c r="CM443" s="4" t="n"/>
      <c r="CN443" s="4" t="n"/>
      <c r="CO443" s="4" t="n"/>
      <c r="CP443" s="4" t="n"/>
      <c r="CQ443" s="4" t="n"/>
      <c r="CR443" s="4" t="n"/>
      <c r="CS443" s="4" t="n"/>
      <c r="CT443" s="4" t="n"/>
      <c r="CU443" s="4" t="n"/>
      <c r="CV443" s="4" t="n"/>
      <c r="CW443" s="4" t="n"/>
      <c r="CX443" s="4" t="n"/>
      <c r="CY443" s="4" t="n"/>
      <c r="CZ443" s="4" t="n"/>
      <c r="DA443" s="4" t="n"/>
      <c r="DB443" s="4" t="n"/>
      <c r="DC443" s="4" t="n"/>
      <c r="DD443" s="4" t="n"/>
      <c r="DE443" s="4" t="n"/>
      <c r="DF443" s="4" t="n"/>
      <c r="DG443" s="4" t="n"/>
      <c r="DH443" s="4" t="n"/>
      <c r="DI443" s="4" t="n"/>
      <c r="DJ443" s="4" t="n"/>
      <c r="DK443" s="4" t="n"/>
      <c r="DL443" s="4" t="n"/>
      <c r="DM443" s="4" t="n"/>
      <c r="DN443" s="4" t="n"/>
      <c r="DO443" s="4" t="n"/>
      <c r="DP443" s="4" t="n"/>
      <c r="DQ443" s="4" t="n"/>
      <c r="DR443" s="4" t="n"/>
      <c r="DS443" s="4" t="n"/>
      <c r="DT443" s="4" t="n"/>
      <c r="DU443" s="4" t="n"/>
      <c r="DV443" s="4" t="n"/>
      <c r="DW443" s="4" t="n"/>
      <c r="DX443" s="4" t="n"/>
      <c r="DY443" s="4" t="n"/>
      <c r="DZ443" s="4" t="n"/>
      <c r="EA443" s="4" t="n"/>
      <c r="EB443" s="4" t="n"/>
      <c r="EC443" s="4" t="n"/>
      <c r="ED443" s="4" t="n"/>
      <c r="EE443" s="4" t="n"/>
      <c r="EF443" s="4" t="n"/>
      <c r="EG443" s="4" t="n"/>
      <c r="EH443" s="4" t="n"/>
      <c r="EI443" s="4" t="n"/>
      <c r="EJ443" s="4" t="n"/>
      <c r="EK443" s="4" t="n"/>
      <c r="EL443" s="4" t="n"/>
      <c r="EM443" s="4" t="n"/>
      <c r="EN443" s="4" t="n"/>
    </row>
    <row r="444" hidden="1" customFormat="1" s="6">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c r="AE444" s="4" t="n"/>
      <c r="AF444" s="4" t="n"/>
      <c r="AG444" s="4" t="n"/>
      <c r="AH444" s="4" t="n"/>
      <c r="AI444" s="4" t="n"/>
      <c r="AJ444" s="4" t="n"/>
      <c r="AK444" s="4" t="n"/>
      <c r="AL444" s="4" t="n"/>
      <c r="AM444" s="4" t="n"/>
      <c r="AN444" s="4" t="n"/>
      <c r="AO444" s="4" t="n"/>
      <c r="AP444" s="4" t="n"/>
      <c r="AQ444" s="4" t="n"/>
      <c r="AR444" s="4" t="n"/>
      <c r="AS444" s="4" t="n"/>
      <c r="AT444" s="4" t="n"/>
      <c r="AU444" s="4" t="n"/>
      <c r="AV444" s="4" t="n"/>
      <c r="AW444" s="4" t="n"/>
      <c r="AX444" s="4" t="n"/>
      <c r="AY444" s="4" t="n"/>
      <c r="AZ444" s="4" t="n"/>
      <c r="BA444" s="4" t="n"/>
      <c r="BB444" s="4" t="n"/>
      <c r="BC444" s="4" t="n"/>
      <c r="BD444" s="4" t="n"/>
      <c r="BE444" s="4" t="n"/>
      <c r="BF444" s="4" t="n"/>
      <c r="BG444" s="4" t="n"/>
      <c r="BH444" s="4" t="n"/>
      <c r="BI444" s="4" t="n"/>
      <c r="BJ444" s="4" t="n"/>
      <c r="BK444" s="4" t="n"/>
      <c r="BL444" s="4" t="n"/>
      <c r="BM444" s="4" t="n"/>
      <c r="BN444" s="4" t="n"/>
      <c r="BO444" s="4" t="n"/>
      <c r="BP444" s="4" t="n"/>
      <c r="BQ444" s="4" t="n"/>
      <c r="BR444" s="4" t="n"/>
      <c r="BS444" s="4" t="n"/>
      <c r="BT444" s="4" t="n"/>
      <c r="BU444" s="4" t="n"/>
      <c r="BV444" s="4" t="n"/>
      <c r="BW444" s="4" t="n"/>
      <c r="BX444" s="4" t="n"/>
      <c r="BY444" s="4" t="n"/>
      <c r="BZ444" s="4" t="n"/>
      <c r="CA444" s="4" t="n"/>
      <c r="CB444" s="4" t="n"/>
      <c r="CC444" s="4" t="n"/>
      <c r="CD444" s="4" t="n"/>
      <c r="CE444" s="4" t="n"/>
      <c r="CF444" s="4" t="n"/>
      <c r="CG444" s="4" t="n"/>
      <c r="CH444" s="4" t="n"/>
      <c r="CI444" s="4" t="n"/>
      <c r="CJ444" s="4" t="n"/>
      <c r="CK444" s="4" t="n"/>
      <c r="CL444" s="4" t="n"/>
      <c r="CM444" s="4" t="n"/>
      <c r="CN444" s="4" t="n"/>
      <c r="CO444" s="4" t="n"/>
      <c r="CP444" s="4" t="n"/>
      <c r="CQ444" s="4" t="n"/>
      <c r="CR444" s="4" t="n"/>
      <c r="CS444" s="4" t="n"/>
      <c r="CT444" s="4" t="n"/>
      <c r="CU444" s="4" t="n"/>
      <c r="CV444" s="4" t="n"/>
      <c r="CW444" s="4" t="n"/>
      <c r="CX444" s="4" t="n"/>
      <c r="CY444" s="4" t="n"/>
      <c r="CZ444" s="4" t="n"/>
      <c r="DA444" s="4" t="n"/>
      <c r="DB444" s="4" t="n"/>
      <c r="DC444" s="4" t="n"/>
      <c r="DD444" s="4" t="n"/>
      <c r="DE444" s="4" t="n"/>
      <c r="DF444" s="4" t="n"/>
      <c r="DG444" s="4" t="n"/>
      <c r="DH444" s="4" t="n"/>
      <c r="DI444" s="4" t="n"/>
      <c r="DJ444" s="4" t="n"/>
      <c r="DK444" s="4" t="n"/>
      <c r="DL444" s="4" t="n"/>
      <c r="DM444" s="4" t="n"/>
      <c r="DN444" s="4" t="n"/>
      <c r="DO444" s="4" t="n"/>
      <c r="DP444" s="4" t="n"/>
      <c r="DQ444" s="4" t="n"/>
      <c r="DR444" s="4" t="n"/>
      <c r="DS444" s="4" t="n"/>
      <c r="DT444" s="4" t="n"/>
      <c r="DU444" s="4" t="n"/>
      <c r="DV444" s="4" t="n"/>
      <c r="DW444" s="4" t="n"/>
      <c r="DX444" s="4" t="n"/>
      <c r="DY444" s="4" t="n"/>
      <c r="DZ444" s="4" t="n"/>
      <c r="EA444" s="4" t="n"/>
      <c r="EB444" s="4" t="n"/>
      <c r="EC444" s="4" t="n"/>
      <c r="ED444" s="4" t="n"/>
      <c r="EE444" s="4" t="n"/>
      <c r="EF444" s="4" t="n"/>
      <c r="EG444" s="4" t="n"/>
      <c r="EH444" s="4" t="n"/>
      <c r="EI444" s="4" t="n"/>
      <c r="EJ444" s="4" t="n"/>
      <c r="EK444" s="4" t="n"/>
      <c r="EL444" s="4" t="n"/>
      <c r="EM444" s="4" t="n"/>
      <c r="EN444" s="4" t="n"/>
    </row>
    <row r="445" hidden="1" customFormat="1" s="6">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c r="AD445" s="4" t="n"/>
      <c r="AE445" s="4" t="n"/>
      <c r="AF445" s="4" t="n"/>
      <c r="AG445" s="4" t="n"/>
      <c r="AH445" s="4" t="n"/>
      <c r="AI445" s="4" t="n"/>
      <c r="AJ445" s="4" t="n"/>
      <c r="AK445" s="4" t="n"/>
      <c r="AL445" s="4" t="n"/>
      <c r="AM445" s="4" t="n"/>
      <c r="AN445" s="4" t="n"/>
      <c r="AO445" s="4" t="n"/>
      <c r="AP445" s="4" t="n"/>
      <c r="AQ445" s="4" t="n"/>
      <c r="AR445" s="4" t="n"/>
      <c r="AS445" s="4" t="n"/>
      <c r="AT445" s="4" t="n"/>
      <c r="AU445" s="4" t="n"/>
      <c r="AV445" s="4" t="n"/>
      <c r="AW445" s="4" t="n"/>
      <c r="AX445" s="4" t="n"/>
      <c r="AY445" s="4" t="n"/>
      <c r="AZ445" s="4" t="n"/>
      <c r="BA445" s="4" t="n"/>
      <c r="BB445" s="4" t="n"/>
      <c r="BC445" s="4" t="n"/>
      <c r="BD445" s="4" t="n"/>
      <c r="BE445" s="4" t="n"/>
      <c r="BF445" s="4" t="n"/>
      <c r="BG445" s="4" t="n"/>
      <c r="BH445" s="4" t="n"/>
      <c r="BI445" s="4" t="n"/>
      <c r="BJ445" s="4" t="n"/>
      <c r="BK445" s="4" t="n"/>
      <c r="BL445" s="4" t="n"/>
      <c r="BM445" s="4" t="n"/>
      <c r="BN445" s="4" t="n"/>
      <c r="BO445" s="4" t="n"/>
      <c r="BP445" s="4" t="n"/>
      <c r="BQ445" s="4" t="n"/>
      <c r="BR445" s="4" t="n"/>
      <c r="BS445" s="4" t="n"/>
      <c r="BT445" s="4" t="n"/>
      <c r="BU445" s="4" t="n"/>
      <c r="BV445" s="4" t="n"/>
      <c r="BW445" s="4" t="n"/>
      <c r="BX445" s="4" t="n"/>
      <c r="BY445" s="4" t="n"/>
      <c r="BZ445" s="4" t="n"/>
      <c r="CA445" s="4" t="n"/>
      <c r="CB445" s="4" t="n"/>
      <c r="CC445" s="4" t="n"/>
      <c r="CD445" s="4" t="n"/>
      <c r="CE445" s="4" t="n"/>
      <c r="CF445" s="4" t="n"/>
      <c r="CG445" s="4" t="n"/>
      <c r="CH445" s="4" t="n"/>
      <c r="CI445" s="4" t="n"/>
      <c r="CJ445" s="4" t="n"/>
      <c r="CK445" s="4" t="n"/>
      <c r="CL445" s="4" t="n"/>
      <c r="CM445" s="4" t="n"/>
      <c r="CN445" s="4" t="n"/>
      <c r="CO445" s="4" t="n"/>
      <c r="CP445" s="4" t="n"/>
      <c r="CQ445" s="4" t="n"/>
      <c r="CR445" s="4" t="n"/>
      <c r="CS445" s="4" t="n"/>
      <c r="CT445" s="4" t="n"/>
      <c r="CU445" s="4" t="n"/>
      <c r="CV445" s="4" t="n"/>
      <c r="CW445" s="4" t="n"/>
      <c r="CX445" s="4" t="n"/>
      <c r="CY445" s="4" t="n"/>
      <c r="CZ445" s="4" t="n"/>
      <c r="DA445" s="4" t="n"/>
      <c r="DB445" s="4" t="n"/>
      <c r="DC445" s="4" t="n"/>
      <c r="DD445" s="4" t="n"/>
      <c r="DE445" s="4" t="n"/>
      <c r="DF445" s="4" t="n"/>
      <c r="DG445" s="4" t="n"/>
      <c r="DH445" s="4" t="n"/>
      <c r="DI445" s="4" t="n"/>
      <c r="DJ445" s="4" t="n"/>
      <c r="DK445" s="4" t="n"/>
      <c r="DL445" s="4" t="n"/>
      <c r="DM445" s="4" t="n"/>
      <c r="DN445" s="4" t="n"/>
      <c r="DO445" s="4" t="n"/>
      <c r="DP445" s="4" t="n"/>
      <c r="DQ445" s="4" t="n"/>
      <c r="DR445" s="4" t="n"/>
      <c r="DS445" s="4" t="n"/>
      <c r="DT445" s="4" t="n"/>
      <c r="DU445" s="4" t="n"/>
      <c r="DV445" s="4" t="n"/>
      <c r="DW445" s="4" t="n"/>
      <c r="DX445" s="4" t="n"/>
      <c r="DY445" s="4" t="n"/>
      <c r="DZ445" s="4" t="n"/>
      <c r="EA445" s="4" t="n"/>
      <c r="EB445" s="4" t="n"/>
      <c r="EC445" s="4" t="n"/>
      <c r="ED445" s="4" t="n"/>
      <c r="EE445" s="4" t="n"/>
      <c r="EF445" s="4" t="n"/>
      <c r="EG445" s="4" t="n"/>
      <c r="EH445" s="4" t="n"/>
      <c r="EI445" s="4" t="n"/>
      <c r="EJ445" s="4" t="n"/>
      <c r="EK445" s="4" t="n"/>
      <c r="EL445" s="4" t="n"/>
      <c r="EM445" s="4" t="n"/>
      <c r="EN445" s="4" t="n"/>
    </row>
    <row r="446" hidden="1" customFormat="1" s="6">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c r="AD446" s="4" t="n"/>
      <c r="AE446" s="4" t="n"/>
      <c r="AF446" s="4" t="n"/>
      <c r="AG446" s="4" t="n"/>
      <c r="AH446" s="4" t="n"/>
      <c r="AI446" s="4" t="n"/>
      <c r="AJ446" s="4" t="n"/>
      <c r="AK446" s="4" t="n"/>
      <c r="AL446" s="4" t="n"/>
      <c r="AM446" s="4" t="n"/>
      <c r="AN446" s="4" t="n"/>
      <c r="AO446" s="4" t="n"/>
      <c r="AP446" s="4" t="n"/>
      <c r="AQ446" s="4" t="n"/>
      <c r="AR446" s="4" t="n"/>
      <c r="AS446" s="4" t="n"/>
      <c r="AT446" s="4" t="n"/>
      <c r="AU446" s="4" t="n"/>
      <c r="AV446" s="4" t="n"/>
      <c r="AW446" s="4" t="n"/>
      <c r="AX446" s="4" t="n"/>
      <c r="AY446" s="4" t="n"/>
      <c r="AZ446" s="4" t="n"/>
      <c r="BA446" s="4" t="n"/>
      <c r="BB446" s="4" t="n"/>
      <c r="BC446" s="4" t="n"/>
      <c r="BD446" s="4" t="n"/>
      <c r="BE446" s="4" t="n"/>
      <c r="BF446" s="4" t="n"/>
      <c r="BG446" s="4" t="n"/>
      <c r="BH446" s="4" t="n"/>
      <c r="BI446" s="4" t="n"/>
      <c r="BJ446" s="4" t="n"/>
      <c r="BK446" s="4" t="n"/>
      <c r="BL446" s="4" t="n"/>
      <c r="BM446" s="4" t="n"/>
      <c r="BN446" s="4" t="n"/>
      <c r="BO446" s="4" t="n"/>
      <c r="BP446" s="4" t="n"/>
      <c r="BQ446" s="4" t="n"/>
      <c r="BR446" s="4" t="n"/>
      <c r="BS446" s="4" t="n"/>
      <c r="BT446" s="4" t="n"/>
      <c r="BU446" s="4" t="n"/>
      <c r="BV446" s="4" t="n"/>
      <c r="BW446" s="4" t="n"/>
      <c r="BX446" s="4" t="n"/>
      <c r="BY446" s="4" t="n"/>
      <c r="BZ446" s="4" t="n"/>
      <c r="CA446" s="4" t="n"/>
      <c r="CB446" s="4" t="n"/>
      <c r="CC446" s="4" t="n"/>
      <c r="CD446" s="4" t="n"/>
      <c r="CE446" s="4" t="n"/>
      <c r="CF446" s="4" t="n"/>
      <c r="CG446" s="4" t="n"/>
      <c r="CH446" s="4" t="n"/>
      <c r="CI446" s="4" t="n"/>
      <c r="CJ446" s="4" t="n"/>
      <c r="CK446" s="4" t="n"/>
      <c r="CL446" s="4" t="n"/>
      <c r="CM446" s="4" t="n"/>
      <c r="CN446" s="4" t="n"/>
      <c r="CO446" s="4" t="n"/>
      <c r="CP446" s="4" t="n"/>
      <c r="CQ446" s="4" t="n"/>
      <c r="CR446" s="4" t="n"/>
      <c r="CS446" s="4" t="n"/>
      <c r="CT446" s="4" t="n"/>
      <c r="CU446" s="4" t="n"/>
      <c r="CV446" s="4" t="n"/>
      <c r="CW446" s="4" t="n"/>
      <c r="CX446" s="4" t="n"/>
      <c r="CY446" s="4" t="n"/>
      <c r="CZ446" s="4" t="n"/>
      <c r="DA446" s="4" t="n"/>
      <c r="DB446" s="4" t="n"/>
      <c r="DC446" s="4" t="n"/>
      <c r="DD446" s="4" t="n"/>
      <c r="DE446" s="4" t="n"/>
      <c r="DF446" s="4" t="n"/>
      <c r="DG446" s="4" t="n"/>
      <c r="DH446" s="4" t="n"/>
      <c r="DI446" s="4" t="n"/>
      <c r="DJ446" s="4" t="n"/>
      <c r="DK446" s="4" t="n"/>
      <c r="DL446" s="4" t="n"/>
      <c r="DM446" s="4" t="n"/>
      <c r="DN446" s="4" t="n"/>
      <c r="DO446" s="4" t="n"/>
      <c r="DP446" s="4" t="n"/>
      <c r="DQ446" s="4" t="n"/>
      <c r="DR446" s="4" t="n"/>
      <c r="DS446" s="4" t="n"/>
      <c r="DT446" s="4" t="n"/>
      <c r="DU446" s="4" t="n"/>
      <c r="DV446" s="4" t="n"/>
      <c r="DW446" s="4" t="n"/>
      <c r="DX446" s="4" t="n"/>
      <c r="DY446" s="4" t="n"/>
      <c r="DZ446" s="4" t="n"/>
      <c r="EA446" s="4" t="n"/>
      <c r="EB446" s="4" t="n"/>
      <c r="EC446" s="4" t="n"/>
      <c r="ED446" s="4" t="n"/>
      <c r="EE446" s="4" t="n"/>
      <c r="EF446" s="4" t="n"/>
      <c r="EG446" s="4" t="n"/>
      <c r="EH446" s="4" t="n"/>
      <c r="EI446" s="4" t="n"/>
      <c r="EJ446" s="4" t="n"/>
      <c r="EK446" s="4" t="n"/>
      <c r="EL446" s="4" t="n"/>
      <c r="EM446" s="4" t="n"/>
      <c r="EN446" s="4" t="n"/>
    </row>
    <row r="447" hidden="1" customFormat="1" s="6">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c r="AD447" s="4" t="n"/>
      <c r="AE447" s="4" t="n"/>
      <c r="AF447" s="4" t="n"/>
      <c r="AG447" s="4" t="n"/>
      <c r="AH447" s="4" t="n"/>
      <c r="AI447" s="4" t="n"/>
      <c r="AJ447" s="4" t="n"/>
      <c r="AK447" s="4" t="n"/>
      <c r="AL447" s="4" t="n"/>
      <c r="AM447" s="4" t="n"/>
      <c r="AN447" s="4" t="n"/>
      <c r="AO447" s="4" t="n"/>
      <c r="AP447" s="4" t="n"/>
      <c r="AQ447" s="4" t="n"/>
      <c r="AR447" s="4" t="n"/>
      <c r="AS447" s="4" t="n"/>
      <c r="AT447" s="4" t="n"/>
      <c r="AU447" s="4" t="n"/>
      <c r="AV447" s="4" t="n"/>
      <c r="AW447" s="4" t="n"/>
      <c r="AX447" s="4" t="n"/>
      <c r="AY447" s="4" t="n"/>
      <c r="AZ447" s="4" t="n"/>
      <c r="BA447" s="4" t="n"/>
      <c r="BB447" s="4" t="n"/>
      <c r="BC447" s="4" t="n"/>
      <c r="BD447" s="4" t="n"/>
      <c r="BE447" s="4" t="n"/>
      <c r="BF447" s="4" t="n"/>
      <c r="BG447" s="4" t="n"/>
      <c r="BH447" s="4" t="n"/>
      <c r="BI447" s="4" t="n"/>
      <c r="BJ447" s="4" t="n"/>
      <c r="BK447" s="4" t="n"/>
      <c r="BL447" s="4" t="n"/>
      <c r="BM447" s="4" t="n"/>
      <c r="BN447" s="4" t="n"/>
      <c r="BO447" s="4" t="n"/>
      <c r="BP447" s="4" t="n"/>
      <c r="BQ447" s="4" t="n"/>
      <c r="BR447" s="4" t="n"/>
      <c r="BS447" s="4" t="n"/>
      <c r="BT447" s="4" t="n"/>
      <c r="BU447" s="4" t="n"/>
      <c r="BV447" s="4" t="n"/>
      <c r="BW447" s="4" t="n"/>
      <c r="BX447" s="4" t="n"/>
      <c r="BY447" s="4" t="n"/>
      <c r="BZ447" s="4" t="n"/>
      <c r="CA447" s="4" t="n"/>
      <c r="CB447" s="4" t="n"/>
      <c r="CC447" s="4" t="n"/>
      <c r="CD447" s="4" t="n"/>
      <c r="CE447" s="4" t="n"/>
      <c r="CF447" s="4" t="n"/>
      <c r="CG447" s="4" t="n"/>
      <c r="CH447" s="4" t="n"/>
      <c r="CI447" s="4" t="n"/>
      <c r="CJ447" s="4" t="n"/>
      <c r="CK447" s="4" t="n"/>
      <c r="CL447" s="4" t="n"/>
      <c r="CM447" s="4" t="n"/>
      <c r="CN447" s="4" t="n"/>
      <c r="CO447" s="4" t="n"/>
      <c r="CP447" s="4" t="n"/>
      <c r="CQ447" s="4" t="n"/>
      <c r="CR447" s="4" t="n"/>
      <c r="CS447" s="4" t="n"/>
      <c r="CT447" s="4" t="n"/>
      <c r="CU447" s="4" t="n"/>
      <c r="CV447" s="4" t="n"/>
      <c r="CW447" s="4" t="n"/>
      <c r="CX447" s="4" t="n"/>
      <c r="CY447" s="4" t="n"/>
      <c r="CZ447" s="4" t="n"/>
      <c r="DA447" s="4" t="n"/>
      <c r="DB447" s="4" t="n"/>
      <c r="DC447" s="4" t="n"/>
      <c r="DD447" s="4" t="n"/>
      <c r="DE447" s="4" t="n"/>
      <c r="DF447" s="4" t="n"/>
      <c r="DG447" s="4" t="n"/>
      <c r="DH447" s="4" t="n"/>
      <c r="DI447" s="4" t="n"/>
      <c r="DJ447" s="4" t="n"/>
      <c r="DK447" s="4" t="n"/>
      <c r="DL447" s="4" t="n"/>
      <c r="DM447" s="4" t="n"/>
      <c r="DN447" s="4" t="n"/>
      <c r="DO447" s="4" t="n"/>
      <c r="DP447" s="4" t="n"/>
      <c r="DQ447" s="4" t="n"/>
      <c r="DR447" s="4" t="n"/>
      <c r="DS447" s="4" t="n"/>
      <c r="DT447" s="4" t="n"/>
      <c r="DU447" s="4" t="n"/>
      <c r="DV447" s="4" t="n"/>
      <c r="DW447" s="4" t="n"/>
      <c r="DX447" s="4" t="n"/>
      <c r="DY447" s="4" t="n"/>
      <c r="DZ447" s="4" t="n"/>
      <c r="EA447" s="4" t="n"/>
      <c r="EB447" s="4" t="n"/>
      <c r="EC447" s="4" t="n"/>
      <c r="ED447" s="4" t="n"/>
      <c r="EE447" s="4" t="n"/>
      <c r="EF447" s="4" t="n"/>
      <c r="EG447" s="4" t="n"/>
      <c r="EH447" s="4" t="n"/>
      <c r="EI447" s="4" t="n"/>
      <c r="EJ447" s="4" t="n"/>
      <c r="EK447" s="4" t="n"/>
      <c r="EL447" s="4" t="n"/>
      <c r="EM447" s="4" t="n"/>
      <c r="EN447" s="4" t="n"/>
    </row>
    <row r="448" hidden="1" customFormat="1" s="6">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c r="AE448" s="4" t="n"/>
      <c r="AF448" s="4" t="n"/>
      <c r="AG448" s="4" t="n"/>
      <c r="AH448" s="4" t="n"/>
      <c r="AI448" s="4" t="n"/>
      <c r="AJ448" s="4" t="n"/>
      <c r="AK448" s="4" t="n"/>
      <c r="AL448" s="4" t="n"/>
      <c r="AM448" s="4" t="n"/>
      <c r="AN448" s="4" t="n"/>
      <c r="AO448" s="4" t="n"/>
      <c r="AP448" s="4" t="n"/>
      <c r="AQ448" s="4" t="n"/>
      <c r="AR448" s="4" t="n"/>
      <c r="AS448" s="4" t="n"/>
      <c r="AT448" s="4" t="n"/>
      <c r="AU448" s="4" t="n"/>
      <c r="AV448" s="4" t="n"/>
      <c r="AW448" s="4" t="n"/>
      <c r="AX448" s="4" t="n"/>
      <c r="AY448" s="4" t="n"/>
      <c r="AZ448" s="4" t="n"/>
      <c r="BA448" s="4" t="n"/>
      <c r="BB448" s="4" t="n"/>
      <c r="BC448" s="4" t="n"/>
      <c r="BD448" s="4" t="n"/>
      <c r="BE448" s="4" t="n"/>
      <c r="BF448" s="4" t="n"/>
      <c r="BG448" s="4" t="n"/>
      <c r="BH448" s="4" t="n"/>
      <c r="BI448" s="4" t="n"/>
      <c r="BJ448" s="4" t="n"/>
      <c r="BK448" s="4" t="n"/>
      <c r="BL448" s="4" t="n"/>
      <c r="BM448" s="4" t="n"/>
      <c r="BN448" s="4" t="n"/>
      <c r="BO448" s="4" t="n"/>
      <c r="BP448" s="4" t="n"/>
      <c r="BQ448" s="4" t="n"/>
      <c r="BR448" s="4" t="n"/>
      <c r="BS448" s="4" t="n"/>
      <c r="BT448" s="4" t="n"/>
      <c r="BU448" s="4" t="n"/>
      <c r="BV448" s="4" t="n"/>
      <c r="BW448" s="4" t="n"/>
      <c r="BX448" s="4" t="n"/>
      <c r="BY448" s="4" t="n"/>
      <c r="BZ448" s="4" t="n"/>
      <c r="CA448" s="4" t="n"/>
      <c r="CB448" s="4" t="n"/>
      <c r="CC448" s="4" t="n"/>
      <c r="CD448" s="4" t="n"/>
      <c r="CE448" s="4" t="n"/>
      <c r="CF448" s="4" t="n"/>
      <c r="CG448" s="4" t="n"/>
      <c r="CH448" s="4" t="n"/>
      <c r="CI448" s="4" t="n"/>
      <c r="CJ448" s="4" t="n"/>
      <c r="CK448" s="4" t="n"/>
      <c r="CL448" s="4" t="n"/>
      <c r="CM448" s="4" t="n"/>
      <c r="CN448" s="4" t="n"/>
      <c r="CO448" s="4" t="n"/>
      <c r="CP448" s="4" t="n"/>
      <c r="CQ448" s="4" t="n"/>
      <c r="CR448" s="4" t="n"/>
      <c r="CS448" s="4" t="n"/>
      <c r="CT448" s="4" t="n"/>
      <c r="CU448" s="4" t="n"/>
      <c r="CV448" s="4" t="n"/>
      <c r="CW448" s="4" t="n"/>
      <c r="CX448" s="4" t="n"/>
      <c r="CY448" s="4" t="n"/>
      <c r="CZ448" s="4" t="n"/>
      <c r="DA448" s="4" t="n"/>
      <c r="DB448" s="4" t="n"/>
      <c r="DC448" s="4" t="n"/>
      <c r="DD448" s="4" t="n"/>
      <c r="DE448" s="4" t="n"/>
      <c r="DF448" s="4" t="n"/>
      <c r="DG448" s="4" t="n"/>
      <c r="DH448" s="4" t="n"/>
      <c r="DI448" s="4" t="n"/>
      <c r="DJ448" s="4" t="n"/>
      <c r="DK448" s="4" t="n"/>
      <c r="DL448" s="4" t="n"/>
      <c r="DM448" s="4" t="n"/>
      <c r="DN448" s="4" t="n"/>
      <c r="DO448" s="4" t="n"/>
      <c r="DP448" s="4" t="n"/>
      <c r="DQ448" s="4" t="n"/>
      <c r="DR448" s="4" t="n"/>
      <c r="DS448" s="4" t="n"/>
      <c r="DT448" s="4" t="n"/>
      <c r="DU448" s="4" t="n"/>
      <c r="DV448" s="4" t="n"/>
      <c r="DW448" s="4" t="n"/>
      <c r="DX448" s="4" t="n"/>
      <c r="DY448" s="4" t="n"/>
      <c r="DZ448" s="4" t="n"/>
      <c r="EA448" s="4" t="n"/>
      <c r="EB448" s="4" t="n"/>
      <c r="EC448" s="4" t="n"/>
      <c r="ED448" s="4" t="n"/>
      <c r="EE448" s="4" t="n"/>
      <c r="EF448" s="4" t="n"/>
      <c r="EG448" s="4" t="n"/>
      <c r="EH448" s="4" t="n"/>
      <c r="EI448" s="4" t="n"/>
      <c r="EJ448" s="4" t="n"/>
      <c r="EK448" s="4" t="n"/>
      <c r="EL448" s="4" t="n"/>
      <c r="EM448" s="4" t="n"/>
      <c r="EN448" s="4" t="n"/>
    </row>
    <row r="449" hidden="1" customFormat="1" s="6">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c r="AE449" s="4" t="n"/>
      <c r="AF449" s="4" t="n"/>
      <c r="AG449" s="4" t="n"/>
      <c r="AH449" s="4" t="n"/>
      <c r="AI449" s="4" t="n"/>
      <c r="AJ449" s="4" t="n"/>
      <c r="AK449" s="4" t="n"/>
      <c r="AL449" s="4" t="n"/>
      <c r="AM449" s="4" t="n"/>
      <c r="AN449" s="4" t="n"/>
      <c r="AO449" s="4" t="n"/>
      <c r="AP449" s="4" t="n"/>
      <c r="AQ449" s="4" t="n"/>
      <c r="AR449" s="4" t="n"/>
      <c r="AS449" s="4" t="n"/>
      <c r="AT449" s="4" t="n"/>
      <c r="AU449" s="4" t="n"/>
      <c r="AV449" s="4" t="n"/>
      <c r="AW449" s="4" t="n"/>
      <c r="AX449" s="4" t="n"/>
      <c r="AY449" s="4" t="n"/>
      <c r="AZ449" s="4" t="n"/>
      <c r="BA449" s="4" t="n"/>
      <c r="BB449" s="4" t="n"/>
      <c r="BC449" s="4" t="n"/>
      <c r="BD449" s="4" t="n"/>
      <c r="BE449" s="4" t="n"/>
      <c r="BF449" s="4" t="n"/>
      <c r="BG449" s="4" t="n"/>
      <c r="BH449" s="4" t="n"/>
      <c r="BI449" s="4" t="n"/>
      <c r="BJ449" s="4" t="n"/>
      <c r="BK449" s="4" t="n"/>
      <c r="BL449" s="4" t="n"/>
      <c r="BM449" s="4" t="n"/>
      <c r="BN449" s="4" t="n"/>
      <c r="BO449" s="4" t="n"/>
      <c r="BP449" s="4" t="n"/>
      <c r="BQ449" s="4" t="n"/>
      <c r="BR449" s="4" t="n"/>
      <c r="BS449" s="4" t="n"/>
      <c r="BT449" s="4" t="n"/>
      <c r="BU449" s="4" t="n"/>
      <c r="BV449" s="4" t="n"/>
      <c r="BW449" s="4" t="n"/>
      <c r="BX449" s="4" t="n"/>
      <c r="BY449" s="4" t="n"/>
      <c r="BZ449" s="4" t="n"/>
      <c r="CA449" s="4" t="n"/>
      <c r="CB449" s="4" t="n"/>
      <c r="CC449" s="4" t="n"/>
      <c r="CD449" s="4" t="n"/>
      <c r="CE449" s="4" t="n"/>
      <c r="CF449" s="4" t="n"/>
      <c r="CG449" s="4" t="n"/>
      <c r="CH449" s="4" t="n"/>
      <c r="CI449" s="4" t="n"/>
      <c r="CJ449" s="4" t="n"/>
      <c r="CK449" s="4" t="n"/>
      <c r="CL449" s="4" t="n"/>
      <c r="CM449" s="4" t="n"/>
      <c r="CN449" s="4" t="n"/>
      <c r="CO449" s="4" t="n"/>
      <c r="CP449" s="4" t="n"/>
      <c r="CQ449" s="4" t="n"/>
      <c r="CR449" s="4" t="n"/>
      <c r="CS449" s="4" t="n"/>
      <c r="CT449" s="4" t="n"/>
      <c r="CU449" s="4" t="n"/>
      <c r="CV449" s="4" t="n"/>
      <c r="CW449" s="4" t="n"/>
      <c r="CX449" s="4" t="n"/>
      <c r="CY449" s="4" t="n"/>
      <c r="CZ449" s="4" t="n"/>
      <c r="DA449" s="4" t="n"/>
      <c r="DB449" s="4" t="n"/>
      <c r="DC449" s="4" t="n"/>
      <c r="DD449" s="4" t="n"/>
      <c r="DE449" s="4" t="n"/>
      <c r="DF449" s="4" t="n"/>
      <c r="DG449" s="4" t="n"/>
      <c r="DH449" s="4" t="n"/>
      <c r="DI449" s="4" t="n"/>
      <c r="DJ449" s="4" t="n"/>
      <c r="DK449" s="4" t="n"/>
      <c r="DL449" s="4" t="n"/>
      <c r="DM449" s="4" t="n"/>
      <c r="DN449" s="4" t="n"/>
      <c r="DO449" s="4" t="n"/>
      <c r="DP449" s="4" t="n"/>
      <c r="DQ449" s="4" t="n"/>
      <c r="DR449" s="4" t="n"/>
      <c r="DS449" s="4" t="n"/>
      <c r="DT449" s="4" t="n"/>
      <c r="DU449" s="4" t="n"/>
      <c r="DV449" s="4" t="n"/>
      <c r="DW449" s="4" t="n"/>
      <c r="DX449" s="4" t="n"/>
      <c r="DY449" s="4" t="n"/>
      <c r="DZ449" s="4" t="n"/>
      <c r="EA449" s="4" t="n"/>
      <c r="EB449" s="4" t="n"/>
      <c r="EC449" s="4" t="n"/>
      <c r="ED449" s="4" t="n"/>
      <c r="EE449" s="4" t="n"/>
      <c r="EF449" s="4" t="n"/>
      <c r="EG449" s="4" t="n"/>
      <c r="EH449" s="4" t="n"/>
      <c r="EI449" s="4" t="n"/>
      <c r="EJ449" s="4" t="n"/>
      <c r="EK449" s="4" t="n"/>
      <c r="EL449" s="4" t="n"/>
      <c r="EM449" s="4" t="n"/>
      <c r="EN449" s="4" t="n"/>
    </row>
    <row r="450" hidden="1" customFormat="1" s="6">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c r="AC450" s="4" t="n"/>
      <c r="AD450" s="4" t="n"/>
      <c r="AE450" s="4" t="n"/>
      <c r="AF450" s="4" t="n"/>
      <c r="AG450" s="4" t="n"/>
      <c r="AH450" s="4" t="n"/>
      <c r="AI450" s="4" t="n"/>
      <c r="AJ450" s="4" t="n"/>
      <c r="AK450" s="4" t="n"/>
      <c r="AL450" s="4" t="n"/>
      <c r="AM450" s="4" t="n"/>
      <c r="AN450" s="4" t="n"/>
      <c r="AO450" s="4" t="n"/>
      <c r="AP450" s="4" t="n"/>
      <c r="AQ450" s="4" t="n"/>
      <c r="AR450" s="4" t="n"/>
      <c r="AS450" s="4" t="n"/>
      <c r="AT450" s="4" t="n"/>
      <c r="AU450" s="4" t="n"/>
      <c r="AV450" s="4" t="n"/>
      <c r="AW450" s="4" t="n"/>
      <c r="AX450" s="4" t="n"/>
      <c r="AY450" s="4" t="n"/>
      <c r="AZ450" s="4" t="n"/>
      <c r="BA450" s="4" t="n"/>
      <c r="BB450" s="4" t="n"/>
      <c r="BC450" s="4" t="n"/>
      <c r="BD450" s="4" t="n"/>
      <c r="BE450" s="4" t="n"/>
      <c r="BF450" s="4" t="n"/>
      <c r="BG450" s="4" t="n"/>
      <c r="BH450" s="4" t="n"/>
      <c r="BI450" s="4" t="n"/>
      <c r="BJ450" s="4" t="n"/>
      <c r="BK450" s="4" t="n"/>
      <c r="BL450" s="4" t="n"/>
      <c r="BM450" s="4" t="n"/>
      <c r="BN450" s="4" t="n"/>
      <c r="BO450" s="4" t="n"/>
      <c r="BP450" s="4" t="n"/>
      <c r="BQ450" s="4" t="n"/>
      <c r="BR450" s="4" t="n"/>
      <c r="BS450" s="4" t="n"/>
      <c r="BT450" s="4" t="n"/>
      <c r="BU450" s="4" t="n"/>
      <c r="BV450" s="4" t="n"/>
      <c r="BW450" s="4" t="n"/>
      <c r="BX450" s="4" t="n"/>
      <c r="BY450" s="4" t="n"/>
      <c r="BZ450" s="4" t="n"/>
      <c r="CA450" s="4" t="n"/>
      <c r="CB450" s="4" t="n"/>
      <c r="CC450" s="4" t="n"/>
      <c r="CD450" s="4" t="n"/>
      <c r="CE450" s="4" t="n"/>
      <c r="CF450" s="4" t="n"/>
      <c r="CG450" s="4" t="n"/>
      <c r="CH450" s="4" t="n"/>
      <c r="CI450" s="4" t="n"/>
      <c r="CJ450" s="4" t="n"/>
      <c r="CK450" s="4" t="n"/>
      <c r="CL450" s="4" t="n"/>
      <c r="CM450" s="4" t="n"/>
      <c r="CN450" s="4" t="n"/>
      <c r="CO450" s="4" t="n"/>
      <c r="CP450" s="4" t="n"/>
      <c r="CQ450" s="4" t="n"/>
      <c r="CR450" s="4" t="n"/>
      <c r="CS450" s="4" t="n"/>
      <c r="CT450" s="4" t="n"/>
      <c r="CU450" s="4" t="n"/>
      <c r="CV450" s="4" t="n"/>
      <c r="CW450" s="4" t="n"/>
      <c r="CX450" s="4" t="n"/>
      <c r="CY450" s="4" t="n"/>
      <c r="CZ450" s="4" t="n"/>
      <c r="DA450" s="4" t="n"/>
      <c r="DB450" s="4" t="n"/>
      <c r="DC450" s="4" t="n"/>
      <c r="DD450" s="4" t="n"/>
      <c r="DE450" s="4" t="n"/>
      <c r="DF450" s="4" t="n"/>
      <c r="DG450" s="4" t="n"/>
      <c r="DH450" s="4" t="n"/>
      <c r="DI450" s="4" t="n"/>
      <c r="DJ450" s="4" t="n"/>
      <c r="DK450" s="4" t="n"/>
      <c r="DL450" s="4" t="n"/>
      <c r="DM450" s="4" t="n"/>
      <c r="DN450" s="4" t="n"/>
      <c r="DO450" s="4" t="n"/>
      <c r="DP450" s="4" t="n"/>
      <c r="DQ450" s="4" t="n"/>
      <c r="DR450" s="4" t="n"/>
      <c r="DS450" s="4" t="n"/>
      <c r="DT450" s="4" t="n"/>
      <c r="DU450" s="4" t="n"/>
      <c r="DV450" s="4" t="n"/>
      <c r="DW450" s="4" t="n"/>
      <c r="DX450" s="4" t="n"/>
      <c r="DY450" s="4" t="n"/>
      <c r="DZ450" s="4" t="n"/>
      <c r="EA450" s="4" t="n"/>
      <c r="EB450" s="4" t="n"/>
      <c r="EC450" s="4" t="n"/>
      <c r="ED450" s="4" t="n"/>
      <c r="EE450" s="4" t="n"/>
      <c r="EF450" s="4" t="n"/>
      <c r="EG450" s="4" t="n"/>
      <c r="EH450" s="4" t="n"/>
      <c r="EI450" s="4" t="n"/>
      <c r="EJ450" s="4" t="n"/>
      <c r="EK450" s="4" t="n"/>
      <c r="EL450" s="4" t="n"/>
      <c r="EM450" s="4" t="n"/>
      <c r="EN450" s="4" t="n"/>
    </row>
    <row r="451" hidden="1" customFormat="1" s="6">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c r="AD451" s="4" t="n"/>
      <c r="AE451" s="4" t="n"/>
      <c r="AF451" s="4" t="n"/>
      <c r="AG451" s="4" t="n"/>
      <c r="AH451" s="4" t="n"/>
      <c r="AI451" s="4" t="n"/>
      <c r="AJ451" s="4" t="n"/>
      <c r="AK451" s="4" t="n"/>
      <c r="AL451" s="4" t="n"/>
      <c r="AM451" s="4" t="n"/>
      <c r="AN451" s="4" t="n"/>
      <c r="AO451" s="4" t="n"/>
      <c r="AP451" s="4" t="n"/>
      <c r="AQ451" s="4" t="n"/>
      <c r="AR451" s="4" t="n"/>
      <c r="AS451" s="4" t="n"/>
      <c r="AT451" s="4" t="n"/>
      <c r="AU451" s="4" t="n"/>
      <c r="AV451" s="4" t="n"/>
      <c r="AW451" s="4" t="n"/>
      <c r="AX451" s="4" t="n"/>
      <c r="AY451" s="4" t="n"/>
      <c r="AZ451" s="4" t="n"/>
      <c r="BA451" s="4" t="n"/>
      <c r="BB451" s="4" t="n"/>
      <c r="BC451" s="4" t="n"/>
      <c r="BD451" s="4" t="n"/>
      <c r="BE451" s="4" t="n"/>
      <c r="BF451" s="4" t="n"/>
      <c r="BG451" s="4" t="n"/>
      <c r="BH451" s="4" t="n"/>
      <c r="BI451" s="4" t="n"/>
      <c r="BJ451" s="4" t="n"/>
      <c r="BK451" s="4" t="n"/>
      <c r="BL451" s="4" t="n"/>
      <c r="BM451" s="4" t="n"/>
      <c r="BN451" s="4" t="n"/>
      <c r="BO451" s="4" t="n"/>
      <c r="BP451" s="4" t="n"/>
      <c r="BQ451" s="4" t="n"/>
      <c r="BR451" s="4" t="n"/>
      <c r="BS451" s="4" t="n"/>
      <c r="BT451" s="4" t="n"/>
      <c r="BU451" s="4" t="n"/>
      <c r="BV451" s="4" t="n"/>
      <c r="BW451" s="4" t="n"/>
      <c r="BX451" s="4" t="n"/>
      <c r="BY451" s="4" t="n"/>
      <c r="BZ451" s="4" t="n"/>
      <c r="CA451" s="4" t="n"/>
      <c r="CB451" s="4" t="n"/>
      <c r="CC451" s="4" t="n"/>
      <c r="CD451" s="4" t="n"/>
      <c r="CE451" s="4" t="n"/>
      <c r="CF451" s="4" t="n"/>
      <c r="CG451" s="4" t="n"/>
      <c r="CH451" s="4" t="n"/>
      <c r="CI451" s="4" t="n"/>
      <c r="CJ451" s="4" t="n"/>
      <c r="CK451" s="4" t="n"/>
      <c r="CL451" s="4" t="n"/>
      <c r="CM451" s="4" t="n"/>
      <c r="CN451" s="4" t="n"/>
      <c r="CO451" s="4" t="n"/>
      <c r="CP451" s="4" t="n"/>
      <c r="CQ451" s="4" t="n"/>
      <c r="CR451" s="4" t="n"/>
      <c r="CS451" s="4" t="n"/>
      <c r="CT451" s="4" t="n"/>
      <c r="CU451" s="4" t="n"/>
      <c r="CV451" s="4" t="n"/>
      <c r="CW451" s="4" t="n"/>
      <c r="CX451" s="4" t="n"/>
      <c r="CY451" s="4" t="n"/>
      <c r="CZ451" s="4" t="n"/>
      <c r="DA451" s="4" t="n"/>
      <c r="DB451" s="4" t="n"/>
      <c r="DC451" s="4" t="n"/>
      <c r="DD451" s="4" t="n"/>
      <c r="DE451" s="4" t="n"/>
      <c r="DF451" s="4" t="n"/>
      <c r="DG451" s="4" t="n"/>
      <c r="DH451" s="4" t="n"/>
      <c r="DI451" s="4" t="n"/>
      <c r="DJ451" s="4" t="n"/>
      <c r="DK451" s="4" t="n"/>
      <c r="DL451" s="4" t="n"/>
      <c r="DM451" s="4" t="n"/>
      <c r="DN451" s="4" t="n"/>
      <c r="DO451" s="4" t="n"/>
      <c r="DP451" s="4" t="n"/>
      <c r="DQ451" s="4" t="n"/>
      <c r="DR451" s="4" t="n"/>
      <c r="DS451" s="4" t="n"/>
      <c r="DT451" s="4" t="n"/>
      <c r="DU451" s="4" t="n"/>
      <c r="DV451" s="4" t="n"/>
      <c r="DW451" s="4" t="n"/>
      <c r="DX451" s="4" t="n"/>
      <c r="DY451" s="4" t="n"/>
      <c r="DZ451" s="4" t="n"/>
      <c r="EA451" s="4" t="n"/>
      <c r="EB451" s="4" t="n"/>
      <c r="EC451" s="4" t="n"/>
      <c r="ED451" s="4" t="n"/>
      <c r="EE451" s="4" t="n"/>
      <c r="EF451" s="4" t="n"/>
      <c r="EG451" s="4" t="n"/>
      <c r="EH451" s="4" t="n"/>
      <c r="EI451" s="4" t="n"/>
      <c r="EJ451" s="4" t="n"/>
      <c r="EK451" s="4" t="n"/>
      <c r="EL451" s="4" t="n"/>
      <c r="EM451" s="4" t="n"/>
      <c r="EN451" s="4" t="n"/>
    </row>
    <row r="452" hidden="1" customFormat="1" s="6">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c r="AE452" s="4" t="n"/>
      <c r="AF452" s="4" t="n"/>
      <c r="AG452" s="4" t="n"/>
      <c r="AH452" s="4" t="n"/>
      <c r="AI452" s="4" t="n"/>
      <c r="AJ452" s="4" t="n"/>
      <c r="AK452" s="4" t="n"/>
      <c r="AL452" s="4" t="n"/>
      <c r="AM452" s="4" t="n"/>
      <c r="AN452" s="4" t="n"/>
      <c r="AO452" s="4" t="n"/>
      <c r="AP452" s="4" t="n"/>
      <c r="AQ452" s="4" t="n"/>
      <c r="AR452" s="4" t="n"/>
      <c r="AS452" s="4" t="n"/>
      <c r="AT452" s="4" t="n"/>
      <c r="AU452" s="4" t="n"/>
      <c r="AV452" s="4" t="n"/>
      <c r="AW452" s="4" t="n"/>
      <c r="AX452" s="4" t="n"/>
      <c r="AY452" s="4" t="n"/>
      <c r="AZ452" s="4" t="n"/>
      <c r="BA452" s="4" t="n"/>
      <c r="BB452" s="4" t="n"/>
      <c r="BC452" s="4" t="n"/>
      <c r="BD452" s="4" t="n"/>
      <c r="BE452" s="4" t="n"/>
      <c r="BF452" s="4" t="n"/>
      <c r="BG452" s="4" t="n"/>
      <c r="BH452" s="4" t="n"/>
      <c r="BI452" s="4" t="n"/>
      <c r="BJ452" s="4" t="n"/>
      <c r="BK452" s="4" t="n"/>
      <c r="BL452" s="4" t="n"/>
      <c r="BM452" s="4" t="n"/>
      <c r="BN452" s="4" t="n"/>
      <c r="BO452" s="4" t="n"/>
      <c r="BP452" s="4" t="n"/>
      <c r="BQ452" s="4" t="n"/>
      <c r="BR452" s="4" t="n"/>
      <c r="BS452" s="4" t="n"/>
      <c r="BT452" s="4" t="n"/>
      <c r="BU452" s="4" t="n"/>
      <c r="BV452" s="4" t="n"/>
      <c r="BW452" s="4" t="n"/>
      <c r="BX452" s="4" t="n"/>
      <c r="BY452" s="4" t="n"/>
      <c r="BZ452" s="4" t="n"/>
      <c r="CA452" s="4" t="n"/>
      <c r="CB452" s="4" t="n"/>
      <c r="CC452" s="4" t="n"/>
      <c r="CD452" s="4" t="n"/>
      <c r="CE452" s="4" t="n"/>
      <c r="CF452" s="4" t="n"/>
      <c r="CG452" s="4" t="n"/>
      <c r="CH452" s="4" t="n"/>
      <c r="CI452" s="4" t="n"/>
      <c r="CJ452" s="4" t="n"/>
      <c r="CK452" s="4" t="n"/>
      <c r="CL452" s="4" t="n"/>
      <c r="CM452" s="4" t="n"/>
      <c r="CN452" s="4" t="n"/>
      <c r="CO452" s="4" t="n"/>
      <c r="CP452" s="4" t="n"/>
      <c r="CQ452" s="4" t="n"/>
      <c r="CR452" s="4" t="n"/>
      <c r="CS452" s="4" t="n"/>
      <c r="CT452" s="4" t="n"/>
      <c r="CU452" s="4" t="n"/>
      <c r="CV452" s="4" t="n"/>
      <c r="CW452" s="4" t="n"/>
      <c r="CX452" s="4" t="n"/>
      <c r="CY452" s="4" t="n"/>
      <c r="CZ452" s="4" t="n"/>
      <c r="DA452" s="4" t="n"/>
      <c r="DB452" s="4" t="n"/>
      <c r="DC452" s="4" t="n"/>
      <c r="DD452" s="4" t="n"/>
      <c r="DE452" s="4" t="n"/>
      <c r="DF452" s="4" t="n"/>
      <c r="DG452" s="4" t="n"/>
      <c r="DH452" s="4" t="n"/>
      <c r="DI452" s="4" t="n"/>
      <c r="DJ452" s="4" t="n"/>
      <c r="DK452" s="4" t="n"/>
      <c r="DL452" s="4" t="n"/>
      <c r="DM452" s="4" t="n"/>
      <c r="DN452" s="4" t="n"/>
      <c r="DO452" s="4" t="n"/>
      <c r="DP452" s="4" t="n"/>
      <c r="DQ452" s="4" t="n"/>
      <c r="DR452" s="4" t="n"/>
      <c r="DS452" s="4" t="n"/>
      <c r="DT452" s="4" t="n"/>
      <c r="DU452" s="4" t="n"/>
      <c r="DV452" s="4" t="n"/>
      <c r="DW452" s="4" t="n"/>
      <c r="DX452" s="4" t="n"/>
      <c r="DY452" s="4" t="n"/>
      <c r="DZ452" s="4" t="n"/>
      <c r="EA452" s="4" t="n"/>
      <c r="EB452" s="4" t="n"/>
      <c r="EC452" s="4" t="n"/>
      <c r="ED452" s="4" t="n"/>
      <c r="EE452" s="4" t="n"/>
      <c r="EF452" s="4" t="n"/>
      <c r="EG452" s="4" t="n"/>
      <c r="EH452" s="4" t="n"/>
      <c r="EI452" s="4" t="n"/>
      <c r="EJ452" s="4" t="n"/>
      <c r="EK452" s="4" t="n"/>
      <c r="EL452" s="4" t="n"/>
      <c r="EM452" s="4" t="n"/>
      <c r="EN452" s="4" t="n"/>
    </row>
    <row r="453" hidden="1" customFormat="1" s="6">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c r="AD453" s="4" t="n"/>
      <c r="AE453" s="4" t="n"/>
      <c r="AF453" s="4" t="n"/>
      <c r="AG453" s="4" t="n"/>
      <c r="AH453" s="4" t="n"/>
      <c r="AI453" s="4" t="n"/>
      <c r="AJ453" s="4" t="n"/>
      <c r="AK453" s="4" t="n"/>
      <c r="AL453" s="4" t="n"/>
      <c r="AM453" s="4" t="n"/>
      <c r="AN453" s="4" t="n"/>
      <c r="AO453" s="4" t="n"/>
      <c r="AP453" s="4" t="n"/>
      <c r="AQ453" s="4" t="n"/>
      <c r="AR453" s="4" t="n"/>
      <c r="AS453" s="4" t="n"/>
      <c r="AT453" s="4" t="n"/>
      <c r="AU453" s="4" t="n"/>
      <c r="AV453" s="4" t="n"/>
      <c r="AW453" s="4" t="n"/>
      <c r="AX453" s="4" t="n"/>
      <c r="AY453" s="4" t="n"/>
      <c r="AZ453" s="4" t="n"/>
      <c r="BA453" s="4" t="n"/>
      <c r="BB453" s="4" t="n"/>
      <c r="BC453" s="4" t="n"/>
      <c r="BD453" s="4" t="n"/>
      <c r="BE453" s="4" t="n"/>
      <c r="BF453" s="4" t="n"/>
      <c r="BG453" s="4" t="n"/>
      <c r="BH453" s="4" t="n"/>
      <c r="BI453" s="4" t="n"/>
      <c r="BJ453" s="4" t="n"/>
      <c r="BK453" s="4" t="n"/>
      <c r="BL453" s="4" t="n"/>
      <c r="BM453" s="4" t="n"/>
      <c r="BN453" s="4" t="n"/>
      <c r="BO453" s="4" t="n"/>
      <c r="BP453" s="4" t="n"/>
      <c r="BQ453" s="4" t="n"/>
      <c r="BR453" s="4" t="n"/>
      <c r="BS453" s="4" t="n"/>
      <c r="BT453" s="4" t="n"/>
      <c r="BU453" s="4" t="n"/>
      <c r="BV453" s="4" t="n"/>
      <c r="BW453" s="4" t="n"/>
      <c r="BX453" s="4" t="n"/>
      <c r="BY453" s="4" t="n"/>
      <c r="BZ453" s="4" t="n"/>
      <c r="CA453" s="4" t="n"/>
      <c r="CB453" s="4" t="n"/>
      <c r="CC453" s="4" t="n"/>
      <c r="CD453" s="4" t="n"/>
      <c r="CE453" s="4" t="n"/>
      <c r="CF453" s="4" t="n"/>
      <c r="CG453" s="4" t="n"/>
      <c r="CH453" s="4" t="n"/>
      <c r="CI453" s="4" t="n"/>
      <c r="CJ453" s="4" t="n"/>
      <c r="CK453" s="4" t="n"/>
      <c r="CL453" s="4" t="n"/>
      <c r="CM453" s="4" t="n"/>
      <c r="CN453" s="4" t="n"/>
      <c r="CO453" s="4" t="n"/>
      <c r="CP453" s="4" t="n"/>
      <c r="CQ453" s="4" t="n"/>
      <c r="CR453" s="4" t="n"/>
      <c r="CS453" s="4" t="n"/>
      <c r="CT453" s="4" t="n"/>
      <c r="CU453" s="4" t="n"/>
      <c r="CV453" s="4" t="n"/>
      <c r="CW453" s="4" t="n"/>
      <c r="CX453" s="4" t="n"/>
      <c r="CY453" s="4" t="n"/>
      <c r="CZ453" s="4" t="n"/>
      <c r="DA453" s="4" t="n"/>
      <c r="DB453" s="4" t="n"/>
      <c r="DC453" s="4" t="n"/>
      <c r="DD453" s="4" t="n"/>
      <c r="DE453" s="4" t="n"/>
      <c r="DF453" s="4" t="n"/>
      <c r="DG453" s="4" t="n"/>
      <c r="DH453" s="4" t="n"/>
      <c r="DI453" s="4" t="n"/>
      <c r="DJ453" s="4" t="n"/>
      <c r="DK453" s="4" t="n"/>
      <c r="DL453" s="4" t="n"/>
      <c r="DM453" s="4" t="n"/>
      <c r="DN453" s="4" t="n"/>
      <c r="DO453" s="4" t="n"/>
      <c r="DP453" s="4" t="n"/>
      <c r="DQ453" s="4" t="n"/>
      <c r="DR453" s="4" t="n"/>
      <c r="DS453" s="4" t="n"/>
      <c r="DT453" s="4" t="n"/>
      <c r="DU453" s="4" t="n"/>
      <c r="DV453" s="4" t="n"/>
      <c r="DW453" s="4" t="n"/>
      <c r="DX453" s="4" t="n"/>
      <c r="DY453" s="4" t="n"/>
      <c r="DZ453" s="4" t="n"/>
      <c r="EA453" s="4" t="n"/>
      <c r="EB453" s="4" t="n"/>
      <c r="EC453" s="4" t="n"/>
      <c r="ED453" s="4" t="n"/>
      <c r="EE453" s="4" t="n"/>
      <c r="EF453" s="4" t="n"/>
      <c r="EG453" s="4" t="n"/>
      <c r="EH453" s="4" t="n"/>
      <c r="EI453" s="4" t="n"/>
      <c r="EJ453" s="4" t="n"/>
      <c r="EK453" s="4" t="n"/>
      <c r="EL453" s="4" t="n"/>
      <c r="EM453" s="4" t="n"/>
      <c r="EN453" s="4" t="n"/>
    </row>
    <row r="454" hidden="1" customFormat="1" s="6">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c r="AE454" s="4" t="n"/>
      <c r="AF454" s="4" t="n"/>
      <c r="AG454" s="4" t="n"/>
      <c r="AH454" s="4" t="n"/>
      <c r="AI454" s="4" t="n"/>
      <c r="AJ454" s="4" t="n"/>
      <c r="AK454" s="4" t="n"/>
      <c r="AL454" s="4" t="n"/>
      <c r="AM454" s="4" t="n"/>
      <c r="AN454" s="4" t="n"/>
      <c r="AO454" s="4" t="n"/>
      <c r="AP454" s="4" t="n"/>
      <c r="AQ454" s="4" t="n"/>
      <c r="AR454" s="4" t="n"/>
      <c r="AS454" s="4" t="n"/>
      <c r="AT454" s="4" t="n"/>
      <c r="AU454" s="4" t="n"/>
      <c r="AV454" s="4" t="n"/>
      <c r="AW454" s="4" t="n"/>
      <c r="AX454" s="4" t="n"/>
      <c r="AY454" s="4" t="n"/>
      <c r="AZ454" s="4" t="n"/>
      <c r="BA454" s="4" t="n"/>
      <c r="BB454" s="4" t="n"/>
      <c r="BC454" s="4" t="n"/>
      <c r="BD454" s="4" t="n"/>
      <c r="BE454" s="4" t="n"/>
      <c r="BF454" s="4" t="n"/>
      <c r="BG454" s="4" t="n"/>
      <c r="BH454" s="4" t="n"/>
      <c r="BI454" s="4" t="n"/>
      <c r="BJ454" s="4" t="n"/>
      <c r="BK454" s="4" t="n"/>
      <c r="BL454" s="4" t="n"/>
      <c r="BM454" s="4" t="n"/>
      <c r="BN454" s="4" t="n"/>
      <c r="BO454" s="4" t="n"/>
      <c r="BP454" s="4" t="n"/>
      <c r="BQ454" s="4" t="n"/>
      <c r="BR454" s="4" t="n"/>
      <c r="BS454" s="4" t="n"/>
      <c r="BT454" s="4" t="n"/>
      <c r="BU454" s="4" t="n"/>
      <c r="BV454" s="4" t="n"/>
      <c r="BW454" s="4" t="n"/>
      <c r="BX454" s="4" t="n"/>
      <c r="BY454" s="4" t="n"/>
      <c r="BZ454" s="4" t="n"/>
      <c r="CA454" s="4" t="n"/>
      <c r="CB454" s="4" t="n"/>
      <c r="CC454" s="4" t="n"/>
      <c r="CD454" s="4" t="n"/>
      <c r="CE454" s="4" t="n"/>
      <c r="CF454" s="4" t="n"/>
      <c r="CG454" s="4" t="n"/>
      <c r="CH454" s="4" t="n"/>
      <c r="CI454" s="4" t="n"/>
      <c r="CJ454" s="4" t="n"/>
      <c r="CK454" s="4" t="n"/>
      <c r="CL454" s="4" t="n"/>
      <c r="CM454" s="4" t="n"/>
      <c r="CN454" s="4" t="n"/>
      <c r="CO454" s="4" t="n"/>
      <c r="CP454" s="4" t="n"/>
      <c r="CQ454" s="4" t="n"/>
      <c r="CR454" s="4" t="n"/>
      <c r="CS454" s="4" t="n"/>
      <c r="CT454" s="4" t="n"/>
      <c r="CU454" s="4" t="n"/>
      <c r="CV454" s="4" t="n"/>
      <c r="CW454" s="4" t="n"/>
      <c r="CX454" s="4" t="n"/>
      <c r="CY454" s="4" t="n"/>
      <c r="CZ454" s="4" t="n"/>
      <c r="DA454" s="4" t="n"/>
      <c r="DB454" s="4" t="n"/>
      <c r="DC454" s="4" t="n"/>
      <c r="DD454" s="4" t="n"/>
      <c r="DE454" s="4" t="n"/>
      <c r="DF454" s="4" t="n"/>
      <c r="DG454" s="4" t="n"/>
      <c r="DH454" s="4" t="n"/>
      <c r="DI454" s="4" t="n"/>
      <c r="DJ454" s="4" t="n"/>
      <c r="DK454" s="4" t="n"/>
      <c r="DL454" s="4" t="n"/>
      <c r="DM454" s="4" t="n"/>
      <c r="DN454" s="4" t="n"/>
      <c r="DO454" s="4" t="n"/>
      <c r="DP454" s="4" t="n"/>
      <c r="DQ454" s="4" t="n"/>
      <c r="DR454" s="4" t="n"/>
      <c r="DS454" s="4" t="n"/>
      <c r="DT454" s="4" t="n"/>
      <c r="DU454" s="4" t="n"/>
      <c r="DV454" s="4" t="n"/>
      <c r="DW454" s="4" t="n"/>
      <c r="DX454" s="4" t="n"/>
      <c r="DY454" s="4" t="n"/>
      <c r="DZ454" s="4" t="n"/>
      <c r="EA454" s="4" t="n"/>
      <c r="EB454" s="4" t="n"/>
      <c r="EC454" s="4" t="n"/>
      <c r="ED454" s="4" t="n"/>
      <c r="EE454" s="4" t="n"/>
      <c r="EF454" s="4" t="n"/>
      <c r="EG454" s="4" t="n"/>
      <c r="EH454" s="4" t="n"/>
      <c r="EI454" s="4" t="n"/>
      <c r="EJ454" s="4" t="n"/>
      <c r="EK454" s="4" t="n"/>
      <c r="EL454" s="4" t="n"/>
      <c r="EM454" s="4" t="n"/>
      <c r="EN454" s="4" t="n"/>
    </row>
    <row r="455" hidden="1" customFormat="1" s="6">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c r="AE455" s="4" t="n"/>
      <c r="AF455" s="4" t="n"/>
      <c r="AG455" s="4" t="n"/>
      <c r="AH455" s="4" t="n"/>
      <c r="AI455" s="4" t="n"/>
      <c r="AJ455" s="4" t="n"/>
      <c r="AK455" s="4" t="n"/>
      <c r="AL455" s="4" t="n"/>
      <c r="AM455" s="4" t="n"/>
      <c r="AN455" s="4" t="n"/>
      <c r="AO455" s="4" t="n"/>
      <c r="AP455" s="4" t="n"/>
      <c r="AQ455" s="4" t="n"/>
      <c r="AR455" s="4" t="n"/>
      <c r="AS455" s="4" t="n"/>
      <c r="AT455" s="4" t="n"/>
      <c r="AU455" s="4" t="n"/>
      <c r="AV455" s="4" t="n"/>
      <c r="AW455" s="4" t="n"/>
      <c r="AX455" s="4" t="n"/>
      <c r="AY455" s="4" t="n"/>
      <c r="AZ455" s="4" t="n"/>
      <c r="BA455" s="4" t="n"/>
      <c r="BB455" s="4" t="n"/>
      <c r="BC455" s="4" t="n"/>
      <c r="BD455" s="4" t="n"/>
      <c r="BE455" s="4" t="n"/>
      <c r="BF455" s="4" t="n"/>
      <c r="BG455" s="4" t="n"/>
      <c r="BH455" s="4" t="n"/>
      <c r="BI455" s="4" t="n"/>
      <c r="BJ455" s="4" t="n"/>
      <c r="BK455" s="4" t="n"/>
      <c r="BL455" s="4" t="n"/>
      <c r="BM455" s="4" t="n"/>
      <c r="BN455" s="4" t="n"/>
      <c r="BO455" s="4" t="n"/>
      <c r="BP455" s="4" t="n"/>
      <c r="BQ455" s="4" t="n"/>
      <c r="BR455" s="4" t="n"/>
      <c r="BS455" s="4" t="n"/>
      <c r="BT455" s="4" t="n"/>
      <c r="BU455" s="4" t="n"/>
      <c r="BV455" s="4" t="n"/>
      <c r="BW455" s="4" t="n"/>
      <c r="BX455" s="4" t="n"/>
      <c r="BY455" s="4" t="n"/>
      <c r="BZ455" s="4" t="n"/>
      <c r="CA455" s="4" t="n"/>
      <c r="CB455" s="4" t="n"/>
      <c r="CC455" s="4" t="n"/>
      <c r="CD455" s="4" t="n"/>
      <c r="CE455" s="4" t="n"/>
      <c r="CF455" s="4" t="n"/>
      <c r="CG455" s="4" t="n"/>
      <c r="CH455" s="4" t="n"/>
      <c r="CI455" s="4" t="n"/>
      <c r="CJ455" s="4" t="n"/>
      <c r="CK455" s="4" t="n"/>
      <c r="CL455" s="4" t="n"/>
      <c r="CM455" s="4" t="n"/>
      <c r="CN455" s="4" t="n"/>
      <c r="CO455" s="4" t="n"/>
      <c r="CP455" s="4" t="n"/>
      <c r="CQ455" s="4" t="n"/>
      <c r="CR455" s="4" t="n"/>
      <c r="CS455" s="4" t="n"/>
      <c r="CT455" s="4" t="n"/>
      <c r="CU455" s="4" t="n"/>
      <c r="CV455" s="4" t="n"/>
      <c r="CW455" s="4" t="n"/>
      <c r="CX455" s="4" t="n"/>
      <c r="CY455" s="4" t="n"/>
      <c r="CZ455" s="4" t="n"/>
      <c r="DA455" s="4" t="n"/>
      <c r="DB455" s="4" t="n"/>
      <c r="DC455" s="4" t="n"/>
      <c r="DD455" s="4" t="n"/>
      <c r="DE455" s="4" t="n"/>
      <c r="DF455" s="4" t="n"/>
      <c r="DG455" s="4" t="n"/>
      <c r="DH455" s="4" t="n"/>
      <c r="DI455" s="4" t="n"/>
      <c r="DJ455" s="4" t="n"/>
      <c r="DK455" s="4" t="n"/>
      <c r="DL455" s="4" t="n"/>
      <c r="DM455" s="4" t="n"/>
      <c r="DN455" s="4" t="n"/>
      <c r="DO455" s="4" t="n"/>
      <c r="DP455" s="4" t="n"/>
      <c r="DQ455" s="4" t="n"/>
      <c r="DR455" s="4" t="n"/>
      <c r="DS455" s="4" t="n"/>
      <c r="DT455" s="4" t="n"/>
      <c r="DU455" s="4" t="n"/>
      <c r="DV455" s="4" t="n"/>
      <c r="DW455" s="4" t="n"/>
      <c r="DX455" s="4" t="n"/>
      <c r="DY455" s="4" t="n"/>
      <c r="DZ455" s="4" t="n"/>
      <c r="EA455" s="4" t="n"/>
      <c r="EB455" s="4" t="n"/>
      <c r="EC455" s="4" t="n"/>
      <c r="ED455" s="4" t="n"/>
      <c r="EE455" s="4" t="n"/>
      <c r="EF455" s="4" t="n"/>
      <c r="EG455" s="4" t="n"/>
      <c r="EH455" s="4" t="n"/>
      <c r="EI455" s="4" t="n"/>
      <c r="EJ455" s="4" t="n"/>
      <c r="EK455" s="4" t="n"/>
      <c r="EL455" s="4" t="n"/>
      <c r="EM455" s="4" t="n"/>
      <c r="EN455" s="4" t="n"/>
    </row>
    <row r="456" hidden="1" customFormat="1" s="6">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c r="AE456" s="4" t="n"/>
      <c r="AF456" s="4" t="n"/>
      <c r="AG456" s="4" t="n"/>
      <c r="AH456" s="4" t="n"/>
      <c r="AI456" s="4" t="n"/>
      <c r="AJ456" s="4" t="n"/>
      <c r="AK456" s="4" t="n"/>
      <c r="AL456" s="4" t="n"/>
      <c r="AM456" s="4" t="n"/>
      <c r="AN456" s="4" t="n"/>
      <c r="AO456" s="4" t="n"/>
      <c r="AP456" s="4" t="n"/>
      <c r="AQ456" s="4" t="n"/>
      <c r="AR456" s="4" t="n"/>
      <c r="AS456" s="4" t="n"/>
      <c r="AT456" s="4" t="n"/>
      <c r="AU456" s="4" t="n"/>
      <c r="AV456" s="4" t="n"/>
      <c r="AW456" s="4" t="n"/>
      <c r="AX456" s="4" t="n"/>
      <c r="AY456" s="4" t="n"/>
      <c r="AZ456" s="4" t="n"/>
      <c r="BA456" s="4" t="n"/>
      <c r="BB456" s="4" t="n"/>
      <c r="BC456" s="4" t="n"/>
      <c r="BD456" s="4" t="n"/>
      <c r="BE456" s="4" t="n"/>
      <c r="BF456" s="4" t="n"/>
      <c r="BG456" s="4" t="n"/>
      <c r="BH456" s="4" t="n"/>
      <c r="BI456" s="4" t="n"/>
      <c r="BJ456" s="4" t="n"/>
      <c r="BK456" s="4" t="n"/>
      <c r="BL456" s="4" t="n"/>
      <c r="BM456" s="4" t="n"/>
      <c r="BN456" s="4" t="n"/>
      <c r="BO456" s="4" t="n"/>
      <c r="BP456" s="4" t="n"/>
      <c r="BQ456" s="4" t="n"/>
      <c r="BR456" s="4" t="n"/>
      <c r="BS456" s="4" t="n"/>
      <c r="BT456" s="4" t="n"/>
      <c r="BU456" s="4" t="n"/>
      <c r="BV456" s="4" t="n"/>
      <c r="BW456" s="4" t="n"/>
      <c r="BX456" s="4" t="n"/>
      <c r="BY456" s="4" t="n"/>
      <c r="BZ456" s="4" t="n"/>
      <c r="CA456" s="4" t="n"/>
      <c r="CB456" s="4" t="n"/>
      <c r="CC456" s="4" t="n"/>
      <c r="CD456" s="4" t="n"/>
      <c r="CE456" s="4" t="n"/>
      <c r="CF456" s="4" t="n"/>
      <c r="CG456" s="4" t="n"/>
      <c r="CH456" s="4" t="n"/>
      <c r="CI456" s="4" t="n"/>
      <c r="CJ456" s="4" t="n"/>
      <c r="CK456" s="4" t="n"/>
      <c r="CL456" s="4" t="n"/>
      <c r="CM456" s="4" t="n"/>
      <c r="CN456" s="4" t="n"/>
      <c r="CO456" s="4" t="n"/>
      <c r="CP456" s="4" t="n"/>
      <c r="CQ456" s="4" t="n"/>
      <c r="CR456" s="4" t="n"/>
      <c r="CS456" s="4" t="n"/>
      <c r="CT456" s="4" t="n"/>
      <c r="CU456" s="4" t="n"/>
      <c r="CV456" s="4" t="n"/>
      <c r="CW456" s="4" t="n"/>
      <c r="CX456" s="4" t="n"/>
      <c r="CY456" s="4" t="n"/>
      <c r="CZ456" s="4" t="n"/>
      <c r="DA456" s="4" t="n"/>
      <c r="DB456" s="4" t="n"/>
      <c r="DC456" s="4" t="n"/>
      <c r="DD456" s="4" t="n"/>
      <c r="DE456" s="4" t="n"/>
      <c r="DF456" s="4" t="n"/>
      <c r="DG456" s="4" t="n"/>
      <c r="DH456" s="4" t="n"/>
      <c r="DI456" s="4" t="n"/>
      <c r="DJ456" s="4" t="n"/>
      <c r="DK456" s="4" t="n"/>
      <c r="DL456" s="4" t="n"/>
      <c r="DM456" s="4" t="n"/>
      <c r="DN456" s="4" t="n"/>
      <c r="DO456" s="4" t="n"/>
      <c r="DP456" s="4" t="n"/>
      <c r="DQ456" s="4" t="n"/>
      <c r="DR456" s="4" t="n"/>
      <c r="DS456" s="4" t="n"/>
      <c r="DT456" s="4" t="n"/>
      <c r="DU456" s="4" t="n"/>
      <c r="DV456" s="4" t="n"/>
      <c r="DW456" s="4" t="n"/>
      <c r="DX456" s="4" t="n"/>
      <c r="DY456" s="4" t="n"/>
      <c r="DZ456" s="4" t="n"/>
      <c r="EA456" s="4" t="n"/>
      <c r="EB456" s="4" t="n"/>
      <c r="EC456" s="4" t="n"/>
      <c r="ED456" s="4" t="n"/>
      <c r="EE456" s="4" t="n"/>
      <c r="EF456" s="4" t="n"/>
      <c r="EG456" s="4" t="n"/>
      <c r="EH456" s="4" t="n"/>
      <c r="EI456" s="4" t="n"/>
      <c r="EJ456" s="4" t="n"/>
      <c r="EK456" s="4" t="n"/>
      <c r="EL456" s="4" t="n"/>
      <c r="EM456" s="4" t="n"/>
      <c r="EN456" s="4" t="n"/>
    </row>
    <row r="457" hidden="1" customFormat="1" s="6">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c r="AE457" s="4" t="n"/>
      <c r="AF457" s="4" t="n"/>
      <c r="AG457" s="4" t="n"/>
      <c r="AH457" s="4" t="n"/>
      <c r="AI457" s="4" t="n"/>
      <c r="AJ457" s="4" t="n"/>
      <c r="AK457" s="4" t="n"/>
      <c r="AL457" s="4" t="n"/>
      <c r="AM457" s="4" t="n"/>
      <c r="AN457" s="4" t="n"/>
      <c r="AO457" s="4" t="n"/>
      <c r="AP457" s="4" t="n"/>
      <c r="AQ457" s="4" t="n"/>
      <c r="AR457" s="4" t="n"/>
      <c r="AS457" s="4" t="n"/>
      <c r="AT457" s="4" t="n"/>
      <c r="AU457" s="4" t="n"/>
      <c r="AV457" s="4" t="n"/>
      <c r="AW457" s="4" t="n"/>
      <c r="AX457" s="4" t="n"/>
      <c r="AY457" s="4" t="n"/>
      <c r="AZ457" s="4" t="n"/>
      <c r="BA457" s="4" t="n"/>
      <c r="BB457" s="4" t="n"/>
      <c r="BC457" s="4" t="n"/>
      <c r="BD457" s="4" t="n"/>
      <c r="BE457" s="4" t="n"/>
      <c r="BF457" s="4" t="n"/>
      <c r="BG457" s="4" t="n"/>
      <c r="BH457" s="4" t="n"/>
      <c r="BI457" s="4" t="n"/>
      <c r="BJ457" s="4" t="n"/>
      <c r="BK457" s="4" t="n"/>
      <c r="BL457" s="4" t="n"/>
      <c r="BM457" s="4" t="n"/>
      <c r="BN457" s="4" t="n"/>
      <c r="BO457" s="4" t="n"/>
      <c r="BP457" s="4" t="n"/>
      <c r="BQ457" s="4" t="n"/>
      <c r="BR457" s="4" t="n"/>
      <c r="BS457" s="4" t="n"/>
      <c r="BT457" s="4" t="n"/>
      <c r="BU457" s="4" t="n"/>
      <c r="BV457" s="4" t="n"/>
      <c r="BW457" s="4" t="n"/>
      <c r="BX457" s="4" t="n"/>
      <c r="BY457" s="4" t="n"/>
      <c r="BZ457" s="4" t="n"/>
      <c r="CA457" s="4" t="n"/>
      <c r="CB457" s="4" t="n"/>
      <c r="CC457" s="4" t="n"/>
      <c r="CD457" s="4" t="n"/>
      <c r="CE457" s="4" t="n"/>
      <c r="CF457" s="4" t="n"/>
      <c r="CG457" s="4" t="n"/>
      <c r="CH457" s="4" t="n"/>
      <c r="CI457" s="4" t="n"/>
      <c r="CJ457" s="4" t="n"/>
      <c r="CK457" s="4" t="n"/>
      <c r="CL457" s="4" t="n"/>
      <c r="CM457" s="4" t="n"/>
      <c r="CN457" s="4" t="n"/>
      <c r="CO457" s="4" t="n"/>
      <c r="CP457" s="4" t="n"/>
      <c r="CQ457" s="4" t="n"/>
      <c r="CR457" s="4" t="n"/>
      <c r="CS457" s="4" t="n"/>
      <c r="CT457" s="4" t="n"/>
      <c r="CU457" s="4" t="n"/>
      <c r="CV457" s="4" t="n"/>
      <c r="CW457" s="4" t="n"/>
      <c r="CX457" s="4" t="n"/>
      <c r="CY457" s="4" t="n"/>
      <c r="CZ457" s="4" t="n"/>
      <c r="DA457" s="4" t="n"/>
      <c r="DB457" s="4" t="n"/>
      <c r="DC457" s="4" t="n"/>
      <c r="DD457" s="4" t="n"/>
      <c r="DE457" s="4" t="n"/>
      <c r="DF457" s="4" t="n"/>
      <c r="DG457" s="4" t="n"/>
      <c r="DH457" s="4" t="n"/>
      <c r="DI457" s="4" t="n"/>
      <c r="DJ457" s="4" t="n"/>
      <c r="DK457" s="4" t="n"/>
      <c r="DL457" s="4" t="n"/>
      <c r="DM457" s="4" t="n"/>
      <c r="DN457" s="4" t="n"/>
      <c r="DO457" s="4" t="n"/>
      <c r="DP457" s="4" t="n"/>
      <c r="DQ457" s="4" t="n"/>
      <c r="DR457" s="4" t="n"/>
      <c r="DS457" s="4" t="n"/>
      <c r="DT457" s="4" t="n"/>
      <c r="DU457" s="4" t="n"/>
      <c r="DV457" s="4" t="n"/>
      <c r="DW457" s="4" t="n"/>
      <c r="DX457" s="4" t="n"/>
      <c r="DY457" s="4" t="n"/>
      <c r="DZ457" s="4" t="n"/>
      <c r="EA457" s="4" t="n"/>
      <c r="EB457" s="4" t="n"/>
      <c r="EC457" s="4" t="n"/>
      <c r="ED457" s="4" t="n"/>
      <c r="EE457" s="4" t="n"/>
      <c r="EF457" s="4" t="n"/>
      <c r="EG457" s="4" t="n"/>
      <c r="EH457" s="4" t="n"/>
      <c r="EI457" s="4" t="n"/>
      <c r="EJ457" s="4" t="n"/>
      <c r="EK457" s="4" t="n"/>
      <c r="EL457" s="4" t="n"/>
      <c r="EM457" s="4" t="n"/>
      <c r="EN457" s="4" t="n"/>
    </row>
    <row r="458" hidden="1" customFormat="1" s="6">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c r="AE458" s="4" t="n"/>
      <c r="AF458" s="4" t="n"/>
      <c r="AG458" s="4" t="n"/>
      <c r="AH458" s="4" t="n"/>
      <c r="AI458" s="4" t="n"/>
      <c r="AJ458" s="4" t="n"/>
      <c r="AK458" s="4" t="n"/>
      <c r="AL458" s="4" t="n"/>
      <c r="AM458" s="4" t="n"/>
      <c r="AN458" s="4" t="n"/>
      <c r="AO458" s="4" t="n"/>
      <c r="AP458" s="4" t="n"/>
      <c r="AQ458" s="4" t="n"/>
      <c r="AR458" s="4" t="n"/>
      <c r="AS458" s="4" t="n"/>
      <c r="AT458" s="4" t="n"/>
      <c r="AU458" s="4" t="n"/>
      <c r="AV458" s="4" t="n"/>
      <c r="AW458" s="4" t="n"/>
      <c r="AX458" s="4" t="n"/>
      <c r="AY458" s="4" t="n"/>
      <c r="AZ458" s="4" t="n"/>
      <c r="BA458" s="4" t="n"/>
      <c r="BB458" s="4" t="n"/>
      <c r="BC458" s="4" t="n"/>
      <c r="BD458" s="4" t="n"/>
      <c r="BE458" s="4" t="n"/>
      <c r="BF458" s="4" t="n"/>
      <c r="BG458" s="4" t="n"/>
      <c r="BH458" s="4" t="n"/>
      <c r="BI458" s="4" t="n"/>
      <c r="BJ458" s="4" t="n"/>
      <c r="BK458" s="4" t="n"/>
      <c r="BL458" s="4" t="n"/>
      <c r="BM458" s="4" t="n"/>
      <c r="BN458" s="4" t="n"/>
      <c r="BO458" s="4" t="n"/>
      <c r="BP458" s="4" t="n"/>
      <c r="BQ458" s="4" t="n"/>
      <c r="BR458" s="4" t="n"/>
      <c r="BS458" s="4" t="n"/>
      <c r="BT458" s="4" t="n"/>
      <c r="BU458" s="4" t="n"/>
      <c r="BV458" s="4" t="n"/>
      <c r="BW458" s="4" t="n"/>
      <c r="BX458" s="4" t="n"/>
      <c r="BY458" s="4" t="n"/>
      <c r="BZ458" s="4" t="n"/>
      <c r="CA458" s="4" t="n"/>
      <c r="CB458" s="4" t="n"/>
      <c r="CC458" s="4" t="n"/>
      <c r="CD458" s="4" t="n"/>
      <c r="CE458" s="4" t="n"/>
      <c r="CF458" s="4" t="n"/>
      <c r="CG458" s="4" t="n"/>
      <c r="CH458" s="4" t="n"/>
      <c r="CI458" s="4" t="n"/>
      <c r="CJ458" s="4" t="n"/>
      <c r="CK458" s="4" t="n"/>
      <c r="CL458" s="4" t="n"/>
      <c r="CM458" s="4" t="n"/>
      <c r="CN458" s="4" t="n"/>
      <c r="CO458" s="4" t="n"/>
      <c r="CP458" s="4" t="n"/>
      <c r="CQ458" s="4" t="n"/>
      <c r="CR458" s="4" t="n"/>
      <c r="CS458" s="4" t="n"/>
      <c r="CT458" s="4" t="n"/>
      <c r="CU458" s="4" t="n"/>
      <c r="CV458" s="4" t="n"/>
      <c r="CW458" s="4" t="n"/>
      <c r="CX458" s="4" t="n"/>
      <c r="CY458" s="4" t="n"/>
      <c r="CZ458" s="4" t="n"/>
      <c r="DA458" s="4" t="n"/>
      <c r="DB458" s="4" t="n"/>
      <c r="DC458" s="4" t="n"/>
      <c r="DD458" s="4" t="n"/>
      <c r="DE458" s="4" t="n"/>
      <c r="DF458" s="4" t="n"/>
      <c r="DG458" s="4" t="n"/>
      <c r="DH458" s="4" t="n"/>
      <c r="DI458" s="4" t="n"/>
      <c r="DJ458" s="4" t="n"/>
      <c r="DK458" s="4" t="n"/>
      <c r="DL458" s="4" t="n"/>
      <c r="DM458" s="4" t="n"/>
      <c r="DN458" s="4" t="n"/>
      <c r="DO458" s="4" t="n"/>
      <c r="DP458" s="4" t="n"/>
      <c r="DQ458" s="4" t="n"/>
      <c r="DR458" s="4" t="n"/>
      <c r="DS458" s="4" t="n"/>
      <c r="DT458" s="4" t="n"/>
      <c r="DU458" s="4" t="n"/>
      <c r="DV458" s="4" t="n"/>
      <c r="DW458" s="4" t="n"/>
      <c r="DX458" s="4" t="n"/>
      <c r="DY458" s="4" t="n"/>
      <c r="DZ458" s="4" t="n"/>
      <c r="EA458" s="4" t="n"/>
      <c r="EB458" s="4" t="n"/>
      <c r="EC458" s="4" t="n"/>
      <c r="ED458" s="4" t="n"/>
      <c r="EE458" s="4" t="n"/>
      <c r="EF458" s="4" t="n"/>
      <c r="EG458" s="4" t="n"/>
      <c r="EH458" s="4" t="n"/>
      <c r="EI458" s="4" t="n"/>
      <c r="EJ458" s="4" t="n"/>
      <c r="EK458" s="4" t="n"/>
      <c r="EL458" s="4" t="n"/>
      <c r="EM458" s="4" t="n"/>
      <c r="EN458" s="4" t="n"/>
    </row>
  </sheetData>
  <conditionalFormatting sqref="B5:C5">
    <cfRule type="cellIs" priority="55" operator="notEqual" dxfId="1">
      <formula>0</formula>
    </cfRule>
    <cfRule type="expression" priority="56" dxfId="1">
      <formula>"$B$6&lt;&gt;0"</formula>
    </cfRule>
    <cfRule type="cellIs" priority="57" operator="equal" dxfId="5">
      <formula>0</formula>
    </cfRule>
  </conditionalFormatting>
  <conditionalFormatting sqref="H5">
    <cfRule type="expression" priority="180" dxfId="1">
      <formula>sysCheck&lt;&gt;0</formula>
    </cfRule>
    <cfRule type="expression" priority="181" dxfId="0">
      <formula>sysAlert&lt;&gt;0</formula>
    </cfRule>
    <cfRule type="expression" priority="182" dxfId="1">
      <formula>sysCheck&lt;&gt;0</formula>
    </cfRule>
    <cfRule type="expression" priority="183" dxfId="0">
      <formula>sysAlert&lt;&gt;0</formula>
    </cfRule>
  </conditionalFormatting>
  <conditionalFormatting sqref="M7:Q7">
    <cfRule type="containsText" priority="158" operator="containsText" dxfId="9" text="Forecast">
      <formula>NOT(ISERROR(SEARCH("Forecast",M7)))</formula>
    </cfRule>
    <cfRule type="containsText" priority="159" operator="containsText" dxfId="8" text="Actual">
      <formula>NOT(ISERROR(SEARCH("Actual",M7)))</formula>
    </cfRule>
  </conditionalFormatting>
  <conditionalFormatting sqref="T7:CA7">
    <cfRule type="containsText" priority="156" operator="containsText" dxfId="9" text="Forecast">
      <formula>NOT(ISERROR(SEARCH("Forecast",T7)))</formula>
    </cfRule>
    <cfRule type="containsText" priority="157" operator="containsText" dxfId="8" text="Actual">
      <formula>NOT(ISERROR(SEARCH("Actual",T7)))</formula>
    </cfRule>
  </conditionalFormatting>
  <dataValidations count="6">
    <dataValidation sqref="T133:CA136 T140:CA140 T147:CA147 X137:X139" showDropDown="0" showInputMessage="1" showErrorMessage="1" allowBlank="1" errorTitle="Incorrect Signage" error="Only negative amounts, zero or blanks are expected" prompt="Negative amount, zero or blank" type="decimal" operator="lessThanOrEqual">
      <formula1>0</formula1>
    </dataValidation>
    <dataValidation sqref="K110:K114 K116:K120 T110:CA114 T116:CA120 T123:CA126" showDropDown="0" showInputMessage="1" showErrorMessage="1" allowBlank="1" errorTitle="Incorrect Signage" error="Only positive amounts, zero or blanks are expected" prompt="Positive amount, zero or blank" type="decimal" operator="greaterThanOrEqual">
      <formula1>0</formula1>
    </dataValidation>
    <dataValidation sqref="T148:CA148" showDropDown="0" showInputMessage="0" showErrorMessage="1" allowBlank="1" operator="lessThanOrEqual"/>
    <dataValidation sqref="T14:CA23 T27:CA34 T38:CA45 T51:CA58 T62:CA66 T70:CA84 T90:CA91 T96:CA96 T100:CA100" showDropDown="0" showInputMessage="0" showErrorMessage="0" allowBlank="1" errorTitle="Incorrect Signage" error="Only positive amounts, zero or blanks are expected" operator="greaterThanOrEqual"/>
    <dataValidation sqref="K124:K125 K137:K139" showDropDown="0" showInputMessage="1" showErrorMessage="1" allowBlank="1" type="list">
      <formula1>"0,1,2,3,4,5,6"</formula1>
    </dataValidation>
    <dataValidation sqref="T137:W139 Y137:CA139" showDropDown="0" showInputMessage="0" showErrorMessage="1" allowBlank="1" errorTitle="Incorrect Signage" error="Only negative amounts, zero or blanks are expected" operator="lessThanOrEqual"/>
  </dataValidations>
  <hyperlinks>
    <hyperlink ref="H4" location="'Front Sheet'!A1" display="LINK TO FRONT SHEET"/>
    <hyperlink ref="H5" location="sht_sysCheck" display="sht_sysCheck"/>
  </hyperlinks>
  <pageMargins left="0.2362204724409449" right="0.2362204724409449" top="0.7480314960629921" bottom="0.7480314960629921" header="0.3149606299212598" footer="0.3149606299212598"/>
  <pageSetup orientation="landscape" paperSize="8" scale="40"/>
  <headerFooter>
    <oddHeader>&amp;L&amp;C&amp;R</oddHeader>
    <oddFooter>&amp;L&amp;F&amp;CPage &amp;P of &amp;N&amp;RPrinted on: &amp;D &amp;T</oddFooter>
    <evenHeader/>
    <evenFooter/>
    <firstHeader/>
    <firstFooter/>
  </headerFooter>
</worksheet>
</file>

<file path=xl/worksheets/sheet5.xml><?xml version="1.0" encoding="utf-8"?>
<worksheet xmlns="http://schemas.openxmlformats.org/spreadsheetml/2006/main">
  <sheetPr>
    <tabColor theme="6"/>
    <outlinePr summaryBelow="1" summaryRight="1"/>
    <pageSetUpPr/>
  </sheetPr>
  <dimension ref="A1:CB678"/>
  <sheetViews>
    <sheetView showGridLines="0" zoomScale="70" zoomScaleNormal="70" zoomScaleSheetLayoutView="30" workbookViewId="0">
      <pane xSplit="11" ySplit="8" topLeftCell="L9" activePane="bottomRight" state="frozen"/>
      <selection activeCell="P48" sqref="P48"/>
      <selection pane="topRight" activeCell="P48" sqref="P48"/>
      <selection pane="bottomLeft" activeCell="P48" sqref="P48"/>
      <selection pane="bottomRight" activeCell="T31" sqref="T31"/>
    </sheetView>
  </sheetViews>
  <sheetFormatPr baseColWidth="8" defaultColWidth="0" defaultRowHeight="12" zeroHeight="1"/>
  <cols>
    <col width="1.5703125" customWidth="1" style="6" min="1" max="1"/>
    <col width="4.140625" customWidth="1" style="6" min="2" max="2"/>
    <col width="4.140625" customWidth="1" style="4" min="3" max="3"/>
    <col width="4.42578125" customWidth="1" style="4" min="4" max="4"/>
    <col width="5.140625" customWidth="1" style="4" min="5" max="5"/>
    <col width="3.5703125" customWidth="1" style="4" min="6" max="7"/>
    <col width="40.140625" customWidth="1" style="4" min="8" max="8"/>
    <col width="9.7109375" customWidth="1" style="4" min="9" max="9"/>
    <col width="2.5703125" customWidth="1" style="4" min="10" max="10"/>
    <col width="16.42578125" customWidth="1" style="4" min="11" max="11"/>
    <col width="3" customWidth="1" style="4" min="12" max="12"/>
    <col width="12.7109375" customWidth="1" style="4" min="13" max="19"/>
    <col width="13.5703125" customWidth="1" style="4" min="20" max="79"/>
    <col width="5.140625" customWidth="1" style="4" min="80" max="80"/>
    <col hidden="1" width="12.7109375" customWidth="1" style="4" min="81" max="16384"/>
  </cols>
  <sheetData>
    <row r="1" ht="17.65" customFormat="1" customHeight="1" s="2">
      <c r="A1" s="99" t="n"/>
      <c r="B1" s="99">
        <f>i_Setup!$M$13&amp;" Financial Projection"</f>
        <v/>
      </c>
      <c r="C1" s="99" t="n"/>
      <c r="D1" s="99" t="n"/>
      <c r="E1" s="99" t="n"/>
      <c r="F1" s="99" t="n"/>
      <c r="G1" s="99" t="n"/>
      <c r="H1" s="99" t="n"/>
      <c r="I1" s="97" t="n"/>
      <c r="J1" s="97" t="n"/>
      <c r="K1" s="127" t="inlineStr">
        <is>
          <t>Start date</t>
        </is>
      </c>
      <c r="L1" s="127" t="n"/>
      <c r="M1" s="138">
        <f>DATE(i_Setup!$M$19,1,1)</f>
        <v/>
      </c>
      <c r="N1" s="138">
        <f>M2+1</f>
        <v/>
      </c>
      <c r="O1" s="138">
        <f>N2+1</f>
        <v/>
      </c>
      <c r="P1" s="138">
        <f>O2+1</f>
        <v/>
      </c>
      <c r="Q1" s="138">
        <f>P2+1</f>
        <v/>
      </c>
      <c r="R1" s="138" t="n"/>
      <c r="S1" s="138" t="n"/>
      <c r="T1" s="138">
        <f>DATE(i_Setup!$M$19,1,1)</f>
        <v/>
      </c>
      <c r="U1" s="138">
        <f>T2+1</f>
        <v/>
      </c>
      <c r="V1" s="138">
        <f>U2+1</f>
        <v/>
      </c>
      <c r="W1" s="138">
        <f>V2+1</f>
        <v/>
      </c>
      <c r="X1" s="138">
        <f>W2+1</f>
        <v/>
      </c>
      <c r="Y1" s="138">
        <f>X2+1</f>
        <v/>
      </c>
      <c r="Z1" s="138">
        <f>Y2+1</f>
        <v/>
      </c>
      <c r="AA1" s="138">
        <f>Z2+1</f>
        <v/>
      </c>
      <c r="AB1" s="138">
        <f>AA2+1</f>
        <v/>
      </c>
      <c r="AC1" s="138">
        <f>AB2+1</f>
        <v/>
      </c>
      <c r="AD1" s="138">
        <f>AC2+1</f>
        <v/>
      </c>
      <c r="AE1" s="138">
        <f>AD2+1</f>
        <v/>
      </c>
      <c r="AF1" s="138">
        <f>AE2+1</f>
        <v/>
      </c>
      <c r="AG1" s="138">
        <f>AF2+1</f>
        <v/>
      </c>
      <c r="AH1" s="138">
        <f>AG2+1</f>
        <v/>
      </c>
      <c r="AI1" s="138">
        <f>AH2+1</f>
        <v/>
      </c>
      <c r="AJ1" s="138">
        <f>AI2+1</f>
        <v/>
      </c>
      <c r="AK1" s="138">
        <f>AJ2+1</f>
        <v/>
      </c>
      <c r="AL1" s="138">
        <f>AK2+1</f>
        <v/>
      </c>
      <c r="AM1" s="138">
        <f>AL2+1</f>
        <v/>
      </c>
      <c r="AN1" s="138">
        <f>AM2+1</f>
        <v/>
      </c>
      <c r="AO1" s="138">
        <f>AN2+1</f>
        <v/>
      </c>
      <c r="AP1" s="138">
        <f>AO2+1</f>
        <v/>
      </c>
      <c r="AQ1" s="138">
        <f>AP2+1</f>
        <v/>
      </c>
      <c r="AR1" s="138">
        <f>AQ2+1</f>
        <v/>
      </c>
      <c r="AS1" s="138">
        <f>AR2+1</f>
        <v/>
      </c>
      <c r="AT1" s="138">
        <f>AS2+1</f>
        <v/>
      </c>
      <c r="AU1" s="138">
        <f>AT2+1</f>
        <v/>
      </c>
      <c r="AV1" s="138">
        <f>AU2+1</f>
        <v/>
      </c>
      <c r="AW1" s="138">
        <f>AV2+1</f>
        <v/>
      </c>
      <c r="AX1" s="138">
        <f>AW2+1</f>
        <v/>
      </c>
      <c r="AY1" s="138">
        <f>AX2+1</f>
        <v/>
      </c>
      <c r="AZ1" s="138">
        <f>AY2+1</f>
        <v/>
      </c>
      <c r="BA1" s="138">
        <f>AZ2+1</f>
        <v/>
      </c>
      <c r="BB1" s="138">
        <f>BA2+1</f>
        <v/>
      </c>
      <c r="BC1" s="138">
        <f>BB2+1</f>
        <v/>
      </c>
      <c r="BD1" s="138">
        <f>BC2+1</f>
        <v/>
      </c>
      <c r="BE1" s="138">
        <f>BD2+1</f>
        <v/>
      </c>
      <c r="BF1" s="138">
        <f>BE2+1</f>
        <v/>
      </c>
      <c r="BG1" s="138">
        <f>BF2+1</f>
        <v/>
      </c>
      <c r="BH1" s="138">
        <f>BG2+1</f>
        <v/>
      </c>
      <c r="BI1" s="138">
        <f>BH2+1</f>
        <v/>
      </c>
      <c r="BJ1" s="138">
        <f>BI2+1</f>
        <v/>
      </c>
      <c r="BK1" s="138">
        <f>BJ2+1</f>
        <v/>
      </c>
      <c r="BL1" s="138">
        <f>BK2+1</f>
        <v/>
      </c>
      <c r="BM1" s="138">
        <f>BL2+1</f>
        <v/>
      </c>
      <c r="BN1" s="138">
        <f>BM2+1</f>
        <v/>
      </c>
      <c r="BO1" s="138">
        <f>BN2+1</f>
        <v/>
      </c>
      <c r="BP1" s="138">
        <f>BO2+1</f>
        <v/>
      </c>
      <c r="BQ1" s="138">
        <f>BP2+1</f>
        <v/>
      </c>
      <c r="BR1" s="138">
        <f>BQ2+1</f>
        <v/>
      </c>
      <c r="BS1" s="138">
        <f>BR2+1</f>
        <v/>
      </c>
      <c r="BT1" s="138">
        <f>BS2+1</f>
        <v/>
      </c>
      <c r="BU1" s="138">
        <f>BT2+1</f>
        <v/>
      </c>
      <c r="BV1" s="138">
        <f>BU2+1</f>
        <v/>
      </c>
      <c r="BW1" s="138">
        <f>BV2+1</f>
        <v/>
      </c>
      <c r="BX1" s="138">
        <f>BW2+1</f>
        <v/>
      </c>
      <c r="BY1" s="138">
        <f>BX2+1</f>
        <v/>
      </c>
      <c r="BZ1" s="138">
        <f>BY2+1</f>
        <v/>
      </c>
      <c r="CA1" s="138">
        <f>BZ2+1</f>
        <v/>
      </c>
      <c r="CB1" s="138" t="n"/>
    </row>
    <row r="2" ht="17.65" customFormat="1" customHeight="1" s="1">
      <c r="A2" s="99" t="n"/>
      <c r="B2" s="98">
        <f>MID(CELL("filename",C1),FIND("]",CELL("filename",C1))+1,256)</f>
        <v/>
      </c>
      <c r="C2" s="99" t="n"/>
      <c r="D2" s="99" t="n"/>
      <c r="E2" s="99" t="n"/>
      <c r="F2" s="99" t="n"/>
      <c r="G2" s="99" t="n"/>
      <c r="H2" s="99" t="n"/>
      <c r="I2" s="97" t="n"/>
      <c r="J2" s="100" t="n"/>
      <c r="K2" s="127" t="inlineStr">
        <is>
          <t>End date</t>
        </is>
      </c>
      <c r="L2" s="127" t="n"/>
      <c r="M2" s="138">
        <f>EDATE(M$1,12)-1</f>
        <v/>
      </c>
      <c r="N2" s="138">
        <f>EDATE(N$1,12)-1</f>
        <v/>
      </c>
      <c r="O2" s="138">
        <f>EDATE(O$1,12)-1</f>
        <v/>
      </c>
      <c r="P2" s="138">
        <f>EDATE(P$1,12)-1</f>
        <v/>
      </c>
      <c r="Q2" s="138">
        <f>EDATE(Q$1,12)-1</f>
        <v/>
      </c>
      <c r="R2" s="138" t="n"/>
      <c r="S2" s="138" t="n"/>
      <c r="T2" s="138">
        <f>EDATE(T$1,1)-1</f>
        <v/>
      </c>
      <c r="U2" s="138">
        <f>EDATE(U$1,1)-1</f>
        <v/>
      </c>
      <c r="V2" s="138">
        <f>EDATE(V$1,1)-1</f>
        <v/>
      </c>
      <c r="W2" s="138">
        <f>EDATE(W$1,1)-1</f>
        <v/>
      </c>
      <c r="X2" s="138">
        <f>EDATE(X$1,1)-1</f>
        <v/>
      </c>
      <c r="Y2" s="138">
        <f>EDATE(Y$1,1)-1</f>
        <v/>
      </c>
      <c r="Z2" s="138">
        <f>EDATE(Z$1,1)-1</f>
        <v/>
      </c>
      <c r="AA2" s="138">
        <f>EDATE(AA$1,1)-1</f>
        <v/>
      </c>
      <c r="AB2" s="138">
        <f>EDATE(AB$1,1)-1</f>
        <v/>
      </c>
      <c r="AC2" s="138">
        <f>EDATE(AC$1,1)-1</f>
        <v/>
      </c>
      <c r="AD2" s="138">
        <f>EDATE(AD$1,1)-1</f>
        <v/>
      </c>
      <c r="AE2" s="138">
        <f>EDATE(AE$1,1)-1</f>
        <v/>
      </c>
      <c r="AF2" s="138">
        <f>EDATE(AF$1,1)-1</f>
        <v/>
      </c>
      <c r="AG2" s="138">
        <f>EDATE(AG$1,1)-1</f>
        <v/>
      </c>
      <c r="AH2" s="138">
        <f>EDATE(AH$1,1)-1</f>
        <v/>
      </c>
      <c r="AI2" s="138">
        <f>EDATE(AI$1,1)-1</f>
        <v/>
      </c>
      <c r="AJ2" s="138">
        <f>EDATE(AJ$1,1)-1</f>
        <v/>
      </c>
      <c r="AK2" s="138">
        <f>EDATE(AK$1,1)-1</f>
        <v/>
      </c>
      <c r="AL2" s="138">
        <f>EDATE(AL$1,1)-1</f>
        <v/>
      </c>
      <c r="AM2" s="138">
        <f>EDATE(AM$1,1)-1</f>
        <v/>
      </c>
      <c r="AN2" s="138">
        <f>EDATE(AN$1,1)-1</f>
        <v/>
      </c>
      <c r="AO2" s="138">
        <f>EDATE(AO$1,1)-1</f>
        <v/>
      </c>
      <c r="AP2" s="138">
        <f>EDATE(AP$1,1)-1</f>
        <v/>
      </c>
      <c r="AQ2" s="138">
        <f>EDATE(AQ$1,1)-1</f>
        <v/>
      </c>
      <c r="AR2" s="138">
        <f>EDATE(AR$1,1)-1</f>
        <v/>
      </c>
      <c r="AS2" s="138">
        <f>EDATE(AS$1,1)-1</f>
        <v/>
      </c>
      <c r="AT2" s="138">
        <f>EDATE(AT$1,1)-1</f>
        <v/>
      </c>
      <c r="AU2" s="138">
        <f>EDATE(AU$1,1)-1</f>
        <v/>
      </c>
      <c r="AV2" s="138">
        <f>EDATE(AV$1,1)-1</f>
        <v/>
      </c>
      <c r="AW2" s="138">
        <f>EDATE(AW$1,1)-1</f>
        <v/>
      </c>
      <c r="AX2" s="138">
        <f>EDATE(AX$1,1)-1</f>
        <v/>
      </c>
      <c r="AY2" s="138">
        <f>EDATE(AY$1,1)-1</f>
        <v/>
      </c>
      <c r="AZ2" s="138">
        <f>EDATE(AZ$1,1)-1</f>
        <v/>
      </c>
      <c r="BA2" s="138">
        <f>EDATE(BA$1,1)-1</f>
        <v/>
      </c>
      <c r="BB2" s="138">
        <f>EDATE(BB$1,1)-1</f>
        <v/>
      </c>
      <c r="BC2" s="138">
        <f>EDATE(BC$1,1)-1</f>
        <v/>
      </c>
      <c r="BD2" s="138">
        <f>EDATE(BD$1,1)-1</f>
        <v/>
      </c>
      <c r="BE2" s="138">
        <f>EDATE(BE$1,1)-1</f>
        <v/>
      </c>
      <c r="BF2" s="138">
        <f>EDATE(BF$1,1)-1</f>
        <v/>
      </c>
      <c r="BG2" s="138">
        <f>EDATE(BG$1,1)-1</f>
        <v/>
      </c>
      <c r="BH2" s="138">
        <f>EDATE(BH$1,1)-1</f>
        <v/>
      </c>
      <c r="BI2" s="138">
        <f>EDATE(BI$1,1)-1</f>
        <v/>
      </c>
      <c r="BJ2" s="138">
        <f>EDATE(BJ$1,1)-1</f>
        <v/>
      </c>
      <c r="BK2" s="138">
        <f>EDATE(BK$1,1)-1</f>
        <v/>
      </c>
      <c r="BL2" s="138">
        <f>EDATE(BL$1,1)-1</f>
        <v/>
      </c>
      <c r="BM2" s="138">
        <f>EDATE(BM$1,1)-1</f>
        <v/>
      </c>
      <c r="BN2" s="138">
        <f>EDATE(BN$1,1)-1</f>
        <v/>
      </c>
      <c r="BO2" s="138">
        <f>EDATE(BO$1,1)-1</f>
        <v/>
      </c>
      <c r="BP2" s="138">
        <f>EDATE(BP$1,1)-1</f>
        <v/>
      </c>
      <c r="BQ2" s="138">
        <f>EDATE(BQ$1,1)-1</f>
        <v/>
      </c>
      <c r="BR2" s="138">
        <f>EDATE(BR$1,1)-1</f>
        <v/>
      </c>
      <c r="BS2" s="138">
        <f>EDATE(BS$1,1)-1</f>
        <v/>
      </c>
      <c r="BT2" s="138">
        <f>EDATE(BT$1,1)-1</f>
        <v/>
      </c>
      <c r="BU2" s="138">
        <f>EDATE(BU$1,1)-1</f>
        <v/>
      </c>
      <c r="BV2" s="138">
        <f>EDATE(BV$1,1)-1</f>
        <v/>
      </c>
      <c r="BW2" s="138">
        <f>EDATE(BW$1,1)-1</f>
        <v/>
      </c>
      <c r="BX2" s="138">
        <f>EDATE(BX$1,1)-1</f>
        <v/>
      </c>
      <c r="BY2" s="138">
        <f>EDATE(BY$1,1)-1</f>
        <v/>
      </c>
      <c r="BZ2" s="138">
        <f>EDATE(BZ$1,1)-1</f>
        <v/>
      </c>
      <c r="CA2" s="138">
        <f>EDATE(CA$1,1)-1</f>
        <v/>
      </c>
      <c r="CB2" s="138" t="n"/>
    </row>
    <row r="3" ht="17.65" customHeight="1" s="227">
      <c r="A3" s="99" t="n"/>
      <c r="B3" s="99" t="n"/>
      <c r="C3" s="99" t="n"/>
      <c r="D3" s="99" t="n"/>
      <c r="E3" s="99" t="n"/>
      <c r="F3" s="99" t="n"/>
      <c r="G3" s="99" t="n"/>
      <c r="H3" s="99" t="n"/>
      <c r="I3" s="100" t="n"/>
      <c r="J3" s="124" t="n"/>
      <c r="K3" s="127" t="inlineStr">
        <is>
          <t>Timeline</t>
        </is>
      </c>
      <c r="L3" s="127" t="n"/>
      <c r="M3" s="139" t="inlineStr">
        <is>
          <t>ANNUAL</t>
        </is>
      </c>
      <c r="N3" s="139" t="inlineStr">
        <is>
          <t>ANNUAL</t>
        </is>
      </c>
      <c r="O3" s="139" t="inlineStr">
        <is>
          <t>ANNUAL</t>
        </is>
      </c>
      <c r="P3" s="139" t="inlineStr">
        <is>
          <t>ANNUAL</t>
        </is>
      </c>
      <c r="Q3" s="139" t="inlineStr">
        <is>
          <t>ANNUAL</t>
        </is>
      </c>
      <c r="R3" s="139" t="n"/>
      <c r="S3" s="139" t="n"/>
      <c r="T3" s="139" t="inlineStr">
        <is>
          <t>MONTHLY</t>
        </is>
      </c>
      <c r="U3" s="139" t="inlineStr">
        <is>
          <t>MONTHLY</t>
        </is>
      </c>
      <c r="V3" s="139" t="inlineStr">
        <is>
          <t>MONTHLY</t>
        </is>
      </c>
      <c r="W3" s="139" t="inlineStr">
        <is>
          <t>MONTHLY</t>
        </is>
      </c>
      <c r="X3" s="139" t="inlineStr">
        <is>
          <t>MONTHLY</t>
        </is>
      </c>
      <c r="Y3" s="139" t="inlineStr">
        <is>
          <t>MONTHLY</t>
        </is>
      </c>
      <c r="Z3" s="139" t="inlineStr">
        <is>
          <t>MONTHLY</t>
        </is>
      </c>
      <c r="AA3" s="139" t="inlineStr">
        <is>
          <t>MONTHLY</t>
        </is>
      </c>
      <c r="AB3" s="139" t="inlineStr">
        <is>
          <t>MONTHLY</t>
        </is>
      </c>
      <c r="AC3" s="139" t="inlineStr">
        <is>
          <t>MONTHLY</t>
        </is>
      </c>
      <c r="AD3" s="139" t="inlineStr">
        <is>
          <t>MONTHLY</t>
        </is>
      </c>
      <c r="AE3" s="139" t="inlineStr">
        <is>
          <t>MONTHLY</t>
        </is>
      </c>
      <c r="AF3" s="139" t="inlineStr">
        <is>
          <t>MONTHLY</t>
        </is>
      </c>
      <c r="AG3" s="139" t="inlineStr">
        <is>
          <t>MONTHLY</t>
        </is>
      </c>
      <c r="AH3" s="139" t="inlineStr">
        <is>
          <t>MONTHLY</t>
        </is>
      </c>
      <c r="AI3" s="139" t="inlineStr">
        <is>
          <t>MONTHLY</t>
        </is>
      </c>
      <c r="AJ3" s="139" t="inlineStr">
        <is>
          <t>MONTHLY</t>
        </is>
      </c>
      <c r="AK3" s="139" t="inlineStr">
        <is>
          <t>MONTHLY</t>
        </is>
      </c>
      <c r="AL3" s="139" t="inlineStr">
        <is>
          <t>MONTHLY</t>
        </is>
      </c>
      <c r="AM3" s="139" t="inlineStr">
        <is>
          <t>MONTHLY</t>
        </is>
      </c>
      <c r="AN3" s="139" t="inlineStr">
        <is>
          <t>MONTHLY</t>
        </is>
      </c>
      <c r="AO3" s="139" t="inlineStr">
        <is>
          <t>MONTHLY</t>
        </is>
      </c>
      <c r="AP3" s="139" t="inlineStr">
        <is>
          <t>MONTHLY</t>
        </is>
      </c>
      <c r="AQ3" s="139" t="inlineStr">
        <is>
          <t>MONTHLY</t>
        </is>
      </c>
      <c r="AR3" s="139" t="inlineStr">
        <is>
          <t>MONTHLY</t>
        </is>
      </c>
      <c r="AS3" s="139" t="inlineStr">
        <is>
          <t>MONTHLY</t>
        </is>
      </c>
      <c r="AT3" s="139" t="inlineStr">
        <is>
          <t>MONTHLY</t>
        </is>
      </c>
      <c r="AU3" s="139" t="inlineStr">
        <is>
          <t>MONTHLY</t>
        </is>
      </c>
      <c r="AV3" s="139" t="inlineStr">
        <is>
          <t>MONTHLY</t>
        </is>
      </c>
      <c r="AW3" s="139" t="inlineStr">
        <is>
          <t>MONTHLY</t>
        </is>
      </c>
      <c r="AX3" s="139" t="inlineStr">
        <is>
          <t>MONTHLY</t>
        </is>
      </c>
      <c r="AY3" s="139" t="inlineStr">
        <is>
          <t>MONTHLY</t>
        </is>
      </c>
      <c r="AZ3" s="139" t="inlineStr">
        <is>
          <t>MONTHLY</t>
        </is>
      </c>
      <c r="BA3" s="139" t="inlineStr">
        <is>
          <t>MONTHLY</t>
        </is>
      </c>
      <c r="BB3" s="139" t="inlineStr">
        <is>
          <t>MONTHLY</t>
        </is>
      </c>
      <c r="BC3" s="139" t="inlineStr">
        <is>
          <t>MONTHLY</t>
        </is>
      </c>
      <c r="BD3" s="139" t="inlineStr">
        <is>
          <t>MONTHLY</t>
        </is>
      </c>
      <c r="BE3" s="139" t="inlineStr">
        <is>
          <t>MONTHLY</t>
        </is>
      </c>
      <c r="BF3" s="139" t="inlineStr">
        <is>
          <t>MONTHLY</t>
        </is>
      </c>
      <c r="BG3" s="139" t="inlineStr">
        <is>
          <t>MONTHLY</t>
        </is>
      </c>
      <c r="BH3" s="139" t="inlineStr">
        <is>
          <t>MONTHLY</t>
        </is>
      </c>
      <c r="BI3" s="139" t="inlineStr">
        <is>
          <t>MONTHLY</t>
        </is>
      </c>
      <c r="BJ3" s="139" t="inlineStr">
        <is>
          <t>MONTHLY</t>
        </is>
      </c>
      <c r="BK3" s="139" t="inlineStr">
        <is>
          <t>MONTHLY</t>
        </is>
      </c>
      <c r="BL3" s="139" t="inlineStr">
        <is>
          <t>MONTHLY</t>
        </is>
      </c>
      <c r="BM3" s="139" t="inlineStr">
        <is>
          <t>MONTHLY</t>
        </is>
      </c>
      <c r="BN3" s="139" t="inlineStr">
        <is>
          <t>MONTHLY</t>
        </is>
      </c>
      <c r="BO3" s="139" t="inlineStr">
        <is>
          <t>MONTHLY</t>
        </is>
      </c>
      <c r="BP3" s="139" t="inlineStr">
        <is>
          <t>MONTHLY</t>
        </is>
      </c>
      <c r="BQ3" s="139" t="inlineStr">
        <is>
          <t>MONTHLY</t>
        </is>
      </c>
      <c r="BR3" s="139" t="inlineStr">
        <is>
          <t>MONTHLY</t>
        </is>
      </c>
      <c r="BS3" s="139" t="inlineStr">
        <is>
          <t>MONTHLY</t>
        </is>
      </c>
      <c r="BT3" s="139" t="inlineStr">
        <is>
          <t>MONTHLY</t>
        </is>
      </c>
      <c r="BU3" s="139" t="inlineStr">
        <is>
          <t>MONTHLY</t>
        </is>
      </c>
      <c r="BV3" s="139" t="inlineStr">
        <is>
          <t>MONTHLY</t>
        </is>
      </c>
      <c r="BW3" s="139" t="inlineStr">
        <is>
          <t>MONTHLY</t>
        </is>
      </c>
      <c r="BX3" s="139" t="inlineStr">
        <is>
          <t>MONTHLY</t>
        </is>
      </c>
      <c r="BY3" s="139" t="inlineStr">
        <is>
          <t>MONTHLY</t>
        </is>
      </c>
      <c r="BZ3" s="139" t="inlineStr">
        <is>
          <t>MONTHLY</t>
        </is>
      </c>
      <c r="CA3" s="139" t="inlineStr">
        <is>
          <t>MONTHLY</t>
        </is>
      </c>
      <c r="CB3" s="139" t="n"/>
    </row>
    <row r="4" ht="17.65" customHeight="1" s="227">
      <c r="A4" s="101" t="n"/>
      <c r="B4" s="105" t="inlineStr">
        <is>
          <t>Tab Check</t>
        </is>
      </c>
      <c r="C4" s="106" t="n"/>
      <c r="D4" s="107" t="n"/>
      <c r="E4" s="99" t="n"/>
      <c r="F4" s="101" t="n"/>
      <c r="G4" s="101" t="n"/>
      <c r="H4" s="26" t="inlineStr">
        <is>
          <t>LINK TO FRONT SHEET</t>
        </is>
      </c>
      <c r="I4" s="101" t="n"/>
      <c r="J4" s="101" t="n"/>
      <c r="K4" s="127" t="inlineStr">
        <is>
          <t>Year index</t>
        </is>
      </c>
      <c r="L4" s="127" t="n"/>
      <c r="M4" s="241" t="n">
        <v>1</v>
      </c>
      <c r="N4" s="241">
        <f>M$4+1</f>
        <v/>
      </c>
      <c r="O4" s="241">
        <f>N$4+1</f>
        <v/>
      </c>
      <c r="P4" s="241">
        <f>O$4+1</f>
        <v/>
      </c>
      <c r="Q4" s="241">
        <f>P$4+1</f>
        <v/>
      </c>
      <c r="R4" s="241" t="n"/>
      <c r="S4" s="241" t="n"/>
      <c r="T4" s="241">
        <f>YEAR(T2)-(YEAR($M$1)-1)</f>
        <v/>
      </c>
      <c r="U4" s="241">
        <f>YEAR(U2)-(YEAR($M$1)-1)</f>
        <v/>
      </c>
      <c r="V4" s="241">
        <f>YEAR(V2)-(YEAR($M$1)-1)</f>
        <v/>
      </c>
      <c r="W4" s="241">
        <f>YEAR(W2)-(YEAR($M$1)-1)</f>
        <v/>
      </c>
      <c r="X4" s="241">
        <f>YEAR(X2)-(YEAR($M$1)-1)</f>
        <v/>
      </c>
      <c r="Y4" s="241">
        <f>YEAR(Y2)-(YEAR($M$1)-1)</f>
        <v/>
      </c>
      <c r="Z4" s="241">
        <f>YEAR(Z2)-(YEAR($M$1)-1)</f>
        <v/>
      </c>
      <c r="AA4" s="241">
        <f>YEAR(AA2)-(YEAR($M$1)-1)</f>
        <v/>
      </c>
      <c r="AB4" s="241">
        <f>YEAR(AB2)-(YEAR($M$1)-1)</f>
        <v/>
      </c>
      <c r="AC4" s="241">
        <f>YEAR(AC2)-(YEAR($M$1)-1)</f>
        <v/>
      </c>
      <c r="AD4" s="241">
        <f>YEAR(AD2)-(YEAR($M$1)-1)</f>
        <v/>
      </c>
      <c r="AE4" s="241">
        <f>YEAR(AE2)-(YEAR($M$1)-1)</f>
        <v/>
      </c>
      <c r="AF4" s="241">
        <f>YEAR(AF2)-(YEAR($M$1)-1)</f>
        <v/>
      </c>
      <c r="AG4" s="241">
        <f>YEAR(AG2)-(YEAR($M$1)-1)</f>
        <v/>
      </c>
      <c r="AH4" s="241">
        <f>YEAR(AH2)-(YEAR($M$1)-1)</f>
        <v/>
      </c>
      <c r="AI4" s="241">
        <f>YEAR(AI2)-(YEAR($M$1)-1)</f>
        <v/>
      </c>
      <c r="AJ4" s="241">
        <f>YEAR(AJ2)-(YEAR($M$1)-1)</f>
        <v/>
      </c>
      <c r="AK4" s="241">
        <f>YEAR(AK2)-(YEAR($M$1)-1)</f>
        <v/>
      </c>
      <c r="AL4" s="241">
        <f>YEAR(AL2)-(YEAR($M$1)-1)</f>
        <v/>
      </c>
      <c r="AM4" s="241">
        <f>YEAR(AM2)-(YEAR($M$1)-1)</f>
        <v/>
      </c>
      <c r="AN4" s="241">
        <f>YEAR(AN2)-(YEAR($M$1)-1)</f>
        <v/>
      </c>
      <c r="AO4" s="241">
        <f>YEAR(AO2)-(YEAR($M$1)-1)</f>
        <v/>
      </c>
      <c r="AP4" s="241">
        <f>YEAR(AP2)-(YEAR($M$1)-1)</f>
        <v/>
      </c>
      <c r="AQ4" s="241">
        <f>YEAR(AQ2)-(YEAR($M$1)-1)</f>
        <v/>
      </c>
      <c r="AR4" s="241">
        <f>YEAR(AR2)-(YEAR($M$1)-1)</f>
        <v/>
      </c>
      <c r="AS4" s="241">
        <f>YEAR(AS2)-(YEAR($M$1)-1)</f>
        <v/>
      </c>
      <c r="AT4" s="241">
        <f>YEAR(AT2)-(YEAR($M$1)-1)</f>
        <v/>
      </c>
      <c r="AU4" s="241">
        <f>YEAR(AU2)-(YEAR($M$1)-1)</f>
        <v/>
      </c>
      <c r="AV4" s="241">
        <f>YEAR(AV2)-(YEAR($M$1)-1)</f>
        <v/>
      </c>
      <c r="AW4" s="241">
        <f>YEAR(AW2)-(YEAR($M$1)-1)</f>
        <v/>
      </c>
      <c r="AX4" s="241">
        <f>YEAR(AX2)-(YEAR($M$1)-1)</f>
        <v/>
      </c>
      <c r="AY4" s="241">
        <f>YEAR(AY2)-(YEAR($M$1)-1)</f>
        <v/>
      </c>
      <c r="AZ4" s="241">
        <f>YEAR(AZ2)-(YEAR($M$1)-1)</f>
        <v/>
      </c>
      <c r="BA4" s="241">
        <f>YEAR(BA2)-(YEAR($M$1)-1)</f>
        <v/>
      </c>
      <c r="BB4" s="241">
        <f>YEAR(BB2)-(YEAR($M$1)-1)</f>
        <v/>
      </c>
      <c r="BC4" s="241">
        <f>YEAR(BC2)-(YEAR($M$1)-1)</f>
        <v/>
      </c>
      <c r="BD4" s="241">
        <f>YEAR(BD2)-(YEAR($M$1)-1)</f>
        <v/>
      </c>
      <c r="BE4" s="241">
        <f>YEAR(BE2)-(YEAR($M$1)-1)</f>
        <v/>
      </c>
      <c r="BF4" s="241">
        <f>YEAR(BF2)-(YEAR($M$1)-1)</f>
        <v/>
      </c>
      <c r="BG4" s="241">
        <f>YEAR(BG2)-(YEAR($M$1)-1)</f>
        <v/>
      </c>
      <c r="BH4" s="241">
        <f>YEAR(BH2)-(YEAR($M$1)-1)</f>
        <v/>
      </c>
      <c r="BI4" s="241">
        <f>YEAR(BI2)-(YEAR($M$1)-1)</f>
        <v/>
      </c>
      <c r="BJ4" s="241">
        <f>YEAR(BJ2)-(YEAR($M$1)-1)</f>
        <v/>
      </c>
      <c r="BK4" s="241">
        <f>YEAR(BK2)-(YEAR($M$1)-1)</f>
        <v/>
      </c>
      <c r="BL4" s="241">
        <f>YEAR(BL2)-(YEAR($M$1)-1)</f>
        <v/>
      </c>
      <c r="BM4" s="241">
        <f>YEAR(BM2)-(YEAR($M$1)-1)</f>
        <v/>
      </c>
      <c r="BN4" s="241">
        <f>YEAR(BN2)-(YEAR($M$1)-1)</f>
        <v/>
      </c>
      <c r="BO4" s="241">
        <f>YEAR(BO2)-(YEAR($M$1)-1)</f>
        <v/>
      </c>
      <c r="BP4" s="241">
        <f>YEAR(BP2)-(YEAR($M$1)-1)</f>
        <v/>
      </c>
      <c r="BQ4" s="241">
        <f>YEAR(BQ2)-(YEAR($M$1)-1)</f>
        <v/>
      </c>
      <c r="BR4" s="241">
        <f>YEAR(BR2)-(YEAR($M$1)-1)</f>
        <v/>
      </c>
      <c r="BS4" s="241">
        <f>YEAR(BS2)-(YEAR($M$1)-1)</f>
        <v/>
      </c>
      <c r="BT4" s="241">
        <f>YEAR(BT2)-(YEAR($M$1)-1)</f>
        <v/>
      </c>
      <c r="BU4" s="241">
        <f>YEAR(BU2)-(YEAR($M$1)-1)</f>
        <v/>
      </c>
      <c r="BV4" s="241">
        <f>YEAR(BV2)-(YEAR($M$1)-1)</f>
        <v/>
      </c>
      <c r="BW4" s="241">
        <f>YEAR(BW2)-(YEAR($M$1)-1)</f>
        <v/>
      </c>
      <c r="BX4" s="241">
        <f>YEAR(BX2)-(YEAR($M$1)-1)</f>
        <v/>
      </c>
      <c r="BY4" s="241">
        <f>YEAR(BY2)-(YEAR($M$1)-1)</f>
        <v/>
      </c>
      <c r="BZ4" s="241">
        <f>YEAR(BZ2)-(YEAR($M$1)-1)</f>
        <v/>
      </c>
      <c r="CA4" s="241">
        <f>YEAR(CA2)-(YEAR($M$1)-1)</f>
        <v/>
      </c>
      <c r="CB4" s="241" t="n"/>
    </row>
    <row r="5" ht="17.65" customHeight="1" s="227">
      <c r="A5" s="101" t="n"/>
      <c r="B5" s="228">
        <f>SUM(B$9:B678)</f>
        <v/>
      </c>
      <c r="C5" s="229">
        <f>SUM(C$9:C678)</f>
        <v/>
      </c>
      <c r="D5" s="104" t="n"/>
      <c r="E5" s="99" t="n"/>
      <c r="F5" s="101" t="n"/>
      <c r="G5" s="101" t="n"/>
      <c r="H5" s="28">
        <f>sysCheckText</f>
        <v/>
      </c>
      <c r="I5" s="101" t="n"/>
      <c r="J5" s="101" t="n"/>
      <c r="K5" s="127" t="inlineStr">
        <is>
          <t>Relative period</t>
        </is>
      </c>
      <c r="L5" s="127" t="n"/>
      <c r="M5" s="241" t="n">
        <v>1</v>
      </c>
      <c r="N5" s="241" t="n">
        <v>1</v>
      </c>
      <c r="O5" s="241" t="n">
        <v>1</v>
      </c>
      <c r="P5" s="241" t="n">
        <v>1</v>
      </c>
      <c r="Q5" s="241" t="n">
        <v>1</v>
      </c>
      <c r="R5" s="241" t="n"/>
      <c r="S5" s="241" t="n"/>
      <c r="T5" s="241">
        <f>MONTH(T2)</f>
        <v/>
      </c>
      <c r="U5" s="241">
        <f>MONTH(U2)</f>
        <v/>
      </c>
      <c r="V5" s="241">
        <f>MONTH(V2)</f>
        <v/>
      </c>
      <c r="W5" s="241">
        <f>MONTH(W2)</f>
        <v/>
      </c>
      <c r="X5" s="241">
        <f>MONTH(X2)</f>
        <v/>
      </c>
      <c r="Y5" s="241">
        <f>MONTH(Y2)</f>
        <v/>
      </c>
      <c r="Z5" s="241">
        <f>MONTH(Z2)</f>
        <v/>
      </c>
      <c r="AA5" s="241">
        <f>MONTH(AA2)</f>
        <v/>
      </c>
      <c r="AB5" s="241">
        <f>MONTH(AB2)</f>
        <v/>
      </c>
      <c r="AC5" s="241">
        <f>MONTH(AC2)</f>
        <v/>
      </c>
      <c r="AD5" s="241">
        <f>MONTH(AD2)</f>
        <v/>
      </c>
      <c r="AE5" s="241">
        <f>MONTH(AE2)</f>
        <v/>
      </c>
      <c r="AF5" s="241">
        <f>MONTH(AF2)</f>
        <v/>
      </c>
      <c r="AG5" s="241">
        <f>MONTH(AG2)</f>
        <v/>
      </c>
      <c r="AH5" s="241">
        <f>MONTH(AH2)</f>
        <v/>
      </c>
      <c r="AI5" s="241">
        <f>MONTH(AI2)</f>
        <v/>
      </c>
      <c r="AJ5" s="241">
        <f>MONTH(AJ2)</f>
        <v/>
      </c>
      <c r="AK5" s="241">
        <f>MONTH(AK2)</f>
        <v/>
      </c>
      <c r="AL5" s="241">
        <f>MONTH(AL2)</f>
        <v/>
      </c>
      <c r="AM5" s="241">
        <f>MONTH(AM2)</f>
        <v/>
      </c>
      <c r="AN5" s="241">
        <f>MONTH(AN2)</f>
        <v/>
      </c>
      <c r="AO5" s="241">
        <f>MONTH(AO2)</f>
        <v/>
      </c>
      <c r="AP5" s="241">
        <f>MONTH(AP2)</f>
        <v/>
      </c>
      <c r="AQ5" s="241">
        <f>MONTH(AQ2)</f>
        <v/>
      </c>
      <c r="AR5" s="241">
        <f>MONTH(AR2)</f>
        <v/>
      </c>
      <c r="AS5" s="241">
        <f>MONTH(AS2)</f>
        <v/>
      </c>
      <c r="AT5" s="241">
        <f>MONTH(AT2)</f>
        <v/>
      </c>
      <c r="AU5" s="241">
        <f>MONTH(AU2)</f>
        <v/>
      </c>
      <c r="AV5" s="241">
        <f>MONTH(AV2)</f>
        <v/>
      </c>
      <c r="AW5" s="241">
        <f>MONTH(AW2)</f>
        <v/>
      </c>
      <c r="AX5" s="241">
        <f>MONTH(AX2)</f>
        <v/>
      </c>
      <c r="AY5" s="241">
        <f>MONTH(AY2)</f>
        <v/>
      </c>
      <c r="AZ5" s="241">
        <f>MONTH(AZ2)</f>
        <v/>
      </c>
      <c r="BA5" s="241">
        <f>MONTH(BA2)</f>
        <v/>
      </c>
      <c r="BB5" s="241">
        <f>MONTH(BB2)</f>
        <v/>
      </c>
      <c r="BC5" s="241">
        <f>MONTH(BC2)</f>
        <v/>
      </c>
      <c r="BD5" s="241">
        <f>MONTH(BD2)</f>
        <v/>
      </c>
      <c r="BE5" s="241">
        <f>MONTH(BE2)</f>
        <v/>
      </c>
      <c r="BF5" s="241">
        <f>MONTH(BF2)</f>
        <v/>
      </c>
      <c r="BG5" s="241">
        <f>MONTH(BG2)</f>
        <v/>
      </c>
      <c r="BH5" s="241">
        <f>MONTH(BH2)</f>
        <v/>
      </c>
      <c r="BI5" s="241">
        <f>MONTH(BI2)</f>
        <v/>
      </c>
      <c r="BJ5" s="241">
        <f>MONTH(BJ2)</f>
        <v/>
      </c>
      <c r="BK5" s="241">
        <f>MONTH(BK2)</f>
        <v/>
      </c>
      <c r="BL5" s="241">
        <f>MONTH(BL2)</f>
        <v/>
      </c>
      <c r="BM5" s="241">
        <f>MONTH(BM2)</f>
        <v/>
      </c>
      <c r="BN5" s="241">
        <f>MONTH(BN2)</f>
        <v/>
      </c>
      <c r="BO5" s="241">
        <f>MONTH(BO2)</f>
        <v/>
      </c>
      <c r="BP5" s="241">
        <f>MONTH(BP2)</f>
        <v/>
      </c>
      <c r="BQ5" s="241">
        <f>MONTH(BQ2)</f>
        <v/>
      </c>
      <c r="BR5" s="241">
        <f>MONTH(BR2)</f>
        <v/>
      </c>
      <c r="BS5" s="241">
        <f>MONTH(BS2)</f>
        <v/>
      </c>
      <c r="BT5" s="241">
        <f>MONTH(BT2)</f>
        <v/>
      </c>
      <c r="BU5" s="241">
        <f>MONTH(BU2)</f>
        <v/>
      </c>
      <c r="BV5" s="241">
        <f>MONTH(BV2)</f>
        <v/>
      </c>
      <c r="BW5" s="241">
        <f>MONTH(BW2)</f>
        <v/>
      </c>
      <c r="BX5" s="241">
        <f>MONTH(BX2)</f>
        <v/>
      </c>
      <c r="BY5" s="241">
        <f>MONTH(BY2)</f>
        <v/>
      </c>
      <c r="BZ5" s="241">
        <f>MONTH(BZ2)</f>
        <v/>
      </c>
      <c r="CA5" s="241">
        <f>MONTH(CA2)</f>
        <v/>
      </c>
      <c r="CB5" s="241" t="n"/>
    </row>
    <row r="6" ht="17.65" customHeight="1" s="227">
      <c r="A6" s="101" t="n"/>
      <c r="B6" s="119" t="inlineStr">
        <is>
          <t>Err</t>
        </is>
      </c>
      <c r="C6" s="120" t="inlineStr">
        <is>
          <t>Alert</t>
        </is>
      </c>
      <c r="D6" s="121" t="n"/>
      <c r="E6" s="99" t="n"/>
      <c r="F6" s="101" t="n"/>
      <c r="G6" s="101" t="n"/>
      <c r="H6" s="101" t="n"/>
      <c r="I6" s="101" t="n"/>
      <c r="J6" s="101" t="n"/>
      <c r="K6" s="127" t="inlineStr">
        <is>
          <t>Period index</t>
        </is>
      </c>
      <c r="L6" s="127" t="n"/>
      <c r="M6" s="241" t="n">
        <v>1</v>
      </c>
      <c r="N6" s="241">
        <f>M$6+1</f>
        <v/>
      </c>
      <c r="O6" s="241">
        <f>N$6+1</f>
        <v/>
      </c>
      <c r="P6" s="241">
        <f>O$6+1</f>
        <v/>
      </c>
      <c r="Q6" s="241">
        <f>P$6+1</f>
        <v/>
      </c>
      <c r="R6" s="241" t="n"/>
      <c r="S6" s="241" t="n"/>
      <c r="T6" s="241" t="n">
        <v>1</v>
      </c>
      <c r="U6" s="241">
        <f>T$6+1</f>
        <v/>
      </c>
      <c r="V6" s="241">
        <f>U$6+1</f>
        <v/>
      </c>
      <c r="W6" s="241">
        <f>V$6+1</f>
        <v/>
      </c>
      <c r="X6" s="241">
        <f>W$6+1</f>
        <v/>
      </c>
      <c r="Y6" s="241">
        <f>X$6+1</f>
        <v/>
      </c>
      <c r="Z6" s="241">
        <f>Y$6+1</f>
        <v/>
      </c>
      <c r="AA6" s="241">
        <f>Z$6+1</f>
        <v/>
      </c>
      <c r="AB6" s="241">
        <f>AA$6+1</f>
        <v/>
      </c>
      <c r="AC6" s="241">
        <f>AB$6+1</f>
        <v/>
      </c>
      <c r="AD6" s="241">
        <f>AC$6+1</f>
        <v/>
      </c>
      <c r="AE6" s="241">
        <f>AD$6+1</f>
        <v/>
      </c>
      <c r="AF6" s="241">
        <f>AE$6+1</f>
        <v/>
      </c>
      <c r="AG6" s="241">
        <f>AF$6+1</f>
        <v/>
      </c>
      <c r="AH6" s="241">
        <f>AG$6+1</f>
        <v/>
      </c>
      <c r="AI6" s="241">
        <f>AH$6+1</f>
        <v/>
      </c>
      <c r="AJ6" s="241">
        <f>AI$6+1</f>
        <v/>
      </c>
      <c r="AK6" s="241">
        <f>AJ$6+1</f>
        <v/>
      </c>
      <c r="AL6" s="241">
        <f>AK$6+1</f>
        <v/>
      </c>
      <c r="AM6" s="241">
        <f>AL$6+1</f>
        <v/>
      </c>
      <c r="AN6" s="241">
        <f>AM$6+1</f>
        <v/>
      </c>
      <c r="AO6" s="241">
        <f>AN$6+1</f>
        <v/>
      </c>
      <c r="AP6" s="241">
        <f>AO$6+1</f>
        <v/>
      </c>
      <c r="AQ6" s="241">
        <f>AP$6+1</f>
        <v/>
      </c>
      <c r="AR6" s="241">
        <f>AQ$6+1</f>
        <v/>
      </c>
      <c r="AS6" s="241">
        <f>AR$6+1</f>
        <v/>
      </c>
      <c r="AT6" s="241">
        <f>AS$6+1</f>
        <v/>
      </c>
      <c r="AU6" s="241">
        <f>AT$6+1</f>
        <v/>
      </c>
      <c r="AV6" s="241">
        <f>AU$6+1</f>
        <v/>
      </c>
      <c r="AW6" s="241">
        <f>AV$6+1</f>
        <v/>
      </c>
      <c r="AX6" s="241">
        <f>AW$6+1</f>
        <v/>
      </c>
      <c r="AY6" s="241">
        <f>AX$6+1</f>
        <v/>
      </c>
      <c r="AZ6" s="241">
        <f>AY$6+1</f>
        <v/>
      </c>
      <c r="BA6" s="241">
        <f>AZ$6+1</f>
        <v/>
      </c>
      <c r="BB6" s="241">
        <f>BA$6+1</f>
        <v/>
      </c>
      <c r="BC6" s="241">
        <f>BB$6+1</f>
        <v/>
      </c>
      <c r="BD6" s="241">
        <f>BC$6+1</f>
        <v/>
      </c>
      <c r="BE6" s="241">
        <f>BD$6+1</f>
        <v/>
      </c>
      <c r="BF6" s="241">
        <f>BE$6+1</f>
        <v/>
      </c>
      <c r="BG6" s="241">
        <f>BF$6+1</f>
        <v/>
      </c>
      <c r="BH6" s="241">
        <f>BG$6+1</f>
        <v/>
      </c>
      <c r="BI6" s="241">
        <f>BH$6+1</f>
        <v/>
      </c>
      <c r="BJ6" s="241">
        <f>BI$6+1</f>
        <v/>
      </c>
      <c r="BK6" s="241">
        <f>BJ$6+1</f>
        <v/>
      </c>
      <c r="BL6" s="241">
        <f>BK$6+1</f>
        <v/>
      </c>
      <c r="BM6" s="241">
        <f>BL$6+1</f>
        <v/>
      </c>
      <c r="BN6" s="241">
        <f>BM$6+1</f>
        <v/>
      </c>
      <c r="BO6" s="241">
        <f>BN$6+1</f>
        <v/>
      </c>
      <c r="BP6" s="241">
        <f>BO$6+1</f>
        <v/>
      </c>
      <c r="BQ6" s="241">
        <f>BP$6+1</f>
        <v/>
      </c>
      <c r="BR6" s="241">
        <f>BQ$6+1</f>
        <v/>
      </c>
      <c r="BS6" s="241">
        <f>BR$6+1</f>
        <v/>
      </c>
      <c r="BT6" s="241">
        <f>BS$6+1</f>
        <v/>
      </c>
      <c r="BU6" s="241">
        <f>BT$6+1</f>
        <v/>
      </c>
      <c r="BV6" s="241">
        <f>BU$6+1</f>
        <v/>
      </c>
      <c r="BW6" s="241">
        <f>BV$6+1</f>
        <v/>
      </c>
      <c r="BX6" s="241">
        <f>BW$6+1</f>
        <v/>
      </c>
      <c r="BY6" s="241">
        <f>BX$6+1</f>
        <v/>
      </c>
      <c r="BZ6" s="241">
        <f>BY$6+1</f>
        <v/>
      </c>
      <c r="CA6" s="241">
        <f>BZ$6+1</f>
        <v/>
      </c>
      <c r="CB6" s="241" t="n"/>
    </row>
    <row r="7" ht="17.65" customHeight="1" s="227">
      <c r="A7" s="101" t="n"/>
      <c r="B7" s="117" t="n"/>
      <c r="C7" s="117" t="n"/>
      <c r="D7" s="122" t="n"/>
      <c r="E7" s="99" t="n"/>
      <c r="F7" s="101" t="n"/>
      <c r="G7" s="101" t="n"/>
      <c r="H7" s="101" t="n"/>
      <c r="I7" s="101" t="n"/>
      <c r="J7" s="101" t="n"/>
      <c r="K7" s="127" t="inlineStr">
        <is>
          <t>Status</t>
        </is>
      </c>
      <c r="L7" s="127" t="n"/>
      <c r="M7" s="242">
        <f>IF(M2&lt;i_Setup!$U$25,"Actual","Forecast")</f>
        <v/>
      </c>
      <c r="N7" s="242">
        <f>IF(N2&lt;i_Setup!$U$25,"Actual","Forecast")</f>
        <v/>
      </c>
      <c r="O7" s="242">
        <f>IF(O2&lt;i_Setup!$U$25,"Actual","Forecast")</f>
        <v/>
      </c>
      <c r="P7" s="242">
        <f>IF(P2&lt;i_Setup!$U$25,"Actual","Forecast")</f>
        <v/>
      </c>
      <c r="Q7" s="242">
        <f>IF(Q2&lt;i_Setup!$U$25,"Actual","Forecast")</f>
        <v/>
      </c>
      <c r="R7" s="243" t="n"/>
      <c r="S7" s="243" t="n"/>
      <c r="T7" s="242">
        <f>IF(T2&lt;i_Setup!$U$25,"Actual","Forecast")</f>
        <v/>
      </c>
      <c r="U7" s="242">
        <f>IF(U2&lt;i_Setup!$U$25,"Actual","Forecast")</f>
        <v/>
      </c>
      <c r="V7" s="242">
        <f>IF(V2&lt;i_Setup!$U$25,"Actual","Forecast")</f>
        <v/>
      </c>
      <c r="W7" s="242">
        <f>IF(W2&lt;i_Setup!$U$25,"Actual","Forecast")</f>
        <v/>
      </c>
      <c r="X7" s="242">
        <f>IF(X2&lt;i_Setup!$U$25,"Actual","Forecast")</f>
        <v/>
      </c>
      <c r="Y7" s="242">
        <f>IF(Y2&lt;i_Setup!$U$25,"Actual","Forecast")</f>
        <v/>
      </c>
      <c r="Z7" s="242">
        <f>IF(Z2&lt;i_Setup!$U$25,"Actual","Forecast")</f>
        <v/>
      </c>
      <c r="AA7" s="242">
        <f>IF(AA2&lt;i_Setup!$U$25,"Actual","Forecast")</f>
        <v/>
      </c>
      <c r="AB7" s="242">
        <f>IF(AB2&lt;i_Setup!$U$25,"Actual","Forecast")</f>
        <v/>
      </c>
      <c r="AC7" s="242">
        <f>IF(AC2&lt;i_Setup!$U$25,"Actual","Forecast")</f>
        <v/>
      </c>
      <c r="AD7" s="242">
        <f>IF(AD2&lt;i_Setup!$U$25,"Actual","Forecast")</f>
        <v/>
      </c>
      <c r="AE7" s="242">
        <f>IF(AE2&lt;i_Setup!$U$25,"Actual","Forecast")</f>
        <v/>
      </c>
      <c r="AF7" s="242">
        <f>IF(AF2&lt;i_Setup!$U$25,"Actual","Forecast")</f>
        <v/>
      </c>
      <c r="AG7" s="242">
        <f>IF(AG2&lt;i_Setup!$U$25,"Actual","Forecast")</f>
        <v/>
      </c>
      <c r="AH7" s="242">
        <f>IF(AH2&lt;i_Setup!$U$25,"Actual","Forecast")</f>
        <v/>
      </c>
      <c r="AI7" s="242">
        <f>IF(AI2&lt;i_Setup!$U$25,"Actual","Forecast")</f>
        <v/>
      </c>
      <c r="AJ7" s="242">
        <f>IF(AJ2&lt;i_Setup!$U$25,"Actual","Forecast")</f>
        <v/>
      </c>
      <c r="AK7" s="242">
        <f>IF(AK2&lt;i_Setup!$U$25,"Actual","Forecast")</f>
        <v/>
      </c>
      <c r="AL7" s="242">
        <f>IF(AL2&lt;i_Setup!$U$25,"Actual","Forecast")</f>
        <v/>
      </c>
      <c r="AM7" s="242">
        <f>IF(AM2&lt;i_Setup!$U$25,"Actual","Forecast")</f>
        <v/>
      </c>
      <c r="AN7" s="242">
        <f>IF(AN2&lt;i_Setup!$U$25,"Actual","Forecast")</f>
        <v/>
      </c>
      <c r="AO7" s="242">
        <f>IF(AO2&lt;i_Setup!$U$25,"Actual","Forecast")</f>
        <v/>
      </c>
      <c r="AP7" s="242">
        <f>IF(AP2&lt;i_Setup!$U$25,"Actual","Forecast")</f>
        <v/>
      </c>
      <c r="AQ7" s="242">
        <f>IF(AQ2&lt;i_Setup!$U$25,"Actual","Forecast")</f>
        <v/>
      </c>
      <c r="AR7" s="242">
        <f>IF(AR2&lt;i_Setup!$U$25,"Actual","Forecast")</f>
        <v/>
      </c>
      <c r="AS7" s="242">
        <f>IF(AS2&lt;i_Setup!$U$25,"Actual","Forecast")</f>
        <v/>
      </c>
      <c r="AT7" s="242">
        <f>IF(AT2&lt;i_Setup!$U$25,"Actual","Forecast")</f>
        <v/>
      </c>
      <c r="AU7" s="242">
        <f>IF(AU2&lt;i_Setup!$U$25,"Actual","Forecast")</f>
        <v/>
      </c>
      <c r="AV7" s="242">
        <f>IF(AV2&lt;i_Setup!$U$25,"Actual","Forecast")</f>
        <v/>
      </c>
      <c r="AW7" s="242">
        <f>IF(AW2&lt;i_Setup!$U$25,"Actual","Forecast")</f>
        <v/>
      </c>
      <c r="AX7" s="242">
        <f>IF(AX2&lt;i_Setup!$U$25,"Actual","Forecast")</f>
        <v/>
      </c>
      <c r="AY7" s="242">
        <f>IF(AY2&lt;i_Setup!$U$25,"Actual","Forecast")</f>
        <v/>
      </c>
      <c r="AZ7" s="242">
        <f>IF(AZ2&lt;i_Setup!$U$25,"Actual","Forecast")</f>
        <v/>
      </c>
      <c r="BA7" s="242">
        <f>IF(BA2&lt;i_Setup!$U$25,"Actual","Forecast")</f>
        <v/>
      </c>
      <c r="BB7" s="242">
        <f>IF(BB2&lt;i_Setup!$U$25,"Actual","Forecast")</f>
        <v/>
      </c>
      <c r="BC7" s="242">
        <f>IF(BC2&lt;i_Setup!$U$25,"Actual","Forecast")</f>
        <v/>
      </c>
      <c r="BD7" s="242">
        <f>IF(BD2&lt;i_Setup!$U$25,"Actual","Forecast")</f>
        <v/>
      </c>
      <c r="BE7" s="242">
        <f>IF(BE2&lt;i_Setup!$U$25,"Actual","Forecast")</f>
        <v/>
      </c>
      <c r="BF7" s="242">
        <f>IF(BF2&lt;i_Setup!$U$25,"Actual","Forecast")</f>
        <v/>
      </c>
      <c r="BG7" s="242">
        <f>IF(BG2&lt;i_Setup!$U$25,"Actual","Forecast")</f>
        <v/>
      </c>
      <c r="BH7" s="242">
        <f>IF(BH2&lt;i_Setup!$U$25,"Actual","Forecast")</f>
        <v/>
      </c>
      <c r="BI7" s="242">
        <f>IF(BI2&lt;i_Setup!$U$25,"Actual","Forecast")</f>
        <v/>
      </c>
      <c r="BJ7" s="242">
        <f>IF(BJ2&lt;i_Setup!$U$25,"Actual","Forecast")</f>
        <v/>
      </c>
      <c r="BK7" s="242">
        <f>IF(BK2&lt;i_Setup!$U$25,"Actual","Forecast")</f>
        <v/>
      </c>
      <c r="BL7" s="242">
        <f>IF(BL2&lt;i_Setup!$U$25,"Actual","Forecast")</f>
        <v/>
      </c>
      <c r="BM7" s="242">
        <f>IF(BM2&lt;i_Setup!$U$25,"Actual","Forecast")</f>
        <v/>
      </c>
      <c r="BN7" s="242">
        <f>IF(BN2&lt;i_Setup!$U$25,"Actual","Forecast")</f>
        <v/>
      </c>
      <c r="BO7" s="242">
        <f>IF(BO2&lt;i_Setup!$U$25,"Actual","Forecast")</f>
        <v/>
      </c>
      <c r="BP7" s="242">
        <f>IF(BP2&lt;i_Setup!$U$25,"Actual","Forecast")</f>
        <v/>
      </c>
      <c r="BQ7" s="242">
        <f>IF(BQ2&lt;i_Setup!$U$25,"Actual","Forecast")</f>
        <v/>
      </c>
      <c r="BR7" s="242">
        <f>IF(BR2&lt;i_Setup!$U$25,"Actual","Forecast")</f>
        <v/>
      </c>
      <c r="BS7" s="242">
        <f>IF(BS2&lt;i_Setup!$U$25,"Actual","Forecast")</f>
        <v/>
      </c>
      <c r="BT7" s="242">
        <f>IF(BT2&lt;i_Setup!$U$25,"Actual","Forecast")</f>
        <v/>
      </c>
      <c r="BU7" s="242">
        <f>IF(BU2&lt;i_Setup!$U$25,"Actual","Forecast")</f>
        <v/>
      </c>
      <c r="BV7" s="242">
        <f>IF(BV2&lt;i_Setup!$U$25,"Actual","Forecast")</f>
        <v/>
      </c>
      <c r="BW7" s="242">
        <f>IF(BW2&lt;i_Setup!$U$25,"Actual","Forecast")</f>
        <v/>
      </c>
      <c r="BX7" s="242">
        <f>IF(BX2&lt;i_Setup!$U$25,"Actual","Forecast")</f>
        <v/>
      </c>
      <c r="BY7" s="242">
        <f>IF(BY2&lt;i_Setup!$U$25,"Actual","Forecast")</f>
        <v/>
      </c>
      <c r="BZ7" s="242">
        <f>IF(BZ2&lt;i_Setup!$U$25,"Actual","Forecast")</f>
        <v/>
      </c>
      <c r="CA7" s="242">
        <f>IF(CA2&lt;i_Setup!$U$25,"Actual","Forecast")</f>
        <v/>
      </c>
      <c r="CB7" s="235" t="n"/>
    </row>
    <row r="8" ht="17.65" customHeight="1" s="227">
      <c r="A8" s="4" t="n"/>
      <c r="B8" s="4" t="n"/>
      <c r="T8" s="0" t="n"/>
    </row>
    <row r="9" ht="15.75" customFormat="1" customHeight="1" s="99">
      <c r="D9" s="99">
        <f>Heading1</f>
        <v/>
      </c>
      <c r="E9" s="99" t="inlineStr">
        <is>
          <t>Revenues</t>
        </is>
      </c>
    </row>
    <row r="10" ht="12" customHeight="1" s="227">
      <c r="A10" s="244" t="n"/>
      <c r="B10" s="244" t="n"/>
      <c r="C10" s="244" t="n"/>
    </row>
    <row r="11" ht="13.5" customFormat="1" customHeight="1" s="223" thickBot="1">
      <c r="E11" s="223">
        <f>Heading2</f>
        <v/>
      </c>
      <c r="F11" s="223" t="inlineStr">
        <is>
          <t>Service Revenue</t>
        </is>
      </c>
    </row>
    <row r="12" ht="12" customHeight="1" s="227">
      <c r="A12" s="244" t="n"/>
      <c r="B12" s="244" t="n"/>
      <c r="C12" s="244" t="n"/>
    </row>
    <row r="13" ht="12" customHeight="1" s="227">
      <c r="A13" s="244" t="n"/>
      <c r="B13" s="244" t="n"/>
      <c r="C13" s="244" t="n"/>
      <c r="G13" s="222" t="inlineStr">
        <is>
          <t>Number of Ships</t>
        </is>
      </c>
      <c r="K13" s="6" t="n"/>
    </row>
    <row r="14" ht="12" customHeight="1" s="227">
      <c r="A14" s="244" t="n"/>
      <c r="B14" s="244" t="n"/>
      <c r="C14" s="244" t="n"/>
      <c r="K14" s="8" t="inlineStr">
        <is>
          <t>Input:</t>
        </is>
      </c>
    </row>
    <row r="15" ht="12" customHeight="1" s="227">
      <c r="A15" s="244" t="n"/>
      <c r="B15" s="244" t="n"/>
      <c r="C15" s="244" t="n"/>
      <c r="H15" s="4">
        <f>i_Setup!U32</f>
        <v/>
      </c>
      <c r="I15" s="27" t="inlineStr">
        <is>
          <t>no.</t>
        </is>
      </c>
      <c r="K15" s="10" t="inlineStr">
        <is>
          <t>Annual</t>
        </is>
      </c>
      <c r="M15" s="256" t="n">
        <v>6</v>
      </c>
      <c r="N15" s="256" t="n">
        <v>7</v>
      </c>
      <c r="O15" s="256" t="n">
        <v>8</v>
      </c>
      <c r="P15" s="256" t="n">
        <v>8</v>
      </c>
      <c r="Q15" s="256" t="n">
        <v>8</v>
      </c>
      <c r="T15" s="256" t="n"/>
      <c r="U15" s="256" t="n"/>
      <c r="V15" s="256" t="n"/>
      <c r="W15" s="256" t="n"/>
      <c r="X15" s="256" t="n"/>
      <c r="Y15" s="256" t="n"/>
      <c r="Z15" s="256" t="n"/>
      <c r="AA15" s="256" t="n"/>
      <c r="AB15" s="256" t="n"/>
      <c r="AC15" s="256" t="n"/>
      <c r="AD15" s="256" t="n"/>
      <c r="AE15" s="256" t="n"/>
      <c r="AF15" s="256" t="n"/>
      <c r="AG15" s="256" t="n"/>
      <c r="AH15" s="256" t="n"/>
      <c r="AI15" s="256" t="n"/>
      <c r="AJ15" s="256" t="n"/>
      <c r="AK15" s="256" t="n"/>
      <c r="AL15" s="256" t="n"/>
      <c r="AM15" s="256" t="n"/>
      <c r="AN15" s="256" t="n"/>
      <c r="AO15" s="256" t="n"/>
      <c r="AP15" s="256" t="n"/>
      <c r="AQ15" s="256" t="n"/>
      <c r="AR15" s="256" t="n"/>
      <c r="AS15" s="256" t="n"/>
      <c r="AT15" s="256" t="n"/>
      <c r="AU15" s="256" t="n"/>
      <c r="AV15" s="256" t="n"/>
      <c r="AW15" s="256" t="n"/>
      <c r="AX15" s="256" t="n"/>
      <c r="AY15" s="256" t="n"/>
      <c r="AZ15" s="256" t="n"/>
      <c r="BA15" s="256" t="n"/>
      <c r="BB15" s="256" t="n"/>
      <c r="BC15" s="256" t="n"/>
      <c r="BD15" s="256" t="n"/>
      <c r="BE15" s="256" t="n"/>
      <c r="BF15" s="256" t="n"/>
      <c r="BG15" s="256" t="n"/>
      <c r="BH15" s="256" t="n"/>
      <c r="BI15" s="256" t="n"/>
      <c r="BJ15" s="256" t="n"/>
      <c r="BK15" s="256" t="n"/>
      <c r="BL15" s="256" t="n"/>
      <c r="BM15" s="256" t="n"/>
      <c r="BN15" s="256" t="n"/>
      <c r="BO15" s="256" t="n"/>
      <c r="BP15" s="256" t="n"/>
      <c r="BQ15" s="256" t="n"/>
      <c r="BR15" s="256" t="n"/>
      <c r="BS15" s="256" t="n"/>
      <c r="BT15" s="256" t="n"/>
      <c r="BU15" s="256" t="n"/>
      <c r="BV15" s="256" t="n"/>
      <c r="BW15" s="256" t="n"/>
      <c r="BX15" s="256" t="n"/>
      <c r="BY15" s="256" t="n"/>
      <c r="BZ15" s="256" t="n"/>
      <c r="CA15" s="256" t="n"/>
    </row>
    <row r="16" ht="12" customHeight="1" s="227">
      <c r="A16" s="244" t="n"/>
      <c r="B16" s="244" t="n"/>
      <c r="C16" s="244" t="n"/>
      <c r="H16" s="4">
        <f>i_Setup!U33</f>
        <v/>
      </c>
      <c r="I16" s="27" t="inlineStr">
        <is>
          <t>no.</t>
        </is>
      </c>
      <c r="K16" s="10" t="inlineStr">
        <is>
          <t>Annual</t>
        </is>
      </c>
      <c r="M16" s="256" t="n">
        <v>5</v>
      </c>
      <c r="N16" s="256" t="n">
        <v>5</v>
      </c>
      <c r="O16" s="256" t="n">
        <v>6</v>
      </c>
      <c r="P16" s="256" t="n">
        <v>6</v>
      </c>
      <c r="Q16" s="256" t="n">
        <v>6</v>
      </c>
      <c r="T16" s="256" t="n"/>
      <c r="U16" s="256" t="n"/>
      <c r="V16" s="256" t="n"/>
      <c r="W16" s="256" t="n"/>
      <c r="X16" s="256" t="n"/>
      <c r="Y16" s="256" t="n"/>
      <c r="Z16" s="256" t="n"/>
      <c r="AA16" s="256" t="n"/>
      <c r="AB16" s="256" t="n"/>
      <c r="AC16" s="256" t="n"/>
      <c r="AD16" s="256" t="n"/>
      <c r="AE16" s="256" t="n"/>
      <c r="AF16" s="256" t="n"/>
      <c r="AG16" s="256" t="n"/>
      <c r="AH16" s="256" t="n"/>
      <c r="AI16" s="256" t="n"/>
      <c r="AJ16" s="256" t="n"/>
      <c r="AK16" s="256" t="n"/>
      <c r="AL16" s="256" t="n"/>
      <c r="AM16" s="256" t="n"/>
      <c r="AN16" s="256" t="n"/>
      <c r="AO16" s="256" t="n"/>
      <c r="AP16" s="256" t="n"/>
      <c r="AQ16" s="256" t="n"/>
      <c r="AR16" s="256" t="n"/>
      <c r="AS16" s="256" t="n"/>
      <c r="AT16" s="256" t="n"/>
      <c r="AU16" s="256" t="n"/>
      <c r="AV16" s="256" t="n"/>
      <c r="AW16" s="256" t="n"/>
      <c r="AX16" s="256" t="n"/>
      <c r="AY16" s="256" t="n"/>
      <c r="AZ16" s="256" t="n"/>
      <c r="BA16" s="256" t="n"/>
      <c r="BB16" s="256" t="n"/>
      <c r="BC16" s="256" t="n"/>
      <c r="BD16" s="256" t="n"/>
      <c r="BE16" s="256" t="n"/>
      <c r="BF16" s="256" t="n"/>
      <c r="BG16" s="256" t="n"/>
      <c r="BH16" s="256" t="n"/>
      <c r="BI16" s="256" t="n"/>
      <c r="BJ16" s="256" t="n"/>
      <c r="BK16" s="256" t="n"/>
      <c r="BL16" s="256" t="n"/>
      <c r="BM16" s="256" t="n"/>
      <c r="BN16" s="256" t="n"/>
      <c r="BO16" s="256" t="n"/>
      <c r="BP16" s="256" t="n"/>
      <c r="BQ16" s="256" t="n"/>
      <c r="BR16" s="256" t="n"/>
      <c r="BS16" s="256" t="n"/>
      <c r="BT16" s="256" t="n"/>
      <c r="BU16" s="256" t="n"/>
      <c r="BV16" s="256" t="n"/>
      <c r="BW16" s="256" t="n"/>
      <c r="BX16" s="256" t="n"/>
      <c r="BY16" s="256" t="n"/>
      <c r="BZ16" s="256" t="n"/>
      <c r="CA16" s="256" t="n"/>
    </row>
    <row r="17" ht="12" customHeight="1" s="227">
      <c r="A17" s="244" t="n"/>
      <c r="B17" s="244" t="n"/>
      <c r="C17" s="244" t="n"/>
      <c r="H17" s="4">
        <f>i_Setup!U34</f>
        <v/>
      </c>
      <c r="I17" s="27" t="inlineStr">
        <is>
          <t>no.</t>
        </is>
      </c>
      <c r="K17" s="10" t="inlineStr">
        <is>
          <t>Annual</t>
        </is>
      </c>
      <c r="M17" s="256" t="n">
        <v>4</v>
      </c>
      <c r="N17" s="256" t="n">
        <v>5</v>
      </c>
      <c r="O17" s="256" t="n">
        <v>6</v>
      </c>
      <c r="P17" s="256" t="n">
        <v>6</v>
      </c>
      <c r="Q17" s="256" t="n">
        <v>6</v>
      </c>
      <c r="T17" s="256" t="n"/>
      <c r="U17" s="256" t="n"/>
      <c r="V17" s="256" t="n"/>
      <c r="W17" s="256" t="n"/>
      <c r="X17" s="256" t="n"/>
      <c r="Y17" s="256" t="n"/>
      <c r="Z17" s="256" t="n"/>
      <c r="AA17" s="256" t="n"/>
      <c r="AB17" s="256" t="n"/>
      <c r="AC17" s="256" t="n"/>
      <c r="AD17" s="256" t="n"/>
      <c r="AE17" s="256" t="n"/>
      <c r="AF17" s="256" t="n"/>
      <c r="AG17" s="256" t="n"/>
      <c r="AH17" s="256" t="n"/>
      <c r="AI17" s="256" t="n"/>
      <c r="AJ17" s="256" t="n"/>
      <c r="AK17" s="256" t="n"/>
      <c r="AL17" s="256" t="n"/>
      <c r="AM17" s="256" t="n"/>
      <c r="AN17" s="256" t="n"/>
      <c r="AO17" s="256" t="n"/>
      <c r="AP17" s="256" t="n"/>
      <c r="AQ17" s="256" t="n"/>
      <c r="AR17" s="256" t="n"/>
      <c r="AS17" s="256" t="n"/>
      <c r="AT17" s="256" t="n"/>
      <c r="AU17" s="256" t="n"/>
      <c r="AV17" s="256" t="n"/>
      <c r="AW17" s="256" t="n"/>
      <c r="AX17" s="256" t="n"/>
      <c r="AY17" s="256" t="n"/>
      <c r="AZ17" s="256" t="n"/>
      <c r="BA17" s="256" t="n"/>
      <c r="BB17" s="256" t="n"/>
      <c r="BC17" s="256" t="n"/>
      <c r="BD17" s="256" t="n"/>
      <c r="BE17" s="256" t="n"/>
      <c r="BF17" s="256" t="n"/>
      <c r="BG17" s="256" t="n"/>
      <c r="BH17" s="256" t="n"/>
      <c r="BI17" s="256" t="n"/>
      <c r="BJ17" s="256" t="n"/>
      <c r="BK17" s="256" t="n"/>
      <c r="BL17" s="256" t="n"/>
      <c r="BM17" s="256" t="n"/>
      <c r="BN17" s="256" t="n"/>
      <c r="BO17" s="256" t="n"/>
      <c r="BP17" s="256" t="n"/>
      <c r="BQ17" s="256" t="n"/>
      <c r="BR17" s="256" t="n"/>
      <c r="BS17" s="256" t="n"/>
      <c r="BT17" s="256" t="n"/>
      <c r="BU17" s="256" t="n"/>
      <c r="BV17" s="256" t="n"/>
      <c r="BW17" s="256" t="n"/>
      <c r="BX17" s="256" t="n"/>
      <c r="BY17" s="256" t="n"/>
      <c r="BZ17" s="256" t="n"/>
      <c r="CA17" s="256" t="n"/>
    </row>
    <row r="18" ht="12" customHeight="1" s="227">
      <c r="A18" s="244" t="n"/>
      <c r="B18" s="244" t="n"/>
      <c r="C18" s="244" t="n"/>
      <c r="H18" s="4">
        <f>i_Setup!U35</f>
        <v/>
      </c>
      <c r="I18" s="27" t="inlineStr">
        <is>
          <t>no.</t>
        </is>
      </c>
      <c r="K18" s="10" t="inlineStr">
        <is>
          <t>Annual</t>
        </is>
      </c>
      <c r="M18" s="256" t="n">
        <v>2</v>
      </c>
      <c r="N18" s="256" t="n">
        <v>2</v>
      </c>
      <c r="O18" s="256" t="n">
        <v>2</v>
      </c>
      <c r="P18" s="256" t="n">
        <v>2</v>
      </c>
      <c r="Q18" s="256" t="n">
        <v>2</v>
      </c>
      <c r="T18" s="256" t="n"/>
      <c r="U18" s="256" t="n"/>
      <c r="V18" s="256" t="n"/>
      <c r="W18" s="256" t="n"/>
      <c r="X18" s="256" t="n"/>
      <c r="Y18" s="256" t="n"/>
      <c r="Z18" s="256" t="n"/>
      <c r="AA18" s="256" t="n"/>
      <c r="AB18" s="256" t="n"/>
      <c r="AC18" s="256" t="n"/>
      <c r="AD18" s="256" t="n"/>
      <c r="AE18" s="256" t="n"/>
      <c r="AF18" s="256" t="n"/>
      <c r="AG18" s="256" t="n"/>
      <c r="AH18" s="256" t="n"/>
      <c r="AI18" s="256" t="n"/>
      <c r="AJ18" s="256" t="n"/>
      <c r="AK18" s="256" t="n"/>
      <c r="AL18" s="256" t="n"/>
      <c r="AM18" s="256" t="n"/>
      <c r="AN18" s="256" t="n"/>
      <c r="AO18" s="256" t="n"/>
      <c r="AP18" s="256" t="n"/>
      <c r="AQ18" s="256" t="n"/>
      <c r="AR18" s="256" t="n"/>
      <c r="AS18" s="256" t="n"/>
      <c r="AT18" s="256" t="n"/>
      <c r="AU18" s="256" t="n"/>
      <c r="AV18" s="256" t="n"/>
      <c r="AW18" s="256" t="n"/>
      <c r="AX18" s="256" t="n"/>
      <c r="AY18" s="256" t="n"/>
      <c r="AZ18" s="256" t="n"/>
      <c r="BA18" s="256" t="n"/>
      <c r="BB18" s="256" t="n"/>
      <c r="BC18" s="256" t="n"/>
      <c r="BD18" s="256" t="n"/>
      <c r="BE18" s="256" t="n"/>
      <c r="BF18" s="256" t="n"/>
      <c r="BG18" s="256" t="n"/>
      <c r="BH18" s="256" t="n"/>
      <c r="BI18" s="256" t="n"/>
      <c r="BJ18" s="256" t="n"/>
      <c r="BK18" s="256" t="n"/>
      <c r="BL18" s="256" t="n"/>
      <c r="BM18" s="256" t="n"/>
      <c r="BN18" s="256" t="n"/>
      <c r="BO18" s="256" t="n"/>
      <c r="BP18" s="256" t="n"/>
      <c r="BQ18" s="256" t="n"/>
      <c r="BR18" s="256" t="n"/>
      <c r="BS18" s="256" t="n"/>
      <c r="BT18" s="256" t="n"/>
      <c r="BU18" s="256" t="n"/>
      <c r="BV18" s="256" t="n"/>
      <c r="BW18" s="256" t="n"/>
      <c r="BX18" s="256" t="n"/>
      <c r="BY18" s="256" t="n"/>
      <c r="BZ18" s="256" t="n"/>
      <c r="CA18" s="256" t="n"/>
    </row>
    <row r="19" ht="12" customHeight="1" s="227">
      <c r="A19" s="244" t="n"/>
      <c r="B19" s="244" t="n"/>
      <c r="C19" s="244" t="n"/>
      <c r="H19" s="4">
        <f>i_Setup!U36</f>
        <v/>
      </c>
      <c r="I19" s="27" t="inlineStr">
        <is>
          <t>no.</t>
        </is>
      </c>
      <c r="K19" s="10" t="inlineStr">
        <is>
          <t>Annual</t>
        </is>
      </c>
      <c r="M19" s="256" t="n">
        <v>1</v>
      </c>
      <c r="N19" s="256" t="n">
        <v>1</v>
      </c>
      <c r="O19" s="256" t="n">
        <v>1</v>
      </c>
      <c r="P19" s="256" t="n">
        <v>1</v>
      </c>
      <c r="Q19" s="256" t="n">
        <v>1</v>
      </c>
      <c r="T19" s="256" t="n"/>
      <c r="U19" s="256" t="n"/>
      <c r="V19" s="256" t="n"/>
      <c r="W19" s="256" t="n"/>
      <c r="X19" s="256" t="n"/>
      <c r="Y19" s="256" t="n"/>
      <c r="Z19" s="256" t="n"/>
      <c r="AA19" s="256" t="n"/>
      <c r="AB19" s="256" t="n"/>
      <c r="AC19" s="256" t="n"/>
      <c r="AD19" s="256" t="n"/>
      <c r="AE19" s="256" t="n"/>
      <c r="AF19" s="256" t="n"/>
      <c r="AG19" s="256" t="n"/>
      <c r="AH19" s="256" t="n"/>
      <c r="AI19" s="256" t="n"/>
      <c r="AJ19" s="256" t="n"/>
      <c r="AK19" s="256" t="n"/>
      <c r="AL19" s="256" t="n"/>
      <c r="AM19" s="256" t="n"/>
      <c r="AN19" s="256" t="n"/>
      <c r="AO19" s="256" t="n"/>
      <c r="AP19" s="256" t="n"/>
      <c r="AQ19" s="256" t="n"/>
      <c r="AR19" s="256" t="n"/>
      <c r="AS19" s="256" t="n"/>
      <c r="AT19" s="256" t="n"/>
      <c r="AU19" s="256" t="n"/>
      <c r="AV19" s="256" t="n"/>
      <c r="AW19" s="256" t="n"/>
      <c r="AX19" s="256" t="n"/>
      <c r="AY19" s="256" t="n"/>
      <c r="AZ19" s="256" t="n"/>
      <c r="BA19" s="256" t="n"/>
      <c r="BB19" s="256" t="n"/>
      <c r="BC19" s="256" t="n"/>
      <c r="BD19" s="256" t="n"/>
      <c r="BE19" s="256" t="n"/>
      <c r="BF19" s="256" t="n"/>
      <c r="BG19" s="256" t="n"/>
      <c r="BH19" s="256" t="n"/>
      <c r="BI19" s="256" t="n"/>
      <c r="BJ19" s="256" t="n"/>
      <c r="BK19" s="256" t="n"/>
      <c r="BL19" s="256" t="n"/>
      <c r="BM19" s="256" t="n"/>
      <c r="BN19" s="256" t="n"/>
      <c r="BO19" s="256" t="n"/>
      <c r="BP19" s="256" t="n"/>
      <c r="BQ19" s="256" t="n"/>
      <c r="BR19" s="256" t="n"/>
      <c r="BS19" s="256" t="n"/>
      <c r="BT19" s="256" t="n"/>
      <c r="BU19" s="256" t="n"/>
      <c r="BV19" s="256" t="n"/>
      <c r="BW19" s="256" t="n"/>
      <c r="BX19" s="256" t="n"/>
      <c r="BY19" s="256" t="n"/>
      <c r="BZ19" s="256" t="n"/>
      <c r="CA19" s="256" t="n"/>
    </row>
    <row r="20" ht="12" customHeight="1" s="227">
      <c r="A20" s="244" t="n"/>
      <c r="B20" s="244" t="n"/>
      <c r="C20" s="244" t="n"/>
      <c r="H20" s="4">
        <f>i_Setup!U37</f>
        <v/>
      </c>
      <c r="I20" s="27" t="inlineStr">
        <is>
          <t>no.</t>
        </is>
      </c>
      <c r="K20" s="10" t="inlineStr">
        <is>
          <t>Annual</t>
        </is>
      </c>
      <c r="M20" s="256" t="n"/>
      <c r="N20" s="256" t="n"/>
      <c r="O20" s="256" t="n"/>
      <c r="P20" s="256" t="n"/>
      <c r="Q20" s="256" t="n"/>
      <c r="T20" s="256" t="n"/>
      <c r="U20" s="256" t="n"/>
      <c r="V20" s="256" t="n"/>
      <c r="W20" s="256" t="n"/>
      <c r="X20" s="256" t="n"/>
      <c r="Y20" s="256" t="n"/>
      <c r="Z20" s="256" t="n"/>
      <c r="AA20" s="256" t="n"/>
      <c r="AB20" s="256" t="n"/>
      <c r="AC20" s="256" t="n"/>
      <c r="AD20" s="256" t="n"/>
      <c r="AE20" s="256" t="n"/>
      <c r="AF20" s="256" t="n"/>
      <c r="AG20" s="256" t="n"/>
      <c r="AH20" s="256" t="n"/>
      <c r="AI20" s="256" t="n"/>
      <c r="AJ20" s="256" t="n"/>
      <c r="AK20" s="256" t="n"/>
      <c r="AL20" s="256" t="n"/>
      <c r="AM20" s="256" t="n"/>
      <c r="AN20" s="256" t="n"/>
      <c r="AO20" s="256" t="n"/>
      <c r="AP20" s="256" t="n"/>
      <c r="AQ20" s="256" t="n"/>
      <c r="AR20" s="256" t="n"/>
      <c r="AS20" s="256" t="n"/>
      <c r="AT20" s="256" t="n"/>
      <c r="AU20" s="256" t="n"/>
      <c r="AV20" s="256" t="n"/>
      <c r="AW20" s="256" t="n"/>
      <c r="AX20" s="256" t="n"/>
      <c r="AY20" s="256" t="n"/>
      <c r="AZ20" s="256" t="n"/>
      <c r="BA20" s="256" t="n"/>
      <c r="BB20" s="256" t="n"/>
      <c r="BC20" s="256" t="n"/>
      <c r="BD20" s="256" t="n"/>
      <c r="BE20" s="256" t="n"/>
      <c r="BF20" s="256" t="n"/>
      <c r="BG20" s="256" t="n"/>
      <c r="BH20" s="256" t="n"/>
      <c r="BI20" s="256" t="n"/>
      <c r="BJ20" s="256" t="n"/>
      <c r="BK20" s="256" t="n"/>
      <c r="BL20" s="256" t="n"/>
      <c r="BM20" s="256" t="n"/>
      <c r="BN20" s="256" t="n"/>
      <c r="BO20" s="256" t="n"/>
      <c r="BP20" s="256" t="n"/>
      <c r="BQ20" s="256" t="n"/>
      <c r="BR20" s="256" t="n"/>
      <c r="BS20" s="256" t="n"/>
      <c r="BT20" s="256" t="n"/>
      <c r="BU20" s="256" t="n"/>
      <c r="BV20" s="256" t="n"/>
      <c r="BW20" s="256" t="n"/>
      <c r="BX20" s="256" t="n"/>
      <c r="BY20" s="256" t="n"/>
      <c r="BZ20" s="256" t="n"/>
      <c r="CA20" s="256" t="n"/>
    </row>
    <row r="21" ht="12" customHeight="1" s="227">
      <c r="A21" s="244" t="n"/>
      <c r="B21" s="244" t="n"/>
      <c r="C21" s="244" t="n"/>
      <c r="H21" s="4">
        <f>i_Setup!U38</f>
        <v/>
      </c>
      <c r="I21" s="27" t="inlineStr">
        <is>
          <t>no.</t>
        </is>
      </c>
      <c r="K21" s="10" t="inlineStr">
        <is>
          <t>Annual</t>
        </is>
      </c>
      <c r="M21" s="256" t="n"/>
      <c r="N21" s="256" t="n"/>
      <c r="O21" s="256" t="n"/>
      <c r="P21" s="256" t="n"/>
      <c r="Q21" s="256" t="n"/>
      <c r="T21" s="256" t="n"/>
      <c r="U21" s="256" t="n"/>
      <c r="V21" s="256" t="n"/>
      <c r="W21" s="256" t="n"/>
      <c r="X21" s="256" t="n"/>
      <c r="Y21" s="256" t="n"/>
      <c r="Z21" s="256" t="n"/>
      <c r="AA21" s="256" t="n"/>
      <c r="AB21" s="256" t="n"/>
      <c r="AC21" s="256" t="n"/>
      <c r="AD21" s="256" t="n"/>
      <c r="AE21" s="256" t="n"/>
      <c r="AF21" s="256" t="n"/>
      <c r="AG21" s="256" t="n"/>
      <c r="AH21" s="256" t="n"/>
      <c r="AI21" s="256" t="n"/>
      <c r="AJ21" s="256" t="n"/>
      <c r="AK21" s="256" t="n"/>
      <c r="AL21" s="256" t="n"/>
      <c r="AM21" s="256" t="n"/>
      <c r="AN21" s="256" t="n"/>
      <c r="AO21" s="256" t="n"/>
      <c r="AP21" s="256" t="n"/>
      <c r="AQ21" s="256" t="n"/>
      <c r="AR21" s="256" t="n"/>
      <c r="AS21" s="256" t="n"/>
      <c r="AT21" s="256" t="n"/>
      <c r="AU21" s="256" t="n"/>
      <c r="AV21" s="256" t="n"/>
      <c r="AW21" s="256" t="n"/>
      <c r="AX21" s="256" t="n"/>
      <c r="AY21" s="256" t="n"/>
      <c r="AZ21" s="256" t="n"/>
      <c r="BA21" s="256" t="n"/>
      <c r="BB21" s="256" t="n"/>
      <c r="BC21" s="256" t="n"/>
      <c r="BD21" s="256" t="n"/>
      <c r="BE21" s="256" t="n"/>
      <c r="BF21" s="256" t="n"/>
      <c r="BG21" s="256" t="n"/>
      <c r="BH21" s="256" t="n"/>
      <c r="BI21" s="256" t="n"/>
      <c r="BJ21" s="256" t="n"/>
      <c r="BK21" s="256" t="n"/>
      <c r="BL21" s="256" t="n"/>
      <c r="BM21" s="256" t="n"/>
      <c r="BN21" s="256" t="n"/>
      <c r="BO21" s="256" t="n"/>
      <c r="BP21" s="256" t="n"/>
      <c r="BQ21" s="256" t="n"/>
      <c r="BR21" s="256" t="n"/>
      <c r="BS21" s="256" t="n"/>
      <c r="BT21" s="256" t="n"/>
      <c r="BU21" s="256" t="n"/>
      <c r="BV21" s="256" t="n"/>
      <c r="BW21" s="256" t="n"/>
      <c r="BX21" s="256" t="n"/>
      <c r="BY21" s="256" t="n"/>
      <c r="BZ21" s="256" t="n"/>
      <c r="CA21" s="256" t="n"/>
    </row>
    <row r="22" ht="12" customHeight="1" s="227">
      <c r="A22" s="244" t="n"/>
      <c r="B22" s="244" t="n"/>
      <c r="C22" s="244" t="n"/>
      <c r="H22" s="4">
        <f>i_Setup!U39</f>
        <v/>
      </c>
      <c r="I22" s="27" t="inlineStr">
        <is>
          <t>no.</t>
        </is>
      </c>
      <c r="K22" s="10" t="inlineStr">
        <is>
          <t>Annual</t>
        </is>
      </c>
      <c r="M22" s="256" t="n"/>
      <c r="N22" s="256" t="n"/>
      <c r="O22" s="256" t="n"/>
      <c r="P22" s="256" t="n"/>
      <c r="Q22" s="256" t="n"/>
      <c r="T22" s="256" t="n"/>
      <c r="U22" s="256" t="n"/>
      <c r="V22" s="256" t="n"/>
      <c r="W22" s="256" t="n"/>
      <c r="X22" s="256" t="n"/>
      <c r="Y22" s="256" t="n"/>
      <c r="Z22" s="256" t="n"/>
      <c r="AA22" s="256" t="n"/>
      <c r="AB22" s="256" t="n"/>
      <c r="AC22" s="256" t="n"/>
      <c r="AD22" s="256" t="n"/>
      <c r="AE22" s="256" t="n"/>
      <c r="AF22" s="256" t="n"/>
      <c r="AG22" s="256" t="n"/>
      <c r="AH22" s="256" t="n"/>
      <c r="AI22" s="256" t="n"/>
      <c r="AJ22" s="256" t="n"/>
      <c r="AK22" s="256" t="n"/>
      <c r="AL22" s="256" t="n"/>
      <c r="AM22" s="256" t="n"/>
      <c r="AN22" s="256" t="n"/>
      <c r="AO22" s="256" t="n"/>
      <c r="AP22" s="256" t="n"/>
      <c r="AQ22" s="256" t="n"/>
      <c r="AR22" s="256" t="n"/>
      <c r="AS22" s="256" t="n"/>
      <c r="AT22" s="256" t="n"/>
      <c r="AU22" s="256" t="n"/>
      <c r="AV22" s="256" t="n"/>
      <c r="AW22" s="256" t="n"/>
      <c r="AX22" s="256" t="n"/>
      <c r="AY22" s="256" t="n"/>
      <c r="AZ22" s="256" t="n"/>
      <c r="BA22" s="256" t="n"/>
      <c r="BB22" s="256" t="n"/>
      <c r="BC22" s="256" t="n"/>
      <c r="BD22" s="256" t="n"/>
      <c r="BE22" s="256" t="n"/>
      <c r="BF22" s="256" t="n"/>
      <c r="BG22" s="256" t="n"/>
      <c r="BH22" s="256" t="n"/>
      <c r="BI22" s="256" t="n"/>
      <c r="BJ22" s="256" t="n"/>
      <c r="BK22" s="256" t="n"/>
      <c r="BL22" s="256" t="n"/>
      <c r="BM22" s="256" t="n"/>
      <c r="BN22" s="256" t="n"/>
      <c r="BO22" s="256" t="n"/>
      <c r="BP22" s="256" t="n"/>
      <c r="BQ22" s="256" t="n"/>
      <c r="BR22" s="256" t="n"/>
      <c r="BS22" s="256" t="n"/>
      <c r="BT22" s="256" t="n"/>
      <c r="BU22" s="256" t="n"/>
      <c r="BV22" s="256" t="n"/>
      <c r="BW22" s="256" t="n"/>
      <c r="BX22" s="256" t="n"/>
      <c r="BY22" s="256" t="n"/>
      <c r="BZ22" s="256" t="n"/>
      <c r="CA22" s="256" t="n"/>
    </row>
    <row r="23" ht="12" customHeight="1" s="227">
      <c r="A23" s="244" t="n"/>
      <c r="B23" s="244" t="n"/>
      <c r="C23" s="244" t="n"/>
      <c r="H23" s="4">
        <f>i_Setup!U40</f>
        <v/>
      </c>
      <c r="I23" s="27" t="inlineStr">
        <is>
          <t>no.</t>
        </is>
      </c>
      <c r="K23" s="10" t="inlineStr">
        <is>
          <t>Annual</t>
        </is>
      </c>
      <c r="M23" s="256" t="n"/>
      <c r="N23" s="256" t="n"/>
      <c r="O23" s="256" t="n"/>
      <c r="P23" s="256" t="n"/>
      <c r="Q23" s="256" t="n"/>
      <c r="T23" s="256" t="n"/>
      <c r="U23" s="256" t="n"/>
      <c r="V23" s="256" t="n"/>
      <c r="W23" s="256" t="n"/>
      <c r="X23" s="256" t="n"/>
      <c r="Y23" s="256" t="n"/>
      <c r="Z23" s="256" t="n"/>
      <c r="AA23" s="256" t="n"/>
      <c r="AB23" s="256" t="n"/>
      <c r="AC23" s="256" t="n"/>
      <c r="AD23" s="256" t="n"/>
      <c r="AE23" s="256" t="n"/>
      <c r="AF23" s="256" t="n"/>
      <c r="AG23" s="256" t="n"/>
      <c r="AH23" s="256" t="n"/>
      <c r="AI23" s="256" t="n"/>
      <c r="AJ23" s="256" t="n"/>
      <c r="AK23" s="256" t="n"/>
      <c r="AL23" s="256" t="n"/>
      <c r="AM23" s="256" t="n"/>
      <c r="AN23" s="256" t="n"/>
      <c r="AO23" s="256" t="n"/>
      <c r="AP23" s="256" t="n"/>
      <c r="AQ23" s="256" t="n"/>
      <c r="AR23" s="256" t="n"/>
      <c r="AS23" s="256" t="n"/>
      <c r="AT23" s="256" t="n"/>
      <c r="AU23" s="256" t="n"/>
      <c r="AV23" s="256" t="n"/>
      <c r="AW23" s="256" t="n"/>
      <c r="AX23" s="256" t="n"/>
      <c r="AY23" s="256" t="n"/>
      <c r="AZ23" s="256" t="n"/>
      <c r="BA23" s="256" t="n"/>
      <c r="BB23" s="256" t="n"/>
      <c r="BC23" s="256" t="n"/>
      <c r="BD23" s="256" t="n"/>
      <c r="BE23" s="256" t="n"/>
      <c r="BF23" s="256" t="n"/>
      <c r="BG23" s="256" t="n"/>
      <c r="BH23" s="256" t="n"/>
      <c r="BI23" s="256" t="n"/>
      <c r="BJ23" s="256" t="n"/>
      <c r="BK23" s="256" t="n"/>
      <c r="BL23" s="256" t="n"/>
      <c r="BM23" s="256" t="n"/>
      <c r="BN23" s="256" t="n"/>
      <c r="BO23" s="256" t="n"/>
      <c r="BP23" s="256" t="n"/>
      <c r="BQ23" s="256" t="n"/>
      <c r="BR23" s="256" t="n"/>
      <c r="BS23" s="256" t="n"/>
      <c r="BT23" s="256" t="n"/>
      <c r="BU23" s="256" t="n"/>
      <c r="BV23" s="256" t="n"/>
      <c r="BW23" s="256" t="n"/>
      <c r="BX23" s="256" t="n"/>
      <c r="BY23" s="256" t="n"/>
      <c r="BZ23" s="256" t="n"/>
      <c r="CA23" s="256" t="n"/>
    </row>
    <row r="24" ht="12" customHeight="1" s="227">
      <c r="A24" s="244" t="n"/>
      <c r="B24" s="244" t="n"/>
      <c r="C24" s="244" t="n"/>
      <c r="H24" s="4">
        <f>i_Setup!U41</f>
        <v/>
      </c>
      <c r="I24" s="27" t="inlineStr">
        <is>
          <t>no.</t>
        </is>
      </c>
      <c r="K24" s="10" t="inlineStr">
        <is>
          <t>Annual</t>
        </is>
      </c>
      <c r="M24" s="256" t="n"/>
      <c r="N24" s="256" t="n"/>
      <c r="O24" s="256" t="n"/>
      <c r="P24" s="256" t="n"/>
      <c r="Q24" s="256" t="n"/>
      <c r="T24" s="256" t="n"/>
      <c r="U24" s="256" t="n"/>
      <c r="V24" s="256" t="n"/>
      <c r="W24" s="256" t="n"/>
      <c r="X24" s="256" t="n"/>
      <c r="Y24" s="256" t="n"/>
      <c r="Z24" s="256" t="n"/>
      <c r="AA24" s="256" t="n"/>
      <c r="AB24" s="256" t="n"/>
      <c r="AC24" s="256" t="n"/>
      <c r="AD24" s="256" t="n"/>
      <c r="AE24" s="256" t="n"/>
      <c r="AF24" s="256" t="n"/>
      <c r="AG24" s="256" t="n"/>
      <c r="AH24" s="256" t="n"/>
      <c r="AI24" s="256" t="n"/>
      <c r="AJ24" s="256" t="n"/>
      <c r="AK24" s="256" t="n"/>
      <c r="AL24" s="256" t="n"/>
      <c r="AM24" s="256" t="n"/>
      <c r="AN24" s="256" t="n"/>
      <c r="AO24" s="256" t="n"/>
      <c r="AP24" s="256" t="n"/>
      <c r="AQ24" s="256" t="n"/>
      <c r="AR24" s="256" t="n"/>
      <c r="AS24" s="256" t="n"/>
      <c r="AT24" s="256" t="n"/>
      <c r="AU24" s="256" t="n"/>
      <c r="AV24" s="256" t="n"/>
      <c r="AW24" s="256" t="n"/>
      <c r="AX24" s="256" t="n"/>
      <c r="AY24" s="256" t="n"/>
      <c r="AZ24" s="256" t="n"/>
      <c r="BA24" s="256" t="n"/>
      <c r="BB24" s="256" t="n"/>
      <c r="BC24" s="256" t="n"/>
      <c r="BD24" s="256" t="n"/>
      <c r="BE24" s="256" t="n"/>
      <c r="BF24" s="256" t="n"/>
      <c r="BG24" s="256" t="n"/>
      <c r="BH24" s="256" t="n"/>
      <c r="BI24" s="256" t="n"/>
      <c r="BJ24" s="256" t="n"/>
      <c r="BK24" s="256" t="n"/>
      <c r="BL24" s="256" t="n"/>
      <c r="BM24" s="256" t="n"/>
      <c r="BN24" s="256" t="n"/>
      <c r="BO24" s="256" t="n"/>
      <c r="BP24" s="256" t="n"/>
      <c r="BQ24" s="256" t="n"/>
      <c r="BR24" s="256" t="n"/>
      <c r="BS24" s="256" t="n"/>
      <c r="BT24" s="256" t="n"/>
      <c r="BU24" s="256" t="n"/>
      <c r="BV24" s="256" t="n"/>
      <c r="BW24" s="256" t="n"/>
      <c r="BX24" s="256" t="n"/>
      <c r="BY24" s="256" t="n"/>
      <c r="BZ24" s="256" t="n"/>
      <c r="CA24" s="256" t="n"/>
    </row>
    <row r="25" ht="12" customHeight="1" s="227">
      <c r="A25" s="244" t="n"/>
      <c r="B25" s="244" t="n"/>
      <c r="C25" s="244" t="n"/>
    </row>
    <row r="26" ht="12" customHeight="1" s="227">
      <c r="A26" s="244" t="n"/>
      <c r="B26" s="244" t="n"/>
      <c r="C26" s="244" t="n"/>
    </row>
    <row r="27" ht="12" customHeight="1" s="227">
      <c r="A27" s="244" t="n"/>
      <c r="B27" s="244" t="n"/>
      <c r="C27" s="244" t="n"/>
      <c r="G27" s="222" t="inlineStr">
        <is>
          <t>Service Rate per Month per Ship (Excl VAT)</t>
        </is>
      </c>
    </row>
    <row r="28" ht="12" customHeight="1" s="227">
      <c r="A28" s="244" t="n"/>
      <c r="B28" s="244" t="n"/>
      <c r="C28" s="244" t="n"/>
    </row>
    <row r="29" ht="12" customHeight="1" s="227">
      <c r="A29" s="244" t="n"/>
      <c r="B29" s="244" t="n"/>
      <c r="C29" s="244" t="n"/>
      <c r="H29" s="0">
        <f>H15</f>
        <v/>
      </c>
      <c r="I29" s="27">
        <f>i_Setup!$M$16</f>
        <v/>
      </c>
      <c r="K29" s="6" t="n"/>
      <c r="M29" s="256" t="n">
        <v>50000</v>
      </c>
      <c r="N29" s="256">
        <f>M29*1.05</f>
        <v/>
      </c>
      <c r="O29" s="256">
        <f>N29*1.05</f>
        <v/>
      </c>
      <c r="P29" s="256">
        <f>O29*1.05</f>
        <v/>
      </c>
      <c r="Q29" s="256">
        <f>P29*1.05</f>
        <v/>
      </c>
    </row>
    <row r="30" ht="12" customHeight="1" s="227">
      <c r="A30" s="244" t="n"/>
      <c r="B30" s="244" t="n"/>
      <c r="C30" s="244" t="n"/>
      <c r="H30" s="0">
        <f>H16</f>
        <v/>
      </c>
      <c r="I30" s="27">
        <f>i_Setup!$M$16</f>
        <v/>
      </c>
      <c r="M30" s="256" t="n">
        <v>40000</v>
      </c>
      <c r="N30" s="256">
        <f>M30*1.05</f>
        <v/>
      </c>
      <c r="O30" s="256">
        <f>N30*1.05</f>
        <v/>
      </c>
      <c r="P30" s="256">
        <f>O30*1.05</f>
        <v/>
      </c>
      <c r="Q30" s="256">
        <f>P30*1.05</f>
        <v/>
      </c>
    </row>
    <row r="31" ht="12" customHeight="1" s="227">
      <c r="A31" s="244" t="n"/>
      <c r="B31" s="244" t="n"/>
      <c r="C31" s="244" t="n"/>
      <c r="H31" s="0">
        <f>H17</f>
        <v/>
      </c>
      <c r="I31" s="27">
        <f>i_Setup!$M$16</f>
        <v/>
      </c>
      <c r="M31" s="256" t="n">
        <v>70000</v>
      </c>
      <c r="N31" s="256">
        <f>M31*1.05</f>
        <v/>
      </c>
      <c r="O31" s="256">
        <f>N31*1.05</f>
        <v/>
      </c>
      <c r="P31" s="256">
        <f>O31*1.05</f>
        <v/>
      </c>
      <c r="Q31" s="256">
        <f>P31*1.05</f>
        <v/>
      </c>
    </row>
    <row r="32" ht="12" customHeight="1" s="227">
      <c r="A32" s="244" t="n"/>
      <c r="B32" s="244" t="n"/>
      <c r="C32" s="244" t="n"/>
      <c r="H32" s="0">
        <f>H18</f>
        <v/>
      </c>
      <c r="I32" s="27">
        <f>i_Setup!$M$16</f>
        <v/>
      </c>
      <c r="M32" s="256" t="n">
        <v>30000</v>
      </c>
      <c r="N32" s="256">
        <f>M32*1.05</f>
        <v/>
      </c>
      <c r="O32" s="256">
        <f>N32*1.05</f>
        <v/>
      </c>
      <c r="P32" s="256">
        <f>O32*1.05</f>
        <v/>
      </c>
      <c r="Q32" s="256">
        <f>P32*1.05</f>
        <v/>
      </c>
    </row>
    <row r="33" ht="12" customHeight="1" s="227">
      <c r="A33" s="244" t="n"/>
      <c r="B33" s="244" t="n"/>
      <c r="C33" s="244" t="n"/>
      <c r="H33" s="0">
        <f>H19</f>
        <v/>
      </c>
      <c r="I33" s="27">
        <f>i_Setup!$M$16</f>
        <v/>
      </c>
      <c r="M33" s="256" t="n">
        <v>85000</v>
      </c>
      <c r="N33" s="256">
        <f>M33*1.05</f>
        <v/>
      </c>
      <c r="O33" s="256">
        <f>N33*1.05</f>
        <v/>
      </c>
      <c r="P33" s="256">
        <f>O33*1.05</f>
        <v/>
      </c>
      <c r="Q33" s="256">
        <f>P33*1.05</f>
        <v/>
      </c>
    </row>
    <row r="34" ht="12" customHeight="1" s="227">
      <c r="A34" s="244" t="n"/>
      <c r="B34" s="244" t="n"/>
      <c r="C34" s="244" t="n"/>
      <c r="H34" s="0">
        <f>H20</f>
        <v/>
      </c>
      <c r="I34" s="27">
        <f>i_Setup!$M$16</f>
        <v/>
      </c>
      <c r="M34" s="256" t="n"/>
      <c r="N34" s="256" t="n"/>
      <c r="O34" s="256" t="n"/>
      <c r="P34" s="256" t="n"/>
      <c r="Q34" s="256" t="n"/>
    </row>
    <row r="35" ht="12" customHeight="1" s="227">
      <c r="A35" s="244" t="n"/>
      <c r="B35" s="244" t="n"/>
      <c r="C35" s="244" t="n"/>
      <c r="H35" s="0">
        <f>H21</f>
        <v/>
      </c>
      <c r="I35" s="27">
        <f>i_Setup!$M$16</f>
        <v/>
      </c>
      <c r="M35" s="256" t="n"/>
      <c r="N35" s="256" t="n"/>
      <c r="O35" s="256" t="n"/>
      <c r="P35" s="256" t="n"/>
      <c r="Q35" s="256" t="n"/>
    </row>
    <row r="36" ht="12" customHeight="1" s="227">
      <c r="A36" s="244" t="n"/>
      <c r="B36" s="244" t="n"/>
      <c r="C36" s="244" t="n"/>
      <c r="H36" s="0">
        <f>H22</f>
        <v/>
      </c>
      <c r="I36" s="27">
        <f>i_Setup!$M$16</f>
        <v/>
      </c>
      <c r="M36" s="256" t="n"/>
      <c r="N36" s="256" t="n"/>
      <c r="O36" s="256" t="n"/>
      <c r="P36" s="256" t="n"/>
      <c r="Q36" s="256" t="n"/>
    </row>
    <row r="37" ht="12" customHeight="1" s="227">
      <c r="A37" s="244" t="n"/>
      <c r="B37" s="244" t="n"/>
      <c r="C37" s="244" t="n"/>
      <c r="H37" s="0">
        <f>H23</f>
        <v/>
      </c>
      <c r="I37" s="27">
        <f>i_Setup!$M$16</f>
        <v/>
      </c>
      <c r="M37" s="256" t="n"/>
      <c r="N37" s="256" t="n"/>
      <c r="O37" s="256" t="n"/>
      <c r="P37" s="256" t="n"/>
      <c r="Q37" s="256" t="n"/>
    </row>
    <row r="38" ht="12" customHeight="1" s="227">
      <c r="A38" s="244" t="n"/>
      <c r="B38" s="244" t="n"/>
      <c r="C38" s="244" t="n"/>
      <c r="H38" s="0">
        <f>H24</f>
        <v/>
      </c>
      <c r="I38" s="27">
        <f>i_Setup!$M$16</f>
        <v/>
      </c>
      <c r="M38" s="256" t="n"/>
      <c r="N38" s="256" t="n"/>
      <c r="O38" s="256" t="n"/>
      <c r="P38" s="256" t="n"/>
      <c r="Q38" s="256" t="n"/>
    </row>
    <row r="39" ht="12" customHeight="1" s="227">
      <c r="A39" s="244" t="n"/>
      <c r="B39" s="244" t="n"/>
      <c r="C39" s="244" t="n"/>
    </row>
    <row r="40" ht="12" customHeight="1" s="227">
      <c r="A40" s="244" t="n"/>
      <c r="B40" s="244" t="n"/>
      <c r="C40" s="244" t="n"/>
    </row>
    <row r="41" ht="12" customHeight="1" s="227">
      <c r="A41" s="244" t="n"/>
      <c r="B41" s="244" t="n"/>
      <c r="C41" s="244" t="n"/>
      <c r="G41" s="222" t="inlineStr">
        <is>
          <t>Average Credit Terms Offered</t>
        </is>
      </c>
    </row>
    <row r="42" ht="12" customHeight="1" s="227">
      <c r="A42" s="244" t="n"/>
      <c r="B42" s="244" t="n"/>
      <c r="C42" s="244" t="n"/>
    </row>
    <row r="43" ht="12" customHeight="1" s="227">
      <c r="A43" s="244" t="n"/>
      <c r="B43" s="244" t="n"/>
      <c r="C43" s="244" t="n"/>
      <c r="H43" s="4">
        <f>H29</f>
        <v/>
      </c>
      <c r="I43" s="27" t="inlineStr">
        <is>
          <t>Months</t>
        </is>
      </c>
      <c r="K43" s="240" t="n">
        <v>1</v>
      </c>
    </row>
    <row r="44" ht="12" customHeight="1" s="227">
      <c r="A44" s="244" t="n"/>
      <c r="B44" s="244" t="n"/>
      <c r="C44" s="244" t="n"/>
      <c r="H44" s="4">
        <f>H30</f>
        <v/>
      </c>
      <c r="I44" s="27" t="inlineStr">
        <is>
          <t>Months</t>
        </is>
      </c>
      <c r="K44" s="240" t="n">
        <v>1</v>
      </c>
    </row>
    <row r="45" ht="12" customHeight="1" s="227">
      <c r="A45" s="244" t="n"/>
      <c r="B45" s="244" t="n"/>
      <c r="C45" s="244" t="n"/>
      <c r="H45" s="4">
        <f>H31</f>
        <v/>
      </c>
      <c r="I45" s="27" t="inlineStr">
        <is>
          <t>Months</t>
        </is>
      </c>
      <c r="K45" s="240" t="n">
        <v>1</v>
      </c>
    </row>
    <row r="46" ht="12" customHeight="1" s="227">
      <c r="A46" s="244" t="n"/>
      <c r="B46" s="244" t="n"/>
      <c r="C46" s="244" t="n"/>
      <c r="H46" s="4">
        <f>H32</f>
        <v/>
      </c>
      <c r="I46" s="27" t="inlineStr">
        <is>
          <t>Months</t>
        </is>
      </c>
      <c r="K46" s="240" t="n">
        <v>1</v>
      </c>
    </row>
    <row r="47" ht="12" customHeight="1" s="227">
      <c r="A47" s="244" t="n"/>
      <c r="B47" s="244" t="n"/>
      <c r="C47" s="244" t="n"/>
      <c r="H47" s="4">
        <f>H33</f>
        <v/>
      </c>
      <c r="I47" s="27" t="inlineStr">
        <is>
          <t>Months</t>
        </is>
      </c>
      <c r="K47" s="240" t="n">
        <v>1</v>
      </c>
    </row>
    <row r="48" ht="12" customHeight="1" s="227">
      <c r="A48" s="244" t="n"/>
      <c r="B48" s="244" t="n"/>
      <c r="C48" s="244" t="n"/>
      <c r="H48" s="4">
        <f>H34</f>
        <v/>
      </c>
      <c r="I48" s="27" t="inlineStr">
        <is>
          <t>Months</t>
        </is>
      </c>
      <c r="K48" s="240" t="n">
        <v>1</v>
      </c>
    </row>
    <row r="49" ht="12" customHeight="1" s="227">
      <c r="A49" s="244" t="n"/>
      <c r="B49" s="244" t="n"/>
      <c r="C49" s="244" t="n"/>
      <c r="H49" s="4">
        <f>H35</f>
        <v/>
      </c>
      <c r="I49" s="27" t="inlineStr">
        <is>
          <t>Months</t>
        </is>
      </c>
      <c r="K49" s="240" t="n">
        <v>1</v>
      </c>
    </row>
    <row r="50" ht="12" customHeight="1" s="227">
      <c r="A50" s="244" t="n"/>
      <c r="B50" s="244" t="n"/>
      <c r="C50" s="244" t="n"/>
      <c r="H50" s="4">
        <f>H36</f>
        <v/>
      </c>
      <c r="I50" s="27" t="inlineStr">
        <is>
          <t>Months</t>
        </is>
      </c>
      <c r="K50" s="240" t="n">
        <v>1</v>
      </c>
    </row>
    <row r="51" ht="12" customHeight="1" s="227">
      <c r="A51" s="244" t="n"/>
      <c r="B51" s="244" t="n"/>
      <c r="C51" s="244" t="n"/>
      <c r="H51" s="4">
        <f>H37</f>
        <v/>
      </c>
      <c r="I51" s="27" t="inlineStr">
        <is>
          <t>Months</t>
        </is>
      </c>
      <c r="K51" s="240" t="n">
        <v>1</v>
      </c>
    </row>
    <row r="52" ht="12" customHeight="1" s="227">
      <c r="A52" s="244" t="n"/>
      <c r="B52" s="244" t="n"/>
      <c r="C52" s="244" t="n"/>
      <c r="H52" s="4">
        <f>H38</f>
        <v/>
      </c>
      <c r="I52" s="27" t="inlineStr">
        <is>
          <t>Months</t>
        </is>
      </c>
      <c r="K52" s="240" t="n">
        <v>1</v>
      </c>
    </row>
    <row r="53" ht="12" customHeight="1" s="227">
      <c r="A53" s="244" t="n"/>
      <c r="B53" s="244" t="n"/>
      <c r="C53" s="244" t="n"/>
    </row>
    <row r="54" ht="12" customHeight="1" s="227">
      <c r="A54" s="244" t="n"/>
      <c r="B54" s="244" t="n"/>
      <c r="C54" s="244" t="n"/>
    </row>
    <row r="55" ht="15.75" customFormat="1" customHeight="1" s="99">
      <c r="D55" s="99">
        <f>Heading1</f>
        <v/>
      </c>
      <c r="E55" s="99" t="inlineStr">
        <is>
          <t xml:space="preserve">Direct Expenses </t>
        </is>
      </c>
    </row>
    <row r="56" ht="12" customHeight="1" s="227">
      <c r="A56" s="244" t="n"/>
      <c r="B56" s="244" t="n"/>
      <c r="C56" s="244" t="n"/>
    </row>
    <row r="57" ht="13.5" customFormat="1" customHeight="1" s="223" thickBot="1">
      <c r="E57" s="223">
        <f>Heading2</f>
        <v/>
      </c>
      <c r="F57" s="223">
        <f>H43</f>
        <v/>
      </c>
    </row>
    <row r="58" ht="12" customHeight="1" s="227">
      <c r="A58" s="244" t="n"/>
      <c r="B58" s="244" t="n"/>
      <c r="C58" s="244" t="n"/>
    </row>
    <row r="59" ht="12" customHeight="1" s="227">
      <c r="A59" s="244" t="n"/>
      <c r="B59" s="244" t="n"/>
      <c r="C59" s="244" t="n"/>
      <c r="G59" s="222" t="inlineStr">
        <is>
          <t>Number of Ships</t>
        </is>
      </c>
    </row>
    <row r="60" ht="12" customHeight="1" s="227">
      <c r="A60" s="244" t="n"/>
      <c r="B60" s="244" t="n"/>
      <c r="C60" s="244" t="n"/>
    </row>
    <row r="61" ht="12" customHeight="1" s="227">
      <c r="A61" s="244" t="n"/>
      <c r="B61" s="244" t="n"/>
      <c r="C61" s="244" t="n"/>
      <c r="H61" s="4">
        <f>F57</f>
        <v/>
      </c>
      <c r="I61" s="27" t="inlineStr">
        <is>
          <t>no.</t>
        </is>
      </c>
      <c r="M61" s="245">
        <f>SUMIF($T$2:$CA$2,M$2,$T61:$CA61)</f>
        <v/>
      </c>
      <c r="N61" s="245">
        <f>SUMIF($T$2:$CA$2,N$2,$T61:$CA61)</f>
        <v/>
      </c>
      <c r="O61" s="245">
        <f>SUMIF($T$2:$CA$2,O$2,$T61:$CA61)</f>
        <v/>
      </c>
      <c r="P61" s="245">
        <f>SUMIF($T$2:$CA$2,P$2,$T61:$CA61)</f>
        <v/>
      </c>
      <c r="Q61" s="245">
        <f>SUMIF($T$2:$CA$2,Q$2,$T61:$CA61)</f>
        <v/>
      </c>
      <c r="T61" s="257">
        <f>IF(T$7="Actual","",_xlfn.XLOOKUP($F57,c_Calculations!$H$15:$H$24,c_Calculations!T$15:T$24))</f>
        <v/>
      </c>
      <c r="U61" s="257">
        <f>IF(U$7="Actual","",_xlfn.XLOOKUP($F57,c_Calculations!$H$15:$H$24,c_Calculations!U$15:U$24))</f>
        <v/>
      </c>
      <c r="V61" s="257">
        <f>IF(V$7="Actual","",_xlfn.XLOOKUP($F57,c_Calculations!$H$15:$H$24,c_Calculations!V$15:V$24))</f>
        <v/>
      </c>
      <c r="W61" s="257">
        <f>IF(W$7="Actual","",_xlfn.XLOOKUP($F57,c_Calculations!$H$15:$H$24,c_Calculations!W$15:W$24))</f>
        <v/>
      </c>
      <c r="X61" s="257">
        <f>IF(X$7="Actual","",_xlfn.XLOOKUP($F57,c_Calculations!$H$15:$H$24,c_Calculations!X$15:X$24))</f>
        <v/>
      </c>
      <c r="Y61" s="257">
        <f>IF(Y$7="Actual","",_xlfn.XLOOKUP($F57,c_Calculations!$H$15:$H$24,c_Calculations!Y$15:Y$24))</f>
        <v/>
      </c>
      <c r="Z61" s="257">
        <f>IF(Z$7="Actual","",_xlfn.XLOOKUP($F57,c_Calculations!$H$15:$H$24,c_Calculations!Z$15:Z$24))</f>
        <v/>
      </c>
      <c r="AA61" s="257">
        <f>IF(AA$7="Actual","",_xlfn.XLOOKUP($F57,c_Calculations!$H$15:$H$24,c_Calculations!AA$15:AA$24))</f>
        <v/>
      </c>
      <c r="AB61" s="257">
        <f>IF(AB$7="Actual","",_xlfn.XLOOKUP($F57,c_Calculations!$H$15:$H$24,c_Calculations!AB$15:AB$24))</f>
        <v/>
      </c>
      <c r="AC61" s="257">
        <f>IF(AC$7="Actual","",_xlfn.XLOOKUP($F57,c_Calculations!$H$15:$H$24,c_Calculations!AC$15:AC$24))</f>
        <v/>
      </c>
      <c r="AD61" s="257">
        <f>IF(AD$7="Actual","",_xlfn.XLOOKUP($F57,c_Calculations!$H$15:$H$24,c_Calculations!AD$15:AD$24))</f>
        <v/>
      </c>
      <c r="AE61" s="257">
        <f>IF(AE$7="Actual","",_xlfn.XLOOKUP($F57,c_Calculations!$H$15:$H$24,c_Calculations!AE$15:AE$24))</f>
        <v/>
      </c>
      <c r="AF61" s="257">
        <f>IF(AF$7="Actual","",_xlfn.XLOOKUP($F57,c_Calculations!$H$15:$H$24,c_Calculations!AF$15:AF$24))</f>
        <v/>
      </c>
      <c r="AG61" s="257">
        <f>IF(AG$7="Actual","",_xlfn.XLOOKUP($F57,c_Calculations!$H$15:$H$24,c_Calculations!AG$15:AG$24))</f>
        <v/>
      </c>
      <c r="AH61" s="257">
        <f>IF(AH$7="Actual","",_xlfn.XLOOKUP($F57,c_Calculations!$H$15:$H$24,c_Calculations!AH$15:AH$24))</f>
        <v/>
      </c>
      <c r="AI61" s="257">
        <f>IF(AI$7="Actual","",_xlfn.XLOOKUP($F57,c_Calculations!$H$15:$H$24,c_Calculations!AI$15:AI$24))</f>
        <v/>
      </c>
      <c r="AJ61" s="257">
        <f>IF(AJ$7="Actual","",_xlfn.XLOOKUP($F57,c_Calculations!$H$15:$H$24,c_Calculations!AJ$15:AJ$24))</f>
        <v/>
      </c>
      <c r="AK61" s="257">
        <f>IF(AK$7="Actual","",_xlfn.XLOOKUP($F57,c_Calculations!$H$15:$H$24,c_Calculations!AK$15:AK$24))</f>
        <v/>
      </c>
      <c r="AL61" s="257">
        <f>IF(AL$7="Actual","",_xlfn.XLOOKUP($F57,c_Calculations!$H$15:$H$24,c_Calculations!AL$15:AL$24))</f>
        <v/>
      </c>
      <c r="AM61" s="257">
        <f>IF(AM$7="Actual","",_xlfn.XLOOKUP($F57,c_Calculations!$H$15:$H$24,c_Calculations!AM$15:AM$24))</f>
        <v/>
      </c>
      <c r="AN61" s="257">
        <f>IF(AN$7="Actual","",_xlfn.XLOOKUP($F57,c_Calculations!$H$15:$H$24,c_Calculations!AN$15:AN$24))</f>
        <v/>
      </c>
      <c r="AO61" s="257">
        <f>IF(AO$7="Actual","",_xlfn.XLOOKUP($F57,c_Calculations!$H$15:$H$24,c_Calculations!AO$15:AO$24))</f>
        <v/>
      </c>
      <c r="AP61" s="257">
        <f>IF(AP$7="Actual","",_xlfn.XLOOKUP($F57,c_Calculations!$H$15:$H$24,c_Calculations!AP$15:AP$24))</f>
        <v/>
      </c>
      <c r="AQ61" s="257">
        <f>IF(AQ$7="Actual","",_xlfn.XLOOKUP($F57,c_Calculations!$H$15:$H$24,c_Calculations!AQ$15:AQ$24))</f>
        <v/>
      </c>
      <c r="AR61" s="257">
        <f>IF(AR$7="Actual","",_xlfn.XLOOKUP($F57,c_Calculations!$H$15:$H$24,c_Calculations!AR$15:AR$24))</f>
        <v/>
      </c>
      <c r="AS61" s="257">
        <f>IF(AS$7="Actual","",_xlfn.XLOOKUP($F57,c_Calculations!$H$15:$H$24,c_Calculations!AS$15:AS$24))</f>
        <v/>
      </c>
      <c r="AT61" s="257">
        <f>IF(AT$7="Actual","",_xlfn.XLOOKUP($F57,c_Calculations!$H$15:$H$24,c_Calculations!AT$15:AT$24))</f>
        <v/>
      </c>
      <c r="AU61" s="257">
        <f>IF(AU$7="Actual","",_xlfn.XLOOKUP($F57,c_Calculations!$H$15:$H$24,c_Calculations!AU$15:AU$24))</f>
        <v/>
      </c>
      <c r="AV61" s="257">
        <f>IF(AV$7="Actual","",_xlfn.XLOOKUP($F57,c_Calculations!$H$15:$H$24,c_Calculations!AV$15:AV$24))</f>
        <v/>
      </c>
      <c r="AW61" s="257">
        <f>IF(AW$7="Actual","",_xlfn.XLOOKUP($F57,c_Calculations!$H$15:$H$24,c_Calculations!AW$15:AW$24))</f>
        <v/>
      </c>
      <c r="AX61" s="257">
        <f>IF(AX$7="Actual","",_xlfn.XLOOKUP($F57,c_Calculations!$H$15:$H$24,c_Calculations!AX$15:AX$24))</f>
        <v/>
      </c>
      <c r="AY61" s="257">
        <f>IF(AY$7="Actual","",_xlfn.XLOOKUP($F57,c_Calculations!$H$15:$H$24,c_Calculations!AY$15:AY$24))</f>
        <v/>
      </c>
      <c r="AZ61" s="257">
        <f>IF(AZ$7="Actual","",_xlfn.XLOOKUP($F57,c_Calculations!$H$15:$H$24,c_Calculations!AZ$15:AZ$24))</f>
        <v/>
      </c>
      <c r="BA61" s="257">
        <f>IF(BA$7="Actual","",_xlfn.XLOOKUP($F57,c_Calculations!$H$15:$H$24,c_Calculations!BA$15:BA$24))</f>
        <v/>
      </c>
      <c r="BB61" s="257">
        <f>IF(BB$7="Actual","",_xlfn.XLOOKUP($F57,c_Calculations!$H$15:$H$24,c_Calculations!BB$15:BB$24))</f>
        <v/>
      </c>
      <c r="BC61" s="257">
        <f>IF(BC$7="Actual","",_xlfn.XLOOKUP($F57,c_Calculations!$H$15:$H$24,c_Calculations!BC$15:BC$24))</f>
        <v/>
      </c>
      <c r="BD61" s="257">
        <f>IF(BD$7="Actual","",_xlfn.XLOOKUP($F57,c_Calculations!$H$15:$H$24,c_Calculations!BD$15:BD$24))</f>
        <v/>
      </c>
      <c r="BE61" s="257">
        <f>IF(BE$7="Actual","",_xlfn.XLOOKUP($F57,c_Calculations!$H$15:$H$24,c_Calculations!BE$15:BE$24))</f>
        <v/>
      </c>
      <c r="BF61" s="257">
        <f>IF(BF$7="Actual","",_xlfn.XLOOKUP($F57,c_Calculations!$H$15:$H$24,c_Calculations!BF$15:BF$24))</f>
        <v/>
      </c>
      <c r="BG61" s="257">
        <f>IF(BG$7="Actual","",_xlfn.XLOOKUP($F57,c_Calculations!$H$15:$H$24,c_Calculations!BG$15:BG$24))</f>
        <v/>
      </c>
      <c r="BH61" s="257">
        <f>IF(BH$7="Actual","",_xlfn.XLOOKUP($F57,c_Calculations!$H$15:$H$24,c_Calculations!BH$15:BH$24))</f>
        <v/>
      </c>
      <c r="BI61" s="257">
        <f>IF(BI$7="Actual","",_xlfn.XLOOKUP($F57,c_Calculations!$H$15:$H$24,c_Calculations!BI$15:BI$24))</f>
        <v/>
      </c>
      <c r="BJ61" s="257">
        <f>IF(BJ$7="Actual","",_xlfn.XLOOKUP($F57,c_Calculations!$H$15:$H$24,c_Calculations!BJ$15:BJ$24))</f>
        <v/>
      </c>
      <c r="BK61" s="257">
        <f>IF(BK$7="Actual","",_xlfn.XLOOKUP($F57,c_Calculations!$H$15:$H$24,c_Calculations!BK$15:BK$24))</f>
        <v/>
      </c>
      <c r="BL61" s="257">
        <f>IF(BL$7="Actual","",_xlfn.XLOOKUP($F57,c_Calculations!$H$15:$H$24,c_Calculations!BL$15:BL$24))</f>
        <v/>
      </c>
      <c r="BM61" s="257">
        <f>IF(BM$7="Actual","",_xlfn.XLOOKUP($F57,c_Calculations!$H$15:$H$24,c_Calculations!BM$15:BM$24))</f>
        <v/>
      </c>
      <c r="BN61" s="257">
        <f>IF(BN$7="Actual","",_xlfn.XLOOKUP($F57,c_Calculations!$H$15:$H$24,c_Calculations!BN$15:BN$24))</f>
        <v/>
      </c>
      <c r="BO61" s="257">
        <f>IF(BO$7="Actual","",_xlfn.XLOOKUP($F57,c_Calculations!$H$15:$H$24,c_Calculations!BO$15:BO$24))</f>
        <v/>
      </c>
      <c r="BP61" s="257">
        <f>IF(BP$7="Actual","",_xlfn.XLOOKUP($F57,c_Calculations!$H$15:$H$24,c_Calculations!BP$15:BP$24))</f>
        <v/>
      </c>
      <c r="BQ61" s="257">
        <f>IF(BQ$7="Actual","",_xlfn.XLOOKUP($F57,c_Calculations!$H$15:$H$24,c_Calculations!BQ$15:BQ$24))</f>
        <v/>
      </c>
      <c r="BR61" s="257">
        <f>IF(BR$7="Actual","",_xlfn.XLOOKUP($F57,c_Calculations!$H$15:$H$24,c_Calculations!BR$15:BR$24))</f>
        <v/>
      </c>
      <c r="BS61" s="257">
        <f>IF(BS$7="Actual","",_xlfn.XLOOKUP($F57,c_Calculations!$H$15:$H$24,c_Calculations!BS$15:BS$24))</f>
        <v/>
      </c>
      <c r="BT61" s="257">
        <f>IF(BT$7="Actual","",_xlfn.XLOOKUP($F57,c_Calculations!$H$15:$H$24,c_Calculations!BT$15:BT$24))</f>
        <v/>
      </c>
      <c r="BU61" s="257">
        <f>IF(BU$7="Actual","",_xlfn.XLOOKUP($F57,c_Calculations!$H$15:$H$24,c_Calculations!BU$15:BU$24))</f>
        <v/>
      </c>
      <c r="BV61" s="257">
        <f>IF(BV$7="Actual","",_xlfn.XLOOKUP($F57,c_Calculations!$H$15:$H$24,c_Calculations!BV$15:BV$24))</f>
        <v/>
      </c>
      <c r="BW61" s="257">
        <f>IF(BW$7="Actual","",_xlfn.XLOOKUP($F57,c_Calculations!$H$15:$H$24,c_Calculations!BW$15:BW$24))</f>
        <v/>
      </c>
      <c r="BX61" s="257">
        <f>IF(BX$7="Actual","",_xlfn.XLOOKUP($F57,c_Calculations!$H$15:$H$24,c_Calculations!BX$15:BX$24))</f>
        <v/>
      </c>
      <c r="BY61" s="257">
        <f>IF(BY$7="Actual","",_xlfn.XLOOKUP($F57,c_Calculations!$H$15:$H$24,c_Calculations!BY$15:BY$24))</f>
        <v/>
      </c>
      <c r="BZ61" s="257">
        <f>IF(BZ$7="Actual","",_xlfn.XLOOKUP($F57,c_Calculations!$H$15:$H$24,c_Calculations!BZ$15:BZ$24))</f>
        <v/>
      </c>
      <c r="CA61" s="257">
        <f>IF(CA$7="Actual","",_xlfn.XLOOKUP($F57,c_Calculations!$H$15:$H$24,c_Calculations!CA$15:CA$24))</f>
        <v/>
      </c>
    </row>
    <row r="62" ht="12" customHeight="1" s="227">
      <c r="A62" s="244" t="n"/>
      <c r="B62" s="244" t="n"/>
      <c r="C62" s="244" t="n"/>
    </row>
    <row r="63" ht="12" customHeight="1" s="227">
      <c r="A63" s="244" t="n"/>
      <c r="B63" s="244" t="n"/>
      <c r="C63" s="244" t="n"/>
    </row>
    <row r="64" ht="12" customHeight="1" s="227">
      <c r="A64" s="244" t="n"/>
      <c r="B64" s="244" t="n"/>
      <c r="C64" s="244" t="n"/>
      <c r="G64" s="222" t="inlineStr">
        <is>
          <t>Direct CAPEX (Excl. Sales Tax)</t>
        </is>
      </c>
    </row>
    <row r="65" ht="12" customHeight="1" s="227">
      <c r="A65" s="244" t="n"/>
      <c r="B65" s="244" t="n"/>
      <c r="C65" s="244" t="n"/>
    </row>
    <row r="66" ht="12" customHeight="1" s="227">
      <c r="A66" s="244" t="n"/>
      <c r="B66" s="244" t="n"/>
      <c r="C66" s="244" t="n"/>
      <c r="H66" s="4">
        <f>i_Setup!U68</f>
        <v/>
      </c>
      <c r="I66" s="27">
        <f>i_Setup!$M$16</f>
        <v/>
      </c>
      <c r="M66" s="245">
        <f>SUMIF($T$4:$CA$4,M$4,$T66:$CA66)</f>
        <v/>
      </c>
      <c r="N66" s="245">
        <f>SUMIF($T$4:$CA$4,N$4,$T66:$CA66)</f>
        <v/>
      </c>
      <c r="O66" s="245">
        <f>SUMIF($T$4:$CA$4,O$4,$T66:$CA66)</f>
        <v/>
      </c>
      <c r="P66" s="245">
        <f>SUMIF($T$4:$CA$4,P$4,$T66:$CA66)</f>
        <v/>
      </c>
      <c r="Q66" s="245">
        <f>SUMIF($T$4:$CA$4,Q$4,$T66:$CA66)</f>
        <v/>
      </c>
      <c r="T66" s="256" t="n"/>
      <c r="U66" s="256" t="n"/>
      <c r="V66" s="256" t="n"/>
      <c r="W66" s="256" t="n"/>
      <c r="X66" s="256" t="n"/>
      <c r="Y66" s="256" t="n">
        <v>100000</v>
      </c>
      <c r="Z66" s="256" t="n"/>
      <c r="AA66" s="256" t="n"/>
      <c r="AB66" s="256" t="n"/>
      <c r="AC66" s="256" t="n"/>
      <c r="AD66" s="256" t="n"/>
      <c r="AE66" s="256" t="n"/>
      <c r="AF66" s="256" t="n">
        <v>100000</v>
      </c>
      <c r="AG66" s="256" t="n"/>
      <c r="AH66" s="256" t="n"/>
      <c r="AI66" s="256" t="n"/>
      <c r="AJ66" s="256" t="n"/>
      <c r="AK66" s="256" t="n"/>
      <c r="AL66" s="256" t="n"/>
      <c r="AM66" s="256" t="n"/>
      <c r="AN66" s="256" t="n"/>
      <c r="AO66" s="256" t="n"/>
      <c r="AP66" s="256" t="n"/>
      <c r="AQ66" s="256" t="n"/>
      <c r="AR66" s="256" t="n">
        <v>100000</v>
      </c>
      <c r="AS66" s="256" t="n"/>
      <c r="AT66" s="256" t="n"/>
      <c r="AU66" s="256" t="n"/>
      <c r="AV66" s="256" t="n"/>
      <c r="AW66" s="256" t="n"/>
      <c r="AX66" s="256" t="n"/>
      <c r="AY66" s="256" t="n"/>
      <c r="AZ66" s="256" t="n"/>
      <c r="BA66" s="256" t="n"/>
      <c r="BB66" s="256" t="n"/>
      <c r="BC66" s="256" t="n"/>
      <c r="BD66" s="256" t="n"/>
      <c r="BE66" s="256" t="n"/>
      <c r="BF66" s="256" t="n"/>
      <c r="BG66" s="256" t="n"/>
      <c r="BH66" s="256" t="n"/>
      <c r="BI66" s="256" t="n"/>
      <c r="BJ66" s="256" t="n"/>
      <c r="BK66" s="256" t="n"/>
      <c r="BL66" s="256" t="n"/>
      <c r="BM66" s="256" t="n"/>
      <c r="BN66" s="256" t="n"/>
      <c r="BO66" s="256" t="n"/>
      <c r="BP66" s="256" t="n"/>
      <c r="BQ66" s="256" t="n"/>
      <c r="BR66" s="256" t="n"/>
      <c r="BS66" s="256" t="n"/>
      <c r="BT66" s="256" t="n"/>
      <c r="BU66" s="256" t="n"/>
      <c r="BV66" s="256" t="n"/>
      <c r="BW66" s="256" t="n"/>
      <c r="BX66" s="256" t="n"/>
      <c r="BY66" s="256" t="n"/>
      <c r="BZ66" s="256" t="n"/>
      <c r="CA66" s="256" t="n"/>
    </row>
    <row r="67" ht="12" customHeight="1" s="227">
      <c r="A67" s="244" t="n"/>
      <c r="B67" s="244" t="n"/>
      <c r="C67" s="244" t="n"/>
      <c r="H67" s="4">
        <f>i_Setup!U69</f>
        <v/>
      </c>
      <c r="I67" s="27">
        <f>i_Setup!$M$16</f>
        <v/>
      </c>
      <c r="M67" s="245">
        <f>SUMIF($T$4:$CA$4,M$4,$T67:$CA67)</f>
        <v/>
      </c>
      <c r="N67" s="245">
        <f>SUMIF($T$4:$CA$4,N$4,$T67:$CA67)</f>
        <v/>
      </c>
      <c r="O67" s="245">
        <f>SUMIF($T$4:$CA$4,O$4,$T67:$CA67)</f>
        <v/>
      </c>
      <c r="P67" s="245">
        <f>SUMIF($T$4:$CA$4,P$4,$T67:$CA67)</f>
        <v/>
      </c>
      <c r="Q67" s="245">
        <f>SUMIF($T$4:$CA$4,Q$4,$T67:$CA67)</f>
        <v/>
      </c>
      <c r="T67" s="256" t="n"/>
      <c r="U67" s="256" t="n"/>
      <c r="V67" s="256" t="n"/>
      <c r="W67" s="256" t="n"/>
      <c r="X67" s="256" t="n"/>
      <c r="Y67" s="256" t="n">
        <v>50000</v>
      </c>
      <c r="Z67" s="256" t="n"/>
      <c r="AA67" s="256" t="n"/>
      <c r="AB67" s="256" t="n"/>
      <c r="AC67" s="256" t="n"/>
      <c r="AD67" s="256" t="n"/>
      <c r="AE67" s="256" t="n"/>
      <c r="AF67" s="256" t="n">
        <v>50000</v>
      </c>
      <c r="AG67" s="256" t="n"/>
      <c r="AH67" s="256" t="n"/>
      <c r="AI67" s="256" t="n"/>
      <c r="AJ67" s="256" t="n"/>
      <c r="AK67" s="256" t="n"/>
      <c r="AL67" s="256" t="n"/>
      <c r="AM67" s="256" t="n"/>
      <c r="AN67" s="256" t="n"/>
      <c r="AO67" s="256" t="n"/>
      <c r="AP67" s="256" t="n"/>
      <c r="AQ67" s="256" t="n"/>
      <c r="AR67" s="256" t="n">
        <v>50000</v>
      </c>
      <c r="AS67" s="256" t="n"/>
      <c r="AT67" s="256" t="n"/>
      <c r="AU67" s="256" t="n"/>
      <c r="AV67" s="256" t="n"/>
      <c r="AW67" s="256" t="n"/>
      <c r="AX67" s="256" t="n"/>
      <c r="AY67" s="256" t="n"/>
      <c r="AZ67" s="256" t="n"/>
      <c r="BA67" s="256" t="n"/>
      <c r="BB67" s="256" t="n"/>
      <c r="BC67" s="256" t="n"/>
      <c r="BD67" s="256" t="n"/>
      <c r="BE67" s="256" t="n"/>
      <c r="BF67" s="256" t="n"/>
      <c r="BG67" s="256" t="n"/>
      <c r="BH67" s="256" t="n"/>
      <c r="BI67" s="256" t="n"/>
      <c r="BJ67" s="256" t="n"/>
      <c r="BK67" s="256" t="n"/>
      <c r="BL67" s="256" t="n"/>
      <c r="BM67" s="256" t="n"/>
      <c r="BN67" s="256" t="n"/>
      <c r="BO67" s="256" t="n"/>
      <c r="BP67" s="256" t="n"/>
      <c r="BQ67" s="256" t="n"/>
      <c r="BR67" s="256" t="n"/>
      <c r="BS67" s="256" t="n"/>
      <c r="BT67" s="256" t="n"/>
      <c r="BU67" s="256" t="n"/>
      <c r="BV67" s="256" t="n"/>
      <c r="BW67" s="256" t="n"/>
      <c r="BX67" s="256" t="n"/>
      <c r="BY67" s="256" t="n"/>
      <c r="BZ67" s="256" t="n"/>
      <c r="CA67" s="256" t="n"/>
    </row>
    <row r="68" ht="12" customHeight="1" s="227">
      <c r="A68" s="244" t="n"/>
      <c r="B68" s="244" t="n"/>
      <c r="C68" s="244" t="n"/>
      <c r="H68" s="4">
        <f>i_Setup!U70</f>
        <v/>
      </c>
      <c r="I68" s="27">
        <f>i_Setup!$M$16</f>
        <v/>
      </c>
      <c r="M68" s="245">
        <f>SUMIF($T$4:$CA$4,M$4,$T68:$CA68)</f>
        <v/>
      </c>
      <c r="N68" s="245">
        <f>SUMIF($T$4:$CA$4,N$4,$T68:$CA68)</f>
        <v/>
      </c>
      <c r="O68" s="245">
        <f>SUMIF($T$4:$CA$4,O$4,$T68:$CA68)</f>
        <v/>
      </c>
      <c r="P68" s="245">
        <f>SUMIF($T$4:$CA$4,P$4,$T68:$CA68)</f>
        <v/>
      </c>
      <c r="Q68" s="245">
        <f>SUMIF($T$4:$CA$4,Q$4,$T68:$CA68)</f>
        <v/>
      </c>
      <c r="T68" s="256" t="n"/>
      <c r="U68" s="256" t="n"/>
      <c r="V68" s="256" t="n"/>
      <c r="W68" s="256" t="n"/>
      <c r="X68" s="256" t="n"/>
      <c r="Y68" s="256" t="n">
        <v>25000</v>
      </c>
      <c r="Z68" s="256" t="n"/>
      <c r="AA68" s="256" t="n"/>
      <c r="AB68" s="256" t="n"/>
      <c r="AC68" s="256" t="n"/>
      <c r="AD68" s="256" t="n"/>
      <c r="AE68" s="256" t="n"/>
      <c r="AF68" s="256" t="n">
        <v>25000</v>
      </c>
      <c r="AG68" s="256" t="n"/>
      <c r="AH68" s="256" t="n"/>
      <c r="AI68" s="256" t="n"/>
      <c r="AJ68" s="256" t="n"/>
      <c r="AK68" s="256" t="n"/>
      <c r="AL68" s="256" t="n"/>
      <c r="AM68" s="256" t="n"/>
      <c r="AN68" s="256" t="n"/>
      <c r="AO68" s="256" t="n"/>
      <c r="AP68" s="256" t="n"/>
      <c r="AQ68" s="256" t="n"/>
      <c r="AR68" s="256" t="n">
        <v>25000</v>
      </c>
      <c r="AS68" s="256" t="n"/>
      <c r="AT68" s="256" t="n"/>
      <c r="AU68" s="256" t="n"/>
      <c r="AV68" s="256" t="n"/>
      <c r="AW68" s="256" t="n"/>
      <c r="AX68" s="256" t="n"/>
      <c r="AY68" s="256" t="n"/>
      <c r="AZ68" s="256" t="n"/>
      <c r="BA68" s="256" t="n"/>
      <c r="BB68" s="256" t="n"/>
      <c r="BC68" s="256" t="n"/>
      <c r="BD68" s="256" t="n"/>
      <c r="BE68" s="256" t="n"/>
      <c r="BF68" s="256" t="n"/>
      <c r="BG68" s="256" t="n"/>
      <c r="BH68" s="256" t="n"/>
      <c r="BI68" s="256" t="n"/>
      <c r="BJ68" s="256" t="n"/>
      <c r="BK68" s="256" t="n"/>
      <c r="BL68" s="256" t="n"/>
      <c r="BM68" s="256" t="n"/>
      <c r="BN68" s="256" t="n"/>
      <c r="BO68" s="256" t="n"/>
      <c r="BP68" s="256" t="n"/>
      <c r="BQ68" s="256" t="n"/>
      <c r="BR68" s="256" t="n"/>
      <c r="BS68" s="256" t="n"/>
      <c r="BT68" s="256" t="n"/>
      <c r="BU68" s="256" t="n"/>
      <c r="BV68" s="256" t="n"/>
      <c r="BW68" s="256" t="n"/>
      <c r="BX68" s="256" t="n"/>
      <c r="BY68" s="256" t="n"/>
      <c r="BZ68" s="256" t="n"/>
      <c r="CA68" s="256" t="n"/>
    </row>
    <row r="69" ht="12" customHeight="1" s="227">
      <c r="A69" s="244" t="n"/>
      <c r="B69" s="244" t="n"/>
      <c r="C69" s="244" t="n"/>
      <c r="H69" s="4">
        <f>i_Setup!U71</f>
        <v/>
      </c>
      <c r="I69" s="27">
        <f>i_Setup!$M$16</f>
        <v/>
      </c>
      <c r="M69" s="245">
        <f>SUMIF($T$4:$CA$4,M$4,$T69:$CA69)</f>
        <v/>
      </c>
      <c r="N69" s="245">
        <f>SUMIF($T$4:$CA$4,N$4,$T69:$CA69)</f>
        <v/>
      </c>
      <c r="O69" s="245">
        <f>SUMIF($T$4:$CA$4,O$4,$T69:$CA69)</f>
        <v/>
      </c>
      <c r="P69" s="245">
        <f>SUMIF($T$4:$CA$4,P$4,$T69:$CA69)</f>
        <v/>
      </c>
      <c r="Q69" s="245">
        <f>SUMIF($T$4:$CA$4,Q$4,$T69:$CA69)</f>
        <v/>
      </c>
      <c r="T69" s="256" t="n"/>
      <c r="U69" s="256" t="n"/>
      <c r="V69" s="256" t="n"/>
      <c r="W69" s="256" t="n"/>
      <c r="X69" s="256" t="n"/>
      <c r="Y69" s="256" t="n"/>
      <c r="Z69" s="256" t="n"/>
      <c r="AA69" s="256" t="n"/>
      <c r="AB69" s="256" t="n"/>
      <c r="AC69" s="256" t="n"/>
      <c r="AD69" s="256" t="n"/>
      <c r="AE69" s="256" t="n"/>
      <c r="AF69" s="256" t="n"/>
      <c r="AG69" s="256" t="n"/>
      <c r="AH69" s="256" t="n"/>
      <c r="AI69" s="256" t="n"/>
      <c r="AJ69" s="256" t="n"/>
      <c r="AK69" s="256" t="n"/>
      <c r="AL69" s="256" t="n"/>
      <c r="AM69" s="256" t="n"/>
      <c r="AN69" s="256" t="n"/>
      <c r="AO69" s="256" t="n"/>
      <c r="AP69" s="256" t="n"/>
      <c r="AQ69" s="256" t="n"/>
      <c r="AR69" s="256" t="n"/>
      <c r="AS69" s="256" t="n"/>
      <c r="AT69" s="256" t="n"/>
      <c r="AU69" s="256" t="n"/>
      <c r="AV69" s="256" t="n"/>
      <c r="AW69" s="256" t="n"/>
      <c r="AX69" s="256" t="n"/>
      <c r="AY69" s="256" t="n"/>
      <c r="AZ69" s="256" t="n"/>
      <c r="BA69" s="256" t="n"/>
      <c r="BB69" s="256" t="n"/>
      <c r="BC69" s="256" t="n"/>
      <c r="BD69" s="256" t="n"/>
      <c r="BE69" s="256" t="n"/>
      <c r="BF69" s="256" t="n"/>
      <c r="BG69" s="256" t="n"/>
      <c r="BH69" s="256" t="n"/>
      <c r="BI69" s="256" t="n"/>
      <c r="BJ69" s="256" t="n"/>
      <c r="BK69" s="256" t="n"/>
      <c r="BL69" s="256" t="n"/>
      <c r="BM69" s="256" t="n"/>
      <c r="BN69" s="256" t="n"/>
      <c r="BO69" s="256" t="n"/>
      <c r="BP69" s="256" t="n"/>
      <c r="BQ69" s="256" t="n"/>
      <c r="BR69" s="256" t="n"/>
      <c r="BS69" s="256" t="n"/>
      <c r="BT69" s="256" t="n"/>
      <c r="BU69" s="256" t="n"/>
      <c r="BV69" s="256" t="n"/>
      <c r="BW69" s="256" t="n"/>
      <c r="BX69" s="256" t="n"/>
      <c r="BY69" s="256" t="n"/>
      <c r="BZ69" s="256" t="n"/>
      <c r="CA69" s="256" t="n"/>
    </row>
    <row r="70" ht="12" customHeight="1" s="227">
      <c r="A70" s="244" t="n"/>
      <c r="B70" s="244" t="n"/>
      <c r="C70" s="244" t="n"/>
      <c r="H70" s="4">
        <f>i_Setup!U72</f>
        <v/>
      </c>
      <c r="I70" s="27">
        <f>i_Setup!$M$16</f>
        <v/>
      </c>
      <c r="M70" s="245">
        <f>SUMIF($T$4:$CA$4,M$4,$T70:$CA70)</f>
        <v/>
      </c>
      <c r="N70" s="245">
        <f>SUMIF($T$4:$CA$4,N$4,$T70:$CA70)</f>
        <v/>
      </c>
      <c r="O70" s="245">
        <f>SUMIF($T$4:$CA$4,O$4,$T70:$CA70)</f>
        <v/>
      </c>
      <c r="P70" s="245">
        <f>SUMIF($T$4:$CA$4,P$4,$T70:$CA70)</f>
        <v/>
      </c>
      <c r="Q70" s="245">
        <f>SUMIF($T$4:$CA$4,Q$4,$T70:$CA70)</f>
        <v/>
      </c>
      <c r="T70" s="256" t="n"/>
      <c r="U70" s="256" t="n"/>
      <c r="V70" s="256" t="n"/>
      <c r="W70" s="256" t="n"/>
      <c r="X70" s="256" t="n"/>
      <c r="Y70" s="256" t="n"/>
      <c r="Z70" s="256" t="n"/>
      <c r="AA70" s="256" t="n"/>
      <c r="AB70" s="256" t="n"/>
      <c r="AC70" s="256" t="n"/>
      <c r="AD70" s="256" t="n"/>
      <c r="AE70" s="256" t="n"/>
      <c r="AF70" s="256" t="n"/>
      <c r="AG70" s="256" t="n"/>
      <c r="AH70" s="256" t="n"/>
      <c r="AI70" s="256" t="n"/>
      <c r="AJ70" s="256" t="n"/>
      <c r="AK70" s="256" t="n"/>
      <c r="AL70" s="256" t="n"/>
      <c r="AM70" s="256" t="n"/>
      <c r="AN70" s="256" t="n"/>
      <c r="AO70" s="256" t="n"/>
      <c r="AP70" s="256" t="n"/>
      <c r="AQ70" s="256" t="n"/>
      <c r="AR70" s="256" t="n"/>
      <c r="AS70" s="256" t="n"/>
      <c r="AT70" s="256" t="n"/>
      <c r="AU70" s="256" t="n"/>
      <c r="AV70" s="256" t="n"/>
      <c r="AW70" s="256" t="n"/>
      <c r="AX70" s="256" t="n"/>
      <c r="AY70" s="256" t="n"/>
      <c r="AZ70" s="256" t="n"/>
      <c r="BA70" s="256" t="n"/>
      <c r="BB70" s="256" t="n"/>
      <c r="BC70" s="256" t="n"/>
      <c r="BD70" s="256" t="n"/>
      <c r="BE70" s="256" t="n"/>
      <c r="BF70" s="256" t="n"/>
      <c r="BG70" s="256" t="n"/>
      <c r="BH70" s="256" t="n"/>
      <c r="BI70" s="256" t="n"/>
      <c r="BJ70" s="256" t="n"/>
      <c r="BK70" s="256" t="n"/>
      <c r="BL70" s="256" t="n"/>
      <c r="BM70" s="256" t="n"/>
      <c r="BN70" s="256" t="n"/>
      <c r="BO70" s="256" t="n"/>
      <c r="BP70" s="256" t="n"/>
      <c r="BQ70" s="256" t="n"/>
      <c r="BR70" s="256" t="n"/>
      <c r="BS70" s="256" t="n"/>
      <c r="BT70" s="256" t="n"/>
      <c r="BU70" s="256" t="n"/>
      <c r="BV70" s="256" t="n"/>
      <c r="BW70" s="256" t="n"/>
      <c r="BX70" s="256" t="n"/>
      <c r="BY70" s="256" t="n"/>
      <c r="BZ70" s="256" t="n"/>
      <c r="CA70" s="256" t="n"/>
    </row>
    <row r="71" ht="12" customHeight="1" s="227">
      <c r="A71" s="244" t="n"/>
      <c r="B71" s="244" t="n"/>
      <c r="C71" s="244" t="n"/>
    </row>
    <row r="72" ht="12" customHeight="1" s="227">
      <c r="A72" s="244" t="n"/>
      <c r="B72" s="244" t="n"/>
      <c r="C72" s="244" t="n"/>
    </row>
    <row r="73" ht="12" customHeight="1" s="227">
      <c r="A73" s="244" t="n"/>
      <c r="B73" s="244" t="n"/>
      <c r="C73" s="244" t="n"/>
      <c r="G73" s="222" t="inlineStr">
        <is>
          <t>Direct OPEX Per Ship Per Month (Excl VAT)</t>
        </is>
      </c>
    </row>
    <row r="74" ht="24" customHeight="1" s="227">
      <c r="A74" s="244" t="n"/>
      <c r="B74" s="244" t="n"/>
      <c r="C74" s="244" t="n"/>
      <c r="K74" s="161" t="inlineStr">
        <is>
          <t>Credit Terms Received (Months)</t>
        </is>
      </c>
    </row>
    <row r="75" ht="12" customHeight="1" s="227">
      <c r="A75" s="244" t="n"/>
      <c r="B75" s="244" t="n"/>
      <c r="C75" s="244" t="n"/>
      <c r="H75" s="4">
        <f>i_Setup!U75</f>
        <v/>
      </c>
      <c r="I75" s="27">
        <f>i_Setup!$M$16</f>
        <v/>
      </c>
      <c r="K75" s="240" t="n">
        <v>0</v>
      </c>
      <c r="M75" s="256" t="n">
        <v>-1500</v>
      </c>
      <c r="N75" s="256">
        <f>M75*1.03</f>
        <v/>
      </c>
      <c r="O75" s="256">
        <f>N75*1.03</f>
        <v/>
      </c>
      <c r="P75" s="256">
        <f>O75*1.03</f>
        <v/>
      </c>
      <c r="Q75" s="256">
        <f>P75*1.03</f>
        <v/>
      </c>
    </row>
    <row r="76" ht="12" customHeight="1" s="227">
      <c r="A76" s="244" t="n"/>
      <c r="B76" s="244" t="n"/>
      <c r="C76" s="244" t="n"/>
      <c r="H76" s="4">
        <f>i_Setup!U76</f>
        <v/>
      </c>
      <c r="I76" s="27">
        <f>i_Setup!$M$16</f>
        <v/>
      </c>
      <c r="K76" s="240" t="n">
        <v>0</v>
      </c>
      <c r="M76" s="256" t="n">
        <v>-2000</v>
      </c>
      <c r="N76" s="256">
        <f>M76*1.03</f>
        <v/>
      </c>
      <c r="O76" s="256">
        <f>N76*1.03</f>
        <v/>
      </c>
      <c r="P76" s="256">
        <f>O76*1.03</f>
        <v/>
      </c>
      <c r="Q76" s="256">
        <f>P76*1.03</f>
        <v/>
      </c>
    </row>
    <row r="77" ht="12" customHeight="1" s="227">
      <c r="A77" s="244" t="n"/>
      <c r="B77" s="244" t="n"/>
      <c r="C77" s="244" t="n"/>
      <c r="H77" s="4">
        <f>i_Setup!U77</f>
        <v/>
      </c>
      <c r="I77" s="27">
        <f>i_Setup!$M$16</f>
        <v/>
      </c>
      <c r="K77" s="240" t="n">
        <v>0</v>
      </c>
      <c r="M77" s="256" t="n">
        <v>-500</v>
      </c>
      <c r="N77" s="256">
        <f>M77*1.03</f>
        <v/>
      </c>
      <c r="O77" s="256">
        <f>N77*1.03</f>
        <v/>
      </c>
      <c r="P77" s="256">
        <f>O77*1.03</f>
        <v/>
      </c>
      <c r="Q77" s="256">
        <f>P77*1.03</f>
        <v/>
      </c>
    </row>
    <row r="78" ht="12" customHeight="1" s="227">
      <c r="A78" s="244" t="n"/>
      <c r="B78" s="244" t="n"/>
      <c r="C78" s="244" t="n"/>
      <c r="H78" s="4">
        <f>i_Setup!U78</f>
        <v/>
      </c>
      <c r="I78" s="27">
        <f>i_Setup!$M$16</f>
        <v/>
      </c>
      <c r="K78" s="240" t="n">
        <v>1</v>
      </c>
      <c r="M78" s="256" t="n">
        <v>-1000</v>
      </c>
      <c r="N78" s="256">
        <f>M78*1.03</f>
        <v/>
      </c>
      <c r="O78" s="256">
        <f>N78*1.03</f>
        <v/>
      </c>
      <c r="P78" s="256">
        <f>O78*1.03</f>
        <v/>
      </c>
      <c r="Q78" s="256">
        <f>P78*1.03</f>
        <v/>
      </c>
    </row>
    <row r="79" ht="12" customHeight="1" s="227">
      <c r="A79" s="244" t="n"/>
      <c r="B79" s="244" t="n"/>
      <c r="C79" s="244" t="n"/>
      <c r="H79" s="4">
        <f>i_Setup!U79</f>
        <v/>
      </c>
      <c r="I79" s="27">
        <f>i_Setup!$M$16</f>
        <v/>
      </c>
      <c r="K79" s="240" t="n">
        <v>1</v>
      </c>
      <c r="M79" s="256" t="n">
        <v>-4000</v>
      </c>
      <c r="N79" s="256">
        <f>M79*1.03</f>
        <v/>
      </c>
      <c r="O79" s="256">
        <f>N79*1.03</f>
        <v/>
      </c>
      <c r="P79" s="256">
        <f>O79*1.03</f>
        <v/>
      </c>
      <c r="Q79" s="256">
        <f>P79*1.03</f>
        <v/>
      </c>
    </row>
    <row r="80" ht="12" customHeight="1" s="227">
      <c r="A80" s="244" t="n"/>
      <c r="B80" s="244" t="n"/>
      <c r="C80" s="244" t="n"/>
      <c r="H80" s="4">
        <f>i_Setup!U80</f>
        <v/>
      </c>
      <c r="I80" s="27">
        <f>i_Setup!$M$16</f>
        <v/>
      </c>
      <c r="K80" s="240" t="n">
        <v>0</v>
      </c>
      <c r="M80" s="256" t="n"/>
      <c r="N80" s="256" t="n"/>
      <c r="O80" s="256" t="n"/>
      <c r="P80" s="256" t="n"/>
      <c r="Q80" s="256" t="n"/>
    </row>
    <row r="81" ht="12" customHeight="1" s="227">
      <c r="A81" s="244" t="n"/>
      <c r="B81" s="244" t="n"/>
      <c r="C81" s="244" t="n"/>
      <c r="H81" s="4">
        <f>i_Setup!U81</f>
        <v/>
      </c>
      <c r="I81" s="27">
        <f>i_Setup!$M$16</f>
        <v/>
      </c>
      <c r="K81" s="240" t="n">
        <v>0</v>
      </c>
      <c r="M81" s="256" t="n"/>
      <c r="N81" s="256" t="n"/>
      <c r="O81" s="256" t="n"/>
      <c r="P81" s="256" t="n"/>
      <c r="Q81" s="256" t="n"/>
    </row>
    <row r="82" ht="12" customHeight="1" s="227">
      <c r="A82" s="244" t="n"/>
      <c r="B82" s="244" t="n"/>
      <c r="C82" s="244" t="n"/>
      <c r="H82" s="4">
        <f>i_Setup!U82</f>
        <v/>
      </c>
      <c r="I82" s="27">
        <f>i_Setup!$M$16</f>
        <v/>
      </c>
      <c r="K82" s="240" t="n">
        <v>0</v>
      </c>
      <c r="M82" s="256" t="n"/>
      <c r="N82" s="256" t="n"/>
      <c r="O82" s="256" t="n"/>
      <c r="P82" s="256" t="n"/>
      <c r="Q82" s="256" t="n"/>
    </row>
    <row r="83" ht="12" customHeight="1" s="227">
      <c r="A83" s="244" t="n"/>
      <c r="B83" s="244" t="n"/>
      <c r="C83" s="244" t="n"/>
    </row>
    <row r="84" ht="12" customHeight="1" s="227">
      <c r="A84" s="244" t="n"/>
      <c r="B84" s="244" t="n"/>
      <c r="C84" s="244" t="n"/>
    </row>
    <row r="85" ht="12" customHeight="1" s="227">
      <c r="A85" s="244" t="n"/>
      <c r="B85" s="244" t="n"/>
      <c r="C85" s="244" t="n"/>
      <c r="G85" s="222" t="inlineStr">
        <is>
          <t>Direct Staff Numbers Per Ship</t>
        </is>
      </c>
    </row>
    <row r="86" ht="12" customHeight="1" s="227">
      <c r="A86" s="244" t="n"/>
      <c r="B86" s="244" t="n"/>
      <c r="C86" s="244" t="n"/>
    </row>
    <row r="87" ht="12" customHeight="1" s="227">
      <c r="A87" s="244" t="n"/>
      <c r="B87" s="244" t="n"/>
      <c r="C87" s="244" t="n"/>
      <c r="H87" s="4">
        <f>i_Setup!U46</f>
        <v/>
      </c>
      <c r="I87" s="27" t="inlineStr">
        <is>
          <t>no</t>
        </is>
      </c>
      <c r="M87" s="258" t="n">
        <v>1</v>
      </c>
      <c r="N87" s="258" t="n">
        <v>1</v>
      </c>
      <c r="O87" s="258" t="n">
        <v>1</v>
      </c>
      <c r="P87" s="258" t="n">
        <v>1</v>
      </c>
      <c r="Q87" s="258" t="n">
        <v>1</v>
      </c>
    </row>
    <row r="88" ht="12" customHeight="1" s="227">
      <c r="A88" s="244" t="n"/>
      <c r="B88" s="244" t="n"/>
      <c r="C88" s="244" t="n"/>
      <c r="H88" s="4">
        <f>i_Setup!U47</f>
        <v/>
      </c>
      <c r="I88" s="27" t="inlineStr">
        <is>
          <t>no</t>
        </is>
      </c>
      <c r="M88" s="258" t="n">
        <v>2</v>
      </c>
      <c r="N88" s="258" t="n">
        <v>2</v>
      </c>
      <c r="O88" s="258" t="n">
        <v>2</v>
      </c>
      <c r="P88" s="258" t="n">
        <v>2</v>
      </c>
      <c r="Q88" s="258" t="n">
        <v>2</v>
      </c>
    </row>
    <row r="89" ht="12" customHeight="1" s="227">
      <c r="A89" s="244" t="n"/>
      <c r="B89" s="244" t="n"/>
      <c r="C89" s="244" t="n"/>
      <c r="H89" s="4">
        <f>i_Setup!U48</f>
        <v/>
      </c>
      <c r="I89" s="27" t="inlineStr">
        <is>
          <t>no</t>
        </is>
      </c>
      <c r="M89" s="258" t="n">
        <v>2</v>
      </c>
      <c r="N89" s="258" t="n">
        <v>2</v>
      </c>
      <c r="O89" s="258" t="n">
        <v>2</v>
      </c>
      <c r="P89" s="258" t="n">
        <v>2</v>
      </c>
      <c r="Q89" s="258" t="n">
        <v>2</v>
      </c>
    </row>
    <row r="90" ht="12" customHeight="1" s="227">
      <c r="A90" s="244" t="n"/>
      <c r="B90" s="244" t="n"/>
      <c r="C90" s="244" t="n"/>
      <c r="H90" s="4">
        <f>i_Setup!U49</f>
        <v/>
      </c>
      <c r="I90" s="27" t="inlineStr">
        <is>
          <t>no</t>
        </is>
      </c>
      <c r="M90" s="258" t="n">
        <v>5</v>
      </c>
      <c r="N90" s="258" t="n">
        <v>5</v>
      </c>
      <c r="O90" s="258" t="n">
        <v>5</v>
      </c>
      <c r="P90" s="258" t="n">
        <v>5</v>
      </c>
      <c r="Q90" s="258" t="n">
        <v>5</v>
      </c>
    </row>
    <row r="91" ht="12" customHeight="1" s="227">
      <c r="A91" s="244" t="n"/>
      <c r="B91" s="244" t="n"/>
      <c r="C91" s="244" t="n"/>
      <c r="H91" s="4">
        <f>i_Setup!U50</f>
        <v/>
      </c>
      <c r="I91" s="27" t="inlineStr">
        <is>
          <t>no</t>
        </is>
      </c>
      <c r="M91" s="258" t="n">
        <v>3</v>
      </c>
      <c r="N91" s="258" t="n">
        <v>3</v>
      </c>
      <c r="O91" s="258" t="n">
        <v>3</v>
      </c>
      <c r="P91" s="258" t="n">
        <v>3</v>
      </c>
      <c r="Q91" s="258" t="n">
        <v>3</v>
      </c>
    </row>
    <row r="92" ht="12" customHeight="1" s="227">
      <c r="A92" s="244" t="n"/>
      <c r="B92" s="244" t="n"/>
      <c r="C92" s="244" t="n"/>
      <c r="H92" s="4">
        <f>i_Setup!U51</f>
        <v/>
      </c>
      <c r="I92" s="27" t="inlineStr">
        <is>
          <t>no</t>
        </is>
      </c>
      <c r="M92" s="258" t="n">
        <v>2</v>
      </c>
      <c r="N92" s="258" t="n">
        <v>2</v>
      </c>
      <c r="O92" s="258" t="n">
        <v>2</v>
      </c>
      <c r="P92" s="258" t="n">
        <v>2</v>
      </c>
      <c r="Q92" s="258" t="n">
        <v>2</v>
      </c>
    </row>
    <row r="93" ht="12" customHeight="1" s="227">
      <c r="A93" s="244" t="n"/>
      <c r="B93" s="244" t="n"/>
      <c r="C93" s="244" t="n"/>
      <c r="H93" s="4">
        <f>i_Setup!U52</f>
        <v/>
      </c>
      <c r="I93" s="27" t="inlineStr">
        <is>
          <t>no</t>
        </is>
      </c>
      <c r="M93" s="258" t="n"/>
      <c r="N93" s="258" t="n"/>
      <c r="O93" s="258" t="n"/>
      <c r="P93" s="258" t="n"/>
      <c r="Q93" s="258" t="n"/>
    </row>
    <row r="94" ht="12" customHeight="1" s="227">
      <c r="A94" s="244" t="n"/>
      <c r="B94" s="244" t="n"/>
      <c r="C94" s="244" t="n"/>
      <c r="H94" s="4">
        <f>i_Setup!U53</f>
        <v/>
      </c>
      <c r="I94" s="27" t="inlineStr">
        <is>
          <t>no</t>
        </is>
      </c>
      <c r="M94" s="258" t="n"/>
      <c r="N94" s="258" t="n"/>
      <c r="O94" s="258" t="n"/>
      <c r="P94" s="258" t="n"/>
      <c r="Q94" s="258" t="n"/>
    </row>
    <row r="95" ht="12" customHeight="1" s="227">
      <c r="A95" s="244" t="n"/>
      <c r="B95" s="244" t="n"/>
      <c r="C95" s="244" t="n"/>
    </row>
    <row r="96" ht="12" customHeight="1" s="227">
      <c r="A96" s="244" t="n"/>
      <c r="B96" s="244" t="n"/>
      <c r="C96" s="244" t="n"/>
    </row>
    <row r="97" ht="13.5" customFormat="1" customHeight="1" s="223" thickBot="1">
      <c r="E97" s="223">
        <f>Heading2</f>
        <v/>
      </c>
      <c r="F97" s="223">
        <f>i_Setup!U33</f>
        <v/>
      </c>
    </row>
    <row r="98" ht="12" customHeight="1" s="227">
      <c r="A98" s="244" t="n"/>
      <c r="B98" s="244" t="n"/>
      <c r="C98" s="244" t="n"/>
    </row>
    <row r="99" ht="12" customHeight="1" s="227">
      <c r="A99" s="244" t="n"/>
      <c r="B99" s="244" t="n"/>
      <c r="C99" s="244" t="n"/>
      <c r="G99" s="222" t="inlineStr">
        <is>
          <t>Number of Ships</t>
        </is>
      </c>
    </row>
    <row r="100" ht="12" customHeight="1" s="227">
      <c r="A100" s="244" t="n"/>
      <c r="B100" s="244" t="n"/>
      <c r="C100" s="244" t="n"/>
    </row>
    <row r="101" ht="12" customHeight="1" s="227">
      <c r="A101" s="244" t="n"/>
      <c r="B101" s="244" t="n"/>
      <c r="C101" s="244" t="n"/>
      <c r="H101" s="4">
        <f>F97</f>
        <v/>
      </c>
      <c r="I101" s="27" t="inlineStr">
        <is>
          <t>no.</t>
        </is>
      </c>
      <c r="M101" s="245">
        <f>SUMIF($T$2:$CA$2,M$2,$T101:$CA101)</f>
        <v/>
      </c>
      <c r="N101" s="245">
        <f>SUMIF($T$2:$CA$2,N$2,$T101:$CA101)</f>
        <v/>
      </c>
      <c r="O101" s="245">
        <f>SUMIF($T$2:$CA$2,O$2,$T101:$CA101)</f>
        <v/>
      </c>
      <c r="P101" s="245">
        <f>SUMIF($T$2:$CA$2,P$2,$T101:$CA101)</f>
        <v/>
      </c>
      <c r="Q101" s="245">
        <f>SUMIF($T$2:$CA$2,Q$2,$T101:$CA101)</f>
        <v/>
      </c>
      <c r="T101" s="257">
        <f>IF(T$7="Actual","",_xlfn.XLOOKUP($F97,c_Calculations!$H$15:$H$24,c_Calculations!T$15:T$24))</f>
        <v/>
      </c>
      <c r="U101" s="257">
        <f>IF(U$7="Actual","",_xlfn.XLOOKUP($F97,c_Calculations!$H$15:$H$24,c_Calculations!U$15:U$24))</f>
        <v/>
      </c>
      <c r="V101" s="257">
        <f>IF(V$7="Actual","",_xlfn.XLOOKUP($F97,c_Calculations!$H$15:$H$24,c_Calculations!V$15:V$24))</f>
        <v/>
      </c>
      <c r="W101" s="257">
        <f>IF(W$7="Actual","",_xlfn.XLOOKUP($F97,c_Calculations!$H$15:$H$24,c_Calculations!W$15:W$24))</f>
        <v/>
      </c>
      <c r="X101" s="257">
        <f>IF(X$7="Actual","",_xlfn.XLOOKUP($F97,c_Calculations!$H$15:$H$24,c_Calculations!X$15:X$24))</f>
        <v/>
      </c>
      <c r="Y101" s="257">
        <f>IF(Y$7="Actual","",_xlfn.XLOOKUP($F97,c_Calculations!$H$15:$H$24,c_Calculations!Y$15:Y$24))</f>
        <v/>
      </c>
      <c r="Z101" s="257">
        <f>IF(Z$7="Actual","",_xlfn.XLOOKUP($F97,c_Calculations!$H$15:$H$24,c_Calculations!Z$15:Z$24))</f>
        <v/>
      </c>
      <c r="AA101" s="257">
        <f>IF(AA$7="Actual","",_xlfn.XLOOKUP($F97,c_Calculations!$H$15:$H$24,c_Calculations!AA$15:AA$24))</f>
        <v/>
      </c>
      <c r="AB101" s="257">
        <f>IF(AB$7="Actual","",_xlfn.XLOOKUP($F97,c_Calculations!$H$15:$H$24,c_Calculations!AB$15:AB$24))</f>
        <v/>
      </c>
      <c r="AC101" s="257">
        <f>IF(AC$7="Actual","",_xlfn.XLOOKUP($F97,c_Calculations!$H$15:$H$24,c_Calculations!AC$15:AC$24))</f>
        <v/>
      </c>
      <c r="AD101" s="257">
        <f>IF(AD$7="Actual","",_xlfn.XLOOKUP($F97,c_Calculations!$H$15:$H$24,c_Calculations!AD$15:AD$24))</f>
        <v/>
      </c>
      <c r="AE101" s="257">
        <f>IF(AE$7="Actual","",_xlfn.XLOOKUP($F97,c_Calculations!$H$15:$H$24,c_Calculations!AE$15:AE$24))</f>
        <v/>
      </c>
      <c r="AF101" s="257">
        <f>IF(AF$7="Actual","",_xlfn.XLOOKUP($F97,c_Calculations!$H$15:$H$24,c_Calculations!AF$15:AF$24))</f>
        <v/>
      </c>
      <c r="AG101" s="257">
        <f>IF(AG$7="Actual","",_xlfn.XLOOKUP($F97,c_Calculations!$H$15:$H$24,c_Calculations!AG$15:AG$24))</f>
        <v/>
      </c>
      <c r="AH101" s="257">
        <f>IF(AH$7="Actual","",_xlfn.XLOOKUP($F97,c_Calculations!$H$15:$H$24,c_Calculations!AH$15:AH$24))</f>
        <v/>
      </c>
      <c r="AI101" s="257">
        <f>IF(AI$7="Actual","",_xlfn.XLOOKUP($F97,c_Calculations!$H$15:$H$24,c_Calculations!AI$15:AI$24))</f>
        <v/>
      </c>
      <c r="AJ101" s="257">
        <f>IF(AJ$7="Actual","",_xlfn.XLOOKUP($F97,c_Calculations!$H$15:$H$24,c_Calculations!AJ$15:AJ$24))</f>
        <v/>
      </c>
      <c r="AK101" s="257">
        <f>IF(AK$7="Actual","",_xlfn.XLOOKUP($F97,c_Calculations!$H$15:$H$24,c_Calculations!AK$15:AK$24))</f>
        <v/>
      </c>
      <c r="AL101" s="257">
        <f>IF(AL$7="Actual","",_xlfn.XLOOKUP($F97,c_Calculations!$H$15:$H$24,c_Calculations!AL$15:AL$24))</f>
        <v/>
      </c>
      <c r="AM101" s="257">
        <f>IF(AM$7="Actual","",_xlfn.XLOOKUP($F97,c_Calculations!$H$15:$H$24,c_Calculations!AM$15:AM$24))</f>
        <v/>
      </c>
      <c r="AN101" s="257">
        <f>IF(AN$7="Actual","",_xlfn.XLOOKUP($F97,c_Calculations!$H$15:$H$24,c_Calculations!AN$15:AN$24))</f>
        <v/>
      </c>
      <c r="AO101" s="257">
        <f>IF(AO$7="Actual","",_xlfn.XLOOKUP($F97,c_Calculations!$H$15:$H$24,c_Calculations!AO$15:AO$24))</f>
        <v/>
      </c>
      <c r="AP101" s="257">
        <f>IF(AP$7="Actual","",_xlfn.XLOOKUP($F97,c_Calculations!$H$15:$H$24,c_Calculations!AP$15:AP$24))</f>
        <v/>
      </c>
      <c r="AQ101" s="257">
        <f>IF(AQ$7="Actual","",_xlfn.XLOOKUP($F97,c_Calculations!$H$15:$H$24,c_Calculations!AQ$15:AQ$24))</f>
        <v/>
      </c>
      <c r="AR101" s="257">
        <f>IF(AR$7="Actual","",_xlfn.XLOOKUP($F97,c_Calculations!$H$15:$H$24,c_Calculations!AR$15:AR$24))</f>
        <v/>
      </c>
      <c r="AS101" s="257">
        <f>IF(AS$7="Actual","",_xlfn.XLOOKUP($F97,c_Calculations!$H$15:$H$24,c_Calculations!AS$15:AS$24))</f>
        <v/>
      </c>
      <c r="AT101" s="257">
        <f>IF(AT$7="Actual","",_xlfn.XLOOKUP($F97,c_Calculations!$H$15:$H$24,c_Calculations!AT$15:AT$24))</f>
        <v/>
      </c>
      <c r="AU101" s="257">
        <f>IF(AU$7="Actual","",_xlfn.XLOOKUP($F97,c_Calculations!$H$15:$H$24,c_Calculations!AU$15:AU$24))</f>
        <v/>
      </c>
      <c r="AV101" s="257">
        <f>IF(AV$7="Actual","",_xlfn.XLOOKUP($F97,c_Calculations!$H$15:$H$24,c_Calculations!AV$15:AV$24))</f>
        <v/>
      </c>
      <c r="AW101" s="257">
        <f>IF(AW$7="Actual","",_xlfn.XLOOKUP($F97,c_Calculations!$H$15:$H$24,c_Calculations!AW$15:AW$24))</f>
        <v/>
      </c>
      <c r="AX101" s="257">
        <f>IF(AX$7="Actual","",_xlfn.XLOOKUP($F97,c_Calculations!$H$15:$H$24,c_Calculations!AX$15:AX$24))</f>
        <v/>
      </c>
      <c r="AY101" s="257">
        <f>IF(AY$7="Actual","",_xlfn.XLOOKUP($F97,c_Calculations!$H$15:$H$24,c_Calculations!AY$15:AY$24))</f>
        <v/>
      </c>
      <c r="AZ101" s="257">
        <f>IF(AZ$7="Actual","",_xlfn.XLOOKUP($F97,c_Calculations!$H$15:$H$24,c_Calculations!AZ$15:AZ$24))</f>
        <v/>
      </c>
      <c r="BA101" s="257">
        <f>IF(BA$7="Actual","",_xlfn.XLOOKUP($F97,c_Calculations!$H$15:$H$24,c_Calculations!BA$15:BA$24))</f>
        <v/>
      </c>
      <c r="BB101" s="257">
        <f>IF(BB$7="Actual","",_xlfn.XLOOKUP($F97,c_Calculations!$H$15:$H$24,c_Calculations!BB$15:BB$24))</f>
        <v/>
      </c>
      <c r="BC101" s="257">
        <f>IF(BC$7="Actual","",_xlfn.XLOOKUP($F97,c_Calculations!$H$15:$H$24,c_Calculations!BC$15:BC$24))</f>
        <v/>
      </c>
      <c r="BD101" s="257">
        <f>IF(BD$7="Actual","",_xlfn.XLOOKUP($F97,c_Calculations!$H$15:$H$24,c_Calculations!BD$15:BD$24))</f>
        <v/>
      </c>
      <c r="BE101" s="257">
        <f>IF(BE$7="Actual","",_xlfn.XLOOKUP($F97,c_Calculations!$H$15:$H$24,c_Calculations!BE$15:BE$24))</f>
        <v/>
      </c>
      <c r="BF101" s="257">
        <f>IF(BF$7="Actual","",_xlfn.XLOOKUP($F97,c_Calculations!$H$15:$H$24,c_Calculations!BF$15:BF$24))</f>
        <v/>
      </c>
      <c r="BG101" s="257">
        <f>IF(BG$7="Actual","",_xlfn.XLOOKUP($F97,c_Calculations!$H$15:$H$24,c_Calculations!BG$15:BG$24))</f>
        <v/>
      </c>
      <c r="BH101" s="257">
        <f>IF(BH$7="Actual","",_xlfn.XLOOKUP($F97,c_Calculations!$H$15:$H$24,c_Calculations!BH$15:BH$24))</f>
        <v/>
      </c>
      <c r="BI101" s="257">
        <f>IF(BI$7="Actual","",_xlfn.XLOOKUP($F97,c_Calculations!$H$15:$H$24,c_Calculations!BI$15:BI$24))</f>
        <v/>
      </c>
      <c r="BJ101" s="257">
        <f>IF(BJ$7="Actual","",_xlfn.XLOOKUP($F97,c_Calculations!$H$15:$H$24,c_Calculations!BJ$15:BJ$24))</f>
        <v/>
      </c>
      <c r="BK101" s="257">
        <f>IF(BK$7="Actual","",_xlfn.XLOOKUP($F97,c_Calculations!$H$15:$H$24,c_Calculations!BK$15:BK$24))</f>
        <v/>
      </c>
      <c r="BL101" s="257">
        <f>IF(BL$7="Actual","",_xlfn.XLOOKUP($F97,c_Calculations!$H$15:$H$24,c_Calculations!BL$15:BL$24))</f>
        <v/>
      </c>
      <c r="BM101" s="257">
        <f>IF(BM$7="Actual","",_xlfn.XLOOKUP($F97,c_Calculations!$H$15:$H$24,c_Calculations!BM$15:BM$24))</f>
        <v/>
      </c>
      <c r="BN101" s="257">
        <f>IF(BN$7="Actual","",_xlfn.XLOOKUP($F97,c_Calculations!$H$15:$H$24,c_Calculations!BN$15:BN$24))</f>
        <v/>
      </c>
      <c r="BO101" s="257">
        <f>IF(BO$7="Actual","",_xlfn.XLOOKUP($F97,c_Calculations!$H$15:$H$24,c_Calculations!BO$15:BO$24))</f>
        <v/>
      </c>
      <c r="BP101" s="257">
        <f>IF(BP$7="Actual","",_xlfn.XLOOKUP($F97,c_Calculations!$H$15:$H$24,c_Calculations!BP$15:BP$24))</f>
        <v/>
      </c>
      <c r="BQ101" s="257">
        <f>IF(BQ$7="Actual","",_xlfn.XLOOKUP($F97,c_Calculations!$H$15:$H$24,c_Calculations!BQ$15:BQ$24))</f>
        <v/>
      </c>
      <c r="BR101" s="257">
        <f>IF(BR$7="Actual","",_xlfn.XLOOKUP($F97,c_Calculations!$H$15:$H$24,c_Calculations!BR$15:BR$24))</f>
        <v/>
      </c>
      <c r="BS101" s="257">
        <f>IF(BS$7="Actual","",_xlfn.XLOOKUP($F97,c_Calculations!$H$15:$H$24,c_Calculations!BS$15:BS$24))</f>
        <v/>
      </c>
      <c r="BT101" s="257">
        <f>IF(BT$7="Actual","",_xlfn.XLOOKUP($F97,c_Calculations!$H$15:$H$24,c_Calculations!BT$15:BT$24))</f>
        <v/>
      </c>
      <c r="BU101" s="257">
        <f>IF(BU$7="Actual","",_xlfn.XLOOKUP($F97,c_Calculations!$H$15:$H$24,c_Calculations!BU$15:BU$24))</f>
        <v/>
      </c>
      <c r="BV101" s="257">
        <f>IF(BV$7="Actual","",_xlfn.XLOOKUP($F97,c_Calculations!$H$15:$H$24,c_Calculations!BV$15:BV$24))</f>
        <v/>
      </c>
      <c r="BW101" s="257">
        <f>IF(BW$7="Actual","",_xlfn.XLOOKUP($F97,c_Calculations!$H$15:$H$24,c_Calculations!BW$15:BW$24))</f>
        <v/>
      </c>
      <c r="BX101" s="257">
        <f>IF(BX$7="Actual","",_xlfn.XLOOKUP($F97,c_Calculations!$H$15:$H$24,c_Calculations!BX$15:BX$24))</f>
        <v/>
      </c>
      <c r="BY101" s="257">
        <f>IF(BY$7="Actual","",_xlfn.XLOOKUP($F97,c_Calculations!$H$15:$H$24,c_Calculations!BY$15:BY$24))</f>
        <v/>
      </c>
      <c r="BZ101" s="257">
        <f>IF(BZ$7="Actual","",_xlfn.XLOOKUP($F97,c_Calculations!$H$15:$H$24,c_Calculations!BZ$15:BZ$24))</f>
        <v/>
      </c>
      <c r="CA101" s="257">
        <f>IF(CA$7="Actual","",_xlfn.XLOOKUP($F97,c_Calculations!$H$15:$H$24,c_Calculations!CA$15:CA$24))</f>
        <v/>
      </c>
    </row>
    <row r="102" ht="12" customHeight="1" s="227">
      <c r="A102" s="244" t="n"/>
      <c r="B102" s="244" t="n"/>
      <c r="C102" s="244" t="n"/>
    </row>
    <row r="103" ht="12" customHeight="1" s="227">
      <c r="A103" s="244" t="n"/>
      <c r="B103" s="244" t="n"/>
      <c r="C103" s="244" t="n"/>
    </row>
    <row r="104" ht="12" customHeight="1" s="227">
      <c r="A104" s="244" t="n"/>
      <c r="B104" s="244" t="n"/>
      <c r="C104" s="244" t="n"/>
      <c r="G104" s="222" t="inlineStr">
        <is>
          <t>Direct CAPEX (Excl. Sales Tax)</t>
        </is>
      </c>
    </row>
    <row r="105" ht="12" customHeight="1" s="227">
      <c r="A105" s="244" t="n"/>
      <c r="B105" s="244" t="n"/>
      <c r="C105" s="244" t="n"/>
    </row>
    <row r="106" ht="12" customHeight="1" s="227">
      <c r="A106" s="244" t="n"/>
      <c r="B106" s="244" t="n"/>
      <c r="C106" s="244" t="n"/>
      <c r="H106" s="4">
        <f>H66</f>
        <v/>
      </c>
      <c r="I106" s="27">
        <f>i_Setup!$M$16</f>
        <v/>
      </c>
      <c r="M106" s="245">
        <f>SUMIF($T$4:$CA$4,M$4,$T106:$CA106)</f>
        <v/>
      </c>
      <c r="N106" s="245">
        <f>SUMIF($T$4:$CA$4,N$4,$T106:$CA106)</f>
        <v/>
      </c>
      <c r="O106" s="245">
        <f>SUMIF($T$4:$CA$4,O$4,$T106:$CA106)</f>
        <v/>
      </c>
      <c r="P106" s="245">
        <f>SUMIF($T$4:$CA$4,P$4,$T106:$CA106)</f>
        <v/>
      </c>
      <c r="Q106" s="245">
        <f>SUMIF($T$4:$CA$4,Q$4,$T106:$CA106)</f>
        <v/>
      </c>
      <c r="T106" s="256" t="n"/>
      <c r="U106" s="256" t="n"/>
      <c r="V106" s="256" t="n"/>
      <c r="W106" s="256" t="n"/>
      <c r="X106" s="256" t="n"/>
      <c r="Y106" s="256" t="n"/>
      <c r="Z106" s="256" t="n"/>
      <c r="AA106" s="256" t="n"/>
      <c r="AB106" s="256" t="n"/>
      <c r="AC106" s="256" t="n"/>
      <c r="AD106" s="256" t="n"/>
      <c r="AE106" s="256" t="n"/>
      <c r="AF106" s="256" t="n">
        <v>100000</v>
      </c>
      <c r="AG106" s="256" t="n"/>
      <c r="AH106" s="256" t="n"/>
      <c r="AI106" s="256" t="n"/>
      <c r="AJ106" s="256" t="n"/>
      <c r="AK106" s="256" t="n"/>
      <c r="AL106" s="256" t="n"/>
      <c r="AM106" s="256" t="n"/>
      <c r="AN106" s="256" t="n"/>
      <c r="AO106" s="256" t="n"/>
      <c r="AP106" s="256" t="n"/>
      <c r="AQ106" s="256" t="n"/>
      <c r="AR106" s="256" t="n">
        <v>100000</v>
      </c>
      <c r="AS106" s="256" t="n"/>
      <c r="AT106" s="256" t="n"/>
      <c r="AU106" s="256" t="n"/>
      <c r="AV106" s="256" t="n"/>
      <c r="AW106" s="256" t="n"/>
      <c r="AX106" s="256" t="n"/>
      <c r="AY106" s="256" t="n"/>
      <c r="AZ106" s="256" t="n"/>
      <c r="BA106" s="256" t="n"/>
      <c r="BB106" s="256" t="n"/>
      <c r="BC106" s="256" t="n"/>
      <c r="BD106" s="256" t="n"/>
      <c r="BE106" s="256" t="n"/>
      <c r="BF106" s="256" t="n"/>
      <c r="BG106" s="256" t="n"/>
      <c r="BH106" s="256" t="n"/>
      <c r="BI106" s="256" t="n"/>
      <c r="BJ106" s="256" t="n"/>
      <c r="BK106" s="256" t="n"/>
      <c r="BL106" s="256" t="n"/>
      <c r="BM106" s="256" t="n"/>
      <c r="BN106" s="256" t="n"/>
      <c r="BO106" s="256" t="n"/>
      <c r="BP106" s="256" t="n"/>
      <c r="BQ106" s="256" t="n"/>
      <c r="BR106" s="256" t="n"/>
      <c r="BS106" s="256" t="n"/>
      <c r="BT106" s="256" t="n"/>
      <c r="BU106" s="256" t="n"/>
      <c r="BV106" s="256" t="n"/>
      <c r="BW106" s="256" t="n"/>
      <c r="BX106" s="256" t="n"/>
      <c r="BY106" s="256" t="n"/>
      <c r="BZ106" s="256" t="n"/>
      <c r="CA106" s="256" t="n"/>
    </row>
    <row r="107" ht="12" customHeight="1" s="227">
      <c r="A107" s="244" t="n"/>
      <c r="B107" s="244" t="n"/>
      <c r="C107" s="244" t="n"/>
      <c r="H107" s="4">
        <f>H67</f>
        <v/>
      </c>
      <c r="I107" s="27">
        <f>i_Setup!$M$16</f>
        <v/>
      </c>
      <c r="M107" s="245">
        <f>SUMIF($T$4:$CA$4,M$4,$T107:$CA107)</f>
        <v/>
      </c>
      <c r="N107" s="245">
        <f>SUMIF($T$4:$CA$4,N$4,$T107:$CA107)</f>
        <v/>
      </c>
      <c r="O107" s="245">
        <f>SUMIF($T$4:$CA$4,O$4,$T107:$CA107)</f>
        <v/>
      </c>
      <c r="P107" s="245">
        <f>SUMIF($T$4:$CA$4,P$4,$T107:$CA107)</f>
        <v/>
      </c>
      <c r="Q107" s="245">
        <f>SUMIF($T$4:$CA$4,Q$4,$T107:$CA107)</f>
        <v/>
      </c>
      <c r="T107" s="256" t="n"/>
      <c r="U107" s="256" t="n"/>
      <c r="V107" s="256" t="n"/>
      <c r="W107" s="256" t="n"/>
      <c r="X107" s="256" t="n"/>
      <c r="Y107" s="256" t="n"/>
      <c r="Z107" s="256" t="n"/>
      <c r="AA107" s="256" t="n"/>
      <c r="AB107" s="256" t="n"/>
      <c r="AC107" s="256" t="n"/>
      <c r="AD107" s="256" t="n"/>
      <c r="AE107" s="256" t="n"/>
      <c r="AF107" s="256" t="n">
        <v>50000</v>
      </c>
      <c r="AG107" s="256" t="n"/>
      <c r="AH107" s="256" t="n"/>
      <c r="AI107" s="256" t="n"/>
      <c r="AJ107" s="256" t="n"/>
      <c r="AK107" s="256" t="n"/>
      <c r="AL107" s="256" t="n"/>
      <c r="AM107" s="256" t="n"/>
      <c r="AN107" s="256" t="n"/>
      <c r="AO107" s="256" t="n"/>
      <c r="AP107" s="256" t="n"/>
      <c r="AQ107" s="256" t="n"/>
      <c r="AR107" s="256" t="n">
        <v>50000</v>
      </c>
      <c r="AS107" s="256" t="n"/>
      <c r="AT107" s="256" t="n"/>
      <c r="AU107" s="256" t="n"/>
      <c r="AV107" s="256" t="n"/>
      <c r="AW107" s="256" t="n"/>
      <c r="AX107" s="256" t="n"/>
      <c r="AY107" s="256" t="n"/>
      <c r="AZ107" s="256" t="n"/>
      <c r="BA107" s="256" t="n"/>
      <c r="BB107" s="256" t="n"/>
      <c r="BC107" s="256" t="n"/>
      <c r="BD107" s="256" t="n"/>
      <c r="BE107" s="256" t="n"/>
      <c r="BF107" s="256" t="n"/>
      <c r="BG107" s="256" t="n"/>
      <c r="BH107" s="256" t="n"/>
      <c r="BI107" s="256" t="n"/>
      <c r="BJ107" s="256" t="n"/>
      <c r="BK107" s="256" t="n"/>
      <c r="BL107" s="256" t="n"/>
      <c r="BM107" s="256" t="n"/>
      <c r="BN107" s="256" t="n"/>
      <c r="BO107" s="256" t="n"/>
      <c r="BP107" s="256" t="n"/>
      <c r="BQ107" s="256" t="n"/>
      <c r="BR107" s="256" t="n"/>
      <c r="BS107" s="256" t="n"/>
      <c r="BT107" s="256" t="n"/>
      <c r="BU107" s="256" t="n"/>
      <c r="BV107" s="256" t="n"/>
      <c r="BW107" s="256" t="n"/>
      <c r="BX107" s="256" t="n"/>
      <c r="BY107" s="256" t="n"/>
      <c r="BZ107" s="256" t="n"/>
      <c r="CA107" s="256" t="n"/>
    </row>
    <row r="108" ht="12" customHeight="1" s="227">
      <c r="A108" s="244" t="n"/>
      <c r="B108" s="244" t="n"/>
      <c r="C108" s="244" t="n"/>
      <c r="H108" s="4">
        <f>H68</f>
        <v/>
      </c>
      <c r="I108" s="27">
        <f>i_Setup!$M$16</f>
        <v/>
      </c>
      <c r="M108" s="245">
        <f>SUMIF($T$4:$CA$4,M$4,$T108:$CA108)</f>
        <v/>
      </c>
      <c r="N108" s="245">
        <f>SUMIF($T$4:$CA$4,N$4,$T108:$CA108)</f>
        <v/>
      </c>
      <c r="O108" s="245">
        <f>SUMIF($T$4:$CA$4,O$4,$T108:$CA108)</f>
        <v/>
      </c>
      <c r="P108" s="245">
        <f>SUMIF($T$4:$CA$4,P$4,$T108:$CA108)</f>
        <v/>
      </c>
      <c r="Q108" s="245">
        <f>SUMIF($T$4:$CA$4,Q$4,$T108:$CA108)</f>
        <v/>
      </c>
      <c r="T108" s="256" t="n"/>
      <c r="U108" s="256" t="n"/>
      <c r="V108" s="256" t="n"/>
      <c r="W108" s="256" t="n"/>
      <c r="X108" s="256" t="n"/>
      <c r="Y108" s="256" t="n"/>
      <c r="Z108" s="256" t="n"/>
      <c r="AA108" s="256" t="n"/>
      <c r="AB108" s="256" t="n"/>
      <c r="AC108" s="256" t="n"/>
      <c r="AD108" s="256" t="n"/>
      <c r="AE108" s="256" t="n"/>
      <c r="AF108" s="256" t="n">
        <v>25000</v>
      </c>
      <c r="AG108" s="256" t="n"/>
      <c r="AH108" s="256" t="n"/>
      <c r="AI108" s="256" t="n"/>
      <c r="AJ108" s="256" t="n"/>
      <c r="AK108" s="256" t="n"/>
      <c r="AL108" s="256" t="n"/>
      <c r="AM108" s="256" t="n"/>
      <c r="AN108" s="256" t="n"/>
      <c r="AO108" s="256" t="n"/>
      <c r="AP108" s="256" t="n"/>
      <c r="AQ108" s="256" t="n"/>
      <c r="AR108" s="256" t="n">
        <v>25000</v>
      </c>
      <c r="AS108" s="256" t="n"/>
      <c r="AT108" s="256" t="n"/>
      <c r="AU108" s="256" t="n"/>
      <c r="AV108" s="256" t="n"/>
      <c r="AW108" s="256" t="n"/>
      <c r="AX108" s="256" t="n"/>
      <c r="AY108" s="256" t="n"/>
      <c r="AZ108" s="256" t="n"/>
      <c r="BA108" s="256" t="n"/>
      <c r="BB108" s="256" t="n"/>
      <c r="BC108" s="256" t="n"/>
      <c r="BD108" s="256" t="n"/>
      <c r="BE108" s="256" t="n"/>
      <c r="BF108" s="256" t="n"/>
      <c r="BG108" s="256" t="n"/>
      <c r="BH108" s="256" t="n"/>
      <c r="BI108" s="256" t="n"/>
      <c r="BJ108" s="256" t="n"/>
      <c r="BK108" s="256" t="n"/>
      <c r="BL108" s="256" t="n"/>
      <c r="BM108" s="256" t="n"/>
      <c r="BN108" s="256" t="n"/>
      <c r="BO108" s="256" t="n"/>
      <c r="BP108" s="256" t="n"/>
      <c r="BQ108" s="256" t="n"/>
      <c r="BR108" s="256" t="n"/>
      <c r="BS108" s="256" t="n"/>
      <c r="BT108" s="256" t="n"/>
      <c r="BU108" s="256" t="n"/>
      <c r="BV108" s="256" t="n"/>
      <c r="BW108" s="256" t="n"/>
      <c r="BX108" s="256" t="n"/>
      <c r="BY108" s="256" t="n"/>
      <c r="BZ108" s="256" t="n"/>
      <c r="CA108" s="256" t="n"/>
    </row>
    <row r="109" ht="12" customHeight="1" s="227">
      <c r="A109" s="244" t="n"/>
      <c r="B109" s="244" t="n"/>
      <c r="C109" s="244" t="n"/>
      <c r="H109" s="4">
        <f>H69</f>
        <v/>
      </c>
      <c r="I109" s="27">
        <f>i_Setup!$M$16</f>
        <v/>
      </c>
      <c r="M109" s="245">
        <f>SUMIF($T$4:$CA$4,M$4,$T109:$CA109)</f>
        <v/>
      </c>
      <c r="N109" s="245">
        <f>SUMIF($T$4:$CA$4,N$4,$T109:$CA109)</f>
        <v/>
      </c>
      <c r="O109" s="245">
        <f>SUMIF($T$4:$CA$4,O$4,$T109:$CA109)</f>
        <v/>
      </c>
      <c r="P109" s="245">
        <f>SUMIF($T$4:$CA$4,P$4,$T109:$CA109)</f>
        <v/>
      </c>
      <c r="Q109" s="245">
        <f>SUMIF($T$4:$CA$4,Q$4,$T109:$CA109)</f>
        <v/>
      </c>
      <c r="T109" s="256" t="n"/>
      <c r="U109" s="256" t="n"/>
      <c r="V109" s="256" t="n"/>
      <c r="W109" s="256" t="n"/>
      <c r="X109" s="256" t="n"/>
      <c r="Y109" s="256" t="n"/>
      <c r="Z109" s="256" t="n"/>
      <c r="AA109" s="256" t="n"/>
      <c r="AB109" s="256" t="n"/>
      <c r="AC109" s="256" t="n"/>
      <c r="AD109" s="256" t="n"/>
      <c r="AE109" s="256" t="n"/>
      <c r="AF109" s="256" t="n"/>
      <c r="AG109" s="256" t="n"/>
      <c r="AH109" s="256" t="n"/>
      <c r="AI109" s="256" t="n"/>
      <c r="AJ109" s="256" t="n"/>
      <c r="AK109" s="256" t="n"/>
      <c r="AL109" s="256" t="n"/>
      <c r="AM109" s="256" t="n"/>
      <c r="AN109" s="256" t="n"/>
      <c r="AO109" s="256" t="n"/>
      <c r="AP109" s="256" t="n"/>
      <c r="AQ109" s="256" t="n"/>
      <c r="AR109" s="256" t="n"/>
      <c r="AS109" s="256" t="n"/>
      <c r="AT109" s="256" t="n"/>
      <c r="AU109" s="256" t="n"/>
      <c r="AV109" s="256" t="n"/>
      <c r="AW109" s="256" t="n"/>
      <c r="AX109" s="256" t="n"/>
      <c r="AY109" s="256" t="n"/>
      <c r="AZ109" s="256" t="n"/>
      <c r="BA109" s="256" t="n"/>
      <c r="BB109" s="256" t="n"/>
      <c r="BC109" s="256" t="n"/>
      <c r="BD109" s="256" t="n"/>
      <c r="BE109" s="256" t="n"/>
      <c r="BF109" s="256" t="n"/>
      <c r="BG109" s="256" t="n"/>
      <c r="BH109" s="256" t="n"/>
      <c r="BI109" s="256" t="n"/>
      <c r="BJ109" s="256" t="n"/>
      <c r="BK109" s="256" t="n"/>
      <c r="BL109" s="256" t="n"/>
      <c r="BM109" s="256" t="n"/>
      <c r="BN109" s="256" t="n"/>
      <c r="BO109" s="256" t="n"/>
      <c r="BP109" s="256" t="n"/>
      <c r="BQ109" s="256" t="n"/>
      <c r="BR109" s="256" t="n"/>
      <c r="BS109" s="256" t="n"/>
      <c r="BT109" s="256" t="n"/>
      <c r="BU109" s="256" t="n"/>
      <c r="BV109" s="256" t="n"/>
      <c r="BW109" s="256" t="n"/>
      <c r="BX109" s="256" t="n"/>
      <c r="BY109" s="256" t="n"/>
      <c r="BZ109" s="256" t="n"/>
      <c r="CA109" s="256" t="n"/>
    </row>
    <row r="110" ht="12" customHeight="1" s="227">
      <c r="A110" s="244" t="n"/>
      <c r="B110" s="244" t="n"/>
      <c r="C110" s="244" t="n"/>
      <c r="H110" s="4">
        <f>H70</f>
        <v/>
      </c>
      <c r="I110" s="27">
        <f>i_Setup!$M$16</f>
        <v/>
      </c>
      <c r="M110" s="245">
        <f>SUMIF($T$4:$CA$4,M$4,$T110:$CA110)</f>
        <v/>
      </c>
      <c r="N110" s="245">
        <f>SUMIF($T$4:$CA$4,N$4,$T110:$CA110)</f>
        <v/>
      </c>
      <c r="O110" s="245">
        <f>SUMIF($T$4:$CA$4,O$4,$T110:$CA110)</f>
        <v/>
      </c>
      <c r="P110" s="245">
        <f>SUMIF($T$4:$CA$4,P$4,$T110:$CA110)</f>
        <v/>
      </c>
      <c r="Q110" s="245">
        <f>SUMIF($T$4:$CA$4,Q$4,$T110:$CA110)</f>
        <v/>
      </c>
      <c r="T110" s="256" t="n"/>
      <c r="U110" s="256" t="n"/>
      <c r="V110" s="256" t="n"/>
      <c r="W110" s="256" t="n"/>
      <c r="X110" s="256" t="n"/>
      <c r="Y110" s="256" t="n"/>
      <c r="Z110" s="256" t="n"/>
      <c r="AA110" s="256" t="n"/>
      <c r="AB110" s="256" t="n"/>
      <c r="AC110" s="256" t="n"/>
      <c r="AD110" s="256" t="n"/>
      <c r="AE110" s="256" t="n"/>
      <c r="AF110" s="256" t="n"/>
      <c r="AG110" s="256" t="n"/>
      <c r="AH110" s="256" t="n"/>
      <c r="AI110" s="256" t="n"/>
      <c r="AJ110" s="256" t="n"/>
      <c r="AK110" s="256" t="n"/>
      <c r="AL110" s="256" t="n"/>
      <c r="AM110" s="256" t="n"/>
      <c r="AN110" s="256" t="n"/>
      <c r="AO110" s="256" t="n"/>
      <c r="AP110" s="256" t="n"/>
      <c r="AQ110" s="256" t="n"/>
      <c r="AR110" s="256" t="n"/>
      <c r="AS110" s="256" t="n"/>
      <c r="AT110" s="256" t="n"/>
      <c r="AU110" s="256" t="n"/>
      <c r="AV110" s="256" t="n"/>
      <c r="AW110" s="256" t="n"/>
      <c r="AX110" s="256" t="n"/>
      <c r="AY110" s="256" t="n"/>
      <c r="AZ110" s="256" t="n"/>
      <c r="BA110" s="256" t="n"/>
      <c r="BB110" s="256" t="n"/>
      <c r="BC110" s="256" t="n"/>
      <c r="BD110" s="256" t="n"/>
      <c r="BE110" s="256" t="n"/>
      <c r="BF110" s="256" t="n"/>
      <c r="BG110" s="256" t="n"/>
      <c r="BH110" s="256" t="n"/>
      <c r="BI110" s="256" t="n"/>
      <c r="BJ110" s="256" t="n"/>
      <c r="BK110" s="256" t="n"/>
      <c r="BL110" s="256" t="n"/>
      <c r="BM110" s="256" t="n"/>
      <c r="BN110" s="256" t="n"/>
      <c r="BO110" s="256" t="n"/>
      <c r="BP110" s="256" t="n"/>
      <c r="BQ110" s="256" t="n"/>
      <c r="BR110" s="256" t="n"/>
      <c r="BS110" s="256" t="n"/>
      <c r="BT110" s="256" t="n"/>
      <c r="BU110" s="256" t="n"/>
      <c r="BV110" s="256" t="n"/>
      <c r="BW110" s="256" t="n"/>
      <c r="BX110" s="256" t="n"/>
      <c r="BY110" s="256" t="n"/>
      <c r="BZ110" s="256" t="n"/>
      <c r="CA110" s="256" t="n"/>
    </row>
    <row r="111" ht="12" customHeight="1" s="227">
      <c r="A111" s="244" t="n"/>
      <c r="B111" s="244" t="n"/>
      <c r="C111" s="244" t="n"/>
    </row>
    <row r="112" ht="12" customHeight="1" s="227">
      <c r="A112" s="244" t="n"/>
      <c r="B112" s="244" t="n"/>
      <c r="C112" s="244" t="n"/>
    </row>
    <row r="113" ht="12" customHeight="1" s="227">
      <c r="A113" s="244" t="n"/>
      <c r="B113" s="244" t="n"/>
      <c r="C113" s="244" t="n"/>
      <c r="G113" s="222" t="inlineStr">
        <is>
          <t>Direct OPEX Per Ship Per Month (Excl VAT)</t>
        </is>
      </c>
    </row>
    <row r="114" ht="24" customHeight="1" s="227">
      <c r="A114" s="244" t="n"/>
      <c r="B114" s="244" t="n"/>
      <c r="C114" s="244" t="n"/>
      <c r="K114" s="161" t="inlineStr">
        <is>
          <t>Credit Terms Received (Months)</t>
        </is>
      </c>
    </row>
    <row r="115" ht="12" customHeight="1" s="227">
      <c r="A115" s="244" t="n"/>
      <c r="B115" s="244" t="n"/>
      <c r="C115" s="244" t="n"/>
      <c r="H115" s="4">
        <f>H75</f>
        <v/>
      </c>
      <c r="I115" s="27">
        <f>i_Setup!$M$16</f>
        <v/>
      </c>
      <c r="K115" s="259">
        <f>K75</f>
        <v/>
      </c>
      <c r="M115" s="256" t="n">
        <v>-1500</v>
      </c>
      <c r="N115" s="256">
        <f>M115*1.03</f>
        <v/>
      </c>
      <c r="O115" s="256">
        <f>N115*1.03</f>
        <v/>
      </c>
      <c r="P115" s="256">
        <f>O115*1.03</f>
        <v/>
      </c>
      <c r="Q115" s="256">
        <f>P115*1.03</f>
        <v/>
      </c>
    </row>
    <row r="116" ht="12" customHeight="1" s="227">
      <c r="A116" s="244" t="n"/>
      <c r="B116" s="244" t="n"/>
      <c r="C116" s="244" t="n"/>
      <c r="H116" s="4">
        <f>H76</f>
        <v/>
      </c>
      <c r="I116" s="27">
        <f>i_Setup!$M$16</f>
        <v/>
      </c>
      <c r="K116" s="259">
        <f>K76</f>
        <v/>
      </c>
      <c r="M116" s="256" t="n">
        <v>-2000</v>
      </c>
      <c r="N116" s="256">
        <f>M116*1.03</f>
        <v/>
      </c>
      <c r="O116" s="256">
        <f>N116*1.03</f>
        <v/>
      </c>
      <c r="P116" s="256">
        <f>O116*1.03</f>
        <v/>
      </c>
      <c r="Q116" s="256">
        <f>P116*1.03</f>
        <v/>
      </c>
    </row>
    <row r="117" ht="12" customHeight="1" s="227">
      <c r="A117" s="244" t="n"/>
      <c r="B117" s="244" t="n"/>
      <c r="C117" s="244" t="n"/>
      <c r="H117" s="4">
        <f>H77</f>
        <v/>
      </c>
      <c r="I117" s="27">
        <f>i_Setup!$M$16</f>
        <v/>
      </c>
      <c r="K117" s="259">
        <f>K77</f>
        <v/>
      </c>
      <c r="M117" s="256" t="n">
        <v>-500</v>
      </c>
      <c r="N117" s="256">
        <f>M117*1.03</f>
        <v/>
      </c>
      <c r="O117" s="256">
        <f>N117*1.03</f>
        <v/>
      </c>
      <c r="P117" s="256">
        <f>O117*1.03</f>
        <v/>
      </c>
      <c r="Q117" s="256">
        <f>P117*1.03</f>
        <v/>
      </c>
    </row>
    <row r="118" ht="12" customHeight="1" s="227">
      <c r="A118" s="244" t="n"/>
      <c r="B118" s="244" t="n"/>
      <c r="C118" s="244" t="n"/>
      <c r="H118" s="4">
        <f>H78</f>
        <v/>
      </c>
      <c r="I118" s="27">
        <f>i_Setup!$M$16</f>
        <v/>
      </c>
      <c r="K118" s="259">
        <f>K78</f>
        <v/>
      </c>
      <c r="M118" s="256" t="n">
        <v>-1000</v>
      </c>
      <c r="N118" s="256">
        <f>M118*1.03</f>
        <v/>
      </c>
      <c r="O118" s="256">
        <f>N118*1.03</f>
        <v/>
      </c>
      <c r="P118" s="256">
        <f>O118*1.03</f>
        <v/>
      </c>
      <c r="Q118" s="256">
        <f>P118*1.03</f>
        <v/>
      </c>
    </row>
    <row r="119" ht="12" customHeight="1" s="227">
      <c r="A119" s="244" t="n"/>
      <c r="B119" s="244" t="n"/>
      <c r="C119" s="244" t="n"/>
      <c r="H119" s="4">
        <f>H79</f>
        <v/>
      </c>
      <c r="I119" s="27">
        <f>i_Setup!$M$16</f>
        <v/>
      </c>
      <c r="K119" s="259">
        <f>K79</f>
        <v/>
      </c>
      <c r="M119" s="256" t="n">
        <v>-4000</v>
      </c>
      <c r="N119" s="256">
        <f>M119*1.03</f>
        <v/>
      </c>
      <c r="O119" s="256">
        <f>N119*1.03</f>
        <v/>
      </c>
      <c r="P119" s="256">
        <f>O119*1.03</f>
        <v/>
      </c>
      <c r="Q119" s="256">
        <f>P119*1.03</f>
        <v/>
      </c>
    </row>
    <row r="120" ht="12" customHeight="1" s="227">
      <c r="A120" s="244" t="n"/>
      <c r="B120" s="244" t="n"/>
      <c r="C120" s="244" t="n"/>
      <c r="H120" s="4">
        <f>H80</f>
        <v/>
      </c>
      <c r="I120" s="27">
        <f>i_Setup!$M$16</f>
        <v/>
      </c>
      <c r="K120" s="259">
        <f>K80</f>
        <v/>
      </c>
      <c r="M120" s="256" t="n"/>
      <c r="N120" s="256" t="n"/>
      <c r="O120" s="256" t="n"/>
      <c r="P120" s="256" t="n"/>
      <c r="Q120" s="256" t="n"/>
    </row>
    <row r="121" ht="12" customHeight="1" s="227">
      <c r="A121" s="244" t="n"/>
      <c r="B121" s="244" t="n"/>
      <c r="C121" s="244" t="n"/>
      <c r="H121" s="4">
        <f>H81</f>
        <v/>
      </c>
      <c r="I121" s="27">
        <f>i_Setup!$M$16</f>
        <v/>
      </c>
      <c r="K121" s="259">
        <f>K81</f>
        <v/>
      </c>
      <c r="M121" s="256" t="n"/>
      <c r="N121" s="256" t="n"/>
      <c r="O121" s="256" t="n"/>
      <c r="P121" s="256" t="n"/>
      <c r="Q121" s="256" t="n"/>
    </row>
    <row r="122" ht="12" customHeight="1" s="227">
      <c r="A122" s="244" t="n"/>
      <c r="B122" s="244" t="n"/>
      <c r="C122" s="244" t="n"/>
      <c r="H122" s="4">
        <f>H82</f>
        <v/>
      </c>
      <c r="I122" s="27">
        <f>i_Setup!$M$16</f>
        <v/>
      </c>
      <c r="K122" s="259">
        <f>K82</f>
        <v/>
      </c>
      <c r="M122" s="256" t="n"/>
      <c r="N122" s="256" t="n"/>
      <c r="O122" s="256" t="n"/>
      <c r="P122" s="256" t="n"/>
      <c r="Q122" s="256" t="n"/>
    </row>
    <row r="123" ht="12" customHeight="1" s="227">
      <c r="A123" s="244" t="n"/>
      <c r="B123" s="244" t="n"/>
      <c r="C123" s="244" t="n"/>
    </row>
    <row r="124" ht="12" customHeight="1" s="227">
      <c r="A124" s="244" t="n"/>
      <c r="B124" s="244" t="n"/>
      <c r="C124" s="244" t="n"/>
    </row>
    <row r="125" ht="12" customHeight="1" s="227">
      <c r="A125" s="244" t="n"/>
      <c r="B125" s="244" t="n"/>
      <c r="C125" s="244" t="n"/>
      <c r="G125" s="222" t="inlineStr">
        <is>
          <t>Direct Staff Numbers Per Ship</t>
        </is>
      </c>
    </row>
    <row r="126" ht="12" customHeight="1" s="227">
      <c r="A126" s="244" t="n"/>
      <c r="B126" s="244" t="n"/>
      <c r="C126" s="244" t="n"/>
    </row>
    <row r="127" ht="12" customHeight="1" s="227">
      <c r="A127" s="244" t="n"/>
      <c r="B127" s="244" t="n"/>
      <c r="C127" s="244" t="n"/>
      <c r="H127" s="4">
        <f>H87</f>
        <v/>
      </c>
      <c r="I127" s="27" t="inlineStr">
        <is>
          <t>no</t>
        </is>
      </c>
      <c r="M127" s="258" t="n">
        <v>1</v>
      </c>
      <c r="N127" s="258" t="n">
        <v>1</v>
      </c>
      <c r="O127" s="258" t="n">
        <v>1</v>
      </c>
      <c r="P127" s="258" t="n">
        <v>1</v>
      </c>
      <c r="Q127" s="258" t="n">
        <v>1</v>
      </c>
    </row>
    <row r="128" ht="12" customHeight="1" s="227">
      <c r="A128" s="244" t="n"/>
      <c r="B128" s="244" t="n"/>
      <c r="C128" s="244" t="n"/>
      <c r="H128" s="4">
        <f>H88</f>
        <v/>
      </c>
      <c r="I128" s="27" t="inlineStr">
        <is>
          <t>no</t>
        </is>
      </c>
      <c r="M128" s="258" t="n">
        <v>2</v>
      </c>
      <c r="N128" s="258" t="n">
        <v>2</v>
      </c>
      <c r="O128" s="258" t="n">
        <v>2</v>
      </c>
      <c r="P128" s="258" t="n">
        <v>2</v>
      </c>
      <c r="Q128" s="258" t="n">
        <v>2</v>
      </c>
    </row>
    <row r="129" ht="12" customHeight="1" s="227">
      <c r="A129" s="244" t="n"/>
      <c r="B129" s="244" t="n"/>
      <c r="C129" s="244" t="n"/>
      <c r="H129" s="4">
        <f>H89</f>
        <v/>
      </c>
      <c r="I129" s="27" t="inlineStr">
        <is>
          <t>no</t>
        </is>
      </c>
      <c r="M129" s="258" t="n">
        <v>2</v>
      </c>
      <c r="N129" s="258" t="n">
        <v>2</v>
      </c>
      <c r="O129" s="258" t="n">
        <v>2</v>
      </c>
      <c r="P129" s="258" t="n">
        <v>2</v>
      </c>
      <c r="Q129" s="258" t="n">
        <v>2</v>
      </c>
    </row>
    <row r="130" ht="12" customHeight="1" s="227">
      <c r="A130" s="244" t="n"/>
      <c r="B130" s="244" t="n"/>
      <c r="C130" s="244" t="n"/>
      <c r="H130" s="4">
        <f>H90</f>
        <v/>
      </c>
      <c r="I130" s="27" t="inlineStr">
        <is>
          <t>no</t>
        </is>
      </c>
      <c r="M130" s="258" t="n">
        <v>5</v>
      </c>
      <c r="N130" s="258" t="n">
        <v>5</v>
      </c>
      <c r="O130" s="258" t="n">
        <v>5</v>
      </c>
      <c r="P130" s="258" t="n">
        <v>5</v>
      </c>
      <c r="Q130" s="258" t="n">
        <v>5</v>
      </c>
    </row>
    <row r="131" ht="12" customHeight="1" s="227">
      <c r="A131" s="244" t="n"/>
      <c r="B131" s="244" t="n"/>
      <c r="C131" s="244" t="n"/>
      <c r="H131" s="4">
        <f>H91</f>
        <v/>
      </c>
      <c r="I131" s="27" t="inlineStr">
        <is>
          <t>no</t>
        </is>
      </c>
      <c r="M131" s="258" t="n">
        <v>3</v>
      </c>
      <c r="N131" s="258" t="n">
        <v>3</v>
      </c>
      <c r="O131" s="258" t="n">
        <v>3</v>
      </c>
      <c r="P131" s="258" t="n">
        <v>3</v>
      </c>
      <c r="Q131" s="258" t="n">
        <v>3</v>
      </c>
    </row>
    <row r="132" ht="12" customHeight="1" s="227">
      <c r="A132" s="244" t="n"/>
      <c r="B132" s="244" t="n"/>
      <c r="C132" s="244" t="n"/>
      <c r="H132" s="4">
        <f>H92</f>
        <v/>
      </c>
      <c r="I132" s="27" t="inlineStr">
        <is>
          <t>no</t>
        </is>
      </c>
      <c r="M132" s="258" t="n">
        <v>2</v>
      </c>
      <c r="N132" s="258" t="n">
        <v>2</v>
      </c>
      <c r="O132" s="258" t="n">
        <v>2</v>
      </c>
      <c r="P132" s="258" t="n">
        <v>2</v>
      </c>
      <c r="Q132" s="258" t="n">
        <v>2</v>
      </c>
    </row>
    <row r="133" ht="12" customHeight="1" s="227">
      <c r="A133" s="244" t="n"/>
      <c r="B133" s="244" t="n"/>
      <c r="C133" s="244" t="n"/>
      <c r="H133" s="4">
        <f>H93</f>
        <v/>
      </c>
      <c r="I133" s="27" t="inlineStr">
        <is>
          <t>no</t>
        </is>
      </c>
      <c r="M133" s="258" t="n"/>
      <c r="N133" s="258" t="n"/>
      <c r="O133" s="258" t="n"/>
      <c r="P133" s="258" t="n"/>
      <c r="Q133" s="258" t="n"/>
    </row>
    <row r="134" ht="12" customHeight="1" s="227">
      <c r="A134" s="244" t="n"/>
      <c r="B134" s="244" t="n"/>
      <c r="C134" s="244" t="n"/>
      <c r="H134" s="4">
        <f>H94</f>
        <v/>
      </c>
      <c r="I134" s="27" t="inlineStr">
        <is>
          <t>no</t>
        </is>
      </c>
      <c r="M134" s="258" t="n"/>
      <c r="N134" s="258" t="n"/>
      <c r="O134" s="258" t="n"/>
      <c r="P134" s="258" t="n"/>
      <c r="Q134" s="258" t="n"/>
    </row>
    <row r="135" ht="12" customHeight="1" s="227">
      <c r="A135" s="244" t="n"/>
      <c r="B135" s="244" t="n"/>
      <c r="C135" s="244" t="n"/>
    </row>
    <row r="136" ht="12" customHeight="1" s="227">
      <c r="A136" s="244" t="n"/>
      <c r="B136" s="244" t="n"/>
      <c r="C136" s="244" t="n"/>
    </row>
    <row r="137" ht="13.5" customFormat="1" customHeight="1" s="223" thickBot="1">
      <c r="E137" s="223">
        <f>Heading2</f>
        <v/>
      </c>
      <c r="F137" s="223">
        <f>i_Setup!U34</f>
        <v/>
      </c>
    </row>
    <row r="138" ht="12" customHeight="1" s="227">
      <c r="A138" s="244" t="n"/>
      <c r="B138" s="244" t="n"/>
      <c r="C138" s="244" t="n"/>
    </row>
    <row r="139" ht="12" customHeight="1" s="227">
      <c r="A139" s="244" t="n"/>
      <c r="B139" s="244" t="n"/>
      <c r="C139" s="244" t="n"/>
      <c r="G139" s="222" t="inlineStr">
        <is>
          <t>Number of Ships</t>
        </is>
      </c>
    </row>
    <row r="140" ht="12" customHeight="1" s="227">
      <c r="A140" s="244" t="n"/>
      <c r="B140" s="244" t="n"/>
      <c r="C140" s="244" t="n"/>
    </row>
    <row r="141" ht="12" customHeight="1" s="227">
      <c r="A141" s="244" t="n"/>
      <c r="B141" s="244" t="n"/>
      <c r="C141" s="244" t="n"/>
      <c r="H141" s="4">
        <f>F137</f>
        <v/>
      </c>
      <c r="I141" s="27" t="inlineStr">
        <is>
          <t>no.</t>
        </is>
      </c>
      <c r="M141" s="245">
        <f>SUMIF($T$2:$CA$2,M$2,$T141:$CA141)</f>
        <v/>
      </c>
      <c r="N141" s="245">
        <f>SUMIF($T$2:$CA$2,N$2,$T141:$CA141)</f>
        <v/>
      </c>
      <c r="O141" s="245">
        <f>SUMIF($T$2:$CA$2,O$2,$T141:$CA141)</f>
        <v/>
      </c>
      <c r="P141" s="245">
        <f>SUMIF($T$2:$CA$2,P$2,$T141:$CA141)</f>
        <v/>
      </c>
      <c r="Q141" s="245">
        <f>SUMIF($T$2:$CA$2,Q$2,$T141:$CA141)</f>
        <v/>
      </c>
      <c r="T141" s="257">
        <f>IF(T$7="Actual","",_xlfn.XLOOKUP($F137,c_Calculations!$H$15:$H$24,c_Calculations!T$15:T$24))</f>
        <v/>
      </c>
      <c r="U141" s="257">
        <f>IF(U$7="Actual","",_xlfn.XLOOKUP($F137,c_Calculations!$H$15:$H$24,c_Calculations!U$15:U$24))</f>
        <v/>
      </c>
      <c r="V141" s="257">
        <f>IF(V$7="Actual","",_xlfn.XLOOKUP($F137,c_Calculations!$H$15:$H$24,c_Calculations!V$15:V$24))</f>
        <v/>
      </c>
      <c r="W141" s="257">
        <f>IF(W$7="Actual","",_xlfn.XLOOKUP($F137,c_Calculations!$H$15:$H$24,c_Calculations!W$15:W$24))</f>
        <v/>
      </c>
      <c r="X141" s="257">
        <f>IF(X$7="Actual","",_xlfn.XLOOKUP($F137,c_Calculations!$H$15:$H$24,c_Calculations!X$15:X$24))</f>
        <v/>
      </c>
      <c r="Y141" s="257">
        <f>IF(Y$7="Actual","",_xlfn.XLOOKUP($F137,c_Calculations!$H$15:$H$24,c_Calculations!Y$15:Y$24))</f>
        <v/>
      </c>
      <c r="Z141" s="257">
        <f>IF(Z$7="Actual","",_xlfn.XLOOKUP($F137,c_Calculations!$H$15:$H$24,c_Calculations!Z$15:Z$24))</f>
        <v/>
      </c>
      <c r="AA141" s="257">
        <f>IF(AA$7="Actual","",_xlfn.XLOOKUP($F137,c_Calculations!$H$15:$H$24,c_Calculations!AA$15:AA$24))</f>
        <v/>
      </c>
      <c r="AB141" s="257">
        <f>IF(AB$7="Actual","",_xlfn.XLOOKUP($F137,c_Calculations!$H$15:$H$24,c_Calculations!AB$15:AB$24))</f>
        <v/>
      </c>
      <c r="AC141" s="257">
        <f>IF(AC$7="Actual","",_xlfn.XLOOKUP($F137,c_Calculations!$H$15:$H$24,c_Calculations!AC$15:AC$24))</f>
        <v/>
      </c>
      <c r="AD141" s="257">
        <f>IF(AD$7="Actual","",_xlfn.XLOOKUP($F137,c_Calculations!$H$15:$H$24,c_Calculations!AD$15:AD$24))</f>
        <v/>
      </c>
      <c r="AE141" s="257">
        <f>IF(AE$7="Actual","",_xlfn.XLOOKUP($F137,c_Calculations!$H$15:$H$24,c_Calculations!AE$15:AE$24))</f>
        <v/>
      </c>
      <c r="AF141" s="257">
        <f>IF(AF$7="Actual","",_xlfn.XLOOKUP($F137,c_Calculations!$H$15:$H$24,c_Calculations!AF$15:AF$24))</f>
        <v/>
      </c>
      <c r="AG141" s="257">
        <f>IF(AG$7="Actual","",_xlfn.XLOOKUP($F137,c_Calculations!$H$15:$H$24,c_Calculations!AG$15:AG$24))</f>
        <v/>
      </c>
      <c r="AH141" s="257">
        <f>IF(AH$7="Actual","",_xlfn.XLOOKUP($F137,c_Calculations!$H$15:$H$24,c_Calculations!AH$15:AH$24))</f>
        <v/>
      </c>
      <c r="AI141" s="257">
        <f>IF(AI$7="Actual","",_xlfn.XLOOKUP($F137,c_Calculations!$H$15:$H$24,c_Calculations!AI$15:AI$24))</f>
        <v/>
      </c>
      <c r="AJ141" s="257">
        <f>IF(AJ$7="Actual","",_xlfn.XLOOKUP($F137,c_Calculations!$H$15:$H$24,c_Calculations!AJ$15:AJ$24))</f>
        <v/>
      </c>
      <c r="AK141" s="257">
        <f>IF(AK$7="Actual","",_xlfn.XLOOKUP($F137,c_Calculations!$H$15:$H$24,c_Calculations!AK$15:AK$24))</f>
        <v/>
      </c>
      <c r="AL141" s="257">
        <f>IF(AL$7="Actual","",_xlfn.XLOOKUP($F137,c_Calculations!$H$15:$H$24,c_Calculations!AL$15:AL$24))</f>
        <v/>
      </c>
      <c r="AM141" s="257">
        <f>IF(AM$7="Actual","",_xlfn.XLOOKUP($F137,c_Calculations!$H$15:$H$24,c_Calculations!AM$15:AM$24))</f>
        <v/>
      </c>
      <c r="AN141" s="257">
        <f>IF(AN$7="Actual","",_xlfn.XLOOKUP($F137,c_Calculations!$H$15:$H$24,c_Calculations!AN$15:AN$24))</f>
        <v/>
      </c>
      <c r="AO141" s="257">
        <f>IF(AO$7="Actual","",_xlfn.XLOOKUP($F137,c_Calculations!$H$15:$H$24,c_Calculations!AO$15:AO$24))</f>
        <v/>
      </c>
      <c r="AP141" s="257">
        <f>IF(AP$7="Actual","",_xlfn.XLOOKUP($F137,c_Calculations!$H$15:$H$24,c_Calculations!AP$15:AP$24))</f>
        <v/>
      </c>
      <c r="AQ141" s="257">
        <f>IF(AQ$7="Actual","",_xlfn.XLOOKUP($F137,c_Calculations!$H$15:$H$24,c_Calculations!AQ$15:AQ$24))</f>
        <v/>
      </c>
      <c r="AR141" s="257">
        <f>IF(AR$7="Actual","",_xlfn.XLOOKUP($F137,c_Calculations!$H$15:$H$24,c_Calculations!AR$15:AR$24))</f>
        <v/>
      </c>
      <c r="AS141" s="257">
        <f>IF(AS$7="Actual","",_xlfn.XLOOKUP($F137,c_Calculations!$H$15:$H$24,c_Calculations!AS$15:AS$24))</f>
        <v/>
      </c>
      <c r="AT141" s="257">
        <f>IF(AT$7="Actual","",_xlfn.XLOOKUP($F137,c_Calculations!$H$15:$H$24,c_Calculations!AT$15:AT$24))</f>
        <v/>
      </c>
      <c r="AU141" s="257">
        <f>IF(AU$7="Actual","",_xlfn.XLOOKUP($F137,c_Calculations!$H$15:$H$24,c_Calculations!AU$15:AU$24))</f>
        <v/>
      </c>
      <c r="AV141" s="257">
        <f>IF(AV$7="Actual","",_xlfn.XLOOKUP($F137,c_Calculations!$H$15:$H$24,c_Calculations!AV$15:AV$24))</f>
        <v/>
      </c>
      <c r="AW141" s="257">
        <f>IF(AW$7="Actual","",_xlfn.XLOOKUP($F137,c_Calculations!$H$15:$H$24,c_Calculations!AW$15:AW$24))</f>
        <v/>
      </c>
      <c r="AX141" s="257">
        <f>IF(AX$7="Actual","",_xlfn.XLOOKUP($F137,c_Calculations!$H$15:$H$24,c_Calculations!AX$15:AX$24))</f>
        <v/>
      </c>
      <c r="AY141" s="257">
        <f>IF(AY$7="Actual","",_xlfn.XLOOKUP($F137,c_Calculations!$H$15:$H$24,c_Calculations!AY$15:AY$24))</f>
        <v/>
      </c>
      <c r="AZ141" s="257">
        <f>IF(AZ$7="Actual","",_xlfn.XLOOKUP($F137,c_Calculations!$H$15:$H$24,c_Calculations!AZ$15:AZ$24))</f>
        <v/>
      </c>
      <c r="BA141" s="257">
        <f>IF(BA$7="Actual","",_xlfn.XLOOKUP($F137,c_Calculations!$H$15:$H$24,c_Calculations!BA$15:BA$24))</f>
        <v/>
      </c>
      <c r="BB141" s="257">
        <f>IF(BB$7="Actual","",_xlfn.XLOOKUP($F137,c_Calculations!$H$15:$H$24,c_Calculations!BB$15:BB$24))</f>
        <v/>
      </c>
      <c r="BC141" s="257">
        <f>IF(BC$7="Actual","",_xlfn.XLOOKUP($F137,c_Calculations!$H$15:$H$24,c_Calculations!BC$15:BC$24))</f>
        <v/>
      </c>
      <c r="BD141" s="257">
        <f>IF(BD$7="Actual","",_xlfn.XLOOKUP($F137,c_Calculations!$H$15:$H$24,c_Calculations!BD$15:BD$24))</f>
        <v/>
      </c>
      <c r="BE141" s="257">
        <f>IF(BE$7="Actual","",_xlfn.XLOOKUP($F137,c_Calculations!$H$15:$H$24,c_Calculations!BE$15:BE$24))</f>
        <v/>
      </c>
      <c r="BF141" s="257">
        <f>IF(BF$7="Actual","",_xlfn.XLOOKUP($F137,c_Calculations!$H$15:$H$24,c_Calculations!BF$15:BF$24))</f>
        <v/>
      </c>
      <c r="BG141" s="257">
        <f>IF(BG$7="Actual","",_xlfn.XLOOKUP($F137,c_Calculations!$H$15:$H$24,c_Calculations!BG$15:BG$24))</f>
        <v/>
      </c>
      <c r="BH141" s="257">
        <f>IF(BH$7="Actual","",_xlfn.XLOOKUP($F137,c_Calculations!$H$15:$H$24,c_Calculations!BH$15:BH$24))</f>
        <v/>
      </c>
      <c r="BI141" s="257">
        <f>IF(BI$7="Actual","",_xlfn.XLOOKUP($F137,c_Calculations!$H$15:$H$24,c_Calculations!BI$15:BI$24))</f>
        <v/>
      </c>
      <c r="BJ141" s="257">
        <f>IF(BJ$7="Actual","",_xlfn.XLOOKUP($F137,c_Calculations!$H$15:$H$24,c_Calculations!BJ$15:BJ$24))</f>
        <v/>
      </c>
      <c r="BK141" s="257">
        <f>IF(BK$7="Actual","",_xlfn.XLOOKUP($F137,c_Calculations!$H$15:$H$24,c_Calculations!BK$15:BK$24))</f>
        <v/>
      </c>
      <c r="BL141" s="257">
        <f>IF(BL$7="Actual","",_xlfn.XLOOKUP($F137,c_Calculations!$H$15:$H$24,c_Calculations!BL$15:BL$24))</f>
        <v/>
      </c>
      <c r="BM141" s="257">
        <f>IF(BM$7="Actual","",_xlfn.XLOOKUP($F137,c_Calculations!$H$15:$H$24,c_Calculations!BM$15:BM$24))</f>
        <v/>
      </c>
      <c r="BN141" s="257">
        <f>IF(BN$7="Actual","",_xlfn.XLOOKUP($F137,c_Calculations!$H$15:$H$24,c_Calculations!BN$15:BN$24))</f>
        <v/>
      </c>
      <c r="BO141" s="257">
        <f>IF(BO$7="Actual","",_xlfn.XLOOKUP($F137,c_Calculations!$H$15:$H$24,c_Calculations!BO$15:BO$24))</f>
        <v/>
      </c>
      <c r="BP141" s="257">
        <f>IF(BP$7="Actual","",_xlfn.XLOOKUP($F137,c_Calculations!$H$15:$H$24,c_Calculations!BP$15:BP$24))</f>
        <v/>
      </c>
      <c r="BQ141" s="257">
        <f>IF(BQ$7="Actual","",_xlfn.XLOOKUP($F137,c_Calculations!$H$15:$H$24,c_Calculations!BQ$15:BQ$24))</f>
        <v/>
      </c>
      <c r="BR141" s="257">
        <f>IF(BR$7="Actual","",_xlfn.XLOOKUP($F137,c_Calculations!$H$15:$H$24,c_Calculations!BR$15:BR$24))</f>
        <v/>
      </c>
      <c r="BS141" s="257">
        <f>IF(BS$7="Actual","",_xlfn.XLOOKUP($F137,c_Calculations!$H$15:$H$24,c_Calculations!BS$15:BS$24))</f>
        <v/>
      </c>
      <c r="BT141" s="257">
        <f>IF(BT$7="Actual","",_xlfn.XLOOKUP($F137,c_Calculations!$H$15:$H$24,c_Calculations!BT$15:BT$24))</f>
        <v/>
      </c>
      <c r="BU141" s="257">
        <f>IF(BU$7="Actual","",_xlfn.XLOOKUP($F137,c_Calculations!$H$15:$H$24,c_Calculations!BU$15:BU$24))</f>
        <v/>
      </c>
      <c r="BV141" s="257">
        <f>IF(BV$7="Actual","",_xlfn.XLOOKUP($F137,c_Calculations!$H$15:$H$24,c_Calculations!BV$15:BV$24))</f>
        <v/>
      </c>
      <c r="BW141" s="257">
        <f>IF(BW$7="Actual","",_xlfn.XLOOKUP($F137,c_Calculations!$H$15:$H$24,c_Calculations!BW$15:BW$24))</f>
        <v/>
      </c>
      <c r="BX141" s="257">
        <f>IF(BX$7="Actual","",_xlfn.XLOOKUP($F137,c_Calculations!$H$15:$H$24,c_Calculations!BX$15:BX$24))</f>
        <v/>
      </c>
      <c r="BY141" s="257">
        <f>IF(BY$7="Actual","",_xlfn.XLOOKUP($F137,c_Calculations!$H$15:$H$24,c_Calculations!BY$15:BY$24))</f>
        <v/>
      </c>
      <c r="BZ141" s="257">
        <f>IF(BZ$7="Actual","",_xlfn.XLOOKUP($F137,c_Calculations!$H$15:$H$24,c_Calculations!BZ$15:BZ$24))</f>
        <v/>
      </c>
      <c r="CA141" s="257">
        <f>IF(CA$7="Actual","",_xlfn.XLOOKUP($F137,c_Calculations!$H$15:$H$24,c_Calculations!CA$15:CA$24))</f>
        <v/>
      </c>
    </row>
    <row r="142" ht="12" customHeight="1" s="227">
      <c r="A142" s="244" t="n"/>
      <c r="B142" s="244" t="n"/>
      <c r="C142" s="244" t="n"/>
    </row>
    <row r="143" ht="12" customHeight="1" s="227">
      <c r="A143" s="244" t="n"/>
      <c r="B143" s="244" t="n"/>
      <c r="C143" s="244" t="n"/>
    </row>
    <row r="144" ht="12" customHeight="1" s="227">
      <c r="A144" s="244" t="n"/>
      <c r="B144" s="244" t="n"/>
      <c r="C144" s="244" t="n"/>
      <c r="G144" s="222" t="inlineStr">
        <is>
          <t>Direct CAPEX (Excl. Sales Tax)</t>
        </is>
      </c>
    </row>
    <row r="145" ht="12" customHeight="1" s="227">
      <c r="A145" s="244" t="n"/>
      <c r="B145" s="244" t="n"/>
      <c r="C145" s="244" t="n"/>
    </row>
    <row r="146" ht="12" customHeight="1" s="227">
      <c r="A146" s="244" t="n"/>
      <c r="B146" s="244" t="n"/>
      <c r="C146" s="244" t="n"/>
      <c r="H146" s="4">
        <f>H106</f>
        <v/>
      </c>
      <c r="I146" s="27">
        <f>i_Setup!$M$16</f>
        <v/>
      </c>
      <c r="M146" s="245">
        <f>SUMIF($T$4:$CA$4,M$4,$T146:$CA146)</f>
        <v/>
      </c>
      <c r="N146" s="245">
        <f>SUMIF($T$4:$CA$4,N$4,$T146:$CA146)</f>
        <v/>
      </c>
      <c r="O146" s="245">
        <f>SUMIF($T$4:$CA$4,O$4,$T146:$CA146)</f>
        <v/>
      </c>
      <c r="P146" s="245">
        <f>SUMIF($T$4:$CA$4,P$4,$T146:$CA146)</f>
        <v/>
      </c>
      <c r="Q146" s="245">
        <f>SUMIF($T$4:$CA$4,Q$4,$T146:$CA146)</f>
        <v/>
      </c>
      <c r="T146" s="256" t="n"/>
      <c r="U146" s="256" t="n"/>
      <c r="V146" s="256" t="n"/>
      <c r="W146" s="256" t="n"/>
      <c r="X146" s="256" t="n"/>
      <c r="Y146" s="256" t="n"/>
      <c r="Z146" s="256" t="n"/>
      <c r="AA146" s="256" t="n"/>
      <c r="AB146" s="256" t="n"/>
      <c r="AC146" s="256" t="n"/>
      <c r="AD146" s="256" t="n"/>
      <c r="AE146" s="256" t="n"/>
      <c r="AF146" s="256" t="n">
        <v>100000</v>
      </c>
      <c r="AG146" s="256" t="n"/>
      <c r="AH146" s="256" t="n"/>
      <c r="AI146" s="256" t="n"/>
      <c r="AJ146" s="256" t="n"/>
      <c r="AK146" s="256" t="n"/>
      <c r="AL146" s="256" t="n"/>
      <c r="AM146" s="256" t="n"/>
      <c r="AN146" s="256" t="n"/>
      <c r="AO146" s="256" t="n"/>
      <c r="AP146" s="256" t="n"/>
      <c r="AQ146" s="256" t="n"/>
      <c r="AR146" s="256" t="n">
        <v>100000</v>
      </c>
      <c r="AS146" s="256" t="n"/>
      <c r="AT146" s="256" t="n"/>
      <c r="AU146" s="256" t="n"/>
      <c r="AV146" s="256" t="n"/>
      <c r="AW146" s="256" t="n"/>
      <c r="AX146" s="256" t="n"/>
      <c r="AY146" s="256" t="n"/>
      <c r="AZ146" s="256" t="n"/>
      <c r="BA146" s="256" t="n"/>
      <c r="BB146" s="256" t="n"/>
      <c r="BC146" s="256" t="n"/>
      <c r="BD146" s="256" t="n"/>
      <c r="BE146" s="256" t="n"/>
      <c r="BF146" s="256" t="n"/>
      <c r="BG146" s="256" t="n"/>
      <c r="BH146" s="256" t="n"/>
      <c r="BI146" s="256" t="n"/>
      <c r="BJ146" s="256" t="n"/>
      <c r="BK146" s="256" t="n"/>
      <c r="BL146" s="256" t="n"/>
      <c r="BM146" s="256" t="n"/>
      <c r="BN146" s="256" t="n"/>
      <c r="BO146" s="256" t="n"/>
      <c r="BP146" s="256" t="n"/>
      <c r="BQ146" s="256" t="n"/>
      <c r="BR146" s="256" t="n"/>
      <c r="BS146" s="256" t="n"/>
      <c r="BT146" s="256" t="n"/>
      <c r="BU146" s="256" t="n"/>
      <c r="BV146" s="256" t="n"/>
      <c r="BW146" s="256" t="n"/>
      <c r="BX146" s="256" t="n"/>
      <c r="BY146" s="256" t="n"/>
      <c r="BZ146" s="256" t="n"/>
      <c r="CA146" s="256" t="n"/>
    </row>
    <row r="147" ht="12" customHeight="1" s="227">
      <c r="A147" s="244" t="n"/>
      <c r="B147" s="244" t="n"/>
      <c r="C147" s="244" t="n"/>
      <c r="H147" s="4">
        <f>H107</f>
        <v/>
      </c>
      <c r="I147" s="27">
        <f>i_Setup!$M$16</f>
        <v/>
      </c>
      <c r="M147" s="245">
        <f>SUMIF($T$4:$CA$4,M$4,$T147:$CA147)</f>
        <v/>
      </c>
      <c r="N147" s="245">
        <f>SUMIF($T$4:$CA$4,N$4,$T147:$CA147)</f>
        <v/>
      </c>
      <c r="O147" s="245">
        <f>SUMIF($T$4:$CA$4,O$4,$T147:$CA147)</f>
        <v/>
      </c>
      <c r="P147" s="245">
        <f>SUMIF($T$4:$CA$4,P$4,$T147:$CA147)</f>
        <v/>
      </c>
      <c r="Q147" s="245">
        <f>SUMIF($T$4:$CA$4,Q$4,$T147:$CA147)</f>
        <v/>
      </c>
      <c r="T147" s="256" t="n"/>
      <c r="U147" s="256" t="n"/>
      <c r="V147" s="256" t="n"/>
      <c r="W147" s="256" t="n"/>
      <c r="X147" s="256" t="n"/>
      <c r="Y147" s="256" t="n"/>
      <c r="Z147" s="256" t="n"/>
      <c r="AA147" s="256" t="n"/>
      <c r="AB147" s="256" t="n"/>
      <c r="AC147" s="256" t="n"/>
      <c r="AD147" s="256" t="n"/>
      <c r="AE147" s="256" t="n"/>
      <c r="AF147" s="256" t="n">
        <v>50000</v>
      </c>
      <c r="AG147" s="256" t="n"/>
      <c r="AH147" s="256" t="n"/>
      <c r="AI147" s="256" t="n"/>
      <c r="AJ147" s="256" t="n"/>
      <c r="AK147" s="256" t="n"/>
      <c r="AL147" s="256" t="n"/>
      <c r="AM147" s="256" t="n"/>
      <c r="AN147" s="256" t="n"/>
      <c r="AO147" s="256" t="n"/>
      <c r="AP147" s="256" t="n"/>
      <c r="AQ147" s="256" t="n"/>
      <c r="AR147" s="256" t="n">
        <v>50000</v>
      </c>
      <c r="AS147" s="256" t="n"/>
      <c r="AT147" s="256" t="n"/>
      <c r="AU147" s="256" t="n"/>
      <c r="AV147" s="256" t="n"/>
      <c r="AW147" s="256" t="n"/>
      <c r="AX147" s="256" t="n"/>
      <c r="AY147" s="256" t="n"/>
      <c r="AZ147" s="256" t="n"/>
      <c r="BA147" s="256" t="n"/>
      <c r="BB147" s="256" t="n"/>
      <c r="BC147" s="256" t="n"/>
      <c r="BD147" s="256" t="n"/>
      <c r="BE147" s="256" t="n"/>
      <c r="BF147" s="256" t="n"/>
      <c r="BG147" s="256" t="n"/>
      <c r="BH147" s="256" t="n"/>
      <c r="BI147" s="256" t="n"/>
      <c r="BJ147" s="256" t="n"/>
      <c r="BK147" s="256" t="n"/>
      <c r="BL147" s="256" t="n"/>
      <c r="BM147" s="256" t="n"/>
      <c r="BN147" s="256" t="n"/>
      <c r="BO147" s="256" t="n"/>
      <c r="BP147" s="256" t="n"/>
      <c r="BQ147" s="256" t="n"/>
      <c r="BR147" s="256" t="n"/>
      <c r="BS147" s="256" t="n"/>
      <c r="BT147" s="256" t="n"/>
      <c r="BU147" s="256" t="n"/>
      <c r="BV147" s="256" t="n"/>
      <c r="BW147" s="256" t="n"/>
      <c r="BX147" s="256" t="n"/>
      <c r="BY147" s="256" t="n"/>
      <c r="BZ147" s="256" t="n"/>
      <c r="CA147" s="256" t="n"/>
    </row>
    <row r="148" ht="12" customHeight="1" s="227">
      <c r="A148" s="244" t="n"/>
      <c r="B148" s="244" t="n"/>
      <c r="C148" s="244" t="n"/>
      <c r="H148" s="4">
        <f>H108</f>
        <v/>
      </c>
      <c r="I148" s="27">
        <f>i_Setup!$M$16</f>
        <v/>
      </c>
      <c r="M148" s="245">
        <f>SUMIF($T$4:$CA$4,M$4,$T148:$CA148)</f>
        <v/>
      </c>
      <c r="N148" s="245">
        <f>SUMIF($T$4:$CA$4,N$4,$T148:$CA148)</f>
        <v/>
      </c>
      <c r="O148" s="245">
        <f>SUMIF($T$4:$CA$4,O$4,$T148:$CA148)</f>
        <v/>
      </c>
      <c r="P148" s="245">
        <f>SUMIF($T$4:$CA$4,P$4,$T148:$CA148)</f>
        <v/>
      </c>
      <c r="Q148" s="245">
        <f>SUMIF($T$4:$CA$4,Q$4,$T148:$CA148)</f>
        <v/>
      </c>
      <c r="T148" s="256" t="n"/>
      <c r="U148" s="256" t="n"/>
      <c r="V148" s="256" t="n"/>
      <c r="W148" s="256" t="n"/>
      <c r="X148" s="256" t="n"/>
      <c r="Y148" s="256" t="n"/>
      <c r="Z148" s="256" t="n"/>
      <c r="AA148" s="256" t="n"/>
      <c r="AB148" s="256" t="n"/>
      <c r="AC148" s="256" t="n"/>
      <c r="AD148" s="256" t="n"/>
      <c r="AE148" s="256" t="n"/>
      <c r="AF148" s="256" t="n">
        <v>25000</v>
      </c>
      <c r="AG148" s="256" t="n"/>
      <c r="AH148" s="256" t="n"/>
      <c r="AI148" s="256" t="n"/>
      <c r="AJ148" s="256" t="n"/>
      <c r="AK148" s="256" t="n"/>
      <c r="AL148" s="256" t="n"/>
      <c r="AM148" s="256" t="n"/>
      <c r="AN148" s="256" t="n"/>
      <c r="AO148" s="256" t="n"/>
      <c r="AP148" s="256" t="n"/>
      <c r="AQ148" s="256" t="n"/>
      <c r="AR148" s="256" t="n">
        <v>25000</v>
      </c>
      <c r="AS148" s="256" t="n"/>
      <c r="AT148" s="256" t="n"/>
      <c r="AU148" s="256" t="n"/>
      <c r="AV148" s="256" t="n"/>
      <c r="AW148" s="256" t="n"/>
      <c r="AX148" s="256" t="n"/>
      <c r="AY148" s="256" t="n"/>
      <c r="AZ148" s="256" t="n"/>
      <c r="BA148" s="256" t="n"/>
      <c r="BB148" s="256" t="n"/>
      <c r="BC148" s="256" t="n"/>
      <c r="BD148" s="256" t="n"/>
      <c r="BE148" s="256" t="n"/>
      <c r="BF148" s="256" t="n"/>
      <c r="BG148" s="256" t="n"/>
      <c r="BH148" s="256" t="n"/>
      <c r="BI148" s="256" t="n"/>
      <c r="BJ148" s="256" t="n"/>
      <c r="BK148" s="256" t="n"/>
      <c r="BL148" s="256" t="n"/>
      <c r="BM148" s="256" t="n"/>
      <c r="BN148" s="256" t="n"/>
      <c r="BO148" s="256" t="n"/>
      <c r="BP148" s="256" t="n"/>
      <c r="BQ148" s="256" t="n"/>
      <c r="BR148" s="256" t="n"/>
      <c r="BS148" s="256" t="n"/>
      <c r="BT148" s="256" t="n"/>
      <c r="BU148" s="256" t="n"/>
      <c r="BV148" s="256" t="n"/>
      <c r="BW148" s="256" t="n"/>
      <c r="BX148" s="256" t="n"/>
      <c r="BY148" s="256" t="n"/>
      <c r="BZ148" s="256" t="n"/>
      <c r="CA148" s="256" t="n"/>
    </row>
    <row r="149" ht="12" customHeight="1" s="227">
      <c r="A149" s="244" t="n"/>
      <c r="B149" s="244" t="n"/>
      <c r="C149" s="244" t="n"/>
      <c r="H149" s="4">
        <f>H109</f>
        <v/>
      </c>
      <c r="I149" s="27">
        <f>i_Setup!$M$16</f>
        <v/>
      </c>
      <c r="M149" s="245">
        <f>SUMIF($T$4:$CA$4,M$4,$T149:$CA149)</f>
        <v/>
      </c>
      <c r="N149" s="245">
        <f>SUMIF($T$4:$CA$4,N$4,$T149:$CA149)</f>
        <v/>
      </c>
      <c r="O149" s="245">
        <f>SUMIF($T$4:$CA$4,O$4,$T149:$CA149)</f>
        <v/>
      </c>
      <c r="P149" s="245">
        <f>SUMIF($T$4:$CA$4,P$4,$T149:$CA149)</f>
        <v/>
      </c>
      <c r="Q149" s="245">
        <f>SUMIF($T$4:$CA$4,Q$4,$T149:$CA149)</f>
        <v/>
      </c>
      <c r="T149" s="256" t="n"/>
      <c r="U149" s="256" t="n"/>
      <c r="V149" s="256" t="n"/>
      <c r="W149" s="256" t="n"/>
      <c r="X149" s="256" t="n"/>
      <c r="Y149" s="256" t="n"/>
      <c r="Z149" s="256" t="n"/>
      <c r="AA149" s="256" t="n"/>
      <c r="AB149" s="256" t="n"/>
      <c r="AC149" s="256" t="n"/>
      <c r="AD149" s="256" t="n"/>
      <c r="AE149" s="256" t="n"/>
      <c r="AF149" s="256" t="n"/>
      <c r="AG149" s="256" t="n"/>
      <c r="AH149" s="256" t="n"/>
      <c r="AI149" s="256" t="n"/>
      <c r="AJ149" s="256" t="n"/>
      <c r="AK149" s="256" t="n"/>
      <c r="AL149" s="256" t="n"/>
      <c r="AM149" s="256" t="n"/>
      <c r="AN149" s="256" t="n"/>
      <c r="AO149" s="256" t="n"/>
      <c r="AP149" s="256" t="n"/>
      <c r="AQ149" s="256" t="n"/>
      <c r="AR149" s="256" t="n"/>
      <c r="AS149" s="256" t="n"/>
      <c r="AT149" s="256" t="n"/>
      <c r="AU149" s="256" t="n"/>
      <c r="AV149" s="256" t="n"/>
      <c r="AW149" s="256" t="n"/>
      <c r="AX149" s="256" t="n"/>
      <c r="AY149" s="256" t="n"/>
      <c r="AZ149" s="256" t="n"/>
      <c r="BA149" s="256" t="n"/>
      <c r="BB149" s="256" t="n"/>
      <c r="BC149" s="256" t="n"/>
      <c r="BD149" s="256" t="n"/>
      <c r="BE149" s="256" t="n"/>
      <c r="BF149" s="256" t="n"/>
      <c r="BG149" s="256" t="n"/>
      <c r="BH149" s="256" t="n"/>
      <c r="BI149" s="256" t="n"/>
      <c r="BJ149" s="256" t="n"/>
      <c r="BK149" s="256" t="n"/>
      <c r="BL149" s="256" t="n"/>
      <c r="BM149" s="256" t="n"/>
      <c r="BN149" s="256" t="n"/>
      <c r="BO149" s="256" t="n"/>
      <c r="BP149" s="256" t="n"/>
      <c r="BQ149" s="256" t="n"/>
      <c r="BR149" s="256" t="n"/>
      <c r="BS149" s="256" t="n"/>
      <c r="BT149" s="256" t="n"/>
      <c r="BU149" s="256" t="n"/>
      <c r="BV149" s="256" t="n"/>
      <c r="BW149" s="256" t="n"/>
      <c r="BX149" s="256" t="n"/>
      <c r="BY149" s="256" t="n"/>
      <c r="BZ149" s="256" t="n"/>
      <c r="CA149" s="256" t="n"/>
    </row>
    <row r="150" ht="12" customHeight="1" s="227">
      <c r="A150" s="244" t="n"/>
      <c r="B150" s="244" t="n"/>
      <c r="C150" s="244" t="n"/>
      <c r="H150" s="4">
        <f>H110</f>
        <v/>
      </c>
      <c r="I150" s="27">
        <f>i_Setup!$M$16</f>
        <v/>
      </c>
      <c r="M150" s="245">
        <f>SUMIF($T$4:$CA$4,M$4,$T150:$CA150)</f>
        <v/>
      </c>
      <c r="N150" s="245">
        <f>SUMIF($T$4:$CA$4,N$4,$T150:$CA150)</f>
        <v/>
      </c>
      <c r="O150" s="245">
        <f>SUMIF($T$4:$CA$4,O$4,$T150:$CA150)</f>
        <v/>
      </c>
      <c r="P150" s="245">
        <f>SUMIF($T$4:$CA$4,P$4,$T150:$CA150)</f>
        <v/>
      </c>
      <c r="Q150" s="245">
        <f>SUMIF($T$4:$CA$4,Q$4,$T150:$CA150)</f>
        <v/>
      </c>
      <c r="T150" s="256" t="n"/>
      <c r="U150" s="256" t="n"/>
      <c r="V150" s="256" t="n"/>
      <c r="W150" s="256" t="n"/>
      <c r="X150" s="256" t="n"/>
      <c r="Y150" s="256" t="n"/>
      <c r="Z150" s="256" t="n"/>
      <c r="AA150" s="256" t="n"/>
      <c r="AB150" s="256" t="n"/>
      <c r="AC150" s="256" t="n"/>
      <c r="AD150" s="256" t="n"/>
      <c r="AE150" s="256" t="n"/>
      <c r="AF150" s="256" t="n"/>
      <c r="AG150" s="256" t="n"/>
      <c r="AH150" s="256" t="n"/>
      <c r="AI150" s="256" t="n"/>
      <c r="AJ150" s="256" t="n"/>
      <c r="AK150" s="256" t="n"/>
      <c r="AL150" s="256" t="n"/>
      <c r="AM150" s="256" t="n"/>
      <c r="AN150" s="256" t="n"/>
      <c r="AO150" s="256" t="n"/>
      <c r="AP150" s="256" t="n"/>
      <c r="AQ150" s="256" t="n"/>
      <c r="AR150" s="256" t="n"/>
      <c r="AS150" s="256" t="n"/>
      <c r="AT150" s="256" t="n"/>
      <c r="AU150" s="256" t="n"/>
      <c r="AV150" s="256" t="n"/>
      <c r="AW150" s="256" t="n"/>
      <c r="AX150" s="256" t="n"/>
      <c r="AY150" s="256" t="n"/>
      <c r="AZ150" s="256" t="n"/>
      <c r="BA150" s="256" t="n"/>
      <c r="BB150" s="256" t="n"/>
      <c r="BC150" s="256" t="n"/>
      <c r="BD150" s="256" t="n"/>
      <c r="BE150" s="256" t="n"/>
      <c r="BF150" s="256" t="n"/>
      <c r="BG150" s="256" t="n"/>
      <c r="BH150" s="256" t="n"/>
      <c r="BI150" s="256" t="n"/>
      <c r="BJ150" s="256" t="n"/>
      <c r="BK150" s="256" t="n"/>
      <c r="BL150" s="256" t="n"/>
      <c r="BM150" s="256" t="n"/>
      <c r="BN150" s="256" t="n"/>
      <c r="BO150" s="256" t="n"/>
      <c r="BP150" s="256" t="n"/>
      <c r="BQ150" s="256" t="n"/>
      <c r="BR150" s="256" t="n"/>
      <c r="BS150" s="256" t="n"/>
      <c r="BT150" s="256" t="n"/>
      <c r="BU150" s="256" t="n"/>
      <c r="BV150" s="256" t="n"/>
      <c r="BW150" s="256" t="n"/>
      <c r="BX150" s="256" t="n"/>
      <c r="BY150" s="256" t="n"/>
      <c r="BZ150" s="256" t="n"/>
      <c r="CA150" s="256" t="n"/>
    </row>
    <row r="151" ht="12" customHeight="1" s="227">
      <c r="A151" s="244" t="n"/>
      <c r="B151" s="244" t="n"/>
      <c r="C151" s="244" t="n"/>
    </row>
    <row r="152" ht="12" customHeight="1" s="227">
      <c r="A152" s="244" t="n"/>
      <c r="B152" s="244" t="n"/>
      <c r="C152" s="244" t="n"/>
    </row>
    <row r="153" ht="12" customHeight="1" s="227">
      <c r="A153" s="244" t="n"/>
      <c r="B153" s="244" t="n"/>
      <c r="C153" s="244" t="n"/>
      <c r="G153" s="222" t="inlineStr">
        <is>
          <t>Direct OPEX Per Ship Per Month (Excl VAT)</t>
        </is>
      </c>
    </row>
    <row r="154" ht="24" customHeight="1" s="227">
      <c r="A154" s="244" t="n"/>
      <c r="B154" s="244" t="n"/>
      <c r="C154" s="244" t="n"/>
      <c r="K154" s="161" t="inlineStr">
        <is>
          <t>Credit Terms Received (Months)</t>
        </is>
      </c>
    </row>
    <row r="155" ht="12" customHeight="1" s="227">
      <c r="A155" s="244" t="n"/>
      <c r="B155" s="244" t="n"/>
      <c r="C155" s="244" t="n"/>
      <c r="H155" s="4">
        <f>H115</f>
        <v/>
      </c>
      <c r="I155" s="27">
        <f>i_Setup!$M$16</f>
        <v/>
      </c>
      <c r="K155" s="259">
        <f>K115</f>
        <v/>
      </c>
      <c r="M155" s="256" t="n">
        <v>-1500</v>
      </c>
      <c r="N155" s="256">
        <f>M155*1.03</f>
        <v/>
      </c>
      <c r="O155" s="256">
        <f>N155*1.03</f>
        <v/>
      </c>
      <c r="P155" s="256">
        <f>O155*1.03</f>
        <v/>
      </c>
      <c r="Q155" s="256">
        <f>P155*1.03</f>
        <v/>
      </c>
    </row>
    <row r="156" ht="12" customHeight="1" s="227">
      <c r="A156" s="244" t="n"/>
      <c r="B156" s="244" t="n"/>
      <c r="C156" s="244" t="n"/>
      <c r="H156" s="4">
        <f>H116</f>
        <v/>
      </c>
      <c r="I156" s="27">
        <f>i_Setup!$M$16</f>
        <v/>
      </c>
      <c r="K156" s="259">
        <f>K116</f>
        <v/>
      </c>
      <c r="M156" s="256" t="n">
        <v>-2000</v>
      </c>
      <c r="N156" s="256">
        <f>M156*1.03</f>
        <v/>
      </c>
      <c r="O156" s="256">
        <f>N156*1.03</f>
        <v/>
      </c>
      <c r="P156" s="256">
        <f>O156*1.03</f>
        <v/>
      </c>
      <c r="Q156" s="256">
        <f>P156*1.03</f>
        <v/>
      </c>
    </row>
    <row r="157" ht="12" customHeight="1" s="227">
      <c r="A157" s="244" t="n"/>
      <c r="B157" s="244" t="n"/>
      <c r="C157" s="244" t="n"/>
      <c r="H157" s="4">
        <f>H117</f>
        <v/>
      </c>
      <c r="I157" s="27">
        <f>i_Setup!$M$16</f>
        <v/>
      </c>
      <c r="K157" s="259">
        <f>K117</f>
        <v/>
      </c>
      <c r="M157" s="256" t="n">
        <v>-500</v>
      </c>
      <c r="N157" s="256">
        <f>M157*1.03</f>
        <v/>
      </c>
      <c r="O157" s="256">
        <f>N157*1.03</f>
        <v/>
      </c>
      <c r="P157" s="256">
        <f>O157*1.03</f>
        <v/>
      </c>
      <c r="Q157" s="256">
        <f>P157*1.03</f>
        <v/>
      </c>
    </row>
    <row r="158" ht="12" customHeight="1" s="227">
      <c r="A158" s="244" t="n"/>
      <c r="B158" s="244" t="n"/>
      <c r="C158" s="244" t="n"/>
      <c r="H158" s="4">
        <f>H118</f>
        <v/>
      </c>
      <c r="I158" s="27">
        <f>i_Setup!$M$16</f>
        <v/>
      </c>
      <c r="K158" s="259">
        <f>K118</f>
        <v/>
      </c>
      <c r="M158" s="256" t="n">
        <v>-1000</v>
      </c>
      <c r="N158" s="256">
        <f>M158*1.03</f>
        <v/>
      </c>
      <c r="O158" s="256">
        <f>N158*1.03</f>
        <v/>
      </c>
      <c r="P158" s="256">
        <f>O158*1.03</f>
        <v/>
      </c>
      <c r="Q158" s="256">
        <f>P158*1.03</f>
        <v/>
      </c>
    </row>
    <row r="159" ht="12" customHeight="1" s="227">
      <c r="A159" s="244" t="n"/>
      <c r="B159" s="244" t="n"/>
      <c r="C159" s="244" t="n"/>
      <c r="H159" s="4">
        <f>H119</f>
        <v/>
      </c>
      <c r="I159" s="27">
        <f>i_Setup!$M$16</f>
        <v/>
      </c>
      <c r="K159" s="259">
        <f>K119</f>
        <v/>
      </c>
      <c r="M159" s="256" t="n">
        <v>-4000</v>
      </c>
      <c r="N159" s="256">
        <f>M159*1.03</f>
        <v/>
      </c>
      <c r="O159" s="256">
        <f>N159*1.03</f>
        <v/>
      </c>
      <c r="P159" s="256">
        <f>O159*1.03</f>
        <v/>
      </c>
      <c r="Q159" s="256">
        <f>P159*1.03</f>
        <v/>
      </c>
    </row>
    <row r="160" ht="12" customHeight="1" s="227">
      <c r="A160" s="244" t="n"/>
      <c r="B160" s="244" t="n"/>
      <c r="C160" s="244" t="n"/>
      <c r="H160" s="4">
        <f>H120</f>
        <v/>
      </c>
      <c r="I160" s="27">
        <f>i_Setup!$M$16</f>
        <v/>
      </c>
      <c r="K160" s="259">
        <f>K120</f>
        <v/>
      </c>
      <c r="M160" s="256" t="n"/>
      <c r="N160" s="256" t="n"/>
      <c r="O160" s="256" t="n"/>
      <c r="P160" s="256" t="n"/>
      <c r="Q160" s="256" t="n"/>
    </row>
    <row r="161" ht="12" customHeight="1" s="227">
      <c r="A161" s="244" t="n"/>
      <c r="B161" s="244" t="n"/>
      <c r="C161" s="244" t="n"/>
      <c r="H161" s="4">
        <f>H121</f>
        <v/>
      </c>
      <c r="I161" s="27">
        <f>i_Setup!$M$16</f>
        <v/>
      </c>
      <c r="K161" s="259">
        <f>K121</f>
        <v/>
      </c>
      <c r="M161" s="256" t="n"/>
      <c r="N161" s="256" t="n"/>
      <c r="O161" s="256" t="n"/>
      <c r="P161" s="256" t="n"/>
      <c r="Q161" s="256" t="n"/>
    </row>
    <row r="162" ht="12" customHeight="1" s="227">
      <c r="A162" s="244" t="n"/>
      <c r="B162" s="244" t="n"/>
      <c r="C162" s="244" t="n"/>
      <c r="H162" s="4">
        <f>H122</f>
        <v/>
      </c>
      <c r="I162" s="27">
        <f>i_Setup!$M$16</f>
        <v/>
      </c>
      <c r="K162" s="259">
        <f>K122</f>
        <v/>
      </c>
      <c r="M162" s="256" t="n"/>
      <c r="N162" s="256" t="n"/>
      <c r="O162" s="256" t="n"/>
      <c r="P162" s="256" t="n"/>
      <c r="Q162" s="256" t="n"/>
    </row>
    <row r="163" ht="12" customHeight="1" s="227">
      <c r="A163" s="244" t="n"/>
      <c r="B163" s="244" t="n"/>
      <c r="C163" s="244" t="n"/>
    </row>
    <row r="164" ht="12" customHeight="1" s="227">
      <c r="A164" s="244" t="n"/>
      <c r="B164" s="244" t="n"/>
      <c r="C164" s="244" t="n"/>
    </row>
    <row r="165" ht="12" customHeight="1" s="227">
      <c r="A165" s="244" t="n"/>
      <c r="B165" s="244" t="n"/>
      <c r="C165" s="244" t="n"/>
      <c r="G165" s="222" t="inlineStr">
        <is>
          <t>Direct Staff Numbers Per Ship</t>
        </is>
      </c>
    </row>
    <row r="166" ht="12" customHeight="1" s="227">
      <c r="A166" s="244" t="n"/>
      <c r="B166" s="244" t="n"/>
      <c r="C166" s="244" t="n"/>
    </row>
    <row r="167" ht="12" customHeight="1" s="227">
      <c r="A167" s="244" t="n"/>
      <c r="B167" s="244" t="n"/>
      <c r="C167" s="244" t="n"/>
      <c r="H167" s="4">
        <f>H127</f>
        <v/>
      </c>
      <c r="I167" s="27" t="inlineStr">
        <is>
          <t>no</t>
        </is>
      </c>
      <c r="M167" s="258" t="n">
        <v>1</v>
      </c>
      <c r="N167" s="258" t="n">
        <v>1</v>
      </c>
      <c r="O167" s="258" t="n">
        <v>1</v>
      </c>
      <c r="P167" s="258" t="n">
        <v>1</v>
      </c>
      <c r="Q167" s="258" t="n">
        <v>1</v>
      </c>
    </row>
    <row r="168" ht="12" customHeight="1" s="227">
      <c r="A168" s="244" t="n"/>
      <c r="B168" s="244" t="n"/>
      <c r="C168" s="244" t="n"/>
      <c r="H168" s="4">
        <f>H128</f>
        <v/>
      </c>
      <c r="I168" s="27" t="inlineStr">
        <is>
          <t>no</t>
        </is>
      </c>
      <c r="M168" s="258" t="n">
        <v>2</v>
      </c>
      <c r="N168" s="258" t="n">
        <v>2</v>
      </c>
      <c r="O168" s="258" t="n">
        <v>2</v>
      </c>
      <c r="P168" s="258" t="n">
        <v>2</v>
      </c>
      <c r="Q168" s="258" t="n">
        <v>2</v>
      </c>
    </row>
    <row r="169" ht="12" customHeight="1" s="227">
      <c r="A169" s="244" t="n"/>
      <c r="B169" s="244" t="n"/>
      <c r="C169" s="244" t="n"/>
      <c r="H169" s="4">
        <f>H129</f>
        <v/>
      </c>
      <c r="I169" s="27" t="inlineStr">
        <is>
          <t>no</t>
        </is>
      </c>
      <c r="M169" s="258" t="n">
        <v>2</v>
      </c>
      <c r="N169" s="258" t="n">
        <v>2</v>
      </c>
      <c r="O169" s="258" t="n">
        <v>2</v>
      </c>
      <c r="P169" s="258" t="n">
        <v>2</v>
      </c>
      <c r="Q169" s="258" t="n">
        <v>2</v>
      </c>
    </row>
    <row r="170" ht="12" customHeight="1" s="227">
      <c r="A170" s="244" t="n"/>
      <c r="B170" s="244" t="n"/>
      <c r="C170" s="244" t="n"/>
      <c r="H170" s="4">
        <f>H130</f>
        <v/>
      </c>
      <c r="I170" s="27" t="inlineStr">
        <is>
          <t>no</t>
        </is>
      </c>
      <c r="M170" s="258" t="n">
        <v>5</v>
      </c>
      <c r="N170" s="258" t="n">
        <v>5</v>
      </c>
      <c r="O170" s="258" t="n">
        <v>5</v>
      </c>
      <c r="P170" s="258" t="n">
        <v>5</v>
      </c>
      <c r="Q170" s="258" t="n">
        <v>5</v>
      </c>
    </row>
    <row r="171" ht="12" customHeight="1" s="227">
      <c r="A171" s="244" t="n"/>
      <c r="B171" s="244" t="n"/>
      <c r="C171" s="244" t="n"/>
      <c r="H171" s="4">
        <f>H131</f>
        <v/>
      </c>
      <c r="I171" s="27" t="inlineStr">
        <is>
          <t>no</t>
        </is>
      </c>
      <c r="M171" s="258" t="n">
        <v>3</v>
      </c>
      <c r="N171" s="258" t="n">
        <v>3</v>
      </c>
      <c r="O171" s="258" t="n">
        <v>3</v>
      </c>
      <c r="P171" s="258" t="n">
        <v>3</v>
      </c>
      <c r="Q171" s="258" t="n">
        <v>3</v>
      </c>
    </row>
    <row r="172" ht="12" customHeight="1" s="227">
      <c r="A172" s="244" t="n"/>
      <c r="B172" s="244" t="n"/>
      <c r="C172" s="244" t="n"/>
      <c r="H172" s="4">
        <f>H132</f>
        <v/>
      </c>
      <c r="I172" s="27" t="inlineStr">
        <is>
          <t>no</t>
        </is>
      </c>
      <c r="M172" s="258" t="n">
        <v>2</v>
      </c>
      <c r="N172" s="258" t="n">
        <v>2</v>
      </c>
      <c r="O172" s="258" t="n">
        <v>2</v>
      </c>
      <c r="P172" s="258" t="n">
        <v>2</v>
      </c>
      <c r="Q172" s="258" t="n">
        <v>2</v>
      </c>
    </row>
    <row r="173" ht="12" customHeight="1" s="227">
      <c r="A173" s="244" t="n"/>
      <c r="B173" s="244" t="n"/>
      <c r="C173" s="244" t="n"/>
      <c r="H173" s="4">
        <f>H133</f>
        <v/>
      </c>
      <c r="I173" s="27" t="inlineStr">
        <is>
          <t>no</t>
        </is>
      </c>
      <c r="M173" s="258" t="n"/>
      <c r="N173" s="258" t="n"/>
      <c r="O173" s="258" t="n"/>
      <c r="P173" s="258" t="n"/>
      <c r="Q173" s="258" t="n"/>
    </row>
    <row r="174" ht="12" customHeight="1" s="227">
      <c r="A174" s="244" t="n"/>
      <c r="B174" s="244" t="n"/>
      <c r="C174" s="244" t="n"/>
      <c r="H174" s="4">
        <f>H134</f>
        <v/>
      </c>
      <c r="I174" s="27" t="inlineStr">
        <is>
          <t>no</t>
        </is>
      </c>
      <c r="M174" s="258" t="n"/>
      <c r="N174" s="258" t="n"/>
      <c r="O174" s="258" t="n"/>
      <c r="P174" s="258" t="n"/>
      <c r="Q174" s="258" t="n"/>
    </row>
    <row r="175" ht="12" customHeight="1" s="227">
      <c r="A175" s="244" t="n"/>
      <c r="B175" s="244" t="n"/>
      <c r="C175" s="244" t="n"/>
    </row>
    <row r="176" ht="12" customHeight="1" s="227">
      <c r="A176" s="244" t="n"/>
      <c r="B176" s="244" t="n"/>
      <c r="C176" s="244" t="n"/>
    </row>
    <row r="177" ht="13.5" customFormat="1" customHeight="1" s="223" thickBot="1">
      <c r="E177" s="223">
        <f>Heading2</f>
        <v/>
      </c>
      <c r="F177" s="223">
        <f>i_Setup!U35</f>
        <v/>
      </c>
    </row>
    <row r="178" ht="12" customHeight="1" s="227">
      <c r="A178" s="244" t="n"/>
      <c r="B178" s="244" t="n"/>
      <c r="C178" s="244" t="n"/>
    </row>
    <row r="179" ht="12" customHeight="1" s="227">
      <c r="A179" s="244" t="n"/>
      <c r="B179" s="244" t="n"/>
      <c r="C179" s="244" t="n"/>
      <c r="G179" s="222" t="inlineStr">
        <is>
          <t>Number of Ships</t>
        </is>
      </c>
    </row>
    <row r="180" ht="12" customHeight="1" s="227">
      <c r="A180" s="244" t="n"/>
      <c r="B180" s="244" t="n"/>
      <c r="C180" s="244" t="n"/>
    </row>
    <row r="181" ht="12" customHeight="1" s="227">
      <c r="A181" s="244" t="n"/>
      <c r="B181" s="244" t="n"/>
      <c r="C181" s="244" t="n"/>
      <c r="H181" s="4">
        <f>F177</f>
        <v/>
      </c>
      <c r="I181" s="27" t="inlineStr">
        <is>
          <t>no.</t>
        </is>
      </c>
      <c r="M181" s="245">
        <f>SUMIF($T$2:$CA$2,M$2,$T181:$CA181)</f>
        <v/>
      </c>
      <c r="N181" s="245">
        <f>SUMIF($T$2:$CA$2,N$2,$T181:$CA181)</f>
        <v/>
      </c>
      <c r="O181" s="245">
        <f>SUMIF($T$2:$CA$2,O$2,$T181:$CA181)</f>
        <v/>
      </c>
      <c r="P181" s="245">
        <f>SUMIF($T$2:$CA$2,P$2,$T181:$CA181)</f>
        <v/>
      </c>
      <c r="Q181" s="245">
        <f>SUMIF($T$2:$CA$2,Q$2,$T181:$CA181)</f>
        <v/>
      </c>
      <c r="T181" s="257">
        <f>IF(T$7="Actual","",_xlfn.XLOOKUP($F177,c_Calculations!$H$15:$H$24,c_Calculations!T$15:T$24))</f>
        <v/>
      </c>
      <c r="U181" s="257">
        <f>IF(U$7="Actual","",_xlfn.XLOOKUP($F177,c_Calculations!$H$15:$H$24,c_Calculations!U$15:U$24))</f>
        <v/>
      </c>
      <c r="V181" s="257">
        <f>IF(V$7="Actual","",_xlfn.XLOOKUP($F177,c_Calculations!$H$15:$H$24,c_Calculations!V$15:V$24))</f>
        <v/>
      </c>
      <c r="W181" s="257">
        <f>IF(W$7="Actual","",_xlfn.XLOOKUP($F177,c_Calculations!$H$15:$H$24,c_Calculations!W$15:W$24))</f>
        <v/>
      </c>
      <c r="X181" s="257">
        <f>IF(X$7="Actual","",_xlfn.XLOOKUP($F177,c_Calculations!$H$15:$H$24,c_Calculations!X$15:X$24))</f>
        <v/>
      </c>
      <c r="Y181" s="257">
        <f>IF(Y$7="Actual","",_xlfn.XLOOKUP($F177,c_Calculations!$H$15:$H$24,c_Calculations!Y$15:Y$24))</f>
        <v/>
      </c>
      <c r="Z181" s="257">
        <f>IF(Z$7="Actual","",_xlfn.XLOOKUP($F177,c_Calculations!$H$15:$H$24,c_Calculations!Z$15:Z$24))</f>
        <v/>
      </c>
      <c r="AA181" s="257">
        <f>IF(AA$7="Actual","",_xlfn.XLOOKUP($F177,c_Calculations!$H$15:$H$24,c_Calculations!AA$15:AA$24))</f>
        <v/>
      </c>
      <c r="AB181" s="257">
        <f>IF(AB$7="Actual","",_xlfn.XLOOKUP($F177,c_Calculations!$H$15:$H$24,c_Calculations!AB$15:AB$24))</f>
        <v/>
      </c>
      <c r="AC181" s="257">
        <f>IF(AC$7="Actual","",_xlfn.XLOOKUP($F177,c_Calculations!$H$15:$H$24,c_Calculations!AC$15:AC$24))</f>
        <v/>
      </c>
      <c r="AD181" s="257">
        <f>IF(AD$7="Actual","",_xlfn.XLOOKUP($F177,c_Calculations!$H$15:$H$24,c_Calculations!AD$15:AD$24))</f>
        <v/>
      </c>
      <c r="AE181" s="257">
        <f>IF(AE$7="Actual","",_xlfn.XLOOKUP($F177,c_Calculations!$H$15:$H$24,c_Calculations!AE$15:AE$24))</f>
        <v/>
      </c>
      <c r="AF181" s="257">
        <f>IF(AF$7="Actual","",_xlfn.XLOOKUP($F177,c_Calculations!$H$15:$H$24,c_Calculations!AF$15:AF$24))</f>
        <v/>
      </c>
      <c r="AG181" s="257">
        <f>IF(AG$7="Actual","",_xlfn.XLOOKUP($F177,c_Calculations!$H$15:$H$24,c_Calculations!AG$15:AG$24))</f>
        <v/>
      </c>
      <c r="AH181" s="257">
        <f>IF(AH$7="Actual","",_xlfn.XLOOKUP($F177,c_Calculations!$H$15:$H$24,c_Calculations!AH$15:AH$24))</f>
        <v/>
      </c>
      <c r="AI181" s="257">
        <f>IF(AI$7="Actual","",_xlfn.XLOOKUP($F177,c_Calculations!$H$15:$H$24,c_Calculations!AI$15:AI$24))</f>
        <v/>
      </c>
      <c r="AJ181" s="257">
        <f>IF(AJ$7="Actual","",_xlfn.XLOOKUP($F177,c_Calculations!$H$15:$H$24,c_Calculations!AJ$15:AJ$24))</f>
        <v/>
      </c>
      <c r="AK181" s="257">
        <f>IF(AK$7="Actual","",_xlfn.XLOOKUP($F177,c_Calculations!$H$15:$H$24,c_Calculations!AK$15:AK$24))</f>
        <v/>
      </c>
      <c r="AL181" s="257">
        <f>IF(AL$7="Actual","",_xlfn.XLOOKUP($F177,c_Calculations!$H$15:$H$24,c_Calculations!AL$15:AL$24))</f>
        <v/>
      </c>
      <c r="AM181" s="257">
        <f>IF(AM$7="Actual","",_xlfn.XLOOKUP($F177,c_Calculations!$H$15:$H$24,c_Calculations!AM$15:AM$24))</f>
        <v/>
      </c>
      <c r="AN181" s="257">
        <f>IF(AN$7="Actual","",_xlfn.XLOOKUP($F177,c_Calculations!$H$15:$H$24,c_Calculations!AN$15:AN$24))</f>
        <v/>
      </c>
      <c r="AO181" s="257">
        <f>IF(AO$7="Actual","",_xlfn.XLOOKUP($F177,c_Calculations!$H$15:$H$24,c_Calculations!AO$15:AO$24))</f>
        <v/>
      </c>
      <c r="AP181" s="257">
        <f>IF(AP$7="Actual","",_xlfn.XLOOKUP($F177,c_Calculations!$H$15:$H$24,c_Calculations!AP$15:AP$24))</f>
        <v/>
      </c>
      <c r="AQ181" s="257">
        <f>IF(AQ$7="Actual","",_xlfn.XLOOKUP($F177,c_Calculations!$H$15:$H$24,c_Calculations!AQ$15:AQ$24))</f>
        <v/>
      </c>
      <c r="AR181" s="257">
        <f>IF(AR$7="Actual","",_xlfn.XLOOKUP($F177,c_Calculations!$H$15:$H$24,c_Calculations!AR$15:AR$24))</f>
        <v/>
      </c>
      <c r="AS181" s="257">
        <f>IF(AS$7="Actual","",_xlfn.XLOOKUP($F177,c_Calculations!$H$15:$H$24,c_Calculations!AS$15:AS$24))</f>
        <v/>
      </c>
      <c r="AT181" s="257">
        <f>IF(AT$7="Actual","",_xlfn.XLOOKUP($F177,c_Calculations!$H$15:$H$24,c_Calculations!AT$15:AT$24))</f>
        <v/>
      </c>
      <c r="AU181" s="257">
        <f>IF(AU$7="Actual","",_xlfn.XLOOKUP($F177,c_Calculations!$H$15:$H$24,c_Calculations!AU$15:AU$24))</f>
        <v/>
      </c>
      <c r="AV181" s="257">
        <f>IF(AV$7="Actual","",_xlfn.XLOOKUP($F177,c_Calculations!$H$15:$H$24,c_Calculations!AV$15:AV$24))</f>
        <v/>
      </c>
      <c r="AW181" s="257">
        <f>IF(AW$7="Actual","",_xlfn.XLOOKUP($F177,c_Calculations!$H$15:$H$24,c_Calculations!AW$15:AW$24))</f>
        <v/>
      </c>
      <c r="AX181" s="257">
        <f>IF(AX$7="Actual","",_xlfn.XLOOKUP($F177,c_Calculations!$H$15:$H$24,c_Calculations!AX$15:AX$24))</f>
        <v/>
      </c>
      <c r="AY181" s="257">
        <f>IF(AY$7="Actual","",_xlfn.XLOOKUP($F177,c_Calculations!$H$15:$H$24,c_Calculations!AY$15:AY$24))</f>
        <v/>
      </c>
      <c r="AZ181" s="257">
        <f>IF(AZ$7="Actual","",_xlfn.XLOOKUP($F177,c_Calculations!$H$15:$H$24,c_Calculations!AZ$15:AZ$24))</f>
        <v/>
      </c>
      <c r="BA181" s="257">
        <f>IF(BA$7="Actual","",_xlfn.XLOOKUP($F177,c_Calculations!$H$15:$H$24,c_Calculations!BA$15:BA$24))</f>
        <v/>
      </c>
      <c r="BB181" s="257">
        <f>IF(BB$7="Actual","",_xlfn.XLOOKUP($F177,c_Calculations!$H$15:$H$24,c_Calculations!BB$15:BB$24))</f>
        <v/>
      </c>
      <c r="BC181" s="257">
        <f>IF(BC$7="Actual","",_xlfn.XLOOKUP($F177,c_Calculations!$H$15:$H$24,c_Calculations!BC$15:BC$24))</f>
        <v/>
      </c>
      <c r="BD181" s="257">
        <f>IF(BD$7="Actual","",_xlfn.XLOOKUP($F177,c_Calculations!$H$15:$H$24,c_Calculations!BD$15:BD$24))</f>
        <v/>
      </c>
      <c r="BE181" s="257">
        <f>IF(BE$7="Actual","",_xlfn.XLOOKUP($F177,c_Calculations!$H$15:$H$24,c_Calculations!BE$15:BE$24))</f>
        <v/>
      </c>
      <c r="BF181" s="257">
        <f>IF(BF$7="Actual","",_xlfn.XLOOKUP($F177,c_Calculations!$H$15:$H$24,c_Calculations!BF$15:BF$24))</f>
        <v/>
      </c>
      <c r="BG181" s="257">
        <f>IF(BG$7="Actual","",_xlfn.XLOOKUP($F177,c_Calculations!$H$15:$H$24,c_Calculations!BG$15:BG$24))</f>
        <v/>
      </c>
      <c r="BH181" s="257">
        <f>IF(BH$7="Actual","",_xlfn.XLOOKUP($F177,c_Calculations!$H$15:$H$24,c_Calculations!BH$15:BH$24))</f>
        <v/>
      </c>
      <c r="BI181" s="257">
        <f>IF(BI$7="Actual","",_xlfn.XLOOKUP($F177,c_Calculations!$H$15:$H$24,c_Calculations!BI$15:BI$24))</f>
        <v/>
      </c>
      <c r="BJ181" s="257">
        <f>IF(BJ$7="Actual","",_xlfn.XLOOKUP($F177,c_Calculations!$H$15:$H$24,c_Calculations!BJ$15:BJ$24))</f>
        <v/>
      </c>
      <c r="BK181" s="257">
        <f>IF(BK$7="Actual","",_xlfn.XLOOKUP($F177,c_Calculations!$H$15:$H$24,c_Calculations!BK$15:BK$24))</f>
        <v/>
      </c>
      <c r="BL181" s="257">
        <f>IF(BL$7="Actual","",_xlfn.XLOOKUP($F177,c_Calculations!$H$15:$H$24,c_Calculations!BL$15:BL$24))</f>
        <v/>
      </c>
      <c r="BM181" s="257">
        <f>IF(BM$7="Actual","",_xlfn.XLOOKUP($F177,c_Calculations!$H$15:$H$24,c_Calculations!BM$15:BM$24))</f>
        <v/>
      </c>
      <c r="BN181" s="257">
        <f>IF(BN$7="Actual","",_xlfn.XLOOKUP($F177,c_Calculations!$H$15:$H$24,c_Calculations!BN$15:BN$24))</f>
        <v/>
      </c>
      <c r="BO181" s="257">
        <f>IF(BO$7="Actual","",_xlfn.XLOOKUP($F177,c_Calculations!$H$15:$H$24,c_Calculations!BO$15:BO$24))</f>
        <v/>
      </c>
      <c r="BP181" s="257">
        <f>IF(BP$7="Actual","",_xlfn.XLOOKUP($F177,c_Calculations!$H$15:$H$24,c_Calculations!BP$15:BP$24))</f>
        <v/>
      </c>
      <c r="BQ181" s="257">
        <f>IF(BQ$7="Actual","",_xlfn.XLOOKUP($F177,c_Calculations!$H$15:$H$24,c_Calculations!BQ$15:BQ$24))</f>
        <v/>
      </c>
      <c r="BR181" s="257">
        <f>IF(BR$7="Actual","",_xlfn.XLOOKUP($F177,c_Calculations!$H$15:$H$24,c_Calculations!BR$15:BR$24))</f>
        <v/>
      </c>
      <c r="BS181" s="257">
        <f>IF(BS$7="Actual","",_xlfn.XLOOKUP($F177,c_Calculations!$H$15:$H$24,c_Calculations!BS$15:BS$24))</f>
        <v/>
      </c>
      <c r="BT181" s="257">
        <f>IF(BT$7="Actual","",_xlfn.XLOOKUP($F177,c_Calculations!$H$15:$H$24,c_Calculations!BT$15:BT$24))</f>
        <v/>
      </c>
      <c r="BU181" s="257">
        <f>IF(BU$7="Actual","",_xlfn.XLOOKUP($F177,c_Calculations!$H$15:$H$24,c_Calculations!BU$15:BU$24))</f>
        <v/>
      </c>
      <c r="BV181" s="257">
        <f>IF(BV$7="Actual","",_xlfn.XLOOKUP($F177,c_Calculations!$H$15:$H$24,c_Calculations!BV$15:BV$24))</f>
        <v/>
      </c>
      <c r="BW181" s="257">
        <f>IF(BW$7="Actual","",_xlfn.XLOOKUP($F177,c_Calculations!$H$15:$H$24,c_Calculations!BW$15:BW$24))</f>
        <v/>
      </c>
      <c r="BX181" s="257">
        <f>IF(BX$7="Actual","",_xlfn.XLOOKUP($F177,c_Calculations!$H$15:$H$24,c_Calculations!BX$15:BX$24))</f>
        <v/>
      </c>
      <c r="BY181" s="257">
        <f>IF(BY$7="Actual","",_xlfn.XLOOKUP($F177,c_Calculations!$H$15:$H$24,c_Calculations!BY$15:BY$24))</f>
        <v/>
      </c>
      <c r="BZ181" s="257">
        <f>IF(BZ$7="Actual","",_xlfn.XLOOKUP($F177,c_Calculations!$H$15:$H$24,c_Calculations!BZ$15:BZ$24))</f>
        <v/>
      </c>
      <c r="CA181" s="257">
        <f>IF(CA$7="Actual","",_xlfn.XLOOKUP($F177,c_Calculations!$H$15:$H$24,c_Calculations!CA$15:CA$24))</f>
        <v/>
      </c>
    </row>
    <row r="182" ht="12" customHeight="1" s="227">
      <c r="A182" s="244" t="n"/>
      <c r="B182" s="244" t="n"/>
      <c r="C182" s="244" t="n"/>
    </row>
    <row r="183" ht="12" customHeight="1" s="227">
      <c r="A183" s="244" t="n"/>
      <c r="B183" s="244" t="n"/>
      <c r="C183" s="244" t="n"/>
    </row>
    <row r="184" ht="12" customHeight="1" s="227">
      <c r="A184" s="244" t="n"/>
      <c r="B184" s="244" t="n"/>
      <c r="C184" s="244" t="n"/>
      <c r="G184" s="222" t="inlineStr">
        <is>
          <t>Direct CAPEX (Excl. Sales Tax)</t>
        </is>
      </c>
    </row>
    <row r="185" ht="12" customHeight="1" s="227">
      <c r="A185" s="244" t="n"/>
      <c r="B185" s="244" t="n"/>
      <c r="C185" s="244" t="n"/>
    </row>
    <row r="186" ht="12" customHeight="1" s="227">
      <c r="A186" s="244" t="n"/>
      <c r="B186" s="244" t="n"/>
      <c r="C186" s="244" t="n"/>
      <c r="H186" s="4">
        <f>H146</f>
        <v/>
      </c>
      <c r="I186" s="27">
        <f>i_Setup!$M$16</f>
        <v/>
      </c>
      <c r="M186" s="245">
        <f>SUMIF($T$4:$CA$4,M$4,$T186:$CA186)</f>
        <v/>
      </c>
      <c r="N186" s="245">
        <f>SUMIF($T$4:$CA$4,N$4,$T186:$CA186)</f>
        <v/>
      </c>
      <c r="O186" s="245">
        <f>SUMIF($T$4:$CA$4,O$4,$T186:$CA186)</f>
        <v/>
      </c>
      <c r="P186" s="245">
        <f>SUMIF($T$4:$CA$4,P$4,$T186:$CA186)</f>
        <v/>
      </c>
      <c r="Q186" s="245">
        <f>SUMIF($T$4:$CA$4,Q$4,$T186:$CA186)</f>
        <v/>
      </c>
      <c r="T186" s="256" t="n"/>
      <c r="U186" s="256" t="n"/>
      <c r="V186" s="256" t="n"/>
      <c r="W186" s="256" t="n"/>
      <c r="X186" s="256" t="n"/>
      <c r="Y186" s="256" t="n"/>
      <c r="Z186" s="256" t="n"/>
      <c r="AA186" s="256" t="n"/>
      <c r="AB186" s="256" t="n"/>
      <c r="AC186" s="256" t="n"/>
      <c r="AD186" s="256" t="n"/>
      <c r="AE186" s="256" t="n"/>
      <c r="AF186" s="256" t="n"/>
      <c r="AG186" s="256" t="n"/>
      <c r="AH186" s="256" t="n"/>
      <c r="AI186" s="256" t="n"/>
      <c r="AJ186" s="256" t="n"/>
      <c r="AK186" s="256" t="n"/>
      <c r="AL186" s="256" t="n"/>
      <c r="AM186" s="256" t="n"/>
      <c r="AN186" s="256" t="n"/>
      <c r="AO186" s="256" t="n"/>
      <c r="AP186" s="256" t="n"/>
      <c r="AQ186" s="256" t="n"/>
      <c r="AR186" s="256" t="n"/>
      <c r="AS186" s="256" t="n"/>
      <c r="AT186" s="256" t="n"/>
      <c r="AU186" s="256" t="n"/>
      <c r="AV186" s="256" t="n"/>
      <c r="AW186" s="256" t="n"/>
      <c r="AX186" s="256" t="n"/>
      <c r="AY186" s="256" t="n"/>
      <c r="AZ186" s="256" t="n"/>
      <c r="BA186" s="256" t="n">
        <v>100000</v>
      </c>
      <c r="BB186" s="256" t="n"/>
      <c r="BC186" s="256" t="n"/>
      <c r="BD186" s="256" t="n"/>
      <c r="BE186" s="256" t="n"/>
      <c r="BF186" s="256" t="n"/>
      <c r="BG186" s="256" t="n"/>
      <c r="BH186" s="256" t="n"/>
      <c r="BI186" s="256" t="n"/>
      <c r="BJ186" s="256" t="n"/>
      <c r="BK186" s="256" t="n"/>
      <c r="BL186" s="256" t="n"/>
      <c r="BM186" s="256" t="n"/>
      <c r="BN186" s="256" t="n"/>
      <c r="BO186" s="256" t="n"/>
      <c r="BP186" s="256" t="n"/>
      <c r="BQ186" s="256" t="n"/>
      <c r="BR186" s="256" t="n"/>
      <c r="BS186" s="256" t="n"/>
      <c r="BT186" s="256" t="n"/>
      <c r="BU186" s="256" t="n"/>
      <c r="BV186" s="256" t="n"/>
      <c r="BW186" s="256" t="n"/>
      <c r="BX186" s="256" t="n"/>
      <c r="BY186" s="256" t="n"/>
      <c r="BZ186" s="256" t="n"/>
      <c r="CA186" s="256" t="n"/>
    </row>
    <row r="187" ht="12" customHeight="1" s="227">
      <c r="A187" s="244" t="n"/>
      <c r="B187" s="244" t="n"/>
      <c r="C187" s="244" t="n"/>
      <c r="H187" s="4">
        <f>H147</f>
        <v/>
      </c>
      <c r="I187" s="27">
        <f>i_Setup!$M$16</f>
        <v/>
      </c>
      <c r="M187" s="245">
        <f>SUMIF($T$4:$CA$4,M$4,$T187:$CA187)</f>
        <v/>
      </c>
      <c r="N187" s="245">
        <f>SUMIF($T$4:$CA$4,N$4,$T187:$CA187)</f>
        <v/>
      </c>
      <c r="O187" s="245">
        <f>SUMIF($T$4:$CA$4,O$4,$T187:$CA187)</f>
        <v/>
      </c>
      <c r="P187" s="245">
        <f>SUMIF($T$4:$CA$4,P$4,$T187:$CA187)</f>
        <v/>
      </c>
      <c r="Q187" s="245">
        <f>SUMIF($T$4:$CA$4,Q$4,$T187:$CA187)</f>
        <v/>
      </c>
      <c r="T187" s="256" t="n"/>
      <c r="U187" s="256" t="n"/>
      <c r="V187" s="256" t="n"/>
      <c r="W187" s="256" t="n"/>
      <c r="X187" s="256" t="n"/>
      <c r="Y187" s="256" t="n"/>
      <c r="Z187" s="256" t="n"/>
      <c r="AA187" s="256" t="n"/>
      <c r="AB187" s="256" t="n"/>
      <c r="AC187" s="256" t="n"/>
      <c r="AD187" s="256" t="n"/>
      <c r="AE187" s="256" t="n"/>
      <c r="AF187" s="256" t="n"/>
      <c r="AG187" s="256" t="n"/>
      <c r="AH187" s="256" t="n"/>
      <c r="AI187" s="256" t="n"/>
      <c r="AJ187" s="256" t="n"/>
      <c r="AK187" s="256" t="n"/>
      <c r="AL187" s="256" t="n"/>
      <c r="AM187" s="256" t="n"/>
      <c r="AN187" s="256" t="n"/>
      <c r="AO187" s="256" t="n"/>
      <c r="AP187" s="256" t="n"/>
      <c r="AQ187" s="256" t="n"/>
      <c r="AR187" s="256" t="n"/>
      <c r="AS187" s="256" t="n"/>
      <c r="AT187" s="256" t="n"/>
      <c r="AU187" s="256" t="n"/>
      <c r="AV187" s="256" t="n"/>
      <c r="AW187" s="256" t="n"/>
      <c r="AX187" s="256" t="n"/>
      <c r="AY187" s="256" t="n"/>
      <c r="AZ187" s="256" t="n"/>
      <c r="BA187" s="256" t="n">
        <v>50000</v>
      </c>
      <c r="BB187" s="256" t="n"/>
      <c r="BC187" s="256" t="n"/>
      <c r="BD187" s="256" t="n"/>
      <c r="BE187" s="256" t="n"/>
      <c r="BF187" s="256" t="n"/>
      <c r="BG187" s="256" t="n"/>
      <c r="BH187" s="256" t="n"/>
      <c r="BI187" s="256" t="n"/>
      <c r="BJ187" s="256" t="n"/>
      <c r="BK187" s="256" t="n"/>
      <c r="BL187" s="256" t="n"/>
      <c r="BM187" s="256" t="n"/>
      <c r="BN187" s="256" t="n"/>
      <c r="BO187" s="256" t="n"/>
      <c r="BP187" s="256" t="n"/>
      <c r="BQ187" s="256" t="n"/>
      <c r="BR187" s="256" t="n"/>
      <c r="BS187" s="256" t="n"/>
      <c r="BT187" s="256" t="n"/>
      <c r="BU187" s="256" t="n"/>
      <c r="BV187" s="256" t="n"/>
      <c r="BW187" s="256" t="n"/>
      <c r="BX187" s="256" t="n"/>
      <c r="BY187" s="256" t="n"/>
      <c r="BZ187" s="256" t="n"/>
      <c r="CA187" s="256" t="n"/>
    </row>
    <row r="188" ht="12" customHeight="1" s="227">
      <c r="A188" s="244" t="n"/>
      <c r="B188" s="244" t="n"/>
      <c r="C188" s="244" t="n"/>
      <c r="H188" s="4">
        <f>H148</f>
        <v/>
      </c>
      <c r="I188" s="27">
        <f>i_Setup!$M$16</f>
        <v/>
      </c>
      <c r="M188" s="245">
        <f>SUMIF($T$4:$CA$4,M$4,$T188:$CA188)</f>
        <v/>
      </c>
      <c r="N188" s="245">
        <f>SUMIF($T$4:$CA$4,N$4,$T188:$CA188)</f>
        <v/>
      </c>
      <c r="O188" s="245">
        <f>SUMIF($T$4:$CA$4,O$4,$T188:$CA188)</f>
        <v/>
      </c>
      <c r="P188" s="245">
        <f>SUMIF($T$4:$CA$4,P$4,$T188:$CA188)</f>
        <v/>
      </c>
      <c r="Q188" s="245">
        <f>SUMIF($T$4:$CA$4,Q$4,$T188:$CA188)</f>
        <v/>
      </c>
      <c r="T188" s="256" t="n"/>
      <c r="U188" s="256" t="n"/>
      <c r="V188" s="256" t="n"/>
      <c r="W188" s="256" t="n"/>
      <c r="X188" s="256" t="n"/>
      <c r="Y188" s="256" t="n"/>
      <c r="Z188" s="256" t="n"/>
      <c r="AA188" s="256" t="n"/>
      <c r="AB188" s="256" t="n"/>
      <c r="AC188" s="256" t="n"/>
      <c r="AD188" s="256" t="n"/>
      <c r="AE188" s="256" t="n"/>
      <c r="AF188" s="256" t="n"/>
      <c r="AG188" s="256" t="n"/>
      <c r="AH188" s="256" t="n"/>
      <c r="AI188" s="256" t="n"/>
      <c r="AJ188" s="256" t="n"/>
      <c r="AK188" s="256" t="n"/>
      <c r="AL188" s="256" t="n"/>
      <c r="AM188" s="256" t="n"/>
      <c r="AN188" s="256" t="n"/>
      <c r="AO188" s="256" t="n"/>
      <c r="AP188" s="256" t="n"/>
      <c r="AQ188" s="256" t="n"/>
      <c r="AR188" s="256" t="n"/>
      <c r="AS188" s="256" t="n"/>
      <c r="AT188" s="256" t="n"/>
      <c r="AU188" s="256" t="n"/>
      <c r="AV188" s="256" t="n"/>
      <c r="AW188" s="256" t="n"/>
      <c r="AX188" s="256" t="n"/>
      <c r="AY188" s="256" t="n"/>
      <c r="AZ188" s="256" t="n"/>
      <c r="BA188" s="256" t="n">
        <v>25000</v>
      </c>
      <c r="BB188" s="256" t="n"/>
      <c r="BC188" s="256" t="n"/>
      <c r="BD188" s="256" t="n"/>
      <c r="BE188" s="256" t="n"/>
      <c r="BF188" s="256" t="n"/>
      <c r="BG188" s="256" t="n"/>
      <c r="BH188" s="256" t="n"/>
      <c r="BI188" s="256" t="n"/>
      <c r="BJ188" s="256" t="n"/>
      <c r="BK188" s="256" t="n"/>
      <c r="BL188" s="256" t="n"/>
      <c r="BM188" s="256" t="n"/>
      <c r="BN188" s="256" t="n"/>
      <c r="BO188" s="256" t="n"/>
      <c r="BP188" s="256" t="n"/>
      <c r="BQ188" s="256" t="n"/>
      <c r="BR188" s="256" t="n"/>
      <c r="BS188" s="256" t="n"/>
      <c r="BT188" s="256" t="n"/>
      <c r="BU188" s="256" t="n"/>
      <c r="BV188" s="256" t="n"/>
      <c r="BW188" s="256" t="n"/>
      <c r="BX188" s="256" t="n"/>
      <c r="BY188" s="256" t="n"/>
      <c r="BZ188" s="256" t="n"/>
      <c r="CA188" s="256" t="n"/>
    </row>
    <row r="189" ht="12" customHeight="1" s="227">
      <c r="A189" s="244" t="n"/>
      <c r="B189" s="244" t="n"/>
      <c r="C189" s="244" t="n"/>
      <c r="H189" s="4">
        <f>H149</f>
        <v/>
      </c>
      <c r="I189" s="27">
        <f>i_Setup!$M$16</f>
        <v/>
      </c>
      <c r="M189" s="245">
        <f>SUMIF($T$4:$CA$4,M$4,$T189:$CA189)</f>
        <v/>
      </c>
      <c r="N189" s="245">
        <f>SUMIF($T$4:$CA$4,N$4,$T189:$CA189)</f>
        <v/>
      </c>
      <c r="O189" s="245">
        <f>SUMIF($T$4:$CA$4,O$4,$T189:$CA189)</f>
        <v/>
      </c>
      <c r="P189" s="245">
        <f>SUMIF($T$4:$CA$4,P$4,$T189:$CA189)</f>
        <v/>
      </c>
      <c r="Q189" s="245">
        <f>SUMIF($T$4:$CA$4,Q$4,$T189:$CA189)</f>
        <v/>
      </c>
      <c r="T189" s="256" t="n"/>
      <c r="U189" s="256" t="n"/>
      <c r="V189" s="256" t="n"/>
      <c r="W189" s="256" t="n"/>
      <c r="X189" s="256" t="n"/>
      <c r="Y189" s="256" t="n"/>
      <c r="Z189" s="256" t="n"/>
      <c r="AA189" s="256" t="n"/>
      <c r="AB189" s="256" t="n"/>
      <c r="AC189" s="256" t="n"/>
      <c r="AD189" s="256" t="n"/>
      <c r="AE189" s="256" t="n"/>
      <c r="AF189" s="256" t="n"/>
      <c r="AG189" s="256" t="n"/>
      <c r="AH189" s="256" t="n"/>
      <c r="AI189" s="256" t="n"/>
      <c r="AJ189" s="256" t="n"/>
      <c r="AK189" s="256" t="n"/>
      <c r="AL189" s="256" t="n"/>
      <c r="AM189" s="256" t="n"/>
      <c r="AN189" s="256" t="n"/>
      <c r="AO189" s="256" t="n"/>
      <c r="AP189" s="256" t="n"/>
      <c r="AQ189" s="256" t="n"/>
      <c r="AR189" s="256" t="n"/>
      <c r="AS189" s="256" t="n"/>
      <c r="AT189" s="256" t="n"/>
      <c r="AU189" s="256" t="n"/>
      <c r="AV189" s="256" t="n"/>
      <c r="AW189" s="256" t="n"/>
      <c r="AX189" s="256" t="n"/>
      <c r="AY189" s="256" t="n"/>
      <c r="AZ189" s="256" t="n"/>
      <c r="BA189" s="256" t="n"/>
      <c r="BB189" s="256" t="n"/>
      <c r="BC189" s="256" t="n"/>
      <c r="BD189" s="256" t="n"/>
      <c r="BE189" s="256" t="n"/>
      <c r="BF189" s="256" t="n"/>
      <c r="BG189" s="256" t="n"/>
      <c r="BH189" s="256" t="n"/>
      <c r="BI189" s="256" t="n"/>
      <c r="BJ189" s="256" t="n"/>
      <c r="BK189" s="256" t="n"/>
      <c r="BL189" s="256" t="n"/>
      <c r="BM189" s="256" t="n"/>
      <c r="BN189" s="256" t="n"/>
      <c r="BO189" s="256" t="n"/>
      <c r="BP189" s="256" t="n"/>
      <c r="BQ189" s="256" t="n"/>
      <c r="BR189" s="256" t="n"/>
      <c r="BS189" s="256" t="n"/>
      <c r="BT189" s="256" t="n"/>
      <c r="BU189" s="256" t="n"/>
      <c r="BV189" s="256" t="n"/>
      <c r="BW189" s="256" t="n"/>
      <c r="BX189" s="256" t="n"/>
      <c r="BY189" s="256" t="n"/>
      <c r="BZ189" s="256" t="n"/>
      <c r="CA189" s="256" t="n"/>
    </row>
    <row r="190" ht="12" customHeight="1" s="227">
      <c r="A190" s="244" t="n"/>
      <c r="B190" s="244" t="n"/>
      <c r="C190" s="244" t="n"/>
      <c r="H190" s="4">
        <f>H150</f>
        <v/>
      </c>
      <c r="I190" s="27">
        <f>i_Setup!$M$16</f>
        <v/>
      </c>
      <c r="M190" s="245">
        <f>SUMIF($T$4:$CA$4,M$4,$T190:$CA190)</f>
        <v/>
      </c>
      <c r="N190" s="245">
        <f>SUMIF($T$4:$CA$4,N$4,$T190:$CA190)</f>
        <v/>
      </c>
      <c r="O190" s="245">
        <f>SUMIF($T$4:$CA$4,O$4,$T190:$CA190)</f>
        <v/>
      </c>
      <c r="P190" s="245">
        <f>SUMIF($T$4:$CA$4,P$4,$T190:$CA190)</f>
        <v/>
      </c>
      <c r="Q190" s="245">
        <f>SUMIF($T$4:$CA$4,Q$4,$T190:$CA190)</f>
        <v/>
      </c>
      <c r="T190" s="256" t="n"/>
      <c r="U190" s="256" t="n"/>
      <c r="V190" s="256" t="n"/>
      <c r="W190" s="256" t="n"/>
      <c r="X190" s="256" t="n"/>
      <c r="Y190" s="256" t="n"/>
      <c r="Z190" s="256" t="n"/>
      <c r="AA190" s="256" t="n"/>
      <c r="AB190" s="256" t="n"/>
      <c r="AC190" s="256" t="n"/>
      <c r="AD190" s="256" t="n"/>
      <c r="AE190" s="256" t="n"/>
      <c r="AF190" s="256" t="n"/>
      <c r="AG190" s="256" t="n"/>
      <c r="AH190" s="256" t="n"/>
      <c r="AI190" s="256" t="n"/>
      <c r="AJ190" s="256" t="n"/>
      <c r="AK190" s="256" t="n"/>
      <c r="AL190" s="256" t="n"/>
      <c r="AM190" s="256" t="n"/>
      <c r="AN190" s="256" t="n"/>
      <c r="AO190" s="256" t="n"/>
      <c r="AP190" s="256" t="n"/>
      <c r="AQ190" s="256" t="n"/>
      <c r="AR190" s="256" t="n"/>
      <c r="AS190" s="256" t="n"/>
      <c r="AT190" s="256" t="n"/>
      <c r="AU190" s="256" t="n"/>
      <c r="AV190" s="256" t="n"/>
      <c r="AW190" s="256" t="n"/>
      <c r="AX190" s="256" t="n"/>
      <c r="AY190" s="256" t="n"/>
      <c r="AZ190" s="256" t="n"/>
      <c r="BA190" s="256" t="n"/>
      <c r="BB190" s="256" t="n"/>
      <c r="BC190" s="256" t="n"/>
      <c r="BD190" s="256" t="n"/>
      <c r="BE190" s="256" t="n"/>
      <c r="BF190" s="256" t="n"/>
      <c r="BG190" s="256" t="n"/>
      <c r="BH190" s="256" t="n"/>
      <c r="BI190" s="256" t="n"/>
      <c r="BJ190" s="256" t="n"/>
      <c r="BK190" s="256" t="n"/>
      <c r="BL190" s="256" t="n"/>
      <c r="BM190" s="256" t="n"/>
      <c r="BN190" s="256" t="n"/>
      <c r="BO190" s="256" t="n"/>
      <c r="BP190" s="256" t="n"/>
      <c r="BQ190" s="256" t="n"/>
      <c r="BR190" s="256" t="n"/>
      <c r="BS190" s="256" t="n"/>
      <c r="BT190" s="256" t="n"/>
      <c r="BU190" s="256" t="n"/>
      <c r="BV190" s="256" t="n"/>
      <c r="BW190" s="256" t="n"/>
      <c r="BX190" s="256" t="n"/>
      <c r="BY190" s="256" t="n"/>
      <c r="BZ190" s="256" t="n"/>
      <c r="CA190" s="256" t="n"/>
    </row>
    <row r="191" ht="12" customHeight="1" s="227">
      <c r="A191" s="244" t="n"/>
      <c r="B191" s="244" t="n"/>
      <c r="C191" s="244" t="n"/>
    </row>
    <row r="192" ht="12" customHeight="1" s="227">
      <c r="A192" s="244" t="n"/>
      <c r="B192" s="244" t="n"/>
      <c r="C192" s="244" t="n"/>
    </row>
    <row r="193" ht="12" customHeight="1" s="227">
      <c r="A193" s="244" t="n"/>
      <c r="B193" s="244" t="n"/>
      <c r="C193" s="244" t="n"/>
      <c r="G193" s="222" t="inlineStr">
        <is>
          <t>Direct OPEX Per Ship Per Month (Excl VAT)</t>
        </is>
      </c>
    </row>
    <row r="194" ht="24" customHeight="1" s="227">
      <c r="A194" s="244" t="n"/>
      <c r="B194" s="244" t="n"/>
      <c r="C194" s="244" t="n"/>
      <c r="K194" s="161" t="inlineStr">
        <is>
          <t>Credit Terms Received (Months)</t>
        </is>
      </c>
    </row>
    <row r="195" ht="12" customHeight="1" s="227">
      <c r="A195" s="244" t="n"/>
      <c r="B195" s="244" t="n"/>
      <c r="C195" s="244" t="n"/>
      <c r="H195" s="4">
        <f>H155</f>
        <v/>
      </c>
      <c r="I195" s="27">
        <f>i_Setup!$M$16</f>
        <v/>
      </c>
      <c r="K195" s="259">
        <f>K155</f>
        <v/>
      </c>
      <c r="M195" s="256" t="n">
        <v>-1500</v>
      </c>
      <c r="N195" s="256">
        <f>M195*1.03</f>
        <v/>
      </c>
      <c r="O195" s="256">
        <f>N195*1.03</f>
        <v/>
      </c>
      <c r="P195" s="256">
        <f>O195*1.03</f>
        <v/>
      </c>
      <c r="Q195" s="256">
        <f>P195*1.03</f>
        <v/>
      </c>
    </row>
    <row r="196" ht="12" customHeight="1" s="227">
      <c r="A196" s="244" t="n"/>
      <c r="B196" s="244" t="n"/>
      <c r="C196" s="244" t="n"/>
      <c r="H196" s="4">
        <f>H156</f>
        <v/>
      </c>
      <c r="I196" s="27">
        <f>i_Setup!$M$16</f>
        <v/>
      </c>
      <c r="K196" s="259">
        <f>K156</f>
        <v/>
      </c>
      <c r="M196" s="256" t="n">
        <v>-2000</v>
      </c>
      <c r="N196" s="256">
        <f>M196*1.03</f>
        <v/>
      </c>
      <c r="O196" s="256">
        <f>N196*1.03</f>
        <v/>
      </c>
      <c r="P196" s="256">
        <f>O196*1.03</f>
        <v/>
      </c>
      <c r="Q196" s="256">
        <f>P196*1.03</f>
        <v/>
      </c>
    </row>
    <row r="197" ht="12" customHeight="1" s="227">
      <c r="A197" s="244" t="n"/>
      <c r="B197" s="244" t="n"/>
      <c r="C197" s="244" t="n"/>
      <c r="H197" s="4">
        <f>H157</f>
        <v/>
      </c>
      <c r="I197" s="27">
        <f>i_Setup!$M$16</f>
        <v/>
      </c>
      <c r="K197" s="259">
        <f>K157</f>
        <v/>
      </c>
      <c r="M197" s="256" t="n">
        <v>-500</v>
      </c>
      <c r="N197" s="256">
        <f>M197*1.03</f>
        <v/>
      </c>
      <c r="O197" s="256">
        <f>N197*1.03</f>
        <v/>
      </c>
      <c r="P197" s="256">
        <f>O197*1.03</f>
        <v/>
      </c>
      <c r="Q197" s="256">
        <f>P197*1.03</f>
        <v/>
      </c>
    </row>
    <row r="198" ht="12" customHeight="1" s="227">
      <c r="A198" s="244" t="n"/>
      <c r="B198" s="244" t="n"/>
      <c r="C198" s="244" t="n"/>
      <c r="H198" s="4">
        <f>H158</f>
        <v/>
      </c>
      <c r="I198" s="27">
        <f>i_Setup!$M$16</f>
        <v/>
      </c>
      <c r="K198" s="259">
        <f>K158</f>
        <v/>
      </c>
      <c r="M198" s="256" t="n">
        <v>-1000</v>
      </c>
      <c r="N198" s="256">
        <f>M198*1.03</f>
        <v/>
      </c>
      <c r="O198" s="256">
        <f>N198*1.03</f>
        <v/>
      </c>
      <c r="P198" s="256">
        <f>O198*1.03</f>
        <v/>
      </c>
      <c r="Q198" s="256">
        <f>P198*1.03</f>
        <v/>
      </c>
    </row>
    <row r="199" ht="12" customHeight="1" s="227">
      <c r="A199" s="244" t="n"/>
      <c r="B199" s="244" t="n"/>
      <c r="C199" s="244" t="n"/>
      <c r="H199" s="4">
        <f>H159</f>
        <v/>
      </c>
      <c r="I199" s="27">
        <f>i_Setup!$M$16</f>
        <v/>
      </c>
      <c r="K199" s="259">
        <f>K159</f>
        <v/>
      </c>
      <c r="M199" s="256" t="n">
        <v>-4000</v>
      </c>
      <c r="N199" s="256">
        <f>M199*1.03</f>
        <v/>
      </c>
      <c r="O199" s="256">
        <f>N199*1.03</f>
        <v/>
      </c>
      <c r="P199" s="256">
        <f>O199*1.03</f>
        <v/>
      </c>
      <c r="Q199" s="256">
        <f>P199*1.03</f>
        <v/>
      </c>
    </row>
    <row r="200" ht="12" customHeight="1" s="227">
      <c r="A200" s="244" t="n"/>
      <c r="B200" s="244" t="n"/>
      <c r="C200" s="244" t="n"/>
      <c r="H200" s="4">
        <f>H160</f>
        <v/>
      </c>
      <c r="I200" s="27">
        <f>i_Setup!$M$16</f>
        <v/>
      </c>
      <c r="K200" s="259">
        <f>K160</f>
        <v/>
      </c>
      <c r="M200" s="256" t="n"/>
      <c r="N200" s="256" t="n"/>
      <c r="O200" s="256" t="n"/>
      <c r="P200" s="256" t="n"/>
      <c r="Q200" s="256" t="n"/>
    </row>
    <row r="201" ht="12" customHeight="1" s="227">
      <c r="A201" s="244" t="n"/>
      <c r="B201" s="244" t="n"/>
      <c r="C201" s="244" t="n"/>
      <c r="H201" s="4">
        <f>H161</f>
        <v/>
      </c>
      <c r="I201" s="27">
        <f>i_Setup!$M$16</f>
        <v/>
      </c>
      <c r="K201" s="259">
        <f>K161</f>
        <v/>
      </c>
      <c r="M201" s="256" t="n"/>
      <c r="N201" s="256" t="n"/>
      <c r="O201" s="256" t="n"/>
      <c r="P201" s="256" t="n"/>
      <c r="Q201" s="256" t="n"/>
    </row>
    <row r="202" ht="12" customHeight="1" s="227">
      <c r="A202" s="244" t="n"/>
      <c r="B202" s="244" t="n"/>
      <c r="C202" s="244" t="n"/>
      <c r="H202" s="4">
        <f>H162</f>
        <v/>
      </c>
      <c r="I202" s="27">
        <f>i_Setup!$M$16</f>
        <v/>
      </c>
      <c r="K202" s="259">
        <f>K162</f>
        <v/>
      </c>
      <c r="M202" s="256" t="n"/>
      <c r="N202" s="256" t="n"/>
      <c r="O202" s="256" t="n"/>
      <c r="P202" s="256" t="n"/>
      <c r="Q202" s="256" t="n"/>
    </row>
    <row r="203" ht="12" customHeight="1" s="227">
      <c r="A203" s="244" t="n"/>
      <c r="B203" s="244" t="n"/>
      <c r="C203" s="244" t="n"/>
    </row>
    <row r="204" ht="12" customHeight="1" s="227">
      <c r="A204" s="244" t="n"/>
      <c r="B204" s="244" t="n"/>
      <c r="C204" s="244" t="n"/>
    </row>
    <row r="205" ht="12" customHeight="1" s="227">
      <c r="A205" s="244" t="n"/>
      <c r="B205" s="244" t="n"/>
      <c r="C205" s="244" t="n"/>
      <c r="G205" s="222" t="inlineStr">
        <is>
          <t>Direct Staff Numbers Per Ship</t>
        </is>
      </c>
    </row>
    <row r="206" ht="12" customHeight="1" s="227">
      <c r="A206" s="244" t="n"/>
      <c r="B206" s="244" t="n"/>
      <c r="C206" s="244" t="n"/>
    </row>
    <row r="207" ht="12" customHeight="1" s="227">
      <c r="A207" s="244" t="n"/>
      <c r="B207" s="244" t="n"/>
      <c r="C207" s="244" t="n"/>
      <c r="H207" s="4">
        <f>H167</f>
        <v/>
      </c>
      <c r="I207" s="27" t="inlineStr">
        <is>
          <t>no</t>
        </is>
      </c>
      <c r="M207" s="258" t="n">
        <v>1</v>
      </c>
      <c r="N207" s="258" t="n">
        <v>1</v>
      </c>
      <c r="O207" s="258" t="n">
        <v>1</v>
      </c>
      <c r="P207" s="258" t="n">
        <v>1</v>
      </c>
      <c r="Q207" s="258" t="n">
        <v>1</v>
      </c>
    </row>
    <row r="208" ht="12" customHeight="1" s="227">
      <c r="A208" s="244" t="n"/>
      <c r="B208" s="244" t="n"/>
      <c r="C208" s="244" t="n"/>
      <c r="H208" s="4">
        <f>H168</f>
        <v/>
      </c>
      <c r="I208" s="27" t="inlineStr">
        <is>
          <t>no</t>
        </is>
      </c>
      <c r="M208" s="258" t="n">
        <v>2</v>
      </c>
      <c r="N208" s="258" t="n">
        <v>2</v>
      </c>
      <c r="O208" s="258" t="n">
        <v>2</v>
      </c>
      <c r="P208" s="258" t="n">
        <v>2</v>
      </c>
      <c r="Q208" s="258" t="n">
        <v>2</v>
      </c>
    </row>
    <row r="209" ht="12" customHeight="1" s="227">
      <c r="A209" s="244" t="n"/>
      <c r="B209" s="244" t="n"/>
      <c r="C209" s="244" t="n"/>
      <c r="H209" s="4">
        <f>H169</f>
        <v/>
      </c>
      <c r="I209" s="27" t="inlineStr">
        <is>
          <t>no</t>
        </is>
      </c>
      <c r="M209" s="258" t="n">
        <v>2</v>
      </c>
      <c r="N209" s="258" t="n">
        <v>2</v>
      </c>
      <c r="O209" s="258" t="n">
        <v>2</v>
      </c>
      <c r="P209" s="258" t="n">
        <v>2</v>
      </c>
      <c r="Q209" s="258" t="n">
        <v>2</v>
      </c>
    </row>
    <row r="210" ht="12" customHeight="1" s="227">
      <c r="A210" s="244" t="n"/>
      <c r="B210" s="244" t="n"/>
      <c r="C210" s="244" t="n"/>
      <c r="H210" s="4">
        <f>H170</f>
        <v/>
      </c>
      <c r="I210" s="27" t="inlineStr">
        <is>
          <t>no</t>
        </is>
      </c>
      <c r="M210" s="258" t="n">
        <v>5</v>
      </c>
      <c r="N210" s="258" t="n">
        <v>5</v>
      </c>
      <c r="O210" s="258" t="n">
        <v>5</v>
      </c>
      <c r="P210" s="258" t="n">
        <v>5</v>
      </c>
      <c r="Q210" s="258" t="n">
        <v>5</v>
      </c>
    </row>
    <row r="211" ht="12" customHeight="1" s="227">
      <c r="A211" s="244" t="n"/>
      <c r="B211" s="244" t="n"/>
      <c r="C211" s="244" t="n"/>
      <c r="H211" s="4">
        <f>H171</f>
        <v/>
      </c>
      <c r="I211" s="27" t="inlineStr">
        <is>
          <t>no</t>
        </is>
      </c>
      <c r="M211" s="258" t="n">
        <v>3</v>
      </c>
      <c r="N211" s="258" t="n">
        <v>3</v>
      </c>
      <c r="O211" s="258" t="n">
        <v>3</v>
      </c>
      <c r="P211" s="258" t="n">
        <v>3</v>
      </c>
      <c r="Q211" s="258" t="n">
        <v>3</v>
      </c>
    </row>
    <row r="212" ht="12" customHeight="1" s="227">
      <c r="A212" s="244" t="n"/>
      <c r="B212" s="244" t="n"/>
      <c r="C212" s="244" t="n"/>
      <c r="H212" s="4">
        <f>H172</f>
        <v/>
      </c>
      <c r="I212" s="27" t="inlineStr">
        <is>
          <t>no</t>
        </is>
      </c>
      <c r="M212" s="258" t="n">
        <v>2</v>
      </c>
      <c r="N212" s="258" t="n">
        <v>2</v>
      </c>
      <c r="O212" s="258" t="n">
        <v>2</v>
      </c>
      <c r="P212" s="258" t="n">
        <v>2</v>
      </c>
      <c r="Q212" s="258" t="n">
        <v>2</v>
      </c>
    </row>
    <row r="213" ht="12" customHeight="1" s="227">
      <c r="A213" s="244" t="n"/>
      <c r="B213" s="244" t="n"/>
      <c r="C213" s="244" t="n"/>
      <c r="H213" s="4">
        <f>H173</f>
        <v/>
      </c>
      <c r="I213" s="27" t="inlineStr">
        <is>
          <t>no</t>
        </is>
      </c>
      <c r="M213" s="258" t="n"/>
      <c r="N213" s="258" t="n"/>
      <c r="O213" s="258" t="n"/>
      <c r="P213" s="258" t="n"/>
      <c r="Q213" s="258" t="n"/>
    </row>
    <row r="214" ht="12" customHeight="1" s="227">
      <c r="A214" s="244" t="n"/>
      <c r="B214" s="244" t="n"/>
      <c r="C214" s="244" t="n"/>
      <c r="H214" s="4">
        <f>H174</f>
        <v/>
      </c>
      <c r="I214" s="27" t="inlineStr">
        <is>
          <t>no</t>
        </is>
      </c>
      <c r="M214" s="258" t="n"/>
      <c r="N214" s="258" t="n"/>
      <c r="O214" s="258" t="n"/>
      <c r="P214" s="258" t="n"/>
      <c r="Q214" s="258" t="n"/>
    </row>
    <row r="215" ht="12" customHeight="1" s="227">
      <c r="A215" s="244" t="n"/>
      <c r="B215" s="244" t="n"/>
      <c r="C215" s="244" t="n"/>
    </row>
    <row r="216" ht="12" customHeight="1" s="227">
      <c r="A216" s="244" t="n"/>
      <c r="B216" s="244" t="n"/>
      <c r="C216" s="244" t="n"/>
    </row>
    <row r="217" ht="13.5" customFormat="1" customHeight="1" s="223" thickBot="1">
      <c r="E217" s="223">
        <f>Heading2</f>
        <v/>
      </c>
      <c r="F217" s="223">
        <f>i_Setup!U36</f>
        <v/>
      </c>
    </row>
    <row r="218" ht="12" customHeight="1" s="227">
      <c r="A218" s="244" t="n"/>
      <c r="B218" s="244" t="n"/>
      <c r="C218" s="244" t="n"/>
    </row>
    <row r="219" ht="12" customHeight="1" s="227">
      <c r="A219" s="244" t="n"/>
      <c r="B219" s="244" t="n"/>
      <c r="C219" s="244" t="n"/>
      <c r="G219" s="222" t="inlineStr">
        <is>
          <t>Number of Ships</t>
        </is>
      </c>
    </row>
    <row r="220" ht="12" customHeight="1" s="227">
      <c r="A220" s="244" t="n"/>
      <c r="B220" s="244" t="n"/>
      <c r="C220" s="244" t="n"/>
    </row>
    <row r="221" ht="12" customHeight="1" s="227">
      <c r="A221" s="244" t="n"/>
      <c r="B221" s="244" t="n"/>
      <c r="C221" s="244" t="n"/>
      <c r="H221" s="4">
        <f>F217</f>
        <v/>
      </c>
      <c r="I221" s="27" t="inlineStr">
        <is>
          <t>no.</t>
        </is>
      </c>
      <c r="M221" s="245">
        <f>SUMIF($T$2:$CA$2,M$2,$T221:$CA221)</f>
        <v/>
      </c>
      <c r="N221" s="245">
        <f>SUMIF($T$2:$CA$2,N$2,$T221:$CA221)</f>
        <v/>
      </c>
      <c r="O221" s="245">
        <f>SUMIF($T$2:$CA$2,O$2,$T221:$CA221)</f>
        <v/>
      </c>
      <c r="P221" s="245">
        <f>SUMIF($T$2:$CA$2,P$2,$T221:$CA221)</f>
        <v/>
      </c>
      <c r="Q221" s="245">
        <f>SUMIF($T$2:$CA$2,Q$2,$T221:$CA221)</f>
        <v/>
      </c>
      <c r="T221" s="257">
        <f>IF(T$7="Actual","",_xlfn.XLOOKUP($F217,c_Calculations!$H$15:$H$24,c_Calculations!T$15:T$24))</f>
        <v/>
      </c>
      <c r="U221" s="257">
        <f>IF(U$7="Actual","",_xlfn.XLOOKUP($F217,c_Calculations!$H$15:$H$24,c_Calculations!U$15:U$24))</f>
        <v/>
      </c>
      <c r="V221" s="257">
        <f>IF(V$7="Actual","",_xlfn.XLOOKUP($F217,c_Calculations!$H$15:$H$24,c_Calculations!V$15:V$24))</f>
        <v/>
      </c>
      <c r="W221" s="257">
        <f>IF(W$7="Actual","",_xlfn.XLOOKUP($F217,c_Calculations!$H$15:$H$24,c_Calculations!W$15:W$24))</f>
        <v/>
      </c>
      <c r="X221" s="257">
        <f>IF(X$7="Actual","",_xlfn.XLOOKUP($F217,c_Calculations!$H$15:$H$24,c_Calculations!X$15:X$24))</f>
        <v/>
      </c>
      <c r="Y221" s="257">
        <f>IF(Y$7="Actual","",_xlfn.XLOOKUP($F217,c_Calculations!$H$15:$H$24,c_Calculations!Y$15:Y$24))</f>
        <v/>
      </c>
      <c r="Z221" s="257">
        <f>IF(Z$7="Actual","",_xlfn.XLOOKUP($F217,c_Calculations!$H$15:$H$24,c_Calculations!Z$15:Z$24))</f>
        <v/>
      </c>
      <c r="AA221" s="257">
        <f>IF(AA$7="Actual","",_xlfn.XLOOKUP($F217,c_Calculations!$H$15:$H$24,c_Calculations!AA$15:AA$24))</f>
        <v/>
      </c>
      <c r="AB221" s="257">
        <f>IF(AB$7="Actual","",_xlfn.XLOOKUP($F217,c_Calculations!$H$15:$H$24,c_Calculations!AB$15:AB$24))</f>
        <v/>
      </c>
      <c r="AC221" s="257">
        <f>IF(AC$7="Actual","",_xlfn.XLOOKUP($F217,c_Calculations!$H$15:$H$24,c_Calculations!AC$15:AC$24))</f>
        <v/>
      </c>
      <c r="AD221" s="257">
        <f>IF(AD$7="Actual","",_xlfn.XLOOKUP($F217,c_Calculations!$H$15:$H$24,c_Calculations!AD$15:AD$24))</f>
        <v/>
      </c>
      <c r="AE221" s="257">
        <f>IF(AE$7="Actual","",_xlfn.XLOOKUP($F217,c_Calculations!$H$15:$H$24,c_Calculations!AE$15:AE$24))</f>
        <v/>
      </c>
      <c r="AF221" s="257">
        <f>IF(AF$7="Actual","",_xlfn.XLOOKUP($F217,c_Calculations!$H$15:$H$24,c_Calculations!AF$15:AF$24))</f>
        <v/>
      </c>
      <c r="AG221" s="257">
        <f>IF(AG$7="Actual","",_xlfn.XLOOKUP($F217,c_Calculations!$H$15:$H$24,c_Calculations!AG$15:AG$24))</f>
        <v/>
      </c>
      <c r="AH221" s="257">
        <f>IF(AH$7="Actual","",_xlfn.XLOOKUP($F217,c_Calculations!$H$15:$H$24,c_Calculations!AH$15:AH$24))</f>
        <v/>
      </c>
      <c r="AI221" s="257">
        <f>IF(AI$7="Actual","",_xlfn.XLOOKUP($F217,c_Calculations!$H$15:$H$24,c_Calculations!AI$15:AI$24))</f>
        <v/>
      </c>
      <c r="AJ221" s="257">
        <f>IF(AJ$7="Actual","",_xlfn.XLOOKUP($F217,c_Calculations!$H$15:$H$24,c_Calculations!AJ$15:AJ$24))</f>
        <v/>
      </c>
      <c r="AK221" s="257">
        <f>IF(AK$7="Actual","",_xlfn.XLOOKUP($F217,c_Calculations!$H$15:$H$24,c_Calculations!AK$15:AK$24))</f>
        <v/>
      </c>
      <c r="AL221" s="257">
        <f>IF(AL$7="Actual","",_xlfn.XLOOKUP($F217,c_Calculations!$H$15:$H$24,c_Calculations!AL$15:AL$24))</f>
        <v/>
      </c>
      <c r="AM221" s="257">
        <f>IF(AM$7="Actual","",_xlfn.XLOOKUP($F217,c_Calculations!$H$15:$H$24,c_Calculations!AM$15:AM$24))</f>
        <v/>
      </c>
      <c r="AN221" s="257">
        <f>IF(AN$7="Actual","",_xlfn.XLOOKUP($F217,c_Calculations!$H$15:$H$24,c_Calculations!AN$15:AN$24))</f>
        <v/>
      </c>
      <c r="AO221" s="257">
        <f>IF(AO$7="Actual","",_xlfn.XLOOKUP($F217,c_Calculations!$H$15:$H$24,c_Calculations!AO$15:AO$24))</f>
        <v/>
      </c>
      <c r="AP221" s="257">
        <f>IF(AP$7="Actual","",_xlfn.XLOOKUP($F217,c_Calculations!$H$15:$H$24,c_Calculations!AP$15:AP$24))</f>
        <v/>
      </c>
      <c r="AQ221" s="257">
        <f>IF(AQ$7="Actual","",_xlfn.XLOOKUP($F217,c_Calculations!$H$15:$H$24,c_Calculations!AQ$15:AQ$24))</f>
        <v/>
      </c>
      <c r="AR221" s="257">
        <f>IF(AR$7="Actual","",_xlfn.XLOOKUP($F217,c_Calculations!$H$15:$H$24,c_Calculations!AR$15:AR$24))</f>
        <v/>
      </c>
      <c r="AS221" s="257">
        <f>IF(AS$7="Actual","",_xlfn.XLOOKUP($F217,c_Calculations!$H$15:$H$24,c_Calculations!AS$15:AS$24))</f>
        <v/>
      </c>
      <c r="AT221" s="257">
        <f>IF(AT$7="Actual","",_xlfn.XLOOKUP($F217,c_Calculations!$H$15:$H$24,c_Calculations!AT$15:AT$24))</f>
        <v/>
      </c>
      <c r="AU221" s="257">
        <f>IF(AU$7="Actual","",_xlfn.XLOOKUP($F217,c_Calculations!$H$15:$H$24,c_Calculations!AU$15:AU$24))</f>
        <v/>
      </c>
      <c r="AV221" s="257">
        <f>IF(AV$7="Actual","",_xlfn.XLOOKUP($F217,c_Calculations!$H$15:$H$24,c_Calculations!AV$15:AV$24))</f>
        <v/>
      </c>
      <c r="AW221" s="257">
        <f>IF(AW$7="Actual","",_xlfn.XLOOKUP($F217,c_Calculations!$H$15:$H$24,c_Calculations!AW$15:AW$24))</f>
        <v/>
      </c>
      <c r="AX221" s="257">
        <f>IF(AX$7="Actual","",_xlfn.XLOOKUP($F217,c_Calculations!$H$15:$H$24,c_Calculations!AX$15:AX$24))</f>
        <v/>
      </c>
      <c r="AY221" s="257">
        <f>IF(AY$7="Actual","",_xlfn.XLOOKUP($F217,c_Calculations!$H$15:$H$24,c_Calculations!AY$15:AY$24))</f>
        <v/>
      </c>
      <c r="AZ221" s="257">
        <f>IF(AZ$7="Actual","",_xlfn.XLOOKUP($F217,c_Calculations!$H$15:$H$24,c_Calculations!AZ$15:AZ$24))</f>
        <v/>
      </c>
      <c r="BA221" s="257">
        <f>IF(BA$7="Actual","",_xlfn.XLOOKUP($F217,c_Calculations!$H$15:$H$24,c_Calculations!BA$15:BA$24))</f>
        <v/>
      </c>
      <c r="BB221" s="257">
        <f>IF(BB$7="Actual","",_xlfn.XLOOKUP($F217,c_Calculations!$H$15:$H$24,c_Calculations!BB$15:BB$24))</f>
        <v/>
      </c>
      <c r="BC221" s="257">
        <f>IF(BC$7="Actual","",_xlfn.XLOOKUP($F217,c_Calculations!$H$15:$H$24,c_Calculations!BC$15:BC$24))</f>
        <v/>
      </c>
      <c r="BD221" s="257">
        <f>IF(BD$7="Actual","",_xlfn.XLOOKUP($F217,c_Calculations!$H$15:$H$24,c_Calculations!BD$15:BD$24))</f>
        <v/>
      </c>
      <c r="BE221" s="257">
        <f>IF(BE$7="Actual","",_xlfn.XLOOKUP($F217,c_Calculations!$H$15:$H$24,c_Calculations!BE$15:BE$24))</f>
        <v/>
      </c>
      <c r="BF221" s="257">
        <f>IF(BF$7="Actual","",_xlfn.XLOOKUP($F217,c_Calculations!$H$15:$H$24,c_Calculations!BF$15:BF$24))</f>
        <v/>
      </c>
      <c r="BG221" s="257">
        <f>IF(BG$7="Actual","",_xlfn.XLOOKUP($F217,c_Calculations!$H$15:$H$24,c_Calculations!BG$15:BG$24))</f>
        <v/>
      </c>
      <c r="BH221" s="257">
        <f>IF(BH$7="Actual","",_xlfn.XLOOKUP($F217,c_Calculations!$H$15:$H$24,c_Calculations!BH$15:BH$24))</f>
        <v/>
      </c>
      <c r="BI221" s="257">
        <f>IF(BI$7="Actual","",_xlfn.XLOOKUP($F217,c_Calculations!$H$15:$H$24,c_Calculations!BI$15:BI$24))</f>
        <v/>
      </c>
      <c r="BJ221" s="257">
        <f>IF(BJ$7="Actual","",_xlfn.XLOOKUP($F217,c_Calculations!$H$15:$H$24,c_Calculations!BJ$15:BJ$24))</f>
        <v/>
      </c>
      <c r="BK221" s="257">
        <f>IF(BK$7="Actual","",_xlfn.XLOOKUP($F217,c_Calculations!$H$15:$H$24,c_Calculations!BK$15:BK$24))</f>
        <v/>
      </c>
      <c r="BL221" s="257">
        <f>IF(BL$7="Actual","",_xlfn.XLOOKUP($F217,c_Calculations!$H$15:$H$24,c_Calculations!BL$15:BL$24))</f>
        <v/>
      </c>
      <c r="BM221" s="257">
        <f>IF(BM$7="Actual","",_xlfn.XLOOKUP($F217,c_Calculations!$H$15:$H$24,c_Calculations!BM$15:BM$24))</f>
        <v/>
      </c>
      <c r="BN221" s="257">
        <f>IF(BN$7="Actual","",_xlfn.XLOOKUP($F217,c_Calculations!$H$15:$H$24,c_Calculations!BN$15:BN$24))</f>
        <v/>
      </c>
      <c r="BO221" s="257">
        <f>IF(BO$7="Actual","",_xlfn.XLOOKUP($F217,c_Calculations!$H$15:$H$24,c_Calculations!BO$15:BO$24))</f>
        <v/>
      </c>
      <c r="BP221" s="257">
        <f>IF(BP$7="Actual","",_xlfn.XLOOKUP($F217,c_Calculations!$H$15:$H$24,c_Calculations!BP$15:BP$24))</f>
        <v/>
      </c>
      <c r="BQ221" s="257">
        <f>IF(BQ$7="Actual","",_xlfn.XLOOKUP($F217,c_Calculations!$H$15:$H$24,c_Calculations!BQ$15:BQ$24))</f>
        <v/>
      </c>
      <c r="BR221" s="257">
        <f>IF(BR$7="Actual","",_xlfn.XLOOKUP($F217,c_Calculations!$H$15:$H$24,c_Calculations!BR$15:BR$24))</f>
        <v/>
      </c>
      <c r="BS221" s="257">
        <f>IF(BS$7="Actual","",_xlfn.XLOOKUP($F217,c_Calculations!$H$15:$H$24,c_Calculations!BS$15:BS$24))</f>
        <v/>
      </c>
      <c r="BT221" s="257">
        <f>IF(BT$7="Actual","",_xlfn.XLOOKUP($F217,c_Calculations!$H$15:$H$24,c_Calculations!BT$15:BT$24))</f>
        <v/>
      </c>
      <c r="BU221" s="257">
        <f>IF(BU$7="Actual","",_xlfn.XLOOKUP($F217,c_Calculations!$H$15:$H$24,c_Calculations!BU$15:BU$24))</f>
        <v/>
      </c>
      <c r="BV221" s="257">
        <f>IF(BV$7="Actual","",_xlfn.XLOOKUP($F217,c_Calculations!$H$15:$H$24,c_Calculations!BV$15:BV$24))</f>
        <v/>
      </c>
      <c r="BW221" s="257">
        <f>IF(BW$7="Actual","",_xlfn.XLOOKUP($F217,c_Calculations!$H$15:$H$24,c_Calculations!BW$15:BW$24))</f>
        <v/>
      </c>
      <c r="BX221" s="257">
        <f>IF(BX$7="Actual","",_xlfn.XLOOKUP($F217,c_Calculations!$H$15:$H$24,c_Calculations!BX$15:BX$24))</f>
        <v/>
      </c>
      <c r="BY221" s="257">
        <f>IF(BY$7="Actual","",_xlfn.XLOOKUP($F217,c_Calculations!$H$15:$H$24,c_Calculations!BY$15:BY$24))</f>
        <v/>
      </c>
      <c r="BZ221" s="257">
        <f>IF(BZ$7="Actual","",_xlfn.XLOOKUP($F217,c_Calculations!$H$15:$H$24,c_Calculations!BZ$15:BZ$24))</f>
        <v/>
      </c>
      <c r="CA221" s="257">
        <f>IF(CA$7="Actual","",_xlfn.XLOOKUP($F217,c_Calculations!$H$15:$H$24,c_Calculations!CA$15:CA$24))</f>
        <v/>
      </c>
    </row>
    <row r="222" ht="12" customHeight="1" s="227">
      <c r="A222" s="244" t="n"/>
      <c r="B222" s="244" t="n"/>
      <c r="C222" s="244" t="n"/>
    </row>
    <row r="223" ht="12" customHeight="1" s="227">
      <c r="A223" s="244" t="n"/>
      <c r="B223" s="244" t="n"/>
      <c r="C223" s="244" t="n"/>
    </row>
    <row r="224" ht="12" customHeight="1" s="227">
      <c r="A224" s="244" t="n"/>
      <c r="B224" s="244" t="n"/>
      <c r="C224" s="244" t="n"/>
      <c r="G224" s="222" t="inlineStr">
        <is>
          <t>Direct CAPEX (Excl. Sales Tax)</t>
        </is>
      </c>
    </row>
    <row r="225" ht="12" customHeight="1" s="227">
      <c r="A225" s="244" t="n"/>
      <c r="B225" s="244" t="n"/>
      <c r="C225" s="244" t="n"/>
    </row>
    <row r="226" ht="12" customHeight="1" s="227">
      <c r="A226" s="244" t="n"/>
      <c r="B226" s="244" t="n"/>
      <c r="C226" s="244" t="n"/>
      <c r="H226" s="4">
        <f>H186</f>
        <v/>
      </c>
      <c r="I226" s="27">
        <f>i_Setup!$M$16</f>
        <v/>
      </c>
      <c r="M226" s="245">
        <f>SUMIF($T$4:$CA$4,M$4,$T226:$CA226)</f>
        <v/>
      </c>
      <c r="N226" s="245">
        <f>SUMIF($T$4:$CA$4,N$4,$T226:$CA226)</f>
        <v/>
      </c>
      <c r="O226" s="245">
        <f>SUMIF($T$4:$CA$4,O$4,$T226:$CA226)</f>
        <v/>
      </c>
      <c r="P226" s="245">
        <f>SUMIF($T$4:$CA$4,P$4,$T226:$CA226)</f>
        <v/>
      </c>
      <c r="Q226" s="245">
        <f>SUMIF($T$4:$CA$4,Q$4,$T226:$CA226)</f>
        <v/>
      </c>
      <c r="T226" s="256" t="n"/>
      <c r="U226" s="256" t="n"/>
      <c r="V226" s="256" t="n"/>
      <c r="W226" s="256" t="n"/>
      <c r="X226" s="256" t="n"/>
      <c r="Y226" s="256" t="n"/>
      <c r="Z226" s="256" t="n"/>
      <c r="AA226" s="256" t="n"/>
      <c r="AB226" s="256" t="n"/>
      <c r="AC226" s="256" t="n"/>
      <c r="AD226" s="256" t="n"/>
      <c r="AE226" s="256" t="n"/>
      <c r="AF226" s="256" t="n"/>
      <c r="AG226" s="256" t="n"/>
      <c r="AH226" s="256" t="n"/>
      <c r="AI226" s="256" t="n"/>
      <c r="AJ226" s="256" t="n"/>
      <c r="AK226" s="256" t="n"/>
      <c r="AL226" s="256" t="n"/>
      <c r="AM226" s="256" t="n"/>
      <c r="AN226" s="256" t="n"/>
      <c r="AO226" s="256" t="n"/>
      <c r="AP226" s="256" t="n"/>
      <c r="AQ226" s="256" t="n"/>
      <c r="AR226" s="256" t="n"/>
      <c r="AS226" s="256" t="n"/>
      <c r="AT226" s="256" t="n"/>
      <c r="AU226" s="256" t="n"/>
      <c r="AV226" s="256" t="n"/>
      <c r="AW226" s="256" t="n"/>
      <c r="AX226" s="256" t="n"/>
      <c r="AY226" s="256" t="n"/>
      <c r="AZ226" s="256" t="n"/>
      <c r="BA226" s="256" t="n"/>
      <c r="BB226" s="256" t="n"/>
      <c r="BC226" s="256" t="n"/>
      <c r="BD226" s="256" t="n"/>
      <c r="BE226" s="256" t="n"/>
      <c r="BF226" s="256" t="n"/>
      <c r="BG226" s="256" t="n"/>
      <c r="BH226" s="256" t="n"/>
      <c r="BI226" s="256" t="n"/>
      <c r="BJ226" s="256" t="n"/>
      <c r="BK226" s="256" t="n"/>
      <c r="BL226" s="256" t="n"/>
      <c r="BM226" s="256" t="n"/>
      <c r="BN226" s="256" t="n"/>
      <c r="BO226" s="256" t="n">
        <v>200000</v>
      </c>
      <c r="BP226" s="256" t="n"/>
      <c r="BQ226" s="256" t="n"/>
      <c r="BR226" s="256" t="n"/>
      <c r="BS226" s="256" t="n"/>
      <c r="BT226" s="256" t="n"/>
      <c r="BU226" s="256" t="n"/>
      <c r="BV226" s="256" t="n"/>
      <c r="BW226" s="256" t="n"/>
      <c r="BX226" s="256" t="n"/>
      <c r="BY226" s="256" t="n"/>
      <c r="BZ226" s="256" t="n"/>
      <c r="CA226" s="256" t="n"/>
    </row>
    <row r="227" ht="12" customHeight="1" s="227">
      <c r="A227" s="244" t="n"/>
      <c r="B227" s="244" t="n"/>
      <c r="C227" s="244" t="n"/>
      <c r="H227" s="4">
        <f>H187</f>
        <v/>
      </c>
      <c r="I227" s="27">
        <f>i_Setup!$M$16</f>
        <v/>
      </c>
      <c r="M227" s="245">
        <f>SUMIF($T$4:$CA$4,M$4,$T227:$CA227)</f>
        <v/>
      </c>
      <c r="N227" s="245">
        <f>SUMIF($T$4:$CA$4,N$4,$T227:$CA227)</f>
        <v/>
      </c>
      <c r="O227" s="245">
        <f>SUMIF($T$4:$CA$4,O$4,$T227:$CA227)</f>
        <v/>
      </c>
      <c r="P227" s="245">
        <f>SUMIF($T$4:$CA$4,P$4,$T227:$CA227)</f>
        <v/>
      </c>
      <c r="Q227" s="245">
        <f>SUMIF($T$4:$CA$4,Q$4,$T227:$CA227)</f>
        <v/>
      </c>
      <c r="T227" s="256" t="n"/>
      <c r="U227" s="256" t="n"/>
      <c r="V227" s="256" t="n"/>
      <c r="W227" s="256" t="n"/>
      <c r="X227" s="256" t="n"/>
      <c r="Y227" s="256" t="n"/>
      <c r="Z227" s="256" t="n"/>
      <c r="AA227" s="256" t="n"/>
      <c r="AB227" s="256" t="n"/>
      <c r="AC227" s="256" t="n"/>
      <c r="AD227" s="256" t="n"/>
      <c r="AE227" s="256" t="n"/>
      <c r="AF227" s="256" t="n"/>
      <c r="AG227" s="256" t="n"/>
      <c r="AH227" s="256" t="n"/>
      <c r="AI227" s="256" t="n"/>
      <c r="AJ227" s="256" t="n"/>
      <c r="AK227" s="256" t="n"/>
      <c r="AL227" s="256" t="n"/>
      <c r="AM227" s="256" t="n"/>
      <c r="AN227" s="256" t="n"/>
      <c r="AO227" s="256" t="n"/>
      <c r="AP227" s="256" t="n"/>
      <c r="AQ227" s="256" t="n"/>
      <c r="AR227" s="256" t="n"/>
      <c r="AS227" s="256" t="n"/>
      <c r="AT227" s="256" t="n"/>
      <c r="AU227" s="256" t="n"/>
      <c r="AV227" s="256" t="n"/>
      <c r="AW227" s="256" t="n"/>
      <c r="AX227" s="256" t="n"/>
      <c r="AY227" s="256" t="n"/>
      <c r="AZ227" s="256" t="n"/>
      <c r="BA227" s="256" t="n"/>
      <c r="BB227" s="256" t="n"/>
      <c r="BC227" s="256" t="n"/>
      <c r="BD227" s="256" t="n"/>
      <c r="BE227" s="256" t="n"/>
      <c r="BF227" s="256" t="n"/>
      <c r="BG227" s="256" t="n"/>
      <c r="BH227" s="256" t="n"/>
      <c r="BI227" s="256" t="n"/>
      <c r="BJ227" s="256" t="n"/>
      <c r="BK227" s="256" t="n"/>
      <c r="BL227" s="256" t="n"/>
      <c r="BM227" s="256" t="n"/>
      <c r="BN227" s="256" t="n"/>
      <c r="BO227" s="256" t="n">
        <v>100000</v>
      </c>
      <c r="BP227" s="256" t="n"/>
      <c r="BQ227" s="256" t="n"/>
      <c r="BR227" s="256" t="n"/>
      <c r="BS227" s="256" t="n"/>
      <c r="BT227" s="256" t="n"/>
      <c r="BU227" s="256" t="n"/>
      <c r="BV227" s="256" t="n"/>
      <c r="BW227" s="256" t="n"/>
      <c r="BX227" s="256" t="n"/>
      <c r="BY227" s="256" t="n"/>
      <c r="BZ227" s="256" t="n"/>
      <c r="CA227" s="256" t="n"/>
    </row>
    <row r="228" ht="12" customHeight="1" s="227">
      <c r="A228" s="244" t="n"/>
      <c r="B228" s="244" t="n"/>
      <c r="C228" s="244" t="n"/>
      <c r="H228" s="4">
        <f>H188</f>
        <v/>
      </c>
      <c r="I228" s="27">
        <f>i_Setup!$M$16</f>
        <v/>
      </c>
      <c r="M228" s="245">
        <f>SUMIF($T$4:$CA$4,M$4,$T228:$CA228)</f>
        <v/>
      </c>
      <c r="N228" s="245">
        <f>SUMIF($T$4:$CA$4,N$4,$T228:$CA228)</f>
        <v/>
      </c>
      <c r="O228" s="245">
        <f>SUMIF($T$4:$CA$4,O$4,$T228:$CA228)</f>
        <v/>
      </c>
      <c r="P228" s="245">
        <f>SUMIF($T$4:$CA$4,P$4,$T228:$CA228)</f>
        <v/>
      </c>
      <c r="Q228" s="245">
        <f>SUMIF($T$4:$CA$4,Q$4,$T228:$CA228)</f>
        <v/>
      </c>
      <c r="T228" s="256" t="n"/>
      <c r="U228" s="256" t="n"/>
      <c r="V228" s="256" t="n"/>
      <c r="W228" s="256" t="n"/>
      <c r="X228" s="256" t="n"/>
      <c r="Y228" s="256" t="n"/>
      <c r="Z228" s="256" t="n"/>
      <c r="AA228" s="256" t="n"/>
      <c r="AB228" s="256" t="n"/>
      <c r="AC228" s="256" t="n"/>
      <c r="AD228" s="256" t="n"/>
      <c r="AE228" s="256" t="n"/>
      <c r="AF228" s="256" t="n"/>
      <c r="AG228" s="256" t="n"/>
      <c r="AH228" s="256" t="n"/>
      <c r="AI228" s="256" t="n"/>
      <c r="AJ228" s="256" t="n"/>
      <c r="AK228" s="256" t="n"/>
      <c r="AL228" s="256" t="n"/>
      <c r="AM228" s="256" t="n"/>
      <c r="AN228" s="256" t="n"/>
      <c r="AO228" s="256" t="n"/>
      <c r="AP228" s="256" t="n"/>
      <c r="AQ228" s="256" t="n"/>
      <c r="AR228" s="256" t="n"/>
      <c r="AS228" s="256" t="n"/>
      <c r="AT228" s="256" t="n"/>
      <c r="AU228" s="256" t="n"/>
      <c r="AV228" s="256" t="n"/>
      <c r="AW228" s="256" t="n"/>
      <c r="AX228" s="256" t="n"/>
      <c r="AY228" s="256" t="n"/>
      <c r="AZ228" s="256" t="n"/>
      <c r="BA228" s="256" t="n"/>
      <c r="BB228" s="256" t="n"/>
      <c r="BC228" s="256" t="n"/>
      <c r="BD228" s="256" t="n"/>
      <c r="BE228" s="256" t="n"/>
      <c r="BF228" s="256" t="n"/>
      <c r="BG228" s="256" t="n"/>
      <c r="BH228" s="256" t="n"/>
      <c r="BI228" s="256" t="n"/>
      <c r="BJ228" s="256" t="n"/>
      <c r="BK228" s="256" t="n"/>
      <c r="BL228" s="256" t="n"/>
      <c r="BM228" s="256" t="n"/>
      <c r="BN228" s="256" t="n"/>
      <c r="BO228" s="256" t="n">
        <v>150000</v>
      </c>
      <c r="BP228" s="256" t="n"/>
      <c r="BQ228" s="256" t="n"/>
      <c r="BR228" s="256" t="n"/>
      <c r="BS228" s="256" t="n"/>
      <c r="BT228" s="256" t="n"/>
      <c r="BU228" s="256" t="n"/>
      <c r="BV228" s="256" t="n"/>
      <c r="BW228" s="256" t="n"/>
      <c r="BX228" s="256" t="n"/>
      <c r="BY228" s="256" t="n"/>
      <c r="BZ228" s="256" t="n"/>
      <c r="CA228" s="256" t="n"/>
    </row>
    <row r="229" ht="12" customHeight="1" s="227">
      <c r="A229" s="244" t="n"/>
      <c r="B229" s="244" t="n"/>
      <c r="C229" s="244" t="n"/>
      <c r="H229" s="4">
        <f>H189</f>
        <v/>
      </c>
      <c r="I229" s="27">
        <f>i_Setup!$M$16</f>
        <v/>
      </c>
      <c r="M229" s="245">
        <f>SUMIF($T$4:$CA$4,M$4,$T229:$CA229)</f>
        <v/>
      </c>
      <c r="N229" s="245">
        <f>SUMIF($T$4:$CA$4,N$4,$T229:$CA229)</f>
        <v/>
      </c>
      <c r="O229" s="245">
        <f>SUMIF($T$4:$CA$4,O$4,$T229:$CA229)</f>
        <v/>
      </c>
      <c r="P229" s="245">
        <f>SUMIF($T$4:$CA$4,P$4,$T229:$CA229)</f>
        <v/>
      </c>
      <c r="Q229" s="245">
        <f>SUMIF($T$4:$CA$4,Q$4,$T229:$CA229)</f>
        <v/>
      </c>
      <c r="T229" s="256" t="n"/>
      <c r="U229" s="256" t="n"/>
      <c r="V229" s="256" t="n"/>
      <c r="W229" s="256" t="n"/>
      <c r="X229" s="256" t="n"/>
      <c r="Y229" s="256" t="n"/>
      <c r="Z229" s="256" t="n"/>
      <c r="AA229" s="256" t="n"/>
      <c r="AB229" s="256" t="n"/>
      <c r="AC229" s="256" t="n"/>
      <c r="AD229" s="256" t="n"/>
      <c r="AE229" s="256" t="n"/>
      <c r="AF229" s="256" t="n"/>
      <c r="AG229" s="256" t="n"/>
      <c r="AH229" s="256" t="n"/>
      <c r="AI229" s="256" t="n"/>
      <c r="AJ229" s="256" t="n"/>
      <c r="AK229" s="256" t="n"/>
      <c r="AL229" s="256" t="n"/>
      <c r="AM229" s="256" t="n"/>
      <c r="AN229" s="256" t="n"/>
      <c r="AO229" s="256" t="n"/>
      <c r="AP229" s="256" t="n"/>
      <c r="AQ229" s="256" t="n"/>
      <c r="AR229" s="256" t="n"/>
      <c r="AS229" s="256" t="n"/>
      <c r="AT229" s="256" t="n"/>
      <c r="AU229" s="256" t="n"/>
      <c r="AV229" s="256" t="n"/>
      <c r="AW229" s="256" t="n"/>
      <c r="AX229" s="256" t="n"/>
      <c r="AY229" s="256" t="n"/>
      <c r="AZ229" s="256" t="n"/>
      <c r="BA229" s="256" t="n"/>
      <c r="BB229" s="256" t="n"/>
      <c r="BC229" s="256" t="n"/>
      <c r="BD229" s="256" t="n"/>
      <c r="BE229" s="256" t="n"/>
      <c r="BF229" s="256" t="n"/>
      <c r="BG229" s="256" t="n"/>
      <c r="BH229" s="256" t="n"/>
      <c r="BI229" s="256" t="n"/>
      <c r="BJ229" s="256" t="n"/>
      <c r="BK229" s="256" t="n"/>
      <c r="BL229" s="256" t="n"/>
      <c r="BM229" s="256" t="n"/>
      <c r="BN229" s="256" t="n"/>
      <c r="BO229" s="256" t="n"/>
      <c r="BP229" s="256" t="n"/>
      <c r="BQ229" s="256" t="n"/>
      <c r="BR229" s="256" t="n"/>
      <c r="BS229" s="256" t="n"/>
      <c r="BT229" s="256" t="n"/>
      <c r="BU229" s="256" t="n"/>
      <c r="BV229" s="256" t="n"/>
      <c r="BW229" s="256" t="n"/>
      <c r="BX229" s="256" t="n"/>
      <c r="BY229" s="256" t="n"/>
      <c r="BZ229" s="256" t="n"/>
      <c r="CA229" s="256" t="n"/>
    </row>
    <row r="230" ht="12" customHeight="1" s="227">
      <c r="A230" s="244" t="n"/>
      <c r="B230" s="244" t="n"/>
      <c r="C230" s="244" t="n"/>
      <c r="H230" s="4">
        <f>H190</f>
        <v/>
      </c>
      <c r="I230" s="27">
        <f>i_Setup!$M$16</f>
        <v/>
      </c>
      <c r="M230" s="245">
        <f>SUMIF($T$4:$CA$4,M$4,$T230:$CA230)</f>
        <v/>
      </c>
      <c r="N230" s="245">
        <f>SUMIF($T$4:$CA$4,N$4,$T230:$CA230)</f>
        <v/>
      </c>
      <c r="O230" s="245">
        <f>SUMIF($T$4:$CA$4,O$4,$T230:$CA230)</f>
        <v/>
      </c>
      <c r="P230" s="245">
        <f>SUMIF($T$4:$CA$4,P$4,$T230:$CA230)</f>
        <v/>
      </c>
      <c r="Q230" s="245">
        <f>SUMIF($T$4:$CA$4,Q$4,$T230:$CA230)</f>
        <v/>
      </c>
      <c r="T230" s="256" t="n"/>
      <c r="U230" s="256" t="n"/>
      <c r="V230" s="256" t="n"/>
      <c r="W230" s="256" t="n"/>
      <c r="X230" s="256" t="n"/>
      <c r="Y230" s="256" t="n"/>
      <c r="Z230" s="256" t="n"/>
      <c r="AA230" s="256" t="n"/>
      <c r="AB230" s="256" t="n"/>
      <c r="AC230" s="256" t="n"/>
      <c r="AD230" s="256" t="n"/>
      <c r="AE230" s="256" t="n"/>
      <c r="AF230" s="256" t="n"/>
      <c r="AG230" s="256" t="n"/>
      <c r="AH230" s="256" t="n"/>
      <c r="AI230" s="256" t="n"/>
      <c r="AJ230" s="256" t="n"/>
      <c r="AK230" s="256" t="n"/>
      <c r="AL230" s="256" t="n"/>
      <c r="AM230" s="256" t="n"/>
      <c r="AN230" s="256" t="n"/>
      <c r="AO230" s="256" t="n"/>
      <c r="AP230" s="256" t="n"/>
      <c r="AQ230" s="256" t="n"/>
      <c r="AR230" s="256" t="n"/>
      <c r="AS230" s="256" t="n"/>
      <c r="AT230" s="256" t="n"/>
      <c r="AU230" s="256" t="n"/>
      <c r="AV230" s="256" t="n"/>
      <c r="AW230" s="256" t="n"/>
      <c r="AX230" s="256" t="n"/>
      <c r="AY230" s="256" t="n"/>
      <c r="AZ230" s="256" t="n"/>
      <c r="BA230" s="256" t="n"/>
      <c r="BB230" s="256" t="n"/>
      <c r="BC230" s="256" t="n"/>
      <c r="BD230" s="256" t="n"/>
      <c r="BE230" s="256" t="n"/>
      <c r="BF230" s="256" t="n"/>
      <c r="BG230" s="256" t="n"/>
      <c r="BH230" s="256" t="n"/>
      <c r="BI230" s="256" t="n"/>
      <c r="BJ230" s="256" t="n"/>
      <c r="BK230" s="256" t="n"/>
      <c r="BL230" s="256" t="n"/>
      <c r="BM230" s="256" t="n"/>
      <c r="BN230" s="256" t="n"/>
      <c r="BO230" s="256" t="n"/>
      <c r="BP230" s="256" t="n"/>
      <c r="BQ230" s="256" t="n"/>
      <c r="BR230" s="256" t="n"/>
      <c r="BS230" s="256" t="n"/>
      <c r="BT230" s="256" t="n"/>
      <c r="BU230" s="256" t="n"/>
      <c r="BV230" s="256" t="n"/>
      <c r="BW230" s="256" t="n"/>
      <c r="BX230" s="256" t="n"/>
      <c r="BY230" s="256" t="n"/>
      <c r="BZ230" s="256" t="n"/>
      <c r="CA230" s="256" t="n"/>
    </row>
    <row r="231" ht="12" customHeight="1" s="227">
      <c r="A231" s="244" t="n"/>
      <c r="B231" s="244" t="n"/>
      <c r="C231" s="244" t="n"/>
    </row>
    <row r="232" ht="12" customHeight="1" s="227">
      <c r="A232" s="244" t="n"/>
      <c r="B232" s="244" t="n"/>
      <c r="C232" s="244" t="n"/>
    </row>
    <row r="233" ht="12" customHeight="1" s="227">
      <c r="A233" s="244" t="n"/>
      <c r="B233" s="244" t="n"/>
      <c r="C233" s="244" t="n"/>
      <c r="G233" s="222" t="inlineStr">
        <is>
          <t>Direct OPEX Per Ship Per Month (Excl VAT)</t>
        </is>
      </c>
    </row>
    <row r="234" ht="24" customHeight="1" s="227">
      <c r="A234" s="244" t="n"/>
      <c r="B234" s="244" t="n"/>
      <c r="C234" s="244" t="n"/>
      <c r="K234" s="161" t="inlineStr">
        <is>
          <t>Credit Terms Received (Months)</t>
        </is>
      </c>
    </row>
    <row r="235" ht="12" customHeight="1" s="227">
      <c r="A235" s="244" t="n"/>
      <c r="B235" s="244" t="n"/>
      <c r="C235" s="244" t="n"/>
      <c r="H235" s="4">
        <f>H195</f>
        <v/>
      </c>
      <c r="I235" s="27">
        <f>i_Setup!$M$16</f>
        <v/>
      </c>
      <c r="K235" s="259">
        <f>K195</f>
        <v/>
      </c>
      <c r="M235" s="256" t="n">
        <v>-1500</v>
      </c>
      <c r="N235" s="256">
        <f>M235*1.03</f>
        <v/>
      </c>
      <c r="O235" s="256">
        <f>N235*1.03</f>
        <v/>
      </c>
      <c r="P235" s="256">
        <f>O235*1.03</f>
        <v/>
      </c>
      <c r="Q235" s="256">
        <f>P235*1.03</f>
        <v/>
      </c>
    </row>
    <row r="236" ht="12" customHeight="1" s="227">
      <c r="A236" s="244" t="n"/>
      <c r="B236" s="244" t="n"/>
      <c r="C236" s="244" t="n"/>
      <c r="H236" s="4">
        <f>H196</f>
        <v/>
      </c>
      <c r="I236" s="27">
        <f>i_Setup!$M$16</f>
        <v/>
      </c>
      <c r="K236" s="259">
        <f>K196</f>
        <v/>
      </c>
      <c r="M236" s="256" t="n">
        <v>-2000</v>
      </c>
      <c r="N236" s="256">
        <f>M236*1.03</f>
        <v/>
      </c>
      <c r="O236" s="256">
        <f>N236*1.03</f>
        <v/>
      </c>
      <c r="P236" s="256">
        <f>O236*1.03</f>
        <v/>
      </c>
      <c r="Q236" s="256">
        <f>P236*1.03</f>
        <v/>
      </c>
    </row>
    <row r="237" ht="12" customHeight="1" s="227">
      <c r="A237" s="244" t="n"/>
      <c r="B237" s="244" t="n"/>
      <c r="C237" s="244" t="n"/>
      <c r="H237" s="4">
        <f>H197</f>
        <v/>
      </c>
      <c r="I237" s="27">
        <f>i_Setup!$M$16</f>
        <v/>
      </c>
      <c r="K237" s="259">
        <f>K197</f>
        <v/>
      </c>
      <c r="M237" s="256" t="n">
        <v>-500</v>
      </c>
      <c r="N237" s="256">
        <f>M237*1.03</f>
        <v/>
      </c>
      <c r="O237" s="256">
        <f>N237*1.03</f>
        <v/>
      </c>
      <c r="P237" s="256">
        <f>O237*1.03</f>
        <v/>
      </c>
      <c r="Q237" s="256">
        <f>P237*1.03</f>
        <v/>
      </c>
    </row>
    <row r="238" ht="12" customHeight="1" s="227">
      <c r="A238" s="244" t="n"/>
      <c r="B238" s="244" t="n"/>
      <c r="C238" s="244" t="n"/>
      <c r="H238" s="4">
        <f>H198</f>
        <v/>
      </c>
      <c r="I238" s="27">
        <f>i_Setup!$M$16</f>
        <v/>
      </c>
      <c r="K238" s="259">
        <f>K198</f>
        <v/>
      </c>
      <c r="M238" s="256" t="n">
        <v>-1000</v>
      </c>
      <c r="N238" s="256">
        <f>M238*1.03</f>
        <v/>
      </c>
      <c r="O238" s="256">
        <f>N238*1.03</f>
        <v/>
      </c>
      <c r="P238" s="256">
        <f>O238*1.03</f>
        <v/>
      </c>
      <c r="Q238" s="256">
        <f>P238*1.03</f>
        <v/>
      </c>
    </row>
    <row r="239" ht="12" customHeight="1" s="227">
      <c r="A239" s="244" t="n"/>
      <c r="B239" s="244" t="n"/>
      <c r="C239" s="244" t="n"/>
      <c r="H239" s="4">
        <f>H199</f>
        <v/>
      </c>
      <c r="I239" s="27">
        <f>i_Setup!$M$16</f>
        <v/>
      </c>
      <c r="K239" s="259">
        <f>K199</f>
        <v/>
      </c>
      <c r="M239" s="256" t="n">
        <v>-4000</v>
      </c>
      <c r="N239" s="256">
        <f>M239*1.03</f>
        <v/>
      </c>
      <c r="O239" s="256">
        <f>N239*1.03</f>
        <v/>
      </c>
      <c r="P239" s="256">
        <f>O239*1.03</f>
        <v/>
      </c>
      <c r="Q239" s="256">
        <f>P239*1.03</f>
        <v/>
      </c>
    </row>
    <row r="240" ht="12" customHeight="1" s="227">
      <c r="A240" s="244" t="n"/>
      <c r="B240" s="244" t="n"/>
      <c r="C240" s="244" t="n"/>
      <c r="H240" s="4">
        <f>H200</f>
        <v/>
      </c>
      <c r="I240" s="27">
        <f>i_Setup!$M$16</f>
        <v/>
      </c>
      <c r="K240" s="259">
        <f>K200</f>
        <v/>
      </c>
      <c r="M240" s="256" t="n"/>
      <c r="N240" s="256" t="n"/>
      <c r="O240" s="256" t="n"/>
      <c r="P240" s="256" t="n"/>
      <c r="Q240" s="256" t="n"/>
    </row>
    <row r="241" ht="12" customHeight="1" s="227">
      <c r="A241" s="244" t="n"/>
      <c r="B241" s="244" t="n"/>
      <c r="C241" s="244" t="n"/>
      <c r="H241" s="4">
        <f>H201</f>
        <v/>
      </c>
      <c r="I241" s="27">
        <f>i_Setup!$M$16</f>
        <v/>
      </c>
      <c r="K241" s="259">
        <f>K201</f>
        <v/>
      </c>
      <c r="M241" s="256" t="n"/>
      <c r="N241" s="256" t="n"/>
      <c r="O241" s="256" t="n"/>
      <c r="P241" s="256" t="n"/>
      <c r="Q241" s="256" t="n"/>
    </row>
    <row r="242" ht="12" customHeight="1" s="227">
      <c r="A242" s="244" t="n"/>
      <c r="B242" s="244" t="n"/>
      <c r="C242" s="244" t="n"/>
      <c r="H242" s="4">
        <f>H202</f>
        <v/>
      </c>
      <c r="I242" s="27">
        <f>i_Setup!$M$16</f>
        <v/>
      </c>
      <c r="K242" s="259">
        <f>K202</f>
        <v/>
      </c>
      <c r="M242" s="256" t="n"/>
      <c r="N242" s="256" t="n"/>
      <c r="O242" s="256" t="n"/>
      <c r="P242" s="256" t="n"/>
      <c r="Q242" s="256" t="n"/>
    </row>
    <row r="243" ht="12" customHeight="1" s="227">
      <c r="A243" s="244" t="n"/>
      <c r="B243" s="244" t="n"/>
      <c r="C243" s="244" t="n"/>
    </row>
    <row r="244" ht="12" customHeight="1" s="227">
      <c r="A244" s="244" t="n"/>
      <c r="B244" s="244" t="n"/>
      <c r="C244" s="244" t="n"/>
    </row>
    <row r="245" ht="12" customHeight="1" s="227">
      <c r="A245" s="244" t="n"/>
      <c r="B245" s="244" t="n"/>
      <c r="C245" s="244" t="n"/>
      <c r="G245" s="222" t="inlineStr">
        <is>
          <t>Direct Staff Numbers Per Ship</t>
        </is>
      </c>
    </row>
    <row r="246" ht="12" customHeight="1" s="227">
      <c r="A246" s="244" t="n"/>
      <c r="B246" s="244" t="n"/>
      <c r="C246" s="244" t="n"/>
    </row>
    <row r="247" ht="12" customHeight="1" s="227">
      <c r="A247" s="244" t="n"/>
      <c r="B247" s="244" t="n"/>
      <c r="C247" s="244" t="n"/>
      <c r="H247" s="4">
        <f>H207</f>
        <v/>
      </c>
      <c r="I247" s="27" t="inlineStr">
        <is>
          <t>no</t>
        </is>
      </c>
      <c r="M247" s="258" t="n">
        <v>1</v>
      </c>
      <c r="N247" s="258" t="n">
        <v>1</v>
      </c>
      <c r="O247" s="258" t="n">
        <v>1</v>
      </c>
      <c r="P247" s="258" t="n">
        <v>1</v>
      </c>
      <c r="Q247" s="258" t="n">
        <v>1</v>
      </c>
    </row>
    <row r="248" ht="12" customHeight="1" s="227">
      <c r="A248" s="244" t="n"/>
      <c r="B248" s="244" t="n"/>
      <c r="C248" s="244" t="n"/>
      <c r="H248" s="4">
        <f>H208</f>
        <v/>
      </c>
      <c r="I248" s="27" t="inlineStr">
        <is>
          <t>no</t>
        </is>
      </c>
      <c r="M248" s="258" t="n">
        <v>2</v>
      </c>
      <c r="N248" s="258" t="n">
        <v>2</v>
      </c>
      <c r="O248" s="258" t="n">
        <v>2</v>
      </c>
      <c r="P248" s="258" t="n">
        <v>2</v>
      </c>
      <c r="Q248" s="258" t="n">
        <v>2</v>
      </c>
    </row>
    <row r="249" ht="12" customHeight="1" s="227">
      <c r="A249" s="244" t="n"/>
      <c r="B249" s="244" t="n"/>
      <c r="C249" s="244" t="n"/>
      <c r="H249" s="4">
        <f>H209</f>
        <v/>
      </c>
      <c r="I249" s="27" t="inlineStr">
        <is>
          <t>no</t>
        </is>
      </c>
      <c r="M249" s="258" t="n">
        <v>2</v>
      </c>
      <c r="N249" s="258" t="n">
        <v>2</v>
      </c>
      <c r="O249" s="258" t="n">
        <v>2</v>
      </c>
      <c r="P249" s="258" t="n">
        <v>2</v>
      </c>
      <c r="Q249" s="258" t="n">
        <v>2</v>
      </c>
    </row>
    <row r="250" ht="12" customHeight="1" s="227">
      <c r="A250" s="244" t="n"/>
      <c r="B250" s="244" t="n"/>
      <c r="C250" s="244" t="n"/>
      <c r="H250" s="4">
        <f>H210</f>
        <v/>
      </c>
      <c r="I250" s="27" t="inlineStr">
        <is>
          <t>no</t>
        </is>
      </c>
      <c r="M250" s="258" t="n">
        <v>5</v>
      </c>
      <c r="N250" s="258" t="n">
        <v>5</v>
      </c>
      <c r="O250" s="258" t="n">
        <v>5</v>
      </c>
      <c r="P250" s="258" t="n">
        <v>5</v>
      </c>
      <c r="Q250" s="258" t="n">
        <v>5</v>
      </c>
    </row>
    <row r="251" ht="12" customHeight="1" s="227">
      <c r="A251" s="244" t="n"/>
      <c r="B251" s="244" t="n"/>
      <c r="C251" s="244" t="n"/>
      <c r="H251" s="4">
        <f>H211</f>
        <v/>
      </c>
      <c r="I251" s="27" t="inlineStr">
        <is>
          <t>no</t>
        </is>
      </c>
      <c r="M251" s="258" t="n">
        <v>3</v>
      </c>
      <c r="N251" s="258" t="n">
        <v>3</v>
      </c>
      <c r="O251" s="258" t="n">
        <v>3</v>
      </c>
      <c r="P251" s="258" t="n">
        <v>3</v>
      </c>
      <c r="Q251" s="258" t="n">
        <v>3</v>
      </c>
    </row>
    <row r="252" ht="12" customHeight="1" s="227">
      <c r="A252" s="244" t="n"/>
      <c r="B252" s="244" t="n"/>
      <c r="C252" s="244" t="n"/>
      <c r="H252" s="4">
        <f>H212</f>
        <v/>
      </c>
      <c r="I252" s="27" t="inlineStr">
        <is>
          <t>no</t>
        </is>
      </c>
      <c r="M252" s="258" t="n">
        <v>2</v>
      </c>
      <c r="N252" s="258" t="n">
        <v>2</v>
      </c>
      <c r="O252" s="258" t="n">
        <v>2</v>
      </c>
      <c r="P252" s="258" t="n">
        <v>2</v>
      </c>
      <c r="Q252" s="258" t="n">
        <v>2</v>
      </c>
    </row>
    <row r="253" ht="12" customHeight="1" s="227">
      <c r="A253" s="244" t="n"/>
      <c r="B253" s="244" t="n"/>
      <c r="C253" s="244" t="n"/>
      <c r="H253" s="4">
        <f>H213</f>
        <v/>
      </c>
      <c r="I253" s="27" t="inlineStr">
        <is>
          <t>no</t>
        </is>
      </c>
      <c r="M253" s="258" t="n"/>
      <c r="N253" s="258" t="n"/>
      <c r="O253" s="258" t="n"/>
      <c r="P253" s="258" t="n"/>
      <c r="Q253" s="258" t="n"/>
    </row>
    <row r="254" ht="12" customHeight="1" s="227">
      <c r="A254" s="244" t="n"/>
      <c r="B254" s="244" t="n"/>
      <c r="C254" s="244" t="n"/>
      <c r="H254" s="4">
        <f>H214</f>
        <v/>
      </c>
      <c r="I254" s="27" t="inlineStr">
        <is>
          <t>no</t>
        </is>
      </c>
      <c r="M254" s="258" t="n"/>
      <c r="N254" s="258" t="n"/>
      <c r="O254" s="258" t="n"/>
      <c r="P254" s="258" t="n"/>
      <c r="Q254" s="258" t="n"/>
    </row>
    <row r="255" ht="12" customHeight="1" s="227">
      <c r="A255" s="244" t="n"/>
      <c r="B255" s="244" t="n"/>
      <c r="C255" s="244" t="n"/>
    </row>
    <row r="256" ht="12" customHeight="1" s="227">
      <c r="A256" s="244" t="n"/>
      <c r="B256" s="244" t="n"/>
      <c r="C256" s="244" t="n"/>
    </row>
    <row r="257" ht="13.5" customFormat="1" customHeight="1" s="223" thickBot="1">
      <c r="E257" s="223">
        <f>Heading2</f>
        <v/>
      </c>
      <c r="F257" s="223">
        <f>i_Setup!U37</f>
        <v/>
      </c>
    </row>
    <row r="258" ht="12" customHeight="1" s="227">
      <c r="A258" s="244" t="n"/>
      <c r="B258" s="244" t="n"/>
      <c r="C258" s="244" t="n"/>
    </row>
    <row r="259" ht="12" customHeight="1" s="227">
      <c r="A259" s="244" t="n"/>
      <c r="B259" s="244" t="n"/>
      <c r="C259" s="244" t="n"/>
      <c r="G259" s="222" t="inlineStr">
        <is>
          <t>Number of Ships</t>
        </is>
      </c>
    </row>
    <row r="260" ht="12" customHeight="1" s="227">
      <c r="A260" s="244" t="n"/>
      <c r="B260" s="244" t="n"/>
      <c r="C260" s="244" t="n"/>
    </row>
    <row r="261" ht="12" customHeight="1" s="227">
      <c r="A261" s="244" t="n"/>
      <c r="B261" s="244" t="n"/>
      <c r="C261" s="244" t="n"/>
      <c r="H261" s="4">
        <f>F257</f>
        <v/>
      </c>
      <c r="I261" s="27" t="inlineStr">
        <is>
          <t>no.</t>
        </is>
      </c>
      <c r="M261" s="245">
        <f>SUMIF($T$2:$CA$2,M$2,$T261:$CA261)</f>
        <v/>
      </c>
      <c r="N261" s="245">
        <f>SUMIF($T$2:$CA$2,N$2,$T261:$CA261)</f>
        <v/>
      </c>
      <c r="O261" s="245">
        <f>SUMIF($T$2:$CA$2,O$2,$T261:$CA261)</f>
        <v/>
      </c>
      <c r="P261" s="245">
        <f>SUMIF($T$2:$CA$2,P$2,$T261:$CA261)</f>
        <v/>
      </c>
      <c r="Q261" s="245">
        <f>SUMIF($T$2:$CA$2,Q$2,$T261:$CA261)</f>
        <v/>
      </c>
      <c r="T261" s="257">
        <f>IF(T$7="Actual","",_xlfn.XLOOKUP($F257,c_Calculations!$H$15:$H$24,c_Calculations!T$15:T$24))</f>
        <v/>
      </c>
      <c r="U261" s="257">
        <f>IF(U$7="Actual","",_xlfn.XLOOKUP($F257,c_Calculations!$H$15:$H$24,c_Calculations!U$15:U$24))</f>
        <v/>
      </c>
      <c r="V261" s="257">
        <f>IF(V$7="Actual","",_xlfn.XLOOKUP($F257,c_Calculations!$H$15:$H$24,c_Calculations!V$15:V$24))</f>
        <v/>
      </c>
      <c r="W261" s="257">
        <f>IF(W$7="Actual","",_xlfn.XLOOKUP($F257,c_Calculations!$H$15:$H$24,c_Calculations!W$15:W$24))</f>
        <v/>
      </c>
      <c r="X261" s="257">
        <f>IF(X$7="Actual","",_xlfn.XLOOKUP($F257,c_Calculations!$H$15:$H$24,c_Calculations!X$15:X$24))</f>
        <v/>
      </c>
      <c r="Y261" s="257">
        <f>IF(Y$7="Actual","",_xlfn.XLOOKUP($F257,c_Calculations!$H$15:$H$24,c_Calculations!Y$15:Y$24))</f>
        <v/>
      </c>
      <c r="Z261" s="257">
        <f>IF(Z$7="Actual","",_xlfn.XLOOKUP($F257,c_Calculations!$H$15:$H$24,c_Calculations!Z$15:Z$24))</f>
        <v/>
      </c>
      <c r="AA261" s="257">
        <f>IF(AA$7="Actual","",_xlfn.XLOOKUP($F257,c_Calculations!$H$15:$H$24,c_Calculations!AA$15:AA$24))</f>
        <v/>
      </c>
      <c r="AB261" s="257">
        <f>IF(AB$7="Actual","",_xlfn.XLOOKUP($F257,c_Calculations!$H$15:$H$24,c_Calculations!AB$15:AB$24))</f>
        <v/>
      </c>
      <c r="AC261" s="257">
        <f>IF(AC$7="Actual","",_xlfn.XLOOKUP($F257,c_Calculations!$H$15:$H$24,c_Calculations!AC$15:AC$24))</f>
        <v/>
      </c>
      <c r="AD261" s="257">
        <f>IF(AD$7="Actual","",_xlfn.XLOOKUP($F257,c_Calculations!$H$15:$H$24,c_Calculations!AD$15:AD$24))</f>
        <v/>
      </c>
      <c r="AE261" s="257">
        <f>IF(AE$7="Actual","",_xlfn.XLOOKUP($F257,c_Calculations!$H$15:$H$24,c_Calculations!AE$15:AE$24))</f>
        <v/>
      </c>
      <c r="AF261" s="257">
        <f>IF(AF$7="Actual","",_xlfn.XLOOKUP($F257,c_Calculations!$H$15:$H$24,c_Calculations!AF$15:AF$24))</f>
        <v/>
      </c>
      <c r="AG261" s="257">
        <f>IF(AG$7="Actual","",_xlfn.XLOOKUP($F257,c_Calculations!$H$15:$H$24,c_Calculations!AG$15:AG$24))</f>
        <v/>
      </c>
      <c r="AH261" s="257">
        <f>IF(AH$7="Actual","",_xlfn.XLOOKUP($F257,c_Calculations!$H$15:$H$24,c_Calculations!AH$15:AH$24))</f>
        <v/>
      </c>
      <c r="AI261" s="257">
        <f>IF(AI$7="Actual","",_xlfn.XLOOKUP($F257,c_Calculations!$H$15:$H$24,c_Calculations!AI$15:AI$24))</f>
        <v/>
      </c>
      <c r="AJ261" s="257">
        <f>IF(AJ$7="Actual","",_xlfn.XLOOKUP($F257,c_Calculations!$H$15:$H$24,c_Calculations!AJ$15:AJ$24))</f>
        <v/>
      </c>
      <c r="AK261" s="257">
        <f>IF(AK$7="Actual","",_xlfn.XLOOKUP($F257,c_Calculations!$H$15:$H$24,c_Calculations!AK$15:AK$24))</f>
        <v/>
      </c>
      <c r="AL261" s="257">
        <f>IF(AL$7="Actual","",_xlfn.XLOOKUP($F257,c_Calculations!$H$15:$H$24,c_Calculations!AL$15:AL$24))</f>
        <v/>
      </c>
      <c r="AM261" s="257">
        <f>IF(AM$7="Actual","",_xlfn.XLOOKUP($F257,c_Calculations!$H$15:$H$24,c_Calculations!AM$15:AM$24))</f>
        <v/>
      </c>
      <c r="AN261" s="257">
        <f>IF(AN$7="Actual","",_xlfn.XLOOKUP($F257,c_Calculations!$H$15:$H$24,c_Calculations!AN$15:AN$24))</f>
        <v/>
      </c>
      <c r="AO261" s="257">
        <f>IF(AO$7="Actual","",_xlfn.XLOOKUP($F257,c_Calculations!$H$15:$H$24,c_Calculations!AO$15:AO$24))</f>
        <v/>
      </c>
      <c r="AP261" s="257">
        <f>IF(AP$7="Actual","",_xlfn.XLOOKUP($F257,c_Calculations!$H$15:$H$24,c_Calculations!AP$15:AP$24))</f>
        <v/>
      </c>
      <c r="AQ261" s="257">
        <f>IF(AQ$7="Actual","",_xlfn.XLOOKUP($F257,c_Calculations!$H$15:$H$24,c_Calculations!AQ$15:AQ$24))</f>
        <v/>
      </c>
      <c r="AR261" s="257">
        <f>IF(AR$7="Actual","",_xlfn.XLOOKUP($F257,c_Calculations!$H$15:$H$24,c_Calculations!AR$15:AR$24))</f>
        <v/>
      </c>
      <c r="AS261" s="257">
        <f>IF(AS$7="Actual","",_xlfn.XLOOKUP($F257,c_Calculations!$H$15:$H$24,c_Calculations!AS$15:AS$24))</f>
        <v/>
      </c>
      <c r="AT261" s="257">
        <f>IF(AT$7="Actual","",_xlfn.XLOOKUP($F257,c_Calculations!$H$15:$H$24,c_Calculations!AT$15:AT$24))</f>
        <v/>
      </c>
      <c r="AU261" s="257">
        <f>IF(AU$7="Actual","",_xlfn.XLOOKUP($F257,c_Calculations!$H$15:$H$24,c_Calculations!AU$15:AU$24))</f>
        <v/>
      </c>
      <c r="AV261" s="257">
        <f>IF(AV$7="Actual","",_xlfn.XLOOKUP($F257,c_Calculations!$H$15:$H$24,c_Calculations!AV$15:AV$24))</f>
        <v/>
      </c>
      <c r="AW261" s="257">
        <f>IF(AW$7="Actual","",_xlfn.XLOOKUP($F257,c_Calculations!$H$15:$H$24,c_Calculations!AW$15:AW$24))</f>
        <v/>
      </c>
      <c r="AX261" s="257">
        <f>IF(AX$7="Actual","",_xlfn.XLOOKUP($F257,c_Calculations!$H$15:$H$24,c_Calculations!AX$15:AX$24))</f>
        <v/>
      </c>
      <c r="AY261" s="257">
        <f>IF(AY$7="Actual","",_xlfn.XLOOKUP($F257,c_Calculations!$H$15:$H$24,c_Calculations!AY$15:AY$24))</f>
        <v/>
      </c>
      <c r="AZ261" s="257">
        <f>IF(AZ$7="Actual","",_xlfn.XLOOKUP($F257,c_Calculations!$H$15:$H$24,c_Calculations!AZ$15:AZ$24))</f>
        <v/>
      </c>
      <c r="BA261" s="257">
        <f>IF(BA$7="Actual","",_xlfn.XLOOKUP($F257,c_Calculations!$H$15:$H$24,c_Calculations!BA$15:BA$24))</f>
        <v/>
      </c>
      <c r="BB261" s="257">
        <f>IF(BB$7="Actual","",_xlfn.XLOOKUP($F257,c_Calculations!$H$15:$H$24,c_Calculations!BB$15:BB$24))</f>
        <v/>
      </c>
      <c r="BC261" s="257">
        <f>IF(BC$7="Actual","",_xlfn.XLOOKUP($F257,c_Calculations!$H$15:$H$24,c_Calculations!BC$15:BC$24))</f>
        <v/>
      </c>
      <c r="BD261" s="257">
        <f>IF(BD$7="Actual","",_xlfn.XLOOKUP($F257,c_Calculations!$H$15:$H$24,c_Calculations!BD$15:BD$24))</f>
        <v/>
      </c>
      <c r="BE261" s="257">
        <f>IF(BE$7="Actual","",_xlfn.XLOOKUP($F257,c_Calculations!$H$15:$H$24,c_Calculations!BE$15:BE$24))</f>
        <v/>
      </c>
      <c r="BF261" s="257">
        <f>IF(BF$7="Actual","",_xlfn.XLOOKUP($F257,c_Calculations!$H$15:$H$24,c_Calculations!BF$15:BF$24))</f>
        <v/>
      </c>
      <c r="BG261" s="257">
        <f>IF(BG$7="Actual","",_xlfn.XLOOKUP($F257,c_Calculations!$H$15:$H$24,c_Calculations!BG$15:BG$24))</f>
        <v/>
      </c>
      <c r="BH261" s="257">
        <f>IF(BH$7="Actual","",_xlfn.XLOOKUP($F257,c_Calculations!$H$15:$H$24,c_Calculations!BH$15:BH$24))</f>
        <v/>
      </c>
      <c r="BI261" s="257">
        <f>IF(BI$7="Actual","",_xlfn.XLOOKUP($F257,c_Calculations!$H$15:$H$24,c_Calculations!BI$15:BI$24))</f>
        <v/>
      </c>
      <c r="BJ261" s="257">
        <f>IF(BJ$7="Actual","",_xlfn.XLOOKUP($F257,c_Calculations!$H$15:$H$24,c_Calculations!BJ$15:BJ$24))</f>
        <v/>
      </c>
      <c r="BK261" s="257">
        <f>IF(BK$7="Actual","",_xlfn.XLOOKUP($F257,c_Calculations!$H$15:$H$24,c_Calculations!BK$15:BK$24))</f>
        <v/>
      </c>
      <c r="BL261" s="257">
        <f>IF(BL$7="Actual","",_xlfn.XLOOKUP($F257,c_Calculations!$H$15:$H$24,c_Calculations!BL$15:BL$24))</f>
        <v/>
      </c>
      <c r="BM261" s="257">
        <f>IF(BM$7="Actual","",_xlfn.XLOOKUP($F257,c_Calculations!$H$15:$H$24,c_Calculations!BM$15:BM$24))</f>
        <v/>
      </c>
      <c r="BN261" s="257">
        <f>IF(BN$7="Actual","",_xlfn.XLOOKUP($F257,c_Calculations!$H$15:$H$24,c_Calculations!BN$15:BN$24))</f>
        <v/>
      </c>
      <c r="BO261" s="257">
        <f>IF(BO$7="Actual","",_xlfn.XLOOKUP($F257,c_Calculations!$H$15:$H$24,c_Calculations!BO$15:BO$24))</f>
        <v/>
      </c>
      <c r="BP261" s="257">
        <f>IF(BP$7="Actual","",_xlfn.XLOOKUP($F257,c_Calculations!$H$15:$H$24,c_Calculations!BP$15:BP$24))</f>
        <v/>
      </c>
      <c r="BQ261" s="257">
        <f>IF(BQ$7="Actual","",_xlfn.XLOOKUP($F257,c_Calculations!$H$15:$H$24,c_Calculations!BQ$15:BQ$24))</f>
        <v/>
      </c>
      <c r="BR261" s="257">
        <f>IF(BR$7="Actual","",_xlfn.XLOOKUP($F257,c_Calculations!$H$15:$H$24,c_Calculations!BR$15:BR$24))</f>
        <v/>
      </c>
      <c r="BS261" s="257">
        <f>IF(BS$7="Actual","",_xlfn.XLOOKUP($F257,c_Calculations!$H$15:$H$24,c_Calculations!BS$15:BS$24))</f>
        <v/>
      </c>
      <c r="BT261" s="257">
        <f>IF(BT$7="Actual","",_xlfn.XLOOKUP($F257,c_Calculations!$H$15:$H$24,c_Calculations!BT$15:BT$24))</f>
        <v/>
      </c>
      <c r="BU261" s="257">
        <f>IF(BU$7="Actual","",_xlfn.XLOOKUP($F257,c_Calculations!$H$15:$H$24,c_Calculations!BU$15:BU$24))</f>
        <v/>
      </c>
      <c r="BV261" s="257">
        <f>IF(BV$7="Actual","",_xlfn.XLOOKUP($F257,c_Calculations!$H$15:$H$24,c_Calculations!BV$15:BV$24))</f>
        <v/>
      </c>
      <c r="BW261" s="257">
        <f>IF(BW$7="Actual","",_xlfn.XLOOKUP($F257,c_Calculations!$H$15:$H$24,c_Calculations!BW$15:BW$24))</f>
        <v/>
      </c>
      <c r="BX261" s="257">
        <f>IF(BX$7="Actual","",_xlfn.XLOOKUP($F257,c_Calculations!$H$15:$H$24,c_Calculations!BX$15:BX$24))</f>
        <v/>
      </c>
      <c r="BY261" s="257">
        <f>IF(BY$7="Actual","",_xlfn.XLOOKUP($F257,c_Calculations!$H$15:$H$24,c_Calculations!BY$15:BY$24))</f>
        <v/>
      </c>
      <c r="BZ261" s="257">
        <f>IF(BZ$7="Actual","",_xlfn.XLOOKUP($F257,c_Calculations!$H$15:$H$24,c_Calculations!BZ$15:BZ$24))</f>
        <v/>
      </c>
      <c r="CA261" s="257">
        <f>IF(CA$7="Actual","",_xlfn.XLOOKUP($F257,c_Calculations!$H$15:$H$24,c_Calculations!CA$15:CA$24))</f>
        <v/>
      </c>
    </row>
    <row r="262" ht="12" customHeight="1" s="227">
      <c r="A262" s="244" t="n"/>
      <c r="B262" s="244" t="n"/>
      <c r="C262" s="244" t="n"/>
    </row>
    <row r="263" ht="12" customHeight="1" s="227">
      <c r="A263" s="244" t="n"/>
      <c r="B263" s="244" t="n"/>
      <c r="C263" s="244" t="n"/>
    </row>
    <row r="264" ht="12" customHeight="1" s="227">
      <c r="A264" s="244" t="n"/>
      <c r="B264" s="244" t="n"/>
      <c r="C264" s="244" t="n"/>
      <c r="G264" s="222" t="inlineStr">
        <is>
          <t>Direct CAPEX (Excl. Sales Tax)</t>
        </is>
      </c>
    </row>
    <row r="265" ht="12" customHeight="1" s="227">
      <c r="A265" s="244" t="n"/>
      <c r="B265" s="244" t="n"/>
      <c r="C265" s="244" t="n"/>
    </row>
    <row r="266" ht="12" customHeight="1" s="227">
      <c r="A266" s="244" t="n"/>
      <c r="B266" s="244" t="n"/>
      <c r="C266" s="244" t="n"/>
      <c r="H266" s="4">
        <f>H226</f>
        <v/>
      </c>
      <c r="I266" s="27">
        <f>i_Setup!$M$16</f>
        <v/>
      </c>
      <c r="M266" s="245">
        <f>SUMIF($T$4:$CA$4,M$4,$T266:$CA266)</f>
        <v/>
      </c>
      <c r="N266" s="245">
        <f>SUMIF($T$4:$CA$4,N$4,$T266:$CA266)</f>
        <v/>
      </c>
      <c r="O266" s="245">
        <f>SUMIF($T$4:$CA$4,O$4,$T266:$CA266)</f>
        <v/>
      </c>
      <c r="P266" s="245">
        <f>SUMIF($T$4:$CA$4,P$4,$T266:$CA266)</f>
        <v/>
      </c>
      <c r="Q266" s="245">
        <f>SUMIF($T$4:$CA$4,Q$4,$T266:$CA266)</f>
        <v/>
      </c>
      <c r="T266" s="256" t="n"/>
      <c r="U266" s="256" t="n"/>
      <c r="V266" s="256" t="n"/>
      <c r="W266" s="256" t="n"/>
      <c r="X266" s="256" t="n"/>
      <c r="Y266" s="256" t="n"/>
      <c r="Z266" s="256" t="n"/>
      <c r="AA266" s="256" t="n"/>
      <c r="AB266" s="256" t="n"/>
      <c r="AC266" s="256" t="n"/>
      <c r="AD266" s="256" t="n"/>
      <c r="AE266" s="256" t="n"/>
      <c r="AF266" s="256" t="n"/>
      <c r="AG266" s="256" t="n"/>
      <c r="AH266" s="256" t="n"/>
      <c r="AI266" s="256" t="n"/>
      <c r="AJ266" s="256" t="n"/>
      <c r="AK266" s="256" t="n"/>
      <c r="AL266" s="256" t="n"/>
      <c r="AM266" s="256" t="n"/>
      <c r="AN266" s="256" t="n"/>
      <c r="AO266" s="256" t="n"/>
      <c r="AP266" s="256" t="n"/>
      <c r="AQ266" s="256" t="n"/>
      <c r="AR266" s="256" t="n"/>
      <c r="AS266" s="256" t="n"/>
      <c r="AT266" s="256" t="n"/>
      <c r="AU266" s="256" t="n"/>
      <c r="AV266" s="256" t="n"/>
      <c r="AW266" s="256" t="n"/>
      <c r="AX266" s="256" t="n"/>
      <c r="AY266" s="256" t="n"/>
      <c r="AZ266" s="256" t="n"/>
      <c r="BA266" s="256" t="n"/>
      <c r="BB266" s="256" t="n"/>
      <c r="BC266" s="256" t="n"/>
      <c r="BD266" s="256" t="n"/>
      <c r="BE266" s="256" t="n"/>
      <c r="BF266" s="256" t="n"/>
      <c r="BG266" s="256" t="n"/>
      <c r="BH266" s="256" t="n"/>
      <c r="BI266" s="256" t="n"/>
      <c r="BJ266" s="256" t="n"/>
      <c r="BK266" s="256" t="n"/>
      <c r="BL266" s="256" t="n"/>
      <c r="BM266" s="256" t="n"/>
      <c r="BN266" s="256" t="n"/>
      <c r="BO266" s="256" t="n"/>
      <c r="BP266" s="256" t="n"/>
      <c r="BQ266" s="256" t="n"/>
      <c r="BR266" s="256" t="n"/>
      <c r="BS266" s="256" t="n"/>
      <c r="BT266" s="256" t="n"/>
      <c r="BU266" s="256" t="n"/>
      <c r="BV266" s="256" t="n"/>
      <c r="BW266" s="256" t="n"/>
      <c r="BX266" s="256" t="n"/>
      <c r="BY266" s="256" t="n"/>
      <c r="BZ266" s="256" t="n"/>
      <c r="CA266" s="256" t="n"/>
    </row>
    <row r="267" ht="12" customHeight="1" s="227">
      <c r="A267" s="244" t="n"/>
      <c r="B267" s="244" t="n"/>
      <c r="C267" s="244" t="n"/>
      <c r="H267" s="4">
        <f>H227</f>
        <v/>
      </c>
      <c r="I267" s="27">
        <f>i_Setup!$M$16</f>
        <v/>
      </c>
      <c r="M267" s="245">
        <f>SUMIF($T$4:$CA$4,M$4,$T267:$CA267)</f>
        <v/>
      </c>
      <c r="N267" s="245">
        <f>SUMIF($T$4:$CA$4,N$4,$T267:$CA267)</f>
        <v/>
      </c>
      <c r="O267" s="245">
        <f>SUMIF($T$4:$CA$4,O$4,$T267:$CA267)</f>
        <v/>
      </c>
      <c r="P267" s="245">
        <f>SUMIF($T$4:$CA$4,P$4,$T267:$CA267)</f>
        <v/>
      </c>
      <c r="Q267" s="245">
        <f>SUMIF($T$4:$CA$4,Q$4,$T267:$CA267)</f>
        <v/>
      </c>
      <c r="T267" s="256" t="n"/>
      <c r="U267" s="256" t="n"/>
      <c r="V267" s="256" t="n"/>
      <c r="W267" s="256" t="n"/>
      <c r="X267" s="256" t="n"/>
      <c r="Y267" s="256" t="n"/>
      <c r="Z267" s="256" t="n"/>
      <c r="AA267" s="256" t="n"/>
      <c r="AB267" s="256" t="n"/>
      <c r="AC267" s="256" t="n"/>
      <c r="AD267" s="256" t="n"/>
      <c r="AE267" s="256" t="n"/>
      <c r="AF267" s="256" t="n"/>
      <c r="AG267" s="256" t="n"/>
      <c r="AH267" s="256" t="n"/>
      <c r="AI267" s="256" t="n"/>
      <c r="AJ267" s="256" t="n"/>
      <c r="AK267" s="256" t="n"/>
      <c r="AL267" s="256" t="n"/>
      <c r="AM267" s="256" t="n"/>
      <c r="AN267" s="256" t="n"/>
      <c r="AO267" s="256" t="n"/>
      <c r="AP267" s="256" t="n"/>
      <c r="AQ267" s="256" t="n"/>
      <c r="AR267" s="256" t="n"/>
      <c r="AS267" s="256" t="n"/>
      <c r="AT267" s="256" t="n"/>
      <c r="AU267" s="256" t="n"/>
      <c r="AV267" s="256" t="n"/>
      <c r="AW267" s="256" t="n"/>
      <c r="AX267" s="256" t="n"/>
      <c r="AY267" s="256" t="n"/>
      <c r="AZ267" s="256" t="n"/>
      <c r="BA267" s="256" t="n"/>
      <c r="BB267" s="256" t="n"/>
      <c r="BC267" s="256" t="n"/>
      <c r="BD267" s="256" t="n"/>
      <c r="BE267" s="256" t="n"/>
      <c r="BF267" s="256" t="n"/>
      <c r="BG267" s="256" t="n"/>
      <c r="BH267" s="256" t="n"/>
      <c r="BI267" s="256" t="n"/>
      <c r="BJ267" s="256" t="n"/>
      <c r="BK267" s="256" t="n"/>
      <c r="BL267" s="256" t="n"/>
      <c r="BM267" s="256" t="n"/>
      <c r="BN267" s="256" t="n"/>
      <c r="BO267" s="256" t="n"/>
      <c r="BP267" s="256" t="n"/>
      <c r="BQ267" s="256" t="n"/>
      <c r="BR267" s="256" t="n"/>
      <c r="BS267" s="256" t="n"/>
      <c r="BT267" s="256" t="n"/>
      <c r="BU267" s="256" t="n"/>
      <c r="BV267" s="256" t="n"/>
      <c r="BW267" s="256" t="n"/>
      <c r="BX267" s="256" t="n"/>
      <c r="BY267" s="256" t="n"/>
      <c r="BZ267" s="256" t="n"/>
      <c r="CA267" s="256" t="n"/>
    </row>
    <row r="268" ht="12" customHeight="1" s="227">
      <c r="A268" s="244" t="n"/>
      <c r="B268" s="244" t="n"/>
      <c r="C268" s="244" t="n"/>
      <c r="H268" s="4">
        <f>H228</f>
        <v/>
      </c>
      <c r="I268" s="27">
        <f>i_Setup!$M$16</f>
        <v/>
      </c>
      <c r="M268" s="245">
        <f>SUMIF($T$4:$CA$4,M$4,$T268:$CA268)</f>
        <v/>
      </c>
      <c r="N268" s="245">
        <f>SUMIF($T$4:$CA$4,N$4,$T268:$CA268)</f>
        <v/>
      </c>
      <c r="O268" s="245">
        <f>SUMIF($T$4:$CA$4,O$4,$T268:$CA268)</f>
        <v/>
      </c>
      <c r="P268" s="245">
        <f>SUMIF($T$4:$CA$4,P$4,$T268:$CA268)</f>
        <v/>
      </c>
      <c r="Q268" s="245">
        <f>SUMIF($T$4:$CA$4,Q$4,$T268:$CA268)</f>
        <v/>
      </c>
      <c r="T268" s="256" t="n"/>
      <c r="U268" s="256" t="n"/>
      <c r="V268" s="256" t="n"/>
      <c r="W268" s="256" t="n"/>
      <c r="X268" s="256" t="n"/>
      <c r="Y268" s="256" t="n"/>
      <c r="Z268" s="256" t="n"/>
      <c r="AA268" s="256" t="n"/>
      <c r="AB268" s="256" t="n"/>
      <c r="AC268" s="256" t="n"/>
      <c r="AD268" s="256" t="n"/>
      <c r="AE268" s="256" t="n"/>
      <c r="AF268" s="256" t="n"/>
      <c r="AG268" s="256" t="n"/>
      <c r="AH268" s="256" t="n"/>
      <c r="AI268" s="256" t="n"/>
      <c r="AJ268" s="256" t="n"/>
      <c r="AK268" s="256" t="n"/>
      <c r="AL268" s="256" t="n"/>
      <c r="AM268" s="256" t="n"/>
      <c r="AN268" s="256" t="n"/>
      <c r="AO268" s="256" t="n"/>
      <c r="AP268" s="256" t="n"/>
      <c r="AQ268" s="256" t="n"/>
      <c r="AR268" s="256" t="n"/>
      <c r="AS268" s="256" t="n"/>
      <c r="AT268" s="256" t="n"/>
      <c r="AU268" s="256" t="n"/>
      <c r="AV268" s="256" t="n"/>
      <c r="AW268" s="256" t="n"/>
      <c r="AX268" s="256" t="n"/>
      <c r="AY268" s="256" t="n"/>
      <c r="AZ268" s="256" t="n"/>
      <c r="BA268" s="256" t="n"/>
      <c r="BB268" s="256" t="n"/>
      <c r="BC268" s="256" t="n"/>
      <c r="BD268" s="256" t="n"/>
      <c r="BE268" s="256" t="n"/>
      <c r="BF268" s="256" t="n"/>
      <c r="BG268" s="256" t="n"/>
      <c r="BH268" s="256" t="n"/>
      <c r="BI268" s="256" t="n"/>
      <c r="BJ268" s="256" t="n"/>
      <c r="BK268" s="256" t="n"/>
      <c r="BL268" s="256" t="n"/>
      <c r="BM268" s="256" t="n"/>
      <c r="BN268" s="256" t="n"/>
      <c r="BO268" s="256" t="n"/>
      <c r="BP268" s="256" t="n"/>
      <c r="BQ268" s="256" t="n"/>
      <c r="BR268" s="256" t="n"/>
      <c r="BS268" s="256" t="n"/>
      <c r="BT268" s="256" t="n"/>
      <c r="BU268" s="256" t="n"/>
      <c r="BV268" s="256" t="n"/>
      <c r="BW268" s="256" t="n"/>
      <c r="BX268" s="256" t="n"/>
      <c r="BY268" s="256" t="n"/>
      <c r="BZ268" s="256" t="n"/>
      <c r="CA268" s="256" t="n"/>
    </row>
    <row r="269" ht="12" customHeight="1" s="227">
      <c r="A269" s="244" t="n"/>
      <c r="B269" s="244" t="n"/>
      <c r="C269" s="244" t="n"/>
      <c r="H269" s="4">
        <f>H229</f>
        <v/>
      </c>
      <c r="I269" s="27">
        <f>i_Setup!$M$16</f>
        <v/>
      </c>
      <c r="M269" s="245">
        <f>SUMIF($T$4:$CA$4,M$4,$T269:$CA269)</f>
        <v/>
      </c>
      <c r="N269" s="245">
        <f>SUMIF($T$4:$CA$4,N$4,$T269:$CA269)</f>
        <v/>
      </c>
      <c r="O269" s="245">
        <f>SUMIF($T$4:$CA$4,O$4,$T269:$CA269)</f>
        <v/>
      </c>
      <c r="P269" s="245">
        <f>SUMIF($T$4:$CA$4,P$4,$T269:$CA269)</f>
        <v/>
      </c>
      <c r="Q269" s="245">
        <f>SUMIF($T$4:$CA$4,Q$4,$T269:$CA269)</f>
        <v/>
      </c>
      <c r="T269" s="256" t="n"/>
      <c r="U269" s="256" t="n"/>
      <c r="V269" s="256" t="n"/>
      <c r="W269" s="256" t="n"/>
      <c r="X269" s="256" t="n"/>
      <c r="Y269" s="256" t="n"/>
      <c r="Z269" s="256" t="n"/>
      <c r="AA269" s="256" t="n"/>
      <c r="AB269" s="256" t="n"/>
      <c r="AC269" s="256" t="n"/>
      <c r="AD269" s="256" t="n"/>
      <c r="AE269" s="256" t="n"/>
      <c r="AF269" s="256" t="n"/>
      <c r="AG269" s="256" t="n"/>
      <c r="AH269" s="256" t="n"/>
      <c r="AI269" s="256" t="n"/>
      <c r="AJ269" s="256" t="n"/>
      <c r="AK269" s="256" t="n"/>
      <c r="AL269" s="256" t="n"/>
      <c r="AM269" s="256" t="n"/>
      <c r="AN269" s="256" t="n"/>
      <c r="AO269" s="256" t="n"/>
      <c r="AP269" s="256" t="n"/>
      <c r="AQ269" s="256" t="n"/>
      <c r="AR269" s="256" t="n"/>
      <c r="AS269" s="256" t="n"/>
      <c r="AT269" s="256" t="n"/>
      <c r="AU269" s="256" t="n"/>
      <c r="AV269" s="256" t="n"/>
      <c r="AW269" s="256" t="n"/>
      <c r="AX269" s="256" t="n"/>
      <c r="AY269" s="256" t="n"/>
      <c r="AZ269" s="256" t="n"/>
      <c r="BA269" s="256" t="n"/>
      <c r="BB269" s="256" t="n"/>
      <c r="BC269" s="256" t="n"/>
      <c r="BD269" s="256" t="n"/>
      <c r="BE269" s="256" t="n"/>
      <c r="BF269" s="256" t="n"/>
      <c r="BG269" s="256" t="n"/>
      <c r="BH269" s="256" t="n"/>
      <c r="BI269" s="256" t="n"/>
      <c r="BJ269" s="256" t="n"/>
      <c r="BK269" s="256" t="n"/>
      <c r="BL269" s="256" t="n"/>
      <c r="BM269" s="256" t="n"/>
      <c r="BN269" s="256" t="n"/>
      <c r="BO269" s="256" t="n"/>
      <c r="BP269" s="256" t="n"/>
      <c r="BQ269" s="256" t="n"/>
      <c r="BR269" s="256" t="n"/>
      <c r="BS269" s="256" t="n"/>
      <c r="BT269" s="256" t="n"/>
      <c r="BU269" s="256" t="n"/>
      <c r="BV269" s="256" t="n"/>
      <c r="BW269" s="256" t="n"/>
      <c r="BX269" s="256" t="n"/>
      <c r="BY269" s="256" t="n"/>
      <c r="BZ269" s="256" t="n"/>
      <c r="CA269" s="256" t="n"/>
    </row>
    <row r="270" ht="12" customHeight="1" s="227">
      <c r="A270" s="244" t="n"/>
      <c r="B270" s="244" t="n"/>
      <c r="C270" s="244" t="n"/>
      <c r="H270" s="4">
        <f>H230</f>
        <v/>
      </c>
      <c r="I270" s="27">
        <f>i_Setup!$M$16</f>
        <v/>
      </c>
      <c r="M270" s="245">
        <f>SUMIF($T$4:$CA$4,M$4,$T270:$CA270)</f>
        <v/>
      </c>
      <c r="N270" s="245">
        <f>SUMIF($T$4:$CA$4,N$4,$T270:$CA270)</f>
        <v/>
      </c>
      <c r="O270" s="245">
        <f>SUMIF($T$4:$CA$4,O$4,$T270:$CA270)</f>
        <v/>
      </c>
      <c r="P270" s="245">
        <f>SUMIF($T$4:$CA$4,P$4,$T270:$CA270)</f>
        <v/>
      </c>
      <c r="Q270" s="245">
        <f>SUMIF($T$4:$CA$4,Q$4,$T270:$CA270)</f>
        <v/>
      </c>
      <c r="T270" s="256" t="n"/>
      <c r="U270" s="256" t="n"/>
      <c r="V270" s="256" t="n"/>
      <c r="W270" s="256" t="n"/>
      <c r="X270" s="256" t="n"/>
      <c r="Y270" s="256" t="n"/>
      <c r="Z270" s="256" t="n"/>
      <c r="AA270" s="256" t="n"/>
      <c r="AB270" s="256" t="n"/>
      <c r="AC270" s="256" t="n"/>
      <c r="AD270" s="256" t="n"/>
      <c r="AE270" s="256" t="n"/>
      <c r="AF270" s="256" t="n"/>
      <c r="AG270" s="256" t="n"/>
      <c r="AH270" s="256" t="n"/>
      <c r="AI270" s="256" t="n"/>
      <c r="AJ270" s="256" t="n"/>
      <c r="AK270" s="256" t="n"/>
      <c r="AL270" s="256" t="n"/>
      <c r="AM270" s="256" t="n"/>
      <c r="AN270" s="256" t="n"/>
      <c r="AO270" s="256" t="n"/>
      <c r="AP270" s="256" t="n"/>
      <c r="AQ270" s="256" t="n"/>
      <c r="AR270" s="256" t="n"/>
      <c r="AS270" s="256" t="n"/>
      <c r="AT270" s="256" t="n"/>
      <c r="AU270" s="256" t="n"/>
      <c r="AV270" s="256" t="n"/>
      <c r="AW270" s="256" t="n"/>
      <c r="AX270" s="256" t="n"/>
      <c r="AY270" s="256" t="n"/>
      <c r="AZ270" s="256" t="n"/>
      <c r="BA270" s="256" t="n"/>
      <c r="BB270" s="256" t="n"/>
      <c r="BC270" s="256" t="n"/>
      <c r="BD270" s="256" t="n"/>
      <c r="BE270" s="256" t="n"/>
      <c r="BF270" s="256" t="n"/>
      <c r="BG270" s="256" t="n"/>
      <c r="BH270" s="256" t="n"/>
      <c r="BI270" s="256" t="n"/>
      <c r="BJ270" s="256" t="n"/>
      <c r="BK270" s="256" t="n"/>
      <c r="BL270" s="256" t="n"/>
      <c r="BM270" s="256" t="n"/>
      <c r="BN270" s="256" t="n"/>
      <c r="BO270" s="256" t="n"/>
      <c r="BP270" s="256" t="n"/>
      <c r="BQ270" s="256" t="n"/>
      <c r="BR270" s="256" t="n"/>
      <c r="BS270" s="256" t="n"/>
      <c r="BT270" s="256" t="n"/>
      <c r="BU270" s="256" t="n"/>
      <c r="BV270" s="256" t="n"/>
      <c r="BW270" s="256" t="n"/>
      <c r="BX270" s="256" t="n"/>
      <c r="BY270" s="256" t="n"/>
      <c r="BZ270" s="256" t="n"/>
      <c r="CA270" s="256" t="n"/>
    </row>
    <row r="271" ht="12" customHeight="1" s="227">
      <c r="A271" s="244" t="n"/>
      <c r="B271" s="244" t="n"/>
      <c r="C271" s="244" t="n"/>
    </row>
    <row r="272" ht="12" customHeight="1" s="227">
      <c r="A272" s="244" t="n"/>
      <c r="B272" s="244" t="n"/>
      <c r="C272" s="244" t="n"/>
    </row>
    <row r="273" ht="12" customHeight="1" s="227">
      <c r="A273" s="244" t="n"/>
      <c r="B273" s="244" t="n"/>
      <c r="C273" s="244" t="n"/>
      <c r="G273" s="222" t="inlineStr">
        <is>
          <t>Direct OPEX Per Ship Per Month (Excl VAT)</t>
        </is>
      </c>
    </row>
    <row r="274" ht="24" customHeight="1" s="227">
      <c r="A274" s="244" t="n"/>
      <c r="B274" s="244" t="n"/>
      <c r="C274" s="244" t="n"/>
      <c r="K274" s="161" t="inlineStr">
        <is>
          <t>Credit Terms Received (Months)</t>
        </is>
      </c>
    </row>
    <row r="275" ht="12" customHeight="1" s="227">
      <c r="A275" s="244" t="n"/>
      <c r="B275" s="244" t="n"/>
      <c r="C275" s="244" t="n"/>
      <c r="H275" s="4">
        <f>H235</f>
        <v/>
      </c>
      <c r="I275" s="27">
        <f>i_Setup!$M$16</f>
        <v/>
      </c>
      <c r="K275" s="259">
        <f>K235</f>
        <v/>
      </c>
      <c r="M275" s="256" t="n"/>
      <c r="N275" s="256" t="n"/>
      <c r="O275" s="256" t="n"/>
      <c r="P275" s="256" t="n"/>
      <c r="Q275" s="256" t="n"/>
    </row>
    <row r="276" ht="12" customHeight="1" s="227">
      <c r="A276" s="244" t="n"/>
      <c r="B276" s="244" t="n"/>
      <c r="C276" s="244" t="n"/>
      <c r="H276" s="4">
        <f>H236</f>
        <v/>
      </c>
      <c r="I276" s="27">
        <f>i_Setup!$M$16</f>
        <v/>
      </c>
      <c r="K276" s="259">
        <f>K236</f>
        <v/>
      </c>
      <c r="M276" s="256" t="n"/>
      <c r="N276" s="256" t="n"/>
      <c r="O276" s="256" t="n"/>
      <c r="P276" s="256" t="n"/>
      <c r="Q276" s="256" t="n"/>
    </row>
    <row r="277" ht="12" customHeight="1" s="227">
      <c r="A277" s="244" t="n"/>
      <c r="B277" s="244" t="n"/>
      <c r="C277" s="244" t="n"/>
      <c r="H277" s="4">
        <f>H237</f>
        <v/>
      </c>
      <c r="I277" s="27">
        <f>i_Setup!$M$16</f>
        <v/>
      </c>
      <c r="K277" s="259">
        <f>K237</f>
        <v/>
      </c>
      <c r="M277" s="256" t="n"/>
      <c r="N277" s="256" t="n"/>
      <c r="O277" s="256" t="n"/>
      <c r="P277" s="256" t="n"/>
      <c r="Q277" s="256" t="n"/>
    </row>
    <row r="278" ht="12" customHeight="1" s="227">
      <c r="A278" s="244" t="n"/>
      <c r="B278" s="244" t="n"/>
      <c r="C278" s="244" t="n"/>
      <c r="H278" s="4">
        <f>H238</f>
        <v/>
      </c>
      <c r="I278" s="27">
        <f>i_Setup!$M$16</f>
        <v/>
      </c>
      <c r="K278" s="259">
        <f>K238</f>
        <v/>
      </c>
      <c r="M278" s="256" t="n"/>
      <c r="N278" s="256" t="n"/>
      <c r="O278" s="256" t="n"/>
      <c r="P278" s="256" t="n"/>
      <c r="Q278" s="256" t="n"/>
    </row>
    <row r="279" ht="12" customHeight="1" s="227">
      <c r="A279" s="244" t="n"/>
      <c r="B279" s="244" t="n"/>
      <c r="C279" s="244" t="n"/>
      <c r="H279" s="4">
        <f>H239</f>
        <v/>
      </c>
      <c r="I279" s="27">
        <f>i_Setup!$M$16</f>
        <v/>
      </c>
      <c r="K279" s="259">
        <f>K239</f>
        <v/>
      </c>
      <c r="M279" s="256" t="n"/>
      <c r="N279" s="256" t="n"/>
      <c r="O279" s="256" t="n"/>
      <c r="P279" s="256" t="n"/>
      <c r="Q279" s="256" t="n"/>
    </row>
    <row r="280" ht="12" customHeight="1" s="227">
      <c r="A280" s="244" t="n"/>
      <c r="B280" s="244" t="n"/>
      <c r="C280" s="244" t="n"/>
      <c r="H280" s="4">
        <f>H240</f>
        <v/>
      </c>
      <c r="I280" s="27">
        <f>i_Setup!$M$16</f>
        <v/>
      </c>
      <c r="K280" s="259">
        <f>K240</f>
        <v/>
      </c>
      <c r="M280" s="256" t="n"/>
      <c r="N280" s="256" t="n"/>
      <c r="O280" s="256" t="n"/>
      <c r="P280" s="256" t="n"/>
      <c r="Q280" s="256" t="n"/>
    </row>
    <row r="281" ht="12" customHeight="1" s="227">
      <c r="A281" s="244" t="n"/>
      <c r="B281" s="244" t="n"/>
      <c r="C281" s="244" t="n"/>
      <c r="H281" s="4">
        <f>H241</f>
        <v/>
      </c>
      <c r="I281" s="27">
        <f>i_Setup!$M$16</f>
        <v/>
      </c>
      <c r="K281" s="259">
        <f>K241</f>
        <v/>
      </c>
      <c r="M281" s="256" t="n"/>
      <c r="N281" s="256" t="n"/>
      <c r="O281" s="256" t="n"/>
      <c r="P281" s="256" t="n"/>
      <c r="Q281" s="256" t="n"/>
    </row>
    <row r="282" ht="12" customHeight="1" s="227">
      <c r="A282" s="244" t="n"/>
      <c r="B282" s="244" t="n"/>
      <c r="C282" s="244" t="n"/>
      <c r="H282" s="4">
        <f>H242</f>
        <v/>
      </c>
      <c r="I282" s="27">
        <f>i_Setup!$M$16</f>
        <v/>
      </c>
      <c r="K282" s="259">
        <f>K242</f>
        <v/>
      </c>
      <c r="M282" s="256" t="n"/>
      <c r="N282" s="256" t="n"/>
      <c r="O282" s="256" t="n"/>
      <c r="P282" s="256" t="n"/>
      <c r="Q282" s="256" t="n"/>
    </row>
    <row r="283" ht="12" customHeight="1" s="227">
      <c r="A283" s="244" t="n"/>
      <c r="B283" s="244" t="n"/>
      <c r="C283" s="244" t="n"/>
    </row>
    <row r="284" ht="12" customHeight="1" s="227">
      <c r="A284" s="244" t="n"/>
      <c r="B284" s="244" t="n"/>
      <c r="C284" s="244" t="n"/>
    </row>
    <row r="285" ht="12" customHeight="1" s="227">
      <c r="A285" s="244" t="n"/>
      <c r="B285" s="244" t="n"/>
      <c r="C285" s="244" t="n"/>
      <c r="G285" s="222" t="inlineStr">
        <is>
          <t>Direct Staff Numbers Per Ship</t>
        </is>
      </c>
    </row>
    <row r="286" ht="12" customHeight="1" s="227">
      <c r="A286" s="244" t="n"/>
      <c r="B286" s="244" t="n"/>
      <c r="C286" s="244" t="n"/>
    </row>
    <row r="287" ht="12" customHeight="1" s="227">
      <c r="A287" s="244" t="n"/>
      <c r="B287" s="244" t="n"/>
      <c r="C287" s="244" t="n"/>
      <c r="H287" s="4">
        <f>H247</f>
        <v/>
      </c>
      <c r="I287" s="27" t="inlineStr">
        <is>
          <t>no</t>
        </is>
      </c>
      <c r="M287" s="258" t="n"/>
      <c r="N287" s="258" t="n"/>
      <c r="O287" s="258" t="n"/>
      <c r="P287" s="258" t="n"/>
      <c r="Q287" s="258" t="n"/>
    </row>
    <row r="288" ht="12" customHeight="1" s="227">
      <c r="A288" s="244" t="n"/>
      <c r="B288" s="244" t="n"/>
      <c r="C288" s="244" t="n"/>
      <c r="H288" s="4">
        <f>H248</f>
        <v/>
      </c>
      <c r="I288" s="27" t="inlineStr">
        <is>
          <t>no</t>
        </is>
      </c>
      <c r="M288" s="258" t="n"/>
      <c r="N288" s="258" t="n"/>
      <c r="O288" s="258" t="n"/>
      <c r="P288" s="258" t="n"/>
      <c r="Q288" s="258" t="n"/>
    </row>
    <row r="289" ht="12" customHeight="1" s="227">
      <c r="A289" s="244" t="n"/>
      <c r="B289" s="244" t="n"/>
      <c r="C289" s="244" t="n"/>
      <c r="H289" s="4">
        <f>H249</f>
        <v/>
      </c>
      <c r="I289" s="27" t="inlineStr">
        <is>
          <t>no</t>
        </is>
      </c>
      <c r="M289" s="258" t="n"/>
      <c r="N289" s="258" t="n"/>
      <c r="O289" s="258" t="n"/>
      <c r="P289" s="258" t="n"/>
      <c r="Q289" s="258" t="n"/>
    </row>
    <row r="290" ht="12" customHeight="1" s="227">
      <c r="A290" s="244" t="n"/>
      <c r="B290" s="244" t="n"/>
      <c r="C290" s="244" t="n"/>
      <c r="H290" s="4">
        <f>H250</f>
        <v/>
      </c>
      <c r="I290" s="27" t="inlineStr">
        <is>
          <t>no</t>
        </is>
      </c>
      <c r="M290" s="258" t="n"/>
      <c r="N290" s="258" t="n"/>
      <c r="O290" s="258" t="n"/>
      <c r="P290" s="258" t="n"/>
      <c r="Q290" s="258" t="n"/>
    </row>
    <row r="291" ht="12" customHeight="1" s="227">
      <c r="A291" s="244" t="n"/>
      <c r="B291" s="244" t="n"/>
      <c r="C291" s="244" t="n"/>
      <c r="H291" s="4">
        <f>H251</f>
        <v/>
      </c>
      <c r="I291" s="27" t="inlineStr">
        <is>
          <t>no</t>
        </is>
      </c>
      <c r="M291" s="258" t="n"/>
      <c r="N291" s="258" t="n"/>
      <c r="O291" s="258" t="n"/>
      <c r="P291" s="258" t="n"/>
      <c r="Q291" s="258" t="n"/>
    </row>
    <row r="292" ht="12" customHeight="1" s="227">
      <c r="A292" s="244" t="n"/>
      <c r="B292" s="244" t="n"/>
      <c r="C292" s="244" t="n"/>
      <c r="H292" s="4">
        <f>H252</f>
        <v/>
      </c>
      <c r="I292" s="27" t="inlineStr">
        <is>
          <t>no</t>
        </is>
      </c>
      <c r="M292" s="258" t="n"/>
      <c r="N292" s="258" t="n"/>
      <c r="O292" s="258" t="n"/>
      <c r="P292" s="258" t="n"/>
      <c r="Q292" s="258" t="n"/>
    </row>
    <row r="293" ht="12" customHeight="1" s="227">
      <c r="A293" s="244" t="n"/>
      <c r="B293" s="244" t="n"/>
      <c r="C293" s="244" t="n"/>
      <c r="H293" s="4">
        <f>H253</f>
        <v/>
      </c>
      <c r="I293" s="27" t="inlineStr">
        <is>
          <t>no</t>
        </is>
      </c>
      <c r="M293" s="258" t="n"/>
      <c r="N293" s="258" t="n"/>
      <c r="O293" s="258" t="n"/>
      <c r="P293" s="258" t="n"/>
      <c r="Q293" s="258" t="n"/>
    </row>
    <row r="294" ht="12" customHeight="1" s="227">
      <c r="A294" s="244" t="n"/>
      <c r="B294" s="244" t="n"/>
      <c r="C294" s="244" t="n"/>
      <c r="H294" s="4">
        <f>H254</f>
        <v/>
      </c>
      <c r="I294" s="27" t="inlineStr">
        <is>
          <t>no</t>
        </is>
      </c>
      <c r="M294" s="258" t="n"/>
      <c r="N294" s="258" t="n"/>
      <c r="O294" s="258" t="n"/>
      <c r="P294" s="258" t="n"/>
      <c r="Q294" s="258" t="n"/>
    </row>
    <row r="295" ht="12" customHeight="1" s="227">
      <c r="A295" s="244" t="n"/>
      <c r="B295" s="244" t="n"/>
      <c r="C295" s="244" t="n"/>
    </row>
    <row r="296" ht="12" customHeight="1" s="227">
      <c r="A296" s="244" t="n"/>
      <c r="B296" s="244" t="n"/>
      <c r="C296" s="244" t="n"/>
    </row>
    <row r="297" ht="13.5" customFormat="1" customHeight="1" s="223" thickBot="1">
      <c r="E297" s="223">
        <f>Heading2</f>
        <v/>
      </c>
      <c r="F297" s="223">
        <f>i_Setup!U38</f>
        <v/>
      </c>
    </row>
    <row r="298" ht="12" customHeight="1" s="227">
      <c r="A298" s="244" t="n"/>
      <c r="B298" s="244" t="n"/>
      <c r="C298" s="244" t="n"/>
    </row>
    <row r="299" ht="12" customHeight="1" s="227">
      <c r="A299" s="244" t="n"/>
      <c r="B299" s="244" t="n"/>
      <c r="C299" s="244" t="n"/>
      <c r="G299" s="222" t="inlineStr">
        <is>
          <t>Number of Ships</t>
        </is>
      </c>
    </row>
    <row r="300" ht="12" customHeight="1" s="227">
      <c r="A300" s="244" t="n"/>
      <c r="B300" s="244" t="n"/>
      <c r="C300" s="244" t="n"/>
    </row>
    <row r="301" ht="12" customHeight="1" s="227">
      <c r="A301" s="244" t="n"/>
      <c r="B301" s="244" t="n"/>
      <c r="C301" s="244" t="n"/>
      <c r="H301" s="4">
        <f>F297</f>
        <v/>
      </c>
      <c r="I301" s="27" t="inlineStr">
        <is>
          <t>no.</t>
        </is>
      </c>
      <c r="M301" s="245">
        <f>SUMIF($T$2:$CA$2,M$2,$T301:$CA301)</f>
        <v/>
      </c>
      <c r="N301" s="245">
        <f>SUMIF($T$2:$CA$2,N$2,$T301:$CA301)</f>
        <v/>
      </c>
      <c r="O301" s="245">
        <f>SUMIF($T$2:$CA$2,O$2,$T301:$CA301)</f>
        <v/>
      </c>
      <c r="P301" s="245">
        <f>SUMIF($T$2:$CA$2,P$2,$T301:$CA301)</f>
        <v/>
      </c>
      <c r="Q301" s="245">
        <f>SUMIF($T$2:$CA$2,Q$2,$T301:$CA301)</f>
        <v/>
      </c>
      <c r="T301" s="257">
        <f>IF(T$7="Actual","",_xlfn.XLOOKUP($F297,c_Calculations!$H$15:$H$24,c_Calculations!T$15:T$24))</f>
        <v/>
      </c>
      <c r="U301" s="257">
        <f>IF(U$7="Actual","",_xlfn.XLOOKUP($F297,c_Calculations!$H$15:$H$24,c_Calculations!U$15:U$24))</f>
        <v/>
      </c>
      <c r="V301" s="257">
        <f>IF(V$7="Actual","",_xlfn.XLOOKUP($F297,c_Calculations!$H$15:$H$24,c_Calculations!V$15:V$24))</f>
        <v/>
      </c>
      <c r="W301" s="257">
        <f>IF(W$7="Actual","",_xlfn.XLOOKUP($F297,c_Calculations!$H$15:$H$24,c_Calculations!W$15:W$24))</f>
        <v/>
      </c>
      <c r="X301" s="257">
        <f>IF(X$7="Actual","",_xlfn.XLOOKUP($F297,c_Calculations!$H$15:$H$24,c_Calculations!X$15:X$24))</f>
        <v/>
      </c>
      <c r="Y301" s="257">
        <f>IF(Y$7="Actual","",_xlfn.XLOOKUP($F297,c_Calculations!$H$15:$H$24,c_Calculations!Y$15:Y$24))</f>
        <v/>
      </c>
      <c r="Z301" s="257">
        <f>IF(Z$7="Actual","",_xlfn.XLOOKUP($F297,c_Calculations!$H$15:$H$24,c_Calculations!Z$15:Z$24))</f>
        <v/>
      </c>
      <c r="AA301" s="257">
        <f>IF(AA$7="Actual","",_xlfn.XLOOKUP($F297,c_Calculations!$H$15:$H$24,c_Calculations!AA$15:AA$24))</f>
        <v/>
      </c>
      <c r="AB301" s="257">
        <f>IF(AB$7="Actual","",_xlfn.XLOOKUP($F297,c_Calculations!$H$15:$H$24,c_Calculations!AB$15:AB$24))</f>
        <v/>
      </c>
      <c r="AC301" s="257">
        <f>IF(AC$7="Actual","",_xlfn.XLOOKUP($F297,c_Calculations!$H$15:$H$24,c_Calculations!AC$15:AC$24))</f>
        <v/>
      </c>
      <c r="AD301" s="257">
        <f>IF(AD$7="Actual","",_xlfn.XLOOKUP($F297,c_Calculations!$H$15:$H$24,c_Calculations!AD$15:AD$24))</f>
        <v/>
      </c>
      <c r="AE301" s="257">
        <f>IF(AE$7="Actual","",_xlfn.XLOOKUP($F297,c_Calculations!$H$15:$H$24,c_Calculations!AE$15:AE$24))</f>
        <v/>
      </c>
      <c r="AF301" s="257">
        <f>IF(AF$7="Actual","",_xlfn.XLOOKUP($F297,c_Calculations!$H$15:$H$24,c_Calculations!AF$15:AF$24))</f>
        <v/>
      </c>
      <c r="AG301" s="257">
        <f>IF(AG$7="Actual","",_xlfn.XLOOKUP($F297,c_Calculations!$H$15:$H$24,c_Calculations!AG$15:AG$24))</f>
        <v/>
      </c>
      <c r="AH301" s="257">
        <f>IF(AH$7="Actual","",_xlfn.XLOOKUP($F297,c_Calculations!$H$15:$H$24,c_Calculations!AH$15:AH$24))</f>
        <v/>
      </c>
      <c r="AI301" s="257">
        <f>IF(AI$7="Actual","",_xlfn.XLOOKUP($F297,c_Calculations!$H$15:$H$24,c_Calculations!AI$15:AI$24))</f>
        <v/>
      </c>
      <c r="AJ301" s="257">
        <f>IF(AJ$7="Actual","",_xlfn.XLOOKUP($F297,c_Calculations!$H$15:$H$24,c_Calculations!AJ$15:AJ$24))</f>
        <v/>
      </c>
      <c r="AK301" s="257">
        <f>IF(AK$7="Actual","",_xlfn.XLOOKUP($F297,c_Calculations!$H$15:$H$24,c_Calculations!AK$15:AK$24))</f>
        <v/>
      </c>
      <c r="AL301" s="257">
        <f>IF(AL$7="Actual","",_xlfn.XLOOKUP($F297,c_Calculations!$H$15:$H$24,c_Calculations!AL$15:AL$24))</f>
        <v/>
      </c>
      <c r="AM301" s="257">
        <f>IF(AM$7="Actual","",_xlfn.XLOOKUP($F297,c_Calculations!$H$15:$H$24,c_Calculations!AM$15:AM$24))</f>
        <v/>
      </c>
      <c r="AN301" s="257">
        <f>IF(AN$7="Actual","",_xlfn.XLOOKUP($F297,c_Calculations!$H$15:$H$24,c_Calculations!AN$15:AN$24))</f>
        <v/>
      </c>
      <c r="AO301" s="257">
        <f>IF(AO$7="Actual","",_xlfn.XLOOKUP($F297,c_Calculations!$H$15:$H$24,c_Calculations!AO$15:AO$24))</f>
        <v/>
      </c>
      <c r="AP301" s="257">
        <f>IF(AP$7="Actual","",_xlfn.XLOOKUP($F297,c_Calculations!$H$15:$H$24,c_Calculations!AP$15:AP$24))</f>
        <v/>
      </c>
      <c r="AQ301" s="257">
        <f>IF(AQ$7="Actual","",_xlfn.XLOOKUP($F297,c_Calculations!$H$15:$H$24,c_Calculations!AQ$15:AQ$24))</f>
        <v/>
      </c>
      <c r="AR301" s="257">
        <f>IF(AR$7="Actual","",_xlfn.XLOOKUP($F297,c_Calculations!$H$15:$H$24,c_Calculations!AR$15:AR$24))</f>
        <v/>
      </c>
      <c r="AS301" s="257">
        <f>IF(AS$7="Actual","",_xlfn.XLOOKUP($F297,c_Calculations!$H$15:$H$24,c_Calculations!AS$15:AS$24))</f>
        <v/>
      </c>
      <c r="AT301" s="257">
        <f>IF(AT$7="Actual","",_xlfn.XLOOKUP($F297,c_Calculations!$H$15:$H$24,c_Calculations!AT$15:AT$24))</f>
        <v/>
      </c>
      <c r="AU301" s="257">
        <f>IF(AU$7="Actual","",_xlfn.XLOOKUP($F297,c_Calculations!$H$15:$H$24,c_Calculations!AU$15:AU$24))</f>
        <v/>
      </c>
      <c r="AV301" s="257">
        <f>IF(AV$7="Actual","",_xlfn.XLOOKUP($F297,c_Calculations!$H$15:$H$24,c_Calculations!AV$15:AV$24))</f>
        <v/>
      </c>
      <c r="AW301" s="257">
        <f>IF(AW$7="Actual","",_xlfn.XLOOKUP($F297,c_Calculations!$H$15:$H$24,c_Calculations!AW$15:AW$24))</f>
        <v/>
      </c>
      <c r="AX301" s="257">
        <f>IF(AX$7="Actual","",_xlfn.XLOOKUP($F297,c_Calculations!$H$15:$H$24,c_Calculations!AX$15:AX$24))</f>
        <v/>
      </c>
      <c r="AY301" s="257">
        <f>IF(AY$7="Actual","",_xlfn.XLOOKUP($F297,c_Calculations!$H$15:$H$24,c_Calculations!AY$15:AY$24))</f>
        <v/>
      </c>
      <c r="AZ301" s="257">
        <f>IF(AZ$7="Actual","",_xlfn.XLOOKUP($F297,c_Calculations!$H$15:$H$24,c_Calculations!AZ$15:AZ$24))</f>
        <v/>
      </c>
      <c r="BA301" s="257">
        <f>IF(BA$7="Actual","",_xlfn.XLOOKUP($F297,c_Calculations!$H$15:$H$24,c_Calculations!BA$15:BA$24))</f>
        <v/>
      </c>
      <c r="BB301" s="257">
        <f>IF(BB$7="Actual","",_xlfn.XLOOKUP($F297,c_Calculations!$H$15:$H$24,c_Calculations!BB$15:BB$24))</f>
        <v/>
      </c>
      <c r="BC301" s="257">
        <f>IF(BC$7="Actual","",_xlfn.XLOOKUP($F297,c_Calculations!$H$15:$H$24,c_Calculations!BC$15:BC$24))</f>
        <v/>
      </c>
      <c r="BD301" s="257">
        <f>IF(BD$7="Actual","",_xlfn.XLOOKUP($F297,c_Calculations!$H$15:$H$24,c_Calculations!BD$15:BD$24))</f>
        <v/>
      </c>
      <c r="BE301" s="257">
        <f>IF(BE$7="Actual","",_xlfn.XLOOKUP($F297,c_Calculations!$H$15:$H$24,c_Calculations!BE$15:BE$24))</f>
        <v/>
      </c>
      <c r="BF301" s="257">
        <f>IF(BF$7="Actual","",_xlfn.XLOOKUP($F297,c_Calculations!$H$15:$H$24,c_Calculations!BF$15:BF$24))</f>
        <v/>
      </c>
      <c r="BG301" s="257">
        <f>IF(BG$7="Actual","",_xlfn.XLOOKUP($F297,c_Calculations!$H$15:$H$24,c_Calculations!BG$15:BG$24))</f>
        <v/>
      </c>
      <c r="BH301" s="257">
        <f>IF(BH$7="Actual","",_xlfn.XLOOKUP($F297,c_Calculations!$H$15:$H$24,c_Calculations!BH$15:BH$24))</f>
        <v/>
      </c>
      <c r="BI301" s="257">
        <f>IF(BI$7="Actual","",_xlfn.XLOOKUP($F297,c_Calculations!$H$15:$H$24,c_Calculations!BI$15:BI$24))</f>
        <v/>
      </c>
      <c r="BJ301" s="257">
        <f>IF(BJ$7="Actual","",_xlfn.XLOOKUP($F297,c_Calculations!$H$15:$H$24,c_Calculations!BJ$15:BJ$24))</f>
        <v/>
      </c>
      <c r="BK301" s="257">
        <f>IF(BK$7="Actual","",_xlfn.XLOOKUP($F297,c_Calculations!$H$15:$H$24,c_Calculations!BK$15:BK$24))</f>
        <v/>
      </c>
      <c r="BL301" s="257">
        <f>IF(BL$7="Actual","",_xlfn.XLOOKUP($F297,c_Calculations!$H$15:$H$24,c_Calculations!BL$15:BL$24))</f>
        <v/>
      </c>
      <c r="BM301" s="257">
        <f>IF(BM$7="Actual","",_xlfn.XLOOKUP($F297,c_Calculations!$H$15:$H$24,c_Calculations!BM$15:BM$24))</f>
        <v/>
      </c>
      <c r="BN301" s="257">
        <f>IF(BN$7="Actual","",_xlfn.XLOOKUP($F297,c_Calculations!$H$15:$H$24,c_Calculations!BN$15:BN$24))</f>
        <v/>
      </c>
      <c r="BO301" s="257">
        <f>IF(BO$7="Actual","",_xlfn.XLOOKUP($F297,c_Calculations!$H$15:$H$24,c_Calculations!BO$15:BO$24))</f>
        <v/>
      </c>
      <c r="BP301" s="257">
        <f>IF(BP$7="Actual","",_xlfn.XLOOKUP($F297,c_Calculations!$H$15:$H$24,c_Calculations!BP$15:BP$24))</f>
        <v/>
      </c>
      <c r="BQ301" s="257">
        <f>IF(BQ$7="Actual","",_xlfn.XLOOKUP($F297,c_Calculations!$H$15:$H$24,c_Calculations!BQ$15:BQ$24))</f>
        <v/>
      </c>
      <c r="BR301" s="257">
        <f>IF(BR$7="Actual","",_xlfn.XLOOKUP($F297,c_Calculations!$H$15:$H$24,c_Calculations!BR$15:BR$24))</f>
        <v/>
      </c>
      <c r="BS301" s="257">
        <f>IF(BS$7="Actual","",_xlfn.XLOOKUP($F297,c_Calculations!$H$15:$H$24,c_Calculations!BS$15:BS$24))</f>
        <v/>
      </c>
      <c r="BT301" s="257">
        <f>IF(BT$7="Actual","",_xlfn.XLOOKUP($F297,c_Calculations!$H$15:$H$24,c_Calculations!BT$15:BT$24))</f>
        <v/>
      </c>
      <c r="BU301" s="257">
        <f>IF(BU$7="Actual","",_xlfn.XLOOKUP($F297,c_Calculations!$H$15:$H$24,c_Calculations!BU$15:BU$24))</f>
        <v/>
      </c>
      <c r="BV301" s="257">
        <f>IF(BV$7="Actual","",_xlfn.XLOOKUP($F297,c_Calculations!$H$15:$H$24,c_Calculations!BV$15:BV$24))</f>
        <v/>
      </c>
      <c r="BW301" s="257">
        <f>IF(BW$7="Actual","",_xlfn.XLOOKUP($F297,c_Calculations!$H$15:$H$24,c_Calculations!BW$15:BW$24))</f>
        <v/>
      </c>
      <c r="BX301" s="257">
        <f>IF(BX$7="Actual","",_xlfn.XLOOKUP($F297,c_Calculations!$H$15:$H$24,c_Calculations!BX$15:BX$24))</f>
        <v/>
      </c>
      <c r="BY301" s="257">
        <f>IF(BY$7="Actual","",_xlfn.XLOOKUP($F297,c_Calculations!$H$15:$H$24,c_Calculations!BY$15:BY$24))</f>
        <v/>
      </c>
      <c r="BZ301" s="257">
        <f>IF(BZ$7="Actual","",_xlfn.XLOOKUP($F297,c_Calculations!$H$15:$H$24,c_Calculations!BZ$15:BZ$24))</f>
        <v/>
      </c>
      <c r="CA301" s="257">
        <f>IF(CA$7="Actual","",_xlfn.XLOOKUP($F297,c_Calculations!$H$15:$H$24,c_Calculations!CA$15:CA$24))</f>
        <v/>
      </c>
    </row>
    <row r="302" ht="12" customHeight="1" s="227">
      <c r="A302" s="244" t="n"/>
      <c r="B302" s="244" t="n"/>
      <c r="C302" s="244" t="n"/>
    </row>
    <row r="303" ht="12" customHeight="1" s="227">
      <c r="A303" s="244" t="n"/>
      <c r="B303" s="244" t="n"/>
      <c r="C303" s="244" t="n"/>
    </row>
    <row r="304" ht="12" customHeight="1" s="227">
      <c r="A304" s="244" t="n"/>
      <c r="B304" s="244" t="n"/>
      <c r="C304" s="244" t="n"/>
      <c r="G304" s="222" t="inlineStr">
        <is>
          <t>Direct CAPEX (Excl. Sales Tax)</t>
        </is>
      </c>
    </row>
    <row r="305" ht="12" customHeight="1" s="227">
      <c r="A305" s="244" t="n"/>
      <c r="B305" s="244" t="n"/>
      <c r="C305" s="244" t="n"/>
    </row>
    <row r="306" ht="12" customHeight="1" s="227">
      <c r="A306" s="244" t="n"/>
      <c r="B306" s="244" t="n"/>
      <c r="C306" s="244" t="n"/>
      <c r="H306" s="4">
        <f>H266</f>
        <v/>
      </c>
      <c r="I306" s="27">
        <f>i_Setup!$M$16</f>
        <v/>
      </c>
      <c r="M306" s="245">
        <f>SUMIF($T$4:$CA$4,M$4,$T306:$CA306)</f>
        <v/>
      </c>
      <c r="N306" s="245">
        <f>SUMIF($T$4:$CA$4,N$4,$T306:$CA306)</f>
        <v/>
      </c>
      <c r="O306" s="245">
        <f>SUMIF($T$4:$CA$4,O$4,$T306:$CA306)</f>
        <v/>
      </c>
      <c r="P306" s="245">
        <f>SUMIF($T$4:$CA$4,P$4,$T306:$CA306)</f>
        <v/>
      </c>
      <c r="Q306" s="245">
        <f>SUMIF($T$4:$CA$4,Q$4,$T306:$CA306)</f>
        <v/>
      </c>
      <c r="T306" s="256" t="n"/>
      <c r="U306" s="256" t="n"/>
      <c r="V306" s="256" t="n"/>
      <c r="W306" s="256" t="n"/>
      <c r="X306" s="256" t="n"/>
      <c r="Y306" s="256" t="n"/>
      <c r="Z306" s="256" t="n"/>
      <c r="AA306" s="256" t="n"/>
      <c r="AB306" s="256" t="n"/>
      <c r="AC306" s="256" t="n"/>
      <c r="AD306" s="256" t="n"/>
      <c r="AE306" s="256" t="n"/>
      <c r="AF306" s="256" t="n"/>
      <c r="AG306" s="256" t="n"/>
      <c r="AH306" s="256" t="n"/>
      <c r="AI306" s="256" t="n"/>
      <c r="AJ306" s="256" t="n"/>
      <c r="AK306" s="256" t="n"/>
      <c r="AL306" s="256" t="n"/>
      <c r="AM306" s="256" t="n"/>
      <c r="AN306" s="256" t="n"/>
      <c r="AO306" s="256" t="n"/>
      <c r="AP306" s="256" t="n"/>
      <c r="AQ306" s="256" t="n"/>
      <c r="AR306" s="256" t="n"/>
      <c r="AS306" s="256" t="n"/>
      <c r="AT306" s="256" t="n"/>
      <c r="AU306" s="256" t="n"/>
      <c r="AV306" s="256" t="n"/>
      <c r="AW306" s="256" t="n"/>
      <c r="AX306" s="256" t="n"/>
      <c r="AY306" s="256" t="n"/>
      <c r="AZ306" s="256" t="n"/>
      <c r="BA306" s="256" t="n"/>
      <c r="BB306" s="256" t="n"/>
      <c r="BC306" s="256" t="n"/>
      <c r="BD306" s="256" t="n"/>
      <c r="BE306" s="256" t="n"/>
      <c r="BF306" s="256" t="n"/>
      <c r="BG306" s="256" t="n"/>
      <c r="BH306" s="256" t="n"/>
      <c r="BI306" s="256" t="n"/>
      <c r="BJ306" s="256" t="n"/>
      <c r="BK306" s="256" t="n"/>
      <c r="BL306" s="256" t="n"/>
      <c r="BM306" s="256" t="n"/>
      <c r="BN306" s="256" t="n"/>
      <c r="BO306" s="256" t="n"/>
      <c r="BP306" s="256" t="n"/>
      <c r="BQ306" s="256" t="n"/>
      <c r="BR306" s="256" t="n"/>
      <c r="BS306" s="256" t="n"/>
      <c r="BT306" s="256" t="n"/>
      <c r="BU306" s="256" t="n"/>
      <c r="BV306" s="256" t="n"/>
      <c r="BW306" s="256" t="n"/>
      <c r="BX306" s="256" t="n"/>
      <c r="BY306" s="256" t="n"/>
      <c r="BZ306" s="256" t="n"/>
      <c r="CA306" s="256" t="n"/>
    </row>
    <row r="307" ht="12" customHeight="1" s="227">
      <c r="A307" s="244" t="n"/>
      <c r="B307" s="244" t="n"/>
      <c r="C307" s="244" t="n"/>
      <c r="H307" s="4">
        <f>H267</f>
        <v/>
      </c>
      <c r="I307" s="27">
        <f>i_Setup!$M$16</f>
        <v/>
      </c>
      <c r="M307" s="245">
        <f>SUMIF($T$4:$CA$4,M$4,$T307:$CA307)</f>
        <v/>
      </c>
      <c r="N307" s="245">
        <f>SUMIF($T$4:$CA$4,N$4,$T307:$CA307)</f>
        <v/>
      </c>
      <c r="O307" s="245">
        <f>SUMIF($T$4:$CA$4,O$4,$T307:$CA307)</f>
        <v/>
      </c>
      <c r="P307" s="245">
        <f>SUMIF($T$4:$CA$4,P$4,$T307:$CA307)</f>
        <v/>
      </c>
      <c r="Q307" s="245">
        <f>SUMIF($T$4:$CA$4,Q$4,$T307:$CA307)</f>
        <v/>
      </c>
      <c r="T307" s="256" t="n"/>
      <c r="U307" s="256" t="n"/>
      <c r="V307" s="256" t="n"/>
      <c r="W307" s="256" t="n"/>
      <c r="X307" s="256" t="n"/>
      <c r="Y307" s="256" t="n"/>
      <c r="Z307" s="256" t="n"/>
      <c r="AA307" s="256" t="n"/>
      <c r="AB307" s="256" t="n"/>
      <c r="AC307" s="256" t="n"/>
      <c r="AD307" s="256" t="n"/>
      <c r="AE307" s="256" t="n"/>
      <c r="AF307" s="256" t="n"/>
      <c r="AG307" s="256" t="n"/>
      <c r="AH307" s="256" t="n"/>
      <c r="AI307" s="256" t="n"/>
      <c r="AJ307" s="256" t="n"/>
      <c r="AK307" s="256" t="n"/>
      <c r="AL307" s="256" t="n"/>
      <c r="AM307" s="256" t="n"/>
      <c r="AN307" s="256" t="n"/>
      <c r="AO307" s="256" t="n"/>
      <c r="AP307" s="256" t="n"/>
      <c r="AQ307" s="256" t="n"/>
      <c r="AR307" s="256" t="n"/>
      <c r="AS307" s="256" t="n"/>
      <c r="AT307" s="256" t="n"/>
      <c r="AU307" s="256" t="n"/>
      <c r="AV307" s="256" t="n"/>
      <c r="AW307" s="256" t="n"/>
      <c r="AX307" s="256" t="n"/>
      <c r="AY307" s="256" t="n"/>
      <c r="AZ307" s="256" t="n"/>
      <c r="BA307" s="256" t="n"/>
      <c r="BB307" s="256" t="n"/>
      <c r="BC307" s="256" t="n"/>
      <c r="BD307" s="256" t="n"/>
      <c r="BE307" s="256" t="n"/>
      <c r="BF307" s="256" t="n"/>
      <c r="BG307" s="256" t="n"/>
      <c r="BH307" s="256" t="n"/>
      <c r="BI307" s="256" t="n"/>
      <c r="BJ307" s="256" t="n"/>
      <c r="BK307" s="256" t="n"/>
      <c r="BL307" s="256" t="n"/>
      <c r="BM307" s="256" t="n"/>
      <c r="BN307" s="256" t="n"/>
      <c r="BO307" s="256" t="n"/>
      <c r="BP307" s="256" t="n"/>
      <c r="BQ307" s="256" t="n"/>
      <c r="BR307" s="256" t="n"/>
      <c r="BS307" s="256" t="n"/>
      <c r="BT307" s="256" t="n"/>
      <c r="BU307" s="256" t="n"/>
      <c r="BV307" s="256" t="n"/>
      <c r="BW307" s="256" t="n"/>
      <c r="BX307" s="256" t="n"/>
      <c r="BY307" s="256" t="n"/>
      <c r="BZ307" s="256" t="n"/>
      <c r="CA307" s="256" t="n"/>
    </row>
    <row r="308" ht="12" customHeight="1" s="227">
      <c r="A308" s="244" t="n"/>
      <c r="B308" s="244" t="n"/>
      <c r="C308" s="244" t="n"/>
      <c r="H308" s="4">
        <f>H268</f>
        <v/>
      </c>
      <c r="I308" s="27">
        <f>i_Setup!$M$16</f>
        <v/>
      </c>
      <c r="M308" s="245">
        <f>SUMIF($T$4:$CA$4,M$4,$T308:$CA308)</f>
        <v/>
      </c>
      <c r="N308" s="245">
        <f>SUMIF($T$4:$CA$4,N$4,$T308:$CA308)</f>
        <v/>
      </c>
      <c r="O308" s="245">
        <f>SUMIF($T$4:$CA$4,O$4,$T308:$CA308)</f>
        <v/>
      </c>
      <c r="P308" s="245">
        <f>SUMIF($T$4:$CA$4,P$4,$T308:$CA308)</f>
        <v/>
      </c>
      <c r="Q308" s="245">
        <f>SUMIF($T$4:$CA$4,Q$4,$T308:$CA308)</f>
        <v/>
      </c>
      <c r="T308" s="256" t="n"/>
      <c r="U308" s="256" t="n"/>
      <c r="V308" s="256" t="n"/>
      <c r="W308" s="256" t="n"/>
      <c r="X308" s="256" t="n"/>
      <c r="Y308" s="256" t="n"/>
      <c r="Z308" s="256" t="n"/>
      <c r="AA308" s="256" t="n"/>
      <c r="AB308" s="256" t="n"/>
      <c r="AC308" s="256" t="n"/>
      <c r="AD308" s="256" t="n"/>
      <c r="AE308" s="256" t="n"/>
      <c r="AF308" s="256" t="n"/>
      <c r="AG308" s="256" t="n"/>
      <c r="AH308" s="256" t="n"/>
      <c r="AI308" s="256" t="n"/>
      <c r="AJ308" s="256" t="n"/>
      <c r="AK308" s="256" t="n"/>
      <c r="AL308" s="256" t="n"/>
      <c r="AM308" s="256" t="n"/>
      <c r="AN308" s="256" t="n"/>
      <c r="AO308" s="256" t="n"/>
      <c r="AP308" s="256" t="n"/>
      <c r="AQ308" s="256" t="n"/>
      <c r="AR308" s="256" t="n"/>
      <c r="AS308" s="256" t="n"/>
      <c r="AT308" s="256" t="n"/>
      <c r="AU308" s="256" t="n"/>
      <c r="AV308" s="256" t="n"/>
      <c r="AW308" s="256" t="n"/>
      <c r="AX308" s="256" t="n"/>
      <c r="AY308" s="256" t="n"/>
      <c r="AZ308" s="256" t="n"/>
      <c r="BA308" s="256" t="n"/>
      <c r="BB308" s="256" t="n"/>
      <c r="BC308" s="256" t="n"/>
      <c r="BD308" s="256" t="n"/>
      <c r="BE308" s="256" t="n"/>
      <c r="BF308" s="256" t="n"/>
      <c r="BG308" s="256" t="n"/>
      <c r="BH308" s="256" t="n"/>
      <c r="BI308" s="256" t="n"/>
      <c r="BJ308" s="256" t="n"/>
      <c r="BK308" s="256" t="n"/>
      <c r="BL308" s="256" t="n"/>
      <c r="BM308" s="256" t="n"/>
      <c r="BN308" s="256" t="n"/>
      <c r="BO308" s="256" t="n"/>
      <c r="BP308" s="256" t="n"/>
      <c r="BQ308" s="256" t="n"/>
      <c r="BR308" s="256" t="n"/>
      <c r="BS308" s="256" t="n"/>
      <c r="BT308" s="256" t="n"/>
      <c r="BU308" s="256" t="n"/>
      <c r="BV308" s="256" t="n"/>
      <c r="BW308" s="256" t="n"/>
      <c r="BX308" s="256" t="n"/>
      <c r="BY308" s="256" t="n"/>
      <c r="BZ308" s="256" t="n"/>
      <c r="CA308" s="256" t="n"/>
    </row>
    <row r="309" ht="12" customHeight="1" s="227">
      <c r="A309" s="244" t="n"/>
      <c r="B309" s="244" t="n"/>
      <c r="C309" s="244" t="n"/>
      <c r="H309" s="4">
        <f>H269</f>
        <v/>
      </c>
      <c r="I309" s="27">
        <f>i_Setup!$M$16</f>
        <v/>
      </c>
      <c r="M309" s="245">
        <f>SUMIF($T$4:$CA$4,M$4,$T309:$CA309)</f>
        <v/>
      </c>
      <c r="N309" s="245">
        <f>SUMIF($T$4:$CA$4,N$4,$T309:$CA309)</f>
        <v/>
      </c>
      <c r="O309" s="245">
        <f>SUMIF($T$4:$CA$4,O$4,$T309:$CA309)</f>
        <v/>
      </c>
      <c r="P309" s="245">
        <f>SUMIF($T$4:$CA$4,P$4,$T309:$CA309)</f>
        <v/>
      </c>
      <c r="Q309" s="245">
        <f>SUMIF($T$4:$CA$4,Q$4,$T309:$CA309)</f>
        <v/>
      </c>
      <c r="T309" s="256" t="n"/>
      <c r="U309" s="256" t="n"/>
      <c r="V309" s="256" t="n"/>
      <c r="W309" s="256" t="n"/>
      <c r="X309" s="256" t="n"/>
      <c r="Y309" s="256" t="n"/>
      <c r="Z309" s="256" t="n"/>
      <c r="AA309" s="256" t="n"/>
      <c r="AB309" s="256" t="n"/>
      <c r="AC309" s="256" t="n"/>
      <c r="AD309" s="256" t="n"/>
      <c r="AE309" s="256" t="n"/>
      <c r="AF309" s="256" t="n"/>
      <c r="AG309" s="256" t="n"/>
      <c r="AH309" s="256" t="n"/>
      <c r="AI309" s="256" t="n"/>
      <c r="AJ309" s="256" t="n"/>
      <c r="AK309" s="256" t="n"/>
      <c r="AL309" s="256" t="n"/>
      <c r="AM309" s="256" t="n"/>
      <c r="AN309" s="256" t="n"/>
      <c r="AO309" s="256" t="n"/>
      <c r="AP309" s="256" t="n"/>
      <c r="AQ309" s="256" t="n"/>
      <c r="AR309" s="256" t="n"/>
      <c r="AS309" s="256" t="n"/>
      <c r="AT309" s="256" t="n"/>
      <c r="AU309" s="256" t="n"/>
      <c r="AV309" s="256" t="n"/>
      <c r="AW309" s="256" t="n"/>
      <c r="AX309" s="256" t="n"/>
      <c r="AY309" s="256" t="n"/>
      <c r="AZ309" s="256" t="n"/>
      <c r="BA309" s="256" t="n"/>
      <c r="BB309" s="256" t="n"/>
      <c r="BC309" s="256" t="n"/>
      <c r="BD309" s="256" t="n"/>
      <c r="BE309" s="256" t="n"/>
      <c r="BF309" s="256" t="n"/>
      <c r="BG309" s="256" t="n"/>
      <c r="BH309" s="256" t="n"/>
      <c r="BI309" s="256" t="n"/>
      <c r="BJ309" s="256" t="n"/>
      <c r="BK309" s="256" t="n"/>
      <c r="BL309" s="256" t="n"/>
      <c r="BM309" s="256" t="n"/>
      <c r="BN309" s="256" t="n"/>
      <c r="BO309" s="256" t="n"/>
      <c r="BP309" s="256" t="n"/>
      <c r="BQ309" s="256" t="n"/>
      <c r="BR309" s="256" t="n"/>
      <c r="BS309" s="256" t="n"/>
      <c r="BT309" s="256" t="n"/>
      <c r="BU309" s="256" t="n"/>
      <c r="BV309" s="256" t="n"/>
      <c r="BW309" s="256" t="n"/>
      <c r="BX309" s="256" t="n"/>
      <c r="BY309" s="256" t="n"/>
      <c r="BZ309" s="256" t="n"/>
      <c r="CA309" s="256" t="n"/>
    </row>
    <row r="310" ht="12" customHeight="1" s="227">
      <c r="A310" s="244" t="n"/>
      <c r="B310" s="244" t="n"/>
      <c r="C310" s="244" t="n"/>
      <c r="H310" s="4">
        <f>H270</f>
        <v/>
      </c>
      <c r="I310" s="27">
        <f>i_Setup!$M$16</f>
        <v/>
      </c>
      <c r="M310" s="245">
        <f>SUMIF($T$4:$CA$4,M$4,$T310:$CA310)</f>
        <v/>
      </c>
      <c r="N310" s="245">
        <f>SUMIF($T$4:$CA$4,N$4,$T310:$CA310)</f>
        <v/>
      </c>
      <c r="O310" s="245">
        <f>SUMIF($T$4:$CA$4,O$4,$T310:$CA310)</f>
        <v/>
      </c>
      <c r="P310" s="245">
        <f>SUMIF($T$4:$CA$4,P$4,$T310:$CA310)</f>
        <v/>
      </c>
      <c r="Q310" s="245">
        <f>SUMIF($T$4:$CA$4,Q$4,$T310:$CA310)</f>
        <v/>
      </c>
      <c r="T310" s="256" t="n"/>
      <c r="U310" s="256" t="n"/>
      <c r="V310" s="256" t="n"/>
      <c r="W310" s="256" t="n"/>
      <c r="X310" s="256" t="n"/>
      <c r="Y310" s="256" t="n"/>
      <c r="Z310" s="256" t="n"/>
      <c r="AA310" s="256" t="n"/>
      <c r="AB310" s="256" t="n"/>
      <c r="AC310" s="256" t="n"/>
      <c r="AD310" s="256" t="n"/>
      <c r="AE310" s="256" t="n"/>
      <c r="AF310" s="256" t="n"/>
      <c r="AG310" s="256" t="n"/>
      <c r="AH310" s="256" t="n"/>
      <c r="AI310" s="256" t="n"/>
      <c r="AJ310" s="256" t="n"/>
      <c r="AK310" s="256" t="n"/>
      <c r="AL310" s="256" t="n"/>
      <c r="AM310" s="256" t="n"/>
      <c r="AN310" s="256" t="n"/>
      <c r="AO310" s="256" t="n"/>
      <c r="AP310" s="256" t="n"/>
      <c r="AQ310" s="256" t="n"/>
      <c r="AR310" s="256" t="n"/>
      <c r="AS310" s="256" t="n"/>
      <c r="AT310" s="256" t="n"/>
      <c r="AU310" s="256" t="n"/>
      <c r="AV310" s="256" t="n"/>
      <c r="AW310" s="256" t="n"/>
      <c r="AX310" s="256" t="n"/>
      <c r="AY310" s="256" t="n"/>
      <c r="AZ310" s="256" t="n"/>
      <c r="BA310" s="256" t="n"/>
      <c r="BB310" s="256" t="n"/>
      <c r="BC310" s="256" t="n"/>
      <c r="BD310" s="256" t="n"/>
      <c r="BE310" s="256" t="n"/>
      <c r="BF310" s="256" t="n"/>
      <c r="BG310" s="256" t="n"/>
      <c r="BH310" s="256" t="n"/>
      <c r="BI310" s="256" t="n"/>
      <c r="BJ310" s="256" t="n"/>
      <c r="BK310" s="256" t="n"/>
      <c r="BL310" s="256" t="n"/>
      <c r="BM310" s="256" t="n"/>
      <c r="BN310" s="256" t="n"/>
      <c r="BO310" s="256" t="n"/>
      <c r="BP310" s="256" t="n"/>
      <c r="BQ310" s="256" t="n"/>
      <c r="BR310" s="256" t="n"/>
      <c r="BS310" s="256" t="n"/>
      <c r="BT310" s="256" t="n"/>
      <c r="BU310" s="256" t="n"/>
      <c r="BV310" s="256" t="n"/>
      <c r="BW310" s="256" t="n"/>
      <c r="BX310" s="256" t="n"/>
      <c r="BY310" s="256" t="n"/>
      <c r="BZ310" s="256" t="n"/>
      <c r="CA310" s="256" t="n"/>
    </row>
    <row r="311" ht="12" customHeight="1" s="227">
      <c r="A311" s="244" t="n"/>
      <c r="B311" s="244" t="n"/>
      <c r="C311" s="244" t="n"/>
    </row>
    <row r="312" ht="12" customHeight="1" s="227">
      <c r="A312" s="244" t="n"/>
      <c r="B312" s="244" t="n"/>
      <c r="C312" s="244" t="n"/>
    </row>
    <row r="313" ht="12" customHeight="1" s="227">
      <c r="A313" s="244" t="n"/>
      <c r="B313" s="244" t="n"/>
      <c r="C313" s="244" t="n"/>
      <c r="G313" s="222" t="inlineStr">
        <is>
          <t>Direct OPEX Per Ship Per Month (Excl VAT)</t>
        </is>
      </c>
    </row>
    <row r="314" ht="24" customHeight="1" s="227">
      <c r="A314" s="244" t="n"/>
      <c r="B314" s="244" t="n"/>
      <c r="C314" s="244" t="n"/>
      <c r="K314" s="161" t="inlineStr">
        <is>
          <t>Credit Terms Received (Months)</t>
        </is>
      </c>
    </row>
    <row r="315" ht="12" customHeight="1" s="227">
      <c r="A315" s="244" t="n"/>
      <c r="B315" s="244" t="n"/>
      <c r="C315" s="244" t="n"/>
      <c r="H315" s="4">
        <f>H275</f>
        <v/>
      </c>
      <c r="I315" s="27">
        <f>i_Setup!$M$16</f>
        <v/>
      </c>
      <c r="K315" s="259">
        <f>K275</f>
        <v/>
      </c>
      <c r="M315" s="256" t="n"/>
      <c r="N315" s="256" t="n"/>
      <c r="O315" s="256" t="n"/>
      <c r="P315" s="256" t="n"/>
      <c r="Q315" s="256" t="n"/>
    </row>
    <row r="316" ht="12" customHeight="1" s="227">
      <c r="A316" s="244" t="n"/>
      <c r="B316" s="244" t="n"/>
      <c r="C316" s="244" t="n"/>
      <c r="H316" s="4">
        <f>H276</f>
        <v/>
      </c>
      <c r="I316" s="27">
        <f>i_Setup!$M$16</f>
        <v/>
      </c>
      <c r="K316" s="259">
        <f>K276</f>
        <v/>
      </c>
      <c r="M316" s="256" t="n"/>
      <c r="N316" s="256" t="n"/>
      <c r="O316" s="256" t="n"/>
      <c r="P316" s="256" t="n"/>
      <c r="Q316" s="256" t="n"/>
    </row>
    <row r="317" ht="12" customHeight="1" s="227">
      <c r="A317" s="244" t="n"/>
      <c r="B317" s="244" t="n"/>
      <c r="C317" s="244" t="n"/>
      <c r="H317" s="4">
        <f>H277</f>
        <v/>
      </c>
      <c r="I317" s="27">
        <f>i_Setup!$M$16</f>
        <v/>
      </c>
      <c r="K317" s="259">
        <f>K277</f>
        <v/>
      </c>
      <c r="M317" s="256" t="n"/>
      <c r="N317" s="256" t="n"/>
      <c r="O317" s="256" t="n"/>
      <c r="P317" s="256" t="n"/>
      <c r="Q317" s="256" t="n"/>
    </row>
    <row r="318" ht="12" customHeight="1" s="227">
      <c r="A318" s="244" t="n"/>
      <c r="B318" s="244" t="n"/>
      <c r="C318" s="244" t="n"/>
      <c r="H318" s="4">
        <f>H278</f>
        <v/>
      </c>
      <c r="I318" s="27">
        <f>i_Setup!$M$16</f>
        <v/>
      </c>
      <c r="K318" s="259">
        <f>K278</f>
        <v/>
      </c>
      <c r="M318" s="256" t="n"/>
      <c r="N318" s="256" t="n"/>
      <c r="O318" s="256" t="n"/>
      <c r="P318" s="256" t="n"/>
      <c r="Q318" s="256" t="n"/>
    </row>
    <row r="319" ht="12" customHeight="1" s="227">
      <c r="A319" s="244" t="n"/>
      <c r="B319" s="244" t="n"/>
      <c r="C319" s="244" t="n"/>
      <c r="H319" s="4">
        <f>H279</f>
        <v/>
      </c>
      <c r="I319" s="27">
        <f>i_Setup!$M$16</f>
        <v/>
      </c>
      <c r="K319" s="259">
        <f>K279</f>
        <v/>
      </c>
      <c r="M319" s="256" t="n"/>
      <c r="N319" s="256" t="n"/>
      <c r="O319" s="256" t="n"/>
      <c r="P319" s="256" t="n"/>
      <c r="Q319" s="256" t="n"/>
    </row>
    <row r="320" ht="12" customHeight="1" s="227">
      <c r="A320" s="244" t="n"/>
      <c r="B320" s="244" t="n"/>
      <c r="C320" s="244" t="n"/>
      <c r="H320" s="4">
        <f>H280</f>
        <v/>
      </c>
      <c r="I320" s="27">
        <f>i_Setup!$M$16</f>
        <v/>
      </c>
      <c r="K320" s="259">
        <f>K280</f>
        <v/>
      </c>
      <c r="M320" s="256" t="n"/>
      <c r="N320" s="256" t="n"/>
      <c r="O320" s="256" t="n"/>
      <c r="P320" s="256" t="n"/>
      <c r="Q320" s="256" t="n"/>
    </row>
    <row r="321" ht="12" customHeight="1" s="227">
      <c r="A321" s="244" t="n"/>
      <c r="B321" s="244" t="n"/>
      <c r="C321" s="244" t="n"/>
      <c r="H321" s="4">
        <f>H281</f>
        <v/>
      </c>
      <c r="I321" s="27">
        <f>i_Setup!$M$16</f>
        <v/>
      </c>
      <c r="K321" s="259">
        <f>K281</f>
        <v/>
      </c>
      <c r="M321" s="256" t="n"/>
      <c r="N321" s="256" t="n"/>
      <c r="O321" s="256" t="n"/>
      <c r="P321" s="256" t="n"/>
      <c r="Q321" s="256" t="n"/>
    </row>
    <row r="322" ht="12" customHeight="1" s="227">
      <c r="A322" s="244" t="n"/>
      <c r="B322" s="244" t="n"/>
      <c r="C322" s="244" t="n"/>
      <c r="H322" s="4">
        <f>H282</f>
        <v/>
      </c>
      <c r="I322" s="27">
        <f>i_Setup!$M$16</f>
        <v/>
      </c>
      <c r="K322" s="259">
        <f>K282</f>
        <v/>
      </c>
      <c r="M322" s="256" t="n"/>
      <c r="N322" s="256" t="n"/>
      <c r="O322" s="256" t="n"/>
      <c r="P322" s="256" t="n"/>
      <c r="Q322" s="256" t="n"/>
    </row>
    <row r="323" ht="12" customHeight="1" s="227">
      <c r="A323" s="244" t="n"/>
      <c r="B323" s="244" t="n"/>
      <c r="C323" s="244" t="n"/>
    </row>
    <row r="324" ht="12" customHeight="1" s="227">
      <c r="A324" s="244" t="n"/>
      <c r="B324" s="244" t="n"/>
      <c r="C324" s="244" t="n"/>
    </row>
    <row r="325" ht="12" customHeight="1" s="227">
      <c r="A325" s="244" t="n"/>
      <c r="B325" s="244" t="n"/>
      <c r="C325" s="244" t="n"/>
      <c r="G325" s="222" t="inlineStr">
        <is>
          <t>Direct Staff Numbers Per Ship</t>
        </is>
      </c>
    </row>
    <row r="326" ht="12" customHeight="1" s="227">
      <c r="A326" s="244" t="n"/>
      <c r="B326" s="244" t="n"/>
      <c r="C326" s="244" t="n"/>
    </row>
    <row r="327" ht="12" customHeight="1" s="227">
      <c r="A327" s="244" t="n"/>
      <c r="B327" s="244" t="n"/>
      <c r="C327" s="244" t="n"/>
      <c r="H327" s="4">
        <f>H287</f>
        <v/>
      </c>
      <c r="I327" s="27" t="inlineStr">
        <is>
          <t>no</t>
        </is>
      </c>
      <c r="M327" s="258" t="n"/>
      <c r="N327" s="258" t="n"/>
      <c r="O327" s="258" t="n"/>
      <c r="P327" s="258" t="n"/>
      <c r="Q327" s="258" t="n"/>
    </row>
    <row r="328" ht="12" customHeight="1" s="227">
      <c r="A328" s="244" t="n"/>
      <c r="B328" s="244" t="n"/>
      <c r="C328" s="244" t="n"/>
      <c r="H328" s="4">
        <f>H288</f>
        <v/>
      </c>
      <c r="I328" s="27" t="inlineStr">
        <is>
          <t>no</t>
        </is>
      </c>
      <c r="M328" s="258" t="n"/>
      <c r="N328" s="258" t="n"/>
      <c r="O328" s="258" t="n"/>
      <c r="P328" s="258" t="n"/>
      <c r="Q328" s="258" t="n"/>
    </row>
    <row r="329" ht="12" customHeight="1" s="227">
      <c r="A329" s="244" t="n"/>
      <c r="B329" s="244" t="n"/>
      <c r="C329" s="244" t="n"/>
      <c r="H329" s="4">
        <f>H289</f>
        <v/>
      </c>
      <c r="I329" s="27" t="inlineStr">
        <is>
          <t>no</t>
        </is>
      </c>
      <c r="M329" s="258" t="n"/>
      <c r="N329" s="258" t="n"/>
      <c r="O329" s="258" t="n"/>
      <c r="P329" s="258" t="n"/>
      <c r="Q329" s="258" t="n"/>
    </row>
    <row r="330" ht="12" customHeight="1" s="227">
      <c r="A330" s="244" t="n"/>
      <c r="B330" s="244" t="n"/>
      <c r="C330" s="244" t="n"/>
      <c r="H330" s="4">
        <f>H290</f>
        <v/>
      </c>
      <c r="I330" s="27" t="inlineStr">
        <is>
          <t>no</t>
        </is>
      </c>
      <c r="M330" s="258" t="n"/>
      <c r="N330" s="258" t="n"/>
      <c r="O330" s="258" t="n"/>
      <c r="P330" s="258" t="n"/>
      <c r="Q330" s="258" t="n"/>
    </row>
    <row r="331" ht="12" customHeight="1" s="227">
      <c r="A331" s="244" t="n"/>
      <c r="B331" s="244" t="n"/>
      <c r="C331" s="244" t="n"/>
      <c r="H331" s="4">
        <f>H291</f>
        <v/>
      </c>
      <c r="I331" s="27" t="inlineStr">
        <is>
          <t>no</t>
        </is>
      </c>
      <c r="M331" s="258" t="n"/>
      <c r="N331" s="258" t="n"/>
      <c r="O331" s="258" t="n"/>
      <c r="P331" s="258" t="n"/>
      <c r="Q331" s="258" t="n"/>
    </row>
    <row r="332" ht="12" customHeight="1" s="227">
      <c r="A332" s="244" t="n"/>
      <c r="B332" s="244" t="n"/>
      <c r="C332" s="244" t="n"/>
      <c r="H332" s="4">
        <f>H292</f>
        <v/>
      </c>
      <c r="I332" s="27" t="inlineStr">
        <is>
          <t>no</t>
        </is>
      </c>
      <c r="M332" s="258" t="n"/>
      <c r="N332" s="258" t="n"/>
      <c r="O332" s="258" t="n"/>
      <c r="P332" s="258" t="n"/>
      <c r="Q332" s="258" t="n"/>
    </row>
    <row r="333" ht="12" customHeight="1" s="227">
      <c r="A333" s="244" t="n"/>
      <c r="B333" s="244" t="n"/>
      <c r="C333" s="244" t="n"/>
      <c r="H333" s="4">
        <f>H293</f>
        <v/>
      </c>
      <c r="I333" s="27" t="inlineStr">
        <is>
          <t>no</t>
        </is>
      </c>
      <c r="M333" s="258" t="n"/>
      <c r="N333" s="258" t="n"/>
      <c r="O333" s="258" t="n"/>
      <c r="P333" s="258" t="n"/>
      <c r="Q333" s="258" t="n"/>
    </row>
    <row r="334" ht="12" customHeight="1" s="227">
      <c r="A334" s="244" t="n"/>
      <c r="B334" s="244" t="n"/>
      <c r="C334" s="244" t="n"/>
      <c r="H334" s="4">
        <f>H294</f>
        <v/>
      </c>
      <c r="I334" s="27" t="inlineStr">
        <is>
          <t>no</t>
        </is>
      </c>
      <c r="M334" s="258" t="n"/>
      <c r="N334" s="258" t="n"/>
      <c r="O334" s="258" t="n"/>
      <c r="P334" s="258" t="n"/>
      <c r="Q334" s="258" t="n"/>
    </row>
    <row r="335" ht="12" customHeight="1" s="227">
      <c r="A335" s="244" t="n"/>
      <c r="B335" s="244" t="n"/>
      <c r="C335" s="244" t="n"/>
    </row>
    <row r="336" ht="12" customHeight="1" s="227">
      <c r="A336" s="244" t="n"/>
      <c r="B336" s="244" t="n"/>
      <c r="C336" s="244" t="n"/>
    </row>
    <row r="337" ht="13.5" customFormat="1" customHeight="1" s="223" thickBot="1">
      <c r="E337" s="223">
        <f>Heading2</f>
        <v/>
      </c>
      <c r="F337" s="223">
        <f>i_Setup!U39</f>
        <v/>
      </c>
    </row>
    <row r="338" ht="12" customHeight="1" s="227">
      <c r="A338" s="244" t="n"/>
      <c r="B338" s="244" t="n"/>
      <c r="C338" s="244" t="n"/>
    </row>
    <row r="339" ht="12" customHeight="1" s="227">
      <c r="A339" s="244" t="n"/>
      <c r="B339" s="244" t="n"/>
      <c r="C339" s="244" t="n"/>
      <c r="G339" s="222" t="inlineStr">
        <is>
          <t>Number of Ships</t>
        </is>
      </c>
    </row>
    <row r="340" ht="12" customHeight="1" s="227">
      <c r="A340" s="244" t="n"/>
      <c r="B340" s="244" t="n"/>
      <c r="C340" s="244" t="n"/>
    </row>
    <row r="341" ht="12" customHeight="1" s="227">
      <c r="A341" s="244" t="n"/>
      <c r="B341" s="244" t="n"/>
      <c r="C341" s="244" t="n"/>
      <c r="H341" s="4">
        <f>F337</f>
        <v/>
      </c>
      <c r="I341" s="27" t="inlineStr">
        <is>
          <t>no.</t>
        </is>
      </c>
      <c r="M341" s="245">
        <f>SUMIF($T$2:$CA$2,M$2,$T341:$CA341)</f>
        <v/>
      </c>
      <c r="N341" s="245">
        <f>SUMIF($T$2:$CA$2,N$2,$T341:$CA341)</f>
        <v/>
      </c>
      <c r="O341" s="245">
        <f>SUMIF($T$2:$CA$2,O$2,$T341:$CA341)</f>
        <v/>
      </c>
      <c r="P341" s="245">
        <f>SUMIF($T$2:$CA$2,P$2,$T341:$CA341)</f>
        <v/>
      </c>
      <c r="Q341" s="245">
        <f>SUMIF($T$2:$CA$2,Q$2,$T341:$CA341)</f>
        <v/>
      </c>
      <c r="T341" s="257">
        <f>IF(T$7="Actual","",_xlfn.XLOOKUP($F337,c_Calculations!$H$15:$H$24,c_Calculations!T$15:T$24))</f>
        <v/>
      </c>
      <c r="U341" s="257">
        <f>IF(U$7="Actual","",_xlfn.XLOOKUP($F337,c_Calculations!$H$15:$H$24,c_Calculations!U$15:U$24))</f>
        <v/>
      </c>
      <c r="V341" s="257">
        <f>IF(V$7="Actual","",_xlfn.XLOOKUP($F337,c_Calculations!$H$15:$H$24,c_Calculations!V$15:V$24))</f>
        <v/>
      </c>
      <c r="W341" s="257">
        <f>IF(W$7="Actual","",_xlfn.XLOOKUP($F337,c_Calculations!$H$15:$H$24,c_Calculations!W$15:W$24))</f>
        <v/>
      </c>
      <c r="X341" s="257">
        <f>IF(X$7="Actual","",_xlfn.XLOOKUP($F337,c_Calculations!$H$15:$H$24,c_Calculations!X$15:X$24))</f>
        <v/>
      </c>
      <c r="Y341" s="257">
        <f>IF(Y$7="Actual","",_xlfn.XLOOKUP($F337,c_Calculations!$H$15:$H$24,c_Calculations!Y$15:Y$24))</f>
        <v/>
      </c>
      <c r="Z341" s="257">
        <f>IF(Z$7="Actual","",_xlfn.XLOOKUP($F337,c_Calculations!$H$15:$H$24,c_Calculations!Z$15:Z$24))</f>
        <v/>
      </c>
      <c r="AA341" s="257">
        <f>IF(AA$7="Actual","",_xlfn.XLOOKUP($F337,c_Calculations!$H$15:$H$24,c_Calculations!AA$15:AA$24))</f>
        <v/>
      </c>
      <c r="AB341" s="257">
        <f>IF(AB$7="Actual","",_xlfn.XLOOKUP($F337,c_Calculations!$H$15:$H$24,c_Calculations!AB$15:AB$24))</f>
        <v/>
      </c>
      <c r="AC341" s="257">
        <f>IF(AC$7="Actual","",_xlfn.XLOOKUP($F337,c_Calculations!$H$15:$H$24,c_Calculations!AC$15:AC$24))</f>
        <v/>
      </c>
      <c r="AD341" s="257">
        <f>IF(AD$7="Actual","",_xlfn.XLOOKUP($F337,c_Calculations!$H$15:$H$24,c_Calculations!AD$15:AD$24))</f>
        <v/>
      </c>
      <c r="AE341" s="257">
        <f>IF(AE$7="Actual","",_xlfn.XLOOKUP($F337,c_Calculations!$H$15:$H$24,c_Calculations!AE$15:AE$24))</f>
        <v/>
      </c>
      <c r="AF341" s="257">
        <f>IF(AF$7="Actual","",_xlfn.XLOOKUP($F337,c_Calculations!$H$15:$H$24,c_Calculations!AF$15:AF$24))</f>
        <v/>
      </c>
      <c r="AG341" s="257">
        <f>IF(AG$7="Actual","",_xlfn.XLOOKUP($F337,c_Calculations!$H$15:$H$24,c_Calculations!AG$15:AG$24))</f>
        <v/>
      </c>
      <c r="AH341" s="257">
        <f>IF(AH$7="Actual","",_xlfn.XLOOKUP($F337,c_Calculations!$H$15:$H$24,c_Calculations!AH$15:AH$24))</f>
        <v/>
      </c>
      <c r="AI341" s="257">
        <f>IF(AI$7="Actual","",_xlfn.XLOOKUP($F337,c_Calculations!$H$15:$H$24,c_Calculations!AI$15:AI$24))</f>
        <v/>
      </c>
      <c r="AJ341" s="257">
        <f>IF(AJ$7="Actual","",_xlfn.XLOOKUP($F337,c_Calculations!$H$15:$H$24,c_Calculations!AJ$15:AJ$24))</f>
        <v/>
      </c>
      <c r="AK341" s="257">
        <f>IF(AK$7="Actual","",_xlfn.XLOOKUP($F337,c_Calculations!$H$15:$H$24,c_Calculations!AK$15:AK$24))</f>
        <v/>
      </c>
      <c r="AL341" s="257">
        <f>IF(AL$7="Actual","",_xlfn.XLOOKUP($F337,c_Calculations!$H$15:$H$24,c_Calculations!AL$15:AL$24))</f>
        <v/>
      </c>
      <c r="AM341" s="257">
        <f>IF(AM$7="Actual","",_xlfn.XLOOKUP($F337,c_Calculations!$H$15:$H$24,c_Calculations!AM$15:AM$24))</f>
        <v/>
      </c>
      <c r="AN341" s="257">
        <f>IF(AN$7="Actual","",_xlfn.XLOOKUP($F337,c_Calculations!$H$15:$H$24,c_Calculations!AN$15:AN$24))</f>
        <v/>
      </c>
      <c r="AO341" s="257">
        <f>IF(AO$7="Actual","",_xlfn.XLOOKUP($F337,c_Calculations!$H$15:$H$24,c_Calculations!AO$15:AO$24))</f>
        <v/>
      </c>
      <c r="AP341" s="257">
        <f>IF(AP$7="Actual","",_xlfn.XLOOKUP($F337,c_Calculations!$H$15:$H$24,c_Calculations!AP$15:AP$24))</f>
        <v/>
      </c>
      <c r="AQ341" s="257">
        <f>IF(AQ$7="Actual","",_xlfn.XLOOKUP($F337,c_Calculations!$H$15:$H$24,c_Calculations!AQ$15:AQ$24))</f>
        <v/>
      </c>
      <c r="AR341" s="257">
        <f>IF(AR$7="Actual","",_xlfn.XLOOKUP($F337,c_Calculations!$H$15:$H$24,c_Calculations!AR$15:AR$24))</f>
        <v/>
      </c>
      <c r="AS341" s="257">
        <f>IF(AS$7="Actual","",_xlfn.XLOOKUP($F337,c_Calculations!$H$15:$H$24,c_Calculations!AS$15:AS$24))</f>
        <v/>
      </c>
      <c r="AT341" s="257">
        <f>IF(AT$7="Actual","",_xlfn.XLOOKUP($F337,c_Calculations!$H$15:$H$24,c_Calculations!AT$15:AT$24))</f>
        <v/>
      </c>
      <c r="AU341" s="257">
        <f>IF(AU$7="Actual","",_xlfn.XLOOKUP($F337,c_Calculations!$H$15:$H$24,c_Calculations!AU$15:AU$24))</f>
        <v/>
      </c>
      <c r="AV341" s="257">
        <f>IF(AV$7="Actual","",_xlfn.XLOOKUP($F337,c_Calculations!$H$15:$H$24,c_Calculations!AV$15:AV$24))</f>
        <v/>
      </c>
      <c r="AW341" s="257">
        <f>IF(AW$7="Actual","",_xlfn.XLOOKUP($F337,c_Calculations!$H$15:$H$24,c_Calculations!AW$15:AW$24))</f>
        <v/>
      </c>
      <c r="AX341" s="257">
        <f>IF(AX$7="Actual","",_xlfn.XLOOKUP($F337,c_Calculations!$H$15:$H$24,c_Calculations!AX$15:AX$24))</f>
        <v/>
      </c>
      <c r="AY341" s="257">
        <f>IF(AY$7="Actual","",_xlfn.XLOOKUP($F337,c_Calculations!$H$15:$H$24,c_Calculations!AY$15:AY$24))</f>
        <v/>
      </c>
      <c r="AZ341" s="257">
        <f>IF(AZ$7="Actual","",_xlfn.XLOOKUP($F337,c_Calculations!$H$15:$H$24,c_Calculations!AZ$15:AZ$24))</f>
        <v/>
      </c>
      <c r="BA341" s="257">
        <f>IF(BA$7="Actual","",_xlfn.XLOOKUP($F337,c_Calculations!$H$15:$H$24,c_Calculations!BA$15:BA$24))</f>
        <v/>
      </c>
      <c r="BB341" s="257">
        <f>IF(BB$7="Actual","",_xlfn.XLOOKUP($F337,c_Calculations!$H$15:$H$24,c_Calculations!BB$15:BB$24))</f>
        <v/>
      </c>
      <c r="BC341" s="257">
        <f>IF(BC$7="Actual","",_xlfn.XLOOKUP($F337,c_Calculations!$H$15:$H$24,c_Calculations!BC$15:BC$24))</f>
        <v/>
      </c>
      <c r="BD341" s="257">
        <f>IF(BD$7="Actual","",_xlfn.XLOOKUP($F337,c_Calculations!$H$15:$H$24,c_Calculations!BD$15:BD$24))</f>
        <v/>
      </c>
      <c r="BE341" s="257">
        <f>IF(BE$7="Actual","",_xlfn.XLOOKUP($F337,c_Calculations!$H$15:$H$24,c_Calculations!BE$15:BE$24))</f>
        <v/>
      </c>
      <c r="BF341" s="257">
        <f>IF(BF$7="Actual","",_xlfn.XLOOKUP($F337,c_Calculations!$H$15:$H$24,c_Calculations!BF$15:BF$24))</f>
        <v/>
      </c>
      <c r="BG341" s="257">
        <f>IF(BG$7="Actual","",_xlfn.XLOOKUP($F337,c_Calculations!$H$15:$H$24,c_Calculations!BG$15:BG$24))</f>
        <v/>
      </c>
      <c r="BH341" s="257">
        <f>IF(BH$7="Actual","",_xlfn.XLOOKUP($F337,c_Calculations!$H$15:$H$24,c_Calculations!BH$15:BH$24))</f>
        <v/>
      </c>
      <c r="BI341" s="257">
        <f>IF(BI$7="Actual","",_xlfn.XLOOKUP($F337,c_Calculations!$H$15:$H$24,c_Calculations!BI$15:BI$24))</f>
        <v/>
      </c>
      <c r="BJ341" s="257">
        <f>IF(BJ$7="Actual","",_xlfn.XLOOKUP($F337,c_Calculations!$H$15:$H$24,c_Calculations!BJ$15:BJ$24))</f>
        <v/>
      </c>
      <c r="BK341" s="257">
        <f>IF(BK$7="Actual","",_xlfn.XLOOKUP($F337,c_Calculations!$H$15:$H$24,c_Calculations!BK$15:BK$24))</f>
        <v/>
      </c>
      <c r="BL341" s="257">
        <f>IF(BL$7="Actual","",_xlfn.XLOOKUP($F337,c_Calculations!$H$15:$H$24,c_Calculations!BL$15:BL$24))</f>
        <v/>
      </c>
      <c r="BM341" s="257">
        <f>IF(BM$7="Actual","",_xlfn.XLOOKUP($F337,c_Calculations!$H$15:$H$24,c_Calculations!BM$15:BM$24))</f>
        <v/>
      </c>
      <c r="BN341" s="257">
        <f>IF(BN$7="Actual","",_xlfn.XLOOKUP($F337,c_Calculations!$H$15:$H$24,c_Calculations!BN$15:BN$24))</f>
        <v/>
      </c>
      <c r="BO341" s="257">
        <f>IF(BO$7="Actual","",_xlfn.XLOOKUP($F337,c_Calculations!$H$15:$H$24,c_Calculations!BO$15:BO$24))</f>
        <v/>
      </c>
      <c r="BP341" s="257">
        <f>IF(BP$7="Actual","",_xlfn.XLOOKUP($F337,c_Calculations!$H$15:$H$24,c_Calculations!BP$15:BP$24))</f>
        <v/>
      </c>
      <c r="BQ341" s="257">
        <f>IF(BQ$7="Actual","",_xlfn.XLOOKUP($F337,c_Calculations!$H$15:$H$24,c_Calculations!BQ$15:BQ$24))</f>
        <v/>
      </c>
      <c r="BR341" s="257">
        <f>IF(BR$7="Actual","",_xlfn.XLOOKUP($F337,c_Calculations!$H$15:$H$24,c_Calculations!BR$15:BR$24))</f>
        <v/>
      </c>
      <c r="BS341" s="257">
        <f>IF(BS$7="Actual","",_xlfn.XLOOKUP($F337,c_Calculations!$H$15:$H$24,c_Calculations!BS$15:BS$24))</f>
        <v/>
      </c>
      <c r="BT341" s="257">
        <f>IF(BT$7="Actual","",_xlfn.XLOOKUP($F337,c_Calculations!$H$15:$H$24,c_Calculations!BT$15:BT$24))</f>
        <v/>
      </c>
      <c r="BU341" s="257">
        <f>IF(BU$7="Actual","",_xlfn.XLOOKUP($F337,c_Calculations!$H$15:$H$24,c_Calculations!BU$15:BU$24))</f>
        <v/>
      </c>
      <c r="BV341" s="257">
        <f>IF(BV$7="Actual","",_xlfn.XLOOKUP($F337,c_Calculations!$H$15:$H$24,c_Calculations!BV$15:BV$24))</f>
        <v/>
      </c>
      <c r="BW341" s="257">
        <f>IF(BW$7="Actual","",_xlfn.XLOOKUP($F337,c_Calculations!$H$15:$H$24,c_Calculations!BW$15:BW$24))</f>
        <v/>
      </c>
      <c r="BX341" s="257">
        <f>IF(BX$7="Actual","",_xlfn.XLOOKUP($F337,c_Calculations!$H$15:$H$24,c_Calculations!BX$15:BX$24))</f>
        <v/>
      </c>
      <c r="BY341" s="257">
        <f>IF(BY$7="Actual","",_xlfn.XLOOKUP($F337,c_Calculations!$H$15:$H$24,c_Calculations!BY$15:BY$24))</f>
        <v/>
      </c>
      <c r="BZ341" s="257">
        <f>IF(BZ$7="Actual","",_xlfn.XLOOKUP($F337,c_Calculations!$H$15:$H$24,c_Calculations!BZ$15:BZ$24))</f>
        <v/>
      </c>
      <c r="CA341" s="257">
        <f>IF(CA$7="Actual","",_xlfn.XLOOKUP($F337,c_Calculations!$H$15:$H$24,c_Calculations!CA$15:CA$24))</f>
        <v/>
      </c>
    </row>
    <row r="342" ht="12" customHeight="1" s="227">
      <c r="A342" s="244" t="n"/>
      <c r="B342" s="244" t="n"/>
      <c r="C342" s="244" t="n"/>
    </row>
    <row r="343" ht="12" customHeight="1" s="227">
      <c r="A343" s="244" t="n"/>
      <c r="B343" s="244" t="n"/>
      <c r="C343" s="244" t="n"/>
    </row>
    <row r="344" ht="12" customHeight="1" s="227">
      <c r="A344" s="244" t="n"/>
      <c r="B344" s="244" t="n"/>
      <c r="C344" s="244" t="n"/>
      <c r="G344" s="222" t="inlineStr">
        <is>
          <t>Direct CAPEX (Excl. Sales Tax)</t>
        </is>
      </c>
    </row>
    <row r="345" ht="12" customHeight="1" s="227">
      <c r="A345" s="244" t="n"/>
      <c r="B345" s="244" t="n"/>
      <c r="C345" s="244" t="n"/>
    </row>
    <row r="346" ht="12" customHeight="1" s="227">
      <c r="A346" s="244" t="n"/>
      <c r="B346" s="244" t="n"/>
      <c r="C346" s="244" t="n"/>
      <c r="H346" s="4">
        <f>H306</f>
        <v/>
      </c>
      <c r="I346" s="27">
        <f>i_Setup!$M$16</f>
        <v/>
      </c>
      <c r="M346" s="245">
        <f>SUMIF($T$4:$CA$4,M$4,$T346:$CA346)</f>
        <v/>
      </c>
      <c r="N346" s="245">
        <f>SUMIF($T$4:$CA$4,N$4,$T346:$CA346)</f>
        <v/>
      </c>
      <c r="O346" s="245">
        <f>SUMIF($T$4:$CA$4,O$4,$T346:$CA346)</f>
        <v/>
      </c>
      <c r="P346" s="245">
        <f>SUMIF($T$4:$CA$4,P$4,$T346:$CA346)</f>
        <v/>
      </c>
      <c r="Q346" s="245">
        <f>SUMIF($T$4:$CA$4,Q$4,$T346:$CA346)</f>
        <v/>
      </c>
      <c r="T346" s="256" t="n"/>
      <c r="U346" s="256" t="n"/>
      <c r="V346" s="256" t="n"/>
      <c r="W346" s="256" t="n"/>
      <c r="X346" s="256" t="n"/>
      <c r="Y346" s="256" t="n"/>
      <c r="Z346" s="256" t="n"/>
      <c r="AA346" s="256" t="n"/>
      <c r="AB346" s="256" t="n"/>
      <c r="AC346" s="256" t="n"/>
      <c r="AD346" s="256" t="n"/>
      <c r="AE346" s="256" t="n"/>
      <c r="AF346" s="256" t="n"/>
      <c r="AG346" s="256" t="n"/>
      <c r="AH346" s="256" t="n"/>
      <c r="AI346" s="256" t="n"/>
      <c r="AJ346" s="256" t="n"/>
      <c r="AK346" s="256" t="n"/>
      <c r="AL346" s="256" t="n"/>
      <c r="AM346" s="256" t="n"/>
      <c r="AN346" s="256" t="n"/>
      <c r="AO346" s="256" t="n"/>
      <c r="AP346" s="256" t="n"/>
      <c r="AQ346" s="256" t="n"/>
      <c r="AR346" s="256" t="n"/>
      <c r="AS346" s="256" t="n"/>
      <c r="AT346" s="256" t="n"/>
      <c r="AU346" s="256" t="n"/>
      <c r="AV346" s="256" t="n"/>
      <c r="AW346" s="256" t="n"/>
      <c r="AX346" s="256" t="n"/>
      <c r="AY346" s="256" t="n"/>
      <c r="AZ346" s="256" t="n"/>
      <c r="BA346" s="256" t="n"/>
      <c r="BB346" s="256" t="n"/>
      <c r="BC346" s="256" t="n"/>
      <c r="BD346" s="256" t="n"/>
      <c r="BE346" s="256" t="n"/>
      <c r="BF346" s="256" t="n"/>
      <c r="BG346" s="256" t="n"/>
      <c r="BH346" s="256" t="n"/>
      <c r="BI346" s="256" t="n"/>
      <c r="BJ346" s="256" t="n"/>
      <c r="BK346" s="256" t="n"/>
      <c r="BL346" s="256" t="n"/>
      <c r="BM346" s="256" t="n"/>
      <c r="BN346" s="256" t="n"/>
      <c r="BO346" s="256" t="n"/>
      <c r="BP346" s="256" t="n"/>
      <c r="BQ346" s="256" t="n"/>
      <c r="BR346" s="256" t="n"/>
      <c r="BS346" s="256" t="n"/>
      <c r="BT346" s="256" t="n"/>
      <c r="BU346" s="256" t="n"/>
      <c r="BV346" s="256" t="n"/>
      <c r="BW346" s="256" t="n"/>
      <c r="BX346" s="256" t="n"/>
      <c r="BY346" s="256" t="n"/>
      <c r="BZ346" s="256" t="n"/>
      <c r="CA346" s="256" t="n"/>
    </row>
    <row r="347" ht="12" customHeight="1" s="227">
      <c r="A347" s="244" t="n"/>
      <c r="B347" s="244" t="n"/>
      <c r="C347" s="244" t="n"/>
      <c r="H347" s="4">
        <f>H307</f>
        <v/>
      </c>
      <c r="I347" s="27">
        <f>i_Setup!$M$16</f>
        <v/>
      </c>
      <c r="M347" s="245">
        <f>SUMIF($T$4:$CA$4,M$4,$T347:$CA347)</f>
        <v/>
      </c>
      <c r="N347" s="245">
        <f>SUMIF($T$4:$CA$4,N$4,$T347:$CA347)</f>
        <v/>
      </c>
      <c r="O347" s="245">
        <f>SUMIF($T$4:$CA$4,O$4,$T347:$CA347)</f>
        <v/>
      </c>
      <c r="P347" s="245">
        <f>SUMIF($T$4:$CA$4,P$4,$T347:$CA347)</f>
        <v/>
      </c>
      <c r="Q347" s="245">
        <f>SUMIF($T$4:$CA$4,Q$4,$T347:$CA347)</f>
        <v/>
      </c>
      <c r="T347" s="256" t="n"/>
      <c r="U347" s="256" t="n"/>
      <c r="V347" s="256" t="n"/>
      <c r="W347" s="256" t="n"/>
      <c r="X347" s="256" t="n"/>
      <c r="Y347" s="256" t="n"/>
      <c r="Z347" s="256" t="n"/>
      <c r="AA347" s="256" t="n"/>
      <c r="AB347" s="256" t="n"/>
      <c r="AC347" s="256" t="n"/>
      <c r="AD347" s="256" t="n"/>
      <c r="AE347" s="256" t="n"/>
      <c r="AF347" s="256" t="n"/>
      <c r="AG347" s="256" t="n"/>
      <c r="AH347" s="256" t="n"/>
      <c r="AI347" s="256" t="n"/>
      <c r="AJ347" s="256" t="n"/>
      <c r="AK347" s="256" t="n"/>
      <c r="AL347" s="256" t="n"/>
      <c r="AM347" s="256" t="n"/>
      <c r="AN347" s="256" t="n"/>
      <c r="AO347" s="256" t="n"/>
      <c r="AP347" s="256" t="n"/>
      <c r="AQ347" s="256" t="n"/>
      <c r="AR347" s="256" t="n"/>
      <c r="AS347" s="256" t="n"/>
      <c r="AT347" s="256" t="n"/>
      <c r="AU347" s="256" t="n"/>
      <c r="AV347" s="256" t="n"/>
      <c r="AW347" s="256" t="n"/>
      <c r="AX347" s="256" t="n"/>
      <c r="AY347" s="256" t="n"/>
      <c r="AZ347" s="256" t="n"/>
      <c r="BA347" s="256" t="n"/>
      <c r="BB347" s="256" t="n"/>
      <c r="BC347" s="256" t="n"/>
      <c r="BD347" s="256" t="n"/>
      <c r="BE347" s="256" t="n"/>
      <c r="BF347" s="256" t="n"/>
      <c r="BG347" s="256" t="n"/>
      <c r="BH347" s="256" t="n"/>
      <c r="BI347" s="256" t="n"/>
      <c r="BJ347" s="256" t="n"/>
      <c r="BK347" s="256" t="n"/>
      <c r="BL347" s="256" t="n"/>
      <c r="BM347" s="256" t="n"/>
      <c r="BN347" s="256" t="n"/>
      <c r="BO347" s="256" t="n"/>
      <c r="BP347" s="256" t="n"/>
      <c r="BQ347" s="256" t="n"/>
      <c r="BR347" s="256" t="n"/>
      <c r="BS347" s="256" t="n"/>
      <c r="BT347" s="256" t="n"/>
      <c r="BU347" s="256" t="n"/>
      <c r="BV347" s="256" t="n"/>
      <c r="BW347" s="256" t="n"/>
      <c r="BX347" s="256" t="n"/>
      <c r="BY347" s="256" t="n"/>
      <c r="BZ347" s="256" t="n"/>
      <c r="CA347" s="256" t="n"/>
    </row>
    <row r="348" ht="12" customHeight="1" s="227">
      <c r="A348" s="244" t="n"/>
      <c r="B348" s="244" t="n"/>
      <c r="C348" s="244" t="n"/>
      <c r="H348" s="4">
        <f>H308</f>
        <v/>
      </c>
      <c r="I348" s="27">
        <f>i_Setup!$M$16</f>
        <v/>
      </c>
      <c r="M348" s="245">
        <f>SUMIF($T$4:$CA$4,M$4,$T348:$CA348)</f>
        <v/>
      </c>
      <c r="N348" s="245">
        <f>SUMIF($T$4:$CA$4,N$4,$T348:$CA348)</f>
        <v/>
      </c>
      <c r="O348" s="245">
        <f>SUMIF($T$4:$CA$4,O$4,$T348:$CA348)</f>
        <v/>
      </c>
      <c r="P348" s="245">
        <f>SUMIF($T$4:$CA$4,P$4,$T348:$CA348)</f>
        <v/>
      </c>
      <c r="Q348" s="245">
        <f>SUMIF($T$4:$CA$4,Q$4,$T348:$CA348)</f>
        <v/>
      </c>
      <c r="T348" s="256" t="n"/>
      <c r="U348" s="256" t="n"/>
      <c r="V348" s="256" t="n"/>
      <c r="W348" s="256" t="n"/>
      <c r="X348" s="256" t="n"/>
      <c r="Y348" s="256" t="n"/>
      <c r="Z348" s="256" t="n"/>
      <c r="AA348" s="256" t="n"/>
      <c r="AB348" s="256" t="n"/>
      <c r="AC348" s="256" t="n"/>
      <c r="AD348" s="256" t="n"/>
      <c r="AE348" s="256" t="n"/>
      <c r="AF348" s="256" t="n"/>
      <c r="AG348" s="256" t="n"/>
      <c r="AH348" s="256" t="n"/>
      <c r="AI348" s="256" t="n"/>
      <c r="AJ348" s="256" t="n"/>
      <c r="AK348" s="256" t="n"/>
      <c r="AL348" s="256" t="n"/>
      <c r="AM348" s="256" t="n"/>
      <c r="AN348" s="256" t="n"/>
      <c r="AO348" s="256" t="n"/>
      <c r="AP348" s="256" t="n"/>
      <c r="AQ348" s="256" t="n"/>
      <c r="AR348" s="256" t="n"/>
      <c r="AS348" s="256" t="n"/>
      <c r="AT348" s="256" t="n"/>
      <c r="AU348" s="256" t="n"/>
      <c r="AV348" s="256" t="n"/>
      <c r="AW348" s="256" t="n"/>
      <c r="AX348" s="256" t="n"/>
      <c r="AY348" s="256" t="n"/>
      <c r="AZ348" s="256" t="n"/>
      <c r="BA348" s="256" t="n"/>
      <c r="BB348" s="256" t="n"/>
      <c r="BC348" s="256" t="n"/>
      <c r="BD348" s="256" t="n"/>
      <c r="BE348" s="256" t="n"/>
      <c r="BF348" s="256" t="n"/>
      <c r="BG348" s="256" t="n"/>
      <c r="BH348" s="256" t="n"/>
      <c r="BI348" s="256" t="n"/>
      <c r="BJ348" s="256" t="n"/>
      <c r="BK348" s="256" t="n"/>
      <c r="BL348" s="256" t="n"/>
      <c r="BM348" s="256" t="n"/>
      <c r="BN348" s="256" t="n"/>
      <c r="BO348" s="256" t="n"/>
      <c r="BP348" s="256" t="n"/>
      <c r="BQ348" s="256" t="n"/>
      <c r="BR348" s="256" t="n"/>
      <c r="BS348" s="256" t="n"/>
      <c r="BT348" s="256" t="n"/>
      <c r="BU348" s="256" t="n"/>
      <c r="BV348" s="256" t="n"/>
      <c r="BW348" s="256" t="n"/>
      <c r="BX348" s="256" t="n"/>
      <c r="BY348" s="256" t="n"/>
      <c r="BZ348" s="256" t="n"/>
      <c r="CA348" s="256" t="n"/>
    </row>
    <row r="349" ht="12" customHeight="1" s="227">
      <c r="A349" s="244" t="n"/>
      <c r="B349" s="244" t="n"/>
      <c r="C349" s="244" t="n"/>
      <c r="H349" s="4">
        <f>H309</f>
        <v/>
      </c>
      <c r="I349" s="27">
        <f>i_Setup!$M$16</f>
        <v/>
      </c>
      <c r="M349" s="245">
        <f>SUMIF($T$4:$CA$4,M$4,$T349:$CA349)</f>
        <v/>
      </c>
      <c r="N349" s="245">
        <f>SUMIF($T$4:$CA$4,N$4,$T349:$CA349)</f>
        <v/>
      </c>
      <c r="O349" s="245">
        <f>SUMIF($T$4:$CA$4,O$4,$T349:$CA349)</f>
        <v/>
      </c>
      <c r="P349" s="245">
        <f>SUMIF($T$4:$CA$4,P$4,$T349:$CA349)</f>
        <v/>
      </c>
      <c r="Q349" s="245">
        <f>SUMIF($T$4:$CA$4,Q$4,$T349:$CA349)</f>
        <v/>
      </c>
      <c r="T349" s="256" t="n"/>
      <c r="U349" s="256" t="n"/>
      <c r="V349" s="256" t="n"/>
      <c r="W349" s="256" t="n"/>
      <c r="X349" s="256" t="n"/>
      <c r="Y349" s="256" t="n"/>
      <c r="Z349" s="256" t="n"/>
      <c r="AA349" s="256" t="n"/>
      <c r="AB349" s="256" t="n"/>
      <c r="AC349" s="256" t="n"/>
      <c r="AD349" s="256" t="n"/>
      <c r="AE349" s="256" t="n"/>
      <c r="AF349" s="256" t="n"/>
      <c r="AG349" s="256" t="n"/>
      <c r="AH349" s="256" t="n"/>
      <c r="AI349" s="256" t="n"/>
      <c r="AJ349" s="256" t="n"/>
      <c r="AK349" s="256" t="n"/>
      <c r="AL349" s="256" t="n"/>
      <c r="AM349" s="256" t="n"/>
      <c r="AN349" s="256" t="n"/>
      <c r="AO349" s="256" t="n"/>
      <c r="AP349" s="256" t="n"/>
      <c r="AQ349" s="256" t="n"/>
      <c r="AR349" s="256" t="n"/>
      <c r="AS349" s="256" t="n"/>
      <c r="AT349" s="256" t="n"/>
      <c r="AU349" s="256" t="n"/>
      <c r="AV349" s="256" t="n"/>
      <c r="AW349" s="256" t="n"/>
      <c r="AX349" s="256" t="n"/>
      <c r="AY349" s="256" t="n"/>
      <c r="AZ349" s="256" t="n"/>
      <c r="BA349" s="256" t="n"/>
      <c r="BB349" s="256" t="n"/>
      <c r="BC349" s="256" t="n"/>
      <c r="BD349" s="256" t="n"/>
      <c r="BE349" s="256" t="n"/>
      <c r="BF349" s="256" t="n"/>
      <c r="BG349" s="256" t="n"/>
      <c r="BH349" s="256" t="n"/>
      <c r="BI349" s="256" t="n"/>
      <c r="BJ349" s="256" t="n"/>
      <c r="BK349" s="256" t="n"/>
      <c r="BL349" s="256" t="n"/>
      <c r="BM349" s="256" t="n"/>
      <c r="BN349" s="256" t="n"/>
      <c r="BO349" s="256" t="n"/>
      <c r="BP349" s="256" t="n"/>
      <c r="BQ349" s="256" t="n"/>
      <c r="BR349" s="256" t="n"/>
      <c r="BS349" s="256" t="n"/>
      <c r="BT349" s="256" t="n"/>
      <c r="BU349" s="256" t="n"/>
      <c r="BV349" s="256" t="n"/>
      <c r="BW349" s="256" t="n"/>
      <c r="BX349" s="256" t="n"/>
      <c r="BY349" s="256" t="n"/>
      <c r="BZ349" s="256" t="n"/>
      <c r="CA349" s="256" t="n"/>
    </row>
    <row r="350" ht="12" customHeight="1" s="227">
      <c r="A350" s="244" t="n"/>
      <c r="B350" s="244" t="n"/>
      <c r="C350" s="244" t="n"/>
      <c r="H350" s="4">
        <f>H310</f>
        <v/>
      </c>
      <c r="I350" s="27">
        <f>i_Setup!$M$16</f>
        <v/>
      </c>
      <c r="M350" s="245">
        <f>SUMIF($T$4:$CA$4,M$4,$T350:$CA350)</f>
        <v/>
      </c>
      <c r="N350" s="245">
        <f>SUMIF($T$4:$CA$4,N$4,$T350:$CA350)</f>
        <v/>
      </c>
      <c r="O350" s="245">
        <f>SUMIF($T$4:$CA$4,O$4,$T350:$CA350)</f>
        <v/>
      </c>
      <c r="P350" s="245">
        <f>SUMIF($T$4:$CA$4,P$4,$T350:$CA350)</f>
        <v/>
      </c>
      <c r="Q350" s="245">
        <f>SUMIF($T$4:$CA$4,Q$4,$T350:$CA350)</f>
        <v/>
      </c>
      <c r="T350" s="256" t="n"/>
      <c r="U350" s="256" t="n"/>
      <c r="V350" s="256" t="n"/>
      <c r="W350" s="256" t="n"/>
      <c r="X350" s="256" t="n"/>
      <c r="Y350" s="256" t="n"/>
      <c r="Z350" s="256" t="n"/>
      <c r="AA350" s="256" t="n"/>
      <c r="AB350" s="256" t="n"/>
      <c r="AC350" s="256" t="n"/>
      <c r="AD350" s="256" t="n"/>
      <c r="AE350" s="256" t="n"/>
      <c r="AF350" s="256" t="n"/>
      <c r="AG350" s="256" t="n"/>
      <c r="AH350" s="256" t="n"/>
      <c r="AI350" s="256" t="n"/>
      <c r="AJ350" s="256" t="n"/>
      <c r="AK350" s="256" t="n"/>
      <c r="AL350" s="256" t="n"/>
      <c r="AM350" s="256" t="n"/>
      <c r="AN350" s="256" t="n"/>
      <c r="AO350" s="256" t="n"/>
      <c r="AP350" s="256" t="n"/>
      <c r="AQ350" s="256" t="n"/>
      <c r="AR350" s="256" t="n"/>
      <c r="AS350" s="256" t="n"/>
      <c r="AT350" s="256" t="n"/>
      <c r="AU350" s="256" t="n"/>
      <c r="AV350" s="256" t="n"/>
      <c r="AW350" s="256" t="n"/>
      <c r="AX350" s="256" t="n"/>
      <c r="AY350" s="256" t="n"/>
      <c r="AZ350" s="256" t="n"/>
      <c r="BA350" s="256" t="n"/>
      <c r="BB350" s="256" t="n"/>
      <c r="BC350" s="256" t="n"/>
      <c r="BD350" s="256" t="n"/>
      <c r="BE350" s="256" t="n"/>
      <c r="BF350" s="256" t="n"/>
      <c r="BG350" s="256" t="n"/>
      <c r="BH350" s="256" t="n"/>
      <c r="BI350" s="256" t="n"/>
      <c r="BJ350" s="256" t="n"/>
      <c r="BK350" s="256" t="n"/>
      <c r="BL350" s="256" t="n"/>
      <c r="BM350" s="256" t="n"/>
      <c r="BN350" s="256" t="n"/>
      <c r="BO350" s="256" t="n"/>
      <c r="BP350" s="256" t="n"/>
      <c r="BQ350" s="256" t="n"/>
      <c r="BR350" s="256" t="n"/>
      <c r="BS350" s="256" t="n"/>
      <c r="BT350" s="256" t="n"/>
      <c r="BU350" s="256" t="n"/>
      <c r="BV350" s="256" t="n"/>
      <c r="BW350" s="256" t="n"/>
      <c r="BX350" s="256" t="n"/>
      <c r="BY350" s="256" t="n"/>
      <c r="BZ350" s="256" t="n"/>
      <c r="CA350" s="256" t="n"/>
    </row>
    <row r="351" ht="12" customHeight="1" s="227">
      <c r="A351" s="244" t="n"/>
      <c r="B351" s="244" t="n"/>
      <c r="C351" s="244" t="n"/>
    </row>
    <row r="352" ht="12" customHeight="1" s="227">
      <c r="A352" s="244" t="n"/>
      <c r="B352" s="244" t="n"/>
      <c r="C352" s="244" t="n"/>
    </row>
    <row r="353" ht="12" customHeight="1" s="227">
      <c r="A353" s="244" t="n"/>
      <c r="B353" s="244" t="n"/>
      <c r="C353" s="244" t="n"/>
      <c r="G353" s="222" t="inlineStr">
        <is>
          <t>Direct OPEX Per Ship Per Month (Excl VAT)</t>
        </is>
      </c>
    </row>
    <row r="354" ht="24" customHeight="1" s="227">
      <c r="A354" s="244" t="n"/>
      <c r="B354" s="244" t="n"/>
      <c r="C354" s="244" t="n"/>
      <c r="K354" s="161" t="inlineStr">
        <is>
          <t>Credit Terms Received (Months)</t>
        </is>
      </c>
    </row>
    <row r="355" ht="12" customHeight="1" s="227">
      <c r="A355" s="244" t="n"/>
      <c r="B355" s="244" t="n"/>
      <c r="C355" s="244" t="n"/>
      <c r="H355" s="4">
        <f>H315</f>
        <v/>
      </c>
      <c r="I355" s="27">
        <f>i_Setup!$M$16</f>
        <v/>
      </c>
      <c r="K355" s="259">
        <f>K315</f>
        <v/>
      </c>
      <c r="M355" s="256" t="n"/>
      <c r="N355" s="256" t="n"/>
      <c r="O355" s="256" t="n"/>
      <c r="P355" s="256" t="n"/>
      <c r="Q355" s="256" t="n"/>
    </row>
    <row r="356" ht="12" customHeight="1" s="227">
      <c r="A356" s="244" t="n"/>
      <c r="B356" s="244" t="n"/>
      <c r="C356" s="244" t="n"/>
      <c r="H356" s="4">
        <f>H316</f>
        <v/>
      </c>
      <c r="I356" s="27">
        <f>i_Setup!$M$16</f>
        <v/>
      </c>
      <c r="K356" s="259">
        <f>K316</f>
        <v/>
      </c>
      <c r="M356" s="256" t="n"/>
      <c r="N356" s="256" t="n"/>
      <c r="O356" s="256" t="n"/>
      <c r="P356" s="256" t="n"/>
      <c r="Q356" s="256" t="n"/>
    </row>
    <row r="357" ht="12" customHeight="1" s="227">
      <c r="A357" s="244" t="n"/>
      <c r="B357" s="244" t="n"/>
      <c r="C357" s="244" t="n"/>
      <c r="H357" s="4">
        <f>H317</f>
        <v/>
      </c>
      <c r="I357" s="27">
        <f>i_Setup!$M$16</f>
        <v/>
      </c>
      <c r="K357" s="259">
        <f>K317</f>
        <v/>
      </c>
      <c r="M357" s="256" t="n"/>
      <c r="N357" s="256" t="n"/>
      <c r="O357" s="256" t="n"/>
      <c r="P357" s="256" t="n"/>
      <c r="Q357" s="256" t="n"/>
    </row>
    <row r="358" ht="12" customHeight="1" s="227">
      <c r="A358" s="244" t="n"/>
      <c r="B358" s="244" t="n"/>
      <c r="C358" s="244" t="n"/>
      <c r="H358" s="4">
        <f>H318</f>
        <v/>
      </c>
      <c r="I358" s="27">
        <f>i_Setup!$M$16</f>
        <v/>
      </c>
      <c r="K358" s="259">
        <f>K318</f>
        <v/>
      </c>
      <c r="M358" s="256" t="n"/>
      <c r="N358" s="256" t="n"/>
      <c r="O358" s="256" t="n"/>
      <c r="P358" s="256" t="n"/>
      <c r="Q358" s="256" t="n"/>
    </row>
    <row r="359" ht="12" customHeight="1" s="227">
      <c r="A359" s="244" t="n"/>
      <c r="B359" s="244" t="n"/>
      <c r="C359" s="244" t="n"/>
      <c r="H359" s="4">
        <f>H319</f>
        <v/>
      </c>
      <c r="I359" s="27">
        <f>i_Setup!$M$16</f>
        <v/>
      </c>
      <c r="K359" s="259">
        <f>K319</f>
        <v/>
      </c>
      <c r="M359" s="256" t="n"/>
      <c r="N359" s="256" t="n"/>
      <c r="O359" s="256" t="n"/>
      <c r="P359" s="256" t="n"/>
      <c r="Q359" s="256" t="n"/>
    </row>
    <row r="360" ht="12" customHeight="1" s="227">
      <c r="A360" s="244" t="n"/>
      <c r="B360" s="244" t="n"/>
      <c r="C360" s="244" t="n"/>
      <c r="H360" s="4">
        <f>H320</f>
        <v/>
      </c>
      <c r="I360" s="27">
        <f>i_Setup!$M$16</f>
        <v/>
      </c>
      <c r="K360" s="259">
        <f>K320</f>
        <v/>
      </c>
      <c r="M360" s="256" t="n"/>
      <c r="N360" s="256" t="n"/>
      <c r="O360" s="256" t="n"/>
      <c r="P360" s="256" t="n"/>
      <c r="Q360" s="256" t="n"/>
    </row>
    <row r="361" ht="12" customHeight="1" s="227">
      <c r="A361" s="244" t="n"/>
      <c r="B361" s="244" t="n"/>
      <c r="C361" s="244" t="n"/>
      <c r="H361" s="4">
        <f>H321</f>
        <v/>
      </c>
      <c r="I361" s="27">
        <f>i_Setup!$M$16</f>
        <v/>
      </c>
      <c r="K361" s="259">
        <f>K321</f>
        <v/>
      </c>
      <c r="M361" s="256" t="n"/>
      <c r="N361" s="256" t="n"/>
      <c r="O361" s="256" t="n"/>
      <c r="P361" s="256" t="n"/>
      <c r="Q361" s="256" t="n"/>
    </row>
    <row r="362" ht="12" customHeight="1" s="227">
      <c r="A362" s="244" t="n"/>
      <c r="B362" s="244" t="n"/>
      <c r="C362" s="244" t="n"/>
      <c r="H362" s="4">
        <f>H322</f>
        <v/>
      </c>
      <c r="I362" s="27">
        <f>i_Setup!$M$16</f>
        <v/>
      </c>
      <c r="K362" s="259">
        <f>K322</f>
        <v/>
      </c>
      <c r="M362" s="256" t="n"/>
      <c r="N362" s="256" t="n"/>
      <c r="O362" s="256" t="n"/>
      <c r="P362" s="256" t="n"/>
      <c r="Q362" s="256" t="n"/>
    </row>
    <row r="363" ht="12" customHeight="1" s="227">
      <c r="A363" s="244" t="n"/>
      <c r="B363" s="244" t="n"/>
      <c r="C363" s="244" t="n"/>
    </row>
    <row r="364" ht="12" customHeight="1" s="227">
      <c r="A364" s="244" t="n"/>
      <c r="B364" s="244" t="n"/>
      <c r="C364" s="244" t="n"/>
    </row>
    <row r="365" ht="12" customHeight="1" s="227">
      <c r="A365" s="244" t="n"/>
      <c r="B365" s="244" t="n"/>
      <c r="C365" s="244" t="n"/>
      <c r="G365" s="222" t="inlineStr">
        <is>
          <t>Direct Staff Numbers Per Ship</t>
        </is>
      </c>
    </row>
    <row r="366" ht="12" customHeight="1" s="227">
      <c r="A366" s="244" t="n"/>
      <c r="B366" s="244" t="n"/>
      <c r="C366" s="244" t="n"/>
    </row>
    <row r="367" ht="12" customHeight="1" s="227">
      <c r="A367" s="244" t="n"/>
      <c r="B367" s="244" t="n"/>
      <c r="C367" s="244" t="n"/>
      <c r="H367" s="4">
        <f>H327</f>
        <v/>
      </c>
      <c r="I367" s="27" t="inlineStr">
        <is>
          <t>no</t>
        </is>
      </c>
      <c r="M367" s="258" t="n"/>
      <c r="N367" s="258" t="n"/>
      <c r="O367" s="258" t="n"/>
      <c r="P367" s="258" t="n"/>
      <c r="Q367" s="258" t="n"/>
    </row>
    <row r="368" ht="12" customHeight="1" s="227">
      <c r="A368" s="244" t="n"/>
      <c r="B368" s="244" t="n"/>
      <c r="C368" s="244" t="n"/>
      <c r="H368" s="4">
        <f>H328</f>
        <v/>
      </c>
      <c r="I368" s="27" t="inlineStr">
        <is>
          <t>no</t>
        </is>
      </c>
      <c r="M368" s="258" t="n"/>
      <c r="N368" s="258" t="n"/>
      <c r="O368" s="258" t="n"/>
      <c r="P368" s="258" t="n"/>
      <c r="Q368" s="258" t="n"/>
    </row>
    <row r="369" ht="12" customHeight="1" s="227">
      <c r="A369" s="244" t="n"/>
      <c r="B369" s="244" t="n"/>
      <c r="C369" s="244" t="n"/>
      <c r="H369" s="4">
        <f>H329</f>
        <v/>
      </c>
      <c r="I369" s="27" t="inlineStr">
        <is>
          <t>no</t>
        </is>
      </c>
      <c r="M369" s="258" t="n"/>
      <c r="N369" s="258" t="n"/>
      <c r="O369" s="258" t="n"/>
      <c r="P369" s="258" t="n"/>
      <c r="Q369" s="258" t="n"/>
    </row>
    <row r="370" ht="12" customHeight="1" s="227">
      <c r="A370" s="244" t="n"/>
      <c r="B370" s="244" t="n"/>
      <c r="C370" s="244" t="n"/>
      <c r="H370" s="4">
        <f>H330</f>
        <v/>
      </c>
      <c r="I370" s="27" t="inlineStr">
        <is>
          <t>no</t>
        </is>
      </c>
      <c r="M370" s="258" t="n"/>
      <c r="N370" s="258" t="n"/>
      <c r="O370" s="258" t="n"/>
      <c r="P370" s="258" t="n"/>
      <c r="Q370" s="258" t="n"/>
    </row>
    <row r="371" ht="12" customHeight="1" s="227">
      <c r="A371" s="244" t="n"/>
      <c r="B371" s="244" t="n"/>
      <c r="C371" s="244" t="n"/>
      <c r="H371" s="4">
        <f>H331</f>
        <v/>
      </c>
      <c r="I371" s="27" t="inlineStr">
        <is>
          <t>no</t>
        </is>
      </c>
      <c r="M371" s="258" t="n"/>
      <c r="N371" s="258" t="n"/>
      <c r="O371" s="258" t="n"/>
      <c r="P371" s="258" t="n"/>
      <c r="Q371" s="258" t="n"/>
    </row>
    <row r="372" ht="12" customHeight="1" s="227">
      <c r="A372" s="244" t="n"/>
      <c r="B372" s="244" t="n"/>
      <c r="C372" s="244" t="n"/>
      <c r="H372" s="4">
        <f>H332</f>
        <v/>
      </c>
      <c r="I372" s="27" t="inlineStr">
        <is>
          <t>no</t>
        </is>
      </c>
      <c r="M372" s="258" t="n"/>
      <c r="N372" s="258" t="n"/>
      <c r="O372" s="258" t="n"/>
      <c r="P372" s="258" t="n"/>
      <c r="Q372" s="258" t="n"/>
    </row>
    <row r="373" ht="12" customHeight="1" s="227">
      <c r="A373" s="244" t="n"/>
      <c r="B373" s="244" t="n"/>
      <c r="C373" s="244" t="n"/>
      <c r="H373" s="4">
        <f>H333</f>
        <v/>
      </c>
      <c r="I373" s="27" t="inlineStr">
        <is>
          <t>no</t>
        </is>
      </c>
      <c r="M373" s="258" t="n"/>
      <c r="N373" s="258" t="n"/>
      <c r="O373" s="258" t="n"/>
      <c r="P373" s="258" t="n"/>
      <c r="Q373" s="258" t="n"/>
    </row>
    <row r="374" ht="12" customHeight="1" s="227">
      <c r="A374" s="244" t="n"/>
      <c r="B374" s="244" t="n"/>
      <c r="C374" s="244" t="n"/>
      <c r="H374" s="4">
        <f>H334</f>
        <v/>
      </c>
      <c r="I374" s="27" t="inlineStr">
        <is>
          <t>no</t>
        </is>
      </c>
      <c r="M374" s="258" t="n"/>
      <c r="N374" s="258" t="n"/>
      <c r="O374" s="258" t="n"/>
      <c r="P374" s="258" t="n"/>
      <c r="Q374" s="258" t="n"/>
    </row>
    <row r="375" ht="12" customHeight="1" s="227">
      <c r="A375" s="244" t="n"/>
      <c r="B375" s="244" t="n"/>
      <c r="C375" s="244" t="n"/>
    </row>
    <row r="376" ht="12" customHeight="1" s="227">
      <c r="A376" s="244" t="n"/>
      <c r="B376" s="244" t="n"/>
      <c r="C376" s="244" t="n"/>
    </row>
    <row r="377" ht="13.5" customFormat="1" customHeight="1" s="223" thickBot="1">
      <c r="E377" s="223">
        <f>Heading2</f>
        <v/>
      </c>
      <c r="F377" s="223">
        <f>i_Setup!U40</f>
        <v/>
      </c>
    </row>
    <row r="378" ht="12" customHeight="1" s="227">
      <c r="A378" s="244" t="n"/>
      <c r="B378" s="244" t="n"/>
      <c r="C378" s="244" t="n"/>
    </row>
    <row r="379" ht="12" customHeight="1" s="227">
      <c r="A379" s="244" t="n"/>
      <c r="B379" s="244" t="n"/>
      <c r="C379" s="244" t="n"/>
      <c r="G379" s="222" t="inlineStr">
        <is>
          <t>Number of Ships</t>
        </is>
      </c>
    </row>
    <row r="380" ht="12" customHeight="1" s="227">
      <c r="A380" s="244" t="n"/>
      <c r="B380" s="244" t="n"/>
      <c r="C380" s="244" t="n"/>
    </row>
    <row r="381" ht="12" customHeight="1" s="227">
      <c r="A381" s="244" t="n"/>
      <c r="B381" s="244" t="n"/>
      <c r="C381" s="244" t="n"/>
      <c r="H381" s="4">
        <f>F377</f>
        <v/>
      </c>
      <c r="I381" s="27" t="inlineStr">
        <is>
          <t>no.</t>
        </is>
      </c>
      <c r="M381" s="245">
        <f>SUMIF($T$2:$CA$2,M$2,$T381:$CA381)</f>
        <v/>
      </c>
      <c r="N381" s="245">
        <f>SUMIF($T$2:$CA$2,N$2,$T381:$CA381)</f>
        <v/>
      </c>
      <c r="O381" s="245">
        <f>SUMIF($T$2:$CA$2,O$2,$T381:$CA381)</f>
        <v/>
      </c>
      <c r="P381" s="245">
        <f>SUMIF($T$2:$CA$2,P$2,$T381:$CA381)</f>
        <v/>
      </c>
      <c r="Q381" s="245">
        <f>SUMIF($T$2:$CA$2,Q$2,$T381:$CA381)</f>
        <v/>
      </c>
      <c r="T381" s="257">
        <f>IF(T$7="Actual","",_xlfn.XLOOKUP($F377,c_Calculations!$H$15:$H$24,c_Calculations!T$15:T$24))</f>
        <v/>
      </c>
      <c r="U381" s="257">
        <f>IF(U$7="Actual","",_xlfn.XLOOKUP($F377,c_Calculations!$H$15:$H$24,c_Calculations!U$15:U$24))</f>
        <v/>
      </c>
      <c r="V381" s="257">
        <f>IF(V$7="Actual","",_xlfn.XLOOKUP($F377,c_Calculations!$H$15:$H$24,c_Calculations!V$15:V$24))</f>
        <v/>
      </c>
      <c r="W381" s="257">
        <f>IF(W$7="Actual","",_xlfn.XLOOKUP($F377,c_Calculations!$H$15:$H$24,c_Calculations!W$15:W$24))</f>
        <v/>
      </c>
      <c r="X381" s="257">
        <f>IF(X$7="Actual","",_xlfn.XLOOKUP($F377,c_Calculations!$H$15:$H$24,c_Calculations!X$15:X$24))</f>
        <v/>
      </c>
      <c r="Y381" s="257">
        <f>IF(Y$7="Actual","",_xlfn.XLOOKUP($F377,c_Calculations!$H$15:$H$24,c_Calculations!Y$15:Y$24))</f>
        <v/>
      </c>
      <c r="Z381" s="257">
        <f>IF(Z$7="Actual","",_xlfn.XLOOKUP($F377,c_Calculations!$H$15:$H$24,c_Calculations!Z$15:Z$24))</f>
        <v/>
      </c>
      <c r="AA381" s="257">
        <f>IF(AA$7="Actual","",_xlfn.XLOOKUP($F377,c_Calculations!$H$15:$H$24,c_Calculations!AA$15:AA$24))</f>
        <v/>
      </c>
      <c r="AB381" s="257">
        <f>IF(AB$7="Actual","",_xlfn.XLOOKUP($F377,c_Calculations!$H$15:$H$24,c_Calculations!AB$15:AB$24))</f>
        <v/>
      </c>
      <c r="AC381" s="257">
        <f>IF(AC$7="Actual","",_xlfn.XLOOKUP($F377,c_Calculations!$H$15:$H$24,c_Calculations!AC$15:AC$24))</f>
        <v/>
      </c>
      <c r="AD381" s="257">
        <f>IF(AD$7="Actual","",_xlfn.XLOOKUP($F377,c_Calculations!$H$15:$H$24,c_Calculations!AD$15:AD$24))</f>
        <v/>
      </c>
      <c r="AE381" s="257">
        <f>IF(AE$7="Actual","",_xlfn.XLOOKUP($F377,c_Calculations!$H$15:$H$24,c_Calculations!AE$15:AE$24))</f>
        <v/>
      </c>
      <c r="AF381" s="257">
        <f>IF(AF$7="Actual","",_xlfn.XLOOKUP($F377,c_Calculations!$H$15:$H$24,c_Calculations!AF$15:AF$24))</f>
        <v/>
      </c>
      <c r="AG381" s="257">
        <f>IF(AG$7="Actual","",_xlfn.XLOOKUP($F377,c_Calculations!$H$15:$H$24,c_Calculations!AG$15:AG$24))</f>
        <v/>
      </c>
      <c r="AH381" s="257">
        <f>IF(AH$7="Actual","",_xlfn.XLOOKUP($F377,c_Calculations!$H$15:$H$24,c_Calculations!AH$15:AH$24))</f>
        <v/>
      </c>
      <c r="AI381" s="257">
        <f>IF(AI$7="Actual","",_xlfn.XLOOKUP($F377,c_Calculations!$H$15:$H$24,c_Calculations!AI$15:AI$24))</f>
        <v/>
      </c>
      <c r="AJ381" s="257">
        <f>IF(AJ$7="Actual","",_xlfn.XLOOKUP($F377,c_Calculations!$H$15:$H$24,c_Calculations!AJ$15:AJ$24))</f>
        <v/>
      </c>
      <c r="AK381" s="257">
        <f>IF(AK$7="Actual","",_xlfn.XLOOKUP($F377,c_Calculations!$H$15:$H$24,c_Calculations!AK$15:AK$24))</f>
        <v/>
      </c>
      <c r="AL381" s="257">
        <f>IF(AL$7="Actual","",_xlfn.XLOOKUP($F377,c_Calculations!$H$15:$H$24,c_Calculations!AL$15:AL$24))</f>
        <v/>
      </c>
      <c r="AM381" s="257">
        <f>IF(AM$7="Actual","",_xlfn.XLOOKUP($F377,c_Calculations!$H$15:$H$24,c_Calculations!AM$15:AM$24))</f>
        <v/>
      </c>
      <c r="AN381" s="257">
        <f>IF(AN$7="Actual","",_xlfn.XLOOKUP($F377,c_Calculations!$H$15:$H$24,c_Calculations!AN$15:AN$24))</f>
        <v/>
      </c>
      <c r="AO381" s="257">
        <f>IF(AO$7="Actual","",_xlfn.XLOOKUP($F377,c_Calculations!$H$15:$H$24,c_Calculations!AO$15:AO$24))</f>
        <v/>
      </c>
      <c r="AP381" s="257">
        <f>IF(AP$7="Actual","",_xlfn.XLOOKUP($F377,c_Calculations!$H$15:$H$24,c_Calculations!AP$15:AP$24))</f>
        <v/>
      </c>
      <c r="AQ381" s="257">
        <f>IF(AQ$7="Actual","",_xlfn.XLOOKUP($F377,c_Calculations!$H$15:$H$24,c_Calculations!AQ$15:AQ$24))</f>
        <v/>
      </c>
      <c r="AR381" s="257">
        <f>IF(AR$7="Actual","",_xlfn.XLOOKUP($F377,c_Calculations!$H$15:$H$24,c_Calculations!AR$15:AR$24))</f>
        <v/>
      </c>
      <c r="AS381" s="257">
        <f>IF(AS$7="Actual","",_xlfn.XLOOKUP($F377,c_Calculations!$H$15:$H$24,c_Calculations!AS$15:AS$24))</f>
        <v/>
      </c>
      <c r="AT381" s="257">
        <f>IF(AT$7="Actual","",_xlfn.XLOOKUP($F377,c_Calculations!$H$15:$H$24,c_Calculations!AT$15:AT$24))</f>
        <v/>
      </c>
      <c r="AU381" s="257">
        <f>IF(AU$7="Actual","",_xlfn.XLOOKUP($F377,c_Calculations!$H$15:$H$24,c_Calculations!AU$15:AU$24))</f>
        <v/>
      </c>
      <c r="AV381" s="257">
        <f>IF(AV$7="Actual","",_xlfn.XLOOKUP($F377,c_Calculations!$H$15:$H$24,c_Calculations!AV$15:AV$24))</f>
        <v/>
      </c>
      <c r="AW381" s="257">
        <f>IF(AW$7="Actual","",_xlfn.XLOOKUP($F377,c_Calculations!$H$15:$H$24,c_Calculations!AW$15:AW$24))</f>
        <v/>
      </c>
      <c r="AX381" s="257">
        <f>IF(AX$7="Actual","",_xlfn.XLOOKUP($F377,c_Calculations!$H$15:$H$24,c_Calculations!AX$15:AX$24))</f>
        <v/>
      </c>
      <c r="AY381" s="257">
        <f>IF(AY$7="Actual","",_xlfn.XLOOKUP($F377,c_Calculations!$H$15:$H$24,c_Calculations!AY$15:AY$24))</f>
        <v/>
      </c>
      <c r="AZ381" s="257">
        <f>IF(AZ$7="Actual","",_xlfn.XLOOKUP($F377,c_Calculations!$H$15:$H$24,c_Calculations!AZ$15:AZ$24))</f>
        <v/>
      </c>
      <c r="BA381" s="257">
        <f>IF(BA$7="Actual","",_xlfn.XLOOKUP($F377,c_Calculations!$H$15:$H$24,c_Calculations!BA$15:BA$24))</f>
        <v/>
      </c>
      <c r="BB381" s="257">
        <f>IF(BB$7="Actual","",_xlfn.XLOOKUP($F377,c_Calculations!$H$15:$H$24,c_Calculations!BB$15:BB$24))</f>
        <v/>
      </c>
      <c r="BC381" s="257">
        <f>IF(BC$7="Actual","",_xlfn.XLOOKUP($F377,c_Calculations!$H$15:$H$24,c_Calculations!BC$15:BC$24))</f>
        <v/>
      </c>
      <c r="BD381" s="257">
        <f>IF(BD$7="Actual","",_xlfn.XLOOKUP($F377,c_Calculations!$H$15:$H$24,c_Calculations!BD$15:BD$24))</f>
        <v/>
      </c>
      <c r="BE381" s="257">
        <f>IF(BE$7="Actual","",_xlfn.XLOOKUP($F377,c_Calculations!$H$15:$H$24,c_Calculations!BE$15:BE$24))</f>
        <v/>
      </c>
      <c r="BF381" s="257">
        <f>IF(BF$7="Actual","",_xlfn.XLOOKUP($F377,c_Calculations!$H$15:$H$24,c_Calculations!BF$15:BF$24))</f>
        <v/>
      </c>
      <c r="BG381" s="257">
        <f>IF(BG$7="Actual","",_xlfn.XLOOKUP($F377,c_Calculations!$H$15:$H$24,c_Calculations!BG$15:BG$24))</f>
        <v/>
      </c>
      <c r="BH381" s="257">
        <f>IF(BH$7="Actual","",_xlfn.XLOOKUP($F377,c_Calculations!$H$15:$H$24,c_Calculations!BH$15:BH$24))</f>
        <v/>
      </c>
      <c r="BI381" s="257">
        <f>IF(BI$7="Actual","",_xlfn.XLOOKUP($F377,c_Calculations!$H$15:$H$24,c_Calculations!BI$15:BI$24))</f>
        <v/>
      </c>
      <c r="BJ381" s="257">
        <f>IF(BJ$7="Actual","",_xlfn.XLOOKUP($F377,c_Calculations!$H$15:$H$24,c_Calculations!BJ$15:BJ$24))</f>
        <v/>
      </c>
      <c r="BK381" s="257">
        <f>IF(BK$7="Actual","",_xlfn.XLOOKUP($F377,c_Calculations!$H$15:$H$24,c_Calculations!BK$15:BK$24))</f>
        <v/>
      </c>
      <c r="BL381" s="257">
        <f>IF(BL$7="Actual","",_xlfn.XLOOKUP($F377,c_Calculations!$H$15:$H$24,c_Calculations!BL$15:BL$24))</f>
        <v/>
      </c>
      <c r="BM381" s="257">
        <f>IF(BM$7="Actual","",_xlfn.XLOOKUP($F377,c_Calculations!$H$15:$H$24,c_Calculations!BM$15:BM$24))</f>
        <v/>
      </c>
      <c r="BN381" s="257">
        <f>IF(BN$7="Actual","",_xlfn.XLOOKUP($F377,c_Calculations!$H$15:$H$24,c_Calculations!BN$15:BN$24))</f>
        <v/>
      </c>
      <c r="BO381" s="257">
        <f>IF(BO$7="Actual","",_xlfn.XLOOKUP($F377,c_Calculations!$H$15:$H$24,c_Calculations!BO$15:BO$24))</f>
        <v/>
      </c>
      <c r="BP381" s="257">
        <f>IF(BP$7="Actual","",_xlfn.XLOOKUP($F377,c_Calculations!$H$15:$H$24,c_Calculations!BP$15:BP$24))</f>
        <v/>
      </c>
      <c r="BQ381" s="257">
        <f>IF(BQ$7="Actual","",_xlfn.XLOOKUP($F377,c_Calculations!$H$15:$H$24,c_Calculations!BQ$15:BQ$24))</f>
        <v/>
      </c>
      <c r="BR381" s="257">
        <f>IF(BR$7="Actual","",_xlfn.XLOOKUP($F377,c_Calculations!$H$15:$H$24,c_Calculations!BR$15:BR$24))</f>
        <v/>
      </c>
      <c r="BS381" s="257">
        <f>IF(BS$7="Actual","",_xlfn.XLOOKUP($F377,c_Calculations!$H$15:$H$24,c_Calculations!BS$15:BS$24))</f>
        <v/>
      </c>
      <c r="BT381" s="257">
        <f>IF(BT$7="Actual","",_xlfn.XLOOKUP($F377,c_Calculations!$H$15:$H$24,c_Calculations!BT$15:BT$24))</f>
        <v/>
      </c>
      <c r="BU381" s="257">
        <f>IF(BU$7="Actual","",_xlfn.XLOOKUP($F377,c_Calculations!$H$15:$H$24,c_Calculations!BU$15:BU$24))</f>
        <v/>
      </c>
      <c r="BV381" s="257">
        <f>IF(BV$7="Actual","",_xlfn.XLOOKUP($F377,c_Calculations!$H$15:$H$24,c_Calculations!BV$15:BV$24))</f>
        <v/>
      </c>
      <c r="BW381" s="257">
        <f>IF(BW$7="Actual","",_xlfn.XLOOKUP($F377,c_Calculations!$H$15:$H$24,c_Calculations!BW$15:BW$24))</f>
        <v/>
      </c>
      <c r="BX381" s="257">
        <f>IF(BX$7="Actual","",_xlfn.XLOOKUP($F377,c_Calculations!$H$15:$H$24,c_Calculations!BX$15:BX$24))</f>
        <v/>
      </c>
      <c r="BY381" s="257">
        <f>IF(BY$7="Actual","",_xlfn.XLOOKUP($F377,c_Calculations!$H$15:$H$24,c_Calculations!BY$15:BY$24))</f>
        <v/>
      </c>
      <c r="BZ381" s="257">
        <f>IF(BZ$7="Actual","",_xlfn.XLOOKUP($F377,c_Calculations!$H$15:$H$24,c_Calculations!BZ$15:BZ$24))</f>
        <v/>
      </c>
      <c r="CA381" s="257">
        <f>IF(CA$7="Actual","",_xlfn.XLOOKUP($F377,c_Calculations!$H$15:$H$24,c_Calculations!CA$15:CA$24))</f>
        <v/>
      </c>
    </row>
    <row r="382" ht="12" customHeight="1" s="227">
      <c r="A382" s="244" t="n"/>
      <c r="B382" s="244" t="n"/>
      <c r="C382" s="244" t="n"/>
    </row>
    <row r="383" ht="12" customHeight="1" s="227">
      <c r="A383" s="244" t="n"/>
      <c r="B383" s="244" t="n"/>
      <c r="C383" s="244" t="n"/>
    </row>
    <row r="384" ht="12" customHeight="1" s="227">
      <c r="A384" s="244" t="n"/>
      <c r="B384" s="244" t="n"/>
      <c r="C384" s="244" t="n"/>
      <c r="G384" s="222" t="inlineStr">
        <is>
          <t>Direct CAPEX (Excl. Sales Tax)</t>
        </is>
      </c>
    </row>
    <row r="385" ht="12" customHeight="1" s="227">
      <c r="A385" s="244" t="n"/>
      <c r="B385" s="244" t="n"/>
      <c r="C385" s="244" t="n"/>
    </row>
    <row r="386" ht="12" customHeight="1" s="227">
      <c r="A386" s="244" t="n"/>
      <c r="B386" s="244" t="n"/>
      <c r="C386" s="244" t="n"/>
      <c r="H386" s="4">
        <f>H346</f>
        <v/>
      </c>
      <c r="I386" s="27">
        <f>i_Setup!$M$16</f>
        <v/>
      </c>
      <c r="M386" s="245">
        <f>SUMIF($T$4:$CA$4,M$4,$T386:$CA386)</f>
        <v/>
      </c>
      <c r="N386" s="245">
        <f>SUMIF($T$4:$CA$4,N$4,$T386:$CA386)</f>
        <v/>
      </c>
      <c r="O386" s="245">
        <f>SUMIF($T$4:$CA$4,O$4,$T386:$CA386)</f>
        <v/>
      </c>
      <c r="P386" s="245">
        <f>SUMIF($T$4:$CA$4,P$4,$T386:$CA386)</f>
        <v/>
      </c>
      <c r="Q386" s="245">
        <f>SUMIF($T$4:$CA$4,Q$4,$T386:$CA386)</f>
        <v/>
      </c>
      <c r="T386" s="256" t="n"/>
      <c r="U386" s="256" t="n"/>
      <c r="V386" s="256" t="n"/>
      <c r="W386" s="256" t="n"/>
      <c r="X386" s="256" t="n"/>
      <c r="Y386" s="256" t="n"/>
      <c r="Z386" s="256" t="n"/>
      <c r="AA386" s="256" t="n"/>
      <c r="AB386" s="256" t="n"/>
      <c r="AC386" s="256" t="n"/>
      <c r="AD386" s="256" t="n"/>
      <c r="AE386" s="256" t="n"/>
      <c r="AF386" s="256" t="n"/>
      <c r="AG386" s="256" t="n"/>
      <c r="AH386" s="256" t="n"/>
      <c r="AI386" s="256" t="n"/>
      <c r="AJ386" s="256" t="n"/>
      <c r="AK386" s="256" t="n"/>
      <c r="AL386" s="256" t="n"/>
      <c r="AM386" s="256" t="n"/>
      <c r="AN386" s="256" t="n"/>
      <c r="AO386" s="256" t="n"/>
      <c r="AP386" s="256" t="n"/>
      <c r="AQ386" s="256" t="n"/>
      <c r="AR386" s="256" t="n"/>
      <c r="AS386" s="256" t="n"/>
      <c r="AT386" s="256" t="n"/>
      <c r="AU386" s="256" t="n"/>
      <c r="AV386" s="256" t="n"/>
      <c r="AW386" s="256" t="n"/>
      <c r="AX386" s="256" t="n"/>
      <c r="AY386" s="256" t="n"/>
      <c r="AZ386" s="256" t="n"/>
      <c r="BA386" s="256" t="n"/>
      <c r="BB386" s="256" t="n"/>
      <c r="BC386" s="256" t="n"/>
      <c r="BD386" s="256" t="n"/>
      <c r="BE386" s="256" t="n"/>
      <c r="BF386" s="256" t="n"/>
      <c r="BG386" s="256" t="n"/>
      <c r="BH386" s="256" t="n"/>
      <c r="BI386" s="256" t="n"/>
      <c r="BJ386" s="256" t="n"/>
      <c r="BK386" s="256" t="n"/>
      <c r="BL386" s="256" t="n"/>
      <c r="BM386" s="256" t="n"/>
      <c r="BN386" s="256" t="n"/>
      <c r="BO386" s="256" t="n"/>
      <c r="BP386" s="256" t="n"/>
      <c r="BQ386" s="256" t="n"/>
      <c r="BR386" s="256" t="n"/>
      <c r="BS386" s="256" t="n"/>
      <c r="BT386" s="256" t="n"/>
      <c r="BU386" s="256" t="n"/>
      <c r="BV386" s="256" t="n"/>
      <c r="BW386" s="256" t="n"/>
      <c r="BX386" s="256" t="n"/>
      <c r="BY386" s="256" t="n"/>
      <c r="BZ386" s="256" t="n"/>
      <c r="CA386" s="256" t="n"/>
    </row>
    <row r="387" ht="12" customHeight="1" s="227">
      <c r="A387" s="244" t="n"/>
      <c r="B387" s="244" t="n"/>
      <c r="C387" s="244" t="n"/>
      <c r="H387" s="4">
        <f>H347</f>
        <v/>
      </c>
      <c r="I387" s="27">
        <f>i_Setup!$M$16</f>
        <v/>
      </c>
      <c r="M387" s="245">
        <f>SUMIF($T$4:$CA$4,M$4,$T387:$CA387)</f>
        <v/>
      </c>
      <c r="N387" s="245">
        <f>SUMIF($T$4:$CA$4,N$4,$T387:$CA387)</f>
        <v/>
      </c>
      <c r="O387" s="245">
        <f>SUMIF($T$4:$CA$4,O$4,$T387:$CA387)</f>
        <v/>
      </c>
      <c r="P387" s="245">
        <f>SUMIF($T$4:$CA$4,P$4,$T387:$CA387)</f>
        <v/>
      </c>
      <c r="Q387" s="245">
        <f>SUMIF($T$4:$CA$4,Q$4,$T387:$CA387)</f>
        <v/>
      </c>
      <c r="T387" s="256" t="n"/>
      <c r="U387" s="256" t="n"/>
      <c r="V387" s="256" t="n"/>
      <c r="W387" s="256" t="n"/>
      <c r="X387" s="256" t="n"/>
      <c r="Y387" s="256" t="n"/>
      <c r="Z387" s="256" t="n"/>
      <c r="AA387" s="256" t="n"/>
      <c r="AB387" s="256" t="n"/>
      <c r="AC387" s="256" t="n"/>
      <c r="AD387" s="256" t="n"/>
      <c r="AE387" s="256" t="n"/>
      <c r="AF387" s="256" t="n"/>
      <c r="AG387" s="256" t="n"/>
      <c r="AH387" s="256" t="n"/>
      <c r="AI387" s="256" t="n"/>
      <c r="AJ387" s="256" t="n"/>
      <c r="AK387" s="256" t="n"/>
      <c r="AL387" s="256" t="n"/>
      <c r="AM387" s="256" t="n"/>
      <c r="AN387" s="256" t="n"/>
      <c r="AO387" s="256" t="n"/>
      <c r="AP387" s="256" t="n"/>
      <c r="AQ387" s="256" t="n"/>
      <c r="AR387" s="256" t="n"/>
      <c r="AS387" s="256" t="n"/>
      <c r="AT387" s="256" t="n"/>
      <c r="AU387" s="256" t="n"/>
      <c r="AV387" s="256" t="n"/>
      <c r="AW387" s="256" t="n"/>
      <c r="AX387" s="256" t="n"/>
      <c r="AY387" s="256" t="n"/>
      <c r="AZ387" s="256" t="n"/>
      <c r="BA387" s="256" t="n"/>
      <c r="BB387" s="256" t="n"/>
      <c r="BC387" s="256" t="n"/>
      <c r="BD387" s="256" t="n"/>
      <c r="BE387" s="256" t="n"/>
      <c r="BF387" s="256" t="n"/>
      <c r="BG387" s="256" t="n"/>
      <c r="BH387" s="256" t="n"/>
      <c r="BI387" s="256" t="n"/>
      <c r="BJ387" s="256" t="n"/>
      <c r="BK387" s="256" t="n"/>
      <c r="BL387" s="256" t="n"/>
      <c r="BM387" s="256" t="n"/>
      <c r="BN387" s="256" t="n"/>
      <c r="BO387" s="256" t="n"/>
      <c r="BP387" s="256" t="n"/>
      <c r="BQ387" s="256" t="n"/>
      <c r="BR387" s="256" t="n"/>
      <c r="BS387" s="256" t="n"/>
      <c r="BT387" s="256" t="n"/>
      <c r="BU387" s="256" t="n"/>
      <c r="BV387" s="256" t="n"/>
      <c r="BW387" s="256" t="n"/>
      <c r="BX387" s="256" t="n"/>
      <c r="BY387" s="256" t="n"/>
      <c r="BZ387" s="256" t="n"/>
      <c r="CA387" s="256" t="n"/>
    </row>
    <row r="388" ht="12" customHeight="1" s="227">
      <c r="A388" s="244" t="n"/>
      <c r="B388" s="244" t="n"/>
      <c r="C388" s="244" t="n"/>
      <c r="H388" s="4">
        <f>H348</f>
        <v/>
      </c>
      <c r="I388" s="27">
        <f>i_Setup!$M$16</f>
        <v/>
      </c>
      <c r="M388" s="245">
        <f>SUMIF($T$4:$CA$4,M$4,$T388:$CA388)</f>
        <v/>
      </c>
      <c r="N388" s="245">
        <f>SUMIF($T$4:$CA$4,N$4,$T388:$CA388)</f>
        <v/>
      </c>
      <c r="O388" s="245">
        <f>SUMIF($T$4:$CA$4,O$4,$T388:$CA388)</f>
        <v/>
      </c>
      <c r="P388" s="245">
        <f>SUMIF($T$4:$CA$4,P$4,$T388:$CA388)</f>
        <v/>
      </c>
      <c r="Q388" s="245">
        <f>SUMIF($T$4:$CA$4,Q$4,$T388:$CA388)</f>
        <v/>
      </c>
      <c r="T388" s="256" t="n"/>
      <c r="U388" s="256" t="n"/>
      <c r="V388" s="256" t="n"/>
      <c r="W388" s="256" t="n"/>
      <c r="X388" s="256" t="n"/>
      <c r="Y388" s="256" t="n"/>
      <c r="Z388" s="256" t="n"/>
      <c r="AA388" s="256" t="n"/>
      <c r="AB388" s="256" t="n"/>
      <c r="AC388" s="256" t="n"/>
      <c r="AD388" s="256" t="n"/>
      <c r="AE388" s="256" t="n"/>
      <c r="AF388" s="256" t="n"/>
      <c r="AG388" s="256" t="n"/>
      <c r="AH388" s="256" t="n"/>
      <c r="AI388" s="256" t="n"/>
      <c r="AJ388" s="256" t="n"/>
      <c r="AK388" s="256" t="n"/>
      <c r="AL388" s="256" t="n"/>
      <c r="AM388" s="256" t="n"/>
      <c r="AN388" s="256" t="n"/>
      <c r="AO388" s="256" t="n"/>
      <c r="AP388" s="256" t="n"/>
      <c r="AQ388" s="256" t="n"/>
      <c r="AR388" s="256" t="n"/>
      <c r="AS388" s="256" t="n"/>
      <c r="AT388" s="256" t="n"/>
      <c r="AU388" s="256" t="n"/>
      <c r="AV388" s="256" t="n"/>
      <c r="AW388" s="256" t="n"/>
      <c r="AX388" s="256" t="n"/>
      <c r="AY388" s="256" t="n"/>
      <c r="AZ388" s="256" t="n"/>
      <c r="BA388" s="256" t="n"/>
      <c r="BB388" s="256" t="n"/>
      <c r="BC388" s="256" t="n"/>
      <c r="BD388" s="256" t="n"/>
      <c r="BE388" s="256" t="n"/>
      <c r="BF388" s="256" t="n"/>
      <c r="BG388" s="256" t="n"/>
      <c r="BH388" s="256" t="n"/>
      <c r="BI388" s="256" t="n"/>
      <c r="BJ388" s="256" t="n"/>
      <c r="BK388" s="256" t="n"/>
      <c r="BL388" s="256" t="n"/>
      <c r="BM388" s="256" t="n"/>
      <c r="BN388" s="256" t="n"/>
      <c r="BO388" s="256" t="n"/>
      <c r="BP388" s="256" t="n"/>
      <c r="BQ388" s="256" t="n"/>
      <c r="BR388" s="256" t="n"/>
      <c r="BS388" s="256" t="n"/>
      <c r="BT388" s="256" t="n"/>
      <c r="BU388" s="256" t="n"/>
      <c r="BV388" s="256" t="n"/>
      <c r="BW388" s="256" t="n"/>
      <c r="BX388" s="256" t="n"/>
      <c r="BY388" s="256" t="n"/>
      <c r="BZ388" s="256" t="n"/>
      <c r="CA388" s="256" t="n"/>
    </row>
    <row r="389" ht="12" customHeight="1" s="227">
      <c r="A389" s="244" t="n"/>
      <c r="B389" s="244" t="n"/>
      <c r="C389" s="244" t="n"/>
      <c r="H389" s="4">
        <f>H349</f>
        <v/>
      </c>
      <c r="I389" s="27">
        <f>i_Setup!$M$16</f>
        <v/>
      </c>
      <c r="M389" s="245">
        <f>SUMIF($T$4:$CA$4,M$4,$T389:$CA389)</f>
        <v/>
      </c>
      <c r="N389" s="245">
        <f>SUMIF($T$4:$CA$4,N$4,$T389:$CA389)</f>
        <v/>
      </c>
      <c r="O389" s="245">
        <f>SUMIF($T$4:$CA$4,O$4,$T389:$CA389)</f>
        <v/>
      </c>
      <c r="P389" s="245">
        <f>SUMIF($T$4:$CA$4,P$4,$T389:$CA389)</f>
        <v/>
      </c>
      <c r="Q389" s="245">
        <f>SUMIF($T$4:$CA$4,Q$4,$T389:$CA389)</f>
        <v/>
      </c>
      <c r="T389" s="256" t="n"/>
      <c r="U389" s="256" t="n"/>
      <c r="V389" s="256" t="n"/>
      <c r="W389" s="256" t="n"/>
      <c r="X389" s="256" t="n"/>
      <c r="Y389" s="256" t="n"/>
      <c r="Z389" s="256" t="n"/>
      <c r="AA389" s="256" t="n"/>
      <c r="AB389" s="256" t="n"/>
      <c r="AC389" s="256" t="n"/>
      <c r="AD389" s="256" t="n"/>
      <c r="AE389" s="256" t="n"/>
      <c r="AF389" s="256" t="n"/>
      <c r="AG389" s="256" t="n"/>
      <c r="AH389" s="256" t="n"/>
      <c r="AI389" s="256" t="n"/>
      <c r="AJ389" s="256" t="n"/>
      <c r="AK389" s="256" t="n"/>
      <c r="AL389" s="256" t="n"/>
      <c r="AM389" s="256" t="n"/>
      <c r="AN389" s="256" t="n"/>
      <c r="AO389" s="256" t="n"/>
      <c r="AP389" s="256" t="n"/>
      <c r="AQ389" s="256" t="n"/>
      <c r="AR389" s="256" t="n"/>
      <c r="AS389" s="256" t="n"/>
      <c r="AT389" s="256" t="n"/>
      <c r="AU389" s="256" t="n"/>
      <c r="AV389" s="256" t="n"/>
      <c r="AW389" s="256" t="n"/>
      <c r="AX389" s="256" t="n"/>
      <c r="AY389" s="256" t="n"/>
      <c r="AZ389" s="256" t="n"/>
      <c r="BA389" s="256" t="n"/>
      <c r="BB389" s="256" t="n"/>
      <c r="BC389" s="256" t="n"/>
      <c r="BD389" s="256" t="n"/>
      <c r="BE389" s="256" t="n"/>
      <c r="BF389" s="256" t="n"/>
      <c r="BG389" s="256" t="n"/>
      <c r="BH389" s="256" t="n"/>
      <c r="BI389" s="256" t="n"/>
      <c r="BJ389" s="256" t="n"/>
      <c r="BK389" s="256" t="n"/>
      <c r="BL389" s="256" t="n"/>
      <c r="BM389" s="256" t="n"/>
      <c r="BN389" s="256" t="n"/>
      <c r="BO389" s="256" t="n"/>
      <c r="BP389" s="256" t="n"/>
      <c r="BQ389" s="256" t="n"/>
      <c r="BR389" s="256" t="n"/>
      <c r="BS389" s="256" t="n"/>
      <c r="BT389" s="256" t="n"/>
      <c r="BU389" s="256" t="n"/>
      <c r="BV389" s="256" t="n"/>
      <c r="BW389" s="256" t="n"/>
      <c r="BX389" s="256" t="n"/>
      <c r="BY389" s="256" t="n"/>
      <c r="BZ389" s="256" t="n"/>
      <c r="CA389" s="256" t="n"/>
    </row>
    <row r="390" ht="12" customHeight="1" s="227">
      <c r="A390" s="244" t="n"/>
      <c r="B390" s="244" t="n"/>
      <c r="C390" s="244" t="n"/>
      <c r="H390" s="4">
        <f>H350</f>
        <v/>
      </c>
      <c r="I390" s="27">
        <f>i_Setup!$M$16</f>
        <v/>
      </c>
      <c r="M390" s="245">
        <f>SUMIF($T$4:$CA$4,M$4,$T390:$CA390)</f>
        <v/>
      </c>
      <c r="N390" s="245">
        <f>SUMIF($T$4:$CA$4,N$4,$T390:$CA390)</f>
        <v/>
      </c>
      <c r="O390" s="245">
        <f>SUMIF($T$4:$CA$4,O$4,$T390:$CA390)</f>
        <v/>
      </c>
      <c r="P390" s="245">
        <f>SUMIF($T$4:$CA$4,P$4,$T390:$CA390)</f>
        <v/>
      </c>
      <c r="Q390" s="245">
        <f>SUMIF($T$4:$CA$4,Q$4,$T390:$CA390)</f>
        <v/>
      </c>
      <c r="T390" s="256" t="n"/>
      <c r="U390" s="256" t="n"/>
      <c r="V390" s="256" t="n"/>
      <c r="W390" s="256" t="n"/>
      <c r="X390" s="256" t="n"/>
      <c r="Y390" s="256" t="n"/>
      <c r="Z390" s="256" t="n"/>
      <c r="AA390" s="256" t="n"/>
      <c r="AB390" s="256" t="n"/>
      <c r="AC390" s="256" t="n"/>
      <c r="AD390" s="256" t="n"/>
      <c r="AE390" s="256" t="n"/>
      <c r="AF390" s="256" t="n"/>
      <c r="AG390" s="256" t="n"/>
      <c r="AH390" s="256" t="n"/>
      <c r="AI390" s="256" t="n"/>
      <c r="AJ390" s="256" t="n"/>
      <c r="AK390" s="256" t="n"/>
      <c r="AL390" s="256" t="n"/>
      <c r="AM390" s="256" t="n"/>
      <c r="AN390" s="256" t="n"/>
      <c r="AO390" s="256" t="n"/>
      <c r="AP390" s="256" t="n"/>
      <c r="AQ390" s="256" t="n"/>
      <c r="AR390" s="256" t="n"/>
      <c r="AS390" s="256" t="n"/>
      <c r="AT390" s="256" t="n"/>
      <c r="AU390" s="256" t="n"/>
      <c r="AV390" s="256" t="n"/>
      <c r="AW390" s="256" t="n"/>
      <c r="AX390" s="256" t="n"/>
      <c r="AY390" s="256" t="n"/>
      <c r="AZ390" s="256" t="n"/>
      <c r="BA390" s="256" t="n"/>
      <c r="BB390" s="256" t="n"/>
      <c r="BC390" s="256" t="n"/>
      <c r="BD390" s="256" t="n"/>
      <c r="BE390" s="256" t="n"/>
      <c r="BF390" s="256" t="n"/>
      <c r="BG390" s="256" t="n"/>
      <c r="BH390" s="256" t="n"/>
      <c r="BI390" s="256" t="n"/>
      <c r="BJ390" s="256" t="n"/>
      <c r="BK390" s="256" t="n"/>
      <c r="BL390" s="256" t="n"/>
      <c r="BM390" s="256" t="n"/>
      <c r="BN390" s="256" t="n"/>
      <c r="BO390" s="256" t="n"/>
      <c r="BP390" s="256" t="n"/>
      <c r="BQ390" s="256" t="n"/>
      <c r="BR390" s="256" t="n"/>
      <c r="BS390" s="256" t="n"/>
      <c r="BT390" s="256" t="n"/>
      <c r="BU390" s="256" t="n"/>
      <c r="BV390" s="256" t="n"/>
      <c r="BW390" s="256" t="n"/>
      <c r="BX390" s="256" t="n"/>
      <c r="BY390" s="256" t="n"/>
      <c r="BZ390" s="256" t="n"/>
      <c r="CA390" s="256" t="n"/>
    </row>
    <row r="391" ht="12" customHeight="1" s="227">
      <c r="A391" s="244" t="n"/>
      <c r="B391" s="244" t="n"/>
      <c r="C391" s="244" t="n"/>
    </row>
    <row r="392" ht="12" customHeight="1" s="227">
      <c r="A392" s="244" t="n"/>
      <c r="B392" s="244" t="n"/>
      <c r="C392" s="244" t="n"/>
    </row>
    <row r="393" ht="12" customHeight="1" s="227">
      <c r="A393" s="244" t="n"/>
      <c r="B393" s="244" t="n"/>
      <c r="C393" s="244" t="n"/>
      <c r="G393" s="222" t="inlineStr">
        <is>
          <t>Direct OPEX Per Ship Per Month (Excl VAT)</t>
        </is>
      </c>
    </row>
    <row r="394" ht="24" customHeight="1" s="227">
      <c r="A394" s="244" t="n"/>
      <c r="B394" s="244" t="n"/>
      <c r="C394" s="244" t="n"/>
      <c r="K394" s="161" t="inlineStr">
        <is>
          <t>Credit Terms Received (Months)</t>
        </is>
      </c>
    </row>
    <row r="395" ht="12" customHeight="1" s="227">
      <c r="A395" s="244" t="n"/>
      <c r="B395" s="244" t="n"/>
      <c r="C395" s="244" t="n"/>
      <c r="H395" s="4">
        <f>H355</f>
        <v/>
      </c>
      <c r="I395" s="27">
        <f>i_Setup!$M$16</f>
        <v/>
      </c>
      <c r="K395" s="259">
        <f>K355</f>
        <v/>
      </c>
      <c r="M395" s="256" t="n"/>
      <c r="N395" s="256" t="n"/>
      <c r="O395" s="256" t="n"/>
      <c r="P395" s="256" t="n"/>
      <c r="Q395" s="256" t="n"/>
    </row>
    <row r="396" ht="12" customHeight="1" s="227">
      <c r="A396" s="244" t="n"/>
      <c r="B396" s="244" t="n"/>
      <c r="C396" s="244" t="n"/>
      <c r="H396" s="4">
        <f>H356</f>
        <v/>
      </c>
      <c r="I396" s="27">
        <f>i_Setup!$M$16</f>
        <v/>
      </c>
      <c r="K396" s="259">
        <f>K356</f>
        <v/>
      </c>
      <c r="M396" s="256" t="n"/>
      <c r="N396" s="256" t="n"/>
      <c r="O396" s="256" t="n"/>
      <c r="P396" s="256" t="n"/>
      <c r="Q396" s="256" t="n"/>
    </row>
    <row r="397" ht="12" customHeight="1" s="227">
      <c r="A397" s="244" t="n"/>
      <c r="B397" s="244" t="n"/>
      <c r="C397" s="244" t="n"/>
      <c r="H397" s="4">
        <f>H357</f>
        <v/>
      </c>
      <c r="I397" s="27">
        <f>i_Setup!$M$16</f>
        <v/>
      </c>
      <c r="K397" s="259">
        <f>K357</f>
        <v/>
      </c>
      <c r="M397" s="256" t="n"/>
      <c r="N397" s="256" t="n"/>
      <c r="O397" s="256" t="n"/>
      <c r="P397" s="256" t="n"/>
      <c r="Q397" s="256" t="n"/>
    </row>
    <row r="398" ht="12" customHeight="1" s="227">
      <c r="A398" s="244" t="n"/>
      <c r="B398" s="244" t="n"/>
      <c r="C398" s="244" t="n"/>
      <c r="H398" s="4">
        <f>H358</f>
        <v/>
      </c>
      <c r="I398" s="27">
        <f>i_Setup!$M$16</f>
        <v/>
      </c>
      <c r="K398" s="259">
        <f>K358</f>
        <v/>
      </c>
      <c r="M398" s="256" t="n"/>
      <c r="N398" s="256" t="n"/>
      <c r="O398" s="256" t="n"/>
      <c r="P398" s="256" t="n"/>
      <c r="Q398" s="256" t="n"/>
    </row>
    <row r="399" ht="12" customHeight="1" s="227">
      <c r="A399" s="244" t="n"/>
      <c r="B399" s="244" t="n"/>
      <c r="C399" s="244" t="n"/>
      <c r="H399" s="4">
        <f>H359</f>
        <v/>
      </c>
      <c r="I399" s="27">
        <f>i_Setup!$M$16</f>
        <v/>
      </c>
      <c r="K399" s="259">
        <f>K359</f>
        <v/>
      </c>
      <c r="M399" s="256" t="n"/>
      <c r="N399" s="256" t="n"/>
      <c r="O399" s="256" t="n"/>
      <c r="P399" s="256" t="n"/>
      <c r="Q399" s="256" t="n"/>
    </row>
    <row r="400" ht="12" customHeight="1" s="227">
      <c r="A400" s="244" t="n"/>
      <c r="B400" s="244" t="n"/>
      <c r="C400" s="244" t="n"/>
      <c r="H400" s="4">
        <f>H360</f>
        <v/>
      </c>
      <c r="I400" s="27">
        <f>i_Setup!$M$16</f>
        <v/>
      </c>
      <c r="K400" s="259">
        <f>K360</f>
        <v/>
      </c>
      <c r="M400" s="256" t="n"/>
      <c r="N400" s="256" t="n"/>
      <c r="O400" s="256" t="n"/>
      <c r="P400" s="256" t="n"/>
      <c r="Q400" s="256" t="n"/>
    </row>
    <row r="401" ht="12" customHeight="1" s="227">
      <c r="A401" s="244" t="n"/>
      <c r="B401" s="244" t="n"/>
      <c r="C401" s="244" t="n"/>
      <c r="H401" s="4">
        <f>H361</f>
        <v/>
      </c>
      <c r="I401" s="27">
        <f>i_Setup!$M$16</f>
        <v/>
      </c>
      <c r="K401" s="259">
        <f>K361</f>
        <v/>
      </c>
      <c r="M401" s="256" t="n"/>
      <c r="N401" s="256" t="n"/>
      <c r="O401" s="256" t="n"/>
      <c r="P401" s="256" t="n"/>
      <c r="Q401" s="256" t="n"/>
    </row>
    <row r="402" ht="12" customHeight="1" s="227">
      <c r="A402" s="244" t="n"/>
      <c r="B402" s="244" t="n"/>
      <c r="C402" s="244" t="n"/>
      <c r="H402" s="4">
        <f>H362</f>
        <v/>
      </c>
      <c r="I402" s="27">
        <f>i_Setup!$M$16</f>
        <v/>
      </c>
      <c r="K402" s="259">
        <f>K362</f>
        <v/>
      </c>
      <c r="M402" s="256" t="n"/>
      <c r="N402" s="256" t="n"/>
      <c r="O402" s="256" t="n"/>
      <c r="P402" s="256" t="n"/>
      <c r="Q402" s="256" t="n"/>
    </row>
    <row r="403" ht="12" customHeight="1" s="227">
      <c r="A403" s="244" t="n"/>
      <c r="B403" s="244" t="n"/>
      <c r="C403" s="244" t="n"/>
    </row>
    <row r="404" ht="12" customHeight="1" s="227">
      <c r="A404" s="244" t="n"/>
      <c r="B404" s="244" t="n"/>
      <c r="C404" s="244" t="n"/>
    </row>
    <row r="405" ht="12" customHeight="1" s="227">
      <c r="A405" s="244" t="n"/>
      <c r="B405" s="244" t="n"/>
      <c r="C405" s="244" t="n"/>
      <c r="G405" s="222" t="inlineStr">
        <is>
          <t>Direct Staff Numbers Per Ship</t>
        </is>
      </c>
    </row>
    <row r="406" ht="12" customHeight="1" s="227">
      <c r="A406" s="244" t="n"/>
      <c r="B406" s="244" t="n"/>
      <c r="C406" s="244" t="n"/>
    </row>
    <row r="407" ht="12" customHeight="1" s="227">
      <c r="A407" s="244" t="n"/>
      <c r="B407" s="244" t="n"/>
      <c r="C407" s="244" t="n"/>
      <c r="H407" s="4">
        <f>H367</f>
        <v/>
      </c>
      <c r="I407" s="27" t="inlineStr">
        <is>
          <t>no</t>
        </is>
      </c>
      <c r="M407" s="258" t="n"/>
      <c r="N407" s="258" t="n"/>
      <c r="O407" s="258" t="n"/>
      <c r="P407" s="258" t="n"/>
      <c r="Q407" s="258" t="n"/>
    </row>
    <row r="408" ht="12" customHeight="1" s="227">
      <c r="A408" s="244" t="n"/>
      <c r="B408" s="244" t="n"/>
      <c r="C408" s="244" t="n"/>
      <c r="H408" s="4">
        <f>H368</f>
        <v/>
      </c>
      <c r="I408" s="27" t="inlineStr">
        <is>
          <t>no</t>
        </is>
      </c>
      <c r="M408" s="258" t="n"/>
      <c r="N408" s="258" t="n"/>
      <c r="O408" s="258" t="n"/>
      <c r="P408" s="258" t="n"/>
      <c r="Q408" s="258" t="n"/>
    </row>
    <row r="409" ht="12" customHeight="1" s="227">
      <c r="A409" s="244" t="n"/>
      <c r="B409" s="244" t="n"/>
      <c r="C409" s="244" t="n"/>
      <c r="H409" s="4">
        <f>H369</f>
        <v/>
      </c>
      <c r="I409" s="27" t="inlineStr">
        <is>
          <t>no</t>
        </is>
      </c>
      <c r="M409" s="258" t="n"/>
      <c r="N409" s="258" t="n"/>
      <c r="O409" s="258" t="n"/>
      <c r="P409" s="258" t="n"/>
      <c r="Q409" s="258" t="n"/>
    </row>
    <row r="410" ht="12" customHeight="1" s="227">
      <c r="A410" s="244" t="n"/>
      <c r="B410" s="244" t="n"/>
      <c r="C410" s="244" t="n"/>
      <c r="H410" s="4">
        <f>H370</f>
        <v/>
      </c>
      <c r="I410" s="27" t="inlineStr">
        <is>
          <t>no</t>
        </is>
      </c>
      <c r="M410" s="258" t="n"/>
      <c r="N410" s="258" t="n"/>
      <c r="O410" s="258" t="n"/>
      <c r="P410" s="258" t="n"/>
      <c r="Q410" s="258" t="n"/>
    </row>
    <row r="411" ht="12" customHeight="1" s="227">
      <c r="A411" s="244" t="n"/>
      <c r="B411" s="244" t="n"/>
      <c r="C411" s="244" t="n"/>
      <c r="H411" s="4">
        <f>H371</f>
        <v/>
      </c>
      <c r="I411" s="27" t="inlineStr">
        <is>
          <t>no</t>
        </is>
      </c>
      <c r="M411" s="258" t="n"/>
      <c r="N411" s="258" t="n"/>
      <c r="O411" s="258" t="n"/>
      <c r="P411" s="258" t="n"/>
      <c r="Q411" s="258" t="n"/>
    </row>
    <row r="412" ht="12" customHeight="1" s="227">
      <c r="A412" s="244" t="n"/>
      <c r="B412" s="244" t="n"/>
      <c r="C412" s="244" t="n"/>
      <c r="H412" s="4">
        <f>H372</f>
        <v/>
      </c>
      <c r="I412" s="27" t="inlineStr">
        <is>
          <t>no</t>
        </is>
      </c>
      <c r="M412" s="258" t="n"/>
      <c r="N412" s="258" t="n"/>
      <c r="O412" s="258" t="n"/>
      <c r="P412" s="258" t="n"/>
      <c r="Q412" s="258" t="n"/>
    </row>
    <row r="413" ht="12" customHeight="1" s="227">
      <c r="A413" s="244" t="n"/>
      <c r="B413" s="244" t="n"/>
      <c r="C413" s="244" t="n"/>
      <c r="H413" s="4">
        <f>H373</f>
        <v/>
      </c>
      <c r="I413" s="27" t="inlineStr">
        <is>
          <t>no</t>
        </is>
      </c>
      <c r="M413" s="258" t="n"/>
      <c r="N413" s="258" t="n"/>
      <c r="O413" s="258" t="n"/>
      <c r="P413" s="258" t="n"/>
      <c r="Q413" s="258" t="n"/>
    </row>
    <row r="414" ht="12" customHeight="1" s="227">
      <c r="A414" s="244" t="n"/>
      <c r="B414" s="244" t="n"/>
      <c r="C414" s="244" t="n"/>
      <c r="H414" s="4">
        <f>H374</f>
        <v/>
      </c>
      <c r="I414" s="27" t="inlineStr">
        <is>
          <t>no</t>
        </is>
      </c>
      <c r="M414" s="258" t="n"/>
      <c r="N414" s="258" t="n"/>
      <c r="O414" s="258" t="n"/>
      <c r="P414" s="258" t="n"/>
      <c r="Q414" s="258" t="n"/>
    </row>
    <row r="415" ht="12" customHeight="1" s="227">
      <c r="A415" s="244" t="n"/>
      <c r="B415" s="244" t="n"/>
      <c r="C415" s="244" t="n"/>
    </row>
    <row r="416" ht="12" customHeight="1" s="227">
      <c r="A416" s="244" t="n"/>
      <c r="B416" s="244" t="n"/>
      <c r="C416" s="244" t="n"/>
    </row>
    <row r="417" ht="13.5" customFormat="1" customHeight="1" s="223" thickBot="1">
      <c r="E417" s="223">
        <f>Heading2</f>
        <v/>
      </c>
      <c r="F417" s="223">
        <f>i_Setup!U41</f>
        <v/>
      </c>
    </row>
    <row r="418" ht="12" customHeight="1" s="227">
      <c r="A418" s="244" t="n"/>
      <c r="B418" s="244" t="n"/>
      <c r="C418" s="244" t="n"/>
    </row>
    <row r="419" ht="12" customHeight="1" s="227">
      <c r="A419" s="244" t="n"/>
      <c r="B419" s="244" t="n"/>
      <c r="C419" s="244" t="n"/>
      <c r="G419" s="222" t="inlineStr">
        <is>
          <t>Number of Ships</t>
        </is>
      </c>
    </row>
    <row r="420" ht="12" customHeight="1" s="227">
      <c r="A420" s="244" t="n"/>
      <c r="B420" s="244" t="n"/>
      <c r="C420" s="244" t="n"/>
    </row>
    <row r="421" ht="12" customHeight="1" s="227">
      <c r="A421" s="244" t="n"/>
      <c r="B421" s="244" t="n"/>
      <c r="C421" s="244" t="n"/>
      <c r="H421" s="4">
        <f>F417</f>
        <v/>
      </c>
      <c r="I421" s="27" t="inlineStr">
        <is>
          <t>no.</t>
        </is>
      </c>
      <c r="M421" s="245">
        <f>SUMIF($T$2:$CA$2,M$2,$T421:$CA421)</f>
        <v/>
      </c>
      <c r="N421" s="245">
        <f>SUMIF($T$2:$CA$2,N$2,$T421:$CA421)</f>
        <v/>
      </c>
      <c r="O421" s="245">
        <f>SUMIF($T$2:$CA$2,O$2,$T421:$CA421)</f>
        <v/>
      </c>
      <c r="P421" s="245">
        <f>SUMIF($T$2:$CA$2,P$2,$T421:$CA421)</f>
        <v/>
      </c>
      <c r="Q421" s="245">
        <f>SUMIF($T$2:$CA$2,Q$2,$T421:$CA421)</f>
        <v/>
      </c>
      <c r="T421" s="257">
        <f>IF(T$7="Actual","",_xlfn.XLOOKUP($F417,c_Calculations!$H$15:$H$24,c_Calculations!T$15:T$24))</f>
        <v/>
      </c>
      <c r="U421" s="257">
        <f>IF(U$7="Actual","",_xlfn.XLOOKUP($F417,c_Calculations!$H$15:$H$24,c_Calculations!U$15:U$24))</f>
        <v/>
      </c>
      <c r="V421" s="257">
        <f>IF(V$7="Actual","",_xlfn.XLOOKUP($F417,c_Calculations!$H$15:$H$24,c_Calculations!V$15:V$24))</f>
        <v/>
      </c>
      <c r="W421" s="257">
        <f>IF(W$7="Actual","",_xlfn.XLOOKUP($F417,c_Calculations!$H$15:$H$24,c_Calculations!W$15:W$24))</f>
        <v/>
      </c>
      <c r="X421" s="257">
        <f>IF(X$7="Actual","",_xlfn.XLOOKUP($F417,c_Calculations!$H$15:$H$24,c_Calculations!X$15:X$24))</f>
        <v/>
      </c>
      <c r="Y421" s="257">
        <f>IF(Y$7="Actual","",_xlfn.XLOOKUP($F417,c_Calculations!$H$15:$H$24,c_Calculations!Y$15:Y$24))</f>
        <v/>
      </c>
      <c r="Z421" s="257">
        <f>IF(Z$7="Actual","",_xlfn.XLOOKUP($F417,c_Calculations!$H$15:$H$24,c_Calculations!Z$15:Z$24))</f>
        <v/>
      </c>
      <c r="AA421" s="257">
        <f>IF(AA$7="Actual","",_xlfn.XLOOKUP($F417,c_Calculations!$H$15:$H$24,c_Calculations!AA$15:AA$24))</f>
        <v/>
      </c>
      <c r="AB421" s="257">
        <f>IF(AB$7="Actual","",_xlfn.XLOOKUP($F417,c_Calculations!$H$15:$H$24,c_Calculations!AB$15:AB$24))</f>
        <v/>
      </c>
      <c r="AC421" s="257">
        <f>IF(AC$7="Actual","",_xlfn.XLOOKUP($F417,c_Calculations!$H$15:$H$24,c_Calculations!AC$15:AC$24))</f>
        <v/>
      </c>
      <c r="AD421" s="257">
        <f>IF(AD$7="Actual","",_xlfn.XLOOKUP($F417,c_Calculations!$H$15:$H$24,c_Calculations!AD$15:AD$24))</f>
        <v/>
      </c>
      <c r="AE421" s="257">
        <f>IF(AE$7="Actual","",_xlfn.XLOOKUP($F417,c_Calculations!$H$15:$H$24,c_Calculations!AE$15:AE$24))</f>
        <v/>
      </c>
      <c r="AF421" s="257">
        <f>IF(AF$7="Actual","",_xlfn.XLOOKUP($F417,c_Calculations!$H$15:$H$24,c_Calculations!AF$15:AF$24))</f>
        <v/>
      </c>
      <c r="AG421" s="257">
        <f>IF(AG$7="Actual","",_xlfn.XLOOKUP($F417,c_Calculations!$H$15:$H$24,c_Calculations!AG$15:AG$24))</f>
        <v/>
      </c>
      <c r="AH421" s="257">
        <f>IF(AH$7="Actual","",_xlfn.XLOOKUP($F417,c_Calculations!$H$15:$H$24,c_Calculations!AH$15:AH$24))</f>
        <v/>
      </c>
      <c r="AI421" s="257">
        <f>IF(AI$7="Actual","",_xlfn.XLOOKUP($F417,c_Calculations!$H$15:$H$24,c_Calculations!AI$15:AI$24))</f>
        <v/>
      </c>
      <c r="AJ421" s="257">
        <f>IF(AJ$7="Actual","",_xlfn.XLOOKUP($F417,c_Calculations!$H$15:$H$24,c_Calculations!AJ$15:AJ$24))</f>
        <v/>
      </c>
      <c r="AK421" s="257">
        <f>IF(AK$7="Actual","",_xlfn.XLOOKUP($F417,c_Calculations!$H$15:$H$24,c_Calculations!AK$15:AK$24))</f>
        <v/>
      </c>
      <c r="AL421" s="257">
        <f>IF(AL$7="Actual","",_xlfn.XLOOKUP($F417,c_Calculations!$H$15:$H$24,c_Calculations!AL$15:AL$24))</f>
        <v/>
      </c>
      <c r="AM421" s="257">
        <f>IF(AM$7="Actual","",_xlfn.XLOOKUP($F417,c_Calculations!$H$15:$H$24,c_Calculations!AM$15:AM$24))</f>
        <v/>
      </c>
      <c r="AN421" s="257">
        <f>IF(AN$7="Actual","",_xlfn.XLOOKUP($F417,c_Calculations!$H$15:$H$24,c_Calculations!AN$15:AN$24))</f>
        <v/>
      </c>
      <c r="AO421" s="257">
        <f>IF(AO$7="Actual","",_xlfn.XLOOKUP($F417,c_Calculations!$H$15:$H$24,c_Calculations!AO$15:AO$24))</f>
        <v/>
      </c>
      <c r="AP421" s="257">
        <f>IF(AP$7="Actual","",_xlfn.XLOOKUP($F417,c_Calculations!$H$15:$H$24,c_Calculations!AP$15:AP$24))</f>
        <v/>
      </c>
      <c r="AQ421" s="257">
        <f>IF(AQ$7="Actual","",_xlfn.XLOOKUP($F417,c_Calculations!$H$15:$H$24,c_Calculations!AQ$15:AQ$24))</f>
        <v/>
      </c>
      <c r="AR421" s="257">
        <f>IF(AR$7="Actual","",_xlfn.XLOOKUP($F417,c_Calculations!$H$15:$H$24,c_Calculations!AR$15:AR$24))</f>
        <v/>
      </c>
      <c r="AS421" s="257">
        <f>IF(AS$7="Actual","",_xlfn.XLOOKUP($F417,c_Calculations!$H$15:$H$24,c_Calculations!AS$15:AS$24))</f>
        <v/>
      </c>
      <c r="AT421" s="257">
        <f>IF(AT$7="Actual","",_xlfn.XLOOKUP($F417,c_Calculations!$H$15:$H$24,c_Calculations!AT$15:AT$24))</f>
        <v/>
      </c>
      <c r="AU421" s="257">
        <f>IF(AU$7="Actual","",_xlfn.XLOOKUP($F417,c_Calculations!$H$15:$H$24,c_Calculations!AU$15:AU$24))</f>
        <v/>
      </c>
      <c r="AV421" s="257">
        <f>IF(AV$7="Actual","",_xlfn.XLOOKUP($F417,c_Calculations!$H$15:$H$24,c_Calculations!AV$15:AV$24))</f>
        <v/>
      </c>
      <c r="AW421" s="257">
        <f>IF(AW$7="Actual","",_xlfn.XLOOKUP($F417,c_Calculations!$H$15:$H$24,c_Calculations!AW$15:AW$24))</f>
        <v/>
      </c>
      <c r="AX421" s="257">
        <f>IF(AX$7="Actual","",_xlfn.XLOOKUP($F417,c_Calculations!$H$15:$H$24,c_Calculations!AX$15:AX$24))</f>
        <v/>
      </c>
      <c r="AY421" s="257">
        <f>IF(AY$7="Actual","",_xlfn.XLOOKUP($F417,c_Calculations!$H$15:$H$24,c_Calculations!AY$15:AY$24))</f>
        <v/>
      </c>
      <c r="AZ421" s="257">
        <f>IF(AZ$7="Actual","",_xlfn.XLOOKUP($F417,c_Calculations!$H$15:$H$24,c_Calculations!AZ$15:AZ$24))</f>
        <v/>
      </c>
      <c r="BA421" s="257">
        <f>IF(BA$7="Actual","",_xlfn.XLOOKUP($F417,c_Calculations!$H$15:$H$24,c_Calculations!BA$15:BA$24))</f>
        <v/>
      </c>
      <c r="BB421" s="257">
        <f>IF(BB$7="Actual","",_xlfn.XLOOKUP($F417,c_Calculations!$H$15:$H$24,c_Calculations!BB$15:BB$24))</f>
        <v/>
      </c>
      <c r="BC421" s="257">
        <f>IF(BC$7="Actual","",_xlfn.XLOOKUP($F417,c_Calculations!$H$15:$H$24,c_Calculations!BC$15:BC$24))</f>
        <v/>
      </c>
      <c r="BD421" s="257">
        <f>IF(BD$7="Actual","",_xlfn.XLOOKUP($F417,c_Calculations!$H$15:$H$24,c_Calculations!BD$15:BD$24))</f>
        <v/>
      </c>
      <c r="BE421" s="257">
        <f>IF(BE$7="Actual","",_xlfn.XLOOKUP($F417,c_Calculations!$H$15:$H$24,c_Calculations!BE$15:BE$24))</f>
        <v/>
      </c>
      <c r="BF421" s="257">
        <f>IF(BF$7="Actual","",_xlfn.XLOOKUP($F417,c_Calculations!$H$15:$H$24,c_Calculations!BF$15:BF$24))</f>
        <v/>
      </c>
      <c r="BG421" s="257">
        <f>IF(BG$7="Actual","",_xlfn.XLOOKUP($F417,c_Calculations!$H$15:$H$24,c_Calculations!BG$15:BG$24))</f>
        <v/>
      </c>
      <c r="BH421" s="257">
        <f>IF(BH$7="Actual","",_xlfn.XLOOKUP($F417,c_Calculations!$H$15:$H$24,c_Calculations!BH$15:BH$24))</f>
        <v/>
      </c>
      <c r="BI421" s="257">
        <f>IF(BI$7="Actual","",_xlfn.XLOOKUP($F417,c_Calculations!$H$15:$H$24,c_Calculations!BI$15:BI$24))</f>
        <v/>
      </c>
      <c r="BJ421" s="257">
        <f>IF(BJ$7="Actual","",_xlfn.XLOOKUP($F417,c_Calculations!$H$15:$H$24,c_Calculations!BJ$15:BJ$24))</f>
        <v/>
      </c>
      <c r="BK421" s="257">
        <f>IF(BK$7="Actual","",_xlfn.XLOOKUP($F417,c_Calculations!$H$15:$H$24,c_Calculations!BK$15:BK$24))</f>
        <v/>
      </c>
      <c r="BL421" s="257">
        <f>IF(BL$7="Actual","",_xlfn.XLOOKUP($F417,c_Calculations!$H$15:$H$24,c_Calculations!BL$15:BL$24))</f>
        <v/>
      </c>
      <c r="BM421" s="257">
        <f>IF(BM$7="Actual","",_xlfn.XLOOKUP($F417,c_Calculations!$H$15:$H$24,c_Calculations!BM$15:BM$24))</f>
        <v/>
      </c>
      <c r="BN421" s="257">
        <f>IF(BN$7="Actual","",_xlfn.XLOOKUP($F417,c_Calculations!$H$15:$H$24,c_Calculations!BN$15:BN$24))</f>
        <v/>
      </c>
      <c r="BO421" s="257">
        <f>IF(BO$7="Actual","",_xlfn.XLOOKUP($F417,c_Calculations!$H$15:$H$24,c_Calculations!BO$15:BO$24))</f>
        <v/>
      </c>
      <c r="BP421" s="257">
        <f>IF(BP$7="Actual","",_xlfn.XLOOKUP($F417,c_Calculations!$H$15:$H$24,c_Calculations!BP$15:BP$24))</f>
        <v/>
      </c>
      <c r="BQ421" s="257">
        <f>IF(BQ$7="Actual","",_xlfn.XLOOKUP($F417,c_Calculations!$H$15:$H$24,c_Calculations!BQ$15:BQ$24))</f>
        <v/>
      </c>
      <c r="BR421" s="257">
        <f>IF(BR$7="Actual","",_xlfn.XLOOKUP($F417,c_Calculations!$H$15:$H$24,c_Calculations!BR$15:BR$24))</f>
        <v/>
      </c>
      <c r="BS421" s="257">
        <f>IF(BS$7="Actual","",_xlfn.XLOOKUP($F417,c_Calculations!$H$15:$H$24,c_Calculations!BS$15:BS$24))</f>
        <v/>
      </c>
      <c r="BT421" s="257">
        <f>IF(BT$7="Actual","",_xlfn.XLOOKUP($F417,c_Calculations!$H$15:$H$24,c_Calculations!BT$15:BT$24))</f>
        <v/>
      </c>
      <c r="BU421" s="257">
        <f>IF(BU$7="Actual","",_xlfn.XLOOKUP($F417,c_Calculations!$H$15:$H$24,c_Calculations!BU$15:BU$24))</f>
        <v/>
      </c>
      <c r="BV421" s="257">
        <f>IF(BV$7="Actual","",_xlfn.XLOOKUP($F417,c_Calculations!$H$15:$H$24,c_Calculations!BV$15:BV$24))</f>
        <v/>
      </c>
      <c r="BW421" s="257">
        <f>IF(BW$7="Actual","",_xlfn.XLOOKUP($F417,c_Calculations!$H$15:$H$24,c_Calculations!BW$15:BW$24))</f>
        <v/>
      </c>
      <c r="BX421" s="257">
        <f>IF(BX$7="Actual","",_xlfn.XLOOKUP($F417,c_Calculations!$H$15:$H$24,c_Calculations!BX$15:BX$24))</f>
        <v/>
      </c>
      <c r="BY421" s="257">
        <f>IF(BY$7="Actual","",_xlfn.XLOOKUP($F417,c_Calculations!$H$15:$H$24,c_Calculations!BY$15:BY$24))</f>
        <v/>
      </c>
      <c r="BZ421" s="257">
        <f>IF(BZ$7="Actual","",_xlfn.XLOOKUP($F417,c_Calculations!$H$15:$H$24,c_Calculations!BZ$15:BZ$24))</f>
        <v/>
      </c>
      <c r="CA421" s="257">
        <f>IF(CA$7="Actual","",_xlfn.XLOOKUP($F417,c_Calculations!$H$15:$H$24,c_Calculations!CA$15:CA$24))</f>
        <v/>
      </c>
    </row>
    <row r="422" ht="12" customHeight="1" s="227">
      <c r="A422" s="244" t="n"/>
      <c r="B422" s="244" t="n"/>
      <c r="C422" s="244" t="n"/>
    </row>
    <row r="423" ht="12" customHeight="1" s="227">
      <c r="A423" s="244" t="n"/>
      <c r="B423" s="244" t="n"/>
      <c r="C423" s="244" t="n"/>
    </row>
    <row r="424" ht="12" customHeight="1" s="227">
      <c r="A424" s="244" t="n"/>
      <c r="B424" s="244" t="n"/>
      <c r="C424" s="244" t="n"/>
      <c r="G424" s="222" t="inlineStr">
        <is>
          <t>Direct CAPEX (Excl. Sales Tax)</t>
        </is>
      </c>
    </row>
    <row r="425" ht="12" customHeight="1" s="227">
      <c r="A425" s="244" t="n"/>
      <c r="B425" s="244" t="n"/>
      <c r="C425" s="244" t="n"/>
    </row>
    <row r="426" ht="12" customHeight="1" s="227">
      <c r="A426" s="244" t="n"/>
      <c r="B426" s="244" t="n"/>
      <c r="C426" s="244" t="n"/>
      <c r="H426" s="4">
        <f>H386</f>
        <v/>
      </c>
      <c r="I426" s="27">
        <f>i_Setup!$M$16</f>
        <v/>
      </c>
      <c r="M426" s="245">
        <f>SUMIF($T$4:$CA$4,M$4,$T426:$CA426)</f>
        <v/>
      </c>
      <c r="N426" s="245">
        <f>SUMIF($T$4:$CA$4,N$4,$T426:$CA426)</f>
        <v/>
      </c>
      <c r="O426" s="245">
        <f>SUMIF($T$4:$CA$4,O$4,$T426:$CA426)</f>
        <v/>
      </c>
      <c r="P426" s="245">
        <f>SUMIF($T$4:$CA$4,P$4,$T426:$CA426)</f>
        <v/>
      </c>
      <c r="Q426" s="245">
        <f>SUMIF($T$4:$CA$4,Q$4,$T426:$CA426)</f>
        <v/>
      </c>
      <c r="T426" s="256" t="n"/>
      <c r="U426" s="256" t="n"/>
      <c r="V426" s="256" t="n"/>
      <c r="W426" s="256" t="n"/>
      <c r="X426" s="256" t="n"/>
      <c r="Y426" s="256" t="n"/>
      <c r="Z426" s="256" t="n"/>
      <c r="AA426" s="256" t="n"/>
      <c r="AB426" s="256" t="n"/>
      <c r="AC426" s="256" t="n"/>
      <c r="AD426" s="256" t="n"/>
      <c r="AE426" s="256" t="n"/>
      <c r="AF426" s="256" t="n"/>
      <c r="AG426" s="256" t="n"/>
      <c r="AH426" s="256" t="n"/>
      <c r="AI426" s="256" t="n"/>
      <c r="AJ426" s="256" t="n"/>
      <c r="AK426" s="256" t="n"/>
      <c r="AL426" s="256" t="n"/>
      <c r="AM426" s="256" t="n"/>
      <c r="AN426" s="256" t="n"/>
      <c r="AO426" s="256" t="n"/>
      <c r="AP426" s="256" t="n"/>
      <c r="AQ426" s="256" t="n"/>
      <c r="AR426" s="256" t="n"/>
      <c r="AS426" s="256" t="n"/>
      <c r="AT426" s="256" t="n"/>
      <c r="AU426" s="256" t="n"/>
      <c r="AV426" s="256" t="n"/>
      <c r="AW426" s="256" t="n"/>
      <c r="AX426" s="256" t="n"/>
      <c r="AY426" s="256" t="n"/>
      <c r="AZ426" s="256" t="n"/>
      <c r="BA426" s="256" t="n"/>
      <c r="BB426" s="256" t="n"/>
      <c r="BC426" s="256" t="n"/>
      <c r="BD426" s="256" t="n"/>
      <c r="BE426" s="256" t="n"/>
      <c r="BF426" s="256" t="n"/>
      <c r="BG426" s="256" t="n"/>
      <c r="BH426" s="256" t="n"/>
      <c r="BI426" s="256" t="n"/>
      <c r="BJ426" s="256" t="n"/>
      <c r="BK426" s="256" t="n"/>
      <c r="BL426" s="256" t="n"/>
      <c r="BM426" s="256" t="n"/>
      <c r="BN426" s="256" t="n"/>
      <c r="BO426" s="256" t="n"/>
      <c r="BP426" s="256" t="n"/>
      <c r="BQ426" s="256" t="n"/>
      <c r="BR426" s="256" t="n"/>
      <c r="BS426" s="256" t="n"/>
      <c r="BT426" s="256" t="n"/>
      <c r="BU426" s="256" t="n"/>
      <c r="BV426" s="256" t="n"/>
      <c r="BW426" s="256" t="n"/>
      <c r="BX426" s="256" t="n"/>
      <c r="BY426" s="256" t="n"/>
      <c r="BZ426" s="256" t="n"/>
      <c r="CA426" s="256" t="n"/>
    </row>
    <row r="427" ht="12" customHeight="1" s="227">
      <c r="A427" s="244" t="n"/>
      <c r="B427" s="244" t="n"/>
      <c r="C427" s="244" t="n"/>
      <c r="H427" s="4">
        <f>H387</f>
        <v/>
      </c>
      <c r="I427" s="27">
        <f>i_Setup!$M$16</f>
        <v/>
      </c>
      <c r="M427" s="245">
        <f>SUMIF($T$4:$CA$4,M$4,$T427:$CA427)</f>
        <v/>
      </c>
      <c r="N427" s="245">
        <f>SUMIF($T$4:$CA$4,N$4,$T427:$CA427)</f>
        <v/>
      </c>
      <c r="O427" s="245">
        <f>SUMIF($T$4:$CA$4,O$4,$T427:$CA427)</f>
        <v/>
      </c>
      <c r="P427" s="245">
        <f>SUMIF($T$4:$CA$4,P$4,$T427:$CA427)</f>
        <v/>
      </c>
      <c r="Q427" s="245">
        <f>SUMIF($T$4:$CA$4,Q$4,$T427:$CA427)</f>
        <v/>
      </c>
      <c r="T427" s="256" t="n"/>
      <c r="U427" s="256" t="n"/>
      <c r="V427" s="256" t="n"/>
      <c r="W427" s="256" t="n"/>
      <c r="X427" s="256" t="n"/>
      <c r="Y427" s="256" t="n"/>
      <c r="Z427" s="256" t="n"/>
      <c r="AA427" s="256" t="n"/>
      <c r="AB427" s="256" t="n"/>
      <c r="AC427" s="256" t="n"/>
      <c r="AD427" s="256" t="n"/>
      <c r="AE427" s="256" t="n"/>
      <c r="AF427" s="256" t="n"/>
      <c r="AG427" s="256" t="n"/>
      <c r="AH427" s="256" t="n"/>
      <c r="AI427" s="256" t="n"/>
      <c r="AJ427" s="256" t="n"/>
      <c r="AK427" s="256" t="n"/>
      <c r="AL427" s="256" t="n"/>
      <c r="AM427" s="256" t="n"/>
      <c r="AN427" s="256" t="n"/>
      <c r="AO427" s="256" t="n"/>
      <c r="AP427" s="256" t="n"/>
      <c r="AQ427" s="256" t="n"/>
      <c r="AR427" s="256" t="n"/>
      <c r="AS427" s="256" t="n"/>
      <c r="AT427" s="256" t="n"/>
      <c r="AU427" s="256" t="n"/>
      <c r="AV427" s="256" t="n"/>
      <c r="AW427" s="256" t="n"/>
      <c r="AX427" s="256" t="n"/>
      <c r="AY427" s="256" t="n"/>
      <c r="AZ427" s="256" t="n"/>
      <c r="BA427" s="256" t="n"/>
      <c r="BB427" s="256" t="n"/>
      <c r="BC427" s="256" t="n"/>
      <c r="BD427" s="256" t="n"/>
      <c r="BE427" s="256" t="n"/>
      <c r="BF427" s="256" t="n"/>
      <c r="BG427" s="256" t="n"/>
      <c r="BH427" s="256" t="n"/>
      <c r="BI427" s="256" t="n"/>
      <c r="BJ427" s="256" t="n"/>
      <c r="BK427" s="256" t="n"/>
      <c r="BL427" s="256" t="n"/>
      <c r="BM427" s="256" t="n"/>
      <c r="BN427" s="256" t="n"/>
      <c r="BO427" s="256" t="n"/>
      <c r="BP427" s="256" t="n"/>
      <c r="BQ427" s="256" t="n"/>
      <c r="BR427" s="256" t="n"/>
      <c r="BS427" s="256" t="n"/>
      <c r="BT427" s="256" t="n"/>
      <c r="BU427" s="256" t="n"/>
      <c r="BV427" s="256" t="n"/>
      <c r="BW427" s="256" t="n"/>
      <c r="BX427" s="256" t="n"/>
      <c r="BY427" s="256" t="n"/>
      <c r="BZ427" s="256" t="n"/>
      <c r="CA427" s="256" t="n"/>
    </row>
    <row r="428" ht="12" customHeight="1" s="227">
      <c r="A428" s="244" t="n"/>
      <c r="B428" s="244" t="n"/>
      <c r="C428" s="244" t="n"/>
      <c r="H428" s="4">
        <f>H388</f>
        <v/>
      </c>
      <c r="I428" s="27">
        <f>i_Setup!$M$16</f>
        <v/>
      </c>
      <c r="M428" s="245">
        <f>SUMIF($T$4:$CA$4,M$4,$T428:$CA428)</f>
        <v/>
      </c>
      <c r="N428" s="245">
        <f>SUMIF($T$4:$CA$4,N$4,$T428:$CA428)</f>
        <v/>
      </c>
      <c r="O428" s="245">
        <f>SUMIF($T$4:$CA$4,O$4,$T428:$CA428)</f>
        <v/>
      </c>
      <c r="P428" s="245">
        <f>SUMIF($T$4:$CA$4,P$4,$T428:$CA428)</f>
        <v/>
      </c>
      <c r="Q428" s="245">
        <f>SUMIF($T$4:$CA$4,Q$4,$T428:$CA428)</f>
        <v/>
      </c>
      <c r="T428" s="256" t="n"/>
      <c r="U428" s="256" t="n"/>
      <c r="V428" s="256" t="n"/>
      <c r="W428" s="256" t="n"/>
      <c r="X428" s="256" t="n"/>
      <c r="Y428" s="256" t="n"/>
      <c r="Z428" s="256" t="n"/>
      <c r="AA428" s="256" t="n"/>
      <c r="AB428" s="256" t="n"/>
      <c r="AC428" s="256" t="n"/>
      <c r="AD428" s="256" t="n"/>
      <c r="AE428" s="256" t="n"/>
      <c r="AF428" s="256" t="n"/>
      <c r="AG428" s="256" t="n"/>
      <c r="AH428" s="256" t="n"/>
      <c r="AI428" s="256" t="n"/>
      <c r="AJ428" s="256" t="n"/>
      <c r="AK428" s="256" t="n"/>
      <c r="AL428" s="256" t="n"/>
      <c r="AM428" s="256" t="n"/>
      <c r="AN428" s="256" t="n"/>
      <c r="AO428" s="256" t="n"/>
      <c r="AP428" s="256" t="n"/>
      <c r="AQ428" s="256" t="n"/>
      <c r="AR428" s="256" t="n"/>
      <c r="AS428" s="256" t="n"/>
      <c r="AT428" s="256" t="n"/>
      <c r="AU428" s="256" t="n"/>
      <c r="AV428" s="256" t="n"/>
      <c r="AW428" s="256" t="n"/>
      <c r="AX428" s="256" t="n"/>
      <c r="AY428" s="256" t="n"/>
      <c r="AZ428" s="256" t="n"/>
      <c r="BA428" s="256" t="n"/>
      <c r="BB428" s="256" t="n"/>
      <c r="BC428" s="256" t="n"/>
      <c r="BD428" s="256" t="n"/>
      <c r="BE428" s="256" t="n"/>
      <c r="BF428" s="256" t="n"/>
      <c r="BG428" s="256" t="n"/>
      <c r="BH428" s="256" t="n"/>
      <c r="BI428" s="256" t="n"/>
      <c r="BJ428" s="256" t="n"/>
      <c r="BK428" s="256" t="n"/>
      <c r="BL428" s="256" t="n"/>
      <c r="BM428" s="256" t="n"/>
      <c r="BN428" s="256" t="n"/>
      <c r="BO428" s="256" t="n"/>
      <c r="BP428" s="256" t="n"/>
      <c r="BQ428" s="256" t="n"/>
      <c r="BR428" s="256" t="n"/>
      <c r="BS428" s="256" t="n"/>
      <c r="BT428" s="256" t="n"/>
      <c r="BU428" s="256" t="n"/>
      <c r="BV428" s="256" t="n"/>
      <c r="BW428" s="256" t="n"/>
      <c r="BX428" s="256" t="n"/>
      <c r="BY428" s="256" t="n"/>
      <c r="BZ428" s="256" t="n"/>
      <c r="CA428" s="256" t="n"/>
    </row>
    <row r="429" ht="12" customHeight="1" s="227">
      <c r="A429" s="244" t="n"/>
      <c r="B429" s="244" t="n"/>
      <c r="C429" s="244" t="n"/>
      <c r="H429" s="4">
        <f>H389</f>
        <v/>
      </c>
      <c r="I429" s="27">
        <f>i_Setup!$M$16</f>
        <v/>
      </c>
      <c r="M429" s="245">
        <f>SUMIF($T$4:$CA$4,M$4,$T429:$CA429)</f>
        <v/>
      </c>
      <c r="N429" s="245">
        <f>SUMIF($T$4:$CA$4,N$4,$T429:$CA429)</f>
        <v/>
      </c>
      <c r="O429" s="245">
        <f>SUMIF($T$4:$CA$4,O$4,$T429:$CA429)</f>
        <v/>
      </c>
      <c r="P429" s="245">
        <f>SUMIF($T$4:$CA$4,P$4,$T429:$CA429)</f>
        <v/>
      </c>
      <c r="Q429" s="245">
        <f>SUMIF($T$4:$CA$4,Q$4,$T429:$CA429)</f>
        <v/>
      </c>
      <c r="T429" s="256" t="n"/>
      <c r="U429" s="256" t="n"/>
      <c r="V429" s="256" t="n"/>
      <c r="W429" s="256" t="n"/>
      <c r="X429" s="256" t="n"/>
      <c r="Y429" s="256" t="n"/>
      <c r="Z429" s="256" t="n"/>
      <c r="AA429" s="256" t="n"/>
      <c r="AB429" s="256" t="n"/>
      <c r="AC429" s="256" t="n"/>
      <c r="AD429" s="256" t="n"/>
      <c r="AE429" s="256" t="n"/>
      <c r="AF429" s="256" t="n"/>
      <c r="AG429" s="256" t="n"/>
      <c r="AH429" s="256" t="n"/>
      <c r="AI429" s="256" t="n"/>
      <c r="AJ429" s="256" t="n"/>
      <c r="AK429" s="256" t="n"/>
      <c r="AL429" s="256" t="n"/>
      <c r="AM429" s="256" t="n"/>
      <c r="AN429" s="256" t="n"/>
      <c r="AO429" s="256" t="n"/>
      <c r="AP429" s="256" t="n"/>
      <c r="AQ429" s="256" t="n"/>
      <c r="AR429" s="256" t="n"/>
      <c r="AS429" s="256" t="n"/>
      <c r="AT429" s="256" t="n"/>
      <c r="AU429" s="256" t="n"/>
      <c r="AV429" s="256" t="n"/>
      <c r="AW429" s="256" t="n"/>
      <c r="AX429" s="256" t="n"/>
      <c r="AY429" s="256" t="n"/>
      <c r="AZ429" s="256" t="n"/>
      <c r="BA429" s="256" t="n"/>
      <c r="BB429" s="256" t="n"/>
      <c r="BC429" s="256" t="n"/>
      <c r="BD429" s="256" t="n"/>
      <c r="BE429" s="256" t="n"/>
      <c r="BF429" s="256" t="n"/>
      <c r="BG429" s="256" t="n"/>
      <c r="BH429" s="256" t="n"/>
      <c r="BI429" s="256" t="n"/>
      <c r="BJ429" s="256" t="n"/>
      <c r="BK429" s="256" t="n"/>
      <c r="BL429" s="256" t="n"/>
      <c r="BM429" s="256" t="n"/>
      <c r="BN429" s="256" t="n"/>
      <c r="BO429" s="256" t="n"/>
      <c r="BP429" s="256" t="n"/>
      <c r="BQ429" s="256" t="n"/>
      <c r="BR429" s="256" t="n"/>
      <c r="BS429" s="256" t="n"/>
      <c r="BT429" s="256" t="n"/>
      <c r="BU429" s="256" t="n"/>
      <c r="BV429" s="256" t="n"/>
      <c r="BW429" s="256" t="n"/>
      <c r="BX429" s="256" t="n"/>
      <c r="BY429" s="256" t="n"/>
      <c r="BZ429" s="256" t="n"/>
      <c r="CA429" s="256" t="n"/>
    </row>
    <row r="430" ht="12" customHeight="1" s="227">
      <c r="A430" s="244" t="n"/>
      <c r="B430" s="244" t="n"/>
      <c r="C430" s="244" t="n"/>
      <c r="H430" s="4">
        <f>H390</f>
        <v/>
      </c>
      <c r="I430" s="27">
        <f>i_Setup!$M$16</f>
        <v/>
      </c>
      <c r="M430" s="245">
        <f>SUMIF($T$4:$CA$4,M$4,$T430:$CA430)</f>
        <v/>
      </c>
      <c r="N430" s="245">
        <f>SUMIF($T$4:$CA$4,N$4,$T430:$CA430)</f>
        <v/>
      </c>
      <c r="O430" s="245">
        <f>SUMIF($T$4:$CA$4,O$4,$T430:$CA430)</f>
        <v/>
      </c>
      <c r="P430" s="245">
        <f>SUMIF($T$4:$CA$4,P$4,$T430:$CA430)</f>
        <v/>
      </c>
      <c r="Q430" s="245">
        <f>SUMIF($T$4:$CA$4,Q$4,$T430:$CA430)</f>
        <v/>
      </c>
      <c r="T430" s="256" t="n"/>
      <c r="U430" s="256" t="n"/>
      <c r="V430" s="256" t="n"/>
      <c r="W430" s="256" t="n"/>
      <c r="X430" s="256" t="n"/>
      <c r="Y430" s="256" t="n"/>
      <c r="Z430" s="256" t="n"/>
      <c r="AA430" s="256" t="n"/>
      <c r="AB430" s="256" t="n"/>
      <c r="AC430" s="256" t="n"/>
      <c r="AD430" s="256" t="n"/>
      <c r="AE430" s="256" t="n"/>
      <c r="AF430" s="256" t="n"/>
      <c r="AG430" s="256" t="n"/>
      <c r="AH430" s="256" t="n"/>
      <c r="AI430" s="256" t="n"/>
      <c r="AJ430" s="256" t="n"/>
      <c r="AK430" s="256" t="n"/>
      <c r="AL430" s="256" t="n"/>
      <c r="AM430" s="256" t="n"/>
      <c r="AN430" s="256" t="n"/>
      <c r="AO430" s="256" t="n"/>
      <c r="AP430" s="256" t="n"/>
      <c r="AQ430" s="256" t="n"/>
      <c r="AR430" s="256" t="n"/>
      <c r="AS430" s="256" t="n"/>
      <c r="AT430" s="256" t="n"/>
      <c r="AU430" s="256" t="n"/>
      <c r="AV430" s="256" t="n"/>
      <c r="AW430" s="256" t="n"/>
      <c r="AX430" s="256" t="n"/>
      <c r="AY430" s="256" t="n"/>
      <c r="AZ430" s="256" t="n"/>
      <c r="BA430" s="256" t="n"/>
      <c r="BB430" s="256" t="n"/>
      <c r="BC430" s="256" t="n"/>
      <c r="BD430" s="256" t="n"/>
      <c r="BE430" s="256" t="n"/>
      <c r="BF430" s="256" t="n"/>
      <c r="BG430" s="256" t="n"/>
      <c r="BH430" s="256" t="n"/>
      <c r="BI430" s="256" t="n"/>
      <c r="BJ430" s="256" t="n"/>
      <c r="BK430" s="256" t="n"/>
      <c r="BL430" s="256" t="n"/>
      <c r="BM430" s="256" t="n"/>
      <c r="BN430" s="256" t="n"/>
      <c r="BO430" s="256" t="n"/>
      <c r="BP430" s="256" t="n"/>
      <c r="BQ430" s="256" t="n"/>
      <c r="BR430" s="256" t="n"/>
      <c r="BS430" s="256" t="n"/>
      <c r="BT430" s="256" t="n"/>
      <c r="BU430" s="256" t="n"/>
      <c r="BV430" s="256" t="n"/>
      <c r="BW430" s="256" t="n"/>
      <c r="BX430" s="256" t="n"/>
      <c r="BY430" s="256" t="n"/>
      <c r="BZ430" s="256" t="n"/>
      <c r="CA430" s="256" t="n"/>
    </row>
    <row r="431" ht="12" customHeight="1" s="227">
      <c r="A431" s="244" t="n"/>
      <c r="B431" s="244" t="n"/>
      <c r="C431" s="244" t="n"/>
    </row>
    <row r="432" ht="12" customHeight="1" s="227">
      <c r="A432" s="244" t="n"/>
      <c r="B432" s="244" t="n"/>
      <c r="C432" s="244" t="n"/>
    </row>
    <row r="433" ht="12" customHeight="1" s="227">
      <c r="A433" s="244" t="n"/>
      <c r="B433" s="244" t="n"/>
      <c r="C433" s="244" t="n"/>
      <c r="G433" s="222" t="inlineStr">
        <is>
          <t>Direct OPEX Per Ship Per Month (Excl VAT)</t>
        </is>
      </c>
    </row>
    <row r="434" ht="24" customHeight="1" s="227">
      <c r="A434" s="244" t="n"/>
      <c r="B434" s="244" t="n"/>
      <c r="C434" s="244" t="n"/>
      <c r="K434" s="161" t="inlineStr">
        <is>
          <t>Credit Terms Received (Months)</t>
        </is>
      </c>
    </row>
    <row r="435" ht="12" customHeight="1" s="227">
      <c r="A435" s="244" t="n"/>
      <c r="B435" s="244" t="n"/>
      <c r="C435" s="244" t="n"/>
      <c r="H435" s="4">
        <f>H395</f>
        <v/>
      </c>
      <c r="I435" s="27">
        <f>i_Setup!$M$16</f>
        <v/>
      </c>
      <c r="K435" s="259">
        <f>K395</f>
        <v/>
      </c>
      <c r="M435" s="256" t="n"/>
      <c r="N435" s="256" t="n"/>
      <c r="O435" s="256" t="n"/>
      <c r="P435" s="256" t="n"/>
      <c r="Q435" s="256" t="n"/>
    </row>
    <row r="436" ht="12" customHeight="1" s="227">
      <c r="A436" s="244" t="n"/>
      <c r="B436" s="244" t="n"/>
      <c r="C436" s="244" t="n"/>
      <c r="H436" s="4">
        <f>H396</f>
        <v/>
      </c>
      <c r="I436" s="27">
        <f>i_Setup!$M$16</f>
        <v/>
      </c>
      <c r="K436" s="259">
        <f>K396</f>
        <v/>
      </c>
      <c r="M436" s="256" t="n"/>
      <c r="N436" s="256" t="n"/>
      <c r="O436" s="256" t="n"/>
      <c r="P436" s="256" t="n"/>
      <c r="Q436" s="256" t="n"/>
    </row>
    <row r="437" ht="12" customHeight="1" s="227">
      <c r="A437" s="244" t="n"/>
      <c r="B437" s="244" t="n"/>
      <c r="C437" s="244" t="n"/>
      <c r="H437" s="4">
        <f>H397</f>
        <v/>
      </c>
      <c r="I437" s="27">
        <f>i_Setup!$M$16</f>
        <v/>
      </c>
      <c r="K437" s="259">
        <f>K397</f>
        <v/>
      </c>
      <c r="M437" s="256" t="n"/>
      <c r="N437" s="256" t="n"/>
      <c r="O437" s="256" t="n"/>
      <c r="P437" s="256" t="n"/>
      <c r="Q437" s="256" t="n"/>
    </row>
    <row r="438" ht="12" customHeight="1" s="227">
      <c r="A438" s="244" t="n"/>
      <c r="B438" s="244" t="n"/>
      <c r="C438" s="244" t="n"/>
      <c r="H438" s="4">
        <f>H398</f>
        <v/>
      </c>
      <c r="I438" s="27">
        <f>i_Setup!$M$16</f>
        <v/>
      </c>
      <c r="K438" s="259">
        <f>K398</f>
        <v/>
      </c>
      <c r="M438" s="256" t="n"/>
      <c r="N438" s="256" t="n"/>
      <c r="O438" s="256" t="n"/>
      <c r="P438" s="256" t="n"/>
      <c r="Q438" s="256" t="n"/>
    </row>
    <row r="439" ht="12" customHeight="1" s="227">
      <c r="A439" s="244" t="n"/>
      <c r="B439" s="244" t="n"/>
      <c r="C439" s="244" t="n"/>
      <c r="H439" s="4">
        <f>H399</f>
        <v/>
      </c>
      <c r="I439" s="27">
        <f>i_Setup!$M$16</f>
        <v/>
      </c>
      <c r="K439" s="259">
        <f>K399</f>
        <v/>
      </c>
      <c r="M439" s="256" t="n"/>
      <c r="N439" s="256" t="n"/>
      <c r="O439" s="256" t="n"/>
      <c r="P439" s="256" t="n"/>
      <c r="Q439" s="256" t="n"/>
    </row>
    <row r="440" ht="12" customHeight="1" s="227">
      <c r="A440" s="244" t="n"/>
      <c r="B440" s="244" t="n"/>
      <c r="C440" s="244" t="n"/>
      <c r="H440" s="4">
        <f>H400</f>
        <v/>
      </c>
      <c r="I440" s="27">
        <f>i_Setup!$M$16</f>
        <v/>
      </c>
      <c r="K440" s="259">
        <f>K400</f>
        <v/>
      </c>
      <c r="M440" s="256" t="n"/>
      <c r="N440" s="256" t="n"/>
      <c r="O440" s="256" t="n"/>
      <c r="P440" s="256" t="n"/>
      <c r="Q440" s="256" t="n"/>
    </row>
    <row r="441" ht="12" customHeight="1" s="227">
      <c r="A441" s="244" t="n"/>
      <c r="B441" s="244" t="n"/>
      <c r="C441" s="244" t="n"/>
      <c r="H441" s="4">
        <f>H401</f>
        <v/>
      </c>
      <c r="I441" s="27">
        <f>i_Setup!$M$16</f>
        <v/>
      </c>
      <c r="K441" s="259">
        <f>K401</f>
        <v/>
      </c>
      <c r="M441" s="256" t="n"/>
      <c r="N441" s="256" t="n"/>
      <c r="O441" s="256" t="n"/>
      <c r="P441" s="256" t="n"/>
      <c r="Q441" s="256" t="n"/>
    </row>
    <row r="442" ht="12" customHeight="1" s="227">
      <c r="A442" s="244" t="n"/>
      <c r="B442" s="244" t="n"/>
      <c r="C442" s="244" t="n"/>
      <c r="H442" s="4">
        <f>H402</f>
        <v/>
      </c>
      <c r="I442" s="27">
        <f>i_Setup!$M$16</f>
        <v/>
      </c>
      <c r="K442" s="259">
        <f>K402</f>
        <v/>
      </c>
      <c r="M442" s="256" t="n"/>
      <c r="N442" s="256" t="n"/>
      <c r="O442" s="256" t="n"/>
      <c r="P442" s="256" t="n"/>
      <c r="Q442" s="256" t="n"/>
    </row>
    <row r="443" ht="12" customHeight="1" s="227">
      <c r="A443" s="244" t="n"/>
      <c r="B443" s="244" t="n"/>
      <c r="C443" s="244" t="n"/>
    </row>
    <row r="444" ht="12" customHeight="1" s="227">
      <c r="A444" s="244" t="n"/>
      <c r="B444" s="244" t="n"/>
      <c r="C444" s="244" t="n"/>
    </row>
    <row r="445" ht="12" customHeight="1" s="227">
      <c r="A445" s="244" t="n"/>
      <c r="B445" s="244" t="n"/>
      <c r="C445" s="244" t="n"/>
      <c r="G445" s="222" t="inlineStr">
        <is>
          <t>Direct Staff Numbers Per Ship</t>
        </is>
      </c>
    </row>
    <row r="446" ht="12" customHeight="1" s="227">
      <c r="A446" s="244" t="n"/>
      <c r="B446" s="244" t="n"/>
      <c r="C446" s="244" t="n"/>
    </row>
    <row r="447" ht="12" customHeight="1" s="227">
      <c r="A447" s="244" t="n"/>
      <c r="B447" s="244" t="n"/>
      <c r="C447" s="244" t="n"/>
      <c r="H447" s="4">
        <f>H407</f>
        <v/>
      </c>
      <c r="I447" s="27" t="inlineStr">
        <is>
          <t>no</t>
        </is>
      </c>
      <c r="M447" s="258" t="n"/>
      <c r="N447" s="258" t="n"/>
      <c r="O447" s="258" t="n"/>
      <c r="P447" s="258" t="n"/>
      <c r="Q447" s="258" t="n"/>
    </row>
    <row r="448" ht="12" customHeight="1" s="227">
      <c r="A448" s="244" t="n"/>
      <c r="B448" s="244" t="n"/>
      <c r="C448" s="244" t="n"/>
      <c r="H448" s="4">
        <f>H408</f>
        <v/>
      </c>
      <c r="I448" s="27" t="inlineStr">
        <is>
          <t>no</t>
        </is>
      </c>
      <c r="M448" s="258" t="n"/>
      <c r="N448" s="258" t="n"/>
      <c r="O448" s="258" t="n"/>
      <c r="P448" s="258" t="n"/>
      <c r="Q448" s="258" t="n"/>
    </row>
    <row r="449" ht="12" customHeight="1" s="227">
      <c r="A449" s="244" t="n"/>
      <c r="B449" s="244" t="n"/>
      <c r="C449" s="244" t="n"/>
      <c r="H449" s="4">
        <f>H409</f>
        <v/>
      </c>
      <c r="I449" s="27" t="inlineStr">
        <is>
          <t>no</t>
        </is>
      </c>
      <c r="M449" s="258" t="n"/>
      <c r="N449" s="258" t="n"/>
      <c r="O449" s="258" t="n"/>
      <c r="P449" s="258" t="n"/>
      <c r="Q449" s="258" t="n"/>
    </row>
    <row r="450" ht="12" customHeight="1" s="227">
      <c r="A450" s="244" t="n"/>
      <c r="B450" s="244" t="n"/>
      <c r="C450" s="244" t="n"/>
      <c r="H450" s="4">
        <f>H410</f>
        <v/>
      </c>
      <c r="I450" s="27" t="inlineStr">
        <is>
          <t>no</t>
        </is>
      </c>
      <c r="M450" s="258" t="n"/>
      <c r="N450" s="258" t="n"/>
      <c r="O450" s="258" t="n"/>
      <c r="P450" s="258" t="n"/>
      <c r="Q450" s="258" t="n"/>
    </row>
    <row r="451" ht="12" customHeight="1" s="227">
      <c r="A451" s="244" t="n"/>
      <c r="B451" s="244" t="n"/>
      <c r="C451" s="244" t="n"/>
      <c r="H451" s="4">
        <f>H411</f>
        <v/>
      </c>
      <c r="I451" s="27" t="inlineStr">
        <is>
          <t>no</t>
        </is>
      </c>
      <c r="M451" s="258" t="n"/>
      <c r="N451" s="258" t="n"/>
      <c r="O451" s="258" t="n"/>
      <c r="P451" s="258" t="n"/>
      <c r="Q451" s="258" t="n"/>
    </row>
    <row r="452" ht="12" customHeight="1" s="227">
      <c r="A452" s="244" t="n"/>
      <c r="B452" s="244" t="n"/>
      <c r="C452" s="244" t="n"/>
      <c r="H452" s="4">
        <f>H412</f>
        <v/>
      </c>
      <c r="I452" s="27" t="inlineStr">
        <is>
          <t>no</t>
        </is>
      </c>
      <c r="M452" s="258" t="n"/>
      <c r="N452" s="258" t="n"/>
      <c r="O452" s="258" t="n"/>
      <c r="P452" s="258" t="n"/>
      <c r="Q452" s="258" t="n"/>
    </row>
    <row r="453" ht="12" customHeight="1" s="227">
      <c r="A453" s="244" t="n"/>
      <c r="B453" s="244" t="n"/>
      <c r="C453" s="244" t="n"/>
      <c r="H453" s="4">
        <f>H413</f>
        <v/>
      </c>
      <c r="I453" s="27" t="inlineStr">
        <is>
          <t>no</t>
        </is>
      </c>
      <c r="M453" s="258" t="n"/>
      <c r="N453" s="258" t="n"/>
      <c r="O453" s="258" t="n"/>
      <c r="P453" s="258" t="n"/>
      <c r="Q453" s="258" t="n"/>
    </row>
    <row r="454" ht="12" customHeight="1" s="227">
      <c r="A454" s="244" t="n"/>
      <c r="B454" s="244" t="n"/>
      <c r="C454" s="244" t="n"/>
      <c r="H454" s="4">
        <f>H414</f>
        <v/>
      </c>
      <c r="I454" s="27" t="inlineStr">
        <is>
          <t>no</t>
        </is>
      </c>
      <c r="M454" s="258" t="n"/>
      <c r="N454" s="258" t="n"/>
      <c r="O454" s="258" t="n"/>
      <c r="P454" s="258" t="n"/>
      <c r="Q454" s="258" t="n"/>
    </row>
    <row r="455" ht="12" customHeight="1" s="227">
      <c r="A455" s="244" t="n"/>
      <c r="B455" s="244" t="n"/>
      <c r="C455" s="244" t="n"/>
    </row>
    <row r="456" ht="12" customHeight="1" s="227">
      <c r="A456" s="244" t="n"/>
      <c r="B456" s="244" t="n"/>
      <c r="C456" s="244" t="n"/>
    </row>
    <row r="457" ht="12" customHeight="1" s="227">
      <c r="A457" s="244" t="n"/>
      <c r="B457" s="244" t="n"/>
      <c r="C457" s="244" t="n"/>
    </row>
    <row r="458" ht="12" customHeight="1" s="227">
      <c r="A458" s="244" t="n"/>
      <c r="B458" s="244" t="n"/>
      <c r="C458" s="244" t="n"/>
    </row>
    <row r="459" ht="15.75" customFormat="1" customHeight="1" s="99">
      <c r="D459" s="99">
        <f>Heading1</f>
        <v/>
      </c>
      <c r="E459" s="99" t="inlineStr">
        <is>
          <t>Expenses</t>
        </is>
      </c>
    </row>
    <row r="460" ht="12" customHeight="1" s="227">
      <c r="A460" s="244" t="n"/>
      <c r="B460" s="244" t="n"/>
      <c r="C460" s="244" t="n"/>
    </row>
    <row r="461" ht="13.5" customFormat="1" customHeight="1" s="223" thickBot="1">
      <c r="E461" s="223">
        <f>Heading2</f>
        <v/>
      </c>
      <c r="F461" s="223" t="inlineStr">
        <is>
          <t>Direct Staff Costs</t>
        </is>
      </c>
    </row>
    <row r="462" ht="12" customHeight="1" s="227">
      <c r="A462" s="244" t="n"/>
      <c r="B462" s="244" t="n"/>
      <c r="C462" s="244" t="n"/>
    </row>
    <row r="463" ht="12" customHeight="1" s="227">
      <c r="A463" s="244" t="n"/>
      <c r="B463" s="244" t="n"/>
      <c r="C463" s="244" t="n"/>
      <c r="G463" s="222" t="inlineStr">
        <is>
          <t>Average salary per full time position</t>
        </is>
      </c>
      <c r="K463" s="6" t="n"/>
    </row>
    <row r="464" ht="12" customHeight="1" s="227">
      <c r="A464" s="244" t="n"/>
      <c r="B464" s="244" t="n"/>
      <c r="C464" s="244" t="n"/>
      <c r="K464" s="6" t="n"/>
    </row>
    <row r="465" ht="12" customHeight="1" s="227">
      <c r="A465" s="244" t="n"/>
      <c r="B465" s="244" t="n"/>
      <c r="C465" s="244" t="n"/>
      <c r="H465" s="4">
        <f>i_Setup!U46</f>
        <v/>
      </c>
      <c r="I465" s="27">
        <f>i_Setup!$M$16</f>
        <v/>
      </c>
      <c r="K465" s="6" t="n"/>
      <c r="M465" s="256" t="n">
        <v>-60000</v>
      </c>
      <c r="N465" s="256">
        <f>M465*1.03</f>
        <v/>
      </c>
      <c r="O465" s="256">
        <f>N465*1.03</f>
        <v/>
      </c>
      <c r="P465" s="256">
        <f>O465*1.03</f>
        <v/>
      </c>
      <c r="Q465" s="256">
        <f>P465*1.03</f>
        <v/>
      </c>
    </row>
    <row r="466" ht="12" customHeight="1" s="227">
      <c r="A466" s="244" t="n"/>
      <c r="B466" s="244" t="n"/>
      <c r="C466" s="244" t="n"/>
      <c r="H466" s="4">
        <f>i_Setup!U47</f>
        <v/>
      </c>
      <c r="I466" s="27">
        <f>i_Setup!$M$16</f>
        <v/>
      </c>
      <c r="K466" s="6" t="n"/>
      <c r="M466" s="256" t="n">
        <v>-40000</v>
      </c>
      <c r="N466" s="256">
        <f>M466*1.03</f>
        <v/>
      </c>
      <c r="O466" s="256">
        <f>N466*1.03</f>
        <v/>
      </c>
      <c r="P466" s="256">
        <f>O466*1.03</f>
        <v/>
      </c>
      <c r="Q466" s="256">
        <f>P466*1.03</f>
        <v/>
      </c>
    </row>
    <row r="467" ht="12" customHeight="1" s="227">
      <c r="A467" s="244" t="n"/>
      <c r="B467" s="244" t="n"/>
      <c r="C467" s="244" t="n"/>
      <c r="H467" s="4">
        <f>i_Setup!U48</f>
        <v/>
      </c>
      <c r="I467" s="27">
        <f>i_Setup!$M$16</f>
        <v/>
      </c>
      <c r="K467" s="6" t="n"/>
      <c r="M467" s="256" t="n">
        <v>-30000</v>
      </c>
      <c r="N467" s="256">
        <f>M467*1.03</f>
        <v/>
      </c>
      <c r="O467" s="256">
        <f>N467*1.03</f>
        <v/>
      </c>
      <c r="P467" s="256">
        <f>O467*1.03</f>
        <v/>
      </c>
      <c r="Q467" s="256">
        <f>P467*1.03</f>
        <v/>
      </c>
    </row>
    <row r="468" ht="12" customHeight="1" s="227">
      <c r="A468" s="244" t="n"/>
      <c r="B468" s="244" t="n"/>
      <c r="C468" s="244" t="n"/>
      <c r="H468" s="4">
        <f>i_Setup!U49</f>
        <v/>
      </c>
      <c r="I468" s="27">
        <f>i_Setup!$M$16</f>
        <v/>
      </c>
      <c r="K468" s="6" t="n"/>
      <c r="M468" s="256" t="n">
        <v>-18000</v>
      </c>
      <c r="N468" s="256">
        <f>M468*1.03</f>
        <v/>
      </c>
      <c r="O468" s="256">
        <f>N468*1.03</f>
        <v/>
      </c>
      <c r="P468" s="256">
        <f>O468*1.03</f>
        <v/>
      </c>
      <c r="Q468" s="256">
        <f>P468*1.03</f>
        <v/>
      </c>
    </row>
    <row r="469" ht="12" customHeight="1" s="227">
      <c r="A469" s="244" t="n"/>
      <c r="B469" s="244" t="n"/>
      <c r="C469" s="244" t="n"/>
      <c r="H469" s="4">
        <f>i_Setup!U50</f>
        <v/>
      </c>
      <c r="I469" s="27">
        <f>i_Setup!$M$16</f>
        <v/>
      </c>
      <c r="K469" s="6" t="n"/>
      <c r="M469" s="256" t="n">
        <v>-19000</v>
      </c>
      <c r="N469" s="256">
        <f>M469*1.03</f>
        <v/>
      </c>
      <c r="O469" s="256">
        <f>N469*1.03</f>
        <v/>
      </c>
      <c r="P469" s="256">
        <f>O469*1.03</f>
        <v/>
      </c>
      <c r="Q469" s="256">
        <f>P469*1.03</f>
        <v/>
      </c>
    </row>
    <row r="470" ht="12" customHeight="1" s="227">
      <c r="A470" s="244" t="n"/>
      <c r="B470" s="244" t="n"/>
      <c r="C470" s="244" t="n"/>
      <c r="H470" s="4">
        <f>i_Setup!U51</f>
        <v/>
      </c>
      <c r="I470" s="27">
        <f>i_Setup!$M$16</f>
        <v/>
      </c>
      <c r="K470" s="6" t="n"/>
      <c r="M470" s="256" t="n">
        <v>-22000</v>
      </c>
      <c r="N470" s="256">
        <f>M470*1.03</f>
        <v/>
      </c>
      <c r="O470" s="256">
        <f>N470*1.03</f>
        <v/>
      </c>
      <c r="P470" s="256">
        <f>O470*1.03</f>
        <v/>
      </c>
      <c r="Q470" s="256">
        <f>P470*1.03</f>
        <v/>
      </c>
    </row>
    <row r="471" ht="12" customHeight="1" s="227">
      <c r="A471" s="244" t="n"/>
      <c r="B471" s="244" t="n"/>
      <c r="C471" s="244" t="n"/>
      <c r="H471" s="4">
        <f>i_Setup!U52</f>
        <v/>
      </c>
      <c r="I471" s="27">
        <f>i_Setup!$M$16</f>
        <v/>
      </c>
      <c r="K471" s="6" t="n"/>
      <c r="M471" s="256" t="n"/>
      <c r="N471" s="256" t="n"/>
      <c r="O471" s="256" t="n"/>
      <c r="P471" s="256" t="n"/>
      <c r="Q471" s="256" t="n"/>
    </row>
    <row r="472" ht="12" customHeight="1" s="227">
      <c r="A472" s="244" t="n"/>
      <c r="B472" s="244" t="n"/>
      <c r="C472" s="244" t="n"/>
      <c r="H472" s="4">
        <f>i_Setup!U53</f>
        <v/>
      </c>
      <c r="I472" s="27">
        <f>i_Setup!$M$16</f>
        <v/>
      </c>
      <c r="K472" s="6" t="n"/>
      <c r="M472" s="256" t="n"/>
      <c r="N472" s="256" t="n"/>
      <c r="O472" s="256" t="n"/>
      <c r="P472" s="256" t="n"/>
      <c r="Q472" s="256" t="n"/>
    </row>
    <row r="473" ht="12" customHeight="1" s="227">
      <c r="A473" s="244" t="n"/>
      <c r="B473" s="244" t="n"/>
      <c r="C473" s="244" t="n"/>
      <c r="K473" s="6" t="n"/>
    </row>
    <row r="474" ht="12" customHeight="1" s="227">
      <c r="A474" s="244" t="n"/>
      <c r="B474" s="244" t="n"/>
      <c r="C474" s="244" t="n"/>
      <c r="G474" s="222" t="n"/>
      <c r="K474" s="6" t="n"/>
    </row>
    <row r="475" ht="12" customHeight="1" s="227">
      <c r="A475" s="244" t="n"/>
      <c r="B475" s="244" t="n"/>
      <c r="C475" s="244" t="n"/>
      <c r="G475" s="222" t="inlineStr">
        <is>
          <t>Average Employer's Social Security as a % of Salary</t>
        </is>
      </c>
      <c r="K475" s="6" t="n"/>
    </row>
    <row r="476" ht="12" customHeight="1" s="227">
      <c r="A476" s="244" t="n"/>
      <c r="B476" s="244" t="n"/>
      <c r="C476" s="244" t="n"/>
      <c r="K476" s="6" t="n"/>
    </row>
    <row r="477" ht="12" customHeight="1" s="227">
      <c r="A477" s="244" t="n"/>
      <c r="B477" s="244" t="n"/>
      <c r="C477" s="244" t="n"/>
      <c r="H477" s="4">
        <f>H465</f>
        <v/>
      </c>
      <c r="I477" s="27" t="inlineStr">
        <is>
          <t>%</t>
        </is>
      </c>
      <c r="K477" s="260" t="n">
        <v>0.05</v>
      </c>
    </row>
    <row r="478" ht="12" customHeight="1" s="227">
      <c r="A478" s="244" t="n"/>
      <c r="B478" s="244" t="n"/>
      <c r="C478" s="244" t="n"/>
      <c r="H478" s="4">
        <f>H466</f>
        <v/>
      </c>
      <c r="I478" s="27" t="inlineStr">
        <is>
          <t>%</t>
        </is>
      </c>
      <c r="K478" s="260" t="n">
        <v>0.05</v>
      </c>
    </row>
    <row r="479" ht="12" customHeight="1" s="227">
      <c r="A479" s="244" t="n"/>
      <c r="B479" s="244" t="n"/>
      <c r="C479" s="244" t="n"/>
      <c r="H479" s="4">
        <f>H467</f>
        <v/>
      </c>
      <c r="I479" s="27" t="inlineStr">
        <is>
          <t>%</t>
        </is>
      </c>
      <c r="K479" s="260" t="n">
        <v>0.05</v>
      </c>
    </row>
    <row r="480" ht="12" customHeight="1" s="227">
      <c r="A480" s="244" t="n"/>
      <c r="B480" s="244" t="n"/>
      <c r="C480" s="244" t="n"/>
      <c r="H480" s="4">
        <f>H468</f>
        <v/>
      </c>
      <c r="I480" s="27" t="inlineStr">
        <is>
          <t>%</t>
        </is>
      </c>
      <c r="K480" s="260" t="n">
        <v>0.05</v>
      </c>
    </row>
    <row r="481" ht="12" customHeight="1" s="227">
      <c r="A481" s="244" t="n"/>
      <c r="B481" s="244" t="n"/>
      <c r="C481" s="244" t="n"/>
      <c r="H481" s="4">
        <f>H469</f>
        <v/>
      </c>
      <c r="I481" s="27" t="inlineStr">
        <is>
          <t>%</t>
        </is>
      </c>
      <c r="K481" s="260" t="n">
        <v>0.05</v>
      </c>
    </row>
    <row r="482" ht="12" customHeight="1" s="227">
      <c r="A482" s="244" t="n"/>
      <c r="B482" s="244" t="n"/>
      <c r="C482" s="244" t="n"/>
      <c r="H482" s="4">
        <f>H470</f>
        <v/>
      </c>
      <c r="I482" s="27" t="inlineStr">
        <is>
          <t>%</t>
        </is>
      </c>
      <c r="K482" s="260" t="n">
        <v>0.05</v>
      </c>
    </row>
    <row r="483" ht="12" customHeight="1" s="227">
      <c r="A483" s="244" t="n"/>
      <c r="B483" s="244" t="n"/>
      <c r="C483" s="244" t="n"/>
      <c r="H483" s="4">
        <f>H471</f>
        <v/>
      </c>
      <c r="I483" s="27" t="inlineStr">
        <is>
          <t>%</t>
        </is>
      </c>
      <c r="K483" s="260" t="n"/>
    </row>
    <row r="484" ht="12" customHeight="1" s="227">
      <c r="A484" s="244" t="n"/>
      <c r="B484" s="244" t="n"/>
      <c r="C484" s="244" t="n"/>
      <c r="H484" s="4">
        <f>H472</f>
        <v/>
      </c>
      <c r="I484" s="27" t="inlineStr">
        <is>
          <t>%</t>
        </is>
      </c>
      <c r="K484" s="260" t="n"/>
    </row>
    <row r="485" ht="12" customHeight="1" s="227">
      <c r="A485" s="244" t="n"/>
      <c r="B485" s="244" t="n"/>
      <c r="C485" s="244" t="n"/>
      <c r="K485" s="6" t="n"/>
    </row>
    <row r="486" ht="12" customHeight="1" s="227">
      <c r="A486" s="244" t="n"/>
      <c r="B486" s="244" t="n"/>
      <c r="C486" s="244" t="n"/>
      <c r="K486" s="6" t="n"/>
    </row>
    <row r="487" ht="12" customHeight="1" s="227">
      <c r="A487" s="244" t="n"/>
      <c r="B487" s="244" t="n"/>
      <c r="C487" s="244" t="n"/>
      <c r="G487" s="222" t="inlineStr">
        <is>
          <t>Average Annual Bonus</t>
        </is>
      </c>
      <c r="K487" s="6" t="n"/>
    </row>
    <row r="488" ht="12" customHeight="1" s="227">
      <c r="A488" s="244" t="n"/>
      <c r="B488" s="244" t="n"/>
      <c r="C488" s="244" t="n"/>
      <c r="K488" s="6" t="n"/>
    </row>
    <row r="489" ht="12" customHeight="1" s="227">
      <c r="A489" s="244" t="n"/>
      <c r="B489" s="244" t="n"/>
      <c r="C489" s="244" t="n"/>
      <c r="H489" s="4">
        <f>H477</f>
        <v/>
      </c>
      <c r="I489" s="27" t="inlineStr">
        <is>
          <t>%</t>
        </is>
      </c>
      <c r="K489" s="6" t="n"/>
      <c r="M489" s="193" t="n">
        <v>0.1</v>
      </c>
      <c r="N489" s="193" t="n">
        <v>0.1</v>
      </c>
      <c r="O489" s="193" t="n">
        <v>0.1</v>
      </c>
      <c r="P489" s="193" t="n">
        <v>0.1</v>
      </c>
      <c r="Q489" s="193" t="n">
        <v>0.1</v>
      </c>
    </row>
    <row r="490" ht="12" customHeight="1" s="227">
      <c r="A490" s="244" t="n"/>
      <c r="B490" s="244" t="n"/>
      <c r="C490" s="244" t="n"/>
      <c r="H490" s="4">
        <f>H478</f>
        <v/>
      </c>
      <c r="I490" s="27" t="inlineStr">
        <is>
          <t>%</t>
        </is>
      </c>
      <c r="K490" s="6" t="n"/>
      <c r="M490" s="193" t="n">
        <v>0.1</v>
      </c>
      <c r="N490" s="193" t="n">
        <v>0.1</v>
      </c>
      <c r="O490" s="193" t="n">
        <v>0.1</v>
      </c>
      <c r="P490" s="193" t="n">
        <v>0.1</v>
      </c>
      <c r="Q490" s="193" t="n">
        <v>0.1</v>
      </c>
    </row>
    <row r="491" ht="12" customHeight="1" s="227">
      <c r="A491" s="244" t="n"/>
      <c r="B491" s="244" t="n"/>
      <c r="C491" s="244" t="n"/>
      <c r="H491" s="4">
        <f>H479</f>
        <v/>
      </c>
      <c r="I491" s="27" t="inlineStr">
        <is>
          <t>%</t>
        </is>
      </c>
      <c r="K491" s="6" t="n"/>
      <c r="M491" s="193" t="n"/>
      <c r="N491" s="193" t="n"/>
      <c r="O491" s="193" t="n"/>
      <c r="P491" s="193" t="n"/>
      <c r="Q491" s="193" t="n"/>
    </row>
    <row r="492" ht="12" customHeight="1" s="227">
      <c r="A492" s="244" t="n"/>
      <c r="B492" s="244" t="n"/>
      <c r="C492" s="244" t="n"/>
      <c r="H492" s="4">
        <f>H480</f>
        <v/>
      </c>
      <c r="I492" s="27" t="inlineStr">
        <is>
          <t>%</t>
        </is>
      </c>
      <c r="K492" s="6" t="n"/>
      <c r="M492" s="193" t="n"/>
      <c r="N492" s="193" t="n"/>
      <c r="O492" s="193" t="n"/>
      <c r="P492" s="193" t="n"/>
      <c r="Q492" s="193" t="n"/>
    </row>
    <row r="493" ht="12" customHeight="1" s="227">
      <c r="A493" s="244" t="n"/>
      <c r="B493" s="244" t="n"/>
      <c r="C493" s="244" t="n"/>
      <c r="H493" s="4">
        <f>H481</f>
        <v/>
      </c>
      <c r="I493" s="27" t="inlineStr">
        <is>
          <t>%</t>
        </is>
      </c>
      <c r="K493" s="6" t="n"/>
      <c r="M493" s="193" t="n"/>
      <c r="N493" s="193" t="n"/>
      <c r="O493" s="193" t="n"/>
      <c r="P493" s="193" t="n"/>
      <c r="Q493" s="193" t="n"/>
    </row>
    <row r="494" ht="12" customHeight="1" s="227">
      <c r="A494" s="244" t="n"/>
      <c r="B494" s="244" t="n"/>
      <c r="C494" s="244" t="n"/>
      <c r="H494" s="4">
        <f>H482</f>
        <v/>
      </c>
      <c r="I494" s="27" t="inlineStr">
        <is>
          <t>%</t>
        </is>
      </c>
      <c r="K494" s="6" t="n"/>
      <c r="M494" s="193" t="n"/>
      <c r="N494" s="193" t="n"/>
      <c r="O494" s="193" t="n"/>
      <c r="P494" s="193" t="n"/>
      <c r="Q494" s="193" t="n"/>
    </row>
    <row r="495" ht="12" customHeight="1" s="227">
      <c r="A495" s="244" t="n"/>
      <c r="B495" s="244" t="n"/>
      <c r="C495" s="244" t="n"/>
      <c r="H495" s="4">
        <f>H483</f>
        <v/>
      </c>
      <c r="I495" s="27" t="inlineStr">
        <is>
          <t>%</t>
        </is>
      </c>
      <c r="K495" s="6" t="n"/>
      <c r="M495" s="193" t="n"/>
      <c r="N495" s="193" t="n"/>
      <c r="O495" s="193" t="n"/>
      <c r="P495" s="193" t="n"/>
      <c r="Q495" s="193" t="n"/>
    </row>
    <row r="496" ht="12" customHeight="1" s="227">
      <c r="A496" s="244" t="n"/>
      <c r="B496" s="244" t="n"/>
      <c r="C496" s="244" t="n"/>
      <c r="H496" s="4">
        <f>H484</f>
        <v/>
      </c>
      <c r="I496" s="27" t="inlineStr">
        <is>
          <t>%</t>
        </is>
      </c>
      <c r="K496" s="6" t="n"/>
      <c r="M496" s="193" t="n"/>
      <c r="N496" s="193" t="n"/>
      <c r="O496" s="193" t="n"/>
      <c r="P496" s="193" t="n"/>
      <c r="Q496" s="193" t="n"/>
    </row>
    <row r="497" ht="12" customHeight="1" s="227">
      <c r="A497" s="244" t="n"/>
      <c r="B497" s="244" t="n"/>
      <c r="C497" s="244" t="n"/>
      <c r="K497" s="6" t="n"/>
    </row>
    <row r="498" ht="12" customHeight="1" s="227">
      <c r="A498" s="244" t="n"/>
      <c r="B498" s="244" t="n"/>
      <c r="C498" s="244" t="n"/>
      <c r="K498" s="6" t="n"/>
    </row>
    <row r="499" ht="12" customHeight="1" s="227">
      <c r="A499" s="244" t="n"/>
      <c r="B499" s="244" t="n"/>
      <c r="C499" s="244" t="n"/>
      <c r="G499" s="222" t="inlineStr">
        <is>
          <t>Bonus Payment month</t>
        </is>
      </c>
      <c r="K499" s="6" t="n"/>
      <c r="T499" s="57" t="inlineStr">
        <is>
          <t>Jan</t>
        </is>
      </c>
      <c r="U499" s="57" t="inlineStr">
        <is>
          <t>Feb</t>
        </is>
      </c>
      <c r="V499" s="57" t="inlineStr">
        <is>
          <t>Mar</t>
        </is>
      </c>
      <c r="W499" s="57" t="inlineStr">
        <is>
          <t>Apr</t>
        </is>
      </c>
      <c r="X499" s="57" t="inlineStr">
        <is>
          <t>May</t>
        </is>
      </c>
      <c r="Y499" s="57" t="inlineStr">
        <is>
          <t>Jun</t>
        </is>
      </c>
      <c r="Z499" s="57" t="inlineStr">
        <is>
          <t>Jul</t>
        </is>
      </c>
      <c r="AA499" s="57" t="inlineStr">
        <is>
          <t>Aug</t>
        </is>
      </c>
      <c r="AB499" s="57" t="inlineStr">
        <is>
          <t>Sep</t>
        </is>
      </c>
      <c r="AC499" s="57" t="inlineStr">
        <is>
          <t>Oct</t>
        </is>
      </c>
      <c r="AD499" s="57" t="inlineStr">
        <is>
          <t>Nov</t>
        </is>
      </c>
      <c r="AE499" s="57" t="inlineStr">
        <is>
          <t>Dec</t>
        </is>
      </c>
    </row>
    <row r="500" ht="12" customHeight="1" s="227">
      <c r="A500" s="244" t="n"/>
      <c r="B500" s="244" t="n"/>
      <c r="C500" s="244" t="n"/>
      <c r="K500" s="6" t="n"/>
      <c r="T500" s="4" t="n">
        <v>1</v>
      </c>
      <c r="U500" s="4" t="n">
        <v>2</v>
      </c>
      <c r="V500" s="4" t="n">
        <v>3</v>
      </c>
      <c r="W500" s="4" t="n">
        <v>4</v>
      </c>
      <c r="X500" s="4" t="n">
        <v>5</v>
      </c>
      <c r="Y500" s="4" t="n">
        <v>6</v>
      </c>
      <c r="Z500" s="4" t="n">
        <v>7</v>
      </c>
      <c r="AA500" s="4" t="n">
        <v>8</v>
      </c>
      <c r="AB500" s="4" t="n">
        <v>9</v>
      </c>
      <c r="AC500" s="4" t="n">
        <v>10</v>
      </c>
      <c r="AD500" s="4" t="n">
        <v>11</v>
      </c>
      <c r="AE500" s="4" t="n">
        <v>12</v>
      </c>
    </row>
    <row r="501" ht="12" customHeight="1" s="227">
      <c r="A501" s="244" t="n"/>
      <c r="B501" s="244" t="n"/>
      <c r="C501" s="244" t="n"/>
      <c r="H501" s="4" t="inlineStr">
        <is>
          <t>Bonus Payment month Flag</t>
        </is>
      </c>
      <c r="I501" s="27" t="inlineStr">
        <is>
          <t>no.</t>
        </is>
      </c>
      <c r="K501" s="6" t="n"/>
      <c r="T501" s="230" t="n"/>
      <c r="U501" s="230" t="n"/>
      <c r="V501" s="230" t="n"/>
      <c r="W501" s="230" t="n">
        <v>1</v>
      </c>
      <c r="X501" s="230" t="n"/>
      <c r="Y501" s="230" t="n"/>
      <c r="Z501" s="230" t="n"/>
      <c r="AA501" s="230" t="n"/>
      <c r="AB501" s="230" t="n"/>
      <c r="AC501" s="230" t="n"/>
      <c r="AD501" s="230" t="n"/>
      <c r="AE501" s="230" t="n"/>
    </row>
    <row r="502" ht="12" customHeight="1" s="227">
      <c r="A502" s="244" t="n"/>
      <c r="B502" s="244" t="n"/>
      <c r="C502" s="244" t="n"/>
      <c r="K502" s="6" t="n"/>
    </row>
    <row r="503" ht="12" customHeight="1" s="227">
      <c r="A503" s="244" t="n"/>
      <c r="B503" s="244" t="n"/>
      <c r="C503" s="244" t="n"/>
    </row>
    <row r="504" ht="12" customHeight="1" s="227">
      <c r="A504" s="244" t="n"/>
      <c r="B504" s="244" t="n"/>
      <c r="C504" s="244" t="n"/>
    </row>
    <row r="505" ht="13.5" customFormat="1" customHeight="1" s="223" thickBot="1">
      <c r="E505" s="223">
        <f>Heading2</f>
        <v/>
      </c>
      <c r="F505" s="223" t="inlineStr">
        <is>
          <t>Non-Direct Staff Costs</t>
        </is>
      </c>
      <c r="K505" s="135" t="n"/>
    </row>
    <row r="506" ht="12" customHeight="1" s="227">
      <c r="A506" s="244" t="n"/>
      <c r="B506" s="244" t="n"/>
      <c r="C506" s="244" t="n"/>
      <c r="K506" s="6" t="n"/>
    </row>
    <row r="507" ht="12" customHeight="1" s="227">
      <c r="A507" s="244" t="n"/>
      <c r="B507" s="244" t="n"/>
      <c r="C507" s="244" t="n"/>
      <c r="G507" s="222" t="inlineStr">
        <is>
          <t>Non-Direct Staff Numbers</t>
        </is>
      </c>
    </row>
    <row r="508" ht="12" customHeight="1" s="227">
      <c r="A508" s="244" t="n"/>
      <c r="B508" s="244" t="n"/>
      <c r="C508" s="244" t="n"/>
    </row>
    <row r="509" ht="12" customHeight="1" s="227">
      <c r="A509" s="244" t="n"/>
      <c r="B509" s="244" t="n"/>
      <c r="C509" s="244" t="n"/>
      <c r="H509" s="4">
        <f>i_Setup!U55</f>
        <v/>
      </c>
      <c r="I509" s="27" t="inlineStr">
        <is>
          <t>no</t>
        </is>
      </c>
      <c r="M509" s="245">
        <f>SUMIF($T$2:$CA$2,M$2,$T509:$CA509)</f>
        <v/>
      </c>
      <c r="N509" s="245">
        <f>SUMIF($T$2:$CA$2,N$2,$T509:$CA509)</f>
        <v/>
      </c>
      <c r="O509" s="245">
        <f>SUMIF($T$2:$CA$2,O$2,$T509:$CA509)</f>
        <v/>
      </c>
      <c r="P509" s="245">
        <f>SUMIF($T$2:$CA$2,P$2,$T509:$CA509)</f>
        <v/>
      </c>
      <c r="Q509" s="245">
        <f>SUMIF($T$2:$CA$2,Q$2,$T509:$CA509)</f>
        <v/>
      </c>
      <c r="T509" s="256" t="n"/>
      <c r="U509" s="256" t="n"/>
      <c r="V509" s="256" t="n"/>
      <c r="W509" s="256" t="n"/>
      <c r="X509" s="256" t="n"/>
      <c r="Y509" s="256" t="n">
        <v>3</v>
      </c>
      <c r="Z509" s="256" t="n">
        <v>3</v>
      </c>
      <c r="AA509" s="256" t="n">
        <v>3</v>
      </c>
      <c r="AB509" s="256" t="n">
        <v>3</v>
      </c>
      <c r="AC509" s="256" t="n">
        <v>3</v>
      </c>
      <c r="AD509" s="256" t="n">
        <v>3</v>
      </c>
      <c r="AE509" s="256" t="n">
        <v>3</v>
      </c>
      <c r="AF509" s="256" t="n">
        <v>3</v>
      </c>
      <c r="AG509" s="256" t="n">
        <v>3</v>
      </c>
      <c r="AH509" s="256" t="n">
        <v>3</v>
      </c>
      <c r="AI509" s="256" t="n">
        <v>3</v>
      </c>
      <c r="AJ509" s="256" t="n">
        <v>3</v>
      </c>
      <c r="AK509" s="256" t="n">
        <v>3</v>
      </c>
      <c r="AL509" s="256" t="n">
        <v>3</v>
      </c>
      <c r="AM509" s="256" t="n">
        <v>3</v>
      </c>
      <c r="AN509" s="256" t="n">
        <v>3</v>
      </c>
      <c r="AO509" s="256" t="n">
        <v>3</v>
      </c>
      <c r="AP509" s="256" t="n">
        <v>3</v>
      </c>
      <c r="AQ509" s="256" t="n">
        <v>3</v>
      </c>
      <c r="AR509" s="256" t="n">
        <v>3</v>
      </c>
      <c r="AS509" s="256" t="n">
        <v>3</v>
      </c>
      <c r="AT509" s="256" t="n">
        <v>3</v>
      </c>
      <c r="AU509" s="256" t="n">
        <v>3</v>
      </c>
      <c r="AV509" s="256" t="n">
        <v>3</v>
      </c>
      <c r="AW509" s="256" t="n">
        <v>3</v>
      </c>
      <c r="AX509" s="256" t="n">
        <v>3</v>
      </c>
      <c r="AY509" s="256" t="n">
        <v>3</v>
      </c>
      <c r="AZ509" s="256" t="n">
        <v>3</v>
      </c>
      <c r="BA509" s="256" t="n">
        <v>3</v>
      </c>
      <c r="BB509" s="256" t="n">
        <v>3</v>
      </c>
      <c r="BC509" s="256" t="n">
        <v>3</v>
      </c>
      <c r="BD509" s="256" t="n">
        <v>3</v>
      </c>
      <c r="BE509" s="256" t="n">
        <v>3</v>
      </c>
      <c r="BF509" s="256" t="n">
        <v>3</v>
      </c>
      <c r="BG509" s="256" t="n">
        <v>3</v>
      </c>
      <c r="BH509" s="256" t="n">
        <v>3</v>
      </c>
      <c r="BI509" s="256" t="n">
        <v>3</v>
      </c>
      <c r="BJ509" s="256" t="n">
        <v>3</v>
      </c>
      <c r="BK509" s="256" t="n">
        <v>3</v>
      </c>
      <c r="BL509" s="256" t="n">
        <v>3</v>
      </c>
      <c r="BM509" s="256" t="n">
        <v>3</v>
      </c>
      <c r="BN509" s="256" t="n">
        <v>3</v>
      </c>
      <c r="BO509" s="256" t="n">
        <v>3</v>
      </c>
      <c r="BP509" s="256" t="n">
        <v>3</v>
      </c>
      <c r="BQ509" s="256" t="n">
        <v>3</v>
      </c>
      <c r="BR509" s="256" t="n">
        <v>3</v>
      </c>
      <c r="BS509" s="256" t="n">
        <v>3</v>
      </c>
      <c r="BT509" s="256" t="n">
        <v>3</v>
      </c>
      <c r="BU509" s="256" t="n">
        <v>3</v>
      </c>
      <c r="BV509" s="256" t="n">
        <v>3</v>
      </c>
      <c r="BW509" s="256" t="n">
        <v>3</v>
      </c>
      <c r="BX509" s="256" t="n">
        <v>3</v>
      </c>
      <c r="BY509" s="256" t="n">
        <v>3</v>
      </c>
      <c r="BZ509" s="256" t="n">
        <v>3</v>
      </c>
      <c r="CA509" s="256" t="n">
        <v>3</v>
      </c>
    </row>
    <row r="510" ht="12" customHeight="1" s="227">
      <c r="A510" s="244" t="n"/>
      <c r="B510" s="244" t="n"/>
      <c r="C510" s="244" t="n"/>
      <c r="H510" s="4">
        <f>i_Setup!U56</f>
        <v/>
      </c>
      <c r="I510" s="27" t="inlineStr">
        <is>
          <t>no</t>
        </is>
      </c>
      <c r="M510" s="245">
        <f>SUMIF($T$2:$CA$2,M$2,$T510:$CA510)</f>
        <v/>
      </c>
      <c r="N510" s="245">
        <f>SUMIF($T$2:$CA$2,N$2,$T510:$CA510)</f>
        <v/>
      </c>
      <c r="O510" s="245">
        <f>SUMIF($T$2:$CA$2,O$2,$T510:$CA510)</f>
        <v/>
      </c>
      <c r="P510" s="245">
        <f>SUMIF($T$2:$CA$2,P$2,$T510:$CA510)</f>
        <v/>
      </c>
      <c r="Q510" s="245">
        <f>SUMIF($T$2:$CA$2,Q$2,$T510:$CA510)</f>
        <v/>
      </c>
      <c r="T510" s="256" t="n"/>
      <c r="U510" s="256" t="n"/>
      <c r="V510" s="256" t="n"/>
      <c r="W510" s="256" t="n"/>
      <c r="X510" s="256" t="n"/>
      <c r="Y510" s="256" t="n">
        <v>5</v>
      </c>
      <c r="Z510" s="256" t="n">
        <v>5</v>
      </c>
      <c r="AA510" s="256" t="n">
        <v>5</v>
      </c>
      <c r="AB510" s="256" t="n">
        <v>5</v>
      </c>
      <c r="AC510" s="256" t="n">
        <v>5</v>
      </c>
      <c r="AD510" s="256" t="n">
        <v>5</v>
      </c>
      <c r="AE510" s="256" t="n">
        <v>5</v>
      </c>
      <c r="AF510" s="256" t="n">
        <v>5</v>
      </c>
      <c r="AG510" s="256" t="n">
        <v>5</v>
      </c>
      <c r="AH510" s="256" t="n">
        <v>5</v>
      </c>
      <c r="AI510" s="256" t="n">
        <v>5</v>
      </c>
      <c r="AJ510" s="256" t="n">
        <v>5</v>
      </c>
      <c r="AK510" s="256" t="n">
        <v>5</v>
      </c>
      <c r="AL510" s="256" t="n">
        <v>5</v>
      </c>
      <c r="AM510" s="256" t="n">
        <v>5</v>
      </c>
      <c r="AN510" s="256" t="n">
        <v>5</v>
      </c>
      <c r="AO510" s="256" t="n">
        <v>5</v>
      </c>
      <c r="AP510" s="256" t="n">
        <v>5</v>
      </c>
      <c r="AQ510" s="256" t="n">
        <v>5</v>
      </c>
      <c r="AR510" s="256" t="n">
        <v>5</v>
      </c>
      <c r="AS510" s="256" t="n">
        <v>5</v>
      </c>
      <c r="AT510" s="256" t="n">
        <v>5</v>
      </c>
      <c r="AU510" s="256" t="n">
        <v>5</v>
      </c>
      <c r="AV510" s="256" t="n">
        <v>5</v>
      </c>
      <c r="AW510" s="256" t="n">
        <v>5</v>
      </c>
      <c r="AX510" s="256" t="n">
        <v>5</v>
      </c>
      <c r="AY510" s="256" t="n">
        <v>5</v>
      </c>
      <c r="AZ510" s="256" t="n">
        <v>5</v>
      </c>
      <c r="BA510" s="256" t="n">
        <v>5</v>
      </c>
      <c r="BB510" s="256" t="n">
        <v>5</v>
      </c>
      <c r="BC510" s="256" t="n">
        <v>5</v>
      </c>
      <c r="BD510" s="256" t="n">
        <v>5</v>
      </c>
      <c r="BE510" s="256" t="n">
        <v>5</v>
      </c>
      <c r="BF510" s="256" t="n">
        <v>5</v>
      </c>
      <c r="BG510" s="256" t="n">
        <v>5</v>
      </c>
      <c r="BH510" s="256" t="n">
        <v>5</v>
      </c>
      <c r="BI510" s="256" t="n">
        <v>5</v>
      </c>
      <c r="BJ510" s="256" t="n">
        <v>5</v>
      </c>
      <c r="BK510" s="256" t="n">
        <v>5</v>
      </c>
      <c r="BL510" s="256" t="n">
        <v>5</v>
      </c>
      <c r="BM510" s="256" t="n">
        <v>5</v>
      </c>
      <c r="BN510" s="256" t="n">
        <v>5</v>
      </c>
      <c r="BO510" s="256" t="n">
        <v>5</v>
      </c>
      <c r="BP510" s="256" t="n">
        <v>5</v>
      </c>
      <c r="BQ510" s="256" t="n">
        <v>5</v>
      </c>
      <c r="BR510" s="256" t="n">
        <v>5</v>
      </c>
      <c r="BS510" s="256" t="n">
        <v>5</v>
      </c>
      <c r="BT510" s="256" t="n">
        <v>5</v>
      </c>
      <c r="BU510" s="256" t="n">
        <v>5</v>
      </c>
      <c r="BV510" s="256" t="n">
        <v>5</v>
      </c>
      <c r="BW510" s="256" t="n">
        <v>5</v>
      </c>
      <c r="BX510" s="256" t="n">
        <v>5</v>
      </c>
      <c r="BY510" s="256" t="n">
        <v>5</v>
      </c>
      <c r="BZ510" s="256" t="n">
        <v>5</v>
      </c>
      <c r="CA510" s="256" t="n">
        <v>5</v>
      </c>
    </row>
    <row r="511" ht="12" customHeight="1" s="227">
      <c r="A511" s="244" t="n"/>
      <c r="B511" s="244" t="n"/>
      <c r="C511" s="244" t="n"/>
      <c r="H511" s="4">
        <f>i_Setup!U57</f>
        <v/>
      </c>
      <c r="I511" s="27" t="inlineStr">
        <is>
          <t>no</t>
        </is>
      </c>
      <c r="M511" s="245">
        <f>SUMIF($T$2:$CA$2,M$2,$T511:$CA511)</f>
        <v/>
      </c>
      <c r="N511" s="245">
        <f>SUMIF($T$2:$CA$2,N$2,$T511:$CA511)</f>
        <v/>
      </c>
      <c r="O511" s="245">
        <f>SUMIF($T$2:$CA$2,O$2,$T511:$CA511)</f>
        <v/>
      </c>
      <c r="P511" s="245">
        <f>SUMIF($T$2:$CA$2,P$2,$T511:$CA511)</f>
        <v/>
      </c>
      <c r="Q511" s="245">
        <f>SUMIF($T$2:$CA$2,Q$2,$T511:$CA511)</f>
        <v/>
      </c>
      <c r="T511" s="256" t="n"/>
      <c r="U511" s="256" t="n"/>
      <c r="V511" s="256" t="n"/>
      <c r="W511" s="256" t="n"/>
      <c r="X511" s="256" t="n"/>
      <c r="Y511" s="256" t="n">
        <v>6</v>
      </c>
      <c r="Z511" s="256" t="n">
        <v>6</v>
      </c>
      <c r="AA511" s="256" t="n">
        <v>6</v>
      </c>
      <c r="AB511" s="256" t="n">
        <v>6</v>
      </c>
      <c r="AC511" s="256" t="n">
        <v>6</v>
      </c>
      <c r="AD511" s="256" t="n">
        <v>6</v>
      </c>
      <c r="AE511" s="256" t="n">
        <v>6</v>
      </c>
      <c r="AF511" s="256" t="n">
        <v>6</v>
      </c>
      <c r="AG511" s="256" t="n">
        <v>6</v>
      </c>
      <c r="AH511" s="256" t="n">
        <v>6</v>
      </c>
      <c r="AI511" s="256" t="n">
        <v>6</v>
      </c>
      <c r="AJ511" s="256" t="n">
        <v>6</v>
      </c>
      <c r="AK511" s="256" t="n">
        <v>6</v>
      </c>
      <c r="AL511" s="256" t="n">
        <v>6</v>
      </c>
      <c r="AM511" s="256" t="n">
        <v>6</v>
      </c>
      <c r="AN511" s="256" t="n">
        <v>6</v>
      </c>
      <c r="AO511" s="256" t="n">
        <v>6</v>
      </c>
      <c r="AP511" s="256" t="n">
        <v>6</v>
      </c>
      <c r="AQ511" s="256" t="n">
        <v>6</v>
      </c>
      <c r="AR511" s="256" t="n">
        <v>6</v>
      </c>
      <c r="AS511" s="256" t="n">
        <v>6</v>
      </c>
      <c r="AT511" s="256" t="n">
        <v>6</v>
      </c>
      <c r="AU511" s="256" t="n">
        <v>6</v>
      </c>
      <c r="AV511" s="256" t="n">
        <v>6</v>
      </c>
      <c r="AW511" s="256" t="n">
        <v>6</v>
      </c>
      <c r="AX511" s="256" t="n">
        <v>6</v>
      </c>
      <c r="AY511" s="256" t="n">
        <v>6</v>
      </c>
      <c r="AZ511" s="256" t="n">
        <v>6</v>
      </c>
      <c r="BA511" s="256" t="n">
        <v>6</v>
      </c>
      <c r="BB511" s="256" t="n">
        <v>6</v>
      </c>
      <c r="BC511" s="256" t="n">
        <v>6</v>
      </c>
      <c r="BD511" s="256" t="n">
        <v>6</v>
      </c>
      <c r="BE511" s="256" t="n">
        <v>6</v>
      </c>
      <c r="BF511" s="256" t="n">
        <v>6</v>
      </c>
      <c r="BG511" s="256" t="n">
        <v>6</v>
      </c>
      <c r="BH511" s="256" t="n">
        <v>6</v>
      </c>
      <c r="BI511" s="256" t="n">
        <v>6</v>
      </c>
      <c r="BJ511" s="256" t="n">
        <v>6</v>
      </c>
      <c r="BK511" s="256" t="n">
        <v>6</v>
      </c>
      <c r="BL511" s="256" t="n">
        <v>6</v>
      </c>
      <c r="BM511" s="256" t="n">
        <v>6</v>
      </c>
      <c r="BN511" s="256" t="n">
        <v>6</v>
      </c>
      <c r="BO511" s="256" t="n">
        <v>6</v>
      </c>
      <c r="BP511" s="256" t="n">
        <v>6</v>
      </c>
      <c r="BQ511" s="256" t="n">
        <v>6</v>
      </c>
      <c r="BR511" s="256" t="n">
        <v>6</v>
      </c>
      <c r="BS511" s="256" t="n">
        <v>6</v>
      </c>
      <c r="BT511" s="256" t="n">
        <v>6</v>
      </c>
      <c r="BU511" s="256" t="n">
        <v>6</v>
      </c>
      <c r="BV511" s="256" t="n">
        <v>6</v>
      </c>
      <c r="BW511" s="256" t="n">
        <v>6</v>
      </c>
      <c r="BX511" s="256" t="n">
        <v>6</v>
      </c>
      <c r="BY511" s="256" t="n">
        <v>6</v>
      </c>
      <c r="BZ511" s="256" t="n">
        <v>6</v>
      </c>
      <c r="CA511" s="256" t="n">
        <v>6</v>
      </c>
    </row>
    <row r="512" ht="12" customHeight="1" s="227">
      <c r="A512" s="244" t="n"/>
      <c r="B512" s="244" t="n"/>
      <c r="C512" s="244" t="n"/>
      <c r="H512" s="4">
        <f>i_Setup!U58</f>
        <v/>
      </c>
      <c r="I512" s="27" t="inlineStr">
        <is>
          <t>no</t>
        </is>
      </c>
      <c r="M512" s="245">
        <f>SUMIF($T$2:$CA$2,M$2,$T512:$CA512)</f>
        <v/>
      </c>
      <c r="N512" s="245">
        <f>SUMIF($T$2:$CA$2,N$2,$T512:$CA512)</f>
        <v/>
      </c>
      <c r="O512" s="245">
        <f>SUMIF($T$2:$CA$2,O$2,$T512:$CA512)</f>
        <v/>
      </c>
      <c r="P512" s="245">
        <f>SUMIF($T$2:$CA$2,P$2,$T512:$CA512)</f>
        <v/>
      </c>
      <c r="Q512" s="245">
        <f>SUMIF($T$2:$CA$2,Q$2,$T512:$CA512)</f>
        <v/>
      </c>
      <c r="T512" s="256" t="n"/>
      <c r="U512" s="256" t="n"/>
      <c r="V512" s="256" t="n"/>
      <c r="W512" s="256" t="n"/>
      <c r="X512" s="256" t="n"/>
      <c r="Y512" s="256" t="n"/>
      <c r="Z512" s="256" t="n"/>
      <c r="AA512" s="256" t="n"/>
      <c r="AB512" s="256" t="n"/>
      <c r="AC512" s="256" t="n"/>
      <c r="AD512" s="256" t="n"/>
      <c r="AE512" s="256" t="n"/>
      <c r="AF512" s="256" t="n"/>
      <c r="AG512" s="256" t="n"/>
      <c r="AH512" s="256" t="n"/>
      <c r="AI512" s="256" t="n"/>
      <c r="AJ512" s="256" t="n"/>
      <c r="AK512" s="256" t="n"/>
      <c r="AL512" s="256" t="n"/>
      <c r="AM512" s="256" t="n"/>
      <c r="AN512" s="256" t="n"/>
      <c r="AO512" s="256" t="n"/>
      <c r="AP512" s="256" t="n"/>
      <c r="AQ512" s="256" t="n"/>
      <c r="AR512" s="256" t="n"/>
      <c r="AS512" s="256" t="n"/>
      <c r="AT512" s="256" t="n"/>
      <c r="AU512" s="256" t="n"/>
      <c r="AV512" s="256" t="n"/>
      <c r="AW512" s="256" t="n"/>
      <c r="AX512" s="256" t="n"/>
      <c r="AY512" s="256" t="n"/>
      <c r="AZ512" s="256" t="n"/>
      <c r="BA512" s="256" t="n"/>
      <c r="BB512" s="256" t="n"/>
      <c r="BC512" s="256" t="n"/>
      <c r="BD512" s="256" t="n"/>
      <c r="BE512" s="256" t="n"/>
      <c r="BF512" s="256" t="n"/>
      <c r="BG512" s="256" t="n"/>
      <c r="BH512" s="256" t="n"/>
      <c r="BI512" s="256" t="n"/>
      <c r="BJ512" s="256" t="n"/>
      <c r="BK512" s="256" t="n"/>
      <c r="BL512" s="256" t="n"/>
      <c r="BM512" s="256" t="n"/>
      <c r="BN512" s="256" t="n"/>
      <c r="BO512" s="256" t="n"/>
      <c r="BP512" s="256" t="n"/>
      <c r="BQ512" s="256" t="n"/>
      <c r="BR512" s="256" t="n"/>
      <c r="BS512" s="256" t="n"/>
      <c r="BT512" s="256" t="n"/>
      <c r="BU512" s="256" t="n"/>
      <c r="BV512" s="256" t="n"/>
      <c r="BW512" s="256" t="n"/>
      <c r="BX512" s="256" t="n"/>
      <c r="BY512" s="256" t="n"/>
      <c r="BZ512" s="256" t="n"/>
      <c r="CA512" s="256" t="n"/>
    </row>
    <row r="513" ht="12" customHeight="1" s="227">
      <c r="A513" s="244" t="n"/>
      <c r="B513" s="244" t="n"/>
      <c r="C513" s="244" t="n"/>
      <c r="H513" s="4">
        <f>i_Setup!U59</f>
        <v/>
      </c>
      <c r="I513" s="27" t="inlineStr">
        <is>
          <t>no</t>
        </is>
      </c>
      <c r="M513" s="245">
        <f>SUMIF($T$2:$CA$2,M$2,$T513:$CA513)</f>
        <v/>
      </c>
      <c r="N513" s="245">
        <f>SUMIF($T$2:$CA$2,N$2,$T513:$CA513)</f>
        <v/>
      </c>
      <c r="O513" s="245">
        <f>SUMIF($T$2:$CA$2,O$2,$T513:$CA513)</f>
        <v/>
      </c>
      <c r="P513" s="245">
        <f>SUMIF($T$2:$CA$2,P$2,$T513:$CA513)</f>
        <v/>
      </c>
      <c r="Q513" s="245">
        <f>SUMIF($T$2:$CA$2,Q$2,$T513:$CA513)</f>
        <v/>
      </c>
      <c r="T513" s="256" t="n"/>
      <c r="U513" s="256" t="n"/>
      <c r="V513" s="256" t="n"/>
      <c r="W513" s="256" t="n"/>
      <c r="X513" s="256" t="n"/>
      <c r="Y513" s="256" t="n"/>
      <c r="Z513" s="256" t="n"/>
      <c r="AA513" s="256" t="n"/>
      <c r="AB513" s="256" t="n"/>
      <c r="AC513" s="256" t="n"/>
      <c r="AD513" s="256" t="n"/>
      <c r="AE513" s="256" t="n"/>
      <c r="AF513" s="256" t="n"/>
      <c r="AG513" s="256" t="n"/>
      <c r="AH513" s="256" t="n"/>
      <c r="AI513" s="256" t="n"/>
      <c r="AJ513" s="256" t="n"/>
      <c r="AK513" s="256" t="n"/>
      <c r="AL513" s="256" t="n"/>
      <c r="AM513" s="256" t="n"/>
      <c r="AN513" s="256" t="n"/>
      <c r="AO513" s="256" t="n"/>
      <c r="AP513" s="256" t="n"/>
      <c r="AQ513" s="256" t="n"/>
      <c r="AR513" s="256" t="n"/>
      <c r="AS513" s="256" t="n"/>
      <c r="AT513" s="256" t="n"/>
      <c r="AU513" s="256" t="n"/>
      <c r="AV513" s="256" t="n"/>
      <c r="AW513" s="256" t="n"/>
      <c r="AX513" s="256" t="n"/>
      <c r="AY513" s="256" t="n"/>
      <c r="AZ513" s="256" t="n"/>
      <c r="BA513" s="256" t="n"/>
      <c r="BB513" s="256" t="n"/>
      <c r="BC513" s="256" t="n"/>
      <c r="BD513" s="256" t="n"/>
      <c r="BE513" s="256" t="n"/>
      <c r="BF513" s="256" t="n"/>
      <c r="BG513" s="256" t="n"/>
      <c r="BH513" s="256" t="n"/>
      <c r="BI513" s="256" t="n"/>
      <c r="BJ513" s="256" t="n"/>
      <c r="BK513" s="256" t="n"/>
      <c r="BL513" s="256" t="n"/>
      <c r="BM513" s="256" t="n"/>
      <c r="BN513" s="256" t="n"/>
      <c r="BO513" s="256" t="n"/>
      <c r="BP513" s="256" t="n"/>
      <c r="BQ513" s="256" t="n"/>
      <c r="BR513" s="256" t="n"/>
      <c r="BS513" s="256" t="n"/>
      <c r="BT513" s="256" t="n"/>
      <c r="BU513" s="256" t="n"/>
      <c r="BV513" s="256" t="n"/>
      <c r="BW513" s="256" t="n"/>
      <c r="BX513" s="256" t="n"/>
      <c r="BY513" s="256" t="n"/>
      <c r="BZ513" s="256" t="n"/>
      <c r="CA513" s="256" t="n"/>
    </row>
    <row r="514" ht="12" customHeight="1" s="227">
      <c r="A514" s="244" t="n"/>
      <c r="B514" s="244" t="n"/>
      <c r="C514" s="244" t="n"/>
      <c r="H514" s="4">
        <f>i_Setup!U60</f>
        <v/>
      </c>
      <c r="I514" s="27" t="inlineStr">
        <is>
          <t>no</t>
        </is>
      </c>
      <c r="M514" s="245">
        <f>SUMIF($T$2:$CA$2,M$2,$T514:$CA514)</f>
        <v/>
      </c>
      <c r="N514" s="245">
        <f>SUMIF($T$2:$CA$2,N$2,$T514:$CA514)</f>
        <v/>
      </c>
      <c r="O514" s="245">
        <f>SUMIF($T$2:$CA$2,O$2,$T514:$CA514)</f>
        <v/>
      </c>
      <c r="P514" s="245">
        <f>SUMIF($T$2:$CA$2,P$2,$T514:$CA514)</f>
        <v/>
      </c>
      <c r="Q514" s="245">
        <f>SUMIF($T$2:$CA$2,Q$2,$T514:$CA514)</f>
        <v/>
      </c>
      <c r="T514" s="256" t="n"/>
      <c r="U514" s="256" t="n"/>
      <c r="V514" s="256" t="n"/>
      <c r="W514" s="256" t="n"/>
      <c r="X514" s="256" t="n"/>
      <c r="Y514" s="256" t="n"/>
      <c r="Z514" s="256" t="n"/>
      <c r="AA514" s="256" t="n"/>
      <c r="AB514" s="256" t="n"/>
      <c r="AC514" s="256" t="n"/>
      <c r="AD514" s="256" t="n"/>
      <c r="AE514" s="256" t="n"/>
      <c r="AF514" s="256" t="n"/>
      <c r="AG514" s="256" t="n"/>
      <c r="AH514" s="256" t="n"/>
      <c r="AI514" s="256" t="n"/>
      <c r="AJ514" s="256" t="n"/>
      <c r="AK514" s="256" t="n"/>
      <c r="AL514" s="256" t="n"/>
      <c r="AM514" s="256" t="n"/>
      <c r="AN514" s="256" t="n"/>
      <c r="AO514" s="256" t="n"/>
      <c r="AP514" s="256" t="n"/>
      <c r="AQ514" s="256" t="n"/>
      <c r="AR514" s="256" t="n"/>
      <c r="AS514" s="256" t="n"/>
      <c r="AT514" s="256" t="n"/>
      <c r="AU514" s="256" t="n"/>
      <c r="AV514" s="256" t="n"/>
      <c r="AW514" s="256" t="n"/>
      <c r="AX514" s="256" t="n"/>
      <c r="AY514" s="256" t="n"/>
      <c r="AZ514" s="256" t="n"/>
      <c r="BA514" s="256" t="n"/>
      <c r="BB514" s="256" t="n"/>
      <c r="BC514" s="256" t="n"/>
      <c r="BD514" s="256" t="n"/>
      <c r="BE514" s="256" t="n"/>
      <c r="BF514" s="256" t="n"/>
      <c r="BG514" s="256" t="n"/>
      <c r="BH514" s="256" t="n"/>
      <c r="BI514" s="256" t="n"/>
      <c r="BJ514" s="256" t="n"/>
      <c r="BK514" s="256" t="n"/>
      <c r="BL514" s="256" t="n"/>
      <c r="BM514" s="256" t="n"/>
      <c r="BN514" s="256" t="n"/>
      <c r="BO514" s="256" t="n"/>
      <c r="BP514" s="256" t="n"/>
      <c r="BQ514" s="256" t="n"/>
      <c r="BR514" s="256" t="n"/>
      <c r="BS514" s="256" t="n"/>
      <c r="BT514" s="256" t="n"/>
      <c r="BU514" s="256" t="n"/>
      <c r="BV514" s="256" t="n"/>
      <c r="BW514" s="256" t="n"/>
      <c r="BX514" s="256" t="n"/>
      <c r="BY514" s="256" t="n"/>
      <c r="BZ514" s="256" t="n"/>
      <c r="CA514" s="256" t="n"/>
    </row>
    <row r="515" ht="12" customHeight="1" s="227">
      <c r="A515" s="244" t="n"/>
      <c r="B515" s="244" t="n"/>
      <c r="C515" s="244" t="n"/>
      <c r="H515" s="4">
        <f>i_Setup!U61</f>
        <v/>
      </c>
      <c r="I515" s="27" t="inlineStr">
        <is>
          <t>no</t>
        </is>
      </c>
      <c r="M515" s="245">
        <f>SUMIF($T$2:$CA$2,M$2,$T515:$CA515)</f>
        <v/>
      </c>
      <c r="N515" s="245">
        <f>SUMIF($T$2:$CA$2,N$2,$T515:$CA515)</f>
        <v/>
      </c>
      <c r="O515" s="245">
        <f>SUMIF($T$2:$CA$2,O$2,$T515:$CA515)</f>
        <v/>
      </c>
      <c r="P515" s="245">
        <f>SUMIF($T$2:$CA$2,P$2,$T515:$CA515)</f>
        <v/>
      </c>
      <c r="Q515" s="245">
        <f>SUMIF($T$2:$CA$2,Q$2,$T515:$CA515)</f>
        <v/>
      </c>
      <c r="T515" s="256" t="n"/>
      <c r="U515" s="256" t="n"/>
      <c r="V515" s="256" t="n"/>
      <c r="W515" s="256" t="n"/>
      <c r="X515" s="256" t="n"/>
      <c r="Y515" s="256" t="n"/>
      <c r="Z515" s="256" t="n"/>
      <c r="AA515" s="256" t="n"/>
      <c r="AB515" s="256" t="n"/>
      <c r="AC515" s="256" t="n"/>
      <c r="AD515" s="256" t="n"/>
      <c r="AE515" s="256" t="n"/>
      <c r="AF515" s="256" t="n"/>
      <c r="AG515" s="256" t="n"/>
      <c r="AH515" s="256" t="n"/>
      <c r="AI515" s="256" t="n"/>
      <c r="AJ515" s="256" t="n"/>
      <c r="AK515" s="256" t="n"/>
      <c r="AL515" s="256" t="n"/>
      <c r="AM515" s="256" t="n"/>
      <c r="AN515" s="256" t="n"/>
      <c r="AO515" s="256" t="n"/>
      <c r="AP515" s="256" t="n"/>
      <c r="AQ515" s="256" t="n"/>
      <c r="AR515" s="256" t="n"/>
      <c r="AS515" s="256" t="n"/>
      <c r="AT515" s="256" t="n"/>
      <c r="AU515" s="256" t="n"/>
      <c r="AV515" s="256" t="n"/>
      <c r="AW515" s="256" t="n"/>
      <c r="AX515" s="256" t="n"/>
      <c r="AY515" s="256" t="n"/>
      <c r="AZ515" s="256" t="n"/>
      <c r="BA515" s="256" t="n"/>
      <c r="BB515" s="256" t="n"/>
      <c r="BC515" s="256" t="n"/>
      <c r="BD515" s="256" t="n"/>
      <c r="BE515" s="256" t="n"/>
      <c r="BF515" s="256" t="n"/>
      <c r="BG515" s="256" t="n"/>
      <c r="BH515" s="256" t="n"/>
      <c r="BI515" s="256" t="n"/>
      <c r="BJ515" s="256" t="n"/>
      <c r="BK515" s="256" t="n"/>
      <c r="BL515" s="256" t="n"/>
      <c r="BM515" s="256" t="n"/>
      <c r="BN515" s="256" t="n"/>
      <c r="BO515" s="256" t="n"/>
      <c r="BP515" s="256" t="n"/>
      <c r="BQ515" s="256" t="n"/>
      <c r="BR515" s="256" t="n"/>
      <c r="BS515" s="256" t="n"/>
      <c r="BT515" s="256" t="n"/>
      <c r="BU515" s="256" t="n"/>
      <c r="BV515" s="256" t="n"/>
      <c r="BW515" s="256" t="n"/>
      <c r="BX515" s="256" t="n"/>
      <c r="BY515" s="256" t="n"/>
      <c r="BZ515" s="256" t="n"/>
      <c r="CA515" s="256" t="n"/>
    </row>
    <row r="516" ht="12" customHeight="1" s="227">
      <c r="A516" s="244" t="n"/>
      <c r="B516" s="244" t="n"/>
      <c r="C516" s="244" t="n"/>
      <c r="H516" s="4">
        <f>i_Setup!U62</f>
        <v/>
      </c>
      <c r="I516" s="27" t="inlineStr">
        <is>
          <t>no</t>
        </is>
      </c>
      <c r="M516" s="245">
        <f>SUMIF($T$2:$CA$2,M$2,$T516:$CA516)</f>
        <v/>
      </c>
      <c r="N516" s="245">
        <f>SUMIF($T$2:$CA$2,N$2,$T516:$CA516)</f>
        <v/>
      </c>
      <c r="O516" s="245">
        <f>SUMIF($T$2:$CA$2,O$2,$T516:$CA516)</f>
        <v/>
      </c>
      <c r="P516" s="245">
        <f>SUMIF($T$2:$CA$2,P$2,$T516:$CA516)</f>
        <v/>
      </c>
      <c r="Q516" s="245">
        <f>SUMIF($T$2:$CA$2,Q$2,$T516:$CA516)</f>
        <v/>
      </c>
      <c r="T516" s="256" t="n"/>
      <c r="U516" s="256" t="n"/>
      <c r="V516" s="256" t="n"/>
      <c r="W516" s="256" t="n"/>
      <c r="X516" s="256" t="n"/>
      <c r="Y516" s="256" t="n"/>
      <c r="Z516" s="256" t="n"/>
      <c r="AA516" s="256" t="n"/>
      <c r="AB516" s="256" t="n"/>
      <c r="AC516" s="256" t="n"/>
      <c r="AD516" s="256" t="n"/>
      <c r="AE516" s="256" t="n"/>
      <c r="AF516" s="256" t="n"/>
      <c r="AG516" s="256" t="n"/>
      <c r="AH516" s="256" t="n"/>
      <c r="AI516" s="256" t="n"/>
      <c r="AJ516" s="256" t="n"/>
      <c r="AK516" s="256" t="n"/>
      <c r="AL516" s="256" t="n"/>
      <c r="AM516" s="256" t="n"/>
      <c r="AN516" s="256" t="n"/>
      <c r="AO516" s="256" t="n"/>
      <c r="AP516" s="256" t="n"/>
      <c r="AQ516" s="256" t="n"/>
      <c r="AR516" s="256" t="n"/>
      <c r="AS516" s="256" t="n"/>
      <c r="AT516" s="256" t="n"/>
      <c r="AU516" s="256" t="n"/>
      <c r="AV516" s="256" t="n"/>
      <c r="AW516" s="256" t="n"/>
      <c r="AX516" s="256" t="n"/>
      <c r="AY516" s="256" t="n"/>
      <c r="AZ516" s="256" t="n"/>
      <c r="BA516" s="256" t="n"/>
      <c r="BB516" s="256" t="n"/>
      <c r="BC516" s="256" t="n"/>
      <c r="BD516" s="256" t="n"/>
      <c r="BE516" s="256" t="n"/>
      <c r="BF516" s="256" t="n"/>
      <c r="BG516" s="256" t="n"/>
      <c r="BH516" s="256" t="n"/>
      <c r="BI516" s="256" t="n"/>
      <c r="BJ516" s="256" t="n"/>
      <c r="BK516" s="256" t="n"/>
      <c r="BL516" s="256" t="n"/>
      <c r="BM516" s="256" t="n"/>
      <c r="BN516" s="256" t="n"/>
      <c r="BO516" s="256" t="n"/>
      <c r="BP516" s="256" t="n"/>
      <c r="BQ516" s="256" t="n"/>
      <c r="BR516" s="256" t="n"/>
      <c r="BS516" s="256" t="n"/>
      <c r="BT516" s="256" t="n"/>
      <c r="BU516" s="256" t="n"/>
      <c r="BV516" s="256" t="n"/>
      <c r="BW516" s="256" t="n"/>
      <c r="BX516" s="256" t="n"/>
      <c r="BY516" s="256" t="n"/>
      <c r="BZ516" s="256" t="n"/>
      <c r="CA516" s="256" t="n"/>
    </row>
    <row r="517" ht="12" customHeight="1" s="227">
      <c r="A517" s="244" t="n"/>
      <c r="B517" s="244" t="n"/>
      <c r="C517" s="244" t="n"/>
      <c r="K517" s="6" t="n"/>
    </row>
    <row r="518" ht="12" customHeight="1" s="227">
      <c r="A518" s="244" t="n"/>
      <c r="B518" s="244" t="n"/>
      <c r="C518" s="244" t="n"/>
      <c r="K518" s="6" t="n"/>
    </row>
    <row r="519" ht="12" customHeight="1" s="227">
      <c r="A519" s="244" t="n"/>
      <c r="B519" s="244" t="n"/>
      <c r="C519" s="244" t="n"/>
      <c r="G519" s="222" t="inlineStr">
        <is>
          <t>Average salary per full time position</t>
        </is>
      </c>
      <c r="K519" s="6" t="n"/>
    </row>
    <row r="520" ht="12" customHeight="1" s="227">
      <c r="A520" s="244" t="n"/>
      <c r="B520" s="244" t="n"/>
      <c r="C520" s="244" t="n"/>
      <c r="K520" s="6" t="n"/>
    </row>
    <row r="521" ht="12" customHeight="1" s="227">
      <c r="A521" s="244" t="n"/>
      <c r="B521" s="244" t="n"/>
      <c r="C521" s="244" t="n"/>
      <c r="H521" s="4">
        <f>H509</f>
        <v/>
      </c>
      <c r="I521" s="27">
        <f>i_Setup!$M$16</f>
        <v/>
      </c>
      <c r="K521" s="6" t="n"/>
      <c r="M521" s="256" t="n">
        <v>-50000</v>
      </c>
      <c r="N521" s="256">
        <f>M521*1.05</f>
        <v/>
      </c>
      <c r="O521" s="256">
        <f>N521*1.05</f>
        <v/>
      </c>
      <c r="P521" s="256">
        <f>O521*1.05</f>
        <v/>
      </c>
      <c r="Q521" s="256">
        <f>P521*1.05</f>
        <v/>
      </c>
    </row>
    <row r="522" ht="12" customHeight="1" s="227">
      <c r="A522" s="244" t="n"/>
      <c r="B522" s="244" t="n"/>
      <c r="C522" s="244" t="n"/>
      <c r="H522" s="4">
        <f>H510</f>
        <v/>
      </c>
      <c r="I522" s="27">
        <f>i_Setup!$M$16</f>
        <v/>
      </c>
      <c r="K522" s="6" t="n"/>
      <c r="M522" s="256" t="n">
        <v>-20000</v>
      </c>
      <c r="N522" s="256">
        <f>M522*1.05</f>
        <v/>
      </c>
      <c r="O522" s="256">
        <f>N522*1.05</f>
        <v/>
      </c>
      <c r="P522" s="256">
        <f>O522*1.05</f>
        <v/>
      </c>
      <c r="Q522" s="256">
        <f>P522*1.05</f>
        <v/>
      </c>
    </row>
    <row r="523" ht="12" customHeight="1" s="227">
      <c r="A523" s="244" t="n"/>
      <c r="B523" s="244" t="n"/>
      <c r="C523" s="244" t="n"/>
      <c r="H523" s="4">
        <f>H511</f>
        <v/>
      </c>
      <c r="I523" s="27">
        <f>i_Setup!$M$16</f>
        <v/>
      </c>
      <c r="K523" s="6" t="n"/>
      <c r="M523" s="256" t="n">
        <v>-30000</v>
      </c>
      <c r="N523" s="256">
        <f>M523*1.05</f>
        <v/>
      </c>
      <c r="O523" s="256">
        <f>N523*1.05</f>
        <v/>
      </c>
      <c r="P523" s="256">
        <f>O523*1.05</f>
        <v/>
      </c>
      <c r="Q523" s="256">
        <f>P523*1.05</f>
        <v/>
      </c>
    </row>
    <row r="524" ht="12" customHeight="1" s="227">
      <c r="A524" s="244" t="n"/>
      <c r="B524" s="244" t="n"/>
      <c r="C524" s="244" t="n"/>
      <c r="H524" s="4">
        <f>H512</f>
        <v/>
      </c>
      <c r="I524" s="27">
        <f>i_Setup!$M$16</f>
        <v/>
      </c>
      <c r="K524" s="6" t="n"/>
      <c r="M524" s="256" t="n"/>
      <c r="N524" s="256" t="n"/>
      <c r="O524" s="256" t="n"/>
      <c r="P524" s="256" t="n"/>
      <c r="Q524" s="256" t="n"/>
    </row>
    <row r="525" ht="12" customHeight="1" s="227">
      <c r="A525" s="244" t="n"/>
      <c r="B525" s="244" t="n"/>
      <c r="C525" s="244" t="n"/>
      <c r="H525" s="4">
        <f>H513</f>
        <v/>
      </c>
      <c r="I525" s="27">
        <f>i_Setup!$M$16</f>
        <v/>
      </c>
      <c r="K525" s="6" t="n"/>
      <c r="M525" s="256" t="n"/>
      <c r="N525" s="256" t="n"/>
      <c r="O525" s="256" t="n"/>
      <c r="P525" s="256" t="n"/>
      <c r="Q525" s="256" t="n"/>
    </row>
    <row r="526" ht="12" customHeight="1" s="227">
      <c r="A526" s="244" t="n"/>
      <c r="B526" s="244" t="n"/>
      <c r="C526" s="244" t="n"/>
      <c r="H526" s="4">
        <f>H514</f>
        <v/>
      </c>
      <c r="I526" s="27">
        <f>i_Setup!$M$16</f>
        <v/>
      </c>
      <c r="K526" s="6" t="n"/>
      <c r="M526" s="256" t="n"/>
      <c r="N526" s="256" t="n"/>
      <c r="O526" s="256" t="n"/>
      <c r="P526" s="256" t="n"/>
      <c r="Q526" s="256" t="n"/>
    </row>
    <row r="527" ht="12" customHeight="1" s="227">
      <c r="A527" s="244" t="n"/>
      <c r="B527" s="244" t="n"/>
      <c r="C527" s="244" t="n"/>
      <c r="H527" s="4">
        <f>H515</f>
        <v/>
      </c>
      <c r="I527" s="27">
        <f>i_Setup!$M$16</f>
        <v/>
      </c>
      <c r="K527" s="6" t="n"/>
      <c r="M527" s="256" t="n"/>
      <c r="N527" s="256" t="n"/>
      <c r="O527" s="256" t="n"/>
      <c r="P527" s="256" t="n"/>
      <c r="Q527" s="256" t="n"/>
    </row>
    <row r="528" ht="12" customHeight="1" s="227">
      <c r="A528" s="244" t="n"/>
      <c r="B528" s="244" t="n"/>
      <c r="C528" s="244" t="n"/>
      <c r="H528" s="4">
        <f>H516</f>
        <v/>
      </c>
      <c r="I528" s="27">
        <f>i_Setup!$M$16</f>
        <v/>
      </c>
      <c r="K528" s="6" t="n"/>
      <c r="M528" s="256" t="n"/>
      <c r="N528" s="256" t="n"/>
      <c r="O528" s="256" t="n"/>
      <c r="P528" s="256" t="n"/>
      <c r="Q528" s="256" t="n"/>
    </row>
    <row r="529" ht="12" customHeight="1" s="227">
      <c r="A529" s="244" t="n"/>
      <c r="B529" s="244" t="n"/>
      <c r="C529" s="244" t="n"/>
      <c r="K529" s="6" t="n"/>
    </row>
    <row r="530" ht="12" customHeight="1" s="227">
      <c r="A530" s="244" t="n"/>
      <c r="B530" s="244" t="n"/>
      <c r="C530" s="244" t="n"/>
      <c r="G530" s="222" t="n"/>
      <c r="K530" s="6" t="n"/>
    </row>
    <row r="531" ht="12" customHeight="1" s="227">
      <c r="A531" s="244" t="n"/>
      <c r="B531" s="244" t="n"/>
      <c r="C531" s="244" t="n"/>
      <c r="G531" s="222" t="inlineStr">
        <is>
          <t>Average Employer's Social Security as a % of Salary</t>
        </is>
      </c>
      <c r="K531" s="6" t="n"/>
    </row>
    <row r="532" ht="12" customHeight="1" s="227">
      <c r="A532" s="244" t="n"/>
      <c r="B532" s="244" t="n"/>
      <c r="C532" s="244" t="n"/>
      <c r="K532" s="6" t="n"/>
    </row>
    <row r="533" ht="12" customHeight="1" s="227">
      <c r="A533" s="244" t="n"/>
      <c r="B533" s="244" t="n"/>
      <c r="C533" s="244" t="n"/>
      <c r="H533" s="4">
        <f>H521</f>
        <v/>
      </c>
      <c r="I533" s="27" t="inlineStr">
        <is>
          <t>%</t>
        </is>
      </c>
      <c r="K533" s="260" t="n">
        <v>0.05</v>
      </c>
    </row>
    <row r="534" ht="12" customHeight="1" s="227">
      <c r="A534" s="244" t="n"/>
      <c r="B534" s="244" t="n"/>
      <c r="C534" s="244" t="n"/>
      <c r="H534" s="4">
        <f>H522</f>
        <v/>
      </c>
      <c r="I534" s="27" t="inlineStr">
        <is>
          <t>%</t>
        </is>
      </c>
      <c r="K534" s="260" t="n">
        <v>0.05</v>
      </c>
    </row>
    <row r="535" ht="12" customHeight="1" s="227">
      <c r="A535" s="244" t="n"/>
      <c r="B535" s="244" t="n"/>
      <c r="C535" s="244" t="n"/>
      <c r="H535" s="4">
        <f>H523</f>
        <v/>
      </c>
      <c r="I535" s="27" t="inlineStr">
        <is>
          <t>%</t>
        </is>
      </c>
      <c r="K535" s="260" t="n">
        <v>0.05</v>
      </c>
    </row>
    <row r="536" ht="12" customHeight="1" s="227">
      <c r="A536" s="244" t="n"/>
      <c r="B536" s="244" t="n"/>
      <c r="C536" s="244" t="n"/>
      <c r="H536" s="4">
        <f>H524</f>
        <v/>
      </c>
      <c r="I536" s="27" t="inlineStr">
        <is>
          <t>%</t>
        </is>
      </c>
      <c r="K536" s="260" t="n"/>
    </row>
    <row r="537" ht="12" customHeight="1" s="227">
      <c r="A537" s="244" t="n"/>
      <c r="B537" s="244" t="n"/>
      <c r="C537" s="244" t="n"/>
      <c r="H537" s="4">
        <f>H525</f>
        <v/>
      </c>
      <c r="I537" s="27" t="inlineStr">
        <is>
          <t>%</t>
        </is>
      </c>
      <c r="K537" s="260" t="n"/>
    </row>
    <row r="538" ht="12" customHeight="1" s="227">
      <c r="A538" s="244" t="n"/>
      <c r="B538" s="244" t="n"/>
      <c r="C538" s="244" t="n"/>
      <c r="H538" s="4">
        <f>H526</f>
        <v/>
      </c>
      <c r="I538" s="27" t="inlineStr">
        <is>
          <t>%</t>
        </is>
      </c>
      <c r="K538" s="260" t="n"/>
    </row>
    <row r="539" ht="12" customHeight="1" s="227">
      <c r="A539" s="244" t="n"/>
      <c r="B539" s="244" t="n"/>
      <c r="C539" s="244" t="n"/>
      <c r="H539" s="4">
        <f>H527</f>
        <v/>
      </c>
      <c r="I539" s="27" t="inlineStr">
        <is>
          <t>%</t>
        </is>
      </c>
      <c r="K539" s="260" t="n"/>
    </row>
    <row r="540" ht="12" customHeight="1" s="227">
      <c r="A540" s="244" t="n"/>
      <c r="B540" s="244" t="n"/>
      <c r="C540" s="244" t="n"/>
      <c r="H540" s="4">
        <f>H528</f>
        <v/>
      </c>
      <c r="I540" s="27" t="inlineStr">
        <is>
          <t>%</t>
        </is>
      </c>
      <c r="K540" s="260" t="n"/>
    </row>
    <row r="541" ht="12" customHeight="1" s="227">
      <c r="A541" s="244" t="n"/>
      <c r="B541" s="244" t="n"/>
      <c r="C541" s="244" t="n"/>
      <c r="K541" s="6" t="n"/>
    </row>
    <row r="542" ht="12" customHeight="1" s="227">
      <c r="A542" s="244" t="n"/>
      <c r="B542" s="244" t="n"/>
      <c r="C542" s="244" t="n"/>
      <c r="K542" s="6" t="n"/>
    </row>
    <row r="543" ht="12" customHeight="1" s="227">
      <c r="A543" s="244" t="n"/>
      <c r="B543" s="244" t="n"/>
      <c r="C543" s="244" t="n"/>
      <c r="G543" s="222" t="inlineStr">
        <is>
          <t>Average Annual Bonus</t>
        </is>
      </c>
      <c r="K543" s="6" t="n"/>
    </row>
    <row r="544" ht="12" customHeight="1" s="227">
      <c r="A544" s="244" t="n"/>
      <c r="B544" s="244" t="n"/>
      <c r="C544" s="244" t="n"/>
      <c r="K544" s="6" t="n"/>
    </row>
    <row r="545" ht="12" customHeight="1" s="227">
      <c r="A545" s="244" t="n"/>
      <c r="B545" s="244" t="n"/>
      <c r="C545" s="244" t="n"/>
      <c r="H545" s="4">
        <f>H533</f>
        <v/>
      </c>
      <c r="I545" s="27" t="inlineStr">
        <is>
          <t>%</t>
        </is>
      </c>
      <c r="K545" s="6" t="n"/>
      <c r="M545" s="193" t="n">
        <v>0.1</v>
      </c>
      <c r="N545" s="193" t="n">
        <v>0.1</v>
      </c>
      <c r="O545" s="193" t="n">
        <v>0.1</v>
      </c>
      <c r="P545" s="193" t="n">
        <v>0.1</v>
      </c>
      <c r="Q545" s="193" t="n">
        <v>0.1</v>
      </c>
    </row>
    <row r="546" ht="12" customHeight="1" s="227">
      <c r="A546" s="244" t="n"/>
      <c r="B546" s="244" t="n"/>
      <c r="C546" s="244" t="n"/>
      <c r="H546" s="4">
        <f>H534</f>
        <v/>
      </c>
      <c r="I546" s="27" t="inlineStr">
        <is>
          <t>%</t>
        </is>
      </c>
      <c r="K546" s="6" t="n"/>
      <c r="M546" s="193" t="n">
        <v>0.05</v>
      </c>
      <c r="N546" s="193" t="n">
        <v>0.05</v>
      </c>
      <c r="O546" s="193" t="n">
        <v>0.05</v>
      </c>
      <c r="P546" s="193" t="n">
        <v>0.05</v>
      </c>
      <c r="Q546" s="193" t="n">
        <v>0.05</v>
      </c>
    </row>
    <row r="547" ht="12" customHeight="1" s="227">
      <c r="A547" s="244" t="n"/>
      <c r="B547" s="244" t="n"/>
      <c r="C547" s="244" t="n"/>
      <c r="H547" s="4">
        <f>H535</f>
        <v/>
      </c>
      <c r="I547" s="27" t="inlineStr">
        <is>
          <t>%</t>
        </is>
      </c>
      <c r="K547" s="6" t="n"/>
      <c r="M547" s="193" t="n"/>
      <c r="N547" s="193" t="n"/>
      <c r="O547" s="193" t="n"/>
      <c r="P547" s="193" t="n"/>
      <c r="Q547" s="193" t="n"/>
    </row>
    <row r="548" ht="12" customHeight="1" s="227">
      <c r="A548" s="244" t="n"/>
      <c r="B548" s="244" t="n"/>
      <c r="C548" s="244" t="n"/>
      <c r="H548" s="4">
        <f>H536</f>
        <v/>
      </c>
      <c r="I548" s="27" t="inlineStr">
        <is>
          <t>%</t>
        </is>
      </c>
      <c r="K548" s="6" t="n"/>
      <c r="M548" s="193" t="n"/>
      <c r="N548" s="193" t="n"/>
      <c r="O548" s="193" t="n"/>
      <c r="P548" s="193" t="n"/>
      <c r="Q548" s="193" t="n"/>
    </row>
    <row r="549" ht="12" customHeight="1" s="227">
      <c r="A549" s="244" t="n"/>
      <c r="B549" s="244" t="n"/>
      <c r="C549" s="244" t="n"/>
      <c r="H549" s="4">
        <f>H537</f>
        <v/>
      </c>
      <c r="I549" s="27" t="inlineStr">
        <is>
          <t>%</t>
        </is>
      </c>
      <c r="K549" s="6" t="n"/>
      <c r="M549" s="193" t="n"/>
      <c r="N549" s="193" t="n"/>
      <c r="O549" s="193" t="n"/>
      <c r="P549" s="193" t="n"/>
      <c r="Q549" s="193" t="n"/>
    </row>
    <row r="550" ht="12" customHeight="1" s="227">
      <c r="A550" s="244" t="n"/>
      <c r="B550" s="244" t="n"/>
      <c r="C550" s="244" t="n"/>
      <c r="H550" s="4">
        <f>H538</f>
        <v/>
      </c>
      <c r="I550" s="27" t="inlineStr">
        <is>
          <t>%</t>
        </is>
      </c>
      <c r="K550" s="6" t="n"/>
      <c r="M550" s="193" t="n"/>
      <c r="N550" s="193" t="n"/>
      <c r="O550" s="193" t="n"/>
      <c r="P550" s="193" t="n"/>
      <c r="Q550" s="193" t="n"/>
    </row>
    <row r="551" ht="12" customHeight="1" s="227">
      <c r="A551" s="244" t="n"/>
      <c r="B551" s="244" t="n"/>
      <c r="C551" s="244" t="n"/>
      <c r="H551" s="4">
        <f>H539</f>
        <v/>
      </c>
      <c r="I551" s="27" t="inlineStr">
        <is>
          <t>%</t>
        </is>
      </c>
      <c r="K551" s="6" t="n"/>
      <c r="M551" s="193" t="n"/>
      <c r="N551" s="193" t="n"/>
      <c r="O551" s="193" t="n"/>
      <c r="P551" s="193" t="n"/>
      <c r="Q551" s="193" t="n"/>
    </row>
    <row r="552" ht="12" customHeight="1" s="227">
      <c r="A552" s="244" t="n"/>
      <c r="B552" s="244" t="n"/>
      <c r="C552" s="244" t="n"/>
      <c r="H552" s="4">
        <f>H540</f>
        <v/>
      </c>
      <c r="I552" s="27" t="inlineStr">
        <is>
          <t>%</t>
        </is>
      </c>
      <c r="K552" s="6" t="n"/>
      <c r="M552" s="193" t="n"/>
      <c r="N552" s="193" t="n"/>
      <c r="O552" s="193" t="n"/>
      <c r="P552" s="193" t="n"/>
      <c r="Q552" s="193" t="n"/>
    </row>
    <row r="553" ht="12" customHeight="1" s="227">
      <c r="A553" s="244" t="n"/>
      <c r="B553" s="244" t="n"/>
      <c r="C553" s="244" t="n"/>
      <c r="K553" s="6" t="n"/>
    </row>
    <row r="554" ht="12" customHeight="1" s="227">
      <c r="A554" s="244" t="n"/>
      <c r="B554" s="244" t="n"/>
      <c r="C554" s="244" t="n"/>
      <c r="K554" s="6" t="n"/>
    </row>
    <row r="555" ht="12" customHeight="1" s="227">
      <c r="A555" s="244" t="n"/>
      <c r="B555" s="244" t="n"/>
      <c r="C555" s="244" t="n"/>
      <c r="G555" s="222" t="inlineStr">
        <is>
          <t>Bonus Payment month</t>
        </is>
      </c>
      <c r="K555" s="6" t="n"/>
      <c r="T555" s="57" t="inlineStr">
        <is>
          <t>Jan</t>
        </is>
      </c>
      <c r="U555" s="57" t="inlineStr">
        <is>
          <t>Feb</t>
        </is>
      </c>
      <c r="V555" s="57" t="inlineStr">
        <is>
          <t>Mar</t>
        </is>
      </c>
      <c r="W555" s="57" t="inlineStr">
        <is>
          <t>Apr</t>
        </is>
      </c>
      <c r="X555" s="57" t="inlineStr">
        <is>
          <t>May</t>
        </is>
      </c>
      <c r="Y555" s="57" t="inlineStr">
        <is>
          <t>Jun</t>
        </is>
      </c>
      <c r="Z555" s="57" t="inlineStr">
        <is>
          <t>Jul</t>
        </is>
      </c>
      <c r="AA555" s="57" t="inlineStr">
        <is>
          <t>Aug</t>
        </is>
      </c>
      <c r="AB555" s="57" t="inlineStr">
        <is>
          <t>Sep</t>
        </is>
      </c>
      <c r="AC555" s="57" t="inlineStr">
        <is>
          <t>Oct</t>
        </is>
      </c>
      <c r="AD555" s="57" t="inlineStr">
        <is>
          <t>Nov</t>
        </is>
      </c>
      <c r="AE555" s="57" t="inlineStr">
        <is>
          <t>Dec</t>
        </is>
      </c>
    </row>
    <row r="556" ht="12" customHeight="1" s="227">
      <c r="A556" s="244" t="n"/>
      <c r="B556" s="244" t="n"/>
      <c r="C556" s="244" t="n"/>
      <c r="K556" s="6" t="n"/>
      <c r="T556" s="4" t="n">
        <v>1</v>
      </c>
      <c r="U556" s="4" t="n">
        <v>2</v>
      </c>
      <c r="V556" s="4" t="n">
        <v>3</v>
      </c>
      <c r="W556" s="4" t="n">
        <v>4</v>
      </c>
      <c r="X556" s="4" t="n">
        <v>5</v>
      </c>
      <c r="Y556" s="4" t="n">
        <v>6</v>
      </c>
      <c r="Z556" s="4" t="n">
        <v>7</v>
      </c>
      <c r="AA556" s="4" t="n">
        <v>8</v>
      </c>
      <c r="AB556" s="4" t="n">
        <v>9</v>
      </c>
      <c r="AC556" s="4" t="n">
        <v>10</v>
      </c>
      <c r="AD556" s="4" t="n">
        <v>11</v>
      </c>
      <c r="AE556" s="4" t="n">
        <v>12</v>
      </c>
    </row>
    <row r="557" ht="12" customHeight="1" s="227">
      <c r="A557" s="244" t="n"/>
      <c r="B557" s="244" t="n"/>
      <c r="C557" s="244" t="n"/>
      <c r="H557" s="4" t="inlineStr">
        <is>
          <t>Bonus Payment month Flag</t>
        </is>
      </c>
      <c r="I557" s="27" t="inlineStr">
        <is>
          <t>no.</t>
        </is>
      </c>
      <c r="K557" s="6" t="n"/>
      <c r="T557" s="230" t="n"/>
      <c r="U557" s="230" t="n"/>
      <c r="V557" s="230" t="n"/>
      <c r="W557" s="230" t="n">
        <v>1</v>
      </c>
      <c r="X557" s="230" t="n"/>
      <c r="Y557" s="230" t="n"/>
      <c r="Z557" s="230" t="n"/>
      <c r="AA557" s="230" t="n"/>
      <c r="AB557" s="230" t="n"/>
      <c r="AC557" s="230" t="n"/>
      <c r="AD557" s="230" t="n"/>
      <c r="AE557" s="230" t="n"/>
    </row>
    <row r="558" ht="12" customHeight="1" s="227">
      <c r="A558" s="244" t="n"/>
      <c r="B558" s="244" t="n"/>
      <c r="C558" s="244" t="n"/>
      <c r="K558" s="6" t="n"/>
    </row>
    <row r="559" ht="12" customHeight="1" s="227">
      <c r="A559" s="244" t="n"/>
      <c r="B559" s="244" t="n"/>
      <c r="C559" s="244" t="n"/>
      <c r="K559" s="6" t="n"/>
    </row>
    <row r="560" ht="13.5" customFormat="1" customHeight="1" s="223" thickBot="1">
      <c r="E560" s="223">
        <f>Heading2</f>
        <v/>
      </c>
      <c r="F560" s="223" t="inlineStr">
        <is>
          <t>Other Expenses</t>
        </is>
      </c>
      <c r="K560" s="135" t="n"/>
    </row>
    <row r="561" ht="12" customHeight="1" s="227">
      <c r="A561" s="244" t="n"/>
      <c r="B561" s="244" t="n"/>
      <c r="C561" s="244" t="n"/>
      <c r="K561" s="6" t="n"/>
    </row>
    <row r="562" ht="12" customHeight="1" s="227">
      <c r="A562" s="244" t="n"/>
      <c r="B562" s="244" t="n"/>
      <c r="C562" s="244" t="n"/>
      <c r="G562" s="222" t="inlineStr">
        <is>
          <t>Marketing Costs</t>
        </is>
      </c>
    </row>
    <row r="563" ht="12" customHeight="1" s="227">
      <c r="A563" s="244" t="n"/>
      <c r="B563" s="244" t="n"/>
      <c r="C563" s="244" t="n"/>
      <c r="K563" s="8" t="inlineStr">
        <is>
          <t>Input:</t>
        </is>
      </c>
    </row>
    <row r="564" ht="12" customHeight="1" s="227">
      <c r="A564" s="244" t="n"/>
      <c r="B564" s="244" t="n"/>
      <c r="C564" s="244" t="n"/>
      <c r="H564" s="4">
        <f>i_Setup!U87</f>
        <v/>
      </c>
      <c r="I564" s="27">
        <f>i_Setup!$M$16</f>
        <v/>
      </c>
      <c r="K564" s="10" t="inlineStr">
        <is>
          <t>Annual</t>
        </is>
      </c>
      <c r="M564" s="256" t="n">
        <v>-2000</v>
      </c>
      <c r="N564" s="256">
        <f>M564*1.03</f>
        <v/>
      </c>
      <c r="O564" s="256">
        <f>N564*1.03</f>
        <v/>
      </c>
      <c r="P564" s="256">
        <f>O564*1.03</f>
        <v/>
      </c>
      <c r="Q564" s="256">
        <f>P564*1.03</f>
        <v/>
      </c>
      <c r="T564" s="256" t="n"/>
      <c r="U564" s="256" t="n"/>
      <c r="V564" s="256" t="n"/>
      <c r="W564" s="256" t="n"/>
      <c r="X564" s="256" t="n"/>
      <c r="Y564" s="256" t="n"/>
      <c r="Z564" s="256" t="n"/>
      <c r="AA564" s="256" t="n"/>
      <c r="AB564" s="256" t="n"/>
      <c r="AC564" s="256" t="n"/>
      <c r="AD564" s="256" t="n"/>
      <c r="AE564" s="256" t="n"/>
      <c r="AF564" s="256" t="n"/>
      <c r="AG564" s="256" t="n"/>
      <c r="AH564" s="256" t="n"/>
      <c r="AI564" s="256" t="n"/>
      <c r="AJ564" s="256" t="n"/>
      <c r="AK564" s="256" t="n"/>
      <c r="AL564" s="256" t="n"/>
      <c r="AM564" s="256" t="n"/>
      <c r="AN564" s="256" t="n"/>
      <c r="AO564" s="256" t="n"/>
      <c r="AP564" s="256" t="n"/>
      <c r="AQ564" s="256" t="n"/>
      <c r="AR564" s="256" t="n"/>
      <c r="AS564" s="256" t="n"/>
      <c r="AT564" s="256" t="n"/>
      <c r="AU564" s="256" t="n"/>
      <c r="AV564" s="256" t="n"/>
      <c r="AW564" s="256" t="n"/>
      <c r="AX564" s="256" t="n"/>
      <c r="AY564" s="256" t="n"/>
      <c r="AZ564" s="256" t="n"/>
      <c r="BA564" s="256" t="n"/>
      <c r="BB564" s="256" t="n"/>
      <c r="BC564" s="256" t="n"/>
      <c r="BD564" s="256" t="n"/>
      <c r="BE564" s="256" t="n"/>
      <c r="BF564" s="256" t="n"/>
      <c r="BG564" s="256" t="n"/>
      <c r="BH564" s="256" t="n"/>
      <c r="BI564" s="256" t="n"/>
      <c r="BJ564" s="256" t="n"/>
      <c r="BK564" s="256" t="n"/>
      <c r="BL564" s="256" t="n"/>
      <c r="BM564" s="256" t="n"/>
      <c r="BN564" s="256" t="n"/>
      <c r="BO564" s="256" t="n"/>
      <c r="BP564" s="256" t="n"/>
      <c r="BQ564" s="256" t="n"/>
      <c r="BR564" s="256" t="n"/>
      <c r="BS564" s="256" t="n"/>
      <c r="BT564" s="256" t="n"/>
      <c r="BU564" s="256" t="n"/>
      <c r="BV564" s="256" t="n"/>
      <c r="BW564" s="256" t="n"/>
      <c r="BX564" s="256" t="n"/>
      <c r="BY564" s="256" t="n"/>
      <c r="BZ564" s="256" t="n"/>
      <c r="CA564" s="256" t="n"/>
    </row>
    <row r="565" ht="12" customHeight="1" s="227">
      <c r="A565" s="244" t="n"/>
      <c r="B565" s="244" t="n"/>
      <c r="C565" s="244" t="n"/>
      <c r="H565" s="4">
        <f>i_Setup!U88</f>
        <v/>
      </c>
      <c r="I565" s="27">
        <f>i_Setup!$M$16</f>
        <v/>
      </c>
      <c r="K565" s="10" t="inlineStr">
        <is>
          <t>Annual</t>
        </is>
      </c>
      <c r="M565" s="256" t="n"/>
      <c r="N565" s="256" t="n"/>
      <c r="O565" s="256" t="n"/>
      <c r="P565" s="256" t="n"/>
      <c r="Q565" s="256" t="n"/>
      <c r="T565" s="256" t="n"/>
      <c r="U565" s="256" t="n"/>
      <c r="V565" s="256" t="n"/>
      <c r="W565" s="256" t="n"/>
      <c r="X565" s="256" t="n"/>
      <c r="Y565" s="256" t="n"/>
      <c r="Z565" s="256" t="n"/>
      <c r="AA565" s="256" t="n"/>
      <c r="AB565" s="256" t="n"/>
      <c r="AC565" s="256" t="n"/>
      <c r="AD565" s="256" t="n"/>
      <c r="AE565" s="256" t="n"/>
      <c r="AF565" s="256" t="n"/>
      <c r="AG565" s="256" t="n"/>
      <c r="AH565" s="256" t="n"/>
      <c r="AI565" s="256" t="n"/>
      <c r="AJ565" s="256" t="n"/>
      <c r="AK565" s="256" t="n"/>
      <c r="AL565" s="256" t="n"/>
      <c r="AM565" s="256" t="n"/>
      <c r="AN565" s="256" t="n"/>
      <c r="AO565" s="256" t="n"/>
      <c r="AP565" s="256" t="n"/>
      <c r="AQ565" s="256" t="n"/>
      <c r="AR565" s="256" t="n"/>
      <c r="AS565" s="256" t="n"/>
      <c r="AT565" s="256" t="n"/>
      <c r="AU565" s="256" t="n"/>
      <c r="AV565" s="256" t="n"/>
      <c r="AW565" s="256" t="n"/>
      <c r="AX565" s="256" t="n"/>
      <c r="AY565" s="256" t="n"/>
      <c r="AZ565" s="256" t="n"/>
      <c r="BA565" s="256" t="n"/>
      <c r="BB565" s="256" t="n"/>
      <c r="BC565" s="256" t="n"/>
      <c r="BD565" s="256" t="n"/>
      <c r="BE565" s="256" t="n"/>
      <c r="BF565" s="256" t="n"/>
      <c r="BG565" s="256" t="n"/>
      <c r="BH565" s="256" t="n"/>
      <c r="BI565" s="256" t="n"/>
      <c r="BJ565" s="256" t="n"/>
      <c r="BK565" s="256" t="n"/>
      <c r="BL565" s="256" t="n"/>
      <c r="BM565" s="256" t="n"/>
      <c r="BN565" s="256" t="n"/>
      <c r="BO565" s="256" t="n"/>
      <c r="BP565" s="256" t="n"/>
      <c r="BQ565" s="256" t="n"/>
      <c r="BR565" s="256" t="n"/>
      <c r="BS565" s="256" t="n"/>
      <c r="BT565" s="256" t="n"/>
      <c r="BU565" s="256" t="n"/>
      <c r="BV565" s="256" t="n"/>
      <c r="BW565" s="256" t="n"/>
      <c r="BX565" s="256" t="n"/>
      <c r="BY565" s="256" t="n"/>
      <c r="BZ565" s="256" t="n"/>
      <c r="CA565" s="256" t="n"/>
    </row>
    <row r="566" ht="12" customHeight="1" s="227">
      <c r="A566" s="244" t="n"/>
      <c r="B566" s="244" t="n"/>
      <c r="C566" s="244" t="n"/>
      <c r="H566" s="4">
        <f>i_Setup!U89</f>
        <v/>
      </c>
      <c r="I566" s="27">
        <f>i_Setup!$M$16</f>
        <v/>
      </c>
      <c r="K566" s="10" t="inlineStr">
        <is>
          <t>Annual</t>
        </is>
      </c>
      <c r="M566" s="256" t="n"/>
      <c r="N566" s="256" t="n"/>
      <c r="O566" s="256" t="n"/>
      <c r="P566" s="256" t="n"/>
      <c r="Q566" s="256" t="n"/>
      <c r="T566" s="256" t="n"/>
      <c r="U566" s="256" t="n"/>
      <c r="V566" s="256" t="n"/>
      <c r="W566" s="256" t="n"/>
      <c r="X566" s="256" t="n"/>
      <c r="Y566" s="256" t="n"/>
      <c r="Z566" s="256" t="n"/>
      <c r="AA566" s="256" t="n"/>
      <c r="AB566" s="256" t="n"/>
      <c r="AC566" s="256" t="n"/>
      <c r="AD566" s="256" t="n"/>
      <c r="AE566" s="256" t="n"/>
      <c r="AF566" s="256" t="n"/>
      <c r="AG566" s="256" t="n"/>
      <c r="AH566" s="256" t="n"/>
      <c r="AI566" s="256" t="n"/>
      <c r="AJ566" s="256" t="n"/>
      <c r="AK566" s="256" t="n"/>
      <c r="AL566" s="256" t="n"/>
      <c r="AM566" s="256" t="n"/>
      <c r="AN566" s="256" t="n"/>
      <c r="AO566" s="256" t="n"/>
      <c r="AP566" s="256" t="n"/>
      <c r="AQ566" s="256" t="n"/>
      <c r="AR566" s="256" t="n"/>
      <c r="AS566" s="256" t="n"/>
      <c r="AT566" s="256" t="n"/>
      <c r="AU566" s="256" t="n"/>
      <c r="AV566" s="256" t="n"/>
      <c r="AW566" s="256" t="n"/>
      <c r="AX566" s="256" t="n"/>
      <c r="AY566" s="256" t="n"/>
      <c r="AZ566" s="256" t="n"/>
      <c r="BA566" s="256" t="n"/>
      <c r="BB566" s="256" t="n"/>
      <c r="BC566" s="256" t="n"/>
      <c r="BD566" s="256" t="n"/>
      <c r="BE566" s="256" t="n"/>
      <c r="BF566" s="256" t="n"/>
      <c r="BG566" s="256" t="n"/>
      <c r="BH566" s="256" t="n"/>
      <c r="BI566" s="256" t="n"/>
      <c r="BJ566" s="256" t="n"/>
      <c r="BK566" s="256" t="n"/>
      <c r="BL566" s="256" t="n"/>
      <c r="BM566" s="256" t="n"/>
      <c r="BN566" s="256" t="n"/>
      <c r="BO566" s="256" t="n"/>
      <c r="BP566" s="256" t="n"/>
      <c r="BQ566" s="256" t="n"/>
      <c r="BR566" s="256" t="n"/>
      <c r="BS566" s="256" t="n"/>
      <c r="BT566" s="256" t="n"/>
      <c r="BU566" s="256" t="n"/>
      <c r="BV566" s="256" t="n"/>
      <c r="BW566" s="256" t="n"/>
      <c r="BX566" s="256" t="n"/>
      <c r="BY566" s="256" t="n"/>
      <c r="BZ566" s="256" t="n"/>
      <c r="CA566" s="256" t="n"/>
    </row>
    <row r="567" ht="12" customHeight="1" s="227">
      <c r="A567" s="244" t="n"/>
      <c r="B567" s="244" t="n"/>
      <c r="C567" s="244" t="n"/>
      <c r="H567" s="4">
        <f>i_Setup!U90</f>
        <v/>
      </c>
      <c r="I567" s="27">
        <f>i_Setup!$M$16</f>
        <v/>
      </c>
      <c r="K567" s="10" t="inlineStr">
        <is>
          <t>Annual</t>
        </is>
      </c>
      <c r="M567" s="256" t="n"/>
      <c r="N567" s="256" t="n"/>
      <c r="O567" s="256" t="n"/>
      <c r="P567" s="256" t="n"/>
      <c r="Q567" s="256" t="n"/>
      <c r="T567" s="256" t="n"/>
      <c r="U567" s="256" t="n"/>
      <c r="V567" s="256" t="n"/>
      <c r="W567" s="256" t="n"/>
      <c r="X567" s="256" t="n"/>
      <c r="Y567" s="256" t="n"/>
      <c r="Z567" s="256" t="n"/>
      <c r="AA567" s="256" t="n"/>
      <c r="AB567" s="256" t="n"/>
      <c r="AC567" s="256" t="n"/>
      <c r="AD567" s="256" t="n"/>
      <c r="AE567" s="256" t="n"/>
      <c r="AF567" s="256" t="n"/>
      <c r="AG567" s="256" t="n"/>
      <c r="AH567" s="256" t="n"/>
      <c r="AI567" s="256" t="n"/>
      <c r="AJ567" s="256" t="n"/>
      <c r="AK567" s="256" t="n"/>
      <c r="AL567" s="256" t="n"/>
      <c r="AM567" s="256" t="n"/>
      <c r="AN567" s="256" t="n"/>
      <c r="AO567" s="256" t="n"/>
      <c r="AP567" s="256" t="n"/>
      <c r="AQ567" s="256" t="n"/>
      <c r="AR567" s="256" t="n"/>
      <c r="AS567" s="256" t="n"/>
      <c r="AT567" s="256" t="n"/>
      <c r="AU567" s="256" t="n"/>
      <c r="AV567" s="256" t="n"/>
      <c r="AW567" s="256" t="n"/>
      <c r="AX567" s="256" t="n"/>
      <c r="AY567" s="256" t="n"/>
      <c r="AZ567" s="256" t="n"/>
      <c r="BA567" s="256" t="n"/>
      <c r="BB567" s="256" t="n"/>
      <c r="BC567" s="256" t="n"/>
      <c r="BD567" s="256" t="n"/>
      <c r="BE567" s="256" t="n"/>
      <c r="BF567" s="256" t="n"/>
      <c r="BG567" s="256" t="n"/>
      <c r="BH567" s="256" t="n"/>
      <c r="BI567" s="256" t="n"/>
      <c r="BJ567" s="256" t="n"/>
      <c r="BK567" s="256" t="n"/>
      <c r="BL567" s="256" t="n"/>
      <c r="BM567" s="256" t="n"/>
      <c r="BN567" s="256" t="n"/>
      <c r="BO567" s="256" t="n"/>
      <c r="BP567" s="256" t="n"/>
      <c r="BQ567" s="256" t="n"/>
      <c r="BR567" s="256" t="n"/>
      <c r="BS567" s="256" t="n"/>
      <c r="BT567" s="256" t="n"/>
      <c r="BU567" s="256" t="n"/>
      <c r="BV567" s="256" t="n"/>
      <c r="BW567" s="256" t="n"/>
      <c r="BX567" s="256" t="n"/>
      <c r="BY567" s="256" t="n"/>
      <c r="BZ567" s="256" t="n"/>
      <c r="CA567" s="256" t="n"/>
    </row>
    <row r="568" ht="12" customHeight="1" s="227">
      <c r="A568" s="244" t="n"/>
      <c r="B568" s="244" t="n"/>
      <c r="C568" s="244" t="n"/>
      <c r="H568" s="4">
        <f>i_Setup!U91</f>
        <v/>
      </c>
      <c r="I568" s="27">
        <f>i_Setup!$M$16</f>
        <v/>
      </c>
      <c r="K568" s="10" t="inlineStr">
        <is>
          <t>Annual</t>
        </is>
      </c>
      <c r="M568" s="256" t="n"/>
      <c r="N568" s="256" t="n"/>
      <c r="O568" s="256" t="n"/>
      <c r="P568" s="256" t="n"/>
      <c r="Q568" s="256" t="n"/>
      <c r="T568" s="256" t="n"/>
      <c r="U568" s="256" t="n"/>
      <c r="V568" s="256" t="n"/>
      <c r="W568" s="256" t="n"/>
      <c r="X568" s="256" t="n"/>
      <c r="Y568" s="256" t="n"/>
      <c r="Z568" s="256" t="n"/>
      <c r="AA568" s="256" t="n"/>
      <c r="AB568" s="256" t="n"/>
      <c r="AC568" s="256" t="n"/>
      <c r="AD568" s="256" t="n"/>
      <c r="AE568" s="256" t="n"/>
      <c r="AF568" s="256" t="n"/>
      <c r="AG568" s="256" t="n"/>
      <c r="AH568" s="256" t="n"/>
      <c r="AI568" s="256" t="n"/>
      <c r="AJ568" s="256" t="n"/>
      <c r="AK568" s="256" t="n"/>
      <c r="AL568" s="256" t="n"/>
      <c r="AM568" s="256" t="n"/>
      <c r="AN568" s="256" t="n"/>
      <c r="AO568" s="256" t="n"/>
      <c r="AP568" s="256" t="n"/>
      <c r="AQ568" s="256" t="n"/>
      <c r="AR568" s="256" t="n"/>
      <c r="AS568" s="256" t="n"/>
      <c r="AT568" s="256" t="n"/>
      <c r="AU568" s="256" t="n"/>
      <c r="AV568" s="256" t="n"/>
      <c r="AW568" s="256" t="n"/>
      <c r="AX568" s="256" t="n"/>
      <c r="AY568" s="256" t="n"/>
      <c r="AZ568" s="256" t="n"/>
      <c r="BA568" s="256" t="n"/>
      <c r="BB568" s="256" t="n"/>
      <c r="BC568" s="256" t="n"/>
      <c r="BD568" s="256" t="n"/>
      <c r="BE568" s="256" t="n"/>
      <c r="BF568" s="256" t="n"/>
      <c r="BG568" s="256" t="n"/>
      <c r="BH568" s="256" t="n"/>
      <c r="BI568" s="256" t="n"/>
      <c r="BJ568" s="256" t="n"/>
      <c r="BK568" s="256" t="n"/>
      <c r="BL568" s="256" t="n"/>
      <c r="BM568" s="256" t="n"/>
      <c r="BN568" s="256" t="n"/>
      <c r="BO568" s="256" t="n"/>
      <c r="BP568" s="256" t="n"/>
      <c r="BQ568" s="256" t="n"/>
      <c r="BR568" s="256" t="n"/>
      <c r="BS568" s="256" t="n"/>
      <c r="BT568" s="256" t="n"/>
      <c r="BU568" s="256" t="n"/>
      <c r="BV568" s="256" t="n"/>
      <c r="BW568" s="256" t="n"/>
      <c r="BX568" s="256" t="n"/>
      <c r="BY568" s="256" t="n"/>
      <c r="BZ568" s="256" t="n"/>
      <c r="CA568" s="256" t="n"/>
    </row>
    <row r="569" ht="12" customHeight="1" s="227">
      <c r="A569" s="244" t="n"/>
      <c r="B569" s="244" t="n"/>
      <c r="C569" s="244" t="n"/>
    </row>
    <row r="570" ht="12" customHeight="1" s="227">
      <c r="A570" s="244" t="n"/>
      <c r="B570" s="244" t="n"/>
      <c r="C570" s="244" t="n"/>
    </row>
    <row r="571" ht="12" customHeight="1" s="227">
      <c r="A571" s="244" t="n"/>
      <c r="B571" s="244" t="n"/>
      <c r="C571" s="244" t="n"/>
      <c r="G571" s="222" t="inlineStr">
        <is>
          <t>Other Expenses</t>
        </is>
      </c>
    </row>
    <row r="572" ht="12" customHeight="1" s="227">
      <c r="A572" s="244" t="n"/>
      <c r="B572" s="244" t="n"/>
      <c r="C572" s="244" t="n"/>
      <c r="I572" s="27" t="n"/>
      <c r="K572" s="8" t="inlineStr">
        <is>
          <t>Input:</t>
        </is>
      </c>
    </row>
    <row r="573" ht="12" customHeight="1" s="227">
      <c r="A573" s="244" t="n"/>
      <c r="B573" s="244" t="n"/>
      <c r="C573" s="244" t="n"/>
      <c r="H573" s="4">
        <f>i_Setup!U96</f>
        <v/>
      </c>
      <c r="I573" s="27">
        <f>i_Setup!$M$16</f>
        <v/>
      </c>
      <c r="K573" s="10" t="inlineStr">
        <is>
          <t>Annual</t>
        </is>
      </c>
      <c r="M573" s="256" t="n">
        <v>-1000000</v>
      </c>
      <c r="N573" s="256">
        <f>M573*1.03</f>
        <v/>
      </c>
      <c r="O573" s="256">
        <f>N573*1.03</f>
        <v/>
      </c>
      <c r="P573" s="256">
        <f>O573*1.03</f>
        <v/>
      </c>
      <c r="Q573" s="256">
        <f>P573*1.03</f>
        <v/>
      </c>
      <c r="T573" s="256" t="n"/>
      <c r="U573" s="256" t="n"/>
      <c r="V573" s="256" t="n"/>
      <c r="W573" s="256" t="n"/>
      <c r="X573" s="256" t="n"/>
      <c r="Y573" s="256" t="n"/>
      <c r="Z573" s="256" t="n"/>
      <c r="AA573" s="256" t="n"/>
      <c r="AB573" s="256" t="n"/>
      <c r="AC573" s="256" t="n"/>
      <c r="AD573" s="256" t="n"/>
      <c r="AE573" s="256" t="n"/>
      <c r="AF573" s="256" t="n"/>
      <c r="AG573" s="256" t="n"/>
      <c r="AH573" s="256" t="n"/>
      <c r="AI573" s="256" t="n"/>
      <c r="AJ573" s="256" t="n"/>
      <c r="AK573" s="256" t="n"/>
      <c r="AL573" s="256" t="n"/>
      <c r="AM573" s="256" t="n"/>
      <c r="AN573" s="256" t="n"/>
      <c r="AO573" s="256" t="n"/>
      <c r="AP573" s="256" t="n"/>
      <c r="AQ573" s="256" t="n"/>
      <c r="AR573" s="256" t="n"/>
      <c r="AS573" s="256" t="n"/>
      <c r="AT573" s="256" t="n"/>
      <c r="AU573" s="256" t="n"/>
      <c r="AV573" s="256" t="n"/>
      <c r="AW573" s="256" t="n"/>
      <c r="AX573" s="256" t="n"/>
      <c r="AY573" s="256" t="n"/>
      <c r="AZ573" s="256" t="n"/>
      <c r="BA573" s="256" t="n"/>
      <c r="BB573" s="256" t="n"/>
      <c r="BC573" s="256" t="n"/>
      <c r="BD573" s="256" t="n"/>
      <c r="BE573" s="256" t="n"/>
      <c r="BF573" s="256" t="n"/>
      <c r="BG573" s="256" t="n"/>
      <c r="BH573" s="256" t="n"/>
      <c r="BI573" s="256" t="n"/>
      <c r="BJ573" s="256" t="n"/>
      <c r="BK573" s="256" t="n"/>
      <c r="BL573" s="256" t="n"/>
      <c r="BM573" s="256" t="n"/>
      <c r="BN573" s="256" t="n"/>
      <c r="BO573" s="256" t="n"/>
      <c r="BP573" s="256" t="n"/>
      <c r="BQ573" s="256" t="n"/>
      <c r="BR573" s="256" t="n"/>
      <c r="BS573" s="256" t="n"/>
      <c r="BT573" s="256" t="n"/>
      <c r="BU573" s="256" t="n"/>
      <c r="BV573" s="256" t="n"/>
      <c r="BW573" s="256" t="n"/>
      <c r="BX573" s="256" t="n"/>
      <c r="BY573" s="256" t="n"/>
      <c r="BZ573" s="256" t="n"/>
      <c r="CA573" s="256" t="n"/>
    </row>
    <row r="574" ht="12" customHeight="1" s="227">
      <c r="A574" s="244" t="n"/>
      <c r="B574" s="244" t="n"/>
      <c r="C574" s="244" t="n"/>
      <c r="H574" s="4">
        <f>i_Setup!U97</f>
        <v/>
      </c>
      <c r="I574" s="27">
        <f>i_Setup!$M$16</f>
        <v/>
      </c>
      <c r="K574" s="10" t="inlineStr">
        <is>
          <t>Annual</t>
        </is>
      </c>
      <c r="M574" s="256" t="n">
        <v>-500000</v>
      </c>
      <c r="N574" s="256">
        <f>M574*1.03</f>
        <v/>
      </c>
      <c r="O574" s="256">
        <f>N574*1.03</f>
        <v/>
      </c>
      <c r="P574" s="256">
        <f>O574*1.03</f>
        <v/>
      </c>
      <c r="Q574" s="256">
        <f>P574*1.03</f>
        <v/>
      </c>
      <c r="T574" s="256" t="n"/>
      <c r="U574" s="256" t="n"/>
      <c r="V574" s="256" t="n"/>
      <c r="W574" s="256" t="n"/>
      <c r="X574" s="256" t="n"/>
      <c r="Y574" s="256" t="n"/>
      <c r="Z574" s="256" t="n"/>
      <c r="AA574" s="256" t="n"/>
      <c r="AB574" s="256" t="n"/>
      <c r="AC574" s="256" t="n"/>
      <c r="AD574" s="256" t="n"/>
      <c r="AE574" s="256" t="n"/>
      <c r="AF574" s="256" t="n"/>
      <c r="AG574" s="256" t="n"/>
      <c r="AH574" s="256" t="n"/>
      <c r="AI574" s="256" t="n"/>
      <c r="AJ574" s="256" t="n"/>
      <c r="AK574" s="256" t="n"/>
      <c r="AL574" s="256" t="n"/>
      <c r="AM574" s="256" t="n"/>
      <c r="AN574" s="256" t="n"/>
      <c r="AO574" s="256" t="n"/>
      <c r="AP574" s="256" t="n"/>
      <c r="AQ574" s="256" t="n"/>
      <c r="AR574" s="256" t="n"/>
      <c r="AS574" s="256" t="n"/>
      <c r="AT574" s="256" t="n"/>
      <c r="AU574" s="256" t="n"/>
      <c r="AV574" s="256" t="n"/>
      <c r="AW574" s="256" t="n"/>
      <c r="AX574" s="256" t="n"/>
      <c r="AY574" s="256" t="n"/>
      <c r="AZ574" s="256" t="n"/>
      <c r="BA574" s="256" t="n"/>
      <c r="BB574" s="256" t="n"/>
      <c r="BC574" s="256" t="n"/>
      <c r="BD574" s="256" t="n"/>
      <c r="BE574" s="256" t="n"/>
      <c r="BF574" s="256" t="n"/>
      <c r="BG574" s="256" t="n"/>
      <c r="BH574" s="256" t="n"/>
      <c r="BI574" s="256" t="n"/>
      <c r="BJ574" s="256" t="n"/>
      <c r="BK574" s="256" t="n"/>
      <c r="BL574" s="256" t="n"/>
      <c r="BM574" s="256" t="n"/>
      <c r="BN574" s="256" t="n"/>
      <c r="BO574" s="256" t="n"/>
      <c r="BP574" s="256" t="n"/>
      <c r="BQ574" s="256" t="n"/>
      <c r="BR574" s="256" t="n"/>
      <c r="BS574" s="256" t="n"/>
      <c r="BT574" s="256" t="n"/>
      <c r="BU574" s="256" t="n"/>
      <c r="BV574" s="256" t="n"/>
      <c r="BW574" s="256" t="n"/>
      <c r="BX574" s="256" t="n"/>
      <c r="BY574" s="256" t="n"/>
      <c r="BZ574" s="256" t="n"/>
      <c r="CA574" s="256" t="n"/>
    </row>
    <row r="575" ht="12" customHeight="1" s="227">
      <c r="A575" s="244" t="n"/>
      <c r="B575" s="244" t="n"/>
      <c r="C575" s="244" t="n"/>
      <c r="H575" s="4">
        <f>i_Setup!U98</f>
        <v/>
      </c>
      <c r="I575" s="27">
        <f>i_Setup!$M$16</f>
        <v/>
      </c>
      <c r="K575" s="10" t="inlineStr">
        <is>
          <t>Annual</t>
        </is>
      </c>
      <c r="M575" s="256" t="n">
        <v>-250000</v>
      </c>
      <c r="N575" s="256">
        <f>M575*1.03</f>
        <v/>
      </c>
      <c r="O575" s="256">
        <f>N575*1.03</f>
        <v/>
      </c>
      <c r="P575" s="256">
        <f>O575*1.03</f>
        <v/>
      </c>
      <c r="Q575" s="256">
        <f>P575*1.03</f>
        <v/>
      </c>
      <c r="T575" s="256" t="n"/>
      <c r="U575" s="256" t="n"/>
      <c r="V575" s="256" t="n"/>
      <c r="W575" s="256" t="n"/>
      <c r="X575" s="256" t="n"/>
      <c r="Y575" s="256" t="n"/>
      <c r="Z575" s="256" t="n"/>
      <c r="AA575" s="256" t="n"/>
      <c r="AB575" s="256" t="n"/>
      <c r="AC575" s="256" t="n"/>
      <c r="AD575" s="256" t="n"/>
      <c r="AE575" s="256" t="n"/>
      <c r="AF575" s="256" t="n"/>
      <c r="AG575" s="256" t="n"/>
      <c r="AH575" s="256" t="n"/>
      <c r="AI575" s="256" t="n"/>
      <c r="AJ575" s="256" t="n"/>
      <c r="AK575" s="256" t="n"/>
      <c r="AL575" s="256" t="n"/>
      <c r="AM575" s="256" t="n"/>
      <c r="AN575" s="256" t="n"/>
      <c r="AO575" s="256" t="n"/>
      <c r="AP575" s="256" t="n"/>
      <c r="AQ575" s="256" t="n"/>
      <c r="AR575" s="256" t="n"/>
      <c r="AS575" s="256" t="n"/>
      <c r="AT575" s="256" t="n"/>
      <c r="AU575" s="256" t="n"/>
      <c r="AV575" s="256" t="n"/>
      <c r="AW575" s="256" t="n"/>
      <c r="AX575" s="256" t="n"/>
      <c r="AY575" s="256" t="n"/>
      <c r="AZ575" s="256" t="n"/>
      <c r="BA575" s="256" t="n"/>
      <c r="BB575" s="256" t="n"/>
      <c r="BC575" s="256" t="n"/>
      <c r="BD575" s="256" t="n"/>
      <c r="BE575" s="256" t="n"/>
      <c r="BF575" s="256" t="n"/>
      <c r="BG575" s="256" t="n"/>
      <c r="BH575" s="256" t="n"/>
      <c r="BI575" s="256" t="n"/>
      <c r="BJ575" s="256" t="n"/>
      <c r="BK575" s="256" t="n"/>
      <c r="BL575" s="256" t="n"/>
      <c r="BM575" s="256" t="n"/>
      <c r="BN575" s="256" t="n"/>
      <c r="BO575" s="256" t="n"/>
      <c r="BP575" s="256" t="n"/>
      <c r="BQ575" s="256" t="n"/>
      <c r="BR575" s="256" t="n"/>
      <c r="BS575" s="256" t="n"/>
      <c r="BT575" s="256" t="n"/>
      <c r="BU575" s="256" t="n"/>
      <c r="BV575" s="256" t="n"/>
      <c r="BW575" s="256" t="n"/>
      <c r="BX575" s="256" t="n"/>
      <c r="BY575" s="256" t="n"/>
      <c r="BZ575" s="256" t="n"/>
      <c r="CA575" s="256" t="n"/>
    </row>
    <row r="576" ht="12" customHeight="1" s="227">
      <c r="A576" s="244" t="n"/>
      <c r="B576" s="244" t="n"/>
      <c r="C576" s="244" t="n"/>
      <c r="H576" s="4">
        <f>i_Setup!U99</f>
        <v/>
      </c>
      <c r="I576" s="27">
        <f>i_Setup!$M$16</f>
        <v/>
      </c>
      <c r="K576" s="10" t="inlineStr">
        <is>
          <t>Annual</t>
        </is>
      </c>
      <c r="M576" s="256" t="n">
        <v>-150000</v>
      </c>
      <c r="N576" s="256">
        <f>M576*1.03</f>
        <v/>
      </c>
      <c r="O576" s="256">
        <f>N576*1.03</f>
        <v/>
      </c>
      <c r="P576" s="256">
        <f>O576*1.03</f>
        <v/>
      </c>
      <c r="Q576" s="256">
        <f>P576*1.03</f>
        <v/>
      </c>
      <c r="T576" s="256" t="n"/>
      <c r="U576" s="256" t="n"/>
      <c r="V576" s="256" t="n"/>
      <c r="W576" s="256" t="n"/>
      <c r="X576" s="256" t="n"/>
      <c r="Y576" s="256" t="n"/>
      <c r="Z576" s="256" t="n"/>
      <c r="AA576" s="256" t="n"/>
      <c r="AB576" s="256" t="n"/>
      <c r="AC576" s="256" t="n"/>
      <c r="AD576" s="256" t="n"/>
      <c r="AE576" s="256" t="n"/>
      <c r="AF576" s="256" t="n"/>
      <c r="AG576" s="256" t="n"/>
      <c r="AH576" s="256" t="n"/>
      <c r="AI576" s="256" t="n"/>
      <c r="AJ576" s="256" t="n"/>
      <c r="AK576" s="256" t="n"/>
      <c r="AL576" s="256" t="n"/>
      <c r="AM576" s="256" t="n"/>
      <c r="AN576" s="256" t="n"/>
      <c r="AO576" s="256" t="n"/>
      <c r="AP576" s="256" t="n"/>
      <c r="AQ576" s="256" t="n"/>
      <c r="AR576" s="256" t="n"/>
      <c r="AS576" s="256" t="n"/>
      <c r="AT576" s="256" t="n"/>
      <c r="AU576" s="256" t="n"/>
      <c r="AV576" s="256" t="n"/>
      <c r="AW576" s="256" t="n"/>
      <c r="AX576" s="256" t="n"/>
      <c r="AY576" s="256" t="n"/>
      <c r="AZ576" s="256" t="n"/>
      <c r="BA576" s="256" t="n"/>
      <c r="BB576" s="256" t="n"/>
      <c r="BC576" s="256" t="n"/>
      <c r="BD576" s="256" t="n"/>
      <c r="BE576" s="256" t="n"/>
      <c r="BF576" s="256" t="n"/>
      <c r="BG576" s="256" t="n"/>
      <c r="BH576" s="256" t="n"/>
      <c r="BI576" s="256" t="n"/>
      <c r="BJ576" s="256" t="n"/>
      <c r="BK576" s="256" t="n"/>
      <c r="BL576" s="256" t="n"/>
      <c r="BM576" s="256" t="n"/>
      <c r="BN576" s="256" t="n"/>
      <c r="BO576" s="256" t="n"/>
      <c r="BP576" s="256" t="n"/>
      <c r="BQ576" s="256" t="n"/>
      <c r="BR576" s="256" t="n"/>
      <c r="BS576" s="256" t="n"/>
      <c r="BT576" s="256" t="n"/>
      <c r="BU576" s="256" t="n"/>
      <c r="BV576" s="256" t="n"/>
      <c r="BW576" s="256" t="n"/>
      <c r="BX576" s="256" t="n"/>
      <c r="BY576" s="256" t="n"/>
      <c r="BZ576" s="256" t="n"/>
      <c r="CA576" s="256" t="n"/>
    </row>
    <row r="577" ht="12" customHeight="1" s="227">
      <c r="A577" s="244" t="n"/>
      <c r="B577" s="244" t="n"/>
      <c r="C577" s="244" t="n"/>
      <c r="H577" s="4">
        <f>i_Setup!U100</f>
        <v/>
      </c>
      <c r="I577" s="27">
        <f>i_Setup!$M$16</f>
        <v/>
      </c>
      <c r="K577" s="10" t="inlineStr">
        <is>
          <t>Annual</t>
        </is>
      </c>
      <c r="M577" s="256" t="n">
        <v>-300000</v>
      </c>
      <c r="N577" s="256">
        <f>M577*1.03</f>
        <v/>
      </c>
      <c r="O577" s="256">
        <f>N577*1.03</f>
        <v/>
      </c>
      <c r="P577" s="256">
        <f>O577*1.03</f>
        <v/>
      </c>
      <c r="Q577" s="256">
        <f>P577*1.03</f>
        <v/>
      </c>
      <c r="T577" s="256" t="n"/>
      <c r="U577" s="256" t="n"/>
      <c r="V577" s="256" t="n"/>
      <c r="W577" s="256" t="n"/>
      <c r="X577" s="256" t="n"/>
      <c r="Y577" s="256" t="n"/>
      <c r="Z577" s="256" t="n"/>
      <c r="AA577" s="256" t="n"/>
      <c r="AB577" s="256" t="n"/>
      <c r="AC577" s="256" t="n"/>
      <c r="AD577" s="256" t="n"/>
      <c r="AE577" s="256" t="n"/>
      <c r="AF577" s="256" t="n"/>
      <c r="AG577" s="256" t="n"/>
      <c r="AH577" s="256" t="n"/>
      <c r="AI577" s="256" t="n"/>
      <c r="AJ577" s="256" t="n"/>
      <c r="AK577" s="256" t="n"/>
      <c r="AL577" s="256" t="n"/>
      <c r="AM577" s="256" t="n"/>
      <c r="AN577" s="256" t="n"/>
      <c r="AO577" s="256" t="n"/>
      <c r="AP577" s="256" t="n"/>
      <c r="AQ577" s="256" t="n"/>
      <c r="AR577" s="256" t="n"/>
      <c r="AS577" s="256" t="n"/>
      <c r="AT577" s="256" t="n"/>
      <c r="AU577" s="256" t="n"/>
      <c r="AV577" s="256" t="n"/>
      <c r="AW577" s="256" t="n"/>
      <c r="AX577" s="256" t="n"/>
      <c r="AY577" s="256" t="n"/>
      <c r="AZ577" s="256" t="n"/>
      <c r="BA577" s="256" t="n"/>
      <c r="BB577" s="256" t="n"/>
      <c r="BC577" s="256" t="n"/>
      <c r="BD577" s="256" t="n"/>
      <c r="BE577" s="256" t="n"/>
      <c r="BF577" s="256" t="n"/>
      <c r="BG577" s="256" t="n"/>
      <c r="BH577" s="256" t="n"/>
      <c r="BI577" s="256" t="n"/>
      <c r="BJ577" s="256" t="n"/>
      <c r="BK577" s="256" t="n"/>
      <c r="BL577" s="256" t="n"/>
      <c r="BM577" s="256" t="n"/>
      <c r="BN577" s="256" t="n"/>
      <c r="BO577" s="256" t="n"/>
      <c r="BP577" s="256" t="n"/>
      <c r="BQ577" s="256" t="n"/>
      <c r="BR577" s="256" t="n"/>
      <c r="BS577" s="256" t="n"/>
      <c r="BT577" s="256" t="n"/>
      <c r="BU577" s="256" t="n"/>
      <c r="BV577" s="256" t="n"/>
      <c r="BW577" s="256" t="n"/>
      <c r="BX577" s="256" t="n"/>
      <c r="BY577" s="256" t="n"/>
      <c r="BZ577" s="256" t="n"/>
      <c r="CA577" s="256" t="n"/>
    </row>
    <row r="578" ht="12" customHeight="1" s="227">
      <c r="A578" s="244" t="n"/>
      <c r="B578" s="244" t="n"/>
      <c r="C578" s="244" t="n"/>
      <c r="H578" s="4">
        <f>i_Setup!U101</f>
        <v/>
      </c>
      <c r="I578" s="27">
        <f>i_Setup!$M$16</f>
        <v/>
      </c>
      <c r="K578" s="10" t="inlineStr">
        <is>
          <t>Annual</t>
        </is>
      </c>
      <c r="M578" s="256" t="n">
        <v>-50000</v>
      </c>
      <c r="N578" s="256">
        <f>M578*1.03</f>
        <v/>
      </c>
      <c r="O578" s="256">
        <f>N578*1.03</f>
        <v/>
      </c>
      <c r="P578" s="256">
        <f>O578*1.03</f>
        <v/>
      </c>
      <c r="Q578" s="256">
        <f>P578*1.03</f>
        <v/>
      </c>
      <c r="T578" s="256" t="n"/>
      <c r="U578" s="256" t="n"/>
      <c r="V578" s="256" t="n"/>
      <c r="W578" s="256" t="n"/>
      <c r="X578" s="256" t="n"/>
      <c r="Y578" s="256" t="n"/>
      <c r="Z578" s="256" t="n"/>
      <c r="AA578" s="256" t="n"/>
      <c r="AB578" s="256" t="n"/>
      <c r="AC578" s="256" t="n"/>
      <c r="AD578" s="256" t="n"/>
      <c r="AE578" s="256" t="n"/>
      <c r="AF578" s="256" t="n"/>
      <c r="AG578" s="256" t="n"/>
      <c r="AH578" s="256" t="n"/>
      <c r="AI578" s="256" t="n"/>
      <c r="AJ578" s="256" t="n"/>
      <c r="AK578" s="256" t="n"/>
      <c r="AL578" s="256" t="n"/>
      <c r="AM578" s="256" t="n"/>
      <c r="AN578" s="256" t="n"/>
      <c r="AO578" s="256" t="n"/>
      <c r="AP578" s="256" t="n"/>
      <c r="AQ578" s="256" t="n"/>
      <c r="AR578" s="256" t="n"/>
      <c r="AS578" s="256" t="n"/>
      <c r="AT578" s="256" t="n"/>
      <c r="AU578" s="256" t="n"/>
      <c r="AV578" s="256" t="n"/>
      <c r="AW578" s="256" t="n"/>
      <c r="AX578" s="256" t="n"/>
      <c r="AY578" s="256" t="n"/>
      <c r="AZ578" s="256" t="n"/>
      <c r="BA578" s="256" t="n"/>
      <c r="BB578" s="256" t="n"/>
      <c r="BC578" s="256" t="n"/>
      <c r="BD578" s="256" t="n"/>
      <c r="BE578" s="256" t="n"/>
      <c r="BF578" s="256" t="n"/>
      <c r="BG578" s="256" t="n"/>
      <c r="BH578" s="256" t="n"/>
      <c r="BI578" s="256" t="n"/>
      <c r="BJ578" s="256" t="n"/>
      <c r="BK578" s="256" t="n"/>
      <c r="BL578" s="256" t="n"/>
      <c r="BM578" s="256" t="n"/>
      <c r="BN578" s="256" t="n"/>
      <c r="BO578" s="256" t="n"/>
      <c r="BP578" s="256" t="n"/>
      <c r="BQ578" s="256" t="n"/>
      <c r="BR578" s="256" t="n"/>
      <c r="BS578" s="256" t="n"/>
      <c r="BT578" s="256" t="n"/>
      <c r="BU578" s="256" t="n"/>
      <c r="BV578" s="256" t="n"/>
      <c r="BW578" s="256" t="n"/>
      <c r="BX578" s="256" t="n"/>
      <c r="BY578" s="256" t="n"/>
      <c r="BZ578" s="256" t="n"/>
      <c r="CA578" s="256" t="n"/>
    </row>
    <row r="579" ht="12" customHeight="1" s="227">
      <c r="A579" s="244" t="n"/>
      <c r="B579" s="244" t="n"/>
      <c r="C579" s="244" t="n"/>
      <c r="H579" s="4">
        <f>i_Setup!U102</f>
        <v/>
      </c>
      <c r="I579" s="27">
        <f>i_Setup!$M$16</f>
        <v/>
      </c>
      <c r="K579" s="10" t="inlineStr">
        <is>
          <t>Annual</t>
        </is>
      </c>
      <c r="M579" s="256" t="n">
        <v>-400000</v>
      </c>
      <c r="N579" s="256">
        <f>M579*1.03</f>
        <v/>
      </c>
      <c r="O579" s="256">
        <f>N579*1.03</f>
        <v/>
      </c>
      <c r="P579" s="256">
        <f>O579*1.03</f>
        <v/>
      </c>
      <c r="Q579" s="256">
        <f>P579*1.03</f>
        <v/>
      </c>
      <c r="T579" s="256" t="n"/>
      <c r="U579" s="256" t="n"/>
      <c r="V579" s="256" t="n"/>
      <c r="W579" s="256" t="n"/>
      <c r="X579" s="256" t="n"/>
      <c r="Y579" s="256" t="n"/>
      <c r="Z579" s="256" t="n"/>
      <c r="AA579" s="256" t="n"/>
      <c r="AB579" s="256" t="n"/>
      <c r="AC579" s="256" t="n"/>
      <c r="AD579" s="256" t="n"/>
      <c r="AE579" s="256" t="n"/>
      <c r="AF579" s="256" t="n"/>
      <c r="AG579" s="256" t="n"/>
      <c r="AH579" s="256" t="n"/>
      <c r="AI579" s="256" t="n"/>
      <c r="AJ579" s="256" t="n"/>
      <c r="AK579" s="256" t="n"/>
      <c r="AL579" s="256" t="n"/>
      <c r="AM579" s="256" t="n"/>
      <c r="AN579" s="256" t="n"/>
      <c r="AO579" s="256" t="n"/>
      <c r="AP579" s="256" t="n"/>
      <c r="AQ579" s="256" t="n"/>
      <c r="AR579" s="256" t="n"/>
      <c r="AS579" s="256" t="n"/>
      <c r="AT579" s="256" t="n"/>
      <c r="AU579" s="256" t="n"/>
      <c r="AV579" s="256" t="n"/>
      <c r="AW579" s="256" t="n"/>
      <c r="AX579" s="256" t="n"/>
      <c r="AY579" s="256" t="n"/>
      <c r="AZ579" s="256" t="n"/>
      <c r="BA579" s="256" t="n"/>
      <c r="BB579" s="256" t="n"/>
      <c r="BC579" s="256" t="n"/>
      <c r="BD579" s="256" t="n"/>
      <c r="BE579" s="256" t="n"/>
      <c r="BF579" s="256" t="n"/>
      <c r="BG579" s="256" t="n"/>
      <c r="BH579" s="256" t="n"/>
      <c r="BI579" s="256" t="n"/>
      <c r="BJ579" s="256" t="n"/>
      <c r="BK579" s="256" t="n"/>
      <c r="BL579" s="256" t="n"/>
      <c r="BM579" s="256" t="n"/>
      <c r="BN579" s="256" t="n"/>
      <c r="BO579" s="256" t="n"/>
      <c r="BP579" s="256" t="n"/>
      <c r="BQ579" s="256" t="n"/>
      <c r="BR579" s="256" t="n"/>
      <c r="BS579" s="256" t="n"/>
      <c r="BT579" s="256" t="n"/>
      <c r="BU579" s="256" t="n"/>
      <c r="BV579" s="256" t="n"/>
      <c r="BW579" s="256" t="n"/>
      <c r="BX579" s="256" t="n"/>
      <c r="BY579" s="256" t="n"/>
      <c r="BZ579" s="256" t="n"/>
      <c r="CA579" s="256" t="n"/>
    </row>
    <row r="580" ht="12" customHeight="1" s="227">
      <c r="A580" s="244" t="n"/>
      <c r="B580" s="244" t="n"/>
      <c r="C580" s="244" t="n"/>
      <c r="H580" s="4">
        <f>i_Setup!U103</f>
        <v/>
      </c>
      <c r="I580" s="27">
        <f>i_Setup!$M$16</f>
        <v/>
      </c>
      <c r="K580" s="10" t="inlineStr">
        <is>
          <t>Annual</t>
        </is>
      </c>
      <c r="M580" s="256" t="n"/>
      <c r="N580" s="256" t="n"/>
      <c r="O580" s="256" t="n"/>
      <c r="P580" s="256" t="n"/>
      <c r="Q580" s="256" t="n"/>
      <c r="T580" s="256" t="n"/>
      <c r="U580" s="256" t="n"/>
      <c r="V580" s="256" t="n"/>
      <c r="W580" s="256" t="n"/>
      <c r="X580" s="256" t="n"/>
      <c r="Y580" s="256" t="n"/>
      <c r="Z580" s="256" t="n"/>
      <c r="AA580" s="256" t="n"/>
      <c r="AB580" s="256" t="n"/>
      <c r="AC580" s="256" t="n"/>
      <c r="AD580" s="256" t="n"/>
      <c r="AE580" s="256" t="n"/>
      <c r="AF580" s="256" t="n"/>
      <c r="AG580" s="256" t="n"/>
      <c r="AH580" s="256" t="n"/>
      <c r="AI580" s="256" t="n"/>
      <c r="AJ580" s="256" t="n"/>
      <c r="AK580" s="256" t="n"/>
      <c r="AL580" s="256" t="n"/>
      <c r="AM580" s="256" t="n"/>
      <c r="AN580" s="256" t="n"/>
      <c r="AO580" s="256" t="n"/>
      <c r="AP580" s="256" t="n"/>
      <c r="AQ580" s="256" t="n"/>
      <c r="AR580" s="256" t="n"/>
      <c r="AS580" s="256" t="n"/>
      <c r="AT580" s="256" t="n"/>
      <c r="AU580" s="256" t="n"/>
      <c r="AV580" s="256" t="n"/>
      <c r="AW580" s="256" t="n"/>
      <c r="AX580" s="256" t="n"/>
      <c r="AY580" s="256" t="n"/>
      <c r="AZ580" s="256" t="n"/>
      <c r="BA580" s="256" t="n"/>
      <c r="BB580" s="256" t="n"/>
      <c r="BC580" s="256" t="n"/>
      <c r="BD580" s="256" t="n"/>
      <c r="BE580" s="256" t="n"/>
      <c r="BF580" s="256" t="n"/>
      <c r="BG580" s="256" t="n"/>
      <c r="BH580" s="256" t="n"/>
      <c r="BI580" s="256" t="n"/>
      <c r="BJ580" s="256" t="n"/>
      <c r="BK580" s="256" t="n"/>
      <c r="BL580" s="256" t="n"/>
      <c r="BM580" s="256" t="n"/>
      <c r="BN580" s="256" t="n"/>
      <c r="BO580" s="256" t="n"/>
      <c r="BP580" s="256" t="n"/>
      <c r="BQ580" s="256" t="n"/>
      <c r="BR580" s="256" t="n"/>
      <c r="BS580" s="256" t="n"/>
      <c r="BT580" s="256" t="n"/>
      <c r="BU580" s="256" t="n"/>
      <c r="BV580" s="256" t="n"/>
      <c r="BW580" s="256" t="n"/>
      <c r="BX580" s="256" t="n"/>
      <c r="BY580" s="256" t="n"/>
      <c r="BZ580" s="256" t="n"/>
      <c r="CA580" s="256" t="n"/>
    </row>
    <row r="581" ht="12" customHeight="1" s="227">
      <c r="A581" s="244" t="n"/>
      <c r="B581" s="244" t="n"/>
      <c r="C581" s="244" t="n"/>
      <c r="H581" s="4">
        <f>i_Setup!U104</f>
        <v/>
      </c>
      <c r="I581" s="27">
        <f>i_Setup!$M$16</f>
        <v/>
      </c>
      <c r="K581" s="10" t="inlineStr">
        <is>
          <t>Annual</t>
        </is>
      </c>
      <c r="M581" s="256" t="n"/>
      <c r="N581" s="256" t="n"/>
      <c r="O581" s="256" t="n"/>
      <c r="P581" s="256" t="n"/>
      <c r="Q581" s="256" t="n"/>
      <c r="T581" s="256" t="n"/>
      <c r="U581" s="256" t="n"/>
      <c r="V581" s="256" t="n"/>
      <c r="W581" s="256" t="n"/>
      <c r="X581" s="256" t="n"/>
      <c r="Y581" s="256" t="n"/>
      <c r="Z581" s="256" t="n"/>
      <c r="AA581" s="256" t="n"/>
      <c r="AB581" s="256" t="n"/>
      <c r="AC581" s="256" t="n"/>
      <c r="AD581" s="256" t="n"/>
      <c r="AE581" s="256" t="n"/>
      <c r="AF581" s="256" t="n"/>
      <c r="AG581" s="256" t="n"/>
      <c r="AH581" s="256" t="n"/>
      <c r="AI581" s="256" t="n"/>
      <c r="AJ581" s="256" t="n"/>
      <c r="AK581" s="256" t="n"/>
      <c r="AL581" s="256" t="n"/>
      <c r="AM581" s="256" t="n"/>
      <c r="AN581" s="256" t="n"/>
      <c r="AO581" s="256" t="n"/>
      <c r="AP581" s="256" t="n"/>
      <c r="AQ581" s="256" t="n"/>
      <c r="AR581" s="256" t="n"/>
      <c r="AS581" s="256" t="n"/>
      <c r="AT581" s="256" t="n"/>
      <c r="AU581" s="256" t="n"/>
      <c r="AV581" s="256" t="n"/>
      <c r="AW581" s="256" t="n"/>
      <c r="AX581" s="256" t="n"/>
      <c r="AY581" s="256" t="n"/>
      <c r="AZ581" s="256" t="n"/>
      <c r="BA581" s="256" t="n"/>
      <c r="BB581" s="256" t="n"/>
      <c r="BC581" s="256" t="n"/>
      <c r="BD581" s="256" t="n"/>
      <c r="BE581" s="256" t="n"/>
      <c r="BF581" s="256" t="n"/>
      <c r="BG581" s="256" t="n"/>
      <c r="BH581" s="256" t="n"/>
      <c r="BI581" s="256" t="n"/>
      <c r="BJ581" s="256" t="n"/>
      <c r="BK581" s="256" t="n"/>
      <c r="BL581" s="256" t="n"/>
      <c r="BM581" s="256" t="n"/>
      <c r="BN581" s="256" t="n"/>
      <c r="BO581" s="256" t="n"/>
      <c r="BP581" s="256" t="n"/>
      <c r="BQ581" s="256" t="n"/>
      <c r="BR581" s="256" t="n"/>
      <c r="BS581" s="256" t="n"/>
      <c r="BT581" s="256" t="n"/>
      <c r="BU581" s="256" t="n"/>
      <c r="BV581" s="256" t="n"/>
      <c r="BW581" s="256" t="n"/>
      <c r="BX581" s="256" t="n"/>
      <c r="BY581" s="256" t="n"/>
      <c r="BZ581" s="256" t="n"/>
      <c r="CA581" s="256" t="n"/>
    </row>
    <row r="582" ht="12" customHeight="1" s="227">
      <c r="A582" s="244" t="n"/>
      <c r="B582" s="244" t="n"/>
      <c r="C582" s="244" t="n"/>
      <c r="H582" s="4">
        <f>i_Setup!U105</f>
        <v/>
      </c>
      <c r="I582" s="27">
        <f>i_Setup!$M$16</f>
        <v/>
      </c>
      <c r="K582" s="10" t="inlineStr">
        <is>
          <t>Annual</t>
        </is>
      </c>
      <c r="M582" s="256" t="n"/>
      <c r="N582" s="256" t="n"/>
      <c r="O582" s="256" t="n"/>
      <c r="P582" s="256" t="n"/>
      <c r="Q582" s="256" t="n"/>
      <c r="T582" s="256" t="n"/>
      <c r="U582" s="256" t="n"/>
      <c r="V582" s="256" t="n"/>
      <c r="W582" s="256" t="n"/>
      <c r="X582" s="256" t="n"/>
      <c r="Y582" s="256" t="n"/>
      <c r="Z582" s="256" t="n"/>
      <c r="AA582" s="256" t="n"/>
      <c r="AB582" s="256" t="n"/>
      <c r="AC582" s="256" t="n"/>
      <c r="AD582" s="256" t="n"/>
      <c r="AE582" s="256" t="n"/>
      <c r="AF582" s="256" t="n"/>
      <c r="AG582" s="256" t="n"/>
      <c r="AH582" s="256" t="n"/>
      <c r="AI582" s="256" t="n"/>
      <c r="AJ582" s="256" t="n"/>
      <c r="AK582" s="256" t="n"/>
      <c r="AL582" s="256" t="n"/>
      <c r="AM582" s="256" t="n"/>
      <c r="AN582" s="256" t="n"/>
      <c r="AO582" s="256" t="n"/>
      <c r="AP582" s="256" t="n"/>
      <c r="AQ582" s="256" t="n"/>
      <c r="AR582" s="256" t="n"/>
      <c r="AS582" s="256" t="n"/>
      <c r="AT582" s="256" t="n"/>
      <c r="AU582" s="256" t="n"/>
      <c r="AV582" s="256" t="n"/>
      <c r="AW582" s="256" t="n"/>
      <c r="AX582" s="256" t="n"/>
      <c r="AY582" s="256" t="n"/>
      <c r="AZ582" s="256" t="n"/>
      <c r="BA582" s="256" t="n"/>
      <c r="BB582" s="256" t="n"/>
      <c r="BC582" s="256" t="n"/>
      <c r="BD582" s="256" t="n"/>
      <c r="BE582" s="256" t="n"/>
      <c r="BF582" s="256" t="n"/>
      <c r="BG582" s="256" t="n"/>
      <c r="BH582" s="256" t="n"/>
      <c r="BI582" s="256" t="n"/>
      <c r="BJ582" s="256" t="n"/>
      <c r="BK582" s="256" t="n"/>
      <c r="BL582" s="256" t="n"/>
      <c r="BM582" s="256" t="n"/>
      <c r="BN582" s="256" t="n"/>
      <c r="BO582" s="256" t="n"/>
      <c r="BP582" s="256" t="n"/>
      <c r="BQ582" s="256" t="n"/>
      <c r="BR582" s="256" t="n"/>
      <c r="BS582" s="256" t="n"/>
      <c r="BT582" s="256" t="n"/>
      <c r="BU582" s="256" t="n"/>
      <c r="BV582" s="256" t="n"/>
      <c r="BW582" s="256" t="n"/>
      <c r="BX582" s="256" t="n"/>
      <c r="BY582" s="256" t="n"/>
      <c r="BZ582" s="256" t="n"/>
      <c r="CA582" s="256" t="n"/>
    </row>
    <row r="583" ht="12" customHeight="1" s="227">
      <c r="A583" s="244" t="n"/>
      <c r="B583" s="244" t="n"/>
      <c r="C583" s="244" t="n"/>
      <c r="H583" s="4">
        <f>i_Setup!U106</f>
        <v/>
      </c>
      <c r="I583" s="27">
        <f>i_Setup!$M$16</f>
        <v/>
      </c>
      <c r="K583" s="10" t="inlineStr">
        <is>
          <t>Annual</t>
        </is>
      </c>
      <c r="M583" s="256" t="n"/>
      <c r="N583" s="256" t="n"/>
      <c r="O583" s="256" t="n"/>
      <c r="P583" s="256" t="n"/>
      <c r="Q583" s="256" t="n"/>
      <c r="T583" s="256" t="n"/>
      <c r="U583" s="256" t="n"/>
      <c r="V583" s="256" t="n"/>
      <c r="W583" s="256" t="n"/>
      <c r="X583" s="256" t="n"/>
      <c r="Y583" s="256" t="n"/>
      <c r="Z583" s="256" t="n"/>
      <c r="AA583" s="256" t="n"/>
      <c r="AB583" s="256" t="n"/>
      <c r="AC583" s="256" t="n"/>
      <c r="AD583" s="256" t="n"/>
      <c r="AE583" s="256" t="n"/>
      <c r="AF583" s="256" t="n"/>
      <c r="AG583" s="256" t="n"/>
      <c r="AH583" s="256" t="n"/>
      <c r="AI583" s="256" t="n"/>
      <c r="AJ583" s="256" t="n"/>
      <c r="AK583" s="256" t="n"/>
      <c r="AL583" s="256" t="n"/>
      <c r="AM583" s="256" t="n"/>
      <c r="AN583" s="256" t="n"/>
      <c r="AO583" s="256" t="n"/>
      <c r="AP583" s="256" t="n"/>
      <c r="AQ583" s="256" t="n"/>
      <c r="AR583" s="256" t="n"/>
      <c r="AS583" s="256" t="n"/>
      <c r="AT583" s="256" t="n"/>
      <c r="AU583" s="256" t="n"/>
      <c r="AV583" s="256" t="n"/>
      <c r="AW583" s="256" t="n"/>
      <c r="AX583" s="256" t="n"/>
      <c r="AY583" s="256" t="n"/>
      <c r="AZ583" s="256" t="n"/>
      <c r="BA583" s="256" t="n"/>
      <c r="BB583" s="256" t="n"/>
      <c r="BC583" s="256" t="n"/>
      <c r="BD583" s="256" t="n"/>
      <c r="BE583" s="256" t="n"/>
      <c r="BF583" s="256" t="n"/>
      <c r="BG583" s="256" t="n"/>
      <c r="BH583" s="256" t="n"/>
      <c r="BI583" s="256" t="n"/>
      <c r="BJ583" s="256" t="n"/>
      <c r="BK583" s="256" t="n"/>
      <c r="BL583" s="256" t="n"/>
      <c r="BM583" s="256" t="n"/>
      <c r="BN583" s="256" t="n"/>
      <c r="BO583" s="256" t="n"/>
      <c r="BP583" s="256" t="n"/>
      <c r="BQ583" s="256" t="n"/>
      <c r="BR583" s="256" t="n"/>
      <c r="BS583" s="256" t="n"/>
      <c r="BT583" s="256" t="n"/>
      <c r="BU583" s="256" t="n"/>
      <c r="BV583" s="256" t="n"/>
      <c r="BW583" s="256" t="n"/>
      <c r="BX583" s="256" t="n"/>
      <c r="BY583" s="256" t="n"/>
      <c r="BZ583" s="256" t="n"/>
      <c r="CA583" s="256" t="n"/>
    </row>
    <row r="584" ht="12" customHeight="1" s="227">
      <c r="A584" s="244" t="n"/>
      <c r="B584" s="244" t="n"/>
      <c r="C584" s="244" t="n"/>
      <c r="H584" s="4">
        <f>i_Setup!U107</f>
        <v/>
      </c>
      <c r="I584" s="27">
        <f>i_Setup!$M$16</f>
        <v/>
      </c>
      <c r="K584" s="10" t="inlineStr">
        <is>
          <t>Annual</t>
        </is>
      </c>
      <c r="M584" s="256" t="n"/>
      <c r="N584" s="256" t="n"/>
      <c r="O584" s="256" t="n"/>
      <c r="P584" s="256" t="n"/>
      <c r="Q584" s="256" t="n"/>
      <c r="T584" s="256" t="n"/>
      <c r="U584" s="256" t="n"/>
      <c r="V584" s="256" t="n"/>
      <c r="W584" s="256" t="n"/>
      <c r="X584" s="256" t="n"/>
      <c r="Y584" s="256" t="n"/>
      <c r="Z584" s="256" t="n"/>
      <c r="AA584" s="256" t="n"/>
      <c r="AB584" s="256" t="n"/>
      <c r="AC584" s="256" t="n"/>
      <c r="AD584" s="256" t="n"/>
      <c r="AE584" s="256" t="n"/>
      <c r="AF584" s="256" t="n"/>
      <c r="AG584" s="256" t="n"/>
      <c r="AH584" s="256" t="n"/>
      <c r="AI584" s="256" t="n"/>
      <c r="AJ584" s="256" t="n"/>
      <c r="AK584" s="256" t="n"/>
      <c r="AL584" s="256" t="n"/>
      <c r="AM584" s="256" t="n"/>
      <c r="AN584" s="256" t="n"/>
      <c r="AO584" s="256" t="n"/>
      <c r="AP584" s="256" t="n"/>
      <c r="AQ584" s="256" t="n"/>
      <c r="AR584" s="256" t="n"/>
      <c r="AS584" s="256" t="n"/>
      <c r="AT584" s="256" t="n"/>
      <c r="AU584" s="256" t="n"/>
      <c r="AV584" s="256" t="n"/>
      <c r="AW584" s="256" t="n"/>
      <c r="AX584" s="256" t="n"/>
      <c r="AY584" s="256" t="n"/>
      <c r="AZ584" s="256" t="n"/>
      <c r="BA584" s="256" t="n"/>
      <c r="BB584" s="256" t="n"/>
      <c r="BC584" s="256" t="n"/>
      <c r="BD584" s="256" t="n"/>
      <c r="BE584" s="256" t="n"/>
      <c r="BF584" s="256" t="n"/>
      <c r="BG584" s="256" t="n"/>
      <c r="BH584" s="256" t="n"/>
      <c r="BI584" s="256" t="n"/>
      <c r="BJ584" s="256" t="n"/>
      <c r="BK584" s="256" t="n"/>
      <c r="BL584" s="256" t="n"/>
      <c r="BM584" s="256" t="n"/>
      <c r="BN584" s="256" t="n"/>
      <c r="BO584" s="256" t="n"/>
      <c r="BP584" s="256" t="n"/>
      <c r="BQ584" s="256" t="n"/>
      <c r="BR584" s="256" t="n"/>
      <c r="BS584" s="256" t="n"/>
      <c r="BT584" s="256" t="n"/>
      <c r="BU584" s="256" t="n"/>
      <c r="BV584" s="256" t="n"/>
      <c r="BW584" s="256" t="n"/>
      <c r="BX584" s="256" t="n"/>
      <c r="BY584" s="256" t="n"/>
      <c r="BZ584" s="256" t="n"/>
      <c r="CA584" s="256" t="n"/>
    </row>
    <row r="585" ht="12" customHeight="1" s="227">
      <c r="A585" s="244" t="n"/>
      <c r="B585" s="244" t="n"/>
      <c r="C585" s="244" t="n"/>
      <c r="H585" s="4">
        <f>i_Setup!U108</f>
        <v/>
      </c>
      <c r="I585" s="27">
        <f>i_Setup!$M$16</f>
        <v/>
      </c>
      <c r="K585" s="10" t="inlineStr">
        <is>
          <t>Annual</t>
        </is>
      </c>
      <c r="M585" s="256" t="n"/>
      <c r="N585" s="256" t="n"/>
      <c r="O585" s="256" t="n"/>
      <c r="P585" s="256" t="n"/>
      <c r="Q585" s="256" t="n"/>
      <c r="T585" s="256" t="n"/>
      <c r="U585" s="256" t="n"/>
      <c r="V585" s="256" t="n"/>
      <c r="W585" s="256" t="n"/>
      <c r="X585" s="256" t="n"/>
      <c r="Y585" s="256" t="n"/>
      <c r="Z585" s="256" t="n"/>
      <c r="AA585" s="256" t="n"/>
      <c r="AB585" s="256" t="n"/>
      <c r="AC585" s="256" t="n"/>
      <c r="AD585" s="256" t="n"/>
      <c r="AE585" s="256" t="n"/>
      <c r="AF585" s="256" t="n"/>
      <c r="AG585" s="256" t="n"/>
      <c r="AH585" s="256" t="n"/>
      <c r="AI585" s="256" t="n"/>
      <c r="AJ585" s="256" t="n"/>
      <c r="AK585" s="256" t="n"/>
      <c r="AL585" s="256" t="n"/>
      <c r="AM585" s="256" t="n"/>
      <c r="AN585" s="256" t="n"/>
      <c r="AO585" s="256" t="n"/>
      <c r="AP585" s="256" t="n"/>
      <c r="AQ585" s="256" t="n"/>
      <c r="AR585" s="256" t="n"/>
      <c r="AS585" s="256" t="n"/>
      <c r="AT585" s="256" t="n"/>
      <c r="AU585" s="256" t="n"/>
      <c r="AV585" s="256" t="n"/>
      <c r="AW585" s="256" t="n"/>
      <c r="AX585" s="256" t="n"/>
      <c r="AY585" s="256" t="n"/>
      <c r="AZ585" s="256" t="n"/>
      <c r="BA585" s="256" t="n"/>
      <c r="BB585" s="256" t="n"/>
      <c r="BC585" s="256" t="n"/>
      <c r="BD585" s="256" t="n"/>
      <c r="BE585" s="256" t="n"/>
      <c r="BF585" s="256" t="n"/>
      <c r="BG585" s="256" t="n"/>
      <c r="BH585" s="256" t="n"/>
      <c r="BI585" s="256" t="n"/>
      <c r="BJ585" s="256" t="n"/>
      <c r="BK585" s="256" t="n"/>
      <c r="BL585" s="256" t="n"/>
      <c r="BM585" s="256" t="n"/>
      <c r="BN585" s="256" t="n"/>
      <c r="BO585" s="256" t="n"/>
      <c r="BP585" s="256" t="n"/>
      <c r="BQ585" s="256" t="n"/>
      <c r="BR585" s="256" t="n"/>
      <c r="BS585" s="256" t="n"/>
      <c r="BT585" s="256" t="n"/>
      <c r="BU585" s="256" t="n"/>
      <c r="BV585" s="256" t="n"/>
      <c r="BW585" s="256" t="n"/>
      <c r="BX585" s="256" t="n"/>
      <c r="BY585" s="256" t="n"/>
      <c r="BZ585" s="256" t="n"/>
      <c r="CA585" s="256" t="n"/>
    </row>
    <row r="586" ht="12" customHeight="1" s="227">
      <c r="A586" s="244" t="n"/>
      <c r="B586" s="244" t="n"/>
      <c r="C586" s="244" t="n"/>
      <c r="H586" s="4">
        <f>i_Setup!U109</f>
        <v/>
      </c>
      <c r="I586" s="27">
        <f>i_Setup!$M$16</f>
        <v/>
      </c>
      <c r="K586" s="10" t="inlineStr">
        <is>
          <t>Annual</t>
        </is>
      </c>
      <c r="M586" s="256" t="n"/>
      <c r="N586" s="256" t="n"/>
      <c r="O586" s="256" t="n"/>
      <c r="P586" s="256" t="n"/>
      <c r="Q586" s="256" t="n"/>
      <c r="T586" s="256" t="n"/>
      <c r="U586" s="256" t="n"/>
      <c r="V586" s="256" t="n"/>
      <c r="W586" s="256" t="n"/>
      <c r="X586" s="256" t="n"/>
      <c r="Y586" s="256" t="n"/>
      <c r="Z586" s="256" t="n"/>
      <c r="AA586" s="256" t="n"/>
      <c r="AB586" s="256" t="n"/>
      <c r="AC586" s="256" t="n"/>
      <c r="AD586" s="256" t="n"/>
      <c r="AE586" s="256" t="n"/>
      <c r="AF586" s="256" t="n"/>
      <c r="AG586" s="256" t="n"/>
      <c r="AH586" s="256" t="n"/>
      <c r="AI586" s="256" t="n"/>
      <c r="AJ586" s="256" t="n"/>
      <c r="AK586" s="256" t="n"/>
      <c r="AL586" s="256" t="n"/>
      <c r="AM586" s="256" t="n"/>
      <c r="AN586" s="256" t="n"/>
      <c r="AO586" s="256" t="n"/>
      <c r="AP586" s="256" t="n"/>
      <c r="AQ586" s="256" t="n"/>
      <c r="AR586" s="256" t="n"/>
      <c r="AS586" s="256" t="n"/>
      <c r="AT586" s="256" t="n"/>
      <c r="AU586" s="256" t="n"/>
      <c r="AV586" s="256" t="n"/>
      <c r="AW586" s="256" t="n"/>
      <c r="AX586" s="256" t="n"/>
      <c r="AY586" s="256" t="n"/>
      <c r="AZ586" s="256" t="n"/>
      <c r="BA586" s="256" t="n"/>
      <c r="BB586" s="256" t="n"/>
      <c r="BC586" s="256" t="n"/>
      <c r="BD586" s="256" t="n"/>
      <c r="BE586" s="256" t="n"/>
      <c r="BF586" s="256" t="n"/>
      <c r="BG586" s="256" t="n"/>
      <c r="BH586" s="256" t="n"/>
      <c r="BI586" s="256" t="n"/>
      <c r="BJ586" s="256" t="n"/>
      <c r="BK586" s="256" t="n"/>
      <c r="BL586" s="256" t="n"/>
      <c r="BM586" s="256" t="n"/>
      <c r="BN586" s="256" t="n"/>
      <c r="BO586" s="256" t="n"/>
      <c r="BP586" s="256" t="n"/>
      <c r="BQ586" s="256" t="n"/>
      <c r="BR586" s="256" t="n"/>
      <c r="BS586" s="256" t="n"/>
      <c r="BT586" s="256" t="n"/>
      <c r="BU586" s="256" t="n"/>
      <c r="BV586" s="256" t="n"/>
      <c r="BW586" s="256" t="n"/>
      <c r="BX586" s="256" t="n"/>
      <c r="BY586" s="256" t="n"/>
      <c r="BZ586" s="256" t="n"/>
      <c r="CA586" s="256" t="n"/>
    </row>
    <row r="587" ht="12" customHeight="1" s="227">
      <c r="A587" s="244" t="n"/>
      <c r="B587" s="244" t="n"/>
      <c r="C587" s="244" t="n"/>
      <c r="H587" s="4">
        <f>i_Setup!U110</f>
        <v/>
      </c>
      <c r="I587" s="27">
        <f>i_Setup!$M$16</f>
        <v/>
      </c>
      <c r="K587" s="10" t="inlineStr">
        <is>
          <t>Annual</t>
        </is>
      </c>
      <c r="M587" s="256" t="n"/>
      <c r="N587" s="256" t="n"/>
      <c r="O587" s="256" t="n"/>
      <c r="P587" s="256" t="n"/>
      <c r="Q587" s="256" t="n"/>
      <c r="T587" s="256" t="n"/>
      <c r="U587" s="256" t="n"/>
      <c r="V587" s="256" t="n"/>
      <c r="W587" s="256" t="n"/>
      <c r="X587" s="256" t="n"/>
      <c r="Y587" s="256" t="n"/>
      <c r="Z587" s="256" t="n"/>
      <c r="AA587" s="256" t="n"/>
      <c r="AB587" s="256" t="n"/>
      <c r="AC587" s="256" t="n"/>
      <c r="AD587" s="256" t="n"/>
      <c r="AE587" s="256" t="n"/>
      <c r="AF587" s="256" t="n"/>
      <c r="AG587" s="256" t="n"/>
      <c r="AH587" s="256" t="n"/>
      <c r="AI587" s="256" t="n"/>
      <c r="AJ587" s="256" t="n"/>
      <c r="AK587" s="256" t="n"/>
      <c r="AL587" s="256" t="n"/>
      <c r="AM587" s="256" t="n"/>
      <c r="AN587" s="256" t="n"/>
      <c r="AO587" s="256" t="n"/>
      <c r="AP587" s="256" t="n"/>
      <c r="AQ587" s="256" t="n"/>
      <c r="AR587" s="256" t="n"/>
      <c r="AS587" s="256" t="n"/>
      <c r="AT587" s="256" t="n"/>
      <c r="AU587" s="256" t="n"/>
      <c r="AV587" s="256" t="n"/>
      <c r="AW587" s="256" t="n"/>
      <c r="AX587" s="256" t="n"/>
      <c r="AY587" s="256" t="n"/>
      <c r="AZ587" s="256" t="n"/>
      <c r="BA587" s="256" t="n"/>
      <c r="BB587" s="256" t="n"/>
      <c r="BC587" s="256" t="n"/>
      <c r="BD587" s="256" t="n"/>
      <c r="BE587" s="256" t="n"/>
      <c r="BF587" s="256" t="n"/>
      <c r="BG587" s="256" t="n"/>
      <c r="BH587" s="256" t="n"/>
      <c r="BI587" s="256" t="n"/>
      <c r="BJ587" s="256" t="n"/>
      <c r="BK587" s="256" t="n"/>
      <c r="BL587" s="256" t="n"/>
      <c r="BM587" s="256" t="n"/>
      <c r="BN587" s="256" t="n"/>
      <c r="BO587" s="256" t="n"/>
      <c r="BP587" s="256" t="n"/>
      <c r="BQ587" s="256" t="n"/>
      <c r="BR587" s="256" t="n"/>
      <c r="BS587" s="256" t="n"/>
      <c r="BT587" s="256" t="n"/>
      <c r="BU587" s="256" t="n"/>
      <c r="BV587" s="256" t="n"/>
      <c r="BW587" s="256" t="n"/>
      <c r="BX587" s="256" t="n"/>
      <c r="BY587" s="256" t="n"/>
      <c r="BZ587" s="256" t="n"/>
      <c r="CA587" s="256" t="n"/>
    </row>
    <row r="588" ht="12" customHeight="1" s="227">
      <c r="A588" s="244" t="n"/>
      <c r="B588" s="244" t="n"/>
      <c r="C588" s="244" t="n"/>
    </row>
    <row r="589" ht="12" customHeight="1" s="227">
      <c r="A589" s="244" t="n"/>
      <c r="B589" s="244" t="n"/>
      <c r="C589" s="244" t="n"/>
    </row>
    <row r="590" ht="15.75" customFormat="1" customHeight="1" s="99">
      <c r="D590" s="99">
        <f>Heading1</f>
        <v/>
      </c>
      <c r="E590" s="99" t="inlineStr">
        <is>
          <t>Other P&amp;L Assumptions</t>
        </is>
      </c>
    </row>
    <row r="591" ht="12" customHeight="1" s="227">
      <c r="A591" s="244" t="n"/>
      <c r="B591" s="244" t="n"/>
      <c r="C591" s="244" t="n"/>
      <c r="K591" s="6" t="n"/>
    </row>
    <row r="592" ht="13.5" customFormat="1" customHeight="1" s="223" thickBot="1">
      <c r="E592" s="223">
        <f>Heading2</f>
        <v/>
      </c>
      <c r="F592" s="223" t="inlineStr">
        <is>
          <t>Taxation</t>
        </is>
      </c>
      <c r="K592" s="135" t="n"/>
    </row>
    <row r="593" ht="12" customHeight="1" s="227">
      <c r="A593" s="244" t="n"/>
      <c r="B593" s="244" t="n"/>
      <c r="C593" s="244" t="n"/>
      <c r="K593" s="6" t="n"/>
    </row>
    <row r="594" ht="12" customHeight="1" s="227">
      <c r="A594" s="244" t="n"/>
      <c r="B594" s="244" t="n"/>
      <c r="C594" s="244" t="n"/>
      <c r="G594" s="222" t="inlineStr">
        <is>
          <t>Sales Tax</t>
        </is>
      </c>
      <c r="K594" s="6" t="n"/>
    </row>
    <row r="595" ht="12" customHeight="1" s="227">
      <c r="A595" s="244" t="n"/>
      <c r="B595" s="244" t="n"/>
      <c r="C595" s="244" t="n"/>
      <c r="K595" s="6" t="n"/>
    </row>
    <row r="596" ht="12" customHeight="1" s="227">
      <c r="A596" s="244" t="n"/>
      <c r="B596" s="244" t="n"/>
      <c r="C596" s="244" t="n"/>
      <c r="H596" s="0" t="inlineStr">
        <is>
          <t>Sales Tax Rate</t>
        </is>
      </c>
      <c r="I596" s="27" t="inlineStr">
        <is>
          <t>%</t>
        </is>
      </c>
      <c r="M596" s="261" t="n">
        <v>0.15</v>
      </c>
      <c r="N596" s="261" t="n">
        <v>0.15</v>
      </c>
      <c r="O596" s="261" t="n">
        <v>0.15</v>
      </c>
      <c r="P596" s="261" t="n">
        <v>0.15</v>
      </c>
      <c r="Q596" s="261" t="n">
        <v>0.15</v>
      </c>
    </row>
    <row r="597" ht="12" customHeight="1" s="227">
      <c r="A597" s="244" t="n"/>
      <c r="B597" s="244" t="n"/>
      <c r="C597" s="244" t="n"/>
      <c r="K597" s="6" t="n"/>
    </row>
    <row r="598" ht="12" customHeight="1" s="227">
      <c r="A598" s="244" t="n"/>
      <c r="B598" s="244" t="n"/>
      <c r="C598" s="244" t="n"/>
      <c r="H598" s="0" t="inlineStr">
        <is>
          <t>Payment Month after Quarter-end</t>
        </is>
      </c>
      <c r="I598" s="27" t="inlineStr">
        <is>
          <t>Months</t>
        </is>
      </c>
      <c r="K598" s="240" t="n">
        <v>2</v>
      </c>
    </row>
    <row r="599" ht="12" customHeight="1" s="227">
      <c r="A599" s="244" t="n"/>
      <c r="B599" s="244" t="n"/>
      <c r="C599" s="244" t="n"/>
      <c r="K599" s="6" t="n"/>
    </row>
    <row r="600" ht="12" customHeight="1" s="227">
      <c r="A600" s="244" t="n"/>
      <c r="B600" s="244" t="n"/>
      <c r="C600" s="244" t="n"/>
      <c r="K600" s="6" t="n"/>
    </row>
    <row r="601" ht="12" customHeight="1" s="227">
      <c r="A601" s="244" t="n"/>
      <c r="B601" s="244" t="n"/>
      <c r="C601" s="244" t="n"/>
      <c r="K601" s="6" t="n"/>
    </row>
    <row r="602" ht="12" customHeight="1" s="227">
      <c r="A602" s="244" t="n"/>
      <c r="B602" s="244" t="n"/>
      <c r="C602" s="244" t="n"/>
      <c r="G602" s="222" t="inlineStr">
        <is>
          <t xml:space="preserve">Corporate Tax </t>
        </is>
      </c>
      <c r="K602" s="6" t="n"/>
    </row>
    <row r="603" ht="12" customHeight="1" s="227">
      <c r="A603" s="244" t="n"/>
      <c r="B603" s="244" t="n"/>
      <c r="C603" s="244" t="n"/>
      <c r="K603" s="6" t="n"/>
      <c r="M603" s="4">
        <f>YEAR(M2)</f>
        <v/>
      </c>
      <c r="N603" s="4">
        <f>YEAR(N2)</f>
        <v/>
      </c>
      <c r="O603" s="4">
        <f>YEAR(O2)</f>
        <v/>
      </c>
      <c r="P603" s="4">
        <f>YEAR(P2)</f>
        <v/>
      </c>
      <c r="Q603" s="4">
        <f>YEAR(Q2)</f>
        <v/>
      </c>
    </row>
    <row r="604" ht="12" customHeight="1" s="227">
      <c r="A604" s="244" t="n"/>
      <c r="B604" s="244" t="n"/>
      <c r="C604" s="244" t="n"/>
      <c r="H604" s="0" t="inlineStr">
        <is>
          <t>Corporate Tax Rate</t>
        </is>
      </c>
      <c r="I604" s="27" t="inlineStr">
        <is>
          <t>%</t>
        </is>
      </c>
      <c r="M604" s="261" t="n">
        <v>0.25</v>
      </c>
      <c r="N604" s="261" t="n">
        <v>0.25</v>
      </c>
      <c r="O604" s="261" t="n">
        <v>0.25</v>
      </c>
      <c r="P604" s="261" t="n">
        <v>0.25</v>
      </c>
      <c r="Q604" s="261" t="n">
        <v>0.25</v>
      </c>
    </row>
    <row r="605" ht="12" customHeight="1" s="227">
      <c r="A605" s="244" t="n"/>
      <c r="B605" s="244" t="n"/>
      <c r="C605" s="244" t="n"/>
      <c r="K605" s="6" t="n"/>
    </row>
    <row r="606" ht="12" customHeight="1" s="227">
      <c r="A606" s="244" t="n"/>
      <c r="B606" s="244" t="n"/>
      <c r="C606" s="244" t="n"/>
      <c r="H606" s="0" t="inlineStr">
        <is>
          <t>Payment Frequency</t>
        </is>
      </c>
      <c r="I606" s="27" t="inlineStr">
        <is>
          <t>List</t>
        </is>
      </c>
      <c r="K606" s="24" t="inlineStr">
        <is>
          <t>Quarterly</t>
        </is>
      </c>
    </row>
    <row r="607" ht="12" customHeight="1" s="227">
      <c r="A607" s="244" t="n"/>
      <c r="B607" s="244" t="n"/>
      <c r="C607" s="244" t="n"/>
      <c r="H607" s="0" t="n"/>
      <c r="K607" s="6" t="n"/>
    </row>
    <row r="608" ht="12" customHeight="1" s="227">
      <c r="A608" s="244" t="n"/>
      <c r="B608" s="244" t="n"/>
      <c r="C608" s="244" t="n"/>
      <c r="H608" s="0" t="inlineStr">
        <is>
          <t>Payment Quarter after Quarter/Year-end</t>
        </is>
      </c>
      <c r="I608" s="27" t="inlineStr">
        <is>
          <t>Months</t>
        </is>
      </c>
      <c r="K608" s="240" t="n">
        <v>2</v>
      </c>
    </row>
    <row r="609" ht="12" customHeight="1" s="227">
      <c r="A609" s="244" t="n"/>
      <c r="B609" s="244" t="n"/>
      <c r="C609" s="244" t="n"/>
      <c r="H609" s="0" t="n"/>
      <c r="I609" s="27" t="n"/>
      <c r="K609" s="6" t="n"/>
    </row>
    <row r="610" ht="12" customHeight="1" s="227">
      <c r="A610" s="244" t="n"/>
      <c r="B610" s="244" t="n"/>
      <c r="C610" s="244" t="n"/>
      <c r="H610" s="0" t="n"/>
      <c r="I610" s="27" t="n"/>
      <c r="K610" s="6" t="n"/>
    </row>
    <row r="611" ht="12" customHeight="1" s="227">
      <c r="A611" s="244" t="n"/>
      <c r="B611" s="244" t="n"/>
      <c r="C611" s="244" t="n"/>
      <c r="H611" s="0" t="n"/>
      <c r="I611" s="27" t="n"/>
      <c r="K611" s="6" t="n"/>
    </row>
    <row r="612" ht="13.5" customFormat="1" customHeight="1" s="223" thickBot="1">
      <c r="E612" s="223">
        <f>Heading2</f>
        <v/>
      </c>
      <c r="F612" s="223" t="inlineStr">
        <is>
          <t>Dividends</t>
        </is>
      </c>
      <c r="G612" s="262" t="n"/>
      <c r="H612" s="262" t="n"/>
      <c r="K612" s="135" t="n"/>
    </row>
    <row r="613" ht="12" customHeight="1" s="227">
      <c r="A613" s="244" t="n"/>
      <c r="B613" s="244" t="n"/>
      <c r="C613" s="244" t="n"/>
      <c r="H613" s="0" t="n"/>
      <c r="I613" s="27" t="n"/>
      <c r="K613" s="6" t="n"/>
    </row>
    <row r="614" ht="12" customHeight="1" s="227">
      <c r="A614" s="244" t="n"/>
      <c r="B614" s="244" t="n"/>
      <c r="C614" s="244" t="n"/>
      <c r="G614" s="222" t="inlineStr">
        <is>
          <t>Calculation Type</t>
        </is>
      </c>
      <c r="H614" s="0" t="n"/>
      <c r="I614" s="27" t="n"/>
      <c r="K614" s="6" t="n"/>
    </row>
    <row r="615" ht="12" customHeight="1" s="227">
      <c r="A615" s="244" t="n"/>
      <c r="B615" s="244" t="n"/>
      <c r="C615" s="244" t="n"/>
      <c r="H615" s="0" t="n"/>
      <c r="I615" s="27" t="n"/>
      <c r="K615" s="6" t="n"/>
    </row>
    <row r="616" ht="12" customHeight="1" s="227">
      <c r="A616" s="244" t="n"/>
      <c r="B616" s="244" t="n"/>
      <c r="C616" s="244" t="n"/>
      <c r="H616" s="0" t="inlineStr">
        <is>
          <t>Calculation Type</t>
        </is>
      </c>
      <c r="I616" s="27" t="inlineStr">
        <is>
          <t>List</t>
        </is>
      </c>
      <c r="K616" s="10" t="inlineStr">
        <is>
          <t>% of Retained Earnings</t>
        </is>
      </c>
    </row>
    <row r="617" ht="12" customHeight="1" s="227">
      <c r="A617" s="244" t="n"/>
      <c r="B617" s="244" t="n"/>
      <c r="C617" s="244" t="n"/>
      <c r="H617" s="0" t="n"/>
      <c r="I617" s="27" t="n"/>
      <c r="K617" s="6" t="n"/>
    </row>
    <row r="618" ht="12" customHeight="1" s="227">
      <c r="A618" s="244" t="n"/>
      <c r="B618" s="244" t="n"/>
      <c r="C618" s="244" t="n"/>
      <c r="H618" s="0" t="n"/>
      <c r="I618" s="27" t="n"/>
      <c r="K618" s="6" t="n"/>
    </row>
    <row r="619" ht="12" customHeight="1" s="227">
      <c r="A619" s="244" t="n"/>
      <c r="B619" s="244" t="n"/>
      <c r="C619" s="244" t="n"/>
      <c r="G619" s="222" t="inlineStr">
        <is>
          <t>% of Retained Earnings</t>
        </is>
      </c>
      <c r="H619" s="0" t="n"/>
      <c r="I619" s="27" t="n"/>
      <c r="K619" s="6" t="n"/>
    </row>
    <row r="620" ht="12" customHeight="1" s="227">
      <c r="A620" s="244" t="n"/>
      <c r="B620" s="244" t="n"/>
      <c r="C620" s="244" t="n"/>
      <c r="H620" s="0" t="n"/>
      <c r="I620" s="27" t="n"/>
      <c r="K620" s="6" t="n"/>
    </row>
    <row r="621" ht="12" customHeight="1" s="227">
      <c r="A621" s="244" t="n"/>
      <c r="B621" s="244" t="n"/>
      <c r="C621" s="244" t="n"/>
      <c r="H621" s="0" t="inlineStr">
        <is>
          <t>Distributable % of Retained Earnings</t>
        </is>
      </c>
      <c r="I621" s="27" t="inlineStr">
        <is>
          <t>%</t>
        </is>
      </c>
      <c r="M621" s="261" t="n">
        <v>0.25</v>
      </c>
      <c r="N621" s="261" t="n">
        <v>0.25</v>
      </c>
      <c r="O621" s="261" t="n">
        <v>0.25</v>
      </c>
      <c r="P621" s="261" t="n">
        <v>0.25</v>
      </c>
      <c r="Q621" s="261" t="n">
        <v>0.25</v>
      </c>
    </row>
    <row r="622" ht="12" customHeight="1" s="227">
      <c r="A622" s="244" t="n"/>
      <c r="B622" s="244" t="n"/>
      <c r="C622" s="244" t="n"/>
      <c r="H622" s="0" t="n"/>
      <c r="I622" s="27" t="n"/>
      <c r="K622" s="6" t="n"/>
    </row>
    <row r="623" ht="12" customHeight="1" s="227">
      <c r="A623" s="244" t="n"/>
      <c r="B623" s="244" t="n"/>
      <c r="C623" s="244" t="n"/>
      <c r="H623" s="0" t="inlineStr">
        <is>
          <t>Frequency</t>
        </is>
      </c>
      <c r="I623" s="27" t="inlineStr">
        <is>
          <t>List</t>
        </is>
      </c>
      <c r="K623" s="24" t="inlineStr">
        <is>
          <t>Annually</t>
        </is>
      </c>
    </row>
    <row r="624" ht="12" customHeight="1" s="227">
      <c r="A624" s="244" t="n"/>
      <c r="B624" s="244" t="n"/>
      <c r="C624" s="244" t="n"/>
      <c r="H624" s="0" t="n"/>
      <c r="I624" s="27" t="n"/>
      <c r="K624" s="6" t="n"/>
    </row>
    <row r="625" ht="12" customHeight="1" s="227">
      <c r="A625" s="244" t="n"/>
      <c r="B625" s="244" t="n"/>
      <c r="C625" s="244" t="n"/>
      <c r="H625" s="0" t="n"/>
      <c r="I625" s="27" t="n"/>
      <c r="K625" s="6" t="n"/>
    </row>
    <row r="626" ht="12" customHeight="1" s="227">
      <c r="A626" s="244" t="n"/>
      <c r="B626" s="244" t="n"/>
      <c r="C626" s="244" t="n"/>
      <c r="G626" s="222" t="inlineStr">
        <is>
          <t>Monthly Input</t>
        </is>
      </c>
      <c r="H626" s="0" t="n"/>
      <c r="I626" s="27" t="n"/>
      <c r="K626" s="6" t="n"/>
    </row>
    <row r="627" ht="12" customHeight="1" s="227">
      <c r="A627" s="244" t="n"/>
      <c r="B627" s="244" t="n"/>
      <c r="C627" s="244" t="n"/>
      <c r="G627" s="222" t="n"/>
      <c r="H627" s="0" t="n"/>
      <c r="I627" s="27" t="n"/>
      <c r="K627" s="6" t="n"/>
    </row>
    <row r="628" ht="12" customHeight="1" s="227">
      <c r="A628" s="244" t="n"/>
      <c r="B628" s="244" t="n"/>
      <c r="C628" s="244" t="n"/>
      <c r="G628" s="222" t="n"/>
      <c r="H628" s="0" t="inlineStr">
        <is>
          <t>Dividend Amounts per month</t>
        </is>
      </c>
      <c r="I628" s="27">
        <f>i_Setup!$M$16</f>
        <v/>
      </c>
      <c r="K628" s="6" t="n"/>
      <c r="M628" s="245">
        <f>SUMIF($T$4:$CA$4,M$4,$T628:$CA628)</f>
        <v/>
      </c>
      <c r="N628" s="245">
        <f>SUMIF($T$4:$CA$4,N$4,$T628:$CA628)</f>
        <v/>
      </c>
      <c r="O628" s="245">
        <f>SUMIF($T$4:$CA$4,O$4,$T628:$CA628)</f>
        <v/>
      </c>
      <c r="P628" s="245">
        <f>SUMIF($T$4:$CA$4,P$4,$T628:$CA628)</f>
        <v/>
      </c>
      <c r="Q628" s="245">
        <f>SUMIF($T$4:$CA$4,Q$4,$T628:$CA628)</f>
        <v/>
      </c>
      <c r="T628" s="256" t="n"/>
      <c r="U628" s="256" t="n"/>
      <c r="V628" s="256" t="n"/>
      <c r="W628" s="256" t="n"/>
      <c r="X628" s="256" t="n"/>
      <c r="Y628" s="256" t="n"/>
      <c r="Z628" s="256" t="n"/>
      <c r="AA628" s="256" t="n"/>
      <c r="AB628" s="256" t="n"/>
      <c r="AC628" s="256" t="n"/>
      <c r="AD628" s="256" t="n"/>
      <c r="AE628" s="256" t="n"/>
      <c r="AF628" s="256" t="n"/>
      <c r="AG628" s="256" t="n"/>
      <c r="AH628" s="256" t="n"/>
      <c r="AI628" s="256" t="n"/>
      <c r="AJ628" s="256" t="n"/>
      <c r="AK628" s="256" t="n"/>
      <c r="AL628" s="256" t="n"/>
      <c r="AM628" s="256" t="n"/>
      <c r="AN628" s="256" t="n"/>
      <c r="AO628" s="256" t="n"/>
      <c r="AP628" s="256" t="n"/>
      <c r="AQ628" s="256" t="n"/>
      <c r="AR628" s="256" t="n"/>
      <c r="AS628" s="256" t="n"/>
      <c r="AT628" s="256" t="n"/>
      <c r="AU628" s="256" t="n"/>
      <c r="AV628" s="256" t="n"/>
      <c r="AW628" s="256" t="n"/>
      <c r="AX628" s="256" t="n"/>
      <c r="AY628" s="256" t="n"/>
      <c r="AZ628" s="256" t="n"/>
      <c r="BA628" s="256" t="n"/>
      <c r="BB628" s="256" t="n"/>
      <c r="BC628" s="256" t="n"/>
      <c r="BD628" s="256" t="n"/>
      <c r="BE628" s="256" t="n"/>
      <c r="BF628" s="256" t="n"/>
      <c r="BG628" s="256" t="n"/>
      <c r="BH628" s="256" t="n"/>
      <c r="BI628" s="256" t="n"/>
      <c r="BJ628" s="256" t="n"/>
      <c r="BK628" s="256" t="n"/>
      <c r="BL628" s="256" t="n"/>
      <c r="BM628" s="256" t="n"/>
      <c r="BN628" s="256" t="n"/>
      <c r="BO628" s="256" t="n"/>
      <c r="BP628" s="256" t="n"/>
      <c r="BQ628" s="256" t="n"/>
      <c r="BR628" s="256" t="n"/>
      <c r="BS628" s="256" t="n"/>
      <c r="BT628" s="256" t="n"/>
      <c r="BU628" s="256" t="n"/>
      <c r="BV628" s="256" t="n"/>
      <c r="BW628" s="256" t="n"/>
      <c r="BX628" s="256" t="n"/>
      <c r="BY628" s="256" t="n"/>
      <c r="BZ628" s="256" t="n"/>
      <c r="CA628" s="256" t="n"/>
    </row>
    <row r="629" ht="12" customHeight="1" s="227">
      <c r="A629" s="244" t="n"/>
      <c r="B629" s="244" t="n"/>
      <c r="C629" s="244" t="n"/>
      <c r="G629" s="222" t="n"/>
      <c r="H629" s="0" t="n"/>
      <c r="I629" s="27" t="n"/>
      <c r="K629" s="6" t="n"/>
    </row>
    <row r="630" ht="12" customHeight="1" s="227">
      <c r="A630" s="244" t="n"/>
      <c r="B630" s="244" t="n"/>
      <c r="C630" s="244" t="n"/>
      <c r="G630" s="222" t="n"/>
      <c r="H630" s="0" t="n"/>
      <c r="I630" s="27" t="n"/>
      <c r="K630" s="6" t="n"/>
    </row>
    <row r="631" ht="12" customHeight="1" s="227">
      <c r="A631" s="244" t="n"/>
      <c r="B631" s="244" t="n"/>
      <c r="C631" s="244" t="n"/>
      <c r="H631" s="0" t="n"/>
      <c r="I631" s="27" t="n"/>
      <c r="K631" s="6" t="n"/>
    </row>
    <row r="632" ht="15.75" customFormat="1" customHeight="1" s="99">
      <c r="D632" s="99">
        <f>Heading1</f>
        <v/>
      </c>
      <c r="E632" s="99" t="inlineStr">
        <is>
          <t>Balance Sheet</t>
        </is>
      </c>
    </row>
    <row r="633" ht="12" customHeight="1" s="227">
      <c r="A633" s="244" t="n"/>
      <c r="B633" s="244" t="n"/>
      <c r="C633" s="244" t="n"/>
    </row>
    <row r="634" ht="13.5" customFormat="1" customHeight="1" s="223" thickBot="1">
      <c r="E634" s="223">
        <f>Heading2</f>
        <v/>
      </c>
      <c r="F634" s="223" t="inlineStr">
        <is>
          <t>Fixed Assets</t>
        </is>
      </c>
    </row>
    <row r="635" ht="12" customHeight="1" s="227">
      <c r="A635" s="244" t="n"/>
      <c r="B635" s="244" t="n"/>
      <c r="C635" s="244" t="n"/>
    </row>
    <row r="636" ht="12" customHeight="1" s="227">
      <c r="A636" s="244" t="n"/>
      <c r="B636" s="244" t="n"/>
      <c r="C636" s="244" t="n"/>
      <c r="G636" s="222" t="inlineStr">
        <is>
          <t>Addition Amounts (Excl. Sales Tax)</t>
        </is>
      </c>
    </row>
    <row r="637" ht="12" customHeight="1" s="227">
      <c r="A637" s="244" t="n"/>
      <c r="B637" s="244" t="n"/>
      <c r="C637" s="244" t="n"/>
    </row>
    <row r="638" ht="12" customHeight="1" s="227">
      <c r="A638" s="244" t="n"/>
      <c r="B638" s="244" t="n"/>
      <c r="C638" s="244" t="n"/>
      <c r="H638" s="4">
        <f>i_Setup!U115</f>
        <v/>
      </c>
      <c r="I638" s="27">
        <f>i_Setup!$M$16</f>
        <v/>
      </c>
      <c r="M638" s="245">
        <f>SUMIF($T$4:$CA$4,M$4,$T638:$CA638)</f>
        <v/>
      </c>
      <c r="N638" s="245">
        <f>SUMIF($T$4:$CA$4,N$4,$T638:$CA638)</f>
        <v/>
      </c>
      <c r="O638" s="245">
        <f>SUMIF($T$4:$CA$4,O$4,$T638:$CA638)</f>
        <v/>
      </c>
      <c r="P638" s="245">
        <f>SUMIF($T$4:$CA$4,P$4,$T638:$CA638)</f>
        <v/>
      </c>
      <c r="Q638" s="245">
        <f>SUMIF($T$4:$CA$4,Q$4,$T638:$CA638)</f>
        <v/>
      </c>
      <c r="T638" s="256" t="n"/>
      <c r="U638" s="256" t="n"/>
      <c r="V638" s="256" t="n"/>
      <c r="W638" s="256" t="n"/>
      <c r="X638" s="256" t="n"/>
      <c r="Y638" s="256" t="n">
        <v>20000</v>
      </c>
      <c r="Z638" s="256" t="n"/>
      <c r="AA638" s="256" t="n"/>
      <c r="AB638" s="256" t="n"/>
      <c r="AC638" s="256" t="n"/>
      <c r="AD638" s="256" t="n"/>
      <c r="AE638" s="256" t="n"/>
      <c r="AF638" s="256" t="n"/>
      <c r="AG638" s="256" t="n"/>
      <c r="AH638" s="256" t="n"/>
      <c r="AI638" s="256" t="n"/>
      <c r="AJ638" s="256" t="n"/>
      <c r="AK638" s="256" t="n"/>
      <c r="AL638" s="256" t="n"/>
      <c r="AM638" s="256" t="n"/>
      <c r="AN638" s="256" t="n"/>
      <c r="AO638" s="256" t="n"/>
      <c r="AP638" s="256" t="n"/>
      <c r="AQ638" s="256" t="n"/>
      <c r="AR638" s="256" t="n"/>
      <c r="AS638" s="256" t="n"/>
      <c r="AT638" s="256" t="n"/>
      <c r="AU638" s="256" t="n"/>
      <c r="AV638" s="256" t="n"/>
      <c r="AW638" s="256" t="n"/>
      <c r="AX638" s="256" t="n"/>
      <c r="AY638" s="256" t="n"/>
      <c r="AZ638" s="256" t="n"/>
      <c r="BA638" s="256" t="n"/>
      <c r="BB638" s="256" t="n"/>
      <c r="BC638" s="256" t="n"/>
      <c r="BD638" s="256" t="n"/>
      <c r="BE638" s="256" t="n"/>
      <c r="BF638" s="256" t="n"/>
      <c r="BG638" s="256" t="n"/>
      <c r="BH638" s="256" t="n"/>
      <c r="BI638" s="256" t="n"/>
      <c r="BJ638" s="256" t="n"/>
      <c r="BK638" s="256" t="n"/>
      <c r="BL638" s="256" t="n"/>
      <c r="BM638" s="256" t="n"/>
      <c r="BN638" s="256" t="n"/>
      <c r="BO638" s="256" t="n"/>
      <c r="BP638" s="256" t="n"/>
      <c r="BQ638" s="256" t="n"/>
      <c r="BR638" s="256" t="n"/>
      <c r="BS638" s="256" t="n"/>
      <c r="BT638" s="256" t="n"/>
      <c r="BU638" s="256" t="n"/>
      <c r="BV638" s="256" t="n"/>
      <c r="BW638" s="256" t="n"/>
      <c r="BX638" s="256" t="n"/>
      <c r="BY638" s="256" t="n"/>
      <c r="BZ638" s="256" t="n"/>
      <c r="CA638" s="256" t="n"/>
    </row>
    <row r="639" ht="12" customHeight="1" s="227">
      <c r="A639" s="244" t="n"/>
      <c r="B639" s="244" t="n"/>
      <c r="C639" s="244" t="n"/>
      <c r="H639" s="4">
        <f>i_Setup!U116</f>
        <v/>
      </c>
      <c r="I639" s="27">
        <f>i_Setup!$M$16</f>
        <v/>
      </c>
      <c r="M639" s="245">
        <f>SUMIF($T$4:$CA$4,M$4,$T639:$CA639)</f>
        <v/>
      </c>
      <c r="N639" s="245">
        <f>SUMIF($T$4:$CA$4,N$4,$T639:$CA639)</f>
        <v/>
      </c>
      <c r="O639" s="245">
        <f>SUMIF($T$4:$CA$4,O$4,$T639:$CA639)</f>
        <v/>
      </c>
      <c r="P639" s="245">
        <f>SUMIF($T$4:$CA$4,P$4,$T639:$CA639)</f>
        <v/>
      </c>
      <c r="Q639" s="245">
        <f>SUMIF($T$4:$CA$4,Q$4,$T639:$CA639)</f>
        <v/>
      </c>
      <c r="T639" s="256" t="n"/>
      <c r="U639" s="256" t="n"/>
      <c r="V639" s="256" t="n"/>
      <c r="W639" s="256" t="n"/>
      <c r="X639" s="256" t="n"/>
      <c r="Y639" s="256" t="n">
        <v>3500</v>
      </c>
      <c r="Z639" s="256" t="n"/>
      <c r="AA639" s="256" t="n"/>
      <c r="AB639" s="256" t="n"/>
      <c r="AC639" s="256" t="n"/>
      <c r="AD639" s="256" t="n"/>
      <c r="AE639" s="256" t="n"/>
      <c r="AF639" s="256" t="n"/>
      <c r="AG639" s="256" t="n"/>
      <c r="AH639" s="256" t="n"/>
      <c r="AI639" s="256" t="n"/>
      <c r="AJ639" s="256" t="n"/>
      <c r="AK639" s="256" t="n"/>
      <c r="AL639" s="256" t="n"/>
      <c r="AM639" s="256" t="n"/>
      <c r="AN639" s="256" t="n"/>
      <c r="AO639" s="256" t="n"/>
      <c r="AP639" s="256" t="n"/>
      <c r="AQ639" s="256" t="n"/>
      <c r="AR639" s="256" t="n"/>
      <c r="AS639" s="256" t="n"/>
      <c r="AT639" s="256" t="n"/>
      <c r="AU639" s="256" t="n"/>
      <c r="AV639" s="256" t="n"/>
      <c r="AW639" s="256" t="n"/>
      <c r="AX639" s="256" t="n"/>
      <c r="AY639" s="256" t="n"/>
      <c r="AZ639" s="256" t="n"/>
      <c r="BA639" s="256" t="n"/>
      <c r="BB639" s="256" t="n"/>
      <c r="BC639" s="256" t="n"/>
      <c r="BD639" s="256" t="n"/>
      <c r="BE639" s="256" t="n"/>
      <c r="BF639" s="256" t="n"/>
      <c r="BG639" s="256" t="n"/>
      <c r="BH639" s="256" t="n"/>
      <c r="BI639" s="256" t="n"/>
      <c r="BJ639" s="256" t="n"/>
      <c r="BK639" s="256" t="n"/>
      <c r="BL639" s="256" t="n"/>
      <c r="BM639" s="256" t="n"/>
      <c r="BN639" s="256" t="n"/>
      <c r="BO639" s="256" t="n"/>
      <c r="BP639" s="256" t="n"/>
      <c r="BQ639" s="256" t="n"/>
      <c r="BR639" s="256" t="n"/>
      <c r="BS639" s="256" t="n"/>
      <c r="BT639" s="256" t="n"/>
      <c r="BU639" s="256" t="n"/>
      <c r="BV639" s="256" t="n"/>
      <c r="BW639" s="256" t="n"/>
      <c r="BX639" s="256" t="n"/>
      <c r="BY639" s="256" t="n"/>
      <c r="BZ639" s="256" t="n"/>
      <c r="CA639" s="256" t="n"/>
    </row>
    <row r="640" ht="12" customHeight="1" s="227">
      <c r="A640" s="244" t="n"/>
      <c r="B640" s="244" t="n"/>
      <c r="C640" s="244" t="n"/>
      <c r="H640" s="4">
        <f>i_Setup!U117</f>
        <v/>
      </c>
      <c r="I640" s="27">
        <f>i_Setup!$M$16</f>
        <v/>
      </c>
      <c r="M640" s="245">
        <f>SUMIF($T$4:$CA$4,M$4,$T640:$CA640)</f>
        <v/>
      </c>
      <c r="N640" s="245">
        <f>SUMIF($T$4:$CA$4,N$4,$T640:$CA640)</f>
        <v/>
      </c>
      <c r="O640" s="245">
        <f>SUMIF($T$4:$CA$4,O$4,$T640:$CA640)</f>
        <v/>
      </c>
      <c r="P640" s="245">
        <f>SUMIF($T$4:$CA$4,P$4,$T640:$CA640)</f>
        <v/>
      </c>
      <c r="Q640" s="245">
        <f>SUMIF($T$4:$CA$4,Q$4,$T640:$CA640)</f>
        <v/>
      </c>
      <c r="T640" s="256" t="n"/>
      <c r="U640" s="256" t="n"/>
      <c r="V640" s="256" t="n"/>
      <c r="W640" s="256" t="n"/>
      <c r="X640" s="256" t="n"/>
      <c r="Y640" s="256" t="n">
        <v>2000</v>
      </c>
      <c r="Z640" s="256" t="n"/>
      <c r="AA640" s="256" t="n"/>
      <c r="AB640" s="256" t="n"/>
      <c r="AC640" s="256" t="n"/>
      <c r="AD640" s="256" t="n"/>
      <c r="AE640" s="256" t="n"/>
      <c r="AF640" s="256" t="n"/>
      <c r="AG640" s="256" t="n"/>
      <c r="AH640" s="256" t="n"/>
      <c r="AI640" s="256" t="n"/>
      <c r="AJ640" s="256" t="n"/>
      <c r="AK640" s="256" t="n"/>
      <c r="AL640" s="256" t="n"/>
      <c r="AM640" s="256" t="n"/>
      <c r="AN640" s="256" t="n"/>
      <c r="AO640" s="256" t="n"/>
      <c r="AP640" s="256" t="n"/>
      <c r="AQ640" s="256" t="n"/>
      <c r="AR640" s="256" t="n"/>
      <c r="AS640" s="256" t="n"/>
      <c r="AT640" s="256" t="n"/>
      <c r="AU640" s="256" t="n"/>
      <c r="AV640" s="256" t="n"/>
      <c r="AW640" s="256" t="n"/>
      <c r="AX640" s="256" t="n"/>
      <c r="AY640" s="256" t="n"/>
      <c r="AZ640" s="256" t="n"/>
      <c r="BA640" s="256" t="n"/>
      <c r="BB640" s="256" t="n"/>
      <c r="BC640" s="256" t="n"/>
      <c r="BD640" s="256" t="n"/>
      <c r="BE640" s="256" t="n"/>
      <c r="BF640" s="256" t="n"/>
      <c r="BG640" s="256" t="n"/>
      <c r="BH640" s="256" t="n"/>
      <c r="BI640" s="256" t="n"/>
      <c r="BJ640" s="256" t="n"/>
      <c r="BK640" s="256" t="n"/>
      <c r="BL640" s="256" t="n"/>
      <c r="BM640" s="256" t="n"/>
      <c r="BN640" s="256" t="n"/>
      <c r="BO640" s="256" t="n"/>
      <c r="BP640" s="256" t="n"/>
      <c r="BQ640" s="256" t="n"/>
      <c r="BR640" s="256" t="n"/>
      <c r="BS640" s="256" t="n"/>
      <c r="BT640" s="256" t="n"/>
      <c r="BU640" s="256" t="n"/>
      <c r="BV640" s="256" t="n"/>
      <c r="BW640" s="256" t="n"/>
      <c r="BX640" s="256" t="n"/>
      <c r="BY640" s="256" t="n"/>
      <c r="BZ640" s="256" t="n"/>
      <c r="CA640" s="256" t="n"/>
    </row>
    <row r="641" ht="12" customHeight="1" s="227">
      <c r="A641" s="244" t="n"/>
      <c r="B641" s="244" t="n"/>
      <c r="C641" s="244" t="n"/>
      <c r="H641" s="4">
        <f>i_Setup!U118</f>
        <v/>
      </c>
      <c r="I641" s="27">
        <f>i_Setup!$M$16</f>
        <v/>
      </c>
      <c r="M641" s="245">
        <f>SUMIF($T$4:$CA$4,M$4,$T641:$CA641)</f>
        <v/>
      </c>
      <c r="N641" s="245">
        <f>SUMIF($T$4:$CA$4,N$4,$T641:$CA641)</f>
        <v/>
      </c>
      <c r="O641" s="245">
        <f>SUMIF($T$4:$CA$4,O$4,$T641:$CA641)</f>
        <v/>
      </c>
      <c r="P641" s="245">
        <f>SUMIF($T$4:$CA$4,P$4,$T641:$CA641)</f>
        <v/>
      </c>
      <c r="Q641" s="245">
        <f>SUMIF($T$4:$CA$4,Q$4,$T641:$CA641)</f>
        <v/>
      </c>
      <c r="T641" s="256" t="n"/>
      <c r="U641" s="256" t="n"/>
      <c r="V641" s="256" t="n"/>
      <c r="W641" s="256" t="n"/>
      <c r="X641" s="256" t="n"/>
      <c r="Y641" s="256" t="n"/>
      <c r="Z641" s="256" t="n"/>
      <c r="AA641" s="256" t="n"/>
      <c r="AB641" s="256" t="n"/>
      <c r="AC641" s="256" t="n"/>
      <c r="AD641" s="256" t="n"/>
      <c r="AE641" s="256" t="n"/>
      <c r="AF641" s="256" t="n"/>
      <c r="AG641" s="256" t="n"/>
      <c r="AH641" s="256" t="n"/>
      <c r="AI641" s="256" t="n"/>
      <c r="AJ641" s="256" t="n"/>
      <c r="AK641" s="256" t="n"/>
      <c r="AL641" s="256" t="n"/>
      <c r="AM641" s="256" t="n"/>
      <c r="AN641" s="256" t="n"/>
      <c r="AO641" s="256" t="n"/>
      <c r="AP641" s="256" t="n"/>
      <c r="AQ641" s="256" t="n"/>
      <c r="AR641" s="256" t="n"/>
      <c r="AS641" s="256" t="n"/>
      <c r="AT641" s="256" t="n"/>
      <c r="AU641" s="256" t="n"/>
      <c r="AV641" s="256" t="n"/>
      <c r="AW641" s="256" t="n"/>
      <c r="AX641" s="256" t="n"/>
      <c r="AY641" s="256" t="n"/>
      <c r="AZ641" s="256" t="n"/>
      <c r="BA641" s="256" t="n"/>
      <c r="BB641" s="256" t="n"/>
      <c r="BC641" s="256" t="n"/>
      <c r="BD641" s="256" t="n"/>
      <c r="BE641" s="256" t="n"/>
      <c r="BF641" s="256" t="n"/>
      <c r="BG641" s="256" t="n"/>
      <c r="BH641" s="256" t="n"/>
      <c r="BI641" s="256" t="n"/>
      <c r="BJ641" s="256" t="n"/>
      <c r="BK641" s="256" t="n"/>
      <c r="BL641" s="256" t="n"/>
      <c r="BM641" s="256" t="n"/>
      <c r="BN641" s="256" t="n"/>
      <c r="BO641" s="256" t="n"/>
      <c r="BP641" s="256" t="n"/>
      <c r="BQ641" s="256" t="n"/>
      <c r="BR641" s="256" t="n"/>
      <c r="BS641" s="256" t="n"/>
      <c r="BT641" s="256" t="n"/>
      <c r="BU641" s="256" t="n"/>
      <c r="BV641" s="256" t="n"/>
      <c r="BW641" s="256" t="n"/>
      <c r="BX641" s="256" t="n"/>
      <c r="BY641" s="256" t="n"/>
      <c r="BZ641" s="256" t="n"/>
      <c r="CA641" s="256" t="n"/>
    </row>
    <row r="642" ht="12" customHeight="1" s="227">
      <c r="A642" s="244" t="n"/>
      <c r="B642" s="244" t="n"/>
      <c r="C642" s="244" t="n"/>
      <c r="H642" s="4">
        <f>i_Setup!U119</f>
        <v/>
      </c>
      <c r="I642" s="27">
        <f>i_Setup!$M$16</f>
        <v/>
      </c>
      <c r="M642" s="245">
        <f>SUMIF($T$4:$CA$4,M$4,$T642:$CA642)</f>
        <v/>
      </c>
      <c r="N642" s="245">
        <f>SUMIF($T$4:$CA$4,N$4,$T642:$CA642)</f>
        <v/>
      </c>
      <c r="O642" s="245">
        <f>SUMIF($T$4:$CA$4,O$4,$T642:$CA642)</f>
        <v/>
      </c>
      <c r="P642" s="245">
        <f>SUMIF($T$4:$CA$4,P$4,$T642:$CA642)</f>
        <v/>
      </c>
      <c r="Q642" s="245">
        <f>SUMIF($T$4:$CA$4,Q$4,$T642:$CA642)</f>
        <v/>
      </c>
      <c r="T642" s="256" t="n"/>
      <c r="U642" s="256" t="n"/>
      <c r="V642" s="256" t="n"/>
      <c r="W642" s="256" t="n"/>
      <c r="X642" s="256" t="n"/>
      <c r="Y642" s="256" t="n"/>
      <c r="Z642" s="256" t="n"/>
      <c r="AA642" s="256" t="n"/>
      <c r="AB642" s="256" t="n"/>
      <c r="AC642" s="256" t="n"/>
      <c r="AD642" s="256" t="n"/>
      <c r="AE642" s="256" t="n"/>
      <c r="AF642" s="256" t="n"/>
      <c r="AG642" s="256" t="n"/>
      <c r="AH642" s="256" t="n"/>
      <c r="AI642" s="256" t="n"/>
      <c r="AJ642" s="256" t="n"/>
      <c r="AK642" s="256" t="n"/>
      <c r="AL642" s="256" t="n"/>
      <c r="AM642" s="256" t="n"/>
      <c r="AN642" s="256" t="n"/>
      <c r="AO642" s="256" t="n"/>
      <c r="AP642" s="256" t="n"/>
      <c r="AQ642" s="256" t="n"/>
      <c r="AR642" s="256" t="n"/>
      <c r="AS642" s="256" t="n"/>
      <c r="AT642" s="256" t="n"/>
      <c r="AU642" s="256" t="n"/>
      <c r="AV642" s="256" t="n"/>
      <c r="AW642" s="256" t="n"/>
      <c r="AX642" s="256" t="n"/>
      <c r="AY642" s="256" t="n"/>
      <c r="AZ642" s="256" t="n"/>
      <c r="BA642" s="256" t="n"/>
      <c r="BB642" s="256" t="n"/>
      <c r="BC642" s="256" t="n"/>
      <c r="BD642" s="256" t="n"/>
      <c r="BE642" s="256" t="n"/>
      <c r="BF642" s="256" t="n"/>
      <c r="BG642" s="256" t="n"/>
      <c r="BH642" s="256" t="n"/>
      <c r="BI642" s="256" t="n"/>
      <c r="BJ642" s="256" t="n"/>
      <c r="BK642" s="256" t="n"/>
      <c r="BL642" s="256" t="n"/>
      <c r="BM642" s="256" t="n"/>
      <c r="BN642" s="256" t="n"/>
      <c r="BO642" s="256" t="n"/>
      <c r="BP642" s="256" t="n"/>
      <c r="BQ642" s="256" t="n"/>
      <c r="BR642" s="256" t="n"/>
      <c r="BS642" s="256" t="n"/>
      <c r="BT642" s="256" t="n"/>
      <c r="BU642" s="256" t="n"/>
      <c r="BV642" s="256" t="n"/>
      <c r="BW642" s="256" t="n"/>
      <c r="BX642" s="256" t="n"/>
      <c r="BY642" s="256" t="n"/>
      <c r="BZ642" s="256" t="n"/>
      <c r="CA642" s="256" t="n"/>
    </row>
    <row r="643" ht="12" customHeight="1" s="227">
      <c r="A643" s="244" t="n"/>
      <c r="B643" s="244" t="n"/>
      <c r="C643" s="244" t="n"/>
      <c r="T643" s="149" t="n"/>
      <c r="U643" s="149" t="n"/>
      <c r="V643" s="149" t="n"/>
      <c r="W643" s="149" t="n"/>
      <c r="X643" s="149" t="n"/>
      <c r="Y643" s="149" t="n"/>
      <c r="Z643" s="149" t="n"/>
      <c r="AA643" s="149" t="n"/>
      <c r="AB643" s="149" t="n"/>
      <c r="AC643" s="149" t="n"/>
      <c r="AD643" s="149" t="n"/>
      <c r="AE643" s="149" t="n"/>
      <c r="AF643" s="149" t="n"/>
      <c r="AG643" s="149" t="n"/>
      <c r="AH643" s="149" t="n"/>
      <c r="AI643" s="149" t="n"/>
      <c r="AJ643" s="149" t="n"/>
      <c r="AK643" s="149" t="n"/>
      <c r="AL643" s="149" t="n"/>
      <c r="AM643" s="149" t="n"/>
      <c r="AN643" s="149" t="n"/>
      <c r="AO643" s="149" t="n"/>
      <c r="AP643" s="149" t="n"/>
      <c r="AQ643" s="149" t="n"/>
      <c r="AR643" s="149" t="n"/>
      <c r="AS643" s="149" t="n"/>
      <c r="AT643" s="149" t="n"/>
      <c r="AU643" s="149" t="n"/>
      <c r="AV643" s="149" t="n"/>
      <c r="AW643" s="149" t="n"/>
      <c r="AX643" s="149" t="n"/>
      <c r="AY643" s="149" t="n"/>
      <c r="AZ643" s="149" t="n"/>
      <c r="BA643" s="149" t="n"/>
      <c r="BB643" s="149" t="n"/>
      <c r="BC643" s="149" t="n"/>
      <c r="BD643" s="149" t="n"/>
      <c r="BE643" s="149" t="n"/>
      <c r="BF643" s="149" t="n"/>
      <c r="BG643" s="149" t="n"/>
      <c r="BH643" s="149" t="n"/>
      <c r="BI643" s="149" t="n"/>
      <c r="BJ643" s="149" t="n"/>
      <c r="BK643" s="149" t="n"/>
      <c r="BL643" s="149" t="n"/>
      <c r="BM643" s="149" t="n"/>
      <c r="BN643" s="149" t="n"/>
      <c r="BO643" s="149" t="n"/>
      <c r="BP643" s="149" t="n"/>
      <c r="BQ643" s="149" t="n"/>
      <c r="BR643" s="149" t="n"/>
      <c r="BS643" s="149" t="n"/>
      <c r="BT643" s="149" t="n"/>
      <c r="BU643" s="149" t="n"/>
      <c r="BV643" s="149" t="n"/>
      <c r="BW643" s="149" t="n"/>
      <c r="BX643" s="149" t="n"/>
      <c r="BY643" s="149" t="n"/>
      <c r="BZ643" s="149" t="n"/>
      <c r="CA643" s="149" t="n"/>
    </row>
    <row r="644" ht="12" customHeight="1" s="227">
      <c r="A644" s="244" t="n"/>
      <c r="B644" s="244" t="n"/>
      <c r="C644" s="244" t="n"/>
    </row>
    <row r="645" ht="12" customHeight="1" s="227">
      <c r="A645" s="244" t="n"/>
      <c r="B645" s="244" t="n"/>
      <c r="C645" s="244" t="n"/>
      <c r="G645" s="222" t="inlineStr">
        <is>
          <t>Useful Life</t>
        </is>
      </c>
    </row>
    <row r="646" ht="12" customHeight="1" s="227">
      <c r="A646" s="244" t="n"/>
      <c r="B646" s="244" t="n"/>
      <c r="C646" s="244" t="n"/>
    </row>
    <row r="647" ht="12" customHeight="1" s="227">
      <c r="A647" s="244" t="n"/>
      <c r="B647" s="244" t="n"/>
      <c r="C647" s="244" t="n"/>
      <c r="H647" s="4">
        <f>i_Setup!U115</f>
        <v/>
      </c>
      <c r="I647" s="27" t="inlineStr">
        <is>
          <t>Years</t>
        </is>
      </c>
      <c r="K647" s="230" t="n">
        <v>5</v>
      </c>
    </row>
    <row r="648" ht="12" customHeight="1" s="227">
      <c r="A648" s="244" t="n"/>
      <c r="B648" s="244" t="n"/>
      <c r="C648" s="244" t="n"/>
      <c r="H648" s="4">
        <f>i_Setup!U116</f>
        <v/>
      </c>
      <c r="I648" s="27" t="inlineStr">
        <is>
          <t>Years</t>
        </is>
      </c>
      <c r="K648" s="230" t="n">
        <v>4</v>
      </c>
    </row>
    <row r="649" ht="12" customHeight="1" s="227">
      <c r="A649" s="244" t="n"/>
      <c r="B649" s="244" t="n"/>
      <c r="C649" s="244" t="n"/>
      <c r="H649" s="4">
        <f>i_Setup!U117</f>
        <v/>
      </c>
      <c r="I649" s="27" t="inlineStr">
        <is>
          <t>Years</t>
        </is>
      </c>
      <c r="K649" s="230" t="n">
        <v>5</v>
      </c>
    </row>
    <row r="650" ht="12" customHeight="1" s="227">
      <c r="A650" s="244" t="n"/>
      <c r="B650" s="244" t="n"/>
      <c r="C650" s="244" t="n"/>
      <c r="H650" s="4">
        <f>i_Setup!U118</f>
        <v/>
      </c>
      <c r="I650" s="27" t="inlineStr">
        <is>
          <t>Years</t>
        </is>
      </c>
      <c r="K650" s="230" t="n"/>
    </row>
    <row r="651" ht="12" customHeight="1" s="227">
      <c r="A651" s="244" t="n"/>
      <c r="B651" s="244" t="n"/>
      <c r="C651" s="244" t="n"/>
      <c r="H651" s="4">
        <f>i_Setup!U119</f>
        <v/>
      </c>
      <c r="I651" s="27" t="inlineStr">
        <is>
          <t>Years</t>
        </is>
      </c>
      <c r="K651" s="230" t="n"/>
    </row>
    <row r="652" ht="12" customHeight="1" s="227">
      <c r="A652" s="244" t="n"/>
      <c r="B652" s="244" t="n"/>
      <c r="C652" s="244" t="n"/>
    </row>
    <row r="653" ht="12" customHeight="1" s="227">
      <c r="A653" s="244" t="n"/>
      <c r="B653" s="244" t="n"/>
      <c r="C653" s="244" t="n"/>
    </row>
    <row r="654" ht="13.5" customFormat="1" customHeight="1" s="223" thickBot="1">
      <c r="E654" s="223">
        <f>Heading2</f>
        <v/>
      </c>
      <c r="F654" s="223" t="inlineStr">
        <is>
          <t>Borrowing</t>
        </is>
      </c>
      <c r="G654" s="262" t="n"/>
      <c r="H654" s="262" t="n"/>
    </row>
    <row r="655" ht="12" customHeight="1" s="227">
      <c r="A655" s="244" t="n"/>
      <c r="B655" s="244" t="n"/>
      <c r="C655" s="244" t="n"/>
    </row>
    <row r="656" ht="12" customHeight="1" s="227">
      <c r="A656" s="244" t="n"/>
      <c r="B656" s="244" t="n"/>
      <c r="C656" s="244" t="n"/>
      <c r="G656" s="222" t="inlineStr">
        <is>
          <t>Loan Details</t>
        </is>
      </c>
    </row>
    <row r="657" ht="34.9" customHeight="1" s="227">
      <c r="A657" s="244" t="n"/>
      <c r="B657" s="244" t="n"/>
      <c r="C657" s="244" t="n"/>
      <c r="M657" s="161" t="inlineStr">
        <is>
          <t>Maturity Month</t>
        </is>
      </c>
      <c r="N657" s="197" t="inlineStr">
        <is>
          <t>Interest Rate Per Annum</t>
        </is>
      </c>
    </row>
    <row r="658" ht="12" customHeight="1" s="227">
      <c r="A658" s="244" t="n"/>
      <c r="B658" s="244" t="n"/>
      <c r="C658" s="244" t="n"/>
      <c r="H658" s="4">
        <f>i_Setup!U124</f>
        <v/>
      </c>
      <c r="I658" s="27">
        <f>"List / "&amp;i_Setup!$M$16</f>
        <v/>
      </c>
      <c r="M658" s="206" t="n">
        <v>48944</v>
      </c>
      <c r="N658" s="263" t="n">
        <v>0.025</v>
      </c>
    </row>
    <row r="659" ht="12" customHeight="1" s="227">
      <c r="A659" s="244" t="n"/>
      <c r="B659" s="244" t="n"/>
      <c r="C659" s="244" t="n"/>
      <c r="H659" s="4">
        <f>i_Setup!U125</f>
        <v/>
      </c>
      <c r="I659" s="27">
        <f>"List / "&amp;i_Setup!$M$16</f>
        <v/>
      </c>
      <c r="M659" s="206" t="n"/>
      <c r="N659" s="263" t="n"/>
    </row>
    <row r="660" ht="12" customHeight="1" s="227">
      <c r="A660" s="244" t="n"/>
      <c r="B660" s="244" t="n"/>
      <c r="C660" s="244" t="n"/>
      <c r="H660" s="4">
        <f>i_Setup!U126</f>
        <v/>
      </c>
      <c r="I660" s="27">
        <f>"List / "&amp;i_Setup!$M$16</f>
        <v/>
      </c>
      <c r="M660" s="206" t="n"/>
      <c r="N660" s="263" t="n"/>
    </row>
    <row r="661" ht="12" customHeight="1" s="227">
      <c r="A661" s="244" t="n"/>
      <c r="B661" s="244" t="n"/>
      <c r="C661" s="244" t="n"/>
      <c r="M661" s="6" t="n"/>
    </row>
    <row r="662" ht="12" customHeight="1" s="227">
      <c r="A662" s="244" t="n"/>
      <c r="B662" s="244" t="n"/>
      <c r="C662" s="244" t="n"/>
    </row>
    <row r="663" ht="12" customHeight="1" s="227">
      <c r="A663" s="244" t="n"/>
      <c r="B663" s="244" t="n"/>
      <c r="C663" s="244" t="n"/>
      <c r="G663" s="222" t="inlineStr">
        <is>
          <t>Additions / (Repayments)</t>
        </is>
      </c>
    </row>
    <row r="664" ht="12" customHeight="1" s="227">
      <c r="A664" s="244" t="n"/>
      <c r="B664" s="244" t="n"/>
      <c r="C664" s="244" t="n"/>
    </row>
    <row r="665" ht="12" customHeight="1" s="227">
      <c r="A665" s="244" t="n"/>
      <c r="B665" s="244" t="n"/>
      <c r="C665" s="244" t="n"/>
      <c r="H665" s="0">
        <f>i_Setup!U124</f>
        <v/>
      </c>
      <c r="I665" s="27">
        <f>i_Setup!$M$16</f>
        <v/>
      </c>
      <c r="M665" s="245">
        <f>SUMIF($T$4:$CA$4,M$4,$T665:$CA665)</f>
        <v/>
      </c>
      <c r="N665" s="245">
        <f>SUMIF($T$4:$CA$4,N$4,$T665:$CA665)</f>
        <v/>
      </c>
      <c r="O665" s="245">
        <f>SUMIF($T$4:$CA$4,O$4,$T665:$CA665)</f>
        <v/>
      </c>
      <c r="P665" s="245">
        <f>SUMIF($T$4:$CA$4,P$4,$T665:$CA665)</f>
        <v/>
      </c>
      <c r="Q665" s="245">
        <f>SUMIF($T$4:$CA$4,Q$4,$T665:$CA665)</f>
        <v/>
      </c>
      <c r="T665" s="256" t="n"/>
      <c r="U665" s="256" t="n"/>
      <c r="V665" s="256" t="n"/>
      <c r="W665" s="256" t="n"/>
      <c r="X665" s="256" t="n"/>
      <c r="Y665" s="256" t="n"/>
      <c r="Z665" s="256" t="n"/>
      <c r="AA665" s="256" t="n"/>
      <c r="AB665" s="256" t="n"/>
      <c r="AC665" s="256" t="n"/>
      <c r="AD665" s="256" t="n"/>
      <c r="AE665" s="256" t="n"/>
      <c r="AF665" s="256" t="n"/>
      <c r="AG665" s="256" t="n"/>
      <c r="AH665" s="256" t="n"/>
      <c r="AI665" s="256" t="n"/>
      <c r="AJ665" s="256" t="n"/>
      <c r="AK665" s="256" t="n"/>
      <c r="AL665" s="256" t="n"/>
      <c r="AM665" s="256" t="n"/>
      <c r="AN665" s="256" t="n"/>
      <c r="AO665" s="256" t="n"/>
      <c r="AP665" s="256" t="n"/>
      <c r="AQ665" s="256" t="n"/>
      <c r="AR665" s="256" t="n"/>
      <c r="AS665" s="256" t="n"/>
      <c r="AT665" s="256" t="n"/>
      <c r="AU665" s="256" t="n"/>
      <c r="AV665" s="256" t="n"/>
      <c r="AW665" s="256" t="n"/>
      <c r="AX665" s="256" t="n"/>
      <c r="AY665" s="256" t="n"/>
      <c r="AZ665" s="256" t="n"/>
      <c r="BA665" s="256" t="n"/>
      <c r="BB665" s="256" t="n"/>
      <c r="BC665" s="256" t="n"/>
      <c r="BD665" s="256" t="n"/>
      <c r="BE665" s="256" t="n"/>
      <c r="BF665" s="256" t="n"/>
      <c r="BG665" s="256" t="n"/>
      <c r="BH665" s="256" t="n"/>
      <c r="BI665" s="256" t="n"/>
      <c r="BJ665" s="256" t="n"/>
      <c r="BK665" s="256" t="n"/>
      <c r="BL665" s="256" t="n"/>
      <c r="BM665" s="256" t="n"/>
      <c r="BN665" s="256" t="n"/>
      <c r="BO665" s="256" t="n"/>
      <c r="BP665" s="256" t="n"/>
      <c r="BQ665" s="256" t="n"/>
      <c r="BR665" s="256" t="n"/>
      <c r="BS665" s="256" t="n"/>
      <c r="BT665" s="256" t="n"/>
      <c r="BU665" s="256" t="n"/>
      <c r="BV665" s="256" t="n"/>
      <c r="BW665" s="256" t="n"/>
      <c r="BX665" s="256" t="n"/>
      <c r="BY665" s="256" t="n"/>
      <c r="BZ665" s="256" t="n"/>
      <c r="CA665" s="256" t="n"/>
    </row>
    <row r="666" ht="12" customHeight="1" s="227">
      <c r="A666" s="244" t="n"/>
      <c r="B666" s="244" t="n"/>
      <c r="C666" s="244" t="n"/>
      <c r="H666" s="0">
        <f>i_Setup!U125</f>
        <v/>
      </c>
      <c r="I666" s="27">
        <f>i_Setup!$M$16</f>
        <v/>
      </c>
      <c r="M666" s="245">
        <f>SUMIF($T$4:$CA$4,M$4,$T666:$CA666)</f>
        <v/>
      </c>
      <c r="N666" s="245">
        <f>SUMIF($T$4:$CA$4,N$4,$T666:$CA666)</f>
        <v/>
      </c>
      <c r="O666" s="245">
        <f>SUMIF($T$4:$CA$4,O$4,$T666:$CA666)</f>
        <v/>
      </c>
      <c r="P666" s="245">
        <f>SUMIF($T$4:$CA$4,P$4,$T666:$CA666)</f>
        <v/>
      </c>
      <c r="Q666" s="245">
        <f>SUMIF($T$4:$CA$4,Q$4,$T666:$CA666)</f>
        <v/>
      </c>
      <c r="T666" s="256" t="n"/>
      <c r="U666" s="256" t="n"/>
      <c r="V666" s="256" t="n"/>
      <c r="W666" s="256" t="n"/>
      <c r="X666" s="256" t="n"/>
      <c r="Y666" s="256" t="n"/>
      <c r="Z666" s="256" t="n"/>
      <c r="AA666" s="256" t="n"/>
      <c r="AB666" s="256" t="n"/>
      <c r="AC666" s="256" t="n"/>
      <c r="AD666" s="256" t="n"/>
      <c r="AE666" s="256" t="n"/>
      <c r="AF666" s="256" t="n"/>
      <c r="AG666" s="256" t="n"/>
      <c r="AH666" s="256" t="n"/>
      <c r="AI666" s="256" t="n"/>
      <c r="AJ666" s="256" t="n"/>
      <c r="AK666" s="256" t="n"/>
      <c r="AL666" s="256" t="n"/>
      <c r="AM666" s="256" t="n"/>
      <c r="AN666" s="256" t="n"/>
      <c r="AO666" s="256" t="n"/>
      <c r="AP666" s="256" t="n"/>
      <c r="AQ666" s="256" t="n"/>
      <c r="AR666" s="256" t="n"/>
      <c r="AS666" s="256" t="n"/>
      <c r="AT666" s="256" t="n"/>
      <c r="AU666" s="256" t="n"/>
      <c r="AV666" s="256" t="n"/>
      <c r="AW666" s="256" t="n"/>
      <c r="AX666" s="256" t="n"/>
      <c r="AY666" s="256" t="n"/>
      <c r="AZ666" s="256" t="n"/>
      <c r="BA666" s="256" t="n"/>
      <c r="BB666" s="256" t="n"/>
      <c r="BC666" s="256" t="n"/>
      <c r="BD666" s="256" t="n"/>
      <c r="BE666" s="256" t="n"/>
      <c r="BF666" s="256" t="n"/>
      <c r="BG666" s="256" t="n"/>
      <c r="BH666" s="256" t="n"/>
      <c r="BI666" s="256" t="n"/>
      <c r="BJ666" s="256" t="n"/>
      <c r="BK666" s="256" t="n"/>
      <c r="BL666" s="256" t="n"/>
      <c r="BM666" s="256" t="n"/>
      <c r="BN666" s="256" t="n"/>
      <c r="BO666" s="256" t="n"/>
      <c r="BP666" s="256" t="n"/>
      <c r="BQ666" s="256" t="n"/>
      <c r="BR666" s="256" t="n"/>
      <c r="BS666" s="256" t="n"/>
      <c r="BT666" s="256" t="n"/>
      <c r="BU666" s="256" t="n"/>
      <c r="BV666" s="256" t="n"/>
      <c r="BW666" s="256" t="n"/>
      <c r="BX666" s="256" t="n"/>
      <c r="BY666" s="256" t="n"/>
      <c r="BZ666" s="256" t="n"/>
      <c r="CA666" s="256" t="n"/>
    </row>
    <row r="667" ht="12" customHeight="1" s="227">
      <c r="A667" s="244" t="n"/>
      <c r="B667" s="244" t="n"/>
      <c r="C667" s="244" t="n"/>
      <c r="H667" s="0">
        <f>i_Setup!U126</f>
        <v/>
      </c>
      <c r="I667" s="27">
        <f>i_Setup!$M$16</f>
        <v/>
      </c>
      <c r="M667" s="245">
        <f>SUMIF($T$4:$CA$4,M$4,$T667:$CA667)</f>
        <v/>
      </c>
      <c r="N667" s="245">
        <f>SUMIF($T$4:$CA$4,N$4,$T667:$CA667)</f>
        <v/>
      </c>
      <c r="O667" s="245">
        <f>SUMIF($T$4:$CA$4,O$4,$T667:$CA667)</f>
        <v/>
      </c>
      <c r="P667" s="245">
        <f>SUMIF($T$4:$CA$4,P$4,$T667:$CA667)</f>
        <v/>
      </c>
      <c r="Q667" s="245">
        <f>SUMIF($T$4:$CA$4,Q$4,$T667:$CA667)</f>
        <v/>
      </c>
      <c r="T667" s="256" t="n"/>
      <c r="U667" s="256" t="n"/>
      <c r="V667" s="256" t="n"/>
      <c r="W667" s="256" t="n"/>
      <c r="X667" s="256" t="n"/>
      <c r="Y667" s="256" t="n"/>
      <c r="Z667" s="256" t="n"/>
      <c r="AA667" s="256" t="n"/>
      <c r="AB667" s="256" t="n"/>
      <c r="AC667" s="256" t="n"/>
      <c r="AD667" s="256" t="n"/>
      <c r="AE667" s="256" t="n"/>
      <c r="AF667" s="256" t="n"/>
      <c r="AG667" s="256" t="n"/>
      <c r="AH667" s="256" t="n"/>
      <c r="AI667" s="256" t="n"/>
      <c r="AJ667" s="256" t="n"/>
      <c r="AK667" s="256" t="n"/>
      <c r="AL667" s="256" t="n"/>
      <c r="AM667" s="256" t="n"/>
      <c r="AN667" s="256" t="n"/>
      <c r="AO667" s="256" t="n"/>
      <c r="AP667" s="256" t="n"/>
      <c r="AQ667" s="256" t="n"/>
      <c r="AR667" s="256" t="n"/>
      <c r="AS667" s="256" t="n"/>
      <c r="AT667" s="256" t="n"/>
      <c r="AU667" s="256" t="n"/>
      <c r="AV667" s="256" t="n"/>
      <c r="AW667" s="256" t="n"/>
      <c r="AX667" s="256" t="n"/>
      <c r="AY667" s="256" t="n"/>
      <c r="AZ667" s="256" t="n"/>
      <c r="BA667" s="256" t="n"/>
      <c r="BB667" s="256" t="n"/>
      <c r="BC667" s="256" t="n"/>
      <c r="BD667" s="256" t="n"/>
      <c r="BE667" s="256" t="n"/>
      <c r="BF667" s="256" t="n"/>
      <c r="BG667" s="256" t="n"/>
      <c r="BH667" s="256" t="n"/>
      <c r="BI667" s="256" t="n"/>
      <c r="BJ667" s="256" t="n"/>
      <c r="BK667" s="256" t="n"/>
      <c r="BL667" s="256" t="n"/>
      <c r="BM667" s="256" t="n"/>
      <c r="BN667" s="256" t="n"/>
      <c r="BO667" s="256" t="n"/>
      <c r="BP667" s="256" t="n"/>
      <c r="BQ667" s="256" t="n"/>
      <c r="BR667" s="256" t="n"/>
      <c r="BS667" s="256" t="n"/>
      <c r="BT667" s="256" t="n"/>
      <c r="BU667" s="256" t="n"/>
      <c r="BV667" s="256" t="n"/>
      <c r="BW667" s="256" t="n"/>
      <c r="BX667" s="256" t="n"/>
      <c r="BY667" s="256" t="n"/>
      <c r="BZ667" s="256" t="n"/>
      <c r="CA667" s="256" t="n"/>
    </row>
    <row r="668" ht="12" customHeight="1" s="227">
      <c r="A668" s="244" t="n"/>
      <c r="B668" s="244" t="n"/>
      <c r="C668" s="244" t="n"/>
    </row>
    <row r="669" ht="12" customHeight="1" s="227">
      <c r="A669" s="244" t="n"/>
      <c r="B669" s="244" t="n"/>
      <c r="C669" s="244" t="n"/>
    </row>
    <row r="670" ht="13.5" customFormat="1" customHeight="1" s="223" thickBot="1">
      <c r="E670" s="223">
        <f>Heading2</f>
        <v/>
      </c>
      <c r="F670" s="223" t="inlineStr">
        <is>
          <t>Share Capital</t>
        </is>
      </c>
    </row>
    <row r="671" ht="12" customHeight="1" s="227">
      <c r="A671" s="244" t="n"/>
      <c r="B671" s="244" t="n"/>
      <c r="C671" s="244" t="n"/>
    </row>
    <row r="672" ht="12" customHeight="1" s="227">
      <c r="A672" s="244" t="n"/>
      <c r="B672" s="244" t="n"/>
      <c r="C672" s="244" t="n"/>
      <c r="G672" s="222" t="inlineStr">
        <is>
          <t>Share Capital</t>
        </is>
      </c>
    </row>
    <row r="673" ht="12" customHeight="1" s="227">
      <c r="A673" s="244" t="n"/>
      <c r="B673" s="244" t="n"/>
      <c r="C673" s="244" t="n"/>
    </row>
    <row r="674" ht="12" customHeight="1" s="227">
      <c r="A674" s="244" t="n"/>
      <c r="B674" s="244" t="n"/>
      <c r="C674" s="244" t="n"/>
      <c r="H674" s="0" t="inlineStr">
        <is>
          <t>Additions</t>
        </is>
      </c>
      <c r="I674" s="27">
        <f>i_Setup!$M$16</f>
        <v/>
      </c>
      <c r="M674" s="245">
        <f>SUMIF($T$4:$CA$4,M$4,$T674:$CA674)</f>
        <v/>
      </c>
      <c r="N674" s="245">
        <f>SUMIF($T$4:$CA$4,N$4,$T674:$CA674)</f>
        <v/>
      </c>
      <c r="O674" s="245">
        <f>SUMIF($T$4:$CA$4,O$4,$T674:$CA674)</f>
        <v/>
      </c>
      <c r="P674" s="245">
        <f>SUMIF($T$4:$CA$4,P$4,$T674:$CA674)</f>
        <v/>
      </c>
      <c r="Q674" s="245">
        <f>SUMIF($T$4:$CA$4,Q$4,$T674:$CA674)</f>
        <v/>
      </c>
      <c r="T674" s="256" t="n"/>
      <c r="U674" s="256" t="n"/>
      <c r="V674" s="256" t="n"/>
      <c r="W674" s="256" t="n"/>
      <c r="X674" s="256" t="n"/>
      <c r="Y674" s="256" t="n"/>
      <c r="Z674" s="256" t="n"/>
      <c r="AA674" s="256" t="n"/>
      <c r="AB674" s="256" t="n"/>
      <c r="AC674" s="256" t="n"/>
      <c r="AD674" s="256" t="n"/>
      <c r="AE674" s="256" t="n"/>
      <c r="AF674" s="256" t="n"/>
      <c r="AG674" s="256" t="n"/>
      <c r="AH674" s="256" t="n"/>
      <c r="AI674" s="256" t="n"/>
      <c r="AJ674" s="256" t="n"/>
      <c r="AK674" s="256" t="n"/>
      <c r="AL674" s="256" t="n"/>
      <c r="AM674" s="256" t="n"/>
      <c r="AN674" s="256" t="n"/>
      <c r="AO674" s="256" t="n"/>
      <c r="AP674" s="256" t="n"/>
      <c r="AQ674" s="256" t="n"/>
      <c r="AR674" s="256" t="n"/>
      <c r="AS674" s="256" t="n"/>
      <c r="AT674" s="256" t="n"/>
      <c r="AU674" s="256" t="n"/>
      <c r="AV674" s="256" t="n"/>
      <c r="AW674" s="256" t="n"/>
      <c r="AX674" s="256" t="n"/>
      <c r="AY674" s="256" t="n"/>
      <c r="AZ674" s="256" t="n"/>
      <c r="BA674" s="256" t="n"/>
      <c r="BB674" s="256" t="n"/>
      <c r="BC674" s="256" t="n"/>
      <c r="BD674" s="256" t="n"/>
      <c r="BE674" s="256" t="n"/>
      <c r="BF674" s="256" t="n"/>
      <c r="BG674" s="256" t="n"/>
      <c r="BH674" s="256" t="n"/>
      <c r="BI674" s="256" t="n"/>
      <c r="BJ674" s="256" t="n"/>
      <c r="BK674" s="256" t="n"/>
      <c r="BL674" s="256" t="n"/>
      <c r="BM674" s="256" t="n"/>
      <c r="BN674" s="256" t="n"/>
      <c r="BO674" s="256" t="n"/>
      <c r="BP674" s="256" t="n"/>
      <c r="BQ674" s="256" t="n"/>
      <c r="BR674" s="256" t="n"/>
      <c r="BS674" s="256" t="n"/>
      <c r="BT674" s="256" t="n"/>
      <c r="BU674" s="256" t="n"/>
      <c r="BV674" s="256" t="n"/>
      <c r="BW674" s="256" t="n"/>
      <c r="BX674" s="256" t="n"/>
      <c r="BY674" s="256" t="n"/>
      <c r="BZ674" s="256" t="n"/>
      <c r="CA674" s="256" t="n"/>
    </row>
    <row r="675" ht="12" customHeight="1" s="227">
      <c r="A675" s="244" t="n"/>
      <c r="B675" s="244" t="n"/>
      <c r="C675" s="244" t="n"/>
    </row>
    <row r="676" ht="12" customHeight="1" s="227">
      <c r="A676" s="244" t="n"/>
      <c r="B676" s="244" t="n"/>
      <c r="C676" s="244" t="n"/>
    </row>
    <row r="677" ht="12" customHeight="1" s="227"/>
    <row r="678" ht="15.75" customFormat="1" customHeight="1" s="99">
      <c r="D678" s="99" t="inlineStr">
        <is>
          <t>END OF WORKSHEET</t>
        </is>
      </c>
    </row>
  </sheetData>
  <mergeCells count="3">
    <mergeCell ref="F612:H612"/>
    <mergeCell ref="G594:H594"/>
    <mergeCell ref="F654:H654"/>
  </mergeCells>
  <conditionalFormatting sqref="B5">
    <cfRule type="expression" priority="332" dxfId="1">
      <formula>"$B$6&lt;&gt;0"</formula>
    </cfRule>
    <cfRule type="cellIs" priority="331" operator="notEqual" dxfId="1">
      <formula>0</formula>
    </cfRule>
  </conditionalFormatting>
  <conditionalFormatting sqref="B5:C5">
    <cfRule type="cellIs" priority="333" operator="equal" dxfId="5">
      <formula>0</formula>
    </cfRule>
  </conditionalFormatting>
  <conditionalFormatting sqref="C5">
    <cfRule type="cellIs" priority="334" operator="notEqual" dxfId="0">
      <formula>0</formula>
    </cfRule>
  </conditionalFormatting>
  <conditionalFormatting sqref="H5">
    <cfRule type="expression" priority="327" dxfId="1">
      <formula>sysCheck&lt;&gt;0</formula>
    </cfRule>
    <cfRule type="expression" priority="330" dxfId="0">
      <formula>sysAlert&lt;&gt;0</formula>
    </cfRule>
    <cfRule type="expression" priority="329" dxfId="1">
      <formula>sysCheck&lt;&gt;0</formula>
    </cfRule>
    <cfRule type="expression" priority="328" dxfId="0">
      <formula>sysAlert&lt;&gt;0</formula>
    </cfRule>
  </conditionalFormatting>
  <conditionalFormatting sqref="M7:Q7">
    <cfRule type="containsText" priority="312" operator="containsText" dxfId="8" text="Actual">
      <formula>NOT(ISERROR(SEARCH("Actual",M7)))</formula>
    </cfRule>
    <cfRule type="containsText" priority="311" operator="containsText" dxfId="9" text="Forecast">
      <formula>NOT(ISERROR(SEARCH("Forecast",M7)))</formula>
    </cfRule>
  </conditionalFormatting>
  <conditionalFormatting sqref="T7:CA7">
    <cfRule type="containsText" priority="309" operator="containsText" dxfId="9" text="Forecast">
      <formula>NOT(ISERROR(SEARCH("Forecast",T7)))</formula>
    </cfRule>
    <cfRule type="containsText" priority="310" operator="containsText" dxfId="8" text="Actual">
      <formula>NOT(ISERROR(SEARCH("Actual",T7)))</formula>
    </cfRule>
  </conditionalFormatting>
  <dataValidations xWindow="1445" yWindow="707" count="24">
    <dataValidation sqref="K43:K52 K75:K82 K598 K608" showDropDown="0" showInputMessage="1" showErrorMessage="1" allowBlank="1" type="list">
      <formula1>"0,1,2,3,4,5,6,7,8,9,10,11,12"</formula1>
    </dataValidation>
    <dataValidation sqref="K606" showDropDown="0" showInputMessage="1" showErrorMessage="1" allowBlank="1" type="list">
      <formula1>"Quarterly,Annually"</formula1>
    </dataValidation>
    <dataValidation sqref="K623" showDropDown="0" showInputMessage="1" showErrorMessage="1" allowBlank="1" type="list">
      <formula1>"Semi-Annually,Annually"</formula1>
    </dataValidation>
    <dataValidation sqref="G602" showDropDown="0" showInputMessage="1" showErrorMessage="1" allowBlank="1" promptTitle="Corporate Tax" prompt="Levy placed on the profits of a business to raise taxes. The enacted tax rates are applied to the operating earnings in order to determine the amount the business owes to the government."/>
    <dataValidation sqref="G562" showDropDown="0" showInputMessage="1" showErrorMessage="1" allowBlank="1" promptTitle="Marketing Costs" prompt="Costs of selling a product or service and typically include items such as marketing research, promotions, public relations, advertising, SEO, etc."/>
    <dataValidation sqref="G571" showDropDown="0" showInputMessage="1" showErrorMessage="1" allowBlank="1" promptTitle="Other Expenses" prompt="Cost that do not change with the amount of goods or services produced or sold. Fixed costs are expenses that have to be paid by a business irrespective of any business activity, eg. office rent, utilities, audit fees, insurances etc._x000a_ "/>
    <dataValidation sqref="F612" showDropDown="0" showInputMessage="1" showErrorMessage="1" allowBlank="1" promptTitle="Dividends" prompt="A dividend is a distribution of a portion of the profits (or reserves),  paid regularly (typically annually) by a business to its shareholders."/>
    <dataValidation sqref="G645" showDropDown="0" showInputMessage="1" showErrorMessage="1" allowBlank="1" promptTitle="Useful Life" prompt="Refers to the number of years to amortise the cost of a fixed asset. It is used to calculate the depreciation line item in the income statement."/>
    <dataValidation sqref="F634" showDropDown="0" showInputMessage="1" showErrorMessage="1" allowBlank="1" promptTitle="Fixed Assets" prompt="Assets which are purchased for long-term use and are not likely to be converted quickly into cash. Fixed assets can be capitalised (held on the balance sheet rather than expensed immediately) and depreciated over their useful life. eg fixtures &amp; fittings"/>
    <dataValidation sqref="F654" showDropDown="0" showInputMessage="1" showErrorMessage="1" allowBlank="1" promptTitle="Borrowings" prompt="Consist of debt-based funding arrangements between a business and a financial institution on which interest is paid and typically used to fund major capital expenditures and/or to cover operating costs that otherwise business may not afford."/>
    <dataValidation sqref="G672" showDropDown="0" showInputMessage="1" showErrorMessage="1" allowBlank="1" promptTitle="Share Capital" prompt="Investment capital provided by shareholders"/>
    <dataValidation sqref="K477:K484 K533:K540 M596:Q596 M604:Q604 M621:Q621" showDropDown="0" showInputMessage="1" showErrorMessage="1" allowBlank="1" errorTitle="Incorrect Input" error="Only percentages between 0% and 100% are expected in this cell" prompt="Percentage between 0% and 100%" type="decimal">
      <formula1>0</formula1>
      <formula2>1</formula2>
    </dataValidation>
    <dataValidation sqref="M87:Q94 M127:Q134 M167:Q174 M207:Q214 M247:Q254 M287:Q294 M327:Q334 M367:Q374 M407:Q414 M447:Q454 T66:CA70 T106:CA110 T146:CA150 T186:CA190 T226:CA230 T266:CA270 T306:CA310 T346:CA350 T386:CA390 T426:CA430 T509:CA516 T638:CA642" showDropDown="0" showInputMessage="1" showErrorMessage="1" allowBlank="1" errorTitle="Incorrect Signage" error="Only positive amounts, zeros or blanks are expected" prompt="Positive amount, zero or blank_x000a_" operator="greaterThanOrEqual"/>
    <dataValidation sqref="T665:CA667" showDropDown="0" showInputMessage="0" showErrorMessage="1" allowBlank="1" errorTitle="Incorrect Signage" error="Only positive amounts, zeros or blanks are expected" prompt="_x000a_" operator="greaterThanOrEqual"/>
    <dataValidation sqref="M15:Q24 M29:Q38 N75:Q81 N115:Q121 N155:Q161 N195:Q201 N235:Q241 N275:Q281 N315:Q321 N355:Q361 N395:Q401 N435:Q441 T15:CA24 T628:CA628 T674:CA674" showDropDown="0" showInputMessage="1" showErrorMessage="1" allowBlank="1" errorTitle="Incorrect Signage" error="Only positive amounts, zeros or blanks are expected" prompt="Positive amount, zero or blank_x000a_" type="decimal" operator="greaterThanOrEqual">
      <formula1>0</formula1>
    </dataValidation>
    <dataValidation sqref="M75:M82 M115:M122 M155:M162 M195:M202 M235:M242 M275:M282 M315:M322 M355:M362 M395:M402 M435:M442 M465:Q472 M521:Q528 M564:Q568 M573:Q587 N82:Q82 N122:Q122 N162:Q162 N202:Q202 N242:Q242 N282:Q282 N322:Q322 N362:Q362 N402:Q402 N442:Q442 T564:CA568 T573:CA587" showDropDown="0" showInputMessage="1" showErrorMessage="1" allowBlank="1" errorTitle="Incorrect Signage" error="Only negative amounts, zeros or blanks are expected" prompt="Negative amount, zero or blank_x000a_" type="decimal" operator="lessThanOrEqual">
      <formula1>0</formula1>
    </dataValidation>
    <dataValidation sqref="G594:H594" showDropDown="0" showInputMessage="1" showErrorMessage="1" allowBlank="1" promptTitle="Sales Tax" prompt="Tax paid to a governing body for the sales of certain goods and services. Usually laws allow the seller to collect funds for the tax from the consumer at the point of purchase by the customer."/>
    <dataValidation sqref="K15:K24 K564:K568 K573:K587" showDropDown="0" showInputMessage="1" showErrorMessage="1" allowBlank="1" type="list">
      <formula1>"Annual,Monthly"</formula1>
    </dataValidation>
    <dataValidation sqref="K616" showDropDown="0" showInputMessage="1" showErrorMessage="1" allowBlank="1" type="list">
      <formula1>"% of Retained Earnings,Monthly Input"</formula1>
    </dataValidation>
    <dataValidation sqref="K647:K651" showDropDown="0" showInputMessage="1" showErrorMessage="1" allowBlank="1" error="Values must be whole number between 0-100" type="whole">
      <formula1>0</formula1>
      <formula2>100</formula2>
    </dataValidation>
    <dataValidation sqref="M489:Q496 M545:Q552" showDropDown="0" showInputMessage="1" showErrorMessage="1" allowBlank="1" errorTitle="Incorrect Input" error="Only percentages between 0% and 500% are expected in this cell" prompt="Percentage between 0% and 500%" type="decimal">
      <formula1>0</formula1>
      <formula2>5</formula2>
    </dataValidation>
    <dataValidation sqref="T501:AE501 T557:AE557" showDropDown="0" showInputMessage="0" showErrorMessage="1" allowBlank="1" type="list" operator="greaterThanOrEqual">
      <formula1>"0,1"</formula1>
    </dataValidation>
    <dataValidation sqref="N658:N660" showDropDown="0" showInputMessage="1" showErrorMessage="1" allowBlank="1" error="Only percentages between -100% and 100% allowed in this cell" type="decimal">
      <formula1>-100</formula1>
      <formula2>100</formula2>
    </dataValidation>
    <dataValidation sqref="M658:M660" showDropDown="0" showInputMessage="1" showErrorMessage="1" allowBlank="1" type="list">
      <formula1>Month2</formula1>
    </dataValidation>
  </dataValidations>
  <hyperlinks>
    <hyperlink ref="H4" location="'Front Sheet'!A1" display="LINK TO FRONT SHEET"/>
    <hyperlink ref="H5" location="sht_sysCheck" display="sht_sysCheck"/>
  </hyperlinks>
  <pageMargins left="0.2362204724409449" right="0.2362204724409449" top="0.7480314960629921" bottom="0.7480314960629921" header="0.3149606299212598" footer="0.3149606299212598"/>
  <pageSetup orientation="landscape" paperSize="8" scale="39"/>
  <headerFooter>
    <oddHeader>&amp;L&amp;C&amp;R</oddHeader>
    <oddFooter>&amp;L&amp;F&amp;CPage &amp;P of &amp;N&amp;RPrinted on: &amp;D &amp;T</oddFooter>
    <evenHeader/>
    <evenFooter/>
    <firstHeader/>
    <firstFooter/>
  </headerFooter>
</worksheet>
</file>

<file path=xl/worksheets/sheet6.xml><?xml version="1.0" encoding="utf-8"?>
<worksheet xmlns="http://schemas.openxmlformats.org/spreadsheetml/2006/main">
  <sheetPr>
    <tabColor rgb="FFFF9B00"/>
    <outlinePr summaryBelow="1" summaryRight="1"/>
    <pageSetUpPr/>
  </sheetPr>
  <dimension ref="A1:HC1458"/>
  <sheetViews>
    <sheetView showGridLines="0" zoomScale="70" zoomScaleNormal="70" workbookViewId="0">
      <pane xSplit="11" ySplit="8" topLeftCell="L9" activePane="bottomRight" state="frozen"/>
      <selection activeCell="G75" sqref="G75"/>
      <selection pane="topRight" activeCell="G75" sqref="G75"/>
      <selection pane="bottomLeft" activeCell="G75" sqref="G75"/>
      <selection pane="bottomRight" activeCell="R13" sqref="R13"/>
    </sheetView>
  </sheetViews>
  <sheetFormatPr baseColWidth="8" defaultColWidth="0" defaultRowHeight="12" zeroHeight="1"/>
  <cols>
    <col width="1.5703125" customWidth="1" style="6" min="1" max="1"/>
    <col width="4.140625" customWidth="1" style="6" min="2" max="2"/>
    <col width="4.140625" customWidth="1" style="4" min="3" max="3"/>
    <col width="4.42578125" customWidth="1" style="4" min="4" max="4"/>
    <col width="5.140625" customWidth="1" style="4" min="5" max="5"/>
    <col width="3.5703125" customWidth="1" style="4" min="6" max="7"/>
    <col width="41.7109375" customWidth="1" style="4" min="8" max="8"/>
    <col width="9" customWidth="1" style="4" min="9" max="9"/>
    <col width="2.5703125" customWidth="1" style="4" min="10" max="10"/>
    <col width="14.7109375" customWidth="1" style="4" min="11" max="11"/>
    <col width="3" customWidth="1" style="4" min="12" max="12"/>
    <col width="14.42578125" customWidth="1" style="4" min="13" max="17"/>
    <col width="12.140625" customWidth="1" style="4" min="18" max="19"/>
    <col width="13.42578125" customWidth="1" style="4" min="20" max="79"/>
    <col width="8.7109375" customWidth="1" style="4" min="80" max="80"/>
    <col hidden="1" width="12.7109375" customWidth="1" style="4" min="81" max="16384"/>
  </cols>
  <sheetData>
    <row r="1" ht="17.65" customFormat="1" customHeight="1" s="2">
      <c r="A1" s="99" t="n"/>
      <c r="B1" s="99">
        <f>i_Setup!$M$13&amp;" Financial Projection"</f>
        <v/>
      </c>
      <c r="C1" s="99" t="n"/>
      <c r="D1" s="99" t="n"/>
      <c r="E1" s="99" t="n"/>
      <c r="F1" s="99" t="n"/>
      <c r="G1" s="99" t="n"/>
      <c r="H1" s="99" t="n"/>
      <c r="I1" s="97" t="n"/>
      <c r="J1" s="97" t="n"/>
      <c r="K1" s="127" t="inlineStr">
        <is>
          <t>Start date</t>
        </is>
      </c>
      <c r="L1" s="127" t="n"/>
      <c r="M1" s="138">
        <f>DATE(i_Setup!$M$19,1,1)</f>
        <v/>
      </c>
      <c r="N1" s="138">
        <f>M2+1</f>
        <v/>
      </c>
      <c r="O1" s="138">
        <f>N2+1</f>
        <v/>
      </c>
      <c r="P1" s="138">
        <f>O2+1</f>
        <v/>
      </c>
      <c r="Q1" s="138">
        <f>P2+1</f>
        <v/>
      </c>
      <c r="R1" s="138" t="n"/>
      <c r="S1" s="138" t="n"/>
      <c r="T1" s="138">
        <f>DATE(i_Setup!$M$19,1,1)</f>
        <v/>
      </c>
      <c r="U1" s="138">
        <f>T2+1</f>
        <v/>
      </c>
      <c r="V1" s="138">
        <f>U2+1</f>
        <v/>
      </c>
      <c r="W1" s="138">
        <f>V2+1</f>
        <v/>
      </c>
      <c r="X1" s="138">
        <f>W2+1</f>
        <v/>
      </c>
      <c r="Y1" s="138">
        <f>X2+1</f>
        <v/>
      </c>
      <c r="Z1" s="138">
        <f>Y2+1</f>
        <v/>
      </c>
      <c r="AA1" s="138">
        <f>Z2+1</f>
        <v/>
      </c>
      <c r="AB1" s="138">
        <f>AA2+1</f>
        <v/>
      </c>
      <c r="AC1" s="138">
        <f>AB2+1</f>
        <v/>
      </c>
      <c r="AD1" s="138">
        <f>AC2+1</f>
        <v/>
      </c>
      <c r="AE1" s="138">
        <f>AD2+1</f>
        <v/>
      </c>
      <c r="AF1" s="138">
        <f>AE2+1</f>
        <v/>
      </c>
      <c r="AG1" s="138">
        <f>AF2+1</f>
        <v/>
      </c>
      <c r="AH1" s="138">
        <f>AG2+1</f>
        <v/>
      </c>
      <c r="AI1" s="138">
        <f>AH2+1</f>
        <v/>
      </c>
      <c r="AJ1" s="138">
        <f>AI2+1</f>
        <v/>
      </c>
      <c r="AK1" s="138">
        <f>AJ2+1</f>
        <v/>
      </c>
      <c r="AL1" s="138">
        <f>AK2+1</f>
        <v/>
      </c>
      <c r="AM1" s="138">
        <f>AL2+1</f>
        <v/>
      </c>
      <c r="AN1" s="138">
        <f>AM2+1</f>
        <v/>
      </c>
      <c r="AO1" s="138">
        <f>AN2+1</f>
        <v/>
      </c>
      <c r="AP1" s="138">
        <f>AO2+1</f>
        <v/>
      </c>
      <c r="AQ1" s="138">
        <f>AP2+1</f>
        <v/>
      </c>
      <c r="AR1" s="138">
        <f>AQ2+1</f>
        <v/>
      </c>
      <c r="AS1" s="138">
        <f>AR2+1</f>
        <v/>
      </c>
      <c r="AT1" s="138">
        <f>AS2+1</f>
        <v/>
      </c>
      <c r="AU1" s="138">
        <f>AT2+1</f>
        <v/>
      </c>
      <c r="AV1" s="138">
        <f>AU2+1</f>
        <v/>
      </c>
      <c r="AW1" s="138">
        <f>AV2+1</f>
        <v/>
      </c>
      <c r="AX1" s="138">
        <f>AW2+1</f>
        <v/>
      </c>
      <c r="AY1" s="138">
        <f>AX2+1</f>
        <v/>
      </c>
      <c r="AZ1" s="138">
        <f>AY2+1</f>
        <v/>
      </c>
      <c r="BA1" s="138">
        <f>AZ2+1</f>
        <v/>
      </c>
      <c r="BB1" s="138">
        <f>BA2+1</f>
        <v/>
      </c>
      <c r="BC1" s="138">
        <f>BB2+1</f>
        <v/>
      </c>
      <c r="BD1" s="138">
        <f>BC2+1</f>
        <v/>
      </c>
      <c r="BE1" s="138">
        <f>BD2+1</f>
        <v/>
      </c>
      <c r="BF1" s="138">
        <f>BE2+1</f>
        <v/>
      </c>
      <c r="BG1" s="138">
        <f>BF2+1</f>
        <v/>
      </c>
      <c r="BH1" s="138">
        <f>BG2+1</f>
        <v/>
      </c>
      <c r="BI1" s="138">
        <f>BH2+1</f>
        <v/>
      </c>
      <c r="BJ1" s="138">
        <f>BI2+1</f>
        <v/>
      </c>
      <c r="BK1" s="138">
        <f>BJ2+1</f>
        <v/>
      </c>
      <c r="BL1" s="138">
        <f>BK2+1</f>
        <v/>
      </c>
      <c r="BM1" s="138">
        <f>BL2+1</f>
        <v/>
      </c>
      <c r="BN1" s="138">
        <f>BM2+1</f>
        <v/>
      </c>
      <c r="BO1" s="138">
        <f>BN2+1</f>
        <v/>
      </c>
      <c r="BP1" s="138">
        <f>BO2+1</f>
        <v/>
      </c>
      <c r="BQ1" s="138">
        <f>BP2+1</f>
        <v/>
      </c>
      <c r="BR1" s="138">
        <f>BQ2+1</f>
        <v/>
      </c>
      <c r="BS1" s="138">
        <f>BR2+1</f>
        <v/>
      </c>
      <c r="BT1" s="138">
        <f>BS2+1</f>
        <v/>
      </c>
      <c r="BU1" s="138">
        <f>BT2+1</f>
        <v/>
      </c>
      <c r="BV1" s="138">
        <f>BU2+1</f>
        <v/>
      </c>
      <c r="BW1" s="138">
        <f>BV2+1</f>
        <v/>
      </c>
      <c r="BX1" s="138">
        <f>BW2+1</f>
        <v/>
      </c>
      <c r="BY1" s="138">
        <f>BX2+1</f>
        <v/>
      </c>
      <c r="BZ1" s="138">
        <f>BY2+1</f>
        <v/>
      </c>
      <c r="CA1" s="138">
        <f>BZ2+1</f>
        <v/>
      </c>
      <c r="CB1" s="138">
        <f>CA2+1</f>
        <v/>
      </c>
      <c r="CC1" s="138">
        <f>CB2+1</f>
        <v/>
      </c>
      <c r="CD1" s="138">
        <f>CC2+1</f>
        <v/>
      </c>
      <c r="CE1" s="138">
        <f>CD2+1</f>
        <v/>
      </c>
      <c r="CF1" s="138">
        <f>CE2+1</f>
        <v/>
      </c>
      <c r="CG1" s="138">
        <f>CF2+1</f>
        <v/>
      </c>
      <c r="CH1" s="138">
        <f>CG2+1</f>
        <v/>
      </c>
      <c r="CI1" s="138">
        <f>CH2+1</f>
        <v/>
      </c>
      <c r="CJ1" s="138">
        <f>CI2+1</f>
        <v/>
      </c>
      <c r="CK1" s="138">
        <f>CJ2+1</f>
        <v/>
      </c>
      <c r="CL1" s="138">
        <f>CK2+1</f>
        <v/>
      </c>
      <c r="CM1" s="138">
        <f>CL2+1</f>
        <v/>
      </c>
      <c r="CN1" s="138">
        <f>CM2+1</f>
        <v/>
      </c>
      <c r="CO1" s="138">
        <f>CN2+1</f>
        <v/>
      </c>
      <c r="CP1" s="138">
        <f>CO2+1</f>
        <v/>
      </c>
      <c r="CQ1" s="138">
        <f>CP2+1</f>
        <v/>
      </c>
      <c r="CR1" s="138">
        <f>CQ2+1</f>
        <v/>
      </c>
      <c r="CS1" s="138">
        <f>CR2+1</f>
        <v/>
      </c>
      <c r="CT1" s="138">
        <f>CS2+1</f>
        <v/>
      </c>
      <c r="CU1" s="138">
        <f>CT2+1</f>
        <v/>
      </c>
      <c r="CV1" s="138">
        <f>CU2+1</f>
        <v/>
      </c>
      <c r="CW1" s="138">
        <f>CV2+1</f>
        <v/>
      </c>
      <c r="CX1" s="138">
        <f>CW2+1</f>
        <v/>
      </c>
      <c r="CY1" s="138">
        <f>CX2+1</f>
        <v/>
      </c>
      <c r="CZ1" s="138">
        <f>CY2+1</f>
        <v/>
      </c>
      <c r="DA1" s="138">
        <f>CZ2+1</f>
        <v/>
      </c>
      <c r="DB1" s="138">
        <f>DA2+1</f>
        <v/>
      </c>
      <c r="DC1" s="138">
        <f>DB2+1</f>
        <v/>
      </c>
      <c r="DD1" s="138">
        <f>DC2+1</f>
        <v/>
      </c>
      <c r="DE1" s="138">
        <f>DD2+1</f>
        <v/>
      </c>
      <c r="DF1" s="138">
        <f>DE2+1</f>
        <v/>
      </c>
      <c r="DG1" s="138">
        <f>DF2+1</f>
        <v/>
      </c>
      <c r="DH1" s="138">
        <f>DG2+1</f>
        <v/>
      </c>
      <c r="DI1" s="138">
        <f>DH2+1</f>
        <v/>
      </c>
      <c r="DJ1" s="138">
        <f>DI2+1</f>
        <v/>
      </c>
      <c r="DK1" s="138">
        <f>DJ2+1</f>
        <v/>
      </c>
      <c r="DL1" s="138">
        <f>DK2+1</f>
        <v/>
      </c>
      <c r="DM1" s="138">
        <f>DL2+1</f>
        <v/>
      </c>
      <c r="DN1" s="138">
        <f>DM2+1</f>
        <v/>
      </c>
      <c r="DO1" s="138">
        <f>DN2+1</f>
        <v/>
      </c>
      <c r="DP1" s="138">
        <f>DO2+1</f>
        <v/>
      </c>
      <c r="DQ1" s="138">
        <f>DP2+1</f>
        <v/>
      </c>
      <c r="DR1" s="138">
        <f>DQ2+1</f>
        <v/>
      </c>
      <c r="DS1" s="138">
        <f>DR2+1</f>
        <v/>
      </c>
      <c r="DT1" s="138">
        <f>DS2+1</f>
        <v/>
      </c>
      <c r="DU1" s="138">
        <f>DT2+1</f>
        <v/>
      </c>
      <c r="DV1" s="138">
        <f>DU2+1</f>
        <v/>
      </c>
      <c r="DW1" s="138">
        <f>DV2+1</f>
        <v/>
      </c>
      <c r="DX1" s="138">
        <f>DW2+1</f>
        <v/>
      </c>
      <c r="DY1" s="138">
        <f>DX2+1</f>
        <v/>
      </c>
      <c r="DZ1" s="138">
        <f>DY2+1</f>
        <v/>
      </c>
      <c r="EA1" s="138">
        <f>DZ2+1</f>
        <v/>
      </c>
      <c r="EB1" s="138">
        <f>EA2+1</f>
        <v/>
      </c>
      <c r="EC1" s="138">
        <f>EB2+1</f>
        <v/>
      </c>
      <c r="ED1" s="138">
        <f>EC2+1</f>
        <v/>
      </c>
      <c r="EE1" s="138">
        <f>ED2+1</f>
        <v/>
      </c>
      <c r="EF1" s="138">
        <f>EE2+1</f>
        <v/>
      </c>
      <c r="EG1" s="138">
        <f>EF2+1</f>
        <v/>
      </c>
      <c r="EH1" s="138">
        <f>EG2+1</f>
        <v/>
      </c>
      <c r="EI1" s="138">
        <f>EH2+1</f>
        <v/>
      </c>
      <c r="EJ1" s="138">
        <f>EI2+1</f>
        <v/>
      </c>
      <c r="EK1" s="138">
        <f>EJ2+1</f>
        <v/>
      </c>
      <c r="EL1" s="138">
        <f>EK2+1</f>
        <v/>
      </c>
      <c r="EM1" s="138">
        <f>EL2+1</f>
        <v/>
      </c>
      <c r="EN1" s="138">
        <f>EM2+1</f>
        <v/>
      </c>
      <c r="EO1" s="138">
        <f>EN2+1</f>
        <v/>
      </c>
      <c r="EP1" s="138">
        <f>EO2+1</f>
        <v/>
      </c>
      <c r="EQ1" s="138">
        <f>EP2+1</f>
        <v/>
      </c>
      <c r="ER1" s="138">
        <f>EQ2+1</f>
        <v/>
      </c>
      <c r="ES1" s="138">
        <f>ER2+1</f>
        <v/>
      </c>
      <c r="ET1" s="138">
        <f>ES2+1</f>
        <v/>
      </c>
      <c r="EU1" s="138">
        <f>ET2+1</f>
        <v/>
      </c>
      <c r="EV1" s="138">
        <f>EU2+1</f>
        <v/>
      </c>
      <c r="EW1" s="138">
        <f>EV2+1</f>
        <v/>
      </c>
      <c r="EX1" s="138">
        <f>EW2+1</f>
        <v/>
      </c>
      <c r="EY1" s="138">
        <f>EX2+1</f>
        <v/>
      </c>
      <c r="EZ1" s="138">
        <f>EY2+1</f>
        <v/>
      </c>
      <c r="FA1" s="138">
        <f>EZ2+1</f>
        <v/>
      </c>
      <c r="FB1" s="138">
        <f>FA2+1</f>
        <v/>
      </c>
      <c r="FC1" s="138">
        <f>FB2+1</f>
        <v/>
      </c>
      <c r="FD1" s="138">
        <f>FC2+1</f>
        <v/>
      </c>
      <c r="FE1" s="138">
        <f>FD2+1</f>
        <v/>
      </c>
      <c r="FF1" s="138">
        <f>FE2+1</f>
        <v/>
      </c>
      <c r="FG1" s="138">
        <f>FF2+1</f>
        <v/>
      </c>
      <c r="FH1" s="138">
        <f>FG2+1</f>
        <v/>
      </c>
      <c r="FI1" s="138">
        <f>FH2+1</f>
        <v/>
      </c>
      <c r="FJ1" s="138">
        <f>FI2+1</f>
        <v/>
      </c>
      <c r="FK1" s="138">
        <f>FJ2+1</f>
        <v/>
      </c>
      <c r="FL1" s="138">
        <f>FK2+1</f>
        <v/>
      </c>
      <c r="FM1" s="138">
        <f>FL2+1</f>
        <v/>
      </c>
      <c r="FN1" s="138">
        <f>FM2+1</f>
        <v/>
      </c>
      <c r="FO1" s="138">
        <f>FN2+1</f>
        <v/>
      </c>
      <c r="FP1" s="138">
        <f>FO2+1</f>
        <v/>
      </c>
      <c r="FQ1" s="138">
        <f>FP2+1</f>
        <v/>
      </c>
      <c r="FR1" s="138">
        <f>FQ2+1</f>
        <v/>
      </c>
      <c r="FS1" s="138">
        <f>FR2+1</f>
        <v/>
      </c>
      <c r="FT1" s="138">
        <f>FS2+1</f>
        <v/>
      </c>
      <c r="FU1" s="138">
        <f>FT2+1</f>
        <v/>
      </c>
      <c r="FV1" s="138">
        <f>FU2+1</f>
        <v/>
      </c>
      <c r="FW1" s="138">
        <f>FV2+1</f>
        <v/>
      </c>
      <c r="FX1" s="138">
        <f>FW2+1</f>
        <v/>
      </c>
      <c r="FY1" s="138">
        <f>FX2+1</f>
        <v/>
      </c>
      <c r="FZ1" s="138">
        <f>FY2+1</f>
        <v/>
      </c>
      <c r="GA1" s="138">
        <f>FZ2+1</f>
        <v/>
      </c>
      <c r="GB1" s="138">
        <f>GA2+1</f>
        <v/>
      </c>
      <c r="GC1" s="138">
        <f>GB2+1</f>
        <v/>
      </c>
      <c r="GD1" s="138">
        <f>GC2+1</f>
        <v/>
      </c>
      <c r="GE1" s="138">
        <f>GD2+1</f>
        <v/>
      </c>
      <c r="GF1" s="138">
        <f>GE2+1</f>
        <v/>
      </c>
      <c r="GG1" s="138">
        <f>GF2+1</f>
        <v/>
      </c>
      <c r="GH1" s="138">
        <f>GG2+1</f>
        <v/>
      </c>
      <c r="GI1" s="138">
        <f>GH2+1</f>
        <v/>
      </c>
      <c r="GJ1" s="138">
        <f>GI2+1</f>
        <v/>
      </c>
      <c r="GK1" s="138">
        <f>GJ2+1</f>
        <v/>
      </c>
      <c r="GL1" s="138">
        <f>GK2+1</f>
        <v/>
      </c>
      <c r="GM1" s="138">
        <f>GL2+1</f>
        <v/>
      </c>
      <c r="GN1" s="138">
        <f>GM2+1</f>
        <v/>
      </c>
      <c r="GO1" s="138">
        <f>GN2+1</f>
        <v/>
      </c>
      <c r="GP1" s="138">
        <f>GO2+1</f>
        <v/>
      </c>
      <c r="GQ1" s="138">
        <f>GP2+1</f>
        <v/>
      </c>
    </row>
    <row r="2" ht="17.65" customFormat="1" customHeight="1" s="1">
      <c r="A2" s="99" t="n"/>
      <c r="B2" s="98">
        <f>MID(CELL("filename",C1),FIND("]",CELL("filename",C1))+1,256)</f>
        <v/>
      </c>
      <c r="C2" s="99" t="n"/>
      <c r="D2" s="99" t="n"/>
      <c r="E2" s="99" t="n"/>
      <c r="F2" s="99" t="n"/>
      <c r="G2" s="99" t="n"/>
      <c r="H2" s="99" t="n"/>
      <c r="I2" s="97" t="n"/>
      <c r="J2" s="100" t="n"/>
      <c r="K2" s="127" t="inlineStr">
        <is>
          <t>End date</t>
        </is>
      </c>
      <c r="L2" s="127" t="n"/>
      <c r="M2" s="138">
        <f>EDATE(M$1,12)-1</f>
        <v/>
      </c>
      <c r="N2" s="138">
        <f>EDATE(N$1,12)-1</f>
        <v/>
      </c>
      <c r="O2" s="138">
        <f>EDATE(O$1,12)-1</f>
        <v/>
      </c>
      <c r="P2" s="138">
        <f>EDATE(P$1,12)-1</f>
        <v/>
      </c>
      <c r="Q2" s="138">
        <f>EDATE(Q$1,12)-1</f>
        <v/>
      </c>
      <c r="R2" s="138" t="n"/>
      <c r="S2" s="138" t="n"/>
      <c r="T2" s="138">
        <f>EDATE(T$1,1)-1</f>
        <v/>
      </c>
      <c r="U2" s="138">
        <f>EDATE(U$1,1)-1</f>
        <v/>
      </c>
      <c r="V2" s="138">
        <f>EDATE(V$1,1)-1</f>
        <v/>
      </c>
      <c r="W2" s="138">
        <f>EDATE(W$1,1)-1</f>
        <v/>
      </c>
      <c r="X2" s="138">
        <f>EDATE(X$1,1)-1</f>
        <v/>
      </c>
      <c r="Y2" s="138">
        <f>EDATE(Y$1,1)-1</f>
        <v/>
      </c>
      <c r="Z2" s="138">
        <f>EDATE(Z$1,1)-1</f>
        <v/>
      </c>
      <c r="AA2" s="138">
        <f>EDATE(AA$1,1)-1</f>
        <v/>
      </c>
      <c r="AB2" s="138">
        <f>EDATE(AB$1,1)-1</f>
        <v/>
      </c>
      <c r="AC2" s="138">
        <f>EDATE(AC$1,1)-1</f>
        <v/>
      </c>
      <c r="AD2" s="138">
        <f>EDATE(AD$1,1)-1</f>
        <v/>
      </c>
      <c r="AE2" s="138">
        <f>EDATE(AE$1,1)-1</f>
        <v/>
      </c>
      <c r="AF2" s="138">
        <f>EDATE(AF$1,1)-1</f>
        <v/>
      </c>
      <c r="AG2" s="138">
        <f>EDATE(AG$1,1)-1</f>
        <v/>
      </c>
      <c r="AH2" s="138">
        <f>EDATE(AH$1,1)-1</f>
        <v/>
      </c>
      <c r="AI2" s="138">
        <f>EDATE(AI$1,1)-1</f>
        <v/>
      </c>
      <c r="AJ2" s="138">
        <f>EDATE(AJ$1,1)-1</f>
        <v/>
      </c>
      <c r="AK2" s="138">
        <f>EDATE(AK$1,1)-1</f>
        <v/>
      </c>
      <c r="AL2" s="138">
        <f>EDATE(AL$1,1)-1</f>
        <v/>
      </c>
      <c r="AM2" s="138">
        <f>EDATE(AM$1,1)-1</f>
        <v/>
      </c>
      <c r="AN2" s="138">
        <f>EDATE(AN$1,1)-1</f>
        <v/>
      </c>
      <c r="AO2" s="138">
        <f>EDATE(AO$1,1)-1</f>
        <v/>
      </c>
      <c r="AP2" s="138">
        <f>EDATE(AP$1,1)-1</f>
        <v/>
      </c>
      <c r="AQ2" s="138">
        <f>EDATE(AQ$1,1)-1</f>
        <v/>
      </c>
      <c r="AR2" s="138">
        <f>EDATE(AR$1,1)-1</f>
        <v/>
      </c>
      <c r="AS2" s="138">
        <f>EDATE(AS$1,1)-1</f>
        <v/>
      </c>
      <c r="AT2" s="138">
        <f>EDATE(AT$1,1)-1</f>
        <v/>
      </c>
      <c r="AU2" s="138">
        <f>EDATE(AU$1,1)-1</f>
        <v/>
      </c>
      <c r="AV2" s="138">
        <f>EDATE(AV$1,1)-1</f>
        <v/>
      </c>
      <c r="AW2" s="138">
        <f>EDATE(AW$1,1)-1</f>
        <v/>
      </c>
      <c r="AX2" s="138">
        <f>EDATE(AX$1,1)-1</f>
        <v/>
      </c>
      <c r="AY2" s="138">
        <f>EDATE(AY$1,1)-1</f>
        <v/>
      </c>
      <c r="AZ2" s="138">
        <f>EDATE(AZ$1,1)-1</f>
        <v/>
      </c>
      <c r="BA2" s="138">
        <f>EDATE(BA$1,1)-1</f>
        <v/>
      </c>
      <c r="BB2" s="138">
        <f>EDATE(BB$1,1)-1</f>
        <v/>
      </c>
      <c r="BC2" s="138">
        <f>EDATE(BC$1,1)-1</f>
        <v/>
      </c>
      <c r="BD2" s="138">
        <f>EDATE(BD$1,1)-1</f>
        <v/>
      </c>
      <c r="BE2" s="138">
        <f>EDATE(BE$1,1)-1</f>
        <v/>
      </c>
      <c r="BF2" s="138">
        <f>EDATE(BF$1,1)-1</f>
        <v/>
      </c>
      <c r="BG2" s="138">
        <f>EDATE(BG$1,1)-1</f>
        <v/>
      </c>
      <c r="BH2" s="138">
        <f>EDATE(BH$1,1)-1</f>
        <v/>
      </c>
      <c r="BI2" s="138">
        <f>EDATE(BI$1,1)-1</f>
        <v/>
      </c>
      <c r="BJ2" s="138">
        <f>EDATE(BJ$1,1)-1</f>
        <v/>
      </c>
      <c r="BK2" s="138">
        <f>EDATE(BK$1,1)-1</f>
        <v/>
      </c>
      <c r="BL2" s="138">
        <f>EDATE(BL$1,1)-1</f>
        <v/>
      </c>
      <c r="BM2" s="138">
        <f>EDATE(BM$1,1)-1</f>
        <v/>
      </c>
      <c r="BN2" s="138">
        <f>EDATE(BN$1,1)-1</f>
        <v/>
      </c>
      <c r="BO2" s="138">
        <f>EDATE(BO$1,1)-1</f>
        <v/>
      </c>
      <c r="BP2" s="138">
        <f>EDATE(BP$1,1)-1</f>
        <v/>
      </c>
      <c r="BQ2" s="138">
        <f>EDATE(BQ$1,1)-1</f>
        <v/>
      </c>
      <c r="BR2" s="138">
        <f>EDATE(BR$1,1)-1</f>
        <v/>
      </c>
      <c r="BS2" s="138">
        <f>EDATE(BS$1,1)-1</f>
        <v/>
      </c>
      <c r="BT2" s="138">
        <f>EDATE(BT$1,1)-1</f>
        <v/>
      </c>
      <c r="BU2" s="138">
        <f>EDATE(BU$1,1)-1</f>
        <v/>
      </c>
      <c r="BV2" s="138">
        <f>EDATE(BV$1,1)-1</f>
        <v/>
      </c>
      <c r="BW2" s="138">
        <f>EDATE(BW$1,1)-1</f>
        <v/>
      </c>
      <c r="BX2" s="138">
        <f>EDATE(BX$1,1)-1</f>
        <v/>
      </c>
      <c r="BY2" s="138">
        <f>EDATE(BY$1,1)-1</f>
        <v/>
      </c>
      <c r="BZ2" s="138">
        <f>EDATE(BZ$1,1)-1</f>
        <v/>
      </c>
      <c r="CA2" s="138">
        <f>EDATE(CA$1,1)-1</f>
        <v/>
      </c>
      <c r="CB2" s="138">
        <f>EDATE(CB$1,1)-1</f>
        <v/>
      </c>
      <c r="CC2" s="138">
        <f>EDATE(CC$1,1)-1</f>
        <v/>
      </c>
      <c r="CD2" s="138">
        <f>EDATE(CD$1,1)-1</f>
        <v/>
      </c>
      <c r="CE2" s="138">
        <f>EDATE(CE$1,1)-1</f>
        <v/>
      </c>
      <c r="CF2" s="138">
        <f>EDATE(CF$1,1)-1</f>
        <v/>
      </c>
      <c r="CG2" s="138">
        <f>EDATE(CG$1,1)-1</f>
        <v/>
      </c>
      <c r="CH2" s="138">
        <f>EDATE(CH$1,1)-1</f>
        <v/>
      </c>
      <c r="CI2" s="138">
        <f>EDATE(CI$1,1)-1</f>
        <v/>
      </c>
      <c r="CJ2" s="138">
        <f>EDATE(CJ$1,1)-1</f>
        <v/>
      </c>
      <c r="CK2" s="138">
        <f>EDATE(CK$1,1)-1</f>
        <v/>
      </c>
      <c r="CL2" s="138">
        <f>EDATE(CL$1,1)-1</f>
        <v/>
      </c>
      <c r="CM2" s="138">
        <f>EDATE(CM$1,1)-1</f>
        <v/>
      </c>
      <c r="CN2" s="138">
        <f>EDATE(CN$1,1)-1</f>
        <v/>
      </c>
      <c r="CO2" s="138">
        <f>EDATE(CO$1,1)-1</f>
        <v/>
      </c>
      <c r="CP2" s="138">
        <f>EDATE(CP$1,1)-1</f>
        <v/>
      </c>
      <c r="CQ2" s="138">
        <f>EDATE(CQ$1,1)-1</f>
        <v/>
      </c>
      <c r="CR2" s="138">
        <f>EDATE(CR$1,1)-1</f>
        <v/>
      </c>
      <c r="CS2" s="138">
        <f>EDATE(CS$1,1)-1</f>
        <v/>
      </c>
      <c r="CT2" s="138">
        <f>EDATE(CT$1,1)-1</f>
        <v/>
      </c>
      <c r="CU2" s="138">
        <f>EDATE(CU$1,1)-1</f>
        <v/>
      </c>
      <c r="CV2" s="138">
        <f>EDATE(CV$1,1)-1</f>
        <v/>
      </c>
      <c r="CW2" s="138">
        <f>EDATE(CW$1,1)-1</f>
        <v/>
      </c>
      <c r="CX2" s="138">
        <f>EDATE(CX$1,1)-1</f>
        <v/>
      </c>
      <c r="CY2" s="138">
        <f>EDATE(CY$1,1)-1</f>
        <v/>
      </c>
      <c r="CZ2" s="138">
        <f>EDATE(CZ$1,1)-1</f>
        <v/>
      </c>
      <c r="DA2" s="138">
        <f>EDATE(DA$1,1)-1</f>
        <v/>
      </c>
      <c r="DB2" s="138">
        <f>EDATE(DB$1,1)-1</f>
        <v/>
      </c>
      <c r="DC2" s="138">
        <f>EDATE(DC$1,1)-1</f>
        <v/>
      </c>
      <c r="DD2" s="138">
        <f>EDATE(DD$1,1)-1</f>
        <v/>
      </c>
      <c r="DE2" s="138">
        <f>EDATE(DE$1,1)-1</f>
        <v/>
      </c>
      <c r="DF2" s="138">
        <f>EDATE(DF$1,1)-1</f>
        <v/>
      </c>
      <c r="DG2" s="138">
        <f>EDATE(DG$1,1)-1</f>
        <v/>
      </c>
      <c r="DH2" s="138">
        <f>EDATE(DH$1,1)-1</f>
        <v/>
      </c>
      <c r="DI2" s="138">
        <f>EDATE(DI$1,1)-1</f>
        <v/>
      </c>
      <c r="DJ2" s="138">
        <f>EDATE(DJ$1,1)-1</f>
        <v/>
      </c>
      <c r="DK2" s="138">
        <f>EDATE(DK$1,1)-1</f>
        <v/>
      </c>
      <c r="DL2" s="138">
        <f>EDATE(DL$1,1)-1</f>
        <v/>
      </c>
      <c r="DM2" s="138">
        <f>EDATE(DM$1,1)-1</f>
        <v/>
      </c>
      <c r="DN2" s="138">
        <f>EDATE(DN$1,1)-1</f>
        <v/>
      </c>
      <c r="DO2" s="138">
        <f>EDATE(DO$1,1)-1</f>
        <v/>
      </c>
      <c r="DP2" s="138">
        <f>EDATE(DP$1,1)-1</f>
        <v/>
      </c>
      <c r="DQ2" s="138">
        <f>EDATE(DQ$1,1)-1</f>
        <v/>
      </c>
      <c r="DR2" s="138">
        <f>EDATE(DR$1,1)-1</f>
        <v/>
      </c>
      <c r="DS2" s="138">
        <f>EDATE(DS$1,1)-1</f>
        <v/>
      </c>
      <c r="DT2" s="138">
        <f>EDATE(DT$1,1)-1</f>
        <v/>
      </c>
      <c r="DU2" s="138">
        <f>EDATE(DU$1,1)-1</f>
        <v/>
      </c>
      <c r="DV2" s="138">
        <f>EDATE(DV$1,1)-1</f>
        <v/>
      </c>
      <c r="DW2" s="138">
        <f>EDATE(DW$1,1)-1</f>
        <v/>
      </c>
      <c r="DX2" s="138">
        <f>EDATE(DX$1,1)-1</f>
        <v/>
      </c>
      <c r="DY2" s="138">
        <f>EDATE(DY$1,1)-1</f>
        <v/>
      </c>
      <c r="DZ2" s="138">
        <f>EDATE(DZ$1,1)-1</f>
        <v/>
      </c>
      <c r="EA2" s="138">
        <f>EDATE(EA$1,1)-1</f>
        <v/>
      </c>
      <c r="EB2" s="138">
        <f>EDATE(EB$1,1)-1</f>
        <v/>
      </c>
      <c r="EC2" s="138">
        <f>EDATE(EC$1,1)-1</f>
        <v/>
      </c>
      <c r="ED2" s="138">
        <f>EDATE(ED$1,1)-1</f>
        <v/>
      </c>
      <c r="EE2" s="138">
        <f>EDATE(EE$1,1)-1</f>
        <v/>
      </c>
      <c r="EF2" s="138">
        <f>EDATE(EF$1,1)-1</f>
        <v/>
      </c>
      <c r="EG2" s="138">
        <f>EDATE(EG$1,1)-1</f>
        <v/>
      </c>
      <c r="EH2" s="138">
        <f>EDATE(EH$1,1)-1</f>
        <v/>
      </c>
      <c r="EI2" s="138">
        <f>EDATE(EI$1,1)-1</f>
        <v/>
      </c>
      <c r="EJ2" s="138">
        <f>EDATE(EJ$1,1)-1</f>
        <v/>
      </c>
      <c r="EK2" s="138">
        <f>EDATE(EK$1,1)-1</f>
        <v/>
      </c>
      <c r="EL2" s="138">
        <f>EDATE(EL$1,1)-1</f>
        <v/>
      </c>
      <c r="EM2" s="138">
        <f>EDATE(EM$1,1)-1</f>
        <v/>
      </c>
      <c r="EN2" s="138">
        <f>EDATE(EN$1,1)-1</f>
        <v/>
      </c>
      <c r="EO2" s="138">
        <f>EDATE(EO$1,1)-1</f>
        <v/>
      </c>
      <c r="EP2" s="138">
        <f>EDATE(EP$1,1)-1</f>
        <v/>
      </c>
      <c r="EQ2" s="138">
        <f>EDATE(EQ$1,1)-1</f>
        <v/>
      </c>
      <c r="ER2" s="138">
        <f>EDATE(ER$1,1)-1</f>
        <v/>
      </c>
      <c r="ES2" s="138">
        <f>EDATE(ES$1,1)-1</f>
        <v/>
      </c>
      <c r="ET2" s="138">
        <f>EDATE(ET$1,1)-1</f>
        <v/>
      </c>
      <c r="EU2" s="138">
        <f>EDATE(EU$1,1)-1</f>
        <v/>
      </c>
      <c r="EV2" s="138">
        <f>EDATE(EV$1,1)-1</f>
        <v/>
      </c>
      <c r="EW2" s="138">
        <f>EDATE(EW$1,1)-1</f>
        <v/>
      </c>
      <c r="EX2" s="138">
        <f>EDATE(EX$1,1)-1</f>
        <v/>
      </c>
      <c r="EY2" s="138">
        <f>EDATE(EY$1,1)-1</f>
        <v/>
      </c>
      <c r="EZ2" s="138">
        <f>EDATE(EZ$1,1)-1</f>
        <v/>
      </c>
      <c r="FA2" s="138">
        <f>EDATE(FA$1,1)-1</f>
        <v/>
      </c>
      <c r="FB2" s="138">
        <f>EDATE(FB$1,1)-1</f>
        <v/>
      </c>
      <c r="FC2" s="138">
        <f>EDATE(FC$1,1)-1</f>
        <v/>
      </c>
      <c r="FD2" s="138">
        <f>EDATE(FD$1,1)-1</f>
        <v/>
      </c>
      <c r="FE2" s="138">
        <f>EDATE(FE$1,1)-1</f>
        <v/>
      </c>
      <c r="FF2" s="138">
        <f>EDATE(FF$1,1)-1</f>
        <v/>
      </c>
      <c r="FG2" s="138">
        <f>EDATE(FG$1,1)-1</f>
        <v/>
      </c>
      <c r="FH2" s="138">
        <f>EDATE(FH$1,1)-1</f>
        <v/>
      </c>
      <c r="FI2" s="138">
        <f>EDATE(FI$1,1)-1</f>
        <v/>
      </c>
      <c r="FJ2" s="138">
        <f>EDATE(FJ$1,1)-1</f>
        <v/>
      </c>
      <c r="FK2" s="138">
        <f>EDATE(FK$1,1)-1</f>
        <v/>
      </c>
      <c r="FL2" s="138">
        <f>EDATE(FL$1,1)-1</f>
        <v/>
      </c>
      <c r="FM2" s="138">
        <f>EDATE(FM$1,1)-1</f>
        <v/>
      </c>
      <c r="FN2" s="138">
        <f>EDATE(FN$1,1)-1</f>
        <v/>
      </c>
      <c r="FO2" s="138">
        <f>EDATE(FO$1,1)-1</f>
        <v/>
      </c>
      <c r="FP2" s="138">
        <f>EDATE(FP$1,1)-1</f>
        <v/>
      </c>
      <c r="FQ2" s="138">
        <f>EDATE(FQ$1,1)-1</f>
        <v/>
      </c>
      <c r="FR2" s="138">
        <f>EDATE(FR$1,1)-1</f>
        <v/>
      </c>
      <c r="FS2" s="138">
        <f>EDATE(FS$1,1)-1</f>
        <v/>
      </c>
      <c r="FT2" s="138">
        <f>EDATE(FT$1,1)-1</f>
        <v/>
      </c>
      <c r="FU2" s="138">
        <f>EDATE(FU$1,1)-1</f>
        <v/>
      </c>
      <c r="FV2" s="138">
        <f>EDATE(FV$1,1)-1</f>
        <v/>
      </c>
      <c r="FW2" s="138">
        <f>EDATE(FW$1,1)-1</f>
        <v/>
      </c>
      <c r="FX2" s="138">
        <f>EDATE(FX$1,1)-1</f>
        <v/>
      </c>
      <c r="FY2" s="138">
        <f>EDATE(FY$1,1)-1</f>
        <v/>
      </c>
      <c r="FZ2" s="138">
        <f>EDATE(FZ$1,1)-1</f>
        <v/>
      </c>
      <c r="GA2" s="138">
        <f>EDATE(GA$1,1)-1</f>
        <v/>
      </c>
      <c r="GB2" s="138">
        <f>EDATE(GB$1,1)-1</f>
        <v/>
      </c>
      <c r="GC2" s="138">
        <f>EDATE(GC$1,1)-1</f>
        <v/>
      </c>
      <c r="GD2" s="138">
        <f>EDATE(GD$1,1)-1</f>
        <v/>
      </c>
      <c r="GE2" s="138">
        <f>EDATE(GE$1,1)-1</f>
        <v/>
      </c>
      <c r="GF2" s="138">
        <f>EDATE(GF$1,1)-1</f>
        <v/>
      </c>
      <c r="GG2" s="138">
        <f>EDATE(GG$1,1)-1</f>
        <v/>
      </c>
      <c r="GH2" s="138">
        <f>EDATE(GH$1,1)-1</f>
        <v/>
      </c>
      <c r="GI2" s="138">
        <f>EDATE(GI$1,1)-1</f>
        <v/>
      </c>
      <c r="GJ2" s="138">
        <f>EDATE(GJ$1,1)-1</f>
        <v/>
      </c>
      <c r="GK2" s="138">
        <f>EDATE(GK$1,1)-1</f>
        <v/>
      </c>
      <c r="GL2" s="138">
        <f>EDATE(GL$1,1)-1</f>
        <v/>
      </c>
      <c r="GM2" s="138">
        <f>EDATE(GM$1,1)-1</f>
        <v/>
      </c>
      <c r="GN2" s="138">
        <f>EDATE(GN$1,1)-1</f>
        <v/>
      </c>
      <c r="GO2" s="138">
        <f>EDATE(GO$1,1)-1</f>
        <v/>
      </c>
      <c r="GP2" s="138">
        <f>EDATE(GP$1,1)-1</f>
        <v/>
      </c>
      <c r="GQ2" s="138">
        <f>EDATE(GQ$1,1)-1</f>
        <v/>
      </c>
    </row>
    <row r="3" ht="17.65" customHeight="1" s="227">
      <c r="A3" s="99" t="n"/>
      <c r="B3" s="99" t="n"/>
      <c r="C3" s="99" t="n"/>
      <c r="D3" s="99" t="n"/>
      <c r="E3" s="99" t="n"/>
      <c r="F3" s="99" t="n"/>
      <c r="G3" s="99" t="n"/>
      <c r="H3" s="99" t="n"/>
      <c r="I3" s="100" t="n"/>
      <c r="J3" s="124" t="n"/>
      <c r="K3" s="127" t="inlineStr">
        <is>
          <t>Timeline</t>
        </is>
      </c>
      <c r="L3" s="127" t="n"/>
      <c r="M3" s="139" t="inlineStr">
        <is>
          <t>ANNUAL</t>
        </is>
      </c>
      <c r="N3" s="139" t="inlineStr">
        <is>
          <t>ANNUAL</t>
        </is>
      </c>
      <c r="O3" s="139" t="inlineStr">
        <is>
          <t>ANNUAL</t>
        </is>
      </c>
      <c r="P3" s="139" t="inlineStr">
        <is>
          <t>ANNUAL</t>
        </is>
      </c>
      <c r="Q3" s="139" t="inlineStr">
        <is>
          <t>ANNUAL</t>
        </is>
      </c>
      <c r="R3" s="139" t="n"/>
      <c r="S3" s="139" t="n"/>
      <c r="T3" s="139" t="inlineStr">
        <is>
          <t>MONTHLY</t>
        </is>
      </c>
      <c r="U3" s="139" t="inlineStr">
        <is>
          <t>MONTHLY</t>
        </is>
      </c>
      <c r="V3" s="139" t="inlineStr">
        <is>
          <t>MONTHLY</t>
        </is>
      </c>
      <c r="W3" s="139" t="inlineStr">
        <is>
          <t>MONTHLY</t>
        </is>
      </c>
      <c r="X3" s="139" t="inlineStr">
        <is>
          <t>MONTHLY</t>
        </is>
      </c>
      <c r="Y3" s="139" t="inlineStr">
        <is>
          <t>MONTHLY</t>
        </is>
      </c>
      <c r="Z3" s="139" t="inlineStr">
        <is>
          <t>MONTHLY</t>
        </is>
      </c>
      <c r="AA3" s="139" t="inlineStr">
        <is>
          <t>MONTHLY</t>
        </is>
      </c>
      <c r="AB3" s="139" t="inlineStr">
        <is>
          <t>MONTHLY</t>
        </is>
      </c>
      <c r="AC3" s="139" t="inlineStr">
        <is>
          <t>MONTHLY</t>
        </is>
      </c>
      <c r="AD3" s="139" t="inlineStr">
        <is>
          <t>MONTHLY</t>
        </is>
      </c>
      <c r="AE3" s="139" t="inlineStr">
        <is>
          <t>MONTHLY</t>
        </is>
      </c>
      <c r="AF3" s="139" t="inlineStr">
        <is>
          <t>MONTHLY</t>
        </is>
      </c>
      <c r="AG3" s="139" t="inlineStr">
        <is>
          <t>MONTHLY</t>
        </is>
      </c>
      <c r="AH3" s="139" t="inlineStr">
        <is>
          <t>MONTHLY</t>
        </is>
      </c>
      <c r="AI3" s="139" t="inlineStr">
        <is>
          <t>MONTHLY</t>
        </is>
      </c>
      <c r="AJ3" s="139" t="inlineStr">
        <is>
          <t>MONTHLY</t>
        </is>
      </c>
      <c r="AK3" s="139" t="inlineStr">
        <is>
          <t>MONTHLY</t>
        </is>
      </c>
      <c r="AL3" s="139" t="inlineStr">
        <is>
          <t>MONTHLY</t>
        </is>
      </c>
      <c r="AM3" s="139" t="inlineStr">
        <is>
          <t>MONTHLY</t>
        </is>
      </c>
      <c r="AN3" s="139" t="inlineStr">
        <is>
          <t>MONTHLY</t>
        </is>
      </c>
      <c r="AO3" s="139" t="inlineStr">
        <is>
          <t>MONTHLY</t>
        </is>
      </c>
      <c r="AP3" s="139" t="inlineStr">
        <is>
          <t>MONTHLY</t>
        </is>
      </c>
      <c r="AQ3" s="139" t="inlineStr">
        <is>
          <t>MONTHLY</t>
        </is>
      </c>
      <c r="AR3" s="139" t="inlineStr">
        <is>
          <t>MONTHLY</t>
        </is>
      </c>
      <c r="AS3" s="139" t="inlineStr">
        <is>
          <t>MONTHLY</t>
        </is>
      </c>
      <c r="AT3" s="139" t="inlineStr">
        <is>
          <t>MONTHLY</t>
        </is>
      </c>
      <c r="AU3" s="139" t="inlineStr">
        <is>
          <t>MONTHLY</t>
        </is>
      </c>
      <c r="AV3" s="139" t="inlineStr">
        <is>
          <t>MONTHLY</t>
        </is>
      </c>
      <c r="AW3" s="139" t="inlineStr">
        <is>
          <t>MONTHLY</t>
        </is>
      </c>
      <c r="AX3" s="139" t="inlineStr">
        <is>
          <t>MONTHLY</t>
        </is>
      </c>
      <c r="AY3" s="139" t="inlineStr">
        <is>
          <t>MONTHLY</t>
        </is>
      </c>
      <c r="AZ3" s="139" t="inlineStr">
        <is>
          <t>MONTHLY</t>
        </is>
      </c>
      <c r="BA3" s="139" t="inlineStr">
        <is>
          <t>MONTHLY</t>
        </is>
      </c>
      <c r="BB3" s="139" t="inlineStr">
        <is>
          <t>MONTHLY</t>
        </is>
      </c>
      <c r="BC3" s="139" t="inlineStr">
        <is>
          <t>MONTHLY</t>
        </is>
      </c>
      <c r="BD3" s="139" t="inlineStr">
        <is>
          <t>MONTHLY</t>
        </is>
      </c>
      <c r="BE3" s="139" t="inlineStr">
        <is>
          <t>MONTHLY</t>
        </is>
      </c>
      <c r="BF3" s="139" t="inlineStr">
        <is>
          <t>MONTHLY</t>
        </is>
      </c>
      <c r="BG3" s="139" t="inlineStr">
        <is>
          <t>MONTHLY</t>
        </is>
      </c>
      <c r="BH3" s="139" t="inlineStr">
        <is>
          <t>MONTHLY</t>
        </is>
      </c>
      <c r="BI3" s="139" t="inlineStr">
        <is>
          <t>MONTHLY</t>
        </is>
      </c>
      <c r="BJ3" s="139" t="inlineStr">
        <is>
          <t>MONTHLY</t>
        </is>
      </c>
      <c r="BK3" s="139" t="inlineStr">
        <is>
          <t>MONTHLY</t>
        </is>
      </c>
      <c r="BL3" s="139" t="inlineStr">
        <is>
          <t>MONTHLY</t>
        </is>
      </c>
      <c r="BM3" s="139" t="inlineStr">
        <is>
          <t>MONTHLY</t>
        </is>
      </c>
      <c r="BN3" s="139" t="inlineStr">
        <is>
          <t>MONTHLY</t>
        </is>
      </c>
      <c r="BO3" s="139" t="inlineStr">
        <is>
          <t>MONTHLY</t>
        </is>
      </c>
      <c r="BP3" s="139" t="inlineStr">
        <is>
          <t>MONTHLY</t>
        </is>
      </c>
      <c r="BQ3" s="139" t="inlineStr">
        <is>
          <t>MONTHLY</t>
        </is>
      </c>
      <c r="BR3" s="139" t="inlineStr">
        <is>
          <t>MONTHLY</t>
        </is>
      </c>
      <c r="BS3" s="139" t="inlineStr">
        <is>
          <t>MONTHLY</t>
        </is>
      </c>
      <c r="BT3" s="139" t="inlineStr">
        <is>
          <t>MONTHLY</t>
        </is>
      </c>
      <c r="BU3" s="139" t="inlineStr">
        <is>
          <t>MONTHLY</t>
        </is>
      </c>
      <c r="BV3" s="139" t="inlineStr">
        <is>
          <t>MONTHLY</t>
        </is>
      </c>
      <c r="BW3" s="139" t="inlineStr">
        <is>
          <t>MONTHLY</t>
        </is>
      </c>
      <c r="BX3" s="139" t="inlineStr">
        <is>
          <t>MONTHLY</t>
        </is>
      </c>
      <c r="BY3" s="139" t="inlineStr">
        <is>
          <t>MONTHLY</t>
        </is>
      </c>
      <c r="BZ3" s="139" t="inlineStr">
        <is>
          <t>MONTHLY</t>
        </is>
      </c>
      <c r="CA3" s="139" t="inlineStr">
        <is>
          <t>MONTHLY</t>
        </is>
      </c>
      <c r="CB3" s="139" t="inlineStr">
        <is>
          <t>MONTHLY</t>
        </is>
      </c>
      <c r="CC3" s="139" t="inlineStr">
        <is>
          <t>MONTHLY</t>
        </is>
      </c>
      <c r="CD3" s="139" t="inlineStr">
        <is>
          <t>MONTHLY</t>
        </is>
      </c>
      <c r="CE3" s="139" t="inlineStr">
        <is>
          <t>MONTHLY</t>
        </is>
      </c>
      <c r="CF3" s="139" t="inlineStr">
        <is>
          <t>MONTHLY</t>
        </is>
      </c>
      <c r="CG3" s="139" t="inlineStr">
        <is>
          <t>MONTHLY</t>
        </is>
      </c>
      <c r="CH3" s="139" t="inlineStr">
        <is>
          <t>MONTHLY</t>
        </is>
      </c>
      <c r="CI3" s="139" t="inlineStr">
        <is>
          <t>MONTHLY</t>
        </is>
      </c>
      <c r="CJ3" s="139" t="inlineStr">
        <is>
          <t>MONTHLY</t>
        </is>
      </c>
      <c r="CK3" s="139" t="inlineStr">
        <is>
          <t>MONTHLY</t>
        </is>
      </c>
      <c r="CL3" s="139" t="inlineStr">
        <is>
          <t>MONTHLY</t>
        </is>
      </c>
      <c r="CM3" s="139" t="inlineStr">
        <is>
          <t>MONTHLY</t>
        </is>
      </c>
      <c r="CN3" s="139" t="inlineStr">
        <is>
          <t>MONTHLY</t>
        </is>
      </c>
      <c r="CO3" s="139" t="inlineStr">
        <is>
          <t>MONTHLY</t>
        </is>
      </c>
      <c r="CP3" s="139" t="inlineStr">
        <is>
          <t>MONTHLY</t>
        </is>
      </c>
      <c r="CQ3" s="139" t="inlineStr">
        <is>
          <t>MONTHLY</t>
        </is>
      </c>
      <c r="CR3" s="139" t="inlineStr">
        <is>
          <t>MONTHLY</t>
        </is>
      </c>
      <c r="CS3" s="139" t="inlineStr">
        <is>
          <t>MONTHLY</t>
        </is>
      </c>
      <c r="CT3" s="139" t="inlineStr">
        <is>
          <t>MONTHLY</t>
        </is>
      </c>
      <c r="CU3" s="139" t="inlineStr">
        <is>
          <t>MONTHLY</t>
        </is>
      </c>
      <c r="CV3" s="139" t="inlineStr">
        <is>
          <t>MONTHLY</t>
        </is>
      </c>
      <c r="CW3" s="139" t="inlineStr">
        <is>
          <t>MONTHLY</t>
        </is>
      </c>
      <c r="CX3" s="139" t="inlineStr">
        <is>
          <t>MONTHLY</t>
        </is>
      </c>
      <c r="CY3" s="139" t="inlineStr">
        <is>
          <t>MONTHLY</t>
        </is>
      </c>
      <c r="CZ3" s="139" t="inlineStr">
        <is>
          <t>MONTHLY</t>
        </is>
      </c>
      <c r="DA3" s="139" t="inlineStr">
        <is>
          <t>MONTHLY</t>
        </is>
      </c>
      <c r="DB3" s="139" t="inlineStr">
        <is>
          <t>MONTHLY</t>
        </is>
      </c>
      <c r="DC3" s="139" t="inlineStr">
        <is>
          <t>MONTHLY</t>
        </is>
      </c>
      <c r="DD3" s="139" t="inlineStr">
        <is>
          <t>MONTHLY</t>
        </is>
      </c>
      <c r="DE3" s="139" t="inlineStr">
        <is>
          <t>MONTHLY</t>
        </is>
      </c>
      <c r="DF3" s="139" t="inlineStr">
        <is>
          <t>MONTHLY</t>
        </is>
      </c>
      <c r="DG3" s="139" t="inlineStr">
        <is>
          <t>MONTHLY</t>
        </is>
      </c>
      <c r="DH3" s="139" t="inlineStr">
        <is>
          <t>MONTHLY</t>
        </is>
      </c>
      <c r="DI3" s="139" t="inlineStr">
        <is>
          <t>MONTHLY</t>
        </is>
      </c>
      <c r="DJ3" s="139" t="inlineStr">
        <is>
          <t>MONTHLY</t>
        </is>
      </c>
      <c r="DK3" s="139" t="inlineStr">
        <is>
          <t>MONTHLY</t>
        </is>
      </c>
      <c r="DL3" s="139" t="inlineStr">
        <is>
          <t>MONTHLY</t>
        </is>
      </c>
      <c r="DM3" s="139" t="inlineStr">
        <is>
          <t>MONTHLY</t>
        </is>
      </c>
      <c r="DN3" s="139" t="inlineStr">
        <is>
          <t>MONTHLY</t>
        </is>
      </c>
      <c r="DO3" s="139" t="inlineStr">
        <is>
          <t>MONTHLY</t>
        </is>
      </c>
      <c r="DP3" s="139" t="inlineStr">
        <is>
          <t>MONTHLY</t>
        </is>
      </c>
      <c r="DQ3" s="139" t="inlineStr">
        <is>
          <t>MONTHLY</t>
        </is>
      </c>
      <c r="DR3" s="139" t="inlineStr">
        <is>
          <t>MONTHLY</t>
        </is>
      </c>
      <c r="DS3" s="139" t="inlineStr">
        <is>
          <t>MONTHLY</t>
        </is>
      </c>
      <c r="DT3" s="139" t="inlineStr">
        <is>
          <t>MONTHLY</t>
        </is>
      </c>
      <c r="DU3" s="139" t="inlineStr">
        <is>
          <t>MONTHLY</t>
        </is>
      </c>
      <c r="DV3" s="139" t="inlineStr">
        <is>
          <t>MONTHLY</t>
        </is>
      </c>
      <c r="DW3" s="139" t="inlineStr">
        <is>
          <t>MONTHLY</t>
        </is>
      </c>
      <c r="DX3" s="139" t="inlineStr">
        <is>
          <t>MONTHLY</t>
        </is>
      </c>
      <c r="DY3" s="139" t="inlineStr">
        <is>
          <t>MONTHLY</t>
        </is>
      </c>
      <c r="DZ3" s="139" t="inlineStr">
        <is>
          <t>MONTHLY</t>
        </is>
      </c>
      <c r="EA3" s="139" t="inlineStr">
        <is>
          <t>MONTHLY</t>
        </is>
      </c>
      <c r="EB3" s="139" t="inlineStr">
        <is>
          <t>MONTHLY</t>
        </is>
      </c>
      <c r="EC3" s="139" t="inlineStr">
        <is>
          <t>MONTHLY</t>
        </is>
      </c>
      <c r="ED3" s="139" t="inlineStr">
        <is>
          <t>MONTHLY</t>
        </is>
      </c>
      <c r="EE3" s="139" t="inlineStr">
        <is>
          <t>MONTHLY</t>
        </is>
      </c>
      <c r="EF3" s="139" t="inlineStr">
        <is>
          <t>MONTHLY</t>
        </is>
      </c>
      <c r="EG3" s="139" t="inlineStr">
        <is>
          <t>MONTHLY</t>
        </is>
      </c>
      <c r="EH3" s="139" t="inlineStr">
        <is>
          <t>MONTHLY</t>
        </is>
      </c>
      <c r="EI3" s="139" t="inlineStr">
        <is>
          <t>MONTHLY</t>
        </is>
      </c>
      <c r="EJ3" s="139" t="inlineStr">
        <is>
          <t>MONTHLY</t>
        </is>
      </c>
      <c r="EK3" s="139" t="inlineStr">
        <is>
          <t>MONTHLY</t>
        </is>
      </c>
      <c r="EL3" s="139" t="inlineStr">
        <is>
          <t>MONTHLY</t>
        </is>
      </c>
      <c r="EM3" s="139" t="inlineStr">
        <is>
          <t>MONTHLY</t>
        </is>
      </c>
      <c r="EN3" s="139" t="inlineStr">
        <is>
          <t>MONTHLY</t>
        </is>
      </c>
      <c r="EO3" s="139" t="inlineStr">
        <is>
          <t>MONTHLY</t>
        </is>
      </c>
      <c r="EP3" s="139" t="inlineStr">
        <is>
          <t>MONTHLY</t>
        </is>
      </c>
      <c r="EQ3" s="139" t="inlineStr">
        <is>
          <t>MONTHLY</t>
        </is>
      </c>
      <c r="ER3" s="139" t="inlineStr">
        <is>
          <t>MONTHLY</t>
        </is>
      </c>
      <c r="ES3" s="139" t="inlineStr">
        <is>
          <t>MONTHLY</t>
        </is>
      </c>
      <c r="ET3" s="139" t="inlineStr">
        <is>
          <t>MONTHLY</t>
        </is>
      </c>
      <c r="EU3" s="139" t="inlineStr">
        <is>
          <t>MONTHLY</t>
        </is>
      </c>
      <c r="EV3" s="139" t="inlineStr">
        <is>
          <t>MONTHLY</t>
        </is>
      </c>
      <c r="EW3" s="139" t="inlineStr">
        <is>
          <t>MONTHLY</t>
        </is>
      </c>
      <c r="EX3" s="139" t="inlineStr">
        <is>
          <t>MONTHLY</t>
        </is>
      </c>
      <c r="EY3" s="139" t="inlineStr">
        <is>
          <t>MONTHLY</t>
        </is>
      </c>
      <c r="EZ3" s="139" t="inlineStr">
        <is>
          <t>MONTHLY</t>
        </is>
      </c>
      <c r="FA3" s="139" t="inlineStr">
        <is>
          <t>MONTHLY</t>
        </is>
      </c>
      <c r="FB3" s="139" t="inlineStr">
        <is>
          <t>MONTHLY</t>
        </is>
      </c>
      <c r="FC3" s="139" t="inlineStr">
        <is>
          <t>MONTHLY</t>
        </is>
      </c>
      <c r="FD3" s="139" t="inlineStr">
        <is>
          <t>MONTHLY</t>
        </is>
      </c>
      <c r="FE3" s="139" t="inlineStr">
        <is>
          <t>MONTHLY</t>
        </is>
      </c>
      <c r="FF3" s="139" t="inlineStr">
        <is>
          <t>MONTHLY</t>
        </is>
      </c>
      <c r="FG3" s="139" t="inlineStr">
        <is>
          <t>MONTHLY</t>
        </is>
      </c>
      <c r="FH3" s="139" t="inlineStr">
        <is>
          <t>MONTHLY</t>
        </is>
      </c>
      <c r="FI3" s="139" t="inlineStr">
        <is>
          <t>MONTHLY</t>
        </is>
      </c>
      <c r="FJ3" s="139" t="inlineStr">
        <is>
          <t>MONTHLY</t>
        </is>
      </c>
      <c r="FK3" s="139" t="inlineStr">
        <is>
          <t>MONTHLY</t>
        </is>
      </c>
      <c r="FL3" s="139" t="inlineStr">
        <is>
          <t>MONTHLY</t>
        </is>
      </c>
      <c r="FM3" s="139" t="inlineStr">
        <is>
          <t>MONTHLY</t>
        </is>
      </c>
      <c r="FN3" s="139" t="inlineStr">
        <is>
          <t>MONTHLY</t>
        </is>
      </c>
      <c r="FO3" s="139" t="inlineStr">
        <is>
          <t>MONTHLY</t>
        </is>
      </c>
      <c r="FP3" s="139" t="inlineStr">
        <is>
          <t>MONTHLY</t>
        </is>
      </c>
      <c r="FQ3" s="139" t="inlineStr">
        <is>
          <t>MONTHLY</t>
        </is>
      </c>
      <c r="FR3" s="139" t="inlineStr">
        <is>
          <t>MONTHLY</t>
        </is>
      </c>
      <c r="FS3" s="139" t="inlineStr">
        <is>
          <t>MONTHLY</t>
        </is>
      </c>
      <c r="FT3" s="139" t="inlineStr">
        <is>
          <t>MONTHLY</t>
        </is>
      </c>
      <c r="FU3" s="139" t="inlineStr">
        <is>
          <t>MONTHLY</t>
        </is>
      </c>
      <c r="FV3" s="139" t="inlineStr">
        <is>
          <t>MONTHLY</t>
        </is>
      </c>
      <c r="FW3" s="139" t="inlineStr">
        <is>
          <t>MONTHLY</t>
        </is>
      </c>
      <c r="FX3" s="139" t="inlineStr">
        <is>
          <t>MONTHLY</t>
        </is>
      </c>
      <c r="FY3" s="139" t="inlineStr">
        <is>
          <t>MONTHLY</t>
        </is>
      </c>
      <c r="FZ3" s="139" t="inlineStr">
        <is>
          <t>MONTHLY</t>
        </is>
      </c>
      <c r="GA3" s="139" t="inlineStr">
        <is>
          <t>MONTHLY</t>
        </is>
      </c>
      <c r="GB3" s="139" t="inlineStr">
        <is>
          <t>MONTHLY</t>
        </is>
      </c>
      <c r="GC3" s="139" t="inlineStr">
        <is>
          <t>MONTHLY</t>
        </is>
      </c>
      <c r="GD3" s="139" t="inlineStr">
        <is>
          <t>MONTHLY</t>
        </is>
      </c>
      <c r="GE3" s="139" t="inlineStr">
        <is>
          <t>MONTHLY</t>
        </is>
      </c>
      <c r="GF3" s="139" t="inlineStr">
        <is>
          <t>MONTHLY</t>
        </is>
      </c>
      <c r="GG3" s="139" t="inlineStr">
        <is>
          <t>MONTHLY</t>
        </is>
      </c>
      <c r="GH3" s="139" t="inlineStr">
        <is>
          <t>MONTHLY</t>
        </is>
      </c>
      <c r="GI3" s="139" t="inlineStr">
        <is>
          <t>MONTHLY</t>
        </is>
      </c>
      <c r="GJ3" s="139" t="inlineStr">
        <is>
          <t>MONTHLY</t>
        </is>
      </c>
      <c r="GK3" s="139" t="inlineStr">
        <is>
          <t>MONTHLY</t>
        </is>
      </c>
      <c r="GL3" s="139" t="inlineStr">
        <is>
          <t>MONTHLY</t>
        </is>
      </c>
      <c r="GM3" s="139" t="inlineStr">
        <is>
          <t>MONTHLY</t>
        </is>
      </c>
      <c r="GN3" s="139" t="inlineStr">
        <is>
          <t>MONTHLY</t>
        </is>
      </c>
      <c r="GO3" s="139" t="inlineStr">
        <is>
          <t>MONTHLY</t>
        </is>
      </c>
      <c r="GP3" s="139" t="inlineStr">
        <is>
          <t>MONTHLY</t>
        </is>
      </c>
      <c r="GQ3" s="139" t="inlineStr">
        <is>
          <t>MONTHLY</t>
        </is>
      </c>
    </row>
    <row r="4" ht="17.65" customHeight="1" s="227">
      <c r="A4" s="101" t="n"/>
      <c r="B4" s="105" t="inlineStr">
        <is>
          <t>Tab Check</t>
        </is>
      </c>
      <c r="C4" s="106" t="n"/>
      <c r="D4" s="107" t="n"/>
      <c r="E4" s="99" t="n"/>
      <c r="F4" s="101" t="n"/>
      <c r="G4" s="101" t="n"/>
      <c r="H4" s="26" t="inlineStr">
        <is>
          <t>LINK TO FRONT SHEET</t>
        </is>
      </c>
      <c r="I4" s="101" t="n"/>
      <c r="J4" s="101" t="n"/>
      <c r="K4" s="127" t="inlineStr">
        <is>
          <t>Year index</t>
        </is>
      </c>
      <c r="L4" s="127" t="n"/>
      <c r="M4" s="241" t="n">
        <v>1</v>
      </c>
      <c r="N4" s="241">
        <f>M$4+1</f>
        <v/>
      </c>
      <c r="O4" s="241">
        <f>N$4+1</f>
        <v/>
      </c>
      <c r="P4" s="241">
        <f>O$4+1</f>
        <v/>
      </c>
      <c r="Q4" s="241">
        <f>P$4+1</f>
        <v/>
      </c>
      <c r="R4" s="241" t="n"/>
      <c r="S4" s="241" t="n"/>
      <c r="T4" s="241">
        <f>YEAR(T2)-(YEAR($M$1)-1)</f>
        <v/>
      </c>
      <c r="U4" s="241">
        <f>YEAR(U2)-(YEAR($M$1)-1)</f>
        <v/>
      </c>
      <c r="V4" s="241">
        <f>YEAR(V2)-(YEAR($M$1)-1)</f>
        <v/>
      </c>
      <c r="W4" s="241">
        <f>YEAR(W2)-(YEAR($M$1)-1)</f>
        <v/>
      </c>
      <c r="X4" s="241">
        <f>YEAR(X2)-(YEAR($M$1)-1)</f>
        <v/>
      </c>
      <c r="Y4" s="241">
        <f>YEAR(Y2)-(YEAR($M$1)-1)</f>
        <v/>
      </c>
      <c r="Z4" s="241">
        <f>YEAR(Z2)-(YEAR($M$1)-1)</f>
        <v/>
      </c>
      <c r="AA4" s="241">
        <f>YEAR(AA2)-(YEAR($M$1)-1)</f>
        <v/>
      </c>
      <c r="AB4" s="241">
        <f>YEAR(AB2)-(YEAR($M$1)-1)</f>
        <v/>
      </c>
      <c r="AC4" s="241">
        <f>YEAR(AC2)-(YEAR($M$1)-1)</f>
        <v/>
      </c>
      <c r="AD4" s="241">
        <f>YEAR(AD2)-(YEAR($M$1)-1)</f>
        <v/>
      </c>
      <c r="AE4" s="241">
        <f>YEAR(AE2)-(YEAR($M$1)-1)</f>
        <v/>
      </c>
      <c r="AF4" s="241">
        <f>YEAR(AF2)-(YEAR($M$1)-1)</f>
        <v/>
      </c>
      <c r="AG4" s="241">
        <f>YEAR(AG2)-(YEAR($M$1)-1)</f>
        <v/>
      </c>
      <c r="AH4" s="241">
        <f>YEAR(AH2)-(YEAR($M$1)-1)</f>
        <v/>
      </c>
      <c r="AI4" s="241">
        <f>YEAR(AI2)-(YEAR($M$1)-1)</f>
        <v/>
      </c>
      <c r="AJ4" s="241">
        <f>YEAR(AJ2)-(YEAR($M$1)-1)</f>
        <v/>
      </c>
      <c r="AK4" s="241">
        <f>YEAR(AK2)-(YEAR($M$1)-1)</f>
        <v/>
      </c>
      <c r="AL4" s="241">
        <f>YEAR(AL2)-(YEAR($M$1)-1)</f>
        <v/>
      </c>
      <c r="AM4" s="241">
        <f>YEAR(AM2)-(YEAR($M$1)-1)</f>
        <v/>
      </c>
      <c r="AN4" s="241">
        <f>YEAR(AN2)-(YEAR($M$1)-1)</f>
        <v/>
      </c>
      <c r="AO4" s="241">
        <f>YEAR(AO2)-(YEAR($M$1)-1)</f>
        <v/>
      </c>
      <c r="AP4" s="241">
        <f>YEAR(AP2)-(YEAR($M$1)-1)</f>
        <v/>
      </c>
      <c r="AQ4" s="241">
        <f>YEAR(AQ2)-(YEAR($M$1)-1)</f>
        <v/>
      </c>
      <c r="AR4" s="241">
        <f>YEAR(AR2)-(YEAR($M$1)-1)</f>
        <v/>
      </c>
      <c r="AS4" s="241">
        <f>YEAR(AS2)-(YEAR($M$1)-1)</f>
        <v/>
      </c>
      <c r="AT4" s="241">
        <f>YEAR(AT2)-(YEAR($M$1)-1)</f>
        <v/>
      </c>
      <c r="AU4" s="241">
        <f>YEAR(AU2)-(YEAR($M$1)-1)</f>
        <v/>
      </c>
      <c r="AV4" s="241">
        <f>YEAR(AV2)-(YEAR($M$1)-1)</f>
        <v/>
      </c>
      <c r="AW4" s="241">
        <f>YEAR(AW2)-(YEAR($M$1)-1)</f>
        <v/>
      </c>
      <c r="AX4" s="241">
        <f>YEAR(AX2)-(YEAR($M$1)-1)</f>
        <v/>
      </c>
      <c r="AY4" s="241">
        <f>YEAR(AY2)-(YEAR($M$1)-1)</f>
        <v/>
      </c>
      <c r="AZ4" s="241">
        <f>YEAR(AZ2)-(YEAR($M$1)-1)</f>
        <v/>
      </c>
      <c r="BA4" s="241">
        <f>YEAR(BA2)-(YEAR($M$1)-1)</f>
        <v/>
      </c>
      <c r="BB4" s="241">
        <f>YEAR(BB2)-(YEAR($M$1)-1)</f>
        <v/>
      </c>
      <c r="BC4" s="241">
        <f>YEAR(BC2)-(YEAR($M$1)-1)</f>
        <v/>
      </c>
      <c r="BD4" s="241">
        <f>YEAR(BD2)-(YEAR($M$1)-1)</f>
        <v/>
      </c>
      <c r="BE4" s="241">
        <f>YEAR(BE2)-(YEAR($M$1)-1)</f>
        <v/>
      </c>
      <c r="BF4" s="241">
        <f>YEAR(BF2)-(YEAR($M$1)-1)</f>
        <v/>
      </c>
      <c r="BG4" s="241">
        <f>YEAR(BG2)-(YEAR($M$1)-1)</f>
        <v/>
      </c>
      <c r="BH4" s="241">
        <f>YEAR(BH2)-(YEAR($M$1)-1)</f>
        <v/>
      </c>
      <c r="BI4" s="241">
        <f>YEAR(BI2)-(YEAR($M$1)-1)</f>
        <v/>
      </c>
      <c r="BJ4" s="241">
        <f>YEAR(BJ2)-(YEAR($M$1)-1)</f>
        <v/>
      </c>
      <c r="BK4" s="241">
        <f>YEAR(BK2)-(YEAR($M$1)-1)</f>
        <v/>
      </c>
      <c r="BL4" s="241">
        <f>YEAR(BL2)-(YEAR($M$1)-1)</f>
        <v/>
      </c>
      <c r="BM4" s="241">
        <f>YEAR(BM2)-(YEAR($M$1)-1)</f>
        <v/>
      </c>
      <c r="BN4" s="241">
        <f>YEAR(BN2)-(YEAR($M$1)-1)</f>
        <v/>
      </c>
      <c r="BO4" s="241">
        <f>YEAR(BO2)-(YEAR($M$1)-1)</f>
        <v/>
      </c>
      <c r="BP4" s="241">
        <f>YEAR(BP2)-(YEAR($M$1)-1)</f>
        <v/>
      </c>
      <c r="BQ4" s="241">
        <f>YEAR(BQ2)-(YEAR($M$1)-1)</f>
        <v/>
      </c>
      <c r="BR4" s="241">
        <f>YEAR(BR2)-(YEAR($M$1)-1)</f>
        <v/>
      </c>
      <c r="BS4" s="241">
        <f>YEAR(BS2)-(YEAR($M$1)-1)</f>
        <v/>
      </c>
      <c r="BT4" s="241">
        <f>YEAR(BT2)-(YEAR($M$1)-1)</f>
        <v/>
      </c>
      <c r="BU4" s="241">
        <f>YEAR(BU2)-(YEAR($M$1)-1)</f>
        <v/>
      </c>
      <c r="BV4" s="241">
        <f>YEAR(BV2)-(YEAR($M$1)-1)</f>
        <v/>
      </c>
      <c r="BW4" s="241">
        <f>YEAR(BW2)-(YEAR($M$1)-1)</f>
        <v/>
      </c>
      <c r="BX4" s="241">
        <f>YEAR(BX2)-(YEAR($M$1)-1)</f>
        <v/>
      </c>
      <c r="BY4" s="241">
        <f>YEAR(BY2)-(YEAR($M$1)-1)</f>
        <v/>
      </c>
      <c r="BZ4" s="241">
        <f>YEAR(BZ2)-(YEAR($M$1)-1)</f>
        <v/>
      </c>
      <c r="CA4" s="241">
        <f>YEAR(CA2)-(YEAR($M$1)-1)</f>
        <v/>
      </c>
      <c r="CB4" s="241">
        <f>YEAR(CB2)-(YEAR($M$1)-1)</f>
        <v/>
      </c>
      <c r="CC4" s="241">
        <f>YEAR(CC2)-(YEAR($M$1)-1)</f>
        <v/>
      </c>
      <c r="CD4" s="241">
        <f>YEAR(CD2)-(YEAR($M$1)-1)</f>
        <v/>
      </c>
      <c r="CE4" s="241">
        <f>YEAR(CE2)-(YEAR($M$1)-1)</f>
        <v/>
      </c>
      <c r="CF4" s="241">
        <f>YEAR(CF2)-(YEAR($M$1)-1)</f>
        <v/>
      </c>
      <c r="CG4" s="241">
        <f>YEAR(CG2)-(YEAR($M$1)-1)</f>
        <v/>
      </c>
      <c r="CH4" s="241">
        <f>YEAR(CH2)-(YEAR($M$1)-1)</f>
        <v/>
      </c>
      <c r="CI4" s="241">
        <f>YEAR(CI2)-(YEAR($M$1)-1)</f>
        <v/>
      </c>
      <c r="CJ4" s="241">
        <f>YEAR(CJ2)-(YEAR($M$1)-1)</f>
        <v/>
      </c>
      <c r="CK4" s="241">
        <f>YEAR(CK2)-(YEAR($M$1)-1)</f>
        <v/>
      </c>
      <c r="CL4" s="241">
        <f>YEAR(CL2)-(YEAR($M$1)-1)</f>
        <v/>
      </c>
      <c r="CM4" s="241">
        <f>YEAR(CM2)-(YEAR($M$1)-1)</f>
        <v/>
      </c>
      <c r="CN4" s="241">
        <f>YEAR(CN2)-(YEAR($M$1)-1)</f>
        <v/>
      </c>
      <c r="CO4" s="241">
        <f>YEAR(CO2)-(YEAR($M$1)-1)</f>
        <v/>
      </c>
      <c r="CP4" s="241">
        <f>YEAR(CP2)-(YEAR($M$1)-1)</f>
        <v/>
      </c>
      <c r="CQ4" s="241">
        <f>YEAR(CQ2)-(YEAR($M$1)-1)</f>
        <v/>
      </c>
      <c r="CR4" s="241">
        <f>YEAR(CR2)-(YEAR($M$1)-1)</f>
        <v/>
      </c>
      <c r="CS4" s="241">
        <f>YEAR(CS2)-(YEAR($M$1)-1)</f>
        <v/>
      </c>
      <c r="CT4" s="241">
        <f>YEAR(CT2)-(YEAR($M$1)-1)</f>
        <v/>
      </c>
      <c r="CU4" s="241">
        <f>YEAR(CU2)-(YEAR($M$1)-1)</f>
        <v/>
      </c>
      <c r="CV4" s="241">
        <f>YEAR(CV2)-(YEAR($M$1)-1)</f>
        <v/>
      </c>
      <c r="CW4" s="241">
        <f>YEAR(CW2)-(YEAR($M$1)-1)</f>
        <v/>
      </c>
      <c r="CX4" s="241">
        <f>YEAR(CX2)-(YEAR($M$1)-1)</f>
        <v/>
      </c>
      <c r="CY4" s="241">
        <f>YEAR(CY2)-(YEAR($M$1)-1)</f>
        <v/>
      </c>
      <c r="CZ4" s="241">
        <f>YEAR(CZ2)-(YEAR($M$1)-1)</f>
        <v/>
      </c>
      <c r="DA4" s="241">
        <f>YEAR(DA2)-(YEAR($M$1)-1)</f>
        <v/>
      </c>
      <c r="DB4" s="241">
        <f>YEAR(DB2)-(YEAR($M$1)-1)</f>
        <v/>
      </c>
      <c r="DC4" s="241">
        <f>YEAR(DC2)-(YEAR($M$1)-1)</f>
        <v/>
      </c>
      <c r="DD4" s="241">
        <f>YEAR(DD2)-(YEAR($M$1)-1)</f>
        <v/>
      </c>
      <c r="DE4" s="241">
        <f>YEAR(DE2)-(YEAR($M$1)-1)</f>
        <v/>
      </c>
      <c r="DF4" s="241">
        <f>YEAR(DF2)-(YEAR($M$1)-1)</f>
        <v/>
      </c>
      <c r="DG4" s="241">
        <f>YEAR(DG2)-(YEAR($M$1)-1)</f>
        <v/>
      </c>
      <c r="DH4" s="241">
        <f>YEAR(DH2)-(YEAR($M$1)-1)</f>
        <v/>
      </c>
      <c r="DI4" s="241">
        <f>YEAR(DI2)-(YEAR($M$1)-1)</f>
        <v/>
      </c>
      <c r="DJ4" s="241">
        <f>YEAR(DJ2)-(YEAR($M$1)-1)</f>
        <v/>
      </c>
      <c r="DK4" s="241">
        <f>YEAR(DK2)-(YEAR($M$1)-1)</f>
        <v/>
      </c>
      <c r="DL4" s="241">
        <f>YEAR(DL2)-(YEAR($M$1)-1)</f>
        <v/>
      </c>
      <c r="DM4" s="241">
        <f>YEAR(DM2)-(YEAR($M$1)-1)</f>
        <v/>
      </c>
      <c r="DN4" s="241">
        <f>YEAR(DN2)-(YEAR($M$1)-1)</f>
        <v/>
      </c>
      <c r="DO4" s="241">
        <f>YEAR(DO2)-(YEAR($M$1)-1)</f>
        <v/>
      </c>
      <c r="DP4" s="241">
        <f>YEAR(DP2)-(YEAR($M$1)-1)</f>
        <v/>
      </c>
      <c r="DQ4" s="241">
        <f>YEAR(DQ2)-(YEAR($M$1)-1)</f>
        <v/>
      </c>
      <c r="DR4" s="241">
        <f>YEAR(DR2)-(YEAR($M$1)-1)</f>
        <v/>
      </c>
      <c r="DS4" s="241">
        <f>YEAR(DS2)-(YEAR($M$1)-1)</f>
        <v/>
      </c>
      <c r="DT4" s="241">
        <f>YEAR(DT2)-(YEAR($M$1)-1)</f>
        <v/>
      </c>
      <c r="DU4" s="241">
        <f>YEAR(DU2)-(YEAR($M$1)-1)</f>
        <v/>
      </c>
      <c r="DV4" s="241">
        <f>YEAR(DV2)-(YEAR($M$1)-1)</f>
        <v/>
      </c>
      <c r="DW4" s="241">
        <f>YEAR(DW2)-(YEAR($M$1)-1)</f>
        <v/>
      </c>
      <c r="DX4" s="241">
        <f>YEAR(DX2)-(YEAR($M$1)-1)</f>
        <v/>
      </c>
      <c r="DY4" s="241">
        <f>YEAR(DY2)-(YEAR($M$1)-1)</f>
        <v/>
      </c>
      <c r="DZ4" s="241">
        <f>YEAR(DZ2)-(YEAR($M$1)-1)</f>
        <v/>
      </c>
      <c r="EA4" s="241">
        <f>YEAR(EA2)-(YEAR($M$1)-1)</f>
        <v/>
      </c>
      <c r="EB4" s="241">
        <f>YEAR(EB2)-(YEAR($M$1)-1)</f>
        <v/>
      </c>
      <c r="EC4" s="241">
        <f>YEAR(EC2)-(YEAR($M$1)-1)</f>
        <v/>
      </c>
      <c r="ED4" s="241">
        <f>YEAR(ED2)-(YEAR($M$1)-1)</f>
        <v/>
      </c>
      <c r="EE4" s="241">
        <f>YEAR(EE2)-(YEAR($M$1)-1)</f>
        <v/>
      </c>
      <c r="EF4" s="241">
        <f>YEAR(EF2)-(YEAR($M$1)-1)</f>
        <v/>
      </c>
      <c r="EG4" s="241">
        <f>YEAR(EG2)-(YEAR($M$1)-1)</f>
        <v/>
      </c>
      <c r="EH4" s="241">
        <f>YEAR(EH2)-(YEAR($M$1)-1)</f>
        <v/>
      </c>
      <c r="EI4" s="241">
        <f>YEAR(EI2)-(YEAR($M$1)-1)</f>
        <v/>
      </c>
      <c r="EJ4" s="241">
        <f>YEAR(EJ2)-(YEAR($M$1)-1)</f>
        <v/>
      </c>
      <c r="EK4" s="241">
        <f>YEAR(EK2)-(YEAR($M$1)-1)</f>
        <v/>
      </c>
      <c r="EL4" s="241">
        <f>YEAR(EL2)-(YEAR($M$1)-1)</f>
        <v/>
      </c>
      <c r="EM4" s="241">
        <f>YEAR(EM2)-(YEAR($M$1)-1)</f>
        <v/>
      </c>
      <c r="EN4" s="241">
        <f>YEAR(EN2)-(YEAR($M$1)-1)</f>
        <v/>
      </c>
      <c r="EO4" s="241">
        <f>YEAR(EO2)-(YEAR($M$1)-1)</f>
        <v/>
      </c>
      <c r="EP4" s="241">
        <f>YEAR(EP2)-(YEAR($M$1)-1)</f>
        <v/>
      </c>
      <c r="EQ4" s="241">
        <f>YEAR(EQ2)-(YEAR($M$1)-1)</f>
        <v/>
      </c>
      <c r="ER4" s="241">
        <f>YEAR(ER2)-(YEAR($M$1)-1)</f>
        <v/>
      </c>
      <c r="ES4" s="241">
        <f>YEAR(ES2)-(YEAR($M$1)-1)</f>
        <v/>
      </c>
      <c r="ET4" s="241">
        <f>YEAR(ET2)-(YEAR($M$1)-1)</f>
        <v/>
      </c>
      <c r="EU4" s="241">
        <f>YEAR(EU2)-(YEAR($M$1)-1)</f>
        <v/>
      </c>
      <c r="EV4" s="241">
        <f>YEAR(EV2)-(YEAR($M$1)-1)</f>
        <v/>
      </c>
      <c r="EW4" s="241">
        <f>YEAR(EW2)-(YEAR($M$1)-1)</f>
        <v/>
      </c>
      <c r="EX4" s="241">
        <f>YEAR(EX2)-(YEAR($M$1)-1)</f>
        <v/>
      </c>
      <c r="EY4" s="241">
        <f>YEAR(EY2)-(YEAR($M$1)-1)</f>
        <v/>
      </c>
      <c r="EZ4" s="241">
        <f>YEAR(EZ2)-(YEAR($M$1)-1)</f>
        <v/>
      </c>
      <c r="FA4" s="241">
        <f>YEAR(FA2)-(YEAR($M$1)-1)</f>
        <v/>
      </c>
      <c r="FB4" s="241">
        <f>YEAR(FB2)-(YEAR($M$1)-1)</f>
        <v/>
      </c>
      <c r="FC4" s="241">
        <f>YEAR(FC2)-(YEAR($M$1)-1)</f>
        <v/>
      </c>
      <c r="FD4" s="241">
        <f>YEAR(FD2)-(YEAR($M$1)-1)</f>
        <v/>
      </c>
      <c r="FE4" s="241">
        <f>YEAR(FE2)-(YEAR($M$1)-1)</f>
        <v/>
      </c>
      <c r="FF4" s="241">
        <f>YEAR(FF2)-(YEAR($M$1)-1)</f>
        <v/>
      </c>
      <c r="FG4" s="241">
        <f>YEAR(FG2)-(YEAR($M$1)-1)</f>
        <v/>
      </c>
      <c r="FH4" s="241">
        <f>YEAR(FH2)-(YEAR($M$1)-1)</f>
        <v/>
      </c>
      <c r="FI4" s="241">
        <f>YEAR(FI2)-(YEAR($M$1)-1)</f>
        <v/>
      </c>
      <c r="FJ4" s="241">
        <f>YEAR(FJ2)-(YEAR($M$1)-1)</f>
        <v/>
      </c>
      <c r="FK4" s="241">
        <f>YEAR(FK2)-(YEAR($M$1)-1)</f>
        <v/>
      </c>
      <c r="FL4" s="241">
        <f>YEAR(FL2)-(YEAR($M$1)-1)</f>
        <v/>
      </c>
      <c r="FM4" s="241">
        <f>YEAR(FM2)-(YEAR($M$1)-1)</f>
        <v/>
      </c>
      <c r="FN4" s="241">
        <f>YEAR(FN2)-(YEAR($M$1)-1)</f>
        <v/>
      </c>
      <c r="FO4" s="241">
        <f>YEAR(FO2)-(YEAR($M$1)-1)</f>
        <v/>
      </c>
      <c r="FP4" s="241">
        <f>YEAR(FP2)-(YEAR($M$1)-1)</f>
        <v/>
      </c>
      <c r="FQ4" s="241">
        <f>YEAR(FQ2)-(YEAR($M$1)-1)</f>
        <v/>
      </c>
      <c r="FR4" s="241">
        <f>YEAR(FR2)-(YEAR($M$1)-1)</f>
        <v/>
      </c>
      <c r="FS4" s="241">
        <f>YEAR(FS2)-(YEAR($M$1)-1)</f>
        <v/>
      </c>
      <c r="FT4" s="241">
        <f>YEAR(FT2)-(YEAR($M$1)-1)</f>
        <v/>
      </c>
      <c r="FU4" s="241">
        <f>YEAR(FU2)-(YEAR($M$1)-1)</f>
        <v/>
      </c>
      <c r="FV4" s="241">
        <f>YEAR(FV2)-(YEAR($M$1)-1)</f>
        <v/>
      </c>
      <c r="FW4" s="241">
        <f>YEAR(FW2)-(YEAR($M$1)-1)</f>
        <v/>
      </c>
      <c r="FX4" s="241">
        <f>YEAR(FX2)-(YEAR($M$1)-1)</f>
        <v/>
      </c>
      <c r="FY4" s="241">
        <f>YEAR(FY2)-(YEAR($M$1)-1)</f>
        <v/>
      </c>
      <c r="FZ4" s="241">
        <f>YEAR(FZ2)-(YEAR($M$1)-1)</f>
        <v/>
      </c>
      <c r="GA4" s="241">
        <f>YEAR(GA2)-(YEAR($M$1)-1)</f>
        <v/>
      </c>
      <c r="GB4" s="241">
        <f>YEAR(GB2)-(YEAR($M$1)-1)</f>
        <v/>
      </c>
      <c r="GC4" s="241">
        <f>YEAR(GC2)-(YEAR($M$1)-1)</f>
        <v/>
      </c>
      <c r="GD4" s="241">
        <f>YEAR(GD2)-(YEAR($M$1)-1)</f>
        <v/>
      </c>
      <c r="GE4" s="241">
        <f>YEAR(GE2)-(YEAR($M$1)-1)</f>
        <v/>
      </c>
      <c r="GF4" s="241">
        <f>YEAR(GF2)-(YEAR($M$1)-1)</f>
        <v/>
      </c>
      <c r="GG4" s="241">
        <f>YEAR(GG2)-(YEAR($M$1)-1)</f>
        <v/>
      </c>
      <c r="GH4" s="241">
        <f>YEAR(GH2)-(YEAR($M$1)-1)</f>
        <v/>
      </c>
      <c r="GI4" s="241">
        <f>YEAR(GI2)-(YEAR($M$1)-1)</f>
        <v/>
      </c>
      <c r="GJ4" s="241">
        <f>YEAR(GJ2)-(YEAR($M$1)-1)</f>
        <v/>
      </c>
      <c r="GK4" s="241">
        <f>YEAR(GK2)-(YEAR($M$1)-1)</f>
        <v/>
      </c>
      <c r="GL4" s="241">
        <f>YEAR(GL2)-(YEAR($M$1)-1)</f>
        <v/>
      </c>
      <c r="GM4" s="241">
        <f>YEAR(GM2)-(YEAR($M$1)-1)</f>
        <v/>
      </c>
      <c r="GN4" s="241">
        <f>YEAR(GN2)-(YEAR($M$1)-1)</f>
        <v/>
      </c>
      <c r="GO4" s="241">
        <f>YEAR(GO2)-(YEAR($M$1)-1)</f>
        <v/>
      </c>
      <c r="GP4" s="241">
        <f>YEAR(GP2)-(YEAR($M$1)-1)</f>
        <v/>
      </c>
      <c r="GQ4" s="241">
        <f>YEAR(GQ2)-(YEAR($M$1)-1)</f>
        <v/>
      </c>
    </row>
    <row r="5" ht="17.65" customHeight="1" s="227">
      <c r="A5" s="101" t="n"/>
      <c r="B5" s="228">
        <f>SUM(B$9:B1010)</f>
        <v/>
      </c>
      <c r="C5" s="229">
        <f>SUM(C$9:C1010)</f>
        <v/>
      </c>
      <c r="D5" s="104" t="n"/>
      <c r="E5" s="99" t="n"/>
      <c r="F5" s="101" t="n"/>
      <c r="G5" s="101" t="n"/>
      <c r="H5" s="28">
        <f>sysCheckText</f>
        <v/>
      </c>
      <c r="I5" s="101" t="n"/>
      <c r="J5" s="101" t="n"/>
      <c r="K5" s="127" t="inlineStr">
        <is>
          <t>Relative period</t>
        </is>
      </c>
      <c r="L5" s="127" t="n"/>
      <c r="M5" s="241" t="n">
        <v>1</v>
      </c>
      <c r="N5" s="241" t="n">
        <v>1</v>
      </c>
      <c r="O5" s="241" t="n">
        <v>1</v>
      </c>
      <c r="P5" s="241" t="n">
        <v>1</v>
      </c>
      <c r="Q5" s="241" t="n">
        <v>1</v>
      </c>
      <c r="R5" s="241" t="n"/>
      <c r="S5" s="241" t="n"/>
      <c r="T5" s="241">
        <f>MONTH(T2)</f>
        <v/>
      </c>
      <c r="U5" s="241">
        <f>MONTH(U2)</f>
        <v/>
      </c>
      <c r="V5" s="241">
        <f>MONTH(V2)</f>
        <v/>
      </c>
      <c r="W5" s="241">
        <f>MONTH(W2)</f>
        <v/>
      </c>
      <c r="X5" s="241">
        <f>MONTH(X2)</f>
        <v/>
      </c>
      <c r="Y5" s="241">
        <f>MONTH(Y2)</f>
        <v/>
      </c>
      <c r="Z5" s="241">
        <f>MONTH(Z2)</f>
        <v/>
      </c>
      <c r="AA5" s="241">
        <f>MONTH(AA2)</f>
        <v/>
      </c>
      <c r="AB5" s="241">
        <f>MONTH(AB2)</f>
        <v/>
      </c>
      <c r="AC5" s="241">
        <f>MONTH(AC2)</f>
        <v/>
      </c>
      <c r="AD5" s="241">
        <f>MONTH(AD2)</f>
        <v/>
      </c>
      <c r="AE5" s="241">
        <f>MONTH(AE2)</f>
        <v/>
      </c>
      <c r="AF5" s="241">
        <f>MONTH(AF2)</f>
        <v/>
      </c>
      <c r="AG5" s="241">
        <f>MONTH(AG2)</f>
        <v/>
      </c>
      <c r="AH5" s="241">
        <f>MONTH(AH2)</f>
        <v/>
      </c>
      <c r="AI5" s="241">
        <f>MONTH(AI2)</f>
        <v/>
      </c>
      <c r="AJ5" s="241">
        <f>MONTH(AJ2)</f>
        <v/>
      </c>
      <c r="AK5" s="241">
        <f>MONTH(AK2)</f>
        <v/>
      </c>
      <c r="AL5" s="241">
        <f>MONTH(AL2)</f>
        <v/>
      </c>
      <c r="AM5" s="241">
        <f>MONTH(AM2)</f>
        <v/>
      </c>
      <c r="AN5" s="241">
        <f>MONTH(AN2)</f>
        <v/>
      </c>
      <c r="AO5" s="241">
        <f>MONTH(AO2)</f>
        <v/>
      </c>
      <c r="AP5" s="241">
        <f>MONTH(AP2)</f>
        <v/>
      </c>
      <c r="AQ5" s="241">
        <f>MONTH(AQ2)</f>
        <v/>
      </c>
      <c r="AR5" s="241">
        <f>MONTH(AR2)</f>
        <v/>
      </c>
      <c r="AS5" s="241">
        <f>MONTH(AS2)</f>
        <v/>
      </c>
      <c r="AT5" s="241">
        <f>MONTH(AT2)</f>
        <v/>
      </c>
      <c r="AU5" s="241">
        <f>MONTH(AU2)</f>
        <v/>
      </c>
      <c r="AV5" s="241">
        <f>MONTH(AV2)</f>
        <v/>
      </c>
      <c r="AW5" s="241">
        <f>MONTH(AW2)</f>
        <v/>
      </c>
      <c r="AX5" s="241">
        <f>MONTH(AX2)</f>
        <v/>
      </c>
      <c r="AY5" s="241">
        <f>MONTH(AY2)</f>
        <v/>
      </c>
      <c r="AZ5" s="241">
        <f>MONTH(AZ2)</f>
        <v/>
      </c>
      <c r="BA5" s="241">
        <f>MONTH(BA2)</f>
        <v/>
      </c>
      <c r="BB5" s="241">
        <f>MONTH(BB2)</f>
        <v/>
      </c>
      <c r="BC5" s="241">
        <f>MONTH(BC2)</f>
        <v/>
      </c>
      <c r="BD5" s="241">
        <f>MONTH(BD2)</f>
        <v/>
      </c>
      <c r="BE5" s="241">
        <f>MONTH(BE2)</f>
        <v/>
      </c>
      <c r="BF5" s="241">
        <f>MONTH(BF2)</f>
        <v/>
      </c>
      <c r="BG5" s="241">
        <f>MONTH(BG2)</f>
        <v/>
      </c>
      <c r="BH5" s="241">
        <f>MONTH(BH2)</f>
        <v/>
      </c>
      <c r="BI5" s="241">
        <f>MONTH(BI2)</f>
        <v/>
      </c>
      <c r="BJ5" s="241">
        <f>MONTH(BJ2)</f>
        <v/>
      </c>
      <c r="BK5" s="241">
        <f>MONTH(BK2)</f>
        <v/>
      </c>
      <c r="BL5" s="241">
        <f>MONTH(BL2)</f>
        <v/>
      </c>
      <c r="BM5" s="241">
        <f>MONTH(BM2)</f>
        <v/>
      </c>
      <c r="BN5" s="241">
        <f>MONTH(BN2)</f>
        <v/>
      </c>
      <c r="BO5" s="241">
        <f>MONTH(BO2)</f>
        <v/>
      </c>
      <c r="BP5" s="241">
        <f>MONTH(BP2)</f>
        <v/>
      </c>
      <c r="BQ5" s="241">
        <f>MONTH(BQ2)</f>
        <v/>
      </c>
      <c r="BR5" s="241">
        <f>MONTH(BR2)</f>
        <v/>
      </c>
      <c r="BS5" s="241">
        <f>MONTH(BS2)</f>
        <v/>
      </c>
      <c r="BT5" s="241">
        <f>MONTH(BT2)</f>
        <v/>
      </c>
      <c r="BU5" s="241">
        <f>MONTH(BU2)</f>
        <v/>
      </c>
      <c r="BV5" s="241">
        <f>MONTH(BV2)</f>
        <v/>
      </c>
      <c r="BW5" s="241">
        <f>MONTH(BW2)</f>
        <v/>
      </c>
      <c r="BX5" s="241">
        <f>MONTH(BX2)</f>
        <v/>
      </c>
      <c r="BY5" s="241">
        <f>MONTH(BY2)</f>
        <v/>
      </c>
      <c r="BZ5" s="241">
        <f>MONTH(BZ2)</f>
        <v/>
      </c>
      <c r="CA5" s="241">
        <f>MONTH(CA2)</f>
        <v/>
      </c>
      <c r="CB5" s="241">
        <f>MONTH(CB2)</f>
        <v/>
      </c>
      <c r="CC5" s="241">
        <f>MONTH(CC2)</f>
        <v/>
      </c>
      <c r="CD5" s="241">
        <f>MONTH(CD2)</f>
        <v/>
      </c>
      <c r="CE5" s="241">
        <f>MONTH(CE2)</f>
        <v/>
      </c>
      <c r="CF5" s="241">
        <f>MONTH(CF2)</f>
        <v/>
      </c>
      <c r="CG5" s="241">
        <f>MONTH(CG2)</f>
        <v/>
      </c>
      <c r="CH5" s="241">
        <f>MONTH(CH2)</f>
        <v/>
      </c>
      <c r="CI5" s="241">
        <f>MONTH(CI2)</f>
        <v/>
      </c>
      <c r="CJ5" s="241">
        <f>MONTH(CJ2)</f>
        <v/>
      </c>
      <c r="CK5" s="241">
        <f>MONTH(CK2)</f>
        <v/>
      </c>
      <c r="CL5" s="241">
        <f>MONTH(CL2)</f>
        <v/>
      </c>
      <c r="CM5" s="241">
        <f>MONTH(CM2)</f>
        <v/>
      </c>
      <c r="CN5" s="241">
        <f>MONTH(CN2)</f>
        <v/>
      </c>
      <c r="CO5" s="241">
        <f>MONTH(CO2)</f>
        <v/>
      </c>
      <c r="CP5" s="241">
        <f>MONTH(CP2)</f>
        <v/>
      </c>
      <c r="CQ5" s="241">
        <f>MONTH(CQ2)</f>
        <v/>
      </c>
      <c r="CR5" s="241">
        <f>MONTH(CR2)</f>
        <v/>
      </c>
      <c r="CS5" s="241">
        <f>MONTH(CS2)</f>
        <v/>
      </c>
      <c r="CT5" s="241">
        <f>MONTH(CT2)</f>
        <v/>
      </c>
      <c r="CU5" s="241">
        <f>MONTH(CU2)</f>
        <v/>
      </c>
      <c r="CV5" s="241">
        <f>MONTH(CV2)</f>
        <v/>
      </c>
      <c r="CW5" s="241">
        <f>MONTH(CW2)</f>
        <v/>
      </c>
      <c r="CX5" s="241">
        <f>MONTH(CX2)</f>
        <v/>
      </c>
      <c r="CY5" s="241">
        <f>MONTH(CY2)</f>
        <v/>
      </c>
      <c r="CZ5" s="241">
        <f>MONTH(CZ2)</f>
        <v/>
      </c>
      <c r="DA5" s="241">
        <f>MONTH(DA2)</f>
        <v/>
      </c>
      <c r="DB5" s="241">
        <f>MONTH(DB2)</f>
        <v/>
      </c>
      <c r="DC5" s="241">
        <f>MONTH(DC2)</f>
        <v/>
      </c>
      <c r="DD5" s="241">
        <f>MONTH(DD2)</f>
        <v/>
      </c>
      <c r="DE5" s="241">
        <f>MONTH(DE2)</f>
        <v/>
      </c>
      <c r="DF5" s="241">
        <f>MONTH(DF2)</f>
        <v/>
      </c>
      <c r="DG5" s="241">
        <f>MONTH(DG2)</f>
        <v/>
      </c>
      <c r="DH5" s="241">
        <f>MONTH(DH2)</f>
        <v/>
      </c>
      <c r="DI5" s="241">
        <f>MONTH(DI2)</f>
        <v/>
      </c>
      <c r="DJ5" s="241">
        <f>MONTH(DJ2)</f>
        <v/>
      </c>
      <c r="DK5" s="241">
        <f>MONTH(DK2)</f>
        <v/>
      </c>
      <c r="DL5" s="241">
        <f>MONTH(DL2)</f>
        <v/>
      </c>
      <c r="DM5" s="241">
        <f>MONTH(DM2)</f>
        <v/>
      </c>
      <c r="DN5" s="241">
        <f>MONTH(DN2)</f>
        <v/>
      </c>
      <c r="DO5" s="241">
        <f>MONTH(DO2)</f>
        <v/>
      </c>
      <c r="DP5" s="241">
        <f>MONTH(DP2)</f>
        <v/>
      </c>
      <c r="DQ5" s="241">
        <f>MONTH(DQ2)</f>
        <v/>
      </c>
      <c r="DR5" s="241">
        <f>MONTH(DR2)</f>
        <v/>
      </c>
      <c r="DS5" s="241">
        <f>MONTH(DS2)</f>
        <v/>
      </c>
      <c r="DT5" s="241">
        <f>MONTH(DT2)</f>
        <v/>
      </c>
      <c r="DU5" s="241">
        <f>MONTH(DU2)</f>
        <v/>
      </c>
      <c r="DV5" s="241">
        <f>MONTH(DV2)</f>
        <v/>
      </c>
      <c r="DW5" s="241">
        <f>MONTH(DW2)</f>
        <v/>
      </c>
      <c r="DX5" s="241">
        <f>MONTH(DX2)</f>
        <v/>
      </c>
      <c r="DY5" s="241">
        <f>MONTH(DY2)</f>
        <v/>
      </c>
      <c r="DZ5" s="241">
        <f>MONTH(DZ2)</f>
        <v/>
      </c>
      <c r="EA5" s="241">
        <f>MONTH(EA2)</f>
        <v/>
      </c>
      <c r="EB5" s="241">
        <f>MONTH(EB2)</f>
        <v/>
      </c>
      <c r="EC5" s="241">
        <f>MONTH(EC2)</f>
        <v/>
      </c>
      <c r="ED5" s="241">
        <f>MONTH(ED2)</f>
        <v/>
      </c>
      <c r="EE5" s="241">
        <f>MONTH(EE2)</f>
        <v/>
      </c>
      <c r="EF5" s="241">
        <f>MONTH(EF2)</f>
        <v/>
      </c>
      <c r="EG5" s="241">
        <f>MONTH(EG2)</f>
        <v/>
      </c>
      <c r="EH5" s="241">
        <f>MONTH(EH2)</f>
        <v/>
      </c>
      <c r="EI5" s="241">
        <f>MONTH(EI2)</f>
        <v/>
      </c>
      <c r="EJ5" s="241">
        <f>MONTH(EJ2)</f>
        <v/>
      </c>
      <c r="EK5" s="241">
        <f>MONTH(EK2)</f>
        <v/>
      </c>
      <c r="EL5" s="241">
        <f>MONTH(EL2)</f>
        <v/>
      </c>
      <c r="EM5" s="241">
        <f>MONTH(EM2)</f>
        <v/>
      </c>
      <c r="EN5" s="241">
        <f>MONTH(EN2)</f>
        <v/>
      </c>
      <c r="EO5" s="241">
        <f>MONTH(EO2)</f>
        <v/>
      </c>
      <c r="EP5" s="241">
        <f>MONTH(EP2)</f>
        <v/>
      </c>
      <c r="EQ5" s="241">
        <f>MONTH(EQ2)</f>
        <v/>
      </c>
      <c r="ER5" s="241">
        <f>MONTH(ER2)</f>
        <v/>
      </c>
      <c r="ES5" s="241">
        <f>MONTH(ES2)</f>
        <v/>
      </c>
      <c r="ET5" s="241">
        <f>MONTH(ET2)</f>
        <v/>
      </c>
      <c r="EU5" s="241">
        <f>MONTH(EU2)</f>
        <v/>
      </c>
      <c r="EV5" s="241">
        <f>MONTH(EV2)</f>
        <v/>
      </c>
      <c r="EW5" s="241">
        <f>MONTH(EW2)</f>
        <v/>
      </c>
      <c r="EX5" s="241">
        <f>MONTH(EX2)</f>
        <v/>
      </c>
      <c r="EY5" s="241">
        <f>MONTH(EY2)</f>
        <v/>
      </c>
      <c r="EZ5" s="241">
        <f>MONTH(EZ2)</f>
        <v/>
      </c>
      <c r="FA5" s="241">
        <f>MONTH(FA2)</f>
        <v/>
      </c>
      <c r="FB5" s="241">
        <f>MONTH(FB2)</f>
        <v/>
      </c>
      <c r="FC5" s="241">
        <f>MONTH(FC2)</f>
        <v/>
      </c>
      <c r="FD5" s="241">
        <f>MONTH(FD2)</f>
        <v/>
      </c>
      <c r="FE5" s="241">
        <f>MONTH(FE2)</f>
        <v/>
      </c>
      <c r="FF5" s="241">
        <f>MONTH(FF2)</f>
        <v/>
      </c>
      <c r="FG5" s="241">
        <f>MONTH(FG2)</f>
        <v/>
      </c>
      <c r="FH5" s="241">
        <f>MONTH(FH2)</f>
        <v/>
      </c>
      <c r="FI5" s="241">
        <f>MONTH(FI2)</f>
        <v/>
      </c>
      <c r="FJ5" s="241">
        <f>MONTH(FJ2)</f>
        <v/>
      </c>
      <c r="FK5" s="241">
        <f>MONTH(FK2)</f>
        <v/>
      </c>
      <c r="FL5" s="241">
        <f>MONTH(FL2)</f>
        <v/>
      </c>
      <c r="FM5" s="241">
        <f>MONTH(FM2)</f>
        <v/>
      </c>
      <c r="FN5" s="241">
        <f>MONTH(FN2)</f>
        <v/>
      </c>
      <c r="FO5" s="241">
        <f>MONTH(FO2)</f>
        <v/>
      </c>
      <c r="FP5" s="241">
        <f>MONTH(FP2)</f>
        <v/>
      </c>
      <c r="FQ5" s="241">
        <f>MONTH(FQ2)</f>
        <v/>
      </c>
      <c r="FR5" s="241">
        <f>MONTH(FR2)</f>
        <v/>
      </c>
      <c r="FS5" s="241">
        <f>MONTH(FS2)</f>
        <v/>
      </c>
      <c r="FT5" s="241">
        <f>MONTH(FT2)</f>
        <v/>
      </c>
      <c r="FU5" s="241">
        <f>MONTH(FU2)</f>
        <v/>
      </c>
      <c r="FV5" s="241">
        <f>MONTH(FV2)</f>
        <v/>
      </c>
      <c r="FW5" s="241">
        <f>MONTH(FW2)</f>
        <v/>
      </c>
      <c r="FX5" s="241">
        <f>MONTH(FX2)</f>
        <v/>
      </c>
      <c r="FY5" s="241">
        <f>MONTH(FY2)</f>
        <v/>
      </c>
      <c r="FZ5" s="241">
        <f>MONTH(FZ2)</f>
        <v/>
      </c>
      <c r="GA5" s="241">
        <f>MONTH(GA2)</f>
        <v/>
      </c>
      <c r="GB5" s="241">
        <f>MONTH(GB2)</f>
        <v/>
      </c>
      <c r="GC5" s="241">
        <f>MONTH(GC2)</f>
        <v/>
      </c>
      <c r="GD5" s="241">
        <f>MONTH(GD2)</f>
        <v/>
      </c>
      <c r="GE5" s="241">
        <f>MONTH(GE2)</f>
        <v/>
      </c>
      <c r="GF5" s="241">
        <f>MONTH(GF2)</f>
        <v/>
      </c>
      <c r="GG5" s="241">
        <f>MONTH(GG2)</f>
        <v/>
      </c>
      <c r="GH5" s="241">
        <f>MONTH(GH2)</f>
        <v/>
      </c>
      <c r="GI5" s="241">
        <f>MONTH(GI2)</f>
        <v/>
      </c>
      <c r="GJ5" s="241">
        <f>MONTH(GJ2)</f>
        <v/>
      </c>
      <c r="GK5" s="241">
        <f>MONTH(GK2)</f>
        <v/>
      </c>
      <c r="GL5" s="241">
        <f>MONTH(GL2)</f>
        <v/>
      </c>
      <c r="GM5" s="241">
        <f>MONTH(GM2)</f>
        <v/>
      </c>
      <c r="GN5" s="241">
        <f>MONTH(GN2)</f>
        <v/>
      </c>
      <c r="GO5" s="241">
        <f>MONTH(GO2)</f>
        <v/>
      </c>
      <c r="GP5" s="241">
        <f>MONTH(GP2)</f>
        <v/>
      </c>
      <c r="GQ5" s="241">
        <f>MONTH(GQ2)</f>
        <v/>
      </c>
    </row>
    <row r="6" ht="17.65" customHeight="1" s="227">
      <c r="A6" s="101" t="n"/>
      <c r="B6" s="119" t="inlineStr">
        <is>
          <t>Err</t>
        </is>
      </c>
      <c r="C6" s="120" t="inlineStr">
        <is>
          <t>Alert</t>
        </is>
      </c>
      <c r="D6" s="121" t="n"/>
      <c r="E6" s="99" t="n"/>
      <c r="F6" s="101" t="n"/>
      <c r="G6" s="101" t="n"/>
      <c r="H6" s="101" t="n"/>
      <c r="I6" s="101" t="n"/>
      <c r="J6" s="101" t="n"/>
      <c r="K6" s="127" t="inlineStr">
        <is>
          <t>Period index</t>
        </is>
      </c>
      <c r="L6" s="127" t="n"/>
      <c r="M6" s="241" t="n">
        <v>1</v>
      </c>
      <c r="N6" s="241">
        <f>M$6+1</f>
        <v/>
      </c>
      <c r="O6" s="241">
        <f>N$6+1</f>
        <v/>
      </c>
      <c r="P6" s="241">
        <f>O$6+1</f>
        <v/>
      </c>
      <c r="Q6" s="241">
        <f>P$6+1</f>
        <v/>
      </c>
      <c r="R6" s="241" t="n"/>
      <c r="S6" s="241" t="n"/>
      <c r="T6" s="241" t="n">
        <v>1</v>
      </c>
      <c r="U6" s="241">
        <f>T$6+1</f>
        <v/>
      </c>
      <c r="V6" s="241">
        <f>U$6+1</f>
        <v/>
      </c>
      <c r="W6" s="241">
        <f>V$6+1</f>
        <v/>
      </c>
      <c r="X6" s="241">
        <f>W$6+1</f>
        <v/>
      </c>
      <c r="Y6" s="241">
        <f>X$6+1</f>
        <v/>
      </c>
      <c r="Z6" s="241">
        <f>Y$6+1</f>
        <v/>
      </c>
      <c r="AA6" s="241">
        <f>Z$6+1</f>
        <v/>
      </c>
      <c r="AB6" s="241">
        <f>AA$6+1</f>
        <v/>
      </c>
      <c r="AC6" s="241">
        <f>AB$6+1</f>
        <v/>
      </c>
      <c r="AD6" s="241">
        <f>AC$6+1</f>
        <v/>
      </c>
      <c r="AE6" s="241">
        <f>AD$6+1</f>
        <v/>
      </c>
      <c r="AF6" s="241">
        <f>AE$6+1</f>
        <v/>
      </c>
      <c r="AG6" s="241">
        <f>AF$6+1</f>
        <v/>
      </c>
      <c r="AH6" s="241">
        <f>AG$6+1</f>
        <v/>
      </c>
      <c r="AI6" s="241">
        <f>AH$6+1</f>
        <v/>
      </c>
      <c r="AJ6" s="241">
        <f>AI$6+1</f>
        <v/>
      </c>
      <c r="AK6" s="241">
        <f>AJ$6+1</f>
        <v/>
      </c>
      <c r="AL6" s="241">
        <f>AK$6+1</f>
        <v/>
      </c>
      <c r="AM6" s="241">
        <f>AL$6+1</f>
        <v/>
      </c>
      <c r="AN6" s="241">
        <f>AM$6+1</f>
        <v/>
      </c>
      <c r="AO6" s="241">
        <f>AN$6+1</f>
        <v/>
      </c>
      <c r="AP6" s="241">
        <f>AO$6+1</f>
        <v/>
      </c>
      <c r="AQ6" s="241">
        <f>AP$6+1</f>
        <v/>
      </c>
      <c r="AR6" s="241">
        <f>AQ$6+1</f>
        <v/>
      </c>
      <c r="AS6" s="241">
        <f>AR$6+1</f>
        <v/>
      </c>
      <c r="AT6" s="241">
        <f>AS$6+1</f>
        <v/>
      </c>
      <c r="AU6" s="241">
        <f>AT$6+1</f>
        <v/>
      </c>
      <c r="AV6" s="241">
        <f>AU$6+1</f>
        <v/>
      </c>
      <c r="AW6" s="241">
        <f>AV$6+1</f>
        <v/>
      </c>
      <c r="AX6" s="241">
        <f>AW$6+1</f>
        <v/>
      </c>
      <c r="AY6" s="241">
        <f>AX$6+1</f>
        <v/>
      </c>
      <c r="AZ6" s="241">
        <f>AY$6+1</f>
        <v/>
      </c>
      <c r="BA6" s="241">
        <f>AZ$6+1</f>
        <v/>
      </c>
      <c r="BB6" s="241">
        <f>BA$6+1</f>
        <v/>
      </c>
      <c r="BC6" s="241">
        <f>BB$6+1</f>
        <v/>
      </c>
      <c r="BD6" s="241">
        <f>BC$6+1</f>
        <v/>
      </c>
      <c r="BE6" s="241">
        <f>BD$6+1</f>
        <v/>
      </c>
      <c r="BF6" s="241">
        <f>BE$6+1</f>
        <v/>
      </c>
      <c r="BG6" s="241">
        <f>BF$6+1</f>
        <v/>
      </c>
      <c r="BH6" s="241">
        <f>BG$6+1</f>
        <v/>
      </c>
      <c r="BI6" s="241">
        <f>BH$6+1</f>
        <v/>
      </c>
      <c r="BJ6" s="241">
        <f>BI$6+1</f>
        <v/>
      </c>
      <c r="BK6" s="241">
        <f>BJ$6+1</f>
        <v/>
      </c>
      <c r="BL6" s="241">
        <f>BK$6+1</f>
        <v/>
      </c>
      <c r="BM6" s="241">
        <f>BL$6+1</f>
        <v/>
      </c>
      <c r="BN6" s="241">
        <f>BM$6+1</f>
        <v/>
      </c>
      <c r="BO6" s="241">
        <f>BN$6+1</f>
        <v/>
      </c>
      <c r="BP6" s="241">
        <f>BO$6+1</f>
        <v/>
      </c>
      <c r="BQ6" s="241">
        <f>BP$6+1</f>
        <v/>
      </c>
      <c r="BR6" s="241">
        <f>BQ$6+1</f>
        <v/>
      </c>
      <c r="BS6" s="241">
        <f>BR$6+1</f>
        <v/>
      </c>
      <c r="BT6" s="241">
        <f>BS$6+1</f>
        <v/>
      </c>
      <c r="BU6" s="241">
        <f>BT$6+1</f>
        <v/>
      </c>
      <c r="BV6" s="241">
        <f>BU$6+1</f>
        <v/>
      </c>
      <c r="BW6" s="241">
        <f>BV$6+1</f>
        <v/>
      </c>
      <c r="BX6" s="241">
        <f>BW$6+1</f>
        <v/>
      </c>
      <c r="BY6" s="241">
        <f>BX$6+1</f>
        <v/>
      </c>
      <c r="BZ6" s="241">
        <f>BY$6+1</f>
        <v/>
      </c>
      <c r="CA6" s="241">
        <f>BZ$6+1</f>
        <v/>
      </c>
      <c r="CB6" s="241">
        <f>CA$6+1</f>
        <v/>
      </c>
      <c r="CC6" s="241">
        <f>CB$6+1</f>
        <v/>
      </c>
      <c r="CD6" s="241">
        <f>CC$6+1</f>
        <v/>
      </c>
      <c r="CE6" s="241">
        <f>CD$6+1</f>
        <v/>
      </c>
      <c r="CF6" s="241">
        <f>CE$6+1</f>
        <v/>
      </c>
      <c r="CG6" s="241">
        <f>CF$6+1</f>
        <v/>
      </c>
      <c r="CH6" s="241">
        <f>CG$6+1</f>
        <v/>
      </c>
      <c r="CI6" s="241">
        <f>CH$6+1</f>
        <v/>
      </c>
      <c r="CJ6" s="241">
        <f>CI$6+1</f>
        <v/>
      </c>
      <c r="CK6" s="241">
        <f>CJ$6+1</f>
        <v/>
      </c>
      <c r="CL6" s="241">
        <f>CK$6+1</f>
        <v/>
      </c>
      <c r="CM6" s="241">
        <f>CL$6+1</f>
        <v/>
      </c>
      <c r="CN6" s="241">
        <f>CM$6+1</f>
        <v/>
      </c>
      <c r="CO6" s="241">
        <f>CN$6+1</f>
        <v/>
      </c>
      <c r="CP6" s="241">
        <f>CO$6+1</f>
        <v/>
      </c>
      <c r="CQ6" s="241">
        <f>CP$6+1</f>
        <v/>
      </c>
      <c r="CR6" s="241">
        <f>CQ$6+1</f>
        <v/>
      </c>
      <c r="CS6" s="241">
        <f>CR$6+1</f>
        <v/>
      </c>
      <c r="CT6" s="241">
        <f>CS$6+1</f>
        <v/>
      </c>
      <c r="CU6" s="241">
        <f>CT$6+1</f>
        <v/>
      </c>
      <c r="CV6" s="241">
        <f>CU$6+1</f>
        <v/>
      </c>
      <c r="CW6" s="241">
        <f>CV$6+1</f>
        <v/>
      </c>
      <c r="CX6" s="241">
        <f>CW$6+1</f>
        <v/>
      </c>
      <c r="CY6" s="241">
        <f>CX$6+1</f>
        <v/>
      </c>
      <c r="CZ6" s="241">
        <f>CY$6+1</f>
        <v/>
      </c>
      <c r="DA6" s="241">
        <f>CZ$6+1</f>
        <v/>
      </c>
      <c r="DB6" s="241">
        <f>DA$6+1</f>
        <v/>
      </c>
      <c r="DC6" s="241">
        <f>DB$6+1</f>
        <v/>
      </c>
      <c r="DD6" s="241">
        <f>DC$6+1</f>
        <v/>
      </c>
      <c r="DE6" s="241">
        <f>DD$6+1</f>
        <v/>
      </c>
      <c r="DF6" s="241">
        <f>DE$6+1</f>
        <v/>
      </c>
      <c r="DG6" s="241">
        <f>DF$6+1</f>
        <v/>
      </c>
      <c r="DH6" s="241">
        <f>DG$6+1</f>
        <v/>
      </c>
      <c r="DI6" s="241">
        <f>DH$6+1</f>
        <v/>
      </c>
      <c r="DJ6" s="241">
        <f>DI$6+1</f>
        <v/>
      </c>
      <c r="DK6" s="241">
        <f>DJ$6+1</f>
        <v/>
      </c>
      <c r="DL6" s="241">
        <f>DK$6+1</f>
        <v/>
      </c>
      <c r="DM6" s="241">
        <f>DL$6+1</f>
        <v/>
      </c>
      <c r="DN6" s="241">
        <f>DM$6+1</f>
        <v/>
      </c>
      <c r="DO6" s="241">
        <f>DN$6+1</f>
        <v/>
      </c>
      <c r="DP6" s="241">
        <f>DO$6+1</f>
        <v/>
      </c>
      <c r="DQ6" s="241">
        <f>DP$6+1</f>
        <v/>
      </c>
      <c r="DR6" s="241">
        <f>DQ$6+1</f>
        <v/>
      </c>
      <c r="DS6" s="241">
        <f>DR$6+1</f>
        <v/>
      </c>
      <c r="DT6" s="241">
        <f>DS$6+1</f>
        <v/>
      </c>
      <c r="DU6" s="241">
        <f>DT$6+1</f>
        <v/>
      </c>
      <c r="DV6" s="241">
        <f>DU$6+1</f>
        <v/>
      </c>
      <c r="DW6" s="241">
        <f>DV$6+1</f>
        <v/>
      </c>
      <c r="DX6" s="241">
        <f>DW$6+1</f>
        <v/>
      </c>
      <c r="DY6" s="241">
        <f>DX$6+1</f>
        <v/>
      </c>
      <c r="DZ6" s="241">
        <f>DY$6+1</f>
        <v/>
      </c>
      <c r="EA6" s="241">
        <f>DZ$6+1</f>
        <v/>
      </c>
      <c r="EB6" s="241">
        <f>EA$6+1</f>
        <v/>
      </c>
      <c r="EC6" s="241">
        <f>EB$6+1</f>
        <v/>
      </c>
      <c r="ED6" s="241">
        <f>EC$6+1</f>
        <v/>
      </c>
      <c r="EE6" s="241">
        <f>ED$6+1</f>
        <v/>
      </c>
      <c r="EF6" s="241">
        <f>EE$6+1</f>
        <v/>
      </c>
      <c r="EG6" s="241">
        <f>EF$6+1</f>
        <v/>
      </c>
      <c r="EH6" s="241">
        <f>EG$6+1</f>
        <v/>
      </c>
      <c r="EI6" s="241">
        <f>EH$6+1</f>
        <v/>
      </c>
      <c r="EJ6" s="241">
        <f>EI$6+1</f>
        <v/>
      </c>
      <c r="EK6" s="241">
        <f>EJ$6+1</f>
        <v/>
      </c>
      <c r="EL6" s="241">
        <f>EK$6+1</f>
        <v/>
      </c>
      <c r="EM6" s="241">
        <f>EL$6+1</f>
        <v/>
      </c>
      <c r="EN6" s="241">
        <f>EM$6+1</f>
        <v/>
      </c>
      <c r="EO6" s="241">
        <f>EN$6+1</f>
        <v/>
      </c>
      <c r="EP6" s="241">
        <f>EO$6+1</f>
        <v/>
      </c>
      <c r="EQ6" s="241">
        <f>EP$6+1</f>
        <v/>
      </c>
      <c r="ER6" s="241">
        <f>EQ$6+1</f>
        <v/>
      </c>
      <c r="ES6" s="241">
        <f>ER$6+1</f>
        <v/>
      </c>
      <c r="ET6" s="241">
        <f>ES$6+1</f>
        <v/>
      </c>
      <c r="EU6" s="241">
        <f>ET$6+1</f>
        <v/>
      </c>
      <c r="EV6" s="241">
        <f>EU$6+1</f>
        <v/>
      </c>
      <c r="EW6" s="241">
        <f>EV$6+1</f>
        <v/>
      </c>
      <c r="EX6" s="241">
        <f>EW$6+1</f>
        <v/>
      </c>
      <c r="EY6" s="241">
        <f>EX$6+1</f>
        <v/>
      </c>
      <c r="EZ6" s="241">
        <f>EY$6+1</f>
        <v/>
      </c>
      <c r="FA6" s="241">
        <f>EZ$6+1</f>
        <v/>
      </c>
      <c r="FB6" s="241">
        <f>FA$6+1</f>
        <v/>
      </c>
      <c r="FC6" s="241">
        <f>FB$6+1</f>
        <v/>
      </c>
      <c r="FD6" s="241">
        <f>FC$6+1</f>
        <v/>
      </c>
      <c r="FE6" s="241">
        <f>FD$6+1</f>
        <v/>
      </c>
      <c r="FF6" s="241">
        <f>FE$6+1</f>
        <v/>
      </c>
      <c r="FG6" s="241">
        <f>FF$6+1</f>
        <v/>
      </c>
      <c r="FH6" s="241">
        <f>FG$6+1</f>
        <v/>
      </c>
      <c r="FI6" s="241">
        <f>FH$6+1</f>
        <v/>
      </c>
      <c r="FJ6" s="241">
        <f>FI$6+1</f>
        <v/>
      </c>
      <c r="FK6" s="241">
        <f>FJ$6+1</f>
        <v/>
      </c>
      <c r="FL6" s="241">
        <f>FK$6+1</f>
        <v/>
      </c>
      <c r="FM6" s="241">
        <f>FL$6+1</f>
        <v/>
      </c>
      <c r="FN6" s="241">
        <f>FM$6+1</f>
        <v/>
      </c>
      <c r="FO6" s="241">
        <f>FN$6+1</f>
        <v/>
      </c>
      <c r="FP6" s="241">
        <f>FO$6+1</f>
        <v/>
      </c>
      <c r="FQ6" s="241">
        <f>FP$6+1</f>
        <v/>
      </c>
      <c r="FR6" s="241">
        <f>FQ$6+1</f>
        <v/>
      </c>
      <c r="FS6" s="241">
        <f>FR$6+1</f>
        <v/>
      </c>
      <c r="FT6" s="241">
        <f>FS$6+1</f>
        <v/>
      </c>
      <c r="FU6" s="241">
        <f>FT$6+1</f>
        <v/>
      </c>
      <c r="FV6" s="241">
        <f>FU$6+1</f>
        <v/>
      </c>
      <c r="FW6" s="241">
        <f>FV$6+1</f>
        <v/>
      </c>
      <c r="FX6" s="241">
        <f>FW$6+1</f>
        <v/>
      </c>
      <c r="FY6" s="241">
        <f>FX$6+1</f>
        <v/>
      </c>
      <c r="FZ6" s="241">
        <f>FY$6+1</f>
        <v/>
      </c>
      <c r="GA6" s="241">
        <f>FZ$6+1</f>
        <v/>
      </c>
      <c r="GB6" s="241">
        <f>GA$6+1</f>
        <v/>
      </c>
      <c r="GC6" s="241">
        <f>GB$6+1</f>
        <v/>
      </c>
      <c r="GD6" s="241">
        <f>GC$6+1</f>
        <v/>
      </c>
      <c r="GE6" s="241">
        <f>GD$6+1</f>
        <v/>
      </c>
      <c r="GF6" s="241">
        <f>GE$6+1</f>
        <v/>
      </c>
      <c r="GG6" s="241">
        <f>GF$6+1</f>
        <v/>
      </c>
      <c r="GH6" s="241">
        <f>GG$6+1</f>
        <v/>
      </c>
      <c r="GI6" s="241">
        <f>GH$6+1</f>
        <v/>
      </c>
      <c r="GJ6" s="241">
        <f>GI$6+1</f>
        <v/>
      </c>
      <c r="GK6" s="241">
        <f>GJ$6+1</f>
        <v/>
      </c>
      <c r="GL6" s="241">
        <f>GK$6+1</f>
        <v/>
      </c>
      <c r="GM6" s="241">
        <f>GL$6+1</f>
        <v/>
      </c>
      <c r="GN6" s="241">
        <f>GM$6+1</f>
        <v/>
      </c>
      <c r="GO6" s="241">
        <f>GN$6+1</f>
        <v/>
      </c>
      <c r="GP6" s="241">
        <f>GO$6+1</f>
        <v/>
      </c>
      <c r="GQ6" s="241">
        <f>GP$6+1</f>
        <v/>
      </c>
    </row>
    <row r="7" ht="17.65" customHeight="1" s="227">
      <c r="A7" s="101" t="n"/>
      <c r="B7" s="117" t="n"/>
      <c r="C7" s="117" t="n"/>
      <c r="D7" s="122" t="n"/>
      <c r="E7" s="99" t="n"/>
      <c r="F7" s="101" t="n"/>
      <c r="G7" s="101" t="n"/>
      <c r="H7" s="101" t="n"/>
      <c r="I7" s="101" t="n"/>
      <c r="J7" s="101" t="n"/>
      <c r="K7" s="127" t="inlineStr">
        <is>
          <t>Status</t>
        </is>
      </c>
      <c r="L7" s="127" t="n"/>
      <c r="M7" s="242">
        <f>IF(M2&lt;i_Setup!$U$25,"Actual","Forecast")</f>
        <v/>
      </c>
      <c r="N7" s="242">
        <f>IF(N2&lt;i_Setup!$U$25,"Actual","Forecast")</f>
        <v/>
      </c>
      <c r="O7" s="242">
        <f>IF(O2&lt;i_Setup!$U$25,"Actual","Forecast")</f>
        <v/>
      </c>
      <c r="P7" s="242">
        <f>IF(P2&lt;i_Setup!$U$25,"Actual","Forecast")</f>
        <v/>
      </c>
      <c r="Q7" s="242">
        <f>IF(Q2&lt;i_Setup!$U$25,"Actual","Forecast")</f>
        <v/>
      </c>
      <c r="R7" s="243" t="n"/>
      <c r="S7" s="243" t="n"/>
      <c r="T7" s="242">
        <f>IF(T2&lt;i_Setup!$U$25,"Actual","Forecast")</f>
        <v/>
      </c>
      <c r="U7" s="242">
        <f>IF(U2&lt;i_Setup!$U$25,"Actual","Forecast")</f>
        <v/>
      </c>
      <c r="V7" s="242">
        <f>IF(V2&lt;i_Setup!$U$25,"Actual","Forecast")</f>
        <v/>
      </c>
      <c r="W7" s="242">
        <f>IF(W2&lt;i_Setup!$U$25,"Actual","Forecast")</f>
        <v/>
      </c>
      <c r="X7" s="242">
        <f>IF(X2&lt;i_Setup!$U$25,"Actual","Forecast")</f>
        <v/>
      </c>
      <c r="Y7" s="242">
        <f>IF(Y2&lt;i_Setup!$U$25,"Actual","Forecast")</f>
        <v/>
      </c>
      <c r="Z7" s="242">
        <f>IF(Z2&lt;i_Setup!$U$25,"Actual","Forecast")</f>
        <v/>
      </c>
      <c r="AA7" s="242">
        <f>IF(AA2&lt;i_Setup!$U$25,"Actual","Forecast")</f>
        <v/>
      </c>
      <c r="AB7" s="242">
        <f>IF(AB2&lt;i_Setup!$U$25,"Actual","Forecast")</f>
        <v/>
      </c>
      <c r="AC7" s="242">
        <f>IF(AC2&lt;i_Setup!$U$25,"Actual","Forecast")</f>
        <v/>
      </c>
      <c r="AD7" s="242">
        <f>IF(AD2&lt;i_Setup!$U$25,"Actual","Forecast")</f>
        <v/>
      </c>
      <c r="AE7" s="242">
        <f>IF(AE2&lt;i_Setup!$U$25,"Actual","Forecast")</f>
        <v/>
      </c>
      <c r="AF7" s="242">
        <f>IF(AF2&lt;i_Setup!$U$25,"Actual","Forecast")</f>
        <v/>
      </c>
      <c r="AG7" s="242">
        <f>IF(AG2&lt;i_Setup!$U$25,"Actual","Forecast")</f>
        <v/>
      </c>
      <c r="AH7" s="242">
        <f>IF(AH2&lt;i_Setup!$U$25,"Actual","Forecast")</f>
        <v/>
      </c>
      <c r="AI7" s="242">
        <f>IF(AI2&lt;i_Setup!$U$25,"Actual","Forecast")</f>
        <v/>
      </c>
      <c r="AJ7" s="242">
        <f>IF(AJ2&lt;i_Setup!$U$25,"Actual","Forecast")</f>
        <v/>
      </c>
      <c r="AK7" s="242">
        <f>IF(AK2&lt;i_Setup!$U$25,"Actual","Forecast")</f>
        <v/>
      </c>
      <c r="AL7" s="242">
        <f>IF(AL2&lt;i_Setup!$U$25,"Actual","Forecast")</f>
        <v/>
      </c>
      <c r="AM7" s="242">
        <f>IF(AM2&lt;i_Setup!$U$25,"Actual","Forecast")</f>
        <v/>
      </c>
      <c r="AN7" s="242">
        <f>IF(AN2&lt;i_Setup!$U$25,"Actual","Forecast")</f>
        <v/>
      </c>
      <c r="AO7" s="242">
        <f>IF(AO2&lt;i_Setup!$U$25,"Actual","Forecast")</f>
        <v/>
      </c>
      <c r="AP7" s="242">
        <f>IF(AP2&lt;i_Setup!$U$25,"Actual","Forecast")</f>
        <v/>
      </c>
      <c r="AQ7" s="242">
        <f>IF(AQ2&lt;i_Setup!$U$25,"Actual","Forecast")</f>
        <v/>
      </c>
      <c r="AR7" s="242">
        <f>IF(AR2&lt;i_Setup!$U$25,"Actual","Forecast")</f>
        <v/>
      </c>
      <c r="AS7" s="242">
        <f>IF(AS2&lt;i_Setup!$U$25,"Actual","Forecast")</f>
        <v/>
      </c>
      <c r="AT7" s="242">
        <f>IF(AT2&lt;i_Setup!$U$25,"Actual","Forecast")</f>
        <v/>
      </c>
      <c r="AU7" s="242">
        <f>IF(AU2&lt;i_Setup!$U$25,"Actual","Forecast")</f>
        <v/>
      </c>
      <c r="AV7" s="242">
        <f>IF(AV2&lt;i_Setup!$U$25,"Actual","Forecast")</f>
        <v/>
      </c>
      <c r="AW7" s="242">
        <f>IF(AW2&lt;i_Setup!$U$25,"Actual","Forecast")</f>
        <v/>
      </c>
      <c r="AX7" s="242">
        <f>IF(AX2&lt;i_Setup!$U$25,"Actual","Forecast")</f>
        <v/>
      </c>
      <c r="AY7" s="242">
        <f>IF(AY2&lt;i_Setup!$U$25,"Actual","Forecast")</f>
        <v/>
      </c>
      <c r="AZ7" s="242">
        <f>IF(AZ2&lt;i_Setup!$U$25,"Actual","Forecast")</f>
        <v/>
      </c>
      <c r="BA7" s="242">
        <f>IF(BA2&lt;i_Setup!$U$25,"Actual","Forecast")</f>
        <v/>
      </c>
      <c r="BB7" s="242">
        <f>IF(BB2&lt;i_Setup!$U$25,"Actual","Forecast")</f>
        <v/>
      </c>
      <c r="BC7" s="242">
        <f>IF(BC2&lt;i_Setup!$U$25,"Actual","Forecast")</f>
        <v/>
      </c>
      <c r="BD7" s="242">
        <f>IF(BD2&lt;i_Setup!$U$25,"Actual","Forecast")</f>
        <v/>
      </c>
      <c r="BE7" s="242">
        <f>IF(BE2&lt;i_Setup!$U$25,"Actual","Forecast")</f>
        <v/>
      </c>
      <c r="BF7" s="242">
        <f>IF(BF2&lt;i_Setup!$U$25,"Actual","Forecast")</f>
        <v/>
      </c>
      <c r="BG7" s="242">
        <f>IF(BG2&lt;i_Setup!$U$25,"Actual","Forecast")</f>
        <v/>
      </c>
      <c r="BH7" s="242">
        <f>IF(BH2&lt;i_Setup!$U$25,"Actual","Forecast")</f>
        <v/>
      </c>
      <c r="BI7" s="242">
        <f>IF(BI2&lt;i_Setup!$U$25,"Actual","Forecast")</f>
        <v/>
      </c>
      <c r="BJ7" s="242">
        <f>IF(BJ2&lt;i_Setup!$U$25,"Actual","Forecast")</f>
        <v/>
      </c>
      <c r="BK7" s="242">
        <f>IF(BK2&lt;i_Setup!$U$25,"Actual","Forecast")</f>
        <v/>
      </c>
      <c r="BL7" s="242">
        <f>IF(BL2&lt;i_Setup!$U$25,"Actual","Forecast")</f>
        <v/>
      </c>
      <c r="BM7" s="242">
        <f>IF(BM2&lt;i_Setup!$U$25,"Actual","Forecast")</f>
        <v/>
      </c>
      <c r="BN7" s="242">
        <f>IF(BN2&lt;i_Setup!$U$25,"Actual","Forecast")</f>
        <v/>
      </c>
      <c r="BO7" s="242">
        <f>IF(BO2&lt;i_Setup!$U$25,"Actual","Forecast")</f>
        <v/>
      </c>
      <c r="BP7" s="242">
        <f>IF(BP2&lt;i_Setup!$U$25,"Actual","Forecast")</f>
        <v/>
      </c>
      <c r="BQ7" s="242">
        <f>IF(BQ2&lt;i_Setup!$U$25,"Actual","Forecast")</f>
        <v/>
      </c>
      <c r="BR7" s="242">
        <f>IF(BR2&lt;i_Setup!$U$25,"Actual","Forecast")</f>
        <v/>
      </c>
      <c r="BS7" s="242">
        <f>IF(BS2&lt;i_Setup!$U$25,"Actual","Forecast")</f>
        <v/>
      </c>
      <c r="BT7" s="242">
        <f>IF(BT2&lt;i_Setup!$U$25,"Actual","Forecast")</f>
        <v/>
      </c>
      <c r="BU7" s="242">
        <f>IF(BU2&lt;i_Setup!$U$25,"Actual","Forecast")</f>
        <v/>
      </c>
      <c r="BV7" s="242">
        <f>IF(BV2&lt;i_Setup!$U$25,"Actual","Forecast")</f>
        <v/>
      </c>
      <c r="BW7" s="242">
        <f>IF(BW2&lt;i_Setup!$U$25,"Actual","Forecast")</f>
        <v/>
      </c>
      <c r="BX7" s="242">
        <f>IF(BX2&lt;i_Setup!$U$25,"Actual","Forecast")</f>
        <v/>
      </c>
      <c r="BY7" s="242">
        <f>IF(BY2&lt;i_Setup!$U$25,"Actual","Forecast")</f>
        <v/>
      </c>
      <c r="BZ7" s="242">
        <f>IF(BZ2&lt;i_Setup!$U$25,"Actual","Forecast")</f>
        <v/>
      </c>
      <c r="CA7" s="242">
        <f>IF(CA2&lt;i_Setup!$U$25,"Actual","Forecast")</f>
        <v/>
      </c>
      <c r="CB7" s="235" t="n"/>
      <c r="CC7" s="235" t="n"/>
      <c r="CD7" s="235" t="n"/>
      <c r="CE7" s="235" t="n"/>
      <c r="CF7" s="235" t="n"/>
      <c r="CG7" s="235" t="n"/>
      <c r="CH7" s="235" t="n"/>
      <c r="CI7" s="235" t="n"/>
      <c r="CJ7" s="235" t="n"/>
      <c r="CK7" s="235" t="n"/>
      <c r="CL7" s="235" t="n"/>
      <c r="CM7" s="235" t="n"/>
      <c r="CN7" s="235" t="n"/>
      <c r="CO7" s="235" t="n"/>
      <c r="CP7" s="235" t="n"/>
      <c r="CQ7" s="235" t="n"/>
      <c r="CR7" s="235" t="n"/>
      <c r="CS7" s="235" t="n"/>
      <c r="CT7" s="235" t="n"/>
      <c r="CU7" s="235" t="n"/>
      <c r="CV7" s="235" t="n"/>
      <c r="CW7" s="235" t="n"/>
      <c r="CX7" s="235" t="n"/>
      <c r="CY7" s="235" t="n"/>
      <c r="CZ7" s="235" t="n"/>
      <c r="DA7" s="235" t="n"/>
      <c r="DB7" s="235" t="n"/>
      <c r="DC7" s="235" t="n"/>
      <c r="DD7" s="235" t="n"/>
      <c r="DE7" s="235" t="n"/>
      <c r="DF7" s="235" t="n"/>
      <c r="DG7" s="235" t="n"/>
      <c r="DH7" s="235" t="n"/>
      <c r="DI7" s="235" t="n"/>
      <c r="DJ7" s="235" t="n"/>
      <c r="DK7" s="235" t="n"/>
      <c r="DL7" s="235" t="n"/>
      <c r="DM7" s="235" t="n"/>
      <c r="DN7" s="235" t="n"/>
      <c r="DO7" s="235" t="n"/>
      <c r="DP7" s="235" t="n"/>
      <c r="DQ7" s="235" t="n"/>
      <c r="DR7" s="235" t="n"/>
      <c r="DS7" s="235" t="n"/>
      <c r="DT7" s="235" t="n"/>
      <c r="DU7" s="235" t="n"/>
      <c r="DV7" s="235" t="n"/>
      <c r="DW7" s="235" t="n"/>
      <c r="DX7" s="235" t="n"/>
      <c r="DY7" s="235" t="n"/>
      <c r="DZ7" s="235" t="n"/>
      <c r="EA7" s="235" t="n"/>
      <c r="EB7" s="235" t="n"/>
      <c r="EC7" s="235" t="n"/>
      <c r="ED7" s="235" t="n"/>
      <c r="EE7" s="235" t="n"/>
      <c r="EF7" s="235" t="n"/>
      <c r="EG7" s="235" t="n"/>
      <c r="EH7" s="235" t="n"/>
      <c r="EI7" s="235" t="n"/>
      <c r="EJ7" s="235" t="n"/>
      <c r="EK7" s="235" t="n"/>
      <c r="EL7" s="235" t="n"/>
      <c r="EM7" s="235" t="n"/>
      <c r="EN7" s="235" t="n"/>
      <c r="EO7" s="235" t="n"/>
      <c r="EP7" s="235" t="n"/>
      <c r="EQ7" s="235" t="n"/>
      <c r="ER7" s="235" t="n"/>
      <c r="ES7" s="235" t="n"/>
      <c r="ET7" s="235" t="n"/>
      <c r="EU7" s="235" t="n"/>
      <c r="EV7" s="235" t="n"/>
      <c r="EW7" s="235" t="n"/>
      <c r="EX7" s="235" t="n"/>
      <c r="EY7" s="235" t="n"/>
      <c r="EZ7" s="235" t="n"/>
      <c r="FA7" s="235" t="n"/>
      <c r="FB7" s="235" t="n"/>
      <c r="FC7" s="235" t="n"/>
      <c r="FD7" s="235" t="n"/>
      <c r="FE7" s="235" t="n"/>
      <c r="FF7" s="235" t="n"/>
      <c r="FG7" s="235" t="n"/>
      <c r="FH7" s="235" t="n"/>
      <c r="FI7" s="235" t="n"/>
      <c r="FJ7" s="235" t="n"/>
      <c r="FK7" s="235" t="n"/>
      <c r="FL7" s="235" t="n"/>
      <c r="FM7" s="235" t="n"/>
      <c r="FN7" s="235" t="n"/>
      <c r="FO7" s="235" t="n"/>
      <c r="FP7" s="235" t="n"/>
      <c r="FQ7" s="235" t="n"/>
      <c r="FR7" s="235" t="n"/>
      <c r="FS7" s="235" t="n"/>
      <c r="FT7" s="235" t="n"/>
      <c r="FU7" s="235" t="n"/>
      <c r="FV7" s="235" t="n"/>
      <c r="FW7" s="235" t="n"/>
      <c r="FX7" s="235" t="n"/>
      <c r="FY7" s="235" t="n"/>
      <c r="FZ7" s="235" t="n"/>
      <c r="GA7" s="235" t="n"/>
      <c r="GB7" s="235" t="n"/>
      <c r="GC7" s="235" t="n"/>
      <c r="GD7" s="235" t="n"/>
      <c r="GE7" s="235" t="n"/>
      <c r="GF7" s="235" t="n"/>
      <c r="GG7" s="235" t="n"/>
      <c r="GH7" s="235" t="n"/>
      <c r="GI7" s="235" t="n"/>
      <c r="GJ7" s="235" t="n"/>
      <c r="GK7" s="235" t="n"/>
      <c r="GL7" s="235" t="n"/>
      <c r="GM7" s="235" t="n"/>
      <c r="GN7" s="235" t="n"/>
      <c r="GO7" s="235" t="n"/>
      <c r="GP7" s="235" t="n"/>
      <c r="GQ7" s="235" t="n"/>
    </row>
    <row r="8" ht="17.65" customHeight="1" s="227">
      <c r="A8" s="4" t="n"/>
      <c r="B8" s="4" t="n"/>
      <c r="T8" s="0" t="n"/>
    </row>
    <row r="9" ht="15.75" customFormat="1" customHeight="1" s="99">
      <c r="D9" s="99">
        <f>Heading1</f>
        <v/>
      </c>
      <c r="E9" s="99" t="inlineStr">
        <is>
          <t>Revenue</t>
        </is>
      </c>
    </row>
    <row r="10" ht="12" customHeight="1" s="227">
      <c r="A10" s="244" t="n"/>
      <c r="B10" s="244" t="n"/>
      <c r="C10" s="244" t="n"/>
    </row>
    <row r="11" ht="13.5" customFormat="1" customHeight="1" s="223" thickBot="1">
      <c r="E11" s="223">
        <f>Heading2</f>
        <v/>
      </c>
      <c r="F11" s="223" t="inlineStr">
        <is>
          <t>Revenue</t>
        </is>
      </c>
    </row>
    <row r="12" ht="12" customHeight="1" s="227">
      <c r="A12" s="244" t="n"/>
      <c r="B12" s="244" t="n"/>
      <c r="C12" s="244" t="n"/>
    </row>
    <row r="13" ht="12" customHeight="1" s="227">
      <c r="A13" s="244" t="n"/>
      <c r="B13" s="244" t="n"/>
      <c r="C13" s="244" t="n"/>
      <c r="G13" s="222" t="inlineStr">
        <is>
          <t>Number of Ships</t>
        </is>
      </c>
      <c r="K13" s="6" t="n"/>
    </row>
    <row r="14" ht="12" customHeight="1" s="227">
      <c r="A14" s="244" t="n"/>
      <c r="B14" s="244" t="n"/>
      <c r="C14" s="244" t="n"/>
      <c r="K14" s="6" t="n"/>
    </row>
    <row r="15" ht="12" customHeight="1" s="227">
      <c r="A15" s="244" t="n"/>
      <c r="B15" s="244" t="n"/>
      <c r="C15" s="244" t="n"/>
      <c r="H15" s="4">
        <f>i_Setup!U32</f>
        <v/>
      </c>
      <c r="I15" s="27" t="inlineStr">
        <is>
          <t>no.</t>
        </is>
      </c>
      <c r="K15" s="259">
        <f>i_Assumptions!K15</f>
        <v/>
      </c>
      <c r="M15" s="257">
        <f>IF($K15="Monthly",0,i_Assumptions!M15)</f>
        <v/>
      </c>
      <c r="N15" s="257">
        <f>IF($K15="Monthly",0,i_Assumptions!N15)</f>
        <v/>
      </c>
      <c r="O15" s="257">
        <f>IF($K15="Monthly",0,i_Assumptions!O15)</f>
        <v/>
      </c>
      <c r="P15" s="257">
        <f>IF($K15="Monthly",0,i_Assumptions!P15)</f>
        <v/>
      </c>
      <c r="Q15" s="257">
        <f>IF($K15="Monthly",0,i_Assumptions!Q15)</f>
        <v/>
      </c>
      <c r="T15" s="257">
        <f>IF(T$7="Actual",0,IF($K15="Monthly",i_Assumptions!T15,INDEX($M15:$Q15,,MATCH(T$4,$M$4:$Q$4,0))))</f>
        <v/>
      </c>
      <c r="U15" s="257">
        <f>IF(U$7="Actual",0,IF($K15="Monthly",i_Assumptions!U15,INDEX($M15:$Q15,,MATCH(U$4,$M$4:$Q$4,0))))</f>
        <v/>
      </c>
      <c r="V15" s="257">
        <f>IF(V$7="Actual",0,IF($K15="Monthly",i_Assumptions!V15,INDEX($M15:$Q15,,MATCH(V$4,$M$4:$Q$4,0))))</f>
        <v/>
      </c>
      <c r="W15" s="257">
        <f>IF(W$7="Actual",0,IF($K15="Monthly",i_Assumptions!W15,INDEX($M15:$Q15,,MATCH(W$4,$M$4:$Q$4,0))))</f>
        <v/>
      </c>
      <c r="X15" s="257">
        <f>IF(X$7="Actual",0,IF($K15="Monthly",i_Assumptions!X15,INDEX($M15:$Q15,,MATCH(X$4,$M$4:$Q$4,0))))</f>
        <v/>
      </c>
      <c r="Y15" s="257">
        <f>IF(Y$7="Actual",0,IF($K15="Monthly",i_Assumptions!Y15,INDEX($M15:$Q15,,MATCH(Y$4,$M$4:$Q$4,0))))</f>
        <v/>
      </c>
      <c r="Z15" s="257">
        <f>IF(Z$7="Actual",0,IF($K15="Monthly",i_Assumptions!Z15,INDEX($M15:$Q15,,MATCH(Z$4,$M$4:$Q$4,0))))</f>
        <v/>
      </c>
      <c r="AA15" s="257">
        <f>IF(AA$7="Actual",0,IF($K15="Monthly",i_Assumptions!AA15,INDEX($M15:$Q15,,MATCH(AA$4,$M$4:$Q$4,0))))</f>
        <v/>
      </c>
      <c r="AB15" s="257">
        <f>IF(AB$7="Actual",0,IF($K15="Monthly",i_Assumptions!AB15,INDEX($M15:$Q15,,MATCH(AB$4,$M$4:$Q$4,0))))</f>
        <v/>
      </c>
      <c r="AC15" s="257">
        <f>IF(AC$7="Actual",0,IF($K15="Monthly",i_Assumptions!AC15,INDEX($M15:$Q15,,MATCH(AC$4,$M$4:$Q$4,0))))</f>
        <v/>
      </c>
      <c r="AD15" s="257">
        <f>IF(AD$7="Actual",0,IF($K15="Monthly",i_Assumptions!AD15,INDEX($M15:$Q15,,MATCH(AD$4,$M$4:$Q$4,0))))</f>
        <v/>
      </c>
      <c r="AE15" s="257">
        <f>IF(AE$7="Actual",0,IF($K15="Monthly",i_Assumptions!AE15,INDEX($M15:$Q15,,MATCH(AE$4,$M$4:$Q$4,0))))</f>
        <v/>
      </c>
      <c r="AF15" s="257">
        <f>IF(AF$7="Actual",0,IF($K15="Monthly",i_Assumptions!AF15,INDEX($M15:$Q15,,MATCH(AF$4,$M$4:$Q$4,0))))</f>
        <v/>
      </c>
      <c r="AG15" s="257">
        <f>IF(AG$7="Actual",0,IF($K15="Monthly",i_Assumptions!AG15,INDEX($M15:$Q15,,MATCH(AG$4,$M$4:$Q$4,0))))</f>
        <v/>
      </c>
      <c r="AH15" s="257">
        <f>IF(AH$7="Actual",0,IF($K15="Monthly",i_Assumptions!AH15,INDEX($M15:$Q15,,MATCH(AH$4,$M$4:$Q$4,0))))</f>
        <v/>
      </c>
      <c r="AI15" s="257">
        <f>IF(AI$7="Actual",0,IF($K15="Monthly",i_Assumptions!AI15,INDEX($M15:$Q15,,MATCH(AI$4,$M$4:$Q$4,0))))</f>
        <v/>
      </c>
      <c r="AJ15" s="257">
        <f>IF(AJ$7="Actual",0,IF($K15="Monthly",i_Assumptions!AJ15,INDEX($M15:$Q15,,MATCH(AJ$4,$M$4:$Q$4,0))))</f>
        <v/>
      </c>
      <c r="AK15" s="257">
        <f>IF(AK$7="Actual",0,IF($K15="Monthly",i_Assumptions!AK15,INDEX($M15:$Q15,,MATCH(AK$4,$M$4:$Q$4,0))))</f>
        <v/>
      </c>
      <c r="AL15" s="257">
        <f>IF(AL$7="Actual",0,IF($K15="Monthly",i_Assumptions!AL15,INDEX($M15:$Q15,,MATCH(AL$4,$M$4:$Q$4,0))))</f>
        <v/>
      </c>
      <c r="AM15" s="257">
        <f>IF(AM$7="Actual",0,IF($K15="Monthly",i_Assumptions!AM15,INDEX($M15:$Q15,,MATCH(AM$4,$M$4:$Q$4,0))))</f>
        <v/>
      </c>
      <c r="AN15" s="257">
        <f>IF(AN$7="Actual",0,IF($K15="Monthly",i_Assumptions!AN15,INDEX($M15:$Q15,,MATCH(AN$4,$M$4:$Q$4,0))))</f>
        <v/>
      </c>
      <c r="AO15" s="257">
        <f>IF(AO$7="Actual",0,IF($K15="Monthly",i_Assumptions!AO15,INDEX($M15:$Q15,,MATCH(AO$4,$M$4:$Q$4,0))))</f>
        <v/>
      </c>
      <c r="AP15" s="257">
        <f>IF(AP$7="Actual",0,IF($K15="Monthly",i_Assumptions!AP15,INDEX($M15:$Q15,,MATCH(AP$4,$M$4:$Q$4,0))))</f>
        <v/>
      </c>
      <c r="AQ15" s="257">
        <f>IF(AQ$7="Actual",0,IF($K15="Monthly",i_Assumptions!AQ15,INDEX($M15:$Q15,,MATCH(AQ$4,$M$4:$Q$4,0))))</f>
        <v/>
      </c>
      <c r="AR15" s="257">
        <f>IF(AR$7="Actual",0,IF($K15="Monthly",i_Assumptions!AR15,INDEX($M15:$Q15,,MATCH(AR$4,$M$4:$Q$4,0))))</f>
        <v/>
      </c>
      <c r="AS15" s="257">
        <f>IF(AS$7="Actual",0,IF($K15="Monthly",i_Assumptions!AS15,INDEX($M15:$Q15,,MATCH(AS$4,$M$4:$Q$4,0))))</f>
        <v/>
      </c>
      <c r="AT15" s="257">
        <f>IF(AT$7="Actual",0,IF($K15="Monthly",i_Assumptions!AT15,INDEX($M15:$Q15,,MATCH(AT$4,$M$4:$Q$4,0))))</f>
        <v/>
      </c>
      <c r="AU15" s="257">
        <f>IF(AU$7="Actual",0,IF($K15="Monthly",i_Assumptions!AU15,INDEX($M15:$Q15,,MATCH(AU$4,$M$4:$Q$4,0))))</f>
        <v/>
      </c>
      <c r="AV15" s="257">
        <f>IF(AV$7="Actual",0,IF($K15="Monthly",i_Assumptions!AV15,INDEX($M15:$Q15,,MATCH(AV$4,$M$4:$Q$4,0))))</f>
        <v/>
      </c>
      <c r="AW15" s="257">
        <f>IF(AW$7="Actual",0,IF($K15="Monthly",i_Assumptions!AW15,INDEX($M15:$Q15,,MATCH(AW$4,$M$4:$Q$4,0))))</f>
        <v/>
      </c>
      <c r="AX15" s="257">
        <f>IF(AX$7="Actual",0,IF($K15="Monthly",i_Assumptions!AX15,INDEX($M15:$Q15,,MATCH(AX$4,$M$4:$Q$4,0))))</f>
        <v/>
      </c>
      <c r="AY15" s="257">
        <f>IF(AY$7="Actual",0,IF($K15="Monthly",i_Assumptions!AY15,INDEX($M15:$Q15,,MATCH(AY$4,$M$4:$Q$4,0))))</f>
        <v/>
      </c>
      <c r="AZ15" s="257">
        <f>IF(AZ$7="Actual",0,IF($K15="Monthly",i_Assumptions!AZ15,INDEX($M15:$Q15,,MATCH(AZ$4,$M$4:$Q$4,0))))</f>
        <v/>
      </c>
      <c r="BA15" s="257">
        <f>IF(BA$7="Actual",0,IF($K15="Monthly",i_Assumptions!BA15,INDEX($M15:$Q15,,MATCH(BA$4,$M$4:$Q$4,0))))</f>
        <v/>
      </c>
      <c r="BB15" s="257">
        <f>IF(BB$7="Actual",0,IF($K15="Monthly",i_Assumptions!BB15,INDEX($M15:$Q15,,MATCH(BB$4,$M$4:$Q$4,0))))</f>
        <v/>
      </c>
      <c r="BC15" s="257">
        <f>IF(BC$7="Actual",0,IF($K15="Monthly",i_Assumptions!BC15,INDEX($M15:$Q15,,MATCH(BC$4,$M$4:$Q$4,0))))</f>
        <v/>
      </c>
      <c r="BD15" s="257">
        <f>IF(BD$7="Actual",0,IF($K15="Monthly",i_Assumptions!BD15,INDEX($M15:$Q15,,MATCH(BD$4,$M$4:$Q$4,0))))</f>
        <v/>
      </c>
      <c r="BE15" s="257">
        <f>IF(BE$7="Actual",0,IF($K15="Monthly",i_Assumptions!BE15,INDEX($M15:$Q15,,MATCH(BE$4,$M$4:$Q$4,0))))</f>
        <v/>
      </c>
      <c r="BF15" s="257">
        <f>IF(BF$7="Actual",0,IF($K15="Monthly",i_Assumptions!BF15,INDEX($M15:$Q15,,MATCH(BF$4,$M$4:$Q$4,0))))</f>
        <v/>
      </c>
      <c r="BG15" s="257">
        <f>IF(BG$7="Actual",0,IF($K15="Monthly",i_Assumptions!BG15,INDEX($M15:$Q15,,MATCH(BG$4,$M$4:$Q$4,0))))</f>
        <v/>
      </c>
      <c r="BH15" s="257">
        <f>IF(BH$7="Actual",0,IF($K15="Monthly",i_Assumptions!BH15,INDEX($M15:$Q15,,MATCH(BH$4,$M$4:$Q$4,0))))</f>
        <v/>
      </c>
      <c r="BI15" s="257">
        <f>IF(BI$7="Actual",0,IF($K15="Monthly",i_Assumptions!BI15,INDEX($M15:$Q15,,MATCH(BI$4,$M$4:$Q$4,0))))</f>
        <v/>
      </c>
      <c r="BJ15" s="257">
        <f>IF(BJ$7="Actual",0,IF($K15="Monthly",i_Assumptions!BJ15,INDEX($M15:$Q15,,MATCH(BJ$4,$M$4:$Q$4,0))))</f>
        <v/>
      </c>
      <c r="BK15" s="257">
        <f>IF(BK$7="Actual",0,IF($K15="Monthly",i_Assumptions!BK15,INDEX($M15:$Q15,,MATCH(BK$4,$M$4:$Q$4,0))))</f>
        <v/>
      </c>
      <c r="BL15" s="257">
        <f>IF(BL$7="Actual",0,IF($K15="Monthly",i_Assumptions!BL15,INDEX($M15:$Q15,,MATCH(BL$4,$M$4:$Q$4,0))))</f>
        <v/>
      </c>
      <c r="BM15" s="257">
        <f>IF(BM$7="Actual",0,IF($K15="Monthly",i_Assumptions!BM15,INDEX($M15:$Q15,,MATCH(BM$4,$M$4:$Q$4,0))))</f>
        <v/>
      </c>
      <c r="BN15" s="257">
        <f>IF(BN$7="Actual",0,IF($K15="Monthly",i_Assumptions!BN15,INDEX($M15:$Q15,,MATCH(BN$4,$M$4:$Q$4,0))))</f>
        <v/>
      </c>
      <c r="BO15" s="257">
        <f>IF(BO$7="Actual",0,IF($K15="Monthly",i_Assumptions!BO15,INDEX($M15:$Q15,,MATCH(BO$4,$M$4:$Q$4,0))))</f>
        <v/>
      </c>
      <c r="BP15" s="257">
        <f>IF(BP$7="Actual",0,IF($K15="Monthly",i_Assumptions!BP15,INDEX($M15:$Q15,,MATCH(BP$4,$M$4:$Q$4,0))))</f>
        <v/>
      </c>
      <c r="BQ15" s="257">
        <f>IF(BQ$7="Actual",0,IF($K15="Monthly",i_Assumptions!BQ15,INDEX($M15:$Q15,,MATCH(BQ$4,$M$4:$Q$4,0))))</f>
        <v/>
      </c>
      <c r="BR15" s="257">
        <f>IF(BR$7="Actual",0,IF($K15="Monthly",i_Assumptions!BR15,INDEX($M15:$Q15,,MATCH(BR$4,$M$4:$Q$4,0))))</f>
        <v/>
      </c>
      <c r="BS15" s="257">
        <f>IF(BS$7="Actual",0,IF($K15="Monthly",i_Assumptions!BS15,INDEX($M15:$Q15,,MATCH(BS$4,$M$4:$Q$4,0))))</f>
        <v/>
      </c>
      <c r="BT15" s="257">
        <f>IF(BT$7="Actual",0,IF($K15="Monthly",i_Assumptions!BT15,INDEX($M15:$Q15,,MATCH(BT$4,$M$4:$Q$4,0))))</f>
        <v/>
      </c>
      <c r="BU15" s="257">
        <f>IF(BU$7="Actual",0,IF($K15="Monthly",i_Assumptions!BU15,INDEX($M15:$Q15,,MATCH(BU$4,$M$4:$Q$4,0))))</f>
        <v/>
      </c>
      <c r="BV15" s="257">
        <f>IF(BV$7="Actual",0,IF($K15="Monthly",i_Assumptions!BV15,INDEX($M15:$Q15,,MATCH(BV$4,$M$4:$Q$4,0))))</f>
        <v/>
      </c>
      <c r="BW15" s="257">
        <f>IF(BW$7="Actual",0,IF($K15="Monthly",i_Assumptions!BW15,INDEX($M15:$Q15,,MATCH(BW$4,$M$4:$Q$4,0))))</f>
        <v/>
      </c>
      <c r="BX15" s="257">
        <f>IF(BX$7="Actual",0,IF($K15="Monthly",i_Assumptions!BX15,INDEX($M15:$Q15,,MATCH(BX$4,$M$4:$Q$4,0))))</f>
        <v/>
      </c>
      <c r="BY15" s="257">
        <f>IF(BY$7="Actual",0,IF($K15="Monthly",i_Assumptions!BY15,INDEX($M15:$Q15,,MATCH(BY$4,$M$4:$Q$4,0))))</f>
        <v/>
      </c>
      <c r="BZ15" s="257">
        <f>IF(BZ$7="Actual",0,IF($K15="Monthly",i_Assumptions!BZ15,INDEX($M15:$Q15,,MATCH(BZ$4,$M$4:$Q$4,0))))</f>
        <v/>
      </c>
      <c r="CA15" s="257">
        <f>IF(CA$7="Actual",0,IF($K15="Monthly",i_Assumptions!CA15,INDEX($M15:$Q15,,MATCH(CA$4,$M$4:$Q$4,0))))</f>
        <v/>
      </c>
    </row>
    <row r="16" ht="12" customHeight="1" s="227">
      <c r="A16" s="244" t="n"/>
      <c r="B16" s="244" t="n"/>
      <c r="C16" s="244" t="n"/>
      <c r="H16" s="4">
        <f>i_Setup!U33</f>
        <v/>
      </c>
      <c r="I16" s="27" t="inlineStr">
        <is>
          <t>no.</t>
        </is>
      </c>
      <c r="K16" s="259">
        <f>i_Assumptions!K16</f>
        <v/>
      </c>
      <c r="M16" s="257">
        <f>IF($K16="Monthly",0,i_Assumptions!M16)</f>
        <v/>
      </c>
      <c r="N16" s="257">
        <f>IF($K16="Monthly",0,i_Assumptions!N16)</f>
        <v/>
      </c>
      <c r="O16" s="257">
        <f>IF($K16="Monthly",0,i_Assumptions!O16)</f>
        <v/>
      </c>
      <c r="P16" s="257">
        <f>IF($K16="Monthly",0,i_Assumptions!P16)</f>
        <v/>
      </c>
      <c r="Q16" s="257">
        <f>IF($K16="Monthly",0,i_Assumptions!Q16)</f>
        <v/>
      </c>
      <c r="T16" s="257">
        <f>IF(T$7="Actual",0,IF($K16="Monthly",i_Assumptions!T16,INDEX($M16:$Q16,,MATCH(T$4,$M$4:$Q$4,0))))</f>
        <v/>
      </c>
      <c r="U16" s="257">
        <f>IF(U$7="Actual",0,IF($K16="Monthly",i_Assumptions!U16,INDEX($M16:$Q16,,MATCH(U$4,$M$4:$Q$4,0))))</f>
        <v/>
      </c>
      <c r="V16" s="257">
        <f>IF(V$7="Actual",0,IF($K16="Monthly",i_Assumptions!V16,INDEX($M16:$Q16,,MATCH(V$4,$M$4:$Q$4,0))))</f>
        <v/>
      </c>
      <c r="W16" s="257">
        <f>IF(W$7="Actual",0,IF($K16="Monthly",i_Assumptions!W16,INDEX($M16:$Q16,,MATCH(W$4,$M$4:$Q$4,0))))</f>
        <v/>
      </c>
      <c r="X16" s="257">
        <f>IF(X$7="Actual",0,IF($K16="Monthly",i_Assumptions!X16,INDEX($M16:$Q16,,MATCH(X$4,$M$4:$Q$4,0))))</f>
        <v/>
      </c>
      <c r="Y16" s="257">
        <f>IF(Y$7="Actual",0,IF($K16="Monthly",i_Assumptions!Y16,INDEX($M16:$Q16,,MATCH(Y$4,$M$4:$Q$4,0))))</f>
        <v/>
      </c>
      <c r="Z16" s="257">
        <f>IF(Z$7="Actual",0,IF($K16="Monthly",i_Assumptions!Z16,INDEX($M16:$Q16,,MATCH(Z$4,$M$4:$Q$4,0))))</f>
        <v/>
      </c>
      <c r="AA16" s="257">
        <f>IF(AA$7="Actual",0,IF($K16="Monthly",i_Assumptions!AA16,INDEX($M16:$Q16,,MATCH(AA$4,$M$4:$Q$4,0))))</f>
        <v/>
      </c>
      <c r="AB16" s="257">
        <f>IF(AB$7="Actual",0,IF($K16="Monthly",i_Assumptions!AB16,INDEX($M16:$Q16,,MATCH(AB$4,$M$4:$Q$4,0))))</f>
        <v/>
      </c>
      <c r="AC16" s="257">
        <f>IF(AC$7="Actual",0,IF($K16="Monthly",i_Assumptions!AC16,INDEX($M16:$Q16,,MATCH(AC$4,$M$4:$Q$4,0))))</f>
        <v/>
      </c>
      <c r="AD16" s="257">
        <f>IF(AD$7="Actual",0,IF($K16="Monthly",i_Assumptions!AD16,INDEX($M16:$Q16,,MATCH(AD$4,$M$4:$Q$4,0))))</f>
        <v/>
      </c>
      <c r="AE16" s="257">
        <f>IF(AE$7="Actual",0,IF($K16="Monthly",i_Assumptions!AE16,INDEX($M16:$Q16,,MATCH(AE$4,$M$4:$Q$4,0))))</f>
        <v/>
      </c>
      <c r="AF16" s="257">
        <f>IF(AF$7="Actual",0,IF($K16="Monthly",i_Assumptions!AF16,INDEX($M16:$Q16,,MATCH(AF$4,$M$4:$Q$4,0))))</f>
        <v/>
      </c>
      <c r="AG16" s="257">
        <f>IF(AG$7="Actual",0,IF($K16="Monthly",i_Assumptions!AG16,INDEX($M16:$Q16,,MATCH(AG$4,$M$4:$Q$4,0))))</f>
        <v/>
      </c>
      <c r="AH16" s="257">
        <f>IF(AH$7="Actual",0,IF($K16="Monthly",i_Assumptions!AH16,INDEX($M16:$Q16,,MATCH(AH$4,$M$4:$Q$4,0))))</f>
        <v/>
      </c>
      <c r="AI16" s="257">
        <f>IF(AI$7="Actual",0,IF($K16="Monthly",i_Assumptions!AI16,INDEX($M16:$Q16,,MATCH(AI$4,$M$4:$Q$4,0))))</f>
        <v/>
      </c>
      <c r="AJ16" s="257">
        <f>IF(AJ$7="Actual",0,IF($K16="Monthly",i_Assumptions!AJ16,INDEX($M16:$Q16,,MATCH(AJ$4,$M$4:$Q$4,0))))</f>
        <v/>
      </c>
      <c r="AK16" s="257">
        <f>IF(AK$7="Actual",0,IF($K16="Monthly",i_Assumptions!AK16,INDEX($M16:$Q16,,MATCH(AK$4,$M$4:$Q$4,0))))</f>
        <v/>
      </c>
      <c r="AL16" s="257">
        <f>IF(AL$7="Actual",0,IF($K16="Monthly",i_Assumptions!AL16,INDEX($M16:$Q16,,MATCH(AL$4,$M$4:$Q$4,0))))</f>
        <v/>
      </c>
      <c r="AM16" s="257">
        <f>IF(AM$7="Actual",0,IF($K16="Monthly",i_Assumptions!AM16,INDEX($M16:$Q16,,MATCH(AM$4,$M$4:$Q$4,0))))</f>
        <v/>
      </c>
      <c r="AN16" s="257">
        <f>IF(AN$7="Actual",0,IF($K16="Monthly",i_Assumptions!AN16,INDEX($M16:$Q16,,MATCH(AN$4,$M$4:$Q$4,0))))</f>
        <v/>
      </c>
      <c r="AO16" s="257">
        <f>IF(AO$7="Actual",0,IF($K16="Monthly",i_Assumptions!AO16,INDEX($M16:$Q16,,MATCH(AO$4,$M$4:$Q$4,0))))</f>
        <v/>
      </c>
      <c r="AP16" s="257">
        <f>IF(AP$7="Actual",0,IF($K16="Monthly",i_Assumptions!AP16,INDEX($M16:$Q16,,MATCH(AP$4,$M$4:$Q$4,0))))</f>
        <v/>
      </c>
      <c r="AQ16" s="257">
        <f>IF(AQ$7="Actual",0,IF($K16="Monthly",i_Assumptions!AQ16,INDEX($M16:$Q16,,MATCH(AQ$4,$M$4:$Q$4,0))))</f>
        <v/>
      </c>
      <c r="AR16" s="257">
        <f>IF(AR$7="Actual",0,IF($K16="Monthly",i_Assumptions!AR16,INDEX($M16:$Q16,,MATCH(AR$4,$M$4:$Q$4,0))))</f>
        <v/>
      </c>
      <c r="AS16" s="257">
        <f>IF(AS$7="Actual",0,IF($K16="Monthly",i_Assumptions!AS16,INDEX($M16:$Q16,,MATCH(AS$4,$M$4:$Q$4,0))))</f>
        <v/>
      </c>
      <c r="AT16" s="257">
        <f>IF(AT$7="Actual",0,IF($K16="Monthly",i_Assumptions!AT16,INDEX($M16:$Q16,,MATCH(AT$4,$M$4:$Q$4,0))))</f>
        <v/>
      </c>
      <c r="AU16" s="257">
        <f>IF(AU$7="Actual",0,IF($K16="Monthly",i_Assumptions!AU16,INDEX($M16:$Q16,,MATCH(AU$4,$M$4:$Q$4,0))))</f>
        <v/>
      </c>
      <c r="AV16" s="257">
        <f>IF(AV$7="Actual",0,IF($K16="Monthly",i_Assumptions!AV16,INDEX($M16:$Q16,,MATCH(AV$4,$M$4:$Q$4,0))))</f>
        <v/>
      </c>
      <c r="AW16" s="257">
        <f>IF(AW$7="Actual",0,IF($K16="Monthly",i_Assumptions!AW16,INDEX($M16:$Q16,,MATCH(AW$4,$M$4:$Q$4,0))))</f>
        <v/>
      </c>
      <c r="AX16" s="257">
        <f>IF(AX$7="Actual",0,IF($K16="Monthly",i_Assumptions!AX16,INDEX($M16:$Q16,,MATCH(AX$4,$M$4:$Q$4,0))))</f>
        <v/>
      </c>
      <c r="AY16" s="257">
        <f>IF(AY$7="Actual",0,IF($K16="Monthly",i_Assumptions!AY16,INDEX($M16:$Q16,,MATCH(AY$4,$M$4:$Q$4,0))))</f>
        <v/>
      </c>
      <c r="AZ16" s="257">
        <f>IF(AZ$7="Actual",0,IF($K16="Monthly",i_Assumptions!AZ16,INDEX($M16:$Q16,,MATCH(AZ$4,$M$4:$Q$4,0))))</f>
        <v/>
      </c>
      <c r="BA16" s="257">
        <f>IF(BA$7="Actual",0,IF($K16="Monthly",i_Assumptions!BA16,INDEX($M16:$Q16,,MATCH(BA$4,$M$4:$Q$4,0))))</f>
        <v/>
      </c>
      <c r="BB16" s="257">
        <f>IF(BB$7="Actual",0,IF($K16="Monthly",i_Assumptions!BB16,INDEX($M16:$Q16,,MATCH(BB$4,$M$4:$Q$4,0))))</f>
        <v/>
      </c>
      <c r="BC16" s="257">
        <f>IF(BC$7="Actual",0,IF($K16="Monthly",i_Assumptions!BC16,INDEX($M16:$Q16,,MATCH(BC$4,$M$4:$Q$4,0))))</f>
        <v/>
      </c>
      <c r="BD16" s="257">
        <f>IF(BD$7="Actual",0,IF($K16="Monthly",i_Assumptions!BD16,INDEX($M16:$Q16,,MATCH(BD$4,$M$4:$Q$4,0))))</f>
        <v/>
      </c>
      <c r="BE16" s="257">
        <f>IF(BE$7="Actual",0,IF($K16="Monthly",i_Assumptions!BE16,INDEX($M16:$Q16,,MATCH(BE$4,$M$4:$Q$4,0))))</f>
        <v/>
      </c>
      <c r="BF16" s="257">
        <f>IF(BF$7="Actual",0,IF($K16="Monthly",i_Assumptions!BF16,INDEX($M16:$Q16,,MATCH(BF$4,$M$4:$Q$4,0))))</f>
        <v/>
      </c>
      <c r="BG16" s="257">
        <f>IF(BG$7="Actual",0,IF($K16="Monthly",i_Assumptions!BG16,INDEX($M16:$Q16,,MATCH(BG$4,$M$4:$Q$4,0))))</f>
        <v/>
      </c>
      <c r="BH16" s="257">
        <f>IF(BH$7="Actual",0,IF($K16="Monthly",i_Assumptions!BH16,INDEX($M16:$Q16,,MATCH(BH$4,$M$4:$Q$4,0))))</f>
        <v/>
      </c>
      <c r="BI16" s="257">
        <f>IF(BI$7="Actual",0,IF($K16="Monthly",i_Assumptions!BI16,INDEX($M16:$Q16,,MATCH(BI$4,$M$4:$Q$4,0))))</f>
        <v/>
      </c>
      <c r="BJ16" s="257">
        <f>IF(BJ$7="Actual",0,IF($K16="Monthly",i_Assumptions!BJ16,INDEX($M16:$Q16,,MATCH(BJ$4,$M$4:$Q$4,0))))</f>
        <v/>
      </c>
      <c r="BK16" s="257">
        <f>IF(BK$7="Actual",0,IF($K16="Monthly",i_Assumptions!BK16,INDEX($M16:$Q16,,MATCH(BK$4,$M$4:$Q$4,0))))</f>
        <v/>
      </c>
      <c r="BL16" s="257">
        <f>IF(BL$7="Actual",0,IF($K16="Monthly",i_Assumptions!BL16,INDEX($M16:$Q16,,MATCH(BL$4,$M$4:$Q$4,0))))</f>
        <v/>
      </c>
      <c r="BM16" s="257">
        <f>IF(BM$7="Actual",0,IF($K16="Monthly",i_Assumptions!BM16,INDEX($M16:$Q16,,MATCH(BM$4,$M$4:$Q$4,0))))</f>
        <v/>
      </c>
      <c r="BN16" s="257">
        <f>IF(BN$7="Actual",0,IF($K16="Monthly",i_Assumptions!BN16,INDEX($M16:$Q16,,MATCH(BN$4,$M$4:$Q$4,0))))</f>
        <v/>
      </c>
      <c r="BO16" s="257">
        <f>IF(BO$7="Actual",0,IF($K16="Monthly",i_Assumptions!BO16,INDEX($M16:$Q16,,MATCH(BO$4,$M$4:$Q$4,0))))</f>
        <v/>
      </c>
      <c r="BP16" s="257">
        <f>IF(BP$7="Actual",0,IF($K16="Monthly",i_Assumptions!BP16,INDEX($M16:$Q16,,MATCH(BP$4,$M$4:$Q$4,0))))</f>
        <v/>
      </c>
      <c r="BQ16" s="257">
        <f>IF(BQ$7="Actual",0,IF($K16="Monthly",i_Assumptions!BQ16,INDEX($M16:$Q16,,MATCH(BQ$4,$M$4:$Q$4,0))))</f>
        <v/>
      </c>
      <c r="BR16" s="257">
        <f>IF(BR$7="Actual",0,IF($K16="Monthly",i_Assumptions!BR16,INDEX($M16:$Q16,,MATCH(BR$4,$M$4:$Q$4,0))))</f>
        <v/>
      </c>
      <c r="BS16" s="257">
        <f>IF(BS$7="Actual",0,IF($K16="Monthly",i_Assumptions!BS16,INDEX($M16:$Q16,,MATCH(BS$4,$M$4:$Q$4,0))))</f>
        <v/>
      </c>
      <c r="BT16" s="257">
        <f>IF(BT$7="Actual",0,IF($K16="Monthly",i_Assumptions!BT16,INDEX($M16:$Q16,,MATCH(BT$4,$M$4:$Q$4,0))))</f>
        <v/>
      </c>
      <c r="BU16" s="257">
        <f>IF(BU$7="Actual",0,IF($K16="Monthly",i_Assumptions!BU16,INDEX($M16:$Q16,,MATCH(BU$4,$M$4:$Q$4,0))))</f>
        <v/>
      </c>
      <c r="BV16" s="257">
        <f>IF(BV$7="Actual",0,IF($K16="Monthly",i_Assumptions!BV16,INDEX($M16:$Q16,,MATCH(BV$4,$M$4:$Q$4,0))))</f>
        <v/>
      </c>
      <c r="BW16" s="257">
        <f>IF(BW$7="Actual",0,IF($K16="Monthly",i_Assumptions!BW16,INDEX($M16:$Q16,,MATCH(BW$4,$M$4:$Q$4,0))))</f>
        <v/>
      </c>
      <c r="BX16" s="257">
        <f>IF(BX$7="Actual",0,IF($K16="Monthly",i_Assumptions!BX16,INDEX($M16:$Q16,,MATCH(BX$4,$M$4:$Q$4,0))))</f>
        <v/>
      </c>
      <c r="BY16" s="257">
        <f>IF(BY$7="Actual",0,IF($K16="Monthly",i_Assumptions!BY16,INDEX($M16:$Q16,,MATCH(BY$4,$M$4:$Q$4,0))))</f>
        <v/>
      </c>
      <c r="BZ16" s="257">
        <f>IF(BZ$7="Actual",0,IF($K16="Monthly",i_Assumptions!BZ16,INDEX($M16:$Q16,,MATCH(BZ$4,$M$4:$Q$4,0))))</f>
        <v/>
      </c>
      <c r="CA16" s="257">
        <f>IF(CA$7="Actual",0,IF($K16="Monthly",i_Assumptions!CA16,INDEX($M16:$Q16,,MATCH(CA$4,$M$4:$Q$4,0))))</f>
        <v/>
      </c>
    </row>
    <row r="17" ht="12" customHeight="1" s="227">
      <c r="A17" s="244" t="n"/>
      <c r="B17" s="244" t="n"/>
      <c r="C17" s="244" t="n"/>
      <c r="H17" s="4">
        <f>i_Setup!U34</f>
        <v/>
      </c>
      <c r="I17" s="27" t="inlineStr">
        <is>
          <t>no.</t>
        </is>
      </c>
      <c r="K17" s="259">
        <f>i_Assumptions!K17</f>
        <v/>
      </c>
      <c r="M17" s="257">
        <f>IF($K17="Monthly",0,i_Assumptions!M17)</f>
        <v/>
      </c>
      <c r="N17" s="257">
        <f>IF($K17="Monthly",0,i_Assumptions!N17)</f>
        <v/>
      </c>
      <c r="O17" s="257">
        <f>IF($K17="Monthly",0,i_Assumptions!O17)</f>
        <v/>
      </c>
      <c r="P17" s="257">
        <f>IF($K17="Monthly",0,i_Assumptions!P17)</f>
        <v/>
      </c>
      <c r="Q17" s="257">
        <f>IF($K17="Monthly",0,i_Assumptions!Q17)</f>
        <v/>
      </c>
      <c r="T17" s="257">
        <f>IF(T$7="Actual",0,IF($K17="Monthly",i_Assumptions!T17,INDEX($M17:$Q17,,MATCH(T$4,$M$4:$Q$4,0))))</f>
        <v/>
      </c>
      <c r="U17" s="257">
        <f>IF(U$7="Actual",0,IF($K17="Monthly",i_Assumptions!U17,INDEX($M17:$Q17,,MATCH(U$4,$M$4:$Q$4,0))))</f>
        <v/>
      </c>
      <c r="V17" s="257">
        <f>IF(V$7="Actual",0,IF($K17="Monthly",i_Assumptions!V17,INDEX($M17:$Q17,,MATCH(V$4,$M$4:$Q$4,0))))</f>
        <v/>
      </c>
      <c r="W17" s="257">
        <f>IF(W$7="Actual",0,IF($K17="Monthly",i_Assumptions!W17,INDEX($M17:$Q17,,MATCH(W$4,$M$4:$Q$4,0))))</f>
        <v/>
      </c>
      <c r="X17" s="257">
        <f>IF(X$7="Actual",0,IF($K17="Monthly",i_Assumptions!X17,INDEX($M17:$Q17,,MATCH(X$4,$M$4:$Q$4,0))))</f>
        <v/>
      </c>
      <c r="Y17" s="257">
        <f>IF(Y$7="Actual",0,IF($K17="Monthly",i_Assumptions!Y17,INDEX($M17:$Q17,,MATCH(Y$4,$M$4:$Q$4,0))))</f>
        <v/>
      </c>
      <c r="Z17" s="257">
        <f>IF(Z$7="Actual",0,IF($K17="Monthly",i_Assumptions!Z17,INDEX($M17:$Q17,,MATCH(Z$4,$M$4:$Q$4,0))))</f>
        <v/>
      </c>
      <c r="AA17" s="257">
        <f>IF(AA$7="Actual",0,IF($K17="Monthly",i_Assumptions!AA17,INDEX($M17:$Q17,,MATCH(AA$4,$M$4:$Q$4,0))))</f>
        <v/>
      </c>
      <c r="AB17" s="257">
        <f>IF(AB$7="Actual",0,IF($K17="Monthly",i_Assumptions!AB17,INDEX($M17:$Q17,,MATCH(AB$4,$M$4:$Q$4,0))))</f>
        <v/>
      </c>
      <c r="AC17" s="257">
        <f>IF(AC$7="Actual",0,IF($K17="Monthly",i_Assumptions!AC17,INDEX($M17:$Q17,,MATCH(AC$4,$M$4:$Q$4,0))))</f>
        <v/>
      </c>
      <c r="AD17" s="257">
        <f>IF(AD$7="Actual",0,IF($K17="Monthly",i_Assumptions!AD17,INDEX($M17:$Q17,,MATCH(AD$4,$M$4:$Q$4,0))))</f>
        <v/>
      </c>
      <c r="AE17" s="257">
        <f>IF(AE$7="Actual",0,IF($K17="Monthly",i_Assumptions!AE17,INDEX($M17:$Q17,,MATCH(AE$4,$M$4:$Q$4,0))))</f>
        <v/>
      </c>
      <c r="AF17" s="257">
        <f>IF(AF$7="Actual",0,IF($K17="Monthly",i_Assumptions!AF17,INDEX($M17:$Q17,,MATCH(AF$4,$M$4:$Q$4,0))))</f>
        <v/>
      </c>
      <c r="AG17" s="257">
        <f>IF(AG$7="Actual",0,IF($K17="Monthly",i_Assumptions!AG17,INDEX($M17:$Q17,,MATCH(AG$4,$M$4:$Q$4,0))))</f>
        <v/>
      </c>
      <c r="AH17" s="257">
        <f>IF(AH$7="Actual",0,IF($K17="Monthly",i_Assumptions!AH17,INDEX($M17:$Q17,,MATCH(AH$4,$M$4:$Q$4,0))))</f>
        <v/>
      </c>
      <c r="AI17" s="257">
        <f>IF(AI$7="Actual",0,IF($K17="Monthly",i_Assumptions!AI17,INDEX($M17:$Q17,,MATCH(AI$4,$M$4:$Q$4,0))))</f>
        <v/>
      </c>
      <c r="AJ17" s="257">
        <f>IF(AJ$7="Actual",0,IF($K17="Monthly",i_Assumptions!AJ17,INDEX($M17:$Q17,,MATCH(AJ$4,$M$4:$Q$4,0))))</f>
        <v/>
      </c>
      <c r="AK17" s="257">
        <f>IF(AK$7="Actual",0,IF($K17="Monthly",i_Assumptions!AK17,INDEX($M17:$Q17,,MATCH(AK$4,$M$4:$Q$4,0))))</f>
        <v/>
      </c>
      <c r="AL17" s="257">
        <f>IF(AL$7="Actual",0,IF($K17="Monthly",i_Assumptions!AL17,INDEX($M17:$Q17,,MATCH(AL$4,$M$4:$Q$4,0))))</f>
        <v/>
      </c>
      <c r="AM17" s="257">
        <f>IF(AM$7="Actual",0,IF($K17="Monthly",i_Assumptions!AM17,INDEX($M17:$Q17,,MATCH(AM$4,$M$4:$Q$4,0))))</f>
        <v/>
      </c>
      <c r="AN17" s="257">
        <f>IF(AN$7="Actual",0,IF($K17="Monthly",i_Assumptions!AN17,INDEX($M17:$Q17,,MATCH(AN$4,$M$4:$Q$4,0))))</f>
        <v/>
      </c>
      <c r="AO17" s="257">
        <f>IF(AO$7="Actual",0,IF($K17="Monthly",i_Assumptions!AO17,INDEX($M17:$Q17,,MATCH(AO$4,$M$4:$Q$4,0))))</f>
        <v/>
      </c>
      <c r="AP17" s="257">
        <f>IF(AP$7="Actual",0,IF($K17="Monthly",i_Assumptions!AP17,INDEX($M17:$Q17,,MATCH(AP$4,$M$4:$Q$4,0))))</f>
        <v/>
      </c>
      <c r="AQ17" s="257">
        <f>IF(AQ$7="Actual",0,IF($K17="Monthly",i_Assumptions!AQ17,INDEX($M17:$Q17,,MATCH(AQ$4,$M$4:$Q$4,0))))</f>
        <v/>
      </c>
      <c r="AR17" s="257">
        <f>IF(AR$7="Actual",0,IF($K17="Monthly",i_Assumptions!AR17,INDEX($M17:$Q17,,MATCH(AR$4,$M$4:$Q$4,0))))</f>
        <v/>
      </c>
      <c r="AS17" s="257">
        <f>IF(AS$7="Actual",0,IF($K17="Monthly",i_Assumptions!AS17,INDEX($M17:$Q17,,MATCH(AS$4,$M$4:$Q$4,0))))</f>
        <v/>
      </c>
      <c r="AT17" s="257">
        <f>IF(AT$7="Actual",0,IF($K17="Monthly",i_Assumptions!AT17,INDEX($M17:$Q17,,MATCH(AT$4,$M$4:$Q$4,0))))</f>
        <v/>
      </c>
      <c r="AU17" s="257">
        <f>IF(AU$7="Actual",0,IF($K17="Monthly",i_Assumptions!AU17,INDEX($M17:$Q17,,MATCH(AU$4,$M$4:$Q$4,0))))</f>
        <v/>
      </c>
      <c r="AV17" s="257">
        <f>IF(AV$7="Actual",0,IF($K17="Monthly",i_Assumptions!AV17,INDEX($M17:$Q17,,MATCH(AV$4,$M$4:$Q$4,0))))</f>
        <v/>
      </c>
      <c r="AW17" s="257">
        <f>IF(AW$7="Actual",0,IF($K17="Monthly",i_Assumptions!AW17,INDEX($M17:$Q17,,MATCH(AW$4,$M$4:$Q$4,0))))</f>
        <v/>
      </c>
      <c r="AX17" s="257">
        <f>IF(AX$7="Actual",0,IF($K17="Monthly",i_Assumptions!AX17,INDEX($M17:$Q17,,MATCH(AX$4,$M$4:$Q$4,0))))</f>
        <v/>
      </c>
      <c r="AY17" s="257">
        <f>IF(AY$7="Actual",0,IF($K17="Monthly",i_Assumptions!AY17,INDEX($M17:$Q17,,MATCH(AY$4,$M$4:$Q$4,0))))</f>
        <v/>
      </c>
      <c r="AZ17" s="257">
        <f>IF(AZ$7="Actual",0,IF($K17="Monthly",i_Assumptions!AZ17,INDEX($M17:$Q17,,MATCH(AZ$4,$M$4:$Q$4,0))))</f>
        <v/>
      </c>
      <c r="BA17" s="257">
        <f>IF(BA$7="Actual",0,IF($K17="Monthly",i_Assumptions!BA17,INDEX($M17:$Q17,,MATCH(BA$4,$M$4:$Q$4,0))))</f>
        <v/>
      </c>
      <c r="BB17" s="257">
        <f>IF(BB$7="Actual",0,IF($K17="Monthly",i_Assumptions!BB17,INDEX($M17:$Q17,,MATCH(BB$4,$M$4:$Q$4,0))))</f>
        <v/>
      </c>
      <c r="BC17" s="257">
        <f>IF(BC$7="Actual",0,IF($K17="Monthly",i_Assumptions!BC17,INDEX($M17:$Q17,,MATCH(BC$4,$M$4:$Q$4,0))))</f>
        <v/>
      </c>
      <c r="BD17" s="257">
        <f>IF(BD$7="Actual",0,IF($K17="Monthly",i_Assumptions!BD17,INDEX($M17:$Q17,,MATCH(BD$4,$M$4:$Q$4,0))))</f>
        <v/>
      </c>
      <c r="BE17" s="257">
        <f>IF(BE$7="Actual",0,IF($K17="Monthly",i_Assumptions!BE17,INDEX($M17:$Q17,,MATCH(BE$4,$M$4:$Q$4,0))))</f>
        <v/>
      </c>
      <c r="BF17" s="257">
        <f>IF(BF$7="Actual",0,IF($K17="Monthly",i_Assumptions!BF17,INDEX($M17:$Q17,,MATCH(BF$4,$M$4:$Q$4,0))))</f>
        <v/>
      </c>
      <c r="BG17" s="257">
        <f>IF(BG$7="Actual",0,IF($K17="Monthly",i_Assumptions!BG17,INDEX($M17:$Q17,,MATCH(BG$4,$M$4:$Q$4,0))))</f>
        <v/>
      </c>
      <c r="BH17" s="257">
        <f>IF(BH$7="Actual",0,IF($K17="Monthly",i_Assumptions!BH17,INDEX($M17:$Q17,,MATCH(BH$4,$M$4:$Q$4,0))))</f>
        <v/>
      </c>
      <c r="BI17" s="257">
        <f>IF(BI$7="Actual",0,IF($K17="Monthly",i_Assumptions!BI17,INDEX($M17:$Q17,,MATCH(BI$4,$M$4:$Q$4,0))))</f>
        <v/>
      </c>
      <c r="BJ17" s="257">
        <f>IF(BJ$7="Actual",0,IF($K17="Monthly",i_Assumptions!BJ17,INDEX($M17:$Q17,,MATCH(BJ$4,$M$4:$Q$4,0))))</f>
        <v/>
      </c>
      <c r="BK17" s="257">
        <f>IF(BK$7="Actual",0,IF($K17="Monthly",i_Assumptions!BK17,INDEX($M17:$Q17,,MATCH(BK$4,$M$4:$Q$4,0))))</f>
        <v/>
      </c>
      <c r="BL17" s="257">
        <f>IF(BL$7="Actual",0,IF($K17="Monthly",i_Assumptions!BL17,INDEX($M17:$Q17,,MATCH(BL$4,$M$4:$Q$4,0))))</f>
        <v/>
      </c>
      <c r="BM17" s="257">
        <f>IF(BM$7="Actual",0,IF($K17="Monthly",i_Assumptions!BM17,INDEX($M17:$Q17,,MATCH(BM$4,$M$4:$Q$4,0))))</f>
        <v/>
      </c>
      <c r="BN17" s="257">
        <f>IF(BN$7="Actual",0,IF($K17="Monthly",i_Assumptions!BN17,INDEX($M17:$Q17,,MATCH(BN$4,$M$4:$Q$4,0))))</f>
        <v/>
      </c>
      <c r="BO17" s="257">
        <f>IF(BO$7="Actual",0,IF($K17="Monthly",i_Assumptions!BO17,INDEX($M17:$Q17,,MATCH(BO$4,$M$4:$Q$4,0))))</f>
        <v/>
      </c>
      <c r="BP17" s="257">
        <f>IF(BP$7="Actual",0,IF($K17="Monthly",i_Assumptions!BP17,INDEX($M17:$Q17,,MATCH(BP$4,$M$4:$Q$4,0))))</f>
        <v/>
      </c>
      <c r="BQ17" s="257">
        <f>IF(BQ$7="Actual",0,IF($K17="Monthly",i_Assumptions!BQ17,INDEX($M17:$Q17,,MATCH(BQ$4,$M$4:$Q$4,0))))</f>
        <v/>
      </c>
      <c r="BR17" s="257">
        <f>IF(BR$7="Actual",0,IF($K17="Monthly",i_Assumptions!BR17,INDEX($M17:$Q17,,MATCH(BR$4,$M$4:$Q$4,0))))</f>
        <v/>
      </c>
      <c r="BS17" s="257">
        <f>IF(BS$7="Actual",0,IF($K17="Monthly",i_Assumptions!BS17,INDEX($M17:$Q17,,MATCH(BS$4,$M$4:$Q$4,0))))</f>
        <v/>
      </c>
      <c r="BT17" s="257">
        <f>IF(BT$7="Actual",0,IF($K17="Monthly",i_Assumptions!BT17,INDEX($M17:$Q17,,MATCH(BT$4,$M$4:$Q$4,0))))</f>
        <v/>
      </c>
      <c r="BU17" s="257">
        <f>IF(BU$7="Actual",0,IF($K17="Monthly",i_Assumptions!BU17,INDEX($M17:$Q17,,MATCH(BU$4,$M$4:$Q$4,0))))</f>
        <v/>
      </c>
      <c r="BV17" s="257">
        <f>IF(BV$7="Actual",0,IF($K17="Monthly",i_Assumptions!BV17,INDEX($M17:$Q17,,MATCH(BV$4,$M$4:$Q$4,0))))</f>
        <v/>
      </c>
      <c r="BW17" s="257">
        <f>IF(BW$7="Actual",0,IF($K17="Monthly",i_Assumptions!BW17,INDEX($M17:$Q17,,MATCH(BW$4,$M$4:$Q$4,0))))</f>
        <v/>
      </c>
      <c r="BX17" s="257">
        <f>IF(BX$7="Actual",0,IF($K17="Monthly",i_Assumptions!BX17,INDEX($M17:$Q17,,MATCH(BX$4,$M$4:$Q$4,0))))</f>
        <v/>
      </c>
      <c r="BY17" s="257">
        <f>IF(BY$7="Actual",0,IF($K17="Monthly",i_Assumptions!BY17,INDEX($M17:$Q17,,MATCH(BY$4,$M$4:$Q$4,0))))</f>
        <v/>
      </c>
      <c r="BZ17" s="257">
        <f>IF(BZ$7="Actual",0,IF($K17="Monthly",i_Assumptions!BZ17,INDEX($M17:$Q17,,MATCH(BZ$4,$M$4:$Q$4,0))))</f>
        <v/>
      </c>
      <c r="CA17" s="257">
        <f>IF(CA$7="Actual",0,IF($K17="Monthly",i_Assumptions!CA17,INDEX($M17:$Q17,,MATCH(CA$4,$M$4:$Q$4,0))))</f>
        <v/>
      </c>
    </row>
    <row r="18" ht="12" customHeight="1" s="227">
      <c r="A18" s="244" t="n"/>
      <c r="B18" s="244" t="n"/>
      <c r="C18" s="244" t="n"/>
      <c r="H18" s="4">
        <f>i_Setup!U35</f>
        <v/>
      </c>
      <c r="I18" s="27" t="inlineStr">
        <is>
          <t>no.</t>
        </is>
      </c>
      <c r="K18" s="259">
        <f>i_Assumptions!K18</f>
        <v/>
      </c>
      <c r="M18" s="257">
        <f>IF($K18="Monthly",0,i_Assumptions!M18)</f>
        <v/>
      </c>
      <c r="N18" s="257">
        <f>IF($K18="Monthly",0,i_Assumptions!N18)</f>
        <v/>
      </c>
      <c r="O18" s="257">
        <f>IF($K18="Monthly",0,i_Assumptions!O18)</f>
        <v/>
      </c>
      <c r="P18" s="257">
        <f>IF($K18="Monthly",0,i_Assumptions!P18)</f>
        <v/>
      </c>
      <c r="Q18" s="257">
        <f>IF($K18="Monthly",0,i_Assumptions!Q18)</f>
        <v/>
      </c>
      <c r="T18" s="257">
        <f>IF(T$7="Actual",0,IF($K18="Monthly",i_Assumptions!T18,INDEX($M18:$Q18,,MATCH(T$4,$M$4:$Q$4,0))))</f>
        <v/>
      </c>
      <c r="U18" s="257">
        <f>IF(U$7="Actual",0,IF($K18="Monthly",i_Assumptions!U18,INDEX($M18:$Q18,,MATCH(U$4,$M$4:$Q$4,0))))</f>
        <v/>
      </c>
      <c r="V18" s="257">
        <f>IF(V$7="Actual",0,IF($K18="Monthly",i_Assumptions!V18,INDEX($M18:$Q18,,MATCH(V$4,$M$4:$Q$4,0))))</f>
        <v/>
      </c>
      <c r="W18" s="257">
        <f>IF(W$7="Actual",0,IF($K18="Monthly",i_Assumptions!W18,INDEX($M18:$Q18,,MATCH(W$4,$M$4:$Q$4,0))))</f>
        <v/>
      </c>
      <c r="X18" s="257">
        <f>IF(X$7="Actual",0,IF($K18="Monthly",i_Assumptions!X18,INDEX($M18:$Q18,,MATCH(X$4,$M$4:$Q$4,0))))</f>
        <v/>
      </c>
      <c r="Y18" s="257">
        <f>IF(Y$7="Actual",0,IF($K18="Monthly",i_Assumptions!Y18,INDEX($M18:$Q18,,MATCH(Y$4,$M$4:$Q$4,0))))</f>
        <v/>
      </c>
      <c r="Z18" s="257">
        <f>IF(Z$7="Actual",0,IF($K18="Monthly",i_Assumptions!Z18,INDEX($M18:$Q18,,MATCH(Z$4,$M$4:$Q$4,0))))</f>
        <v/>
      </c>
      <c r="AA18" s="257">
        <f>IF(AA$7="Actual",0,IF($K18="Monthly",i_Assumptions!AA18,INDEX($M18:$Q18,,MATCH(AA$4,$M$4:$Q$4,0))))</f>
        <v/>
      </c>
      <c r="AB18" s="257">
        <f>IF(AB$7="Actual",0,IF($K18="Monthly",i_Assumptions!AB18,INDEX($M18:$Q18,,MATCH(AB$4,$M$4:$Q$4,0))))</f>
        <v/>
      </c>
      <c r="AC18" s="257">
        <f>IF(AC$7="Actual",0,IF($K18="Monthly",i_Assumptions!AC18,INDEX($M18:$Q18,,MATCH(AC$4,$M$4:$Q$4,0))))</f>
        <v/>
      </c>
      <c r="AD18" s="257">
        <f>IF(AD$7="Actual",0,IF($K18="Monthly",i_Assumptions!AD18,INDEX($M18:$Q18,,MATCH(AD$4,$M$4:$Q$4,0))))</f>
        <v/>
      </c>
      <c r="AE18" s="257">
        <f>IF(AE$7="Actual",0,IF($K18="Monthly",i_Assumptions!AE18,INDEX($M18:$Q18,,MATCH(AE$4,$M$4:$Q$4,0))))</f>
        <v/>
      </c>
      <c r="AF18" s="257">
        <f>IF(AF$7="Actual",0,IF($K18="Monthly",i_Assumptions!AF18,INDEX($M18:$Q18,,MATCH(AF$4,$M$4:$Q$4,0))))</f>
        <v/>
      </c>
      <c r="AG18" s="257">
        <f>IF(AG$7="Actual",0,IF($K18="Monthly",i_Assumptions!AG18,INDEX($M18:$Q18,,MATCH(AG$4,$M$4:$Q$4,0))))</f>
        <v/>
      </c>
      <c r="AH18" s="257">
        <f>IF(AH$7="Actual",0,IF($K18="Monthly",i_Assumptions!AH18,INDEX($M18:$Q18,,MATCH(AH$4,$M$4:$Q$4,0))))</f>
        <v/>
      </c>
      <c r="AI18" s="257">
        <f>IF(AI$7="Actual",0,IF($K18="Monthly",i_Assumptions!AI18,INDEX($M18:$Q18,,MATCH(AI$4,$M$4:$Q$4,0))))</f>
        <v/>
      </c>
      <c r="AJ18" s="257">
        <f>IF(AJ$7="Actual",0,IF($K18="Monthly",i_Assumptions!AJ18,INDEX($M18:$Q18,,MATCH(AJ$4,$M$4:$Q$4,0))))</f>
        <v/>
      </c>
      <c r="AK18" s="257">
        <f>IF(AK$7="Actual",0,IF($K18="Monthly",i_Assumptions!AK18,INDEX($M18:$Q18,,MATCH(AK$4,$M$4:$Q$4,0))))</f>
        <v/>
      </c>
      <c r="AL18" s="257">
        <f>IF(AL$7="Actual",0,IF($K18="Monthly",i_Assumptions!AL18,INDEX($M18:$Q18,,MATCH(AL$4,$M$4:$Q$4,0))))</f>
        <v/>
      </c>
      <c r="AM18" s="257">
        <f>IF(AM$7="Actual",0,IF($K18="Monthly",i_Assumptions!AM18,INDEX($M18:$Q18,,MATCH(AM$4,$M$4:$Q$4,0))))</f>
        <v/>
      </c>
      <c r="AN18" s="257">
        <f>IF(AN$7="Actual",0,IF($K18="Monthly",i_Assumptions!AN18,INDEX($M18:$Q18,,MATCH(AN$4,$M$4:$Q$4,0))))</f>
        <v/>
      </c>
      <c r="AO18" s="257">
        <f>IF(AO$7="Actual",0,IF($K18="Monthly",i_Assumptions!AO18,INDEX($M18:$Q18,,MATCH(AO$4,$M$4:$Q$4,0))))</f>
        <v/>
      </c>
      <c r="AP18" s="257">
        <f>IF(AP$7="Actual",0,IF($K18="Monthly",i_Assumptions!AP18,INDEX($M18:$Q18,,MATCH(AP$4,$M$4:$Q$4,0))))</f>
        <v/>
      </c>
      <c r="AQ18" s="257">
        <f>IF(AQ$7="Actual",0,IF($K18="Monthly",i_Assumptions!AQ18,INDEX($M18:$Q18,,MATCH(AQ$4,$M$4:$Q$4,0))))</f>
        <v/>
      </c>
      <c r="AR18" s="257">
        <f>IF(AR$7="Actual",0,IF($K18="Monthly",i_Assumptions!AR18,INDEX($M18:$Q18,,MATCH(AR$4,$M$4:$Q$4,0))))</f>
        <v/>
      </c>
      <c r="AS18" s="257">
        <f>IF(AS$7="Actual",0,IF($K18="Monthly",i_Assumptions!AS18,INDEX($M18:$Q18,,MATCH(AS$4,$M$4:$Q$4,0))))</f>
        <v/>
      </c>
      <c r="AT18" s="257">
        <f>IF(AT$7="Actual",0,IF($K18="Monthly",i_Assumptions!AT18,INDEX($M18:$Q18,,MATCH(AT$4,$M$4:$Q$4,0))))</f>
        <v/>
      </c>
      <c r="AU18" s="257">
        <f>IF(AU$7="Actual",0,IF($K18="Monthly",i_Assumptions!AU18,INDEX($M18:$Q18,,MATCH(AU$4,$M$4:$Q$4,0))))</f>
        <v/>
      </c>
      <c r="AV18" s="257">
        <f>IF(AV$7="Actual",0,IF($K18="Monthly",i_Assumptions!AV18,INDEX($M18:$Q18,,MATCH(AV$4,$M$4:$Q$4,0))))</f>
        <v/>
      </c>
      <c r="AW18" s="257">
        <f>IF(AW$7="Actual",0,IF($K18="Monthly",i_Assumptions!AW18,INDEX($M18:$Q18,,MATCH(AW$4,$M$4:$Q$4,0))))</f>
        <v/>
      </c>
      <c r="AX18" s="257">
        <f>IF(AX$7="Actual",0,IF($K18="Monthly",i_Assumptions!AX18,INDEX($M18:$Q18,,MATCH(AX$4,$M$4:$Q$4,0))))</f>
        <v/>
      </c>
      <c r="AY18" s="257">
        <f>IF(AY$7="Actual",0,IF($K18="Monthly",i_Assumptions!AY18,INDEX($M18:$Q18,,MATCH(AY$4,$M$4:$Q$4,0))))</f>
        <v/>
      </c>
      <c r="AZ18" s="257">
        <f>IF(AZ$7="Actual",0,IF($K18="Monthly",i_Assumptions!AZ18,INDEX($M18:$Q18,,MATCH(AZ$4,$M$4:$Q$4,0))))</f>
        <v/>
      </c>
      <c r="BA18" s="257">
        <f>IF(BA$7="Actual",0,IF($K18="Monthly",i_Assumptions!BA18,INDEX($M18:$Q18,,MATCH(BA$4,$M$4:$Q$4,0))))</f>
        <v/>
      </c>
      <c r="BB18" s="257">
        <f>IF(BB$7="Actual",0,IF($K18="Monthly",i_Assumptions!BB18,INDEX($M18:$Q18,,MATCH(BB$4,$M$4:$Q$4,0))))</f>
        <v/>
      </c>
      <c r="BC18" s="257">
        <f>IF(BC$7="Actual",0,IF($K18="Monthly",i_Assumptions!BC18,INDEX($M18:$Q18,,MATCH(BC$4,$M$4:$Q$4,0))))</f>
        <v/>
      </c>
      <c r="BD18" s="257">
        <f>IF(BD$7="Actual",0,IF($K18="Monthly",i_Assumptions!BD18,INDEX($M18:$Q18,,MATCH(BD$4,$M$4:$Q$4,0))))</f>
        <v/>
      </c>
      <c r="BE18" s="257">
        <f>IF(BE$7="Actual",0,IF($K18="Monthly",i_Assumptions!BE18,INDEX($M18:$Q18,,MATCH(BE$4,$M$4:$Q$4,0))))</f>
        <v/>
      </c>
      <c r="BF18" s="257">
        <f>IF(BF$7="Actual",0,IF($K18="Monthly",i_Assumptions!BF18,INDEX($M18:$Q18,,MATCH(BF$4,$M$4:$Q$4,0))))</f>
        <v/>
      </c>
      <c r="BG18" s="257">
        <f>IF(BG$7="Actual",0,IF($K18="Monthly",i_Assumptions!BG18,INDEX($M18:$Q18,,MATCH(BG$4,$M$4:$Q$4,0))))</f>
        <v/>
      </c>
      <c r="BH18" s="257">
        <f>IF(BH$7="Actual",0,IF($K18="Monthly",i_Assumptions!BH18,INDEX($M18:$Q18,,MATCH(BH$4,$M$4:$Q$4,0))))</f>
        <v/>
      </c>
      <c r="BI18" s="257">
        <f>IF(BI$7="Actual",0,IF($K18="Monthly",i_Assumptions!BI18,INDEX($M18:$Q18,,MATCH(BI$4,$M$4:$Q$4,0))))</f>
        <v/>
      </c>
      <c r="BJ18" s="257">
        <f>IF(BJ$7="Actual",0,IF($K18="Monthly",i_Assumptions!BJ18,INDEX($M18:$Q18,,MATCH(BJ$4,$M$4:$Q$4,0))))</f>
        <v/>
      </c>
      <c r="BK18" s="257">
        <f>IF(BK$7="Actual",0,IF($K18="Monthly",i_Assumptions!BK18,INDEX($M18:$Q18,,MATCH(BK$4,$M$4:$Q$4,0))))</f>
        <v/>
      </c>
      <c r="BL18" s="257">
        <f>IF(BL$7="Actual",0,IF($K18="Monthly",i_Assumptions!BL18,INDEX($M18:$Q18,,MATCH(BL$4,$M$4:$Q$4,0))))</f>
        <v/>
      </c>
      <c r="BM18" s="257">
        <f>IF(BM$7="Actual",0,IF($K18="Monthly",i_Assumptions!BM18,INDEX($M18:$Q18,,MATCH(BM$4,$M$4:$Q$4,0))))</f>
        <v/>
      </c>
      <c r="BN18" s="257">
        <f>IF(BN$7="Actual",0,IF($K18="Monthly",i_Assumptions!BN18,INDEX($M18:$Q18,,MATCH(BN$4,$M$4:$Q$4,0))))</f>
        <v/>
      </c>
      <c r="BO18" s="257">
        <f>IF(BO$7="Actual",0,IF($K18="Monthly",i_Assumptions!BO18,INDEX($M18:$Q18,,MATCH(BO$4,$M$4:$Q$4,0))))</f>
        <v/>
      </c>
      <c r="BP18" s="257">
        <f>IF(BP$7="Actual",0,IF($K18="Monthly",i_Assumptions!BP18,INDEX($M18:$Q18,,MATCH(BP$4,$M$4:$Q$4,0))))</f>
        <v/>
      </c>
      <c r="BQ18" s="257">
        <f>IF(BQ$7="Actual",0,IF($K18="Monthly",i_Assumptions!BQ18,INDEX($M18:$Q18,,MATCH(BQ$4,$M$4:$Q$4,0))))</f>
        <v/>
      </c>
      <c r="BR18" s="257">
        <f>IF(BR$7="Actual",0,IF($K18="Monthly",i_Assumptions!BR18,INDEX($M18:$Q18,,MATCH(BR$4,$M$4:$Q$4,0))))</f>
        <v/>
      </c>
      <c r="BS18" s="257">
        <f>IF(BS$7="Actual",0,IF($K18="Monthly",i_Assumptions!BS18,INDEX($M18:$Q18,,MATCH(BS$4,$M$4:$Q$4,0))))</f>
        <v/>
      </c>
      <c r="BT18" s="257">
        <f>IF(BT$7="Actual",0,IF($K18="Monthly",i_Assumptions!BT18,INDEX($M18:$Q18,,MATCH(BT$4,$M$4:$Q$4,0))))</f>
        <v/>
      </c>
      <c r="BU18" s="257">
        <f>IF(BU$7="Actual",0,IF($K18="Monthly",i_Assumptions!BU18,INDEX($M18:$Q18,,MATCH(BU$4,$M$4:$Q$4,0))))</f>
        <v/>
      </c>
      <c r="BV18" s="257">
        <f>IF(BV$7="Actual",0,IF($K18="Monthly",i_Assumptions!BV18,INDEX($M18:$Q18,,MATCH(BV$4,$M$4:$Q$4,0))))</f>
        <v/>
      </c>
      <c r="BW18" s="257">
        <f>IF(BW$7="Actual",0,IF($K18="Monthly",i_Assumptions!BW18,INDEX($M18:$Q18,,MATCH(BW$4,$M$4:$Q$4,0))))</f>
        <v/>
      </c>
      <c r="BX18" s="257">
        <f>IF(BX$7="Actual",0,IF($K18="Monthly",i_Assumptions!BX18,INDEX($M18:$Q18,,MATCH(BX$4,$M$4:$Q$4,0))))</f>
        <v/>
      </c>
      <c r="BY18" s="257">
        <f>IF(BY$7="Actual",0,IF($K18="Monthly",i_Assumptions!BY18,INDEX($M18:$Q18,,MATCH(BY$4,$M$4:$Q$4,0))))</f>
        <v/>
      </c>
      <c r="BZ18" s="257">
        <f>IF(BZ$7="Actual",0,IF($K18="Monthly",i_Assumptions!BZ18,INDEX($M18:$Q18,,MATCH(BZ$4,$M$4:$Q$4,0))))</f>
        <v/>
      </c>
      <c r="CA18" s="257">
        <f>IF(CA$7="Actual",0,IF($K18="Monthly",i_Assumptions!CA18,INDEX($M18:$Q18,,MATCH(CA$4,$M$4:$Q$4,0))))</f>
        <v/>
      </c>
    </row>
    <row r="19" ht="12" customHeight="1" s="227">
      <c r="A19" s="244" t="n"/>
      <c r="B19" s="244" t="n"/>
      <c r="C19" s="244" t="n"/>
      <c r="H19" s="4">
        <f>i_Setup!U36</f>
        <v/>
      </c>
      <c r="I19" s="27" t="inlineStr">
        <is>
          <t>no.</t>
        </is>
      </c>
      <c r="K19" s="259">
        <f>i_Assumptions!K19</f>
        <v/>
      </c>
      <c r="M19" s="257">
        <f>IF($K19="Monthly",0,i_Assumptions!M19)</f>
        <v/>
      </c>
      <c r="N19" s="257">
        <f>IF($K19="Monthly",0,i_Assumptions!N19)</f>
        <v/>
      </c>
      <c r="O19" s="257">
        <f>IF($K19="Monthly",0,i_Assumptions!O19)</f>
        <v/>
      </c>
      <c r="P19" s="257">
        <f>IF($K19="Monthly",0,i_Assumptions!P19)</f>
        <v/>
      </c>
      <c r="Q19" s="257">
        <f>IF($K19="Monthly",0,i_Assumptions!Q19)</f>
        <v/>
      </c>
      <c r="T19" s="257">
        <f>IF(T$7="Actual",0,IF($K19="Monthly",i_Assumptions!T19,INDEX($M19:$Q19,,MATCH(T$4,$M$4:$Q$4,0))))</f>
        <v/>
      </c>
      <c r="U19" s="257">
        <f>IF(U$7="Actual",0,IF($K19="Monthly",i_Assumptions!U19,INDEX($M19:$Q19,,MATCH(U$4,$M$4:$Q$4,0))))</f>
        <v/>
      </c>
      <c r="V19" s="257">
        <f>IF(V$7="Actual",0,IF($K19="Monthly",i_Assumptions!V19,INDEX($M19:$Q19,,MATCH(V$4,$M$4:$Q$4,0))))</f>
        <v/>
      </c>
      <c r="W19" s="257">
        <f>IF(W$7="Actual",0,IF($K19="Monthly",i_Assumptions!W19,INDEX($M19:$Q19,,MATCH(W$4,$M$4:$Q$4,0))))</f>
        <v/>
      </c>
      <c r="X19" s="257">
        <f>IF(X$7="Actual",0,IF($K19="Monthly",i_Assumptions!X19,INDEX($M19:$Q19,,MATCH(X$4,$M$4:$Q$4,0))))</f>
        <v/>
      </c>
      <c r="Y19" s="257">
        <f>IF(Y$7="Actual",0,IF($K19="Monthly",i_Assumptions!Y19,INDEX($M19:$Q19,,MATCH(Y$4,$M$4:$Q$4,0))))</f>
        <v/>
      </c>
      <c r="Z19" s="257">
        <f>IF(Z$7="Actual",0,IF($K19="Monthly",i_Assumptions!Z19,INDEX($M19:$Q19,,MATCH(Z$4,$M$4:$Q$4,0))))</f>
        <v/>
      </c>
      <c r="AA19" s="257">
        <f>IF(AA$7="Actual",0,IF($K19="Monthly",i_Assumptions!AA19,INDEX($M19:$Q19,,MATCH(AA$4,$M$4:$Q$4,0))))</f>
        <v/>
      </c>
      <c r="AB19" s="257">
        <f>IF(AB$7="Actual",0,IF($K19="Monthly",i_Assumptions!AB19,INDEX($M19:$Q19,,MATCH(AB$4,$M$4:$Q$4,0))))</f>
        <v/>
      </c>
      <c r="AC19" s="257">
        <f>IF(AC$7="Actual",0,IF($K19="Monthly",i_Assumptions!AC19,INDEX($M19:$Q19,,MATCH(AC$4,$M$4:$Q$4,0))))</f>
        <v/>
      </c>
      <c r="AD19" s="257">
        <f>IF(AD$7="Actual",0,IF($K19="Monthly",i_Assumptions!AD19,INDEX($M19:$Q19,,MATCH(AD$4,$M$4:$Q$4,0))))</f>
        <v/>
      </c>
      <c r="AE19" s="257">
        <f>IF(AE$7="Actual",0,IF($K19="Monthly",i_Assumptions!AE19,INDEX($M19:$Q19,,MATCH(AE$4,$M$4:$Q$4,0))))</f>
        <v/>
      </c>
      <c r="AF19" s="257">
        <f>IF(AF$7="Actual",0,IF($K19="Monthly",i_Assumptions!AF19,INDEX($M19:$Q19,,MATCH(AF$4,$M$4:$Q$4,0))))</f>
        <v/>
      </c>
      <c r="AG19" s="257">
        <f>IF(AG$7="Actual",0,IF($K19="Monthly",i_Assumptions!AG19,INDEX($M19:$Q19,,MATCH(AG$4,$M$4:$Q$4,0))))</f>
        <v/>
      </c>
      <c r="AH19" s="257">
        <f>IF(AH$7="Actual",0,IF($K19="Monthly",i_Assumptions!AH19,INDEX($M19:$Q19,,MATCH(AH$4,$M$4:$Q$4,0))))</f>
        <v/>
      </c>
      <c r="AI19" s="257">
        <f>IF(AI$7="Actual",0,IF($K19="Monthly",i_Assumptions!AI19,INDEX($M19:$Q19,,MATCH(AI$4,$M$4:$Q$4,0))))</f>
        <v/>
      </c>
      <c r="AJ19" s="257">
        <f>IF(AJ$7="Actual",0,IF($K19="Monthly",i_Assumptions!AJ19,INDEX($M19:$Q19,,MATCH(AJ$4,$M$4:$Q$4,0))))</f>
        <v/>
      </c>
      <c r="AK19" s="257">
        <f>IF(AK$7="Actual",0,IF($K19="Monthly",i_Assumptions!AK19,INDEX($M19:$Q19,,MATCH(AK$4,$M$4:$Q$4,0))))</f>
        <v/>
      </c>
      <c r="AL19" s="257">
        <f>IF(AL$7="Actual",0,IF($K19="Monthly",i_Assumptions!AL19,INDEX($M19:$Q19,,MATCH(AL$4,$M$4:$Q$4,0))))</f>
        <v/>
      </c>
      <c r="AM19" s="257">
        <f>IF(AM$7="Actual",0,IF($K19="Monthly",i_Assumptions!AM19,INDEX($M19:$Q19,,MATCH(AM$4,$M$4:$Q$4,0))))</f>
        <v/>
      </c>
      <c r="AN19" s="257">
        <f>IF(AN$7="Actual",0,IF($K19="Monthly",i_Assumptions!AN19,INDEX($M19:$Q19,,MATCH(AN$4,$M$4:$Q$4,0))))</f>
        <v/>
      </c>
      <c r="AO19" s="257">
        <f>IF(AO$7="Actual",0,IF($K19="Monthly",i_Assumptions!AO19,INDEX($M19:$Q19,,MATCH(AO$4,$M$4:$Q$4,0))))</f>
        <v/>
      </c>
      <c r="AP19" s="257">
        <f>IF(AP$7="Actual",0,IF($K19="Monthly",i_Assumptions!AP19,INDEX($M19:$Q19,,MATCH(AP$4,$M$4:$Q$4,0))))</f>
        <v/>
      </c>
      <c r="AQ19" s="257">
        <f>IF(AQ$7="Actual",0,IF($K19="Monthly",i_Assumptions!AQ19,INDEX($M19:$Q19,,MATCH(AQ$4,$M$4:$Q$4,0))))</f>
        <v/>
      </c>
      <c r="AR19" s="257">
        <f>IF(AR$7="Actual",0,IF($K19="Monthly",i_Assumptions!AR19,INDEX($M19:$Q19,,MATCH(AR$4,$M$4:$Q$4,0))))</f>
        <v/>
      </c>
      <c r="AS19" s="257">
        <f>IF(AS$7="Actual",0,IF($K19="Monthly",i_Assumptions!AS19,INDEX($M19:$Q19,,MATCH(AS$4,$M$4:$Q$4,0))))</f>
        <v/>
      </c>
      <c r="AT19" s="257">
        <f>IF(AT$7="Actual",0,IF($K19="Monthly",i_Assumptions!AT19,INDEX($M19:$Q19,,MATCH(AT$4,$M$4:$Q$4,0))))</f>
        <v/>
      </c>
      <c r="AU19" s="257">
        <f>IF(AU$7="Actual",0,IF($K19="Monthly",i_Assumptions!AU19,INDEX($M19:$Q19,,MATCH(AU$4,$M$4:$Q$4,0))))</f>
        <v/>
      </c>
      <c r="AV19" s="257">
        <f>IF(AV$7="Actual",0,IF($K19="Monthly",i_Assumptions!AV19,INDEX($M19:$Q19,,MATCH(AV$4,$M$4:$Q$4,0))))</f>
        <v/>
      </c>
      <c r="AW19" s="257">
        <f>IF(AW$7="Actual",0,IF($K19="Monthly",i_Assumptions!AW19,INDEX($M19:$Q19,,MATCH(AW$4,$M$4:$Q$4,0))))</f>
        <v/>
      </c>
      <c r="AX19" s="257">
        <f>IF(AX$7="Actual",0,IF($K19="Monthly",i_Assumptions!AX19,INDEX($M19:$Q19,,MATCH(AX$4,$M$4:$Q$4,0))))</f>
        <v/>
      </c>
      <c r="AY19" s="257">
        <f>IF(AY$7="Actual",0,IF($K19="Monthly",i_Assumptions!AY19,INDEX($M19:$Q19,,MATCH(AY$4,$M$4:$Q$4,0))))</f>
        <v/>
      </c>
      <c r="AZ19" s="257">
        <f>IF(AZ$7="Actual",0,IF($K19="Monthly",i_Assumptions!AZ19,INDEX($M19:$Q19,,MATCH(AZ$4,$M$4:$Q$4,0))))</f>
        <v/>
      </c>
      <c r="BA19" s="257">
        <f>IF(BA$7="Actual",0,IF($K19="Monthly",i_Assumptions!BA19,INDEX($M19:$Q19,,MATCH(BA$4,$M$4:$Q$4,0))))</f>
        <v/>
      </c>
      <c r="BB19" s="257">
        <f>IF(BB$7="Actual",0,IF($K19="Monthly",i_Assumptions!BB19,INDEX($M19:$Q19,,MATCH(BB$4,$M$4:$Q$4,0))))</f>
        <v/>
      </c>
      <c r="BC19" s="257">
        <f>IF(BC$7="Actual",0,IF($K19="Monthly",i_Assumptions!BC19,INDEX($M19:$Q19,,MATCH(BC$4,$M$4:$Q$4,0))))</f>
        <v/>
      </c>
      <c r="BD19" s="257">
        <f>IF(BD$7="Actual",0,IF($K19="Monthly",i_Assumptions!BD19,INDEX($M19:$Q19,,MATCH(BD$4,$M$4:$Q$4,0))))</f>
        <v/>
      </c>
      <c r="BE19" s="257">
        <f>IF(BE$7="Actual",0,IF($K19="Monthly",i_Assumptions!BE19,INDEX($M19:$Q19,,MATCH(BE$4,$M$4:$Q$4,0))))</f>
        <v/>
      </c>
      <c r="BF19" s="257">
        <f>IF(BF$7="Actual",0,IF($K19="Monthly",i_Assumptions!BF19,INDEX($M19:$Q19,,MATCH(BF$4,$M$4:$Q$4,0))))</f>
        <v/>
      </c>
      <c r="BG19" s="257">
        <f>IF(BG$7="Actual",0,IF($K19="Monthly",i_Assumptions!BG19,INDEX($M19:$Q19,,MATCH(BG$4,$M$4:$Q$4,0))))</f>
        <v/>
      </c>
      <c r="BH19" s="257">
        <f>IF(BH$7="Actual",0,IF($K19="Monthly",i_Assumptions!BH19,INDEX($M19:$Q19,,MATCH(BH$4,$M$4:$Q$4,0))))</f>
        <v/>
      </c>
      <c r="BI19" s="257">
        <f>IF(BI$7="Actual",0,IF($K19="Monthly",i_Assumptions!BI19,INDEX($M19:$Q19,,MATCH(BI$4,$M$4:$Q$4,0))))</f>
        <v/>
      </c>
      <c r="BJ19" s="257">
        <f>IF(BJ$7="Actual",0,IF($K19="Monthly",i_Assumptions!BJ19,INDEX($M19:$Q19,,MATCH(BJ$4,$M$4:$Q$4,0))))</f>
        <v/>
      </c>
      <c r="BK19" s="257">
        <f>IF(BK$7="Actual",0,IF($K19="Monthly",i_Assumptions!BK19,INDEX($M19:$Q19,,MATCH(BK$4,$M$4:$Q$4,0))))</f>
        <v/>
      </c>
      <c r="BL19" s="257">
        <f>IF(BL$7="Actual",0,IF($K19="Monthly",i_Assumptions!BL19,INDEX($M19:$Q19,,MATCH(BL$4,$M$4:$Q$4,0))))</f>
        <v/>
      </c>
      <c r="BM19" s="257">
        <f>IF(BM$7="Actual",0,IF($K19="Monthly",i_Assumptions!BM19,INDEX($M19:$Q19,,MATCH(BM$4,$M$4:$Q$4,0))))</f>
        <v/>
      </c>
      <c r="BN19" s="257">
        <f>IF(BN$7="Actual",0,IF($K19="Monthly",i_Assumptions!BN19,INDEX($M19:$Q19,,MATCH(BN$4,$M$4:$Q$4,0))))</f>
        <v/>
      </c>
      <c r="BO19" s="257">
        <f>IF(BO$7="Actual",0,IF($K19="Monthly",i_Assumptions!BO19,INDEX($M19:$Q19,,MATCH(BO$4,$M$4:$Q$4,0))))</f>
        <v/>
      </c>
      <c r="BP19" s="257">
        <f>IF(BP$7="Actual",0,IF($K19="Monthly",i_Assumptions!BP19,INDEX($M19:$Q19,,MATCH(BP$4,$M$4:$Q$4,0))))</f>
        <v/>
      </c>
      <c r="BQ19" s="257">
        <f>IF(BQ$7="Actual",0,IF($K19="Monthly",i_Assumptions!BQ19,INDEX($M19:$Q19,,MATCH(BQ$4,$M$4:$Q$4,0))))</f>
        <v/>
      </c>
      <c r="BR19" s="257">
        <f>IF(BR$7="Actual",0,IF($K19="Monthly",i_Assumptions!BR19,INDEX($M19:$Q19,,MATCH(BR$4,$M$4:$Q$4,0))))</f>
        <v/>
      </c>
      <c r="BS19" s="257">
        <f>IF(BS$7="Actual",0,IF($K19="Monthly",i_Assumptions!BS19,INDEX($M19:$Q19,,MATCH(BS$4,$M$4:$Q$4,0))))</f>
        <v/>
      </c>
      <c r="BT19" s="257">
        <f>IF(BT$7="Actual",0,IF($K19="Monthly",i_Assumptions!BT19,INDEX($M19:$Q19,,MATCH(BT$4,$M$4:$Q$4,0))))</f>
        <v/>
      </c>
      <c r="BU19" s="257">
        <f>IF(BU$7="Actual",0,IF($K19="Monthly",i_Assumptions!BU19,INDEX($M19:$Q19,,MATCH(BU$4,$M$4:$Q$4,0))))</f>
        <v/>
      </c>
      <c r="BV19" s="257">
        <f>IF(BV$7="Actual",0,IF($K19="Monthly",i_Assumptions!BV19,INDEX($M19:$Q19,,MATCH(BV$4,$M$4:$Q$4,0))))</f>
        <v/>
      </c>
      <c r="BW19" s="257">
        <f>IF(BW$7="Actual",0,IF($K19="Monthly",i_Assumptions!BW19,INDEX($M19:$Q19,,MATCH(BW$4,$M$4:$Q$4,0))))</f>
        <v/>
      </c>
      <c r="BX19" s="257">
        <f>IF(BX$7="Actual",0,IF($K19="Monthly",i_Assumptions!BX19,INDEX($M19:$Q19,,MATCH(BX$4,$M$4:$Q$4,0))))</f>
        <v/>
      </c>
      <c r="BY19" s="257">
        <f>IF(BY$7="Actual",0,IF($K19="Monthly",i_Assumptions!BY19,INDEX($M19:$Q19,,MATCH(BY$4,$M$4:$Q$4,0))))</f>
        <v/>
      </c>
      <c r="BZ19" s="257">
        <f>IF(BZ$7="Actual",0,IF($K19="Monthly",i_Assumptions!BZ19,INDEX($M19:$Q19,,MATCH(BZ$4,$M$4:$Q$4,0))))</f>
        <v/>
      </c>
      <c r="CA19" s="257">
        <f>IF(CA$7="Actual",0,IF($K19="Monthly",i_Assumptions!CA19,INDEX($M19:$Q19,,MATCH(CA$4,$M$4:$Q$4,0))))</f>
        <v/>
      </c>
    </row>
    <row r="20" ht="12" customHeight="1" s="227">
      <c r="A20" s="244" t="n"/>
      <c r="B20" s="244" t="n"/>
      <c r="C20" s="244" t="n"/>
      <c r="H20" s="4">
        <f>i_Setup!U37</f>
        <v/>
      </c>
      <c r="I20" s="27" t="inlineStr">
        <is>
          <t>no.</t>
        </is>
      </c>
      <c r="K20" s="259">
        <f>i_Assumptions!K20</f>
        <v/>
      </c>
      <c r="M20" s="257">
        <f>IF($K20="Monthly",0,i_Assumptions!M20)</f>
        <v/>
      </c>
      <c r="N20" s="257">
        <f>IF($K20="Monthly",0,i_Assumptions!N20)</f>
        <v/>
      </c>
      <c r="O20" s="257">
        <f>IF($K20="Monthly",0,i_Assumptions!O20)</f>
        <v/>
      </c>
      <c r="P20" s="257">
        <f>IF($K20="Monthly",0,i_Assumptions!P20)</f>
        <v/>
      </c>
      <c r="Q20" s="257">
        <f>IF($K20="Monthly",0,i_Assumptions!Q20)</f>
        <v/>
      </c>
      <c r="T20" s="257">
        <f>IF(T$7="Actual",0,IF($K20="Monthly",i_Assumptions!T20,INDEX($M20:$Q20,,MATCH(T$4,$M$4:$Q$4,0))))</f>
        <v/>
      </c>
      <c r="U20" s="257">
        <f>IF(U$7="Actual",0,IF($K20="Monthly",i_Assumptions!U20,INDEX($M20:$Q20,,MATCH(U$4,$M$4:$Q$4,0))))</f>
        <v/>
      </c>
      <c r="V20" s="257">
        <f>IF(V$7="Actual",0,IF($K20="Monthly",i_Assumptions!V20,INDEX($M20:$Q20,,MATCH(V$4,$M$4:$Q$4,0))))</f>
        <v/>
      </c>
      <c r="W20" s="257">
        <f>IF(W$7="Actual",0,IF($K20="Monthly",i_Assumptions!W20,INDEX($M20:$Q20,,MATCH(W$4,$M$4:$Q$4,0))))</f>
        <v/>
      </c>
      <c r="X20" s="257">
        <f>IF(X$7="Actual",0,IF($K20="Monthly",i_Assumptions!X20,INDEX($M20:$Q20,,MATCH(X$4,$M$4:$Q$4,0))))</f>
        <v/>
      </c>
      <c r="Y20" s="257">
        <f>IF(Y$7="Actual",0,IF($K20="Monthly",i_Assumptions!Y20,INDEX($M20:$Q20,,MATCH(Y$4,$M$4:$Q$4,0))))</f>
        <v/>
      </c>
      <c r="Z20" s="257">
        <f>IF(Z$7="Actual",0,IF($K20="Monthly",i_Assumptions!Z20,INDEX($M20:$Q20,,MATCH(Z$4,$M$4:$Q$4,0))))</f>
        <v/>
      </c>
      <c r="AA20" s="257">
        <f>IF(AA$7="Actual",0,IF($K20="Monthly",i_Assumptions!AA20,INDEX($M20:$Q20,,MATCH(AA$4,$M$4:$Q$4,0))))</f>
        <v/>
      </c>
      <c r="AB20" s="257">
        <f>IF(AB$7="Actual",0,IF($K20="Monthly",i_Assumptions!AB20,INDEX($M20:$Q20,,MATCH(AB$4,$M$4:$Q$4,0))))</f>
        <v/>
      </c>
      <c r="AC20" s="257">
        <f>IF(AC$7="Actual",0,IF($K20="Monthly",i_Assumptions!AC20,INDEX($M20:$Q20,,MATCH(AC$4,$M$4:$Q$4,0))))</f>
        <v/>
      </c>
      <c r="AD20" s="257">
        <f>IF(AD$7="Actual",0,IF($K20="Monthly",i_Assumptions!AD20,INDEX($M20:$Q20,,MATCH(AD$4,$M$4:$Q$4,0))))</f>
        <v/>
      </c>
      <c r="AE20" s="257">
        <f>IF(AE$7="Actual",0,IF($K20="Monthly",i_Assumptions!AE20,INDEX($M20:$Q20,,MATCH(AE$4,$M$4:$Q$4,0))))</f>
        <v/>
      </c>
      <c r="AF20" s="257">
        <f>IF(AF$7="Actual",0,IF($K20="Monthly",i_Assumptions!AF20,INDEX($M20:$Q20,,MATCH(AF$4,$M$4:$Q$4,0))))</f>
        <v/>
      </c>
      <c r="AG20" s="257">
        <f>IF(AG$7="Actual",0,IF($K20="Monthly",i_Assumptions!AG20,INDEX($M20:$Q20,,MATCH(AG$4,$M$4:$Q$4,0))))</f>
        <v/>
      </c>
      <c r="AH20" s="257">
        <f>IF(AH$7="Actual",0,IF($K20="Monthly",i_Assumptions!AH20,INDEX($M20:$Q20,,MATCH(AH$4,$M$4:$Q$4,0))))</f>
        <v/>
      </c>
      <c r="AI20" s="257">
        <f>IF(AI$7="Actual",0,IF($K20="Monthly",i_Assumptions!AI20,INDEX($M20:$Q20,,MATCH(AI$4,$M$4:$Q$4,0))))</f>
        <v/>
      </c>
      <c r="AJ20" s="257">
        <f>IF(AJ$7="Actual",0,IF($K20="Monthly",i_Assumptions!AJ20,INDEX($M20:$Q20,,MATCH(AJ$4,$M$4:$Q$4,0))))</f>
        <v/>
      </c>
      <c r="AK20" s="257">
        <f>IF(AK$7="Actual",0,IF($K20="Monthly",i_Assumptions!AK20,INDEX($M20:$Q20,,MATCH(AK$4,$M$4:$Q$4,0))))</f>
        <v/>
      </c>
      <c r="AL20" s="257">
        <f>IF(AL$7="Actual",0,IF($K20="Monthly",i_Assumptions!AL20,INDEX($M20:$Q20,,MATCH(AL$4,$M$4:$Q$4,0))))</f>
        <v/>
      </c>
      <c r="AM20" s="257">
        <f>IF(AM$7="Actual",0,IF($K20="Monthly",i_Assumptions!AM20,INDEX($M20:$Q20,,MATCH(AM$4,$M$4:$Q$4,0))))</f>
        <v/>
      </c>
      <c r="AN20" s="257">
        <f>IF(AN$7="Actual",0,IF($K20="Monthly",i_Assumptions!AN20,INDEX($M20:$Q20,,MATCH(AN$4,$M$4:$Q$4,0))))</f>
        <v/>
      </c>
      <c r="AO20" s="257">
        <f>IF(AO$7="Actual",0,IF($K20="Monthly",i_Assumptions!AO20,INDEX($M20:$Q20,,MATCH(AO$4,$M$4:$Q$4,0))))</f>
        <v/>
      </c>
      <c r="AP20" s="257">
        <f>IF(AP$7="Actual",0,IF($K20="Monthly",i_Assumptions!AP20,INDEX($M20:$Q20,,MATCH(AP$4,$M$4:$Q$4,0))))</f>
        <v/>
      </c>
      <c r="AQ20" s="257">
        <f>IF(AQ$7="Actual",0,IF($K20="Monthly",i_Assumptions!AQ20,INDEX($M20:$Q20,,MATCH(AQ$4,$M$4:$Q$4,0))))</f>
        <v/>
      </c>
      <c r="AR20" s="257">
        <f>IF(AR$7="Actual",0,IF($K20="Monthly",i_Assumptions!AR20,INDEX($M20:$Q20,,MATCH(AR$4,$M$4:$Q$4,0))))</f>
        <v/>
      </c>
      <c r="AS20" s="257">
        <f>IF(AS$7="Actual",0,IF($K20="Monthly",i_Assumptions!AS20,INDEX($M20:$Q20,,MATCH(AS$4,$M$4:$Q$4,0))))</f>
        <v/>
      </c>
      <c r="AT20" s="257">
        <f>IF(AT$7="Actual",0,IF($K20="Monthly",i_Assumptions!AT20,INDEX($M20:$Q20,,MATCH(AT$4,$M$4:$Q$4,0))))</f>
        <v/>
      </c>
      <c r="AU20" s="257">
        <f>IF(AU$7="Actual",0,IF($K20="Monthly",i_Assumptions!AU20,INDEX($M20:$Q20,,MATCH(AU$4,$M$4:$Q$4,0))))</f>
        <v/>
      </c>
      <c r="AV20" s="257">
        <f>IF(AV$7="Actual",0,IF($K20="Monthly",i_Assumptions!AV20,INDEX($M20:$Q20,,MATCH(AV$4,$M$4:$Q$4,0))))</f>
        <v/>
      </c>
      <c r="AW20" s="257">
        <f>IF(AW$7="Actual",0,IF($K20="Monthly",i_Assumptions!AW20,INDEX($M20:$Q20,,MATCH(AW$4,$M$4:$Q$4,0))))</f>
        <v/>
      </c>
      <c r="AX20" s="257">
        <f>IF(AX$7="Actual",0,IF($K20="Monthly",i_Assumptions!AX20,INDEX($M20:$Q20,,MATCH(AX$4,$M$4:$Q$4,0))))</f>
        <v/>
      </c>
      <c r="AY20" s="257">
        <f>IF(AY$7="Actual",0,IF($K20="Monthly",i_Assumptions!AY20,INDEX($M20:$Q20,,MATCH(AY$4,$M$4:$Q$4,0))))</f>
        <v/>
      </c>
      <c r="AZ20" s="257">
        <f>IF(AZ$7="Actual",0,IF($K20="Monthly",i_Assumptions!AZ20,INDEX($M20:$Q20,,MATCH(AZ$4,$M$4:$Q$4,0))))</f>
        <v/>
      </c>
      <c r="BA20" s="257">
        <f>IF(BA$7="Actual",0,IF($K20="Monthly",i_Assumptions!BA20,INDEX($M20:$Q20,,MATCH(BA$4,$M$4:$Q$4,0))))</f>
        <v/>
      </c>
      <c r="BB20" s="257">
        <f>IF(BB$7="Actual",0,IF($K20="Monthly",i_Assumptions!BB20,INDEX($M20:$Q20,,MATCH(BB$4,$M$4:$Q$4,0))))</f>
        <v/>
      </c>
      <c r="BC20" s="257">
        <f>IF(BC$7="Actual",0,IF($K20="Monthly",i_Assumptions!BC20,INDEX($M20:$Q20,,MATCH(BC$4,$M$4:$Q$4,0))))</f>
        <v/>
      </c>
      <c r="BD20" s="257">
        <f>IF(BD$7="Actual",0,IF($K20="Monthly",i_Assumptions!BD20,INDEX($M20:$Q20,,MATCH(BD$4,$M$4:$Q$4,0))))</f>
        <v/>
      </c>
      <c r="BE20" s="257">
        <f>IF(BE$7="Actual",0,IF($K20="Monthly",i_Assumptions!BE20,INDEX($M20:$Q20,,MATCH(BE$4,$M$4:$Q$4,0))))</f>
        <v/>
      </c>
      <c r="BF20" s="257">
        <f>IF(BF$7="Actual",0,IF($K20="Monthly",i_Assumptions!BF20,INDEX($M20:$Q20,,MATCH(BF$4,$M$4:$Q$4,0))))</f>
        <v/>
      </c>
      <c r="BG20" s="257">
        <f>IF(BG$7="Actual",0,IF($K20="Monthly",i_Assumptions!BG20,INDEX($M20:$Q20,,MATCH(BG$4,$M$4:$Q$4,0))))</f>
        <v/>
      </c>
      <c r="BH20" s="257">
        <f>IF(BH$7="Actual",0,IF($K20="Monthly",i_Assumptions!BH20,INDEX($M20:$Q20,,MATCH(BH$4,$M$4:$Q$4,0))))</f>
        <v/>
      </c>
      <c r="BI20" s="257">
        <f>IF(BI$7="Actual",0,IF($K20="Monthly",i_Assumptions!BI20,INDEX($M20:$Q20,,MATCH(BI$4,$M$4:$Q$4,0))))</f>
        <v/>
      </c>
      <c r="BJ20" s="257">
        <f>IF(BJ$7="Actual",0,IF($K20="Monthly",i_Assumptions!BJ20,INDEX($M20:$Q20,,MATCH(BJ$4,$M$4:$Q$4,0))))</f>
        <v/>
      </c>
      <c r="BK20" s="257">
        <f>IF(BK$7="Actual",0,IF($K20="Monthly",i_Assumptions!BK20,INDEX($M20:$Q20,,MATCH(BK$4,$M$4:$Q$4,0))))</f>
        <v/>
      </c>
      <c r="BL20" s="257">
        <f>IF(BL$7="Actual",0,IF($K20="Monthly",i_Assumptions!BL20,INDEX($M20:$Q20,,MATCH(BL$4,$M$4:$Q$4,0))))</f>
        <v/>
      </c>
      <c r="BM20" s="257">
        <f>IF(BM$7="Actual",0,IF($K20="Monthly",i_Assumptions!BM20,INDEX($M20:$Q20,,MATCH(BM$4,$M$4:$Q$4,0))))</f>
        <v/>
      </c>
      <c r="BN20" s="257">
        <f>IF(BN$7="Actual",0,IF($K20="Monthly",i_Assumptions!BN20,INDEX($M20:$Q20,,MATCH(BN$4,$M$4:$Q$4,0))))</f>
        <v/>
      </c>
      <c r="BO20" s="257">
        <f>IF(BO$7="Actual",0,IF($K20="Monthly",i_Assumptions!BO20,INDEX($M20:$Q20,,MATCH(BO$4,$M$4:$Q$4,0))))</f>
        <v/>
      </c>
      <c r="BP20" s="257">
        <f>IF(BP$7="Actual",0,IF($K20="Monthly",i_Assumptions!BP20,INDEX($M20:$Q20,,MATCH(BP$4,$M$4:$Q$4,0))))</f>
        <v/>
      </c>
      <c r="BQ20" s="257">
        <f>IF(BQ$7="Actual",0,IF($K20="Monthly",i_Assumptions!BQ20,INDEX($M20:$Q20,,MATCH(BQ$4,$M$4:$Q$4,0))))</f>
        <v/>
      </c>
      <c r="BR20" s="257">
        <f>IF(BR$7="Actual",0,IF($K20="Monthly",i_Assumptions!BR20,INDEX($M20:$Q20,,MATCH(BR$4,$M$4:$Q$4,0))))</f>
        <v/>
      </c>
      <c r="BS20" s="257">
        <f>IF(BS$7="Actual",0,IF($K20="Monthly",i_Assumptions!BS20,INDEX($M20:$Q20,,MATCH(BS$4,$M$4:$Q$4,0))))</f>
        <v/>
      </c>
      <c r="BT20" s="257">
        <f>IF(BT$7="Actual",0,IF($K20="Monthly",i_Assumptions!BT20,INDEX($M20:$Q20,,MATCH(BT$4,$M$4:$Q$4,0))))</f>
        <v/>
      </c>
      <c r="BU20" s="257">
        <f>IF(BU$7="Actual",0,IF($K20="Monthly",i_Assumptions!BU20,INDEX($M20:$Q20,,MATCH(BU$4,$M$4:$Q$4,0))))</f>
        <v/>
      </c>
      <c r="BV20" s="257">
        <f>IF(BV$7="Actual",0,IF($K20="Monthly",i_Assumptions!BV20,INDEX($M20:$Q20,,MATCH(BV$4,$M$4:$Q$4,0))))</f>
        <v/>
      </c>
      <c r="BW20" s="257">
        <f>IF(BW$7="Actual",0,IF($K20="Monthly",i_Assumptions!BW20,INDEX($M20:$Q20,,MATCH(BW$4,$M$4:$Q$4,0))))</f>
        <v/>
      </c>
      <c r="BX20" s="257">
        <f>IF(BX$7="Actual",0,IF($K20="Monthly",i_Assumptions!BX20,INDEX($M20:$Q20,,MATCH(BX$4,$M$4:$Q$4,0))))</f>
        <v/>
      </c>
      <c r="BY20" s="257">
        <f>IF(BY$7="Actual",0,IF($K20="Monthly",i_Assumptions!BY20,INDEX($M20:$Q20,,MATCH(BY$4,$M$4:$Q$4,0))))</f>
        <v/>
      </c>
      <c r="BZ20" s="257">
        <f>IF(BZ$7="Actual",0,IF($K20="Monthly",i_Assumptions!BZ20,INDEX($M20:$Q20,,MATCH(BZ$4,$M$4:$Q$4,0))))</f>
        <v/>
      </c>
      <c r="CA20" s="257">
        <f>IF(CA$7="Actual",0,IF($K20="Monthly",i_Assumptions!CA20,INDEX($M20:$Q20,,MATCH(CA$4,$M$4:$Q$4,0))))</f>
        <v/>
      </c>
    </row>
    <row r="21" ht="12" customHeight="1" s="227">
      <c r="A21" s="244" t="n"/>
      <c r="B21" s="244" t="n"/>
      <c r="C21" s="244" t="n"/>
      <c r="H21" s="4">
        <f>i_Setup!U38</f>
        <v/>
      </c>
      <c r="I21" s="27" t="inlineStr">
        <is>
          <t>no.</t>
        </is>
      </c>
      <c r="K21" s="259">
        <f>i_Assumptions!K21</f>
        <v/>
      </c>
      <c r="M21" s="257">
        <f>IF($K21="Monthly",0,i_Assumptions!M21)</f>
        <v/>
      </c>
      <c r="N21" s="257">
        <f>IF($K21="Monthly",0,i_Assumptions!N21)</f>
        <v/>
      </c>
      <c r="O21" s="257">
        <f>IF($K21="Monthly",0,i_Assumptions!O21)</f>
        <v/>
      </c>
      <c r="P21" s="257">
        <f>IF($K21="Monthly",0,i_Assumptions!P21)</f>
        <v/>
      </c>
      <c r="Q21" s="257">
        <f>IF($K21="Monthly",0,i_Assumptions!Q21)</f>
        <v/>
      </c>
      <c r="T21" s="257">
        <f>IF(T$7="Actual",0,IF($K21="Monthly",i_Assumptions!T21,INDEX($M21:$Q21,,MATCH(T$4,$M$4:$Q$4,0))))</f>
        <v/>
      </c>
      <c r="U21" s="257">
        <f>IF(U$7="Actual",0,IF($K21="Monthly",i_Assumptions!U21,INDEX($M21:$Q21,,MATCH(U$4,$M$4:$Q$4,0))))</f>
        <v/>
      </c>
      <c r="V21" s="257">
        <f>IF(V$7="Actual",0,IF($K21="Monthly",i_Assumptions!V21,INDEX($M21:$Q21,,MATCH(V$4,$M$4:$Q$4,0))))</f>
        <v/>
      </c>
      <c r="W21" s="257">
        <f>IF(W$7="Actual",0,IF($K21="Monthly",i_Assumptions!W21,INDEX($M21:$Q21,,MATCH(W$4,$M$4:$Q$4,0))))</f>
        <v/>
      </c>
      <c r="X21" s="257">
        <f>IF(X$7="Actual",0,IF($K21="Monthly",i_Assumptions!X21,INDEX($M21:$Q21,,MATCH(X$4,$M$4:$Q$4,0))))</f>
        <v/>
      </c>
      <c r="Y21" s="257">
        <f>IF(Y$7="Actual",0,IF($K21="Monthly",i_Assumptions!Y21,INDEX($M21:$Q21,,MATCH(Y$4,$M$4:$Q$4,0))))</f>
        <v/>
      </c>
      <c r="Z21" s="257">
        <f>IF(Z$7="Actual",0,IF($K21="Monthly",i_Assumptions!Z21,INDEX($M21:$Q21,,MATCH(Z$4,$M$4:$Q$4,0))))</f>
        <v/>
      </c>
      <c r="AA21" s="257">
        <f>IF(AA$7="Actual",0,IF($K21="Monthly",i_Assumptions!AA21,INDEX($M21:$Q21,,MATCH(AA$4,$M$4:$Q$4,0))))</f>
        <v/>
      </c>
      <c r="AB21" s="257">
        <f>IF(AB$7="Actual",0,IF($K21="Monthly",i_Assumptions!AB21,INDEX($M21:$Q21,,MATCH(AB$4,$M$4:$Q$4,0))))</f>
        <v/>
      </c>
      <c r="AC21" s="257">
        <f>IF(AC$7="Actual",0,IF($K21="Monthly",i_Assumptions!AC21,INDEX($M21:$Q21,,MATCH(AC$4,$M$4:$Q$4,0))))</f>
        <v/>
      </c>
      <c r="AD21" s="257">
        <f>IF(AD$7="Actual",0,IF($K21="Monthly",i_Assumptions!AD21,INDEX($M21:$Q21,,MATCH(AD$4,$M$4:$Q$4,0))))</f>
        <v/>
      </c>
      <c r="AE21" s="257">
        <f>IF(AE$7="Actual",0,IF($K21="Monthly",i_Assumptions!AE21,INDEX($M21:$Q21,,MATCH(AE$4,$M$4:$Q$4,0))))</f>
        <v/>
      </c>
      <c r="AF21" s="257">
        <f>IF(AF$7="Actual",0,IF($K21="Monthly",i_Assumptions!AF21,INDEX($M21:$Q21,,MATCH(AF$4,$M$4:$Q$4,0))))</f>
        <v/>
      </c>
      <c r="AG21" s="257">
        <f>IF(AG$7="Actual",0,IF($K21="Monthly",i_Assumptions!AG21,INDEX($M21:$Q21,,MATCH(AG$4,$M$4:$Q$4,0))))</f>
        <v/>
      </c>
      <c r="AH21" s="257">
        <f>IF(AH$7="Actual",0,IF($K21="Monthly",i_Assumptions!AH21,INDEX($M21:$Q21,,MATCH(AH$4,$M$4:$Q$4,0))))</f>
        <v/>
      </c>
      <c r="AI21" s="257">
        <f>IF(AI$7="Actual",0,IF($K21="Monthly",i_Assumptions!AI21,INDEX($M21:$Q21,,MATCH(AI$4,$M$4:$Q$4,0))))</f>
        <v/>
      </c>
      <c r="AJ21" s="257">
        <f>IF(AJ$7="Actual",0,IF($K21="Monthly",i_Assumptions!AJ21,INDEX($M21:$Q21,,MATCH(AJ$4,$M$4:$Q$4,0))))</f>
        <v/>
      </c>
      <c r="AK21" s="257">
        <f>IF(AK$7="Actual",0,IF($K21="Monthly",i_Assumptions!AK21,INDEX($M21:$Q21,,MATCH(AK$4,$M$4:$Q$4,0))))</f>
        <v/>
      </c>
      <c r="AL21" s="257">
        <f>IF(AL$7="Actual",0,IF($K21="Monthly",i_Assumptions!AL21,INDEX($M21:$Q21,,MATCH(AL$4,$M$4:$Q$4,0))))</f>
        <v/>
      </c>
      <c r="AM21" s="257">
        <f>IF(AM$7="Actual",0,IF($K21="Monthly",i_Assumptions!AM21,INDEX($M21:$Q21,,MATCH(AM$4,$M$4:$Q$4,0))))</f>
        <v/>
      </c>
      <c r="AN21" s="257">
        <f>IF(AN$7="Actual",0,IF($K21="Monthly",i_Assumptions!AN21,INDEX($M21:$Q21,,MATCH(AN$4,$M$4:$Q$4,0))))</f>
        <v/>
      </c>
      <c r="AO21" s="257">
        <f>IF(AO$7="Actual",0,IF($K21="Monthly",i_Assumptions!AO21,INDEX($M21:$Q21,,MATCH(AO$4,$M$4:$Q$4,0))))</f>
        <v/>
      </c>
      <c r="AP21" s="257">
        <f>IF(AP$7="Actual",0,IF($K21="Monthly",i_Assumptions!AP21,INDEX($M21:$Q21,,MATCH(AP$4,$M$4:$Q$4,0))))</f>
        <v/>
      </c>
      <c r="AQ21" s="257">
        <f>IF(AQ$7="Actual",0,IF($K21="Monthly",i_Assumptions!AQ21,INDEX($M21:$Q21,,MATCH(AQ$4,$M$4:$Q$4,0))))</f>
        <v/>
      </c>
      <c r="AR21" s="257">
        <f>IF(AR$7="Actual",0,IF($K21="Monthly",i_Assumptions!AR21,INDEX($M21:$Q21,,MATCH(AR$4,$M$4:$Q$4,0))))</f>
        <v/>
      </c>
      <c r="AS21" s="257">
        <f>IF(AS$7="Actual",0,IF($K21="Monthly",i_Assumptions!AS21,INDEX($M21:$Q21,,MATCH(AS$4,$M$4:$Q$4,0))))</f>
        <v/>
      </c>
      <c r="AT21" s="257">
        <f>IF(AT$7="Actual",0,IF($K21="Monthly",i_Assumptions!AT21,INDEX($M21:$Q21,,MATCH(AT$4,$M$4:$Q$4,0))))</f>
        <v/>
      </c>
      <c r="AU21" s="257">
        <f>IF(AU$7="Actual",0,IF($K21="Monthly",i_Assumptions!AU21,INDEX($M21:$Q21,,MATCH(AU$4,$M$4:$Q$4,0))))</f>
        <v/>
      </c>
      <c r="AV21" s="257">
        <f>IF(AV$7="Actual",0,IF($K21="Monthly",i_Assumptions!AV21,INDEX($M21:$Q21,,MATCH(AV$4,$M$4:$Q$4,0))))</f>
        <v/>
      </c>
      <c r="AW21" s="257">
        <f>IF(AW$7="Actual",0,IF($K21="Monthly",i_Assumptions!AW21,INDEX($M21:$Q21,,MATCH(AW$4,$M$4:$Q$4,0))))</f>
        <v/>
      </c>
      <c r="AX21" s="257">
        <f>IF(AX$7="Actual",0,IF($K21="Monthly",i_Assumptions!AX21,INDEX($M21:$Q21,,MATCH(AX$4,$M$4:$Q$4,0))))</f>
        <v/>
      </c>
      <c r="AY21" s="257">
        <f>IF(AY$7="Actual",0,IF($K21="Monthly",i_Assumptions!AY21,INDEX($M21:$Q21,,MATCH(AY$4,$M$4:$Q$4,0))))</f>
        <v/>
      </c>
      <c r="AZ21" s="257">
        <f>IF(AZ$7="Actual",0,IF($K21="Monthly",i_Assumptions!AZ21,INDEX($M21:$Q21,,MATCH(AZ$4,$M$4:$Q$4,0))))</f>
        <v/>
      </c>
      <c r="BA21" s="257">
        <f>IF(BA$7="Actual",0,IF($K21="Monthly",i_Assumptions!BA21,INDEX($M21:$Q21,,MATCH(BA$4,$M$4:$Q$4,0))))</f>
        <v/>
      </c>
      <c r="BB21" s="257">
        <f>IF(BB$7="Actual",0,IF($K21="Monthly",i_Assumptions!BB21,INDEX($M21:$Q21,,MATCH(BB$4,$M$4:$Q$4,0))))</f>
        <v/>
      </c>
      <c r="BC21" s="257">
        <f>IF(BC$7="Actual",0,IF($K21="Monthly",i_Assumptions!BC21,INDEX($M21:$Q21,,MATCH(BC$4,$M$4:$Q$4,0))))</f>
        <v/>
      </c>
      <c r="BD21" s="257">
        <f>IF(BD$7="Actual",0,IF($K21="Monthly",i_Assumptions!BD21,INDEX($M21:$Q21,,MATCH(BD$4,$M$4:$Q$4,0))))</f>
        <v/>
      </c>
      <c r="BE21" s="257">
        <f>IF(BE$7="Actual",0,IF($K21="Monthly",i_Assumptions!BE21,INDEX($M21:$Q21,,MATCH(BE$4,$M$4:$Q$4,0))))</f>
        <v/>
      </c>
      <c r="BF21" s="257">
        <f>IF(BF$7="Actual",0,IF($K21="Monthly",i_Assumptions!BF21,INDEX($M21:$Q21,,MATCH(BF$4,$M$4:$Q$4,0))))</f>
        <v/>
      </c>
      <c r="BG21" s="257">
        <f>IF(BG$7="Actual",0,IF($K21="Monthly",i_Assumptions!BG21,INDEX($M21:$Q21,,MATCH(BG$4,$M$4:$Q$4,0))))</f>
        <v/>
      </c>
      <c r="BH21" s="257">
        <f>IF(BH$7="Actual",0,IF($K21="Monthly",i_Assumptions!BH21,INDEX($M21:$Q21,,MATCH(BH$4,$M$4:$Q$4,0))))</f>
        <v/>
      </c>
      <c r="BI21" s="257">
        <f>IF(BI$7="Actual",0,IF($K21="Monthly",i_Assumptions!BI21,INDEX($M21:$Q21,,MATCH(BI$4,$M$4:$Q$4,0))))</f>
        <v/>
      </c>
      <c r="BJ21" s="257">
        <f>IF(BJ$7="Actual",0,IF($K21="Monthly",i_Assumptions!BJ21,INDEX($M21:$Q21,,MATCH(BJ$4,$M$4:$Q$4,0))))</f>
        <v/>
      </c>
      <c r="BK21" s="257">
        <f>IF(BK$7="Actual",0,IF($K21="Monthly",i_Assumptions!BK21,INDEX($M21:$Q21,,MATCH(BK$4,$M$4:$Q$4,0))))</f>
        <v/>
      </c>
      <c r="BL21" s="257">
        <f>IF(BL$7="Actual",0,IF($K21="Monthly",i_Assumptions!BL21,INDEX($M21:$Q21,,MATCH(BL$4,$M$4:$Q$4,0))))</f>
        <v/>
      </c>
      <c r="BM21" s="257">
        <f>IF(BM$7="Actual",0,IF($K21="Monthly",i_Assumptions!BM21,INDEX($M21:$Q21,,MATCH(BM$4,$M$4:$Q$4,0))))</f>
        <v/>
      </c>
      <c r="BN21" s="257">
        <f>IF(BN$7="Actual",0,IF($K21="Monthly",i_Assumptions!BN21,INDEX($M21:$Q21,,MATCH(BN$4,$M$4:$Q$4,0))))</f>
        <v/>
      </c>
      <c r="BO21" s="257">
        <f>IF(BO$7="Actual",0,IF($K21="Monthly",i_Assumptions!BO21,INDEX($M21:$Q21,,MATCH(BO$4,$M$4:$Q$4,0))))</f>
        <v/>
      </c>
      <c r="BP21" s="257">
        <f>IF(BP$7="Actual",0,IF($K21="Monthly",i_Assumptions!BP21,INDEX($M21:$Q21,,MATCH(BP$4,$M$4:$Q$4,0))))</f>
        <v/>
      </c>
      <c r="BQ21" s="257">
        <f>IF(BQ$7="Actual",0,IF($K21="Monthly",i_Assumptions!BQ21,INDEX($M21:$Q21,,MATCH(BQ$4,$M$4:$Q$4,0))))</f>
        <v/>
      </c>
      <c r="BR21" s="257">
        <f>IF(BR$7="Actual",0,IF($K21="Monthly",i_Assumptions!BR21,INDEX($M21:$Q21,,MATCH(BR$4,$M$4:$Q$4,0))))</f>
        <v/>
      </c>
      <c r="BS21" s="257">
        <f>IF(BS$7="Actual",0,IF($K21="Monthly",i_Assumptions!BS21,INDEX($M21:$Q21,,MATCH(BS$4,$M$4:$Q$4,0))))</f>
        <v/>
      </c>
      <c r="BT21" s="257">
        <f>IF(BT$7="Actual",0,IF($K21="Monthly",i_Assumptions!BT21,INDEX($M21:$Q21,,MATCH(BT$4,$M$4:$Q$4,0))))</f>
        <v/>
      </c>
      <c r="BU21" s="257">
        <f>IF(BU$7="Actual",0,IF($K21="Monthly",i_Assumptions!BU21,INDEX($M21:$Q21,,MATCH(BU$4,$M$4:$Q$4,0))))</f>
        <v/>
      </c>
      <c r="BV21" s="257">
        <f>IF(BV$7="Actual",0,IF($K21="Monthly",i_Assumptions!BV21,INDEX($M21:$Q21,,MATCH(BV$4,$M$4:$Q$4,0))))</f>
        <v/>
      </c>
      <c r="BW21" s="257">
        <f>IF(BW$7="Actual",0,IF($K21="Monthly",i_Assumptions!BW21,INDEX($M21:$Q21,,MATCH(BW$4,$M$4:$Q$4,0))))</f>
        <v/>
      </c>
      <c r="BX21" s="257">
        <f>IF(BX$7="Actual",0,IF($K21="Monthly",i_Assumptions!BX21,INDEX($M21:$Q21,,MATCH(BX$4,$M$4:$Q$4,0))))</f>
        <v/>
      </c>
      <c r="BY21" s="257">
        <f>IF(BY$7="Actual",0,IF($K21="Monthly",i_Assumptions!BY21,INDEX($M21:$Q21,,MATCH(BY$4,$M$4:$Q$4,0))))</f>
        <v/>
      </c>
      <c r="BZ21" s="257">
        <f>IF(BZ$7="Actual",0,IF($K21="Monthly",i_Assumptions!BZ21,INDEX($M21:$Q21,,MATCH(BZ$4,$M$4:$Q$4,0))))</f>
        <v/>
      </c>
      <c r="CA21" s="257">
        <f>IF(CA$7="Actual",0,IF($K21="Monthly",i_Assumptions!CA21,INDEX($M21:$Q21,,MATCH(CA$4,$M$4:$Q$4,0))))</f>
        <v/>
      </c>
    </row>
    <row r="22" ht="12" customHeight="1" s="227">
      <c r="A22" s="244" t="n"/>
      <c r="B22" s="244" t="n"/>
      <c r="C22" s="244" t="n"/>
      <c r="H22" s="4">
        <f>i_Setup!U39</f>
        <v/>
      </c>
      <c r="I22" s="27" t="inlineStr">
        <is>
          <t>no.</t>
        </is>
      </c>
      <c r="K22" s="259">
        <f>i_Assumptions!K22</f>
        <v/>
      </c>
      <c r="M22" s="257">
        <f>IF($K22="Monthly",0,i_Assumptions!M22)</f>
        <v/>
      </c>
      <c r="N22" s="257">
        <f>IF($K22="Monthly",0,i_Assumptions!N22)</f>
        <v/>
      </c>
      <c r="O22" s="257">
        <f>IF($K22="Monthly",0,i_Assumptions!O22)</f>
        <v/>
      </c>
      <c r="P22" s="257">
        <f>IF($K22="Monthly",0,i_Assumptions!P22)</f>
        <v/>
      </c>
      <c r="Q22" s="257">
        <f>IF($K22="Monthly",0,i_Assumptions!Q22)</f>
        <v/>
      </c>
      <c r="T22" s="257">
        <f>IF(T$7="Actual",0,IF($K22="Monthly",i_Assumptions!T22,INDEX($M22:$Q22,,MATCH(T$4,$M$4:$Q$4,0))))</f>
        <v/>
      </c>
      <c r="U22" s="257">
        <f>IF(U$7="Actual",0,IF($K22="Monthly",i_Assumptions!U22,INDEX($M22:$Q22,,MATCH(U$4,$M$4:$Q$4,0))))</f>
        <v/>
      </c>
      <c r="V22" s="257">
        <f>IF(V$7="Actual",0,IF($K22="Monthly",i_Assumptions!V22,INDEX($M22:$Q22,,MATCH(V$4,$M$4:$Q$4,0))))</f>
        <v/>
      </c>
      <c r="W22" s="257">
        <f>IF(W$7="Actual",0,IF($K22="Monthly",i_Assumptions!W22,INDEX($M22:$Q22,,MATCH(W$4,$M$4:$Q$4,0))))</f>
        <v/>
      </c>
      <c r="X22" s="257">
        <f>IF(X$7="Actual",0,IF($K22="Monthly",i_Assumptions!X22,INDEX($M22:$Q22,,MATCH(X$4,$M$4:$Q$4,0))))</f>
        <v/>
      </c>
      <c r="Y22" s="257">
        <f>IF(Y$7="Actual",0,IF($K22="Monthly",i_Assumptions!Y22,INDEX($M22:$Q22,,MATCH(Y$4,$M$4:$Q$4,0))))</f>
        <v/>
      </c>
      <c r="Z22" s="257">
        <f>IF(Z$7="Actual",0,IF($K22="Monthly",i_Assumptions!Z22,INDEX($M22:$Q22,,MATCH(Z$4,$M$4:$Q$4,0))))</f>
        <v/>
      </c>
      <c r="AA22" s="257">
        <f>IF(AA$7="Actual",0,IF($K22="Monthly",i_Assumptions!AA22,INDEX($M22:$Q22,,MATCH(AA$4,$M$4:$Q$4,0))))</f>
        <v/>
      </c>
      <c r="AB22" s="257">
        <f>IF(AB$7="Actual",0,IF($K22="Monthly",i_Assumptions!AB22,INDEX($M22:$Q22,,MATCH(AB$4,$M$4:$Q$4,0))))</f>
        <v/>
      </c>
      <c r="AC22" s="257">
        <f>IF(AC$7="Actual",0,IF($K22="Monthly",i_Assumptions!AC22,INDEX($M22:$Q22,,MATCH(AC$4,$M$4:$Q$4,0))))</f>
        <v/>
      </c>
      <c r="AD22" s="257">
        <f>IF(AD$7="Actual",0,IF($K22="Monthly",i_Assumptions!AD22,INDEX($M22:$Q22,,MATCH(AD$4,$M$4:$Q$4,0))))</f>
        <v/>
      </c>
      <c r="AE22" s="257">
        <f>IF(AE$7="Actual",0,IF($K22="Monthly",i_Assumptions!AE22,INDEX($M22:$Q22,,MATCH(AE$4,$M$4:$Q$4,0))))</f>
        <v/>
      </c>
      <c r="AF22" s="257">
        <f>IF(AF$7="Actual",0,IF($K22="Monthly",i_Assumptions!AF22,INDEX($M22:$Q22,,MATCH(AF$4,$M$4:$Q$4,0))))</f>
        <v/>
      </c>
      <c r="AG22" s="257">
        <f>IF(AG$7="Actual",0,IF($K22="Monthly",i_Assumptions!AG22,INDEX($M22:$Q22,,MATCH(AG$4,$M$4:$Q$4,0))))</f>
        <v/>
      </c>
      <c r="AH22" s="257">
        <f>IF(AH$7="Actual",0,IF($K22="Monthly",i_Assumptions!AH22,INDEX($M22:$Q22,,MATCH(AH$4,$M$4:$Q$4,0))))</f>
        <v/>
      </c>
      <c r="AI22" s="257">
        <f>IF(AI$7="Actual",0,IF($K22="Monthly",i_Assumptions!AI22,INDEX($M22:$Q22,,MATCH(AI$4,$M$4:$Q$4,0))))</f>
        <v/>
      </c>
      <c r="AJ22" s="257">
        <f>IF(AJ$7="Actual",0,IF($K22="Monthly",i_Assumptions!AJ22,INDEX($M22:$Q22,,MATCH(AJ$4,$M$4:$Q$4,0))))</f>
        <v/>
      </c>
      <c r="AK22" s="257">
        <f>IF(AK$7="Actual",0,IF($K22="Monthly",i_Assumptions!AK22,INDEX($M22:$Q22,,MATCH(AK$4,$M$4:$Q$4,0))))</f>
        <v/>
      </c>
      <c r="AL22" s="257">
        <f>IF(AL$7="Actual",0,IF($K22="Monthly",i_Assumptions!AL22,INDEX($M22:$Q22,,MATCH(AL$4,$M$4:$Q$4,0))))</f>
        <v/>
      </c>
      <c r="AM22" s="257">
        <f>IF(AM$7="Actual",0,IF($K22="Monthly",i_Assumptions!AM22,INDEX($M22:$Q22,,MATCH(AM$4,$M$4:$Q$4,0))))</f>
        <v/>
      </c>
      <c r="AN22" s="257">
        <f>IF(AN$7="Actual",0,IF($K22="Monthly",i_Assumptions!AN22,INDEX($M22:$Q22,,MATCH(AN$4,$M$4:$Q$4,0))))</f>
        <v/>
      </c>
      <c r="AO22" s="257">
        <f>IF(AO$7="Actual",0,IF($K22="Monthly",i_Assumptions!AO22,INDEX($M22:$Q22,,MATCH(AO$4,$M$4:$Q$4,0))))</f>
        <v/>
      </c>
      <c r="AP22" s="257">
        <f>IF(AP$7="Actual",0,IF($K22="Monthly",i_Assumptions!AP22,INDEX($M22:$Q22,,MATCH(AP$4,$M$4:$Q$4,0))))</f>
        <v/>
      </c>
      <c r="AQ22" s="257">
        <f>IF(AQ$7="Actual",0,IF($K22="Monthly",i_Assumptions!AQ22,INDEX($M22:$Q22,,MATCH(AQ$4,$M$4:$Q$4,0))))</f>
        <v/>
      </c>
      <c r="AR22" s="257">
        <f>IF(AR$7="Actual",0,IF($K22="Monthly",i_Assumptions!AR22,INDEX($M22:$Q22,,MATCH(AR$4,$M$4:$Q$4,0))))</f>
        <v/>
      </c>
      <c r="AS22" s="257">
        <f>IF(AS$7="Actual",0,IF($K22="Monthly",i_Assumptions!AS22,INDEX($M22:$Q22,,MATCH(AS$4,$M$4:$Q$4,0))))</f>
        <v/>
      </c>
      <c r="AT22" s="257">
        <f>IF(AT$7="Actual",0,IF($K22="Monthly",i_Assumptions!AT22,INDEX($M22:$Q22,,MATCH(AT$4,$M$4:$Q$4,0))))</f>
        <v/>
      </c>
      <c r="AU22" s="257">
        <f>IF(AU$7="Actual",0,IF($K22="Monthly",i_Assumptions!AU22,INDEX($M22:$Q22,,MATCH(AU$4,$M$4:$Q$4,0))))</f>
        <v/>
      </c>
      <c r="AV22" s="257">
        <f>IF(AV$7="Actual",0,IF($K22="Monthly",i_Assumptions!AV22,INDEX($M22:$Q22,,MATCH(AV$4,$M$4:$Q$4,0))))</f>
        <v/>
      </c>
      <c r="AW22" s="257">
        <f>IF(AW$7="Actual",0,IF($K22="Monthly",i_Assumptions!AW22,INDEX($M22:$Q22,,MATCH(AW$4,$M$4:$Q$4,0))))</f>
        <v/>
      </c>
      <c r="AX22" s="257">
        <f>IF(AX$7="Actual",0,IF($K22="Monthly",i_Assumptions!AX22,INDEX($M22:$Q22,,MATCH(AX$4,$M$4:$Q$4,0))))</f>
        <v/>
      </c>
      <c r="AY22" s="257">
        <f>IF(AY$7="Actual",0,IF($K22="Monthly",i_Assumptions!AY22,INDEX($M22:$Q22,,MATCH(AY$4,$M$4:$Q$4,0))))</f>
        <v/>
      </c>
      <c r="AZ22" s="257">
        <f>IF(AZ$7="Actual",0,IF($K22="Monthly",i_Assumptions!AZ22,INDEX($M22:$Q22,,MATCH(AZ$4,$M$4:$Q$4,0))))</f>
        <v/>
      </c>
      <c r="BA22" s="257">
        <f>IF(BA$7="Actual",0,IF($K22="Monthly",i_Assumptions!BA22,INDEX($M22:$Q22,,MATCH(BA$4,$M$4:$Q$4,0))))</f>
        <v/>
      </c>
      <c r="BB22" s="257">
        <f>IF(BB$7="Actual",0,IF($K22="Monthly",i_Assumptions!BB22,INDEX($M22:$Q22,,MATCH(BB$4,$M$4:$Q$4,0))))</f>
        <v/>
      </c>
      <c r="BC22" s="257">
        <f>IF(BC$7="Actual",0,IF($K22="Monthly",i_Assumptions!BC22,INDEX($M22:$Q22,,MATCH(BC$4,$M$4:$Q$4,0))))</f>
        <v/>
      </c>
      <c r="BD22" s="257">
        <f>IF(BD$7="Actual",0,IF($K22="Monthly",i_Assumptions!BD22,INDEX($M22:$Q22,,MATCH(BD$4,$M$4:$Q$4,0))))</f>
        <v/>
      </c>
      <c r="BE22" s="257">
        <f>IF(BE$7="Actual",0,IF($K22="Monthly",i_Assumptions!BE22,INDEX($M22:$Q22,,MATCH(BE$4,$M$4:$Q$4,0))))</f>
        <v/>
      </c>
      <c r="BF22" s="257">
        <f>IF(BF$7="Actual",0,IF($K22="Monthly",i_Assumptions!BF22,INDEX($M22:$Q22,,MATCH(BF$4,$M$4:$Q$4,0))))</f>
        <v/>
      </c>
      <c r="BG22" s="257">
        <f>IF(BG$7="Actual",0,IF($K22="Monthly",i_Assumptions!BG22,INDEX($M22:$Q22,,MATCH(BG$4,$M$4:$Q$4,0))))</f>
        <v/>
      </c>
      <c r="BH22" s="257">
        <f>IF(BH$7="Actual",0,IF($K22="Monthly",i_Assumptions!BH22,INDEX($M22:$Q22,,MATCH(BH$4,$M$4:$Q$4,0))))</f>
        <v/>
      </c>
      <c r="BI22" s="257">
        <f>IF(BI$7="Actual",0,IF($K22="Monthly",i_Assumptions!BI22,INDEX($M22:$Q22,,MATCH(BI$4,$M$4:$Q$4,0))))</f>
        <v/>
      </c>
      <c r="BJ22" s="257">
        <f>IF(BJ$7="Actual",0,IF($K22="Monthly",i_Assumptions!BJ22,INDEX($M22:$Q22,,MATCH(BJ$4,$M$4:$Q$4,0))))</f>
        <v/>
      </c>
      <c r="BK22" s="257">
        <f>IF(BK$7="Actual",0,IF($K22="Monthly",i_Assumptions!BK22,INDEX($M22:$Q22,,MATCH(BK$4,$M$4:$Q$4,0))))</f>
        <v/>
      </c>
      <c r="BL22" s="257">
        <f>IF(BL$7="Actual",0,IF($K22="Monthly",i_Assumptions!BL22,INDEX($M22:$Q22,,MATCH(BL$4,$M$4:$Q$4,0))))</f>
        <v/>
      </c>
      <c r="BM22" s="257">
        <f>IF(BM$7="Actual",0,IF($K22="Monthly",i_Assumptions!BM22,INDEX($M22:$Q22,,MATCH(BM$4,$M$4:$Q$4,0))))</f>
        <v/>
      </c>
      <c r="BN22" s="257">
        <f>IF(BN$7="Actual",0,IF($K22="Monthly",i_Assumptions!BN22,INDEX($M22:$Q22,,MATCH(BN$4,$M$4:$Q$4,0))))</f>
        <v/>
      </c>
      <c r="BO22" s="257">
        <f>IF(BO$7="Actual",0,IF($K22="Monthly",i_Assumptions!BO22,INDEX($M22:$Q22,,MATCH(BO$4,$M$4:$Q$4,0))))</f>
        <v/>
      </c>
      <c r="BP22" s="257">
        <f>IF(BP$7="Actual",0,IF($K22="Monthly",i_Assumptions!BP22,INDEX($M22:$Q22,,MATCH(BP$4,$M$4:$Q$4,0))))</f>
        <v/>
      </c>
      <c r="BQ22" s="257">
        <f>IF(BQ$7="Actual",0,IF($K22="Monthly",i_Assumptions!BQ22,INDEX($M22:$Q22,,MATCH(BQ$4,$M$4:$Q$4,0))))</f>
        <v/>
      </c>
      <c r="BR22" s="257">
        <f>IF(BR$7="Actual",0,IF($K22="Monthly",i_Assumptions!BR22,INDEX($M22:$Q22,,MATCH(BR$4,$M$4:$Q$4,0))))</f>
        <v/>
      </c>
      <c r="BS22" s="257">
        <f>IF(BS$7="Actual",0,IF($K22="Monthly",i_Assumptions!BS22,INDEX($M22:$Q22,,MATCH(BS$4,$M$4:$Q$4,0))))</f>
        <v/>
      </c>
      <c r="BT22" s="257">
        <f>IF(BT$7="Actual",0,IF($K22="Monthly",i_Assumptions!BT22,INDEX($M22:$Q22,,MATCH(BT$4,$M$4:$Q$4,0))))</f>
        <v/>
      </c>
      <c r="BU22" s="257">
        <f>IF(BU$7="Actual",0,IF($K22="Monthly",i_Assumptions!BU22,INDEX($M22:$Q22,,MATCH(BU$4,$M$4:$Q$4,0))))</f>
        <v/>
      </c>
      <c r="BV22" s="257">
        <f>IF(BV$7="Actual",0,IF($K22="Monthly",i_Assumptions!BV22,INDEX($M22:$Q22,,MATCH(BV$4,$M$4:$Q$4,0))))</f>
        <v/>
      </c>
      <c r="BW22" s="257">
        <f>IF(BW$7="Actual",0,IF($K22="Monthly",i_Assumptions!BW22,INDEX($M22:$Q22,,MATCH(BW$4,$M$4:$Q$4,0))))</f>
        <v/>
      </c>
      <c r="BX22" s="257">
        <f>IF(BX$7="Actual",0,IF($K22="Monthly",i_Assumptions!BX22,INDEX($M22:$Q22,,MATCH(BX$4,$M$4:$Q$4,0))))</f>
        <v/>
      </c>
      <c r="BY22" s="257">
        <f>IF(BY$7="Actual",0,IF($K22="Monthly",i_Assumptions!BY22,INDEX($M22:$Q22,,MATCH(BY$4,$M$4:$Q$4,0))))</f>
        <v/>
      </c>
      <c r="BZ22" s="257">
        <f>IF(BZ$7="Actual",0,IF($K22="Monthly",i_Assumptions!BZ22,INDEX($M22:$Q22,,MATCH(BZ$4,$M$4:$Q$4,0))))</f>
        <v/>
      </c>
      <c r="CA22" s="257">
        <f>IF(CA$7="Actual",0,IF($K22="Monthly",i_Assumptions!CA22,INDEX($M22:$Q22,,MATCH(CA$4,$M$4:$Q$4,0))))</f>
        <v/>
      </c>
    </row>
    <row r="23" ht="12" customHeight="1" s="227">
      <c r="A23" s="244" t="n"/>
      <c r="B23" s="244" t="n"/>
      <c r="C23" s="244" t="n"/>
      <c r="H23" s="4">
        <f>i_Setup!U40</f>
        <v/>
      </c>
      <c r="I23" s="27" t="inlineStr">
        <is>
          <t>no.</t>
        </is>
      </c>
      <c r="K23" s="259">
        <f>i_Assumptions!K23</f>
        <v/>
      </c>
      <c r="M23" s="257">
        <f>IF($K23="Monthly",0,i_Assumptions!M23)</f>
        <v/>
      </c>
      <c r="N23" s="257">
        <f>IF($K23="Monthly",0,i_Assumptions!N23)</f>
        <v/>
      </c>
      <c r="O23" s="257">
        <f>IF($K23="Monthly",0,i_Assumptions!O23)</f>
        <v/>
      </c>
      <c r="P23" s="257">
        <f>IF($K23="Monthly",0,i_Assumptions!P23)</f>
        <v/>
      </c>
      <c r="Q23" s="257">
        <f>IF($K23="Monthly",0,i_Assumptions!Q23)</f>
        <v/>
      </c>
      <c r="T23" s="257">
        <f>IF(T$7="Actual",0,IF($K23="Monthly",i_Assumptions!T23,INDEX($M23:$Q23,,MATCH(T$4,$M$4:$Q$4,0))))</f>
        <v/>
      </c>
      <c r="U23" s="257">
        <f>IF(U$7="Actual",0,IF($K23="Monthly",i_Assumptions!U23,INDEX($M23:$Q23,,MATCH(U$4,$M$4:$Q$4,0))))</f>
        <v/>
      </c>
      <c r="V23" s="257">
        <f>IF(V$7="Actual",0,IF($K23="Monthly",i_Assumptions!V23,INDEX($M23:$Q23,,MATCH(V$4,$M$4:$Q$4,0))))</f>
        <v/>
      </c>
      <c r="W23" s="257">
        <f>IF(W$7="Actual",0,IF($K23="Monthly",i_Assumptions!W23,INDEX($M23:$Q23,,MATCH(W$4,$M$4:$Q$4,0))))</f>
        <v/>
      </c>
      <c r="X23" s="257">
        <f>IF(X$7="Actual",0,IF($K23="Monthly",i_Assumptions!X23,INDEX($M23:$Q23,,MATCH(X$4,$M$4:$Q$4,0))))</f>
        <v/>
      </c>
      <c r="Y23" s="257">
        <f>IF(Y$7="Actual",0,IF($K23="Monthly",i_Assumptions!Y23,INDEX($M23:$Q23,,MATCH(Y$4,$M$4:$Q$4,0))))</f>
        <v/>
      </c>
      <c r="Z23" s="257">
        <f>IF(Z$7="Actual",0,IF($K23="Monthly",i_Assumptions!Z23,INDEX($M23:$Q23,,MATCH(Z$4,$M$4:$Q$4,0))))</f>
        <v/>
      </c>
      <c r="AA23" s="257">
        <f>IF(AA$7="Actual",0,IF($K23="Monthly",i_Assumptions!AA23,INDEX($M23:$Q23,,MATCH(AA$4,$M$4:$Q$4,0))))</f>
        <v/>
      </c>
      <c r="AB23" s="257">
        <f>IF(AB$7="Actual",0,IF($K23="Monthly",i_Assumptions!AB23,INDEX($M23:$Q23,,MATCH(AB$4,$M$4:$Q$4,0))))</f>
        <v/>
      </c>
      <c r="AC23" s="257">
        <f>IF(AC$7="Actual",0,IF($K23="Monthly",i_Assumptions!AC23,INDEX($M23:$Q23,,MATCH(AC$4,$M$4:$Q$4,0))))</f>
        <v/>
      </c>
      <c r="AD23" s="257">
        <f>IF(AD$7="Actual",0,IF($K23="Monthly",i_Assumptions!AD23,INDEX($M23:$Q23,,MATCH(AD$4,$M$4:$Q$4,0))))</f>
        <v/>
      </c>
      <c r="AE23" s="257">
        <f>IF(AE$7="Actual",0,IF($K23="Monthly",i_Assumptions!AE23,INDEX($M23:$Q23,,MATCH(AE$4,$M$4:$Q$4,0))))</f>
        <v/>
      </c>
      <c r="AF23" s="257">
        <f>IF(AF$7="Actual",0,IF($K23="Monthly",i_Assumptions!AF23,INDEX($M23:$Q23,,MATCH(AF$4,$M$4:$Q$4,0))))</f>
        <v/>
      </c>
      <c r="AG23" s="257">
        <f>IF(AG$7="Actual",0,IF($K23="Monthly",i_Assumptions!AG23,INDEX($M23:$Q23,,MATCH(AG$4,$M$4:$Q$4,0))))</f>
        <v/>
      </c>
      <c r="AH23" s="257">
        <f>IF(AH$7="Actual",0,IF($K23="Monthly",i_Assumptions!AH23,INDEX($M23:$Q23,,MATCH(AH$4,$M$4:$Q$4,0))))</f>
        <v/>
      </c>
      <c r="AI23" s="257">
        <f>IF(AI$7="Actual",0,IF($K23="Monthly",i_Assumptions!AI23,INDEX($M23:$Q23,,MATCH(AI$4,$M$4:$Q$4,0))))</f>
        <v/>
      </c>
      <c r="AJ23" s="257">
        <f>IF(AJ$7="Actual",0,IF($K23="Monthly",i_Assumptions!AJ23,INDEX($M23:$Q23,,MATCH(AJ$4,$M$4:$Q$4,0))))</f>
        <v/>
      </c>
      <c r="AK23" s="257">
        <f>IF(AK$7="Actual",0,IF($K23="Monthly",i_Assumptions!AK23,INDEX($M23:$Q23,,MATCH(AK$4,$M$4:$Q$4,0))))</f>
        <v/>
      </c>
      <c r="AL23" s="257">
        <f>IF(AL$7="Actual",0,IF($K23="Monthly",i_Assumptions!AL23,INDEX($M23:$Q23,,MATCH(AL$4,$M$4:$Q$4,0))))</f>
        <v/>
      </c>
      <c r="AM23" s="257">
        <f>IF(AM$7="Actual",0,IF($K23="Monthly",i_Assumptions!AM23,INDEX($M23:$Q23,,MATCH(AM$4,$M$4:$Q$4,0))))</f>
        <v/>
      </c>
      <c r="AN23" s="257">
        <f>IF(AN$7="Actual",0,IF($K23="Monthly",i_Assumptions!AN23,INDEX($M23:$Q23,,MATCH(AN$4,$M$4:$Q$4,0))))</f>
        <v/>
      </c>
      <c r="AO23" s="257">
        <f>IF(AO$7="Actual",0,IF($K23="Monthly",i_Assumptions!AO23,INDEX($M23:$Q23,,MATCH(AO$4,$M$4:$Q$4,0))))</f>
        <v/>
      </c>
      <c r="AP23" s="257">
        <f>IF(AP$7="Actual",0,IF($K23="Monthly",i_Assumptions!AP23,INDEX($M23:$Q23,,MATCH(AP$4,$M$4:$Q$4,0))))</f>
        <v/>
      </c>
      <c r="AQ23" s="257">
        <f>IF(AQ$7="Actual",0,IF($K23="Monthly",i_Assumptions!AQ23,INDEX($M23:$Q23,,MATCH(AQ$4,$M$4:$Q$4,0))))</f>
        <v/>
      </c>
      <c r="AR23" s="257">
        <f>IF(AR$7="Actual",0,IF($K23="Monthly",i_Assumptions!AR23,INDEX($M23:$Q23,,MATCH(AR$4,$M$4:$Q$4,0))))</f>
        <v/>
      </c>
      <c r="AS23" s="257">
        <f>IF(AS$7="Actual",0,IF($K23="Monthly",i_Assumptions!AS23,INDEX($M23:$Q23,,MATCH(AS$4,$M$4:$Q$4,0))))</f>
        <v/>
      </c>
      <c r="AT23" s="257">
        <f>IF(AT$7="Actual",0,IF($K23="Monthly",i_Assumptions!AT23,INDEX($M23:$Q23,,MATCH(AT$4,$M$4:$Q$4,0))))</f>
        <v/>
      </c>
      <c r="AU23" s="257">
        <f>IF(AU$7="Actual",0,IF($K23="Monthly",i_Assumptions!AU23,INDEX($M23:$Q23,,MATCH(AU$4,$M$4:$Q$4,0))))</f>
        <v/>
      </c>
      <c r="AV23" s="257">
        <f>IF(AV$7="Actual",0,IF($K23="Monthly",i_Assumptions!AV23,INDEX($M23:$Q23,,MATCH(AV$4,$M$4:$Q$4,0))))</f>
        <v/>
      </c>
      <c r="AW23" s="257">
        <f>IF(AW$7="Actual",0,IF($K23="Monthly",i_Assumptions!AW23,INDEX($M23:$Q23,,MATCH(AW$4,$M$4:$Q$4,0))))</f>
        <v/>
      </c>
      <c r="AX23" s="257">
        <f>IF(AX$7="Actual",0,IF($K23="Monthly",i_Assumptions!AX23,INDEX($M23:$Q23,,MATCH(AX$4,$M$4:$Q$4,0))))</f>
        <v/>
      </c>
      <c r="AY23" s="257">
        <f>IF(AY$7="Actual",0,IF($K23="Monthly",i_Assumptions!AY23,INDEX($M23:$Q23,,MATCH(AY$4,$M$4:$Q$4,0))))</f>
        <v/>
      </c>
      <c r="AZ23" s="257">
        <f>IF(AZ$7="Actual",0,IF($K23="Monthly",i_Assumptions!AZ23,INDEX($M23:$Q23,,MATCH(AZ$4,$M$4:$Q$4,0))))</f>
        <v/>
      </c>
      <c r="BA23" s="257">
        <f>IF(BA$7="Actual",0,IF($K23="Monthly",i_Assumptions!BA23,INDEX($M23:$Q23,,MATCH(BA$4,$M$4:$Q$4,0))))</f>
        <v/>
      </c>
      <c r="BB23" s="257">
        <f>IF(BB$7="Actual",0,IF($K23="Monthly",i_Assumptions!BB23,INDEX($M23:$Q23,,MATCH(BB$4,$M$4:$Q$4,0))))</f>
        <v/>
      </c>
      <c r="BC23" s="257">
        <f>IF(BC$7="Actual",0,IF($K23="Monthly",i_Assumptions!BC23,INDEX($M23:$Q23,,MATCH(BC$4,$M$4:$Q$4,0))))</f>
        <v/>
      </c>
      <c r="BD23" s="257">
        <f>IF(BD$7="Actual",0,IF($K23="Monthly",i_Assumptions!BD23,INDEX($M23:$Q23,,MATCH(BD$4,$M$4:$Q$4,0))))</f>
        <v/>
      </c>
      <c r="BE23" s="257">
        <f>IF(BE$7="Actual",0,IF($K23="Monthly",i_Assumptions!BE23,INDEX($M23:$Q23,,MATCH(BE$4,$M$4:$Q$4,0))))</f>
        <v/>
      </c>
      <c r="BF23" s="257">
        <f>IF(BF$7="Actual",0,IF($K23="Monthly",i_Assumptions!BF23,INDEX($M23:$Q23,,MATCH(BF$4,$M$4:$Q$4,0))))</f>
        <v/>
      </c>
      <c r="BG23" s="257">
        <f>IF(BG$7="Actual",0,IF($K23="Monthly",i_Assumptions!BG23,INDEX($M23:$Q23,,MATCH(BG$4,$M$4:$Q$4,0))))</f>
        <v/>
      </c>
      <c r="BH23" s="257">
        <f>IF(BH$7="Actual",0,IF($K23="Monthly",i_Assumptions!BH23,INDEX($M23:$Q23,,MATCH(BH$4,$M$4:$Q$4,0))))</f>
        <v/>
      </c>
      <c r="BI23" s="257">
        <f>IF(BI$7="Actual",0,IF($K23="Monthly",i_Assumptions!BI23,INDEX($M23:$Q23,,MATCH(BI$4,$M$4:$Q$4,0))))</f>
        <v/>
      </c>
      <c r="BJ23" s="257">
        <f>IF(BJ$7="Actual",0,IF($K23="Monthly",i_Assumptions!BJ23,INDEX($M23:$Q23,,MATCH(BJ$4,$M$4:$Q$4,0))))</f>
        <v/>
      </c>
      <c r="BK23" s="257">
        <f>IF(BK$7="Actual",0,IF($K23="Monthly",i_Assumptions!BK23,INDEX($M23:$Q23,,MATCH(BK$4,$M$4:$Q$4,0))))</f>
        <v/>
      </c>
      <c r="BL23" s="257">
        <f>IF(BL$7="Actual",0,IF($K23="Monthly",i_Assumptions!BL23,INDEX($M23:$Q23,,MATCH(BL$4,$M$4:$Q$4,0))))</f>
        <v/>
      </c>
      <c r="BM23" s="257">
        <f>IF(BM$7="Actual",0,IF($K23="Monthly",i_Assumptions!BM23,INDEX($M23:$Q23,,MATCH(BM$4,$M$4:$Q$4,0))))</f>
        <v/>
      </c>
      <c r="BN23" s="257">
        <f>IF(BN$7="Actual",0,IF($K23="Monthly",i_Assumptions!BN23,INDEX($M23:$Q23,,MATCH(BN$4,$M$4:$Q$4,0))))</f>
        <v/>
      </c>
      <c r="BO23" s="257">
        <f>IF(BO$7="Actual",0,IF($K23="Monthly",i_Assumptions!BO23,INDEX($M23:$Q23,,MATCH(BO$4,$M$4:$Q$4,0))))</f>
        <v/>
      </c>
      <c r="BP23" s="257">
        <f>IF(BP$7="Actual",0,IF($K23="Monthly",i_Assumptions!BP23,INDEX($M23:$Q23,,MATCH(BP$4,$M$4:$Q$4,0))))</f>
        <v/>
      </c>
      <c r="BQ23" s="257">
        <f>IF(BQ$7="Actual",0,IF($K23="Monthly",i_Assumptions!BQ23,INDEX($M23:$Q23,,MATCH(BQ$4,$M$4:$Q$4,0))))</f>
        <v/>
      </c>
      <c r="BR23" s="257">
        <f>IF(BR$7="Actual",0,IF($K23="Monthly",i_Assumptions!BR23,INDEX($M23:$Q23,,MATCH(BR$4,$M$4:$Q$4,0))))</f>
        <v/>
      </c>
      <c r="BS23" s="257">
        <f>IF(BS$7="Actual",0,IF($K23="Monthly",i_Assumptions!BS23,INDEX($M23:$Q23,,MATCH(BS$4,$M$4:$Q$4,0))))</f>
        <v/>
      </c>
      <c r="BT23" s="257">
        <f>IF(BT$7="Actual",0,IF($K23="Monthly",i_Assumptions!BT23,INDEX($M23:$Q23,,MATCH(BT$4,$M$4:$Q$4,0))))</f>
        <v/>
      </c>
      <c r="BU23" s="257">
        <f>IF(BU$7="Actual",0,IF($K23="Monthly",i_Assumptions!BU23,INDEX($M23:$Q23,,MATCH(BU$4,$M$4:$Q$4,0))))</f>
        <v/>
      </c>
      <c r="BV23" s="257">
        <f>IF(BV$7="Actual",0,IF($K23="Monthly",i_Assumptions!BV23,INDEX($M23:$Q23,,MATCH(BV$4,$M$4:$Q$4,0))))</f>
        <v/>
      </c>
      <c r="BW23" s="257">
        <f>IF(BW$7="Actual",0,IF($K23="Monthly",i_Assumptions!BW23,INDEX($M23:$Q23,,MATCH(BW$4,$M$4:$Q$4,0))))</f>
        <v/>
      </c>
      <c r="BX23" s="257">
        <f>IF(BX$7="Actual",0,IF($K23="Monthly",i_Assumptions!BX23,INDEX($M23:$Q23,,MATCH(BX$4,$M$4:$Q$4,0))))</f>
        <v/>
      </c>
      <c r="BY23" s="257">
        <f>IF(BY$7="Actual",0,IF($K23="Monthly",i_Assumptions!BY23,INDEX($M23:$Q23,,MATCH(BY$4,$M$4:$Q$4,0))))</f>
        <v/>
      </c>
      <c r="BZ23" s="257">
        <f>IF(BZ$7="Actual",0,IF($K23="Monthly",i_Assumptions!BZ23,INDEX($M23:$Q23,,MATCH(BZ$4,$M$4:$Q$4,0))))</f>
        <v/>
      </c>
      <c r="CA23" s="257">
        <f>IF(CA$7="Actual",0,IF($K23="Monthly",i_Assumptions!CA23,INDEX($M23:$Q23,,MATCH(CA$4,$M$4:$Q$4,0))))</f>
        <v/>
      </c>
    </row>
    <row r="24" ht="12" customHeight="1" s="227">
      <c r="A24" s="244" t="n"/>
      <c r="B24" s="244" t="n"/>
      <c r="C24" s="244" t="n"/>
      <c r="H24" s="4">
        <f>i_Setup!U41</f>
        <v/>
      </c>
      <c r="I24" s="27" t="inlineStr">
        <is>
          <t>no.</t>
        </is>
      </c>
      <c r="K24" s="259">
        <f>i_Assumptions!K24</f>
        <v/>
      </c>
      <c r="M24" s="257">
        <f>IF($K24="Monthly",0,i_Assumptions!M24)</f>
        <v/>
      </c>
      <c r="N24" s="257">
        <f>IF($K24="Monthly",0,i_Assumptions!N24)</f>
        <v/>
      </c>
      <c r="O24" s="257">
        <f>IF($K24="Monthly",0,i_Assumptions!O24)</f>
        <v/>
      </c>
      <c r="P24" s="257">
        <f>IF($K24="Monthly",0,i_Assumptions!P24)</f>
        <v/>
      </c>
      <c r="Q24" s="257">
        <f>IF($K24="Monthly",0,i_Assumptions!Q24)</f>
        <v/>
      </c>
      <c r="T24" s="257">
        <f>IF(T$7="Actual",0,IF($K24="Monthly",i_Assumptions!T24,INDEX($M24:$Q24,,MATCH(T$4,$M$4:$Q$4,0))))</f>
        <v/>
      </c>
      <c r="U24" s="257">
        <f>IF(U$7="Actual",0,IF($K24="Monthly",i_Assumptions!U24,INDEX($M24:$Q24,,MATCH(U$4,$M$4:$Q$4,0))))</f>
        <v/>
      </c>
      <c r="V24" s="257">
        <f>IF(V$7="Actual",0,IF($K24="Monthly",i_Assumptions!V24,INDEX($M24:$Q24,,MATCH(V$4,$M$4:$Q$4,0))))</f>
        <v/>
      </c>
      <c r="W24" s="257">
        <f>IF(W$7="Actual",0,IF($K24="Monthly",i_Assumptions!W24,INDEX($M24:$Q24,,MATCH(W$4,$M$4:$Q$4,0))))</f>
        <v/>
      </c>
      <c r="X24" s="257">
        <f>IF(X$7="Actual",0,IF($K24="Monthly",i_Assumptions!X24,INDEX($M24:$Q24,,MATCH(X$4,$M$4:$Q$4,0))))</f>
        <v/>
      </c>
      <c r="Y24" s="257">
        <f>IF(Y$7="Actual",0,IF($K24="Monthly",i_Assumptions!Y24,INDEX($M24:$Q24,,MATCH(Y$4,$M$4:$Q$4,0))))</f>
        <v/>
      </c>
      <c r="Z24" s="257">
        <f>IF(Z$7="Actual",0,IF($K24="Monthly",i_Assumptions!Z24,INDEX($M24:$Q24,,MATCH(Z$4,$M$4:$Q$4,0))))</f>
        <v/>
      </c>
      <c r="AA24" s="257">
        <f>IF(AA$7="Actual",0,IF($K24="Monthly",i_Assumptions!AA24,INDEX($M24:$Q24,,MATCH(AA$4,$M$4:$Q$4,0))))</f>
        <v/>
      </c>
      <c r="AB24" s="257">
        <f>IF(AB$7="Actual",0,IF($K24="Monthly",i_Assumptions!AB24,INDEX($M24:$Q24,,MATCH(AB$4,$M$4:$Q$4,0))))</f>
        <v/>
      </c>
      <c r="AC24" s="257">
        <f>IF(AC$7="Actual",0,IF($K24="Monthly",i_Assumptions!AC24,INDEX($M24:$Q24,,MATCH(AC$4,$M$4:$Q$4,0))))</f>
        <v/>
      </c>
      <c r="AD24" s="257">
        <f>IF(AD$7="Actual",0,IF($K24="Monthly",i_Assumptions!AD24,INDEX($M24:$Q24,,MATCH(AD$4,$M$4:$Q$4,0))))</f>
        <v/>
      </c>
      <c r="AE24" s="257">
        <f>IF(AE$7="Actual",0,IF($K24="Monthly",i_Assumptions!AE24,INDEX($M24:$Q24,,MATCH(AE$4,$M$4:$Q$4,0))))</f>
        <v/>
      </c>
      <c r="AF24" s="257">
        <f>IF(AF$7="Actual",0,IF($K24="Monthly",i_Assumptions!AF24,INDEX($M24:$Q24,,MATCH(AF$4,$M$4:$Q$4,0))))</f>
        <v/>
      </c>
      <c r="AG24" s="257">
        <f>IF(AG$7="Actual",0,IF($K24="Monthly",i_Assumptions!AG24,INDEX($M24:$Q24,,MATCH(AG$4,$M$4:$Q$4,0))))</f>
        <v/>
      </c>
      <c r="AH24" s="257">
        <f>IF(AH$7="Actual",0,IF($K24="Monthly",i_Assumptions!AH24,INDEX($M24:$Q24,,MATCH(AH$4,$M$4:$Q$4,0))))</f>
        <v/>
      </c>
      <c r="AI24" s="257">
        <f>IF(AI$7="Actual",0,IF($K24="Monthly",i_Assumptions!AI24,INDEX($M24:$Q24,,MATCH(AI$4,$M$4:$Q$4,0))))</f>
        <v/>
      </c>
      <c r="AJ24" s="257">
        <f>IF(AJ$7="Actual",0,IF($K24="Monthly",i_Assumptions!AJ24,INDEX($M24:$Q24,,MATCH(AJ$4,$M$4:$Q$4,0))))</f>
        <v/>
      </c>
      <c r="AK24" s="257">
        <f>IF(AK$7="Actual",0,IF($K24="Monthly",i_Assumptions!AK24,INDEX($M24:$Q24,,MATCH(AK$4,$M$4:$Q$4,0))))</f>
        <v/>
      </c>
      <c r="AL24" s="257">
        <f>IF(AL$7="Actual",0,IF($K24="Monthly",i_Assumptions!AL24,INDEX($M24:$Q24,,MATCH(AL$4,$M$4:$Q$4,0))))</f>
        <v/>
      </c>
      <c r="AM24" s="257">
        <f>IF(AM$7="Actual",0,IF($K24="Monthly",i_Assumptions!AM24,INDEX($M24:$Q24,,MATCH(AM$4,$M$4:$Q$4,0))))</f>
        <v/>
      </c>
      <c r="AN24" s="257">
        <f>IF(AN$7="Actual",0,IF($K24="Monthly",i_Assumptions!AN24,INDEX($M24:$Q24,,MATCH(AN$4,$M$4:$Q$4,0))))</f>
        <v/>
      </c>
      <c r="AO24" s="257">
        <f>IF(AO$7="Actual",0,IF($K24="Monthly",i_Assumptions!AO24,INDEX($M24:$Q24,,MATCH(AO$4,$M$4:$Q$4,0))))</f>
        <v/>
      </c>
      <c r="AP24" s="257">
        <f>IF(AP$7="Actual",0,IF($K24="Monthly",i_Assumptions!AP24,INDEX($M24:$Q24,,MATCH(AP$4,$M$4:$Q$4,0))))</f>
        <v/>
      </c>
      <c r="AQ24" s="257">
        <f>IF(AQ$7="Actual",0,IF($K24="Monthly",i_Assumptions!AQ24,INDEX($M24:$Q24,,MATCH(AQ$4,$M$4:$Q$4,0))))</f>
        <v/>
      </c>
      <c r="AR24" s="257">
        <f>IF(AR$7="Actual",0,IF($K24="Monthly",i_Assumptions!AR24,INDEX($M24:$Q24,,MATCH(AR$4,$M$4:$Q$4,0))))</f>
        <v/>
      </c>
      <c r="AS24" s="257">
        <f>IF(AS$7="Actual",0,IF($K24="Monthly",i_Assumptions!AS24,INDEX($M24:$Q24,,MATCH(AS$4,$M$4:$Q$4,0))))</f>
        <v/>
      </c>
      <c r="AT24" s="257">
        <f>IF(AT$7="Actual",0,IF($K24="Monthly",i_Assumptions!AT24,INDEX($M24:$Q24,,MATCH(AT$4,$M$4:$Q$4,0))))</f>
        <v/>
      </c>
      <c r="AU24" s="257">
        <f>IF(AU$7="Actual",0,IF($K24="Monthly",i_Assumptions!AU24,INDEX($M24:$Q24,,MATCH(AU$4,$M$4:$Q$4,0))))</f>
        <v/>
      </c>
      <c r="AV24" s="257">
        <f>IF(AV$7="Actual",0,IF($K24="Monthly",i_Assumptions!AV24,INDEX($M24:$Q24,,MATCH(AV$4,$M$4:$Q$4,0))))</f>
        <v/>
      </c>
      <c r="AW24" s="257">
        <f>IF(AW$7="Actual",0,IF($K24="Monthly",i_Assumptions!AW24,INDEX($M24:$Q24,,MATCH(AW$4,$M$4:$Q$4,0))))</f>
        <v/>
      </c>
      <c r="AX24" s="257">
        <f>IF(AX$7="Actual",0,IF($K24="Monthly",i_Assumptions!AX24,INDEX($M24:$Q24,,MATCH(AX$4,$M$4:$Q$4,0))))</f>
        <v/>
      </c>
      <c r="AY24" s="257">
        <f>IF(AY$7="Actual",0,IF($K24="Monthly",i_Assumptions!AY24,INDEX($M24:$Q24,,MATCH(AY$4,$M$4:$Q$4,0))))</f>
        <v/>
      </c>
      <c r="AZ24" s="257">
        <f>IF(AZ$7="Actual",0,IF($K24="Monthly",i_Assumptions!AZ24,INDEX($M24:$Q24,,MATCH(AZ$4,$M$4:$Q$4,0))))</f>
        <v/>
      </c>
      <c r="BA24" s="257">
        <f>IF(BA$7="Actual",0,IF($K24="Monthly",i_Assumptions!BA24,INDEX($M24:$Q24,,MATCH(BA$4,$M$4:$Q$4,0))))</f>
        <v/>
      </c>
      <c r="BB24" s="257">
        <f>IF(BB$7="Actual",0,IF($K24="Monthly",i_Assumptions!BB24,INDEX($M24:$Q24,,MATCH(BB$4,$M$4:$Q$4,0))))</f>
        <v/>
      </c>
      <c r="BC24" s="257">
        <f>IF(BC$7="Actual",0,IF($K24="Monthly",i_Assumptions!BC24,INDEX($M24:$Q24,,MATCH(BC$4,$M$4:$Q$4,0))))</f>
        <v/>
      </c>
      <c r="BD24" s="257">
        <f>IF(BD$7="Actual",0,IF($K24="Monthly",i_Assumptions!BD24,INDEX($M24:$Q24,,MATCH(BD$4,$M$4:$Q$4,0))))</f>
        <v/>
      </c>
      <c r="BE24" s="257">
        <f>IF(BE$7="Actual",0,IF($K24="Monthly",i_Assumptions!BE24,INDEX($M24:$Q24,,MATCH(BE$4,$M$4:$Q$4,0))))</f>
        <v/>
      </c>
      <c r="BF24" s="257">
        <f>IF(BF$7="Actual",0,IF($K24="Monthly",i_Assumptions!BF24,INDEX($M24:$Q24,,MATCH(BF$4,$M$4:$Q$4,0))))</f>
        <v/>
      </c>
      <c r="BG24" s="257">
        <f>IF(BG$7="Actual",0,IF($K24="Monthly",i_Assumptions!BG24,INDEX($M24:$Q24,,MATCH(BG$4,$M$4:$Q$4,0))))</f>
        <v/>
      </c>
      <c r="BH24" s="257">
        <f>IF(BH$7="Actual",0,IF($K24="Monthly",i_Assumptions!BH24,INDEX($M24:$Q24,,MATCH(BH$4,$M$4:$Q$4,0))))</f>
        <v/>
      </c>
      <c r="BI24" s="257">
        <f>IF(BI$7="Actual",0,IF($K24="Monthly",i_Assumptions!BI24,INDEX($M24:$Q24,,MATCH(BI$4,$M$4:$Q$4,0))))</f>
        <v/>
      </c>
      <c r="BJ24" s="257">
        <f>IF(BJ$7="Actual",0,IF($K24="Monthly",i_Assumptions!BJ24,INDEX($M24:$Q24,,MATCH(BJ$4,$M$4:$Q$4,0))))</f>
        <v/>
      </c>
      <c r="BK24" s="257">
        <f>IF(BK$7="Actual",0,IF($K24="Monthly",i_Assumptions!BK24,INDEX($M24:$Q24,,MATCH(BK$4,$M$4:$Q$4,0))))</f>
        <v/>
      </c>
      <c r="BL24" s="257">
        <f>IF(BL$7="Actual",0,IF($K24="Monthly",i_Assumptions!BL24,INDEX($M24:$Q24,,MATCH(BL$4,$M$4:$Q$4,0))))</f>
        <v/>
      </c>
      <c r="BM24" s="257">
        <f>IF(BM$7="Actual",0,IF($K24="Monthly",i_Assumptions!BM24,INDEX($M24:$Q24,,MATCH(BM$4,$M$4:$Q$4,0))))</f>
        <v/>
      </c>
      <c r="BN24" s="257">
        <f>IF(BN$7="Actual",0,IF($K24="Monthly",i_Assumptions!BN24,INDEX($M24:$Q24,,MATCH(BN$4,$M$4:$Q$4,0))))</f>
        <v/>
      </c>
      <c r="BO24" s="257">
        <f>IF(BO$7="Actual",0,IF($K24="Monthly",i_Assumptions!BO24,INDEX($M24:$Q24,,MATCH(BO$4,$M$4:$Q$4,0))))</f>
        <v/>
      </c>
      <c r="BP24" s="257">
        <f>IF(BP$7="Actual",0,IF($K24="Monthly",i_Assumptions!BP24,INDEX($M24:$Q24,,MATCH(BP$4,$M$4:$Q$4,0))))</f>
        <v/>
      </c>
      <c r="BQ24" s="257">
        <f>IF(BQ$7="Actual",0,IF($K24="Monthly",i_Assumptions!BQ24,INDEX($M24:$Q24,,MATCH(BQ$4,$M$4:$Q$4,0))))</f>
        <v/>
      </c>
      <c r="BR24" s="257">
        <f>IF(BR$7="Actual",0,IF($K24="Monthly",i_Assumptions!BR24,INDEX($M24:$Q24,,MATCH(BR$4,$M$4:$Q$4,0))))</f>
        <v/>
      </c>
      <c r="BS24" s="257">
        <f>IF(BS$7="Actual",0,IF($K24="Monthly",i_Assumptions!BS24,INDEX($M24:$Q24,,MATCH(BS$4,$M$4:$Q$4,0))))</f>
        <v/>
      </c>
      <c r="BT24" s="257">
        <f>IF(BT$7="Actual",0,IF($K24="Monthly",i_Assumptions!BT24,INDEX($M24:$Q24,,MATCH(BT$4,$M$4:$Q$4,0))))</f>
        <v/>
      </c>
      <c r="BU24" s="257">
        <f>IF(BU$7="Actual",0,IF($K24="Monthly",i_Assumptions!BU24,INDEX($M24:$Q24,,MATCH(BU$4,$M$4:$Q$4,0))))</f>
        <v/>
      </c>
      <c r="BV24" s="257">
        <f>IF(BV$7="Actual",0,IF($K24="Monthly",i_Assumptions!BV24,INDEX($M24:$Q24,,MATCH(BV$4,$M$4:$Q$4,0))))</f>
        <v/>
      </c>
      <c r="BW24" s="257">
        <f>IF(BW$7="Actual",0,IF($K24="Monthly",i_Assumptions!BW24,INDEX($M24:$Q24,,MATCH(BW$4,$M$4:$Q$4,0))))</f>
        <v/>
      </c>
      <c r="BX24" s="257">
        <f>IF(BX$7="Actual",0,IF($K24="Monthly",i_Assumptions!BX24,INDEX($M24:$Q24,,MATCH(BX$4,$M$4:$Q$4,0))))</f>
        <v/>
      </c>
      <c r="BY24" s="257">
        <f>IF(BY$7="Actual",0,IF($K24="Monthly",i_Assumptions!BY24,INDEX($M24:$Q24,,MATCH(BY$4,$M$4:$Q$4,0))))</f>
        <v/>
      </c>
      <c r="BZ24" s="257">
        <f>IF(BZ$7="Actual",0,IF($K24="Monthly",i_Assumptions!BZ24,INDEX($M24:$Q24,,MATCH(BZ$4,$M$4:$Q$4,0))))</f>
        <v/>
      </c>
      <c r="CA24" s="257">
        <f>IF(CA$7="Actual",0,IF($K24="Monthly",i_Assumptions!CA24,INDEX($M24:$Q24,,MATCH(CA$4,$M$4:$Q$4,0))))</f>
        <v/>
      </c>
    </row>
    <row r="25" ht="12" customHeight="1" s="227" thickBot="1">
      <c r="A25" s="244" t="n"/>
      <c r="B25" s="244" t="n"/>
      <c r="C25" s="244" t="n"/>
      <c r="H25" s="42" t="inlineStr">
        <is>
          <t>Total</t>
        </is>
      </c>
      <c r="I25" s="43" t="inlineStr">
        <is>
          <t>no</t>
        </is>
      </c>
      <c r="K25" s="6" t="n"/>
      <c r="M25" s="264">
        <f>SUM(M15:M24)</f>
        <v/>
      </c>
      <c r="N25" s="264">
        <f>SUM(N15:N24)</f>
        <v/>
      </c>
      <c r="O25" s="264">
        <f>SUM(O15:O24)</f>
        <v/>
      </c>
      <c r="P25" s="264">
        <f>SUM(P15:P24)</f>
        <v/>
      </c>
      <c r="Q25" s="264">
        <f>SUM(Q15:Q24)</f>
        <v/>
      </c>
      <c r="T25" s="264">
        <f>SUM(T15:T24)</f>
        <v/>
      </c>
      <c r="U25" s="264">
        <f>SUM(U15:U24)</f>
        <v/>
      </c>
      <c r="V25" s="264">
        <f>SUM(V15:V24)</f>
        <v/>
      </c>
      <c r="W25" s="264">
        <f>SUM(W15:W24)</f>
        <v/>
      </c>
      <c r="X25" s="264">
        <f>SUM(X15:X24)</f>
        <v/>
      </c>
      <c r="Y25" s="264">
        <f>SUM(Y15:Y24)</f>
        <v/>
      </c>
      <c r="Z25" s="264">
        <f>SUM(Z15:Z24)</f>
        <v/>
      </c>
      <c r="AA25" s="264">
        <f>SUM(AA15:AA24)</f>
        <v/>
      </c>
      <c r="AB25" s="264">
        <f>SUM(AB15:AB24)</f>
        <v/>
      </c>
      <c r="AC25" s="264">
        <f>SUM(AC15:AC24)</f>
        <v/>
      </c>
      <c r="AD25" s="264">
        <f>SUM(AD15:AD24)</f>
        <v/>
      </c>
      <c r="AE25" s="264">
        <f>SUM(AE15:AE24)</f>
        <v/>
      </c>
      <c r="AF25" s="264">
        <f>SUM(AF15:AF24)</f>
        <v/>
      </c>
      <c r="AG25" s="264">
        <f>SUM(AG15:AG24)</f>
        <v/>
      </c>
      <c r="AH25" s="264">
        <f>SUM(AH15:AH24)</f>
        <v/>
      </c>
      <c r="AI25" s="264">
        <f>SUM(AI15:AI24)</f>
        <v/>
      </c>
      <c r="AJ25" s="264">
        <f>SUM(AJ15:AJ24)</f>
        <v/>
      </c>
      <c r="AK25" s="264">
        <f>SUM(AK15:AK24)</f>
        <v/>
      </c>
      <c r="AL25" s="264">
        <f>SUM(AL15:AL24)</f>
        <v/>
      </c>
      <c r="AM25" s="264">
        <f>SUM(AM15:AM24)</f>
        <v/>
      </c>
      <c r="AN25" s="264">
        <f>SUM(AN15:AN24)</f>
        <v/>
      </c>
      <c r="AO25" s="264">
        <f>SUM(AO15:AO24)</f>
        <v/>
      </c>
      <c r="AP25" s="264">
        <f>SUM(AP15:AP24)</f>
        <v/>
      </c>
      <c r="AQ25" s="264">
        <f>SUM(AQ15:AQ24)</f>
        <v/>
      </c>
      <c r="AR25" s="264">
        <f>SUM(AR15:AR24)</f>
        <v/>
      </c>
      <c r="AS25" s="264">
        <f>SUM(AS15:AS24)</f>
        <v/>
      </c>
      <c r="AT25" s="264">
        <f>SUM(AT15:AT24)</f>
        <v/>
      </c>
      <c r="AU25" s="264">
        <f>SUM(AU15:AU24)</f>
        <v/>
      </c>
      <c r="AV25" s="264">
        <f>SUM(AV15:AV24)</f>
        <v/>
      </c>
      <c r="AW25" s="264">
        <f>SUM(AW15:AW24)</f>
        <v/>
      </c>
      <c r="AX25" s="264">
        <f>SUM(AX15:AX24)</f>
        <v/>
      </c>
      <c r="AY25" s="264">
        <f>SUM(AY15:AY24)</f>
        <v/>
      </c>
      <c r="AZ25" s="264">
        <f>SUM(AZ15:AZ24)</f>
        <v/>
      </c>
      <c r="BA25" s="264">
        <f>SUM(BA15:BA24)</f>
        <v/>
      </c>
      <c r="BB25" s="264">
        <f>SUM(BB15:BB24)</f>
        <v/>
      </c>
      <c r="BC25" s="264">
        <f>SUM(BC15:BC24)</f>
        <v/>
      </c>
      <c r="BD25" s="264">
        <f>SUM(BD15:BD24)</f>
        <v/>
      </c>
      <c r="BE25" s="264">
        <f>SUM(BE15:BE24)</f>
        <v/>
      </c>
      <c r="BF25" s="264">
        <f>SUM(BF15:BF24)</f>
        <v/>
      </c>
      <c r="BG25" s="264">
        <f>SUM(BG15:BG24)</f>
        <v/>
      </c>
      <c r="BH25" s="264">
        <f>SUM(BH15:BH24)</f>
        <v/>
      </c>
      <c r="BI25" s="264">
        <f>SUM(BI15:BI24)</f>
        <v/>
      </c>
      <c r="BJ25" s="264">
        <f>SUM(BJ15:BJ24)</f>
        <v/>
      </c>
      <c r="BK25" s="264">
        <f>SUM(BK15:BK24)</f>
        <v/>
      </c>
      <c r="BL25" s="264">
        <f>SUM(BL15:BL24)</f>
        <v/>
      </c>
      <c r="BM25" s="264">
        <f>SUM(BM15:BM24)</f>
        <v/>
      </c>
      <c r="BN25" s="264">
        <f>SUM(BN15:BN24)</f>
        <v/>
      </c>
      <c r="BO25" s="264">
        <f>SUM(BO15:BO24)</f>
        <v/>
      </c>
      <c r="BP25" s="264">
        <f>SUM(BP15:BP24)</f>
        <v/>
      </c>
      <c r="BQ25" s="264">
        <f>SUM(BQ15:BQ24)</f>
        <v/>
      </c>
      <c r="BR25" s="264">
        <f>SUM(BR15:BR24)</f>
        <v/>
      </c>
      <c r="BS25" s="264">
        <f>SUM(BS15:BS24)</f>
        <v/>
      </c>
      <c r="BT25" s="264">
        <f>SUM(BT15:BT24)</f>
        <v/>
      </c>
      <c r="BU25" s="264">
        <f>SUM(BU15:BU24)</f>
        <v/>
      </c>
      <c r="BV25" s="264">
        <f>SUM(BV15:BV24)</f>
        <v/>
      </c>
      <c r="BW25" s="264">
        <f>SUM(BW15:BW24)</f>
        <v/>
      </c>
      <c r="BX25" s="264">
        <f>SUM(BX15:BX24)</f>
        <v/>
      </c>
      <c r="BY25" s="264">
        <f>SUM(BY15:BY24)</f>
        <v/>
      </c>
      <c r="BZ25" s="264">
        <f>SUM(BZ15:BZ24)</f>
        <v/>
      </c>
      <c r="CA25" s="264">
        <f>SUM(CA15:CA24)</f>
        <v/>
      </c>
    </row>
    <row r="26" ht="12" customHeight="1" s="227">
      <c r="A26" s="244" t="n"/>
      <c r="B26" s="244" t="n"/>
      <c r="C26" s="244" t="n"/>
    </row>
    <row r="27" ht="12" customHeight="1" s="227">
      <c r="A27" s="244" t="n"/>
      <c r="B27" s="244" t="n"/>
      <c r="C27" s="244" t="n"/>
    </row>
    <row r="28" ht="12" customHeight="1" s="227">
      <c r="A28" s="244" t="n"/>
      <c r="B28" s="244" t="n"/>
      <c r="C28" s="244" t="n"/>
      <c r="G28" s="222" t="inlineStr">
        <is>
          <t>Service Rate per Month per Ship (Excl VAT)</t>
        </is>
      </c>
    </row>
    <row r="29" ht="12" customHeight="1" s="227">
      <c r="A29" s="244" t="n"/>
      <c r="B29" s="244" t="n"/>
      <c r="C29" s="244" t="n"/>
    </row>
    <row r="30" ht="12" customHeight="1" s="227">
      <c r="A30" s="244" t="n"/>
      <c r="B30" s="244" t="n"/>
      <c r="C30" s="244" t="n"/>
      <c r="H30" s="4">
        <f>H15</f>
        <v/>
      </c>
      <c r="I30" s="27">
        <f>i_Setup!$M$16</f>
        <v/>
      </c>
      <c r="M30" s="257">
        <f>i_Assumptions!M29</f>
        <v/>
      </c>
      <c r="N30" s="257">
        <f>i_Assumptions!N29</f>
        <v/>
      </c>
      <c r="O30" s="257">
        <f>i_Assumptions!O29</f>
        <v/>
      </c>
      <c r="P30" s="257">
        <f>i_Assumptions!P29</f>
        <v/>
      </c>
      <c r="Q30" s="257">
        <f>i_Assumptions!Q29</f>
        <v/>
      </c>
      <c r="T30" s="257">
        <f>IF(T$7="Actual","",INDEX($M30:$Q30,,MATCH(T$4,$M$4:$Q$4,0)))</f>
        <v/>
      </c>
      <c r="U30" s="257">
        <f>IF(U$7="Actual","",INDEX($M30:$Q30,,MATCH(U$4,$M$4:$Q$4,0)))</f>
        <v/>
      </c>
      <c r="V30" s="257">
        <f>IF(V$7="Actual","",INDEX($M30:$Q30,,MATCH(V$4,$M$4:$Q$4,0)))</f>
        <v/>
      </c>
      <c r="W30" s="257">
        <f>IF(W$7="Actual","",INDEX($M30:$Q30,,MATCH(W$4,$M$4:$Q$4,0)))</f>
        <v/>
      </c>
      <c r="X30" s="257">
        <f>IF(X$7="Actual","",INDEX($M30:$Q30,,MATCH(X$4,$M$4:$Q$4,0)))</f>
        <v/>
      </c>
      <c r="Y30" s="257">
        <f>IF(Y$7="Actual","",INDEX($M30:$Q30,,MATCH(Y$4,$M$4:$Q$4,0)))</f>
        <v/>
      </c>
      <c r="Z30" s="257">
        <f>IF(Z$7="Actual","",INDEX($M30:$Q30,,MATCH(Z$4,$M$4:$Q$4,0)))</f>
        <v/>
      </c>
      <c r="AA30" s="257">
        <f>IF(AA$7="Actual","",INDEX($M30:$Q30,,MATCH(AA$4,$M$4:$Q$4,0)))</f>
        <v/>
      </c>
      <c r="AB30" s="257">
        <f>IF(AB$7="Actual","",INDEX($M30:$Q30,,MATCH(AB$4,$M$4:$Q$4,0)))</f>
        <v/>
      </c>
      <c r="AC30" s="257">
        <f>IF(AC$7="Actual","",INDEX($M30:$Q30,,MATCH(AC$4,$M$4:$Q$4,0)))</f>
        <v/>
      </c>
      <c r="AD30" s="257">
        <f>IF(AD$7="Actual","",INDEX($M30:$Q30,,MATCH(AD$4,$M$4:$Q$4,0)))</f>
        <v/>
      </c>
      <c r="AE30" s="257">
        <f>IF(AE$7="Actual","",INDEX($M30:$Q30,,MATCH(AE$4,$M$4:$Q$4,0)))</f>
        <v/>
      </c>
      <c r="AF30" s="257">
        <f>IF(AF$7="Actual","",INDEX($M30:$Q30,,MATCH(AF$4,$M$4:$Q$4,0)))</f>
        <v/>
      </c>
      <c r="AG30" s="257">
        <f>IF(AG$7="Actual","",INDEX($M30:$Q30,,MATCH(AG$4,$M$4:$Q$4,0)))</f>
        <v/>
      </c>
      <c r="AH30" s="257">
        <f>IF(AH$7="Actual","",INDEX($M30:$Q30,,MATCH(AH$4,$M$4:$Q$4,0)))</f>
        <v/>
      </c>
      <c r="AI30" s="257">
        <f>IF(AI$7="Actual","",INDEX($M30:$Q30,,MATCH(AI$4,$M$4:$Q$4,0)))</f>
        <v/>
      </c>
      <c r="AJ30" s="257">
        <f>IF(AJ$7="Actual","",INDEX($M30:$Q30,,MATCH(AJ$4,$M$4:$Q$4,0)))</f>
        <v/>
      </c>
      <c r="AK30" s="257">
        <f>IF(AK$7="Actual","",INDEX($M30:$Q30,,MATCH(AK$4,$M$4:$Q$4,0)))</f>
        <v/>
      </c>
      <c r="AL30" s="257">
        <f>IF(AL$7="Actual","",INDEX($M30:$Q30,,MATCH(AL$4,$M$4:$Q$4,0)))</f>
        <v/>
      </c>
      <c r="AM30" s="257">
        <f>IF(AM$7="Actual","",INDEX($M30:$Q30,,MATCH(AM$4,$M$4:$Q$4,0)))</f>
        <v/>
      </c>
      <c r="AN30" s="257">
        <f>IF(AN$7="Actual","",INDEX($M30:$Q30,,MATCH(AN$4,$M$4:$Q$4,0)))</f>
        <v/>
      </c>
      <c r="AO30" s="257">
        <f>IF(AO$7="Actual","",INDEX($M30:$Q30,,MATCH(AO$4,$M$4:$Q$4,0)))</f>
        <v/>
      </c>
      <c r="AP30" s="257">
        <f>IF(AP$7="Actual","",INDEX($M30:$Q30,,MATCH(AP$4,$M$4:$Q$4,0)))</f>
        <v/>
      </c>
      <c r="AQ30" s="257">
        <f>IF(AQ$7="Actual","",INDEX($M30:$Q30,,MATCH(AQ$4,$M$4:$Q$4,0)))</f>
        <v/>
      </c>
      <c r="AR30" s="257">
        <f>IF(AR$7="Actual","",INDEX($M30:$Q30,,MATCH(AR$4,$M$4:$Q$4,0)))</f>
        <v/>
      </c>
      <c r="AS30" s="257">
        <f>IF(AS$7="Actual","",INDEX($M30:$Q30,,MATCH(AS$4,$M$4:$Q$4,0)))</f>
        <v/>
      </c>
      <c r="AT30" s="257">
        <f>IF(AT$7="Actual","",INDEX($M30:$Q30,,MATCH(AT$4,$M$4:$Q$4,0)))</f>
        <v/>
      </c>
      <c r="AU30" s="257">
        <f>IF(AU$7="Actual","",INDEX($M30:$Q30,,MATCH(AU$4,$M$4:$Q$4,0)))</f>
        <v/>
      </c>
      <c r="AV30" s="257">
        <f>IF(AV$7="Actual","",INDEX($M30:$Q30,,MATCH(AV$4,$M$4:$Q$4,0)))</f>
        <v/>
      </c>
      <c r="AW30" s="257">
        <f>IF(AW$7="Actual","",INDEX($M30:$Q30,,MATCH(AW$4,$M$4:$Q$4,0)))</f>
        <v/>
      </c>
      <c r="AX30" s="257">
        <f>IF(AX$7="Actual","",INDEX($M30:$Q30,,MATCH(AX$4,$M$4:$Q$4,0)))</f>
        <v/>
      </c>
      <c r="AY30" s="257">
        <f>IF(AY$7="Actual","",INDEX($M30:$Q30,,MATCH(AY$4,$M$4:$Q$4,0)))</f>
        <v/>
      </c>
      <c r="AZ30" s="257">
        <f>IF(AZ$7="Actual","",INDEX($M30:$Q30,,MATCH(AZ$4,$M$4:$Q$4,0)))</f>
        <v/>
      </c>
      <c r="BA30" s="257">
        <f>IF(BA$7="Actual","",INDEX($M30:$Q30,,MATCH(BA$4,$M$4:$Q$4,0)))</f>
        <v/>
      </c>
      <c r="BB30" s="257">
        <f>IF(BB$7="Actual","",INDEX($M30:$Q30,,MATCH(BB$4,$M$4:$Q$4,0)))</f>
        <v/>
      </c>
      <c r="BC30" s="257">
        <f>IF(BC$7="Actual","",INDEX($M30:$Q30,,MATCH(BC$4,$M$4:$Q$4,0)))</f>
        <v/>
      </c>
      <c r="BD30" s="257">
        <f>IF(BD$7="Actual","",INDEX($M30:$Q30,,MATCH(BD$4,$M$4:$Q$4,0)))</f>
        <v/>
      </c>
      <c r="BE30" s="257">
        <f>IF(BE$7="Actual","",INDEX($M30:$Q30,,MATCH(BE$4,$M$4:$Q$4,0)))</f>
        <v/>
      </c>
      <c r="BF30" s="257">
        <f>IF(BF$7="Actual","",INDEX($M30:$Q30,,MATCH(BF$4,$M$4:$Q$4,0)))</f>
        <v/>
      </c>
      <c r="BG30" s="257">
        <f>IF(BG$7="Actual","",INDEX($M30:$Q30,,MATCH(BG$4,$M$4:$Q$4,0)))</f>
        <v/>
      </c>
      <c r="BH30" s="257">
        <f>IF(BH$7="Actual","",INDEX($M30:$Q30,,MATCH(BH$4,$M$4:$Q$4,0)))</f>
        <v/>
      </c>
      <c r="BI30" s="257">
        <f>IF(BI$7="Actual","",INDEX($M30:$Q30,,MATCH(BI$4,$M$4:$Q$4,0)))</f>
        <v/>
      </c>
      <c r="BJ30" s="257">
        <f>IF(BJ$7="Actual","",INDEX($M30:$Q30,,MATCH(BJ$4,$M$4:$Q$4,0)))</f>
        <v/>
      </c>
      <c r="BK30" s="257">
        <f>IF(BK$7="Actual","",INDEX($M30:$Q30,,MATCH(BK$4,$M$4:$Q$4,0)))</f>
        <v/>
      </c>
      <c r="BL30" s="257">
        <f>IF(BL$7="Actual","",INDEX($M30:$Q30,,MATCH(BL$4,$M$4:$Q$4,0)))</f>
        <v/>
      </c>
      <c r="BM30" s="257">
        <f>IF(BM$7="Actual","",INDEX($M30:$Q30,,MATCH(BM$4,$M$4:$Q$4,0)))</f>
        <v/>
      </c>
      <c r="BN30" s="257">
        <f>IF(BN$7="Actual","",INDEX($M30:$Q30,,MATCH(BN$4,$M$4:$Q$4,0)))</f>
        <v/>
      </c>
      <c r="BO30" s="257">
        <f>IF(BO$7="Actual","",INDEX($M30:$Q30,,MATCH(BO$4,$M$4:$Q$4,0)))</f>
        <v/>
      </c>
      <c r="BP30" s="257">
        <f>IF(BP$7="Actual","",INDEX($M30:$Q30,,MATCH(BP$4,$M$4:$Q$4,0)))</f>
        <v/>
      </c>
      <c r="BQ30" s="257">
        <f>IF(BQ$7="Actual","",INDEX($M30:$Q30,,MATCH(BQ$4,$M$4:$Q$4,0)))</f>
        <v/>
      </c>
      <c r="BR30" s="257">
        <f>IF(BR$7="Actual","",INDEX($M30:$Q30,,MATCH(BR$4,$M$4:$Q$4,0)))</f>
        <v/>
      </c>
      <c r="BS30" s="257">
        <f>IF(BS$7="Actual","",INDEX($M30:$Q30,,MATCH(BS$4,$M$4:$Q$4,0)))</f>
        <v/>
      </c>
      <c r="BT30" s="257">
        <f>IF(BT$7="Actual","",INDEX($M30:$Q30,,MATCH(BT$4,$M$4:$Q$4,0)))</f>
        <v/>
      </c>
      <c r="BU30" s="257">
        <f>IF(BU$7="Actual","",INDEX($M30:$Q30,,MATCH(BU$4,$M$4:$Q$4,0)))</f>
        <v/>
      </c>
      <c r="BV30" s="257">
        <f>IF(BV$7="Actual","",INDEX($M30:$Q30,,MATCH(BV$4,$M$4:$Q$4,0)))</f>
        <v/>
      </c>
      <c r="BW30" s="257">
        <f>IF(BW$7="Actual","",INDEX($M30:$Q30,,MATCH(BW$4,$M$4:$Q$4,0)))</f>
        <v/>
      </c>
      <c r="BX30" s="257">
        <f>IF(BX$7="Actual","",INDEX($M30:$Q30,,MATCH(BX$4,$M$4:$Q$4,0)))</f>
        <v/>
      </c>
      <c r="BY30" s="257">
        <f>IF(BY$7="Actual","",INDEX($M30:$Q30,,MATCH(BY$4,$M$4:$Q$4,0)))</f>
        <v/>
      </c>
      <c r="BZ30" s="257">
        <f>IF(BZ$7="Actual","",INDEX($M30:$Q30,,MATCH(BZ$4,$M$4:$Q$4,0)))</f>
        <v/>
      </c>
      <c r="CA30" s="257">
        <f>IF(CA$7="Actual","",INDEX($M30:$Q30,,MATCH(CA$4,$M$4:$Q$4,0)))</f>
        <v/>
      </c>
    </row>
    <row r="31" ht="12" customHeight="1" s="227">
      <c r="A31" s="244" t="n"/>
      <c r="B31" s="244" t="n"/>
      <c r="C31" s="244" t="n"/>
      <c r="H31" s="4">
        <f>H16</f>
        <v/>
      </c>
      <c r="I31" s="27">
        <f>i_Setup!$M$16</f>
        <v/>
      </c>
      <c r="M31" s="257">
        <f>i_Assumptions!M30</f>
        <v/>
      </c>
      <c r="N31" s="257">
        <f>i_Assumptions!N30</f>
        <v/>
      </c>
      <c r="O31" s="257">
        <f>i_Assumptions!O30</f>
        <v/>
      </c>
      <c r="P31" s="257">
        <f>i_Assumptions!P30</f>
        <v/>
      </c>
      <c r="Q31" s="257">
        <f>i_Assumptions!Q30</f>
        <v/>
      </c>
      <c r="T31" s="257">
        <f>IF(T$7="Actual","",INDEX($M31:$Q31,,MATCH(T$4,$M$4:$Q$4,0)))</f>
        <v/>
      </c>
      <c r="U31" s="257">
        <f>IF(U$7="Actual","",INDEX($M31:$Q31,,MATCH(U$4,$M$4:$Q$4,0)))</f>
        <v/>
      </c>
      <c r="V31" s="257">
        <f>IF(V$7="Actual","",INDEX($M31:$Q31,,MATCH(V$4,$M$4:$Q$4,0)))</f>
        <v/>
      </c>
      <c r="W31" s="257">
        <f>IF(W$7="Actual","",INDEX($M31:$Q31,,MATCH(W$4,$M$4:$Q$4,0)))</f>
        <v/>
      </c>
      <c r="X31" s="257">
        <f>IF(X$7="Actual","",INDEX($M31:$Q31,,MATCH(X$4,$M$4:$Q$4,0)))</f>
        <v/>
      </c>
      <c r="Y31" s="257">
        <f>IF(Y$7="Actual","",INDEX($M31:$Q31,,MATCH(Y$4,$M$4:$Q$4,0)))</f>
        <v/>
      </c>
      <c r="Z31" s="257">
        <f>IF(Z$7="Actual","",INDEX($M31:$Q31,,MATCH(Z$4,$M$4:$Q$4,0)))</f>
        <v/>
      </c>
      <c r="AA31" s="257">
        <f>IF(AA$7="Actual","",INDEX($M31:$Q31,,MATCH(AA$4,$M$4:$Q$4,0)))</f>
        <v/>
      </c>
      <c r="AB31" s="257">
        <f>IF(AB$7="Actual","",INDEX($M31:$Q31,,MATCH(AB$4,$M$4:$Q$4,0)))</f>
        <v/>
      </c>
      <c r="AC31" s="257">
        <f>IF(AC$7="Actual","",INDEX($M31:$Q31,,MATCH(AC$4,$M$4:$Q$4,0)))</f>
        <v/>
      </c>
      <c r="AD31" s="257">
        <f>IF(AD$7="Actual","",INDEX($M31:$Q31,,MATCH(AD$4,$M$4:$Q$4,0)))</f>
        <v/>
      </c>
      <c r="AE31" s="257">
        <f>IF(AE$7="Actual","",INDEX($M31:$Q31,,MATCH(AE$4,$M$4:$Q$4,0)))</f>
        <v/>
      </c>
      <c r="AF31" s="257">
        <f>IF(AF$7="Actual","",INDEX($M31:$Q31,,MATCH(AF$4,$M$4:$Q$4,0)))</f>
        <v/>
      </c>
      <c r="AG31" s="257">
        <f>IF(AG$7="Actual","",INDEX($M31:$Q31,,MATCH(AG$4,$M$4:$Q$4,0)))</f>
        <v/>
      </c>
      <c r="AH31" s="257">
        <f>IF(AH$7="Actual","",INDEX($M31:$Q31,,MATCH(AH$4,$M$4:$Q$4,0)))</f>
        <v/>
      </c>
      <c r="AI31" s="257">
        <f>IF(AI$7="Actual","",INDEX($M31:$Q31,,MATCH(AI$4,$M$4:$Q$4,0)))</f>
        <v/>
      </c>
      <c r="AJ31" s="257">
        <f>IF(AJ$7="Actual","",INDEX($M31:$Q31,,MATCH(AJ$4,$M$4:$Q$4,0)))</f>
        <v/>
      </c>
      <c r="AK31" s="257">
        <f>IF(AK$7="Actual","",INDEX($M31:$Q31,,MATCH(AK$4,$M$4:$Q$4,0)))</f>
        <v/>
      </c>
      <c r="AL31" s="257">
        <f>IF(AL$7="Actual","",INDEX($M31:$Q31,,MATCH(AL$4,$M$4:$Q$4,0)))</f>
        <v/>
      </c>
      <c r="AM31" s="257">
        <f>IF(AM$7="Actual","",INDEX($M31:$Q31,,MATCH(AM$4,$M$4:$Q$4,0)))</f>
        <v/>
      </c>
      <c r="AN31" s="257">
        <f>IF(AN$7="Actual","",INDEX($M31:$Q31,,MATCH(AN$4,$M$4:$Q$4,0)))</f>
        <v/>
      </c>
      <c r="AO31" s="257">
        <f>IF(AO$7="Actual","",INDEX($M31:$Q31,,MATCH(AO$4,$M$4:$Q$4,0)))</f>
        <v/>
      </c>
      <c r="AP31" s="257">
        <f>IF(AP$7="Actual","",INDEX($M31:$Q31,,MATCH(AP$4,$M$4:$Q$4,0)))</f>
        <v/>
      </c>
      <c r="AQ31" s="257">
        <f>IF(AQ$7="Actual","",INDEX($M31:$Q31,,MATCH(AQ$4,$M$4:$Q$4,0)))</f>
        <v/>
      </c>
      <c r="AR31" s="257">
        <f>IF(AR$7="Actual","",INDEX($M31:$Q31,,MATCH(AR$4,$M$4:$Q$4,0)))</f>
        <v/>
      </c>
      <c r="AS31" s="257">
        <f>IF(AS$7="Actual","",INDEX($M31:$Q31,,MATCH(AS$4,$M$4:$Q$4,0)))</f>
        <v/>
      </c>
      <c r="AT31" s="257">
        <f>IF(AT$7="Actual","",INDEX($M31:$Q31,,MATCH(AT$4,$M$4:$Q$4,0)))</f>
        <v/>
      </c>
      <c r="AU31" s="257">
        <f>IF(AU$7="Actual","",INDEX($M31:$Q31,,MATCH(AU$4,$M$4:$Q$4,0)))</f>
        <v/>
      </c>
      <c r="AV31" s="257">
        <f>IF(AV$7="Actual","",INDEX($M31:$Q31,,MATCH(AV$4,$M$4:$Q$4,0)))</f>
        <v/>
      </c>
      <c r="AW31" s="257">
        <f>IF(AW$7="Actual","",INDEX($M31:$Q31,,MATCH(AW$4,$M$4:$Q$4,0)))</f>
        <v/>
      </c>
      <c r="AX31" s="257">
        <f>IF(AX$7="Actual","",INDEX($M31:$Q31,,MATCH(AX$4,$M$4:$Q$4,0)))</f>
        <v/>
      </c>
      <c r="AY31" s="257">
        <f>IF(AY$7="Actual","",INDEX($M31:$Q31,,MATCH(AY$4,$M$4:$Q$4,0)))</f>
        <v/>
      </c>
      <c r="AZ31" s="257">
        <f>IF(AZ$7="Actual","",INDEX($M31:$Q31,,MATCH(AZ$4,$M$4:$Q$4,0)))</f>
        <v/>
      </c>
      <c r="BA31" s="257">
        <f>IF(BA$7="Actual","",INDEX($M31:$Q31,,MATCH(BA$4,$M$4:$Q$4,0)))</f>
        <v/>
      </c>
      <c r="BB31" s="257">
        <f>IF(BB$7="Actual","",INDEX($M31:$Q31,,MATCH(BB$4,$M$4:$Q$4,0)))</f>
        <v/>
      </c>
      <c r="BC31" s="257">
        <f>IF(BC$7="Actual","",INDEX($M31:$Q31,,MATCH(BC$4,$M$4:$Q$4,0)))</f>
        <v/>
      </c>
      <c r="BD31" s="257">
        <f>IF(BD$7="Actual","",INDEX($M31:$Q31,,MATCH(BD$4,$M$4:$Q$4,0)))</f>
        <v/>
      </c>
      <c r="BE31" s="257">
        <f>IF(BE$7="Actual","",INDEX($M31:$Q31,,MATCH(BE$4,$M$4:$Q$4,0)))</f>
        <v/>
      </c>
      <c r="BF31" s="257">
        <f>IF(BF$7="Actual","",INDEX($M31:$Q31,,MATCH(BF$4,$M$4:$Q$4,0)))</f>
        <v/>
      </c>
      <c r="BG31" s="257">
        <f>IF(BG$7="Actual","",INDEX($M31:$Q31,,MATCH(BG$4,$M$4:$Q$4,0)))</f>
        <v/>
      </c>
      <c r="BH31" s="257">
        <f>IF(BH$7="Actual","",INDEX($M31:$Q31,,MATCH(BH$4,$M$4:$Q$4,0)))</f>
        <v/>
      </c>
      <c r="BI31" s="257">
        <f>IF(BI$7="Actual","",INDEX($M31:$Q31,,MATCH(BI$4,$M$4:$Q$4,0)))</f>
        <v/>
      </c>
      <c r="BJ31" s="257">
        <f>IF(BJ$7="Actual","",INDEX($M31:$Q31,,MATCH(BJ$4,$M$4:$Q$4,0)))</f>
        <v/>
      </c>
      <c r="BK31" s="257">
        <f>IF(BK$7="Actual","",INDEX($M31:$Q31,,MATCH(BK$4,$M$4:$Q$4,0)))</f>
        <v/>
      </c>
      <c r="BL31" s="257">
        <f>IF(BL$7="Actual","",INDEX($M31:$Q31,,MATCH(BL$4,$M$4:$Q$4,0)))</f>
        <v/>
      </c>
      <c r="BM31" s="257">
        <f>IF(BM$7="Actual","",INDEX($M31:$Q31,,MATCH(BM$4,$M$4:$Q$4,0)))</f>
        <v/>
      </c>
      <c r="BN31" s="257">
        <f>IF(BN$7="Actual","",INDEX($M31:$Q31,,MATCH(BN$4,$M$4:$Q$4,0)))</f>
        <v/>
      </c>
      <c r="BO31" s="257">
        <f>IF(BO$7="Actual","",INDEX($M31:$Q31,,MATCH(BO$4,$M$4:$Q$4,0)))</f>
        <v/>
      </c>
      <c r="BP31" s="257">
        <f>IF(BP$7="Actual","",INDEX($M31:$Q31,,MATCH(BP$4,$M$4:$Q$4,0)))</f>
        <v/>
      </c>
      <c r="BQ31" s="257">
        <f>IF(BQ$7="Actual","",INDEX($M31:$Q31,,MATCH(BQ$4,$M$4:$Q$4,0)))</f>
        <v/>
      </c>
      <c r="BR31" s="257">
        <f>IF(BR$7="Actual","",INDEX($M31:$Q31,,MATCH(BR$4,$M$4:$Q$4,0)))</f>
        <v/>
      </c>
      <c r="BS31" s="257">
        <f>IF(BS$7="Actual","",INDEX($M31:$Q31,,MATCH(BS$4,$M$4:$Q$4,0)))</f>
        <v/>
      </c>
      <c r="BT31" s="257">
        <f>IF(BT$7="Actual","",INDEX($M31:$Q31,,MATCH(BT$4,$M$4:$Q$4,0)))</f>
        <v/>
      </c>
      <c r="BU31" s="257">
        <f>IF(BU$7="Actual","",INDEX($M31:$Q31,,MATCH(BU$4,$M$4:$Q$4,0)))</f>
        <v/>
      </c>
      <c r="BV31" s="257">
        <f>IF(BV$7="Actual","",INDEX($M31:$Q31,,MATCH(BV$4,$M$4:$Q$4,0)))</f>
        <v/>
      </c>
      <c r="BW31" s="257">
        <f>IF(BW$7="Actual","",INDEX($M31:$Q31,,MATCH(BW$4,$M$4:$Q$4,0)))</f>
        <v/>
      </c>
      <c r="BX31" s="257">
        <f>IF(BX$7="Actual","",INDEX($M31:$Q31,,MATCH(BX$4,$M$4:$Q$4,0)))</f>
        <v/>
      </c>
      <c r="BY31" s="257">
        <f>IF(BY$7="Actual","",INDEX($M31:$Q31,,MATCH(BY$4,$M$4:$Q$4,0)))</f>
        <v/>
      </c>
      <c r="BZ31" s="257">
        <f>IF(BZ$7="Actual","",INDEX($M31:$Q31,,MATCH(BZ$4,$M$4:$Q$4,0)))</f>
        <v/>
      </c>
      <c r="CA31" s="257">
        <f>IF(CA$7="Actual","",INDEX($M31:$Q31,,MATCH(CA$4,$M$4:$Q$4,0)))</f>
        <v/>
      </c>
    </row>
    <row r="32" ht="12" customHeight="1" s="227">
      <c r="A32" s="244" t="n"/>
      <c r="B32" s="244" t="n"/>
      <c r="C32" s="244" t="n"/>
      <c r="H32" s="4">
        <f>H17</f>
        <v/>
      </c>
      <c r="I32" s="27">
        <f>i_Setup!$M$16</f>
        <v/>
      </c>
      <c r="M32" s="257">
        <f>i_Assumptions!M31</f>
        <v/>
      </c>
      <c r="N32" s="257">
        <f>i_Assumptions!N31</f>
        <v/>
      </c>
      <c r="O32" s="257">
        <f>i_Assumptions!O31</f>
        <v/>
      </c>
      <c r="P32" s="257">
        <f>i_Assumptions!P31</f>
        <v/>
      </c>
      <c r="Q32" s="257">
        <f>i_Assumptions!Q31</f>
        <v/>
      </c>
      <c r="T32" s="257">
        <f>IF(T$7="Actual","",INDEX($M32:$Q32,,MATCH(T$4,$M$4:$Q$4,0)))</f>
        <v/>
      </c>
      <c r="U32" s="257">
        <f>IF(U$7="Actual","",INDEX($M32:$Q32,,MATCH(U$4,$M$4:$Q$4,0)))</f>
        <v/>
      </c>
      <c r="V32" s="257">
        <f>IF(V$7="Actual","",INDEX($M32:$Q32,,MATCH(V$4,$M$4:$Q$4,0)))</f>
        <v/>
      </c>
      <c r="W32" s="257">
        <f>IF(W$7="Actual","",INDEX($M32:$Q32,,MATCH(W$4,$M$4:$Q$4,0)))</f>
        <v/>
      </c>
      <c r="X32" s="257">
        <f>IF(X$7="Actual","",INDEX($M32:$Q32,,MATCH(X$4,$M$4:$Q$4,0)))</f>
        <v/>
      </c>
      <c r="Y32" s="257">
        <f>IF(Y$7="Actual","",INDEX($M32:$Q32,,MATCH(Y$4,$M$4:$Q$4,0)))</f>
        <v/>
      </c>
      <c r="Z32" s="257">
        <f>IF(Z$7="Actual","",INDEX($M32:$Q32,,MATCH(Z$4,$M$4:$Q$4,0)))</f>
        <v/>
      </c>
      <c r="AA32" s="257">
        <f>IF(AA$7="Actual","",INDEX($M32:$Q32,,MATCH(AA$4,$M$4:$Q$4,0)))</f>
        <v/>
      </c>
      <c r="AB32" s="257">
        <f>IF(AB$7="Actual","",INDEX($M32:$Q32,,MATCH(AB$4,$M$4:$Q$4,0)))</f>
        <v/>
      </c>
      <c r="AC32" s="257">
        <f>IF(AC$7="Actual","",INDEX($M32:$Q32,,MATCH(AC$4,$M$4:$Q$4,0)))</f>
        <v/>
      </c>
      <c r="AD32" s="257">
        <f>IF(AD$7="Actual","",INDEX($M32:$Q32,,MATCH(AD$4,$M$4:$Q$4,0)))</f>
        <v/>
      </c>
      <c r="AE32" s="257">
        <f>IF(AE$7="Actual","",INDEX($M32:$Q32,,MATCH(AE$4,$M$4:$Q$4,0)))</f>
        <v/>
      </c>
      <c r="AF32" s="257">
        <f>IF(AF$7="Actual","",INDEX($M32:$Q32,,MATCH(AF$4,$M$4:$Q$4,0)))</f>
        <v/>
      </c>
      <c r="AG32" s="257">
        <f>IF(AG$7="Actual","",INDEX($M32:$Q32,,MATCH(AG$4,$M$4:$Q$4,0)))</f>
        <v/>
      </c>
      <c r="AH32" s="257">
        <f>IF(AH$7="Actual","",INDEX($M32:$Q32,,MATCH(AH$4,$M$4:$Q$4,0)))</f>
        <v/>
      </c>
      <c r="AI32" s="257">
        <f>IF(AI$7="Actual","",INDEX($M32:$Q32,,MATCH(AI$4,$M$4:$Q$4,0)))</f>
        <v/>
      </c>
      <c r="AJ32" s="257">
        <f>IF(AJ$7="Actual","",INDEX($M32:$Q32,,MATCH(AJ$4,$M$4:$Q$4,0)))</f>
        <v/>
      </c>
      <c r="AK32" s="257">
        <f>IF(AK$7="Actual","",INDEX($M32:$Q32,,MATCH(AK$4,$M$4:$Q$4,0)))</f>
        <v/>
      </c>
      <c r="AL32" s="257">
        <f>IF(AL$7="Actual","",INDEX($M32:$Q32,,MATCH(AL$4,$M$4:$Q$4,0)))</f>
        <v/>
      </c>
      <c r="AM32" s="257">
        <f>IF(AM$7="Actual","",INDEX($M32:$Q32,,MATCH(AM$4,$M$4:$Q$4,0)))</f>
        <v/>
      </c>
      <c r="AN32" s="257">
        <f>IF(AN$7="Actual","",INDEX($M32:$Q32,,MATCH(AN$4,$M$4:$Q$4,0)))</f>
        <v/>
      </c>
      <c r="AO32" s="257">
        <f>IF(AO$7="Actual","",INDEX($M32:$Q32,,MATCH(AO$4,$M$4:$Q$4,0)))</f>
        <v/>
      </c>
      <c r="AP32" s="257">
        <f>IF(AP$7="Actual","",INDEX($M32:$Q32,,MATCH(AP$4,$M$4:$Q$4,0)))</f>
        <v/>
      </c>
      <c r="AQ32" s="257">
        <f>IF(AQ$7="Actual","",INDEX($M32:$Q32,,MATCH(AQ$4,$M$4:$Q$4,0)))</f>
        <v/>
      </c>
      <c r="AR32" s="257">
        <f>IF(AR$7="Actual","",INDEX($M32:$Q32,,MATCH(AR$4,$M$4:$Q$4,0)))</f>
        <v/>
      </c>
      <c r="AS32" s="257">
        <f>IF(AS$7="Actual","",INDEX($M32:$Q32,,MATCH(AS$4,$M$4:$Q$4,0)))</f>
        <v/>
      </c>
      <c r="AT32" s="257">
        <f>IF(AT$7="Actual","",INDEX($M32:$Q32,,MATCH(AT$4,$M$4:$Q$4,0)))</f>
        <v/>
      </c>
      <c r="AU32" s="257">
        <f>IF(AU$7="Actual","",INDEX($M32:$Q32,,MATCH(AU$4,$M$4:$Q$4,0)))</f>
        <v/>
      </c>
      <c r="AV32" s="257">
        <f>IF(AV$7="Actual","",INDEX($M32:$Q32,,MATCH(AV$4,$M$4:$Q$4,0)))</f>
        <v/>
      </c>
      <c r="AW32" s="257">
        <f>IF(AW$7="Actual","",INDEX($M32:$Q32,,MATCH(AW$4,$M$4:$Q$4,0)))</f>
        <v/>
      </c>
      <c r="AX32" s="257">
        <f>IF(AX$7="Actual","",INDEX($M32:$Q32,,MATCH(AX$4,$M$4:$Q$4,0)))</f>
        <v/>
      </c>
      <c r="AY32" s="257">
        <f>IF(AY$7="Actual","",INDEX($M32:$Q32,,MATCH(AY$4,$M$4:$Q$4,0)))</f>
        <v/>
      </c>
      <c r="AZ32" s="257">
        <f>IF(AZ$7="Actual","",INDEX($M32:$Q32,,MATCH(AZ$4,$M$4:$Q$4,0)))</f>
        <v/>
      </c>
      <c r="BA32" s="257">
        <f>IF(BA$7="Actual","",INDEX($M32:$Q32,,MATCH(BA$4,$M$4:$Q$4,0)))</f>
        <v/>
      </c>
      <c r="BB32" s="257">
        <f>IF(BB$7="Actual","",INDEX($M32:$Q32,,MATCH(BB$4,$M$4:$Q$4,0)))</f>
        <v/>
      </c>
      <c r="BC32" s="257">
        <f>IF(BC$7="Actual","",INDEX($M32:$Q32,,MATCH(BC$4,$M$4:$Q$4,0)))</f>
        <v/>
      </c>
      <c r="BD32" s="257">
        <f>IF(BD$7="Actual","",INDEX($M32:$Q32,,MATCH(BD$4,$M$4:$Q$4,0)))</f>
        <v/>
      </c>
      <c r="BE32" s="257">
        <f>IF(BE$7="Actual","",INDEX($M32:$Q32,,MATCH(BE$4,$M$4:$Q$4,0)))</f>
        <v/>
      </c>
      <c r="BF32" s="257">
        <f>IF(BF$7="Actual","",INDEX($M32:$Q32,,MATCH(BF$4,$M$4:$Q$4,0)))</f>
        <v/>
      </c>
      <c r="BG32" s="257">
        <f>IF(BG$7="Actual","",INDEX($M32:$Q32,,MATCH(BG$4,$M$4:$Q$4,0)))</f>
        <v/>
      </c>
      <c r="BH32" s="257">
        <f>IF(BH$7="Actual","",INDEX($M32:$Q32,,MATCH(BH$4,$M$4:$Q$4,0)))</f>
        <v/>
      </c>
      <c r="BI32" s="257">
        <f>IF(BI$7="Actual","",INDEX($M32:$Q32,,MATCH(BI$4,$M$4:$Q$4,0)))</f>
        <v/>
      </c>
      <c r="BJ32" s="257">
        <f>IF(BJ$7="Actual","",INDEX($M32:$Q32,,MATCH(BJ$4,$M$4:$Q$4,0)))</f>
        <v/>
      </c>
      <c r="BK32" s="257">
        <f>IF(BK$7="Actual","",INDEX($M32:$Q32,,MATCH(BK$4,$M$4:$Q$4,0)))</f>
        <v/>
      </c>
      <c r="BL32" s="257">
        <f>IF(BL$7="Actual","",INDEX($M32:$Q32,,MATCH(BL$4,$M$4:$Q$4,0)))</f>
        <v/>
      </c>
      <c r="BM32" s="257">
        <f>IF(BM$7="Actual","",INDEX($M32:$Q32,,MATCH(BM$4,$M$4:$Q$4,0)))</f>
        <v/>
      </c>
      <c r="BN32" s="257">
        <f>IF(BN$7="Actual","",INDEX($M32:$Q32,,MATCH(BN$4,$M$4:$Q$4,0)))</f>
        <v/>
      </c>
      <c r="BO32" s="257">
        <f>IF(BO$7="Actual","",INDEX($M32:$Q32,,MATCH(BO$4,$M$4:$Q$4,0)))</f>
        <v/>
      </c>
      <c r="BP32" s="257">
        <f>IF(BP$7="Actual","",INDEX($M32:$Q32,,MATCH(BP$4,$M$4:$Q$4,0)))</f>
        <v/>
      </c>
      <c r="BQ32" s="257">
        <f>IF(BQ$7="Actual","",INDEX($M32:$Q32,,MATCH(BQ$4,$M$4:$Q$4,0)))</f>
        <v/>
      </c>
      <c r="BR32" s="257">
        <f>IF(BR$7="Actual","",INDEX($M32:$Q32,,MATCH(BR$4,$M$4:$Q$4,0)))</f>
        <v/>
      </c>
      <c r="BS32" s="257">
        <f>IF(BS$7="Actual","",INDEX($M32:$Q32,,MATCH(BS$4,$M$4:$Q$4,0)))</f>
        <v/>
      </c>
      <c r="BT32" s="257">
        <f>IF(BT$7="Actual","",INDEX($M32:$Q32,,MATCH(BT$4,$M$4:$Q$4,0)))</f>
        <v/>
      </c>
      <c r="BU32" s="257">
        <f>IF(BU$7="Actual","",INDEX($M32:$Q32,,MATCH(BU$4,$M$4:$Q$4,0)))</f>
        <v/>
      </c>
      <c r="BV32" s="257">
        <f>IF(BV$7="Actual","",INDEX($M32:$Q32,,MATCH(BV$4,$M$4:$Q$4,0)))</f>
        <v/>
      </c>
      <c r="BW32" s="257">
        <f>IF(BW$7="Actual","",INDEX($M32:$Q32,,MATCH(BW$4,$M$4:$Q$4,0)))</f>
        <v/>
      </c>
      <c r="BX32" s="257">
        <f>IF(BX$7="Actual","",INDEX($M32:$Q32,,MATCH(BX$4,$M$4:$Q$4,0)))</f>
        <v/>
      </c>
      <c r="BY32" s="257">
        <f>IF(BY$7="Actual","",INDEX($M32:$Q32,,MATCH(BY$4,$M$4:$Q$4,0)))</f>
        <v/>
      </c>
      <c r="BZ32" s="257">
        <f>IF(BZ$7="Actual","",INDEX($M32:$Q32,,MATCH(BZ$4,$M$4:$Q$4,0)))</f>
        <v/>
      </c>
      <c r="CA32" s="257">
        <f>IF(CA$7="Actual","",INDEX($M32:$Q32,,MATCH(CA$4,$M$4:$Q$4,0)))</f>
        <v/>
      </c>
    </row>
    <row r="33" ht="12" customHeight="1" s="227">
      <c r="A33" s="244" t="n"/>
      <c r="B33" s="244" t="n"/>
      <c r="C33" s="244" t="n"/>
      <c r="H33" s="4">
        <f>H18</f>
        <v/>
      </c>
      <c r="I33" s="27">
        <f>i_Setup!$M$16</f>
        <v/>
      </c>
      <c r="M33" s="257">
        <f>i_Assumptions!M32</f>
        <v/>
      </c>
      <c r="N33" s="257">
        <f>i_Assumptions!N32</f>
        <v/>
      </c>
      <c r="O33" s="257">
        <f>i_Assumptions!O32</f>
        <v/>
      </c>
      <c r="P33" s="257">
        <f>i_Assumptions!P32</f>
        <v/>
      </c>
      <c r="Q33" s="257">
        <f>i_Assumptions!Q32</f>
        <v/>
      </c>
      <c r="T33" s="257">
        <f>IF(T$7="Actual","",INDEX($M33:$Q33,,MATCH(T$4,$M$4:$Q$4,0)))</f>
        <v/>
      </c>
      <c r="U33" s="257">
        <f>IF(U$7="Actual","",INDEX($M33:$Q33,,MATCH(U$4,$M$4:$Q$4,0)))</f>
        <v/>
      </c>
      <c r="V33" s="257">
        <f>IF(V$7="Actual","",INDEX($M33:$Q33,,MATCH(V$4,$M$4:$Q$4,0)))</f>
        <v/>
      </c>
      <c r="W33" s="257">
        <f>IF(W$7="Actual","",INDEX($M33:$Q33,,MATCH(W$4,$M$4:$Q$4,0)))</f>
        <v/>
      </c>
      <c r="X33" s="257">
        <f>IF(X$7="Actual","",INDEX($M33:$Q33,,MATCH(X$4,$M$4:$Q$4,0)))</f>
        <v/>
      </c>
      <c r="Y33" s="257">
        <f>IF(Y$7="Actual","",INDEX($M33:$Q33,,MATCH(Y$4,$M$4:$Q$4,0)))</f>
        <v/>
      </c>
      <c r="Z33" s="257">
        <f>IF(Z$7="Actual","",INDEX($M33:$Q33,,MATCH(Z$4,$M$4:$Q$4,0)))</f>
        <v/>
      </c>
      <c r="AA33" s="257">
        <f>IF(AA$7="Actual","",INDEX($M33:$Q33,,MATCH(AA$4,$M$4:$Q$4,0)))</f>
        <v/>
      </c>
      <c r="AB33" s="257">
        <f>IF(AB$7="Actual","",INDEX($M33:$Q33,,MATCH(AB$4,$M$4:$Q$4,0)))</f>
        <v/>
      </c>
      <c r="AC33" s="257">
        <f>IF(AC$7="Actual","",INDEX($M33:$Q33,,MATCH(AC$4,$M$4:$Q$4,0)))</f>
        <v/>
      </c>
      <c r="AD33" s="257">
        <f>IF(AD$7="Actual","",INDEX($M33:$Q33,,MATCH(AD$4,$M$4:$Q$4,0)))</f>
        <v/>
      </c>
      <c r="AE33" s="257">
        <f>IF(AE$7="Actual","",INDEX($M33:$Q33,,MATCH(AE$4,$M$4:$Q$4,0)))</f>
        <v/>
      </c>
      <c r="AF33" s="257">
        <f>IF(AF$7="Actual","",INDEX($M33:$Q33,,MATCH(AF$4,$M$4:$Q$4,0)))</f>
        <v/>
      </c>
      <c r="AG33" s="257">
        <f>IF(AG$7="Actual","",INDEX($M33:$Q33,,MATCH(AG$4,$M$4:$Q$4,0)))</f>
        <v/>
      </c>
      <c r="AH33" s="257">
        <f>IF(AH$7="Actual","",INDEX($M33:$Q33,,MATCH(AH$4,$M$4:$Q$4,0)))</f>
        <v/>
      </c>
      <c r="AI33" s="257">
        <f>IF(AI$7="Actual","",INDEX($M33:$Q33,,MATCH(AI$4,$M$4:$Q$4,0)))</f>
        <v/>
      </c>
      <c r="AJ33" s="257">
        <f>IF(AJ$7="Actual","",INDEX($M33:$Q33,,MATCH(AJ$4,$M$4:$Q$4,0)))</f>
        <v/>
      </c>
      <c r="AK33" s="257">
        <f>IF(AK$7="Actual","",INDEX($M33:$Q33,,MATCH(AK$4,$M$4:$Q$4,0)))</f>
        <v/>
      </c>
      <c r="AL33" s="257">
        <f>IF(AL$7="Actual","",INDEX($M33:$Q33,,MATCH(AL$4,$M$4:$Q$4,0)))</f>
        <v/>
      </c>
      <c r="AM33" s="257">
        <f>IF(AM$7="Actual","",INDEX($M33:$Q33,,MATCH(AM$4,$M$4:$Q$4,0)))</f>
        <v/>
      </c>
      <c r="AN33" s="257">
        <f>IF(AN$7="Actual","",INDEX($M33:$Q33,,MATCH(AN$4,$M$4:$Q$4,0)))</f>
        <v/>
      </c>
      <c r="AO33" s="257">
        <f>IF(AO$7="Actual","",INDEX($M33:$Q33,,MATCH(AO$4,$M$4:$Q$4,0)))</f>
        <v/>
      </c>
      <c r="AP33" s="257">
        <f>IF(AP$7="Actual","",INDEX($M33:$Q33,,MATCH(AP$4,$M$4:$Q$4,0)))</f>
        <v/>
      </c>
      <c r="AQ33" s="257">
        <f>IF(AQ$7="Actual","",INDEX($M33:$Q33,,MATCH(AQ$4,$M$4:$Q$4,0)))</f>
        <v/>
      </c>
      <c r="AR33" s="257">
        <f>IF(AR$7="Actual","",INDEX($M33:$Q33,,MATCH(AR$4,$M$4:$Q$4,0)))</f>
        <v/>
      </c>
      <c r="AS33" s="257">
        <f>IF(AS$7="Actual","",INDEX($M33:$Q33,,MATCH(AS$4,$M$4:$Q$4,0)))</f>
        <v/>
      </c>
      <c r="AT33" s="257">
        <f>IF(AT$7="Actual","",INDEX($M33:$Q33,,MATCH(AT$4,$M$4:$Q$4,0)))</f>
        <v/>
      </c>
      <c r="AU33" s="257">
        <f>IF(AU$7="Actual","",INDEX($M33:$Q33,,MATCH(AU$4,$M$4:$Q$4,0)))</f>
        <v/>
      </c>
      <c r="AV33" s="257">
        <f>IF(AV$7="Actual","",INDEX($M33:$Q33,,MATCH(AV$4,$M$4:$Q$4,0)))</f>
        <v/>
      </c>
      <c r="AW33" s="257">
        <f>IF(AW$7="Actual","",INDEX($M33:$Q33,,MATCH(AW$4,$M$4:$Q$4,0)))</f>
        <v/>
      </c>
      <c r="AX33" s="257">
        <f>IF(AX$7="Actual","",INDEX($M33:$Q33,,MATCH(AX$4,$M$4:$Q$4,0)))</f>
        <v/>
      </c>
      <c r="AY33" s="257">
        <f>IF(AY$7="Actual","",INDEX($M33:$Q33,,MATCH(AY$4,$M$4:$Q$4,0)))</f>
        <v/>
      </c>
      <c r="AZ33" s="257">
        <f>IF(AZ$7="Actual","",INDEX($M33:$Q33,,MATCH(AZ$4,$M$4:$Q$4,0)))</f>
        <v/>
      </c>
      <c r="BA33" s="257">
        <f>IF(BA$7="Actual","",INDEX($M33:$Q33,,MATCH(BA$4,$M$4:$Q$4,0)))</f>
        <v/>
      </c>
      <c r="BB33" s="257">
        <f>IF(BB$7="Actual","",INDEX($M33:$Q33,,MATCH(BB$4,$M$4:$Q$4,0)))</f>
        <v/>
      </c>
      <c r="BC33" s="257">
        <f>IF(BC$7="Actual","",INDEX($M33:$Q33,,MATCH(BC$4,$M$4:$Q$4,0)))</f>
        <v/>
      </c>
      <c r="BD33" s="257">
        <f>IF(BD$7="Actual","",INDEX($M33:$Q33,,MATCH(BD$4,$M$4:$Q$4,0)))</f>
        <v/>
      </c>
      <c r="BE33" s="257">
        <f>IF(BE$7="Actual","",INDEX($M33:$Q33,,MATCH(BE$4,$M$4:$Q$4,0)))</f>
        <v/>
      </c>
      <c r="BF33" s="257">
        <f>IF(BF$7="Actual","",INDEX($M33:$Q33,,MATCH(BF$4,$M$4:$Q$4,0)))</f>
        <v/>
      </c>
      <c r="BG33" s="257">
        <f>IF(BG$7="Actual","",INDEX($M33:$Q33,,MATCH(BG$4,$M$4:$Q$4,0)))</f>
        <v/>
      </c>
      <c r="BH33" s="257">
        <f>IF(BH$7="Actual","",INDEX($M33:$Q33,,MATCH(BH$4,$M$4:$Q$4,0)))</f>
        <v/>
      </c>
      <c r="BI33" s="257">
        <f>IF(BI$7="Actual","",INDEX($M33:$Q33,,MATCH(BI$4,$M$4:$Q$4,0)))</f>
        <v/>
      </c>
      <c r="BJ33" s="257">
        <f>IF(BJ$7="Actual","",INDEX($M33:$Q33,,MATCH(BJ$4,$M$4:$Q$4,0)))</f>
        <v/>
      </c>
      <c r="BK33" s="257">
        <f>IF(BK$7="Actual","",INDEX($M33:$Q33,,MATCH(BK$4,$M$4:$Q$4,0)))</f>
        <v/>
      </c>
      <c r="BL33" s="257">
        <f>IF(BL$7="Actual","",INDEX($M33:$Q33,,MATCH(BL$4,$M$4:$Q$4,0)))</f>
        <v/>
      </c>
      <c r="BM33" s="257">
        <f>IF(BM$7="Actual","",INDEX($M33:$Q33,,MATCH(BM$4,$M$4:$Q$4,0)))</f>
        <v/>
      </c>
      <c r="BN33" s="257">
        <f>IF(BN$7="Actual","",INDEX($M33:$Q33,,MATCH(BN$4,$M$4:$Q$4,0)))</f>
        <v/>
      </c>
      <c r="BO33" s="257">
        <f>IF(BO$7="Actual","",INDEX($M33:$Q33,,MATCH(BO$4,$M$4:$Q$4,0)))</f>
        <v/>
      </c>
      <c r="BP33" s="257">
        <f>IF(BP$7="Actual","",INDEX($M33:$Q33,,MATCH(BP$4,$M$4:$Q$4,0)))</f>
        <v/>
      </c>
      <c r="BQ33" s="257">
        <f>IF(BQ$7="Actual","",INDEX($M33:$Q33,,MATCH(BQ$4,$M$4:$Q$4,0)))</f>
        <v/>
      </c>
      <c r="BR33" s="257">
        <f>IF(BR$7="Actual","",INDEX($M33:$Q33,,MATCH(BR$4,$M$4:$Q$4,0)))</f>
        <v/>
      </c>
      <c r="BS33" s="257">
        <f>IF(BS$7="Actual","",INDEX($M33:$Q33,,MATCH(BS$4,$M$4:$Q$4,0)))</f>
        <v/>
      </c>
      <c r="BT33" s="257">
        <f>IF(BT$7="Actual","",INDEX($M33:$Q33,,MATCH(BT$4,$M$4:$Q$4,0)))</f>
        <v/>
      </c>
      <c r="BU33" s="257">
        <f>IF(BU$7="Actual","",INDEX($M33:$Q33,,MATCH(BU$4,$M$4:$Q$4,0)))</f>
        <v/>
      </c>
      <c r="BV33" s="257">
        <f>IF(BV$7="Actual","",INDEX($M33:$Q33,,MATCH(BV$4,$M$4:$Q$4,0)))</f>
        <v/>
      </c>
      <c r="BW33" s="257">
        <f>IF(BW$7="Actual","",INDEX($M33:$Q33,,MATCH(BW$4,$M$4:$Q$4,0)))</f>
        <v/>
      </c>
      <c r="BX33" s="257">
        <f>IF(BX$7="Actual","",INDEX($M33:$Q33,,MATCH(BX$4,$M$4:$Q$4,0)))</f>
        <v/>
      </c>
      <c r="BY33" s="257">
        <f>IF(BY$7="Actual","",INDEX($M33:$Q33,,MATCH(BY$4,$M$4:$Q$4,0)))</f>
        <v/>
      </c>
      <c r="BZ33" s="257">
        <f>IF(BZ$7="Actual","",INDEX($M33:$Q33,,MATCH(BZ$4,$M$4:$Q$4,0)))</f>
        <v/>
      </c>
      <c r="CA33" s="257">
        <f>IF(CA$7="Actual","",INDEX($M33:$Q33,,MATCH(CA$4,$M$4:$Q$4,0)))</f>
        <v/>
      </c>
    </row>
    <row r="34" ht="12" customHeight="1" s="227">
      <c r="A34" s="244" t="n"/>
      <c r="B34" s="244" t="n"/>
      <c r="C34" s="244" t="n"/>
      <c r="H34" s="4">
        <f>H19</f>
        <v/>
      </c>
      <c r="I34" s="27">
        <f>i_Setup!$M$16</f>
        <v/>
      </c>
      <c r="M34" s="257">
        <f>i_Assumptions!M33</f>
        <v/>
      </c>
      <c r="N34" s="257">
        <f>i_Assumptions!N33</f>
        <v/>
      </c>
      <c r="O34" s="257">
        <f>i_Assumptions!O33</f>
        <v/>
      </c>
      <c r="P34" s="257">
        <f>i_Assumptions!P33</f>
        <v/>
      </c>
      <c r="Q34" s="257">
        <f>i_Assumptions!Q33</f>
        <v/>
      </c>
      <c r="T34" s="257">
        <f>IF(T$7="Actual","",INDEX($M34:$Q34,,MATCH(T$4,$M$4:$Q$4,0)))</f>
        <v/>
      </c>
      <c r="U34" s="257">
        <f>IF(U$7="Actual","",INDEX($M34:$Q34,,MATCH(U$4,$M$4:$Q$4,0)))</f>
        <v/>
      </c>
      <c r="V34" s="257">
        <f>IF(V$7="Actual","",INDEX($M34:$Q34,,MATCH(V$4,$M$4:$Q$4,0)))</f>
        <v/>
      </c>
      <c r="W34" s="257">
        <f>IF(W$7="Actual","",INDEX($M34:$Q34,,MATCH(W$4,$M$4:$Q$4,0)))</f>
        <v/>
      </c>
      <c r="X34" s="257">
        <f>IF(X$7="Actual","",INDEX($M34:$Q34,,MATCH(X$4,$M$4:$Q$4,0)))</f>
        <v/>
      </c>
      <c r="Y34" s="257">
        <f>IF(Y$7="Actual","",INDEX($M34:$Q34,,MATCH(Y$4,$M$4:$Q$4,0)))</f>
        <v/>
      </c>
      <c r="Z34" s="257">
        <f>IF(Z$7="Actual","",INDEX($M34:$Q34,,MATCH(Z$4,$M$4:$Q$4,0)))</f>
        <v/>
      </c>
      <c r="AA34" s="257">
        <f>IF(AA$7="Actual","",INDEX($M34:$Q34,,MATCH(AA$4,$M$4:$Q$4,0)))</f>
        <v/>
      </c>
      <c r="AB34" s="257">
        <f>IF(AB$7="Actual","",INDEX($M34:$Q34,,MATCH(AB$4,$M$4:$Q$4,0)))</f>
        <v/>
      </c>
      <c r="AC34" s="257">
        <f>IF(AC$7="Actual","",INDEX($M34:$Q34,,MATCH(AC$4,$M$4:$Q$4,0)))</f>
        <v/>
      </c>
      <c r="AD34" s="257">
        <f>IF(AD$7="Actual","",INDEX($M34:$Q34,,MATCH(AD$4,$M$4:$Q$4,0)))</f>
        <v/>
      </c>
      <c r="AE34" s="257">
        <f>IF(AE$7="Actual","",INDEX($M34:$Q34,,MATCH(AE$4,$M$4:$Q$4,0)))</f>
        <v/>
      </c>
      <c r="AF34" s="257">
        <f>IF(AF$7="Actual","",INDEX($M34:$Q34,,MATCH(AF$4,$M$4:$Q$4,0)))</f>
        <v/>
      </c>
      <c r="AG34" s="257">
        <f>IF(AG$7="Actual","",INDEX($M34:$Q34,,MATCH(AG$4,$M$4:$Q$4,0)))</f>
        <v/>
      </c>
      <c r="AH34" s="257">
        <f>IF(AH$7="Actual","",INDEX($M34:$Q34,,MATCH(AH$4,$M$4:$Q$4,0)))</f>
        <v/>
      </c>
      <c r="AI34" s="257">
        <f>IF(AI$7="Actual","",INDEX($M34:$Q34,,MATCH(AI$4,$M$4:$Q$4,0)))</f>
        <v/>
      </c>
      <c r="AJ34" s="257">
        <f>IF(AJ$7="Actual","",INDEX($M34:$Q34,,MATCH(AJ$4,$M$4:$Q$4,0)))</f>
        <v/>
      </c>
      <c r="AK34" s="257">
        <f>IF(AK$7="Actual","",INDEX($M34:$Q34,,MATCH(AK$4,$M$4:$Q$4,0)))</f>
        <v/>
      </c>
      <c r="AL34" s="257">
        <f>IF(AL$7="Actual","",INDEX($M34:$Q34,,MATCH(AL$4,$M$4:$Q$4,0)))</f>
        <v/>
      </c>
      <c r="AM34" s="257">
        <f>IF(AM$7="Actual","",INDEX($M34:$Q34,,MATCH(AM$4,$M$4:$Q$4,0)))</f>
        <v/>
      </c>
      <c r="AN34" s="257">
        <f>IF(AN$7="Actual","",INDEX($M34:$Q34,,MATCH(AN$4,$M$4:$Q$4,0)))</f>
        <v/>
      </c>
      <c r="AO34" s="257">
        <f>IF(AO$7="Actual","",INDEX($M34:$Q34,,MATCH(AO$4,$M$4:$Q$4,0)))</f>
        <v/>
      </c>
      <c r="AP34" s="257">
        <f>IF(AP$7="Actual","",INDEX($M34:$Q34,,MATCH(AP$4,$M$4:$Q$4,0)))</f>
        <v/>
      </c>
      <c r="AQ34" s="257">
        <f>IF(AQ$7="Actual","",INDEX($M34:$Q34,,MATCH(AQ$4,$M$4:$Q$4,0)))</f>
        <v/>
      </c>
      <c r="AR34" s="257">
        <f>IF(AR$7="Actual","",INDEX($M34:$Q34,,MATCH(AR$4,$M$4:$Q$4,0)))</f>
        <v/>
      </c>
      <c r="AS34" s="257">
        <f>IF(AS$7="Actual","",INDEX($M34:$Q34,,MATCH(AS$4,$M$4:$Q$4,0)))</f>
        <v/>
      </c>
      <c r="AT34" s="257">
        <f>IF(AT$7="Actual","",INDEX($M34:$Q34,,MATCH(AT$4,$M$4:$Q$4,0)))</f>
        <v/>
      </c>
      <c r="AU34" s="257">
        <f>IF(AU$7="Actual","",INDEX($M34:$Q34,,MATCH(AU$4,$M$4:$Q$4,0)))</f>
        <v/>
      </c>
      <c r="AV34" s="257">
        <f>IF(AV$7="Actual","",INDEX($M34:$Q34,,MATCH(AV$4,$M$4:$Q$4,0)))</f>
        <v/>
      </c>
      <c r="AW34" s="257">
        <f>IF(AW$7="Actual","",INDEX($M34:$Q34,,MATCH(AW$4,$M$4:$Q$4,0)))</f>
        <v/>
      </c>
      <c r="AX34" s="257">
        <f>IF(AX$7="Actual","",INDEX($M34:$Q34,,MATCH(AX$4,$M$4:$Q$4,0)))</f>
        <v/>
      </c>
      <c r="AY34" s="257">
        <f>IF(AY$7="Actual","",INDEX($M34:$Q34,,MATCH(AY$4,$M$4:$Q$4,0)))</f>
        <v/>
      </c>
      <c r="AZ34" s="257">
        <f>IF(AZ$7="Actual","",INDEX($M34:$Q34,,MATCH(AZ$4,$M$4:$Q$4,0)))</f>
        <v/>
      </c>
      <c r="BA34" s="257">
        <f>IF(BA$7="Actual","",INDEX($M34:$Q34,,MATCH(BA$4,$M$4:$Q$4,0)))</f>
        <v/>
      </c>
      <c r="BB34" s="257">
        <f>IF(BB$7="Actual","",INDEX($M34:$Q34,,MATCH(BB$4,$M$4:$Q$4,0)))</f>
        <v/>
      </c>
      <c r="BC34" s="257">
        <f>IF(BC$7="Actual","",INDEX($M34:$Q34,,MATCH(BC$4,$M$4:$Q$4,0)))</f>
        <v/>
      </c>
      <c r="BD34" s="257">
        <f>IF(BD$7="Actual","",INDEX($M34:$Q34,,MATCH(BD$4,$M$4:$Q$4,0)))</f>
        <v/>
      </c>
      <c r="BE34" s="257">
        <f>IF(BE$7="Actual","",INDEX($M34:$Q34,,MATCH(BE$4,$M$4:$Q$4,0)))</f>
        <v/>
      </c>
      <c r="BF34" s="257">
        <f>IF(BF$7="Actual","",INDEX($M34:$Q34,,MATCH(BF$4,$M$4:$Q$4,0)))</f>
        <v/>
      </c>
      <c r="BG34" s="257">
        <f>IF(BG$7="Actual","",INDEX($M34:$Q34,,MATCH(BG$4,$M$4:$Q$4,0)))</f>
        <v/>
      </c>
      <c r="BH34" s="257">
        <f>IF(BH$7="Actual","",INDEX($M34:$Q34,,MATCH(BH$4,$M$4:$Q$4,0)))</f>
        <v/>
      </c>
      <c r="BI34" s="257">
        <f>IF(BI$7="Actual","",INDEX($M34:$Q34,,MATCH(BI$4,$M$4:$Q$4,0)))</f>
        <v/>
      </c>
      <c r="BJ34" s="257">
        <f>IF(BJ$7="Actual","",INDEX($M34:$Q34,,MATCH(BJ$4,$M$4:$Q$4,0)))</f>
        <v/>
      </c>
      <c r="BK34" s="257">
        <f>IF(BK$7="Actual","",INDEX($M34:$Q34,,MATCH(BK$4,$M$4:$Q$4,0)))</f>
        <v/>
      </c>
      <c r="BL34" s="257">
        <f>IF(BL$7="Actual","",INDEX($M34:$Q34,,MATCH(BL$4,$M$4:$Q$4,0)))</f>
        <v/>
      </c>
      <c r="BM34" s="257">
        <f>IF(BM$7="Actual","",INDEX($M34:$Q34,,MATCH(BM$4,$M$4:$Q$4,0)))</f>
        <v/>
      </c>
      <c r="BN34" s="257">
        <f>IF(BN$7="Actual","",INDEX($M34:$Q34,,MATCH(BN$4,$M$4:$Q$4,0)))</f>
        <v/>
      </c>
      <c r="BO34" s="257">
        <f>IF(BO$7="Actual","",INDEX($M34:$Q34,,MATCH(BO$4,$M$4:$Q$4,0)))</f>
        <v/>
      </c>
      <c r="BP34" s="257">
        <f>IF(BP$7="Actual","",INDEX($M34:$Q34,,MATCH(BP$4,$M$4:$Q$4,0)))</f>
        <v/>
      </c>
      <c r="BQ34" s="257">
        <f>IF(BQ$7="Actual","",INDEX($M34:$Q34,,MATCH(BQ$4,$M$4:$Q$4,0)))</f>
        <v/>
      </c>
      <c r="BR34" s="257">
        <f>IF(BR$7="Actual","",INDEX($M34:$Q34,,MATCH(BR$4,$M$4:$Q$4,0)))</f>
        <v/>
      </c>
      <c r="BS34" s="257">
        <f>IF(BS$7="Actual","",INDEX($M34:$Q34,,MATCH(BS$4,$M$4:$Q$4,0)))</f>
        <v/>
      </c>
      <c r="BT34" s="257">
        <f>IF(BT$7="Actual","",INDEX($M34:$Q34,,MATCH(BT$4,$M$4:$Q$4,0)))</f>
        <v/>
      </c>
      <c r="BU34" s="257">
        <f>IF(BU$7="Actual","",INDEX($M34:$Q34,,MATCH(BU$4,$M$4:$Q$4,0)))</f>
        <v/>
      </c>
      <c r="BV34" s="257">
        <f>IF(BV$7="Actual","",INDEX($M34:$Q34,,MATCH(BV$4,$M$4:$Q$4,0)))</f>
        <v/>
      </c>
      <c r="BW34" s="257">
        <f>IF(BW$7="Actual","",INDEX($M34:$Q34,,MATCH(BW$4,$M$4:$Q$4,0)))</f>
        <v/>
      </c>
      <c r="BX34" s="257">
        <f>IF(BX$7="Actual","",INDEX($M34:$Q34,,MATCH(BX$4,$M$4:$Q$4,0)))</f>
        <v/>
      </c>
      <c r="BY34" s="257">
        <f>IF(BY$7="Actual","",INDEX($M34:$Q34,,MATCH(BY$4,$M$4:$Q$4,0)))</f>
        <v/>
      </c>
      <c r="BZ34" s="257">
        <f>IF(BZ$7="Actual","",INDEX($M34:$Q34,,MATCH(BZ$4,$M$4:$Q$4,0)))</f>
        <v/>
      </c>
      <c r="CA34" s="257">
        <f>IF(CA$7="Actual","",INDEX($M34:$Q34,,MATCH(CA$4,$M$4:$Q$4,0)))</f>
        <v/>
      </c>
    </row>
    <row r="35" ht="12" customHeight="1" s="227">
      <c r="A35" s="244" t="n"/>
      <c r="B35" s="244" t="n"/>
      <c r="C35" s="244" t="n"/>
      <c r="H35" s="4">
        <f>H20</f>
        <v/>
      </c>
      <c r="I35" s="27">
        <f>i_Setup!$M$16</f>
        <v/>
      </c>
      <c r="M35" s="257">
        <f>i_Assumptions!M34</f>
        <v/>
      </c>
      <c r="N35" s="257">
        <f>i_Assumptions!N34</f>
        <v/>
      </c>
      <c r="O35" s="257">
        <f>i_Assumptions!O34</f>
        <v/>
      </c>
      <c r="P35" s="257">
        <f>i_Assumptions!P34</f>
        <v/>
      </c>
      <c r="Q35" s="257">
        <f>i_Assumptions!Q34</f>
        <v/>
      </c>
      <c r="T35" s="257">
        <f>IF(T$7="Actual","",INDEX($M35:$Q35,,MATCH(T$4,$M$4:$Q$4,0)))</f>
        <v/>
      </c>
      <c r="U35" s="257">
        <f>IF(U$7="Actual","",INDEX($M35:$Q35,,MATCH(U$4,$M$4:$Q$4,0)))</f>
        <v/>
      </c>
      <c r="V35" s="257">
        <f>IF(V$7="Actual","",INDEX($M35:$Q35,,MATCH(V$4,$M$4:$Q$4,0)))</f>
        <v/>
      </c>
      <c r="W35" s="257">
        <f>IF(W$7="Actual","",INDEX($M35:$Q35,,MATCH(W$4,$M$4:$Q$4,0)))</f>
        <v/>
      </c>
      <c r="X35" s="257">
        <f>IF(X$7="Actual","",INDEX($M35:$Q35,,MATCH(X$4,$M$4:$Q$4,0)))</f>
        <v/>
      </c>
      <c r="Y35" s="257">
        <f>IF(Y$7="Actual","",INDEX($M35:$Q35,,MATCH(Y$4,$M$4:$Q$4,0)))</f>
        <v/>
      </c>
      <c r="Z35" s="257">
        <f>IF(Z$7="Actual","",INDEX($M35:$Q35,,MATCH(Z$4,$M$4:$Q$4,0)))</f>
        <v/>
      </c>
      <c r="AA35" s="257">
        <f>IF(AA$7="Actual","",INDEX($M35:$Q35,,MATCH(AA$4,$M$4:$Q$4,0)))</f>
        <v/>
      </c>
      <c r="AB35" s="257">
        <f>IF(AB$7="Actual","",INDEX($M35:$Q35,,MATCH(AB$4,$M$4:$Q$4,0)))</f>
        <v/>
      </c>
      <c r="AC35" s="257">
        <f>IF(AC$7="Actual","",INDEX($M35:$Q35,,MATCH(AC$4,$M$4:$Q$4,0)))</f>
        <v/>
      </c>
      <c r="AD35" s="257">
        <f>IF(AD$7="Actual","",INDEX($M35:$Q35,,MATCH(AD$4,$M$4:$Q$4,0)))</f>
        <v/>
      </c>
      <c r="AE35" s="257">
        <f>IF(AE$7="Actual","",INDEX($M35:$Q35,,MATCH(AE$4,$M$4:$Q$4,0)))</f>
        <v/>
      </c>
      <c r="AF35" s="257">
        <f>IF(AF$7="Actual","",INDEX($M35:$Q35,,MATCH(AF$4,$M$4:$Q$4,0)))</f>
        <v/>
      </c>
      <c r="AG35" s="257">
        <f>IF(AG$7="Actual","",INDEX($M35:$Q35,,MATCH(AG$4,$M$4:$Q$4,0)))</f>
        <v/>
      </c>
      <c r="AH35" s="257">
        <f>IF(AH$7="Actual","",INDEX($M35:$Q35,,MATCH(AH$4,$M$4:$Q$4,0)))</f>
        <v/>
      </c>
      <c r="AI35" s="257">
        <f>IF(AI$7="Actual","",INDEX($M35:$Q35,,MATCH(AI$4,$M$4:$Q$4,0)))</f>
        <v/>
      </c>
      <c r="AJ35" s="257">
        <f>IF(AJ$7="Actual","",INDEX($M35:$Q35,,MATCH(AJ$4,$M$4:$Q$4,0)))</f>
        <v/>
      </c>
      <c r="AK35" s="257">
        <f>IF(AK$7="Actual","",INDEX($M35:$Q35,,MATCH(AK$4,$M$4:$Q$4,0)))</f>
        <v/>
      </c>
      <c r="AL35" s="257">
        <f>IF(AL$7="Actual","",INDEX($M35:$Q35,,MATCH(AL$4,$M$4:$Q$4,0)))</f>
        <v/>
      </c>
      <c r="AM35" s="257">
        <f>IF(AM$7="Actual","",INDEX($M35:$Q35,,MATCH(AM$4,$M$4:$Q$4,0)))</f>
        <v/>
      </c>
      <c r="AN35" s="257">
        <f>IF(AN$7="Actual","",INDEX($M35:$Q35,,MATCH(AN$4,$M$4:$Q$4,0)))</f>
        <v/>
      </c>
      <c r="AO35" s="257">
        <f>IF(AO$7="Actual","",INDEX($M35:$Q35,,MATCH(AO$4,$M$4:$Q$4,0)))</f>
        <v/>
      </c>
      <c r="AP35" s="257">
        <f>IF(AP$7="Actual","",INDEX($M35:$Q35,,MATCH(AP$4,$M$4:$Q$4,0)))</f>
        <v/>
      </c>
      <c r="AQ35" s="257">
        <f>IF(AQ$7="Actual","",INDEX($M35:$Q35,,MATCH(AQ$4,$M$4:$Q$4,0)))</f>
        <v/>
      </c>
      <c r="AR35" s="257">
        <f>IF(AR$7="Actual","",INDEX($M35:$Q35,,MATCH(AR$4,$M$4:$Q$4,0)))</f>
        <v/>
      </c>
      <c r="AS35" s="257">
        <f>IF(AS$7="Actual","",INDEX($M35:$Q35,,MATCH(AS$4,$M$4:$Q$4,0)))</f>
        <v/>
      </c>
      <c r="AT35" s="257">
        <f>IF(AT$7="Actual","",INDEX($M35:$Q35,,MATCH(AT$4,$M$4:$Q$4,0)))</f>
        <v/>
      </c>
      <c r="AU35" s="257">
        <f>IF(AU$7="Actual","",INDEX($M35:$Q35,,MATCH(AU$4,$M$4:$Q$4,0)))</f>
        <v/>
      </c>
      <c r="AV35" s="257">
        <f>IF(AV$7="Actual","",INDEX($M35:$Q35,,MATCH(AV$4,$M$4:$Q$4,0)))</f>
        <v/>
      </c>
      <c r="AW35" s="257">
        <f>IF(AW$7="Actual","",INDEX($M35:$Q35,,MATCH(AW$4,$M$4:$Q$4,0)))</f>
        <v/>
      </c>
      <c r="AX35" s="257">
        <f>IF(AX$7="Actual","",INDEX($M35:$Q35,,MATCH(AX$4,$M$4:$Q$4,0)))</f>
        <v/>
      </c>
      <c r="AY35" s="257">
        <f>IF(AY$7="Actual","",INDEX($M35:$Q35,,MATCH(AY$4,$M$4:$Q$4,0)))</f>
        <v/>
      </c>
      <c r="AZ35" s="257">
        <f>IF(AZ$7="Actual","",INDEX($M35:$Q35,,MATCH(AZ$4,$M$4:$Q$4,0)))</f>
        <v/>
      </c>
      <c r="BA35" s="257">
        <f>IF(BA$7="Actual","",INDEX($M35:$Q35,,MATCH(BA$4,$M$4:$Q$4,0)))</f>
        <v/>
      </c>
      <c r="BB35" s="257">
        <f>IF(BB$7="Actual","",INDEX($M35:$Q35,,MATCH(BB$4,$M$4:$Q$4,0)))</f>
        <v/>
      </c>
      <c r="BC35" s="257">
        <f>IF(BC$7="Actual","",INDEX($M35:$Q35,,MATCH(BC$4,$M$4:$Q$4,0)))</f>
        <v/>
      </c>
      <c r="BD35" s="257">
        <f>IF(BD$7="Actual","",INDEX($M35:$Q35,,MATCH(BD$4,$M$4:$Q$4,0)))</f>
        <v/>
      </c>
      <c r="BE35" s="257">
        <f>IF(BE$7="Actual","",INDEX($M35:$Q35,,MATCH(BE$4,$M$4:$Q$4,0)))</f>
        <v/>
      </c>
      <c r="BF35" s="257">
        <f>IF(BF$7="Actual","",INDEX($M35:$Q35,,MATCH(BF$4,$M$4:$Q$4,0)))</f>
        <v/>
      </c>
      <c r="BG35" s="257">
        <f>IF(BG$7="Actual","",INDEX($M35:$Q35,,MATCH(BG$4,$M$4:$Q$4,0)))</f>
        <v/>
      </c>
      <c r="BH35" s="257">
        <f>IF(BH$7="Actual","",INDEX($M35:$Q35,,MATCH(BH$4,$M$4:$Q$4,0)))</f>
        <v/>
      </c>
      <c r="BI35" s="257">
        <f>IF(BI$7="Actual","",INDEX($M35:$Q35,,MATCH(BI$4,$M$4:$Q$4,0)))</f>
        <v/>
      </c>
      <c r="BJ35" s="257">
        <f>IF(BJ$7="Actual","",INDEX($M35:$Q35,,MATCH(BJ$4,$M$4:$Q$4,0)))</f>
        <v/>
      </c>
      <c r="BK35" s="257">
        <f>IF(BK$7="Actual","",INDEX($M35:$Q35,,MATCH(BK$4,$M$4:$Q$4,0)))</f>
        <v/>
      </c>
      <c r="BL35" s="257">
        <f>IF(BL$7="Actual","",INDEX($M35:$Q35,,MATCH(BL$4,$M$4:$Q$4,0)))</f>
        <v/>
      </c>
      <c r="BM35" s="257">
        <f>IF(BM$7="Actual","",INDEX($M35:$Q35,,MATCH(BM$4,$M$4:$Q$4,0)))</f>
        <v/>
      </c>
      <c r="BN35" s="257">
        <f>IF(BN$7="Actual","",INDEX($M35:$Q35,,MATCH(BN$4,$M$4:$Q$4,0)))</f>
        <v/>
      </c>
      <c r="BO35" s="257">
        <f>IF(BO$7="Actual","",INDEX($M35:$Q35,,MATCH(BO$4,$M$4:$Q$4,0)))</f>
        <v/>
      </c>
      <c r="BP35" s="257">
        <f>IF(BP$7="Actual","",INDEX($M35:$Q35,,MATCH(BP$4,$M$4:$Q$4,0)))</f>
        <v/>
      </c>
      <c r="BQ35" s="257">
        <f>IF(BQ$7="Actual","",INDEX($M35:$Q35,,MATCH(BQ$4,$M$4:$Q$4,0)))</f>
        <v/>
      </c>
      <c r="BR35" s="257">
        <f>IF(BR$7="Actual","",INDEX($M35:$Q35,,MATCH(BR$4,$M$4:$Q$4,0)))</f>
        <v/>
      </c>
      <c r="BS35" s="257">
        <f>IF(BS$7="Actual","",INDEX($M35:$Q35,,MATCH(BS$4,$M$4:$Q$4,0)))</f>
        <v/>
      </c>
      <c r="BT35" s="257">
        <f>IF(BT$7="Actual","",INDEX($M35:$Q35,,MATCH(BT$4,$M$4:$Q$4,0)))</f>
        <v/>
      </c>
      <c r="BU35" s="257">
        <f>IF(BU$7="Actual","",INDEX($M35:$Q35,,MATCH(BU$4,$M$4:$Q$4,0)))</f>
        <v/>
      </c>
      <c r="BV35" s="257">
        <f>IF(BV$7="Actual","",INDEX($M35:$Q35,,MATCH(BV$4,$M$4:$Q$4,0)))</f>
        <v/>
      </c>
      <c r="BW35" s="257">
        <f>IF(BW$7="Actual","",INDEX($M35:$Q35,,MATCH(BW$4,$M$4:$Q$4,0)))</f>
        <v/>
      </c>
      <c r="BX35" s="257">
        <f>IF(BX$7="Actual","",INDEX($M35:$Q35,,MATCH(BX$4,$M$4:$Q$4,0)))</f>
        <v/>
      </c>
      <c r="BY35" s="257">
        <f>IF(BY$7="Actual","",INDEX($M35:$Q35,,MATCH(BY$4,$M$4:$Q$4,0)))</f>
        <v/>
      </c>
      <c r="BZ35" s="257">
        <f>IF(BZ$7="Actual","",INDEX($M35:$Q35,,MATCH(BZ$4,$M$4:$Q$4,0)))</f>
        <v/>
      </c>
      <c r="CA35" s="257">
        <f>IF(CA$7="Actual","",INDEX($M35:$Q35,,MATCH(CA$4,$M$4:$Q$4,0)))</f>
        <v/>
      </c>
    </row>
    <row r="36" ht="12" customHeight="1" s="227">
      <c r="A36" s="244" t="n"/>
      <c r="B36" s="244" t="n"/>
      <c r="C36" s="244" t="n"/>
      <c r="H36" s="4">
        <f>H21</f>
        <v/>
      </c>
      <c r="I36" s="27">
        <f>i_Setup!$M$16</f>
        <v/>
      </c>
      <c r="M36" s="257">
        <f>i_Assumptions!M35</f>
        <v/>
      </c>
      <c r="N36" s="257">
        <f>i_Assumptions!N35</f>
        <v/>
      </c>
      <c r="O36" s="257">
        <f>i_Assumptions!O35</f>
        <v/>
      </c>
      <c r="P36" s="257">
        <f>i_Assumptions!P35</f>
        <v/>
      </c>
      <c r="Q36" s="257">
        <f>i_Assumptions!Q35</f>
        <v/>
      </c>
      <c r="T36" s="257">
        <f>IF(T$7="Actual","",INDEX($M36:$Q36,,MATCH(T$4,$M$4:$Q$4,0)))</f>
        <v/>
      </c>
      <c r="U36" s="257">
        <f>IF(U$7="Actual","",INDEX($M36:$Q36,,MATCH(U$4,$M$4:$Q$4,0)))</f>
        <v/>
      </c>
      <c r="V36" s="257">
        <f>IF(V$7="Actual","",INDEX($M36:$Q36,,MATCH(V$4,$M$4:$Q$4,0)))</f>
        <v/>
      </c>
      <c r="W36" s="257">
        <f>IF(W$7="Actual","",INDEX($M36:$Q36,,MATCH(W$4,$M$4:$Q$4,0)))</f>
        <v/>
      </c>
      <c r="X36" s="257">
        <f>IF(X$7="Actual","",INDEX($M36:$Q36,,MATCH(X$4,$M$4:$Q$4,0)))</f>
        <v/>
      </c>
      <c r="Y36" s="257">
        <f>IF(Y$7="Actual","",INDEX($M36:$Q36,,MATCH(Y$4,$M$4:$Q$4,0)))</f>
        <v/>
      </c>
      <c r="Z36" s="257">
        <f>IF(Z$7="Actual","",INDEX($M36:$Q36,,MATCH(Z$4,$M$4:$Q$4,0)))</f>
        <v/>
      </c>
      <c r="AA36" s="257">
        <f>IF(AA$7="Actual","",INDEX($M36:$Q36,,MATCH(AA$4,$M$4:$Q$4,0)))</f>
        <v/>
      </c>
      <c r="AB36" s="257">
        <f>IF(AB$7="Actual","",INDEX($M36:$Q36,,MATCH(AB$4,$M$4:$Q$4,0)))</f>
        <v/>
      </c>
      <c r="AC36" s="257">
        <f>IF(AC$7="Actual","",INDEX($M36:$Q36,,MATCH(AC$4,$M$4:$Q$4,0)))</f>
        <v/>
      </c>
      <c r="AD36" s="257">
        <f>IF(AD$7="Actual","",INDEX($M36:$Q36,,MATCH(AD$4,$M$4:$Q$4,0)))</f>
        <v/>
      </c>
      <c r="AE36" s="257">
        <f>IF(AE$7="Actual","",INDEX($M36:$Q36,,MATCH(AE$4,$M$4:$Q$4,0)))</f>
        <v/>
      </c>
      <c r="AF36" s="257">
        <f>IF(AF$7="Actual","",INDEX($M36:$Q36,,MATCH(AF$4,$M$4:$Q$4,0)))</f>
        <v/>
      </c>
      <c r="AG36" s="257">
        <f>IF(AG$7="Actual","",INDEX($M36:$Q36,,MATCH(AG$4,$M$4:$Q$4,0)))</f>
        <v/>
      </c>
      <c r="AH36" s="257">
        <f>IF(AH$7="Actual","",INDEX($M36:$Q36,,MATCH(AH$4,$M$4:$Q$4,0)))</f>
        <v/>
      </c>
      <c r="AI36" s="257">
        <f>IF(AI$7="Actual","",INDEX($M36:$Q36,,MATCH(AI$4,$M$4:$Q$4,0)))</f>
        <v/>
      </c>
      <c r="AJ36" s="257">
        <f>IF(AJ$7="Actual","",INDEX($M36:$Q36,,MATCH(AJ$4,$M$4:$Q$4,0)))</f>
        <v/>
      </c>
      <c r="AK36" s="257">
        <f>IF(AK$7="Actual","",INDEX($M36:$Q36,,MATCH(AK$4,$M$4:$Q$4,0)))</f>
        <v/>
      </c>
      <c r="AL36" s="257">
        <f>IF(AL$7="Actual","",INDEX($M36:$Q36,,MATCH(AL$4,$M$4:$Q$4,0)))</f>
        <v/>
      </c>
      <c r="AM36" s="257">
        <f>IF(AM$7="Actual","",INDEX($M36:$Q36,,MATCH(AM$4,$M$4:$Q$4,0)))</f>
        <v/>
      </c>
      <c r="AN36" s="257">
        <f>IF(AN$7="Actual","",INDEX($M36:$Q36,,MATCH(AN$4,$M$4:$Q$4,0)))</f>
        <v/>
      </c>
      <c r="AO36" s="257">
        <f>IF(AO$7="Actual","",INDEX($M36:$Q36,,MATCH(AO$4,$M$4:$Q$4,0)))</f>
        <v/>
      </c>
      <c r="AP36" s="257">
        <f>IF(AP$7="Actual","",INDEX($M36:$Q36,,MATCH(AP$4,$M$4:$Q$4,0)))</f>
        <v/>
      </c>
      <c r="AQ36" s="257">
        <f>IF(AQ$7="Actual","",INDEX($M36:$Q36,,MATCH(AQ$4,$M$4:$Q$4,0)))</f>
        <v/>
      </c>
      <c r="AR36" s="257">
        <f>IF(AR$7="Actual","",INDEX($M36:$Q36,,MATCH(AR$4,$M$4:$Q$4,0)))</f>
        <v/>
      </c>
      <c r="AS36" s="257">
        <f>IF(AS$7="Actual","",INDEX($M36:$Q36,,MATCH(AS$4,$M$4:$Q$4,0)))</f>
        <v/>
      </c>
      <c r="AT36" s="257">
        <f>IF(AT$7="Actual","",INDEX($M36:$Q36,,MATCH(AT$4,$M$4:$Q$4,0)))</f>
        <v/>
      </c>
      <c r="AU36" s="257">
        <f>IF(AU$7="Actual","",INDEX($M36:$Q36,,MATCH(AU$4,$M$4:$Q$4,0)))</f>
        <v/>
      </c>
      <c r="AV36" s="257">
        <f>IF(AV$7="Actual","",INDEX($M36:$Q36,,MATCH(AV$4,$M$4:$Q$4,0)))</f>
        <v/>
      </c>
      <c r="AW36" s="257">
        <f>IF(AW$7="Actual","",INDEX($M36:$Q36,,MATCH(AW$4,$M$4:$Q$4,0)))</f>
        <v/>
      </c>
      <c r="AX36" s="257">
        <f>IF(AX$7="Actual","",INDEX($M36:$Q36,,MATCH(AX$4,$M$4:$Q$4,0)))</f>
        <v/>
      </c>
      <c r="AY36" s="257">
        <f>IF(AY$7="Actual","",INDEX($M36:$Q36,,MATCH(AY$4,$M$4:$Q$4,0)))</f>
        <v/>
      </c>
      <c r="AZ36" s="257">
        <f>IF(AZ$7="Actual","",INDEX($M36:$Q36,,MATCH(AZ$4,$M$4:$Q$4,0)))</f>
        <v/>
      </c>
      <c r="BA36" s="257">
        <f>IF(BA$7="Actual","",INDEX($M36:$Q36,,MATCH(BA$4,$M$4:$Q$4,0)))</f>
        <v/>
      </c>
      <c r="BB36" s="257">
        <f>IF(BB$7="Actual","",INDEX($M36:$Q36,,MATCH(BB$4,$M$4:$Q$4,0)))</f>
        <v/>
      </c>
      <c r="BC36" s="257">
        <f>IF(BC$7="Actual","",INDEX($M36:$Q36,,MATCH(BC$4,$M$4:$Q$4,0)))</f>
        <v/>
      </c>
      <c r="BD36" s="257">
        <f>IF(BD$7="Actual","",INDEX($M36:$Q36,,MATCH(BD$4,$M$4:$Q$4,0)))</f>
        <v/>
      </c>
      <c r="BE36" s="257">
        <f>IF(BE$7="Actual","",INDEX($M36:$Q36,,MATCH(BE$4,$M$4:$Q$4,0)))</f>
        <v/>
      </c>
      <c r="BF36" s="257">
        <f>IF(BF$7="Actual","",INDEX($M36:$Q36,,MATCH(BF$4,$M$4:$Q$4,0)))</f>
        <v/>
      </c>
      <c r="BG36" s="257">
        <f>IF(BG$7="Actual","",INDEX($M36:$Q36,,MATCH(BG$4,$M$4:$Q$4,0)))</f>
        <v/>
      </c>
      <c r="BH36" s="257">
        <f>IF(BH$7="Actual","",INDEX($M36:$Q36,,MATCH(BH$4,$M$4:$Q$4,0)))</f>
        <v/>
      </c>
      <c r="BI36" s="257">
        <f>IF(BI$7="Actual","",INDEX($M36:$Q36,,MATCH(BI$4,$M$4:$Q$4,0)))</f>
        <v/>
      </c>
      <c r="BJ36" s="257">
        <f>IF(BJ$7="Actual","",INDEX($M36:$Q36,,MATCH(BJ$4,$M$4:$Q$4,0)))</f>
        <v/>
      </c>
      <c r="BK36" s="257">
        <f>IF(BK$7="Actual","",INDEX($M36:$Q36,,MATCH(BK$4,$M$4:$Q$4,0)))</f>
        <v/>
      </c>
      <c r="BL36" s="257">
        <f>IF(BL$7="Actual","",INDEX($M36:$Q36,,MATCH(BL$4,$M$4:$Q$4,0)))</f>
        <v/>
      </c>
      <c r="BM36" s="257">
        <f>IF(BM$7="Actual","",INDEX($M36:$Q36,,MATCH(BM$4,$M$4:$Q$4,0)))</f>
        <v/>
      </c>
      <c r="BN36" s="257">
        <f>IF(BN$7="Actual","",INDEX($M36:$Q36,,MATCH(BN$4,$M$4:$Q$4,0)))</f>
        <v/>
      </c>
      <c r="BO36" s="257">
        <f>IF(BO$7="Actual","",INDEX($M36:$Q36,,MATCH(BO$4,$M$4:$Q$4,0)))</f>
        <v/>
      </c>
      <c r="BP36" s="257">
        <f>IF(BP$7="Actual","",INDEX($M36:$Q36,,MATCH(BP$4,$M$4:$Q$4,0)))</f>
        <v/>
      </c>
      <c r="BQ36" s="257">
        <f>IF(BQ$7="Actual","",INDEX($M36:$Q36,,MATCH(BQ$4,$M$4:$Q$4,0)))</f>
        <v/>
      </c>
      <c r="BR36" s="257">
        <f>IF(BR$7="Actual","",INDEX($M36:$Q36,,MATCH(BR$4,$M$4:$Q$4,0)))</f>
        <v/>
      </c>
      <c r="BS36" s="257">
        <f>IF(BS$7="Actual","",INDEX($M36:$Q36,,MATCH(BS$4,$M$4:$Q$4,0)))</f>
        <v/>
      </c>
      <c r="BT36" s="257">
        <f>IF(BT$7="Actual","",INDEX($M36:$Q36,,MATCH(BT$4,$M$4:$Q$4,0)))</f>
        <v/>
      </c>
      <c r="BU36" s="257">
        <f>IF(BU$7="Actual","",INDEX($M36:$Q36,,MATCH(BU$4,$M$4:$Q$4,0)))</f>
        <v/>
      </c>
      <c r="BV36" s="257">
        <f>IF(BV$7="Actual","",INDEX($M36:$Q36,,MATCH(BV$4,$M$4:$Q$4,0)))</f>
        <v/>
      </c>
      <c r="BW36" s="257">
        <f>IF(BW$7="Actual","",INDEX($M36:$Q36,,MATCH(BW$4,$M$4:$Q$4,0)))</f>
        <v/>
      </c>
      <c r="BX36" s="257">
        <f>IF(BX$7="Actual","",INDEX($M36:$Q36,,MATCH(BX$4,$M$4:$Q$4,0)))</f>
        <v/>
      </c>
      <c r="BY36" s="257">
        <f>IF(BY$7="Actual","",INDEX($M36:$Q36,,MATCH(BY$4,$M$4:$Q$4,0)))</f>
        <v/>
      </c>
      <c r="BZ36" s="257">
        <f>IF(BZ$7="Actual","",INDEX($M36:$Q36,,MATCH(BZ$4,$M$4:$Q$4,0)))</f>
        <v/>
      </c>
      <c r="CA36" s="257">
        <f>IF(CA$7="Actual","",INDEX($M36:$Q36,,MATCH(CA$4,$M$4:$Q$4,0)))</f>
        <v/>
      </c>
    </row>
    <row r="37" ht="12" customHeight="1" s="227">
      <c r="A37" s="244" t="n"/>
      <c r="B37" s="244" t="n"/>
      <c r="C37" s="244" t="n"/>
      <c r="H37" s="4">
        <f>H22</f>
        <v/>
      </c>
      <c r="I37" s="27">
        <f>i_Setup!$M$16</f>
        <v/>
      </c>
      <c r="M37" s="257">
        <f>i_Assumptions!M36</f>
        <v/>
      </c>
      <c r="N37" s="257">
        <f>i_Assumptions!N36</f>
        <v/>
      </c>
      <c r="O37" s="257">
        <f>i_Assumptions!O36</f>
        <v/>
      </c>
      <c r="P37" s="257">
        <f>i_Assumptions!P36</f>
        <v/>
      </c>
      <c r="Q37" s="257">
        <f>i_Assumptions!Q36</f>
        <v/>
      </c>
      <c r="T37" s="257">
        <f>IF(T$7="Actual","",INDEX($M37:$Q37,,MATCH(T$4,$M$4:$Q$4,0)))</f>
        <v/>
      </c>
      <c r="U37" s="257">
        <f>IF(U$7="Actual","",INDEX($M37:$Q37,,MATCH(U$4,$M$4:$Q$4,0)))</f>
        <v/>
      </c>
      <c r="V37" s="257">
        <f>IF(V$7="Actual","",INDEX($M37:$Q37,,MATCH(V$4,$M$4:$Q$4,0)))</f>
        <v/>
      </c>
      <c r="W37" s="257">
        <f>IF(W$7="Actual","",INDEX($M37:$Q37,,MATCH(W$4,$M$4:$Q$4,0)))</f>
        <v/>
      </c>
      <c r="X37" s="257">
        <f>IF(X$7="Actual","",INDEX($M37:$Q37,,MATCH(X$4,$M$4:$Q$4,0)))</f>
        <v/>
      </c>
      <c r="Y37" s="257">
        <f>IF(Y$7="Actual","",INDEX($M37:$Q37,,MATCH(Y$4,$M$4:$Q$4,0)))</f>
        <v/>
      </c>
      <c r="Z37" s="257">
        <f>IF(Z$7="Actual","",INDEX($M37:$Q37,,MATCH(Z$4,$M$4:$Q$4,0)))</f>
        <v/>
      </c>
      <c r="AA37" s="257">
        <f>IF(AA$7="Actual","",INDEX($M37:$Q37,,MATCH(AA$4,$M$4:$Q$4,0)))</f>
        <v/>
      </c>
      <c r="AB37" s="257">
        <f>IF(AB$7="Actual","",INDEX($M37:$Q37,,MATCH(AB$4,$M$4:$Q$4,0)))</f>
        <v/>
      </c>
      <c r="AC37" s="257">
        <f>IF(AC$7="Actual","",INDEX($M37:$Q37,,MATCH(AC$4,$M$4:$Q$4,0)))</f>
        <v/>
      </c>
      <c r="AD37" s="257">
        <f>IF(AD$7="Actual","",INDEX($M37:$Q37,,MATCH(AD$4,$M$4:$Q$4,0)))</f>
        <v/>
      </c>
      <c r="AE37" s="257">
        <f>IF(AE$7="Actual","",INDEX($M37:$Q37,,MATCH(AE$4,$M$4:$Q$4,0)))</f>
        <v/>
      </c>
      <c r="AF37" s="257">
        <f>IF(AF$7="Actual","",INDEX($M37:$Q37,,MATCH(AF$4,$M$4:$Q$4,0)))</f>
        <v/>
      </c>
      <c r="AG37" s="257">
        <f>IF(AG$7="Actual","",INDEX($M37:$Q37,,MATCH(AG$4,$M$4:$Q$4,0)))</f>
        <v/>
      </c>
      <c r="AH37" s="257">
        <f>IF(AH$7="Actual","",INDEX($M37:$Q37,,MATCH(AH$4,$M$4:$Q$4,0)))</f>
        <v/>
      </c>
      <c r="AI37" s="257">
        <f>IF(AI$7="Actual","",INDEX($M37:$Q37,,MATCH(AI$4,$M$4:$Q$4,0)))</f>
        <v/>
      </c>
      <c r="AJ37" s="257">
        <f>IF(AJ$7="Actual","",INDEX($M37:$Q37,,MATCH(AJ$4,$M$4:$Q$4,0)))</f>
        <v/>
      </c>
      <c r="AK37" s="257">
        <f>IF(AK$7="Actual","",INDEX($M37:$Q37,,MATCH(AK$4,$M$4:$Q$4,0)))</f>
        <v/>
      </c>
      <c r="AL37" s="257">
        <f>IF(AL$7="Actual","",INDEX($M37:$Q37,,MATCH(AL$4,$M$4:$Q$4,0)))</f>
        <v/>
      </c>
      <c r="AM37" s="257">
        <f>IF(AM$7="Actual","",INDEX($M37:$Q37,,MATCH(AM$4,$M$4:$Q$4,0)))</f>
        <v/>
      </c>
      <c r="AN37" s="257">
        <f>IF(AN$7="Actual","",INDEX($M37:$Q37,,MATCH(AN$4,$M$4:$Q$4,0)))</f>
        <v/>
      </c>
      <c r="AO37" s="257">
        <f>IF(AO$7="Actual","",INDEX($M37:$Q37,,MATCH(AO$4,$M$4:$Q$4,0)))</f>
        <v/>
      </c>
      <c r="AP37" s="257">
        <f>IF(AP$7="Actual","",INDEX($M37:$Q37,,MATCH(AP$4,$M$4:$Q$4,0)))</f>
        <v/>
      </c>
      <c r="AQ37" s="257">
        <f>IF(AQ$7="Actual","",INDEX($M37:$Q37,,MATCH(AQ$4,$M$4:$Q$4,0)))</f>
        <v/>
      </c>
      <c r="AR37" s="257">
        <f>IF(AR$7="Actual","",INDEX($M37:$Q37,,MATCH(AR$4,$M$4:$Q$4,0)))</f>
        <v/>
      </c>
      <c r="AS37" s="257">
        <f>IF(AS$7="Actual","",INDEX($M37:$Q37,,MATCH(AS$4,$M$4:$Q$4,0)))</f>
        <v/>
      </c>
      <c r="AT37" s="257">
        <f>IF(AT$7="Actual","",INDEX($M37:$Q37,,MATCH(AT$4,$M$4:$Q$4,0)))</f>
        <v/>
      </c>
      <c r="AU37" s="257">
        <f>IF(AU$7="Actual","",INDEX($M37:$Q37,,MATCH(AU$4,$M$4:$Q$4,0)))</f>
        <v/>
      </c>
      <c r="AV37" s="257">
        <f>IF(AV$7="Actual","",INDEX($M37:$Q37,,MATCH(AV$4,$M$4:$Q$4,0)))</f>
        <v/>
      </c>
      <c r="AW37" s="257">
        <f>IF(AW$7="Actual","",INDEX($M37:$Q37,,MATCH(AW$4,$M$4:$Q$4,0)))</f>
        <v/>
      </c>
      <c r="AX37" s="257">
        <f>IF(AX$7="Actual","",INDEX($M37:$Q37,,MATCH(AX$4,$M$4:$Q$4,0)))</f>
        <v/>
      </c>
      <c r="AY37" s="257">
        <f>IF(AY$7="Actual","",INDEX($M37:$Q37,,MATCH(AY$4,$M$4:$Q$4,0)))</f>
        <v/>
      </c>
      <c r="AZ37" s="257">
        <f>IF(AZ$7="Actual","",INDEX($M37:$Q37,,MATCH(AZ$4,$M$4:$Q$4,0)))</f>
        <v/>
      </c>
      <c r="BA37" s="257">
        <f>IF(BA$7="Actual","",INDEX($M37:$Q37,,MATCH(BA$4,$M$4:$Q$4,0)))</f>
        <v/>
      </c>
      <c r="BB37" s="257">
        <f>IF(BB$7="Actual","",INDEX($M37:$Q37,,MATCH(BB$4,$M$4:$Q$4,0)))</f>
        <v/>
      </c>
      <c r="BC37" s="257">
        <f>IF(BC$7="Actual","",INDEX($M37:$Q37,,MATCH(BC$4,$M$4:$Q$4,0)))</f>
        <v/>
      </c>
      <c r="BD37" s="257">
        <f>IF(BD$7="Actual","",INDEX($M37:$Q37,,MATCH(BD$4,$M$4:$Q$4,0)))</f>
        <v/>
      </c>
      <c r="BE37" s="257">
        <f>IF(BE$7="Actual","",INDEX($M37:$Q37,,MATCH(BE$4,$M$4:$Q$4,0)))</f>
        <v/>
      </c>
      <c r="BF37" s="257">
        <f>IF(BF$7="Actual","",INDEX($M37:$Q37,,MATCH(BF$4,$M$4:$Q$4,0)))</f>
        <v/>
      </c>
      <c r="BG37" s="257">
        <f>IF(BG$7="Actual","",INDEX($M37:$Q37,,MATCH(BG$4,$M$4:$Q$4,0)))</f>
        <v/>
      </c>
      <c r="BH37" s="257">
        <f>IF(BH$7="Actual","",INDEX($M37:$Q37,,MATCH(BH$4,$M$4:$Q$4,0)))</f>
        <v/>
      </c>
      <c r="BI37" s="257">
        <f>IF(BI$7="Actual","",INDEX($M37:$Q37,,MATCH(BI$4,$M$4:$Q$4,0)))</f>
        <v/>
      </c>
      <c r="BJ37" s="257">
        <f>IF(BJ$7="Actual","",INDEX($M37:$Q37,,MATCH(BJ$4,$M$4:$Q$4,0)))</f>
        <v/>
      </c>
      <c r="BK37" s="257">
        <f>IF(BK$7="Actual","",INDEX($M37:$Q37,,MATCH(BK$4,$M$4:$Q$4,0)))</f>
        <v/>
      </c>
      <c r="BL37" s="257">
        <f>IF(BL$7="Actual","",INDEX($M37:$Q37,,MATCH(BL$4,$M$4:$Q$4,0)))</f>
        <v/>
      </c>
      <c r="BM37" s="257">
        <f>IF(BM$7="Actual","",INDEX($M37:$Q37,,MATCH(BM$4,$M$4:$Q$4,0)))</f>
        <v/>
      </c>
      <c r="BN37" s="257">
        <f>IF(BN$7="Actual","",INDEX($M37:$Q37,,MATCH(BN$4,$M$4:$Q$4,0)))</f>
        <v/>
      </c>
      <c r="BO37" s="257">
        <f>IF(BO$7="Actual","",INDEX($M37:$Q37,,MATCH(BO$4,$M$4:$Q$4,0)))</f>
        <v/>
      </c>
      <c r="BP37" s="257">
        <f>IF(BP$7="Actual","",INDEX($M37:$Q37,,MATCH(BP$4,$M$4:$Q$4,0)))</f>
        <v/>
      </c>
      <c r="BQ37" s="257">
        <f>IF(BQ$7="Actual","",INDEX($M37:$Q37,,MATCH(BQ$4,$M$4:$Q$4,0)))</f>
        <v/>
      </c>
      <c r="BR37" s="257">
        <f>IF(BR$7="Actual","",INDEX($M37:$Q37,,MATCH(BR$4,$M$4:$Q$4,0)))</f>
        <v/>
      </c>
      <c r="BS37" s="257">
        <f>IF(BS$7="Actual","",INDEX($M37:$Q37,,MATCH(BS$4,$M$4:$Q$4,0)))</f>
        <v/>
      </c>
      <c r="BT37" s="257">
        <f>IF(BT$7="Actual","",INDEX($M37:$Q37,,MATCH(BT$4,$M$4:$Q$4,0)))</f>
        <v/>
      </c>
      <c r="BU37" s="257">
        <f>IF(BU$7="Actual","",INDEX($M37:$Q37,,MATCH(BU$4,$M$4:$Q$4,0)))</f>
        <v/>
      </c>
      <c r="BV37" s="257">
        <f>IF(BV$7="Actual","",INDEX($M37:$Q37,,MATCH(BV$4,$M$4:$Q$4,0)))</f>
        <v/>
      </c>
      <c r="BW37" s="257">
        <f>IF(BW$7="Actual","",INDEX($M37:$Q37,,MATCH(BW$4,$M$4:$Q$4,0)))</f>
        <v/>
      </c>
      <c r="BX37" s="257">
        <f>IF(BX$7="Actual","",INDEX($M37:$Q37,,MATCH(BX$4,$M$4:$Q$4,0)))</f>
        <v/>
      </c>
      <c r="BY37" s="257">
        <f>IF(BY$7="Actual","",INDEX($M37:$Q37,,MATCH(BY$4,$M$4:$Q$4,0)))</f>
        <v/>
      </c>
      <c r="BZ37" s="257">
        <f>IF(BZ$7="Actual","",INDEX($M37:$Q37,,MATCH(BZ$4,$M$4:$Q$4,0)))</f>
        <v/>
      </c>
      <c r="CA37" s="257">
        <f>IF(CA$7="Actual","",INDEX($M37:$Q37,,MATCH(CA$4,$M$4:$Q$4,0)))</f>
        <v/>
      </c>
    </row>
    <row r="38" ht="12" customHeight="1" s="227">
      <c r="A38" s="244" t="n"/>
      <c r="B38" s="244" t="n"/>
      <c r="C38" s="244" t="n"/>
      <c r="H38" s="4">
        <f>H23</f>
        <v/>
      </c>
      <c r="I38" s="27">
        <f>i_Setup!$M$16</f>
        <v/>
      </c>
      <c r="M38" s="257">
        <f>i_Assumptions!M37</f>
        <v/>
      </c>
      <c r="N38" s="257">
        <f>i_Assumptions!N37</f>
        <v/>
      </c>
      <c r="O38" s="257">
        <f>i_Assumptions!O37</f>
        <v/>
      </c>
      <c r="P38" s="257">
        <f>i_Assumptions!P37</f>
        <v/>
      </c>
      <c r="Q38" s="257">
        <f>i_Assumptions!Q37</f>
        <v/>
      </c>
      <c r="T38" s="257">
        <f>IF(T$7="Actual","",INDEX($M38:$Q38,,MATCH(T$4,$M$4:$Q$4,0)))</f>
        <v/>
      </c>
      <c r="U38" s="257">
        <f>IF(U$7="Actual","",INDEX($M38:$Q38,,MATCH(U$4,$M$4:$Q$4,0)))</f>
        <v/>
      </c>
      <c r="V38" s="257">
        <f>IF(V$7="Actual","",INDEX($M38:$Q38,,MATCH(V$4,$M$4:$Q$4,0)))</f>
        <v/>
      </c>
      <c r="W38" s="257">
        <f>IF(W$7="Actual","",INDEX($M38:$Q38,,MATCH(W$4,$M$4:$Q$4,0)))</f>
        <v/>
      </c>
      <c r="X38" s="257">
        <f>IF(X$7="Actual","",INDEX($M38:$Q38,,MATCH(X$4,$M$4:$Q$4,0)))</f>
        <v/>
      </c>
      <c r="Y38" s="257">
        <f>IF(Y$7="Actual","",INDEX($M38:$Q38,,MATCH(Y$4,$M$4:$Q$4,0)))</f>
        <v/>
      </c>
      <c r="Z38" s="257">
        <f>IF(Z$7="Actual","",INDEX($M38:$Q38,,MATCH(Z$4,$M$4:$Q$4,0)))</f>
        <v/>
      </c>
      <c r="AA38" s="257">
        <f>IF(AA$7="Actual","",INDEX($M38:$Q38,,MATCH(AA$4,$M$4:$Q$4,0)))</f>
        <v/>
      </c>
      <c r="AB38" s="257">
        <f>IF(AB$7="Actual","",INDEX($M38:$Q38,,MATCH(AB$4,$M$4:$Q$4,0)))</f>
        <v/>
      </c>
      <c r="AC38" s="257">
        <f>IF(AC$7="Actual","",INDEX($M38:$Q38,,MATCH(AC$4,$M$4:$Q$4,0)))</f>
        <v/>
      </c>
      <c r="AD38" s="257">
        <f>IF(AD$7="Actual","",INDEX($M38:$Q38,,MATCH(AD$4,$M$4:$Q$4,0)))</f>
        <v/>
      </c>
      <c r="AE38" s="257">
        <f>IF(AE$7="Actual","",INDEX($M38:$Q38,,MATCH(AE$4,$M$4:$Q$4,0)))</f>
        <v/>
      </c>
      <c r="AF38" s="257">
        <f>IF(AF$7="Actual","",INDEX($M38:$Q38,,MATCH(AF$4,$M$4:$Q$4,0)))</f>
        <v/>
      </c>
      <c r="AG38" s="257">
        <f>IF(AG$7="Actual","",INDEX($M38:$Q38,,MATCH(AG$4,$M$4:$Q$4,0)))</f>
        <v/>
      </c>
      <c r="AH38" s="257">
        <f>IF(AH$7="Actual","",INDEX($M38:$Q38,,MATCH(AH$4,$M$4:$Q$4,0)))</f>
        <v/>
      </c>
      <c r="AI38" s="257">
        <f>IF(AI$7="Actual","",INDEX($M38:$Q38,,MATCH(AI$4,$M$4:$Q$4,0)))</f>
        <v/>
      </c>
      <c r="AJ38" s="257">
        <f>IF(AJ$7="Actual","",INDEX($M38:$Q38,,MATCH(AJ$4,$M$4:$Q$4,0)))</f>
        <v/>
      </c>
      <c r="AK38" s="257">
        <f>IF(AK$7="Actual","",INDEX($M38:$Q38,,MATCH(AK$4,$M$4:$Q$4,0)))</f>
        <v/>
      </c>
      <c r="AL38" s="257">
        <f>IF(AL$7="Actual","",INDEX($M38:$Q38,,MATCH(AL$4,$M$4:$Q$4,0)))</f>
        <v/>
      </c>
      <c r="AM38" s="257">
        <f>IF(AM$7="Actual","",INDEX($M38:$Q38,,MATCH(AM$4,$M$4:$Q$4,0)))</f>
        <v/>
      </c>
      <c r="AN38" s="257">
        <f>IF(AN$7="Actual","",INDEX($M38:$Q38,,MATCH(AN$4,$M$4:$Q$4,0)))</f>
        <v/>
      </c>
      <c r="AO38" s="257">
        <f>IF(AO$7="Actual","",INDEX($M38:$Q38,,MATCH(AO$4,$M$4:$Q$4,0)))</f>
        <v/>
      </c>
      <c r="AP38" s="257">
        <f>IF(AP$7="Actual","",INDEX($M38:$Q38,,MATCH(AP$4,$M$4:$Q$4,0)))</f>
        <v/>
      </c>
      <c r="AQ38" s="257">
        <f>IF(AQ$7="Actual","",INDEX($M38:$Q38,,MATCH(AQ$4,$M$4:$Q$4,0)))</f>
        <v/>
      </c>
      <c r="AR38" s="257">
        <f>IF(AR$7="Actual","",INDEX($M38:$Q38,,MATCH(AR$4,$M$4:$Q$4,0)))</f>
        <v/>
      </c>
      <c r="AS38" s="257">
        <f>IF(AS$7="Actual","",INDEX($M38:$Q38,,MATCH(AS$4,$M$4:$Q$4,0)))</f>
        <v/>
      </c>
      <c r="AT38" s="257">
        <f>IF(AT$7="Actual","",INDEX($M38:$Q38,,MATCH(AT$4,$M$4:$Q$4,0)))</f>
        <v/>
      </c>
      <c r="AU38" s="257">
        <f>IF(AU$7="Actual","",INDEX($M38:$Q38,,MATCH(AU$4,$M$4:$Q$4,0)))</f>
        <v/>
      </c>
      <c r="AV38" s="257">
        <f>IF(AV$7="Actual","",INDEX($M38:$Q38,,MATCH(AV$4,$M$4:$Q$4,0)))</f>
        <v/>
      </c>
      <c r="AW38" s="257">
        <f>IF(AW$7="Actual","",INDEX($M38:$Q38,,MATCH(AW$4,$M$4:$Q$4,0)))</f>
        <v/>
      </c>
      <c r="AX38" s="257">
        <f>IF(AX$7="Actual","",INDEX($M38:$Q38,,MATCH(AX$4,$M$4:$Q$4,0)))</f>
        <v/>
      </c>
      <c r="AY38" s="257">
        <f>IF(AY$7="Actual","",INDEX($M38:$Q38,,MATCH(AY$4,$M$4:$Q$4,0)))</f>
        <v/>
      </c>
      <c r="AZ38" s="257">
        <f>IF(AZ$7="Actual","",INDEX($M38:$Q38,,MATCH(AZ$4,$M$4:$Q$4,0)))</f>
        <v/>
      </c>
      <c r="BA38" s="257">
        <f>IF(BA$7="Actual","",INDEX($M38:$Q38,,MATCH(BA$4,$M$4:$Q$4,0)))</f>
        <v/>
      </c>
      <c r="BB38" s="257">
        <f>IF(BB$7="Actual","",INDEX($M38:$Q38,,MATCH(BB$4,$M$4:$Q$4,0)))</f>
        <v/>
      </c>
      <c r="BC38" s="257">
        <f>IF(BC$7="Actual","",INDEX($M38:$Q38,,MATCH(BC$4,$M$4:$Q$4,0)))</f>
        <v/>
      </c>
      <c r="BD38" s="257">
        <f>IF(BD$7="Actual","",INDEX($M38:$Q38,,MATCH(BD$4,$M$4:$Q$4,0)))</f>
        <v/>
      </c>
      <c r="BE38" s="257">
        <f>IF(BE$7="Actual","",INDEX($M38:$Q38,,MATCH(BE$4,$M$4:$Q$4,0)))</f>
        <v/>
      </c>
      <c r="BF38" s="257">
        <f>IF(BF$7="Actual","",INDEX($M38:$Q38,,MATCH(BF$4,$M$4:$Q$4,0)))</f>
        <v/>
      </c>
      <c r="BG38" s="257">
        <f>IF(BG$7="Actual","",INDEX($M38:$Q38,,MATCH(BG$4,$M$4:$Q$4,0)))</f>
        <v/>
      </c>
      <c r="BH38" s="257">
        <f>IF(BH$7="Actual","",INDEX($M38:$Q38,,MATCH(BH$4,$M$4:$Q$4,0)))</f>
        <v/>
      </c>
      <c r="BI38" s="257">
        <f>IF(BI$7="Actual","",INDEX($M38:$Q38,,MATCH(BI$4,$M$4:$Q$4,0)))</f>
        <v/>
      </c>
      <c r="BJ38" s="257">
        <f>IF(BJ$7="Actual","",INDEX($M38:$Q38,,MATCH(BJ$4,$M$4:$Q$4,0)))</f>
        <v/>
      </c>
      <c r="BK38" s="257">
        <f>IF(BK$7="Actual","",INDEX($M38:$Q38,,MATCH(BK$4,$M$4:$Q$4,0)))</f>
        <v/>
      </c>
      <c r="BL38" s="257">
        <f>IF(BL$7="Actual","",INDEX($M38:$Q38,,MATCH(BL$4,$M$4:$Q$4,0)))</f>
        <v/>
      </c>
      <c r="BM38" s="257">
        <f>IF(BM$7="Actual","",INDEX($M38:$Q38,,MATCH(BM$4,$M$4:$Q$4,0)))</f>
        <v/>
      </c>
      <c r="BN38" s="257">
        <f>IF(BN$7="Actual","",INDEX($M38:$Q38,,MATCH(BN$4,$M$4:$Q$4,0)))</f>
        <v/>
      </c>
      <c r="BO38" s="257">
        <f>IF(BO$7="Actual","",INDEX($M38:$Q38,,MATCH(BO$4,$M$4:$Q$4,0)))</f>
        <v/>
      </c>
      <c r="BP38" s="257">
        <f>IF(BP$7="Actual","",INDEX($M38:$Q38,,MATCH(BP$4,$M$4:$Q$4,0)))</f>
        <v/>
      </c>
      <c r="BQ38" s="257">
        <f>IF(BQ$7="Actual","",INDEX($M38:$Q38,,MATCH(BQ$4,$M$4:$Q$4,0)))</f>
        <v/>
      </c>
      <c r="BR38" s="257">
        <f>IF(BR$7="Actual","",INDEX($M38:$Q38,,MATCH(BR$4,$M$4:$Q$4,0)))</f>
        <v/>
      </c>
      <c r="BS38" s="257">
        <f>IF(BS$7="Actual","",INDEX($M38:$Q38,,MATCH(BS$4,$M$4:$Q$4,0)))</f>
        <v/>
      </c>
      <c r="BT38" s="257">
        <f>IF(BT$7="Actual","",INDEX($M38:$Q38,,MATCH(BT$4,$M$4:$Q$4,0)))</f>
        <v/>
      </c>
      <c r="BU38" s="257">
        <f>IF(BU$7="Actual","",INDEX($M38:$Q38,,MATCH(BU$4,$M$4:$Q$4,0)))</f>
        <v/>
      </c>
      <c r="BV38" s="257">
        <f>IF(BV$7="Actual","",INDEX($M38:$Q38,,MATCH(BV$4,$M$4:$Q$4,0)))</f>
        <v/>
      </c>
      <c r="BW38" s="257">
        <f>IF(BW$7="Actual","",INDEX($M38:$Q38,,MATCH(BW$4,$M$4:$Q$4,0)))</f>
        <v/>
      </c>
      <c r="BX38" s="257">
        <f>IF(BX$7="Actual","",INDEX($M38:$Q38,,MATCH(BX$4,$M$4:$Q$4,0)))</f>
        <v/>
      </c>
      <c r="BY38" s="257">
        <f>IF(BY$7="Actual","",INDEX($M38:$Q38,,MATCH(BY$4,$M$4:$Q$4,0)))</f>
        <v/>
      </c>
      <c r="BZ38" s="257">
        <f>IF(BZ$7="Actual","",INDEX($M38:$Q38,,MATCH(BZ$4,$M$4:$Q$4,0)))</f>
        <v/>
      </c>
      <c r="CA38" s="257">
        <f>IF(CA$7="Actual","",INDEX($M38:$Q38,,MATCH(CA$4,$M$4:$Q$4,0)))</f>
        <v/>
      </c>
    </row>
    <row r="39" ht="12" customHeight="1" s="227">
      <c r="A39" s="244" t="n"/>
      <c r="B39" s="244" t="n"/>
      <c r="C39" s="244" t="n"/>
      <c r="H39" s="4">
        <f>H24</f>
        <v/>
      </c>
      <c r="I39" s="27">
        <f>i_Setup!$M$16</f>
        <v/>
      </c>
      <c r="M39" s="257">
        <f>i_Assumptions!M38</f>
        <v/>
      </c>
      <c r="N39" s="257">
        <f>i_Assumptions!N38</f>
        <v/>
      </c>
      <c r="O39" s="257">
        <f>i_Assumptions!O38</f>
        <v/>
      </c>
      <c r="P39" s="257">
        <f>i_Assumptions!P38</f>
        <v/>
      </c>
      <c r="Q39" s="257">
        <f>i_Assumptions!Q38</f>
        <v/>
      </c>
      <c r="T39" s="257">
        <f>IF(T$7="Actual","",INDEX($M39:$Q39,,MATCH(T$4,$M$4:$Q$4,0)))</f>
        <v/>
      </c>
      <c r="U39" s="257">
        <f>IF(U$7="Actual","",INDEX($M39:$Q39,,MATCH(U$4,$M$4:$Q$4,0)))</f>
        <v/>
      </c>
      <c r="V39" s="257">
        <f>IF(V$7="Actual","",INDEX($M39:$Q39,,MATCH(V$4,$M$4:$Q$4,0)))</f>
        <v/>
      </c>
      <c r="W39" s="257">
        <f>IF(W$7="Actual","",INDEX($M39:$Q39,,MATCH(W$4,$M$4:$Q$4,0)))</f>
        <v/>
      </c>
      <c r="X39" s="257">
        <f>IF(X$7="Actual","",INDEX($M39:$Q39,,MATCH(X$4,$M$4:$Q$4,0)))</f>
        <v/>
      </c>
      <c r="Y39" s="257">
        <f>IF(Y$7="Actual","",INDEX($M39:$Q39,,MATCH(Y$4,$M$4:$Q$4,0)))</f>
        <v/>
      </c>
      <c r="Z39" s="257">
        <f>IF(Z$7="Actual","",INDEX($M39:$Q39,,MATCH(Z$4,$M$4:$Q$4,0)))</f>
        <v/>
      </c>
      <c r="AA39" s="257">
        <f>IF(AA$7="Actual","",INDEX($M39:$Q39,,MATCH(AA$4,$M$4:$Q$4,0)))</f>
        <v/>
      </c>
      <c r="AB39" s="257">
        <f>IF(AB$7="Actual","",INDEX($M39:$Q39,,MATCH(AB$4,$M$4:$Q$4,0)))</f>
        <v/>
      </c>
      <c r="AC39" s="257">
        <f>IF(AC$7="Actual","",INDEX($M39:$Q39,,MATCH(AC$4,$M$4:$Q$4,0)))</f>
        <v/>
      </c>
      <c r="AD39" s="257">
        <f>IF(AD$7="Actual","",INDEX($M39:$Q39,,MATCH(AD$4,$M$4:$Q$4,0)))</f>
        <v/>
      </c>
      <c r="AE39" s="257">
        <f>IF(AE$7="Actual","",INDEX($M39:$Q39,,MATCH(AE$4,$M$4:$Q$4,0)))</f>
        <v/>
      </c>
      <c r="AF39" s="257">
        <f>IF(AF$7="Actual","",INDEX($M39:$Q39,,MATCH(AF$4,$M$4:$Q$4,0)))</f>
        <v/>
      </c>
      <c r="AG39" s="257">
        <f>IF(AG$7="Actual","",INDEX($M39:$Q39,,MATCH(AG$4,$M$4:$Q$4,0)))</f>
        <v/>
      </c>
      <c r="AH39" s="257">
        <f>IF(AH$7="Actual","",INDEX($M39:$Q39,,MATCH(AH$4,$M$4:$Q$4,0)))</f>
        <v/>
      </c>
      <c r="AI39" s="257">
        <f>IF(AI$7="Actual","",INDEX($M39:$Q39,,MATCH(AI$4,$M$4:$Q$4,0)))</f>
        <v/>
      </c>
      <c r="AJ39" s="257">
        <f>IF(AJ$7="Actual","",INDEX($M39:$Q39,,MATCH(AJ$4,$M$4:$Q$4,0)))</f>
        <v/>
      </c>
      <c r="AK39" s="257">
        <f>IF(AK$7="Actual","",INDEX($M39:$Q39,,MATCH(AK$4,$M$4:$Q$4,0)))</f>
        <v/>
      </c>
      <c r="AL39" s="257">
        <f>IF(AL$7="Actual","",INDEX($M39:$Q39,,MATCH(AL$4,$M$4:$Q$4,0)))</f>
        <v/>
      </c>
      <c r="AM39" s="257">
        <f>IF(AM$7="Actual","",INDEX($M39:$Q39,,MATCH(AM$4,$M$4:$Q$4,0)))</f>
        <v/>
      </c>
      <c r="AN39" s="257">
        <f>IF(AN$7="Actual","",INDEX($M39:$Q39,,MATCH(AN$4,$M$4:$Q$4,0)))</f>
        <v/>
      </c>
      <c r="AO39" s="257">
        <f>IF(AO$7="Actual","",INDEX($M39:$Q39,,MATCH(AO$4,$M$4:$Q$4,0)))</f>
        <v/>
      </c>
      <c r="AP39" s="257">
        <f>IF(AP$7="Actual","",INDEX($M39:$Q39,,MATCH(AP$4,$M$4:$Q$4,0)))</f>
        <v/>
      </c>
      <c r="AQ39" s="257">
        <f>IF(AQ$7="Actual","",INDEX($M39:$Q39,,MATCH(AQ$4,$M$4:$Q$4,0)))</f>
        <v/>
      </c>
      <c r="AR39" s="257">
        <f>IF(AR$7="Actual","",INDEX($M39:$Q39,,MATCH(AR$4,$M$4:$Q$4,0)))</f>
        <v/>
      </c>
      <c r="AS39" s="257">
        <f>IF(AS$7="Actual","",INDEX($M39:$Q39,,MATCH(AS$4,$M$4:$Q$4,0)))</f>
        <v/>
      </c>
      <c r="AT39" s="257">
        <f>IF(AT$7="Actual","",INDEX($M39:$Q39,,MATCH(AT$4,$M$4:$Q$4,0)))</f>
        <v/>
      </c>
      <c r="AU39" s="257">
        <f>IF(AU$7="Actual","",INDEX($M39:$Q39,,MATCH(AU$4,$M$4:$Q$4,0)))</f>
        <v/>
      </c>
      <c r="AV39" s="257">
        <f>IF(AV$7="Actual","",INDEX($M39:$Q39,,MATCH(AV$4,$M$4:$Q$4,0)))</f>
        <v/>
      </c>
      <c r="AW39" s="257">
        <f>IF(AW$7="Actual","",INDEX($M39:$Q39,,MATCH(AW$4,$M$4:$Q$4,0)))</f>
        <v/>
      </c>
      <c r="AX39" s="257">
        <f>IF(AX$7="Actual","",INDEX($M39:$Q39,,MATCH(AX$4,$M$4:$Q$4,0)))</f>
        <v/>
      </c>
      <c r="AY39" s="257">
        <f>IF(AY$7="Actual","",INDEX($M39:$Q39,,MATCH(AY$4,$M$4:$Q$4,0)))</f>
        <v/>
      </c>
      <c r="AZ39" s="257">
        <f>IF(AZ$7="Actual","",INDEX($M39:$Q39,,MATCH(AZ$4,$M$4:$Q$4,0)))</f>
        <v/>
      </c>
      <c r="BA39" s="257">
        <f>IF(BA$7="Actual","",INDEX($M39:$Q39,,MATCH(BA$4,$M$4:$Q$4,0)))</f>
        <v/>
      </c>
      <c r="BB39" s="257">
        <f>IF(BB$7="Actual","",INDEX($M39:$Q39,,MATCH(BB$4,$M$4:$Q$4,0)))</f>
        <v/>
      </c>
      <c r="BC39" s="257">
        <f>IF(BC$7="Actual","",INDEX($M39:$Q39,,MATCH(BC$4,$M$4:$Q$4,0)))</f>
        <v/>
      </c>
      <c r="BD39" s="257">
        <f>IF(BD$7="Actual","",INDEX($M39:$Q39,,MATCH(BD$4,$M$4:$Q$4,0)))</f>
        <v/>
      </c>
      <c r="BE39" s="257">
        <f>IF(BE$7="Actual","",INDEX($M39:$Q39,,MATCH(BE$4,$M$4:$Q$4,0)))</f>
        <v/>
      </c>
      <c r="BF39" s="257">
        <f>IF(BF$7="Actual","",INDEX($M39:$Q39,,MATCH(BF$4,$M$4:$Q$4,0)))</f>
        <v/>
      </c>
      <c r="BG39" s="257">
        <f>IF(BG$7="Actual","",INDEX($M39:$Q39,,MATCH(BG$4,$M$4:$Q$4,0)))</f>
        <v/>
      </c>
      <c r="BH39" s="257">
        <f>IF(BH$7="Actual","",INDEX($M39:$Q39,,MATCH(BH$4,$M$4:$Q$4,0)))</f>
        <v/>
      </c>
      <c r="BI39" s="257">
        <f>IF(BI$7="Actual","",INDEX($M39:$Q39,,MATCH(BI$4,$M$4:$Q$4,0)))</f>
        <v/>
      </c>
      <c r="BJ39" s="257">
        <f>IF(BJ$7="Actual","",INDEX($M39:$Q39,,MATCH(BJ$4,$M$4:$Q$4,0)))</f>
        <v/>
      </c>
      <c r="BK39" s="257">
        <f>IF(BK$7="Actual","",INDEX($M39:$Q39,,MATCH(BK$4,$M$4:$Q$4,0)))</f>
        <v/>
      </c>
      <c r="BL39" s="257">
        <f>IF(BL$7="Actual","",INDEX($M39:$Q39,,MATCH(BL$4,$M$4:$Q$4,0)))</f>
        <v/>
      </c>
      <c r="BM39" s="257">
        <f>IF(BM$7="Actual","",INDEX($M39:$Q39,,MATCH(BM$4,$M$4:$Q$4,0)))</f>
        <v/>
      </c>
      <c r="BN39" s="257">
        <f>IF(BN$7="Actual","",INDEX($M39:$Q39,,MATCH(BN$4,$M$4:$Q$4,0)))</f>
        <v/>
      </c>
      <c r="BO39" s="257">
        <f>IF(BO$7="Actual","",INDEX($M39:$Q39,,MATCH(BO$4,$M$4:$Q$4,0)))</f>
        <v/>
      </c>
      <c r="BP39" s="257">
        <f>IF(BP$7="Actual","",INDEX($M39:$Q39,,MATCH(BP$4,$M$4:$Q$4,0)))</f>
        <v/>
      </c>
      <c r="BQ39" s="257">
        <f>IF(BQ$7="Actual","",INDEX($M39:$Q39,,MATCH(BQ$4,$M$4:$Q$4,0)))</f>
        <v/>
      </c>
      <c r="BR39" s="257">
        <f>IF(BR$7="Actual","",INDEX($M39:$Q39,,MATCH(BR$4,$M$4:$Q$4,0)))</f>
        <v/>
      </c>
      <c r="BS39" s="257">
        <f>IF(BS$7="Actual","",INDEX($M39:$Q39,,MATCH(BS$4,$M$4:$Q$4,0)))</f>
        <v/>
      </c>
      <c r="BT39" s="257">
        <f>IF(BT$7="Actual","",INDEX($M39:$Q39,,MATCH(BT$4,$M$4:$Q$4,0)))</f>
        <v/>
      </c>
      <c r="BU39" s="257">
        <f>IF(BU$7="Actual","",INDEX($M39:$Q39,,MATCH(BU$4,$M$4:$Q$4,0)))</f>
        <v/>
      </c>
      <c r="BV39" s="257">
        <f>IF(BV$7="Actual","",INDEX($M39:$Q39,,MATCH(BV$4,$M$4:$Q$4,0)))</f>
        <v/>
      </c>
      <c r="BW39" s="257">
        <f>IF(BW$7="Actual","",INDEX($M39:$Q39,,MATCH(BW$4,$M$4:$Q$4,0)))</f>
        <v/>
      </c>
      <c r="BX39" s="257">
        <f>IF(BX$7="Actual","",INDEX($M39:$Q39,,MATCH(BX$4,$M$4:$Q$4,0)))</f>
        <v/>
      </c>
      <c r="BY39" s="257">
        <f>IF(BY$7="Actual","",INDEX($M39:$Q39,,MATCH(BY$4,$M$4:$Q$4,0)))</f>
        <v/>
      </c>
      <c r="BZ39" s="257">
        <f>IF(BZ$7="Actual","",INDEX($M39:$Q39,,MATCH(BZ$4,$M$4:$Q$4,0)))</f>
        <v/>
      </c>
      <c r="CA39" s="257">
        <f>IF(CA$7="Actual","",INDEX($M39:$Q39,,MATCH(CA$4,$M$4:$Q$4,0)))</f>
        <v/>
      </c>
    </row>
    <row r="40" ht="12" customHeight="1" s="227">
      <c r="A40" s="244" t="n"/>
      <c r="B40" s="244" t="n"/>
      <c r="C40" s="244" t="n"/>
    </row>
    <row r="41" ht="12" customHeight="1" s="227">
      <c r="A41" s="244" t="n"/>
      <c r="B41" s="244" t="n"/>
      <c r="C41" s="244" t="n"/>
    </row>
    <row r="42" ht="12" customHeight="1" s="227">
      <c r="A42" s="244" t="n"/>
      <c r="B42" s="244" t="n"/>
      <c r="C42" s="244" t="n"/>
      <c r="G42" s="222" t="inlineStr">
        <is>
          <t>Total Revenue - Services (Excl Sales Tax)</t>
        </is>
      </c>
      <c r="K42" s="37" t="n"/>
    </row>
    <row r="43" ht="12" customHeight="1" s="227">
      <c r="A43" s="244" t="n"/>
      <c r="B43" s="244" t="n"/>
      <c r="C43" s="244" t="n"/>
      <c r="K43" s="37" t="n"/>
    </row>
    <row r="44" ht="12" customHeight="1" s="227">
      <c r="A44" s="244" t="n"/>
      <c r="B44" s="244" t="n"/>
      <c r="C44" s="244" t="n"/>
      <c r="H44" s="0">
        <f>H30</f>
        <v/>
      </c>
      <c r="I44" s="27">
        <f>i_Setup!$M$16</f>
        <v/>
      </c>
      <c r="K44" s="37" t="n"/>
      <c r="M44" s="245">
        <f>SUMIF($T$4:$CA$4,M$4,$T44:$CA44)</f>
        <v/>
      </c>
      <c r="N44" s="245">
        <f>SUMIF($T$4:$CA$4,N$4,$T44:$CA44)</f>
        <v/>
      </c>
      <c r="O44" s="245">
        <f>SUMIF($T$4:$CA$4,O$4,$T44:$CA44)</f>
        <v/>
      </c>
      <c r="P44" s="245">
        <f>SUMIF($T$4:$CA$4,P$4,$T44:$CA44)</f>
        <v/>
      </c>
      <c r="Q44" s="245">
        <f>SUMIF($T$4:$CA$4,Q$4,$T44:$CA44)</f>
        <v/>
      </c>
      <c r="T44" s="245">
        <f>IF(T$7="Actual","",T15*T30)</f>
        <v/>
      </c>
      <c r="U44" s="245">
        <f>IF(U$7="Actual","",U15*U30)</f>
        <v/>
      </c>
      <c r="V44" s="245">
        <f>IF(V$7="Actual","",V15*V30)</f>
        <v/>
      </c>
      <c r="W44" s="245">
        <f>IF(W$7="Actual","",W15*W30)</f>
        <v/>
      </c>
      <c r="X44" s="245">
        <f>IF(X$7="Actual","",X15*X30)</f>
        <v/>
      </c>
      <c r="Y44" s="245">
        <f>IF(Y$7="Actual","",Y15*Y30)</f>
        <v/>
      </c>
      <c r="Z44" s="245">
        <f>IF(Z$7="Actual","",Z15*Z30)</f>
        <v/>
      </c>
      <c r="AA44" s="245">
        <f>IF(AA$7="Actual","",AA15*AA30)</f>
        <v/>
      </c>
      <c r="AB44" s="245">
        <f>IF(AB$7="Actual","",AB15*AB30)</f>
        <v/>
      </c>
      <c r="AC44" s="245">
        <f>IF(AC$7="Actual","",AC15*AC30)</f>
        <v/>
      </c>
      <c r="AD44" s="245">
        <f>IF(AD$7="Actual","",AD15*AD30)</f>
        <v/>
      </c>
      <c r="AE44" s="245">
        <f>IF(AE$7="Actual","",AE15*AE30)</f>
        <v/>
      </c>
      <c r="AF44" s="245">
        <f>IF(AF$7="Actual","",AF15*AF30)</f>
        <v/>
      </c>
      <c r="AG44" s="245">
        <f>IF(AG$7="Actual","",AG15*AG30)</f>
        <v/>
      </c>
      <c r="AH44" s="245">
        <f>IF(AH$7="Actual","",AH15*AH30)</f>
        <v/>
      </c>
      <c r="AI44" s="245">
        <f>IF(AI$7="Actual","",AI15*AI30)</f>
        <v/>
      </c>
      <c r="AJ44" s="245">
        <f>IF(AJ$7="Actual","",AJ15*AJ30)</f>
        <v/>
      </c>
      <c r="AK44" s="245">
        <f>IF(AK$7="Actual","",AK15*AK30)</f>
        <v/>
      </c>
      <c r="AL44" s="245">
        <f>IF(AL$7="Actual","",AL15*AL30)</f>
        <v/>
      </c>
      <c r="AM44" s="245">
        <f>IF(AM$7="Actual","",AM15*AM30)</f>
        <v/>
      </c>
      <c r="AN44" s="245">
        <f>IF(AN$7="Actual","",AN15*AN30)</f>
        <v/>
      </c>
      <c r="AO44" s="245">
        <f>IF(AO$7="Actual","",AO15*AO30)</f>
        <v/>
      </c>
      <c r="AP44" s="245">
        <f>IF(AP$7="Actual","",AP15*AP30)</f>
        <v/>
      </c>
      <c r="AQ44" s="245">
        <f>IF(AQ$7="Actual","",AQ15*AQ30)</f>
        <v/>
      </c>
      <c r="AR44" s="245">
        <f>IF(AR$7="Actual","",AR15*AR30)</f>
        <v/>
      </c>
      <c r="AS44" s="245">
        <f>IF(AS$7="Actual","",AS15*AS30)</f>
        <v/>
      </c>
      <c r="AT44" s="245">
        <f>IF(AT$7="Actual","",AT15*AT30)</f>
        <v/>
      </c>
      <c r="AU44" s="245">
        <f>IF(AU$7="Actual","",AU15*AU30)</f>
        <v/>
      </c>
      <c r="AV44" s="245">
        <f>IF(AV$7="Actual","",AV15*AV30)</f>
        <v/>
      </c>
      <c r="AW44" s="245">
        <f>IF(AW$7="Actual","",AW15*AW30)</f>
        <v/>
      </c>
      <c r="AX44" s="245">
        <f>IF(AX$7="Actual","",AX15*AX30)</f>
        <v/>
      </c>
      <c r="AY44" s="245">
        <f>IF(AY$7="Actual","",AY15*AY30)</f>
        <v/>
      </c>
      <c r="AZ44" s="245">
        <f>IF(AZ$7="Actual","",AZ15*AZ30)</f>
        <v/>
      </c>
      <c r="BA44" s="245">
        <f>IF(BA$7="Actual","",BA15*BA30)</f>
        <v/>
      </c>
      <c r="BB44" s="245">
        <f>IF(BB$7="Actual","",BB15*BB30)</f>
        <v/>
      </c>
      <c r="BC44" s="245">
        <f>IF(BC$7="Actual","",BC15*BC30)</f>
        <v/>
      </c>
      <c r="BD44" s="245">
        <f>IF(BD$7="Actual","",BD15*BD30)</f>
        <v/>
      </c>
      <c r="BE44" s="245">
        <f>IF(BE$7="Actual","",BE15*BE30)</f>
        <v/>
      </c>
      <c r="BF44" s="245">
        <f>IF(BF$7="Actual","",BF15*BF30)</f>
        <v/>
      </c>
      <c r="BG44" s="245">
        <f>IF(BG$7="Actual","",BG15*BG30)</f>
        <v/>
      </c>
      <c r="BH44" s="245">
        <f>IF(BH$7="Actual","",BH15*BH30)</f>
        <v/>
      </c>
      <c r="BI44" s="245">
        <f>IF(BI$7="Actual","",BI15*BI30)</f>
        <v/>
      </c>
      <c r="BJ44" s="245">
        <f>IF(BJ$7="Actual","",BJ15*BJ30)</f>
        <v/>
      </c>
      <c r="BK44" s="245">
        <f>IF(BK$7="Actual","",BK15*BK30)</f>
        <v/>
      </c>
      <c r="BL44" s="245">
        <f>IF(BL$7="Actual","",BL15*BL30)</f>
        <v/>
      </c>
      <c r="BM44" s="245">
        <f>IF(BM$7="Actual","",BM15*BM30)</f>
        <v/>
      </c>
      <c r="BN44" s="245">
        <f>IF(BN$7="Actual","",BN15*BN30)</f>
        <v/>
      </c>
      <c r="BO44" s="245">
        <f>IF(BO$7="Actual","",BO15*BO30)</f>
        <v/>
      </c>
      <c r="BP44" s="245">
        <f>IF(BP$7="Actual","",BP15*BP30)</f>
        <v/>
      </c>
      <c r="BQ44" s="245">
        <f>IF(BQ$7="Actual","",BQ15*BQ30)</f>
        <v/>
      </c>
      <c r="BR44" s="245">
        <f>IF(BR$7="Actual","",BR15*BR30)</f>
        <v/>
      </c>
      <c r="BS44" s="245">
        <f>IF(BS$7="Actual","",BS15*BS30)</f>
        <v/>
      </c>
      <c r="BT44" s="245">
        <f>IF(BT$7="Actual","",BT15*BT30)</f>
        <v/>
      </c>
      <c r="BU44" s="245">
        <f>IF(BU$7="Actual","",BU15*BU30)</f>
        <v/>
      </c>
      <c r="BV44" s="245">
        <f>IF(BV$7="Actual","",BV15*BV30)</f>
        <v/>
      </c>
      <c r="BW44" s="245">
        <f>IF(BW$7="Actual","",BW15*BW30)</f>
        <v/>
      </c>
      <c r="BX44" s="245">
        <f>IF(BX$7="Actual","",BX15*BX30)</f>
        <v/>
      </c>
      <c r="BY44" s="245">
        <f>IF(BY$7="Actual","",BY15*BY30)</f>
        <v/>
      </c>
      <c r="BZ44" s="245">
        <f>IF(BZ$7="Actual","",BZ15*BZ30)</f>
        <v/>
      </c>
      <c r="CA44" s="245">
        <f>IF(CA$7="Actual","",CA15*CA30)</f>
        <v/>
      </c>
    </row>
    <row r="45" ht="12" customHeight="1" s="227">
      <c r="A45" s="244" t="n"/>
      <c r="B45" s="244" t="n"/>
      <c r="C45" s="244" t="n"/>
      <c r="H45" s="0">
        <f>H31</f>
        <v/>
      </c>
      <c r="I45" s="27">
        <f>i_Setup!$M$16</f>
        <v/>
      </c>
      <c r="K45" s="37" t="n"/>
      <c r="M45" s="245">
        <f>SUMIF($T$4:$CA$4,M$4,$T45:$CA45)</f>
        <v/>
      </c>
      <c r="N45" s="245">
        <f>SUMIF($T$4:$CA$4,N$4,$T45:$CA45)</f>
        <v/>
      </c>
      <c r="O45" s="245">
        <f>SUMIF($T$4:$CA$4,O$4,$T45:$CA45)</f>
        <v/>
      </c>
      <c r="P45" s="245">
        <f>SUMIF($T$4:$CA$4,P$4,$T45:$CA45)</f>
        <v/>
      </c>
      <c r="Q45" s="245">
        <f>SUMIF($T$4:$CA$4,Q$4,$T45:$CA45)</f>
        <v/>
      </c>
      <c r="T45" s="245">
        <f>IF(T$7="Actual","",T16*T31)</f>
        <v/>
      </c>
      <c r="U45" s="245">
        <f>IF(U$7="Actual","",U16*U31)</f>
        <v/>
      </c>
      <c r="V45" s="245">
        <f>IF(V$7="Actual","",V16*V31)</f>
        <v/>
      </c>
      <c r="W45" s="245">
        <f>IF(W$7="Actual","",W16*W31)</f>
        <v/>
      </c>
      <c r="X45" s="245">
        <f>IF(X$7="Actual","",X16*X31)</f>
        <v/>
      </c>
      <c r="Y45" s="245">
        <f>IF(Y$7="Actual","",Y16*Y31)</f>
        <v/>
      </c>
      <c r="Z45" s="245">
        <f>IF(Z$7="Actual","",Z16*Z31)</f>
        <v/>
      </c>
      <c r="AA45" s="245">
        <f>IF(AA$7="Actual","",AA16*AA31)</f>
        <v/>
      </c>
      <c r="AB45" s="245">
        <f>IF(AB$7="Actual","",AB16*AB31)</f>
        <v/>
      </c>
      <c r="AC45" s="245">
        <f>IF(AC$7="Actual","",AC16*AC31)</f>
        <v/>
      </c>
      <c r="AD45" s="245">
        <f>IF(AD$7="Actual","",AD16*AD31)</f>
        <v/>
      </c>
      <c r="AE45" s="245">
        <f>IF(AE$7="Actual","",AE16*AE31)</f>
        <v/>
      </c>
      <c r="AF45" s="245">
        <f>IF(AF$7="Actual","",AF16*AF31)</f>
        <v/>
      </c>
      <c r="AG45" s="245">
        <f>IF(AG$7="Actual","",AG16*AG31)</f>
        <v/>
      </c>
      <c r="AH45" s="245">
        <f>IF(AH$7="Actual","",AH16*AH31)</f>
        <v/>
      </c>
      <c r="AI45" s="245">
        <f>IF(AI$7="Actual","",AI16*AI31)</f>
        <v/>
      </c>
      <c r="AJ45" s="245">
        <f>IF(AJ$7="Actual","",AJ16*AJ31)</f>
        <v/>
      </c>
      <c r="AK45" s="245">
        <f>IF(AK$7="Actual","",AK16*AK31)</f>
        <v/>
      </c>
      <c r="AL45" s="245">
        <f>IF(AL$7="Actual","",AL16*AL31)</f>
        <v/>
      </c>
      <c r="AM45" s="245">
        <f>IF(AM$7="Actual","",AM16*AM31)</f>
        <v/>
      </c>
      <c r="AN45" s="245">
        <f>IF(AN$7="Actual","",AN16*AN31)</f>
        <v/>
      </c>
      <c r="AO45" s="245">
        <f>IF(AO$7="Actual","",AO16*AO31)</f>
        <v/>
      </c>
      <c r="AP45" s="245">
        <f>IF(AP$7="Actual","",AP16*AP31)</f>
        <v/>
      </c>
      <c r="AQ45" s="245">
        <f>IF(AQ$7="Actual","",AQ16*AQ31)</f>
        <v/>
      </c>
      <c r="AR45" s="245">
        <f>IF(AR$7="Actual","",AR16*AR31)</f>
        <v/>
      </c>
      <c r="AS45" s="245">
        <f>IF(AS$7="Actual","",AS16*AS31)</f>
        <v/>
      </c>
      <c r="AT45" s="245">
        <f>IF(AT$7="Actual","",AT16*AT31)</f>
        <v/>
      </c>
      <c r="AU45" s="245">
        <f>IF(AU$7="Actual","",AU16*AU31)</f>
        <v/>
      </c>
      <c r="AV45" s="245">
        <f>IF(AV$7="Actual","",AV16*AV31)</f>
        <v/>
      </c>
      <c r="AW45" s="245">
        <f>IF(AW$7="Actual","",AW16*AW31)</f>
        <v/>
      </c>
      <c r="AX45" s="245">
        <f>IF(AX$7="Actual","",AX16*AX31)</f>
        <v/>
      </c>
      <c r="AY45" s="245">
        <f>IF(AY$7="Actual","",AY16*AY31)</f>
        <v/>
      </c>
      <c r="AZ45" s="245">
        <f>IF(AZ$7="Actual","",AZ16*AZ31)</f>
        <v/>
      </c>
      <c r="BA45" s="245">
        <f>IF(BA$7="Actual","",BA16*BA31)</f>
        <v/>
      </c>
      <c r="BB45" s="245">
        <f>IF(BB$7="Actual","",BB16*BB31)</f>
        <v/>
      </c>
      <c r="BC45" s="245">
        <f>IF(BC$7="Actual","",BC16*BC31)</f>
        <v/>
      </c>
      <c r="BD45" s="245">
        <f>IF(BD$7="Actual","",BD16*BD31)</f>
        <v/>
      </c>
      <c r="BE45" s="245">
        <f>IF(BE$7="Actual","",BE16*BE31)</f>
        <v/>
      </c>
      <c r="BF45" s="245">
        <f>IF(BF$7="Actual","",BF16*BF31)</f>
        <v/>
      </c>
      <c r="BG45" s="245">
        <f>IF(BG$7="Actual","",BG16*BG31)</f>
        <v/>
      </c>
      <c r="BH45" s="245">
        <f>IF(BH$7="Actual","",BH16*BH31)</f>
        <v/>
      </c>
      <c r="BI45" s="245">
        <f>IF(BI$7="Actual","",BI16*BI31)</f>
        <v/>
      </c>
      <c r="BJ45" s="245">
        <f>IF(BJ$7="Actual","",BJ16*BJ31)</f>
        <v/>
      </c>
      <c r="BK45" s="245">
        <f>IF(BK$7="Actual","",BK16*BK31)</f>
        <v/>
      </c>
      <c r="BL45" s="245">
        <f>IF(BL$7="Actual","",BL16*BL31)</f>
        <v/>
      </c>
      <c r="BM45" s="245">
        <f>IF(BM$7="Actual","",BM16*BM31)</f>
        <v/>
      </c>
      <c r="BN45" s="245">
        <f>IF(BN$7="Actual","",BN16*BN31)</f>
        <v/>
      </c>
      <c r="BO45" s="245">
        <f>IF(BO$7="Actual","",BO16*BO31)</f>
        <v/>
      </c>
      <c r="BP45" s="245">
        <f>IF(BP$7="Actual","",BP16*BP31)</f>
        <v/>
      </c>
      <c r="BQ45" s="245">
        <f>IF(BQ$7="Actual","",BQ16*BQ31)</f>
        <v/>
      </c>
      <c r="BR45" s="245">
        <f>IF(BR$7="Actual","",BR16*BR31)</f>
        <v/>
      </c>
      <c r="BS45" s="245">
        <f>IF(BS$7="Actual","",BS16*BS31)</f>
        <v/>
      </c>
      <c r="BT45" s="245">
        <f>IF(BT$7="Actual","",BT16*BT31)</f>
        <v/>
      </c>
      <c r="BU45" s="245">
        <f>IF(BU$7="Actual","",BU16*BU31)</f>
        <v/>
      </c>
      <c r="BV45" s="245">
        <f>IF(BV$7="Actual","",BV16*BV31)</f>
        <v/>
      </c>
      <c r="BW45" s="245">
        <f>IF(BW$7="Actual","",BW16*BW31)</f>
        <v/>
      </c>
      <c r="BX45" s="245">
        <f>IF(BX$7="Actual","",BX16*BX31)</f>
        <v/>
      </c>
      <c r="BY45" s="245">
        <f>IF(BY$7="Actual","",BY16*BY31)</f>
        <v/>
      </c>
      <c r="BZ45" s="245">
        <f>IF(BZ$7="Actual","",BZ16*BZ31)</f>
        <v/>
      </c>
      <c r="CA45" s="245">
        <f>IF(CA$7="Actual","",CA16*CA31)</f>
        <v/>
      </c>
    </row>
    <row r="46" ht="12" customHeight="1" s="227">
      <c r="A46" s="244" t="n"/>
      <c r="B46" s="244" t="n"/>
      <c r="C46" s="244" t="n"/>
      <c r="H46" s="0">
        <f>H32</f>
        <v/>
      </c>
      <c r="I46" s="27">
        <f>i_Setup!$M$16</f>
        <v/>
      </c>
      <c r="K46" s="37" t="n"/>
      <c r="M46" s="245">
        <f>SUMIF($T$4:$CA$4,M$4,$T46:$CA46)</f>
        <v/>
      </c>
      <c r="N46" s="245">
        <f>SUMIF($T$4:$CA$4,N$4,$T46:$CA46)</f>
        <v/>
      </c>
      <c r="O46" s="245">
        <f>SUMIF($T$4:$CA$4,O$4,$T46:$CA46)</f>
        <v/>
      </c>
      <c r="P46" s="245">
        <f>SUMIF($T$4:$CA$4,P$4,$T46:$CA46)</f>
        <v/>
      </c>
      <c r="Q46" s="245">
        <f>SUMIF($T$4:$CA$4,Q$4,$T46:$CA46)</f>
        <v/>
      </c>
      <c r="T46" s="245">
        <f>IF(T$7="Actual","",T17*T32)</f>
        <v/>
      </c>
      <c r="U46" s="245">
        <f>IF(U$7="Actual","",U17*U32)</f>
        <v/>
      </c>
      <c r="V46" s="245">
        <f>IF(V$7="Actual","",V17*V32)</f>
        <v/>
      </c>
      <c r="W46" s="245">
        <f>IF(W$7="Actual","",W17*W32)</f>
        <v/>
      </c>
      <c r="X46" s="245">
        <f>IF(X$7="Actual","",X17*X32)</f>
        <v/>
      </c>
      <c r="Y46" s="245">
        <f>IF(Y$7="Actual","",Y17*Y32)</f>
        <v/>
      </c>
      <c r="Z46" s="245">
        <f>IF(Z$7="Actual","",Z17*Z32)</f>
        <v/>
      </c>
      <c r="AA46" s="245">
        <f>IF(AA$7="Actual","",AA17*AA32)</f>
        <v/>
      </c>
      <c r="AB46" s="245">
        <f>IF(AB$7="Actual","",AB17*AB32)</f>
        <v/>
      </c>
      <c r="AC46" s="245">
        <f>IF(AC$7="Actual","",AC17*AC32)</f>
        <v/>
      </c>
      <c r="AD46" s="245">
        <f>IF(AD$7="Actual","",AD17*AD32)</f>
        <v/>
      </c>
      <c r="AE46" s="245">
        <f>IF(AE$7="Actual","",AE17*AE32)</f>
        <v/>
      </c>
      <c r="AF46" s="245">
        <f>IF(AF$7="Actual","",AF17*AF32)</f>
        <v/>
      </c>
      <c r="AG46" s="245">
        <f>IF(AG$7="Actual","",AG17*AG32)</f>
        <v/>
      </c>
      <c r="AH46" s="245">
        <f>IF(AH$7="Actual","",AH17*AH32)</f>
        <v/>
      </c>
      <c r="AI46" s="245">
        <f>IF(AI$7="Actual","",AI17*AI32)</f>
        <v/>
      </c>
      <c r="AJ46" s="245">
        <f>IF(AJ$7="Actual","",AJ17*AJ32)</f>
        <v/>
      </c>
      <c r="AK46" s="245">
        <f>IF(AK$7="Actual","",AK17*AK32)</f>
        <v/>
      </c>
      <c r="AL46" s="245">
        <f>IF(AL$7="Actual","",AL17*AL32)</f>
        <v/>
      </c>
      <c r="AM46" s="245">
        <f>IF(AM$7="Actual","",AM17*AM32)</f>
        <v/>
      </c>
      <c r="AN46" s="245">
        <f>IF(AN$7="Actual","",AN17*AN32)</f>
        <v/>
      </c>
      <c r="AO46" s="245">
        <f>IF(AO$7="Actual","",AO17*AO32)</f>
        <v/>
      </c>
      <c r="AP46" s="245">
        <f>IF(AP$7="Actual","",AP17*AP32)</f>
        <v/>
      </c>
      <c r="AQ46" s="245">
        <f>IF(AQ$7="Actual","",AQ17*AQ32)</f>
        <v/>
      </c>
      <c r="AR46" s="245">
        <f>IF(AR$7="Actual","",AR17*AR32)</f>
        <v/>
      </c>
      <c r="AS46" s="245">
        <f>IF(AS$7="Actual","",AS17*AS32)</f>
        <v/>
      </c>
      <c r="AT46" s="245">
        <f>IF(AT$7="Actual","",AT17*AT32)</f>
        <v/>
      </c>
      <c r="AU46" s="245">
        <f>IF(AU$7="Actual","",AU17*AU32)</f>
        <v/>
      </c>
      <c r="AV46" s="245">
        <f>IF(AV$7="Actual","",AV17*AV32)</f>
        <v/>
      </c>
      <c r="AW46" s="245">
        <f>IF(AW$7="Actual","",AW17*AW32)</f>
        <v/>
      </c>
      <c r="AX46" s="245">
        <f>IF(AX$7="Actual","",AX17*AX32)</f>
        <v/>
      </c>
      <c r="AY46" s="245">
        <f>IF(AY$7="Actual","",AY17*AY32)</f>
        <v/>
      </c>
      <c r="AZ46" s="245">
        <f>IF(AZ$7="Actual","",AZ17*AZ32)</f>
        <v/>
      </c>
      <c r="BA46" s="245">
        <f>IF(BA$7="Actual","",BA17*BA32)</f>
        <v/>
      </c>
      <c r="BB46" s="245">
        <f>IF(BB$7="Actual","",BB17*BB32)</f>
        <v/>
      </c>
      <c r="BC46" s="245">
        <f>IF(BC$7="Actual","",BC17*BC32)</f>
        <v/>
      </c>
      <c r="BD46" s="245">
        <f>IF(BD$7="Actual","",BD17*BD32)</f>
        <v/>
      </c>
      <c r="BE46" s="245">
        <f>IF(BE$7="Actual","",BE17*BE32)</f>
        <v/>
      </c>
      <c r="BF46" s="245">
        <f>IF(BF$7="Actual","",BF17*BF32)</f>
        <v/>
      </c>
      <c r="BG46" s="245">
        <f>IF(BG$7="Actual","",BG17*BG32)</f>
        <v/>
      </c>
      <c r="BH46" s="245">
        <f>IF(BH$7="Actual","",BH17*BH32)</f>
        <v/>
      </c>
      <c r="BI46" s="245">
        <f>IF(BI$7="Actual","",BI17*BI32)</f>
        <v/>
      </c>
      <c r="BJ46" s="245">
        <f>IF(BJ$7="Actual","",BJ17*BJ32)</f>
        <v/>
      </c>
      <c r="BK46" s="245">
        <f>IF(BK$7="Actual","",BK17*BK32)</f>
        <v/>
      </c>
      <c r="BL46" s="245">
        <f>IF(BL$7="Actual","",BL17*BL32)</f>
        <v/>
      </c>
      <c r="BM46" s="245">
        <f>IF(BM$7="Actual","",BM17*BM32)</f>
        <v/>
      </c>
      <c r="BN46" s="245">
        <f>IF(BN$7="Actual","",BN17*BN32)</f>
        <v/>
      </c>
      <c r="BO46" s="245">
        <f>IF(BO$7="Actual","",BO17*BO32)</f>
        <v/>
      </c>
      <c r="BP46" s="245">
        <f>IF(BP$7="Actual","",BP17*BP32)</f>
        <v/>
      </c>
      <c r="BQ46" s="245">
        <f>IF(BQ$7="Actual","",BQ17*BQ32)</f>
        <v/>
      </c>
      <c r="BR46" s="245">
        <f>IF(BR$7="Actual","",BR17*BR32)</f>
        <v/>
      </c>
      <c r="BS46" s="245">
        <f>IF(BS$7="Actual","",BS17*BS32)</f>
        <v/>
      </c>
      <c r="BT46" s="245">
        <f>IF(BT$7="Actual","",BT17*BT32)</f>
        <v/>
      </c>
      <c r="BU46" s="245">
        <f>IF(BU$7="Actual","",BU17*BU32)</f>
        <v/>
      </c>
      <c r="BV46" s="245">
        <f>IF(BV$7="Actual","",BV17*BV32)</f>
        <v/>
      </c>
      <c r="BW46" s="245">
        <f>IF(BW$7="Actual","",BW17*BW32)</f>
        <v/>
      </c>
      <c r="BX46" s="245">
        <f>IF(BX$7="Actual","",BX17*BX32)</f>
        <v/>
      </c>
      <c r="BY46" s="245">
        <f>IF(BY$7="Actual","",BY17*BY32)</f>
        <v/>
      </c>
      <c r="BZ46" s="245">
        <f>IF(BZ$7="Actual","",BZ17*BZ32)</f>
        <v/>
      </c>
      <c r="CA46" s="245">
        <f>IF(CA$7="Actual","",CA17*CA32)</f>
        <v/>
      </c>
    </row>
    <row r="47" ht="12" customHeight="1" s="227">
      <c r="A47" s="244" t="n"/>
      <c r="B47" s="244" t="n"/>
      <c r="C47" s="244" t="n"/>
      <c r="H47" s="0">
        <f>H33</f>
        <v/>
      </c>
      <c r="I47" s="27">
        <f>i_Setup!$M$16</f>
        <v/>
      </c>
      <c r="K47" s="37" t="n"/>
      <c r="M47" s="245">
        <f>SUMIF($T$4:$CA$4,M$4,$T47:$CA47)</f>
        <v/>
      </c>
      <c r="N47" s="245">
        <f>SUMIF($T$4:$CA$4,N$4,$T47:$CA47)</f>
        <v/>
      </c>
      <c r="O47" s="245">
        <f>SUMIF($T$4:$CA$4,O$4,$T47:$CA47)</f>
        <v/>
      </c>
      <c r="P47" s="245">
        <f>SUMIF($T$4:$CA$4,P$4,$T47:$CA47)</f>
        <v/>
      </c>
      <c r="Q47" s="245">
        <f>SUMIF($T$4:$CA$4,Q$4,$T47:$CA47)</f>
        <v/>
      </c>
      <c r="T47" s="245">
        <f>IF(T$7="Actual","",T18*T33)</f>
        <v/>
      </c>
      <c r="U47" s="245">
        <f>IF(U$7="Actual","",U18*U33)</f>
        <v/>
      </c>
      <c r="V47" s="245">
        <f>IF(V$7="Actual","",V18*V33)</f>
        <v/>
      </c>
      <c r="W47" s="245">
        <f>IF(W$7="Actual","",W18*W33)</f>
        <v/>
      </c>
      <c r="X47" s="245">
        <f>IF(X$7="Actual","",X18*X33)</f>
        <v/>
      </c>
      <c r="Y47" s="245">
        <f>IF(Y$7="Actual","",Y18*Y33)</f>
        <v/>
      </c>
      <c r="Z47" s="245">
        <f>IF(Z$7="Actual","",Z18*Z33)</f>
        <v/>
      </c>
      <c r="AA47" s="245">
        <f>IF(AA$7="Actual","",AA18*AA33)</f>
        <v/>
      </c>
      <c r="AB47" s="245">
        <f>IF(AB$7="Actual","",AB18*AB33)</f>
        <v/>
      </c>
      <c r="AC47" s="245">
        <f>IF(AC$7="Actual","",AC18*AC33)</f>
        <v/>
      </c>
      <c r="AD47" s="245">
        <f>IF(AD$7="Actual","",AD18*AD33)</f>
        <v/>
      </c>
      <c r="AE47" s="245">
        <f>IF(AE$7="Actual","",AE18*AE33)</f>
        <v/>
      </c>
      <c r="AF47" s="245">
        <f>IF(AF$7="Actual","",AF18*AF33)</f>
        <v/>
      </c>
      <c r="AG47" s="245">
        <f>IF(AG$7="Actual","",AG18*AG33)</f>
        <v/>
      </c>
      <c r="AH47" s="245">
        <f>IF(AH$7="Actual","",AH18*AH33)</f>
        <v/>
      </c>
      <c r="AI47" s="245">
        <f>IF(AI$7="Actual","",AI18*AI33)</f>
        <v/>
      </c>
      <c r="AJ47" s="245">
        <f>IF(AJ$7="Actual","",AJ18*AJ33)</f>
        <v/>
      </c>
      <c r="AK47" s="245">
        <f>IF(AK$7="Actual","",AK18*AK33)</f>
        <v/>
      </c>
      <c r="AL47" s="245">
        <f>IF(AL$7="Actual","",AL18*AL33)</f>
        <v/>
      </c>
      <c r="AM47" s="245">
        <f>IF(AM$7="Actual","",AM18*AM33)</f>
        <v/>
      </c>
      <c r="AN47" s="245">
        <f>IF(AN$7="Actual","",AN18*AN33)</f>
        <v/>
      </c>
      <c r="AO47" s="245">
        <f>IF(AO$7="Actual","",AO18*AO33)</f>
        <v/>
      </c>
      <c r="AP47" s="245">
        <f>IF(AP$7="Actual","",AP18*AP33)</f>
        <v/>
      </c>
      <c r="AQ47" s="245">
        <f>IF(AQ$7="Actual","",AQ18*AQ33)</f>
        <v/>
      </c>
      <c r="AR47" s="245">
        <f>IF(AR$7="Actual","",AR18*AR33)</f>
        <v/>
      </c>
      <c r="AS47" s="245">
        <f>IF(AS$7="Actual","",AS18*AS33)</f>
        <v/>
      </c>
      <c r="AT47" s="245">
        <f>IF(AT$7="Actual","",AT18*AT33)</f>
        <v/>
      </c>
      <c r="AU47" s="245">
        <f>IF(AU$7="Actual","",AU18*AU33)</f>
        <v/>
      </c>
      <c r="AV47" s="245">
        <f>IF(AV$7="Actual","",AV18*AV33)</f>
        <v/>
      </c>
      <c r="AW47" s="245">
        <f>IF(AW$7="Actual","",AW18*AW33)</f>
        <v/>
      </c>
      <c r="AX47" s="245">
        <f>IF(AX$7="Actual","",AX18*AX33)</f>
        <v/>
      </c>
      <c r="AY47" s="245">
        <f>IF(AY$7="Actual","",AY18*AY33)</f>
        <v/>
      </c>
      <c r="AZ47" s="245">
        <f>IF(AZ$7="Actual","",AZ18*AZ33)</f>
        <v/>
      </c>
      <c r="BA47" s="245">
        <f>IF(BA$7="Actual","",BA18*BA33)</f>
        <v/>
      </c>
      <c r="BB47" s="245">
        <f>IF(BB$7="Actual","",BB18*BB33)</f>
        <v/>
      </c>
      <c r="BC47" s="245">
        <f>IF(BC$7="Actual","",BC18*BC33)</f>
        <v/>
      </c>
      <c r="BD47" s="245">
        <f>IF(BD$7="Actual","",BD18*BD33)</f>
        <v/>
      </c>
      <c r="BE47" s="245">
        <f>IF(BE$7="Actual","",BE18*BE33)</f>
        <v/>
      </c>
      <c r="BF47" s="245">
        <f>IF(BF$7="Actual","",BF18*BF33)</f>
        <v/>
      </c>
      <c r="BG47" s="245">
        <f>IF(BG$7="Actual","",BG18*BG33)</f>
        <v/>
      </c>
      <c r="BH47" s="245">
        <f>IF(BH$7="Actual","",BH18*BH33)</f>
        <v/>
      </c>
      <c r="BI47" s="245">
        <f>IF(BI$7="Actual","",BI18*BI33)</f>
        <v/>
      </c>
      <c r="BJ47" s="245">
        <f>IF(BJ$7="Actual","",BJ18*BJ33)</f>
        <v/>
      </c>
      <c r="BK47" s="245">
        <f>IF(BK$7="Actual","",BK18*BK33)</f>
        <v/>
      </c>
      <c r="BL47" s="245">
        <f>IF(BL$7="Actual","",BL18*BL33)</f>
        <v/>
      </c>
      <c r="BM47" s="245">
        <f>IF(BM$7="Actual","",BM18*BM33)</f>
        <v/>
      </c>
      <c r="BN47" s="245">
        <f>IF(BN$7="Actual","",BN18*BN33)</f>
        <v/>
      </c>
      <c r="BO47" s="245">
        <f>IF(BO$7="Actual","",BO18*BO33)</f>
        <v/>
      </c>
      <c r="BP47" s="245">
        <f>IF(BP$7="Actual","",BP18*BP33)</f>
        <v/>
      </c>
      <c r="BQ47" s="245">
        <f>IF(BQ$7="Actual","",BQ18*BQ33)</f>
        <v/>
      </c>
      <c r="BR47" s="245">
        <f>IF(BR$7="Actual","",BR18*BR33)</f>
        <v/>
      </c>
      <c r="BS47" s="245">
        <f>IF(BS$7="Actual","",BS18*BS33)</f>
        <v/>
      </c>
      <c r="BT47" s="245">
        <f>IF(BT$7="Actual","",BT18*BT33)</f>
        <v/>
      </c>
      <c r="BU47" s="245">
        <f>IF(BU$7="Actual","",BU18*BU33)</f>
        <v/>
      </c>
      <c r="BV47" s="245">
        <f>IF(BV$7="Actual","",BV18*BV33)</f>
        <v/>
      </c>
      <c r="BW47" s="245">
        <f>IF(BW$7="Actual","",BW18*BW33)</f>
        <v/>
      </c>
      <c r="BX47" s="245">
        <f>IF(BX$7="Actual","",BX18*BX33)</f>
        <v/>
      </c>
      <c r="BY47" s="245">
        <f>IF(BY$7="Actual","",BY18*BY33)</f>
        <v/>
      </c>
      <c r="BZ47" s="245">
        <f>IF(BZ$7="Actual","",BZ18*BZ33)</f>
        <v/>
      </c>
      <c r="CA47" s="245">
        <f>IF(CA$7="Actual","",CA18*CA33)</f>
        <v/>
      </c>
    </row>
    <row r="48" ht="12" customHeight="1" s="227">
      <c r="A48" s="244" t="n"/>
      <c r="B48" s="244" t="n"/>
      <c r="C48" s="244" t="n"/>
      <c r="H48" s="0">
        <f>H34</f>
        <v/>
      </c>
      <c r="I48" s="27">
        <f>i_Setup!$M$16</f>
        <v/>
      </c>
      <c r="K48" s="37" t="n"/>
      <c r="M48" s="245">
        <f>SUMIF($T$4:$CA$4,M$4,$T48:$CA48)</f>
        <v/>
      </c>
      <c r="N48" s="245">
        <f>SUMIF($T$4:$CA$4,N$4,$T48:$CA48)</f>
        <v/>
      </c>
      <c r="O48" s="245">
        <f>SUMIF($T$4:$CA$4,O$4,$T48:$CA48)</f>
        <v/>
      </c>
      <c r="P48" s="245">
        <f>SUMIF($T$4:$CA$4,P$4,$T48:$CA48)</f>
        <v/>
      </c>
      <c r="Q48" s="245">
        <f>SUMIF($T$4:$CA$4,Q$4,$T48:$CA48)</f>
        <v/>
      </c>
      <c r="T48" s="245">
        <f>IF(T$7="Actual","",T19*T34)</f>
        <v/>
      </c>
      <c r="U48" s="245">
        <f>IF(U$7="Actual","",U19*U34)</f>
        <v/>
      </c>
      <c r="V48" s="245">
        <f>IF(V$7="Actual","",V19*V34)</f>
        <v/>
      </c>
      <c r="W48" s="245">
        <f>IF(W$7="Actual","",W19*W34)</f>
        <v/>
      </c>
      <c r="X48" s="245">
        <f>IF(X$7="Actual","",X19*X34)</f>
        <v/>
      </c>
      <c r="Y48" s="245">
        <f>IF(Y$7="Actual","",Y19*Y34)</f>
        <v/>
      </c>
      <c r="Z48" s="245">
        <f>IF(Z$7="Actual","",Z19*Z34)</f>
        <v/>
      </c>
      <c r="AA48" s="245">
        <f>IF(AA$7="Actual","",AA19*AA34)</f>
        <v/>
      </c>
      <c r="AB48" s="245">
        <f>IF(AB$7="Actual","",AB19*AB34)</f>
        <v/>
      </c>
      <c r="AC48" s="245">
        <f>IF(AC$7="Actual","",AC19*AC34)</f>
        <v/>
      </c>
      <c r="AD48" s="245">
        <f>IF(AD$7="Actual","",AD19*AD34)</f>
        <v/>
      </c>
      <c r="AE48" s="245">
        <f>IF(AE$7="Actual","",AE19*AE34)</f>
        <v/>
      </c>
      <c r="AF48" s="245">
        <f>IF(AF$7="Actual","",AF19*AF34)</f>
        <v/>
      </c>
      <c r="AG48" s="245">
        <f>IF(AG$7="Actual","",AG19*AG34)</f>
        <v/>
      </c>
      <c r="AH48" s="245">
        <f>IF(AH$7="Actual","",AH19*AH34)</f>
        <v/>
      </c>
      <c r="AI48" s="245">
        <f>IF(AI$7="Actual","",AI19*AI34)</f>
        <v/>
      </c>
      <c r="AJ48" s="245">
        <f>IF(AJ$7="Actual","",AJ19*AJ34)</f>
        <v/>
      </c>
      <c r="AK48" s="245">
        <f>IF(AK$7="Actual","",AK19*AK34)</f>
        <v/>
      </c>
      <c r="AL48" s="245">
        <f>IF(AL$7="Actual","",AL19*AL34)</f>
        <v/>
      </c>
      <c r="AM48" s="245">
        <f>IF(AM$7="Actual","",AM19*AM34)</f>
        <v/>
      </c>
      <c r="AN48" s="245">
        <f>IF(AN$7="Actual","",AN19*AN34)</f>
        <v/>
      </c>
      <c r="AO48" s="245">
        <f>IF(AO$7="Actual","",AO19*AO34)</f>
        <v/>
      </c>
      <c r="AP48" s="245">
        <f>IF(AP$7="Actual","",AP19*AP34)</f>
        <v/>
      </c>
      <c r="AQ48" s="245">
        <f>IF(AQ$7="Actual","",AQ19*AQ34)</f>
        <v/>
      </c>
      <c r="AR48" s="245">
        <f>IF(AR$7="Actual","",AR19*AR34)</f>
        <v/>
      </c>
      <c r="AS48" s="245">
        <f>IF(AS$7="Actual","",AS19*AS34)</f>
        <v/>
      </c>
      <c r="AT48" s="245">
        <f>IF(AT$7="Actual","",AT19*AT34)</f>
        <v/>
      </c>
      <c r="AU48" s="245">
        <f>IF(AU$7="Actual","",AU19*AU34)</f>
        <v/>
      </c>
      <c r="AV48" s="245">
        <f>IF(AV$7="Actual","",AV19*AV34)</f>
        <v/>
      </c>
      <c r="AW48" s="245">
        <f>IF(AW$7="Actual","",AW19*AW34)</f>
        <v/>
      </c>
      <c r="AX48" s="245">
        <f>IF(AX$7="Actual","",AX19*AX34)</f>
        <v/>
      </c>
      <c r="AY48" s="245">
        <f>IF(AY$7="Actual","",AY19*AY34)</f>
        <v/>
      </c>
      <c r="AZ48" s="245">
        <f>IF(AZ$7="Actual","",AZ19*AZ34)</f>
        <v/>
      </c>
      <c r="BA48" s="245">
        <f>IF(BA$7="Actual","",BA19*BA34)</f>
        <v/>
      </c>
      <c r="BB48" s="245">
        <f>IF(BB$7="Actual","",BB19*BB34)</f>
        <v/>
      </c>
      <c r="BC48" s="245">
        <f>IF(BC$7="Actual","",BC19*BC34)</f>
        <v/>
      </c>
      <c r="BD48" s="245">
        <f>IF(BD$7="Actual","",BD19*BD34)</f>
        <v/>
      </c>
      <c r="BE48" s="245">
        <f>IF(BE$7="Actual","",BE19*BE34)</f>
        <v/>
      </c>
      <c r="BF48" s="245">
        <f>IF(BF$7="Actual","",BF19*BF34)</f>
        <v/>
      </c>
      <c r="BG48" s="245">
        <f>IF(BG$7="Actual","",BG19*BG34)</f>
        <v/>
      </c>
      <c r="BH48" s="245">
        <f>IF(BH$7="Actual","",BH19*BH34)</f>
        <v/>
      </c>
      <c r="BI48" s="245">
        <f>IF(BI$7="Actual","",BI19*BI34)</f>
        <v/>
      </c>
      <c r="BJ48" s="245">
        <f>IF(BJ$7="Actual","",BJ19*BJ34)</f>
        <v/>
      </c>
      <c r="BK48" s="245">
        <f>IF(BK$7="Actual","",BK19*BK34)</f>
        <v/>
      </c>
      <c r="BL48" s="245">
        <f>IF(BL$7="Actual","",BL19*BL34)</f>
        <v/>
      </c>
      <c r="BM48" s="245">
        <f>IF(BM$7="Actual","",BM19*BM34)</f>
        <v/>
      </c>
      <c r="BN48" s="245">
        <f>IF(BN$7="Actual","",BN19*BN34)</f>
        <v/>
      </c>
      <c r="BO48" s="245">
        <f>IF(BO$7="Actual","",BO19*BO34)</f>
        <v/>
      </c>
      <c r="BP48" s="245">
        <f>IF(BP$7="Actual","",BP19*BP34)</f>
        <v/>
      </c>
      <c r="BQ48" s="245">
        <f>IF(BQ$7="Actual","",BQ19*BQ34)</f>
        <v/>
      </c>
      <c r="BR48" s="245">
        <f>IF(BR$7="Actual","",BR19*BR34)</f>
        <v/>
      </c>
      <c r="BS48" s="245">
        <f>IF(BS$7="Actual","",BS19*BS34)</f>
        <v/>
      </c>
      <c r="BT48" s="245">
        <f>IF(BT$7="Actual","",BT19*BT34)</f>
        <v/>
      </c>
      <c r="BU48" s="245">
        <f>IF(BU$7="Actual","",BU19*BU34)</f>
        <v/>
      </c>
      <c r="BV48" s="245">
        <f>IF(BV$7="Actual","",BV19*BV34)</f>
        <v/>
      </c>
      <c r="BW48" s="245">
        <f>IF(BW$7="Actual","",BW19*BW34)</f>
        <v/>
      </c>
      <c r="BX48" s="245">
        <f>IF(BX$7="Actual","",BX19*BX34)</f>
        <v/>
      </c>
      <c r="BY48" s="245">
        <f>IF(BY$7="Actual","",BY19*BY34)</f>
        <v/>
      </c>
      <c r="BZ48" s="245">
        <f>IF(BZ$7="Actual","",BZ19*BZ34)</f>
        <v/>
      </c>
      <c r="CA48" s="245">
        <f>IF(CA$7="Actual","",CA19*CA34)</f>
        <v/>
      </c>
    </row>
    <row r="49" ht="12" customHeight="1" s="227">
      <c r="A49" s="244" t="n"/>
      <c r="B49" s="244" t="n"/>
      <c r="C49" s="244" t="n"/>
      <c r="H49" s="0">
        <f>H35</f>
        <v/>
      </c>
      <c r="I49" s="27">
        <f>i_Setup!$M$16</f>
        <v/>
      </c>
      <c r="K49" s="37" t="n"/>
      <c r="M49" s="245">
        <f>SUMIF($T$4:$CA$4,M$4,$T49:$CA49)</f>
        <v/>
      </c>
      <c r="N49" s="245">
        <f>SUMIF($T$4:$CA$4,N$4,$T49:$CA49)</f>
        <v/>
      </c>
      <c r="O49" s="245">
        <f>SUMIF($T$4:$CA$4,O$4,$T49:$CA49)</f>
        <v/>
      </c>
      <c r="P49" s="245">
        <f>SUMIF($T$4:$CA$4,P$4,$T49:$CA49)</f>
        <v/>
      </c>
      <c r="Q49" s="245">
        <f>SUMIF($T$4:$CA$4,Q$4,$T49:$CA49)</f>
        <v/>
      </c>
      <c r="T49" s="245">
        <f>IF(T$7="Actual","",T20*T35)</f>
        <v/>
      </c>
      <c r="U49" s="245">
        <f>IF(U$7="Actual","",U20*U35)</f>
        <v/>
      </c>
      <c r="V49" s="245">
        <f>IF(V$7="Actual","",V20*V35)</f>
        <v/>
      </c>
      <c r="W49" s="245">
        <f>IF(W$7="Actual","",W20*W35)</f>
        <v/>
      </c>
      <c r="X49" s="245">
        <f>IF(X$7="Actual","",X20*X35)</f>
        <v/>
      </c>
      <c r="Y49" s="245">
        <f>IF(Y$7="Actual","",Y20*Y35)</f>
        <v/>
      </c>
      <c r="Z49" s="245">
        <f>IF(Z$7="Actual","",Z20*Z35)</f>
        <v/>
      </c>
      <c r="AA49" s="245">
        <f>IF(AA$7="Actual","",AA20*AA35)</f>
        <v/>
      </c>
      <c r="AB49" s="245">
        <f>IF(AB$7="Actual","",AB20*AB35)</f>
        <v/>
      </c>
      <c r="AC49" s="245">
        <f>IF(AC$7="Actual","",AC20*AC35)</f>
        <v/>
      </c>
      <c r="AD49" s="245">
        <f>IF(AD$7="Actual","",AD20*AD35)</f>
        <v/>
      </c>
      <c r="AE49" s="245">
        <f>IF(AE$7="Actual","",AE20*AE35)</f>
        <v/>
      </c>
      <c r="AF49" s="245">
        <f>IF(AF$7="Actual","",AF20*AF35)</f>
        <v/>
      </c>
      <c r="AG49" s="245">
        <f>IF(AG$7="Actual","",AG20*AG35)</f>
        <v/>
      </c>
      <c r="AH49" s="245">
        <f>IF(AH$7="Actual","",AH20*AH35)</f>
        <v/>
      </c>
      <c r="AI49" s="245">
        <f>IF(AI$7="Actual","",AI20*AI35)</f>
        <v/>
      </c>
      <c r="AJ49" s="245">
        <f>IF(AJ$7="Actual","",AJ20*AJ35)</f>
        <v/>
      </c>
      <c r="AK49" s="245">
        <f>IF(AK$7="Actual","",AK20*AK35)</f>
        <v/>
      </c>
      <c r="AL49" s="245">
        <f>IF(AL$7="Actual","",AL20*AL35)</f>
        <v/>
      </c>
      <c r="AM49" s="245">
        <f>IF(AM$7="Actual","",AM20*AM35)</f>
        <v/>
      </c>
      <c r="AN49" s="245">
        <f>IF(AN$7="Actual","",AN20*AN35)</f>
        <v/>
      </c>
      <c r="AO49" s="245">
        <f>IF(AO$7="Actual","",AO20*AO35)</f>
        <v/>
      </c>
      <c r="AP49" s="245">
        <f>IF(AP$7="Actual","",AP20*AP35)</f>
        <v/>
      </c>
      <c r="AQ49" s="245">
        <f>IF(AQ$7="Actual","",AQ20*AQ35)</f>
        <v/>
      </c>
      <c r="AR49" s="245">
        <f>IF(AR$7="Actual","",AR20*AR35)</f>
        <v/>
      </c>
      <c r="AS49" s="245">
        <f>IF(AS$7="Actual","",AS20*AS35)</f>
        <v/>
      </c>
      <c r="AT49" s="245">
        <f>IF(AT$7="Actual","",AT20*AT35)</f>
        <v/>
      </c>
      <c r="AU49" s="245">
        <f>IF(AU$7="Actual","",AU20*AU35)</f>
        <v/>
      </c>
      <c r="AV49" s="245">
        <f>IF(AV$7="Actual","",AV20*AV35)</f>
        <v/>
      </c>
      <c r="AW49" s="245">
        <f>IF(AW$7="Actual","",AW20*AW35)</f>
        <v/>
      </c>
      <c r="AX49" s="245">
        <f>IF(AX$7="Actual","",AX20*AX35)</f>
        <v/>
      </c>
      <c r="AY49" s="245">
        <f>IF(AY$7="Actual","",AY20*AY35)</f>
        <v/>
      </c>
      <c r="AZ49" s="245">
        <f>IF(AZ$7="Actual","",AZ20*AZ35)</f>
        <v/>
      </c>
      <c r="BA49" s="245">
        <f>IF(BA$7="Actual","",BA20*BA35)</f>
        <v/>
      </c>
      <c r="BB49" s="245">
        <f>IF(BB$7="Actual","",BB20*BB35)</f>
        <v/>
      </c>
      <c r="BC49" s="245">
        <f>IF(BC$7="Actual","",BC20*BC35)</f>
        <v/>
      </c>
      <c r="BD49" s="245">
        <f>IF(BD$7="Actual","",BD20*BD35)</f>
        <v/>
      </c>
      <c r="BE49" s="245">
        <f>IF(BE$7="Actual","",BE20*BE35)</f>
        <v/>
      </c>
      <c r="BF49" s="245">
        <f>IF(BF$7="Actual","",BF20*BF35)</f>
        <v/>
      </c>
      <c r="BG49" s="245">
        <f>IF(BG$7="Actual","",BG20*BG35)</f>
        <v/>
      </c>
      <c r="BH49" s="245">
        <f>IF(BH$7="Actual","",BH20*BH35)</f>
        <v/>
      </c>
      <c r="BI49" s="245">
        <f>IF(BI$7="Actual","",BI20*BI35)</f>
        <v/>
      </c>
      <c r="BJ49" s="245">
        <f>IF(BJ$7="Actual","",BJ20*BJ35)</f>
        <v/>
      </c>
      <c r="BK49" s="245">
        <f>IF(BK$7="Actual","",BK20*BK35)</f>
        <v/>
      </c>
      <c r="BL49" s="245">
        <f>IF(BL$7="Actual","",BL20*BL35)</f>
        <v/>
      </c>
      <c r="BM49" s="245">
        <f>IF(BM$7="Actual","",BM20*BM35)</f>
        <v/>
      </c>
      <c r="BN49" s="245">
        <f>IF(BN$7="Actual","",BN20*BN35)</f>
        <v/>
      </c>
      <c r="BO49" s="245">
        <f>IF(BO$7="Actual","",BO20*BO35)</f>
        <v/>
      </c>
      <c r="BP49" s="245">
        <f>IF(BP$7="Actual","",BP20*BP35)</f>
        <v/>
      </c>
      <c r="BQ49" s="245">
        <f>IF(BQ$7="Actual","",BQ20*BQ35)</f>
        <v/>
      </c>
      <c r="BR49" s="245">
        <f>IF(BR$7="Actual","",BR20*BR35)</f>
        <v/>
      </c>
      <c r="BS49" s="245">
        <f>IF(BS$7="Actual","",BS20*BS35)</f>
        <v/>
      </c>
      <c r="BT49" s="245">
        <f>IF(BT$7="Actual","",BT20*BT35)</f>
        <v/>
      </c>
      <c r="BU49" s="245">
        <f>IF(BU$7="Actual","",BU20*BU35)</f>
        <v/>
      </c>
      <c r="BV49" s="245">
        <f>IF(BV$7="Actual","",BV20*BV35)</f>
        <v/>
      </c>
      <c r="BW49" s="245">
        <f>IF(BW$7="Actual","",BW20*BW35)</f>
        <v/>
      </c>
      <c r="BX49" s="245">
        <f>IF(BX$7="Actual","",BX20*BX35)</f>
        <v/>
      </c>
      <c r="BY49" s="245">
        <f>IF(BY$7="Actual","",BY20*BY35)</f>
        <v/>
      </c>
      <c r="BZ49" s="245">
        <f>IF(BZ$7="Actual","",BZ20*BZ35)</f>
        <v/>
      </c>
      <c r="CA49" s="245">
        <f>IF(CA$7="Actual","",CA20*CA35)</f>
        <v/>
      </c>
    </row>
    <row r="50" ht="12" customHeight="1" s="227">
      <c r="A50" s="244" t="n"/>
      <c r="B50" s="244" t="n"/>
      <c r="C50" s="244" t="n"/>
      <c r="H50" s="0">
        <f>H36</f>
        <v/>
      </c>
      <c r="I50" s="27">
        <f>i_Setup!$M$16</f>
        <v/>
      </c>
      <c r="K50" s="37" t="n"/>
      <c r="M50" s="245">
        <f>SUMIF($T$4:$CA$4,M$4,$T50:$CA50)</f>
        <v/>
      </c>
      <c r="N50" s="245">
        <f>SUMIF($T$4:$CA$4,N$4,$T50:$CA50)</f>
        <v/>
      </c>
      <c r="O50" s="245">
        <f>SUMIF($T$4:$CA$4,O$4,$T50:$CA50)</f>
        <v/>
      </c>
      <c r="P50" s="245">
        <f>SUMIF($T$4:$CA$4,P$4,$T50:$CA50)</f>
        <v/>
      </c>
      <c r="Q50" s="245">
        <f>SUMIF($T$4:$CA$4,Q$4,$T50:$CA50)</f>
        <v/>
      </c>
      <c r="T50" s="245">
        <f>IF(T$7="Actual","",T21*T36)</f>
        <v/>
      </c>
      <c r="U50" s="245">
        <f>IF(U$7="Actual","",U21*U36)</f>
        <v/>
      </c>
      <c r="V50" s="245">
        <f>IF(V$7="Actual","",V21*V36)</f>
        <v/>
      </c>
      <c r="W50" s="245">
        <f>IF(W$7="Actual","",W21*W36)</f>
        <v/>
      </c>
      <c r="X50" s="245">
        <f>IF(X$7="Actual","",X21*X36)</f>
        <v/>
      </c>
      <c r="Y50" s="245">
        <f>IF(Y$7="Actual","",Y21*Y36)</f>
        <v/>
      </c>
      <c r="Z50" s="245">
        <f>IF(Z$7="Actual","",Z21*Z36)</f>
        <v/>
      </c>
      <c r="AA50" s="245">
        <f>IF(AA$7="Actual","",AA21*AA36)</f>
        <v/>
      </c>
      <c r="AB50" s="245">
        <f>IF(AB$7="Actual","",AB21*AB36)</f>
        <v/>
      </c>
      <c r="AC50" s="245">
        <f>IF(AC$7="Actual","",AC21*AC36)</f>
        <v/>
      </c>
      <c r="AD50" s="245">
        <f>IF(AD$7="Actual","",AD21*AD36)</f>
        <v/>
      </c>
      <c r="AE50" s="245">
        <f>IF(AE$7="Actual","",AE21*AE36)</f>
        <v/>
      </c>
      <c r="AF50" s="245">
        <f>IF(AF$7="Actual","",AF21*AF36)</f>
        <v/>
      </c>
      <c r="AG50" s="245">
        <f>IF(AG$7="Actual","",AG21*AG36)</f>
        <v/>
      </c>
      <c r="AH50" s="245">
        <f>IF(AH$7="Actual","",AH21*AH36)</f>
        <v/>
      </c>
      <c r="AI50" s="245">
        <f>IF(AI$7="Actual","",AI21*AI36)</f>
        <v/>
      </c>
      <c r="AJ50" s="245">
        <f>IF(AJ$7="Actual","",AJ21*AJ36)</f>
        <v/>
      </c>
      <c r="AK50" s="245">
        <f>IF(AK$7="Actual","",AK21*AK36)</f>
        <v/>
      </c>
      <c r="AL50" s="245">
        <f>IF(AL$7="Actual","",AL21*AL36)</f>
        <v/>
      </c>
      <c r="AM50" s="245">
        <f>IF(AM$7="Actual","",AM21*AM36)</f>
        <v/>
      </c>
      <c r="AN50" s="245">
        <f>IF(AN$7="Actual","",AN21*AN36)</f>
        <v/>
      </c>
      <c r="AO50" s="245">
        <f>IF(AO$7="Actual","",AO21*AO36)</f>
        <v/>
      </c>
      <c r="AP50" s="245">
        <f>IF(AP$7="Actual","",AP21*AP36)</f>
        <v/>
      </c>
      <c r="AQ50" s="245">
        <f>IF(AQ$7="Actual","",AQ21*AQ36)</f>
        <v/>
      </c>
      <c r="AR50" s="245">
        <f>IF(AR$7="Actual","",AR21*AR36)</f>
        <v/>
      </c>
      <c r="AS50" s="245">
        <f>IF(AS$7="Actual","",AS21*AS36)</f>
        <v/>
      </c>
      <c r="AT50" s="245">
        <f>IF(AT$7="Actual","",AT21*AT36)</f>
        <v/>
      </c>
      <c r="AU50" s="245">
        <f>IF(AU$7="Actual","",AU21*AU36)</f>
        <v/>
      </c>
      <c r="AV50" s="245">
        <f>IF(AV$7="Actual","",AV21*AV36)</f>
        <v/>
      </c>
      <c r="AW50" s="245">
        <f>IF(AW$7="Actual","",AW21*AW36)</f>
        <v/>
      </c>
      <c r="AX50" s="245">
        <f>IF(AX$7="Actual","",AX21*AX36)</f>
        <v/>
      </c>
      <c r="AY50" s="245">
        <f>IF(AY$7="Actual","",AY21*AY36)</f>
        <v/>
      </c>
      <c r="AZ50" s="245">
        <f>IF(AZ$7="Actual","",AZ21*AZ36)</f>
        <v/>
      </c>
      <c r="BA50" s="245">
        <f>IF(BA$7="Actual","",BA21*BA36)</f>
        <v/>
      </c>
      <c r="BB50" s="245">
        <f>IF(BB$7="Actual","",BB21*BB36)</f>
        <v/>
      </c>
      <c r="BC50" s="245">
        <f>IF(BC$7="Actual","",BC21*BC36)</f>
        <v/>
      </c>
      <c r="BD50" s="245">
        <f>IF(BD$7="Actual","",BD21*BD36)</f>
        <v/>
      </c>
      <c r="BE50" s="245">
        <f>IF(BE$7="Actual","",BE21*BE36)</f>
        <v/>
      </c>
      <c r="BF50" s="245">
        <f>IF(BF$7="Actual","",BF21*BF36)</f>
        <v/>
      </c>
      <c r="BG50" s="245">
        <f>IF(BG$7="Actual","",BG21*BG36)</f>
        <v/>
      </c>
      <c r="BH50" s="245">
        <f>IF(BH$7="Actual","",BH21*BH36)</f>
        <v/>
      </c>
      <c r="BI50" s="245">
        <f>IF(BI$7="Actual","",BI21*BI36)</f>
        <v/>
      </c>
      <c r="BJ50" s="245">
        <f>IF(BJ$7="Actual","",BJ21*BJ36)</f>
        <v/>
      </c>
      <c r="BK50" s="245">
        <f>IF(BK$7="Actual","",BK21*BK36)</f>
        <v/>
      </c>
      <c r="BL50" s="245">
        <f>IF(BL$7="Actual","",BL21*BL36)</f>
        <v/>
      </c>
      <c r="BM50" s="245">
        <f>IF(BM$7="Actual","",BM21*BM36)</f>
        <v/>
      </c>
      <c r="BN50" s="245">
        <f>IF(BN$7="Actual","",BN21*BN36)</f>
        <v/>
      </c>
      <c r="BO50" s="245">
        <f>IF(BO$7="Actual","",BO21*BO36)</f>
        <v/>
      </c>
      <c r="BP50" s="245">
        <f>IF(BP$7="Actual","",BP21*BP36)</f>
        <v/>
      </c>
      <c r="BQ50" s="245">
        <f>IF(BQ$7="Actual","",BQ21*BQ36)</f>
        <v/>
      </c>
      <c r="BR50" s="245">
        <f>IF(BR$7="Actual","",BR21*BR36)</f>
        <v/>
      </c>
      <c r="BS50" s="245">
        <f>IF(BS$7="Actual","",BS21*BS36)</f>
        <v/>
      </c>
      <c r="BT50" s="245">
        <f>IF(BT$7="Actual","",BT21*BT36)</f>
        <v/>
      </c>
      <c r="BU50" s="245">
        <f>IF(BU$7="Actual","",BU21*BU36)</f>
        <v/>
      </c>
      <c r="BV50" s="245">
        <f>IF(BV$7="Actual","",BV21*BV36)</f>
        <v/>
      </c>
      <c r="BW50" s="245">
        <f>IF(BW$7="Actual","",BW21*BW36)</f>
        <v/>
      </c>
      <c r="BX50" s="245">
        <f>IF(BX$7="Actual","",BX21*BX36)</f>
        <v/>
      </c>
      <c r="BY50" s="245">
        <f>IF(BY$7="Actual","",BY21*BY36)</f>
        <v/>
      </c>
      <c r="BZ50" s="245">
        <f>IF(BZ$7="Actual","",BZ21*BZ36)</f>
        <v/>
      </c>
      <c r="CA50" s="245">
        <f>IF(CA$7="Actual","",CA21*CA36)</f>
        <v/>
      </c>
    </row>
    <row r="51" ht="12" customHeight="1" s="227">
      <c r="A51" s="244" t="n"/>
      <c r="B51" s="244" t="n"/>
      <c r="C51" s="244" t="n"/>
      <c r="H51" s="0">
        <f>H37</f>
        <v/>
      </c>
      <c r="I51" s="27">
        <f>i_Setup!$M$16</f>
        <v/>
      </c>
      <c r="K51" s="37" t="n"/>
      <c r="M51" s="245">
        <f>SUMIF($T$4:$CA$4,M$4,$T51:$CA51)</f>
        <v/>
      </c>
      <c r="N51" s="245">
        <f>SUMIF($T$4:$CA$4,N$4,$T51:$CA51)</f>
        <v/>
      </c>
      <c r="O51" s="245">
        <f>SUMIF($T$4:$CA$4,O$4,$T51:$CA51)</f>
        <v/>
      </c>
      <c r="P51" s="245">
        <f>SUMIF($T$4:$CA$4,P$4,$T51:$CA51)</f>
        <v/>
      </c>
      <c r="Q51" s="245">
        <f>SUMIF($T$4:$CA$4,Q$4,$T51:$CA51)</f>
        <v/>
      </c>
      <c r="T51" s="245">
        <f>IF(T$7="Actual","",T22*T37)</f>
        <v/>
      </c>
      <c r="U51" s="245">
        <f>IF(U$7="Actual","",U22*U37)</f>
        <v/>
      </c>
      <c r="V51" s="245">
        <f>IF(V$7="Actual","",V22*V37)</f>
        <v/>
      </c>
      <c r="W51" s="245">
        <f>IF(W$7="Actual","",W22*W37)</f>
        <v/>
      </c>
      <c r="X51" s="245">
        <f>IF(X$7="Actual","",X22*X37)</f>
        <v/>
      </c>
      <c r="Y51" s="245">
        <f>IF(Y$7="Actual","",Y22*Y37)</f>
        <v/>
      </c>
      <c r="Z51" s="245">
        <f>IF(Z$7="Actual","",Z22*Z37)</f>
        <v/>
      </c>
      <c r="AA51" s="245">
        <f>IF(AA$7="Actual","",AA22*AA37)</f>
        <v/>
      </c>
      <c r="AB51" s="245">
        <f>IF(AB$7="Actual","",AB22*AB37)</f>
        <v/>
      </c>
      <c r="AC51" s="245">
        <f>IF(AC$7="Actual","",AC22*AC37)</f>
        <v/>
      </c>
      <c r="AD51" s="245">
        <f>IF(AD$7="Actual","",AD22*AD37)</f>
        <v/>
      </c>
      <c r="AE51" s="245">
        <f>IF(AE$7="Actual","",AE22*AE37)</f>
        <v/>
      </c>
      <c r="AF51" s="245">
        <f>IF(AF$7="Actual","",AF22*AF37)</f>
        <v/>
      </c>
      <c r="AG51" s="245">
        <f>IF(AG$7="Actual","",AG22*AG37)</f>
        <v/>
      </c>
      <c r="AH51" s="245">
        <f>IF(AH$7="Actual","",AH22*AH37)</f>
        <v/>
      </c>
      <c r="AI51" s="245">
        <f>IF(AI$7="Actual","",AI22*AI37)</f>
        <v/>
      </c>
      <c r="AJ51" s="245">
        <f>IF(AJ$7="Actual","",AJ22*AJ37)</f>
        <v/>
      </c>
      <c r="AK51" s="245">
        <f>IF(AK$7="Actual","",AK22*AK37)</f>
        <v/>
      </c>
      <c r="AL51" s="245">
        <f>IF(AL$7="Actual","",AL22*AL37)</f>
        <v/>
      </c>
      <c r="AM51" s="245">
        <f>IF(AM$7="Actual","",AM22*AM37)</f>
        <v/>
      </c>
      <c r="AN51" s="245">
        <f>IF(AN$7="Actual","",AN22*AN37)</f>
        <v/>
      </c>
      <c r="AO51" s="245">
        <f>IF(AO$7="Actual","",AO22*AO37)</f>
        <v/>
      </c>
      <c r="AP51" s="245">
        <f>IF(AP$7="Actual","",AP22*AP37)</f>
        <v/>
      </c>
      <c r="AQ51" s="245">
        <f>IF(AQ$7="Actual","",AQ22*AQ37)</f>
        <v/>
      </c>
      <c r="AR51" s="245">
        <f>IF(AR$7="Actual","",AR22*AR37)</f>
        <v/>
      </c>
      <c r="AS51" s="245">
        <f>IF(AS$7="Actual","",AS22*AS37)</f>
        <v/>
      </c>
      <c r="AT51" s="245">
        <f>IF(AT$7="Actual","",AT22*AT37)</f>
        <v/>
      </c>
      <c r="AU51" s="245">
        <f>IF(AU$7="Actual","",AU22*AU37)</f>
        <v/>
      </c>
      <c r="AV51" s="245">
        <f>IF(AV$7="Actual","",AV22*AV37)</f>
        <v/>
      </c>
      <c r="AW51" s="245">
        <f>IF(AW$7="Actual","",AW22*AW37)</f>
        <v/>
      </c>
      <c r="AX51" s="245">
        <f>IF(AX$7="Actual","",AX22*AX37)</f>
        <v/>
      </c>
      <c r="AY51" s="245">
        <f>IF(AY$7="Actual","",AY22*AY37)</f>
        <v/>
      </c>
      <c r="AZ51" s="245">
        <f>IF(AZ$7="Actual","",AZ22*AZ37)</f>
        <v/>
      </c>
      <c r="BA51" s="245">
        <f>IF(BA$7="Actual","",BA22*BA37)</f>
        <v/>
      </c>
      <c r="BB51" s="245">
        <f>IF(BB$7="Actual","",BB22*BB37)</f>
        <v/>
      </c>
      <c r="BC51" s="245">
        <f>IF(BC$7="Actual","",BC22*BC37)</f>
        <v/>
      </c>
      <c r="BD51" s="245">
        <f>IF(BD$7="Actual","",BD22*BD37)</f>
        <v/>
      </c>
      <c r="BE51" s="245">
        <f>IF(BE$7="Actual","",BE22*BE37)</f>
        <v/>
      </c>
      <c r="BF51" s="245">
        <f>IF(BF$7="Actual","",BF22*BF37)</f>
        <v/>
      </c>
      <c r="BG51" s="245">
        <f>IF(BG$7="Actual","",BG22*BG37)</f>
        <v/>
      </c>
      <c r="BH51" s="245">
        <f>IF(BH$7="Actual","",BH22*BH37)</f>
        <v/>
      </c>
      <c r="BI51" s="245">
        <f>IF(BI$7="Actual","",BI22*BI37)</f>
        <v/>
      </c>
      <c r="BJ51" s="245">
        <f>IF(BJ$7="Actual","",BJ22*BJ37)</f>
        <v/>
      </c>
      <c r="BK51" s="245">
        <f>IF(BK$7="Actual","",BK22*BK37)</f>
        <v/>
      </c>
      <c r="BL51" s="245">
        <f>IF(BL$7="Actual","",BL22*BL37)</f>
        <v/>
      </c>
      <c r="BM51" s="245">
        <f>IF(BM$7="Actual","",BM22*BM37)</f>
        <v/>
      </c>
      <c r="BN51" s="245">
        <f>IF(BN$7="Actual","",BN22*BN37)</f>
        <v/>
      </c>
      <c r="BO51" s="245">
        <f>IF(BO$7="Actual","",BO22*BO37)</f>
        <v/>
      </c>
      <c r="BP51" s="245">
        <f>IF(BP$7="Actual","",BP22*BP37)</f>
        <v/>
      </c>
      <c r="BQ51" s="245">
        <f>IF(BQ$7="Actual","",BQ22*BQ37)</f>
        <v/>
      </c>
      <c r="BR51" s="245">
        <f>IF(BR$7="Actual","",BR22*BR37)</f>
        <v/>
      </c>
      <c r="BS51" s="245">
        <f>IF(BS$7="Actual","",BS22*BS37)</f>
        <v/>
      </c>
      <c r="BT51" s="245">
        <f>IF(BT$7="Actual","",BT22*BT37)</f>
        <v/>
      </c>
      <c r="BU51" s="245">
        <f>IF(BU$7="Actual","",BU22*BU37)</f>
        <v/>
      </c>
      <c r="BV51" s="245">
        <f>IF(BV$7="Actual","",BV22*BV37)</f>
        <v/>
      </c>
      <c r="BW51" s="245">
        <f>IF(BW$7="Actual","",BW22*BW37)</f>
        <v/>
      </c>
      <c r="BX51" s="245">
        <f>IF(BX$7="Actual","",BX22*BX37)</f>
        <v/>
      </c>
      <c r="BY51" s="245">
        <f>IF(BY$7="Actual","",BY22*BY37)</f>
        <v/>
      </c>
      <c r="BZ51" s="245">
        <f>IF(BZ$7="Actual","",BZ22*BZ37)</f>
        <v/>
      </c>
      <c r="CA51" s="245">
        <f>IF(CA$7="Actual","",CA22*CA37)</f>
        <v/>
      </c>
    </row>
    <row r="52" ht="12" customHeight="1" s="227">
      <c r="A52" s="244" t="n"/>
      <c r="B52" s="244" t="n"/>
      <c r="C52" s="244" t="n"/>
      <c r="H52" s="0">
        <f>H38</f>
        <v/>
      </c>
      <c r="I52" s="27">
        <f>i_Setup!$M$16</f>
        <v/>
      </c>
      <c r="K52" s="37" t="n"/>
      <c r="M52" s="245">
        <f>SUMIF($T$4:$CA$4,M$4,$T52:$CA52)</f>
        <v/>
      </c>
      <c r="N52" s="245">
        <f>SUMIF($T$4:$CA$4,N$4,$T52:$CA52)</f>
        <v/>
      </c>
      <c r="O52" s="245">
        <f>SUMIF($T$4:$CA$4,O$4,$T52:$CA52)</f>
        <v/>
      </c>
      <c r="P52" s="245">
        <f>SUMIF($T$4:$CA$4,P$4,$T52:$CA52)</f>
        <v/>
      </c>
      <c r="Q52" s="245">
        <f>SUMIF($T$4:$CA$4,Q$4,$T52:$CA52)</f>
        <v/>
      </c>
      <c r="T52" s="245">
        <f>IF(T$7="Actual","",T23*T38)</f>
        <v/>
      </c>
      <c r="U52" s="245">
        <f>IF(U$7="Actual","",U23*U38)</f>
        <v/>
      </c>
      <c r="V52" s="245">
        <f>IF(V$7="Actual","",V23*V38)</f>
        <v/>
      </c>
      <c r="W52" s="245">
        <f>IF(W$7="Actual","",W23*W38)</f>
        <v/>
      </c>
      <c r="X52" s="245">
        <f>IF(X$7="Actual","",X23*X38)</f>
        <v/>
      </c>
      <c r="Y52" s="245">
        <f>IF(Y$7="Actual","",Y23*Y38)</f>
        <v/>
      </c>
      <c r="Z52" s="245">
        <f>IF(Z$7="Actual","",Z23*Z38)</f>
        <v/>
      </c>
      <c r="AA52" s="245">
        <f>IF(AA$7="Actual","",AA23*AA38)</f>
        <v/>
      </c>
      <c r="AB52" s="245">
        <f>IF(AB$7="Actual","",AB23*AB38)</f>
        <v/>
      </c>
      <c r="AC52" s="245">
        <f>IF(AC$7="Actual","",AC23*AC38)</f>
        <v/>
      </c>
      <c r="AD52" s="245">
        <f>IF(AD$7="Actual","",AD23*AD38)</f>
        <v/>
      </c>
      <c r="AE52" s="245">
        <f>IF(AE$7="Actual","",AE23*AE38)</f>
        <v/>
      </c>
      <c r="AF52" s="245">
        <f>IF(AF$7="Actual","",AF23*AF38)</f>
        <v/>
      </c>
      <c r="AG52" s="245">
        <f>IF(AG$7="Actual","",AG23*AG38)</f>
        <v/>
      </c>
      <c r="AH52" s="245">
        <f>IF(AH$7="Actual","",AH23*AH38)</f>
        <v/>
      </c>
      <c r="AI52" s="245">
        <f>IF(AI$7="Actual","",AI23*AI38)</f>
        <v/>
      </c>
      <c r="AJ52" s="245">
        <f>IF(AJ$7="Actual","",AJ23*AJ38)</f>
        <v/>
      </c>
      <c r="AK52" s="245">
        <f>IF(AK$7="Actual","",AK23*AK38)</f>
        <v/>
      </c>
      <c r="AL52" s="245">
        <f>IF(AL$7="Actual","",AL23*AL38)</f>
        <v/>
      </c>
      <c r="AM52" s="245">
        <f>IF(AM$7="Actual","",AM23*AM38)</f>
        <v/>
      </c>
      <c r="AN52" s="245">
        <f>IF(AN$7="Actual","",AN23*AN38)</f>
        <v/>
      </c>
      <c r="AO52" s="245">
        <f>IF(AO$7="Actual","",AO23*AO38)</f>
        <v/>
      </c>
      <c r="AP52" s="245">
        <f>IF(AP$7="Actual","",AP23*AP38)</f>
        <v/>
      </c>
      <c r="AQ52" s="245">
        <f>IF(AQ$7="Actual","",AQ23*AQ38)</f>
        <v/>
      </c>
      <c r="AR52" s="245">
        <f>IF(AR$7="Actual","",AR23*AR38)</f>
        <v/>
      </c>
      <c r="AS52" s="245">
        <f>IF(AS$7="Actual","",AS23*AS38)</f>
        <v/>
      </c>
      <c r="AT52" s="245">
        <f>IF(AT$7="Actual","",AT23*AT38)</f>
        <v/>
      </c>
      <c r="AU52" s="245">
        <f>IF(AU$7="Actual","",AU23*AU38)</f>
        <v/>
      </c>
      <c r="AV52" s="245">
        <f>IF(AV$7="Actual","",AV23*AV38)</f>
        <v/>
      </c>
      <c r="AW52" s="245">
        <f>IF(AW$7="Actual","",AW23*AW38)</f>
        <v/>
      </c>
      <c r="AX52" s="245">
        <f>IF(AX$7="Actual","",AX23*AX38)</f>
        <v/>
      </c>
      <c r="AY52" s="245">
        <f>IF(AY$7="Actual","",AY23*AY38)</f>
        <v/>
      </c>
      <c r="AZ52" s="245">
        <f>IF(AZ$7="Actual","",AZ23*AZ38)</f>
        <v/>
      </c>
      <c r="BA52" s="245">
        <f>IF(BA$7="Actual","",BA23*BA38)</f>
        <v/>
      </c>
      <c r="BB52" s="245">
        <f>IF(BB$7="Actual","",BB23*BB38)</f>
        <v/>
      </c>
      <c r="BC52" s="245">
        <f>IF(BC$7="Actual","",BC23*BC38)</f>
        <v/>
      </c>
      <c r="BD52" s="245">
        <f>IF(BD$7="Actual","",BD23*BD38)</f>
        <v/>
      </c>
      <c r="BE52" s="245">
        <f>IF(BE$7="Actual","",BE23*BE38)</f>
        <v/>
      </c>
      <c r="BF52" s="245">
        <f>IF(BF$7="Actual","",BF23*BF38)</f>
        <v/>
      </c>
      <c r="BG52" s="245">
        <f>IF(BG$7="Actual","",BG23*BG38)</f>
        <v/>
      </c>
      <c r="BH52" s="245">
        <f>IF(BH$7="Actual","",BH23*BH38)</f>
        <v/>
      </c>
      <c r="BI52" s="245">
        <f>IF(BI$7="Actual","",BI23*BI38)</f>
        <v/>
      </c>
      <c r="BJ52" s="245">
        <f>IF(BJ$7="Actual","",BJ23*BJ38)</f>
        <v/>
      </c>
      <c r="BK52" s="245">
        <f>IF(BK$7="Actual","",BK23*BK38)</f>
        <v/>
      </c>
      <c r="BL52" s="245">
        <f>IF(BL$7="Actual","",BL23*BL38)</f>
        <v/>
      </c>
      <c r="BM52" s="245">
        <f>IF(BM$7="Actual","",BM23*BM38)</f>
        <v/>
      </c>
      <c r="BN52" s="245">
        <f>IF(BN$7="Actual","",BN23*BN38)</f>
        <v/>
      </c>
      <c r="BO52" s="245">
        <f>IF(BO$7="Actual","",BO23*BO38)</f>
        <v/>
      </c>
      <c r="BP52" s="245">
        <f>IF(BP$7="Actual","",BP23*BP38)</f>
        <v/>
      </c>
      <c r="BQ52" s="245">
        <f>IF(BQ$7="Actual","",BQ23*BQ38)</f>
        <v/>
      </c>
      <c r="BR52" s="245">
        <f>IF(BR$7="Actual","",BR23*BR38)</f>
        <v/>
      </c>
      <c r="BS52" s="245">
        <f>IF(BS$7="Actual","",BS23*BS38)</f>
        <v/>
      </c>
      <c r="BT52" s="245">
        <f>IF(BT$7="Actual","",BT23*BT38)</f>
        <v/>
      </c>
      <c r="BU52" s="245">
        <f>IF(BU$7="Actual","",BU23*BU38)</f>
        <v/>
      </c>
      <c r="BV52" s="245">
        <f>IF(BV$7="Actual","",BV23*BV38)</f>
        <v/>
      </c>
      <c r="BW52" s="245">
        <f>IF(BW$7="Actual","",BW23*BW38)</f>
        <v/>
      </c>
      <c r="BX52" s="245">
        <f>IF(BX$7="Actual","",BX23*BX38)</f>
        <v/>
      </c>
      <c r="BY52" s="245">
        <f>IF(BY$7="Actual","",BY23*BY38)</f>
        <v/>
      </c>
      <c r="BZ52" s="245">
        <f>IF(BZ$7="Actual","",BZ23*BZ38)</f>
        <v/>
      </c>
      <c r="CA52" s="245">
        <f>IF(CA$7="Actual","",CA23*CA38)</f>
        <v/>
      </c>
    </row>
    <row r="53" ht="12" customHeight="1" s="227">
      <c r="A53" s="244" t="n"/>
      <c r="B53" s="244" t="n"/>
      <c r="C53" s="244" t="n"/>
      <c r="H53" s="0">
        <f>H39</f>
        <v/>
      </c>
      <c r="I53" s="27">
        <f>i_Setup!$M$16</f>
        <v/>
      </c>
      <c r="K53" s="37" t="n"/>
      <c r="M53" s="245">
        <f>SUMIF($T$4:$CA$4,M$4,$T53:$CA53)</f>
        <v/>
      </c>
      <c r="N53" s="245">
        <f>SUMIF($T$4:$CA$4,N$4,$T53:$CA53)</f>
        <v/>
      </c>
      <c r="O53" s="245">
        <f>SUMIF($T$4:$CA$4,O$4,$T53:$CA53)</f>
        <v/>
      </c>
      <c r="P53" s="245">
        <f>SUMIF($T$4:$CA$4,P$4,$T53:$CA53)</f>
        <v/>
      </c>
      <c r="Q53" s="245">
        <f>SUMIF($T$4:$CA$4,Q$4,$T53:$CA53)</f>
        <v/>
      </c>
      <c r="T53" s="245">
        <f>IF(T$7="Actual","",T24*T39)</f>
        <v/>
      </c>
      <c r="U53" s="245">
        <f>IF(U$7="Actual","",U24*U39)</f>
        <v/>
      </c>
      <c r="V53" s="245">
        <f>IF(V$7="Actual","",V24*V39)</f>
        <v/>
      </c>
      <c r="W53" s="245">
        <f>IF(W$7="Actual","",W24*W39)</f>
        <v/>
      </c>
      <c r="X53" s="245">
        <f>IF(X$7="Actual","",X24*X39)</f>
        <v/>
      </c>
      <c r="Y53" s="245">
        <f>IF(Y$7="Actual","",Y24*Y39)</f>
        <v/>
      </c>
      <c r="Z53" s="245">
        <f>IF(Z$7="Actual","",Z24*Z39)</f>
        <v/>
      </c>
      <c r="AA53" s="245">
        <f>IF(AA$7="Actual","",AA24*AA39)</f>
        <v/>
      </c>
      <c r="AB53" s="245">
        <f>IF(AB$7="Actual","",AB24*AB39)</f>
        <v/>
      </c>
      <c r="AC53" s="245">
        <f>IF(AC$7="Actual","",AC24*AC39)</f>
        <v/>
      </c>
      <c r="AD53" s="245">
        <f>IF(AD$7="Actual","",AD24*AD39)</f>
        <v/>
      </c>
      <c r="AE53" s="245">
        <f>IF(AE$7="Actual","",AE24*AE39)</f>
        <v/>
      </c>
      <c r="AF53" s="245">
        <f>IF(AF$7="Actual","",AF24*AF39)</f>
        <v/>
      </c>
      <c r="AG53" s="245">
        <f>IF(AG$7="Actual","",AG24*AG39)</f>
        <v/>
      </c>
      <c r="AH53" s="245">
        <f>IF(AH$7="Actual","",AH24*AH39)</f>
        <v/>
      </c>
      <c r="AI53" s="245">
        <f>IF(AI$7="Actual","",AI24*AI39)</f>
        <v/>
      </c>
      <c r="AJ53" s="245">
        <f>IF(AJ$7="Actual","",AJ24*AJ39)</f>
        <v/>
      </c>
      <c r="AK53" s="245">
        <f>IF(AK$7="Actual","",AK24*AK39)</f>
        <v/>
      </c>
      <c r="AL53" s="245">
        <f>IF(AL$7="Actual","",AL24*AL39)</f>
        <v/>
      </c>
      <c r="AM53" s="245">
        <f>IF(AM$7="Actual","",AM24*AM39)</f>
        <v/>
      </c>
      <c r="AN53" s="245">
        <f>IF(AN$7="Actual","",AN24*AN39)</f>
        <v/>
      </c>
      <c r="AO53" s="245">
        <f>IF(AO$7="Actual","",AO24*AO39)</f>
        <v/>
      </c>
      <c r="AP53" s="245">
        <f>IF(AP$7="Actual","",AP24*AP39)</f>
        <v/>
      </c>
      <c r="AQ53" s="245">
        <f>IF(AQ$7="Actual","",AQ24*AQ39)</f>
        <v/>
      </c>
      <c r="AR53" s="245">
        <f>IF(AR$7="Actual","",AR24*AR39)</f>
        <v/>
      </c>
      <c r="AS53" s="245">
        <f>IF(AS$7="Actual","",AS24*AS39)</f>
        <v/>
      </c>
      <c r="AT53" s="245">
        <f>IF(AT$7="Actual","",AT24*AT39)</f>
        <v/>
      </c>
      <c r="AU53" s="245">
        <f>IF(AU$7="Actual","",AU24*AU39)</f>
        <v/>
      </c>
      <c r="AV53" s="245">
        <f>IF(AV$7="Actual","",AV24*AV39)</f>
        <v/>
      </c>
      <c r="AW53" s="245">
        <f>IF(AW$7="Actual","",AW24*AW39)</f>
        <v/>
      </c>
      <c r="AX53" s="245">
        <f>IF(AX$7="Actual","",AX24*AX39)</f>
        <v/>
      </c>
      <c r="AY53" s="245">
        <f>IF(AY$7="Actual","",AY24*AY39)</f>
        <v/>
      </c>
      <c r="AZ53" s="245">
        <f>IF(AZ$7="Actual","",AZ24*AZ39)</f>
        <v/>
      </c>
      <c r="BA53" s="245">
        <f>IF(BA$7="Actual","",BA24*BA39)</f>
        <v/>
      </c>
      <c r="BB53" s="245">
        <f>IF(BB$7="Actual","",BB24*BB39)</f>
        <v/>
      </c>
      <c r="BC53" s="245">
        <f>IF(BC$7="Actual","",BC24*BC39)</f>
        <v/>
      </c>
      <c r="BD53" s="245">
        <f>IF(BD$7="Actual","",BD24*BD39)</f>
        <v/>
      </c>
      <c r="BE53" s="245">
        <f>IF(BE$7="Actual","",BE24*BE39)</f>
        <v/>
      </c>
      <c r="BF53" s="245">
        <f>IF(BF$7="Actual","",BF24*BF39)</f>
        <v/>
      </c>
      <c r="BG53" s="245">
        <f>IF(BG$7="Actual","",BG24*BG39)</f>
        <v/>
      </c>
      <c r="BH53" s="245">
        <f>IF(BH$7="Actual","",BH24*BH39)</f>
        <v/>
      </c>
      <c r="BI53" s="245">
        <f>IF(BI$7="Actual","",BI24*BI39)</f>
        <v/>
      </c>
      <c r="BJ53" s="245">
        <f>IF(BJ$7="Actual","",BJ24*BJ39)</f>
        <v/>
      </c>
      <c r="BK53" s="245">
        <f>IF(BK$7="Actual","",BK24*BK39)</f>
        <v/>
      </c>
      <c r="BL53" s="245">
        <f>IF(BL$7="Actual","",BL24*BL39)</f>
        <v/>
      </c>
      <c r="BM53" s="245">
        <f>IF(BM$7="Actual","",BM24*BM39)</f>
        <v/>
      </c>
      <c r="BN53" s="245">
        <f>IF(BN$7="Actual","",BN24*BN39)</f>
        <v/>
      </c>
      <c r="BO53" s="245">
        <f>IF(BO$7="Actual","",BO24*BO39)</f>
        <v/>
      </c>
      <c r="BP53" s="245">
        <f>IF(BP$7="Actual","",BP24*BP39)</f>
        <v/>
      </c>
      <c r="BQ53" s="245">
        <f>IF(BQ$7="Actual","",BQ24*BQ39)</f>
        <v/>
      </c>
      <c r="BR53" s="245">
        <f>IF(BR$7="Actual","",BR24*BR39)</f>
        <v/>
      </c>
      <c r="BS53" s="245">
        <f>IF(BS$7="Actual","",BS24*BS39)</f>
        <v/>
      </c>
      <c r="BT53" s="245">
        <f>IF(BT$7="Actual","",BT24*BT39)</f>
        <v/>
      </c>
      <c r="BU53" s="245">
        <f>IF(BU$7="Actual","",BU24*BU39)</f>
        <v/>
      </c>
      <c r="BV53" s="245">
        <f>IF(BV$7="Actual","",BV24*BV39)</f>
        <v/>
      </c>
      <c r="BW53" s="245">
        <f>IF(BW$7="Actual","",BW24*BW39)</f>
        <v/>
      </c>
      <c r="BX53" s="245">
        <f>IF(BX$7="Actual","",BX24*BX39)</f>
        <v/>
      </c>
      <c r="BY53" s="245">
        <f>IF(BY$7="Actual","",BY24*BY39)</f>
        <v/>
      </c>
      <c r="BZ53" s="245">
        <f>IF(BZ$7="Actual","",BZ24*BZ39)</f>
        <v/>
      </c>
      <c r="CA53" s="245">
        <f>IF(CA$7="Actual","",CA24*CA39)</f>
        <v/>
      </c>
    </row>
    <row r="54" ht="12" customHeight="1" s="227" thickBot="1">
      <c r="A54" s="244" t="n"/>
      <c r="B54" s="244" t="n"/>
      <c r="C54" s="244" t="n"/>
      <c r="H54" s="42" t="inlineStr">
        <is>
          <t>Total Revenue</t>
        </is>
      </c>
      <c r="I54" s="43">
        <f>i_Setup!$M$16</f>
        <v/>
      </c>
      <c r="K54" s="37" t="n"/>
      <c r="M54" s="264">
        <f>SUM(M44:M53)</f>
        <v/>
      </c>
      <c r="N54" s="264">
        <f>SUM(N44:N53)</f>
        <v/>
      </c>
      <c r="O54" s="264">
        <f>SUM(O44:O53)</f>
        <v/>
      </c>
      <c r="P54" s="264">
        <f>SUM(P44:P53)</f>
        <v/>
      </c>
      <c r="Q54" s="264">
        <f>SUM(Q44:Q53)</f>
        <v/>
      </c>
      <c r="T54" s="264">
        <f>SUM(T44:T53)</f>
        <v/>
      </c>
      <c r="U54" s="264">
        <f>SUM(U44:U53)</f>
        <v/>
      </c>
      <c r="V54" s="264">
        <f>SUM(V44:V53)</f>
        <v/>
      </c>
      <c r="W54" s="264">
        <f>SUM(W44:W53)</f>
        <v/>
      </c>
      <c r="X54" s="264">
        <f>SUM(X44:X53)</f>
        <v/>
      </c>
      <c r="Y54" s="264">
        <f>SUM(Y44:Y53)</f>
        <v/>
      </c>
      <c r="Z54" s="264">
        <f>SUM(Z44:Z53)</f>
        <v/>
      </c>
      <c r="AA54" s="264">
        <f>SUM(AA44:AA53)</f>
        <v/>
      </c>
      <c r="AB54" s="264">
        <f>SUM(AB44:AB53)</f>
        <v/>
      </c>
      <c r="AC54" s="264">
        <f>SUM(AC44:AC53)</f>
        <v/>
      </c>
      <c r="AD54" s="264">
        <f>SUM(AD44:AD53)</f>
        <v/>
      </c>
      <c r="AE54" s="264">
        <f>SUM(AE44:AE53)</f>
        <v/>
      </c>
      <c r="AF54" s="264">
        <f>SUM(AF44:AF53)</f>
        <v/>
      </c>
      <c r="AG54" s="264">
        <f>SUM(AG44:AG53)</f>
        <v/>
      </c>
      <c r="AH54" s="264">
        <f>SUM(AH44:AH53)</f>
        <v/>
      </c>
      <c r="AI54" s="264">
        <f>SUM(AI44:AI53)</f>
        <v/>
      </c>
      <c r="AJ54" s="264">
        <f>SUM(AJ44:AJ53)</f>
        <v/>
      </c>
      <c r="AK54" s="264">
        <f>SUM(AK44:AK53)</f>
        <v/>
      </c>
      <c r="AL54" s="264">
        <f>SUM(AL44:AL53)</f>
        <v/>
      </c>
      <c r="AM54" s="264">
        <f>SUM(AM44:AM53)</f>
        <v/>
      </c>
      <c r="AN54" s="264">
        <f>SUM(AN44:AN53)</f>
        <v/>
      </c>
      <c r="AO54" s="264">
        <f>SUM(AO44:AO53)</f>
        <v/>
      </c>
      <c r="AP54" s="264">
        <f>SUM(AP44:AP53)</f>
        <v/>
      </c>
      <c r="AQ54" s="264">
        <f>SUM(AQ44:AQ53)</f>
        <v/>
      </c>
      <c r="AR54" s="264">
        <f>SUM(AR44:AR53)</f>
        <v/>
      </c>
      <c r="AS54" s="264">
        <f>SUM(AS44:AS53)</f>
        <v/>
      </c>
      <c r="AT54" s="264">
        <f>SUM(AT44:AT53)</f>
        <v/>
      </c>
      <c r="AU54" s="264">
        <f>SUM(AU44:AU53)</f>
        <v/>
      </c>
      <c r="AV54" s="264">
        <f>SUM(AV44:AV53)</f>
        <v/>
      </c>
      <c r="AW54" s="264">
        <f>SUM(AW44:AW53)</f>
        <v/>
      </c>
      <c r="AX54" s="264">
        <f>SUM(AX44:AX53)</f>
        <v/>
      </c>
      <c r="AY54" s="264">
        <f>SUM(AY44:AY53)</f>
        <v/>
      </c>
      <c r="AZ54" s="264">
        <f>SUM(AZ44:AZ53)</f>
        <v/>
      </c>
      <c r="BA54" s="264">
        <f>SUM(BA44:BA53)</f>
        <v/>
      </c>
      <c r="BB54" s="264">
        <f>SUM(BB44:BB53)</f>
        <v/>
      </c>
      <c r="BC54" s="264">
        <f>SUM(BC44:BC53)</f>
        <v/>
      </c>
      <c r="BD54" s="264">
        <f>SUM(BD44:BD53)</f>
        <v/>
      </c>
      <c r="BE54" s="264">
        <f>SUM(BE44:BE53)</f>
        <v/>
      </c>
      <c r="BF54" s="264">
        <f>SUM(BF44:BF53)</f>
        <v/>
      </c>
      <c r="BG54" s="264">
        <f>SUM(BG44:BG53)</f>
        <v/>
      </c>
      <c r="BH54" s="264">
        <f>SUM(BH44:BH53)</f>
        <v/>
      </c>
      <c r="BI54" s="264">
        <f>SUM(BI44:BI53)</f>
        <v/>
      </c>
      <c r="BJ54" s="264">
        <f>SUM(BJ44:BJ53)</f>
        <v/>
      </c>
      <c r="BK54" s="264">
        <f>SUM(BK44:BK53)</f>
        <v/>
      </c>
      <c r="BL54" s="264">
        <f>SUM(BL44:BL53)</f>
        <v/>
      </c>
      <c r="BM54" s="264">
        <f>SUM(BM44:BM53)</f>
        <v/>
      </c>
      <c r="BN54" s="264">
        <f>SUM(BN44:BN53)</f>
        <v/>
      </c>
      <c r="BO54" s="264">
        <f>SUM(BO44:BO53)</f>
        <v/>
      </c>
      <c r="BP54" s="264">
        <f>SUM(BP44:BP53)</f>
        <v/>
      </c>
      <c r="BQ54" s="264">
        <f>SUM(BQ44:BQ53)</f>
        <v/>
      </c>
      <c r="BR54" s="264">
        <f>SUM(BR44:BR53)</f>
        <v/>
      </c>
      <c r="BS54" s="264">
        <f>SUM(BS44:BS53)</f>
        <v/>
      </c>
      <c r="BT54" s="264">
        <f>SUM(BT44:BT53)</f>
        <v/>
      </c>
      <c r="BU54" s="264">
        <f>SUM(BU44:BU53)</f>
        <v/>
      </c>
      <c r="BV54" s="264">
        <f>SUM(BV44:BV53)</f>
        <v/>
      </c>
      <c r="BW54" s="264">
        <f>SUM(BW44:BW53)</f>
        <v/>
      </c>
      <c r="BX54" s="264">
        <f>SUM(BX44:BX53)</f>
        <v/>
      </c>
      <c r="BY54" s="264">
        <f>SUM(BY44:BY53)</f>
        <v/>
      </c>
      <c r="BZ54" s="264">
        <f>SUM(BZ44:BZ53)</f>
        <v/>
      </c>
      <c r="CA54" s="264">
        <f>SUM(CA44:CA53)</f>
        <v/>
      </c>
    </row>
    <row r="55" ht="12" customHeight="1" s="227">
      <c r="A55" s="244" t="n"/>
      <c r="B55" s="244" t="n"/>
      <c r="C55" s="244" t="n"/>
      <c r="K55" s="37" t="n"/>
      <c r="T55" s="245" t="n"/>
      <c r="U55" s="245" t="n"/>
      <c r="V55" s="245" t="n"/>
      <c r="W55" s="245" t="n"/>
      <c r="X55" s="245" t="n"/>
      <c r="Y55" s="245" t="n"/>
      <c r="Z55" s="245" t="n"/>
      <c r="AA55" s="245" t="n"/>
      <c r="AB55" s="245" t="n"/>
      <c r="AC55" s="245" t="n"/>
      <c r="AD55" s="245" t="n"/>
      <c r="AE55" s="245" t="n"/>
      <c r="AF55" s="245" t="n"/>
      <c r="AG55" s="245" t="n"/>
      <c r="AH55" s="245" t="n"/>
      <c r="AI55" s="245" t="n"/>
      <c r="AJ55" s="245" t="n"/>
      <c r="AK55" s="245" t="n"/>
      <c r="AL55" s="245" t="n"/>
      <c r="AM55" s="245" t="n"/>
      <c r="AN55" s="245" t="n"/>
      <c r="AO55" s="245" t="n"/>
      <c r="AP55" s="245" t="n"/>
      <c r="AQ55" s="245" t="n"/>
      <c r="AR55" s="245" t="n"/>
      <c r="AS55" s="245" t="n"/>
      <c r="AT55" s="245" t="n"/>
      <c r="AU55" s="245" t="n"/>
      <c r="AV55" s="245" t="n"/>
      <c r="AW55" s="245" t="n"/>
      <c r="AX55" s="245" t="n"/>
      <c r="AY55" s="245" t="n"/>
      <c r="AZ55" s="245" t="n"/>
      <c r="BA55" s="245" t="n"/>
      <c r="BB55" s="245" t="n"/>
      <c r="BC55" s="245" t="n"/>
      <c r="BD55" s="245" t="n"/>
      <c r="BE55" s="245" t="n"/>
      <c r="BF55" s="245" t="n"/>
      <c r="BG55" s="245" t="n"/>
      <c r="BH55" s="245" t="n"/>
      <c r="BI55" s="245" t="n"/>
      <c r="BJ55" s="245" t="n"/>
      <c r="BK55" s="245" t="n"/>
      <c r="BL55" s="245" t="n"/>
      <c r="BM55" s="245" t="n"/>
      <c r="BN55" s="245" t="n"/>
      <c r="BO55" s="245" t="n"/>
      <c r="BP55" s="245" t="n"/>
      <c r="BQ55" s="245" t="n"/>
      <c r="BR55" s="245" t="n"/>
      <c r="BS55" s="245" t="n"/>
      <c r="BT55" s="245" t="n"/>
      <c r="BU55" s="245" t="n"/>
      <c r="BV55" s="245" t="n"/>
      <c r="BW55" s="245" t="n"/>
      <c r="BX55" s="245" t="n"/>
      <c r="BY55" s="245" t="n"/>
      <c r="BZ55" s="245" t="n"/>
      <c r="CA55" s="245" t="n"/>
    </row>
    <row r="56" ht="12" customHeight="1" s="227">
      <c r="A56" s="244" t="n"/>
      <c r="B56" s="244" t="n"/>
      <c r="C56" s="244" t="n"/>
      <c r="K56" s="37" t="n"/>
      <c r="T56" s="245" t="n"/>
      <c r="U56" s="245" t="n"/>
      <c r="V56" s="245" t="n"/>
      <c r="W56" s="245" t="n"/>
      <c r="X56" s="245" t="n"/>
      <c r="Y56" s="245" t="n"/>
      <c r="Z56" s="245" t="n"/>
      <c r="AA56" s="245" t="n"/>
      <c r="AB56" s="245" t="n"/>
      <c r="AC56" s="245" t="n"/>
      <c r="AD56" s="245" t="n"/>
      <c r="AE56" s="245" t="n"/>
      <c r="AF56" s="245" t="n"/>
      <c r="AG56" s="245" t="n"/>
      <c r="AH56" s="245" t="n"/>
      <c r="AI56" s="245" t="n"/>
      <c r="AJ56" s="245" t="n"/>
      <c r="AK56" s="245" t="n"/>
      <c r="AL56" s="245" t="n"/>
      <c r="AM56" s="245" t="n"/>
      <c r="AN56" s="245" t="n"/>
      <c r="AO56" s="245" t="n"/>
      <c r="AP56" s="245" t="n"/>
      <c r="AQ56" s="245" t="n"/>
      <c r="AR56" s="245" t="n"/>
      <c r="AS56" s="245" t="n"/>
      <c r="AT56" s="245" t="n"/>
      <c r="AU56" s="245" t="n"/>
      <c r="AV56" s="245" t="n"/>
      <c r="AW56" s="245" t="n"/>
      <c r="AX56" s="245" t="n"/>
      <c r="AY56" s="245" t="n"/>
      <c r="AZ56" s="245" t="n"/>
      <c r="BA56" s="245" t="n"/>
      <c r="BB56" s="245" t="n"/>
      <c r="BC56" s="245" t="n"/>
      <c r="BD56" s="245" t="n"/>
      <c r="BE56" s="245" t="n"/>
      <c r="BF56" s="245" t="n"/>
      <c r="BG56" s="245" t="n"/>
      <c r="BH56" s="245" t="n"/>
      <c r="BI56" s="245" t="n"/>
      <c r="BJ56" s="245" t="n"/>
      <c r="BK56" s="245" t="n"/>
      <c r="BL56" s="245" t="n"/>
      <c r="BM56" s="245" t="n"/>
      <c r="BN56" s="245" t="n"/>
      <c r="BO56" s="245" t="n"/>
      <c r="BP56" s="245" t="n"/>
      <c r="BQ56" s="245" t="n"/>
      <c r="BR56" s="245" t="n"/>
      <c r="BS56" s="245" t="n"/>
      <c r="BT56" s="245" t="n"/>
      <c r="BU56" s="245" t="n"/>
      <c r="BV56" s="245" t="n"/>
      <c r="BW56" s="245" t="n"/>
      <c r="BX56" s="245" t="n"/>
      <c r="BY56" s="245" t="n"/>
      <c r="BZ56" s="245" t="n"/>
      <c r="CA56" s="245" t="n"/>
    </row>
    <row r="57" ht="12" customHeight="1" s="227">
      <c r="A57" s="244" t="n"/>
      <c r="B57" s="244" t="n"/>
      <c r="C57" s="244" t="n"/>
      <c r="G57" s="222" t="inlineStr">
        <is>
          <t>Total Revenue - Services (Incl Sales Tax)</t>
        </is>
      </c>
      <c r="K57" s="6" t="n"/>
      <c r="T57" s="245" t="n"/>
      <c r="U57" s="245" t="n"/>
      <c r="V57" s="245" t="n"/>
      <c r="W57" s="245" t="n"/>
      <c r="X57" s="245" t="n"/>
      <c r="Y57" s="245" t="n"/>
      <c r="Z57" s="245" t="n"/>
      <c r="AA57" s="245" t="n"/>
      <c r="AB57" s="245" t="n"/>
      <c r="AC57" s="245" t="n"/>
      <c r="AD57" s="245" t="n"/>
      <c r="AE57" s="245" t="n"/>
      <c r="AF57" s="245" t="n"/>
      <c r="AG57" s="245" t="n"/>
      <c r="AH57" s="245" t="n"/>
      <c r="AI57" s="245" t="n"/>
      <c r="AJ57" s="245" t="n"/>
      <c r="AK57" s="245" t="n"/>
      <c r="AL57" s="245" t="n"/>
      <c r="AM57" s="245" t="n"/>
      <c r="AN57" s="245" t="n"/>
      <c r="AO57" s="245" t="n"/>
      <c r="AP57" s="245" t="n"/>
      <c r="AQ57" s="245" t="n"/>
      <c r="AR57" s="245" t="n"/>
      <c r="AS57" s="245" t="n"/>
      <c r="AT57" s="245" t="n"/>
      <c r="AU57" s="245" t="n"/>
      <c r="AV57" s="245" t="n"/>
      <c r="AW57" s="245" t="n"/>
      <c r="AX57" s="245" t="n"/>
      <c r="AY57" s="245" t="n"/>
      <c r="AZ57" s="245" t="n"/>
      <c r="BA57" s="245" t="n"/>
      <c r="BB57" s="245" t="n"/>
      <c r="BC57" s="245" t="n"/>
      <c r="BD57" s="245" t="n"/>
      <c r="BE57" s="245" t="n"/>
      <c r="BF57" s="245" t="n"/>
      <c r="BG57" s="245" t="n"/>
      <c r="BH57" s="245" t="n"/>
      <c r="BI57" s="245" t="n"/>
      <c r="BJ57" s="245" t="n"/>
      <c r="BK57" s="245" t="n"/>
      <c r="BL57" s="245" t="n"/>
      <c r="BM57" s="245" t="n"/>
      <c r="BN57" s="245" t="n"/>
      <c r="BO57" s="245" t="n"/>
      <c r="BP57" s="245" t="n"/>
      <c r="BQ57" s="245" t="n"/>
      <c r="BR57" s="245" t="n"/>
      <c r="BS57" s="245" t="n"/>
      <c r="BT57" s="245" t="n"/>
      <c r="BU57" s="245" t="n"/>
      <c r="BV57" s="245" t="n"/>
      <c r="BW57" s="245" t="n"/>
      <c r="BX57" s="245" t="n"/>
      <c r="BY57" s="245" t="n"/>
      <c r="BZ57" s="245" t="n"/>
      <c r="CA57" s="245" t="n"/>
    </row>
    <row r="58" ht="12" customHeight="1" s="227">
      <c r="A58" s="244" t="n"/>
      <c r="B58" s="244" t="n"/>
      <c r="C58" s="244" t="n"/>
      <c r="K58" s="6" t="n"/>
      <c r="T58" s="245" t="n"/>
      <c r="U58" s="245" t="n"/>
      <c r="V58" s="245" t="n"/>
      <c r="W58" s="245" t="n"/>
      <c r="X58" s="245" t="n"/>
      <c r="Y58" s="245" t="n"/>
      <c r="Z58" s="245" t="n"/>
      <c r="AA58" s="245" t="n"/>
      <c r="AB58" s="245" t="n"/>
      <c r="AC58" s="245" t="n"/>
      <c r="AD58" s="245" t="n"/>
      <c r="AE58" s="245" t="n"/>
      <c r="AF58" s="245" t="n"/>
      <c r="AG58" s="245" t="n"/>
      <c r="AH58" s="245" t="n"/>
      <c r="AI58" s="245" t="n"/>
      <c r="AJ58" s="245" t="n"/>
      <c r="AK58" s="245" t="n"/>
      <c r="AL58" s="245" t="n"/>
      <c r="AM58" s="245" t="n"/>
      <c r="AN58" s="245" t="n"/>
      <c r="AO58" s="245" t="n"/>
      <c r="AP58" s="245" t="n"/>
      <c r="AQ58" s="245" t="n"/>
      <c r="AR58" s="245" t="n"/>
      <c r="AS58" s="245" t="n"/>
      <c r="AT58" s="245" t="n"/>
      <c r="AU58" s="245" t="n"/>
      <c r="AV58" s="245" t="n"/>
      <c r="AW58" s="245" t="n"/>
      <c r="AX58" s="245" t="n"/>
      <c r="AY58" s="245" t="n"/>
      <c r="AZ58" s="245" t="n"/>
      <c r="BA58" s="245" t="n"/>
      <c r="BB58" s="245" t="n"/>
      <c r="BC58" s="245" t="n"/>
      <c r="BD58" s="245" t="n"/>
      <c r="BE58" s="245" t="n"/>
      <c r="BF58" s="245" t="n"/>
      <c r="BG58" s="245" t="n"/>
      <c r="BH58" s="245" t="n"/>
      <c r="BI58" s="245" t="n"/>
      <c r="BJ58" s="245" t="n"/>
      <c r="BK58" s="245" t="n"/>
      <c r="BL58" s="245" t="n"/>
      <c r="BM58" s="245" t="n"/>
      <c r="BN58" s="245" t="n"/>
      <c r="BO58" s="245" t="n"/>
      <c r="BP58" s="245" t="n"/>
      <c r="BQ58" s="245" t="n"/>
      <c r="BR58" s="245" t="n"/>
      <c r="BS58" s="245" t="n"/>
      <c r="BT58" s="245" t="n"/>
      <c r="BU58" s="245" t="n"/>
      <c r="BV58" s="245" t="n"/>
      <c r="BW58" s="245" t="n"/>
      <c r="BX58" s="245" t="n"/>
      <c r="BY58" s="245" t="n"/>
      <c r="BZ58" s="245" t="n"/>
      <c r="CA58" s="245" t="n"/>
    </row>
    <row r="59" ht="12" customHeight="1" s="227">
      <c r="A59" s="244" t="n"/>
      <c r="B59" s="244" t="n"/>
      <c r="C59" s="244" t="n"/>
      <c r="H59" s="4" t="inlineStr">
        <is>
          <t>Sales Tax Rate</t>
        </is>
      </c>
      <c r="I59" s="27" t="inlineStr">
        <is>
          <t>%</t>
        </is>
      </c>
      <c r="K59" s="6" t="n"/>
      <c r="M59" s="265">
        <f>IF(M$7="Actual","",i_Assumptions!M596)</f>
        <v/>
      </c>
      <c r="N59" s="265">
        <f>IF(N$7="Actual","",i_Assumptions!N596)</f>
        <v/>
      </c>
      <c r="O59" s="265">
        <f>IF(O$7="Actual","",i_Assumptions!O596)</f>
        <v/>
      </c>
      <c r="P59" s="265">
        <f>IF(P$7="Actual","",i_Assumptions!P596)</f>
        <v/>
      </c>
      <c r="Q59" s="265">
        <f>IF(Q$7="Actual","",i_Assumptions!Q596)</f>
        <v/>
      </c>
      <c r="T59" s="265">
        <f>IF(T$7="Actual","",INDEX($M59:$Q59,,MATCH(T$4,$M$4:$Q$4,0)))</f>
        <v/>
      </c>
      <c r="U59" s="265">
        <f>IF(U$7="Actual","",INDEX($M59:$Q59,,MATCH(U$4,$M$4:$Q$4,0)))</f>
        <v/>
      </c>
      <c r="V59" s="265">
        <f>IF(V$7="Actual","",INDEX($M59:$Q59,,MATCH(V$4,$M$4:$Q$4,0)))</f>
        <v/>
      </c>
      <c r="W59" s="265">
        <f>IF(W$7="Actual","",INDEX($M59:$Q59,,MATCH(W$4,$M$4:$Q$4,0)))</f>
        <v/>
      </c>
      <c r="X59" s="265">
        <f>IF(X$7="Actual","",INDEX($M59:$Q59,,MATCH(X$4,$M$4:$Q$4,0)))</f>
        <v/>
      </c>
      <c r="Y59" s="265">
        <f>IF(Y$7="Actual","",INDEX($M59:$Q59,,MATCH(Y$4,$M$4:$Q$4,0)))</f>
        <v/>
      </c>
      <c r="Z59" s="265">
        <f>IF(Z$7="Actual","",INDEX($M59:$Q59,,MATCH(Z$4,$M$4:$Q$4,0)))</f>
        <v/>
      </c>
      <c r="AA59" s="265">
        <f>IF(AA$7="Actual","",INDEX($M59:$Q59,,MATCH(AA$4,$M$4:$Q$4,0)))</f>
        <v/>
      </c>
      <c r="AB59" s="265">
        <f>IF(AB$7="Actual","",INDEX($M59:$Q59,,MATCH(AB$4,$M$4:$Q$4,0)))</f>
        <v/>
      </c>
      <c r="AC59" s="265">
        <f>IF(AC$7="Actual","",INDEX($M59:$Q59,,MATCH(AC$4,$M$4:$Q$4,0)))</f>
        <v/>
      </c>
      <c r="AD59" s="265">
        <f>IF(AD$7="Actual","",INDEX($M59:$Q59,,MATCH(AD$4,$M$4:$Q$4,0)))</f>
        <v/>
      </c>
      <c r="AE59" s="265">
        <f>IF(AE$7="Actual","",INDEX($M59:$Q59,,MATCH(AE$4,$M$4:$Q$4,0)))</f>
        <v/>
      </c>
      <c r="AF59" s="265">
        <f>IF(AF$7="Actual","",INDEX($M59:$Q59,,MATCH(AF$4,$M$4:$Q$4,0)))</f>
        <v/>
      </c>
      <c r="AG59" s="265">
        <f>IF(AG$7="Actual","",INDEX($M59:$Q59,,MATCH(AG$4,$M$4:$Q$4,0)))</f>
        <v/>
      </c>
      <c r="AH59" s="265">
        <f>IF(AH$7="Actual","",INDEX($M59:$Q59,,MATCH(AH$4,$M$4:$Q$4,0)))</f>
        <v/>
      </c>
      <c r="AI59" s="265">
        <f>IF(AI$7="Actual","",INDEX($M59:$Q59,,MATCH(AI$4,$M$4:$Q$4,0)))</f>
        <v/>
      </c>
      <c r="AJ59" s="265">
        <f>IF(AJ$7="Actual","",INDEX($M59:$Q59,,MATCH(AJ$4,$M$4:$Q$4,0)))</f>
        <v/>
      </c>
      <c r="AK59" s="265">
        <f>IF(AK$7="Actual","",INDEX($M59:$Q59,,MATCH(AK$4,$M$4:$Q$4,0)))</f>
        <v/>
      </c>
      <c r="AL59" s="265">
        <f>IF(AL$7="Actual","",INDEX($M59:$Q59,,MATCH(AL$4,$M$4:$Q$4,0)))</f>
        <v/>
      </c>
      <c r="AM59" s="265">
        <f>IF(AM$7="Actual","",INDEX($M59:$Q59,,MATCH(AM$4,$M$4:$Q$4,0)))</f>
        <v/>
      </c>
      <c r="AN59" s="265">
        <f>IF(AN$7="Actual","",INDEX($M59:$Q59,,MATCH(AN$4,$M$4:$Q$4,0)))</f>
        <v/>
      </c>
      <c r="AO59" s="265">
        <f>IF(AO$7="Actual","",INDEX($M59:$Q59,,MATCH(AO$4,$M$4:$Q$4,0)))</f>
        <v/>
      </c>
      <c r="AP59" s="265">
        <f>IF(AP$7="Actual","",INDEX($M59:$Q59,,MATCH(AP$4,$M$4:$Q$4,0)))</f>
        <v/>
      </c>
      <c r="AQ59" s="265">
        <f>IF(AQ$7="Actual","",INDEX($M59:$Q59,,MATCH(AQ$4,$M$4:$Q$4,0)))</f>
        <v/>
      </c>
      <c r="AR59" s="265">
        <f>IF(AR$7="Actual","",INDEX($M59:$Q59,,MATCH(AR$4,$M$4:$Q$4,0)))</f>
        <v/>
      </c>
      <c r="AS59" s="265">
        <f>IF(AS$7="Actual","",INDEX($M59:$Q59,,MATCH(AS$4,$M$4:$Q$4,0)))</f>
        <v/>
      </c>
      <c r="AT59" s="265">
        <f>IF(AT$7="Actual","",INDEX($M59:$Q59,,MATCH(AT$4,$M$4:$Q$4,0)))</f>
        <v/>
      </c>
      <c r="AU59" s="265">
        <f>IF(AU$7="Actual","",INDEX($M59:$Q59,,MATCH(AU$4,$M$4:$Q$4,0)))</f>
        <v/>
      </c>
      <c r="AV59" s="265">
        <f>IF(AV$7="Actual","",INDEX($M59:$Q59,,MATCH(AV$4,$M$4:$Q$4,0)))</f>
        <v/>
      </c>
      <c r="AW59" s="265">
        <f>IF(AW$7="Actual","",INDEX($M59:$Q59,,MATCH(AW$4,$M$4:$Q$4,0)))</f>
        <v/>
      </c>
      <c r="AX59" s="265">
        <f>IF(AX$7="Actual","",INDEX($M59:$Q59,,MATCH(AX$4,$M$4:$Q$4,0)))</f>
        <v/>
      </c>
      <c r="AY59" s="265">
        <f>IF(AY$7="Actual","",INDEX($M59:$Q59,,MATCH(AY$4,$M$4:$Q$4,0)))</f>
        <v/>
      </c>
      <c r="AZ59" s="265">
        <f>IF(AZ$7="Actual","",INDEX($M59:$Q59,,MATCH(AZ$4,$M$4:$Q$4,0)))</f>
        <v/>
      </c>
      <c r="BA59" s="265">
        <f>IF(BA$7="Actual","",INDEX($M59:$Q59,,MATCH(BA$4,$M$4:$Q$4,0)))</f>
        <v/>
      </c>
      <c r="BB59" s="265">
        <f>IF(BB$7="Actual","",INDEX($M59:$Q59,,MATCH(BB$4,$M$4:$Q$4,0)))</f>
        <v/>
      </c>
      <c r="BC59" s="265">
        <f>IF(BC$7="Actual","",INDEX($M59:$Q59,,MATCH(BC$4,$M$4:$Q$4,0)))</f>
        <v/>
      </c>
      <c r="BD59" s="265">
        <f>IF(BD$7="Actual","",INDEX($M59:$Q59,,MATCH(BD$4,$M$4:$Q$4,0)))</f>
        <v/>
      </c>
      <c r="BE59" s="265">
        <f>IF(BE$7="Actual","",INDEX($M59:$Q59,,MATCH(BE$4,$M$4:$Q$4,0)))</f>
        <v/>
      </c>
      <c r="BF59" s="265">
        <f>IF(BF$7="Actual","",INDEX($M59:$Q59,,MATCH(BF$4,$M$4:$Q$4,0)))</f>
        <v/>
      </c>
      <c r="BG59" s="265">
        <f>IF(BG$7="Actual","",INDEX($M59:$Q59,,MATCH(BG$4,$M$4:$Q$4,0)))</f>
        <v/>
      </c>
      <c r="BH59" s="265">
        <f>IF(BH$7="Actual","",INDEX($M59:$Q59,,MATCH(BH$4,$M$4:$Q$4,0)))</f>
        <v/>
      </c>
      <c r="BI59" s="265">
        <f>IF(BI$7="Actual","",INDEX($M59:$Q59,,MATCH(BI$4,$M$4:$Q$4,0)))</f>
        <v/>
      </c>
      <c r="BJ59" s="265">
        <f>IF(BJ$7="Actual","",INDEX($M59:$Q59,,MATCH(BJ$4,$M$4:$Q$4,0)))</f>
        <v/>
      </c>
      <c r="BK59" s="265">
        <f>IF(BK$7="Actual","",INDEX($M59:$Q59,,MATCH(BK$4,$M$4:$Q$4,0)))</f>
        <v/>
      </c>
      <c r="BL59" s="265">
        <f>IF(BL$7="Actual","",INDEX($M59:$Q59,,MATCH(BL$4,$M$4:$Q$4,0)))</f>
        <v/>
      </c>
      <c r="BM59" s="265">
        <f>IF(BM$7="Actual","",INDEX($M59:$Q59,,MATCH(BM$4,$M$4:$Q$4,0)))</f>
        <v/>
      </c>
      <c r="BN59" s="265">
        <f>IF(BN$7="Actual","",INDEX($M59:$Q59,,MATCH(BN$4,$M$4:$Q$4,0)))</f>
        <v/>
      </c>
      <c r="BO59" s="265">
        <f>IF(BO$7="Actual","",INDEX($M59:$Q59,,MATCH(BO$4,$M$4:$Q$4,0)))</f>
        <v/>
      </c>
      <c r="BP59" s="265">
        <f>IF(BP$7="Actual","",INDEX($M59:$Q59,,MATCH(BP$4,$M$4:$Q$4,0)))</f>
        <v/>
      </c>
      <c r="BQ59" s="265">
        <f>IF(BQ$7="Actual","",INDEX($M59:$Q59,,MATCH(BQ$4,$M$4:$Q$4,0)))</f>
        <v/>
      </c>
      <c r="BR59" s="265">
        <f>IF(BR$7="Actual","",INDEX($M59:$Q59,,MATCH(BR$4,$M$4:$Q$4,0)))</f>
        <v/>
      </c>
      <c r="BS59" s="265">
        <f>IF(BS$7="Actual","",INDEX($M59:$Q59,,MATCH(BS$4,$M$4:$Q$4,0)))</f>
        <v/>
      </c>
      <c r="BT59" s="265">
        <f>IF(BT$7="Actual","",INDEX($M59:$Q59,,MATCH(BT$4,$M$4:$Q$4,0)))</f>
        <v/>
      </c>
      <c r="BU59" s="265">
        <f>IF(BU$7="Actual","",INDEX($M59:$Q59,,MATCH(BU$4,$M$4:$Q$4,0)))</f>
        <v/>
      </c>
      <c r="BV59" s="265">
        <f>IF(BV$7="Actual","",INDEX($M59:$Q59,,MATCH(BV$4,$M$4:$Q$4,0)))</f>
        <v/>
      </c>
      <c r="BW59" s="265">
        <f>IF(BW$7="Actual","",INDEX($M59:$Q59,,MATCH(BW$4,$M$4:$Q$4,0)))</f>
        <v/>
      </c>
      <c r="BX59" s="265">
        <f>IF(BX$7="Actual","",INDEX($M59:$Q59,,MATCH(BX$4,$M$4:$Q$4,0)))</f>
        <v/>
      </c>
      <c r="BY59" s="265">
        <f>IF(BY$7="Actual","",INDEX($M59:$Q59,,MATCH(BY$4,$M$4:$Q$4,0)))</f>
        <v/>
      </c>
      <c r="BZ59" s="265">
        <f>IF(BZ$7="Actual","",INDEX($M59:$Q59,,MATCH(BZ$4,$M$4:$Q$4,0)))</f>
        <v/>
      </c>
      <c r="CA59" s="265">
        <f>IF(CA$7="Actual","",INDEX($M59:$Q59,,MATCH(CA$4,$M$4:$Q$4,0)))</f>
        <v/>
      </c>
    </row>
    <row r="60" ht="12" customHeight="1" s="227">
      <c r="A60" s="244" t="n"/>
      <c r="B60" s="244" t="n"/>
      <c r="C60" s="244" t="n"/>
      <c r="K60" s="6" t="n"/>
      <c r="T60" s="245" t="n"/>
      <c r="U60" s="245" t="n"/>
      <c r="V60" s="245" t="n"/>
      <c r="W60" s="245" t="n"/>
      <c r="X60" s="245" t="n"/>
      <c r="Y60" s="245" t="n"/>
      <c r="Z60" s="245" t="n"/>
      <c r="AA60" s="245" t="n"/>
      <c r="AB60" s="245" t="n"/>
      <c r="AC60" s="245" t="n"/>
      <c r="AD60" s="245" t="n"/>
      <c r="AE60" s="245" t="n"/>
      <c r="AF60" s="245" t="n"/>
      <c r="AG60" s="245" t="n"/>
      <c r="AH60" s="245" t="n"/>
      <c r="AI60" s="245" t="n"/>
      <c r="AJ60" s="245" t="n"/>
      <c r="AK60" s="245" t="n"/>
      <c r="AL60" s="245" t="n"/>
      <c r="AM60" s="245" t="n"/>
      <c r="AN60" s="245" t="n"/>
      <c r="AO60" s="245" t="n"/>
      <c r="AP60" s="245" t="n"/>
      <c r="AQ60" s="245" t="n"/>
      <c r="AR60" s="245" t="n"/>
      <c r="AS60" s="245" t="n"/>
      <c r="AT60" s="245" t="n"/>
      <c r="AU60" s="245" t="n"/>
      <c r="AV60" s="245" t="n"/>
      <c r="AW60" s="245" t="n"/>
      <c r="AX60" s="245" t="n"/>
      <c r="AY60" s="245" t="n"/>
      <c r="AZ60" s="245" t="n"/>
      <c r="BA60" s="245" t="n"/>
      <c r="BB60" s="245" t="n"/>
      <c r="BC60" s="245" t="n"/>
      <c r="BD60" s="245" t="n"/>
      <c r="BE60" s="245" t="n"/>
      <c r="BF60" s="245" t="n"/>
      <c r="BG60" s="245" t="n"/>
      <c r="BH60" s="245" t="n"/>
      <c r="BI60" s="245" t="n"/>
      <c r="BJ60" s="245" t="n"/>
      <c r="BK60" s="245" t="n"/>
      <c r="BL60" s="245" t="n"/>
      <c r="BM60" s="245" t="n"/>
      <c r="BN60" s="245" t="n"/>
      <c r="BO60" s="245" t="n"/>
      <c r="BP60" s="245" t="n"/>
      <c r="BQ60" s="245" t="n"/>
      <c r="BR60" s="245" t="n"/>
      <c r="BS60" s="245" t="n"/>
      <c r="BT60" s="245" t="n"/>
      <c r="BU60" s="245" t="n"/>
      <c r="BV60" s="245" t="n"/>
      <c r="BW60" s="245" t="n"/>
      <c r="BX60" s="245" t="n"/>
      <c r="BY60" s="245" t="n"/>
      <c r="BZ60" s="245" t="n"/>
      <c r="CA60" s="245" t="n"/>
    </row>
    <row r="61" ht="12" customHeight="1" s="227">
      <c r="A61" s="244" t="n"/>
      <c r="B61" s="244" t="n"/>
      <c r="C61" s="244" t="n"/>
      <c r="H61" s="0">
        <f>H44</f>
        <v/>
      </c>
      <c r="I61" s="27">
        <f>i_Setup!$M$16</f>
        <v/>
      </c>
      <c r="K61" s="259">
        <f>i_Setup!P32</f>
        <v/>
      </c>
      <c r="M61" s="245">
        <f>SUMIF($T$4:$CA$4,M$4,$T61:$CA61)</f>
        <v/>
      </c>
      <c r="N61" s="245">
        <f>SUMIF($T$4:$CA$4,N$4,$T61:$CA61)</f>
        <v/>
      </c>
      <c r="O61" s="245">
        <f>SUMIF($T$4:$CA$4,O$4,$T61:$CA61)</f>
        <v/>
      </c>
      <c r="P61" s="245">
        <f>SUMIF($T$4:$CA$4,P$4,$T61:$CA61)</f>
        <v/>
      </c>
      <c r="Q61" s="245">
        <f>SUMIF($T$4:$CA$4,Q$4,$T61:$CA61)</f>
        <v/>
      </c>
      <c r="T61" s="245">
        <f>IF(T$7="Actual","",IF($K61="Yes",T44*(1+T$59),T44))</f>
        <v/>
      </c>
      <c r="U61" s="245">
        <f>IF(U$7="Actual","",IF($K61="Yes",U44*(1+U$59),U44))</f>
        <v/>
      </c>
      <c r="V61" s="245">
        <f>IF(V$7="Actual","",IF($K61="Yes",V44*(1+V$59),V44))</f>
        <v/>
      </c>
      <c r="W61" s="245">
        <f>IF(W$7="Actual","",IF($K61="Yes",W44*(1+W$59),W44))</f>
        <v/>
      </c>
      <c r="X61" s="245">
        <f>IF(X$7="Actual","",IF($K61="Yes",X44*(1+X$59),X44))</f>
        <v/>
      </c>
      <c r="Y61" s="245">
        <f>IF(Y$7="Actual","",IF($K61="Yes",Y44*(1+Y$59),Y44))</f>
        <v/>
      </c>
      <c r="Z61" s="245">
        <f>IF(Z$7="Actual","",IF($K61="Yes",Z44*(1+Z$59),Z44))</f>
        <v/>
      </c>
      <c r="AA61" s="245">
        <f>IF(AA$7="Actual","",IF($K61="Yes",AA44*(1+AA$59),AA44))</f>
        <v/>
      </c>
      <c r="AB61" s="245">
        <f>IF(AB$7="Actual","",IF($K61="Yes",AB44*(1+AB$59),AB44))</f>
        <v/>
      </c>
      <c r="AC61" s="245">
        <f>IF(AC$7="Actual","",IF($K61="Yes",AC44*(1+AC$59),AC44))</f>
        <v/>
      </c>
      <c r="AD61" s="245">
        <f>IF(AD$7="Actual","",IF($K61="Yes",AD44*(1+AD$59),AD44))</f>
        <v/>
      </c>
      <c r="AE61" s="245">
        <f>IF(AE$7="Actual","",IF($K61="Yes",AE44*(1+AE$59),AE44))</f>
        <v/>
      </c>
      <c r="AF61" s="245">
        <f>IF(AF$7="Actual","",IF($K61="Yes",AF44*(1+AF$59),AF44))</f>
        <v/>
      </c>
      <c r="AG61" s="245">
        <f>IF(AG$7="Actual","",IF($K61="Yes",AG44*(1+AG$59),AG44))</f>
        <v/>
      </c>
      <c r="AH61" s="245">
        <f>IF(AH$7="Actual","",IF($K61="Yes",AH44*(1+AH$59),AH44))</f>
        <v/>
      </c>
      <c r="AI61" s="245">
        <f>IF(AI$7="Actual","",IF($K61="Yes",AI44*(1+AI$59),AI44))</f>
        <v/>
      </c>
      <c r="AJ61" s="245">
        <f>IF(AJ$7="Actual","",IF($K61="Yes",AJ44*(1+AJ$59),AJ44))</f>
        <v/>
      </c>
      <c r="AK61" s="245">
        <f>IF(AK$7="Actual","",IF($K61="Yes",AK44*(1+AK$59),AK44))</f>
        <v/>
      </c>
      <c r="AL61" s="245">
        <f>IF(AL$7="Actual","",IF($K61="Yes",AL44*(1+AL$59),AL44))</f>
        <v/>
      </c>
      <c r="AM61" s="245">
        <f>IF(AM$7="Actual","",IF($K61="Yes",AM44*(1+AM$59),AM44))</f>
        <v/>
      </c>
      <c r="AN61" s="245">
        <f>IF(AN$7="Actual","",IF($K61="Yes",AN44*(1+AN$59),AN44))</f>
        <v/>
      </c>
      <c r="AO61" s="245">
        <f>IF(AO$7="Actual","",IF($K61="Yes",AO44*(1+AO$59),AO44))</f>
        <v/>
      </c>
      <c r="AP61" s="245">
        <f>IF(AP$7="Actual","",IF($K61="Yes",AP44*(1+AP$59),AP44))</f>
        <v/>
      </c>
      <c r="AQ61" s="245">
        <f>IF(AQ$7="Actual","",IF($K61="Yes",AQ44*(1+AQ$59),AQ44))</f>
        <v/>
      </c>
      <c r="AR61" s="245">
        <f>IF(AR$7="Actual","",IF($K61="Yes",AR44*(1+AR$59),AR44))</f>
        <v/>
      </c>
      <c r="AS61" s="245">
        <f>IF(AS$7="Actual","",IF($K61="Yes",AS44*(1+AS$59),AS44))</f>
        <v/>
      </c>
      <c r="AT61" s="245">
        <f>IF(AT$7="Actual","",IF($K61="Yes",AT44*(1+AT$59),AT44))</f>
        <v/>
      </c>
      <c r="AU61" s="245">
        <f>IF(AU$7="Actual","",IF($K61="Yes",AU44*(1+AU$59),AU44))</f>
        <v/>
      </c>
      <c r="AV61" s="245">
        <f>IF(AV$7="Actual","",IF($K61="Yes",AV44*(1+AV$59),AV44))</f>
        <v/>
      </c>
      <c r="AW61" s="245">
        <f>IF(AW$7="Actual","",IF($K61="Yes",AW44*(1+AW$59),AW44))</f>
        <v/>
      </c>
      <c r="AX61" s="245">
        <f>IF(AX$7="Actual","",IF($K61="Yes",AX44*(1+AX$59),AX44))</f>
        <v/>
      </c>
      <c r="AY61" s="245">
        <f>IF(AY$7="Actual","",IF($K61="Yes",AY44*(1+AY$59),AY44))</f>
        <v/>
      </c>
      <c r="AZ61" s="245">
        <f>IF(AZ$7="Actual","",IF($K61="Yes",AZ44*(1+AZ$59),AZ44))</f>
        <v/>
      </c>
      <c r="BA61" s="245">
        <f>IF(BA$7="Actual","",IF($K61="Yes",BA44*(1+BA$59),BA44))</f>
        <v/>
      </c>
      <c r="BB61" s="245">
        <f>IF(BB$7="Actual","",IF($K61="Yes",BB44*(1+BB$59),BB44))</f>
        <v/>
      </c>
      <c r="BC61" s="245">
        <f>IF(BC$7="Actual","",IF($K61="Yes",BC44*(1+BC$59),BC44))</f>
        <v/>
      </c>
      <c r="BD61" s="245">
        <f>IF(BD$7="Actual","",IF($K61="Yes",BD44*(1+BD$59),BD44))</f>
        <v/>
      </c>
      <c r="BE61" s="245">
        <f>IF(BE$7="Actual","",IF($K61="Yes",BE44*(1+BE$59),BE44))</f>
        <v/>
      </c>
      <c r="BF61" s="245">
        <f>IF(BF$7="Actual","",IF($K61="Yes",BF44*(1+BF$59),BF44))</f>
        <v/>
      </c>
      <c r="BG61" s="245">
        <f>IF(BG$7="Actual","",IF($K61="Yes",BG44*(1+BG$59),BG44))</f>
        <v/>
      </c>
      <c r="BH61" s="245">
        <f>IF(BH$7="Actual","",IF($K61="Yes",BH44*(1+BH$59),BH44))</f>
        <v/>
      </c>
      <c r="BI61" s="245">
        <f>IF(BI$7="Actual","",IF($K61="Yes",BI44*(1+BI$59),BI44))</f>
        <v/>
      </c>
      <c r="BJ61" s="245">
        <f>IF(BJ$7="Actual","",IF($K61="Yes",BJ44*(1+BJ$59),BJ44))</f>
        <v/>
      </c>
      <c r="BK61" s="245">
        <f>IF(BK$7="Actual","",IF($K61="Yes",BK44*(1+BK$59),BK44))</f>
        <v/>
      </c>
      <c r="BL61" s="245">
        <f>IF(BL$7="Actual","",IF($K61="Yes",BL44*(1+BL$59),BL44))</f>
        <v/>
      </c>
      <c r="BM61" s="245">
        <f>IF(BM$7="Actual","",IF($K61="Yes",BM44*(1+BM$59),BM44))</f>
        <v/>
      </c>
      <c r="BN61" s="245">
        <f>IF(BN$7="Actual","",IF($K61="Yes",BN44*(1+BN$59),BN44))</f>
        <v/>
      </c>
      <c r="BO61" s="245">
        <f>IF(BO$7="Actual","",IF($K61="Yes",BO44*(1+BO$59),BO44))</f>
        <v/>
      </c>
      <c r="BP61" s="245">
        <f>IF(BP$7="Actual","",IF($K61="Yes",BP44*(1+BP$59),BP44))</f>
        <v/>
      </c>
      <c r="BQ61" s="245">
        <f>IF(BQ$7="Actual","",IF($K61="Yes",BQ44*(1+BQ$59),BQ44))</f>
        <v/>
      </c>
      <c r="BR61" s="245">
        <f>IF(BR$7="Actual","",IF($K61="Yes",BR44*(1+BR$59),BR44))</f>
        <v/>
      </c>
      <c r="BS61" s="245">
        <f>IF(BS$7="Actual","",IF($K61="Yes",BS44*(1+BS$59),BS44))</f>
        <v/>
      </c>
      <c r="BT61" s="245">
        <f>IF(BT$7="Actual","",IF($K61="Yes",BT44*(1+BT$59),BT44))</f>
        <v/>
      </c>
      <c r="BU61" s="245">
        <f>IF(BU$7="Actual","",IF($K61="Yes",BU44*(1+BU$59),BU44))</f>
        <v/>
      </c>
      <c r="BV61" s="245">
        <f>IF(BV$7="Actual","",IF($K61="Yes",BV44*(1+BV$59),BV44))</f>
        <v/>
      </c>
      <c r="BW61" s="245">
        <f>IF(BW$7="Actual","",IF($K61="Yes",BW44*(1+BW$59),BW44))</f>
        <v/>
      </c>
      <c r="BX61" s="245">
        <f>IF(BX$7="Actual","",IF($K61="Yes",BX44*(1+BX$59),BX44))</f>
        <v/>
      </c>
      <c r="BY61" s="245">
        <f>IF(BY$7="Actual","",IF($K61="Yes",BY44*(1+BY$59),BY44))</f>
        <v/>
      </c>
      <c r="BZ61" s="245">
        <f>IF(BZ$7="Actual","",IF($K61="Yes",BZ44*(1+BZ$59),BZ44))</f>
        <v/>
      </c>
      <c r="CA61" s="245">
        <f>IF(CA$7="Actual","",IF($K61="Yes",CA44*(1+CA$59),CA44))</f>
        <v/>
      </c>
    </row>
    <row r="62" ht="12" customHeight="1" s="227">
      <c r="A62" s="244" t="n"/>
      <c r="B62" s="244" t="n"/>
      <c r="C62" s="244" t="n"/>
      <c r="H62" s="0">
        <f>H45</f>
        <v/>
      </c>
      <c r="I62" s="27">
        <f>i_Setup!$M$16</f>
        <v/>
      </c>
      <c r="K62" s="259">
        <f>i_Setup!P33</f>
        <v/>
      </c>
      <c r="M62" s="245">
        <f>SUMIF($T$4:$CA$4,M$4,$T62:$CA62)</f>
        <v/>
      </c>
      <c r="N62" s="245">
        <f>SUMIF($T$4:$CA$4,N$4,$T62:$CA62)</f>
        <v/>
      </c>
      <c r="O62" s="245">
        <f>SUMIF($T$4:$CA$4,O$4,$T62:$CA62)</f>
        <v/>
      </c>
      <c r="P62" s="245">
        <f>SUMIF($T$4:$CA$4,P$4,$T62:$CA62)</f>
        <v/>
      </c>
      <c r="Q62" s="245">
        <f>SUMIF($T$4:$CA$4,Q$4,$T62:$CA62)</f>
        <v/>
      </c>
      <c r="T62" s="245">
        <f>IF(T$7="Actual","",IF($K62="Yes",T45*(1+T$59),T45))</f>
        <v/>
      </c>
      <c r="U62" s="245">
        <f>IF(U$7="Actual","",IF($K62="Yes",U45*(1+U$59),U45))</f>
        <v/>
      </c>
      <c r="V62" s="245">
        <f>IF(V$7="Actual","",IF($K62="Yes",V45*(1+V$59),V45))</f>
        <v/>
      </c>
      <c r="W62" s="245">
        <f>IF(W$7="Actual","",IF($K62="Yes",W45*(1+W$59),W45))</f>
        <v/>
      </c>
      <c r="X62" s="245">
        <f>IF(X$7="Actual","",IF($K62="Yes",X45*(1+X$59),X45))</f>
        <v/>
      </c>
      <c r="Y62" s="245">
        <f>IF(Y$7="Actual","",IF($K62="Yes",Y45*(1+Y$59),Y45))</f>
        <v/>
      </c>
      <c r="Z62" s="245">
        <f>IF(Z$7="Actual","",IF($K62="Yes",Z45*(1+Z$59),Z45))</f>
        <v/>
      </c>
      <c r="AA62" s="245">
        <f>IF(AA$7="Actual","",IF($K62="Yes",AA45*(1+AA$59),AA45))</f>
        <v/>
      </c>
      <c r="AB62" s="245">
        <f>IF(AB$7="Actual","",IF($K62="Yes",AB45*(1+AB$59),AB45))</f>
        <v/>
      </c>
      <c r="AC62" s="245">
        <f>IF(AC$7="Actual","",IF($K62="Yes",AC45*(1+AC$59),AC45))</f>
        <v/>
      </c>
      <c r="AD62" s="245">
        <f>IF(AD$7="Actual","",IF($K62="Yes",AD45*(1+AD$59),AD45))</f>
        <v/>
      </c>
      <c r="AE62" s="245">
        <f>IF(AE$7="Actual","",IF($K62="Yes",AE45*(1+AE$59),AE45))</f>
        <v/>
      </c>
      <c r="AF62" s="245">
        <f>IF(AF$7="Actual","",IF($K62="Yes",AF45*(1+AF$59),AF45))</f>
        <v/>
      </c>
      <c r="AG62" s="245">
        <f>IF(AG$7="Actual","",IF($K62="Yes",AG45*(1+AG$59),AG45))</f>
        <v/>
      </c>
      <c r="AH62" s="245">
        <f>IF(AH$7="Actual","",IF($K62="Yes",AH45*(1+AH$59),AH45))</f>
        <v/>
      </c>
      <c r="AI62" s="245">
        <f>IF(AI$7="Actual","",IF($K62="Yes",AI45*(1+AI$59),AI45))</f>
        <v/>
      </c>
      <c r="AJ62" s="245">
        <f>IF(AJ$7="Actual","",IF($K62="Yes",AJ45*(1+AJ$59),AJ45))</f>
        <v/>
      </c>
      <c r="AK62" s="245">
        <f>IF(AK$7="Actual","",IF($K62="Yes",AK45*(1+AK$59),AK45))</f>
        <v/>
      </c>
      <c r="AL62" s="245">
        <f>IF(AL$7="Actual","",IF($K62="Yes",AL45*(1+AL$59),AL45))</f>
        <v/>
      </c>
      <c r="AM62" s="245">
        <f>IF(AM$7="Actual","",IF($K62="Yes",AM45*(1+AM$59),AM45))</f>
        <v/>
      </c>
      <c r="AN62" s="245">
        <f>IF(AN$7="Actual","",IF($K62="Yes",AN45*(1+AN$59),AN45))</f>
        <v/>
      </c>
      <c r="AO62" s="245">
        <f>IF(AO$7="Actual","",IF($K62="Yes",AO45*(1+AO$59),AO45))</f>
        <v/>
      </c>
      <c r="AP62" s="245">
        <f>IF(AP$7="Actual","",IF($K62="Yes",AP45*(1+AP$59),AP45))</f>
        <v/>
      </c>
      <c r="AQ62" s="245">
        <f>IF(AQ$7="Actual","",IF($K62="Yes",AQ45*(1+AQ$59),AQ45))</f>
        <v/>
      </c>
      <c r="AR62" s="245">
        <f>IF(AR$7="Actual","",IF($K62="Yes",AR45*(1+AR$59),AR45))</f>
        <v/>
      </c>
      <c r="AS62" s="245">
        <f>IF(AS$7="Actual","",IF($K62="Yes",AS45*(1+AS$59),AS45))</f>
        <v/>
      </c>
      <c r="AT62" s="245">
        <f>IF(AT$7="Actual","",IF($K62="Yes",AT45*(1+AT$59),AT45))</f>
        <v/>
      </c>
      <c r="AU62" s="245">
        <f>IF(AU$7="Actual","",IF($K62="Yes",AU45*(1+AU$59),AU45))</f>
        <v/>
      </c>
      <c r="AV62" s="245">
        <f>IF(AV$7="Actual","",IF($K62="Yes",AV45*(1+AV$59),AV45))</f>
        <v/>
      </c>
      <c r="AW62" s="245">
        <f>IF(AW$7="Actual","",IF($K62="Yes",AW45*(1+AW$59),AW45))</f>
        <v/>
      </c>
      <c r="AX62" s="245">
        <f>IF(AX$7="Actual","",IF($K62="Yes",AX45*(1+AX$59),AX45))</f>
        <v/>
      </c>
      <c r="AY62" s="245">
        <f>IF(AY$7="Actual","",IF($K62="Yes",AY45*(1+AY$59),AY45))</f>
        <v/>
      </c>
      <c r="AZ62" s="245">
        <f>IF(AZ$7="Actual","",IF($K62="Yes",AZ45*(1+AZ$59),AZ45))</f>
        <v/>
      </c>
      <c r="BA62" s="245">
        <f>IF(BA$7="Actual","",IF($K62="Yes",BA45*(1+BA$59),BA45))</f>
        <v/>
      </c>
      <c r="BB62" s="245">
        <f>IF(BB$7="Actual","",IF($K62="Yes",BB45*(1+BB$59),BB45))</f>
        <v/>
      </c>
      <c r="BC62" s="245">
        <f>IF(BC$7="Actual","",IF($K62="Yes",BC45*(1+BC$59),BC45))</f>
        <v/>
      </c>
      <c r="BD62" s="245">
        <f>IF(BD$7="Actual","",IF($K62="Yes",BD45*(1+BD$59),BD45))</f>
        <v/>
      </c>
      <c r="BE62" s="245">
        <f>IF(BE$7="Actual","",IF($K62="Yes",BE45*(1+BE$59),BE45))</f>
        <v/>
      </c>
      <c r="BF62" s="245">
        <f>IF(BF$7="Actual","",IF($K62="Yes",BF45*(1+BF$59),BF45))</f>
        <v/>
      </c>
      <c r="BG62" s="245">
        <f>IF(BG$7="Actual","",IF($K62="Yes",BG45*(1+BG$59),BG45))</f>
        <v/>
      </c>
      <c r="BH62" s="245">
        <f>IF(BH$7="Actual","",IF($K62="Yes",BH45*(1+BH$59),BH45))</f>
        <v/>
      </c>
      <c r="BI62" s="245">
        <f>IF(BI$7="Actual","",IF($K62="Yes",BI45*(1+BI$59),BI45))</f>
        <v/>
      </c>
      <c r="BJ62" s="245">
        <f>IF(BJ$7="Actual","",IF($K62="Yes",BJ45*(1+BJ$59),BJ45))</f>
        <v/>
      </c>
      <c r="BK62" s="245">
        <f>IF(BK$7="Actual","",IF($K62="Yes",BK45*(1+BK$59),BK45))</f>
        <v/>
      </c>
      <c r="BL62" s="245">
        <f>IF(BL$7="Actual","",IF($K62="Yes",BL45*(1+BL$59),BL45))</f>
        <v/>
      </c>
      <c r="BM62" s="245">
        <f>IF(BM$7="Actual","",IF($K62="Yes",BM45*(1+BM$59),BM45))</f>
        <v/>
      </c>
      <c r="BN62" s="245">
        <f>IF(BN$7="Actual","",IF($K62="Yes",BN45*(1+BN$59),BN45))</f>
        <v/>
      </c>
      <c r="BO62" s="245">
        <f>IF(BO$7="Actual","",IF($K62="Yes",BO45*(1+BO$59),BO45))</f>
        <v/>
      </c>
      <c r="BP62" s="245">
        <f>IF(BP$7="Actual","",IF($K62="Yes",BP45*(1+BP$59),BP45))</f>
        <v/>
      </c>
      <c r="BQ62" s="245">
        <f>IF(BQ$7="Actual","",IF($K62="Yes",BQ45*(1+BQ$59),BQ45))</f>
        <v/>
      </c>
      <c r="BR62" s="245">
        <f>IF(BR$7="Actual","",IF($K62="Yes",BR45*(1+BR$59),BR45))</f>
        <v/>
      </c>
      <c r="BS62" s="245">
        <f>IF(BS$7="Actual","",IF($K62="Yes",BS45*(1+BS$59),BS45))</f>
        <v/>
      </c>
      <c r="BT62" s="245">
        <f>IF(BT$7="Actual","",IF($K62="Yes",BT45*(1+BT$59),BT45))</f>
        <v/>
      </c>
      <c r="BU62" s="245">
        <f>IF(BU$7="Actual","",IF($K62="Yes",BU45*(1+BU$59),BU45))</f>
        <v/>
      </c>
      <c r="BV62" s="245">
        <f>IF(BV$7="Actual","",IF($K62="Yes",BV45*(1+BV$59),BV45))</f>
        <v/>
      </c>
      <c r="BW62" s="245">
        <f>IF(BW$7="Actual","",IF($K62="Yes",BW45*(1+BW$59),BW45))</f>
        <v/>
      </c>
      <c r="BX62" s="245">
        <f>IF(BX$7="Actual","",IF($K62="Yes",BX45*(1+BX$59),BX45))</f>
        <v/>
      </c>
      <c r="BY62" s="245">
        <f>IF(BY$7="Actual","",IF($K62="Yes",BY45*(1+BY$59),BY45))</f>
        <v/>
      </c>
      <c r="BZ62" s="245">
        <f>IF(BZ$7="Actual","",IF($K62="Yes",BZ45*(1+BZ$59),BZ45))</f>
        <v/>
      </c>
      <c r="CA62" s="245">
        <f>IF(CA$7="Actual","",IF($K62="Yes",CA45*(1+CA$59),CA45))</f>
        <v/>
      </c>
    </row>
    <row r="63" ht="12" customHeight="1" s="227">
      <c r="A63" s="244" t="n"/>
      <c r="B63" s="244" t="n"/>
      <c r="C63" s="244" t="n"/>
      <c r="H63" s="0">
        <f>H46</f>
        <v/>
      </c>
      <c r="I63" s="27">
        <f>i_Setup!$M$16</f>
        <v/>
      </c>
      <c r="K63" s="259">
        <f>i_Setup!P34</f>
        <v/>
      </c>
      <c r="M63" s="245">
        <f>SUMIF($T$4:$CA$4,M$4,$T63:$CA63)</f>
        <v/>
      </c>
      <c r="N63" s="245">
        <f>SUMIF($T$4:$CA$4,N$4,$T63:$CA63)</f>
        <v/>
      </c>
      <c r="O63" s="245">
        <f>SUMIF($T$4:$CA$4,O$4,$T63:$CA63)</f>
        <v/>
      </c>
      <c r="P63" s="245">
        <f>SUMIF($T$4:$CA$4,P$4,$T63:$CA63)</f>
        <v/>
      </c>
      <c r="Q63" s="245">
        <f>SUMIF($T$4:$CA$4,Q$4,$T63:$CA63)</f>
        <v/>
      </c>
      <c r="T63" s="245">
        <f>IF(T$7="Actual","",IF($K63="Yes",T46*(1+T$59),T46))</f>
        <v/>
      </c>
      <c r="U63" s="245">
        <f>IF(U$7="Actual","",IF($K63="Yes",U46*(1+U$59),U46))</f>
        <v/>
      </c>
      <c r="V63" s="245">
        <f>IF(V$7="Actual","",IF($K63="Yes",V46*(1+V$59),V46))</f>
        <v/>
      </c>
      <c r="W63" s="245">
        <f>IF(W$7="Actual","",IF($K63="Yes",W46*(1+W$59),W46))</f>
        <v/>
      </c>
      <c r="X63" s="245">
        <f>IF(X$7="Actual","",IF($K63="Yes",X46*(1+X$59),X46))</f>
        <v/>
      </c>
      <c r="Y63" s="245">
        <f>IF(Y$7="Actual","",IF($K63="Yes",Y46*(1+Y$59),Y46))</f>
        <v/>
      </c>
      <c r="Z63" s="245">
        <f>IF(Z$7="Actual","",IF($K63="Yes",Z46*(1+Z$59),Z46))</f>
        <v/>
      </c>
      <c r="AA63" s="245">
        <f>IF(AA$7="Actual","",IF($K63="Yes",AA46*(1+AA$59),AA46))</f>
        <v/>
      </c>
      <c r="AB63" s="245">
        <f>IF(AB$7="Actual","",IF($K63="Yes",AB46*(1+AB$59),AB46))</f>
        <v/>
      </c>
      <c r="AC63" s="245">
        <f>IF(AC$7="Actual","",IF($K63="Yes",AC46*(1+AC$59),AC46))</f>
        <v/>
      </c>
      <c r="AD63" s="245">
        <f>IF(AD$7="Actual","",IF($K63="Yes",AD46*(1+AD$59),AD46))</f>
        <v/>
      </c>
      <c r="AE63" s="245">
        <f>IF(AE$7="Actual","",IF($K63="Yes",AE46*(1+AE$59),AE46))</f>
        <v/>
      </c>
      <c r="AF63" s="245">
        <f>IF(AF$7="Actual","",IF($K63="Yes",AF46*(1+AF$59),AF46))</f>
        <v/>
      </c>
      <c r="AG63" s="245">
        <f>IF(AG$7="Actual","",IF($K63="Yes",AG46*(1+AG$59),AG46))</f>
        <v/>
      </c>
      <c r="AH63" s="245">
        <f>IF(AH$7="Actual","",IF($K63="Yes",AH46*(1+AH$59),AH46))</f>
        <v/>
      </c>
      <c r="AI63" s="245">
        <f>IF(AI$7="Actual","",IF($K63="Yes",AI46*(1+AI$59),AI46))</f>
        <v/>
      </c>
      <c r="AJ63" s="245">
        <f>IF(AJ$7="Actual","",IF($K63="Yes",AJ46*(1+AJ$59),AJ46))</f>
        <v/>
      </c>
      <c r="AK63" s="245">
        <f>IF(AK$7="Actual","",IF($K63="Yes",AK46*(1+AK$59),AK46))</f>
        <v/>
      </c>
      <c r="AL63" s="245">
        <f>IF(AL$7="Actual","",IF($K63="Yes",AL46*(1+AL$59),AL46))</f>
        <v/>
      </c>
      <c r="AM63" s="245">
        <f>IF(AM$7="Actual","",IF($K63="Yes",AM46*(1+AM$59),AM46))</f>
        <v/>
      </c>
      <c r="AN63" s="245">
        <f>IF(AN$7="Actual","",IF($K63="Yes",AN46*(1+AN$59),AN46))</f>
        <v/>
      </c>
      <c r="AO63" s="245">
        <f>IF(AO$7="Actual","",IF($K63="Yes",AO46*(1+AO$59),AO46))</f>
        <v/>
      </c>
      <c r="AP63" s="245">
        <f>IF(AP$7="Actual","",IF($K63="Yes",AP46*(1+AP$59),AP46))</f>
        <v/>
      </c>
      <c r="AQ63" s="245">
        <f>IF(AQ$7="Actual","",IF($K63="Yes",AQ46*(1+AQ$59),AQ46))</f>
        <v/>
      </c>
      <c r="AR63" s="245">
        <f>IF(AR$7="Actual","",IF($K63="Yes",AR46*(1+AR$59),AR46))</f>
        <v/>
      </c>
      <c r="AS63" s="245">
        <f>IF(AS$7="Actual","",IF($K63="Yes",AS46*(1+AS$59),AS46))</f>
        <v/>
      </c>
      <c r="AT63" s="245">
        <f>IF(AT$7="Actual","",IF($K63="Yes",AT46*(1+AT$59),AT46))</f>
        <v/>
      </c>
      <c r="AU63" s="245">
        <f>IF(AU$7="Actual","",IF($K63="Yes",AU46*(1+AU$59),AU46))</f>
        <v/>
      </c>
      <c r="AV63" s="245">
        <f>IF(AV$7="Actual","",IF($K63="Yes",AV46*(1+AV$59),AV46))</f>
        <v/>
      </c>
      <c r="AW63" s="245">
        <f>IF(AW$7="Actual","",IF($K63="Yes",AW46*(1+AW$59),AW46))</f>
        <v/>
      </c>
      <c r="AX63" s="245">
        <f>IF(AX$7="Actual","",IF($K63="Yes",AX46*(1+AX$59),AX46))</f>
        <v/>
      </c>
      <c r="AY63" s="245">
        <f>IF(AY$7="Actual","",IF($K63="Yes",AY46*(1+AY$59),AY46))</f>
        <v/>
      </c>
      <c r="AZ63" s="245">
        <f>IF(AZ$7="Actual","",IF($K63="Yes",AZ46*(1+AZ$59),AZ46))</f>
        <v/>
      </c>
      <c r="BA63" s="245">
        <f>IF(BA$7="Actual","",IF($K63="Yes",BA46*(1+BA$59),BA46))</f>
        <v/>
      </c>
      <c r="BB63" s="245">
        <f>IF(BB$7="Actual","",IF($K63="Yes",BB46*(1+BB$59),BB46))</f>
        <v/>
      </c>
      <c r="BC63" s="245">
        <f>IF(BC$7="Actual","",IF($K63="Yes",BC46*(1+BC$59),BC46))</f>
        <v/>
      </c>
      <c r="BD63" s="245">
        <f>IF(BD$7="Actual","",IF($K63="Yes",BD46*(1+BD$59),BD46))</f>
        <v/>
      </c>
      <c r="BE63" s="245">
        <f>IF(BE$7="Actual","",IF($K63="Yes",BE46*(1+BE$59),BE46))</f>
        <v/>
      </c>
      <c r="BF63" s="245">
        <f>IF(BF$7="Actual","",IF($K63="Yes",BF46*(1+BF$59),BF46))</f>
        <v/>
      </c>
      <c r="BG63" s="245">
        <f>IF(BG$7="Actual","",IF($K63="Yes",BG46*(1+BG$59),BG46))</f>
        <v/>
      </c>
      <c r="BH63" s="245">
        <f>IF(BH$7="Actual","",IF($K63="Yes",BH46*(1+BH$59),BH46))</f>
        <v/>
      </c>
      <c r="BI63" s="245">
        <f>IF(BI$7="Actual","",IF($K63="Yes",BI46*(1+BI$59),BI46))</f>
        <v/>
      </c>
      <c r="BJ63" s="245">
        <f>IF(BJ$7="Actual","",IF($K63="Yes",BJ46*(1+BJ$59),BJ46))</f>
        <v/>
      </c>
      <c r="BK63" s="245">
        <f>IF(BK$7="Actual","",IF($K63="Yes",BK46*(1+BK$59),BK46))</f>
        <v/>
      </c>
      <c r="BL63" s="245">
        <f>IF(BL$7="Actual","",IF($K63="Yes",BL46*(1+BL$59),BL46))</f>
        <v/>
      </c>
      <c r="BM63" s="245">
        <f>IF(BM$7="Actual","",IF($K63="Yes",BM46*(1+BM$59),BM46))</f>
        <v/>
      </c>
      <c r="BN63" s="245">
        <f>IF(BN$7="Actual","",IF($K63="Yes",BN46*(1+BN$59),BN46))</f>
        <v/>
      </c>
      <c r="BO63" s="245">
        <f>IF(BO$7="Actual","",IF($K63="Yes",BO46*(1+BO$59),BO46))</f>
        <v/>
      </c>
      <c r="BP63" s="245">
        <f>IF(BP$7="Actual","",IF($K63="Yes",BP46*(1+BP$59),BP46))</f>
        <v/>
      </c>
      <c r="BQ63" s="245">
        <f>IF(BQ$7="Actual","",IF($K63="Yes",BQ46*(1+BQ$59),BQ46))</f>
        <v/>
      </c>
      <c r="BR63" s="245">
        <f>IF(BR$7="Actual","",IF($K63="Yes",BR46*(1+BR$59),BR46))</f>
        <v/>
      </c>
      <c r="BS63" s="245">
        <f>IF(BS$7="Actual","",IF($K63="Yes",BS46*(1+BS$59),BS46))</f>
        <v/>
      </c>
      <c r="BT63" s="245">
        <f>IF(BT$7="Actual","",IF($K63="Yes",BT46*(1+BT$59),BT46))</f>
        <v/>
      </c>
      <c r="BU63" s="245">
        <f>IF(BU$7="Actual","",IF($K63="Yes",BU46*(1+BU$59),BU46))</f>
        <v/>
      </c>
      <c r="BV63" s="245">
        <f>IF(BV$7="Actual","",IF($K63="Yes",BV46*(1+BV$59),BV46))</f>
        <v/>
      </c>
      <c r="BW63" s="245">
        <f>IF(BW$7="Actual","",IF($K63="Yes",BW46*(1+BW$59),BW46))</f>
        <v/>
      </c>
      <c r="BX63" s="245">
        <f>IF(BX$7="Actual","",IF($K63="Yes",BX46*(1+BX$59),BX46))</f>
        <v/>
      </c>
      <c r="BY63" s="245">
        <f>IF(BY$7="Actual","",IF($K63="Yes",BY46*(1+BY$59),BY46))</f>
        <v/>
      </c>
      <c r="BZ63" s="245">
        <f>IF(BZ$7="Actual","",IF($K63="Yes",BZ46*(1+BZ$59),BZ46))</f>
        <v/>
      </c>
      <c r="CA63" s="245">
        <f>IF(CA$7="Actual","",IF($K63="Yes",CA46*(1+CA$59),CA46))</f>
        <v/>
      </c>
    </row>
    <row r="64" ht="12" customHeight="1" s="227">
      <c r="A64" s="244" t="n"/>
      <c r="B64" s="244" t="n"/>
      <c r="C64" s="244" t="n"/>
      <c r="H64" s="0">
        <f>H47</f>
        <v/>
      </c>
      <c r="I64" s="27">
        <f>i_Setup!$M$16</f>
        <v/>
      </c>
      <c r="K64" s="259">
        <f>i_Setup!P35</f>
        <v/>
      </c>
      <c r="M64" s="245">
        <f>SUMIF($T$4:$CA$4,M$4,$T64:$CA64)</f>
        <v/>
      </c>
      <c r="N64" s="245">
        <f>SUMIF($T$4:$CA$4,N$4,$T64:$CA64)</f>
        <v/>
      </c>
      <c r="O64" s="245">
        <f>SUMIF($T$4:$CA$4,O$4,$T64:$CA64)</f>
        <v/>
      </c>
      <c r="P64" s="245">
        <f>SUMIF($T$4:$CA$4,P$4,$T64:$CA64)</f>
        <v/>
      </c>
      <c r="Q64" s="245">
        <f>SUMIF($T$4:$CA$4,Q$4,$T64:$CA64)</f>
        <v/>
      </c>
      <c r="T64" s="245">
        <f>IF(T$7="Actual","",IF($K64="Yes",T47*(1+T$59),T47))</f>
        <v/>
      </c>
      <c r="U64" s="245">
        <f>IF(U$7="Actual","",IF($K64="Yes",U47*(1+U$59),U47))</f>
        <v/>
      </c>
      <c r="V64" s="245">
        <f>IF(V$7="Actual","",IF($K64="Yes",V47*(1+V$59),V47))</f>
        <v/>
      </c>
      <c r="W64" s="245">
        <f>IF(W$7="Actual","",IF($K64="Yes",W47*(1+W$59),W47))</f>
        <v/>
      </c>
      <c r="X64" s="245">
        <f>IF(X$7="Actual","",IF($K64="Yes",X47*(1+X$59),X47))</f>
        <v/>
      </c>
      <c r="Y64" s="245">
        <f>IF(Y$7="Actual","",IF($K64="Yes",Y47*(1+Y$59),Y47))</f>
        <v/>
      </c>
      <c r="Z64" s="245">
        <f>IF(Z$7="Actual","",IF($K64="Yes",Z47*(1+Z$59),Z47))</f>
        <v/>
      </c>
      <c r="AA64" s="245">
        <f>IF(AA$7="Actual","",IF($K64="Yes",AA47*(1+AA$59),AA47))</f>
        <v/>
      </c>
      <c r="AB64" s="245">
        <f>IF(AB$7="Actual","",IF($K64="Yes",AB47*(1+AB$59),AB47))</f>
        <v/>
      </c>
      <c r="AC64" s="245">
        <f>IF(AC$7="Actual","",IF($K64="Yes",AC47*(1+AC$59),AC47))</f>
        <v/>
      </c>
      <c r="AD64" s="245">
        <f>IF(AD$7="Actual","",IF($K64="Yes",AD47*(1+AD$59),AD47))</f>
        <v/>
      </c>
      <c r="AE64" s="245">
        <f>IF(AE$7="Actual","",IF($K64="Yes",AE47*(1+AE$59),AE47))</f>
        <v/>
      </c>
      <c r="AF64" s="245">
        <f>IF(AF$7="Actual","",IF($K64="Yes",AF47*(1+AF$59),AF47))</f>
        <v/>
      </c>
      <c r="AG64" s="245">
        <f>IF(AG$7="Actual","",IF($K64="Yes",AG47*(1+AG$59),AG47))</f>
        <v/>
      </c>
      <c r="AH64" s="245">
        <f>IF(AH$7="Actual","",IF($K64="Yes",AH47*(1+AH$59),AH47))</f>
        <v/>
      </c>
      <c r="AI64" s="245">
        <f>IF(AI$7="Actual","",IF($K64="Yes",AI47*(1+AI$59),AI47))</f>
        <v/>
      </c>
      <c r="AJ64" s="245">
        <f>IF(AJ$7="Actual","",IF($K64="Yes",AJ47*(1+AJ$59),AJ47))</f>
        <v/>
      </c>
      <c r="AK64" s="245">
        <f>IF(AK$7="Actual","",IF($K64="Yes",AK47*(1+AK$59),AK47))</f>
        <v/>
      </c>
      <c r="AL64" s="245">
        <f>IF(AL$7="Actual","",IF($K64="Yes",AL47*(1+AL$59),AL47))</f>
        <v/>
      </c>
      <c r="AM64" s="245">
        <f>IF(AM$7="Actual","",IF($K64="Yes",AM47*(1+AM$59),AM47))</f>
        <v/>
      </c>
      <c r="AN64" s="245">
        <f>IF(AN$7="Actual","",IF($K64="Yes",AN47*(1+AN$59),AN47))</f>
        <v/>
      </c>
      <c r="AO64" s="245">
        <f>IF(AO$7="Actual","",IF($K64="Yes",AO47*(1+AO$59),AO47))</f>
        <v/>
      </c>
      <c r="AP64" s="245">
        <f>IF(AP$7="Actual","",IF($K64="Yes",AP47*(1+AP$59),AP47))</f>
        <v/>
      </c>
      <c r="AQ64" s="245">
        <f>IF(AQ$7="Actual","",IF($K64="Yes",AQ47*(1+AQ$59),AQ47))</f>
        <v/>
      </c>
      <c r="AR64" s="245">
        <f>IF(AR$7="Actual","",IF($K64="Yes",AR47*(1+AR$59),AR47))</f>
        <v/>
      </c>
      <c r="AS64" s="245">
        <f>IF(AS$7="Actual","",IF($K64="Yes",AS47*(1+AS$59),AS47))</f>
        <v/>
      </c>
      <c r="AT64" s="245">
        <f>IF(AT$7="Actual","",IF($K64="Yes",AT47*(1+AT$59),AT47))</f>
        <v/>
      </c>
      <c r="AU64" s="245">
        <f>IF(AU$7="Actual","",IF($K64="Yes",AU47*(1+AU$59),AU47))</f>
        <v/>
      </c>
      <c r="AV64" s="245">
        <f>IF(AV$7="Actual","",IF($K64="Yes",AV47*(1+AV$59),AV47))</f>
        <v/>
      </c>
      <c r="AW64" s="245">
        <f>IF(AW$7="Actual","",IF($K64="Yes",AW47*(1+AW$59),AW47))</f>
        <v/>
      </c>
      <c r="AX64" s="245">
        <f>IF(AX$7="Actual","",IF($K64="Yes",AX47*(1+AX$59),AX47))</f>
        <v/>
      </c>
      <c r="AY64" s="245">
        <f>IF(AY$7="Actual","",IF($K64="Yes",AY47*(1+AY$59),AY47))</f>
        <v/>
      </c>
      <c r="AZ64" s="245">
        <f>IF(AZ$7="Actual","",IF($K64="Yes",AZ47*(1+AZ$59),AZ47))</f>
        <v/>
      </c>
      <c r="BA64" s="245">
        <f>IF(BA$7="Actual","",IF($K64="Yes",BA47*(1+BA$59),BA47))</f>
        <v/>
      </c>
      <c r="BB64" s="245">
        <f>IF(BB$7="Actual","",IF($K64="Yes",BB47*(1+BB$59),BB47))</f>
        <v/>
      </c>
      <c r="BC64" s="245">
        <f>IF(BC$7="Actual","",IF($K64="Yes",BC47*(1+BC$59),BC47))</f>
        <v/>
      </c>
      <c r="BD64" s="245">
        <f>IF(BD$7="Actual","",IF($K64="Yes",BD47*(1+BD$59),BD47))</f>
        <v/>
      </c>
      <c r="BE64" s="245">
        <f>IF(BE$7="Actual","",IF($K64="Yes",BE47*(1+BE$59),BE47))</f>
        <v/>
      </c>
      <c r="BF64" s="245">
        <f>IF(BF$7="Actual","",IF($K64="Yes",BF47*(1+BF$59),BF47))</f>
        <v/>
      </c>
      <c r="BG64" s="245">
        <f>IF(BG$7="Actual","",IF($K64="Yes",BG47*(1+BG$59),BG47))</f>
        <v/>
      </c>
      <c r="BH64" s="245">
        <f>IF(BH$7="Actual","",IF($K64="Yes",BH47*(1+BH$59),BH47))</f>
        <v/>
      </c>
      <c r="BI64" s="245">
        <f>IF(BI$7="Actual","",IF($K64="Yes",BI47*(1+BI$59),BI47))</f>
        <v/>
      </c>
      <c r="BJ64" s="245">
        <f>IF(BJ$7="Actual","",IF($K64="Yes",BJ47*(1+BJ$59),BJ47))</f>
        <v/>
      </c>
      <c r="BK64" s="245">
        <f>IF(BK$7="Actual","",IF($K64="Yes",BK47*(1+BK$59),BK47))</f>
        <v/>
      </c>
      <c r="BL64" s="245">
        <f>IF(BL$7="Actual","",IF($K64="Yes",BL47*(1+BL$59),BL47))</f>
        <v/>
      </c>
      <c r="BM64" s="245">
        <f>IF(BM$7="Actual","",IF($K64="Yes",BM47*(1+BM$59),BM47))</f>
        <v/>
      </c>
      <c r="BN64" s="245">
        <f>IF(BN$7="Actual","",IF($K64="Yes",BN47*(1+BN$59),BN47))</f>
        <v/>
      </c>
      <c r="BO64" s="245">
        <f>IF(BO$7="Actual","",IF($K64="Yes",BO47*(1+BO$59),BO47))</f>
        <v/>
      </c>
      <c r="BP64" s="245">
        <f>IF(BP$7="Actual","",IF($K64="Yes",BP47*(1+BP$59),BP47))</f>
        <v/>
      </c>
      <c r="BQ64" s="245">
        <f>IF(BQ$7="Actual","",IF($K64="Yes",BQ47*(1+BQ$59),BQ47))</f>
        <v/>
      </c>
      <c r="BR64" s="245">
        <f>IF(BR$7="Actual","",IF($K64="Yes",BR47*(1+BR$59),BR47))</f>
        <v/>
      </c>
      <c r="BS64" s="245">
        <f>IF(BS$7="Actual","",IF($K64="Yes",BS47*(1+BS$59),BS47))</f>
        <v/>
      </c>
      <c r="BT64" s="245">
        <f>IF(BT$7="Actual","",IF($K64="Yes",BT47*(1+BT$59),BT47))</f>
        <v/>
      </c>
      <c r="BU64" s="245">
        <f>IF(BU$7="Actual","",IF($K64="Yes",BU47*(1+BU$59),BU47))</f>
        <v/>
      </c>
      <c r="BV64" s="245">
        <f>IF(BV$7="Actual","",IF($K64="Yes",BV47*(1+BV$59),BV47))</f>
        <v/>
      </c>
      <c r="BW64" s="245">
        <f>IF(BW$7="Actual","",IF($K64="Yes",BW47*(1+BW$59),BW47))</f>
        <v/>
      </c>
      <c r="BX64" s="245">
        <f>IF(BX$7="Actual","",IF($K64="Yes",BX47*(1+BX$59),BX47))</f>
        <v/>
      </c>
      <c r="BY64" s="245">
        <f>IF(BY$7="Actual","",IF($K64="Yes",BY47*(1+BY$59),BY47))</f>
        <v/>
      </c>
      <c r="BZ64" s="245">
        <f>IF(BZ$7="Actual","",IF($K64="Yes",BZ47*(1+BZ$59),BZ47))</f>
        <v/>
      </c>
      <c r="CA64" s="245">
        <f>IF(CA$7="Actual","",IF($K64="Yes",CA47*(1+CA$59),CA47))</f>
        <v/>
      </c>
    </row>
    <row r="65" ht="12" customHeight="1" s="227">
      <c r="A65" s="244" t="n"/>
      <c r="B65" s="244" t="n"/>
      <c r="C65" s="244" t="n"/>
      <c r="H65" s="0">
        <f>H48</f>
        <v/>
      </c>
      <c r="I65" s="27">
        <f>i_Setup!$M$16</f>
        <v/>
      </c>
      <c r="K65" s="259">
        <f>i_Setup!P36</f>
        <v/>
      </c>
      <c r="M65" s="245">
        <f>SUMIF($T$4:$CA$4,M$4,$T65:$CA65)</f>
        <v/>
      </c>
      <c r="N65" s="245">
        <f>SUMIF($T$4:$CA$4,N$4,$T65:$CA65)</f>
        <v/>
      </c>
      <c r="O65" s="245">
        <f>SUMIF($T$4:$CA$4,O$4,$T65:$CA65)</f>
        <v/>
      </c>
      <c r="P65" s="245">
        <f>SUMIF($T$4:$CA$4,P$4,$T65:$CA65)</f>
        <v/>
      </c>
      <c r="Q65" s="245">
        <f>SUMIF($T$4:$CA$4,Q$4,$T65:$CA65)</f>
        <v/>
      </c>
      <c r="T65" s="245">
        <f>IF(T$7="Actual","",IF($K65="Yes",T48*(1+T$59),T48))</f>
        <v/>
      </c>
      <c r="U65" s="245">
        <f>IF(U$7="Actual","",IF($K65="Yes",U48*(1+U$59),U48))</f>
        <v/>
      </c>
      <c r="V65" s="245">
        <f>IF(V$7="Actual","",IF($K65="Yes",V48*(1+V$59),V48))</f>
        <v/>
      </c>
      <c r="W65" s="245">
        <f>IF(W$7="Actual","",IF($K65="Yes",W48*(1+W$59),W48))</f>
        <v/>
      </c>
      <c r="X65" s="245">
        <f>IF(X$7="Actual","",IF($K65="Yes",X48*(1+X$59),X48))</f>
        <v/>
      </c>
      <c r="Y65" s="245">
        <f>IF(Y$7="Actual","",IF($K65="Yes",Y48*(1+Y$59),Y48))</f>
        <v/>
      </c>
      <c r="Z65" s="245">
        <f>IF(Z$7="Actual","",IF($K65="Yes",Z48*(1+Z$59),Z48))</f>
        <v/>
      </c>
      <c r="AA65" s="245">
        <f>IF(AA$7="Actual","",IF($K65="Yes",AA48*(1+AA$59),AA48))</f>
        <v/>
      </c>
      <c r="AB65" s="245">
        <f>IF(AB$7="Actual","",IF($K65="Yes",AB48*(1+AB$59),AB48))</f>
        <v/>
      </c>
      <c r="AC65" s="245">
        <f>IF(AC$7="Actual","",IF($K65="Yes",AC48*(1+AC$59),AC48))</f>
        <v/>
      </c>
      <c r="AD65" s="245">
        <f>IF(AD$7="Actual","",IF($K65="Yes",AD48*(1+AD$59),AD48))</f>
        <v/>
      </c>
      <c r="AE65" s="245">
        <f>IF(AE$7="Actual","",IF($K65="Yes",AE48*(1+AE$59),AE48))</f>
        <v/>
      </c>
      <c r="AF65" s="245">
        <f>IF(AF$7="Actual","",IF($K65="Yes",AF48*(1+AF$59),AF48))</f>
        <v/>
      </c>
      <c r="AG65" s="245">
        <f>IF(AG$7="Actual","",IF($K65="Yes",AG48*(1+AG$59),AG48))</f>
        <v/>
      </c>
      <c r="AH65" s="245">
        <f>IF(AH$7="Actual","",IF($K65="Yes",AH48*(1+AH$59),AH48))</f>
        <v/>
      </c>
      <c r="AI65" s="245">
        <f>IF(AI$7="Actual","",IF($K65="Yes",AI48*(1+AI$59),AI48))</f>
        <v/>
      </c>
      <c r="AJ65" s="245">
        <f>IF(AJ$7="Actual","",IF($K65="Yes",AJ48*(1+AJ$59),AJ48))</f>
        <v/>
      </c>
      <c r="AK65" s="245">
        <f>IF(AK$7="Actual","",IF($K65="Yes",AK48*(1+AK$59),AK48))</f>
        <v/>
      </c>
      <c r="AL65" s="245">
        <f>IF(AL$7="Actual","",IF($K65="Yes",AL48*(1+AL$59),AL48))</f>
        <v/>
      </c>
      <c r="AM65" s="245">
        <f>IF(AM$7="Actual","",IF($K65="Yes",AM48*(1+AM$59),AM48))</f>
        <v/>
      </c>
      <c r="AN65" s="245">
        <f>IF(AN$7="Actual","",IF($K65="Yes",AN48*(1+AN$59),AN48))</f>
        <v/>
      </c>
      <c r="AO65" s="245">
        <f>IF(AO$7="Actual","",IF($K65="Yes",AO48*(1+AO$59),AO48))</f>
        <v/>
      </c>
      <c r="AP65" s="245">
        <f>IF(AP$7="Actual","",IF($K65="Yes",AP48*(1+AP$59),AP48))</f>
        <v/>
      </c>
      <c r="AQ65" s="245">
        <f>IF(AQ$7="Actual","",IF($K65="Yes",AQ48*(1+AQ$59),AQ48))</f>
        <v/>
      </c>
      <c r="AR65" s="245">
        <f>IF(AR$7="Actual","",IF($K65="Yes",AR48*(1+AR$59),AR48))</f>
        <v/>
      </c>
      <c r="AS65" s="245">
        <f>IF(AS$7="Actual","",IF($K65="Yes",AS48*(1+AS$59),AS48))</f>
        <v/>
      </c>
      <c r="AT65" s="245">
        <f>IF(AT$7="Actual","",IF($K65="Yes",AT48*(1+AT$59),AT48))</f>
        <v/>
      </c>
      <c r="AU65" s="245">
        <f>IF(AU$7="Actual","",IF($K65="Yes",AU48*(1+AU$59),AU48))</f>
        <v/>
      </c>
      <c r="AV65" s="245">
        <f>IF(AV$7="Actual","",IF($K65="Yes",AV48*(1+AV$59),AV48))</f>
        <v/>
      </c>
      <c r="AW65" s="245">
        <f>IF(AW$7="Actual","",IF($K65="Yes",AW48*(1+AW$59),AW48))</f>
        <v/>
      </c>
      <c r="AX65" s="245">
        <f>IF(AX$7="Actual","",IF($K65="Yes",AX48*(1+AX$59),AX48))</f>
        <v/>
      </c>
      <c r="AY65" s="245">
        <f>IF(AY$7="Actual","",IF($K65="Yes",AY48*(1+AY$59),AY48))</f>
        <v/>
      </c>
      <c r="AZ65" s="245">
        <f>IF(AZ$7="Actual","",IF($K65="Yes",AZ48*(1+AZ$59),AZ48))</f>
        <v/>
      </c>
      <c r="BA65" s="245">
        <f>IF(BA$7="Actual","",IF($K65="Yes",BA48*(1+BA$59),BA48))</f>
        <v/>
      </c>
      <c r="BB65" s="245">
        <f>IF(BB$7="Actual","",IF($K65="Yes",BB48*(1+BB$59),BB48))</f>
        <v/>
      </c>
      <c r="BC65" s="245">
        <f>IF(BC$7="Actual","",IF($K65="Yes",BC48*(1+BC$59),BC48))</f>
        <v/>
      </c>
      <c r="BD65" s="245">
        <f>IF(BD$7="Actual","",IF($K65="Yes",BD48*(1+BD$59),BD48))</f>
        <v/>
      </c>
      <c r="BE65" s="245">
        <f>IF(BE$7="Actual","",IF($K65="Yes",BE48*(1+BE$59),BE48))</f>
        <v/>
      </c>
      <c r="BF65" s="245">
        <f>IF(BF$7="Actual","",IF($K65="Yes",BF48*(1+BF$59),BF48))</f>
        <v/>
      </c>
      <c r="BG65" s="245">
        <f>IF(BG$7="Actual","",IF($K65="Yes",BG48*(1+BG$59),BG48))</f>
        <v/>
      </c>
      <c r="BH65" s="245">
        <f>IF(BH$7="Actual","",IF($K65="Yes",BH48*(1+BH$59),BH48))</f>
        <v/>
      </c>
      <c r="BI65" s="245">
        <f>IF(BI$7="Actual","",IF($K65="Yes",BI48*(1+BI$59),BI48))</f>
        <v/>
      </c>
      <c r="BJ65" s="245">
        <f>IF(BJ$7="Actual","",IF($K65="Yes",BJ48*(1+BJ$59),BJ48))</f>
        <v/>
      </c>
      <c r="BK65" s="245">
        <f>IF(BK$7="Actual","",IF($K65="Yes",BK48*(1+BK$59),BK48))</f>
        <v/>
      </c>
      <c r="BL65" s="245">
        <f>IF(BL$7="Actual","",IF($K65="Yes",BL48*(1+BL$59),BL48))</f>
        <v/>
      </c>
      <c r="BM65" s="245">
        <f>IF(BM$7="Actual","",IF($K65="Yes",BM48*(1+BM$59),BM48))</f>
        <v/>
      </c>
      <c r="BN65" s="245">
        <f>IF(BN$7="Actual","",IF($K65="Yes",BN48*(1+BN$59),BN48))</f>
        <v/>
      </c>
      <c r="BO65" s="245">
        <f>IF(BO$7="Actual","",IF($K65="Yes",BO48*(1+BO$59),BO48))</f>
        <v/>
      </c>
      <c r="BP65" s="245">
        <f>IF(BP$7="Actual","",IF($K65="Yes",BP48*(1+BP$59),BP48))</f>
        <v/>
      </c>
      <c r="BQ65" s="245">
        <f>IF(BQ$7="Actual","",IF($K65="Yes",BQ48*(1+BQ$59),BQ48))</f>
        <v/>
      </c>
      <c r="BR65" s="245">
        <f>IF(BR$7="Actual","",IF($K65="Yes",BR48*(1+BR$59),BR48))</f>
        <v/>
      </c>
      <c r="BS65" s="245">
        <f>IF(BS$7="Actual","",IF($K65="Yes",BS48*(1+BS$59),BS48))</f>
        <v/>
      </c>
      <c r="BT65" s="245">
        <f>IF(BT$7="Actual","",IF($K65="Yes",BT48*(1+BT$59),BT48))</f>
        <v/>
      </c>
      <c r="BU65" s="245">
        <f>IF(BU$7="Actual","",IF($K65="Yes",BU48*(1+BU$59),BU48))</f>
        <v/>
      </c>
      <c r="BV65" s="245">
        <f>IF(BV$7="Actual","",IF($K65="Yes",BV48*(1+BV$59),BV48))</f>
        <v/>
      </c>
      <c r="BW65" s="245">
        <f>IF(BW$7="Actual","",IF($K65="Yes",BW48*(1+BW$59),BW48))</f>
        <v/>
      </c>
      <c r="BX65" s="245">
        <f>IF(BX$7="Actual","",IF($K65="Yes",BX48*(1+BX$59),BX48))</f>
        <v/>
      </c>
      <c r="BY65" s="245">
        <f>IF(BY$7="Actual","",IF($K65="Yes",BY48*(1+BY$59),BY48))</f>
        <v/>
      </c>
      <c r="BZ65" s="245">
        <f>IF(BZ$7="Actual","",IF($K65="Yes",BZ48*(1+BZ$59),BZ48))</f>
        <v/>
      </c>
      <c r="CA65" s="245">
        <f>IF(CA$7="Actual","",IF($K65="Yes",CA48*(1+CA$59),CA48))</f>
        <v/>
      </c>
    </row>
    <row r="66" ht="12" customHeight="1" s="227">
      <c r="A66" s="244" t="n"/>
      <c r="B66" s="244" t="n"/>
      <c r="C66" s="244" t="n"/>
      <c r="H66" s="0">
        <f>H49</f>
        <v/>
      </c>
      <c r="I66" s="27">
        <f>i_Setup!$M$16</f>
        <v/>
      </c>
      <c r="K66" s="259">
        <f>i_Setup!P37</f>
        <v/>
      </c>
      <c r="M66" s="245">
        <f>SUMIF($T$4:$CA$4,M$4,$T66:$CA66)</f>
        <v/>
      </c>
      <c r="N66" s="245">
        <f>SUMIF($T$4:$CA$4,N$4,$T66:$CA66)</f>
        <v/>
      </c>
      <c r="O66" s="245">
        <f>SUMIF($T$4:$CA$4,O$4,$T66:$CA66)</f>
        <v/>
      </c>
      <c r="P66" s="245">
        <f>SUMIF($T$4:$CA$4,P$4,$T66:$CA66)</f>
        <v/>
      </c>
      <c r="Q66" s="245">
        <f>SUMIF($T$4:$CA$4,Q$4,$T66:$CA66)</f>
        <v/>
      </c>
      <c r="T66" s="245">
        <f>IF(T$7="Actual","",IF($K66="Yes",T49*(1+T$59),T49))</f>
        <v/>
      </c>
      <c r="U66" s="245">
        <f>IF(U$7="Actual","",IF($K66="Yes",U49*(1+U$59),U49))</f>
        <v/>
      </c>
      <c r="V66" s="245">
        <f>IF(V$7="Actual","",IF($K66="Yes",V49*(1+V$59),V49))</f>
        <v/>
      </c>
      <c r="W66" s="245">
        <f>IF(W$7="Actual","",IF($K66="Yes",W49*(1+W$59),W49))</f>
        <v/>
      </c>
      <c r="X66" s="245">
        <f>IF(X$7="Actual","",IF($K66="Yes",X49*(1+X$59),X49))</f>
        <v/>
      </c>
      <c r="Y66" s="245">
        <f>IF(Y$7="Actual","",IF($K66="Yes",Y49*(1+Y$59),Y49))</f>
        <v/>
      </c>
      <c r="Z66" s="245">
        <f>IF(Z$7="Actual","",IF($K66="Yes",Z49*(1+Z$59),Z49))</f>
        <v/>
      </c>
      <c r="AA66" s="245">
        <f>IF(AA$7="Actual","",IF($K66="Yes",AA49*(1+AA$59),AA49))</f>
        <v/>
      </c>
      <c r="AB66" s="245">
        <f>IF(AB$7="Actual","",IF($K66="Yes",AB49*(1+AB$59),AB49))</f>
        <v/>
      </c>
      <c r="AC66" s="245">
        <f>IF(AC$7="Actual","",IF($K66="Yes",AC49*(1+AC$59),AC49))</f>
        <v/>
      </c>
      <c r="AD66" s="245">
        <f>IF(AD$7="Actual","",IF($K66="Yes",AD49*(1+AD$59),AD49))</f>
        <v/>
      </c>
      <c r="AE66" s="245">
        <f>IF(AE$7="Actual","",IF($K66="Yes",AE49*(1+AE$59),AE49))</f>
        <v/>
      </c>
      <c r="AF66" s="245">
        <f>IF(AF$7="Actual","",IF($K66="Yes",AF49*(1+AF$59),AF49))</f>
        <v/>
      </c>
      <c r="AG66" s="245">
        <f>IF(AG$7="Actual","",IF($K66="Yes",AG49*(1+AG$59),AG49))</f>
        <v/>
      </c>
      <c r="AH66" s="245">
        <f>IF(AH$7="Actual","",IF($K66="Yes",AH49*(1+AH$59),AH49))</f>
        <v/>
      </c>
      <c r="AI66" s="245">
        <f>IF(AI$7="Actual","",IF($K66="Yes",AI49*(1+AI$59),AI49))</f>
        <v/>
      </c>
      <c r="AJ66" s="245">
        <f>IF(AJ$7="Actual","",IF($K66="Yes",AJ49*(1+AJ$59),AJ49))</f>
        <v/>
      </c>
      <c r="AK66" s="245">
        <f>IF(AK$7="Actual","",IF($K66="Yes",AK49*(1+AK$59),AK49))</f>
        <v/>
      </c>
      <c r="AL66" s="245">
        <f>IF(AL$7="Actual","",IF($K66="Yes",AL49*(1+AL$59),AL49))</f>
        <v/>
      </c>
      <c r="AM66" s="245">
        <f>IF(AM$7="Actual","",IF($K66="Yes",AM49*(1+AM$59),AM49))</f>
        <v/>
      </c>
      <c r="AN66" s="245">
        <f>IF(AN$7="Actual","",IF($K66="Yes",AN49*(1+AN$59),AN49))</f>
        <v/>
      </c>
      <c r="AO66" s="245">
        <f>IF(AO$7="Actual","",IF($K66="Yes",AO49*(1+AO$59),AO49))</f>
        <v/>
      </c>
      <c r="AP66" s="245">
        <f>IF(AP$7="Actual","",IF($K66="Yes",AP49*(1+AP$59),AP49))</f>
        <v/>
      </c>
      <c r="AQ66" s="245">
        <f>IF(AQ$7="Actual","",IF($K66="Yes",AQ49*(1+AQ$59),AQ49))</f>
        <v/>
      </c>
      <c r="AR66" s="245">
        <f>IF(AR$7="Actual","",IF($K66="Yes",AR49*(1+AR$59),AR49))</f>
        <v/>
      </c>
      <c r="AS66" s="245">
        <f>IF(AS$7="Actual","",IF($K66="Yes",AS49*(1+AS$59),AS49))</f>
        <v/>
      </c>
      <c r="AT66" s="245">
        <f>IF(AT$7="Actual","",IF($K66="Yes",AT49*(1+AT$59),AT49))</f>
        <v/>
      </c>
      <c r="AU66" s="245">
        <f>IF(AU$7="Actual","",IF($K66="Yes",AU49*(1+AU$59),AU49))</f>
        <v/>
      </c>
      <c r="AV66" s="245">
        <f>IF(AV$7="Actual","",IF($K66="Yes",AV49*(1+AV$59),AV49))</f>
        <v/>
      </c>
      <c r="AW66" s="245">
        <f>IF(AW$7="Actual","",IF($K66="Yes",AW49*(1+AW$59),AW49))</f>
        <v/>
      </c>
      <c r="AX66" s="245">
        <f>IF(AX$7="Actual","",IF($K66="Yes",AX49*(1+AX$59),AX49))</f>
        <v/>
      </c>
      <c r="AY66" s="245">
        <f>IF(AY$7="Actual","",IF($K66="Yes",AY49*(1+AY$59),AY49))</f>
        <v/>
      </c>
      <c r="AZ66" s="245">
        <f>IF(AZ$7="Actual","",IF($K66="Yes",AZ49*(1+AZ$59),AZ49))</f>
        <v/>
      </c>
      <c r="BA66" s="245">
        <f>IF(BA$7="Actual","",IF($K66="Yes",BA49*(1+BA$59),BA49))</f>
        <v/>
      </c>
      <c r="BB66" s="245">
        <f>IF(BB$7="Actual","",IF($K66="Yes",BB49*(1+BB$59),BB49))</f>
        <v/>
      </c>
      <c r="BC66" s="245">
        <f>IF(BC$7="Actual","",IF($K66="Yes",BC49*(1+BC$59),BC49))</f>
        <v/>
      </c>
      <c r="BD66" s="245">
        <f>IF(BD$7="Actual","",IF($K66="Yes",BD49*(1+BD$59),BD49))</f>
        <v/>
      </c>
      <c r="BE66" s="245">
        <f>IF(BE$7="Actual","",IF($K66="Yes",BE49*(1+BE$59),BE49))</f>
        <v/>
      </c>
      <c r="BF66" s="245">
        <f>IF(BF$7="Actual","",IF($K66="Yes",BF49*(1+BF$59),BF49))</f>
        <v/>
      </c>
      <c r="BG66" s="245">
        <f>IF(BG$7="Actual","",IF($K66="Yes",BG49*(1+BG$59),BG49))</f>
        <v/>
      </c>
      <c r="BH66" s="245">
        <f>IF(BH$7="Actual","",IF($K66="Yes",BH49*(1+BH$59),BH49))</f>
        <v/>
      </c>
      <c r="BI66" s="245">
        <f>IF(BI$7="Actual","",IF($K66="Yes",BI49*(1+BI$59),BI49))</f>
        <v/>
      </c>
      <c r="BJ66" s="245">
        <f>IF(BJ$7="Actual","",IF($K66="Yes",BJ49*(1+BJ$59),BJ49))</f>
        <v/>
      </c>
      <c r="BK66" s="245">
        <f>IF(BK$7="Actual","",IF($K66="Yes",BK49*(1+BK$59),BK49))</f>
        <v/>
      </c>
      <c r="BL66" s="245">
        <f>IF(BL$7="Actual","",IF($K66="Yes",BL49*(1+BL$59),BL49))</f>
        <v/>
      </c>
      <c r="BM66" s="245">
        <f>IF(BM$7="Actual","",IF($K66="Yes",BM49*(1+BM$59),BM49))</f>
        <v/>
      </c>
      <c r="BN66" s="245">
        <f>IF(BN$7="Actual","",IF($K66="Yes",BN49*(1+BN$59),BN49))</f>
        <v/>
      </c>
      <c r="BO66" s="245">
        <f>IF(BO$7="Actual","",IF($K66="Yes",BO49*(1+BO$59),BO49))</f>
        <v/>
      </c>
      <c r="BP66" s="245">
        <f>IF(BP$7="Actual","",IF($K66="Yes",BP49*(1+BP$59),BP49))</f>
        <v/>
      </c>
      <c r="BQ66" s="245">
        <f>IF(BQ$7="Actual","",IF($K66="Yes",BQ49*(1+BQ$59),BQ49))</f>
        <v/>
      </c>
      <c r="BR66" s="245">
        <f>IF(BR$7="Actual","",IF($K66="Yes",BR49*(1+BR$59),BR49))</f>
        <v/>
      </c>
      <c r="BS66" s="245">
        <f>IF(BS$7="Actual","",IF($K66="Yes",BS49*(1+BS$59),BS49))</f>
        <v/>
      </c>
      <c r="BT66" s="245">
        <f>IF(BT$7="Actual","",IF($K66="Yes",BT49*(1+BT$59),BT49))</f>
        <v/>
      </c>
      <c r="BU66" s="245">
        <f>IF(BU$7="Actual","",IF($K66="Yes",BU49*(1+BU$59),BU49))</f>
        <v/>
      </c>
      <c r="BV66" s="245">
        <f>IF(BV$7="Actual","",IF($K66="Yes",BV49*(1+BV$59),BV49))</f>
        <v/>
      </c>
      <c r="BW66" s="245">
        <f>IF(BW$7="Actual","",IF($K66="Yes",BW49*(1+BW$59),BW49))</f>
        <v/>
      </c>
      <c r="BX66" s="245">
        <f>IF(BX$7="Actual","",IF($K66="Yes",BX49*(1+BX$59),BX49))</f>
        <v/>
      </c>
      <c r="BY66" s="245">
        <f>IF(BY$7="Actual","",IF($K66="Yes",BY49*(1+BY$59),BY49))</f>
        <v/>
      </c>
      <c r="BZ66" s="245">
        <f>IF(BZ$7="Actual","",IF($K66="Yes",BZ49*(1+BZ$59),BZ49))</f>
        <v/>
      </c>
      <c r="CA66" s="245">
        <f>IF(CA$7="Actual","",IF($K66="Yes",CA49*(1+CA$59),CA49))</f>
        <v/>
      </c>
    </row>
    <row r="67" ht="12" customHeight="1" s="227">
      <c r="A67" s="244" t="n"/>
      <c r="B67" s="244" t="n"/>
      <c r="C67" s="244" t="n"/>
      <c r="H67" s="0">
        <f>H50</f>
        <v/>
      </c>
      <c r="I67" s="27">
        <f>i_Setup!$M$16</f>
        <v/>
      </c>
      <c r="K67" s="259">
        <f>i_Setup!P38</f>
        <v/>
      </c>
      <c r="M67" s="245">
        <f>SUMIF($T$4:$CA$4,M$4,$T67:$CA67)</f>
        <v/>
      </c>
      <c r="N67" s="245">
        <f>SUMIF($T$4:$CA$4,N$4,$T67:$CA67)</f>
        <v/>
      </c>
      <c r="O67" s="245">
        <f>SUMIF($T$4:$CA$4,O$4,$T67:$CA67)</f>
        <v/>
      </c>
      <c r="P67" s="245">
        <f>SUMIF($T$4:$CA$4,P$4,$T67:$CA67)</f>
        <v/>
      </c>
      <c r="Q67" s="245">
        <f>SUMIF($T$4:$CA$4,Q$4,$T67:$CA67)</f>
        <v/>
      </c>
      <c r="T67" s="245">
        <f>IF(T$7="Actual","",IF($K67="Yes",T50*(1+T$59),T50))</f>
        <v/>
      </c>
      <c r="U67" s="245">
        <f>IF(U$7="Actual","",IF($K67="Yes",U50*(1+U$59),U50))</f>
        <v/>
      </c>
      <c r="V67" s="245">
        <f>IF(V$7="Actual","",IF($K67="Yes",V50*(1+V$59),V50))</f>
        <v/>
      </c>
      <c r="W67" s="245">
        <f>IF(W$7="Actual","",IF($K67="Yes",W50*(1+W$59),W50))</f>
        <v/>
      </c>
      <c r="X67" s="245">
        <f>IF(X$7="Actual","",IF($K67="Yes",X50*(1+X$59),X50))</f>
        <v/>
      </c>
      <c r="Y67" s="245">
        <f>IF(Y$7="Actual","",IF($K67="Yes",Y50*(1+Y$59),Y50))</f>
        <v/>
      </c>
      <c r="Z67" s="245">
        <f>IF(Z$7="Actual","",IF($K67="Yes",Z50*(1+Z$59),Z50))</f>
        <v/>
      </c>
      <c r="AA67" s="245">
        <f>IF(AA$7="Actual","",IF($K67="Yes",AA50*(1+AA$59),AA50))</f>
        <v/>
      </c>
      <c r="AB67" s="245">
        <f>IF(AB$7="Actual","",IF($K67="Yes",AB50*(1+AB$59),AB50))</f>
        <v/>
      </c>
      <c r="AC67" s="245">
        <f>IF(AC$7="Actual","",IF($K67="Yes",AC50*(1+AC$59),AC50))</f>
        <v/>
      </c>
      <c r="AD67" s="245">
        <f>IF(AD$7="Actual","",IF($K67="Yes",AD50*(1+AD$59),AD50))</f>
        <v/>
      </c>
      <c r="AE67" s="245">
        <f>IF(AE$7="Actual","",IF($K67="Yes",AE50*(1+AE$59),AE50))</f>
        <v/>
      </c>
      <c r="AF67" s="245">
        <f>IF(AF$7="Actual","",IF($K67="Yes",AF50*(1+AF$59),AF50))</f>
        <v/>
      </c>
      <c r="AG67" s="245">
        <f>IF(AG$7="Actual","",IF($K67="Yes",AG50*(1+AG$59),AG50))</f>
        <v/>
      </c>
      <c r="AH67" s="245">
        <f>IF(AH$7="Actual","",IF($K67="Yes",AH50*(1+AH$59),AH50))</f>
        <v/>
      </c>
      <c r="AI67" s="245">
        <f>IF(AI$7="Actual","",IF($K67="Yes",AI50*(1+AI$59),AI50))</f>
        <v/>
      </c>
      <c r="AJ67" s="245">
        <f>IF(AJ$7="Actual","",IF($K67="Yes",AJ50*(1+AJ$59),AJ50))</f>
        <v/>
      </c>
      <c r="AK67" s="245">
        <f>IF(AK$7="Actual","",IF($K67="Yes",AK50*(1+AK$59),AK50))</f>
        <v/>
      </c>
      <c r="AL67" s="245">
        <f>IF(AL$7="Actual","",IF($K67="Yes",AL50*(1+AL$59),AL50))</f>
        <v/>
      </c>
      <c r="AM67" s="245">
        <f>IF(AM$7="Actual","",IF($K67="Yes",AM50*(1+AM$59),AM50))</f>
        <v/>
      </c>
      <c r="AN67" s="245">
        <f>IF(AN$7="Actual","",IF($K67="Yes",AN50*(1+AN$59),AN50))</f>
        <v/>
      </c>
      <c r="AO67" s="245">
        <f>IF(AO$7="Actual","",IF($K67="Yes",AO50*(1+AO$59),AO50))</f>
        <v/>
      </c>
      <c r="AP67" s="245">
        <f>IF(AP$7="Actual","",IF($K67="Yes",AP50*(1+AP$59),AP50))</f>
        <v/>
      </c>
      <c r="AQ67" s="245">
        <f>IF(AQ$7="Actual","",IF($K67="Yes",AQ50*(1+AQ$59),AQ50))</f>
        <v/>
      </c>
      <c r="AR67" s="245">
        <f>IF(AR$7="Actual","",IF($K67="Yes",AR50*(1+AR$59),AR50))</f>
        <v/>
      </c>
      <c r="AS67" s="245">
        <f>IF(AS$7="Actual","",IF($K67="Yes",AS50*(1+AS$59),AS50))</f>
        <v/>
      </c>
      <c r="AT67" s="245">
        <f>IF(AT$7="Actual","",IF($K67="Yes",AT50*(1+AT$59),AT50))</f>
        <v/>
      </c>
      <c r="AU67" s="245">
        <f>IF(AU$7="Actual","",IF($K67="Yes",AU50*(1+AU$59),AU50))</f>
        <v/>
      </c>
      <c r="AV67" s="245">
        <f>IF(AV$7="Actual","",IF($K67="Yes",AV50*(1+AV$59),AV50))</f>
        <v/>
      </c>
      <c r="AW67" s="245">
        <f>IF(AW$7="Actual","",IF($K67="Yes",AW50*(1+AW$59),AW50))</f>
        <v/>
      </c>
      <c r="AX67" s="245">
        <f>IF(AX$7="Actual","",IF($K67="Yes",AX50*(1+AX$59),AX50))</f>
        <v/>
      </c>
      <c r="AY67" s="245">
        <f>IF(AY$7="Actual","",IF($K67="Yes",AY50*(1+AY$59),AY50))</f>
        <v/>
      </c>
      <c r="AZ67" s="245">
        <f>IF(AZ$7="Actual","",IF($K67="Yes",AZ50*(1+AZ$59),AZ50))</f>
        <v/>
      </c>
      <c r="BA67" s="245">
        <f>IF(BA$7="Actual","",IF($K67="Yes",BA50*(1+BA$59),BA50))</f>
        <v/>
      </c>
      <c r="BB67" s="245">
        <f>IF(BB$7="Actual","",IF($K67="Yes",BB50*(1+BB$59),BB50))</f>
        <v/>
      </c>
      <c r="BC67" s="245">
        <f>IF(BC$7="Actual","",IF($K67="Yes",BC50*(1+BC$59),BC50))</f>
        <v/>
      </c>
      <c r="BD67" s="245">
        <f>IF(BD$7="Actual","",IF($K67="Yes",BD50*(1+BD$59),BD50))</f>
        <v/>
      </c>
      <c r="BE67" s="245">
        <f>IF(BE$7="Actual","",IF($K67="Yes",BE50*(1+BE$59),BE50))</f>
        <v/>
      </c>
      <c r="BF67" s="245">
        <f>IF(BF$7="Actual","",IF($K67="Yes",BF50*(1+BF$59),BF50))</f>
        <v/>
      </c>
      <c r="BG67" s="245">
        <f>IF(BG$7="Actual","",IF($K67="Yes",BG50*(1+BG$59),BG50))</f>
        <v/>
      </c>
      <c r="BH67" s="245">
        <f>IF(BH$7="Actual","",IF($K67="Yes",BH50*(1+BH$59),BH50))</f>
        <v/>
      </c>
      <c r="BI67" s="245">
        <f>IF(BI$7="Actual","",IF($K67="Yes",BI50*(1+BI$59),BI50))</f>
        <v/>
      </c>
      <c r="BJ67" s="245">
        <f>IF(BJ$7="Actual","",IF($K67="Yes",BJ50*(1+BJ$59),BJ50))</f>
        <v/>
      </c>
      <c r="BK67" s="245">
        <f>IF(BK$7="Actual","",IF($K67="Yes",BK50*(1+BK$59),BK50))</f>
        <v/>
      </c>
      <c r="BL67" s="245">
        <f>IF(BL$7="Actual","",IF($K67="Yes",BL50*(1+BL$59),BL50))</f>
        <v/>
      </c>
      <c r="BM67" s="245">
        <f>IF(BM$7="Actual","",IF($K67="Yes",BM50*(1+BM$59),BM50))</f>
        <v/>
      </c>
      <c r="BN67" s="245">
        <f>IF(BN$7="Actual","",IF($K67="Yes",BN50*(1+BN$59),BN50))</f>
        <v/>
      </c>
      <c r="BO67" s="245">
        <f>IF(BO$7="Actual","",IF($K67="Yes",BO50*(1+BO$59),BO50))</f>
        <v/>
      </c>
      <c r="BP67" s="245">
        <f>IF(BP$7="Actual","",IF($K67="Yes",BP50*(1+BP$59),BP50))</f>
        <v/>
      </c>
      <c r="BQ67" s="245">
        <f>IF(BQ$7="Actual","",IF($K67="Yes",BQ50*(1+BQ$59),BQ50))</f>
        <v/>
      </c>
      <c r="BR67" s="245">
        <f>IF(BR$7="Actual","",IF($K67="Yes",BR50*(1+BR$59),BR50))</f>
        <v/>
      </c>
      <c r="BS67" s="245">
        <f>IF(BS$7="Actual","",IF($K67="Yes",BS50*(1+BS$59),BS50))</f>
        <v/>
      </c>
      <c r="BT67" s="245">
        <f>IF(BT$7="Actual","",IF($K67="Yes",BT50*(1+BT$59),BT50))</f>
        <v/>
      </c>
      <c r="BU67" s="245">
        <f>IF(BU$7="Actual","",IF($K67="Yes",BU50*(1+BU$59),BU50))</f>
        <v/>
      </c>
      <c r="BV67" s="245">
        <f>IF(BV$7="Actual","",IF($K67="Yes",BV50*(1+BV$59),BV50))</f>
        <v/>
      </c>
      <c r="BW67" s="245">
        <f>IF(BW$7="Actual","",IF($K67="Yes",BW50*(1+BW$59),BW50))</f>
        <v/>
      </c>
      <c r="BX67" s="245">
        <f>IF(BX$7="Actual","",IF($K67="Yes",BX50*(1+BX$59),BX50))</f>
        <v/>
      </c>
      <c r="BY67" s="245">
        <f>IF(BY$7="Actual","",IF($K67="Yes",BY50*(1+BY$59),BY50))</f>
        <v/>
      </c>
      <c r="BZ67" s="245">
        <f>IF(BZ$7="Actual","",IF($K67="Yes",BZ50*(1+BZ$59),BZ50))</f>
        <v/>
      </c>
      <c r="CA67" s="245">
        <f>IF(CA$7="Actual","",IF($K67="Yes",CA50*(1+CA$59),CA50))</f>
        <v/>
      </c>
    </row>
    <row r="68" ht="12" customHeight="1" s="227">
      <c r="A68" s="244" t="n"/>
      <c r="B68" s="244" t="n"/>
      <c r="C68" s="244" t="n"/>
      <c r="H68" s="0">
        <f>H51</f>
        <v/>
      </c>
      <c r="I68" s="27">
        <f>i_Setup!$M$16</f>
        <v/>
      </c>
      <c r="K68" s="259">
        <f>i_Setup!P39</f>
        <v/>
      </c>
      <c r="M68" s="245">
        <f>SUMIF($T$4:$CA$4,M$4,$T68:$CA68)</f>
        <v/>
      </c>
      <c r="N68" s="245">
        <f>SUMIF($T$4:$CA$4,N$4,$T68:$CA68)</f>
        <v/>
      </c>
      <c r="O68" s="245">
        <f>SUMIF($T$4:$CA$4,O$4,$T68:$CA68)</f>
        <v/>
      </c>
      <c r="P68" s="245">
        <f>SUMIF($T$4:$CA$4,P$4,$T68:$CA68)</f>
        <v/>
      </c>
      <c r="Q68" s="245">
        <f>SUMIF($T$4:$CA$4,Q$4,$T68:$CA68)</f>
        <v/>
      </c>
      <c r="T68" s="245">
        <f>IF(T$7="Actual","",IF($K68="Yes",T51*(1+T$59),T51))</f>
        <v/>
      </c>
      <c r="U68" s="245">
        <f>IF(U$7="Actual","",IF($K68="Yes",U51*(1+U$59),U51))</f>
        <v/>
      </c>
      <c r="V68" s="245">
        <f>IF(V$7="Actual","",IF($K68="Yes",V51*(1+V$59),V51))</f>
        <v/>
      </c>
      <c r="W68" s="245">
        <f>IF(W$7="Actual","",IF($K68="Yes",W51*(1+W$59),W51))</f>
        <v/>
      </c>
      <c r="X68" s="245">
        <f>IF(X$7="Actual","",IF($K68="Yes",X51*(1+X$59),X51))</f>
        <v/>
      </c>
      <c r="Y68" s="245">
        <f>IF(Y$7="Actual","",IF($K68="Yes",Y51*(1+Y$59),Y51))</f>
        <v/>
      </c>
      <c r="Z68" s="245">
        <f>IF(Z$7="Actual","",IF($K68="Yes",Z51*(1+Z$59),Z51))</f>
        <v/>
      </c>
      <c r="AA68" s="245">
        <f>IF(AA$7="Actual","",IF($K68="Yes",AA51*(1+AA$59),AA51))</f>
        <v/>
      </c>
      <c r="AB68" s="245">
        <f>IF(AB$7="Actual","",IF($K68="Yes",AB51*(1+AB$59),AB51))</f>
        <v/>
      </c>
      <c r="AC68" s="245">
        <f>IF(AC$7="Actual","",IF($K68="Yes",AC51*(1+AC$59),AC51))</f>
        <v/>
      </c>
      <c r="AD68" s="245">
        <f>IF(AD$7="Actual","",IF($K68="Yes",AD51*(1+AD$59),AD51))</f>
        <v/>
      </c>
      <c r="AE68" s="245">
        <f>IF(AE$7="Actual","",IF($K68="Yes",AE51*(1+AE$59),AE51))</f>
        <v/>
      </c>
      <c r="AF68" s="245">
        <f>IF(AF$7="Actual","",IF($K68="Yes",AF51*(1+AF$59),AF51))</f>
        <v/>
      </c>
      <c r="AG68" s="245">
        <f>IF(AG$7="Actual","",IF($K68="Yes",AG51*(1+AG$59),AG51))</f>
        <v/>
      </c>
      <c r="AH68" s="245">
        <f>IF(AH$7="Actual","",IF($K68="Yes",AH51*(1+AH$59),AH51))</f>
        <v/>
      </c>
      <c r="AI68" s="245">
        <f>IF(AI$7="Actual","",IF($K68="Yes",AI51*(1+AI$59),AI51))</f>
        <v/>
      </c>
      <c r="AJ68" s="245">
        <f>IF(AJ$7="Actual","",IF($K68="Yes",AJ51*(1+AJ$59),AJ51))</f>
        <v/>
      </c>
      <c r="AK68" s="245">
        <f>IF(AK$7="Actual","",IF($K68="Yes",AK51*(1+AK$59),AK51))</f>
        <v/>
      </c>
      <c r="AL68" s="245">
        <f>IF(AL$7="Actual","",IF($K68="Yes",AL51*(1+AL$59),AL51))</f>
        <v/>
      </c>
      <c r="AM68" s="245">
        <f>IF(AM$7="Actual","",IF($K68="Yes",AM51*(1+AM$59),AM51))</f>
        <v/>
      </c>
      <c r="AN68" s="245">
        <f>IF(AN$7="Actual","",IF($K68="Yes",AN51*(1+AN$59),AN51))</f>
        <v/>
      </c>
      <c r="AO68" s="245">
        <f>IF(AO$7="Actual","",IF($K68="Yes",AO51*(1+AO$59),AO51))</f>
        <v/>
      </c>
      <c r="AP68" s="245">
        <f>IF(AP$7="Actual","",IF($K68="Yes",AP51*(1+AP$59),AP51))</f>
        <v/>
      </c>
      <c r="AQ68" s="245">
        <f>IF(AQ$7="Actual","",IF($K68="Yes",AQ51*(1+AQ$59),AQ51))</f>
        <v/>
      </c>
      <c r="AR68" s="245">
        <f>IF(AR$7="Actual","",IF($K68="Yes",AR51*(1+AR$59),AR51))</f>
        <v/>
      </c>
      <c r="AS68" s="245">
        <f>IF(AS$7="Actual","",IF($K68="Yes",AS51*(1+AS$59),AS51))</f>
        <v/>
      </c>
      <c r="AT68" s="245">
        <f>IF(AT$7="Actual","",IF($K68="Yes",AT51*(1+AT$59),AT51))</f>
        <v/>
      </c>
      <c r="AU68" s="245">
        <f>IF(AU$7="Actual","",IF($K68="Yes",AU51*(1+AU$59),AU51))</f>
        <v/>
      </c>
      <c r="AV68" s="245">
        <f>IF(AV$7="Actual","",IF($K68="Yes",AV51*(1+AV$59),AV51))</f>
        <v/>
      </c>
      <c r="AW68" s="245">
        <f>IF(AW$7="Actual","",IF($K68="Yes",AW51*(1+AW$59),AW51))</f>
        <v/>
      </c>
      <c r="AX68" s="245">
        <f>IF(AX$7="Actual","",IF($K68="Yes",AX51*(1+AX$59),AX51))</f>
        <v/>
      </c>
      <c r="AY68" s="245">
        <f>IF(AY$7="Actual","",IF($K68="Yes",AY51*(1+AY$59),AY51))</f>
        <v/>
      </c>
      <c r="AZ68" s="245">
        <f>IF(AZ$7="Actual","",IF($K68="Yes",AZ51*(1+AZ$59),AZ51))</f>
        <v/>
      </c>
      <c r="BA68" s="245">
        <f>IF(BA$7="Actual","",IF($K68="Yes",BA51*(1+BA$59),BA51))</f>
        <v/>
      </c>
      <c r="BB68" s="245">
        <f>IF(BB$7="Actual","",IF($K68="Yes",BB51*(1+BB$59),BB51))</f>
        <v/>
      </c>
      <c r="BC68" s="245">
        <f>IF(BC$7="Actual","",IF($K68="Yes",BC51*(1+BC$59),BC51))</f>
        <v/>
      </c>
      <c r="BD68" s="245">
        <f>IF(BD$7="Actual","",IF($K68="Yes",BD51*(1+BD$59),BD51))</f>
        <v/>
      </c>
      <c r="BE68" s="245">
        <f>IF(BE$7="Actual","",IF($K68="Yes",BE51*(1+BE$59),BE51))</f>
        <v/>
      </c>
      <c r="BF68" s="245">
        <f>IF(BF$7="Actual","",IF($K68="Yes",BF51*(1+BF$59),BF51))</f>
        <v/>
      </c>
      <c r="BG68" s="245">
        <f>IF(BG$7="Actual","",IF($K68="Yes",BG51*(1+BG$59),BG51))</f>
        <v/>
      </c>
      <c r="BH68" s="245">
        <f>IF(BH$7="Actual","",IF($K68="Yes",BH51*(1+BH$59),BH51))</f>
        <v/>
      </c>
      <c r="BI68" s="245">
        <f>IF(BI$7="Actual","",IF($K68="Yes",BI51*(1+BI$59),BI51))</f>
        <v/>
      </c>
      <c r="BJ68" s="245">
        <f>IF(BJ$7="Actual","",IF($K68="Yes",BJ51*(1+BJ$59),BJ51))</f>
        <v/>
      </c>
      <c r="BK68" s="245">
        <f>IF(BK$7="Actual","",IF($K68="Yes",BK51*(1+BK$59),BK51))</f>
        <v/>
      </c>
      <c r="BL68" s="245">
        <f>IF(BL$7="Actual","",IF($K68="Yes",BL51*(1+BL$59),BL51))</f>
        <v/>
      </c>
      <c r="BM68" s="245">
        <f>IF(BM$7="Actual","",IF($K68="Yes",BM51*(1+BM$59),BM51))</f>
        <v/>
      </c>
      <c r="BN68" s="245">
        <f>IF(BN$7="Actual","",IF($K68="Yes",BN51*(1+BN$59),BN51))</f>
        <v/>
      </c>
      <c r="BO68" s="245">
        <f>IF(BO$7="Actual","",IF($K68="Yes",BO51*(1+BO$59),BO51))</f>
        <v/>
      </c>
      <c r="BP68" s="245">
        <f>IF(BP$7="Actual","",IF($K68="Yes",BP51*(1+BP$59),BP51))</f>
        <v/>
      </c>
      <c r="BQ68" s="245">
        <f>IF(BQ$7="Actual","",IF($K68="Yes",BQ51*(1+BQ$59),BQ51))</f>
        <v/>
      </c>
      <c r="BR68" s="245">
        <f>IF(BR$7="Actual","",IF($K68="Yes",BR51*(1+BR$59),BR51))</f>
        <v/>
      </c>
      <c r="BS68" s="245">
        <f>IF(BS$7="Actual","",IF($K68="Yes",BS51*(1+BS$59),BS51))</f>
        <v/>
      </c>
      <c r="BT68" s="245">
        <f>IF(BT$7="Actual","",IF($K68="Yes",BT51*(1+BT$59),BT51))</f>
        <v/>
      </c>
      <c r="BU68" s="245">
        <f>IF(BU$7="Actual","",IF($K68="Yes",BU51*(1+BU$59),BU51))</f>
        <v/>
      </c>
      <c r="BV68" s="245">
        <f>IF(BV$7="Actual","",IF($K68="Yes",BV51*(1+BV$59),BV51))</f>
        <v/>
      </c>
      <c r="BW68" s="245">
        <f>IF(BW$7="Actual","",IF($K68="Yes",BW51*(1+BW$59),BW51))</f>
        <v/>
      </c>
      <c r="BX68" s="245">
        <f>IF(BX$7="Actual","",IF($K68="Yes",BX51*(1+BX$59),BX51))</f>
        <v/>
      </c>
      <c r="BY68" s="245">
        <f>IF(BY$7="Actual","",IF($K68="Yes",BY51*(1+BY$59),BY51))</f>
        <v/>
      </c>
      <c r="BZ68" s="245">
        <f>IF(BZ$7="Actual","",IF($K68="Yes",BZ51*(1+BZ$59),BZ51))</f>
        <v/>
      </c>
      <c r="CA68" s="245">
        <f>IF(CA$7="Actual","",IF($K68="Yes",CA51*(1+CA$59),CA51))</f>
        <v/>
      </c>
    </row>
    <row r="69" ht="12" customHeight="1" s="227">
      <c r="A69" s="244" t="n"/>
      <c r="B69" s="244" t="n"/>
      <c r="C69" s="244" t="n"/>
      <c r="H69" s="0">
        <f>H52</f>
        <v/>
      </c>
      <c r="I69" s="27">
        <f>i_Setup!$M$16</f>
        <v/>
      </c>
      <c r="K69" s="259">
        <f>i_Setup!P40</f>
        <v/>
      </c>
      <c r="M69" s="245">
        <f>SUMIF($T$4:$CA$4,M$4,$T69:$CA69)</f>
        <v/>
      </c>
      <c r="N69" s="245">
        <f>SUMIF($T$4:$CA$4,N$4,$T69:$CA69)</f>
        <v/>
      </c>
      <c r="O69" s="245">
        <f>SUMIF($T$4:$CA$4,O$4,$T69:$CA69)</f>
        <v/>
      </c>
      <c r="P69" s="245">
        <f>SUMIF($T$4:$CA$4,P$4,$T69:$CA69)</f>
        <v/>
      </c>
      <c r="Q69" s="245">
        <f>SUMIF($T$4:$CA$4,Q$4,$T69:$CA69)</f>
        <v/>
      </c>
      <c r="T69" s="245">
        <f>IF(T$7="Actual","",IF($K69="Yes",T52*(1+T$59),T52))</f>
        <v/>
      </c>
      <c r="U69" s="245">
        <f>IF(U$7="Actual","",IF($K69="Yes",U52*(1+U$59),U52))</f>
        <v/>
      </c>
      <c r="V69" s="245">
        <f>IF(V$7="Actual","",IF($K69="Yes",V52*(1+V$59),V52))</f>
        <v/>
      </c>
      <c r="W69" s="245">
        <f>IF(W$7="Actual","",IF($K69="Yes",W52*(1+W$59),W52))</f>
        <v/>
      </c>
      <c r="X69" s="245">
        <f>IF(X$7="Actual","",IF($K69="Yes",X52*(1+X$59),X52))</f>
        <v/>
      </c>
      <c r="Y69" s="245">
        <f>IF(Y$7="Actual","",IF($K69="Yes",Y52*(1+Y$59),Y52))</f>
        <v/>
      </c>
      <c r="Z69" s="245">
        <f>IF(Z$7="Actual","",IF($K69="Yes",Z52*(1+Z$59),Z52))</f>
        <v/>
      </c>
      <c r="AA69" s="245">
        <f>IF(AA$7="Actual","",IF($K69="Yes",AA52*(1+AA$59),AA52))</f>
        <v/>
      </c>
      <c r="AB69" s="245">
        <f>IF(AB$7="Actual","",IF($K69="Yes",AB52*(1+AB$59),AB52))</f>
        <v/>
      </c>
      <c r="AC69" s="245">
        <f>IF(AC$7="Actual","",IF($K69="Yes",AC52*(1+AC$59),AC52))</f>
        <v/>
      </c>
      <c r="AD69" s="245">
        <f>IF(AD$7="Actual","",IF($K69="Yes",AD52*(1+AD$59),AD52))</f>
        <v/>
      </c>
      <c r="AE69" s="245">
        <f>IF(AE$7="Actual","",IF($K69="Yes",AE52*(1+AE$59),AE52))</f>
        <v/>
      </c>
      <c r="AF69" s="245">
        <f>IF(AF$7="Actual","",IF($K69="Yes",AF52*(1+AF$59),AF52))</f>
        <v/>
      </c>
      <c r="AG69" s="245">
        <f>IF(AG$7="Actual","",IF($K69="Yes",AG52*(1+AG$59),AG52))</f>
        <v/>
      </c>
      <c r="AH69" s="245">
        <f>IF(AH$7="Actual","",IF($K69="Yes",AH52*(1+AH$59),AH52))</f>
        <v/>
      </c>
      <c r="AI69" s="245">
        <f>IF(AI$7="Actual","",IF($K69="Yes",AI52*(1+AI$59),AI52))</f>
        <v/>
      </c>
      <c r="AJ69" s="245">
        <f>IF(AJ$7="Actual","",IF($K69="Yes",AJ52*(1+AJ$59),AJ52))</f>
        <v/>
      </c>
      <c r="AK69" s="245">
        <f>IF(AK$7="Actual","",IF($K69="Yes",AK52*(1+AK$59),AK52))</f>
        <v/>
      </c>
      <c r="AL69" s="245">
        <f>IF(AL$7="Actual","",IF($K69="Yes",AL52*(1+AL$59),AL52))</f>
        <v/>
      </c>
      <c r="AM69" s="245">
        <f>IF(AM$7="Actual","",IF($K69="Yes",AM52*(1+AM$59),AM52))</f>
        <v/>
      </c>
      <c r="AN69" s="245">
        <f>IF(AN$7="Actual","",IF($K69="Yes",AN52*(1+AN$59),AN52))</f>
        <v/>
      </c>
      <c r="AO69" s="245">
        <f>IF(AO$7="Actual","",IF($K69="Yes",AO52*(1+AO$59),AO52))</f>
        <v/>
      </c>
      <c r="AP69" s="245">
        <f>IF(AP$7="Actual","",IF($K69="Yes",AP52*(1+AP$59),AP52))</f>
        <v/>
      </c>
      <c r="AQ69" s="245">
        <f>IF(AQ$7="Actual","",IF($K69="Yes",AQ52*(1+AQ$59),AQ52))</f>
        <v/>
      </c>
      <c r="AR69" s="245">
        <f>IF(AR$7="Actual","",IF($K69="Yes",AR52*(1+AR$59),AR52))</f>
        <v/>
      </c>
      <c r="AS69" s="245">
        <f>IF(AS$7="Actual","",IF($K69="Yes",AS52*(1+AS$59),AS52))</f>
        <v/>
      </c>
      <c r="AT69" s="245">
        <f>IF(AT$7="Actual","",IF($K69="Yes",AT52*(1+AT$59),AT52))</f>
        <v/>
      </c>
      <c r="AU69" s="245">
        <f>IF(AU$7="Actual","",IF($K69="Yes",AU52*(1+AU$59),AU52))</f>
        <v/>
      </c>
      <c r="AV69" s="245">
        <f>IF(AV$7="Actual","",IF($K69="Yes",AV52*(1+AV$59),AV52))</f>
        <v/>
      </c>
      <c r="AW69" s="245">
        <f>IF(AW$7="Actual","",IF($K69="Yes",AW52*(1+AW$59),AW52))</f>
        <v/>
      </c>
      <c r="AX69" s="245">
        <f>IF(AX$7="Actual","",IF($K69="Yes",AX52*(1+AX$59),AX52))</f>
        <v/>
      </c>
      <c r="AY69" s="245">
        <f>IF(AY$7="Actual","",IF($K69="Yes",AY52*(1+AY$59),AY52))</f>
        <v/>
      </c>
      <c r="AZ69" s="245">
        <f>IF(AZ$7="Actual","",IF($K69="Yes",AZ52*(1+AZ$59),AZ52))</f>
        <v/>
      </c>
      <c r="BA69" s="245">
        <f>IF(BA$7="Actual","",IF($K69="Yes",BA52*(1+BA$59),BA52))</f>
        <v/>
      </c>
      <c r="BB69" s="245">
        <f>IF(BB$7="Actual","",IF($K69="Yes",BB52*(1+BB$59),BB52))</f>
        <v/>
      </c>
      <c r="BC69" s="245">
        <f>IF(BC$7="Actual","",IF($K69="Yes",BC52*(1+BC$59),BC52))</f>
        <v/>
      </c>
      <c r="BD69" s="245">
        <f>IF(BD$7="Actual","",IF($K69="Yes",BD52*(1+BD$59),BD52))</f>
        <v/>
      </c>
      <c r="BE69" s="245">
        <f>IF(BE$7="Actual","",IF($K69="Yes",BE52*(1+BE$59),BE52))</f>
        <v/>
      </c>
      <c r="BF69" s="245">
        <f>IF(BF$7="Actual","",IF($K69="Yes",BF52*(1+BF$59),BF52))</f>
        <v/>
      </c>
      <c r="BG69" s="245">
        <f>IF(BG$7="Actual","",IF($K69="Yes",BG52*(1+BG$59),BG52))</f>
        <v/>
      </c>
      <c r="BH69" s="245">
        <f>IF(BH$7="Actual","",IF($K69="Yes",BH52*(1+BH$59),BH52))</f>
        <v/>
      </c>
      <c r="BI69" s="245">
        <f>IF(BI$7="Actual","",IF($K69="Yes",BI52*(1+BI$59),BI52))</f>
        <v/>
      </c>
      <c r="BJ69" s="245">
        <f>IF(BJ$7="Actual","",IF($K69="Yes",BJ52*(1+BJ$59),BJ52))</f>
        <v/>
      </c>
      <c r="BK69" s="245">
        <f>IF(BK$7="Actual","",IF($K69="Yes",BK52*(1+BK$59),BK52))</f>
        <v/>
      </c>
      <c r="BL69" s="245">
        <f>IF(BL$7="Actual","",IF($K69="Yes",BL52*(1+BL$59),BL52))</f>
        <v/>
      </c>
      <c r="BM69" s="245">
        <f>IF(BM$7="Actual","",IF($K69="Yes",BM52*(1+BM$59),BM52))</f>
        <v/>
      </c>
      <c r="BN69" s="245">
        <f>IF(BN$7="Actual","",IF($K69="Yes",BN52*(1+BN$59),BN52))</f>
        <v/>
      </c>
      <c r="BO69" s="245">
        <f>IF(BO$7="Actual","",IF($K69="Yes",BO52*(1+BO$59),BO52))</f>
        <v/>
      </c>
      <c r="BP69" s="245">
        <f>IF(BP$7="Actual","",IF($K69="Yes",BP52*(1+BP$59),BP52))</f>
        <v/>
      </c>
      <c r="BQ69" s="245">
        <f>IF(BQ$7="Actual","",IF($K69="Yes",BQ52*(1+BQ$59),BQ52))</f>
        <v/>
      </c>
      <c r="BR69" s="245">
        <f>IF(BR$7="Actual","",IF($K69="Yes",BR52*(1+BR$59),BR52))</f>
        <v/>
      </c>
      <c r="BS69" s="245">
        <f>IF(BS$7="Actual","",IF($K69="Yes",BS52*(1+BS$59),BS52))</f>
        <v/>
      </c>
      <c r="BT69" s="245">
        <f>IF(BT$7="Actual","",IF($K69="Yes",BT52*(1+BT$59),BT52))</f>
        <v/>
      </c>
      <c r="BU69" s="245">
        <f>IF(BU$7="Actual","",IF($K69="Yes",BU52*(1+BU$59),BU52))</f>
        <v/>
      </c>
      <c r="BV69" s="245">
        <f>IF(BV$7="Actual","",IF($K69="Yes",BV52*(1+BV$59),BV52))</f>
        <v/>
      </c>
      <c r="BW69" s="245">
        <f>IF(BW$7="Actual","",IF($K69="Yes",BW52*(1+BW$59),BW52))</f>
        <v/>
      </c>
      <c r="BX69" s="245">
        <f>IF(BX$7="Actual","",IF($K69="Yes",BX52*(1+BX$59),BX52))</f>
        <v/>
      </c>
      <c r="BY69" s="245">
        <f>IF(BY$7="Actual","",IF($K69="Yes",BY52*(1+BY$59),BY52))</f>
        <v/>
      </c>
      <c r="BZ69" s="245">
        <f>IF(BZ$7="Actual","",IF($K69="Yes",BZ52*(1+BZ$59),BZ52))</f>
        <v/>
      </c>
      <c r="CA69" s="245">
        <f>IF(CA$7="Actual","",IF($K69="Yes",CA52*(1+CA$59),CA52))</f>
        <v/>
      </c>
    </row>
    <row r="70" ht="12" customHeight="1" s="227">
      <c r="A70" s="244" t="n"/>
      <c r="B70" s="244" t="n"/>
      <c r="C70" s="244" t="n"/>
      <c r="H70" s="0">
        <f>H53</f>
        <v/>
      </c>
      <c r="I70" s="27">
        <f>i_Setup!$M$16</f>
        <v/>
      </c>
      <c r="K70" s="259">
        <f>i_Setup!P41</f>
        <v/>
      </c>
      <c r="M70" s="245">
        <f>SUMIF($T$4:$CA$4,M$4,$T70:$CA70)</f>
        <v/>
      </c>
      <c r="N70" s="245">
        <f>SUMIF($T$4:$CA$4,N$4,$T70:$CA70)</f>
        <v/>
      </c>
      <c r="O70" s="245">
        <f>SUMIF($T$4:$CA$4,O$4,$T70:$CA70)</f>
        <v/>
      </c>
      <c r="P70" s="245">
        <f>SUMIF($T$4:$CA$4,P$4,$T70:$CA70)</f>
        <v/>
      </c>
      <c r="Q70" s="245">
        <f>SUMIF($T$4:$CA$4,Q$4,$T70:$CA70)</f>
        <v/>
      </c>
      <c r="T70" s="245">
        <f>IF(T$7="Actual","",IF($K70="Yes",T53*(1+T$59),T53))</f>
        <v/>
      </c>
      <c r="U70" s="245">
        <f>IF(U$7="Actual","",IF($K70="Yes",U53*(1+U$59),U53))</f>
        <v/>
      </c>
      <c r="V70" s="245">
        <f>IF(V$7="Actual","",IF($K70="Yes",V53*(1+V$59),V53))</f>
        <v/>
      </c>
      <c r="W70" s="245">
        <f>IF(W$7="Actual","",IF($K70="Yes",W53*(1+W$59),W53))</f>
        <v/>
      </c>
      <c r="X70" s="245">
        <f>IF(X$7="Actual","",IF($K70="Yes",X53*(1+X$59),X53))</f>
        <v/>
      </c>
      <c r="Y70" s="245">
        <f>IF(Y$7="Actual","",IF($K70="Yes",Y53*(1+Y$59),Y53))</f>
        <v/>
      </c>
      <c r="Z70" s="245">
        <f>IF(Z$7="Actual","",IF($K70="Yes",Z53*(1+Z$59),Z53))</f>
        <v/>
      </c>
      <c r="AA70" s="245">
        <f>IF(AA$7="Actual","",IF($K70="Yes",AA53*(1+AA$59),AA53))</f>
        <v/>
      </c>
      <c r="AB70" s="245">
        <f>IF(AB$7="Actual","",IF($K70="Yes",AB53*(1+AB$59),AB53))</f>
        <v/>
      </c>
      <c r="AC70" s="245">
        <f>IF(AC$7="Actual","",IF($K70="Yes",AC53*(1+AC$59),AC53))</f>
        <v/>
      </c>
      <c r="AD70" s="245">
        <f>IF(AD$7="Actual","",IF($K70="Yes",AD53*(1+AD$59),AD53))</f>
        <v/>
      </c>
      <c r="AE70" s="245">
        <f>IF(AE$7="Actual","",IF($K70="Yes",AE53*(1+AE$59),AE53))</f>
        <v/>
      </c>
      <c r="AF70" s="245">
        <f>IF(AF$7="Actual","",IF($K70="Yes",AF53*(1+AF$59),AF53))</f>
        <v/>
      </c>
      <c r="AG70" s="245">
        <f>IF(AG$7="Actual","",IF($K70="Yes",AG53*(1+AG$59),AG53))</f>
        <v/>
      </c>
      <c r="AH70" s="245">
        <f>IF(AH$7="Actual","",IF($K70="Yes",AH53*(1+AH$59),AH53))</f>
        <v/>
      </c>
      <c r="AI70" s="245">
        <f>IF(AI$7="Actual","",IF($K70="Yes",AI53*(1+AI$59),AI53))</f>
        <v/>
      </c>
      <c r="AJ70" s="245">
        <f>IF(AJ$7="Actual","",IF($K70="Yes",AJ53*(1+AJ$59),AJ53))</f>
        <v/>
      </c>
      <c r="AK70" s="245">
        <f>IF(AK$7="Actual","",IF($K70="Yes",AK53*(1+AK$59),AK53))</f>
        <v/>
      </c>
      <c r="AL70" s="245">
        <f>IF(AL$7="Actual","",IF($K70="Yes",AL53*(1+AL$59),AL53))</f>
        <v/>
      </c>
      <c r="AM70" s="245">
        <f>IF(AM$7="Actual","",IF($K70="Yes",AM53*(1+AM$59),AM53))</f>
        <v/>
      </c>
      <c r="AN70" s="245">
        <f>IF(AN$7="Actual","",IF($K70="Yes",AN53*(1+AN$59),AN53))</f>
        <v/>
      </c>
      <c r="AO70" s="245">
        <f>IF(AO$7="Actual","",IF($K70="Yes",AO53*(1+AO$59),AO53))</f>
        <v/>
      </c>
      <c r="AP70" s="245">
        <f>IF(AP$7="Actual","",IF($K70="Yes",AP53*(1+AP$59),AP53))</f>
        <v/>
      </c>
      <c r="AQ70" s="245">
        <f>IF(AQ$7="Actual","",IF($K70="Yes",AQ53*(1+AQ$59),AQ53))</f>
        <v/>
      </c>
      <c r="AR70" s="245">
        <f>IF(AR$7="Actual","",IF($K70="Yes",AR53*(1+AR$59),AR53))</f>
        <v/>
      </c>
      <c r="AS70" s="245">
        <f>IF(AS$7="Actual","",IF($K70="Yes",AS53*(1+AS$59),AS53))</f>
        <v/>
      </c>
      <c r="AT70" s="245">
        <f>IF(AT$7="Actual","",IF($K70="Yes",AT53*(1+AT$59),AT53))</f>
        <v/>
      </c>
      <c r="AU70" s="245">
        <f>IF(AU$7="Actual","",IF($K70="Yes",AU53*(1+AU$59),AU53))</f>
        <v/>
      </c>
      <c r="AV70" s="245">
        <f>IF(AV$7="Actual","",IF($K70="Yes",AV53*(1+AV$59),AV53))</f>
        <v/>
      </c>
      <c r="AW70" s="245">
        <f>IF(AW$7="Actual","",IF($K70="Yes",AW53*(1+AW$59),AW53))</f>
        <v/>
      </c>
      <c r="AX70" s="245">
        <f>IF(AX$7="Actual","",IF($K70="Yes",AX53*(1+AX$59),AX53))</f>
        <v/>
      </c>
      <c r="AY70" s="245">
        <f>IF(AY$7="Actual","",IF($K70="Yes",AY53*(1+AY$59),AY53))</f>
        <v/>
      </c>
      <c r="AZ70" s="245">
        <f>IF(AZ$7="Actual","",IF($K70="Yes",AZ53*(1+AZ$59),AZ53))</f>
        <v/>
      </c>
      <c r="BA70" s="245">
        <f>IF(BA$7="Actual","",IF($K70="Yes",BA53*(1+BA$59),BA53))</f>
        <v/>
      </c>
      <c r="BB70" s="245">
        <f>IF(BB$7="Actual","",IF($K70="Yes",BB53*(1+BB$59),BB53))</f>
        <v/>
      </c>
      <c r="BC70" s="245">
        <f>IF(BC$7="Actual","",IF($K70="Yes",BC53*(1+BC$59),BC53))</f>
        <v/>
      </c>
      <c r="BD70" s="245">
        <f>IF(BD$7="Actual","",IF($K70="Yes",BD53*(1+BD$59),BD53))</f>
        <v/>
      </c>
      <c r="BE70" s="245">
        <f>IF(BE$7="Actual","",IF($K70="Yes",BE53*(1+BE$59),BE53))</f>
        <v/>
      </c>
      <c r="BF70" s="245">
        <f>IF(BF$7="Actual","",IF($K70="Yes",BF53*(1+BF$59),BF53))</f>
        <v/>
      </c>
      <c r="BG70" s="245">
        <f>IF(BG$7="Actual","",IF($K70="Yes",BG53*(1+BG$59),BG53))</f>
        <v/>
      </c>
      <c r="BH70" s="245">
        <f>IF(BH$7="Actual","",IF($K70="Yes",BH53*(1+BH$59),BH53))</f>
        <v/>
      </c>
      <c r="BI70" s="245">
        <f>IF(BI$7="Actual","",IF($K70="Yes",BI53*(1+BI$59),BI53))</f>
        <v/>
      </c>
      <c r="BJ70" s="245">
        <f>IF(BJ$7="Actual","",IF($K70="Yes",BJ53*(1+BJ$59),BJ53))</f>
        <v/>
      </c>
      <c r="BK70" s="245">
        <f>IF(BK$7="Actual","",IF($K70="Yes",BK53*(1+BK$59),BK53))</f>
        <v/>
      </c>
      <c r="BL70" s="245">
        <f>IF(BL$7="Actual","",IF($K70="Yes",BL53*(1+BL$59),BL53))</f>
        <v/>
      </c>
      <c r="BM70" s="245">
        <f>IF(BM$7="Actual","",IF($K70="Yes",BM53*(1+BM$59),BM53))</f>
        <v/>
      </c>
      <c r="BN70" s="245">
        <f>IF(BN$7="Actual","",IF($K70="Yes",BN53*(1+BN$59),BN53))</f>
        <v/>
      </c>
      <c r="BO70" s="245">
        <f>IF(BO$7="Actual","",IF($K70="Yes",BO53*(1+BO$59),BO53))</f>
        <v/>
      </c>
      <c r="BP70" s="245">
        <f>IF(BP$7="Actual","",IF($K70="Yes",BP53*(1+BP$59),BP53))</f>
        <v/>
      </c>
      <c r="BQ70" s="245">
        <f>IF(BQ$7="Actual","",IF($K70="Yes",BQ53*(1+BQ$59),BQ53))</f>
        <v/>
      </c>
      <c r="BR70" s="245">
        <f>IF(BR$7="Actual","",IF($K70="Yes",BR53*(1+BR$59),BR53))</f>
        <v/>
      </c>
      <c r="BS70" s="245">
        <f>IF(BS$7="Actual","",IF($K70="Yes",BS53*(1+BS$59),BS53))</f>
        <v/>
      </c>
      <c r="BT70" s="245">
        <f>IF(BT$7="Actual","",IF($K70="Yes",BT53*(1+BT$59),BT53))</f>
        <v/>
      </c>
      <c r="BU70" s="245">
        <f>IF(BU$7="Actual","",IF($K70="Yes",BU53*(1+BU$59),BU53))</f>
        <v/>
      </c>
      <c r="BV70" s="245">
        <f>IF(BV$7="Actual","",IF($K70="Yes",BV53*(1+BV$59),BV53))</f>
        <v/>
      </c>
      <c r="BW70" s="245">
        <f>IF(BW$7="Actual","",IF($K70="Yes",BW53*(1+BW$59),BW53))</f>
        <v/>
      </c>
      <c r="BX70" s="245">
        <f>IF(BX$7="Actual","",IF($K70="Yes",BX53*(1+BX$59),BX53))</f>
        <v/>
      </c>
      <c r="BY70" s="245">
        <f>IF(BY$7="Actual","",IF($K70="Yes",BY53*(1+BY$59),BY53))</f>
        <v/>
      </c>
      <c r="BZ70" s="245">
        <f>IF(BZ$7="Actual","",IF($K70="Yes",BZ53*(1+BZ$59),BZ53))</f>
        <v/>
      </c>
      <c r="CA70" s="245">
        <f>IF(CA$7="Actual","",IF($K70="Yes",CA53*(1+CA$59),CA53))</f>
        <v/>
      </c>
    </row>
    <row r="71" ht="12" customHeight="1" s="227" thickBot="1">
      <c r="A71" s="244" t="n"/>
      <c r="B71" s="244" t="n"/>
      <c r="C71" s="244" t="n"/>
      <c r="H71" s="42" t="inlineStr">
        <is>
          <t>Total Revenue Incl Tax</t>
        </is>
      </c>
      <c r="I71" s="43">
        <f>i_Setup!$M$16</f>
        <v/>
      </c>
      <c r="K71" s="6" t="n"/>
      <c r="M71" s="264">
        <f>SUM(M61:M70)</f>
        <v/>
      </c>
      <c r="N71" s="264">
        <f>SUM(N61:N70)</f>
        <v/>
      </c>
      <c r="O71" s="264">
        <f>SUM(O61:O70)</f>
        <v/>
      </c>
      <c r="P71" s="264">
        <f>SUM(P61:P70)</f>
        <v/>
      </c>
      <c r="Q71" s="264">
        <f>SUM(Q61:Q70)</f>
        <v/>
      </c>
      <c r="T71" s="264">
        <f>SUM(T61:T70)</f>
        <v/>
      </c>
      <c r="U71" s="264">
        <f>SUM(U61:U70)</f>
        <v/>
      </c>
      <c r="V71" s="264">
        <f>SUM(V61:V70)</f>
        <v/>
      </c>
      <c r="W71" s="264">
        <f>SUM(W61:W70)</f>
        <v/>
      </c>
      <c r="X71" s="264">
        <f>SUM(X61:X70)</f>
        <v/>
      </c>
      <c r="Y71" s="264">
        <f>SUM(Y61:Y70)</f>
        <v/>
      </c>
      <c r="Z71" s="264">
        <f>SUM(Z61:Z70)</f>
        <v/>
      </c>
      <c r="AA71" s="264">
        <f>SUM(AA61:AA70)</f>
        <v/>
      </c>
      <c r="AB71" s="264">
        <f>SUM(AB61:AB70)</f>
        <v/>
      </c>
      <c r="AC71" s="264">
        <f>SUM(AC61:AC70)</f>
        <v/>
      </c>
      <c r="AD71" s="264">
        <f>SUM(AD61:AD70)</f>
        <v/>
      </c>
      <c r="AE71" s="264">
        <f>SUM(AE61:AE70)</f>
        <v/>
      </c>
      <c r="AF71" s="264">
        <f>SUM(AF61:AF70)</f>
        <v/>
      </c>
      <c r="AG71" s="264">
        <f>SUM(AG61:AG70)</f>
        <v/>
      </c>
      <c r="AH71" s="264">
        <f>SUM(AH61:AH70)</f>
        <v/>
      </c>
      <c r="AI71" s="264">
        <f>SUM(AI61:AI70)</f>
        <v/>
      </c>
      <c r="AJ71" s="264">
        <f>SUM(AJ61:AJ70)</f>
        <v/>
      </c>
      <c r="AK71" s="264">
        <f>SUM(AK61:AK70)</f>
        <v/>
      </c>
      <c r="AL71" s="264">
        <f>SUM(AL61:AL70)</f>
        <v/>
      </c>
      <c r="AM71" s="264">
        <f>SUM(AM61:AM70)</f>
        <v/>
      </c>
      <c r="AN71" s="264">
        <f>SUM(AN61:AN70)</f>
        <v/>
      </c>
      <c r="AO71" s="264">
        <f>SUM(AO61:AO70)</f>
        <v/>
      </c>
      <c r="AP71" s="264">
        <f>SUM(AP61:AP70)</f>
        <v/>
      </c>
      <c r="AQ71" s="264">
        <f>SUM(AQ61:AQ70)</f>
        <v/>
      </c>
      <c r="AR71" s="264">
        <f>SUM(AR61:AR70)</f>
        <v/>
      </c>
      <c r="AS71" s="264">
        <f>SUM(AS61:AS70)</f>
        <v/>
      </c>
      <c r="AT71" s="264">
        <f>SUM(AT61:AT70)</f>
        <v/>
      </c>
      <c r="AU71" s="264">
        <f>SUM(AU61:AU70)</f>
        <v/>
      </c>
      <c r="AV71" s="264">
        <f>SUM(AV61:AV70)</f>
        <v/>
      </c>
      <c r="AW71" s="264">
        <f>SUM(AW61:AW70)</f>
        <v/>
      </c>
      <c r="AX71" s="264">
        <f>SUM(AX61:AX70)</f>
        <v/>
      </c>
      <c r="AY71" s="264">
        <f>SUM(AY61:AY70)</f>
        <v/>
      </c>
      <c r="AZ71" s="264">
        <f>SUM(AZ61:AZ70)</f>
        <v/>
      </c>
      <c r="BA71" s="264">
        <f>SUM(BA61:BA70)</f>
        <v/>
      </c>
      <c r="BB71" s="264">
        <f>SUM(BB61:BB70)</f>
        <v/>
      </c>
      <c r="BC71" s="264">
        <f>SUM(BC61:BC70)</f>
        <v/>
      </c>
      <c r="BD71" s="264">
        <f>SUM(BD61:BD70)</f>
        <v/>
      </c>
      <c r="BE71" s="264">
        <f>SUM(BE61:BE70)</f>
        <v/>
      </c>
      <c r="BF71" s="264">
        <f>SUM(BF61:BF70)</f>
        <v/>
      </c>
      <c r="BG71" s="264">
        <f>SUM(BG61:BG70)</f>
        <v/>
      </c>
      <c r="BH71" s="264">
        <f>SUM(BH61:BH70)</f>
        <v/>
      </c>
      <c r="BI71" s="264">
        <f>SUM(BI61:BI70)</f>
        <v/>
      </c>
      <c r="BJ71" s="264">
        <f>SUM(BJ61:BJ70)</f>
        <v/>
      </c>
      <c r="BK71" s="264">
        <f>SUM(BK61:BK70)</f>
        <v/>
      </c>
      <c r="BL71" s="264">
        <f>SUM(BL61:BL70)</f>
        <v/>
      </c>
      <c r="BM71" s="264">
        <f>SUM(BM61:BM70)</f>
        <v/>
      </c>
      <c r="BN71" s="264">
        <f>SUM(BN61:BN70)</f>
        <v/>
      </c>
      <c r="BO71" s="264">
        <f>SUM(BO61:BO70)</f>
        <v/>
      </c>
      <c r="BP71" s="264">
        <f>SUM(BP61:BP70)</f>
        <v/>
      </c>
      <c r="BQ71" s="264">
        <f>SUM(BQ61:BQ70)</f>
        <v/>
      </c>
      <c r="BR71" s="264">
        <f>SUM(BR61:BR70)</f>
        <v/>
      </c>
      <c r="BS71" s="264">
        <f>SUM(BS61:BS70)</f>
        <v/>
      </c>
      <c r="BT71" s="264">
        <f>SUM(BT61:BT70)</f>
        <v/>
      </c>
      <c r="BU71" s="264">
        <f>SUM(BU61:BU70)</f>
        <v/>
      </c>
      <c r="BV71" s="264">
        <f>SUM(BV61:BV70)</f>
        <v/>
      </c>
      <c r="BW71" s="264">
        <f>SUM(BW61:BW70)</f>
        <v/>
      </c>
      <c r="BX71" s="264">
        <f>SUM(BX61:BX70)</f>
        <v/>
      </c>
      <c r="BY71" s="264">
        <f>SUM(BY61:BY70)</f>
        <v/>
      </c>
      <c r="BZ71" s="264">
        <f>SUM(BZ61:BZ70)</f>
        <v/>
      </c>
      <c r="CA71" s="264">
        <f>SUM(CA61:CA70)</f>
        <v/>
      </c>
    </row>
    <row r="72" ht="12" customHeight="1" s="227">
      <c r="A72" s="244" t="n"/>
      <c r="B72" s="244" t="n"/>
      <c r="C72" s="244" t="n"/>
      <c r="I72" s="27" t="n"/>
      <c r="M72" s="245" t="n"/>
      <c r="N72" s="245" t="n"/>
      <c r="O72" s="245" t="n"/>
      <c r="P72" s="245" t="n"/>
      <c r="Q72" s="245" t="n"/>
      <c r="T72" s="266" t="n"/>
      <c r="U72" s="266" t="n"/>
      <c r="V72" s="266" t="n"/>
      <c r="W72" s="266" t="n"/>
      <c r="X72" s="266" t="n"/>
      <c r="Y72" s="266" t="n"/>
      <c r="Z72" s="266" t="n"/>
      <c r="AA72" s="266" t="n"/>
      <c r="AB72" s="266" t="n"/>
      <c r="AC72" s="266" t="n"/>
      <c r="AD72" s="266" t="n"/>
      <c r="AE72" s="266" t="n"/>
      <c r="AF72" s="266" t="n"/>
      <c r="AG72" s="266" t="n"/>
      <c r="AH72" s="266" t="n"/>
      <c r="AI72" s="266" t="n"/>
      <c r="AJ72" s="266" t="n"/>
      <c r="AK72" s="266" t="n"/>
      <c r="AL72" s="266" t="n"/>
      <c r="AM72" s="266" t="n"/>
      <c r="AN72" s="266" t="n"/>
      <c r="AO72" s="266" t="n"/>
      <c r="AP72" s="266" t="n"/>
      <c r="AQ72" s="266" t="n"/>
      <c r="AR72" s="266" t="n"/>
      <c r="AS72" s="266" t="n"/>
      <c r="AT72" s="266" t="n"/>
      <c r="AU72" s="266" t="n"/>
      <c r="AV72" s="266" t="n"/>
      <c r="AW72" s="266" t="n"/>
      <c r="AX72" s="266" t="n"/>
      <c r="AY72" s="266" t="n"/>
      <c r="AZ72" s="266" t="n"/>
      <c r="BA72" s="266" t="n"/>
      <c r="BB72" s="266" t="n"/>
      <c r="BC72" s="266" t="n"/>
      <c r="BD72" s="266" t="n"/>
      <c r="BE72" s="266" t="n"/>
      <c r="BF72" s="266" t="n"/>
      <c r="BG72" s="266" t="n"/>
      <c r="BH72" s="266" t="n"/>
      <c r="BI72" s="266" t="n"/>
      <c r="BJ72" s="266" t="n"/>
      <c r="BK72" s="266" t="n"/>
      <c r="BL72" s="266" t="n"/>
      <c r="BM72" s="266" t="n"/>
      <c r="BN72" s="266" t="n"/>
      <c r="BO72" s="266" t="n"/>
      <c r="BP72" s="266" t="n"/>
      <c r="BQ72" s="266" t="n"/>
      <c r="BR72" s="266" t="n"/>
      <c r="BS72" s="266" t="n"/>
      <c r="BT72" s="266" t="n"/>
      <c r="BU72" s="266" t="n"/>
      <c r="BV72" s="266" t="n"/>
      <c r="BW72" s="266" t="n"/>
      <c r="BX72" s="266" t="n"/>
      <c r="BY72" s="266" t="n"/>
      <c r="BZ72" s="266" t="n"/>
      <c r="CA72" s="266" t="n"/>
    </row>
    <row r="73" ht="12" customHeight="1" s="227">
      <c r="A73" s="244" t="n"/>
      <c r="B73" s="244" t="n"/>
      <c r="C73" s="244" t="n"/>
      <c r="I73" s="27" t="n"/>
      <c r="M73" s="245" t="n"/>
      <c r="N73" s="245" t="n"/>
      <c r="O73" s="245" t="n"/>
      <c r="P73" s="245" t="n"/>
      <c r="Q73" s="245" t="n"/>
      <c r="T73" s="266" t="n"/>
      <c r="U73" s="266" t="n"/>
      <c r="V73" s="266" t="n"/>
      <c r="W73" s="266" t="n"/>
      <c r="X73" s="266" t="n"/>
      <c r="Y73" s="266" t="n"/>
      <c r="Z73" s="266" t="n"/>
      <c r="AA73" s="266" t="n"/>
      <c r="AB73" s="266" t="n"/>
      <c r="AC73" s="266" t="n"/>
      <c r="AD73" s="266" t="n"/>
      <c r="AE73" s="266" t="n"/>
      <c r="AF73" s="266" t="n"/>
      <c r="AG73" s="266" t="n"/>
      <c r="AH73" s="266" t="n"/>
      <c r="AI73" s="266" t="n"/>
      <c r="AJ73" s="266" t="n"/>
      <c r="AK73" s="266" t="n"/>
      <c r="AL73" s="266" t="n"/>
      <c r="AM73" s="266" t="n"/>
      <c r="AN73" s="266" t="n"/>
      <c r="AO73" s="266" t="n"/>
      <c r="AP73" s="266" t="n"/>
      <c r="AQ73" s="266" t="n"/>
      <c r="AR73" s="266" t="n"/>
      <c r="AS73" s="266" t="n"/>
      <c r="AT73" s="266" t="n"/>
      <c r="AU73" s="266" t="n"/>
      <c r="AV73" s="266" t="n"/>
      <c r="AW73" s="266" t="n"/>
      <c r="AX73" s="266" t="n"/>
      <c r="AY73" s="266" t="n"/>
      <c r="AZ73" s="266" t="n"/>
      <c r="BA73" s="266" t="n"/>
      <c r="BB73" s="266" t="n"/>
      <c r="BC73" s="266" t="n"/>
      <c r="BD73" s="266" t="n"/>
      <c r="BE73" s="266" t="n"/>
      <c r="BF73" s="266" t="n"/>
      <c r="BG73" s="266" t="n"/>
      <c r="BH73" s="266" t="n"/>
      <c r="BI73" s="266" t="n"/>
      <c r="BJ73" s="266" t="n"/>
      <c r="BK73" s="266" t="n"/>
      <c r="BL73" s="266" t="n"/>
      <c r="BM73" s="266" t="n"/>
      <c r="BN73" s="266" t="n"/>
      <c r="BO73" s="266" t="n"/>
      <c r="BP73" s="266" t="n"/>
      <c r="BQ73" s="266" t="n"/>
      <c r="BR73" s="266" t="n"/>
      <c r="BS73" s="266" t="n"/>
      <c r="BT73" s="266" t="n"/>
      <c r="BU73" s="266" t="n"/>
      <c r="BV73" s="266" t="n"/>
      <c r="BW73" s="266" t="n"/>
      <c r="BX73" s="266" t="n"/>
      <c r="BY73" s="266" t="n"/>
      <c r="BZ73" s="266" t="n"/>
      <c r="CA73" s="266" t="n"/>
    </row>
    <row r="74" ht="13.5" customFormat="1" customHeight="1" s="223" thickBot="1">
      <c r="E74" s="223">
        <f>Heading2</f>
        <v/>
      </c>
      <c r="F74" s="223" t="inlineStr">
        <is>
          <t>Accounts Receivable</t>
        </is>
      </c>
    </row>
    <row r="75" ht="12" customHeight="1" s="227">
      <c r="A75" s="244" t="n"/>
      <c r="B75" s="244" t="n"/>
      <c r="C75" s="244" t="n"/>
      <c r="I75" s="27" t="n"/>
      <c r="M75" s="245" t="n"/>
      <c r="N75" s="245" t="n"/>
      <c r="O75" s="245" t="n"/>
      <c r="P75" s="245" t="n"/>
      <c r="Q75" s="245" t="n"/>
      <c r="T75" s="266" t="n"/>
      <c r="U75" s="266" t="n"/>
      <c r="V75" s="266" t="n"/>
      <c r="W75" s="266" t="n"/>
      <c r="X75" s="266" t="n"/>
      <c r="Y75" s="266" t="n"/>
      <c r="Z75" s="266" t="n"/>
      <c r="AA75" s="266" t="n"/>
      <c r="AB75" s="266" t="n"/>
      <c r="AC75" s="266" t="n"/>
      <c r="AD75" s="266" t="n"/>
      <c r="AE75" s="266" t="n"/>
      <c r="AF75" s="266" t="n"/>
      <c r="AG75" s="266" t="n"/>
      <c r="AH75" s="266" t="n"/>
      <c r="AI75" s="266" t="n"/>
      <c r="AJ75" s="266" t="n"/>
      <c r="AK75" s="266" t="n"/>
      <c r="AL75" s="266" t="n"/>
      <c r="AM75" s="266" t="n"/>
      <c r="AN75" s="266" t="n"/>
      <c r="AO75" s="266" t="n"/>
      <c r="AP75" s="266" t="n"/>
      <c r="AQ75" s="266" t="n"/>
      <c r="AR75" s="266" t="n"/>
      <c r="AS75" s="266" t="n"/>
      <c r="AT75" s="266" t="n"/>
      <c r="AU75" s="266" t="n"/>
      <c r="AV75" s="266" t="n"/>
      <c r="AW75" s="266" t="n"/>
      <c r="AX75" s="266" t="n"/>
      <c r="AY75" s="266" t="n"/>
      <c r="AZ75" s="266" t="n"/>
      <c r="BA75" s="266" t="n"/>
      <c r="BB75" s="266" t="n"/>
      <c r="BC75" s="266" t="n"/>
      <c r="BD75" s="266" t="n"/>
      <c r="BE75" s="266" t="n"/>
      <c r="BF75" s="266" t="n"/>
      <c r="BG75" s="266" t="n"/>
      <c r="BH75" s="266" t="n"/>
      <c r="BI75" s="266" t="n"/>
      <c r="BJ75" s="266" t="n"/>
      <c r="BK75" s="266" t="n"/>
      <c r="BL75" s="266" t="n"/>
      <c r="BM75" s="266" t="n"/>
      <c r="BN75" s="266" t="n"/>
      <c r="BO75" s="266" t="n"/>
      <c r="BP75" s="266" t="n"/>
      <c r="BQ75" s="266" t="n"/>
      <c r="BR75" s="266" t="n"/>
      <c r="BS75" s="266" t="n"/>
      <c r="BT75" s="266" t="n"/>
      <c r="BU75" s="266" t="n"/>
      <c r="BV75" s="266" t="n"/>
      <c r="BW75" s="266" t="n"/>
      <c r="BX75" s="266" t="n"/>
      <c r="BY75" s="266" t="n"/>
      <c r="BZ75" s="266" t="n"/>
      <c r="CA75" s="266" t="n"/>
    </row>
    <row r="76" ht="12" customHeight="1" s="227">
      <c r="A76" s="244" t="n"/>
      <c r="B76" s="244" t="n"/>
      <c r="C76" s="244" t="n"/>
      <c r="G76" s="222" t="inlineStr">
        <is>
          <t>Receipts</t>
        </is>
      </c>
      <c r="K76" s="6" t="n"/>
    </row>
    <row r="77" ht="12" customHeight="1" s="227">
      <c r="A77" s="244" t="n"/>
      <c r="B77" s="244" t="n"/>
      <c r="C77" s="244" t="n"/>
      <c r="K77" s="6" t="n"/>
    </row>
    <row r="78" ht="12" customHeight="1" s="227">
      <c r="A78" s="244" t="n"/>
      <c r="B78" s="244" t="n"/>
      <c r="C78" s="244" t="n"/>
      <c r="H78" s="4" t="inlineStr">
        <is>
          <t xml:space="preserve">Accounts Receivables Opening Balance </t>
        </is>
      </c>
      <c r="I78" s="27">
        <f>i_Setup!$M$16</f>
        <v/>
      </c>
      <c r="K78" s="6" t="n"/>
      <c r="T78" s="245">
        <f>IF(T$2=i_Setup!$U$26,i_Actuals!T125,0)</f>
        <v/>
      </c>
      <c r="U78" s="245">
        <f>IF(U$2=i_Setup!$U$26,i_Actuals!U125,0)</f>
        <v/>
      </c>
      <c r="V78" s="245">
        <f>IF(V$2=i_Setup!$U$26,i_Actuals!V125,0)</f>
        <v/>
      </c>
      <c r="W78" s="245">
        <f>IF(W$2=i_Setup!$U$26,i_Actuals!W125,0)</f>
        <v/>
      </c>
      <c r="X78" s="245">
        <f>IF(X$2=i_Setup!$U$26,i_Actuals!X125,0)</f>
        <v/>
      </c>
      <c r="Y78" s="245">
        <f>IF(Y$2=i_Setup!$U$26,i_Actuals!Y125,0)</f>
        <v/>
      </c>
      <c r="Z78" s="245">
        <f>IF(Z$2=i_Setup!$U$26,i_Actuals!Z125,0)</f>
        <v/>
      </c>
      <c r="AA78" s="245">
        <f>IF(AA$2=i_Setup!$U$26,i_Actuals!AA125,0)</f>
        <v/>
      </c>
      <c r="AB78" s="245">
        <f>IF(AB$2=i_Setup!$U$26,i_Actuals!AB125,0)</f>
        <v/>
      </c>
      <c r="AC78" s="245">
        <f>IF(AC$2=i_Setup!$U$26,i_Actuals!AC125,0)</f>
        <v/>
      </c>
      <c r="AD78" s="245">
        <f>IF(AD$2=i_Setup!$U$26,i_Actuals!AD125,0)</f>
        <v/>
      </c>
      <c r="AE78" s="245">
        <f>IF(AE$2=i_Setup!$U$26,i_Actuals!AE125,0)</f>
        <v/>
      </c>
      <c r="AF78" s="245">
        <f>IF(AF$2=i_Setup!$U$26,i_Actuals!AF125,0)</f>
        <v/>
      </c>
      <c r="AG78" s="245">
        <f>IF(AG$2=i_Setup!$U$26,i_Actuals!AG125,0)</f>
        <v/>
      </c>
      <c r="AH78" s="245">
        <f>IF(AH$2=i_Setup!$U$26,i_Actuals!AH125,0)</f>
        <v/>
      </c>
      <c r="AI78" s="245">
        <f>IF(AI$2=i_Setup!$U$26,i_Actuals!AI125,0)</f>
        <v/>
      </c>
      <c r="AJ78" s="245">
        <f>IF(AJ$2=i_Setup!$U$26,i_Actuals!AJ125,0)</f>
        <v/>
      </c>
      <c r="AK78" s="245">
        <f>IF(AK$2=i_Setup!$U$26,i_Actuals!AK125,0)</f>
        <v/>
      </c>
      <c r="AL78" s="245">
        <f>IF(AL$2=i_Setup!$U$26,i_Actuals!AL125,0)</f>
        <v/>
      </c>
      <c r="AM78" s="245">
        <f>IF(AM$2=i_Setup!$U$26,i_Actuals!AM125,0)</f>
        <v/>
      </c>
      <c r="AN78" s="245">
        <f>IF(AN$2=i_Setup!$U$26,i_Actuals!AN125,0)</f>
        <v/>
      </c>
      <c r="AO78" s="245">
        <f>IF(AO$2=i_Setup!$U$26,i_Actuals!AO125,0)</f>
        <v/>
      </c>
      <c r="AP78" s="245">
        <f>IF(AP$2=i_Setup!$U$26,i_Actuals!AP125,0)</f>
        <v/>
      </c>
      <c r="AQ78" s="245">
        <f>IF(AQ$2=i_Setup!$U$26,i_Actuals!AQ125,0)</f>
        <v/>
      </c>
      <c r="AR78" s="245">
        <f>IF(AR$2=i_Setup!$U$26,i_Actuals!AR125,0)</f>
        <v/>
      </c>
      <c r="AS78" s="245">
        <f>IF(AS$2=i_Setup!$U$26,i_Actuals!AS125,0)</f>
        <v/>
      </c>
      <c r="AT78" s="245">
        <f>IF(AT$2=i_Setup!$U$26,i_Actuals!AT125,0)</f>
        <v/>
      </c>
      <c r="AU78" s="245">
        <f>IF(AU$2=i_Setup!$U$26,i_Actuals!AU125,0)</f>
        <v/>
      </c>
      <c r="AV78" s="245">
        <f>IF(AV$2=i_Setup!$U$26,i_Actuals!AV125,0)</f>
        <v/>
      </c>
      <c r="AW78" s="245">
        <f>IF(AW$2=i_Setup!$U$26,i_Actuals!AW125,0)</f>
        <v/>
      </c>
      <c r="AX78" s="245">
        <f>IF(AX$2=i_Setup!$U$26,i_Actuals!AX125,0)</f>
        <v/>
      </c>
      <c r="AY78" s="245">
        <f>IF(AY$2=i_Setup!$U$26,i_Actuals!AY125,0)</f>
        <v/>
      </c>
      <c r="AZ78" s="245">
        <f>IF(AZ$2=i_Setup!$U$26,i_Actuals!AZ125,0)</f>
        <v/>
      </c>
      <c r="BA78" s="245">
        <f>IF(BA$2=i_Setup!$U$26,i_Actuals!BA125,0)</f>
        <v/>
      </c>
      <c r="BB78" s="245">
        <f>IF(BB$2=i_Setup!$U$26,i_Actuals!BB125,0)</f>
        <v/>
      </c>
      <c r="BC78" s="245">
        <f>IF(BC$2=i_Setup!$U$26,i_Actuals!BC125,0)</f>
        <v/>
      </c>
      <c r="BD78" s="245">
        <f>IF(BD$2=i_Setup!$U$26,i_Actuals!BD125,0)</f>
        <v/>
      </c>
      <c r="BE78" s="245">
        <f>IF(BE$2=i_Setup!$U$26,i_Actuals!BE125,0)</f>
        <v/>
      </c>
      <c r="BF78" s="245">
        <f>IF(BF$2=i_Setup!$U$26,i_Actuals!BF125,0)</f>
        <v/>
      </c>
      <c r="BG78" s="245">
        <f>IF(BG$2=i_Setup!$U$26,i_Actuals!BG125,0)</f>
        <v/>
      </c>
      <c r="BH78" s="245">
        <f>IF(BH$2=i_Setup!$U$26,i_Actuals!BH125,0)</f>
        <v/>
      </c>
      <c r="BI78" s="245">
        <f>IF(BI$2=i_Setup!$U$26,i_Actuals!BI125,0)</f>
        <v/>
      </c>
      <c r="BJ78" s="245">
        <f>IF(BJ$2=i_Setup!$U$26,i_Actuals!BJ125,0)</f>
        <v/>
      </c>
      <c r="BK78" s="245">
        <f>IF(BK$2=i_Setup!$U$26,i_Actuals!BK125,0)</f>
        <v/>
      </c>
      <c r="BL78" s="245">
        <f>IF(BL$2=i_Setup!$U$26,i_Actuals!BL125,0)</f>
        <v/>
      </c>
      <c r="BM78" s="245">
        <f>IF(BM$2=i_Setup!$U$26,i_Actuals!BM125,0)</f>
        <v/>
      </c>
      <c r="BN78" s="245">
        <f>IF(BN$2=i_Setup!$U$26,i_Actuals!BN125,0)</f>
        <v/>
      </c>
      <c r="BO78" s="245">
        <f>IF(BO$2=i_Setup!$U$26,i_Actuals!BO125,0)</f>
        <v/>
      </c>
      <c r="BP78" s="245">
        <f>IF(BP$2=i_Setup!$U$26,i_Actuals!BP125,0)</f>
        <v/>
      </c>
      <c r="BQ78" s="245">
        <f>IF(BQ$2=i_Setup!$U$26,i_Actuals!BQ125,0)</f>
        <v/>
      </c>
      <c r="BR78" s="245">
        <f>IF(BR$2=i_Setup!$U$26,i_Actuals!BR125,0)</f>
        <v/>
      </c>
      <c r="BS78" s="245">
        <f>IF(BS$2=i_Setup!$U$26,i_Actuals!BS125,0)</f>
        <v/>
      </c>
      <c r="BT78" s="245">
        <f>IF(BT$2=i_Setup!$U$26,i_Actuals!BT125,0)</f>
        <v/>
      </c>
      <c r="BU78" s="245">
        <f>IF(BU$2=i_Setup!$U$26,i_Actuals!BU125,0)</f>
        <v/>
      </c>
      <c r="BV78" s="245">
        <f>IF(BV$2=i_Setup!$U$26,i_Actuals!BV125,0)</f>
        <v/>
      </c>
      <c r="BW78" s="245">
        <f>IF(BW$2=i_Setup!$U$26,i_Actuals!BW125,0)</f>
        <v/>
      </c>
      <c r="BX78" s="245">
        <f>IF(BX$2=i_Setup!$U$26,i_Actuals!BX125,0)</f>
        <v/>
      </c>
      <c r="BY78" s="245">
        <f>IF(BY$2=i_Setup!$U$26,i_Actuals!BY125,0)</f>
        <v/>
      </c>
      <c r="BZ78" s="245">
        <f>IF(BZ$2=i_Setup!$U$26,i_Actuals!BZ125,0)</f>
        <v/>
      </c>
      <c r="CA78" s="245">
        <f>IF(CA$2=i_Setup!$U$26,i_Actuals!CA125,0)</f>
        <v/>
      </c>
    </row>
    <row r="79" ht="12" customHeight="1" s="227">
      <c r="A79" s="244" t="n"/>
      <c r="B79" s="244" t="n"/>
      <c r="C79" s="244" t="n"/>
      <c r="H79" s="4" t="inlineStr">
        <is>
          <t>Payables Flag</t>
        </is>
      </c>
      <c r="I79" s="27" t="inlineStr">
        <is>
          <t>no.</t>
        </is>
      </c>
      <c r="K79" s="6" t="n"/>
      <c r="T79" s="245">
        <f>IF(T$7="Actual","",1)</f>
        <v/>
      </c>
      <c r="U79" s="245">
        <f>IF(U$7="Actual","",1)</f>
        <v/>
      </c>
      <c r="V79" s="245">
        <f>IF(V$7="Actual","",1)</f>
        <v/>
      </c>
      <c r="W79" s="245">
        <f>IF(W$7="Actual","",1)</f>
        <v/>
      </c>
      <c r="X79" s="245">
        <f>IF(X$7="Actual","",1)</f>
        <v/>
      </c>
      <c r="Y79" s="245">
        <f>IF(Y$7="Actual","",1)</f>
        <v/>
      </c>
      <c r="Z79" s="245">
        <f>IF(Z$7="Actual","",1)</f>
        <v/>
      </c>
      <c r="AA79" s="245">
        <f>IF(AA$7="Actual","",1)</f>
        <v/>
      </c>
      <c r="AB79" s="245">
        <f>IF(AB$7="Actual","",1)</f>
        <v/>
      </c>
      <c r="AC79" s="245">
        <f>IF(AC$7="Actual","",1)</f>
        <v/>
      </c>
      <c r="AD79" s="245">
        <f>IF(AD$7="Actual","",1)</f>
        <v/>
      </c>
      <c r="AE79" s="245">
        <f>IF(AE$7="Actual","",1)</f>
        <v/>
      </c>
      <c r="AF79" s="245">
        <f>IF(AF$7="Actual","",1)</f>
        <v/>
      </c>
      <c r="AG79" s="245">
        <f>IF(AG$7="Actual","",1)</f>
        <v/>
      </c>
      <c r="AH79" s="245">
        <f>IF(AH$7="Actual","",1)</f>
        <v/>
      </c>
      <c r="AI79" s="245">
        <f>IF(AI$7="Actual","",1)</f>
        <v/>
      </c>
      <c r="AJ79" s="245">
        <f>IF(AJ$7="Actual","",1)</f>
        <v/>
      </c>
      <c r="AK79" s="245">
        <f>IF(AK$7="Actual","",1)</f>
        <v/>
      </c>
      <c r="AL79" s="245">
        <f>IF(AL$7="Actual","",1)</f>
        <v/>
      </c>
      <c r="AM79" s="245">
        <f>IF(AM$7="Actual","",1)</f>
        <v/>
      </c>
      <c r="AN79" s="245">
        <f>IF(AN$7="Actual","",1)</f>
        <v/>
      </c>
      <c r="AO79" s="245">
        <f>IF(AO$7="Actual","",1)</f>
        <v/>
      </c>
      <c r="AP79" s="245">
        <f>IF(AP$7="Actual","",1)</f>
        <v/>
      </c>
      <c r="AQ79" s="245">
        <f>IF(AQ$7="Actual","",1)</f>
        <v/>
      </c>
      <c r="AR79" s="245">
        <f>IF(AR$7="Actual","",1)</f>
        <v/>
      </c>
      <c r="AS79" s="245">
        <f>IF(AS$7="Actual","",1)</f>
        <v/>
      </c>
      <c r="AT79" s="245">
        <f>IF(AT$7="Actual","",1)</f>
        <v/>
      </c>
      <c r="AU79" s="245">
        <f>IF(AU$7="Actual","",1)</f>
        <v/>
      </c>
      <c r="AV79" s="245">
        <f>IF(AV$7="Actual","",1)</f>
        <v/>
      </c>
      <c r="AW79" s="245">
        <f>IF(AW$7="Actual","",1)</f>
        <v/>
      </c>
      <c r="AX79" s="245">
        <f>IF(AX$7="Actual","",1)</f>
        <v/>
      </c>
      <c r="AY79" s="245">
        <f>IF(AY$7="Actual","",1)</f>
        <v/>
      </c>
      <c r="AZ79" s="245">
        <f>IF(AZ$7="Actual","",1)</f>
        <v/>
      </c>
      <c r="BA79" s="245">
        <f>IF(BA$7="Actual","",1)</f>
        <v/>
      </c>
      <c r="BB79" s="245">
        <f>IF(BB$7="Actual","",1)</f>
        <v/>
      </c>
      <c r="BC79" s="245">
        <f>IF(BC$7="Actual","",1)</f>
        <v/>
      </c>
      <c r="BD79" s="245">
        <f>IF(BD$7="Actual","",1)</f>
        <v/>
      </c>
      <c r="BE79" s="245">
        <f>IF(BE$7="Actual","",1)</f>
        <v/>
      </c>
      <c r="BF79" s="245">
        <f>IF(BF$7="Actual","",1)</f>
        <v/>
      </c>
      <c r="BG79" s="245">
        <f>IF(BG$7="Actual","",1)</f>
        <v/>
      </c>
      <c r="BH79" s="245">
        <f>IF(BH$7="Actual","",1)</f>
        <v/>
      </c>
      <c r="BI79" s="245">
        <f>IF(BI$7="Actual","",1)</f>
        <v/>
      </c>
      <c r="BJ79" s="245">
        <f>IF(BJ$7="Actual","",1)</f>
        <v/>
      </c>
      <c r="BK79" s="245">
        <f>IF(BK$7="Actual","",1)</f>
        <v/>
      </c>
      <c r="BL79" s="245">
        <f>IF(BL$7="Actual","",1)</f>
        <v/>
      </c>
      <c r="BM79" s="245">
        <f>IF(BM$7="Actual","",1)</f>
        <v/>
      </c>
      <c r="BN79" s="245">
        <f>IF(BN$7="Actual","",1)</f>
        <v/>
      </c>
      <c r="BO79" s="245">
        <f>IF(BO$7="Actual","",1)</f>
        <v/>
      </c>
      <c r="BP79" s="245">
        <f>IF(BP$7="Actual","",1)</f>
        <v/>
      </c>
      <c r="BQ79" s="245">
        <f>IF(BQ$7="Actual","",1)</f>
        <v/>
      </c>
      <c r="BR79" s="245">
        <f>IF(BR$7="Actual","",1)</f>
        <v/>
      </c>
      <c r="BS79" s="245">
        <f>IF(BS$7="Actual","",1)</f>
        <v/>
      </c>
      <c r="BT79" s="245">
        <f>IF(BT$7="Actual","",1)</f>
        <v/>
      </c>
      <c r="BU79" s="245">
        <f>IF(BU$7="Actual","",1)</f>
        <v/>
      </c>
      <c r="BV79" s="245">
        <f>IF(BV$7="Actual","",1)</f>
        <v/>
      </c>
      <c r="BW79" s="245">
        <f>IF(BW$7="Actual","",1)</f>
        <v/>
      </c>
      <c r="BX79" s="245">
        <f>IF(BX$7="Actual","",1)</f>
        <v/>
      </c>
      <c r="BY79" s="245">
        <f>IF(BY$7="Actual","",1)</f>
        <v/>
      </c>
      <c r="BZ79" s="245">
        <f>IF(BZ$7="Actual","",1)</f>
        <v/>
      </c>
      <c r="CA79" s="245">
        <f>IF(CA$7="Actual","",1)</f>
        <v/>
      </c>
    </row>
    <row r="80" ht="12" customHeight="1" s="227">
      <c r="A80" s="244" t="n"/>
      <c r="B80" s="244" t="n"/>
      <c r="C80" s="244" t="n"/>
      <c r="K80" s="6" t="n"/>
    </row>
    <row r="81" ht="12" customHeight="1" s="227">
      <c r="A81" s="244" t="n"/>
      <c r="B81" s="244" t="n"/>
      <c r="C81" s="244" t="n"/>
      <c r="H81" s="4" t="inlineStr">
        <is>
          <t>Receipts Opening Bal</t>
        </is>
      </c>
      <c r="I81" s="27">
        <f>i_Setup!$M$16</f>
        <v/>
      </c>
      <c r="K81" s="259">
        <f>i_Actuals!K125</f>
        <v/>
      </c>
      <c r="M81" s="245">
        <f>SUMIF($T$4:$CA$4,M$4,$T81:$CA81)</f>
        <v/>
      </c>
      <c r="N81" s="245">
        <f>SUMIF($T$4:$CA$4,N$4,$T81:$CA81)</f>
        <v/>
      </c>
      <c r="O81" s="245">
        <f>SUMIF($T$4:$CA$4,O$4,$T81:$CA81)</f>
        <v/>
      </c>
      <c r="P81" s="245">
        <f>SUMIF($T$4:$CA$4,P$4,$T81:$CA81)</f>
        <v/>
      </c>
      <c r="Q81" s="245">
        <f>SUMIF($T$4:$CA$4,Q$4,$T81:$CA81)</f>
        <v/>
      </c>
      <c r="T81" s="245">
        <f>IF(T$7="Actual","",IF(SUM($S79:T79)&lt;=$K81,IFERROR(SUM($T$78:$CA$78)/$K81,0),0))</f>
        <v/>
      </c>
      <c r="U81" s="245">
        <f>IF(U$7="Actual","",IF(SUM($S79:U79)&lt;=$K81,IFERROR(SUM($T$78:$CA$78)/$K81,0),0))</f>
        <v/>
      </c>
      <c r="V81" s="245">
        <f>IF(V$7="Actual","",IF(SUM($S79:V79)&lt;=$K81,IFERROR(SUM($T$78:$CA$78)/$K81,0),0))</f>
        <v/>
      </c>
      <c r="W81" s="245">
        <f>IF(W$7="Actual","",IF(SUM($S79:W79)&lt;=$K81,IFERROR(SUM($T$78:$CA$78)/$K81,0),0))</f>
        <v/>
      </c>
      <c r="X81" s="245">
        <f>IF(X$7="Actual","",IF(SUM($S79:X79)&lt;=$K81,IFERROR(SUM($T$78:$CA$78)/$K81,0),0))</f>
        <v/>
      </c>
      <c r="Y81" s="245">
        <f>IF(Y$7="Actual","",IF(SUM($S79:Y79)&lt;=$K81,IFERROR(SUM($T$78:$CA$78)/$K81,0),0))</f>
        <v/>
      </c>
      <c r="Z81" s="245">
        <f>IF(Z$7="Actual","",IF(SUM($S79:Z79)&lt;=$K81,IFERROR(SUM($T$78:$CA$78)/$K81,0),0))</f>
        <v/>
      </c>
      <c r="AA81" s="245">
        <f>IF(AA$7="Actual","",IF(SUM($S79:AA79)&lt;=$K81,IFERROR(SUM($T$78:$CA$78)/$K81,0),0))</f>
        <v/>
      </c>
      <c r="AB81" s="245">
        <f>IF(AB$7="Actual","",IF(SUM($S79:AB79)&lt;=$K81,IFERROR(SUM($T$78:$CA$78)/$K81,0),0))</f>
        <v/>
      </c>
      <c r="AC81" s="245">
        <f>IF(AC$7="Actual","",IF(SUM($S79:AC79)&lt;=$K81,IFERROR(SUM($T$78:$CA$78)/$K81,0),0))</f>
        <v/>
      </c>
      <c r="AD81" s="245">
        <f>IF(AD$7="Actual","",IF(SUM($S79:AD79)&lt;=$K81,IFERROR(SUM($T$78:$CA$78)/$K81,0),0))</f>
        <v/>
      </c>
      <c r="AE81" s="245">
        <f>IF(AE$7="Actual","",IF(SUM($S79:AE79)&lt;=$K81,IFERROR(SUM($T$78:$CA$78)/$K81,0),0))</f>
        <v/>
      </c>
      <c r="AF81" s="245">
        <f>IF(AF$7="Actual","",IF(SUM($S79:AF79)&lt;=$K81,IFERROR(SUM($T$78:$CA$78)/$K81,0),0))</f>
        <v/>
      </c>
      <c r="AG81" s="245">
        <f>IF(AG$7="Actual","",IF(SUM($S79:AG79)&lt;=$K81,IFERROR(SUM($T$78:$CA$78)/$K81,0),0))</f>
        <v/>
      </c>
      <c r="AH81" s="245">
        <f>IF(AH$7="Actual","",IF(SUM($S79:AH79)&lt;=$K81,IFERROR(SUM($T$78:$CA$78)/$K81,0),0))</f>
        <v/>
      </c>
      <c r="AI81" s="245">
        <f>IF(AI$7="Actual","",IF(SUM($S79:AI79)&lt;=$K81,IFERROR(SUM($T$78:$CA$78)/$K81,0),0))</f>
        <v/>
      </c>
      <c r="AJ81" s="245">
        <f>IF(AJ$7="Actual","",IF(SUM($S79:AJ79)&lt;=$K81,IFERROR(SUM($T$78:$CA$78)/$K81,0),0))</f>
        <v/>
      </c>
      <c r="AK81" s="245">
        <f>IF(AK$7="Actual","",IF(SUM($S79:AK79)&lt;=$K81,IFERROR(SUM($T$78:$CA$78)/$K81,0),0))</f>
        <v/>
      </c>
      <c r="AL81" s="245">
        <f>IF(AL$7="Actual","",IF(SUM($S79:AL79)&lt;=$K81,IFERROR(SUM($T$78:$CA$78)/$K81,0),0))</f>
        <v/>
      </c>
      <c r="AM81" s="245">
        <f>IF(AM$7="Actual","",IF(SUM($S79:AM79)&lt;=$K81,IFERROR(SUM($T$78:$CA$78)/$K81,0),0))</f>
        <v/>
      </c>
      <c r="AN81" s="245">
        <f>IF(AN$7="Actual","",IF(SUM($S79:AN79)&lt;=$K81,IFERROR(SUM($T$78:$CA$78)/$K81,0),0))</f>
        <v/>
      </c>
      <c r="AO81" s="245">
        <f>IF(AO$7="Actual","",IF(SUM($S79:AO79)&lt;=$K81,IFERROR(SUM($T$78:$CA$78)/$K81,0),0))</f>
        <v/>
      </c>
      <c r="AP81" s="245">
        <f>IF(AP$7="Actual","",IF(SUM($S79:AP79)&lt;=$K81,IFERROR(SUM($T$78:$CA$78)/$K81,0),0))</f>
        <v/>
      </c>
      <c r="AQ81" s="245">
        <f>IF(AQ$7="Actual","",IF(SUM($S79:AQ79)&lt;=$K81,IFERROR(SUM($T$78:$CA$78)/$K81,0),0))</f>
        <v/>
      </c>
      <c r="AR81" s="245">
        <f>IF(AR$7="Actual","",IF(SUM($S79:AR79)&lt;=$K81,IFERROR(SUM($T$78:$CA$78)/$K81,0),0))</f>
        <v/>
      </c>
      <c r="AS81" s="245">
        <f>IF(AS$7="Actual","",IF(SUM($S79:AS79)&lt;=$K81,IFERROR(SUM($T$78:$CA$78)/$K81,0),0))</f>
        <v/>
      </c>
      <c r="AT81" s="245">
        <f>IF(AT$7="Actual","",IF(SUM($S79:AT79)&lt;=$K81,IFERROR(SUM($T$78:$CA$78)/$K81,0),0))</f>
        <v/>
      </c>
      <c r="AU81" s="245">
        <f>IF(AU$7="Actual","",IF(SUM($S79:AU79)&lt;=$K81,IFERROR(SUM($T$78:$CA$78)/$K81,0),0))</f>
        <v/>
      </c>
      <c r="AV81" s="245">
        <f>IF(AV$7="Actual","",IF(SUM($S79:AV79)&lt;=$K81,IFERROR(SUM($T$78:$CA$78)/$K81,0),0))</f>
        <v/>
      </c>
      <c r="AW81" s="245">
        <f>IF(AW$7="Actual","",IF(SUM($S79:AW79)&lt;=$K81,IFERROR(SUM($T$78:$CA$78)/$K81,0),0))</f>
        <v/>
      </c>
      <c r="AX81" s="245">
        <f>IF(AX$7="Actual","",IF(SUM($S79:AX79)&lt;=$K81,IFERROR(SUM($T$78:$CA$78)/$K81,0),0))</f>
        <v/>
      </c>
      <c r="AY81" s="245">
        <f>IF(AY$7="Actual","",IF(SUM($S79:AY79)&lt;=$K81,IFERROR(SUM($T$78:$CA$78)/$K81,0),0))</f>
        <v/>
      </c>
      <c r="AZ81" s="245">
        <f>IF(AZ$7="Actual","",IF(SUM($S79:AZ79)&lt;=$K81,IFERROR(SUM($T$78:$CA$78)/$K81,0),0))</f>
        <v/>
      </c>
      <c r="BA81" s="245">
        <f>IF(BA$7="Actual","",IF(SUM($S79:BA79)&lt;=$K81,IFERROR(SUM($T$78:$CA$78)/$K81,0),0))</f>
        <v/>
      </c>
      <c r="BB81" s="245">
        <f>IF(BB$7="Actual","",IF(SUM($S79:BB79)&lt;=$K81,IFERROR(SUM($T$78:$CA$78)/$K81,0),0))</f>
        <v/>
      </c>
      <c r="BC81" s="245">
        <f>IF(BC$7="Actual","",IF(SUM($S79:BC79)&lt;=$K81,IFERROR(SUM($T$78:$CA$78)/$K81,0),0))</f>
        <v/>
      </c>
      <c r="BD81" s="245">
        <f>IF(BD$7="Actual","",IF(SUM($S79:BD79)&lt;=$K81,IFERROR(SUM($T$78:$CA$78)/$K81,0),0))</f>
        <v/>
      </c>
      <c r="BE81" s="245">
        <f>IF(BE$7="Actual","",IF(SUM($S79:BE79)&lt;=$K81,IFERROR(SUM($T$78:$CA$78)/$K81,0),0))</f>
        <v/>
      </c>
      <c r="BF81" s="245">
        <f>IF(BF$7="Actual","",IF(SUM($S79:BF79)&lt;=$K81,IFERROR(SUM($T$78:$CA$78)/$K81,0),0))</f>
        <v/>
      </c>
      <c r="BG81" s="245">
        <f>IF(BG$7="Actual","",IF(SUM($S79:BG79)&lt;=$K81,IFERROR(SUM($T$78:$CA$78)/$K81,0),0))</f>
        <v/>
      </c>
      <c r="BH81" s="245">
        <f>IF(BH$7="Actual","",IF(SUM($S79:BH79)&lt;=$K81,IFERROR(SUM($T$78:$CA$78)/$K81,0),0))</f>
        <v/>
      </c>
      <c r="BI81" s="245">
        <f>IF(BI$7="Actual","",IF(SUM($S79:BI79)&lt;=$K81,IFERROR(SUM($T$78:$CA$78)/$K81,0),0))</f>
        <v/>
      </c>
      <c r="BJ81" s="245">
        <f>IF(BJ$7="Actual","",IF(SUM($S79:BJ79)&lt;=$K81,IFERROR(SUM($T$78:$CA$78)/$K81,0),0))</f>
        <v/>
      </c>
      <c r="BK81" s="245">
        <f>IF(BK$7="Actual","",IF(SUM($S79:BK79)&lt;=$K81,IFERROR(SUM($T$78:$CA$78)/$K81,0),0))</f>
        <v/>
      </c>
      <c r="BL81" s="245">
        <f>IF(BL$7="Actual","",IF(SUM($S79:BL79)&lt;=$K81,IFERROR(SUM($T$78:$CA$78)/$K81,0),0))</f>
        <v/>
      </c>
      <c r="BM81" s="245">
        <f>IF(BM$7="Actual","",IF(SUM($S79:BM79)&lt;=$K81,IFERROR(SUM($T$78:$CA$78)/$K81,0),0))</f>
        <v/>
      </c>
      <c r="BN81" s="245">
        <f>IF(BN$7="Actual","",IF(SUM($S79:BN79)&lt;=$K81,IFERROR(SUM($T$78:$CA$78)/$K81,0),0))</f>
        <v/>
      </c>
      <c r="BO81" s="245">
        <f>IF(BO$7="Actual","",IF(SUM($S79:BO79)&lt;=$K81,IFERROR(SUM($T$78:$CA$78)/$K81,0),0))</f>
        <v/>
      </c>
      <c r="BP81" s="245">
        <f>IF(BP$7="Actual","",IF(SUM($S79:BP79)&lt;=$K81,IFERROR(SUM($T$78:$CA$78)/$K81,0),0))</f>
        <v/>
      </c>
      <c r="BQ81" s="245">
        <f>IF(BQ$7="Actual","",IF(SUM($S79:BQ79)&lt;=$K81,IFERROR(SUM($T$78:$CA$78)/$K81,0),0))</f>
        <v/>
      </c>
      <c r="BR81" s="245">
        <f>IF(BR$7="Actual","",IF(SUM($S79:BR79)&lt;=$K81,IFERROR(SUM($T$78:$CA$78)/$K81,0),0))</f>
        <v/>
      </c>
      <c r="BS81" s="245">
        <f>IF(BS$7="Actual","",IF(SUM($S79:BS79)&lt;=$K81,IFERROR(SUM($T$78:$CA$78)/$K81,0),0))</f>
        <v/>
      </c>
      <c r="BT81" s="245">
        <f>IF(BT$7="Actual","",IF(SUM($S79:BT79)&lt;=$K81,IFERROR(SUM($T$78:$CA$78)/$K81,0),0))</f>
        <v/>
      </c>
      <c r="BU81" s="245">
        <f>IF(BU$7="Actual","",IF(SUM($S79:BU79)&lt;=$K81,IFERROR(SUM($T$78:$CA$78)/$K81,0),0))</f>
        <v/>
      </c>
      <c r="BV81" s="245">
        <f>IF(BV$7="Actual","",IF(SUM($S79:BV79)&lt;=$K81,IFERROR(SUM($T$78:$CA$78)/$K81,0),0))</f>
        <v/>
      </c>
      <c r="BW81" s="245">
        <f>IF(BW$7="Actual","",IF(SUM($S79:BW79)&lt;=$K81,IFERROR(SUM($T$78:$CA$78)/$K81,0),0))</f>
        <v/>
      </c>
      <c r="BX81" s="245">
        <f>IF(BX$7="Actual","",IF(SUM($S79:BX79)&lt;=$K81,IFERROR(SUM($T$78:$CA$78)/$K81,0),0))</f>
        <v/>
      </c>
      <c r="BY81" s="245">
        <f>IF(BY$7="Actual","",IF(SUM($S79:BY79)&lt;=$K81,IFERROR(SUM($T$78:$CA$78)/$K81,0),0))</f>
        <v/>
      </c>
      <c r="BZ81" s="245">
        <f>IF(BZ$7="Actual","",IF(SUM($S79:BZ79)&lt;=$K81,IFERROR(SUM($T$78:$CA$78)/$K81,0),0))</f>
        <v/>
      </c>
      <c r="CA81" s="245">
        <f>IF(CA$7="Actual","",IF(SUM($S79:CA79)&lt;=$K81,IFERROR(SUM($T$78:$CA$78)/$K81,0),0))</f>
        <v/>
      </c>
    </row>
    <row r="82" ht="12" customHeight="1" s="227">
      <c r="A82" s="244" t="n"/>
      <c r="B82" s="244" t="n"/>
      <c r="C82" s="244" t="n"/>
      <c r="H82" s="0">
        <f>H61</f>
        <v/>
      </c>
      <c r="I82" s="27">
        <f>i_Setup!$M$16</f>
        <v/>
      </c>
      <c r="K82" s="259">
        <f>i_Assumptions!K43</f>
        <v/>
      </c>
      <c r="M82" s="245">
        <f>SUMIF($T$4:$CA$4,M$4,$T82:$CA82)</f>
        <v/>
      </c>
      <c r="N82" s="245">
        <f>SUMIF($T$4:$CA$4,N$4,$T82:$CA82)</f>
        <v/>
      </c>
      <c r="O82" s="245">
        <f>SUMIF($T$4:$CA$4,O$4,$T82:$CA82)</f>
        <v/>
      </c>
      <c r="P82" s="245">
        <f>SUMIF($T$4:$CA$4,P$4,$T82:$CA82)</f>
        <v/>
      </c>
      <c r="Q82" s="245">
        <f>SUMIF($T$4:$CA$4,Q$4,$T82:$CA82)</f>
        <v/>
      </c>
      <c r="T82" s="245">
        <f>IF(T$7="Actual","",OFFSET(T61,,-$K82))</f>
        <v/>
      </c>
      <c r="U82" s="245">
        <f>IF(U$7="Actual","",OFFSET(U61,,-$K82))</f>
        <v/>
      </c>
      <c r="V82" s="245">
        <f>IF(V$7="Actual","",OFFSET(V61,,-$K82))</f>
        <v/>
      </c>
      <c r="W82" s="245">
        <f>IF(W$7="Actual","",OFFSET(W61,,-$K82))</f>
        <v/>
      </c>
      <c r="X82" s="245">
        <f>IF(X$7="Actual","",OFFSET(X61,,-$K82))</f>
        <v/>
      </c>
      <c r="Y82" s="245">
        <f>IF(Y$7="Actual","",OFFSET(Y61,,-$K82))</f>
        <v/>
      </c>
      <c r="Z82" s="245">
        <f>IF(Z$7="Actual","",OFFSET(Z61,,-$K82))</f>
        <v/>
      </c>
      <c r="AA82" s="245">
        <f>IF(AA$7="Actual","",OFFSET(AA61,,-$K82))</f>
        <v/>
      </c>
      <c r="AB82" s="245">
        <f>IF(AB$7="Actual","",OFFSET(AB61,,-$K82))</f>
        <v/>
      </c>
      <c r="AC82" s="245">
        <f>IF(AC$7="Actual","",OFFSET(AC61,,-$K82))</f>
        <v/>
      </c>
      <c r="AD82" s="245">
        <f>IF(AD$7="Actual","",OFFSET(AD61,,-$K82))</f>
        <v/>
      </c>
      <c r="AE82" s="245">
        <f>IF(AE$7="Actual","",OFFSET(AE61,,-$K82))</f>
        <v/>
      </c>
      <c r="AF82" s="245">
        <f>IF(AF$7="Actual","",OFFSET(AF61,,-$K82))</f>
        <v/>
      </c>
      <c r="AG82" s="245">
        <f>IF(AG$7="Actual","",OFFSET(AG61,,-$K82))</f>
        <v/>
      </c>
      <c r="AH82" s="245">
        <f>IF(AH$7="Actual","",OFFSET(AH61,,-$K82))</f>
        <v/>
      </c>
      <c r="AI82" s="245">
        <f>IF(AI$7="Actual","",OFFSET(AI61,,-$K82))</f>
        <v/>
      </c>
      <c r="AJ82" s="245">
        <f>IF(AJ$7="Actual","",OFFSET(AJ61,,-$K82))</f>
        <v/>
      </c>
      <c r="AK82" s="245">
        <f>IF(AK$7="Actual","",OFFSET(AK61,,-$K82))</f>
        <v/>
      </c>
      <c r="AL82" s="245">
        <f>IF(AL$7="Actual","",OFFSET(AL61,,-$K82))</f>
        <v/>
      </c>
      <c r="AM82" s="245">
        <f>IF(AM$7="Actual","",OFFSET(AM61,,-$K82))</f>
        <v/>
      </c>
      <c r="AN82" s="245">
        <f>IF(AN$7="Actual","",OFFSET(AN61,,-$K82))</f>
        <v/>
      </c>
      <c r="AO82" s="245">
        <f>IF(AO$7="Actual","",OFFSET(AO61,,-$K82))</f>
        <v/>
      </c>
      <c r="AP82" s="245">
        <f>IF(AP$7="Actual","",OFFSET(AP61,,-$K82))</f>
        <v/>
      </c>
      <c r="AQ82" s="245">
        <f>IF(AQ$7="Actual","",OFFSET(AQ61,,-$K82))</f>
        <v/>
      </c>
      <c r="AR82" s="245">
        <f>IF(AR$7="Actual","",OFFSET(AR61,,-$K82))</f>
        <v/>
      </c>
      <c r="AS82" s="245">
        <f>IF(AS$7="Actual","",OFFSET(AS61,,-$K82))</f>
        <v/>
      </c>
      <c r="AT82" s="245">
        <f>IF(AT$7="Actual","",OFFSET(AT61,,-$K82))</f>
        <v/>
      </c>
      <c r="AU82" s="245">
        <f>IF(AU$7="Actual","",OFFSET(AU61,,-$K82))</f>
        <v/>
      </c>
      <c r="AV82" s="245">
        <f>IF(AV$7="Actual","",OFFSET(AV61,,-$K82))</f>
        <v/>
      </c>
      <c r="AW82" s="245">
        <f>IF(AW$7="Actual","",OFFSET(AW61,,-$K82))</f>
        <v/>
      </c>
      <c r="AX82" s="245">
        <f>IF(AX$7="Actual","",OFFSET(AX61,,-$K82))</f>
        <v/>
      </c>
      <c r="AY82" s="245">
        <f>IF(AY$7="Actual","",OFFSET(AY61,,-$K82))</f>
        <v/>
      </c>
      <c r="AZ82" s="245">
        <f>IF(AZ$7="Actual","",OFFSET(AZ61,,-$K82))</f>
        <v/>
      </c>
      <c r="BA82" s="245">
        <f>IF(BA$7="Actual","",OFFSET(BA61,,-$K82))</f>
        <v/>
      </c>
      <c r="BB82" s="245">
        <f>IF(BB$7="Actual","",OFFSET(BB61,,-$K82))</f>
        <v/>
      </c>
      <c r="BC82" s="245">
        <f>IF(BC$7="Actual","",OFFSET(BC61,,-$K82))</f>
        <v/>
      </c>
      <c r="BD82" s="245">
        <f>IF(BD$7="Actual","",OFFSET(BD61,,-$K82))</f>
        <v/>
      </c>
      <c r="BE82" s="245">
        <f>IF(BE$7="Actual","",OFFSET(BE61,,-$K82))</f>
        <v/>
      </c>
      <c r="BF82" s="245">
        <f>IF(BF$7="Actual","",OFFSET(BF61,,-$K82))</f>
        <v/>
      </c>
      <c r="BG82" s="245">
        <f>IF(BG$7="Actual","",OFFSET(BG61,,-$K82))</f>
        <v/>
      </c>
      <c r="BH82" s="245">
        <f>IF(BH$7="Actual","",OFFSET(BH61,,-$K82))</f>
        <v/>
      </c>
      <c r="BI82" s="245">
        <f>IF(BI$7="Actual","",OFFSET(BI61,,-$K82))</f>
        <v/>
      </c>
      <c r="BJ82" s="245">
        <f>IF(BJ$7="Actual","",OFFSET(BJ61,,-$K82))</f>
        <v/>
      </c>
      <c r="BK82" s="245">
        <f>IF(BK$7="Actual","",OFFSET(BK61,,-$K82))</f>
        <v/>
      </c>
      <c r="BL82" s="245">
        <f>IF(BL$7="Actual","",OFFSET(BL61,,-$K82))</f>
        <v/>
      </c>
      <c r="BM82" s="245">
        <f>IF(BM$7="Actual","",OFFSET(BM61,,-$K82))</f>
        <v/>
      </c>
      <c r="BN82" s="245">
        <f>IF(BN$7="Actual","",OFFSET(BN61,,-$K82))</f>
        <v/>
      </c>
      <c r="BO82" s="245">
        <f>IF(BO$7="Actual","",OFFSET(BO61,,-$K82))</f>
        <v/>
      </c>
      <c r="BP82" s="245">
        <f>IF(BP$7="Actual","",OFFSET(BP61,,-$K82))</f>
        <v/>
      </c>
      <c r="BQ82" s="245">
        <f>IF(BQ$7="Actual","",OFFSET(BQ61,,-$K82))</f>
        <v/>
      </c>
      <c r="BR82" s="245">
        <f>IF(BR$7="Actual","",OFFSET(BR61,,-$K82))</f>
        <v/>
      </c>
      <c r="BS82" s="245">
        <f>IF(BS$7="Actual","",OFFSET(BS61,,-$K82))</f>
        <v/>
      </c>
      <c r="BT82" s="245">
        <f>IF(BT$7="Actual","",OFFSET(BT61,,-$K82))</f>
        <v/>
      </c>
      <c r="BU82" s="245">
        <f>IF(BU$7="Actual","",OFFSET(BU61,,-$K82))</f>
        <v/>
      </c>
      <c r="BV82" s="245">
        <f>IF(BV$7="Actual","",OFFSET(BV61,,-$K82))</f>
        <v/>
      </c>
      <c r="BW82" s="245">
        <f>IF(BW$7="Actual","",OFFSET(BW61,,-$K82))</f>
        <v/>
      </c>
      <c r="BX82" s="245">
        <f>IF(BX$7="Actual","",OFFSET(BX61,,-$K82))</f>
        <v/>
      </c>
      <c r="BY82" s="245">
        <f>IF(BY$7="Actual","",OFFSET(BY61,,-$K82))</f>
        <v/>
      </c>
      <c r="BZ82" s="245">
        <f>IF(BZ$7="Actual","",OFFSET(BZ61,,-$K82))</f>
        <v/>
      </c>
      <c r="CA82" s="245">
        <f>IF(CA$7="Actual","",OFFSET(CA61,,-$K82))</f>
        <v/>
      </c>
    </row>
    <row r="83" ht="12" customHeight="1" s="227">
      <c r="A83" s="244" t="n"/>
      <c r="B83" s="244" t="n"/>
      <c r="C83" s="244" t="n"/>
      <c r="H83" s="0">
        <f>H62</f>
        <v/>
      </c>
      <c r="I83" s="27">
        <f>i_Setup!$M$16</f>
        <v/>
      </c>
      <c r="K83" s="259">
        <f>i_Assumptions!K44</f>
        <v/>
      </c>
      <c r="M83" s="245">
        <f>SUMIF($T$4:$CA$4,M$4,$T83:$CA83)</f>
        <v/>
      </c>
      <c r="N83" s="245">
        <f>SUMIF($T$4:$CA$4,N$4,$T83:$CA83)</f>
        <v/>
      </c>
      <c r="O83" s="245">
        <f>SUMIF($T$4:$CA$4,O$4,$T83:$CA83)</f>
        <v/>
      </c>
      <c r="P83" s="245">
        <f>SUMIF($T$4:$CA$4,P$4,$T83:$CA83)</f>
        <v/>
      </c>
      <c r="Q83" s="245">
        <f>SUMIF($T$4:$CA$4,Q$4,$T83:$CA83)</f>
        <v/>
      </c>
      <c r="T83" s="245">
        <f>IF(T$7="Actual","",OFFSET(T62,,-$K83))</f>
        <v/>
      </c>
      <c r="U83" s="245">
        <f>IF(U$7="Actual","",OFFSET(U62,,-$K83))</f>
        <v/>
      </c>
      <c r="V83" s="245">
        <f>IF(V$7="Actual","",OFFSET(V62,,-$K83))</f>
        <v/>
      </c>
      <c r="W83" s="245">
        <f>IF(W$7="Actual","",OFFSET(W62,,-$K83))</f>
        <v/>
      </c>
      <c r="X83" s="245">
        <f>IF(X$7="Actual","",OFFSET(X62,,-$K83))</f>
        <v/>
      </c>
      <c r="Y83" s="245">
        <f>IF(Y$7="Actual","",OFFSET(Y62,,-$K83))</f>
        <v/>
      </c>
      <c r="Z83" s="245">
        <f>IF(Z$7="Actual","",OFFSET(Z62,,-$K83))</f>
        <v/>
      </c>
      <c r="AA83" s="245">
        <f>IF(AA$7="Actual","",OFFSET(AA62,,-$K83))</f>
        <v/>
      </c>
      <c r="AB83" s="245">
        <f>IF(AB$7="Actual","",OFFSET(AB62,,-$K83))</f>
        <v/>
      </c>
      <c r="AC83" s="245">
        <f>IF(AC$7="Actual","",OFFSET(AC62,,-$K83))</f>
        <v/>
      </c>
      <c r="AD83" s="245">
        <f>IF(AD$7="Actual","",OFFSET(AD62,,-$K83))</f>
        <v/>
      </c>
      <c r="AE83" s="245">
        <f>IF(AE$7="Actual","",OFFSET(AE62,,-$K83))</f>
        <v/>
      </c>
      <c r="AF83" s="245">
        <f>IF(AF$7="Actual","",OFFSET(AF62,,-$K83))</f>
        <v/>
      </c>
      <c r="AG83" s="245">
        <f>IF(AG$7="Actual","",OFFSET(AG62,,-$K83))</f>
        <v/>
      </c>
      <c r="AH83" s="245">
        <f>IF(AH$7="Actual","",OFFSET(AH62,,-$K83))</f>
        <v/>
      </c>
      <c r="AI83" s="245">
        <f>IF(AI$7="Actual","",OFFSET(AI62,,-$K83))</f>
        <v/>
      </c>
      <c r="AJ83" s="245">
        <f>IF(AJ$7="Actual","",OFFSET(AJ62,,-$K83))</f>
        <v/>
      </c>
      <c r="AK83" s="245">
        <f>IF(AK$7="Actual","",OFFSET(AK62,,-$K83))</f>
        <v/>
      </c>
      <c r="AL83" s="245">
        <f>IF(AL$7="Actual","",OFFSET(AL62,,-$K83))</f>
        <v/>
      </c>
      <c r="AM83" s="245">
        <f>IF(AM$7="Actual","",OFFSET(AM62,,-$K83))</f>
        <v/>
      </c>
      <c r="AN83" s="245">
        <f>IF(AN$7="Actual","",OFFSET(AN62,,-$K83))</f>
        <v/>
      </c>
      <c r="AO83" s="245">
        <f>IF(AO$7="Actual","",OFFSET(AO62,,-$K83))</f>
        <v/>
      </c>
      <c r="AP83" s="245">
        <f>IF(AP$7="Actual","",OFFSET(AP62,,-$K83))</f>
        <v/>
      </c>
      <c r="AQ83" s="245">
        <f>IF(AQ$7="Actual","",OFFSET(AQ62,,-$K83))</f>
        <v/>
      </c>
      <c r="AR83" s="245">
        <f>IF(AR$7="Actual","",OFFSET(AR62,,-$K83))</f>
        <v/>
      </c>
      <c r="AS83" s="245">
        <f>IF(AS$7="Actual","",OFFSET(AS62,,-$K83))</f>
        <v/>
      </c>
      <c r="AT83" s="245">
        <f>IF(AT$7="Actual","",OFFSET(AT62,,-$K83))</f>
        <v/>
      </c>
      <c r="AU83" s="245">
        <f>IF(AU$7="Actual","",OFFSET(AU62,,-$K83))</f>
        <v/>
      </c>
      <c r="AV83" s="245">
        <f>IF(AV$7="Actual","",OFFSET(AV62,,-$K83))</f>
        <v/>
      </c>
      <c r="AW83" s="245">
        <f>IF(AW$7="Actual","",OFFSET(AW62,,-$K83))</f>
        <v/>
      </c>
      <c r="AX83" s="245">
        <f>IF(AX$7="Actual","",OFFSET(AX62,,-$K83))</f>
        <v/>
      </c>
      <c r="AY83" s="245">
        <f>IF(AY$7="Actual","",OFFSET(AY62,,-$K83))</f>
        <v/>
      </c>
      <c r="AZ83" s="245">
        <f>IF(AZ$7="Actual","",OFFSET(AZ62,,-$K83))</f>
        <v/>
      </c>
      <c r="BA83" s="245">
        <f>IF(BA$7="Actual","",OFFSET(BA62,,-$K83))</f>
        <v/>
      </c>
      <c r="BB83" s="245">
        <f>IF(BB$7="Actual","",OFFSET(BB62,,-$K83))</f>
        <v/>
      </c>
      <c r="BC83" s="245">
        <f>IF(BC$7="Actual","",OFFSET(BC62,,-$K83))</f>
        <v/>
      </c>
      <c r="BD83" s="245">
        <f>IF(BD$7="Actual","",OFFSET(BD62,,-$K83))</f>
        <v/>
      </c>
      <c r="BE83" s="245">
        <f>IF(BE$7="Actual","",OFFSET(BE62,,-$K83))</f>
        <v/>
      </c>
      <c r="BF83" s="245">
        <f>IF(BF$7="Actual","",OFFSET(BF62,,-$K83))</f>
        <v/>
      </c>
      <c r="BG83" s="245">
        <f>IF(BG$7="Actual","",OFFSET(BG62,,-$K83))</f>
        <v/>
      </c>
      <c r="BH83" s="245">
        <f>IF(BH$7="Actual","",OFFSET(BH62,,-$K83))</f>
        <v/>
      </c>
      <c r="BI83" s="245">
        <f>IF(BI$7="Actual","",OFFSET(BI62,,-$K83))</f>
        <v/>
      </c>
      <c r="BJ83" s="245">
        <f>IF(BJ$7="Actual","",OFFSET(BJ62,,-$K83))</f>
        <v/>
      </c>
      <c r="BK83" s="245">
        <f>IF(BK$7="Actual","",OFFSET(BK62,,-$K83))</f>
        <v/>
      </c>
      <c r="BL83" s="245">
        <f>IF(BL$7="Actual","",OFFSET(BL62,,-$K83))</f>
        <v/>
      </c>
      <c r="BM83" s="245">
        <f>IF(BM$7="Actual","",OFFSET(BM62,,-$K83))</f>
        <v/>
      </c>
      <c r="BN83" s="245">
        <f>IF(BN$7="Actual","",OFFSET(BN62,,-$K83))</f>
        <v/>
      </c>
      <c r="BO83" s="245">
        <f>IF(BO$7="Actual","",OFFSET(BO62,,-$K83))</f>
        <v/>
      </c>
      <c r="BP83" s="245">
        <f>IF(BP$7="Actual","",OFFSET(BP62,,-$K83))</f>
        <v/>
      </c>
      <c r="BQ83" s="245">
        <f>IF(BQ$7="Actual","",OFFSET(BQ62,,-$K83))</f>
        <v/>
      </c>
      <c r="BR83" s="245">
        <f>IF(BR$7="Actual","",OFFSET(BR62,,-$K83))</f>
        <v/>
      </c>
      <c r="BS83" s="245">
        <f>IF(BS$7="Actual","",OFFSET(BS62,,-$K83))</f>
        <v/>
      </c>
      <c r="BT83" s="245">
        <f>IF(BT$7="Actual","",OFFSET(BT62,,-$K83))</f>
        <v/>
      </c>
      <c r="BU83" s="245">
        <f>IF(BU$7="Actual","",OFFSET(BU62,,-$K83))</f>
        <v/>
      </c>
      <c r="BV83" s="245">
        <f>IF(BV$7="Actual","",OFFSET(BV62,,-$K83))</f>
        <v/>
      </c>
      <c r="BW83" s="245">
        <f>IF(BW$7="Actual","",OFFSET(BW62,,-$K83))</f>
        <v/>
      </c>
      <c r="BX83" s="245">
        <f>IF(BX$7="Actual","",OFFSET(BX62,,-$K83))</f>
        <v/>
      </c>
      <c r="BY83" s="245">
        <f>IF(BY$7="Actual","",OFFSET(BY62,,-$K83))</f>
        <v/>
      </c>
      <c r="BZ83" s="245">
        <f>IF(BZ$7="Actual","",OFFSET(BZ62,,-$K83))</f>
        <v/>
      </c>
      <c r="CA83" s="245">
        <f>IF(CA$7="Actual","",OFFSET(CA62,,-$K83))</f>
        <v/>
      </c>
    </row>
    <row r="84" ht="12" customHeight="1" s="227">
      <c r="A84" s="244" t="n"/>
      <c r="B84" s="244" t="n"/>
      <c r="C84" s="244" t="n"/>
      <c r="H84" s="0">
        <f>H63</f>
        <v/>
      </c>
      <c r="I84" s="27">
        <f>i_Setup!$M$16</f>
        <v/>
      </c>
      <c r="K84" s="259">
        <f>i_Assumptions!K45</f>
        <v/>
      </c>
      <c r="M84" s="245">
        <f>SUMIF($T$4:$CA$4,M$4,$T84:$CA84)</f>
        <v/>
      </c>
      <c r="N84" s="245">
        <f>SUMIF($T$4:$CA$4,N$4,$T84:$CA84)</f>
        <v/>
      </c>
      <c r="O84" s="245">
        <f>SUMIF($T$4:$CA$4,O$4,$T84:$CA84)</f>
        <v/>
      </c>
      <c r="P84" s="245">
        <f>SUMIF($T$4:$CA$4,P$4,$T84:$CA84)</f>
        <v/>
      </c>
      <c r="Q84" s="245">
        <f>SUMIF($T$4:$CA$4,Q$4,$T84:$CA84)</f>
        <v/>
      </c>
      <c r="T84" s="245">
        <f>IF(T$7="Actual","",OFFSET(T63,,-$K84))</f>
        <v/>
      </c>
      <c r="U84" s="245">
        <f>IF(U$7="Actual","",OFFSET(U63,,-$K84))</f>
        <v/>
      </c>
      <c r="V84" s="245">
        <f>IF(V$7="Actual","",OFFSET(V63,,-$K84))</f>
        <v/>
      </c>
      <c r="W84" s="245">
        <f>IF(W$7="Actual","",OFFSET(W63,,-$K84))</f>
        <v/>
      </c>
      <c r="X84" s="245">
        <f>IF(X$7="Actual","",OFFSET(X63,,-$K84))</f>
        <v/>
      </c>
      <c r="Y84" s="245">
        <f>IF(Y$7="Actual","",OFFSET(Y63,,-$K84))</f>
        <v/>
      </c>
      <c r="Z84" s="245">
        <f>IF(Z$7="Actual","",OFFSET(Z63,,-$K84))</f>
        <v/>
      </c>
      <c r="AA84" s="245">
        <f>IF(AA$7="Actual","",OFFSET(AA63,,-$K84))</f>
        <v/>
      </c>
      <c r="AB84" s="245">
        <f>IF(AB$7="Actual","",OFFSET(AB63,,-$K84))</f>
        <v/>
      </c>
      <c r="AC84" s="245">
        <f>IF(AC$7="Actual","",OFFSET(AC63,,-$K84))</f>
        <v/>
      </c>
      <c r="AD84" s="245">
        <f>IF(AD$7="Actual","",OFFSET(AD63,,-$K84))</f>
        <v/>
      </c>
      <c r="AE84" s="245">
        <f>IF(AE$7="Actual","",OFFSET(AE63,,-$K84))</f>
        <v/>
      </c>
      <c r="AF84" s="245">
        <f>IF(AF$7="Actual","",OFFSET(AF63,,-$K84))</f>
        <v/>
      </c>
      <c r="AG84" s="245">
        <f>IF(AG$7="Actual","",OFFSET(AG63,,-$K84))</f>
        <v/>
      </c>
      <c r="AH84" s="245">
        <f>IF(AH$7="Actual","",OFFSET(AH63,,-$K84))</f>
        <v/>
      </c>
      <c r="AI84" s="245">
        <f>IF(AI$7="Actual","",OFFSET(AI63,,-$K84))</f>
        <v/>
      </c>
      <c r="AJ84" s="245">
        <f>IF(AJ$7="Actual","",OFFSET(AJ63,,-$K84))</f>
        <v/>
      </c>
      <c r="AK84" s="245">
        <f>IF(AK$7="Actual","",OFFSET(AK63,,-$K84))</f>
        <v/>
      </c>
      <c r="AL84" s="245">
        <f>IF(AL$7="Actual","",OFFSET(AL63,,-$K84))</f>
        <v/>
      </c>
      <c r="AM84" s="245">
        <f>IF(AM$7="Actual","",OFFSET(AM63,,-$K84))</f>
        <v/>
      </c>
      <c r="AN84" s="245">
        <f>IF(AN$7="Actual","",OFFSET(AN63,,-$K84))</f>
        <v/>
      </c>
      <c r="AO84" s="245">
        <f>IF(AO$7="Actual","",OFFSET(AO63,,-$K84))</f>
        <v/>
      </c>
      <c r="AP84" s="245">
        <f>IF(AP$7="Actual","",OFFSET(AP63,,-$K84))</f>
        <v/>
      </c>
      <c r="AQ84" s="245">
        <f>IF(AQ$7="Actual","",OFFSET(AQ63,,-$K84))</f>
        <v/>
      </c>
      <c r="AR84" s="245">
        <f>IF(AR$7="Actual","",OFFSET(AR63,,-$K84))</f>
        <v/>
      </c>
      <c r="AS84" s="245">
        <f>IF(AS$7="Actual","",OFFSET(AS63,,-$K84))</f>
        <v/>
      </c>
      <c r="AT84" s="245">
        <f>IF(AT$7="Actual","",OFFSET(AT63,,-$K84))</f>
        <v/>
      </c>
      <c r="AU84" s="245">
        <f>IF(AU$7="Actual","",OFFSET(AU63,,-$K84))</f>
        <v/>
      </c>
      <c r="AV84" s="245">
        <f>IF(AV$7="Actual","",OFFSET(AV63,,-$K84))</f>
        <v/>
      </c>
      <c r="AW84" s="245">
        <f>IF(AW$7="Actual","",OFFSET(AW63,,-$K84))</f>
        <v/>
      </c>
      <c r="AX84" s="245">
        <f>IF(AX$7="Actual","",OFFSET(AX63,,-$K84))</f>
        <v/>
      </c>
      <c r="AY84" s="245">
        <f>IF(AY$7="Actual","",OFFSET(AY63,,-$K84))</f>
        <v/>
      </c>
      <c r="AZ84" s="245">
        <f>IF(AZ$7="Actual","",OFFSET(AZ63,,-$K84))</f>
        <v/>
      </c>
      <c r="BA84" s="245">
        <f>IF(BA$7="Actual","",OFFSET(BA63,,-$K84))</f>
        <v/>
      </c>
      <c r="BB84" s="245">
        <f>IF(BB$7="Actual","",OFFSET(BB63,,-$K84))</f>
        <v/>
      </c>
      <c r="BC84" s="245">
        <f>IF(BC$7="Actual","",OFFSET(BC63,,-$K84))</f>
        <v/>
      </c>
      <c r="BD84" s="245">
        <f>IF(BD$7="Actual","",OFFSET(BD63,,-$K84))</f>
        <v/>
      </c>
      <c r="BE84" s="245">
        <f>IF(BE$7="Actual","",OFFSET(BE63,,-$K84))</f>
        <v/>
      </c>
      <c r="BF84" s="245">
        <f>IF(BF$7="Actual","",OFFSET(BF63,,-$K84))</f>
        <v/>
      </c>
      <c r="BG84" s="245">
        <f>IF(BG$7="Actual","",OFFSET(BG63,,-$K84))</f>
        <v/>
      </c>
      <c r="BH84" s="245">
        <f>IF(BH$7="Actual","",OFFSET(BH63,,-$K84))</f>
        <v/>
      </c>
      <c r="BI84" s="245">
        <f>IF(BI$7="Actual","",OFFSET(BI63,,-$K84))</f>
        <v/>
      </c>
      <c r="BJ84" s="245">
        <f>IF(BJ$7="Actual","",OFFSET(BJ63,,-$K84))</f>
        <v/>
      </c>
      <c r="BK84" s="245">
        <f>IF(BK$7="Actual","",OFFSET(BK63,,-$K84))</f>
        <v/>
      </c>
      <c r="BL84" s="245">
        <f>IF(BL$7="Actual","",OFFSET(BL63,,-$K84))</f>
        <v/>
      </c>
      <c r="BM84" s="245">
        <f>IF(BM$7="Actual","",OFFSET(BM63,,-$K84))</f>
        <v/>
      </c>
      <c r="BN84" s="245">
        <f>IF(BN$7="Actual","",OFFSET(BN63,,-$K84))</f>
        <v/>
      </c>
      <c r="BO84" s="245">
        <f>IF(BO$7="Actual","",OFFSET(BO63,,-$K84))</f>
        <v/>
      </c>
      <c r="BP84" s="245">
        <f>IF(BP$7="Actual","",OFFSET(BP63,,-$K84))</f>
        <v/>
      </c>
      <c r="BQ84" s="245">
        <f>IF(BQ$7="Actual","",OFFSET(BQ63,,-$K84))</f>
        <v/>
      </c>
      <c r="BR84" s="245">
        <f>IF(BR$7="Actual","",OFFSET(BR63,,-$K84))</f>
        <v/>
      </c>
      <c r="BS84" s="245">
        <f>IF(BS$7="Actual","",OFFSET(BS63,,-$K84))</f>
        <v/>
      </c>
      <c r="BT84" s="245">
        <f>IF(BT$7="Actual","",OFFSET(BT63,,-$K84))</f>
        <v/>
      </c>
      <c r="BU84" s="245">
        <f>IF(BU$7="Actual","",OFFSET(BU63,,-$K84))</f>
        <v/>
      </c>
      <c r="BV84" s="245">
        <f>IF(BV$7="Actual","",OFFSET(BV63,,-$K84))</f>
        <v/>
      </c>
      <c r="BW84" s="245">
        <f>IF(BW$7="Actual","",OFFSET(BW63,,-$K84))</f>
        <v/>
      </c>
      <c r="BX84" s="245">
        <f>IF(BX$7="Actual","",OFFSET(BX63,,-$K84))</f>
        <v/>
      </c>
      <c r="BY84" s="245">
        <f>IF(BY$7="Actual","",OFFSET(BY63,,-$K84))</f>
        <v/>
      </c>
      <c r="BZ84" s="245">
        <f>IF(BZ$7="Actual","",OFFSET(BZ63,,-$K84))</f>
        <v/>
      </c>
      <c r="CA84" s="245">
        <f>IF(CA$7="Actual","",OFFSET(CA63,,-$K84))</f>
        <v/>
      </c>
    </row>
    <row r="85" ht="12" customHeight="1" s="227">
      <c r="A85" s="244" t="n"/>
      <c r="B85" s="244" t="n"/>
      <c r="C85" s="244" t="n"/>
      <c r="H85" s="0">
        <f>H64</f>
        <v/>
      </c>
      <c r="I85" s="27">
        <f>i_Setup!$M$16</f>
        <v/>
      </c>
      <c r="K85" s="259">
        <f>i_Assumptions!K46</f>
        <v/>
      </c>
      <c r="M85" s="245">
        <f>SUMIF($T$4:$CA$4,M$4,$T85:$CA85)</f>
        <v/>
      </c>
      <c r="N85" s="245">
        <f>SUMIF($T$4:$CA$4,N$4,$T85:$CA85)</f>
        <v/>
      </c>
      <c r="O85" s="245">
        <f>SUMIF($T$4:$CA$4,O$4,$T85:$CA85)</f>
        <v/>
      </c>
      <c r="P85" s="245">
        <f>SUMIF($T$4:$CA$4,P$4,$T85:$CA85)</f>
        <v/>
      </c>
      <c r="Q85" s="245">
        <f>SUMIF($T$4:$CA$4,Q$4,$T85:$CA85)</f>
        <v/>
      </c>
      <c r="T85" s="245">
        <f>IF(T$7="Actual","",OFFSET(T64,,-$K85))</f>
        <v/>
      </c>
      <c r="U85" s="245">
        <f>IF(U$7="Actual","",OFFSET(U64,,-$K85))</f>
        <v/>
      </c>
      <c r="V85" s="245">
        <f>IF(V$7="Actual","",OFFSET(V64,,-$K85))</f>
        <v/>
      </c>
      <c r="W85" s="245">
        <f>IF(W$7="Actual","",OFFSET(W64,,-$K85))</f>
        <v/>
      </c>
      <c r="X85" s="245">
        <f>IF(X$7="Actual","",OFFSET(X64,,-$K85))</f>
        <v/>
      </c>
      <c r="Y85" s="245">
        <f>IF(Y$7="Actual","",OFFSET(Y64,,-$K85))</f>
        <v/>
      </c>
      <c r="Z85" s="245">
        <f>IF(Z$7="Actual","",OFFSET(Z64,,-$K85))</f>
        <v/>
      </c>
      <c r="AA85" s="245">
        <f>IF(AA$7="Actual","",OFFSET(AA64,,-$K85))</f>
        <v/>
      </c>
      <c r="AB85" s="245">
        <f>IF(AB$7="Actual","",OFFSET(AB64,,-$K85))</f>
        <v/>
      </c>
      <c r="AC85" s="245">
        <f>IF(AC$7="Actual","",OFFSET(AC64,,-$K85))</f>
        <v/>
      </c>
      <c r="AD85" s="245">
        <f>IF(AD$7="Actual","",OFFSET(AD64,,-$K85))</f>
        <v/>
      </c>
      <c r="AE85" s="245">
        <f>IF(AE$7="Actual","",OFFSET(AE64,,-$K85))</f>
        <v/>
      </c>
      <c r="AF85" s="245">
        <f>IF(AF$7="Actual","",OFFSET(AF64,,-$K85))</f>
        <v/>
      </c>
      <c r="AG85" s="245">
        <f>IF(AG$7="Actual","",OFFSET(AG64,,-$K85))</f>
        <v/>
      </c>
      <c r="AH85" s="245">
        <f>IF(AH$7="Actual","",OFFSET(AH64,,-$K85))</f>
        <v/>
      </c>
      <c r="AI85" s="245">
        <f>IF(AI$7="Actual","",OFFSET(AI64,,-$K85))</f>
        <v/>
      </c>
      <c r="AJ85" s="245">
        <f>IF(AJ$7="Actual","",OFFSET(AJ64,,-$K85))</f>
        <v/>
      </c>
      <c r="AK85" s="245">
        <f>IF(AK$7="Actual","",OFFSET(AK64,,-$K85))</f>
        <v/>
      </c>
      <c r="AL85" s="245">
        <f>IF(AL$7="Actual","",OFFSET(AL64,,-$K85))</f>
        <v/>
      </c>
      <c r="AM85" s="245">
        <f>IF(AM$7="Actual","",OFFSET(AM64,,-$K85))</f>
        <v/>
      </c>
      <c r="AN85" s="245">
        <f>IF(AN$7="Actual","",OFFSET(AN64,,-$K85))</f>
        <v/>
      </c>
      <c r="AO85" s="245">
        <f>IF(AO$7="Actual","",OFFSET(AO64,,-$K85))</f>
        <v/>
      </c>
      <c r="AP85" s="245">
        <f>IF(AP$7="Actual","",OFFSET(AP64,,-$K85))</f>
        <v/>
      </c>
      <c r="AQ85" s="245">
        <f>IF(AQ$7="Actual","",OFFSET(AQ64,,-$K85))</f>
        <v/>
      </c>
      <c r="AR85" s="245">
        <f>IF(AR$7="Actual","",OFFSET(AR64,,-$K85))</f>
        <v/>
      </c>
      <c r="AS85" s="245">
        <f>IF(AS$7="Actual","",OFFSET(AS64,,-$K85))</f>
        <v/>
      </c>
      <c r="AT85" s="245">
        <f>IF(AT$7="Actual","",OFFSET(AT64,,-$K85))</f>
        <v/>
      </c>
      <c r="AU85" s="245">
        <f>IF(AU$7="Actual","",OFFSET(AU64,,-$K85))</f>
        <v/>
      </c>
      <c r="AV85" s="245">
        <f>IF(AV$7="Actual","",OFFSET(AV64,,-$K85))</f>
        <v/>
      </c>
      <c r="AW85" s="245">
        <f>IF(AW$7="Actual","",OFFSET(AW64,,-$K85))</f>
        <v/>
      </c>
      <c r="AX85" s="245">
        <f>IF(AX$7="Actual","",OFFSET(AX64,,-$K85))</f>
        <v/>
      </c>
      <c r="AY85" s="245">
        <f>IF(AY$7="Actual","",OFFSET(AY64,,-$K85))</f>
        <v/>
      </c>
      <c r="AZ85" s="245">
        <f>IF(AZ$7="Actual","",OFFSET(AZ64,,-$K85))</f>
        <v/>
      </c>
      <c r="BA85" s="245">
        <f>IF(BA$7="Actual","",OFFSET(BA64,,-$K85))</f>
        <v/>
      </c>
      <c r="BB85" s="245">
        <f>IF(BB$7="Actual","",OFFSET(BB64,,-$K85))</f>
        <v/>
      </c>
      <c r="BC85" s="245">
        <f>IF(BC$7="Actual","",OFFSET(BC64,,-$K85))</f>
        <v/>
      </c>
      <c r="BD85" s="245">
        <f>IF(BD$7="Actual","",OFFSET(BD64,,-$K85))</f>
        <v/>
      </c>
      <c r="BE85" s="245">
        <f>IF(BE$7="Actual","",OFFSET(BE64,,-$K85))</f>
        <v/>
      </c>
      <c r="BF85" s="245">
        <f>IF(BF$7="Actual","",OFFSET(BF64,,-$K85))</f>
        <v/>
      </c>
      <c r="BG85" s="245">
        <f>IF(BG$7="Actual","",OFFSET(BG64,,-$K85))</f>
        <v/>
      </c>
      <c r="BH85" s="245">
        <f>IF(BH$7="Actual","",OFFSET(BH64,,-$K85))</f>
        <v/>
      </c>
      <c r="BI85" s="245">
        <f>IF(BI$7="Actual","",OFFSET(BI64,,-$K85))</f>
        <v/>
      </c>
      <c r="BJ85" s="245">
        <f>IF(BJ$7="Actual","",OFFSET(BJ64,,-$K85))</f>
        <v/>
      </c>
      <c r="BK85" s="245">
        <f>IF(BK$7="Actual","",OFFSET(BK64,,-$K85))</f>
        <v/>
      </c>
      <c r="BL85" s="245">
        <f>IF(BL$7="Actual","",OFFSET(BL64,,-$K85))</f>
        <v/>
      </c>
      <c r="BM85" s="245">
        <f>IF(BM$7="Actual","",OFFSET(BM64,,-$K85))</f>
        <v/>
      </c>
      <c r="BN85" s="245">
        <f>IF(BN$7="Actual","",OFFSET(BN64,,-$K85))</f>
        <v/>
      </c>
      <c r="BO85" s="245">
        <f>IF(BO$7="Actual","",OFFSET(BO64,,-$K85))</f>
        <v/>
      </c>
      <c r="BP85" s="245">
        <f>IF(BP$7="Actual","",OFFSET(BP64,,-$K85))</f>
        <v/>
      </c>
      <c r="BQ85" s="245">
        <f>IF(BQ$7="Actual","",OFFSET(BQ64,,-$K85))</f>
        <v/>
      </c>
      <c r="BR85" s="245">
        <f>IF(BR$7="Actual","",OFFSET(BR64,,-$K85))</f>
        <v/>
      </c>
      <c r="BS85" s="245">
        <f>IF(BS$7="Actual","",OFFSET(BS64,,-$K85))</f>
        <v/>
      </c>
      <c r="BT85" s="245">
        <f>IF(BT$7="Actual","",OFFSET(BT64,,-$K85))</f>
        <v/>
      </c>
      <c r="BU85" s="245">
        <f>IF(BU$7="Actual","",OFFSET(BU64,,-$K85))</f>
        <v/>
      </c>
      <c r="BV85" s="245">
        <f>IF(BV$7="Actual","",OFFSET(BV64,,-$K85))</f>
        <v/>
      </c>
      <c r="BW85" s="245">
        <f>IF(BW$7="Actual","",OFFSET(BW64,,-$K85))</f>
        <v/>
      </c>
      <c r="BX85" s="245">
        <f>IF(BX$7="Actual","",OFFSET(BX64,,-$K85))</f>
        <v/>
      </c>
      <c r="BY85" s="245">
        <f>IF(BY$7="Actual","",OFFSET(BY64,,-$K85))</f>
        <v/>
      </c>
      <c r="BZ85" s="245">
        <f>IF(BZ$7="Actual","",OFFSET(BZ64,,-$K85))</f>
        <v/>
      </c>
      <c r="CA85" s="245">
        <f>IF(CA$7="Actual","",OFFSET(CA64,,-$K85))</f>
        <v/>
      </c>
    </row>
    <row r="86" ht="12" customHeight="1" s="227">
      <c r="A86" s="244" t="n"/>
      <c r="B86" s="244" t="n"/>
      <c r="C86" s="244" t="n"/>
      <c r="H86" s="0">
        <f>H65</f>
        <v/>
      </c>
      <c r="I86" s="27">
        <f>i_Setup!$M$16</f>
        <v/>
      </c>
      <c r="K86" s="259">
        <f>i_Assumptions!K47</f>
        <v/>
      </c>
      <c r="M86" s="245">
        <f>SUMIF($T$4:$CA$4,M$4,$T86:$CA86)</f>
        <v/>
      </c>
      <c r="N86" s="245">
        <f>SUMIF($T$4:$CA$4,N$4,$T86:$CA86)</f>
        <v/>
      </c>
      <c r="O86" s="245">
        <f>SUMIF($T$4:$CA$4,O$4,$T86:$CA86)</f>
        <v/>
      </c>
      <c r="P86" s="245">
        <f>SUMIF($T$4:$CA$4,P$4,$T86:$CA86)</f>
        <v/>
      </c>
      <c r="Q86" s="245">
        <f>SUMIF($T$4:$CA$4,Q$4,$T86:$CA86)</f>
        <v/>
      </c>
      <c r="T86" s="245">
        <f>IF(T$7="Actual","",OFFSET(T65,,-$K86))</f>
        <v/>
      </c>
      <c r="U86" s="245">
        <f>IF(U$7="Actual","",OFFSET(U65,,-$K86))</f>
        <v/>
      </c>
      <c r="V86" s="245">
        <f>IF(V$7="Actual","",OFFSET(V65,,-$K86))</f>
        <v/>
      </c>
      <c r="W86" s="245">
        <f>IF(W$7="Actual","",OFFSET(W65,,-$K86))</f>
        <v/>
      </c>
      <c r="X86" s="245">
        <f>IF(X$7="Actual","",OFFSET(X65,,-$K86))</f>
        <v/>
      </c>
      <c r="Y86" s="245">
        <f>IF(Y$7="Actual","",OFFSET(Y65,,-$K86))</f>
        <v/>
      </c>
      <c r="Z86" s="245">
        <f>IF(Z$7="Actual","",OFFSET(Z65,,-$K86))</f>
        <v/>
      </c>
      <c r="AA86" s="245">
        <f>IF(AA$7="Actual","",OFFSET(AA65,,-$K86))</f>
        <v/>
      </c>
      <c r="AB86" s="245">
        <f>IF(AB$7="Actual","",OFFSET(AB65,,-$K86))</f>
        <v/>
      </c>
      <c r="AC86" s="245">
        <f>IF(AC$7="Actual","",OFFSET(AC65,,-$K86))</f>
        <v/>
      </c>
      <c r="AD86" s="245">
        <f>IF(AD$7="Actual","",OFFSET(AD65,,-$K86))</f>
        <v/>
      </c>
      <c r="AE86" s="245">
        <f>IF(AE$7="Actual","",OFFSET(AE65,,-$K86))</f>
        <v/>
      </c>
      <c r="AF86" s="245">
        <f>IF(AF$7="Actual","",OFFSET(AF65,,-$K86))</f>
        <v/>
      </c>
      <c r="AG86" s="245">
        <f>IF(AG$7="Actual","",OFFSET(AG65,,-$K86))</f>
        <v/>
      </c>
      <c r="AH86" s="245">
        <f>IF(AH$7="Actual","",OFFSET(AH65,,-$K86))</f>
        <v/>
      </c>
      <c r="AI86" s="245">
        <f>IF(AI$7="Actual","",OFFSET(AI65,,-$K86))</f>
        <v/>
      </c>
      <c r="AJ86" s="245">
        <f>IF(AJ$7="Actual","",OFFSET(AJ65,,-$K86))</f>
        <v/>
      </c>
      <c r="AK86" s="245">
        <f>IF(AK$7="Actual","",OFFSET(AK65,,-$K86))</f>
        <v/>
      </c>
      <c r="AL86" s="245">
        <f>IF(AL$7="Actual","",OFFSET(AL65,,-$K86))</f>
        <v/>
      </c>
      <c r="AM86" s="245">
        <f>IF(AM$7="Actual","",OFFSET(AM65,,-$K86))</f>
        <v/>
      </c>
      <c r="AN86" s="245">
        <f>IF(AN$7="Actual","",OFFSET(AN65,,-$K86))</f>
        <v/>
      </c>
      <c r="AO86" s="245">
        <f>IF(AO$7="Actual","",OFFSET(AO65,,-$K86))</f>
        <v/>
      </c>
      <c r="AP86" s="245">
        <f>IF(AP$7="Actual","",OFFSET(AP65,,-$K86))</f>
        <v/>
      </c>
      <c r="AQ86" s="245">
        <f>IF(AQ$7="Actual","",OFFSET(AQ65,,-$K86))</f>
        <v/>
      </c>
      <c r="AR86" s="245">
        <f>IF(AR$7="Actual","",OFFSET(AR65,,-$K86))</f>
        <v/>
      </c>
      <c r="AS86" s="245">
        <f>IF(AS$7="Actual","",OFFSET(AS65,,-$K86))</f>
        <v/>
      </c>
      <c r="AT86" s="245">
        <f>IF(AT$7="Actual","",OFFSET(AT65,,-$K86))</f>
        <v/>
      </c>
      <c r="AU86" s="245">
        <f>IF(AU$7="Actual","",OFFSET(AU65,,-$K86))</f>
        <v/>
      </c>
      <c r="AV86" s="245">
        <f>IF(AV$7="Actual","",OFFSET(AV65,,-$K86))</f>
        <v/>
      </c>
      <c r="AW86" s="245">
        <f>IF(AW$7="Actual","",OFFSET(AW65,,-$K86))</f>
        <v/>
      </c>
      <c r="AX86" s="245">
        <f>IF(AX$7="Actual","",OFFSET(AX65,,-$K86))</f>
        <v/>
      </c>
      <c r="AY86" s="245">
        <f>IF(AY$7="Actual","",OFFSET(AY65,,-$K86))</f>
        <v/>
      </c>
      <c r="AZ86" s="245">
        <f>IF(AZ$7="Actual","",OFFSET(AZ65,,-$K86))</f>
        <v/>
      </c>
      <c r="BA86" s="245">
        <f>IF(BA$7="Actual","",OFFSET(BA65,,-$K86))</f>
        <v/>
      </c>
      <c r="BB86" s="245">
        <f>IF(BB$7="Actual","",OFFSET(BB65,,-$K86))</f>
        <v/>
      </c>
      <c r="BC86" s="245">
        <f>IF(BC$7="Actual","",OFFSET(BC65,,-$K86))</f>
        <v/>
      </c>
      <c r="BD86" s="245">
        <f>IF(BD$7="Actual","",OFFSET(BD65,,-$K86))</f>
        <v/>
      </c>
      <c r="BE86" s="245">
        <f>IF(BE$7="Actual","",OFFSET(BE65,,-$K86))</f>
        <v/>
      </c>
      <c r="BF86" s="245">
        <f>IF(BF$7="Actual","",OFFSET(BF65,,-$K86))</f>
        <v/>
      </c>
      <c r="BG86" s="245">
        <f>IF(BG$7="Actual","",OFFSET(BG65,,-$K86))</f>
        <v/>
      </c>
      <c r="BH86" s="245">
        <f>IF(BH$7="Actual","",OFFSET(BH65,,-$K86))</f>
        <v/>
      </c>
      <c r="BI86" s="245">
        <f>IF(BI$7="Actual","",OFFSET(BI65,,-$K86))</f>
        <v/>
      </c>
      <c r="BJ86" s="245">
        <f>IF(BJ$7="Actual","",OFFSET(BJ65,,-$K86))</f>
        <v/>
      </c>
      <c r="BK86" s="245">
        <f>IF(BK$7="Actual","",OFFSET(BK65,,-$K86))</f>
        <v/>
      </c>
      <c r="BL86" s="245">
        <f>IF(BL$7="Actual","",OFFSET(BL65,,-$K86))</f>
        <v/>
      </c>
      <c r="BM86" s="245">
        <f>IF(BM$7="Actual","",OFFSET(BM65,,-$K86))</f>
        <v/>
      </c>
      <c r="BN86" s="245">
        <f>IF(BN$7="Actual","",OFFSET(BN65,,-$K86))</f>
        <v/>
      </c>
      <c r="BO86" s="245">
        <f>IF(BO$7="Actual","",OFFSET(BO65,,-$K86))</f>
        <v/>
      </c>
      <c r="BP86" s="245">
        <f>IF(BP$7="Actual","",OFFSET(BP65,,-$K86))</f>
        <v/>
      </c>
      <c r="BQ86" s="245">
        <f>IF(BQ$7="Actual","",OFFSET(BQ65,,-$K86))</f>
        <v/>
      </c>
      <c r="BR86" s="245">
        <f>IF(BR$7="Actual","",OFFSET(BR65,,-$K86))</f>
        <v/>
      </c>
      <c r="BS86" s="245">
        <f>IF(BS$7="Actual","",OFFSET(BS65,,-$K86))</f>
        <v/>
      </c>
      <c r="BT86" s="245">
        <f>IF(BT$7="Actual","",OFFSET(BT65,,-$K86))</f>
        <v/>
      </c>
      <c r="BU86" s="245">
        <f>IF(BU$7="Actual","",OFFSET(BU65,,-$K86))</f>
        <v/>
      </c>
      <c r="BV86" s="245">
        <f>IF(BV$7="Actual","",OFFSET(BV65,,-$K86))</f>
        <v/>
      </c>
      <c r="BW86" s="245">
        <f>IF(BW$7="Actual","",OFFSET(BW65,,-$K86))</f>
        <v/>
      </c>
      <c r="BX86" s="245">
        <f>IF(BX$7="Actual","",OFFSET(BX65,,-$K86))</f>
        <v/>
      </c>
      <c r="BY86" s="245">
        <f>IF(BY$7="Actual","",OFFSET(BY65,,-$K86))</f>
        <v/>
      </c>
      <c r="BZ86" s="245">
        <f>IF(BZ$7="Actual","",OFFSET(BZ65,,-$K86))</f>
        <v/>
      </c>
      <c r="CA86" s="245">
        <f>IF(CA$7="Actual","",OFFSET(CA65,,-$K86))</f>
        <v/>
      </c>
    </row>
    <row r="87" ht="12" customHeight="1" s="227">
      <c r="A87" s="244" t="n"/>
      <c r="B87" s="244" t="n"/>
      <c r="C87" s="244" t="n"/>
      <c r="H87" s="0">
        <f>H66</f>
        <v/>
      </c>
      <c r="I87" s="27">
        <f>i_Setup!$M$16</f>
        <v/>
      </c>
      <c r="K87" s="259">
        <f>i_Assumptions!K48</f>
        <v/>
      </c>
      <c r="M87" s="245">
        <f>SUMIF($T$4:$CA$4,M$4,$T87:$CA87)</f>
        <v/>
      </c>
      <c r="N87" s="245">
        <f>SUMIF($T$4:$CA$4,N$4,$T87:$CA87)</f>
        <v/>
      </c>
      <c r="O87" s="245">
        <f>SUMIF($T$4:$CA$4,O$4,$T87:$CA87)</f>
        <v/>
      </c>
      <c r="P87" s="245">
        <f>SUMIF($T$4:$CA$4,P$4,$T87:$CA87)</f>
        <v/>
      </c>
      <c r="Q87" s="245">
        <f>SUMIF($T$4:$CA$4,Q$4,$T87:$CA87)</f>
        <v/>
      </c>
      <c r="T87" s="245">
        <f>IF(T$7="Actual","",OFFSET(T66,,-$K87))</f>
        <v/>
      </c>
      <c r="U87" s="245">
        <f>IF(U$7="Actual","",OFFSET(U66,,-$K87))</f>
        <v/>
      </c>
      <c r="V87" s="245">
        <f>IF(V$7="Actual","",OFFSET(V66,,-$K87))</f>
        <v/>
      </c>
      <c r="W87" s="245">
        <f>IF(W$7="Actual","",OFFSET(W66,,-$K87))</f>
        <v/>
      </c>
      <c r="X87" s="245">
        <f>IF(X$7="Actual","",OFFSET(X66,,-$K87))</f>
        <v/>
      </c>
      <c r="Y87" s="245">
        <f>IF(Y$7="Actual","",OFFSET(Y66,,-$K87))</f>
        <v/>
      </c>
      <c r="Z87" s="245">
        <f>IF(Z$7="Actual","",OFFSET(Z66,,-$K87))</f>
        <v/>
      </c>
      <c r="AA87" s="245">
        <f>IF(AA$7="Actual","",OFFSET(AA66,,-$K87))</f>
        <v/>
      </c>
      <c r="AB87" s="245">
        <f>IF(AB$7="Actual","",OFFSET(AB66,,-$K87))</f>
        <v/>
      </c>
      <c r="AC87" s="245">
        <f>IF(AC$7="Actual","",OFFSET(AC66,,-$K87))</f>
        <v/>
      </c>
      <c r="AD87" s="245">
        <f>IF(AD$7="Actual","",OFFSET(AD66,,-$K87))</f>
        <v/>
      </c>
      <c r="AE87" s="245">
        <f>IF(AE$7="Actual","",OFFSET(AE66,,-$K87))</f>
        <v/>
      </c>
      <c r="AF87" s="245">
        <f>IF(AF$7="Actual","",OFFSET(AF66,,-$K87))</f>
        <v/>
      </c>
      <c r="AG87" s="245">
        <f>IF(AG$7="Actual","",OFFSET(AG66,,-$K87))</f>
        <v/>
      </c>
      <c r="AH87" s="245">
        <f>IF(AH$7="Actual","",OFFSET(AH66,,-$K87))</f>
        <v/>
      </c>
      <c r="AI87" s="245">
        <f>IF(AI$7="Actual","",OFFSET(AI66,,-$K87))</f>
        <v/>
      </c>
      <c r="AJ87" s="245">
        <f>IF(AJ$7="Actual","",OFFSET(AJ66,,-$K87))</f>
        <v/>
      </c>
      <c r="AK87" s="245">
        <f>IF(AK$7="Actual","",OFFSET(AK66,,-$K87))</f>
        <v/>
      </c>
      <c r="AL87" s="245">
        <f>IF(AL$7="Actual","",OFFSET(AL66,,-$K87))</f>
        <v/>
      </c>
      <c r="AM87" s="245">
        <f>IF(AM$7="Actual","",OFFSET(AM66,,-$K87))</f>
        <v/>
      </c>
      <c r="AN87" s="245">
        <f>IF(AN$7="Actual","",OFFSET(AN66,,-$K87))</f>
        <v/>
      </c>
      <c r="AO87" s="245">
        <f>IF(AO$7="Actual","",OFFSET(AO66,,-$K87))</f>
        <v/>
      </c>
      <c r="AP87" s="245">
        <f>IF(AP$7="Actual","",OFFSET(AP66,,-$K87))</f>
        <v/>
      </c>
      <c r="AQ87" s="245">
        <f>IF(AQ$7="Actual","",OFFSET(AQ66,,-$K87))</f>
        <v/>
      </c>
      <c r="AR87" s="245">
        <f>IF(AR$7="Actual","",OFFSET(AR66,,-$K87))</f>
        <v/>
      </c>
      <c r="AS87" s="245">
        <f>IF(AS$7="Actual","",OFFSET(AS66,,-$K87))</f>
        <v/>
      </c>
      <c r="AT87" s="245">
        <f>IF(AT$7="Actual","",OFFSET(AT66,,-$K87))</f>
        <v/>
      </c>
      <c r="AU87" s="245">
        <f>IF(AU$7="Actual","",OFFSET(AU66,,-$K87))</f>
        <v/>
      </c>
      <c r="AV87" s="245">
        <f>IF(AV$7="Actual","",OFFSET(AV66,,-$K87))</f>
        <v/>
      </c>
      <c r="AW87" s="245">
        <f>IF(AW$7="Actual","",OFFSET(AW66,,-$K87))</f>
        <v/>
      </c>
      <c r="AX87" s="245">
        <f>IF(AX$7="Actual","",OFFSET(AX66,,-$K87))</f>
        <v/>
      </c>
      <c r="AY87" s="245">
        <f>IF(AY$7="Actual","",OFFSET(AY66,,-$K87))</f>
        <v/>
      </c>
      <c r="AZ87" s="245">
        <f>IF(AZ$7="Actual","",OFFSET(AZ66,,-$K87))</f>
        <v/>
      </c>
      <c r="BA87" s="245">
        <f>IF(BA$7="Actual","",OFFSET(BA66,,-$K87))</f>
        <v/>
      </c>
      <c r="BB87" s="245">
        <f>IF(BB$7="Actual","",OFFSET(BB66,,-$K87))</f>
        <v/>
      </c>
      <c r="BC87" s="245">
        <f>IF(BC$7="Actual","",OFFSET(BC66,,-$K87))</f>
        <v/>
      </c>
      <c r="BD87" s="245">
        <f>IF(BD$7="Actual","",OFFSET(BD66,,-$K87))</f>
        <v/>
      </c>
      <c r="BE87" s="245">
        <f>IF(BE$7="Actual","",OFFSET(BE66,,-$K87))</f>
        <v/>
      </c>
      <c r="BF87" s="245">
        <f>IF(BF$7="Actual","",OFFSET(BF66,,-$K87))</f>
        <v/>
      </c>
      <c r="BG87" s="245">
        <f>IF(BG$7="Actual","",OFFSET(BG66,,-$K87))</f>
        <v/>
      </c>
      <c r="BH87" s="245">
        <f>IF(BH$7="Actual","",OFFSET(BH66,,-$K87))</f>
        <v/>
      </c>
      <c r="BI87" s="245">
        <f>IF(BI$7="Actual","",OFFSET(BI66,,-$K87))</f>
        <v/>
      </c>
      <c r="BJ87" s="245">
        <f>IF(BJ$7="Actual","",OFFSET(BJ66,,-$K87))</f>
        <v/>
      </c>
      <c r="BK87" s="245">
        <f>IF(BK$7="Actual","",OFFSET(BK66,,-$K87))</f>
        <v/>
      </c>
      <c r="BL87" s="245">
        <f>IF(BL$7="Actual","",OFFSET(BL66,,-$K87))</f>
        <v/>
      </c>
      <c r="BM87" s="245">
        <f>IF(BM$7="Actual","",OFFSET(BM66,,-$K87))</f>
        <v/>
      </c>
      <c r="BN87" s="245">
        <f>IF(BN$7="Actual","",OFFSET(BN66,,-$K87))</f>
        <v/>
      </c>
      <c r="BO87" s="245">
        <f>IF(BO$7="Actual","",OFFSET(BO66,,-$K87))</f>
        <v/>
      </c>
      <c r="BP87" s="245">
        <f>IF(BP$7="Actual","",OFFSET(BP66,,-$K87))</f>
        <v/>
      </c>
      <c r="BQ87" s="245">
        <f>IF(BQ$7="Actual","",OFFSET(BQ66,,-$K87))</f>
        <v/>
      </c>
      <c r="BR87" s="245">
        <f>IF(BR$7="Actual","",OFFSET(BR66,,-$K87))</f>
        <v/>
      </c>
      <c r="BS87" s="245">
        <f>IF(BS$7="Actual","",OFFSET(BS66,,-$K87))</f>
        <v/>
      </c>
      <c r="BT87" s="245">
        <f>IF(BT$7="Actual","",OFFSET(BT66,,-$K87))</f>
        <v/>
      </c>
      <c r="BU87" s="245">
        <f>IF(BU$7="Actual","",OFFSET(BU66,,-$K87))</f>
        <v/>
      </c>
      <c r="BV87" s="245">
        <f>IF(BV$7="Actual","",OFFSET(BV66,,-$K87))</f>
        <v/>
      </c>
      <c r="BW87" s="245">
        <f>IF(BW$7="Actual","",OFFSET(BW66,,-$K87))</f>
        <v/>
      </c>
      <c r="BX87" s="245">
        <f>IF(BX$7="Actual","",OFFSET(BX66,,-$K87))</f>
        <v/>
      </c>
      <c r="BY87" s="245">
        <f>IF(BY$7="Actual","",OFFSET(BY66,,-$K87))</f>
        <v/>
      </c>
      <c r="BZ87" s="245">
        <f>IF(BZ$7="Actual","",OFFSET(BZ66,,-$K87))</f>
        <v/>
      </c>
      <c r="CA87" s="245">
        <f>IF(CA$7="Actual","",OFFSET(CA66,,-$K87))</f>
        <v/>
      </c>
    </row>
    <row r="88" ht="12" customHeight="1" s="227">
      <c r="A88" s="244" t="n"/>
      <c r="B88" s="244" t="n"/>
      <c r="C88" s="244" t="n"/>
      <c r="H88" s="0">
        <f>H67</f>
        <v/>
      </c>
      <c r="I88" s="27">
        <f>i_Setup!$M$16</f>
        <v/>
      </c>
      <c r="K88" s="259">
        <f>i_Assumptions!K49</f>
        <v/>
      </c>
      <c r="M88" s="245">
        <f>SUMIF($T$4:$CA$4,M$4,$T88:$CA88)</f>
        <v/>
      </c>
      <c r="N88" s="245">
        <f>SUMIF($T$4:$CA$4,N$4,$T88:$CA88)</f>
        <v/>
      </c>
      <c r="O88" s="245">
        <f>SUMIF($T$4:$CA$4,O$4,$T88:$CA88)</f>
        <v/>
      </c>
      <c r="P88" s="245">
        <f>SUMIF($T$4:$CA$4,P$4,$T88:$CA88)</f>
        <v/>
      </c>
      <c r="Q88" s="245">
        <f>SUMIF($T$4:$CA$4,Q$4,$T88:$CA88)</f>
        <v/>
      </c>
      <c r="T88" s="245">
        <f>IF(T$7="Actual","",OFFSET(T67,,-$K88))</f>
        <v/>
      </c>
      <c r="U88" s="245">
        <f>IF(U$7="Actual","",OFFSET(U67,,-$K88))</f>
        <v/>
      </c>
      <c r="V88" s="245">
        <f>IF(V$7="Actual","",OFFSET(V67,,-$K88))</f>
        <v/>
      </c>
      <c r="W88" s="245">
        <f>IF(W$7="Actual","",OFFSET(W67,,-$K88))</f>
        <v/>
      </c>
      <c r="X88" s="245">
        <f>IF(X$7="Actual","",OFFSET(X67,,-$K88))</f>
        <v/>
      </c>
      <c r="Y88" s="245">
        <f>IF(Y$7="Actual","",OFFSET(Y67,,-$K88))</f>
        <v/>
      </c>
      <c r="Z88" s="245">
        <f>IF(Z$7="Actual","",OFFSET(Z67,,-$K88))</f>
        <v/>
      </c>
      <c r="AA88" s="245">
        <f>IF(AA$7="Actual","",OFFSET(AA67,,-$K88))</f>
        <v/>
      </c>
      <c r="AB88" s="245">
        <f>IF(AB$7="Actual","",OFFSET(AB67,,-$K88))</f>
        <v/>
      </c>
      <c r="AC88" s="245">
        <f>IF(AC$7="Actual","",OFFSET(AC67,,-$K88))</f>
        <v/>
      </c>
      <c r="AD88" s="245">
        <f>IF(AD$7="Actual","",OFFSET(AD67,,-$K88))</f>
        <v/>
      </c>
      <c r="AE88" s="245">
        <f>IF(AE$7="Actual","",OFFSET(AE67,,-$K88))</f>
        <v/>
      </c>
      <c r="AF88" s="245">
        <f>IF(AF$7="Actual","",OFFSET(AF67,,-$K88))</f>
        <v/>
      </c>
      <c r="AG88" s="245">
        <f>IF(AG$7="Actual","",OFFSET(AG67,,-$K88))</f>
        <v/>
      </c>
      <c r="AH88" s="245">
        <f>IF(AH$7="Actual","",OFFSET(AH67,,-$K88))</f>
        <v/>
      </c>
      <c r="AI88" s="245">
        <f>IF(AI$7="Actual","",OFFSET(AI67,,-$K88))</f>
        <v/>
      </c>
      <c r="AJ88" s="245">
        <f>IF(AJ$7="Actual","",OFFSET(AJ67,,-$K88))</f>
        <v/>
      </c>
      <c r="AK88" s="245">
        <f>IF(AK$7="Actual","",OFFSET(AK67,,-$K88))</f>
        <v/>
      </c>
      <c r="AL88" s="245">
        <f>IF(AL$7="Actual","",OFFSET(AL67,,-$K88))</f>
        <v/>
      </c>
      <c r="AM88" s="245">
        <f>IF(AM$7="Actual","",OFFSET(AM67,,-$K88))</f>
        <v/>
      </c>
      <c r="AN88" s="245">
        <f>IF(AN$7="Actual","",OFFSET(AN67,,-$K88))</f>
        <v/>
      </c>
      <c r="AO88" s="245">
        <f>IF(AO$7="Actual","",OFFSET(AO67,,-$K88))</f>
        <v/>
      </c>
      <c r="AP88" s="245">
        <f>IF(AP$7="Actual","",OFFSET(AP67,,-$K88))</f>
        <v/>
      </c>
      <c r="AQ88" s="245">
        <f>IF(AQ$7="Actual","",OFFSET(AQ67,,-$K88))</f>
        <v/>
      </c>
      <c r="AR88" s="245">
        <f>IF(AR$7="Actual","",OFFSET(AR67,,-$K88))</f>
        <v/>
      </c>
      <c r="AS88" s="245">
        <f>IF(AS$7="Actual","",OFFSET(AS67,,-$K88))</f>
        <v/>
      </c>
      <c r="AT88" s="245">
        <f>IF(AT$7="Actual","",OFFSET(AT67,,-$K88))</f>
        <v/>
      </c>
      <c r="AU88" s="245">
        <f>IF(AU$7="Actual","",OFFSET(AU67,,-$K88))</f>
        <v/>
      </c>
      <c r="AV88" s="245">
        <f>IF(AV$7="Actual","",OFFSET(AV67,,-$K88))</f>
        <v/>
      </c>
      <c r="AW88" s="245">
        <f>IF(AW$7="Actual","",OFFSET(AW67,,-$K88))</f>
        <v/>
      </c>
      <c r="AX88" s="245">
        <f>IF(AX$7="Actual","",OFFSET(AX67,,-$K88))</f>
        <v/>
      </c>
      <c r="AY88" s="245">
        <f>IF(AY$7="Actual","",OFFSET(AY67,,-$K88))</f>
        <v/>
      </c>
      <c r="AZ88" s="245">
        <f>IF(AZ$7="Actual","",OFFSET(AZ67,,-$K88))</f>
        <v/>
      </c>
      <c r="BA88" s="245">
        <f>IF(BA$7="Actual","",OFFSET(BA67,,-$K88))</f>
        <v/>
      </c>
      <c r="BB88" s="245">
        <f>IF(BB$7="Actual","",OFFSET(BB67,,-$K88))</f>
        <v/>
      </c>
      <c r="BC88" s="245">
        <f>IF(BC$7="Actual","",OFFSET(BC67,,-$K88))</f>
        <v/>
      </c>
      <c r="BD88" s="245">
        <f>IF(BD$7="Actual","",OFFSET(BD67,,-$K88))</f>
        <v/>
      </c>
      <c r="BE88" s="245">
        <f>IF(BE$7="Actual","",OFFSET(BE67,,-$K88))</f>
        <v/>
      </c>
      <c r="BF88" s="245">
        <f>IF(BF$7="Actual","",OFFSET(BF67,,-$K88))</f>
        <v/>
      </c>
      <c r="BG88" s="245">
        <f>IF(BG$7="Actual","",OFFSET(BG67,,-$K88))</f>
        <v/>
      </c>
      <c r="BH88" s="245">
        <f>IF(BH$7="Actual","",OFFSET(BH67,,-$K88))</f>
        <v/>
      </c>
      <c r="BI88" s="245">
        <f>IF(BI$7="Actual","",OFFSET(BI67,,-$K88))</f>
        <v/>
      </c>
      <c r="BJ88" s="245">
        <f>IF(BJ$7="Actual","",OFFSET(BJ67,,-$K88))</f>
        <v/>
      </c>
      <c r="BK88" s="245">
        <f>IF(BK$7="Actual","",OFFSET(BK67,,-$K88))</f>
        <v/>
      </c>
      <c r="BL88" s="245">
        <f>IF(BL$7="Actual","",OFFSET(BL67,,-$K88))</f>
        <v/>
      </c>
      <c r="BM88" s="245">
        <f>IF(BM$7="Actual","",OFFSET(BM67,,-$K88))</f>
        <v/>
      </c>
      <c r="BN88" s="245">
        <f>IF(BN$7="Actual","",OFFSET(BN67,,-$K88))</f>
        <v/>
      </c>
      <c r="BO88" s="245">
        <f>IF(BO$7="Actual","",OFFSET(BO67,,-$K88))</f>
        <v/>
      </c>
      <c r="BP88" s="245">
        <f>IF(BP$7="Actual","",OFFSET(BP67,,-$K88))</f>
        <v/>
      </c>
      <c r="BQ88" s="245">
        <f>IF(BQ$7="Actual","",OFFSET(BQ67,,-$K88))</f>
        <v/>
      </c>
      <c r="BR88" s="245">
        <f>IF(BR$7="Actual","",OFFSET(BR67,,-$K88))</f>
        <v/>
      </c>
      <c r="BS88" s="245">
        <f>IF(BS$7="Actual","",OFFSET(BS67,,-$K88))</f>
        <v/>
      </c>
      <c r="BT88" s="245">
        <f>IF(BT$7="Actual","",OFFSET(BT67,,-$K88))</f>
        <v/>
      </c>
      <c r="BU88" s="245">
        <f>IF(BU$7="Actual","",OFFSET(BU67,,-$K88))</f>
        <v/>
      </c>
      <c r="BV88" s="245">
        <f>IF(BV$7="Actual","",OFFSET(BV67,,-$K88))</f>
        <v/>
      </c>
      <c r="BW88" s="245">
        <f>IF(BW$7="Actual","",OFFSET(BW67,,-$K88))</f>
        <v/>
      </c>
      <c r="BX88" s="245">
        <f>IF(BX$7="Actual","",OFFSET(BX67,,-$K88))</f>
        <v/>
      </c>
      <c r="BY88" s="245">
        <f>IF(BY$7="Actual","",OFFSET(BY67,,-$K88))</f>
        <v/>
      </c>
      <c r="BZ88" s="245">
        <f>IF(BZ$7="Actual","",OFFSET(BZ67,,-$K88))</f>
        <v/>
      </c>
      <c r="CA88" s="245">
        <f>IF(CA$7="Actual","",OFFSET(CA67,,-$K88))</f>
        <v/>
      </c>
    </row>
    <row r="89" ht="12" customHeight="1" s="227">
      <c r="A89" s="244" t="n"/>
      <c r="B89" s="244" t="n"/>
      <c r="C89" s="244" t="n"/>
      <c r="H89" s="0">
        <f>H68</f>
        <v/>
      </c>
      <c r="I89" s="27">
        <f>i_Setup!$M$16</f>
        <v/>
      </c>
      <c r="K89" s="259">
        <f>i_Assumptions!K50</f>
        <v/>
      </c>
      <c r="M89" s="245">
        <f>SUMIF($T$4:$CA$4,M$4,$T89:$CA89)</f>
        <v/>
      </c>
      <c r="N89" s="245">
        <f>SUMIF($T$4:$CA$4,N$4,$T89:$CA89)</f>
        <v/>
      </c>
      <c r="O89" s="245">
        <f>SUMIF($T$4:$CA$4,O$4,$T89:$CA89)</f>
        <v/>
      </c>
      <c r="P89" s="245">
        <f>SUMIF($T$4:$CA$4,P$4,$T89:$CA89)</f>
        <v/>
      </c>
      <c r="Q89" s="245">
        <f>SUMIF($T$4:$CA$4,Q$4,$T89:$CA89)</f>
        <v/>
      </c>
      <c r="T89" s="245">
        <f>IF(T$7="Actual","",OFFSET(T68,,-$K89))</f>
        <v/>
      </c>
      <c r="U89" s="245">
        <f>IF(U$7="Actual","",OFFSET(U68,,-$K89))</f>
        <v/>
      </c>
      <c r="V89" s="245">
        <f>IF(V$7="Actual","",OFFSET(V68,,-$K89))</f>
        <v/>
      </c>
      <c r="W89" s="245">
        <f>IF(W$7="Actual","",OFFSET(W68,,-$K89))</f>
        <v/>
      </c>
      <c r="X89" s="245">
        <f>IF(X$7="Actual","",OFFSET(X68,,-$K89))</f>
        <v/>
      </c>
      <c r="Y89" s="245">
        <f>IF(Y$7="Actual","",OFFSET(Y68,,-$K89))</f>
        <v/>
      </c>
      <c r="Z89" s="245">
        <f>IF(Z$7="Actual","",OFFSET(Z68,,-$K89))</f>
        <v/>
      </c>
      <c r="AA89" s="245">
        <f>IF(AA$7="Actual","",OFFSET(AA68,,-$K89))</f>
        <v/>
      </c>
      <c r="AB89" s="245">
        <f>IF(AB$7="Actual","",OFFSET(AB68,,-$K89))</f>
        <v/>
      </c>
      <c r="AC89" s="245">
        <f>IF(AC$7="Actual","",OFFSET(AC68,,-$K89))</f>
        <v/>
      </c>
      <c r="AD89" s="245">
        <f>IF(AD$7="Actual","",OFFSET(AD68,,-$K89))</f>
        <v/>
      </c>
      <c r="AE89" s="245">
        <f>IF(AE$7="Actual","",OFFSET(AE68,,-$K89))</f>
        <v/>
      </c>
      <c r="AF89" s="245">
        <f>IF(AF$7="Actual","",OFFSET(AF68,,-$K89))</f>
        <v/>
      </c>
      <c r="AG89" s="245">
        <f>IF(AG$7="Actual","",OFFSET(AG68,,-$K89))</f>
        <v/>
      </c>
      <c r="AH89" s="245">
        <f>IF(AH$7="Actual","",OFFSET(AH68,,-$K89))</f>
        <v/>
      </c>
      <c r="AI89" s="245">
        <f>IF(AI$7="Actual","",OFFSET(AI68,,-$K89))</f>
        <v/>
      </c>
      <c r="AJ89" s="245">
        <f>IF(AJ$7="Actual","",OFFSET(AJ68,,-$K89))</f>
        <v/>
      </c>
      <c r="AK89" s="245">
        <f>IF(AK$7="Actual","",OFFSET(AK68,,-$K89))</f>
        <v/>
      </c>
      <c r="AL89" s="245">
        <f>IF(AL$7="Actual","",OFFSET(AL68,,-$K89))</f>
        <v/>
      </c>
      <c r="AM89" s="245">
        <f>IF(AM$7="Actual","",OFFSET(AM68,,-$K89))</f>
        <v/>
      </c>
      <c r="AN89" s="245">
        <f>IF(AN$7="Actual","",OFFSET(AN68,,-$K89))</f>
        <v/>
      </c>
      <c r="AO89" s="245">
        <f>IF(AO$7="Actual","",OFFSET(AO68,,-$K89))</f>
        <v/>
      </c>
      <c r="AP89" s="245">
        <f>IF(AP$7="Actual","",OFFSET(AP68,,-$K89))</f>
        <v/>
      </c>
      <c r="AQ89" s="245">
        <f>IF(AQ$7="Actual","",OFFSET(AQ68,,-$K89))</f>
        <v/>
      </c>
      <c r="AR89" s="245">
        <f>IF(AR$7="Actual","",OFFSET(AR68,,-$K89))</f>
        <v/>
      </c>
      <c r="AS89" s="245">
        <f>IF(AS$7="Actual","",OFFSET(AS68,,-$K89))</f>
        <v/>
      </c>
      <c r="AT89" s="245">
        <f>IF(AT$7="Actual","",OFFSET(AT68,,-$K89))</f>
        <v/>
      </c>
      <c r="AU89" s="245">
        <f>IF(AU$7="Actual","",OFFSET(AU68,,-$K89))</f>
        <v/>
      </c>
      <c r="AV89" s="245">
        <f>IF(AV$7="Actual","",OFFSET(AV68,,-$K89))</f>
        <v/>
      </c>
      <c r="AW89" s="245">
        <f>IF(AW$7="Actual","",OFFSET(AW68,,-$K89))</f>
        <v/>
      </c>
      <c r="AX89" s="245">
        <f>IF(AX$7="Actual","",OFFSET(AX68,,-$K89))</f>
        <v/>
      </c>
      <c r="AY89" s="245">
        <f>IF(AY$7="Actual","",OFFSET(AY68,,-$K89))</f>
        <v/>
      </c>
      <c r="AZ89" s="245">
        <f>IF(AZ$7="Actual","",OFFSET(AZ68,,-$K89))</f>
        <v/>
      </c>
      <c r="BA89" s="245">
        <f>IF(BA$7="Actual","",OFFSET(BA68,,-$K89))</f>
        <v/>
      </c>
      <c r="BB89" s="245">
        <f>IF(BB$7="Actual","",OFFSET(BB68,,-$K89))</f>
        <v/>
      </c>
      <c r="BC89" s="245">
        <f>IF(BC$7="Actual","",OFFSET(BC68,,-$K89))</f>
        <v/>
      </c>
      <c r="BD89" s="245">
        <f>IF(BD$7="Actual","",OFFSET(BD68,,-$K89))</f>
        <v/>
      </c>
      <c r="BE89" s="245">
        <f>IF(BE$7="Actual","",OFFSET(BE68,,-$K89))</f>
        <v/>
      </c>
      <c r="BF89" s="245">
        <f>IF(BF$7="Actual","",OFFSET(BF68,,-$K89))</f>
        <v/>
      </c>
      <c r="BG89" s="245">
        <f>IF(BG$7="Actual","",OFFSET(BG68,,-$K89))</f>
        <v/>
      </c>
      <c r="BH89" s="245">
        <f>IF(BH$7="Actual","",OFFSET(BH68,,-$K89))</f>
        <v/>
      </c>
      <c r="BI89" s="245">
        <f>IF(BI$7="Actual","",OFFSET(BI68,,-$K89))</f>
        <v/>
      </c>
      <c r="BJ89" s="245">
        <f>IF(BJ$7="Actual","",OFFSET(BJ68,,-$K89))</f>
        <v/>
      </c>
      <c r="BK89" s="245">
        <f>IF(BK$7="Actual","",OFFSET(BK68,,-$K89))</f>
        <v/>
      </c>
      <c r="BL89" s="245">
        <f>IF(BL$7="Actual","",OFFSET(BL68,,-$K89))</f>
        <v/>
      </c>
      <c r="BM89" s="245">
        <f>IF(BM$7="Actual","",OFFSET(BM68,,-$K89))</f>
        <v/>
      </c>
      <c r="BN89" s="245">
        <f>IF(BN$7="Actual","",OFFSET(BN68,,-$K89))</f>
        <v/>
      </c>
      <c r="BO89" s="245">
        <f>IF(BO$7="Actual","",OFFSET(BO68,,-$K89))</f>
        <v/>
      </c>
      <c r="BP89" s="245">
        <f>IF(BP$7="Actual","",OFFSET(BP68,,-$K89))</f>
        <v/>
      </c>
      <c r="BQ89" s="245">
        <f>IF(BQ$7="Actual","",OFFSET(BQ68,,-$K89))</f>
        <v/>
      </c>
      <c r="BR89" s="245">
        <f>IF(BR$7="Actual","",OFFSET(BR68,,-$K89))</f>
        <v/>
      </c>
      <c r="BS89" s="245">
        <f>IF(BS$7="Actual","",OFFSET(BS68,,-$K89))</f>
        <v/>
      </c>
      <c r="BT89" s="245">
        <f>IF(BT$7="Actual","",OFFSET(BT68,,-$K89))</f>
        <v/>
      </c>
      <c r="BU89" s="245">
        <f>IF(BU$7="Actual","",OFFSET(BU68,,-$K89))</f>
        <v/>
      </c>
      <c r="BV89" s="245">
        <f>IF(BV$7="Actual","",OFFSET(BV68,,-$K89))</f>
        <v/>
      </c>
      <c r="BW89" s="245">
        <f>IF(BW$7="Actual","",OFFSET(BW68,,-$K89))</f>
        <v/>
      </c>
      <c r="BX89" s="245">
        <f>IF(BX$7="Actual","",OFFSET(BX68,,-$K89))</f>
        <v/>
      </c>
      <c r="BY89" s="245">
        <f>IF(BY$7="Actual","",OFFSET(BY68,,-$K89))</f>
        <v/>
      </c>
      <c r="BZ89" s="245">
        <f>IF(BZ$7="Actual","",OFFSET(BZ68,,-$K89))</f>
        <v/>
      </c>
      <c r="CA89" s="245">
        <f>IF(CA$7="Actual","",OFFSET(CA68,,-$K89))</f>
        <v/>
      </c>
    </row>
    <row r="90" ht="12" customHeight="1" s="227">
      <c r="A90" s="244" t="n"/>
      <c r="B90" s="244" t="n"/>
      <c r="C90" s="244" t="n"/>
      <c r="H90" s="0">
        <f>H69</f>
        <v/>
      </c>
      <c r="I90" s="27">
        <f>i_Setup!$M$16</f>
        <v/>
      </c>
      <c r="K90" s="259">
        <f>i_Assumptions!K51</f>
        <v/>
      </c>
      <c r="M90" s="245">
        <f>SUMIF($T$4:$CA$4,M$4,$T90:$CA90)</f>
        <v/>
      </c>
      <c r="N90" s="245">
        <f>SUMIF($T$4:$CA$4,N$4,$T90:$CA90)</f>
        <v/>
      </c>
      <c r="O90" s="245">
        <f>SUMIF($T$4:$CA$4,O$4,$T90:$CA90)</f>
        <v/>
      </c>
      <c r="P90" s="245">
        <f>SUMIF($T$4:$CA$4,P$4,$T90:$CA90)</f>
        <v/>
      </c>
      <c r="Q90" s="245">
        <f>SUMIF($T$4:$CA$4,Q$4,$T90:$CA90)</f>
        <v/>
      </c>
      <c r="T90" s="245">
        <f>IF(T$7="Actual","",OFFSET(T69,,-$K90))</f>
        <v/>
      </c>
      <c r="U90" s="245">
        <f>IF(U$7="Actual","",OFFSET(U69,,-$K90))</f>
        <v/>
      </c>
      <c r="V90" s="245">
        <f>IF(V$7="Actual","",OFFSET(V69,,-$K90))</f>
        <v/>
      </c>
      <c r="W90" s="245">
        <f>IF(W$7="Actual","",OFFSET(W69,,-$K90))</f>
        <v/>
      </c>
      <c r="X90" s="245">
        <f>IF(X$7="Actual","",OFFSET(X69,,-$K90))</f>
        <v/>
      </c>
      <c r="Y90" s="245">
        <f>IF(Y$7="Actual","",OFFSET(Y69,,-$K90))</f>
        <v/>
      </c>
      <c r="Z90" s="245">
        <f>IF(Z$7="Actual","",OFFSET(Z69,,-$K90))</f>
        <v/>
      </c>
      <c r="AA90" s="245">
        <f>IF(AA$7="Actual","",OFFSET(AA69,,-$K90))</f>
        <v/>
      </c>
      <c r="AB90" s="245">
        <f>IF(AB$7="Actual","",OFFSET(AB69,,-$K90))</f>
        <v/>
      </c>
      <c r="AC90" s="245">
        <f>IF(AC$7="Actual","",OFFSET(AC69,,-$K90))</f>
        <v/>
      </c>
      <c r="AD90" s="245">
        <f>IF(AD$7="Actual","",OFFSET(AD69,,-$K90))</f>
        <v/>
      </c>
      <c r="AE90" s="245">
        <f>IF(AE$7="Actual","",OFFSET(AE69,,-$K90))</f>
        <v/>
      </c>
      <c r="AF90" s="245">
        <f>IF(AF$7="Actual","",OFFSET(AF69,,-$K90))</f>
        <v/>
      </c>
      <c r="AG90" s="245">
        <f>IF(AG$7="Actual","",OFFSET(AG69,,-$K90))</f>
        <v/>
      </c>
      <c r="AH90" s="245">
        <f>IF(AH$7="Actual","",OFFSET(AH69,,-$K90))</f>
        <v/>
      </c>
      <c r="AI90" s="245">
        <f>IF(AI$7="Actual","",OFFSET(AI69,,-$K90))</f>
        <v/>
      </c>
      <c r="AJ90" s="245">
        <f>IF(AJ$7="Actual","",OFFSET(AJ69,,-$K90))</f>
        <v/>
      </c>
      <c r="AK90" s="245">
        <f>IF(AK$7="Actual","",OFFSET(AK69,,-$K90))</f>
        <v/>
      </c>
      <c r="AL90" s="245">
        <f>IF(AL$7="Actual","",OFFSET(AL69,,-$K90))</f>
        <v/>
      </c>
      <c r="AM90" s="245">
        <f>IF(AM$7="Actual","",OFFSET(AM69,,-$K90))</f>
        <v/>
      </c>
      <c r="AN90" s="245">
        <f>IF(AN$7="Actual","",OFFSET(AN69,,-$K90))</f>
        <v/>
      </c>
      <c r="AO90" s="245">
        <f>IF(AO$7="Actual","",OFFSET(AO69,,-$K90))</f>
        <v/>
      </c>
      <c r="AP90" s="245">
        <f>IF(AP$7="Actual","",OFFSET(AP69,,-$K90))</f>
        <v/>
      </c>
      <c r="AQ90" s="245">
        <f>IF(AQ$7="Actual","",OFFSET(AQ69,,-$K90))</f>
        <v/>
      </c>
      <c r="AR90" s="245">
        <f>IF(AR$7="Actual","",OFFSET(AR69,,-$K90))</f>
        <v/>
      </c>
      <c r="AS90" s="245">
        <f>IF(AS$7="Actual","",OFFSET(AS69,,-$K90))</f>
        <v/>
      </c>
      <c r="AT90" s="245">
        <f>IF(AT$7="Actual","",OFFSET(AT69,,-$K90))</f>
        <v/>
      </c>
      <c r="AU90" s="245">
        <f>IF(AU$7="Actual","",OFFSET(AU69,,-$K90))</f>
        <v/>
      </c>
      <c r="AV90" s="245">
        <f>IF(AV$7="Actual","",OFFSET(AV69,,-$K90))</f>
        <v/>
      </c>
      <c r="AW90" s="245">
        <f>IF(AW$7="Actual","",OFFSET(AW69,,-$K90))</f>
        <v/>
      </c>
      <c r="AX90" s="245">
        <f>IF(AX$7="Actual","",OFFSET(AX69,,-$K90))</f>
        <v/>
      </c>
      <c r="AY90" s="245">
        <f>IF(AY$7="Actual","",OFFSET(AY69,,-$K90))</f>
        <v/>
      </c>
      <c r="AZ90" s="245">
        <f>IF(AZ$7="Actual","",OFFSET(AZ69,,-$K90))</f>
        <v/>
      </c>
      <c r="BA90" s="245">
        <f>IF(BA$7="Actual","",OFFSET(BA69,,-$K90))</f>
        <v/>
      </c>
      <c r="BB90" s="245">
        <f>IF(BB$7="Actual","",OFFSET(BB69,,-$K90))</f>
        <v/>
      </c>
      <c r="BC90" s="245">
        <f>IF(BC$7="Actual","",OFFSET(BC69,,-$K90))</f>
        <v/>
      </c>
      <c r="BD90" s="245">
        <f>IF(BD$7="Actual","",OFFSET(BD69,,-$K90))</f>
        <v/>
      </c>
      <c r="BE90" s="245">
        <f>IF(BE$7="Actual","",OFFSET(BE69,,-$K90))</f>
        <v/>
      </c>
      <c r="BF90" s="245">
        <f>IF(BF$7="Actual","",OFFSET(BF69,,-$K90))</f>
        <v/>
      </c>
      <c r="BG90" s="245">
        <f>IF(BG$7="Actual","",OFFSET(BG69,,-$K90))</f>
        <v/>
      </c>
      <c r="BH90" s="245">
        <f>IF(BH$7="Actual","",OFFSET(BH69,,-$K90))</f>
        <v/>
      </c>
      <c r="BI90" s="245">
        <f>IF(BI$7="Actual","",OFFSET(BI69,,-$K90))</f>
        <v/>
      </c>
      <c r="BJ90" s="245">
        <f>IF(BJ$7="Actual","",OFFSET(BJ69,,-$K90))</f>
        <v/>
      </c>
      <c r="BK90" s="245">
        <f>IF(BK$7="Actual","",OFFSET(BK69,,-$K90))</f>
        <v/>
      </c>
      <c r="BL90" s="245">
        <f>IF(BL$7="Actual","",OFFSET(BL69,,-$K90))</f>
        <v/>
      </c>
      <c r="BM90" s="245">
        <f>IF(BM$7="Actual","",OFFSET(BM69,,-$K90))</f>
        <v/>
      </c>
      <c r="BN90" s="245">
        <f>IF(BN$7="Actual","",OFFSET(BN69,,-$K90))</f>
        <v/>
      </c>
      <c r="BO90" s="245">
        <f>IF(BO$7="Actual","",OFFSET(BO69,,-$K90))</f>
        <v/>
      </c>
      <c r="BP90" s="245">
        <f>IF(BP$7="Actual","",OFFSET(BP69,,-$K90))</f>
        <v/>
      </c>
      <c r="BQ90" s="245">
        <f>IF(BQ$7="Actual","",OFFSET(BQ69,,-$K90))</f>
        <v/>
      </c>
      <c r="BR90" s="245">
        <f>IF(BR$7="Actual","",OFFSET(BR69,,-$K90))</f>
        <v/>
      </c>
      <c r="BS90" s="245">
        <f>IF(BS$7="Actual","",OFFSET(BS69,,-$K90))</f>
        <v/>
      </c>
      <c r="BT90" s="245">
        <f>IF(BT$7="Actual","",OFFSET(BT69,,-$K90))</f>
        <v/>
      </c>
      <c r="BU90" s="245">
        <f>IF(BU$7="Actual","",OFFSET(BU69,,-$K90))</f>
        <v/>
      </c>
      <c r="BV90" s="245">
        <f>IF(BV$7="Actual","",OFFSET(BV69,,-$K90))</f>
        <v/>
      </c>
      <c r="BW90" s="245">
        <f>IF(BW$7="Actual","",OFFSET(BW69,,-$K90))</f>
        <v/>
      </c>
      <c r="BX90" s="245">
        <f>IF(BX$7="Actual","",OFFSET(BX69,,-$K90))</f>
        <v/>
      </c>
      <c r="BY90" s="245">
        <f>IF(BY$7="Actual","",OFFSET(BY69,,-$K90))</f>
        <v/>
      </c>
      <c r="BZ90" s="245">
        <f>IF(BZ$7="Actual","",OFFSET(BZ69,,-$K90))</f>
        <v/>
      </c>
      <c r="CA90" s="245">
        <f>IF(CA$7="Actual","",OFFSET(CA69,,-$K90))</f>
        <v/>
      </c>
    </row>
    <row r="91" ht="12" customHeight="1" s="227">
      <c r="A91" s="244" t="n"/>
      <c r="B91" s="244" t="n"/>
      <c r="C91" s="244" t="n"/>
      <c r="H91" s="0">
        <f>H70</f>
        <v/>
      </c>
      <c r="I91" s="27">
        <f>i_Setup!$M$16</f>
        <v/>
      </c>
      <c r="K91" s="259">
        <f>i_Assumptions!K52</f>
        <v/>
      </c>
      <c r="M91" s="245">
        <f>SUMIF($T$4:$CA$4,M$4,$T91:$CA91)</f>
        <v/>
      </c>
      <c r="N91" s="245">
        <f>SUMIF($T$4:$CA$4,N$4,$T91:$CA91)</f>
        <v/>
      </c>
      <c r="O91" s="245">
        <f>SUMIF($T$4:$CA$4,O$4,$T91:$CA91)</f>
        <v/>
      </c>
      <c r="P91" s="245">
        <f>SUMIF($T$4:$CA$4,P$4,$T91:$CA91)</f>
        <v/>
      </c>
      <c r="Q91" s="245">
        <f>SUMIF($T$4:$CA$4,Q$4,$T91:$CA91)</f>
        <v/>
      </c>
      <c r="T91" s="245">
        <f>IF(T$7="Actual","",OFFSET(T70,,-$K91))</f>
        <v/>
      </c>
      <c r="U91" s="245">
        <f>IF(U$7="Actual","",OFFSET(U70,,-$K91))</f>
        <v/>
      </c>
      <c r="V91" s="245">
        <f>IF(V$7="Actual","",OFFSET(V70,,-$K91))</f>
        <v/>
      </c>
      <c r="W91" s="245">
        <f>IF(W$7="Actual","",OFFSET(W70,,-$K91))</f>
        <v/>
      </c>
      <c r="X91" s="245">
        <f>IF(X$7="Actual","",OFFSET(X70,,-$K91))</f>
        <v/>
      </c>
      <c r="Y91" s="245">
        <f>IF(Y$7="Actual","",OFFSET(Y70,,-$K91))</f>
        <v/>
      </c>
      <c r="Z91" s="245">
        <f>IF(Z$7="Actual","",OFFSET(Z70,,-$K91))</f>
        <v/>
      </c>
      <c r="AA91" s="245">
        <f>IF(AA$7="Actual","",OFFSET(AA70,,-$K91))</f>
        <v/>
      </c>
      <c r="AB91" s="245">
        <f>IF(AB$7="Actual","",OFFSET(AB70,,-$K91))</f>
        <v/>
      </c>
      <c r="AC91" s="245">
        <f>IF(AC$7="Actual","",OFFSET(AC70,,-$K91))</f>
        <v/>
      </c>
      <c r="AD91" s="245">
        <f>IF(AD$7="Actual","",OFFSET(AD70,,-$K91))</f>
        <v/>
      </c>
      <c r="AE91" s="245">
        <f>IF(AE$7="Actual","",OFFSET(AE70,,-$K91))</f>
        <v/>
      </c>
      <c r="AF91" s="245">
        <f>IF(AF$7="Actual","",OFFSET(AF70,,-$K91))</f>
        <v/>
      </c>
      <c r="AG91" s="245">
        <f>IF(AG$7="Actual","",OFFSET(AG70,,-$K91))</f>
        <v/>
      </c>
      <c r="AH91" s="245">
        <f>IF(AH$7="Actual","",OFFSET(AH70,,-$K91))</f>
        <v/>
      </c>
      <c r="AI91" s="245">
        <f>IF(AI$7="Actual","",OFFSET(AI70,,-$K91))</f>
        <v/>
      </c>
      <c r="AJ91" s="245">
        <f>IF(AJ$7="Actual","",OFFSET(AJ70,,-$K91))</f>
        <v/>
      </c>
      <c r="AK91" s="245">
        <f>IF(AK$7="Actual","",OFFSET(AK70,,-$K91))</f>
        <v/>
      </c>
      <c r="AL91" s="245">
        <f>IF(AL$7="Actual","",OFFSET(AL70,,-$K91))</f>
        <v/>
      </c>
      <c r="AM91" s="245">
        <f>IF(AM$7="Actual","",OFFSET(AM70,,-$K91))</f>
        <v/>
      </c>
      <c r="AN91" s="245">
        <f>IF(AN$7="Actual","",OFFSET(AN70,,-$K91))</f>
        <v/>
      </c>
      <c r="AO91" s="245">
        <f>IF(AO$7="Actual","",OFFSET(AO70,,-$K91))</f>
        <v/>
      </c>
      <c r="AP91" s="245">
        <f>IF(AP$7="Actual","",OFFSET(AP70,,-$K91))</f>
        <v/>
      </c>
      <c r="AQ91" s="245">
        <f>IF(AQ$7="Actual","",OFFSET(AQ70,,-$K91))</f>
        <v/>
      </c>
      <c r="AR91" s="245">
        <f>IF(AR$7="Actual","",OFFSET(AR70,,-$K91))</f>
        <v/>
      </c>
      <c r="AS91" s="245">
        <f>IF(AS$7="Actual","",OFFSET(AS70,,-$K91))</f>
        <v/>
      </c>
      <c r="AT91" s="245">
        <f>IF(AT$7="Actual","",OFFSET(AT70,,-$K91))</f>
        <v/>
      </c>
      <c r="AU91" s="245">
        <f>IF(AU$7="Actual","",OFFSET(AU70,,-$K91))</f>
        <v/>
      </c>
      <c r="AV91" s="245">
        <f>IF(AV$7="Actual","",OFFSET(AV70,,-$K91))</f>
        <v/>
      </c>
      <c r="AW91" s="245">
        <f>IF(AW$7="Actual","",OFFSET(AW70,,-$K91))</f>
        <v/>
      </c>
      <c r="AX91" s="245">
        <f>IF(AX$7="Actual","",OFFSET(AX70,,-$K91))</f>
        <v/>
      </c>
      <c r="AY91" s="245">
        <f>IF(AY$7="Actual","",OFFSET(AY70,,-$K91))</f>
        <v/>
      </c>
      <c r="AZ91" s="245">
        <f>IF(AZ$7="Actual","",OFFSET(AZ70,,-$K91))</f>
        <v/>
      </c>
      <c r="BA91" s="245">
        <f>IF(BA$7="Actual","",OFFSET(BA70,,-$K91))</f>
        <v/>
      </c>
      <c r="BB91" s="245">
        <f>IF(BB$7="Actual","",OFFSET(BB70,,-$K91))</f>
        <v/>
      </c>
      <c r="BC91" s="245">
        <f>IF(BC$7="Actual","",OFFSET(BC70,,-$K91))</f>
        <v/>
      </c>
      <c r="BD91" s="245">
        <f>IF(BD$7="Actual","",OFFSET(BD70,,-$K91))</f>
        <v/>
      </c>
      <c r="BE91" s="245">
        <f>IF(BE$7="Actual","",OFFSET(BE70,,-$K91))</f>
        <v/>
      </c>
      <c r="BF91" s="245">
        <f>IF(BF$7="Actual","",OFFSET(BF70,,-$K91))</f>
        <v/>
      </c>
      <c r="BG91" s="245">
        <f>IF(BG$7="Actual","",OFFSET(BG70,,-$K91))</f>
        <v/>
      </c>
      <c r="BH91" s="245">
        <f>IF(BH$7="Actual","",OFFSET(BH70,,-$K91))</f>
        <v/>
      </c>
      <c r="BI91" s="245">
        <f>IF(BI$7="Actual","",OFFSET(BI70,,-$K91))</f>
        <v/>
      </c>
      <c r="BJ91" s="245">
        <f>IF(BJ$7="Actual","",OFFSET(BJ70,,-$K91))</f>
        <v/>
      </c>
      <c r="BK91" s="245">
        <f>IF(BK$7="Actual","",OFFSET(BK70,,-$K91))</f>
        <v/>
      </c>
      <c r="BL91" s="245">
        <f>IF(BL$7="Actual","",OFFSET(BL70,,-$K91))</f>
        <v/>
      </c>
      <c r="BM91" s="245">
        <f>IF(BM$7="Actual","",OFFSET(BM70,,-$K91))</f>
        <v/>
      </c>
      <c r="BN91" s="245">
        <f>IF(BN$7="Actual","",OFFSET(BN70,,-$K91))</f>
        <v/>
      </c>
      <c r="BO91" s="245">
        <f>IF(BO$7="Actual","",OFFSET(BO70,,-$K91))</f>
        <v/>
      </c>
      <c r="BP91" s="245">
        <f>IF(BP$7="Actual","",OFFSET(BP70,,-$K91))</f>
        <v/>
      </c>
      <c r="BQ91" s="245">
        <f>IF(BQ$7="Actual","",OFFSET(BQ70,,-$K91))</f>
        <v/>
      </c>
      <c r="BR91" s="245">
        <f>IF(BR$7="Actual","",OFFSET(BR70,,-$K91))</f>
        <v/>
      </c>
      <c r="BS91" s="245">
        <f>IF(BS$7="Actual","",OFFSET(BS70,,-$K91))</f>
        <v/>
      </c>
      <c r="BT91" s="245">
        <f>IF(BT$7="Actual","",OFFSET(BT70,,-$K91))</f>
        <v/>
      </c>
      <c r="BU91" s="245">
        <f>IF(BU$7="Actual","",OFFSET(BU70,,-$K91))</f>
        <v/>
      </c>
      <c r="BV91" s="245">
        <f>IF(BV$7="Actual","",OFFSET(BV70,,-$K91))</f>
        <v/>
      </c>
      <c r="BW91" s="245">
        <f>IF(BW$7="Actual","",OFFSET(BW70,,-$K91))</f>
        <v/>
      </c>
      <c r="BX91" s="245">
        <f>IF(BX$7="Actual","",OFFSET(BX70,,-$K91))</f>
        <v/>
      </c>
      <c r="BY91" s="245">
        <f>IF(BY$7="Actual","",OFFSET(BY70,,-$K91))</f>
        <v/>
      </c>
      <c r="BZ91" s="245">
        <f>IF(BZ$7="Actual","",OFFSET(BZ70,,-$K91))</f>
        <v/>
      </c>
      <c r="CA91" s="245">
        <f>IF(CA$7="Actual","",OFFSET(CA70,,-$K91))</f>
        <v/>
      </c>
    </row>
    <row r="92" ht="12" customHeight="1" s="227" thickBot="1">
      <c r="A92" s="244" t="n"/>
      <c r="B92" s="244" t="n"/>
      <c r="C92" s="244" t="n"/>
      <c r="H92" s="42" t="inlineStr">
        <is>
          <t>Total Receipts</t>
        </is>
      </c>
      <c r="I92" s="43">
        <f>i_Setup!$M$16</f>
        <v/>
      </c>
      <c r="K92" s="6" t="n"/>
      <c r="M92" s="264">
        <f>SUM(M81:M91)</f>
        <v/>
      </c>
      <c r="N92" s="264">
        <f>SUM(N81:N91)</f>
        <v/>
      </c>
      <c r="O92" s="264">
        <f>SUM(O81:O91)</f>
        <v/>
      </c>
      <c r="P92" s="264">
        <f>SUM(P81:P91)</f>
        <v/>
      </c>
      <c r="Q92" s="264">
        <f>SUM(Q81:Q91)</f>
        <v/>
      </c>
      <c r="T92" s="264">
        <f>SUM(T81:T91)</f>
        <v/>
      </c>
      <c r="U92" s="264">
        <f>SUM(U81:U91)</f>
        <v/>
      </c>
      <c r="V92" s="264">
        <f>SUM(V81:V91)</f>
        <v/>
      </c>
      <c r="W92" s="264">
        <f>SUM(W81:W91)</f>
        <v/>
      </c>
      <c r="X92" s="264">
        <f>SUM(X81:X91)</f>
        <v/>
      </c>
      <c r="Y92" s="264">
        <f>SUM(Y81:Y91)</f>
        <v/>
      </c>
      <c r="Z92" s="264">
        <f>SUM(Z81:Z91)</f>
        <v/>
      </c>
      <c r="AA92" s="264">
        <f>SUM(AA81:AA91)</f>
        <v/>
      </c>
      <c r="AB92" s="264">
        <f>SUM(AB81:AB91)</f>
        <v/>
      </c>
      <c r="AC92" s="264">
        <f>SUM(AC81:AC91)</f>
        <v/>
      </c>
      <c r="AD92" s="264">
        <f>SUM(AD81:AD91)</f>
        <v/>
      </c>
      <c r="AE92" s="264">
        <f>SUM(AE81:AE91)</f>
        <v/>
      </c>
      <c r="AF92" s="264">
        <f>SUM(AF81:AF91)</f>
        <v/>
      </c>
      <c r="AG92" s="264">
        <f>SUM(AG81:AG91)</f>
        <v/>
      </c>
      <c r="AH92" s="264">
        <f>SUM(AH81:AH91)</f>
        <v/>
      </c>
      <c r="AI92" s="264">
        <f>SUM(AI81:AI91)</f>
        <v/>
      </c>
      <c r="AJ92" s="264">
        <f>SUM(AJ81:AJ91)</f>
        <v/>
      </c>
      <c r="AK92" s="264">
        <f>SUM(AK81:AK91)</f>
        <v/>
      </c>
      <c r="AL92" s="264">
        <f>SUM(AL81:AL91)</f>
        <v/>
      </c>
      <c r="AM92" s="264">
        <f>SUM(AM81:AM91)</f>
        <v/>
      </c>
      <c r="AN92" s="264">
        <f>SUM(AN81:AN91)</f>
        <v/>
      </c>
      <c r="AO92" s="264">
        <f>SUM(AO81:AO91)</f>
        <v/>
      </c>
      <c r="AP92" s="264">
        <f>SUM(AP81:AP91)</f>
        <v/>
      </c>
      <c r="AQ92" s="264">
        <f>SUM(AQ81:AQ91)</f>
        <v/>
      </c>
      <c r="AR92" s="264">
        <f>SUM(AR81:AR91)</f>
        <v/>
      </c>
      <c r="AS92" s="264">
        <f>SUM(AS81:AS91)</f>
        <v/>
      </c>
      <c r="AT92" s="264">
        <f>SUM(AT81:AT91)</f>
        <v/>
      </c>
      <c r="AU92" s="264">
        <f>SUM(AU81:AU91)</f>
        <v/>
      </c>
      <c r="AV92" s="264">
        <f>SUM(AV81:AV91)</f>
        <v/>
      </c>
      <c r="AW92" s="264">
        <f>SUM(AW81:AW91)</f>
        <v/>
      </c>
      <c r="AX92" s="264">
        <f>SUM(AX81:AX91)</f>
        <v/>
      </c>
      <c r="AY92" s="264">
        <f>SUM(AY81:AY91)</f>
        <v/>
      </c>
      <c r="AZ92" s="264">
        <f>SUM(AZ81:AZ91)</f>
        <v/>
      </c>
      <c r="BA92" s="264">
        <f>SUM(BA81:BA91)</f>
        <v/>
      </c>
      <c r="BB92" s="264">
        <f>SUM(BB81:BB91)</f>
        <v/>
      </c>
      <c r="BC92" s="264">
        <f>SUM(BC81:BC91)</f>
        <v/>
      </c>
      <c r="BD92" s="264">
        <f>SUM(BD81:BD91)</f>
        <v/>
      </c>
      <c r="BE92" s="264">
        <f>SUM(BE81:BE91)</f>
        <v/>
      </c>
      <c r="BF92" s="264">
        <f>SUM(BF81:BF91)</f>
        <v/>
      </c>
      <c r="BG92" s="264">
        <f>SUM(BG81:BG91)</f>
        <v/>
      </c>
      <c r="BH92" s="264">
        <f>SUM(BH81:BH91)</f>
        <v/>
      </c>
      <c r="BI92" s="264">
        <f>SUM(BI81:BI91)</f>
        <v/>
      </c>
      <c r="BJ92" s="264">
        <f>SUM(BJ81:BJ91)</f>
        <v/>
      </c>
      <c r="BK92" s="264">
        <f>SUM(BK81:BK91)</f>
        <v/>
      </c>
      <c r="BL92" s="264">
        <f>SUM(BL81:BL91)</f>
        <v/>
      </c>
      <c r="BM92" s="264">
        <f>SUM(BM81:BM91)</f>
        <v/>
      </c>
      <c r="BN92" s="264">
        <f>SUM(BN81:BN91)</f>
        <v/>
      </c>
      <c r="BO92" s="264">
        <f>SUM(BO81:BO91)</f>
        <v/>
      </c>
      <c r="BP92" s="264">
        <f>SUM(BP81:BP91)</f>
        <v/>
      </c>
      <c r="BQ92" s="264">
        <f>SUM(BQ81:BQ91)</f>
        <v/>
      </c>
      <c r="BR92" s="264">
        <f>SUM(BR81:BR91)</f>
        <v/>
      </c>
      <c r="BS92" s="264">
        <f>SUM(BS81:BS91)</f>
        <v/>
      </c>
      <c r="BT92" s="264">
        <f>SUM(BT81:BT91)</f>
        <v/>
      </c>
      <c r="BU92" s="264">
        <f>SUM(BU81:BU91)</f>
        <v/>
      </c>
      <c r="BV92" s="264">
        <f>SUM(BV81:BV91)</f>
        <v/>
      </c>
      <c r="BW92" s="264">
        <f>SUM(BW81:BW91)</f>
        <v/>
      </c>
      <c r="BX92" s="264">
        <f>SUM(BX81:BX91)</f>
        <v/>
      </c>
      <c r="BY92" s="264">
        <f>SUM(BY81:BY91)</f>
        <v/>
      </c>
      <c r="BZ92" s="264">
        <f>SUM(BZ81:BZ91)</f>
        <v/>
      </c>
      <c r="CA92" s="264">
        <f>SUM(CA81:CA91)</f>
        <v/>
      </c>
    </row>
    <row r="93" ht="12" customHeight="1" s="227">
      <c r="A93" s="244" t="n"/>
      <c r="B93" s="244" t="n"/>
      <c r="C93" s="244" t="n"/>
      <c r="K93" s="6" t="n"/>
    </row>
    <row r="94" ht="12" customHeight="1" s="227">
      <c r="A94" s="244" t="n"/>
      <c r="B94" s="244" t="n"/>
      <c r="C94" s="244" t="n"/>
      <c r="K94" s="6" t="n"/>
    </row>
    <row r="95" ht="12" customHeight="1" s="227">
      <c r="A95" s="244" t="n"/>
      <c r="B95" s="244" t="n"/>
      <c r="C95" s="244" t="n"/>
      <c r="G95" s="222" t="inlineStr">
        <is>
          <t>Accounts Receivable</t>
        </is>
      </c>
      <c r="K95" s="6" t="n"/>
    </row>
    <row r="96" ht="12" customHeight="1" s="227">
      <c r="A96" s="244" t="n"/>
      <c r="B96" s="244" t="n"/>
      <c r="C96" s="244" t="n"/>
      <c r="K96" s="6" t="n"/>
    </row>
    <row r="97" ht="12" customHeight="1" s="227">
      <c r="A97" s="244" t="n"/>
      <c r="B97" s="244" t="n"/>
      <c r="C97" s="244" t="n"/>
      <c r="H97" s="0" t="inlineStr">
        <is>
          <t>Opening Balance</t>
        </is>
      </c>
      <c r="I97" s="27">
        <f>i_Setup!$M$16</f>
        <v/>
      </c>
      <c r="K97" s="6" t="n"/>
      <c r="M97" s="245">
        <f>SUMIF($T$1:$CA$1,M$1,$T97:$CA97)</f>
        <v/>
      </c>
      <c r="N97" s="245">
        <f>SUMIF($T$1:$CA$1,N$1,$T97:$CA97)</f>
        <v/>
      </c>
      <c r="O97" s="245">
        <f>SUMIF($T$1:$CA$1,O$1,$T97:$CA97)</f>
        <v/>
      </c>
      <c r="P97" s="245">
        <f>SUMIF($T$1:$CA$1,P$1,$T97:$CA97)</f>
        <v/>
      </c>
      <c r="Q97" s="245">
        <f>SUMIF($T$1:$CA$1,Q$1,$T97:$CA97)</f>
        <v/>
      </c>
      <c r="T97" s="245">
        <f>S100</f>
        <v/>
      </c>
      <c r="U97" s="245">
        <f>T100</f>
        <v/>
      </c>
      <c r="V97" s="245">
        <f>U100</f>
        <v/>
      </c>
      <c r="W97" s="245">
        <f>V100</f>
        <v/>
      </c>
      <c r="X97" s="245">
        <f>W100</f>
        <v/>
      </c>
      <c r="Y97" s="245">
        <f>X100</f>
        <v/>
      </c>
      <c r="Z97" s="245">
        <f>Y100</f>
        <v/>
      </c>
      <c r="AA97" s="245">
        <f>Z100</f>
        <v/>
      </c>
      <c r="AB97" s="245">
        <f>AA100</f>
        <v/>
      </c>
      <c r="AC97" s="245">
        <f>AB100</f>
        <v/>
      </c>
      <c r="AD97" s="245">
        <f>AC100</f>
        <v/>
      </c>
      <c r="AE97" s="245">
        <f>AD100</f>
        <v/>
      </c>
      <c r="AF97" s="245">
        <f>AE100</f>
        <v/>
      </c>
      <c r="AG97" s="245">
        <f>AF100</f>
        <v/>
      </c>
      <c r="AH97" s="245">
        <f>AG100</f>
        <v/>
      </c>
      <c r="AI97" s="245">
        <f>AH100</f>
        <v/>
      </c>
      <c r="AJ97" s="245">
        <f>AI100</f>
        <v/>
      </c>
      <c r="AK97" s="245">
        <f>AJ100</f>
        <v/>
      </c>
      <c r="AL97" s="245">
        <f>AK100</f>
        <v/>
      </c>
      <c r="AM97" s="245">
        <f>AL100</f>
        <v/>
      </c>
      <c r="AN97" s="245">
        <f>AM100</f>
        <v/>
      </c>
      <c r="AO97" s="245">
        <f>AN100</f>
        <v/>
      </c>
      <c r="AP97" s="245">
        <f>AO100</f>
        <v/>
      </c>
      <c r="AQ97" s="245">
        <f>AP100</f>
        <v/>
      </c>
      <c r="AR97" s="245">
        <f>AQ100</f>
        <v/>
      </c>
      <c r="AS97" s="245">
        <f>AR100</f>
        <v/>
      </c>
      <c r="AT97" s="245">
        <f>AS100</f>
        <v/>
      </c>
      <c r="AU97" s="245">
        <f>AT100</f>
        <v/>
      </c>
      <c r="AV97" s="245">
        <f>AU100</f>
        <v/>
      </c>
      <c r="AW97" s="245">
        <f>AV100</f>
        <v/>
      </c>
      <c r="AX97" s="245">
        <f>AW100</f>
        <v/>
      </c>
      <c r="AY97" s="245">
        <f>AX100</f>
        <v/>
      </c>
      <c r="AZ97" s="245">
        <f>AY100</f>
        <v/>
      </c>
      <c r="BA97" s="245">
        <f>AZ100</f>
        <v/>
      </c>
      <c r="BB97" s="245">
        <f>BA100</f>
        <v/>
      </c>
      <c r="BC97" s="245">
        <f>BB100</f>
        <v/>
      </c>
      <c r="BD97" s="245">
        <f>BC100</f>
        <v/>
      </c>
      <c r="BE97" s="245">
        <f>BD100</f>
        <v/>
      </c>
      <c r="BF97" s="245">
        <f>BE100</f>
        <v/>
      </c>
      <c r="BG97" s="245">
        <f>BF100</f>
        <v/>
      </c>
      <c r="BH97" s="245">
        <f>BG100</f>
        <v/>
      </c>
      <c r="BI97" s="245">
        <f>BH100</f>
        <v/>
      </c>
      <c r="BJ97" s="245">
        <f>BI100</f>
        <v/>
      </c>
      <c r="BK97" s="245">
        <f>BJ100</f>
        <v/>
      </c>
      <c r="BL97" s="245">
        <f>BK100</f>
        <v/>
      </c>
      <c r="BM97" s="245">
        <f>BL100</f>
        <v/>
      </c>
      <c r="BN97" s="245">
        <f>BM100</f>
        <v/>
      </c>
      <c r="BO97" s="245">
        <f>BN100</f>
        <v/>
      </c>
      <c r="BP97" s="245">
        <f>BO100</f>
        <v/>
      </c>
      <c r="BQ97" s="245">
        <f>BP100</f>
        <v/>
      </c>
      <c r="BR97" s="245">
        <f>BQ100</f>
        <v/>
      </c>
      <c r="BS97" s="245">
        <f>BR100</f>
        <v/>
      </c>
      <c r="BT97" s="245">
        <f>BS100</f>
        <v/>
      </c>
      <c r="BU97" s="245">
        <f>BT100</f>
        <v/>
      </c>
      <c r="BV97" s="245">
        <f>BU100</f>
        <v/>
      </c>
      <c r="BW97" s="245">
        <f>BV100</f>
        <v/>
      </c>
      <c r="BX97" s="245">
        <f>BW100</f>
        <v/>
      </c>
      <c r="BY97" s="245">
        <f>BX100</f>
        <v/>
      </c>
      <c r="BZ97" s="245">
        <f>BY100</f>
        <v/>
      </c>
      <c r="CA97" s="245">
        <f>BZ100</f>
        <v/>
      </c>
      <c r="CB97" s="245" t="n"/>
    </row>
    <row r="98" ht="12" customHeight="1" s="227">
      <c r="A98" s="244" t="n"/>
      <c r="B98" s="244" t="n"/>
      <c r="C98" s="244" t="n"/>
      <c r="H98" s="0" t="inlineStr">
        <is>
          <t>Sales</t>
        </is>
      </c>
      <c r="I98" s="27">
        <f>i_Setup!$M$16</f>
        <v/>
      </c>
      <c r="K98" s="6" t="n"/>
      <c r="M98" s="245">
        <f>SUMIF($T$4:$CA$4,M$4,$T98:$CA98)</f>
        <v/>
      </c>
      <c r="N98" s="245">
        <f>SUMIF($T$4:$CA$4,N$4,$T98:$CA98)</f>
        <v/>
      </c>
      <c r="O98" s="245">
        <f>SUMIF($T$4:$CA$4,O$4,$T98:$CA98)</f>
        <v/>
      </c>
      <c r="P98" s="245">
        <f>SUMIF($T$4:$CA$4,P$4,$T98:$CA98)</f>
        <v/>
      </c>
      <c r="Q98" s="245">
        <f>SUMIF($T$4:$CA$4,Q$4,$T98:$CA98)</f>
        <v/>
      </c>
      <c r="T98" s="245">
        <f>IF(T$7="Actual","",T71)</f>
        <v/>
      </c>
      <c r="U98" s="245">
        <f>IF(U$7="Actual","",U71)</f>
        <v/>
      </c>
      <c r="V98" s="245">
        <f>IF(V$7="Actual","",V71)</f>
        <v/>
      </c>
      <c r="W98" s="245">
        <f>IF(W$7="Actual","",W71)</f>
        <v/>
      </c>
      <c r="X98" s="245">
        <f>IF(X$7="Actual","",X71)</f>
        <v/>
      </c>
      <c r="Y98" s="245">
        <f>IF(Y$7="Actual","",Y71)</f>
        <v/>
      </c>
      <c r="Z98" s="245">
        <f>IF(Z$7="Actual","",Z71)</f>
        <v/>
      </c>
      <c r="AA98" s="245">
        <f>IF(AA$7="Actual","",AA71)</f>
        <v/>
      </c>
      <c r="AB98" s="245">
        <f>IF(AB$7="Actual","",AB71)</f>
        <v/>
      </c>
      <c r="AC98" s="245">
        <f>IF(AC$7="Actual","",AC71)</f>
        <v/>
      </c>
      <c r="AD98" s="245">
        <f>IF(AD$7="Actual","",AD71)</f>
        <v/>
      </c>
      <c r="AE98" s="245">
        <f>IF(AE$7="Actual","",AE71)</f>
        <v/>
      </c>
      <c r="AF98" s="245">
        <f>IF(AF$7="Actual","",AF71)</f>
        <v/>
      </c>
      <c r="AG98" s="245">
        <f>IF(AG$7="Actual","",AG71)</f>
        <v/>
      </c>
      <c r="AH98" s="245">
        <f>IF(AH$7="Actual","",AH71)</f>
        <v/>
      </c>
      <c r="AI98" s="245">
        <f>IF(AI$7="Actual","",AI71)</f>
        <v/>
      </c>
      <c r="AJ98" s="245">
        <f>IF(AJ$7="Actual","",AJ71)</f>
        <v/>
      </c>
      <c r="AK98" s="245">
        <f>IF(AK$7="Actual","",AK71)</f>
        <v/>
      </c>
      <c r="AL98" s="245">
        <f>IF(AL$7="Actual","",AL71)</f>
        <v/>
      </c>
      <c r="AM98" s="245">
        <f>IF(AM$7="Actual","",AM71)</f>
        <v/>
      </c>
      <c r="AN98" s="245">
        <f>IF(AN$7="Actual","",AN71)</f>
        <v/>
      </c>
      <c r="AO98" s="245">
        <f>IF(AO$7="Actual","",AO71)</f>
        <v/>
      </c>
      <c r="AP98" s="245">
        <f>IF(AP$7="Actual","",AP71)</f>
        <v/>
      </c>
      <c r="AQ98" s="245">
        <f>IF(AQ$7="Actual","",AQ71)</f>
        <v/>
      </c>
      <c r="AR98" s="245">
        <f>IF(AR$7="Actual","",AR71)</f>
        <v/>
      </c>
      <c r="AS98" s="245">
        <f>IF(AS$7="Actual","",AS71)</f>
        <v/>
      </c>
      <c r="AT98" s="245">
        <f>IF(AT$7="Actual","",AT71)</f>
        <v/>
      </c>
      <c r="AU98" s="245">
        <f>IF(AU$7="Actual","",AU71)</f>
        <v/>
      </c>
      <c r="AV98" s="245">
        <f>IF(AV$7="Actual","",AV71)</f>
        <v/>
      </c>
      <c r="AW98" s="245">
        <f>IF(AW$7="Actual","",AW71)</f>
        <v/>
      </c>
      <c r="AX98" s="245">
        <f>IF(AX$7="Actual","",AX71)</f>
        <v/>
      </c>
      <c r="AY98" s="245">
        <f>IF(AY$7="Actual","",AY71)</f>
        <v/>
      </c>
      <c r="AZ98" s="245">
        <f>IF(AZ$7="Actual","",AZ71)</f>
        <v/>
      </c>
      <c r="BA98" s="245">
        <f>IF(BA$7="Actual","",BA71)</f>
        <v/>
      </c>
      <c r="BB98" s="245">
        <f>IF(BB$7="Actual","",BB71)</f>
        <v/>
      </c>
      <c r="BC98" s="245">
        <f>IF(BC$7="Actual","",BC71)</f>
        <v/>
      </c>
      <c r="BD98" s="245">
        <f>IF(BD$7="Actual","",BD71)</f>
        <v/>
      </c>
      <c r="BE98" s="245">
        <f>IF(BE$7="Actual","",BE71)</f>
        <v/>
      </c>
      <c r="BF98" s="245">
        <f>IF(BF$7="Actual","",BF71)</f>
        <v/>
      </c>
      <c r="BG98" s="245">
        <f>IF(BG$7="Actual","",BG71)</f>
        <v/>
      </c>
      <c r="BH98" s="245">
        <f>IF(BH$7="Actual","",BH71)</f>
        <v/>
      </c>
      <c r="BI98" s="245">
        <f>IF(BI$7="Actual","",BI71)</f>
        <v/>
      </c>
      <c r="BJ98" s="245">
        <f>IF(BJ$7="Actual","",BJ71)</f>
        <v/>
      </c>
      <c r="BK98" s="245">
        <f>IF(BK$7="Actual","",BK71)</f>
        <v/>
      </c>
      <c r="BL98" s="245">
        <f>IF(BL$7="Actual","",BL71)</f>
        <v/>
      </c>
      <c r="BM98" s="245">
        <f>IF(BM$7="Actual","",BM71)</f>
        <v/>
      </c>
      <c r="BN98" s="245">
        <f>IF(BN$7="Actual","",BN71)</f>
        <v/>
      </c>
      <c r="BO98" s="245">
        <f>IF(BO$7="Actual","",BO71)</f>
        <v/>
      </c>
      <c r="BP98" s="245">
        <f>IF(BP$7="Actual","",BP71)</f>
        <v/>
      </c>
      <c r="BQ98" s="245">
        <f>IF(BQ$7="Actual","",BQ71)</f>
        <v/>
      </c>
      <c r="BR98" s="245">
        <f>IF(BR$7="Actual","",BR71)</f>
        <v/>
      </c>
      <c r="BS98" s="245">
        <f>IF(BS$7="Actual","",BS71)</f>
        <v/>
      </c>
      <c r="BT98" s="245">
        <f>IF(BT$7="Actual","",BT71)</f>
        <v/>
      </c>
      <c r="BU98" s="245">
        <f>IF(BU$7="Actual","",BU71)</f>
        <v/>
      </c>
      <c r="BV98" s="245">
        <f>IF(BV$7="Actual","",BV71)</f>
        <v/>
      </c>
      <c r="BW98" s="245">
        <f>IF(BW$7="Actual","",BW71)</f>
        <v/>
      </c>
      <c r="BX98" s="245">
        <f>IF(BX$7="Actual","",BX71)</f>
        <v/>
      </c>
      <c r="BY98" s="245">
        <f>IF(BY$7="Actual","",BY71)</f>
        <v/>
      </c>
      <c r="BZ98" s="245">
        <f>IF(BZ$7="Actual","",BZ71)</f>
        <v/>
      </c>
      <c r="CA98" s="245">
        <f>IF(CA$7="Actual","",CA71)</f>
        <v/>
      </c>
      <c r="CB98" s="245" t="n"/>
    </row>
    <row r="99" ht="12" customHeight="1" s="227">
      <c r="A99" s="244" t="n"/>
      <c r="B99" s="244" t="n"/>
      <c r="C99" s="244" t="n"/>
      <c r="H99" s="0" t="inlineStr">
        <is>
          <t>Payments</t>
        </is>
      </c>
      <c r="I99" s="27">
        <f>i_Setup!$M$16</f>
        <v/>
      </c>
      <c r="K99" s="6" t="n"/>
      <c r="M99" s="245">
        <f>SUMIF($T$4:$CA$4,M$4,$T99:$CA99)</f>
        <v/>
      </c>
      <c r="N99" s="245">
        <f>SUMIF($T$4:$CA$4,N$4,$T99:$CA99)</f>
        <v/>
      </c>
      <c r="O99" s="245">
        <f>SUMIF($T$4:$CA$4,O$4,$T99:$CA99)</f>
        <v/>
      </c>
      <c r="P99" s="245">
        <f>SUMIF($T$4:$CA$4,P$4,$T99:$CA99)</f>
        <v/>
      </c>
      <c r="Q99" s="245">
        <f>SUMIF($T$4:$CA$4,Q$4,$T99:$CA99)</f>
        <v/>
      </c>
      <c r="T99" s="245">
        <f>IF(T$7="Actual","",-T92)</f>
        <v/>
      </c>
      <c r="U99" s="245">
        <f>IF(U$7="Actual","",-U92)</f>
        <v/>
      </c>
      <c r="V99" s="245">
        <f>IF(V$7="Actual","",-V92)</f>
        <v/>
      </c>
      <c r="W99" s="245">
        <f>IF(W$7="Actual","",-W92)</f>
        <v/>
      </c>
      <c r="X99" s="245">
        <f>IF(X$7="Actual","",-X92)</f>
        <v/>
      </c>
      <c r="Y99" s="245">
        <f>IF(Y$7="Actual","",-Y92)</f>
        <v/>
      </c>
      <c r="Z99" s="245">
        <f>IF(Z$7="Actual","",-Z92)</f>
        <v/>
      </c>
      <c r="AA99" s="245">
        <f>IF(AA$7="Actual","",-AA92)</f>
        <v/>
      </c>
      <c r="AB99" s="245">
        <f>IF(AB$7="Actual","",-AB92)</f>
        <v/>
      </c>
      <c r="AC99" s="245">
        <f>IF(AC$7="Actual","",-AC92)</f>
        <v/>
      </c>
      <c r="AD99" s="245">
        <f>IF(AD$7="Actual","",-AD92)</f>
        <v/>
      </c>
      <c r="AE99" s="245">
        <f>IF(AE$7="Actual","",-AE92)</f>
        <v/>
      </c>
      <c r="AF99" s="245">
        <f>IF(AF$7="Actual","",-AF92)</f>
        <v/>
      </c>
      <c r="AG99" s="245">
        <f>IF(AG$7="Actual","",-AG92)</f>
        <v/>
      </c>
      <c r="AH99" s="245">
        <f>IF(AH$7="Actual","",-AH92)</f>
        <v/>
      </c>
      <c r="AI99" s="245">
        <f>IF(AI$7="Actual","",-AI92)</f>
        <v/>
      </c>
      <c r="AJ99" s="245">
        <f>IF(AJ$7="Actual","",-AJ92)</f>
        <v/>
      </c>
      <c r="AK99" s="245">
        <f>IF(AK$7="Actual","",-AK92)</f>
        <v/>
      </c>
      <c r="AL99" s="245">
        <f>IF(AL$7="Actual","",-AL92)</f>
        <v/>
      </c>
      <c r="AM99" s="245">
        <f>IF(AM$7="Actual","",-AM92)</f>
        <v/>
      </c>
      <c r="AN99" s="245">
        <f>IF(AN$7="Actual","",-AN92)</f>
        <v/>
      </c>
      <c r="AO99" s="245">
        <f>IF(AO$7="Actual","",-AO92)</f>
        <v/>
      </c>
      <c r="AP99" s="245">
        <f>IF(AP$7="Actual","",-AP92)</f>
        <v/>
      </c>
      <c r="AQ99" s="245">
        <f>IF(AQ$7="Actual","",-AQ92)</f>
        <v/>
      </c>
      <c r="AR99" s="245">
        <f>IF(AR$7="Actual","",-AR92)</f>
        <v/>
      </c>
      <c r="AS99" s="245">
        <f>IF(AS$7="Actual","",-AS92)</f>
        <v/>
      </c>
      <c r="AT99" s="245">
        <f>IF(AT$7="Actual","",-AT92)</f>
        <v/>
      </c>
      <c r="AU99" s="245">
        <f>IF(AU$7="Actual","",-AU92)</f>
        <v/>
      </c>
      <c r="AV99" s="245">
        <f>IF(AV$7="Actual","",-AV92)</f>
        <v/>
      </c>
      <c r="AW99" s="245">
        <f>IF(AW$7="Actual","",-AW92)</f>
        <v/>
      </c>
      <c r="AX99" s="245">
        <f>IF(AX$7="Actual","",-AX92)</f>
        <v/>
      </c>
      <c r="AY99" s="245">
        <f>IF(AY$7="Actual","",-AY92)</f>
        <v/>
      </c>
      <c r="AZ99" s="245">
        <f>IF(AZ$7="Actual","",-AZ92)</f>
        <v/>
      </c>
      <c r="BA99" s="245">
        <f>IF(BA$7="Actual","",-BA92)</f>
        <v/>
      </c>
      <c r="BB99" s="245">
        <f>IF(BB$7="Actual","",-BB92)</f>
        <v/>
      </c>
      <c r="BC99" s="245">
        <f>IF(BC$7="Actual","",-BC92)</f>
        <v/>
      </c>
      <c r="BD99" s="245">
        <f>IF(BD$7="Actual","",-BD92)</f>
        <v/>
      </c>
      <c r="BE99" s="245">
        <f>IF(BE$7="Actual","",-BE92)</f>
        <v/>
      </c>
      <c r="BF99" s="245">
        <f>IF(BF$7="Actual","",-BF92)</f>
        <v/>
      </c>
      <c r="BG99" s="245">
        <f>IF(BG$7="Actual","",-BG92)</f>
        <v/>
      </c>
      <c r="BH99" s="245">
        <f>IF(BH$7="Actual","",-BH92)</f>
        <v/>
      </c>
      <c r="BI99" s="245">
        <f>IF(BI$7="Actual","",-BI92)</f>
        <v/>
      </c>
      <c r="BJ99" s="245">
        <f>IF(BJ$7="Actual","",-BJ92)</f>
        <v/>
      </c>
      <c r="BK99" s="245">
        <f>IF(BK$7="Actual","",-BK92)</f>
        <v/>
      </c>
      <c r="BL99" s="245">
        <f>IF(BL$7="Actual","",-BL92)</f>
        <v/>
      </c>
      <c r="BM99" s="245">
        <f>IF(BM$7="Actual","",-BM92)</f>
        <v/>
      </c>
      <c r="BN99" s="245">
        <f>IF(BN$7="Actual","",-BN92)</f>
        <v/>
      </c>
      <c r="BO99" s="245">
        <f>IF(BO$7="Actual","",-BO92)</f>
        <v/>
      </c>
      <c r="BP99" s="245">
        <f>IF(BP$7="Actual","",-BP92)</f>
        <v/>
      </c>
      <c r="BQ99" s="245">
        <f>IF(BQ$7="Actual","",-BQ92)</f>
        <v/>
      </c>
      <c r="BR99" s="245">
        <f>IF(BR$7="Actual","",-BR92)</f>
        <v/>
      </c>
      <c r="BS99" s="245">
        <f>IF(BS$7="Actual","",-BS92)</f>
        <v/>
      </c>
      <c r="BT99" s="245">
        <f>IF(BT$7="Actual","",-BT92)</f>
        <v/>
      </c>
      <c r="BU99" s="245">
        <f>IF(BU$7="Actual","",-BU92)</f>
        <v/>
      </c>
      <c r="BV99" s="245">
        <f>IF(BV$7="Actual","",-BV92)</f>
        <v/>
      </c>
      <c r="BW99" s="245">
        <f>IF(BW$7="Actual","",-BW92)</f>
        <v/>
      </c>
      <c r="BX99" s="245">
        <f>IF(BX$7="Actual","",-BX92)</f>
        <v/>
      </c>
      <c r="BY99" s="245">
        <f>IF(BY$7="Actual","",-BY92)</f>
        <v/>
      </c>
      <c r="BZ99" s="245">
        <f>IF(BZ$7="Actual","",-BZ92)</f>
        <v/>
      </c>
      <c r="CA99" s="245">
        <f>IF(CA$7="Actual","",-CA92)</f>
        <v/>
      </c>
      <c r="CB99" s="245" t="n"/>
    </row>
    <row r="100" ht="12" customHeight="1" s="227" thickBot="1">
      <c r="A100" s="244" t="n"/>
      <c r="B100" s="244" t="n"/>
      <c r="C100" s="244" t="n"/>
      <c r="H100" s="42" t="inlineStr">
        <is>
          <t>Closing Balance</t>
        </is>
      </c>
      <c r="I100" s="43">
        <f>i_Setup!$M$16</f>
        <v/>
      </c>
      <c r="K100" s="6" t="n"/>
      <c r="M100" s="264">
        <f>SUMIF($T$2:$CA$2,M$2,$T100:$CA100)</f>
        <v/>
      </c>
      <c r="N100" s="264">
        <f>SUMIF($T$2:$CA$2,N$2,$T100:$CA100)</f>
        <v/>
      </c>
      <c r="O100" s="264">
        <f>SUMIF($T$2:$CA$2,O$2,$T100:$CA100)</f>
        <v/>
      </c>
      <c r="P100" s="264">
        <f>SUMIF($T$2:$CA$2,P$2,$T100:$CA100)</f>
        <v/>
      </c>
      <c r="Q100" s="264">
        <f>SUMIF($T$2:$CA$2,Q$2,$T100:$CA100)</f>
        <v/>
      </c>
      <c r="T100" s="264">
        <f>IF(T$7="Actual",i_Actuals!T125,SUM(T97:T99))</f>
        <v/>
      </c>
      <c r="U100" s="264">
        <f>IF(U$7="Actual",i_Actuals!U125,SUM(U97:U99))</f>
        <v/>
      </c>
      <c r="V100" s="264">
        <f>IF(V$7="Actual",i_Actuals!V125,SUM(V97:V99))</f>
        <v/>
      </c>
      <c r="W100" s="264">
        <f>IF(W$7="Actual",i_Actuals!W125,SUM(W97:W99))</f>
        <v/>
      </c>
      <c r="X100" s="264">
        <f>IF(X$7="Actual",i_Actuals!X125,SUM(X97:X99))</f>
        <v/>
      </c>
      <c r="Y100" s="264">
        <f>IF(Y$7="Actual",i_Actuals!Y125,SUM(Y97:Y99))</f>
        <v/>
      </c>
      <c r="Z100" s="264">
        <f>IF(Z$7="Actual",i_Actuals!Z125,SUM(Z97:Z99))</f>
        <v/>
      </c>
      <c r="AA100" s="264">
        <f>IF(AA$7="Actual",i_Actuals!AA125,SUM(AA97:AA99))</f>
        <v/>
      </c>
      <c r="AB100" s="264">
        <f>IF(AB$7="Actual",i_Actuals!AB125,SUM(AB97:AB99))</f>
        <v/>
      </c>
      <c r="AC100" s="264">
        <f>IF(AC$7="Actual",i_Actuals!AC125,SUM(AC97:AC99))</f>
        <v/>
      </c>
      <c r="AD100" s="264">
        <f>IF(AD$7="Actual",i_Actuals!AD125,SUM(AD97:AD99))</f>
        <v/>
      </c>
      <c r="AE100" s="264">
        <f>IF(AE$7="Actual",i_Actuals!AE125,SUM(AE97:AE99))</f>
        <v/>
      </c>
      <c r="AF100" s="264">
        <f>IF(AF$7="Actual",i_Actuals!AF125,SUM(AF97:AF99))</f>
        <v/>
      </c>
      <c r="AG100" s="264">
        <f>IF(AG$7="Actual",i_Actuals!AG125,SUM(AG97:AG99))</f>
        <v/>
      </c>
      <c r="AH100" s="264">
        <f>IF(AH$7="Actual",i_Actuals!AH125,SUM(AH97:AH99))</f>
        <v/>
      </c>
      <c r="AI100" s="264">
        <f>IF(AI$7="Actual",i_Actuals!AI125,SUM(AI97:AI99))</f>
        <v/>
      </c>
      <c r="AJ100" s="264">
        <f>IF(AJ$7="Actual",i_Actuals!AJ125,SUM(AJ97:AJ99))</f>
        <v/>
      </c>
      <c r="AK100" s="264">
        <f>IF(AK$7="Actual",i_Actuals!AK125,SUM(AK97:AK99))</f>
        <v/>
      </c>
      <c r="AL100" s="264">
        <f>IF(AL$7="Actual",i_Actuals!AL125,SUM(AL97:AL99))</f>
        <v/>
      </c>
      <c r="AM100" s="264">
        <f>IF(AM$7="Actual",i_Actuals!AM125,SUM(AM97:AM99))</f>
        <v/>
      </c>
      <c r="AN100" s="264">
        <f>IF(AN$7="Actual",i_Actuals!AN125,SUM(AN97:AN99))</f>
        <v/>
      </c>
      <c r="AO100" s="264">
        <f>IF(AO$7="Actual",i_Actuals!AO125,SUM(AO97:AO99))</f>
        <v/>
      </c>
      <c r="AP100" s="264">
        <f>IF(AP$7="Actual",i_Actuals!AP125,SUM(AP97:AP99))</f>
        <v/>
      </c>
      <c r="AQ100" s="264">
        <f>IF(AQ$7="Actual",i_Actuals!AQ125,SUM(AQ97:AQ99))</f>
        <v/>
      </c>
      <c r="AR100" s="264">
        <f>IF(AR$7="Actual",i_Actuals!AR125,SUM(AR97:AR99))</f>
        <v/>
      </c>
      <c r="AS100" s="264">
        <f>IF(AS$7="Actual",i_Actuals!AS125,SUM(AS97:AS99))</f>
        <v/>
      </c>
      <c r="AT100" s="264">
        <f>IF(AT$7="Actual",i_Actuals!AT125,SUM(AT97:AT99))</f>
        <v/>
      </c>
      <c r="AU100" s="264">
        <f>IF(AU$7="Actual",i_Actuals!AU125,SUM(AU97:AU99))</f>
        <v/>
      </c>
      <c r="AV100" s="264">
        <f>IF(AV$7="Actual",i_Actuals!AV125,SUM(AV97:AV99))</f>
        <v/>
      </c>
      <c r="AW100" s="264">
        <f>IF(AW$7="Actual",i_Actuals!AW125,SUM(AW97:AW99))</f>
        <v/>
      </c>
      <c r="AX100" s="264">
        <f>IF(AX$7="Actual",i_Actuals!AX125,SUM(AX97:AX99))</f>
        <v/>
      </c>
      <c r="AY100" s="264">
        <f>IF(AY$7="Actual",i_Actuals!AY125,SUM(AY97:AY99))</f>
        <v/>
      </c>
      <c r="AZ100" s="264">
        <f>IF(AZ$7="Actual",i_Actuals!AZ125,SUM(AZ97:AZ99))</f>
        <v/>
      </c>
      <c r="BA100" s="264">
        <f>IF(BA$7="Actual",i_Actuals!BA125,SUM(BA97:BA99))</f>
        <v/>
      </c>
      <c r="BB100" s="264">
        <f>IF(BB$7="Actual",i_Actuals!BB125,SUM(BB97:BB99))</f>
        <v/>
      </c>
      <c r="BC100" s="264">
        <f>IF(BC$7="Actual",i_Actuals!BC125,SUM(BC97:BC99))</f>
        <v/>
      </c>
      <c r="BD100" s="264">
        <f>IF(BD$7="Actual",i_Actuals!BD125,SUM(BD97:BD99))</f>
        <v/>
      </c>
      <c r="BE100" s="264">
        <f>IF(BE$7="Actual",i_Actuals!BE125,SUM(BE97:BE99))</f>
        <v/>
      </c>
      <c r="BF100" s="264">
        <f>IF(BF$7="Actual",i_Actuals!BF125,SUM(BF97:BF99))</f>
        <v/>
      </c>
      <c r="BG100" s="264">
        <f>IF(BG$7="Actual",i_Actuals!BG125,SUM(BG97:BG99))</f>
        <v/>
      </c>
      <c r="BH100" s="264">
        <f>IF(BH$7="Actual",i_Actuals!BH125,SUM(BH97:BH99))</f>
        <v/>
      </c>
      <c r="BI100" s="264">
        <f>IF(BI$7="Actual",i_Actuals!BI125,SUM(BI97:BI99))</f>
        <v/>
      </c>
      <c r="BJ100" s="264">
        <f>IF(BJ$7="Actual",i_Actuals!BJ125,SUM(BJ97:BJ99))</f>
        <v/>
      </c>
      <c r="BK100" s="264">
        <f>IF(BK$7="Actual",i_Actuals!BK125,SUM(BK97:BK99))</f>
        <v/>
      </c>
      <c r="BL100" s="264">
        <f>IF(BL$7="Actual",i_Actuals!BL125,SUM(BL97:BL99))</f>
        <v/>
      </c>
      <c r="BM100" s="264">
        <f>IF(BM$7="Actual",i_Actuals!BM125,SUM(BM97:BM99))</f>
        <v/>
      </c>
      <c r="BN100" s="264">
        <f>IF(BN$7="Actual",i_Actuals!BN125,SUM(BN97:BN99))</f>
        <v/>
      </c>
      <c r="BO100" s="264">
        <f>IF(BO$7="Actual",i_Actuals!BO125,SUM(BO97:BO99))</f>
        <v/>
      </c>
      <c r="BP100" s="264">
        <f>IF(BP$7="Actual",i_Actuals!BP125,SUM(BP97:BP99))</f>
        <v/>
      </c>
      <c r="BQ100" s="264">
        <f>IF(BQ$7="Actual",i_Actuals!BQ125,SUM(BQ97:BQ99))</f>
        <v/>
      </c>
      <c r="BR100" s="264">
        <f>IF(BR$7="Actual",i_Actuals!BR125,SUM(BR97:BR99))</f>
        <v/>
      </c>
      <c r="BS100" s="264">
        <f>IF(BS$7="Actual",i_Actuals!BS125,SUM(BS97:BS99))</f>
        <v/>
      </c>
      <c r="BT100" s="264">
        <f>IF(BT$7="Actual",i_Actuals!BT125,SUM(BT97:BT99))</f>
        <v/>
      </c>
      <c r="BU100" s="264">
        <f>IF(BU$7="Actual",i_Actuals!BU125,SUM(BU97:BU99))</f>
        <v/>
      </c>
      <c r="BV100" s="264">
        <f>IF(BV$7="Actual",i_Actuals!BV125,SUM(BV97:BV99))</f>
        <v/>
      </c>
      <c r="BW100" s="264">
        <f>IF(BW$7="Actual",i_Actuals!BW125,SUM(BW97:BW99))</f>
        <v/>
      </c>
      <c r="BX100" s="264">
        <f>IF(BX$7="Actual",i_Actuals!BX125,SUM(BX97:BX99))</f>
        <v/>
      </c>
      <c r="BY100" s="264">
        <f>IF(BY$7="Actual",i_Actuals!BY125,SUM(BY97:BY99))</f>
        <v/>
      </c>
      <c r="BZ100" s="264">
        <f>IF(BZ$7="Actual",i_Actuals!BZ125,SUM(BZ97:BZ99))</f>
        <v/>
      </c>
      <c r="CA100" s="264">
        <f>IF(CA$7="Actual",i_Actuals!CA125,SUM(CA97:CA99))</f>
        <v/>
      </c>
    </row>
    <row r="101" ht="12" customHeight="1" s="227">
      <c r="A101" s="244" t="n"/>
      <c r="B101" s="244" t="n"/>
      <c r="C101" s="244" t="n"/>
      <c r="K101" s="6" t="n"/>
    </row>
    <row r="102" ht="12" customFormat="1" customHeight="1" s="8">
      <c r="A102" s="244" t="n"/>
      <c r="B102" s="244">
        <f>SUM(L102:CA102)</f>
        <v/>
      </c>
      <c r="D102" s="4" t="n"/>
      <c r="E102" s="4" t="n"/>
      <c r="F102" s="4" t="n"/>
      <c r="G102" s="4" t="n"/>
      <c r="H102" s="0" t="inlineStr">
        <is>
          <t>Signage Check</t>
        </is>
      </c>
      <c r="I102" s="4" t="n"/>
      <c r="J102" s="4" t="n"/>
      <c r="K102" s="6" t="n"/>
      <c r="L102" s="4" t="n"/>
      <c r="M102" s="244">
        <f>IF(M$7&lt;&gt;"",IF(M100&lt;0,1,0),"")</f>
        <v/>
      </c>
      <c r="N102" s="244">
        <f>IF(N$7&lt;&gt;"",IF(N100&lt;0,1,0),"")</f>
        <v/>
      </c>
      <c r="O102" s="244">
        <f>IF(O$7&lt;&gt;"",IF(O100&lt;0,1,0),"")</f>
        <v/>
      </c>
      <c r="P102" s="244">
        <f>IF(P$7&lt;&gt;"",IF(P100&lt;0,1,0),"")</f>
        <v/>
      </c>
      <c r="Q102" s="244">
        <f>IF(Q$7&lt;&gt;"",IF(Q100&lt;0,1,0),"")</f>
        <v/>
      </c>
      <c r="R102" s="244" t="n"/>
      <c r="S102" s="244" t="n"/>
      <c r="T102" s="244">
        <f>IF(T$7&lt;&gt;"",IF(T100&lt;0,1,0),"")</f>
        <v/>
      </c>
      <c r="U102" s="244">
        <f>IF(U$7&lt;&gt;"",IF(U100&lt;0,1,0),"")</f>
        <v/>
      </c>
      <c r="V102" s="244">
        <f>IF(V$7&lt;&gt;"",IF(V100&lt;0,1,0),"")</f>
        <v/>
      </c>
      <c r="W102" s="244">
        <f>IF(W$7&lt;&gt;"",IF(W100&lt;0,1,0),"")</f>
        <v/>
      </c>
      <c r="X102" s="244">
        <f>IF(X$7&lt;&gt;"",IF(X100&lt;0,1,0),"")</f>
        <v/>
      </c>
      <c r="Y102" s="244">
        <f>IF(Y$7&lt;&gt;"",IF(Y100&lt;0,1,0),"")</f>
        <v/>
      </c>
      <c r="Z102" s="244">
        <f>IF(Z$7&lt;&gt;"",IF(Z100&lt;0,1,0),"")</f>
        <v/>
      </c>
      <c r="AA102" s="244">
        <f>IF(AA$7&lt;&gt;"",IF(AA100&lt;0,1,0),"")</f>
        <v/>
      </c>
      <c r="AB102" s="244">
        <f>IF(AB$7&lt;&gt;"",IF(AB100&lt;0,1,0),"")</f>
        <v/>
      </c>
      <c r="AC102" s="244">
        <f>IF(AC$7&lt;&gt;"",IF(AC100&lt;0,1,0),"")</f>
        <v/>
      </c>
      <c r="AD102" s="244">
        <f>IF(AD$7&lt;&gt;"",IF(AD100&lt;0,1,0),"")</f>
        <v/>
      </c>
      <c r="AE102" s="244">
        <f>IF(AE$7&lt;&gt;"",IF(AE100&lt;0,1,0),"")</f>
        <v/>
      </c>
      <c r="AF102" s="244">
        <f>IF(AF$7&lt;&gt;"",IF(AF100&lt;0,1,0),"")</f>
        <v/>
      </c>
      <c r="AG102" s="244">
        <f>IF(AG$7&lt;&gt;"",IF(AG100&lt;0,1,0),"")</f>
        <v/>
      </c>
      <c r="AH102" s="244">
        <f>IF(AH$7&lt;&gt;"",IF(AH100&lt;0,1,0),"")</f>
        <v/>
      </c>
      <c r="AI102" s="244">
        <f>IF(AI$7&lt;&gt;"",IF(AI100&lt;0,1,0),"")</f>
        <v/>
      </c>
      <c r="AJ102" s="244">
        <f>IF(AJ$7&lt;&gt;"",IF(AJ100&lt;0,1,0),"")</f>
        <v/>
      </c>
      <c r="AK102" s="244">
        <f>IF(AK$7&lt;&gt;"",IF(AK100&lt;0,1,0),"")</f>
        <v/>
      </c>
      <c r="AL102" s="244">
        <f>IF(AL$7&lt;&gt;"",IF(AL100&lt;0,1,0),"")</f>
        <v/>
      </c>
      <c r="AM102" s="244">
        <f>IF(AM$7&lt;&gt;"",IF(AM100&lt;0,1,0),"")</f>
        <v/>
      </c>
      <c r="AN102" s="244">
        <f>IF(AN$7&lt;&gt;"",IF(AN100&lt;0,1,0),"")</f>
        <v/>
      </c>
      <c r="AO102" s="244">
        <f>IF(AO$7&lt;&gt;"",IF(AO100&lt;0,1,0),"")</f>
        <v/>
      </c>
      <c r="AP102" s="244">
        <f>IF(AP$7&lt;&gt;"",IF(AP100&lt;0,1,0),"")</f>
        <v/>
      </c>
      <c r="AQ102" s="244">
        <f>IF(AQ$7&lt;&gt;"",IF(AQ100&lt;0,1,0),"")</f>
        <v/>
      </c>
      <c r="AR102" s="244">
        <f>IF(AR$7&lt;&gt;"",IF(AR100&lt;0,1,0),"")</f>
        <v/>
      </c>
      <c r="AS102" s="244">
        <f>IF(AS$7&lt;&gt;"",IF(AS100&lt;0,1,0),"")</f>
        <v/>
      </c>
      <c r="AT102" s="244">
        <f>IF(AT$7&lt;&gt;"",IF(AT100&lt;0,1,0),"")</f>
        <v/>
      </c>
      <c r="AU102" s="244">
        <f>IF(AU$7&lt;&gt;"",IF(AU100&lt;0,1,0),"")</f>
        <v/>
      </c>
      <c r="AV102" s="244">
        <f>IF(AV$7&lt;&gt;"",IF(AV100&lt;0,1,0),"")</f>
        <v/>
      </c>
      <c r="AW102" s="244">
        <f>IF(AW$7&lt;&gt;"",IF(AW100&lt;0,1,0),"")</f>
        <v/>
      </c>
      <c r="AX102" s="244">
        <f>IF(AX$7&lt;&gt;"",IF(AX100&lt;0,1,0),"")</f>
        <v/>
      </c>
      <c r="AY102" s="244">
        <f>IF(AY$7&lt;&gt;"",IF(AY100&lt;0,1,0),"")</f>
        <v/>
      </c>
      <c r="AZ102" s="244">
        <f>IF(AZ$7&lt;&gt;"",IF(AZ100&lt;0,1,0),"")</f>
        <v/>
      </c>
      <c r="BA102" s="244">
        <f>IF(BA$7&lt;&gt;"",IF(BA100&lt;0,1,0),"")</f>
        <v/>
      </c>
      <c r="BB102" s="244">
        <f>IF(BB$7&lt;&gt;"",IF(BB100&lt;0,1,0),"")</f>
        <v/>
      </c>
      <c r="BC102" s="244">
        <f>IF(BC$7&lt;&gt;"",IF(BC100&lt;0,1,0),"")</f>
        <v/>
      </c>
      <c r="BD102" s="244">
        <f>IF(BD$7&lt;&gt;"",IF(BD100&lt;0,1,0),"")</f>
        <v/>
      </c>
      <c r="BE102" s="244">
        <f>IF(BE$7&lt;&gt;"",IF(BE100&lt;0,1,0),"")</f>
        <v/>
      </c>
      <c r="BF102" s="244">
        <f>IF(BF$7&lt;&gt;"",IF(BF100&lt;0,1,0),"")</f>
        <v/>
      </c>
      <c r="BG102" s="244">
        <f>IF(BG$7&lt;&gt;"",IF(BG100&lt;0,1,0),"")</f>
        <v/>
      </c>
      <c r="BH102" s="244">
        <f>IF(BH$7&lt;&gt;"",IF(BH100&lt;0,1,0),"")</f>
        <v/>
      </c>
      <c r="BI102" s="244">
        <f>IF(BI$7&lt;&gt;"",IF(BI100&lt;0,1,0),"")</f>
        <v/>
      </c>
      <c r="BJ102" s="244">
        <f>IF(BJ$7&lt;&gt;"",IF(BJ100&lt;0,1,0),"")</f>
        <v/>
      </c>
      <c r="BK102" s="244">
        <f>IF(BK$7&lt;&gt;"",IF(BK100&lt;0,1,0),"")</f>
        <v/>
      </c>
      <c r="BL102" s="244">
        <f>IF(BL$7&lt;&gt;"",IF(BL100&lt;0,1,0),"")</f>
        <v/>
      </c>
      <c r="BM102" s="244">
        <f>IF(BM$7&lt;&gt;"",IF(BM100&lt;0,1,0),"")</f>
        <v/>
      </c>
      <c r="BN102" s="244">
        <f>IF(BN$7&lt;&gt;"",IF(BN100&lt;0,1,0),"")</f>
        <v/>
      </c>
      <c r="BO102" s="244">
        <f>IF(BO$7&lt;&gt;"",IF(BO100&lt;0,1,0),"")</f>
        <v/>
      </c>
      <c r="BP102" s="244">
        <f>IF(BP$7&lt;&gt;"",IF(BP100&lt;0,1,0),"")</f>
        <v/>
      </c>
      <c r="BQ102" s="244">
        <f>IF(BQ$7&lt;&gt;"",IF(BQ100&lt;0,1,0),"")</f>
        <v/>
      </c>
      <c r="BR102" s="244">
        <f>IF(BR$7&lt;&gt;"",IF(BR100&lt;0,1,0),"")</f>
        <v/>
      </c>
      <c r="BS102" s="244">
        <f>IF(BS$7&lt;&gt;"",IF(BS100&lt;0,1,0),"")</f>
        <v/>
      </c>
      <c r="BT102" s="244">
        <f>IF(BT$7&lt;&gt;"",IF(BT100&lt;0,1,0),"")</f>
        <v/>
      </c>
      <c r="BU102" s="244">
        <f>IF(BU$7&lt;&gt;"",IF(BU100&lt;0,1,0),"")</f>
        <v/>
      </c>
      <c r="BV102" s="244">
        <f>IF(BV$7&lt;&gt;"",IF(BV100&lt;0,1,0),"")</f>
        <v/>
      </c>
      <c r="BW102" s="244">
        <f>IF(BW$7&lt;&gt;"",IF(BW100&lt;0,1,0),"")</f>
        <v/>
      </c>
      <c r="BX102" s="244">
        <f>IF(BX$7&lt;&gt;"",IF(BX100&lt;0,1,0),"")</f>
        <v/>
      </c>
      <c r="BY102" s="244">
        <f>IF(BY$7&lt;&gt;"",IF(BY100&lt;0,1,0),"")</f>
        <v/>
      </c>
      <c r="BZ102" s="244">
        <f>IF(BZ$7&lt;&gt;"",IF(BZ100&lt;0,1,0),"")</f>
        <v/>
      </c>
      <c r="CA102" s="244">
        <f>IF(CA$7&lt;&gt;"",IF(CA100&lt;0,1,0),"")</f>
        <v/>
      </c>
    </row>
    <row r="103" ht="12" customHeight="1" s="227">
      <c r="A103" s="244" t="n"/>
      <c r="B103" s="244" t="n"/>
      <c r="C103" s="244" t="n"/>
      <c r="I103" s="27" t="n"/>
      <c r="M103" s="245" t="n"/>
      <c r="N103" s="245" t="n"/>
      <c r="O103" s="245" t="n"/>
      <c r="P103" s="245" t="n"/>
      <c r="Q103" s="245" t="n"/>
      <c r="T103" s="266" t="n"/>
      <c r="U103" s="266" t="n"/>
      <c r="V103" s="266" t="n"/>
      <c r="W103" s="266" t="n"/>
      <c r="X103" s="266" t="n"/>
      <c r="Y103" s="266" t="n"/>
      <c r="Z103" s="266" t="n"/>
      <c r="AA103" s="266" t="n"/>
      <c r="AB103" s="266" t="n"/>
      <c r="AC103" s="266" t="n"/>
      <c r="AD103" s="266" t="n"/>
      <c r="AE103" s="266" t="n"/>
      <c r="AF103" s="266" t="n"/>
      <c r="AG103" s="266" t="n"/>
      <c r="AH103" s="266" t="n"/>
      <c r="AI103" s="266" t="n"/>
      <c r="AJ103" s="266" t="n"/>
      <c r="AK103" s="266" t="n"/>
      <c r="AL103" s="266" t="n"/>
      <c r="AM103" s="266" t="n"/>
      <c r="AN103" s="266" t="n"/>
      <c r="AO103" s="266" t="n"/>
      <c r="AP103" s="266" t="n"/>
      <c r="AQ103" s="266" t="n"/>
      <c r="AR103" s="266" t="n"/>
      <c r="AS103" s="266" t="n"/>
      <c r="AT103" s="266" t="n"/>
      <c r="AU103" s="266" t="n"/>
      <c r="AV103" s="266" t="n"/>
      <c r="AW103" s="266" t="n"/>
      <c r="AX103" s="266" t="n"/>
      <c r="AY103" s="266" t="n"/>
      <c r="AZ103" s="266" t="n"/>
      <c r="BA103" s="266" t="n"/>
      <c r="BB103" s="266" t="n"/>
      <c r="BC103" s="266" t="n"/>
      <c r="BD103" s="266" t="n"/>
      <c r="BE103" s="266" t="n"/>
      <c r="BF103" s="266" t="n"/>
      <c r="BG103" s="266" t="n"/>
      <c r="BH103" s="266" t="n"/>
      <c r="BI103" s="266" t="n"/>
      <c r="BJ103" s="266" t="n"/>
      <c r="BK103" s="266" t="n"/>
      <c r="BL103" s="266" t="n"/>
      <c r="BM103" s="266" t="n"/>
      <c r="BN103" s="266" t="n"/>
      <c r="BO103" s="266" t="n"/>
      <c r="BP103" s="266" t="n"/>
      <c r="BQ103" s="266" t="n"/>
      <c r="BR103" s="266" t="n"/>
      <c r="BS103" s="266" t="n"/>
      <c r="BT103" s="266" t="n"/>
      <c r="BU103" s="266" t="n"/>
      <c r="BV103" s="266" t="n"/>
      <c r="BW103" s="266" t="n"/>
      <c r="BX103" s="266" t="n"/>
      <c r="BY103" s="266" t="n"/>
      <c r="BZ103" s="266" t="n"/>
      <c r="CA103" s="266" t="n"/>
    </row>
    <row r="104" ht="12" customHeight="1" s="227">
      <c r="A104" s="244" t="n"/>
      <c r="B104" s="244" t="n"/>
      <c r="C104" s="244" t="n"/>
      <c r="I104" s="27" t="n"/>
      <c r="M104" s="245" t="n"/>
      <c r="N104" s="245" t="n"/>
      <c r="O104" s="245" t="n"/>
      <c r="P104" s="245" t="n"/>
      <c r="Q104" s="245" t="n"/>
      <c r="T104" s="266" t="n"/>
      <c r="U104" s="266" t="n"/>
      <c r="V104" s="266" t="n"/>
      <c r="W104" s="266" t="n"/>
      <c r="X104" s="266" t="n"/>
      <c r="Y104" s="266" t="n"/>
      <c r="Z104" s="266" t="n"/>
      <c r="AA104" s="266" t="n"/>
      <c r="AB104" s="266" t="n"/>
      <c r="AC104" s="266" t="n"/>
      <c r="AD104" s="266" t="n"/>
      <c r="AE104" s="266" t="n"/>
      <c r="AF104" s="266" t="n"/>
      <c r="AG104" s="266" t="n"/>
      <c r="AH104" s="266" t="n"/>
      <c r="AI104" s="266" t="n"/>
      <c r="AJ104" s="266" t="n"/>
      <c r="AK104" s="266" t="n"/>
      <c r="AL104" s="266" t="n"/>
      <c r="AM104" s="266" t="n"/>
      <c r="AN104" s="266" t="n"/>
      <c r="AO104" s="266" t="n"/>
      <c r="AP104" s="266" t="n"/>
      <c r="AQ104" s="266" t="n"/>
      <c r="AR104" s="266" t="n"/>
      <c r="AS104" s="266" t="n"/>
      <c r="AT104" s="266" t="n"/>
      <c r="AU104" s="266" t="n"/>
      <c r="AV104" s="266" t="n"/>
      <c r="AW104" s="266" t="n"/>
      <c r="AX104" s="266" t="n"/>
      <c r="AY104" s="266" t="n"/>
      <c r="AZ104" s="266" t="n"/>
      <c r="BA104" s="266" t="n"/>
      <c r="BB104" s="266" t="n"/>
      <c r="BC104" s="266" t="n"/>
      <c r="BD104" s="266" t="n"/>
      <c r="BE104" s="266" t="n"/>
      <c r="BF104" s="266" t="n"/>
      <c r="BG104" s="266" t="n"/>
      <c r="BH104" s="266" t="n"/>
      <c r="BI104" s="266" t="n"/>
      <c r="BJ104" s="266" t="n"/>
      <c r="BK104" s="266" t="n"/>
      <c r="BL104" s="266" t="n"/>
      <c r="BM104" s="266" t="n"/>
      <c r="BN104" s="266" t="n"/>
      <c r="BO104" s="266" t="n"/>
      <c r="BP104" s="266" t="n"/>
      <c r="BQ104" s="266" t="n"/>
      <c r="BR104" s="266" t="n"/>
      <c r="BS104" s="266" t="n"/>
      <c r="BT104" s="266" t="n"/>
      <c r="BU104" s="266" t="n"/>
      <c r="BV104" s="266" t="n"/>
      <c r="BW104" s="266" t="n"/>
      <c r="BX104" s="266" t="n"/>
      <c r="BY104" s="266" t="n"/>
      <c r="BZ104" s="266" t="n"/>
      <c r="CA104" s="266" t="n"/>
    </row>
    <row r="105" ht="15.75" customFormat="1" customHeight="1" s="99">
      <c r="D105" s="99">
        <f>Heading1</f>
        <v/>
      </c>
      <c r="E105" s="99" t="inlineStr">
        <is>
          <t>Direct Expenses</t>
        </is>
      </c>
    </row>
    <row r="106" ht="12" customHeight="1" s="227">
      <c r="A106" s="244" t="n"/>
      <c r="B106" s="244" t="n"/>
      <c r="C106" s="244" t="n"/>
      <c r="K106" s="6" t="n"/>
    </row>
    <row r="107" ht="13.5" customFormat="1" customHeight="1" s="223" thickBot="1">
      <c r="E107" s="223">
        <f>Heading2</f>
        <v/>
      </c>
      <c r="F107" s="223" t="inlineStr">
        <is>
          <t>Direct Expenses</t>
        </is>
      </c>
    </row>
    <row r="108" ht="12" customHeight="1" s="227">
      <c r="A108" s="244" t="n"/>
      <c r="B108" s="244" t="n"/>
      <c r="C108" s="244" t="n"/>
      <c r="K108" s="6" t="n"/>
    </row>
    <row r="109" ht="12" customHeight="1" s="227">
      <c r="A109" s="244" t="n"/>
      <c r="B109" s="244" t="n"/>
      <c r="C109" s="244" t="n"/>
      <c r="G109" s="222" t="inlineStr">
        <is>
          <t>Direct OPEX Per Ship Per Month (Excl VAT)</t>
        </is>
      </c>
      <c r="K109" s="6" t="n"/>
    </row>
    <row r="110" ht="12" customHeight="1" s="227">
      <c r="A110" s="244" t="n"/>
      <c r="B110" s="244" t="n"/>
      <c r="C110" s="244" t="n"/>
      <c r="K110" s="6" t="n"/>
    </row>
    <row r="111" ht="12" customHeight="1" s="227">
      <c r="A111" s="244" t="n"/>
      <c r="B111" s="244" t="n"/>
      <c r="C111" s="244" t="n"/>
      <c r="H111" s="8">
        <f>i_Setup!U32</f>
        <v/>
      </c>
      <c r="K111" s="6" t="n"/>
    </row>
    <row r="112" ht="12" customHeight="1" s="227">
      <c r="A112" s="244" t="n"/>
      <c r="B112" s="244" t="n"/>
      <c r="C112" s="244" t="n"/>
      <c r="H112" s="0">
        <f>i_Setup!U75</f>
        <v/>
      </c>
      <c r="I112" s="27">
        <f>i_Setup!$M$16</f>
        <v/>
      </c>
      <c r="K112" s="6" t="n"/>
      <c r="M112" s="257">
        <f>IF(M$7="Actual","",i_Assumptions!M75)</f>
        <v/>
      </c>
      <c r="N112" s="257">
        <f>IF(N$7="Actual","",i_Assumptions!N75)</f>
        <v/>
      </c>
      <c r="O112" s="257">
        <f>IF(O$7="Actual","",i_Assumptions!O75)</f>
        <v/>
      </c>
      <c r="P112" s="257">
        <f>IF(P$7="Actual","",i_Assumptions!P75)</f>
        <v/>
      </c>
      <c r="Q112" s="257">
        <f>IF(Q$7="Actual","",i_Assumptions!Q75)</f>
        <v/>
      </c>
      <c r="T112" s="257">
        <f>IF(T$7="Actual","",IFERROR((INDEX($M112:$Q112,,MATCH(T$4,$M$4:$Q$4,0))),0))</f>
        <v/>
      </c>
      <c r="U112" s="257">
        <f>IF(U$7="Actual","",IFERROR((INDEX($M112:$Q112,,MATCH(U$4,$M$4:$Q$4,0))),0))</f>
        <v/>
      </c>
      <c r="V112" s="257">
        <f>IF(V$7="Actual","",IFERROR((INDEX($M112:$Q112,,MATCH(V$4,$M$4:$Q$4,0))),0))</f>
        <v/>
      </c>
      <c r="W112" s="257">
        <f>IF(W$7="Actual","",IFERROR((INDEX($M112:$Q112,,MATCH(W$4,$M$4:$Q$4,0))),0))</f>
        <v/>
      </c>
      <c r="X112" s="257">
        <f>IF(X$7="Actual","",IFERROR((INDEX($M112:$Q112,,MATCH(X$4,$M$4:$Q$4,0))),0))</f>
        <v/>
      </c>
      <c r="Y112" s="257">
        <f>IF(Y$7="Actual","",IFERROR((INDEX($M112:$Q112,,MATCH(Y$4,$M$4:$Q$4,0))),0))</f>
        <v/>
      </c>
      <c r="Z112" s="257">
        <f>IF(Z$7="Actual","",IFERROR((INDEX($M112:$Q112,,MATCH(Z$4,$M$4:$Q$4,0))),0))</f>
        <v/>
      </c>
      <c r="AA112" s="257">
        <f>IF(AA$7="Actual","",IFERROR((INDEX($M112:$Q112,,MATCH(AA$4,$M$4:$Q$4,0))),0))</f>
        <v/>
      </c>
      <c r="AB112" s="257">
        <f>IF(AB$7="Actual","",IFERROR((INDEX($M112:$Q112,,MATCH(AB$4,$M$4:$Q$4,0))),0))</f>
        <v/>
      </c>
      <c r="AC112" s="257">
        <f>IF(AC$7="Actual","",IFERROR((INDEX($M112:$Q112,,MATCH(AC$4,$M$4:$Q$4,0))),0))</f>
        <v/>
      </c>
      <c r="AD112" s="257">
        <f>IF(AD$7="Actual","",IFERROR((INDEX($M112:$Q112,,MATCH(AD$4,$M$4:$Q$4,0))),0))</f>
        <v/>
      </c>
      <c r="AE112" s="257">
        <f>IF(AE$7="Actual","",IFERROR((INDEX($M112:$Q112,,MATCH(AE$4,$M$4:$Q$4,0))),0))</f>
        <v/>
      </c>
      <c r="AF112" s="257">
        <f>IF(AF$7="Actual","",IFERROR((INDEX($M112:$Q112,,MATCH(AF$4,$M$4:$Q$4,0))),0))</f>
        <v/>
      </c>
      <c r="AG112" s="257">
        <f>IF(AG$7="Actual","",IFERROR((INDEX($M112:$Q112,,MATCH(AG$4,$M$4:$Q$4,0))),0))</f>
        <v/>
      </c>
      <c r="AH112" s="257">
        <f>IF(AH$7="Actual","",IFERROR((INDEX($M112:$Q112,,MATCH(AH$4,$M$4:$Q$4,0))),0))</f>
        <v/>
      </c>
      <c r="AI112" s="257">
        <f>IF(AI$7="Actual","",IFERROR((INDEX($M112:$Q112,,MATCH(AI$4,$M$4:$Q$4,0))),0))</f>
        <v/>
      </c>
      <c r="AJ112" s="257">
        <f>IF(AJ$7="Actual","",IFERROR((INDEX($M112:$Q112,,MATCH(AJ$4,$M$4:$Q$4,0))),0))</f>
        <v/>
      </c>
      <c r="AK112" s="257">
        <f>IF(AK$7="Actual","",IFERROR((INDEX($M112:$Q112,,MATCH(AK$4,$M$4:$Q$4,0))),0))</f>
        <v/>
      </c>
      <c r="AL112" s="257">
        <f>IF(AL$7="Actual","",IFERROR((INDEX($M112:$Q112,,MATCH(AL$4,$M$4:$Q$4,0))),0))</f>
        <v/>
      </c>
      <c r="AM112" s="257">
        <f>IF(AM$7="Actual","",IFERROR((INDEX($M112:$Q112,,MATCH(AM$4,$M$4:$Q$4,0))),0))</f>
        <v/>
      </c>
      <c r="AN112" s="257">
        <f>IF(AN$7="Actual","",IFERROR((INDEX($M112:$Q112,,MATCH(AN$4,$M$4:$Q$4,0))),0))</f>
        <v/>
      </c>
      <c r="AO112" s="257">
        <f>IF(AO$7="Actual","",IFERROR((INDEX($M112:$Q112,,MATCH(AO$4,$M$4:$Q$4,0))),0))</f>
        <v/>
      </c>
      <c r="AP112" s="257">
        <f>IF(AP$7="Actual","",IFERROR((INDEX($M112:$Q112,,MATCH(AP$4,$M$4:$Q$4,0))),0))</f>
        <v/>
      </c>
      <c r="AQ112" s="257">
        <f>IF(AQ$7="Actual","",IFERROR((INDEX($M112:$Q112,,MATCH(AQ$4,$M$4:$Q$4,0))),0))</f>
        <v/>
      </c>
      <c r="AR112" s="257">
        <f>IF(AR$7="Actual","",IFERROR((INDEX($M112:$Q112,,MATCH(AR$4,$M$4:$Q$4,0))),0))</f>
        <v/>
      </c>
      <c r="AS112" s="257">
        <f>IF(AS$7="Actual","",IFERROR((INDEX($M112:$Q112,,MATCH(AS$4,$M$4:$Q$4,0))),0))</f>
        <v/>
      </c>
      <c r="AT112" s="257">
        <f>IF(AT$7="Actual","",IFERROR((INDEX($M112:$Q112,,MATCH(AT$4,$M$4:$Q$4,0))),0))</f>
        <v/>
      </c>
      <c r="AU112" s="257">
        <f>IF(AU$7="Actual","",IFERROR((INDEX($M112:$Q112,,MATCH(AU$4,$M$4:$Q$4,0))),0))</f>
        <v/>
      </c>
      <c r="AV112" s="257">
        <f>IF(AV$7="Actual","",IFERROR((INDEX($M112:$Q112,,MATCH(AV$4,$M$4:$Q$4,0))),0))</f>
        <v/>
      </c>
      <c r="AW112" s="257">
        <f>IF(AW$7="Actual","",IFERROR((INDEX($M112:$Q112,,MATCH(AW$4,$M$4:$Q$4,0))),0))</f>
        <v/>
      </c>
      <c r="AX112" s="257">
        <f>IF(AX$7="Actual","",IFERROR((INDEX($M112:$Q112,,MATCH(AX$4,$M$4:$Q$4,0))),0))</f>
        <v/>
      </c>
      <c r="AY112" s="257">
        <f>IF(AY$7="Actual","",IFERROR((INDEX($M112:$Q112,,MATCH(AY$4,$M$4:$Q$4,0))),0))</f>
        <v/>
      </c>
      <c r="AZ112" s="257">
        <f>IF(AZ$7="Actual","",IFERROR((INDEX($M112:$Q112,,MATCH(AZ$4,$M$4:$Q$4,0))),0))</f>
        <v/>
      </c>
      <c r="BA112" s="257">
        <f>IF(BA$7="Actual","",IFERROR((INDEX($M112:$Q112,,MATCH(BA$4,$M$4:$Q$4,0))),0))</f>
        <v/>
      </c>
      <c r="BB112" s="257">
        <f>IF(BB$7="Actual","",IFERROR((INDEX($M112:$Q112,,MATCH(BB$4,$M$4:$Q$4,0))),0))</f>
        <v/>
      </c>
      <c r="BC112" s="257">
        <f>IF(BC$7="Actual","",IFERROR((INDEX($M112:$Q112,,MATCH(BC$4,$M$4:$Q$4,0))),0))</f>
        <v/>
      </c>
      <c r="BD112" s="257">
        <f>IF(BD$7="Actual","",IFERROR((INDEX($M112:$Q112,,MATCH(BD$4,$M$4:$Q$4,0))),0))</f>
        <v/>
      </c>
      <c r="BE112" s="257">
        <f>IF(BE$7="Actual","",IFERROR((INDEX($M112:$Q112,,MATCH(BE$4,$M$4:$Q$4,0))),0))</f>
        <v/>
      </c>
      <c r="BF112" s="257">
        <f>IF(BF$7="Actual","",IFERROR((INDEX($M112:$Q112,,MATCH(BF$4,$M$4:$Q$4,0))),0))</f>
        <v/>
      </c>
      <c r="BG112" s="257">
        <f>IF(BG$7="Actual","",IFERROR((INDEX($M112:$Q112,,MATCH(BG$4,$M$4:$Q$4,0))),0))</f>
        <v/>
      </c>
      <c r="BH112" s="257">
        <f>IF(BH$7="Actual","",IFERROR((INDEX($M112:$Q112,,MATCH(BH$4,$M$4:$Q$4,0))),0))</f>
        <v/>
      </c>
      <c r="BI112" s="257">
        <f>IF(BI$7="Actual","",IFERROR((INDEX($M112:$Q112,,MATCH(BI$4,$M$4:$Q$4,0))),0))</f>
        <v/>
      </c>
      <c r="BJ112" s="257">
        <f>IF(BJ$7="Actual","",IFERROR((INDEX($M112:$Q112,,MATCH(BJ$4,$M$4:$Q$4,0))),0))</f>
        <v/>
      </c>
      <c r="BK112" s="257">
        <f>IF(BK$7="Actual","",IFERROR((INDEX($M112:$Q112,,MATCH(BK$4,$M$4:$Q$4,0))),0))</f>
        <v/>
      </c>
      <c r="BL112" s="257">
        <f>IF(BL$7="Actual","",IFERROR((INDEX($M112:$Q112,,MATCH(BL$4,$M$4:$Q$4,0))),0))</f>
        <v/>
      </c>
      <c r="BM112" s="257">
        <f>IF(BM$7="Actual","",IFERROR((INDEX($M112:$Q112,,MATCH(BM$4,$M$4:$Q$4,0))),0))</f>
        <v/>
      </c>
      <c r="BN112" s="257">
        <f>IF(BN$7="Actual","",IFERROR((INDEX($M112:$Q112,,MATCH(BN$4,$M$4:$Q$4,0))),0))</f>
        <v/>
      </c>
      <c r="BO112" s="257">
        <f>IF(BO$7="Actual","",IFERROR((INDEX($M112:$Q112,,MATCH(BO$4,$M$4:$Q$4,0))),0))</f>
        <v/>
      </c>
      <c r="BP112" s="257">
        <f>IF(BP$7="Actual","",IFERROR((INDEX($M112:$Q112,,MATCH(BP$4,$M$4:$Q$4,0))),0))</f>
        <v/>
      </c>
      <c r="BQ112" s="257">
        <f>IF(BQ$7="Actual","",IFERROR((INDEX($M112:$Q112,,MATCH(BQ$4,$M$4:$Q$4,0))),0))</f>
        <v/>
      </c>
      <c r="BR112" s="257">
        <f>IF(BR$7="Actual","",IFERROR((INDEX($M112:$Q112,,MATCH(BR$4,$M$4:$Q$4,0))),0))</f>
        <v/>
      </c>
      <c r="BS112" s="257">
        <f>IF(BS$7="Actual","",IFERROR((INDEX($M112:$Q112,,MATCH(BS$4,$M$4:$Q$4,0))),0))</f>
        <v/>
      </c>
      <c r="BT112" s="257">
        <f>IF(BT$7="Actual","",IFERROR((INDEX($M112:$Q112,,MATCH(BT$4,$M$4:$Q$4,0))),0))</f>
        <v/>
      </c>
      <c r="BU112" s="257">
        <f>IF(BU$7="Actual","",IFERROR((INDEX($M112:$Q112,,MATCH(BU$4,$M$4:$Q$4,0))),0))</f>
        <v/>
      </c>
      <c r="BV112" s="257">
        <f>IF(BV$7="Actual","",IFERROR((INDEX($M112:$Q112,,MATCH(BV$4,$M$4:$Q$4,0))),0))</f>
        <v/>
      </c>
      <c r="BW112" s="257">
        <f>IF(BW$7="Actual","",IFERROR((INDEX($M112:$Q112,,MATCH(BW$4,$M$4:$Q$4,0))),0))</f>
        <v/>
      </c>
      <c r="BX112" s="257">
        <f>IF(BX$7="Actual","",IFERROR((INDEX($M112:$Q112,,MATCH(BX$4,$M$4:$Q$4,0))),0))</f>
        <v/>
      </c>
      <c r="BY112" s="257">
        <f>IF(BY$7="Actual","",IFERROR((INDEX($M112:$Q112,,MATCH(BY$4,$M$4:$Q$4,0))),0))</f>
        <v/>
      </c>
      <c r="BZ112" s="257">
        <f>IF(BZ$7="Actual","",IFERROR((INDEX($M112:$Q112,,MATCH(BZ$4,$M$4:$Q$4,0))),0))</f>
        <v/>
      </c>
      <c r="CA112" s="257">
        <f>IF(CA$7="Actual","",IFERROR((INDEX($M112:$Q112,,MATCH(CA$4,$M$4:$Q$4,0))),0))</f>
        <v/>
      </c>
    </row>
    <row r="113" ht="12" customHeight="1" s="227">
      <c r="A113" s="244" t="n"/>
      <c r="B113" s="244" t="n"/>
      <c r="C113" s="244" t="n"/>
      <c r="H113" s="0">
        <f>i_Setup!U76</f>
        <v/>
      </c>
      <c r="I113" s="27">
        <f>i_Setup!$M$16</f>
        <v/>
      </c>
      <c r="K113" s="6" t="n"/>
      <c r="M113" s="257">
        <f>IF(M$7="Actual","",i_Assumptions!M76)</f>
        <v/>
      </c>
      <c r="N113" s="257">
        <f>IF(N$7="Actual","",i_Assumptions!N76)</f>
        <v/>
      </c>
      <c r="O113" s="257">
        <f>IF(O$7="Actual","",i_Assumptions!O76)</f>
        <v/>
      </c>
      <c r="P113" s="257">
        <f>IF(P$7="Actual","",i_Assumptions!P76)</f>
        <v/>
      </c>
      <c r="Q113" s="257">
        <f>IF(Q$7="Actual","",i_Assumptions!Q76)</f>
        <v/>
      </c>
      <c r="T113" s="257">
        <f>IF(T$7="Actual","",IFERROR((INDEX($M113:$Q113,,MATCH(T$4,$M$4:$Q$4,0))),0))</f>
        <v/>
      </c>
      <c r="U113" s="257">
        <f>IF(U$7="Actual","",IFERROR((INDEX($M113:$Q113,,MATCH(U$4,$M$4:$Q$4,0))),0))</f>
        <v/>
      </c>
      <c r="V113" s="257">
        <f>IF(V$7="Actual","",IFERROR((INDEX($M113:$Q113,,MATCH(V$4,$M$4:$Q$4,0))),0))</f>
        <v/>
      </c>
      <c r="W113" s="257">
        <f>IF(W$7="Actual","",IFERROR((INDEX($M113:$Q113,,MATCH(W$4,$M$4:$Q$4,0))),0))</f>
        <v/>
      </c>
      <c r="X113" s="257">
        <f>IF(X$7="Actual","",IFERROR((INDEX($M113:$Q113,,MATCH(X$4,$M$4:$Q$4,0))),0))</f>
        <v/>
      </c>
      <c r="Y113" s="257">
        <f>IF(Y$7="Actual","",IFERROR((INDEX($M113:$Q113,,MATCH(Y$4,$M$4:$Q$4,0))),0))</f>
        <v/>
      </c>
      <c r="Z113" s="257">
        <f>IF(Z$7="Actual","",IFERROR((INDEX($M113:$Q113,,MATCH(Z$4,$M$4:$Q$4,0))),0))</f>
        <v/>
      </c>
      <c r="AA113" s="257">
        <f>IF(AA$7="Actual","",IFERROR((INDEX($M113:$Q113,,MATCH(AA$4,$M$4:$Q$4,0))),0))</f>
        <v/>
      </c>
      <c r="AB113" s="257">
        <f>IF(AB$7="Actual","",IFERROR((INDEX($M113:$Q113,,MATCH(AB$4,$M$4:$Q$4,0))),0))</f>
        <v/>
      </c>
      <c r="AC113" s="257">
        <f>IF(AC$7="Actual","",IFERROR((INDEX($M113:$Q113,,MATCH(AC$4,$M$4:$Q$4,0))),0))</f>
        <v/>
      </c>
      <c r="AD113" s="257">
        <f>IF(AD$7="Actual","",IFERROR((INDEX($M113:$Q113,,MATCH(AD$4,$M$4:$Q$4,0))),0))</f>
        <v/>
      </c>
      <c r="AE113" s="257">
        <f>IF(AE$7="Actual","",IFERROR((INDEX($M113:$Q113,,MATCH(AE$4,$M$4:$Q$4,0))),0))</f>
        <v/>
      </c>
      <c r="AF113" s="257">
        <f>IF(AF$7="Actual","",IFERROR((INDEX($M113:$Q113,,MATCH(AF$4,$M$4:$Q$4,0))),0))</f>
        <v/>
      </c>
      <c r="AG113" s="257">
        <f>IF(AG$7="Actual","",IFERROR((INDEX($M113:$Q113,,MATCH(AG$4,$M$4:$Q$4,0))),0))</f>
        <v/>
      </c>
      <c r="AH113" s="257">
        <f>IF(AH$7="Actual","",IFERROR((INDEX($M113:$Q113,,MATCH(AH$4,$M$4:$Q$4,0))),0))</f>
        <v/>
      </c>
      <c r="AI113" s="257">
        <f>IF(AI$7="Actual","",IFERROR((INDEX($M113:$Q113,,MATCH(AI$4,$M$4:$Q$4,0))),0))</f>
        <v/>
      </c>
      <c r="AJ113" s="257">
        <f>IF(AJ$7="Actual","",IFERROR((INDEX($M113:$Q113,,MATCH(AJ$4,$M$4:$Q$4,0))),0))</f>
        <v/>
      </c>
      <c r="AK113" s="257">
        <f>IF(AK$7="Actual","",IFERROR((INDEX($M113:$Q113,,MATCH(AK$4,$M$4:$Q$4,0))),0))</f>
        <v/>
      </c>
      <c r="AL113" s="257">
        <f>IF(AL$7="Actual","",IFERROR((INDEX($M113:$Q113,,MATCH(AL$4,$M$4:$Q$4,0))),0))</f>
        <v/>
      </c>
      <c r="AM113" s="257">
        <f>IF(AM$7="Actual","",IFERROR((INDEX($M113:$Q113,,MATCH(AM$4,$M$4:$Q$4,0))),0))</f>
        <v/>
      </c>
      <c r="AN113" s="257">
        <f>IF(AN$7="Actual","",IFERROR((INDEX($M113:$Q113,,MATCH(AN$4,$M$4:$Q$4,0))),0))</f>
        <v/>
      </c>
      <c r="AO113" s="257">
        <f>IF(AO$7="Actual","",IFERROR((INDEX($M113:$Q113,,MATCH(AO$4,$M$4:$Q$4,0))),0))</f>
        <v/>
      </c>
      <c r="AP113" s="257">
        <f>IF(AP$7="Actual","",IFERROR((INDEX($M113:$Q113,,MATCH(AP$4,$M$4:$Q$4,0))),0))</f>
        <v/>
      </c>
      <c r="AQ113" s="257">
        <f>IF(AQ$7="Actual","",IFERROR((INDEX($M113:$Q113,,MATCH(AQ$4,$M$4:$Q$4,0))),0))</f>
        <v/>
      </c>
      <c r="AR113" s="257">
        <f>IF(AR$7="Actual","",IFERROR((INDEX($M113:$Q113,,MATCH(AR$4,$M$4:$Q$4,0))),0))</f>
        <v/>
      </c>
      <c r="AS113" s="257">
        <f>IF(AS$7="Actual","",IFERROR((INDEX($M113:$Q113,,MATCH(AS$4,$M$4:$Q$4,0))),0))</f>
        <v/>
      </c>
      <c r="AT113" s="257">
        <f>IF(AT$7="Actual","",IFERROR((INDEX($M113:$Q113,,MATCH(AT$4,$M$4:$Q$4,0))),0))</f>
        <v/>
      </c>
      <c r="AU113" s="257">
        <f>IF(AU$7="Actual","",IFERROR((INDEX($M113:$Q113,,MATCH(AU$4,$M$4:$Q$4,0))),0))</f>
        <v/>
      </c>
      <c r="AV113" s="257">
        <f>IF(AV$7="Actual","",IFERROR((INDEX($M113:$Q113,,MATCH(AV$4,$M$4:$Q$4,0))),0))</f>
        <v/>
      </c>
      <c r="AW113" s="257">
        <f>IF(AW$7="Actual","",IFERROR((INDEX($M113:$Q113,,MATCH(AW$4,$M$4:$Q$4,0))),0))</f>
        <v/>
      </c>
      <c r="AX113" s="257">
        <f>IF(AX$7="Actual","",IFERROR((INDEX($M113:$Q113,,MATCH(AX$4,$M$4:$Q$4,0))),0))</f>
        <v/>
      </c>
      <c r="AY113" s="257">
        <f>IF(AY$7="Actual","",IFERROR((INDEX($M113:$Q113,,MATCH(AY$4,$M$4:$Q$4,0))),0))</f>
        <v/>
      </c>
      <c r="AZ113" s="257">
        <f>IF(AZ$7="Actual","",IFERROR((INDEX($M113:$Q113,,MATCH(AZ$4,$M$4:$Q$4,0))),0))</f>
        <v/>
      </c>
      <c r="BA113" s="257">
        <f>IF(BA$7="Actual","",IFERROR((INDEX($M113:$Q113,,MATCH(BA$4,$M$4:$Q$4,0))),0))</f>
        <v/>
      </c>
      <c r="BB113" s="257">
        <f>IF(BB$7="Actual","",IFERROR((INDEX($M113:$Q113,,MATCH(BB$4,$M$4:$Q$4,0))),0))</f>
        <v/>
      </c>
      <c r="BC113" s="257">
        <f>IF(BC$7="Actual","",IFERROR((INDEX($M113:$Q113,,MATCH(BC$4,$M$4:$Q$4,0))),0))</f>
        <v/>
      </c>
      <c r="BD113" s="257">
        <f>IF(BD$7="Actual","",IFERROR((INDEX($M113:$Q113,,MATCH(BD$4,$M$4:$Q$4,0))),0))</f>
        <v/>
      </c>
      <c r="BE113" s="257">
        <f>IF(BE$7="Actual","",IFERROR((INDEX($M113:$Q113,,MATCH(BE$4,$M$4:$Q$4,0))),0))</f>
        <v/>
      </c>
      <c r="BF113" s="257">
        <f>IF(BF$7="Actual","",IFERROR((INDEX($M113:$Q113,,MATCH(BF$4,$M$4:$Q$4,0))),0))</f>
        <v/>
      </c>
      <c r="BG113" s="257">
        <f>IF(BG$7="Actual","",IFERROR((INDEX($M113:$Q113,,MATCH(BG$4,$M$4:$Q$4,0))),0))</f>
        <v/>
      </c>
      <c r="BH113" s="257">
        <f>IF(BH$7="Actual","",IFERROR((INDEX($M113:$Q113,,MATCH(BH$4,$M$4:$Q$4,0))),0))</f>
        <v/>
      </c>
      <c r="BI113" s="257">
        <f>IF(BI$7="Actual","",IFERROR((INDEX($M113:$Q113,,MATCH(BI$4,$M$4:$Q$4,0))),0))</f>
        <v/>
      </c>
      <c r="BJ113" s="257">
        <f>IF(BJ$7="Actual","",IFERROR((INDEX($M113:$Q113,,MATCH(BJ$4,$M$4:$Q$4,0))),0))</f>
        <v/>
      </c>
      <c r="BK113" s="257">
        <f>IF(BK$7="Actual","",IFERROR((INDEX($M113:$Q113,,MATCH(BK$4,$M$4:$Q$4,0))),0))</f>
        <v/>
      </c>
      <c r="BL113" s="257">
        <f>IF(BL$7="Actual","",IFERROR((INDEX($M113:$Q113,,MATCH(BL$4,$M$4:$Q$4,0))),0))</f>
        <v/>
      </c>
      <c r="BM113" s="257">
        <f>IF(BM$7="Actual","",IFERROR((INDEX($M113:$Q113,,MATCH(BM$4,$M$4:$Q$4,0))),0))</f>
        <v/>
      </c>
      <c r="BN113" s="257">
        <f>IF(BN$7="Actual","",IFERROR((INDEX($M113:$Q113,,MATCH(BN$4,$M$4:$Q$4,0))),0))</f>
        <v/>
      </c>
      <c r="BO113" s="257">
        <f>IF(BO$7="Actual","",IFERROR((INDEX($M113:$Q113,,MATCH(BO$4,$M$4:$Q$4,0))),0))</f>
        <v/>
      </c>
      <c r="BP113" s="257">
        <f>IF(BP$7="Actual","",IFERROR((INDEX($M113:$Q113,,MATCH(BP$4,$M$4:$Q$4,0))),0))</f>
        <v/>
      </c>
      <c r="BQ113" s="257">
        <f>IF(BQ$7="Actual","",IFERROR((INDEX($M113:$Q113,,MATCH(BQ$4,$M$4:$Q$4,0))),0))</f>
        <v/>
      </c>
      <c r="BR113" s="257">
        <f>IF(BR$7="Actual","",IFERROR((INDEX($M113:$Q113,,MATCH(BR$4,$M$4:$Q$4,0))),0))</f>
        <v/>
      </c>
      <c r="BS113" s="257">
        <f>IF(BS$7="Actual","",IFERROR((INDEX($M113:$Q113,,MATCH(BS$4,$M$4:$Q$4,0))),0))</f>
        <v/>
      </c>
      <c r="BT113" s="257">
        <f>IF(BT$7="Actual","",IFERROR((INDEX($M113:$Q113,,MATCH(BT$4,$M$4:$Q$4,0))),0))</f>
        <v/>
      </c>
      <c r="BU113" s="257">
        <f>IF(BU$7="Actual","",IFERROR((INDEX($M113:$Q113,,MATCH(BU$4,$M$4:$Q$4,0))),0))</f>
        <v/>
      </c>
      <c r="BV113" s="257">
        <f>IF(BV$7="Actual","",IFERROR((INDEX($M113:$Q113,,MATCH(BV$4,$M$4:$Q$4,0))),0))</f>
        <v/>
      </c>
      <c r="BW113" s="257">
        <f>IF(BW$7="Actual","",IFERROR((INDEX($M113:$Q113,,MATCH(BW$4,$M$4:$Q$4,0))),0))</f>
        <v/>
      </c>
      <c r="BX113" s="257">
        <f>IF(BX$7="Actual","",IFERROR((INDEX($M113:$Q113,,MATCH(BX$4,$M$4:$Q$4,0))),0))</f>
        <v/>
      </c>
      <c r="BY113" s="257">
        <f>IF(BY$7="Actual","",IFERROR((INDEX($M113:$Q113,,MATCH(BY$4,$M$4:$Q$4,0))),0))</f>
        <v/>
      </c>
      <c r="BZ113" s="257">
        <f>IF(BZ$7="Actual","",IFERROR((INDEX($M113:$Q113,,MATCH(BZ$4,$M$4:$Q$4,0))),0))</f>
        <v/>
      </c>
      <c r="CA113" s="257">
        <f>IF(CA$7="Actual","",IFERROR((INDEX($M113:$Q113,,MATCH(CA$4,$M$4:$Q$4,0))),0))</f>
        <v/>
      </c>
    </row>
    <row r="114" ht="12" customHeight="1" s="227">
      <c r="A114" s="244" t="n"/>
      <c r="B114" s="244" t="n"/>
      <c r="C114" s="244" t="n"/>
      <c r="H114" s="0">
        <f>i_Setup!U77</f>
        <v/>
      </c>
      <c r="I114" s="27">
        <f>i_Setup!$M$16</f>
        <v/>
      </c>
      <c r="K114" s="6" t="n"/>
      <c r="M114" s="257">
        <f>IF(M$7="Actual","",i_Assumptions!M77)</f>
        <v/>
      </c>
      <c r="N114" s="257">
        <f>IF(N$7="Actual","",i_Assumptions!N77)</f>
        <v/>
      </c>
      <c r="O114" s="257">
        <f>IF(O$7="Actual","",i_Assumptions!O77)</f>
        <v/>
      </c>
      <c r="P114" s="257">
        <f>IF(P$7="Actual","",i_Assumptions!P77)</f>
        <v/>
      </c>
      <c r="Q114" s="257">
        <f>IF(Q$7="Actual","",i_Assumptions!Q77)</f>
        <v/>
      </c>
      <c r="T114" s="257">
        <f>IF(T$7="Actual","",IFERROR((INDEX($M114:$Q114,,MATCH(T$4,$M$4:$Q$4,0))),0))</f>
        <v/>
      </c>
      <c r="U114" s="257">
        <f>IF(U$7="Actual","",IFERROR((INDEX($M114:$Q114,,MATCH(U$4,$M$4:$Q$4,0))),0))</f>
        <v/>
      </c>
      <c r="V114" s="257">
        <f>IF(V$7="Actual","",IFERROR((INDEX($M114:$Q114,,MATCH(V$4,$M$4:$Q$4,0))),0))</f>
        <v/>
      </c>
      <c r="W114" s="257">
        <f>IF(W$7="Actual","",IFERROR((INDEX($M114:$Q114,,MATCH(W$4,$M$4:$Q$4,0))),0))</f>
        <v/>
      </c>
      <c r="X114" s="257">
        <f>IF(X$7="Actual","",IFERROR((INDEX($M114:$Q114,,MATCH(X$4,$M$4:$Q$4,0))),0))</f>
        <v/>
      </c>
      <c r="Y114" s="257">
        <f>IF(Y$7="Actual","",IFERROR((INDEX($M114:$Q114,,MATCH(Y$4,$M$4:$Q$4,0))),0))</f>
        <v/>
      </c>
      <c r="Z114" s="257">
        <f>IF(Z$7="Actual","",IFERROR((INDEX($M114:$Q114,,MATCH(Z$4,$M$4:$Q$4,0))),0))</f>
        <v/>
      </c>
      <c r="AA114" s="257">
        <f>IF(AA$7="Actual","",IFERROR((INDEX($M114:$Q114,,MATCH(AA$4,$M$4:$Q$4,0))),0))</f>
        <v/>
      </c>
      <c r="AB114" s="257">
        <f>IF(AB$7="Actual","",IFERROR((INDEX($M114:$Q114,,MATCH(AB$4,$M$4:$Q$4,0))),0))</f>
        <v/>
      </c>
      <c r="AC114" s="257">
        <f>IF(AC$7="Actual","",IFERROR((INDEX($M114:$Q114,,MATCH(AC$4,$M$4:$Q$4,0))),0))</f>
        <v/>
      </c>
      <c r="AD114" s="257">
        <f>IF(AD$7="Actual","",IFERROR((INDEX($M114:$Q114,,MATCH(AD$4,$M$4:$Q$4,0))),0))</f>
        <v/>
      </c>
      <c r="AE114" s="257">
        <f>IF(AE$7="Actual","",IFERROR((INDEX($M114:$Q114,,MATCH(AE$4,$M$4:$Q$4,0))),0))</f>
        <v/>
      </c>
      <c r="AF114" s="257">
        <f>IF(AF$7="Actual","",IFERROR((INDEX($M114:$Q114,,MATCH(AF$4,$M$4:$Q$4,0))),0))</f>
        <v/>
      </c>
      <c r="AG114" s="257">
        <f>IF(AG$7="Actual","",IFERROR((INDEX($M114:$Q114,,MATCH(AG$4,$M$4:$Q$4,0))),0))</f>
        <v/>
      </c>
      <c r="AH114" s="257">
        <f>IF(AH$7="Actual","",IFERROR((INDEX($M114:$Q114,,MATCH(AH$4,$M$4:$Q$4,0))),0))</f>
        <v/>
      </c>
      <c r="AI114" s="257">
        <f>IF(AI$7="Actual","",IFERROR((INDEX($M114:$Q114,,MATCH(AI$4,$M$4:$Q$4,0))),0))</f>
        <v/>
      </c>
      <c r="AJ114" s="257">
        <f>IF(AJ$7="Actual","",IFERROR((INDEX($M114:$Q114,,MATCH(AJ$4,$M$4:$Q$4,0))),0))</f>
        <v/>
      </c>
      <c r="AK114" s="257">
        <f>IF(AK$7="Actual","",IFERROR((INDEX($M114:$Q114,,MATCH(AK$4,$M$4:$Q$4,0))),0))</f>
        <v/>
      </c>
      <c r="AL114" s="257">
        <f>IF(AL$7="Actual","",IFERROR((INDEX($M114:$Q114,,MATCH(AL$4,$M$4:$Q$4,0))),0))</f>
        <v/>
      </c>
      <c r="AM114" s="257">
        <f>IF(AM$7="Actual","",IFERROR((INDEX($M114:$Q114,,MATCH(AM$4,$M$4:$Q$4,0))),0))</f>
        <v/>
      </c>
      <c r="AN114" s="257">
        <f>IF(AN$7="Actual","",IFERROR((INDEX($M114:$Q114,,MATCH(AN$4,$M$4:$Q$4,0))),0))</f>
        <v/>
      </c>
      <c r="AO114" s="257">
        <f>IF(AO$7="Actual","",IFERROR((INDEX($M114:$Q114,,MATCH(AO$4,$M$4:$Q$4,0))),0))</f>
        <v/>
      </c>
      <c r="AP114" s="257">
        <f>IF(AP$7="Actual","",IFERROR((INDEX($M114:$Q114,,MATCH(AP$4,$M$4:$Q$4,0))),0))</f>
        <v/>
      </c>
      <c r="AQ114" s="257">
        <f>IF(AQ$7="Actual","",IFERROR((INDEX($M114:$Q114,,MATCH(AQ$4,$M$4:$Q$4,0))),0))</f>
        <v/>
      </c>
      <c r="AR114" s="257">
        <f>IF(AR$7="Actual","",IFERROR((INDEX($M114:$Q114,,MATCH(AR$4,$M$4:$Q$4,0))),0))</f>
        <v/>
      </c>
      <c r="AS114" s="257">
        <f>IF(AS$7="Actual","",IFERROR((INDEX($M114:$Q114,,MATCH(AS$4,$M$4:$Q$4,0))),0))</f>
        <v/>
      </c>
      <c r="AT114" s="257">
        <f>IF(AT$7="Actual","",IFERROR((INDEX($M114:$Q114,,MATCH(AT$4,$M$4:$Q$4,0))),0))</f>
        <v/>
      </c>
      <c r="AU114" s="257">
        <f>IF(AU$7="Actual","",IFERROR((INDEX($M114:$Q114,,MATCH(AU$4,$M$4:$Q$4,0))),0))</f>
        <v/>
      </c>
      <c r="AV114" s="257">
        <f>IF(AV$7="Actual","",IFERROR((INDEX($M114:$Q114,,MATCH(AV$4,$M$4:$Q$4,0))),0))</f>
        <v/>
      </c>
      <c r="AW114" s="257">
        <f>IF(AW$7="Actual","",IFERROR((INDEX($M114:$Q114,,MATCH(AW$4,$M$4:$Q$4,0))),0))</f>
        <v/>
      </c>
      <c r="AX114" s="257">
        <f>IF(AX$7="Actual","",IFERROR((INDEX($M114:$Q114,,MATCH(AX$4,$M$4:$Q$4,0))),0))</f>
        <v/>
      </c>
      <c r="AY114" s="257">
        <f>IF(AY$7="Actual","",IFERROR((INDEX($M114:$Q114,,MATCH(AY$4,$M$4:$Q$4,0))),0))</f>
        <v/>
      </c>
      <c r="AZ114" s="257">
        <f>IF(AZ$7="Actual","",IFERROR((INDEX($M114:$Q114,,MATCH(AZ$4,$M$4:$Q$4,0))),0))</f>
        <v/>
      </c>
      <c r="BA114" s="257">
        <f>IF(BA$7="Actual","",IFERROR((INDEX($M114:$Q114,,MATCH(BA$4,$M$4:$Q$4,0))),0))</f>
        <v/>
      </c>
      <c r="BB114" s="257">
        <f>IF(BB$7="Actual","",IFERROR((INDEX($M114:$Q114,,MATCH(BB$4,$M$4:$Q$4,0))),0))</f>
        <v/>
      </c>
      <c r="BC114" s="257">
        <f>IF(BC$7="Actual","",IFERROR((INDEX($M114:$Q114,,MATCH(BC$4,$M$4:$Q$4,0))),0))</f>
        <v/>
      </c>
      <c r="BD114" s="257">
        <f>IF(BD$7="Actual","",IFERROR((INDEX($M114:$Q114,,MATCH(BD$4,$M$4:$Q$4,0))),0))</f>
        <v/>
      </c>
      <c r="BE114" s="257">
        <f>IF(BE$7="Actual","",IFERROR((INDEX($M114:$Q114,,MATCH(BE$4,$M$4:$Q$4,0))),0))</f>
        <v/>
      </c>
      <c r="BF114" s="257">
        <f>IF(BF$7="Actual","",IFERROR((INDEX($M114:$Q114,,MATCH(BF$4,$M$4:$Q$4,0))),0))</f>
        <v/>
      </c>
      <c r="BG114" s="257">
        <f>IF(BG$7="Actual","",IFERROR((INDEX($M114:$Q114,,MATCH(BG$4,$M$4:$Q$4,0))),0))</f>
        <v/>
      </c>
      <c r="BH114" s="257">
        <f>IF(BH$7="Actual","",IFERROR((INDEX($M114:$Q114,,MATCH(BH$4,$M$4:$Q$4,0))),0))</f>
        <v/>
      </c>
      <c r="BI114" s="257">
        <f>IF(BI$7="Actual","",IFERROR((INDEX($M114:$Q114,,MATCH(BI$4,$M$4:$Q$4,0))),0))</f>
        <v/>
      </c>
      <c r="BJ114" s="257">
        <f>IF(BJ$7="Actual","",IFERROR((INDEX($M114:$Q114,,MATCH(BJ$4,$M$4:$Q$4,0))),0))</f>
        <v/>
      </c>
      <c r="BK114" s="257">
        <f>IF(BK$7="Actual","",IFERROR((INDEX($M114:$Q114,,MATCH(BK$4,$M$4:$Q$4,0))),0))</f>
        <v/>
      </c>
      <c r="BL114" s="257">
        <f>IF(BL$7="Actual","",IFERROR((INDEX($M114:$Q114,,MATCH(BL$4,$M$4:$Q$4,0))),0))</f>
        <v/>
      </c>
      <c r="BM114" s="257">
        <f>IF(BM$7="Actual","",IFERROR((INDEX($M114:$Q114,,MATCH(BM$4,$M$4:$Q$4,0))),0))</f>
        <v/>
      </c>
      <c r="BN114" s="257">
        <f>IF(BN$7="Actual","",IFERROR((INDEX($M114:$Q114,,MATCH(BN$4,$M$4:$Q$4,0))),0))</f>
        <v/>
      </c>
      <c r="BO114" s="257">
        <f>IF(BO$7="Actual","",IFERROR((INDEX($M114:$Q114,,MATCH(BO$4,$M$4:$Q$4,0))),0))</f>
        <v/>
      </c>
      <c r="BP114" s="257">
        <f>IF(BP$7="Actual","",IFERROR((INDEX($M114:$Q114,,MATCH(BP$4,$M$4:$Q$4,0))),0))</f>
        <v/>
      </c>
      <c r="BQ114" s="257">
        <f>IF(BQ$7="Actual","",IFERROR((INDEX($M114:$Q114,,MATCH(BQ$4,$M$4:$Q$4,0))),0))</f>
        <v/>
      </c>
      <c r="BR114" s="257">
        <f>IF(BR$7="Actual","",IFERROR((INDEX($M114:$Q114,,MATCH(BR$4,$M$4:$Q$4,0))),0))</f>
        <v/>
      </c>
      <c r="BS114" s="257">
        <f>IF(BS$7="Actual","",IFERROR((INDEX($M114:$Q114,,MATCH(BS$4,$M$4:$Q$4,0))),0))</f>
        <v/>
      </c>
      <c r="BT114" s="257">
        <f>IF(BT$7="Actual","",IFERROR((INDEX($M114:$Q114,,MATCH(BT$4,$M$4:$Q$4,0))),0))</f>
        <v/>
      </c>
      <c r="BU114" s="257">
        <f>IF(BU$7="Actual","",IFERROR((INDEX($M114:$Q114,,MATCH(BU$4,$M$4:$Q$4,0))),0))</f>
        <v/>
      </c>
      <c r="BV114" s="257">
        <f>IF(BV$7="Actual","",IFERROR((INDEX($M114:$Q114,,MATCH(BV$4,$M$4:$Q$4,0))),0))</f>
        <v/>
      </c>
      <c r="BW114" s="257">
        <f>IF(BW$7="Actual","",IFERROR((INDEX($M114:$Q114,,MATCH(BW$4,$M$4:$Q$4,0))),0))</f>
        <v/>
      </c>
      <c r="BX114" s="257">
        <f>IF(BX$7="Actual","",IFERROR((INDEX($M114:$Q114,,MATCH(BX$4,$M$4:$Q$4,0))),0))</f>
        <v/>
      </c>
      <c r="BY114" s="257">
        <f>IF(BY$7="Actual","",IFERROR((INDEX($M114:$Q114,,MATCH(BY$4,$M$4:$Q$4,0))),0))</f>
        <v/>
      </c>
      <c r="BZ114" s="257">
        <f>IF(BZ$7="Actual","",IFERROR((INDEX($M114:$Q114,,MATCH(BZ$4,$M$4:$Q$4,0))),0))</f>
        <v/>
      </c>
      <c r="CA114" s="257">
        <f>IF(CA$7="Actual","",IFERROR((INDEX($M114:$Q114,,MATCH(CA$4,$M$4:$Q$4,0))),0))</f>
        <v/>
      </c>
    </row>
    <row r="115" ht="12" customHeight="1" s="227">
      <c r="A115" s="244" t="n"/>
      <c r="B115" s="244" t="n"/>
      <c r="C115" s="244" t="n"/>
      <c r="H115" s="0">
        <f>i_Setup!U78</f>
        <v/>
      </c>
      <c r="I115" s="27">
        <f>i_Setup!$M$16</f>
        <v/>
      </c>
      <c r="K115" s="6" t="n"/>
      <c r="M115" s="257">
        <f>IF(M$7="Actual","",i_Assumptions!M78)</f>
        <v/>
      </c>
      <c r="N115" s="257">
        <f>IF(N$7="Actual","",i_Assumptions!N78)</f>
        <v/>
      </c>
      <c r="O115" s="257">
        <f>IF(O$7="Actual","",i_Assumptions!O78)</f>
        <v/>
      </c>
      <c r="P115" s="257">
        <f>IF(P$7="Actual","",i_Assumptions!P78)</f>
        <v/>
      </c>
      <c r="Q115" s="257">
        <f>IF(Q$7="Actual","",i_Assumptions!Q78)</f>
        <v/>
      </c>
      <c r="T115" s="257">
        <f>IF(T$7="Actual","",IFERROR((INDEX($M115:$Q115,,MATCH(T$4,$M$4:$Q$4,0))),0))</f>
        <v/>
      </c>
      <c r="U115" s="257">
        <f>IF(U$7="Actual","",IFERROR((INDEX($M115:$Q115,,MATCH(U$4,$M$4:$Q$4,0))),0))</f>
        <v/>
      </c>
      <c r="V115" s="257">
        <f>IF(V$7="Actual","",IFERROR((INDEX($M115:$Q115,,MATCH(V$4,$M$4:$Q$4,0))),0))</f>
        <v/>
      </c>
      <c r="W115" s="257">
        <f>IF(W$7="Actual","",IFERROR((INDEX($M115:$Q115,,MATCH(W$4,$M$4:$Q$4,0))),0))</f>
        <v/>
      </c>
      <c r="X115" s="257">
        <f>IF(X$7="Actual","",IFERROR((INDEX($M115:$Q115,,MATCH(X$4,$M$4:$Q$4,0))),0))</f>
        <v/>
      </c>
      <c r="Y115" s="257">
        <f>IF(Y$7="Actual","",IFERROR((INDEX($M115:$Q115,,MATCH(Y$4,$M$4:$Q$4,0))),0))</f>
        <v/>
      </c>
      <c r="Z115" s="257">
        <f>IF(Z$7="Actual","",IFERROR((INDEX($M115:$Q115,,MATCH(Z$4,$M$4:$Q$4,0))),0))</f>
        <v/>
      </c>
      <c r="AA115" s="257">
        <f>IF(AA$7="Actual","",IFERROR((INDEX($M115:$Q115,,MATCH(AA$4,$M$4:$Q$4,0))),0))</f>
        <v/>
      </c>
      <c r="AB115" s="257">
        <f>IF(AB$7="Actual","",IFERROR((INDEX($M115:$Q115,,MATCH(AB$4,$M$4:$Q$4,0))),0))</f>
        <v/>
      </c>
      <c r="AC115" s="257">
        <f>IF(AC$7="Actual","",IFERROR((INDEX($M115:$Q115,,MATCH(AC$4,$M$4:$Q$4,0))),0))</f>
        <v/>
      </c>
      <c r="AD115" s="257">
        <f>IF(AD$7="Actual","",IFERROR((INDEX($M115:$Q115,,MATCH(AD$4,$M$4:$Q$4,0))),0))</f>
        <v/>
      </c>
      <c r="AE115" s="257">
        <f>IF(AE$7="Actual","",IFERROR((INDEX($M115:$Q115,,MATCH(AE$4,$M$4:$Q$4,0))),0))</f>
        <v/>
      </c>
      <c r="AF115" s="257">
        <f>IF(AF$7="Actual","",IFERROR((INDEX($M115:$Q115,,MATCH(AF$4,$M$4:$Q$4,0))),0))</f>
        <v/>
      </c>
      <c r="AG115" s="257">
        <f>IF(AG$7="Actual","",IFERROR((INDEX($M115:$Q115,,MATCH(AG$4,$M$4:$Q$4,0))),0))</f>
        <v/>
      </c>
      <c r="AH115" s="257">
        <f>IF(AH$7="Actual","",IFERROR((INDEX($M115:$Q115,,MATCH(AH$4,$M$4:$Q$4,0))),0))</f>
        <v/>
      </c>
      <c r="AI115" s="257">
        <f>IF(AI$7="Actual","",IFERROR((INDEX($M115:$Q115,,MATCH(AI$4,$M$4:$Q$4,0))),0))</f>
        <v/>
      </c>
      <c r="AJ115" s="257">
        <f>IF(AJ$7="Actual","",IFERROR((INDEX($M115:$Q115,,MATCH(AJ$4,$M$4:$Q$4,0))),0))</f>
        <v/>
      </c>
      <c r="AK115" s="257">
        <f>IF(AK$7="Actual","",IFERROR((INDEX($M115:$Q115,,MATCH(AK$4,$M$4:$Q$4,0))),0))</f>
        <v/>
      </c>
      <c r="AL115" s="257">
        <f>IF(AL$7="Actual","",IFERROR((INDEX($M115:$Q115,,MATCH(AL$4,$M$4:$Q$4,0))),0))</f>
        <v/>
      </c>
      <c r="AM115" s="257">
        <f>IF(AM$7="Actual","",IFERROR((INDEX($M115:$Q115,,MATCH(AM$4,$M$4:$Q$4,0))),0))</f>
        <v/>
      </c>
      <c r="AN115" s="257">
        <f>IF(AN$7="Actual","",IFERROR((INDEX($M115:$Q115,,MATCH(AN$4,$M$4:$Q$4,0))),0))</f>
        <v/>
      </c>
      <c r="AO115" s="257">
        <f>IF(AO$7="Actual","",IFERROR((INDEX($M115:$Q115,,MATCH(AO$4,$M$4:$Q$4,0))),0))</f>
        <v/>
      </c>
      <c r="AP115" s="257">
        <f>IF(AP$7="Actual","",IFERROR((INDEX($M115:$Q115,,MATCH(AP$4,$M$4:$Q$4,0))),0))</f>
        <v/>
      </c>
      <c r="AQ115" s="257">
        <f>IF(AQ$7="Actual","",IFERROR((INDEX($M115:$Q115,,MATCH(AQ$4,$M$4:$Q$4,0))),0))</f>
        <v/>
      </c>
      <c r="AR115" s="257">
        <f>IF(AR$7="Actual","",IFERROR((INDEX($M115:$Q115,,MATCH(AR$4,$M$4:$Q$4,0))),0))</f>
        <v/>
      </c>
      <c r="AS115" s="257">
        <f>IF(AS$7="Actual","",IFERROR((INDEX($M115:$Q115,,MATCH(AS$4,$M$4:$Q$4,0))),0))</f>
        <v/>
      </c>
      <c r="AT115" s="257">
        <f>IF(AT$7="Actual","",IFERROR((INDEX($M115:$Q115,,MATCH(AT$4,$M$4:$Q$4,0))),0))</f>
        <v/>
      </c>
      <c r="AU115" s="257">
        <f>IF(AU$7="Actual","",IFERROR((INDEX($M115:$Q115,,MATCH(AU$4,$M$4:$Q$4,0))),0))</f>
        <v/>
      </c>
      <c r="AV115" s="257">
        <f>IF(AV$7="Actual","",IFERROR((INDEX($M115:$Q115,,MATCH(AV$4,$M$4:$Q$4,0))),0))</f>
        <v/>
      </c>
      <c r="AW115" s="257">
        <f>IF(AW$7="Actual","",IFERROR((INDEX($M115:$Q115,,MATCH(AW$4,$M$4:$Q$4,0))),0))</f>
        <v/>
      </c>
      <c r="AX115" s="257">
        <f>IF(AX$7="Actual","",IFERROR((INDEX($M115:$Q115,,MATCH(AX$4,$M$4:$Q$4,0))),0))</f>
        <v/>
      </c>
      <c r="AY115" s="257">
        <f>IF(AY$7="Actual","",IFERROR((INDEX($M115:$Q115,,MATCH(AY$4,$M$4:$Q$4,0))),0))</f>
        <v/>
      </c>
      <c r="AZ115" s="257">
        <f>IF(AZ$7="Actual","",IFERROR((INDEX($M115:$Q115,,MATCH(AZ$4,$M$4:$Q$4,0))),0))</f>
        <v/>
      </c>
      <c r="BA115" s="257">
        <f>IF(BA$7="Actual","",IFERROR((INDEX($M115:$Q115,,MATCH(BA$4,$M$4:$Q$4,0))),0))</f>
        <v/>
      </c>
      <c r="BB115" s="257">
        <f>IF(BB$7="Actual","",IFERROR((INDEX($M115:$Q115,,MATCH(BB$4,$M$4:$Q$4,0))),0))</f>
        <v/>
      </c>
      <c r="BC115" s="257">
        <f>IF(BC$7="Actual","",IFERROR((INDEX($M115:$Q115,,MATCH(BC$4,$M$4:$Q$4,0))),0))</f>
        <v/>
      </c>
      <c r="BD115" s="257">
        <f>IF(BD$7="Actual","",IFERROR((INDEX($M115:$Q115,,MATCH(BD$4,$M$4:$Q$4,0))),0))</f>
        <v/>
      </c>
      <c r="BE115" s="257">
        <f>IF(BE$7="Actual","",IFERROR((INDEX($M115:$Q115,,MATCH(BE$4,$M$4:$Q$4,0))),0))</f>
        <v/>
      </c>
      <c r="BF115" s="257">
        <f>IF(BF$7="Actual","",IFERROR((INDEX($M115:$Q115,,MATCH(BF$4,$M$4:$Q$4,0))),0))</f>
        <v/>
      </c>
      <c r="BG115" s="257">
        <f>IF(BG$7="Actual","",IFERROR((INDEX($M115:$Q115,,MATCH(BG$4,$M$4:$Q$4,0))),0))</f>
        <v/>
      </c>
      <c r="BH115" s="257">
        <f>IF(BH$7="Actual","",IFERROR((INDEX($M115:$Q115,,MATCH(BH$4,$M$4:$Q$4,0))),0))</f>
        <v/>
      </c>
      <c r="BI115" s="257">
        <f>IF(BI$7="Actual","",IFERROR((INDEX($M115:$Q115,,MATCH(BI$4,$M$4:$Q$4,0))),0))</f>
        <v/>
      </c>
      <c r="BJ115" s="257">
        <f>IF(BJ$7="Actual","",IFERROR((INDEX($M115:$Q115,,MATCH(BJ$4,$M$4:$Q$4,0))),0))</f>
        <v/>
      </c>
      <c r="BK115" s="257">
        <f>IF(BK$7="Actual","",IFERROR((INDEX($M115:$Q115,,MATCH(BK$4,$M$4:$Q$4,0))),0))</f>
        <v/>
      </c>
      <c r="BL115" s="257">
        <f>IF(BL$7="Actual","",IFERROR((INDEX($M115:$Q115,,MATCH(BL$4,$M$4:$Q$4,0))),0))</f>
        <v/>
      </c>
      <c r="BM115" s="257">
        <f>IF(BM$7="Actual","",IFERROR((INDEX($M115:$Q115,,MATCH(BM$4,$M$4:$Q$4,0))),0))</f>
        <v/>
      </c>
      <c r="BN115" s="257">
        <f>IF(BN$7="Actual","",IFERROR((INDEX($M115:$Q115,,MATCH(BN$4,$M$4:$Q$4,0))),0))</f>
        <v/>
      </c>
      <c r="BO115" s="257">
        <f>IF(BO$7="Actual","",IFERROR((INDEX($M115:$Q115,,MATCH(BO$4,$M$4:$Q$4,0))),0))</f>
        <v/>
      </c>
      <c r="BP115" s="257">
        <f>IF(BP$7="Actual","",IFERROR((INDEX($M115:$Q115,,MATCH(BP$4,$M$4:$Q$4,0))),0))</f>
        <v/>
      </c>
      <c r="BQ115" s="257">
        <f>IF(BQ$7="Actual","",IFERROR((INDEX($M115:$Q115,,MATCH(BQ$4,$M$4:$Q$4,0))),0))</f>
        <v/>
      </c>
      <c r="BR115" s="257">
        <f>IF(BR$7="Actual","",IFERROR((INDEX($M115:$Q115,,MATCH(BR$4,$M$4:$Q$4,0))),0))</f>
        <v/>
      </c>
      <c r="BS115" s="257">
        <f>IF(BS$7="Actual","",IFERROR((INDEX($M115:$Q115,,MATCH(BS$4,$M$4:$Q$4,0))),0))</f>
        <v/>
      </c>
      <c r="BT115" s="257">
        <f>IF(BT$7="Actual","",IFERROR((INDEX($M115:$Q115,,MATCH(BT$4,$M$4:$Q$4,0))),0))</f>
        <v/>
      </c>
      <c r="BU115" s="257">
        <f>IF(BU$7="Actual","",IFERROR((INDEX($M115:$Q115,,MATCH(BU$4,$M$4:$Q$4,0))),0))</f>
        <v/>
      </c>
      <c r="BV115" s="257">
        <f>IF(BV$7="Actual","",IFERROR((INDEX($M115:$Q115,,MATCH(BV$4,$M$4:$Q$4,0))),0))</f>
        <v/>
      </c>
      <c r="BW115" s="257">
        <f>IF(BW$7="Actual","",IFERROR((INDEX($M115:$Q115,,MATCH(BW$4,$M$4:$Q$4,0))),0))</f>
        <v/>
      </c>
      <c r="BX115" s="257">
        <f>IF(BX$7="Actual","",IFERROR((INDEX($M115:$Q115,,MATCH(BX$4,$M$4:$Q$4,0))),0))</f>
        <v/>
      </c>
      <c r="BY115" s="257">
        <f>IF(BY$7="Actual","",IFERROR((INDEX($M115:$Q115,,MATCH(BY$4,$M$4:$Q$4,0))),0))</f>
        <v/>
      </c>
      <c r="BZ115" s="257">
        <f>IF(BZ$7="Actual","",IFERROR((INDEX($M115:$Q115,,MATCH(BZ$4,$M$4:$Q$4,0))),0))</f>
        <v/>
      </c>
      <c r="CA115" s="257">
        <f>IF(CA$7="Actual","",IFERROR((INDEX($M115:$Q115,,MATCH(CA$4,$M$4:$Q$4,0))),0))</f>
        <v/>
      </c>
    </row>
    <row r="116" ht="12" customHeight="1" s="227">
      <c r="A116" s="244" t="n"/>
      <c r="B116" s="244" t="n"/>
      <c r="C116" s="244" t="n"/>
      <c r="H116" s="0">
        <f>i_Setup!U79</f>
        <v/>
      </c>
      <c r="I116" s="27">
        <f>i_Setup!$M$16</f>
        <v/>
      </c>
      <c r="K116" s="6" t="n"/>
      <c r="M116" s="257">
        <f>IF(M$7="Actual","",i_Assumptions!M79)</f>
        <v/>
      </c>
      <c r="N116" s="257">
        <f>IF(N$7="Actual","",i_Assumptions!N79)</f>
        <v/>
      </c>
      <c r="O116" s="257">
        <f>IF(O$7="Actual","",i_Assumptions!O79)</f>
        <v/>
      </c>
      <c r="P116" s="257">
        <f>IF(P$7="Actual","",i_Assumptions!P79)</f>
        <v/>
      </c>
      <c r="Q116" s="257">
        <f>IF(Q$7="Actual","",i_Assumptions!Q79)</f>
        <v/>
      </c>
      <c r="T116" s="257">
        <f>IF(T$7="Actual","",IFERROR((INDEX($M116:$Q116,,MATCH(T$4,$M$4:$Q$4,0))),0))</f>
        <v/>
      </c>
      <c r="U116" s="257">
        <f>IF(U$7="Actual","",IFERROR((INDEX($M116:$Q116,,MATCH(U$4,$M$4:$Q$4,0))),0))</f>
        <v/>
      </c>
      <c r="V116" s="257">
        <f>IF(V$7="Actual","",IFERROR((INDEX($M116:$Q116,,MATCH(V$4,$M$4:$Q$4,0))),0))</f>
        <v/>
      </c>
      <c r="W116" s="257">
        <f>IF(W$7="Actual","",IFERROR((INDEX($M116:$Q116,,MATCH(W$4,$M$4:$Q$4,0))),0))</f>
        <v/>
      </c>
      <c r="X116" s="257">
        <f>IF(X$7="Actual","",IFERROR((INDEX($M116:$Q116,,MATCH(X$4,$M$4:$Q$4,0))),0))</f>
        <v/>
      </c>
      <c r="Y116" s="257">
        <f>IF(Y$7="Actual","",IFERROR((INDEX($M116:$Q116,,MATCH(Y$4,$M$4:$Q$4,0))),0))</f>
        <v/>
      </c>
      <c r="Z116" s="257">
        <f>IF(Z$7="Actual","",IFERROR((INDEX($M116:$Q116,,MATCH(Z$4,$M$4:$Q$4,0))),0))</f>
        <v/>
      </c>
      <c r="AA116" s="257">
        <f>IF(AA$7="Actual","",IFERROR((INDEX($M116:$Q116,,MATCH(AA$4,$M$4:$Q$4,0))),0))</f>
        <v/>
      </c>
      <c r="AB116" s="257">
        <f>IF(AB$7="Actual","",IFERROR((INDEX($M116:$Q116,,MATCH(AB$4,$M$4:$Q$4,0))),0))</f>
        <v/>
      </c>
      <c r="AC116" s="257">
        <f>IF(AC$7="Actual","",IFERROR((INDEX($M116:$Q116,,MATCH(AC$4,$M$4:$Q$4,0))),0))</f>
        <v/>
      </c>
      <c r="AD116" s="257">
        <f>IF(AD$7="Actual","",IFERROR((INDEX($M116:$Q116,,MATCH(AD$4,$M$4:$Q$4,0))),0))</f>
        <v/>
      </c>
      <c r="AE116" s="257">
        <f>IF(AE$7="Actual","",IFERROR((INDEX($M116:$Q116,,MATCH(AE$4,$M$4:$Q$4,0))),0))</f>
        <v/>
      </c>
      <c r="AF116" s="257">
        <f>IF(AF$7="Actual","",IFERROR((INDEX($M116:$Q116,,MATCH(AF$4,$M$4:$Q$4,0))),0))</f>
        <v/>
      </c>
      <c r="AG116" s="257">
        <f>IF(AG$7="Actual","",IFERROR((INDEX($M116:$Q116,,MATCH(AG$4,$M$4:$Q$4,0))),0))</f>
        <v/>
      </c>
      <c r="AH116" s="257">
        <f>IF(AH$7="Actual","",IFERROR((INDEX($M116:$Q116,,MATCH(AH$4,$M$4:$Q$4,0))),0))</f>
        <v/>
      </c>
      <c r="AI116" s="257">
        <f>IF(AI$7="Actual","",IFERROR((INDEX($M116:$Q116,,MATCH(AI$4,$M$4:$Q$4,0))),0))</f>
        <v/>
      </c>
      <c r="AJ116" s="257">
        <f>IF(AJ$7="Actual","",IFERROR((INDEX($M116:$Q116,,MATCH(AJ$4,$M$4:$Q$4,0))),0))</f>
        <v/>
      </c>
      <c r="AK116" s="257">
        <f>IF(AK$7="Actual","",IFERROR((INDEX($M116:$Q116,,MATCH(AK$4,$M$4:$Q$4,0))),0))</f>
        <v/>
      </c>
      <c r="AL116" s="257">
        <f>IF(AL$7="Actual","",IFERROR((INDEX($M116:$Q116,,MATCH(AL$4,$M$4:$Q$4,0))),0))</f>
        <v/>
      </c>
      <c r="AM116" s="257">
        <f>IF(AM$7="Actual","",IFERROR((INDEX($M116:$Q116,,MATCH(AM$4,$M$4:$Q$4,0))),0))</f>
        <v/>
      </c>
      <c r="AN116" s="257">
        <f>IF(AN$7="Actual","",IFERROR((INDEX($M116:$Q116,,MATCH(AN$4,$M$4:$Q$4,0))),0))</f>
        <v/>
      </c>
      <c r="AO116" s="257">
        <f>IF(AO$7="Actual","",IFERROR((INDEX($M116:$Q116,,MATCH(AO$4,$M$4:$Q$4,0))),0))</f>
        <v/>
      </c>
      <c r="AP116" s="257">
        <f>IF(AP$7="Actual","",IFERROR((INDEX($M116:$Q116,,MATCH(AP$4,$M$4:$Q$4,0))),0))</f>
        <v/>
      </c>
      <c r="AQ116" s="257">
        <f>IF(AQ$7="Actual","",IFERROR((INDEX($M116:$Q116,,MATCH(AQ$4,$M$4:$Q$4,0))),0))</f>
        <v/>
      </c>
      <c r="AR116" s="257">
        <f>IF(AR$7="Actual","",IFERROR((INDEX($M116:$Q116,,MATCH(AR$4,$M$4:$Q$4,0))),0))</f>
        <v/>
      </c>
      <c r="AS116" s="257">
        <f>IF(AS$7="Actual","",IFERROR((INDEX($M116:$Q116,,MATCH(AS$4,$M$4:$Q$4,0))),0))</f>
        <v/>
      </c>
      <c r="AT116" s="257">
        <f>IF(AT$7="Actual","",IFERROR((INDEX($M116:$Q116,,MATCH(AT$4,$M$4:$Q$4,0))),0))</f>
        <v/>
      </c>
      <c r="AU116" s="257">
        <f>IF(AU$7="Actual","",IFERROR((INDEX($M116:$Q116,,MATCH(AU$4,$M$4:$Q$4,0))),0))</f>
        <v/>
      </c>
      <c r="AV116" s="257">
        <f>IF(AV$7="Actual","",IFERROR((INDEX($M116:$Q116,,MATCH(AV$4,$M$4:$Q$4,0))),0))</f>
        <v/>
      </c>
      <c r="AW116" s="257">
        <f>IF(AW$7="Actual","",IFERROR((INDEX($M116:$Q116,,MATCH(AW$4,$M$4:$Q$4,0))),0))</f>
        <v/>
      </c>
      <c r="AX116" s="257">
        <f>IF(AX$7="Actual","",IFERROR((INDEX($M116:$Q116,,MATCH(AX$4,$M$4:$Q$4,0))),0))</f>
        <v/>
      </c>
      <c r="AY116" s="257">
        <f>IF(AY$7="Actual","",IFERROR((INDEX($M116:$Q116,,MATCH(AY$4,$M$4:$Q$4,0))),0))</f>
        <v/>
      </c>
      <c r="AZ116" s="257">
        <f>IF(AZ$7="Actual","",IFERROR((INDEX($M116:$Q116,,MATCH(AZ$4,$M$4:$Q$4,0))),0))</f>
        <v/>
      </c>
      <c r="BA116" s="257">
        <f>IF(BA$7="Actual","",IFERROR((INDEX($M116:$Q116,,MATCH(BA$4,$M$4:$Q$4,0))),0))</f>
        <v/>
      </c>
      <c r="BB116" s="257">
        <f>IF(BB$7="Actual","",IFERROR((INDEX($M116:$Q116,,MATCH(BB$4,$M$4:$Q$4,0))),0))</f>
        <v/>
      </c>
      <c r="BC116" s="257">
        <f>IF(BC$7="Actual","",IFERROR((INDEX($M116:$Q116,,MATCH(BC$4,$M$4:$Q$4,0))),0))</f>
        <v/>
      </c>
      <c r="BD116" s="257">
        <f>IF(BD$7="Actual","",IFERROR((INDEX($M116:$Q116,,MATCH(BD$4,$M$4:$Q$4,0))),0))</f>
        <v/>
      </c>
      <c r="BE116" s="257">
        <f>IF(BE$7="Actual","",IFERROR((INDEX($M116:$Q116,,MATCH(BE$4,$M$4:$Q$4,0))),0))</f>
        <v/>
      </c>
      <c r="BF116" s="257">
        <f>IF(BF$7="Actual","",IFERROR((INDEX($M116:$Q116,,MATCH(BF$4,$M$4:$Q$4,0))),0))</f>
        <v/>
      </c>
      <c r="BG116" s="257">
        <f>IF(BG$7="Actual","",IFERROR((INDEX($M116:$Q116,,MATCH(BG$4,$M$4:$Q$4,0))),0))</f>
        <v/>
      </c>
      <c r="BH116" s="257">
        <f>IF(BH$7="Actual","",IFERROR((INDEX($M116:$Q116,,MATCH(BH$4,$M$4:$Q$4,0))),0))</f>
        <v/>
      </c>
      <c r="BI116" s="257">
        <f>IF(BI$7="Actual","",IFERROR((INDEX($M116:$Q116,,MATCH(BI$4,$M$4:$Q$4,0))),0))</f>
        <v/>
      </c>
      <c r="BJ116" s="257">
        <f>IF(BJ$7="Actual","",IFERROR((INDEX($M116:$Q116,,MATCH(BJ$4,$M$4:$Q$4,0))),0))</f>
        <v/>
      </c>
      <c r="BK116" s="257">
        <f>IF(BK$7="Actual","",IFERROR((INDEX($M116:$Q116,,MATCH(BK$4,$M$4:$Q$4,0))),0))</f>
        <v/>
      </c>
      <c r="BL116" s="257">
        <f>IF(BL$7="Actual","",IFERROR((INDEX($M116:$Q116,,MATCH(BL$4,$M$4:$Q$4,0))),0))</f>
        <v/>
      </c>
      <c r="BM116" s="257">
        <f>IF(BM$7="Actual","",IFERROR((INDEX($M116:$Q116,,MATCH(BM$4,$M$4:$Q$4,0))),0))</f>
        <v/>
      </c>
      <c r="BN116" s="257">
        <f>IF(BN$7="Actual","",IFERROR((INDEX($M116:$Q116,,MATCH(BN$4,$M$4:$Q$4,0))),0))</f>
        <v/>
      </c>
      <c r="BO116" s="257">
        <f>IF(BO$7="Actual","",IFERROR((INDEX($M116:$Q116,,MATCH(BO$4,$M$4:$Q$4,0))),0))</f>
        <v/>
      </c>
      <c r="BP116" s="257">
        <f>IF(BP$7="Actual","",IFERROR((INDEX($M116:$Q116,,MATCH(BP$4,$M$4:$Q$4,0))),0))</f>
        <v/>
      </c>
      <c r="BQ116" s="257">
        <f>IF(BQ$7="Actual","",IFERROR((INDEX($M116:$Q116,,MATCH(BQ$4,$M$4:$Q$4,0))),0))</f>
        <v/>
      </c>
      <c r="BR116" s="257">
        <f>IF(BR$7="Actual","",IFERROR((INDEX($M116:$Q116,,MATCH(BR$4,$M$4:$Q$4,0))),0))</f>
        <v/>
      </c>
      <c r="BS116" s="257">
        <f>IF(BS$7="Actual","",IFERROR((INDEX($M116:$Q116,,MATCH(BS$4,$M$4:$Q$4,0))),0))</f>
        <v/>
      </c>
      <c r="BT116" s="257">
        <f>IF(BT$7="Actual","",IFERROR((INDEX($M116:$Q116,,MATCH(BT$4,$M$4:$Q$4,0))),0))</f>
        <v/>
      </c>
      <c r="BU116" s="257">
        <f>IF(BU$7="Actual","",IFERROR((INDEX($M116:$Q116,,MATCH(BU$4,$M$4:$Q$4,0))),0))</f>
        <v/>
      </c>
      <c r="BV116" s="257">
        <f>IF(BV$7="Actual","",IFERROR((INDEX($M116:$Q116,,MATCH(BV$4,$M$4:$Q$4,0))),0))</f>
        <v/>
      </c>
      <c r="BW116" s="257">
        <f>IF(BW$7="Actual","",IFERROR((INDEX($M116:$Q116,,MATCH(BW$4,$M$4:$Q$4,0))),0))</f>
        <v/>
      </c>
      <c r="BX116" s="257">
        <f>IF(BX$7="Actual","",IFERROR((INDEX($M116:$Q116,,MATCH(BX$4,$M$4:$Q$4,0))),0))</f>
        <v/>
      </c>
      <c r="BY116" s="257">
        <f>IF(BY$7="Actual","",IFERROR((INDEX($M116:$Q116,,MATCH(BY$4,$M$4:$Q$4,0))),0))</f>
        <v/>
      </c>
      <c r="BZ116" s="257">
        <f>IF(BZ$7="Actual","",IFERROR((INDEX($M116:$Q116,,MATCH(BZ$4,$M$4:$Q$4,0))),0))</f>
        <v/>
      </c>
      <c r="CA116" s="257">
        <f>IF(CA$7="Actual","",IFERROR((INDEX($M116:$Q116,,MATCH(CA$4,$M$4:$Q$4,0))),0))</f>
        <v/>
      </c>
    </row>
    <row r="117" ht="12" customHeight="1" s="227">
      <c r="A117" s="244" t="n"/>
      <c r="B117" s="244" t="n"/>
      <c r="C117" s="244" t="n"/>
      <c r="H117" s="0">
        <f>i_Setup!U80</f>
        <v/>
      </c>
      <c r="I117" s="27">
        <f>i_Setup!$M$16</f>
        <v/>
      </c>
      <c r="K117" s="6" t="n"/>
      <c r="M117" s="257">
        <f>IF(M$7="Actual","",i_Assumptions!M80)</f>
        <v/>
      </c>
      <c r="N117" s="257">
        <f>IF(N$7="Actual","",i_Assumptions!N80)</f>
        <v/>
      </c>
      <c r="O117" s="257">
        <f>IF(O$7="Actual","",i_Assumptions!O80)</f>
        <v/>
      </c>
      <c r="P117" s="257">
        <f>IF(P$7="Actual","",i_Assumptions!P80)</f>
        <v/>
      </c>
      <c r="Q117" s="257">
        <f>IF(Q$7="Actual","",i_Assumptions!Q80)</f>
        <v/>
      </c>
      <c r="T117" s="257">
        <f>IF(T$7="Actual","",IFERROR((INDEX($M117:$Q117,,MATCH(T$4,$M$4:$Q$4,0))),0))</f>
        <v/>
      </c>
      <c r="U117" s="257">
        <f>IF(U$7="Actual","",IFERROR((INDEX($M117:$Q117,,MATCH(U$4,$M$4:$Q$4,0))),0))</f>
        <v/>
      </c>
      <c r="V117" s="257">
        <f>IF(V$7="Actual","",IFERROR((INDEX($M117:$Q117,,MATCH(V$4,$M$4:$Q$4,0))),0))</f>
        <v/>
      </c>
      <c r="W117" s="257">
        <f>IF(W$7="Actual","",IFERROR((INDEX($M117:$Q117,,MATCH(W$4,$M$4:$Q$4,0))),0))</f>
        <v/>
      </c>
      <c r="X117" s="257">
        <f>IF(X$7="Actual","",IFERROR((INDEX($M117:$Q117,,MATCH(X$4,$M$4:$Q$4,0))),0))</f>
        <v/>
      </c>
      <c r="Y117" s="257">
        <f>IF(Y$7="Actual","",IFERROR((INDEX($M117:$Q117,,MATCH(Y$4,$M$4:$Q$4,0))),0))</f>
        <v/>
      </c>
      <c r="Z117" s="257">
        <f>IF(Z$7="Actual","",IFERROR((INDEX($M117:$Q117,,MATCH(Z$4,$M$4:$Q$4,0))),0))</f>
        <v/>
      </c>
      <c r="AA117" s="257">
        <f>IF(AA$7="Actual","",IFERROR((INDEX($M117:$Q117,,MATCH(AA$4,$M$4:$Q$4,0))),0))</f>
        <v/>
      </c>
      <c r="AB117" s="257">
        <f>IF(AB$7="Actual","",IFERROR((INDEX($M117:$Q117,,MATCH(AB$4,$M$4:$Q$4,0))),0))</f>
        <v/>
      </c>
      <c r="AC117" s="257">
        <f>IF(AC$7="Actual","",IFERROR((INDEX($M117:$Q117,,MATCH(AC$4,$M$4:$Q$4,0))),0))</f>
        <v/>
      </c>
      <c r="AD117" s="257">
        <f>IF(AD$7="Actual","",IFERROR((INDEX($M117:$Q117,,MATCH(AD$4,$M$4:$Q$4,0))),0))</f>
        <v/>
      </c>
      <c r="AE117" s="257">
        <f>IF(AE$7="Actual","",IFERROR((INDEX($M117:$Q117,,MATCH(AE$4,$M$4:$Q$4,0))),0))</f>
        <v/>
      </c>
      <c r="AF117" s="257">
        <f>IF(AF$7="Actual","",IFERROR((INDEX($M117:$Q117,,MATCH(AF$4,$M$4:$Q$4,0))),0))</f>
        <v/>
      </c>
      <c r="AG117" s="257">
        <f>IF(AG$7="Actual","",IFERROR((INDEX($M117:$Q117,,MATCH(AG$4,$M$4:$Q$4,0))),0))</f>
        <v/>
      </c>
      <c r="AH117" s="257">
        <f>IF(AH$7="Actual","",IFERROR((INDEX($M117:$Q117,,MATCH(AH$4,$M$4:$Q$4,0))),0))</f>
        <v/>
      </c>
      <c r="AI117" s="257">
        <f>IF(AI$7="Actual","",IFERROR((INDEX($M117:$Q117,,MATCH(AI$4,$M$4:$Q$4,0))),0))</f>
        <v/>
      </c>
      <c r="AJ117" s="257">
        <f>IF(AJ$7="Actual","",IFERROR((INDEX($M117:$Q117,,MATCH(AJ$4,$M$4:$Q$4,0))),0))</f>
        <v/>
      </c>
      <c r="AK117" s="257">
        <f>IF(AK$7="Actual","",IFERROR((INDEX($M117:$Q117,,MATCH(AK$4,$M$4:$Q$4,0))),0))</f>
        <v/>
      </c>
      <c r="AL117" s="257">
        <f>IF(AL$7="Actual","",IFERROR((INDEX($M117:$Q117,,MATCH(AL$4,$M$4:$Q$4,0))),0))</f>
        <v/>
      </c>
      <c r="AM117" s="257">
        <f>IF(AM$7="Actual","",IFERROR((INDEX($M117:$Q117,,MATCH(AM$4,$M$4:$Q$4,0))),0))</f>
        <v/>
      </c>
      <c r="AN117" s="257">
        <f>IF(AN$7="Actual","",IFERROR((INDEX($M117:$Q117,,MATCH(AN$4,$M$4:$Q$4,0))),0))</f>
        <v/>
      </c>
      <c r="AO117" s="257">
        <f>IF(AO$7="Actual","",IFERROR((INDEX($M117:$Q117,,MATCH(AO$4,$M$4:$Q$4,0))),0))</f>
        <v/>
      </c>
      <c r="AP117" s="257">
        <f>IF(AP$7="Actual","",IFERROR((INDEX($M117:$Q117,,MATCH(AP$4,$M$4:$Q$4,0))),0))</f>
        <v/>
      </c>
      <c r="AQ117" s="257">
        <f>IF(AQ$7="Actual","",IFERROR((INDEX($M117:$Q117,,MATCH(AQ$4,$M$4:$Q$4,0))),0))</f>
        <v/>
      </c>
      <c r="AR117" s="257">
        <f>IF(AR$7="Actual","",IFERROR((INDEX($M117:$Q117,,MATCH(AR$4,$M$4:$Q$4,0))),0))</f>
        <v/>
      </c>
      <c r="AS117" s="257">
        <f>IF(AS$7="Actual","",IFERROR((INDEX($M117:$Q117,,MATCH(AS$4,$M$4:$Q$4,0))),0))</f>
        <v/>
      </c>
      <c r="AT117" s="257">
        <f>IF(AT$7="Actual","",IFERROR((INDEX($M117:$Q117,,MATCH(AT$4,$M$4:$Q$4,0))),0))</f>
        <v/>
      </c>
      <c r="AU117" s="257">
        <f>IF(AU$7="Actual","",IFERROR((INDEX($M117:$Q117,,MATCH(AU$4,$M$4:$Q$4,0))),0))</f>
        <v/>
      </c>
      <c r="AV117" s="257">
        <f>IF(AV$7="Actual","",IFERROR((INDEX($M117:$Q117,,MATCH(AV$4,$M$4:$Q$4,0))),0))</f>
        <v/>
      </c>
      <c r="AW117" s="257">
        <f>IF(AW$7="Actual","",IFERROR((INDEX($M117:$Q117,,MATCH(AW$4,$M$4:$Q$4,0))),0))</f>
        <v/>
      </c>
      <c r="AX117" s="257">
        <f>IF(AX$7="Actual","",IFERROR((INDEX($M117:$Q117,,MATCH(AX$4,$M$4:$Q$4,0))),0))</f>
        <v/>
      </c>
      <c r="AY117" s="257">
        <f>IF(AY$7="Actual","",IFERROR((INDEX($M117:$Q117,,MATCH(AY$4,$M$4:$Q$4,0))),0))</f>
        <v/>
      </c>
      <c r="AZ117" s="257">
        <f>IF(AZ$7="Actual","",IFERROR((INDEX($M117:$Q117,,MATCH(AZ$4,$M$4:$Q$4,0))),0))</f>
        <v/>
      </c>
      <c r="BA117" s="257">
        <f>IF(BA$7="Actual","",IFERROR((INDEX($M117:$Q117,,MATCH(BA$4,$M$4:$Q$4,0))),0))</f>
        <v/>
      </c>
      <c r="BB117" s="257">
        <f>IF(BB$7="Actual","",IFERROR((INDEX($M117:$Q117,,MATCH(BB$4,$M$4:$Q$4,0))),0))</f>
        <v/>
      </c>
      <c r="BC117" s="257">
        <f>IF(BC$7="Actual","",IFERROR((INDEX($M117:$Q117,,MATCH(BC$4,$M$4:$Q$4,0))),0))</f>
        <v/>
      </c>
      <c r="BD117" s="257">
        <f>IF(BD$7="Actual","",IFERROR((INDEX($M117:$Q117,,MATCH(BD$4,$M$4:$Q$4,0))),0))</f>
        <v/>
      </c>
      <c r="BE117" s="257">
        <f>IF(BE$7="Actual","",IFERROR((INDEX($M117:$Q117,,MATCH(BE$4,$M$4:$Q$4,0))),0))</f>
        <v/>
      </c>
      <c r="BF117" s="257">
        <f>IF(BF$7="Actual","",IFERROR((INDEX($M117:$Q117,,MATCH(BF$4,$M$4:$Q$4,0))),0))</f>
        <v/>
      </c>
      <c r="BG117" s="257">
        <f>IF(BG$7="Actual","",IFERROR((INDEX($M117:$Q117,,MATCH(BG$4,$M$4:$Q$4,0))),0))</f>
        <v/>
      </c>
      <c r="BH117" s="257">
        <f>IF(BH$7="Actual","",IFERROR((INDEX($M117:$Q117,,MATCH(BH$4,$M$4:$Q$4,0))),0))</f>
        <v/>
      </c>
      <c r="BI117" s="257">
        <f>IF(BI$7="Actual","",IFERROR((INDEX($M117:$Q117,,MATCH(BI$4,$M$4:$Q$4,0))),0))</f>
        <v/>
      </c>
      <c r="BJ117" s="257">
        <f>IF(BJ$7="Actual","",IFERROR((INDEX($M117:$Q117,,MATCH(BJ$4,$M$4:$Q$4,0))),0))</f>
        <v/>
      </c>
      <c r="BK117" s="257">
        <f>IF(BK$7="Actual","",IFERROR((INDEX($M117:$Q117,,MATCH(BK$4,$M$4:$Q$4,0))),0))</f>
        <v/>
      </c>
      <c r="BL117" s="257">
        <f>IF(BL$7="Actual","",IFERROR((INDEX($M117:$Q117,,MATCH(BL$4,$M$4:$Q$4,0))),0))</f>
        <v/>
      </c>
      <c r="BM117" s="257">
        <f>IF(BM$7="Actual","",IFERROR((INDEX($M117:$Q117,,MATCH(BM$4,$M$4:$Q$4,0))),0))</f>
        <v/>
      </c>
      <c r="BN117" s="257">
        <f>IF(BN$7="Actual","",IFERROR((INDEX($M117:$Q117,,MATCH(BN$4,$M$4:$Q$4,0))),0))</f>
        <v/>
      </c>
      <c r="BO117" s="257">
        <f>IF(BO$7="Actual","",IFERROR((INDEX($M117:$Q117,,MATCH(BO$4,$M$4:$Q$4,0))),0))</f>
        <v/>
      </c>
      <c r="BP117" s="257">
        <f>IF(BP$7="Actual","",IFERROR((INDEX($M117:$Q117,,MATCH(BP$4,$M$4:$Q$4,0))),0))</f>
        <v/>
      </c>
      <c r="BQ117" s="257">
        <f>IF(BQ$7="Actual","",IFERROR((INDEX($M117:$Q117,,MATCH(BQ$4,$M$4:$Q$4,0))),0))</f>
        <v/>
      </c>
      <c r="BR117" s="257">
        <f>IF(BR$7="Actual","",IFERROR((INDEX($M117:$Q117,,MATCH(BR$4,$M$4:$Q$4,0))),0))</f>
        <v/>
      </c>
      <c r="BS117" s="257">
        <f>IF(BS$7="Actual","",IFERROR((INDEX($M117:$Q117,,MATCH(BS$4,$M$4:$Q$4,0))),0))</f>
        <v/>
      </c>
      <c r="BT117" s="257">
        <f>IF(BT$7="Actual","",IFERROR((INDEX($M117:$Q117,,MATCH(BT$4,$M$4:$Q$4,0))),0))</f>
        <v/>
      </c>
      <c r="BU117" s="257">
        <f>IF(BU$7="Actual","",IFERROR((INDEX($M117:$Q117,,MATCH(BU$4,$M$4:$Q$4,0))),0))</f>
        <v/>
      </c>
      <c r="BV117" s="257">
        <f>IF(BV$7="Actual","",IFERROR((INDEX($M117:$Q117,,MATCH(BV$4,$M$4:$Q$4,0))),0))</f>
        <v/>
      </c>
      <c r="BW117" s="257">
        <f>IF(BW$7="Actual","",IFERROR((INDEX($M117:$Q117,,MATCH(BW$4,$M$4:$Q$4,0))),0))</f>
        <v/>
      </c>
      <c r="BX117" s="257">
        <f>IF(BX$7="Actual","",IFERROR((INDEX($M117:$Q117,,MATCH(BX$4,$M$4:$Q$4,0))),0))</f>
        <v/>
      </c>
      <c r="BY117" s="257">
        <f>IF(BY$7="Actual","",IFERROR((INDEX($M117:$Q117,,MATCH(BY$4,$M$4:$Q$4,0))),0))</f>
        <v/>
      </c>
      <c r="BZ117" s="257">
        <f>IF(BZ$7="Actual","",IFERROR((INDEX($M117:$Q117,,MATCH(BZ$4,$M$4:$Q$4,0))),0))</f>
        <v/>
      </c>
      <c r="CA117" s="257">
        <f>IF(CA$7="Actual","",IFERROR((INDEX($M117:$Q117,,MATCH(CA$4,$M$4:$Q$4,0))),0))</f>
        <v/>
      </c>
    </row>
    <row r="118" ht="12" customHeight="1" s="227">
      <c r="A118" s="244" t="n"/>
      <c r="B118" s="244" t="n"/>
      <c r="C118" s="244" t="n"/>
      <c r="H118" s="0">
        <f>i_Setup!U81</f>
        <v/>
      </c>
      <c r="I118" s="27">
        <f>i_Setup!$M$16</f>
        <v/>
      </c>
      <c r="K118" s="6" t="n"/>
      <c r="M118" s="257">
        <f>IF(M$7="Actual","",i_Assumptions!M81)</f>
        <v/>
      </c>
      <c r="N118" s="257">
        <f>IF(N$7="Actual","",i_Assumptions!N81)</f>
        <v/>
      </c>
      <c r="O118" s="257">
        <f>IF(O$7="Actual","",i_Assumptions!O81)</f>
        <v/>
      </c>
      <c r="P118" s="257">
        <f>IF(P$7="Actual","",i_Assumptions!P81)</f>
        <v/>
      </c>
      <c r="Q118" s="257">
        <f>IF(Q$7="Actual","",i_Assumptions!Q81)</f>
        <v/>
      </c>
      <c r="T118" s="257">
        <f>IF(T$7="Actual","",IFERROR((INDEX($M118:$Q118,,MATCH(T$4,$M$4:$Q$4,0))),0))</f>
        <v/>
      </c>
      <c r="U118" s="257">
        <f>IF(U$7="Actual","",IFERROR((INDEX($M118:$Q118,,MATCH(U$4,$M$4:$Q$4,0))),0))</f>
        <v/>
      </c>
      <c r="V118" s="257">
        <f>IF(V$7="Actual","",IFERROR((INDEX($M118:$Q118,,MATCH(V$4,$M$4:$Q$4,0))),0))</f>
        <v/>
      </c>
      <c r="W118" s="257">
        <f>IF(W$7="Actual","",IFERROR((INDEX($M118:$Q118,,MATCH(W$4,$M$4:$Q$4,0))),0))</f>
        <v/>
      </c>
      <c r="X118" s="257">
        <f>IF(X$7="Actual","",IFERROR((INDEX($M118:$Q118,,MATCH(X$4,$M$4:$Q$4,0))),0))</f>
        <v/>
      </c>
      <c r="Y118" s="257">
        <f>IF(Y$7="Actual","",IFERROR((INDEX($M118:$Q118,,MATCH(Y$4,$M$4:$Q$4,0))),0))</f>
        <v/>
      </c>
      <c r="Z118" s="257">
        <f>IF(Z$7="Actual","",IFERROR((INDEX($M118:$Q118,,MATCH(Z$4,$M$4:$Q$4,0))),0))</f>
        <v/>
      </c>
      <c r="AA118" s="257">
        <f>IF(AA$7="Actual","",IFERROR((INDEX($M118:$Q118,,MATCH(AA$4,$M$4:$Q$4,0))),0))</f>
        <v/>
      </c>
      <c r="AB118" s="257">
        <f>IF(AB$7="Actual","",IFERROR((INDEX($M118:$Q118,,MATCH(AB$4,$M$4:$Q$4,0))),0))</f>
        <v/>
      </c>
      <c r="AC118" s="257">
        <f>IF(AC$7="Actual","",IFERROR((INDEX($M118:$Q118,,MATCH(AC$4,$M$4:$Q$4,0))),0))</f>
        <v/>
      </c>
      <c r="AD118" s="257">
        <f>IF(AD$7="Actual","",IFERROR((INDEX($M118:$Q118,,MATCH(AD$4,$M$4:$Q$4,0))),0))</f>
        <v/>
      </c>
      <c r="AE118" s="257">
        <f>IF(AE$7="Actual","",IFERROR((INDEX($M118:$Q118,,MATCH(AE$4,$M$4:$Q$4,0))),0))</f>
        <v/>
      </c>
      <c r="AF118" s="257">
        <f>IF(AF$7="Actual","",IFERROR((INDEX($M118:$Q118,,MATCH(AF$4,$M$4:$Q$4,0))),0))</f>
        <v/>
      </c>
      <c r="AG118" s="257">
        <f>IF(AG$7="Actual","",IFERROR((INDEX($M118:$Q118,,MATCH(AG$4,$M$4:$Q$4,0))),0))</f>
        <v/>
      </c>
      <c r="AH118" s="257">
        <f>IF(AH$7="Actual","",IFERROR((INDEX($M118:$Q118,,MATCH(AH$4,$M$4:$Q$4,0))),0))</f>
        <v/>
      </c>
      <c r="AI118" s="257">
        <f>IF(AI$7="Actual","",IFERROR((INDEX($M118:$Q118,,MATCH(AI$4,$M$4:$Q$4,0))),0))</f>
        <v/>
      </c>
      <c r="AJ118" s="257">
        <f>IF(AJ$7="Actual","",IFERROR((INDEX($M118:$Q118,,MATCH(AJ$4,$M$4:$Q$4,0))),0))</f>
        <v/>
      </c>
      <c r="AK118" s="257">
        <f>IF(AK$7="Actual","",IFERROR((INDEX($M118:$Q118,,MATCH(AK$4,$M$4:$Q$4,0))),0))</f>
        <v/>
      </c>
      <c r="AL118" s="257">
        <f>IF(AL$7="Actual","",IFERROR((INDEX($M118:$Q118,,MATCH(AL$4,$M$4:$Q$4,0))),0))</f>
        <v/>
      </c>
      <c r="AM118" s="257">
        <f>IF(AM$7="Actual","",IFERROR((INDEX($M118:$Q118,,MATCH(AM$4,$M$4:$Q$4,0))),0))</f>
        <v/>
      </c>
      <c r="AN118" s="257">
        <f>IF(AN$7="Actual","",IFERROR((INDEX($M118:$Q118,,MATCH(AN$4,$M$4:$Q$4,0))),0))</f>
        <v/>
      </c>
      <c r="AO118" s="257">
        <f>IF(AO$7="Actual","",IFERROR((INDEX($M118:$Q118,,MATCH(AO$4,$M$4:$Q$4,0))),0))</f>
        <v/>
      </c>
      <c r="AP118" s="257">
        <f>IF(AP$7="Actual","",IFERROR((INDEX($M118:$Q118,,MATCH(AP$4,$M$4:$Q$4,0))),0))</f>
        <v/>
      </c>
      <c r="AQ118" s="257">
        <f>IF(AQ$7="Actual","",IFERROR((INDEX($M118:$Q118,,MATCH(AQ$4,$M$4:$Q$4,0))),0))</f>
        <v/>
      </c>
      <c r="AR118" s="257">
        <f>IF(AR$7="Actual","",IFERROR((INDEX($M118:$Q118,,MATCH(AR$4,$M$4:$Q$4,0))),0))</f>
        <v/>
      </c>
      <c r="AS118" s="257">
        <f>IF(AS$7="Actual","",IFERROR((INDEX($M118:$Q118,,MATCH(AS$4,$M$4:$Q$4,0))),0))</f>
        <v/>
      </c>
      <c r="AT118" s="257">
        <f>IF(AT$7="Actual","",IFERROR((INDEX($M118:$Q118,,MATCH(AT$4,$M$4:$Q$4,0))),0))</f>
        <v/>
      </c>
      <c r="AU118" s="257">
        <f>IF(AU$7="Actual","",IFERROR((INDEX($M118:$Q118,,MATCH(AU$4,$M$4:$Q$4,0))),0))</f>
        <v/>
      </c>
      <c r="AV118" s="257">
        <f>IF(AV$7="Actual","",IFERROR((INDEX($M118:$Q118,,MATCH(AV$4,$M$4:$Q$4,0))),0))</f>
        <v/>
      </c>
      <c r="AW118" s="257">
        <f>IF(AW$7="Actual","",IFERROR((INDEX($M118:$Q118,,MATCH(AW$4,$M$4:$Q$4,0))),0))</f>
        <v/>
      </c>
      <c r="AX118" s="257">
        <f>IF(AX$7="Actual","",IFERROR((INDEX($M118:$Q118,,MATCH(AX$4,$M$4:$Q$4,0))),0))</f>
        <v/>
      </c>
      <c r="AY118" s="257">
        <f>IF(AY$7="Actual","",IFERROR((INDEX($M118:$Q118,,MATCH(AY$4,$M$4:$Q$4,0))),0))</f>
        <v/>
      </c>
      <c r="AZ118" s="257">
        <f>IF(AZ$7="Actual","",IFERROR((INDEX($M118:$Q118,,MATCH(AZ$4,$M$4:$Q$4,0))),0))</f>
        <v/>
      </c>
      <c r="BA118" s="257">
        <f>IF(BA$7="Actual","",IFERROR((INDEX($M118:$Q118,,MATCH(BA$4,$M$4:$Q$4,0))),0))</f>
        <v/>
      </c>
      <c r="BB118" s="257">
        <f>IF(BB$7="Actual","",IFERROR((INDEX($M118:$Q118,,MATCH(BB$4,$M$4:$Q$4,0))),0))</f>
        <v/>
      </c>
      <c r="BC118" s="257">
        <f>IF(BC$7="Actual","",IFERROR((INDEX($M118:$Q118,,MATCH(BC$4,$M$4:$Q$4,0))),0))</f>
        <v/>
      </c>
      <c r="BD118" s="257">
        <f>IF(BD$7="Actual","",IFERROR((INDEX($M118:$Q118,,MATCH(BD$4,$M$4:$Q$4,0))),0))</f>
        <v/>
      </c>
      <c r="BE118" s="257">
        <f>IF(BE$7="Actual","",IFERROR((INDEX($M118:$Q118,,MATCH(BE$4,$M$4:$Q$4,0))),0))</f>
        <v/>
      </c>
      <c r="BF118" s="257">
        <f>IF(BF$7="Actual","",IFERROR((INDEX($M118:$Q118,,MATCH(BF$4,$M$4:$Q$4,0))),0))</f>
        <v/>
      </c>
      <c r="BG118" s="257">
        <f>IF(BG$7="Actual","",IFERROR((INDEX($M118:$Q118,,MATCH(BG$4,$M$4:$Q$4,0))),0))</f>
        <v/>
      </c>
      <c r="BH118" s="257">
        <f>IF(BH$7="Actual","",IFERROR((INDEX($M118:$Q118,,MATCH(BH$4,$M$4:$Q$4,0))),0))</f>
        <v/>
      </c>
      <c r="BI118" s="257">
        <f>IF(BI$7="Actual","",IFERROR((INDEX($M118:$Q118,,MATCH(BI$4,$M$4:$Q$4,0))),0))</f>
        <v/>
      </c>
      <c r="BJ118" s="257">
        <f>IF(BJ$7="Actual","",IFERROR((INDEX($M118:$Q118,,MATCH(BJ$4,$M$4:$Q$4,0))),0))</f>
        <v/>
      </c>
      <c r="BK118" s="257">
        <f>IF(BK$7="Actual","",IFERROR((INDEX($M118:$Q118,,MATCH(BK$4,$M$4:$Q$4,0))),0))</f>
        <v/>
      </c>
      <c r="BL118" s="257">
        <f>IF(BL$7="Actual","",IFERROR((INDEX($M118:$Q118,,MATCH(BL$4,$M$4:$Q$4,0))),0))</f>
        <v/>
      </c>
      <c r="BM118" s="257">
        <f>IF(BM$7="Actual","",IFERROR((INDEX($M118:$Q118,,MATCH(BM$4,$M$4:$Q$4,0))),0))</f>
        <v/>
      </c>
      <c r="BN118" s="257">
        <f>IF(BN$7="Actual","",IFERROR((INDEX($M118:$Q118,,MATCH(BN$4,$M$4:$Q$4,0))),0))</f>
        <v/>
      </c>
      <c r="BO118" s="257">
        <f>IF(BO$7="Actual","",IFERROR((INDEX($M118:$Q118,,MATCH(BO$4,$M$4:$Q$4,0))),0))</f>
        <v/>
      </c>
      <c r="BP118" s="257">
        <f>IF(BP$7="Actual","",IFERROR((INDEX($M118:$Q118,,MATCH(BP$4,$M$4:$Q$4,0))),0))</f>
        <v/>
      </c>
      <c r="BQ118" s="257">
        <f>IF(BQ$7="Actual","",IFERROR((INDEX($M118:$Q118,,MATCH(BQ$4,$M$4:$Q$4,0))),0))</f>
        <v/>
      </c>
      <c r="BR118" s="257">
        <f>IF(BR$7="Actual","",IFERROR((INDEX($M118:$Q118,,MATCH(BR$4,$M$4:$Q$4,0))),0))</f>
        <v/>
      </c>
      <c r="BS118" s="257">
        <f>IF(BS$7="Actual","",IFERROR((INDEX($M118:$Q118,,MATCH(BS$4,$M$4:$Q$4,0))),0))</f>
        <v/>
      </c>
      <c r="BT118" s="257">
        <f>IF(BT$7="Actual","",IFERROR((INDEX($M118:$Q118,,MATCH(BT$4,$M$4:$Q$4,0))),0))</f>
        <v/>
      </c>
      <c r="BU118" s="257">
        <f>IF(BU$7="Actual","",IFERROR((INDEX($M118:$Q118,,MATCH(BU$4,$M$4:$Q$4,0))),0))</f>
        <v/>
      </c>
      <c r="BV118" s="257">
        <f>IF(BV$7="Actual","",IFERROR((INDEX($M118:$Q118,,MATCH(BV$4,$M$4:$Q$4,0))),0))</f>
        <v/>
      </c>
      <c r="BW118" s="257">
        <f>IF(BW$7="Actual","",IFERROR((INDEX($M118:$Q118,,MATCH(BW$4,$M$4:$Q$4,0))),0))</f>
        <v/>
      </c>
      <c r="BX118" s="257">
        <f>IF(BX$7="Actual","",IFERROR((INDEX($M118:$Q118,,MATCH(BX$4,$M$4:$Q$4,0))),0))</f>
        <v/>
      </c>
      <c r="BY118" s="257">
        <f>IF(BY$7="Actual","",IFERROR((INDEX($M118:$Q118,,MATCH(BY$4,$M$4:$Q$4,0))),0))</f>
        <v/>
      </c>
      <c r="BZ118" s="257">
        <f>IF(BZ$7="Actual","",IFERROR((INDEX($M118:$Q118,,MATCH(BZ$4,$M$4:$Q$4,0))),0))</f>
        <v/>
      </c>
      <c r="CA118" s="257">
        <f>IF(CA$7="Actual","",IFERROR((INDEX($M118:$Q118,,MATCH(CA$4,$M$4:$Q$4,0))),0))</f>
        <v/>
      </c>
    </row>
    <row r="119" ht="12" customHeight="1" s="227">
      <c r="A119" s="244" t="n"/>
      <c r="B119" s="244" t="n"/>
      <c r="C119" s="244" t="n"/>
      <c r="H119" s="0">
        <f>i_Setup!U82</f>
        <v/>
      </c>
      <c r="I119" s="27">
        <f>i_Setup!$M$16</f>
        <v/>
      </c>
      <c r="K119" s="6" t="n"/>
      <c r="M119" s="257">
        <f>IF(M$7="Actual","",i_Assumptions!M82)</f>
        <v/>
      </c>
      <c r="N119" s="257">
        <f>IF(N$7="Actual","",i_Assumptions!N82)</f>
        <v/>
      </c>
      <c r="O119" s="257">
        <f>IF(O$7="Actual","",i_Assumptions!O82)</f>
        <v/>
      </c>
      <c r="P119" s="257">
        <f>IF(P$7="Actual","",i_Assumptions!P82)</f>
        <v/>
      </c>
      <c r="Q119" s="257">
        <f>IF(Q$7="Actual","",i_Assumptions!Q82)</f>
        <v/>
      </c>
      <c r="T119" s="257">
        <f>IF(T$7="Actual","",IFERROR((INDEX($M119:$Q119,,MATCH(T$4,$M$4:$Q$4,0))),0))</f>
        <v/>
      </c>
      <c r="U119" s="257">
        <f>IF(U$7="Actual","",IFERROR((INDEX($M119:$Q119,,MATCH(U$4,$M$4:$Q$4,0))),0))</f>
        <v/>
      </c>
      <c r="V119" s="257">
        <f>IF(V$7="Actual","",IFERROR((INDEX($M119:$Q119,,MATCH(V$4,$M$4:$Q$4,0))),0))</f>
        <v/>
      </c>
      <c r="W119" s="257">
        <f>IF(W$7="Actual","",IFERROR((INDEX($M119:$Q119,,MATCH(W$4,$M$4:$Q$4,0))),0))</f>
        <v/>
      </c>
      <c r="X119" s="257">
        <f>IF(X$7="Actual","",IFERROR((INDEX($M119:$Q119,,MATCH(X$4,$M$4:$Q$4,0))),0))</f>
        <v/>
      </c>
      <c r="Y119" s="257">
        <f>IF(Y$7="Actual","",IFERROR((INDEX($M119:$Q119,,MATCH(Y$4,$M$4:$Q$4,0))),0))</f>
        <v/>
      </c>
      <c r="Z119" s="257">
        <f>IF(Z$7="Actual","",IFERROR((INDEX($M119:$Q119,,MATCH(Z$4,$M$4:$Q$4,0))),0))</f>
        <v/>
      </c>
      <c r="AA119" s="257">
        <f>IF(AA$7="Actual","",IFERROR((INDEX($M119:$Q119,,MATCH(AA$4,$M$4:$Q$4,0))),0))</f>
        <v/>
      </c>
      <c r="AB119" s="257">
        <f>IF(AB$7="Actual","",IFERROR((INDEX($M119:$Q119,,MATCH(AB$4,$M$4:$Q$4,0))),0))</f>
        <v/>
      </c>
      <c r="AC119" s="257">
        <f>IF(AC$7="Actual","",IFERROR((INDEX($M119:$Q119,,MATCH(AC$4,$M$4:$Q$4,0))),0))</f>
        <v/>
      </c>
      <c r="AD119" s="257">
        <f>IF(AD$7="Actual","",IFERROR((INDEX($M119:$Q119,,MATCH(AD$4,$M$4:$Q$4,0))),0))</f>
        <v/>
      </c>
      <c r="AE119" s="257">
        <f>IF(AE$7="Actual","",IFERROR((INDEX($M119:$Q119,,MATCH(AE$4,$M$4:$Q$4,0))),0))</f>
        <v/>
      </c>
      <c r="AF119" s="257">
        <f>IF(AF$7="Actual","",IFERROR((INDEX($M119:$Q119,,MATCH(AF$4,$M$4:$Q$4,0))),0))</f>
        <v/>
      </c>
      <c r="AG119" s="257">
        <f>IF(AG$7="Actual","",IFERROR((INDEX($M119:$Q119,,MATCH(AG$4,$M$4:$Q$4,0))),0))</f>
        <v/>
      </c>
      <c r="AH119" s="257">
        <f>IF(AH$7="Actual","",IFERROR((INDEX($M119:$Q119,,MATCH(AH$4,$M$4:$Q$4,0))),0))</f>
        <v/>
      </c>
      <c r="AI119" s="257">
        <f>IF(AI$7="Actual","",IFERROR((INDEX($M119:$Q119,,MATCH(AI$4,$M$4:$Q$4,0))),0))</f>
        <v/>
      </c>
      <c r="AJ119" s="257">
        <f>IF(AJ$7="Actual","",IFERROR((INDEX($M119:$Q119,,MATCH(AJ$4,$M$4:$Q$4,0))),0))</f>
        <v/>
      </c>
      <c r="AK119" s="257">
        <f>IF(AK$7="Actual","",IFERROR((INDEX($M119:$Q119,,MATCH(AK$4,$M$4:$Q$4,0))),0))</f>
        <v/>
      </c>
      <c r="AL119" s="257">
        <f>IF(AL$7="Actual","",IFERROR((INDEX($M119:$Q119,,MATCH(AL$4,$M$4:$Q$4,0))),0))</f>
        <v/>
      </c>
      <c r="AM119" s="257">
        <f>IF(AM$7="Actual","",IFERROR((INDEX($M119:$Q119,,MATCH(AM$4,$M$4:$Q$4,0))),0))</f>
        <v/>
      </c>
      <c r="AN119" s="257">
        <f>IF(AN$7="Actual","",IFERROR((INDEX($M119:$Q119,,MATCH(AN$4,$M$4:$Q$4,0))),0))</f>
        <v/>
      </c>
      <c r="AO119" s="257">
        <f>IF(AO$7="Actual","",IFERROR((INDEX($M119:$Q119,,MATCH(AO$4,$M$4:$Q$4,0))),0))</f>
        <v/>
      </c>
      <c r="AP119" s="257">
        <f>IF(AP$7="Actual","",IFERROR((INDEX($M119:$Q119,,MATCH(AP$4,$M$4:$Q$4,0))),0))</f>
        <v/>
      </c>
      <c r="AQ119" s="257">
        <f>IF(AQ$7="Actual","",IFERROR((INDEX($M119:$Q119,,MATCH(AQ$4,$M$4:$Q$4,0))),0))</f>
        <v/>
      </c>
      <c r="AR119" s="257">
        <f>IF(AR$7="Actual","",IFERROR((INDEX($M119:$Q119,,MATCH(AR$4,$M$4:$Q$4,0))),0))</f>
        <v/>
      </c>
      <c r="AS119" s="257">
        <f>IF(AS$7="Actual","",IFERROR((INDEX($M119:$Q119,,MATCH(AS$4,$M$4:$Q$4,0))),0))</f>
        <v/>
      </c>
      <c r="AT119" s="257">
        <f>IF(AT$7="Actual","",IFERROR((INDEX($M119:$Q119,,MATCH(AT$4,$M$4:$Q$4,0))),0))</f>
        <v/>
      </c>
      <c r="AU119" s="257">
        <f>IF(AU$7="Actual","",IFERROR((INDEX($M119:$Q119,,MATCH(AU$4,$M$4:$Q$4,0))),0))</f>
        <v/>
      </c>
      <c r="AV119" s="257">
        <f>IF(AV$7="Actual","",IFERROR((INDEX($M119:$Q119,,MATCH(AV$4,$M$4:$Q$4,0))),0))</f>
        <v/>
      </c>
      <c r="AW119" s="257">
        <f>IF(AW$7="Actual","",IFERROR((INDEX($M119:$Q119,,MATCH(AW$4,$M$4:$Q$4,0))),0))</f>
        <v/>
      </c>
      <c r="AX119" s="257">
        <f>IF(AX$7="Actual","",IFERROR((INDEX($M119:$Q119,,MATCH(AX$4,$M$4:$Q$4,0))),0))</f>
        <v/>
      </c>
      <c r="AY119" s="257">
        <f>IF(AY$7="Actual","",IFERROR((INDEX($M119:$Q119,,MATCH(AY$4,$M$4:$Q$4,0))),0))</f>
        <v/>
      </c>
      <c r="AZ119" s="257">
        <f>IF(AZ$7="Actual","",IFERROR((INDEX($M119:$Q119,,MATCH(AZ$4,$M$4:$Q$4,0))),0))</f>
        <v/>
      </c>
      <c r="BA119" s="257">
        <f>IF(BA$7="Actual","",IFERROR((INDEX($M119:$Q119,,MATCH(BA$4,$M$4:$Q$4,0))),0))</f>
        <v/>
      </c>
      <c r="BB119" s="257">
        <f>IF(BB$7="Actual","",IFERROR((INDEX($M119:$Q119,,MATCH(BB$4,$M$4:$Q$4,0))),0))</f>
        <v/>
      </c>
      <c r="BC119" s="257">
        <f>IF(BC$7="Actual","",IFERROR((INDEX($M119:$Q119,,MATCH(BC$4,$M$4:$Q$4,0))),0))</f>
        <v/>
      </c>
      <c r="BD119" s="257">
        <f>IF(BD$7="Actual","",IFERROR((INDEX($M119:$Q119,,MATCH(BD$4,$M$4:$Q$4,0))),0))</f>
        <v/>
      </c>
      <c r="BE119" s="257">
        <f>IF(BE$7="Actual","",IFERROR((INDEX($M119:$Q119,,MATCH(BE$4,$M$4:$Q$4,0))),0))</f>
        <v/>
      </c>
      <c r="BF119" s="257">
        <f>IF(BF$7="Actual","",IFERROR((INDEX($M119:$Q119,,MATCH(BF$4,$M$4:$Q$4,0))),0))</f>
        <v/>
      </c>
      <c r="BG119" s="257">
        <f>IF(BG$7="Actual","",IFERROR((INDEX($M119:$Q119,,MATCH(BG$4,$M$4:$Q$4,0))),0))</f>
        <v/>
      </c>
      <c r="BH119" s="257">
        <f>IF(BH$7="Actual","",IFERROR((INDEX($M119:$Q119,,MATCH(BH$4,$M$4:$Q$4,0))),0))</f>
        <v/>
      </c>
      <c r="BI119" s="257">
        <f>IF(BI$7="Actual","",IFERROR((INDEX($M119:$Q119,,MATCH(BI$4,$M$4:$Q$4,0))),0))</f>
        <v/>
      </c>
      <c r="BJ119" s="257">
        <f>IF(BJ$7="Actual","",IFERROR((INDEX($M119:$Q119,,MATCH(BJ$4,$M$4:$Q$4,0))),0))</f>
        <v/>
      </c>
      <c r="BK119" s="257">
        <f>IF(BK$7="Actual","",IFERROR((INDEX($M119:$Q119,,MATCH(BK$4,$M$4:$Q$4,0))),0))</f>
        <v/>
      </c>
      <c r="BL119" s="257">
        <f>IF(BL$7="Actual","",IFERROR((INDEX($M119:$Q119,,MATCH(BL$4,$M$4:$Q$4,0))),0))</f>
        <v/>
      </c>
      <c r="BM119" s="257">
        <f>IF(BM$7="Actual","",IFERROR((INDEX($M119:$Q119,,MATCH(BM$4,$M$4:$Q$4,0))),0))</f>
        <v/>
      </c>
      <c r="BN119" s="257">
        <f>IF(BN$7="Actual","",IFERROR((INDEX($M119:$Q119,,MATCH(BN$4,$M$4:$Q$4,0))),0))</f>
        <v/>
      </c>
      <c r="BO119" s="257">
        <f>IF(BO$7="Actual","",IFERROR((INDEX($M119:$Q119,,MATCH(BO$4,$M$4:$Q$4,0))),0))</f>
        <v/>
      </c>
      <c r="BP119" s="257">
        <f>IF(BP$7="Actual","",IFERROR((INDEX($M119:$Q119,,MATCH(BP$4,$M$4:$Q$4,0))),0))</f>
        <v/>
      </c>
      <c r="BQ119" s="257">
        <f>IF(BQ$7="Actual","",IFERROR((INDEX($M119:$Q119,,MATCH(BQ$4,$M$4:$Q$4,0))),0))</f>
        <v/>
      </c>
      <c r="BR119" s="257">
        <f>IF(BR$7="Actual","",IFERROR((INDEX($M119:$Q119,,MATCH(BR$4,$M$4:$Q$4,0))),0))</f>
        <v/>
      </c>
      <c r="BS119" s="257">
        <f>IF(BS$7="Actual","",IFERROR((INDEX($M119:$Q119,,MATCH(BS$4,$M$4:$Q$4,0))),0))</f>
        <v/>
      </c>
      <c r="BT119" s="257">
        <f>IF(BT$7="Actual","",IFERROR((INDEX($M119:$Q119,,MATCH(BT$4,$M$4:$Q$4,0))),0))</f>
        <v/>
      </c>
      <c r="BU119" s="257">
        <f>IF(BU$7="Actual","",IFERROR((INDEX($M119:$Q119,,MATCH(BU$4,$M$4:$Q$4,0))),0))</f>
        <v/>
      </c>
      <c r="BV119" s="257">
        <f>IF(BV$7="Actual","",IFERROR((INDEX($M119:$Q119,,MATCH(BV$4,$M$4:$Q$4,0))),0))</f>
        <v/>
      </c>
      <c r="BW119" s="257">
        <f>IF(BW$7="Actual","",IFERROR((INDEX($M119:$Q119,,MATCH(BW$4,$M$4:$Q$4,0))),0))</f>
        <v/>
      </c>
      <c r="BX119" s="257">
        <f>IF(BX$7="Actual","",IFERROR((INDEX($M119:$Q119,,MATCH(BX$4,$M$4:$Q$4,0))),0))</f>
        <v/>
      </c>
      <c r="BY119" s="257">
        <f>IF(BY$7="Actual","",IFERROR((INDEX($M119:$Q119,,MATCH(BY$4,$M$4:$Q$4,0))),0))</f>
        <v/>
      </c>
      <c r="BZ119" s="257">
        <f>IF(BZ$7="Actual","",IFERROR((INDEX($M119:$Q119,,MATCH(BZ$4,$M$4:$Q$4,0))),0))</f>
        <v/>
      </c>
      <c r="CA119" s="257">
        <f>IF(CA$7="Actual","",IFERROR((INDEX($M119:$Q119,,MATCH(CA$4,$M$4:$Q$4,0))),0))</f>
        <v/>
      </c>
    </row>
    <row r="120" ht="12" customHeight="1" s="227">
      <c r="A120" s="244" t="n"/>
      <c r="B120" s="244" t="n"/>
      <c r="C120" s="244" t="n"/>
      <c r="H120" s="0" t="n"/>
      <c r="K120" s="6" t="n"/>
    </row>
    <row r="121" ht="12" customHeight="1" s="227">
      <c r="A121" s="244" t="n"/>
      <c r="B121" s="244" t="n"/>
      <c r="C121" s="244" t="n"/>
      <c r="H121" s="8">
        <f>i_Setup!U33</f>
        <v/>
      </c>
      <c r="K121" s="6" t="n"/>
    </row>
    <row r="122" ht="12" customHeight="1" s="227">
      <c r="A122" s="244" t="n"/>
      <c r="B122" s="244" t="n"/>
      <c r="C122" s="244" t="n"/>
      <c r="H122" s="0">
        <f>H112</f>
        <v/>
      </c>
      <c r="I122" s="27">
        <f>i_Setup!$M$16</f>
        <v/>
      </c>
      <c r="K122" s="6" t="n"/>
      <c r="M122" s="257">
        <f>IF(M$7="Actual","",i_Assumptions!M115)</f>
        <v/>
      </c>
      <c r="N122" s="257">
        <f>IF(N$7="Actual","",i_Assumptions!N115)</f>
        <v/>
      </c>
      <c r="O122" s="257">
        <f>IF(O$7="Actual","",i_Assumptions!O115)</f>
        <v/>
      </c>
      <c r="P122" s="257">
        <f>IF(P$7="Actual","",i_Assumptions!P115)</f>
        <v/>
      </c>
      <c r="Q122" s="257">
        <f>IF(Q$7="Actual","",i_Assumptions!Q115)</f>
        <v/>
      </c>
      <c r="T122" s="257">
        <f>IF(T$7="Actual","",IFERROR((INDEX($M122:$Q122,,MATCH(T$4,$M$4:$Q$4,0))),0))</f>
        <v/>
      </c>
      <c r="U122" s="257">
        <f>IF(U$7="Actual","",IFERROR((INDEX($M122:$Q122,,MATCH(U$4,$M$4:$Q$4,0))),0))</f>
        <v/>
      </c>
      <c r="V122" s="257">
        <f>IF(V$7="Actual","",IFERROR((INDEX($M122:$Q122,,MATCH(V$4,$M$4:$Q$4,0))),0))</f>
        <v/>
      </c>
      <c r="W122" s="257">
        <f>IF(W$7="Actual","",IFERROR((INDEX($M122:$Q122,,MATCH(W$4,$M$4:$Q$4,0))),0))</f>
        <v/>
      </c>
      <c r="X122" s="257">
        <f>IF(X$7="Actual","",IFERROR((INDEX($M122:$Q122,,MATCH(X$4,$M$4:$Q$4,0))),0))</f>
        <v/>
      </c>
      <c r="Y122" s="257">
        <f>IF(Y$7="Actual","",IFERROR((INDEX($M122:$Q122,,MATCH(Y$4,$M$4:$Q$4,0))),0))</f>
        <v/>
      </c>
      <c r="Z122" s="257">
        <f>IF(Z$7="Actual","",IFERROR((INDEX($M122:$Q122,,MATCH(Z$4,$M$4:$Q$4,0))),0))</f>
        <v/>
      </c>
      <c r="AA122" s="257">
        <f>IF(AA$7="Actual","",IFERROR((INDEX($M122:$Q122,,MATCH(AA$4,$M$4:$Q$4,0))),0))</f>
        <v/>
      </c>
      <c r="AB122" s="257">
        <f>IF(AB$7="Actual","",IFERROR((INDEX($M122:$Q122,,MATCH(AB$4,$M$4:$Q$4,0))),0))</f>
        <v/>
      </c>
      <c r="AC122" s="257">
        <f>IF(AC$7="Actual","",IFERROR((INDEX($M122:$Q122,,MATCH(AC$4,$M$4:$Q$4,0))),0))</f>
        <v/>
      </c>
      <c r="AD122" s="257">
        <f>IF(AD$7="Actual","",IFERROR((INDEX($M122:$Q122,,MATCH(AD$4,$M$4:$Q$4,0))),0))</f>
        <v/>
      </c>
      <c r="AE122" s="257">
        <f>IF(AE$7="Actual","",IFERROR((INDEX($M122:$Q122,,MATCH(AE$4,$M$4:$Q$4,0))),0))</f>
        <v/>
      </c>
      <c r="AF122" s="257">
        <f>IF(AF$7="Actual","",IFERROR((INDEX($M122:$Q122,,MATCH(AF$4,$M$4:$Q$4,0))),0))</f>
        <v/>
      </c>
      <c r="AG122" s="257">
        <f>IF(AG$7="Actual","",IFERROR((INDEX($M122:$Q122,,MATCH(AG$4,$M$4:$Q$4,0))),0))</f>
        <v/>
      </c>
      <c r="AH122" s="257">
        <f>IF(AH$7="Actual","",IFERROR((INDEX($M122:$Q122,,MATCH(AH$4,$M$4:$Q$4,0))),0))</f>
        <v/>
      </c>
      <c r="AI122" s="257">
        <f>IF(AI$7="Actual","",IFERROR((INDEX($M122:$Q122,,MATCH(AI$4,$M$4:$Q$4,0))),0))</f>
        <v/>
      </c>
      <c r="AJ122" s="257">
        <f>IF(AJ$7="Actual","",IFERROR((INDEX($M122:$Q122,,MATCH(AJ$4,$M$4:$Q$4,0))),0))</f>
        <v/>
      </c>
      <c r="AK122" s="257">
        <f>IF(AK$7="Actual","",IFERROR((INDEX($M122:$Q122,,MATCH(AK$4,$M$4:$Q$4,0))),0))</f>
        <v/>
      </c>
      <c r="AL122" s="257">
        <f>IF(AL$7="Actual","",IFERROR((INDEX($M122:$Q122,,MATCH(AL$4,$M$4:$Q$4,0))),0))</f>
        <v/>
      </c>
      <c r="AM122" s="257">
        <f>IF(AM$7="Actual","",IFERROR((INDEX($M122:$Q122,,MATCH(AM$4,$M$4:$Q$4,0))),0))</f>
        <v/>
      </c>
      <c r="AN122" s="257">
        <f>IF(AN$7="Actual","",IFERROR((INDEX($M122:$Q122,,MATCH(AN$4,$M$4:$Q$4,0))),0))</f>
        <v/>
      </c>
      <c r="AO122" s="257">
        <f>IF(AO$7="Actual","",IFERROR((INDEX($M122:$Q122,,MATCH(AO$4,$M$4:$Q$4,0))),0))</f>
        <v/>
      </c>
      <c r="AP122" s="257">
        <f>IF(AP$7="Actual","",IFERROR((INDEX($M122:$Q122,,MATCH(AP$4,$M$4:$Q$4,0))),0))</f>
        <v/>
      </c>
      <c r="AQ122" s="257">
        <f>IF(AQ$7="Actual","",IFERROR((INDEX($M122:$Q122,,MATCH(AQ$4,$M$4:$Q$4,0))),0))</f>
        <v/>
      </c>
      <c r="AR122" s="257">
        <f>IF(AR$7="Actual","",IFERROR((INDEX($M122:$Q122,,MATCH(AR$4,$M$4:$Q$4,0))),0))</f>
        <v/>
      </c>
      <c r="AS122" s="257">
        <f>IF(AS$7="Actual","",IFERROR((INDEX($M122:$Q122,,MATCH(AS$4,$M$4:$Q$4,0))),0))</f>
        <v/>
      </c>
      <c r="AT122" s="257">
        <f>IF(AT$7="Actual","",IFERROR((INDEX($M122:$Q122,,MATCH(AT$4,$M$4:$Q$4,0))),0))</f>
        <v/>
      </c>
      <c r="AU122" s="257">
        <f>IF(AU$7="Actual","",IFERROR((INDEX($M122:$Q122,,MATCH(AU$4,$M$4:$Q$4,0))),0))</f>
        <v/>
      </c>
      <c r="AV122" s="257">
        <f>IF(AV$7="Actual","",IFERROR((INDEX($M122:$Q122,,MATCH(AV$4,$M$4:$Q$4,0))),0))</f>
        <v/>
      </c>
      <c r="AW122" s="257">
        <f>IF(AW$7="Actual","",IFERROR((INDEX($M122:$Q122,,MATCH(AW$4,$M$4:$Q$4,0))),0))</f>
        <v/>
      </c>
      <c r="AX122" s="257">
        <f>IF(AX$7="Actual","",IFERROR((INDEX($M122:$Q122,,MATCH(AX$4,$M$4:$Q$4,0))),0))</f>
        <v/>
      </c>
      <c r="AY122" s="257">
        <f>IF(AY$7="Actual","",IFERROR((INDEX($M122:$Q122,,MATCH(AY$4,$M$4:$Q$4,0))),0))</f>
        <v/>
      </c>
      <c r="AZ122" s="257">
        <f>IF(AZ$7="Actual","",IFERROR((INDEX($M122:$Q122,,MATCH(AZ$4,$M$4:$Q$4,0))),0))</f>
        <v/>
      </c>
      <c r="BA122" s="257">
        <f>IF(BA$7="Actual","",IFERROR((INDEX($M122:$Q122,,MATCH(BA$4,$M$4:$Q$4,0))),0))</f>
        <v/>
      </c>
      <c r="BB122" s="257">
        <f>IF(BB$7="Actual","",IFERROR((INDEX($M122:$Q122,,MATCH(BB$4,$M$4:$Q$4,0))),0))</f>
        <v/>
      </c>
      <c r="BC122" s="257">
        <f>IF(BC$7="Actual","",IFERROR((INDEX($M122:$Q122,,MATCH(BC$4,$M$4:$Q$4,0))),0))</f>
        <v/>
      </c>
      <c r="BD122" s="257">
        <f>IF(BD$7="Actual","",IFERROR((INDEX($M122:$Q122,,MATCH(BD$4,$M$4:$Q$4,0))),0))</f>
        <v/>
      </c>
      <c r="BE122" s="257">
        <f>IF(BE$7="Actual","",IFERROR((INDEX($M122:$Q122,,MATCH(BE$4,$M$4:$Q$4,0))),0))</f>
        <v/>
      </c>
      <c r="BF122" s="257">
        <f>IF(BF$7="Actual","",IFERROR((INDEX($M122:$Q122,,MATCH(BF$4,$M$4:$Q$4,0))),0))</f>
        <v/>
      </c>
      <c r="BG122" s="257">
        <f>IF(BG$7="Actual","",IFERROR((INDEX($M122:$Q122,,MATCH(BG$4,$M$4:$Q$4,0))),0))</f>
        <v/>
      </c>
      <c r="BH122" s="257">
        <f>IF(BH$7="Actual","",IFERROR((INDEX($M122:$Q122,,MATCH(BH$4,$M$4:$Q$4,0))),0))</f>
        <v/>
      </c>
      <c r="BI122" s="257">
        <f>IF(BI$7="Actual","",IFERROR((INDEX($M122:$Q122,,MATCH(BI$4,$M$4:$Q$4,0))),0))</f>
        <v/>
      </c>
      <c r="BJ122" s="257">
        <f>IF(BJ$7="Actual","",IFERROR((INDEX($M122:$Q122,,MATCH(BJ$4,$M$4:$Q$4,0))),0))</f>
        <v/>
      </c>
      <c r="BK122" s="257">
        <f>IF(BK$7="Actual","",IFERROR((INDEX($M122:$Q122,,MATCH(BK$4,$M$4:$Q$4,0))),0))</f>
        <v/>
      </c>
      <c r="BL122" s="257">
        <f>IF(BL$7="Actual","",IFERROR((INDEX($M122:$Q122,,MATCH(BL$4,$M$4:$Q$4,0))),0))</f>
        <v/>
      </c>
      <c r="BM122" s="257">
        <f>IF(BM$7="Actual","",IFERROR((INDEX($M122:$Q122,,MATCH(BM$4,$M$4:$Q$4,0))),0))</f>
        <v/>
      </c>
      <c r="BN122" s="257">
        <f>IF(BN$7="Actual","",IFERROR((INDEX($M122:$Q122,,MATCH(BN$4,$M$4:$Q$4,0))),0))</f>
        <v/>
      </c>
      <c r="BO122" s="257">
        <f>IF(BO$7="Actual","",IFERROR((INDEX($M122:$Q122,,MATCH(BO$4,$M$4:$Q$4,0))),0))</f>
        <v/>
      </c>
      <c r="BP122" s="257">
        <f>IF(BP$7="Actual","",IFERROR((INDEX($M122:$Q122,,MATCH(BP$4,$M$4:$Q$4,0))),0))</f>
        <v/>
      </c>
      <c r="BQ122" s="257">
        <f>IF(BQ$7="Actual","",IFERROR((INDEX($M122:$Q122,,MATCH(BQ$4,$M$4:$Q$4,0))),0))</f>
        <v/>
      </c>
      <c r="BR122" s="257">
        <f>IF(BR$7="Actual","",IFERROR((INDEX($M122:$Q122,,MATCH(BR$4,$M$4:$Q$4,0))),0))</f>
        <v/>
      </c>
      <c r="BS122" s="257">
        <f>IF(BS$7="Actual","",IFERROR((INDEX($M122:$Q122,,MATCH(BS$4,$M$4:$Q$4,0))),0))</f>
        <v/>
      </c>
      <c r="BT122" s="257">
        <f>IF(BT$7="Actual","",IFERROR((INDEX($M122:$Q122,,MATCH(BT$4,$M$4:$Q$4,0))),0))</f>
        <v/>
      </c>
      <c r="BU122" s="257">
        <f>IF(BU$7="Actual","",IFERROR((INDEX($M122:$Q122,,MATCH(BU$4,$M$4:$Q$4,0))),0))</f>
        <v/>
      </c>
      <c r="BV122" s="257">
        <f>IF(BV$7="Actual","",IFERROR((INDEX($M122:$Q122,,MATCH(BV$4,$M$4:$Q$4,0))),0))</f>
        <v/>
      </c>
      <c r="BW122" s="257">
        <f>IF(BW$7="Actual","",IFERROR((INDEX($M122:$Q122,,MATCH(BW$4,$M$4:$Q$4,0))),0))</f>
        <v/>
      </c>
      <c r="BX122" s="257">
        <f>IF(BX$7="Actual","",IFERROR((INDEX($M122:$Q122,,MATCH(BX$4,$M$4:$Q$4,0))),0))</f>
        <v/>
      </c>
      <c r="BY122" s="257">
        <f>IF(BY$7="Actual","",IFERROR((INDEX($M122:$Q122,,MATCH(BY$4,$M$4:$Q$4,0))),0))</f>
        <v/>
      </c>
      <c r="BZ122" s="257">
        <f>IF(BZ$7="Actual","",IFERROR((INDEX($M122:$Q122,,MATCH(BZ$4,$M$4:$Q$4,0))),0))</f>
        <v/>
      </c>
      <c r="CA122" s="257">
        <f>IF(CA$7="Actual","",IFERROR((INDEX($M122:$Q122,,MATCH(CA$4,$M$4:$Q$4,0))),0))</f>
        <v/>
      </c>
    </row>
    <row r="123" ht="12" customHeight="1" s="227">
      <c r="A123" s="244" t="n"/>
      <c r="B123" s="244" t="n"/>
      <c r="C123" s="244" t="n"/>
      <c r="H123" s="0">
        <f>H113</f>
        <v/>
      </c>
      <c r="I123" s="27">
        <f>i_Setup!$M$16</f>
        <v/>
      </c>
      <c r="K123" s="6" t="n"/>
      <c r="M123" s="257">
        <f>IF(M$7="Actual","",i_Assumptions!M116)</f>
        <v/>
      </c>
      <c r="N123" s="257">
        <f>IF(N$7="Actual","",i_Assumptions!N116)</f>
        <v/>
      </c>
      <c r="O123" s="257">
        <f>IF(O$7="Actual","",i_Assumptions!O116)</f>
        <v/>
      </c>
      <c r="P123" s="257">
        <f>IF(P$7="Actual","",i_Assumptions!P116)</f>
        <v/>
      </c>
      <c r="Q123" s="257">
        <f>IF(Q$7="Actual","",i_Assumptions!Q116)</f>
        <v/>
      </c>
      <c r="T123" s="257">
        <f>IF(T$7="Actual","",IFERROR((INDEX($M123:$Q123,,MATCH(T$4,$M$4:$Q$4,0))),0))</f>
        <v/>
      </c>
      <c r="U123" s="257">
        <f>IF(U$7="Actual","",IFERROR((INDEX($M123:$Q123,,MATCH(U$4,$M$4:$Q$4,0))),0))</f>
        <v/>
      </c>
      <c r="V123" s="257">
        <f>IF(V$7="Actual","",IFERROR((INDEX($M123:$Q123,,MATCH(V$4,$M$4:$Q$4,0))),0))</f>
        <v/>
      </c>
      <c r="W123" s="257">
        <f>IF(W$7="Actual","",IFERROR((INDEX($M123:$Q123,,MATCH(W$4,$M$4:$Q$4,0))),0))</f>
        <v/>
      </c>
      <c r="X123" s="257">
        <f>IF(X$7="Actual","",IFERROR((INDEX($M123:$Q123,,MATCH(X$4,$M$4:$Q$4,0))),0))</f>
        <v/>
      </c>
      <c r="Y123" s="257">
        <f>IF(Y$7="Actual","",IFERROR((INDEX($M123:$Q123,,MATCH(Y$4,$M$4:$Q$4,0))),0))</f>
        <v/>
      </c>
      <c r="Z123" s="257">
        <f>IF(Z$7="Actual","",IFERROR((INDEX($M123:$Q123,,MATCH(Z$4,$M$4:$Q$4,0))),0))</f>
        <v/>
      </c>
      <c r="AA123" s="257">
        <f>IF(AA$7="Actual","",IFERROR((INDEX($M123:$Q123,,MATCH(AA$4,$M$4:$Q$4,0))),0))</f>
        <v/>
      </c>
      <c r="AB123" s="257">
        <f>IF(AB$7="Actual","",IFERROR((INDEX($M123:$Q123,,MATCH(AB$4,$M$4:$Q$4,0))),0))</f>
        <v/>
      </c>
      <c r="AC123" s="257">
        <f>IF(AC$7="Actual","",IFERROR((INDEX($M123:$Q123,,MATCH(AC$4,$M$4:$Q$4,0))),0))</f>
        <v/>
      </c>
      <c r="AD123" s="257">
        <f>IF(AD$7="Actual","",IFERROR((INDEX($M123:$Q123,,MATCH(AD$4,$M$4:$Q$4,0))),0))</f>
        <v/>
      </c>
      <c r="AE123" s="257">
        <f>IF(AE$7="Actual","",IFERROR((INDEX($M123:$Q123,,MATCH(AE$4,$M$4:$Q$4,0))),0))</f>
        <v/>
      </c>
      <c r="AF123" s="257">
        <f>IF(AF$7="Actual","",IFERROR((INDEX($M123:$Q123,,MATCH(AF$4,$M$4:$Q$4,0))),0))</f>
        <v/>
      </c>
      <c r="AG123" s="257">
        <f>IF(AG$7="Actual","",IFERROR((INDEX($M123:$Q123,,MATCH(AG$4,$M$4:$Q$4,0))),0))</f>
        <v/>
      </c>
      <c r="AH123" s="257">
        <f>IF(AH$7="Actual","",IFERROR((INDEX($M123:$Q123,,MATCH(AH$4,$M$4:$Q$4,0))),0))</f>
        <v/>
      </c>
      <c r="AI123" s="257">
        <f>IF(AI$7="Actual","",IFERROR((INDEX($M123:$Q123,,MATCH(AI$4,$M$4:$Q$4,0))),0))</f>
        <v/>
      </c>
      <c r="AJ123" s="257">
        <f>IF(AJ$7="Actual","",IFERROR((INDEX($M123:$Q123,,MATCH(AJ$4,$M$4:$Q$4,0))),0))</f>
        <v/>
      </c>
      <c r="AK123" s="257">
        <f>IF(AK$7="Actual","",IFERROR((INDEX($M123:$Q123,,MATCH(AK$4,$M$4:$Q$4,0))),0))</f>
        <v/>
      </c>
      <c r="AL123" s="257">
        <f>IF(AL$7="Actual","",IFERROR((INDEX($M123:$Q123,,MATCH(AL$4,$M$4:$Q$4,0))),0))</f>
        <v/>
      </c>
      <c r="AM123" s="257">
        <f>IF(AM$7="Actual","",IFERROR((INDEX($M123:$Q123,,MATCH(AM$4,$M$4:$Q$4,0))),0))</f>
        <v/>
      </c>
      <c r="AN123" s="257">
        <f>IF(AN$7="Actual","",IFERROR((INDEX($M123:$Q123,,MATCH(AN$4,$M$4:$Q$4,0))),0))</f>
        <v/>
      </c>
      <c r="AO123" s="257">
        <f>IF(AO$7="Actual","",IFERROR((INDEX($M123:$Q123,,MATCH(AO$4,$M$4:$Q$4,0))),0))</f>
        <v/>
      </c>
      <c r="AP123" s="257">
        <f>IF(AP$7="Actual","",IFERROR((INDEX($M123:$Q123,,MATCH(AP$4,$M$4:$Q$4,0))),0))</f>
        <v/>
      </c>
      <c r="AQ123" s="257">
        <f>IF(AQ$7="Actual","",IFERROR((INDEX($M123:$Q123,,MATCH(AQ$4,$M$4:$Q$4,0))),0))</f>
        <v/>
      </c>
      <c r="AR123" s="257">
        <f>IF(AR$7="Actual","",IFERROR((INDEX($M123:$Q123,,MATCH(AR$4,$M$4:$Q$4,0))),0))</f>
        <v/>
      </c>
      <c r="AS123" s="257">
        <f>IF(AS$7="Actual","",IFERROR((INDEX($M123:$Q123,,MATCH(AS$4,$M$4:$Q$4,0))),0))</f>
        <v/>
      </c>
      <c r="AT123" s="257">
        <f>IF(AT$7="Actual","",IFERROR((INDEX($M123:$Q123,,MATCH(AT$4,$M$4:$Q$4,0))),0))</f>
        <v/>
      </c>
      <c r="AU123" s="257">
        <f>IF(AU$7="Actual","",IFERROR((INDEX($M123:$Q123,,MATCH(AU$4,$M$4:$Q$4,0))),0))</f>
        <v/>
      </c>
      <c r="AV123" s="257">
        <f>IF(AV$7="Actual","",IFERROR((INDEX($M123:$Q123,,MATCH(AV$4,$M$4:$Q$4,0))),0))</f>
        <v/>
      </c>
      <c r="AW123" s="257">
        <f>IF(AW$7="Actual","",IFERROR((INDEX($M123:$Q123,,MATCH(AW$4,$M$4:$Q$4,0))),0))</f>
        <v/>
      </c>
      <c r="AX123" s="257">
        <f>IF(AX$7="Actual","",IFERROR((INDEX($M123:$Q123,,MATCH(AX$4,$M$4:$Q$4,0))),0))</f>
        <v/>
      </c>
      <c r="AY123" s="257">
        <f>IF(AY$7="Actual","",IFERROR((INDEX($M123:$Q123,,MATCH(AY$4,$M$4:$Q$4,0))),0))</f>
        <v/>
      </c>
      <c r="AZ123" s="257">
        <f>IF(AZ$7="Actual","",IFERROR((INDEX($M123:$Q123,,MATCH(AZ$4,$M$4:$Q$4,0))),0))</f>
        <v/>
      </c>
      <c r="BA123" s="257">
        <f>IF(BA$7="Actual","",IFERROR((INDEX($M123:$Q123,,MATCH(BA$4,$M$4:$Q$4,0))),0))</f>
        <v/>
      </c>
      <c r="BB123" s="257">
        <f>IF(BB$7="Actual","",IFERROR((INDEX($M123:$Q123,,MATCH(BB$4,$M$4:$Q$4,0))),0))</f>
        <v/>
      </c>
      <c r="BC123" s="257">
        <f>IF(BC$7="Actual","",IFERROR((INDEX($M123:$Q123,,MATCH(BC$4,$M$4:$Q$4,0))),0))</f>
        <v/>
      </c>
      <c r="BD123" s="257">
        <f>IF(BD$7="Actual","",IFERROR((INDEX($M123:$Q123,,MATCH(BD$4,$M$4:$Q$4,0))),0))</f>
        <v/>
      </c>
      <c r="BE123" s="257">
        <f>IF(BE$7="Actual","",IFERROR((INDEX($M123:$Q123,,MATCH(BE$4,$M$4:$Q$4,0))),0))</f>
        <v/>
      </c>
      <c r="BF123" s="257">
        <f>IF(BF$7="Actual","",IFERROR((INDEX($M123:$Q123,,MATCH(BF$4,$M$4:$Q$4,0))),0))</f>
        <v/>
      </c>
      <c r="BG123" s="257">
        <f>IF(BG$7="Actual","",IFERROR((INDEX($M123:$Q123,,MATCH(BG$4,$M$4:$Q$4,0))),0))</f>
        <v/>
      </c>
      <c r="BH123" s="257">
        <f>IF(BH$7="Actual","",IFERROR((INDEX($M123:$Q123,,MATCH(BH$4,$M$4:$Q$4,0))),0))</f>
        <v/>
      </c>
      <c r="BI123" s="257">
        <f>IF(BI$7="Actual","",IFERROR((INDEX($M123:$Q123,,MATCH(BI$4,$M$4:$Q$4,0))),0))</f>
        <v/>
      </c>
      <c r="BJ123" s="257">
        <f>IF(BJ$7="Actual","",IFERROR((INDEX($M123:$Q123,,MATCH(BJ$4,$M$4:$Q$4,0))),0))</f>
        <v/>
      </c>
      <c r="BK123" s="257">
        <f>IF(BK$7="Actual","",IFERROR((INDEX($M123:$Q123,,MATCH(BK$4,$M$4:$Q$4,0))),0))</f>
        <v/>
      </c>
      <c r="BL123" s="257">
        <f>IF(BL$7="Actual","",IFERROR((INDEX($M123:$Q123,,MATCH(BL$4,$M$4:$Q$4,0))),0))</f>
        <v/>
      </c>
      <c r="BM123" s="257">
        <f>IF(BM$7="Actual","",IFERROR((INDEX($M123:$Q123,,MATCH(BM$4,$M$4:$Q$4,0))),0))</f>
        <v/>
      </c>
      <c r="BN123" s="257">
        <f>IF(BN$7="Actual","",IFERROR((INDEX($M123:$Q123,,MATCH(BN$4,$M$4:$Q$4,0))),0))</f>
        <v/>
      </c>
      <c r="BO123" s="257">
        <f>IF(BO$7="Actual","",IFERROR((INDEX($M123:$Q123,,MATCH(BO$4,$M$4:$Q$4,0))),0))</f>
        <v/>
      </c>
      <c r="BP123" s="257">
        <f>IF(BP$7="Actual","",IFERROR((INDEX($M123:$Q123,,MATCH(BP$4,$M$4:$Q$4,0))),0))</f>
        <v/>
      </c>
      <c r="BQ123" s="257">
        <f>IF(BQ$7="Actual","",IFERROR((INDEX($M123:$Q123,,MATCH(BQ$4,$M$4:$Q$4,0))),0))</f>
        <v/>
      </c>
      <c r="BR123" s="257">
        <f>IF(BR$7="Actual","",IFERROR((INDEX($M123:$Q123,,MATCH(BR$4,$M$4:$Q$4,0))),0))</f>
        <v/>
      </c>
      <c r="BS123" s="257">
        <f>IF(BS$7="Actual","",IFERROR((INDEX($M123:$Q123,,MATCH(BS$4,$M$4:$Q$4,0))),0))</f>
        <v/>
      </c>
      <c r="BT123" s="257">
        <f>IF(BT$7="Actual","",IFERROR((INDEX($M123:$Q123,,MATCH(BT$4,$M$4:$Q$4,0))),0))</f>
        <v/>
      </c>
      <c r="BU123" s="257">
        <f>IF(BU$7="Actual","",IFERROR((INDEX($M123:$Q123,,MATCH(BU$4,$M$4:$Q$4,0))),0))</f>
        <v/>
      </c>
      <c r="BV123" s="257">
        <f>IF(BV$7="Actual","",IFERROR((INDEX($M123:$Q123,,MATCH(BV$4,$M$4:$Q$4,0))),0))</f>
        <v/>
      </c>
      <c r="BW123" s="257">
        <f>IF(BW$7="Actual","",IFERROR((INDEX($M123:$Q123,,MATCH(BW$4,$M$4:$Q$4,0))),0))</f>
        <v/>
      </c>
      <c r="BX123" s="257">
        <f>IF(BX$7="Actual","",IFERROR((INDEX($M123:$Q123,,MATCH(BX$4,$M$4:$Q$4,0))),0))</f>
        <v/>
      </c>
      <c r="BY123" s="257">
        <f>IF(BY$7="Actual","",IFERROR((INDEX($M123:$Q123,,MATCH(BY$4,$M$4:$Q$4,0))),0))</f>
        <v/>
      </c>
      <c r="BZ123" s="257">
        <f>IF(BZ$7="Actual","",IFERROR((INDEX($M123:$Q123,,MATCH(BZ$4,$M$4:$Q$4,0))),0))</f>
        <v/>
      </c>
      <c r="CA123" s="257">
        <f>IF(CA$7="Actual","",IFERROR((INDEX($M123:$Q123,,MATCH(CA$4,$M$4:$Q$4,0))),0))</f>
        <v/>
      </c>
    </row>
    <row r="124" ht="12" customHeight="1" s="227">
      <c r="A124" s="244" t="n"/>
      <c r="B124" s="244" t="n"/>
      <c r="C124" s="244" t="n"/>
      <c r="H124" s="0">
        <f>H114</f>
        <v/>
      </c>
      <c r="I124" s="27">
        <f>i_Setup!$M$16</f>
        <v/>
      </c>
      <c r="K124" s="6" t="n"/>
      <c r="M124" s="257">
        <f>IF(M$7="Actual","",i_Assumptions!M117)</f>
        <v/>
      </c>
      <c r="N124" s="257">
        <f>IF(N$7="Actual","",i_Assumptions!N117)</f>
        <v/>
      </c>
      <c r="O124" s="257">
        <f>IF(O$7="Actual","",i_Assumptions!O117)</f>
        <v/>
      </c>
      <c r="P124" s="257">
        <f>IF(P$7="Actual","",i_Assumptions!P117)</f>
        <v/>
      </c>
      <c r="Q124" s="257">
        <f>IF(Q$7="Actual","",i_Assumptions!Q117)</f>
        <v/>
      </c>
      <c r="T124" s="257">
        <f>IF(T$7="Actual","",IFERROR((INDEX($M124:$Q124,,MATCH(T$4,$M$4:$Q$4,0))),0))</f>
        <v/>
      </c>
      <c r="U124" s="257">
        <f>IF(U$7="Actual","",IFERROR((INDEX($M124:$Q124,,MATCH(U$4,$M$4:$Q$4,0))),0))</f>
        <v/>
      </c>
      <c r="V124" s="257">
        <f>IF(V$7="Actual","",IFERROR((INDEX($M124:$Q124,,MATCH(V$4,$M$4:$Q$4,0))),0))</f>
        <v/>
      </c>
      <c r="W124" s="257">
        <f>IF(W$7="Actual","",IFERROR((INDEX($M124:$Q124,,MATCH(W$4,$M$4:$Q$4,0))),0))</f>
        <v/>
      </c>
      <c r="X124" s="257">
        <f>IF(X$7="Actual","",IFERROR((INDEX($M124:$Q124,,MATCH(X$4,$M$4:$Q$4,0))),0))</f>
        <v/>
      </c>
      <c r="Y124" s="257">
        <f>IF(Y$7="Actual","",IFERROR((INDEX($M124:$Q124,,MATCH(Y$4,$M$4:$Q$4,0))),0))</f>
        <v/>
      </c>
      <c r="Z124" s="257">
        <f>IF(Z$7="Actual","",IFERROR((INDEX($M124:$Q124,,MATCH(Z$4,$M$4:$Q$4,0))),0))</f>
        <v/>
      </c>
      <c r="AA124" s="257">
        <f>IF(AA$7="Actual","",IFERROR((INDEX($M124:$Q124,,MATCH(AA$4,$M$4:$Q$4,0))),0))</f>
        <v/>
      </c>
      <c r="AB124" s="257">
        <f>IF(AB$7="Actual","",IFERROR((INDEX($M124:$Q124,,MATCH(AB$4,$M$4:$Q$4,0))),0))</f>
        <v/>
      </c>
      <c r="AC124" s="257">
        <f>IF(AC$7="Actual","",IFERROR((INDEX($M124:$Q124,,MATCH(AC$4,$M$4:$Q$4,0))),0))</f>
        <v/>
      </c>
      <c r="AD124" s="257">
        <f>IF(AD$7="Actual","",IFERROR((INDEX($M124:$Q124,,MATCH(AD$4,$M$4:$Q$4,0))),0))</f>
        <v/>
      </c>
      <c r="AE124" s="257">
        <f>IF(AE$7="Actual","",IFERROR((INDEX($M124:$Q124,,MATCH(AE$4,$M$4:$Q$4,0))),0))</f>
        <v/>
      </c>
      <c r="AF124" s="257">
        <f>IF(AF$7="Actual","",IFERROR((INDEX($M124:$Q124,,MATCH(AF$4,$M$4:$Q$4,0))),0))</f>
        <v/>
      </c>
      <c r="AG124" s="257">
        <f>IF(AG$7="Actual","",IFERROR((INDEX($M124:$Q124,,MATCH(AG$4,$M$4:$Q$4,0))),0))</f>
        <v/>
      </c>
      <c r="AH124" s="257">
        <f>IF(AH$7="Actual","",IFERROR((INDEX($M124:$Q124,,MATCH(AH$4,$M$4:$Q$4,0))),0))</f>
        <v/>
      </c>
      <c r="AI124" s="257">
        <f>IF(AI$7="Actual","",IFERROR((INDEX($M124:$Q124,,MATCH(AI$4,$M$4:$Q$4,0))),0))</f>
        <v/>
      </c>
      <c r="AJ124" s="257">
        <f>IF(AJ$7="Actual","",IFERROR((INDEX($M124:$Q124,,MATCH(AJ$4,$M$4:$Q$4,0))),0))</f>
        <v/>
      </c>
      <c r="AK124" s="257">
        <f>IF(AK$7="Actual","",IFERROR((INDEX($M124:$Q124,,MATCH(AK$4,$M$4:$Q$4,0))),0))</f>
        <v/>
      </c>
      <c r="AL124" s="257">
        <f>IF(AL$7="Actual","",IFERROR((INDEX($M124:$Q124,,MATCH(AL$4,$M$4:$Q$4,0))),0))</f>
        <v/>
      </c>
      <c r="AM124" s="257">
        <f>IF(AM$7="Actual","",IFERROR((INDEX($M124:$Q124,,MATCH(AM$4,$M$4:$Q$4,0))),0))</f>
        <v/>
      </c>
      <c r="AN124" s="257">
        <f>IF(AN$7="Actual","",IFERROR((INDEX($M124:$Q124,,MATCH(AN$4,$M$4:$Q$4,0))),0))</f>
        <v/>
      </c>
      <c r="AO124" s="257">
        <f>IF(AO$7="Actual","",IFERROR((INDEX($M124:$Q124,,MATCH(AO$4,$M$4:$Q$4,0))),0))</f>
        <v/>
      </c>
      <c r="AP124" s="257">
        <f>IF(AP$7="Actual","",IFERROR((INDEX($M124:$Q124,,MATCH(AP$4,$M$4:$Q$4,0))),0))</f>
        <v/>
      </c>
      <c r="AQ124" s="257">
        <f>IF(AQ$7="Actual","",IFERROR((INDEX($M124:$Q124,,MATCH(AQ$4,$M$4:$Q$4,0))),0))</f>
        <v/>
      </c>
      <c r="AR124" s="257">
        <f>IF(AR$7="Actual","",IFERROR((INDEX($M124:$Q124,,MATCH(AR$4,$M$4:$Q$4,0))),0))</f>
        <v/>
      </c>
      <c r="AS124" s="257">
        <f>IF(AS$7="Actual","",IFERROR((INDEX($M124:$Q124,,MATCH(AS$4,$M$4:$Q$4,0))),0))</f>
        <v/>
      </c>
      <c r="AT124" s="257">
        <f>IF(AT$7="Actual","",IFERROR((INDEX($M124:$Q124,,MATCH(AT$4,$M$4:$Q$4,0))),0))</f>
        <v/>
      </c>
      <c r="AU124" s="257">
        <f>IF(AU$7="Actual","",IFERROR((INDEX($M124:$Q124,,MATCH(AU$4,$M$4:$Q$4,0))),0))</f>
        <v/>
      </c>
      <c r="AV124" s="257">
        <f>IF(AV$7="Actual","",IFERROR((INDEX($M124:$Q124,,MATCH(AV$4,$M$4:$Q$4,0))),0))</f>
        <v/>
      </c>
      <c r="AW124" s="257">
        <f>IF(AW$7="Actual","",IFERROR((INDEX($M124:$Q124,,MATCH(AW$4,$M$4:$Q$4,0))),0))</f>
        <v/>
      </c>
      <c r="AX124" s="257">
        <f>IF(AX$7="Actual","",IFERROR((INDEX($M124:$Q124,,MATCH(AX$4,$M$4:$Q$4,0))),0))</f>
        <v/>
      </c>
      <c r="AY124" s="257">
        <f>IF(AY$7="Actual","",IFERROR((INDEX($M124:$Q124,,MATCH(AY$4,$M$4:$Q$4,0))),0))</f>
        <v/>
      </c>
      <c r="AZ124" s="257">
        <f>IF(AZ$7="Actual","",IFERROR((INDEX($M124:$Q124,,MATCH(AZ$4,$M$4:$Q$4,0))),0))</f>
        <v/>
      </c>
      <c r="BA124" s="257">
        <f>IF(BA$7="Actual","",IFERROR((INDEX($M124:$Q124,,MATCH(BA$4,$M$4:$Q$4,0))),0))</f>
        <v/>
      </c>
      <c r="BB124" s="257">
        <f>IF(BB$7="Actual","",IFERROR((INDEX($M124:$Q124,,MATCH(BB$4,$M$4:$Q$4,0))),0))</f>
        <v/>
      </c>
      <c r="BC124" s="257">
        <f>IF(BC$7="Actual","",IFERROR((INDEX($M124:$Q124,,MATCH(BC$4,$M$4:$Q$4,0))),0))</f>
        <v/>
      </c>
      <c r="BD124" s="257">
        <f>IF(BD$7="Actual","",IFERROR((INDEX($M124:$Q124,,MATCH(BD$4,$M$4:$Q$4,0))),0))</f>
        <v/>
      </c>
      <c r="BE124" s="257">
        <f>IF(BE$7="Actual","",IFERROR((INDEX($M124:$Q124,,MATCH(BE$4,$M$4:$Q$4,0))),0))</f>
        <v/>
      </c>
      <c r="BF124" s="257">
        <f>IF(BF$7="Actual","",IFERROR((INDEX($M124:$Q124,,MATCH(BF$4,$M$4:$Q$4,0))),0))</f>
        <v/>
      </c>
      <c r="BG124" s="257">
        <f>IF(BG$7="Actual","",IFERROR((INDEX($M124:$Q124,,MATCH(BG$4,$M$4:$Q$4,0))),0))</f>
        <v/>
      </c>
      <c r="BH124" s="257">
        <f>IF(BH$7="Actual","",IFERROR((INDEX($M124:$Q124,,MATCH(BH$4,$M$4:$Q$4,0))),0))</f>
        <v/>
      </c>
      <c r="BI124" s="257">
        <f>IF(BI$7="Actual","",IFERROR((INDEX($M124:$Q124,,MATCH(BI$4,$M$4:$Q$4,0))),0))</f>
        <v/>
      </c>
      <c r="BJ124" s="257">
        <f>IF(BJ$7="Actual","",IFERROR((INDEX($M124:$Q124,,MATCH(BJ$4,$M$4:$Q$4,0))),0))</f>
        <v/>
      </c>
      <c r="BK124" s="257">
        <f>IF(BK$7="Actual","",IFERROR((INDEX($M124:$Q124,,MATCH(BK$4,$M$4:$Q$4,0))),0))</f>
        <v/>
      </c>
      <c r="BL124" s="257">
        <f>IF(BL$7="Actual","",IFERROR((INDEX($M124:$Q124,,MATCH(BL$4,$M$4:$Q$4,0))),0))</f>
        <v/>
      </c>
      <c r="BM124" s="257">
        <f>IF(BM$7="Actual","",IFERROR((INDEX($M124:$Q124,,MATCH(BM$4,$M$4:$Q$4,0))),0))</f>
        <v/>
      </c>
      <c r="BN124" s="257">
        <f>IF(BN$7="Actual","",IFERROR((INDEX($M124:$Q124,,MATCH(BN$4,$M$4:$Q$4,0))),0))</f>
        <v/>
      </c>
      <c r="BO124" s="257">
        <f>IF(BO$7="Actual","",IFERROR((INDEX($M124:$Q124,,MATCH(BO$4,$M$4:$Q$4,0))),0))</f>
        <v/>
      </c>
      <c r="BP124" s="257">
        <f>IF(BP$7="Actual","",IFERROR((INDEX($M124:$Q124,,MATCH(BP$4,$M$4:$Q$4,0))),0))</f>
        <v/>
      </c>
      <c r="BQ124" s="257">
        <f>IF(BQ$7="Actual","",IFERROR((INDEX($M124:$Q124,,MATCH(BQ$4,$M$4:$Q$4,0))),0))</f>
        <v/>
      </c>
      <c r="BR124" s="257">
        <f>IF(BR$7="Actual","",IFERROR((INDEX($M124:$Q124,,MATCH(BR$4,$M$4:$Q$4,0))),0))</f>
        <v/>
      </c>
      <c r="BS124" s="257">
        <f>IF(BS$7="Actual","",IFERROR((INDEX($M124:$Q124,,MATCH(BS$4,$M$4:$Q$4,0))),0))</f>
        <v/>
      </c>
      <c r="BT124" s="257">
        <f>IF(BT$7="Actual","",IFERROR((INDEX($M124:$Q124,,MATCH(BT$4,$M$4:$Q$4,0))),0))</f>
        <v/>
      </c>
      <c r="BU124" s="257">
        <f>IF(BU$7="Actual","",IFERROR((INDEX($M124:$Q124,,MATCH(BU$4,$M$4:$Q$4,0))),0))</f>
        <v/>
      </c>
      <c r="BV124" s="257">
        <f>IF(BV$7="Actual","",IFERROR((INDEX($M124:$Q124,,MATCH(BV$4,$M$4:$Q$4,0))),0))</f>
        <v/>
      </c>
      <c r="BW124" s="257">
        <f>IF(BW$7="Actual","",IFERROR((INDEX($M124:$Q124,,MATCH(BW$4,$M$4:$Q$4,0))),0))</f>
        <v/>
      </c>
      <c r="BX124" s="257">
        <f>IF(BX$7="Actual","",IFERROR((INDEX($M124:$Q124,,MATCH(BX$4,$M$4:$Q$4,0))),0))</f>
        <v/>
      </c>
      <c r="BY124" s="257">
        <f>IF(BY$7="Actual","",IFERROR((INDEX($M124:$Q124,,MATCH(BY$4,$M$4:$Q$4,0))),0))</f>
        <v/>
      </c>
      <c r="BZ124" s="257">
        <f>IF(BZ$7="Actual","",IFERROR((INDEX($M124:$Q124,,MATCH(BZ$4,$M$4:$Q$4,0))),0))</f>
        <v/>
      </c>
      <c r="CA124" s="257">
        <f>IF(CA$7="Actual","",IFERROR((INDEX($M124:$Q124,,MATCH(CA$4,$M$4:$Q$4,0))),0))</f>
        <v/>
      </c>
    </row>
    <row r="125" ht="12" customHeight="1" s="227">
      <c r="A125" s="244" t="n"/>
      <c r="B125" s="244" t="n"/>
      <c r="C125" s="244" t="n"/>
      <c r="H125" s="0">
        <f>H115</f>
        <v/>
      </c>
      <c r="I125" s="27">
        <f>i_Setup!$M$16</f>
        <v/>
      </c>
      <c r="K125" s="6" t="n"/>
      <c r="M125" s="257">
        <f>IF(M$7="Actual","",i_Assumptions!M118)</f>
        <v/>
      </c>
      <c r="N125" s="257">
        <f>IF(N$7="Actual","",i_Assumptions!N118)</f>
        <v/>
      </c>
      <c r="O125" s="257">
        <f>IF(O$7="Actual","",i_Assumptions!O118)</f>
        <v/>
      </c>
      <c r="P125" s="257">
        <f>IF(P$7="Actual","",i_Assumptions!P118)</f>
        <v/>
      </c>
      <c r="Q125" s="257">
        <f>IF(Q$7="Actual","",i_Assumptions!Q118)</f>
        <v/>
      </c>
      <c r="T125" s="257">
        <f>IF(T$7="Actual","",IFERROR((INDEX($M125:$Q125,,MATCH(T$4,$M$4:$Q$4,0))),0))</f>
        <v/>
      </c>
      <c r="U125" s="257">
        <f>IF(U$7="Actual","",IFERROR((INDEX($M125:$Q125,,MATCH(U$4,$M$4:$Q$4,0))),0))</f>
        <v/>
      </c>
      <c r="V125" s="257">
        <f>IF(V$7="Actual","",IFERROR((INDEX($M125:$Q125,,MATCH(V$4,$M$4:$Q$4,0))),0))</f>
        <v/>
      </c>
      <c r="W125" s="257">
        <f>IF(W$7="Actual","",IFERROR((INDEX($M125:$Q125,,MATCH(W$4,$M$4:$Q$4,0))),0))</f>
        <v/>
      </c>
      <c r="X125" s="257">
        <f>IF(X$7="Actual","",IFERROR((INDEX($M125:$Q125,,MATCH(X$4,$M$4:$Q$4,0))),0))</f>
        <v/>
      </c>
      <c r="Y125" s="257">
        <f>IF(Y$7="Actual","",IFERROR((INDEX($M125:$Q125,,MATCH(Y$4,$M$4:$Q$4,0))),0))</f>
        <v/>
      </c>
      <c r="Z125" s="257">
        <f>IF(Z$7="Actual","",IFERROR((INDEX($M125:$Q125,,MATCH(Z$4,$M$4:$Q$4,0))),0))</f>
        <v/>
      </c>
      <c r="AA125" s="257">
        <f>IF(AA$7="Actual","",IFERROR((INDEX($M125:$Q125,,MATCH(AA$4,$M$4:$Q$4,0))),0))</f>
        <v/>
      </c>
      <c r="AB125" s="257">
        <f>IF(AB$7="Actual","",IFERROR((INDEX($M125:$Q125,,MATCH(AB$4,$M$4:$Q$4,0))),0))</f>
        <v/>
      </c>
      <c r="AC125" s="257">
        <f>IF(AC$7="Actual","",IFERROR((INDEX($M125:$Q125,,MATCH(AC$4,$M$4:$Q$4,0))),0))</f>
        <v/>
      </c>
      <c r="AD125" s="257">
        <f>IF(AD$7="Actual","",IFERROR((INDEX($M125:$Q125,,MATCH(AD$4,$M$4:$Q$4,0))),0))</f>
        <v/>
      </c>
      <c r="AE125" s="257">
        <f>IF(AE$7="Actual","",IFERROR((INDEX($M125:$Q125,,MATCH(AE$4,$M$4:$Q$4,0))),0))</f>
        <v/>
      </c>
      <c r="AF125" s="257">
        <f>IF(AF$7="Actual","",IFERROR((INDEX($M125:$Q125,,MATCH(AF$4,$M$4:$Q$4,0))),0))</f>
        <v/>
      </c>
      <c r="AG125" s="257">
        <f>IF(AG$7="Actual","",IFERROR((INDEX($M125:$Q125,,MATCH(AG$4,$M$4:$Q$4,0))),0))</f>
        <v/>
      </c>
      <c r="AH125" s="257">
        <f>IF(AH$7="Actual","",IFERROR((INDEX($M125:$Q125,,MATCH(AH$4,$M$4:$Q$4,0))),0))</f>
        <v/>
      </c>
      <c r="AI125" s="257">
        <f>IF(AI$7="Actual","",IFERROR((INDEX($M125:$Q125,,MATCH(AI$4,$M$4:$Q$4,0))),0))</f>
        <v/>
      </c>
      <c r="AJ125" s="257">
        <f>IF(AJ$7="Actual","",IFERROR((INDEX($M125:$Q125,,MATCH(AJ$4,$M$4:$Q$4,0))),0))</f>
        <v/>
      </c>
      <c r="AK125" s="257">
        <f>IF(AK$7="Actual","",IFERROR((INDEX($M125:$Q125,,MATCH(AK$4,$M$4:$Q$4,0))),0))</f>
        <v/>
      </c>
      <c r="AL125" s="257">
        <f>IF(AL$7="Actual","",IFERROR((INDEX($M125:$Q125,,MATCH(AL$4,$M$4:$Q$4,0))),0))</f>
        <v/>
      </c>
      <c r="AM125" s="257">
        <f>IF(AM$7="Actual","",IFERROR((INDEX($M125:$Q125,,MATCH(AM$4,$M$4:$Q$4,0))),0))</f>
        <v/>
      </c>
      <c r="AN125" s="257">
        <f>IF(AN$7="Actual","",IFERROR((INDEX($M125:$Q125,,MATCH(AN$4,$M$4:$Q$4,0))),0))</f>
        <v/>
      </c>
      <c r="AO125" s="257">
        <f>IF(AO$7="Actual","",IFERROR((INDEX($M125:$Q125,,MATCH(AO$4,$M$4:$Q$4,0))),0))</f>
        <v/>
      </c>
      <c r="AP125" s="257">
        <f>IF(AP$7="Actual","",IFERROR((INDEX($M125:$Q125,,MATCH(AP$4,$M$4:$Q$4,0))),0))</f>
        <v/>
      </c>
      <c r="AQ125" s="257">
        <f>IF(AQ$7="Actual","",IFERROR((INDEX($M125:$Q125,,MATCH(AQ$4,$M$4:$Q$4,0))),0))</f>
        <v/>
      </c>
      <c r="AR125" s="257">
        <f>IF(AR$7="Actual","",IFERROR((INDEX($M125:$Q125,,MATCH(AR$4,$M$4:$Q$4,0))),0))</f>
        <v/>
      </c>
      <c r="AS125" s="257">
        <f>IF(AS$7="Actual","",IFERROR((INDEX($M125:$Q125,,MATCH(AS$4,$M$4:$Q$4,0))),0))</f>
        <v/>
      </c>
      <c r="AT125" s="257">
        <f>IF(AT$7="Actual","",IFERROR((INDEX($M125:$Q125,,MATCH(AT$4,$M$4:$Q$4,0))),0))</f>
        <v/>
      </c>
      <c r="AU125" s="257">
        <f>IF(AU$7="Actual","",IFERROR((INDEX($M125:$Q125,,MATCH(AU$4,$M$4:$Q$4,0))),0))</f>
        <v/>
      </c>
      <c r="AV125" s="257">
        <f>IF(AV$7="Actual","",IFERROR((INDEX($M125:$Q125,,MATCH(AV$4,$M$4:$Q$4,0))),0))</f>
        <v/>
      </c>
      <c r="AW125" s="257">
        <f>IF(AW$7="Actual","",IFERROR((INDEX($M125:$Q125,,MATCH(AW$4,$M$4:$Q$4,0))),0))</f>
        <v/>
      </c>
      <c r="AX125" s="257">
        <f>IF(AX$7="Actual","",IFERROR((INDEX($M125:$Q125,,MATCH(AX$4,$M$4:$Q$4,0))),0))</f>
        <v/>
      </c>
      <c r="AY125" s="257">
        <f>IF(AY$7="Actual","",IFERROR((INDEX($M125:$Q125,,MATCH(AY$4,$M$4:$Q$4,0))),0))</f>
        <v/>
      </c>
      <c r="AZ125" s="257">
        <f>IF(AZ$7="Actual","",IFERROR((INDEX($M125:$Q125,,MATCH(AZ$4,$M$4:$Q$4,0))),0))</f>
        <v/>
      </c>
      <c r="BA125" s="257">
        <f>IF(BA$7="Actual","",IFERROR((INDEX($M125:$Q125,,MATCH(BA$4,$M$4:$Q$4,0))),0))</f>
        <v/>
      </c>
      <c r="BB125" s="257">
        <f>IF(BB$7="Actual","",IFERROR((INDEX($M125:$Q125,,MATCH(BB$4,$M$4:$Q$4,0))),0))</f>
        <v/>
      </c>
      <c r="BC125" s="257">
        <f>IF(BC$7="Actual","",IFERROR((INDEX($M125:$Q125,,MATCH(BC$4,$M$4:$Q$4,0))),0))</f>
        <v/>
      </c>
      <c r="BD125" s="257">
        <f>IF(BD$7="Actual","",IFERROR((INDEX($M125:$Q125,,MATCH(BD$4,$M$4:$Q$4,0))),0))</f>
        <v/>
      </c>
      <c r="BE125" s="257">
        <f>IF(BE$7="Actual","",IFERROR((INDEX($M125:$Q125,,MATCH(BE$4,$M$4:$Q$4,0))),0))</f>
        <v/>
      </c>
      <c r="BF125" s="257">
        <f>IF(BF$7="Actual","",IFERROR((INDEX($M125:$Q125,,MATCH(BF$4,$M$4:$Q$4,0))),0))</f>
        <v/>
      </c>
      <c r="BG125" s="257">
        <f>IF(BG$7="Actual","",IFERROR((INDEX($M125:$Q125,,MATCH(BG$4,$M$4:$Q$4,0))),0))</f>
        <v/>
      </c>
      <c r="BH125" s="257">
        <f>IF(BH$7="Actual","",IFERROR((INDEX($M125:$Q125,,MATCH(BH$4,$M$4:$Q$4,0))),0))</f>
        <v/>
      </c>
      <c r="BI125" s="257">
        <f>IF(BI$7="Actual","",IFERROR((INDEX($M125:$Q125,,MATCH(BI$4,$M$4:$Q$4,0))),0))</f>
        <v/>
      </c>
      <c r="BJ125" s="257">
        <f>IF(BJ$7="Actual","",IFERROR((INDEX($M125:$Q125,,MATCH(BJ$4,$M$4:$Q$4,0))),0))</f>
        <v/>
      </c>
      <c r="BK125" s="257">
        <f>IF(BK$7="Actual","",IFERROR((INDEX($M125:$Q125,,MATCH(BK$4,$M$4:$Q$4,0))),0))</f>
        <v/>
      </c>
      <c r="BL125" s="257">
        <f>IF(BL$7="Actual","",IFERROR((INDEX($M125:$Q125,,MATCH(BL$4,$M$4:$Q$4,0))),0))</f>
        <v/>
      </c>
      <c r="BM125" s="257">
        <f>IF(BM$7="Actual","",IFERROR((INDEX($M125:$Q125,,MATCH(BM$4,$M$4:$Q$4,0))),0))</f>
        <v/>
      </c>
      <c r="BN125" s="257">
        <f>IF(BN$7="Actual","",IFERROR((INDEX($M125:$Q125,,MATCH(BN$4,$M$4:$Q$4,0))),0))</f>
        <v/>
      </c>
      <c r="BO125" s="257">
        <f>IF(BO$7="Actual","",IFERROR((INDEX($M125:$Q125,,MATCH(BO$4,$M$4:$Q$4,0))),0))</f>
        <v/>
      </c>
      <c r="BP125" s="257">
        <f>IF(BP$7="Actual","",IFERROR((INDEX($M125:$Q125,,MATCH(BP$4,$M$4:$Q$4,0))),0))</f>
        <v/>
      </c>
      <c r="BQ125" s="257">
        <f>IF(BQ$7="Actual","",IFERROR((INDEX($M125:$Q125,,MATCH(BQ$4,$M$4:$Q$4,0))),0))</f>
        <v/>
      </c>
      <c r="BR125" s="257">
        <f>IF(BR$7="Actual","",IFERROR((INDEX($M125:$Q125,,MATCH(BR$4,$M$4:$Q$4,0))),0))</f>
        <v/>
      </c>
      <c r="BS125" s="257">
        <f>IF(BS$7="Actual","",IFERROR((INDEX($M125:$Q125,,MATCH(BS$4,$M$4:$Q$4,0))),0))</f>
        <v/>
      </c>
      <c r="BT125" s="257">
        <f>IF(BT$7="Actual","",IFERROR((INDEX($M125:$Q125,,MATCH(BT$4,$M$4:$Q$4,0))),0))</f>
        <v/>
      </c>
      <c r="BU125" s="257">
        <f>IF(BU$7="Actual","",IFERROR((INDEX($M125:$Q125,,MATCH(BU$4,$M$4:$Q$4,0))),0))</f>
        <v/>
      </c>
      <c r="BV125" s="257">
        <f>IF(BV$7="Actual","",IFERROR((INDEX($M125:$Q125,,MATCH(BV$4,$M$4:$Q$4,0))),0))</f>
        <v/>
      </c>
      <c r="BW125" s="257">
        <f>IF(BW$7="Actual","",IFERROR((INDEX($M125:$Q125,,MATCH(BW$4,$M$4:$Q$4,0))),0))</f>
        <v/>
      </c>
      <c r="BX125" s="257">
        <f>IF(BX$7="Actual","",IFERROR((INDEX($M125:$Q125,,MATCH(BX$4,$M$4:$Q$4,0))),0))</f>
        <v/>
      </c>
      <c r="BY125" s="257">
        <f>IF(BY$7="Actual","",IFERROR((INDEX($M125:$Q125,,MATCH(BY$4,$M$4:$Q$4,0))),0))</f>
        <v/>
      </c>
      <c r="BZ125" s="257">
        <f>IF(BZ$7="Actual","",IFERROR((INDEX($M125:$Q125,,MATCH(BZ$4,$M$4:$Q$4,0))),0))</f>
        <v/>
      </c>
      <c r="CA125" s="257">
        <f>IF(CA$7="Actual","",IFERROR((INDEX($M125:$Q125,,MATCH(CA$4,$M$4:$Q$4,0))),0))</f>
        <v/>
      </c>
    </row>
    <row r="126" ht="12" customHeight="1" s="227">
      <c r="A126" s="244" t="n"/>
      <c r="B126" s="244" t="n"/>
      <c r="C126" s="244" t="n"/>
      <c r="H126" s="0">
        <f>H116</f>
        <v/>
      </c>
      <c r="I126" s="27">
        <f>i_Setup!$M$16</f>
        <v/>
      </c>
      <c r="K126" s="6" t="n"/>
      <c r="M126" s="257">
        <f>IF(M$7="Actual","",i_Assumptions!M119)</f>
        <v/>
      </c>
      <c r="N126" s="257">
        <f>IF(N$7="Actual","",i_Assumptions!N119)</f>
        <v/>
      </c>
      <c r="O126" s="257">
        <f>IF(O$7="Actual","",i_Assumptions!O119)</f>
        <v/>
      </c>
      <c r="P126" s="257">
        <f>IF(P$7="Actual","",i_Assumptions!P119)</f>
        <v/>
      </c>
      <c r="Q126" s="257">
        <f>IF(Q$7="Actual","",i_Assumptions!Q119)</f>
        <v/>
      </c>
      <c r="T126" s="257">
        <f>IF(T$7="Actual","",IFERROR((INDEX($M126:$Q126,,MATCH(T$4,$M$4:$Q$4,0))),0))</f>
        <v/>
      </c>
      <c r="U126" s="257">
        <f>IF(U$7="Actual","",IFERROR((INDEX($M126:$Q126,,MATCH(U$4,$M$4:$Q$4,0))),0))</f>
        <v/>
      </c>
      <c r="V126" s="257">
        <f>IF(V$7="Actual","",IFERROR((INDEX($M126:$Q126,,MATCH(V$4,$M$4:$Q$4,0))),0))</f>
        <v/>
      </c>
      <c r="W126" s="257">
        <f>IF(W$7="Actual","",IFERROR((INDEX($M126:$Q126,,MATCH(W$4,$M$4:$Q$4,0))),0))</f>
        <v/>
      </c>
      <c r="X126" s="257">
        <f>IF(X$7="Actual","",IFERROR((INDEX($M126:$Q126,,MATCH(X$4,$M$4:$Q$4,0))),0))</f>
        <v/>
      </c>
      <c r="Y126" s="257">
        <f>IF(Y$7="Actual","",IFERROR((INDEX($M126:$Q126,,MATCH(Y$4,$M$4:$Q$4,0))),0))</f>
        <v/>
      </c>
      <c r="Z126" s="257">
        <f>IF(Z$7="Actual","",IFERROR((INDEX($M126:$Q126,,MATCH(Z$4,$M$4:$Q$4,0))),0))</f>
        <v/>
      </c>
      <c r="AA126" s="257">
        <f>IF(AA$7="Actual","",IFERROR((INDEX($M126:$Q126,,MATCH(AA$4,$M$4:$Q$4,0))),0))</f>
        <v/>
      </c>
      <c r="AB126" s="257">
        <f>IF(AB$7="Actual","",IFERROR((INDEX($M126:$Q126,,MATCH(AB$4,$M$4:$Q$4,0))),0))</f>
        <v/>
      </c>
      <c r="AC126" s="257">
        <f>IF(AC$7="Actual","",IFERROR((INDEX($M126:$Q126,,MATCH(AC$4,$M$4:$Q$4,0))),0))</f>
        <v/>
      </c>
      <c r="AD126" s="257">
        <f>IF(AD$7="Actual","",IFERROR((INDEX($M126:$Q126,,MATCH(AD$4,$M$4:$Q$4,0))),0))</f>
        <v/>
      </c>
      <c r="AE126" s="257">
        <f>IF(AE$7="Actual","",IFERROR((INDEX($M126:$Q126,,MATCH(AE$4,$M$4:$Q$4,0))),0))</f>
        <v/>
      </c>
      <c r="AF126" s="257">
        <f>IF(AF$7="Actual","",IFERROR((INDEX($M126:$Q126,,MATCH(AF$4,$M$4:$Q$4,0))),0))</f>
        <v/>
      </c>
      <c r="AG126" s="257">
        <f>IF(AG$7="Actual","",IFERROR((INDEX($M126:$Q126,,MATCH(AG$4,$M$4:$Q$4,0))),0))</f>
        <v/>
      </c>
      <c r="AH126" s="257">
        <f>IF(AH$7="Actual","",IFERROR((INDEX($M126:$Q126,,MATCH(AH$4,$M$4:$Q$4,0))),0))</f>
        <v/>
      </c>
      <c r="AI126" s="257">
        <f>IF(AI$7="Actual","",IFERROR((INDEX($M126:$Q126,,MATCH(AI$4,$M$4:$Q$4,0))),0))</f>
        <v/>
      </c>
      <c r="AJ126" s="257">
        <f>IF(AJ$7="Actual","",IFERROR((INDEX($M126:$Q126,,MATCH(AJ$4,$M$4:$Q$4,0))),0))</f>
        <v/>
      </c>
      <c r="AK126" s="257">
        <f>IF(AK$7="Actual","",IFERROR((INDEX($M126:$Q126,,MATCH(AK$4,$M$4:$Q$4,0))),0))</f>
        <v/>
      </c>
      <c r="AL126" s="257">
        <f>IF(AL$7="Actual","",IFERROR((INDEX($M126:$Q126,,MATCH(AL$4,$M$4:$Q$4,0))),0))</f>
        <v/>
      </c>
      <c r="AM126" s="257">
        <f>IF(AM$7="Actual","",IFERROR((INDEX($M126:$Q126,,MATCH(AM$4,$M$4:$Q$4,0))),0))</f>
        <v/>
      </c>
      <c r="AN126" s="257">
        <f>IF(AN$7="Actual","",IFERROR((INDEX($M126:$Q126,,MATCH(AN$4,$M$4:$Q$4,0))),0))</f>
        <v/>
      </c>
      <c r="AO126" s="257">
        <f>IF(AO$7="Actual","",IFERROR((INDEX($M126:$Q126,,MATCH(AO$4,$M$4:$Q$4,0))),0))</f>
        <v/>
      </c>
      <c r="AP126" s="257">
        <f>IF(AP$7="Actual","",IFERROR((INDEX($M126:$Q126,,MATCH(AP$4,$M$4:$Q$4,0))),0))</f>
        <v/>
      </c>
      <c r="AQ126" s="257">
        <f>IF(AQ$7="Actual","",IFERROR((INDEX($M126:$Q126,,MATCH(AQ$4,$M$4:$Q$4,0))),0))</f>
        <v/>
      </c>
      <c r="AR126" s="257">
        <f>IF(AR$7="Actual","",IFERROR((INDEX($M126:$Q126,,MATCH(AR$4,$M$4:$Q$4,0))),0))</f>
        <v/>
      </c>
      <c r="AS126" s="257">
        <f>IF(AS$7="Actual","",IFERROR((INDEX($M126:$Q126,,MATCH(AS$4,$M$4:$Q$4,0))),0))</f>
        <v/>
      </c>
      <c r="AT126" s="257">
        <f>IF(AT$7="Actual","",IFERROR((INDEX($M126:$Q126,,MATCH(AT$4,$M$4:$Q$4,0))),0))</f>
        <v/>
      </c>
      <c r="AU126" s="257">
        <f>IF(AU$7="Actual","",IFERROR((INDEX($M126:$Q126,,MATCH(AU$4,$M$4:$Q$4,0))),0))</f>
        <v/>
      </c>
      <c r="AV126" s="257">
        <f>IF(AV$7="Actual","",IFERROR((INDEX($M126:$Q126,,MATCH(AV$4,$M$4:$Q$4,0))),0))</f>
        <v/>
      </c>
      <c r="AW126" s="257">
        <f>IF(AW$7="Actual","",IFERROR((INDEX($M126:$Q126,,MATCH(AW$4,$M$4:$Q$4,0))),0))</f>
        <v/>
      </c>
      <c r="AX126" s="257">
        <f>IF(AX$7="Actual","",IFERROR((INDEX($M126:$Q126,,MATCH(AX$4,$M$4:$Q$4,0))),0))</f>
        <v/>
      </c>
      <c r="AY126" s="257">
        <f>IF(AY$7="Actual","",IFERROR((INDEX($M126:$Q126,,MATCH(AY$4,$M$4:$Q$4,0))),0))</f>
        <v/>
      </c>
      <c r="AZ126" s="257">
        <f>IF(AZ$7="Actual","",IFERROR((INDEX($M126:$Q126,,MATCH(AZ$4,$M$4:$Q$4,0))),0))</f>
        <v/>
      </c>
      <c r="BA126" s="257">
        <f>IF(BA$7="Actual","",IFERROR((INDEX($M126:$Q126,,MATCH(BA$4,$M$4:$Q$4,0))),0))</f>
        <v/>
      </c>
      <c r="BB126" s="257">
        <f>IF(BB$7="Actual","",IFERROR((INDEX($M126:$Q126,,MATCH(BB$4,$M$4:$Q$4,0))),0))</f>
        <v/>
      </c>
      <c r="BC126" s="257">
        <f>IF(BC$7="Actual","",IFERROR((INDEX($M126:$Q126,,MATCH(BC$4,$M$4:$Q$4,0))),0))</f>
        <v/>
      </c>
      <c r="BD126" s="257">
        <f>IF(BD$7="Actual","",IFERROR((INDEX($M126:$Q126,,MATCH(BD$4,$M$4:$Q$4,0))),0))</f>
        <v/>
      </c>
      <c r="BE126" s="257">
        <f>IF(BE$7="Actual","",IFERROR((INDEX($M126:$Q126,,MATCH(BE$4,$M$4:$Q$4,0))),0))</f>
        <v/>
      </c>
      <c r="BF126" s="257">
        <f>IF(BF$7="Actual","",IFERROR((INDEX($M126:$Q126,,MATCH(BF$4,$M$4:$Q$4,0))),0))</f>
        <v/>
      </c>
      <c r="BG126" s="257">
        <f>IF(BG$7="Actual","",IFERROR((INDEX($M126:$Q126,,MATCH(BG$4,$M$4:$Q$4,0))),0))</f>
        <v/>
      </c>
      <c r="BH126" s="257">
        <f>IF(BH$7="Actual","",IFERROR((INDEX($M126:$Q126,,MATCH(BH$4,$M$4:$Q$4,0))),0))</f>
        <v/>
      </c>
      <c r="BI126" s="257">
        <f>IF(BI$7="Actual","",IFERROR((INDEX($M126:$Q126,,MATCH(BI$4,$M$4:$Q$4,0))),0))</f>
        <v/>
      </c>
      <c r="BJ126" s="257">
        <f>IF(BJ$7="Actual","",IFERROR((INDEX($M126:$Q126,,MATCH(BJ$4,$M$4:$Q$4,0))),0))</f>
        <v/>
      </c>
      <c r="BK126" s="257">
        <f>IF(BK$7="Actual","",IFERROR((INDEX($M126:$Q126,,MATCH(BK$4,$M$4:$Q$4,0))),0))</f>
        <v/>
      </c>
      <c r="BL126" s="257">
        <f>IF(BL$7="Actual","",IFERROR((INDEX($M126:$Q126,,MATCH(BL$4,$M$4:$Q$4,0))),0))</f>
        <v/>
      </c>
      <c r="BM126" s="257">
        <f>IF(BM$7="Actual","",IFERROR((INDEX($M126:$Q126,,MATCH(BM$4,$M$4:$Q$4,0))),0))</f>
        <v/>
      </c>
      <c r="BN126" s="257">
        <f>IF(BN$7="Actual","",IFERROR((INDEX($M126:$Q126,,MATCH(BN$4,$M$4:$Q$4,0))),0))</f>
        <v/>
      </c>
      <c r="BO126" s="257">
        <f>IF(BO$7="Actual","",IFERROR((INDEX($M126:$Q126,,MATCH(BO$4,$M$4:$Q$4,0))),0))</f>
        <v/>
      </c>
      <c r="BP126" s="257">
        <f>IF(BP$7="Actual","",IFERROR((INDEX($M126:$Q126,,MATCH(BP$4,$M$4:$Q$4,0))),0))</f>
        <v/>
      </c>
      <c r="BQ126" s="257">
        <f>IF(BQ$7="Actual","",IFERROR((INDEX($M126:$Q126,,MATCH(BQ$4,$M$4:$Q$4,0))),0))</f>
        <v/>
      </c>
      <c r="BR126" s="257">
        <f>IF(BR$7="Actual","",IFERROR((INDEX($M126:$Q126,,MATCH(BR$4,$M$4:$Q$4,0))),0))</f>
        <v/>
      </c>
      <c r="BS126" s="257">
        <f>IF(BS$7="Actual","",IFERROR((INDEX($M126:$Q126,,MATCH(BS$4,$M$4:$Q$4,0))),0))</f>
        <v/>
      </c>
      <c r="BT126" s="257">
        <f>IF(BT$7="Actual","",IFERROR((INDEX($M126:$Q126,,MATCH(BT$4,$M$4:$Q$4,0))),0))</f>
        <v/>
      </c>
      <c r="BU126" s="257">
        <f>IF(BU$7="Actual","",IFERROR((INDEX($M126:$Q126,,MATCH(BU$4,$M$4:$Q$4,0))),0))</f>
        <v/>
      </c>
      <c r="BV126" s="257">
        <f>IF(BV$7="Actual","",IFERROR((INDEX($M126:$Q126,,MATCH(BV$4,$M$4:$Q$4,0))),0))</f>
        <v/>
      </c>
      <c r="BW126" s="257">
        <f>IF(BW$7="Actual","",IFERROR((INDEX($M126:$Q126,,MATCH(BW$4,$M$4:$Q$4,0))),0))</f>
        <v/>
      </c>
      <c r="BX126" s="257">
        <f>IF(BX$7="Actual","",IFERROR((INDEX($M126:$Q126,,MATCH(BX$4,$M$4:$Q$4,0))),0))</f>
        <v/>
      </c>
      <c r="BY126" s="257">
        <f>IF(BY$7="Actual","",IFERROR((INDEX($M126:$Q126,,MATCH(BY$4,$M$4:$Q$4,0))),0))</f>
        <v/>
      </c>
      <c r="BZ126" s="257">
        <f>IF(BZ$7="Actual","",IFERROR((INDEX($M126:$Q126,,MATCH(BZ$4,$M$4:$Q$4,0))),0))</f>
        <v/>
      </c>
      <c r="CA126" s="257">
        <f>IF(CA$7="Actual","",IFERROR((INDEX($M126:$Q126,,MATCH(CA$4,$M$4:$Q$4,0))),0))</f>
        <v/>
      </c>
    </row>
    <row r="127" ht="12" customHeight="1" s="227">
      <c r="A127" s="244" t="n"/>
      <c r="B127" s="244" t="n"/>
      <c r="C127" s="244" t="n"/>
      <c r="H127" s="0">
        <f>H117</f>
        <v/>
      </c>
      <c r="I127" s="27">
        <f>i_Setup!$M$16</f>
        <v/>
      </c>
      <c r="K127" s="6" t="n"/>
      <c r="M127" s="257">
        <f>IF(M$7="Actual","",i_Assumptions!M120)</f>
        <v/>
      </c>
      <c r="N127" s="257">
        <f>IF(N$7="Actual","",i_Assumptions!N120)</f>
        <v/>
      </c>
      <c r="O127" s="257">
        <f>IF(O$7="Actual","",i_Assumptions!O120)</f>
        <v/>
      </c>
      <c r="P127" s="257">
        <f>IF(P$7="Actual","",i_Assumptions!P120)</f>
        <v/>
      </c>
      <c r="Q127" s="257">
        <f>IF(Q$7="Actual","",i_Assumptions!Q120)</f>
        <v/>
      </c>
      <c r="T127" s="257">
        <f>IF(T$7="Actual","",IFERROR((INDEX($M127:$Q127,,MATCH(T$4,$M$4:$Q$4,0))),0))</f>
        <v/>
      </c>
      <c r="U127" s="257">
        <f>IF(U$7="Actual","",IFERROR((INDEX($M127:$Q127,,MATCH(U$4,$M$4:$Q$4,0))),0))</f>
        <v/>
      </c>
      <c r="V127" s="257">
        <f>IF(V$7="Actual","",IFERROR((INDEX($M127:$Q127,,MATCH(V$4,$M$4:$Q$4,0))),0))</f>
        <v/>
      </c>
      <c r="W127" s="257">
        <f>IF(W$7="Actual","",IFERROR((INDEX($M127:$Q127,,MATCH(W$4,$M$4:$Q$4,0))),0))</f>
        <v/>
      </c>
      <c r="X127" s="257">
        <f>IF(X$7="Actual","",IFERROR((INDEX($M127:$Q127,,MATCH(X$4,$M$4:$Q$4,0))),0))</f>
        <v/>
      </c>
      <c r="Y127" s="257">
        <f>IF(Y$7="Actual","",IFERROR((INDEX($M127:$Q127,,MATCH(Y$4,$M$4:$Q$4,0))),0))</f>
        <v/>
      </c>
      <c r="Z127" s="257">
        <f>IF(Z$7="Actual","",IFERROR((INDEX($M127:$Q127,,MATCH(Z$4,$M$4:$Q$4,0))),0))</f>
        <v/>
      </c>
      <c r="AA127" s="257">
        <f>IF(AA$7="Actual","",IFERROR((INDEX($M127:$Q127,,MATCH(AA$4,$M$4:$Q$4,0))),0))</f>
        <v/>
      </c>
      <c r="AB127" s="257">
        <f>IF(AB$7="Actual","",IFERROR((INDEX($M127:$Q127,,MATCH(AB$4,$M$4:$Q$4,0))),0))</f>
        <v/>
      </c>
      <c r="AC127" s="257">
        <f>IF(AC$7="Actual","",IFERROR((INDEX($M127:$Q127,,MATCH(AC$4,$M$4:$Q$4,0))),0))</f>
        <v/>
      </c>
      <c r="AD127" s="257">
        <f>IF(AD$7="Actual","",IFERROR((INDEX($M127:$Q127,,MATCH(AD$4,$M$4:$Q$4,0))),0))</f>
        <v/>
      </c>
      <c r="AE127" s="257">
        <f>IF(AE$7="Actual","",IFERROR((INDEX($M127:$Q127,,MATCH(AE$4,$M$4:$Q$4,0))),0))</f>
        <v/>
      </c>
      <c r="AF127" s="257">
        <f>IF(AF$7="Actual","",IFERROR((INDEX($M127:$Q127,,MATCH(AF$4,$M$4:$Q$4,0))),0))</f>
        <v/>
      </c>
      <c r="AG127" s="257">
        <f>IF(AG$7="Actual","",IFERROR((INDEX($M127:$Q127,,MATCH(AG$4,$M$4:$Q$4,0))),0))</f>
        <v/>
      </c>
      <c r="AH127" s="257">
        <f>IF(AH$7="Actual","",IFERROR((INDEX($M127:$Q127,,MATCH(AH$4,$M$4:$Q$4,0))),0))</f>
        <v/>
      </c>
      <c r="AI127" s="257">
        <f>IF(AI$7="Actual","",IFERROR((INDEX($M127:$Q127,,MATCH(AI$4,$M$4:$Q$4,0))),0))</f>
        <v/>
      </c>
      <c r="AJ127" s="257">
        <f>IF(AJ$7="Actual","",IFERROR((INDEX($M127:$Q127,,MATCH(AJ$4,$M$4:$Q$4,0))),0))</f>
        <v/>
      </c>
      <c r="AK127" s="257">
        <f>IF(AK$7="Actual","",IFERROR((INDEX($M127:$Q127,,MATCH(AK$4,$M$4:$Q$4,0))),0))</f>
        <v/>
      </c>
      <c r="AL127" s="257">
        <f>IF(AL$7="Actual","",IFERROR((INDEX($M127:$Q127,,MATCH(AL$4,$M$4:$Q$4,0))),0))</f>
        <v/>
      </c>
      <c r="AM127" s="257">
        <f>IF(AM$7="Actual","",IFERROR((INDEX($M127:$Q127,,MATCH(AM$4,$M$4:$Q$4,0))),0))</f>
        <v/>
      </c>
      <c r="AN127" s="257">
        <f>IF(AN$7="Actual","",IFERROR((INDEX($M127:$Q127,,MATCH(AN$4,$M$4:$Q$4,0))),0))</f>
        <v/>
      </c>
      <c r="AO127" s="257">
        <f>IF(AO$7="Actual","",IFERROR((INDEX($M127:$Q127,,MATCH(AO$4,$M$4:$Q$4,0))),0))</f>
        <v/>
      </c>
      <c r="AP127" s="257">
        <f>IF(AP$7="Actual","",IFERROR((INDEX($M127:$Q127,,MATCH(AP$4,$M$4:$Q$4,0))),0))</f>
        <v/>
      </c>
      <c r="AQ127" s="257">
        <f>IF(AQ$7="Actual","",IFERROR((INDEX($M127:$Q127,,MATCH(AQ$4,$M$4:$Q$4,0))),0))</f>
        <v/>
      </c>
      <c r="AR127" s="257">
        <f>IF(AR$7="Actual","",IFERROR((INDEX($M127:$Q127,,MATCH(AR$4,$M$4:$Q$4,0))),0))</f>
        <v/>
      </c>
      <c r="AS127" s="257">
        <f>IF(AS$7="Actual","",IFERROR((INDEX($M127:$Q127,,MATCH(AS$4,$M$4:$Q$4,0))),0))</f>
        <v/>
      </c>
      <c r="AT127" s="257">
        <f>IF(AT$7="Actual","",IFERROR((INDEX($M127:$Q127,,MATCH(AT$4,$M$4:$Q$4,0))),0))</f>
        <v/>
      </c>
      <c r="AU127" s="257">
        <f>IF(AU$7="Actual","",IFERROR((INDEX($M127:$Q127,,MATCH(AU$4,$M$4:$Q$4,0))),0))</f>
        <v/>
      </c>
      <c r="AV127" s="257">
        <f>IF(AV$7="Actual","",IFERROR((INDEX($M127:$Q127,,MATCH(AV$4,$M$4:$Q$4,0))),0))</f>
        <v/>
      </c>
      <c r="AW127" s="257">
        <f>IF(AW$7="Actual","",IFERROR((INDEX($M127:$Q127,,MATCH(AW$4,$M$4:$Q$4,0))),0))</f>
        <v/>
      </c>
      <c r="AX127" s="257">
        <f>IF(AX$7="Actual","",IFERROR((INDEX($M127:$Q127,,MATCH(AX$4,$M$4:$Q$4,0))),0))</f>
        <v/>
      </c>
      <c r="AY127" s="257">
        <f>IF(AY$7="Actual","",IFERROR((INDEX($M127:$Q127,,MATCH(AY$4,$M$4:$Q$4,0))),0))</f>
        <v/>
      </c>
      <c r="AZ127" s="257">
        <f>IF(AZ$7="Actual","",IFERROR((INDEX($M127:$Q127,,MATCH(AZ$4,$M$4:$Q$4,0))),0))</f>
        <v/>
      </c>
      <c r="BA127" s="257">
        <f>IF(BA$7="Actual","",IFERROR((INDEX($M127:$Q127,,MATCH(BA$4,$M$4:$Q$4,0))),0))</f>
        <v/>
      </c>
      <c r="BB127" s="257">
        <f>IF(BB$7="Actual","",IFERROR((INDEX($M127:$Q127,,MATCH(BB$4,$M$4:$Q$4,0))),0))</f>
        <v/>
      </c>
      <c r="BC127" s="257">
        <f>IF(BC$7="Actual","",IFERROR((INDEX($M127:$Q127,,MATCH(BC$4,$M$4:$Q$4,0))),0))</f>
        <v/>
      </c>
      <c r="BD127" s="257">
        <f>IF(BD$7="Actual","",IFERROR((INDEX($M127:$Q127,,MATCH(BD$4,$M$4:$Q$4,0))),0))</f>
        <v/>
      </c>
      <c r="BE127" s="257">
        <f>IF(BE$7="Actual","",IFERROR((INDEX($M127:$Q127,,MATCH(BE$4,$M$4:$Q$4,0))),0))</f>
        <v/>
      </c>
      <c r="BF127" s="257">
        <f>IF(BF$7="Actual","",IFERROR((INDEX($M127:$Q127,,MATCH(BF$4,$M$4:$Q$4,0))),0))</f>
        <v/>
      </c>
      <c r="BG127" s="257">
        <f>IF(BG$7="Actual","",IFERROR((INDEX($M127:$Q127,,MATCH(BG$4,$M$4:$Q$4,0))),0))</f>
        <v/>
      </c>
      <c r="BH127" s="257">
        <f>IF(BH$7="Actual","",IFERROR((INDEX($M127:$Q127,,MATCH(BH$4,$M$4:$Q$4,0))),0))</f>
        <v/>
      </c>
      <c r="BI127" s="257">
        <f>IF(BI$7="Actual","",IFERROR((INDEX($M127:$Q127,,MATCH(BI$4,$M$4:$Q$4,0))),0))</f>
        <v/>
      </c>
      <c r="BJ127" s="257">
        <f>IF(BJ$7="Actual","",IFERROR((INDEX($M127:$Q127,,MATCH(BJ$4,$M$4:$Q$4,0))),0))</f>
        <v/>
      </c>
      <c r="BK127" s="257">
        <f>IF(BK$7="Actual","",IFERROR((INDEX($M127:$Q127,,MATCH(BK$4,$M$4:$Q$4,0))),0))</f>
        <v/>
      </c>
      <c r="BL127" s="257">
        <f>IF(BL$7="Actual","",IFERROR((INDEX($M127:$Q127,,MATCH(BL$4,$M$4:$Q$4,0))),0))</f>
        <v/>
      </c>
      <c r="BM127" s="257">
        <f>IF(BM$7="Actual","",IFERROR((INDEX($M127:$Q127,,MATCH(BM$4,$M$4:$Q$4,0))),0))</f>
        <v/>
      </c>
      <c r="BN127" s="257">
        <f>IF(BN$7="Actual","",IFERROR((INDEX($M127:$Q127,,MATCH(BN$4,$M$4:$Q$4,0))),0))</f>
        <v/>
      </c>
      <c r="BO127" s="257">
        <f>IF(BO$7="Actual","",IFERROR((INDEX($M127:$Q127,,MATCH(BO$4,$M$4:$Q$4,0))),0))</f>
        <v/>
      </c>
      <c r="BP127" s="257">
        <f>IF(BP$7="Actual","",IFERROR((INDEX($M127:$Q127,,MATCH(BP$4,$M$4:$Q$4,0))),0))</f>
        <v/>
      </c>
      <c r="BQ127" s="257">
        <f>IF(BQ$7="Actual","",IFERROR((INDEX($M127:$Q127,,MATCH(BQ$4,$M$4:$Q$4,0))),0))</f>
        <v/>
      </c>
      <c r="BR127" s="257">
        <f>IF(BR$7="Actual","",IFERROR((INDEX($M127:$Q127,,MATCH(BR$4,$M$4:$Q$4,0))),0))</f>
        <v/>
      </c>
      <c r="BS127" s="257">
        <f>IF(BS$7="Actual","",IFERROR((INDEX($M127:$Q127,,MATCH(BS$4,$M$4:$Q$4,0))),0))</f>
        <v/>
      </c>
      <c r="BT127" s="257">
        <f>IF(BT$7="Actual","",IFERROR((INDEX($M127:$Q127,,MATCH(BT$4,$M$4:$Q$4,0))),0))</f>
        <v/>
      </c>
      <c r="BU127" s="257">
        <f>IF(BU$7="Actual","",IFERROR((INDEX($M127:$Q127,,MATCH(BU$4,$M$4:$Q$4,0))),0))</f>
        <v/>
      </c>
      <c r="BV127" s="257">
        <f>IF(BV$7="Actual","",IFERROR((INDEX($M127:$Q127,,MATCH(BV$4,$M$4:$Q$4,0))),0))</f>
        <v/>
      </c>
      <c r="BW127" s="257">
        <f>IF(BW$7="Actual","",IFERROR((INDEX($M127:$Q127,,MATCH(BW$4,$M$4:$Q$4,0))),0))</f>
        <v/>
      </c>
      <c r="BX127" s="257">
        <f>IF(BX$7="Actual","",IFERROR((INDEX($M127:$Q127,,MATCH(BX$4,$M$4:$Q$4,0))),0))</f>
        <v/>
      </c>
      <c r="BY127" s="257">
        <f>IF(BY$7="Actual","",IFERROR((INDEX($M127:$Q127,,MATCH(BY$4,$M$4:$Q$4,0))),0))</f>
        <v/>
      </c>
      <c r="BZ127" s="257">
        <f>IF(BZ$7="Actual","",IFERROR((INDEX($M127:$Q127,,MATCH(BZ$4,$M$4:$Q$4,0))),0))</f>
        <v/>
      </c>
      <c r="CA127" s="257">
        <f>IF(CA$7="Actual","",IFERROR((INDEX($M127:$Q127,,MATCH(CA$4,$M$4:$Q$4,0))),0))</f>
        <v/>
      </c>
    </row>
    <row r="128" ht="12" customHeight="1" s="227">
      <c r="A128" s="244" t="n"/>
      <c r="B128" s="244" t="n"/>
      <c r="C128" s="244" t="n"/>
      <c r="H128" s="0">
        <f>H118</f>
        <v/>
      </c>
      <c r="I128" s="27">
        <f>i_Setup!$M$16</f>
        <v/>
      </c>
      <c r="K128" s="6" t="n"/>
      <c r="M128" s="257">
        <f>IF(M$7="Actual","",i_Assumptions!M121)</f>
        <v/>
      </c>
      <c r="N128" s="257">
        <f>IF(N$7="Actual","",i_Assumptions!N121)</f>
        <v/>
      </c>
      <c r="O128" s="257">
        <f>IF(O$7="Actual","",i_Assumptions!O121)</f>
        <v/>
      </c>
      <c r="P128" s="257">
        <f>IF(P$7="Actual","",i_Assumptions!P121)</f>
        <v/>
      </c>
      <c r="Q128" s="257">
        <f>IF(Q$7="Actual","",i_Assumptions!Q121)</f>
        <v/>
      </c>
      <c r="T128" s="257">
        <f>IF(T$7="Actual","",IFERROR((INDEX($M128:$Q128,,MATCH(T$4,$M$4:$Q$4,0))),0))</f>
        <v/>
      </c>
      <c r="U128" s="257">
        <f>IF(U$7="Actual","",IFERROR((INDEX($M128:$Q128,,MATCH(U$4,$M$4:$Q$4,0))),0))</f>
        <v/>
      </c>
      <c r="V128" s="257">
        <f>IF(V$7="Actual","",IFERROR((INDEX($M128:$Q128,,MATCH(V$4,$M$4:$Q$4,0))),0))</f>
        <v/>
      </c>
      <c r="W128" s="257">
        <f>IF(W$7="Actual","",IFERROR((INDEX($M128:$Q128,,MATCH(W$4,$M$4:$Q$4,0))),0))</f>
        <v/>
      </c>
      <c r="X128" s="257">
        <f>IF(X$7="Actual","",IFERROR((INDEX($M128:$Q128,,MATCH(X$4,$M$4:$Q$4,0))),0))</f>
        <v/>
      </c>
      <c r="Y128" s="257">
        <f>IF(Y$7="Actual","",IFERROR((INDEX($M128:$Q128,,MATCH(Y$4,$M$4:$Q$4,0))),0))</f>
        <v/>
      </c>
      <c r="Z128" s="257">
        <f>IF(Z$7="Actual","",IFERROR((INDEX($M128:$Q128,,MATCH(Z$4,$M$4:$Q$4,0))),0))</f>
        <v/>
      </c>
      <c r="AA128" s="257">
        <f>IF(AA$7="Actual","",IFERROR((INDEX($M128:$Q128,,MATCH(AA$4,$M$4:$Q$4,0))),0))</f>
        <v/>
      </c>
      <c r="AB128" s="257">
        <f>IF(AB$7="Actual","",IFERROR((INDEX($M128:$Q128,,MATCH(AB$4,$M$4:$Q$4,0))),0))</f>
        <v/>
      </c>
      <c r="AC128" s="257">
        <f>IF(AC$7="Actual","",IFERROR((INDEX($M128:$Q128,,MATCH(AC$4,$M$4:$Q$4,0))),0))</f>
        <v/>
      </c>
      <c r="AD128" s="257">
        <f>IF(AD$7="Actual","",IFERROR((INDEX($M128:$Q128,,MATCH(AD$4,$M$4:$Q$4,0))),0))</f>
        <v/>
      </c>
      <c r="AE128" s="257">
        <f>IF(AE$7="Actual","",IFERROR((INDEX($M128:$Q128,,MATCH(AE$4,$M$4:$Q$4,0))),0))</f>
        <v/>
      </c>
      <c r="AF128" s="257">
        <f>IF(AF$7="Actual","",IFERROR((INDEX($M128:$Q128,,MATCH(AF$4,$M$4:$Q$4,0))),0))</f>
        <v/>
      </c>
      <c r="AG128" s="257">
        <f>IF(AG$7="Actual","",IFERROR((INDEX($M128:$Q128,,MATCH(AG$4,$M$4:$Q$4,0))),0))</f>
        <v/>
      </c>
      <c r="AH128" s="257">
        <f>IF(AH$7="Actual","",IFERROR((INDEX($M128:$Q128,,MATCH(AH$4,$M$4:$Q$4,0))),0))</f>
        <v/>
      </c>
      <c r="AI128" s="257">
        <f>IF(AI$7="Actual","",IFERROR((INDEX($M128:$Q128,,MATCH(AI$4,$M$4:$Q$4,0))),0))</f>
        <v/>
      </c>
      <c r="AJ128" s="257">
        <f>IF(AJ$7="Actual","",IFERROR((INDEX($M128:$Q128,,MATCH(AJ$4,$M$4:$Q$4,0))),0))</f>
        <v/>
      </c>
      <c r="AK128" s="257">
        <f>IF(AK$7="Actual","",IFERROR((INDEX($M128:$Q128,,MATCH(AK$4,$M$4:$Q$4,0))),0))</f>
        <v/>
      </c>
      <c r="AL128" s="257">
        <f>IF(AL$7="Actual","",IFERROR((INDEX($M128:$Q128,,MATCH(AL$4,$M$4:$Q$4,0))),0))</f>
        <v/>
      </c>
      <c r="AM128" s="257">
        <f>IF(AM$7="Actual","",IFERROR((INDEX($M128:$Q128,,MATCH(AM$4,$M$4:$Q$4,0))),0))</f>
        <v/>
      </c>
      <c r="AN128" s="257">
        <f>IF(AN$7="Actual","",IFERROR((INDEX($M128:$Q128,,MATCH(AN$4,$M$4:$Q$4,0))),0))</f>
        <v/>
      </c>
      <c r="AO128" s="257">
        <f>IF(AO$7="Actual","",IFERROR((INDEX($M128:$Q128,,MATCH(AO$4,$M$4:$Q$4,0))),0))</f>
        <v/>
      </c>
      <c r="AP128" s="257">
        <f>IF(AP$7="Actual","",IFERROR((INDEX($M128:$Q128,,MATCH(AP$4,$M$4:$Q$4,0))),0))</f>
        <v/>
      </c>
      <c r="AQ128" s="257">
        <f>IF(AQ$7="Actual","",IFERROR((INDEX($M128:$Q128,,MATCH(AQ$4,$M$4:$Q$4,0))),0))</f>
        <v/>
      </c>
      <c r="AR128" s="257">
        <f>IF(AR$7="Actual","",IFERROR((INDEX($M128:$Q128,,MATCH(AR$4,$M$4:$Q$4,0))),0))</f>
        <v/>
      </c>
      <c r="AS128" s="257">
        <f>IF(AS$7="Actual","",IFERROR((INDEX($M128:$Q128,,MATCH(AS$4,$M$4:$Q$4,0))),0))</f>
        <v/>
      </c>
      <c r="AT128" s="257">
        <f>IF(AT$7="Actual","",IFERROR((INDEX($M128:$Q128,,MATCH(AT$4,$M$4:$Q$4,0))),0))</f>
        <v/>
      </c>
      <c r="AU128" s="257">
        <f>IF(AU$7="Actual","",IFERROR((INDEX($M128:$Q128,,MATCH(AU$4,$M$4:$Q$4,0))),0))</f>
        <v/>
      </c>
      <c r="AV128" s="257">
        <f>IF(AV$7="Actual","",IFERROR((INDEX($M128:$Q128,,MATCH(AV$4,$M$4:$Q$4,0))),0))</f>
        <v/>
      </c>
      <c r="AW128" s="257">
        <f>IF(AW$7="Actual","",IFERROR((INDEX($M128:$Q128,,MATCH(AW$4,$M$4:$Q$4,0))),0))</f>
        <v/>
      </c>
      <c r="AX128" s="257">
        <f>IF(AX$7="Actual","",IFERROR((INDEX($M128:$Q128,,MATCH(AX$4,$M$4:$Q$4,0))),0))</f>
        <v/>
      </c>
      <c r="AY128" s="257">
        <f>IF(AY$7="Actual","",IFERROR((INDEX($M128:$Q128,,MATCH(AY$4,$M$4:$Q$4,0))),0))</f>
        <v/>
      </c>
      <c r="AZ128" s="257">
        <f>IF(AZ$7="Actual","",IFERROR((INDEX($M128:$Q128,,MATCH(AZ$4,$M$4:$Q$4,0))),0))</f>
        <v/>
      </c>
      <c r="BA128" s="257">
        <f>IF(BA$7="Actual","",IFERROR((INDEX($M128:$Q128,,MATCH(BA$4,$M$4:$Q$4,0))),0))</f>
        <v/>
      </c>
      <c r="BB128" s="257">
        <f>IF(BB$7="Actual","",IFERROR((INDEX($M128:$Q128,,MATCH(BB$4,$M$4:$Q$4,0))),0))</f>
        <v/>
      </c>
      <c r="BC128" s="257">
        <f>IF(BC$7="Actual","",IFERROR((INDEX($M128:$Q128,,MATCH(BC$4,$M$4:$Q$4,0))),0))</f>
        <v/>
      </c>
      <c r="BD128" s="257">
        <f>IF(BD$7="Actual","",IFERROR((INDEX($M128:$Q128,,MATCH(BD$4,$M$4:$Q$4,0))),0))</f>
        <v/>
      </c>
      <c r="BE128" s="257">
        <f>IF(BE$7="Actual","",IFERROR((INDEX($M128:$Q128,,MATCH(BE$4,$M$4:$Q$4,0))),0))</f>
        <v/>
      </c>
      <c r="BF128" s="257">
        <f>IF(BF$7="Actual","",IFERROR((INDEX($M128:$Q128,,MATCH(BF$4,$M$4:$Q$4,0))),0))</f>
        <v/>
      </c>
      <c r="BG128" s="257">
        <f>IF(BG$7="Actual","",IFERROR((INDEX($M128:$Q128,,MATCH(BG$4,$M$4:$Q$4,0))),0))</f>
        <v/>
      </c>
      <c r="BH128" s="257">
        <f>IF(BH$7="Actual","",IFERROR((INDEX($M128:$Q128,,MATCH(BH$4,$M$4:$Q$4,0))),0))</f>
        <v/>
      </c>
      <c r="BI128" s="257">
        <f>IF(BI$7="Actual","",IFERROR((INDEX($M128:$Q128,,MATCH(BI$4,$M$4:$Q$4,0))),0))</f>
        <v/>
      </c>
      <c r="BJ128" s="257">
        <f>IF(BJ$7="Actual","",IFERROR((INDEX($M128:$Q128,,MATCH(BJ$4,$M$4:$Q$4,0))),0))</f>
        <v/>
      </c>
      <c r="BK128" s="257">
        <f>IF(BK$7="Actual","",IFERROR((INDEX($M128:$Q128,,MATCH(BK$4,$M$4:$Q$4,0))),0))</f>
        <v/>
      </c>
      <c r="BL128" s="257">
        <f>IF(BL$7="Actual","",IFERROR((INDEX($M128:$Q128,,MATCH(BL$4,$M$4:$Q$4,0))),0))</f>
        <v/>
      </c>
      <c r="BM128" s="257">
        <f>IF(BM$7="Actual","",IFERROR((INDEX($M128:$Q128,,MATCH(BM$4,$M$4:$Q$4,0))),0))</f>
        <v/>
      </c>
      <c r="BN128" s="257">
        <f>IF(BN$7="Actual","",IFERROR((INDEX($M128:$Q128,,MATCH(BN$4,$M$4:$Q$4,0))),0))</f>
        <v/>
      </c>
      <c r="BO128" s="257">
        <f>IF(BO$7="Actual","",IFERROR((INDEX($M128:$Q128,,MATCH(BO$4,$M$4:$Q$4,0))),0))</f>
        <v/>
      </c>
      <c r="BP128" s="257">
        <f>IF(BP$7="Actual","",IFERROR((INDEX($M128:$Q128,,MATCH(BP$4,$M$4:$Q$4,0))),0))</f>
        <v/>
      </c>
      <c r="BQ128" s="257">
        <f>IF(BQ$7="Actual","",IFERROR((INDEX($M128:$Q128,,MATCH(BQ$4,$M$4:$Q$4,0))),0))</f>
        <v/>
      </c>
      <c r="BR128" s="257">
        <f>IF(BR$7="Actual","",IFERROR((INDEX($M128:$Q128,,MATCH(BR$4,$M$4:$Q$4,0))),0))</f>
        <v/>
      </c>
      <c r="BS128" s="257">
        <f>IF(BS$7="Actual","",IFERROR((INDEX($M128:$Q128,,MATCH(BS$4,$M$4:$Q$4,0))),0))</f>
        <v/>
      </c>
      <c r="BT128" s="257">
        <f>IF(BT$7="Actual","",IFERROR((INDEX($M128:$Q128,,MATCH(BT$4,$M$4:$Q$4,0))),0))</f>
        <v/>
      </c>
      <c r="BU128" s="257">
        <f>IF(BU$7="Actual","",IFERROR((INDEX($M128:$Q128,,MATCH(BU$4,$M$4:$Q$4,0))),0))</f>
        <v/>
      </c>
      <c r="BV128" s="257">
        <f>IF(BV$7="Actual","",IFERROR((INDEX($M128:$Q128,,MATCH(BV$4,$M$4:$Q$4,0))),0))</f>
        <v/>
      </c>
      <c r="BW128" s="257">
        <f>IF(BW$7="Actual","",IFERROR((INDEX($M128:$Q128,,MATCH(BW$4,$M$4:$Q$4,0))),0))</f>
        <v/>
      </c>
      <c r="BX128" s="257">
        <f>IF(BX$7="Actual","",IFERROR((INDEX($M128:$Q128,,MATCH(BX$4,$M$4:$Q$4,0))),0))</f>
        <v/>
      </c>
      <c r="BY128" s="257">
        <f>IF(BY$7="Actual","",IFERROR((INDEX($M128:$Q128,,MATCH(BY$4,$M$4:$Q$4,0))),0))</f>
        <v/>
      </c>
      <c r="BZ128" s="257">
        <f>IF(BZ$7="Actual","",IFERROR((INDEX($M128:$Q128,,MATCH(BZ$4,$M$4:$Q$4,0))),0))</f>
        <v/>
      </c>
      <c r="CA128" s="257">
        <f>IF(CA$7="Actual","",IFERROR((INDEX($M128:$Q128,,MATCH(CA$4,$M$4:$Q$4,0))),0))</f>
        <v/>
      </c>
    </row>
    <row r="129" ht="12" customHeight="1" s="227">
      <c r="A129" s="244" t="n"/>
      <c r="B129" s="244" t="n"/>
      <c r="C129" s="244" t="n"/>
      <c r="H129" s="0">
        <f>H119</f>
        <v/>
      </c>
      <c r="I129" s="27">
        <f>i_Setup!$M$16</f>
        <v/>
      </c>
      <c r="K129" s="6" t="n"/>
      <c r="M129" s="257">
        <f>IF(M$7="Actual","",i_Assumptions!M122)</f>
        <v/>
      </c>
      <c r="N129" s="257">
        <f>IF(N$7="Actual","",i_Assumptions!N122)</f>
        <v/>
      </c>
      <c r="O129" s="257">
        <f>IF(O$7="Actual","",i_Assumptions!O122)</f>
        <v/>
      </c>
      <c r="P129" s="257">
        <f>IF(P$7="Actual","",i_Assumptions!P122)</f>
        <v/>
      </c>
      <c r="Q129" s="257">
        <f>IF(Q$7="Actual","",i_Assumptions!Q122)</f>
        <v/>
      </c>
      <c r="T129" s="257">
        <f>IF(T$7="Actual","",IFERROR((INDEX($M129:$Q129,,MATCH(T$4,$M$4:$Q$4,0))),0))</f>
        <v/>
      </c>
      <c r="U129" s="257">
        <f>IF(U$7="Actual","",IFERROR((INDEX($M129:$Q129,,MATCH(U$4,$M$4:$Q$4,0))),0))</f>
        <v/>
      </c>
      <c r="V129" s="257">
        <f>IF(V$7="Actual","",IFERROR((INDEX($M129:$Q129,,MATCH(V$4,$M$4:$Q$4,0))),0))</f>
        <v/>
      </c>
      <c r="W129" s="257">
        <f>IF(W$7="Actual","",IFERROR((INDEX($M129:$Q129,,MATCH(W$4,$M$4:$Q$4,0))),0))</f>
        <v/>
      </c>
      <c r="X129" s="257">
        <f>IF(X$7="Actual","",IFERROR((INDEX($M129:$Q129,,MATCH(X$4,$M$4:$Q$4,0))),0))</f>
        <v/>
      </c>
      <c r="Y129" s="257">
        <f>IF(Y$7="Actual","",IFERROR((INDEX($M129:$Q129,,MATCH(Y$4,$M$4:$Q$4,0))),0))</f>
        <v/>
      </c>
      <c r="Z129" s="257">
        <f>IF(Z$7="Actual","",IFERROR((INDEX($M129:$Q129,,MATCH(Z$4,$M$4:$Q$4,0))),0))</f>
        <v/>
      </c>
      <c r="AA129" s="257">
        <f>IF(AA$7="Actual","",IFERROR((INDEX($M129:$Q129,,MATCH(AA$4,$M$4:$Q$4,0))),0))</f>
        <v/>
      </c>
      <c r="AB129" s="257">
        <f>IF(AB$7="Actual","",IFERROR((INDEX($M129:$Q129,,MATCH(AB$4,$M$4:$Q$4,0))),0))</f>
        <v/>
      </c>
      <c r="AC129" s="257">
        <f>IF(AC$7="Actual","",IFERROR((INDEX($M129:$Q129,,MATCH(AC$4,$M$4:$Q$4,0))),0))</f>
        <v/>
      </c>
      <c r="AD129" s="257">
        <f>IF(AD$7="Actual","",IFERROR((INDEX($M129:$Q129,,MATCH(AD$4,$M$4:$Q$4,0))),0))</f>
        <v/>
      </c>
      <c r="AE129" s="257">
        <f>IF(AE$7="Actual","",IFERROR((INDEX($M129:$Q129,,MATCH(AE$4,$M$4:$Q$4,0))),0))</f>
        <v/>
      </c>
      <c r="AF129" s="257">
        <f>IF(AF$7="Actual","",IFERROR((INDEX($M129:$Q129,,MATCH(AF$4,$M$4:$Q$4,0))),0))</f>
        <v/>
      </c>
      <c r="AG129" s="257">
        <f>IF(AG$7="Actual","",IFERROR((INDEX($M129:$Q129,,MATCH(AG$4,$M$4:$Q$4,0))),0))</f>
        <v/>
      </c>
      <c r="AH129" s="257">
        <f>IF(AH$7="Actual","",IFERROR((INDEX($M129:$Q129,,MATCH(AH$4,$M$4:$Q$4,0))),0))</f>
        <v/>
      </c>
      <c r="AI129" s="257">
        <f>IF(AI$7="Actual","",IFERROR((INDEX($M129:$Q129,,MATCH(AI$4,$M$4:$Q$4,0))),0))</f>
        <v/>
      </c>
      <c r="AJ129" s="257">
        <f>IF(AJ$7="Actual","",IFERROR((INDEX($M129:$Q129,,MATCH(AJ$4,$M$4:$Q$4,0))),0))</f>
        <v/>
      </c>
      <c r="AK129" s="257">
        <f>IF(AK$7="Actual","",IFERROR((INDEX($M129:$Q129,,MATCH(AK$4,$M$4:$Q$4,0))),0))</f>
        <v/>
      </c>
      <c r="AL129" s="257">
        <f>IF(AL$7="Actual","",IFERROR((INDEX($M129:$Q129,,MATCH(AL$4,$M$4:$Q$4,0))),0))</f>
        <v/>
      </c>
      <c r="AM129" s="257">
        <f>IF(AM$7="Actual","",IFERROR((INDEX($M129:$Q129,,MATCH(AM$4,$M$4:$Q$4,0))),0))</f>
        <v/>
      </c>
      <c r="AN129" s="257">
        <f>IF(AN$7="Actual","",IFERROR((INDEX($M129:$Q129,,MATCH(AN$4,$M$4:$Q$4,0))),0))</f>
        <v/>
      </c>
      <c r="AO129" s="257">
        <f>IF(AO$7="Actual","",IFERROR((INDEX($M129:$Q129,,MATCH(AO$4,$M$4:$Q$4,0))),0))</f>
        <v/>
      </c>
      <c r="AP129" s="257">
        <f>IF(AP$7="Actual","",IFERROR((INDEX($M129:$Q129,,MATCH(AP$4,$M$4:$Q$4,0))),0))</f>
        <v/>
      </c>
      <c r="AQ129" s="257">
        <f>IF(AQ$7="Actual","",IFERROR((INDEX($M129:$Q129,,MATCH(AQ$4,$M$4:$Q$4,0))),0))</f>
        <v/>
      </c>
      <c r="AR129" s="257">
        <f>IF(AR$7="Actual","",IFERROR((INDEX($M129:$Q129,,MATCH(AR$4,$M$4:$Q$4,0))),0))</f>
        <v/>
      </c>
      <c r="AS129" s="257">
        <f>IF(AS$7="Actual","",IFERROR((INDEX($M129:$Q129,,MATCH(AS$4,$M$4:$Q$4,0))),0))</f>
        <v/>
      </c>
      <c r="AT129" s="257">
        <f>IF(AT$7="Actual","",IFERROR((INDEX($M129:$Q129,,MATCH(AT$4,$M$4:$Q$4,0))),0))</f>
        <v/>
      </c>
      <c r="AU129" s="257">
        <f>IF(AU$7="Actual","",IFERROR((INDEX($M129:$Q129,,MATCH(AU$4,$M$4:$Q$4,0))),0))</f>
        <v/>
      </c>
      <c r="AV129" s="257">
        <f>IF(AV$7="Actual","",IFERROR((INDEX($M129:$Q129,,MATCH(AV$4,$M$4:$Q$4,0))),0))</f>
        <v/>
      </c>
      <c r="AW129" s="257">
        <f>IF(AW$7="Actual","",IFERROR((INDEX($M129:$Q129,,MATCH(AW$4,$M$4:$Q$4,0))),0))</f>
        <v/>
      </c>
      <c r="AX129" s="257">
        <f>IF(AX$7="Actual","",IFERROR((INDEX($M129:$Q129,,MATCH(AX$4,$M$4:$Q$4,0))),0))</f>
        <v/>
      </c>
      <c r="AY129" s="257">
        <f>IF(AY$7="Actual","",IFERROR((INDEX($M129:$Q129,,MATCH(AY$4,$M$4:$Q$4,0))),0))</f>
        <v/>
      </c>
      <c r="AZ129" s="257">
        <f>IF(AZ$7="Actual","",IFERROR((INDEX($M129:$Q129,,MATCH(AZ$4,$M$4:$Q$4,0))),0))</f>
        <v/>
      </c>
      <c r="BA129" s="257">
        <f>IF(BA$7="Actual","",IFERROR((INDEX($M129:$Q129,,MATCH(BA$4,$M$4:$Q$4,0))),0))</f>
        <v/>
      </c>
      <c r="BB129" s="257">
        <f>IF(BB$7="Actual","",IFERROR((INDEX($M129:$Q129,,MATCH(BB$4,$M$4:$Q$4,0))),0))</f>
        <v/>
      </c>
      <c r="BC129" s="257">
        <f>IF(BC$7="Actual","",IFERROR((INDEX($M129:$Q129,,MATCH(BC$4,$M$4:$Q$4,0))),0))</f>
        <v/>
      </c>
      <c r="BD129" s="257">
        <f>IF(BD$7="Actual","",IFERROR((INDEX($M129:$Q129,,MATCH(BD$4,$M$4:$Q$4,0))),0))</f>
        <v/>
      </c>
      <c r="BE129" s="257">
        <f>IF(BE$7="Actual","",IFERROR((INDEX($M129:$Q129,,MATCH(BE$4,$M$4:$Q$4,0))),0))</f>
        <v/>
      </c>
      <c r="BF129" s="257">
        <f>IF(BF$7="Actual","",IFERROR((INDEX($M129:$Q129,,MATCH(BF$4,$M$4:$Q$4,0))),0))</f>
        <v/>
      </c>
      <c r="BG129" s="257">
        <f>IF(BG$7="Actual","",IFERROR((INDEX($M129:$Q129,,MATCH(BG$4,$M$4:$Q$4,0))),0))</f>
        <v/>
      </c>
      <c r="BH129" s="257">
        <f>IF(BH$7="Actual","",IFERROR((INDEX($M129:$Q129,,MATCH(BH$4,$M$4:$Q$4,0))),0))</f>
        <v/>
      </c>
      <c r="BI129" s="257">
        <f>IF(BI$7="Actual","",IFERROR((INDEX($M129:$Q129,,MATCH(BI$4,$M$4:$Q$4,0))),0))</f>
        <v/>
      </c>
      <c r="BJ129" s="257">
        <f>IF(BJ$7="Actual","",IFERROR((INDEX($M129:$Q129,,MATCH(BJ$4,$M$4:$Q$4,0))),0))</f>
        <v/>
      </c>
      <c r="BK129" s="257">
        <f>IF(BK$7="Actual","",IFERROR((INDEX($M129:$Q129,,MATCH(BK$4,$M$4:$Q$4,0))),0))</f>
        <v/>
      </c>
      <c r="BL129" s="257">
        <f>IF(BL$7="Actual","",IFERROR((INDEX($M129:$Q129,,MATCH(BL$4,$M$4:$Q$4,0))),0))</f>
        <v/>
      </c>
      <c r="BM129" s="257">
        <f>IF(BM$7="Actual","",IFERROR((INDEX($M129:$Q129,,MATCH(BM$4,$M$4:$Q$4,0))),0))</f>
        <v/>
      </c>
      <c r="BN129" s="257">
        <f>IF(BN$7="Actual","",IFERROR((INDEX($M129:$Q129,,MATCH(BN$4,$M$4:$Q$4,0))),0))</f>
        <v/>
      </c>
      <c r="BO129" s="257">
        <f>IF(BO$7="Actual","",IFERROR((INDEX($M129:$Q129,,MATCH(BO$4,$M$4:$Q$4,0))),0))</f>
        <v/>
      </c>
      <c r="BP129" s="257">
        <f>IF(BP$7="Actual","",IFERROR((INDEX($M129:$Q129,,MATCH(BP$4,$M$4:$Q$4,0))),0))</f>
        <v/>
      </c>
      <c r="BQ129" s="257">
        <f>IF(BQ$7="Actual","",IFERROR((INDEX($M129:$Q129,,MATCH(BQ$4,$M$4:$Q$4,0))),0))</f>
        <v/>
      </c>
      <c r="BR129" s="257">
        <f>IF(BR$7="Actual","",IFERROR((INDEX($M129:$Q129,,MATCH(BR$4,$M$4:$Q$4,0))),0))</f>
        <v/>
      </c>
      <c r="BS129" s="257">
        <f>IF(BS$7="Actual","",IFERROR((INDEX($M129:$Q129,,MATCH(BS$4,$M$4:$Q$4,0))),0))</f>
        <v/>
      </c>
      <c r="BT129" s="257">
        <f>IF(BT$7="Actual","",IFERROR((INDEX($M129:$Q129,,MATCH(BT$4,$M$4:$Q$4,0))),0))</f>
        <v/>
      </c>
      <c r="BU129" s="257">
        <f>IF(BU$7="Actual","",IFERROR((INDEX($M129:$Q129,,MATCH(BU$4,$M$4:$Q$4,0))),0))</f>
        <v/>
      </c>
      <c r="BV129" s="257">
        <f>IF(BV$7="Actual","",IFERROR((INDEX($M129:$Q129,,MATCH(BV$4,$M$4:$Q$4,0))),0))</f>
        <v/>
      </c>
      <c r="BW129" s="257">
        <f>IF(BW$7="Actual","",IFERROR((INDEX($M129:$Q129,,MATCH(BW$4,$M$4:$Q$4,0))),0))</f>
        <v/>
      </c>
      <c r="BX129" s="257">
        <f>IF(BX$7="Actual","",IFERROR((INDEX($M129:$Q129,,MATCH(BX$4,$M$4:$Q$4,0))),0))</f>
        <v/>
      </c>
      <c r="BY129" s="257">
        <f>IF(BY$7="Actual","",IFERROR((INDEX($M129:$Q129,,MATCH(BY$4,$M$4:$Q$4,0))),0))</f>
        <v/>
      </c>
      <c r="BZ129" s="257">
        <f>IF(BZ$7="Actual","",IFERROR((INDEX($M129:$Q129,,MATCH(BZ$4,$M$4:$Q$4,0))),0))</f>
        <v/>
      </c>
      <c r="CA129" s="257">
        <f>IF(CA$7="Actual","",IFERROR((INDEX($M129:$Q129,,MATCH(CA$4,$M$4:$Q$4,0))),0))</f>
        <v/>
      </c>
    </row>
    <row r="130" ht="12" customHeight="1" s="227">
      <c r="A130" s="244" t="n"/>
      <c r="B130" s="244" t="n"/>
      <c r="C130" s="244" t="n"/>
      <c r="H130" s="0" t="n"/>
      <c r="K130" s="6" t="n"/>
    </row>
    <row r="131" ht="12" customHeight="1" s="227">
      <c r="A131" s="244" t="n"/>
      <c r="B131" s="244" t="n"/>
      <c r="C131" s="244" t="n"/>
      <c r="H131" s="8">
        <f>i_Setup!U34</f>
        <v/>
      </c>
      <c r="K131" s="6" t="n"/>
    </row>
    <row r="132" ht="12" customHeight="1" s="227">
      <c r="A132" s="244" t="n"/>
      <c r="B132" s="244" t="n"/>
      <c r="C132" s="244" t="n"/>
      <c r="H132" s="0">
        <f>H122</f>
        <v/>
      </c>
      <c r="I132" s="27">
        <f>i_Setup!$M$16</f>
        <v/>
      </c>
      <c r="K132" s="6" t="n"/>
      <c r="M132" s="257">
        <f>i_Assumptions!M155</f>
        <v/>
      </c>
      <c r="N132" s="257">
        <f>i_Assumptions!N155</f>
        <v/>
      </c>
      <c r="O132" s="257">
        <f>i_Assumptions!O155</f>
        <v/>
      </c>
      <c r="P132" s="257">
        <f>i_Assumptions!P155</f>
        <v/>
      </c>
      <c r="Q132" s="257">
        <f>i_Assumptions!Q155</f>
        <v/>
      </c>
      <c r="T132" s="257">
        <f>IF(T$7="Actual","",IFERROR((INDEX($M132:$Q132,,MATCH(T$4,$M$4:$Q$4,0))),0))</f>
        <v/>
      </c>
      <c r="U132" s="257">
        <f>IF(U$7="Actual","",IFERROR((INDEX($M132:$Q132,,MATCH(U$4,$M$4:$Q$4,0))),0))</f>
        <v/>
      </c>
      <c r="V132" s="257">
        <f>IF(V$7="Actual","",IFERROR((INDEX($M132:$Q132,,MATCH(V$4,$M$4:$Q$4,0))),0))</f>
        <v/>
      </c>
      <c r="W132" s="257">
        <f>IF(W$7="Actual","",IFERROR((INDEX($M132:$Q132,,MATCH(W$4,$M$4:$Q$4,0))),0))</f>
        <v/>
      </c>
      <c r="X132" s="257">
        <f>IF(X$7="Actual","",IFERROR((INDEX($M132:$Q132,,MATCH(X$4,$M$4:$Q$4,0))),0))</f>
        <v/>
      </c>
      <c r="Y132" s="257">
        <f>IF(Y$7="Actual","",IFERROR((INDEX($M132:$Q132,,MATCH(Y$4,$M$4:$Q$4,0))),0))</f>
        <v/>
      </c>
      <c r="Z132" s="257">
        <f>IF(Z$7="Actual","",IFERROR((INDEX($M132:$Q132,,MATCH(Z$4,$M$4:$Q$4,0))),0))</f>
        <v/>
      </c>
      <c r="AA132" s="257">
        <f>IF(AA$7="Actual","",IFERROR((INDEX($M132:$Q132,,MATCH(AA$4,$M$4:$Q$4,0))),0))</f>
        <v/>
      </c>
      <c r="AB132" s="257">
        <f>IF(AB$7="Actual","",IFERROR((INDEX($M132:$Q132,,MATCH(AB$4,$M$4:$Q$4,0))),0))</f>
        <v/>
      </c>
      <c r="AC132" s="257">
        <f>IF(AC$7="Actual","",IFERROR((INDEX($M132:$Q132,,MATCH(AC$4,$M$4:$Q$4,0))),0))</f>
        <v/>
      </c>
      <c r="AD132" s="257">
        <f>IF(AD$7="Actual","",IFERROR((INDEX($M132:$Q132,,MATCH(AD$4,$M$4:$Q$4,0))),0))</f>
        <v/>
      </c>
      <c r="AE132" s="257">
        <f>IF(AE$7="Actual","",IFERROR((INDEX($M132:$Q132,,MATCH(AE$4,$M$4:$Q$4,0))),0))</f>
        <v/>
      </c>
      <c r="AF132" s="257">
        <f>IF(AF$7="Actual","",IFERROR((INDEX($M132:$Q132,,MATCH(AF$4,$M$4:$Q$4,0))),0))</f>
        <v/>
      </c>
      <c r="AG132" s="257">
        <f>IF(AG$7="Actual","",IFERROR((INDEX($M132:$Q132,,MATCH(AG$4,$M$4:$Q$4,0))),0))</f>
        <v/>
      </c>
      <c r="AH132" s="257">
        <f>IF(AH$7="Actual","",IFERROR((INDEX($M132:$Q132,,MATCH(AH$4,$M$4:$Q$4,0))),0))</f>
        <v/>
      </c>
      <c r="AI132" s="257">
        <f>IF(AI$7="Actual","",IFERROR((INDEX($M132:$Q132,,MATCH(AI$4,$M$4:$Q$4,0))),0))</f>
        <v/>
      </c>
      <c r="AJ132" s="257">
        <f>IF(AJ$7="Actual","",IFERROR((INDEX($M132:$Q132,,MATCH(AJ$4,$M$4:$Q$4,0))),0))</f>
        <v/>
      </c>
      <c r="AK132" s="257">
        <f>IF(AK$7="Actual","",IFERROR((INDEX($M132:$Q132,,MATCH(AK$4,$M$4:$Q$4,0))),0))</f>
        <v/>
      </c>
      <c r="AL132" s="257">
        <f>IF(AL$7="Actual","",IFERROR((INDEX($M132:$Q132,,MATCH(AL$4,$M$4:$Q$4,0))),0))</f>
        <v/>
      </c>
      <c r="AM132" s="257">
        <f>IF(AM$7="Actual","",IFERROR((INDEX($M132:$Q132,,MATCH(AM$4,$M$4:$Q$4,0))),0))</f>
        <v/>
      </c>
      <c r="AN132" s="257">
        <f>IF(AN$7="Actual","",IFERROR((INDEX($M132:$Q132,,MATCH(AN$4,$M$4:$Q$4,0))),0))</f>
        <v/>
      </c>
      <c r="AO132" s="257">
        <f>IF(AO$7="Actual","",IFERROR((INDEX($M132:$Q132,,MATCH(AO$4,$M$4:$Q$4,0))),0))</f>
        <v/>
      </c>
      <c r="AP132" s="257">
        <f>IF(AP$7="Actual","",IFERROR((INDEX($M132:$Q132,,MATCH(AP$4,$M$4:$Q$4,0))),0))</f>
        <v/>
      </c>
      <c r="AQ132" s="257">
        <f>IF(AQ$7="Actual","",IFERROR((INDEX($M132:$Q132,,MATCH(AQ$4,$M$4:$Q$4,0))),0))</f>
        <v/>
      </c>
      <c r="AR132" s="257">
        <f>IF(AR$7="Actual","",IFERROR((INDEX($M132:$Q132,,MATCH(AR$4,$M$4:$Q$4,0))),0))</f>
        <v/>
      </c>
      <c r="AS132" s="257">
        <f>IF(AS$7="Actual","",IFERROR((INDEX($M132:$Q132,,MATCH(AS$4,$M$4:$Q$4,0))),0))</f>
        <v/>
      </c>
      <c r="AT132" s="257">
        <f>IF(AT$7="Actual","",IFERROR((INDEX($M132:$Q132,,MATCH(AT$4,$M$4:$Q$4,0))),0))</f>
        <v/>
      </c>
      <c r="AU132" s="257">
        <f>IF(AU$7="Actual","",IFERROR((INDEX($M132:$Q132,,MATCH(AU$4,$M$4:$Q$4,0))),0))</f>
        <v/>
      </c>
      <c r="AV132" s="257">
        <f>IF(AV$7="Actual","",IFERROR((INDEX($M132:$Q132,,MATCH(AV$4,$M$4:$Q$4,0))),0))</f>
        <v/>
      </c>
      <c r="AW132" s="257">
        <f>IF(AW$7="Actual","",IFERROR((INDEX($M132:$Q132,,MATCH(AW$4,$M$4:$Q$4,0))),0))</f>
        <v/>
      </c>
      <c r="AX132" s="257">
        <f>IF(AX$7="Actual","",IFERROR((INDEX($M132:$Q132,,MATCH(AX$4,$M$4:$Q$4,0))),0))</f>
        <v/>
      </c>
      <c r="AY132" s="257">
        <f>IF(AY$7="Actual","",IFERROR((INDEX($M132:$Q132,,MATCH(AY$4,$M$4:$Q$4,0))),0))</f>
        <v/>
      </c>
      <c r="AZ132" s="257">
        <f>IF(AZ$7="Actual","",IFERROR((INDEX($M132:$Q132,,MATCH(AZ$4,$M$4:$Q$4,0))),0))</f>
        <v/>
      </c>
      <c r="BA132" s="257">
        <f>IF(BA$7="Actual","",IFERROR((INDEX($M132:$Q132,,MATCH(BA$4,$M$4:$Q$4,0))),0))</f>
        <v/>
      </c>
      <c r="BB132" s="257">
        <f>IF(BB$7="Actual","",IFERROR((INDEX($M132:$Q132,,MATCH(BB$4,$M$4:$Q$4,0))),0))</f>
        <v/>
      </c>
      <c r="BC132" s="257">
        <f>IF(BC$7="Actual","",IFERROR((INDEX($M132:$Q132,,MATCH(BC$4,$M$4:$Q$4,0))),0))</f>
        <v/>
      </c>
      <c r="BD132" s="257">
        <f>IF(BD$7="Actual","",IFERROR((INDEX($M132:$Q132,,MATCH(BD$4,$M$4:$Q$4,0))),0))</f>
        <v/>
      </c>
      <c r="BE132" s="257">
        <f>IF(BE$7="Actual","",IFERROR((INDEX($M132:$Q132,,MATCH(BE$4,$M$4:$Q$4,0))),0))</f>
        <v/>
      </c>
      <c r="BF132" s="257">
        <f>IF(BF$7="Actual","",IFERROR((INDEX($M132:$Q132,,MATCH(BF$4,$M$4:$Q$4,0))),0))</f>
        <v/>
      </c>
      <c r="BG132" s="257">
        <f>IF(BG$7="Actual","",IFERROR((INDEX($M132:$Q132,,MATCH(BG$4,$M$4:$Q$4,0))),0))</f>
        <v/>
      </c>
      <c r="BH132" s="257">
        <f>IF(BH$7="Actual","",IFERROR((INDEX($M132:$Q132,,MATCH(BH$4,$M$4:$Q$4,0))),0))</f>
        <v/>
      </c>
      <c r="BI132" s="257">
        <f>IF(BI$7="Actual","",IFERROR((INDEX($M132:$Q132,,MATCH(BI$4,$M$4:$Q$4,0))),0))</f>
        <v/>
      </c>
      <c r="BJ132" s="257">
        <f>IF(BJ$7="Actual","",IFERROR((INDEX($M132:$Q132,,MATCH(BJ$4,$M$4:$Q$4,0))),0))</f>
        <v/>
      </c>
      <c r="BK132" s="257">
        <f>IF(BK$7="Actual","",IFERROR((INDEX($M132:$Q132,,MATCH(BK$4,$M$4:$Q$4,0))),0))</f>
        <v/>
      </c>
      <c r="BL132" s="257">
        <f>IF(BL$7="Actual","",IFERROR((INDEX($M132:$Q132,,MATCH(BL$4,$M$4:$Q$4,0))),0))</f>
        <v/>
      </c>
      <c r="BM132" s="257">
        <f>IF(BM$7="Actual","",IFERROR((INDEX($M132:$Q132,,MATCH(BM$4,$M$4:$Q$4,0))),0))</f>
        <v/>
      </c>
      <c r="BN132" s="257">
        <f>IF(BN$7="Actual","",IFERROR((INDEX($M132:$Q132,,MATCH(BN$4,$M$4:$Q$4,0))),0))</f>
        <v/>
      </c>
      <c r="BO132" s="257">
        <f>IF(BO$7="Actual","",IFERROR((INDEX($M132:$Q132,,MATCH(BO$4,$M$4:$Q$4,0))),0))</f>
        <v/>
      </c>
      <c r="BP132" s="257">
        <f>IF(BP$7="Actual","",IFERROR((INDEX($M132:$Q132,,MATCH(BP$4,$M$4:$Q$4,0))),0))</f>
        <v/>
      </c>
      <c r="BQ132" s="257">
        <f>IF(BQ$7="Actual","",IFERROR((INDEX($M132:$Q132,,MATCH(BQ$4,$M$4:$Q$4,0))),0))</f>
        <v/>
      </c>
      <c r="BR132" s="257">
        <f>IF(BR$7="Actual","",IFERROR((INDEX($M132:$Q132,,MATCH(BR$4,$M$4:$Q$4,0))),0))</f>
        <v/>
      </c>
      <c r="BS132" s="257">
        <f>IF(BS$7="Actual","",IFERROR((INDEX($M132:$Q132,,MATCH(BS$4,$M$4:$Q$4,0))),0))</f>
        <v/>
      </c>
      <c r="BT132" s="257">
        <f>IF(BT$7="Actual","",IFERROR((INDEX($M132:$Q132,,MATCH(BT$4,$M$4:$Q$4,0))),0))</f>
        <v/>
      </c>
      <c r="BU132" s="257">
        <f>IF(BU$7="Actual","",IFERROR((INDEX($M132:$Q132,,MATCH(BU$4,$M$4:$Q$4,0))),0))</f>
        <v/>
      </c>
      <c r="BV132" s="257">
        <f>IF(BV$7="Actual","",IFERROR((INDEX($M132:$Q132,,MATCH(BV$4,$M$4:$Q$4,0))),0))</f>
        <v/>
      </c>
      <c r="BW132" s="257">
        <f>IF(BW$7="Actual","",IFERROR((INDEX($M132:$Q132,,MATCH(BW$4,$M$4:$Q$4,0))),0))</f>
        <v/>
      </c>
      <c r="BX132" s="257">
        <f>IF(BX$7="Actual","",IFERROR((INDEX($M132:$Q132,,MATCH(BX$4,$M$4:$Q$4,0))),0))</f>
        <v/>
      </c>
      <c r="BY132" s="257">
        <f>IF(BY$7="Actual","",IFERROR((INDEX($M132:$Q132,,MATCH(BY$4,$M$4:$Q$4,0))),0))</f>
        <v/>
      </c>
      <c r="BZ132" s="257">
        <f>IF(BZ$7="Actual","",IFERROR((INDEX($M132:$Q132,,MATCH(BZ$4,$M$4:$Q$4,0))),0))</f>
        <v/>
      </c>
      <c r="CA132" s="257">
        <f>IF(CA$7="Actual","",IFERROR((INDEX($M132:$Q132,,MATCH(CA$4,$M$4:$Q$4,0))),0))</f>
        <v/>
      </c>
    </row>
    <row r="133" ht="12" customHeight="1" s="227">
      <c r="A133" s="244" t="n"/>
      <c r="B133" s="244" t="n"/>
      <c r="C133" s="244" t="n"/>
      <c r="H133" s="0">
        <f>H123</f>
        <v/>
      </c>
      <c r="I133" s="27">
        <f>i_Setup!$M$16</f>
        <v/>
      </c>
      <c r="K133" s="6" t="n"/>
      <c r="M133" s="257">
        <f>i_Assumptions!M156</f>
        <v/>
      </c>
      <c r="N133" s="257">
        <f>i_Assumptions!N156</f>
        <v/>
      </c>
      <c r="O133" s="257">
        <f>i_Assumptions!O156</f>
        <v/>
      </c>
      <c r="P133" s="257">
        <f>i_Assumptions!P156</f>
        <v/>
      </c>
      <c r="Q133" s="257">
        <f>i_Assumptions!Q156</f>
        <v/>
      </c>
      <c r="T133" s="257">
        <f>IF(T$7="Actual","",IFERROR((INDEX($M133:$Q133,,MATCH(T$4,$M$4:$Q$4,0))),0))</f>
        <v/>
      </c>
      <c r="U133" s="257">
        <f>IF(U$7="Actual","",IFERROR((INDEX($M133:$Q133,,MATCH(U$4,$M$4:$Q$4,0))),0))</f>
        <v/>
      </c>
      <c r="V133" s="257">
        <f>IF(V$7="Actual","",IFERROR((INDEX($M133:$Q133,,MATCH(V$4,$M$4:$Q$4,0))),0))</f>
        <v/>
      </c>
      <c r="W133" s="257">
        <f>IF(W$7="Actual","",IFERROR((INDEX($M133:$Q133,,MATCH(W$4,$M$4:$Q$4,0))),0))</f>
        <v/>
      </c>
      <c r="X133" s="257">
        <f>IF(X$7="Actual","",IFERROR((INDEX($M133:$Q133,,MATCH(X$4,$M$4:$Q$4,0))),0))</f>
        <v/>
      </c>
      <c r="Y133" s="257">
        <f>IF(Y$7="Actual","",IFERROR((INDEX($M133:$Q133,,MATCH(Y$4,$M$4:$Q$4,0))),0))</f>
        <v/>
      </c>
      <c r="Z133" s="257">
        <f>IF(Z$7="Actual","",IFERROR((INDEX($M133:$Q133,,MATCH(Z$4,$M$4:$Q$4,0))),0))</f>
        <v/>
      </c>
      <c r="AA133" s="257">
        <f>IF(AA$7="Actual","",IFERROR((INDEX($M133:$Q133,,MATCH(AA$4,$M$4:$Q$4,0))),0))</f>
        <v/>
      </c>
      <c r="AB133" s="257">
        <f>IF(AB$7="Actual","",IFERROR((INDEX($M133:$Q133,,MATCH(AB$4,$M$4:$Q$4,0))),0))</f>
        <v/>
      </c>
      <c r="AC133" s="257">
        <f>IF(AC$7="Actual","",IFERROR((INDEX($M133:$Q133,,MATCH(AC$4,$M$4:$Q$4,0))),0))</f>
        <v/>
      </c>
      <c r="AD133" s="257">
        <f>IF(AD$7="Actual","",IFERROR((INDEX($M133:$Q133,,MATCH(AD$4,$M$4:$Q$4,0))),0))</f>
        <v/>
      </c>
      <c r="AE133" s="257">
        <f>IF(AE$7="Actual","",IFERROR((INDEX($M133:$Q133,,MATCH(AE$4,$M$4:$Q$4,0))),0))</f>
        <v/>
      </c>
      <c r="AF133" s="257">
        <f>IF(AF$7="Actual","",IFERROR((INDEX($M133:$Q133,,MATCH(AF$4,$M$4:$Q$4,0))),0))</f>
        <v/>
      </c>
      <c r="AG133" s="257">
        <f>IF(AG$7="Actual","",IFERROR((INDEX($M133:$Q133,,MATCH(AG$4,$M$4:$Q$4,0))),0))</f>
        <v/>
      </c>
      <c r="AH133" s="257">
        <f>IF(AH$7="Actual","",IFERROR((INDEX($M133:$Q133,,MATCH(AH$4,$M$4:$Q$4,0))),0))</f>
        <v/>
      </c>
      <c r="AI133" s="257">
        <f>IF(AI$7="Actual","",IFERROR((INDEX($M133:$Q133,,MATCH(AI$4,$M$4:$Q$4,0))),0))</f>
        <v/>
      </c>
      <c r="AJ133" s="257">
        <f>IF(AJ$7="Actual","",IFERROR((INDEX($M133:$Q133,,MATCH(AJ$4,$M$4:$Q$4,0))),0))</f>
        <v/>
      </c>
      <c r="AK133" s="257">
        <f>IF(AK$7="Actual","",IFERROR((INDEX($M133:$Q133,,MATCH(AK$4,$M$4:$Q$4,0))),0))</f>
        <v/>
      </c>
      <c r="AL133" s="257">
        <f>IF(AL$7="Actual","",IFERROR((INDEX($M133:$Q133,,MATCH(AL$4,$M$4:$Q$4,0))),0))</f>
        <v/>
      </c>
      <c r="AM133" s="257">
        <f>IF(AM$7="Actual","",IFERROR((INDEX($M133:$Q133,,MATCH(AM$4,$M$4:$Q$4,0))),0))</f>
        <v/>
      </c>
      <c r="AN133" s="257">
        <f>IF(AN$7="Actual","",IFERROR((INDEX($M133:$Q133,,MATCH(AN$4,$M$4:$Q$4,0))),0))</f>
        <v/>
      </c>
      <c r="AO133" s="257">
        <f>IF(AO$7="Actual","",IFERROR((INDEX($M133:$Q133,,MATCH(AO$4,$M$4:$Q$4,0))),0))</f>
        <v/>
      </c>
      <c r="AP133" s="257">
        <f>IF(AP$7="Actual","",IFERROR((INDEX($M133:$Q133,,MATCH(AP$4,$M$4:$Q$4,0))),0))</f>
        <v/>
      </c>
      <c r="AQ133" s="257">
        <f>IF(AQ$7="Actual","",IFERROR((INDEX($M133:$Q133,,MATCH(AQ$4,$M$4:$Q$4,0))),0))</f>
        <v/>
      </c>
      <c r="AR133" s="257">
        <f>IF(AR$7="Actual","",IFERROR((INDEX($M133:$Q133,,MATCH(AR$4,$M$4:$Q$4,0))),0))</f>
        <v/>
      </c>
      <c r="AS133" s="257">
        <f>IF(AS$7="Actual","",IFERROR((INDEX($M133:$Q133,,MATCH(AS$4,$M$4:$Q$4,0))),0))</f>
        <v/>
      </c>
      <c r="AT133" s="257">
        <f>IF(AT$7="Actual","",IFERROR((INDEX($M133:$Q133,,MATCH(AT$4,$M$4:$Q$4,0))),0))</f>
        <v/>
      </c>
      <c r="AU133" s="257">
        <f>IF(AU$7="Actual","",IFERROR((INDEX($M133:$Q133,,MATCH(AU$4,$M$4:$Q$4,0))),0))</f>
        <v/>
      </c>
      <c r="AV133" s="257">
        <f>IF(AV$7="Actual","",IFERROR((INDEX($M133:$Q133,,MATCH(AV$4,$M$4:$Q$4,0))),0))</f>
        <v/>
      </c>
      <c r="AW133" s="257">
        <f>IF(AW$7="Actual","",IFERROR((INDEX($M133:$Q133,,MATCH(AW$4,$M$4:$Q$4,0))),0))</f>
        <v/>
      </c>
      <c r="AX133" s="257">
        <f>IF(AX$7="Actual","",IFERROR((INDEX($M133:$Q133,,MATCH(AX$4,$M$4:$Q$4,0))),0))</f>
        <v/>
      </c>
      <c r="AY133" s="257">
        <f>IF(AY$7="Actual","",IFERROR((INDEX($M133:$Q133,,MATCH(AY$4,$M$4:$Q$4,0))),0))</f>
        <v/>
      </c>
      <c r="AZ133" s="257">
        <f>IF(AZ$7="Actual","",IFERROR((INDEX($M133:$Q133,,MATCH(AZ$4,$M$4:$Q$4,0))),0))</f>
        <v/>
      </c>
      <c r="BA133" s="257">
        <f>IF(BA$7="Actual","",IFERROR((INDEX($M133:$Q133,,MATCH(BA$4,$M$4:$Q$4,0))),0))</f>
        <v/>
      </c>
      <c r="BB133" s="257">
        <f>IF(BB$7="Actual","",IFERROR((INDEX($M133:$Q133,,MATCH(BB$4,$M$4:$Q$4,0))),0))</f>
        <v/>
      </c>
      <c r="BC133" s="257">
        <f>IF(BC$7="Actual","",IFERROR((INDEX($M133:$Q133,,MATCH(BC$4,$M$4:$Q$4,0))),0))</f>
        <v/>
      </c>
      <c r="BD133" s="257">
        <f>IF(BD$7="Actual","",IFERROR((INDEX($M133:$Q133,,MATCH(BD$4,$M$4:$Q$4,0))),0))</f>
        <v/>
      </c>
      <c r="BE133" s="257">
        <f>IF(BE$7="Actual","",IFERROR((INDEX($M133:$Q133,,MATCH(BE$4,$M$4:$Q$4,0))),0))</f>
        <v/>
      </c>
      <c r="BF133" s="257">
        <f>IF(BF$7="Actual","",IFERROR((INDEX($M133:$Q133,,MATCH(BF$4,$M$4:$Q$4,0))),0))</f>
        <v/>
      </c>
      <c r="BG133" s="257">
        <f>IF(BG$7="Actual","",IFERROR((INDEX($M133:$Q133,,MATCH(BG$4,$M$4:$Q$4,0))),0))</f>
        <v/>
      </c>
      <c r="BH133" s="257">
        <f>IF(BH$7="Actual","",IFERROR((INDEX($M133:$Q133,,MATCH(BH$4,$M$4:$Q$4,0))),0))</f>
        <v/>
      </c>
      <c r="BI133" s="257">
        <f>IF(BI$7="Actual","",IFERROR((INDEX($M133:$Q133,,MATCH(BI$4,$M$4:$Q$4,0))),0))</f>
        <v/>
      </c>
      <c r="BJ133" s="257">
        <f>IF(BJ$7="Actual","",IFERROR((INDEX($M133:$Q133,,MATCH(BJ$4,$M$4:$Q$4,0))),0))</f>
        <v/>
      </c>
      <c r="BK133" s="257">
        <f>IF(BK$7="Actual","",IFERROR((INDEX($M133:$Q133,,MATCH(BK$4,$M$4:$Q$4,0))),0))</f>
        <v/>
      </c>
      <c r="BL133" s="257">
        <f>IF(BL$7="Actual","",IFERROR((INDEX($M133:$Q133,,MATCH(BL$4,$M$4:$Q$4,0))),0))</f>
        <v/>
      </c>
      <c r="BM133" s="257">
        <f>IF(BM$7="Actual","",IFERROR((INDEX($M133:$Q133,,MATCH(BM$4,$M$4:$Q$4,0))),0))</f>
        <v/>
      </c>
      <c r="BN133" s="257">
        <f>IF(BN$7="Actual","",IFERROR((INDEX($M133:$Q133,,MATCH(BN$4,$M$4:$Q$4,0))),0))</f>
        <v/>
      </c>
      <c r="BO133" s="257">
        <f>IF(BO$7="Actual","",IFERROR((INDEX($M133:$Q133,,MATCH(BO$4,$M$4:$Q$4,0))),0))</f>
        <v/>
      </c>
      <c r="BP133" s="257">
        <f>IF(BP$7="Actual","",IFERROR((INDEX($M133:$Q133,,MATCH(BP$4,$M$4:$Q$4,0))),0))</f>
        <v/>
      </c>
      <c r="BQ133" s="257">
        <f>IF(BQ$7="Actual","",IFERROR((INDEX($M133:$Q133,,MATCH(BQ$4,$M$4:$Q$4,0))),0))</f>
        <v/>
      </c>
      <c r="BR133" s="257">
        <f>IF(BR$7="Actual","",IFERROR((INDEX($M133:$Q133,,MATCH(BR$4,$M$4:$Q$4,0))),0))</f>
        <v/>
      </c>
      <c r="BS133" s="257">
        <f>IF(BS$7="Actual","",IFERROR((INDEX($M133:$Q133,,MATCH(BS$4,$M$4:$Q$4,0))),0))</f>
        <v/>
      </c>
      <c r="BT133" s="257">
        <f>IF(BT$7="Actual","",IFERROR((INDEX($M133:$Q133,,MATCH(BT$4,$M$4:$Q$4,0))),0))</f>
        <v/>
      </c>
      <c r="BU133" s="257">
        <f>IF(BU$7="Actual","",IFERROR((INDEX($M133:$Q133,,MATCH(BU$4,$M$4:$Q$4,0))),0))</f>
        <v/>
      </c>
      <c r="BV133" s="257">
        <f>IF(BV$7="Actual","",IFERROR((INDEX($M133:$Q133,,MATCH(BV$4,$M$4:$Q$4,0))),0))</f>
        <v/>
      </c>
      <c r="BW133" s="257">
        <f>IF(BW$7="Actual","",IFERROR((INDEX($M133:$Q133,,MATCH(BW$4,$M$4:$Q$4,0))),0))</f>
        <v/>
      </c>
      <c r="BX133" s="257">
        <f>IF(BX$7="Actual","",IFERROR((INDEX($M133:$Q133,,MATCH(BX$4,$M$4:$Q$4,0))),0))</f>
        <v/>
      </c>
      <c r="BY133" s="257">
        <f>IF(BY$7="Actual","",IFERROR((INDEX($M133:$Q133,,MATCH(BY$4,$M$4:$Q$4,0))),0))</f>
        <v/>
      </c>
      <c r="BZ133" s="257">
        <f>IF(BZ$7="Actual","",IFERROR((INDEX($M133:$Q133,,MATCH(BZ$4,$M$4:$Q$4,0))),0))</f>
        <v/>
      </c>
      <c r="CA133" s="257">
        <f>IF(CA$7="Actual","",IFERROR((INDEX($M133:$Q133,,MATCH(CA$4,$M$4:$Q$4,0))),0))</f>
        <v/>
      </c>
    </row>
    <row r="134" ht="12" customHeight="1" s="227">
      <c r="A134" s="244" t="n"/>
      <c r="B134" s="244" t="n"/>
      <c r="C134" s="244" t="n"/>
      <c r="H134" s="0">
        <f>H124</f>
        <v/>
      </c>
      <c r="I134" s="27">
        <f>i_Setup!$M$16</f>
        <v/>
      </c>
      <c r="K134" s="6" t="n"/>
      <c r="M134" s="257">
        <f>i_Assumptions!M157</f>
        <v/>
      </c>
      <c r="N134" s="257">
        <f>i_Assumptions!N157</f>
        <v/>
      </c>
      <c r="O134" s="257">
        <f>i_Assumptions!O157</f>
        <v/>
      </c>
      <c r="P134" s="257">
        <f>i_Assumptions!P157</f>
        <v/>
      </c>
      <c r="Q134" s="257">
        <f>i_Assumptions!Q157</f>
        <v/>
      </c>
      <c r="T134" s="257">
        <f>IF(T$7="Actual","",IFERROR((INDEX($M134:$Q134,,MATCH(T$4,$M$4:$Q$4,0))),0))</f>
        <v/>
      </c>
      <c r="U134" s="257">
        <f>IF(U$7="Actual","",IFERROR((INDEX($M134:$Q134,,MATCH(U$4,$M$4:$Q$4,0))),0))</f>
        <v/>
      </c>
      <c r="V134" s="257">
        <f>IF(V$7="Actual","",IFERROR((INDEX($M134:$Q134,,MATCH(V$4,$M$4:$Q$4,0))),0))</f>
        <v/>
      </c>
      <c r="W134" s="257">
        <f>IF(W$7="Actual","",IFERROR((INDEX($M134:$Q134,,MATCH(W$4,$M$4:$Q$4,0))),0))</f>
        <v/>
      </c>
      <c r="X134" s="257">
        <f>IF(X$7="Actual","",IFERROR((INDEX($M134:$Q134,,MATCH(X$4,$M$4:$Q$4,0))),0))</f>
        <v/>
      </c>
      <c r="Y134" s="257">
        <f>IF(Y$7="Actual","",IFERROR((INDEX($M134:$Q134,,MATCH(Y$4,$M$4:$Q$4,0))),0))</f>
        <v/>
      </c>
      <c r="Z134" s="257">
        <f>IF(Z$7="Actual","",IFERROR((INDEX($M134:$Q134,,MATCH(Z$4,$M$4:$Q$4,0))),0))</f>
        <v/>
      </c>
      <c r="AA134" s="257">
        <f>IF(AA$7="Actual","",IFERROR((INDEX($M134:$Q134,,MATCH(AA$4,$M$4:$Q$4,0))),0))</f>
        <v/>
      </c>
      <c r="AB134" s="257">
        <f>IF(AB$7="Actual","",IFERROR((INDEX($M134:$Q134,,MATCH(AB$4,$M$4:$Q$4,0))),0))</f>
        <v/>
      </c>
      <c r="AC134" s="257">
        <f>IF(AC$7="Actual","",IFERROR((INDEX($M134:$Q134,,MATCH(AC$4,$M$4:$Q$4,0))),0))</f>
        <v/>
      </c>
      <c r="AD134" s="257">
        <f>IF(AD$7="Actual","",IFERROR((INDEX($M134:$Q134,,MATCH(AD$4,$M$4:$Q$4,0))),0))</f>
        <v/>
      </c>
      <c r="AE134" s="257">
        <f>IF(AE$7="Actual","",IFERROR((INDEX($M134:$Q134,,MATCH(AE$4,$M$4:$Q$4,0))),0))</f>
        <v/>
      </c>
      <c r="AF134" s="257">
        <f>IF(AF$7="Actual","",IFERROR((INDEX($M134:$Q134,,MATCH(AF$4,$M$4:$Q$4,0))),0))</f>
        <v/>
      </c>
      <c r="AG134" s="257">
        <f>IF(AG$7="Actual","",IFERROR((INDEX($M134:$Q134,,MATCH(AG$4,$M$4:$Q$4,0))),0))</f>
        <v/>
      </c>
      <c r="AH134" s="257">
        <f>IF(AH$7="Actual","",IFERROR((INDEX($M134:$Q134,,MATCH(AH$4,$M$4:$Q$4,0))),0))</f>
        <v/>
      </c>
      <c r="AI134" s="257">
        <f>IF(AI$7="Actual","",IFERROR((INDEX($M134:$Q134,,MATCH(AI$4,$M$4:$Q$4,0))),0))</f>
        <v/>
      </c>
      <c r="AJ134" s="257">
        <f>IF(AJ$7="Actual","",IFERROR((INDEX($M134:$Q134,,MATCH(AJ$4,$M$4:$Q$4,0))),0))</f>
        <v/>
      </c>
      <c r="AK134" s="257">
        <f>IF(AK$7="Actual","",IFERROR((INDEX($M134:$Q134,,MATCH(AK$4,$M$4:$Q$4,0))),0))</f>
        <v/>
      </c>
      <c r="AL134" s="257">
        <f>IF(AL$7="Actual","",IFERROR((INDEX($M134:$Q134,,MATCH(AL$4,$M$4:$Q$4,0))),0))</f>
        <v/>
      </c>
      <c r="AM134" s="257">
        <f>IF(AM$7="Actual","",IFERROR((INDEX($M134:$Q134,,MATCH(AM$4,$M$4:$Q$4,0))),0))</f>
        <v/>
      </c>
      <c r="AN134" s="257">
        <f>IF(AN$7="Actual","",IFERROR((INDEX($M134:$Q134,,MATCH(AN$4,$M$4:$Q$4,0))),0))</f>
        <v/>
      </c>
      <c r="AO134" s="257">
        <f>IF(AO$7="Actual","",IFERROR((INDEX($M134:$Q134,,MATCH(AO$4,$M$4:$Q$4,0))),0))</f>
        <v/>
      </c>
      <c r="AP134" s="257">
        <f>IF(AP$7="Actual","",IFERROR((INDEX($M134:$Q134,,MATCH(AP$4,$M$4:$Q$4,0))),0))</f>
        <v/>
      </c>
      <c r="AQ134" s="257">
        <f>IF(AQ$7="Actual","",IFERROR((INDEX($M134:$Q134,,MATCH(AQ$4,$M$4:$Q$4,0))),0))</f>
        <v/>
      </c>
      <c r="AR134" s="257">
        <f>IF(AR$7="Actual","",IFERROR((INDEX($M134:$Q134,,MATCH(AR$4,$M$4:$Q$4,0))),0))</f>
        <v/>
      </c>
      <c r="AS134" s="257">
        <f>IF(AS$7="Actual","",IFERROR((INDEX($M134:$Q134,,MATCH(AS$4,$M$4:$Q$4,0))),0))</f>
        <v/>
      </c>
      <c r="AT134" s="257">
        <f>IF(AT$7="Actual","",IFERROR((INDEX($M134:$Q134,,MATCH(AT$4,$M$4:$Q$4,0))),0))</f>
        <v/>
      </c>
      <c r="AU134" s="257">
        <f>IF(AU$7="Actual","",IFERROR((INDEX($M134:$Q134,,MATCH(AU$4,$M$4:$Q$4,0))),0))</f>
        <v/>
      </c>
      <c r="AV134" s="257">
        <f>IF(AV$7="Actual","",IFERROR((INDEX($M134:$Q134,,MATCH(AV$4,$M$4:$Q$4,0))),0))</f>
        <v/>
      </c>
      <c r="AW134" s="257">
        <f>IF(AW$7="Actual","",IFERROR((INDEX($M134:$Q134,,MATCH(AW$4,$M$4:$Q$4,0))),0))</f>
        <v/>
      </c>
      <c r="AX134" s="257">
        <f>IF(AX$7="Actual","",IFERROR((INDEX($M134:$Q134,,MATCH(AX$4,$M$4:$Q$4,0))),0))</f>
        <v/>
      </c>
      <c r="AY134" s="257">
        <f>IF(AY$7="Actual","",IFERROR((INDEX($M134:$Q134,,MATCH(AY$4,$M$4:$Q$4,0))),0))</f>
        <v/>
      </c>
      <c r="AZ134" s="257">
        <f>IF(AZ$7="Actual","",IFERROR((INDEX($M134:$Q134,,MATCH(AZ$4,$M$4:$Q$4,0))),0))</f>
        <v/>
      </c>
      <c r="BA134" s="257">
        <f>IF(BA$7="Actual","",IFERROR((INDEX($M134:$Q134,,MATCH(BA$4,$M$4:$Q$4,0))),0))</f>
        <v/>
      </c>
      <c r="BB134" s="257">
        <f>IF(BB$7="Actual","",IFERROR((INDEX($M134:$Q134,,MATCH(BB$4,$M$4:$Q$4,0))),0))</f>
        <v/>
      </c>
      <c r="BC134" s="257">
        <f>IF(BC$7="Actual","",IFERROR((INDEX($M134:$Q134,,MATCH(BC$4,$M$4:$Q$4,0))),0))</f>
        <v/>
      </c>
      <c r="BD134" s="257">
        <f>IF(BD$7="Actual","",IFERROR((INDEX($M134:$Q134,,MATCH(BD$4,$M$4:$Q$4,0))),0))</f>
        <v/>
      </c>
      <c r="BE134" s="257">
        <f>IF(BE$7="Actual","",IFERROR((INDEX($M134:$Q134,,MATCH(BE$4,$M$4:$Q$4,0))),0))</f>
        <v/>
      </c>
      <c r="BF134" s="257">
        <f>IF(BF$7="Actual","",IFERROR((INDEX($M134:$Q134,,MATCH(BF$4,$M$4:$Q$4,0))),0))</f>
        <v/>
      </c>
      <c r="BG134" s="257">
        <f>IF(BG$7="Actual","",IFERROR((INDEX($M134:$Q134,,MATCH(BG$4,$M$4:$Q$4,0))),0))</f>
        <v/>
      </c>
      <c r="BH134" s="257">
        <f>IF(BH$7="Actual","",IFERROR((INDEX($M134:$Q134,,MATCH(BH$4,$M$4:$Q$4,0))),0))</f>
        <v/>
      </c>
      <c r="BI134" s="257">
        <f>IF(BI$7="Actual","",IFERROR((INDEX($M134:$Q134,,MATCH(BI$4,$M$4:$Q$4,0))),0))</f>
        <v/>
      </c>
      <c r="BJ134" s="257">
        <f>IF(BJ$7="Actual","",IFERROR((INDEX($M134:$Q134,,MATCH(BJ$4,$M$4:$Q$4,0))),0))</f>
        <v/>
      </c>
      <c r="BK134" s="257">
        <f>IF(BK$7="Actual","",IFERROR((INDEX($M134:$Q134,,MATCH(BK$4,$M$4:$Q$4,0))),0))</f>
        <v/>
      </c>
      <c r="BL134" s="257">
        <f>IF(BL$7="Actual","",IFERROR((INDEX($M134:$Q134,,MATCH(BL$4,$M$4:$Q$4,0))),0))</f>
        <v/>
      </c>
      <c r="BM134" s="257">
        <f>IF(BM$7="Actual","",IFERROR((INDEX($M134:$Q134,,MATCH(BM$4,$M$4:$Q$4,0))),0))</f>
        <v/>
      </c>
      <c r="BN134" s="257">
        <f>IF(BN$7="Actual","",IFERROR((INDEX($M134:$Q134,,MATCH(BN$4,$M$4:$Q$4,0))),0))</f>
        <v/>
      </c>
      <c r="BO134" s="257">
        <f>IF(BO$7="Actual","",IFERROR((INDEX($M134:$Q134,,MATCH(BO$4,$M$4:$Q$4,0))),0))</f>
        <v/>
      </c>
      <c r="BP134" s="257">
        <f>IF(BP$7="Actual","",IFERROR((INDEX($M134:$Q134,,MATCH(BP$4,$M$4:$Q$4,0))),0))</f>
        <v/>
      </c>
      <c r="BQ134" s="257">
        <f>IF(BQ$7="Actual","",IFERROR((INDEX($M134:$Q134,,MATCH(BQ$4,$M$4:$Q$4,0))),0))</f>
        <v/>
      </c>
      <c r="BR134" s="257">
        <f>IF(BR$7="Actual","",IFERROR((INDEX($M134:$Q134,,MATCH(BR$4,$M$4:$Q$4,0))),0))</f>
        <v/>
      </c>
      <c r="BS134" s="257">
        <f>IF(BS$7="Actual","",IFERROR((INDEX($M134:$Q134,,MATCH(BS$4,$M$4:$Q$4,0))),0))</f>
        <v/>
      </c>
      <c r="BT134" s="257">
        <f>IF(BT$7="Actual","",IFERROR((INDEX($M134:$Q134,,MATCH(BT$4,$M$4:$Q$4,0))),0))</f>
        <v/>
      </c>
      <c r="BU134" s="257">
        <f>IF(BU$7="Actual","",IFERROR((INDEX($M134:$Q134,,MATCH(BU$4,$M$4:$Q$4,0))),0))</f>
        <v/>
      </c>
      <c r="BV134" s="257">
        <f>IF(BV$7="Actual","",IFERROR((INDEX($M134:$Q134,,MATCH(BV$4,$M$4:$Q$4,0))),0))</f>
        <v/>
      </c>
      <c r="BW134" s="257">
        <f>IF(BW$7="Actual","",IFERROR((INDEX($M134:$Q134,,MATCH(BW$4,$M$4:$Q$4,0))),0))</f>
        <v/>
      </c>
      <c r="BX134" s="257">
        <f>IF(BX$7="Actual","",IFERROR((INDEX($M134:$Q134,,MATCH(BX$4,$M$4:$Q$4,0))),0))</f>
        <v/>
      </c>
      <c r="BY134" s="257">
        <f>IF(BY$7="Actual","",IFERROR((INDEX($M134:$Q134,,MATCH(BY$4,$M$4:$Q$4,0))),0))</f>
        <v/>
      </c>
      <c r="BZ134" s="257">
        <f>IF(BZ$7="Actual","",IFERROR((INDEX($M134:$Q134,,MATCH(BZ$4,$M$4:$Q$4,0))),0))</f>
        <v/>
      </c>
      <c r="CA134" s="257">
        <f>IF(CA$7="Actual","",IFERROR((INDEX($M134:$Q134,,MATCH(CA$4,$M$4:$Q$4,0))),0))</f>
        <v/>
      </c>
    </row>
    <row r="135" ht="12" customHeight="1" s="227">
      <c r="A135" s="244" t="n"/>
      <c r="B135" s="244" t="n"/>
      <c r="C135" s="244" t="n"/>
      <c r="H135" s="0">
        <f>H125</f>
        <v/>
      </c>
      <c r="I135" s="27">
        <f>i_Setup!$M$16</f>
        <v/>
      </c>
      <c r="K135" s="6" t="n"/>
      <c r="M135" s="257">
        <f>i_Assumptions!M158</f>
        <v/>
      </c>
      <c r="N135" s="257">
        <f>i_Assumptions!N158</f>
        <v/>
      </c>
      <c r="O135" s="257">
        <f>i_Assumptions!O158</f>
        <v/>
      </c>
      <c r="P135" s="257">
        <f>i_Assumptions!P158</f>
        <v/>
      </c>
      <c r="Q135" s="257">
        <f>i_Assumptions!Q158</f>
        <v/>
      </c>
      <c r="T135" s="257">
        <f>IF(T$7="Actual","",IFERROR((INDEX($M135:$Q135,,MATCH(T$4,$M$4:$Q$4,0))),0))</f>
        <v/>
      </c>
      <c r="U135" s="257">
        <f>IF(U$7="Actual","",IFERROR((INDEX($M135:$Q135,,MATCH(U$4,$M$4:$Q$4,0))),0))</f>
        <v/>
      </c>
      <c r="V135" s="257">
        <f>IF(V$7="Actual","",IFERROR((INDEX($M135:$Q135,,MATCH(V$4,$M$4:$Q$4,0))),0))</f>
        <v/>
      </c>
      <c r="W135" s="257">
        <f>IF(W$7="Actual","",IFERROR((INDEX($M135:$Q135,,MATCH(W$4,$M$4:$Q$4,0))),0))</f>
        <v/>
      </c>
      <c r="X135" s="257">
        <f>IF(X$7="Actual","",IFERROR((INDEX($M135:$Q135,,MATCH(X$4,$M$4:$Q$4,0))),0))</f>
        <v/>
      </c>
      <c r="Y135" s="257">
        <f>IF(Y$7="Actual","",IFERROR((INDEX($M135:$Q135,,MATCH(Y$4,$M$4:$Q$4,0))),0))</f>
        <v/>
      </c>
      <c r="Z135" s="257">
        <f>IF(Z$7="Actual","",IFERROR((INDEX($M135:$Q135,,MATCH(Z$4,$M$4:$Q$4,0))),0))</f>
        <v/>
      </c>
      <c r="AA135" s="257">
        <f>IF(AA$7="Actual","",IFERROR((INDEX($M135:$Q135,,MATCH(AA$4,$M$4:$Q$4,0))),0))</f>
        <v/>
      </c>
      <c r="AB135" s="257">
        <f>IF(AB$7="Actual","",IFERROR((INDEX($M135:$Q135,,MATCH(AB$4,$M$4:$Q$4,0))),0))</f>
        <v/>
      </c>
      <c r="AC135" s="257">
        <f>IF(AC$7="Actual","",IFERROR((INDEX($M135:$Q135,,MATCH(AC$4,$M$4:$Q$4,0))),0))</f>
        <v/>
      </c>
      <c r="AD135" s="257">
        <f>IF(AD$7="Actual","",IFERROR((INDEX($M135:$Q135,,MATCH(AD$4,$M$4:$Q$4,0))),0))</f>
        <v/>
      </c>
      <c r="AE135" s="257">
        <f>IF(AE$7="Actual","",IFERROR((INDEX($M135:$Q135,,MATCH(AE$4,$M$4:$Q$4,0))),0))</f>
        <v/>
      </c>
      <c r="AF135" s="257">
        <f>IF(AF$7="Actual","",IFERROR((INDEX($M135:$Q135,,MATCH(AF$4,$M$4:$Q$4,0))),0))</f>
        <v/>
      </c>
      <c r="AG135" s="257">
        <f>IF(AG$7="Actual","",IFERROR((INDEX($M135:$Q135,,MATCH(AG$4,$M$4:$Q$4,0))),0))</f>
        <v/>
      </c>
      <c r="AH135" s="257">
        <f>IF(AH$7="Actual","",IFERROR((INDEX($M135:$Q135,,MATCH(AH$4,$M$4:$Q$4,0))),0))</f>
        <v/>
      </c>
      <c r="AI135" s="257">
        <f>IF(AI$7="Actual","",IFERROR((INDEX($M135:$Q135,,MATCH(AI$4,$M$4:$Q$4,0))),0))</f>
        <v/>
      </c>
      <c r="AJ135" s="257">
        <f>IF(AJ$7="Actual","",IFERROR((INDEX($M135:$Q135,,MATCH(AJ$4,$M$4:$Q$4,0))),0))</f>
        <v/>
      </c>
      <c r="AK135" s="257">
        <f>IF(AK$7="Actual","",IFERROR((INDEX($M135:$Q135,,MATCH(AK$4,$M$4:$Q$4,0))),0))</f>
        <v/>
      </c>
      <c r="AL135" s="257">
        <f>IF(AL$7="Actual","",IFERROR((INDEX($M135:$Q135,,MATCH(AL$4,$M$4:$Q$4,0))),0))</f>
        <v/>
      </c>
      <c r="AM135" s="257">
        <f>IF(AM$7="Actual","",IFERROR((INDEX($M135:$Q135,,MATCH(AM$4,$M$4:$Q$4,0))),0))</f>
        <v/>
      </c>
      <c r="AN135" s="257">
        <f>IF(AN$7="Actual","",IFERROR((INDEX($M135:$Q135,,MATCH(AN$4,$M$4:$Q$4,0))),0))</f>
        <v/>
      </c>
      <c r="AO135" s="257">
        <f>IF(AO$7="Actual","",IFERROR((INDEX($M135:$Q135,,MATCH(AO$4,$M$4:$Q$4,0))),0))</f>
        <v/>
      </c>
      <c r="AP135" s="257">
        <f>IF(AP$7="Actual","",IFERROR((INDEX($M135:$Q135,,MATCH(AP$4,$M$4:$Q$4,0))),0))</f>
        <v/>
      </c>
      <c r="AQ135" s="257">
        <f>IF(AQ$7="Actual","",IFERROR((INDEX($M135:$Q135,,MATCH(AQ$4,$M$4:$Q$4,0))),0))</f>
        <v/>
      </c>
      <c r="AR135" s="257">
        <f>IF(AR$7="Actual","",IFERROR((INDEX($M135:$Q135,,MATCH(AR$4,$M$4:$Q$4,0))),0))</f>
        <v/>
      </c>
      <c r="AS135" s="257">
        <f>IF(AS$7="Actual","",IFERROR((INDEX($M135:$Q135,,MATCH(AS$4,$M$4:$Q$4,0))),0))</f>
        <v/>
      </c>
      <c r="AT135" s="257">
        <f>IF(AT$7="Actual","",IFERROR((INDEX($M135:$Q135,,MATCH(AT$4,$M$4:$Q$4,0))),0))</f>
        <v/>
      </c>
      <c r="AU135" s="257">
        <f>IF(AU$7="Actual","",IFERROR((INDEX($M135:$Q135,,MATCH(AU$4,$M$4:$Q$4,0))),0))</f>
        <v/>
      </c>
      <c r="AV135" s="257">
        <f>IF(AV$7="Actual","",IFERROR((INDEX($M135:$Q135,,MATCH(AV$4,$M$4:$Q$4,0))),0))</f>
        <v/>
      </c>
      <c r="AW135" s="257">
        <f>IF(AW$7="Actual","",IFERROR((INDEX($M135:$Q135,,MATCH(AW$4,$M$4:$Q$4,0))),0))</f>
        <v/>
      </c>
      <c r="AX135" s="257">
        <f>IF(AX$7="Actual","",IFERROR((INDEX($M135:$Q135,,MATCH(AX$4,$M$4:$Q$4,0))),0))</f>
        <v/>
      </c>
      <c r="AY135" s="257">
        <f>IF(AY$7="Actual","",IFERROR((INDEX($M135:$Q135,,MATCH(AY$4,$M$4:$Q$4,0))),0))</f>
        <v/>
      </c>
      <c r="AZ135" s="257">
        <f>IF(AZ$7="Actual","",IFERROR((INDEX($M135:$Q135,,MATCH(AZ$4,$M$4:$Q$4,0))),0))</f>
        <v/>
      </c>
      <c r="BA135" s="257">
        <f>IF(BA$7="Actual","",IFERROR((INDEX($M135:$Q135,,MATCH(BA$4,$M$4:$Q$4,0))),0))</f>
        <v/>
      </c>
      <c r="BB135" s="257">
        <f>IF(BB$7="Actual","",IFERROR((INDEX($M135:$Q135,,MATCH(BB$4,$M$4:$Q$4,0))),0))</f>
        <v/>
      </c>
      <c r="BC135" s="257">
        <f>IF(BC$7="Actual","",IFERROR((INDEX($M135:$Q135,,MATCH(BC$4,$M$4:$Q$4,0))),0))</f>
        <v/>
      </c>
      <c r="BD135" s="257">
        <f>IF(BD$7="Actual","",IFERROR((INDEX($M135:$Q135,,MATCH(BD$4,$M$4:$Q$4,0))),0))</f>
        <v/>
      </c>
      <c r="BE135" s="257">
        <f>IF(BE$7="Actual","",IFERROR((INDEX($M135:$Q135,,MATCH(BE$4,$M$4:$Q$4,0))),0))</f>
        <v/>
      </c>
      <c r="BF135" s="257">
        <f>IF(BF$7="Actual","",IFERROR((INDEX($M135:$Q135,,MATCH(BF$4,$M$4:$Q$4,0))),0))</f>
        <v/>
      </c>
      <c r="BG135" s="257">
        <f>IF(BG$7="Actual","",IFERROR((INDEX($M135:$Q135,,MATCH(BG$4,$M$4:$Q$4,0))),0))</f>
        <v/>
      </c>
      <c r="BH135" s="257">
        <f>IF(BH$7="Actual","",IFERROR((INDEX($M135:$Q135,,MATCH(BH$4,$M$4:$Q$4,0))),0))</f>
        <v/>
      </c>
      <c r="BI135" s="257">
        <f>IF(BI$7="Actual","",IFERROR((INDEX($M135:$Q135,,MATCH(BI$4,$M$4:$Q$4,0))),0))</f>
        <v/>
      </c>
      <c r="BJ135" s="257">
        <f>IF(BJ$7="Actual","",IFERROR((INDEX($M135:$Q135,,MATCH(BJ$4,$M$4:$Q$4,0))),0))</f>
        <v/>
      </c>
      <c r="BK135" s="257">
        <f>IF(BK$7="Actual","",IFERROR((INDEX($M135:$Q135,,MATCH(BK$4,$M$4:$Q$4,0))),0))</f>
        <v/>
      </c>
      <c r="BL135" s="257">
        <f>IF(BL$7="Actual","",IFERROR((INDEX($M135:$Q135,,MATCH(BL$4,$M$4:$Q$4,0))),0))</f>
        <v/>
      </c>
      <c r="BM135" s="257">
        <f>IF(BM$7="Actual","",IFERROR((INDEX($M135:$Q135,,MATCH(BM$4,$M$4:$Q$4,0))),0))</f>
        <v/>
      </c>
      <c r="BN135" s="257">
        <f>IF(BN$7="Actual","",IFERROR((INDEX($M135:$Q135,,MATCH(BN$4,$M$4:$Q$4,0))),0))</f>
        <v/>
      </c>
      <c r="BO135" s="257">
        <f>IF(BO$7="Actual","",IFERROR((INDEX($M135:$Q135,,MATCH(BO$4,$M$4:$Q$4,0))),0))</f>
        <v/>
      </c>
      <c r="BP135" s="257">
        <f>IF(BP$7="Actual","",IFERROR((INDEX($M135:$Q135,,MATCH(BP$4,$M$4:$Q$4,0))),0))</f>
        <v/>
      </c>
      <c r="BQ135" s="257">
        <f>IF(BQ$7="Actual","",IFERROR((INDEX($M135:$Q135,,MATCH(BQ$4,$M$4:$Q$4,0))),0))</f>
        <v/>
      </c>
      <c r="BR135" s="257">
        <f>IF(BR$7="Actual","",IFERROR((INDEX($M135:$Q135,,MATCH(BR$4,$M$4:$Q$4,0))),0))</f>
        <v/>
      </c>
      <c r="BS135" s="257">
        <f>IF(BS$7="Actual","",IFERROR((INDEX($M135:$Q135,,MATCH(BS$4,$M$4:$Q$4,0))),0))</f>
        <v/>
      </c>
      <c r="BT135" s="257">
        <f>IF(BT$7="Actual","",IFERROR((INDEX($M135:$Q135,,MATCH(BT$4,$M$4:$Q$4,0))),0))</f>
        <v/>
      </c>
      <c r="BU135" s="257">
        <f>IF(BU$7="Actual","",IFERROR((INDEX($M135:$Q135,,MATCH(BU$4,$M$4:$Q$4,0))),0))</f>
        <v/>
      </c>
      <c r="BV135" s="257">
        <f>IF(BV$7="Actual","",IFERROR((INDEX($M135:$Q135,,MATCH(BV$4,$M$4:$Q$4,0))),0))</f>
        <v/>
      </c>
      <c r="BW135" s="257">
        <f>IF(BW$7="Actual","",IFERROR((INDEX($M135:$Q135,,MATCH(BW$4,$M$4:$Q$4,0))),0))</f>
        <v/>
      </c>
      <c r="BX135" s="257">
        <f>IF(BX$7="Actual","",IFERROR((INDEX($M135:$Q135,,MATCH(BX$4,$M$4:$Q$4,0))),0))</f>
        <v/>
      </c>
      <c r="BY135" s="257">
        <f>IF(BY$7="Actual","",IFERROR((INDEX($M135:$Q135,,MATCH(BY$4,$M$4:$Q$4,0))),0))</f>
        <v/>
      </c>
      <c r="BZ135" s="257">
        <f>IF(BZ$7="Actual","",IFERROR((INDEX($M135:$Q135,,MATCH(BZ$4,$M$4:$Q$4,0))),0))</f>
        <v/>
      </c>
      <c r="CA135" s="257">
        <f>IF(CA$7="Actual","",IFERROR((INDEX($M135:$Q135,,MATCH(CA$4,$M$4:$Q$4,0))),0))</f>
        <v/>
      </c>
    </row>
    <row r="136" ht="12" customHeight="1" s="227">
      <c r="A136" s="244" t="n"/>
      <c r="B136" s="244" t="n"/>
      <c r="C136" s="244" t="n"/>
      <c r="H136" s="0">
        <f>H126</f>
        <v/>
      </c>
      <c r="I136" s="27">
        <f>i_Setup!$M$16</f>
        <v/>
      </c>
      <c r="K136" s="6" t="n"/>
      <c r="M136" s="257">
        <f>i_Assumptions!M159</f>
        <v/>
      </c>
      <c r="N136" s="257">
        <f>i_Assumptions!N159</f>
        <v/>
      </c>
      <c r="O136" s="257">
        <f>i_Assumptions!O159</f>
        <v/>
      </c>
      <c r="P136" s="257">
        <f>i_Assumptions!P159</f>
        <v/>
      </c>
      <c r="Q136" s="257">
        <f>i_Assumptions!Q159</f>
        <v/>
      </c>
      <c r="T136" s="257">
        <f>IF(T$7="Actual","",IFERROR((INDEX($M136:$Q136,,MATCH(T$4,$M$4:$Q$4,0))),0))</f>
        <v/>
      </c>
      <c r="U136" s="257">
        <f>IF(U$7="Actual","",IFERROR((INDEX($M136:$Q136,,MATCH(U$4,$M$4:$Q$4,0))),0))</f>
        <v/>
      </c>
      <c r="V136" s="257">
        <f>IF(V$7="Actual","",IFERROR((INDEX($M136:$Q136,,MATCH(V$4,$M$4:$Q$4,0))),0))</f>
        <v/>
      </c>
      <c r="W136" s="257">
        <f>IF(W$7="Actual","",IFERROR((INDEX($M136:$Q136,,MATCH(W$4,$M$4:$Q$4,0))),0))</f>
        <v/>
      </c>
      <c r="X136" s="257">
        <f>IF(X$7="Actual","",IFERROR((INDEX($M136:$Q136,,MATCH(X$4,$M$4:$Q$4,0))),0))</f>
        <v/>
      </c>
      <c r="Y136" s="257">
        <f>IF(Y$7="Actual","",IFERROR((INDEX($M136:$Q136,,MATCH(Y$4,$M$4:$Q$4,0))),0))</f>
        <v/>
      </c>
      <c r="Z136" s="257">
        <f>IF(Z$7="Actual","",IFERROR((INDEX($M136:$Q136,,MATCH(Z$4,$M$4:$Q$4,0))),0))</f>
        <v/>
      </c>
      <c r="AA136" s="257">
        <f>IF(AA$7="Actual","",IFERROR((INDEX($M136:$Q136,,MATCH(AA$4,$M$4:$Q$4,0))),0))</f>
        <v/>
      </c>
      <c r="AB136" s="257">
        <f>IF(AB$7="Actual","",IFERROR((INDEX($M136:$Q136,,MATCH(AB$4,$M$4:$Q$4,0))),0))</f>
        <v/>
      </c>
      <c r="AC136" s="257">
        <f>IF(AC$7="Actual","",IFERROR((INDEX($M136:$Q136,,MATCH(AC$4,$M$4:$Q$4,0))),0))</f>
        <v/>
      </c>
      <c r="AD136" s="257">
        <f>IF(AD$7="Actual","",IFERROR((INDEX($M136:$Q136,,MATCH(AD$4,$M$4:$Q$4,0))),0))</f>
        <v/>
      </c>
      <c r="AE136" s="257">
        <f>IF(AE$7="Actual","",IFERROR((INDEX($M136:$Q136,,MATCH(AE$4,$M$4:$Q$4,0))),0))</f>
        <v/>
      </c>
      <c r="AF136" s="257">
        <f>IF(AF$7="Actual","",IFERROR((INDEX($M136:$Q136,,MATCH(AF$4,$M$4:$Q$4,0))),0))</f>
        <v/>
      </c>
      <c r="AG136" s="257">
        <f>IF(AG$7="Actual","",IFERROR((INDEX($M136:$Q136,,MATCH(AG$4,$M$4:$Q$4,0))),0))</f>
        <v/>
      </c>
      <c r="AH136" s="257">
        <f>IF(AH$7="Actual","",IFERROR((INDEX($M136:$Q136,,MATCH(AH$4,$M$4:$Q$4,0))),0))</f>
        <v/>
      </c>
      <c r="AI136" s="257">
        <f>IF(AI$7="Actual","",IFERROR((INDEX($M136:$Q136,,MATCH(AI$4,$M$4:$Q$4,0))),0))</f>
        <v/>
      </c>
      <c r="AJ136" s="257">
        <f>IF(AJ$7="Actual","",IFERROR((INDEX($M136:$Q136,,MATCH(AJ$4,$M$4:$Q$4,0))),0))</f>
        <v/>
      </c>
      <c r="AK136" s="257">
        <f>IF(AK$7="Actual","",IFERROR((INDEX($M136:$Q136,,MATCH(AK$4,$M$4:$Q$4,0))),0))</f>
        <v/>
      </c>
      <c r="AL136" s="257">
        <f>IF(AL$7="Actual","",IFERROR((INDEX($M136:$Q136,,MATCH(AL$4,$M$4:$Q$4,0))),0))</f>
        <v/>
      </c>
      <c r="AM136" s="257">
        <f>IF(AM$7="Actual","",IFERROR((INDEX($M136:$Q136,,MATCH(AM$4,$M$4:$Q$4,0))),0))</f>
        <v/>
      </c>
      <c r="AN136" s="257">
        <f>IF(AN$7="Actual","",IFERROR((INDEX($M136:$Q136,,MATCH(AN$4,$M$4:$Q$4,0))),0))</f>
        <v/>
      </c>
      <c r="AO136" s="257">
        <f>IF(AO$7="Actual","",IFERROR((INDEX($M136:$Q136,,MATCH(AO$4,$M$4:$Q$4,0))),0))</f>
        <v/>
      </c>
      <c r="AP136" s="257">
        <f>IF(AP$7="Actual","",IFERROR((INDEX($M136:$Q136,,MATCH(AP$4,$M$4:$Q$4,0))),0))</f>
        <v/>
      </c>
      <c r="AQ136" s="257">
        <f>IF(AQ$7="Actual","",IFERROR((INDEX($M136:$Q136,,MATCH(AQ$4,$M$4:$Q$4,0))),0))</f>
        <v/>
      </c>
      <c r="AR136" s="257">
        <f>IF(AR$7="Actual","",IFERROR((INDEX($M136:$Q136,,MATCH(AR$4,$M$4:$Q$4,0))),0))</f>
        <v/>
      </c>
      <c r="AS136" s="257">
        <f>IF(AS$7="Actual","",IFERROR((INDEX($M136:$Q136,,MATCH(AS$4,$M$4:$Q$4,0))),0))</f>
        <v/>
      </c>
      <c r="AT136" s="257">
        <f>IF(AT$7="Actual","",IFERROR((INDEX($M136:$Q136,,MATCH(AT$4,$M$4:$Q$4,0))),0))</f>
        <v/>
      </c>
      <c r="AU136" s="257">
        <f>IF(AU$7="Actual","",IFERROR((INDEX($M136:$Q136,,MATCH(AU$4,$M$4:$Q$4,0))),0))</f>
        <v/>
      </c>
      <c r="AV136" s="257">
        <f>IF(AV$7="Actual","",IFERROR((INDEX($M136:$Q136,,MATCH(AV$4,$M$4:$Q$4,0))),0))</f>
        <v/>
      </c>
      <c r="AW136" s="257">
        <f>IF(AW$7="Actual","",IFERROR((INDEX($M136:$Q136,,MATCH(AW$4,$M$4:$Q$4,0))),0))</f>
        <v/>
      </c>
      <c r="AX136" s="257">
        <f>IF(AX$7="Actual","",IFERROR((INDEX($M136:$Q136,,MATCH(AX$4,$M$4:$Q$4,0))),0))</f>
        <v/>
      </c>
      <c r="AY136" s="257">
        <f>IF(AY$7="Actual","",IFERROR((INDEX($M136:$Q136,,MATCH(AY$4,$M$4:$Q$4,0))),0))</f>
        <v/>
      </c>
      <c r="AZ136" s="257">
        <f>IF(AZ$7="Actual","",IFERROR((INDEX($M136:$Q136,,MATCH(AZ$4,$M$4:$Q$4,0))),0))</f>
        <v/>
      </c>
      <c r="BA136" s="257">
        <f>IF(BA$7="Actual","",IFERROR((INDEX($M136:$Q136,,MATCH(BA$4,$M$4:$Q$4,0))),0))</f>
        <v/>
      </c>
      <c r="BB136" s="257">
        <f>IF(BB$7="Actual","",IFERROR((INDEX($M136:$Q136,,MATCH(BB$4,$M$4:$Q$4,0))),0))</f>
        <v/>
      </c>
      <c r="BC136" s="257">
        <f>IF(BC$7="Actual","",IFERROR((INDEX($M136:$Q136,,MATCH(BC$4,$M$4:$Q$4,0))),0))</f>
        <v/>
      </c>
      <c r="BD136" s="257">
        <f>IF(BD$7="Actual","",IFERROR((INDEX($M136:$Q136,,MATCH(BD$4,$M$4:$Q$4,0))),0))</f>
        <v/>
      </c>
      <c r="BE136" s="257">
        <f>IF(BE$7="Actual","",IFERROR((INDEX($M136:$Q136,,MATCH(BE$4,$M$4:$Q$4,0))),0))</f>
        <v/>
      </c>
      <c r="BF136" s="257">
        <f>IF(BF$7="Actual","",IFERROR((INDEX($M136:$Q136,,MATCH(BF$4,$M$4:$Q$4,0))),0))</f>
        <v/>
      </c>
      <c r="BG136" s="257">
        <f>IF(BG$7="Actual","",IFERROR((INDEX($M136:$Q136,,MATCH(BG$4,$M$4:$Q$4,0))),0))</f>
        <v/>
      </c>
      <c r="BH136" s="257">
        <f>IF(BH$7="Actual","",IFERROR((INDEX($M136:$Q136,,MATCH(BH$4,$M$4:$Q$4,0))),0))</f>
        <v/>
      </c>
      <c r="BI136" s="257">
        <f>IF(BI$7="Actual","",IFERROR((INDEX($M136:$Q136,,MATCH(BI$4,$M$4:$Q$4,0))),0))</f>
        <v/>
      </c>
      <c r="BJ136" s="257">
        <f>IF(BJ$7="Actual","",IFERROR((INDEX($M136:$Q136,,MATCH(BJ$4,$M$4:$Q$4,0))),0))</f>
        <v/>
      </c>
      <c r="BK136" s="257">
        <f>IF(BK$7="Actual","",IFERROR((INDEX($M136:$Q136,,MATCH(BK$4,$M$4:$Q$4,0))),0))</f>
        <v/>
      </c>
      <c r="BL136" s="257">
        <f>IF(BL$7="Actual","",IFERROR((INDEX($M136:$Q136,,MATCH(BL$4,$M$4:$Q$4,0))),0))</f>
        <v/>
      </c>
      <c r="BM136" s="257">
        <f>IF(BM$7="Actual","",IFERROR((INDEX($M136:$Q136,,MATCH(BM$4,$M$4:$Q$4,0))),0))</f>
        <v/>
      </c>
      <c r="BN136" s="257">
        <f>IF(BN$7="Actual","",IFERROR((INDEX($M136:$Q136,,MATCH(BN$4,$M$4:$Q$4,0))),0))</f>
        <v/>
      </c>
      <c r="BO136" s="257">
        <f>IF(BO$7="Actual","",IFERROR((INDEX($M136:$Q136,,MATCH(BO$4,$M$4:$Q$4,0))),0))</f>
        <v/>
      </c>
      <c r="BP136" s="257">
        <f>IF(BP$7="Actual","",IFERROR((INDEX($M136:$Q136,,MATCH(BP$4,$M$4:$Q$4,0))),0))</f>
        <v/>
      </c>
      <c r="BQ136" s="257">
        <f>IF(BQ$7="Actual","",IFERROR((INDEX($M136:$Q136,,MATCH(BQ$4,$M$4:$Q$4,0))),0))</f>
        <v/>
      </c>
      <c r="BR136" s="257">
        <f>IF(BR$7="Actual","",IFERROR((INDEX($M136:$Q136,,MATCH(BR$4,$M$4:$Q$4,0))),0))</f>
        <v/>
      </c>
      <c r="BS136" s="257">
        <f>IF(BS$7="Actual","",IFERROR((INDEX($M136:$Q136,,MATCH(BS$4,$M$4:$Q$4,0))),0))</f>
        <v/>
      </c>
      <c r="BT136" s="257">
        <f>IF(BT$7="Actual","",IFERROR((INDEX($M136:$Q136,,MATCH(BT$4,$M$4:$Q$4,0))),0))</f>
        <v/>
      </c>
      <c r="BU136" s="257">
        <f>IF(BU$7="Actual","",IFERROR((INDEX($M136:$Q136,,MATCH(BU$4,$M$4:$Q$4,0))),0))</f>
        <v/>
      </c>
      <c r="BV136" s="257">
        <f>IF(BV$7="Actual","",IFERROR((INDEX($M136:$Q136,,MATCH(BV$4,$M$4:$Q$4,0))),0))</f>
        <v/>
      </c>
      <c r="BW136" s="257">
        <f>IF(BW$7="Actual","",IFERROR((INDEX($M136:$Q136,,MATCH(BW$4,$M$4:$Q$4,0))),0))</f>
        <v/>
      </c>
      <c r="BX136" s="257">
        <f>IF(BX$7="Actual","",IFERROR((INDEX($M136:$Q136,,MATCH(BX$4,$M$4:$Q$4,0))),0))</f>
        <v/>
      </c>
      <c r="BY136" s="257">
        <f>IF(BY$7="Actual","",IFERROR((INDEX($M136:$Q136,,MATCH(BY$4,$M$4:$Q$4,0))),0))</f>
        <v/>
      </c>
      <c r="BZ136" s="257">
        <f>IF(BZ$7="Actual","",IFERROR((INDEX($M136:$Q136,,MATCH(BZ$4,$M$4:$Q$4,0))),0))</f>
        <v/>
      </c>
      <c r="CA136" s="257">
        <f>IF(CA$7="Actual","",IFERROR((INDEX($M136:$Q136,,MATCH(CA$4,$M$4:$Q$4,0))),0))</f>
        <v/>
      </c>
    </row>
    <row r="137" ht="12" customHeight="1" s="227">
      <c r="A137" s="244" t="n"/>
      <c r="B137" s="244" t="n"/>
      <c r="C137" s="244" t="n"/>
      <c r="H137" s="0">
        <f>H127</f>
        <v/>
      </c>
      <c r="I137" s="27">
        <f>i_Setup!$M$16</f>
        <v/>
      </c>
      <c r="K137" s="6" t="n"/>
      <c r="M137" s="257">
        <f>i_Assumptions!M160</f>
        <v/>
      </c>
      <c r="N137" s="257">
        <f>i_Assumptions!N160</f>
        <v/>
      </c>
      <c r="O137" s="257">
        <f>i_Assumptions!O160</f>
        <v/>
      </c>
      <c r="P137" s="257">
        <f>i_Assumptions!P160</f>
        <v/>
      </c>
      <c r="Q137" s="257">
        <f>i_Assumptions!Q160</f>
        <v/>
      </c>
      <c r="T137" s="257">
        <f>IF(T$7="Actual","",IFERROR((INDEX($M137:$Q137,,MATCH(T$4,$M$4:$Q$4,0))),0))</f>
        <v/>
      </c>
      <c r="U137" s="257">
        <f>IF(U$7="Actual","",IFERROR((INDEX($M137:$Q137,,MATCH(U$4,$M$4:$Q$4,0))),0))</f>
        <v/>
      </c>
      <c r="V137" s="257">
        <f>IF(V$7="Actual","",IFERROR((INDEX($M137:$Q137,,MATCH(V$4,$M$4:$Q$4,0))),0))</f>
        <v/>
      </c>
      <c r="W137" s="257">
        <f>IF(W$7="Actual","",IFERROR((INDEX($M137:$Q137,,MATCH(W$4,$M$4:$Q$4,0))),0))</f>
        <v/>
      </c>
      <c r="X137" s="257">
        <f>IF(X$7="Actual","",IFERROR((INDEX($M137:$Q137,,MATCH(X$4,$M$4:$Q$4,0))),0))</f>
        <v/>
      </c>
      <c r="Y137" s="257">
        <f>IF(Y$7="Actual","",IFERROR((INDEX($M137:$Q137,,MATCH(Y$4,$M$4:$Q$4,0))),0))</f>
        <v/>
      </c>
      <c r="Z137" s="257">
        <f>IF(Z$7="Actual","",IFERROR((INDEX($M137:$Q137,,MATCH(Z$4,$M$4:$Q$4,0))),0))</f>
        <v/>
      </c>
      <c r="AA137" s="257">
        <f>IF(AA$7="Actual","",IFERROR((INDEX($M137:$Q137,,MATCH(AA$4,$M$4:$Q$4,0))),0))</f>
        <v/>
      </c>
      <c r="AB137" s="257">
        <f>IF(AB$7="Actual","",IFERROR((INDEX($M137:$Q137,,MATCH(AB$4,$M$4:$Q$4,0))),0))</f>
        <v/>
      </c>
      <c r="AC137" s="257">
        <f>IF(AC$7="Actual","",IFERROR((INDEX($M137:$Q137,,MATCH(AC$4,$M$4:$Q$4,0))),0))</f>
        <v/>
      </c>
      <c r="AD137" s="257">
        <f>IF(AD$7="Actual","",IFERROR((INDEX($M137:$Q137,,MATCH(AD$4,$M$4:$Q$4,0))),0))</f>
        <v/>
      </c>
      <c r="AE137" s="257">
        <f>IF(AE$7="Actual","",IFERROR((INDEX($M137:$Q137,,MATCH(AE$4,$M$4:$Q$4,0))),0))</f>
        <v/>
      </c>
      <c r="AF137" s="257">
        <f>IF(AF$7="Actual","",IFERROR((INDEX($M137:$Q137,,MATCH(AF$4,$M$4:$Q$4,0))),0))</f>
        <v/>
      </c>
      <c r="AG137" s="257">
        <f>IF(AG$7="Actual","",IFERROR((INDEX($M137:$Q137,,MATCH(AG$4,$M$4:$Q$4,0))),0))</f>
        <v/>
      </c>
      <c r="AH137" s="257">
        <f>IF(AH$7="Actual","",IFERROR((INDEX($M137:$Q137,,MATCH(AH$4,$M$4:$Q$4,0))),0))</f>
        <v/>
      </c>
      <c r="AI137" s="257">
        <f>IF(AI$7="Actual","",IFERROR((INDEX($M137:$Q137,,MATCH(AI$4,$M$4:$Q$4,0))),0))</f>
        <v/>
      </c>
      <c r="AJ137" s="257">
        <f>IF(AJ$7="Actual","",IFERROR((INDEX($M137:$Q137,,MATCH(AJ$4,$M$4:$Q$4,0))),0))</f>
        <v/>
      </c>
      <c r="AK137" s="257">
        <f>IF(AK$7="Actual","",IFERROR((INDEX($M137:$Q137,,MATCH(AK$4,$M$4:$Q$4,0))),0))</f>
        <v/>
      </c>
      <c r="AL137" s="257">
        <f>IF(AL$7="Actual","",IFERROR((INDEX($M137:$Q137,,MATCH(AL$4,$M$4:$Q$4,0))),0))</f>
        <v/>
      </c>
      <c r="AM137" s="257">
        <f>IF(AM$7="Actual","",IFERROR((INDEX($M137:$Q137,,MATCH(AM$4,$M$4:$Q$4,0))),0))</f>
        <v/>
      </c>
      <c r="AN137" s="257">
        <f>IF(AN$7="Actual","",IFERROR((INDEX($M137:$Q137,,MATCH(AN$4,$M$4:$Q$4,0))),0))</f>
        <v/>
      </c>
      <c r="AO137" s="257">
        <f>IF(AO$7="Actual","",IFERROR((INDEX($M137:$Q137,,MATCH(AO$4,$M$4:$Q$4,0))),0))</f>
        <v/>
      </c>
      <c r="AP137" s="257">
        <f>IF(AP$7="Actual","",IFERROR((INDEX($M137:$Q137,,MATCH(AP$4,$M$4:$Q$4,0))),0))</f>
        <v/>
      </c>
      <c r="AQ137" s="257">
        <f>IF(AQ$7="Actual","",IFERROR((INDEX($M137:$Q137,,MATCH(AQ$4,$M$4:$Q$4,0))),0))</f>
        <v/>
      </c>
      <c r="AR137" s="257">
        <f>IF(AR$7="Actual","",IFERROR((INDEX($M137:$Q137,,MATCH(AR$4,$M$4:$Q$4,0))),0))</f>
        <v/>
      </c>
      <c r="AS137" s="257">
        <f>IF(AS$7="Actual","",IFERROR((INDEX($M137:$Q137,,MATCH(AS$4,$M$4:$Q$4,0))),0))</f>
        <v/>
      </c>
      <c r="AT137" s="257">
        <f>IF(AT$7="Actual","",IFERROR((INDEX($M137:$Q137,,MATCH(AT$4,$M$4:$Q$4,0))),0))</f>
        <v/>
      </c>
      <c r="AU137" s="257">
        <f>IF(AU$7="Actual","",IFERROR((INDEX($M137:$Q137,,MATCH(AU$4,$M$4:$Q$4,0))),0))</f>
        <v/>
      </c>
      <c r="AV137" s="257">
        <f>IF(AV$7="Actual","",IFERROR((INDEX($M137:$Q137,,MATCH(AV$4,$M$4:$Q$4,0))),0))</f>
        <v/>
      </c>
      <c r="AW137" s="257">
        <f>IF(AW$7="Actual","",IFERROR((INDEX($M137:$Q137,,MATCH(AW$4,$M$4:$Q$4,0))),0))</f>
        <v/>
      </c>
      <c r="AX137" s="257">
        <f>IF(AX$7="Actual","",IFERROR((INDEX($M137:$Q137,,MATCH(AX$4,$M$4:$Q$4,0))),0))</f>
        <v/>
      </c>
      <c r="AY137" s="257">
        <f>IF(AY$7="Actual","",IFERROR((INDEX($M137:$Q137,,MATCH(AY$4,$M$4:$Q$4,0))),0))</f>
        <v/>
      </c>
      <c r="AZ137" s="257">
        <f>IF(AZ$7="Actual","",IFERROR((INDEX($M137:$Q137,,MATCH(AZ$4,$M$4:$Q$4,0))),0))</f>
        <v/>
      </c>
      <c r="BA137" s="257">
        <f>IF(BA$7="Actual","",IFERROR((INDEX($M137:$Q137,,MATCH(BA$4,$M$4:$Q$4,0))),0))</f>
        <v/>
      </c>
      <c r="BB137" s="257">
        <f>IF(BB$7="Actual","",IFERROR((INDEX($M137:$Q137,,MATCH(BB$4,$M$4:$Q$4,0))),0))</f>
        <v/>
      </c>
      <c r="BC137" s="257">
        <f>IF(BC$7="Actual","",IFERROR((INDEX($M137:$Q137,,MATCH(BC$4,$M$4:$Q$4,0))),0))</f>
        <v/>
      </c>
      <c r="BD137" s="257">
        <f>IF(BD$7="Actual","",IFERROR((INDEX($M137:$Q137,,MATCH(BD$4,$M$4:$Q$4,0))),0))</f>
        <v/>
      </c>
      <c r="BE137" s="257">
        <f>IF(BE$7="Actual","",IFERROR((INDEX($M137:$Q137,,MATCH(BE$4,$M$4:$Q$4,0))),0))</f>
        <v/>
      </c>
      <c r="BF137" s="257">
        <f>IF(BF$7="Actual","",IFERROR((INDEX($M137:$Q137,,MATCH(BF$4,$M$4:$Q$4,0))),0))</f>
        <v/>
      </c>
      <c r="BG137" s="257">
        <f>IF(BG$7="Actual","",IFERROR((INDEX($M137:$Q137,,MATCH(BG$4,$M$4:$Q$4,0))),0))</f>
        <v/>
      </c>
      <c r="BH137" s="257">
        <f>IF(BH$7="Actual","",IFERROR((INDEX($M137:$Q137,,MATCH(BH$4,$M$4:$Q$4,0))),0))</f>
        <v/>
      </c>
      <c r="BI137" s="257">
        <f>IF(BI$7="Actual","",IFERROR((INDEX($M137:$Q137,,MATCH(BI$4,$M$4:$Q$4,0))),0))</f>
        <v/>
      </c>
      <c r="BJ137" s="257">
        <f>IF(BJ$7="Actual","",IFERROR((INDEX($M137:$Q137,,MATCH(BJ$4,$M$4:$Q$4,0))),0))</f>
        <v/>
      </c>
      <c r="BK137" s="257">
        <f>IF(BK$7="Actual","",IFERROR((INDEX($M137:$Q137,,MATCH(BK$4,$M$4:$Q$4,0))),0))</f>
        <v/>
      </c>
      <c r="BL137" s="257">
        <f>IF(BL$7="Actual","",IFERROR((INDEX($M137:$Q137,,MATCH(BL$4,$M$4:$Q$4,0))),0))</f>
        <v/>
      </c>
      <c r="BM137" s="257">
        <f>IF(BM$7="Actual","",IFERROR((INDEX($M137:$Q137,,MATCH(BM$4,$M$4:$Q$4,0))),0))</f>
        <v/>
      </c>
      <c r="BN137" s="257">
        <f>IF(BN$7="Actual","",IFERROR((INDEX($M137:$Q137,,MATCH(BN$4,$M$4:$Q$4,0))),0))</f>
        <v/>
      </c>
      <c r="BO137" s="257">
        <f>IF(BO$7="Actual","",IFERROR((INDEX($M137:$Q137,,MATCH(BO$4,$M$4:$Q$4,0))),0))</f>
        <v/>
      </c>
      <c r="BP137" s="257">
        <f>IF(BP$7="Actual","",IFERROR((INDEX($M137:$Q137,,MATCH(BP$4,$M$4:$Q$4,0))),0))</f>
        <v/>
      </c>
      <c r="BQ137" s="257">
        <f>IF(BQ$7="Actual","",IFERROR((INDEX($M137:$Q137,,MATCH(BQ$4,$M$4:$Q$4,0))),0))</f>
        <v/>
      </c>
      <c r="BR137" s="257">
        <f>IF(BR$7="Actual","",IFERROR((INDEX($M137:$Q137,,MATCH(BR$4,$M$4:$Q$4,0))),0))</f>
        <v/>
      </c>
      <c r="BS137" s="257">
        <f>IF(BS$7="Actual","",IFERROR((INDEX($M137:$Q137,,MATCH(BS$4,$M$4:$Q$4,0))),0))</f>
        <v/>
      </c>
      <c r="BT137" s="257">
        <f>IF(BT$7="Actual","",IFERROR((INDEX($M137:$Q137,,MATCH(BT$4,$M$4:$Q$4,0))),0))</f>
        <v/>
      </c>
      <c r="BU137" s="257">
        <f>IF(BU$7="Actual","",IFERROR((INDEX($M137:$Q137,,MATCH(BU$4,$M$4:$Q$4,0))),0))</f>
        <v/>
      </c>
      <c r="BV137" s="257">
        <f>IF(BV$7="Actual","",IFERROR((INDEX($M137:$Q137,,MATCH(BV$4,$M$4:$Q$4,0))),0))</f>
        <v/>
      </c>
      <c r="BW137" s="257">
        <f>IF(BW$7="Actual","",IFERROR((INDEX($M137:$Q137,,MATCH(BW$4,$M$4:$Q$4,0))),0))</f>
        <v/>
      </c>
      <c r="BX137" s="257">
        <f>IF(BX$7="Actual","",IFERROR((INDEX($M137:$Q137,,MATCH(BX$4,$M$4:$Q$4,0))),0))</f>
        <v/>
      </c>
      <c r="BY137" s="257">
        <f>IF(BY$7="Actual","",IFERROR((INDEX($M137:$Q137,,MATCH(BY$4,$M$4:$Q$4,0))),0))</f>
        <v/>
      </c>
      <c r="BZ137" s="257">
        <f>IF(BZ$7="Actual","",IFERROR((INDEX($M137:$Q137,,MATCH(BZ$4,$M$4:$Q$4,0))),0))</f>
        <v/>
      </c>
      <c r="CA137" s="257">
        <f>IF(CA$7="Actual","",IFERROR((INDEX($M137:$Q137,,MATCH(CA$4,$M$4:$Q$4,0))),0))</f>
        <v/>
      </c>
    </row>
    <row r="138" ht="12" customHeight="1" s="227">
      <c r="A138" s="244" t="n"/>
      <c r="B138" s="244" t="n"/>
      <c r="C138" s="244" t="n"/>
      <c r="H138" s="0">
        <f>H128</f>
        <v/>
      </c>
      <c r="I138" s="27">
        <f>i_Setup!$M$16</f>
        <v/>
      </c>
      <c r="K138" s="6" t="n"/>
      <c r="M138" s="257">
        <f>i_Assumptions!M161</f>
        <v/>
      </c>
      <c r="N138" s="257">
        <f>i_Assumptions!N161</f>
        <v/>
      </c>
      <c r="O138" s="257">
        <f>i_Assumptions!O161</f>
        <v/>
      </c>
      <c r="P138" s="257">
        <f>i_Assumptions!P161</f>
        <v/>
      </c>
      <c r="Q138" s="257">
        <f>i_Assumptions!Q161</f>
        <v/>
      </c>
      <c r="T138" s="257">
        <f>IF(T$7="Actual","",IFERROR((INDEX($M138:$Q138,,MATCH(T$4,$M$4:$Q$4,0))),0))</f>
        <v/>
      </c>
      <c r="U138" s="257">
        <f>IF(U$7="Actual","",IFERROR((INDEX($M138:$Q138,,MATCH(U$4,$M$4:$Q$4,0))),0))</f>
        <v/>
      </c>
      <c r="V138" s="257">
        <f>IF(V$7="Actual","",IFERROR((INDEX($M138:$Q138,,MATCH(V$4,$M$4:$Q$4,0))),0))</f>
        <v/>
      </c>
      <c r="W138" s="257">
        <f>IF(W$7="Actual","",IFERROR((INDEX($M138:$Q138,,MATCH(W$4,$M$4:$Q$4,0))),0))</f>
        <v/>
      </c>
      <c r="X138" s="257">
        <f>IF(X$7="Actual","",IFERROR((INDEX($M138:$Q138,,MATCH(X$4,$M$4:$Q$4,0))),0))</f>
        <v/>
      </c>
      <c r="Y138" s="257">
        <f>IF(Y$7="Actual","",IFERROR((INDEX($M138:$Q138,,MATCH(Y$4,$M$4:$Q$4,0))),0))</f>
        <v/>
      </c>
      <c r="Z138" s="257">
        <f>IF(Z$7="Actual","",IFERROR((INDEX($M138:$Q138,,MATCH(Z$4,$M$4:$Q$4,0))),0))</f>
        <v/>
      </c>
      <c r="AA138" s="257">
        <f>IF(AA$7="Actual","",IFERROR((INDEX($M138:$Q138,,MATCH(AA$4,$M$4:$Q$4,0))),0))</f>
        <v/>
      </c>
      <c r="AB138" s="257">
        <f>IF(AB$7="Actual","",IFERROR((INDEX($M138:$Q138,,MATCH(AB$4,$M$4:$Q$4,0))),0))</f>
        <v/>
      </c>
      <c r="AC138" s="257">
        <f>IF(AC$7="Actual","",IFERROR((INDEX($M138:$Q138,,MATCH(AC$4,$M$4:$Q$4,0))),0))</f>
        <v/>
      </c>
      <c r="AD138" s="257">
        <f>IF(AD$7="Actual","",IFERROR((INDEX($M138:$Q138,,MATCH(AD$4,$M$4:$Q$4,0))),0))</f>
        <v/>
      </c>
      <c r="AE138" s="257">
        <f>IF(AE$7="Actual","",IFERROR((INDEX($M138:$Q138,,MATCH(AE$4,$M$4:$Q$4,0))),0))</f>
        <v/>
      </c>
      <c r="AF138" s="257">
        <f>IF(AF$7="Actual","",IFERROR((INDEX($M138:$Q138,,MATCH(AF$4,$M$4:$Q$4,0))),0))</f>
        <v/>
      </c>
      <c r="AG138" s="257">
        <f>IF(AG$7="Actual","",IFERROR((INDEX($M138:$Q138,,MATCH(AG$4,$M$4:$Q$4,0))),0))</f>
        <v/>
      </c>
      <c r="AH138" s="257">
        <f>IF(AH$7="Actual","",IFERROR((INDEX($M138:$Q138,,MATCH(AH$4,$M$4:$Q$4,0))),0))</f>
        <v/>
      </c>
      <c r="AI138" s="257">
        <f>IF(AI$7="Actual","",IFERROR((INDEX($M138:$Q138,,MATCH(AI$4,$M$4:$Q$4,0))),0))</f>
        <v/>
      </c>
      <c r="AJ138" s="257">
        <f>IF(AJ$7="Actual","",IFERROR((INDEX($M138:$Q138,,MATCH(AJ$4,$M$4:$Q$4,0))),0))</f>
        <v/>
      </c>
      <c r="AK138" s="257">
        <f>IF(AK$7="Actual","",IFERROR((INDEX($M138:$Q138,,MATCH(AK$4,$M$4:$Q$4,0))),0))</f>
        <v/>
      </c>
      <c r="AL138" s="257">
        <f>IF(AL$7="Actual","",IFERROR((INDEX($M138:$Q138,,MATCH(AL$4,$M$4:$Q$4,0))),0))</f>
        <v/>
      </c>
      <c r="AM138" s="257">
        <f>IF(AM$7="Actual","",IFERROR((INDEX($M138:$Q138,,MATCH(AM$4,$M$4:$Q$4,0))),0))</f>
        <v/>
      </c>
      <c r="AN138" s="257">
        <f>IF(AN$7="Actual","",IFERROR((INDEX($M138:$Q138,,MATCH(AN$4,$M$4:$Q$4,0))),0))</f>
        <v/>
      </c>
      <c r="AO138" s="257">
        <f>IF(AO$7="Actual","",IFERROR((INDEX($M138:$Q138,,MATCH(AO$4,$M$4:$Q$4,0))),0))</f>
        <v/>
      </c>
      <c r="AP138" s="257">
        <f>IF(AP$7="Actual","",IFERROR((INDEX($M138:$Q138,,MATCH(AP$4,$M$4:$Q$4,0))),0))</f>
        <v/>
      </c>
      <c r="AQ138" s="257">
        <f>IF(AQ$7="Actual","",IFERROR((INDEX($M138:$Q138,,MATCH(AQ$4,$M$4:$Q$4,0))),0))</f>
        <v/>
      </c>
      <c r="AR138" s="257">
        <f>IF(AR$7="Actual","",IFERROR((INDEX($M138:$Q138,,MATCH(AR$4,$M$4:$Q$4,0))),0))</f>
        <v/>
      </c>
      <c r="AS138" s="257">
        <f>IF(AS$7="Actual","",IFERROR((INDEX($M138:$Q138,,MATCH(AS$4,$M$4:$Q$4,0))),0))</f>
        <v/>
      </c>
      <c r="AT138" s="257">
        <f>IF(AT$7="Actual","",IFERROR((INDEX($M138:$Q138,,MATCH(AT$4,$M$4:$Q$4,0))),0))</f>
        <v/>
      </c>
      <c r="AU138" s="257">
        <f>IF(AU$7="Actual","",IFERROR((INDEX($M138:$Q138,,MATCH(AU$4,$M$4:$Q$4,0))),0))</f>
        <v/>
      </c>
      <c r="AV138" s="257">
        <f>IF(AV$7="Actual","",IFERROR((INDEX($M138:$Q138,,MATCH(AV$4,$M$4:$Q$4,0))),0))</f>
        <v/>
      </c>
      <c r="AW138" s="257">
        <f>IF(AW$7="Actual","",IFERROR((INDEX($M138:$Q138,,MATCH(AW$4,$M$4:$Q$4,0))),0))</f>
        <v/>
      </c>
      <c r="AX138" s="257">
        <f>IF(AX$7="Actual","",IFERROR((INDEX($M138:$Q138,,MATCH(AX$4,$M$4:$Q$4,0))),0))</f>
        <v/>
      </c>
      <c r="AY138" s="257">
        <f>IF(AY$7="Actual","",IFERROR((INDEX($M138:$Q138,,MATCH(AY$4,$M$4:$Q$4,0))),0))</f>
        <v/>
      </c>
      <c r="AZ138" s="257">
        <f>IF(AZ$7="Actual","",IFERROR((INDEX($M138:$Q138,,MATCH(AZ$4,$M$4:$Q$4,0))),0))</f>
        <v/>
      </c>
      <c r="BA138" s="257">
        <f>IF(BA$7="Actual","",IFERROR((INDEX($M138:$Q138,,MATCH(BA$4,$M$4:$Q$4,0))),0))</f>
        <v/>
      </c>
      <c r="BB138" s="257">
        <f>IF(BB$7="Actual","",IFERROR((INDEX($M138:$Q138,,MATCH(BB$4,$M$4:$Q$4,0))),0))</f>
        <v/>
      </c>
      <c r="BC138" s="257">
        <f>IF(BC$7="Actual","",IFERROR((INDEX($M138:$Q138,,MATCH(BC$4,$M$4:$Q$4,0))),0))</f>
        <v/>
      </c>
      <c r="BD138" s="257">
        <f>IF(BD$7="Actual","",IFERROR((INDEX($M138:$Q138,,MATCH(BD$4,$M$4:$Q$4,0))),0))</f>
        <v/>
      </c>
      <c r="BE138" s="257">
        <f>IF(BE$7="Actual","",IFERROR((INDEX($M138:$Q138,,MATCH(BE$4,$M$4:$Q$4,0))),0))</f>
        <v/>
      </c>
      <c r="BF138" s="257">
        <f>IF(BF$7="Actual","",IFERROR((INDEX($M138:$Q138,,MATCH(BF$4,$M$4:$Q$4,0))),0))</f>
        <v/>
      </c>
      <c r="BG138" s="257">
        <f>IF(BG$7="Actual","",IFERROR((INDEX($M138:$Q138,,MATCH(BG$4,$M$4:$Q$4,0))),0))</f>
        <v/>
      </c>
      <c r="BH138" s="257">
        <f>IF(BH$7="Actual","",IFERROR((INDEX($M138:$Q138,,MATCH(BH$4,$M$4:$Q$4,0))),0))</f>
        <v/>
      </c>
      <c r="BI138" s="257">
        <f>IF(BI$7="Actual","",IFERROR((INDEX($M138:$Q138,,MATCH(BI$4,$M$4:$Q$4,0))),0))</f>
        <v/>
      </c>
      <c r="BJ138" s="257">
        <f>IF(BJ$7="Actual","",IFERROR((INDEX($M138:$Q138,,MATCH(BJ$4,$M$4:$Q$4,0))),0))</f>
        <v/>
      </c>
      <c r="BK138" s="257">
        <f>IF(BK$7="Actual","",IFERROR((INDEX($M138:$Q138,,MATCH(BK$4,$M$4:$Q$4,0))),0))</f>
        <v/>
      </c>
      <c r="BL138" s="257">
        <f>IF(BL$7="Actual","",IFERROR((INDEX($M138:$Q138,,MATCH(BL$4,$M$4:$Q$4,0))),0))</f>
        <v/>
      </c>
      <c r="BM138" s="257">
        <f>IF(BM$7="Actual","",IFERROR((INDEX($M138:$Q138,,MATCH(BM$4,$M$4:$Q$4,0))),0))</f>
        <v/>
      </c>
      <c r="BN138" s="257">
        <f>IF(BN$7="Actual","",IFERROR((INDEX($M138:$Q138,,MATCH(BN$4,$M$4:$Q$4,0))),0))</f>
        <v/>
      </c>
      <c r="BO138" s="257">
        <f>IF(BO$7="Actual","",IFERROR((INDEX($M138:$Q138,,MATCH(BO$4,$M$4:$Q$4,0))),0))</f>
        <v/>
      </c>
      <c r="BP138" s="257">
        <f>IF(BP$7="Actual","",IFERROR((INDEX($M138:$Q138,,MATCH(BP$4,$M$4:$Q$4,0))),0))</f>
        <v/>
      </c>
      <c r="BQ138" s="257">
        <f>IF(BQ$7="Actual","",IFERROR((INDEX($M138:$Q138,,MATCH(BQ$4,$M$4:$Q$4,0))),0))</f>
        <v/>
      </c>
      <c r="BR138" s="257">
        <f>IF(BR$7="Actual","",IFERROR((INDEX($M138:$Q138,,MATCH(BR$4,$M$4:$Q$4,0))),0))</f>
        <v/>
      </c>
      <c r="BS138" s="257">
        <f>IF(BS$7="Actual","",IFERROR((INDEX($M138:$Q138,,MATCH(BS$4,$M$4:$Q$4,0))),0))</f>
        <v/>
      </c>
      <c r="BT138" s="257">
        <f>IF(BT$7="Actual","",IFERROR((INDEX($M138:$Q138,,MATCH(BT$4,$M$4:$Q$4,0))),0))</f>
        <v/>
      </c>
      <c r="BU138" s="257">
        <f>IF(BU$7="Actual","",IFERROR((INDEX($M138:$Q138,,MATCH(BU$4,$M$4:$Q$4,0))),0))</f>
        <v/>
      </c>
      <c r="BV138" s="257">
        <f>IF(BV$7="Actual","",IFERROR((INDEX($M138:$Q138,,MATCH(BV$4,$M$4:$Q$4,0))),0))</f>
        <v/>
      </c>
      <c r="BW138" s="257">
        <f>IF(BW$7="Actual","",IFERROR((INDEX($M138:$Q138,,MATCH(BW$4,$M$4:$Q$4,0))),0))</f>
        <v/>
      </c>
      <c r="BX138" s="257">
        <f>IF(BX$7="Actual","",IFERROR((INDEX($M138:$Q138,,MATCH(BX$4,$M$4:$Q$4,0))),0))</f>
        <v/>
      </c>
      <c r="BY138" s="257">
        <f>IF(BY$7="Actual","",IFERROR((INDEX($M138:$Q138,,MATCH(BY$4,$M$4:$Q$4,0))),0))</f>
        <v/>
      </c>
      <c r="BZ138" s="257">
        <f>IF(BZ$7="Actual","",IFERROR((INDEX($M138:$Q138,,MATCH(BZ$4,$M$4:$Q$4,0))),0))</f>
        <v/>
      </c>
      <c r="CA138" s="257">
        <f>IF(CA$7="Actual","",IFERROR((INDEX($M138:$Q138,,MATCH(CA$4,$M$4:$Q$4,0))),0))</f>
        <v/>
      </c>
    </row>
    <row r="139" ht="12" customHeight="1" s="227">
      <c r="A139" s="244" t="n"/>
      <c r="B139" s="244" t="n"/>
      <c r="C139" s="244" t="n"/>
      <c r="H139" s="0">
        <f>H129</f>
        <v/>
      </c>
      <c r="I139" s="27">
        <f>i_Setup!$M$16</f>
        <v/>
      </c>
      <c r="K139" s="6" t="n"/>
      <c r="M139" s="257">
        <f>i_Assumptions!M162</f>
        <v/>
      </c>
      <c r="N139" s="257">
        <f>i_Assumptions!N162</f>
        <v/>
      </c>
      <c r="O139" s="257">
        <f>i_Assumptions!O162</f>
        <v/>
      </c>
      <c r="P139" s="257">
        <f>i_Assumptions!P162</f>
        <v/>
      </c>
      <c r="Q139" s="257">
        <f>i_Assumptions!Q162</f>
        <v/>
      </c>
      <c r="T139" s="257">
        <f>IF(T$7="Actual","",IFERROR((INDEX($M139:$Q139,,MATCH(T$4,$M$4:$Q$4,0))),0))</f>
        <v/>
      </c>
      <c r="U139" s="257">
        <f>IF(U$7="Actual","",IFERROR((INDEX($M139:$Q139,,MATCH(U$4,$M$4:$Q$4,0))),0))</f>
        <v/>
      </c>
      <c r="V139" s="257">
        <f>IF(V$7="Actual","",IFERROR((INDEX($M139:$Q139,,MATCH(V$4,$M$4:$Q$4,0))),0))</f>
        <v/>
      </c>
      <c r="W139" s="257">
        <f>IF(W$7="Actual","",IFERROR((INDEX($M139:$Q139,,MATCH(W$4,$M$4:$Q$4,0))),0))</f>
        <v/>
      </c>
      <c r="X139" s="257">
        <f>IF(X$7="Actual","",IFERROR((INDEX($M139:$Q139,,MATCH(X$4,$M$4:$Q$4,0))),0))</f>
        <v/>
      </c>
      <c r="Y139" s="257">
        <f>IF(Y$7="Actual","",IFERROR((INDEX($M139:$Q139,,MATCH(Y$4,$M$4:$Q$4,0))),0))</f>
        <v/>
      </c>
      <c r="Z139" s="257">
        <f>IF(Z$7="Actual","",IFERROR((INDEX($M139:$Q139,,MATCH(Z$4,$M$4:$Q$4,0))),0))</f>
        <v/>
      </c>
      <c r="AA139" s="257">
        <f>IF(AA$7="Actual","",IFERROR((INDEX($M139:$Q139,,MATCH(AA$4,$M$4:$Q$4,0))),0))</f>
        <v/>
      </c>
      <c r="AB139" s="257">
        <f>IF(AB$7="Actual","",IFERROR((INDEX($M139:$Q139,,MATCH(AB$4,$M$4:$Q$4,0))),0))</f>
        <v/>
      </c>
      <c r="AC139" s="257">
        <f>IF(AC$7="Actual","",IFERROR((INDEX($M139:$Q139,,MATCH(AC$4,$M$4:$Q$4,0))),0))</f>
        <v/>
      </c>
      <c r="AD139" s="257">
        <f>IF(AD$7="Actual","",IFERROR((INDEX($M139:$Q139,,MATCH(AD$4,$M$4:$Q$4,0))),0))</f>
        <v/>
      </c>
      <c r="AE139" s="257">
        <f>IF(AE$7="Actual","",IFERROR((INDEX($M139:$Q139,,MATCH(AE$4,$M$4:$Q$4,0))),0))</f>
        <v/>
      </c>
      <c r="AF139" s="257">
        <f>IF(AF$7="Actual","",IFERROR((INDEX($M139:$Q139,,MATCH(AF$4,$M$4:$Q$4,0))),0))</f>
        <v/>
      </c>
      <c r="AG139" s="257">
        <f>IF(AG$7="Actual","",IFERROR((INDEX($M139:$Q139,,MATCH(AG$4,$M$4:$Q$4,0))),0))</f>
        <v/>
      </c>
      <c r="AH139" s="257">
        <f>IF(AH$7="Actual","",IFERROR((INDEX($M139:$Q139,,MATCH(AH$4,$M$4:$Q$4,0))),0))</f>
        <v/>
      </c>
      <c r="AI139" s="257">
        <f>IF(AI$7="Actual","",IFERROR((INDEX($M139:$Q139,,MATCH(AI$4,$M$4:$Q$4,0))),0))</f>
        <v/>
      </c>
      <c r="AJ139" s="257">
        <f>IF(AJ$7="Actual","",IFERROR((INDEX($M139:$Q139,,MATCH(AJ$4,$M$4:$Q$4,0))),0))</f>
        <v/>
      </c>
      <c r="AK139" s="257">
        <f>IF(AK$7="Actual","",IFERROR((INDEX($M139:$Q139,,MATCH(AK$4,$M$4:$Q$4,0))),0))</f>
        <v/>
      </c>
      <c r="AL139" s="257">
        <f>IF(AL$7="Actual","",IFERROR((INDEX($M139:$Q139,,MATCH(AL$4,$M$4:$Q$4,0))),0))</f>
        <v/>
      </c>
      <c r="AM139" s="257">
        <f>IF(AM$7="Actual","",IFERROR((INDEX($M139:$Q139,,MATCH(AM$4,$M$4:$Q$4,0))),0))</f>
        <v/>
      </c>
      <c r="AN139" s="257">
        <f>IF(AN$7="Actual","",IFERROR((INDEX($M139:$Q139,,MATCH(AN$4,$M$4:$Q$4,0))),0))</f>
        <v/>
      </c>
      <c r="AO139" s="257">
        <f>IF(AO$7="Actual","",IFERROR((INDEX($M139:$Q139,,MATCH(AO$4,$M$4:$Q$4,0))),0))</f>
        <v/>
      </c>
      <c r="AP139" s="257">
        <f>IF(AP$7="Actual","",IFERROR((INDEX($M139:$Q139,,MATCH(AP$4,$M$4:$Q$4,0))),0))</f>
        <v/>
      </c>
      <c r="AQ139" s="257">
        <f>IF(AQ$7="Actual","",IFERROR((INDEX($M139:$Q139,,MATCH(AQ$4,$M$4:$Q$4,0))),0))</f>
        <v/>
      </c>
      <c r="AR139" s="257">
        <f>IF(AR$7="Actual","",IFERROR((INDEX($M139:$Q139,,MATCH(AR$4,$M$4:$Q$4,0))),0))</f>
        <v/>
      </c>
      <c r="AS139" s="257">
        <f>IF(AS$7="Actual","",IFERROR((INDEX($M139:$Q139,,MATCH(AS$4,$M$4:$Q$4,0))),0))</f>
        <v/>
      </c>
      <c r="AT139" s="257">
        <f>IF(AT$7="Actual","",IFERROR((INDEX($M139:$Q139,,MATCH(AT$4,$M$4:$Q$4,0))),0))</f>
        <v/>
      </c>
      <c r="AU139" s="257">
        <f>IF(AU$7="Actual","",IFERROR((INDEX($M139:$Q139,,MATCH(AU$4,$M$4:$Q$4,0))),0))</f>
        <v/>
      </c>
      <c r="AV139" s="257">
        <f>IF(AV$7="Actual","",IFERROR((INDEX($M139:$Q139,,MATCH(AV$4,$M$4:$Q$4,0))),0))</f>
        <v/>
      </c>
      <c r="AW139" s="257">
        <f>IF(AW$7="Actual","",IFERROR((INDEX($M139:$Q139,,MATCH(AW$4,$M$4:$Q$4,0))),0))</f>
        <v/>
      </c>
      <c r="AX139" s="257">
        <f>IF(AX$7="Actual","",IFERROR((INDEX($M139:$Q139,,MATCH(AX$4,$M$4:$Q$4,0))),0))</f>
        <v/>
      </c>
      <c r="AY139" s="257">
        <f>IF(AY$7="Actual","",IFERROR((INDEX($M139:$Q139,,MATCH(AY$4,$M$4:$Q$4,0))),0))</f>
        <v/>
      </c>
      <c r="AZ139" s="257">
        <f>IF(AZ$7="Actual","",IFERROR((INDEX($M139:$Q139,,MATCH(AZ$4,$M$4:$Q$4,0))),0))</f>
        <v/>
      </c>
      <c r="BA139" s="257">
        <f>IF(BA$7="Actual","",IFERROR((INDEX($M139:$Q139,,MATCH(BA$4,$M$4:$Q$4,0))),0))</f>
        <v/>
      </c>
      <c r="BB139" s="257">
        <f>IF(BB$7="Actual","",IFERROR((INDEX($M139:$Q139,,MATCH(BB$4,$M$4:$Q$4,0))),0))</f>
        <v/>
      </c>
      <c r="BC139" s="257">
        <f>IF(BC$7="Actual","",IFERROR((INDEX($M139:$Q139,,MATCH(BC$4,$M$4:$Q$4,0))),0))</f>
        <v/>
      </c>
      <c r="BD139" s="257">
        <f>IF(BD$7="Actual","",IFERROR((INDEX($M139:$Q139,,MATCH(BD$4,$M$4:$Q$4,0))),0))</f>
        <v/>
      </c>
      <c r="BE139" s="257">
        <f>IF(BE$7="Actual","",IFERROR((INDEX($M139:$Q139,,MATCH(BE$4,$M$4:$Q$4,0))),0))</f>
        <v/>
      </c>
      <c r="BF139" s="257">
        <f>IF(BF$7="Actual","",IFERROR((INDEX($M139:$Q139,,MATCH(BF$4,$M$4:$Q$4,0))),0))</f>
        <v/>
      </c>
      <c r="BG139" s="257">
        <f>IF(BG$7="Actual","",IFERROR((INDEX($M139:$Q139,,MATCH(BG$4,$M$4:$Q$4,0))),0))</f>
        <v/>
      </c>
      <c r="BH139" s="257">
        <f>IF(BH$7="Actual","",IFERROR((INDEX($M139:$Q139,,MATCH(BH$4,$M$4:$Q$4,0))),0))</f>
        <v/>
      </c>
      <c r="BI139" s="257">
        <f>IF(BI$7="Actual","",IFERROR((INDEX($M139:$Q139,,MATCH(BI$4,$M$4:$Q$4,0))),0))</f>
        <v/>
      </c>
      <c r="BJ139" s="257">
        <f>IF(BJ$7="Actual","",IFERROR((INDEX($M139:$Q139,,MATCH(BJ$4,$M$4:$Q$4,0))),0))</f>
        <v/>
      </c>
      <c r="BK139" s="257">
        <f>IF(BK$7="Actual","",IFERROR((INDEX($M139:$Q139,,MATCH(BK$4,$M$4:$Q$4,0))),0))</f>
        <v/>
      </c>
      <c r="BL139" s="257">
        <f>IF(BL$7="Actual","",IFERROR((INDEX($M139:$Q139,,MATCH(BL$4,$M$4:$Q$4,0))),0))</f>
        <v/>
      </c>
      <c r="BM139" s="257">
        <f>IF(BM$7="Actual","",IFERROR((INDEX($M139:$Q139,,MATCH(BM$4,$M$4:$Q$4,0))),0))</f>
        <v/>
      </c>
      <c r="BN139" s="257">
        <f>IF(BN$7="Actual","",IFERROR((INDEX($M139:$Q139,,MATCH(BN$4,$M$4:$Q$4,0))),0))</f>
        <v/>
      </c>
      <c r="BO139" s="257">
        <f>IF(BO$7="Actual","",IFERROR((INDEX($M139:$Q139,,MATCH(BO$4,$M$4:$Q$4,0))),0))</f>
        <v/>
      </c>
      <c r="BP139" s="257">
        <f>IF(BP$7="Actual","",IFERROR((INDEX($M139:$Q139,,MATCH(BP$4,$M$4:$Q$4,0))),0))</f>
        <v/>
      </c>
      <c r="BQ139" s="257">
        <f>IF(BQ$7="Actual","",IFERROR((INDEX($M139:$Q139,,MATCH(BQ$4,$M$4:$Q$4,0))),0))</f>
        <v/>
      </c>
      <c r="BR139" s="257">
        <f>IF(BR$7="Actual","",IFERROR((INDEX($M139:$Q139,,MATCH(BR$4,$M$4:$Q$4,0))),0))</f>
        <v/>
      </c>
      <c r="BS139" s="257">
        <f>IF(BS$7="Actual","",IFERROR((INDEX($M139:$Q139,,MATCH(BS$4,$M$4:$Q$4,0))),0))</f>
        <v/>
      </c>
      <c r="BT139" s="257">
        <f>IF(BT$7="Actual","",IFERROR((INDEX($M139:$Q139,,MATCH(BT$4,$M$4:$Q$4,0))),0))</f>
        <v/>
      </c>
      <c r="BU139" s="257">
        <f>IF(BU$7="Actual","",IFERROR((INDEX($M139:$Q139,,MATCH(BU$4,$M$4:$Q$4,0))),0))</f>
        <v/>
      </c>
      <c r="BV139" s="257">
        <f>IF(BV$7="Actual","",IFERROR((INDEX($M139:$Q139,,MATCH(BV$4,$M$4:$Q$4,0))),0))</f>
        <v/>
      </c>
      <c r="BW139" s="257">
        <f>IF(BW$7="Actual","",IFERROR((INDEX($M139:$Q139,,MATCH(BW$4,$M$4:$Q$4,0))),0))</f>
        <v/>
      </c>
      <c r="BX139" s="257">
        <f>IF(BX$7="Actual","",IFERROR((INDEX($M139:$Q139,,MATCH(BX$4,$M$4:$Q$4,0))),0))</f>
        <v/>
      </c>
      <c r="BY139" s="257">
        <f>IF(BY$7="Actual","",IFERROR((INDEX($M139:$Q139,,MATCH(BY$4,$M$4:$Q$4,0))),0))</f>
        <v/>
      </c>
      <c r="BZ139" s="257">
        <f>IF(BZ$7="Actual","",IFERROR((INDEX($M139:$Q139,,MATCH(BZ$4,$M$4:$Q$4,0))),0))</f>
        <v/>
      </c>
      <c r="CA139" s="257">
        <f>IF(CA$7="Actual","",IFERROR((INDEX($M139:$Q139,,MATCH(CA$4,$M$4:$Q$4,0))),0))</f>
        <v/>
      </c>
    </row>
    <row r="140" ht="12" customHeight="1" s="227">
      <c r="A140" s="244" t="n"/>
      <c r="B140" s="244" t="n"/>
      <c r="C140" s="244" t="n"/>
      <c r="H140" s="0" t="n"/>
      <c r="K140" s="6" t="n"/>
    </row>
    <row r="141" ht="12" customHeight="1" s="227">
      <c r="A141" s="244" t="n"/>
      <c r="B141" s="244" t="n"/>
      <c r="C141" s="244" t="n"/>
      <c r="H141" s="8">
        <f>i_Setup!U35</f>
        <v/>
      </c>
      <c r="K141" s="6" t="n"/>
    </row>
    <row r="142" ht="12" customHeight="1" s="227">
      <c r="A142" s="244" t="n"/>
      <c r="B142" s="244" t="n"/>
      <c r="C142" s="244" t="n"/>
      <c r="H142" s="0">
        <f>H132</f>
        <v/>
      </c>
      <c r="I142" s="27">
        <f>i_Setup!$M$16</f>
        <v/>
      </c>
      <c r="K142" s="6" t="n"/>
      <c r="M142" s="257">
        <f>i_Assumptions!M195</f>
        <v/>
      </c>
      <c r="N142" s="257">
        <f>i_Assumptions!N195</f>
        <v/>
      </c>
      <c r="O142" s="257">
        <f>i_Assumptions!O195</f>
        <v/>
      </c>
      <c r="P142" s="257">
        <f>i_Assumptions!P195</f>
        <v/>
      </c>
      <c r="Q142" s="257">
        <f>i_Assumptions!Q195</f>
        <v/>
      </c>
      <c r="T142" s="257">
        <f>IF(T$7="Actual","",IFERROR((INDEX($M142:$Q142,,MATCH(T$4,$M$4:$Q$4,0))),0))</f>
        <v/>
      </c>
      <c r="U142" s="257">
        <f>IF(U$7="Actual","",IFERROR((INDEX($M142:$Q142,,MATCH(U$4,$M$4:$Q$4,0))),0))</f>
        <v/>
      </c>
      <c r="V142" s="257">
        <f>IF(V$7="Actual","",IFERROR((INDEX($M142:$Q142,,MATCH(V$4,$M$4:$Q$4,0))),0))</f>
        <v/>
      </c>
      <c r="W142" s="257">
        <f>IF(W$7="Actual","",IFERROR((INDEX($M142:$Q142,,MATCH(W$4,$M$4:$Q$4,0))),0))</f>
        <v/>
      </c>
      <c r="X142" s="257">
        <f>IF(X$7="Actual","",IFERROR((INDEX($M142:$Q142,,MATCH(X$4,$M$4:$Q$4,0))),0))</f>
        <v/>
      </c>
      <c r="Y142" s="257">
        <f>IF(Y$7="Actual","",IFERROR((INDEX($M142:$Q142,,MATCH(Y$4,$M$4:$Q$4,0))),0))</f>
        <v/>
      </c>
      <c r="Z142" s="257">
        <f>IF(Z$7="Actual","",IFERROR((INDEX($M142:$Q142,,MATCH(Z$4,$M$4:$Q$4,0))),0))</f>
        <v/>
      </c>
      <c r="AA142" s="257">
        <f>IF(AA$7="Actual","",IFERROR((INDEX($M142:$Q142,,MATCH(AA$4,$M$4:$Q$4,0))),0))</f>
        <v/>
      </c>
      <c r="AB142" s="257">
        <f>IF(AB$7="Actual","",IFERROR((INDEX($M142:$Q142,,MATCH(AB$4,$M$4:$Q$4,0))),0))</f>
        <v/>
      </c>
      <c r="AC142" s="257">
        <f>IF(AC$7="Actual","",IFERROR((INDEX($M142:$Q142,,MATCH(AC$4,$M$4:$Q$4,0))),0))</f>
        <v/>
      </c>
      <c r="AD142" s="257">
        <f>IF(AD$7="Actual","",IFERROR((INDEX($M142:$Q142,,MATCH(AD$4,$M$4:$Q$4,0))),0))</f>
        <v/>
      </c>
      <c r="AE142" s="257">
        <f>IF(AE$7="Actual","",IFERROR((INDEX($M142:$Q142,,MATCH(AE$4,$M$4:$Q$4,0))),0))</f>
        <v/>
      </c>
      <c r="AF142" s="257">
        <f>IF(AF$7="Actual","",IFERROR((INDEX($M142:$Q142,,MATCH(AF$4,$M$4:$Q$4,0))),0))</f>
        <v/>
      </c>
      <c r="AG142" s="257">
        <f>IF(AG$7="Actual","",IFERROR((INDEX($M142:$Q142,,MATCH(AG$4,$M$4:$Q$4,0))),0))</f>
        <v/>
      </c>
      <c r="AH142" s="257">
        <f>IF(AH$7="Actual","",IFERROR((INDEX($M142:$Q142,,MATCH(AH$4,$M$4:$Q$4,0))),0))</f>
        <v/>
      </c>
      <c r="AI142" s="257">
        <f>IF(AI$7="Actual","",IFERROR((INDEX($M142:$Q142,,MATCH(AI$4,$M$4:$Q$4,0))),0))</f>
        <v/>
      </c>
      <c r="AJ142" s="257">
        <f>IF(AJ$7="Actual","",IFERROR((INDEX($M142:$Q142,,MATCH(AJ$4,$M$4:$Q$4,0))),0))</f>
        <v/>
      </c>
      <c r="AK142" s="257">
        <f>IF(AK$7="Actual","",IFERROR((INDEX($M142:$Q142,,MATCH(AK$4,$M$4:$Q$4,0))),0))</f>
        <v/>
      </c>
      <c r="AL142" s="257">
        <f>IF(AL$7="Actual","",IFERROR((INDEX($M142:$Q142,,MATCH(AL$4,$M$4:$Q$4,0))),0))</f>
        <v/>
      </c>
      <c r="AM142" s="257">
        <f>IF(AM$7="Actual","",IFERROR((INDEX($M142:$Q142,,MATCH(AM$4,$M$4:$Q$4,0))),0))</f>
        <v/>
      </c>
      <c r="AN142" s="257">
        <f>IF(AN$7="Actual","",IFERROR((INDEX($M142:$Q142,,MATCH(AN$4,$M$4:$Q$4,0))),0))</f>
        <v/>
      </c>
      <c r="AO142" s="257">
        <f>IF(AO$7="Actual","",IFERROR((INDEX($M142:$Q142,,MATCH(AO$4,$M$4:$Q$4,0))),0))</f>
        <v/>
      </c>
      <c r="AP142" s="257">
        <f>IF(AP$7="Actual","",IFERROR((INDEX($M142:$Q142,,MATCH(AP$4,$M$4:$Q$4,0))),0))</f>
        <v/>
      </c>
      <c r="AQ142" s="257">
        <f>IF(AQ$7="Actual","",IFERROR((INDEX($M142:$Q142,,MATCH(AQ$4,$M$4:$Q$4,0))),0))</f>
        <v/>
      </c>
      <c r="AR142" s="257">
        <f>IF(AR$7="Actual","",IFERROR((INDEX($M142:$Q142,,MATCH(AR$4,$M$4:$Q$4,0))),0))</f>
        <v/>
      </c>
      <c r="AS142" s="257">
        <f>IF(AS$7="Actual","",IFERROR((INDEX($M142:$Q142,,MATCH(AS$4,$M$4:$Q$4,0))),0))</f>
        <v/>
      </c>
      <c r="AT142" s="257">
        <f>IF(AT$7="Actual","",IFERROR((INDEX($M142:$Q142,,MATCH(AT$4,$M$4:$Q$4,0))),0))</f>
        <v/>
      </c>
      <c r="AU142" s="257">
        <f>IF(AU$7="Actual","",IFERROR((INDEX($M142:$Q142,,MATCH(AU$4,$M$4:$Q$4,0))),0))</f>
        <v/>
      </c>
      <c r="AV142" s="257">
        <f>IF(AV$7="Actual","",IFERROR((INDEX($M142:$Q142,,MATCH(AV$4,$M$4:$Q$4,0))),0))</f>
        <v/>
      </c>
      <c r="AW142" s="257">
        <f>IF(AW$7="Actual","",IFERROR((INDEX($M142:$Q142,,MATCH(AW$4,$M$4:$Q$4,0))),0))</f>
        <v/>
      </c>
      <c r="AX142" s="257">
        <f>IF(AX$7="Actual","",IFERROR((INDEX($M142:$Q142,,MATCH(AX$4,$M$4:$Q$4,0))),0))</f>
        <v/>
      </c>
      <c r="AY142" s="257">
        <f>IF(AY$7="Actual","",IFERROR((INDEX($M142:$Q142,,MATCH(AY$4,$M$4:$Q$4,0))),0))</f>
        <v/>
      </c>
      <c r="AZ142" s="257">
        <f>IF(AZ$7="Actual","",IFERROR((INDEX($M142:$Q142,,MATCH(AZ$4,$M$4:$Q$4,0))),0))</f>
        <v/>
      </c>
      <c r="BA142" s="257">
        <f>IF(BA$7="Actual","",IFERROR((INDEX($M142:$Q142,,MATCH(BA$4,$M$4:$Q$4,0))),0))</f>
        <v/>
      </c>
      <c r="BB142" s="257">
        <f>IF(BB$7="Actual","",IFERROR((INDEX($M142:$Q142,,MATCH(BB$4,$M$4:$Q$4,0))),0))</f>
        <v/>
      </c>
      <c r="BC142" s="257">
        <f>IF(BC$7="Actual","",IFERROR((INDEX($M142:$Q142,,MATCH(BC$4,$M$4:$Q$4,0))),0))</f>
        <v/>
      </c>
      <c r="BD142" s="257">
        <f>IF(BD$7="Actual","",IFERROR((INDEX($M142:$Q142,,MATCH(BD$4,$M$4:$Q$4,0))),0))</f>
        <v/>
      </c>
      <c r="BE142" s="257">
        <f>IF(BE$7="Actual","",IFERROR((INDEX($M142:$Q142,,MATCH(BE$4,$M$4:$Q$4,0))),0))</f>
        <v/>
      </c>
      <c r="BF142" s="257">
        <f>IF(BF$7="Actual","",IFERROR((INDEX($M142:$Q142,,MATCH(BF$4,$M$4:$Q$4,0))),0))</f>
        <v/>
      </c>
      <c r="BG142" s="257">
        <f>IF(BG$7="Actual","",IFERROR((INDEX($M142:$Q142,,MATCH(BG$4,$M$4:$Q$4,0))),0))</f>
        <v/>
      </c>
      <c r="BH142" s="257">
        <f>IF(BH$7="Actual","",IFERROR((INDEX($M142:$Q142,,MATCH(BH$4,$M$4:$Q$4,0))),0))</f>
        <v/>
      </c>
      <c r="BI142" s="257">
        <f>IF(BI$7="Actual","",IFERROR((INDEX($M142:$Q142,,MATCH(BI$4,$M$4:$Q$4,0))),0))</f>
        <v/>
      </c>
      <c r="BJ142" s="257">
        <f>IF(BJ$7="Actual","",IFERROR((INDEX($M142:$Q142,,MATCH(BJ$4,$M$4:$Q$4,0))),0))</f>
        <v/>
      </c>
      <c r="BK142" s="257">
        <f>IF(BK$7="Actual","",IFERROR((INDEX($M142:$Q142,,MATCH(BK$4,$M$4:$Q$4,0))),0))</f>
        <v/>
      </c>
      <c r="BL142" s="257">
        <f>IF(BL$7="Actual","",IFERROR((INDEX($M142:$Q142,,MATCH(BL$4,$M$4:$Q$4,0))),0))</f>
        <v/>
      </c>
      <c r="BM142" s="257">
        <f>IF(BM$7="Actual","",IFERROR((INDEX($M142:$Q142,,MATCH(BM$4,$M$4:$Q$4,0))),0))</f>
        <v/>
      </c>
      <c r="BN142" s="257">
        <f>IF(BN$7="Actual","",IFERROR((INDEX($M142:$Q142,,MATCH(BN$4,$M$4:$Q$4,0))),0))</f>
        <v/>
      </c>
      <c r="BO142" s="257">
        <f>IF(BO$7="Actual","",IFERROR((INDEX($M142:$Q142,,MATCH(BO$4,$M$4:$Q$4,0))),0))</f>
        <v/>
      </c>
      <c r="BP142" s="257">
        <f>IF(BP$7="Actual","",IFERROR((INDEX($M142:$Q142,,MATCH(BP$4,$M$4:$Q$4,0))),0))</f>
        <v/>
      </c>
      <c r="BQ142" s="257">
        <f>IF(BQ$7="Actual","",IFERROR((INDEX($M142:$Q142,,MATCH(BQ$4,$M$4:$Q$4,0))),0))</f>
        <v/>
      </c>
      <c r="BR142" s="257">
        <f>IF(BR$7="Actual","",IFERROR((INDEX($M142:$Q142,,MATCH(BR$4,$M$4:$Q$4,0))),0))</f>
        <v/>
      </c>
      <c r="BS142" s="257">
        <f>IF(BS$7="Actual","",IFERROR((INDEX($M142:$Q142,,MATCH(BS$4,$M$4:$Q$4,0))),0))</f>
        <v/>
      </c>
      <c r="BT142" s="257">
        <f>IF(BT$7="Actual","",IFERROR((INDEX($M142:$Q142,,MATCH(BT$4,$M$4:$Q$4,0))),0))</f>
        <v/>
      </c>
      <c r="BU142" s="257">
        <f>IF(BU$7="Actual","",IFERROR((INDEX($M142:$Q142,,MATCH(BU$4,$M$4:$Q$4,0))),0))</f>
        <v/>
      </c>
      <c r="BV142" s="257">
        <f>IF(BV$7="Actual","",IFERROR((INDEX($M142:$Q142,,MATCH(BV$4,$M$4:$Q$4,0))),0))</f>
        <v/>
      </c>
      <c r="BW142" s="257">
        <f>IF(BW$7="Actual","",IFERROR((INDEX($M142:$Q142,,MATCH(BW$4,$M$4:$Q$4,0))),0))</f>
        <v/>
      </c>
      <c r="BX142" s="257">
        <f>IF(BX$7="Actual","",IFERROR((INDEX($M142:$Q142,,MATCH(BX$4,$M$4:$Q$4,0))),0))</f>
        <v/>
      </c>
      <c r="BY142" s="257">
        <f>IF(BY$7="Actual","",IFERROR((INDEX($M142:$Q142,,MATCH(BY$4,$M$4:$Q$4,0))),0))</f>
        <v/>
      </c>
      <c r="BZ142" s="257">
        <f>IF(BZ$7="Actual","",IFERROR((INDEX($M142:$Q142,,MATCH(BZ$4,$M$4:$Q$4,0))),0))</f>
        <v/>
      </c>
      <c r="CA142" s="257">
        <f>IF(CA$7="Actual","",IFERROR((INDEX($M142:$Q142,,MATCH(CA$4,$M$4:$Q$4,0))),0))</f>
        <v/>
      </c>
    </row>
    <row r="143" ht="12" customHeight="1" s="227">
      <c r="A143" s="244" t="n"/>
      <c r="B143" s="244" t="n"/>
      <c r="C143" s="244" t="n"/>
      <c r="H143" s="0">
        <f>H133</f>
        <v/>
      </c>
      <c r="I143" s="27">
        <f>i_Setup!$M$16</f>
        <v/>
      </c>
      <c r="K143" s="6" t="n"/>
      <c r="M143" s="257">
        <f>i_Assumptions!M196</f>
        <v/>
      </c>
      <c r="N143" s="257">
        <f>i_Assumptions!N196</f>
        <v/>
      </c>
      <c r="O143" s="257">
        <f>i_Assumptions!O196</f>
        <v/>
      </c>
      <c r="P143" s="257">
        <f>i_Assumptions!P196</f>
        <v/>
      </c>
      <c r="Q143" s="257">
        <f>i_Assumptions!Q196</f>
        <v/>
      </c>
      <c r="T143" s="257">
        <f>IF(T$7="Actual","",IFERROR((INDEX($M143:$Q143,,MATCH(T$4,$M$4:$Q$4,0))),0))</f>
        <v/>
      </c>
      <c r="U143" s="257">
        <f>IF(U$7="Actual","",IFERROR((INDEX($M143:$Q143,,MATCH(U$4,$M$4:$Q$4,0))),0))</f>
        <v/>
      </c>
      <c r="V143" s="257">
        <f>IF(V$7="Actual","",IFERROR((INDEX($M143:$Q143,,MATCH(V$4,$M$4:$Q$4,0))),0))</f>
        <v/>
      </c>
      <c r="W143" s="257">
        <f>IF(W$7="Actual","",IFERROR((INDEX($M143:$Q143,,MATCH(W$4,$M$4:$Q$4,0))),0))</f>
        <v/>
      </c>
      <c r="X143" s="257">
        <f>IF(X$7="Actual","",IFERROR((INDEX($M143:$Q143,,MATCH(X$4,$M$4:$Q$4,0))),0))</f>
        <v/>
      </c>
      <c r="Y143" s="257">
        <f>IF(Y$7="Actual","",IFERROR((INDEX($M143:$Q143,,MATCH(Y$4,$M$4:$Q$4,0))),0))</f>
        <v/>
      </c>
      <c r="Z143" s="257">
        <f>IF(Z$7="Actual","",IFERROR((INDEX($M143:$Q143,,MATCH(Z$4,$M$4:$Q$4,0))),0))</f>
        <v/>
      </c>
      <c r="AA143" s="257">
        <f>IF(AA$7="Actual","",IFERROR((INDEX($M143:$Q143,,MATCH(AA$4,$M$4:$Q$4,0))),0))</f>
        <v/>
      </c>
      <c r="AB143" s="257">
        <f>IF(AB$7="Actual","",IFERROR((INDEX($M143:$Q143,,MATCH(AB$4,$M$4:$Q$4,0))),0))</f>
        <v/>
      </c>
      <c r="AC143" s="257">
        <f>IF(AC$7="Actual","",IFERROR((INDEX($M143:$Q143,,MATCH(AC$4,$M$4:$Q$4,0))),0))</f>
        <v/>
      </c>
      <c r="AD143" s="257">
        <f>IF(AD$7="Actual","",IFERROR((INDEX($M143:$Q143,,MATCH(AD$4,$M$4:$Q$4,0))),0))</f>
        <v/>
      </c>
      <c r="AE143" s="257">
        <f>IF(AE$7="Actual","",IFERROR((INDEX($M143:$Q143,,MATCH(AE$4,$M$4:$Q$4,0))),0))</f>
        <v/>
      </c>
      <c r="AF143" s="257">
        <f>IF(AF$7="Actual","",IFERROR((INDEX($M143:$Q143,,MATCH(AF$4,$M$4:$Q$4,0))),0))</f>
        <v/>
      </c>
      <c r="AG143" s="257">
        <f>IF(AG$7="Actual","",IFERROR((INDEX($M143:$Q143,,MATCH(AG$4,$M$4:$Q$4,0))),0))</f>
        <v/>
      </c>
      <c r="AH143" s="257">
        <f>IF(AH$7="Actual","",IFERROR((INDEX($M143:$Q143,,MATCH(AH$4,$M$4:$Q$4,0))),0))</f>
        <v/>
      </c>
      <c r="AI143" s="257">
        <f>IF(AI$7="Actual","",IFERROR((INDEX($M143:$Q143,,MATCH(AI$4,$M$4:$Q$4,0))),0))</f>
        <v/>
      </c>
      <c r="AJ143" s="257">
        <f>IF(AJ$7="Actual","",IFERROR((INDEX($M143:$Q143,,MATCH(AJ$4,$M$4:$Q$4,0))),0))</f>
        <v/>
      </c>
      <c r="AK143" s="257">
        <f>IF(AK$7="Actual","",IFERROR((INDEX($M143:$Q143,,MATCH(AK$4,$M$4:$Q$4,0))),0))</f>
        <v/>
      </c>
      <c r="AL143" s="257">
        <f>IF(AL$7="Actual","",IFERROR((INDEX($M143:$Q143,,MATCH(AL$4,$M$4:$Q$4,0))),0))</f>
        <v/>
      </c>
      <c r="AM143" s="257">
        <f>IF(AM$7="Actual","",IFERROR((INDEX($M143:$Q143,,MATCH(AM$4,$M$4:$Q$4,0))),0))</f>
        <v/>
      </c>
      <c r="AN143" s="257">
        <f>IF(AN$7="Actual","",IFERROR((INDEX($M143:$Q143,,MATCH(AN$4,$M$4:$Q$4,0))),0))</f>
        <v/>
      </c>
      <c r="AO143" s="257">
        <f>IF(AO$7="Actual","",IFERROR((INDEX($M143:$Q143,,MATCH(AO$4,$M$4:$Q$4,0))),0))</f>
        <v/>
      </c>
      <c r="AP143" s="257">
        <f>IF(AP$7="Actual","",IFERROR((INDEX($M143:$Q143,,MATCH(AP$4,$M$4:$Q$4,0))),0))</f>
        <v/>
      </c>
      <c r="AQ143" s="257">
        <f>IF(AQ$7="Actual","",IFERROR((INDEX($M143:$Q143,,MATCH(AQ$4,$M$4:$Q$4,0))),0))</f>
        <v/>
      </c>
      <c r="AR143" s="257">
        <f>IF(AR$7="Actual","",IFERROR((INDEX($M143:$Q143,,MATCH(AR$4,$M$4:$Q$4,0))),0))</f>
        <v/>
      </c>
      <c r="AS143" s="257">
        <f>IF(AS$7="Actual","",IFERROR((INDEX($M143:$Q143,,MATCH(AS$4,$M$4:$Q$4,0))),0))</f>
        <v/>
      </c>
      <c r="AT143" s="257">
        <f>IF(AT$7="Actual","",IFERROR((INDEX($M143:$Q143,,MATCH(AT$4,$M$4:$Q$4,0))),0))</f>
        <v/>
      </c>
      <c r="AU143" s="257">
        <f>IF(AU$7="Actual","",IFERROR((INDEX($M143:$Q143,,MATCH(AU$4,$M$4:$Q$4,0))),0))</f>
        <v/>
      </c>
      <c r="AV143" s="257">
        <f>IF(AV$7="Actual","",IFERROR((INDEX($M143:$Q143,,MATCH(AV$4,$M$4:$Q$4,0))),0))</f>
        <v/>
      </c>
      <c r="AW143" s="257">
        <f>IF(AW$7="Actual","",IFERROR((INDEX($M143:$Q143,,MATCH(AW$4,$M$4:$Q$4,0))),0))</f>
        <v/>
      </c>
      <c r="AX143" s="257">
        <f>IF(AX$7="Actual","",IFERROR((INDEX($M143:$Q143,,MATCH(AX$4,$M$4:$Q$4,0))),0))</f>
        <v/>
      </c>
      <c r="AY143" s="257">
        <f>IF(AY$7="Actual","",IFERROR((INDEX($M143:$Q143,,MATCH(AY$4,$M$4:$Q$4,0))),0))</f>
        <v/>
      </c>
      <c r="AZ143" s="257">
        <f>IF(AZ$7="Actual","",IFERROR((INDEX($M143:$Q143,,MATCH(AZ$4,$M$4:$Q$4,0))),0))</f>
        <v/>
      </c>
      <c r="BA143" s="257">
        <f>IF(BA$7="Actual","",IFERROR((INDEX($M143:$Q143,,MATCH(BA$4,$M$4:$Q$4,0))),0))</f>
        <v/>
      </c>
      <c r="BB143" s="257">
        <f>IF(BB$7="Actual","",IFERROR((INDEX($M143:$Q143,,MATCH(BB$4,$M$4:$Q$4,0))),0))</f>
        <v/>
      </c>
      <c r="BC143" s="257">
        <f>IF(BC$7="Actual","",IFERROR((INDEX($M143:$Q143,,MATCH(BC$4,$M$4:$Q$4,0))),0))</f>
        <v/>
      </c>
      <c r="BD143" s="257">
        <f>IF(BD$7="Actual","",IFERROR((INDEX($M143:$Q143,,MATCH(BD$4,$M$4:$Q$4,0))),0))</f>
        <v/>
      </c>
      <c r="BE143" s="257">
        <f>IF(BE$7="Actual","",IFERROR((INDEX($M143:$Q143,,MATCH(BE$4,$M$4:$Q$4,0))),0))</f>
        <v/>
      </c>
      <c r="BF143" s="257">
        <f>IF(BF$7="Actual","",IFERROR((INDEX($M143:$Q143,,MATCH(BF$4,$M$4:$Q$4,0))),0))</f>
        <v/>
      </c>
      <c r="BG143" s="257">
        <f>IF(BG$7="Actual","",IFERROR((INDEX($M143:$Q143,,MATCH(BG$4,$M$4:$Q$4,0))),0))</f>
        <v/>
      </c>
      <c r="BH143" s="257">
        <f>IF(BH$7="Actual","",IFERROR((INDEX($M143:$Q143,,MATCH(BH$4,$M$4:$Q$4,0))),0))</f>
        <v/>
      </c>
      <c r="BI143" s="257">
        <f>IF(BI$7="Actual","",IFERROR((INDEX($M143:$Q143,,MATCH(BI$4,$M$4:$Q$4,0))),0))</f>
        <v/>
      </c>
      <c r="BJ143" s="257">
        <f>IF(BJ$7="Actual","",IFERROR((INDEX($M143:$Q143,,MATCH(BJ$4,$M$4:$Q$4,0))),0))</f>
        <v/>
      </c>
      <c r="BK143" s="257">
        <f>IF(BK$7="Actual","",IFERROR((INDEX($M143:$Q143,,MATCH(BK$4,$M$4:$Q$4,0))),0))</f>
        <v/>
      </c>
      <c r="BL143" s="257">
        <f>IF(BL$7="Actual","",IFERROR((INDEX($M143:$Q143,,MATCH(BL$4,$M$4:$Q$4,0))),0))</f>
        <v/>
      </c>
      <c r="BM143" s="257">
        <f>IF(BM$7="Actual","",IFERROR((INDEX($M143:$Q143,,MATCH(BM$4,$M$4:$Q$4,0))),0))</f>
        <v/>
      </c>
      <c r="BN143" s="257">
        <f>IF(BN$7="Actual","",IFERROR((INDEX($M143:$Q143,,MATCH(BN$4,$M$4:$Q$4,0))),0))</f>
        <v/>
      </c>
      <c r="BO143" s="257">
        <f>IF(BO$7="Actual","",IFERROR((INDEX($M143:$Q143,,MATCH(BO$4,$M$4:$Q$4,0))),0))</f>
        <v/>
      </c>
      <c r="BP143" s="257">
        <f>IF(BP$7="Actual","",IFERROR((INDEX($M143:$Q143,,MATCH(BP$4,$M$4:$Q$4,0))),0))</f>
        <v/>
      </c>
      <c r="BQ143" s="257">
        <f>IF(BQ$7="Actual","",IFERROR((INDEX($M143:$Q143,,MATCH(BQ$4,$M$4:$Q$4,0))),0))</f>
        <v/>
      </c>
      <c r="BR143" s="257">
        <f>IF(BR$7="Actual","",IFERROR((INDEX($M143:$Q143,,MATCH(BR$4,$M$4:$Q$4,0))),0))</f>
        <v/>
      </c>
      <c r="BS143" s="257">
        <f>IF(BS$7="Actual","",IFERROR((INDEX($M143:$Q143,,MATCH(BS$4,$M$4:$Q$4,0))),0))</f>
        <v/>
      </c>
      <c r="BT143" s="257">
        <f>IF(BT$7="Actual","",IFERROR((INDEX($M143:$Q143,,MATCH(BT$4,$M$4:$Q$4,0))),0))</f>
        <v/>
      </c>
      <c r="BU143" s="257">
        <f>IF(BU$7="Actual","",IFERROR((INDEX($M143:$Q143,,MATCH(BU$4,$M$4:$Q$4,0))),0))</f>
        <v/>
      </c>
      <c r="BV143" s="257">
        <f>IF(BV$7="Actual","",IFERROR((INDEX($M143:$Q143,,MATCH(BV$4,$M$4:$Q$4,0))),0))</f>
        <v/>
      </c>
      <c r="BW143" s="257">
        <f>IF(BW$7="Actual","",IFERROR((INDEX($M143:$Q143,,MATCH(BW$4,$M$4:$Q$4,0))),0))</f>
        <v/>
      </c>
      <c r="BX143" s="257">
        <f>IF(BX$7="Actual","",IFERROR((INDEX($M143:$Q143,,MATCH(BX$4,$M$4:$Q$4,0))),0))</f>
        <v/>
      </c>
      <c r="BY143" s="257">
        <f>IF(BY$7="Actual","",IFERROR((INDEX($M143:$Q143,,MATCH(BY$4,$M$4:$Q$4,0))),0))</f>
        <v/>
      </c>
      <c r="BZ143" s="257">
        <f>IF(BZ$7="Actual","",IFERROR((INDEX($M143:$Q143,,MATCH(BZ$4,$M$4:$Q$4,0))),0))</f>
        <v/>
      </c>
      <c r="CA143" s="257">
        <f>IF(CA$7="Actual","",IFERROR((INDEX($M143:$Q143,,MATCH(CA$4,$M$4:$Q$4,0))),0))</f>
        <v/>
      </c>
    </row>
    <row r="144" ht="12" customHeight="1" s="227">
      <c r="A144" s="244" t="n"/>
      <c r="B144" s="244" t="n"/>
      <c r="C144" s="244" t="n"/>
      <c r="H144" s="0">
        <f>H134</f>
        <v/>
      </c>
      <c r="I144" s="27">
        <f>i_Setup!$M$16</f>
        <v/>
      </c>
      <c r="K144" s="6" t="n"/>
      <c r="M144" s="257">
        <f>i_Assumptions!M197</f>
        <v/>
      </c>
      <c r="N144" s="257">
        <f>i_Assumptions!N197</f>
        <v/>
      </c>
      <c r="O144" s="257">
        <f>i_Assumptions!O197</f>
        <v/>
      </c>
      <c r="P144" s="257">
        <f>i_Assumptions!P197</f>
        <v/>
      </c>
      <c r="Q144" s="257">
        <f>i_Assumptions!Q197</f>
        <v/>
      </c>
      <c r="T144" s="257">
        <f>IF(T$7="Actual","",IFERROR((INDEX($M144:$Q144,,MATCH(T$4,$M$4:$Q$4,0))),0))</f>
        <v/>
      </c>
      <c r="U144" s="257">
        <f>IF(U$7="Actual","",IFERROR((INDEX($M144:$Q144,,MATCH(U$4,$M$4:$Q$4,0))),0))</f>
        <v/>
      </c>
      <c r="V144" s="257">
        <f>IF(V$7="Actual","",IFERROR((INDEX($M144:$Q144,,MATCH(V$4,$M$4:$Q$4,0))),0))</f>
        <v/>
      </c>
      <c r="W144" s="257">
        <f>IF(W$7="Actual","",IFERROR((INDEX($M144:$Q144,,MATCH(W$4,$M$4:$Q$4,0))),0))</f>
        <v/>
      </c>
      <c r="X144" s="257">
        <f>IF(X$7="Actual","",IFERROR((INDEX($M144:$Q144,,MATCH(X$4,$M$4:$Q$4,0))),0))</f>
        <v/>
      </c>
      <c r="Y144" s="257">
        <f>IF(Y$7="Actual","",IFERROR((INDEX($M144:$Q144,,MATCH(Y$4,$M$4:$Q$4,0))),0))</f>
        <v/>
      </c>
      <c r="Z144" s="257">
        <f>IF(Z$7="Actual","",IFERROR((INDEX($M144:$Q144,,MATCH(Z$4,$M$4:$Q$4,0))),0))</f>
        <v/>
      </c>
      <c r="AA144" s="257">
        <f>IF(AA$7="Actual","",IFERROR((INDEX($M144:$Q144,,MATCH(AA$4,$M$4:$Q$4,0))),0))</f>
        <v/>
      </c>
      <c r="AB144" s="257">
        <f>IF(AB$7="Actual","",IFERROR((INDEX($M144:$Q144,,MATCH(AB$4,$M$4:$Q$4,0))),0))</f>
        <v/>
      </c>
      <c r="AC144" s="257">
        <f>IF(AC$7="Actual","",IFERROR((INDEX($M144:$Q144,,MATCH(AC$4,$M$4:$Q$4,0))),0))</f>
        <v/>
      </c>
      <c r="AD144" s="257">
        <f>IF(AD$7="Actual","",IFERROR((INDEX($M144:$Q144,,MATCH(AD$4,$M$4:$Q$4,0))),0))</f>
        <v/>
      </c>
      <c r="AE144" s="257">
        <f>IF(AE$7="Actual","",IFERROR((INDEX($M144:$Q144,,MATCH(AE$4,$M$4:$Q$4,0))),0))</f>
        <v/>
      </c>
      <c r="AF144" s="257">
        <f>IF(AF$7="Actual","",IFERROR((INDEX($M144:$Q144,,MATCH(AF$4,$M$4:$Q$4,0))),0))</f>
        <v/>
      </c>
      <c r="AG144" s="257">
        <f>IF(AG$7="Actual","",IFERROR((INDEX($M144:$Q144,,MATCH(AG$4,$M$4:$Q$4,0))),0))</f>
        <v/>
      </c>
      <c r="AH144" s="257">
        <f>IF(AH$7="Actual","",IFERROR((INDEX($M144:$Q144,,MATCH(AH$4,$M$4:$Q$4,0))),0))</f>
        <v/>
      </c>
      <c r="AI144" s="257">
        <f>IF(AI$7="Actual","",IFERROR((INDEX($M144:$Q144,,MATCH(AI$4,$M$4:$Q$4,0))),0))</f>
        <v/>
      </c>
      <c r="AJ144" s="257">
        <f>IF(AJ$7="Actual","",IFERROR((INDEX($M144:$Q144,,MATCH(AJ$4,$M$4:$Q$4,0))),0))</f>
        <v/>
      </c>
      <c r="AK144" s="257">
        <f>IF(AK$7="Actual","",IFERROR((INDEX($M144:$Q144,,MATCH(AK$4,$M$4:$Q$4,0))),0))</f>
        <v/>
      </c>
      <c r="AL144" s="257">
        <f>IF(AL$7="Actual","",IFERROR((INDEX($M144:$Q144,,MATCH(AL$4,$M$4:$Q$4,0))),0))</f>
        <v/>
      </c>
      <c r="AM144" s="257">
        <f>IF(AM$7="Actual","",IFERROR((INDEX($M144:$Q144,,MATCH(AM$4,$M$4:$Q$4,0))),0))</f>
        <v/>
      </c>
      <c r="AN144" s="257">
        <f>IF(AN$7="Actual","",IFERROR((INDEX($M144:$Q144,,MATCH(AN$4,$M$4:$Q$4,0))),0))</f>
        <v/>
      </c>
      <c r="AO144" s="257">
        <f>IF(AO$7="Actual","",IFERROR((INDEX($M144:$Q144,,MATCH(AO$4,$M$4:$Q$4,0))),0))</f>
        <v/>
      </c>
      <c r="AP144" s="257">
        <f>IF(AP$7="Actual","",IFERROR((INDEX($M144:$Q144,,MATCH(AP$4,$M$4:$Q$4,0))),0))</f>
        <v/>
      </c>
      <c r="AQ144" s="257">
        <f>IF(AQ$7="Actual","",IFERROR((INDEX($M144:$Q144,,MATCH(AQ$4,$M$4:$Q$4,0))),0))</f>
        <v/>
      </c>
      <c r="AR144" s="257">
        <f>IF(AR$7="Actual","",IFERROR((INDEX($M144:$Q144,,MATCH(AR$4,$M$4:$Q$4,0))),0))</f>
        <v/>
      </c>
      <c r="AS144" s="257">
        <f>IF(AS$7="Actual","",IFERROR((INDEX($M144:$Q144,,MATCH(AS$4,$M$4:$Q$4,0))),0))</f>
        <v/>
      </c>
      <c r="AT144" s="257">
        <f>IF(AT$7="Actual","",IFERROR((INDEX($M144:$Q144,,MATCH(AT$4,$M$4:$Q$4,0))),0))</f>
        <v/>
      </c>
      <c r="AU144" s="257">
        <f>IF(AU$7="Actual","",IFERROR((INDEX($M144:$Q144,,MATCH(AU$4,$M$4:$Q$4,0))),0))</f>
        <v/>
      </c>
      <c r="AV144" s="257">
        <f>IF(AV$7="Actual","",IFERROR((INDEX($M144:$Q144,,MATCH(AV$4,$M$4:$Q$4,0))),0))</f>
        <v/>
      </c>
      <c r="AW144" s="257">
        <f>IF(AW$7="Actual","",IFERROR((INDEX($M144:$Q144,,MATCH(AW$4,$M$4:$Q$4,0))),0))</f>
        <v/>
      </c>
      <c r="AX144" s="257">
        <f>IF(AX$7="Actual","",IFERROR((INDEX($M144:$Q144,,MATCH(AX$4,$M$4:$Q$4,0))),0))</f>
        <v/>
      </c>
      <c r="AY144" s="257">
        <f>IF(AY$7="Actual","",IFERROR((INDEX($M144:$Q144,,MATCH(AY$4,$M$4:$Q$4,0))),0))</f>
        <v/>
      </c>
      <c r="AZ144" s="257">
        <f>IF(AZ$7="Actual","",IFERROR((INDEX($M144:$Q144,,MATCH(AZ$4,$M$4:$Q$4,0))),0))</f>
        <v/>
      </c>
      <c r="BA144" s="257">
        <f>IF(BA$7="Actual","",IFERROR((INDEX($M144:$Q144,,MATCH(BA$4,$M$4:$Q$4,0))),0))</f>
        <v/>
      </c>
      <c r="BB144" s="257">
        <f>IF(BB$7="Actual","",IFERROR((INDEX($M144:$Q144,,MATCH(BB$4,$M$4:$Q$4,0))),0))</f>
        <v/>
      </c>
      <c r="BC144" s="257">
        <f>IF(BC$7="Actual","",IFERROR((INDEX($M144:$Q144,,MATCH(BC$4,$M$4:$Q$4,0))),0))</f>
        <v/>
      </c>
      <c r="BD144" s="257">
        <f>IF(BD$7="Actual","",IFERROR((INDEX($M144:$Q144,,MATCH(BD$4,$M$4:$Q$4,0))),0))</f>
        <v/>
      </c>
      <c r="BE144" s="257">
        <f>IF(BE$7="Actual","",IFERROR((INDEX($M144:$Q144,,MATCH(BE$4,$M$4:$Q$4,0))),0))</f>
        <v/>
      </c>
      <c r="BF144" s="257">
        <f>IF(BF$7="Actual","",IFERROR((INDEX($M144:$Q144,,MATCH(BF$4,$M$4:$Q$4,0))),0))</f>
        <v/>
      </c>
      <c r="BG144" s="257">
        <f>IF(BG$7="Actual","",IFERROR((INDEX($M144:$Q144,,MATCH(BG$4,$M$4:$Q$4,0))),0))</f>
        <v/>
      </c>
      <c r="BH144" s="257">
        <f>IF(BH$7="Actual","",IFERROR((INDEX($M144:$Q144,,MATCH(BH$4,$M$4:$Q$4,0))),0))</f>
        <v/>
      </c>
      <c r="BI144" s="257">
        <f>IF(BI$7="Actual","",IFERROR((INDEX($M144:$Q144,,MATCH(BI$4,$M$4:$Q$4,0))),0))</f>
        <v/>
      </c>
      <c r="BJ144" s="257">
        <f>IF(BJ$7="Actual","",IFERROR((INDEX($M144:$Q144,,MATCH(BJ$4,$M$4:$Q$4,0))),0))</f>
        <v/>
      </c>
      <c r="BK144" s="257">
        <f>IF(BK$7="Actual","",IFERROR((INDEX($M144:$Q144,,MATCH(BK$4,$M$4:$Q$4,0))),0))</f>
        <v/>
      </c>
      <c r="BL144" s="257">
        <f>IF(BL$7="Actual","",IFERROR((INDEX($M144:$Q144,,MATCH(BL$4,$M$4:$Q$4,0))),0))</f>
        <v/>
      </c>
      <c r="BM144" s="257">
        <f>IF(BM$7="Actual","",IFERROR((INDEX($M144:$Q144,,MATCH(BM$4,$M$4:$Q$4,0))),0))</f>
        <v/>
      </c>
      <c r="BN144" s="257">
        <f>IF(BN$7="Actual","",IFERROR((INDEX($M144:$Q144,,MATCH(BN$4,$M$4:$Q$4,0))),0))</f>
        <v/>
      </c>
      <c r="BO144" s="257">
        <f>IF(BO$7="Actual","",IFERROR((INDEX($M144:$Q144,,MATCH(BO$4,$M$4:$Q$4,0))),0))</f>
        <v/>
      </c>
      <c r="BP144" s="257">
        <f>IF(BP$7="Actual","",IFERROR((INDEX($M144:$Q144,,MATCH(BP$4,$M$4:$Q$4,0))),0))</f>
        <v/>
      </c>
      <c r="BQ144" s="257">
        <f>IF(BQ$7="Actual","",IFERROR((INDEX($M144:$Q144,,MATCH(BQ$4,$M$4:$Q$4,0))),0))</f>
        <v/>
      </c>
      <c r="BR144" s="257">
        <f>IF(BR$7="Actual","",IFERROR((INDEX($M144:$Q144,,MATCH(BR$4,$M$4:$Q$4,0))),0))</f>
        <v/>
      </c>
      <c r="BS144" s="257">
        <f>IF(BS$7="Actual","",IFERROR((INDEX($M144:$Q144,,MATCH(BS$4,$M$4:$Q$4,0))),0))</f>
        <v/>
      </c>
      <c r="BT144" s="257">
        <f>IF(BT$7="Actual","",IFERROR((INDEX($M144:$Q144,,MATCH(BT$4,$M$4:$Q$4,0))),0))</f>
        <v/>
      </c>
      <c r="BU144" s="257">
        <f>IF(BU$7="Actual","",IFERROR((INDEX($M144:$Q144,,MATCH(BU$4,$M$4:$Q$4,0))),0))</f>
        <v/>
      </c>
      <c r="BV144" s="257">
        <f>IF(BV$7="Actual","",IFERROR((INDEX($M144:$Q144,,MATCH(BV$4,$M$4:$Q$4,0))),0))</f>
        <v/>
      </c>
      <c r="BW144" s="257">
        <f>IF(BW$7="Actual","",IFERROR((INDEX($M144:$Q144,,MATCH(BW$4,$M$4:$Q$4,0))),0))</f>
        <v/>
      </c>
      <c r="BX144" s="257">
        <f>IF(BX$7="Actual","",IFERROR((INDEX($M144:$Q144,,MATCH(BX$4,$M$4:$Q$4,0))),0))</f>
        <v/>
      </c>
      <c r="BY144" s="257">
        <f>IF(BY$7="Actual","",IFERROR((INDEX($M144:$Q144,,MATCH(BY$4,$M$4:$Q$4,0))),0))</f>
        <v/>
      </c>
      <c r="BZ144" s="257">
        <f>IF(BZ$7="Actual","",IFERROR((INDEX($M144:$Q144,,MATCH(BZ$4,$M$4:$Q$4,0))),0))</f>
        <v/>
      </c>
      <c r="CA144" s="257">
        <f>IF(CA$7="Actual","",IFERROR((INDEX($M144:$Q144,,MATCH(CA$4,$M$4:$Q$4,0))),0))</f>
        <v/>
      </c>
    </row>
    <row r="145" ht="12" customHeight="1" s="227">
      <c r="A145" s="244" t="n"/>
      <c r="B145" s="244" t="n"/>
      <c r="C145" s="244" t="n"/>
      <c r="H145" s="0">
        <f>H135</f>
        <v/>
      </c>
      <c r="I145" s="27">
        <f>i_Setup!$M$16</f>
        <v/>
      </c>
      <c r="K145" s="6" t="n"/>
      <c r="M145" s="257">
        <f>i_Assumptions!M198</f>
        <v/>
      </c>
      <c r="N145" s="257">
        <f>i_Assumptions!N198</f>
        <v/>
      </c>
      <c r="O145" s="257">
        <f>i_Assumptions!O198</f>
        <v/>
      </c>
      <c r="P145" s="257">
        <f>i_Assumptions!P198</f>
        <v/>
      </c>
      <c r="Q145" s="257">
        <f>i_Assumptions!Q198</f>
        <v/>
      </c>
      <c r="T145" s="257">
        <f>IF(T$7="Actual","",IFERROR((INDEX($M145:$Q145,,MATCH(T$4,$M$4:$Q$4,0))),0))</f>
        <v/>
      </c>
      <c r="U145" s="257">
        <f>IF(U$7="Actual","",IFERROR((INDEX($M145:$Q145,,MATCH(U$4,$M$4:$Q$4,0))),0))</f>
        <v/>
      </c>
      <c r="V145" s="257">
        <f>IF(V$7="Actual","",IFERROR((INDEX($M145:$Q145,,MATCH(V$4,$M$4:$Q$4,0))),0))</f>
        <v/>
      </c>
      <c r="W145" s="257">
        <f>IF(W$7="Actual","",IFERROR((INDEX($M145:$Q145,,MATCH(W$4,$M$4:$Q$4,0))),0))</f>
        <v/>
      </c>
      <c r="X145" s="257">
        <f>IF(X$7="Actual","",IFERROR((INDEX($M145:$Q145,,MATCH(X$4,$M$4:$Q$4,0))),0))</f>
        <v/>
      </c>
      <c r="Y145" s="257">
        <f>IF(Y$7="Actual","",IFERROR((INDEX($M145:$Q145,,MATCH(Y$4,$M$4:$Q$4,0))),0))</f>
        <v/>
      </c>
      <c r="Z145" s="257">
        <f>IF(Z$7="Actual","",IFERROR((INDEX($M145:$Q145,,MATCH(Z$4,$M$4:$Q$4,0))),0))</f>
        <v/>
      </c>
      <c r="AA145" s="257">
        <f>IF(AA$7="Actual","",IFERROR((INDEX($M145:$Q145,,MATCH(AA$4,$M$4:$Q$4,0))),0))</f>
        <v/>
      </c>
      <c r="AB145" s="257">
        <f>IF(AB$7="Actual","",IFERROR((INDEX($M145:$Q145,,MATCH(AB$4,$M$4:$Q$4,0))),0))</f>
        <v/>
      </c>
      <c r="AC145" s="257">
        <f>IF(AC$7="Actual","",IFERROR((INDEX($M145:$Q145,,MATCH(AC$4,$M$4:$Q$4,0))),0))</f>
        <v/>
      </c>
      <c r="AD145" s="257">
        <f>IF(AD$7="Actual","",IFERROR((INDEX($M145:$Q145,,MATCH(AD$4,$M$4:$Q$4,0))),0))</f>
        <v/>
      </c>
      <c r="AE145" s="257">
        <f>IF(AE$7="Actual","",IFERROR((INDEX($M145:$Q145,,MATCH(AE$4,$M$4:$Q$4,0))),0))</f>
        <v/>
      </c>
      <c r="AF145" s="257">
        <f>IF(AF$7="Actual","",IFERROR((INDEX($M145:$Q145,,MATCH(AF$4,$M$4:$Q$4,0))),0))</f>
        <v/>
      </c>
      <c r="AG145" s="257">
        <f>IF(AG$7="Actual","",IFERROR((INDEX($M145:$Q145,,MATCH(AG$4,$M$4:$Q$4,0))),0))</f>
        <v/>
      </c>
      <c r="AH145" s="257">
        <f>IF(AH$7="Actual","",IFERROR((INDEX($M145:$Q145,,MATCH(AH$4,$M$4:$Q$4,0))),0))</f>
        <v/>
      </c>
      <c r="AI145" s="257">
        <f>IF(AI$7="Actual","",IFERROR((INDEX($M145:$Q145,,MATCH(AI$4,$M$4:$Q$4,0))),0))</f>
        <v/>
      </c>
      <c r="AJ145" s="257">
        <f>IF(AJ$7="Actual","",IFERROR((INDEX($M145:$Q145,,MATCH(AJ$4,$M$4:$Q$4,0))),0))</f>
        <v/>
      </c>
      <c r="AK145" s="257">
        <f>IF(AK$7="Actual","",IFERROR((INDEX($M145:$Q145,,MATCH(AK$4,$M$4:$Q$4,0))),0))</f>
        <v/>
      </c>
      <c r="AL145" s="257">
        <f>IF(AL$7="Actual","",IFERROR((INDEX($M145:$Q145,,MATCH(AL$4,$M$4:$Q$4,0))),0))</f>
        <v/>
      </c>
      <c r="AM145" s="257">
        <f>IF(AM$7="Actual","",IFERROR((INDEX($M145:$Q145,,MATCH(AM$4,$M$4:$Q$4,0))),0))</f>
        <v/>
      </c>
      <c r="AN145" s="257">
        <f>IF(AN$7="Actual","",IFERROR((INDEX($M145:$Q145,,MATCH(AN$4,$M$4:$Q$4,0))),0))</f>
        <v/>
      </c>
      <c r="AO145" s="257">
        <f>IF(AO$7="Actual","",IFERROR((INDEX($M145:$Q145,,MATCH(AO$4,$M$4:$Q$4,0))),0))</f>
        <v/>
      </c>
      <c r="AP145" s="257">
        <f>IF(AP$7="Actual","",IFERROR((INDEX($M145:$Q145,,MATCH(AP$4,$M$4:$Q$4,0))),0))</f>
        <v/>
      </c>
      <c r="AQ145" s="257">
        <f>IF(AQ$7="Actual","",IFERROR((INDEX($M145:$Q145,,MATCH(AQ$4,$M$4:$Q$4,0))),0))</f>
        <v/>
      </c>
      <c r="AR145" s="257">
        <f>IF(AR$7="Actual","",IFERROR((INDEX($M145:$Q145,,MATCH(AR$4,$M$4:$Q$4,0))),0))</f>
        <v/>
      </c>
      <c r="AS145" s="257">
        <f>IF(AS$7="Actual","",IFERROR((INDEX($M145:$Q145,,MATCH(AS$4,$M$4:$Q$4,0))),0))</f>
        <v/>
      </c>
      <c r="AT145" s="257">
        <f>IF(AT$7="Actual","",IFERROR((INDEX($M145:$Q145,,MATCH(AT$4,$M$4:$Q$4,0))),0))</f>
        <v/>
      </c>
      <c r="AU145" s="257">
        <f>IF(AU$7="Actual","",IFERROR((INDEX($M145:$Q145,,MATCH(AU$4,$M$4:$Q$4,0))),0))</f>
        <v/>
      </c>
      <c r="AV145" s="257">
        <f>IF(AV$7="Actual","",IFERROR((INDEX($M145:$Q145,,MATCH(AV$4,$M$4:$Q$4,0))),0))</f>
        <v/>
      </c>
      <c r="AW145" s="257">
        <f>IF(AW$7="Actual","",IFERROR((INDEX($M145:$Q145,,MATCH(AW$4,$M$4:$Q$4,0))),0))</f>
        <v/>
      </c>
      <c r="AX145" s="257">
        <f>IF(AX$7="Actual","",IFERROR((INDEX($M145:$Q145,,MATCH(AX$4,$M$4:$Q$4,0))),0))</f>
        <v/>
      </c>
      <c r="AY145" s="257">
        <f>IF(AY$7="Actual","",IFERROR((INDEX($M145:$Q145,,MATCH(AY$4,$M$4:$Q$4,0))),0))</f>
        <v/>
      </c>
      <c r="AZ145" s="257">
        <f>IF(AZ$7="Actual","",IFERROR((INDEX($M145:$Q145,,MATCH(AZ$4,$M$4:$Q$4,0))),0))</f>
        <v/>
      </c>
      <c r="BA145" s="257">
        <f>IF(BA$7="Actual","",IFERROR((INDEX($M145:$Q145,,MATCH(BA$4,$M$4:$Q$4,0))),0))</f>
        <v/>
      </c>
      <c r="BB145" s="257">
        <f>IF(BB$7="Actual","",IFERROR((INDEX($M145:$Q145,,MATCH(BB$4,$M$4:$Q$4,0))),0))</f>
        <v/>
      </c>
      <c r="BC145" s="257">
        <f>IF(BC$7="Actual","",IFERROR((INDEX($M145:$Q145,,MATCH(BC$4,$M$4:$Q$4,0))),0))</f>
        <v/>
      </c>
      <c r="BD145" s="257">
        <f>IF(BD$7="Actual","",IFERROR((INDEX($M145:$Q145,,MATCH(BD$4,$M$4:$Q$4,0))),0))</f>
        <v/>
      </c>
      <c r="BE145" s="257">
        <f>IF(BE$7="Actual","",IFERROR((INDEX($M145:$Q145,,MATCH(BE$4,$M$4:$Q$4,0))),0))</f>
        <v/>
      </c>
      <c r="BF145" s="257">
        <f>IF(BF$7="Actual","",IFERROR((INDEX($M145:$Q145,,MATCH(BF$4,$M$4:$Q$4,0))),0))</f>
        <v/>
      </c>
      <c r="BG145" s="257">
        <f>IF(BG$7="Actual","",IFERROR((INDEX($M145:$Q145,,MATCH(BG$4,$M$4:$Q$4,0))),0))</f>
        <v/>
      </c>
      <c r="BH145" s="257">
        <f>IF(BH$7="Actual","",IFERROR((INDEX($M145:$Q145,,MATCH(BH$4,$M$4:$Q$4,0))),0))</f>
        <v/>
      </c>
      <c r="BI145" s="257">
        <f>IF(BI$7="Actual","",IFERROR((INDEX($M145:$Q145,,MATCH(BI$4,$M$4:$Q$4,0))),0))</f>
        <v/>
      </c>
      <c r="BJ145" s="257">
        <f>IF(BJ$7="Actual","",IFERROR((INDEX($M145:$Q145,,MATCH(BJ$4,$M$4:$Q$4,0))),0))</f>
        <v/>
      </c>
      <c r="BK145" s="257">
        <f>IF(BK$7="Actual","",IFERROR((INDEX($M145:$Q145,,MATCH(BK$4,$M$4:$Q$4,0))),0))</f>
        <v/>
      </c>
      <c r="BL145" s="257">
        <f>IF(BL$7="Actual","",IFERROR((INDEX($M145:$Q145,,MATCH(BL$4,$M$4:$Q$4,0))),0))</f>
        <v/>
      </c>
      <c r="BM145" s="257">
        <f>IF(BM$7="Actual","",IFERROR((INDEX($M145:$Q145,,MATCH(BM$4,$M$4:$Q$4,0))),0))</f>
        <v/>
      </c>
      <c r="BN145" s="257">
        <f>IF(BN$7="Actual","",IFERROR((INDEX($M145:$Q145,,MATCH(BN$4,$M$4:$Q$4,0))),0))</f>
        <v/>
      </c>
      <c r="BO145" s="257">
        <f>IF(BO$7="Actual","",IFERROR((INDEX($M145:$Q145,,MATCH(BO$4,$M$4:$Q$4,0))),0))</f>
        <v/>
      </c>
      <c r="BP145" s="257">
        <f>IF(BP$7="Actual","",IFERROR((INDEX($M145:$Q145,,MATCH(BP$4,$M$4:$Q$4,0))),0))</f>
        <v/>
      </c>
      <c r="BQ145" s="257">
        <f>IF(BQ$7="Actual","",IFERROR((INDEX($M145:$Q145,,MATCH(BQ$4,$M$4:$Q$4,0))),0))</f>
        <v/>
      </c>
      <c r="BR145" s="257">
        <f>IF(BR$7="Actual","",IFERROR((INDEX($M145:$Q145,,MATCH(BR$4,$M$4:$Q$4,0))),0))</f>
        <v/>
      </c>
      <c r="BS145" s="257">
        <f>IF(BS$7="Actual","",IFERROR((INDEX($M145:$Q145,,MATCH(BS$4,$M$4:$Q$4,0))),0))</f>
        <v/>
      </c>
      <c r="BT145" s="257">
        <f>IF(BT$7="Actual","",IFERROR((INDEX($M145:$Q145,,MATCH(BT$4,$M$4:$Q$4,0))),0))</f>
        <v/>
      </c>
      <c r="BU145" s="257">
        <f>IF(BU$7="Actual","",IFERROR((INDEX($M145:$Q145,,MATCH(BU$4,$M$4:$Q$4,0))),0))</f>
        <v/>
      </c>
      <c r="BV145" s="257">
        <f>IF(BV$7="Actual","",IFERROR((INDEX($M145:$Q145,,MATCH(BV$4,$M$4:$Q$4,0))),0))</f>
        <v/>
      </c>
      <c r="BW145" s="257">
        <f>IF(BW$7="Actual","",IFERROR((INDEX($M145:$Q145,,MATCH(BW$4,$M$4:$Q$4,0))),0))</f>
        <v/>
      </c>
      <c r="BX145" s="257">
        <f>IF(BX$7="Actual","",IFERROR((INDEX($M145:$Q145,,MATCH(BX$4,$M$4:$Q$4,0))),0))</f>
        <v/>
      </c>
      <c r="BY145" s="257">
        <f>IF(BY$7="Actual","",IFERROR((INDEX($M145:$Q145,,MATCH(BY$4,$M$4:$Q$4,0))),0))</f>
        <v/>
      </c>
      <c r="BZ145" s="257">
        <f>IF(BZ$7="Actual","",IFERROR((INDEX($M145:$Q145,,MATCH(BZ$4,$M$4:$Q$4,0))),0))</f>
        <v/>
      </c>
      <c r="CA145" s="257">
        <f>IF(CA$7="Actual","",IFERROR((INDEX($M145:$Q145,,MATCH(CA$4,$M$4:$Q$4,0))),0))</f>
        <v/>
      </c>
    </row>
    <row r="146" ht="12" customHeight="1" s="227">
      <c r="A146" s="244" t="n"/>
      <c r="B146" s="244" t="n"/>
      <c r="C146" s="244" t="n"/>
      <c r="H146" s="0">
        <f>H136</f>
        <v/>
      </c>
      <c r="I146" s="27">
        <f>i_Setup!$M$16</f>
        <v/>
      </c>
      <c r="K146" s="6" t="n"/>
      <c r="M146" s="257">
        <f>i_Assumptions!M199</f>
        <v/>
      </c>
      <c r="N146" s="257">
        <f>i_Assumptions!N199</f>
        <v/>
      </c>
      <c r="O146" s="257">
        <f>i_Assumptions!O199</f>
        <v/>
      </c>
      <c r="P146" s="257">
        <f>i_Assumptions!P199</f>
        <v/>
      </c>
      <c r="Q146" s="257">
        <f>i_Assumptions!Q199</f>
        <v/>
      </c>
      <c r="T146" s="257">
        <f>IF(T$7="Actual","",IFERROR((INDEX($M146:$Q146,,MATCH(T$4,$M$4:$Q$4,0))),0))</f>
        <v/>
      </c>
      <c r="U146" s="257">
        <f>IF(U$7="Actual","",IFERROR((INDEX($M146:$Q146,,MATCH(U$4,$M$4:$Q$4,0))),0))</f>
        <v/>
      </c>
      <c r="V146" s="257">
        <f>IF(V$7="Actual","",IFERROR((INDEX($M146:$Q146,,MATCH(V$4,$M$4:$Q$4,0))),0))</f>
        <v/>
      </c>
      <c r="W146" s="257">
        <f>IF(W$7="Actual","",IFERROR((INDEX($M146:$Q146,,MATCH(W$4,$M$4:$Q$4,0))),0))</f>
        <v/>
      </c>
      <c r="X146" s="257">
        <f>IF(X$7="Actual","",IFERROR((INDEX($M146:$Q146,,MATCH(X$4,$M$4:$Q$4,0))),0))</f>
        <v/>
      </c>
      <c r="Y146" s="257">
        <f>IF(Y$7="Actual","",IFERROR((INDEX($M146:$Q146,,MATCH(Y$4,$M$4:$Q$4,0))),0))</f>
        <v/>
      </c>
      <c r="Z146" s="257">
        <f>IF(Z$7="Actual","",IFERROR((INDEX($M146:$Q146,,MATCH(Z$4,$M$4:$Q$4,0))),0))</f>
        <v/>
      </c>
      <c r="AA146" s="257">
        <f>IF(AA$7="Actual","",IFERROR((INDEX($M146:$Q146,,MATCH(AA$4,$M$4:$Q$4,0))),0))</f>
        <v/>
      </c>
      <c r="AB146" s="257">
        <f>IF(AB$7="Actual","",IFERROR((INDEX($M146:$Q146,,MATCH(AB$4,$M$4:$Q$4,0))),0))</f>
        <v/>
      </c>
      <c r="AC146" s="257">
        <f>IF(AC$7="Actual","",IFERROR((INDEX($M146:$Q146,,MATCH(AC$4,$M$4:$Q$4,0))),0))</f>
        <v/>
      </c>
      <c r="AD146" s="257">
        <f>IF(AD$7="Actual","",IFERROR((INDEX($M146:$Q146,,MATCH(AD$4,$M$4:$Q$4,0))),0))</f>
        <v/>
      </c>
      <c r="AE146" s="257">
        <f>IF(AE$7="Actual","",IFERROR((INDEX($M146:$Q146,,MATCH(AE$4,$M$4:$Q$4,0))),0))</f>
        <v/>
      </c>
      <c r="AF146" s="257">
        <f>IF(AF$7="Actual","",IFERROR((INDEX($M146:$Q146,,MATCH(AF$4,$M$4:$Q$4,0))),0))</f>
        <v/>
      </c>
      <c r="AG146" s="257">
        <f>IF(AG$7="Actual","",IFERROR((INDEX($M146:$Q146,,MATCH(AG$4,$M$4:$Q$4,0))),0))</f>
        <v/>
      </c>
      <c r="AH146" s="257">
        <f>IF(AH$7="Actual","",IFERROR((INDEX($M146:$Q146,,MATCH(AH$4,$M$4:$Q$4,0))),0))</f>
        <v/>
      </c>
      <c r="AI146" s="257">
        <f>IF(AI$7="Actual","",IFERROR((INDEX($M146:$Q146,,MATCH(AI$4,$M$4:$Q$4,0))),0))</f>
        <v/>
      </c>
      <c r="AJ146" s="257">
        <f>IF(AJ$7="Actual","",IFERROR((INDEX($M146:$Q146,,MATCH(AJ$4,$M$4:$Q$4,0))),0))</f>
        <v/>
      </c>
      <c r="AK146" s="257">
        <f>IF(AK$7="Actual","",IFERROR((INDEX($M146:$Q146,,MATCH(AK$4,$M$4:$Q$4,0))),0))</f>
        <v/>
      </c>
      <c r="AL146" s="257">
        <f>IF(AL$7="Actual","",IFERROR((INDEX($M146:$Q146,,MATCH(AL$4,$M$4:$Q$4,0))),0))</f>
        <v/>
      </c>
      <c r="AM146" s="257">
        <f>IF(AM$7="Actual","",IFERROR((INDEX($M146:$Q146,,MATCH(AM$4,$M$4:$Q$4,0))),0))</f>
        <v/>
      </c>
      <c r="AN146" s="257">
        <f>IF(AN$7="Actual","",IFERROR((INDEX($M146:$Q146,,MATCH(AN$4,$M$4:$Q$4,0))),0))</f>
        <v/>
      </c>
      <c r="AO146" s="257">
        <f>IF(AO$7="Actual","",IFERROR((INDEX($M146:$Q146,,MATCH(AO$4,$M$4:$Q$4,0))),0))</f>
        <v/>
      </c>
      <c r="AP146" s="257">
        <f>IF(AP$7="Actual","",IFERROR((INDEX($M146:$Q146,,MATCH(AP$4,$M$4:$Q$4,0))),0))</f>
        <v/>
      </c>
      <c r="AQ146" s="257">
        <f>IF(AQ$7="Actual","",IFERROR((INDEX($M146:$Q146,,MATCH(AQ$4,$M$4:$Q$4,0))),0))</f>
        <v/>
      </c>
      <c r="AR146" s="257">
        <f>IF(AR$7="Actual","",IFERROR((INDEX($M146:$Q146,,MATCH(AR$4,$M$4:$Q$4,0))),0))</f>
        <v/>
      </c>
      <c r="AS146" s="257">
        <f>IF(AS$7="Actual","",IFERROR((INDEX($M146:$Q146,,MATCH(AS$4,$M$4:$Q$4,0))),0))</f>
        <v/>
      </c>
      <c r="AT146" s="257">
        <f>IF(AT$7="Actual","",IFERROR((INDEX($M146:$Q146,,MATCH(AT$4,$M$4:$Q$4,0))),0))</f>
        <v/>
      </c>
      <c r="AU146" s="257">
        <f>IF(AU$7="Actual","",IFERROR((INDEX($M146:$Q146,,MATCH(AU$4,$M$4:$Q$4,0))),0))</f>
        <v/>
      </c>
      <c r="AV146" s="257">
        <f>IF(AV$7="Actual","",IFERROR((INDEX($M146:$Q146,,MATCH(AV$4,$M$4:$Q$4,0))),0))</f>
        <v/>
      </c>
      <c r="AW146" s="257">
        <f>IF(AW$7="Actual","",IFERROR((INDEX($M146:$Q146,,MATCH(AW$4,$M$4:$Q$4,0))),0))</f>
        <v/>
      </c>
      <c r="AX146" s="257">
        <f>IF(AX$7="Actual","",IFERROR((INDEX($M146:$Q146,,MATCH(AX$4,$M$4:$Q$4,0))),0))</f>
        <v/>
      </c>
      <c r="AY146" s="257">
        <f>IF(AY$7="Actual","",IFERROR((INDEX($M146:$Q146,,MATCH(AY$4,$M$4:$Q$4,0))),0))</f>
        <v/>
      </c>
      <c r="AZ146" s="257">
        <f>IF(AZ$7="Actual","",IFERROR((INDEX($M146:$Q146,,MATCH(AZ$4,$M$4:$Q$4,0))),0))</f>
        <v/>
      </c>
      <c r="BA146" s="257">
        <f>IF(BA$7="Actual","",IFERROR((INDEX($M146:$Q146,,MATCH(BA$4,$M$4:$Q$4,0))),0))</f>
        <v/>
      </c>
      <c r="BB146" s="257">
        <f>IF(BB$7="Actual","",IFERROR((INDEX($M146:$Q146,,MATCH(BB$4,$M$4:$Q$4,0))),0))</f>
        <v/>
      </c>
      <c r="BC146" s="257">
        <f>IF(BC$7="Actual","",IFERROR((INDEX($M146:$Q146,,MATCH(BC$4,$M$4:$Q$4,0))),0))</f>
        <v/>
      </c>
      <c r="BD146" s="257">
        <f>IF(BD$7="Actual","",IFERROR((INDEX($M146:$Q146,,MATCH(BD$4,$M$4:$Q$4,0))),0))</f>
        <v/>
      </c>
      <c r="BE146" s="257">
        <f>IF(BE$7="Actual","",IFERROR((INDEX($M146:$Q146,,MATCH(BE$4,$M$4:$Q$4,0))),0))</f>
        <v/>
      </c>
      <c r="BF146" s="257">
        <f>IF(BF$7="Actual","",IFERROR((INDEX($M146:$Q146,,MATCH(BF$4,$M$4:$Q$4,0))),0))</f>
        <v/>
      </c>
      <c r="BG146" s="257">
        <f>IF(BG$7="Actual","",IFERROR((INDEX($M146:$Q146,,MATCH(BG$4,$M$4:$Q$4,0))),0))</f>
        <v/>
      </c>
      <c r="BH146" s="257">
        <f>IF(BH$7="Actual","",IFERROR((INDEX($M146:$Q146,,MATCH(BH$4,$M$4:$Q$4,0))),0))</f>
        <v/>
      </c>
      <c r="BI146" s="257">
        <f>IF(BI$7="Actual","",IFERROR((INDEX($M146:$Q146,,MATCH(BI$4,$M$4:$Q$4,0))),0))</f>
        <v/>
      </c>
      <c r="BJ146" s="257">
        <f>IF(BJ$7="Actual","",IFERROR((INDEX($M146:$Q146,,MATCH(BJ$4,$M$4:$Q$4,0))),0))</f>
        <v/>
      </c>
      <c r="BK146" s="257">
        <f>IF(BK$7="Actual","",IFERROR((INDEX($M146:$Q146,,MATCH(BK$4,$M$4:$Q$4,0))),0))</f>
        <v/>
      </c>
      <c r="BL146" s="257">
        <f>IF(BL$7="Actual","",IFERROR((INDEX($M146:$Q146,,MATCH(BL$4,$M$4:$Q$4,0))),0))</f>
        <v/>
      </c>
      <c r="BM146" s="257">
        <f>IF(BM$7="Actual","",IFERROR((INDEX($M146:$Q146,,MATCH(BM$4,$M$4:$Q$4,0))),0))</f>
        <v/>
      </c>
      <c r="BN146" s="257">
        <f>IF(BN$7="Actual","",IFERROR((INDEX($M146:$Q146,,MATCH(BN$4,$M$4:$Q$4,0))),0))</f>
        <v/>
      </c>
      <c r="BO146" s="257">
        <f>IF(BO$7="Actual","",IFERROR((INDEX($M146:$Q146,,MATCH(BO$4,$M$4:$Q$4,0))),0))</f>
        <v/>
      </c>
      <c r="BP146" s="257">
        <f>IF(BP$7="Actual","",IFERROR((INDEX($M146:$Q146,,MATCH(BP$4,$M$4:$Q$4,0))),0))</f>
        <v/>
      </c>
      <c r="BQ146" s="257">
        <f>IF(BQ$7="Actual","",IFERROR((INDEX($M146:$Q146,,MATCH(BQ$4,$M$4:$Q$4,0))),0))</f>
        <v/>
      </c>
      <c r="BR146" s="257">
        <f>IF(BR$7="Actual","",IFERROR((INDEX($M146:$Q146,,MATCH(BR$4,$M$4:$Q$4,0))),0))</f>
        <v/>
      </c>
      <c r="BS146" s="257">
        <f>IF(BS$7="Actual","",IFERROR((INDEX($M146:$Q146,,MATCH(BS$4,$M$4:$Q$4,0))),0))</f>
        <v/>
      </c>
      <c r="BT146" s="257">
        <f>IF(BT$7="Actual","",IFERROR((INDEX($M146:$Q146,,MATCH(BT$4,$M$4:$Q$4,0))),0))</f>
        <v/>
      </c>
      <c r="BU146" s="257">
        <f>IF(BU$7="Actual","",IFERROR((INDEX($M146:$Q146,,MATCH(BU$4,$M$4:$Q$4,0))),0))</f>
        <v/>
      </c>
      <c r="BV146" s="257">
        <f>IF(BV$7="Actual","",IFERROR((INDEX($M146:$Q146,,MATCH(BV$4,$M$4:$Q$4,0))),0))</f>
        <v/>
      </c>
      <c r="BW146" s="257">
        <f>IF(BW$7="Actual","",IFERROR((INDEX($M146:$Q146,,MATCH(BW$4,$M$4:$Q$4,0))),0))</f>
        <v/>
      </c>
      <c r="BX146" s="257">
        <f>IF(BX$7="Actual","",IFERROR((INDEX($M146:$Q146,,MATCH(BX$4,$M$4:$Q$4,0))),0))</f>
        <v/>
      </c>
      <c r="BY146" s="257">
        <f>IF(BY$7="Actual","",IFERROR((INDEX($M146:$Q146,,MATCH(BY$4,$M$4:$Q$4,0))),0))</f>
        <v/>
      </c>
      <c r="BZ146" s="257">
        <f>IF(BZ$7="Actual","",IFERROR((INDEX($M146:$Q146,,MATCH(BZ$4,$M$4:$Q$4,0))),0))</f>
        <v/>
      </c>
      <c r="CA146" s="257">
        <f>IF(CA$7="Actual","",IFERROR((INDEX($M146:$Q146,,MATCH(CA$4,$M$4:$Q$4,0))),0))</f>
        <v/>
      </c>
    </row>
    <row r="147" ht="12" customHeight="1" s="227">
      <c r="A147" s="244" t="n"/>
      <c r="B147" s="244" t="n"/>
      <c r="C147" s="244" t="n"/>
      <c r="H147" s="0">
        <f>H137</f>
        <v/>
      </c>
      <c r="I147" s="27">
        <f>i_Setup!$M$16</f>
        <v/>
      </c>
      <c r="K147" s="6" t="n"/>
      <c r="M147" s="257">
        <f>i_Assumptions!M200</f>
        <v/>
      </c>
      <c r="N147" s="257">
        <f>i_Assumptions!N200</f>
        <v/>
      </c>
      <c r="O147" s="257">
        <f>i_Assumptions!O200</f>
        <v/>
      </c>
      <c r="P147" s="257">
        <f>i_Assumptions!P200</f>
        <v/>
      </c>
      <c r="Q147" s="257">
        <f>i_Assumptions!Q200</f>
        <v/>
      </c>
      <c r="T147" s="257">
        <f>IF(T$7="Actual","",IFERROR((INDEX($M147:$Q147,,MATCH(T$4,$M$4:$Q$4,0))),0))</f>
        <v/>
      </c>
      <c r="U147" s="257">
        <f>IF(U$7="Actual","",IFERROR((INDEX($M147:$Q147,,MATCH(U$4,$M$4:$Q$4,0))),0))</f>
        <v/>
      </c>
      <c r="V147" s="257">
        <f>IF(V$7="Actual","",IFERROR((INDEX($M147:$Q147,,MATCH(V$4,$M$4:$Q$4,0))),0))</f>
        <v/>
      </c>
      <c r="W147" s="257">
        <f>IF(W$7="Actual","",IFERROR((INDEX($M147:$Q147,,MATCH(W$4,$M$4:$Q$4,0))),0))</f>
        <v/>
      </c>
      <c r="X147" s="257">
        <f>IF(X$7="Actual","",IFERROR((INDEX($M147:$Q147,,MATCH(X$4,$M$4:$Q$4,0))),0))</f>
        <v/>
      </c>
      <c r="Y147" s="257">
        <f>IF(Y$7="Actual","",IFERROR((INDEX($M147:$Q147,,MATCH(Y$4,$M$4:$Q$4,0))),0))</f>
        <v/>
      </c>
      <c r="Z147" s="257">
        <f>IF(Z$7="Actual","",IFERROR((INDEX($M147:$Q147,,MATCH(Z$4,$M$4:$Q$4,0))),0))</f>
        <v/>
      </c>
      <c r="AA147" s="257">
        <f>IF(AA$7="Actual","",IFERROR((INDEX($M147:$Q147,,MATCH(AA$4,$M$4:$Q$4,0))),0))</f>
        <v/>
      </c>
      <c r="AB147" s="257">
        <f>IF(AB$7="Actual","",IFERROR((INDEX($M147:$Q147,,MATCH(AB$4,$M$4:$Q$4,0))),0))</f>
        <v/>
      </c>
      <c r="AC147" s="257">
        <f>IF(AC$7="Actual","",IFERROR((INDEX($M147:$Q147,,MATCH(AC$4,$M$4:$Q$4,0))),0))</f>
        <v/>
      </c>
      <c r="AD147" s="257">
        <f>IF(AD$7="Actual","",IFERROR((INDEX($M147:$Q147,,MATCH(AD$4,$M$4:$Q$4,0))),0))</f>
        <v/>
      </c>
      <c r="AE147" s="257">
        <f>IF(AE$7="Actual","",IFERROR((INDEX($M147:$Q147,,MATCH(AE$4,$M$4:$Q$4,0))),0))</f>
        <v/>
      </c>
      <c r="AF147" s="257">
        <f>IF(AF$7="Actual","",IFERROR((INDEX($M147:$Q147,,MATCH(AF$4,$M$4:$Q$4,0))),0))</f>
        <v/>
      </c>
      <c r="AG147" s="257">
        <f>IF(AG$7="Actual","",IFERROR((INDEX($M147:$Q147,,MATCH(AG$4,$M$4:$Q$4,0))),0))</f>
        <v/>
      </c>
      <c r="AH147" s="257">
        <f>IF(AH$7="Actual","",IFERROR((INDEX($M147:$Q147,,MATCH(AH$4,$M$4:$Q$4,0))),0))</f>
        <v/>
      </c>
      <c r="AI147" s="257">
        <f>IF(AI$7="Actual","",IFERROR((INDEX($M147:$Q147,,MATCH(AI$4,$M$4:$Q$4,0))),0))</f>
        <v/>
      </c>
      <c r="AJ147" s="257">
        <f>IF(AJ$7="Actual","",IFERROR((INDEX($M147:$Q147,,MATCH(AJ$4,$M$4:$Q$4,0))),0))</f>
        <v/>
      </c>
      <c r="AK147" s="257">
        <f>IF(AK$7="Actual","",IFERROR((INDEX($M147:$Q147,,MATCH(AK$4,$M$4:$Q$4,0))),0))</f>
        <v/>
      </c>
      <c r="AL147" s="257">
        <f>IF(AL$7="Actual","",IFERROR((INDEX($M147:$Q147,,MATCH(AL$4,$M$4:$Q$4,0))),0))</f>
        <v/>
      </c>
      <c r="AM147" s="257">
        <f>IF(AM$7="Actual","",IFERROR((INDEX($M147:$Q147,,MATCH(AM$4,$M$4:$Q$4,0))),0))</f>
        <v/>
      </c>
      <c r="AN147" s="257">
        <f>IF(AN$7="Actual","",IFERROR((INDEX($M147:$Q147,,MATCH(AN$4,$M$4:$Q$4,0))),0))</f>
        <v/>
      </c>
      <c r="AO147" s="257">
        <f>IF(AO$7="Actual","",IFERROR((INDEX($M147:$Q147,,MATCH(AO$4,$M$4:$Q$4,0))),0))</f>
        <v/>
      </c>
      <c r="AP147" s="257">
        <f>IF(AP$7="Actual","",IFERROR((INDEX($M147:$Q147,,MATCH(AP$4,$M$4:$Q$4,0))),0))</f>
        <v/>
      </c>
      <c r="AQ147" s="257">
        <f>IF(AQ$7="Actual","",IFERROR((INDEX($M147:$Q147,,MATCH(AQ$4,$M$4:$Q$4,0))),0))</f>
        <v/>
      </c>
      <c r="AR147" s="257">
        <f>IF(AR$7="Actual","",IFERROR((INDEX($M147:$Q147,,MATCH(AR$4,$M$4:$Q$4,0))),0))</f>
        <v/>
      </c>
      <c r="AS147" s="257">
        <f>IF(AS$7="Actual","",IFERROR((INDEX($M147:$Q147,,MATCH(AS$4,$M$4:$Q$4,0))),0))</f>
        <v/>
      </c>
      <c r="AT147" s="257">
        <f>IF(AT$7="Actual","",IFERROR((INDEX($M147:$Q147,,MATCH(AT$4,$M$4:$Q$4,0))),0))</f>
        <v/>
      </c>
      <c r="AU147" s="257">
        <f>IF(AU$7="Actual","",IFERROR((INDEX($M147:$Q147,,MATCH(AU$4,$M$4:$Q$4,0))),0))</f>
        <v/>
      </c>
      <c r="AV147" s="257">
        <f>IF(AV$7="Actual","",IFERROR((INDEX($M147:$Q147,,MATCH(AV$4,$M$4:$Q$4,0))),0))</f>
        <v/>
      </c>
      <c r="AW147" s="257">
        <f>IF(AW$7="Actual","",IFERROR((INDEX($M147:$Q147,,MATCH(AW$4,$M$4:$Q$4,0))),0))</f>
        <v/>
      </c>
      <c r="AX147" s="257">
        <f>IF(AX$7="Actual","",IFERROR((INDEX($M147:$Q147,,MATCH(AX$4,$M$4:$Q$4,0))),0))</f>
        <v/>
      </c>
      <c r="AY147" s="257">
        <f>IF(AY$7="Actual","",IFERROR((INDEX($M147:$Q147,,MATCH(AY$4,$M$4:$Q$4,0))),0))</f>
        <v/>
      </c>
      <c r="AZ147" s="257">
        <f>IF(AZ$7="Actual","",IFERROR((INDEX($M147:$Q147,,MATCH(AZ$4,$M$4:$Q$4,0))),0))</f>
        <v/>
      </c>
      <c r="BA147" s="257">
        <f>IF(BA$7="Actual","",IFERROR((INDEX($M147:$Q147,,MATCH(BA$4,$M$4:$Q$4,0))),0))</f>
        <v/>
      </c>
      <c r="BB147" s="257">
        <f>IF(BB$7="Actual","",IFERROR((INDEX($M147:$Q147,,MATCH(BB$4,$M$4:$Q$4,0))),0))</f>
        <v/>
      </c>
      <c r="BC147" s="257">
        <f>IF(BC$7="Actual","",IFERROR((INDEX($M147:$Q147,,MATCH(BC$4,$M$4:$Q$4,0))),0))</f>
        <v/>
      </c>
      <c r="BD147" s="257">
        <f>IF(BD$7="Actual","",IFERROR((INDEX($M147:$Q147,,MATCH(BD$4,$M$4:$Q$4,0))),0))</f>
        <v/>
      </c>
      <c r="BE147" s="257">
        <f>IF(BE$7="Actual","",IFERROR((INDEX($M147:$Q147,,MATCH(BE$4,$M$4:$Q$4,0))),0))</f>
        <v/>
      </c>
      <c r="BF147" s="257">
        <f>IF(BF$7="Actual","",IFERROR((INDEX($M147:$Q147,,MATCH(BF$4,$M$4:$Q$4,0))),0))</f>
        <v/>
      </c>
      <c r="BG147" s="257">
        <f>IF(BG$7="Actual","",IFERROR((INDEX($M147:$Q147,,MATCH(BG$4,$M$4:$Q$4,0))),0))</f>
        <v/>
      </c>
      <c r="BH147" s="257">
        <f>IF(BH$7="Actual","",IFERROR((INDEX($M147:$Q147,,MATCH(BH$4,$M$4:$Q$4,0))),0))</f>
        <v/>
      </c>
      <c r="BI147" s="257">
        <f>IF(BI$7="Actual","",IFERROR((INDEX($M147:$Q147,,MATCH(BI$4,$M$4:$Q$4,0))),0))</f>
        <v/>
      </c>
      <c r="BJ147" s="257">
        <f>IF(BJ$7="Actual","",IFERROR((INDEX($M147:$Q147,,MATCH(BJ$4,$M$4:$Q$4,0))),0))</f>
        <v/>
      </c>
      <c r="BK147" s="257">
        <f>IF(BK$7="Actual","",IFERROR((INDEX($M147:$Q147,,MATCH(BK$4,$M$4:$Q$4,0))),0))</f>
        <v/>
      </c>
      <c r="BL147" s="257">
        <f>IF(BL$7="Actual","",IFERROR((INDEX($M147:$Q147,,MATCH(BL$4,$M$4:$Q$4,0))),0))</f>
        <v/>
      </c>
      <c r="BM147" s="257">
        <f>IF(BM$7="Actual","",IFERROR((INDEX($M147:$Q147,,MATCH(BM$4,$M$4:$Q$4,0))),0))</f>
        <v/>
      </c>
      <c r="BN147" s="257">
        <f>IF(BN$7="Actual","",IFERROR((INDEX($M147:$Q147,,MATCH(BN$4,$M$4:$Q$4,0))),0))</f>
        <v/>
      </c>
      <c r="BO147" s="257">
        <f>IF(BO$7="Actual","",IFERROR((INDEX($M147:$Q147,,MATCH(BO$4,$M$4:$Q$4,0))),0))</f>
        <v/>
      </c>
      <c r="BP147" s="257">
        <f>IF(BP$7="Actual","",IFERROR((INDEX($M147:$Q147,,MATCH(BP$4,$M$4:$Q$4,0))),0))</f>
        <v/>
      </c>
      <c r="BQ147" s="257">
        <f>IF(BQ$7="Actual","",IFERROR((INDEX($M147:$Q147,,MATCH(BQ$4,$M$4:$Q$4,0))),0))</f>
        <v/>
      </c>
      <c r="BR147" s="257">
        <f>IF(BR$7="Actual","",IFERROR((INDEX($M147:$Q147,,MATCH(BR$4,$M$4:$Q$4,0))),0))</f>
        <v/>
      </c>
      <c r="BS147" s="257">
        <f>IF(BS$7="Actual","",IFERROR((INDEX($M147:$Q147,,MATCH(BS$4,$M$4:$Q$4,0))),0))</f>
        <v/>
      </c>
      <c r="BT147" s="257">
        <f>IF(BT$7="Actual","",IFERROR((INDEX($M147:$Q147,,MATCH(BT$4,$M$4:$Q$4,0))),0))</f>
        <v/>
      </c>
      <c r="BU147" s="257">
        <f>IF(BU$7="Actual","",IFERROR((INDEX($M147:$Q147,,MATCH(BU$4,$M$4:$Q$4,0))),0))</f>
        <v/>
      </c>
      <c r="BV147" s="257">
        <f>IF(BV$7="Actual","",IFERROR((INDEX($M147:$Q147,,MATCH(BV$4,$M$4:$Q$4,0))),0))</f>
        <v/>
      </c>
      <c r="BW147" s="257">
        <f>IF(BW$7="Actual","",IFERROR((INDEX($M147:$Q147,,MATCH(BW$4,$M$4:$Q$4,0))),0))</f>
        <v/>
      </c>
      <c r="BX147" s="257">
        <f>IF(BX$7="Actual","",IFERROR((INDEX($M147:$Q147,,MATCH(BX$4,$M$4:$Q$4,0))),0))</f>
        <v/>
      </c>
      <c r="BY147" s="257">
        <f>IF(BY$7="Actual","",IFERROR((INDEX($M147:$Q147,,MATCH(BY$4,$M$4:$Q$4,0))),0))</f>
        <v/>
      </c>
      <c r="BZ147" s="257">
        <f>IF(BZ$7="Actual","",IFERROR((INDEX($M147:$Q147,,MATCH(BZ$4,$M$4:$Q$4,0))),0))</f>
        <v/>
      </c>
      <c r="CA147" s="257">
        <f>IF(CA$7="Actual","",IFERROR((INDEX($M147:$Q147,,MATCH(CA$4,$M$4:$Q$4,0))),0))</f>
        <v/>
      </c>
    </row>
    <row r="148" ht="12" customHeight="1" s="227">
      <c r="A148" s="244" t="n"/>
      <c r="B148" s="244" t="n"/>
      <c r="C148" s="244" t="n"/>
      <c r="H148" s="0">
        <f>H138</f>
        <v/>
      </c>
      <c r="I148" s="27">
        <f>i_Setup!$M$16</f>
        <v/>
      </c>
      <c r="K148" s="6" t="n"/>
      <c r="M148" s="257">
        <f>i_Assumptions!M201</f>
        <v/>
      </c>
      <c r="N148" s="257">
        <f>i_Assumptions!N201</f>
        <v/>
      </c>
      <c r="O148" s="257">
        <f>i_Assumptions!O201</f>
        <v/>
      </c>
      <c r="P148" s="257">
        <f>i_Assumptions!P201</f>
        <v/>
      </c>
      <c r="Q148" s="257">
        <f>i_Assumptions!Q201</f>
        <v/>
      </c>
      <c r="T148" s="257">
        <f>IF(T$7="Actual","",IFERROR((INDEX($M148:$Q148,,MATCH(T$4,$M$4:$Q$4,0))),0))</f>
        <v/>
      </c>
      <c r="U148" s="257">
        <f>IF(U$7="Actual","",IFERROR((INDEX($M148:$Q148,,MATCH(U$4,$M$4:$Q$4,0))),0))</f>
        <v/>
      </c>
      <c r="V148" s="257">
        <f>IF(V$7="Actual","",IFERROR((INDEX($M148:$Q148,,MATCH(V$4,$M$4:$Q$4,0))),0))</f>
        <v/>
      </c>
      <c r="W148" s="257">
        <f>IF(W$7="Actual","",IFERROR((INDEX($M148:$Q148,,MATCH(W$4,$M$4:$Q$4,0))),0))</f>
        <v/>
      </c>
      <c r="X148" s="257">
        <f>IF(X$7="Actual","",IFERROR((INDEX($M148:$Q148,,MATCH(X$4,$M$4:$Q$4,0))),0))</f>
        <v/>
      </c>
      <c r="Y148" s="257">
        <f>IF(Y$7="Actual","",IFERROR((INDEX($M148:$Q148,,MATCH(Y$4,$M$4:$Q$4,0))),0))</f>
        <v/>
      </c>
      <c r="Z148" s="257">
        <f>IF(Z$7="Actual","",IFERROR((INDEX($M148:$Q148,,MATCH(Z$4,$M$4:$Q$4,0))),0))</f>
        <v/>
      </c>
      <c r="AA148" s="257">
        <f>IF(AA$7="Actual","",IFERROR((INDEX($M148:$Q148,,MATCH(AA$4,$M$4:$Q$4,0))),0))</f>
        <v/>
      </c>
      <c r="AB148" s="257">
        <f>IF(AB$7="Actual","",IFERROR((INDEX($M148:$Q148,,MATCH(AB$4,$M$4:$Q$4,0))),0))</f>
        <v/>
      </c>
      <c r="AC148" s="257">
        <f>IF(AC$7="Actual","",IFERROR((INDEX($M148:$Q148,,MATCH(AC$4,$M$4:$Q$4,0))),0))</f>
        <v/>
      </c>
      <c r="AD148" s="257">
        <f>IF(AD$7="Actual","",IFERROR((INDEX($M148:$Q148,,MATCH(AD$4,$M$4:$Q$4,0))),0))</f>
        <v/>
      </c>
      <c r="AE148" s="257">
        <f>IF(AE$7="Actual","",IFERROR((INDEX($M148:$Q148,,MATCH(AE$4,$M$4:$Q$4,0))),0))</f>
        <v/>
      </c>
      <c r="AF148" s="257">
        <f>IF(AF$7="Actual","",IFERROR((INDEX($M148:$Q148,,MATCH(AF$4,$M$4:$Q$4,0))),0))</f>
        <v/>
      </c>
      <c r="AG148" s="257">
        <f>IF(AG$7="Actual","",IFERROR((INDEX($M148:$Q148,,MATCH(AG$4,$M$4:$Q$4,0))),0))</f>
        <v/>
      </c>
      <c r="AH148" s="257">
        <f>IF(AH$7="Actual","",IFERROR((INDEX($M148:$Q148,,MATCH(AH$4,$M$4:$Q$4,0))),0))</f>
        <v/>
      </c>
      <c r="AI148" s="257">
        <f>IF(AI$7="Actual","",IFERROR((INDEX($M148:$Q148,,MATCH(AI$4,$M$4:$Q$4,0))),0))</f>
        <v/>
      </c>
      <c r="AJ148" s="257">
        <f>IF(AJ$7="Actual","",IFERROR((INDEX($M148:$Q148,,MATCH(AJ$4,$M$4:$Q$4,0))),0))</f>
        <v/>
      </c>
      <c r="AK148" s="257">
        <f>IF(AK$7="Actual","",IFERROR((INDEX($M148:$Q148,,MATCH(AK$4,$M$4:$Q$4,0))),0))</f>
        <v/>
      </c>
      <c r="AL148" s="257">
        <f>IF(AL$7="Actual","",IFERROR((INDEX($M148:$Q148,,MATCH(AL$4,$M$4:$Q$4,0))),0))</f>
        <v/>
      </c>
      <c r="AM148" s="257">
        <f>IF(AM$7="Actual","",IFERROR((INDEX($M148:$Q148,,MATCH(AM$4,$M$4:$Q$4,0))),0))</f>
        <v/>
      </c>
      <c r="AN148" s="257">
        <f>IF(AN$7="Actual","",IFERROR((INDEX($M148:$Q148,,MATCH(AN$4,$M$4:$Q$4,0))),0))</f>
        <v/>
      </c>
      <c r="AO148" s="257">
        <f>IF(AO$7="Actual","",IFERROR((INDEX($M148:$Q148,,MATCH(AO$4,$M$4:$Q$4,0))),0))</f>
        <v/>
      </c>
      <c r="AP148" s="257">
        <f>IF(AP$7="Actual","",IFERROR((INDEX($M148:$Q148,,MATCH(AP$4,$M$4:$Q$4,0))),0))</f>
        <v/>
      </c>
      <c r="AQ148" s="257">
        <f>IF(AQ$7="Actual","",IFERROR((INDEX($M148:$Q148,,MATCH(AQ$4,$M$4:$Q$4,0))),0))</f>
        <v/>
      </c>
      <c r="AR148" s="257">
        <f>IF(AR$7="Actual","",IFERROR((INDEX($M148:$Q148,,MATCH(AR$4,$M$4:$Q$4,0))),0))</f>
        <v/>
      </c>
      <c r="AS148" s="257">
        <f>IF(AS$7="Actual","",IFERROR((INDEX($M148:$Q148,,MATCH(AS$4,$M$4:$Q$4,0))),0))</f>
        <v/>
      </c>
      <c r="AT148" s="257">
        <f>IF(AT$7="Actual","",IFERROR((INDEX($M148:$Q148,,MATCH(AT$4,$M$4:$Q$4,0))),0))</f>
        <v/>
      </c>
      <c r="AU148" s="257">
        <f>IF(AU$7="Actual","",IFERROR((INDEX($M148:$Q148,,MATCH(AU$4,$M$4:$Q$4,0))),0))</f>
        <v/>
      </c>
      <c r="AV148" s="257">
        <f>IF(AV$7="Actual","",IFERROR((INDEX($M148:$Q148,,MATCH(AV$4,$M$4:$Q$4,0))),0))</f>
        <v/>
      </c>
      <c r="AW148" s="257">
        <f>IF(AW$7="Actual","",IFERROR((INDEX($M148:$Q148,,MATCH(AW$4,$M$4:$Q$4,0))),0))</f>
        <v/>
      </c>
      <c r="AX148" s="257">
        <f>IF(AX$7="Actual","",IFERROR((INDEX($M148:$Q148,,MATCH(AX$4,$M$4:$Q$4,0))),0))</f>
        <v/>
      </c>
      <c r="AY148" s="257">
        <f>IF(AY$7="Actual","",IFERROR((INDEX($M148:$Q148,,MATCH(AY$4,$M$4:$Q$4,0))),0))</f>
        <v/>
      </c>
      <c r="AZ148" s="257">
        <f>IF(AZ$7="Actual","",IFERROR((INDEX($M148:$Q148,,MATCH(AZ$4,$M$4:$Q$4,0))),0))</f>
        <v/>
      </c>
      <c r="BA148" s="257">
        <f>IF(BA$7="Actual","",IFERROR((INDEX($M148:$Q148,,MATCH(BA$4,$M$4:$Q$4,0))),0))</f>
        <v/>
      </c>
      <c r="BB148" s="257">
        <f>IF(BB$7="Actual","",IFERROR((INDEX($M148:$Q148,,MATCH(BB$4,$M$4:$Q$4,0))),0))</f>
        <v/>
      </c>
      <c r="BC148" s="257">
        <f>IF(BC$7="Actual","",IFERROR((INDEX($M148:$Q148,,MATCH(BC$4,$M$4:$Q$4,0))),0))</f>
        <v/>
      </c>
      <c r="BD148" s="257">
        <f>IF(BD$7="Actual","",IFERROR((INDEX($M148:$Q148,,MATCH(BD$4,$M$4:$Q$4,0))),0))</f>
        <v/>
      </c>
      <c r="BE148" s="257">
        <f>IF(BE$7="Actual","",IFERROR((INDEX($M148:$Q148,,MATCH(BE$4,$M$4:$Q$4,0))),0))</f>
        <v/>
      </c>
      <c r="BF148" s="257">
        <f>IF(BF$7="Actual","",IFERROR((INDEX($M148:$Q148,,MATCH(BF$4,$M$4:$Q$4,0))),0))</f>
        <v/>
      </c>
      <c r="BG148" s="257">
        <f>IF(BG$7="Actual","",IFERROR((INDEX($M148:$Q148,,MATCH(BG$4,$M$4:$Q$4,0))),0))</f>
        <v/>
      </c>
      <c r="BH148" s="257">
        <f>IF(BH$7="Actual","",IFERROR((INDEX($M148:$Q148,,MATCH(BH$4,$M$4:$Q$4,0))),0))</f>
        <v/>
      </c>
      <c r="BI148" s="257">
        <f>IF(BI$7="Actual","",IFERROR((INDEX($M148:$Q148,,MATCH(BI$4,$M$4:$Q$4,0))),0))</f>
        <v/>
      </c>
      <c r="BJ148" s="257">
        <f>IF(BJ$7="Actual","",IFERROR((INDEX($M148:$Q148,,MATCH(BJ$4,$M$4:$Q$4,0))),0))</f>
        <v/>
      </c>
      <c r="BK148" s="257">
        <f>IF(BK$7="Actual","",IFERROR((INDEX($M148:$Q148,,MATCH(BK$4,$M$4:$Q$4,0))),0))</f>
        <v/>
      </c>
      <c r="BL148" s="257">
        <f>IF(BL$7="Actual","",IFERROR((INDEX($M148:$Q148,,MATCH(BL$4,$M$4:$Q$4,0))),0))</f>
        <v/>
      </c>
      <c r="BM148" s="257">
        <f>IF(BM$7="Actual","",IFERROR((INDEX($M148:$Q148,,MATCH(BM$4,$M$4:$Q$4,0))),0))</f>
        <v/>
      </c>
      <c r="BN148" s="257">
        <f>IF(BN$7="Actual","",IFERROR((INDEX($M148:$Q148,,MATCH(BN$4,$M$4:$Q$4,0))),0))</f>
        <v/>
      </c>
      <c r="BO148" s="257">
        <f>IF(BO$7="Actual","",IFERROR((INDEX($M148:$Q148,,MATCH(BO$4,$M$4:$Q$4,0))),0))</f>
        <v/>
      </c>
      <c r="BP148" s="257">
        <f>IF(BP$7="Actual","",IFERROR((INDEX($M148:$Q148,,MATCH(BP$4,$M$4:$Q$4,0))),0))</f>
        <v/>
      </c>
      <c r="BQ148" s="257">
        <f>IF(BQ$7="Actual","",IFERROR((INDEX($M148:$Q148,,MATCH(BQ$4,$M$4:$Q$4,0))),0))</f>
        <v/>
      </c>
      <c r="BR148" s="257">
        <f>IF(BR$7="Actual","",IFERROR((INDEX($M148:$Q148,,MATCH(BR$4,$M$4:$Q$4,0))),0))</f>
        <v/>
      </c>
      <c r="BS148" s="257">
        <f>IF(BS$7="Actual","",IFERROR((INDEX($M148:$Q148,,MATCH(BS$4,$M$4:$Q$4,0))),0))</f>
        <v/>
      </c>
      <c r="BT148" s="257">
        <f>IF(BT$7="Actual","",IFERROR((INDEX($M148:$Q148,,MATCH(BT$4,$M$4:$Q$4,0))),0))</f>
        <v/>
      </c>
      <c r="BU148" s="257">
        <f>IF(BU$7="Actual","",IFERROR((INDEX($M148:$Q148,,MATCH(BU$4,$M$4:$Q$4,0))),0))</f>
        <v/>
      </c>
      <c r="BV148" s="257">
        <f>IF(BV$7="Actual","",IFERROR((INDEX($M148:$Q148,,MATCH(BV$4,$M$4:$Q$4,0))),0))</f>
        <v/>
      </c>
      <c r="BW148" s="257">
        <f>IF(BW$7="Actual","",IFERROR((INDEX($M148:$Q148,,MATCH(BW$4,$M$4:$Q$4,0))),0))</f>
        <v/>
      </c>
      <c r="BX148" s="257">
        <f>IF(BX$7="Actual","",IFERROR((INDEX($M148:$Q148,,MATCH(BX$4,$M$4:$Q$4,0))),0))</f>
        <v/>
      </c>
      <c r="BY148" s="257">
        <f>IF(BY$7="Actual","",IFERROR((INDEX($M148:$Q148,,MATCH(BY$4,$M$4:$Q$4,0))),0))</f>
        <v/>
      </c>
      <c r="BZ148" s="257">
        <f>IF(BZ$7="Actual","",IFERROR((INDEX($M148:$Q148,,MATCH(BZ$4,$M$4:$Q$4,0))),0))</f>
        <v/>
      </c>
      <c r="CA148" s="257">
        <f>IF(CA$7="Actual","",IFERROR((INDEX($M148:$Q148,,MATCH(CA$4,$M$4:$Q$4,0))),0))</f>
        <v/>
      </c>
    </row>
    <row r="149" ht="12" customHeight="1" s="227">
      <c r="A149" s="244" t="n"/>
      <c r="B149" s="244" t="n"/>
      <c r="C149" s="244" t="n"/>
      <c r="H149" s="0">
        <f>H139</f>
        <v/>
      </c>
      <c r="I149" s="27">
        <f>i_Setup!$M$16</f>
        <v/>
      </c>
      <c r="K149" s="6" t="n"/>
      <c r="M149" s="257">
        <f>i_Assumptions!M202</f>
        <v/>
      </c>
      <c r="N149" s="257">
        <f>i_Assumptions!N202</f>
        <v/>
      </c>
      <c r="O149" s="257">
        <f>i_Assumptions!O202</f>
        <v/>
      </c>
      <c r="P149" s="257">
        <f>i_Assumptions!P202</f>
        <v/>
      </c>
      <c r="Q149" s="257">
        <f>i_Assumptions!Q202</f>
        <v/>
      </c>
      <c r="T149" s="257">
        <f>IF(T$7="Actual","",IFERROR((INDEX($M149:$Q149,,MATCH(T$4,$M$4:$Q$4,0))),0))</f>
        <v/>
      </c>
      <c r="U149" s="257">
        <f>IF(U$7="Actual","",IFERROR((INDEX($M149:$Q149,,MATCH(U$4,$M$4:$Q$4,0))),0))</f>
        <v/>
      </c>
      <c r="V149" s="257">
        <f>IF(V$7="Actual","",IFERROR((INDEX($M149:$Q149,,MATCH(V$4,$M$4:$Q$4,0))),0))</f>
        <v/>
      </c>
      <c r="W149" s="257">
        <f>IF(W$7="Actual","",IFERROR((INDEX($M149:$Q149,,MATCH(W$4,$M$4:$Q$4,0))),0))</f>
        <v/>
      </c>
      <c r="X149" s="257">
        <f>IF(X$7="Actual","",IFERROR((INDEX($M149:$Q149,,MATCH(X$4,$M$4:$Q$4,0))),0))</f>
        <v/>
      </c>
      <c r="Y149" s="257">
        <f>IF(Y$7="Actual","",IFERROR((INDEX($M149:$Q149,,MATCH(Y$4,$M$4:$Q$4,0))),0))</f>
        <v/>
      </c>
      <c r="Z149" s="257">
        <f>IF(Z$7="Actual","",IFERROR((INDEX($M149:$Q149,,MATCH(Z$4,$M$4:$Q$4,0))),0))</f>
        <v/>
      </c>
      <c r="AA149" s="257">
        <f>IF(AA$7="Actual","",IFERROR((INDEX($M149:$Q149,,MATCH(AA$4,$M$4:$Q$4,0))),0))</f>
        <v/>
      </c>
      <c r="AB149" s="257">
        <f>IF(AB$7="Actual","",IFERROR((INDEX($M149:$Q149,,MATCH(AB$4,$M$4:$Q$4,0))),0))</f>
        <v/>
      </c>
      <c r="AC149" s="257">
        <f>IF(AC$7="Actual","",IFERROR((INDEX($M149:$Q149,,MATCH(AC$4,$M$4:$Q$4,0))),0))</f>
        <v/>
      </c>
      <c r="AD149" s="257">
        <f>IF(AD$7="Actual","",IFERROR((INDEX($M149:$Q149,,MATCH(AD$4,$M$4:$Q$4,0))),0))</f>
        <v/>
      </c>
      <c r="AE149" s="257">
        <f>IF(AE$7="Actual","",IFERROR((INDEX($M149:$Q149,,MATCH(AE$4,$M$4:$Q$4,0))),0))</f>
        <v/>
      </c>
      <c r="AF149" s="257">
        <f>IF(AF$7="Actual","",IFERROR((INDEX($M149:$Q149,,MATCH(AF$4,$M$4:$Q$4,0))),0))</f>
        <v/>
      </c>
      <c r="AG149" s="257">
        <f>IF(AG$7="Actual","",IFERROR((INDEX($M149:$Q149,,MATCH(AG$4,$M$4:$Q$4,0))),0))</f>
        <v/>
      </c>
      <c r="AH149" s="257">
        <f>IF(AH$7="Actual","",IFERROR((INDEX($M149:$Q149,,MATCH(AH$4,$M$4:$Q$4,0))),0))</f>
        <v/>
      </c>
      <c r="AI149" s="257">
        <f>IF(AI$7="Actual","",IFERROR((INDEX($M149:$Q149,,MATCH(AI$4,$M$4:$Q$4,0))),0))</f>
        <v/>
      </c>
      <c r="AJ149" s="257">
        <f>IF(AJ$7="Actual","",IFERROR((INDEX($M149:$Q149,,MATCH(AJ$4,$M$4:$Q$4,0))),0))</f>
        <v/>
      </c>
      <c r="AK149" s="257">
        <f>IF(AK$7="Actual","",IFERROR((INDEX($M149:$Q149,,MATCH(AK$4,$M$4:$Q$4,0))),0))</f>
        <v/>
      </c>
      <c r="AL149" s="257">
        <f>IF(AL$7="Actual","",IFERROR((INDEX($M149:$Q149,,MATCH(AL$4,$M$4:$Q$4,0))),0))</f>
        <v/>
      </c>
      <c r="AM149" s="257">
        <f>IF(AM$7="Actual","",IFERROR((INDEX($M149:$Q149,,MATCH(AM$4,$M$4:$Q$4,0))),0))</f>
        <v/>
      </c>
      <c r="AN149" s="257">
        <f>IF(AN$7="Actual","",IFERROR((INDEX($M149:$Q149,,MATCH(AN$4,$M$4:$Q$4,0))),0))</f>
        <v/>
      </c>
      <c r="AO149" s="257">
        <f>IF(AO$7="Actual","",IFERROR((INDEX($M149:$Q149,,MATCH(AO$4,$M$4:$Q$4,0))),0))</f>
        <v/>
      </c>
      <c r="AP149" s="257">
        <f>IF(AP$7="Actual","",IFERROR((INDEX($M149:$Q149,,MATCH(AP$4,$M$4:$Q$4,0))),0))</f>
        <v/>
      </c>
      <c r="AQ149" s="257">
        <f>IF(AQ$7="Actual","",IFERROR((INDEX($M149:$Q149,,MATCH(AQ$4,$M$4:$Q$4,0))),0))</f>
        <v/>
      </c>
      <c r="AR149" s="257">
        <f>IF(AR$7="Actual","",IFERROR((INDEX($M149:$Q149,,MATCH(AR$4,$M$4:$Q$4,0))),0))</f>
        <v/>
      </c>
      <c r="AS149" s="257">
        <f>IF(AS$7="Actual","",IFERROR((INDEX($M149:$Q149,,MATCH(AS$4,$M$4:$Q$4,0))),0))</f>
        <v/>
      </c>
      <c r="AT149" s="257">
        <f>IF(AT$7="Actual","",IFERROR((INDEX($M149:$Q149,,MATCH(AT$4,$M$4:$Q$4,0))),0))</f>
        <v/>
      </c>
      <c r="AU149" s="257">
        <f>IF(AU$7="Actual","",IFERROR((INDEX($M149:$Q149,,MATCH(AU$4,$M$4:$Q$4,0))),0))</f>
        <v/>
      </c>
      <c r="AV149" s="257">
        <f>IF(AV$7="Actual","",IFERROR((INDEX($M149:$Q149,,MATCH(AV$4,$M$4:$Q$4,0))),0))</f>
        <v/>
      </c>
      <c r="AW149" s="257">
        <f>IF(AW$7="Actual","",IFERROR((INDEX($M149:$Q149,,MATCH(AW$4,$M$4:$Q$4,0))),0))</f>
        <v/>
      </c>
      <c r="AX149" s="257">
        <f>IF(AX$7="Actual","",IFERROR((INDEX($M149:$Q149,,MATCH(AX$4,$M$4:$Q$4,0))),0))</f>
        <v/>
      </c>
      <c r="AY149" s="257">
        <f>IF(AY$7="Actual","",IFERROR((INDEX($M149:$Q149,,MATCH(AY$4,$M$4:$Q$4,0))),0))</f>
        <v/>
      </c>
      <c r="AZ149" s="257">
        <f>IF(AZ$7="Actual","",IFERROR((INDEX($M149:$Q149,,MATCH(AZ$4,$M$4:$Q$4,0))),0))</f>
        <v/>
      </c>
      <c r="BA149" s="257">
        <f>IF(BA$7="Actual","",IFERROR((INDEX($M149:$Q149,,MATCH(BA$4,$M$4:$Q$4,0))),0))</f>
        <v/>
      </c>
      <c r="BB149" s="257">
        <f>IF(BB$7="Actual","",IFERROR((INDEX($M149:$Q149,,MATCH(BB$4,$M$4:$Q$4,0))),0))</f>
        <v/>
      </c>
      <c r="BC149" s="257">
        <f>IF(BC$7="Actual","",IFERROR((INDEX($M149:$Q149,,MATCH(BC$4,$M$4:$Q$4,0))),0))</f>
        <v/>
      </c>
      <c r="BD149" s="257">
        <f>IF(BD$7="Actual","",IFERROR((INDEX($M149:$Q149,,MATCH(BD$4,$M$4:$Q$4,0))),0))</f>
        <v/>
      </c>
      <c r="BE149" s="257">
        <f>IF(BE$7="Actual","",IFERROR((INDEX($M149:$Q149,,MATCH(BE$4,$M$4:$Q$4,0))),0))</f>
        <v/>
      </c>
      <c r="BF149" s="257">
        <f>IF(BF$7="Actual","",IFERROR((INDEX($M149:$Q149,,MATCH(BF$4,$M$4:$Q$4,0))),0))</f>
        <v/>
      </c>
      <c r="BG149" s="257">
        <f>IF(BG$7="Actual","",IFERROR((INDEX($M149:$Q149,,MATCH(BG$4,$M$4:$Q$4,0))),0))</f>
        <v/>
      </c>
      <c r="BH149" s="257">
        <f>IF(BH$7="Actual","",IFERROR((INDEX($M149:$Q149,,MATCH(BH$4,$M$4:$Q$4,0))),0))</f>
        <v/>
      </c>
      <c r="BI149" s="257">
        <f>IF(BI$7="Actual","",IFERROR((INDEX($M149:$Q149,,MATCH(BI$4,$M$4:$Q$4,0))),0))</f>
        <v/>
      </c>
      <c r="BJ149" s="257">
        <f>IF(BJ$7="Actual","",IFERROR((INDEX($M149:$Q149,,MATCH(BJ$4,$M$4:$Q$4,0))),0))</f>
        <v/>
      </c>
      <c r="BK149" s="257">
        <f>IF(BK$7="Actual","",IFERROR((INDEX($M149:$Q149,,MATCH(BK$4,$M$4:$Q$4,0))),0))</f>
        <v/>
      </c>
      <c r="BL149" s="257">
        <f>IF(BL$7="Actual","",IFERROR((INDEX($M149:$Q149,,MATCH(BL$4,$M$4:$Q$4,0))),0))</f>
        <v/>
      </c>
      <c r="BM149" s="257">
        <f>IF(BM$7="Actual","",IFERROR((INDEX($M149:$Q149,,MATCH(BM$4,$M$4:$Q$4,0))),0))</f>
        <v/>
      </c>
      <c r="BN149" s="257">
        <f>IF(BN$7="Actual","",IFERROR((INDEX($M149:$Q149,,MATCH(BN$4,$M$4:$Q$4,0))),0))</f>
        <v/>
      </c>
      <c r="BO149" s="257">
        <f>IF(BO$7="Actual","",IFERROR((INDEX($M149:$Q149,,MATCH(BO$4,$M$4:$Q$4,0))),0))</f>
        <v/>
      </c>
      <c r="BP149" s="257">
        <f>IF(BP$7="Actual","",IFERROR((INDEX($M149:$Q149,,MATCH(BP$4,$M$4:$Q$4,0))),0))</f>
        <v/>
      </c>
      <c r="BQ149" s="257">
        <f>IF(BQ$7="Actual","",IFERROR((INDEX($M149:$Q149,,MATCH(BQ$4,$M$4:$Q$4,0))),0))</f>
        <v/>
      </c>
      <c r="BR149" s="257">
        <f>IF(BR$7="Actual","",IFERROR((INDEX($M149:$Q149,,MATCH(BR$4,$M$4:$Q$4,0))),0))</f>
        <v/>
      </c>
      <c r="BS149" s="257">
        <f>IF(BS$7="Actual","",IFERROR((INDEX($M149:$Q149,,MATCH(BS$4,$M$4:$Q$4,0))),0))</f>
        <v/>
      </c>
      <c r="BT149" s="257">
        <f>IF(BT$7="Actual","",IFERROR((INDEX($M149:$Q149,,MATCH(BT$4,$M$4:$Q$4,0))),0))</f>
        <v/>
      </c>
      <c r="BU149" s="257">
        <f>IF(BU$7="Actual","",IFERROR((INDEX($M149:$Q149,,MATCH(BU$4,$M$4:$Q$4,0))),0))</f>
        <v/>
      </c>
      <c r="BV149" s="257">
        <f>IF(BV$7="Actual","",IFERROR((INDEX($M149:$Q149,,MATCH(BV$4,$M$4:$Q$4,0))),0))</f>
        <v/>
      </c>
      <c r="BW149" s="257">
        <f>IF(BW$7="Actual","",IFERROR((INDEX($M149:$Q149,,MATCH(BW$4,$M$4:$Q$4,0))),0))</f>
        <v/>
      </c>
      <c r="BX149" s="257">
        <f>IF(BX$7="Actual","",IFERROR((INDEX($M149:$Q149,,MATCH(BX$4,$M$4:$Q$4,0))),0))</f>
        <v/>
      </c>
      <c r="BY149" s="257">
        <f>IF(BY$7="Actual","",IFERROR((INDEX($M149:$Q149,,MATCH(BY$4,$M$4:$Q$4,0))),0))</f>
        <v/>
      </c>
      <c r="BZ149" s="257">
        <f>IF(BZ$7="Actual","",IFERROR((INDEX($M149:$Q149,,MATCH(BZ$4,$M$4:$Q$4,0))),0))</f>
        <v/>
      </c>
      <c r="CA149" s="257">
        <f>IF(CA$7="Actual","",IFERROR((INDEX($M149:$Q149,,MATCH(CA$4,$M$4:$Q$4,0))),0))</f>
        <v/>
      </c>
    </row>
    <row r="150" ht="12" customHeight="1" s="227">
      <c r="A150" s="244" t="n"/>
      <c r="B150" s="244" t="n"/>
      <c r="C150" s="244" t="n"/>
      <c r="H150" s="0" t="n"/>
      <c r="K150" s="6" t="n"/>
    </row>
    <row r="151" ht="12" customHeight="1" s="227">
      <c r="A151" s="244" t="n"/>
      <c r="B151" s="244" t="n"/>
      <c r="C151" s="244" t="n"/>
      <c r="H151" s="8">
        <f>i_Setup!U36</f>
        <v/>
      </c>
      <c r="K151" s="6" t="n"/>
    </row>
    <row r="152" ht="12" customHeight="1" s="227">
      <c r="A152" s="244" t="n"/>
      <c r="B152" s="244" t="n"/>
      <c r="C152" s="244" t="n"/>
      <c r="H152" s="0">
        <f>H142</f>
        <v/>
      </c>
      <c r="I152" s="27">
        <f>i_Setup!$M$16</f>
        <v/>
      </c>
      <c r="K152" s="6" t="n"/>
      <c r="M152" s="257">
        <f>IF(M$7="Actual","",i_Assumptions!M235)</f>
        <v/>
      </c>
      <c r="N152" s="257">
        <f>IF(N$7="Actual","",i_Assumptions!N235)</f>
        <v/>
      </c>
      <c r="O152" s="257">
        <f>IF(O$7="Actual","",i_Assumptions!O235)</f>
        <v/>
      </c>
      <c r="P152" s="257">
        <f>IF(P$7="Actual","",i_Assumptions!P235)</f>
        <v/>
      </c>
      <c r="Q152" s="257">
        <f>IF(Q$7="Actual","",i_Assumptions!Q235)</f>
        <v/>
      </c>
      <c r="T152" s="257">
        <f>IF(T$7="Actual","",IFERROR((INDEX($M152:$Q152,,MATCH(T$4,$M$4:$Q$4,0))),0))</f>
        <v/>
      </c>
      <c r="U152" s="257">
        <f>IF(U$7="Actual","",IFERROR((INDEX($M152:$Q152,,MATCH(U$4,$M$4:$Q$4,0))),0))</f>
        <v/>
      </c>
      <c r="V152" s="257">
        <f>IF(V$7="Actual","",IFERROR((INDEX($M152:$Q152,,MATCH(V$4,$M$4:$Q$4,0))),0))</f>
        <v/>
      </c>
      <c r="W152" s="257">
        <f>IF(W$7="Actual","",IFERROR((INDEX($M152:$Q152,,MATCH(W$4,$M$4:$Q$4,0))),0))</f>
        <v/>
      </c>
      <c r="X152" s="257">
        <f>IF(X$7="Actual","",IFERROR((INDEX($M152:$Q152,,MATCH(X$4,$M$4:$Q$4,0))),0))</f>
        <v/>
      </c>
      <c r="Y152" s="257">
        <f>IF(Y$7="Actual","",IFERROR((INDEX($M152:$Q152,,MATCH(Y$4,$M$4:$Q$4,0))),0))</f>
        <v/>
      </c>
      <c r="Z152" s="257">
        <f>IF(Z$7="Actual","",IFERROR((INDEX($M152:$Q152,,MATCH(Z$4,$M$4:$Q$4,0))),0))</f>
        <v/>
      </c>
      <c r="AA152" s="257">
        <f>IF(AA$7="Actual","",IFERROR((INDEX($M152:$Q152,,MATCH(AA$4,$M$4:$Q$4,0))),0))</f>
        <v/>
      </c>
      <c r="AB152" s="257">
        <f>IF(AB$7="Actual","",IFERROR((INDEX($M152:$Q152,,MATCH(AB$4,$M$4:$Q$4,0))),0))</f>
        <v/>
      </c>
      <c r="AC152" s="257">
        <f>IF(AC$7="Actual","",IFERROR((INDEX($M152:$Q152,,MATCH(AC$4,$M$4:$Q$4,0))),0))</f>
        <v/>
      </c>
      <c r="AD152" s="257">
        <f>IF(AD$7="Actual","",IFERROR((INDEX($M152:$Q152,,MATCH(AD$4,$M$4:$Q$4,0))),0))</f>
        <v/>
      </c>
      <c r="AE152" s="257">
        <f>IF(AE$7="Actual","",IFERROR((INDEX($M152:$Q152,,MATCH(AE$4,$M$4:$Q$4,0))),0))</f>
        <v/>
      </c>
      <c r="AF152" s="257">
        <f>IF(AF$7="Actual","",IFERROR((INDEX($M152:$Q152,,MATCH(AF$4,$M$4:$Q$4,0))),0))</f>
        <v/>
      </c>
      <c r="AG152" s="257">
        <f>IF(AG$7="Actual","",IFERROR((INDEX($M152:$Q152,,MATCH(AG$4,$M$4:$Q$4,0))),0))</f>
        <v/>
      </c>
      <c r="AH152" s="257">
        <f>IF(AH$7="Actual","",IFERROR((INDEX($M152:$Q152,,MATCH(AH$4,$M$4:$Q$4,0))),0))</f>
        <v/>
      </c>
      <c r="AI152" s="257">
        <f>IF(AI$7="Actual","",IFERROR((INDEX($M152:$Q152,,MATCH(AI$4,$M$4:$Q$4,0))),0))</f>
        <v/>
      </c>
      <c r="AJ152" s="257">
        <f>IF(AJ$7="Actual","",IFERROR((INDEX($M152:$Q152,,MATCH(AJ$4,$M$4:$Q$4,0))),0))</f>
        <v/>
      </c>
      <c r="AK152" s="257">
        <f>IF(AK$7="Actual","",IFERROR((INDEX($M152:$Q152,,MATCH(AK$4,$M$4:$Q$4,0))),0))</f>
        <v/>
      </c>
      <c r="AL152" s="257">
        <f>IF(AL$7="Actual","",IFERROR((INDEX($M152:$Q152,,MATCH(AL$4,$M$4:$Q$4,0))),0))</f>
        <v/>
      </c>
      <c r="AM152" s="257">
        <f>IF(AM$7="Actual","",IFERROR((INDEX($M152:$Q152,,MATCH(AM$4,$M$4:$Q$4,0))),0))</f>
        <v/>
      </c>
      <c r="AN152" s="257">
        <f>IF(AN$7="Actual","",IFERROR((INDEX($M152:$Q152,,MATCH(AN$4,$M$4:$Q$4,0))),0))</f>
        <v/>
      </c>
      <c r="AO152" s="257">
        <f>IF(AO$7="Actual","",IFERROR((INDEX($M152:$Q152,,MATCH(AO$4,$M$4:$Q$4,0))),0))</f>
        <v/>
      </c>
      <c r="AP152" s="257">
        <f>IF(AP$7="Actual","",IFERROR((INDEX($M152:$Q152,,MATCH(AP$4,$M$4:$Q$4,0))),0))</f>
        <v/>
      </c>
      <c r="AQ152" s="257">
        <f>IF(AQ$7="Actual","",IFERROR((INDEX($M152:$Q152,,MATCH(AQ$4,$M$4:$Q$4,0))),0))</f>
        <v/>
      </c>
      <c r="AR152" s="257">
        <f>IF(AR$7="Actual","",IFERROR((INDEX($M152:$Q152,,MATCH(AR$4,$M$4:$Q$4,0))),0))</f>
        <v/>
      </c>
      <c r="AS152" s="257">
        <f>IF(AS$7="Actual","",IFERROR((INDEX($M152:$Q152,,MATCH(AS$4,$M$4:$Q$4,0))),0))</f>
        <v/>
      </c>
      <c r="AT152" s="257">
        <f>IF(AT$7="Actual","",IFERROR((INDEX($M152:$Q152,,MATCH(AT$4,$M$4:$Q$4,0))),0))</f>
        <v/>
      </c>
      <c r="AU152" s="257">
        <f>IF(AU$7="Actual","",IFERROR((INDEX($M152:$Q152,,MATCH(AU$4,$M$4:$Q$4,0))),0))</f>
        <v/>
      </c>
      <c r="AV152" s="257">
        <f>IF(AV$7="Actual","",IFERROR((INDEX($M152:$Q152,,MATCH(AV$4,$M$4:$Q$4,0))),0))</f>
        <v/>
      </c>
      <c r="AW152" s="257">
        <f>IF(AW$7="Actual","",IFERROR((INDEX($M152:$Q152,,MATCH(AW$4,$M$4:$Q$4,0))),0))</f>
        <v/>
      </c>
      <c r="AX152" s="257">
        <f>IF(AX$7="Actual","",IFERROR((INDEX($M152:$Q152,,MATCH(AX$4,$M$4:$Q$4,0))),0))</f>
        <v/>
      </c>
      <c r="AY152" s="257">
        <f>IF(AY$7="Actual","",IFERROR((INDEX($M152:$Q152,,MATCH(AY$4,$M$4:$Q$4,0))),0))</f>
        <v/>
      </c>
      <c r="AZ152" s="257">
        <f>IF(AZ$7="Actual","",IFERROR((INDEX($M152:$Q152,,MATCH(AZ$4,$M$4:$Q$4,0))),0))</f>
        <v/>
      </c>
      <c r="BA152" s="257">
        <f>IF(BA$7="Actual","",IFERROR((INDEX($M152:$Q152,,MATCH(BA$4,$M$4:$Q$4,0))),0))</f>
        <v/>
      </c>
      <c r="BB152" s="257">
        <f>IF(BB$7="Actual","",IFERROR((INDEX($M152:$Q152,,MATCH(BB$4,$M$4:$Q$4,0))),0))</f>
        <v/>
      </c>
      <c r="BC152" s="257">
        <f>IF(BC$7="Actual","",IFERROR((INDEX($M152:$Q152,,MATCH(BC$4,$M$4:$Q$4,0))),0))</f>
        <v/>
      </c>
      <c r="BD152" s="257">
        <f>IF(BD$7="Actual","",IFERROR((INDEX($M152:$Q152,,MATCH(BD$4,$M$4:$Q$4,0))),0))</f>
        <v/>
      </c>
      <c r="BE152" s="257">
        <f>IF(BE$7="Actual","",IFERROR((INDEX($M152:$Q152,,MATCH(BE$4,$M$4:$Q$4,0))),0))</f>
        <v/>
      </c>
      <c r="BF152" s="257">
        <f>IF(BF$7="Actual","",IFERROR((INDEX($M152:$Q152,,MATCH(BF$4,$M$4:$Q$4,0))),0))</f>
        <v/>
      </c>
      <c r="BG152" s="257">
        <f>IF(BG$7="Actual","",IFERROR((INDEX($M152:$Q152,,MATCH(BG$4,$M$4:$Q$4,0))),0))</f>
        <v/>
      </c>
      <c r="BH152" s="257">
        <f>IF(BH$7="Actual","",IFERROR((INDEX($M152:$Q152,,MATCH(BH$4,$M$4:$Q$4,0))),0))</f>
        <v/>
      </c>
      <c r="BI152" s="257">
        <f>IF(BI$7="Actual","",IFERROR((INDEX($M152:$Q152,,MATCH(BI$4,$M$4:$Q$4,0))),0))</f>
        <v/>
      </c>
      <c r="BJ152" s="257">
        <f>IF(BJ$7="Actual","",IFERROR((INDEX($M152:$Q152,,MATCH(BJ$4,$M$4:$Q$4,0))),0))</f>
        <v/>
      </c>
      <c r="BK152" s="257">
        <f>IF(BK$7="Actual","",IFERROR((INDEX($M152:$Q152,,MATCH(BK$4,$M$4:$Q$4,0))),0))</f>
        <v/>
      </c>
      <c r="BL152" s="257">
        <f>IF(BL$7="Actual","",IFERROR((INDEX($M152:$Q152,,MATCH(BL$4,$M$4:$Q$4,0))),0))</f>
        <v/>
      </c>
      <c r="BM152" s="257">
        <f>IF(BM$7="Actual","",IFERROR((INDEX($M152:$Q152,,MATCH(BM$4,$M$4:$Q$4,0))),0))</f>
        <v/>
      </c>
      <c r="BN152" s="257">
        <f>IF(BN$7="Actual","",IFERROR((INDEX($M152:$Q152,,MATCH(BN$4,$M$4:$Q$4,0))),0))</f>
        <v/>
      </c>
      <c r="BO152" s="257">
        <f>IF(BO$7="Actual","",IFERROR((INDEX($M152:$Q152,,MATCH(BO$4,$M$4:$Q$4,0))),0))</f>
        <v/>
      </c>
      <c r="BP152" s="257">
        <f>IF(BP$7="Actual","",IFERROR((INDEX($M152:$Q152,,MATCH(BP$4,$M$4:$Q$4,0))),0))</f>
        <v/>
      </c>
      <c r="BQ152" s="257">
        <f>IF(BQ$7="Actual","",IFERROR((INDEX($M152:$Q152,,MATCH(BQ$4,$M$4:$Q$4,0))),0))</f>
        <v/>
      </c>
      <c r="BR152" s="257">
        <f>IF(BR$7="Actual","",IFERROR((INDEX($M152:$Q152,,MATCH(BR$4,$M$4:$Q$4,0))),0))</f>
        <v/>
      </c>
      <c r="BS152" s="257">
        <f>IF(BS$7="Actual","",IFERROR((INDEX($M152:$Q152,,MATCH(BS$4,$M$4:$Q$4,0))),0))</f>
        <v/>
      </c>
      <c r="BT152" s="257">
        <f>IF(BT$7="Actual","",IFERROR((INDEX($M152:$Q152,,MATCH(BT$4,$M$4:$Q$4,0))),0))</f>
        <v/>
      </c>
      <c r="BU152" s="257">
        <f>IF(BU$7="Actual","",IFERROR((INDEX($M152:$Q152,,MATCH(BU$4,$M$4:$Q$4,0))),0))</f>
        <v/>
      </c>
      <c r="BV152" s="257">
        <f>IF(BV$7="Actual","",IFERROR((INDEX($M152:$Q152,,MATCH(BV$4,$M$4:$Q$4,0))),0))</f>
        <v/>
      </c>
      <c r="BW152" s="257">
        <f>IF(BW$7="Actual","",IFERROR((INDEX($M152:$Q152,,MATCH(BW$4,$M$4:$Q$4,0))),0))</f>
        <v/>
      </c>
      <c r="BX152" s="257">
        <f>IF(BX$7="Actual","",IFERROR((INDEX($M152:$Q152,,MATCH(BX$4,$M$4:$Q$4,0))),0))</f>
        <v/>
      </c>
      <c r="BY152" s="257">
        <f>IF(BY$7="Actual","",IFERROR((INDEX($M152:$Q152,,MATCH(BY$4,$M$4:$Q$4,0))),0))</f>
        <v/>
      </c>
      <c r="BZ152" s="257">
        <f>IF(BZ$7="Actual","",IFERROR((INDEX($M152:$Q152,,MATCH(BZ$4,$M$4:$Q$4,0))),0))</f>
        <v/>
      </c>
      <c r="CA152" s="257">
        <f>IF(CA$7="Actual","",IFERROR((INDEX($M152:$Q152,,MATCH(CA$4,$M$4:$Q$4,0))),0))</f>
        <v/>
      </c>
    </row>
    <row r="153" ht="12" customHeight="1" s="227">
      <c r="A153" s="244" t="n"/>
      <c r="B153" s="244" t="n"/>
      <c r="C153" s="244" t="n"/>
      <c r="H153" s="0">
        <f>H143</f>
        <v/>
      </c>
      <c r="I153" s="27">
        <f>i_Setup!$M$16</f>
        <v/>
      </c>
      <c r="K153" s="6" t="n"/>
      <c r="M153" s="257">
        <f>IF(M$7="Actual","",i_Assumptions!M236)</f>
        <v/>
      </c>
      <c r="N153" s="257">
        <f>IF(N$7="Actual","",i_Assumptions!N236)</f>
        <v/>
      </c>
      <c r="O153" s="257">
        <f>IF(O$7="Actual","",i_Assumptions!O236)</f>
        <v/>
      </c>
      <c r="P153" s="257">
        <f>IF(P$7="Actual","",i_Assumptions!P236)</f>
        <v/>
      </c>
      <c r="Q153" s="257">
        <f>IF(Q$7="Actual","",i_Assumptions!Q236)</f>
        <v/>
      </c>
      <c r="T153" s="257">
        <f>IF(T$7="Actual","",IFERROR((INDEX($M153:$Q153,,MATCH(T$4,$M$4:$Q$4,0))),0))</f>
        <v/>
      </c>
      <c r="U153" s="257">
        <f>IF(U$7="Actual","",IFERROR((INDEX($M153:$Q153,,MATCH(U$4,$M$4:$Q$4,0))),0))</f>
        <v/>
      </c>
      <c r="V153" s="257">
        <f>IF(V$7="Actual","",IFERROR((INDEX($M153:$Q153,,MATCH(V$4,$M$4:$Q$4,0))),0))</f>
        <v/>
      </c>
      <c r="W153" s="257">
        <f>IF(W$7="Actual","",IFERROR((INDEX($M153:$Q153,,MATCH(W$4,$M$4:$Q$4,0))),0))</f>
        <v/>
      </c>
      <c r="X153" s="257">
        <f>IF(X$7="Actual","",IFERROR((INDEX($M153:$Q153,,MATCH(X$4,$M$4:$Q$4,0))),0))</f>
        <v/>
      </c>
      <c r="Y153" s="257">
        <f>IF(Y$7="Actual","",IFERROR((INDEX($M153:$Q153,,MATCH(Y$4,$M$4:$Q$4,0))),0))</f>
        <v/>
      </c>
      <c r="Z153" s="257">
        <f>IF(Z$7="Actual","",IFERROR((INDEX($M153:$Q153,,MATCH(Z$4,$M$4:$Q$4,0))),0))</f>
        <v/>
      </c>
      <c r="AA153" s="257">
        <f>IF(AA$7="Actual","",IFERROR((INDEX($M153:$Q153,,MATCH(AA$4,$M$4:$Q$4,0))),0))</f>
        <v/>
      </c>
      <c r="AB153" s="257">
        <f>IF(AB$7="Actual","",IFERROR((INDEX($M153:$Q153,,MATCH(AB$4,$M$4:$Q$4,0))),0))</f>
        <v/>
      </c>
      <c r="AC153" s="257">
        <f>IF(AC$7="Actual","",IFERROR((INDEX($M153:$Q153,,MATCH(AC$4,$M$4:$Q$4,0))),0))</f>
        <v/>
      </c>
      <c r="AD153" s="257">
        <f>IF(AD$7="Actual","",IFERROR((INDEX($M153:$Q153,,MATCH(AD$4,$M$4:$Q$4,0))),0))</f>
        <v/>
      </c>
      <c r="AE153" s="257">
        <f>IF(AE$7="Actual","",IFERROR((INDEX($M153:$Q153,,MATCH(AE$4,$M$4:$Q$4,0))),0))</f>
        <v/>
      </c>
      <c r="AF153" s="257">
        <f>IF(AF$7="Actual","",IFERROR((INDEX($M153:$Q153,,MATCH(AF$4,$M$4:$Q$4,0))),0))</f>
        <v/>
      </c>
      <c r="AG153" s="257">
        <f>IF(AG$7="Actual","",IFERROR((INDEX($M153:$Q153,,MATCH(AG$4,$M$4:$Q$4,0))),0))</f>
        <v/>
      </c>
      <c r="AH153" s="257">
        <f>IF(AH$7="Actual","",IFERROR((INDEX($M153:$Q153,,MATCH(AH$4,$M$4:$Q$4,0))),0))</f>
        <v/>
      </c>
      <c r="AI153" s="257">
        <f>IF(AI$7="Actual","",IFERROR((INDEX($M153:$Q153,,MATCH(AI$4,$M$4:$Q$4,0))),0))</f>
        <v/>
      </c>
      <c r="AJ153" s="257">
        <f>IF(AJ$7="Actual","",IFERROR((INDEX($M153:$Q153,,MATCH(AJ$4,$M$4:$Q$4,0))),0))</f>
        <v/>
      </c>
      <c r="AK153" s="257">
        <f>IF(AK$7="Actual","",IFERROR((INDEX($M153:$Q153,,MATCH(AK$4,$M$4:$Q$4,0))),0))</f>
        <v/>
      </c>
      <c r="AL153" s="257">
        <f>IF(AL$7="Actual","",IFERROR((INDEX($M153:$Q153,,MATCH(AL$4,$M$4:$Q$4,0))),0))</f>
        <v/>
      </c>
      <c r="AM153" s="257">
        <f>IF(AM$7="Actual","",IFERROR((INDEX($M153:$Q153,,MATCH(AM$4,$M$4:$Q$4,0))),0))</f>
        <v/>
      </c>
      <c r="AN153" s="257">
        <f>IF(AN$7="Actual","",IFERROR((INDEX($M153:$Q153,,MATCH(AN$4,$M$4:$Q$4,0))),0))</f>
        <v/>
      </c>
      <c r="AO153" s="257">
        <f>IF(AO$7="Actual","",IFERROR((INDEX($M153:$Q153,,MATCH(AO$4,$M$4:$Q$4,0))),0))</f>
        <v/>
      </c>
      <c r="AP153" s="257">
        <f>IF(AP$7="Actual","",IFERROR((INDEX($M153:$Q153,,MATCH(AP$4,$M$4:$Q$4,0))),0))</f>
        <v/>
      </c>
      <c r="AQ153" s="257">
        <f>IF(AQ$7="Actual","",IFERROR((INDEX($M153:$Q153,,MATCH(AQ$4,$M$4:$Q$4,0))),0))</f>
        <v/>
      </c>
      <c r="AR153" s="257">
        <f>IF(AR$7="Actual","",IFERROR((INDEX($M153:$Q153,,MATCH(AR$4,$M$4:$Q$4,0))),0))</f>
        <v/>
      </c>
      <c r="AS153" s="257">
        <f>IF(AS$7="Actual","",IFERROR((INDEX($M153:$Q153,,MATCH(AS$4,$M$4:$Q$4,0))),0))</f>
        <v/>
      </c>
      <c r="AT153" s="257">
        <f>IF(AT$7="Actual","",IFERROR((INDEX($M153:$Q153,,MATCH(AT$4,$M$4:$Q$4,0))),0))</f>
        <v/>
      </c>
      <c r="AU153" s="257">
        <f>IF(AU$7="Actual","",IFERROR((INDEX($M153:$Q153,,MATCH(AU$4,$M$4:$Q$4,0))),0))</f>
        <v/>
      </c>
      <c r="AV153" s="257">
        <f>IF(AV$7="Actual","",IFERROR((INDEX($M153:$Q153,,MATCH(AV$4,$M$4:$Q$4,0))),0))</f>
        <v/>
      </c>
      <c r="AW153" s="257">
        <f>IF(AW$7="Actual","",IFERROR((INDEX($M153:$Q153,,MATCH(AW$4,$M$4:$Q$4,0))),0))</f>
        <v/>
      </c>
      <c r="AX153" s="257">
        <f>IF(AX$7="Actual","",IFERROR((INDEX($M153:$Q153,,MATCH(AX$4,$M$4:$Q$4,0))),0))</f>
        <v/>
      </c>
      <c r="AY153" s="257">
        <f>IF(AY$7="Actual","",IFERROR((INDEX($M153:$Q153,,MATCH(AY$4,$M$4:$Q$4,0))),0))</f>
        <v/>
      </c>
      <c r="AZ153" s="257">
        <f>IF(AZ$7="Actual","",IFERROR((INDEX($M153:$Q153,,MATCH(AZ$4,$M$4:$Q$4,0))),0))</f>
        <v/>
      </c>
      <c r="BA153" s="257">
        <f>IF(BA$7="Actual","",IFERROR((INDEX($M153:$Q153,,MATCH(BA$4,$M$4:$Q$4,0))),0))</f>
        <v/>
      </c>
      <c r="BB153" s="257">
        <f>IF(BB$7="Actual","",IFERROR((INDEX($M153:$Q153,,MATCH(BB$4,$M$4:$Q$4,0))),0))</f>
        <v/>
      </c>
      <c r="BC153" s="257">
        <f>IF(BC$7="Actual","",IFERROR((INDEX($M153:$Q153,,MATCH(BC$4,$M$4:$Q$4,0))),0))</f>
        <v/>
      </c>
      <c r="BD153" s="257">
        <f>IF(BD$7="Actual","",IFERROR((INDEX($M153:$Q153,,MATCH(BD$4,$M$4:$Q$4,0))),0))</f>
        <v/>
      </c>
      <c r="BE153" s="257">
        <f>IF(BE$7="Actual","",IFERROR((INDEX($M153:$Q153,,MATCH(BE$4,$M$4:$Q$4,0))),0))</f>
        <v/>
      </c>
      <c r="BF153" s="257">
        <f>IF(BF$7="Actual","",IFERROR((INDEX($M153:$Q153,,MATCH(BF$4,$M$4:$Q$4,0))),0))</f>
        <v/>
      </c>
      <c r="BG153" s="257">
        <f>IF(BG$7="Actual","",IFERROR((INDEX($M153:$Q153,,MATCH(BG$4,$M$4:$Q$4,0))),0))</f>
        <v/>
      </c>
      <c r="BH153" s="257">
        <f>IF(BH$7="Actual","",IFERROR((INDEX($M153:$Q153,,MATCH(BH$4,$M$4:$Q$4,0))),0))</f>
        <v/>
      </c>
      <c r="BI153" s="257">
        <f>IF(BI$7="Actual","",IFERROR((INDEX($M153:$Q153,,MATCH(BI$4,$M$4:$Q$4,0))),0))</f>
        <v/>
      </c>
      <c r="BJ153" s="257">
        <f>IF(BJ$7="Actual","",IFERROR((INDEX($M153:$Q153,,MATCH(BJ$4,$M$4:$Q$4,0))),0))</f>
        <v/>
      </c>
      <c r="BK153" s="257">
        <f>IF(BK$7="Actual","",IFERROR((INDEX($M153:$Q153,,MATCH(BK$4,$M$4:$Q$4,0))),0))</f>
        <v/>
      </c>
      <c r="BL153" s="257">
        <f>IF(BL$7="Actual","",IFERROR((INDEX($M153:$Q153,,MATCH(BL$4,$M$4:$Q$4,0))),0))</f>
        <v/>
      </c>
      <c r="BM153" s="257">
        <f>IF(BM$7="Actual","",IFERROR((INDEX($M153:$Q153,,MATCH(BM$4,$M$4:$Q$4,0))),0))</f>
        <v/>
      </c>
      <c r="BN153" s="257">
        <f>IF(BN$7="Actual","",IFERROR((INDEX($M153:$Q153,,MATCH(BN$4,$M$4:$Q$4,0))),0))</f>
        <v/>
      </c>
      <c r="BO153" s="257">
        <f>IF(BO$7="Actual","",IFERROR((INDEX($M153:$Q153,,MATCH(BO$4,$M$4:$Q$4,0))),0))</f>
        <v/>
      </c>
      <c r="BP153" s="257">
        <f>IF(BP$7="Actual","",IFERROR((INDEX($M153:$Q153,,MATCH(BP$4,$M$4:$Q$4,0))),0))</f>
        <v/>
      </c>
      <c r="BQ153" s="257">
        <f>IF(BQ$7="Actual","",IFERROR((INDEX($M153:$Q153,,MATCH(BQ$4,$M$4:$Q$4,0))),0))</f>
        <v/>
      </c>
      <c r="BR153" s="257">
        <f>IF(BR$7="Actual","",IFERROR((INDEX($M153:$Q153,,MATCH(BR$4,$M$4:$Q$4,0))),0))</f>
        <v/>
      </c>
      <c r="BS153" s="257">
        <f>IF(BS$7="Actual","",IFERROR((INDEX($M153:$Q153,,MATCH(BS$4,$M$4:$Q$4,0))),0))</f>
        <v/>
      </c>
      <c r="BT153" s="257">
        <f>IF(BT$7="Actual","",IFERROR((INDEX($M153:$Q153,,MATCH(BT$4,$M$4:$Q$4,0))),0))</f>
        <v/>
      </c>
      <c r="BU153" s="257">
        <f>IF(BU$7="Actual","",IFERROR((INDEX($M153:$Q153,,MATCH(BU$4,$M$4:$Q$4,0))),0))</f>
        <v/>
      </c>
      <c r="BV153" s="257">
        <f>IF(BV$7="Actual","",IFERROR((INDEX($M153:$Q153,,MATCH(BV$4,$M$4:$Q$4,0))),0))</f>
        <v/>
      </c>
      <c r="BW153" s="257">
        <f>IF(BW$7="Actual","",IFERROR((INDEX($M153:$Q153,,MATCH(BW$4,$M$4:$Q$4,0))),0))</f>
        <v/>
      </c>
      <c r="BX153" s="257">
        <f>IF(BX$7="Actual","",IFERROR((INDEX($M153:$Q153,,MATCH(BX$4,$M$4:$Q$4,0))),0))</f>
        <v/>
      </c>
      <c r="BY153" s="257">
        <f>IF(BY$7="Actual","",IFERROR((INDEX($M153:$Q153,,MATCH(BY$4,$M$4:$Q$4,0))),0))</f>
        <v/>
      </c>
      <c r="BZ153" s="257">
        <f>IF(BZ$7="Actual","",IFERROR((INDEX($M153:$Q153,,MATCH(BZ$4,$M$4:$Q$4,0))),0))</f>
        <v/>
      </c>
      <c r="CA153" s="257">
        <f>IF(CA$7="Actual","",IFERROR((INDEX($M153:$Q153,,MATCH(CA$4,$M$4:$Q$4,0))),0))</f>
        <v/>
      </c>
    </row>
    <row r="154" ht="12" customHeight="1" s="227">
      <c r="A154" s="244" t="n"/>
      <c r="B154" s="244" t="n"/>
      <c r="C154" s="244" t="n"/>
      <c r="H154" s="0">
        <f>H144</f>
        <v/>
      </c>
      <c r="I154" s="27">
        <f>i_Setup!$M$16</f>
        <v/>
      </c>
      <c r="K154" s="6" t="n"/>
      <c r="M154" s="257">
        <f>IF(M$7="Actual","",i_Assumptions!M237)</f>
        <v/>
      </c>
      <c r="N154" s="257">
        <f>IF(N$7="Actual","",i_Assumptions!N237)</f>
        <v/>
      </c>
      <c r="O154" s="257">
        <f>IF(O$7="Actual","",i_Assumptions!O237)</f>
        <v/>
      </c>
      <c r="P154" s="257">
        <f>IF(P$7="Actual","",i_Assumptions!P237)</f>
        <v/>
      </c>
      <c r="Q154" s="257">
        <f>IF(Q$7="Actual","",i_Assumptions!Q237)</f>
        <v/>
      </c>
      <c r="T154" s="257">
        <f>IF(T$7="Actual","",IFERROR((INDEX($M154:$Q154,,MATCH(T$4,$M$4:$Q$4,0))),0))</f>
        <v/>
      </c>
      <c r="U154" s="257">
        <f>IF(U$7="Actual","",IFERROR((INDEX($M154:$Q154,,MATCH(U$4,$M$4:$Q$4,0))),0))</f>
        <v/>
      </c>
      <c r="V154" s="257">
        <f>IF(V$7="Actual","",IFERROR((INDEX($M154:$Q154,,MATCH(V$4,$M$4:$Q$4,0))),0))</f>
        <v/>
      </c>
      <c r="W154" s="257">
        <f>IF(W$7="Actual","",IFERROR((INDEX($M154:$Q154,,MATCH(W$4,$M$4:$Q$4,0))),0))</f>
        <v/>
      </c>
      <c r="X154" s="257">
        <f>IF(X$7="Actual","",IFERROR((INDEX($M154:$Q154,,MATCH(X$4,$M$4:$Q$4,0))),0))</f>
        <v/>
      </c>
      <c r="Y154" s="257">
        <f>IF(Y$7="Actual","",IFERROR((INDEX($M154:$Q154,,MATCH(Y$4,$M$4:$Q$4,0))),0))</f>
        <v/>
      </c>
      <c r="Z154" s="257">
        <f>IF(Z$7="Actual","",IFERROR((INDEX($M154:$Q154,,MATCH(Z$4,$M$4:$Q$4,0))),0))</f>
        <v/>
      </c>
      <c r="AA154" s="257">
        <f>IF(AA$7="Actual","",IFERROR((INDEX($M154:$Q154,,MATCH(AA$4,$M$4:$Q$4,0))),0))</f>
        <v/>
      </c>
      <c r="AB154" s="257">
        <f>IF(AB$7="Actual","",IFERROR((INDEX($M154:$Q154,,MATCH(AB$4,$M$4:$Q$4,0))),0))</f>
        <v/>
      </c>
      <c r="AC154" s="257">
        <f>IF(AC$7="Actual","",IFERROR((INDEX($M154:$Q154,,MATCH(AC$4,$M$4:$Q$4,0))),0))</f>
        <v/>
      </c>
      <c r="AD154" s="257">
        <f>IF(AD$7="Actual","",IFERROR((INDEX($M154:$Q154,,MATCH(AD$4,$M$4:$Q$4,0))),0))</f>
        <v/>
      </c>
      <c r="AE154" s="257">
        <f>IF(AE$7="Actual","",IFERROR((INDEX($M154:$Q154,,MATCH(AE$4,$M$4:$Q$4,0))),0))</f>
        <v/>
      </c>
      <c r="AF154" s="257">
        <f>IF(AF$7="Actual","",IFERROR((INDEX($M154:$Q154,,MATCH(AF$4,$M$4:$Q$4,0))),0))</f>
        <v/>
      </c>
      <c r="AG154" s="257">
        <f>IF(AG$7="Actual","",IFERROR((INDEX($M154:$Q154,,MATCH(AG$4,$M$4:$Q$4,0))),0))</f>
        <v/>
      </c>
      <c r="AH154" s="257">
        <f>IF(AH$7="Actual","",IFERROR((INDEX($M154:$Q154,,MATCH(AH$4,$M$4:$Q$4,0))),0))</f>
        <v/>
      </c>
      <c r="AI154" s="257">
        <f>IF(AI$7="Actual","",IFERROR((INDEX($M154:$Q154,,MATCH(AI$4,$M$4:$Q$4,0))),0))</f>
        <v/>
      </c>
      <c r="AJ154" s="257">
        <f>IF(AJ$7="Actual","",IFERROR((INDEX($M154:$Q154,,MATCH(AJ$4,$M$4:$Q$4,0))),0))</f>
        <v/>
      </c>
      <c r="AK154" s="257">
        <f>IF(AK$7="Actual","",IFERROR((INDEX($M154:$Q154,,MATCH(AK$4,$M$4:$Q$4,0))),0))</f>
        <v/>
      </c>
      <c r="AL154" s="257">
        <f>IF(AL$7="Actual","",IFERROR((INDEX($M154:$Q154,,MATCH(AL$4,$M$4:$Q$4,0))),0))</f>
        <v/>
      </c>
      <c r="AM154" s="257">
        <f>IF(AM$7="Actual","",IFERROR((INDEX($M154:$Q154,,MATCH(AM$4,$M$4:$Q$4,0))),0))</f>
        <v/>
      </c>
      <c r="AN154" s="257">
        <f>IF(AN$7="Actual","",IFERROR((INDEX($M154:$Q154,,MATCH(AN$4,$M$4:$Q$4,0))),0))</f>
        <v/>
      </c>
      <c r="AO154" s="257">
        <f>IF(AO$7="Actual","",IFERROR((INDEX($M154:$Q154,,MATCH(AO$4,$M$4:$Q$4,0))),0))</f>
        <v/>
      </c>
      <c r="AP154" s="257">
        <f>IF(AP$7="Actual","",IFERROR((INDEX($M154:$Q154,,MATCH(AP$4,$M$4:$Q$4,0))),0))</f>
        <v/>
      </c>
      <c r="AQ154" s="257">
        <f>IF(AQ$7="Actual","",IFERROR((INDEX($M154:$Q154,,MATCH(AQ$4,$M$4:$Q$4,0))),0))</f>
        <v/>
      </c>
      <c r="AR154" s="257">
        <f>IF(AR$7="Actual","",IFERROR((INDEX($M154:$Q154,,MATCH(AR$4,$M$4:$Q$4,0))),0))</f>
        <v/>
      </c>
      <c r="AS154" s="257">
        <f>IF(AS$7="Actual","",IFERROR((INDEX($M154:$Q154,,MATCH(AS$4,$M$4:$Q$4,0))),0))</f>
        <v/>
      </c>
      <c r="AT154" s="257">
        <f>IF(AT$7="Actual","",IFERROR((INDEX($M154:$Q154,,MATCH(AT$4,$M$4:$Q$4,0))),0))</f>
        <v/>
      </c>
      <c r="AU154" s="257">
        <f>IF(AU$7="Actual","",IFERROR((INDEX($M154:$Q154,,MATCH(AU$4,$M$4:$Q$4,0))),0))</f>
        <v/>
      </c>
      <c r="AV154" s="257">
        <f>IF(AV$7="Actual","",IFERROR((INDEX($M154:$Q154,,MATCH(AV$4,$M$4:$Q$4,0))),0))</f>
        <v/>
      </c>
      <c r="AW154" s="257">
        <f>IF(AW$7="Actual","",IFERROR((INDEX($M154:$Q154,,MATCH(AW$4,$M$4:$Q$4,0))),0))</f>
        <v/>
      </c>
      <c r="AX154" s="257">
        <f>IF(AX$7="Actual","",IFERROR((INDEX($M154:$Q154,,MATCH(AX$4,$M$4:$Q$4,0))),0))</f>
        <v/>
      </c>
      <c r="AY154" s="257">
        <f>IF(AY$7="Actual","",IFERROR((INDEX($M154:$Q154,,MATCH(AY$4,$M$4:$Q$4,0))),0))</f>
        <v/>
      </c>
      <c r="AZ154" s="257">
        <f>IF(AZ$7="Actual","",IFERROR((INDEX($M154:$Q154,,MATCH(AZ$4,$M$4:$Q$4,0))),0))</f>
        <v/>
      </c>
      <c r="BA154" s="257">
        <f>IF(BA$7="Actual","",IFERROR((INDEX($M154:$Q154,,MATCH(BA$4,$M$4:$Q$4,0))),0))</f>
        <v/>
      </c>
      <c r="BB154" s="257">
        <f>IF(BB$7="Actual","",IFERROR((INDEX($M154:$Q154,,MATCH(BB$4,$M$4:$Q$4,0))),0))</f>
        <v/>
      </c>
      <c r="BC154" s="257">
        <f>IF(BC$7="Actual","",IFERROR((INDEX($M154:$Q154,,MATCH(BC$4,$M$4:$Q$4,0))),0))</f>
        <v/>
      </c>
      <c r="BD154" s="257">
        <f>IF(BD$7="Actual","",IFERROR((INDEX($M154:$Q154,,MATCH(BD$4,$M$4:$Q$4,0))),0))</f>
        <v/>
      </c>
      <c r="BE154" s="257">
        <f>IF(BE$7="Actual","",IFERROR((INDEX($M154:$Q154,,MATCH(BE$4,$M$4:$Q$4,0))),0))</f>
        <v/>
      </c>
      <c r="BF154" s="257">
        <f>IF(BF$7="Actual","",IFERROR((INDEX($M154:$Q154,,MATCH(BF$4,$M$4:$Q$4,0))),0))</f>
        <v/>
      </c>
      <c r="BG154" s="257">
        <f>IF(BG$7="Actual","",IFERROR((INDEX($M154:$Q154,,MATCH(BG$4,$M$4:$Q$4,0))),0))</f>
        <v/>
      </c>
      <c r="BH154" s="257">
        <f>IF(BH$7="Actual","",IFERROR((INDEX($M154:$Q154,,MATCH(BH$4,$M$4:$Q$4,0))),0))</f>
        <v/>
      </c>
      <c r="BI154" s="257">
        <f>IF(BI$7="Actual","",IFERROR((INDEX($M154:$Q154,,MATCH(BI$4,$M$4:$Q$4,0))),0))</f>
        <v/>
      </c>
      <c r="BJ154" s="257">
        <f>IF(BJ$7="Actual","",IFERROR((INDEX($M154:$Q154,,MATCH(BJ$4,$M$4:$Q$4,0))),0))</f>
        <v/>
      </c>
      <c r="BK154" s="257">
        <f>IF(BK$7="Actual","",IFERROR((INDEX($M154:$Q154,,MATCH(BK$4,$M$4:$Q$4,0))),0))</f>
        <v/>
      </c>
      <c r="BL154" s="257">
        <f>IF(BL$7="Actual","",IFERROR((INDEX($M154:$Q154,,MATCH(BL$4,$M$4:$Q$4,0))),0))</f>
        <v/>
      </c>
      <c r="BM154" s="257">
        <f>IF(BM$7="Actual","",IFERROR((INDEX($M154:$Q154,,MATCH(BM$4,$M$4:$Q$4,0))),0))</f>
        <v/>
      </c>
      <c r="BN154" s="257">
        <f>IF(BN$7="Actual","",IFERROR((INDEX($M154:$Q154,,MATCH(BN$4,$M$4:$Q$4,0))),0))</f>
        <v/>
      </c>
      <c r="BO154" s="257">
        <f>IF(BO$7="Actual","",IFERROR((INDEX($M154:$Q154,,MATCH(BO$4,$M$4:$Q$4,0))),0))</f>
        <v/>
      </c>
      <c r="BP154" s="257">
        <f>IF(BP$7="Actual","",IFERROR((INDEX($M154:$Q154,,MATCH(BP$4,$M$4:$Q$4,0))),0))</f>
        <v/>
      </c>
      <c r="BQ154" s="257">
        <f>IF(BQ$7="Actual","",IFERROR((INDEX($M154:$Q154,,MATCH(BQ$4,$M$4:$Q$4,0))),0))</f>
        <v/>
      </c>
      <c r="BR154" s="257">
        <f>IF(BR$7="Actual","",IFERROR((INDEX($M154:$Q154,,MATCH(BR$4,$M$4:$Q$4,0))),0))</f>
        <v/>
      </c>
      <c r="BS154" s="257">
        <f>IF(BS$7="Actual","",IFERROR((INDEX($M154:$Q154,,MATCH(BS$4,$M$4:$Q$4,0))),0))</f>
        <v/>
      </c>
      <c r="BT154" s="257">
        <f>IF(BT$7="Actual","",IFERROR((INDEX($M154:$Q154,,MATCH(BT$4,$M$4:$Q$4,0))),0))</f>
        <v/>
      </c>
      <c r="BU154" s="257">
        <f>IF(BU$7="Actual","",IFERROR((INDEX($M154:$Q154,,MATCH(BU$4,$M$4:$Q$4,0))),0))</f>
        <v/>
      </c>
      <c r="BV154" s="257">
        <f>IF(BV$7="Actual","",IFERROR((INDEX($M154:$Q154,,MATCH(BV$4,$M$4:$Q$4,0))),0))</f>
        <v/>
      </c>
      <c r="BW154" s="257">
        <f>IF(BW$7="Actual","",IFERROR((INDEX($M154:$Q154,,MATCH(BW$4,$M$4:$Q$4,0))),0))</f>
        <v/>
      </c>
      <c r="BX154" s="257">
        <f>IF(BX$7="Actual","",IFERROR((INDEX($M154:$Q154,,MATCH(BX$4,$M$4:$Q$4,0))),0))</f>
        <v/>
      </c>
      <c r="BY154" s="257">
        <f>IF(BY$7="Actual","",IFERROR((INDEX($M154:$Q154,,MATCH(BY$4,$M$4:$Q$4,0))),0))</f>
        <v/>
      </c>
      <c r="BZ154" s="257">
        <f>IF(BZ$7="Actual","",IFERROR((INDEX($M154:$Q154,,MATCH(BZ$4,$M$4:$Q$4,0))),0))</f>
        <v/>
      </c>
      <c r="CA154" s="257">
        <f>IF(CA$7="Actual","",IFERROR((INDEX($M154:$Q154,,MATCH(CA$4,$M$4:$Q$4,0))),0))</f>
        <v/>
      </c>
    </row>
    <row r="155" ht="12" customHeight="1" s="227">
      <c r="A155" s="244" t="n"/>
      <c r="B155" s="244" t="n"/>
      <c r="C155" s="244" t="n"/>
      <c r="H155" s="0">
        <f>H145</f>
        <v/>
      </c>
      <c r="I155" s="27">
        <f>i_Setup!$M$16</f>
        <v/>
      </c>
      <c r="K155" s="6" t="n"/>
      <c r="M155" s="257">
        <f>IF(M$7="Actual","",i_Assumptions!M238)</f>
        <v/>
      </c>
      <c r="N155" s="257">
        <f>IF(N$7="Actual","",i_Assumptions!N238)</f>
        <v/>
      </c>
      <c r="O155" s="257">
        <f>IF(O$7="Actual","",i_Assumptions!O238)</f>
        <v/>
      </c>
      <c r="P155" s="257">
        <f>IF(P$7="Actual","",i_Assumptions!P238)</f>
        <v/>
      </c>
      <c r="Q155" s="257">
        <f>IF(Q$7="Actual","",i_Assumptions!Q238)</f>
        <v/>
      </c>
      <c r="T155" s="257">
        <f>IF(T$7="Actual","",IFERROR((INDEX($M155:$Q155,,MATCH(T$4,$M$4:$Q$4,0))),0))</f>
        <v/>
      </c>
      <c r="U155" s="257">
        <f>IF(U$7="Actual","",IFERROR((INDEX($M155:$Q155,,MATCH(U$4,$M$4:$Q$4,0))),0))</f>
        <v/>
      </c>
      <c r="V155" s="257">
        <f>IF(V$7="Actual","",IFERROR((INDEX($M155:$Q155,,MATCH(V$4,$M$4:$Q$4,0))),0))</f>
        <v/>
      </c>
      <c r="W155" s="257">
        <f>IF(W$7="Actual","",IFERROR((INDEX($M155:$Q155,,MATCH(W$4,$M$4:$Q$4,0))),0))</f>
        <v/>
      </c>
      <c r="X155" s="257">
        <f>IF(X$7="Actual","",IFERROR((INDEX($M155:$Q155,,MATCH(X$4,$M$4:$Q$4,0))),0))</f>
        <v/>
      </c>
      <c r="Y155" s="257">
        <f>IF(Y$7="Actual","",IFERROR((INDEX($M155:$Q155,,MATCH(Y$4,$M$4:$Q$4,0))),0))</f>
        <v/>
      </c>
      <c r="Z155" s="257">
        <f>IF(Z$7="Actual","",IFERROR((INDEX($M155:$Q155,,MATCH(Z$4,$M$4:$Q$4,0))),0))</f>
        <v/>
      </c>
      <c r="AA155" s="257">
        <f>IF(AA$7="Actual","",IFERROR((INDEX($M155:$Q155,,MATCH(AA$4,$M$4:$Q$4,0))),0))</f>
        <v/>
      </c>
      <c r="AB155" s="257">
        <f>IF(AB$7="Actual","",IFERROR((INDEX($M155:$Q155,,MATCH(AB$4,$M$4:$Q$4,0))),0))</f>
        <v/>
      </c>
      <c r="AC155" s="257">
        <f>IF(AC$7="Actual","",IFERROR((INDEX($M155:$Q155,,MATCH(AC$4,$M$4:$Q$4,0))),0))</f>
        <v/>
      </c>
      <c r="AD155" s="257">
        <f>IF(AD$7="Actual","",IFERROR((INDEX($M155:$Q155,,MATCH(AD$4,$M$4:$Q$4,0))),0))</f>
        <v/>
      </c>
      <c r="AE155" s="257">
        <f>IF(AE$7="Actual","",IFERROR((INDEX($M155:$Q155,,MATCH(AE$4,$M$4:$Q$4,0))),0))</f>
        <v/>
      </c>
      <c r="AF155" s="257">
        <f>IF(AF$7="Actual","",IFERROR((INDEX($M155:$Q155,,MATCH(AF$4,$M$4:$Q$4,0))),0))</f>
        <v/>
      </c>
      <c r="AG155" s="257">
        <f>IF(AG$7="Actual","",IFERROR((INDEX($M155:$Q155,,MATCH(AG$4,$M$4:$Q$4,0))),0))</f>
        <v/>
      </c>
      <c r="AH155" s="257">
        <f>IF(AH$7="Actual","",IFERROR((INDEX($M155:$Q155,,MATCH(AH$4,$M$4:$Q$4,0))),0))</f>
        <v/>
      </c>
      <c r="AI155" s="257">
        <f>IF(AI$7="Actual","",IFERROR((INDEX($M155:$Q155,,MATCH(AI$4,$M$4:$Q$4,0))),0))</f>
        <v/>
      </c>
      <c r="AJ155" s="257">
        <f>IF(AJ$7="Actual","",IFERROR((INDEX($M155:$Q155,,MATCH(AJ$4,$M$4:$Q$4,0))),0))</f>
        <v/>
      </c>
      <c r="AK155" s="257">
        <f>IF(AK$7="Actual","",IFERROR((INDEX($M155:$Q155,,MATCH(AK$4,$M$4:$Q$4,0))),0))</f>
        <v/>
      </c>
      <c r="AL155" s="257">
        <f>IF(AL$7="Actual","",IFERROR((INDEX($M155:$Q155,,MATCH(AL$4,$M$4:$Q$4,0))),0))</f>
        <v/>
      </c>
      <c r="AM155" s="257">
        <f>IF(AM$7="Actual","",IFERROR((INDEX($M155:$Q155,,MATCH(AM$4,$M$4:$Q$4,0))),0))</f>
        <v/>
      </c>
      <c r="AN155" s="257">
        <f>IF(AN$7="Actual","",IFERROR((INDEX($M155:$Q155,,MATCH(AN$4,$M$4:$Q$4,0))),0))</f>
        <v/>
      </c>
      <c r="AO155" s="257">
        <f>IF(AO$7="Actual","",IFERROR((INDEX($M155:$Q155,,MATCH(AO$4,$M$4:$Q$4,0))),0))</f>
        <v/>
      </c>
      <c r="AP155" s="257">
        <f>IF(AP$7="Actual","",IFERROR((INDEX($M155:$Q155,,MATCH(AP$4,$M$4:$Q$4,0))),0))</f>
        <v/>
      </c>
      <c r="AQ155" s="257">
        <f>IF(AQ$7="Actual","",IFERROR((INDEX($M155:$Q155,,MATCH(AQ$4,$M$4:$Q$4,0))),0))</f>
        <v/>
      </c>
      <c r="AR155" s="257">
        <f>IF(AR$7="Actual","",IFERROR((INDEX($M155:$Q155,,MATCH(AR$4,$M$4:$Q$4,0))),0))</f>
        <v/>
      </c>
      <c r="AS155" s="257">
        <f>IF(AS$7="Actual","",IFERROR((INDEX($M155:$Q155,,MATCH(AS$4,$M$4:$Q$4,0))),0))</f>
        <v/>
      </c>
      <c r="AT155" s="257">
        <f>IF(AT$7="Actual","",IFERROR((INDEX($M155:$Q155,,MATCH(AT$4,$M$4:$Q$4,0))),0))</f>
        <v/>
      </c>
      <c r="AU155" s="257">
        <f>IF(AU$7="Actual","",IFERROR((INDEX($M155:$Q155,,MATCH(AU$4,$M$4:$Q$4,0))),0))</f>
        <v/>
      </c>
      <c r="AV155" s="257">
        <f>IF(AV$7="Actual","",IFERROR((INDEX($M155:$Q155,,MATCH(AV$4,$M$4:$Q$4,0))),0))</f>
        <v/>
      </c>
      <c r="AW155" s="257">
        <f>IF(AW$7="Actual","",IFERROR((INDEX($M155:$Q155,,MATCH(AW$4,$M$4:$Q$4,0))),0))</f>
        <v/>
      </c>
      <c r="AX155" s="257">
        <f>IF(AX$7="Actual","",IFERROR((INDEX($M155:$Q155,,MATCH(AX$4,$M$4:$Q$4,0))),0))</f>
        <v/>
      </c>
      <c r="AY155" s="257">
        <f>IF(AY$7="Actual","",IFERROR((INDEX($M155:$Q155,,MATCH(AY$4,$M$4:$Q$4,0))),0))</f>
        <v/>
      </c>
      <c r="AZ155" s="257">
        <f>IF(AZ$7="Actual","",IFERROR((INDEX($M155:$Q155,,MATCH(AZ$4,$M$4:$Q$4,0))),0))</f>
        <v/>
      </c>
      <c r="BA155" s="257">
        <f>IF(BA$7="Actual","",IFERROR((INDEX($M155:$Q155,,MATCH(BA$4,$M$4:$Q$4,0))),0))</f>
        <v/>
      </c>
      <c r="BB155" s="257">
        <f>IF(BB$7="Actual","",IFERROR((INDEX($M155:$Q155,,MATCH(BB$4,$M$4:$Q$4,0))),0))</f>
        <v/>
      </c>
      <c r="BC155" s="257">
        <f>IF(BC$7="Actual","",IFERROR((INDEX($M155:$Q155,,MATCH(BC$4,$M$4:$Q$4,0))),0))</f>
        <v/>
      </c>
      <c r="BD155" s="257">
        <f>IF(BD$7="Actual","",IFERROR((INDEX($M155:$Q155,,MATCH(BD$4,$M$4:$Q$4,0))),0))</f>
        <v/>
      </c>
      <c r="BE155" s="257">
        <f>IF(BE$7="Actual","",IFERROR((INDEX($M155:$Q155,,MATCH(BE$4,$M$4:$Q$4,0))),0))</f>
        <v/>
      </c>
      <c r="BF155" s="257">
        <f>IF(BF$7="Actual","",IFERROR((INDEX($M155:$Q155,,MATCH(BF$4,$M$4:$Q$4,0))),0))</f>
        <v/>
      </c>
      <c r="BG155" s="257">
        <f>IF(BG$7="Actual","",IFERROR((INDEX($M155:$Q155,,MATCH(BG$4,$M$4:$Q$4,0))),0))</f>
        <v/>
      </c>
      <c r="BH155" s="257">
        <f>IF(BH$7="Actual","",IFERROR((INDEX($M155:$Q155,,MATCH(BH$4,$M$4:$Q$4,0))),0))</f>
        <v/>
      </c>
      <c r="BI155" s="257">
        <f>IF(BI$7="Actual","",IFERROR((INDEX($M155:$Q155,,MATCH(BI$4,$M$4:$Q$4,0))),0))</f>
        <v/>
      </c>
      <c r="BJ155" s="257">
        <f>IF(BJ$7="Actual","",IFERROR((INDEX($M155:$Q155,,MATCH(BJ$4,$M$4:$Q$4,0))),0))</f>
        <v/>
      </c>
      <c r="BK155" s="257">
        <f>IF(BK$7="Actual","",IFERROR((INDEX($M155:$Q155,,MATCH(BK$4,$M$4:$Q$4,0))),0))</f>
        <v/>
      </c>
      <c r="BL155" s="257">
        <f>IF(BL$7="Actual","",IFERROR((INDEX($M155:$Q155,,MATCH(BL$4,$M$4:$Q$4,0))),0))</f>
        <v/>
      </c>
      <c r="BM155" s="257">
        <f>IF(BM$7="Actual","",IFERROR((INDEX($M155:$Q155,,MATCH(BM$4,$M$4:$Q$4,0))),0))</f>
        <v/>
      </c>
      <c r="BN155" s="257">
        <f>IF(BN$7="Actual","",IFERROR((INDEX($M155:$Q155,,MATCH(BN$4,$M$4:$Q$4,0))),0))</f>
        <v/>
      </c>
      <c r="BO155" s="257">
        <f>IF(BO$7="Actual","",IFERROR((INDEX($M155:$Q155,,MATCH(BO$4,$M$4:$Q$4,0))),0))</f>
        <v/>
      </c>
      <c r="BP155" s="257">
        <f>IF(BP$7="Actual","",IFERROR((INDEX($M155:$Q155,,MATCH(BP$4,$M$4:$Q$4,0))),0))</f>
        <v/>
      </c>
      <c r="BQ155" s="257">
        <f>IF(BQ$7="Actual","",IFERROR((INDEX($M155:$Q155,,MATCH(BQ$4,$M$4:$Q$4,0))),0))</f>
        <v/>
      </c>
      <c r="BR155" s="257">
        <f>IF(BR$7="Actual","",IFERROR((INDEX($M155:$Q155,,MATCH(BR$4,$M$4:$Q$4,0))),0))</f>
        <v/>
      </c>
      <c r="BS155" s="257">
        <f>IF(BS$7="Actual","",IFERROR((INDEX($M155:$Q155,,MATCH(BS$4,$M$4:$Q$4,0))),0))</f>
        <v/>
      </c>
      <c r="BT155" s="257">
        <f>IF(BT$7="Actual","",IFERROR((INDEX($M155:$Q155,,MATCH(BT$4,$M$4:$Q$4,0))),0))</f>
        <v/>
      </c>
      <c r="BU155" s="257">
        <f>IF(BU$7="Actual","",IFERROR((INDEX($M155:$Q155,,MATCH(BU$4,$M$4:$Q$4,0))),0))</f>
        <v/>
      </c>
      <c r="BV155" s="257">
        <f>IF(BV$7="Actual","",IFERROR((INDEX($M155:$Q155,,MATCH(BV$4,$M$4:$Q$4,0))),0))</f>
        <v/>
      </c>
      <c r="BW155" s="257">
        <f>IF(BW$7="Actual","",IFERROR((INDEX($M155:$Q155,,MATCH(BW$4,$M$4:$Q$4,0))),0))</f>
        <v/>
      </c>
      <c r="BX155" s="257">
        <f>IF(BX$7="Actual","",IFERROR((INDEX($M155:$Q155,,MATCH(BX$4,$M$4:$Q$4,0))),0))</f>
        <v/>
      </c>
      <c r="BY155" s="257">
        <f>IF(BY$7="Actual","",IFERROR((INDEX($M155:$Q155,,MATCH(BY$4,$M$4:$Q$4,0))),0))</f>
        <v/>
      </c>
      <c r="BZ155" s="257">
        <f>IF(BZ$7="Actual","",IFERROR((INDEX($M155:$Q155,,MATCH(BZ$4,$M$4:$Q$4,0))),0))</f>
        <v/>
      </c>
      <c r="CA155" s="257">
        <f>IF(CA$7="Actual","",IFERROR((INDEX($M155:$Q155,,MATCH(CA$4,$M$4:$Q$4,0))),0))</f>
        <v/>
      </c>
    </row>
    <row r="156" ht="12" customHeight="1" s="227">
      <c r="A156" s="244" t="n"/>
      <c r="B156" s="244" t="n"/>
      <c r="C156" s="244" t="n"/>
      <c r="H156" s="0">
        <f>H146</f>
        <v/>
      </c>
      <c r="I156" s="27">
        <f>i_Setup!$M$16</f>
        <v/>
      </c>
      <c r="K156" s="6" t="n"/>
      <c r="M156" s="257">
        <f>IF(M$7="Actual","",i_Assumptions!M239)</f>
        <v/>
      </c>
      <c r="N156" s="257">
        <f>IF(N$7="Actual","",i_Assumptions!N239)</f>
        <v/>
      </c>
      <c r="O156" s="257">
        <f>IF(O$7="Actual","",i_Assumptions!O239)</f>
        <v/>
      </c>
      <c r="P156" s="257">
        <f>IF(P$7="Actual","",i_Assumptions!P239)</f>
        <v/>
      </c>
      <c r="Q156" s="257">
        <f>IF(Q$7="Actual","",i_Assumptions!Q239)</f>
        <v/>
      </c>
      <c r="T156" s="257">
        <f>IF(T$7="Actual","",IFERROR((INDEX($M156:$Q156,,MATCH(T$4,$M$4:$Q$4,0))),0))</f>
        <v/>
      </c>
      <c r="U156" s="257">
        <f>IF(U$7="Actual","",IFERROR((INDEX($M156:$Q156,,MATCH(U$4,$M$4:$Q$4,0))),0))</f>
        <v/>
      </c>
      <c r="V156" s="257">
        <f>IF(V$7="Actual","",IFERROR((INDEX($M156:$Q156,,MATCH(V$4,$M$4:$Q$4,0))),0))</f>
        <v/>
      </c>
      <c r="W156" s="257">
        <f>IF(W$7="Actual","",IFERROR((INDEX($M156:$Q156,,MATCH(W$4,$M$4:$Q$4,0))),0))</f>
        <v/>
      </c>
      <c r="X156" s="257">
        <f>IF(X$7="Actual","",IFERROR((INDEX($M156:$Q156,,MATCH(X$4,$M$4:$Q$4,0))),0))</f>
        <v/>
      </c>
      <c r="Y156" s="257">
        <f>IF(Y$7="Actual","",IFERROR((INDEX($M156:$Q156,,MATCH(Y$4,$M$4:$Q$4,0))),0))</f>
        <v/>
      </c>
      <c r="Z156" s="257">
        <f>IF(Z$7="Actual","",IFERROR((INDEX($M156:$Q156,,MATCH(Z$4,$M$4:$Q$4,0))),0))</f>
        <v/>
      </c>
      <c r="AA156" s="257">
        <f>IF(AA$7="Actual","",IFERROR((INDEX($M156:$Q156,,MATCH(AA$4,$M$4:$Q$4,0))),0))</f>
        <v/>
      </c>
      <c r="AB156" s="257">
        <f>IF(AB$7="Actual","",IFERROR((INDEX($M156:$Q156,,MATCH(AB$4,$M$4:$Q$4,0))),0))</f>
        <v/>
      </c>
      <c r="AC156" s="257">
        <f>IF(AC$7="Actual","",IFERROR((INDEX($M156:$Q156,,MATCH(AC$4,$M$4:$Q$4,0))),0))</f>
        <v/>
      </c>
      <c r="AD156" s="257">
        <f>IF(AD$7="Actual","",IFERROR((INDEX($M156:$Q156,,MATCH(AD$4,$M$4:$Q$4,0))),0))</f>
        <v/>
      </c>
      <c r="AE156" s="257">
        <f>IF(AE$7="Actual","",IFERROR((INDEX($M156:$Q156,,MATCH(AE$4,$M$4:$Q$4,0))),0))</f>
        <v/>
      </c>
      <c r="AF156" s="257">
        <f>IF(AF$7="Actual","",IFERROR((INDEX($M156:$Q156,,MATCH(AF$4,$M$4:$Q$4,0))),0))</f>
        <v/>
      </c>
      <c r="AG156" s="257">
        <f>IF(AG$7="Actual","",IFERROR((INDEX($M156:$Q156,,MATCH(AG$4,$M$4:$Q$4,0))),0))</f>
        <v/>
      </c>
      <c r="AH156" s="257">
        <f>IF(AH$7="Actual","",IFERROR((INDEX($M156:$Q156,,MATCH(AH$4,$M$4:$Q$4,0))),0))</f>
        <v/>
      </c>
      <c r="AI156" s="257">
        <f>IF(AI$7="Actual","",IFERROR((INDEX($M156:$Q156,,MATCH(AI$4,$M$4:$Q$4,0))),0))</f>
        <v/>
      </c>
      <c r="AJ156" s="257">
        <f>IF(AJ$7="Actual","",IFERROR((INDEX($M156:$Q156,,MATCH(AJ$4,$M$4:$Q$4,0))),0))</f>
        <v/>
      </c>
      <c r="AK156" s="257">
        <f>IF(AK$7="Actual","",IFERROR((INDEX($M156:$Q156,,MATCH(AK$4,$M$4:$Q$4,0))),0))</f>
        <v/>
      </c>
      <c r="AL156" s="257">
        <f>IF(AL$7="Actual","",IFERROR((INDEX($M156:$Q156,,MATCH(AL$4,$M$4:$Q$4,0))),0))</f>
        <v/>
      </c>
      <c r="AM156" s="257">
        <f>IF(AM$7="Actual","",IFERROR((INDEX($M156:$Q156,,MATCH(AM$4,$M$4:$Q$4,0))),0))</f>
        <v/>
      </c>
      <c r="AN156" s="257">
        <f>IF(AN$7="Actual","",IFERROR((INDEX($M156:$Q156,,MATCH(AN$4,$M$4:$Q$4,0))),0))</f>
        <v/>
      </c>
      <c r="AO156" s="257">
        <f>IF(AO$7="Actual","",IFERROR((INDEX($M156:$Q156,,MATCH(AO$4,$M$4:$Q$4,0))),0))</f>
        <v/>
      </c>
      <c r="AP156" s="257">
        <f>IF(AP$7="Actual","",IFERROR((INDEX($M156:$Q156,,MATCH(AP$4,$M$4:$Q$4,0))),0))</f>
        <v/>
      </c>
      <c r="AQ156" s="257">
        <f>IF(AQ$7="Actual","",IFERROR((INDEX($M156:$Q156,,MATCH(AQ$4,$M$4:$Q$4,0))),0))</f>
        <v/>
      </c>
      <c r="AR156" s="257">
        <f>IF(AR$7="Actual","",IFERROR((INDEX($M156:$Q156,,MATCH(AR$4,$M$4:$Q$4,0))),0))</f>
        <v/>
      </c>
      <c r="AS156" s="257">
        <f>IF(AS$7="Actual","",IFERROR((INDEX($M156:$Q156,,MATCH(AS$4,$M$4:$Q$4,0))),0))</f>
        <v/>
      </c>
      <c r="AT156" s="257">
        <f>IF(AT$7="Actual","",IFERROR((INDEX($M156:$Q156,,MATCH(AT$4,$M$4:$Q$4,0))),0))</f>
        <v/>
      </c>
      <c r="AU156" s="257">
        <f>IF(AU$7="Actual","",IFERROR((INDEX($M156:$Q156,,MATCH(AU$4,$M$4:$Q$4,0))),0))</f>
        <v/>
      </c>
      <c r="AV156" s="257">
        <f>IF(AV$7="Actual","",IFERROR((INDEX($M156:$Q156,,MATCH(AV$4,$M$4:$Q$4,0))),0))</f>
        <v/>
      </c>
      <c r="AW156" s="257">
        <f>IF(AW$7="Actual","",IFERROR((INDEX($M156:$Q156,,MATCH(AW$4,$M$4:$Q$4,0))),0))</f>
        <v/>
      </c>
      <c r="AX156" s="257">
        <f>IF(AX$7="Actual","",IFERROR((INDEX($M156:$Q156,,MATCH(AX$4,$M$4:$Q$4,0))),0))</f>
        <v/>
      </c>
      <c r="AY156" s="257">
        <f>IF(AY$7="Actual","",IFERROR((INDEX($M156:$Q156,,MATCH(AY$4,$M$4:$Q$4,0))),0))</f>
        <v/>
      </c>
      <c r="AZ156" s="257">
        <f>IF(AZ$7="Actual","",IFERROR((INDEX($M156:$Q156,,MATCH(AZ$4,$M$4:$Q$4,0))),0))</f>
        <v/>
      </c>
      <c r="BA156" s="257">
        <f>IF(BA$7="Actual","",IFERROR((INDEX($M156:$Q156,,MATCH(BA$4,$M$4:$Q$4,0))),0))</f>
        <v/>
      </c>
      <c r="BB156" s="257">
        <f>IF(BB$7="Actual","",IFERROR((INDEX($M156:$Q156,,MATCH(BB$4,$M$4:$Q$4,0))),0))</f>
        <v/>
      </c>
      <c r="BC156" s="257">
        <f>IF(BC$7="Actual","",IFERROR((INDEX($M156:$Q156,,MATCH(BC$4,$M$4:$Q$4,0))),0))</f>
        <v/>
      </c>
      <c r="BD156" s="257">
        <f>IF(BD$7="Actual","",IFERROR((INDEX($M156:$Q156,,MATCH(BD$4,$M$4:$Q$4,0))),0))</f>
        <v/>
      </c>
      <c r="BE156" s="257">
        <f>IF(BE$7="Actual","",IFERROR((INDEX($M156:$Q156,,MATCH(BE$4,$M$4:$Q$4,0))),0))</f>
        <v/>
      </c>
      <c r="BF156" s="257">
        <f>IF(BF$7="Actual","",IFERROR((INDEX($M156:$Q156,,MATCH(BF$4,$M$4:$Q$4,0))),0))</f>
        <v/>
      </c>
      <c r="BG156" s="257">
        <f>IF(BG$7="Actual","",IFERROR((INDEX($M156:$Q156,,MATCH(BG$4,$M$4:$Q$4,0))),0))</f>
        <v/>
      </c>
      <c r="BH156" s="257">
        <f>IF(BH$7="Actual","",IFERROR((INDEX($M156:$Q156,,MATCH(BH$4,$M$4:$Q$4,0))),0))</f>
        <v/>
      </c>
      <c r="BI156" s="257">
        <f>IF(BI$7="Actual","",IFERROR((INDEX($M156:$Q156,,MATCH(BI$4,$M$4:$Q$4,0))),0))</f>
        <v/>
      </c>
      <c r="BJ156" s="257">
        <f>IF(BJ$7="Actual","",IFERROR((INDEX($M156:$Q156,,MATCH(BJ$4,$M$4:$Q$4,0))),0))</f>
        <v/>
      </c>
      <c r="BK156" s="257">
        <f>IF(BK$7="Actual","",IFERROR((INDEX($M156:$Q156,,MATCH(BK$4,$M$4:$Q$4,0))),0))</f>
        <v/>
      </c>
      <c r="BL156" s="257">
        <f>IF(BL$7="Actual","",IFERROR((INDEX($M156:$Q156,,MATCH(BL$4,$M$4:$Q$4,0))),0))</f>
        <v/>
      </c>
      <c r="BM156" s="257">
        <f>IF(BM$7="Actual","",IFERROR((INDEX($M156:$Q156,,MATCH(BM$4,$M$4:$Q$4,0))),0))</f>
        <v/>
      </c>
      <c r="BN156" s="257">
        <f>IF(BN$7="Actual","",IFERROR((INDEX($M156:$Q156,,MATCH(BN$4,$M$4:$Q$4,0))),0))</f>
        <v/>
      </c>
      <c r="BO156" s="257">
        <f>IF(BO$7="Actual","",IFERROR((INDEX($M156:$Q156,,MATCH(BO$4,$M$4:$Q$4,0))),0))</f>
        <v/>
      </c>
      <c r="BP156" s="257">
        <f>IF(BP$7="Actual","",IFERROR((INDEX($M156:$Q156,,MATCH(BP$4,$M$4:$Q$4,0))),0))</f>
        <v/>
      </c>
      <c r="BQ156" s="257">
        <f>IF(BQ$7="Actual","",IFERROR((INDEX($M156:$Q156,,MATCH(BQ$4,$M$4:$Q$4,0))),0))</f>
        <v/>
      </c>
      <c r="BR156" s="257">
        <f>IF(BR$7="Actual","",IFERROR((INDEX($M156:$Q156,,MATCH(BR$4,$M$4:$Q$4,0))),0))</f>
        <v/>
      </c>
      <c r="BS156" s="257">
        <f>IF(BS$7="Actual","",IFERROR((INDEX($M156:$Q156,,MATCH(BS$4,$M$4:$Q$4,0))),0))</f>
        <v/>
      </c>
      <c r="BT156" s="257">
        <f>IF(BT$7="Actual","",IFERROR((INDEX($M156:$Q156,,MATCH(BT$4,$M$4:$Q$4,0))),0))</f>
        <v/>
      </c>
      <c r="BU156" s="257">
        <f>IF(BU$7="Actual","",IFERROR((INDEX($M156:$Q156,,MATCH(BU$4,$M$4:$Q$4,0))),0))</f>
        <v/>
      </c>
      <c r="BV156" s="257">
        <f>IF(BV$7="Actual","",IFERROR((INDEX($M156:$Q156,,MATCH(BV$4,$M$4:$Q$4,0))),0))</f>
        <v/>
      </c>
      <c r="BW156" s="257">
        <f>IF(BW$7="Actual","",IFERROR((INDEX($M156:$Q156,,MATCH(BW$4,$M$4:$Q$4,0))),0))</f>
        <v/>
      </c>
      <c r="BX156" s="257">
        <f>IF(BX$7="Actual","",IFERROR((INDEX($M156:$Q156,,MATCH(BX$4,$M$4:$Q$4,0))),0))</f>
        <v/>
      </c>
      <c r="BY156" s="257">
        <f>IF(BY$7="Actual","",IFERROR((INDEX($M156:$Q156,,MATCH(BY$4,$M$4:$Q$4,0))),0))</f>
        <v/>
      </c>
      <c r="BZ156" s="257">
        <f>IF(BZ$7="Actual","",IFERROR((INDEX($M156:$Q156,,MATCH(BZ$4,$M$4:$Q$4,0))),0))</f>
        <v/>
      </c>
      <c r="CA156" s="257">
        <f>IF(CA$7="Actual","",IFERROR((INDEX($M156:$Q156,,MATCH(CA$4,$M$4:$Q$4,0))),0))</f>
        <v/>
      </c>
    </row>
    <row r="157" ht="12" customHeight="1" s="227">
      <c r="A157" s="244" t="n"/>
      <c r="B157" s="244" t="n"/>
      <c r="C157" s="244" t="n"/>
      <c r="H157" s="0">
        <f>H147</f>
        <v/>
      </c>
      <c r="I157" s="27">
        <f>i_Setup!$M$16</f>
        <v/>
      </c>
      <c r="K157" s="6" t="n"/>
      <c r="M157" s="257">
        <f>IF(M$7="Actual","",i_Assumptions!M240)</f>
        <v/>
      </c>
      <c r="N157" s="257">
        <f>IF(N$7="Actual","",i_Assumptions!N240)</f>
        <v/>
      </c>
      <c r="O157" s="257">
        <f>IF(O$7="Actual","",i_Assumptions!O240)</f>
        <v/>
      </c>
      <c r="P157" s="257">
        <f>IF(P$7="Actual","",i_Assumptions!P240)</f>
        <v/>
      </c>
      <c r="Q157" s="257">
        <f>IF(Q$7="Actual","",i_Assumptions!Q240)</f>
        <v/>
      </c>
      <c r="T157" s="257">
        <f>IF(T$7="Actual","",IFERROR((INDEX($M157:$Q157,,MATCH(T$4,$M$4:$Q$4,0))),0))</f>
        <v/>
      </c>
      <c r="U157" s="257">
        <f>IF(U$7="Actual","",IFERROR((INDEX($M157:$Q157,,MATCH(U$4,$M$4:$Q$4,0))),0))</f>
        <v/>
      </c>
      <c r="V157" s="257">
        <f>IF(V$7="Actual","",IFERROR((INDEX($M157:$Q157,,MATCH(V$4,$M$4:$Q$4,0))),0))</f>
        <v/>
      </c>
      <c r="W157" s="257">
        <f>IF(W$7="Actual","",IFERROR((INDEX($M157:$Q157,,MATCH(W$4,$M$4:$Q$4,0))),0))</f>
        <v/>
      </c>
      <c r="X157" s="257">
        <f>IF(X$7="Actual","",IFERROR((INDEX($M157:$Q157,,MATCH(X$4,$M$4:$Q$4,0))),0))</f>
        <v/>
      </c>
      <c r="Y157" s="257">
        <f>IF(Y$7="Actual","",IFERROR((INDEX($M157:$Q157,,MATCH(Y$4,$M$4:$Q$4,0))),0))</f>
        <v/>
      </c>
      <c r="Z157" s="257">
        <f>IF(Z$7="Actual","",IFERROR((INDEX($M157:$Q157,,MATCH(Z$4,$M$4:$Q$4,0))),0))</f>
        <v/>
      </c>
      <c r="AA157" s="257">
        <f>IF(AA$7="Actual","",IFERROR((INDEX($M157:$Q157,,MATCH(AA$4,$M$4:$Q$4,0))),0))</f>
        <v/>
      </c>
      <c r="AB157" s="257">
        <f>IF(AB$7="Actual","",IFERROR((INDEX($M157:$Q157,,MATCH(AB$4,$M$4:$Q$4,0))),0))</f>
        <v/>
      </c>
      <c r="AC157" s="257">
        <f>IF(AC$7="Actual","",IFERROR((INDEX($M157:$Q157,,MATCH(AC$4,$M$4:$Q$4,0))),0))</f>
        <v/>
      </c>
      <c r="AD157" s="257">
        <f>IF(AD$7="Actual","",IFERROR((INDEX($M157:$Q157,,MATCH(AD$4,$M$4:$Q$4,0))),0))</f>
        <v/>
      </c>
      <c r="AE157" s="257">
        <f>IF(AE$7="Actual","",IFERROR((INDEX($M157:$Q157,,MATCH(AE$4,$M$4:$Q$4,0))),0))</f>
        <v/>
      </c>
      <c r="AF157" s="257">
        <f>IF(AF$7="Actual","",IFERROR((INDEX($M157:$Q157,,MATCH(AF$4,$M$4:$Q$4,0))),0))</f>
        <v/>
      </c>
      <c r="AG157" s="257">
        <f>IF(AG$7="Actual","",IFERROR((INDEX($M157:$Q157,,MATCH(AG$4,$M$4:$Q$4,0))),0))</f>
        <v/>
      </c>
      <c r="AH157" s="257">
        <f>IF(AH$7="Actual","",IFERROR((INDEX($M157:$Q157,,MATCH(AH$4,$M$4:$Q$4,0))),0))</f>
        <v/>
      </c>
      <c r="AI157" s="257">
        <f>IF(AI$7="Actual","",IFERROR((INDEX($M157:$Q157,,MATCH(AI$4,$M$4:$Q$4,0))),0))</f>
        <v/>
      </c>
      <c r="AJ157" s="257">
        <f>IF(AJ$7="Actual","",IFERROR((INDEX($M157:$Q157,,MATCH(AJ$4,$M$4:$Q$4,0))),0))</f>
        <v/>
      </c>
      <c r="AK157" s="257">
        <f>IF(AK$7="Actual","",IFERROR((INDEX($M157:$Q157,,MATCH(AK$4,$M$4:$Q$4,0))),0))</f>
        <v/>
      </c>
      <c r="AL157" s="257">
        <f>IF(AL$7="Actual","",IFERROR((INDEX($M157:$Q157,,MATCH(AL$4,$M$4:$Q$4,0))),0))</f>
        <v/>
      </c>
      <c r="AM157" s="257">
        <f>IF(AM$7="Actual","",IFERROR((INDEX($M157:$Q157,,MATCH(AM$4,$M$4:$Q$4,0))),0))</f>
        <v/>
      </c>
      <c r="AN157" s="257">
        <f>IF(AN$7="Actual","",IFERROR((INDEX($M157:$Q157,,MATCH(AN$4,$M$4:$Q$4,0))),0))</f>
        <v/>
      </c>
      <c r="AO157" s="257">
        <f>IF(AO$7="Actual","",IFERROR((INDEX($M157:$Q157,,MATCH(AO$4,$M$4:$Q$4,0))),0))</f>
        <v/>
      </c>
      <c r="AP157" s="257">
        <f>IF(AP$7="Actual","",IFERROR((INDEX($M157:$Q157,,MATCH(AP$4,$M$4:$Q$4,0))),0))</f>
        <v/>
      </c>
      <c r="AQ157" s="257">
        <f>IF(AQ$7="Actual","",IFERROR((INDEX($M157:$Q157,,MATCH(AQ$4,$M$4:$Q$4,0))),0))</f>
        <v/>
      </c>
      <c r="AR157" s="257">
        <f>IF(AR$7="Actual","",IFERROR((INDEX($M157:$Q157,,MATCH(AR$4,$M$4:$Q$4,0))),0))</f>
        <v/>
      </c>
      <c r="AS157" s="257">
        <f>IF(AS$7="Actual","",IFERROR((INDEX($M157:$Q157,,MATCH(AS$4,$M$4:$Q$4,0))),0))</f>
        <v/>
      </c>
      <c r="AT157" s="257">
        <f>IF(AT$7="Actual","",IFERROR((INDEX($M157:$Q157,,MATCH(AT$4,$M$4:$Q$4,0))),0))</f>
        <v/>
      </c>
      <c r="AU157" s="257">
        <f>IF(AU$7="Actual","",IFERROR((INDEX($M157:$Q157,,MATCH(AU$4,$M$4:$Q$4,0))),0))</f>
        <v/>
      </c>
      <c r="AV157" s="257">
        <f>IF(AV$7="Actual","",IFERROR((INDEX($M157:$Q157,,MATCH(AV$4,$M$4:$Q$4,0))),0))</f>
        <v/>
      </c>
      <c r="AW157" s="257">
        <f>IF(AW$7="Actual","",IFERROR((INDEX($M157:$Q157,,MATCH(AW$4,$M$4:$Q$4,0))),0))</f>
        <v/>
      </c>
      <c r="AX157" s="257">
        <f>IF(AX$7="Actual","",IFERROR((INDEX($M157:$Q157,,MATCH(AX$4,$M$4:$Q$4,0))),0))</f>
        <v/>
      </c>
      <c r="AY157" s="257">
        <f>IF(AY$7="Actual","",IFERROR((INDEX($M157:$Q157,,MATCH(AY$4,$M$4:$Q$4,0))),0))</f>
        <v/>
      </c>
      <c r="AZ157" s="257">
        <f>IF(AZ$7="Actual","",IFERROR((INDEX($M157:$Q157,,MATCH(AZ$4,$M$4:$Q$4,0))),0))</f>
        <v/>
      </c>
      <c r="BA157" s="257">
        <f>IF(BA$7="Actual","",IFERROR((INDEX($M157:$Q157,,MATCH(BA$4,$M$4:$Q$4,0))),0))</f>
        <v/>
      </c>
      <c r="BB157" s="257">
        <f>IF(BB$7="Actual","",IFERROR((INDEX($M157:$Q157,,MATCH(BB$4,$M$4:$Q$4,0))),0))</f>
        <v/>
      </c>
      <c r="BC157" s="257">
        <f>IF(BC$7="Actual","",IFERROR((INDEX($M157:$Q157,,MATCH(BC$4,$M$4:$Q$4,0))),0))</f>
        <v/>
      </c>
      <c r="BD157" s="257">
        <f>IF(BD$7="Actual","",IFERROR((INDEX($M157:$Q157,,MATCH(BD$4,$M$4:$Q$4,0))),0))</f>
        <v/>
      </c>
      <c r="BE157" s="257">
        <f>IF(BE$7="Actual","",IFERROR((INDEX($M157:$Q157,,MATCH(BE$4,$M$4:$Q$4,0))),0))</f>
        <v/>
      </c>
      <c r="BF157" s="257">
        <f>IF(BF$7="Actual","",IFERROR((INDEX($M157:$Q157,,MATCH(BF$4,$M$4:$Q$4,0))),0))</f>
        <v/>
      </c>
      <c r="BG157" s="257">
        <f>IF(BG$7="Actual","",IFERROR((INDEX($M157:$Q157,,MATCH(BG$4,$M$4:$Q$4,0))),0))</f>
        <v/>
      </c>
      <c r="BH157" s="257">
        <f>IF(BH$7="Actual","",IFERROR((INDEX($M157:$Q157,,MATCH(BH$4,$M$4:$Q$4,0))),0))</f>
        <v/>
      </c>
      <c r="BI157" s="257">
        <f>IF(BI$7="Actual","",IFERROR((INDEX($M157:$Q157,,MATCH(BI$4,$M$4:$Q$4,0))),0))</f>
        <v/>
      </c>
      <c r="BJ157" s="257">
        <f>IF(BJ$7="Actual","",IFERROR((INDEX($M157:$Q157,,MATCH(BJ$4,$M$4:$Q$4,0))),0))</f>
        <v/>
      </c>
      <c r="BK157" s="257">
        <f>IF(BK$7="Actual","",IFERROR((INDEX($M157:$Q157,,MATCH(BK$4,$M$4:$Q$4,0))),0))</f>
        <v/>
      </c>
      <c r="BL157" s="257">
        <f>IF(BL$7="Actual","",IFERROR((INDEX($M157:$Q157,,MATCH(BL$4,$M$4:$Q$4,0))),0))</f>
        <v/>
      </c>
      <c r="BM157" s="257">
        <f>IF(BM$7="Actual","",IFERROR((INDEX($M157:$Q157,,MATCH(BM$4,$M$4:$Q$4,0))),0))</f>
        <v/>
      </c>
      <c r="BN157" s="257">
        <f>IF(BN$7="Actual","",IFERROR((INDEX($M157:$Q157,,MATCH(BN$4,$M$4:$Q$4,0))),0))</f>
        <v/>
      </c>
      <c r="BO157" s="257">
        <f>IF(BO$7="Actual","",IFERROR((INDEX($M157:$Q157,,MATCH(BO$4,$M$4:$Q$4,0))),0))</f>
        <v/>
      </c>
      <c r="BP157" s="257">
        <f>IF(BP$7="Actual","",IFERROR((INDEX($M157:$Q157,,MATCH(BP$4,$M$4:$Q$4,0))),0))</f>
        <v/>
      </c>
      <c r="BQ157" s="257">
        <f>IF(BQ$7="Actual","",IFERROR((INDEX($M157:$Q157,,MATCH(BQ$4,$M$4:$Q$4,0))),0))</f>
        <v/>
      </c>
      <c r="BR157" s="257">
        <f>IF(BR$7="Actual","",IFERROR((INDEX($M157:$Q157,,MATCH(BR$4,$M$4:$Q$4,0))),0))</f>
        <v/>
      </c>
      <c r="BS157" s="257">
        <f>IF(BS$7="Actual","",IFERROR((INDEX($M157:$Q157,,MATCH(BS$4,$M$4:$Q$4,0))),0))</f>
        <v/>
      </c>
      <c r="BT157" s="257">
        <f>IF(BT$7="Actual","",IFERROR((INDEX($M157:$Q157,,MATCH(BT$4,$M$4:$Q$4,0))),0))</f>
        <v/>
      </c>
      <c r="BU157" s="257">
        <f>IF(BU$7="Actual","",IFERROR((INDEX($M157:$Q157,,MATCH(BU$4,$M$4:$Q$4,0))),0))</f>
        <v/>
      </c>
      <c r="BV157" s="257">
        <f>IF(BV$7="Actual","",IFERROR((INDEX($M157:$Q157,,MATCH(BV$4,$M$4:$Q$4,0))),0))</f>
        <v/>
      </c>
      <c r="BW157" s="257">
        <f>IF(BW$7="Actual","",IFERROR((INDEX($M157:$Q157,,MATCH(BW$4,$M$4:$Q$4,0))),0))</f>
        <v/>
      </c>
      <c r="BX157" s="257">
        <f>IF(BX$7="Actual","",IFERROR((INDEX($M157:$Q157,,MATCH(BX$4,$M$4:$Q$4,0))),0))</f>
        <v/>
      </c>
      <c r="BY157" s="257">
        <f>IF(BY$7="Actual","",IFERROR((INDEX($M157:$Q157,,MATCH(BY$4,$M$4:$Q$4,0))),0))</f>
        <v/>
      </c>
      <c r="BZ157" s="257">
        <f>IF(BZ$7="Actual","",IFERROR((INDEX($M157:$Q157,,MATCH(BZ$4,$M$4:$Q$4,0))),0))</f>
        <v/>
      </c>
      <c r="CA157" s="257">
        <f>IF(CA$7="Actual","",IFERROR((INDEX($M157:$Q157,,MATCH(CA$4,$M$4:$Q$4,0))),0))</f>
        <v/>
      </c>
    </row>
    <row r="158" ht="12" customHeight="1" s="227">
      <c r="A158" s="244" t="n"/>
      <c r="B158" s="244" t="n"/>
      <c r="C158" s="244" t="n"/>
      <c r="H158" s="0">
        <f>H148</f>
        <v/>
      </c>
      <c r="I158" s="27">
        <f>i_Setup!$M$16</f>
        <v/>
      </c>
      <c r="K158" s="6" t="n"/>
      <c r="M158" s="257">
        <f>IF(M$7="Actual","",i_Assumptions!M241)</f>
        <v/>
      </c>
      <c r="N158" s="257">
        <f>IF(N$7="Actual","",i_Assumptions!N241)</f>
        <v/>
      </c>
      <c r="O158" s="257">
        <f>IF(O$7="Actual","",i_Assumptions!O241)</f>
        <v/>
      </c>
      <c r="P158" s="257">
        <f>IF(P$7="Actual","",i_Assumptions!P241)</f>
        <v/>
      </c>
      <c r="Q158" s="257">
        <f>IF(Q$7="Actual","",i_Assumptions!Q241)</f>
        <v/>
      </c>
      <c r="T158" s="257">
        <f>IF(T$7="Actual","",IFERROR((INDEX($M158:$Q158,,MATCH(T$4,$M$4:$Q$4,0))),0))</f>
        <v/>
      </c>
      <c r="U158" s="257">
        <f>IF(U$7="Actual","",IFERROR((INDEX($M158:$Q158,,MATCH(U$4,$M$4:$Q$4,0))),0))</f>
        <v/>
      </c>
      <c r="V158" s="257">
        <f>IF(V$7="Actual","",IFERROR((INDEX($M158:$Q158,,MATCH(V$4,$M$4:$Q$4,0))),0))</f>
        <v/>
      </c>
      <c r="W158" s="257">
        <f>IF(W$7="Actual","",IFERROR((INDEX($M158:$Q158,,MATCH(W$4,$M$4:$Q$4,0))),0))</f>
        <v/>
      </c>
      <c r="X158" s="257">
        <f>IF(X$7="Actual","",IFERROR((INDEX($M158:$Q158,,MATCH(X$4,$M$4:$Q$4,0))),0))</f>
        <v/>
      </c>
      <c r="Y158" s="257">
        <f>IF(Y$7="Actual","",IFERROR((INDEX($M158:$Q158,,MATCH(Y$4,$M$4:$Q$4,0))),0))</f>
        <v/>
      </c>
      <c r="Z158" s="257">
        <f>IF(Z$7="Actual","",IFERROR((INDEX($M158:$Q158,,MATCH(Z$4,$M$4:$Q$4,0))),0))</f>
        <v/>
      </c>
      <c r="AA158" s="257">
        <f>IF(AA$7="Actual","",IFERROR((INDEX($M158:$Q158,,MATCH(AA$4,$M$4:$Q$4,0))),0))</f>
        <v/>
      </c>
      <c r="AB158" s="257">
        <f>IF(AB$7="Actual","",IFERROR((INDEX($M158:$Q158,,MATCH(AB$4,$M$4:$Q$4,0))),0))</f>
        <v/>
      </c>
      <c r="AC158" s="257">
        <f>IF(AC$7="Actual","",IFERROR((INDEX($M158:$Q158,,MATCH(AC$4,$M$4:$Q$4,0))),0))</f>
        <v/>
      </c>
      <c r="AD158" s="257">
        <f>IF(AD$7="Actual","",IFERROR((INDEX($M158:$Q158,,MATCH(AD$4,$M$4:$Q$4,0))),0))</f>
        <v/>
      </c>
      <c r="AE158" s="257">
        <f>IF(AE$7="Actual","",IFERROR((INDEX($M158:$Q158,,MATCH(AE$4,$M$4:$Q$4,0))),0))</f>
        <v/>
      </c>
      <c r="AF158" s="257">
        <f>IF(AF$7="Actual","",IFERROR((INDEX($M158:$Q158,,MATCH(AF$4,$M$4:$Q$4,0))),0))</f>
        <v/>
      </c>
      <c r="AG158" s="257">
        <f>IF(AG$7="Actual","",IFERROR((INDEX($M158:$Q158,,MATCH(AG$4,$M$4:$Q$4,0))),0))</f>
        <v/>
      </c>
      <c r="AH158" s="257">
        <f>IF(AH$7="Actual","",IFERROR((INDEX($M158:$Q158,,MATCH(AH$4,$M$4:$Q$4,0))),0))</f>
        <v/>
      </c>
      <c r="AI158" s="257">
        <f>IF(AI$7="Actual","",IFERROR((INDEX($M158:$Q158,,MATCH(AI$4,$M$4:$Q$4,0))),0))</f>
        <v/>
      </c>
      <c r="AJ158" s="257">
        <f>IF(AJ$7="Actual","",IFERROR((INDEX($M158:$Q158,,MATCH(AJ$4,$M$4:$Q$4,0))),0))</f>
        <v/>
      </c>
      <c r="AK158" s="257">
        <f>IF(AK$7="Actual","",IFERROR((INDEX($M158:$Q158,,MATCH(AK$4,$M$4:$Q$4,0))),0))</f>
        <v/>
      </c>
      <c r="AL158" s="257">
        <f>IF(AL$7="Actual","",IFERROR((INDEX($M158:$Q158,,MATCH(AL$4,$M$4:$Q$4,0))),0))</f>
        <v/>
      </c>
      <c r="AM158" s="257">
        <f>IF(AM$7="Actual","",IFERROR((INDEX($M158:$Q158,,MATCH(AM$4,$M$4:$Q$4,0))),0))</f>
        <v/>
      </c>
      <c r="AN158" s="257">
        <f>IF(AN$7="Actual","",IFERROR((INDEX($M158:$Q158,,MATCH(AN$4,$M$4:$Q$4,0))),0))</f>
        <v/>
      </c>
      <c r="AO158" s="257">
        <f>IF(AO$7="Actual","",IFERROR((INDEX($M158:$Q158,,MATCH(AO$4,$M$4:$Q$4,0))),0))</f>
        <v/>
      </c>
      <c r="AP158" s="257">
        <f>IF(AP$7="Actual","",IFERROR((INDEX($M158:$Q158,,MATCH(AP$4,$M$4:$Q$4,0))),0))</f>
        <v/>
      </c>
      <c r="AQ158" s="257">
        <f>IF(AQ$7="Actual","",IFERROR((INDEX($M158:$Q158,,MATCH(AQ$4,$M$4:$Q$4,0))),0))</f>
        <v/>
      </c>
      <c r="AR158" s="257">
        <f>IF(AR$7="Actual","",IFERROR((INDEX($M158:$Q158,,MATCH(AR$4,$M$4:$Q$4,0))),0))</f>
        <v/>
      </c>
      <c r="AS158" s="257">
        <f>IF(AS$7="Actual","",IFERROR((INDEX($M158:$Q158,,MATCH(AS$4,$M$4:$Q$4,0))),0))</f>
        <v/>
      </c>
      <c r="AT158" s="257">
        <f>IF(AT$7="Actual","",IFERROR((INDEX($M158:$Q158,,MATCH(AT$4,$M$4:$Q$4,0))),0))</f>
        <v/>
      </c>
      <c r="AU158" s="257">
        <f>IF(AU$7="Actual","",IFERROR((INDEX($M158:$Q158,,MATCH(AU$4,$M$4:$Q$4,0))),0))</f>
        <v/>
      </c>
      <c r="AV158" s="257">
        <f>IF(AV$7="Actual","",IFERROR((INDEX($M158:$Q158,,MATCH(AV$4,$M$4:$Q$4,0))),0))</f>
        <v/>
      </c>
      <c r="AW158" s="257">
        <f>IF(AW$7="Actual","",IFERROR((INDEX($M158:$Q158,,MATCH(AW$4,$M$4:$Q$4,0))),0))</f>
        <v/>
      </c>
      <c r="AX158" s="257">
        <f>IF(AX$7="Actual","",IFERROR((INDEX($M158:$Q158,,MATCH(AX$4,$M$4:$Q$4,0))),0))</f>
        <v/>
      </c>
      <c r="AY158" s="257">
        <f>IF(AY$7="Actual","",IFERROR((INDEX($M158:$Q158,,MATCH(AY$4,$M$4:$Q$4,0))),0))</f>
        <v/>
      </c>
      <c r="AZ158" s="257">
        <f>IF(AZ$7="Actual","",IFERROR((INDEX($M158:$Q158,,MATCH(AZ$4,$M$4:$Q$4,0))),0))</f>
        <v/>
      </c>
      <c r="BA158" s="257">
        <f>IF(BA$7="Actual","",IFERROR((INDEX($M158:$Q158,,MATCH(BA$4,$M$4:$Q$4,0))),0))</f>
        <v/>
      </c>
      <c r="BB158" s="257">
        <f>IF(BB$7="Actual","",IFERROR((INDEX($M158:$Q158,,MATCH(BB$4,$M$4:$Q$4,0))),0))</f>
        <v/>
      </c>
      <c r="BC158" s="257">
        <f>IF(BC$7="Actual","",IFERROR((INDEX($M158:$Q158,,MATCH(BC$4,$M$4:$Q$4,0))),0))</f>
        <v/>
      </c>
      <c r="BD158" s="257">
        <f>IF(BD$7="Actual","",IFERROR((INDEX($M158:$Q158,,MATCH(BD$4,$M$4:$Q$4,0))),0))</f>
        <v/>
      </c>
      <c r="BE158" s="257">
        <f>IF(BE$7="Actual","",IFERROR((INDEX($M158:$Q158,,MATCH(BE$4,$M$4:$Q$4,0))),0))</f>
        <v/>
      </c>
      <c r="BF158" s="257">
        <f>IF(BF$7="Actual","",IFERROR((INDEX($M158:$Q158,,MATCH(BF$4,$M$4:$Q$4,0))),0))</f>
        <v/>
      </c>
      <c r="BG158" s="257">
        <f>IF(BG$7="Actual","",IFERROR((INDEX($M158:$Q158,,MATCH(BG$4,$M$4:$Q$4,0))),0))</f>
        <v/>
      </c>
      <c r="BH158" s="257">
        <f>IF(BH$7="Actual","",IFERROR((INDEX($M158:$Q158,,MATCH(BH$4,$M$4:$Q$4,0))),0))</f>
        <v/>
      </c>
      <c r="BI158" s="257">
        <f>IF(BI$7="Actual","",IFERROR((INDEX($M158:$Q158,,MATCH(BI$4,$M$4:$Q$4,0))),0))</f>
        <v/>
      </c>
      <c r="BJ158" s="257">
        <f>IF(BJ$7="Actual","",IFERROR((INDEX($M158:$Q158,,MATCH(BJ$4,$M$4:$Q$4,0))),0))</f>
        <v/>
      </c>
      <c r="BK158" s="257">
        <f>IF(BK$7="Actual","",IFERROR((INDEX($M158:$Q158,,MATCH(BK$4,$M$4:$Q$4,0))),0))</f>
        <v/>
      </c>
      <c r="BL158" s="257">
        <f>IF(BL$7="Actual","",IFERROR((INDEX($M158:$Q158,,MATCH(BL$4,$M$4:$Q$4,0))),0))</f>
        <v/>
      </c>
      <c r="BM158" s="257">
        <f>IF(BM$7="Actual","",IFERROR((INDEX($M158:$Q158,,MATCH(BM$4,$M$4:$Q$4,0))),0))</f>
        <v/>
      </c>
      <c r="BN158" s="257">
        <f>IF(BN$7="Actual","",IFERROR((INDEX($M158:$Q158,,MATCH(BN$4,$M$4:$Q$4,0))),0))</f>
        <v/>
      </c>
      <c r="BO158" s="257">
        <f>IF(BO$7="Actual","",IFERROR((INDEX($M158:$Q158,,MATCH(BO$4,$M$4:$Q$4,0))),0))</f>
        <v/>
      </c>
      <c r="BP158" s="257">
        <f>IF(BP$7="Actual","",IFERROR((INDEX($M158:$Q158,,MATCH(BP$4,$M$4:$Q$4,0))),0))</f>
        <v/>
      </c>
      <c r="BQ158" s="257">
        <f>IF(BQ$7="Actual","",IFERROR((INDEX($M158:$Q158,,MATCH(BQ$4,$M$4:$Q$4,0))),0))</f>
        <v/>
      </c>
      <c r="BR158" s="257">
        <f>IF(BR$7="Actual","",IFERROR((INDEX($M158:$Q158,,MATCH(BR$4,$M$4:$Q$4,0))),0))</f>
        <v/>
      </c>
      <c r="BS158" s="257">
        <f>IF(BS$7="Actual","",IFERROR((INDEX($M158:$Q158,,MATCH(BS$4,$M$4:$Q$4,0))),0))</f>
        <v/>
      </c>
      <c r="BT158" s="257">
        <f>IF(BT$7="Actual","",IFERROR((INDEX($M158:$Q158,,MATCH(BT$4,$M$4:$Q$4,0))),0))</f>
        <v/>
      </c>
      <c r="BU158" s="257">
        <f>IF(BU$7="Actual","",IFERROR((INDEX($M158:$Q158,,MATCH(BU$4,$M$4:$Q$4,0))),0))</f>
        <v/>
      </c>
      <c r="BV158" s="257">
        <f>IF(BV$7="Actual","",IFERROR((INDEX($M158:$Q158,,MATCH(BV$4,$M$4:$Q$4,0))),0))</f>
        <v/>
      </c>
      <c r="BW158" s="257">
        <f>IF(BW$7="Actual","",IFERROR((INDEX($M158:$Q158,,MATCH(BW$4,$M$4:$Q$4,0))),0))</f>
        <v/>
      </c>
      <c r="BX158" s="257">
        <f>IF(BX$7="Actual","",IFERROR((INDEX($M158:$Q158,,MATCH(BX$4,$M$4:$Q$4,0))),0))</f>
        <v/>
      </c>
      <c r="BY158" s="257">
        <f>IF(BY$7="Actual","",IFERROR((INDEX($M158:$Q158,,MATCH(BY$4,$M$4:$Q$4,0))),0))</f>
        <v/>
      </c>
      <c r="BZ158" s="257">
        <f>IF(BZ$7="Actual","",IFERROR((INDEX($M158:$Q158,,MATCH(BZ$4,$M$4:$Q$4,0))),0))</f>
        <v/>
      </c>
      <c r="CA158" s="257">
        <f>IF(CA$7="Actual","",IFERROR((INDEX($M158:$Q158,,MATCH(CA$4,$M$4:$Q$4,0))),0))</f>
        <v/>
      </c>
    </row>
    <row r="159" ht="12" customHeight="1" s="227">
      <c r="A159" s="244" t="n"/>
      <c r="B159" s="244" t="n"/>
      <c r="C159" s="244" t="n"/>
      <c r="H159" s="0">
        <f>H149</f>
        <v/>
      </c>
      <c r="I159" s="27">
        <f>i_Setup!$M$16</f>
        <v/>
      </c>
      <c r="K159" s="6" t="n"/>
      <c r="M159" s="257">
        <f>IF(M$7="Actual","",i_Assumptions!M242)</f>
        <v/>
      </c>
      <c r="N159" s="257">
        <f>IF(N$7="Actual","",i_Assumptions!N242)</f>
        <v/>
      </c>
      <c r="O159" s="257">
        <f>IF(O$7="Actual","",i_Assumptions!O242)</f>
        <v/>
      </c>
      <c r="P159" s="257">
        <f>IF(P$7="Actual","",i_Assumptions!P242)</f>
        <v/>
      </c>
      <c r="Q159" s="257">
        <f>IF(Q$7="Actual","",i_Assumptions!Q242)</f>
        <v/>
      </c>
      <c r="T159" s="257">
        <f>IF(T$7="Actual","",IFERROR((INDEX($M159:$Q159,,MATCH(T$4,$M$4:$Q$4,0))),0))</f>
        <v/>
      </c>
      <c r="U159" s="257">
        <f>IF(U$7="Actual","",IFERROR((INDEX($M159:$Q159,,MATCH(U$4,$M$4:$Q$4,0))),0))</f>
        <v/>
      </c>
      <c r="V159" s="257">
        <f>IF(V$7="Actual","",IFERROR((INDEX($M159:$Q159,,MATCH(V$4,$M$4:$Q$4,0))),0))</f>
        <v/>
      </c>
      <c r="W159" s="257">
        <f>IF(W$7="Actual","",IFERROR((INDEX($M159:$Q159,,MATCH(W$4,$M$4:$Q$4,0))),0))</f>
        <v/>
      </c>
      <c r="X159" s="257">
        <f>IF(X$7="Actual","",IFERROR((INDEX($M159:$Q159,,MATCH(X$4,$M$4:$Q$4,0))),0))</f>
        <v/>
      </c>
      <c r="Y159" s="257">
        <f>IF(Y$7="Actual","",IFERROR((INDEX($M159:$Q159,,MATCH(Y$4,$M$4:$Q$4,0))),0))</f>
        <v/>
      </c>
      <c r="Z159" s="257">
        <f>IF(Z$7="Actual","",IFERROR((INDEX($M159:$Q159,,MATCH(Z$4,$M$4:$Q$4,0))),0))</f>
        <v/>
      </c>
      <c r="AA159" s="257">
        <f>IF(AA$7="Actual","",IFERROR((INDEX($M159:$Q159,,MATCH(AA$4,$M$4:$Q$4,0))),0))</f>
        <v/>
      </c>
      <c r="AB159" s="257">
        <f>IF(AB$7="Actual","",IFERROR((INDEX($M159:$Q159,,MATCH(AB$4,$M$4:$Q$4,0))),0))</f>
        <v/>
      </c>
      <c r="AC159" s="257">
        <f>IF(AC$7="Actual","",IFERROR((INDEX($M159:$Q159,,MATCH(AC$4,$M$4:$Q$4,0))),0))</f>
        <v/>
      </c>
      <c r="AD159" s="257">
        <f>IF(AD$7="Actual","",IFERROR((INDEX($M159:$Q159,,MATCH(AD$4,$M$4:$Q$4,0))),0))</f>
        <v/>
      </c>
      <c r="AE159" s="257">
        <f>IF(AE$7="Actual","",IFERROR((INDEX($M159:$Q159,,MATCH(AE$4,$M$4:$Q$4,0))),0))</f>
        <v/>
      </c>
      <c r="AF159" s="257">
        <f>IF(AF$7="Actual","",IFERROR((INDEX($M159:$Q159,,MATCH(AF$4,$M$4:$Q$4,0))),0))</f>
        <v/>
      </c>
      <c r="AG159" s="257">
        <f>IF(AG$7="Actual","",IFERROR((INDEX($M159:$Q159,,MATCH(AG$4,$M$4:$Q$4,0))),0))</f>
        <v/>
      </c>
      <c r="AH159" s="257">
        <f>IF(AH$7="Actual","",IFERROR((INDEX($M159:$Q159,,MATCH(AH$4,$M$4:$Q$4,0))),0))</f>
        <v/>
      </c>
      <c r="AI159" s="257">
        <f>IF(AI$7="Actual","",IFERROR((INDEX($M159:$Q159,,MATCH(AI$4,$M$4:$Q$4,0))),0))</f>
        <v/>
      </c>
      <c r="AJ159" s="257">
        <f>IF(AJ$7="Actual","",IFERROR((INDEX($M159:$Q159,,MATCH(AJ$4,$M$4:$Q$4,0))),0))</f>
        <v/>
      </c>
      <c r="AK159" s="257">
        <f>IF(AK$7="Actual","",IFERROR((INDEX($M159:$Q159,,MATCH(AK$4,$M$4:$Q$4,0))),0))</f>
        <v/>
      </c>
      <c r="AL159" s="257">
        <f>IF(AL$7="Actual","",IFERROR((INDEX($M159:$Q159,,MATCH(AL$4,$M$4:$Q$4,0))),0))</f>
        <v/>
      </c>
      <c r="AM159" s="257">
        <f>IF(AM$7="Actual","",IFERROR((INDEX($M159:$Q159,,MATCH(AM$4,$M$4:$Q$4,0))),0))</f>
        <v/>
      </c>
      <c r="AN159" s="257">
        <f>IF(AN$7="Actual","",IFERROR((INDEX($M159:$Q159,,MATCH(AN$4,$M$4:$Q$4,0))),0))</f>
        <v/>
      </c>
      <c r="AO159" s="257">
        <f>IF(AO$7="Actual","",IFERROR((INDEX($M159:$Q159,,MATCH(AO$4,$M$4:$Q$4,0))),0))</f>
        <v/>
      </c>
      <c r="AP159" s="257">
        <f>IF(AP$7="Actual","",IFERROR((INDEX($M159:$Q159,,MATCH(AP$4,$M$4:$Q$4,0))),0))</f>
        <v/>
      </c>
      <c r="AQ159" s="257">
        <f>IF(AQ$7="Actual","",IFERROR((INDEX($M159:$Q159,,MATCH(AQ$4,$M$4:$Q$4,0))),0))</f>
        <v/>
      </c>
      <c r="AR159" s="257">
        <f>IF(AR$7="Actual","",IFERROR((INDEX($M159:$Q159,,MATCH(AR$4,$M$4:$Q$4,0))),0))</f>
        <v/>
      </c>
      <c r="AS159" s="257">
        <f>IF(AS$7="Actual","",IFERROR((INDEX($M159:$Q159,,MATCH(AS$4,$M$4:$Q$4,0))),0))</f>
        <v/>
      </c>
      <c r="AT159" s="257">
        <f>IF(AT$7="Actual","",IFERROR((INDEX($M159:$Q159,,MATCH(AT$4,$M$4:$Q$4,0))),0))</f>
        <v/>
      </c>
      <c r="AU159" s="257">
        <f>IF(AU$7="Actual","",IFERROR((INDEX($M159:$Q159,,MATCH(AU$4,$M$4:$Q$4,0))),0))</f>
        <v/>
      </c>
      <c r="AV159" s="257">
        <f>IF(AV$7="Actual","",IFERROR((INDEX($M159:$Q159,,MATCH(AV$4,$M$4:$Q$4,0))),0))</f>
        <v/>
      </c>
      <c r="AW159" s="257">
        <f>IF(AW$7="Actual","",IFERROR((INDEX($M159:$Q159,,MATCH(AW$4,$M$4:$Q$4,0))),0))</f>
        <v/>
      </c>
      <c r="AX159" s="257">
        <f>IF(AX$7="Actual","",IFERROR((INDEX($M159:$Q159,,MATCH(AX$4,$M$4:$Q$4,0))),0))</f>
        <v/>
      </c>
      <c r="AY159" s="257">
        <f>IF(AY$7="Actual","",IFERROR((INDEX($M159:$Q159,,MATCH(AY$4,$M$4:$Q$4,0))),0))</f>
        <v/>
      </c>
      <c r="AZ159" s="257">
        <f>IF(AZ$7="Actual","",IFERROR((INDEX($M159:$Q159,,MATCH(AZ$4,$M$4:$Q$4,0))),0))</f>
        <v/>
      </c>
      <c r="BA159" s="257">
        <f>IF(BA$7="Actual","",IFERROR((INDEX($M159:$Q159,,MATCH(BA$4,$M$4:$Q$4,0))),0))</f>
        <v/>
      </c>
      <c r="BB159" s="257">
        <f>IF(BB$7="Actual","",IFERROR((INDEX($M159:$Q159,,MATCH(BB$4,$M$4:$Q$4,0))),0))</f>
        <v/>
      </c>
      <c r="BC159" s="257">
        <f>IF(BC$7="Actual","",IFERROR((INDEX($M159:$Q159,,MATCH(BC$4,$M$4:$Q$4,0))),0))</f>
        <v/>
      </c>
      <c r="BD159" s="257">
        <f>IF(BD$7="Actual","",IFERROR((INDEX($M159:$Q159,,MATCH(BD$4,$M$4:$Q$4,0))),0))</f>
        <v/>
      </c>
      <c r="BE159" s="257">
        <f>IF(BE$7="Actual","",IFERROR((INDEX($M159:$Q159,,MATCH(BE$4,$M$4:$Q$4,0))),0))</f>
        <v/>
      </c>
      <c r="BF159" s="257">
        <f>IF(BF$7="Actual","",IFERROR((INDEX($M159:$Q159,,MATCH(BF$4,$M$4:$Q$4,0))),0))</f>
        <v/>
      </c>
      <c r="BG159" s="257">
        <f>IF(BG$7="Actual","",IFERROR((INDEX($M159:$Q159,,MATCH(BG$4,$M$4:$Q$4,0))),0))</f>
        <v/>
      </c>
      <c r="BH159" s="257">
        <f>IF(BH$7="Actual","",IFERROR((INDEX($M159:$Q159,,MATCH(BH$4,$M$4:$Q$4,0))),0))</f>
        <v/>
      </c>
      <c r="BI159" s="257">
        <f>IF(BI$7="Actual","",IFERROR((INDEX($M159:$Q159,,MATCH(BI$4,$M$4:$Q$4,0))),0))</f>
        <v/>
      </c>
      <c r="BJ159" s="257">
        <f>IF(BJ$7="Actual","",IFERROR((INDEX($M159:$Q159,,MATCH(BJ$4,$M$4:$Q$4,0))),0))</f>
        <v/>
      </c>
      <c r="BK159" s="257">
        <f>IF(BK$7="Actual","",IFERROR((INDEX($M159:$Q159,,MATCH(BK$4,$M$4:$Q$4,0))),0))</f>
        <v/>
      </c>
      <c r="BL159" s="257">
        <f>IF(BL$7="Actual","",IFERROR((INDEX($M159:$Q159,,MATCH(BL$4,$M$4:$Q$4,0))),0))</f>
        <v/>
      </c>
      <c r="BM159" s="257">
        <f>IF(BM$7="Actual","",IFERROR((INDEX($M159:$Q159,,MATCH(BM$4,$M$4:$Q$4,0))),0))</f>
        <v/>
      </c>
      <c r="BN159" s="257">
        <f>IF(BN$7="Actual","",IFERROR((INDEX($M159:$Q159,,MATCH(BN$4,$M$4:$Q$4,0))),0))</f>
        <v/>
      </c>
      <c r="BO159" s="257">
        <f>IF(BO$7="Actual","",IFERROR((INDEX($M159:$Q159,,MATCH(BO$4,$M$4:$Q$4,0))),0))</f>
        <v/>
      </c>
      <c r="BP159" s="257">
        <f>IF(BP$7="Actual","",IFERROR((INDEX($M159:$Q159,,MATCH(BP$4,$M$4:$Q$4,0))),0))</f>
        <v/>
      </c>
      <c r="BQ159" s="257">
        <f>IF(BQ$7="Actual","",IFERROR((INDEX($M159:$Q159,,MATCH(BQ$4,$M$4:$Q$4,0))),0))</f>
        <v/>
      </c>
      <c r="BR159" s="257">
        <f>IF(BR$7="Actual","",IFERROR((INDEX($M159:$Q159,,MATCH(BR$4,$M$4:$Q$4,0))),0))</f>
        <v/>
      </c>
      <c r="BS159" s="257">
        <f>IF(BS$7="Actual","",IFERROR((INDEX($M159:$Q159,,MATCH(BS$4,$M$4:$Q$4,0))),0))</f>
        <v/>
      </c>
      <c r="BT159" s="257">
        <f>IF(BT$7="Actual","",IFERROR((INDEX($M159:$Q159,,MATCH(BT$4,$M$4:$Q$4,0))),0))</f>
        <v/>
      </c>
      <c r="BU159" s="257">
        <f>IF(BU$7="Actual","",IFERROR((INDEX($M159:$Q159,,MATCH(BU$4,$M$4:$Q$4,0))),0))</f>
        <v/>
      </c>
      <c r="BV159" s="257">
        <f>IF(BV$7="Actual","",IFERROR((INDEX($M159:$Q159,,MATCH(BV$4,$M$4:$Q$4,0))),0))</f>
        <v/>
      </c>
      <c r="BW159" s="257">
        <f>IF(BW$7="Actual","",IFERROR((INDEX($M159:$Q159,,MATCH(BW$4,$M$4:$Q$4,0))),0))</f>
        <v/>
      </c>
      <c r="BX159" s="257">
        <f>IF(BX$7="Actual","",IFERROR((INDEX($M159:$Q159,,MATCH(BX$4,$M$4:$Q$4,0))),0))</f>
        <v/>
      </c>
      <c r="BY159" s="257">
        <f>IF(BY$7="Actual","",IFERROR((INDEX($M159:$Q159,,MATCH(BY$4,$M$4:$Q$4,0))),0))</f>
        <v/>
      </c>
      <c r="BZ159" s="257">
        <f>IF(BZ$7="Actual","",IFERROR((INDEX($M159:$Q159,,MATCH(BZ$4,$M$4:$Q$4,0))),0))</f>
        <v/>
      </c>
      <c r="CA159" s="257">
        <f>IF(CA$7="Actual","",IFERROR((INDEX($M159:$Q159,,MATCH(CA$4,$M$4:$Q$4,0))),0))</f>
        <v/>
      </c>
    </row>
    <row r="160" ht="12" customHeight="1" s="227">
      <c r="A160" s="244" t="n"/>
      <c r="B160" s="244" t="n"/>
      <c r="C160" s="244" t="n"/>
      <c r="H160" s="0" t="n"/>
      <c r="K160" s="6" t="n"/>
    </row>
    <row r="161" ht="12" customHeight="1" s="227">
      <c r="A161" s="244" t="n"/>
      <c r="B161" s="244" t="n"/>
      <c r="C161" s="244" t="n"/>
      <c r="H161" s="8">
        <f>i_Setup!U37</f>
        <v/>
      </c>
      <c r="K161" s="6" t="n"/>
    </row>
    <row r="162" ht="12" customHeight="1" s="227">
      <c r="A162" s="244" t="n"/>
      <c r="B162" s="244" t="n"/>
      <c r="C162" s="244" t="n"/>
      <c r="H162" s="0">
        <f>H152</f>
        <v/>
      </c>
      <c r="I162" s="27">
        <f>i_Setup!$M$16</f>
        <v/>
      </c>
      <c r="K162" s="6" t="n"/>
      <c r="M162" s="257">
        <f>i_Assumptions!M275</f>
        <v/>
      </c>
      <c r="N162" s="257">
        <f>i_Assumptions!N275</f>
        <v/>
      </c>
      <c r="O162" s="257">
        <f>i_Assumptions!O275</f>
        <v/>
      </c>
      <c r="P162" s="257">
        <f>i_Assumptions!P275</f>
        <v/>
      </c>
      <c r="Q162" s="257">
        <f>i_Assumptions!Q275</f>
        <v/>
      </c>
      <c r="T162" s="257">
        <f>IF(T$7="Actual","",IFERROR((INDEX($M162:$Q162,,MATCH(T$4,$M$4:$Q$4,0))),0))</f>
        <v/>
      </c>
      <c r="U162" s="257">
        <f>IF(U$7="Actual","",IFERROR((INDEX($M162:$Q162,,MATCH(U$4,$M$4:$Q$4,0))),0))</f>
        <v/>
      </c>
      <c r="V162" s="257">
        <f>IF(V$7="Actual","",IFERROR((INDEX($M162:$Q162,,MATCH(V$4,$M$4:$Q$4,0))),0))</f>
        <v/>
      </c>
      <c r="W162" s="257">
        <f>IF(W$7="Actual","",IFERROR((INDEX($M162:$Q162,,MATCH(W$4,$M$4:$Q$4,0))),0))</f>
        <v/>
      </c>
      <c r="X162" s="257">
        <f>IF(X$7="Actual","",IFERROR((INDEX($M162:$Q162,,MATCH(X$4,$M$4:$Q$4,0))),0))</f>
        <v/>
      </c>
      <c r="Y162" s="257">
        <f>IF(Y$7="Actual","",IFERROR((INDEX($M162:$Q162,,MATCH(Y$4,$M$4:$Q$4,0))),0))</f>
        <v/>
      </c>
      <c r="Z162" s="257">
        <f>IF(Z$7="Actual","",IFERROR((INDEX($M162:$Q162,,MATCH(Z$4,$M$4:$Q$4,0))),0))</f>
        <v/>
      </c>
      <c r="AA162" s="257">
        <f>IF(AA$7="Actual","",IFERROR((INDEX($M162:$Q162,,MATCH(AA$4,$M$4:$Q$4,0))),0))</f>
        <v/>
      </c>
      <c r="AB162" s="257">
        <f>IF(AB$7="Actual","",IFERROR((INDEX($M162:$Q162,,MATCH(AB$4,$M$4:$Q$4,0))),0))</f>
        <v/>
      </c>
      <c r="AC162" s="257">
        <f>IF(AC$7="Actual","",IFERROR((INDEX($M162:$Q162,,MATCH(AC$4,$M$4:$Q$4,0))),0))</f>
        <v/>
      </c>
      <c r="AD162" s="257">
        <f>IF(AD$7="Actual","",IFERROR((INDEX($M162:$Q162,,MATCH(AD$4,$M$4:$Q$4,0))),0))</f>
        <v/>
      </c>
      <c r="AE162" s="257">
        <f>IF(AE$7="Actual","",IFERROR((INDEX($M162:$Q162,,MATCH(AE$4,$M$4:$Q$4,0))),0))</f>
        <v/>
      </c>
      <c r="AF162" s="257">
        <f>IF(AF$7="Actual","",IFERROR((INDEX($M162:$Q162,,MATCH(AF$4,$M$4:$Q$4,0))),0))</f>
        <v/>
      </c>
      <c r="AG162" s="257">
        <f>IF(AG$7="Actual","",IFERROR((INDEX($M162:$Q162,,MATCH(AG$4,$M$4:$Q$4,0))),0))</f>
        <v/>
      </c>
      <c r="AH162" s="257">
        <f>IF(AH$7="Actual","",IFERROR((INDEX($M162:$Q162,,MATCH(AH$4,$M$4:$Q$4,0))),0))</f>
        <v/>
      </c>
      <c r="AI162" s="257">
        <f>IF(AI$7="Actual","",IFERROR((INDEX($M162:$Q162,,MATCH(AI$4,$M$4:$Q$4,0))),0))</f>
        <v/>
      </c>
      <c r="AJ162" s="257">
        <f>IF(AJ$7="Actual","",IFERROR((INDEX($M162:$Q162,,MATCH(AJ$4,$M$4:$Q$4,0))),0))</f>
        <v/>
      </c>
      <c r="AK162" s="257">
        <f>IF(AK$7="Actual","",IFERROR((INDEX($M162:$Q162,,MATCH(AK$4,$M$4:$Q$4,0))),0))</f>
        <v/>
      </c>
      <c r="AL162" s="257">
        <f>IF(AL$7="Actual","",IFERROR((INDEX($M162:$Q162,,MATCH(AL$4,$M$4:$Q$4,0))),0))</f>
        <v/>
      </c>
      <c r="AM162" s="257">
        <f>IF(AM$7="Actual","",IFERROR((INDEX($M162:$Q162,,MATCH(AM$4,$M$4:$Q$4,0))),0))</f>
        <v/>
      </c>
      <c r="AN162" s="257">
        <f>IF(AN$7="Actual","",IFERROR((INDEX($M162:$Q162,,MATCH(AN$4,$M$4:$Q$4,0))),0))</f>
        <v/>
      </c>
      <c r="AO162" s="257">
        <f>IF(AO$7="Actual","",IFERROR((INDEX($M162:$Q162,,MATCH(AO$4,$M$4:$Q$4,0))),0))</f>
        <v/>
      </c>
      <c r="AP162" s="257">
        <f>IF(AP$7="Actual","",IFERROR((INDEX($M162:$Q162,,MATCH(AP$4,$M$4:$Q$4,0))),0))</f>
        <v/>
      </c>
      <c r="AQ162" s="257">
        <f>IF(AQ$7="Actual","",IFERROR((INDEX($M162:$Q162,,MATCH(AQ$4,$M$4:$Q$4,0))),0))</f>
        <v/>
      </c>
      <c r="AR162" s="257">
        <f>IF(AR$7="Actual","",IFERROR((INDEX($M162:$Q162,,MATCH(AR$4,$M$4:$Q$4,0))),0))</f>
        <v/>
      </c>
      <c r="AS162" s="257">
        <f>IF(AS$7="Actual","",IFERROR((INDEX($M162:$Q162,,MATCH(AS$4,$M$4:$Q$4,0))),0))</f>
        <v/>
      </c>
      <c r="AT162" s="257">
        <f>IF(AT$7="Actual","",IFERROR((INDEX($M162:$Q162,,MATCH(AT$4,$M$4:$Q$4,0))),0))</f>
        <v/>
      </c>
      <c r="AU162" s="257">
        <f>IF(AU$7="Actual","",IFERROR((INDEX($M162:$Q162,,MATCH(AU$4,$M$4:$Q$4,0))),0))</f>
        <v/>
      </c>
      <c r="AV162" s="257">
        <f>IF(AV$7="Actual","",IFERROR((INDEX($M162:$Q162,,MATCH(AV$4,$M$4:$Q$4,0))),0))</f>
        <v/>
      </c>
      <c r="AW162" s="257">
        <f>IF(AW$7="Actual","",IFERROR((INDEX($M162:$Q162,,MATCH(AW$4,$M$4:$Q$4,0))),0))</f>
        <v/>
      </c>
      <c r="AX162" s="257">
        <f>IF(AX$7="Actual","",IFERROR((INDEX($M162:$Q162,,MATCH(AX$4,$M$4:$Q$4,0))),0))</f>
        <v/>
      </c>
      <c r="AY162" s="257">
        <f>IF(AY$7="Actual","",IFERROR((INDEX($M162:$Q162,,MATCH(AY$4,$M$4:$Q$4,0))),0))</f>
        <v/>
      </c>
      <c r="AZ162" s="257">
        <f>IF(AZ$7="Actual","",IFERROR((INDEX($M162:$Q162,,MATCH(AZ$4,$M$4:$Q$4,0))),0))</f>
        <v/>
      </c>
      <c r="BA162" s="257">
        <f>IF(BA$7="Actual","",IFERROR((INDEX($M162:$Q162,,MATCH(BA$4,$M$4:$Q$4,0))),0))</f>
        <v/>
      </c>
      <c r="BB162" s="257">
        <f>IF(BB$7="Actual","",IFERROR((INDEX($M162:$Q162,,MATCH(BB$4,$M$4:$Q$4,0))),0))</f>
        <v/>
      </c>
      <c r="BC162" s="257">
        <f>IF(BC$7="Actual","",IFERROR((INDEX($M162:$Q162,,MATCH(BC$4,$M$4:$Q$4,0))),0))</f>
        <v/>
      </c>
      <c r="BD162" s="257">
        <f>IF(BD$7="Actual","",IFERROR((INDEX($M162:$Q162,,MATCH(BD$4,$M$4:$Q$4,0))),0))</f>
        <v/>
      </c>
      <c r="BE162" s="257">
        <f>IF(BE$7="Actual","",IFERROR((INDEX($M162:$Q162,,MATCH(BE$4,$M$4:$Q$4,0))),0))</f>
        <v/>
      </c>
      <c r="BF162" s="257">
        <f>IF(BF$7="Actual","",IFERROR((INDEX($M162:$Q162,,MATCH(BF$4,$M$4:$Q$4,0))),0))</f>
        <v/>
      </c>
      <c r="BG162" s="257">
        <f>IF(BG$7="Actual","",IFERROR((INDEX($M162:$Q162,,MATCH(BG$4,$M$4:$Q$4,0))),0))</f>
        <v/>
      </c>
      <c r="BH162" s="257">
        <f>IF(BH$7="Actual","",IFERROR((INDEX($M162:$Q162,,MATCH(BH$4,$M$4:$Q$4,0))),0))</f>
        <v/>
      </c>
      <c r="BI162" s="257">
        <f>IF(BI$7="Actual","",IFERROR((INDEX($M162:$Q162,,MATCH(BI$4,$M$4:$Q$4,0))),0))</f>
        <v/>
      </c>
      <c r="BJ162" s="257">
        <f>IF(BJ$7="Actual","",IFERROR((INDEX($M162:$Q162,,MATCH(BJ$4,$M$4:$Q$4,0))),0))</f>
        <v/>
      </c>
      <c r="BK162" s="257">
        <f>IF(BK$7="Actual","",IFERROR((INDEX($M162:$Q162,,MATCH(BK$4,$M$4:$Q$4,0))),0))</f>
        <v/>
      </c>
      <c r="BL162" s="257">
        <f>IF(BL$7="Actual","",IFERROR((INDEX($M162:$Q162,,MATCH(BL$4,$M$4:$Q$4,0))),0))</f>
        <v/>
      </c>
      <c r="BM162" s="257">
        <f>IF(BM$7="Actual","",IFERROR((INDEX($M162:$Q162,,MATCH(BM$4,$M$4:$Q$4,0))),0))</f>
        <v/>
      </c>
      <c r="BN162" s="257">
        <f>IF(BN$7="Actual","",IFERROR((INDEX($M162:$Q162,,MATCH(BN$4,$M$4:$Q$4,0))),0))</f>
        <v/>
      </c>
      <c r="BO162" s="257">
        <f>IF(BO$7="Actual","",IFERROR((INDEX($M162:$Q162,,MATCH(BO$4,$M$4:$Q$4,0))),0))</f>
        <v/>
      </c>
      <c r="BP162" s="257">
        <f>IF(BP$7="Actual","",IFERROR((INDEX($M162:$Q162,,MATCH(BP$4,$M$4:$Q$4,0))),0))</f>
        <v/>
      </c>
      <c r="BQ162" s="257">
        <f>IF(BQ$7="Actual","",IFERROR((INDEX($M162:$Q162,,MATCH(BQ$4,$M$4:$Q$4,0))),0))</f>
        <v/>
      </c>
      <c r="BR162" s="257">
        <f>IF(BR$7="Actual","",IFERROR((INDEX($M162:$Q162,,MATCH(BR$4,$M$4:$Q$4,0))),0))</f>
        <v/>
      </c>
      <c r="BS162" s="257">
        <f>IF(BS$7="Actual","",IFERROR((INDEX($M162:$Q162,,MATCH(BS$4,$M$4:$Q$4,0))),0))</f>
        <v/>
      </c>
      <c r="BT162" s="257">
        <f>IF(BT$7="Actual","",IFERROR((INDEX($M162:$Q162,,MATCH(BT$4,$M$4:$Q$4,0))),0))</f>
        <v/>
      </c>
      <c r="BU162" s="257">
        <f>IF(BU$7="Actual","",IFERROR((INDEX($M162:$Q162,,MATCH(BU$4,$M$4:$Q$4,0))),0))</f>
        <v/>
      </c>
      <c r="BV162" s="257">
        <f>IF(BV$7="Actual","",IFERROR((INDEX($M162:$Q162,,MATCH(BV$4,$M$4:$Q$4,0))),0))</f>
        <v/>
      </c>
      <c r="BW162" s="257">
        <f>IF(BW$7="Actual","",IFERROR((INDEX($M162:$Q162,,MATCH(BW$4,$M$4:$Q$4,0))),0))</f>
        <v/>
      </c>
      <c r="BX162" s="257">
        <f>IF(BX$7="Actual","",IFERROR((INDEX($M162:$Q162,,MATCH(BX$4,$M$4:$Q$4,0))),0))</f>
        <v/>
      </c>
      <c r="BY162" s="257">
        <f>IF(BY$7="Actual","",IFERROR((INDEX($M162:$Q162,,MATCH(BY$4,$M$4:$Q$4,0))),0))</f>
        <v/>
      </c>
      <c r="BZ162" s="257">
        <f>IF(BZ$7="Actual","",IFERROR((INDEX($M162:$Q162,,MATCH(BZ$4,$M$4:$Q$4,0))),0))</f>
        <v/>
      </c>
      <c r="CA162" s="257">
        <f>IF(CA$7="Actual","",IFERROR((INDEX($M162:$Q162,,MATCH(CA$4,$M$4:$Q$4,0))),0))</f>
        <v/>
      </c>
    </row>
    <row r="163" ht="12" customHeight="1" s="227">
      <c r="A163" s="244" t="n"/>
      <c r="B163" s="244" t="n"/>
      <c r="C163" s="244" t="n"/>
      <c r="H163" s="0">
        <f>H153</f>
        <v/>
      </c>
      <c r="I163" s="27">
        <f>i_Setup!$M$16</f>
        <v/>
      </c>
      <c r="K163" s="6" t="n"/>
      <c r="M163" s="257">
        <f>i_Assumptions!M276</f>
        <v/>
      </c>
      <c r="N163" s="257">
        <f>i_Assumptions!N276</f>
        <v/>
      </c>
      <c r="O163" s="257">
        <f>i_Assumptions!O276</f>
        <v/>
      </c>
      <c r="P163" s="257">
        <f>i_Assumptions!P276</f>
        <v/>
      </c>
      <c r="Q163" s="257">
        <f>i_Assumptions!Q276</f>
        <v/>
      </c>
      <c r="T163" s="257">
        <f>IF(T$7="Actual","",IFERROR((INDEX($M163:$Q163,,MATCH(T$4,$M$4:$Q$4,0))),0))</f>
        <v/>
      </c>
      <c r="U163" s="257">
        <f>IF(U$7="Actual","",IFERROR((INDEX($M163:$Q163,,MATCH(U$4,$M$4:$Q$4,0))),0))</f>
        <v/>
      </c>
      <c r="V163" s="257">
        <f>IF(V$7="Actual","",IFERROR((INDEX($M163:$Q163,,MATCH(V$4,$M$4:$Q$4,0))),0))</f>
        <v/>
      </c>
      <c r="W163" s="257">
        <f>IF(W$7="Actual","",IFERROR((INDEX($M163:$Q163,,MATCH(W$4,$M$4:$Q$4,0))),0))</f>
        <v/>
      </c>
      <c r="X163" s="257">
        <f>IF(X$7="Actual","",IFERROR((INDEX($M163:$Q163,,MATCH(X$4,$M$4:$Q$4,0))),0))</f>
        <v/>
      </c>
      <c r="Y163" s="257">
        <f>IF(Y$7="Actual","",IFERROR((INDEX($M163:$Q163,,MATCH(Y$4,$M$4:$Q$4,0))),0))</f>
        <v/>
      </c>
      <c r="Z163" s="257">
        <f>IF(Z$7="Actual","",IFERROR((INDEX($M163:$Q163,,MATCH(Z$4,$M$4:$Q$4,0))),0))</f>
        <v/>
      </c>
      <c r="AA163" s="257">
        <f>IF(AA$7="Actual","",IFERROR((INDEX($M163:$Q163,,MATCH(AA$4,$M$4:$Q$4,0))),0))</f>
        <v/>
      </c>
      <c r="AB163" s="257">
        <f>IF(AB$7="Actual","",IFERROR((INDEX($M163:$Q163,,MATCH(AB$4,$M$4:$Q$4,0))),0))</f>
        <v/>
      </c>
      <c r="AC163" s="257">
        <f>IF(AC$7="Actual","",IFERROR((INDEX($M163:$Q163,,MATCH(AC$4,$M$4:$Q$4,0))),0))</f>
        <v/>
      </c>
      <c r="AD163" s="257">
        <f>IF(AD$7="Actual","",IFERROR((INDEX($M163:$Q163,,MATCH(AD$4,$M$4:$Q$4,0))),0))</f>
        <v/>
      </c>
      <c r="AE163" s="257">
        <f>IF(AE$7="Actual","",IFERROR((INDEX($M163:$Q163,,MATCH(AE$4,$M$4:$Q$4,0))),0))</f>
        <v/>
      </c>
      <c r="AF163" s="257">
        <f>IF(AF$7="Actual","",IFERROR((INDEX($M163:$Q163,,MATCH(AF$4,$M$4:$Q$4,0))),0))</f>
        <v/>
      </c>
      <c r="AG163" s="257">
        <f>IF(AG$7="Actual","",IFERROR((INDEX($M163:$Q163,,MATCH(AG$4,$M$4:$Q$4,0))),0))</f>
        <v/>
      </c>
      <c r="AH163" s="257">
        <f>IF(AH$7="Actual","",IFERROR((INDEX($M163:$Q163,,MATCH(AH$4,$M$4:$Q$4,0))),0))</f>
        <v/>
      </c>
      <c r="AI163" s="257">
        <f>IF(AI$7="Actual","",IFERROR((INDEX($M163:$Q163,,MATCH(AI$4,$M$4:$Q$4,0))),0))</f>
        <v/>
      </c>
      <c r="AJ163" s="257">
        <f>IF(AJ$7="Actual","",IFERROR((INDEX($M163:$Q163,,MATCH(AJ$4,$M$4:$Q$4,0))),0))</f>
        <v/>
      </c>
      <c r="AK163" s="257">
        <f>IF(AK$7="Actual","",IFERROR((INDEX($M163:$Q163,,MATCH(AK$4,$M$4:$Q$4,0))),0))</f>
        <v/>
      </c>
      <c r="AL163" s="257">
        <f>IF(AL$7="Actual","",IFERROR((INDEX($M163:$Q163,,MATCH(AL$4,$M$4:$Q$4,0))),0))</f>
        <v/>
      </c>
      <c r="AM163" s="257">
        <f>IF(AM$7="Actual","",IFERROR((INDEX($M163:$Q163,,MATCH(AM$4,$M$4:$Q$4,0))),0))</f>
        <v/>
      </c>
      <c r="AN163" s="257">
        <f>IF(AN$7="Actual","",IFERROR((INDEX($M163:$Q163,,MATCH(AN$4,$M$4:$Q$4,0))),0))</f>
        <v/>
      </c>
      <c r="AO163" s="257">
        <f>IF(AO$7="Actual","",IFERROR((INDEX($M163:$Q163,,MATCH(AO$4,$M$4:$Q$4,0))),0))</f>
        <v/>
      </c>
      <c r="AP163" s="257">
        <f>IF(AP$7="Actual","",IFERROR((INDEX($M163:$Q163,,MATCH(AP$4,$M$4:$Q$4,0))),0))</f>
        <v/>
      </c>
      <c r="AQ163" s="257">
        <f>IF(AQ$7="Actual","",IFERROR((INDEX($M163:$Q163,,MATCH(AQ$4,$M$4:$Q$4,0))),0))</f>
        <v/>
      </c>
      <c r="AR163" s="257">
        <f>IF(AR$7="Actual","",IFERROR((INDEX($M163:$Q163,,MATCH(AR$4,$M$4:$Q$4,0))),0))</f>
        <v/>
      </c>
      <c r="AS163" s="257">
        <f>IF(AS$7="Actual","",IFERROR((INDEX($M163:$Q163,,MATCH(AS$4,$M$4:$Q$4,0))),0))</f>
        <v/>
      </c>
      <c r="AT163" s="257">
        <f>IF(AT$7="Actual","",IFERROR((INDEX($M163:$Q163,,MATCH(AT$4,$M$4:$Q$4,0))),0))</f>
        <v/>
      </c>
      <c r="AU163" s="257">
        <f>IF(AU$7="Actual","",IFERROR((INDEX($M163:$Q163,,MATCH(AU$4,$M$4:$Q$4,0))),0))</f>
        <v/>
      </c>
      <c r="AV163" s="257">
        <f>IF(AV$7="Actual","",IFERROR((INDEX($M163:$Q163,,MATCH(AV$4,$M$4:$Q$4,0))),0))</f>
        <v/>
      </c>
      <c r="AW163" s="257">
        <f>IF(AW$7="Actual","",IFERROR((INDEX($M163:$Q163,,MATCH(AW$4,$M$4:$Q$4,0))),0))</f>
        <v/>
      </c>
      <c r="AX163" s="257">
        <f>IF(AX$7="Actual","",IFERROR((INDEX($M163:$Q163,,MATCH(AX$4,$M$4:$Q$4,0))),0))</f>
        <v/>
      </c>
      <c r="AY163" s="257">
        <f>IF(AY$7="Actual","",IFERROR((INDEX($M163:$Q163,,MATCH(AY$4,$M$4:$Q$4,0))),0))</f>
        <v/>
      </c>
      <c r="AZ163" s="257">
        <f>IF(AZ$7="Actual","",IFERROR((INDEX($M163:$Q163,,MATCH(AZ$4,$M$4:$Q$4,0))),0))</f>
        <v/>
      </c>
      <c r="BA163" s="257">
        <f>IF(BA$7="Actual","",IFERROR((INDEX($M163:$Q163,,MATCH(BA$4,$M$4:$Q$4,0))),0))</f>
        <v/>
      </c>
      <c r="BB163" s="257">
        <f>IF(BB$7="Actual","",IFERROR((INDEX($M163:$Q163,,MATCH(BB$4,$M$4:$Q$4,0))),0))</f>
        <v/>
      </c>
      <c r="BC163" s="257">
        <f>IF(BC$7="Actual","",IFERROR((INDEX($M163:$Q163,,MATCH(BC$4,$M$4:$Q$4,0))),0))</f>
        <v/>
      </c>
      <c r="BD163" s="257">
        <f>IF(BD$7="Actual","",IFERROR((INDEX($M163:$Q163,,MATCH(BD$4,$M$4:$Q$4,0))),0))</f>
        <v/>
      </c>
      <c r="BE163" s="257">
        <f>IF(BE$7="Actual","",IFERROR((INDEX($M163:$Q163,,MATCH(BE$4,$M$4:$Q$4,0))),0))</f>
        <v/>
      </c>
      <c r="BF163" s="257">
        <f>IF(BF$7="Actual","",IFERROR((INDEX($M163:$Q163,,MATCH(BF$4,$M$4:$Q$4,0))),0))</f>
        <v/>
      </c>
      <c r="BG163" s="257">
        <f>IF(BG$7="Actual","",IFERROR((INDEX($M163:$Q163,,MATCH(BG$4,$M$4:$Q$4,0))),0))</f>
        <v/>
      </c>
      <c r="BH163" s="257">
        <f>IF(BH$7="Actual","",IFERROR((INDEX($M163:$Q163,,MATCH(BH$4,$M$4:$Q$4,0))),0))</f>
        <v/>
      </c>
      <c r="BI163" s="257">
        <f>IF(BI$7="Actual","",IFERROR((INDEX($M163:$Q163,,MATCH(BI$4,$M$4:$Q$4,0))),0))</f>
        <v/>
      </c>
      <c r="BJ163" s="257">
        <f>IF(BJ$7="Actual","",IFERROR((INDEX($M163:$Q163,,MATCH(BJ$4,$M$4:$Q$4,0))),0))</f>
        <v/>
      </c>
      <c r="BK163" s="257">
        <f>IF(BK$7="Actual","",IFERROR((INDEX($M163:$Q163,,MATCH(BK$4,$M$4:$Q$4,0))),0))</f>
        <v/>
      </c>
      <c r="BL163" s="257">
        <f>IF(BL$7="Actual","",IFERROR((INDEX($M163:$Q163,,MATCH(BL$4,$M$4:$Q$4,0))),0))</f>
        <v/>
      </c>
      <c r="BM163" s="257">
        <f>IF(BM$7="Actual","",IFERROR((INDEX($M163:$Q163,,MATCH(BM$4,$M$4:$Q$4,0))),0))</f>
        <v/>
      </c>
      <c r="BN163" s="257">
        <f>IF(BN$7="Actual","",IFERROR((INDEX($M163:$Q163,,MATCH(BN$4,$M$4:$Q$4,0))),0))</f>
        <v/>
      </c>
      <c r="BO163" s="257">
        <f>IF(BO$7="Actual","",IFERROR((INDEX($M163:$Q163,,MATCH(BO$4,$M$4:$Q$4,0))),0))</f>
        <v/>
      </c>
      <c r="BP163" s="257">
        <f>IF(BP$7="Actual","",IFERROR((INDEX($M163:$Q163,,MATCH(BP$4,$M$4:$Q$4,0))),0))</f>
        <v/>
      </c>
      <c r="BQ163" s="257">
        <f>IF(BQ$7="Actual","",IFERROR((INDEX($M163:$Q163,,MATCH(BQ$4,$M$4:$Q$4,0))),0))</f>
        <v/>
      </c>
      <c r="BR163" s="257">
        <f>IF(BR$7="Actual","",IFERROR((INDEX($M163:$Q163,,MATCH(BR$4,$M$4:$Q$4,0))),0))</f>
        <v/>
      </c>
      <c r="BS163" s="257">
        <f>IF(BS$7="Actual","",IFERROR((INDEX($M163:$Q163,,MATCH(BS$4,$M$4:$Q$4,0))),0))</f>
        <v/>
      </c>
      <c r="BT163" s="257">
        <f>IF(BT$7="Actual","",IFERROR((INDEX($M163:$Q163,,MATCH(BT$4,$M$4:$Q$4,0))),0))</f>
        <v/>
      </c>
      <c r="BU163" s="257">
        <f>IF(BU$7="Actual","",IFERROR((INDEX($M163:$Q163,,MATCH(BU$4,$M$4:$Q$4,0))),0))</f>
        <v/>
      </c>
      <c r="BV163" s="257">
        <f>IF(BV$7="Actual","",IFERROR((INDEX($M163:$Q163,,MATCH(BV$4,$M$4:$Q$4,0))),0))</f>
        <v/>
      </c>
      <c r="BW163" s="257">
        <f>IF(BW$7="Actual","",IFERROR((INDEX($M163:$Q163,,MATCH(BW$4,$M$4:$Q$4,0))),0))</f>
        <v/>
      </c>
      <c r="BX163" s="257">
        <f>IF(BX$7="Actual","",IFERROR((INDEX($M163:$Q163,,MATCH(BX$4,$M$4:$Q$4,0))),0))</f>
        <v/>
      </c>
      <c r="BY163" s="257">
        <f>IF(BY$7="Actual","",IFERROR((INDEX($M163:$Q163,,MATCH(BY$4,$M$4:$Q$4,0))),0))</f>
        <v/>
      </c>
      <c r="BZ163" s="257">
        <f>IF(BZ$7="Actual","",IFERROR((INDEX($M163:$Q163,,MATCH(BZ$4,$M$4:$Q$4,0))),0))</f>
        <v/>
      </c>
      <c r="CA163" s="257">
        <f>IF(CA$7="Actual","",IFERROR((INDEX($M163:$Q163,,MATCH(CA$4,$M$4:$Q$4,0))),0))</f>
        <v/>
      </c>
    </row>
    <row r="164" ht="12" customHeight="1" s="227">
      <c r="A164" s="244" t="n"/>
      <c r="B164" s="244" t="n"/>
      <c r="C164" s="244" t="n"/>
      <c r="H164" s="0">
        <f>H154</f>
        <v/>
      </c>
      <c r="I164" s="27">
        <f>i_Setup!$M$16</f>
        <v/>
      </c>
      <c r="K164" s="6" t="n"/>
      <c r="M164" s="257">
        <f>i_Assumptions!M277</f>
        <v/>
      </c>
      <c r="N164" s="257">
        <f>i_Assumptions!N277</f>
        <v/>
      </c>
      <c r="O164" s="257">
        <f>i_Assumptions!O277</f>
        <v/>
      </c>
      <c r="P164" s="257">
        <f>i_Assumptions!P277</f>
        <v/>
      </c>
      <c r="Q164" s="257">
        <f>i_Assumptions!Q277</f>
        <v/>
      </c>
      <c r="T164" s="257">
        <f>IF(T$7="Actual","",IFERROR((INDEX($M164:$Q164,,MATCH(T$4,$M$4:$Q$4,0))),0))</f>
        <v/>
      </c>
      <c r="U164" s="257">
        <f>IF(U$7="Actual","",IFERROR((INDEX($M164:$Q164,,MATCH(U$4,$M$4:$Q$4,0))),0))</f>
        <v/>
      </c>
      <c r="V164" s="257">
        <f>IF(V$7="Actual","",IFERROR((INDEX($M164:$Q164,,MATCH(V$4,$M$4:$Q$4,0))),0))</f>
        <v/>
      </c>
      <c r="W164" s="257">
        <f>IF(W$7="Actual","",IFERROR((INDEX($M164:$Q164,,MATCH(W$4,$M$4:$Q$4,0))),0))</f>
        <v/>
      </c>
      <c r="X164" s="257">
        <f>IF(X$7="Actual","",IFERROR((INDEX($M164:$Q164,,MATCH(X$4,$M$4:$Q$4,0))),0))</f>
        <v/>
      </c>
      <c r="Y164" s="257">
        <f>IF(Y$7="Actual","",IFERROR((INDEX($M164:$Q164,,MATCH(Y$4,$M$4:$Q$4,0))),0))</f>
        <v/>
      </c>
      <c r="Z164" s="257">
        <f>IF(Z$7="Actual","",IFERROR((INDEX($M164:$Q164,,MATCH(Z$4,$M$4:$Q$4,0))),0))</f>
        <v/>
      </c>
      <c r="AA164" s="257">
        <f>IF(AA$7="Actual","",IFERROR((INDEX($M164:$Q164,,MATCH(AA$4,$M$4:$Q$4,0))),0))</f>
        <v/>
      </c>
      <c r="AB164" s="257">
        <f>IF(AB$7="Actual","",IFERROR((INDEX($M164:$Q164,,MATCH(AB$4,$M$4:$Q$4,0))),0))</f>
        <v/>
      </c>
      <c r="AC164" s="257">
        <f>IF(AC$7="Actual","",IFERROR((INDEX($M164:$Q164,,MATCH(AC$4,$M$4:$Q$4,0))),0))</f>
        <v/>
      </c>
      <c r="AD164" s="257">
        <f>IF(AD$7="Actual","",IFERROR((INDEX($M164:$Q164,,MATCH(AD$4,$M$4:$Q$4,0))),0))</f>
        <v/>
      </c>
      <c r="AE164" s="257">
        <f>IF(AE$7="Actual","",IFERROR((INDEX($M164:$Q164,,MATCH(AE$4,$M$4:$Q$4,0))),0))</f>
        <v/>
      </c>
      <c r="AF164" s="257">
        <f>IF(AF$7="Actual","",IFERROR((INDEX($M164:$Q164,,MATCH(AF$4,$M$4:$Q$4,0))),0))</f>
        <v/>
      </c>
      <c r="AG164" s="257">
        <f>IF(AG$7="Actual","",IFERROR((INDEX($M164:$Q164,,MATCH(AG$4,$M$4:$Q$4,0))),0))</f>
        <v/>
      </c>
      <c r="AH164" s="257">
        <f>IF(AH$7="Actual","",IFERROR((INDEX($M164:$Q164,,MATCH(AH$4,$M$4:$Q$4,0))),0))</f>
        <v/>
      </c>
      <c r="AI164" s="257">
        <f>IF(AI$7="Actual","",IFERROR((INDEX($M164:$Q164,,MATCH(AI$4,$M$4:$Q$4,0))),0))</f>
        <v/>
      </c>
      <c r="AJ164" s="257">
        <f>IF(AJ$7="Actual","",IFERROR((INDEX($M164:$Q164,,MATCH(AJ$4,$M$4:$Q$4,0))),0))</f>
        <v/>
      </c>
      <c r="AK164" s="257">
        <f>IF(AK$7="Actual","",IFERROR((INDEX($M164:$Q164,,MATCH(AK$4,$M$4:$Q$4,0))),0))</f>
        <v/>
      </c>
      <c r="AL164" s="257">
        <f>IF(AL$7="Actual","",IFERROR((INDEX($M164:$Q164,,MATCH(AL$4,$M$4:$Q$4,0))),0))</f>
        <v/>
      </c>
      <c r="AM164" s="257">
        <f>IF(AM$7="Actual","",IFERROR((INDEX($M164:$Q164,,MATCH(AM$4,$M$4:$Q$4,0))),0))</f>
        <v/>
      </c>
      <c r="AN164" s="257">
        <f>IF(AN$7="Actual","",IFERROR((INDEX($M164:$Q164,,MATCH(AN$4,$M$4:$Q$4,0))),0))</f>
        <v/>
      </c>
      <c r="AO164" s="257">
        <f>IF(AO$7="Actual","",IFERROR((INDEX($M164:$Q164,,MATCH(AO$4,$M$4:$Q$4,0))),0))</f>
        <v/>
      </c>
      <c r="AP164" s="257">
        <f>IF(AP$7="Actual","",IFERROR((INDEX($M164:$Q164,,MATCH(AP$4,$M$4:$Q$4,0))),0))</f>
        <v/>
      </c>
      <c r="AQ164" s="257">
        <f>IF(AQ$7="Actual","",IFERROR((INDEX($M164:$Q164,,MATCH(AQ$4,$M$4:$Q$4,0))),0))</f>
        <v/>
      </c>
      <c r="AR164" s="257">
        <f>IF(AR$7="Actual","",IFERROR((INDEX($M164:$Q164,,MATCH(AR$4,$M$4:$Q$4,0))),0))</f>
        <v/>
      </c>
      <c r="AS164" s="257">
        <f>IF(AS$7="Actual","",IFERROR((INDEX($M164:$Q164,,MATCH(AS$4,$M$4:$Q$4,0))),0))</f>
        <v/>
      </c>
      <c r="AT164" s="257">
        <f>IF(AT$7="Actual","",IFERROR((INDEX($M164:$Q164,,MATCH(AT$4,$M$4:$Q$4,0))),0))</f>
        <v/>
      </c>
      <c r="AU164" s="257">
        <f>IF(AU$7="Actual","",IFERROR((INDEX($M164:$Q164,,MATCH(AU$4,$M$4:$Q$4,0))),0))</f>
        <v/>
      </c>
      <c r="AV164" s="257">
        <f>IF(AV$7="Actual","",IFERROR((INDEX($M164:$Q164,,MATCH(AV$4,$M$4:$Q$4,0))),0))</f>
        <v/>
      </c>
      <c r="AW164" s="257">
        <f>IF(AW$7="Actual","",IFERROR((INDEX($M164:$Q164,,MATCH(AW$4,$M$4:$Q$4,0))),0))</f>
        <v/>
      </c>
      <c r="AX164" s="257">
        <f>IF(AX$7="Actual","",IFERROR((INDEX($M164:$Q164,,MATCH(AX$4,$M$4:$Q$4,0))),0))</f>
        <v/>
      </c>
      <c r="AY164" s="257">
        <f>IF(AY$7="Actual","",IFERROR((INDEX($M164:$Q164,,MATCH(AY$4,$M$4:$Q$4,0))),0))</f>
        <v/>
      </c>
      <c r="AZ164" s="257">
        <f>IF(AZ$7="Actual","",IFERROR((INDEX($M164:$Q164,,MATCH(AZ$4,$M$4:$Q$4,0))),0))</f>
        <v/>
      </c>
      <c r="BA164" s="257">
        <f>IF(BA$7="Actual","",IFERROR((INDEX($M164:$Q164,,MATCH(BA$4,$M$4:$Q$4,0))),0))</f>
        <v/>
      </c>
      <c r="BB164" s="257">
        <f>IF(BB$7="Actual","",IFERROR((INDEX($M164:$Q164,,MATCH(BB$4,$M$4:$Q$4,0))),0))</f>
        <v/>
      </c>
      <c r="BC164" s="257">
        <f>IF(BC$7="Actual","",IFERROR((INDEX($M164:$Q164,,MATCH(BC$4,$M$4:$Q$4,0))),0))</f>
        <v/>
      </c>
      <c r="BD164" s="257">
        <f>IF(BD$7="Actual","",IFERROR((INDEX($M164:$Q164,,MATCH(BD$4,$M$4:$Q$4,0))),0))</f>
        <v/>
      </c>
      <c r="BE164" s="257">
        <f>IF(BE$7="Actual","",IFERROR((INDEX($M164:$Q164,,MATCH(BE$4,$M$4:$Q$4,0))),0))</f>
        <v/>
      </c>
      <c r="BF164" s="257">
        <f>IF(BF$7="Actual","",IFERROR((INDEX($M164:$Q164,,MATCH(BF$4,$M$4:$Q$4,0))),0))</f>
        <v/>
      </c>
      <c r="BG164" s="257">
        <f>IF(BG$7="Actual","",IFERROR((INDEX($M164:$Q164,,MATCH(BG$4,$M$4:$Q$4,0))),0))</f>
        <v/>
      </c>
      <c r="BH164" s="257">
        <f>IF(BH$7="Actual","",IFERROR((INDEX($M164:$Q164,,MATCH(BH$4,$M$4:$Q$4,0))),0))</f>
        <v/>
      </c>
      <c r="BI164" s="257">
        <f>IF(BI$7="Actual","",IFERROR((INDEX($M164:$Q164,,MATCH(BI$4,$M$4:$Q$4,0))),0))</f>
        <v/>
      </c>
      <c r="BJ164" s="257">
        <f>IF(BJ$7="Actual","",IFERROR((INDEX($M164:$Q164,,MATCH(BJ$4,$M$4:$Q$4,0))),0))</f>
        <v/>
      </c>
      <c r="BK164" s="257">
        <f>IF(BK$7="Actual","",IFERROR((INDEX($M164:$Q164,,MATCH(BK$4,$M$4:$Q$4,0))),0))</f>
        <v/>
      </c>
      <c r="BL164" s="257">
        <f>IF(BL$7="Actual","",IFERROR((INDEX($M164:$Q164,,MATCH(BL$4,$M$4:$Q$4,0))),0))</f>
        <v/>
      </c>
      <c r="BM164" s="257">
        <f>IF(BM$7="Actual","",IFERROR((INDEX($M164:$Q164,,MATCH(BM$4,$M$4:$Q$4,0))),0))</f>
        <v/>
      </c>
      <c r="BN164" s="257">
        <f>IF(BN$7="Actual","",IFERROR((INDEX($M164:$Q164,,MATCH(BN$4,$M$4:$Q$4,0))),0))</f>
        <v/>
      </c>
      <c r="BO164" s="257">
        <f>IF(BO$7="Actual","",IFERROR((INDEX($M164:$Q164,,MATCH(BO$4,$M$4:$Q$4,0))),0))</f>
        <v/>
      </c>
      <c r="BP164" s="257">
        <f>IF(BP$7="Actual","",IFERROR((INDEX($M164:$Q164,,MATCH(BP$4,$M$4:$Q$4,0))),0))</f>
        <v/>
      </c>
      <c r="BQ164" s="257">
        <f>IF(BQ$7="Actual","",IFERROR((INDEX($M164:$Q164,,MATCH(BQ$4,$M$4:$Q$4,0))),0))</f>
        <v/>
      </c>
      <c r="BR164" s="257">
        <f>IF(BR$7="Actual","",IFERROR((INDEX($M164:$Q164,,MATCH(BR$4,$M$4:$Q$4,0))),0))</f>
        <v/>
      </c>
      <c r="BS164" s="257">
        <f>IF(BS$7="Actual","",IFERROR((INDEX($M164:$Q164,,MATCH(BS$4,$M$4:$Q$4,0))),0))</f>
        <v/>
      </c>
      <c r="BT164" s="257">
        <f>IF(BT$7="Actual","",IFERROR((INDEX($M164:$Q164,,MATCH(BT$4,$M$4:$Q$4,0))),0))</f>
        <v/>
      </c>
      <c r="BU164" s="257">
        <f>IF(BU$7="Actual","",IFERROR((INDEX($M164:$Q164,,MATCH(BU$4,$M$4:$Q$4,0))),0))</f>
        <v/>
      </c>
      <c r="BV164" s="257">
        <f>IF(BV$7="Actual","",IFERROR((INDEX($M164:$Q164,,MATCH(BV$4,$M$4:$Q$4,0))),0))</f>
        <v/>
      </c>
      <c r="BW164" s="257">
        <f>IF(BW$7="Actual","",IFERROR((INDEX($M164:$Q164,,MATCH(BW$4,$M$4:$Q$4,0))),0))</f>
        <v/>
      </c>
      <c r="BX164" s="257">
        <f>IF(BX$7="Actual","",IFERROR((INDEX($M164:$Q164,,MATCH(BX$4,$M$4:$Q$4,0))),0))</f>
        <v/>
      </c>
      <c r="BY164" s="257">
        <f>IF(BY$7="Actual","",IFERROR((INDEX($M164:$Q164,,MATCH(BY$4,$M$4:$Q$4,0))),0))</f>
        <v/>
      </c>
      <c r="BZ164" s="257">
        <f>IF(BZ$7="Actual","",IFERROR((INDEX($M164:$Q164,,MATCH(BZ$4,$M$4:$Q$4,0))),0))</f>
        <v/>
      </c>
      <c r="CA164" s="257">
        <f>IF(CA$7="Actual","",IFERROR((INDEX($M164:$Q164,,MATCH(CA$4,$M$4:$Q$4,0))),0))</f>
        <v/>
      </c>
    </row>
    <row r="165" ht="12" customHeight="1" s="227">
      <c r="A165" s="244" t="n"/>
      <c r="B165" s="244" t="n"/>
      <c r="C165" s="244" t="n"/>
      <c r="H165" s="0">
        <f>H155</f>
        <v/>
      </c>
      <c r="I165" s="27">
        <f>i_Setup!$M$16</f>
        <v/>
      </c>
      <c r="K165" s="6" t="n"/>
      <c r="M165" s="257">
        <f>i_Assumptions!M278</f>
        <v/>
      </c>
      <c r="N165" s="257">
        <f>i_Assumptions!N278</f>
        <v/>
      </c>
      <c r="O165" s="257">
        <f>i_Assumptions!O278</f>
        <v/>
      </c>
      <c r="P165" s="257">
        <f>i_Assumptions!P278</f>
        <v/>
      </c>
      <c r="Q165" s="257">
        <f>i_Assumptions!Q278</f>
        <v/>
      </c>
      <c r="T165" s="257">
        <f>IF(T$7="Actual","",IFERROR((INDEX($M165:$Q165,,MATCH(T$4,$M$4:$Q$4,0))),0))</f>
        <v/>
      </c>
      <c r="U165" s="257">
        <f>IF(U$7="Actual","",IFERROR((INDEX($M165:$Q165,,MATCH(U$4,$M$4:$Q$4,0))),0))</f>
        <v/>
      </c>
      <c r="V165" s="257">
        <f>IF(V$7="Actual","",IFERROR((INDEX($M165:$Q165,,MATCH(V$4,$M$4:$Q$4,0))),0))</f>
        <v/>
      </c>
      <c r="W165" s="257">
        <f>IF(W$7="Actual","",IFERROR((INDEX($M165:$Q165,,MATCH(W$4,$M$4:$Q$4,0))),0))</f>
        <v/>
      </c>
      <c r="X165" s="257">
        <f>IF(X$7="Actual","",IFERROR((INDEX($M165:$Q165,,MATCH(X$4,$M$4:$Q$4,0))),0))</f>
        <v/>
      </c>
      <c r="Y165" s="257">
        <f>IF(Y$7="Actual","",IFERROR((INDEX($M165:$Q165,,MATCH(Y$4,$M$4:$Q$4,0))),0))</f>
        <v/>
      </c>
      <c r="Z165" s="257">
        <f>IF(Z$7="Actual","",IFERROR((INDEX($M165:$Q165,,MATCH(Z$4,$M$4:$Q$4,0))),0))</f>
        <v/>
      </c>
      <c r="AA165" s="257">
        <f>IF(AA$7="Actual","",IFERROR((INDEX($M165:$Q165,,MATCH(AA$4,$M$4:$Q$4,0))),0))</f>
        <v/>
      </c>
      <c r="AB165" s="257">
        <f>IF(AB$7="Actual","",IFERROR((INDEX($M165:$Q165,,MATCH(AB$4,$M$4:$Q$4,0))),0))</f>
        <v/>
      </c>
      <c r="AC165" s="257">
        <f>IF(AC$7="Actual","",IFERROR((INDEX($M165:$Q165,,MATCH(AC$4,$M$4:$Q$4,0))),0))</f>
        <v/>
      </c>
      <c r="AD165" s="257">
        <f>IF(AD$7="Actual","",IFERROR((INDEX($M165:$Q165,,MATCH(AD$4,$M$4:$Q$4,0))),0))</f>
        <v/>
      </c>
      <c r="AE165" s="257">
        <f>IF(AE$7="Actual","",IFERROR((INDEX($M165:$Q165,,MATCH(AE$4,$M$4:$Q$4,0))),0))</f>
        <v/>
      </c>
      <c r="AF165" s="257">
        <f>IF(AF$7="Actual","",IFERROR((INDEX($M165:$Q165,,MATCH(AF$4,$M$4:$Q$4,0))),0))</f>
        <v/>
      </c>
      <c r="AG165" s="257">
        <f>IF(AG$7="Actual","",IFERROR((INDEX($M165:$Q165,,MATCH(AG$4,$M$4:$Q$4,0))),0))</f>
        <v/>
      </c>
      <c r="AH165" s="257">
        <f>IF(AH$7="Actual","",IFERROR((INDEX($M165:$Q165,,MATCH(AH$4,$M$4:$Q$4,0))),0))</f>
        <v/>
      </c>
      <c r="AI165" s="257">
        <f>IF(AI$7="Actual","",IFERROR((INDEX($M165:$Q165,,MATCH(AI$4,$M$4:$Q$4,0))),0))</f>
        <v/>
      </c>
      <c r="AJ165" s="257">
        <f>IF(AJ$7="Actual","",IFERROR((INDEX($M165:$Q165,,MATCH(AJ$4,$M$4:$Q$4,0))),0))</f>
        <v/>
      </c>
      <c r="AK165" s="257">
        <f>IF(AK$7="Actual","",IFERROR((INDEX($M165:$Q165,,MATCH(AK$4,$M$4:$Q$4,0))),0))</f>
        <v/>
      </c>
      <c r="AL165" s="257">
        <f>IF(AL$7="Actual","",IFERROR((INDEX($M165:$Q165,,MATCH(AL$4,$M$4:$Q$4,0))),0))</f>
        <v/>
      </c>
      <c r="AM165" s="257">
        <f>IF(AM$7="Actual","",IFERROR((INDEX($M165:$Q165,,MATCH(AM$4,$M$4:$Q$4,0))),0))</f>
        <v/>
      </c>
      <c r="AN165" s="257">
        <f>IF(AN$7="Actual","",IFERROR((INDEX($M165:$Q165,,MATCH(AN$4,$M$4:$Q$4,0))),0))</f>
        <v/>
      </c>
      <c r="AO165" s="257">
        <f>IF(AO$7="Actual","",IFERROR((INDEX($M165:$Q165,,MATCH(AO$4,$M$4:$Q$4,0))),0))</f>
        <v/>
      </c>
      <c r="AP165" s="257">
        <f>IF(AP$7="Actual","",IFERROR((INDEX($M165:$Q165,,MATCH(AP$4,$M$4:$Q$4,0))),0))</f>
        <v/>
      </c>
      <c r="AQ165" s="257">
        <f>IF(AQ$7="Actual","",IFERROR((INDEX($M165:$Q165,,MATCH(AQ$4,$M$4:$Q$4,0))),0))</f>
        <v/>
      </c>
      <c r="AR165" s="257">
        <f>IF(AR$7="Actual","",IFERROR((INDEX($M165:$Q165,,MATCH(AR$4,$M$4:$Q$4,0))),0))</f>
        <v/>
      </c>
      <c r="AS165" s="257">
        <f>IF(AS$7="Actual","",IFERROR((INDEX($M165:$Q165,,MATCH(AS$4,$M$4:$Q$4,0))),0))</f>
        <v/>
      </c>
      <c r="AT165" s="257">
        <f>IF(AT$7="Actual","",IFERROR((INDEX($M165:$Q165,,MATCH(AT$4,$M$4:$Q$4,0))),0))</f>
        <v/>
      </c>
      <c r="AU165" s="257">
        <f>IF(AU$7="Actual","",IFERROR((INDEX($M165:$Q165,,MATCH(AU$4,$M$4:$Q$4,0))),0))</f>
        <v/>
      </c>
      <c r="AV165" s="257">
        <f>IF(AV$7="Actual","",IFERROR((INDEX($M165:$Q165,,MATCH(AV$4,$M$4:$Q$4,0))),0))</f>
        <v/>
      </c>
      <c r="AW165" s="257">
        <f>IF(AW$7="Actual","",IFERROR((INDEX($M165:$Q165,,MATCH(AW$4,$M$4:$Q$4,0))),0))</f>
        <v/>
      </c>
      <c r="AX165" s="257">
        <f>IF(AX$7="Actual","",IFERROR((INDEX($M165:$Q165,,MATCH(AX$4,$M$4:$Q$4,0))),0))</f>
        <v/>
      </c>
      <c r="AY165" s="257">
        <f>IF(AY$7="Actual","",IFERROR((INDEX($M165:$Q165,,MATCH(AY$4,$M$4:$Q$4,0))),0))</f>
        <v/>
      </c>
      <c r="AZ165" s="257">
        <f>IF(AZ$7="Actual","",IFERROR((INDEX($M165:$Q165,,MATCH(AZ$4,$M$4:$Q$4,0))),0))</f>
        <v/>
      </c>
      <c r="BA165" s="257">
        <f>IF(BA$7="Actual","",IFERROR((INDEX($M165:$Q165,,MATCH(BA$4,$M$4:$Q$4,0))),0))</f>
        <v/>
      </c>
      <c r="BB165" s="257">
        <f>IF(BB$7="Actual","",IFERROR((INDEX($M165:$Q165,,MATCH(BB$4,$M$4:$Q$4,0))),0))</f>
        <v/>
      </c>
      <c r="BC165" s="257">
        <f>IF(BC$7="Actual","",IFERROR((INDEX($M165:$Q165,,MATCH(BC$4,$M$4:$Q$4,0))),0))</f>
        <v/>
      </c>
      <c r="BD165" s="257">
        <f>IF(BD$7="Actual","",IFERROR((INDEX($M165:$Q165,,MATCH(BD$4,$M$4:$Q$4,0))),0))</f>
        <v/>
      </c>
      <c r="BE165" s="257">
        <f>IF(BE$7="Actual","",IFERROR((INDEX($M165:$Q165,,MATCH(BE$4,$M$4:$Q$4,0))),0))</f>
        <v/>
      </c>
      <c r="BF165" s="257">
        <f>IF(BF$7="Actual","",IFERROR((INDEX($M165:$Q165,,MATCH(BF$4,$M$4:$Q$4,0))),0))</f>
        <v/>
      </c>
      <c r="BG165" s="257">
        <f>IF(BG$7="Actual","",IFERROR((INDEX($M165:$Q165,,MATCH(BG$4,$M$4:$Q$4,0))),0))</f>
        <v/>
      </c>
      <c r="BH165" s="257">
        <f>IF(BH$7="Actual","",IFERROR((INDEX($M165:$Q165,,MATCH(BH$4,$M$4:$Q$4,0))),0))</f>
        <v/>
      </c>
      <c r="BI165" s="257">
        <f>IF(BI$7="Actual","",IFERROR((INDEX($M165:$Q165,,MATCH(BI$4,$M$4:$Q$4,0))),0))</f>
        <v/>
      </c>
      <c r="BJ165" s="257">
        <f>IF(BJ$7="Actual","",IFERROR((INDEX($M165:$Q165,,MATCH(BJ$4,$M$4:$Q$4,0))),0))</f>
        <v/>
      </c>
      <c r="BK165" s="257">
        <f>IF(BK$7="Actual","",IFERROR((INDEX($M165:$Q165,,MATCH(BK$4,$M$4:$Q$4,0))),0))</f>
        <v/>
      </c>
      <c r="BL165" s="257">
        <f>IF(BL$7="Actual","",IFERROR((INDEX($M165:$Q165,,MATCH(BL$4,$M$4:$Q$4,0))),0))</f>
        <v/>
      </c>
      <c r="BM165" s="257">
        <f>IF(BM$7="Actual","",IFERROR((INDEX($M165:$Q165,,MATCH(BM$4,$M$4:$Q$4,0))),0))</f>
        <v/>
      </c>
      <c r="BN165" s="257">
        <f>IF(BN$7="Actual","",IFERROR((INDEX($M165:$Q165,,MATCH(BN$4,$M$4:$Q$4,0))),0))</f>
        <v/>
      </c>
      <c r="BO165" s="257">
        <f>IF(BO$7="Actual","",IFERROR((INDEX($M165:$Q165,,MATCH(BO$4,$M$4:$Q$4,0))),0))</f>
        <v/>
      </c>
      <c r="BP165" s="257">
        <f>IF(BP$7="Actual","",IFERROR((INDEX($M165:$Q165,,MATCH(BP$4,$M$4:$Q$4,0))),0))</f>
        <v/>
      </c>
      <c r="BQ165" s="257">
        <f>IF(BQ$7="Actual","",IFERROR((INDEX($M165:$Q165,,MATCH(BQ$4,$M$4:$Q$4,0))),0))</f>
        <v/>
      </c>
      <c r="BR165" s="257">
        <f>IF(BR$7="Actual","",IFERROR((INDEX($M165:$Q165,,MATCH(BR$4,$M$4:$Q$4,0))),0))</f>
        <v/>
      </c>
      <c r="BS165" s="257">
        <f>IF(BS$7="Actual","",IFERROR((INDEX($M165:$Q165,,MATCH(BS$4,$M$4:$Q$4,0))),0))</f>
        <v/>
      </c>
      <c r="BT165" s="257">
        <f>IF(BT$7="Actual","",IFERROR((INDEX($M165:$Q165,,MATCH(BT$4,$M$4:$Q$4,0))),0))</f>
        <v/>
      </c>
      <c r="BU165" s="257">
        <f>IF(BU$7="Actual","",IFERROR((INDEX($M165:$Q165,,MATCH(BU$4,$M$4:$Q$4,0))),0))</f>
        <v/>
      </c>
      <c r="BV165" s="257">
        <f>IF(BV$7="Actual","",IFERROR((INDEX($M165:$Q165,,MATCH(BV$4,$M$4:$Q$4,0))),0))</f>
        <v/>
      </c>
      <c r="BW165" s="257">
        <f>IF(BW$7="Actual","",IFERROR((INDEX($M165:$Q165,,MATCH(BW$4,$M$4:$Q$4,0))),0))</f>
        <v/>
      </c>
      <c r="BX165" s="257">
        <f>IF(BX$7="Actual","",IFERROR((INDEX($M165:$Q165,,MATCH(BX$4,$M$4:$Q$4,0))),0))</f>
        <v/>
      </c>
      <c r="BY165" s="257">
        <f>IF(BY$7="Actual","",IFERROR((INDEX($M165:$Q165,,MATCH(BY$4,$M$4:$Q$4,0))),0))</f>
        <v/>
      </c>
      <c r="BZ165" s="257">
        <f>IF(BZ$7="Actual","",IFERROR((INDEX($M165:$Q165,,MATCH(BZ$4,$M$4:$Q$4,0))),0))</f>
        <v/>
      </c>
      <c r="CA165" s="257">
        <f>IF(CA$7="Actual","",IFERROR((INDEX($M165:$Q165,,MATCH(CA$4,$M$4:$Q$4,0))),0))</f>
        <v/>
      </c>
    </row>
    <row r="166" ht="12" customHeight="1" s="227">
      <c r="A166" s="244" t="n"/>
      <c r="B166" s="244" t="n"/>
      <c r="C166" s="244" t="n"/>
      <c r="H166" s="0">
        <f>H156</f>
        <v/>
      </c>
      <c r="I166" s="27">
        <f>i_Setup!$M$16</f>
        <v/>
      </c>
      <c r="K166" s="6" t="n"/>
      <c r="M166" s="257">
        <f>i_Assumptions!M279</f>
        <v/>
      </c>
      <c r="N166" s="257">
        <f>i_Assumptions!N279</f>
        <v/>
      </c>
      <c r="O166" s="257">
        <f>i_Assumptions!O279</f>
        <v/>
      </c>
      <c r="P166" s="257">
        <f>i_Assumptions!P279</f>
        <v/>
      </c>
      <c r="Q166" s="257">
        <f>i_Assumptions!Q279</f>
        <v/>
      </c>
      <c r="T166" s="257">
        <f>IF(T$7="Actual","",IFERROR((INDEX($M166:$Q166,,MATCH(T$4,$M$4:$Q$4,0))),0))</f>
        <v/>
      </c>
      <c r="U166" s="257">
        <f>IF(U$7="Actual","",IFERROR((INDEX($M166:$Q166,,MATCH(U$4,$M$4:$Q$4,0))),0))</f>
        <v/>
      </c>
      <c r="V166" s="257">
        <f>IF(V$7="Actual","",IFERROR((INDEX($M166:$Q166,,MATCH(V$4,$M$4:$Q$4,0))),0))</f>
        <v/>
      </c>
      <c r="W166" s="257">
        <f>IF(W$7="Actual","",IFERROR((INDEX($M166:$Q166,,MATCH(W$4,$M$4:$Q$4,0))),0))</f>
        <v/>
      </c>
      <c r="X166" s="257">
        <f>IF(X$7="Actual","",IFERROR((INDEX($M166:$Q166,,MATCH(X$4,$M$4:$Q$4,0))),0))</f>
        <v/>
      </c>
      <c r="Y166" s="257">
        <f>IF(Y$7="Actual","",IFERROR((INDEX($M166:$Q166,,MATCH(Y$4,$M$4:$Q$4,0))),0))</f>
        <v/>
      </c>
      <c r="Z166" s="257">
        <f>IF(Z$7="Actual","",IFERROR((INDEX($M166:$Q166,,MATCH(Z$4,$M$4:$Q$4,0))),0))</f>
        <v/>
      </c>
      <c r="AA166" s="257">
        <f>IF(AA$7="Actual","",IFERROR((INDEX($M166:$Q166,,MATCH(AA$4,$M$4:$Q$4,0))),0))</f>
        <v/>
      </c>
      <c r="AB166" s="257">
        <f>IF(AB$7="Actual","",IFERROR((INDEX($M166:$Q166,,MATCH(AB$4,$M$4:$Q$4,0))),0))</f>
        <v/>
      </c>
      <c r="AC166" s="257">
        <f>IF(AC$7="Actual","",IFERROR((INDEX($M166:$Q166,,MATCH(AC$4,$M$4:$Q$4,0))),0))</f>
        <v/>
      </c>
      <c r="AD166" s="257">
        <f>IF(AD$7="Actual","",IFERROR((INDEX($M166:$Q166,,MATCH(AD$4,$M$4:$Q$4,0))),0))</f>
        <v/>
      </c>
      <c r="AE166" s="257">
        <f>IF(AE$7="Actual","",IFERROR((INDEX($M166:$Q166,,MATCH(AE$4,$M$4:$Q$4,0))),0))</f>
        <v/>
      </c>
      <c r="AF166" s="257">
        <f>IF(AF$7="Actual","",IFERROR((INDEX($M166:$Q166,,MATCH(AF$4,$M$4:$Q$4,0))),0))</f>
        <v/>
      </c>
      <c r="AG166" s="257">
        <f>IF(AG$7="Actual","",IFERROR((INDEX($M166:$Q166,,MATCH(AG$4,$M$4:$Q$4,0))),0))</f>
        <v/>
      </c>
      <c r="AH166" s="257">
        <f>IF(AH$7="Actual","",IFERROR((INDEX($M166:$Q166,,MATCH(AH$4,$M$4:$Q$4,0))),0))</f>
        <v/>
      </c>
      <c r="AI166" s="257">
        <f>IF(AI$7="Actual","",IFERROR((INDEX($M166:$Q166,,MATCH(AI$4,$M$4:$Q$4,0))),0))</f>
        <v/>
      </c>
      <c r="AJ166" s="257">
        <f>IF(AJ$7="Actual","",IFERROR((INDEX($M166:$Q166,,MATCH(AJ$4,$M$4:$Q$4,0))),0))</f>
        <v/>
      </c>
      <c r="AK166" s="257">
        <f>IF(AK$7="Actual","",IFERROR((INDEX($M166:$Q166,,MATCH(AK$4,$M$4:$Q$4,0))),0))</f>
        <v/>
      </c>
      <c r="AL166" s="257">
        <f>IF(AL$7="Actual","",IFERROR((INDEX($M166:$Q166,,MATCH(AL$4,$M$4:$Q$4,0))),0))</f>
        <v/>
      </c>
      <c r="AM166" s="257">
        <f>IF(AM$7="Actual","",IFERROR((INDEX($M166:$Q166,,MATCH(AM$4,$M$4:$Q$4,0))),0))</f>
        <v/>
      </c>
      <c r="AN166" s="257">
        <f>IF(AN$7="Actual","",IFERROR((INDEX($M166:$Q166,,MATCH(AN$4,$M$4:$Q$4,0))),0))</f>
        <v/>
      </c>
      <c r="AO166" s="257">
        <f>IF(AO$7="Actual","",IFERROR((INDEX($M166:$Q166,,MATCH(AO$4,$M$4:$Q$4,0))),0))</f>
        <v/>
      </c>
      <c r="AP166" s="257">
        <f>IF(AP$7="Actual","",IFERROR((INDEX($M166:$Q166,,MATCH(AP$4,$M$4:$Q$4,0))),0))</f>
        <v/>
      </c>
      <c r="AQ166" s="257">
        <f>IF(AQ$7="Actual","",IFERROR((INDEX($M166:$Q166,,MATCH(AQ$4,$M$4:$Q$4,0))),0))</f>
        <v/>
      </c>
      <c r="AR166" s="257">
        <f>IF(AR$7="Actual","",IFERROR((INDEX($M166:$Q166,,MATCH(AR$4,$M$4:$Q$4,0))),0))</f>
        <v/>
      </c>
      <c r="AS166" s="257">
        <f>IF(AS$7="Actual","",IFERROR((INDEX($M166:$Q166,,MATCH(AS$4,$M$4:$Q$4,0))),0))</f>
        <v/>
      </c>
      <c r="AT166" s="257">
        <f>IF(AT$7="Actual","",IFERROR((INDEX($M166:$Q166,,MATCH(AT$4,$M$4:$Q$4,0))),0))</f>
        <v/>
      </c>
      <c r="AU166" s="257">
        <f>IF(AU$7="Actual","",IFERROR((INDEX($M166:$Q166,,MATCH(AU$4,$M$4:$Q$4,0))),0))</f>
        <v/>
      </c>
      <c r="AV166" s="257">
        <f>IF(AV$7="Actual","",IFERROR((INDEX($M166:$Q166,,MATCH(AV$4,$M$4:$Q$4,0))),0))</f>
        <v/>
      </c>
      <c r="AW166" s="257">
        <f>IF(AW$7="Actual","",IFERROR((INDEX($M166:$Q166,,MATCH(AW$4,$M$4:$Q$4,0))),0))</f>
        <v/>
      </c>
      <c r="AX166" s="257">
        <f>IF(AX$7="Actual","",IFERROR((INDEX($M166:$Q166,,MATCH(AX$4,$M$4:$Q$4,0))),0))</f>
        <v/>
      </c>
      <c r="AY166" s="257">
        <f>IF(AY$7="Actual","",IFERROR((INDEX($M166:$Q166,,MATCH(AY$4,$M$4:$Q$4,0))),0))</f>
        <v/>
      </c>
      <c r="AZ166" s="257">
        <f>IF(AZ$7="Actual","",IFERROR((INDEX($M166:$Q166,,MATCH(AZ$4,$M$4:$Q$4,0))),0))</f>
        <v/>
      </c>
      <c r="BA166" s="257">
        <f>IF(BA$7="Actual","",IFERROR((INDEX($M166:$Q166,,MATCH(BA$4,$M$4:$Q$4,0))),0))</f>
        <v/>
      </c>
      <c r="BB166" s="257">
        <f>IF(BB$7="Actual","",IFERROR((INDEX($M166:$Q166,,MATCH(BB$4,$M$4:$Q$4,0))),0))</f>
        <v/>
      </c>
      <c r="BC166" s="257">
        <f>IF(BC$7="Actual","",IFERROR((INDEX($M166:$Q166,,MATCH(BC$4,$M$4:$Q$4,0))),0))</f>
        <v/>
      </c>
      <c r="BD166" s="257">
        <f>IF(BD$7="Actual","",IFERROR((INDEX($M166:$Q166,,MATCH(BD$4,$M$4:$Q$4,0))),0))</f>
        <v/>
      </c>
      <c r="BE166" s="257">
        <f>IF(BE$7="Actual","",IFERROR((INDEX($M166:$Q166,,MATCH(BE$4,$M$4:$Q$4,0))),0))</f>
        <v/>
      </c>
      <c r="BF166" s="257">
        <f>IF(BF$7="Actual","",IFERROR((INDEX($M166:$Q166,,MATCH(BF$4,$M$4:$Q$4,0))),0))</f>
        <v/>
      </c>
      <c r="BG166" s="257">
        <f>IF(BG$7="Actual","",IFERROR((INDEX($M166:$Q166,,MATCH(BG$4,$M$4:$Q$4,0))),0))</f>
        <v/>
      </c>
      <c r="BH166" s="257">
        <f>IF(BH$7="Actual","",IFERROR((INDEX($M166:$Q166,,MATCH(BH$4,$M$4:$Q$4,0))),0))</f>
        <v/>
      </c>
      <c r="BI166" s="257">
        <f>IF(BI$7="Actual","",IFERROR((INDEX($M166:$Q166,,MATCH(BI$4,$M$4:$Q$4,0))),0))</f>
        <v/>
      </c>
      <c r="BJ166" s="257">
        <f>IF(BJ$7="Actual","",IFERROR((INDEX($M166:$Q166,,MATCH(BJ$4,$M$4:$Q$4,0))),0))</f>
        <v/>
      </c>
      <c r="BK166" s="257">
        <f>IF(BK$7="Actual","",IFERROR((INDEX($M166:$Q166,,MATCH(BK$4,$M$4:$Q$4,0))),0))</f>
        <v/>
      </c>
      <c r="BL166" s="257">
        <f>IF(BL$7="Actual","",IFERROR((INDEX($M166:$Q166,,MATCH(BL$4,$M$4:$Q$4,0))),0))</f>
        <v/>
      </c>
      <c r="BM166" s="257">
        <f>IF(BM$7="Actual","",IFERROR((INDEX($M166:$Q166,,MATCH(BM$4,$M$4:$Q$4,0))),0))</f>
        <v/>
      </c>
      <c r="BN166" s="257">
        <f>IF(BN$7="Actual","",IFERROR((INDEX($M166:$Q166,,MATCH(BN$4,$M$4:$Q$4,0))),0))</f>
        <v/>
      </c>
      <c r="BO166" s="257">
        <f>IF(BO$7="Actual","",IFERROR((INDEX($M166:$Q166,,MATCH(BO$4,$M$4:$Q$4,0))),0))</f>
        <v/>
      </c>
      <c r="BP166" s="257">
        <f>IF(BP$7="Actual","",IFERROR((INDEX($M166:$Q166,,MATCH(BP$4,$M$4:$Q$4,0))),0))</f>
        <v/>
      </c>
      <c r="BQ166" s="257">
        <f>IF(BQ$7="Actual","",IFERROR((INDEX($M166:$Q166,,MATCH(BQ$4,$M$4:$Q$4,0))),0))</f>
        <v/>
      </c>
      <c r="BR166" s="257">
        <f>IF(BR$7="Actual","",IFERROR((INDEX($M166:$Q166,,MATCH(BR$4,$M$4:$Q$4,0))),0))</f>
        <v/>
      </c>
      <c r="BS166" s="257">
        <f>IF(BS$7="Actual","",IFERROR((INDEX($M166:$Q166,,MATCH(BS$4,$M$4:$Q$4,0))),0))</f>
        <v/>
      </c>
      <c r="BT166" s="257">
        <f>IF(BT$7="Actual","",IFERROR((INDEX($M166:$Q166,,MATCH(BT$4,$M$4:$Q$4,0))),0))</f>
        <v/>
      </c>
      <c r="BU166" s="257">
        <f>IF(BU$7="Actual","",IFERROR((INDEX($M166:$Q166,,MATCH(BU$4,$M$4:$Q$4,0))),0))</f>
        <v/>
      </c>
      <c r="BV166" s="257">
        <f>IF(BV$7="Actual","",IFERROR((INDEX($M166:$Q166,,MATCH(BV$4,$M$4:$Q$4,0))),0))</f>
        <v/>
      </c>
      <c r="BW166" s="257">
        <f>IF(BW$7="Actual","",IFERROR((INDEX($M166:$Q166,,MATCH(BW$4,$M$4:$Q$4,0))),0))</f>
        <v/>
      </c>
      <c r="BX166" s="257">
        <f>IF(BX$7="Actual","",IFERROR((INDEX($M166:$Q166,,MATCH(BX$4,$M$4:$Q$4,0))),0))</f>
        <v/>
      </c>
      <c r="BY166" s="257">
        <f>IF(BY$7="Actual","",IFERROR((INDEX($M166:$Q166,,MATCH(BY$4,$M$4:$Q$4,0))),0))</f>
        <v/>
      </c>
      <c r="BZ166" s="257">
        <f>IF(BZ$7="Actual","",IFERROR((INDEX($M166:$Q166,,MATCH(BZ$4,$M$4:$Q$4,0))),0))</f>
        <v/>
      </c>
      <c r="CA166" s="257">
        <f>IF(CA$7="Actual","",IFERROR((INDEX($M166:$Q166,,MATCH(CA$4,$M$4:$Q$4,0))),0))</f>
        <v/>
      </c>
    </row>
    <row r="167" ht="12" customHeight="1" s="227">
      <c r="A167" s="244" t="n"/>
      <c r="B167" s="244" t="n"/>
      <c r="C167" s="244" t="n"/>
      <c r="H167" s="0">
        <f>H157</f>
        <v/>
      </c>
      <c r="I167" s="27">
        <f>i_Setup!$M$16</f>
        <v/>
      </c>
      <c r="K167" s="6" t="n"/>
      <c r="M167" s="257">
        <f>i_Assumptions!M280</f>
        <v/>
      </c>
      <c r="N167" s="257">
        <f>i_Assumptions!N280</f>
        <v/>
      </c>
      <c r="O167" s="257">
        <f>i_Assumptions!O280</f>
        <v/>
      </c>
      <c r="P167" s="257">
        <f>i_Assumptions!P280</f>
        <v/>
      </c>
      <c r="Q167" s="257">
        <f>i_Assumptions!Q280</f>
        <v/>
      </c>
      <c r="T167" s="257">
        <f>IF(T$7="Actual","",IFERROR((INDEX($M167:$Q167,,MATCH(T$4,$M$4:$Q$4,0))),0))</f>
        <v/>
      </c>
      <c r="U167" s="257">
        <f>IF(U$7="Actual","",IFERROR((INDEX($M167:$Q167,,MATCH(U$4,$M$4:$Q$4,0))),0))</f>
        <v/>
      </c>
      <c r="V167" s="257">
        <f>IF(V$7="Actual","",IFERROR((INDEX($M167:$Q167,,MATCH(V$4,$M$4:$Q$4,0))),0))</f>
        <v/>
      </c>
      <c r="W167" s="257">
        <f>IF(W$7="Actual","",IFERROR((INDEX($M167:$Q167,,MATCH(W$4,$M$4:$Q$4,0))),0))</f>
        <v/>
      </c>
      <c r="X167" s="257">
        <f>IF(X$7="Actual","",IFERROR((INDEX($M167:$Q167,,MATCH(X$4,$M$4:$Q$4,0))),0))</f>
        <v/>
      </c>
      <c r="Y167" s="257">
        <f>IF(Y$7="Actual","",IFERROR((INDEX($M167:$Q167,,MATCH(Y$4,$M$4:$Q$4,0))),0))</f>
        <v/>
      </c>
      <c r="Z167" s="257">
        <f>IF(Z$7="Actual","",IFERROR((INDEX($M167:$Q167,,MATCH(Z$4,$M$4:$Q$4,0))),0))</f>
        <v/>
      </c>
      <c r="AA167" s="257">
        <f>IF(AA$7="Actual","",IFERROR((INDEX($M167:$Q167,,MATCH(AA$4,$M$4:$Q$4,0))),0))</f>
        <v/>
      </c>
      <c r="AB167" s="257">
        <f>IF(AB$7="Actual","",IFERROR((INDEX($M167:$Q167,,MATCH(AB$4,$M$4:$Q$4,0))),0))</f>
        <v/>
      </c>
      <c r="AC167" s="257">
        <f>IF(AC$7="Actual","",IFERROR((INDEX($M167:$Q167,,MATCH(AC$4,$M$4:$Q$4,0))),0))</f>
        <v/>
      </c>
      <c r="AD167" s="257">
        <f>IF(AD$7="Actual","",IFERROR((INDEX($M167:$Q167,,MATCH(AD$4,$M$4:$Q$4,0))),0))</f>
        <v/>
      </c>
      <c r="AE167" s="257">
        <f>IF(AE$7="Actual","",IFERROR((INDEX($M167:$Q167,,MATCH(AE$4,$M$4:$Q$4,0))),0))</f>
        <v/>
      </c>
      <c r="AF167" s="257">
        <f>IF(AF$7="Actual","",IFERROR((INDEX($M167:$Q167,,MATCH(AF$4,$M$4:$Q$4,0))),0))</f>
        <v/>
      </c>
      <c r="AG167" s="257">
        <f>IF(AG$7="Actual","",IFERROR((INDEX($M167:$Q167,,MATCH(AG$4,$M$4:$Q$4,0))),0))</f>
        <v/>
      </c>
      <c r="AH167" s="257">
        <f>IF(AH$7="Actual","",IFERROR((INDEX($M167:$Q167,,MATCH(AH$4,$M$4:$Q$4,0))),0))</f>
        <v/>
      </c>
      <c r="AI167" s="257">
        <f>IF(AI$7="Actual","",IFERROR((INDEX($M167:$Q167,,MATCH(AI$4,$M$4:$Q$4,0))),0))</f>
        <v/>
      </c>
      <c r="AJ167" s="257">
        <f>IF(AJ$7="Actual","",IFERROR((INDEX($M167:$Q167,,MATCH(AJ$4,$M$4:$Q$4,0))),0))</f>
        <v/>
      </c>
      <c r="AK167" s="257">
        <f>IF(AK$7="Actual","",IFERROR((INDEX($M167:$Q167,,MATCH(AK$4,$M$4:$Q$4,0))),0))</f>
        <v/>
      </c>
      <c r="AL167" s="257">
        <f>IF(AL$7="Actual","",IFERROR((INDEX($M167:$Q167,,MATCH(AL$4,$M$4:$Q$4,0))),0))</f>
        <v/>
      </c>
      <c r="AM167" s="257">
        <f>IF(AM$7="Actual","",IFERROR((INDEX($M167:$Q167,,MATCH(AM$4,$M$4:$Q$4,0))),0))</f>
        <v/>
      </c>
      <c r="AN167" s="257">
        <f>IF(AN$7="Actual","",IFERROR((INDEX($M167:$Q167,,MATCH(AN$4,$M$4:$Q$4,0))),0))</f>
        <v/>
      </c>
      <c r="AO167" s="257">
        <f>IF(AO$7="Actual","",IFERROR((INDEX($M167:$Q167,,MATCH(AO$4,$M$4:$Q$4,0))),0))</f>
        <v/>
      </c>
      <c r="AP167" s="257">
        <f>IF(AP$7="Actual","",IFERROR((INDEX($M167:$Q167,,MATCH(AP$4,$M$4:$Q$4,0))),0))</f>
        <v/>
      </c>
      <c r="AQ167" s="257">
        <f>IF(AQ$7="Actual","",IFERROR((INDEX($M167:$Q167,,MATCH(AQ$4,$M$4:$Q$4,0))),0))</f>
        <v/>
      </c>
      <c r="AR167" s="257">
        <f>IF(AR$7="Actual","",IFERROR((INDEX($M167:$Q167,,MATCH(AR$4,$M$4:$Q$4,0))),0))</f>
        <v/>
      </c>
      <c r="AS167" s="257">
        <f>IF(AS$7="Actual","",IFERROR((INDEX($M167:$Q167,,MATCH(AS$4,$M$4:$Q$4,0))),0))</f>
        <v/>
      </c>
      <c r="AT167" s="257">
        <f>IF(AT$7="Actual","",IFERROR((INDEX($M167:$Q167,,MATCH(AT$4,$M$4:$Q$4,0))),0))</f>
        <v/>
      </c>
      <c r="AU167" s="257">
        <f>IF(AU$7="Actual","",IFERROR((INDEX($M167:$Q167,,MATCH(AU$4,$M$4:$Q$4,0))),0))</f>
        <v/>
      </c>
      <c r="AV167" s="257">
        <f>IF(AV$7="Actual","",IFERROR((INDEX($M167:$Q167,,MATCH(AV$4,$M$4:$Q$4,0))),0))</f>
        <v/>
      </c>
      <c r="AW167" s="257">
        <f>IF(AW$7="Actual","",IFERROR((INDEX($M167:$Q167,,MATCH(AW$4,$M$4:$Q$4,0))),0))</f>
        <v/>
      </c>
      <c r="AX167" s="257">
        <f>IF(AX$7="Actual","",IFERROR((INDEX($M167:$Q167,,MATCH(AX$4,$M$4:$Q$4,0))),0))</f>
        <v/>
      </c>
      <c r="AY167" s="257">
        <f>IF(AY$7="Actual","",IFERROR((INDEX($M167:$Q167,,MATCH(AY$4,$M$4:$Q$4,0))),0))</f>
        <v/>
      </c>
      <c r="AZ167" s="257">
        <f>IF(AZ$7="Actual","",IFERROR((INDEX($M167:$Q167,,MATCH(AZ$4,$M$4:$Q$4,0))),0))</f>
        <v/>
      </c>
      <c r="BA167" s="257">
        <f>IF(BA$7="Actual","",IFERROR((INDEX($M167:$Q167,,MATCH(BA$4,$M$4:$Q$4,0))),0))</f>
        <v/>
      </c>
      <c r="BB167" s="257">
        <f>IF(BB$7="Actual","",IFERROR((INDEX($M167:$Q167,,MATCH(BB$4,$M$4:$Q$4,0))),0))</f>
        <v/>
      </c>
      <c r="BC167" s="257">
        <f>IF(BC$7="Actual","",IFERROR((INDEX($M167:$Q167,,MATCH(BC$4,$M$4:$Q$4,0))),0))</f>
        <v/>
      </c>
      <c r="BD167" s="257">
        <f>IF(BD$7="Actual","",IFERROR((INDEX($M167:$Q167,,MATCH(BD$4,$M$4:$Q$4,0))),0))</f>
        <v/>
      </c>
      <c r="BE167" s="257">
        <f>IF(BE$7="Actual","",IFERROR((INDEX($M167:$Q167,,MATCH(BE$4,$M$4:$Q$4,0))),0))</f>
        <v/>
      </c>
      <c r="BF167" s="257">
        <f>IF(BF$7="Actual","",IFERROR((INDEX($M167:$Q167,,MATCH(BF$4,$M$4:$Q$4,0))),0))</f>
        <v/>
      </c>
      <c r="BG167" s="257">
        <f>IF(BG$7="Actual","",IFERROR((INDEX($M167:$Q167,,MATCH(BG$4,$M$4:$Q$4,0))),0))</f>
        <v/>
      </c>
      <c r="BH167" s="257">
        <f>IF(BH$7="Actual","",IFERROR((INDEX($M167:$Q167,,MATCH(BH$4,$M$4:$Q$4,0))),0))</f>
        <v/>
      </c>
      <c r="BI167" s="257">
        <f>IF(BI$7="Actual","",IFERROR((INDEX($M167:$Q167,,MATCH(BI$4,$M$4:$Q$4,0))),0))</f>
        <v/>
      </c>
      <c r="BJ167" s="257">
        <f>IF(BJ$7="Actual","",IFERROR((INDEX($M167:$Q167,,MATCH(BJ$4,$M$4:$Q$4,0))),0))</f>
        <v/>
      </c>
      <c r="BK167" s="257">
        <f>IF(BK$7="Actual","",IFERROR((INDEX($M167:$Q167,,MATCH(BK$4,$M$4:$Q$4,0))),0))</f>
        <v/>
      </c>
      <c r="BL167" s="257">
        <f>IF(BL$7="Actual","",IFERROR((INDEX($M167:$Q167,,MATCH(BL$4,$M$4:$Q$4,0))),0))</f>
        <v/>
      </c>
      <c r="BM167" s="257">
        <f>IF(BM$7="Actual","",IFERROR((INDEX($M167:$Q167,,MATCH(BM$4,$M$4:$Q$4,0))),0))</f>
        <v/>
      </c>
      <c r="BN167" s="257">
        <f>IF(BN$7="Actual","",IFERROR((INDEX($M167:$Q167,,MATCH(BN$4,$M$4:$Q$4,0))),0))</f>
        <v/>
      </c>
      <c r="BO167" s="257">
        <f>IF(BO$7="Actual","",IFERROR((INDEX($M167:$Q167,,MATCH(BO$4,$M$4:$Q$4,0))),0))</f>
        <v/>
      </c>
      <c r="BP167" s="257">
        <f>IF(BP$7="Actual","",IFERROR((INDEX($M167:$Q167,,MATCH(BP$4,$M$4:$Q$4,0))),0))</f>
        <v/>
      </c>
      <c r="BQ167" s="257">
        <f>IF(BQ$7="Actual","",IFERROR((INDEX($M167:$Q167,,MATCH(BQ$4,$M$4:$Q$4,0))),0))</f>
        <v/>
      </c>
      <c r="BR167" s="257">
        <f>IF(BR$7="Actual","",IFERROR((INDEX($M167:$Q167,,MATCH(BR$4,$M$4:$Q$4,0))),0))</f>
        <v/>
      </c>
      <c r="BS167" s="257">
        <f>IF(BS$7="Actual","",IFERROR((INDEX($M167:$Q167,,MATCH(BS$4,$M$4:$Q$4,0))),0))</f>
        <v/>
      </c>
      <c r="BT167" s="257">
        <f>IF(BT$7="Actual","",IFERROR((INDEX($M167:$Q167,,MATCH(BT$4,$M$4:$Q$4,0))),0))</f>
        <v/>
      </c>
      <c r="BU167" s="257">
        <f>IF(BU$7="Actual","",IFERROR((INDEX($M167:$Q167,,MATCH(BU$4,$M$4:$Q$4,0))),0))</f>
        <v/>
      </c>
      <c r="BV167" s="257">
        <f>IF(BV$7="Actual","",IFERROR((INDEX($M167:$Q167,,MATCH(BV$4,$M$4:$Q$4,0))),0))</f>
        <v/>
      </c>
      <c r="BW167" s="257">
        <f>IF(BW$7="Actual","",IFERROR((INDEX($M167:$Q167,,MATCH(BW$4,$M$4:$Q$4,0))),0))</f>
        <v/>
      </c>
      <c r="BX167" s="257">
        <f>IF(BX$7="Actual","",IFERROR((INDEX($M167:$Q167,,MATCH(BX$4,$M$4:$Q$4,0))),0))</f>
        <v/>
      </c>
      <c r="BY167" s="257">
        <f>IF(BY$7="Actual","",IFERROR((INDEX($M167:$Q167,,MATCH(BY$4,$M$4:$Q$4,0))),0))</f>
        <v/>
      </c>
      <c r="BZ167" s="257">
        <f>IF(BZ$7="Actual","",IFERROR((INDEX($M167:$Q167,,MATCH(BZ$4,$M$4:$Q$4,0))),0))</f>
        <v/>
      </c>
      <c r="CA167" s="257">
        <f>IF(CA$7="Actual","",IFERROR((INDEX($M167:$Q167,,MATCH(CA$4,$M$4:$Q$4,0))),0))</f>
        <v/>
      </c>
    </row>
    <row r="168" ht="12" customHeight="1" s="227">
      <c r="A168" s="244" t="n"/>
      <c r="B168" s="244" t="n"/>
      <c r="C168" s="244" t="n"/>
      <c r="H168" s="0">
        <f>H158</f>
        <v/>
      </c>
      <c r="I168" s="27">
        <f>i_Setup!$M$16</f>
        <v/>
      </c>
      <c r="K168" s="6" t="n"/>
      <c r="M168" s="257">
        <f>i_Assumptions!M281</f>
        <v/>
      </c>
      <c r="N168" s="257">
        <f>i_Assumptions!N281</f>
        <v/>
      </c>
      <c r="O168" s="257">
        <f>i_Assumptions!O281</f>
        <v/>
      </c>
      <c r="P168" s="257">
        <f>i_Assumptions!P281</f>
        <v/>
      </c>
      <c r="Q168" s="257">
        <f>i_Assumptions!Q281</f>
        <v/>
      </c>
      <c r="T168" s="257">
        <f>IF(T$7="Actual","",IFERROR((INDEX($M168:$Q168,,MATCH(T$4,$M$4:$Q$4,0))),0))</f>
        <v/>
      </c>
      <c r="U168" s="257">
        <f>IF(U$7="Actual","",IFERROR((INDEX($M168:$Q168,,MATCH(U$4,$M$4:$Q$4,0))),0))</f>
        <v/>
      </c>
      <c r="V168" s="257">
        <f>IF(V$7="Actual","",IFERROR((INDEX($M168:$Q168,,MATCH(V$4,$M$4:$Q$4,0))),0))</f>
        <v/>
      </c>
      <c r="W168" s="257">
        <f>IF(W$7="Actual","",IFERROR((INDEX($M168:$Q168,,MATCH(W$4,$M$4:$Q$4,0))),0))</f>
        <v/>
      </c>
      <c r="X168" s="257">
        <f>IF(X$7="Actual","",IFERROR((INDEX($M168:$Q168,,MATCH(X$4,$M$4:$Q$4,0))),0))</f>
        <v/>
      </c>
      <c r="Y168" s="257">
        <f>IF(Y$7="Actual","",IFERROR((INDEX($M168:$Q168,,MATCH(Y$4,$M$4:$Q$4,0))),0))</f>
        <v/>
      </c>
      <c r="Z168" s="257">
        <f>IF(Z$7="Actual","",IFERROR((INDEX($M168:$Q168,,MATCH(Z$4,$M$4:$Q$4,0))),0))</f>
        <v/>
      </c>
      <c r="AA168" s="257">
        <f>IF(AA$7="Actual","",IFERROR((INDEX($M168:$Q168,,MATCH(AA$4,$M$4:$Q$4,0))),0))</f>
        <v/>
      </c>
      <c r="AB168" s="257">
        <f>IF(AB$7="Actual","",IFERROR((INDEX($M168:$Q168,,MATCH(AB$4,$M$4:$Q$4,0))),0))</f>
        <v/>
      </c>
      <c r="AC168" s="257">
        <f>IF(AC$7="Actual","",IFERROR((INDEX($M168:$Q168,,MATCH(AC$4,$M$4:$Q$4,0))),0))</f>
        <v/>
      </c>
      <c r="AD168" s="257">
        <f>IF(AD$7="Actual","",IFERROR((INDEX($M168:$Q168,,MATCH(AD$4,$M$4:$Q$4,0))),0))</f>
        <v/>
      </c>
      <c r="AE168" s="257">
        <f>IF(AE$7="Actual","",IFERROR((INDEX($M168:$Q168,,MATCH(AE$4,$M$4:$Q$4,0))),0))</f>
        <v/>
      </c>
      <c r="AF168" s="257">
        <f>IF(AF$7="Actual","",IFERROR((INDEX($M168:$Q168,,MATCH(AF$4,$M$4:$Q$4,0))),0))</f>
        <v/>
      </c>
      <c r="AG168" s="257">
        <f>IF(AG$7="Actual","",IFERROR((INDEX($M168:$Q168,,MATCH(AG$4,$M$4:$Q$4,0))),0))</f>
        <v/>
      </c>
      <c r="AH168" s="257">
        <f>IF(AH$7="Actual","",IFERROR((INDEX($M168:$Q168,,MATCH(AH$4,$M$4:$Q$4,0))),0))</f>
        <v/>
      </c>
      <c r="AI168" s="257">
        <f>IF(AI$7="Actual","",IFERROR((INDEX($M168:$Q168,,MATCH(AI$4,$M$4:$Q$4,0))),0))</f>
        <v/>
      </c>
      <c r="AJ168" s="257">
        <f>IF(AJ$7="Actual","",IFERROR((INDEX($M168:$Q168,,MATCH(AJ$4,$M$4:$Q$4,0))),0))</f>
        <v/>
      </c>
      <c r="AK168" s="257">
        <f>IF(AK$7="Actual","",IFERROR((INDEX($M168:$Q168,,MATCH(AK$4,$M$4:$Q$4,0))),0))</f>
        <v/>
      </c>
      <c r="AL168" s="257">
        <f>IF(AL$7="Actual","",IFERROR((INDEX($M168:$Q168,,MATCH(AL$4,$M$4:$Q$4,0))),0))</f>
        <v/>
      </c>
      <c r="AM168" s="257">
        <f>IF(AM$7="Actual","",IFERROR((INDEX($M168:$Q168,,MATCH(AM$4,$M$4:$Q$4,0))),0))</f>
        <v/>
      </c>
      <c r="AN168" s="257">
        <f>IF(AN$7="Actual","",IFERROR((INDEX($M168:$Q168,,MATCH(AN$4,$M$4:$Q$4,0))),0))</f>
        <v/>
      </c>
      <c r="AO168" s="257">
        <f>IF(AO$7="Actual","",IFERROR((INDEX($M168:$Q168,,MATCH(AO$4,$M$4:$Q$4,0))),0))</f>
        <v/>
      </c>
      <c r="AP168" s="257">
        <f>IF(AP$7="Actual","",IFERROR((INDEX($M168:$Q168,,MATCH(AP$4,$M$4:$Q$4,0))),0))</f>
        <v/>
      </c>
      <c r="AQ168" s="257">
        <f>IF(AQ$7="Actual","",IFERROR((INDEX($M168:$Q168,,MATCH(AQ$4,$M$4:$Q$4,0))),0))</f>
        <v/>
      </c>
      <c r="AR168" s="257">
        <f>IF(AR$7="Actual","",IFERROR((INDEX($M168:$Q168,,MATCH(AR$4,$M$4:$Q$4,0))),0))</f>
        <v/>
      </c>
      <c r="AS168" s="257">
        <f>IF(AS$7="Actual","",IFERROR((INDEX($M168:$Q168,,MATCH(AS$4,$M$4:$Q$4,0))),0))</f>
        <v/>
      </c>
      <c r="AT168" s="257">
        <f>IF(AT$7="Actual","",IFERROR((INDEX($M168:$Q168,,MATCH(AT$4,$M$4:$Q$4,0))),0))</f>
        <v/>
      </c>
      <c r="AU168" s="257">
        <f>IF(AU$7="Actual","",IFERROR((INDEX($M168:$Q168,,MATCH(AU$4,$M$4:$Q$4,0))),0))</f>
        <v/>
      </c>
      <c r="AV168" s="257">
        <f>IF(AV$7="Actual","",IFERROR((INDEX($M168:$Q168,,MATCH(AV$4,$M$4:$Q$4,0))),0))</f>
        <v/>
      </c>
      <c r="AW168" s="257">
        <f>IF(AW$7="Actual","",IFERROR((INDEX($M168:$Q168,,MATCH(AW$4,$M$4:$Q$4,0))),0))</f>
        <v/>
      </c>
      <c r="AX168" s="257">
        <f>IF(AX$7="Actual","",IFERROR((INDEX($M168:$Q168,,MATCH(AX$4,$M$4:$Q$4,0))),0))</f>
        <v/>
      </c>
      <c r="AY168" s="257">
        <f>IF(AY$7="Actual","",IFERROR((INDEX($M168:$Q168,,MATCH(AY$4,$M$4:$Q$4,0))),0))</f>
        <v/>
      </c>
      <c r="AZ168" s="257">
        <f>IF(AZ$7="Actual","",IFERROR((INDEX($M168:$Q168,,MATCH(AZ$4,$M$4:$Q$4,0))),0))</f>
        <v/>
      </c>
      <c r="BA168" s="257">
        <f>IF(BA$7="Actual","",IFERROR((INDEX($M168:$Q168,,MATCH(BA$4,$M$4:$Q$4,0))),0))</f>
        <v/>
      </c>
      <c r="BB168" s="257">
        <f>IF(BB$7="Actual","",IFERROR((INDEX($M168:$Q168,,MATCH(BB$4,$M$4:$Q$4,0))),0))</f>
        <v/>
      </c>
      <c r="BC168" s="257">
        <f>IF(BC$7="Actual","",IFERROR((INDEX($M168:$Q168,,MATCH(BC$4,$M$4:$Q$4,0))),0))</f>
        <v/>
      </c>
      <c r="BD168" s="257">
        <f>IF(BD$7="Actual","",IFERROR((INDEX($M168:$Q168,,MATCH(BD$4,$M$4:$Q$4,0))),0))</f>
        <v/>
      </c>
      <c r="BE168" s="257">
        <f>IF(BE$7="Actual","",IFERROR((INDEX($M168:$Q168,,MATCH(BE$4,$M$4:$Q$4,0))),0))</f>
        <v/>
      </c>
      <c r="BF168" s="257">
        <f>IF(BF$7="Actual","",IFERROR((INDEX($M168:$Q168,,MATCH(BF$4,$M$4:$Q$4,0))),0))</f>
        <v/>
      </c>
      <c r="BG168" s="257">
        <f>IF(BG$7="Actual","",IFERROR((INDEX($M168:$Q168,,MATCH(BG$4,$M$4:$Q$4,0))),0))</f>
        <v/>
      </c>
      <c r="BH168" s="257">
        <f>IF(BH$7="Actual","",IFERROR((INDEX($M168:$Q168,,MATCH(BH$4,$M$4:$Q$4,0))),0))</f>
        <v/>
      </c>
      <c r="BI168" s="257">
        <f>IF(BI$7="Actual","",IFERROR((INDEX($M168:$Q168,,MATCH(BI$4,$M$4:$Q$4,0))),0))</f>
        <v/>
      </c>
      <c r="BJ168" s="257">
        <f>IF(BJ$7="Actual","",IFERROR((INDEX($M168:$Q168,,MATCH(BJ$4,$M$4:$Q$4,0))),0))</f>
        <v/>
      </c>
      <c r="BK168" s="257">
        <f>IF(BK$7="Actual","",IFERROR((INDEX($M168:$Q168,,MATCH(BK$4,$M$4:$Q$4,0))),0))</f>
        <v/>
      </c>
      <c r="BL168" s="257">
        <f>IF(BL$7="Actual","",IFERROR((INDEX($M168:$Q168,,MATCH(BL$4,$M$4:$Q$4,0))),0))</f>
        <v/>
      </c>
      <c r="BM168" s="257">
        <f>IF(BM$7="Actual","",IFERROR((INDEX($M168:$Q168,,MATCH(BM$4,$M$4:$Q$4,0))),0))</f>
        <v/>
      </c>
      <c r="BN168" s="257">
        <f>IF(BN$7="Actual","",IFERROR((INDEX($M168:$Q168,,MATCH(BN$4,$M$4:$Q$4,0))),0))</f>
        <v/>
      </c>
      <c r="BO168" s="257">
        <f>IF(BO$7="Actual","",IFERROR((INDEX($M168:$Q168,,MATCH(BO$4,$M$4:$Q$4,0))),0))</f>
        <v/>
      </c>
      <c r="BP168" s="257">
        <f>IF(BP$7="Actual","",IFERROR((INDEX($M168:$Q168,,MATCH(BP$4,$M$4:$Q$4,0))),0))</f>
        <v/>
      </c>
      <c r="BQ168" s="257">
        <f>IF(BQ$7="Actual","",IFERROR((INDEX($M168:$Q168,,MATCH(BQ$4,$M$4:$Q$4,0))),0))</f>
        <v/>
      </c>
      <c r="BR168" s="257">
        <f>IF(BR$7="Actual","",IFERROR((INDEX($M168:$Q168,,MATCH(BR$4,$M$4:$Q$4,0))),0))</f>
        <v/>
      </c>
      <c r="BS168" s="257">
        <f>IF(BS$7="Actual","",IFERROR((INDEX($M168:$Q168,,MATCH(BS$4,$M$4:$Q$4,0))),0))</f>
        <v/>
      </c>
      <c r="BT168" s="257">
        <f>IF(BT$7="Actual","",IFERROR((INDEX($M168:$Q168,,MATCH(BT$4,$M$4:$Q$4,0))),0))</f>
        <v/>
      </c>
      <c r="BU168" s="257">
        <f>IF(BU$7="Actual","",IFERROR((INDEX($M168:$Q168,,MATCH(BU$4,$M$4:$Q$4,0))),0))</f>
        <v/>
      </c>
      <c r="BV168" s="257">
        <f>IF(BV$7="Actual","",IFERROR((INDEX($M168:$Q168,,MATCH(BV$4,$M$4:$Q$4,0))),0))</f>
        <v/>
      </c>
      <c r="BW168" s="257">
        <f>IF(BW$7="Actual","",IFERROR((INDEX($M168:$Q168,,MATCH(BW$4,$M$4:$Q$4,0))),0))</f>
        <v/>
      </c>
      <c r="BX168" s="257">
        <f>IF(BX$7="Actual","",IFERROR((INDEX($M168:$Q168,,MATCH(BX$4,$M$4:$Q$4,0))),0))</f>
        <v/>
      </c>
      <c r="BY168" s="257">
        <f>IF(BY$7="Actual","",IFERROR((INDEX($M168:$Q168,,MATCH(BY$4,$M$4:$Q$4,0))),0))</f>
        <v/>
      </c>
      <c r="BZ168" s="257">
        <f>IF(BZ$7="Actual","",IFERROR((INDEX($M168:$Q168,,MATCH(BZ$4,$M$4:$Q$4,0))),0))</f>
        <v/>
      </c>
      <c r="CA168" s="257">
        <f>IF(CA$7="Actual","",IFERROR((INDEX($M168:$Q168,,MATCH(CA$4,$M$4:$Q$4,0))),0))</f>
        <v/>
      </c>
    </row>
    <row r="169" ht="12" customHeight="1" s="227">
      <c r="A169" s="244" t="n"/>
      <c r="B169" s="244" t="n"/>
      <c r="C169" s="244" t="n"/>
      <c r="H169" s="0">
        <f>H159</f>
        <v/>
      </c>
      <c r="I169" s="27">
        <f>i_Setup!$M$16</f>
        <v/>
      </c>
      <c r="K169" s="6" t="n"/>
      <c r="M169" s="257">
        <f>i_Assumptions!M282</f>
        <v/>
      </c>
      <c r="N169" s="257">
        <f>i_Assumptions!N282</f>
        <v/>
      </c>
      <c r="O169" s="257">
        <f>i_Assumptions!O282</f>
        <v/>
      </c>
      <c r="P169" s="257">
        <f>i_Assumptions!P282</f>
        <v/>
      </c>
      <c r="Q169" s="257">
        <f>i_Assumptions!Q282</f>
        <v/>
      </c>
      <c r="T169" s="257">
        <f>IF(T$7="Actual","",IFERROR((INDEX($M169:$Q169,,MATCH(T$4,$M$4:$Q$4,0))),0))</f>
        <v/>
      </c>
      <c r="U169" s="257">
        <f>IF(U$7="Actual","",IFERROR((INDEX($M169:$Q169,,MATCH(U$4,$M$4:$Q$4,0))),0))</f>
        <v/>
      </c>
      <c r="V169" s="257">
        <f>IF(V$7="Actual","",IFERROR((INDEX($M169:$Q169,,MATCH(V$4,$M$4:$Q$4,0))),0))</f>
        <v/>
      </c>
      <c r="W169" s="257">
        <f>IF(W$7="Actual","",IFERROR((INDEX($M169:$Q169,,MATCH(W$4,$M$4:$Q$4,0))),0))</f>
        <v/>
      </c>
      <c r="X169" s="257">
        <f>IF(X$7="Actual","",IFERROR((INDEX($M169:$Q169,,MATCH(X$4,$M$4:$Q$4,0))),0))</f>
        <v/>
      </c>
      <c r="Y169" s="257">
        <f>IF(Y$7="Actual","",IFERROR((INDEX($M169:$Q169,,MATCH(Y$4,$M$4:$Q$4,0))),0))</f>
        <v/>
      </c>
      <c r="Z169" s="257">
        <f>IF(Z$7="Actual","",IFERROR((INDEX($M169:$Q169,,MATCH(Z$4,$M$4:$Q$4,0))),0))</f>
        <v/>
      </c>
      <c r="AA169" s="257">
        <f>IF(AA$7="Actual","",IFERROR((INDEX($M169:$Q169,,MATCH(AA$4,$M$4:$Q$4,0))),0))</f>
        <v/>
      </c>
      <c r="AB169" s="257">
        <f>IF(AB$7="Actual","",IFERROR((INDEX($M169:$Q169,,MATCH(AB$4,$M$4:$Q$4,0))),0))</f>
        <v/>
      </c>
      <c r="AC169" s="257">
        <f>IF(AC$7="Actual","",IFERROR((INDEX($M169:$Q169,,MATCH(AC$4,$M$4:$Q$4,0))),0))</f>
        <v/>
      </c>
      <c r="AD169" s="257">
        <f>IF(AD$7="Actual","",IFERROR((INDEX($M169:$Q169,,MATCH(AD$4,$M$4:$Q$4,0))),0))</f>
        <v/>
      </c>
      <c r="AE169" s="257">
        <f>IF(AE$7="Actual","",IFERROR((INDEX($M169:$Q169,,MATCH(AE$4,$M$4:$Q$4,0))),0))</f>
        <v/>
      </c>
      <c r="AF169" s="257">
        <f>IF(AF$7="Actual","",IFERROR((INDEX($M169:$Q169,,MATCH(AF$4,$M$4:$Q$4,0))),0))</f>
        <v/>
      </c>
      <c r="AG169" s="257">
        <f>IF(AG$7="Actual","",IFERROR((INDEX($M169:$Q169,,MATCH(AG$4,$M$4:$Q$4,0))),0))</f>
        <v/>
      </c>
      <c r="AH169" s="257">
        <f>IF(AH$7="Actual","",IFERROR((INDEX($M169:$Q169,,MATCH(AH$4,$M$4:$Q$4,0))),0))</f>
        <v/>
      </c>
      <c r="AI169" s="257">
        <f>IF(AI$7="Actual","",IFERROR((INDEX($M169:$Q169,,MATCH(AI$4,$M$4:$Q$4,0))),0))</f>
        <v/>
      </c>
      <c r="AJ169" s="257">
        <f>IF(AJ$7="Actual","",IFERROR((INDEX($M169:$Q169,,MATCH(AJ$4,$M$4:$Q$4,0))),0))</f>
        <v/>
      </c>
      <c r="AK169" s="257">
        <f>IF(AK$7="Actual","",IFERROR((INDEX($M169:$Q169,,MATCH(AK$4,$M$4:$Q$4,0))),0))</f>
        <v/>
      </c>
      <c r="AL169" s="257">
        <f>IF(AL$7="Actual","",IFERROR((INDEX($M169:$Q169,,MATCH(AL$4,$M$4:$Q$4,0))),0))</f>
        <v/>
      </c>
      <c r="AM169" s="257">
        <f>IF(AM$7="Actual","",IFERROR((INDEX($M169:$Q169,,MATCH(AM$4,$M$4:$Q$4,0))),0))</f>
        <v/>
      </c>
      <c r="AN169" s="257">
        <f>IF(AN$7="Actual","",IFERROR((INDEX($M169:$Q169,,MATCH(AN$4,$M$4:$Q$4,0))),0))</f>
        <v/>
      </c>
      <c r="AO169" s="257">
        <f>IF(AO$7="Actual","",IFERROR((INDEX($M169:$Q169,,MATCH(AO$4,$M$4:$Q$4,0))),0))</f>
        <v/>
      </c>
      <c r="AP169" s="257">
        <f>IF(AP$7="Actual","",IFERROR((INDEX($M169:$Q169,,MATCH(AP$4,$M$4:$Q$4,0))),0))</f>
        <v/>
      </c>
      <c r="AQ169" s="257">
        <f>IF(AQ$7="Actual","",IFERROR((INDEX($M169:$Q169,,MATCH(AQ$4,$M$4:$Q$4,0))),0))</f>
        <v/>
      </c>
      <c r="AR169" s="257">
        <f>IF(AR$7="Actual","",IFERROR((INDEX($M169:$Q169,,MATCH(AR$4,$M$4:$Q$4,0))),0))</f>
        <v/>
      </c>
      <c r="AS169" s="257">
        <f>IF(AS$7="Actual","",IFERROR((INDEX($M169:$Q169,,MATCH(AS$4,$M$4:$Q$4,0))),0))</f>
        <v/>
      </c>
      <c r="AT169" s="257">
        <f>IF(AT$7="Actual","",IFERROR((INDEX($M169:$Q169,,MATCH(AT$4,$M$4:$Q$4,0))),0))</f>
        <v/>
      </c>
      <c r="AU169" s="257">
        <f>IF(AU$7="Actual","",IFERROR((INDEX($M169:$Q169,,MATCH(AU$4,$M$4:$Q$4,0))),0))</f>
        <v/>
      </c>
      <c r="AV169" s="257">
        <f>IF(AV$7="Actual","",IFERROR((INDEX($M169:$Q169,,MATCH(AV$4,$M$4:$Q$4,0))),0))</f>
        <v/>
      </c>
      <c r="AW169" s="257">
        <f>IF(AW$7="Actual","",IFERROR((INDEX($M169:$Q169,,MATCH(AW$4,$M$4:$Q$4,0))),0))</f>
        <v/>
      </c>
      <c r="AX169" s="257">
        <f>IF(AX$7="Actual","",IFERROR((INDEX($M169:$Q169,,MATCH(AX$4,$M$4:$Q$4,0))),0))</f>
        <v/>
      </c>
      <c r="AY169" s="257">
        <f>IF(AY$7="Actual","",IFERROR((INDEX($M169:$Q169,,MATCH(AY$4,$M$4:$Q$4,0))),0))</f>
        <v/>
      </c>
      <c r="AZ169" s="257">
        <f>IF(AZ$7="Actual","",IFERROR((INDEX($M169:$Q169,,MATCH(AZ$4,$M$4:$Q$4,0))),0))</f>
        <v/>
      </c>
      <c r="BA169" s="257">
        <f>IF(BA$7="Actual","",IFERROR((INDEX($M169:$Q169,,MATCH(BA$4,$M$4:$Q$4,0))),0))</f>
        <v/>
      </c>
      <c r="BB169" s="257">
        <f>IF(BB$7="Actual","",IFERROR((INDEX($M169:$Q169,,MATCH(BB$4,$M$4:$Q$4,0))),0))</f>
        <v/>
      </c>
      <c r="BC169" s="257">
        <f>IF(BC$7="Actual","",IFERROR((INDEX($M169:$Q169,,MATCH(BC$4,$M$4:$Q$4,0))),0))</f>
        <v/>
      </c>
      <c r="BD169" s="257">
        <f>IF(BD$7="Actual","",IFERROR((INDEX($M169:$Q169,,MATCH(BD$4,$M$4:$Q$4,0))),0))</f>
        <v/>
      </c>
      <c r="BE169" s="257">
        <f>IF(BE$7="Actual","",IFERROR((INDEX($M169:$Q169,,MATCH(BE$4,$M$4:$Q$4,0))),0))</f>
        <v/>
      </c>
      <c r="BF169" s="257">
        <f>IF(BF$7="Actual","",IFERROR((INDEX($M169:$Q169,,MATCH(BF$4,$M$4:$Q$4,0))),0))</f>
        <v/>
      </c>
      <c r="BG169" s="257">
        <f>IF(BG$7="Actual","",IFERROR((INDEX($M169:$Q169,,MATCH(BG$4,$M$4:$Q$4,0))),0))</f>
        <v/>
      </c>
      <c r="BH169" s="257">
        <f>IF(BH$7="Actual","",IFERROR((INDEX($M169:$Q169,,MATCH(BH$4,$M$4:$Q$4,0))),0))</f>
        <v/>
      </c>
      <c r="BI169" s="257">
        <f>IF(BI$7="Actual","",IFERROR((INDEX($M169:$Q169,,MATCH(BI$4,$M$4:$Q$4,0))),0))</f>
        <v/>
      </c>
      <c r="BJ169" s="257">
        <f>IF(BJ$7="Actual","",IFERROR((INDEX($M169:$Q169,,MATCH(BJ$4,$M$4:$Q$4,0))),0))</f>
        <v/>
      </c>
      <c r="BK169" s="257">
        <f>IF(BK$7="Actual","",IFERROR((INDEX($M169:$Q169,,MATCH(BK$4,$M$4:$Q$4,0))),0))</f>
        <v/>
      </c>
      <c r="BL169" s="257">
        <f>IF(BL$7="Actual","",IFERROR((INDEX($M169:$Q169,,MATCH(BL$4,$M$4:$Q$4,0))),0))</f>
        <v/>
      </c>
      <c r="BM169" s="257">
        <f>IF(BM$7="Actual","",IFERROR((INDEX($M169:$Q169,,MATCH(BM$4,$M$4:$Q$4,0))),0))</f>
        <v/>
      </c>
      <c r="BN169" s="257">
        <f>IF(BN$7="Actual","",IFERROR((INDEX($M169:$Q169,,MATCH(BN$4,$M$4:$Q$4,0))),0))</f>
        <v/>
      </c>
      <c r="BO169" s="257">
        <f>IF(BO$7="Actual","",IFERROR((INDEX($M169:$Q169,,MATCH(BO$4,$M$4:$Q$4,0))),0))</f>
        <v/>
      </c>
      <c r="BP169" s="257">
        <f>IF(BP$7="Actual","",IFERROR((INDEX($M169:$Q169,,MATCH(BP$4,$M$4:$Q$4,0))),0))</f>
        <v/>
      </c>
      <c r="BQ169" s="257">
        <f>IF(BQ$7="Actual","",IFERROR((INDEX($M169:$Q169,,MATCH(BQ$4,$M$4:$Q$4,0))),0))</f>
        <v/>
      </c>
      <c r="BR169" s="257">
        <f>IF(BR$7="Actual","",IFERROR((INDEX($M169:$Q169,,MATCH(BR$4,$M$4:$Q$4,0))),0))</f>
        <v/>
      </c>
      <c r="BS169" s="257">
        <f>IF(BS$7="Actual","",IFERROR((INDEX($M169:$Q169,,MATCH(BS$4,$M$4:$Q$4,0))),0))</f>
        <v/>
      </c>
      <c r="BT169" s="257">
        <f>IF(BT$7="Actual","",IFERROR((INDEX($M169:$Q169,,MATCH(BT$4,$M$4:$Q$4,0))),0))</f>
        <v/>
      </c>
      <c r="BU169" s="257">
        <f>IF(BU$7="Actual","",IFERROR((INDEX($M169:$Q169,,MATCH(BU$4,$M$4:$Q$4,0))),0))</f>
        <v/>
      </c>
      <c r="BV169" s="257">
        <f>IF(BV$7="Actual","",IFERROR((INDEX($M169:$Q169,,MATCH(BV$4,$M$4:$Q$4,0))),0))</f>
        <v/>
      </c>
      <c r="BW169" s="257">
        <f>IF(BW$7="Actual","",IFERROR((INDEX($M169:$Q169,,MATCH(BW$4,$M$4:$Q$4,0))),0))</f>
        <v/>
      </c>
      <c r="BX169" s="257">
        <f>IF(BX$7="Actual","",IFERROR((INDEX($M169:$Q169,,MATCH(BX$4,$M$4:$Q$4,0))),0))</f>
        <v/>
      </c>
      <c r="BY169" s="257">
        <f>IF(BY$7="Actual","",IFERROR((INDEX($M169:$Q169,,MATCH(BY$4,$M$4:$Q$4,0))),0))</f>
        <v/>
      </c>
      <c r="BZ169" s="257">
        <f>IF(BZ$7="Actual","",IFERROR((INDEX($M169:$Q169,,MATCH(BZ$4,$M$4:$Q$4,0))),0))</f>
        <v/>
      </c>
      <c r="CA169" s="257">
        <f>IF(CA$7="Actual","",IFERROR((INDEX($M169:$Q169,,MATCH(CA$4,$M$4:$Q$4,0))),0))</f>
        <v/>
      </c>
    </row>
    <row r="170" ht="12" customHeight="1" s="227">
      <c r="A170" s="244" t="n"/>
      <c r="B170" s="244" t="n"/>
      <c r="C170" s="244" t="n"/>
      <c r="H170" s="0" t="n"/>
      <c r="K170" s="6" t="n"/>
    </row>
    <row r="171" ht="12" customHeight="1" s="227">
      <c r="A171" s="244" t="n"/>
      <c r="B171" s="244" t="n"/>
      <c r="C171" s="244" t="n"/>
      <c r="H171" s="8">
        <f>i_Setup!U38</f>
        <v/>
      </c>
      <c r="K171" s="6" t="n"/>
    </row>
    <row r="172" ht="12" customHeight="1" s="227">
      <c r="A172" s="244" t="n"/>
      <c r="B172" s="244" t="n"/>
      <c r="C172" s="244" t="n"/>
      <c r="H172" s="0">
        <f>H162</f>
        <v/>
      </c>
      <c r="I172" s="27">
        <f>i_Setup!$M$16</f>
        <v/>
      </c>
      <c r="K172" s="6" t="n"/>
      <c r="M172" s="257">
        <f>IF(M$7="Actual","",i_Assumptions!M315)</f>
        <v/>
      </c>
      <c r="N172" s="257">
        <f>IF(N$7="Actual","",i_Assumptions!N315)</f>
        <v/>
      </c>
      <c r="O172" s="257">
        <f>IF(O$7="Actual","",i_Assumptions!O315)</f>
        <v/>
      </c>
      <c r="P172" s="257">
        <f>IF(P$7="Actual","",i_Assumptions!P315)</f>
        <v/>
      </c>
      <c r="Q172" s="257">
        <f>IF(Q$7="Actual","",i_Assumptions!Q315)</f>
        <v/>
      </c>
      <c r="T172" s="257">
        <f>IF(T$7="Actual","",IFERROR((INDEX($M172:$Q172,,MATCH(T$4,$M$4:$Q$4,0))),0))</f>
        <v/>
      </c>
      <c r="U172" s="257">
        <f>IF(U$7="Actual","",IFERROR((INDEX($M172:$Q172,,MATCH(U$4,$M$4:$Q$4,0))),0))</f>
        <v/>
      </c>
      <c r="V172" s="257">
        <f>IF(V$7="Actual","",IFERROR((INDEX($M172:$Q172,,MATCH(V$4,$M$4:$Q$4,0))),0))</f>
        <v/>
      </c>
      <c r="W172" s="257">
        <f>IF(W$7="Actual","",IFERROR((INDEX($M172:$Q172,,MATCH(W$4,$M$4:$Q$4,0))),0))</f>
        <v/>
      </c>
      <c r="X172" s="257">
        <f>IF(X$7="Actual","",IFERROR((INDEX($M172:$Q172,,MATCH(X$4,$M$4:$Q$4,0))),0))</f>
        <v/>
      </c>
      <c r="Y172" s="257">
        <f>IF(Y$7="Actual","",IFERROR((INDEX($M172:$Q172,,MATCH(Y$4,$M$4:$Q$4,0))),0))</f>
        <v/>
      </c>
      <c r="Z172" s="257">
        <f>IF(Z$7="Actual","",IFERROR((INDEX($M172:$Q172,,MATCH(Z$4,$M$4:$Q$4,0))),0))</f>
        <v/>
      </c>
      <c r="AA172" s="257">
        <f>IF(AA$7="Actual","",IFERROR((INDEX($M172:$Q172,,MATCH(AA$4,$M$4:$Q$4,0))),0))</f>
        <v/>
      </c>
      <c r="AB172" s="257">
        <f>IF(AB$7="Actual","",IFERROR((INDEX($M172:$Q172,,MATCH(AB$4,$M$4:$Q$4,0))),0))</f>
        <v/>
      </c>
      <c r="AC172" s="257">
        <f>IF(AC$7="Actual","",IFERROR((INDEX($M172:$Q172,,MATCH(AC$4,$M$4:$Q$4,0))),0))</f>
        <v/>
      </c>
      <c r="AD172" s="257">
        <f>IF(AD$7="Actual","",IFERROR((INDEX($M172:$Q172,,MATCH(AD$4,$M$4:$Q$4,0))),0))</f>
        <v/>
      </c>
      <c r="AE172" s="257">
        <f>IF(AE$7="Actual","",IFERROR((INDEX($M172:$Q172,,MATCH(AE$4,$M$4:$Q$4,0))),0))</f>
        <v/>
      </c>
      <c r="AF172" s="257">
        <f>IF(AF$7="Actual","",IFERROR((INDEX($M172:$Q172,,MATCH(AF$4,$M$4:$Q$4,0))),0))</f>
        <v/>
      </c>
      <c r="AG172" s="257">
        <f>IF(AG$7="Actual","",IFERROR((INDEX($M172:$Q172,,MATCH(AG$4,$M$4:$Q$4,0))),0))</f>
        <v/>
      </c>
      <c r="AH172" s="257">
        <f>IF(AH$7="Actual","",IFERROR((INDEX($M172:$Q172,,MATCH(AH$4,$M$4:$Q$4,0))),0))</f>
        <v/>
      </c>
      <c r="AI172" s="257">
        <f>IF(AI$7="Actual","",IFERROR((INDEX($M172:$Q172,,MATCH(AI$4,$M$4:$Q$4,0))),0))</f>
        <v/>
      </c>
      <c r="AJ172" s="257">
        <f>IF(AJ$7="Actual","",IFERROR((INDEX($M172:$Q172,,MATCH(AJ$4,$M$4:$Q$4,0))),0))</f>
        <v/>
      </c>
      <c r="AK172" s="257">
        <f>IF(AK$7="Actual","",IFERROR((INDEX($M172:$Q172,,MATCH(AK$4,$M$4:$Q$4,0))),0))</f>
        <v/>
      </c>
      <c r="AL172" s="257">
        <f>IF(AL$7="Actual","",IFERROR((INDEX($M172:$Q172,,MATCH(AL$4,$M$4:$Q$4,0))),0))</f>
        <v/>
      </c>
      <c r="AM172" s="257">
        <f>IF(AM$7="Actual","",IFERROR((INDEX($M172:$Q172,,MATCH(AM$4,$M$4:$Q$4,0))),0))</f>
        <v/>
      </c>
      <c r="AN172" s="257">
        <f>IF(AN$7="Actual","",IFERROR((INDEX($M172:$Q172,,MATCH(AN$4,$M$4:$Q$4,0))),0))</f>
        <v/>
      </c>
      <c r="AO172" s="257">
        <f>IF(AO$7="Actual","",IFERROR((INDEX($M172:$Q172,,MATCH(AO$4,$M$4:$Q$4,0))),0))</f>
        <v/>
      </c>
      <c r="AP172" s="257">
        <f>IF(AP$7="Actual","",IFERROR((INDEX($M172:$Q172,,MATCH(AP$4,$M$4:$Q$4,0))),0))</f>
        <v/>
      </c>
      <c r="AQ172" s="257">
        <f>IF(AQ$7="Actual","",IFERROR((INDEX($M172:$Q172,,MATCH(AQ$4,$M$4:$Q$4,0))),0))</f>
        <v/>
      </c>
      <c r="AR172" s="257">
        <f>IF(AR$7="Actual","",IFERROR((INDEX($M172:$Q172,,MATCH(AR$4,$M$4:$Q$4,0))),0))</f>
        <v/>
      </c>
      <c r="AS172" s="257">
        <f>IF(AS$7="Actual","",IFERROR((INDEX($M172:$Q172,,MATCH(AS$4,$M$4:$Q$4,0))),0))</f>
        <v/>
      </c>
      <c r="AT172" s="257">
        <f>IF(AT$7="Actual","",IFERROR((INDEX($M172:$Q172,,MATCH(AT$4,$M$4:$Q$4,0))),0))</f>
        <v/>
      </c>
      <c r="AU172" s="257">
        <f>IF(AU$7="Actual","",IFERROR((INDEX($M172:$Q172,,MATCH(AU$4,$M$4:$Q$4,0))),0))</f>
        <v/>
      </c>
      <c r="AV172" s="257">
        <f>IF(AV$7="Actual","",IFERROR((INDEX($M172:$Q172,,MATCH(AV$4,$M$4:$Q$4,0))),0))</f>
        <v/>
      </c>
      <c r="AW172" s="257">
        <f>IF(AW$7="Actual","",IFERROR((INDEX($M172:$Q172,,MATCH(AW$4,$M$4:$Q$4,0))),0))</f>
        <v/>
      </c>
      <c r="AX172" s="257">
        <f>IF(AX$7="Actual","",IFERROR((INDEX($M172:$Q172,,MATCH(AX$4,$M$4:$Q$4,0))),0))</f>
        <v/>
      </c>
      <c r="AY172" s="257">
        <f>IF(AY$7="Actual","",IFERROR((INDEX($M172:$Q172,,MATCH(AY$4,$M$4:$Q$4,0))),0))</f>
        <v/>
      </c>
      <c r="AZ172" s="257">
        <f>IF(AZ$7="Actual","",IFERROR((INDEX($M172:$Q172,,MATCH(AZ$4,$M$4:$Q$4,0))),0))</f>
        <v/>
      </c>
      <c r="BA172" s="257">
        <f>IF(BA$7="Actual","",IFERROR((INDEX($M172:$Q172,,MATCH(BA$4,$M$4:$Q$4,0))),0))</f>
        <v/>
      </c>
      <c r="BB172" s="257">
        <f>IF(BB$7="Actual","",IFERROR((INDEX($M172:$Q172,,MATCH(BB$4,$M$4:$Q$4,0))),0))</f>
        <v/>
      </c>
      <c r="BC172" s="257">
        <f>IF(BC$7="Actual","",IFERROR((INDEX($M172:$Q172,,MATCH(BC$4,$M$4:$Q$4,0))),0))</f>
        <v/>
      </c>
      <c r="BD172" s="257">
        <f>IF(BD$7="Actual","",IFERROR((INDEX($M172:$Q172,,MATCH(BD$4,$M$4:$Q$4,0))),0))</f>
        <v/>
      </c>
      <c r="BE172" s="257">
        <f>IF(BE$7="Actual","",IFERROR((INDEX($M172:$Q172,,MATCH(BE$4,$M$4:$Q$4,0))),0))</f>
        <v/>
      </c>
      <c r="BF172" s="257">
        <f>IF(BF$7="Actual","",IFERROR((INDEX($M172:$Q172,,MATCH(BF$4,$M$4:$Q$4,0))),0))</f>
        <v/>
      </c>
      <c r="BG172" s="257">
        <f>IF(BG$7="Actual","",IFERROR((INDEX($M172:$Q172,,MATCH(BG$4,$M$4:$Q$4,0))),0))</f>
        <v/>
      </c>
      <c r="BH172" s="257">
        <f>IF(BH$7="Actual","",IFERROR((INDEX($M172:$Q172,,MATCH(BH$4,$M$4:$Q$4,0))),0))</f>
        <v/>
      </c>
      <c r="BI172" s="257">
        <f>IF(BI$7="Actual","",IFERROR((INDEX($M172:$Q172,,MATCH(BI$4,$M$4:$Q$4,0))),0))</f>
        <v/>
      </c>
      <c r="BJ172" s="257">
        <f>IF(BJ$7="Actual","",IFERROR((INDEX($M172:$Q172,,MATCH(BJ$4,$M$4:$Q$4,0))),0))</f>
        <v/>
      </c>
      <c r="BK172" s="257">
        <f>IF(BK$7="Actual","",IFERROR((INDEX($M172:$Q172,,MATCH(BK$4,$M$4:$Q$4,0))),0))</f>
        <v/>
      </c>
      <c r="BL172" s="257">
        <f>IF(BL$7="Actual","",IFERROR((INDEX($M172:$Q172,,MATCH(BL$4,$M$4:$Q$4,0))),0))</f>
        <v/>
      </c>
      <c r="BM172" s="257">
        <f>IF(BM$7="Actual","",IFERROR((INDEX($M172:$Q172,,MATCH(BM$4,$M$4:$Q$4,0))),0))</f>
        <v/>
      </c>
      <c r="BN172" s="257">
        <f>IF(BN$7="Actual","",IFERROR((INDEX($M172:$Q172,,MATCH(BN$4,$M$4:$Q$4,0))),0))</f>
        <v/>
      </c>
      <c r="BO172" s="257">
        <f>IF(BO$7="Actual","",IFERROR((INDEX($M172:$Q172,,MATCH(BO$4,$M$4:$Q$4,0))),0))</f>
        <v/>
      </c>
      <c r="BP172" s="257">
        <f>IF(BP$7="Actual","",IFERROR((INDEX($M172:$Q172,,MATCH(BP$4,$M$4:$Q$4,0))),0))</f>
        <v/>
      </c>
      <c r="BQ172" s="257">
        <f>IF(BQ$7="Actual","",IFERROR((INDEX($M172:$Q172,,MATCH(BQ$4,$M$4:$Q$4,0))),0))</f>
        <v/>
      </c>
      <c r="BR172" s="257">
        <f>IF(BR$7="Actual","",IFERROR((INDEX($M172:$Q172,,MATCH(BR$4,$M$4:$Q$4,0))),0))</f>
        <v/>
      </c>
      <c r="BS172" s="257">
        <f>IF(BS$7="Actual","",IFERROR((INDEX($M172:$Q172,,MATCH(BS$4,$M$4:$Q$4,0))),0))</f>
        <v/>
      </c>
      <c r="BT172" s="257">
        <f>IF(BT$7="Actual","",IFERROR((INDEX($M172:$Q172,,MATCH(BT$4,$M$4:$Q$4,0))),0))</f>
        <v/>
      </c>
      <c r="BU172" s="257">
        <f>IF(BU$7="Actual","",IFERROR((INDEX($M172:$Q172,,MATCH(BU$4,$M$4:$Q$4,0))),0))</f>
        <v/>
      </c>
      <c r="BV172" s="257">
        <f>IF(BV$7="Actual","",IFERROR((INDEX($M172:$Q172,,MATCH(BV$4,$M$4:$Q$4,0))),0))</f>
        <v/>
      </c>
      <c r="BW172" s="257">
        <f>IF(BW$7="Actual","",IFERROR((INDEX($M172:$Q172,,MATCH(BW$4,$M$4:$Q$4,0))),0))</f>
        <v/>
      </c>
      <c r="BX172" s="257">
        <f>IF(BX$7="Actual","",IFERROR((INDEX($M172:$Q172,,MATCH(BX$4,$M$4:$Q$4,0))),0))</f>
        <v/>
      </c>
      <c r="BY172" s="257">
        <f>IF(BY$7="Actual","",IFERROR((INDEX($M172:$Q172,,MATCH(BY$4,$M$4:$Q$4,0))),0))</f>
        <v/>
      </c>
      <c r="BZ172" s="257">
        <f>IF(BZ$7="Actual","",IFERROR((INDEX($M172:$Q172,,MATCH(BZ$4,$M$4:$Q$4,0))),0))</f>
        <v/>
      </c>
      <c r="CA172" s="257">
        <f>IF(CA$7="Actual","",IFERROR((INDEX($M172:$Q172,,MATCH(CA$4,$M$4:$Q$4,0))),0))</f>
        <v/>
      </c>
    </row>
    <row r="173" ht="12" customHeight="1" s="227">
      <c r="A173" s="244" t="n"/>
      <c r="B173" s="244" t="n"/>
      <c r="C173" s="244" t="n"/>
      <c r="H173" s="0">
        <f>H163</f>
        <v/>
      </c>
      <c r="I173" s="27">
        <f>i_Setup!$M$16</f>
        <v/>
      </c>
      <c r="K173" s="6" t="n"/>
      <c r="M173" s="257">
        <f>IF(M$7="Actual","",i_Assumptions!M316)</f>
        <v/>
      </c>
      <c r="N173" s="257">
        <f>IF(N$7="Actual","",i_Assumptions!N316)</f>
        <v/>
      </c>
      <c r="O173" s="257">
        <f>IF(O$7="Actual","",i_Assumptions!O316)</f>
        <v/>
      </c>
      <c r="P173" s="257">
        <f>IF(P$7="Actual","",i_Assumptions!P316)</f>
        <v/>
      </c>
      <c r="Q173" s="257">
        <f>IF(Q$7="Actual","",i_Assumptions!Q316)</f>
        <v/>
      </c>
      <c r="T173" s="257">
        <f>IF(T$7="Actual","",IFERROR((INDEX($M173:$Q173,,MATCH(T$4,$M$4:$Q$4,0))),0))</f>
        <v/>
      </c>
      <c r="U173" s="257">
        <f>IF(U$7="Actual","",IFERROR((INDEX($M173:$Q173,,MATCH(U$4,$M$4:$Q$4,0))),0))</f>
        <v/>
      </c>
      <c r="V173" s="257">
        <f>IF(V$7="Actual","",IFERROR((INDEX($M173:$Q173,,MATCH(V$4,$M$4:$Q$4,0))),0))</f>
        <v/>
      </c>
      <c r="W173" s="257">
        <f>IF(W$7="Actual","",IFERROR((INDEX($M173:$Q173,,MATCH(W$4,$M$4:$Q$4,0))),0))</f>
        <v/>
      </c>
      <c r="X173" s="257">
        <f>IF(X$7="Actual","",IFERROR((INDEX($M173:$Q173,,MATCH(X$4,$M$4:$Q$4,0))),0))</f>
        <v/>
      </c>
      <c r="Y173" s="257">
        <f>IF(Y$7="Actual","",IFERROR((INDEX($M173:$Q173,,MATCH(Y$4,$M$4:$Q$4,0))),0))</f>
        <v/>
      </c>
      <c r="Z173" s="257">
        <f>IF(Z$7="Actual","",IFERROR((INDEX($M173:$Q173,,MATCH(Z$4,$M$4:$Q$4,0))),0))</f>
        <v/>
      </c>
      <c r="AA173" s="257">
        <f>IF(AA$7="Actual","",IFERROR((INDEX($M173:$Q173,,MATCH(AA$4,$M$4:$Q$4,0))),0))</f>
        <v/>
      </c>
      <c r="AB173" s="257">
        <f>IF(AB$7="Actual","",IFERROR((INDEX($M173:$Q173,,MATCH(AB$4,$M$4:$Q$4,0))),0))</f>
        <v/>
      </c>
      <c r="AC173" s="257">
        <f>IF(AC$7="Actual","",IFERROR((INDEX($M173:$Q173,,MATCH(AC$4,$M$4:$Q$4,0))),0))</f>
        <v/>
      </c>
      <c r="AD173" s="257">
        <f>IF(AD$7="Actual","",IFERROR((INDEX($M173:$Q173,,MATCH(AD$4,$M$4:$Q$4,0))),0))</f>
        <v/>
      </c>
      <c r="AE173" s="257">
        <f>IF(AE$7="Actual","",IFERROR((INDEX($M173:$Q173,,MATCH(AE$4,$M$4:$Q$4,0))),0))</f>
        <v/>
      </c>
      <c r="AF173" s="257">
        <f>IF(AF$7="Actual","",IFERROR((INDEX($M173:$Q173,,MATCH(AF$4,$M$4:$Q$4,0))),0))</f>
        <v/>
      </c>
      <c r="AG173" s="257">
        <f>IF(AG$7="Actual","",IFERROR((INDEX($M173:$Q173,,MATCH(AG$4,$M$4:$Q$4,0))),0))</f>
        <v/>
      </c>
      <c r="AH173" s="257">
        <f>IF(AH$7="Actual","",IFERROR((INDEX($M173:$Q173,,MATCH(AH$4,$M$4:$Q$4,0))),0))</f>
        <v/>
      </c>
      <c r="AI173" s="257">
        <f>IF(AI$7="Actual","",IFERROR((INDEX($M173:$Q173,,MATCH(AI$4,$M$4:$Q$4,0))),0))</f>
        <v/>
      </c>
      <c r="AJ173" s="257">
        <f>IF(AJ$7="Actual","",IFERROR((INDEX($M173:$Q173,,MATCH(AJ$4,$M$4:$Q$4,0))),0))</f>
        <v/>
      </c>
      <c r="AK173" s="257">
        <f>IF(AK$7="Actual","",IFERROR((INDEX($M173:$Q173,,MATCH(AK$4,$M$4:$Q$4,0))),0))</f>
        <v/>
      </c>
      <c r="AL173" s="257">
        <f>IF(AL$7="Actual","",IFERROR((INDEX($M173:$Q173,,MATCH(AL$4,$M$4:$Q$4,0))),0))</f>
        <v/>
      </c>
      <c r="AM173" s="257">
        <f>IF(AM$7="Actual","",IFERROR((INDEX($M173:$Q173,,MATCH(AM$4,$M$4:$Q$4,0))),0))</f>
        <v/>
      </c>
      <c r="AN173" s="257">
        <f>IF(AN$7="Actual","",IFERROR((INDEX($M173:$Q173,,MATCH(AN$4,$M$4:$Q$4,0))),0))</f>
        <v/>
      </c>
      <c r="AO173" s="257">
        <f>IF(AO$7="Actual","",IFERROR((INDEX($M173:$Q173,,MATCH(AO$4,$M$4:$Q$4,0))),0))</f>
        <v/>
      </c>
      <c r="AP173" s="257">
        <f>IF(AP$7="Actual","",IFERROR((INDEX($M173:$Q173,,MATCH(AP$4,$M$4:$Q$4,0))),0))</f>
        <v/>
      </c>
      <c r="AQ173" s="257">
        <f>IF(AQ$7="Actual","",IFERROR((INDEX($M173:$Q173,,MATCH(AQ$4,$M$4:$Q$4,0))),0))</f>
        <v/>
      </c>
      <c r="AR173" s="257">
        <f>IF(AR$7="Actual","",IFERROR((INDEX($M173:$Q173,,MATCH(AR$4,$M$4:$Q$4,0))),0))</f>
        <v/>
      </c>
      <c r="AS173" s="257">
        <f>IF(AS$7="Actual","",IFERROR((INDEX($M173:$Q173,,MATCH(AS$4,$M$4:$Q$4,0))),0))</f>
        <v/>
      </c>
      <c r="AT173" s="257">
        <f>IF(AT$7="Actual","",IFERROR((INDEX($M173:$Q173,,MATCH(AT$4,$M$4:$Q$4,0))),0))</f>
        <v/>
      </c>
      <c r="AU173" s="257">
        <f>IF(AU$7="Actual","",IFERROR((INDEX($M173:$Q173,,MATCH(AU$4,$M$4:$Q$4,0))),0))</f>
        <v/>
      </c>
      <c r="AV173" s="257">
        <f>IF(AV$7="Actual","",IFERROR((INDEX($M173:$Q173,,MATCH(AV$4,$M$4:$Q$4,0))),0))</f>
        <v/>
      </c>
      <c r="AW173" s="257">
        <f>IF(AW$7="Actual","",IFERROR((INDEX($M173:$Q173,,MATCH(AW$4,$M$4:$Q$4,0))),0))</f>
        <v/>
      </c>
      <c r="AX173" s="257">
        <f>IF(AX$7="Actual","",IFERROR((INDEX($M173:$Q173,,MATCH(AX$4,$M$4:$Q$4,0))),0))</f>
        <v/>
      </c>
      <c r="AY173" s="257">
        <f>IF(AY$7="Actual","",IFERROR((INDEX($M173:$Q173,,MATCH(AY$4,$M$4:$Q$4,0))),0))</f>
        <v/>
      </c>
      <c r="AZ173" s="257">
        <f>IF(AZ$7="Actual","",IFERROR((INDEX($M173:$Q173,,MATCH(AZ$4,$M$4:$Q$4,0))),0))</f>
        <v/>
      </c>
      <c r="BA173" s="257">
        <f>IF(BA$7="Actual","",IFERROR((INDEX($M173:$Q173,,MATCH(BA$4,$M$4:$Q$4,0))),0))</f>
        <v/>
      </c>
      <c r="BB173" s="257">
        <f>IF(BB$7="Actual","",IFERROR((INDEX($M173:$Q173,,MATCH(BB$4,$M$4:$Q$4,0))),0))</f>
        <v/>
      </c>
      <c r="BC173" s="257">
        <f>IF(BC$7="Actual","",IFERROR((INDEX($M173:$Q173,,MATCH(BC$4,$M$4:$Q$4,0))),0))</f>
        <v/>
      </c>
      <c r="BD173" s="257">
        <f>IF(BD$7="Actual","",IFERROR((INDEX($M173:$Q173,,MATCH(BD$4,$M$4:$Q$4,0))),0))</f>
        <v/>
      </c>
      <c r="BE173" s="257">
        <f>IF(BE$7="Actual","",IFERROR((INDEX($M173:$Q173,,MATCH(BE$4,$M$4:$Q$4,0))),0))</f>
        <v/>
      </c>
      <c r="BF173" s="257">
        <f>IF(BF$7="Actual","",IFERROR((INDEX($M173:$Q173,,MATCH(BF$4,$M$4:$Q$4,0))),0))</f>
        <v/>
      </c>
      <c r="BG173" s="257">
        <f>IF(BG$7="Actual","",IFERROR((INDEX($M173:$Q173,,MATCH(BG$4,$M$4:$Q$4,0))),0))</f>
        <v/>
      </c>
      <c r="BH173" s="257">
        <f>IF(BH$7="Actual","",IFERROR((INDEX($M173:$Q173,,MATCH(BH$4,$M$4:$Q$4,0))),0))</f>
        <v/>
      </c>
      <c r="BI173" s="257">
        <f>IF(BI$7="Actual","",IFERROR((INDEX($M173:$Q173,,MATCH(BI$4,$M$4:$Q$4,0))),0))</f>
        <v/>
      </c>
      <c r="BJ173" s="257">
        <f>IF(BJ$7="Actual","",IFERROR((INDEX($M173:$Q173,,MATCH(BJ$4,$M$4:$Q$4,0))),0))</f>
        <v/>
      </c>
      <c r="BK173" s="257">
        <f>IF(BK$7="Actual","",IFERROR((INDEX($M173:$Q173,,MATCH(BK$4,$M$4:$Q$4,0))),0))</f>
        <v/>
      </c>
      <c r="BL173" s="257">
        <f>IF(BL$7="Actual","",IFERROR((INDEX($M173:$Q173,,MATCH(BL$4,$M$4:$Q$4,0))),0))</f>
        <v/>
      </c>
      <c r="BM173" s="257">
        <f>IF(BM$7="Actual","",IFERROR((INDEX($M173:$Q173,,MATCH(BM$4,$M$4:$Q$4,0))),0))</f>
        <v/>
      </c>
      <c r="BN173" s="257">
        <f>IF(BN$7="Actual","",IFERROR((INDEX($M173:$Q173,,MATCH(BN$4,$M$4:$Q$4,0))),0))</f>
        <v/>
      </c>
      <c r="BO173" s="257">
        <f>IF(BO$7="Actual","",IFERROR((INDEX($M173:$Q173,,MATCH(BO$4,$M$4:$Q$4,0))),0))</f>
        <v/>
      </c>
      <c r="BP173" s="257">
        <f>IF(BP$7="Actual","",IFERROR((INDEX($M173:$Q173,,MATCH(BP$4,$M$4:$Q$4,0))),0))</f>
        <v/>
      </c>
      <c r="BQ173" s="257">
        <f>IF(BQ$7="Actual","",IFERROR((INDEX($M173:$Q173,,MATCH(BQ$4,$M$4:$Q$4,0))),0))</f>
        <v/>
      </c>
      <c r="BR173" s="257">
        <f>IF(BR$7="Actual","",IFERROR((INDEX($M173:$Q173,,MATCH(BR$4,$M$4:$Q$4,0))),0))</f>
        <v/>
      </c>
      <c r="BS173" s="257">
        <f>IF(BS$7="Actual","",IFERROR((INDEX($M173:$Q173,,MATCH(BS$4,$M$4:$Q$4,0))),0))</f>
        <v/>
      </c>
      <c r="BT173" s="257">
        <f>IF(BT$7="Actual","",IFERROR((INDEX($M173:$Q173,,MATCH(BT$4,$M$4:$Q$4,0))),0))</f>
        <v/>
      </c>
      <c r="BU173" s="257">
        <f>IF(BU$7="Actual","",IFERROR((INDEX($M173:$Q173,,MATCH(BU$4,$M$4:$Q$4,0))),0))</f>
        <v/>
      </c>
      <c r="BV173" s="257">
        <f>IF(BV$7="Actual","",IFERROR((INDEX($M173:$Q173,,MATCH(BV$4,$M$4:$Q$4,0))),0))</f>
        <v/>
      </c>
      <c r="BW173" s="257">
        <f>IF(BW$7="Actual","",IFERROR((INDEX($M173:$Q173,,MATCH(BW$4,$M$4:$Q$4,0))),0))</f>
        <v/>
      </c>
      <c r="BX173" s="257">
        <f>IF(BX$7="Actual","",IFERROR((INDEX($M173:$Q173,,MATCH(BX$4,$M$4:$Q$4,0))),0))</f>
        <v/>
      </c>
      <c r="BY173" s="257">
        <f>IF(BY$7="Actual","",IFERROR((INDEX($M173:$Q173,,MATCH(BY$4,$M$4:$Q$4,0))),0))</f>
        <v/>
      </c>
      <c r="BZ173" s="257">
        <f>IF(BZ$7="Actual","",IFERROR((INDEX($M173:$Q173,,MATCH(BZ$4,$M$4:$Q$4,0))),0))</f>
        <v/>
      </c>
      <c r="CA173" s="257">
        <f>IF(CA$7="Actual","",IFERROR((INDEX($M173:$Q173,,MATCH(CA$4,$M$4:$Q$4,0))),0))</f>
        <v/>
      </c>
    </row>
    <row r="174" ht="12" customHeight="1" s="227">
      <c r="A174" s="244" t="n"/>
      <c r="B174" s="244" t="n"/>
      <c r="C174" s="244" t="n"/>
      <c r="H174" s="0">
        <f>H164</f>
        <v/>
      </c>
      <c r="I174" s="27">
        <f>i_Setup!$M$16</f>
        <v/>
      </c>
      <c r="K174" s="6" t="n"/>
      <c r="M174" s="257">
        <f>IF(M$7="Actual","",i_Assumptions!M317)</f>
        <v/>
      </c>
      <c r="N174" s="257">
        <f>IF(N$7="Actual","",i_Assumptions!N317)</f>
        <v/>
      </c>
      <c r="O174" s="257">
        <f>IF(O$7="Actual","",i_Assumptions!O317)</f>
        <v/>
      </c>
      <c r="P174" s="257">
        <f>IF(P$7="Actual","",i_Assumptions!P317)</f>
        <v/>
      </c>
      <c r="Q174" s="257">
        <f>IF(Q$7="Actual","",i_Assumptions!Q317)</f>
        <v/>
      </c>
      <c r="T174" s="257">
        <f>IF(T$7="Actual","",IFERROR((INDEX($M174:$Q174,,MATCH(T$4,$M$4:$Q$4,0))),0))</f>
        <v/>
      </c>
      <c r="U174" s="257">
        <f>IF(U$7="Actual","",IFERROR((INDEX($M174:$Q174,,MATCH(U$4,$M$4:$Q$4,0))),0))</f>
        <v/>
      </c>
      <c r="V174" s="257">
        <f>IF(V$7="Actual","",IFERROR((INDEX($M174:$Q174,,MATCH(V$4,$M$4:$Q$4,0))),0))</f>
        <v/>
      </c>
      <c r="W174" s="257">
        <f>IF(W$7="Actual","",IFERROR((INDEX($M174:$Q174,,MATCH(W$4,$M$4:$Q$4,0))),0))</f>
        <v/>
      </c>
      <c r="X174" s="257">
        <f>IF(X$7="Actual","",IFERROR((INDEX($M174:$Q174,,MATCH(X$4,$M$4:$Q$4,0))),0))</f>
        <v/>
      </c>
      <c r="Y174" s="257">
        <f>IF(Y$7="Actual","",IFERROR((INDEX($M174:$Q174,,MATCH(Y$4,$M$4:$Q$4,0))),0))</f>
        <v/>
      </c>
      <c r="Z174" s="257">
        <f>IF(Z$7="Actual","",IFERROR((INDEX($M174:$Q174,,MATCH(Z$4,$M$4:$Q$4,0))),0))</f>
        <v/>
      </c>
      <c r="AA174" s="257">
        <f>IF(AA$7="Actual","",IFERROR((INDEX($M174:$Q174,,MATCH(AA$4,$M$4:$Q$4,0))),0))</f>
        <v/>
      </c>
      <c r="AB174" s="257">
        <f>IF(AB$7="Actual","",IFERROR((INDEX($M174:$Q174,,MATCH(AB$4,$M$4:$Q$4,0))),0))</f>
        <v/>
      </c>
      <c r="AC174" s="257">
        <f>IF(AC$7="Actual","",IFERROR((INDEX($M174:$Q174,,MATCH(AC$4,$M$4:$Q$4,0))),0))</f>
        <v/>
      </c>
      <c r="AD174" s="257">
        <f>IF(AD$7="Actual","",IFERROR((INDEX($M174:$Q174,,MATCH(AD$4,$M$4:$Q$4,0))),0))</f>
        <v/>
      </c>
      <c r="AE174" s="257">
        <f>IF(AE$7="Actual","",IFERROR((INDEX($M174:$Q174,,MATCH(AE$4,$M$4:$Q$4,0))),0))</f>
        <v/>
      </c>
      <c r="AF174" s="257">
        <f>IF(AF$7="Actual","",IFERROR((INDEX($M174:$Q174,,MATCH(AF$4,$M$4:$Q$4,0))),0))</f>
        <v/>
      </c>
      <c r="AG174" s="257">
        <f>IF(AG$7="Actual","",IFERROR((INDEX($M174:$Q174,,MATCH(AG$4,$M$4:$Q$4,0))),0))</f>
        <v/>
      </c>
      <c r="AH174" s="257">
        <f>IF(AH$7="Actual","",IFERROR((INDEX($M174:$Q174,,MATCH(AH$4,$M$4:$Q$4,0))),0))</f>
        <v/>
      </c>
      <c r="AI174" s="257">
        <f>IF(AI$7="Actual","",IFERROR((INDEX($M174:$Q174,,MATCH(AI$4,$M$4:$Q$4,0))),0))</f>
        <v/>
      </c>
      <c r="AJ174" s="257">
        <f>IF(AJ$7="Actual","",IFERROR((INDEX($M174:$Q174,,MATCH(AJ$4,$M$4:$Q$4,0))),0))</f>
        <v/>
      </c>
      <c r="AK174" s="257">
        <f>IF(AK$7="Actual","",IFERROR((INDEX($M174:$Q174,,MATCH(AK$4,$M$4:$Q$4,0))),0))</f>
        <v/>
      </c>
      <c r="AL174" s="257">
        <f>IF(AL$7="Actual","",IFERROR((INDEX($M174:$Q174,,MATCH(AL$4,$M$4:$Q$4,0))),0))</f>
        <v/>
      </c>
      <c r="AM174" s="257">
        <f>IF(AM$7="Actual","",IFERROR((INDEX($M174:$Q174,,MATCH(AM$4,$M$4:$Q$4,0))),0))</f>
        <v/>
      </c>
      <c r="AN174" s="257">
        <f>IF(AN$7="Actual","",IFERROR((INDEX($M174:$Q174,,MATCH(AN$4,$M$4:$Q$4,0))),0))</f>
        <v/>
      </c>
      <c r="AO174" s="257">
        <f>IF(AO$7="Actual","",IFERROR((INDEX($M174:$Q174,,MATCH(AO$4,$M$4:$Q$4,0))),0))</f>
        <v/>
      </c>
      <c r="AP174" s="257">
        <f>IF(AP$7="Actual","",IFERROR((INDEX($M174:$Q174,,MATCH(AP$4,$M$4:$Q$4,0))),0))</f>
        <v/>
      </c>
      <c r="AQ174" s="257">
        <f>IF(AQ$7="Actual","",IFERROR((INDEX($M174:$Q174,,MATCH(AQ$4,$M$4:$Q$4,0))),0))</f>
        <v/>
      </c>
      <c r="AR174" s="257">
        <f>IF(AR$7="Actual","",IFERROR((INDEX($M174:$Q174,,MATCH(AR$4,$M$4:$Q$4,0))),0))</f>
        <v/>
      </c>
      <c r="AS174" s="257">
        <f>IF(AS$7="Actual","",IFERROR((INDEX($M174:$Q174,,MATCH(AS$4,$M$4:$Q$4,0))),0))</f>
        <v/>
      </c>
      <c r="AT174" s="257">
        <f>IF(AT$7="Actual","",IFERROR((INDEX($M174:$Q174,,MATCH(AT$4,$M$4:$Q$4,0))),0))</f>
        <v/>
      </c>
      <c r="AU174" s="257">
        <f>IF(AU$7="Actual","",IFERROR((INDEX($M174:$Q174,,MATCH(AU$4,$M$4:$Q$4,0))),0))</f>
        <v/>
      </c>
      <c r="AV174" s="257">
        <f>IF(AV$7="Actual","",IFERROR((INDEX($M174:$Q174,,MATCH(AV$4,$M$4:$Q$4,0))),0))</f>
        <v/>
      </c>
      <c r="AW174" s="257">
        <f>IF(AW$7="Actual","",IFERROR((INDEX($M174:$Q174,,MATCH(AW$4,$M$4:$Q$4,0))),0))</f>
        <v/>
      </c>
      <c r="AX174" s="257">
        <f>IF(AX$7="Actual","",IFERROR((INDEX($M174:$Q174,,MATCH(AX$4,$M$4:$Q$4,0))),0))</f>
        <v/>
      </c>
      <c r="AY174" s="257">
        <f>IF(AY$7="Actual","",IFERROR((INDEX($M174:$Q174,,MATCH(AY$4,$M$4:$Q$4,0))),0))</f>
        <v/>
      </c>
      <c r="AZ174" s="257">
        <f>IF(AZ$7="Actual","",IFERROR((INDEX($M174:$Q174,,MATCH(AZ$4,$M$4:$Q$4,0))),0))</f>
        <v/>
      </c>
      <c r="BA174" s="257">
        <f>IF(BA$7="Actual","",IFERROR((INDEX($M174:$Q174,,MATCH(BA$4,$M$4:$Q$4,0))),0))</f>
        <v/>
      </c>
      <c r="BB174" s="257">
        <f>IF(BB$7="Actual","",IFERROR((INDEX($M174:$Q174,,MATCH(BB$4,$M$4:$Q$4,0))),0))</f>
        <v/>
      </c>
      <c r="BC174" s="257">
        <f>IF(BC$7="Actual","",IFERROR((INDEX($M174:$Q174,,MATCH(BC$4,$M$4:$Q$4,0))),0))</f>
        <v/>
      </c>
      <c r="BD174" s="257">
        <f>IF(BD$7="Actual","",IFERROR((INDEX($M174:$Q174,,MATCH(BD$4,$M$4:$Q$4,0))),0))</f>
        <v/>
      </c>
      <c r="BE174" s="257">
        <f>IF(BE$7="Actual","",IFERROR((INDEX($M174:$Q174,,MATCH(BE$4,$M$4:$Q$4,0))),0))</f>
        <v/>
      </c>
      <c r="BF174" s="257">
        <f>IF(BF$7="Actual","",IFERROR((INDEX($M174:$Q174,,MATCH(BF$4,$M$4:$Q$4,0))),0))</f>
        <v/>
      </c>
      <c r="BG174" s="257">
        <f>IF(BG$7="Actual","",IFERROR((INDEX($M174:$Q174,,MATCH(BG$4,$M$4:$Q$4,0))),0))</f>
        <v/>
      </c>
      <c r="BH174" s="257">
        <f>IF(BH$7="Actual","",IFERROR((INDEX($M174:$Q174,,MATCH(BH$4,$M$4:$Q$4,0))),0))</f>
        <v/>
      </c>
      <c r="BI174" s="257">
        <f>IF(BI$7="Actual","",IFERROR((INDEX($M174:$Q174,,MATCH(BI$4,$M$4:$Q$4,0))),0))</f>
        <v/>
      </c>
      <c r="BJ174" s="257">
        <f>IF(BJ$7="Actual","",IFERROR((INDEX($M174:$Q174,,MATCH(BJ$4,$M$4:$Q$4,0))),0))</f>
        <v/>
      </c>
      <c r="BK174" s="257">
        <f>IF(BK$7="Actual","",IFERROR((INDEX($M174:$Q174,,MATCH(BK$4,$M$4:$Q$4,0))),0))</f>
        <v/>
      </c>
      <c r="BL174" s="257">
        <f>IF(BL$7="Actual","",IFERROR((INDEX($M174:$Q174,,MATCH(BL$4,$M$4:$Q$4,0))),0))</f>
        <v/>
      </c>
      <c r="BM174" s="257">
        <f>IF(BM$7="Actual","",IFERROR((INDEX($M174:$Q174,,MATCH(BM$4,$M$4:$Q$4,0))),0))</f>
        <v/>
      </c>
      <c r="BN174" s="257">
        <f>IF(BN$7="Actual","",IFERROR((INDEX($M174:$Q174,,MATCH(BN$4,$M$4:$Q$4,0))),0))</f>
        <v/>
      </c>
      <c r="BO174" s="257">
        <f>IF(BO$7="Actual","",IFERROR((INDEX($M174:$Q174,,MATCH(BO$4,$M$4:$Q$4,0))),0))</f>
        <v/>
      </c>
      <c r="BP174" s="257">
        <f>IF(BP$7="Actual","",IFERROR((INDEX($M174:$Q174,,MATCH(BP$4,$M$4:$Q$4,0))),0))</f>
        <v/>
      </c>
      <c r="BQ174" s="257">
        <f>IF(BQ$7="Actual","",IFERROR((INDEX($M174:$Q174,,MATCH(BQ$4,$M$4:$Q$4,0))),0))</f>
        <v/>
      </c>
      <c r="BR174" s="257">
        <f>IF(BR$7="Actual","",IFERROR((INDEX($M174:$Q174,,MATCH(BR$4,$M$4:$Q$4,0))),0))</f>
        <v/>
      </c>
      <c r="BS174" s="257">
        <f>IF(BS$7="Actual","",IFERROR((INDEX($M174:$Q174,,MATCH(BS$4,$M$4:$Q$4,0))),0))</f>
        <v/>
      </c>
      <c r="BT174" s="257">
        <f>IF(BT$7="Actual","",IFERROR((INDEX($M174:$Q174,,MATCH(BT$4,$M$4:$Q$4,0))),0))</f>
        <v/>
      </c>
      <c r="BU174" s="257">
        <f>IF(BU$7="Actual","",IFERROR((INDEX($M174:$Q174,,MATCH(BU$4,$M$4:$Q$4,0))),0))</f>
        <v/>
      </c>
      <c r="BV174" s="257">
        <f>IF(BV$7="Actual","",IFERROR((INDEX($M174:$Q174,,MATCH(BV$4,$M$4:$Q$4,0))),0))</f>
        <v/>
      </c>
      <c r="BW174" s="257">
        <f>IF(BW$7="Actual","",IFERROR((INDEX($M174:$Q174,,MATCH(BW$4,$M$4:$Q$4,0))),0))</f>
        <v/>
      </c>
      <c r="BX174" s="257">
        <f>IF(BX$7="Actual","",IFERROR((INDEX($M174:$Q174,,MATCH(BX$4,$M$4:$Q$4,0))),0))</f>
        <v/>
      </c>
      <c r="BY174" s="257">
        <f>IF(BY$7="Actual","",IFERROR((INDEX($M174:$Q174,,MATCH(BY$4,$M$4:$Q$4,0))),0))</f>
        <v/>
      </c>
      <c r="BZ174" s="257">
        <f>IF(BZ$7="Actual","",IFERROR((INDEX($M174:$Q174,,MATCH(BZ$4,$M$4:$Q$4,0))),0))</f>
        <v/>
      </c>
      <c r="CA174" s="257">
        <f>IF(CA$7="Actual","",IFERROR((INDEX($M174:$Q174,,MATCH(CA$4,$M$4:$Q$4,0))),0))</f>
        <v/>
      </c>
    </row>
    <row r="175" ht="12" customHeight="1" s="227">
      <c r="A175" s="244" t="n"/>
      <c r="B175" s="244" t="n"/>
      <c r="C175" s="244" t="n"/>
      <c r="H175" s="0">
        <f>H165</f>
        <v/>
      </c>
      <c r="I175" s="27">
        <f>i_Setup!$M$16</f>
        <v/>
      </c>
      <c r="K175" s="6" t="n"/>
      <c r="M175" s="257">
        <f>IF(M$7="Actual","",i_Assumptions!M318)</f>
        <v/>
      </c>
      <c r="N175" s="257">
        <f>IF(N$7="Actual","",i_Assumptions!N318)</f>
        <v/>
      </c>
      <c r="O175" s="257">
        <f>IF(O$7="Actual","",i_Assumptions!O318)</f>
        <v/>
      </c>
      <c r="P175" s="257">
        <f>IF(P$7="Actual","",i_Assumptions!P318)</f>
        <v/>
      </c>
      <c r="Q175" s="257">
        <f>IF(Q$7="Actual","",i_Assumptions!Q318)</f>
        <v/>
      </c>
      <c r="T175" s="257">
        <f>IF(T$7="Actual","",IFERROR((INDEX($M175:$Q175,,MATCH(T$4,$M$4:$Q$4,0))),0))</f>
        <v/>
      </c>
      <c r="U175" s="257">
        <f>IF(U$7="Actual","",IFERROR((INDEX($M175:$Q175,,MATCH(U$4,$M$4:$Q$4,0))),0))</f>
        <v/>
      </c>
      <c r="V175" s="257">
        <f>IF(V$7="Actual","",IFERROR((INDEX($M175:$Q175,,MATCH(V$4,$M$4:$Q$4,0))),0))</f>
        <v/>
      </c>
      <c r="W175" s="257">
        <f>IF(W$7="Actual","",IFERROR((INDEX($M175:$Q175,,MATCH(W$4,$M$4:$Q$4,0))),0))</f>
        <v/>
      </c>
      <c r="X175" s="257">
        <f>IF(X$7="Actual","",IFERROR((INDEX($M175:$Q175,,MATCH(X$4,$M$4:$Q$4,0))),0))</f>
        <v/>
      </c>
      <c r="Y175" s="257">
        <f>IF(Y$7="Actual","",IFERROR((INDEX($M175:$Q175,,MATCH(Y$4,$M$4:$Q$4,0))),0))</f>
        <v/>
      </c>
      <c r="Z175" s="257">
        <f>IF(Z$7="Actual","",IFERROR((INDEX($M175:$Q175,,MATCH(Z$4,$M$4:$Q$4,0))),0))</f>
        <v/>
      </c>
      <c r="AA175" s="257">
        <f>IF(AA$7="Actual","",IFERROR((INDEX($M175:$Q175,,MATCH(AA$4,$M$4:$Q$4,0))),0))</f>
        <v/>
      </c>
      <c r="AB175" s="257">
        <f>IF(AB$7="Actual","",IFERROR((INDEX($M175:$Q175,,MATCH(AB$4,$M$4:$Q$4,0))),0))</f>
        <v/>
      </c>
      <c r="AC175" s="257">
        <f>IF(AC$7="Actual","",IFERROR((INDEX($M175:$Q175,,MATCH(AC$4,$M$4:$Q$4,0))),0))</f>
        <v/>
      </c>
      <c r="AD175" s="257">
        <f>IF(AD$7="Actual","",IFERROR((INDEX($M175:$Q175,,MATCH(AD$4,$M$4:$Q$4,0))),0))</f>
        <v/>
      </c>
      <c r="AE175" s="257">
        <f>IF(AE$7="Actual","",IFERROR((INDEX($M175:$Q175,,MATCH(AE$4,$M$4:$Q$4,0))),0))</f>
        <v/>
      </c>
      <c r="AF175" s="257">
        <f>IF(AF$7="Actual","",IFERROR((INDEX($M175:$Q175,,MATCH(AF$4,$M$4:$Q$4,0))),0))</f>
        <v/>
      </c>
      <c r="AG175" s="257">
        <f>IF(AG$7="Actual","",IFERROR((INDEX($M175:$Q175,,MATCH(AG$4,$M$4:$Q$4,0))),0))</f>
        <v/>
      </c>
      <c r="AH175" s="257">
        <f>IF(AH$7="Actual","",IFERROR((INDEX($M175:$Q175,,MATCH(AH$4,$M$4:$Q$4,0))),0))</f>
        <v/>
      </c>
      <c r="AI175" s="257">
        <f>IF(AI$7="Actual","",IFERROR((INDEX($M175:$Q175,,MATCH(AI$4,$M$4:$Q$4,0))),0))</f>
        <v/>
      </c>
      <c r="AJ175" s="257">
        <f>IF(AJ$7="Actual","",IFERROR((INDEX($M175:$Q175,,MATCH(AJ$4,$M$4:$Q$4,0))),0))</f>
        <v/>
      </c>
      <c r="AK175" s="257">
        <f>IF(AK$7="Actual","",IFERROR((INDEX($M175:$Q175,,MATCH(AK$4,$M$4:$Q$4,0))),0))</f>
        <v/>
      </c>
      <c r="AL175" s="257">
        <f>IF(AL$7="Actual","",IFERROR((INDEX($M175:$Q175,,MATCH(AL$4,$M$4:$Q$4,0))),0))</f>
        <v/>
      </c>
      <c r="AM175" s="257">
        <f>IF(AM$7="Actual","",IFERROR((INDEX($M175:$Q175,,MATCH(AM$4,$M$4:$Q$4,0))),0))</f>
        <v/>
      </c>
      <c r="AN175" s="257">
        <f>IF(AN$7="Actual","",IFERROR((INDEX($M175:$Q175,,MATCH(AN$4,$M$4:$Q$4,0))),0))</f>
        <v/>
      </c>
      <c r="AO175" s="257">
        <f>IF(AO$7="Actual","",IFERROR((INDEX($M175:$Q175,,MATCH(AO$4,$M$4:$Q$4,0))),0))</f>
        <v/>
      </c>
      <c r="AP175" s="257">
        <f>IF(AP$7="Actual","",IFERROR((INDEX($M175:$Q175,,MATCH(AP$4,$M$4:$Q$4,0))),0))</f>
        <v/>
      </c>
      <c r="AQ175" s="257">
        <f>IF(AQ$7="Actual","",IFERROR((INDEX($M175:$Q175,,MATCH(AQ$4,$M$4:$Q$4,0))),0))</f>
        <v/>
      </c>
      <c r="AR175" s="257">
        <f>IF(AR$7="Actual","",IFERROR((INDEX($M175:$Q175,,MATCH(AR$4,$M$4:$Q$4,0))),0))</f>
        <v/>
      </c>
      <c r="AS175" s="257">
        <f>IF(AS$7="Actual","",IFERROR((INDEX($M175:$Q175,,MATCH(AS$4,$M$4:$Q$4,0))),0))</f>
        <v/>
      </c>
      <c r="AT175" s="257">
        <f>IF(AT$7="Actual","",IFERROR((INDEX($M175:$Q175,,MATCH(AT$4,$M$4:$Q$4,0))),0))</f>
        <v/>
      </c>
      <c r="AU175" s="257">
        <f>IF(AU$7="Actual","",IFERROR((INDEX($M175:$Q175,,MATCH(AU$4,$M$4:$Q$4,0))),0))</f>
        <v/>
      </c>
      <c r="AV175" s="257">
        <f>IF(AV$7="Actual","",IFERROR((INDEX($M175:$Q175,,MATCH(AV$4,$M$4:$Q$4,0))),0))</f>
        <v/>
      </c>
      <c r="AW175" s="257">
        <f>IF(AW$7="Actual","",IFERROR((INDEX($M175:$Q175,,MATCH(AW$4,$M$4:$Q$4,0))),0))</f>
        <v/>
      </c>
      <c r="AX175" s="257">
        <f>IF(AX$7="Actual","",IFERROR((INDEX($M175:$Q175,,MATCH(AX$4,$M$4:$Q$4,0))),0))</f>
        <v/>
      </c>
      <c r="AY175" s="257">
        <f>IF(AY$7="Actual","",IFERROR((INDEX($M175:$Q175,,MATCH(AY$4,$M$4:$Q$4,0))),0))</f>
        <v/>
      </c>
      <c r="AZ175" s="257">
        <f>IF(AZ$7="Actual","",IFERROR((INDEX($M175:$Q175,,MATCH(AZ$4,$M$4:$Q$4,0))),0))</f>
        <v/>
      </c>
      <c r="BA175" s="257">
        <f>IF(BA$7="Actual","",IFERROR((INDEX($M175:$Q175,,MATCH(BA$4,$M$4:$Q$4,0))),0))</f>
        <v/>
      </c>
      <c r="BB175" s="257">
        <f>IF(BB$7="Actual","",IFERROR((INDEX($M175:$Q175,,MATCH(BB$4,$M$4:$Q$4,0))),0))</f>
        <v/>
      </c>
      <c r="BC175" s="257">
        <f>IF(BC$7="Actual","",IFERROR((INDEX($M175:$Q175,,MATCH(BC$4,$M$4:$Q$4,0))),0))</f>
        <v/>
      </c>
      <c r="BD175" s="257">
        <f>IF(BD$7="Actual","",IFERROR((INDEX($M175:$Q175,,MATCH(BD$4,$M$4:$Q$4,0))),0))</f>
        <v/>
      </c>
      <c r="BE175" s="257">
        <f>IF(BE$7="Actual","",IFERROR((INDEX($M175:$Q175,,MATCH(BE$4,$M$4:$Q$4,0))),0))</f>
        <v/>
      </c>
      <c r="BF175" s="257">
        <f>IF(BF$7="Actual","",IFERROR((INDEX($M175:$Q175,,MATCH(BF$4,$M$4:$Q$4,0))),0))</f>
        <v/>
      </c>
      <c r="BG175" s="257">
        <f>IF(BG$7="Actual","",IFERROR((INDEX($M175:$Q175,,MATCH(BG$4,$M$4:$Q$4,0))),0))</f>
        <v/>
      </c>
      <c r="BH175" s="257">
        <f>IF(BH$7="Actual","",IFERROR((INDEX($M175:$Q175,,MATCH(BH$4,$M$4:$Q$4,0))),0))</f>
        <v/>
      </c>
      <c r="BI175" s="257">
        <f>IF(BI$7="Actual","",IFERROR((INDEX($M175:$Q175,,MATCH(BI$4,$M$4:$Q$4,0))),0))</f>
        <v/>
      </c>
      <c r="BJ175" s="257">
        <f>IF(BJ$7="Actual","",IFERROR((INDEX($M175:$Q175,,MATCH(BJ$4,$M$4:$Q$4,0))),0))</f>
        <v/>
      </c>
      <c r="BK175" s="257">
        <f>IF(BK$7="Actual","",IFERROR((INDEX($M175:$Q175,,MATCH(BK$4,$M$4:$Q$4,0))),0))</f>
        <v/>
      </c>
      <c r="BL175" s="257">
        <f>IF(BL$7="Actual","",IFERROR((INDEX($M175:$Q175,,MATCH(BL$4,$M$4:$Q$4,0))),0))</f>
        <v/>
      </c>
      <c r="BM175" s="257">
        <f>IF(BM$7="Actual","",IFERROR((INDEX($M175:$Q175,,MATCH(BM$4,$M$4:$Q$4,0))),0))</f>
        <v/>
      </c>
      <c r="BN175" s="257">
        <f>IF(BN$7="Actual","",IFERROR((INDEX($M175:$Q175,,MATCH(BN$4,$M$4:$Q$4,0))),0))</f>
        <v/>
      </c>
      <c r="BO175" s="257">
        <f>IF(BO$7="Actual","",IFERROR((INDEX($M175:$Q175,,MATCH(BO$4,$M$4:$Q$4,0))),0))</f>
        <v/>
      </c>
      <c r="BP175" s="257">
        <f>IF(BP$7="Actual","",IFERROR((INDEX($M175:$Q175,,MATCH(BP$4,$M$4:$Q$4,0))),0))</f>
        <v/>
      </c>
      <c r="BQ175" s="257">
        <f>IF(BQ$7="Actual","",IFERROR((INDEX($M175:$Q175,,MATCH(BQ$4,$M$4:$Q$4,0))),0))</f>
        <v/>
      </c>
      <c r="BR175" s="257">
        <f>IF(BR$7="Actual","",IFERROR((INDEX($M175:$Q175,,MATCH(BR$4,$M$4:$Q$4,0))),0))</f>
        <v/>
      </c>
      <c r="BS175" s="257">
        <f>IF(BS$7="Actual","",IFERROR((INDEX($M175:$Q175,,MATCH(BS$4,$M$4:$Q$4,0))),0))</f>
        <v/>
      </c>
      <c r="BT175" s="257">
        <f>IF(BT$7="Actual","",IFERROR((INDEX($M175:$Q175,,MATCH(BT$4,$M$4:$Q$4,0))),0))</f>
        <v/>
      </c>
      <c r="BU175" s="257">
        <f>IF(BU$7="Actual","",IFERROR((INDEX($M175:$Q175,,MATCH(BU$4,$M$4:$Q$4,0))),0))</f>
        <v/>
      </c>
      <c r="BV175" s="257">
        <f>IF(BV$7="Actual","",IFERROR((INDEX($M175:$Q175,,MATCH(BV$4,$M$4:$Q$4,0))),0))</f>
        <v/>
      </c>
      <c r="BW175" s="257">
        <f>IF(BW$7="Actual","",IFERROR((INDEX($M175:$Q175,,MATCH(BW$4,$M$4:$Q$4,0))),0))</f>
        <v/>
      </c>
      <c r="BX175" s="257">
        <f>IF(BX$7="Actual","",IFERROR((INDEX($M175:$Q175,,MATCH(BX$4,$M$4:$Q$4,0))),0))</f>
        <v/>
      </c>
      <c r="BY175" s="257">
        <f>IF(BY$7="Actual","",IFERROR((INDEX($M175:$Q175,,MATCH(BY$4,$M$4:$Q$4,0))),0))</f>
        <v/>
      </c>
      <c r="BZ175" s="257">
        <f>IF(BZ$7="Actual","",IFERROR((INDEX($M175:$Q175,,MATCH(BZ$4,$M$4:$Q$4,0))),0))</f>
        <v/>
      </c>
      <c r="CA175" s="257">
        <f>IF(CA$7="Actual","",IFERROR((INDEX($M175:$Q175,,MATCH(CA$4,$M$4:$Q$4,0))),0))</f>
        <v/>
      </c>
    </row>
    <row r="176" ht="12" customHeight="1" s="227">
      <c r="A176" s="244" t="n"/>
      <c r="B176" s="244" t="n"/>
      <c r="C176" s="244" t="n"/>
      <c r="H176" s="0">
        <f>H166</f>
        <v/>
      </c>
      <c r="I176" s="27">
        <f>i_Setup!$M$16</f>
        <v/>
      </c>
      <c r="K176" s="6" t="n"/>
      <c r="M176" s="257">
        <f>IF(M$7="Actual","",i_Assumptions!M319)</f>
        <v/>
      </c>
      <c r="N176" s="257">
        <f>IF(N$7="Actual","",i_Assumptions!N319)</f>
        <v/>
      </c>
      <c r="O176" s="257">
        <f>IF(O$7="Actual","",i_Assumptions!O319)</f>
        <v/>
      </c>
      <c r="P176" s="257">
        <f>IF(P$7="Actual","",i_Assumptions!P319)</f>
        <v/>
      </c>
      <c r="Q176" s="257">
        <f>IF(Q$7="Actual","",i_Assumptions!Q319)</f>
        <v/>
      </c>
      <c r="T176" s="257">
        <f>IF(T$7="Actual","",IFERROR((INDEX($M176:$Q176,,MATCH(T$4,$M$4:$Q$4,0))),0))</f>
        <v/>
      </c>
      <c r="U176" s="257">
        <f>IF(U$7="Actual","",IFERROR((INDEX($M176:$Q176,,MATCH(U$4,$M$4:$Q$4,0))),0))</f>
        <v/>
      </c>
      <c r="V176" s="257">
        <f>IF(V$7="Actual","",IFERROR((INDEX($M176:$Q176,,MATCH(V$4,$M$4:$Q$4,0))),0))</f>
        <v/>
      </c>
      <c r="W176" s="257">
        <f>IF(W$7="Actual","",IFERROR((INDEX($M176:$Q176,,MATCH(W$4,$M$4:$Q$4,0))),0))</f>
        <v/>
      </c>
      <c r="X176" s="257">
        <f>IF(X$7="Actual","",IFERROR((INDEX($M176:$Q176,,MATCH(X$4,$M$4:$Q$4,0))),0))</f>
        <v/>
      </c>
      <c r="Y176" s="257">
        <f>IF(Y$7="Actual","",IFERROR((INDEX($M176:$Q176,,MATCH(Y$4,$M$4:$Q$4,0))),0))</f>
        <v/>
      </c>
      <c r="Z176" s="257">
        <f>IF(Z$7="Actual","",IFERROR((INDEX($M176:$Q176,,MATCH(Z$4,$M$4:$Q$4,0))),0))</f>
        <v/>
      </c>
      <c r="AA176" s="257">
        <f>IF(AA$7="Actual","",IFERROR((INDEX($M176:$Q176,,MATCH(AA$4,$M$4:$Q$4,0))),0))</f>
        <v/>
      </c>
      <c r="AB176" s="257">
        <f>IF(AB$7="Actual","",IFERROR((INDEX($M176:$Q176,,MATCH(AB$4,$M$4:$Q$4,0))),0))</f>
        <v/>
      </c>
      <c r="AC176" s="257">
        <f>IF(AC$7="Actual","",IFERROR((INDEX($M176:$Q176,,MATCH(AC$4,$M$4:$Q$4,0))),0))</f>
        <v/>
      </c>
      <c r="AD176" s="257">
        <f>IF(AD$7="Actual","",IFERROR((INDEX($M176:$Q176,,MATCH(AD$4,$M$4:$Q$4,0))),0))</f>
        <v/>
      </c>
      <c r="AE176" s="257">
        <f>IF(AE$7="Actual","",IFERROR((INDEX($M176:$Q176,,MATCH(AE$4,$M$4:$Q$4,0))),0))</f>
        <v/>
      </c>
      <c r="AF176" s="257">
        <f>IF(AF$7="Actual","",IFERROR((INDEX($M176:$Q176,,MATCH(AF$4,$M$4:$Q$4,0))),0))</f>
        <v/>
      </c>
      <c r="AG176" s="257">
        <f>IF(AG$7="Actual","",IFERROR((INDEX($M176:$Q176,,MATCH(AG$4,$M$4:$Q$4,0))),0))</f>
        <v/>
      </c>
      <c r="AH176" s="257">
        <f>IF(AH$7="Actual","",IFERROR((INDEX($M176:$Q176,,MATCH(AH$4,$M$4:$Q$4,0))),0))</f>
        <v/>
      </c>
      <c r="AI176" s="257">
        <f>IF(AI$7="Actual","",IFERROR((INDEX($M176:$Q176,,MATCH(AI$4,$M$4:$Q$4,0))),0))</f>
        <v/>
      </c>
      <c r="AJ176" s="257">
        <f>IF(AJ$7="Actual","",IFERROR((INDEX($M176:$Q176,,MATCH(AJ$4,$M$4:$Q$4,0))),0))</f>
        <v/>
      </c>
      <c r="AK176" s="257">
        <f>IF(AK$7="Actual","",IFERROR((INDEX($M176:$Q176,,MATCH(AK$4,$M$4:$Q$4,0))),0))</f>
        <v/>
      </c>
      <c r="AL176" s="257">
        <f>IF(AL$7="Actual","",IFERROR((INDEX($M176:$Q176,,MATCH(AL$4,$M$4:$Q$4,0))),0))</f>
        <v/>
      </c>
      <c r="AM176" s="257">
        <f>IF(AM$7="Actual","",IFERROR((INDEX($M176:$Q176,,MATCH(AM$4,$M$4:$Q$4,0))),0))</f>
        <v/>
      </c>
      <c r="AN176" s="257">
        <f>IF(AN$7="Actual","",IFERROR((INDEX($M176:$Q176,,MATCH(AN$4,$M$4:$Q$4,0))),0))</f>
        <v/>
      </c>
      <c r="AO176" s="257">
        <f>IF(AO$7="Actual","",IFERROR((INDEX($M176:$Q176,,MATCH(AO$4,$M$4:$Q$4,0))),0))</f>
        <v/>
      </c>
      <c r="AP176" s="257">
        <f>IF(AP$7="Actual","",IFERROR((INDEX($M176:$Q176,,MATCH(AP$4,$M$4:$Q$4,0))),0))</f>
        <v/>
      </c>
      <c r="AQ176" s="257">
        <f>IF(AQ$7="Actual","",IFERROR((INDEX($M176:$Q176,,MATCH(AQ$4,$M$4:$Q$4,0))),0))</f>
        <v/>
      </c>
      <c r="AR176" s="257">
        <f>IF(AR$7="Actual","",IFERROR((INDEX($M176:$Q176,,MATCH(AR$4,$M$4:$Q$4,0))),0))</f>
        <v/>
      </c>
      <c r="AS176" s="257">
        <f>IF(AS$7="Actual","",IFERROR((INDEX($M176:$Q176,,MATCH(AS$4,$M$4:$Q$4,0))),0))</f>
        <v/>
      </c>
      <c r="AT176" s="257">
        <f>IF(AT$7="Actual","",IFERROR((INDEX($M176:$Q176,,MATCH(AT$4,$M$4:$Q$4,0))),0))</f>
        <v/>
      </c>
      <c r="AU176" s="257">
        <f>IF(AU$7="Actual","",IFERROR((INDEX($M176:$Q176,,MATCH(AU$4,$M$4:$Q$4,0))),0))</f>
        <v/>
      </c>
      <c r="AV176" s="257">
        <f>IF(AV$7="Actual","",IFERROR((INDEX($M176:$Q176,,MATCH(AV$4,$M$4:$Q$4,0))),0))</f>
        <v/>
      </c>
      <c r="AW176" s="257">
        <f>IF(AW$7="Actual","",IFERROR((INDEX($M176:$Q176,,MATCH(AW$4,$M$4:$Q$4,0))),0))</f>
        <v/>
      </c>
      <c r="AX176" s="257">
        <f>IF(AX$7="Actual","",IFERROR((INDEX($M176:$Q176,,MATCH(AX$4,$M$4:$Q$4,0))),0))</f>
        <v/>
      </c>
      <c r="AY176" s="257">
        <f>IF(AY$7="Actual","",IFERROR((INDEX($M176:$Q176,,MATCH(AY$4,$M$4:$Q$4,0))),0))</f>
        <v/>
      </c>
      <c r="AZ176" s="257">
        <f>IF(AZ$7="Actual","",IFERROR((INDEX($M176:$Q176,,MATCH(AZ$4,$M$4:$Q$4,0))),0))</f>
        <v/>
      </c>
      <c r="BA176" s="257">
        <f>IF(BA$7="Actual","",IFERROR((INDEX($M176:$Q176,,MATCH(BA$4,$M$4:$Q$4,0))),0))</f>
        <v/>
      </c>
      <c r="BB176" s="257">
        <f>IF(BB$7="Actual","",IFERROR((INDEX($M176:$Q176,,MATCH(BB$4,$M$4:$Q$4,0))),0))</f>
        <v/>
      </c>
      <c r="BC176" s="257">
        <f>IF(BC$7="Actual","",IFERROR((INDEX($M176:$Q176,,MATCH(BC$4,$M$4:$Q$4,0))),0))</f>
        <v/>
      </c>
      <c r="BD176" s="257">
        <f>IF(BD$7="Actual","",IFERROR((INDEX($M176:$Q176,,MATCH(BD$4,$M$4:$Q$4,0))),0))</f>
        <v/>
      </c>
      <c r="BE176" s="257">
        <f>IF(BE$7="Actual","",IFERROR((INDEX($M176:$Q176,,MATCH(BE$4,$M$4:$Q$4,0))),0))</f>
        <v/>
      </c>
      <c r="BF176" s="257">
        <f>IF(BF$7="Actual","",IFERROR((INDEX($M176:$Q176,,MATCH(BF$4,$M$4:$Q$4,0))),0))</f>
        <v/>
      </c>
      <c r="BG176" s="257">
        <f>IF(BG$7="Actual","",IFERROR((INDEX($M176:$Q176,,MATCH(BG$4,$M$4:$Q$4,0))),0))</f>
        <v/>
      </c>
      <c r="BH176" s="257">
        <f>IF(BH$7="Actual","",IFERROR((INDEX($M176:$Q176,,MATCH(BH$4,$M$4:$Q$4,0))),0))</f>
        <v/>
      </c>
      <c r="BI176" s="257">
        <f>IF(BI$7="Actual","",IFERROR((INDEX($M176:$Q176,,MATCH(BI$4,$M$4:$Q$4,0))),0))</f>
        <v/>
      </c>
      <c r="BJ176" s="257">
        <f>IF(BJ$7="Actual","",IFERROR((INDEX($M176:$Q176,,MATCH(BJ$4,$M$4:$Q$4,0))),0))</f>
        <v/>
      </c>
      <c r="BK176" s="257">
        <f>IF(BK$7="Actual","",IFERROR((INDEX($M176:$Q176,,MATCH(BK$4,$M$4:$Q$4,0))),0))</f>
        <v/>
      </c>
      <c r="BL176" s="257">
        <f>IF(BL$7="Actual","",IFERROR((INDEX($M176:$Q176,,MATCH(BL$4,$M$4:$Q$4,0))),0))</f>
        <v/>
      </c>
      <c r="BM176" s="257">
        <f>IF(BM$7="Actual","",IFERROR((INDEX($M176:$Q176,,MATCH(BM$4,$M$4:$Q$4,0))),0))</f>
        <v/>
      </c>
      <c r="BN176" s="257">
        <f>IF(BN$7="Actual","",IFERROR((INDEX($M176:$Q176,,MATCH(BN$4,$M$4:$Q$4,0))),0))</f>
        <v/>
      </c>
      <c r="BO176" s="257">
        <f>IF(BO$7="Actual","",IFERROR((INDEX($M176:$Q176,,MATCH(BO$4,$M$4:$Q$4,0))),0))</f>
        <v/>
      </c>
      <c r="BP176" s="257">
        <f>IF(BP$7="Actual","",IFERROR((INDEX($M176:$Q176,,MATCH(BP$4,$M$4:$Q$4,0))),0))</f>
        <v/>
      </c>
      <c r="BQ176" s="257">
        <f>IF(BQ$7="Actual","",IFERROR((INDEX($M176:$Q176,,MATCH(BQ$4,$M$4:$Q$4,0))),0))</f>
        <v/>
      </c>
      <c r="BR176" s="257">
        <f>IF(BR$7="Actual","",IFERROR((INDEX($M176:$Q176,,MATCH(BR$4,$M$4:$Q$4,0))),0))</f>
        <v/>
      </c>
      <c r="BS176" s="257">
        <f>IF(BS$7="Actual","",IFERROR((INDEX($M176:$Q176,,MATCH(BS$4,$M$4:$Q$4,0))),0))</f>
        <v/>
      </c>
      <c r="BT176" s="257">
        <f>IF(BT$7="Actual","",IFERROR((INDEX($M176:$Q176,,MATCH(BT$4,$M$4:$Q$4,0))),0))</f>
        <v/>
      </c>
      <c r="BU176" s="257">
        <f>IF(BU$7="Actual","",IFERROR((INDEX($M176:$Q176,,MATCH(BU$4,$M$4:$Q$4,0))),0))</f>
        <v/>
      </c>
      <c r="BV176" s="257">
        <f>IF(BV$7="Actual","",IFERROR((INDEX($M176:$Q176,,MATCH(BV$4,$M$4:$Q$4,0))),0))</f>
        <v/>
      </c>
      <c r="BW176" s="257">
        <f>IF(BW$7="Actual","",IFERROR((INDEX($M176:$Q176,,MATCH(BW$4,$M$4:$Q$4,0))),0))</f>
        <v/>
      </c>
      <c r="BX176" s="257">
        <f>IF(BX$7="Actual","",IFERROR((INDEX($M176:$Q176,,MATCH(BX$4,$M$4:$Q$4,0))),0))</f>
        <v/>
      </c>
      <c r="BY176" s="257">
        <f>IF(BY$7="Actual","",IFERROR((INDEX($M176:$Q176,,MATCH(BY$4,$M$4:$Q$4,0))),0))</f>
        <v/>
      </c>
      <c r="BZ176" s="257">
        <f>IF(BZ$7="Actual","",IFERROR((INDEX($M176:$Q176,,MATCH(BZ$4,$M$4:$Q$4,0))),0))</f>
        <v/>
      </c>
      <c r="CA176" s="257">
        <f>IF(CA$7="Actual","",IFERROR((INDEX($M176:$Q176,,MATCH(CA$4,$M$4:$Q$4,0))),0))</f>
        <v/>
      </c>
    </row>
    <row r="177" ht="12" customHeight="1" s="227">
      <c r="A177" s="244" t="n"/>
      <c r="B177" s="244" t="n"/>
      <c r="C177" s="244" t="n"/>
      <c r="H177" s="0">
        <f>H167</f>
        <v/>
      </c>
      <c r="I177" s="27">
        <f>i_Setup!$M$16</f>
        <v/>
      </c>
      <c r="K177" s="6" t="n"/>
      <c r="M177" s="257">
        <f>IF(M$7="Actual","",i_Assumptions!M320)</f>
        <v/>
      </c>
      <c r="N177" s="257">
        <f>IF(N$7="Actual","",i_Assumptions!N320)</f>
        <v/>
      </c>
      <c r="O177" s="257">
        <f>IF(O$7="Actual","",i_Assumptions!O320)</f>
        <v/>
      </c>
      <c r="P177" s="257">
        <f>IF(P$7="Actual","",i_Assumptions!P320)</f>
        <v/>
      </c>
      <c r="Q177" s="257">
        <f>IF(Q$7="Actual","",i_Assumptions!Q320)</f>
        <v/>
      </c>
      <c r="T177" s="257">
        <f>IF(T$7="Actual","",IFERROR((INDEX($M177:$Q177,,MATCH(T$4,$M$4:$Q$4,0))),0))</f>
        <v/>
      </c>
      <c r="U177" s="257">
        <f>IF(U$7="Actual","",IFERROR((INDEX($M177:$Q177,,MATCH(U$4,$M$4:$Q$4,0))),0))</f>
        <v/>
      </c>
      <c r="V177" s="257">
        <f>IF(V$7="Actual","",IFERROR((INDEX($M177:$Q177,,MATCH(V$4,$M$4:$Q$4,0))),0))</f>
        <v/>
      </c>
      <c r="W177" s="257">
        <f>IF(W$7="Actual","",IFERROR((INDEX($M177:$Q177,,MATCH(W$4,$M$4:$Q$4,0))),0))</f>
        <v/>
      </c>
      <c r="X177" s="257">
        <f>IF(X$7="Actual","",IFERROR((INDEX($M177:$Q177,,MATCH(X$4,$M$4:$Q$4,0))),0))</f>
        <v/>
      </c>
      <c r="Y177" s="257">
        <f>IF(Y$7="Actual","",IFERROR((INDEX($M177:$Q177,,MATCH(Y$4,$M$4:$Q$4,0))),0))</f>
        <v/>
      </c>
      <c r="Z177" s="257">
        <f>IF(Z$7="Actual","",IFERROR((INDEX($M177:$Q177,,MATCH(Z$4,$M$4:$Q$4,0))),0))</f>
        <v/>
      </c>
      <c r="AA177" s="257">
        <f>IF(AA$7="Actual","",IFERROR((INDEX($M177:$Q177,,MATCH(AA$4,$M$4:$Q$4,0))),0))</f>
        <v/>
      </c>
      <c r="AB177" s="257">
        <f>IF(AB$7="Actual","",IFERROR((INDEX($M177:$Q177,,MATCH(AB$4,$M$4:$Q$4,0))),0))</f>
        <v/>
      </c>
      <c r="AC177" s="257">
        <f>IF(AC$7="Actual","",IFERROR((INDEX($M177:$Q177,,MATCH(AC$4,$M$4:$Q$4,0))),0))</f>
        <v/>
      </c>
      <c r="AD177" s="257">
        <f>IF(AD$7="Actual","",IFERROR((INDEX($M177:$Q177,,MATCH(AD$4,$M$4:$Q$4,0))),0))</f>
        <v/>
      </c>
      <c r="AE177" s="257">
        <f>IF(AE$7="Actual","",IFERROR((INDEX($M177:$Q177,,MATCH(AE$4,$M$4:$Q$4,0))),0))</f>
        <v/>
      </c>
      <c r="AF177" s="257">
        <f>IF(AF$7="Actual","",IFERROR((INDEX($M177:$Q177,,MATCH(AF$4,$M$4:$Q$4,0))),0))</f>
        <v/>
      </c>
      <c r="AG177" s="257">
        <f>IF(AG$7="Actual","",IFERROR((INDEX($M177:$Q177,,MATCH(AG$4,$M$4:$Q$4,0))),0))</f>
        <v/>
      </c>
      <c r="AH177" s="257">
        <f>IF(AH$7="Actual","",IFERROR((INDEX($M177:$Q177,,MATCH(AH$4,$M$4:$Q$4,0))),0))</f>
        <v/>
      </c>
      <c r="AI177" s="257">
        <f>IF(AI$7="Actual","",IFERROR((INDEX($M177:$Q177,,MATCH(AI$4,$M$4:$Q$4,0))),0))</f>
        <v/>
      </c>
      <c r="AJ177" s="257">
        <f>IF(AJ$7="Actual","",IFERROR((INDEX($M177:$Q177,,MATCH(AJ$4,$M$4:$Q$4,0))),0))</f>
        <v/>
      </c>
      <c r="AK177" s="257">
        <f>IF(AK$7="Actual","",IFERROR((INDEX($M177:$Q177,,MATCH(AK$4,$M$4:$Q$4,0))),0))</f>
        <v/>
      </c>
      <c r="AL177" s="257">
        <f>IF(AL$7="Actual","",IFERROR((INDEX($M177:$Q177,,MATCH(AL$4,$M$4:$Q$4,0))),0))</f>
        <v/>
      </c>
      <c r="AM177" s="257">
        <f>IF(AM$7="Actual","",IFERROR((INDEX($M177:$Q177,,MATCH(AM$4,$M$4:$Q$4,0))),0))</f>
        <v/>
      </c>
      <c r="AN177" s="257">
        <f>IF(AN$7="Actual","",IFERROR((INDEX($M177:$Q177,,MATCH(AN$4,$M$4:$Q$4,0))),0))</f>
        <v/>
      </c>
      <c r="AO177" s="257">
        <f>IF(AO$7="Actual","",IFERROR((INDEX($M177:$Q177,,MATCH(AO$4,$M$4:$Q$4,0))),0))</f>
        <v/>
      </c>
      <c r="AP177" s="257">
        <f>IF(AP$7="Actual","",IFERROR((INDEX($M177:$Q177,,MATCH(AP$4,$M$4:$Q$4,0))),0))</f>
        <v/>
      </c>
      <c r="AQ177" s="257">
        <f>IF(AQ$7="Actual","",IFERROR((INDEX($M177:$Q177,,MATCH(AQ$4,$M$4:$Q$4,0))),0))</f>
        <v/>
      </c>
      <c r="AR177" s="257">
        <f>IF(AR$7="Actual","",IFERROR((INDEX($M177:$Q177,,MATCH(AR$4,$M$4:$Q$4,0))),0))</f>
        <v/>
      </c>
      <c r="AS177" s="257">
        <f>IF(AS$7="Actual","",IFERROR((INDEX($M177:$Q177,,MATCH(AS$4,$M$4:$Q$4,0))),0))</f>
        <v/>
      </c>
      <c r="AT177" s="257">
        <f>IF(AT$7="Actual","",IFERROR((INDEX($M177:$Q177,,MATCH(AT$4,$M$4:$Q$4,0))),0))</f>
        <v/>
      </c>
      <c r="AU177" s="257">
        <f>IF(AU$7="Actual","",IFERROR((INDEX($M177:$Q177,,MATCH(AU$4,$M$4:$Q$4,0))),0))</f>
        <v/>
      </c>
      <c r="AV177" s="257">
        <f>IF(AV$7="Actual","",IFERROR((INDEX($M177:$Q177,,MATCH(AV$4,$M$4:$Q$4,0))),0))</f>
        <v/>
      </c>
      <c r="AW177" s="257">
        <f>IF(AW$7="Actual","",IFERROR((INDEX($M177:$Q177,,MATCH(AW$4,$M$4:$Q$4,0))),0))</f>
        <v/>
      </c>
      <c r="AX177" s="257">
        <f>IF(AX$7="Actual","",IFERROR((INDEX($M177:$Q177,,MATCH(AX$4,$M$4:$Q$4,0))),0))</f>
        <v/>
      </c>
      <c r="AY177" s="257">
        <f>IF(AY$7="Actual","",IFERROR((INDEX($M177:$Q177,,MATCH(AY$4,$M$4:$Q$4,0))),0))</f>
        <v/>
      </c>
      <c r="AZ177" s="257">
        <f>IF(AZ$7="Actual","",IFERROR((INDEX($M177:$Q177,,MATCH(AZ$4,$M$4:$Q$4,0))),0))</f>
        <v/>
      </c>
      <c r="BA177" s="257">
        <f>IF(BA$7="Actual","",IFERROR((INDEX($M177:$Q177,,MATCH(BA$4,$M$4:$Q$4,0))),0))</f>
        <v/>
      </c>
      <c r="BB177" s="257">
        <f>IF(BB$7="Actual","",IFERROR((INDEX($M177:$Q177,,MATCH(BB$4,$M$4:$Q$4,0))),0))</f>
        <v/>
      </c>
      <c r="BC177" s="257">
        <f>IF(BC$7="Actual","",IFERROR((INDEX($M177:$Q177,,MATCH(BC$4,$M$4:$Q$4,0))),0))</f>
        <v/>
      </c>
      <c r="BD177" s="257">
        <f>IF(BD$7="Actual","",IFERROR((INDEX($M177:$Q177,,MATCH(BD$4,$M$4:$Q$4,0))),0))</f>
        <v/>
      </c>
      <c r="BE177" s="257">
        <f>IF(BE$7="Actual","",IFERROR((INDEX($M177:$Q177,,MATCH(BE$4,$M$4:$Q$4,0))),0))</f>
        <v/>
      </c>
      <c r="BF177" s="257">
        <f>IF(BF$7="Actual","",IFERROR((INDEX($M177:$Q177,,MATCH(BF$4,$M$4:$Q$4,0))),0))</f>
        <v/>
      </c>
      <c r="BG177" s="257">
        <f>IF(BG$7="Actual","",IFERROR((INDEX($M177:$Q177,,MATCH(BG$4,$M$4:$Q$4,0))),0))</f>
        <v/>
      </c>
      <c r="BH177" s="257">
        <f>IF(BH$7="Actual","",IFERROR((INDEX($M177:$Q177,,MATCH(BH$4,$M$4:$Q$4,0))),0))</f>
        <v/>
      </c>
      <c r="BI177" s="257">
        <f>IF(BI$7="Actual","",IFERROR((INDEX($M177:$Q177,,MATCH(BI$4,$M$4:$Q$4,0))),0))</f>
        <v/>
      </c>
      <c r="BJ177" s="257">
        <f>IF(BJ$7="Actual","",IFERROR((INDEX($M177:$Q177,,MATCH(BJ$4,$M$4:$Q$4,0))),0))</f>
        <v/>
      </c>
      <c r="BK177" s="257">
        <f>IF(BK$7="Actual","",IFERROR((INDEX($M177:$Q177,,MATCH(BK$4,$M$4:$Q$4,0))),0))</f>
        <v/>
      </c>
      <c r="BL177" s="257">
        <f>IF(BL$7="Actual","",IFERROR((INDEX($M177:$Q177,,MATCH(BL$4,$M$4:$Q$4,0))),0))</f>
        <v/>
      </c>
      <c r="BM177" s="257">
        <f>IF(BM$7="Actual","",IFERROR((INDEX($M177:$Q177,,MATCH(BM$4,$M$4:$Q$4,0))),0))</f>
        <v/>
      </c>
      <c r="BN177" s="257">
        <f>IF(BN$7="Actual","",IFERROR((INDEX($M177:$Q177,,MATCH(BN$4,$M$4:$Q$4,0))),0))</f>
        <v/>
      </c>
      <c r="BO177" s="257">
        <f>IF(BO$7="Actual","",IFERROR((INDEX($M177:$Q177,,MATCH(BO$4,$M$4:$Q$4,0))),0))</f>
        <v/>
      </c>
      <c r="BP177" s="257">
        <f>IF(BP$7="Actual","",IFERROR((INDEX($M177:$Q177,,MATCH(BP$4,$M$4:$Q$4,0))),0))</f>
        <v/>
      </c>
      <c r="BQ177" s="257">
        <f>IF(BQ$7="Actual","",IFERROR((INDEX($M177:$Q177,,MATCH(BQ$4,$M$4:$Q$4,0))),0))</f>
        <v/>
      </c>
      <c r="BR177" s="257">
        <f>IF(BR$7="Actual","",IFERROR((INDEX($M177:$Q177,,MATCH(BR$4,$M$4:$Q$4,0))),0))</f>
        <v/>
      </c>
      <c r="BS177" s="257">
        <f>IF(BS$7="Actual","",IFERROR((INDEX($M177:$Q177,,MATCH(BS$4,$M$4:$Q$4,0))),0))</f>
        <v/>
      </c>
      <c r="BT177" s="257">
        <f>IF(BT$7="Actual","",IFERROR((INDEX($M177:$Q177,,MATCH(BT$4,$M$4:$Q$4,0))),0))</f>
        <v/>
      </c>
      <c r="BU177" s="257">
        <f>IF(BU$7="Actual","",IFERROR((INDEX($M177:$Q177,,MATCH(BU$4,$M$4:$Q$4,0))),0))</f>
        <v/>
      </c>
      <c r="BV177" s="257">
        <f>IF(BV$7="Actual","",IFERROR((INDEX($M177:$Q177,,MATCH(BV$4,$M$4:$Q$4,0))),0))</f>
        <v/>
      </c>
      <c r="BW177" s="257">
        <f>IF(BW$7="Actual","",IFERROR((INDEX($M177:$Q177,,MATCH(BW$4,$M$4:$Q$4,0))),0))</f>
        <v/>
      </c>
      <c r="BX177" s="257">
        <f>IF(BX$7="Actual","",IFERROR((INDEX($M177:$Q177,,MATCH(BX$4,$M$4:$Q$4,0))),0))</f>
        <v/>
      </c>
      <c r="BY177" s="257">
        <f>IF(BY$7="Actual","",IFERROR((INDEX($M177:$Q177,,MATCH(BY$4,$M$4:$Q$4,0))),0))</f>
        <v/>
      </c>
      <c r="BZ177" s="257">
        <f>IF(BZ$7="Actual","",IFERROR((INDEX($M177:$Q177,,MATCH(BZ$4,$M$4:$Q$4,0))),0))</f>
        <v/>
      </c>
      <c r="CA177" s="257">
        <f>IF(CA$7="Actual","",IFERROR((INDEX($M177:$Q177,,MATCH(CA$4,$M$4:$Q$4,0))),0))</f>
        <v/>
      </c>
    </row>
    <row r="178" ht="12" customHeight="1" s="227">
      <c r="A178" s="244" t="n"/>
      <c r="B178" s="244" t="n"/>
      <c r="C178" s="244" t="n"/>
      <c r="H178" s="0">
        <f>H168</f>
        <v/>
      </c>
      <c r="I178" s="27">
        <f>i_Setup!$M$16</f>
        <v/>
      </c>
      <c r="K178" s="6" t="n"/>
      <c r="M178" s="257">
        <f>IF(M$7="Actual","",i_Assumptions!M321)</f>
        <v/>
      </c>
      <c r="N178" s="257">
        <f>IF(N$7="Actual","",i_Assumptions!N321)</f>
        <v/>
      </c>
      <c r="O178" s="257">
        <f>IF(O$7="Actual","",i_Assumptions!O321)</f>
        <v/>
      </c>
      <c r="P178" s="257">
        <f>IF(P$7="Actual","",i_Assumptions!P321)</f>
        <v/>
      </c>
      <c r="Q178" s="257">
        <f>IF(Q$7="Actual","",i_Assumptions!Q321)</f>
        <v/>
      </c>
      <c r="T178" s="257">
        <f>IF(T$7="Actual","",IFERROR((INDEX($M178:$Q178,,MATCH(T$4,$M$4:$Q$4,0))),0))</f>
        <v/>
      </c>
      <c r="U178" s="257">
        <f>IF(U$7="Actual","",IFERROR((INDEX($M178:$Q178,,MATCH(U$4,$M$4:$Q$4,0))),0))</f>
        <v/>
      </c>
      <c r="V178" s="257">
        <f>IF(V$7="Actual","",IFERROR((INDEX($M178:$Q178,,MATCH(V$4,$M$4:$Q$4,0))),0))</f>
        <v/>
      </c>
      <c r="W178" s="257">
        <f>IF(W$7="Actual","",IFERROR((INDEX($M178:$Q178,,MATCH(W$4,$M$4:$Q$4,0))),0))</f>
        <v/>
      </c>
      <c r="X178" s="257">
        <f>IF(X$7="Actual","",IFERROR((INDEX($M178:$Q178,,MATCH(X$4,$M$4:$Q$4,0))),0))</f>
        <v/>
      </c>
      <c r="Y178" s="257">
        <f>IF(Y$7="Actual","",IFERROR((INDEX($M178:$Q178,,MATCH(Y$4,$M$4:$Q$4,0))),0))</f>
        <v/>
      </c>
      <c r="Z178" s="257">
        <f>IF(Z$7="Actual","",IFERROR((INDEX($M178:$Q178,,MATCH(Z$4,$M$4:$Q$4,0))),0))</f>
        <v/>
      </c>
      <c r="AA178" s="257">
        <f>IF(AA$7="Actual","",IFERROR((INDEX($M178:$Q178,,MATCH(AA$4,$M$4:$Q$4,0))),0))</f>
        <v/>
      </c>
      <c r="AB178" s="257">
        <f>IF(AB$7="Actual","",IFERROR((INDEX($M178:$Q178,,MATCH(AB$4,$M$4:$Q$4,0))),0))</f>
        <v/>
      </c>
      <c r="AC178" s="257">
        <f>IF(AC$7="Actual","",IFERROR((INDEX($M178:$Q178,,MATCH(AC$4,$M$4:$Q$4,0))),0))</f>
        <v/>
      </c>
      <c r="AD178" s="257">
        <f>IF(AD$7="Actual","",IFERROR((INDEX($M178:$Q178,,MATCH(AD$4,$M$4:$Q$4,0))),0))</f>
        <v/>
      </c>
      <c r="AE178" s="257">
        <f>IF(AE$7="Actual","",IFERROR((INDEX($M178:$Q178,,MATCH(AE$4,$M$4:$Q$4,0))),0))</f>
        <v/>
      </c>
      <c r="AF178" s="257">
        <f>IF(AF$7="Actual","",IFERROR((INDEX($M178:$Q178,,MATCH(AF$4,$M$4:$Q$4,0))),0))</f>
        <v/>
      </c>
      <c r="AG178" s="257">
        <f>IF(AG$7="Actual","",IFERROR((INDEX($M178:$Q178,,MATCH(AG$4,$M$4:$Q$4,0))),0))</f>
        <v/>
      </c>
      <c r="AH178" s="257">
        <f>IF(AH$7="Actual","",IFERROR((INDEX($M178:$Q178,,MATCH(AH$4,$M$4:$Q$4,0))),0))</f>
        <v/>
      </c>
      <c r="AI178" s="257">
        <f>IF(AI$7="Actual","",IFERROR((INDEX($M178:$Q178,,MATCH(AI$4,$M$4:$Q$4,0))),0))</f>
        <v/>
      </c>
      <c r="AJ178" s="257">
        <f>IF(AJ$7="Actual","",IFERROR((INDEX($M178:$Q178,,MATCH(AJ$4,$M$4:$Q$4,0))),0))</f>
        <v/>
      </c>
      <c r="AK178" s="257">
        <f>IF(AK$7="Actual","",IFERROR((INDEX($M178:$Q178,,MATCH(AK$4,$M$4:$Q$4,0))),0))</f>
        <v/>
      </c>
      <c r="AL178" s="257">
        <f>IF(AL$7="Actual","",IFERROR((INDEX($M178:$Q178,,MATCH(AL$4,$M$4:$Q$4,0))),0))</f>
        <v/>
      </c>
      <c r="AM178" s="257">
        <f>IF(AM$7="Actual","",IFERROR((INDEX($M178:$Q178,,MATCH(AM$4,$M$4:$Q$4,0))),0))</f>
        <v/>
      </c>
      <c r="AN178" s="257">
        <f>IF(AN$7="Actual","",IFERROR((INDEX($M178:$Q178,,MATCH(AN$4,$M$4:$Q$4,0))),0))</f>
        <v/>
      </c>
      <c r="AO178" s="257">
        <f>IF(AO$7="Actual","",IFERROR((INDEX($M178:$Q178,,MATCH(AO$4,$M$4:$Q$4,0))),0))</f>
        <v/>
      </c>
      <c r="AP178" s="257">
        <f>IF(AP$7="Actual","",IFERROR((INDEX($M178:$Q178,,MATCH(AP$4,$M$4:$Q$4,0))),0))</f>
        <v/>
      </c>
      <c r="AQ178" s="257">
        <f>IF(AQ$7="Actual","",IFERROR((INDEX($M178:$Q178,,MATCH(AQ$4,$M$4:$Q$4,0))),0))</f>
        <v/>
      </c>
      <c r="AR178" s="257">
        <f>IF(AR$7="Actual","",IFERROR((INDEX($M178:$Q178,,MATCH(AR$4,$M$4:$Q$4,0))),0))</f>
        <v/>
      </c>
      <c r="AS178" s="257">
        <f>IF(AS$7="Actual","",IFERROR((INDEX($M178:$Q178,,MATCH(AS$4,$M$4:$Q$4,0))),0))</f>
        <v/>
      </c>
      <c r="AT178" s="257">
        <f>IF(AT$7="Actual","",IFERROR((INDEX($M178:$Q178,,MATCH(AT$4,$M$4:$Q$4,0))),0))</f>
        <v/>
      </c>
      <c r="AU178" s="257">
        <f>IF(AU$7="Actual","",IFERROR((INDEX($M178:$Q178,,MATCH(AU$4,$M$4:$Q$4,0))),0))</f>
        <v/>
      </c>
      <c r="AV178" s="257">
        <f>IF(AV$7="Actual","",IFERROR((INDEX($M178:$Q178,,MATCH(AV$4,$M$4:$Q$4,0))),0))</f>
        <v/>
      </c>
      <c r="AW178" s="257">
        <f>IF(AW$7="Actual","",IFERROR((INDEX($M178:$Q178,,MATCH(AW$4,$M$4:$Q$4,0))),0))</f>
        <v/>
      </c>
      <c r="AX178" s="257">
        <f>IF(AX$7="Actual","",IFERROR((INDEX($M178:$Q178,,MATCH(AX$4,$M$4:$Q$4,0))),0))</f>
        <v/>
      </c>
      <c r="AY178" s="257">
        <f>IF(AY$7="Actual","",IFERROR((INDEX($M178:$Q178,,MATCH(AY$4,$M$4:$Q$4,0))),0))</f>
        <v/>
      </c>
      <c r="AZ178" s="257">
        <f>IF(AZ$7="Actual","",IFERROR((INDEX($M178:$Q178,,MATCH(AZ$4,$M$4:$Q$4,0))),0))</f>
        <v/>
      </c>
      <c r="BA178" s="257">
        <f>IF(BA$7="Actual","",IFERROR((INDEX($M178:$Q178,,MATCH(BA$4,$M$4:$Q$4,0))),0))</f>
        <v/>
      </c>
      <c r="BB178" s="257">
        <f>IF(BB$7="Actual","",IFERROR((INDEX($M178:$Q178,,MATCH(BB$4,$M$4:$Q$4,0))),0))</f>
        <v/>
      </c>
      <c r="BC178" s="257">
        <f>IF(BC$7="Actual","",IFERROR((INDEX($M178:$Q178,,MATCH(BC$4,$M$4:$Q$4,0))),0))</f>
        <v/>
      </c>
      <c r="BD178" s="257">
        <f>IF(BD$7="Actual","",IFERROR((INDEX($M178:$Q178,,MATCH(BD$4,$M$4:$Q$4,0))),0))</f>
        <v/>
      </c>
      <c r="BE178" s="257">
        <f>IF(BE$7="Actual","",IFERROR((INDEX($M178:$Q178,,MATCH(BE$4,$M$4:$Q$4,0))),0))</f>
        <v/>
      </c>
      <c r="BF178" s="257">
        <f>IF(BF$7="Actual","",IFERROR((INDEX($M178:$Q178,,MATCH(BF$4,$M$4:$Q$4,0))),0))</f>
        <v/>
      </c>
      <c r="BG178" s="257">
        <f>IF(BG$7="Actual","",IFERROR((INDEX($M178:$Q178,,MATCH(BG$4,$M$4:$Q$4,0))),0))</f>
        <v/>
      </c>
      <c r="BH178" s="257">
        <f>IF(BH$7="Actual","",IFERROR((INDEX($M178:$Q178,,MATCH(BH$4,$M$4:$Q$4,0))),0))</f>
        <v/>
      </c>
      <c r="BI178" s="257">
        <f>IF(BI$7="Actual","",IFERROR((INDEX($M178:$Q178,,MATCH(BI$4,$M$4:$Q$4,0))),0))</f>
        <v/>
      </c>
      <c r="BJ178" s="257">
        <f>IF(BJ$7="Actual","",IFERROR((INDEX($M178:$Q178,,MATCH(BJ$4,$M$4:$Q$4,0))),0))</f>
        <v/>
      </c>
      <c r="BK178" s="257">
        <f>IF(BK$7="Actual","",IFERROR((INDEX($M178:$Q178,,MATCH(BK$4,$M$4:$Q$4,0))),0))</f>
        <v/>
      </c>
      <c r="BL178" s="257">
        <f>IF(BL$7="Actual","",IFERROR((INDEX($M178:$Q178,,MATCH(BL$4,$M$4:$Q$4,0))),0))</f>
        <v/>
      </c>
      <c r="BM178" s="257">
        <f>IF(BM$7="Actual","",IFERROR((INDEX($M178:$Q178,,MATCH(BM$4,$M$4:$Q$4,0))),0))</f>
        <v/>
      </c>
      <c r="BN178" s="257">
        <f>IF(BN$7="Actual","",IFERROR((INDEX($M178:$Q178,,MATCH(BN$4,$M$4:$Q$4,0))),0))</f>
        <v/>
      </c>
      <c r="BO178" s="257">
        <f>IF(BO$7="Actual","",IFERROR((INDEX($M178:$Q178,,MATCH(BO$4,$M$4:$Q$4,0))),0))</f>
        <v/>
      </c>
      <c r="BP178" s="257">
        <f>IF(BP$7="Actual","",IFERROR((INDEX($M178:$Q178,,MATCH(BP$4,$M$4:$Q$4,0))),0))</f>
        <v/>
      </c>
      <c r="BQ178" s="257">
        <f>IF(BQ$7="Actual","",IFERROR((INDEX($M178:$Q178,,MATCH(BQ$4,$M$4:$Q$4,0))),0))</f>
        <v/>
      </c>
      <c r="BR178" s="257">
        <f>IF(BR$7="Actual","",IFERROR((INDEX($M178:$Q178,,MATCH(BR$4,$M$4:$Q$4,0))),0))</f>
        <v/>
      </c>
      <c r="BS178" s="257">
        <f>IF(BS$7="Actual","",IFERROR((INDEX($M178:$Q178,,MATCH(BS$4,$M$4:$Q$4,0))),0))</f>
        <v/>
      </c>
      <c r="BT178" s="257">
        <f>IF(BT$7="Actual","",IFERROR((INDEX($M178:$Q178,,MATCH(BT$4,$M$4:$Q$4,0))),0))</f>
        <v/>
      </c>
      <c r="BU178" s="257">
        <f>IF(BU$7="Actual","",IFERROR((INDEX($M178:$Q178,,MATCH(BU$4,$M$4:$Q$4,0))),0))</f>
        <v/>
      </c>
      <c r="BV178" s="257">
        <f>IF(BV$7="Actual","",IFERROR((INDEX($M178:$Q178,,MATCH(BV$4,$M$4:$Q$4,0))),0))</f>
        <v/>
      </c>
      <c r="BW178" s="257">
        <f>IF(BW$7="Actual","",IFERROR((INDEX($M178:$Q178,,MATCH(BW$4,$M$4:$Q$4,0))),0))</f>
        <v/>
      </c>
      <c r="BX178" s="257">
        <f>IF(BX$7="Actual","",IFERROR((INDEX($M178:$Q178,,MATCH(BX$4,$M$4:$Q$4,0))),0))</f>
        <v/>
      </c>
      <c r="BY178" s="257">
        <f>IF(BY$7="Actual","",IFERROR((INDEX($M178:$Q178,,MATCH(BY$4,$M$4:$Q$4,0))),0))</f>
        <v/>
      </c>
      <c r="BZ178" s="257">
        <f>IF(BZ$7="Actual","",IFERROR((INDEX($M178:$Q178,,MATCH(BZ$4,$M$4:$Q$4,0))),0))</f>
        <v/>
      </c>
      <c r="CA178" s="257">
        <f>IF(CA$7="Actual","",IFERROR((INDEX($M178:$Q178,,MATCH(CA$4,$M$4:$Q$4,0))),0))</f>
        <v/>
      </c>
    </row>
    <row r="179" ht="12" customHeight="1" s="227">
      <c r="A179" s="244" t="n"/>
      <c r="B179" s="244" t="n"/>
      <c r="C179" s="244" t="n"/>
      <c r="H179" s="0">
        <f>H169</f>
        <v/>
      </c>
      <c r="I179" s="27">
        <f>i_Setup!$M$16</f>
        <v/>
      </c>
      <c r="K179" s="6" t="n"/>
      <c r="M179" s="257">
        <f>IF(M$7="Actual","",i_Assumptions!M322)</f>
        <v/>
      </c>
      <c r="N179" s="257">
        <f>IF(N$7="Actual","",i_Assumptions!N322)</f>
        <v/>
      </c>
      <c r="O179" s="257">
        <f>IF(O$7="Actual","",i_Assumptions!O322)</f>
        <v/>
      </c>
      <c r="P179" s="257">
        <f>IF(P$7="Actual","",i_Assumptions!P322)</f>
        <v/>
      </c>
      <c r="Q179" s="257">
        <f>IF(Q$7="Actual","",i_Assumptions!Q322)</f>
        <v/>
      </c>
      <c r="T179" s="257">
        <f>IF(T$7="Actual","",IFERROR((INDEX($M179:$Q179,,MATCH(T$4,$M$4:$Q$4,0))),0))</f>
        <v/>
      </c>
      <c r="U179" s="257">
        <f>IF(U$7="Actual","",IFERROR((INDEX($M179:$Q179,,MATCH(U$4,$M$4:$Q$4,0))),0))</f>
        <v/>
      </c>
      <c r="V179" s="257">
        <f>IF(V$7="Actual","",IFERROR((INDEX($M179:$Q179,,MATCH(V$4,$M$4:$Q$4,0))),0))</f>
        <v/>
      </c>
      <c r="W179" s="257">
        <f>IF(W$7="Actual","",IFERROR((INDEX($M179:$Q179,,MATCH(W$4,$M$4:$Q$4,0))),0))</f>
        <v/>
      </c>
      <c r="X179" s="257">
        <f>IF(X$7="Actual","",IFERROR((INDEX($M179:$Q179,,MATCH(X$4,$M$4:$Q$4,0))),0))</f>
        <v/>
      </c>
      <c r="Y179" s="257">
        <f>IF(Y$7="Actual","",IFERROR((INDEX($M179:$Q179,,MATCH(Y$4,$M$4:$Q$4,0))),0))</f>
        <v/>
      </c>
      <c r="Z179" s="257">
        <f>IF(Z$7="Actual","",IFERROR((INDEX($M179:$Q179,,MATCH(Z$4,$M$4:$Q$4,0))),0))</f>
        <v/>
      </c>
      <c r="AA179" s="257">
        <f>IF(AA$7="Actual","",IFERROR((INDEX($M179:$Q179,,MATCH(AA$4,$M$4:$Q$4,0))),0))</f>
        <v/>
      </c>
      <c r="AB179" s="257">
        <f>IF(AB$7="Actual","",IFERROR((INDEX($M179:$Q179,,MATCH(AB$4,$M$4:$Q$4,0))),0))</f>
        <v/>
      </c>
      <c r="AC179" s="257">
        <f>IF(AC$7="Actual","",IFERROR((INDEX($M179:$Q179,,MATCH(AC$4,$M$4:$Q$4,0))),0))</f>
        <v/>
      </c>
      <c r="AD179" s="257">
        <f>IF(AD$7="Actual","",IFERROR((INDEX($M179:$Q179,,MATCH(AD$4,$M$4:$Q$4,0))),0))</f>
        <v/>
      </c>
      <c r="AE179" s="257">
        <f>IF(AE$7="Actual","",IFERROR((INDEX($M179:$Q179,,MATCH(AE$4,$M$4:$Q$4,0))),0))</f>
        <v/>
      </c>
      <c r="AF179" s="257">
        <f>IF(AF$7="Actual","",IFERROR((INDEX($M179:$Q179,,MATCH(AF$4,$M$4:$Q$4,0))),0))</f>
        <v/>
      </c>
      <c r="AG179" s="257">
        <f>IF(AG$7="Actual","",IFERROR((INDEX($M179:$Q179,,MATCH(AG$4,$M$4:$Q$4,0))),0))</f>
        <v/>
      </c>
      <c r="AH179" s="257">
        <f>IF(AH$7="Actual","",IFERROR((INDEX($M179:$Q179,,MATCH(AH$4,$M$4:$Q$4,0))),0))</f>
        <v/>
      </c>
      <c r="AI179" s="257">
        <f>IF(AI$7="Actual","",IFERROR((INDEX($M179:$Q179,,MATCH(AI$4,$M$4:$Q$4,0))),0))</f>
        <v/>
      </c>
      <c r="AJ179" s="257">
        <f>IF(AJ$7="Actual","",IFERROR((INDEX($M179:$Q179,,MATCH(AJ$4,$M$4:$Q$4,0))),0))</f>
        <v/>
      </c>
      <c r="AK179" s="257">
        <f>IF(AK$7="Actual","",IFERROR((INDEX($M179:$Q179,,MATCH(AK$4,$M$4:$Q$4,0))),0))</f>
        <v/>
      </c>
      <c r="AL179" s="257">
        <f>IF(AL$7="Actual","",IFERROR((INDEX($M179:$Q179,,MATCH(AL$4,$M$4:$Q$4,0))),0))</f>
        <v/>
      </c>
      <c r="AM179" s="257">
        <f>IF(AM$7="Actual","",IFERROR((INDEX($M179:$Q179,,MATCH(AM$4,$M$4:$Q$4,0))),0))</f>
        <v/>
      </c>
      <c r="AN179" s="257">
        <f>IF(AN$7="Actual","",IFERROR((INDEX($M179:$Q179,,MATCH(AN$4,$M$4:$Q$4,0))),0))</f>
        <v/>
      </c>
      <c r="AO179" s="257">
        <f>IF(AO$7="Actual","",IFERROR((INDEX($M179:$Q179,,MATCH(AO$4,$M$4:$Q$4,0))),0))</f>
        <v/>
      </c>
      <c r="AP179" s="257">
        <f>IF(AP$7="Actual","",IFERROR((INDEX($M179:$Q179,,MATCH(AP$4,$M$4:$Q$4,0))),0))</f>
        <v/>
      </c>
      <c r="AQ179" s="257">
        <f>IF(AQ$7="Actual","",IFERROR((INDEX($M179:$Q179,,MATCH(AQ$4,$M$4:$Q$4,0))),0))</f>
        <v/>
      </c>
      <c r="AR179" s="257">
        <f>IF(AR$7="Actual","",IFERROR((INDEX($M179:$Q179,,MATCH(AR$4,$M$4:$Q$4,0))),0))</f>
        <v/>
      </c>
      <c r="AS179" s="257">
        <f>IF(AS$7="Actual","",IFERROR((INDEX($M179:$Q179,,MATCH(AS$4,$M$4:$Q$4,0))),0))</f>
        <v/>
      </c>
      <c r="AT179" s="257">
        <f>IF(AT$7="Actual","",IFERROR((INDEX($M179:$Q179,,MATCH(AT$4,$M$4:$Q$4,0))),0))</f>
        <v/>
      </c>
      <c r="AU179" s="257">
        <f>IF(AU$7="Actual","",IFERROR((INDEX($M179:$Q179,,MATCH(AU$4,$M$4:$Q$4,0))),0))</f>
        <v/>
      </c>
      <c r="AV179" s="257">
        <f>IF(AV$7="Actual","",IFERROR((INDEX($M179:$Q179,,MATCH(AV$4,$M$4:$Q$4,0))),0))</f>
        <v/>
      </c>
      <c r="AW179" s="257">
        <f>IF(AW$7="Actual","",IFERROR((INDEX($M179:$Q179,,MATCH(AW$4,$M$4:$Q$4,0))),0))</f>
        <v/>
      </c>
      <c r="AX179" s="257">
        <f>IF(AX$7="Actual","",IFERROR((INDEX($M179:$Q179,,MATCH(AX$4,$M$4:$Q$4,0))),0))</f>
        <v/>
      </c>
      <c r="AY179" s="257">
        <f>IF(AY$7="Actual","",IFERROR((INDEX($M179:$Q179,,MATCH(AY$4,$M$4:$Q$4,0))),0))</f>
        <v/>
      </c>
      <c r="AZ179" s="257">
        <f>IF(AZ$7="Actual","",IFERROR((INDEX($M179:$Q179,,MATCH(AZ$4,$M$4:$Q$4,0))),0))</f>
        <v/>
      </c>
      <c r="BA179" s="257">
        <f>IF(BA$7="Actual","",IFERROR((INDEX($M179:$Q179,,MATCH(BA$4,$M$4:$Q$4,0))),0))</f>
        <v/>
      </c>
      <c r="BB179" s="257">
        <f>IF(BB$7="Actual","",IFERROR((INDEX($M179:$Q179,,MATCH(BB$4,$M$4:$Q$4,0))),0))</f>
        <v/>
      </c>
      <c r="BC179" s="257">
        <f>IF(BC$7="Actual","",IFERROR((INDEX($M179:$Q179,,MATCH(BC$4,$M$4:$Q$4,0))),0))</f>
        <v/>
      </c>
      <c r="BD179" s="257">
        <f>IF(BD$7="Actual","",IFERROR((INDEX($M179:$Q179,,MATCH(BD$4,$M$4:$Q$4,0))),0))</f>
        <v/>
      </c>
      <c r="BE179" s="257">
        <f>IF(BE$7="Actual","",IFERROR((INDEX($M179:$Q179,,MATCH(BE$4,$M$4:$Q$4,0))),0))</f>
        <v/>
      </c>
      <c r="BF179" s="257">
        <f>IF(BF$7="Actual","",IFERROR((INDEX($M179:$Q179,,MATCH(BF$4,$M$4:$Q$4,0))),0))</f>
        <v/>
      </c>
      <c r="BG179" s="257">
        <f>IF(BG$7="Actual","",IFERROR((INDEX($M179:$Q179,,MATCH(BG$4,$M$4:$Q$4,0))),0))</f>
        <v/>
      </c>
      <c r="BH179" s="257">
        <f>IF(BH$7="Actual","",IFERROR((INDEX($M179:$Q179,,MATCH(BH$4,$M$4:$Q$4,0))),0))</f>
        <v/>
      </c>
      <c r="BI179" s="257">
        <f>IF(BI$7="Actual","",IFERROR((INDEX($M179:$Q179,,MATCH(BI$4,$M$4:$Q$4,0))),0))</f>
        <v/>
      </c>
      <c r="BJ179" s="257">
        <f>IF(BJ$7="Actual","",IFERROR((INDEX($M179:$Q179,,MATCH(BJ$4,$M$4:$Q$4,0))),0))</f>
        <v/>
      </c>
      <c r="BK179" s="257">
        <f>IF(BK$7="Actual","",IFERROR((INDEX($M179:$Q179,,MATCH(BK$4,$M$4:$Q$4,0))),0))</f>
        <v/>
      </c>
      <c r="BL179" s="257">
        <f>IF(BL$7="Actual","",IFERROR((INDEX($M179:$Q179,,MATCH(BL$4,$M$4:$Q$4,0))),0))</f>
        <v/>
      </c>
      <c r="BM179" s="257">
        <f>IF(BM$7="Actual","",IFERROR((INDEX($M179:$Q179,,MATCH(BM$4,$M$4:$Q$4,0))),0))</f>
        <v/>
      </c>
      <c r="BN179" s="257">
        <f>IF(BN$7="Actual","",IFERROR((INDEX($M179:$Q179,,MATCH(BN$4,$M$4:$Q$4,0))),0))</f>
        <v/>
      </c>
      <c r="BO179" s="257">
        <f>IF(BO$7="Actual","",IFERROR((INDEX($M179:$Q179,,MATCH(BO$4,$M$4:$Q$4,0))),0))</f>
        <v/>
      </c>
      <c r="BP179" s="257">
        <f>IF(BP$7="Actual","",IFERROR((INDEX($M179:$Q179,,MATCH(BP$4,$M$4:$Q$4,0))),0))</f>
        <v/>
      </c>
      <c r="BQ179" s="257">
        <f>IF(BQ$7="Actual","",IFERROR((INDEX($M179:$Q179,,MATCH(BQ$4,$M$4:$Q$4,0))),0))</f>
        <v/>
      </c>
      <c r="BR179" s="257">
        <f>IF(BR$7="Actual","",IFERROR((INDEX($M179:$Q179,,MATCH(BR$4,$M$4:$Q$4,0))),0))</f>
        <v/>
      </c>
      <c r="BS179" s="257">
        <f>IF(BS$7="Actual","",IFERROR((INDEX($M179:$Q179,,MATCH(BS$4,$M$4:$Q$4,0))),0))</f>
        <v/>
      </c>
      <c r="BT179" s="257">
        <f>IF(BT$7="Actual","",IFERROR((INDEX($M179:$Q179,,MATCH(BT$4,$M$4:$Q$4,0))),0))</f>
        <v/>
      </c>
      <c r="BU179" s="257">
        <f>IF(BU$7="Actual","",IFERROR((INDEX($M179:$Q179,,MATCH(BU$4,$M$4:$Q$4,0))),0))</f>
        <v/>
      </c>
      <c r="BV179" s="257">
        <f>IF(BV$7="Actual","",IFERROR((INDEX($M179:$Q179,,MATCH(BV$4,$M$4:$Q$4,0))),0))</f>
        <v/>
      </c>
      <c r="BW179" s="257">
        <f>IF(BW$7="Actual","",IFERROR((INDEX($M179:$Q179,,MATCH(BW$4,$M$4:$Q$4,0))),0))</f>
        <v/>
      </c>
      <c r="BX179" s="257">
        <f>IF(BX$7="Actual","",IFERROR((INDEX($M179:$Q179,,MATCH(BX$4,$M$4:$Q$4,0))),0))</f>
        <v/>
      </c>
      <c r="BY179" s="257">
        <f>IF(BY$7="Actual","",IFERROR((INDEX($M179:$Q179,,MATCH(BY$4,$M$4:$Q$4,0))),0))</f>
        <v/>
      </c>
      <c r="BZ179" s="257">
        <f>IF(BZ$7="Actual","",IFERROR((INDEX($M179:$Q179,,MATCH(BZ$4,$M$4:$Q$4,0))),0))</f>
        <v/>
      </c>
      <c r="CA179" s="257">
        <f>IF(CA$7="Actual","",IFERROR((INDEX($M179:$Q179,,MATCH(CA$4,$M$4:$Q$4,0))),0))</f>
        <v/>
      </c>
    </row>
    <row r="180" ht="12" customHeight="1" s="227">
      <c r="A180" s="244" t="n"/>
      <c r="B180" s="244" t="n"/>
      <c r="C180" s="244" t="n"/>
      <c r="H180" s="0" t="n"/>
      <c r="K180" s="6" t="n"/>
    </row>
    <row r="181" ht="12" customHeight="1" s="227">
      <c r="A181" s="244" t="n"/>
      <c r="B181" s="244" t="n"/>
      <c r="C181" s="244" t="n"/>
      <c r="H181" s="8">
        <f>i_Setup!U39</f>
        <v/>
      </c>
      <c r="K181" s="6" t="n"/>
    </row>
    <row r="182" ht="12" customHeight="1" s="227">
      <c r="A182" s="244" t="n"/>
      <c r="B182" s="244" t="n"/>
      <c r="C182" s="244" t="n"/>
      <c r="H182" s="0">
        <f>H172</f>
        <v/>
      </c>
      <c r="I182" s="27">
        <f>i_Setup!$M$16</f>
        <v/>
      </c>
      <c r="K182" s="6" t="n"/>
      <c r="M182" s="257">
        <f>IF(M$7="Actual","",i_Assumptions!M355)</f>
        <v/>
      </c>
      <c r="N182" s="257">
        <f>IF(N$7="Actual","",i_Assumptions!N355)</f>
        <v/>
      </c>
      <c r="O182" s="257">
        <f>IF(O$7="Actual","",i_Assumptions!O355)</f>
        <v/>
      </c>
      <c r="P182" s="257">
        <f>IF(P$7="Actual","",i_Assumptions!P355)</f>
        <v/>
      </c>
      <c r="Q182" s="257">
        <f>IF(Q$7="Actual","",i_Assumptions!Q355)</f>
        <v/>
      </c>
      <c r="T182" s="257">
        <f>IF(T$7="Actual","",IFERROR((INDEX($M182:$Q182,,MATCH(T$4,$M$4:$Q$4,0))),0))</f>
        <v/>
      </c>
      <c r="U182" s="257">
        <f>IF(U$7="Actual","",IFERROR((INDEX($M182:$Q182,,MATCH(U$4,$M$4:$Q$4,0))),0))</f>
        <v/>
      </c>
      <c r="V182" s="257">
        <f>IF(V$7="Actual","",IFERROR((INDEX($M182:$Q182,,MATCH(V$4,$M$4:$Q$4,0))),0))</f>
        <v/>
      </c>
      <c r="W182" s="257">
        <f>IF(W$7="Actual","",IFERROR((INDEX($M182:$Q182,,MATCH(W$4,$M$4:$Q$4,0))),0))</f>
        <v/>
      </c>
      <c r="X182" s="257">
        <f>IF(X$7="Actual","",IFERROR((INDEX($M182:$Q182,,MATCH(X$4,$M$4:$Q$4,0))),0))</f>
        <v/>
      </c>
      <c r="Y182" s="257">
        <f>IF(Y$7="Actual","",IFERROR((INDEX($M182:$Q182,,MATCH(Y$4,$M$4:$Q$4,0))),0))</f>
        <v/>
      </c>
      <c r="Z182" s="257">
        <f>IF(Z$7="Actual","",IFERROR((INDEX($M182:$Q182,,MATCH(Z$4,$M$4:$Q$4,0))),0))</f>
        <v/>
      </c>
      <c r="AA182" s="257">
        <f>IF(AA$7="Actual","",IFERROR((INDEX($M182:$Q182,,MATCH(AA$4,$M$4:$Q$4,0))),0))</f>
        <v/>
      </c>
      <c r="AB182" s="257">
        <f>IF(AB$7="Actual","",IFERROR((INDEX($M182:$Q182,,MATCH(AB$4,$M$4:$Q$4,0))),0))</f>
        <v/>
      </c>
      <c r="AC182" s="257">
        <f>IF(AC$7="Actual","",IFERROR((INDEX($M182:$Q182,,MATCH(AC$4,$M$4:$Q$4,0))),0))</f>
        <v/>
      </c>
      <c r="AD182" s="257">
        <f>IF(AD$7="Actual","",IFERROR((INDEX($M182:$Q182,,MATCH(AD$4,$M$4:$Q$4,0))),0))</f>
        <v/>
      </c>
      <c r="AE182" s="257">
        <f>IF(AE$7="Actual","",IFERROR((INDEX($M182:$Q182,,MATCH(AE$4,$M$4:$Q$4,0))),0))</f>
        <v/>
      </c>
      <c r="AF182" s="257">
        <f>IF(AF$7="Actual","",IFERROR((INDEX($M182:$Q182,,MATCH(AF$4,$M$4:$Q$4,0))),0))</f>
        <v/>
      </c>
      <c r="AG182" s="257">
        <f>IF(AG$7="Actual","",IFERROR((INDEX($M182:$Q182,,MATCH(AG$4,$M$4:$Q$4,0))),0))</f>
        <v/>
      </c>
      <c r="AH182" s="257">
        <f>IF(AH$7="Actual","",IFERROR((INDEX($M182:$Q182,,MATCH(AH$4,$M$4:$Q$4,0))),0))</f>
        <v/>
      </c>
      <c r="AI182" s="257">
        <f>IF(AI$7="Actual","",IFERROR((INDEX($M182:$Q182,,MATCH(AI$4,$M$4:$Q$4,0))),0))</f>
        <v/>
      </c>
      <c r="AJ182" s="257">
        <f>IF(AJ$7="Actual","",IFERROR((INDEX($M182:$Q182,,MATCH(AJ$4,$M$4:$Q$4,0))),0))</f>
        <v/>
      </c>
      <c r="AK182" s="257">
        <f>IF(AK$7="Actual","",IFERROR((INDEX($M182:$Q182,,MATCH(AK$4,$M$4:$Q$4,0))),0))</f>
        <v/>
      </c>
      <c r="AL182" s="257">
        <f>IF(AL$7="Actual","",IFERROR((INDEX($M182:$Q182,,MATCH(AL$4,$M$4:$Q$4,0))),0))</f>
        <v/>
      </c>
      <c r="AM182" s="257">
        <f>IF(AM$7="Actual","",IFERROR((INDEX($M182:$Q182,,MATCH(AM$4,$M$4:$Q$4,0))),0))</f>
        <v/>
      </c>
      <c r="AN182" s="257">
        <f>IF(AN$7="Actual","",IFERROR((INDEX($M182:$Q182,,MATCH(AN$4,$M$4:$Q$4,0))),0))</f>
        <v/>
      </c>
      <c r="AO182" s="257">
        <f>IF(AO$7="Actual","",IFERROR((INDEX($M182:$Q182,,MATCH(AO$4,$M$4:$Q$4,0))),0))</f>
        <v/>
      </c>
      <c r="AP182" s="257">
        <f>IF(AP$7="Actual","",IFERROR((INDEX($M182:$Q182,,MATCH(AP$4,$M$4:$Q$4,0))),0))</f>
        <v/>
      </c>
      <c r="AQ182" s="257">
        <f>IF(AQ$7="Actual","",IFERROR((INDEX($M182:$Q182,,MATCH(AQ$4,$M$4:$Q$4,0))),0))</f>
        <v/>
      </c>
      <c r="AR182" s="257">
        <f>IF(AR$7="Actual","",IFERROR((INDEX($M182:$Q182,,MATCH(AR$4,$M$4:$Q$4,0))),0))</f>
        <v/>
      </c>
      <c r="AS182" s="257">
        <f>IF(AS$7="Actual","",IFERROR((INDEX($M182:$Q182,,MATCH(AS$4,$M$4:$Q$4,0))),0))</f>
        <v/>
      </c>
      <c r="AT182" s="257">
        <f>IF(AT$7="Actual","",IFERROR((INDEX($M182:$Q182,,MATCH(AT$4,$M$4:$Q$4,0))),0))</f>
        <v/>
      </c>
      <c r="AU182" s="257">
        <f>IF(AU$7="Actual","",IFERROR((INDEX($M182:$Q182,,MATCH(AU$4,$M$4:$Q$4,0))),0))</f>
        <v/>
      </c>
      <c r="AV182" s="257">
        <f>IF(AV$7="Actual","",IFERROR((INDEX($M182:$Q182,,MATCH(AV$4,$M$4:$Q$4,0))),0))</f>
        <v/>
      </c>
      <c r="AW182" s="257">
        <f>IF(AW$7="Actual","",IFERROR((INDEX($M182:$Q182,,MATCH(AW$4,$M$4:$Q$4,0))),0))</f>
        <v/>
      </c>
      <c r="AX182" s="257">
        <f>IF(AX$7="Actual","",IFERROR((INDEX($M182:$Q182,,MATCH(AX$4,$M$4:$Q$4,0))),0))</f>
        <v/>
      </c>
      <c r="AY182" s="257">
        <f>IF(AY$7="Actual","",IFERROR((INDEX($M182:$Q182,,MATCH(AY$4,$M$4:$Q$4,0))),0))</f>
        <v/>
      </c>
      <c r="AZ182" s="257">
        <f>IF(AZ$7="Actual","",IFERROR((INDEX($M182:$Q182,,MATCH(AZ$4,$M$4:$Q$4,0))),0))</f>
        <v/>
      </c>
      <c r="BA182" s="257">
        <f>IF(BA$7="Actual","",IFERROR((INDEX($M182:$Q182,,MATCH(BA$4,$M$4:$Q$4,0))),0))</f>
        <v/>
      </c>
      <c r="BB182" s="257">
        <f>IF(BB$7="Actual","",IFERROR((INDEX($M182:$Q182,,MATCH(BB$4,$M$4:$Q$4,0))),0))</f>
        <v/>
      </c>
      <c r="BC182" s="257">
        <f>IF(BC$7="Actual","",IFERROR((INDEX($M182:$Q182,,MATCH(BC$4,$M$4:$Q$4,0))),0))</f>
        <v/>
      </c>
      <c r="BD182" s="257">
        <f>IF(BD$7="Actual","",IFERROR((INDEX($M182:$Q182,,MATCH(BD$4,$M$4:$Q$4,0))),0))</f>
        <v/>
      </c>
      <c r="BE182" s="257">
        <f>IF(BE$7="Actual","",IFERROR((INDEX($M182:$Q182,,MATCH(BE$4,$M$4:$Q$4,0))),0))</f>
        <v/>
      </c>
      <c r="BF182" s="257">
        <f>IF(BF$7="Actual","",IFERROR((INDEX($M182:$Q182,,MATCH(BF$4,$M$4:$Q$4,0))),0))</f>
        <v/>
      </c>
      <c r="BG182" s="257">
        <f>IF(BG$7="Actual","",IFERROR((INDEX($M182:$Q182,,MATCH(BG$4,$M$4:$Q$4,0))),0))</f>
        <v/>
      </c>
      <c r="BH182" s="257">
        <f>IF(BH$7="Actual","",IFERROR((INDEX($M182:$Q182,,MATCH(BH$4,$M$4:$Q$4,0))),0))</f>
        <v/>
      </c>
      <c r="BI182" s="257">
        <f>IF(BI$7="Actual","",IFERROR((INDEX($M182:$Q182,,MATCH(BI$4,$M$4:$Q$4,0))),0))</f>
        <v/>
      </c>
      <c r="BJ182" s="257">
        <f>IF(BJ$7="Actual","",IFERROR((INDEX($M182:$Q182,,MATCH(BJ$4,$M$4:$Q$4,0))),0))</f>
        <v/>
      </c>
      <c r="BK182" s="257">
        <f>IF(BK$7="Actual","",IFERROR((INDEX($M182:$Q182,,MATCH(BK$4,$M$4:$Q$4,0))),0))</f>
        <v/>
      </c>
      <c r="BL182" s="257">
        <f>IF(BL$7="Actual","",IFERROR((INDEX($M182:$Q182,,MATCH(BL$4,$M$4:$Q$4,0))),0))</f>
        <v/>
      </c>
      <c r="BM182" s="257">
        <f>IF(BM$7="Actual","",IFERROR((INDEX($M182:$Q182,,MATCH(BM$4,$M$4:$Q$4,0))),0))</f>
        <v/>
      </c>
      <c r="BN182" s="257">
        <f>IF(BN$7="Actual","",IFERROR((INDEX($M182:$Q182,,MATCH(BN$4,$M$4:$Q$4,0))),0))</f>
        <v/>
      </c>
      <c r="BO182" s="257">
        <f>IF(BO$7="Actual","",IFERROR((INDEX($M182:$Q182,,MATCH(BO$4,$M$4:$Q$4,0))),0))</f>
        <v/>
      </c>
      <c r="BP182" s="257">
        <f>IF(BP$7="Actual","",IFERROR((INDEX($M182:$Q182,,MATCH(BP$4,$M$4:$Q$4,0))),0))</f>
        <v/>
      </c>
      <c r="BQ182" s="257">
        <f>IF(BQ$7="Actual","",IFERROR((INDEX($M182:$Q182,,MATCH(BQ$4,$M$4:$Q$4,0))),0))</f>
        <v/>
      </c>
      <c r="BR182" s="257">
        <f>IF(BR$7="Actual","",IFERROR((INDEX($M182:$Q182,,MATCH(BR$4,$M$4:$Q$4,0))),0))</f>
        <v/>
      </c>
      <c r="BS182" s="257">
        <f>IF(BS$7="Actual","",IFERROR((INDEX($M182:$Q182,,MATCH(BS$4,$M$4:$Q$4,0))),0))</f>
        <v/>
      </c>
      <c r="BT182" s="257">
        <f>IF(BT$7="Actual","",IFERROR((INDEX($M182:$Q182,,MATCH(BT$4,$M$4:$Q$4,0))),0))</f>
        <v/>
      </c>
      <c r="BU182" s="257">
        <f>IF(BU$7="Actual","",IFERROR((INDEX($M182:$Q182,,MATCH(BU$4,$M$4:$Q$4,0))),0))</f>
        <v/>
      </c>
      <c r="BV182" s="257">
        <f>IF(BV$7="Actual","",IFERROR((INDEX($M182:$Q182,,MATCH(BV$4,$M$4:$Q$4,0))),0))</f>
        <v/>
      </c>
      <c r="BW182" s="257">
        <f>IF(BW$7="Actual","",IFERROR((INDEX($M182:$Q182,,MATCH(BW$4,$M$4:$Q$4,0))),0))</f>
        <v/>
      </c>
      <c r="BX182" s="257">
        <f>IF(BX$7="Actual","",IFERROR((INDEX($M182:$Q182,,MATCH(BX$4,$M$4:$Q$4,0))),0))</f>
        <v/>
      </c>
      <c r="BY182" s="257">
        <f>IF(BY$7="Actual","",IFERROR((INDEX($M182:$Q182,,MATCH(BY$4,$M$4:$Q$4,0))),0))</f>
        <v/>
      </c>
      <c r="BZ182" s="257">
        <f>IF(BZ$7="Actual","",IFERROR((INDEX($M182:$Q182,,MATCH(BZ$4,$M$4:$Q$4,0))),0))</f>
        <v/>
      </c>
      <c r="CA182" s="257">
        <f>IF(CA$7="Actual","",IFERROR((INDEX($M182:$Q182,,MATCH(CA$4,$M$4:$Q$4,0))),0))</f>
        <v/>
      </c>
    </row>
    <row r="183" ht="12" customHeight="1" s="227">
      <c r="A183" s="244" t="n"/>
      <c r="B183" s="244" t="n"/>
      <c r="C183" s="244" t="n"/>
      <c r="H183" s="0">
        <f>H173</f>
        <v/>
      </c>
      <c r="I183" s="27">
        <f>i_Setup!$M$16</f>
        <v/>
      </c>
      <c r="K183" s="6" t="n"/>
      <c r="M183" s="257">
        <f>IF(M$7="Actual","",i_Assumptions!M356)</f>
        <v/>
      </c>
      <c r="N183" s="257">
        <f>IF(N$7="Actual","",i_Assumptions!N356)</f>
        <v/>
      </c>
      <c r="O183" s="257">
        <f>IF(O$7="Actual","",i_Assumptions!O356)</f>
        <v/>
      </c>
      <c r="P183" s="257">
        <f>IF(P$7="Actual","",i_Assumptions!P356)</f>
        <v/>
      </c>
      <c r="Q183" s="257">
        <f>IF(Q$7="Actual","",i_Assumptions!Q356)</f>
        <v/>
      </c>
      <c r="T183" s="257">
        <f>IF(T$7="Actual","",IFERROR((INDEX($M183:$Q183,,MATCH(T$4,$M$4:$Q$4,0))),0))</f>
        <v/>
      </c>
      <c r="U183" s="257">
        <f>IF(U$7="Actual","",IFERROR((INDEX($M183:$Q183,,MATCH(U$4,$M$4:$Q$4,0))),0))</f>
        <v/>
      </c>
      <c r="V183" s="257">
        <f>IF(V$7="Actual","",IFERROR((INDEX($M183:$Q183,,MATCH(V$4,$M$4:$Q$4,0))),0))</f>
        <v/>
      </c>
      <c r="W183" s="257">
        <f>IF(W$7="Actual","",IFERROR((INDEX($M183:$Q183,,MATCH(W$4,$M$4:$Q$4,0))),0))</f>
        <v/>
      </c>
      <c r="X183" s="257">
        <f>IF(X$7="Actual","",IFERROR((INDEX($M183:$Q183,,MATCH(X$4,$M$4:$Q$4,0))),0))</f>
        <v/>
      </c>
      <c r="Y183" s="257">
        <f>IF(Y$7="Actual","",IFERROR((INDEX($M183:$Q183,,MATCH(Y$4,$M$4:$Q$4,0))),0))</f>
        <v/>
      </c>
      <c r="Z183" s="257">
        <f>IF(Z$7="Actual","",IFERROR((INDEX($M183:$Q183,,MATCH(Z$4,$M$4:$Q$4,0))),0))</f>
        <v/>
      </c>
      <c r="AA183" s="257">
        <f>IF(AA$7="Actual","",IFERROR((INDEX($M183:$Q183,,MATCH(AA$4,$M$4:$Q$4,0))),0))</f>
        <v/>
      </c>
      <c r="AB183" s="257">
        <f>IF(AB$7="Actual","",IFERROR((INDEX($M183:$Q183,,MATCH(AB$4,$M$4:$Q$4,0))),0))</f>
        <v/>
      </c>
      <c r="AC183" s="257">
        <f>IF(AC$7="Actual","",IFERROR((INDEX($M183:$Q183,,MATCH(AC$4,$M$4:$Q$4,0))),0))</f>
        <v/>
      </c>
      <c r="AD183" s="257">
        <f>IF(AD$7="Actual","",IFERROR((INDEX($M183:$Q183,,MATCH(AD$4,$M$4:$Q$4,0))),0))</f>
        <v/>
      </c>
      <c r="AE183" s="257">
        <f>IF(AE$7="Actual","",IFERROR((INDEX($M183:$Q183,,MATCH(AE$4,$M$4:$Q$4,0))),0))</f>
        <v/>
      </c>
      <c r="AF183" s="257">
        <f>IF(AF$7="Actual","",IFERROR((INDEX($M183:$Q183,,MATCH(AF$4,$M$4:$Q$4,0))),0))</f>
        <v/>
      </c>
      <c r="AG183" s="257">
        <f>IF(AG$7="Actual","",IFERROR((INDEX($M183:$Q183,,MATCH(AG$4,$M$4:$Q$4,0))),0))</f>
        <v/>
      </c>
      <c r="AH183" s="257">
        <f>IF(AH$7="Actual","",IFERROR((INDEX($M183:$Q183,,MATCH(AH$4,$M$4:$Q$4,0))),0))</f>
        <v/>
      </c>
      <c r="AI183" s="257">
        <f>IF(AI$7="Actual","",IFERROR((INDEX($M183:$Q183,,MATCH(AI$4,$M$4:$Q$4,0))),0))</f>
        <v/>
      </c>
      <c r="AJ183" s="257">
        <f>IF(AJ$7="Actual","",IFERROR((INDEX($M183:$Q183,,MATCH(AJ$4,$M$4:$Q$4,0))),0))</f>
        <v/>
      </c>
      <c r="AK183" s="257">
        <f>IF(AK$7="Actual","",IFERROR((INDEX($M183:$Q183,,MATCH(AK$4,$M$4:$Q$4,0))),0))</f>
        <v/>
      </c>
      <c r="AL183" s="257">
        <f>IF(AL$7="Actual","",IFERROR((INDEX($M183:$Q183,,MATCH(AL$4,$M$4:$Q$4,0))),0))</f>
        <v/>
      </c>
      <c r="AM183" s="257">
        <f>IF(AM$7="Actual","",IFERROR((INDEX($M183:$Q183,,MATCH(AM$4,$M$4:$Q$4,0))),0))</f>
        <v/>
      </c>
      <c r="AN183" s="257">
        <f>IF(AN$7="Actual","",IFERROR((INDEX($M183:$Q183,,MATCH(AN$4,$M$4:$Q$4,0))),0))</f>
        <v/>
      </c>
      <c r="AO183" s="257">
        <f>IF(AO$7="Actual","",IFERROR((INDEX($M183:$Q183,,MATCH(AO$4,$M$4:$Q$4,0))),0))</f>
        <v/>
      </c>
      <c r="AP183" s="257">
        <f>IF(AP$7="Actual","",IFERROR((INDEX($M183:$Q183,,MATCH(AP$4,$M$4:$Q$4,0))),0))</f>
        <v/>
      </c>
      <c r="AQ183" s="257">
        <f>IF(AQ$7="Actual","",IFERROR((INDEX($M183:$Q183,,MATCH(AQ$4,$M$4:$Q$4,0))),0))</f>
        <v/>
      </c>
      <c r="AR183" s="257">
        <f>IF(AR$7="Actual","",IFERROR((INDEX($M183:$Q183,,MATCH(AR$4,$M$4:$Q$4,0))),0))</f>
        <v/>
      </c>
      <c r="AS183" s="257">
        <f>IF(AS$7="Actual","",IFERROR((INDEX($M183:$Q183,,MATCH(AS$4,$M$4:$Q$4,0))),0))</f>
        <v/>
      </c>
      <c r="AT183" s="257">
        <f>IF(AT$7="Actual","",IFERROR((INDEX($M183:$Q183,,MATCH(AT$4,$M$4:$Q$4,0))),0))</f>
        <v/>
      </c>
      <c r="AU183" s="257">
        <f>IF(AU$7="Actual","",IFERROR((INDEX($M183:$Q183,,MATCH(AU$4,$M$4:$Q$4,0))),0))</f>
        <v/>
      </c>
      <c r="AV183" s="257">
        <f>IF(AV$7="Actual","",IFERROR((INDEX($M183:$Q183,,MATCH(AV$4,$M$4:$Q$4,0))),0))</f>
        <v/>
      </c>
      <c r="AW183" s="257">
        <f>IF(AW$7="Actual","",IFERROR((INDEX($M183:$Q183,,MATCH(AW$4,$M$4:$Q$4,0))),0))</f>
        <v/>
      </c>
      <c r="AX183" s="257">
        <f>IF(AX$7="Actual","",IFERROR((INDEX($M183:$Q183,,MATCH(AX$4,$M$4:$Q$4,0))),0))</f>
        <v/>
      </c>
      <c r="AY183" s="257">
        <f>IF(AY$7="Actual","",IFERROR((INDEX($M183:$Q183,,MATCH(AY$4,$M$4:$Q$4,0))),0))</f>
        <v/>
      </c>
      <c r="AZ183" s="257">
        <f>IF(AZ$7="Actual","",IFERROR((INDEX($M183:$Q183,,MATCH(AZ$4,$M$4:$Q$4,0))),0))</f>
        <v/>
      </c>
      <c r="BA183" s="257">
        <f>IF(BA$7="Actual","",IFERROR((INDEX($M183:$Q183,,MATCH(BA$4,$M$4:$Q$4,0))),0))</f>
        <v/>
      </c>
      <c r="BB183" s="257">
        <f>IF(BB$7="Actual","",IFERROR((INDEX($M183:$Q183,,MATCH(BB$4,$M$4:$Q$4,0))),0))</f>
        <v/>
      </c>
      <c r="BC183" s="257">
        <f>IF(BC$7="Actual","",IFERROR((INDEX($M183:$Q183,,MATCH(BC$4,$M$4:$Q$4,0))),0))</f>
        <v/>
      </c>
      <c r="BD183" s="257">
        <f>IF(BD$7="Actual","",IFERROR((INDEX($M183:$Q183,,MATCH(BD$4,$M$4:$Q$4,0))),0))</f>
        <v/>
      </c>
      <c r="BE183" s="257">
        <f>IF(BE$7="Actual","",IFERROR((INDEX($M183:$Q183,,MATCH(BE$4,$M$4:$Q$4,0))),0))</f>
        <v/>
      </c>
      <c r="BF183" s="257">
        <f>IF(BF$7="Actual","",IFERROR((INDEX($M183:$Q183,,MATCH(BF$4,$M$4:$Q$4,0))),0))</f>
        <v/>
      </c>
      <c r="BG183" s="257">
        <f>IF(BG$7="Actual","",IFERROR((INDEX($M183:$Q183,,MATCH(BG$4,$M$4:$Q$4,0))),0))</f>
        <v/>
      </c>
      <c r="BH183" s="257">
        <f>IF(BH$7="Actual","",IFERROR((INDEX($M183:$Q183,,MATCH(BH$4,$M$4:$Q$4,0))),0))</f>
        <v/>
      </c>
      <c r="BI183" s="257">
        <f>IF(BI$7="Actual","",IFERROR((INDEX($M183:$Q183,,MATCH(BI$4,$M$4:$Q$4,0))),0))</f>
        <v/>
      </c>
      <c r="BJ183" s="257">
        <f>IF(BJ$7="Actual","",IFERROR((INDEX($M183:$Q183,,MATCH(BJ$4,$M$4:$Q$4,0))),0))</f>
        <v/>
      </c>
      <c r="BK183" s="257">
        <f>IF(BK$7="Actual","",IFERROR((INDEX($M183:$Q183,,MATCH(BK$4,$M$4:$Q$4,0))),0))</f>
        <v/>
      </c>
      <c r="BL183" s="257">
        <f>IF(BL$7="Actual","",IFERROR((INDEX($M183:$Q183,,MATCH(BL$4,$M$4:$Q$4,0))),0))</f>
        <v/>
      </c>
      <c r="BM183" s="257">
        <f>IF(BM$7="Actual","",IFERROR((INDEX($M183:$Q183,,MATCH(BM$4,$M$4:$Q$4,0))),0))</f>
        <v/>
      </c>
      <c r="BN183" s="257">
        <f>IF(BN$7="Actual","",IFERROR((INDEX($M183:$Q183,,MATCH(BN$4,$M$4:$Q$4,0))),0))</f>
        <v/>
      </c>
      <c r="BO183" s="257">
        <f>IF(BO$7="Actual","",IFERROR((INDEX($M183:$Q183,,MATCH(BO$4,$M$4:$Q$4,0))),0))</f>
        <v/>
      </c>
      <c r="BP183" s="257">
        <f>IF(BP$7="Actual","",IFERROR((INDEX($M183:$Q183,,MATCH(BP$4,$M$4:$Q$4,0))),0))</f>
        <v/>
      </c>
      <c r="BQ183" s="257">
        <f>IF(BQ$7="Actual","",IFERROR((INDEX($M183:$Q183,,MATCH(BQ$4,$M$4:$Q$4,0))),0))</f>
        <v/>
      </c>
      <c r="BR183" s="257">
        <f>IF(BR$7="Actual","",IFERROR((INDEX($M183:$Q183,,MATCH(BR$4,$M$4:$Q$4,0))),0))</f>
        <v/>
      </c>
      <c r="BS183" s="257">
        <f>IF(BS$7="Actual","",IFERROR((INDEX($M183:$Q183,,MATCH(BS$4,$M$4:$Q$4,0))),0))</f>
        <v/>
      </c>
      <c r="BT183" s="257">
        <f>IF(BT$7="Actual","",IFERROR((INDEX($M183:$Q183,,MATCH(BT$4,$M$4:$Q$4,0))),0))</f>
        <v/>
      </c>
      <c r="BU183" s="257">
        <f>IF(BU$7="Actual","",IFERROR((INDEX($M183:$Q183,,MATCH(BU$4,$M$4:$Q$4,0))),0))</f>
        <v/>
      </c>
      <c r="BV183" s="257">
        <f>IF(BV$7="Actual","",IFERROR((INDEX($M183:$Q183,,MATCH(BV$4,$M$4:$Q$4,0))),0))</f>
        <v/>
      </c>
      <c r="BW183" s="257">
        <f>IF(BW$7="Actual","",IFERROR((INDEX($M183:$Q183,,MATCH(BW$4,$M$4:$Q$4,0))),0))</f>
        <v/>
      </c>
      <c r="BX183" s="257">
        <f>IF(BX$7="Actual","",IFERROR((INDEX($M183:$Q183,,MATCH(BX$4,$M$4:$Q$4,0))),0))</f>
        <v/>
      </c>
      <c r="BY183" s="257">
        <f>IF(BY$7="Actual","",IFERROR((INDEX($M183:$Q183,,MATCH(BY$4,$M$4:$Q$4,0))),0))</f>
        <v/>
      </c>
      <c r="BZ183" s="257">
        <f>IF(BZ$7="Actual","",IFERROR((INDEX($M183:$Q183,,MATCH(BZ$4,$M$4:$Q$4,0))),0))</f>
        <v/>
      </c>
      <c r="CA183" s="257">
        <f>IF(CA$7="Actual","",IFERROR((INDEX($M183:$Q183,,MATCH(CA$4,$M$4:$Q$4,0))),0))</f>
        <v/>
      </c>
    </row>
    <row r="184" ht="12" customHeight="1" s="227">
      <c r="A184" s="244" t="n"/>
      <c r="B184" s="244" t="n"/>
      <c r="C184" s="244" t="n"/>
      <c r="H184" s="0">
        <f>H174</f>
        <v/>
      </c>
      <c r="I184" s="27">
        <f>i_Setup!$M$16</f>
        <v/>
      </c>
      <c r="K184" s="6" t="n"/>
      <c r="M184" s="257">
        <f>IF(M$7="Actual","",i_Assumptions!M357)</f>
        <v/>
      </c>
      <c r="N184" s="257">
        <f>IF(N$7="Actual","",i_Assumptions!N357)</f>
        <v/>
      </c>
      <c r="O184" s="257">
        <f>IF(O$7="Actual","",i_Assumptions!O357)</f>
        <v/>
      </c>
      <c r="P184" s="257">
        <f>IF(P$7="Actual","",i_Assumptions!P357)</f>
        <v/>
      </c>
      <c r="Q184" s="257">
        <f>IF(Q$7="Actual","",i_Assumptions!Q357)</f>
        <v/>
      </c>
      <c r="T184" s="257">
        <f>IF(T$7="Actual","",IFERROR((INDEX($M184:$Q184,,MATCH(T$4,$M$4:$Q$4,0))),0))</f>
        <v/>
      </c>
      <c r="U184" s="257">
        <f>IF(U$7="Actual","",IFERROR((INDEX($M184:$Q184,,MATCH(U$4,$M$4:$Q$4,0))),0))</f>
        <v/>
      </c>
      <c r="V184" s="257">
        <f>IF(V$7="Actual","",IFERROR((INDEX($M184:$Q184,,MATCH(V$4,$M$4:$Q$4,0))),0))</f>
        <v/>
      </c>
      <c r="W184" s="257">
        <f>IF(W$7="Actual","",IFERROR((INDEX($M184:$Q184,,MATCH(W$4,$M$4:$Q$4,0))),0))</f>
        <v/>
      </c>
      <c r="X184" s="257">
        <f>IF(X$7="Actual","",IFERROR((INDEX($M184:$Q184,,MATCH(X$4,$M$4:$Q$4,0))),0))</f>
        <v/>
      </c>
      <c r="Y184" s="257">
        <f>IF(Y$7="Actual","",IFERROR((INDEX($M184:$Q184,,MATCH(Y$4,$M$4:$Q$4,0))),0))</f>
        <v/>
      </c>
      <c r="Z184" s="257">
        <f>IF(Z$7="Actual","",IFERROR((INDEX($M184:$Q184,,MATCH(Z$4,$M$4:$Q$4,0))),0))</f>
        <v/>
      </c>
      <c r="AA184" s="257">
        <f>IF(AA$7="Actual","",IFERROR((INDEX($M184:$Q184,,MATCH(AA$4,$M$4:$Q$4,0))),0))</f>
        <v/>
      </c>
      <c r="AB184" s="257">
        <f>IF(AB$7="Actual","",IFERROR((INDEX($M184:$Q184,,MATCH(AB$4,$M$4:$Q$4,0))),0))</f>
        <v/>
      </c>
      <c r="AC184" s="257">
        <f>IF(AC$7="Actual","",IFERROR((INDEX($M184:$Q184,,MATCH(AC$4,$M$4:$Q$4,0))),0))</f>
        <v/>
      </c>
      <c r="AD184" s="257">
        <f>IF(AD$7="Actual","",IFERROR((INDEX($M184:$Q184,,MATCH(AD$4,$M$4:$Q$4,0))),0))</f>
        <v/>
      </c>
      <c r="AE184" s="257">
        <f>IF(AE$7="Actual","",IFERROR((INDEX($M184:$Q184,,MATCH(AE$4,$M$4:$Q$4,0))),0))</f>
        <v/>
      </c>
      <c r="AF184" s="257">
        <f>IF(AF$7="Actual","",IFERROR((INDEX($M184:$Q184,,MATCH(AF$4,$M$4:$Q$4,0))),0))</f>
        <v/>
      </c>
      <c r="AG184" s="257">
        <f>IF(AG$7="Actual","",IFERROR((INDEX($M184:$Q184,,MATCH(AG$4,$M$4:$Q$4,0))),0))</f>
        <v/>
      </c>
      <c r="AH184" s="257">
        <f>IF(AH$7="Actual","",IFERROR((INDEX($M184:$Q184,,MATCH(AH$4,$M$4:$Q$4,0))),0))</f>
        <v/>
      </c>
      <c r="AI184" s="257">
        <f>IF(AI$7="Actual","",IFERROR((INDEX($M184:$Q184,,MATCH(AI$4,$M$4:$Q$4,0))),0))</f>
        <v/>
      </c>
      <c r="AJ184" s="257">
        <f>IF(AJ$7="Actual","",IFERROR((INDEX($M184:$Q184,,MATCH(AJ$4,$M$4:$Q$4,0))),0))</f>
        <v/>
      </c>
      <c r="AK184" s="257">
        <f>IF(AK$7="Actual","",IFERROR((INDEX($M184:$Q184,,MATCH(AK$4,$M$4:$Q$4,0))),0))</f>
        <v/>
      </c>
      <c r="AL184" s="257">
        <f>IF(AL$7="Actual","",IFERROR((INDEX($M184:$Q184,,MATCH(AL$4,$M$4:$Q$4,0))),0))</f>
        <v/>
      </c>
      <c r="AM184" s="257">
        <f>IF(AM$7="Actual","",IFERROR((INDEX($M184:$Q184,,MATCH(AM$4,$M$4:$Q$4,0))),0))</f>
        <v/>
      </c>
      <c r="AN184" s="257">
        <f>IF(AN$7="Actual","",IFERROR((INDEX($M184:$Q184,,MATCH(AN$4,$M$4:$Q$4,0))),0))</f>
        <v/>
      </c>
      <c r="AO184" s="257">
        <f>IF(AO$7="Actual","",IFERROR((INDEX($M184:$Q184,,MATCH(AO$4,$M$4:$Q$4,0))),0))</f>
        <v/>
      </c>
      <c r="AP184" s="257">
        <f>IF(AP$7="Actual","",IFERROR((INDEX($M184:$Q184,,MATCH(AP$4,$M$4:$Q$4,0))),0))</f>
        <v/>
      </c>
      <c r="AQ184" s="257">
        <f>IF(AQ$7="Actual","",IFERROR((INDEX($M184:$Q184,,MATCH(AQ$4,$M$4:$Q$4,0))),0))</f>
        <v/>
      </c>
      <c r="AR184" s="257">
        <f>IF(AR$7="Actual","",IFERROR((INDEX($M184:$Q184,,MATCH(AR$4,$M$4:$Q$4,0))),0))</f>
        <v/>
      </c>
      <c r="AS184" s="257">
        <f>IF(AS$7="Actual","",IFERROR((INDEX($M184:$Q184,,MATCH(AS$4,$M$4:$Q$4,0))),0))</f>
        <v/>
      </c>
      <c r="AT184" s="257">
        <f>IF(AT$7="Actual","",IFERROR((INDEX($M184:$Q184,,MATCH(AT$4,$M$4:$Q$4,0))),0))</f>
        <v/>
      </c>
      <c r="AU184" s="257">
        <f>IF(AU$7="Actual","",IFERROR((INDEX($M184:$Q184,,MATCH(AU$4,$M$4:$Q$4,0))),0))</f>
        <v/>
      </c>
      <c r="AV184" s="257">
        <f>IF(AV$7="Actual","",IFERROR((INDEX($M184:$Q184,,MATCH(AV$4,$M$4:$Q$4,0))),0))</f>
        <v/>
      </c>
      <c r="AW184" s="257">
        <f>IF(AW$7="Actual","",IFERROR((INDEX($M184:$Q184,,MATCH(AW$4,$M$4:$Q$4,0))),0))</f>
        <v/>
      </c>
      <c r="AX184" s="257">
        <f>IF(AX$7="Actual","",IFERROR((INDEX($M184:$Q184,,MATCH(AX$4,$M$4:$Q$4,0))),0))</f>
        <v/>
      </c>
      <c r="AY184" s="257">
        <f>IF(AY$7="Actual","",IFERROR((INDEX($M184:$Q184,,MATCH(AY$4,$M$4:$Q$4,0))),0))</f>
        <v/>
      </c>
      <c r="AZ184" s="257">
        <f>IF(AZ$7="Actual","",IFERROR((INDEX($M184:$Q184,,MATCH(AZ$4,$M$4:$Q$4,0))),0))</f>
        <v/>
      </c>
      <c r="BA184" s="257">
        <f>IF(BA$7="Actual","",IFERROR((INDEX($M184:$Q184,,MATCH(BA$4,$M$4:$Q$4,0))),0))</f>
        <v/>
      </c>
      <c r="BB184" s="257">
        <f>IF(BB$7="Actual","",IFERROR((INDEX($M184:$Q184,,MATCH(BB$4,$M$4:$Q$4,0))),0))</f>
        <v/>
      </c>
      <c r="BC184" s="257">
        <f>IF(BC$7="Actual","",IFERROR((INDEX($M184:$Q184,,MATCH(BC$4,$M$4:$Q$4,0))),0))</f>
        <v/>
      </c>
      <c r="BD184" s="257">
        <f>IF(BD$7="Actual","",IFERROR((INDEX($M184:$Q184,,MATCH(BD$4,$M$4:$Q$4,0))),0))</f>
        <v/>
      </c>
      <c r="BE184" s="257">
        <f>IF(BE$7="Actual","",IFERROR((INDEX($M184:$Q184,,MATCH(BE$4,$M$4:$Q$4,0))),0))</f>
        <v/>
      </c>
      <c r="BF184" s="257">
        <f>IF(BF$7="Actual","",IFERROR((INDEX($M184:$Q184,,MATCH(BF$4,$M$4:$Q$4,0))),0))</f>
        <v/>
      </c>
      <c r="BG184" s="257">
        <f>IF(BG$7="Actual","",IFERROR((INDEX($M184:$Q184,,MATCH(BG$4,$M$4:$Q$4,0))),0))</f>
        <v/>
      </c>
      <c r="BH184" s="257">
        <f>IF(BH$7="Actual","",IFERROR((INDEX($M184:$Q184,,MATCH(BH$4,$M$4:$Q$4,0))),0))</f>
        <v/>
      </c>
      <c r="BI184" s="257">
        <f>IF(BI$7="Actual","",IFERROR((INDEX($M184:$Q184,,MATCH(BI$4,$M$4:$Q$4,0))),0))</f>
        <v/>
      </c>
      <c r="BJ184" s="257">
        <f>IF(BJ$7="Actual","",IFERROR((INDEX($M184:$Q184,,MATCH(BJ$4,$M$4:$Q$4,0))),0))</f>
        <v/>
      </c>
      <c r="BK184" s="257">
        <f>IF(BK$7="Actual","",IFERROR((INDEX($M184:$Q184,,MATCH(BK$4,$M$4:$Q$4,0))),0))</f>
        <v/>
      </c>
      <c r="BL184" s="257">
        <f>IF(BL$7="Actual","",IFERROR((INDEX($M184:$Q184,,MATCH(BL$4,$M$4:$Q$4,0))),0))</f>
        <v/>
      </c>
      <c r="BM184" s="257">
        <f>IF(BM$7="Actual","",IFERROR((INDEX($M184:$Q184,,MATCH(BM$4,$M$4:$Q$4,0))),0))</f>
        <v/>
      </c>
      <c r="BN184" s="257">
        <f>IF(BN$7="Actual","",IFERROR((INDEX($M184:$Q184,,MATCH(BN$4,$M$4:$Q$4,0))),0))</f>
        <v/>
      </c>
      <c r="BO184" s="257">
        <f>IF(BO$7="Actual","",IFERROR((INDEX($M184:$Q184,,MATCH(BO$4,$M$4:$Q$4,0))),0))</f>
        <v/>
      </c>
      <c r="BP184" s="257">
        <f>IF(BP$7="Actual","",IFERROR((INDEX($M184:$Q184,,MATCH(BP$4,$M$4:$Q$4,0))),0))</f>
        <v/>
      </c>
      <c r="BQ184" s="257">
        <f>IF(BQ$7="Actual","",IFERROR((INDEX($M184:$Q184,,MATCH(BQ$4,$M$4:$Q$4,0))),0))</f>
        <v/>
      </c>
      <c r="BR184" s="257">
        <f>IF(BR$7="Actual","",IFERROR((INDEX($M184:$Q184,,MATCH(BR$4,$M$4:$Q$4,0))),0))</f>
        <v/>
      </c>
      <c r="BS184" s="257">
        <f>IF(BS$7="Actual","",IFERROR((INDEX($M184:$Q184,,MATCH(BS$4,$M$4:$Q$4,0))),0))</f>
        <v/>
      </c>
      <c r="BT184" s="257">
        <f>IF(BT$7="Actual","",IFERROR((INDEX($M184:$Q184,,MATCH(BT$4,$M$4:$Q$4,0))),0))</f>
        <v/>
      </c>
      <c r="BU184" s="257">
        <f>IF(BU$7="Actual","",IFERROR((INDEX($M184:$Q184,,MATCH(BU$4,$M$4:$Q$4,0))),0))</f>
        <v/>
      </c>
      <c r="BV184" s="257">
        <f>IF(BV$7="Actual","",IFERROR((INDEX($M184:$Q184,,MATCH(BV$4,$M$4:$Q$4,0))),0))</f>
        <v/>
      </c>
      <c r="BW184" s="257">
        <f>IF(BW$7="Actual","",IFERROR((INDEX($M184:$Q184,,MATCH(BW$4,$M$4:$Q$4,0))),0))</f>
        <v/>
      </c>
      <c r="BX184" s="257">
        <f>IF(BX$7="Actual","",IFERROR((INDEX($M184:$Q184,,MATCH(BX$4,$M$4:$Q$4,0))),0))</f>
        <v/>
      </c>
      <c r="BY184" s="257">
        <f>IF(BY$7="Actual","",IFERROR((INDEX($M184:$Q184,,MATCH(BY$4,$M$4:$Q$4,0))),0))</f>
        <v/>
      </c>
      <c r="BZ184" s="257">
        <f>IF(BZ$7="Actual","",IFERROR((INDEX($M184:$Q184,,MATCH(BZ$4,$M$4:$Q$4,0))),0))</f>
        <v/>
      </c>
      <c r="CA184" s="257">
        <f>IF(CA$7="Actual","",IFERROR((INDEX($M184:$Q184,,MATCH(CA$4,$M$4:$Q$4,0))),0))</f>
        <v/>
      </c>
    </row>
    <row r="185" ht="12" customHeight="1" s="227">
      <c r="A185" s="244" t="n"/>
      <c r="B185" s="244" t="n"/>
      <c r="C185" s="244" t="n"/>
      <c r="H185" s="0">
        <f>H175</f>
        <v/>
      </c>
      <c r="I185" s="27">
        <f>i_Setup!$M$16</f>
        <v/>
      </c>
      <c r="K185" s="6" t="n"/>
      <c r="M185" s="257">
        <f>IF(M$7="Actual","",i_Assumptions!M358)</f>
        <v/>
      </c>
      <c r="N185" s="257">
        <f>IF(N$7="Actual","",i_Assumptions!N358)</f>
        <v/>
      </c>
      <c r="O185" s="257">
        <f>IF(O$7="Actual","",i_Assumptions!O358)</f>
        <v/>
      </c>
      <c r="P185" s="257">
        <f>IF(P$7="Actual","",i_Assumptions!P358)</f>
        <v/>
      </c>
      <c r="Q185" s="257">
        <f>IF(Q$7="Actual","",i_Assumptions!Q358)</f>
        <v/>
      </c>
      <c r="T185" s="257">
        <f>IF(T$7="Actual","",IFERROR((INDEX($M185:$Q185,,MATCH(T$4,$M$4:$Q$4,0))),0))</f>
        <v/>
      </c>
      <c r="U185" s="257">
        <f>IF(U$7="Actual","",IFERROR((INDEX($M185:$Q185,,MATCH(U$4,$M$4:$Q$4,0))),0))</f>
        <v/>
      </c>
      <c r="V185" s="257">
        <f>IF(V$7="Actual","",IFERROR((INDEX($M185:$Q185,,MATCH(V$4,$M$4:$Q$4,0))),0))</f>
        <v/>
      </c>
      <c r="W185" s="257">
        <f>IF(W$7="Actual","",IFERROR((INDEX($M185:$Q185,,MATCH(W$4,$M$4:$Q$4,0))),0))</f>
        <v/>
      </c>
      <c r="X185" s="257">
        <f>IF(X$7="Actual","",IFERROR((INDEX($M185:$Q185,,MATCH(X$4,$M$4:$Q$4,0))),0))</f>
        <v/>
      </c>
      <c r="Y185" s="257">
        <f>IF(Y$7="Actual","",IFERROR((INDEX($M185:$Q185,,MATCH(Y$4,$M$4:$Q$4,0))),0))</f>
        <v/>
      </c>
      <c r="Z185" s="257">
        <f>IF(Z$7="Actual","",IFERROR((INDEX($M185:$Q185,,MATCH(Z$4,$M$4:$Q$4,0))),0))</f>
        <v/>
      </c>
      <c r="AA185" s="257">
        <f>IF(AA$7="Actual","",IFERROR((INDEX($M185:$Q185,,MATCH(AA$4,$M$4:$Q$4,0))),0))</f>
        <v/>
      </c>
      <c r="AB185" s="257">
        <f>IF(AB$7="Actual","",IFERROR((INDEX($M185:$Q185,,MATCH(AB$4,$M$4:$Q$4,0))),0))</f>
        <v/>
      </c>
      <c r="AC185" s="257">
        <f>IF(AC$7="Actual","",IFERROR((INDEX($M185:$Q185,,MATCH(AC$4,$M$4:$Q$4,0))),0))</f>
        <v/>
      </c>
      <c r="AD185" s="257">
        <f>IF(AD$7="Actual","",IFERROR((INDEX($M185:$Q185,,MATCH(AD$4,$M$4:$Q$4,0))),0))</f>
        <v/>
      </c>
      <c r="AE185" s="257">
        <f>IF(AE$7="Actual","",IFERROR((INDEX($M185:$Q185,,MATCH(AE$4,$M$4:$Q$4,0))),0))</f>
        <v/>
      </c>
      <c r="AF185" s="257">
        <f>IF(AF$7="Actual","",IFERROR((INDEX($M185:$Q185,,MATCH(AF$4,$M$4:$Q$4,0))),0))</f>
        <v/>
      </c>
      <c r="AG185" s="257">
        <f>IF(AG$7="Actual","",IFERROR((INDEX($M185:$Q185,,MATCH(AG$4,$M$4:$Q$4,0))),0))</f>
        <v/>
      </c>
      <c r="AH185" s="257">
        <f>IF(AH$7="Actual","",IFERROR((INDEX($M185:$Q185,,MATCH(AH$4,$M$4:$Q$4,0))),0))</f>
        <v/>
      </c>
      <c r="AI185" s="257">
        <f>IF(AI$7="Actual","",IFERROR((INDEX($M185:$Q185,,MATCH(AI$4,$M$4:$Q$4,0))),0))</f>
        <v/>
      </c>
      <c r="AJ185" s="257">
        <f>IF(AJ$7="Actual","",IFERROR((INDEX($M185:$Q185,,MATCH(AJ$4,$M$4:$Q$4,0))),0))</f>
        <v/>
      </c>
      <c r="AK185" s="257">
        <f>IF(AK$7="Actual","",IFERROR((INDEX($M185:$Q185,,MATCH(AK$4,$M$4:$Q$4,0))),0))</f>
        <v/>
      </c>
      <c r="AL185" s="257">
        <f>IF(AL$7="Actual","",IFERROR((INDEX($M185:$Q185,,MATCH(AL$4,$M$4:$Q$4,0))),0))</f>
        <v/>
      </c>
      <c r="AM185" s="257">
        <f>IF(AM$7="Actual","",IFERROR((INDEX($M185:$Q185,,MATCH(AM$4,$M$4:$Q$4,0))),0))</f>
        <v/>
      </c>
      <c r="AN185" s="257">
        <f>IF(AN$7="Actual","",IFERROR((INDEX($M185:$Q185,,MATCH(AN$4,$M$4:$Q$4,0))),0))</f>
        <v/>
      </c>
      <c r="AO185" s="257">
        <f>IF(AO$7="Actual","",IFERROR((INDEX($M185:$Q185,,MATCH(AO$4,$M$4:$Q$4,0))),0))</f>
        <v/>
      </c>
      <c r="AP185" s="257">
        <f>IF(AP$7="Actual","",IFERROR((INDEX($M185:$Q185,,MATCH(AP$4,$M$4:$Q$4,0))),0))</f>
        <v/>
      </c>
      <c r="AQ185" s="257">
        <f>IF(AQ$7="Actual","",IFERROR((INDEX($M185:$Q185,,MATCH(AQ$4,$M$4:$Q$4,0))),0))</f>
        <v/>
      </c>
      <c r="AR185" s="257">
        <f>IF(AR$7="Actual","",IFERROR((INDEX($M185:$Q185,,MATCH(AR$4,$M$4:$Q$4,0))),0))</f>
        <v/>
      </c>
      <c r="AS185" s="257">
        <f>IF(AS$7="Actual","",IFERROR((INDEX($M185:$Q185,,MATCH(AS$4,$M$4:$Q$4,0))),0))</f>
        <v/>
      </c>
      <c r="AT185" s="257">
        <f>IF(AT$7="Actual","",IFERROR((INDEX($M185:$Q185,,MATCH(AT$4,$M$4:$Q$4,0))),0))</f>
        <v/>
      </c>
      <c r="AU185" s="257">
        <f>IF(AU$7="Actual","",IFERROR((INDEX($M185:$Q185,,MATCH(AU$4,$M$4:$Q$4,0))),0))</f>
        <v/>
      </c>
      <c r="AV185" s="257">
        <f>IF(AV$7="Actual","",IFERROR((INDEX($M185:$Q185,,MATCH(AV$4,$M$4:$Q$4,0))),0))</f>
        <v/>
      </c>
      <c r="AW185" s="257">
        <f>IF(AW$7="Actual","",IFERROR((INDEX($M185:$Q185,,MATCH(AW$4,$M$4:$Q$4,0))),0))</f>
        <v/>
      </c>
      <c r="AX185" s="257">
        <f>IF(AX$7="Actual","",IFERROR((INDEX($M185:$Q185,,MATCH(AX$4,$M$4:$Q$4,0))),0))</f>
        <v/>
      </c>
      <c r="AY185" s="257">
        <f>IF(AY$7="Actual","",IFERROR((INDEX($M185:$Q185,,MATCH(AY$4,$M$4:$Q$4,0))),0))</f>
        <v/>
      </c>
      <c r="AZ185" s="257">
        <f>IF(AZ$7="Actual","",IFERROR((INDEX($M185:$Q185,,MATCH(AZ$4,$M$4:$Q$4,0))),0))</f>
        <v/>
      </c>
      <c r="BA185" s="257">
        <f>IF(BA$7="Actual","",IFERROR((INDEX($M185:$Q185,,MATCH(BA$4,$M$4:$Q$4,0))),0))</f>
        <v/>
      </c>
      <c r="BB185" s="257">
        <f>IF(BB$7="Actual","",IFERROR((INDEX($M185:$Q185,,MATCH(BB$4,$M$4:$Q$4,0))),0))</f>
        <v/>
      </c>
      <c r="BC185" s="257">
        <f>IF(BC$7="Actual","",IFERROR((INDEX($M185:$Q185,,MATCH(BC$4,$M$4:$Q$4,0))),0))</f>
        <v/>
      </c>
      <c r="BD185" s="257">
        <f>IF(BD$7="Actual","",IFERROR((INDEX($M185:$Q185,,MATCH(BD$4,$M$4:$Q$4,0))),0))</f>
        <v/>
      </c>
      <c r="BE185" s="257">
        <f>IF(BE$7="Actual","",IFERROR((INDEX($M185:$Q185,,MATCH(BE$4,$M$4:$Q$4,0))),0))</f>
        <v/>
      </c>
      <c r="BF185" s="257">
        <f>IF(BF$7="Actual","",IFERROR((INDEX($M185:$Q185,,MATCH(BF$4,$M$4:$Q$4,0))),0))</f>
        <v/>
      </c>
      <c r="BG185" s="257">
        <f>IF(BG$7="Actual","",IFERROR((INDEX($M185:$Q185,,MATCH(BG$4,$M$4:$Q$4,0))),0))</f>
        <v/>
      </c>
      <c r="BH185" s="257">
        <f>IF(BH$7="Actual","",IFERROR((INDEX($M185:$Q185,,MATCH(BH$4,$M$4:$Q$4,0))),0))</f>
        <v/>
      </c>
      <c r="BI185" s="257">
        <f>IF(BI$7="Actual","",IFERROR((INDEX($M185:$Q185,,MATCH(BI$4,$M$4:$Q$4,0))),0))</f>
        <v/>
      </c>
      <c r="BJ185" s="257">
        <f>IF(BJ$7="Actual","",IFERROR((INDEX($M185:$Q185,,MATCH(BJ$4,$M$4:$Q$4,0))),0))</f>
        <v/>
      </c>
      <c r="BK185" s="257">
        <f>IF(BK$7="Actual","",IFERROR((INDEX($M185:$Q185,,MATCH(BK$4,$M$4:$Q$4,0))),0))</f>
        <v/>
      </c>
      <c r="BL185" s="257">
        <f>IF(BL$7="Actual","",IFERROR((INDEX($M185:$Q185,,MATCH(BL$4,$M$4:$Q$4,0))),0))</f>
        <v/>
      </c>
      <c r="BM185" s="257">
        <f>IF(BM$7="Actual","",IFERROR((INDEX($M185:$Q185,,MATCH(BM$4,$M$4:$Q$4,0))),0))</f>
        <v/>
      </c>
      <c r="BN185" s="257">
        <f>IF(BN$7="Actual","",IFERROR((INDEX($M185:$Q185,,MATCH(BN$4,$M$4:$Q$4,0))),0))</f>
        <v/>
      </c>
      <c r="BO185" s="257">
        <f>IF(BO$7="Actual","",IFERROR((INDEX($M185:$Q185,,MATCH(BO$4,$M$4:$Q$4,0))),0))</f>
        <v/>
      </c>
      <c r="BP185" s="257">
        <f>IF(BP$7="Actual","",IFERROR((INDEX($M185:$Q185,,MATCH(BP$4,$M$4:$Q$4,0))),0))</f>
        <v/>
      </c>
      <c r="BQ185" s="257">
        <f>IF(BQ$7="Actual","",IFERROR((INDEX($M185:$Q185,,MATCH(BQ$4,$M$4:$Q$4,0))),0))</f>
        <v/>
      </c>
      <c r="BR185" s="257">
        <f>IF(BR$7="Actual","",IFERROR((INDEX($M185:$Q185,,MATCH(BR$4,$M$4:$Q$4,0))),0))</f>
        <v/>
      </c>
      <c r="BS185" s="257">
        <f>IF(BS$7="Actual","",IFERROR((INDEX($M185:$Q185,,MATCH(BS$4,$M$4:$Q$4,0))),0))</f>
        <v/>
      </c>
      <c r="BT185" s="257">
        <f>IF(BT$7="Actual","",IFERROR((INDEX($M185:$Q185,,MATCH(BT$4,$M$4:$Q$4,0))),0))</f>
        <v/>
      </c>
      <c r="BU185" s="257">
        <f>IF(BU$7="Actual","",IFERROR((INDEX($M185:$Q185,,MATCH(BU$4,$M$4:$Q$4,0))),0))</f>
        <v/>
      </c>
      <c r="BV185" s="257">
        <f>IF(BV$7="Actual","",IFERROR((INDEX($M185:$Q185,,MATCH(BV$4,$M$4:$Q$4,0))),0))</f>
        <v/>
      </c>
      <c r="BW185" s="257">
        <f>IF(BW$7="Actual","",IFERROR((INDEX($M185:$Q185,,MATCH(BW$4,$M$4:$Q$4,0))),0))</f>
        <v/>
      </c>
      <c r="BX185" s="257">
        <f>IF(BX$7="Actual","",IFERROR((INDEX($M185:$Q185,,MATCH(BX$4,$M$4:$Q$4,0))),0))</f>
        <v/>
      </c>
      <c r="BY185" s="257">
        <f>IF(BY$7="Actual","",IFERROR((INDEX($M185:$Q185,,MATCH(BY$4,$M$4:$Q$4,0))),0))</f>
        <v/>
      </c>
      <c r="BZ185" s="257">
        <f>IF(BZ$7="Actual","",IFERROR((INDEX($M185:$Q185,,MATCH(BZ$4,$M$4:$Q$4,0))),0))</f>
        <v/>
      </c>
      <c r="CA185" s="257">
        <f>IF(CA$7="Actual","",IFERROR((INDEX($M185:$Q185,,MATCH(CA$4,$M$4:$Q$4,0))),0))</f>
        <v/>
      </c>
    </row>
    <row r="186" ht="12" customHeight="1" s="227">
      <c r="A186" s="244" t="n"/>
      <c r="B186" s="244" t="n"/>
      <c r="C186" s="244" t="n"/>
      <c r="H186" s="0">
        <f>H176</f>
        <v/>
      </c>
      <c r="I186" s="27">
        <f>i_Setup!$M$16</f>
        <v/>
      </c>
      <c r="K186" s="6" t="n"/>
      <c r="M186" s="257">
        <f>IF(M$7="Actual","",i_Assumptions!M359)</f>
        <v/>
      </c>
      <c r="N186" s="257">
        <f>IF(N$7="Actual","",i_Assumptions!N359)</f>
        <v/>
      </c>
      <c r="O186" s="257">
        <f>IF(O$7="Actual","",i_Assumptions!O359)</f>
        <v/>
      </c>
      <c r="P186" s="257">
        <f>IF(P$7="Actual","",i_Assumptions!P359)</f>
        <v/>
      </c>
      <c r="Q186" s="257">
        <f>IF(Q$7="Actual","",i_Assumptions!Q359)</f>
        <v/>
      </c>
      <c r="T186" s="257">
        <f>IF(T$7="Actual","",IFERROR((INDEX($M186:$Q186,,MATCH(T$4,$M$4:$Q$4,0))),0))</f>
        <v/>
      </c>
      <c r="U186" s="257">
        <f>IF(U$7="Actual","",IFERROR((INDEX($M186:$Q186,,MATCH(U$4,$M$4:$Q$4,0))),0))</f>
        <v/>
      </c>
      <c r="V186" s="257">
        <f>IF(V$7="Actual","",IFERROR((INDEX($M186:$Q186,,MATCH(V$4,$M$4:$Q$4,0))),0))</f>
        <v/>
      </c>
      <c r="W186" s="257">
        <f>IF(W$7="Actual","",IFERROR((INDEX($M186:$Q186,,MATCH(W$4,$M$4:$Q$4,0))),0))</f>
        <v/>
      </c>
      <c r="X186" s="257">
        <f>IF(X$7="Actual","",IFERROR((INDEX($M186:$Q186,,MATCH(X$4,$M$4:$Q$4,0))),0))</f>
        <v/>
      </c>
      <c r="Y186" s="257">
        <f>IF(Y$7="Actual","",IFERROR((INDEX($M186:$Q186,,MATCH(Y$4,$M$4:$Q$4,0))),0))</f>
        <v/>
      </c>
      <c r="Z186" s="257">
        <f>IF(Z$7="Actual","",IFERROR((INDEX($M186:$Q186,,MATCH(Z$4,$M$4:$Q$4,0))),0))</f>
        <v/>
      </c>
      <c r="AA186" s="257">
        <f>IF(AA$7="Actual","",IFERROR((INDEX($M186:$Q186,,MATCH(AA$4,$M$4:$Q$4,0))),0))</f>
        <v/>
      </c>
      <c r="AB186" s="257">
        <f>IF(AB$7="Actual","",IFERROR((INDEX($M186:$Q186,,MATCH(AB$4,$M$4:$Q$4,0))),0))</f>
        <v/>
      </c>
      <c r="AC186" s="257">
        <f>IF(AC$7="Actual","",IFERROR((INDEX($M186:$Q186,,MATCH(AC$4,$M$4:$Q$4,0))),0))</f>
        <v/>
      </c>
      <c r="AD186" s="257">
        <f>IF(AD$7="Actual","",IFERROR((INDEX($M186:$Q186,,MATCH(AD$4,$M$4:$Q$4,0))),0))</f>
        <v/>
      </c>
      <c r="AE186" s="257">
        <f>IF(AE$7="Actual","",IFERROR((INDEX($M186:$Q186,,MATCH(AE$4,$M$4:$Q$4,0))),0))</f>
        <v/>
      </c>
      <c r="AF186" s="257">
        <f>IF(AF$7="Actual","",IFERROR((INDEX($M186:$Q186,,MATCH(AF$4,$M$4:$Q$4,0))),0))</f>
        <v/>
      </c>
      <c r="AG186" s="257">
        <f>IF(AG$7="Actual","",IFERROR((INDEX($M186:$Q186,,MATCH(AG$4,$M$4:$Q$4,0))),0))</f>
        <v/>
      </c>
      <c r="AH186" s="257">
        <f>IF(AH$7="Actual","",IFERROR((INDEX($M186:$Q186,,MATCH(AH$4,$M$4:$Q$4,0))),0))</f>
        <v/>
      </c>
      <c r="AI186" s="257">
        <f>IF(AI$7="Actual","",IFERROR((INDEX($M186:$Q186,,MATCH(AI$4,$M$4:$Q$4,0))),0))</f>
        <v/>
      </c>
      <c r="AJ186" s="257">
        <f>IF(AJ$7="Actual","",IFERROR((INDEX($M186:$Q186,,MATCH(AJ$4,$M$4:$Q$4,0))),0))</f>
        <v/>
      </c>
      <c r="AK186" s="257">
        <f>IF(AK$7="Actual","",IFERROR((INDEX($M186:$Q186,,MATCH(AK$4,$M$4:$Q$4,0))),0))</f>
        <v/>
      </c>
      <c r="AL186" s="257">
        <f>IF(AL$7="Actual","",IFERROR((INDEX($M186:$Q186,,MATCH(AL$4,$M$4:$Q$4,0))),0))</f>
        <v/>
      </c>
      <c r="AM186" s="257">
        <f>IF(AM$7="Actual","",IFERROR((INDEX($M186:$Q186,,MATCH(AM$4,$M$4:$Q$4,0))),0))</f>
        <v/>
      </c>
      <c r="AN186" s="257">
        <f>IF(AN$7="Actual","",IFERROR((INDEX($M186:$Q186,,MATCH(AN$4,$M$4:$Q$4,0))),0))</f>
        <v/>
      </c>
      <c r="AO186" s="257">
        <f>IF(AO$7="Actual","",IFERROR((INDEX($M186:$Q186,,MATCH(AO$4,$M$4:$Q$4,0))),0))</f>
        <v/>
      </c>
      <c r="AP186" s="257">
        <f>IF(AP$7="Actual","",IFERROR((INDEX($M186:$Q186,,MATCH(AP$4,$M$4:$Q$4,0))),0))</f>
        <v/>
      </c>
      <c r="AQ186" s="257">
        <f>IF(AQ$7="Actual","",IFERROR((INDEX($M186:$Q186,,MATCH(AQ$4,$M$4:$Q$4,0))),0))</f>
        <v/>
      </c>
      <c r="AR186" s="257">
        <f>IF(AR$7="Actual","",IFERROR((INDEX($M186:$Q186,,MATCH(AR$4,$M$4:$Q$4,0))),0))</f>
        <v/>
      </c>
      <c r="AS186" s="257">
        <f>IF(AS$7="Actual","",IFERROR((INDEX($M186:$Q186,,MATCH(AS$4,$M$4:$Q$4,0))),0))</f>
        <v/>
      </c>
      <c r="AT186" s="257">
        <f>IF(AT$7="Actual","",IFERROR((INDEX($M186:$Q186,,MATCH(AT$4,$M$4:$Q$4,0))),0))</f>
        <v/>
      </c>
      <c r="AU186" s="257">
        <f>IF(AU$7="Actual","",IFERROR((INDEX($M186:$Q186,,MATCH(AU$4,$M$4:$Q$4,0))),0))</f>
        <v/>
      </c>
      <c r="AV186" s="257">
        <f>IF(AV$7="Actual","",IFERROR((INDEX($M186:$Q186,,MATCH(AV$4,$M$4:$Q$4,0))),0))</f>
        <v/>
      </c>
      <c r="AW186" s="257">
        <f>IF(AW$7="Actual","",IFERROR((INDEX($M186:$Q186,,MATCH(AW$4,$M$4:$Q$4,0))),0))</f>
        <v/>
      </c>
      <c r="AX186" s="257">
        <f>IF(AX$7="Actual","",IFERROR((INDEX($M186:$Q186,,MATCH(AX$4,$M$4:$Q$4,0))),0))</f>
        <v/>
      </c>
      <c r="AY186" s="257">
        <f>IF(AY$7="Actual","",IFERROR((INDEX($M186:$Q186,,MATCH(AY$4,$M$4:$Q$4,0))),0))</f>
        <v/>
      </c>
      <c r="AZ186" s="257">
        <f>IF(AZ$7="Actual","",IFERROR((INDEX($M186:$Q186,,MATCH(AZ$4,$M$4:$Q$4,0))),0))</f>
        <v/>
      </c>
      <c r="BA186" s="257">
        <f>IF(BA$7="Actual","",IFERROR((INDEX($M186:$Q186,,MATCH(BA$4,$M$4:$Q$4,0))),0))</f>
        <v/>
      </c>
      <c r="BB186" s="257">
        <f>IF(BB$7="Actual","",IFERROR((INDEX($M186:$Q186,,MATCH(BB$4,$M$4:$Q$4,0))),0))</f>
        <v/>
      </c>
      <c r="BC186" s="257">
        <f>IF(BC$7="Actual","",IFERROR((INDEX($M186:$Q186,,MATCH(BC$4,$M$4:$Q$4,0))),0))</f>
        <v/>
      </c>
      <c r="BD186" s="257">
        <f>IF(BD$7="Actual","",IFERROR((INDEX($M186:$Q186,,MATCH(BD$4,$M$4:$Q$4,0))),0))</f>
        <v/>
      </c>
      <c r="BE186" s="257">
        <f>IF(BE$7="Actual","",IFERROR((INDEX($M186:$Q186,,MATCH(BE$4,$M$4:$Q$4,0))),0))</f>
        <v/>
      </c>
      <c r="BF186" s="257">
        <f>IF(BF$7="Actual","",IFERROR((INDEX($M186:$Q186,,MATCH(BF$4,$M$4:$Q$4,0))),0))</f>
        <v/>
      </c>
      <c r="BG186" s="257">
        <f>IF(BG$7="Actual","",IFERROR((INDEX($M186:$Q186,,MATCH(BG$4,$M$4:$Q$4,0))),0))</f>
        <v/>
      </c>
      <c r="BH186" s="257">
        <f>IF(BH$7="Actual","",IFERROR((INDEX($M186:$Q186,,MATCH(BH$4,$M$4:$Q$4,0))),0))</f>
        <v/>
      </c>
      <c r="BI186" s="257">
        <f>IF(BI$7="Actual","",IFERROR((INDEX($M186:$Q186,,MATCH(BI$4,$M$4:$Q$4,0))),0))</f>
        <v/>
      </c>
      <c r="BJ186" s="257">
        <f>IF(BJ$7="Actual","",IFERROR((INDEX($M186:$Q186,,MATCH(BJ$4,$M$4:$Q$4,0))),0))</f>
        <v/>
      </c>
      <c r="BK186" s="257">
        <f>IF(BK$7="Actual","",IFERROR((INDEX($M186:$Q186,,MATCH(BK$4,$M$4:$Q$4,0))),0))</f>
        <v/>
      </c>
      <c r="BL186" s="257">
        <f>IF(BL$7="Actual","",IFERROR((INDEX($M186:$Q186,,MATCH(BL$4,$M$4:$Q$4,0))),0))</f>
        <v/>
      </c>
      <c r="BM186" s="257">
        <f>IF(BM$7="Actual","",IFERROR((INDEX($M186:$Q186,,MATCH(BM$4,$M$4:$Q$4,0))),0))</f>
        <v/>
      </c>
      <c r="BN186" s="257">
        <f>IF(BN$7="Actual","",IFERROR((INDEX($M186:$Q186,,MATCH(BN$4,$M$4:$Q$4,0))),0))</f>
        <v/>
      </c>
      <c r="BO186" s="257">
        <f>IF(BO$7="Actual","",IFERROR((INDEX($M186:$Q186,,MATCH(BO$4,$M$4:$Q$4,0))),0))</f>
        <v/>
      </c>
      <c r="BP186" s="257">
        <f>IF(BP$7="Actual","",IFERROR((INDEX($M186:$Q186,,MATCH(BP$4,$M$4:$Q$4,0))),0))</f>
        <v/>
      </c>
      <c r="BQ186" s="257">
        <f>IF(BQ$7="Actual","",IFERROR((INDEX($M186:$Q186,,MATCH(BQ$4,$M$4:$Q$4,0))),0))</f>
        <v/>
      </c>
      <c r="BR186" s="257">
        <f>IF(BR$7="Actual","",IFERROR((INDEX($M186:$Q186,,MATCH(BR$4,$M$4:$Q$4,0))),0))</f>
        <v/>
      </c>
      <c r="BS186" s="257">
        <f>IF(BS$7="Actual","",IFERROR((INDEX($M186:$Q186,,MATCH(BS$4,$M$4:$Q$4,0))),0))</f>
        <v/>
      </c>
      <c r="BT186" s="257">
        <f>IF(BT$7="Actual","",IFERROR((INDEX($M186:$Q186,,MATCH(BT$4,$M$4:$Q$4,0))),0))</f>
        <v/>
      </c>
      <c r="BU186" s="257">
        <f>IF(BU$7="Actual","",IFERROR((INDEX($M186:$Q186,,MATCH(BU$4,$M$4:$Q$4,0))),0))</f>
        <v/>
      </c>
      <c r="BV186" s="257">
        <f>IF(BV$7="Actual","",IFERROR((INDEX($M186:$Q186,,MATCH(BV$4,$M$4:$Q$4,0))),0))</f>
        <v/>
      </c>
      <c r="BW186" s="257">
        <f>IF(BW$7="Actual","",IFERROR((INDEX($M186:$Q186,,MATCH(BW$4,$M$4:$Q$4,0))),0))</f>
        <v/>
      </c>
      <c r="BX186" s="257">
        <f>IF(BX$7="Actual","",IFERROR((INDEX($M186:$Q186,,MATCH(BX$4,$M$4:$Q$4,0))),0))</f>
        <v/>
      </c>
      <c r="BY186" s="257">
        <f>IF(BY$7="Actual","",IFERROR((INDEX($M186:$Q186,,MATCH(BY$4,$M$4:$Q$4,0))),0))</f>
        <v/>
      </c>
      <c r="BZ186" s="257">
        <f>IF(BZ$7="Actual","",IFERROR((INDEX($M186:$Q186,,MATCH(BZ$4,$M$4:$Q$4,0))),0))</f>
        <v/>
      </c>
      <c r="CA186" s="257">
        <f>IF(CA$7="Actual","",IFERROR((INDEX($M186:$Q186,,MATCH(CA$4,$M$4:$Q$4,0))),0))</f>
        <v/>
      </c>
    </row>
    <row r="187" ht="12" customHeight="1" s="227">
      <c r="A187" s="244" t="n"/>
      <c r="B187" s="244" t="n"/>
      <c r="C187" s="244" t="n"/>
      <c r="H187" s="0">
        <f>H177</f>
        <v/>
      </c>
      <c r="I187" s="27">
        <f>i_Setup!$M$16</f>
        <v/>
      </c>
      <c r="K187" s="6" t="n"/>
      <c r="M187" s="257">
        <f>IF(M$7="Actual","",i_Assumptions!M360)</f>
        <v/>
      </c>
      <c r="N187" s="257">
        <f>IF(N$7="Actual","",i_Assumptions!N360)</f>
        <v/>
      </c>
      <c r="O187" s="257">
        <f>IF(O$7="Actual","",i_Assumptions!O360)</f>
        <v/>
      </c>
      <c r="P187" s="257">
        <f>IF(P$7="Actual","",i_Assumptions!P360)</f>
        <v/>
      </c>
      <c r="Q187" s="257">
        <f>IF(Q$7="Actual","",i_Assumptions!Q360)</f>
        <v/>
      </c>
      <c r="T187" s="257">
        <f>IF(T$7="Actual","",IFERROR((INDEX($M187:$Q187,,MATCH(T$4,$M$4:$Q$4,0))),0))</f>
        <v/>
      </c>
      <c r="U187" s="257">
        <f>IF(U$7="Actual","",IFERROR((INDEX($M187:$Q187,,MATCH(U$4,$M$4:$Q$4,0))),0))</f>
        <v/>
      </c>
      <c r="V187" s="257">
        <f>IF(V$7="Actual","",IFERROR((INDEX($M187:$Q187,,MATCH(V$4,$M$4:$Q$4,0))),0))</f>
        <v/>
      </c>
      <c r="W187" s="257">
        <f>IF(W$7="Actual","",IFERROR((INDEX($M187:$Q187,,MATCH(W$4,$M$4:$Q$4,0))),0))</f>
        <v/>
      </c>
      <c r="X187" s="257">
        <f>IF(X$7="Actual","",IFERROR((INDEX($M187:$Q187,,MATCH(X$4,$M$4:$Q$4,0))),0))</f>
        <v/>
      </c>
      <c r="Y187" s="257">
        <f>IF(Y$7="Actual","",IFERROR((INDEX($M187:$Q187,,MATCH(Y$4,$M$4:$Q$4,0))),0))</f>
        <v/>
      </c>
      <c r="Z187" s="257">
        <f>IF(Z$7="Actual","",IFERROR((INDEX($M187:$Q187,,MATCH(Z$4,$M$4:$Q$4,0))),0))</f>
        <v/>
      </c>
      <c r="AA187" s="257">
        <f>IF(AA$7="Actual","",IFERROR((INDEX($M187:$Q187,,MATCH(AA$4,$M$4:$Q$4,0))),0))</f>
        <v/>
      </c>
      <c r="AB187" s="257">
        <f>IF(AB$7="Actual","",IFERROR((INDEX($M187:$Q187,,MATCH(AB$4,$M$4:$Q$4,0))),0))</f>
        <v/>
      </c>
      <c r="AC187" s="257">
        <f>IF(AC$7="Actual","",IFERROR((INDEX($M187:$Q187,,MATCH(AC$4,$M$4:$Q$4,0))),0))</f>
        <v/>
      </c>
      <c r="AD187" s="257">
        <f>IF(AD$7="Actual","",IFERROR((INDEX($M187:$Q187,,MATCH(AD$4,$M$4:$Q$4,0))),0))</f>
        <v/>
      </c>
      <c r="AE187" s="257">
        <f>IF(AE$7="Actual","",IFERROR((INDEX($M187:$Q187,,MATCH(AE$4,$M$4:$Q$4,0))),0))</f>
        <v/>
      </c>
      <c r="AF187" s="257">
        <f>IF(AF$7="Actual","",IFERROR((INDEX($M187:$Q187,,MATCH(AF$4,$M$4:$Q$4,0))),0))</f>
        <v/>
      </c>
      <c r="AG187" s="257">
        <f>IF(AG$7="Actual","",IFERROR((INDEX($M187:$Q187,,MATCH(AG$4,$M$4:$Q$4,0))),0))</f>
        <v/>
      </c>
      <c r="AH187" s="257">
        <f>IF(AH$7="Actual","",IFERROR((INDEX($M187:$Q187,,MATCH(AH$4,$M$4:$Q$4,0))),0))</f>
        <v/>
      </c>
      <c r="AI187" s="257">
        <f>IF(AI$7="Actual","",IFERROR((INDEX($M187:$Q187,,MATCH(AI$4,$M$4:$Q$4,0))),0))</f>
        <v/>
      </c>
      <c r="AJ187" s="257">
        <f>IF(AJ$7="Actual","",IFERROR((INDEX($M187:$Q187,,MATCH(AJ$4,$M$4:$Q$4,0))),0))</f>
        <v/>
      </c>
      <c r="AK187" s="257">
        <f>IF(AK$7="Actual","",IFERROR((INDEX($M187:$Q187,,MATCH(AK$4,$M$4:$Q$4,0))),0))</f>
        <v/>
      </c>
      <c r="AL187" s="257">
        <f>IF(AL$7="Actual","",IFERROR((INDEX($M187:$Q187,,MATCH(AL$4,$M$4:$Q$4,0))),0))</f>
        <v/>
      </c>
      <c r="AM187" s="257">
        <f>IF(AM$7="Actual","",IFERROR((INDEX($M187:$Q187,,MATCH(AM$4,$M$4:$Q$4,0))),0))</f>
        <v/>
      </c>
      <c r="AN187" s="257">
        <f>IF(AN$7="Actual","",IFERROR((INDEX($M187:$Q187,,MATCH(AN$4,$M$4:$Q$4,0))),0))</f>
        <v/>
      </c>
      <c r="AO187" s="257">
        <f>IF(AO$7="Actual","",IFERROR((INDEX($M187:$Q187,,MATCH(AO$4,$M$4:$Q$4,0))),0))</f>
        <v/>
      </c>
      <c r="AP187" s="257">
        <f>IF(AP$7="Actual","",IFERROR((INDEX($M187:$Q187,,MATCH(AP$4,$M$4:$Q$4,0))),0))</f>
        <v/>
      </c>
      <c r="AQ187" s="257">
        <f>IF(AQ$7="Actual","",IFERROR((INDEX($M187:$Q187,,MATCH(AQ$4,$M$4:$Q$4,0))),0))</f>
        <v/>
      </c>
      <c r="AR187" s="257">
        <f>IF(AR$7="Actual","",IFERROR((INDEX($M187:$Q187,,MATCH(AR$4,$M$4:$Q$4,0))),0))</f>
        <v/>
      </c>
      <c r="AS187" s="257">
        <f>IF(AS$7="Actual","",IFERROR((INDEX($M187:$Q187,,MATCH(AS$4,$M$4:$Q$4,0))),0))</f>
        <v/>
      </c>
      <c r="AT187" s="257">
        <f>IF(AT$7="Actual","",IFERROR((INDEX($M187:$Q187,,MATCH(AT$4,$M$4:$Q$4,0))),0))</f>
        <v/>
      </c>
      <c r="AU187" s="257">
        <f>IF(AU$7="Actual","",IFERROR((INDEX($M187:$Q187,,MATCH(AU$4,$M$4:$Q$4,0))),0))</f>
        <v/>
      </c>
      <c r="AV187" s="257">
        <f>IF(AV$7="Actual","",IFERROR((INDEX($M187:$Q187,,MATCH(AV$4,$M$4:$Q$4,0))),0))</f>
        <v/>
      </c>
      <c r="AW187" s="257">
        <f>IF(AW$7="Actual","",IFERROR((INDEX($M187:$Q187,,MATCH(AW$4,$M$4:$Q$4,0))),0))</f>
        <v/>
      </c>
      <c r="AX187" s="257">
        <f>IF(AX$7="Actual","",IFERROR((INDEX($M187:$Q187,,MATCH(AX$4,$M$4:$Q$4,0))),0))</f>
        <v/>
      </c>
      <c r="AY187" s="257">
        <f>IF(AY$7="Actual","",IFERROR((INDEX($M187:$Q187,,MATCH(AY$4,$M$4:$Q$4,0))),0))</f>
        <v/>
      </c>
      <c r="AZ187" s="257">
        <f>IF(AZ$7="Actual","",IFERROR((INDEX($M187:$Q187,,MATCH(AZ$4,$M$4:$Q$4,0))),0))</f>
        <v/>
      </c>
      <c r="BA187" s="257">
        <f>IF(BA$7="Actual","",IFERROR((INDEX($M187:$Q187,,MATCH(BA$4,$M$4:$Q$4,0))),0))</f>
        <v/>
      </c>
      <c r="BB187" s="257">
        <f>IF(BB$7="Actual","",IFERROR((INDEX($M187:$Q187,,MATCH(BB$4,$M$4:$Q$4,0))),0))</f>
        <v/>
      </c>
      <c r="BC187" s="257">
        <f>IF(BC$7="Actual","",IFERROR((INDEX($M187:$Q187,,MATCH(BC$4,$M$4:$Q$4,0))),0))</f>
        <v/>
      </c>
      <c r="BD187" s="257">
        <f>IF(BD$7="Actual","",IFERROR((INDEX($M187:$Q187,,MATCH(BD$4,$M$4:$Q$4,0))),0))</f>
        <v/>
      </c>
      <c r="BE187" s="257">
        <f>IF(BE$7="Actual","",IFERROR((INDEX($M187:$Q187,,MATCH(BE$4,$M$4:$Q$4,0))),0))</f>
        <v/>
      </c>
      <c r="BF187" s="257">
        <f>IF(BF$7="Actual","",IFERROR((INDEX($M187:$Q187,,MATCH(BF$4,$M$4:$Q$4,0))),0))</f>
        <v/>
      </c>
      <c r="BG187" s="257">
        <f>IF(BG$7="Actual","",IFERROR((INDEX($M187:$Q187,,MATCH(BG$4,$M$4:$Q$4,0))),0))</f>
        <v/>
      </c>
      <c r="BH187" s="257">
        <f>IF(BH$7="Actual","",IFERROR((INDEX($M187:$Q187,,MATCH(BH$4,$M$4:$Q$4,0))),0))</f>
        <v/>
      </c>
      <c r="BI187" s="257">
        <f>IF(BI$7="Actual","",IFERROR((INDEX($M187:$Q187,,MATCH(BI$4,$M$4:$Q$4,0))),0))</f>
        <v/>
      </c>
      <c r="BJ187" s="257">
        <f>IF(BJ$7="Actual","",IFERROR((INDEX($M187:$Q187,,MATCH(BJ$4,$M$4:$Q$4,0))),0))</f>
        <v/>
      </c>
      <c r="BK187" s="257">
        <f>IF(BK$7="Actual","",IFERROR((INDEX($M187:$Q187,,MATCH(BK$4,$M$4:$Q$4,0))),0))</f>
        <v/>
      </c>
      <c r="BL187" s="257">
        <f>IF(BL$7="Actual","",IFERROR((INDEX($M187:$Q187,,MATCH(BL$4,$M$4:$Q$4,0))),0))</f>
        <v/>
      </c>
      <c r="BM187" s="257">
        <f>IF(BM$7="Actual","",IFERROR((INDEX($M187:$Q187,,MATCH(BM$4,$M$4:$Q$4,0))),0))</f>
        <v/>
      </c>
      <c r="BN187" s="257">
        <f>IF(BN$7="Actual","",IFERROR((INDEX($M187:$Q187,,MATCH(BN$4,$M$4:$Q$4,0))),0))</f>
        <v/>
      </c>
      <c r="BO187" s="257">
        <f>IF(BO$7="Actual","",IFERROR((INDEX($M187:$Q187,,MATCH(BO$4,$M$4:$Q$4,0))),0))</f>
        <v/>
      </c>
      <c r="BP187" s="257">
        <f>IF(BP$7="Actual","",IFERROR((INDEX($M187:$Q187,,MATCH(BP$4,$M$4:$Q$4,0))),0))</f>
        <v/>
      </c>
      <c r="BQ187" s="257">
        <f>IF(BQ$7="Actual","",IFERROR((INDEX($M187:$Q187,,MATCH(BQ$4,$M$4:$Q$4,0))),0))</f>
        <v/>
      </c>
      <c r="BR187" s="257">
        <f>IF(BR$7="Actual","",IFERROR((INDEX($M187:$Q187,,MATCH(BR$4,$M$4:$Q$4,0))),0))</f>
        <v/>
      </c>
      <c r="BS187" s="257">
        <f>IF(BS$7="Actual","",IFERROR((INDEX($M187:$Q187,,MATCH(BS$4,$M$4:$Q$4,0))),0))</f>
        <v/>
      </c>
      <c r="BT187" s="257">
        <f>IF(BT$7="Actual","",IFERROR((INDEX($M187:$Q187,,MATCH(BT$4,$M$4:$Q$4,0))),0))</f>
        <v/>
      </c>
      <c r="BU187" s="257">
        <f>IF(BU$7="Actual","",IFERROR((INDEX($M187:$Q187,,MATCH(BU$4,$M$4:$Q$4,0))),0))</f>
        <v/>
      </c>
      <c r="BV187" s="257">
        <f>IF(BV$7="Actual","",IFERROR((INDEX($M187:$Q187,,MATCH(BV$4,$M$4:$Q$4,0))),0))</f>
        <v/>
      </c>
      <c r="BW187" s="257">
        <f>IF(BW$7="Actual","",IFERROR((INDEX($M187:$Q187,,MATCH(BW$4,$M$4:$Q$4,0))),0))</f>
        <v/>
      </c>
      <c r="BX187" s="257">
        <f>IF(BX$7="Actual","",IFERROR((INDEX($M187:$Q187,,MATCH(BX$4,$M$4:$Q$4,0))),0))</f>
        <v/>
      </c>
      <c r="BY187" s="257">
        <f>IF(BY$7="Actual","",IFERROR((INDEX($M187:$Q187,,MATCH(BY$4,$M$4:$Q$4,0))),0))</f>
        <v/>
      </c>
      <c r="BZ187" s="257">
        <f>IF(BZ$7="Actual","",IFERROR((INDEX($M187:$Q187,,MATCH(BZ$4,$M$4:$Q$4,0))),0))</f>
        <v/>
      </c>
      <c r="CA187" s="257">
        <f>IF(CA$7="Actual","",IFERROR((INDEX($M187:$Q187,,MATCH(CA$4,$M$4:$Q$4,0))),0))</f>
        <v/>
      </c>
    </row>
    <row r="188" ht="12" customHeight="1" s="227">
      <c r="A188" s="244" t="n"/>
      <c r="B188" s="244" t="n"/>
      <c r="C188" s="244" t="n"/>
      <c r="H188" s="0">
        <f>H178</f>
        <v/>
      </c>
      <c r="I188" s="27">
        <f>i_Setup!$M$16</f>
        <v/>
      </c>
      <c r="K188" s="6" t="n"/>
      <c r="M188" s="257">
        <f>IF(M$7="Actual","",i_Assumptions!M361)</f>
        <v/>
      </c>
      <c r="N188" s="257">
        <f>IF(N$7="Actual","",i_Assumptions!N361)</f>
        <v/>
      </c>
      <c r="O188" s="257">
        <f>IF(O$7="Actual","",i_Assumptions!O361)</f>
        <v/>
      </c>
      <c r="P188" s="257">
        <f>IF(P$7="Actual","",i_Assumptions!P361)</f>
        <v/>
      </c>
      <c r="Q188" s="257">
        <f>IF(Q$7="Actual","",i_Assumptions!Q361)</f>
        <v/>
      </c>
      <c r="T188" s="257">
        <f>IF(T$7="Actual","",IFERROR((INDEX($M188:$Q188,,MATCH(T$4,$M$4:$Q$4,0))),0))</f>
        <v/>
      </c>
      <c r="U188" s="257">
        <f>IF(U$7="Actual","",IFERROR((INDEX($M188:$Q188,,MATCH(U$4,$M$4:$Q$4,0))),0))</f>
        <v/>
      </c>
      <c r="V188" s="257">
        <f>IF(V$7="Actual","",IFERROR((INDEX($M188:$Q188,,MATCH(V$4,$M$4:$Q$4,0))),0))</f>
        <v/>
      </c>
      <c r="W188" s="257">
        <f>IF(W$7="Actual","",IFERROR((INDEX($M188:$Q188,,MATCH(W$4,$M$4:$Q$4,0))),0))</f>
        <v/>
      </c>
      <c r="X188" s="257">
        <f>IF(X$7="Actual","",IFERROR((INDEX($M188:$Q188,,MATCH(X$4,$M$4:$Q$4,0))),0))</f>
        <v/>
      </c>
      <c r="Y188" s="257">
        <f>IF(Y$7="Actual","",IFERROR((INDEX($M188:$Q188,,MATCH(Y$4,$M$4:$Q$4,0))),0))</f>
        <v/>
      </c>
      <c r="Z188" s="257">
        <f>IF(Z$7="Actual","",IFERROR((INDEX($M188:$Q188,,MATCH(Z$4,$M$4:$Q$4,0))),0))</f>
        <v/>
      </c>
      <c r="AA188" s="257">
        <f>IF(AA$7="Actual","",IFERROR((INDEX($M188:$Q188,,MATCH(AA$4,$M$4:$Q$4,0))),0))</f>
        <v/>
      </c>
      <c r="AB188" s="257">
        <f>IF(AB$7="Actual","",IFERROR((INDEX($M188:$Q188,,MATCH(AB$4,$M$4:$Q$4,0))),0))</f>
        <v/>
      </c>
      <c r="AC188" s="257">
        <f>IF(AC$7="Actual","",IFERROR((INDEX($M188:$Q188,,MATCH(AC$4,$M$4:$Q$4,0))),0))</f>
        <v/>
      </c>
      <c r="AD188" s="257">
        <f>IF(AD$7="Actual","",IFERROR((INDEX($M188:$Q188,,MATCH(AD$4,$M$4:$Q$4,0))),0))</f>
        <v/>
      </c>
      <c r="AE188" s="257">
        <f>IF(AE$7="Actual","",IFERROR((INDEX($M188:$Q188,,MATCH(AE$4,$M$4:$Q$4,0))),0))</f>
        <v/>
      </c>
      <c r="AF188" s="257">
        <f>IF(AF$7="Actual","",IFERROR((INDEX($M188:$Q188,,MATCH(AF$4,$M$4:$Q$4,0))),0))</f>
        <v/>
      </c>
      <c r="AG188" s="257">
        <f>IF(AG$7="Actual","",IFERROR((INDEX($M188:$Q188,,MATCH(AG$4,$M$4:$Q$4,0))),0))</f>
        <v/>
      </c>
      <c r="AH188" s="257">
        <f>IF(AH$7="Actual","",IFERROR((INDEX($M188:$Q188,,MATCH(AH$4,$M$4:$Q$4,0))),0))</f>
        <v/>
      </c>
      <c r="AI188" s="257">
        <f>IF(AI$7="Actual","",IFERROR((INDEX($M188:$Q188,,MATCH(AI$4,$M$4:$Q$4,0))),0))</f>
        <v/>
      </c>
      <c r="AJ188" s="257">
        <f>IF(AJ$7="Actual","",IFERROR((INDEX($M188:$Q188,,MATCH(AJ$4,$M$4:$Q$4,0))),0))</f>
        <v/>
      </c>
      <c r="AK188" s="257">
        <f>IF(AK$7="Actual","",IFERROR((INDEX($M188:$Q188,,MATCH(AK$4,$M$4:$Q$4,0))),0))</f>
        <v/>
      </c>
      <c r="AL188" s="257">
        <f>IF(AL$7="Actual","",IFERROR((INDEX($M188:$Q188,,MATCH(AL$4,$M$4:$Q$4,0))),0))</f>
        <v/>
      </c>
      <c r="AM188" s="257">
        <f>IF(AM$7="Actual","",IFERROR((INDEX($M188:$Q188,,MATCH(AM$4,$M$4:$Q$4,0))),0))</f>
        <v/>
      </c>
      <c r="AN188" s="257">
        <f>IF(AN$7="Actual","",IFERROR((INDEX($M188:$Q188,,MATCH(AN$4,$M$4:$Q$4,0))),0))</f>
        <v/>
      </c>
      <c r="AO188" s="257">
        <f>IF(AO$7="Actual","",IFERROR((INDEX($M188:$Q188,,MATCH(AO$4,$M$4:$Q$4,0))),0))</f>
        <v/>
      </c>
      <c r="AP188" s="257">
        <f>IF(AP$7="Actual","",IFERROR((INDEX($M188:$Q188,,MATCH(AP$4,$M$4:$Q$4,0))),0))</f>
        <v/>
      </c>
      <c r="AQ188" s="257">
        <f>IF(AQ$7="Actual","",IFERROR((INDEX($M188:$Q188,,MATCH(AQ$4,$M$4:$Q$4,0))),0))</f>
        <v/>
      </c>
      <c r="AR188" s="257">
        <f>IF(AR$7="Actual","",IFERROR((INDEX($M188:$Q188,,MATCH(AR$4,$M$4:$Q$4,0))),0))</f>
        <v/>
      </c>
      <c r="AS188" s="257">
        <f>IF(AS$7="Actual","",IFERROR((INDEX($M188:$Q188,,MATCH(AS$4,$M$4:$Q$4,0))),0))</f>
        <v/>
      </c>
      <c r="AT188" s="257">
        <f>IF(AT$7="Actual","",IFERROR((INDEX($M188:$Q188,,MATCH(AT$4,$M$4:$Q$4,0))),0))</f>
        <v/>
      </c>
      <c r="AU188" s="257">
        <f>IF(AU$7="Actual","",IFERROR((INDEX($M188:$Q188,,MATCH(AU$4,$M$4:$Q$4,0))),0))</f>
        <v/>
      </c>
      <c r="AV188" s="257">
        <f>IF(AV$7="Actual","",IFERROR((INDEX($M188:$Q188,,MATCH(AV$4,$M$4:$Q$4,0))),0))</f>
        <v/>
      </c>
      <c r="AW188" s="257">
        <f>IF(AW$7="Actual","",IFERROR((INDEX($M188:$Q188,,MATCH(AW$4,$M$4:$Q$4,0))),0))</f>
        <v/>
      </c>
      <c r="AX188" s="257">
        <f>IF(AX$7="Actual","",IFERROR((INDEX($M188:$Q188,,MATCH(AX$4,$M$4:$Q$4,0))),0))</f>
        <v/>
      </c>
      <c r="AY188" s="257">
        <f>IF(AY$7="Actual","",IFERROR((INDEX($M188:$Q188,,MATCH(AY$4,$M$4:$Q$4,0))),0))</f>
        <v/>
      </c>
      <c r="AZ188" s="257">
        <f>IF(AZ$7="Actual","",IFERROR((INDEX($M188:$Q188,,MATCH(AZ$4,$M$4:$Q$4,0))),0))</f>
        <v/>
      </c>
      <c r="BA188" s="257">
        <f>IF(BA$7="Actual","",IFERROR((INDEX($M188:$Q188,,MATCH(BA$4,$M$4:$Q$4,0))),0))</f>
        <v/>
      </c>
      <c r="BB188" s="257">
        <f>IF(BB$7="Actual","",IFERROR((INDEX($M188:$Q188,,MATCH(BB$4,$M$4:$Q$4,0))),0))</f>
        <v/>
      </c>
      <c r="BC188" s="257">
        <f>IF(BC$7="Actual","",IFERROR((INDEX($M188:$Q188,,MATCH(BC$4,$M$4:$Q$4,0))),0))</f>
        <v/>
      </c>
      <c r="BD188" s="257">
        <f>IF(BD$7="Actual","",IFERROR((INDEX($M188:$Q188,,MATCH(BD$4,$M$4:$Q$4,0))),0))</f>
        <v/>
      </c>
      <c r="BE188" s="257">
        <f>IF(BE$7="Actual","",IFERROR((INDEX($M188:$Q188,,MATCH(BE$4,$M$4:$Q$4,0))),0))</f>
        <v/>
      </c>
      <c r="BF188" s="257">
        <f>IF(BF$7="Actual","",IFERROR((INDEX($M188:$Q188,,MATCH(BF$4,$M$4:$Q$4,0))),0))</f>
        <v/>
      </c>
      <c r="BG188" s="257">
        <f>IF(BG$7="Actual","",IFERROR((INDEX($M188:$Q188,,MATCH(BG$4,$M$4:$Q$4,0))),0))</f>
        <v/>
      </c>
      <c r="BH188" s="257">
        <f>IF(BH$7="Actual","",IFERROR((INDEX($M188:$Q188,,MATCH(BH$4,$M$4:$Q$4,0))),0))</f>
        <v/>
      </c>
      <c r="BI188" s="257">
        <f>IF(BI$7="Actual","",IFERROR((INDEX($M188:$Q188,,MATCH(BI$4,$M$4:$Q$4,0))),0))</f>
        <v/>
      </c>
      <c r="BJ188" s="257">
        <f>IF(BJ$7="Actual","",IFERROR((INDEX($M188:$Q188,,MATCH(BJ$4,$M$4:$Q$4,0))),0))</f>
        <v/>
      </c>
      <c r="BK188" s="257">
        <f>IF(BK$7="Actual","",IFERROR((INDEX($M188:$Q188,,MATCH(BK$4,$M$4:$Q$4,0))),0))</f>
        <v/>
      </c>
      <c r="BL188" s="257">
        <f>IF(BL$7="Actual","",IFERROR((INDEX($M188:$Q188,,MATCH(BL$4,$M$4:$Q$4,0))),0))</f>
        <v/>
      </c>
      <c r="BM188" s="257">
        <f>IF(BM$7="Actual","",IFERROR((INDEX($M188:$Q188,,MATCH(BM$4,$M$4:$Q$4,0))),0))</f>
        <v/>
      </c>
      <c r="BN188" s="257">
        <f>IF(BN$7="Actual","",IFERROR((INDEX($M188:$Q188,,MATCH(BN$4,$M$4:$Q$4,0))),0))</f>
        <v/>
      </c>
      <c r="BO188" s="257">
        <f>IF(BO$7="Actual","",IFERROR((INDEX($M188:$Q188,,MATCH(BO$4,$M$4:$Q$4,0))),0))</f>
        <v/>
      </c>
      <c r="BP188" s="257">
        <f>IF(BP$7="Actual","",IFERROR((INDEX($M188:$Q188,,MATCH(BP$4,$M$4:$Q$4,0))),0))</f>
        <v/>
      </c>
      <c r="BQ188" s="257">
        <f>IF(BQ$7="Actual","",IFERROR((INDEX($M188:$Q188,,MATCH(BQ$4,$M$4:$Q$4,0))),0))</f>
        <v/>
      </c>
      <c r="BR188" s="257">
        <f>IF(BR$7="Actual","",IFERROR((INDEX($M188:$Q188,,MATCH(BR$4,$M$4:$Q$4,0))),0))</f>
        <v/>
      </c>
      <c r="BS188" s="257">
        <f>IF(BS$7="Actual","",IFERROR((INDEX($M188:$Q188,,MATCH(BS$4,$M$4:$Q$4,0))),0))</f>
        <v/>
      </c>
      <c r="BT188" s="257">
        <f>IF(BT$7="Actual","",IFERROR((INDEX($M188:$Q188,,MATCH(BT$4,$M$4:$Q$4,0))),0))</f>
        <v/>
      </c>
      <c r="BU188" s="257">
        <f>IF(BU$7="Actual","",IFERROR((INDEX($M188:$Q188,,MATCH(BU$4,$M$4:$Q$4,0))),0))</f>
        <v/>
      </c>
      <c r="BV188" s="257">
        <f>IF(BV$7="Actual","",IFERROR((INDEX($M188:$Q188,,MATCH(BV$4,$M$4:$Q$4,0))),0))</f>
        <v/>
      </c>
      <c r="BW188" s="257">
        <f>IF(BW$7="Actual","",IFERROR((INDEX($M188:$Q188,,MATCH(BW$4,$M$4:$Q$4,0))),0))</f>
        <v/>
      </c>
      <c r="BX188" s="257">
        <f>IF(BX$7="Actual","",IFERROR((INDEX($M188:$Q188,,MATCH(BX$4,$M$4:$Q$4,0))),0))</f>
        <v/>
      </c>
      <c r="BY188" s="257">
        <f>IF(BY$7="Actual","",IFERROR((INDEX($M188:$Q188,,MATCH(BY$4,$M$4:$Q$4,0))),0))</f>
        <v/>
      </c>
      <c r="BZ188" s="257">
        <f>IF(BZ$7="Actual","",IFERROR((INDEX($M188:$Q188,,MATCH(BZ$4,$M$4:$Q$4,0))),0))</f>
        <v/>
      </c>
      <c r="CA188" s="257">
        <f>IF(CA$7="Actual","",IFERROR((INDEX($M188:$Q188,,MATCH(CA$4,$M$4:$Q$4,0))),0))</f>
        <v/>
      </c>
    </row>
    <row r="189" ht="12" customHeight="1" s="227">
      <c r="A189" s="244" t="n"/>
      <c r="B189" s="244" t="n"/>
      <c r="C189" s="244" t="n"/>
      <c r="H189" s="0">
        <f>H179</f>
        <v/>
      </c>
      <c r="I189" s="27">
        <f>i_Setup!$M$16</f>
        <v/>
      </c>
      <c r="K189" s="6" t="n"/>
      <c r="M189" s="257">
        <f>IF(M$7="Actual","",i_Assumptions!M362)</f>
        <v/>
      </c>
      <c r="N189" s="257">
        <f>IF(N$7="Actual","",i_Assumptions!N362)</f>
        <v/>
      </c>
      <c r="O189" s="257">
        <f>IF(O$7="Actual","",i_Assumptions!O362)</f>
        <v/>
      </c>
      <c r="P189" s="257">
        <f>IF(P$7="Actual","",i_Assumptions!P362)</f>
        <v/>
      </c>
      <c r="Q189" s="257">
        <f>IF(Q$7="Actual","",i_Assumptions!Q362)</f>
        <v/>
      </c>
      <c r="T189" s="257">
        <f>IF(T$7="Actual","",IFERROR((INDEX($M189:$Q189,,MATCH(T$4,$M$4:$Q$4,0))),0))</f>
        <v/>
      </c>
      <c r="U189" s="257">
        <f>IF(U$7="Actual","",IFERROR((INDEX($M189:$Q189,,MATCH(U$4,$M$4:$Q$4,0))),0))</f>
        <v/>
      </c>
      <c r="V189" s="257">
        <f>IF(V$7="Actual","",IFERROR((INDEX($M189:$Q189,,MATCH(V$4,$M$4:$Q$4,0))),0))</f>
        <v/>
      </c>
      <c r="W189" s="257">
        <f>IF(W$7="Actual","",IFERROR((INDEX($M189:$Q189,,MATCH(W$4,$M$4:$Q$4,0))),0))</f>
        <v/>
      </c>
      <c r="X189" s="257">
        <f>IF(X$7="Actual","",IFERROR((INDEX($M189:$Q189,,MATCH(X$4,$M$4:$Q$4,0))),0))</f>
        <v/>
      </c>
      <c r="Y189" s="257">
        <f>IF(Y$7="Actual","",IFERROR((INDEX($M189:$Q189,,MATCH(Y$4,$M$4:$Q$4,0))),0))</f>
        <v/>
      </c>
      <c r="Z189" s="257">
        <f>IF(Z$7="Actual","",IFERROR((INDEX($M189:$Q189,,MATCH(Z$4,$M$4:$Q$4,0))),0))</f>
        <v/>
      </c>
      <c r="AA189" s="257">
        <f>IF(AA$7="Actual","",IFERROR((INDEX($M189:$Q189,,MATCH(AA$4,$M$4:$Q$4,0))),0))</f>
        <v/>
      </c>
      <c r="AB189" s="257">
        <f>IF(AB$7="Actual","",IFERROR((INDEX($M189:$Q189,,MATCH(AB$4,$M$4:$Q$4,0))),0))</f>
        <v/>
      </c>
      <c r="AC189" s="257">
        <f>IF(AC$7="Actual","",IFERROR((INDEX($M189:$Q189,,MATCH(AC$4,$M$4:$Q$4,0))),0))</f>
        <v/>
      </c>
      <c r="AD189" s="257">
        <f>IF(AD$7="Actual","",IFERROR((INDEX($M189:$Q189,,MATCH(AD$4,$M$4:$Q$4,0))),0))</f>
        <v/>
      </c>
      <c r="AE189" s="257">
        <f>IF(AE$7="Actual","",IFERROR((INDEX($M189:$Q189,,MATCH(AE$4,$M$4:$Q$4,0))),0))</f>
        <v/>
      </c>
      <c r="AF189" s="257">
        <f>IF(AF$7="Actual","",IFERROR((INDEX($M189:$Q189,,MATCH(AF$4,$M$4:$Q$4,0))),0))</f>
        <v/>
      </c>
      <c r="AG189" s="257">
        <f>IF(AG$7="Actual","",IFERROR((INDEX($M189:$Q189,,MATCH(AG$4,$M$4:$Q$4,0))),0))</f>
        <v/>
      </c>
      <c r="AH189" s="257">
        <f>IF(AH$7="Actual","",IFERROR((INDEX($M189:$Q189,,MATCH(AH$4,$M$4:$Q$4,0))),0))</f>
        <v/>
      </c>
      <c r="AI189" s="257">
        <f>IF(AI$7="Actual","",IFERROR((INDEX($M189:$Q189,,MATCH(AI$4,$M$4:$Q$4,0))),0))</f>
        <v/>
      </c>
      <c r="AJ189" s="257">
        <f>IF(AJ$7="Actual","",IFERROR((INDEX($M189:$Q189,,MATCH(AJ$4,$M$4:$Q$4,0))),0))</f>
        <v/>
      </c>
      <c r="AK189" s="257">
        <f>IF(AK$7="Actual","",IFERROR((INDEX($M189:$Q189,,MATCH(AK$4,$M$4:$Q$4,0))),0))</f>
        <v/>
      </c>
      <c r="AL189" s="257">
        <f>IF(AL$7="Actual","",IFERROR((INDEX($M189:$Q189,,MATCH(AL$4,$M$4:$Q$4,0))),0))</f>
        <v/>
      </c>
      <c r="AM189" s="257">
        <f>IF(AM$7="Actual","",IFERROR((INDEX($M189:$Q189,,MATCH(AM$4,$M$4:$Q$4,0))),0))</f>
        <v/>
      </c>
      <c r="AN189" s="257">
        <f>IF(AN$7="Actual","",IFERROR((INDEX($M189:$Q189,,MATCH(AN$4,$M$4:$Q$4,0))),0))</f>
        <v/>
      </c>
      <c r="AO189" s="257">
        <f>IF(AO$7="Actual","",IFERROR((INDEX($M189:$Q189,,MATCH(AO$4,$M$4:$Q$4,0))),0))</f>
        <v/>
      </c>
      <c r="AP189" s="257">
        <f>IF(AP$7="Actual","",IFERROR((INDEX($M189:$Q189,,MATCH(AP$4,$M$4:$Q$4,0))),0))</f>
        <v/>
      </c>
      <c r="AQ189" s="257">
        <f>IF(AQ$7="Actual","",IFERROR((INDEX($M189:$Q189,,MATCH(AQ$4,$M$4:$Q$4,0))),0))</f>
        <v/>
      </c>
      <c r="AR189" s="257">
        <f>IF(AR$7="Actual","",IFERROR((INDEX($M189:$Q189,,MATCH(AR$4,$M$4:$Q$4,0))),0))</f>
        <v/>
      </c>
      <c r="AS189" s="257">
        <f>IF(AS$7="Actual","",IFERROR((INDEX($M189:$Q189,,MATCH(AS$4,$M$4:$Q$4,0))),0))</f>
        <v/>
      </c>
      <c r="AT189" s="257">
        <f>IF(AT$7="Actual","",IFERROR((INDEX($M189:$Q189,,MATCH(AT$4,$M$4:$Q$4,0))),0))</f>
        <v/>
      </c>
      <c r="AU189" s="257">
        <f>IF(AU$7="Actual","",IFERROR((INDEX($M189:$Q189,,MATCH(AU$4,$M$4:$Q$4,0))),0))</f>
        <v/>
      </c>
      <c r="AV189" s="257">
        <f>IF(AV$7="Actual","",IFERROR((INDEX($M189:$Q189,,MATCH(AV$4,$M$4:$Q$4,0))),0))</f>
        <v/>
      </c>
      <c r="AW189" s="257">
        <f>IF(AW$7="Actual","",IFERROR((INDEX($M189:$Q189,,MATCH(AW$4,$M$4:$Q$4,0))),0))</f>
        <v/>
      </c>
      <c r="AX189" s="257">
        <f>IF(AX$7="Actual","",IFERROR((INDEX($M189:$Q189,,MATCH(AX$4,$M$4:$Q$4,0))),0))</f>
        <v/>
      </c>
      <c r="AY189" s="257">
        <f>IF(AY$7="Actual","",IFERROR((INDEX($M189:$Q189,,MATCH(AY$4,$M$4:$Q$4,0))),0))</f>
        <v/>
      </c>
      <c r="AZ189" s="257">
        <f>IF(AZ$7="Actual","",IFERROR((INDEX($M189:$Q189,,MATCH(AZ$4,$M$4:$Q$4,0))),0))</f>
        <v/>
      </c>
      <c r="BA189" s="257">
        <f>IF(BA$7="Actual","",IFERROR((INDEX($M189:$Q189,,MATCH(BA$4,$M$4:$Q$4,0))),0))</f>
        <v/>
      </c>
      <c r="BB189" s="257">
        <f>IF(BB$7="Actual","",IFERROR((INDEX($M189:$Q189,,MATCH(BB$4,$M$4:$Q$4,0))),0))</f>
        <v/>
      </c>
      <c r="BC189" s="257">
        <f>IF(BC$7="Actual","",IFERROR((INDEX($M189:$Q189,,MATCH(BC$4,$M$4:$Q$4,0))),0))</f>
        <v/>
      </c>
      <c r="BD189" s="257">
        <f>IF(BD$7="Actual","",IFERROR((INDEX($M189:$Q189,,MATCH(BD$4,$M$4:$Q$4,0))),0))</f>
        <v/>
      </c>
      <c r="BE189" s="257">
        <f>IF(BE$7="Actual","",IFERROR((INDEX($M189:$Q189,,MATCH(BE$4,$M$4:$Q$4,0))),0))</f>
        <v/>
      </c>
      <c r="BF189" s="257">
        <f>IF(BF$7="Actual","",IFERROR((INDEX($M189:$Q189,,MATCH(BF$4,$M$4:$Q$4,0))),0))</f>
        <v/>
      </c>
      <c r="BG189" s="257">
        <f>IF(BG$7="Actual","",IFERROR((INDEX($M189:$Q189,,MATCH(BG$4,$M$4:$Q$4,0))),0))</f>
        <v/>
      </c>
      <c r="BH189" s="257">
        <f>IF(BH$7="Actual","",IFERROR((INDEX($M189:$Q189,,MATCH(BH$4,$M$4:$Q$4,0))),0))</f>
        <v/>
      </c>
      <c r="BI189" s="257">
        <f>IF(BI$7="Actual","",IFERROR((INDEX($M189:$Q189,,MATCH(BI$4,$M$4:$Q$4,0))),0))</f>
        <v/>
      </c>
      <c r="BJ189" s="257">
        <f>IF(BJ$7="Actual","",IFERROR((INDEX($M189:$Q189,,MATCH(BJ$4,$M$4:$Q$4,0))),0))</f>
        <v/>
      </c>
      <c r="BK189" s="257">
        <f>IF(BK$7="Actual","",IFERROR((INDEX($M189:$Q189,,MATCH(BK$4,$M$4:$Q$4,0))),0))</f>
        <v/>
      </c>
      <c r="BL189" s="257">
        <f>IF(BL$7="Actual","",IFERROR((INDEX($M189:$Q189,,MATCH(BL$4,$M$4:$Q$4,0))),0))</f>
        <v/>
      </c>
      <c r="BM189" s="257">
        <f>IF(BM$7="Actual","",IFERROR((INDEX($M189:$Q189,,MATCH(BM$4,$M$4:$Q$4,0))),0))</f>
        <v/>
      </c>
      <c r="BN189" s="257">
        <f>IF(BN$7="Actual","",IFERROR((INDEX($M189:$Q189,,MATCH(BN$4,$M$4:$Q$4,0))),0))</f>
        <v/>
      </c>
      <c r="BO189" s="257">
        <f>IF(BO$7="Actual","",IFERROR((INDEX($M189:$Q189,,MATCH(BO$4,$M$4:$Q$4,0))),0))</f>
        <v/>
      </c>
      <c r="BP189" s="257">
        <f>IF(BP$7="Actual","",IFERROR((INDEX($M189:$Q189,,MATCH(BP$4,$M$4:$Q$4,0))),0))</f>
        <v/>
      </c>
      <c r="BQ189" s="257">
        <f>IF(BQ$7="Actual","",IFERROR((INDEX($M189:$Q189,,MATCH(BQ$4,$M$4:$Q$4,0))),0))</f>
        <v/>
      </c>
      <c r="BR189" s="257">
        <f>IF(BR$7="Actual","",IFERROR((INDEX($M189:$Q189,,MATCH(BR$4,$M$4:$Q$4,0))),0))</f>
        <v/>
      </c>
      <c r="BS189" s="257">
        <f>IF(BS$7="Actual","",IFERROR((INDEX($M189:$Q189,,MATCH(BS$4,$M$4:$Q$4,0))),0))</f>
        <v/>
      </c>
      <c r="BT189" s="257">
        <f>IF(BT$7="Actual","",IFERROR((INDEX($M189:$Q189,,MATCH(BT$4,$M$4:$Q$4,0))),0))</f>
        <v/>
      </c>
      <c r="BU189" s="257">
        <f>IF(BU$7="Actual","",IFERROR((INDEX($M189:$Q189,,MATCH(BU$4,$M$4:$Q$4,0))),0))</f>
        <v/>
      </c>
      <c r="BV189" s="257">
        <f>IF(BV$7="Actual","",IFERROR((INDEX($M189:$Q189,,MATCH(BV$4,$M$4:$Q$4,0))),0))</f>
        <v/>
      </c>
      <c r="BW189" s="257">
        <f>IF(BW$7="Actual","",IFERROR((INDEX($M189:$Q189,,MATCH(BW$4,$M$4:$Q$4,0))),0))</f>
        <v/>
      </c>
      <c r="BX189" s="257">
        <f>IF(BX$7="Actual","",IFERROR((INDEX($M189:$Q189,,MATCH(BX$4,$M$4:$Q$4,0))),0))</f>
        <v/>
      </c>
      <c r="BY189" s="257">
        <f>IF(BY$7="Actual","",IFERROR((INDEX($M189:$Q189,,MATCH(BY$4,$M$4:$Q$4,0))),0))</f>
        <v/>
      </c>
      <c r="BZ189" s="257">
        <f>IF(BZ$7="Actual","",IFERROR((INDEX($M189:$Q189,,MATCH(BZ$4,$M$4:$Q$4,0))),0))</f>
        <v/>
      </c>
      <c r="CA189" s="257">
        <f>IF(CA$7="Actual","",IFERROR((INDEX($M189:$Q189,,MATCH(CA$4,$M$4:$Q$4,0))),0))</f>
        <v/>
      </c>
    </row>
    <row r="190" ht="12" customHeight="1" s="227">
      <c r="A190" s="244" t="n"/>
      <c r="B190" s="244" t="n"/>
      <c r="C190" s="244" t="n"/>
      <c r="H190" s="0" t="n"/>
      <c r="K190" s="6" t="n"/>
    </row>
    <row r="191" ht="12" customHeight="1" s="227">
      <c r="A191" s="244" t="n"/>
      <c r="B191" s="244" t="n"/>
      <c r="C191" s="244" t="n"/>
      <c r="H191" s="8">
        <f>i_Setup!U40</f>
        <v/>
      </c>
      <c r="K191" s="6" t="n"/>
    </row>
    <row r="192" ht="12" customHeight="1" s="227">
      <c r="A192" s="244" t="n"/>
      <c r="B192" s="244" t="n"/>
      <c r="C192" s="244" t="n"/>
      <c r="H192" s="0">
        <f>H182</f>
        <v/>
      </c>
      <c r="I192" s="27">
        <f>i_Setup!$M$16</f>
        <v/>
      </c>
      <c r="K192" s="6" t="n"/>
      <c r="M192" s="257">
        <f>IF(M$7="Actual","",i_Assumptions!M395)</f>
        <v/>
      </c>
      <c r="N192" s="257">
        <f>IF(N$7="Actual","",i_Assumptions!N395)</f>
        <v/>
      </c>
      <c r="O192" s="257">
        <f>IF(O$7="Actual","",i_Assumptions!O395)</f>
        <v/>
      </c>
      <c r="P192" s="257">
        <f>IF(P$7="Actual","",i_Assumptions!P395)</f>
        <v/>
      </c>
      <c r="Q192" s="257">
        <f>IF(Q$7="Actual","",i_Assumptions!Q395)</f>
        <v/>
      </c>
      <c r="T192" s="257">
        <f>IF(T$7="Actual","",IFERROR((INDEX($M192:$Q192,,MATCH(T$4,$M$4:$Q$4,0))),0))</f>
        <v/>
      </c>
      <c r="U192" s="257">
        <f>IF(U$7="Actual","",IFERROR((INDEX($M192:$Q192,,MATCH(U$4,$M$4:$Q$4,0))),0))</f>
        <v/>
      </c>
      <c r="V192" s="257">
        <f>IF(V$7="Actual","",IFERROR((INDEX($M192:$Q192,,MATCH(V$4,$M$4:$Q$4,0))),0))</f>
        <v/>
      </c>
      <c r="W192" s="257">
        <f>IF(W$7="Actual","",IFERROR((INDEX($M192:$Q192,,MATCH(W$4,$M$4:$Q$4,0))),0))</f>
        <v/>
      </c>
      <c r="X192" s="257">
        <f>IF(X$7="Actual","",IFERROR((INDEX($M192:$Q192,,MATCH(X$4,$M$4:$Q$4,0))),0))</f>
        <v/>
      </c>
      <c r="Y192" s="257">
        <f>IF(Y$7="Actual","",IFERROR((INDEX($M192:$Q192,,MATCH(Y$4,$M$4:$Q$4,0))),0))</f>
        <v/>
      </c>
      <c r="Z192" s="257">
        <f>IF(Z$7="Actual","",IFERROR((INDEX($M192:$Q192,,MATCH(Z$4,$M$4:$Q$4,0))),0))</f>
        <v/>
      </c>
      <c r="AA192" s="257">
        <f>IF(AA$7="Actual","",IFERROR((INDEX($M192:$Q192,,MATCH(AA$4,$M$4:$Q$4,0))),0))</f>
        <v/>
      </c>
      <c r="AB192" s="257">
        <f>IF(AB$7="Actual","",IFERROR((INDEX($M192:$Q192,,MATCH(AB$4,$M$4:$Q$4,0))),0))</f>
        <v/>
      </c>
      <c r="AC192" s="257">
        <f>IF(AC$7="Actual","",IFERROR((INDEX($M192:$Q192,,MATCH(AC$4,$M$4:$Q$4,0))),0))</f>
        <v/>
      </c>
      <c r="AD192" s="257">
        <f>IF(AD$7="Actual","",IFERROR((INDEX($M192:$Q192,,MATCH(AD$4,$M$4:$Q$4,0))),0))</f>
        <v/>
      </c>
      <c r="AE192" s="257">
        <f>IF(AE$7="Actual","",IFERROR((INDEX($M192:$Q192,,MATCH(AE$4,$M$4:$Q$4,0))),0))</f>
        <v/>
      </c>
      <c r="AF192" s="257">
        <f>IF(AF$7="Actual","",IFERROR((INDEX($M192:$Q192,,MATCH(AF$4,$M$4:$Q$4,0))),0))</f>
        <v/>
      </c>
      <c r="AG192" s="257">
        <f>IF(AG$7="Actual","",IFERROR((INDEX($M192:$Q192,,MATCH(AG$4,$M$4:$Q$4,0))),0))</f>
        <v/>
      </c>
      <c r="AH192" s="257">
        <f>IF(AH$7="Actual","",IFERROR((INDEX($M192:$Q192,,MATCH(AH$4,$M$4:$Q$4,0))),0))</f>
        <v/>
      </c>
      <c r="AI192" s="257">
        <f>IF(AI$7="Actual","",IFERROR((INDEX($M192:$Q192,,MATCH(AI$4,$M$4:$Q$4,0))),0))</f>
        <v/>
      </c>
      <c r="AJ192" s="257">
        <f>IF(AJ$7="Actual","",IFERROR((INDEX($M192:$Q192,,MATCH(AJ$4,$M$4:$Q$4,0))),0))</f>
        <v/>
      </c>
      <c r="AK192" s="257">
        <f>IF(AK$7="Actual","",IFERROR((INDEX($M192:$Q192,,MATCH(AK$4,$M$4:$Q$4,0))),0))</f>
        <v/>
      </c>
      <c r="AL192" s="257">
        <f>IF(AL$7="Actual","",IFERROR((INDEX($M192:$Q192,,MATCH(AL$4,$M$4:$Q$4,0))),0))</f>
        <v/>
      </c>
      <c r="AM192" s="257">
        <f>IF(AM$7="Actual","",IFERROR((INDEX($M192:$Q192,,MATCH(AM$4,$M$4:$Q$4,0))),0))</f>
        <v/>
      </c>
      <c r="AN192" s="257">
        <f>IF(AN$7="Actual","",IFERROR((INDEX($M192:$Q192,,MATCH(AN$4,$M$4:$Q$4,0))),0))</f>
        <v/>
      </c>
      <c r="AO192" s="257">
        <f>IF(AO$7="Actual","",IFERROR((INDEX($M192:$Q192,,MATCH(AO$4,$M$4:$Q$4,0))),0))</f>
        <v/>
      </c>
      <c r="AP192" s="257">
        <f>IF(AP$7="Actual","",IFERROR((INDEX($M192:$Q192,,MATCH(AP$4,$M$4:$Q$4,0))),0))</f>
        <v/>
      </c>
      <c r="AQ192" s="257">
        <f>IF(AQ$7="Actual","",IFERROR((INDEX($M192:$Q192,,MATCH(AQ$4,$M$4:$Q$4,0))),0))</f>
        <v/>
      </c>
      <c r="AR192" s="257">
        <f>IF(AR$7="Actual","",IFERROR((INDEX($M192:$Q192,,MATCH(AR$4,$M$4:$Q$4,0))),0))</f>
        <v/>
      </c>
      <c r="AS192" s="257">
        <f>IF(AS$7="Actual","",IFERROR((INDEX($M192:$Q192,,MATCH(AS$4,$M$4:$Q$4,0))),0))</f>
        <v/>
      </c>
      <c r="AT192" s="257">
        <f>IF(AT$7="Actual","",IFERROR((INDEX($M192:$Q192,,MATCH(AT$4,$M$4:$Q$4,0))),0))</f>
        <v/>
      </c>
      <c r="AU192" s="257">
        <f>IF(AU$7="Actual","",IFERROR((INDEX($M192:$Q192,,MATCH(AU$4,$M$4:$Q$4,0))),0))</f>
        <v/>
      </c>
      <c r="AV192" s="257">
        <f>IF(AV$7="Actual","",IFERROR((INDEX($M192:$Q192,,MATCH(AV$4,$M$4:$Q$4,0))),0))</f>
        <v/>
      </c>
      <c r="AW192" s="257">
        <f>IF(AW$7="Actual","",IFERROR((INDEX($M192:$Q192,,MATCH(AW$4,$M$4:$Q$4,0))),0))</f>
        <v/>
      </c>
      <c r="AX192" s="257">
        <f>IF(AX$7="Actual","",IFERROR((INDEX($M192:$Q192,,MATCH(AX$4,$M$4:$Q$4,0))),0))</f>
        <v/>
      </c>
      <c r="AY192" s="257">
        <f>IF(AY$7="Actual","",IFERROR((INDEX($M192:$Q192,,MATCH(AY$4,$M$4:$Q$4,0))),0))</f>
        <v/>
      </c>
      <c r="AZ192" s="257">
        <f>IF(AZ$7="Actual","",IFERROR((INDEX($M192:$Q192,,MATCH(AZ$4,$M$4:$Q$4,0))),0))</f>
        <v/>
      </c>
      <c r="BA192" s="257">
        <f>IF(BA$7="Actual","",IFERROR((INDEX($M192:$Q192,,MATCH(BA$4,$M$4:$Q$4,0))),0))</f>
        <v/>
      </c>
      <c r="BB192" s="257">
        <f>IF(BB$7="Actual","",IFERROR((INDEX($M192:$Q192,,MATCH(BB$4,$M$4:$Q$4,0))),0))</f>
        <v/>
      </c>
      <c r="BC192" s="257">
        <f>IF(BC$7="Actual","",IFERROR((INDEX($M192:$Q192,,MATCH(BC$4,$M$4:$Q$4,0))),0))</f>
        <v/>
      </c>
      <c r="BD192" s="257">
        <f>IF(BD$7="Actual","",IFERROR((INDEX($M192:$Q192,,MATCH(BD$4,$M$4:$Q$4,0))),0))</f>
        <v/>
      </c>
      <c r="BE192" s="257">
        <f>IF(BE$7="Actual","",IFERROR((INDEX($M192:$Q192,,MATCH(BE$4,$M$4:$Q$4,0))),0))</f>
        <v/>
      </c>
      <c r="BF192" s="257">
        <f>IF(BF$7="Actual","",IFERROR((INDEX($M192:$Q192,,MATCH(BF$4,$M$4:$Q$4,0))),0))</f>
        <v/>
      </c>
      <c r="BG192" s="257">
        <f>IF(BG$7="Actual","",IFERROR((INDEX($M192:$Q192,,MATCH(BG$4,$M$4:$Q$4,0))),0))</f>
        <v/>
      </c>
      <c r="BH192" s="257">
        <f>IF(BH$7="Actual","",IFERROR((INDEX($M192:$Q192,,MATCH(BH$4,$M$4:$Q$4,0))),0))</f>
        <v/>
      </c>
      <c r="BI192" s="257">
        <f>IF(BI$7="Actual","",IFERROR((INDEX($M192:$Q192,,MATCH(BI$4,$M$4:$Q$4,0))),0))</f>
        <v/>
      </c>
      <c r="BJ192" s="257">
        <f>IF(BJ$7="Actual","",IFERROR((INDEX($M192:$Q192,,MATCH(BJ$4,$M$4:$Q$4,0))),0))</f>
        <v/>
      </c>
      <c r="BK192" s="257">
        <f>IF(BK$7="Actual","",IFERROR((INDEX($M192:$Q192,,MATCH(BK$4,$M$4:$Q$4,0))),0))</f>
        <v/>
      </c>
      <c r="BL192" s="257">
        <f>IF(BL$7="Actual","",IFERROR((INDEX($M192:$Q192,,MATCH(BL$4,$M$4:$Q$4,0))),0))</f>
        <v/>
      </c>
      <c r="BM192" s="257">
        <f>IF(BM$7="Actual","",IFERROR((INDEX($M192:$Q192,,MATCH(BM$4,$M$4:$Q$4,0))),0))</f>
        <v/>
      </c>
      <c r="BN192" s="257">
        <f>IF(BN$7="Actual","",IFERROR((INDEX($M192:$Q192,,MATCH(BN$4,$M$4:$Q$4,0))),0))</f>
        <v/>
      </c>
      <c r="BO192" s="257">
        <f>IF(BO$7="Actual","",IFERROR((INDEX($M192:$Q192,,MATCH(BO$4,$M$4:$Q$4,0))),0))</f>
        <v/>
      </c>
      <c r="BP192" s="257">
        <f>IF(BP$7="Actual","",IFERROR((INDEX($M192:$Q192,,MATCH(BP$4,$M$4:$Q$4,0))),0))</f>
        <v/>
      </c>
      <c r="BQ192" s="257">
        <f>IF(BQ$7="Actual","",IFERROR((INDEX($M192:$Q192,,MATCH(BQ$4,$M$4:$Q$4,0))),0))</f>
        <v/>
      </c>
      <c r="BR192" s="257">
        <f>IF(BR$7="Actual","",IFERROR((INDEX($M192:$Q192,,MATCH(BR$4,$M$4:$Q$4,0))),0))</f>
        <v/>
      </c>
      <c r="BS192" s="257">
        <f>IF(BS$7="Actual","",IFERROR((INDEX($M192:$Q192,,MATCH(BS$4,$M$4:$Q$4,0))),0))</f>
        <v/>
      </c>
      <c r="BT192" s="257">
        <f>IF(BT$7="Actual","",IFERROR((INDEX($M192:$Q192,,MATCH(BT$4,$M$4:$Q$4,0))),0))</f>
        <v/>
      </c>
      <c r="BU192" s="257">
        <f>IF(BU$7="Actual","",IFERROR((INDEX($M192:$Q192,,MATCH(BU$4,$M$4:$Q$4,0))),0))</f>
        <v/>
      </c>
      <c r="BV192" s="257">
        <f>IF(BV$7="Actual","",IFERROR((INDEX($M192:$Q192,,MATCH(BV$4,$M$4:$Q$4,0))),0))</f>
        <v/>
      </c>
      <c r="BW192" s="257">
        <f>IF(BW$7="Actual","",IFERROR((INDEX($M192:$Q192,,MATCH(BW$4,$M$4:$Q$4,0))),0))</f>
        <v/>
      </c>
      <c r="BX192" s="257">
        <f>IF(BX$7="Actual","",IFERROR((INDEX($M192:$Q192,,MATCH(BX$4,$M$4:$Q$4,0))),0))</f>
        <v/>
      </c>
      <c r="BY192" s="257">
        <f>IF(BY$7="Actual","",IFERROR((INDEX($M192:$Q192,,MATCH(BY$4,$M$4:$Q$4,0))),0))</f>
        <v/>
      </c>
      <c r="BZ192" s="257">
        <f>IF(BZ$7="Actual","",IFERROR((INDEX($M192:$Q192,,MATCH(BZ$4,$M$4:$Q$4,0))),0))</f>
        <v/>
      </c>
      <c r="CA192" s="257">
        <f>IF(CA$7="Actual","",IFERROR((INDEX($M192:$Q192,,MATCH(CA$4,$M$4:$Q$4,0))),0))</f>
        <v/>
      </c>
    </row>
    <row r="193" ht="12" customHeight="1" s="227">
      <c r="A193" s="244" t="n"/>
      <c r="B193" s="244" t="n"/>
      <c r="C193" s="244" t="n"/>
      <c r="H193" s="0">
        <f>H183</f>
        <v/>
      </c>
      <c r="I193" s="27">
        <f>i_Setup!$M$16</f>
        <v/>
      </c>
      <c r="K193" s="6" t="n"/>
      <c r="M193" s="257">
        <f>IF(M$7="Actual","",i_Assumptions!M396)</f>
        <v/>
      </c>
      <c r="N193" s="257">
        <f>IF(N$7="Actual","",i_Assumptions!N396)</f>
        <v/>
      </c>
      <c r="O193" s="257">
        <f>IF(O$7="Actual","",i_Assumptions!O396)</f>
        <v/>
      </c>
      <c r="P193" s="257">
        <f>IF(P$7="Actual","",i_Assumptions!P396)</f>
        <v/>
      </c>
      <c r="Q193" s="257">
        <f>IF(Q$7="Actual","",i_Assumptions!Q396)</f>
        <v/>
      </c>
      <c r="T193" s="257">
        <f>IF(T$7="Actual","",IFERROR((INDEX($M193:$Q193,,MATCH(T$4,$M$4:$Q$4,0))),0))</f>
        <v/>
      </c>
      <c r="U193" s="257">
        <f>IF(U$7="Actual","",IFERROR((INDEX($M193:$Q193,,MATCH(U$4,$M$4:$Q$4,0))),0))</f>
        <v/>
      </c>
      <c r="V193" s="257">
        <f>IF(V$7="Actual","",IFERROR((INDEX($M193:$Q193,,MATCH(V$4,$M$4:$Q$4,0))),0))</f>
        <v/>
      </c>
      <c r="W193" s="257">
        <f>IF(W$7="Actual","",IFERROR((INDEX($M193:$Q193,,MATCH(W$4,$M$4:$Q$4,0))),0))</f>
        <v/>
      </c>
      <c r="X193" s="257">
        <f>IF(X$7="Actual","",IFERROR((INDEX($M193:$Q193,,MATCH(X$4,$M$4:$Q$4,0))),0))</f>
        <v/>
      </c>
      <c r="Y193" s="257">
        <f>IF(Y$7="Actual","",IFERROR((INDEX($M193:$Q193,,MATCH(Y$4,$M$4:$Q$4,0))),0))</f>
        <v/>
      </c>
      <c r="Z193" s="257">
        <f>IF(Z$7="Actual","",IFERROR((INDEX($M193:$Q193,,MATCH(Z$4,$M$4:$Q$4,0))),0))</f>
        <v/>
      </c>
      <c r="AA193" s="257">
        <f>IF(AA$7="Actual","",IFERROR((INDEX($M193:$Q193,,MATCH(AA$4,$M$4:$Q$4,0))),0))</f>
        <v/>
      </c>
      <c r="AB193" s="257">
        <f>IF(AB$7="Actual","",IFERROR((INDEX($M193:$Q193,,MATCH(AB$4,$M$4:$Q$4,0))),0))</f>
        <v/>
      </c>
      <c r="AC193" s="257">
        <f>IF(AC$7="Actual","",IFERROR((INDEX($M193:$Q193,,MATCH(AC$4,$M$4:$Q$4,0))),0))</f>
        <v/>
      </c>
      <c r="AD193" s="257">
        <f>IF(AD$7="Actual","",IFERROR((INDEX($M193:$Q193,,MATCH(AD$4,$M$4:$Q$4,0))),0))</f>
        <v/>
      </c>
      <c r="AE193" s="257">
        <f>IF(AE$7="Actual","",IFERROR((INDEX($M193:$Q193,,MATCH(AE$4,$M$4:$Q$4,0))),0))</f>
        <v/>
      </c>
      <c r="AF193" s="257">
        <f>IF(AF$7="Actual","",IFERROR((INDEX($M193:$Q193,,MATCH(AF$4,$M$4:$Q$4,0))),0))</f>
        <v/>
      </c>
      <c r="AG193" s="257">
        <f>IF(AG$7="Actual","",IFERROR((INDEX($M193:$Q193,,MATCH(AG$4,$M$4:$Q$4,0))),0))</f>
        <v/>
      </c>
      <c r="AH193" s="257">
        <f>IF(AH$7="Actual","",IFERROR((INDEX($M193:$Q193,,MATCH(AH$4,$M$4:$Q$4,0))),0))</f>
        <v/>
      </c>
      <c r="AI193" s="257">
        <f>IF(AI$7="Actual","",IFERROR((INDEX($M193:$Q193,,MATCH(AI$4,$M$4:$Q$4,0))),0))</f>
        <v/>
      </c>
      <c r="AJ193" s="257">
        <f>IF(AJ$7="Actual","",IFERROR((INDEX($M193:$Q193,,MATCH(AJ$4,$M$4:$Q$4,0))),0))</f>
        <v/>
      </c>
      <c r="AK193" s="257">
        <f>IF(AK$7="Actual","",IFERROR((INDEX($M193:$Q193,,MATCH(AK$4,$M$4:$Q$4,0))),0))</f>
        <v/>
      </c>
      <c r="AL193" s="257">
        <f>IF(AL$7="Actual","",IFERROR((INDEX($M193:$Q193,,MATCH(AL$4,$M$4:$Q$4,0))),0))</f>
        <v/>
      </c>
      <c r="AM193" s="257">
        <f>IF(AM$7="Actual","",IFERROR((INDEX($M193:$Q193,,MATCH(AM$4,$M$4:$Q$4,0))),0))</f>
        <v/>
      </c>
      <c r="AN193" s="257">
        <f>IF(AN$7="Actual","",IFERROR((INDEX($M193:$Q193,,MATCH(AN$4,$M$4:$Q$4,0))),0))</f>
        <v/>
      </c>
      <c r="AO193" s="257">
        <f>IF(AO$7="Actual","",IFERROR((INDEX($M193:$Q193,,MATCH(AO$4,$M$4:$Q$4,0))),0))</f>
        <v/>
      </c>
      <c r="AP193" s="257">
        <f>IF(AP$7="Actual","",IFERROR((INDEX($M193:$Q193,,MATCH(AP$4,$M$4:$Q$4,0))),0))</f>
        <v/>
      </c>
      <c r="AQ193" s="257">
        <f>IF(AQ$7="Actual","",IFERROR((INDEX($M193:$Q193,,MATCH(AQ$4,$M$4:$Q$4,0))),0))</f>
        <v/>
      </c>
      <c r="AR193" s="257">
        <f>IF(AR$7="Actual","",IFERROR((INDEX($M193:$Q193,,MATCH(AR$4,$M$4:$Q$4,0))),0))</f>
        <v/>
      </c>
      <c r="AS193" s="257">
        <f>IF(AS$7="Actual","",IFERROR((INDEX($M193:$Q193,,MATCH(AS$4,$M$4:$Q$4,0))),0))</f>
        <v/>
      </c>
      <c r="AT193" s="257">
        <f>IF(AT$7="Actual","",IFERROR((INDEX($M193:$Q193,,MATCH(AT$4,$M$4:$Q$4,0))),0))</f>
        <v/>
      </c>
      <c r="AU193" s="257">
        <f>IF(AU$7="Actual","",IFERROR((INDEX($M193:$Q193,,MATCH(AU$4,$M$4:$Q$4,0))),0))</f>
        <v/>
      </c>
      <c r="AV193" s="257">
        <f>IF(AV$7="Actual","",IFERROR((INDEX($M193:$Q193,,MATCH(AV$4,$M$4:$Q$4,0))),0))</f>
        <v/>
      </c>
      <c r="AW193" s="257">
        <f>IF(AW$7="Actual","",IFERROR((INDEX($M193:$Q193,,MATCH(AW$4,$M$4:$Q$4,0))),0))</f>
        <v/>
      </c>
      <c r="AX193" s="257">
        <f>IF(AX$7="Actual","",IFERROR((INDEX($M193:$Q193,,MATCH(AX$4,$M$4:$Q$4,0))),0))</f>
        <v/>
      </c>
      <c r="AY193" s="257">
        <f>IF(AY$7="Actual","",IFERROR((INDEX($M193:$Q193,,MATCH(AY$4,$M$4:$Q$4,0))),0))</f>
        <v/>
      </c>
      <c r="AZ193" s="257">
        <f>IF(AZ$7="Actual","",IFERROR((INDEX($M193:$Q193,,MATCH(AZ$4,$M$4:$Q$4,0))),0))</f>
        <v/>
      </c>
      <c r="BA193" s="257">
        <f>IF(BA$7="Actual","",IFERROR((INDEX($M193:$Q193,,MATCH(BA$4,$M$4:$Q$4,0))),0))</f>
        <v/>
      </c>
      <c r="BB193" s="257">
        <f>IF(BB$7="Actual","",IFERROR((INDEX($M193:$Q193,,MATCH(BB$4,$M$4:$Q$4,0))),0))</f>
        <v/>
      </c>
      <c r="BC193" s="257">
        <f>IF(BC$7="Actual","",IFERROR((INDEX($M193:$Q193,,MATCH(BC$4,$M$4:$Q$4,0))),0))</f>
        <v/>
      </c>
      <c r="BD193" s="257">
        <f>IF(BD$7="Actual","",IFERROR((INDEX($M193:$Q193,,MATCH(BD$4,$M$4:$Q$4,0))),0))</f>
        <v/>
      </c>
      <c r="BE193" s="257">
        <f>IF(BE$7="Actual","",IFERROR((INDEX($M193:$Q193,,MATCH(BE$4,$M$4:$Q$4,0))),0))</f>
        <v/>
      </c>
      <c r="BF193" s="257">
        <f>IF(BF$7="Actual","",IFERROR((INDEX($M193:$Q193,,MATCH(BF$4,$M$4:$Q$4,0))),0))</f>
        <v/>
      </c>
      <c r="BG193" s="257">
        <f>IF(BG$7="Actual","",IFERROR((INDEX($M193:$Q193,,MATCH(BG$4,$M$4:$Q$4,0))),0))</f>
        <v/>
      </c>
      <c r="BH193" s="257">
        <f>IF(BH$7="Actual","",IFERROR((INDEX($M193:$Q193,,MATCH(BH$4,$M$4:$Q$4,0))),0))</f>
        <v/>
      </c>
      <c r="BI193" s="257">
        <f>IF(BI$7="Actual","",IFERROR((INDEX($M193:$Q193,,MATCH(BI$4,$M$4:$Q$4,0))),0))</f>
        <v/>
      </c>
      <c r="BJ193" s="257">
        <f>IF(BJ$7="Actual","",IFERROR((INDEX($M193:$Q193,,MATCH(BJ$4,$M$4:$Q$4,0))),0))</f>
        <v/>
      </c>
      <c r="BK193" s="257">
        <f>IF(BK$7="Actual","",IFERROR((INDEX($M193:$Q193,,MATCH(BK$4,$M$4:$Q$4,0))),0))</f>
        <v/>
      </c>
      <c r="BL193" s="257">
        <f>IF(BL$7="Actual","",IFERROR((INDEX($M193:$Q193,,MATCH(BL$4,$M$4:$Q$4,0))),0))</f>
        <v/>
      </c>
      <c r="BM193" s="257">
        <f>IF(BM$7="Actual","",IFERROR((INDEX($M193:$Q193,,MATCH(BM$4,$M$4:$Q$4,0))),0))</f>
        <v/>
      </c>
      <c r="BN193" s="257">
        <f>IF(BN$7="Actual","",IFERROR((INDEX($M193:$Q193,,MATCH(BN$4,$M$4:$Q$4,0))),0))</f>
        <v/>
      </c>
      <c r="BO193" s="257">
        <f>IF(BO$7="Actual","",IFERROR((INDEX($M193:$Q193,,MATCH(BO$4,$M$4:$Q$4,0))),0))</f>
        <v/>
      </c>
      <c r="BP193" s="257">
        <f>IF(BP$7="Actual","",IFERROR((INDEX($M193:$Q193,,MATCH(BP$4,$M$4:$Q$4,0))),0))</f>
        <v/>
      </c>
      <c r="BQ193" s="257">
        <f>IF(BQ$7="Actual","",IFERROR((INDEX($M193:$Q193,,MATCH(BQ$4,$M$4:$Q$4,0))),0))</f>
        <v/>
      </c>
      <c r="BR193" s="257">
        <f>IF(BR$7="Actual","",IFERROR((INDEX($M193:$Q193,,MATCH(BR$4,$M$4:$Q$4,0))),0))</f>
        <v/>
      </c>
      <c r="BS193" s="257">
        <f>IF(BS$7="Actual","",IFERROR((INDEX($M193:$Q193,,MATCH(BS$4,$M$4:$Q$4,0))),0))</f>
        <v/>
      </c>
      <c r="BT193" s="257">
        <f>IF(BT$7="Actual","",IFERROR((INDEX($M193:$Q193,,MATCH(BT$4,$M$4:$Q$4,0))),0))</f>
        <v/>
      </c>
      <c r="BU193" s="257">
        <f>IF(BU$7="Actual","",IFERROR((INDEX($M193:$Q193,,MATCH(BU$4,$M$4:$Q$4,0))),0))</f>
        <v/>
      </c>
      <c r="BV193" s="257">
        <f>IF(BV$7="Actual","",IFERROR((INDEX($M193:$Q193,,MATCH(BV$4,$M$4:$Q$4,0))),0))</f>
        <v/>
      </c>
      <c r="BW193" s="257">
        <f>IF(BW$7="Actual","",IFERROR((INDEX($M193:$Q193,,MATCH(BW$4,$M$4:$Q$4,0))),0))</f>
        <v/>
      </c>
      <c r="BX193" s="257">
        <f>IF(BX$7="Actual","",IFERROR((INDEX($M193:$Q193,,MATCH(BX$4,$M$4:$Q$4,0))),0))</f>
        <v/>
      </c>
      <c r="BY193" s="257">
        <f>IF(BY$7="Actual","",IFERROR((INDEX($M193:$Q193,,MATCH(BY$4,$M$4:$Q$4,0))),0))</f>
        <v/>
      </c>
      <c r="BZ193" s="257">
        <f>IF(BZ$7="Actual","",IFERROR((INDEX($M193:$Q193,,MATCH(BZ$4,$M$4:$Q$4,0))),0))</f>
        <v/>
      </c>
      <c r="CA193" s="257">
        <f>IF(CA$7="Actual","",IFERROR((INDEX($M193:$Q193,,MATCH(CA$4,$M$4:$Q$4,0))),0))</f>
        <v/>
      </c>
    </row>
    <row r="194" ht="12" customHeight="1" s="227">
      <c r="A194" s="244" t="n"/>
      <c r="B194" s="244" t="n"/>
      <c r="C194" s="244" t="n"/>
      <c r="H194" s="0">
        <f>H184</f>
        <v/>
      </c>
      <c r="I194" s="27">
        <f>i_Setup!$M$16</f>
        <v/>
      </c>
      <c r="K194" s="6" t="n"/>
      <c r="M194" s="257">
        <f>IF(M$7="Actual","",i_Assumptions!M397)</f>
        <v/>
      </c>
      <c r="N194" s="257">
        <f>IF(N$7="Actual","",i_Assumptions!N397)</f>
        <v/>
      </c>
      <c r="O194" s="257">
        <f>IF(O$7="Actual","",i_Assumptions!O397)</f>
        <v/>
      </c>
      <c r="P194" s="257">
        <f>IF(P$7="Actual","",i_Assumptions!P397)</f>
        <v/>
      </c>
      <c r="Q194" s="257">
        <f>IF(Q$7="Actual","",i_Assumptions!Q397)</f>
        <v/>
      </c>
      <c r="T194" s="257">
        <f>IF(T$7="Actual","",IFERROR((INDEX($M194:$Q194,,MATCH(T$4,$M$4:$Q$4,0))),0))</f>
        <v/>
      </c>
      <c r="U194" s="257">
        <f>IF(U$7="Actual","",IFERROR((INDEX($M194:$Q194,,MATCH(U$4,$M$4:$Q$4,0))),0))</f>
        <v/>
      </c>
      <c r="V194" s="257">
        <f>IF(V$7="Actual","",IFERROR((INDEX($M194:$Q194,,MATCH(V$4,$M$4:$Q$4,0))),0))</f>
        <v/>
      </c>
      <c r="W194" s="257">
        <f>IF(W$7="Actual","",IFERROR((INDEX($M194:$Q194,,MATCH(W$4,$M$4:$Q$4,0))),0))</f>
        <v/>
      </c>
      <c r="X194" s="257">
        <f>IF(X$7="Actual","",IFERROR((INDEX($M194:$Q194,,MATCH(X$4,$M$4:$Q$4,0))),0))</f>
        <v/>
      </c>
      <c r="Y194" s="257">
        <f>IF(Y$7="Actual","",IFERROR((INDEX($M194:$Q194,,MATCH(Y$4,$M$4:$Q$4,0))),0))</f>
        <v/>
      </c>
      <c r="Z194" s="257">
        <f>IF(Z$7="Actual","",IFERROR((INDEX($M194:$Q194,,MATCH(Z$4,$M$4:$Q$4,0))),0))</f>
        <v/>
      </c>
      <c r="AA194" s="257">
        <f>IF(AA$7="Actual","",IFERROR((INDEX($M194:$Q194,,MATCH(AA$4,$M$4:$Q$4,0))),0))</f>
        <v/>
      </c>
      <c r="AB194" s="257">
        <f>IF(AB$7="Actual","",IFERROR((INDEX($M194:$Q194,,MATCH(AB$4,$M$4:$Q$4,0))),0))</f>
        <v/>
      </c>
      <c r="AC194" s="257">
        <f>IF(AC$7="Actual","",IFERROR((INDEX($M194:$Q194,,MATCH(AC$4,$M$4:$Q$4,0))),0))</f>
        <v/>
      </c>
      <c r="AD194" s="257">
        <f>IF(AD$7="Actual","",IFERROR((INDEX($M194:$Q194,,MATCH(AD$4,$M$4:$Q$4,0))),0))</f>
        <v/>
      </c>
      <c r="AE194" s="257">
        <f>IF(AE$7="Actual","",IFERROR((INDEX($M194:$Q194,,MATCH(AE$4,$M$4:$Q$4,0))),0))</f>
        <v/>
      </c>
      <c r="AF194" s="257">
        <f>IF(AF$7="Actual","",IFERROR((INDEX($M194:$Q194,,MATCH(AF$4,$M$4:$Q$4,0))),0))</f>
        <v/>
      </c>
      <c r="AG194" s="257">
        <f>IF(AG$7="Actual","",IFERROR((INDEX($M194:$Q194,,MATCH(AG$4,$M$4:$Q$4,0))),0))</f>
        <v/>
      </c>
      <c r="AH194" s="257">
        <f>IF(AH$7="Actual","",IFERROR((INDEX($M194:$Q194,,MATCH(AH$4,$M$4:$Q$4,0))),0))</f>
        <v/>
      </c>
      <c r="AI194" s="257">
        <f>IF(AI$7="Actual","",IFERROR((INDEX($M194:$Q194,,MATCH(AI$4,$M$4:$Q$4,0))),0))</f>
        <v/>
      </c>
      <c r="AJ194" s="257">
        <f>IF(AJ$7="Actual","",IFERROR((INDEX($M194:$Q194,,MATCH(AJ$4,$M$4:$Q$4,0))),0))</f>
        <v/>
      </c>
      <c r="AK194" s="257">
        <f>IF(AK$7="Actual","",IFERROR((INDEX($M194:$Q194,,MATCH(AK$4,$M$4:$Q$4,0))),0))</f>
        <v/>
      </c>
      <c r="AL194" s="257">
        <f>IF(AL$7="Actual","",IFERROR((INDEX($M194:$Q194,,MATCH(AL$4,$M$4:$Q$4,0))),0))</f>
        <v/>
      </c>
      <c r="AM194" s="257">
        <f>IF(AM$7="Actual","",IFERROR((INDEX($M194:$Q194,,MATCH(AM$4,$M$4:$Q$4,0))),0))</f>
        <v/>
      </c>
      <c r="AN194" s="257">
        <f>IF(AN$7="Actual","",IFERROR((INDEX($M194:$Q194,,MATCH(AN$4,$M$4:$Q$4,0))),0))</f>
        <v/>
      </c>
      <c r="AO194" s="257">
        <f>IF(AO$7="Actual","",IFERROR((INDEX($M194:$Q194,,MATCH(AO$4,$M$4:$Q$4,0))),0))</f>
        <v/>
      </c>
      <c r="AP194" s="257">
        <f>IF(AP$7="Actual","",IFERROR((INDEX($M194:$Q194,,MATCH(AP$4,$M$4:$Q$4,0))),0))</f>
        <v/>
      </c>
      <c r="AQ194" s="257">
        <f>IF(AQ$7="Actual","",IFERROR((INDEX($M194:$Q194,,MATCH(AQ$4,$M$4:$Q$4,0))),0))</f>
        <v/>
      </c>
      <c r="AR194" s="257">
        <f>IF(AR$7="Actual","",IFERROR((INDEX($M194:$Q194,,MATCH(AR$4,$M$4:$Q$4,0))),0))</f>
        <v/>
      </c>
      <c r="AS194" s="257">
        <f>IF(AS$7="Actual","",IFERROR((INDEX($M194:$Q194,,MATCH(AS$4,$M$4:$Q$4,0))),0))</f>
        <v/>
      </c>
      <c r="AT194" s="257">
        <f>IF(AT$7="Actual","",IFERROR((INDEX($M194:$Q194,,MATCH(AT$4,$M$4:$Q$4,0))),0))</f>
        <v/>
      </c>
      <c r="AU194" s="257">
        <f>IF(AU$7="Actual","",IFERROR((INDEX($M194:$Q194,,MATCH(AU$4,$M$4:$Q$4,0))),0))</f>
        <v/>
      </c>
      <c r="AV194" s="257">
        <f>IF(AV$7="Actual","",IFERROR((INDEX($M194:$Q194,,MATCH(AV$4,$M$4:$Q$4,0))),0))</f>
        <v/>
      </c>
      <c r="AW194" s="257">
        <f>IF(AW$7="Actual","",IFERROR((INDEX($M194:$Q194,,MATCH(AW$4,$M$4:$Q$4,0))),0))</f>
        <v/>
      </c>
      <c r="AX194" s="257">
        <f>IF(AX$7="Actual","",IFERROR((INDEX($M194:$Q194,,MATCH(AX$4,$M$4:$Q$4,0))),0))</f>
        <v/>
      </c>
      <c r="AY194" s="257">
        <f>IF(AY$7="Actual","",IFERROR((INDEX($M194:$Q194,,MATCH(AY$4,$M$4:$Q$4,0))),0))</f>
        <v/>
      </c>
      <c r="AZ194" s="257">
        <f>IF(AZ$7="Actual","",IFERROR((INDEX($M194:$Q194,,MATCH(AZ$4,$M$4:$Q$4,0))),0))</f>
        <v/>
      </c>
      <c r="BA194" s="257">
        <f>IF(BA$7="Actual","",IFERROR((INDEX($M194:$Q194,,MATCH(BA$4,$M$4:$Q$4,0))),0))</f>
        <v/>
      </c>
      <c r="BB194" s="257">
        <f>IF(BB$7="Actual","",IFERROR((INDEX($M194:$Q194,,MATCH(BB$4,$M$4:$Q$4,0))),0))</f>
        <v/>
      </c>
      <c r="BC194" s="257">
        <f>IF(BC$7="Actual","",IFERROR((INDEX($M194:$Q194,,MATCH(BC$4,$M$4:$Q$4,0))),0))</f>
        <v/>
      </c>
      <c r="BD194" s="257">
        <f>IF(BD$7="Actual","",IFERROR((INDEX($M194:$Q194,,MATCH(BD$4,$M$4:$Q$4,0))),0))</f>
        <v/>
      </c>
      <c r="BE194" s="257">
        <f>IF(BE$7="Actual","",IFERROR((INDEX($M194:$Q194,,MATCH(BE$4,$M$4:$Q$4,0))),0))</f>
        <v/>
      </c>
      <c r="BF194" s="257">
        <f>IF(BF$7="Actual","",IFERROR((INDEX($M194:$Q194,,MATCH(BF$4,$M$4:$Q$4,0))),0))</f>
        <v/>
      </c>
      <c r="BG194" s="257">
        <f>IF(BG$7="Actual","",IFERROR((INDEX($M194:$Q194,,MATCH(BG$4,$M$4:$Q$4,0))),0))</f>
        <v/>
      </c>
      <c r="BH194" s="257">
        <f>IF(BH$7="Actual","",IFERROR((INDEX($M194:$Q194,,MATCH(BH$4,$M$4:$Q$4,0))),0))</f>
        <v/>
      </c>
      <c r="BI194" s="257">
        <f>IF(BI$7="Actual","",IFERROR((INDEX($M194:$Q194,,MATCH(BI$4,$M$4:$Q$4,0))),0))</f>
        <v/>
      </c>
      <c r="BJ194" s="257">
        <f>IF(BJ$7="Actual","",IFERROR((INDEX($M194:$Q194,,MATCH(BJ$4,$M$4:$Q$4,0))),0))</f>
        <v/>
      </c>
      <c r="BK194" s="257">
        <f>IF(BK$7="Actual","",IFERROR((INDEX($M194:$Q194,,MATCH(BK$4,$M$4:$Q$4,0))),0))</f>
        <v/>
      </c>
      <c r="BL194" s="257">
        <f>IF(BL$7="Actual","",IFERROR((INDEX($M194:$Q194,,MATCH(BL$4,$M$4:$Q$4,0))),0))</f>
        <v/>
      </c>
      <c r="BM194" s="257">
        <f>IF(BM$7="Actual","",IFERROR((INDEX($M194:$Q194,,MATCH(BM$4,$M$4:$Q$4,0))),0))</f>
        <v/>
      </c>
      <c r="BN194" s="257">
        <f>IF(BN$7="Actual","",IFERROR((INDEX($M194:$Q194,,MATCH(BN$4,$M$4:$Q$4,0))),0))</f>
        <v/>
      </c>
      <c r="BO194" s="257">
        <f>IF(BO$7="Actual","",IFERROR((INDEX($M194:$Q194,,MATCH(BO$4,$M$4:$Q$4,0))),0))</f>
        <v/>
      </c>
      <c r="BP194" s="257">
        <f>IF(BP$7="Actual","",IFERROR((INDEX($M194:$Q194,,MATCH(BP$4,$M$4:$Q$4,0))),0))</f>
        <v/>
      </c>
      <c r="BQ194" s="257">
        <f>IF(BQ$7="Actual","",IFERROR((INDEX($M194:$Q194,,MATCH(BQ$4,$M$4:$Q$4,0))),0))</f>
        <v/>
      </c>
      <c r="BR194" s="257">
        <f>IF(BR$7="Actual","",IFERROR((INDEX($M194:$Q194,,MATCH(BR$4,$M$4:$Q$4,0))),0))</f>
        <v/>
      </c>
      <c r="BS194" s="257">
        <f>IF(BS$7="Actual","",IFERROR((INDEX($M194:$Q194,,MATCH(BS$4,$M$4:$Q$4,0))),0))</f>
        <v/>
      </c>
      <c r="BT194" s="257">
        <f>IF(BT$7="Actual","",IFERROR((INDEX($M194:$Q194,,MATCH(BT$4,$M$4:$Q$4,0))),0))</f>
        <v/>
      </c>
      <c r="BU194" s="257">
        <f>IF(BU$7="Actual","",IFERROR((INDEX($M194:$Q194,,MATCH(BU$4,$M$4:$Q$4,0))),0))</f>
        <v/>
      </c>
      <c r="BV194" s="257">
        <f>IF(BV$7="Actual","",IFERROR((INDEX($M194:$Q194,,MATCH(BV$4,$M$4:$Q$4,0))),0))</f>
        <v/>
      </c>
      <c r="BW194" s="257">
        <f>IF(BW$7="Actual","",IFERROR((INDEX($M194:$Q194,,MATCH(BW$4,$M$4:$Q$4,0))),0))</f>
        <v/>
      </c>
      <c r="BX194" s="257">
        <f>IF(BX$7="Actual","",IFERROR((INDEX($M194:$Q194,,MATCH(BX$4,$M$4:$Q$4,0))),0))</f>
        <v/>
      </c>
      <c r="BY194" s="257">
        <f>IF(BY$7="Actual","",IFERROR((INDEX($M194:$Q194,,MATCH(BY$4,$M$4:$Q$4,0))),0))</f>
        <v/>
      </c>
      <c r="BZ194" s="257">
        <f>IF(BZ$7="Actual","",IFERROR((INDEX($M194:$Q194,,MATCH(BZ$4,$M$4:$Q$4,0))),0))</f>
        <v/>
      </c>
      <c r="CA194" s="257">
        <f>IF(CA$7="Actual","",IFERROR((INDEX($M194:$Q194,,MATCH(CA$4,$M$4:$Q$4,0))),0))</f>
        <v/>
      </c>
    </row>
    <row r="195" ht="12" customHeight="1" s="227">
      <c r="A195" s="244" t="n"/>
      <c r="B195" s="244" t="n"/>
      <c r="C195" s="244" t="n"/>
      <c r="H195" s="0">
        <f>H185</f>
        <v/>
      </c>
      <c r="I195" s="27">
        <f>i_Setup!$M$16</f>
        <v/>
      </c>
      <c r="K195" s="6" t="n"/>
      <c r="M195" s="257">
        <f>IF(M$7="Actual","",i_Assumptions!M398)</f>
        <v/>
      </c>
      <c r="N195" s="257">
        <f>IF(N$7="Actual","",i_Assumptions!N398)</f>
        <v/>
      </c>
      <c r="O195" s="257">
        <f>IF(O$7="Actual","",i_Assumptions!O398)</f>
        <v/>
      </c>
      <c r="P195" s="257">
        <f>IF(P$7="Actual","",i_Assumptions!P398)</f>
        <v/>
      </c>
      <c r="Q195" s="257">
        <f>IF(Q$7="Actual","",i_Assumptions!Q398)</f>
        <v/>
      </c>
      <c r="T195" s="257">
        <f>IF(T$7="Actual","",IFERROR((INDEX($M195:$Q195,,MATCH(T$4,$M$4:$Q$4,0))),0))</f>
        <v/>
      </c>
      <c r="U195" s="257">
        <f>IF(U$7="Actual","",IFERROR((INDEX($M195:$Q195,,MATCH(U$4,$M$4:$Q$4,0))),0))</f>
        <v/>
      </c>
      <c r="V195" s="257">
        <f>IF(V$7="Actual","",IFERROR((INDEX($M195:$Q195,,MATCH(V$4,$M$4:$Q$4,0))),0))</f>
        <v/>
      </c>
      <c r="W195" s="257">
        <f>IF(W$7="Actual","",IFERROR((INDEX($M195:$Q195,,MATCH(W$4,$M$4:$Q$4,0))),0))</f>
        <v/>
      </c>
      <c r="X195" s="257">
        <f>IF(X$7="Actual","",IFERROR((INDEX($M195:$Q195,,MATCH(X$4,$M$4:$Q$4,0))),0))</f>
        <v/>
      </c>
      <c r="Y195" s="257">
        <f>IF(Y$7="Actual","",IFERROR((INDEX($M195:$Q195,,MATCH(Y$4,$M$4:$Q$4,0))),0))</f>
        <v/>
      </c>
      <c r="Z195" s="257">
        <f>IF(Z$7="Actual","",IFERROR((INDEX($M195:$Q195,,MATCH(Z$4,$M$4:$Q$4,0))),0))</f>
        <v/>
      </c>
      <c r="AA195" s="257">
        <f>IF(AA$7="Actual","",IFERROR((INDEX($M195:$Q195,,MATCH(AA$4,$M$4:$Q$4,0))),0))</f>
        <v/>
      </c>
      <c r="AB195" s="257">
        <f>IF(AB$7="Actual","",IFERROR((INDEX($M195:$Q195,,MATCH(AB$4,$M$4:$Q$4,0))),0))</f>
        <v/>
      </c>
      <c r="AC195" s="257">
        <f>IF(AC$7="Actual","",IFERROR((INDEX($M195:$Q195,,MATCH(AC$4,$M$4:$Q$4,0))),0))</f>
        <v/>
      </c>
      <c r="AD195" s="257">
        <f>IF(AD$7="Actual","",IFERROR((INDEX($M195:$Q195,,MATCH(AD$4,$M$4:$Q$4,0))),0))</f>
        <v/>
      </c>
      <c r="AE195" s="257">
        <f>IF(AE$7="Actual","",IFERROR((INDEX($M195:$Q195,,MATCH(AE$4,$M$4:$Q$4,0))),0))</f>
        <v/>
      </c>
      <c r="AF195" s="257">
        <f>IF(AF$7="Actual","",IFERROR((INDEX($M195:$Q195,,MATCH(AF$4,$M$4:$Q$4,0))),0))</f>
        <v/>
      </c>
      <c r="AG195" s="257">
        <f>IF(AG$7="Actual","",IFERROR((INDEX($M195:$Q195,,MATCH(AG$4,$M$4:$Q$4,0))),0))</f>
        <v/>
      </c>
      <c r="AH195" s="257">
        <f>IF(AH$7="Actual","",IFERROR((INDEX($M195:$Q195,,MATCH(AH$4,$M$4:$Q$4,0))),0))</f>
        <v/>
      </c>
      <c r="AI195" s="257">
        <f>IF(AI$7="Actual","",IFERROR((INDEX($M195:$Q195,,MATCH(AI$4,$M$4:$Q$4,0))),0))</f>
        <v/>
      </c>
      <c r="AJ195" s="257">
        <f>IF(AJ$7="Actual","",IFERROR((INDEX($M195:$Q195,,MATCH(AJ$4,$M$4:$Q$4,0))),0))</f>
        <v/>
      </c>
      <c r="AK195" s="257">
        <f>IF(AK$7="Actual","",IFERROR((INDEX($M195:$Q195,,MATCH(AK$4,$M$4:$Q$4,0))),0))</f>
        <v/>
      </c>
      <c r="AL195" s="257">
        <f>IF(AL$7="Actual","",IFERROR((INDEX($M195:$Q195,,MATCH(AL$4,$M$4:$Q$4,0))),0))</f>
        <v/>
      </c>
      <c r="AM195" s="257">
        <f>IF(AM$7="Actual","",IFERROR((INDEX($M195:$Q195,,MATCH(AM$4,$M$4:$Q$4,0))),0))</f>
        <v/>
      </c>
      <c r="AN195" s="257">
        <f>IF(AN$7="Actual","",IFERROR((INDEX($M195:$Q195,,MATCH(AN$4,$M$4:$Q$4,0))),0))</f>
        <v/>
      </c>
      <c r="AO195" s="257">
        <f>IF(AO$7="Actual","",IFERROR((INDEX($M195:$Q195,,MATCH(AO$4,$M$4:$Q$4,0))),0))</f>
        <v/>
      </c>
      <c r="AP195" s="257">
        <f>IF(AP$7="Actual","",IFERROR((INDEX($M195:$Q195,,MATCH(AP$4,$M$4:$Q$4,0))),0))</f>
        <v/>
      </c>
      <c r="AQ195" s="257">
        <f>IF(AQ$7="Actual","",IFERROR((INDEX($M195:$Q195,,MATCH(AQ$4,$M$4:$Q$4,0))),0))</f>
        <v/>
      </c>
      <c r="AR195" s="257">
        <f>IF(AR$7="Actual","",IFERROR((INDEX($M195:$Q195,,MATCH(AR$4,$M$4:$Q$4,0))),0))</f>
        <v/>
      </c>
      <c r="AS195" s="257">
        <f>IF(AS$7="Actual","",IFERROR((INDEX($M195:$Q195,,MATCH(AS$4,$M$4:$Q$4,0))),0))</f>
        <v/>
      </c>
      <c r="AT195" s="257">
        <f>IF(AT$7="Actual","",IFERROR((INDEX($M195:$Q195,,MATCH(AT$4,$M$4:$Q$4,0))),0))</f>
        <v/>
      </c>
      <c r="AU195" s="257">
        <f>IF(AU$7="Actual","",IFERROR((INDEX($M195:$Q195,,MATCH(AU$4,$M$4:$Q$4,0))),0))</f>
        <v/>
      </c>
      <c r="AV195" s="257">
        <f>IF(AV$7="Actual","",IFERROR((INDEX($M195:$Q195,,MATCH(AV$4,$M$4:$Q$4,0))),0))</f>
        <v/>
      </c>
      <c r="AW195" s="257">
        <f>IF(AW$7="Actual","",IFERROR((INDEX($M195:$Q195,,MATCH(AW$4,$M$4:$Q$4,0))),0))</f>
        <v/>
      </c>
      <c r="AX195" s="257">
        <f>IF(AX$7="Actual","",IFERROR((INDEX($M195:$Q195,,MATCH(AX$4,$M$4:$Q$4,0))),0))</f>
        <v/>
      </c>
      <c r="AY195" s="257">
        <f>IF(AY$7="Actual","",IFERROR((INDEX($M195:$Q195,,MATCH(AY$4,$M$4:$Q$4,0))),0))</f>
        <v/>
      </c>
      <c r="AZ195" s="257">
        <f>IF(AZ$7="Actual","",IFERROR((INDEX($M195:$Q195,,MATCH(AZ$4,$M$4:$Q$4,0))),0))</f>
        <v/>
      </c>
      <c r="BA195" s="257">
        <f>IF(BA$7="Actual","",IFERROR((INDEX($M195:$Q195,,MATCH(BA$4,$M$4:$Q$4,0))),0))</f>
        <v/>
      </c>
      <c r="BB195" s="257">
        <f>IF(BB$7="Actual","",IFERROR((INDEX($M195:$Q195,,MATCH(BB$4,$M$4:$Q$4,0))),0))</f>
        <v/>
      </c>
      <c r="BC195" s="257">
        <f>IF(BC$7="Actual","",IFERROR((INDEX($M195:$Q195,,MATCH(BC$4,$M$4:$Q$4,0))),0))</f>
        <v/>
      </c>
      <c r="BD195" s="257">
        <f>IF(BD$7="Actual","",IFERROR((INDEX($M195:$Q195,,MATCH(BD$4,$M$4:$Q$4,0))),0))</f>
        <v/>
      </c>
      <c r="BE195" s="257">
        <f>IF(BE$7="Actual","",IFERROR((INDEX($M195:$Q195,,MATCH(BE$4,$M$4:$Q$4,0))),0))</f>
        <v/>
      </c>
      <c r="BF195" s="257">
        <f>IF(BF$7="Actual","",IFERROR((INDEX($M195:$Q195,,MATCH(BF$4,$M$4:$Q$4,0))),0))</f>
        <v/>
      </c>
      <c r="BG195" s="257">
        <f>IF(BG$7="Actual","",IFERROR((INDEX($M195:$Q195,,MATCH(BG$4,$M$4:$Q$4,0))),0))</f>
        <v/>
      </c>
      <c r="BH195" s="257">
        <f>IF(BH$7="Actual","",IFERROR((INDEX($M195:$Q195,,MATCH(BH$4,$M$4:$Q$4,0))),0))</f>
        <v/>
      </c>
      <c r="BI195" s="257">
        <f>IF(BI$7="Actual","",IFERROR((INDEX($M195:$Q195,,MATCH(BI$4,$M$4:$Q$4,0))),0))</f>
        <v/>
      </c>
      <c r="BJ195" s="257">
        <f>IF(BJ$7="Actual","",IFERROR((INDEX($M195:$Q195,,MATCH(BJ$4,$M$4:$Q$4,0))),0))</f>
        <v/>
      </c>
      <c r="BK195" s="257">
        <f>IF(BK$7="Actual","",IFERROR((INDEX($M195:$Q195,,MATCH(BK$4,$M$4:$Q$4,0))),0))</f>
        <v/>
      </c>
      <c r="BL195" s="257">
        <f>IF(BL$7="Actual","",IFERROR((INDEX($M195:$Q195,,MATCH(BL$4,$M$4:$Q$4,0))),0))</f>
        <v/>
      </c>
      <c r="BM195" s="257">
        <f>IF(BM$7="Actual","",IFERROR((INDEX($M195:$Q195,,MATCH(BM$4,$M$4:$Q$4,0))),0))</f>
        <v/>
      </c>
      <c r="BN195" s="257">
        <f>IF(BN$7="Actual","",IFERROR((INDEX($M195:$Q195,,MATCH(BN$4,$M$4:$Q$4,0))),0))</f>
        <v/>
      </c>
      <c r="BO195" s="257">
        <f>IF(BO$7="Actual","",IFERROR((INDEX($M195:$Q195,,MATCH(BO$4,$M$4:$Q$4,0))),0))</f>
        <v/>
      </c>
      <c r="BP195" s="257">
        <f>IF(BP$7="Actual","",IFERROR((INDEX($M195:$Q195,,MATCH(BP$4,$M$4:$Q$4,0))),0))</f>
        <v/>
      </c>
      <c r="BQ195" s="257">
        <f>IF(BQ$7="Actual","",IFERROR((INDEX($M195:$Q195,,MATCH(BQ$4,$M$4:$Q$4,0))),0))</f>
        <v/>
      </c>
      <c r="BR195" s="257">
        <f>IF(BR$7="Actual","",IFERROR((INDEX($M195:$Q195,,MATCH(BR$4,$M$4:$Q$4,0))),0))</f>
        <v/>
      </c>
      <c r="BS195" s="257">
        <f>IF(BS$7="Actual","",IFERROR((INDEX($M195:$Q195,,MATCH(BS$4,$M$4:$Q$4,0))),0))</f>
        <v/>
      </c>
      <c r="BT195" s="257">
        <f>IF(BT$7="Actual","",IFERROR((INDEX($M195:$Q195,,MATCH(BT$4,$M$4:$Q$4,0))),0))</f>
        <v/>
      </c>
      <c r="BU195" s="257">
        <f>IF(BU$7="Actual","",IFERROR((INDEX($M195:$Q195,,MATCH(BU$4,$M$4:$Q$4,0))),0))</f>
        <v/>
      </c>
      <c r="BV195" s="257">
        <f>IF(BV$7="Actual","",IFERROR((INDEX($M195:$Q195,,MATCH(BV$4,$M$4:$Q$4,0))),0))</f>
        <v/>
      </c>
      <c r="BW195" s="257">
        <f>IF(BW$7="Actual","",IFERROR((INDEX($M195:$Q195,,MATCH(BW$4,$M$4:$Q$4,0))),0))</f>
        <v/>
      </c>
      <c r="BX195" s="257">
        <f>IF(BX$7="Actual","",IFERROR((INDEX($M195:$Q195,,MATCH(BX$4,$M$4:$Q$4,0))),0))</f>
        <v/>
      </c>
      <c r="BY195" s="257">
        <f>IF(BY$7="Actual","",IFERROR((INDEX($M195:$Q195,,MATCH(BY$4,$M$4:$Q$4,0))),0))</f>
        <v/>
      </c>
      <c r="BZ195" s="257">
        <f>IF(BZ$7="Actual","",IFERROR((INDEX($M195:$Q195,,MATCH(BZ$4,$M$4:$Q$4,0))),0))</f>
        <v/>
      </c>
      <c r="CA195" s="257">
        <f>IF(CA$7="Actual","",IFERROR((INDEX($M195:$Q195,,MATCH(CA$4,$M$4:$Q$4,0))),0))</f>
        <v/>
      </c>
    </row>
    <row r="196" ht="12" customHeight="1" s="227">
      <c r="A196" s="244" t="n"/>
      <c r="B196" s="244" t="n"/>
      <c r="C196" s="244" t="n"/>
      <c r="H196" s="0">
        <f>H186</f>
        <v/>
      </c>
      <c r="I196" s="27">
        <f>i_Setup!$M$16</f>
        <v/>
      </c>
      <c r="K196" s="6" t="n"/>
      <c r="M196" s="257">
        <f>IF(M$7="Actual","",i_Assumptions!M399)</f>
        <v/>
      </c>
      <c r="N196" s="257">
        <f>IF(N$7="Actual","",i_Assumptions!N399)</f>
        <v/>
      </c>
      <c r="O196" s="257">
        <f>IF(O$7="Actual","",i_Assumptions!O399)</f>
        <v/>
      </c>
      <c r="P196" s="257">
        <f>IF(P$7="Actual","",i_Assumptions!P399)</f>
        <v/>
      </c>
      <c r="Q196" s="257">
        <f>IF(Q$7="Actual","",i_Assumptions!Q399)</f>
        <v/>
      </c>
      <c r="T196" s="257">
        <f>IF(T$7="Actual","",IFERROR((INDEX($M196:$Q196,,MATCH(T$4,$M$4:$Q$4,0))),0))</f>
        <v/>
      </c>
      <c r="U196" s="257">
        <f>IF(U$7="Actual","",IFERROR((INDEX($M196:$Q196,,MATCH(U$4,$M$4:$Q$4,0))),0))</f>
        <v/>
      </c>
      <c r="V196" s="257">
        <f>IF(V$7="Actual","",IFERROR((INDEX($M196:$Q196,,MATCH(V$4,$M$4:$Q$4,0))),0))</f>
        <v/>
      </c>
      <c r="W196" s="257">
        <f>IF(W$7="Actual","",IFERROR((INDEX($M196:$Q196,,MATCH(W$4,$M$4:$Q$4,0))),0))</f>
        <v/>
      </c>
      <c r="X196" s="257">
        <f>IF(X$7="Actual","",IFERROR((INDEX($M196:$Q196,,MATCH(X$4,$M$4:$Q$4,0))),0))</f>
        <v/>
      </c>
      <c r="Y196" s="257">
        <f>IF(Y$7="Actual","",IFERROR((INDEX($M196:$Q196,,MATCH(Y$4,$M$4:$Q$4,0))),0))</f>
        <v/>
      </c>
      <c r="Z196" s="257">
        <f>IF(Z$7="Actual","",IFERROR((INDEX($M196:$Q196,,MATCH(Z$4,$M$4:$Q$4,0))),0))</f>
        <v/>
      </c>
      <c r="AA196" s="257">
        <f>IF(AA$7="Actual","",IFERROR((INDEX($M196:$Q196,,MATCH(AA$4,$M$4:$Q$4,0))),0))</f>
        <v/>
      </c>
      <c r="AB196" s="257">
        <f>IF(AB$7="Actual","",IFERROR((INDEX($M196:$Q196,,MATCH(AB$4,$M$4:$Q$4,0))),0))</f>
        <v/>
      </c>
      <c r="AC196" s="257">
        <f>IF(AC$7="Actual","",IFERROR((INDEX($M196:$Q196,,MATCH(AC$4,$M$4:$Q$4,0))),0))</f>
        <v/>
      </c>
      <c r="AD196" s="257">
        <f>IF(AD$7="Actual","",IFERROR((INDEX($M196:$Q196,,MATCH(AD$4,$M$4:$Q$4,0))),0))</f>
        <v/>
      </c>
      <c r="AE196" s="257">
        <f>IF(AE$7="Actual","",IFERROR((INDEX($M196:$Q196,,MATCH(AE$4,$M$4:$Q$4,0))),0))</f>
        <v/>
      </c>
      <c r="AF196" s="257">
        <f>IF(AF$7="Actual","",IFERROR((INDEX($M196:$Q196,,MATCH(AF$4,$M$4:$Q$4,0))),0))</f>
        <v/>
      </c>
      <c r="AG196" s="257">
        <f>IF(AG$7="Actual","",IFERROR((INDEX($M196:$Q196,,MATCH(AG$4,$M$4:$Q$4,0))),0))</f>
        <v/>
      </c>
      <c r="AH196" s="257">
        <f>IF(AH$7="Actual","",IFERROR((INDEX($M196:$Q196,,MATCH(AH$4,$M$4:$Q$4,0))),0))</f>
        <v/>
      </c>
      <c r="AI196" s="257">
        <f>IF(AI$7="Actual","",IFERROR((INDEX($M196:$Q196,,MATCH(AI$4,$M$4:$Q$4,0))),0))</f>
        <v/>
      </c>
      <c r="AJ196" s="257">
        <f>IF(AJ$7="Actual","",IFERROR((INDEX($M196:$Q196,,MATCH(AJ$4,$M$4:$Q$4,0))),0))</f>
        <v/>
      </c>
      <c r="AK196" s="257">
        <f>IF(AK$7="Actual","",IFERROR((INDEX($M196:$Q196,,MATCH(AK$4,$M$4:$Q$4,0))),0))</f>
        <v/>
      </c>
      <c r="AL196" s="257">
        <f>IF(AL$7="Actual","",IFERROR((INDEX($M196:$Q196,,MATCH(AL$4,$M$4:$Q$4,0))),0))</f>
        <v/>
      </c>
      <c r="AM196" s="257">
        <f>IF(AM$7="Actual","",IFERROR((INDEX($M196:$Q196,,MATCH(AM$4,$M$4:$Q$4,0))),0))</f>
        <v/>
      </c>
      <c r="AN196" s="257">
        <f>IF(AN$7="Actual","",IFERROR((INDEX($M196:$Q196,,MATCH(AN$4,$M$4:$Q$4,0))),0))</f>
        <v/>
      </c>
      <c r="AO196" s="257">
        <f>IF(AO$7="Actual","",IFERROR((INDEX($M196:$Q196,,MATCH(AO$4,$M$4:$Q$4,0))),0))</f>
        <v/>
      </c>
      <c r="AP196" s="257">
        <f>IF(AP$7="Actual","",IFERROR((INDEX($M196:$Q196,,MATCH(AP$4,$M$4:$Q$4,0))),0))</f>
        <v/>
      </c>
      <c r="AQ196" s="257">
        <f>IF(AQ$7="Actual","",IFERROR((INDEX($M196:$Q196,,MATCH(AQ$4,$M$4:$Q$4,0))),0))</f>
        <v/>
      </c>
      <c r="AR196" s="257">
        <f>IF(AR$7="Actual","",IFERROR((INDEX($M196:$Q196,,MATCH(AR$4,$M$4:$Q$4,0))),0))</f>
        <v/>
      </c>
      <c r="AS196" s="257">
        <f>IF(AS$7="Actual","",IFERROR((INDEX($M196:$Q196,,MATCH(AS$4,$M$4:$Q$4,0))),0))</f>
        <v/>
      </c>
      <c r="AT196" s="257">
        <f>IF(AT$7="Actual","",IFERROR((INDEX($M196:$Q196,,MATCH(AT$4,$M$4:$Q$4,0))),0))</f>
        <v/>
      </c>
      <c r="AU196" s="257">
        <f>IF(AU$7="Actual","",IFERROR((INDEX($M196:$Q196,,MATCH(AU$4,$M$4:$Q$4,0))),0))</f>
        <v/>
      </c>
      <c r="AV196" s="257">
        <f>IF(AV$7="Actual","",IFERROR((INDEX($M196:$Q196,,MATCH(AV$4,$M$4:$Q$4,0))),0))</f>
        <v/>
      </c>
      <c r="AW196" s="257">
        <f>IF(AW$7="Actual","",IFERROR((INDEX($M196:$Q196,,MATCH(AW$4,$M$4:$Q$4,0))),0))</f>
        <v/>
      </c>
      <c r="AX196" s="257">
        <f>IF(AX$7="Actual","",IFERROR((INDEX($M196:$Q196,,MATCH(AX$4,$M$4:$Q$4,0))),0))</f>
        <v/>
      </c>
      <c r="AY196" s="257">
        <f>IF(AY$7="Actual","",IFERROR((INDEX($M196:$Q196,,MATCH(AY$4,$M$4:$Q$4,0))),0))</f>
        <v/>
      </c>
      <c r="AZ196" s="257">
        <f>IF(AZ$7="Actual","",IFERROR((INDEX($M196:$Q196,,MATCH(AZ$4,$M$4:$Q$4,0))),0))</f>
        <v/>
      </c>
      <c r="BA196" s="257">
        <f>IF(BA$7="Actual","",IFERROR((INDEX($M196:$Q196,,MATCH(BA$4,$M$4:$Q$4,0))),0))</f>
        <v/>
      </c>
      <c r="BB196" s="257">
        <f>IF(BB$7="Actual","",IFERROR((INDEX($M196:$Q196,,MATCH(BB$4,$M$4:$Q$4,0))),0))</f>
        <v/>
      </c>
      <c r="BC196" s="257">
        <f>IF(BC$7="Actual","",IFERROR((INDEX($M196:$Q196,,MATCH(BC$4,$M$4:$Q$4,0))),0))</f>
        <v/>
      </c>
      <c r="BD196" s="257">
        <f>IF(BD$7="Actual","",IFERROR((INDEX($M196:$Q196,,MATCH(BD$4,$M$4:$Q$4,0))),0))</f>
        <v/>
      </c>
      <c r="BE196" s="257">
        <f>IF(BE$7="Actual","",IFERROR((INDEX($M196:$Q196,,MATCH(BE$4,$M$4:$Q$4,0))),0))</f>
        <v/>
      </c>
      <c r="BF196" s="257">
        <f>IF(BF$7="Actual","",IFERROR((INDEX($M196:$Q196,,MATCH(BF$4,$M$4:$Q$4,0))),0))</f>
        <v/>
      </c>
      <c r="BG196" s="257">
        <f>IF(BG$7="Actual","",IFERROR((INDEX($M196:$Q196,,MATCH(BG$4,$M$4:$Q$4,0))),0))</f>
        <v/>
      </c>
      <c r="BH196" s="257">
        <f>IF(BH$7="Actual","",IFERROR((INDEX($M196:$Q196,,MATCH(BH$4,$M$4:$Q$4,0))),0))</f>
        <v/>
      </c>
      <c r="BI196" s="257">
        <f>IF(BI$7="Actual","",IFERROR((INDEX($M196:$Q196,,MATCH(BI$4,$M$4:$Q$4,0))),0))</f>
        <v/>
      </c>
      <c r="BJ196" s="257">
        <f>IF(BJ$7="Actual","",IFERROR((INDEX($M196:$Q196,,MATCH(BJ$4,$M$4:$Q$4,0))),0))</f>
        <v/>
      </c>
      <c r="BK196" s="257">
        <f>IF(BK$7="Actual","",IFERROR((INDEX($M196:$Q196,,MATCH(BK$4,$M$4:$Q$4,0))),0))</f>
        <v/>
      </c>
      <c r="BL196" s="257">
        <f>IF(BL$7="Actual","",IFERROR((INDEX($M196:$Q196,,MATCH(BL$4,$M$4:$Q$4,0))),0))</f>
        <v/>
      </c>
      <c r="BM196" s="257">
        <f>IF(BM$7="Actual","",IFERROR((INDEX($M196:$Q196,,MATCH(BM$4,$M$4:$Q$4,0))),0))</f>
        <v/>
      </c>
      <c r="BN196" s="257">
        <f>IF(BN$7="Actual","",IFERROR((INDEX($M196:$Q196,,MATCH(BN$4,$M$4:$Q$4,0))),0))</f>
        <v/>
      </c>
      <c r="BO196" s="257">
        <f>IF(BO$7="Actual","",IFERROR((INDEX($M196:$Q196,,MATCH(BO$4,$M$4:$Q$4,0))),0))</f>
        <v/>
      </c>
      <c r="BP196" s="257">
        <f>IF(BP$7="Actual","",IFERROR((INDEX($M196:$Q196,,MATCH(BP$4,$M$4:$Q$4,0))),0))</f>
        <v/>
      </c>
      <c r="BQ196" s="257">
        <f>IF(BQ$7="Actual","",IFERROR((INDEX($M196:$Q196,,MATCH(BQ$4,$M$4:$Q$4,0))),0))</f>
        <v/>
      </c>
      <c r="BR196" s="257">
        <f>IF(BR$7="Actual","",IFERROR((INDEX($M196:$Q196,,MATCH(BR$4,$M$4:$Q$4,0))),0))</f>
        <v/>
      </c>
      <c r="BS196" s="257">
        <f>IF(BS$7="Actual","",IFERROR((INDEX($M196:$Q196,,MATCH(BS$4,$M$4:$Q$4,0))),0))</f>
        <v/>
      </c>
      <c r="BT196" s="257">
        <f>IF(BT$7="Actual","",IFERROR((INDEX($M196:$Q196,,MATCH(BT$4,$M$4:$Q$4,0))),0))</f>
        <v/>
      </c>
      <c r="BU196" s="257">
        <f>IF(BU$7="Actual","",IFERROR((INDEX($M196:$Q196,,MATCH(BU$4,$M$4:$Q$4,0))),0))</f>
        <v/>
      </c>
      <c r="BV196" s="257">
        <f>IF(BV$7="Actual","",IFERROR((INDEX($M196:$Q196,,MATCH(BV$4,$M$4:$Q$4,0))),0))</f>
        <v/>
      </c>
      <c r="BW196" s="257">
        <f>IF(BW$7="Actual","",IFERROR((INDEX($M196:$Q196,,MATCH(BW$4,$M$4:$Q$4,0))),0))</f>
        <v/>
      </c>
      <c r="BX196" s="257">
        <f>IF(BX$7="Actual","",IFERROR((INDEX($M196:$Q196,,MATCH(BX$4,$M$4:$Q$4,0))),0))</f>
        <v/>
      </c>
      <c r="BY196" s="257">
        <f>IF(BY$7="Actual","",IFERROR((INDEX($M196:$Q196,,MATCH(BY$4,$M$4:$Q$4,0))),0))</f>
        <v/>
      </c>
      <c r="BZ196" s="257">
        <f>IF(BZ$7="Actual","",IFERROR((INDEX($M196:$Q196,,MATCH(BZ$4,$M$4:$Q$4,0))),0))</f>
        <v/>
      </c>
      <c r="CA196" s="257">
        <f>IF(CA$7="Actual","",IFERROR((INDEX($M196:$Q196,,MATCH(CA$4,$M$4:$Q$4,0))),0))</f>
        <v/>
      </c>
    </row>
    <row r="197" ht="12" customHeight="1" s="227">
      <c r="A197" s="244" t="n"/>
      <c r="B197" s="244" t="n"/>
      <c r="C197" s="244" t="n"/>
      <c r="H197" s="0">
        <f>H187</f>
        <v/>
      </c>
      <c r="I197" s="27">
        <f>i_Setup!$M$16</f>
        <v/>
      </c>
      <c r="K197" s="6" t="n"/>
      <c r="M197" s="257">
        <f>IF(M$7="Actual","",i_Assumptions!M400)</f>
        <v/>
      </c>
      <c r="N197" s="257">
        <f>IF(N$7="Actual","",i_Assumptions!N400)</f>
        <v/>
      </c>
      <c r="O197" s="257">
        <f>IF(O$7="Actual","",i_Assumptions!O400)</f>
        <v/>
      </c>
      <c r="P197" s="257">
        <f>IF(P$7="Actual","",i_Assumptions!P400)</f>
        <v/>
      </c>
      <c r="Q197" s="257">
        <f>IF(Q$7="Actual","",i_Assumptions!Q400)</f>
        <v/>
      </c>
      <c r="T197" s="257">
        <f>IF(T$7="Actual","",IFERROR((INDEX($M197:$Q197,,MATCH(T$4,$M$4:$Q$4,0))),0))</f>
        <v/>
      </c>
      <c r="U197" s="257">
        <f>IF(U$7="Actual","",IFERROR((INDEX($M197:$Q197,,MATCH(U$4,$M$4:$Q$4,0))),0))</f>
        <v/>
      </c>
      <c r="V197" s="257">
        <f>IF(V$7="Actual","",IFERROR((INDEX($M197:$Q197,,MATCH(V$4,$M$4:$Q$4,0))),0))</f>
        <v/>
      </c>
      <c r="W197" s="257">
        <f>IF(W$7="Actual","",IFERROR((INDEX($M197:$Q197,,MATCH(W$4,$M$4:$Q$4,0))),0))</f>
        <v/>
      </c>
      <c r="X197" s="257">
        <f>IF(X$7="Actual","",IFERROR((INDEX($M197:$Q197,,MATCH(X$4,$M$4:$Q$4,0))),0))</f>
        <v/>
      </c>
      <c r="Y197" s="257">
        <f>IF(Y$7="Actual","",IFERROR((INDEX($M197:$Q197,,MATCH(Y$4,$M$4:$Q$4,0))),0))</f>
        <v/>
      </c>
      <c r="Z197" s="257">
        <f>IF(Z$7="Actual","",IFERROR((INDEX($M197:$Q197,,MATCH(Z$4,$M$4:$Q$4,0))),0))</f>
        <v/>
      </c>
      <c r="AA197" s="257">
        <f>IF(AA$7="Actual","",IFERROR((INDEX($M197:$Q197,,MATCH(AA$4,$M$4:$Q$4,0))),0))</f>
        <v/>
      </c>
      <c r="AB197" s="257">
        <f>IF(AB$7="Actual","",IFERROR((INDEX($M197:$Q197,,MATCH(AB$4,$M$4:$Q$4,0))),0))</f>
        <v/>
      </c>
      <c r="AC197" s="257">
        <f>IF(AC$7="Actual","",IFERROR((INDEX($M197:$Q197,,MATCH(AC$4,$M$4:$Q$4,0))),0))</f>
        <v/>
      </c>
      <c r="AD197" s="257">
        <f>IF(AD$7="Actual","",IFERROR((INDEX($M197:$Q197,,MATCH(AD$4,$M$4:$Q$4,0))),0))</f>
        <v/>
      </c>
      <c r="AE197" s="257">
        <f>IF(AE$7="Actual","",IFERROR((INDEX($M197:$Q197,,MATCH(AE$4,$M$4:$Q$4,0))),0))</f>
        <v/>
      </c>
      <c r="AF197" s="257">
        <f>IF(AF$7="Actual","",IFERROR((INDEX($M197:$Q197,,MATCH(AF$4,$M$4:$Q$4,0))),0))</f>
        <v/>
      </c>
      <c r="AG197" s="257">
        <f>IF(AG$7="Actual","",IFERROR((INDEX($M197:$Q197,,MATCH(AG$4,$M$4:$Q$4,0))),0))</f>
        <v/>
      </c>
      <c r="AH197" s="257">
        <f>IF(AH$7="Actual","",IFERROR((INDEX($M197:$Q197,,MATCH(AH$4,$M$4:$Q$4,0))),0))</f>
        <v/>
      </c>
      <c r="AI197" s="257">
        <f>IF(AI$7="Actual","",IFERROR((INDEX($M197:$Q197,,MATCH(AI$4,$M$4:$Q$4,0))),0))</f>
        <v/>
      </c>
      <c r="AJ197" s="257">
        <f>IF(AJ$7="Actual","",IFERROR((INDEX($M197:$Q197,,MATCH(AJ$4,$M$4:$Q$4,0))),0))</f>
        <v/>
      </c>
      <c r="AK197" s="257">
        <f>IF(AK$7="Actual","",IFERROR((INDEX($M197:$Q197,,MATCH(AK$4,$M$4:$Q$4,0))),0))</f>
        <v/>
      </c>
      <c r="AL197" s="257">
        <f>IF(AL$7="Actual","",IFERROR((INDEX($M197:$Q197,,MATCH(AL$4,$M$4:$Q$4,0))),0))</f>
        <v/>
      </c>
      <c r="AM197" s="257">
        <f>IF(AM$7="Actual","",IFERROR((INDEX($M197:$Q197,,MATCH(AM$4,$M$4:$Q$4,0))),0))</f>
        <v/>
      </c>
      <c r="AN197" s="257">
        <f>IF(AN$7="Actual","",IFERROR((INDEX($M197:$Q197,,MATCH(AN$4,$M$4:$Q$4,0))),0))</f>
        <v/>
      </c>
      <c r="AO197" s="257">
        <f>IF(AO$7="Actual","",IFERROR((INDEX($M197:$Q197,,MATCH(AO$4,$M$4:$Q$4,0))),0))</f>
        <v/>
      </c>
      <c r="AP197" s="257">
        <f>IF(AP$7="Actual","",IFERROR((INDEX($M197:$Q197,,MATCH(AP$4,$M$4:$Q$4,0))),0))</f>
        <v/>
      </c>
      <c r="AQ197" s="257">
        <f>IF(AQ$7="Actual","",IFERROR((INDEX($M197:$Q197,,MATCH(AQ$4,$M$4:$Q$4,0))),0))</f>
        <v/>
      </c>
      <c r="AR197" s="257">
        <f>IF(AR$7="Actual","",IFERROR((INDEX($M197:$Q197,,MATCH(AR$4,$M$4:$Q$4,0))),0))</f>
        <v/>
      </c>
      <c r="AS197" s="257">
        <f>IF(AS$7="Actual","",IFERROR((INDEX($M197:$Q197,,MATCH(AS$4,$M$4:$Q$4,0))),0))</f>
        <v/>
      </c>
      <c r="AT197" s="257">
        <f>IF(AT$7="Actual","",IFERROR((INDEX($M197:$Q197,,MATCH(AT$4,$M$4:$Q$4,0))),0))</f>
        <v/>
      </c>
      <c r="AU197" s="257">
        <f>IF(AU$7="Actual","",IFERROR((INDEX($M197:$Q197,,MATCH(AU$4,$M$4:$Q$4,0))),0))</f>
        <v/>
      </c>
      <c r="AV197" s="257">
        <f>IF(AV$7="Actual","",IFERROR((INDEX($M197:$Q197,,MATCH(AV$4,$M$4:$Q$4,0))),0))</f>
        <v/>
      </c>
      <c r="AW197" s="257">
        <f>IF(AW$7="Actual","",IFERROR((INDEX($M197:$Q197,,MATCH(AW$4,$M$4:$Q$4,0))),0))</f>
        <v/>
      </c>
      <c r="AX197" s="257">
        <f>IF(AX$7="Actual","",IFERROR((INDEX($M197:$Q197,,MATCH(AX$4,$M$4:$Q$4,0))),0))</f>
        <v/>
      </c>
      <c r="AY197" s="257">
        <f>IF(AY$7="Actual","",IFERROR((INDEX($M197:$Q197,,MATCH(AY$4,$M$4:$Q$4,0))),0))</f>
        <v/>
      </c>
      <c r="AZ197" s="257">
        <f>IF(AZ$7="Actual","",IFERROR((INDEX($M197:$Q197,,MATCH(AZ$4,$M$4:$Q$4,0))),0))</f>
        <v/>
      </c>
      <c r="BA197" s="257">
        <f>IF(BA$7="Actual","",IFERROR((INDEX($M197:$Q197,,MATCH(BA$4,$M$4:$Q$4,0))),0))</f>
        <v/>
      </c>
      <c r="BB197" s="257">
        <f>IF(BB$7="Actual","",IFERROR((INDEX($M197:$Q197,,MATCH(BB$4,$M$4:$Q$4,0))),0))</f>
        <v/>
      </c>
      <c r="BC197" s="257">
        <f>IF(BC$7="Actual","",IFERROR((INDEX($M197:$Q197,,MATCH(BC$4,$M$4:$Q$4,0))),0))</f>
        <v/>
      </c>
      <c r="BD197" s="257">
        <f>IF(BD$7="Actual","",IFERROR((INDEX($M197:$Q197,,MATCH(BD$4,$M$4:$Q$4,0))),0))</f>
        <v/>
      </c>
      <c r="BE197" s="257">
        <f>IF(BE$7="Actual","",IFERROR((INDEX($M197:$Q197,,MATCH(BE$4,$M$4:$Q$4,0))),0))</f>
        <v/>
      </c>
      <c r="BF197" s="257">
        <f>IF(BF$7="Actual","",IFERROR((INDEX($M197:$Q197,,MATCH(BF$4,$M$4:$Q$4,0))),0))</f>
        <v/>
      </c>
      <c r="BG197" s="257">
        <f>IF(BG$7="Actual","",IFERROR((INDEX($M197:$Q197,,MATCH(BG$4,$M$4:$Q$4,0))),0))</f>
        <v/>
      </c>
      <c r="BH197" s="257">
        <f>IF(BH$7="Actual","",IFERROR((INDEX($M197:$Q197,,MATCH(BH$4,$M$4:$Q$4,0))),0))</f>
        <v/>
      </c>
      <c r="BI197" s="257">
        <f>IF(BI$7="Actual","",IFERROR((INDEX($M197:$Q197,,MATCH(BI$4,$M$4:$Q$4,0))),0))</f>
        <v/>
      </c>
      <c r="BJ197" s="257">
        <f>IF(BJ$7="Actual","",IFERROR((INDEX($M197:$Q197,,MATCH(BJ$4,$M$4:$Q$4,0))),0))</f>
        <v/>
      </c>
      <c r="BK197" s="257">
        <f>IF(BK$7="Actual","",IFERROR((INDEX($M197:$Q197,,MATCH(BK$4,$M$4:$Q$4,0))),0))</f>
        <v/>
      </c>
      <c r="BL197" s="257">
        <f>IF(BL$7="Actual","",IFERROR((INDEX($M197:$Q197,,MATCH(BL$4,$M$4:$Q$4,0))),0))</f>
        <v/>
      </c>
      <c r="BM197" s="257">
        <f>IF(BM$7="Actual","",IFERROR((INDEX($M197:$Q197,,MATCH(BM$4,$M$4:$Q$4,0))),0))</f>
        <v/>
      </c>
      <c r="BN197" s="257">
        <f>IF(BN$7="Actual","",IFERROR((INDEX($M197:$Q197,,MATCH(BN$4,$M$4:$Q$4,0))),0))</f>
        <v/>
      </c>
      <c r="BO197" s="257">
        <f>IF(BO$7="Actual","",IFERROR((INDEX($M197:$Q197,,MATCH(BO$4,$M$4:$Q$4,0))),0))</f>
        <v/>
      </c>
      <c r="BP197" s="257">
        <f>IF(BP$7="Actual","",IFERROR((INDEX($M197:$Q197,,MATCH(BP$4,$M$4:$Q$4,0))),0))</f>
        <v/>
      </c>
      <c r="BQ197" s="257">
        <f>IF(BQ$7="Actual","",IFERROR((INDEX($M197:$Q197,,MATCH(BQ$4,$M$4:$Q$4,0))),0))</f>
        <v/>
      </c>
      <c r="BR197" s="257">
        <f>IF(BR$7="Actual","",IFERROR((INDEX($M197:$Q197,,MATCH(BR$4,$M$4:$Q$4,0))),0))</f>
        <v/>
      </c>
      <c r="BS197" s="257">
        <f>IF(BS$7="Actual","",IFERROR((INDEX($M197:$Q197,,MATCH(BS$4,$M$4:$Q$4,0))),0))</f>
        <v/>
      </c>
      <c r="BT197" s="257">
        <f>IF(BT$7="Actual","",IFERROR((INDEX($M197:$Q197,,MATCH(BT$4,$M$4:$Q$4,0))),0))</f>
        <v/>
      </c>
      <c r="BU197" s="257">
        <f>IF(BU$7="Actual","",IFERROR((INDEX($M197:$Q197,,MATCH(BU$4,$M$4:$Q$4,0))),0))</f>
        <v/>
      </c>
      <c r="BV197" s="257">
        <f>IF(BV$7="Actual","",IFERROR((INDEX($M197:$Q197,,MATCH(BV$4,$M$4:$Q$4,0))),0))</f>
        <v/>
      </c>
      <c r="BW197" s="257">
        <f>IF(BW$7="Actual","",IFERROR((INDEX($M197:$Q197,,MATCH(BW$4,$M$4:$Q$4,0))),0))</f>
        <v/>
      </c>
      <c r="BX197" s="257">
        <f>IF(BX$7="Actual","",IFERROR((INDEX($M197:$Q197,,MATCH(BX$4,$M$4:$Q$4,0))),0))</f>
        <v/>
      </c>
      <c r="BY197" s="257">
        <f>IF(BY$7="Actual","",IFERROR((INDEX($M197:$Q197,,MATCH(BY$4,$M$4:$Q$4,0))),0))</f>
        <v/>
      </c>
      <c r="BZ197" s="257">
        <f>IF(BZ$7="Actual","",IFERROR((INDEX($M197:$Q197,,MATCH(BZ$4,$M$4:$Q$4,0))),0))</f>
        <v/>
      </c>
      <c r="CA197" s="257">
        <f>IF(CA$7="Actual","",IFERROR((INDEX($M197:$Q197,,MATCH(CA$4,$M$4:$Q$4,0))),0))</f>
        <v/>
      </c>
    </row>
    <row r="198" ht="12" customHeight="1" s="227">
      <c r="A198" s="244" t="n"/>
      <c r="B198" s="244" t="n"/>
      <c r="C198" s="244" t="n"/>
      <c r="H198" s="0">
        <f>H188</f>
        <v/>
      </c>
      <c r="I198" s="27">
        <f>i_Setup!$M$16</f>
        <v/>
      </c>
      <c r="K198" s="6" t="n"/>
      <c r="M198" s="257">
        <f>IF(M$7="Actual","",i_Assumptions!M401)</f>
        <v/>
      </c>
      <c r="N198" s="257">
        <f>IF(N$7="Actual","",i_Assumptions!N401)</f>
        <v/>
      </c>
      <c r="O198" s="257">
        <f>IF(O$7="Actual","",i_Assumptions!O401)</f>
        <v/>
      </c>
      <c r="P198" s="257">
        <f>IF(P$7="Actual","",i_Assumptions!P401)</f>
        <v/>
      </c>
      <c r="Q198" s="257">
        <f>IF(Q$7="Actual","",i_Assumptions!Q401)</f>
        <v/>
      </c>
      <c r="T198" s="257">
        <f>IF(T$7="Actual","",IFERROR((INDEX($M198:$Q198,,MATCH(T$4,$M$4:$Q$4,0))),0))</f>
        <v/>
      </c>
      <c r="U198" s="257">
        <f>IF(U$7="Actual","",IFERROR((INDEX($M198:$Q198,,MATCH(U$4,$M$4:$Q$4,0))),0))</f>
        <v/>
      </c>
      <c r="V198" s="257">
        <f>IF(V$7="Actual","",IFERROR((INDEX($M198:$Q198,,MATCH(V$4,$M$4:$Q$4,0))),0))</f>
        <v/>
      </c>
      <c r="W198" s="257">
        <f>IF(W$7="Actual","",IFERROR((INDEX($M198:$Q198,,MATCH(W$4,$M$4:$Q$4,0))),0))</f>
        <v/>
      </c>
      <c r="X198" s="257">
        <f>IF(X$7="Actual","",IFERROR((INDEX($M198:$Q198,,MATCH(X$4,$M$4:$Q$4,0))),0))</f>
        <v/>
      </c>
      <c r="Y198" s="257">
        <f>IF(Y$7="Actual","",IFERROR((INDEX($M198:$Q198,,MATCH(Y$4,$M$4:$Q$4,0))),0))</f>
        <v/>
      </c>
      <c r="Z198" s="257">
        <f>IF(Z$7="Actual","",IFERROR((INDEX($M198:$Q198,,MATCH(Z$4,$M$4:$Q$4,0))),0))</f>
        <v/>
      </c>
      <c r="AA198" s="257">
        <f>IF(AA$7="Actual","",IFERROR((INDEX($M198:$Q198,,MATCH(AA$4,$M$4:$Q$4,0))),0))</f>
        <v/>
      </c>
      <c r="AB198" s="257">
        <f>IF(AB$7="Actual","",IFERROR((INDEX($M198:$Q198,,MATCH(AB$4,$M$4:$Q$4,0))),0))</f>
        <v/>
      </c>
      <c r="AC198" s="257">
        <f>IF(AC$7="Actual","",IFERROR((INDEX($M198:$Q198,,MATCH(AC$4,$M$4:$Q$4,0))),0))</f>
        <v/>
      </c>
      <c r="AD198" s="257">
        <f>IF(AD$7="Actual","",IFERROR((INDEX($M198:$Q198,,MATCH(AD$4,$M$4:$Q$4,0))),0))</f>
        <v/>
      </c>
      <c r="AE198" s="257">
        <f>IF(AE$7="Actual","",IFERROR((INDEX($M198:$Q198,,MATCH(AE$4,$M$4:$Q$4,0))),0))</f>
        <v/>
      </c>
      <c r="AF198" s="257">
        <f>IF(AF$7="Actual","",IFERROR((INDEX($M198:$Q198,,MATCH(AF$4,$M$4:$Q$4,0))),0))</f>
        <v/>
      </c>
      <c r="AG198" s="257">
        <f>IF(AG$7="Actual","",IFERROR((INDEX($M198:$Q198,,MATCH(AG$4,$M$4:$Q$4,0))),0))</f>
        <v/>
      </c>
      <c r="AH198" s="257">
        <f>IF(AH$7="Actual","",IFERROR((INDEX($M198:$Q198,,MATCH(AH$4,$M$4:$Q$4,0))),0))</f>
        <v/>
      </c>
      <c r="AI198" s="257">
        <f>IF(AI$7="Actual","",IFERROR((INDEX($M198:$Q198,,MATCH(AI$4,$M$4:$Q$4,0))),0))</f>
        <v/>
      </c>
      <c r="AJ198" s="257">
        <f>IF(AJ$7="Actual","",IFERROR((INDEX($M198:$Q198,,MATCH(AJ$4,$M$4:$Q$4,0))),0))</f>
        <v/>
      </c>
      <c r="AK198" s="257">
        <f>IF(AK$7="Actual","",IFERROR((INDEX($M198:$Q198,,MATCH(AK$4,$M$4:$Q$4,0))),0))</f>
        <v/>
      </c>
      <c r="AL198" s="257">
        <f>IF(AL$7="Actual","",IFERROR((INDEX($M198:$Q198,,MATCH(AL$4,$M$4:$Q$4,0))),0))</f>
        <v/>
      </c>
      <c r="AM198" s="257">
        <f>IF(AM$7="Actual","",IFERROR((INDEX($M198:$Q198,,MATCH(AM$4,$M$4:$Q$4,0))),0))</f>
        <v/>
      </c>
      <c r="AN198" s="257">
        <f>IF(AN$7="Actual","",IFERROR((INDEX($M198:$Q198,,MATCH(AN$4,$M$4:$Q$4,0))),0))</f>
        <v/>
      </c>
      <c r="AO198" s="257">
        <f>IF(AO$7="Actual","",IFERROR((INDEX($M198:$Q198,,MATCH(AO$4,$M$4:$Q$4,0))),0))</f>
        <v/>
      </c>
      <c r="AP198" s="257">
        <f>IF(AP$7="Actual","",IFERROR((INDEX($M198:$Q198,,MATCH(AP$4,$M$4:$Q$4,0))),0))</f>
        <v/>
      </c>
      <c r="AQ198" s="257">
        <f>IF(AQ$7="Actual","",IFERROR((INDEX($M198:$Q198,,MATCH(AQ$4,$M$4:$Q$4,0))),0))</f>
        <v/>
      </c>
      <c r="AR198" s="257">
        <f>IF(AR$7="Actual","",IFERROR((INDEX($M198:$Q198,,MATCH(AR$4,$M$4:$Q$4,0))),0))</f>
        <v/>
      </c>
      <c r="AS198" s="257">
        <f>IF(AS$7="Actual","",IFERROR((INDEX($M198:$Q198,,MATCH(AS$4,$M$4:$Q$4,0))),0))</f>
        <v/>
      </c>
      <c r="AT198" s="257">
        <f>IF(AT$7="Actual","",IFERROR((INDEX($M198:$Q198,,MATCH(AT$4,$M$4:$Q$4,0))),0))</f>
        <v/>
      </c>
      <c r="AU198" s="257">
        <f>IF(AU$7="Actual","",IFERROR((INDEX($M198:$Q198,,MATCH(AU$4,$M$4:$Q$4,0))),0))</f>
        <v/>
      </c>
      <c r="AV198" s="257">
        <f>IF(AV$7="Actual","",IFERROR((INDEX($M198:$Q198,,MATCH(AV$4,$M$4:$Q$4,0))),0))</f>
        <v/>
      </c>
      <c r="AW198" s="257">
        <f>IF(AW$7="Actual","",IFERROR((INDEX($M198:$Q198,,MATCH(AW$4,$M$4:$Q$4,0))),0))</f>
        <v/>
      </c>
      <c r="AX198" s="257">
        <f>IF(AX$7="Actual","",IFERROR((INDEX($M198:$Q198,,MATCH(AX$4,$M$4:$Q$4,0))),0))</f>
        <v/>
      </c>
      <c r="AY198" s="257">
        <f>IF(AY$7="Actual","",IFERROR((INDEX($M198:$Q198,,MATCH(AY$4,$M$4:$Q$4,0))),0))</f>
        <v/>
      </c>
      <c r="AZ198" s="257">
        <f>IF(AZ$7="Actual","",IFERROR((INDEX($M198:$Q198,,MATCH(AZ$4,$M$4:$Q$4,0))),0))</f>
        <v/>
      </c>
      <c r="BA198" s="257">
        <f>IF(BA$7="Actual","",IFERROR((INDEX($M198:$Q198,,MATCH(BA$4,$M$4:$Q$4,0))),0))</f>
        <v/>
      </c>
      <c r="BB198" s="257">
        <f>IF(BB$7="Actual","",IFERROR((INDEX($M198:$Q198,,MATCH(BB$4,$M$4:$Q$4,0))),0))</f>
        <v/>
      </c>
      <c r="BC198" s="257">
        <f>IF(BC$7="Actual","",IFERROR((INDEX($M198:$Q198,,MATCH(BC$4,$M$4:$Q$4,0))),0))</f>
        <v/>
      </c>
      <c r="BD198" s="257">
        <f>IF(BD$7="Actual","",IFERROR((INDEX($M198:$Q198,,MATCH(BD$4,$M$4:$Q$4,0))),0))</f>
        <v/>
      </c>
      <c r="BE198" s="257">
        <f>IF(BE$7="Actual","",IFERROR((INDEX($M198:$Q198,,MATCH(BE$4,$M$4:$Q$4,0))),0))</f>
        <v/>
      </c>
      <c r="BF198" s="257">
        <f>IF(BF$7="Actual","",IFERROR((INDEX($M198:$Q198,,MATCH(BF$4,$M$4:$Q$4,0))),0))</f>
        <v/>
      </c>
      <c r="BG198" s="257">
        <f>IF(BG$7="Actual","",IFERROR((INDEX($M198:$Q198,,MATCH(BG$4,$M$4:$Q$4,0))),0))</f>
        <v/>
      </c>
      <c r="BH198" s="257">
        <f>IF(BH$7="Actual","",IFERROR((INDEX($M198:$Q198,,MATCH(BH$4,$M$4:$Q$4,0))),0))</f>
        <v/>
      </c>
      <c r="BI198" s="257">
        <f>IF(BI$7="Actual","",IFERROR((INDEX($M198:$Q198,,MATCH(BI$4,$M$4:$Q$4,0))),0))</f>
        <v/>
      </c>
      <c r="BJ198" s="257">
        <f>IF(BJ$7="Actual","",IFERROR((INDEX($M198:$Q198,,MATCH(BJ$4,$M$4:$Q$4,0))),0))</f>
        <v/>
      </c>
      <c r="BK198" s="257">
        <f>IF(BK$7="Actual","",IFERROR((INDEX($M198:$Q198,,MATCH(BK$4,$M$4:$Q$4,0))),0))</f>
        <v/>
      </c>
      <c r="BL198" s="257">
        <f>IF(BL$7="Actual","",IFERROR((INDEX($M198:$Q198,,MATCH(BL$4,$M$4:$Q$4,0))),0))</f>
        <v/>
      </c>
      <c r="BM198" s="257">
        <f>IF(BM$7="Actual","",IFERROR((INDEX($M198:$Q198,,MATCH(BM$4,$M$4:$Q$4,0))),0))</f>
        <v/>
      </c>
      <c r="BN198" s="257">
        <f>IF(BN$7="Actual","",IFERROR((INDEX($M198:$Q198,,MATCH(BN$4,$M$4:$Q$4,0))),0))</f>
        <v/>
      </c>
      <c r="BO198" s="257">
        <f>IF(BO$7="Actual","",IFERROR((INDEX($M198:$Q198,,MATCH(BO$4,$M$4:$Q$4,0))),0))</f>
        <v/>
      </c>
      <c r="BP198" s="257">
        <f>IF(BP$7="Actual","",IFERROR((INDEX($M198:$Q198,,MATCH(BP$4,$M$4:$Q$4,0))),0))</f>
        <v/>
      </c>
      <c r="BQ198" s="257">
        <f>IF(BQ$7="Actual","",IFERROR((INDEX($M198:$Q198,,MATCH(BQ$4,$M$4:$Q$4,0))),0))</f>
        <v/>
      </c>
      <c r="BR198" s="257">
        <f>IF(BR$7="Actual","",IFERROR((INDEX($M198:$Q198,,MATCH(BR$4,$M$4:$Q$4,0))),0))</f>
        <v/>
      </c>
      <c r="BS198" s="257">
        <f>IF(BS$7="Actual","",IFERROR((INDEX($M198:$Q198,,MATCH(BS$4,$M$4:$Q$4,0))),0))</f>
        <v/>
      </c>
      <c r="BT198" s="257">
        <f>IF(BT$7="Actual","",IFERROR((INDEX($M198:$Q198,,MATCH(BT$4,$M$4:$Q$4,0))),0))</f>
        <v/>
      </c>
      <c r="BU198" s="257">
        <f>IF(BU$7="Actual","",IFERROR((INDEX($M198:$Q198,,MATCH(BU$4,$M$4:$Q$4,0))),0))</f>
        <v/>
      </c>
      <c r="BV198" s="257">
        <f>IF(BV$7="Actual","",IFERROR((INDEX($M198:$Q198,,MATCH(BV$4,$M$4:$Q$4,0))),0))</f>
        <v/>
      </c>
      <c r="BW198" s="257">
        <f>IF(BW$7="Actual","",IFERROR((INDEX($M198:$Q198,,MATCH(BW$4,$M$4:$Q$4,0))),0))</f>
        <v/>
      </c>
      <c r="BX198" s="257">
        <f>IF(BX$7="Actual","",IFERROR((INDEX($M198:$Q198,,MATCH(BX$4,$M$4:$Q$4,0))),0))</f>
        <v/>
      </c>
      <c r="BY198" s="257">
        <f>IF(BY$7="Actual","",IFERROR((INDEX($M198:$Q198,,MATCH(BY$4,$M$4:$Q$4,0))),0))</f>
        <v/>
      </c>
      <c r="BZ198" s="257">
        <f>IF(BZ$7="Actual","",IFERROR((INDEX($M198:$Q198,,MATCH(BZ$4,$M$4:$Q$4,0))),0))</f>
        <v/>
      </c>
      <c r="CA198" s="257">
        <f>IF(CA$7="Actual","",IFERROR((INDEX($M198:$Q198,,MATCH(CA$4,$M$4:$Q$4,0))),0))</f>
        <v/>
      </c>
    </row>
    <row r="199" ht="12" customHeight="1" s="227">
      <c r="A199" s="244" t="n"/>
      <c r="B199" s="244" t="n"/>
      <c r="C199" s="244" t="n"/>
      <c r="H199" s="0">
        <f>H189</f>
        <v/>
      </c>
      <c r="I199" s="27">
        <f>i_Setup!$M$16</f>
        <v/>
      </c>
      <c r="K199" s="6" t="n"/>
      <c r="M199" s="257">
        <f>IF(M$7="Actual","",i_Assumptions!M402)</f>
        <v/>
      </c>
      <c r="N199" s="257">
        <f>IF(N$7="Actual","",i_Assumptions!N402)</f>
        <v/>
      </c>
      <c r="O199" s="257">
        <f>IF(O$7="Actual","",i_Assumptions!O402)</f>
        <v/>
      </c>
      <c r="P199" s="257">
        <f>IF(P$7="Actual","",i_Assumptions!P402)</f>
        <v/>
      </c>
      <c r="Q199" s="257">
        <f>IF(Q$7="Actual","",i_Assumptions!Q402)</f>
        <v/>
      </c>
      <c r="T199" s="257">
        <f>IF(T$7="Actual","",IFERROR((INDEX($M199:$Q199,,MATCH(T$4,$M$4:$Q$4,0))),0))</f>
        <v/>
      </c>
      <c r="U199" s="257">
        <f>IF(U$7="Actual","",IFERROR((INDEX($M199:$Q199,,MATCH(U$4,$M$4:$Q$4,0))),0))</f>
        <v/>
      </c>
      <c r="V199" s="257">
        <f>IF(V$7="Actual","",IFERROR((INDEX($M199:$Q199,,MATCH(V$4,$M$4:$Q$4,0))),0))</f>
        <v/>
      </c>
      <c r="W199" s="257">
        <f>IF(W$7="Actual","",IFERROR((INDEX($M199:$Q199,,MATCH(W$4,$M$4:$Q$4,0))),0))</f>
        <v/>
      </c>
      <c r="X199" s="257">
        <f>IF(X$7="Actual","",IFERROR((INDEX($M199:$Q199,,MATCH(X$4,$M$4:$Q$4,0))),0))</f>
        <v/>
      </c>
      <c r="Y199" s="257">
        <f>IF(Y$7="Actual","",IFERROR((INDEX($M199:$Q199,,MATCH(Y$4,$M$4:$Q$4,0))),0))</f>
        <v/>
      </c>
      <c r="Z199" s="257">
        <f>IF(Z$7="Actual","",IFERROR((INDEX($M199:$Q199,,MATCH(Z$4,$M$4:$Q$4,0))),0))</f>
        <v/>
      </c>
      <c r="AA199" s="257">
        <f>IF(AA$7="Actual","",IFERROR((INDEX($M199:$Q199,,MATCH(AA$4,$M$4:$Q$4,0))),0))</f>
        <v/>
      </c>
      <c r="AB199" s="257">
        <f>IF(AB$7="Actual","",IFERROR((INDEX($M199:$Q199,,MATCH(AB$4,$M$4:$Q$4,0))),0))</f>
        <v/>
      </c>
      <c r="AC199" s="257">
        <f>IF(AC$7="Actual","",IFERROR((INDEX($M199:$Q199,,MATCH(AC$4,$M$4:$Q$4,0))),0))</f>
        <v/>
      </c>
      <c r="AD199" s="257">
        <f>IF(AD$7="Actual","",IFERROR((INDEX($M199:$Q199,,MATCH(AD$4,$M$4:$Q$4,0))),0))</f>
        <v/>
      </c>
      <c r="AE199" s="257">
        <f>IF(AE$7="Actual","",IFERROR((INDEX($M199:$Q199,,MATCH(AE$4,$M$4:$Q$4,0))),0))</f>
        <v/>
      </c>
      <c r="AF199" s="257">
        <f>IF(AF$7="Actual","",IFERROR((INDEX($M199:$Q199,,MATCH(AF$4,$M$4:$Q$4,0))),0))</f>
        <v/>
      </c>
      <c r="AG199" s="257">
        <f>IF(AG$7="Actual","",IFERROR((INDEX($M199:$Q199,,MATCH(AG$4,$M$4:$Q$4,0))),0))</f>
        <v/>
      </c>
      <c r="AH199" s="257">
        <f>IF(AH$7="Actual","",IFERROR((INDEX($M199:$Q199,,MATCH(AH$4,$M$4:$Q$4,0))),0))</f>
        <v/>
      </c>
      <c r="AI199" s="257">
        <f>IF(AI$7="Actual","",IFERROR((INDEX($M199:$Q199,,MATCH(AI$4,$M$4:$Q$4,0))),0))</f>
        <v/>
      </c>
      <c r="AJ199" s="257">
        <f>IF(AJ$7="Actual","",IFERROR((INDEX($M199:$Q199,,MATCH(AJ$4,$M$4:$Q$4,0))),0))</f>
        <v/>
      </c>
      <c r="AK199" s="257">
        <f>IF(AK$7="Actual","",IFERROR((INDEX($M199:$Q199,,MATCH(AK$4,$M$4:$Q$4,0))),0))</f>
        <v/>
      </c>
      <c r="AL199" s="257">
        <f>IF(AL$7="Actual","",IFERROR((INDEX($M199:$Q199,,MATCH(AL$4,$M$4:$Q$4,0))),0))</f>
        <v/>
      </c>
      <c r="AM199" s="257">
        <f>IF(AM$7="Actual","",IFERROR((INDEX($M199:$Q199,,MATCH(AM$4,$M$4:$Q$4,0))),0))</f>
        <v/>
      </c>
      <c r="AN199" s="257">
        <f>IF(AN$7="Actual","",IFERROR((INDEX($M199:$Q199,,MATCH(AN$4,$M$4:$Q$4,0))),0))</f>
        <v/>
      </c>
      <c r="AO199" s="257">
        <f>IF(AO$7="Actual","",IFERROR((INDEX($M199:$Q199,,MATCH(AO$4,$M$4:$Q$4,0))),0))</f>
        <v/>
      </c>
      <c r="AP199" s="257">
        <f>IF(AP$7="Actual","",IFERROR((INDEX($M199:$Q199,,MATCH(AP$4,$M$4:$Q$4,0))),0))</f>
        <v/>
      </c>
      <c r="AQ199" s="257">
        <f>IF(AQ$7="Actual","",IFERROR((INDEX($M199:$Q199,,MATCH(AQ$4,$M$4:$Q$4,0))),0))</f>
        <v/>
      </c>
      <c r="AR199" s="257">
        <f>IF(AR$7="Actual","",IFERROR((INDEX($M199:$Q199,,MATCH(AR$4,$M$4:$Q$4,0))),0))</f>
        <v/>
      </c>
      <c r="AS199" s="257">
        <f>IF(AS$7="Actual","",IFERROR((INDEX($M199:$Q199,,MATCH(AS$4,$M$4:$Q$4,0))),0))</f>
        <v/>
      </c>
      <c r="AT199" s="257">
        <f>IF(AT$7="Actual","",IFERROR((INDEX($M199:$Q199,,MATCH(AT$4,$M$4:$Q$4,0))),0))</f>
        <v/>
      </c>
      <c r="AU199" s="257">
        <f>IF(AU$7="Actual","",IFERROR((INDEX($M199:$Q199,,MATCH(AU$4,$M$4:$Q$4,0))),0))</f>
        <v/>
      </c>
      <c r="AV199" s="257">
        <f>IF(AV$7="Actual","",IFERROR((INDEX($M199:$Q199,,MATCH(AV$4,$M$4:$Q$4,0))),0))</f>
        <v/>
      </c>
      <c r="AW199" s="257">
        <f>IF(AW$7="Actual","",IFERROR((INDEX($M199:$Q199,,MATCH(AW$4,$M$4:$Q$4,0))),0))</f>
        <v/>
      </c>
      <c r="AX199" s="257">
        <f>IF(AX$7="Actual","",IFERROR((INDEX($M199:$Q199,,MATCH(AX$4,$M$4:$Q$4,0))),0))</f>
        <v/>
      </c>
      <c r="AY199" s="257">
        <f>IF(AY$7="Actual","",IFERROR((INDEX($M199:$Q199,,MATCH(AY$4,$M$4:$Q$4,0))),0))</f>
        <v/>
      </c>
      <c r="AZ199" s="257">
        <f>IF(AZ$7="Actual","",IFERROR((INDEX($M199:$Q199,,MATCH(AZ$4,$M$4:$Q$4,0))),0))</f>
        <v/>
      </c>
      <c r="BA199" s="257">
        <f>IF(BA$7="Actual","",IFERROR((INDEX($M199:$Q199,,MATCH(BA$4,$M$4:$Q$4,0))),0))</f>
        <v/>
      </c>
      <c r="BB199" s="257">
        <f>IF(BB$7="Actual","",IFERROR((INDEX($M199:$Q199,,MATCH(BB$4,$M$4:$Q$4,0))),0))</f>
        <v/>
      </c>
      <c r="BC199" s="257">
        <f>IF(BC$7="Actual","",IFERROR((INDEX($M199:$Q199,,MATCH(BC$4,$M$4:$Q$4,0))),0))</f>
        <v/>
      </c>
      <c r="BD199" s="257">
        <f>IF(BD$7="Actual","",IFERROR((INDEX($M199:$Q199,,MATCH(BD$4,$M$4:$Q$4,0))),0))</f>
        <v/>
      </c>
      <c r="BE199" s="257">
        <f>IF(BE$7="Actual","",IFERROR((INDEX($M199:$Q199,,MATCH(BE$4,$M$4:$Q$4,0))),0))</f>
        <v/>
      </c>
      <c r="BF199" s="257">
        <f>IF(BF$7="Actual","",IFERROR((INDEX($M199:$Q199,,MATCH(BF$4,$M$4:$Q$4,0))),0))</f>
        <v/>
      </c>
      <c r="BG199" s="257">
        <f>IF(BG$7="Actual","",IFERROR((INDEX($M199:$Q199,,MATCH(BG$4,$M$4:$Q$4,0))),0))</f>
        <v/>
      </c>
      <c r="BH199" s="257">
        <f>IF(BH$7="Actual","",IFERROR((INDEX($M199:$Q199,,MATCH(BH$4,$M$4:$Q$4,0))),0))</f>
        <v/>
      </c>
      <c r="BI199" s="257">
        <f>IF(BI$7="Actual","",IFERROR((INDEX($M199:$Q199,,MATCH(BI$4,$M$4:$Q$4,0))),0))</f>
        <v/>
      </c>
      <c r="BJ199" s="257">
        <f>IF(BJ$7="Actual","",IFERROR((INDEX($M199:$Q199,,MATCH(BJ$4,$M$4:$Q$4,0))),0))</f>
        <v/>
      </c>
      <c r="BK199" s="257">
        <f>IF(BK$7="Actual","",IFERROR((INDEX($M199:$Q199,,MATCH(BK$4,$M$4:$Q$4,0))),0))</f>
        <v/>
      </c>
      <c r="BL199" s="257">
        <f>IF(BL$7="Actual","",IFERROR((INDEX($M199:$Q199,,MATCH(BL$4,$M$4:$Q$4,0))),0))</f>
        <v/>
      </c>
      <c r="BM199" s="257">
        <f>IF(BM$7="Actual","",IFERROR((INDEX($M199:$Q199,,MATCH(BM$4,$M$4:$Q$4,0))),0))</f>
        <v/>
      </c>
      <c r="BN199" s="257">
        <f>IF(BN$7="Actual","",IFERROR((INDEX($M199:$Q199,,MATCH(BN$4,$M$4:$Q$4,0))),0))</f>
        <v/>
      </c>
      <c r="BO199" s="257">
        <f>IF(BO$7="Actual","",IFERROR((INDEX($M199:$Q199,,MATCH(BO$4,$M$4:$Q$4,0))),0))</f>
        <v/>
      </c>
      <c r="BP199" s="257">
        <f>IF(BP$7="Actual","",IFERROR((INDEX($M199:$Q199,,MATCH(BP$4,$M$4:$Q$4,0))),0))</f>
        <v/>
      </c>
      <c r="BQ199" s="257">
        <f>IF(BQ$7="Actual","",IFERROR((INDEX($M199:$Q199,,MATCH(BQ$4,$M$4:$Q$4,0))),0))</f>
        <v/>
      </c>
      <c r="BR199" s="257">
        <f>IF(BR$7="Actual","",IFERROR((INDEX($M199:$Q199,,MATCH(BR$4,$M$4:$Q$4,0))),0))</f>
        <v/>
      </c>
      <c r="BS199" s="257">
        <f>IF(BS$7="Actual","",IFERROR((INDEX($M199:$Q199,,MATCH(BS$4,$M$4:$Q$4,0))),0))</f>
        <v/>
      </c>
      <c r="BT199" s="257">
        <f>IF(BT$7="Actual","",IFERROR((INDEX($M199:$Q199,,MATCH(BT$4,$M$4:$Q$4,0))),0))</f>
        <v/>
      </c>
      <c r="BU199" s="257">
        <f>IF(BU$7="Actual","",IFERROR((INDEX($M199:$Q199,,MATCH(BU$4,$M$4:$Q$4,0))),0))</f>
        <v/>
      </c>
      <c r="BV199" s="257">
        <f>IF(BV$7="Actual","",IFERROR((INDEX($M199:$Q199,,MATCH(BV$4,$M$4:$Q$4,0))),0))</f>
        <v/>
      </c>
      <c r="BW199" s="257">
        <f>IF(BW$7="Actual","",IFERROR((INDEX($M199:$Q199,,MATCH(BW$4,$M$4:$Q$4,0))),0))</f>
        <v/>
      </c>
      <c r="BX199" s="257">
        <f>IF(BX$7="Actual","",IFERROR((INDEX($M199:$Q199,,MATCH(BX$4,$M$4:$Q$4,0))),0))</f>
        <v/>
      </c>
      <c r="BY199" s="257">
        <f>IF(BY$7="Actual","",IFERROR((INDEX($M199:$Q199,,MATCH(BY$4,$M$4:$Q$4,0))),0))</f>
        <v/>
      </c>
      <c r="BZ199" s="257">
        <f>IF(BZ$7="Actual","",IFERROR((INDEX($M199:$Q199,,MATCH(BZ$4,$M$4:$Q$4,0))),0))</f>
        <v/>
      </c>
      <c r="CA199" s="257">
        <f>IF(CA$7="Actual","",IFERROR((INDEX($M199:$Q199,,MATCH(CA$4,$M$4:$Q$4,0))),0))</f>
        <v/>
      </c>
    </row>
    <row r="200" ht="12" customHeight="1" s="227">
      <c r="A200" s="244" t="n"/>
      <c r="B200" s="244" t="n"/>
      <c r="C200" s="244" t="n"/>
      <c r="H200" s="0" t="n"/>
      <c r="K200" s="6" t="n"/>
    </row>
    <row r="201" ht="12" customHeight="1" s="227">
      <c r="A201" s="244" t="n"/>
      <c r="B201" s="244" t="n"/>
      <c r="C201" s="244" t="n"/>
      <c r="H201" s="8">
        <f>i_Setup!U41</f>
        <v/>
      </c>
      <c r="K201" s="6" t="n"/>
    </row>
    <row r="202" ht="12" customHeight="1" s="227">
      <c r="A202" s="244" t="n"/>
      <c r="B202" s="244" t="n"/>
      <c r="C202" s="244" t="n"/>
      <c r="H202" s="0">
        <f>H192</f>
        <v/>
      </c>
      <c r="I202" s="27">
        <f>i_Setup!$M$16</f>
        <v/>
      </c>
      <c r="K202" s="6" t="n"/>
      <c r="M202" s="257">
        <f>IF(M$7="Actual","",i_Assumptions!M435)</f>
        <v/>
      </c>
      <c r="N202" s="257">
        <f>IF(N$7="Actual","",i_Assumptions!N435)</f>
        <v/>
      </c>
      <c r="O202" s="257">
        <f>IF(O$7="Actual","",i_Assumptions!O435)</f>
        <v/>
      </c>
      <c r="P202" s="257">
        <f>IF(P$7="Actual","",i_Assumptions!P435)</f>
        <v/>
      </c>
      <c r="Q202" s="257">
        <f>IF(Q$7="Actual","",i_Assumptions!Q435)</f>
        <v/>
      </c>
      <c r="T202" s="257">
        <f>IF(T$7="Actual","",IFERROR((INDEX($M202:$Q202,,MATCH(T$4,$M$4:$Q$4,0))),0))</f>
        <v/>
      </c>
      <c r="U202" s="257">
        <f>IF(U$7="Actual","",IFERROR((INDEX($M202:$Q202,,MATCH(U$4,$M$4:$Q$4,0))),0))</f>
        <v/>
      </c>
      <c r="V202" s="257">
        <f>IF(V$7="Actual","",IFERROR((INDEX($M202:$Q202,,MATCH(V$4,$M$4:$Q$4,0))),0))</f>
        <v/>
      </c>
      <c r="W202" s="257">
        <f>IF(W$7="Actual","",IFERROR((INDEX($M202:$Q202,,MATCH(W$4,$M$4:$Q$4,0))),0))</f>
        <v/>
      </c>
      <c r="X202" s="257">
        <f>IF(X$7="Actual","",IFERROR((INDEX($M202:$Q202,,MATCH(X$4,$M$4:$Q$4,0))),0))</f>
        <v/>
      </c>
      <c r="Y202" s="257">
        <f>IF(Y$7="Actual","",IFERROR((INDEX($M202:$Q202,,MATCH(Y$4,$M$4:$Q$4,0))),0))</f>
        <v/>
      </c>
      <c r="Z202" s="257">
        <f>IF(Z$7="Actual","",IFERROR((INDEX($M202:$Q202,,MATCH(Z$4,$M$4:$Q$4,0))),0))</f>
        <v/>
      </c>
      <c r="AA202" s="257">
        <f>IF(AA$7="Actual","",IFERROR((INDEX($M202:$Q202,,MATCH(AA$4,$M$4:$Q$4,0))),0))</f>
        <v/>
      </c>
      <c r="AB202" s="257">
        <f>IF(AB$7="Actual","",IFERROR((INDEX($M202:$Q202,,MATCH(AB$4,$M$4:$Q$4,0))),0))</f>
        <v/>
      </c>
      <c r="AC202" s="257">
        <f>IF(AC$7="Actual","",IFERROR((INDEX($M202:$Q202,,MATCH(AC$4,$M$4:$Q$4,0))),0))</f>
        <v/>
      </c>
      <c r="AD202" s="257">
        <f>IF(AD$7="Actual","",IFERROR((INDEX($M202:$Q202,,MATCH(AD$4,$M$4:$Q$4,0))),0))</f>
        <v/>
      </c>
      <c r="AE202" s="257">
        <f>IF(AE$7="Actual","",IFERROR((INDEX($M202:$Q202,,MATCH(AE$4,$M$4:$Q$4,0))),0))</f>
        <v/>
      </c>
      <c r="AF202" s="257">
        <f>IF(AF$7="Actual","",IFERROR((INDEX($M202:$Q202,,MATCH(AF$4,$M$4:$Q$4,0))),0))</f>
        <v/>
      </c>
      <c r="AG202" s="257">
        <f>IF(AG$7="Actual","",IFERROR((INDEX($M202:$Q202,,MATCH(AG$4,$M$4:$Q$4,0))),0))</f>
        <v/>
      </c>
      <c r="AH202" s="257">
        <f>IF(AH$7="Actual","",IFERROR((INDEX($M202:$Q202,,MATCH(AH$4,$M$4:$Q$4,0))),0))</f>
        <v/>
      </c>
      <c r="AI202" s="257">
        <f>IF(AI$7="Actual","",IFERROR((INDEX($M202:$Q202,,MATCH(AI$4,$M$4:$Q$4,0))),0))</f>
        <v/>
      </c>
      <c r="AJ202" s="257">
        <f>IF(AJ$7="Actual","",IFERROR((INDEX($M202:$Q202,,MATCH(AJ$4,$M$4:$Q$4,0))),0))</f>
        <v/>
      </c>
      <c r="AK202" s="257">
        <f>IF(AK$7="Actual","",IFERROR((INDEX($M202:$Q202,,MATCH(AK$4,$M$4:$Q$4,0))),0))</f>
        <v/>
      </c>
      <c r="AL202" s="257">
        <f>IF(AL$7="Actual","",IFERROR((INDEX($M202:$Q202,,MATCH(AL$4,$M$4:$Q$4,0))),0))</f>
        <v/>
      </c>
      <c r="AM202" s="257">
        <f>IF(AM$7="Actual","",IFERROR((INDEX($M202:$Q202,,MATCH(AM$4,$M$4:$Q$4,0))),0))</f>
        <v/>
      </c>
      <c r="AN202" s="257">
        <f>IF(AN$7="Actual","",IFERROR((INDEX($M202:$Q202,,MATCH(AN$4,$M$4:$Q$4,0))),0))</f>
        <v/>
      </c>
      <c r="AO202" s="257">
        <f>IF(AO$7="Actual","",IFERROR((INDEX($M202:$Q202,,MATCH(AO$4,$M$4:$Q$4,0))),0))</f>
        <v/>
      </c>
      <c r="AP202" s="257">
        <f>IF(AP$7="Actual","",IFERROR((INDEX($M202:$Q202,,MATCH(AP$4,$M$4:$Q$4,0))),0))</f>
        <v/>
      </c>
      <c r="AQ202" s="257">
        <f>IF(AQ$7="Actual","",IFERROR((INDEX($M202:$Q202,,MATCH(AQ$4,$M$4:$Q$4,0))),0))</f>
        <v/>
      </c>
      <c r="AR202" s="257">
        <f>IF(AR$7="Actual","",IFERROR((INDEX($M202:$Q202,,MATCH(AR$4,$M$4:$Q$4,0))),0))</f>
        <v/>
      </c>
      <c r="AS202" s="257">
        <f>IF(AS$7="Actual","",IFERROR((INDEX($M202:$Q202,,MATCH(AS$4,$M$4:$Q$4,0))),0))</f>
        <v/>
      </c>
      <c r="AT202" s="257">
        <f>IF(AT$7="Actual","",IFERROR((INDEX($M202:$Q202,,MATCH(AT$4,$M$4:$Q$4,0))),0))</f>
        <v/>
      </c>
      <c r="AU202" s="257">
        <f>IF(AU$7="Actual","",IFERROR((INDEX($M202:$Q202,,MATCH(AU$4,$M$4:$Q$4,0))),0))</f>
        <v/>
      </c>
      <c r="AV202" s="257">
        <f>IF(AV$7="Actual","",IFERROR((INDEX($M202:$Q202,,MATCH(AV$4,$M$4:$Q$4,0))),0))</f>
        <v/>
      </c>
      <c r="AW202" s="257">
        <f>IF(AW$7="Actual","",IFERROR((INDEX($M202:$Q202,,MATCH(AW$4,$M$4:$Q$4,0))),0))</f>
        <v/>
      </c>
      <c r="AX202" s="257">
        <f>IF(AX$7="Actual","",IFERROR((INDEX($M202:$Q202,,MATCH(AX$4,$M$4:$Q$4,0))),0))</f>
        <v/>
      </c>
      <c r="AY202" s="257">
        <f>IF(AY$7="Actual","",IFERROR((INDEX($M202:$Q202,,MATCH(AY$4,$M$4:$Q$4,0))),0))</f>
        <v/>
      </c>
      <c r="AZ202" s="257">
        <f>IF(AZ$7="Actual","",IFERROR((INDEX($M202:$Q202,,MATCH(AZ$4,$M$4:$Q$4,0))),0))</f>
        <v/>
      </c>
      <c r="BA202" s="257">
        <f>IF(BA$7="Actual","",IFERROR((INDEX($M202:$Q202,,MATCH(BA$4,$M$4:$Q$4,0))),0))</f>
        <v/>
      </c>
      <c r="BB202" s="257">
        <f>IF(BB$7="Actual","",IFERROR((INDEX($M202:$Q202,,MATCH(BB$4,$M$4:$Q$4,0))),0))</f>
        <v/>
      </c>
      <c r="BC202" s="257">
        <f>IF(BC$7="Actual","",IFERROR((INDEX($M202:$Q202,,MATCH(BC$4,$M$4:$Q$4,0))),0))</f>
        <v/>
      </c>
      <c r="BD202" s="257">
        <f>IF(BD$7="Actual","",IFERROR((INDEX($M202:$Q202,,MATCH(BD$4,$M$4:$Q$4,0))),0))</f>
        <v/>
      </c>
      <c r="BE202" s="257">
        <f>IF(BE$7="Actual","",IFERROR((INDEX($M202:$Q202,,MATCH(BE$4,$M$4:$Q$4,0))),0))</f>
        <v/>
      </c>
      <c r="BF202" s="257">
        <f>IF(BF$7="Actual","",IFERROR((INDEX($M202:$Q202,,MATCH(BF$4,$M$4:$Q$4,0))),0))</f>
        <v/>
      </c>
      <c r="BG202" s="257">
        <f>IF(BG$7="Actual","",IFERROR((INDEX($M202:$Q202,,MATCH(BG$4,$M$4:$Q$4,0))),0))</f>
        <v/>
      </c>
      <c r="BH202" s="257">
        <f>IF(BH$7="Actual","",IFERROR((INDEX($M202:$Q202,,MATCH(BH$4,$M$4:$Q$4,0))),0))</f>
        <v/>
      </c>
      <c r="BI202" s="257">
        <f>IF(BI$7="Actual","",IFERROR((INDEX($M202:$Q202,,MATCH(BI$4,$M$4:$Q$4,0))),0))</f>
        <v/>
      </c>
      <c r="BJ202" s="257">
        <f>IF(BJ$7="Actual","",IFERROR((INDEX($M202:$Q202,,MATCH(BJ$4,$M$4:$Q$4,0))),0))</f>
        <v/>
      </c>
      <c r="BK202" s="257">
        <f>IF(BK$7="Actual","",IFERROR((INDEX($M202:$Q202,,MATCH(BK$4,$M$4:$Q$4,0))),0))</f>
        <v/>
      </c>
      <c r="BL202" s="257">
        <f>IF(BL$7="Actual","",IFERROR((INDEX($M202:$Q202,,MATCH(BL$4,$M$4:$Q$4,0))),0))</f>
        <v/>
      </c>
      <c r="BM202" s="257">
        <f>IF(BM$7="Actual","",IFERROR((INDEX($M202:$Q202,,MATCH(BM$4,$M$4:$Q$4,0))),0))</f>
        <v/>
      </c>
      <c r="BN202" s="257">
        <f>IF(BN$7="Actual","",IFERROR((INDEX($M202:$Q202,,MATCH(BN$4,$M$4:$Q$4,0))),0))</f>
        <v/>
      </c>
      <c r="BO202" s="257">
        <f>IF(BO$7="Actual","",IFERROR((INDEX($M202:$Q202,,MATCH(BO$4,$M$4:$Q$4,0))),0))</f>
        <v/>
      </c>
      <c r="BP202" s="257">
        <f>IF(BP$7="Actual","",IFERROR((INDEX($M202:$Q202,,MATCH(BP$4,$M$4:$Q$4,0))),0))</f>
        <v/>
      </c>
      <c r="BQ202" s="257">
        <f>IF(BQ$7="Actual","",IFERROR((INDEX($M202:$Q202,,MATCH(BQ$4,$M$4:$Q$4,0))),0))</f>
        <v/>
      </c>
      <c r="BR202" s="257">
        <f>IF(BR$7="Actual","",IFERROR((INDEX($M202:$Q202,,MATCH(BR$4,$M$4:$Q$4,0))),0))</f>
        <v/>
      </c>
      <c r="BS202" s="257">
        <f>IF(BS$7="Actual","",IFERROR((INDEX($M202:$Q202,,MATCH(BS$4,$M$4:$Q$4,0))),0))</f>
        <v/>
      </c>
      <c r="BT202" s="257">
        <f>IF(BT$7="Actual","",IFERROR((INDEX($M202:$Q202,,MATCH(BT$4,$M$4:$Q$4,0))),0))</f>
        <v/>
      </c>
      <c r="BU202" s="257">
        <f>IF(BU$7="Actual","",IFERROR((INDEX($M202:$Q202,,MATCH(BU$4,$M$4:$Q$4,0))),0))</f>
        <v/>
      </c>
      <c r="BV202" s="257">
        <f>IF(BV$7="Actual","",IFERROR((INDEX($M202:$Q202,,MATCH(BV$4,$M$4:$Q$4,0))),0))</f>
        <v/>
      </c>
      <c r="BW202" s="257">
        <f>IF(BW$7="Actual","",IFERROR((INDEX($M202:$Q202,,MATCH(BW$4,$M$4:$Q$4,0))),0))</f>
        <v/>
      </c>
      <c r="BX202" s="257">
        <f>IF(BX$7="Actual","",IFERROR((INDEX($M202:$Q202,,MATCH(BX$4,$M$4:$Q$4,0))),0))</f>
        <v/>
      </c>
      <c r="BY202" s="257">
        <f>IF(BY$7="Actual","",IFERROR((INDEX($M202:$Q202,,MATCH(BY$4,$M$4:$Q$4,0))),0))</f>
        <v/>
      </c>
      <c r="BZ202" s="257">
        <f>IF(BZ$7="Actual","",IFERROR((INDEX($M202:$Q202,,MATCH(BZ$4,$M$4:$Q$4,0))),0))</f>
        <v/>
      </c>
      <c r="CA202" s="257">
        <f>IF(CA$7="Actual","",IFERROR((INDEX($M202:$Q202,,MATCH(CA$4,$M$4:$Q$4,0))),0))</f>
        <v/>
      </c>
    </row>
    <row r="203" ht="12" customHeight="1" s="227">
      <c r="A203" s="244" t="n"/>
      <c r="B203" s="244" t="n"/>
      <c r="C203" s="244" t="n"/>
      <c r="H203" s="0">
        <f>H193</f>
        <v/>
      </c>
      <c r="I203" s="27">
        <f>i_Setup!$M$16</f>
        <v/>
      </c>
      <c r="K203" s="6" t="n"/>
      <c r="M203" s="257">
        <f>IF(M$7="Actual","",i_Assumptions!M436)</f>
        <v/>
      </c>
      <c r="N203" s="257">
        <f>IF(N$7="Actual","",i_Assumptions!N436)</f>
        <v/>
      </c>
      <c r="O203" s="257">
        <f>IF(O$7="Actual","",i_Assumptions!O436)</f>
        <v/>
      </c>
      <c r="P203" s="257">
        <f>IF(P$7="Actual","",i_Assumptions!P436)</f>
        <v/>
      </c>
      <c r="Q203" s="257">
        <f>IF(Q$7="Actual","",i_Assumptions!Q436)</f>
        <v/>
      </c>
      <c r="T203" s="257">
        <f>IF(T$7="Actual","",IFERROR((INDEX($M203:$Q203,,MATCH(T$4,$M$4:$Q$4,0))),0))</f>
        <v/>
      </c>
      <c r="U203" s="257">
        <f>IF(U$7="Actual","",IFERROR((INDEX($M203:$Q203,,MATCH(U$4,$M$4:$Q$4,0))),0))</f>
        <v/>
      </c>
      <c r="V203" s="257">
        <f>IF(V$7="Actual","",IFERROR((INDEX($M203:$Q203,,MATCH(V$4,$M$4:$Q$4,0))),0))</f>
        <v/>
      </c>
      <c r="W203" s="257">
        <f>IF(W$7="Actual","",IFERROR((INDEX($M203:$Q203,,MATCH(W$4,$M$4:$Q$4,0))),0))</f>
        <v/>
      </c>
      <c r="X203" s="257">
        <f>IF(X$7="Actual","",IFERROR((INDEX($M203:$Q203,,MATCH(X$4,$M$4:$Q$4,0))),0))</f>
        <v/>
      </c>
      <c r="Y203" s="257">
        <f>IF(Y$7="Actual","",IFERROR((INDEX($M203:$Q203,,MATCH(Y$4,$M$4:$Q$4,0))),0))</f>
        <v/>
      </c>
      <c r="Z203" s="257">
        <f>IF(Z$7="Actual","",IFERROR((INDEX($M203:$Q203,,MATCH(Z$4,$M$4:$Q$4,0))),0))</f>
        <v/>
      </c>
      <c r="AA203" s="257">
        <f>IF(AA$7="Actual","",IFERROR((INDEX($M203:$Q203,,MATCH(AA$4,$M$4:$Q$4,0))),0))</f>
        <v/>
      </c>
      <c r="AB203" s="257">
        <f>IF(AB$7="Actual","",IFERROR((INDEX($M203:$Q203,,MATCH(AB$4,$M$4:$Q$4,0))),0))</f>
        <v/>
      </c>
      <c r="AC203" s="257">
        <f>IF(AC$7="Actual","",IFERROR((INDEX($M203:$Q203,,MATCH(AC$4,$M$4:$Q$4,0))),0))</f>
        <v/>
      </c>
      <c r="AD203" s="257">
        <f>IF(AD$7="Actual","",IFERROR((INDEX($M203:$Q203,,MATCH(AD$4,$M$4:$Q$4,0))),0))</f>
        <v/>
      </c>
      <c r="AE203" s="257">
        <f>IF(AE$7="Actual","",IFERROR((INDEX($M203:$Q203,,MATCH(AE$4,$M$4:$Q$4,0))),0))</f>
        <v/>
      </c>
      <c r="AF203" s="257">
        <f>IF(AF$7="Actual","",IFERROR((INDEX($M203:$Q203,,MATCH(AF$4,$M$4:$Q$4,0))),0))</f>
        <v/>
      </c>
      <c r="AG203" s="257">
        <f>IF(AG$7="Actual","",IFERROR((INDEX($M203:$Q203,,MATCH(AG$4,$M$4:$Q$4,0))),0))</f>
        <v/>
      </c>
      <c r="AH203" s="257">
        <f>IF(AH$7="Actual","",IFERROR((INDEX($M203:$Q203,,MATCH(AH$4,$M$4:$Q$4,0))),0))</f>
        <v/>
      </c>
      <c r="AI203" s="257">
        <f>IF(AI$7="Actual","",IFERROR((INDEX($M203:$Q203,,MATCH(AI$4,$M$4:$Q$4,0))),0))</f>
        <v/>
      </c>
      <c r="AJ203" s="257">
        <f>IF(AJ$7="Actual","",IFERROR((INDEX($M203:$Q203,,MATCH(AJ$4,$M$4:$Q$4,0))),0))</f>
        <v/>
      </c>
      <c r="AK203" s="257">
        <f>IF(AK$7="Actual","",IFERROR((INDEX($M203:$Q203,,MATCH(AK$4,$M$4:$Q$4,0))),0))</f>
        <v/>
      </c>
      <c r="AL203" s="257">
        <f>IF(AL$7="Actual","",IFERROR((INDEX($M203:$Q203,,MATCH(AL$4,$M$4:$Q$4,0))),0))</f>
        <v/>
      </c>
      <c r="AM203" s="257">
        <f>IF(AM$7="Actual","",IFERROR((INDEX($M203:$Q203,,MATCH(AM$4,$M$4:$Q$4,0))),0))</f>
        <v/>
      </c>
      <c r="AN203" s="257">
        <f>IF(AN$7="Actual","",IFERROR((INDEX($M203:$Q203,,MATCH(AN$4,$M$4:$Q$4,0))),0))</f>
        <v/>
      </c>
      <c r="AO203" s="257">
        <f>IF(AO$7="Actual","",IFERROR((INDEX($M203:$Q203,,MATCH(AO$4,$M$4:$Q$4,0))),0))</f>
        <v/>
      </c>
      <c r="AP203" s="257">
        <f>IF(AP$7="Actual","",IFERROR((INDEX($M203:$Q203,,MATCH(AP$4,$M$4:$Q$4,0))),0))</f>
        <v/>
      </c>
      <c r="AQ203" s="257">
        <f>IF(AQ$7="Actual","",IFERROR((INDEX($M203:$Q203,,MATCH(AQ$4,$M$4:$Q$4,0))),0))</f>
        <v/>
      </c>
      <c r="AR203" s="257">
        <f>IF(AR$7="Actual","",IFERROR((INDEX($M203:$Q203,,MATCH(AR$4,$M$4:$Q$4,0))),0))</f>
        <v/>
      </c>
      <c r="AS203" s="257">
        <f>IF(AS$7="Actual","",IFERROR((INDEX($M203:$Q203,,MATCH(AS$4,$M$4:$Q$4,0))),0))</f>
        <v/>
      </c>
      <c r="AT203" s="257">
        <f>IF(AT$7="Actual","",IFERROR((INDEX($M203:$Q203,,MATCH(AT$4,$M$4:$Q$4,0))),0))</f>
        <v/>
      </c>
      <c r="AU203" s="257">
        <f>IF(AU$7="Actual","",IFERROR((INDEX($M203:$Q203,,MATCH(AU$4,$M$4:$Q$4,0))),0))</f>
        <v/>
      </c>
      <c r="AV203" s="257">
        <f>IF(AV$7="Actual","",IFERROR((INDEX($M203:$Q203,,MATCH(AV$4,$M$4:$Q$4,0))),0))</f>
        <v/>
      </c>
      <c r="AW203" s="257">
        <f>IF(AW$7="Actual","",IFERROR((INDEX($M203:$Q203,,MATCH(AW$4,$M$4:$Q$4,0))),0))</f>
        <v/>
      </c>
      <c r="AX203" s="257">
        <f>IF(AX$7="Actual","",IFERROR((INDEX($M203:$Q203,,MATCH(AX$4,$M$4:$Q$4,0))),0))</f>
        <v/>
      </c>
      <c r="AY203" s="257">
        <f>IF(AY$7="Actual","",IFERROR((INDEX($M203:$Q203,,MATCH(AY$4,$M$4:$Q$4,0))),0))</f>
        <v/>
      </c>
      <c r="AZ203" s="257">
        <f>IF(AZ$7="Actual","",IFERROR((INDEX($M203:$Q203,,MATCH(AZ$4,$M$4:$Q$4,0))),0))</f>
        <v/>
      </c>
      <c r="BA203" s="257">
        <f>IF(BA$7="Actual","",IFERROR((INDEX($M203:$Q203,,MATCH(BA$4,$M$4:$Q$4,0))),0))</f>
        <v/>
      </c>
      <c r="BB203" s="257">
        <f>IF(BB$7="Actual","",IFERROR((INDEX($M203:$Q203,,MATCH(BB$4,$M$4:$Q$4,0))),0))</f>
        <v/>
      </c>
      <c r="BC203" s="257">
        <f>IF(BC$7="Actual","",IFERROR((INDEX($M203:$Q203,,MATCH(BC$4,$M$4:$Q$4,0))),0))</f>
        <v/>
      </c>
      <c r="BD203" s="257">
        <f>IF(BD$7="Actual","",IFERROR((INDEX($M203:$Q203,,MATCH(BD$4,$M$4:$Q$4,0))),0))</f>
        <v/>
      </c>
      <c r="BE203" s="257">
        <f>IF(BE$7="Actual","",IFERROR((INDEX($M203:$Q203,,MATCH(BE$4,$M$4:$Q$4,0))),0))</f>
        <v/>
      </c>
      <c r="BF203" s="257">
        <f>IF(BF$7="Actual","",IFERROR((INDEX($M203:$Q203,,MATCH(BF$4,$M$4:$Q$4,0))),0))</f>
        <v/>
      </c>
      <c r="BG203" s="257">
        <f>IF(BG$7="Actual","",IFERROR((INDEX($M203:$Q203,,MATCH(BG$4,$M$4:$Q$4,0))),0))</f>
        <v/>
      </c>
      <c r="BH203" s="257">
        <f>IF(BH$7="Actual","",IFERROR((INDEX($M203:$Q203,,MATCH(BH$4,$M$4:$Q$4,0))),0))</f>
        <v/>
      </c>
      <c r="BI203" s="257">
        <f>IF(BI$7="Actual","",IFERROR((INDEX($M203:$Q203,,MATCH(BI$4,$M$4:$Q$4,0))),0))</f>
        <v/>
      </c>
      <c r="BJ203" s="257">
        <f>IF(BJ$7="Actual","",IFERROR((INDEX($M203:$Q203,,MATCH(BJ$4,$M$4:$Q$4,0))),0))</f>
        <v/>
      </c>
      <c r="BK203" s="257">
        <f>IF(BK$7="Actual","",IFERROR((INDEX($M203:$Q203,,MATCH(BK$4,$M$4:$Q$4,0))),0))</f>
        <v/>
      </c>
      <c r="BL203" s="257">
        <f>IF(BL$7="Actual","",IFERROR((INDEX($M203:$Q203,,MATCH(BL$4,$M$4:$Q$4,0))),0))</f>
        <v/>
      </c>
      <c r="BM203" s="257">
        <f>IF(BM$7="Actual","",IFERROR((INDEX($M203:$Q203,,MATCH(BM$4,$M$4:$Q$4,0))),0))</f>
        <v/>
      </c>
      <c r="BN203" s="257">
        <f>IF(BN$7="Actual","",IFERROR((INDEX($M203:$Q203,,MATCH(BN$4,$M$4:$Q$4,0))),0))</f>
        <v/>
      </c>
      <c r="BO203" s="257">
        <f>IF(BO$7="Actual","",IFERROR((INDEX($M203:$Q203,,MATCH(BO$4,$M$4:$Q$4,0))),0))</f>
        <v/>
      </c>
      <c r="BP203" s="257">
        <f>IF(BP$7="Actual","",IFERROR((INDEX($M203:$Q203,,MATCH(BP$4,$M$4:$Q$4,0))),0))</f>
        <v/>
      </c>
      <c r="BQ203" s="257">
        <f>IF(BQ$7="Actual","",IFERROR((INDEX($M203:$Q203,,MATCH(BQ$4,$M$4:$Q$4,0))),0))</f>
        <v/>
      </c>
      <c r="BR203" s="257">
        <f>IF(BR$7="Actual","",IFERROR((INDEX($M203:$Q203,,MATCH(BR$4,$M$4:$Q$4,0))),0))</f>
        <v/>
      </c>
      <c r="BS203" s="257">
        <f>IF(BS$7="Actual","",IFERROR((INDEX($M203:$Q203,,MATCH(BS$4,$M$4:$Q$4,0))),0))</f>
        <v/>
      </c>
      <c r="BT203" s="257">
        <f>IF(BT$7="Actual","",IFERROR((INDEX($M203:$Q203,,MATCH(BT$4,$M$4:$Q$4,0))),0))</f>
        <v/>
      </c>
      <c r="BU203" s="257">
        <f>IF(BU$7="Actual","",IFERROR((INDEX($M203:$Q203,,MATCH(BU$4,$M$4:$Q$4,0))),0))</f>
        <v/>
      </c>
      <c r="BV203" s="257">
        <f>IF(BV$7="Actual","",IFERROR((INDEX($M203:$Q203,,MATCH(BV$4,$M$4:$Q$4,0))),0))</f>
        <v/>
      </c>
      <c r="BW203" s="257">
        <f>IF(BW$7="Actual","",IFERROR((INDEX($M203:$Q203,,MATCH(BW$4,$M$4:$Q$4,0))),0))</f>
        <v/>
      </c>
      <c r="BX203" s="257">
        <f>IF(BX$7="Actual","",IFERROR((INDEX($M203:$Q203,,MATCH(BX$4,$M$4:$Q$4,0))),0))</f>
        <v/>
      </c>
      <c r="BY203" s="257">
        <f>IF(BY$7="Actual","",IFERROR((INDEX($M203:$Q203,,MATCH(BY$4,$M$4:$Q$4,0))),0))</f>
        <v/>
      </c>
      <c r="BZ203" s="257">
        <f>IF(BZ$7="Actual","",IFERROR((INDEX($M203:$Q203,,MATCH(BZ$4,$M$4:$Q$4,0))),0))</f>
        <v/>
      </c>
      <c r="CA203" s="257">
        <f>IF(CA$7="Actual","",IFERROR((INDEX($M203:$Q203,,MATCH(CA$4,$M$4:$Q$4,0))),0))</f>
        <v/>
      </c>
    </row>
    <row r="204" ht="12" customHeight="1" s="227">
      <c r="A204" s="244" t="n"/>
      <c r="B204" s="244" t="n"/>
      <c r="C204" s="244" t="n"/>
      <c r="H204" s="0">
        <f>H194</f>
        <v/>
      </c>
      <c r="I204" s="27">
        <f>i_Setup!$M$16</f>
        <v/>
      </c>
      <c r="K204" s="6" t="n"/>
      <c r="M204" s="257">
        <f>IF(M$7="Actual","",i_Assumptions!M437)</f>
        <v/>
      </c>
      <c r="N204" s="257">
        <f>IF(N$7="Actual","",i_Assumptions!N437)</f>
        <v/>
      </c>
      <c r="O204" s="257">
        <f>IF(O$7="Actual","",i_Assumptions!O437)</f>
        <v/>
      </c>
      <c r="P204" s="257">
        <f>IF(P$7="Actual","",i_Assumptions!P437)</f>
        <v/>
      </c>
      <c r="Q204" s="257">
        <f>IF(Q$7="Actual","",i_Assumptions!Q437)</f>
        <v/>
      </c>
      <c r="T204" s="257">
        <f>IF(T$7="Actual","",IFERROR((INDEX($M204:$Q204,,MATCH(T$4,$M$4:$Q$4,0))),0))</f>
        <v/>
      </c>
      <c r="U204" s="257">
        <f>IF(U$7="Actual","",IFERROR((INDEX($M204:$Q204,,MATCH(U$4,$M$4:$Q$4,0))),0))</f>
        <v/>
      </c>
      <c r="V204" s="257">
        <f>IF(V$7="Actual","",IFERROR((INDEX($M204:$Q204,,MATCH(V$4,$M$4:$Q$4,0))),0))</f>
        <v/>
      </c>
      <c r="W204" s="257">
        <f>IF(W$7="Actual","",IFERROR((INDEX($M204:$Q204,,MATCH(W$4,$M$4:$Q$4,0))),0))</f>
        <v/>
      </c>
      <c r="X204" s="257">
        <f>IF(X$7="Actual","",IFERROR((INDEX($M204:$Q204,,MATCH(X$4,$M$4:$Q$4,0))),0))</f>
        <v/>
      </c>
      <c r="Y204" s="257">
        <f>IF(Y$7="Actual","",IFERROR((INDEX($M204:$Q204,,MATCH(Y$4,$M$4:$Q$4,0))),0))</f>
        <v/>
      </c>
      <c r="Z204" s="257">
        <f>IF(Z$7="Actual","",IFERROR((INDEX($M204:$Q204,,MATCH(Z$4,$M$4:$Q$4,0))),0))</f>
        <v/>
      </c>
      <c r="AA204" s="257">
        <f>IF(AA$7="Actual","",IFERROR((INDEX($M204:$Q204,,MATCH(AA$4,$M$4:$Q$4,0))),0))</f>
        <v/>
      </c>
      <c r="AB204" s="257">
        <f>IF(AB$7="Actual","",IFERROR((INDEX($M204:$Q204,,MATCH(AB$4,$M$4:$Q$4,0))),0))</f>
        <v/>
      </c>
      <c r="AC204" s="257">
        <f>IF(AC$7="Actual","",IFERROR((INDEX($M204:$Q204,,MATCH(AC$4,$M$4:$Q$4,0))),0))</f>
        <v/>
      </c>
      <c r="AD204" s="257">
        <f>IF(AD$7="Actual","",IFERROR((INDEX($M204:$Q204,,MATCH(AD$4,$M$4:$Q$4,0))),0))</f>
        <v/>
      </c>
      <c r="AE204" s="257">
        <f>IF(AE$7="Actual","",IFERROR((INDEX($M204:$Q204,,MATCH(AE$4,$M$4:$Q$4,0))),0))</f>
        <v/>
      </c>
      <c r="AF204" s="257">
        <f>IF(AF$7="Actual","",IFERROR((INDEX($M204:$Q204,,MATCH(AF$4,$M$4:$Q$4,0))),0))</f>
        <v/>
      </c>
      <c r="AG204" s="257">
        <f>IF(AG$7="Actual","",IFERROR((INDEX($M204:$Q204,,MATCH(AG$4,$M$4:$Q$4,0))),0))</f>
        <v/>
      </c>
      <c r="AH204" s="257">
        <f>IF(AH$7="Actual","",IFERROR((INDEX($M204:$Q204,,MATCH(AH$4,$M$4:$Q$4,0))),0))</f>
        <v/>
      </c>
      <c r="AI204" s="257">
        <f>IF(AI$7="Actual","",IFERROR((INDEX($M204:$Q204,,MATCH(AI$4,$M$4:$Q$4,0))),0))</f>
        <v/>
      </c>
      <c r="AJ204" s="257">
        <f>IF(AJ$7="Actual","",IFERROR((INDEX($M204:$Q204,,MATCH(AJ$4,$M$4:$Q$4,0))),0))</f>
        <v/>
      </c>
      <c r="AK204" s="257">
        <f>IF(AK$7="Actual","",IFERROR((INDEX($M204:$Q204,,MATCH(AK$4,$M$4:$Q$4,0))),0))</f>
        <v/>
      </c>
      <c r="AL204" s="257">
        <f>IF(AL$7="Actual","",IFERROR((INDEX($M204:$Q204,,MATCH(AL$4,$M$4:$Q$4,0))),0))</f>
        <v/>
      </c>
      <c r="AM204" s="257">
        <f>IF(AM$7="Actual","",IFERROR((INDEX($M204:$Q204,,MATCH(AM$4,$M$4:$Q$4,0))),0))</f>
        <v/>
      </c>
      <c r="AN204" s="257">
        <f>IF(AN$7="Actual","",IFERROR((INDEX($M204:$Q204,,MATCH(AN$4,$M$4:$Q$4,0))),0))</f>
        <v/>
      </c>
      <c r="AO204" s="257">
        <f>IF(AO$7="Actual","",IFERROR((INDEX($M204:$Q204,,MATCH(AO$4,$M$4:$Q$4,0))),0))</f>
        <v/>
      </c>
      <c r="AP204" s="257">
        <f>IF(AP$7="Actual","",IFERROR((INDEX($M204:$Q204,,MATCH(AP$4,$M$4:$Q$4,0))),0))</f>
        <v/>
      </c>
      <c r="AQ204" s="257">
        <f>IF(AQ$7="Actual","",IFERROR((INDEX($M204:$Q204,,MATCH(AQ$4,$M$4:$Q$4,0))),0))</f>
        <v/>
      </c>
      <c r="AR204" s="257">
        <f>IF(AR$7="Actual","",IFERROR((INDEX($M204:$Q204,,MATCH(AR$4,$M$4:$Q$4,0))),0))</f>
        <v/>
      </c>
      <c r="AS204" s="257">
        <f>IF(AS$7="Actual","",IFERROR((INDEX($M204:$Q204,,MATCH(AS$4,$M$4:$Q$4,0))),0))</f>
        <v/>
      </c>
      <c r="AT204" s="257">
        <f>IF(AT$7="Actual","",IFERROR((INDEX($M204:$Q204,,MATCH(AT$4,$M$4:$Q$4,0))),0))</f>
        <v/>
      </c>
      <c r="AU204" s="257">
        <f>IF(AU$7="Actual","",IFERROR((INDEX($M204:$Q204,,MATCH(AU$4,$M$4:$Q$4,0))),0))</f>
        <v/>
      </c>
      <c r="AV204" s="257">
        <f>IF(AV$7="Actual","",IFERROR((INDEX($M204:$Q204,,MATCH(AV$4,$M$4:$Q$4,0))),0))</f>
        <v/>
      </c>
      <c r="AW204" s="257">
        <f>IF(AW$7="Actual","",IFERROR((INDEX($M204:$Q204,,MATCH(AW$4,$M$4:$Q$4,0))),0))</f>
        <v/>
      </c>
      <c r="AX204" s="257">
        <f>IF(AX$7="Actual","",IFERROR((INDEX($M204:$Q204,,MATCH(AX$4,$M$4:$Q$4,0))),0))</f>
        <v/>
      </c>
      <c r="AY204" s="257">
        <f>IF(AY$7="Actual","",IFERROR((INDEX($M204:$Q204,,MATCH(AY$4,$M$4:$Q$4,0))),0))</f>
        <v/>
      </c>
      <c r="AZ204" s="257">
        <f>IF(AZ$7="Actual","",IFERROR((INDEX($M204:$Q204,,MATCH(AZ$4,$M$4:$Q$4,0))),0))</f>
        <v/>
      </c>
      <c r="BA204" s="257">
        <f>IF(BA$7="Actual","",IFERROR((INDEX($M204:$Q204,,MATCH(BA$4,$M$4:$Q$4,0))),0))</f>
        <v/>
      </c>
      <c r="BB204" s="257">
        <f>IF(BB$7="Actual","",IFERROR((INDEX($M204:$Q204,,MATCH(BB$4,$M$4:$Q$4,0))),0))</f>
        <v/>
      </c>
      <c r="BC204" s="257">
        <f>IF(BC$7="Actual","",IFERROR((INDEX($M204:$Q204,,MATCH(BC$4,$M$4:$Q$4,0))),0))</f>
        <v/>
      </c>
      <c r="BD204" s="257">
        <f>IF(BD$7="Actual","",IFERROR((INDEX($M204:$Q204,,MATCH(BD$4,$M$4:$Q$4,0))),0))</f>
        <v/>
      </c>
      <c r="BE204" s="257">
        <f>IF(BE$7="Actual","",IFERROR((INDEX($M204:$Q204,,MATCH(BE$4,$M$4:$Q$4,0))),0))</f>
        <v/>
      </c>
      <c r="BF204" s="257">
        <f>IF(BF$7="Actual","",IFERROR((INDEX($M204:$Q204,,MATCH(BF$4,$M$4:$Q$4,0))),0))</f>
        <v/>
      </c>
      <c r="BG204" s="257">
        <f>IF(BG$7="Actual","",IFERROR((INDEX($M204:$Q204,,MATCH(BG$4,$M$4:$Q$4,0))),0))</f>
        <v/>
      </c>
      <c r="BH204" s="257">
        <f>IF(BH$7="Actual","",IFERROR((INDEX($M204:$Q204,,MATCH(BH$4,$M$4:$Q$4,0))),0))</f>
        <v/>
      </c>
      <c r="BI204" s="257">
        <f>IF(BI$7="Actual","",IFERROR((INDEX($M204:$Q204,,MATCH(BI$4,$M$4:$Q$4,0))),0))</f>
        <v/>
      </c>
      <c r="BJ204" s="257">
        <f>IF(BJ$7="Actual","",IFERROR((INDEX($M204:$Q204,,MATCH(BJ$4,$M$4:$Q$4,0))),0))</f>
        <v/>
      </c>
      <c r="BK204" s="257">
        <f>IF(BK$7="Actual","",IFERROR((INDEX($M204:$Q204,,MATCH(BK$4,$M$4:$Q$4,0))),0))</f>
        <v/>
      </c>
      <c r="BL204" s="257">
        <f>IF(BL$7="Actual","",IFERROR((INDEX($M204:$Q204,,MATCH(BL$4,$M$4:$Q$4,0))),0))</f>
        <v/>
      </c>
      <c r="BM204" s="257">
        <f>IF(BM$7="Actual","",IFERROR((INDEX($M204:$Q204,,MATCH(BM$4,$M$4:$Q$4,0))),0))</f>
        <v/>
      </c>
      <c r="BN204" s="257">
        <f>IF(BN$7="Actual","",IFERROR((INDEX($M204:$Q204,,MATCH(BN$4,$M$4:$Q$4,0))),0))</f>
        <v/>
      </c>
      <c r="BO204" s="257">
        <f>IF(BO$7="Actual","",IFERROR((INDEX($M204:$Q204,,MATCH(BO$4,$M$4:$Q$4,0))),0))</f>
        <v/>
      </c>
      <c r="BP204" s="257">
        <f>IF(BP$7="Actual","",IFERROR((INDEX($M204:$Q204,,MATCH(BP$4,$M$4:$Q$4,0))),0))</f>
        <v/>
      </c>
      <c r="BQ204" s="257">
        <f>IF(BQ$7="Actual","",IFERROR((INDEX($M204:$Q204,,MATCH(BQ$4,$M$4:$Q$4,0))),0))</f>
        <v/>
      </c>
      <c r="BR204" s="257">
        <f>IF(BR$7="Actual","",IFERROR((INDEX($M204:$Q204,,MATCH(BR$4,$M$4:$Q$4,0))),0))</f>
        <v/>
      </c>
      <c r="BS204" s="257">
        <f>IF(BS$7="Actual","",IFERROR((INDEX($M204:$Q204,,MATCH(BS$4,$M$4:$Q$4,0))),0))</f>
        <v/>
      </c>
      <c r="BT204" s="257">
        <f>IF(BT$7="Actual","",IFERROR((INDEX($M204:$Q204,,MATCH(BT$4,$M$4:$Q$4,0))),0))</f>
        <v/>
      </c>
      <c r="BU204" s="257">
        <f>IF(BU$7="Actual","",IFERROR((INDEX($M204:$Q204,,MATCH(BU$4,$M$4:$Q$4,0))),0))</f>
        <v/>
      </c>
      <c r="BV204" s="257">
        <f>IF(BV$7="Actual","",IFERROR((INDEX($M204:$Q204,,MATCH(BV$4,$M$4:$Q$4,0))),0))</f>
        <v/>
      </c>
      <c r="BW204" s="257">
        <f>IF(BW$7="Actual","",IFERROR((INDEX($M204:$Q204,,MATCH(BW$4,$M$4:$Q$4,0))),0))</f>
        <v/>
      </c>
      <c r="BX204" s="257">
        <f>IF(BX$7="Actual","",IFERROR((INDEX($M204:$Q204,,MATCH(BX$4,$M$4:$Q$4,0))),0))</f>
        <v/>
      </c>
      <c r="BY204" s="257">
        <f>IF(BY$7="Actual","",IFERROR((INDEX($M204:$Q204,,MATCH(BY$4,$M$4:$Q$4,0))),0))</f>
        <v/>
      </c>
      <c r="BZ204" s="257">
        <f>IF(BZ$7="Actual","",IFERROR((INDEX($M204:$Q204,,MATCH(BZ$4,$M$4:$Q$4,0))),0))</f>
        <v/>
      </c>
      <c r="CA204" s="257">
        <f>IF(CA$7="Actual","",IFERROR((INDEX($M204:$Q204,,MATCH(CA$4,$M$4:$Q$4,0))),0))</f>
        <v/>
      </c>
    </row>
    <row r="205" ht="12" customHeight="1" s="227">
      <c r="A205" s="244" t="n"/>
      <c r="B205" s="244" t="n"/>
      <c r="C205" s="244" t="n"/>
      <c r="H205" s="0">
        <f>H195</f>
        <v/>
      </c>
      <c r="I205" s="27">
        <f>i_Setup!$M$16</f>
        <v/>
      </c>
      <c r="K205" s="6" t="n"/>
      <c r="M205" s="257">
        <f>IF(M$7="Actual","",i_Assumptions!M438)</f>
        <v/>
      </c>
      <c r="N205" s="257">
        <f>IF(N$7="Actual","",i_Assumptions!N438)</f>
        <v/>
      </c>
      <c r="O205" s="257">
        <f>IF(O$7="Actual","",i_Assumptions!O438)</f>
        <v/>
      </c>
      <c r="P205" s="257">
        <f>IF(P$7="Actual","",i_Assumptions!P438)</f>
        <v/>
      </c>
      <c r="Q205" s="257">
        <f>IF(Q$7="Actual","",i_Assumptions!Q438)</f>
        <v/>
      </c>
      <c r="T205" s="257">
        <f>IF(T$7="Actual","",IFERROR((INDEX($M205:$Q205,,MATCH(T$4,$M$4:$Q$4,0))),0))</f>
        <v/>
      </c>
      <c r="U205" s="257">
        <f>IF(U$7="Actual","",IFERROR((INDEX($M205:$Q205,,MATCH(U$4,$M$4:$Q$4,0))),0))</f>
        <v/>
      </c>
      <c r="V205" s="257">
        <f>IF(V$7="Actual","",IFERROR((INDEX($M205:$Q205,,MATCH(V$4,$M$4:$Q$4,0))),0))</f>
        <v/>
      </c>
      <c r="W205" s="257">
        <f>IF(W$7="Actual","",IFERROR((INDEX($M205:$Q205,,MATCH(W$4,$M$4:$Q$4,0))),0))</f>
        <v/>
      </c>
      <c r="X205" s="257">
        <f>IF(X$7="Actual","",IFERROR((INDEX($M205:$Q205,,MATCH(X$4,$M$4:$Q$4,0))),0))</f>
        <v/>
      </c>
      <c r="Y205" s="257">
        <f>IF(Y$7="Actual","",IFERROR((INDEX($M205:$Q205,,MATCH(Y$4,$M$4:$Q$4,0))),0))</f>
        <v/>
      </c>
      <c r="Z205" s="257">
        <f>IF(Z$7="Actual","",IFERROR((INDEX($M205:$Q205,,MATCH(Z$4,$M$4:$Q$4,0))),0))</f>
        <v/>
      </c>
      <c r="AA205" s="257">
        <f>IF(AA$7="Actual","",IFERROR((INDEX($M205:$Q205,,MATCH(AA$4,$M$4:$Q$4,0))),0))</f>
        <v/>
      </c>
      <c r="AB205" s="257">
        <f>IF(AB$7="Actual","",IFERROR((INDEX($M205:$Q205,,MATCH(AB$4,$M$4:$Q$4,0))),0))</f>
        <v/>
      </c>
      <c r="AC205" s="257">
        <f>IF(AC$7="Actual","",IFERROR((INDEX($M205:$Q205,,MATCH(AC$4,$M$4:$Q$4,0))),0))</f>
        <v/>
      </c>
      <c r="AD205" s="257">
        <f>IF(AD$7="Actual","",IFERROR((INDEX($M205:$Q205,,MATCH(AD$4,$M$4:$Q$4,0))),0))</f>
        <v/>
      </c>
      <c r="AE205" s="257">
        <f>IF(AE$7="Actual","",IFERROR((INDEX($M205:$Q205,,MATCH(AE$4,$M$4:$Q$4,0))),0))</f>
        <v/>
      </c>
      <c r="AF205" s="257">
        <f>IF(AF$7="Actual","",IFERROR((INDEX($M205:$Q205,,MATCH(AF$4,$M$4:$Q$4,0))),0))</f>
        <v/>
      </c>
      <c r="AG205" s="257">
        <f>IF(AG$7="Actual","",IFERROR((INDEX($M205:$Q205,,MATCH(AG$4,$M$4:$Q$4,0))),0))</f>
        <v/>
      </c>
      <c r="AH205" s="257">
        <f>IF(AH$7="Actual","",IFERROR((INDEX($M205:$Q205,,MATCH(AH$4,$M$4:$Q$4,0))),0))</f>
        <v/>
      </c>
      <c r="AI205" s="257">
        <f>IF(AI$7="Actual","",IFERROR((INDEX($M205:$Q205,,MATCH(AI$4,$M$4:$Q$4,0))),0))</f>
        <v/>
      </c>
      <c r="AJ205" s="257">
        <f>IF(AJ$7="Actual","",IFERROR((INDEX($M205:$Q205,,MATCH(AJ$4,$M$4:$Q$4,0))),0))</f>
        <v/>
      </c>
      <c r="AK205" s="257">
        <f>IF(AK$7="Actual","",IFERROR((INDEX($M205:$Q205,,MATCH(AK$4,$M$4:$Q$4,0))),0))</f>
        <v/>
      </c>
      <c r="AL205" s="257">
        <f>IF(AL$7="Actual","",IFERROR((INDEX($M205:$Q205,,MATCH(AL$4,$M$4:$Q$4,0))),0))</f>
        <v/>
      </c>
      <c r="AM205" s="257">
        <f>IF(AM$7="Actual","",IFERROR((INDEX($M205:$Q205,,MATCH(AM$4,$M$4:$Q$4,0))),0))</f>
        <v/>
      </c>
      <c r="AN205" s="257">
        <f>IF(AN$7="Actual","",IFERROR((INDEX($M205:$Q205,,MATCH(AN$4,$M$4:$Q$4,0))),0))</f>
        <v/>
      </c>
      <c r="AO205" s="257">
        <f>IF(AO$7="Actual","",IFERROR((INDEX($M205:$Q205,,MATCH(AO$4,$M$4:$Q$4,0))),0))</f>
        <v/>
      </c>
      <c r="AP205" s="257">
        <f>IF(AP$7="Actual","",IFERROR((INDEX($M205:$Q205,,MATCH(AP$4,$M$4:$Q$4,0))),0))</f>
        <v/>
      </c>
      <c r="AQ205" s="257">
        <f>IF(AQ$7="Actual","",IFERROR((INDEX($M205:$Q205,,MATCH(AQ$4,$M$4:$Q$4,0))),0))</f>
        <v/>
      </c>
      <c r="AR205" s="257">
        <f>IF(AR$7="Actual","",IFERROR((INDEX($M205:$Q205,,MATCH(AR$4,$M$4:$Q$4,0))),0))</f>
        <v/>
      </c>
      <c r="AS205" s="257">
        <f>IF(AS$7="Actual","",IFERROR((INDEX($M205:$Q205,,MATCH(AS$4,$M$4:$Q$4,0))),0))</f>
        <v/>
      </c>
      <c r="AT205" s="257">
        <f>IF(AT$7="Actual","",IFERROR((INDEX($M205:$Q205,,MATCH(AT$4,$M$4:$Q$4,0))),0))</f>
        <v/>
      </c>
      <c r="AU205" s="257">
        <f>IF(AU$7="Actual","",IFERROR((INDEX($M205:$Q205,,MATCH(AU$4,$M$4:$Q$4,0))),0))</f>
        <v/>
      </c>
      <c r="AV205" s="257">
        <f>IF(AV$7="Actual","",IFERROR((INDEX($M205:$Q205,,MATCH(AV$4,$M$4:$Q$4,0))),0))</f>
        <v/>
      </c>
      <c r="AW205" s="257">
        <f>IF(AW$7="Actual","",IFERROR((INDEX($M205:$Q205,,MATCH(AW$4,$M$4:$Q$4,0))),0))</f>
        <v/>
      </c>
      <c r="AX205" s="257">
        <f>IF(AX$7="Actual","",IFERROR((INDEX($M205:$Q205,,MATCH(AX$4,$M$4:$Q$4,0))),0))</f>
        <v/>
      </c>
      <c r="AY205" s="257">
        <f>IF(AY$7="Actual","",IFERROR((INDEX($M205:$Q205,,MATCH(AY$4,$M$4:$Q$4,0))),0))</f>
        <v/>
      </c>
      <c r="AZ205" s="257">
        <f>IF(AZ$7="Actual","",IFERROR((INDEX($M205:$Q205,,MATCH(AZ$4,$M$4:$Q$4,0))),0))</f>
        <v/>
      </c>
      <c r="BA205" s="257">
        <f>IF(BA$7="Actual","",IFERROR((INDEX($M205:$Q205,,MATCH(BA$4,$M$4:$Q$4,0))),0))</f>
        <v/>
      </c>
      <c r="BB205" s="257">
        <f>IF(BB$7="Actual","",IFERROR((INDEX($M205:$Q205,,MATCH(BB$4,$M$4:$Q$4,0))),0))</f>
        <v/>
      </c>
      <c r="BC205" s="257">
        <f>IF(BC$7="Actual","",IFERROR((INDEX($M205:$Q205,,MATCH(BC$4,$M$4:$Q$4,0))),0))</f>
        <v/>
      </c>
      <c r="BD205" s="257">
        <f>IF(BD$7="Actual","",IFERROR((INDEX($M205:$Q205,,MATCH(BD$4,$M$4:$Q$4,0))),0))</f>
        <v/>
      </c>
      <c r="BE205" s="257">
        <f>IF(BE$7="Actual","",IFERROR((INDEX($M205:$Q205,,MATCH(BE$4,$M$4:$Q$4,0))),0))</f>
        <v/>
      </c>
      <c r="BF205" s="257">
        <f>IF(BF$7="Actual","",IFERROR((INDEX($M205:$Q205,,MATCH(BF$4,$M$4:$Q$4,0))),0))</f>
        <v/>
      </c>
      <c r="BG205" s="257">
        <f>IF(BG$7="Actual","",IFERROR((INDEX($M205:$Q205,,MATCH(BG$4,$M$4:$Q$4,0))),0))</f>
        <v/>
      </c>
      <c r="BH205" s="257">
        <f>IF(BH$7="Actual","",IFERROR((INDEX($M205:$Q205,,MATCH(BH$4,$M$4:$Q$4,0))),0))</f>
        <v/>
      </c>
      <c r="BI205" s="257">
        <f>IF(BI$7="Actual","",IFERROR((INDEX($M205:$Q205,,MATCH(BI$4,$M$4:$Q$4,0))),0))</f>
        <v/>
      </c>
      <c r="BJ205" s="257">
        <f>IF(BJ$7="Actual","",IFERROR((INDEX($M205:$Q205,,MATCH(BJ$4,$M$4:$Q$4,0))),0))</f>
        <v/>
      </c>
      <c r="BK205" s="257">
        <f>IF(BK$7="Actual","",IFERROR((INDEX($M205:$Q205,,MATCH(BK$4,$M$4:$Q$4,0))),0))</f>
        <v/>
      </c>
      <c r="BL205" s="257">
        <f>IF(BL$7="Actual","",IFERROR((INDEX($M205:$Q205,,MATCH(BL$4,$M$4:$Q$4,0))),0))</f>
        <v/>
      </c>
      <c r="BM205" s="257">
        <f>IF(BM$7="Actual","",IFERROR((INDEX($M205:$Q205,,MATCH(BM$4,$M$4:$Q$4,0))),0))</f>
        <v/>
      </c>
      <c r="BN205" s="257">
        <f>IF(BN$7="Actual","",IFERROR((INDEX($M205:$Q205,,MATCH(BN$4,$M$4:$Q$4,0))),0))</f>
        <v/>
      </c>
      <c r="BO205" s="257">
        <f>IF(BO$7="Actual","",IFERROR((INDEX($M205:$Q205,,MATCH(BO$4,$M$4:$Q$4,0))),0))</f>
        <v/>
      </c>
      <c r="BP205" s="257">
        <f>IF(BP$7="Actual","",IFERROR((INDEX($M205:$Q205,,MATCH(BP$4,$M$4:$Q$4,0))),0))</f>
        <v/>
      </c>
      <c r="BQ205" s="257">
        <f>IF(BQ$7="Actual","",IFERROR((INDEX($M205:$Q205,,MATCH(BQ$4,$M$4:$Q$4,0))),0))</f>
        <v/>
      </c>
      <c r="BR205" s="257">
        <f>IF(BR$7="Actual","",IFERROR((INDEX($M205:$Q205,,MATCH(BR$4,$M$4:$Q$4,0))),0))</f>
        <v/>
      </c>
      <c r="BS205" s="257">
        <f>IF(BS$7="Actual","",IFERROR((INDEX($M205:$Q205,,MATCH(BS$4,$M$4:$Q$4,0))),0))</f>
        <v/>
      </c>
      <c r="BT205" s="257">
        <f>IF(BT$7="Actual","",IFERROR((INDEX($M205:$Q205,,MATCH(BT$4,$M$4:$Q$4,0))),0))</f>
        <v/>
      </c>
      <c r="BU205" s="257">
        <f>IF(BU$7="Actual","",IFERROR((INDEX($M205:$Q205,,MATCH(BU$4,$M$4:$Q$4,0))),0))</f>
        <v/>
      </c>
      <c r="BV205" s="257">
        <f>IF(BV$7="Actual","",IFERROR((INDEX($M205:$Q205,,MATCH(BV$4,$M$4:$Q$4,0))),0))</f>
        <v/>
      </c>
      <c r="BW205" s="257">
        <f>IF(BW$7="Actual","",IFERROR((INDEX($M205:$Q205,,MATCH(BW$4,$M$4:$Q$4,0))),0))</f>
        <v/>
      </c>
      <c r="BX205" s="257">
        <f>IF(BX$7="Actual","",IFERROR((INDEX($M205:$Q205,,MATCH(BX$4,$M$4:$Q$4,0))),0))</f>
        <v/>
      </c>
      <c r="BY205" s="257">
        <f>IF(BY$7="Actual","",IFERROR((INDEX($M205:$Q205,,MATCH(BY$4,$M$4:$Q$4,0))),0))</f>
        <v/>
      </c>
      <c r="BZ205" s="257">
        <f>IF(BZ$7="Actual","",IFERROR((INDEX($M205:$Q205,,MATCH(BZ$4,$M$4:$Q$4,0))),0))</f>
        <v/>
      </c>
      <c r="CA205" s="257">
        <f>IF(CA$7="Actual","",IFERROR((INDEX($M205:$Q205,,MATCH(CA$4,$M$4:$Q$4,0))),0))</f>
        <v/>
      </c>
    </row>
    <row r="206" ht="12" customHeight="1" s="227">
      <c r="A206" s="244" t="n"/>
      <c r="B206" s="244" t="n"/>
      <c r="C206" s="244" t="n"/>
      <c r="H206" s="0">
        <f>H196</f>
        <v/>
      </c>
      <c r="I206" s="27">
        <f>i_Setup!$M$16</f>
        <v/>
      </c>
      <c r="K206" s="6" t="n"/>
      <c r="M206" s="257">
        <f>IF(M$7="Actual","",i_Assumptions!M439)</f>
        <v/>
      </c>
      <c r="N206" s="257">
        <f>IF(N$7="Actual","",i_Assumptions!N439)</f>
        <v/>
      </c>
      <c r="O206" s="257">
        <f>IF(O$7="Actual","",i_Assumptions!O439)</f>
        <v/>
      </c>
      <c r="P206" s="257">
        <f>IF(P$7="Actual","",i_Assumptions!P439)</f>
        <v/>
      </c>
      <c r="Q206" s="257">
        <f>IF(Q$7="Actual","",i_Assumptions!Q439)</f>
        <v/>
      </c>
      <c r="T206" s="257">
        <f>IF(T$7="Actual","",IFERROR((INDEX($M206:$Q206,,MATCH(T$4,$M$4:$Q$4,0))),0))</f>
        <v/>
      </c>
      <c r="U206" s="257">
        <f>IF(U$7="Actual","",IFERROR((INDEX($M206:$Q206,,MATCH(U$4,$M$4:$Q$4,0))),0))</f>
        <v/>
      </c>
      <c r="V206" s="257">
        <f>IF(V$7="Actual","",IFERROR((INDEX($M206:$Q206,,MATCH(V$4,$M$4:$Q$4,0))),0))</f>
        <v/>
      </c>
      <c r="W206" s="257">
        <f>IF(W$7="Actual","",IFERROR((INDEX($M206:$Q206,,MATCH(W$4,$M$4:$Q$4,0))),0))</f>
        <v/>
      </c>
      <c r="X206" s="257">
        <f>IF(X$7="Actual","",IFERROR((INDEX($M206:$Q206,,MATCH(X$4,$M$4:$Q$4,0))),0))</f>
        <v/>
      </c>
      <c r="Y206" s="257">
        <f>IF(Y$7="Actual","",IFERROR((INDEX($M206:$Q206,,MATCH(Y$4,$M$4:$Q$4,0))),0))</f>
        <v/>
      </c>
      <c r="Z206" s="257">
        <f>IF(Z$7="Actual","",IFERROR((INDEX($M206:$Q206,,MATCH(Z$4,$M$4:$Q$4,0))),0))</f>
        <v/>
      </c>
      <c r="AA206" s="257">
        <f>IF(AA$7="Actual","",IFERROR((INDEX($M206:$Q206,,MATCH(AA$4,$M$4:$Q$4,0))),0))</f>
        <v/>
      </c>
      <c r="AB206" s="257">
        <f>IF(AB$7="Actual","",IFERROR((INDEX($M206:$Q206,,MATCH(AB$4,$M$4:$Q$4,0))),0))</f>
        <v/>
      </c>
      <c r="AC206" s="257">
        <f>IF(AC$7="Actual","",IFERROR((INDEX($M206:$Q206,,MATCH(AC$4,$M$4:$Q$4,0))),0))</f>
        <v/>
      </c>
      <c r="AD206" s="257">
        <f>IF(AD$7="Actual","",IFERROR((INDEX($M206:$Q206,,MATCH(AD$4,$M$4:$Q$4,0))),0))</f>
        <v/>
      </c>
      <c r="AE206" s="257">
        <f>IF(AE$7="Actual","",IFERROR((INDEX($M206:$Q206,,MATCH(AE$4,$M$4:$Q$4,0))),0))</f>
        <v/>
      </c>
      <c r="AF206" s="257">
        <f>IF(AF$7="Actual","",IFERROR((INDEX($M206:$Q206,,MATCH(AF$4,$M$4:$Q$4,0))),0))</f>
        <v/>
      </c>
      <c r="AG206" s="257">
        <f>IF(AG$7="Actual","",IFERROR((INDEX($M206:$Q206,,MATCH(AG$4,$M$4:$Q$4,0))),0))</f>
        <v/>
      </c>
      <c r="AH206" s="257">
        <f>IF(AH$7="Actual","",IFERROR((INDEX($M206:$Q206,,MATCH(AH$4,$M$4:$Q$4,0))),0))</f>
        <v/>
      </c>
      <c r="AI206" s="257">
        <f>IF(AI$7="Actual","",IFERROR((INDEX($M206:$Q206,,MATCH(AI$4,$M$4:$Q$4,0))),0))</f>
        <v/>
      </c>
      <c r="AJ206" s="257">
        <f>IF(AJ$7="Actual","",IFERROR((INDEX($M206:$Q206,,MATCH(AJ$4,$M$4:$Q$4,0))),0))</f>
        <v/>
      </c>
      <c r="AK206" s="257">
        <f>IF(AK$7="Actual","",IFERROR((INDEX($M206:$Q206,,MATCH(AK$4,$M$4:$Q$4,0))),0))</f>
        <v/>
      </c>
      <c r="AL206" s="257">
        <f>IF(AL$7="Actual","",IFERROR((INDEX($M206:$Q206,,MATCH(AL$4,$M$4:$Q$4,0))),0))</f>
        <v/>
      </c>
      <c r="AM206" s="257">
        <f>IF(AM$7="Actual","",IFERROR((INDEX($M206:$Q206,,MATCH(AM$4,$M$4:$Q$4,0))),0))</f>
        <v/>
      </c>
      <c r="AN206" s="257">
        <f>IF(AN$7="Actual","",IFERROR((INDEX($M206:$Q206,,MATCH(AN$4,$M$4:$Q$4,0))),0))</f>
        <v/>
      </c>
      <c r="AO206" s="257">
        <f>IF(AO$7="Actual","",IFERROR((INDEX($M206:$Q206,,MATCH(AO$4,$M$4:$Q$4,0))),0))</f>
        <v/>
      </c>
      <c r="AP206" s="257">
        <f>IF(AP$7="Actual","",IFERROR((INDEX($M206:$Q206,,MATCH(AP$4,$M$4:$Q$4,0))),0))</f>
        <v/>
      </c>
      <c r="AQ206" s="257">
        <f>IF(AQ$7="Actual","",IFERROR((INDEX($M206:$Q206,,MATCH(AQ$4,$M$4:$Q$4,0))),0))</f>
        <v/>
      </c>
      <c r="AR206" s="257">
        <f>IF(AR$7="Actual","",IFERROR((INDEX($M206:$Q206,,MATCH(AR$4,$M$4:$Q$4,0))),0))</f>
        <v/>
      </c>
      <c r="AS206" s="257">
        <f>IF(AS$7="Actual","",IFERROR((INDEX($M206:$Q206,,MATCH(AS$4,$M$4:$Q$4,0))),0))</f>
        <v/>
      </c>
      <c r="AT206" s="257">
        <f>IF(AT$7="Actual","",IFERROR((INDEX($M206:$Q206,,MATCH(AT$4,$M$4:$Q$4,0))),0))</f>
        <v/>
      </c>
      <c r="AU206" s="257">
        <f>IF(AU$7="Actual","",IFERROR((INDEX($M206:$Q206,,MATCH(AU$4,$M$4:$Q$4,0))),0))</f>
        <v/>
      </c>
      <c r="AV206" s="257">
        <f>IF(AV$7="Actual","",IFERROR((INDEX($M206:$Q206,,MATCH(AV$4,$M$4:$Q$4,0))),0))</f>
        <v/>
      </c>
      <c r="AW206" s="257">
        <f>IF(AW$7="Actual","",IFERROR((INDEX($M206:$Q206,,MATCH(AW$4,$M$4:$Q$4,0))),0))</f>
        <v/>
      </c>
      <c r="AX206" s="257">
        <f>IF(AX$7="Actual","",IFERROR((INDEX($M206:$Q206,,MATCH(AX$4,$M$4:$Q$4,0))),0))</f>
        <v/>
      </c>
      <c r="AY206" s="257">
        <f>IF(AY$7="Actual","",IFERROR((INDEX($M206:$Q206,,MATCH(AY$4,$M$4:$Q$4,0))),0))</f>
        <v/>
      </c>
      <c r="AZ206" s="257">
        <f>IF(AZ$7="Actual","",IFERROR((INDEX($M206:$Q206,,MATCH(AZ$4,$M$4:$Q$4,0))),0))</f>
        <v/>
      </c>
      <c r="BA206" s="257">
        <f>IF(BA$7="Actual","",IFERROR((INDEX($M206:$Q206,,MATCH(BA$4,$M$4:$Q$4,0))),0))</f>
        <v/>
      </c>
      <c r="BB206" s="257">
        <f>IF(BB$7="Actual","",IFERROR((INDEX($M206:$Q206,,MATCH(BB$4,$M$4:$Q$4,0))),0))</f>
        <v/>
      </c>
      <c r="BC206" s="257">
        <f>IF(BC$7="Actual","",IFERROR((INDEX($M206:$Q206,,MATCH(BC$4,$M$4:$Q$4,0))),0))</f>
        <v/>
      </c>
      <c r="BD206" s="257">
        <f>IF(BD$7="Actual","",IFERROR((INDEX($M206:$Q206,,MATCH(BD$4,$M$4:$Q$4,0))),0))</f>
        <v/>
      </c>
      <c r="BE206" s="257">
        <f>IF(BE$7="Actual","",IFERROR((INDEX($M206:$Q206,,MATCH(BE$4,$M$4:$Q$4,0))),0))</f>
        <v/>
      </c>
      <c r="BF206" s="257">
        <f>IF(BF$7="Actual","",IFERROR((INDEX($M206:$Q206,,MATCH(BF$4,$M$4:$Q$4,0))),0))</f>
        <v/>
      </c>
      <c r="BG206" s="257">
        <f>IF(BG$7="Actual","",IFERROR((INDEX($M206:$Q206,,MATCH(BG$4,$M$4:$Q$4,0))),0))</f>
        <v/>
      </c>
      <c r="BH206" s="257">
        <f>IF(BH$7="Actual","",IFERROR((INDEX($M206:$Q206,,MATCH(BH$4,$M$4:$Q$4,0))),0))</f>
        <v/>
      </c>
      <c r="BI206" s="257">
        <f>IF(BI$7="Actual","",IFERROR((INDEX($M206:$Q206,,MATCH(BI$4,$M$4:$Q$4,0))),0))</f>
        <v/>
      </c>
      <c r="BJ206" s="257">
        <f>IF(BJ$7="Actual","",IFERROR((INDEX($M206:$Q206,,MATCH(BJ$4,$M$4:$Q$4,0))),0))</f>
        <v/>
      </c>
      <c r="BK206" s="257">
        <f>IF(BK$7="Actual","",IFERROR((INDEX($M206:$Q206,,MATCH(BK$4,$M$4:$Q$4,0))),0))</f>
        <v/>
      </c>
      <c r="BL206" s="257">
        <f>IF(BL$7="Actual","",IFERROR((INDEX($M206:$Q206,,MATCH(BL$4,$M$4:$Q$4,0))),0))</f>
        <v/>
      </c>
      <c r="BM206" s="257">
        <f>IF(BM$7="Actual","",IFERROR((INDEX($M206:$Q206,,MATCH(BM$4,$M$4:$Q$4,0))),0))</f>
        <v/>
      </c>
      <c r="BN206" s="257">
        <f>IF(BN$7="Actual","",IFERROR((INDEX($M206:$Q206,,MATCH(BN$4,$M$4:$Q$4,0))),0))</f>
        <v/>
      </c>
      <c r="BO206" s="257">
        <f>IF(BO$7="Actual","",IFERROR((INDEX($M206:$Q206,,MATCH(BO$4,$M$4:$Q$4,0))),0))</f>
        <v/>
      </c>
      <c r="BP206" s="257">
        <f>IF(BP$7="Actual","",IFERROR((INDEX($M206:$Q206,,MATCH(BP$4,$M$4:$Q$4,0))),0))</f>
        <v/>
      </c>
      <c r="BQ206" s="257">
        <f>IF(BQ$7="Actual","",IFERROR((INDEX($M206:$Q206,,MATCH(BQ$4,$M$4:$Q$4,0))),0))</f>
        <v/>
      </c>
      <c r="BR206" s="257">
        <f>IF(BR$7="Actual","",IFERROR((INDEX($M206:$Q206,,MATCH(BR$4,$M$4:$Q$4,0))),0))</f>
        <v/>
      </c>
      <c r="BS206" s="257">
        <f>IF(BS$7="Actual","",IFERROR((INDEX($M206:$Q206,,MATCH(BS$4,$M$4:$Q$4,0))),0))</f>
        <v/>
      </c>
      <c r="BT206" s="257">
        <f>IF(BT$7="Actual","",IFERROR((INDEX($M206:$Q206,,MATCH(BT$4,$M$4:$Q$4,0))),0))</f>
        <v/>
      </c>
      <c r="BU206" s="257">
        <f>IF(BU$7="Actual","",IFERROR((INDEX($M206:$Q206,,MATCH(BU$4,$M$4:$Q$4,0))),0))</f>
        <v/>
      </c>
      <c r="BV206" s="257">
        <f>IF(BV$7="Actual","",IFERROR((INDEX($M206:$Q206,,MATCH(BV$4,$M$4:$Q$4,0))),0))</f>
        <v/>
      </c>
      <c r="BW206" s="257">
        <f>IF(BW$7="Actual","",IFERROR((INDEX($M206:$Q206,,MATCH(BW$4,$M$4:$Q$4,0))),0))</f>
        <v/>
      </c>
      <c r="BX206" s="257">
        <f>IF(BX$7="Actual","",IFERROR((INDEX($M206:$Q206,,MATCH(BX$4,$M$4:$Q$4,0))),0))</f>
        <v/>
      </c>
      <c r="BY206" s="257">
        <f>IF(BY$7="Actual","",IFERROR((INDEX($M206:$Q206,,MATCH(BY$4,$M$4:$Q$4,0))),0))</f>
        <v/>
      </c>
      <c r="BZ206" s="257">
        <f>IF(BZ$7="Actual","",IFERROR((INDEX($M206:$Q206,,MATCH(BZ$4,$M$4:$Q$4,0))),0))</f>
        <v/>
      </c>
      <c r="CA206" s="257">
        <f>IF(CA$7="Actual","",IFERROR((INDEX($M206:$Q206,,MATCH(CA$4,$M$4:$Q$4,0))),0))</f>
        <v/>
      </c>
    </row>
    <row r="207" ht="12" customHeight="1" s="227">
      <c r="A207" s="244" t="n"/>
      <c r="B207" s="244" t="n"/>
      <c r="C207" s="244" t="n"/>
      <c r="H207" s="0">
        <f>H197</f>
        <v/>
      </c>
      <c r="I207" s="27">
        <f>i_Setup!$M$16</f>
        <v/>
      </c>
      <c r="K207" s="6" t="n"/>
      <c r="M207" s="257">
        <f>IF(M$7="Actual","",i_Assumptions!M440)</f>
        <v/>
      </c>
      <c r="N207" s="257">
        <f>IF(N$7="Actual","",i_Assumptions!N440)</f>
        <v/>
      </c>
      <c r="O207" s="257">
        <f>IF(O$7="Actual","",i_Assumptions!O440)</f>
        <v/>
      </c>
      <c r="P207" s="257">
        <f>IF(P$7="Actual","",i_Assumptions!P440)</f>
        <v/>
      </c>
      <c r="Q207" s="257">
        <f>IF(Q$7="Actual","",i_Assumptions!Q440)</f>
        <v/>
      </c>
      <c r="T207" s="257">
        <f>IF(T$7="Actual","",IFERROR((INDEX($M207:$Q207,,MATCH(T$4,$M$4:$Q$4,0))),0))</f>
        <v/>
      </c>
      <c r="U207" s="257">
        <f>IF(U$7="Actual","",IFERROR((INDEX($M207:$Q207,,MATCH(U$4,$M$4:$Q$4,0))),0))</f>
        <v/>
      </c>
      <c r="V207" s="257">
        <f>IF(V$7="Actual","",IFERROR((INDEX($M207:$Q207,,MATCH(V$4,$M$4:$Q$4,0))),0))</f>
        <v/>
      </c>
      <c r="W207" s="257">
        <f>IF(W$7="Actual","",IFERROR((INDEX($M207:$Q207,,MATCH(W$4,$M$4:$Q$4,0))),0))</f>
        <v/>
      </c>
      <c r="X207" s="257">
        <f>IF(X$7="Actual","",IFERROR((INDEX($M207:$Q207,,MATCH(X$4,$M$4:$Q$4,0))),0))</f>
        <v/>
      </c>
      <c r="Y207" s="257">
        <f>IF(Y$7="Actual","",IFERROR((INDEX($M207:$Q207,,MATCH(Y$4,$M$4:$Q$4,0))),0))</f>
        <v/>
      </c>
      <c r="Z207" s="257">
        <f>IF(Z$7="Actual","",IFERROR((INDEX($M207:$Q207,,MATCH(Z$4,$M$4:$Q$4,0))),0))</f>
        <v/>
      </c>
      <c r="AA207" s="257">
        <f>IF(AA$7="Actual","",IFERROR((INDEX($M207:$Q207,,MATCH(AA$4,$M$4:$Q$4,0))),0))</f>
        <v/>
      </c>
      <c r="AB207" s="257">
        <f>IF(AB$7="Actual","",IFERROR((INDEX($M207:$Q207,,MATCH(AB$4,$M$4:$Q$4,0))),0))</f>
        <v/>
      </c>
      <c r="AC207" s="257">
        <f>IF(AC$7="Actual","",IFERROR((INDEX($M207:$Q207,,MATCH(AC$4,$M$4:$Q$4,0))),0))</f>
        <v/>
      </c>
      <c r="AD207" s="257">
        <f>IF(AD$7="Actual","",IFERROR((INDEX($M207:$Q207,,MATCH(AD$4,$M$4:$Q$4,0))),0))</f>
        <v/>
      </c>
      <c r="AE207" s="257">
        <f>IF(AE$7="Actual","",IFERROR((INDEX($M207:$Q207,,MATCH(AE$4,$M$4:$Q$4,0))),0))</f>
        <v/>
      </c>
      <c r="AF207" s="257">
        <f>IF(AF$7="Actual","",IFERROR((INDEX($M207:$Q207,,MATCH(AF$4,$M$4:$Q$4,0))),0))</f>
        <v/>
      </c>
      <c r="AG207" s="257">
        <f>IF(AG$7="Actual","",IFERROR((INDEX($M207:$Q207,,MATCH(AG$4,$M$4:$Q$4,0))),0))</f>
        <v/>
      </c>
      <c r="AH207" s="257">
        <f>IF(AH$7="Actual","",IFERROR((INDEX($M207:$Q207,,MATCH(AH$4,$M$4:$Q$4,0))),0))</f>
        <v/>
      </c>
      <c r="AI207" s="257">
        <f>IF(AI$7="Actual","",IFERROR((INDEX($M207:$Q207,,MATCH(AI$4,$M$4:$Q$4,0))),0))</f>
        <v/>
      </c>
      <c r="AJ207" s="257">
        <f>IF(AJ$7="Actual","",IFERROR((INDEX($M207:$Q207,,MATCH(AJ$4,$M$4:$Q$4,0))),0))</f>
        <v/>
      </c>
      <c r="AK207" s="257">
        <f>IF(AK$7="Actual","",IFERROR((INDEX($M207:$Q207,,MATCH(AK$4,$M$4:$Q$4,0))),0))</f>
        <v/>
      </c>
      <c r="AL207" s="257">
        <f>IF(AL$7="Actual","",IFERROR((INDEX($M207:$Q207,,MATCH(AL$4,$M$4:$Q$4,0))),0))</f>
        <v/>
      </c>
      <c r="AM207" s="257">
        <f>IF(AM$7="Actual","",IFERROR((INDEX($M207:$Q207,,MATCH(AM$4,$M$4:$Q$4,0))),0))</f>
        <v/>
      </c>
      <c r="AN207" s="257">
        <f>IF(AN$7="Actual","",IFERROR((INDEX($M207:$Q207,,MATCH(AN$4,$M$4:$Q$4,0))),0))</f>
        <v/>
      </c>
      <c r="AO207" s="257">
        <f>IF(AO$7="Actual","",IFERROR((INDEX($M207:$Q207,,MATCH(AO$4,$M$4:$Q$4,0))),0))</f>
        <v/>
      </c>
      <c r="AP207" s="257">
        <f>IF(AP$7="Actual","",IFERROR((INDEX($M207:$Q207,,MATCH(AP$4,$M$4:$Q$4,0))),0))</f>
        <v/>
      </c>
      <c r="AQ207" s="257">
        <f>IF(AQ$7="Actual","",IFERROR((INDEX($M207:$Q207,,MATCH(AQ$4,$M$4:$Q$4,0))),0))</f>
        <v/>
      </c>
      <c r="AR207" s="257">
        <f>IF(AR$7="Actual","",IFERROR((INDEX($M207:$Q207,,MATCH(AR$4,$M$4:$Q$4,0))),0))</f>
        <v/>
      </c>
      <c r="AS207" s="257">
        <f>IF(AS$7="Actual","",IFERROR((INDEX($M207:$Q207,,MATCH(AS$4,$M$4:$Q$4,0))),0))</f>
        <v/>
      </c>
      <c r="AT207" s="257">
        <f>IF(AT$7="Actual","",IFERROR((INDEX($M207:$Q207,,MATCH(AT$4,$M$4:$Q$4,0))),0))</f>
        <v/>
      </c>
      <c r="AU207" s="257">
        <f>IF(AU$7="Actual","",IFERROR((INDEX($M207:$Q207,,MATCH(AU$4,$M$4:$Q$4,0))),0))</f>
        <v/>
      </c>
      <c r="AV207" s="257">
        <f>IF(AV$7="Actual","",IFERROR((INDEX($M207:$Q207,,MATCH(AV$4,$M$4:$Q$4,0))),0))</f>
        <v/>
      </c>
      <c r="AW207" s="257">
        <f>IF(AW$7="Actual","",IFERROR((INDEX($M207:$Q207,,MATCH(AW$4,$M$4:$Q$4,0))),0))</f>
        <v/>
      </c>
      <c r="AX207" s="257">
        <f>IF(AX$7="Actual","",IFERROR((INDEX($M207:$Q207,,MATCH(AX$4,$M$4:$Q$4,0))),0))</f>
        <v/>
      </c>
      <c r="AY207" s="257">
        <f>IF(AY$7="Actual","",IFERROR((INDEX($M207:$Q207,,MATCH(AY$4,$M$4:$Q$4,0))),0))</f>
        <v/>
      </c>
      <c r="AZ207" s="257">
        <f>IF(AZ$7="Actual","",IFERROR((INDEX($M207:$Q207,,MATCH(AZ$4,$M$4:$Q$4,0))),0))</f>
        <v/>
      </c>
      <c r="BA207" s="257">
        <f>IF(BA$7="Actual","",IFERROR((INDEX($M207:$Q207,,MATCH(BA$4,$M$4:$Q$4,0))),0))</f>
        <v/>
      </c>
      <c r="BB207" s="257">
        <f>IF(BB$7="Actual","",IFERROR((INDEX($M207:$Q207,,MATCH(BB$4,$M$4:$Q$4,0))),0))</f>
        <v/>
      </c>
      <c r="BC207" s="257">
        <f>IF(BC$7="Actual","",IFERROR((INDEX($M207:$Q207,,MATCH(BC$4,$M$4:$Q$4,0))),0))</f>
        <v/>
      </c>
      <c r="BD207" s="257">
        <f>IF(BD$7="Actual","",IFERROR((INDEX($M207:$Q207,,MATCH(BD$4,$M$4:$Q$4,0))),0))</f>
        <v/>
      </c>
      <c r="BE207" s="257">
        <f>IF(BE$7="Actual","",IFERROR((INDEX($M207:$Q207,,MATCH(BE$4,$M$4:$Q$4,0))),0))</f>
        <v/>
      </c>
      <c r="BF207" s="257">
        <f>IF(BF$7="Actual","",IFERROR((INDEX($M207:$Q207,,MATCH(BF$4,$M$4:$Q$4,0))),0))</f>
        <v/>
      </c>
      <c r="BG207" s="257">
        <f>IF(BG$7="Actual","",IFERROR((INDEX($M207:$Q207,,MATCH(BG$4,$M$4:$Q$4,0))),0))</f>
        <v/>
      </c>
      <c r="BH207" s="257">
        <f>IF(BH$7="Actual","",IFERROR((INDEX($M207:$Q207,,MATCH(BH$4,$M$4:$Q$4,0))),0))</f>
        <v/>
      </c>
      <c r="BI207" s="257">
        <f>IF(BI$7="Actual","",IFERROR((INDEX($M207:$Q207,,MATCH(BI$4,$M$4:$Q$4,0))),0))</f>
        <v/>
      </c>
      <c r="BJ207" s="257">
        <f>IF(BJ$7="Actual","",IFERROR((INDEX($M207:$Q207,,MATCH(BJ$4,$M$4:$Q$4,0))),0))</f>
        <v/>
      </c>
      <c r="BK207" s="257">
        <f>IF(BK$7="Actual","",IFERROR((INDEX($M207:$Q207,,MATCH(BK$4,$M$4:$Q$4,0))),0))</f>
        <v/>
      </c>
      <c r="BL207" s="257">
        <f>IF(BL$7="Actual","",IFERROR((INDEX($M207:$Q207,,MATCH(BL$4,$M$4:$Q$4,0))),0))</f>
        <v/>
      </c>
      <c r="BM207" s="257">
        <f>IF(BM$7="Actual","",IFERROR((INDEX($M207:$Q207,,MATCH(BM$4,$M$4:$Q$4,0))),0))</f>
        <v/>
      </c>
      <c r="BN207" s="257">
        <f>IF(BN$7="Actual","",IFERROR((INDEX($M207:$Q207,,MATCH(BN$4,$M$4:$Q$4,0))),0))</f>
        <v/>
      </c>
      <c r="BO207" s="257">
        <f>IF(BO$7="Actual","",IFERROR((INDEX($M207:$Q207,,MATCH(BO$4,$M$4:$Q$4,0))),0))</f>
        <v/>
      </c>
      <c r="BP207" s="257">
        <f>IF(BP$7="Actual","",IFERROR((INDEX($M207:$Q207,,MATCH(BP$4,$M$4:$Q$4,0))),0))</f>
        <v/>
      </c>
      <c r="BQ207" s="257">
        <f>IF(BQ$7="Actual","",IFERROR((INDEX($M207:$Q207,,MATCH(BQ$4,$M$4:$Q$4,0))),0))</f>
        <v/>
      </c>
      <c r="BR207" s="257">
        <f>IF(BR$7="Actual","",IFERROR((INDEX($M207:$Q207,,MATCH(BR$4,$M$4:$Q$4,0))),0))</f>
        <v/>
      </c>
      <c r="BS207" s="257">
        <f>IF(BS$7="Actual","",IFERROR((INDEX($M207:$Q207,,MATCH(BS$4,$M$4:$Q$4,0))),0))</f>
        <v/>
      </c>
      <c r="BT207" s="257">
        <f>IF(BT$7="Actual","",IFERROR((INDEX($M207:$Q207,,MATCH(BT$4,$M$4:$Q$4,0))),0))</f>
        <v/>
      </c>
      <c r="BU207" s="257">
        <f>IF(BU$7="Actual","",IFERROR((INDEX($M207:$Q207,,MATCH(BU$4,$M$4:$Q$4,0))),0))</f>
        <v/>
      </c>
      <c r="BV207" s="257">
        <f>IF(BV$7="Actual","",IFERROR((INDEX($M207:$Q207,,MATCH(BV$4,$M$4:$Q$4,0))),0))</f>
        <v/>
      </c>
      <c r="BW207" s="257">
        <f>IF(BW$7="Actual","",IFERROR((INDEX($M207:$Q207,,MATCH(BW$4,$M$4:$Q$4,0))),0))</f>
        <v/>
      </c>
      <c r="BX207" s="257">
        <f>IF(BX$7="Actual","",IFERROR((INDEX($M207:$Q207,,MATCH(BX$4,$M$4:$Q$4,0))),0))</f>
        <v/>
      </c>
      <c r="BY207" s="257">
        <f>IF(BY$7="Actual","",IFERROR((INDEX($M207:$Q207,,MATCH(BY$4,$M$4:$Q$4,0))),0))</f>
        <v/>
      </c>
      <c r="BZ207" s="257">
        <f>IF(BZ$7="Actual","",IFERROR((INDEX($M207:$Q207,,MATCH(BZ$4,$M$4:$Q$4,0))),0))</f>
        <v/>
      </c>
      <c r="CA207" s="257">
        <f>IF(CA$7="Actual","",IFERROR((INDEX($M207:$Q207,,MATCH(CA$4,$M$4:$Q$4,0))),0))</f>
        <v/>
      </c>
    </row>
    <row r="208" ht="12" customHeight="1" s="227">
      <c r="A208" s="244" t="n"/>
      <c r="B208" s="244" t="n"/>
      <c r="C208" s="244" t="n"/>
      <c r="H208" s="0">
        <f>H198</f>
        <v/>
      </c>
      <c r="I208" s="27">
        <f>i_Setup!$M$16</f>
        <v/>
      </c>
      <c r="K208" s="6" t="n"/>
      <c r="M208" s="257">
        <f>IF(M$7="Actual","",i_Assumptions!M441)</f>
        <v/>
      </c>
      <c r="N208" s="257">
        <f>IF(N$7="Actual","",i_Assumptions!N441)</f>
        <v/>
      </c>
      <c r="O208" s="257">
        <f>IF(O$7="Actual","",i_Assumptions!O441)</f>
        <v/>
      </c>
      <c r="P208" s="257">
        <f>IF(P$7="Actual","",i_Assumptions!P441)</f>
        <v/>
      </c>
      <c r="Q208" s="257">
        <f>IF(Q$7="Actual","",i_Assumptions!Q441)</f>
        <v/>
      </c>
      <c r="T208" s="257">
        <f>IF(T$7="Actual","",IFERROR((INDEX($M208:$Q208,,MATCH(T$4,$M$4:$Q$4,0))),0))</f>
        <v/>
      </c>
      <c r="U208" s="257">
        <f>IF(U$7="Actual","",IFERROR((INDEX($M208:$Q208,,MATCH(U$4,$M$4:$Q$4,0))),0))</f>
        <v/>
      </c>
      <c r="V208" s="257">
        <f>IF(V$7="Actual","",IFERROR((INDEX($M208:$Q208,,MATCH(V$4,$M$4:$Q$4,0))),0))</f>
        <v/>
      </c>
      <c r="W208" s="257">
        <f>IF(W$7="Actual","",IFERROR((INDEX($M208:$Q208,,MATCH(W$4,$M$4:$Q$4,0))),0))</f>
        <v/>
      </c>
      <c r="X208" s="257">
        <f>IF(X$7="Actual","",IFERROR((INDEX($M208:$Q208,,MATCH(X$4,$M$4:$Q$4,0))),0))</f>
        <v/>
      </c>
      <c r="Y208" s="257">
        <f>IF(Y$7="Actual","",IFERROR((INDEX($M208:$Q208,,MATCH(Y$4,$M$4:$Q$4,0))),0))</f>
        <v/>
      </c>
      <c r="Z208" s="257">
        <f>IF(Z$7="Actual","",IFERROR((INDEX($M208:$Q208,,MATCH(Z$4,$M$4:$Q$4,0))),0))</f>
        <v/>
      </c>
      <c r="AA208" s="257">
        <f>IF(AA$7="Actual","",IFERROR((INDEX($M208:$Q208,,MATCH(AA$4,$M$4:$Q$4,0))),0))</f>
        <v/>
      </c>
      <c r="AB208" s="257">
        <f>IF(AB$7="Actual","",IFERROR((INDEX($M208:$Q208,,MATCH(AB$4,$M$4:$Q$4,0))),0))</f>
        <v/>
      </c>
      <c r="AC208" s="257">
        <f>IF(AC$7="Actual","",IFERROR((INDEX($M208:$Q208,,MATCH(AC$4,$M$4:$Q$4,0))),0))</f>
        <v/>
      </c>
      <c r="AD208" s="257">
        <f>IF(AD$7="Actual","",IFERROR((INDEX($M208:$Q208,,MATCH(AD$4,$M$4:$Q$4,0))),0))</f>
        <v/>
      </c>
      <c r="AE208" s="257">
        <f>IF(AE$7="Actual","",IFERROR((INDEX($M208:$Q208,,MATCH(AE$4,$M$4:$Q$4,0))),0))</f>
        <v/>
      </c>
      <c r="AF208" s="257">
        <f>IF(AF$7="Actual","",IFERROR((INDEX($M208:$Q208,,MATCH(AF$4,$M$4:$Q$4,0))),0))</f>
        <v/>
      </c>
      <c r="AG208" s="257">
        <f>IF(AG$7="Actual","",IFERROR((INDEX($M208:$Q208,,MATCH(AG$4,$M$4:$Q$4,0))),0))</f>
        <v/>
      </c>
      <c r="AH208" s="257">
        <f>IF(AH$7="Actual","",IFERROR((INDEX($M208:$Q208,,MATCH(AH$4,$M$4:$Q$4,0))),0))</f>
        <v/>
      </c>
      <c r="AI208" s="257">
        <f>IF(AI$7="Actual","",IFERROR((INDEX($M208:$Q208,,MATCH(AI$4,$M$4:$Q$4,0))),0))</f>
        <v/>
      </c>
      <c r="AJ208" s="257">
        <f>IF(AJ$7="Actual","",IFERROR((INDEX($M208:$Q208,,MATCH(AJ$4,$M$4:$Q$4,0))),0))</f>
        <v/>
      </c>
      <c r="AK208" s="257">
        <f>IF(AK$7="Actual","",IFERROR((INDEX($M208:$Q208,,MATCH(AK$4,$M$4:$Q$4,0))),0))</f>
        <v/>
      </c>
      <c r="AL208" s="257">
        <f>IF(AL$7="Actual","",IFERROR((INDEX($M208:$Q208,,MATCH(AL$4,$M$4:$Q$4,0))),0))</f>
        <v/>
      </c>
      <c r="AM208" s="257">
        <f>IF(AM$7="Actual","",IFERROR((INDEX($M208:$Q208,,MATCH(AM$4,$M$4:$Q$4,0))),0))</f>
        <v/>
      </c>
      <c r="AN208" s="257">
        <f>IF(AN$7="Actual","",IFERROR((INDEX($M208:$Q208,,MATCH(AN$4,$M$4:$Q$4,0))),0))</f>
        <v/>
      </c>
      <c r="AO208" s="257">
        <f>IF(AO$7="Actual","",IFERROR((INDEX($M208:$Q208,,MATCH(AO$4,$M$4:$Q$4,0))),0))</f>
        <v/>
      </c>
      <c r="AP208" s="257">
        <f>IF(AP$7="Actual","",IFERROR((INDEX($M208:$Q208,,MATCH(AP$4,$M$4:$Q$4,0))),0))</f>
        <v/>
      </c>
      <c r="AQ208" s="257">
        <f>IF(AQ$7="Actual","",IFERROR((INDEX($M208:$Q208,,MATCH(AQ$4,$M$4:$Q$4,0))),0))</f>
        <v/>
      </c>
      <c r="AR208" s="257">
        <f>IF(AR$7="Actual","",IFERROR((INDEX($M208:$Q208,,MATCH(AR$4,$M$4:$Q$4,0))),0))</f>
        <v/>
      </c>
      <c r="AS208" s="257">
        <f>IF(AS$7="Actual","",IFERROR((INDEX($M208:$Q208,,MATCH(AS$4,$M$4:$Q$4,0))),0))</f>
        <v/>
      </c>
      <c r="AT208" s="257">
        <f>IF(AT$7="Actual","",IFERROR((INDEX($M208:$Q208,,MATCH(AT$4,$M$4:$Q$4,0))),0))</f>
        <v/>
      </c>
      <c r="AU208" s="257">
        <f>IF(AU$7="Actual","",IFERROR((INDEX($M208:$Q208,,MATCH(AU$4,$M$4:$Q$4,0))),0))</f>
        <v/>
      </c>
      <c r="AV208" s="257">
        <f>IF(AV$7="Actual","",IFERROR((INDEX($M208:$Q208,,MATCH(AV$4,$M$4:$Q$4,0))),0))</f>
        <v/>
      </c>
      <c r="AW208" s="257">
        <f>IF(AW$7="Actual","",IFERROR((INDEX($M208:$Q208,,MATCH(AW$4,$M$4:$Q$4,0))),0))</f>
        <v/>
      </c>
      <c r="AX208" s="257">
        <f>IF(AX$7="Actual","",IFERROR((INDEX($M208:$Q208,,MATCH(AX$4,$M$4:$Q$4,0))),0))</f>
        <v/>
      </c>
      <c r="AY208" s="257">
        <f>IF(AY$7="Actual","",IFERROR((INDEX($M208:$Q208,,MATCH(AY$4,$M$4:$Q$4,0))),0))</f>
        <v/>
      </c>
      <c r="AZ208" s="257">
        <f>IF(AZ$7="Actual","",IFERROR((INDEX($M208:$Q208,,MATCH(AZ$4,$M$4:$Q$4,0))),0))</f>
        <v/>
      </c>
      <c r="BA208" s="257">
        <f>IF(BA$7="Actual","",IFERROR((INDEX($M208:$Q208,,MATCH(BA$4,$M$4:$Q$4,0))),0))</f>
        <v/>
      </c>
      <c r="BB208" s="257">
        <f>IF(BB$7="Actual","",IFERROR((INDEX($M208:$Q208,,MATCH(BB$4,$M$4:$Q$4,0))),0))</f>
        <v/>
      </c>
      <c r="BC208" s="257">
        <f>IF(BC$7="Actual","",IFERROR((INDEX($M208:$Q208,,MATCH(BC$4,$M$4:$Q$4,0))),0))</f>
        <v/>
      </c>
      <c r="BD208" s="257">
        <f>IF(BD$7="Actual","",IFERROR((INDEX($M208:$Q208,,MATCH(BD$4,$M$4:$Q$4,0))),0))</f>
        <v/>
      </c>
      <c r="BE208" s="257">
        <f>IF(BE$7="Actual","",IFERROR((INDEX($M208:$Q208,,MATCH(BE$4,$M$4:$Q$4,0))),0))</f>
        <v/>
      </c>
      <c r="BF208" s="257">
        <f>IF(BF$7="Actual","",IFERROR((INDEX($M208:$Q208,,MATCH(BF$4,$M$4:$Q$4,0))),0))</f>
        <v/>
      </c>
      <c r="BG208" s="257">
        <f>IF(BG$7="Actual","",IFERROR((INDEX($M208:$Q208,,MATCH(BG$4,$M$4:$Q$4,0))),0))</f>
        <v/>
      </c>
      <c r="BH208" s="257">
        <f>IF(BH$7="Actual","",IFERROR((INDEX($M208:$Q208,,MATCH(BH$4,$M$4:$Q$4,0))),0))</f>
        <v/>
      </c>
      <c r="BI208" s="257">
        <f>IF(BI$7="Actual","",IFERROR((INDEX($M208:$Q208,,MATCH(BI$4,$M$4:$Q$4,0))),0))</f>
        <v/>
      </c>
      <c r="BJ208" s="257">
        <f>IF(BJ$7="Actual","",IFERROR((INDEX($M208:$Q208,,MATCH(BJ$4,$M$4:$Q$4,0))),0))</f>
        <v/>
      </c>
      <c r="BK208" s="257">
        <f>IF(BK$7="Actual","",IFERROR((INDEX($M208:$Q208,,MATCH(BK$4,$M$4:$Q$4,0))),0))</f>
        <v/>
      </c>
      <c r="BL208" s="257">
        <f>IF(BL$7="Actual","",IFERROR((INDEX($M208:$Q208,,MATCH(BL$4,$M$4:$Q$4,0))),0))</f>
        <v/>
      </c>
      <c r="BM208" s="257">
        <f>IF(BM$7="Actual","",IFERROR((INDEX($M208:$Q208,,MATCH(BM$4,$M$4:$Q$4,0))),0))</f>
        <v/>
      </c>
      <c r="BN208" s="257">
        <f>IF(BN$7="Actual","",IFERROR((INDEX($M208:$Q208,,MATCH(BN$4,$M$4:$Q$4,0))),0))</f>
        <v/>
      </c>
      <c r="BO208" s="257">
        <f>IF(BO$7="Actual","",IFERROR((INDEX($M208:$Q208,,MATCH(BO$4,$M$4:$Q$4,0))),0))</f>
        <v/>
      </c>
      <c r="BP208" s="257">
        <f>IF(BP$7="Actual","",IFERROR((INDEX($M208:$Q208,,MATCH(BP$4,$M$4:$Q$4,0))),0))</f>
        <v/>
      </c>
      <c r="BQ208" s="257">
        <f>IF(BQ$7="Actual","",IFERROR((INDEX($M208:$Q208,,MATCH(BQ$4,$M$4:$Q$4,0))),0))</f>
        <v/>
      </c>
      <c r="BR208" s="257">
        <f>IF(BR$7="Actual","",IFERROR((INDEX($M208:$Q208,,MATCH(BR$4,$M$4:$Q$4,0))),0))</f>
        <v/>
      </c>
      <c r="BS208" s="257">
        <f>IF(BS$7="Actual","",IFERROR((INDEX($M208:$Q208,,MATCH(BS$4,$M$4:$Q$4,0))),0))</f>
        <v/>
      </c>
      <c r="BT208" s="257">
        <f>IF(BT$7="Actual","",IFERROR((INDEX($M208:$Q208,,MATCH(BT$4,$M$4:$Q$4,0))),0))</f>
        <v/>
      </c>
      <c r="BU208" s="257">
        <f>IF(BU$7="Actual","",IFERROR((INDEX($M208:$Q208,,MATCH(BU$4,$M$4:$Q$4,0))),0))</f>
        <v/>
      </c>
      <c r="BV208" s="257">
        <f>IF(BV$7="Actual","",IFERROR((INDEX($M208:$Q208,,MATCH(BV$4,$M$4:$Q$4,0))),0))</f>
        <v/>
      </c>
      <c r="BW208" s="257">
        <f>IF(BW$7="Actual","",IFERROR((INDEX($M208:$Q208,,MATCH(BW$4,$M$4:$Q$4,0))),0))</f>
        <v/>
      </c>
      <c r="BX208" s="257">
        <f>IF(BX$7="Actual","",IFERROR((INDEX($M208:$Q208,,MATCH(BX$4,$M$4:$Q$4,0))),0))</f>
        <v/>
      </c>
      <c r="BY208" s="257">
        <f>IF(BY$7="Actual","",IFERROR((INDEX($M208:$Q208,,MATCH(BY$4,$M$4:$Q$4,0))),0))</f>
        <v/>
      </c>
      <c r="BZ208" s="257">
        <f>IF(BZ$7="Actual","",IFERROR((INDEX($M208:$Q208,,MATCH(BZ$4,$M$4:$Q$4,0))),0))</f>
        <v/>
      </c>
      <c r="CA208" s="257">
        <f>IF(CA$7="Actual","",IFERROR((INDEX($M208:$Q208,,MATCH(CA$4,$M$4:$Q$4,0))),0))</f>
        <v/>
      </c>
    </row>
    <row r="209" ht="12" customHeight="1" s="227">
      <c r="A209" s="244" t="n"/>
      <c r="B209" s="244" t="n"/>
      <c r="C209" s="244" t="n"/>
      <c r="H209" s="0">
        <f>H199</f>
        <v/>
      </c>
      <c r="I209" s="27">
        <f>i_Setup!$M$16</f>
        <v/>
      </c>
      <c r="K209" s="6" t="n"/>
      <c r="M209" s="257">
        <f>IF(M$7="Actual","",i_Assumptions!M442)</f>
        <v/>
      </c>
      <c r="N209" s="257">
        <f>IF(N$7="Actual","",i_Assumptions!N442)</f>
        <v/>
      </c>
      <c r="O209" s="257">
        <f>IF(O$7="Actual","",i_Assumptions!O442)</f>
        <v/>
      </c>
      <c r="P209" s="257">
        <f>IF(P$7="Actual","",i_Assumptions!P442)</f>
        <v/>
      </c>
      <c r="Q209" s="257">
        <f>IF(Q$7="Actual","",i_Assumptions!Q442)</f>
        <v/>
      </c>
      <c r="T209" s="257">
        <f>IF(T$7="Actual","",IFERROR((INDEX($M209:$Q209,,MATCH(T$4,$M$4:$Q$4,0))),0))</f>
        <v/>
      </c>
      <c r="U209" s="257">
        <f>IF(U$7="Actual","",IFERROR((INDEX($M209:$Q209,,MATCH(U$4,$M$4:$Q$4,0))),0))</f>
        <v/>
      </c>
      <c r="V209" s="257">
        <f>IF(V$7="Actual","",IFERROR((INDEX($M209:$Q209,,MATCH(V$4,$M$4:$Q$4,0))),0))</f>
        <v/>
      </c>
      <c r="W209" s="257">
        <f>IF(W$7="Actual","",IFERROR((INDEX($M209:$Q209,,MATCH(W$4,$M$4:$Q$4,0))),0))</f>
        <v/>
      </c>
      <c r="X209" s="257">
        <f>IF(X$7="Actual","",IFERROR((INDEX($M209:$Q209,,MATCH(X$4,$M$4:$Q$4,0))),0))</f>
        <v/>
      </c>
      <c r="Y209" s="257">
        <f>IF(Y$7="Actual","",IFERROR((INDEX($M209:$Q209,,MATCH(Y$4,$M$4:$Q$4,0))),0))</f>
        <v/>
      </c>
      <c r="Z209" s="257">
        <f>IF(Z$7="Actual","",IFERROR((INDEX($M209:$Q209,,MATCH(Z$4,$M$4:$Q$4,0))),0))</f>
        <v/>
      </c>
      <c r="AA209" s="257">
        <f>IF(AA$7="Actual","",IFERROR((INDEX($M209:$Q209,,MATCH(AA$4,$M$4:$Q$4,0))),0))</f>
        <v/>
      </c>
      <c r="AB209" s="257">
        <f>IF(AB$7="Actual","",IFERROR((INDEX($M209:$Q209,,MATCH(AB$4,$M$4:$Q$4,0))),0))</f>
        <v/>
      </c>
      <c r="AC209" s="257">
        <f>IF(AC$7="Actual","",IFERROR((INDEX($M209:$Q209,,MATCH(AC$4,$M$4:$Q$4,0))),0))</f>
        <v/>
      </c>
      <c r="AD209" s="257">
        <f>IF(AD$7="Actual","",IFERROR((INDEX($M209:$Q209,,MATCH(AD$4,$M$4:$Q$4,0))),0))</f>
        <v/>
      </c>
      <c r="AE209" s="257">
        <f>IF(AE$7="Actual","",IFERROR((INDEX($M209:$Q209,,MATCH(AE$4,$M$4:$Q$4,0))),0))</f>
        <v/>
      </c>
      <c r="AF209" s="257">
        <f>IF(AF$7="Actual","",IFERROR((INDEX($M209:$Q209,,MATCH(AF$4,$M$4:$Q$4,0))),0))</f>
        <v/>
      </c>
      <c r="AG209" s="257">
        <f>IF(AG$7="Actual","",IFERROR((INDEX($M209:$Q209,,MATCH(AG$4,$M$4:$Q$4,0))),0))</f>
        <v/>
      </c>
      <c r="AH209" s="257">
        <f>IF(AH$7="Actual","",IFERROR((INDEX($M209:$Q209,,MATCH(AH$4,$M$4:$Q$4,0))),0))</f>
        <v/>
      </c>
      <c r="AI209" s="257">
        <f>IF(AI$7="Actual","",IFERROR((INDEX($M209:$Q209,,MATCH(AI$4,$M$4:$Q$4,0))),0))</f>
        <v/>
      </c>
      <c r="AJ209" s="257">
        <f>IF(AJ$7="Actual","",IFERROR((INDEX($M209:$Q209,,MATCH(AJ$4,$M$4:$Q$4,0))),0))</f>
        <v/>
      </c>
      <c r="AK209" s="257">
        <f>IF(AK$7="Actual","",IFERROR((INDEX($M209:$Q209,,MATCH(AK$4,$M$4:$Q$4,0))),0))</f>
        <v/>
      </c>
      <c r="AL209" s="257">
        <f>IF(AL$7="Actual","",IFERROR((INDEX($M209:$Q209,,MATCH(AL$4,$M$4:$Q$4,0))),0))</f>
        <v/>
      </c>
      <c r="AM209" s="257">
        <f>IF(AM$7="Actual","",IFERROR((INDEX($M209:$Q209,,MATCH(AM$4,$M$4:$Q$4,0))),0))</f>
        <v/>
      </c>
      <c r="AN209" s="257">
        <f>IF(AN$7="Actual","",IFERROR((INDEX($M209:$Q209,,MATCH(AN$4,$M$4:$Q$4,0))),0))</f>
        <v/>
      </c>
      <c r="AO209" s="257">
        <f>IF(AO$7="Actual","",IFERROR((INDEX($M209:$Q209,,MATCH(AO$4,$M$4:$Q$4,0))),0))</f>
        <v/>
      </c>
      <c r="AP209" s="257">
        <f>IF(AP$7="Actual","",IFERROR((INDEX($M209:$Q209,,MATCH(AP$4,$M$4:$Q$4,0))),0))</f>
        <v/>
      </c>
      <c r="AQ209" s="257">
        <f>IF(AQ$7="Actual","",IFERROR((INDEX($M209:$Q209,,MATCH(AQ$4,$M$4:$Q$4,0))),0))</f>
        <v/>
      </c>
      <c r="AR209" s="257">
        <f>IF(AR$7="Actual","",IFERROR((INDEX($M209:$Q209,,MATCH(AR$4,$M$4:$Q$4,0))),0))</f>
        <v/>
      </c>
      <c r="AS209" s="257">
        <f>IF(AS$7="Actual","",IFERROR((INDEX($M209:$Q209,,MATCH(AS$4,$M$4:$Q$4,0))),0))</f>
        <v/>
      </c>
      <c r="AT209" s="257">
        <f>IF(AT$7="Actual","",IFERROR((INDEX($M209:$Q209,,MATCH(AT$4,$M$4:$Q$4,0))),0))</f>
        <v/>
      </c>
      <c r="AU209" s="257">
        <f>IF(AU$7="Actual","",IFERROR((INDEX($M209:$Q209,,MATCH(AU$4,$M$4:$Q$4,0))),0))</f>
        <v/>
      </c>
      <c r="AV209" s="257">
        <f>IF(AV$7="Actual","",IFERROR((INDEX($M209:$Q209,,MATCH(AV$4,$M$4:$Q$4,0))),0))</f>
        <v/>
      </c>
      <c r="AW209" s="257">
        <f>IF(AW$7="Actual","",IFERROR((INDEX($M209:$Q209,,MATCH(AW$4,$M$4:$Q$4,0))),0))</f>
        <v/>
      </c>
      <c r="AX209" s="257">
        <f>IF(AX$7="Actual","",IFERROR((INDEX($M209:$Q209,,MATCH(AX$4,$M$4:$Q$4,0))),0))</f>
        <v/>
      </c>
      <c r="AY209" s="257">
        <f>IF(AY$7="Actual","",IFERROR((INDEX($M209:$Q209,,MATCH(AY$4,$M$4:$Q$4,0))),0))</f>
        <v/>
      </c>
      <c r="AZ209" s="257">
        <f>IF(AZ$7="Actual","",IFERROR((INDEX($M209:$Q209,,MATCH(AZ$4,$M$4:$Q$4,0))),0))</f>
        <v/>
      </c>
      <c r="BA209" s="257">
        <f>IF(BA$7="Actual","",IFERROR((INDEX($M209:$Q209,,MATCH(BA$4,$M$4:$Q$4,0))),0))</f>
        <v/>
      </c>
      <c r="BB209" s="257">
        <f>IF(BB$7="Actual","",IFERROR((INDEX($M209:$Q209,,MATCH(BB$4,$M$4:$Q$4,0))),0))</f>
        <v/>
      </c>
      <c r="BC209" s="257">
        <f>IF(BC$7="Actual","",IFERROR((INDEX($M209:$Q209,,MATCH(BC$4,$M$4:$Q$4,0))),0))</f>
        <v/>
      </c>
      <c r="BD209" s="257">
        <f>IF(BD$7="Actual","",IFERROR((INDEX($M209:$Q209,,MATCH(BD$4,$M$4:$Q$4,0))),0))</f>
        <v/>
      </c>
      <c r="BE209" s="257">
        <f>IF(BE$7="Actual","",IFERROR((INDEX($M209:$Q209,,MATCH(BE$4,$M$4:$Q$4,0))),0))</f>
        <v/>
      </c>
      <c r="BF209" s="257">
        <f>IF(BF$7="Actual","",IFERROR((INDEX($M209:$Q209,,MATCH(BF$4,$M$4:$Q$4,0))),0))</f>
        <v/>
      </c>
      <c r="BG209" s="257">
        <f>IF(BG$7="Actual","",IFERROR((INDEX($M209:$Q209,,MATCH(BG$4,$M$4:$Q$4,0))),0))</f>
        <v/>
      </c>
      <c r="BH209" s="257">
        <f>IF(BH$7="Actual","",IFERROR((INDEX($M209:$Q209,,MATCH(BH$4,$M$4:$Q$4,0))),0))</f>
        <v/>
      </c>
      <c r="BI209" s="257">
        <f>IF(BI$7="Actual","",IFERROR((INDEX($M209:$Q209,,MATCH(BI$4,$M$4:$Q$4,0))),0))</f>
        <v/>
      </c>
      <c r="BJ209" s="257">
        <f>IF(BJ$7="Actual","",IFERROR((INDEX($M209:$Q209,,MATCH(BJ$4,$M$4:$Q$4,0))),0))</f>
        <v/>
      </c>
      <c r="BK209" s="257">
        <f>IF(BK$7="Actual","",IFERROR((INDEX($M209:$Q209,,MATCH(BK$4,$M$4:$Q$4,0))),0))</f>
        <v/>
      </c>
      <c r="BL209" s="257">
        <f>IF(BL$7="Actual","",IFERROR((INDEX($M209:$Q209,,MATCH(BL$4,$M$4:$Q$4,0))),0))</f>
        <v/>
      </c>
      <c r="BM209" s="257">
        <f>IF(BM$7="Actual","",IFERROR((INDEX($M209:$Q209,,MATCH(BM$4,$M$4:$Q$4,0))),0))</f>
        <v/>
      </c>
      <c r="BN209" s="257">
        <f>IF(BN$7="Actual","",IFERROR((INDEX($M209:$Q209,,MATCH(BN$4,$M$4:$Q$4,0))),0))</f>
        <v/>
      </c>
      <c r="BO209" s="257">
        <f>IF(BO$7="Actual","",IFERROR((INDEX($M209:$Q209,,MATCH(BO$4,$M$4:$Q$4,0))),0))</f>
        <v/>
      </c>
      <c r="BP209" s="257">
        <f>IF(BP$7="Actual","",IFERROR((INDEX($M209:$Q209,,MATCH(BP$4,$M$4:$Q$4,0))),0))</f>
        <v/>
      </c>
      <c r="BQ209" s="257">
        <f>IF(BQ$7="Actual","",IFERROR((INDEX($M209:$Q209,,MATCH(BQ$4,$M$4:$Q$4,0))),0))</f>
        <v/>
      </c>
      <c r="BR209" s="257">
        <f>IF(BR$7="Actual","",IFERROR((INDEX($M209:$Q209,,MATCH(BR$4,$M$4:$Q$4,0))),0))</f>
        <v/>
      </c>
      <c r="BS209" s="257">
        <f>IF(BS$7="Actual","",IFERROR((INDEX($M209:$Q209,,MATCH(BS$4,$M$4:$Q$4,0))),0))</f>
        <v/>
      </c>
      <c r="BT209" s="257">
        <f>IF(BT$7="Actual","",IFERROR((INDEX($M209:$Q209,,MATCH(BT$4,$M$4:$Q$4,0))),0))</f>
        <v/>
      </c>
      <c r="BU209" s="257">
        <f>IF(BU$7="Actual","",IFERROR((INDEX($M209:$Q209,,MATCH(BU$4,$M$4:$Q$4,0))),0))</f>
        <v/>
      </c>
      <c r="BV209" s="257">
        <f>IF(BV$7="Actual","",IFERROR((INDEX($M209:$Q209,,MATCH(BV$4,$M$4:$Q$4,0))),0))</f>
        <v/>
      </c>
      <c r="BW209" s="257">
        <f>IF(BW$7="Actual","",IFERROR((INDEX($M209:$Q209,,MATCH(BW$4,$M$4:$Q$4,0))),0))</f>
        <v/>
      </c>
      <c r="BX209" s="257">
        <f>IF(BX$7="Actual","",IFERROR((INDEX($M209:$Q209,,MATCH(BX$4,$M$4:$Q$4,0))),0))</f>
        <v/>
      </c>
      <c r="BY209" s="257">
        <f>IF(BY$7="Actual","",IFERROR((INDEX($M209:$Q209,,MATCH(BY$4,$M$4:$Q$4,0))),0))</f>
        <v/>
      </c>
      <c r="BZ209" s="257">
        <f>IF(BZ$7="Actual","",IFERROR((INDEX($M209:$Q209,,MATCH(BZ$4,$M$4:$Q$4,0))),0))</f>
        <v/>
      </c>
      <c r="CA209" s="257">
        <f>IF(CA$7="Actual","",IFERROR((INDEX($M209:$Q209,,MATCH(CA$4,$M$4:$Q$4,0))),0))</f>
        <v/>
      </c>
    </row>
    <row r="210" ht="12" customHeight="1" s="227">
      <c r="A210" s="244" t="n"/>
      <c r="B210" s="244" t="n"/>
      <c r="C210" s="244" t="n"/>
      <c r="H210" s="0" t="n"/>
      <c r="K210" s="6" t="n"/>
    </row>
    <row r="211" ht="12" customHeight="1" s="227">
      <c r="A211" s="244" t="n"/>
      <c r="B211" s="244" t="n"/>
      <c r="C211" s="244" t="n"/>
      <c r="H211" s="0" t="n"/>
      <c r="K211" s="6" t="n"/>
    </row>
    <row r="212" ht="12" customHeight="1" s="227">
      <c r="A212" s="244" t="n"/>
      <c r="B212" s="244" t="n"/>
      <c r="C212" s="244" t="n"/>
      <c r="G212" s="222" t="inlineStr">
        <is>
          <t>Total Direct Expenses (Excl. Sales Tax)</t>
        </is>
      </c>
      <c r="K212" s="6" t="n"/>
    </row>
    <row r="213" ht="12" customHeight="1" s="227">
      <c r="A213" s="244" t="n"/>
      <c r="B213" s="244" t="n"/>
      <c r="C213" s="244" t="n"/>
      <c r="K213" s="6" t="n"/>
    </row>
    <row r="214" ht="12" customHeight="1" s="227">
      <c r="A214" s="244" t="n"/>
      <c r="B214" s="244" t="n"/>
      <c r="C214" s="244" t="n"/>
      <c r="H214" s="4">
        <f>H112</f>
        <v/>
      </c>
      <c r="I214" s="27">
        <f>i_Setup!$M$16</f>
        <v/>
      </c>
      <c r="K214" s="6" t="n"/>
      <c r="M214" s="245">
        <f>SUMIF($T$4:$CA$4,M$4,$T214:$CA214)</f>
        <v/>
      </c>
      <c r="N214" s="245">
        <f>SUMIF($T$4:$CA$4,N$4,$T214:$CA214)</f>
        <v/>
      </c>
      <c r="O214" s="245">
        <f>SUMIF($T$4:$CA$4,O$4,$T214:$CA214)</f>
        <v/>
      </c>
      <c r="P214" s="245">
        <f>SUMIF($T$4:$CA$4,P$4,$T214:$CA214)</f>
        <v/>
      </c>
      <c r="Q214" s="245">
        <f>SUMIF($T$4:$CA$4,Q$4,$T214:$CA214)</f>
        <v/>
      </c>
      <c r="T214" s="245">
        <f>IF(T$7="Actual",0,T$15*T112+T122*T$16+T132*T$17+T142*T$18+T152*T$19+T162*T$20+T172*T$21+T182*T$22+T192*T$23+T202*T$24)</f>
        <v/>
      </c>
      <c r="U214" s="245">
        <f>IF(U$7="Actual",0,U$15*U112+U122*U$16+U132*U$17+U142*U$18+U152*U$19+U162*U$20+U172*U$21+U182*U$22+U192*U$23+U202*U$24)</f>
        <v/>
      </c>
      <c r="V214" s="245">
        <f>IF(V$7="Actual",0,V$15*V112+V122*V$16+V132*V$17+V142*V$18+V152*V$19+V162*V$20+V172*V$21+V182*V$22+V192*V$23+V202*V$24)</f>
        <v/>
      </c>
      <c r="W214" s="245">
        <f>IF(W$7="Actual",0,W$15*W112+W122*W$16+W132*W$17+W142*W$18+W152*W$19+W162*W$20+W172*W$21+W182*W$22+W192*W$23+W202*W$24)</f>
        <v/>
      </c>
      <c r="X214" s="245">
        <f>IF(X$7="Actual",0,X$15*X112+X122*X$16+X132*X$17+X142*X$18+X152*X$19+X162*X$20+X172*X$21+X182*X$22+X192*X$23+X202*X$24)</f>
        <v/>
      </c>
      <c r="Y214" s="245">
        <f>IF(Y$7="Actual",0,Y$15*Y112+Y122*Y$16+Y132*Y$17+Y142*Y$18+Y152*Y$19+Y162*Y$20+Y172*Y$21+Y182*Y$22+Y192*Y$23+Y202*Y$24)</f>
        <v/>
      </c>
      <c r="Z214" s="245">
        <f>IF(Z$7="Actual",0,Z$15*Z112+Z122*Z$16+Z132*Z$17+Z142*Z$18+Z152*Z$19+Z162*Z$20+Z172*Z$21+Z182*Z$22+Z192*Z$23+Z202*Z$24)</f>
        <v/>
      </c>
      <c r="AA214" s="245">
        <f>IF(AA$7="Actual",0,AA$15*AA112+AA122*AA$16+AA132*AA$17+AA142*AA$18+AA152*AA$19+AA162*AA$20+AA172*AA$21+AA182*AA$22+AA192*AA$23+AA202*AA$24)</f>
        <v/>
      </c>
      <c r="AB214" s="245">
        <f>IF(AB$7="Actual",0,AB$15*AB112+AB122*AB$16+AB132*AB$17+AB142*AB$18+AB152*AB$19+AB162*AB$20+AB172*AB$21+AB182*AB$22+AB192*AB$23+AB202*AB$24)</f>
        <v/>
      </c>
      <c r="AC214" s="245">
        <f>IF(AC$7="Actual",0,AC$15*AC112+AC122*AC$16+AC132*AC$17+AC142*AC$18+AC152*AC$19+AC162*AC$20+AC172*AC$21+AC182*AC$22+AC192*AC$23+AC202*AC$24)</f>
        <v/>
      </c>
      <c r="AD214" s="245">
        <f>IF(AD$7="Actual",0,AD$15*AD112+AD122*AD$16+AD132*AD$17+AD142*AD$18+AD152*AD$19+AD162*AD$20+AD172*AD$21+AD182*AD$22+AD192*AD$23+AD202*AD$24)</f>
        <v/>
      </c>
      <c r="AE214" s="245">
        <f>IF(AE$7="Actual",0,AE$15*AE112+AE122*AE$16+AE132*AE$17+AE142*AE$18+AE152*AE$19+AE162*AE$20+AE172*AE$21+AE182*AE$22+AE192*AE$23+AE202*AE$24)</f>
        <v/>
      </c>
      <c r="AF214" s="245">
        <f>IF(AF$7="Actual",0,AF$15*AF112+AF122*AF$16+AF132*AF$17+AF142*AF$18+AF152*AF$19+AF162*AF$20+AF172*AF$21+AF182*AF$22+AF192*AF$23+AF202*AF$24)</f>
        <v/>
      </c>
      <c r="AG214" s="245">
        <f>IF(AG$7="Actual",0,AG$15*AG112+AG122*AG$16+AG132*AG$17+AG142*AG$18+AG152*AG$19+AG162*AG$20+AG172*AG$21+AG182*AG$22+AG192*AG$23+AG202*AG$24)</f>
        <v/>
      </c>
      <c r="AH214" s="245">
        <f>IF(AH$7="Actual",0,AH$15*AH112+AH122*AH$16+AH132*AH$17+AH142*AH$18+AH152*AH$19+AH162*AH$20+AH172*AH$21+AH182*AH$22+AH192*AH$23+AH202*AH$24)</f>
        <v/>
      </c>
      <c r="AI214" s="245">
        <f>IF(AI$7="Actual",0,AI$15*AI112+AI122*AI$16+AI132*AI$17+AI142*AI$18+AI152*AI$19+AI162*AI$20+AI172*AI$21+AI182*AI$22+AI192*AI$23+AI202*AI$24)</f>
        <v/>
      </c>
      <c r="AJ214" s="245">
        <f>IF(AJ$7="Actual",0,AJ$15*AJ112+AJ122*AJ$16+AJ132*AJ$17+AJ142*AJ$18+AJ152*AJ$19+AJ162*AJ$20+AJ172*AJ$21+AJ182*AJ$22+AJ192*AJ$23+AJ202*AJ$24)</f>
        <v/>
      </c>
      <c r="AK214" s="245">
        <f>IF(AK$7="Actual",0,AK$15*AK112+AK122*AK$16+AK132*AK$17+AK142*AK$18+AK152*AK$19+AK162*AK$20+AK172*AK$21+AK182*AK$22+AK192*AK$23+AK202*AK$24)</f>
        <v/>
      </c>
      <c r="AL214" s="245">
        <f>IF(AL$7="Actual",0,AL$15*AL112+AL122*AL$16+AL132*AL$17+AL142*AL$18+AL152*AL$19+AL162*AL$20+AL172*AL$21+AL182*AL$22+AL192*AL$23+AL202*AL$24)</f>
        <v/>
      </c>
      <c r="AM214" s="245">
        <f>IF(AM$7="Actual",0,AM$15*AM112+AM122*AM$16+AM132*AM$17+AM142*AM$18+AM152*AM$19+AM162*AM$20+AM172*AM$21+AM182*AM$22+AM192*AM$23+AM202*AM$24)</f>
        <v/>
      </c>
      <c r="AN214" s="245">
        <f>IF(AN$7="Actual",0,AN$15*AN112+AN122*AN$16+AN132*AN$17+AN142*AN$18+AN152*AN$19+AN162*AN$20+AN172*AN$21+AN182*AN$22+AN192*AN$23+AN202*AN$24)</f>
        <v/>
      </c>
      <c r="AO214" s="245">
        <f>IF(AO$7="Actual",0,AO$15*AO112+AO122*AO$16+AO132*AO$17+AO142*AO$18+AO152*AO$19+AO162*AO$20+AO172*AO$21+AO182*AO$22+AO192*AO$23+AO202*AO$24)</f>
        <v/>
      </c>
      <c r="AP214" s="245">
        <f>IF(AP$7="Actual",0,AP$15*AP112+AP122*AP$16+AP132*AP$17+AP142*AP$18+AP152*AP$19+AP162*AP$20+AP172*AP$21+AP182*AP$22+AP192*AP$23+AP202*AP$24)</f>
        <v/>
      </c>
      <c r="AQ214" s="245">
        <f>IF(AQ$7="Actual",0,AQ$15*AQ112+AQ122*AQ$16+AQ132*AQ$17+AQ142*AQ$18+AQ152*AQ$19+AQ162*AQ$20+AQ172*AQ$21+AQ182*AQ$22+AQ192*AQ$23+AQ202*AQ$24)</f>
        <v/>
      </c>
      <c r="AR214" s="245">
        <f>IF(AR$7="Actual",0,AR$15*AR112+AR122*AR$16+AR132*AR$17+AR142*AR$18+AR152*AR$19+AR162*AR$20+AR172*AR$21+AR182*AR$22+AR192*AR$23+AR202*AR$24)</f>
        <v/>
      </c>
      <c r="AS214" s="245">
        <f>IF(AS$7="Actual",0,AS$15*AS112+AS122*AS$16+AS132*AS$17+AS142*AS$18+AS152*AS$19+AS162*AS$20+AS172*AS$21+AS182*AS$22+AS192*AS$23+AS202*AS$24)</f>
        <v/>
      </c>
      <c r="AT214" s="245">
        <f>IF(AT$7="Actual",0,AT$15*AT112+AT122*AT$16+AT132*AT$17+AT142*AT$18+AT152*AT$19+AT162*AT$20+AT172*AT$21+AT182*AT$22+AT192*AT$23+AT202*AT$24)</f>
        <v/>
      </c>
      <c r="AU214" s="245">
        <f>IF(AU$7="Actual",0,AU$15*AU112+AU122*AU$16+AU132*AU$17+AU142*AU$18+AU152*AU$19+AU162*AU$20+AU172*AU$21+AU182*AU$22+AU192*AU$23+AU202*AU$24)</f>
        <v/>
      </c>
      <c r="AV214" s="245">
        <f>IF(AV$7="Actual",0,AV$15*AV112+AV122*AV$16+AV132*AV$17+AV142*AV$18+AV152*AV$19+AV162*AV$20+AV172*AV$21+AV182*AV$22+AV192*AV$23+AV202*AV$24)</f>
        <v/>
      </c>
      <c r="AW214" s="245">
        <f>IF(AW$7="Actual",0,AW$15*AW112+AW122*AW$16+AW132*AW$17+AW142*AW$18+AW152*AW$19+AW162*AW$20+AW172*AW$21+AW182*AW$22+AW192*AW$23+AW202*AW$24)</f>
        <v/>
      </c>
      <c r="AX214" s="245">
        <f>IF(AX$7="Actual",0,AX$15*AX112+AX122*AX$16+AX132*AX$17+AX142*AX$18+AX152*AX$19+AX162*AX$20+AX172*AX$21+AX182*AX$22+AX192*AX$23+AX202*AX$24)</f>
        <v/>
      </c>
      <c r="AY214" s="245">
        <f>IF(AY$7="Actual",0,AY$15*AY112+AY122*AY$16+AY132*AY$17+AY142*AY$18+AY152*AY$19+AY162*AY$20+AY172*AY$21+AY182*AY$22+AY192*AY$23+AY202*AY$24)</f>
        <v/>
      </c>
      <c r="AZ214" s="245">
        <f>IF(AZ$7="Actual",0,AZ$15*AZ112+AZ122*AZ$16+AZ132*AZ$17+AZ142*AZ$18+AZ152*AZ$19+AZ162*AZ$20+AZ172*AZ$21+AZ182*AZ$22+AZ192*AZ$23+AZ202*AZ$24)</f>
        <v/>
      </c>
      <c r="BA214" s="245">
        <f>IF(BA$7="Actual",0,BA$15*BA112+BA122*BA$16+BA132*BA$17+BA142*BA$18+BA152*BA$19+BA162*BA$20+BA172*BA$21+BA182*BA$22+BA192*BA$23+BA202*BA$24)</f>
        <v/>
      </c>
      <c r="BB214" s="245">
        <f>IF(BB$7="Actual",0,BB$15*BB112+BB122*BB$16+BB132*BB$17+BB142*BB$18+BB152*BB$19+BB162*BB$20+BB172*BB$21+BB182*BB$22+BB192*BB$23+BB202*BB$24)</f>
        <v/>
      </c>
      <c r="BC214" s="245">
        <f>IF(BC$7="Actual",0,BC$15*BC112+BC122*BC$16+BC132*BC$17+BC142*BC$18+BC152*BC$19+BC162*BC$20+BC172*BC$21+BC182*BC$22+BC192*BC$23+BC202*BC$24)</f>
        <v/>
      </c>
      <c r="BD214" s="245">
        <f>IF(BD$7="Actual",0,BD$15*BD112+BD122*BD$16+BD132*BD$17+BD142*BD$18+BD152*BD$19+BD162*BD$20+BD172*BD$21+BD182*BD$22+BD192*BD$23+BD202*BD$24)</f>
        <v/>
      </c>
      <c r="BE214" s="245">
        <f>IF(BE$7="Actual",0,BE$15*BE112+BE122*BE$16+BE132*BE$17+BE142*BE$18+BE152*BE$19+BE162*BE$20+BE172*BE$21+BE182*BE$22+BE192*BE$23+BE202*BE$24)</f>
        <v/>
      </c>
      <c r="BF214" s="245">
        <f>IF(BF$7="Actual",0,BF$15*BF112+BF122*BF$16+BF132*BF$17+BF142*BF$18+BF152*BF$19+BF162*BF$20+BF172*BF$21+BF182*BF$22+BF192*BF$23+BF202*BF$24)</f>
        <v/>
      </c>
      <c r="BG214" s="245">
        <f>IF(BG$7="Actual",0,BG$15*BG112+BG122*BG$16+BG132*BG$17+BG142*BG$18+BG152*BG$19+BG162*BG$20+BG172*BG$21+BG182*BG$22+BG192*BG$23+BG202*BG$24)</f>
        <v/>
      </c>
      <c r="BH214" s="245">
        <f>IF(BH$7="Actual",0,BH$15*BH112+BH122*BH$16+BH132*BH$17+BH142*BH$18+BH152*BH$19+BH162*BH$20+BH172*BH$21+BH182*BH$22+BH192*BH$23+BH202*BH$24)</f>
        <v/>
      </c>
      <c r="BI214" s="245">
        <f>IF(BI$7="Actual",0,BI$15*BI112+BI122*BI$16+BI132*BI$17+BI142*BI$18+BI152*BI$19+BI162*BI$20+BI172*BI$21+BI182*BI$22+BI192*BI$23+BI202*BI$24)</f>
        <v/>
      </c>
      <c r="BJ214" s="245">
        <f>IF(BJ$7="Actual",0,BJ$15*BJ112+BJ122*BJ$16+BJ132*BJ$17+BJ142*BJ$18+BJ152*BJ$19+BJ162*BJ$20+BJ172*BJ$21+BJ182*BJ$22+BJ192*BJ$23+BJ202*BJ$24)</f>
        <v/>
      </c>
      <c r="BK214" s="245">
        <f>IF(BK$7="Actual",0,BK$15*BK112+BK122*BK$16+BK132*BK$17+BK142*BK$18+BK152*BK$19+BK162*BK$20+BK172*BK$21+BK182*BK$22+BK192*BK$23+BK202*BK$24)</f>
        <v/>
      </c>
      <c r="BL214" s="245">
        <f>IF(BL$7="Actual",0,BL$15*BL112+BL122*BL$16+BL132*BL$17+BL142*BL$18+BL152*BL$19+BL162*BL$20+BL172*BL$21+BL182*BL$22+BL192*BL$23+BL202*BL$24)</f>
        <v/>
      </c>
      <c r="BM214" s="245">
        <f>IF(BM$7="Actual",0,BM$15*BM112+BM122*BM$16+BM132*BM$17+BM142*BM$18+BM152*BM$19+BM162*BM$20+BM172*BM$21+BM182*BM$22+BM192*BM$23+BM202*BM$24)</f>
        <v/>
      </c>
      <c r="BN214" s="245">
        <f>IF(BN$7="Actual",0,BN$15*BN112+BN122*BN$16+BN132*BN$17+BN142*BN$18+BN152*BN$19+BN162*BN$20+BN172*BN$21+BN182*BN$22+BN192*BN$23+BN202*BN$24)</f>
        <v/>
      </c>
      <c r="BO214" s="245">
        <f>IF(BO$7="Actual",0,BO$15*BO112+BO122*BO$16+BO132*BO$17+BO142*BO$18+BO152*BO$19+BO162*BO$20+BO172*BO$21+BO182*BO$22+BO192*BO$23+BO202*BO$24)</f>
        <v/>
      </c>
      <c r="BP214" s="245">
        <f>IF(BP$7="Actual",0,BP$15*BP112+BP122*BP$16+BP132*BP$17+BP142*BP$18+BP152*BP$19+BP162*BP$20+BP172*BP$21+BP182*BP$22+BP192*BP$23+BP202*BP$24)</f>
        <v/>
      </c>
      <c r="BQ214" s="245">
        <f>IF(BQ$7="Actual",0,BQ$15*BQ112+BQ122*BQ$16+BQ132*BQ$17+BQ142*BQ$18+BQ152*BQ$19+BQ162*BQ$20+BQ172*BQ$21+BQ182*BQ$22+BQ192*BQ$23+BQ202*BQ$24)</f>
        <v/>
      </c>
      <c r="BR214" s="245">
        <f>IF(BR$7="Actual",0,BR$15*BR112+BR122*BR$16+BR132*BR$17+BR142*BR$18+BR152*BR$19+BR162*BR$20+BR172*BR$21+BR182*BR$22+BR192*BR$23+BR202*BR$24)</f>
        <v/>
      </c>
      <c r="BS214" s="245">
        <f>IF(BS$7="Actual",0,BS$15*BS112+BS122*BS$16+BS132*BS$17+BS142*BS$18+BS152*BS$19+BS162*BS$20+BS172*BS$21+BS182*BS$22+BS192*BS$23+BS202*BS$24)</f>
        <v/>
      </c>
      <c r="BT214" s="245">
        <f>IF(BT$7="Actual",0,BT$15*BT112+BT122*BT$16+BT132*BT$17+BT142*BT$18+BT152*BT$19+BT162*BT$20+BT172*BT$21+BT182*BT$22+BT192*BT$23+BT202*BT$24)</f>
        <v/>
      </c>
      <c r="BU214" s="245">
        <f>IF(BU$7="Actual",0,BU$15*BU112+BU122*BU$16+BU132*BU$17+BU142*BU$18+BU152*BU$19+BU162*BU$20+BU172*BU$21+BU182*BU$22+BU192*BU$23+BU202*BU$24)</f>
        <v/>
      </c>
      <c r="BV214" s="245">
        <f>IF(BV$7="Actual",0,BV$15*BV112+BV122*BV$16+BV132*BV$17+BV142*BV$18+BV152*BV$19+BV162*BV$20+BV172*BV$21+BV182*BV$22+BV192*BV$23+BV202*BV$24)</f>
        <v/>
      </c>
      <c r="BW214" s="245">
        <f>IF(BW$7="Actual",0,BW$15*BW112+BW122*BW$16+BW132*BW$17+BW142*BW$18+BW152*BW$19+BW162*BW$20+BW172*BW$21+BW182*BW$22+BW192*BW$23+BW202*BW$24)</f>
        <v/>
      </c>
      <c r="BX214" s="245">
        <f>IF(BX$7="Actual",0,BX$15*BX112+BX122*BX$16+BX132*BX$17+BX142*BX$18+BX152*BX$19+BX162*BX$20+BX172*BX$21+BX182*BX$22+BX192*BX$23+BX202*BX$24)</f>
        <v/>
      </c>
      <c r="BY214" s="245">
        <f>IF(BY$7="Actual",0,BY$15*BY112+BY122*BY$16+BY132*BY$17+BY142*BY$18+BY152*BY$19+BY162*BY$20+BY172*BY$21+BY182*BY$22+BY192*BY$23+BY202*BY$24)</f>
        <v/>
      </c>
      <c r="BZ214" s="245">
        <f>IF(BZ$7="Actual",0,BZ$15*BZ112+BZ122*BZ$16+BZ132*BZ$17+BZ142*BZ$18+BZ152*BZ$19+BZ162*BZ$20+BZ172*BZ$21+BZ182*BZ$22+BZ192*BZ$23+BZ202*BZ$24)</f>
        <v/>
      </c>
      <c r="CA214" s="245">
        <f>IF(CA$7="Actual",0,CA$15*CA112+CA122*CA$16+CA132*CA$17+CA142*CA$18+CA152*CA$19+CA162*CA$20+CA172*CA$21+CA182*CA$22+CA192*CA$23+CA202*CA$24)</f>
        <v/>
      </c>
      <c r="CB214" s="245" t="n"/>
    </row>
    <row r="215" ht="12" customHeight="1" s="227">
      <c r="A215" s="244" t="n"/>
      <c r="B215" s="244" t="n"/>
      <c r="C215" s="244" t="n"/>
      <c r="H215" s="4">
        <f>H113</f>
        <v/>
      </c>
      <c r="I215" s="27">
        <f>i_Setup!$M$16</f>
        <v/>
      </c>
      <c r="K215" s="6" t="n"/>
      <c r="M215" s="245">
        <f>SUMIF($T$4:$CA$4,M$4,$T215:$CA215)</f>
        <v/>
      </c>
      <c r="N215" s="245">
        <f>SUMIF($T$4:$CA$4,N$4,$T215:$CA215)</f>
        <v/>
      </c>
      <c r="O215" s="245">
        <f>SUMIF($T$4:$CA$4,O$4,$T215:$CA215)</f>
        <v/>
      </c>
      <c r="P215" s="245">
        <f>SUMIF($T$4:$CA$4,P$4,$T215:$CA215)</f>
        <v/>
      </c>
      <c r="Q215" s="245">
        <f>SUMIF($T$4:$CA$4,Q$4,$T215:$CA215)</f>
        <v/>
      </c>
      <c r="T215" s="245">
        <f>IF(T$7="Actual",0,T$15*T113+T123*T$16+T133*T$17+T143*T$18+T153*T$19+T163*T$20+T173*T$21+T183*T$22+T193*T$23+T203*T$24)</f>
        <v/>
      </c>
      <c r="U215" s="245">
        <f>IF(U$7="Actual",0,U$15*U113+U123*U$16+U133*U$17+U143*U$18+U153*U$19+U163*U$20+U173*U$21+U183*U$22+U193*U$23+U203*U$24)</f>
        <v/>
      </c>
      <c r="V215" s="245">
        <f>IF(V$7="Actual",0,V$15*V113+V123*V$16+V133*V$17+V143*V$18+V153*V$19+V163*V$20+V173*V$21+V183*V$22+V193*V$23+V203*V$24)</f>
        <v/>
      </c>
      <c r="W215" s="245">
        <f>IF(W$7="Actual",0,W$15*W113+W123*W$16+W133*W$17+W143*W$18+W153*W$19+W163*W$20+W173*W$21+W183*W$22+W193*W$23+W203*W$24)</f>
        <v/>
      </c>
      <c r="X215" s="245">
        <f>IF(X$7="Actual",0,X$15*X113+X123*X$16+X133*X$17+X143*X$18+X153*X$19+X163*X$20+X173*X$21+X183*X$22+X193*X$23+X203*X$24)</f>
        <v/>
      </c>
      <c r="Y215" s="245">
        <f>IF(Y$7="Actual",0,Y$15*Y113+Y123*Y$16+Y133*Y$17+Y143*Y$18+Y153*Y$19+Y163*Y$20+Y173*Y$21+Y183*Y$22+Y193*Y$23+Y203*Y$24)</f>
        <v/>
      </c>
      <c r="Z215" s="245">
        <f>IF(Z$7="Actual",0,Z$15*Z113+Z123*Z$16+Z133*Z$17+Z143*Z$18+Z153*Z$19+Z163*Z$20+Z173*Z$21+Z183*Z$22+Z193*Z$23+Z203*Z$24)</f>
        <v/>
      </c>
      <c r="AA215" s="245">
        <f>IF(AA$7="Actual",0,AA$15*AA113+AA123*AA$16+AA133*AA$17+AA143*AA$18+AA153*AA$19+AA163*AA$20+AA173*AA$21+AA183*AA$22+AA193*AA$23+AA203*AA$24)</f>
        <v/>
      </c>
      <c r="AB215" s="245">
        <f>IF(AB$7="Actual",0,AB$15*AB113+AB123*AB$16+AB133*AB$17+AB143*AB$18+AB153*AB$19+AB163*AB$20+AB173*AB$21+AB183*AB$22+AB193*AB$23+AB203*AB$24)</f>
        <v/>
      </c>
      <c r="AC215" s="245">
        <f>IF(AC$7="Actual",0,AC$15*AC113+AC123*AC$16+AC133*AC$17+AC143*AC$18+AC153*AC$19+AC163*AC$20+AC173*AC$21+AC183*AC$22+AC193*AC$23+AC203*AC$24)</f>
        <v/>
      </c>
      <c r="AD215" s="245">
        <f>IF(AD$7="Actual",0,AD$15*AD113+AD123*AD$16+AD133*AD$17+AD143*AD$18+AD153*AD$19+AD163*AD$20+AD173*AD$21+AD183*AD$22+AD193*AD$23+AD203*AD$24)</f>
        <v/>
      </c>
      <c r="AE215" s="245">
        <f>IF(AE$7="Actual",0,AE$15*AE113+AE123*AE$16+AE133*AE$17+AE143*AE$18+AE153*AE$19+AE163*AE$20+AE173*AE$21+AE183*AE$22+AE193*AE$23+AE203*AE$24)</f>
        <v/>
      </c>
      <c r="AF215" s="245">
        <f>IF(AF$7="Actual",0,AF$15*AF113+AF123*AF$16+AF133*AF$17+AF143*AF$18+AF153*AF$19+AF163*AF$20+AF173*AF$21+AF183*AF$22+AF193*AF$23+AF203*AF$24)</f>
        <v/>
      </c>
      <c r="AG215" s="245">
        <f>IF(AG$7="Actual",0,AG$15*AG113+AG123*AG$16+AG133*AG$17+AG143*AG$18+AG153*AG$19+AG163*AG$20+AG173*AG$21+AG183*AG$22+AG193*AG$23+AG203*AG$24)</f>
        <v/>
      </c>
      <c r="AH215" s="245">
        <f>IF(AH$7="Actual",0,AH$15*AH113+AH123*AH$16+AH133*AH$17+AH143*AH$18+AH153*AH$19+AH163*AH$20+AH173*AH$21+AH183*AH$22+AH193*AH$23+AH203*AH$24)</f>
        <v/>
      </c>
      <c r="AI215" s="245">
        <f>IF(AI$7="Actual",0,AI$15*AI113+AI123*AI$16+AI133*AI$17+AI143*AI$18+AI153*AI$19+AI163*AI$20+AI173*AI$21+AI183*AI$22+AI193*AI$23+AI203*AI$24)</f>
        <v/>
      </c>
      <c r="AJ215" s="245">
        <f>IF(AJ$7="Actual",0,AJ$15*AJ113+AJ123*AJ$16+AJ133*AJ$17+AJ143*AJ$18+AJ153*AJ$19+AJ163*AJ$20+AJ173*AJ$21+AJ183*AJ$22+AJ193*AJ$23+AJ203*AJ$24)</f>
        <v/>
      </c>
      <c r="AK215" s="245">
        <f>IF(AK$7="Actual",0,AK$15*AK113+AK123*AK$16+AK133*AK$17+AK143*AK$18+AK153*AK$19+AK163*AK$20+AK173*AK$21+AK183*AK$22+AK193*AK$23+AK203*AK$24)</f>
        <v/>
      </c>
      <c r="AL215" s="245">
        <f>IF(AL$7="Actual",0,AL$15*AL113+AL123*AL$16+AL133*AL$17+AL143*AL$18+AL153*AL$19+AL163*AL$20+AL173*AL$21+AL183*AL$22+AL193*AL$23+AL203*AL$24)</f>
        <v/>
      </c>
      <c r="AM215" s="245">
        <f>IF(AM$7="Actual",0,AM$15*AM113+AM123*AM$16+AM133*AM$17+AM143*AM$18+AM153*AM$19+AM163*AM$20+AM173*AM$21+AM183*AM$22+AM193*AM$23+AM203*AM$24)</f>
        <v/>
      </c>
      <c r="AN215" s="245">
        <f>IF(AN$7="Actual",0,AN$15*AN113+AN123*AN$16+AN133*AN$17+AN143*AN$18+AN153*AN$19+AN163*AN$20+AN173*AN$21+AN183*AN$22+AN193*AN$23+AN203*AN$24)</f>
        <v/>
      </c>
      <c r="AO215" s="245">
        <f>IF(AO$7="Actual",0,AO$15*AO113+AO123*AO$16+AO133*AO$17+AO143*AO$18+AO153*AO$19+AO163*AO$20+AO173*AO$21+AO183*AO$22+AO193*AO$23+AO203*AO$24)</f>
        <v/>
      </c>
      <c r="AP215" s="245">
        <f>IF(AP$7="Actual",0,AP$15*AP113+AP123*AP$16+AP133*AP$17+AP143*AP$18+AP153*AP$19+AP163*AP$20+AP173*AP$21+AP183*AP$22+AP193*AP$23+AP203*AP$24)</f>
        <v/>
      </c>
      <c r="AQ215" s="245">
        <f>IF(AQ$7="Actual",0,AQ$15*AQ113+AQ123*AQ$16+AQ133*AQ$17+AQ143*AQ$18+AQ153*AQ$19+AQ163*AQ$20+AQ173*AQ$21+AQ183*AQ$22+AQ193*AQ$23+AQ203*AQ$24)</f>
        <v/>
      </c>
      <c r="AR215" s="245">
        <f>IF(AR$7="Actual",0,AR$15*AR113+AR123*AR$16+AR133*AR$17+AR143*AR$18+AR153*AR$19+AR163*AR$20+AR173*AR$21+AR183*AR$22+AR193*AR$23+AR203*AR$24)</f>
        <v/>
      </c>
      <c r="AS215" s="245">
        <f>IF(AS$7="Actual",0,AS$15*AS113+AS123*AS$16+AS133*AS$17+AS143*AS$18+AS153*AS$19+AS163*AS$20+AS173*AS$21+AS183*AS$22+AS193*AS$23+AS203*AS$24)</f>
        <v/>
      </c>
      <c r="AT215" s="245">
        <f>IF(AT$7="Actual",0,AT$15*AT113+AT123*AT$16+AT133*AT$17+AT143*AT$18+AT153*AT$19+AT163*AT$20+AT173*AT$21+AT183*AT$22+AT193*AT$23+AT203*AT$24)</f>
        <v/>
      </c>
      <c r="AU215" s="245">
        <f>IF(AU$7="Actual",0,AU$15*AU113+AU123*AU$16+AU133*AU$17+AU143*AU$18+AU153*AU$19+AU163*AU$20+AU173*AU$21+AU183*AU$22+AU193*AU$23+AU203*AU$24)</f>
        <v/>
      </c>
      <c r="AV215" s="245">
        <f>IF(AV$7="Actual",0,AV$15*AV113+AV123*AV$16+AV133*AV$17+AV143*AV$18+AV153*AV$19+AV163*AV$20+AV173*AV$21+AV183*AV$22+AV193*AV$23+AV203*AV$24)</f>
        <v/>
      </c>
      <c r="AW215" s="245">
        <f>IF(AW$7="Actual",0,AW$15*AW113+AW123*AW$16+AW133*AW$17+AW143*AW$18+AW153*AW$19+AW163*AW$20+AW173*AW$21+AW183*AW$22+AW193*AW$23+AW203*AW$24)</f>
        <v/>
      </c>
      <c r="AX215" s="245">
        <f>IF(AX$7="Actual",0,AX$15*AX113+AX123*AX$16+AX133*AX$17+AX143*AX$18+AX153*AX$19+AX163*AX$20+AX173*AX$21+AX183*AX$22+AX193*AX$23+AX203*AX$24)</f>
        <v/>
      </c>
      <c r="AY215" s="245">
        <f>IF(AY$7="Actual",0,AY$15*AY113+AY123*AY$16+AY133*AY$17+AY143*AY$18+AY153*AY$19+AY163*AY$20+AY173*AY$21+AY183*AY$22+AY193*AY$23+AY203*AY$24)</f>
        <v/>
      </c>
      <c r="AZ215" s="245">
        <f>IF(AZ$7="Actual",0,AZ$15*AZ113+AZ123*AZ$16+AZ133*AZ$17+AZ143*AZ$18+AZ153*AZ$19+AZ163*AZ$20+AZ173*AZ$21+AZ183*AZ$22+AZ193*AZ$23+AZ203*AZ$24)</f>
        <v/>
      </c>
      <c r="BA215" s="245">
        <f>IF(BA$7="Actual",0,BA$15*BA113+BA123*BA$16+BA133*BA$17+BA143*BA$18+BA153*BA$19+BA163*BA$20+BA173*BA$21+BA183*BA$22+BA193*BA$23+BA203*BA$24)</f>
        <v/>
      </c>
      <c r="BB215" s="245">
        <f>IF(BB$7="Actual",0,BB$15*BB113+BB123*BB$16+BB133*BB$17+BB143*BB$18+BB153*BB$19+BB163*BB$20+BB173*BB$21+BB183*BB$22+BB193*BB$23+BB203*BB$24)</f>
        <v/>
      </c>
      <c r="BC215" s="245">
        <f>IF(BC$7="Actual",0,BC$15*BC113+BC123*BC$16+BC133*BC$17+BC143*BC$18+BC153*BC$19+BC163*BC$20+BC173*BC$21+BC183*BC$22+BC193*BC$23+BC203*BC$24)</f>
        <v/>
      </c>
      <c r="BD215" s="245">
        <f>IF(BD$7="Actual",0,BD$15*BD113+BD123*BD$16+BD133*BD$17+BD143*BD$18+BD153*BD$19+BD163*BD$20+BD173*BD$21+BD183*BD$22+BD193*BD$23+BD203*BD$24)</f>
        <v/>
      </c>
      <c r="BE215" s="245">
        <f>IF(BE$7="Actual",0,BE$15*BE113+BE123*BE$16+BE133*BE$17+BE143*BE$18+BE153*BE$19+BE163*BE$20+BE173*BE$21+BE183*BE$22+BE193*BE$23+BE203*BE$24)</f>
        <v/>
      </c>
      <c r="BF215" s="245">
        <f>IF(BF$7="Actual",0,BF$15*BF113+BF123*BF$16+BF133*BF$17+BF143*BF$18+BF153*BF$19+BF163*BF$20+BF173*BF$21+BF183*BF$22+BF193*BF$23+BF203*BF$24)</f>
        <v/>
      </c>
      <c r="BG215" s="245">
        <f>IF(BG$7="Actual",0,BG$15*BG113+BG123*BG$16+BG133*BG$17+BG143*BG$18+BG153*BG$19+BG163*BG$20+BG173*BG$21+BG183*BG$22+BG193*BG$23+BG203*BG$24)</f>
        <v/>
      </c>
      <c r="BH215" s="245">
        <f>IF(BH$7="Actual",0,BH$15*BH113+BH123*BH$16+BH133*BH$17+BH143*BH$18+BH153*BH$19+BH163*BH$20+BH173*BH$21+BH183*BH$22+BH193*BH$23+BH203*BH$24)</f>
        <v/>
      </c>
      <c r="BI215" s="245">
        <f>IF(BI$7="Actual",0,BI$15*BI113+BI123*BI$16+BI133*BI$17+BI143*BI$18+BI153*BI$19+BI163*BI$20+BI173*BI$21+BI183*BI$22+BI193*BI$23+BI203*BI$24)</f>
        <v/>
      </c>
      <c r="BJ215" s="245">
        <f>IF(BJ$7="Actual",0,BJ$15*BJ113+BJ123*BJ$16+BJ133*BJ$17+BJ143*BJ$18+BJ153*BJ$19+BJ163*BJ$20+BJ173*BJ$21+BJ183*BJ$22+BJ193*BJ$23+BJ203*BJ$24)</f>
        <v/>
      </c>
      <c r="BK215" s="245">
        <f>IF(BK$7="Actual",0,BK$15*BK113+BK123*BK$16+BK133*BK$17+BK143*BK$18+BK153*BK$19+BK163*BK$20+BK173*BK$21+BK183*BK$22+BK193*BK$23+BK203*BK$24)</f>
        <v/>
      </c>
      <c r="BL215" s="245">
        <f>IF(BL$7="Actual",0,BL$15*BL113+BL123*BL$16+BL133*BL$17+BL143*BL$18+BL153*BL$19+BL163*BL$20+BL173*BL$21+BL183*BL$22+BL193*BL$23+BL203*BL$24)</f>
        <v/>
      </c>
      <c r="BM215" s="245">
        <f>IF(BM$7="Actual",0,BM$15*BM113+BM123*BM$16+BM133*BM$17+BM143*BM$18+BM153*BM$19+BM163*BM$20+BM173*BM$21+BM183*BM$22+BM193*BM$23+BM203*BM$24)</f>
        <v/>
      </c>
      <c r="BN215" s="245">
        <f>IF(BN$7="Actual",0,BN$15*BN113+BN123*BN$16+BN133*BN$17+BN143*BN$18+BN153*BN$19+BN163*BN$20+BN173*BN$21+BN183*BN$22+BN193*BN$23+BN203*BN$24)</f>
        <v/>
      </c>
      <c r="BO215" s="245">
        <f>IF(BO$7="Actual",0,BO$15*BO113+BO123*BO$16+BO133*BO$17+BO143*BO$18+BO153*BO$19+BO163*BO$20+BO173*BO$21+BO183*BO$22+BO193*BO$23+BO203*BO$24)</f>
        <v/>
      </c>
      <c r="BP215" s="245">
        <f>IF(BP$7="Actual",0,BP$15*BP113+BP123*BP$16+BP133*BP$17+BP143*BP$18+BP153*BP$19+BP163*BP$20+BP173*BP$21+BP183*BP$22+BP193*BP$23+BP203*BP$24)</f>
        <v/>
      </c>
      <c r="BQ215" s="245">
        <f>IF(BQ$7="Actual",0,BQ$15*BQ113+BQ123*BQ$16+BQ133*BQ$17+BQ143*BQ$18+BQ153*BQ$19+BQ163*BQ$20+BQ173*BQ$21+BQ183*BQ$22+BQ193*BQ$23+BQ203*BQ$24)</f>
        <v/>
      </c>
      <c r="BR215" s="245">
        <f>IF(BR$7="Actual",0,BR$15*BR113+BR123*BR$16+BR133*BR$17+BR143*BR$18+BR153*BR$19+BR163*BR$20+BR173*BR$21+BR183*BR$22+BR193*BR$23+BR203*BR$24)</f>
        <v/>
      </c>
      <c r="BS215" s="245">
        <f>IF(BS$7="Actual",0,BS$15*BS113+BS123*BS$16+BS133*BS$17+BS143*BS$18+BS153*BS$19+BS163*BS$20+BS173*BS$21+BS183*BS$22+BS193*BS$23+BS203*BS$24)</f>
        <v/>
      </c>
      <c r="BT215" s="245">
        <f>IF(BT$7="Actual",0,BT$15*BT113+BT123*BT$16+BT133*BT$17+BT143*BT$18+BT153*BT$19+BT163*BT$20+BT173*BT$21+BT183*BT$22+BT193*BT$23+BT203*BT$24)</f>
        <v/>
      </c>
      <c r="BU215" s="245">
        <f>IF(BU$7="Actual",0,BU$15*BU113+BU123*BU$16+BU133*BU$17+BU143*BU$18+BU153*BU$19+BU163*BU$20+BU173*BU$21+BU183*BU$22+BU193*BU$23+BU203*BU$24)</f>
        <v/>
      </c>
      <c r="BV215" s="245">
        <f>IF(BV$7="Actual",0,BV$15*BV113+BV123*BV$16+BV133*BV$17+BV143*BV$18+BV153*BV$19+BV163*BV$20+BV173*BV$21+BV183*BV$22+BV193*BV$23+BV203*BV$24)</f>
        <v/>
      </c>
      <c r="BW215" s="245">
        <f>IF(BW$7="Actual",0,BW$15*BW113+BW123*BW$16+BW133*BW$17+BW143*BW$18+BW153*BW$19+BW163*BW$20+BW173*BW$21+BW183*BW$22+BW193*BW$23+BW203*BW$24)</f>
        <v/>
      </c>
      <c r="BX215" s="245">
        <f>IF(BX$7="Actual",0,BX$15*BX113+BX123*BX$16+BX133*BX$17+BX143*BX$18+BX153*BX$19+BX163*BX$20+BX173*BX$21+BX183*BX$22+BX193*BX$23+BX203*BX$24)</f>
        <v/>
      </c>
      <c r="BY215" s="245">
        <f>IF(BY$7="Actual",0,BY$15*BY113+BY123*BY$16+BY133*BY$17+BY143*BY$18+BY153*BY$19+BY163*BY$20+BY173*BY$21+BY183*BY$22+BY193*BY$23+BY203*BY$24)</f>
        <v/>
      </c>
      <c r="BZ215" s="245">
        <f>IF(BZ$7="Actual",0,BZ$15*BZ113+BZ123*BZ$16+BZ133*BZ$17+BZ143*BZ$18+BZ153*BZ$19+BZ163*BZ$20+BZ173*BZ$21+BZ183*BZ$22+BZ193*BZ$23+BZ203*BZ$24)</f>
        <v/>
      </c>
      <c r="CA215" s="245">
        <f>IF(CA$7="Actual",0,CA$15*CA113+CA123*CA$16+CA133*CA$17+CA143*CA$18+CA153*CA$19+CA163*CA$20+CA173*CA$21+CA183*CA$22+CA193*CA$23+CA203*CA$24)</f>
        <v/>
      </c>
      <c r="CB215" s="245" t="n"/>
    </row>
    <row r="216" ht="12" customHeight="1" s="227">
      <c r="A216" s="244" t="n"/>
      <c r="B216" s="244" t="n"/>
      <c r="C216" s="244" t="n"/>
      <c r="H216" s="4">
        <f>H114</f>
        <v/>
      </c>
      <c r="I216" s="27">
        <f>i_Setup!$M$16</f>
        <v/>
      </c>
      <c r="K216" s="6" t="n"/>
      <c r="M216" s="245">
        <f>SUMIF($T$4:$CA$4,M$4,$T216:$CA216)</f>
        <v/>
      </c>
      <c r="N216" s="245">
        <f>SUMIF($T$4:$CA$4,N$4,$T216:$CA216)</f>
        <v/>
      </c>
      <c r="O216" s="245">
        <f>SUMIF($T$4:$CA$4,O$4,$T216:$CA216)</f>
        <v/>
      </c>
      <c r="P216" s="245">
        <f>SUMIF($T$4:$CA$4,P$4,$T216:$CA216)</f>
        <v/>
      </c>
      <c r="Q216" s="245">
        <f>SUMIF($T$4:$CA$4,Q$4,$T216:$CA216)</f>
        <v/>
      </c>
      <c r="T216" s="245">
        <f>IF(T$7="Actual",0,T$15*T114+T124*T$16+T134*T$17+T144*T$18+T154*T$19+T164*T$20+T174*T$21+T184*T$22+T194*T$23+T204*T$24)</f>
        <v/>
      </c>
      <c r="U216" s="245">
        <f>IF(U$7="Actual",0,U$15*U114+U124*U$16+U134*U$17+U144*U$18+U154*U$19+U164*U$20+U174*U$21+U184*U$22+U194*U$23+U204*U$24)</f>
        <v/>
      </c>
      <c r="V216" s="245">
        <f>IF(V$7="Actual",0,V$15*V114+V124*V$16+V134*V$17+V144*V$18+V154*V$19+V164*V$20+V174*V$21+V184*V$22+V194*V$23+V204*V$24)</f>
        <v/>
      </c>
      <c r="W216" s="245">
        <f>IF(W$7="Actual",0,W$15*W114+W124*W$16+W134*W$17+W144*W$18+W154*W$19+W164*W$20+W174*W$21+W184*W$22+W194*W$23+W204*W$24)</f>
        <v/>
      </c>
      <c r="X216" s="245">
        <f>IF(X$7="Actual",0,X$15*X114+X124*X$16+X134*X$17+X144*X$18+X154*X$19+X164*X$20+X174*X$21+X184*X$22+X194*X$23+X204*X$24)</f>
        <v/>
      </c>
      <c r="Y216" s="245">
        <f>IF(Y$7="Actual",0,Y$15*Y114+Y124*Y$16+Y134*Y$17+Y144*Y$18+Y154*Y$19+Y164*Y$20+Y174*Y$21+Y184*Y$22+Y194*Y$23+Y204*Y$24)</f>
        <v/>
      </c>
      <c r="Z216" s="245">
        <f>IF(Z$7="Actual",0,Z$15*Z114+Z124*Z$16+Z134*Z$17+Z144*Z$18+Z154*Z$19+Z164*Z$20+Z174*Z$21+Z184*Z$22+Z194*Z$23+Z204*Z$24)</f>
        <v/>
      </c>
      <c r="AA216" s="245">
        <f>IF(AA$7="Actual",0,AA$15*AA114+AA124*AA$16+AA134*AA$17+AA144*AA$18+AA154*AA$19+AA164*AA$20+AA174*AA$21+AA184*AA$22+AA194*AA$23+AA204*AA$24)</f>
        <v/>
      </c>
      <c r="AB216" s="245">
        <f>IF(AB$7="Actual",0,AB$15*AB114+AB124*AB$16+AB134*AB$17+AB144*AB$18+AB154*AB$19+AB164*AB$20+AB174*AB$21+AB184*AB$22+AB194*AB$23+AB204*AB$24)</f>
        <v/>
      </c>
      <c r="AC216" s="245">
        <f>IF(AC$7="Actual",0,AC$15*AC114+AC124*AC$16+AC134*AC$17+AC144*AC$18+AC154*AC$19+AC164*AC$20+AC174*AC$21+AC184*AC$22+AC194*AC$23+AC204*AC$24)</f>
        <v/>
      </c>
      <c r="AD216" s="245">
        <f>IF(AD$7="Actual",0,AD$15*AD114+AD124*AD$16+AD134*AD$17+AD144*AD$18+AD154*AD$19+AD164*AD$20+AD174*AD$21+AD184*AD$22+AD194*AD$23+AD204*AD$24)</f>
        <v/>
      </c>
      <c r="AE216" s="245">
        <f>IF(AE$7="Actual",0,AE$15*AE114+AE124*AE$16+AE134*AE$17+AE144*AE$18+AE154*AE$19+AE164*AE$20+AE174*AE$21+AE184*AE$22+AE194*AE$23+AE204*AE$24)</f>
        <v/>
      </c>
      <c r="AF216" s="245">
        <f>IF(AF$7="Actual",0,AF$15*AF114+AF124*AF$16+AF134*AF$17+AF144*AF$18+AF154*AF$19+AF164*AF$20+AF174*AF$21+AF184*AF$22+AF194*AF$23+AF204*AF$24)</f>
        <v/>
      </c>
      <c r="AG216" s="245">
        <f>IF(AG$7="Actual",0,AG$15*AG114+AG124*AG$16+AG134*AG$17+AG144*AG$18+AG154*AG$19+AG164*AG$20+AG174*AG$21+AG184*AG$22+AG194*AG$23+AG204*AG$24)</f>
        <v/>
      </c>
      <c r="AH216" s="245">
        <f>IF(AH$7="Actual",0,AH$15*AH114+AH124*AH$16+AH134*AH$17+AH144*AH$18+AH154*AH$19+AH164*AH$20+AH174*AH$21+AH184*AH$22+AH194*AH$23+AH204*AH$24)</f>
        <v/>
      </c>
      <c r="AI216" s="245">
        <f>IF(AI$7="Actual",0,AI$15*AI114+AI124*AI$16+AI134*AI$17+AI144*AI$18+AI154*AI$19+AI164*AI$20+AI174*AI$21+AI184*AI$22+AI194*AI$23+AI204*AI$24)</f>
        <v/>
      </c>
      <c r="AJ216" s="245">
        <f>IF(AJ$7="Actual",0,AJ$15*AJ114+AJ124*AJ$16+AJ134*AJ$17+AJ144*AJ$18+AJ154*AJ$19+AJ164*AJ$20+AJ174*AJ$21+AJ184*AJ$22+AJ194*AJ$23+AJ204*AJ$24)</f>
        <v/>
      </c>
      <c r="AK216" s="245">
        <f>IF(AK$7="Actual",0,AK$15*AK114+AK124*AK$16+AK134*AK$17+AK144*AK$18+AK154*AK$19+AK164*AK$20+AK174*AK$21+AK184*AK$22+AK194*AK$23+AK204*AK$24)</f>
        <v/>
      </c>
      <c r="AL216" s="245">
        <f>IF(AL$7="Actual",0,AL$15*AL114+AL124*AL$16+AL134*AL$17+AL144*AL$18+AL154*AL$19+AL164*AL$20+AL174*AL$21+AL184*AL$22+AL194*AL$23+AL204*AL$24)</f>
        <v/>
      </c>
      <c r="AM216" s="245">
        <f>IF(AM$7="Actual",0,AM$15*AM114+AM124*AM$16+AM134*AM$17+AM144*AM$18+AM154*AM$19+AM164*AM$20+AM174*AM$21+AM184*AM$22+AM194*AM$23+AM204*AM$24)</f>
        <v/>
      </c>
      <c r="AN216" s="245">
        <f>IF(AN$7="Actual",0,AN$15*AN114+AN124*AN$16+AN134*AN$17+AN144*AN$18+AN154*AN$19+AN164*AN$20+AN174*AN$21+AN184*AN$22+AN194*AN$23+AN204*AN$24)</f>
        <v/>
      </c>
      <c r="AO216" s="245">
        <f>IF(AO$7="Actual",0,AO$15*AO114+AO124*AO$16+AO134*AO$17+AO144*AO$18+AO154*AO$19+AO164*AO$20+AO174*AO$21+AO184*AO$22+AO194*AO$23+AO204*AO$24)</f>
        <v/>
      </c>
      <c r="AP216" s="245">
        <f>IF(AP$7="Actual",0,AP$15*AP114+AP124*AP$16+AP134*AP$17+AP144*AP$18+AP154*AP$19+AP164*AP$20+AP174*AP$21+AP184*AP$22+AP194*AP$23+AP204*AP$24)</f>
        <v/>
      </c>
      <c r="AQ216" s="245">
        <f>IF(AQ$7="Actual",0,AQ$15*AQ114+AQ124*AQ$16+AQ134*AQ$17+AQ144*AQ$18+AQ154*AQ$19+AQ164*AQ$20+AQ174*AQ$21+AQ184*AQ$22+AQ194*AQ$23+AQ204*AQ$24)</f>
        <v/>
      </c>
      <c r="AR216" s="245">
        <f>IF(AR$7="Actual",0,AR$15*AR114+AR124*AR$16+AR134*AR$17+AR144*AR$18+AR154*AR$19+AR164*AR$20+AR174*AR$21+AR184*AR$22+AR194*AR$23+AR204*AR$24)</f>
        <v/>
      </c>
      <c r="AS216" s="245">
        <f>IF(AS$7="Actual",0,AS$15*AS114+AS124*AS$16+AS134*AS$17+AS144*AS$18+AS154*AS$19+AS164*AS$20+AS174*AS$21+AS184*AS$22+AS194*AS$23+AS204*AS$24)</f>
        <v/>
      </c>
      <c r="AT216" s="245">
        <f>IF(AT$7="Actual",0,AT$15*AT114+AT124*AT$16+AT134*AT$17+AT144*AT$18+AT154*AT$19+AT164*AT$20+AT174*AT$21+AT184*AT$22+AT194*AT$23+AT204*AT$24)</f>
        <v/>
      </c>
      <c r="AU216" s="245">
        <f>IF(AU$7="Actual",0,AU$15*AU114+AU124*AU$16+AU134*AU$17+AU144*AU$18+AU154*AU$19+AU164*AU$20+AU174*AU$21+AU184*AU$22+AU194*AU$23+AU204*AU$24)</f>
        <v/>
      </c>
      <c r="AV216" s="245">
        <f>IF(AV$7="Actual",0,AV$15*AV114+AV124*AV$16+AV134*AV$17+AV144*AV$18+AV154*AV$19+AV164*AV$20+AV174*AV$21+AV184*AV$22+AV194*AV$23+AV204*AV$24)</f>
        <v/>
      </c>
      <c r="AW216" s="245">
        <f>IF(AW$7="Actual",0,AW$15*AW114+AW124*AW$16+AW134*AW$17+AW144*AW$18+AW154*AW$19+AW164*AW$20+AW174*AW$21+AW184*AW$22+AW194*AW$23+AW204*AW$24)</f>
        <v/>
      </c>
      <c r="AX216" s="245">
        <f>IF(AX$7="Actual",0,AX$15*AX114+AX124*AX$16+AX134*AX$17+AX144*AX$18+AX154*AX$19+AX164*AX$20+AX174*AX$21+AX184*AX$22+AX194*AX$23+AX204*AX$24)</f>
        <v/>
      </c>
      <c r="AY216" s="245">
        <f>IF(AY$7="Actual",0,AY$15*AY114+AY124*AY$16+AY134*AY$17+AY144*AY$18+AY154*AY$19+AY164*AY$20+AY174*AY$21+AY184*AY$22+AY194*AY$23+AY204*AY$24)</f>
        <v/>
      </c>
      <c r="AZ216" s="245">
        <f>IF(AZ$7="Actual",0,AZ$15*AZ114+AZ124*AZ$16+AZ134*AZ$17+AZ144*AZ$18+AZ154*AZ$19+AZ164*AZ$20+AZ174*AZ$21+AZ184*AZ$22+AZ194*AZ$23+AZ204*AZ$24)</f>
        <v/>
      </c>
      <c r="BA216" s="245">
        <f>IF(BA$7="Actual",0,BA$15*BA114+BA124*BA$16+BA134*BA$17+BA144*BA$18+BA154*BA$19+BA164*BA$20+BA174*BA$21+BA184*BA$22+BA194*BA$23+BA204*BA$24)</f>
        <v/>
      </c>
      <c r="BB216" s="245">
        <f>IF(BB$7="Actual",0,BB$15*BB114+BB124*BB$16+BB134*BB$17+BB144*BB$18+BB154*BB$19+BB164*BB$20+BB174*BB$21+BB184*BB$22+BB194*BB$23+BB204*BB$24)</f>
        <v/>
      </c>
      <c r="BC216" s="245">
        <f>IF(BC$7="Actual",0,BC$15*BC114+BC124*BC$16+BC134*BC$17+BC144*BC$18+BC154*BC$19+BC164*BC$20+BC174*BC$21+BC184*BC$22+BC194*BC$23+BC204*BC$24)</f>
        <v/>
      </c>
      <c r="BD216" s="245">
        <f>IF(BD$7="Actual",0,BD$15*BD114+BD124*BD$16+BD134*BD$17+BD144*BD$18+BD154*BD$19+BD164*BD$20+BD174*BD$21+BD184*BD$22+BD194*BD$23+BD204*BD$24)</f>
        <v/>
      </c>
      <c r="BE216" s="245">
        <f>IF(BE$7="Actual",0,BE$15*BE114+BE124*BE$16+BE134*BE$17+BE144*BE$18+BE154*BE$19+BE164*BE$20+BE174*BE$21+BE184*BE$22+BE194*BE$23+BE204*BE$24)</f>
        <v/>
      </c>
      <c r="BF216" s="245">
        <f>IF(BF$7="Actual",0,BF$15*BF114+BF124*BF$16+BF134*BF$17+BF144*BF$18+BF154*BF$19+BF164*BF$20+BF174*BF$21+BF184*BF$22+BF194*BF$23+BF204*BF$24)</f>
        <v/>
      </c>
      <c r="BG216" s="245">
        <f>IF(BG$7="Actual",0,BG$15*BG114+BG124*BG$16+BG134*BG$17+BG144*BG$18+BG154*BG$19+BG164*BG$20+BG174*BG$21+BG184*BG$22+BG194*BG$23+BG204*BG$24)</f>
        <v/>
      </c>
      <c r="BH216" s="245">
        <f>IF(BH$7="Actual",0,BH$15*BH114+BH124*BH$16+BH134*BH$17+BH144*BH$18+BH154*BH$19+BH164*BH$20+BH174*BH$21+BH184*BH$22+BH194*BH$23+BH204*BH$24)</f>
        <v/>
      </c>
      <c r="BI216" s="245">
        <f>IF(BI$7="Actual",0,BI$15*BI114+BI124*BI$16+BI134*BI$17+BI144*BI$18+BI154*BI$19+BI164*BI$20+BI174*BI$21+BI184*BI$22+BI194*BI$23+BI204*BI$24)</f>
        <v/>
      </c>
      <c r="BJ216" s="245">
        <f>IF(BJ$7="Actual",0,BJ$15*BJ114+BJ124*BJ$16+BJ134*BJ$17+BJ144*BJ$18+BJ154*BJ$19+BJ164*BJ$20+BJ174*BJ$21+BJ184*BJ$22+BJ194*BJ$23+BJ204*BJ$24)</f>
        <v/>
      </c>
      <c r="BK216" s="245">
        <f>IF(BK$7="Actual",0,BK$15*BK114+BK124*BK$16+BK134*BK$17+BK144*BK$18+BK154*BK$19+BK164*BK$20+BK174*BK$21+BK184*BK$22+BK194*BK$23+BK204*BK$24)</f>
        <v/>
      </c>
      <c r="BL216" s="245">
        <f>IF(BL$7="Actual",0,BL$15*BL114+BL124*BL$16+BL134*BL$17+BL144*BL$18+BL154*BL$19+BL164*BL$20+BL174*BL$21+BL184*BL$22+BL194*BL$23+BL204*BL$24)</f>
        <v/>
      </c>
      <c r="BM216" s="245">
        <f>IF(BM$7="Actual",0,BM$15*BM114+BM124*BM$16+BM134*BM$17+BM144*BM$18+BM154*BM$19+BM164*BM$20+BM174*BM$21+BM184*BM$22+BM194*BM$23+BM204*BM$24)</f>
        <v/>
      </c>
      <c r="BN216" s="245">
        <f>IF(BN$7="Actual",0,BN$15*BN114+BN124*BN$16+BN134*BN$17+BN144*BN$18+BN154*BN$19+BN164*BN$20+BN174*BN$21+BN184*BN$22+BN194*BN$23+BN204*BN$24)</f>
        <v/>
      </c>
      <c r="BO216" s="245">
        <f>IF(BO$7="Actual",0,BO$15*BO114+BO124*BO$16+BO134*BO$17+BO144*BO$18+BO154*BO$19+BO164*BO$20+BO174*BO$21+BO184*BO$22+BO194*BO$23+BO204*BO$24)</f>
        <v/>
      </c>
      <c r="BP216" s="245">
        <f>IF(BP$7="Actual",0,BP$15*BP114+BP124*BP$16+BP134*BP$17+BP144*BP$18+BP154*BP$19+BP164*BP$20+BP174*BP$21+BP184*BP$22+BP194*BP$23+BP204*BP$24)</f>
        <v/>
      </c>
      <c r="BQ216" s="245">
        <f>IF(BQ$7="Actual",0,BQ$15*BQ114+BQ124*BQ$16+BQ134*BQ$17+BQ144*BQ$18+BQ154*BQ$19+BQ164*BQ$20+BQ174*BQ$21+BQ184*BQ$22+BQ194*BQ$23+BQ204*BQ$24)</f>
        <v/>
      </c>
      <c r="BR216" s="245">
        <f>IF(BR$7="Actual",0,BR$15*BR114+BR124*BR$16+BR134*BR$17+BR144*BR$18+BR154*BR$19+BR164*BR$20+BR174*BR$21+BR184*BR$22+BR194*BR$23+BR204*BR$24)</f>
        <v/>
      </c>
      <c r="BS216" s="245">
        <f>IF(BS$7="Actual",0,BS$15*BS114+BS124*BS$16+BS134*BS$17+BS144*BS$18+BS154*BS$19+BS164*BS$20+BS174*BS$21+BS184*BS$22+BS194*BS$23+BS204*BS$24)</f>
        <v/>
      </c>
      <c r="BT216" s="245">
        <f>IF(BT$7="Actual",0,BT$15*BT114+BT124*BT$16+BT134*BT$17+BT144*BT$18+BT154*BT$19+BT164*BT$20+BT174*BT$21+BT184*BT$22+BT194*BT$23+BT204*BT$24)</f>
        <v/>
      </c>
      <c r="BU216" s="245">
        <f>IF(BU$7="Actual",0,BU$15*BU114+BU124*BU$16+BU134*BU$17+BU144*BU$18+BU154*BU$19+BU164*BU$20+BU174*BU$21+BU184*BU$22+BU194*BU$23+BU204*BU$24)</f>
        <v/>
      </c>
      <c r="BV216" s="245">
        <f>IF(BV$7="Actual",0,BV$15*BV114+BV124*BV$16+BV134*BV$17+BV144*BV$18+BV154*BV$19+BV164*BV$20+BV174*BV$21+BV184*BV$22+BV194*BV$23+BV204*BV$24)</f>
        <v/>
      </c>
      <c r="BW216" s="245">
        <f>IF(BW$7="Actual",0,BW$15*BW114+BW124*BW$16+BW134*BW$17+BW144*BW$18+BW154*BW$19+BW164*BW$20+BW174*BW$21+BW184*BW$22+BW194*BW$23+BW204*BW$24)</f>
        <v/>
      </c>
      <c r="BX216" s="245">
        <f>IF(BX$7="Actual",0,BX$15*BX114+BX124*BX$16+BX134*BX$17+BX144*BX$18+BX154*BX$19+BX164*BX$20+BX174*BX$21+BX184*BX$22+BX194*BX$23+BX204*BX$24)</f>
        <v/>
      </c>
      <c r="BY216" s="245">
        <f>IF(BY$7="Actual",0,BY$15*BY114+BY124*BY$16+BY134*BY$17+BY144*BY$18+BY154*BY$19+BY164*BY$20+BY174*BY$21+BY184*BY$22+BY194*BY$23+BY204*BY$24)</f>
        <v/>
      </c>
      <c r="BZ216" s="245">
        <f>IF(BZ$7="Actual",0,BZ$15*BZ114+BZ124*BZ$16+BZ134*BZ$17+BZ144*BZ$18+BZ154*BZ$19+BZ164*BZ$20+BZ174*BZ$21+BZ184*BZ$22+BZ194*BZ$23+BZ204*BZ$24)</f>
        <v/>
      </c>
      <c r="CA216" s="245">
        <f>IF(CA$7="Actual",0,CA$15*CA114+CA124*CA$16+CA134*CA$17+CA144*CA$18+CA154*CA$19+CA164*CA$20+CA174*CA$21+CA184*CA$22+CA194*CA$23+CA204*CA$24)</f>
        <v/>
      </c>
      <c r="CB216" s="245" t="n"/>
    </row>
    <row r="217" ht="12" customHeight="1" s="227">
      <c r="A217" s="244" t="n"/>
      <c r="B217" s="244" t="n"/>
      <c r="C217" s="244" t="n"/>
      <c r="H217" s="4">
        <f>H115</f>
        <v/>
      </c>
      <c r="I217" s="27">
        <f>i_Setup!$M$16</f>
        <v/>
      </c>
      <c r="K217" s="6" t="n"/>
      <c r="M217" s="245">
        <f>SUMIF($T$4:$CA$4,M$4,$T217:$CA217)</f>
        <v/>
      </c>
      <c r="N217" s="245">
        <f>SUMIF($T$4:$CA$4,N$4,$T217:$CA217)</f>
        <v/>
      </c>
      <c r="O217" s="245">
        <f>SUMIF($T$4:$CA$4,O$4,$T217:$CA217)</f>
        <v/>
      </c>
      <c r="P217" s="245">
        <f>SUMIF($T$4:$CA$4,P$4,$T217:$CA217)</f>
        <v/>
      </c>
      <c r="Q217" s="245">
        <f>SUMIF($T$4:$CA$4,Q$4,$T217:$CA217)</f>
        <v/>
      </c>
      <c r="T217" s="245">
        <f>IF(T$7="Actual",0,T$15*T115+T125*T$16+T135*T$17+T145*T$18+T155*T$19+T165*T$20+T175*T$21+T185*T$22+T195*T$23+T205*T$24)</f>
        <v/>
      </c>
      <c r="U217" s="245">
        <f>IF(U$7="Actual",0,U$15*U115+U125*U$16+U135*U$17+U145*U$18+U155*U$19+U165*U$20+U175*U$21+U185*U$22+U195*U$23+U205*U$24)</f>
        <v/>
      </c>
      <c r="V217" s="245">
        <f>IF(V$7="Actual",0,V$15*V115+V125*V$16+V135*V$17+V145*V$18+V155*V$19+V165*V$20+V175*V$21+V185*V$22+V195*V$23+V205*V$24)</f>
        <v/>
      </c>
      <c r="W217" s="245">
        <f>IF(W$7="Actual",0,W$15*W115+W125*W$16+W135*W$17+W145*W$18+W155*W$19+W165*W$20+W175*W$21+W185*W$22+W195*W$23+W205*W$24)</f>
        <v/>
      </c>
      <c r="X217" s="245">
        <f>IF(X$7="Actual",0,X$15*X115+X125*X$16+X135*X$17+X145*X$18+X155*X$19+X165*X$20+X175*X$21+X185*X$22+X195*X$23+X205*X$24)</f>
        <v/>
      </c>
      <c r="Y217" s="245">
        <f>IF(Y$7="Actual",0,Y$15*Y115+Y125*Y$16+Y135*Y$17+Y145*Y$18+Y155*Y$19+Y165*Y$20+Y175*Y$21+Y185*Y$22+Y195*Y$23+Y205*Y$24)</f>
        <v/>
      </c>
      <c r="Z217" s="245">
        <f>IF(Z$7="Actual",0,Z$15*Z115+Z125*Z$16+Z135*Z$17+Z145*Z$18+Z155*Z$19+Z165*Z$20+Z175*Z$21+Z185*Z$22+Z195*Z$23+Z205*Z$24)</f>
        <v/>
      </c>
      <c r="AA217" s="245">
        <f>IF(AA$7="Actual",0,AA$15*AA115+AA125*AA$16+AA135*AA$17+AA145*AA$18+AA155*AA$19+AA165*AA$20+AA175*AA$21+AA185*AA$22+AA195*AA$23+AA205*AA$24)</f>
        <v/>
      </c>
      <c r="AB217" s="245">
        <f>IF(AB$7="Actual",0,AB$15*AB115+AB125*AB$16+AB135*AB$17+AB145*AB$18+AB155*AB$19+AB165*AB$20+AB175*AB$21+AB185*AB$22+AB195*AB$23+AB205*AB$24)</f>
        <v/>
      </c>
      <c r="AC217" s="245">
        <f>IF(AC$7="Actual",0,AC$15*AC115+AC125*AC$16+AC135*AC$17+AC145*AC$18+AC155*AC$19+AC165*AC$20+AC175*AC$21+AC185*AC$22+AC195*AC$23+AC205*AC$24)</f>
        <v/>
      </c>
      <c r="AD217" s="245">
        <f>IF(AD$7="Actual",0,AD$15*AD115+AD125*AD$16+AD135*AD$17+AD145*AD$18+AD155*AD$19+AD165*AD$20+AD175*AD$21+AD185*AD$22+AD195*AD$23+AD205*AD$24)</f>
        <v/>
      </c>
      <c r="AE217" s="245">
        <f>IF(AE$7="Actual",0,AE$15*AE115+AE125*AE$16+AE135*AE$17+AE145*AE$18+AE155*AE$19+AE165*AE$20+AE175*AE$21+AE185*AE$22+AE195*AE$23+AE205*AE$24)</f>
        <v/>
      </c>
      <c r="AF217" s="245">
        <f>IF(AF$7="Actual",0,AF$15*AF115+AF125*AF$16+AF135*AF$17+AF145*AF$18+AF155*AF$19+AF165*AF$20+AF175*AF$21+AF185*AF$22+AF195*AF$23+AF205*AF$24)</f>
        <v/>
      </c>
      <c r="AG217" s="245">
        <f>IF(AG$7="Actual",0,AG$15*AG115+AG125*AG$16+AG135*AG$17+AG145*AG$18+AG155*AG$19+AG165*AG$20+AG175*AG$21+AG185*AG$22+AG195*AG$23+AG205*AG$24)</f>
        <v/>
      </c>
      <c r="AH217" s="245">
        <f>IF(AH$7="Actual",0,AH$15*AH115+AH125*AH$16+AH135*AH$17+AH145*AH$18+AH155*AH$19+AH165*AH$20+AH175*AH$21+AH185*AH$22+AH195*AH$23+AH205*AH$24)</f>
        <v/>
      </c>
      <c r="AI217" s="245">
        <f>IF(AI$7="Actual",0,AI$15*AI115+AI125*AI$16+AI135*AI$17+AI145*AI$18+AI155*AI$19+AI165*AI$20+AI175*AI$21+AI185*AI$22+AI195*AI$23+AI205*AI$24)</f>
        <v/>
      </c>
      <c r="AJ217" s="245">
        <f>IF(AJ$7="Actual",0,AJ$15*AJ115+AJ125*AJ$16+AJ135*AJ$17+AJ145*AJ$18+AJ155*AJ$19+AJ165*AJ$20+AJ175*AJ$21+AJ185*AJ$22+AJ195*AJ$23+AJ205*AJ$24)</f>
        <v/>
      </c>
      <c r="AK217" s="245">
        <f>IF(AK$7="Actual",0,AK$15*AK115+AK125*AK$16+AK135*AK$17+AK145*AK$18+AK155*AK$19+AK165*AK$20+AK175*AK$21+AK185*AK$22+AK195*AK$23+AK205*AK$24)</f>
        <v/>
      </c>
      <c r="AL217" s="245">
        <f>IF(AL$7="Actual",0,AL$15*AL115+AL125*AL$16+AL135*AL$17+AL145*AL$18+AL155*AL$19+AL165*AL$20+AL175*AL$21+AL185*AL$22+AL195*AL$23+AL205*AL$24)</f>
        <v/>
      </c>
      <c r="AM217" s="245">
        <f>IF(AM$7="Actual",0,AM$15*AM115+AM125*AM$16+AM135*AM$17+AM145*AM$18+AM155*AM$19+AM165*AM$20+AM175*AM$21+AM185*AM$22+AM195*AM$23+AM205*AM$24)</f>
        <v/>
      </c>
      <c r="AN217" s="245">
        <f>IF(AN$7="Actual",0,AN$15*AN115+AN125*AN$16+AN135*AN$17+AN145*AN$18+AN155*AN$19+AN165*AN$20+AN175*AN$21+AN185*AN$22+AN195*AN$23+AN205*AN$24)</f>
        <v/>
      </c>
      <c r="AO217" s="245">
        <f>IF(AO$7="Actual",0,AO$15*AO115+AO125*AO$16+AO135*AO$17+AO145*AO$18+AO155*AO$19+AO165*AO$20+AO175*AO$21+AO185*AO$22+AO195*AO$23+AO205*AO$24)</f>
        <v/>
      </c>
      <c r="AP217" s="245">
        <f>IF(AP$7="Actual",0,AP$15*AP115+AP125*AP$16+AP135*AP$17+AP145*AP$18+AP155*AP$19+AP165*AP$20+AP175*AP$21+AP185*AP$22+AP195*AP$23+AP205*AP$24)</f>
        <v/>
      </c>
      <c r="AQ217" s="245">
        <f>IF(AQ$7="Actual",0,AQ$15*AQ115+AQ125*AQ$16+AQ135*AQ$17+AQ145*AQ$18+AQ155*AQ$19+AQ165*AQ$20+AQ175*AQ$21+AQ185*AQ$22+AQ195*AQ$23+AQ205*AQ$24)</f>
        <v/>
      </c>
      <c r="AR217" s="245">
        <f>IF(AR$7="Actual",0,AR$15*AR115+AR125*AR$16+AR135*AR$17+AR145*AR$18+AR155*AR$19+AR165*AR$20+AR175*AR$21+AR185*AR$22+AR195*AR$23+AR205*AR$24)</f>
        <v/>
      </c>
      <c r="AS217" s="245">
        <f>IF(AS$7="Actual",0,AS$15*AS115+AS125*AS$16+AS135*AS$17+AS145*AS$18+AS155*AS$19+AS165*AS$20+AS175*AS$21+AS185*AS$22+AS195*AS$23+AS205*AS$24)</f>
        <v/>
      </c>
      <c r="AT217" s="245">
        <f>IF(AT$7="Actual",0,AT$15*AT115+AT125*AT$16+AT135*AT$17+AT145*AT$18+AT155*AT$19+AT165*AT$20+AT175*AT$21+AT185*AT$22+AT195*AT$23+AT205*AT$24)</f>
        <v/>
      </c>
      <c r="AU217" s="245">
        <f>IF(AU$7="Actual",0,AU$15*AU115+AU125*AU$16+AU135*AU$17+AU145*AU$18+AU155*AU$19+AU165*AU$20+AU175*AU$21+AU185*AU$22+AU195*AU$23+AU205*AU$24)</f>
        <v/>
      </c>
      <c r="AV217" s="245">
        <f>IF(AV$7="Actual",0,AV$15*AV115+AV125*AV$16+AV135*AV$17+AV145*AV$18+AV155*AV$19+AV165*AV$20+AV175*AV$21+AV185*AV$22+AV195*AV$23+AV205*AV$24)</f>
        <v/>
      </c>
      <c r="AW217" s="245">
        <f>IF(AW$7="Actual",0,AW$15*AW115+AW125*AW$16+AW135*AW$17+AW145*AW$18+AW155*AW$19+AW165*AW$20+AW175*AW$21+AW185*AW$22+AW195*AW$23+AW205*AW$24)</f>
        <v/>
      </c>
      <c r="AX217" s="245">
        <f>IF(AX$7="Actual",0,AX$15*AX115+AX125*AX$16+AX135*AX$17+AX145*AX$18+AX155*AX$19+AX165*AX$20+AX175*AX$21+AX185*AX$22+AX195*AX$23+AX205*AX$24)</f>
        <v/>
      </c>
      <c r="AY217" s="245">
        <f>IF(AY$7="Actual",0,AY$15*AY115+AY125*AY$16+AY135*AY$17+AY145*AY$18+AY155*AY$19+AY165*AY$20+AY175*AY$21+AY185*AY$22+AY195*AY$23+AY205*AY$24)</f>
        <v/>
      </c>
      <c r="AZ217" s="245">
        <f>IF(AZ$7="Actual",0,AZ$15*AZ115+AZ125*AZ$16+AZ135*AZ$17+AZ145*AZ$18+AZ155*AZ$19+AZ165*AZ$20+AZ175*AZ$21+AZ185*AZ$22+AZ195*AZ$23+AZ205*AZ$24)</f>
        <v/>
      </c>
      <c r="BA217" s="245">
        <f>IF(BA$7="Actual",0,BA$15*BA115+BA125*BA$16+BA135*BA$17+BA145*BA$18+BA155*BA$19+BA165*BA$20+BA175*BA$21+BA185*BA$22+BA195*BA$23+BA205*BA$24)</f>
        <v/>
      </c>
      <c r="BB217" s="245">
        <f>IF(BB$7="Actual",0,BB$15*BB115+BB125*BB$16+BB135*BB$17+BB145*BB$18+BB155*BB$19+BB165*BB$20+BB175*BB$21+BB185*BB$22+BB195*BB$23+BB205*BB$24)</f>
        <v/>
      </c>
      <c r="BC217" s="245">
        <f>IF(BC$7="Actual",0,BC$15*BC115+BC125*BC$16+BC135*BC$17+BC145*BC$18+BC155*BC$19+BC165*BC$20+BC175*BC$21+BC185*BC$22+BC195*BC$23+BC205*BC$24)</f>
        <v/>
      </c>
      <c r="BD217" s="245">
        <f>IF(BD$7="Actual",0,BD$15*BD115+BD125*BD$16+BD135*BD$17+BD145*BD$18+BD155*BD$19+BD165*BD$20+BD175*BD$21+BD185*BD$22+BD195*BD$23+BD205*BD$24)</f>
        <v/>
      </c>
      <c r="BE217" s="245">
        <f>IF(BE$7="Actual",0,BE$15*BE115+BE125*BE$16+BE135*BE$17+BE145*BE$18+BE155*BE$19+BE165*BE$20+BE175*BE$21+BE185*BE$22+BE195*BE$23+BE205*BE$24)</f>
        <v/>
      </c>
      <c r="BF217" s="245">
        <f>IF(BF$7="Actual",0,BF$15*BF115+BF125*BF$16+BF135*BF$17+BF145*BF$18+BF155*BF$19+BF165*BF$20+BF175*BF$21+BF185*BF$22+BF195*BF$23+BF205*BF$24)</f>
        <v/>
      </c>
      <c r="BG217" s="245">
        <f>IF(BG$7="Actual",0,BG$15*BG115+BG125*BG$16+BG135*BG$17+BG145*BG$18+BG155*BG$19+BG165*BG$20+BG175*BG$21+BG185*BG$22+BG195*BG$23+BG205*BG$24)</f>
        <v/>
      </c>
      <c r="BH217" s="245">
        <f>IF(BH$7="Actual",0,BH$15*BH115+BH125*BH$16+BH135*BH$17+BH145*BH$18+BH155*BH$19+BH165*BH$20+BH175*BH$21+BH185*BH$22+BH195*BH$23+BH205*BH$24)</f>
        <v/>
      </c>
      <c r="BI217" s="245">
        <f>IF(BI$7="Actual",0,BI$15*BI115+BI125*BI$16+BI135*BI$17+BI145*BI$18+BI155*BI$19+BI165*BI$20+BI175*BI$21+BI185*BI$22+BI195*BI$23+BI205*BI$24)</f>
        <v/>
      </c>
      <c r="BJ217" s="245">
        <f>IF(BJ$7="Actual",0,BJ$15*BJ115+BJ125*BJ$16+BJ135*BJ$17+BJ145*BJ$18+BJ155*BJ$19+BJ165*BJ$20+BJ175*BJ$21+BJ185*BJ$22+BJ195*BJ$23+BJ205*BJ$24)</f>
        <v/>
      </c>
      <c r="BK217" s="245">
        <f>IF(BK$7="Actual",0,BK$15*BK115+BK125*BK$16+BK135*BK$17+BK145*BK$18+BK155*BK$19+BK165*BK$20+BK175*BK$21+BK185*BK$22+BK195*BK$23+BK205*BK$24)</f>
        <v/>
      </c>
      <c r="BL217" s="245">
        <f>IF(BL$7="Actual",0,BL$15*BL115+BL125*BL$16+BL135*BL$17+BL145*BL$18+BL155*BL$19+BL165*BL$20+BL175*BL$21+BL185*BL$22+BL195*BL$23+BL205*BL$24)</f>
        <v/>
      </c>
      <c r="BM217" s="245">
        <f>IF(BM$7="Actual",0,BM$15*BM115+BM125*BM$16+BM135*BM$17+BM145*BM$18+BM155*BM$19+BM165*BM$20+BM175*BM$21+BM185*BM$22+BM195*BM$23+BM205*BM$24)</f>
        <v/>
      </c>
      <c r="BN217" s="245">
        <f>IF(BN$7="Actual",0,BN$15*BN115+BN125*BN$16+BN135*BN$17+BN145*BN$18+BN155*BN$19+BN165*BN$20+BN175*BN$21+BN185*BN$22+BN195*BN$23+BN205*BN$24)</f>
        <v/>
      </c>
      <c r="BO217" s="245">
        <f>IF(BO$7="Actual",0,BO$15*BO115+BO125*BO$16+BO135*BO$17+BO145*BO$18+BO155*BO$19+BO165*BO$20+BO175*BO$21+BO185*BO$22+BO195*BO$23+BO205*BO$24)</f>
        <v/>
      </c>
      <c r="BP217" s="245">
        <f>IF(BP$7="Actual",0,BP$15*BP115+BP125*BP$16+BP135*BP$17+BP145*BP$18+BP155*BP$19+BP165*BP$20+BP175*BP$21+BP185*BP$22+BP195*BP$23+BP205*BP$24)</f>
        <v/>
      </c>
      <c r="BQ217" s="245">
        <f>IF(BQ$7="Actual",0,BQ$15*BQ115+BQ125*BQ$16+BQ135*BQ$17+BQ145*BQ$18+BQ155*BQ$19+BQ165*BQ$20+BQ175*BQ$21+BQ185*BQ$22+BQ195*BQ$23+BQ205*BQ$24)</f>
        <v/>
      </c>
      <c r="BR217" s="245">
        <f>IF(BR$7="Actual",0,BR$15*BR115+BR125*BR$16+BR135*BR$17+BR145*BR$18+BR155*BR$19+BR165*BR$20+BR175*BR$21+BR185*BR$22+BR195*BR$23+BR205*BR$24)</f>
        <v/>
      </c>
      <c r="BS217" s="245">
        <f>IF(BS$7="Actual",0,BS$15*BS115+BS125*BS$16+BS135*BS$17+BS145*BS$18+BS155*BS$19+BS165*BS$20+BS175*BS$21+BS185*BS$22+BS195*BS$23+BS205*BS$24)</f>
        <v/>
      </c>
      <c r="BT217" s="245">
        <f>IF(BT$7="Actual",0,BT$15*BT115+BT125*BT$16+BT135*BT$17+BT145*BT$18+BT155*BT$19+BT165*BT$20+BT175*BT$21+BT185*BT$22+BT195*BT$23+BT205*BT$24)</f>
        <v/>
      </c>
      <c r="BU217" s="245">
        <f>IF(BU$7="Actual",0,BU$15*BU115+BU125*BU$16+BU135*BU$17+BU145*BU$18+BU155*BU$19+BU165*BU$20+BU175*BU$21+BU185*BU$22+BU195*BU$23+BU205*BU$24)</f>
        <v/>
      </c>
      <c r="BV217" s="245">
        <f>IF(BV$7="Actual",0,BV$15*BV115+BV125*BV$16+BV135*BV$17+BV145*BV$18+BV155*BV$19+BV165*BV$20+BV175*BV$21+BV185*BV$22+BV195*BV$23+BV205*BV$24)</f>
        <v/>
      </c>
      <c r="BW217" s="245">
        <f>IF(BW$7="Actual",0,BW$15*BW115+BW125*BW$16+BW135*BW$17+BW145*BW$18+BW155*BW$19+BW165*BW$20+BW175*BW$21+BW185*BW$22+BW195*BW$23+BW205*BW$24)</f>
        <v/>
      </c>
      <c r="BX217" s="245">
        <f>IF(BX$7="Actual",0,BX$15*BX115+BX125*BX$16+BX135*BX$17+BX145*BX$18+BX155*BX$19+BX165*BX$20+BX175*BX$21+BX185*BX$22+BX195*BX$23+BX205*BX$24)</f>
        <v/>
      </c>
      <c r="BY217" s="245">
        <f>IF(BY$7="Actual",0,BY$15*BY115+BY125*BY$16+BY135*BY$17+BY145*BY$18+BY155*BY$19+BY165*BY$20+BY175*BY$21+BY185*BY$22+BY195*BY$23+BY205*BY$24)</f>
        <v/>
      </c>
      <c r="BZ217" s="245">
        <f>IF(BZ$7="Actual",0,BZ$15*BZ115+BZ125*BZ$16+BZ135*BZ$17+BZ145*BZ$18+BZ155*BZ$19+BZ165*BZ$20+BZ175*BZ$21+BZ185*BZ$22+BZ195*BZ$23+BZ205*BZ$24)</f>
        <v/>
      </c>
      <c r="CA217" s="245">
        <f>IF(CA$7="Actual",0,CA$15*CA115+CA125*CA$16+CA135*CA$17+CA145*CA$18+CA155*CA$19+CA165*CA$20+CA175*CA$21+CA185*CA$22+CA195*CA$23+CA205*CA$24)</f>
        <v/>
      </c>
      <c r="CB217" s="245" t="n"/>
    </row>
    <row r="218" ht="12" customHeight="1" s="227">
      <c r="A218" s="244" t="n"/>
      <c r="B218" s="244" t="n"/>
      <c r="C218" s="244" t="n"/>
      <c r="H218" s="4">
        <f>H116</f>
        <v/>
      </c>
      <c r="I218" s="27">
        <f>i_Setup!$M$16</f>
        <v/>
      </c>
      <c r="K218" s="6" t="n"/>
      <c r="M218" s="245">
        <f>SUMIF($T$4:$CA$4,M$4,$T218:$CA218)</f>
        <v/>
      </c>
      <c r="N218" s="245">
        <f>SUMIF($T$4:$CA$4,N$4,$T218:$CA218)</f>
        <v/>
      </c>
      <c r="O218" s="245">
        <f>SUMIF($T$4:$CA$4,O$4,$T218:$CA218)</f>
        <v/>
      </c>
      <c r="P218" s="245">
        <f>SUMIF($T$4:$CA$4,P$4,$T218:$CA218)</f>
        <v/>
      </c>
      <c r="Q218" s="245">
        <f>SUMIF($T$4:$CA$4,Q$4,$T218:$CA218)</f>
        <v/>
      </c>
      <c r="T218" s="245">
        <f>IF(T$7="Actual",0,T$15*T116+T126*T$16+T136*T$17+T146*T$18+T156*T$19+T166*T$20+T176*T$21+T186*T$22+T196*T$23+T206*T$24)</f>
        <v/>
      </c>
      <c r="U218" s="245">
        <f>IF(U$7="Actual",0,U$15*U116+U126*U$16+U136*U$17+U146*U$18+U156*U$19+U166*U$20+U176*U$21+U186*U$22+U196*U$23+U206*U$24)</f>
        <v/>
      </c>
      <c r="V218" s="245">
        <f>IF(V$7="Actual",0,V$15*V116+V126*V$16+V136*V$17+V146*V$18+V156*V$19+V166*V$20+V176*V$21+V186*V$22+V196*V$23+V206*V$24)</f>
        <v/>
      </c>
      <c r="W218" s="245">
        <f>IF(W$7="Actual",0,W$15*W116+W126*W$16+W136*W$17+W146*W$18+W156*W$19+W166*W$20+W176*W$21+W186*W$22+W196*W$23+W206*W$24)</f>
        <v/>
      </c>
      <c r="X218" s="245">
        <f>IF(X$7="Actual",0,X$15*X116+X126*X$16+X136*X$17+X146*X$18+X156*X$19+X166*X$20+X176*X$21+X186*X$22+X196*X$23+X206*X$24)</f>
        <v/>
      </c>
      <c r="Y218" s="245">
        <f>IF(Y$7="Actual",0,Y$15*Y116+Y126*Y$16+Y136*Y$17+Y146*Y$18+Y156*Y$19+Y166*Y$20+Y176*Y$21+Y186*Y$22+Y196*Y$23+Y206*Y$24)</f>
        <v/>
      </c>
      <c r="Z218" s="245">
        <f>IF(Z$7="Actual",0,Z$15*Z116+Z126*Z$16+Z136*Z$17+Z146*Z$18+Z156*Z$19+Z166*Z$20+Z176*Z$21+Z186*Z$22+Z196*Z$23+Z206*Z$24)</f>
        <v/>
      </c>
      <c r="AA218" s="245">
        <f>IF(AA$7="Actual",0,AA$15*AA116+AA126*AA$16+AA136*AA$17+AA146*AA$18+AA156*AA$19+AA166*AA$20+AA176*AA$21+AA186*AA$22+AA196*AA$23+AA206*AA$24)</f>
        <v/>
      </c>
      <c r="AB218" s="245">
        <f>IF(AB$7="Actual",0,AB$15*AB116+AB126*AB$16+AB136*AB$17+AB146*AB$18+AB156*AB$19+AB166*AB$20+AB176*AB$21+AB186*AB$22+AB196*AB$23+AB206*AB$24)</f>
        <v/>
      </c>
      <c r="AC218" s="245">
        <f>IF(AC$7="Actual",0,AC$15*AC116+AC126*AC$16+AC136*AC$17+AC146*AC$18+AC156*AC$19+AC166*AC$20+AC176*AC$21+AC186*AC$22+AC196*AC$23+AC206*AC$24)</f>
        <v/>
      </c>
      <c r="AD218" s="245">
        <f>IF(AD$7="Actual",0,AD$15*AD116+AD126*AD$16+AD136*AD$17+AD146*AD$18+AD156*AD$19+AD166*AD$20+AD176*AD$21+AD186*AD$22+AD196*AD$23+AD206*AD$24)</f>
        <v/>
      </c>
      <c r="AE218" s="245">
        <f>IF(AE$7="Actual",0,AE$15*AE116+AE126*AE$16+AE136*AE$17+AE146*AE$18+AE156*AE$19+AE166*AE$20+AE176*AE$21+AE186*AE$22+AE196*AE$23+AE206*AE$24)</f>
        <v/>
      </c>
      <c r="AF218" s="245">
        <f>IF(AF$7="Actual",0,AF$15*AF116+AF126*AF$16+AF136*AF$17+AF146*AF$18+AF156*AF$19+AF166*AF$20+AF176*AF$21+AF186*AF$22+AF196*AF$23+AF206*AF$24)</f>
        <v/>
      </c>
      <c r="AG218" s="245">
        <f>IF(AG$7="Actual",0,AG$15*AG116+AG126*AG$16+AG136*AG$17+AG146*AG$18+AG156*AG$19+AG166*AG$20+AG176*AG$21+AG186*AG$22+AG196*AG$23+AG206*AG$24)</f>
        <v/>
      </c>
      <c r="AH218" s="245">
        <f>IF(AH$7="Actual",0,AH$15*AH116+AH126*AH$16+AH136*AH$17+AH146*AH$18+AH156*AH$19+AH166*AH$20+AH176*AH$21+AH186*AH$22+AH196*AH$23+AH206*AH$24)</f>
        <v/>
      </c>
      <c r="AI218" s="245">
        <f>IF(AI$7="Actual",0,AI$15*AI116+AI126*AI$16+AI136*AI$17+AI146*AI$18+AI156*AI$19+AI166*AI$20+AI176*AI$21+AI186*AI$22+AI196*AI$23+AI206*AI$24)</f>
        <v/>
      </c>
      <c r="AJ218" s="245">
        <f>IF(AJ$7="Actual",0,AJ$15*AJ116+AJ126*AJ$16+AJ136*AJ$17+AJ146*AJ$18+AJ156*AJ$19+AJ166*AJ$20+AJ176*AJ$21+AJ186*AJ$22+AJ196*AJ$23+AJ206*AJ$24)</f>
        <v/>
      </c>
      <c r="AK218" s="245">
        <f>IF(AK$7="Actual",0,AK$15*AK116+AK126*AK$16+AK136*AK$17+AK146*AK$18+AK156*AK$19+AK166*AK$20+AK176*AK$21+AK186*AK$22+AK196*AK$23+AK206*AK$24)</f>
        <v/>
      </c>
      <c r="AL218" s="245">
        <f>IF(AL$7="Actual",0,AL$15*AL116+AL126*AL$16+AL136*AL$17+AL146*AL$18+AL156*AL$19+AL166*AL$20+AL176*AL$21+AL186*AL$22+AL196*AL$23+AL206*AL$24)</f>
        <v/>
      </c>
      <c r="AM218" s="245">
        <f>IF(AM$7="Actual",0,AM$15*AM116+AM126*AM$16+AM136*AM$17+AM146*AM$18+AM156*AM$19+AM166*AM$20+AM176*AM$21+AM186*AM$22+AM196*AM$23+AM206*AM$24)</f>
        <v/>
      </c>
      <c r="AN218" s="245">
        <f>IF(AN$7="Actual",0,AN$15*AN116+AN126*AN$16+AN136*AN$17+AN146*AN$18+AN156*AN$19+AN166*AN$20+AN176*AN$21+AN186*AN$22+AN196*AN$23+AN206*AN$24)</f>
        <v/>
      </c>
      <c r="AO218" s="245">
        <f>IF(AO$7="Actual",0,AO$15*AO116+AO126*AO$16+AO136*AO$17+AO146*AO$18+AO156*AO$19+AO166*AO$20+AO176*AO$21+AO186*AO$22+AO196*AO$23+AO206*AO$24)</f>
        <v/>
      </c>
      <c r="AP218" s="245">
        <f>IF(AP$7="Actual",0,AP$15*AP116+AP126*AP$16+AP136*AP$17+AP146*AP$18+AP156*AP$19+AP166*AP$20+AP176*AP$21+AP186*AP$22+AP196*AP$23+AP206*AP$24)</f>
        <v/>
      </c>
      <c r="AQ218" s="245">
        <f>IF(AQ$7="Actual",0,AQ$15*AQ116+AQ126*AQ$16+AQ136*AQ$17+AQ146*AQ$18+AQ156*AQ$19+AQ166*AQ$20+AQ176*AQ$21+AQ186*AQ$22+AQ196*AQ$23+AQ206*AQ$24)</f>
        <v/>
      </c>
      <c r="AR218" s="245">
        <f>IF(AR$7="Actual",0,AR$15*AR116+AR126*AR$16+AR136*AR$17+AR146*AR$18+AR156*AR$19+AR166*AR$20+AR176*AR$21+AR186*AR$22+AR196*AR$23+AR206*AR$24)</f>
        <v/>
      </c>
      <c r="AS218" s="245">
        <f>IF(AS$7="Actual",0,AS$15*AS116+AS126*AS$16+AS136*AS$17+AS146*AS$18+AS156*AS$19+AS166*AS$20+AS176*AS$21+AS186*AS$22+AS196*AS$23+AS206*AS$24)</f>
        <v/>
      </c>
      <c r="AT218" s="245">
        <f>IF(AT$7="Actual",0,AT$15*AT116+AT126*AT$16+AT136*AT$17+AT146*AT$18+AT156*AT$19+AT166*AT$20+AT176*AT$21+AT186*AT$22+AT196*AT$23+AT206*AT$24)</f>
        <v/>
      </c>
      <c r="AU218" s="245">
        <f>IF(AU$7="Actual",0,AU$15*AU116+AU126*AU$16+AU136*AU$17+AU146*AU$18+AU156*AU$19+AU166*AU$20+AU176*AU$21+AU186*AU$22+AU196*AU$23+AU206*AU$24)</f>
        <v/>
      </c>
      <c r="AV218" s="245">
        <f>IF(AV$7="Actual",0,AV$15*AV116+AV126*AV$16+AV136*AV$17+AV146*AV$18+AV156*AV$19+AV166*AV$20+AV176*AV$21+AV186*AV$22+AV196*AV$23+AV206*AV$24)</f>
        <v/>
      </c>
      <c r="AW218" s="245">
        <f>IF(AW$7="Actual",0,AW$15*AW116+AW126*AW$16+AW136*AW$17+AW146*AW$18+AW156*AW$19+AW166*AW$20+AW176*AW$21+AW186*AW$22+AW196*AW$23+AW206*AW$24)</f>
        <v/>
      </c>
      <c r="AX218" s="245">
        <f>IF(AX$7="Actual",0,AX$15*AX116+AX126*AX$16+AX136*AX$17+AX146*AX$18+AX156*AX$19+AX166*AX$20+AX176*AX$21+AX186*AX$22+AX196*AX$23+AX206*AX$24)</f>
        <v/>
      </c>
      <c r="AY218" s="245">
        <f>IF(AY$7="Actual",0,AY$15*AY116+AY126*AY$16+AY136*AY$17+AY146*AY$18+AY156*AY$19+AY166*AY$20+AY176*AY$21+AY186*AY$22+AY196*AY$23+AY206*AY$24)</f>
        <v/>
      </c>
      <c r="AZ218" s="245">
        <f>IF(AZ$7="Actual",0,AZ$15*AZ116+AZ126*AZ$16+AZ136*AZ$17+AZ146*AZ$18+AZ156*AZ$19+AZ166*AZ$20+AZ176*AZ$21+AZ186*AZ$22+AZ196*AZ$23+AZ206*AZ$24)</f>
        <v/>
      </c>
      <c r="BA218" s="245">
        <f>IF(BA$7="Actual",0,BA$15*BA116+BA126*BA$16+BA136*BA$17+BA146*BA$18+BA156*BA$19+BA166*BA$20+BA176*BA$21+BA186*BA$22+BA196*BA$23+BA206*BA$24)</f>
        <v/>
      </c>
      <c r="BB218" s="245">
        <f>IF(BB$7="Actual",0,BB$15*BB116+BB126*BB$16+BB136*BB$17+BB146*BB$18+BB156*BB$19+BB166*BB$20+BB176*BB$21+BB186*BB$22+BB196*BB$23+BB206*BB$24)</f>
        <v/>
      </c>
      <c r="BC218" s="245">
        <f>IF(BC$7="Actual",0,BC$15*BC116+BC126*BC$16+BC136*BC$17+BC146*BC$18+BC156*BC$19+BC166*BC$20+BC176*BC$21+BC186*BC$22+BC196*BC$23+BC206*BC$24)</f>
        <v/>
      </c>
      <c r="BD218" s="245">
        <f>IF(BD$7="Actual",0,BD$15*BD116+BD126*BD$16+BD136*BD$17+BD146*BD$18+BD156*BD$19+BD166*BD$20+BD176*BD$21+BD186*BD$22+BD196*BD$23+BD206*BD$24)</f>
        <v/>
      </c>
      <c r="BE218" s="245">
        <f>IF(BE$7="Actual",0,BE$15*BE116+BE126*BE$16+BE136*BE$17+BE146*BE$18+BE156*BE$19+BE166*BE$20+BE176*BE$21+BE186*BE$22+BE196*BE$23+BE206*BE$24)</f>
        <v/>
      </c>
      <c r="BF218" s="245">
        <f>IF(BF$7="Actual",0,BF$15*BF116+BF126*BF$16+BF136*BF$17+BF146*BF$18+BF156*BF$19+BF166*BF$20+BF176*BF$21+BF186*BF$22+BF196*BF$23+BF206*BF$24)</f>
        <v/>
      </c>
      <c r="BG218" s="245">
        <f>IF(BG$7="Actual",0,BG$15*BG116+BG126*BG$16+BG136*BG$17+BG146*BG$18+BG156*BG$19+BG166*BG$20+BG176*BG$21+BG186*BG$22+BG196*BG$23+BG206*BG$24)</f>
        <v/>
      </c>
      <c r="BH218" s="245">
        <f>IF(BH$7="Actual",0,BH$15*BH116+BH126*BH$16+BH136*BH$17+BH146*BH$18+BH156*BH$19+BH166*BH$20+BH176*BH$21+BH186*BH$22+BH196*BH$23+BH206*BH$24)</f>
        <v/>
      </c>
      <c r="BI218" s="245">
        <f>IF(BI$7="Actual",0,BI$15*BI116+BI126*BI$16+BI136*BI$17+BI146*BI$18+BI156*BI$19+BI166*BI$20+BI176*BI$21+BI186*BI$22+BI196*BI$23+BI206*BI$24)</f>
        <v/>
      </c>
      <c r="BJ218" s="245">
        <f>IF(BJ$7="Actual",0,BJ$15*BJ116+BJ126*BJ$16+BJ136*BJ$17+BJ146*BJ$18+BJ156*BJ$19+BJ166*BJ$20+BJ176*BJ$21+BJ186*BJ$22+BJ196*BJ$23+BJ206*BJ$24)</f>
        <v/>
      </c>
      <c r="BK218" s="245">
        <f>IF(BK$7="Actual",0,BK$15*BK116+BK126*BK$16+BK136*BK$17+BK146*BK$18+BK156*BK$19+BK166*BK$20+BK176*BK$21+BK186*BK$22+BK196*BK$23+BK206*BK$24)</f>
        <v/>
      </c>
      <c r="BL218" s="245">
        <f>IF(BL$7="Actual",0,BL$15*BL116+BL126*BL$16+BL136*BL$17+BL146*BL$18+BL156*BL$19+BL166*BL$20+BL176*BL$21+BL186*BL$22+BL196*BL$23+BL206*BL$24)</f>
        <v/>
      </c>
      <c r="BM218" s="245">
        <f>IF(BM$7="Actual",0,BM$15*BM116+BM126*BM$16+BM136*BM$17+BM146*BM$18+BM156*BM$19+BM166*BM$20+BM176*BM$21+BM186*BM$22+BM196*BM$23+BM206*BM$24)</f>
        <v/>
      </c>
      <c r="BN218" s="245">
        <f>IF(BN$7="Actual",0,BN$15*BN116+BN126*BN$16+BN136*BN$17+BN146*BN$18+BN156*BN$19+BN166*BN$20+BN176*BN$21+BN186*BN$22+BN196*BN$23+BN206*BN$24)</f>
        <v/>
      </c>
      <c r="BO218" s="245">
        <f>IF(BO$7="Actual",0,BO$15*BO116+BO126*BO$16+BO136*BO$17+BO146*BO$18+BO156*BO$19+BO166*BO$20+BO176*BO$21+BO186*BO$22+BO196*BO$23+BO206*BO$24)</f>
        <v/>
      </c>
      <c r="BP218" s="245">
        <f>IF(BP$7="Actual",0,BP$15*BP116+BP126*BP$16+BP136*BP$17+BP146*BP$18+BP156*BP$19+BP166*BP$20+BP176*BP$21+BP186*BP$22+BP196*BP$23+BP206*BP$24)</f>
        <v/>
      </c>
      <c r="BQ218" s="245">
        <f>IF(BQ$7="Actual",0,BQ$15*BQ116+BQ126*BQ$16+BQ136*BQ$17+BQ146*BQ$18+BQ156*BQ$19+BQ166*BQ$20+BQ176*BQ$21+BQ186*BQ$22+BQ196*BQ$23+BQ206*BQ$24)</f>
        <v/>
      </c>
      <c r="BR218" s="245">
        <f>IF(BR$7="Actual",0,BR$15*BR116+BR126*BR$16+BR136*BR$17+BR146*BR$18+BR156*BR$19+BR166*BR$20+BR176*BR$21+BR186*BR$22+BR196*BR$23+BR206*BR$24)</f>
        <v/>
      </c>
      <c r="BS218" s="245">
        <f>IF(BS$7="Actual",0,BS$15*BS116+BS126*BS$16+BS136*BS$17+BS146*BS$18+BS156*BS$19+BS166*BS$20+BS176*BS$21+BS186*BS$22+BS196*BS$23+BS206*BS$24)</f>
        <v/>
      </c>
      <c r="BT218" s="245">
        <f>IF(BT$7="Actual",0,BT$15*BT116+BT126*BT$16+BT136*BT$17+BT146*BT$18+BT156*BT$19+BT166*BT$20+BT176*BT$21+BT186*BT$22+BT196*BT$23+BT206*BT$24)</f>
        <v/>
      </c>
      <c r="BU218" s="245">
        <f>IF(BU$7="Actual",0,BU$15*BU116+BU126*BU$16+BU136*BU$17+BU146*BU$18+BU156*BU$19+BU166*BU$20+BU176*BU$21+BU186*BU$22+BU196*BU$23+BU206*BU$24)</f>
        <v/>
      </c>
      <c r="BV218" s="245">
        <f>IF(BV$7="Actual",0,BV$15*BV116+BV126*BV$16+BV136*BV$17+BV146*BV$18+BV156*BV$19+BV166*BV$20+BV176*BV$21+BV186*BV$22+BV196*BV$23+BV206*BV$24)</f>
        <v/>
      </c>
      <c r="BW218" s="245">
        <f>IF(BW$7="Actual",0,BW$15*BW116+BW126*BW$16+BW136*BW$17+BW146*BW$18+BW156*BW$19+BW166*BW$20+BW176*BW$21+BW186*BW$22+BW196*BW$23+BW206*BW$24)</f>
        <v/>
      </c>
      <c r="BX218" s="245">
        <f>IF(BX$7="Actual",0,BX$15*BX116+BX126*BX$16+BX136*BX$17+BX146*BX$18+BX156*BX$19+BX166*BX$20+BX176*BX$21+BX186*BX$22+BX196*BX$23+BX206*BX$24)</f>
        <v/>
      </c>
      <c r="BY218" s="245">
        <f>IF(BY$7="Actual",0,BY$15*BY116+BY126*BY$16+BY136*BY$17+BY146*BY$18+BY156*BY$19+BY166*BY$20+BY176*BY$21+BY186*BY$22+BY196*BY$23+BY206*BY$24)</f>
        <v/>
      </c>
      <c r="BZ218" s="245">
        <f>IF(BZ$7="Actual",0,BZ$15*BZ116+BZ126*BZ$16+BZ136*BZ$17+BZ146*BZ$18+BZ156*BZ$19+BZ166*BZ$20+BZ176*BZ$21+BZ186*BZ$22+BZ196*BZ$23+BZ206*BZ$24)</f>
        <v/>
      </c>
      <c r="CA218" s="245">
        <f>IF(CA$7="Actual",0,CA$15*CA116+CA126*CA$16+CA136*CA$17+CA146*CA$18+CA156*CA$19+CA166*CA$20+CA176*CA$21+CA186*CA$22+CA196*CA$23+CA206*CA$24)</f>
        <v/>
      </c>
      <c r="CB218" s="245" t="n"/>
    </row>
    <row r="219" ht="12" customHeight="1" s="227">
      <c r="A219" s="244" t="n"/>
      <c r="B219" s="244" t="n"/>
      <c r="C219" s="244" t="n"/>
      <c r="H219" s="4">
        <f>H117</f>
        <v/>
      </c>
      <c r="I219" s="27">
        <f>i_Setup!$M$16</f>
        <v/>
      </c>
      <c r="K219" s="6" t="n"/>
      <c r="M219" s="245">
        <f>SUMIF($T$4:$CA$4,M$4,$T219:$CA219)</f>
        <v/>
      </c>
      <c r="N219" s="245">
        <f>SUMIF($T$4:$CA$4,N$4,$T219:$CA219)</f>
        <v/>
      </c>
      <c r="O219" s="245">
        <f>SUMIF($T$4:$CA$4,O$4,$T219:$CA219)</f>
        <v/>
      </c>
      <c r="P219" s="245">
        <f>SUMIF($T$4:$CA$4,P$4,$T219:$CA219)</f>
        <v/>
      </c>
      <c r="Q219" s="245">
        <f>SUMIF($T$4:$CA$4,Q$4,$T219:$CA219)</f>
        <v/>
      </c>
      <c r="T219" s="245">
        <f>IF(T$7="Actual",0,T$15*T117+T127*T$16+T137*T$17+T147*T$18+T157*T$19+T167*T$20+T177*T$21+T187*T$22+T197*T$23+T207*T$24)</f>
        <v/>
      </c>
      <c r="U219" s="245">
        <f>IF(U$7="Actual",0,U$15*U117+U127*U$16+U137*U$17+U147*U$18+U157*U$19+U167*U$20+U177*U$21+U187*U$22+U197*U$23+U207*U$24)</f>
        <v/>
      </c>
      <c r="V219" s="245">
        <f>IF(V$7="Actual",0,V$15*V117+V127*V$16+V137*V$17+V147*V$18+V157*V$19+V167*V$20+V177*V$21+V187*V$22+V197*V$23+V207*V$24)</f>
        <v/>
      </c>
      <c r="W219" s="245">
        <f>IF(W$7="Actual",0,W$15*W117+W127*W$16+W137*W$17+W147*W$18+W157*W$19+W167*W$20+W177*W$21+W187*W$22+W197*W$23+W207*W$24)</f>
        <v/>
      </c>
      <c r="X219" s="245">
        <f>IF(X$7="Actual",0,X$15*X117+X127*X$16+X137*X$17+X147*X$18+X157*X$19+X167*X$20+X177*X$21+X187*X$22+X197*X$23+X207*X$24)</f>
        <v/>
      </c>
      <c r="Y219" s="245">
        <f>IF(Y$7="Actual",0,Y$15*Y117+Y127*Y$16+Y137*Y$17+Y147*Y$18+Y157*Y$19+Y167*Y$20+Y177*Y$21+Y187*Y$22+Y197*Y$23+Y207*Y$24)</f>
        <v/>
      </c>
      <c r="Z219" s="245">
        <f>IF(Z$7="Actual",0,Z$15*Z117+Z127*Z$16+Z137*Z$17+Z147*Z$18+Z157*Z$19+Z167*Z$20+Z177*Z$21+Z187*Z$22+Z197*Z$23+Z207*Z$24)</f>
        <v/>
      </c>
      <c r="AA219" s="245">
        <f>IF(AA$7="Actual",0,AA$15*AA117+AA127*AA$16+AA137*AA$17+AA147*AA$18+AA157*AA$19+AA167*AA$20+AA177*AA$21+AA187*AA$22+AA197*AA$23+AA207*AA$24)</f>
        <v/>
      </c>
      <c r="AB219" s="245">
        <f>IF(AB$7="Actual",0,AB$15*AB117+AB127*AB$16+AB137*AB$17+AB147*AB$18+AB157*AB$19+AB167*AB$20+AB177*AB$21+AB187*AB$22+AB197*AB$23+AB207*AB$24)</f>
        <v/>
      </c>
      <c r="AC219" s="245">
        <f>IF(AC$7="Actual",0,AC$15*AC117+AC127*AC$16+AC137*AC$17+AC147*AC$18+AC157*AC$19+AC167*AC$20+AC177*AC$21+AC187*AC$22+AC197*AC$23+AC207*AC$24)</f>
        <v/>
      </c>
      <c r="AD219" s="245">
        <f>IF(AD$7="Actual",0,AD$15*AD117+AD127*AD$16+AD137*AD$17+AD147*AD$18+AD157*AD$19+AD167*AD$20+AD177*AD$21+AD187*AD$22+AD197*AD$23+AD207*AD$24)</f>
        <v/>
      </c>
      <c r="AE219" s="245">
        <f>IF(AE$7="Actual",0,AE$15*AE117+AE127*AE$16+AE137*AE$17+AE147*AE$18+AE157*AE$19+AE167*AE$20+AE177*AE$21+AE187*AE$22+AE197*AE$23+AE207*AE$24)</f>
        <v/>
      </c>
      <c r="AF219" s="245">
        <f>IF(AF$7="Actual",0,AF$15*AF117+AF127*AF$16+AF137*AF$17+AF147*AF$18+AF157*AF$19+AF167*AF$20+AF177*AF$21+AF187*AF$22+AF197*AF$23+AF207*AF$24)</f>
        <v/>
      </c>
      <c r="AG219" s="245">
        <f>IF(AG$7="Actual",0,AG$15*AG117+AG127*AG$16+AG137*AG$17+AG147*AG$18+AG157*AG$19+AG167*AG$20+AG177*AG$21+AG187*AG$22+AG197*AG$23+AG207*AG$24)</f>
        <v/>
      </c>
      <c r="AH219" s="245">
        <f>IF(AH$7="Actual",0,AH$15*AH117+AH127*AH$16+AH137*AH$17+AH147*AH$18+AH157*AH$19+AH167*AH$20+AH177*AH$21+AH187*AH$22+AH197*AH$23+AH207*AH$24)</f>
        <v/>
      </c>
      <c r="AI219" s="245">
        <f>IF(AI$7="Actual",0,AI$15*AI117+AI127*AI$16+AI137*AI$17+AI147*AI$18+AI157*AI$19+AI167*AI$20+AI177*AI$21+AI187*AI$22+AI197*AI$23+AI207*AI$24)</f>
        <v/>
      </c>
      <c r="AJ219" s="245">
        <f>IF(AJ$7="Actual",0,AJ$15*AJ117+AJ127*AJ$16+AJ137*AJ$17+AJ147*AJ$18+AJ157*AJ$19+AJ167*AJ$20+AJ177*AJ$21+AJ187*AJ$22+AJ197*AJ$23+AJ207*AJ$24)</f>
        <v/>
      </c>
      <c r="AK219" s="245">
        <f>IF(AK$7="Actual",0,AK$15*AK117+AK127*AK$16+AK137*AK$17+AK147*AK$18+AK157*AK$19+AK167*AK$20+AK177*AK$21+AK187*AK$22+AK197*AK$23+AK207*AK$24)</f>
        <v/>
      </c>
      <c r="AL219" s="245">
        <f>IF(AL$7="Actual",0,AL$15*AL117+AL127*AL$16+AL137*AL$17+AL147*AL$18+AL157*AL$19+AL167*AL$20+AL177*AL$21+AL187*AL$22+AL197*AL$23+AL207*AL$24)</f>
        <v/>
      </c>
      <c r="AM219" s="245">
        <f>IF(AM$7="Actual",0,AM$15*AM117+AM127*AM$16+AM137*AM$17+AM147*AM$18+AM157*AM$19+AM167*AM$20+AM177*AM$21+AM187*AM$22+AM197*AM$23+AM207*AM$24)</f>
        <v/>
      </c>
      <c r="AN219" s="245">
        <f>IF(AN$7="Actual",0,AN$15*AN117+AN127*AN$16+AN137*AN$17+AN147*AN$18+AN157*AN$19+AN167*AN$20+AN177*AN$21+AN187*AN$22+AN197*AN$23+AN207*AN$24)</f>
        <v/>
      </c>
      <c r="AO219" s="245">
        <f>IF(AO$7="Actual",0,AO$15*AO117+AO127*AO$16+AO137*AO$17+AO147*AO$18+AO157*AO$19+AO167*AO$20+AO177*AO$21+AO187*AO$22+AO197*AO$23+AO207*AO$24)</f>
        <v/>
      </c>
      <c r="AP219" s="245">
        <f>IF(AP$7="Actual",0,AP$15*AP117+AP127*AP$16+AP137*AP$17+AP147*AP$18+AP157*AP$19+AP167*AP$20+AP177*AP$21+AP187*AP$22+AP197*AP$23+AP207*AP$24)</f>
        <v/>
      </c>
      <c r="AQ219" s="245">
        <f>IF(AQ$7="Actual",0,AQ$15*AQ117+AQ127*AQ$16+AQ137*AQ$17+AQ147*AQ$18+AQ157*AQ$19+AQ167*AQ$20+AQ177*AQ$21+AQ187*AQ$22+AQ197*AQ$23+AQ207*AQ$24)</f>
        <v/>
      </c>
      <c r="AR219" s="245">
        <f>IF(AR$7="Actual",0,AR$15*AR117+AR127*AR$16+AR137*AR$17+AR147*AR$18+AR157*AR$19+AR167*AR$20+AR177*AR$21+AR187*AR$22+AR197*AR$23+AR207*AR$24)</f>
        <v/>
      </c>
      <c r="AS219" s="245">
        <f>IF(AS$7="Actual",0,AS$15*AS117+AS127*AS$16+AS137*AS$17+AS147*AS$18+AS157*AS$19+AS167*AS$20+AS177*AS$21+AS187*AS$22+AS197*AS$23+AS207*AS$24)</f>
        <v/>
      </c>
      <c r="AT219" s="245">
        <f>IF(AT$7="Actual",0,AT$15*AT117+AT127*AT$16+AT137*AT$17+AT147*AT$18+AT157*AT$19+AT167*AT$20+AT177*AT$21+AT187*AT$22+AT197*AT$23+AT207*AT$24)</f>
        <v/>
      </c>
      <c r="AU219" s="245">
        <f>IF(AU$7="Actual",0,AU$15*AU117+AU127*AU$16+AU137*AU$17+AU147*AU$18+AU157*AU$19+AU167*AU$20+AU177*AU$21+AU187*AU$22+AU197*AU$23+AU207*AU$24)</f>
        <v/>
      </c>
      <c r="AV219" s="245">
        <f>IF(AV$7="Actual",0,AV$15*AV117+AV127*AV$16+AV137*AV$17+AV147*AV$18+AV157*AV$19+AV167*AV$20+AV177*AV$21+AV187*AV$22+AV197*AV$23+AV207*AV$24)</f>
        <v/>
      </c>
      <c r="AW219" s="245">
        <f>IF(AW$7="Actual",0,AW$15*AW117+AW127*AW$16+AW137*AW$17+AW147*AW$18+AW157*AW$19+AW167*AW$20+AW177*AW$21+AW187*AW$22+AW197*AW$23+AW207*AW$24)</f>
        <v/>
      </c>
      <c r="AX219" s="245">
        <f>IF(AX$7="Actual",0,AX$15*AX117+AX127*AX$16+AX137*AX$17+AX147*AX$18+AX157*AX$19+AX167*AX$20+AX177*AX$21+AX187*AX$22+AX197*AX$23+AX207*AX$24)</f>
        <v/>
      </c>
      <c r="AY219" s="245">
        <f>IF(AY$7="Actual",0,AY$15*AY117+AY127*AY$16+AY137*AY$17+AY147*AY$18+AY157*AY$19+AY167*AY$20+AY177*AY$21+AY187*AY$22+AY197*AY$23+AY207*AY$24)</f>
        <v/>
      </c>
      <c r="AZ219" s="245">
        <f>IF(AZ$7="Actual",0,AZ$15*AZ117+AZ127*AZ$16+AZ137*AZ$17+AZ147*AZ$18+AZ157*AZ$19+AZ167*AZ$20+AZ177*AZ$21+AZ187*AZ$22+AZ197*AZ$23+AZ207*AZ$24)</f>
        <v/>
      </c>
      <c r="BA219" s="245">
        <f>IF(BA$7="Actual",0,BA$15*BA117+BA127*BA$16+BA137*BA$17+BA147*BA$18+BA157*BA$19+BA167*BA$20+BA177*BA$21+BA187*BA$22+BA197*BA$23+BA207*BA$24)</f>
        <v/>
      </c>
      <c r="BB219" s="245">
        <f>IF(BB$7="Actual",0,BB$15*BB117+BB127*BB$16+BB137*BB$17+BB147*BB$18+BB157*BB$19+BB167*BB$20+BB177*BB$21+BB187*BB$22+BB197*BB$23+BB207*BB$24)</f>
        <v/>
      </c>
      <c r="BC219" s="245">
        <f>IF(BC$7="Actual",0,BC$15*BC117+BC127*BC$16+BC137*BC$17+BC147*BC$18+BC157*BC$19+BC167*BC$20+BC177*BC$21+BC187*BC$22+BC197*BC$23+BC207*BC$24)</f>
        <v/>
      </c>
      <c r="BD219" s="245">
        <f>IF(BD$7="Actual",0,BD$15*BD117+BD127*BD$16+BD137*BD$17+BD147*BD$18+BD157*BD$19+BD167*BD$20+BD177*BD$21+BD187*BD$22+BD197*BD$23+BD207*BD$24)</f>
        <v/>
      </c>
      <c r="BE219" s="245">
        <f>IF(BE$7="Actual",0,BE$15*BE117+BE127*BE$16+BE137*BE$17+BE147*BE$18+BE157*BE$19+BE167*BE$20+BE177*BE$21+BE187*BE$22+BE197*BE$23+BE207*BE$24)</f>
        <v/>
      </c>
      <c r="BF219" s="245">
        <f>IF(BF$7="Actual",0,BF$15*BF117+BF127*BF$16+BF137*BF$17+BF147*BF$18+BF157*BF$19+BF167*BF$20+BF177*BF$21+BF187*BF$22+BF197*BF$23+BF207*BF$24)</f>
        <v/>
      </c>
      <c r="BG219" s="245">
        <f>IF(BG$7="Actual",0,BG$15*BG117+BG127*BG$16+BG137*BG$17+BG147*BG$18+BG157*BG$19+BG167*BG$20+BG177*BG$21+BG187*BG$22+BG197*BG$23+BG207*BG$24)</f>
        <v/>
      </c>
      <c r="BH219" s="245">
        <f>IF(BH$7="Actual",0,BH$15*BH117+BH127*BH$16+BH137*BH$17+BH147*BH$18+BH157*BH$19+BH167*BH$20+BH177*BH$21+BH187*BH$22+BH197*BH$23+BH207*BH$24)</f>
        <v/>
      </c>
      <c r="BI219" s="245">
        <f>IF(BI$7="Actual",0,BI$15*BI117+BI127*BI$16+BI137*BI$17+BI147*BI$18+BI157*BI$19+BI167*BI$20+BI177*BI$21+BI187*BI$22+BI197*BI$23+BI207*BI$24)</f>
        <v/>
      </c>
      <c r="BJ219" s="245">
        <f>IF(BJ$7="Actual",0,BJ$15*BJ117+BJ127*BJ$16+BJ137*BJ$17+BJ147*BJ$18+BJ157*BJ$19+BJ167*BJ$20+BJ177*BJ$21+BJ187*BJ$22+BJ197*BJ$23+BJ207*BJ$24)</f>
        <v/>
      </c>
      <c r="BK219" s="245">
        <f>IF(BK$7="Actual",0,BK$15*BK117+BK127*BK$16+BK137*BK$17+BK147*BK$18+BK157*BK$19+BK167*BK$20+BK177*BK$21+BK187*BK$22+BK197*BK$23+BK207*BK$24)</f>
        <v/>
      </c>
      <c r="BL219" s="245">
        <f>IF(BL$7="Actual",0,BL$15*BL117+BL127*BL$16+BL137*BL$17+BL147*BL$18+BL157*BL$19+BL167*BL$20+BL177*BL$21+BL187*BL$22+BL197*BL$23+BL207*BL$24)</f>
        <v/>
      </c>
      <c r="BM219" s="245">
        <f>IF(BM$7="Actual",0,BM$15*BM117+BM127*BM$16+BM137*BM$17+BM147*BM$18+BM157*BM$19+BM167*BM$20+BM177*BM$21+BM187*BM$22+BM197*BM$23+BM207*BM$24)</f>
        <v/>
      </c>
      <c r="BN219" s="245">
        <f>IF(BN$7="Actual",0,BN$15*BN117+BN127*BN$16+BN137*BN$17+BN147*BN$18+BN157*BN$19+BN167*BN$20+BN177*BN$21+BN187*BN$22+BN197*BN$23+BN207*BN$24)</f>
        <v/>
      </c>
      <c r="BO219" s="245">
        <f>IF(BO$7="Actual",0,BO$15*BO117+BO127*BO$16+BO137*BO$17+BO147*BO$18+BO157*BO$19+BO167*BO$20+BO177*BO$21+BO187*BO$22+BO197*BO$23+BO207*BO$24)</f>
        <v/>
      </c>
      <c r="BP219" s="245">
        <f>IF(BP$7="Actual",0,BP$15*BP117+BP127*BP$16+BP137*BP$17+BP147*BP$18+BP157*BP$19+BP167*BP$20+BP177*BP$21+BP187*BP$22+BP197*BP$23+BP207*BP$24)</f>
        <v/>
      </c>
      <c r="BQ219" s="245">
        <f>IF(BQ$7="Actual",0,BQ$15*BQ117+BQ127*BQ$16+BQ137*BQ$17+BQ147*BQ$18+BQ157*BQ$19+BQ167*BQ$20+BQ177*BQ$21+BQ187*BQ$22+BQ197*BQ$23+BQ207*BQ$24)</f>
        <v/>
      </c>
      <c r="BR219" s="245">
        <f>IF(BR$7="Actual",0,BR$15*BR117+BR127*BR$16+BR137*BR$17+BR147*BR$18+BR157*BR$19+BR167*BR$20+BR177*BR$21+BR187*BR$22+BR197*BR$23+BR207*BR$24)</f>
        <v/>
      </c>
      <c r="BS219" s="245">
        <f>IF(BS$7="Actual",0,BS$15*BS117+BS127*BS$16+BS137*BS$17+BS147*BS$18+BS157*BS$19+BS167*BS$20+BS177*BS$21+BS187*BS$22+BS197*BS$23+BS207*BS$24)</f>
        <v/>
      </c>
      <c r="BT219" s="245">
        <f>IF(BT$7="Actual",0,BT$15*BT117+BT127*BT$16+BT137*BT$17+BT147*BT$18+BT157*BT$19+BT167*BT$20+BT177*BT$21+BT187*BT$22+BT197*BT$23+BT207*BT$24)</f>
        <v/>
      </c>
      <c r="BU219" s="245">
        <f>IF(BU$7="Actual",0,BU$15*BU117+BU127*BU$16+BU137*BU$17+BU147*BU$18+BU157*BU$19+BU167*BU$20+BU177*BU$21+BU187*BU$22+BU197*BU$23+BU207*BU$24)</f>
        <v/>
      </c>
      <c r="BV219" s="245">
        <f>IF(BV$7="Actual",0,BV$15*BV117+BV127*BV$16+BV137*BV$17+BV147*BV$18+BV157*BV$19+BV167*BV$20+BV177*BV$21+BV187*BV$22+BV197*BV$23+BV207*BV$24)</f>
        <v/>
      </c>
      <c r="BW219" s="245">
        <f>IF(BW$7="Actual",0,BW$15*BW117+BW127*BW$16+BW137*BW$17+BW147*BW$18+BW157*BW$19+BW167*BW$20+BW177*BW$21+BW187*BW$22+BW197*BW$23+BW207*BW$24)</f>
        <v/>
      </c>
      <c r="BX219" s="245">
        <f>IF(BX$7="Actual",0,BX$15*BX117+BX127*BX$16+BX137*BX$17+BX147*BX$18+BX157*BX$19+BX167*BX$20+BX177*BX$21+BX187*BX$22+BX197*BX$23+BX207*BX$24)</f>
        <v/>
      </c>
      <c r="BY219" s="245">
        <f>IF(BY$7="Actual",0,BY$15*BY117+BY127*BY$16+BY137*BY$17+BY147*BY$18+BY157*BY$19+BY167*BY$20+BY177*BY$21+BY187*BY$22+BY197*BY$23+BY207*BY$24)</f>
        <v/>
      </c>
      <c r="BZ219" s="245">
        <f>IF(BZ$7="Actual",0,BZ$15*BZ117+BZ127*BZ$16+BZ137*BZ$17+BZ147*BZ$18+BZ157*BZ$19+BZ167*BZ$20+BZ177*BZ$21+BZ187*BZ$22+BZ197*BZ$23+BZ207*BZ$24)</f>
        <v/>
      </c>
      <c r="CA219" s="245">
        <f>IF(CA$7="Actual",0,CA$15*CA117+CA127*CA$16+CA137*CA$17+CA147*CA$18+CA157*CA$19+CA167*CA$20+CA177*CA$21+CA187*CA$22+CA197*CA$23+CA207*CA$24)</f>
        <v/>
      </c>
      <c r="CB219" s="245" t="n"/>
    </row>
    <row r="220" ht="12" customHeight="1" s="227">
      <c r="A220" s="244" t="n"/>
      <c r="B220" s="244" t="n"/>
      <c r="C220" s="244" t="n"/>
      <c r="H220" s="4">
        <f>H118</f>
        <v/>
      </c>
      <c r="I220" s="27">
        <f>i_Setup!$M$16</f>
        <v/>
      </c>
      <c r="K220" s="6" t="n"/>
      <c r="M220" s="245">
        <f>SUMIF($T$4:$CA$4,M$4,$T220:$CA220)</f>
        <v/>
      </c>
      <c r="N220" s="245">
        <f>SUMIF($T$4:$CA$4,N$4,$T220:$CA220)</f>
        <v/>
      </c>
      <c r="O220" s="245">
        <f>SUMIF($T$4:$CA$4,O$4,$T220:$CA220)</f>
        <v/>
      </c>
      <c r="P220" s="245">
        <f>SUMIF($T$4:$CA$4,P$4,$T220:$CA220)</f>
        <v/>
      </c>
      <c r="Q220" s="245">
        <f>SUMIF($T$4:$CA$4,Q$4,$T220:$CA220)</f>
        <v/>
      </c>
      <c r="T220" s="245">
        <f>IF(T$7="Actual",0,T$15*T118+T128*T$16+T138*T$17+T148*T$18+T158*T$19+T168*T$20+T178*T$21+T188*T$22+T198*T$23+T208*T$24)</f>
        <v/>
      </c>
      <c r="U220" s="245">
        <f>IF(U$7="Actual",0,U$15*U118+U128*U$16+U138*U$17+U148*U$18+U158*U$19+U168*U$20+U178*U$21+U188*U$22+U198*U$23+U208*U$24)</f>
        <v/>
      </c>
      <c r="V220" s="245">
        <f>IF(V$7="Actual",0,V$15*V118+V128*V$16+V138*V$17+V148*V$18+V158*V$19+V168*V$20+V178*V$21+V188*V$22+V198*V$23+V208*V$24)</f>
        <v/>
      </c>
      <c r="W220" s="245">
        <f>IF(W$7="Actual",0,W$15*W118+W128*W$16+W138*W$17+W148*W$18+W158*W$19+W168*W$20+W178*W$21+W188*W$22+W198*W$23+W208*W$24)</f>
        <v/>
      </c>
      <c r="X220" s="245">
        <f>IF(X$7="Actual",0,X$15*X118+X128*X$16+X138*X$17+X148*X$18+X158*X$19+X168*X$20+X178*X$21+X188*X$22+X198*X$23+X208*X$24)</f>
        <v/>
      </c>
      <c r="Y220" s="245">
        <f>IF(Y$7="Actual",0,Y$15*Y118+Y128*Y$16+Y138*Y$17+Y148*Y$18+Y158*Y$19+Y168*Y$20+Y178*Y$21+Y188*Y$22+Y198*Y$23+Y208*Y$24)</f>
        <v/>
      </c>
      <c r="Z220" s="245">
        <f>IF(Z$7="Actual",0,Z$15*Z118+Z128*Z$16+Z138*Z$17+Z148*Z$18+Z158*Z$19+Z168*Z$20+Z178*Z$21+Z188*Z$22+Z198*Z$23+Z208*Z$24)</f>
        <v/>
      </c>
      <c r="AA220" s="245">
        <f>IF(AA$7="Actual",0,AA$15*AA118+AA128*AA$16+AA138*AA$17+AA148*AA$18+AA158*AA$19+AA168*AA$20+AA178*AA$21+AA188*AA$22+AA198*AA$23+AA208*AA$24)</f>
        <v/>
      </c>
      <c r="AB220" s="245">
        <f>IF(AB$7="Actual",0,AB$15*AB118+AB128*AB$16+AB138*AB$17+AB148*AB$18+AB158*AB$19+AB168*AB$20+AB178*AB$21+AB188*AB$22+AB198*AB$23+AB208*AB$24)</f>
        <v/>
      </c>
      <c r="AC220" s="245">
        <f>IF(AC$7="Actual",0,AC$15*AC118+AC128*AC$16+AC138*AC$17+AC148*AC$18+AC158*AC$19+AC168*AC$20+AC178*AC$21+AC188*AC$22+AC198*AC$23+AC208*AC$24)</f>
        <v/>
      </c>
      <c r="AD220" s="245">
        <f>IF(AD$7="Actual",0,AD$15*AD118+AD128*AD$16+AD138*AD$17+AD148*AD$18+AD158*AD$19+AD168*AD$20+AD178*AD$21+AD188*AD$22+AD198*AD$23+AD208*AD$24)</f>
        <v/>
      </c>
      <c r="AE220" s="245">
        <f>IF(AE$7="Actual",0,AE$15*AE118+AE128*AE$16+AE138*AE$17+AE148*AE$18+AE158*AE$19+AE168*AE$20+AE178*AE$21+AE188*AE$22+AE198*AE$23+AE208*AE$24)</f>
        <v/>
      </c>
      <c r="AF220" s="245">
        <f>IF(AF$7="Actual",0,AF$15*AF118+AF128*AF$16+AF138*AF$17+AF148*AF$18+AF158*AF$19+AF168*AF$20+AF178*AF$21+AF188*AF$22+AF198*AF$23+AF208*AF$24)</f>
        <v/>
      </c>
      <c r="AG220" s="245">
        <f>IF(AG$7="Actual",0,AG$15*AG118+AG128*AG$16+AG138*AG$17+AG148*AG$18+AG158*AG$19+AG168*AG$20+AG178*AG$21+AG188*AG$22+AG198*AG$23+AG208*AG$24)</f>
        <v/>
      </c>
      <c r="AH220" s="245">
        <f>IF(AH$7="Actual",0,AH$15*AH118+AH128*AH$16+AH138*AH$17+AH148*AH$18+AH158*AH$19+AH168*AH$20+AH178*AH$21+AH188*AH$22+AH198*AH$23+AH208*AH$24)</f>
        <v/>
      </c>
      <c r="AI220" s="245">
        <f>IF(AI$7="Actual",0,AI$15*AI118+AI128*AI$16+AI138*AI$17+AI148*AI$18+AI158*AI$19+AI168*AI$20+AI178*AI$21+AI188*AI$22+AI198*AI$23+AI208*AI$24)</f>
        <v/>
      </c>
      <c r="AJ220" s="245">
        <f>IF(AJ$7="Actual",0,AJ$15*AJ118+AJ128*AJ$16+AJ138*AJ$17+AJ148*AJ$18+AJ158*AJ$19+AJ168*AJ$20+AJ178*AJ$21+AJ188*AJ$22+AJ198*AJ$23+AJ208*AJ$24)</f>
        <v/>
      </c>
      <c r="AK220" s="245">
        <f>IF(AK$7="Actual",0,AK$15*AK118+AK128*AK$16+AK138*AK$17+AK148*AK$18+AK158*AK$19+AK168*AK$20+AK178*AK$21+AK188*AK$22+AK198*AK$23+AK208*AK$24)</f>
        <v/>
      </c>
      <c r="AL220" s="245">
        <f>IF(AL$7="Actual",0,AL$15*AL118+AL128*AL$16+AL138*AL$17+AL148*AL$18+AL158*AL$19+AL168*AL$20+AL178*AL$21+AL188*AL$22+AL198*AL$23+AL208*AL$24)</f>
        <v/>
      </c>
      <c r="AM220" s="245">
        <f>IF(AM$7="Actual",0,AM$15*AM118+AM128*AM$16+AM138*AM$17+AM148*AM$18+AM158*AM$19+AM168*AM$20+AM178*AM$21+AM188*AM$22+AM198*AM$23+AM208*AM$24)</f>
        <v/>
      </c>
      <c r="AN220" s="245">
        <f>IF(AN$7="Actual",0,AN$15*AN118+AN128*AN$16+AN138*AN$17+AN148*AN$18+AN158*AN$19+AN168*AN$20+AN178*AN$21+AN188*AN$22+AN198*AN$23+AN208*AN$24)</f>
        <v/>
      </c>
      <c r="AO220" s="245">
        <f>IF(AO$7="Actual",0,AO$15*AO118+AO128*AO$16+AO138*AO$17+AO148*AO$18+AO158*AO$19+AO168*AO$20+AO178*AO$21+AO188*AO$22+AO198*AO$23+AO208*AO$24)</f>
        <v/>
      </c>
      <c r="AP220" s="245">
        <f>IF(AP$7="Actual",0,AP$15*AP118+AP128*AP$16+AP138*AP$17+AP148*AP$18+AP158*AP$19+AP168*AP$20+AP178*AP$21+AP188*AP$22+AP198*AP$23+AP208*AP$24)</f>
        <v/>
      </c>
      <c r="AQ220" s="245">
        <f>IF(AQ$7="Actual",0,AQ$15*AQ118+AQ128*AQ$16+AQ138*AQ$17+AQ148*AQ$18+AQ158*AQ$19+AQ168*AQ$20+AQ178*AQ$21+AQ188*AQ$22+AQ198*AQ$23+AQ208*AQ$24)</f>
        <v/>
      </c>
      <c r="AR220" s="245">
        <f>IF(AR$7="Actual",0,AR$15*AR118+AR128*AR$16+AR138*AR$17+AR148*AR$18+AR158*AR$19+AR168*AR$20+AR178*AR$21+AR188*AR$22+AR198*AR$23+AR208*AR$24)</f>
        <v/>
      </c>
      <c r="AS220" s="245">
        <f>IF(AS$7="Actual",0,AS$15*AS118+AS128*AS$16+AS138*AS$17+AS148*AS$18+AS158*AS$19+AS168*AS$20+AS178*AS$21+AS188*AS$22+AS198*AS$23+AS208*AS$24)</f>
        <v/>
      </c>
      <c r="AT220" s="245">
        <f>IF(AT$7="Actual",0,AT$15*AT118+AT128*AT$16+AT138*AT$17+AT148*AT$18+AT158*AT$19+AT168*AT$20+AT178*AT$21+AT188*AT$22+AT198*AT$23+AT208*AT$24)</f>
        <v/>
      </c>
      <c r="AU220" s="245">
        <f>IF(AU$7="Actual",0,AU$15*AU118+AU128*AU$16+AU138*AU$17+AU148*AU$18+AU158*AU$19+AU168*AU$20+AU178*AU$21+AU188*AU$22+AU198*AU$23+AU208*AU$24)</f>
        <v/>
      </c>
      <c r="AV220" s="245">
        <f>IF(AV$7="Actual",0,AV$15*AV118+AV128*AV$16+AV138*AV$17+AV148*AV$18+AV158*AV$19+AV168*AV$20+AV178*AV$21+AV188*AV$22+AV198*AV$23+AV208*AV$24)</f>
        <v/>
      </c>
      <c r="AW220" s="245">
        <f>IF(AW$7="Actual",0,AW$15*AW118+AW128*AW$16+AW138*AW$17+AW148*AW$18+AW158*AW$19+AW168*AW$20+AW178*AW$21+AW188*AW$22+AW198*AW$23+AW208*AW$24)</f>
        <v/>
      </c>
      <c r="AX220" s="245">
        <f>IF(AX$7="Actual",0,AX$15*AX118+AX128*AX$16+AX138*AX$17+AX148*AX$18+AX158*AX$19+AX168*AX$20+AX178*AX$21+AX188*AX$22+AX198*AX$23+AX208*AX$24)</f>
        <v/>
      </c>
      <c r="AY220" s="245">
        <f>IF(AY$7="Actual",0,AY$15*AY118+AY128*AY$16+AY138*AY$17+AY148*AY$18+AY158*AY$19+AY168*AY$20+AY178*AY$21+AY188*AY$22+AY198*AY$23+AY208*AY$24)</f>
        <v/>
      </c>
      <c r="AZ220" s="245">
        <f>IF(AZ$7="Actual",0,AZ$15*AZ118+AZ128*AZ$16+AZ138*AZ$17+AZ148*AZ$18+AZ158*AZ$19+AZ168*AZ$20+AZ178*AZ$21+AZ188*AZ$22+AZ198*AZ$23+AZ208*AZ$24)</f>
        <v/>
      </c>
      <c r="BA220" s="245">
        <f>IF(BA$7="Actual",0,BA$15*BA118+BA128*BA$16+BA138*BA$17+BA148*BA$18+BA158*BA$19+BA168*BA$20+BA178*BA$21+BA188*BA$22+BA198*BA$23+BA208*BA$24)</f>
        <v/>
      </c>
      <c r="BB220" s="245">
        <f>IF(BB$7="Actual",0,BB$15*BB118+BB128*BB$16+BB138*BB$17+BB148*BB$18+BB158*BB$19+BB168*BB$20+BB178*BB$21+BB188*BB$22+BB198*BB$23+BB208*BB$24)</f>
        <v/>
      </c>
      <c r="BC220" s="245">
        <f>IF(BC$7="Actual",0,BC$15*BC118+BC128*BC$16+BC138*BC$17+BC148*BC$18+BC158*BC$19+BC168*BC$20+BC178*BC$21+BC188*BC$22+BC198*BC$23+BC208*BC$24)</f>
        <v/>
      </c>
      <c r="BD220" s="245">
        <f>IF(BD$7="Actual",0,BD$15*BD118+BD128*BD$16+BD138*BD$17+BD148*BD$18+BD158*BD$19+BD168*BD$20+BD178*BD$21+BD188*BD$22+BD198*BD$23+BD208*BD$24)</f>
        <v/>
      </c>
      <c r="BE220" s="245">
        <f>IF(BE$7="Actual",0,BE$15*BE118+BE128*BE$16+BE138*BE$17+BE148*BE$18+BE158*BE$19+BE168*BE$20+BE178*BE$21+BE188*BE$22+BE198*BE$23+BE208*BE$24)</f>
        <v/>
      </c>
      <c r="BF220" s="245">
        <f>IF(BF$7="Actual",0,BF$15*BF118+BF128*BF$16+BF138*BF$17+BF148*BF$18+BF158*BF$19+BF168*BF$20+BF178*BF$21+BF188*BF$22+BF198*BF$23+BF208*BF$24)</f>
        <v/>
      </c>
      <c r="BG220" s="245">
        <f>IF(BG$7="Actual",0,BG$15*BG118+BG128*BG$16+BG138*BG$17+BG148*BG$18+BG158*BG$19+BG168*BG$20+BG178*BG$21+BG188*BG$22+BG198*BG$23+BG208*BG$24)</f>
        <v/>
      </c>
      <c r="BH220" s="245">
        <f>IF(BH$7="Actual",0,BH$15*BH118+BH128*BH$16+BH138*BH$17+BH148*BH$18+BH158*BH$19+BH168*BH$20+BH178*BH$21+BH188*BH$22+BH198*BH$23+BH208*BH$24)</f>
        <v/>
      </c>
      <c r="BI220" s="245">
        <f>IF(BI$7="Actual",0,BI$15*BI118+BI128*BI$16+BI138*BI$17+BI148*BI$18+BI158*BI$19+BI168*BI$20+BI178*BI$21+BI188*BI$22+BI198*BI$23+BI208*BI$24)</f>
        <v/>
      </c>
      <c r="BJ220" s="245">
        <f>IF(BJ$7="Actual",0,BJ$15*BJ118+BJ128*BJ$16+BJ138*BJ$17+BJ148*BJ$18+BJ158*BJ$19+BJ168*BJ$20+BJ178*BJ$21+BJ188*BJ$22+BJ198*BJ$23+BJ208*BJ$24)</f>
        <v/>
      </c>
      <c r="BK220" s="245">
        <f>IF(BK$7="Actual",0,BK$15*BK118+BK128*BK$16+BK138*BK$17+BK148*BK$18+BK158*BK$19+BK168*BK$20+BK178*BK$21+BK188*BK$22+BK198*BK$23+BK208*BK$24)</f>
        <v/>
      </c>
      <c r="BL220" s="245">
        <f>IF(BL$7="Actual",0,BL$15*BL118+BL128*BL$16+BL138*BL$17+BL148*BL$18+BL158*BL$19+BL168*BL$20+BL178*BL$21+BL188*BL$22+BL198*BL$23+BL208*BL$24)</f>
        <v/>
      </c>
      <c r="BM220" s="245">
        <f>IF(BM$7="Actual",0,BM$15*BM118+BM128*BM$16+BM138*BM$17+BM148*BM$18+BM158*BM$19+BM168*BM$20+BM178*BM$21+BM188*BM$22+BM198*BM$23+BM208*BM$24)</f>
        <v/>
      </c>
      <c r="BN220" s="245">
        <f>IF(BN$7="Actual",0,BN$15*BN118+BN128*BN$16+BN138*BN$17+BN148*BN$18+BN158*BN$19+BN168*BN$20+BN178*BN$21+BN188*BN$22+BN198*BN$23+BN208*BN$24)</f>
        <v/>
      </c>
      <c r="BO220" s="245">
        <f>IF(BO$7="Actual",0,BO$15*BO118+BO128*BO$16+BO138*BO$17+BO148*BO$18+BO158*BO$19+BO168*BO$20+BO178*BO$21+BO188*BO$22+BO198*BO$23+BO208*BO$24)</f>
        <v/>
      </c>
      <c r="BP220" s="245">
        <f>IF(BP$7="Actual",0,BP$15*BP118+BP128*BP$16+BP138*BP$17+BP148*BP$18+BP158*BP$19+BP168*BP$20+BP178*BP$21+BP188*BP$22+BP198*BP$23+BP208*BP$24)</f>
        <v/>
      </c>
      <c r="BQ220" s="245">
        <f>IF(BQ$7="Actual",0,BQ$15*BQ118+BQ128*BQ$16+BQ138*BQ$17+BQ148*BQ$18+BQ158*BQ$19+BQ168*BQ$20+BQ178*BQ$21+BQ188*BQ$22+BQ198*BQ$23+BQ208*BQ$24)</f>
        <v/>
      </c>
      <c r="BR220" s="245">
        <f>IF(BR$7="Actual",0,BR$15*BR118+BR128*BR$16+BR138*BR$17+BR148*BR$18+BR158*BR$19+BR168*BR$20+BR178*BR$21+BR188*BR$22+BR198*BR$23+BR208*BR$24)</f>
        <v/>
      </c>
      <c r="BS220" s="245">
        <f>IF(BS$7="Actual",0,BS$15*BS118+BS128*BS$16+BS138*BS$17+BS148*BS$18+BS158*BS$19+BS168*BS$20+BS178*BS$21+BS188*BS$22+BS198*BS$23+BS208*BS$24)</f>
        <v/>
      </c>
      <c r="BT220" s="245">
        <f>IF(BT$7="Actual",0,BT$15*BT118+BT128*BT$16+BT138*BT$17+BT148*BT$18+BT158*BT$19+BT168*BT$20+BT178*BT$21+BT188*BT$22+BT198*BT$23+BT208*BT$24)</f>
        <v/>
      </c>
      <c r="BU220" s="245">
        <f>IF(BU$7="Actual",0,BU$15*BU118+BU128*BU$16+BU138*BU$17+BU148*BU$18+BU158*BU$19+BU168*BU$20+BU178*BU$21+BU188*BU$22+BU198*BU$23+BU208*BU$24)</f>
        <v/>
      </c>
      <c r="BV220" s="245">
        <f>IF(BV$7="Actual",0,BV$15*BV118+BV128*BV$16+BV138*BV$17+BV148*BV$18+BV158*BV$19+BV168*BV$20+BV178*BV$21+BV188*BV$22+BV198*BV$23+BV208*BV$24)</f>
        <v/>
      </c>
      <c r="BW220" s="245">
        <f>IF(BW$7="Actual",0,BW$15*BW118+BW128*BW$16+BW138*BW$17+BW148*BW$18+BW158*BW$19+BW168*BW$20+BW178*BW$21+BW188*BW$22+BW198*BW$23+BW208*BW$24)</f>
        <v/>
      </c>
      <c r="BX220" s="245">
        <f>IF(BX$7="Actual",0,BX$15*BX118+BX128*BX$16+BX138*BX$17+BX148*BX$18+BX158*BX$19+BX168*BX$20+BX178*BX$21+BX188*BX$22+BX198*BX$23+BX208*BX$24)</f>
        <v/>
      </c>
      <c r="BY220" s="245">
        <f>IF(BY$7="Actual",0,BY$15*BY118+BY128*BY$16+BY138*BY$17+BY148*BY$18+BY158*BY$19+BY168*BY$20+BY178*BY$21+BY188*BY$22+BY198*BY$23+BY208*BY$24)</f>
        <v/>
      </c>
      <c r="BZ220" s="245">
        <f>IF(BZ$7="Actual",0,BZ$15*BZ118+BZ128*BZ$16+BZ138*BZ$17+BZ148*BZ$18+BZ158*BZ$19+BZ168*BZ$20+BZ178*BZ$21+BZ188*BZ$22+BZ198*BZ$23+BZ208*BZ$24)</f>
        <v/>
      </c>
      <c r="CA220" s="245">
        <f>IF(CA$7="Actual",0,CA$15*CA118+CA128*CA$16+CA138*CA$17+CA148*CA$18+CA158*CA$19+CA168*CA$20+CA178*CA$21+CA188*CA$22+CA198*CA$23+CA208*CA$24)</f>
        <v/>
      </c>
      <c r="CB220" s="245" t="n"/>
    </row>
    <row r="221" ht="12" customHeight="1" s="227">
      <c r="A221" s="244" t="n"/>
      <c r="B221" s="244" t="n"/>
      <c r="C221" s="244" t="n"/>
      <c r="H221" s="4">
        <f>H119</f>
        <v/>
      </c>
      <c r="I221" s="27">
        <f>i_Setup!$M$16</f>
        <v/>
      </c>
      <c r="K221" s="6" t="n"/>
      <c r="M221" s="245">
        <f>SUMIF($T$4:$CA$4,M$4,$T221:$CA221)</f>
        <v/>
      </c>
      <c r="N221" s="245">
        <f>SUMIF($T$4:$CA$4,N$4,$T221:$CA221)</f>
        <v/>
      </c>
      <c r="O221" s="245">
        <f>SUMIF($T$4:$CA$4,O$4,$T221:$CA221)</f>
        <v/>
      </c>
      <c r="P221" s="245">
        <f>SUMIF($T$4:$CA$4,P$4,$T221:$CA221)</f>
        <v/>
      </c>
      <c r="Q221" s="245">
        <f>SUMIF($T$4:$CA$4,Q$4,$T221:$CA221)</f>
        <v/>
      </c>
      <c r="T221" s="245">
        <f>IF(T$7="Actual",0,T$15*T119+T129*T$16+T139*T$17+T149*T$18+T159*T$19+T169*T$20+T179*T$21+T189*T$22+T199*T$23+T209*T$24)</f>
        <v/>
      </c>
      <c r="U221" s="245">
        <f>IF(U$7="Actual",0,U$15*U119+U129*U$16+U139*U$17+U149*U$18+U159*U$19+U169*U$20+U179*U$21+U189*U$22+U199*U$23+U209*U$24)</f>
        <v/>
      </c>
      <c r="V221" s="245">
        <f>IF(V$7="Actual",0,V$15*V119+V129*V$16+V139*V$17+V149*V$18+V159*V$19+V169*V$20+V179*V$21+V189*V$22+V199*V$23+V209*V$24)</f>
        <v/>
      </c>
      <c r="W221" s="245">
        <f>IF(W$7="Actual",0,W$15*W119+W129*W$16+W139*W$17+W149*W$18+W159*W$19+W169*W$20+W179*W$21+W189*W$22+W199*W$23+W209*W$24)</f>
        <v/>
      </c>
      <c r="X221" s="245">
        <f>IF(X$7="Actual",0,X$15*X119+X129*X$16+X139*X$17+X149*X$18+X159*X$19+X169*X$20+X179*X$21+X189*X$22+X199*X$23+X209*X$24)</f>
        <v/>
      </c>
      <c r="Y221" s="245">
        <f>IF(Y$7="Actual",0,Y$15*Y119+Y129*Y$16+Y139*Y$17+Y149*Y$18+Y159*Y$19+Y169*Y$20+Y179*Y$21+Y189*Y$22+Y199*Y$23+Y209*Y$24)</f>
        <v/>
      </c>
      <c r="Z221" s="245">
        <f>IF(Z$7="Actual",0,Z$15*Z119+Z129*Z$16+Z139*Z$17+Z149*Z$18+Z159*Z$19+Z169*Z$20+Z179*Z$21+Z189*Z$22+Z199*Z$23+Z209*Z$24)</f>
        <v/>
      </c>
      <c r="AA221" s="245">
        <f>IF(AA$7="Actual",0,AA$15*AA119+AA129*AA$16+AA139*AA$17+AA149*AA$18+AA159*AA$19+AA169*AA$20+AA179*AA$21+AA189*AA$22+AA199*AA$23+AA209*AA$24)</f>
        <v/>
      </c>
      <c r="AB221" s="245">
        <f>IF(AB$7="Actual",0,AB$15*AB119+AB129*AB$16+AB139*AB$17+AB149*AB$18+AB159*AB$19+AB169*AB$20+AB179*AB$21+AB189*AB$22+AB199*AB$23+AB209*AB$24)</f>
        <v/>
      </c>
      <c r="AC221" s="245">
        <f>IF(AC$7="Actual",0,AC$15*AC119+AC129*AC$16+AC139*AC$17+AC149*AC$18+AC159*AC$19+AC169*AC$20+AC179*AC$21+AC189*AC$22+AC199*AC$23+AC209*AC$24)</f>
        <v/>
      </c>
      <c r="AD221" s="245">
        <f>IF(AD$7="Actual",0,AD$15*AD119+AD129*AD$16+AD139*AD$17+AD149*AD$18+AD159*AD$19+AD169*AD$20+AD179*AD$21+AD189*AD$22+AD199*AD$23+AD209*AD$24)</f>
        <v/>
      </c>
      <c r="AE221" s="245">
        <f>IF(AE$7="Actual",0,AE$15*AE119+AE129*AE$16+AE139*AE$17+AE149*AE$18+AE159*AE$19+AE169*AE$20+AE179*AE$21+AE189*AE$22+AE199*AE$23+AE209*AE$24)</f>
        <v/>
      </c>
      <c r="AF221" s="245">
        <f>IF(AF$7="Actual",0,AF$15*AF119+AF129*AF$16+AF139*AF$17+AF149*AF$18+AF159*AF$19+AF169*AF$20+AF179*AF$21+AF189*AF$22+AF199*AF$23+AF209*AF$24)</f>
        <v/>
      </c>
      <c r="AG221" s="245">
        <f>IF(AG$7="Actual",0,AG$15*AG119+AG129*AG$16+AG139*AG$17+AG149*AG$18+AG159*AG$19+AG169*AG$20+AG179*AG$21+AG189*AG$22+AG199*AG$23+AG209*AG$24)</f>
        <v/>
      </c>
      <c r="AH221" s="245">
        <f>IF(AH$7="Actual",0,AH$15*AH119+AH129*AH$16+AH139*AH$17+AH149*AH$18+AH159*AH$19+AH169*AH$20+AH179*AH$21+AH189*AH$22+AH199*AH$23+AH209*AH$24)</f>
        <v/>
      </c>
      <c r="AI221" s="245">
        <f>IF(AI$7="Actual",0,AI$15*AI119+AI129*AI$16+AI139*AI$17+AI149*AI$18+AI159*AI$19+AI169*AI$20+AI179*AI$21+AI189*AI$22+AI199*AI$23+AI209*AI$24)</f>
        <v/>
      </c>
      <c r="AJ221" s="245">
        <f>IF(AJ$7="Actual",0,AJ$15*AJ119+AJ129*AJ$16+AJ139*AJ$17+AJ149*AJ$18+AJ159*AJ$19+AJ169*AJ$20+AJ179*AJ$21+AJ189*AJ$22+AJ199*AJ$23+AJ209*AJ$24)</f>
        <v/>
      </c>
      <c r="AK221" s="245">
        <f>IF(AK$7="Actual",0,AK$15*AK119+AK129*AK$16+AK139*AK$17+AK149*AK$18+AK159*AK$19+AK169*AK$20+AK179*AK$21+AK189*AK$22+AK199*AK$23+AK209*AK$24)</f>
        <v/>
      </c>
      <c r="AL221" s="245">
        <f>IF(AL$7="Actual",0,AL$15*AL119+AL129*AL$16+AL139*AL$17+AL149*AL$18+AL159*AL$19+AL169*AL$20+AL179*AL$21+AL189*AL$22+AL199*AL$23+AL209*AL$24)</f>
        <v/>
      </c>
      <c r="AM221" s="245">
        <f>IF(AM$7="Actual",0,AM$15*AM119+AM129*AM$16+AM139*AM$17+AM149*AM$18+AM159*AM$19+AM169*AM$20+AM179*AM$21+AM189*AM$22+AM199*AM$23+AM209*AM$24)</f>
        <v/>
      </c>
      <c r="AN221" s="245">
        <f>IF(AN$7="Actual",0,AN$15*AN119+AN129*AN$16+AN139*AN$17+AN149*AN$18+AN159*AN$19+AN169*AN$20+AN179*AN$21+AN189*AN$22+AN199*AN$23+AN209*AN$24)</f>
        <v/>
      </c>
      <c r="AO221" s="245">
        <f>IF(AO$7="Actual",0,AO$15*AO119+AO129*AO$16+AO139*AO$17+AO149*AO$18+AO159*AO$19+AO169*AO$20+AO179*AO$21+AO189*AO$22+AO199*AO$23+AO209*AO$24)</f>
        <v/>
      </c>
      <c r="AP221" s="245">
        <f>IF(AP$7="Actual",0,AP$15*AP119+AP129*AP$16+AP139*AP$17+AP149*AP$18+AP159*AP$19+AP169*AP$20+AP179*AP$21+AP189*AP$22+AP199*AP$23+AP209*AP$24)</f>
        <v/>
      </c>
      <c r="AQ221" s="245">
        <f>IF(AQ$7="Actual",0,AQ$15*AQ119+AQ129*AQ$16+AQ139*AQ$17+AQ149*AQ$18+AQ159*AQ$19+AQ169*AQ$20+AQ179*AQ$21+AQ189*AQ$22+AQ199*AQ$23+AQ209*AQ$24)</f>
        <v/>
      </c>
      <c r="AR221" s="245">
        <f>IF(AR$7="Actual",0,AR$15*AR119+AR129*AR$16+AR139*AR$17+AR149*AR$18+AR159*AR$19+AR169*AR$20+AR179*AR$21+AR189*AR$22+AR199*AR$23+AR209*AR$24)</f>
        <v/>
      </c>
      <c r="AS221" s="245">
        <f>IF(AS$7="Actual",0,AS$15*AS119+AS129*AS$16+AS139*AS$17+AS149*AS$18+AS159*AS$19+AS169*AS$20+AS179*AS$21+AS189*AS$22+AS199*AS$23+AS209*AS$24)</f>
        <v/>
      </c>
      <c r="AT221" s="245">
        <f>IF(AT$7="Actual",0,AT$15*AT119+AT129*AT$16+AT139*AT$17+AT149*AT$18+AT159*AT$19+AT169*AT$20+AT179*AT$21+AT189*AT$22+AT199*AT$23+AT209*AT$24)</f>
        <v/>
      </c>
      <c r="AU221" s="245">
        <f>IF(AU$7="Actual",0,AU$15*AU119+AU129*AU$16+AU139*AU$17+AU149*AU$18+AU159*AU$19+AU169*AU$20+AU179*AU$21+AU189*AU$22+AU199*AU$23+AU209*AU$24)</f>
        <v/>
      </c>
      <c r="AV221" s="245">
        <f>IF(AV$7="Actual",0,AV$15*AV119+AV129*AV$16+AV139*AV$17+AV149*AV$18+AV159*AV$19+AV169*AV$20+AV179*AV$21+AV189*AV$22+AV199*AV$23+AV209*AV$24)</f>
        <v/>
      </c>
      <c r="AW221" s="245">
        <f>IF(AW$7="Actual",0,AW$15*AW119+AW129*AW$16+AW139*AW$17+AW149*AW$18+AW159*AW$19+AW169*AW$20+AW179*AW$21+AW189*AW$22+AW199*AW$23+AW209*AW$24)</f>
        <v/>
      </c>
      <c r="AX221" s="245">
        <f>IF(AX$7="Actual",0,AX$15*AX119+AX129*AX$16+AX139*AX$17+AX149*AX$18+AX159*AX$19+AX169*AX$20+AX179*AX$21+AX189*AX$22+AX199*AX$23+AX209*AX$24)</f>
        <v/>
      </c>
      <c r="AY221" s="245">
        <f>IF(AY$7="Actual",0,AY$15*AY119+AY129*AY$16+AY139*AY$17+AY149*AY$18+AY159*AY$19+AY169*AY$20+AY179*AY$21+AY189*AY$22+AY199*AY$23+AY209*AY$24)</f>
        <v/>
      </c>
      <c r="AZ221" s="245">
        <f>IF(AZ$7="Actual",0,AZ$15*AZ119+AZ129*AZ$16+AZ139*AZ$17+AZ149*AZ$18+AZ159*AZ$19+AZ169*AZ$20+AZ179*AZ$21+AZ189*AZ$22+AZ199*AZ$23+AZ209*AZ$24)</f>
        <v/>
      </c>
      <c r="BA221" s="245">
        <f>IF(BA$7="Actual",0,BA$15*BA119+BA129*BA$16+BA139*BA$17+BA149*BA$18+BA159*BA$19+BA169*BA$20+BA179*BA$21+BA189*BA$22+BA199*BA$23+BA209*BA$24)</f>
        <v/>
      </c>
      <c r="BB221" s="245">
        <f>IF(BB$7="Actual",0,BB$15*BB119+BB129*BB$16+BB139*BB$17+BB149*BB$18+BB159*BB$19+BB169*BB$20+BB179*BB$21+BB189*BB$22+BB199*BB$23+BB209*BB$24)</f>
        <v/>
      </c>
      <c r="BC221" s="245">
        <f>IF(BC$7="Actual",0,BC$15*BC119+BC129*BC$16+BC139*BC$17+BC149*BC$18+BC159*BC$19+BC169*BC$20+BC179*BC$21+BC189*BC$22+BC199*BC$23+BC209*BC$24)</f>
        <v/>
      </c>
      <c r="BD221" s="245">
        <f>IF(BD$7="Actual",0,BD$15*BD119+BD129*BD$16+BD139*BD$17+BD149*BD$18+BD159*BD$19+BD169*BD$20+BD179*BD$21+BD189*BD$22+BD199*BD$23+BD209*BD$24)</f>
        <v/>
      </c>
      <c r="BE221" s="245">
        <f>IF(BE$7="Actual",0,BE$15*BE119+BE129*BE$16+BE139*BE$17+BE149*BE$18+BE159*BE$19+BE169*BE$20+BE179*BE$21+BE189*BE$22+BE199*BE$23+BE209*BE$24)</f>
        <v/>
      </c>
      <c r="BF221" s="245">
        <f>IF(BF$7="Actual",0,BF$15*BF119+BF129*BF$16+BF139*BF$17+BF149*BF$18+BF159*BF$19+BF169*BF$20+BF179*BF$21+BF189*BF$22+BF199*BF$23+BF209*BF$24)</f>
        <v/>
      </c>
      <c r="BG221" s="245">
        <f>IF(BG$7="Actual",0,BG$15*BG119+BG129*BG$16+BG139*BG$17+BG149*BG$18+BG159*BG$19+BG169*BG$20+BG179*BG$21+BG189*BG$22+BG199*BG$23+BG209*BG$24)</f>
        <v/>
      </c>
      <c r="BH221" s="245">
        <f>IF(BH$7="Actual",0,BH$15*BH119+BH129*BH$16+BH139*BH$17+BH149*BH$18+BH159*BH$19+BH169*BH$20+BH179*BH$21+BH189*BH$22+BH199*BH$23+BH209*BH$24)</f>
        <v/>
      </c>
      <c r="BI221" s="245">
        <f>IF(BI$7="Actual",0,BI$15*BI119+BI129*BI$16+BI139*BI$17+BI149*BI$18+BI159*BI$19+BI169*BI$20+BI179*BI$21+BI189*BI$22+BI199*BI$23+BI209*BI$24)</f>
        <v/>
      </c>
      <c r="BJ221" s="245">
        <f>IF(BJ$7="Actual",0,BJ$15*BJ119+BJ129*BJ$16+BJ139*BJ$17+BJ149*BJ$18+BJ159*BJ$19+BJ169*BJ$20+BJ179*BJ$21+BJ189*BJ$22+BJ199*BJ$23+BJ209*BJ$24)</f>
        <v/>
      </c>
      <c r="BK221" s="245">
        <f>IF(BK$7="Actual",0,BK$15*BK119+BK129*BK$16+BK139*BK$17+BK149*BK$18+BK159*BK$19+BK169*BK$20+BK179*BK$21+BK189*BK$22+BK199*BK$23+BK209*BK$24)</f>
        <v/>
      </c>
      <c r="BL221" s="245">
        <f>IF(BL$7="Actual",0,BL$15*BL119+BL129*BL$16+BL139*BL$17+BL149*BL$18+BL159*BL$19+BL169*BL$20+BL179*BL$21+BL189*BL$22+BL199*BL$23+BL209*BL$24)</f>
        <v/>
      </c>
      <c r="BM221" s="245">
        <f>IF(BM$7="Actual",0,BM$15*BM119+BM129*BM$16+BM139*BM$17+BM149*BM$18+BM159*BM$19+BM169*BM$20+BM179*BM$21+BM189*BM$22+BM199*BM$23+BM209*BM$24)</f>
        <v/>
      </c>
      <c r="BN221" s="245">
        <f>IF(BN$7="Actual",0,BN$15*BN119+BN129*BN$16+BN139*BN$17+BN149*BN$18+BN159*BN$19+BN169*BN$20+BN179*BN$21+BN189*BN$22+BN199*BN$23+BN209*BN$24)</f>
        <v/>
      </c>
      <c r="BO221" s="245">
        <f>IF(BO$7="Actual",0,BO$15*BO119+BO129*BO$16+BO139*BO$17+BO149*BO$18+BO159*BO$19+BO169*BO$20+BO179*BO$21+BO189*BO$22+BO199*BO$23+BO209*BO$24)</f>
        <v/>
      </c>
      <c r="BP221" s="245">
        <f>IF(BP$7="Actual",0,BP$15*BP119+BP129*BP$16+BP139*BP$17+BP149*BP$18+BP159*BP$19+BP169*BP$20+BP179*BP$21+BP189*BP$22+BP199*BP$23+BP209*BP$24)</f>
        <v/>
      </c>
      <c r="BQ221" s="245">
        <f>IF(BQ$7="Actual",0,BQ$15*BQ119+BQ129*BQ$16+BQ139*BQ$17+BQ149*BQ$18+BQ159*BQ$19+BQ169*BQ$20+BQ179*BQ$21+BQ189*BQ$22+BQ199*BQ$23+BQ209*BQ$24)</f>
        <v/>
      </c>
      <c r="BR221" s="245">
        <f>IF(BR$7="Actual",0,BR$15*BR119+BR129*BR$16+BR139*BR$17+BR149*BR$18+BR159*BR$19+BR169*BR$20+BR179*BR$21+BR189*BR$22+BR199*BR$23+BR209*BR$24)</f>
        <v/>
      </c>
      <c r="BS221" s="245">
        <f>IF(BS$7="Actual",0,BS$15*BS119+BS129*BS$16+BS139*BS$17+BS149*BS$18+BS159*BS$19+BS169*BS$20+BS179*BS$21+BS189*BS$22+BS199*BS$23+BS209*BS$24)</f>
        <v/>
      </c>
      <c r="BT221" s="245">
        <f>IF(BT$7="Actual",0,BT$15*BT119+BT129*BT$16+BT139*BT$17+BT149*BT$18+BT159*BT$19+BT169*BT$20+BT179*BT$21+BT189*BT$22+BT199*BT$23+BT209*BT$24)</f>
        <v/>
      </c>
      <c r="BU221" s="245">
        <f>IF(BU$7="Actual",0,BU$15*BU119+BU129*BU$16+BU139*BU$17+BU149*BU$18+BU159*BU$19+BU169*BU$20+BU179*BU$21+BU189*BU$22+BU199*BU$23+BU209*BU$24)</f>
        <v/>
      </c>
      <c r="BV221" s="245">
        <f>IF(BV$7="Actual",0,BV$15*BV119+BV129*BV$16+BV139*BV$17+BV149*BV$18+BV159*BV$19+BV169*BV$20+BV179*BV$21+BV189*BV$22+BV199*BV$23+BV209*BV$24)</f>
        <v/>
      </c>
      <c r="BW221" s="245">
        <f>IF(BW$7="Actual",0,BW$15*BW119+BW129*BW$16+BW139*BW$17+BW149*BW$18+BW159*BW$19+BW169*BW$20+BW179*BW$21+BW189*BW$22+BW199*BW$23+BW209*BW$24)</f>
        <v/>
      </c>
      <c r="BX221" s="245">
        <f>IF(BX$7="Actual",0,BX$15*BX119+BX129*BX$16+BX139*BX$17+BX149*BX$18+BX159*BX$19+BX169*BX$20+BX179*BX$21+BX189*BX$22+BX199*BX$23+BX209*BX$24)</f>
        <v/>
      </c>
      <c r="BY221" s="245">
        <f>IF(BY$7="Actual",0,BY$15*BY119+BY129*BY$16+BY139*BY$17+BY149*BY$18+BY159*BY$19+BY169*BY$20+BY179*BY$21+BY189*BY$22+BY199*BY$23+BY209*BY$24)</f>
        <v/>
      </c>
      <c r="BZ221" s="245">
        <f>IF(BZ$7="Actual",0,BZ$15*BZ119+BZ129*BZ$16+BZ139*BZ$17+BZ149*BZ$18+BZ159*BZ$19+BZ169*BZ$20+BZ179*BZ$21+BZ189*BZ$22+BZ199*BZ$23+BZ209*BZ$24)</f>
        <v/>
      </c>
      <c r="CA221" s="245">
        <f>IF(CA$7="Actual",0,CA$15*CA119+CA129*CA$16+CA139*CA$17+CA149*CA$18+CA159*CA$19+CA169*CA$20+CA179*CA$21+CA189*CA$22+CA199*CA$23+CA209*CA$24)</f>
        <v/>
      </c>
      <c r="CB221" s="245" t="n"/>
    </row>
    <row r="222" ht="12" customHeight="1" s="227" thickBot="1">
      <c r="A222" s="244" t="n"/>
      <c r="B222" s="244" t="n"/>
      <c r="C222" s="244" t="n"/>
      <c r="H222" s="42" t="inlineStr">
        <is>
          <t>Total Direct Expenses</t>
        </is>
      </c>
      <c r="I222" s="43">
        <f>i_Setup!$M$16</f>
        <v/>
      </c>
      <c r="K222" s="6" t="n"/>
      <c r="M222" s="264">
        <f>SUM(M214:M221)</f>
        <v/>
      </c>
      <c r="N222" s="264">
        <f>SUM(N214:N221)</f>
        <v/>
      </c>
      <c r="O222" s="264">
        <f>SUM(O214:O221)</f>
        <v/>
      </c>
      <c r="P222" s="264">
        <f>SUM(P214:P221)</f>
        <v/>
      </c>
      <c r="Q222" s="264">
        <f>SUM(Q214:Q221)</f>
        <v/>
      </c>
      <c r="T222" s="264">
        <f>SUM(T214:T221)</f>
        <v/>
      </c>
      <c r="U222" s="264">
        <f>SUM(U214:U221)</f>
        <v/>
      </c>
      <c r="V222" s="264">
        <f>SUM(V214:V221)</f>
        <v/>
      </c>
      <c r="W222" s="264">
        <f>SUM(W214:W221)</f>
        <v/>
      </c>
      <c r="X222" s="264">
        <f>SUM(X214:X221)</f>
        <v/>
      </c>
      <c r="Y222" s="264">
        <f>SUM(Y214:Y221)</f>
        <v/>
      </c>
      <c r="Z222" s="264">
        <f>SUM(Z214:Z221)</f>
        <v/>
      </c>
      <c r="AA222" s="264">
        <f>SUM(AA214:AA221)</f>
        <v/>
      </c>
      <c r="AB222" s="264">
        <f>SUM(AB214:AB221)</f>
        <v/>
      </c>
      <c r="AC222" s="264">
        <f>SUM(AC214:AC221)</f>
        <v/>
      </c>
      <c r="AD222" s="264">
        <f>SUM(AD214:AD221)</f>
        <v/>
      </c>
      <c r="AE222" s="264">
        <f>SUM(AE214:AE221)</f>
        <v/>
      </c>
      <c r="AF222" s="264">
        <f>SUM(AF214:AF221)</f>
        <v/>
      </c>
      <c r="AG222" s="264">
        <f>SUM(AG214:AG221)</f>
        <v/>
      </c>
      <c r="AH222" s="264">
        <f>SUM(AH214:AH221)</f>
        <v/>
      </c>
      <c r="AI222" s="264">
        <f>SUM(AI214:AI221)</f>
        <v/>
      </c>
      <c r="AJ222" s="264">
        <f>SUM(AJ214:AJ221)</f>
        <v/>
      </c>
      <c r="AK222" s="264">
        <f>SUM(AK214:AK221)</f>
        <v/>
      </c>
      <c r="AL222" s="264">
        <f>SUM(AL214:AL221)</f>
        <v/>
      </c>
      <c r="AM222" s="264">
        <f>SUM(AM214:AM221)</f>
        <v/>
      </c>
      <c r="AN222" s="264">
        <f>SUM(AN214:AN221)</f>
        <v/>
      </c>
      <c r="AO222" s="264">
        <f>SUM(AO214:AO221)</f>
        <v/>
      </c>
      <c r="AP222" s="264">
        <f>SUM(AP214:AP221)</f>
        <v/>
      </c>
      <c r="AQ222" s="264">
        <f>SUM(AQ214:AQ221)</f>
        <v/>
      </c>
      <c r="AR222" s="264">
        <f>SUM(AR214:AR221)</f>
        <v/>
      </c>
      <c r="AS222" s="264">
        <f>SUM(AS214:AS221)</f>
        <v/>
      </c>
      <c r="AT222" s="264">
        <f>SUM(AT214:AT221)</f>
        <v/>
      </c>
      <c r="AU222" s="264">
        <f>SUM(AU214:AU221)</f>
        <v/>
      </c>
      <c r="AV222" s="264">
        <f>SUM(AV214:AV221)</f>
        <v/>
      </c>
      <c r="AW222" s="264">
        <f>SUM(AW214:AW221)</f>
        <v/>
      </c>
      <c r="AX222" s="264">
        <f>SUM(AX214:AX221)</f>
        <v/>
      </c>
      <c r="AY222" s="264">
        <f>SUM(AY214:AY221)</f>
        <v/>
      </c>
      <c r="AZ222" s="264">
        <f>SUM(AZ214:AZ221)</f>
        <v/>
      </c>
      <c r="BA222" s="264">
        <f>SUM(BA214:BA221)</f>
        <v/>
      </c>
      <c r="BB222" s="264">
        <f>SUM(BB214:BB221)</f>
        <v/>
      </c>
      <c r="BC222" s="264">
        <f>SUM(BC214:BC221)</f>
        <v/>
      </c>
      <c r="BD222" s="264">
        <f>SUM(BD214:BD221)</f>
        <v/>
      </c>
      <c r="BE222" s="264">
        <f>SUM(BE214:BE221)</f>
        <v/>
      </c>
      <c r="BF222" s="264">
        <f>SUM(BF214:BF221)</f>
        <v/>
      </c>
      <c r="BG222" s="264">
        <f>SUM(BG214:BG221)</f>
        <v/>
      </c>
      <c r="BH222" s="264">
        <f>SUM(BH214:BH221)</f>
        <v/>
      </c>
      <c r="BI222" s="264">
        <f>SUM(BI214:BI221)</f>
        <v/>
      </c>
      <c r="BJ222" s="264">
        <f>SUM(BJ214:BJ221)</f>
        <v/>
      </c>
      <c r="BK222" s="264">
        <f>SUM(BK214:BK221)</f>
        <v/>
      </c>
      <c r="BL222" s="264">
        <f>SUM(BL214:BL221)</f>
        <v/>
      </c>
      <c r="BM222" s="264">
        <f>SUM(BM214:BM221)</f>
        <v/>
      </c>
      <c r="BN222" s="264">
        <f>SUM(BN214:BN221)</f>
        <v/>
      </c>
      <c r="BO222" s="264">
        <f>SUM(BO214:BO221)</f>
        <v/>
      </c>
      <c r="BP222" s="264">
        <f>SUM(BP214:BP221)</f>
        <v/>
      </c>
      <c r="BQ222" s="264">
        <f>SUM(BQ214:BQ221)</f>
        <v/>
      </c>
      <c r="BR222" s="264">
        <f>SUM(BR214:BR221)</f>
        <v/>
      </c>
      <c r="BS222" s="264">
        <f>SUM(BS214:BS221)</f>
        <v/>
      </c>
      <c r="BT222" s="264">
        <f>SUM(BT214:BT221)</f>
        <v/>
      </c>
      <c r="BU222" s="264">
        <f>SUM(BU214:BU221)</f>
        <v/>
      </c>
      <c r="BV222" s="264">
        <f>SUM(BV214:BV221)</f>
        <v/>
      </c>
      <c r="BW222" s="264">
        <f>SUM(BW214:BW221)</f>
        <v/>
      </c>
      <c r="BX222" s="264">
        <f>SUM(BX214:BX221)</f>
        <v/>
      </c>
      <c r="BY222" s="264">
        <f>SUM(BY214:BY221)</f>
        <v/>
      </c>
      <c r="BZ222" s="264">
        <f>SUM(BZ214:BZ221)</f>
        <v/>
      </c>
      <c r="CA222" s="264">
        <f>SUM(CA214:CA221)</f>
        <v/>
      </c>
    </row>
    <row r="223" ht="12" customHeight="1" s="227">
      <c r="A223" s="244" t="n"/>
      <c r="B223" s="244" t="n"/>
      <c r="C223" s="244" t="n"/>
      <c r="K223" s="6" t="n"/>
    </row>
    <row r="224" ht="12" customHeight="1" s="227">
      <c r="A224" s="244" t="n"/>
      <c r="B224" s="244" t="n"/>
      <c r="C224" s="244" t="n"/>
      <c r="K224" s="6" t="n"/>
    </row>
    <row r="225" ht="12" customHeight="1" s="227">
      <c r="A225" s="244" t="n"/>
      <c r="B225" s="244" t="n"/>
      <c r="C225" s="244" t="n"/>
      <c r="G225" s="222" t="inlineStr">
        <is>
          <t>Total Direct Expenses (Incl. Sales Tax)</t>
        </is>
      </c>
      <c r="K225" s="6" t="n"/>
    </row>
    <row r="226" ht="12" customHeight="1" s="227">
      <c r="A226" s="244" t="n"/>
      <c r="B226" s="244" t="n"/>
      <c r="C226" s="244" t="n"/>
      <c r="K226" s="6" t="n"/>
    </row>
    <row r="227" ht="12" customHeight="1" s="227">
      <c r="A227" s="244" t="n"/>
      <c r="B227" s="244" t="n"/>
      <c r="C227" s="244" t="n"/>
      <c r="H227" s="4">
        <f>H214</f>
        <v/>
      </c>
      <c r="I227" s="27">
        <f>i_Setup!$M$16</f>
        <v/>
      </c>
      <c r="K227" s="259">
        <f>i_Setup!P75</f>
        <v/>
      </c>
      <c r="M227" s="245">
        <f>SUMIF($T$4:$CA$4,M$4,$T227:$CA227)</f>
        <v/>
      </c>
      <c r="N227" s="245">
        <f>SUMIF($T$4:$CA$4,N$4,$T227:$CA227)</f>
        <v/>
      </c>
      <c r="O227" s="245">
        <f>SUMIF($T$4:$CA$4,O$4,$T227:$CA227)</f>
        <v/>
      </c>
      <c r="P227" s="245">
        <f>SUMIF($T$4:$CA$4,P$4,$T227:$CA227)</f>
        <v/>
      </c>
      <c r="Q227" s="245">
        <f>SUMIF($T$4:$CA$4,Q$4,$T227:$CA227)</f>
        <v/>
      </c>
      <c r="T227" s="245">
        <f>IF(T$7="Actual","",IF($K227="Yes",T214*(1+T$59),T214))</f>
        <v/>
      </c>
      <c r="U227" s="245">
        <f>IF(U$7="Actual","",IF($K227="Yes",U214*(1+U$59),U214))</f>
        <v/>
      </c>
      <c r="V227" s="245">
        <f>IF(V$7="Actual","",IF($K227="Yes",V214*(1+V$59),V214))</f>
        <v/>
      </c>
      <c r="W227" s="245">
        <f>IF(W$7="Actual","",IF($K227="Yes",W214*(1+W$59),W214))</f>
        <v/>
      </c>
      <c r="X227" s="245">
        <f>IF(X$7="Actual","",IF($K227="Yes",X214*(1+X$59),X214))</f>
        <v/>
      </c>
      <c r="Y227" s="245">
        <f>IF(Y$7="Actual","",IF($K227="Yes",Y214*(1+Y$59),Y214))</f>
        <v/>
      </c>
      <c r="Z227" s="245">
        <f>IF(Z$7="Actual","",IF($K227="Yes",Z214*(1+Z$59),Z214))</f>
        <v/>
      </c>
      <c r="AA227" s="245">
        <f>IF(AA$7="Actual","",IF($K227="Yes",AA214*(1+AA$59),AA214))</f>
        <v/>
      </c>
      <c r="AB227" s="245">
        <f>IF(AB$7="Actual","",IF($K227="Yes",AB214*(1+AB$59),AB214))</f>
        <v/>
      </c>
      <c r="AC227" s="245">
        <f>IF(AC$7="Actual","",IF($K227="Yes",AC214*(1+AC$59),AC214))</f>
        <v/>
      </c>
      <c r="AD227" s="245">
        <f>IF(AD$7="Actual","",IF($K227="Yes",AD214*(1+AD$59),AD214))</f>
        <v/>
      </c>
      <c r="AE227" s="245">
        <f>IF(AE$7="Actual","",IF($K227="Yes",AE214*(1+AE$59),AE214))</f>
        <v/>
      </c>
      <c r="AF227" s="245">
        <f>IF(AF$7="Actual","",IF($K227="Yes",AF214*(1+AF$59),AF214))</f>
        <v/>
      </c>
      <c r="AG227" s="245">
        <f>IF(AG$7="Actual","",IF($K227="Yes",AG214*(1+AG$59),AG214))</f>
        <v/>
      </c>
      <c r="AH227" s="245">
        <f>IF(AH$7="Actual","",IF($K227="Yes",AH214*(1+AH$59),AH214))</f>
        <v/>
      </c>
      <c r="AI227" s="245">
        <f>IF(AI$7="Actual","",IF($K227="Yes",AI214*(1+AI$59),AI214))</f>
        <v/>
      </c>
      <c r="AJ227" s="245">
        <f>IF(AJ$7="Actual","",IF($K227="Yes",AJ214*(1+AJ$59),AJ214))</f>
        <v/>
      </c>
      <c r="AK227" s="245">
        <f>IF(AK$7="Actual","",IF($K227="Yes",AK214*(1+AK$59),AK214))</f>
        <v/>
      </c>
      <c r="AL227" s="245">
        <f>IF(AL$7="Actual","",IF($K227="Yes",AL214*(1+AL$59),AL214))</f>
        <v/>
      </c>
      <c r="AM227" s="245">
        <f>IF(AM$7="Actual","",IF($K227="Yes",AM214*(1+AM$59),AM214))</f>
        <v/>
      </c>
      <c r="AN227" s="245">
        <f>IF(AN$7="Actual","",IF($K227="Yes",AN214*(1+AN$59),AN214))</f>
        <v/>
      </c>
      <c r="AO227" s="245">
        <f>IF(AO$7="Actual","",IF($K227="Yes",AO214*(1+AO$59),AO214))</f>
        <v/>
      </c>
      <c r="AP227" s="245">
        <f>IF(AP$7="Actual","",IF($K227="Yes",AP214*(1+AP$59),AP214))</f>
        <v/>
      </c>
      <c r="AQ227" s="245">
        <f>IF(AQ$7="Actual","",IF($K227="Yes",AQ214*(1+AQ$59),AQ214))</f>
        <v/>
      </c>
      <c r="AR227" s="245">
        <f>IF(AR$7="Actual","",IF($K227="Yes",AR214*(1+AR$59),AR214))</f>
        <v/>
      </c>
      <c r="AS227" s="245">
        <f>IF(AS$7="Actual","",IF($K227="Yes",AS214*(1+AS$59),AS214))</f>
        <v/>
      </c>
      <c r="AT227" s="245">
        <f>IF(AT$7="Actual","",IF($K227="Yes",AT214*(1+AT$59),AT214))</f>
        <v/>
      </c>
      <c r="AU227" s="245">
        <f>IF(AU$7="Actual","",IF($K227="Yes",AU214*(1+AU$59),AU214))</f>
        <v/>
      </c>
      <c r="AV227" s="245">
        <f>IF(AV$7="Actual","",IF($K227="Yes",AV214*(1+AV$59),AV214))</f>
        <v/>
      </c>
      <c r="AW227" s="245">
        <f>IF(AW$7="Actual","",IF($K227="Yes",AW214*(1+AW$59),AW214))</f>
        <v/>
      </c>
      <c r="AX227" s="245">
        <f>IF(AX$7="Actual","",IF($K227="Yes",AX214*(1+AX$59),AX214))</f>
        <v/>
      </c>
      <c r="AY227" s="245">
        <f>IF(AY$7="Actual","",IF($K227="Yes",AY214*(1+AY$59),AY214))</f>
        <v/>
      </c>
      <c r="AZ227" s="245">
        <f>IF(AZ$7="Actual","",IF($K227="Yes",AZ214*(1+AZ$59),AZ214))</f>
        <v/>
      </c>
      <c r="BA227" s="245">
        <f>IF(BA$7="Actual","",IF($K227="Yes",BA214*(1+BA$59),BA214))</f>
        <v/>
      </c>
      <c r="BB227" s="245">
        <f>IF(BB$7="Actual","",IF($K227="Yes",BB214*(1+BB$59),BB214))</f>
        <v/>
      </c>
      <c r="BC227" s="245">
        <f>IF(BC$7="Actual","",IF($K227="Yes",BC214*(1+BC$59),BC214))</f>
        <v/>
      </c>
      <c r="BD227" s="245">
        <f>IF(BD$7="Actual","",IF($K227="Yes",BD214*(1+BD$59),BD214))</f>
        <v/>
      </c>
      <c r="BE227" s="245">
        <f>IF(BE$7="Actual","",IF($K227="Yes",BE214*(1+BE$59),BE214))</f>
        <v/>
      </c>
      <c r="BF227" s="245">
        <f>IF(BF$7="Actual","",IF($K227="Yes",BF214*(1+BF$59),BF214))</f>
        <v/>
      </c>
      <c r="BG227" s="245">
        <f>IF(BG$7="Actual","",IF($K227="Yes",BG214*(1+BG$59),BG214))</f>
        <v/>
      </c>
      <c r="BH227" s="245">
        <f>IF(BH$7="Actual","",IF($K227="Yes",BH214*(1+BH$59),BH214))</f>
        <v/>
      </c>
      <c r="BI227" s="245">
        <f>IF(BI$7="Actual","",IF($K227="Yes",BI214*(1+BI$59),BI214))</f>
        <v/>
      </c>
      <c r="BJ227" s="245">
        <f>IF(BJ$7="Actual","",IF($K227="Yes",BJ214*(1+BJ$59),BJ214))</f>
        <v/>
      </c>
      <c r="BK227" s="245">
        <f>IF(BK$7="Actual","",IF($K227="Yes",BK214*(1+BK$59),BK214))</f>
        <v/>
      </c>
      <c r="BL227" s="245">
        <f>IF(BL$7="Actual","",IF($K227="Yes",BL214*(1+BL$59),BL214))</f>
        <v/>
      </c>
      <c r="BM227" s="245">
        <f>IF(BM$7="Actual","",IF($K227="Yes",BM214*(1+BM$59),BM214))</f>
        <v/>
      </c>
      <c r="BN227" s="245">
        <f>IF(BN$7="Actual","",IF($K227="Yes",BN214*(1+BN$59),BN214))</f>
        <v/>
      </c>
      <c r="BO227" s="245">
        <f>IF(BO$7="Actual","",IF($K227="Yes",BO214*(1+BO$59),BO214))</f>
        <v/>
      </c>
      <c r="BP227" s="245">
        <f>IF(BP$7="Actual","",IF($K227="Yes",BP214*(1+BP$59),BP214))</f>
        <v/>
      </c>
      <c r="BQ227" s="245">
        <f>IF(BQ$7="Actual","",IF($K227="Yes",BQ214*(1+BQ$59),BQ214))</f>
        <v/>
      </c>
      <c r="BR227" s="245">
        <f>IF(BR$7="Actual","",IF($K227="Yes",BR214*(1+BR$59),BR214))</f>
        <v/>
      </c>
      <c r="BS227" s="245">
        <f>IF(BS$7="Actual","",IF($K227="Yes",BS214*(1+BS$59),BS214))</f>
        <v/>
      </c>
      <c r="BT227" s="245">
        <f>IF(BT$7="Actual","",IF($K227="Yes",BT214*(1+BT$59),BT214))</f>
        <v/>
      </c>
      <c r="BU227" s="245">
        <f>IF(BU$7="Actual","",IF($K227="Yes",BU214*(1+BU$59),BU214))</f>
        <v/>
      </c>
      <c r="BV227" s="245">
        <f>IF(BV$7="Actual","",IF($K227="Yes",BV214*(1+BV$59),BV214))</f>
        <v/>
      </c>
      <c r="BW227" s="245">
        <f>IF(BW$7="Actual","",IF($K227="Yes",BW214*(1+BW$59),BW214))</f>
        <v/>
      </c>
      <c r="BX227" s="245">
        <f>IF(BX$7="Actual","",IF($K227="Yes",BX214*(1+BX$59),BX214))</f>
        <v/>
      </c>
      <c r="BY227" s="245">
        <f>IF(BY$7="Actual","",IF($K227="Yes",BY214*(1+BY$59),BY214))</f>
        <v/>
      </c>
      <c r="BZ227" s="245">
        <f>IF(BZ$7="Actual","",IF($K227="Yes",BZ214*(1+BZ$59),BZ214))</f>
        <v/>
      </c>
      <c r="CA227" s="245">
        <f>IF(CA$7="Actual","",IF($K227="Yes",CA214*(1+CA$59),CA214))</f>
        <v/>
      </c>
      <c r="CB227" s="245" t="n"/>
    </row>
    <row r="228" ht="12" customHeight="1" s="227">
      <c r="A228" s="244" t="n"/>
      <c r="B228" s="244" t="n"/>
      <c r="C228" s="244" t="n"/>
      <c r="H228" s="4">
        <f>H215</f>
        <v/>
      </c>
      <c r="I228" s="27">
        <f>i_Setup!$M$16</f>
        <v/>
      </c>
      <c r="K228" s="259">
        <f>i_Setup!P76</f>
        <v/>
      </c>
      <c r="M228" s="245">
        <f>SUMIF($T$4:$CA$4,M$4,$T228:$CA228)</f>
        <v/>
      </c>
      <c r="N228" s="245">
        <f>SUMIF($T$4:$CA$4,N$4,$T228:$CA228)</f>
        <v/>
      </c>
      <c r="O228" s="245">
        <f>SUMIF($T$4:$CA$4,O$4,$T228:$CA228)</f>
        <v/>
      </c>
      <c r="P228" s="245">
        <f>SUMIF($T$4:$CA$4,P$4,$T228:$CA228)</f>
        <v/>
      </c>
      <c r="Q228" s="245">
        <f>SUMIF($T$4:$CA$4,Q$4,$T228:$CA228)</f>
        <v/>
      </c>
      <c r="T228" s="245">
        <f>IF(T$7="Actual","",IF($K228="Yes",T215*(1+T$59),T215))</f>
        <v/>
      </c>
      <c r="U228" s="245">
        <f>IF(U$7="Actual","",IF($K228="Yes",U215*(1+U$59),U215))</f>
        <v/>
      </c>
      <c r="V228" s="245">
        <f>IF(V$7="Actual","",IF($K228="Yes",V215*(1+V$59),V215))</f>
        <v/>
      </c>
      <c r="W228" s="245">
        <f>IF(W$7="Actual","",IF($K228="Yes",W215*(1+W$59),W215))</f>
        <v/>
      </c>
      <c r="X228" s="245">
        <f>IF(X$7="Actual","",IF($K228="Yes",X215*(1+X$59),X215))</f>
        <v/>
      </c>
      <c r="Y228" s="245">
        <f>IF(Y$7="Actual","",IF($K228="Yes",Y215*(1+Y$59),Y215))</f>
        <v/>
      </c>
      <c r="Z228" s="245">
        <f>IF(Z$7="Actual","",IF($K228="Yes",Z215*(1+Z$59),Z215))</f>
        <v/>
      </c>
      <c r="AA228" s="245">
        <f>IF(AA$7="Actual","",IF($K228="Yes",AA215*(1+AA$59),AA215))</f>
        <v/>
      </c>
      <c r="AB228" s="245">
        <f>IF(AB$7="Actual","",IF($K228="Yes",AB215*(1+AB$59),AB215))</f>
        <v/>
      </c>
      <c r="AC228" s="245">
        <f>IF(AC$7="Actual","",IF($K228="Yes",AC215*(1+AC$59),AC215))</f>
        <v/>
      </c>
      <c r="AD228" s="245">
        <f>IF(AD$7="Actual","",IF($K228="Yes",AD215*(1+AD$59),AD215))</f>
        <v/>
      </c>
      <c r="AE228" s="245">
        <f>IF(AE$7="Actual","",IF($K228="Yes",AE215*(1+AE$59),AE215))</f>
        <v/>
      </c>
      <c r="AF228" s="245">
        <f>IF(AF$7="Actual","",IF($K228="Yes",AF215*(1+AF$59),AF215))</f>
        <v/>
      </c>
      <c r="AG228" s="245">
        <f>IF(AG$7="Actual","",IF($K228="Yes",AG215*(1+AG$59),AG215))</f>
        <v/>
      </c>
      <c r="AH228" s="245">
        <f>IF(AH$7="Actual","",IF($K228="Yes",AH215*(1+AH$59),AH215))</f>
        <v/>
      </c>
      <c r="AI228" s="245">
        <f>IF(AI$7="Actual","",IF($K228="Yes",AI215*(1+AI$59),AI215))</f>
        <v/>
      </c>
      <c r="AJ228" s="245">
        <f>IF(AJ$7="Actual","",IF($K228="Yes",AJ215*(1+AJ$59),AJ215))</f>
        <v/>
      </c>
      <c r="AK228" s="245">
        <f>IF(AK$7="Actual","",IF($K228="Yes",AK215*(1+AK$59),AK215))</f>
        <v/>
      </c>
      <c r="AL228" s="245">
        <f>IF(AL$7="Actual","",IF($K228="Yes",AL215*(1+AL$59),AL215))</f>
        <v/>
      </c>
      <c r="AM228" s="245">
        <f>IF(AM$7="Actual","",IF($K228="Yes",AM215*(1+AM$59),AM215))</f>
        <v/>
      </c>
      <c r="AN228" s="245">
        <f>IF(AN$7="Actual","",IF($K228="Yes",AN215*(1+AN$59),AN215))</f>
        <v/>
      </c>
      <c r="AO228" s="245">
        <f>IF(AO$7="Actual","",IF($K228="Yes",AO215*(1+AO$59),AO215))</f>
        <v/>
      </c>
      <c r="AP228" s="245">
        <f>IF(AP$7="Actual","",IF($K228="Yes",AP215*(1+AP$59),AP215))</f>
        <v/>
      </c>
      <c r="AQ228" s="245">
        <f>IF(AQ$7="Actual","",IF($K228="Yes",AQ215*(1+AQ$59),AQ215))</f>
        <v/>
      </c>
      <c r="AR228" s="245">
        <f>IF(AR$7="Actual","",IF($K228="Yes",AR215*(1+AR$59),AR215))</f>
        <v/>
      </c>
      <c r="AS228" s="245">
        <f>IF(AS$7="Actual","",IF($K228="Yes",AS215*(1+AS$59),AS215))</f>
        <v/>
      </c>
      <c r="AT228" s="245">
        <f>IF(AT$7="Actual","",IF($K228="Yes",AT215*(1+AT$59),AT215))</f>
        <v/>
      </c>
      <c r="AU228" s="245">
        <f>IF(AU$7="Actual","",IF($K228="Yes",AU215*(1+AU$59),AU215))</f>
        <v/>
      </c>
      <c r="AV228" s="245">
        <f>IF(AV$7="Actual","",IF($K228="Yes",AV215*(1+AV$59),AV215))</f>
        <v/>
      </c>
      <c r="AW228" s="245">
        <f>IF(AW$7="Actual","",IF($K228="Yes",AW215*(1+AW$59),AW215))</f>
        <v/>
      </c>
      <c r="AX228" s="245">
        <f>IF(AX$7="Actual","",IF($K228="Yes",AX215*(1+AX$59),AX215))</f>
        <v/>
      </c>
      <c r="AY228" s="245">
        <f>IF(AY$7="Actual","",IF($K228="Yes",AY215*(1+AY$59),AY215))</f>
        <v/>
      </c>
      <c r="AZ228" s="245">
        <f>IF(AZ$7="Actual","",IF($K228="Yes",AZ215*(1+AZ$59),AZ215))</f>
        <v/>
      </c>
      <c r="BA228" s="245">
        <f>IF(BA$7="Actual","",IF($K228="Yes",BA215*(1+BA$59),BA215))</f>
        <v/>
      </c>
      <c r="BB228" s="245">
        <f>IF(BB$7="Actual","",IF($K228="Yes",BB215*(1+BB$59),BB215))</f>
        <v/>
      </c>
      <c r="BC228" s="245">
        <f>IF(BC$7="Actual","",IF($K228="Yes",BC215*(1+BC$59),BC215))</f>
        <v/>
      </c>
      <c r="BD228" s="245">
        <f>IF(BD$7="Actual","",IF($K228="Yes",BD215*(1+BD$59),BD215))</f>
        <v/>
      </c>
      <c r="BE228" s="245">
        <f>IF(BE$7="Actual","",IF($K228="Yes",BE215*(1+BE$59),BE215))</f>
        <v/>
      </c>
      <c r="BF228" s="245">
        <f>IF(BF$7="Actual","",IF($K228="Yes",BF215*(1+BF$59),BF215))</f>
        <v/>
      </c>
      <c r="BG228" s="245">
        <f>IF(BG$7="Actual","",IF($K228="Yes",BG215*(1+BG$59),BG215))</f>
        <v/>
      </c>
      <c r="BH228" s="245">
        <f>IF(BH$7="Actual","",IF($K228="Yes",BH215*(1+BH$59),BH215))</f>
        <v/>
      </c>
      <c r="BI228" s="245">
        <f>IF(BI$7="Actual","",IF($K228="Yes",BI215*(1+BI$59),BI215))</f>
        <v/>
      </c>
      <c r="BJ228" s="245">
        <f>IF(BJ$7="Actual","",IF($K228="Yes",BJ215*(1+BJ$59),BJ215))</f>
        <v/>
      </c>
      <c r="BK228" s="245">
        <f>IF(BK$7="Actual","",IF($K228="Yes",BK215*(1+BK$59),BK215))</f>
        <v/>
      </c>
      <c r="BL228" s="245">
        <f>IF(BL$7="Actual","",IF($K228="Yes",BL215*(1+BL$59),BL215))</f>
        <v/>
      </c>
      <c r="BM228" s="245">
        <f>IF(BM$7="Actual","",IF($K228="Yes",BM215*(1+BM$59),BM215))</f>
        <v/>
      </c>
      <c r="BN228" s="245">
        <f>IF(BN$7="Actual","",IF($K228="Yes",BN215*(1+BN$59),BN215))</f>
        <v/>
      </c>
      <c r="BO228" s="245">
        <f>IF(BO$7="Actual","",IF($K228="Yes",BO215*(1+BO$59),BO215))</f>
        <v/>
      </c>
      <c r="BP228" s="245">
        <f>IF(BP$7="Actual","",IF($K228="Yes",BP215*(1+BP$59),BP215))</f>
        <v/>
      </c>
      <c r="BQ228" s="245">
        <f>IF(BQ$7="Actual","",IF($K228="Yes",BQ215*(1+BQ$59),BQ215))</f>
        <v/>
      </c>
      <c r="BR228" s="245">
        <f>IF(BR$7="Actual","",IF($K228="Yes",BR215*(1+BR$59),BR215))</f>
        <v/>
      </c>
      <c r="BS228" s="245">
        <f>IF(BS$7="Actual","",IF($K228="Yes",BS215*(1+BS$59),BS215))</f>
        <v/>
      </c>
      <c r="BT228" s="245">
        <f>IF(BT$7="Actual","",IF($K228="Yes",BT215*(1+BT$59),BT215))</f>
        <v/>
      </c>
      <c r="BU228" s="245">
        <f>IF(BU$7="Actual","",IF($K228="Yes",BU215*(1+BU$59),BU215))</f>
        <v/>
      </c>
      <c r="BV228" s="245">
        <f>IF(BV$7="Actual","",IF($K228="Yes",BV215*(1+BV$59),BV215))</f>
        <v/>
      </c>
      <c r="BW228" s="245">
        <f>IF(BW$7="Actual","",IF($K228="Yes",BW215*(1+BW$59),BW215))</f>
        <v/>
      </c>
      <c r="BX228" s="245">
        <f>IF(BX$7="Actual","",IF($K228="Yes",BX215*(1+BX$59),BX215))</f>
        <v/>
      </c>
      <c r="BY228" s="245">
        <f>IF(BY$7="Actual","",IF($K228="Yes",BY215*(1+BY$59),BY215))</f>
        <v/>
      </c>
      <c r="BZ228" s="245">
        <f>IF(BZ$7="Actual","",IF($K228="Yes",BZ215*(1+BZ$59),BZ215))</f>
        <v/>
      </c>
      <c r="CA228" s="245">
        <f>IF(CA$7="Actual","",IF($K228="Yes",CA215*(1+CA$59),CA215))</f>
        <v/>
      </c>
      <c r="CB228" s="245" t="n"/>
    </row>
    <row r="229" ht="12" customHeight="1" s="227">
      <c r="A229" s="244" t="n"/>
      <c r="B229" s="244" t="n"/>
      <c r="C229" s="244" t="n"/>
      <c r="H229" s="4">
        <f>H216</f>
        <v/>
      </c>
      <c r="I229" s="27">
        <f>i_Setup!$M$16</f>
        <v/>
      </c>
      <c r="K229" s="259">
        <f>i_Setup!P77</f>
        <v/>
      </c>
      <c r="M229" s="245">
        <f>SUMIF($T$4:$CA$4,M$4,$T229:$CA229)</f>
        <v/>
      </c>
      <c r="N229" s="245">
        <f>SUMIF($T$4:$CA$4,N$4,$T229:$CA229)</f>
        <v/>
      </c>
      <c r="O229" s="245">
        <f>SUMIF($T$4:$CA$4,O$4,$T229:$CA229)</f>
        <v/>
      </c>
      <c r="P229" s="245">
        <f>SUMIF($T$4:$CA$4,P$4,$T229:$CA229)</f>
        <v/>
      </c>
      <c r="Q229" s="245">
        <f>SUMIF($T$4:$CA$4,Q$4,$T229:$CA229)</f>
        <v/>
      </c>
      <c r="T229" s="245">
        <f>IF(T$7="Actual","",IF($K229="Yes",T216*(1+T$59),T216))</f>
        <v/>
      </c>
      <c r="U229" s="245">
        <f>IF(U$7="Actual","",IF($K229="Yes",U216*(1+U$59),U216))</f>
        <v/>
      </c>
      <c r="V229" s="245">
        <f>IF(V$7="Actual","",IF($K229="Yes",V216*(1+V$59),V216))</f>
        <v/>
      </c>
      <c r="W229" s="245">
        <f>IF(W$7="Actual","",IF($K229="Yes",W216*(1+W$59),W216))</f>
        <v/>
      </c>
      <c r="X229" s="245">
        <f>IF(X$7="Actual","",IF($K229="Yes",X216*(1+X$59),X216))</f>
        <v/>
      </c>
      <c r="Y229" s="245">
        <f>IF(Y$7="Actual","",IF($K229="Yes",Y216*(1+Y$59),Y216))</f>
        <v/>
      </c>
      <c r="Z229" s="245">
        <f>IF(Z$7="Actual","",IF($K229="Yes",Z216*(1+Z$59),Z216))</f>
        <v/>
      </c>
      <c r="AA229" s="245">
        <f>IF(AA$7="Actual","",IF($K229="Yes",AA216*(1+AA$59),AA216))</f>
        <v/>
      </c>
      <c r="AB229" s="245">
        <f>IF(AB$7="Actual","",IF($K229="Yes",AB216*(1+AB$59),AB216))</f>
        <v/>
      </c>
      <c r="AC229" s="245">
        <f>IF(AC$7="Actual","",IF($K229="Yes",AC216*(1+AC$59),AC216))</f>
        <v/>
      </c>
      <c r="AD229" s="245">
        <f>IF(AD$7="Actual","",IF($K229="Yes",AD216*(1+AD$59),AD216))</f>
        <v/>
      </c>
      <c r="AE229" s="245">
        <f>IF(AE$7="Actual","",IF($K229="Yes",AE216*(1+AE$59),AE216))</f>
        <v/>
      </c>
      <c r="AF229" s="245">
        <f>IF(AF$7="Actual","",IF($K229="Yes",AF216*(1+AF$59),AF216))</f>
        <v/>
      </c>
      <c r="AG229" s="245">
        <f>IF(AG$7="Actual","",IF($K229="Yes",AG216*(1+AG$59),AG216))</f>
        <v/>
      </c>
      <c r="AH229" s="245">
        <f>IF(AH$7="Actual","",IF($K229="Yes",AH216*(1+AH$59),AH216))</f>
        <v/>
      </c>
      <c r="AI229" s="245">
        <f>IF(AI$7="Actual","",IF($K229="Yes",AI216*(1+AI$59),AI216))</f>
        <v/>
      </c>
      <c r="AJ229" s="245">
        <f>IF(AJ$7="Actual","",IF($K229="Yes",AJ216*(1+AJ$59),AJ216))</f>
        <v/>
      </c>
      <c r="AK229" s="245">
        <f>IF(AK$7="Actual","",IF($K229="Yes",AK216*(1+AK$59),AK216))</f>
        <v/>
      </c>
      <c r="AL229" s="245">
        <f>IF(AL$7="Actual","",IF($K229="Yes",AL216*(1+AL$59),AL216))</f>
        <v/>
      </c>
      <c r="AM229" s="245">
        <f>IF(AM$7="Actual","",IF($K229="Yes",AM216*(1+AM$59),AM216))</f>
        <v/>
      </c>
      <c r="AN229" s="245">
        <f>IF(AN$7="Actual","",IF($K229="Yes",AN216*(1+AN$59),AN216))</f>
        <v/>
      </c>
      <c r="AO229" s="245">
        <f>IF(AO$7="Actual","",IF($K229="Yes",AO216*(1+AO$59),AO216))</f>
        <v/>
      </c>
      <c r="AP229" s="245">
        <f>IF(AP$7="Actual","",IF($K229="Yes",AP216*(1+AP$59),AP216))</f>
        <v/>
      </c>
      <c r="AQ229" s="245">
        <f>IF(AQ$7="Actual","",IF($K229="Yes",AQ216*(1+AQ$59),AQ216))</f>
        <v/>
      </c>
      <c r="AR229" s="245">
        <f>IF(AR$7="Actual","",IF($K229="Yes",AR216*(1+AR$59),AR216))</f>
        <v/>
      </c>
      <c r="AS229" s="245">
        <f>IF(AS$7="Actual","",IF($K229="Yes",AS216*(1+AS$59),AS216))</f>
        <v/>
      </c>
      <c r="AT229" s="245">
        <f>IF(AT$7="Actual","",IF($K229="Yes",AT216*(1+AT$59),AT216))</f>
        <v/>
      </c>
      <c r="AU229" s="245">
        <f>IF(AU$7="Actual","",IF($K229="Yes",AU216*(1+AU$59),AU216))</f>
        <v/>
      </c>
      <c r="AV229" s="245">
        <f>IF(AV$7="Actual","",IF($K229="Yes",AV216*(1+AV$59),AV216))</f>
        <v/>
      </c>
      <c r="AW229" s="245">
        <f>IF(AW$7="Actual","",IF($K229="Yes",AW216*(1+AW$59),AW216))</f>
        <v/>
      </c>
      <c r="AX229" s="245">
        <f>IF(AX$7="Actual","",IF($K229="Yes",AX216*(1+AX$59),AX216))</f>
        <v/>
      </c>
      <c r="AY229" s="245">
        <f>IF(AY$7="Actual","",IF($K229="Yes",AY216*(1+AY$59),AY216))</f>
        <v/>
      </c>
      <c r="AZ229" s="245">
        <f>IF(AZ$7="Actual","",IF($K229="Yes",AZ216*(1+AZ$59),AZ216))</f>
        <v/>
      </c>
      <c r="BA229" s="245">
        <f>IF(BA$7="Actual","",IF($K229="Yes",BA216*(1+BA$59),BA216))</f>
        <v/>
      </c>
      <c r="BB229" s="245">
        <f>IF(BB$7="Actual","",IF($K229="Yes",BB216*(1+BB$59),BB216))</f>
        <v/>
      </c>
      <c r="BC229" s="245">
        <f>IF(BC$7="Actual","",IF($K229="Yes",BC216*(1+BC$59),BC216))</f>
        <v/>
      </c>
      <c r="BD229" s="245">
        <f>IF(BD$7="Actual","",IF($K229="Yes",BD216*(1+BD$59),BD216))</f>
        <v/>
      </c>
      <c r="BE229" s="245">
        <f>IF(BE$7="Actual","",IF($K229="Yes",BE216*(1+BE$59),BE216))</f>
        <v/>
      </c>
      <c r="BF229" s="245">
        <f>IF(BF$7="Actual","",IF($K229="Yes",BF216*(1+BF$59),BF216))</f>
        <v/>
      </c>
      <c r="BG229" s="245">
        <f>IF(BG$7="Actual","",IF($K229="Yes",BG216*(1+BG$59),BG216))</f>
        <v/>
      </c>
      <c r="BH229" s="245">
        <f>IF(BH$7="Actual","",IF($K229="Yes",BH216*(1+BH$59),BH216))</f>
        <v/>
      </c>
      <c r="BI229" s="245">
        <f>IF(BI$7="Actual","",IF($K229="Yes",BI216*(1+BI$59),BI216))</f>
        <v/>
      </c>
      <c r="BJ229" s="245">
        <f>IF(BJ$7="Actual","",IF($K229="Yes",BJ216*(1+BJ$59),BJ216))</f>
        <v/>
      </c>
      <c r="BK229" s="245">
        <f>IF(BK$7="Actual","",IF($K229="Yes",BK216*(1+BK$59),BK216))</f>
        <v/>
      </c>
      <c r="BL229" s="245">
        <f>IF(BL$7="Actual","",IF($K229="Yes",BL216*(1+BL$59),BL216))</f>
        <v/>
      </c>
      <c r="BM229" s="245">
        <f>IF(BM$7="Actual","",IF($K229="Yes",BM216*(1+BM$59),BM216))</f>
        <v/>
      </c>
      <c r="BN229" s="245">
        <f>IF(BN$7="Actual","",IF($K229="Yes",BN216*(1+BN$59),BN216))</f>
        <v/>
      </c>
      <c r="BO229" s="245">
        <f>IF(BO$7="Actual","",IF($K229="Yes",BO216*(1+BO$59),BO216))</f>
        <v/>
      </c>
      <c r="BP229" s="245">
        <f>IF(BP$7="Actual","",IF($K229="Yes",BP216*(1+BP$59),BP216))</f>
        <v/>
      </c>
      <c r="BQ229" s="245">
        <f>IF(BQ$7="Actual","",IF($K229="Yes",BQ216*(1+BQ$59),BQ216))</f>
        <v/>
      </c>
      <c r="BR229" s="245">
        <f>IF(BR$7="Actual","",IF($K229="Yes",BR216*(1+BR$59),BR216))</f>
        <v/>
      </c>
      <c r="BS229" s="245">
        <f>IF(BS$7="Actual","",IF($K229="Yes",BS216*(1+BS$59),BS216))</f>
        <v/>
      </c>
      <c r="BT229" s="245">
        <f>IF(BT$7="Actual","",IF($K229="Yes",BT216*(1+BT$59),BT216))</f>
        <v/>
      </c>
      <c r="BU229" s="245">
        <f>IF(BU$7="Actual","",IF($K229="Yes",BU216*(1+BU$59),BU216))</f>
        <v/>
      </c>
      <c r="BV229" s="245">
        <f>IF(BV$7="Actual","",IF($K229="Yes",BV216*(1+BV$59),BV216))</f>
        <v/>
      </c>
      <c r="BW229" s="245">
        <f>IF(BW$7="Actual","",IF($K229="Yes",BW216*(1+BW$59),BW216))</f>
        <v/>
      </c>
      <c r="BX229" s="245">
        <f>IF(BX$7="Actual","",IF($K229="Yes",BX216*(1+BX$59),BX216))</f>
        <v/>
      </c>
      <c r="BY229" s="245">
        <f>IF(BY$7="Actual","",IF($K229="Yes",BY216*(1+BY$59),BY216))</f>
        <v/>
      </c>
      <c r="BZ229" s="245">
        <f>IF(BZ$7="Actual","",IF($K229="Yes",BZ216*(1+BZ$59),BZ216))</f>
        <v/>
      </c>
      <c r="CA229" s="245">
        <f>IF(CA$7="Actual","",IF($K229="Yes",CA216*(1+CA$59),CA216))</f>
        <v/>
      </c>
      <c r="CB229" s="245" t="n"/>
    </row>
    <row r="230" ht="12" customHeight="1" s="227">
      <c r="A230" s="244" t="n"/>
      <c r="B230" s="244" t="n"/>
      <c r="C230" s="244" t="n"/>
      <c r="H230" s="4">
        <f>H217</f>
        <v/>
      </c>
      <c r="I230" s="27">
        <f>i_Setup!$M$16</f>
        <v/>
      </c>
      <c r="K230" s="259">
        <f>i_Setup!P78</f>
        <v/>
      </c>
      <c r="M230" s="245">
        <f>SUMIF($T$4:$CA$4,M$4,$T230:$CA230)</f>
        <v/>
      </c>
      <c r="N230" s="245">
        <f>SUMIF($T$4:$CA$4,N$4,$T230:$CA230)</f>
        <v/>
      </c>
      <c r="O230" s="245">
        <f>SUMIF($T$4:$CA$4,O$4,$T230:$CA230)</f>
        <v/>
      </c>
      <c r="P230" s="245">
        <f>SUMIF($T$4:$CA$4,P$4,$T230:$CA230)</f>
        <v/>
      </c>
      <c r="Q230" s="245">
        <f>SUMIF($T$4:$CA$4,Q$4,$T230:$CA230)</f>
        <v/>
      </c>
      <c r="T230" s="245">
        <f>IF(T$7="Actual","",IF($K230="Yes",T217*(1+T$59),T217))</f>
        <v/>
      </c>
      <c r="U230" s="245">
        <f>IF(U$7="Actual","",IF($K230="Yes",U217*(1+U$59),U217))</f>
        <v/>
      </c>
      <c r="V230" s="245">
        <f>IF(V$7="Actual","",IF($K230="Yes",V217*(1+V$59),V217))</f>
        <v/>
      </c>
      <c r="W230" s="245">
        <f>IF(W$7="Actual","",IF($K230="Yes",W217*(1+W$59),W217))</f>
        <v/>
      </c>
      <c r="X230" s="245">
        <f>IF(X$7="Actual","",IF($K230="Yes",X217*(1+X$59),X217))</f>
        <v/>
      </c>
      <c r="Y230" s="245">
        <f>IF(Y$7="Actual","",IF($K230="Yes",Y217*(1+Y$59),Y217))</f>
        <v/>
      </c>
      <c r="Z230" s="245">
        <f>IF(Z$7="Actual","",IF($K230="Yes",Z217*(1+Z$59),Z217))</f>
        <v/>
      </c>
      <c r="AA230" s="245">
        <f>IF(AA$7="Actual","",IF($K230="Yes",AA217*(1+AA$59),AA217))</f>
        <v/>
      </c>
      <c r="AB230" s="245">
        <f>IF(AB$7="Actual","",IF($K230="Yes",AB217*(1+AB$59),AB217))</f>
        <v/>
      </c>
      <c r="AC230" s="245">
        <f>IF(AC$7="Actual","",IF($K230="Yes",AC217*(1+AC$59),AC217))</f>
        <v/>
      </c>
      <c r="AD230" s="245">
        <f>IF(AD$7="Actual","",IF($K230="Yes",AD217*(1+AD$59),AD217))</f>
        <v/>
      </c>
      <c r="AE230" s="245">
        <f>IF(AE$7="Actual","",IF($K230="Yes",AE217*(1+AE$59),AE217))</f>
        <v/>
      </c>
      <c r="AF230" s="245">
        <f>IF(AF$7="Actual","",IF($K230="Yes",AF217*(1+AF$59),AF217))</f>
        <v/>
      </c>
      <c r="AG230" s="245">
        <f>IF(AG$7="Actual","",IF($K230="Yes",AG217*(1+AG$59),AG217))</f>
        <v/>
      </c>
      <c r="AH230" s="245">
        <f>IF(AH$7="Actual","",IF($K230="Yes",AH217*(1+AH$59),AH217))</f>
        <v/>
      </c>
      <c r="AI230" s="245">
        <f>IF(AI$7="Actual","",IF($K230="Yes",AI217*(1+AI$59),AI217))</f>
        <v/>
      </c>
      <c r="AJ230" s="245">
        <f>IF(AJ$7="Actual","",IF($K230="Yes",AJ217*(1+AJ$59),AJ217))</f>
        <v/>
      </c>
      <c r="AK230" s="245">
        <f>IF(AK$7="Actual","",IF($K230="Yes",AK217*(1+AK$59),AK217))</f>
        <v/>
      </c>
      <c r="AL230" s="245">
        <f>IF(AL$7="Actual","",IF($K230="Yes",AL217*(1+AL$59),AL217))</f>
        <v/>
      </c>
      <c r="AM230" s="245">
        <f>IF(AM$7="Actual","",IF($K230="Yes",AM217*(1+AM$59),AM217))</f>
        <v/>
      </c>
      <c r="AN230" s="245">
        <f>IF(AN$7="Actual","",IF($K230="Yes",AN217*(1+AN$59),AN217))</f>
        <v/>
      </c>
      <c r="AO230" s="245">
        <f>IF(AO$7="Actual","",IF($K230="Yes",AO217*(1+AO$59),AO217))</f>
        <v/>
      </c>
      <c r="AP230" s="245">
        <f>IF(AP$7="Actual","",IF($K230="Yes",AP217*(1+AP$59),AP217))</f>
        <v/>
      </c>
      <c r="AQ230" s="245">
        <f>IF(AQ$7="Actual","",IF($K230="Yes",AQ217*(1+AQ$59),AQ217))</f>
        <v/>
      </c>
      <c r="AR230" s="245">
        <f>IF(AR$7="Actual","",IF($K230="Yes",AR217*(1+AR$59),AR217))</f>
        <v/>
      </c>
      <c r="AS230" s="245">
        <f>IF(AS$7="Actual","",IF($K230="Yes",AS217*(1+AS$59),AS217))</f>
        <v/>
      </c>
      <c r="AT230" s="245">
        <f>IF(AT$7="Actual","",IF($K230="Yes",AT217*(1+AT$59),AT217))</f>
        <v/>
      </c>
      <c r="AU230" s="245">
        <f>IF(AU$7="Actual","",IF($K230="Yes",AU217*(1+AU$59),AU217))</f>
        <v/>
      </c>
      <c r="AV230" s="245">
        <f>IF(AV$7="Actual","",IF($K230="Yes",AV217*(1+AV$59),AV217))</f>
        <v/>
      </c>
      <c r="AW230" s="245">
        <f>IF(AW$7="Actual","",IF($K230="Yes",AW217*(1+AW$59),AW217))</f>
        <v/>
      </c>
      <c r="AX230" s="245">
        <f>IF(AX$7="Actual","",IF($K230="Yes",AX217*(1+AX$59),AX217))</f>
        <v/>
      </c>
      <c r="AY230" s="245">
        <f>IF(AY$7="Actual","",IF($K230="Yes",AY217*(1+AY$59),AY217))</f>
        <v/>
      </c>
      <c r="AZ230" s="245">
        <f>IF(AZ$7="Actual","",IF($K230="Yes",AZ217*(1+AZ$59),AZ217))</f>
        <v/>
      </c>
      <c r="BA230" s="245">
        <f>IF(BA$7="Actual","",IF($K230="Yes",BA217*(1+BA$59),BA217))</f>
        <v/>
      </c>
      <c r="BB230" s="245">
        <f>IF(BB$7="Actual","",IF($K230="Yes",BB217*(1+BB$59),BB217))</f>
        <v/>
      </c>
      <c r="BC230" s="245">
        <f>IF(BC$7="Actual","",IF($K230="Yes",BC217*(1+BC$59),BC217))</f>
        <v/>
      </c>
      <c r="BD230" s="245">
        <f>IF(BD$7="Actual","",IF($K230="Yes",BD217*(1+BD$59),BD217))</f>
        <v/>
      </c>
      <c r="BE230" s="245">
        <f>IF(BE$7="Actual","",IF($K230="Yes",BE217*(1+BE$59),BE217))</f>
        <v/>
      </c>
      <c r="BF230" s="245">
        <f>IF(BF$7="Actual","",IF($K230="Yes",BF217*(1+BF$59),BF217))</f>
        <v/>
      </c>
      <c r="BG230" s="245">
        <f>IF(BG$7="Actual","",IF($K230="Yes",BG217*(1+BG$59),BG217))</f>
        <v/>
      </c>
      <c r="BH230" s="245">
        <f>IF(BH$7="Actual","",IF($K230="Yes",BH217*(1+BH$59),BH217))</f>
        <v/>
      </c>
      <c r="BI230" s="245">
        <f>IF(BI$7="Actual","",IF($K230="Yes",BI217*(1+BI$59),BI217))</f>
        <v/>
      </c>
      <c r="BJ230" s="245">
        <f>IF(BJ$7="Actual","",IF($K230="Yes",BJ217*(1+BJ$59),BJ217))</f>
        <v/>
      </c>
      <c r="BK230" s="245">
        <f>IF(BK$7="Actual","",IF($K230="Yes",BK217*(1+BK$59),BK217))</f>
        <v/>
      </c>
      <c r="BL230" s="245">
        <f>IF(BL$7="Actual","",IF($K230="Yes",BL217*(1+BL$59),BL217))</f>
        <v/>
      </c>
      <c r="BM230" s="245">
        <f>IF(BM$7="Actual","",IF($K230="Yes",BM217*(1+BM$59),BM217))</f>
        <v/>
      </c>
      <c r="BN230" s="245">
        <f>IF(BN$7="Actual","",IF($K230="Yes",BN217*(1+BN$59),BN217))</f>
        <v/>
      </c>
      <c r="BO230" s="245">
        <f>IF(BO$7="Actual","",IF($K230="Yes",BO217*(1+BO$59),BO217))</f>
        <v/>
      </c>
      <c r="BP230" s="245">
        <f>IF(BP$7="Actual","",IF($K230="Yes",BP217*(1+BP$59),BP217))</f>
        <v/>
      </c>
      <c r="BQ230" s="245">
        <f>IF(BQ$7="Actual","",IF($K230="Yes",BQ217*(1+BQ$59),BQ217))</f>
        <v/>
      </c>
      <c r="BR230" s="245">
        <f>IF(BR$7="Actual","",IF($K230="Yes",BR217*(1+BR$59),BR217))</f>
        <v/>
      </c>
      <c r="BS230" s="245">
        <f>IF(BS$7="Actual","",IF($K230="Yes",BS217*(1+BS$59),BS217))</f>
        <v/>
      </c>
      <c r="BT230" s="245">
        <f>IF(BT$7="Actual","",IF($K230="Yes",BT217*(1+BT$59),BT217))</f>
        <v/>
      </c>
      <c r="BU230" s="245">
        <f>IF(BU$7="Actual","",IF($K230="Yes",BU217*(1+BU$59),BU217))</f>
        <v/>
      </c>
      <c r="BV230" s="245">
        <f>IF(BV$7="Actual","",IF($K230="Yes",BV217*(1+BV$59),BV217))</f>
        <v/>
      </c>
      <c r="BW230" s="245">
        <f>IF(BW$7="Actual","",IF($K230="Yes",BW217*(1+BW$59),BW217))</f>
        <v/>
      </c>
      <c r="BX230" s="245">
        <f>IF(BX$7="Actual","",IF($K230="Yes",BX217*(1+BX$59),BX217))</f>
        <v/>
      </c>
      <c r="BY230" s="245">
        <f>IF(BY$7="Actual","",IF($K230="Yes",BY217*(1+BY$59),BY217))</f>
        <v/>
      </c>
      <c r="BZ230" s="245">
        <f>IF(BZ$7="Actual","",IF($K230="Yes",BZ217*(1+BZ$59),BZ217))</f>
        <v/>
      </c>
      <c r="CA230" s="245">
        <f>IF(CA$7="Actual","",IF($K230="Yes",CA217*(1+CA$59),CA217))</f>
        <v/>
      </c>
      <c r="CB230" s="245" t="n"/>
    </row>
    <row r="231" ht="12" customHeight="1" s="227">
      <c r="A231" s="244" t="n"/>
      <c r="B231" s="244" t="n"/>
      <c r="C231" s="244" t="n"/>
      <c r="H231" s="4">
        <f>H218</f>
        <v/>
      </c>
      <c r="I231" s="27">
        <f>i_Setup!$M$16</f>
        <v/>
      </c>
      <c r="K231" s="259">
        <f>i_Setup!P79</f>
        <v/>
      </c>
      <c r="M231" s="245">
        <f>SUMIF($T$4:$CA$4,M$4,$T231:$CA231)</f>
        <v/>
      </c>
      <c r="N231" s="245">
        <f>SUMIF($T$4:$CA$4,N$4,$T231:$CA231)</f>
        <v/>
      </c>
      <c r="O231" s="245">
        <f>SUMIF($T$4:$CA$4,O$4,$T231:$CA231)</f>
        <v/>
      </c>
      <c r="P231" s="245">
        <f>SUMIF($T$4:$CA$4,P$4,$T231:$CA231)</f>
        <v/>
      </c>
      <c r="Q231" s="245">
        <f>SUMIF($T$4:$CA$4,Q$4,$T231:$CA231)</f>
        <v/>
      </c>
      <c r="T231" s="245">
        <f>IF(T$7="Actual","",IF($K231="Yes",T218*(1+T$59),T218))</f>
        <v/>
      </c>
      <c r="U231" s="245">
        <f>IF(U$7="Actual","",IF($K231="Yes",U218*(1+U$59),U218))</f>
        <v/>
      </c>
      <c r="V231" s="245">
        <f>IF(V$7="Actual","",IF($K231="Yes",V218*(1+V$59),V218))</f>
        <v/>
      </c>
      <c r="W231" s="245">
        <f>IF(W$7="Actual","",IF($K231="Yes",W218*(1+W$59),W218))</f>
        <v/>
      </c>
      <c r="X231" s="245">
        <f>IF(X$7="Actual","",IF($K231="Yes",X218*(1+X$59),X218))</f>
        <v/>
      </c>
      <c r="Y231" s="245">
        <f>IF(Y$7="Actual","",IF($K231="Yes",Y218*(1+Y$59),Y218))</f>
        <v/>
      </c>
      <c r="Z231" s="245">
        <f>IF(Z$7="Actual","",IF($K231="Yes",Z218*(1+Z$59),Z218))</f>
        <v/>
      </c>
      <c r="AA231" s="245">
        <f>IF(AA$7="Actual","",IF($K231="Yes",AA218*(1+AA$59),AA218))</f>
        <v/>
      </c>
      <c r="AB231" s="245">
        <f>IF(AB$7="Actual","",IF($K231="Yes",AB218*(1+AB$59),AB218))</f>
        <v/>
      </c>
      <c r="AC231" s="245">
        <f>IF(AC$7="Actual","",IF($K231="Yes",AC218*(1+AC$59),AC218))</f>
        <v/>
      </c>
      <c r="AD231" s="245">
        <f>IF(AD$7="Actual","",IF($K231="Yes",AD218*(1+AD$59),AD218))</f>
        <v/>
      </c>
      <c r="AE231" s="245">
        <f>IF(AE$7="Actual","",IF($K231="Yes",AE218*(1+AE$59),AE218))</f>
        <v/>
      </c>
      <c r="AF231" s="245">
        <f>IF(AF$7="Actual","",IF($K231="Yes",AF218*(1+AF$59),AF218))</f>
        <v/>
      </c>
      <c r="AG231" s="245">
        <f>IF(AG$7="Actual","",IF($K231="Yes",AG218*(1+AG$59),AG218))</f>
        <v/>
      </c>
      <c r="AH231" s="245">
        <f>IF(AH$7="Actual","",IF($K231="Yes",AH218*(1+AH$59),AH218))</f>
        <v/>
      </c>
      <c r="AI231" s="245">
        <f>IF(AI$7="Actual","",IF($K231="Yes",AI218*(1+AI$59),AI218))</f>
        <v/>
      </c>
      <c r="AJ231" s="245">
        <f>IF(AJ$7="Actual","",IF($K231="Yes",AJ218*(1+AJ$59),AJ218))</f>
        <v/>
      </c>
      <c r="AK231" s="245">
        <f>IF(AK$7="Actual","",IF($K231="Yes",AK218*(1+AK$59),AK218))</f>
        <v/>
      </c>
      <c r="AL231" s="245">
        <f>IF(AL$7="Actual","",IF($K231="Yes",AL218*(1+AL$59),AL218))</f>
        <v/>
      </c>
      <c r="AM231" s="245">
        <f>IF(AM$7="Actual","",IF($K231="Yes",AM218*(1+AM$59),AM218))</f>
        <v/>
      </c>
      <c r="AN231" s="245">
        <f>IF(AN$7="Actual","",IF($K231="Yes",AN218*(1+AN$59),AN218))</f>
        <v/>
      </c>
      <c r="AO231" s="245">
        <f>IF(AO$7="Actual","",IF($K231="Yes",AO218*(1+AO$59),AO218))</f>
        <v/>
      </c>
      <c r="AP231" s="245">
        <f>IF(AP$7="Actual","",IF($K231="Yes",AP218*(1+AP$59),AP218))</f>
        <v/>
      </c>
      <c r="AQ231" s="245">
        <f>IF(AQ$7="Actual","",IF($K231="Yes",AQ218*(1+AQ$59),AQ218))</f>
        <v/>
      </c>
      <c r="AR231" s="245">
        <f>IF(AR$7="Actual","",IF($K231="Yes",AR218*(1+AR$59),AR218))</f>
        <v/>
      </c>
      <c r="AS231" s="245">
        <f>IF(AS$7="Actual","",IF($K231="Yes",AS218*(1+AS$59),AS218))</f>
        <v/>
      </c>
      <c r="AT231" s="245">
        <f>IF(AT$7="Actual","",IF($K231="Yes",AT218*(1+AT$59),AT218))</f>
        <v/>
      </c>
      <c r="AU231" s="245">
        <f>IF(AU$7="Actual","",IF($K231="Yes",AU218*(1+AU$59),AU218))</f>
        <v/>
      </c>
      <c r="AV231" s="245">
        <f>IF(AV$7="Actual","",IF($K231="Yes",AV218*(1+AV$59),AV218))</f>
        <v/>
      </c>
      <c r="AW231" s="245">
        <f>IF(AW$7="Actual","",IF($K231="Yes",AW218*(1+AW$59),AW218))</f>
        <v/>
      </c>
      <c r="AX231" s="245">
        <f>IF(AX$7="Actual","",IF($K231="Yes",AX218*(1+AX$59),AX218))</f>
        <v/>
      </c>
      <c r="AY231" s="245">
        <f>IF(AY$7="Actual","",IF($K231="Yes",AY218*(1+AY$59),AY218))</f>
        <v/>
      </c>
      <c r="AZ231" s="245">
        <f>IF(AZ$7="Actual","",IF($K231="Yes",AZ218*(1+AZ$59),AZ218))</f>
        <v/>
      </c>
      <c r="BA231" s="245">
        <f>IF(BA$7="Actual","",IF($K231="Yes",BA218*(1+BA$59),BA218))</f>
        <v/>
      </c>
      <c r="BB231" s="245">
        <f>IF(BB$7="Actual","",IF($K231="Yes",BB218*(1+BB$59),BB218))</f>
        <v/>
      </c>
      <c r="BC231" s="245">
        <f>IF(BC$7="Actual","",IF($K231="Yes",BC218*(1+BC$59),BC218))</f>
        <v/>
      </c>
      <c r="BD231" s="245">
        <f>IF(BD$7="Actual","",IF($K231="Yes",BD218*(1+BD$59),BD218))</f>
        <v/>
      </c>
      <c r="BE231" s="245">
        <f>IF(BE$7="Actual","",IF($K231="Yes",BE218*(1+BE$59),BE218))</f>
        <v/>
      </c>
      <c r="BF231" s="245">
        <f>IF(BF$7="Actual","",IF($K231="Yes",BF218*(1+BF$59),BF218))</f>
        <v/>
      </c>
      <c r="BG231" s="245">
        <f>IF(BG$7="Actual","",IF($K231="Yes",BG218*(1+BG$59),BG218))</f>
        <v/>
      </c>
      <c r="BH231" s="245">
        <f>IF(BH$7="Actual","",IF($K231="Yes",BH218*(1+BH$59),BH218))</f>
        <v/>
      </c>
      <c r="BI231" s="245">
        <f>IF(BI$7="Actual","",IF($K231="Yes",BI218*(1+BI$59),BI218))</f>
        <v/>
      </c>
      <c r="BJ231" s="245">
        <f>IF(BJ$7="Actual","",IF($K231="Yes",BJ218*(1+BJ$59),BJ218))</f>
        <v/>
      </c>
      <c r="BK231" s="245">
        <f>IF(BK$7="Actual","",IF($K231="Yes",BK218*(1+BK$59),BK218))</f>
        <v/>
      </c>
      <c r="BL231" s="245">
        <f>IF(BL$7="Actual","",IF($K231="Yes",BL218*(1+BL$59),BL218))</f>
        <v/>
      </c>
      <c r="BM231" s="245">
        <f>IF(BM$7="Actual","",IF($K231="Yes",BM218*(1+BM$59),BM218))</f>
        <v/>
      </c>
      <c r="BN231" s="245">
        <f>IF(BN$7="Actual","",IF($K231="Yes",BN218*(1+BN$59),BN218))</f>
        <v/>
      </c>
      <c r="BO231" s="245">
        <f>IF(BO$7="Actual","",IF($K231="Yes",BO218*(1+BO$59),BO218))</f>
        <v/>
      </c>
      <c r="BP231" s="245">
        <f>IF(BP$7="Actual","",IF($K231="Yes",BP218*(1+BP$59),BP218))</f>
        <v/>
      </c>
      <c r="BQ231" s="245">
        <f>IF(BQ$7="Actual","",IF($K231="Yes",BQ218*(1+BQ$59),BQ218))</f>
        <v/>
      </c>
      <c r="BR231" s="245">
        <f>IF(BR$7="Actual","",IF($K231="Yes",BR218*(1+BR$59),BR218))</f>
        <v/>
      </c>
      <c r="BS231" s="245">
        <f>IF(BS$7="Actual","",IF($K231="Yes",BS218*(1+BS$59),BS218))</f>
        <v/>
      </c>
      <c r="BT231" s="245">
        <f>IF(BT$7="Actual","",IF($K231="Yes",BT218*(1+BT$59),BT218))</f>
        <v/>
      </c>
      <c r="BU231" s="245">
        <f>IF(BU$7="Actual","",IF($K231="Yes",BU218*(1+BU$59),BU218))</f>
        <v/>
      </c>
      <c r="BV231" s="245">
        <f>IF(BV$7="Actual","",IF($K231="Yes",BV218*(1+BV$59),BV218))</f>
        <v/>
      </c>
      <c r="BW231" s="245">
        <f>IF(BW$7="Actual","",IF($K231="Yes",BW218*(1+BW$59),BW218))</f>
        <v/>
      </c>
      <c r="BX231" s="245">
        <f>IF(BX$7="Actual","",IF($K231="Yes",BX218*(1+BX$59),BX218))</f>
        <v/>
      </c>
      <c r="BY231" s="245">
        <f>IF(BY$7="Actual","",IF($K231="Yes",BY218*(1+BY$59),BY218))</f>
        <v/>
      </c>
      <c r="BZ231" s="245">
        <f>IF(BZ$7="Actual","",IF($K231="Yes",BZ218*(1+BZ$59),BZ218))</f>
        <v/>
      </c>
      <c r="CA231" s="245">
        <f>IF(CA$7="Actual","",IF($K231="Yes",CA218*(1+CA$59),CA218))</f>
        <v/>
      </c>
      <c r="CB231" s="245" t="n"/>
    </row>
    <row r="232" ht="12" customHeight="1" s="227">
      <c r="A232" s="244" t="n"/>
      <c r="B232" s="244" t="n"/>
      <c r="C232" s="244" t="n"/>
      <c r="H232" s="4">
        <f>H219</f>
        <v/>
      </c>
      <c r="I232" s="27">
        <f>i_Setup!$M$16</f>
        <v/>
      </c>
      <c r="K232" s="259">
        <f>i_Setup!P80</f>
        <v/>
      </c>
      <c r="M232" s="245">
        <f>SUMIF($T$4:$CA$4,M$4,$T232:$CA232)</f>
        <v/>
      </c>
      <c r="N232" s="245">
        <f>SUMIF($T$4:$CA$4,N$4,$T232:$CA232)</f>
        <v/>
      </c>
      <c r="O232" s="245">
        <f>SUMIF($T$4:$CA$4,O$4,$T232:$CA232)</f>
        <v/>
      </c>
      <c r="P232" s="245">
        <f>SUMIF($T$4:$CA$4,P$4,$T232:$CA232)</f>
        <v/>
      </c>
      <c r="Q232" s="245">
        <f>SUMIF($T$4:$CA$4,Q$4,$T232:$CA232)</f>
        <v/>
      </c>
      <c r="T232" s="245">
        <f>IF(T$7="Actual","",IF($K232="Yes",T219*(1+T$59),T219))</f>
        <v/>
      </c>
      <c r="U232" s="245">
        <f>IF(U$7="Actual","",IF($K232="Yes",U219*(1+U$59),U219))</f>
        <v/>
      </c>
      <c r="V232" s="245">
        <f>IF(V$7="Actual","",IF($K232="Yes",V219*(1+V$59),V219))</f>
        <v/>
      </c>
      <c r="W232" s="245">
        <f>IF(W$7="Actual","",IF($K232="Yes",W219*(1+W$59),W219))</f>
        <v/>
      </c>
      <c r="X232" s="245">
        <f>IF(X$7="Actual","",IF($K232="Yes",X219*(1+X$59),X219))</f>
        <v/>
      </c>
      <c r="Y232" s="245">
        <f>IF(Y$7="Actual","",IF($K232="Yes",Y219*(1+Y$59),Y219))</f>
        <v/>
      </c>
      <c r="Z232" s="245">
        <f>IF(Z$7="Actual","",IF($K232="Yes",Z219*(1+Z$59),Z219))</f>
        <v/>
      </c>
      <c r="AA232" s="245">
        <f>IF(AA$7="Actual","",IF($K232="Yes",AA219*(1+AA$59),AA219))</f>
        <v/>
      </c>
      <c r="AB232" s="245">
        <f>IF(AB$7="Actual","",IF($K232="Yes",AB219*(1+AB$59),AB219))</f>
        <v/>
      </c>
      <c r="AC232" s="245">
        <f>IF(AC$7="Actual","",IF($K232="Yes",AC219*(1+AC$59),AC219))</f>
        <v/>
      </c>
      <c r="AD232" s="245">
        <f>IF(AD$7="Actual","",IF($K232="Yes",AD219*(1+AD$59),AD219))</f>
        <v/>
      </c>
      <c r="AE232" s="245">
        <f>IF(AE$7="Actual","",IF($K232="Yes",AE219*(1+AE$59),AE219))</f>
        <v/>
      </c>
      <c r="AF232" s="245">
        <f>IF(AF$7="Actual","",IF($K232="Yes",AF219*(1+AF$59),AF219))</f>
        <v/>
      </c>
      <c r="AG232" s="245">
        <f>IF(AG$7="Actual","",IF($K232="Yes",AG219*(1+AG$59),AG219))</f>
        <v/>
      </c>
      <c r="AH232" s="245">
        <f>IF(AH$7="Actual","",IF($K232="Yes",AH219*(1+AH$59),AH219))</f>
        <v/>
      </c>
      <c r="AI232" s="245">
        <f>IF(AI$7="Actual","",IF($K232="Yes",AI219*(1+AI$59),AI219))</f>
        <v/>
      </c>
      <c r="AJ232" s="245">
        <f>IF(AJ$7="Actual","",IF($K232="Yes",AJ219*(1+AJ$59),AJ219))</f>
        <v/>
      </c>
      <c r="AK232" s="245">
        <f>IF(AK$7="Actual","",IF($K232="Yes",AK219*(1+AK$59),AK219))</f>
        <v/>
      </c>
      <c r="AL232" s="245">
        <f>IF(AL$7="Actual","",IF($K232="Yes",AL219*(1+AL$59),AL219))</f>
        <v/>
      </c>
      <c r="AM232" s="245">
        <f>IF(AM$7="Actual","",IF($K232="Yes",AM219*(1+AM$59),AM219))</f>
        <v/>
      </c>
      <c r="AN232" s="245">
        <f>IF(AN$7="Actual","",IF($K232="Yes",AN219*(1+AN$59),AN219))</f>
        <v/>
      </c>
      <c r="AO232" s="245">
        <f>IF(AO$7="Actual","",IF($K232="Yes",AO219*(1+AO$59),AO219))</f>
        <v/>
      </c>
      <c r="AP232" s="245">
        <f>IF(AP$7="Actual","",IF($K232="Yes",AP219*(1+AP$59),AP219))</f>
        <v/>
      </c>
      <c r="AQ232" s="245">
        <f>IF(AQ$7="Actual","",IF($K232="Yes",AQ219*(1+AQ$59),AQ219))</f>
        <v/>
      </c>
      <c r="AR232" s="245">
        <f>IF(AR$7="Actual","",IF($K232="Yes",AR219*(1+AR$59),AR219))</f>
        <v/>
      </c>
      <c r="AS232" s="245">
        <f>IF(AS$7="Actual","",IF($K232="Yes",AS219*(1+AS$59),AS219))</f>
        <v/>
      </c>
      <c r="AT232" s="245">
        <f>IF(AT$7="Actual","",IF($K232="Yes",AT219*(1+AT$59),AT219))</f>
        <v/>
      </c>
      <c r="AU232" s="245">
        <f>IF(AU$7="Actual","",IF($K232="Yes",AU219*(1+AU$59),AU219))</f>
        <v/>
      </c>
      <c r="AV232" s="245">
        <f>IF(AV$7="Actual","",IF($K232="Yes",AV219*(1+AV$59),AV219))</f>
        <v/>
      </c>
      <c r="AW232" s="245">
        <f>IF(AW$7="Actual","",IF($K232="Yes",AW219*(1+AW$59),AW219))</f>
        <v/>
      </c>
      <c r="AX232" s="245">
        <f>IF(AX$7="Actual","",IF($K232="Yes",AX219*(1+AX$59),AX219))</f>
        <v/>
      </c>
      <c r="AY232" s="245">
        <f>IF(AY$7="Actual","",IF($K232="Yes",AY219*(1+AY$59),AY219))</f>
        <v/>
      </c>
      <c r="AZ232" s="245">
        <f>IF(AZ$7="Actual","",IF($K232="Yes",AZ219*(1+AZ$59),AZ219))</f>
        <v/>
      </c>
      <c r="BA232" s="245">
        <f>IF(BA$7="Actual","",IF($K232="Yes",BA219*(1+BA$59),BA219))</f>
        <v/>
      </c>
      <c r="BB232" s="245">
        <f>IF(BB$7="Actual","",IF($K232="Yes",BB219*(1+BB$59),BB219))</f>
        <v/>
      </c>
      <c r="BC232" s="245">
        <f>IF(BC$7="Actual","",IF($K232="Yes",BC219*(1+BC$59),BC219))</f>
        <v/>
      </c>
      <c r="BD232" s="245">
        <f>IF(BD$7="Actual","",IF($K232="Yes",BD219*(1+BD$59),BD219))</f>
        <v/>
      </c>
      <c r="BE232" s="245">
        <f>IF(BE$7="Actual","",IF($K232="Yes",BE219*(1+BE$59),BE219))</f>
        <v/>
      </c>
      <c r="BF232" s="245">
        <f>IF(BF$7="Actual","",IF($K232="Yes",BF219*(1+BF$59),BF219))</f>
        <v/>
      </c>
      <c r="BG232" s="245">
        <f>IF(BG$7="Actual","",IF($K232="Yes",BG219*(1+BG$59),BG219))</f>
        <v/>
      </c>
      <c r="BH232" s="245">
        <f>IF(BH$7="Actual","",IF($K232="Yes",BH219*(1+BH$59),BH219))</f>
        <v/>
      </c>
      <c r="BI232" s="245">
        <f>IF(BI$7="Actual","",IF($K232="Yes",BI219*(1+BI$59),BI219))</f>
        <v/>
      </c>
      <c r="BJ232" s="245">
        <f>IF(BJ$7="Actual","",IF($K232="Yes",BJ219*(1+BJ$59),BJ219))</f>
        <v/>
      </c>
      <c r="BK232" s="245">
        <f>IF(BK$7="Actual","",IF($K232="Yes",BK219*(1+BK$59),BK219))</f>
        <v/>
      </c>
      <c r="BL232" s="245">
        <f>IF(BL$7="Actual","",IF($K232="Yes",BL219*(1+BL$59),BL219))</f>
        <v/>
      </c>
      <c r="BM232" s="245">
        <f>IF(BM$7="Actual","",IF($K232="Yes",BM219*(1+BM$59),BM219))</f>
        <v/>
      </c>
      <c r="BN232" s="245">
        <f>IF(BN$7="Actual","",IF($K232="Yes",BN219*(1+BN$59),BN219))</f>
        <v/>
      </c>
      <c r="BO232" s="245">
        <f>IF(BO$7="Actual","",IF($K232="Yes",BO219*(1+BO$59),BO219))</f>
        <v/>
      </c>
      <c r="BP232" s="245">
        <f>IF(BP$7="Actual","",IF($K232="Yes",BP219*(1+BP$59),BP219))</f>
        <v/>
      </c>
      <c r="BQ232" s="245">
        <f>IF(BQ$7="Actual","",IF($K232="Yes",BQ219*(1+BQ$59),BQ219))</f>
        <v/>
      </c>
      <c r="BR232" s="245">
        <f>IF(BR$7="Actual","",IF($K232="Yes",BR219*(1+BR$59),BR219))</f>
        <v/>
      </c>
      <c r="BS232" s="245">
        <f>IF(BS$7="Actual","",IF($K232="Yes",BS219*(1+BS$59),BS219))</f>
        <v/>
      </c>
      <c r="BT232" s="245">
        <f>IF(BT$7="Actual","",IF($K232="Yes",BT219*(1+BT$59),BT219))</f>
        <v/>
      </c>
      <c r="BU232" s="245">
        <f>IF(BU$7="Actual","",IF($K232="Yes",BU219*(1+BU$59),BU219))</f>
        <v/>
      </c>
      <c r="BV232" s="245">
        <f>IF(BV$7="Actual","",IF($K232="Yes",BV219*(1+BV$59),BV219))</f>
        <v/>
      </c>
      <c r="BW232" s="245">
        <f>IF(BW$7="Actual","",IF($K232="Yes",BW219*(1+BW$59),BW219))</f>
        <v/>
      </c>
      <c r="BX232" s="245">
        <f>IF(BX$7="Actual","",IF($K232="Yes",BX219*(1+BX$59),BX219))</f>
        <v/>
      </c>
      <c r="BY232" s="245">
        <f>IF(BY$7="Actual","",IF($K232="Yes",BY219*(1+BY$59),BY219))</f>
        <v/>
      </c>
      <c r="BZ232" s="245">
        <f>IF(BZ$7="Actual","",IF($K232="Yes",BZ219*(1+BZ$59),BZ219))</f>
        <v/>
      </c>
      <c r="CA232" s="245">
        <f>IF(CA$7="Actual","",IF($K232="Yes",CA219*(1+CA$59),CA219))</f>
        <v/>
      </c>
      <c r="CB232" s="245" t="n"/>
    </row>
    <row r="233" ht="12" customHeight="1" s="227">
      <c r="A233" s="244" t="n"/>
      <c r="B233" s="244" t="n"/>
      <c r="C233" s="244" t="n"/>
      <c r="H233" s="4">
        <f>H220</f>
        <v/>
      </c>
      <c r="I233" s="27">
        <f>i_Setup!$M$16</f>
        <v/>
      </c>
      <c r="K233" s="259">
        <f>i_Setup!P81</f>
        <v/>
      </c>
      <c r="M233" s="245">
        <f>SUMIF($T$4:$CA$4,M$4,$T233:$CA233)</f>
        <v/>
      </c>
      <c r="N233" s="245">
        <f>SUMIF($T$4:$CA$4,N$4,$T233:$CA233)</f>
        <v/>
      </c>
      <c r="O233" s="245">
        <f>SUMIF($T$4:$CA$4,O$4,$T233:$CA233)</f>
        <v/>
      </c>
      <c r="P233" s="245">
        <f>SUMIF($T$4:$CA$4,P$4,$T233:$CA233)</f>
        <v/>
      </c>
      <c r="Q233" s="245">
        <f>SUMIF($T$4:$CA$4,Q$4,$T233:$CA233)</f>
        <v/>
      </c>
      <c r="T233" s="245">
        <f>IF(T$7="Actual","",IF($K233="Yes",T220*(1+T$59),T220))</f>
        <v/>
      </c>
      <c r="U233" s="245">
        <f>IF(U$7="Actual","",IF($K233="Yes",U220*(1+U$59),U220))</f>
        <v/>
      </c>
      <c r="V233" s="245">
        <f>IF(V$7="Actual","",IF($K233="Yes",V220*(1+V$59),V220))</f>
        <v/>
      </c>
      <c r="W233" s="245">
        <f>IF(W$7="Actual","",IF($K233="Yes",W220*(1+W$59),W220))</f>
        <v/>
      </c>
      <c r="X233" s="245">
        <f>IF(X$7="Actual","",IF($K233="Yes",X220*(1+X$59),X220))</f>
        <v/>
      </c>
      <c r="Y233" s="245">
        <f>IF(Y$7="Actual","",IF($K233="Yes",Y220*(1+Y$59),Y220))</f>
        <v/>
      </c>
      <c r="Z233" s="245">
        <f>IF(Z$7="Actual","",IF($K233="Yes",Z220*(1+Z$59),Z220))</f>
        <v/>
      </c>
      <c r="AA233" s="245">
        <f>IF(AA$7="Actual","",IF($K233="Yes",AA220*(1+AA$59),AA220))</f>
        <v/>
      </c>
      <c r="AB233" s="245">
        <f>IF(AB$7="Actual","",IF($K233="Yes",AB220*(1+AB$59),AB220))</f>
        <v/>
      </c>
      <c r="AC233" s="245">
        <f>IF(AC$7="Actual","",IF($K233="Yes",AC220*(1+AC$59),AC220))</f>
        <v/>
      </c>
      <c r="AD233" s="245">
        <f>IF(AD$7="Actual","",IF($K233="Yes",AD220*(1+AD$59),AD220))</f>
        <v/>
      </c>
      <c r="AE233" s="245">
        <f>IF(AE$7="Actual","",IF($K233="Yes",AE220*(1+AE$59),AE220))</f>
        <v/>
      </c>
      <c r="AF233" s="245">
        <f>IF(AF$7="Actual","",IF($K233="Yes",AF220*(1+AF$59),AF220))</f>
        <v/>
      </c>
      <c r="AG233" s="245">
        <f>IF(AG$7="Actual","",IF($K233="Yes",AG220*(1+AG$59),AG220))</f>
        <v/>
      </c>
      <c r="AH233" s="245">
        <f>IF(AH$7="Actual","",IF($K233="Yes",AH220*(1+AH$59),AH220))</f>
        <v/>
      </c>
      <c r="AI233" s="245">
        <f>IF(AI$7="Actual","",IF($K233="Yes",AI220*(1+AI$59),AI220))</f>
        <v/>
      </c>
      <c r="AJ233" s="245">
        <f>IF(AJ$7="Actual","",IF($K233="Yes",AJ220*(1+AJ$59),AJ220))</f>
        <v/>
      </c>
      <c r="AK233" s="245">
        <f>IF(AK$7="Actual","",IF($K233="Yes",AK220*(1+AK$59),AK220))</f>
        <v/>
      </c>
      <c r="AL233" s="245">
        <f>IF(AL$7="Actual","",IF($K233="Yes",AL220*(1+AL$59),AL220))</f>
        <v/>
      </c>
      <c r="AM233" s="245">
        <f>IF(AM$7="Actual","",IF($K233="Yes",AM220*(1+AM$59),AM220))</f>
        <v/>
      </c>
      <c r="AN233" s="245">
        <f>IF(AN$7="Actual","",IF($K233="Yes",AN220*(1+AN$59),AN220))</f>
        <v/>
      </c>
      <c r="AO233" s="245">
        <f>IF(AO$7="Actual","",IF($K233="Yes",AO220*(1+AO$59),AO220))</f>
        <v/>
      </c>
      <c r="AP233" s="245">
        <f>IF(AP$7="Actual","",IF($K233="Yes",AP220*(1+AP$59),AP220))</f>
        <v/>
      </c>
      <c r="AQ233" s="245">
        <f>IF(AQ$7="Actual","",IF($K233="Yes",AQ220*(1+AQ$59),AQ220))</f>
        <v/>
      </c>
      <c r="AR233" s="245">
        <f>IF(AR$7="Actual","",IF($K233="Yes",AR220*(1+AR$59),AR220))</f>
        <v/>
      </c>
      <c r="AS233" s="245">
        <f>IF(AS$7="Actual","",IF($K233="Yes",AS220*(1+AS$59),AS220))</f>
        <v/>
      </c>
      <c r="AT233" s="245">
        <f>IF(AT$7="Actual","",IF($K233="Yes",AT220*(1+AT$59),AT220))</f>
        <v/>
      </c>
      <c r="AU233" s="245">
        <f>IF(AU$7="Actual","",IF($K233="Yes",AU220*(1+AU$59),AU220))</f>
        <v/>
      </c>
      <c r="AV233" s="245">
        <f>IF(AV$7="Actual","",IF($K233="Yes",AV220*(1+AV$59),AV220))</f>
        <v/>
      </c>
      <c r="AW233" s="245">
        <f>IF(AW$7="Actual","",IF($K233="Yes",AW220*(1+AW$59),AW220))</f>
        <v/>
      </c>
      <c r="AX233" s="245">
        <f>IF(AX$7="Actual","",IF($K233="Yes",AX220*(1+AX$59),AX220))</f>
        <v/>
      </c>
      <c r="AY233" s="245">
        <f>IF(AY$7="Actual","",IF($K233="Yes",AY220*(1+AY$59),AY220))</f>
        <v/>
      </c>
      <c r="AZ233" s="245">
        <f>IF(AZ$7="Actual","",IF($K233="Yes",AZ220*(1+AZ$59),AZ220))</f>
        <v/>
      </c>
      <c r="BA233" s="245">
        <f>IF(BA$7="Actual","",IF($K233="Yes",BA220*(1+BA$59),BA220))</f>
        <v/>
      </c>
      <c r="BB233" s="245">
        <f>IF(BB$7="Actual","",IF($K233="Yes",BB220*(1+BB$59),BB220))</f>
        <v/>
      </c>
      <c r="BC233" s="245">
        <f>IF(BC$7="Actual","",IF($K233="Yes",BC220*(1+BC$59),BC220))</f>
        <v/>
      </c>
      <c r="BD233" s="245">
        <f>IF(BD$7="Actual","",IF($K233="Yes",BD220*(1+BD$59),BD220))</f>
        <v/>
      </c>
      <c r="BE233" s="245">
        <f>IF(BE$7="Actual","",IF($K233="Yes",BE220*(1+BE$59),BE220))</f>
        <v/>
      </c>
      <c r="BF233" s="245">
        <f>IF(BF$7="Actual","",IF($K233="Yes",BF220*(1+BF$59),BF220))</f>
        <v/>
      </c>
      <c r="BG233" s="245">
        <f>IF(BG$7="Actual","",IF($K233="Yes",BG220*(1+BG$59),BG220))</f>
        <v/>
      </c>
      <c r="BH233" s="245">
        <f>IF(BH$7="Actual","",IF($K233="Yes",BH220*(1+BH$59),BH220))</f>
        <v/>
      </c>
      <c r="BI233" s="245">
        <f>IF(BI$7="Actual","",IF($K233="Yes",BI220*(1+BI$59),BI220))</f>
        <v/>
      </c>
      <c r="BJ233" s="245">
        <f>IF(BJ$7="Actual","",IF($K233="Yes",BJ220*(1+BJ$59),BJ220))</f>
        <v/>
      </c>
      <c r="BK233" s="245">
        <f>IF(BK$7="Actual","",IF($K233="Yes",BK220*(1+BK$59),BK220))</f>
        <v/>
      </c>
      <c r="BL233" s="245">
        <f>IF(BL$7="Actual","",IF($K233="Yes",BL220*(1+BL$59),BL220))</f>
        <v/>
      </c>
      <c r="BM233" s="245">
        <f>IF(BM$7="Actual","",IF($K233="Yes",BM220*(1+BM$59),BM220))</f>
        <v/>
      </c>
      <c r="BN233" s="245">
        <f>IF(BN$7="Actual","",IF($K233="Yes",BN220*(1+BN$59),BN220))</f>
        <v/>
      </c>
      <c r="BO233" s="245">
        <f>IF(BO$7="Actual","",IF($K233="Yes",BO220*(1+BO$59),BO220))</f>
        <v/>
      </c>
      <c r="BP233" s="245">
        <f>IF(BP$7="Actual","",IF($K233="Yes",BP220*(1+BP$59),BP220))</f>
        <v/>
      </c>
      <c r="BQ233" s="245">
        <f>IF(BQ$7="Actual","",IF($K233="Yes",BQ220*(1+BQ$59),BQ220))</f>
        <v/>
      </c>
      <c r="BR233" s="245">
        <f>IF(BR$7="Actual","",IF($K233="Yes",BR220*(1+BR$59),BR220))</f>
        <v/>
      </c>
      <c r="BS233" s="245">
        <f>IF(BS$7="Actual","",IF($K233="Yes",BS220*(1+BS$59),BS220))</f>
        <v/>
      </c>
      <c r="BT233" s="245">
        <f>IF(BT$7="Actual","",IF($K233="Yes",BT220*(1+BT$59),BT220))</f>
        <v/>
      </c>
      <c r="BU233" s="245">
        <f>IF(BU$7="Actual","",IF($K233="Yes",BU220*(1+BU$59),BU220))</f>
        <v/>
      </c>
      <c r="BV233" s="245">
        <f>IF(BV$7="Actual","",IF($K233="Yes",BV220*(1+BV$59),BV220))</f>
        <v/>
      </c>
      <c r="BW233" s="245">
        <f>IF(BW$7="Actual","",IF($K233="Yes",BW220*(1+BW$59),BW220))</f>
        <v/>
      </c>
      <c r="BX233" s="245">
        <f>IF(BX$7="Actual","",IF($K233="Yes",BX220*(1+BX$59),BX220))</f>
        <v/>
      </c>
      <c r="BY233" s="245">
        <f>IF(BY$7="Actual","",IF($K233="Yes",BY220*(1+BY$59),BY220))</f>
        <v/>
      </c>
      <c r="BZ233" s="245">
        <f>IF(BZ$7="Actual","",IF($K233="Yes",BZ220*(1+BZ$59),BZ220))</f>
        <v/>
      </c>
      <c r="CA233" s="245">
        <f>IF(CA$7="Actual","",IF($K233="Yes",CA220*(1+CA$59),CA220))</f>
        <v/>
      </c>
      <c r="CB233" s="245" t="n"/>
    </row>
    <row r="234" ht="12" customHeight="1" s="227">
      <c r="A234" s="244" t="n"/>
      <c r="B234" s="244" t="n"/>
      <c r="C234" s="244" t="n"/>
      <c r="H234" s="4">
        <f>H221</f>
        <v/>
      </c>
      <c r="I234" s="27">
        <f>i_Setup!$M$16</f>
        <v/>
      </c>
      <c r="K234" s="259">
        <f>i_Setup!P82</f>
        <v/>
      </c>
      <c r="M234" s="245">
        <f>SUMIF($T$4:$CA$4,M$4,$T234:$CA234)</f>
        <v/>
      </c>
      <c r="N234" s="245">
        <f>SUMIF($T$4:$CA$4,N$4,$T234:$CA234)</f>
        <v/>
      </c>
      <c r="O234" s="245">
        <f>SUMIF($T$4:$CA$4,O$4,$T234:$CA234)</f>
        <v/>
      </c>
      <c r="P234" s="245">
        <f>SUMIF($T$4:$CA$4,P$4,$T234:$CA234)</f>
        <v/>
      </c>
      <c r="Q234" s="245">
        <f>SUMIF($T$4:$CA$4,Q$4,$T234:$CA234)</f>
        <v/>
      </c>
      <c r="T234" s="245">
        <f>IF(T$7="Actual","",IF($K234="Yes",T221*(1+T$59),T221))</f>
        <v/>
      </c>
      <c r="U234" s="245">
        <f>IF(U$7="Actual","",IF($K234="Yes",U221*(1+U$59),U221))</f>
        <v/>
      </c>
      <c r="V234" s="245">
        <f>IF(V$7="Actual","",IF($K234="Yes",V221*(1+V$59),V221))</f>
        <v/>
      </c>
      <c r="W234" s="245">
        <f>IF(W$7="Actual","",IF($K234="Yes",W221*(1+W$59),W221))</f>
        <v/>
      </c>
      <c r="X234" s="245">
        <f>IF(X$7="Actual","",IF($K234="Yes",X221*(1+X$59),X221))</f>
        <v/>
      </c>
      <c r="Y234" s="245">
        <f>IF(Y$7="Actual","",IF($K234="Yes",Y221*(1+Y$59),Y221))</f>
        <v/>
      </c>
      <c r="Z234" s="245">
        <f>IF(Z$7="Actual","",IF($K234="Yes",Z221*(1+Z$59),Z221))</f>
        <v/>
      </c>
      <c r="AA234" s="245">
        <f>IF(AA$7="Actual","",IF($K234="Yes",AA221*(1+AA$59),AA221))</f>
        <v/>
      </c>
      <c r="AB234" s="245">
        <f>IF(AB$7="Actual","",IF($K234="Yes",AB221*(1+AB$59),AB221))</f>
        <v/>
      </c>
      <c r="AC234" s="245">
        <f>IF(AC$7="Actual","",IF($K234="Yes",AC221*(1+AC$59),AC221))</f>
        <v/>
      </c>
      <c r="AD234" s="245">
        <f>IF(AD$7="Actual","",IF($K234="Yes",AD221*(1+AD$59),AD221))</f>
        <v/>
      </c>
      <c r="AE234" s="245">
        <f>IF(AE$7="Actual","",IF($K234="Yes",AE221*(1+AE$59),AE221))</f>
        <v/>
      </c>
      <c r="AF234" s="245">
        <f>IF(AF$7="Actual","",IF($K234="Yes",AF221*(1+AF$59),AF221))</f>
        <v/>
      </c>
      <c r="AG234" s="245">
        <f>IF(AG$7="Actual","",IF($K234="Yes",AG221*(1+AG$59),AG221))</f>
        <v/>
      </c>
      <c r="AH234" s="245">
        <f>IF(AH$7="Actual","",IF($K234="Yes",AH221*(1+AH$59),AH221))</f>
        <v/>
      </c>
      <c r="AI234" s="245">
        <f>IF(AI$7="Actual","",IF($K234="Yes",AI221*(1+AI$59),AI221))</f>
        <v/>
      </c>
      <c r="AJ234" s="245">
        <f>IF(AJ$7="Actual","",IF($K234="Yes",AJ221*(1+AJ$59),AJ221))</f>
        <v/>
      </c>
      <c r="AK234" s="245">
        <f>IF(AK$7="Actual","",IF($K234="Yes",AK221*(1+AK$59),AK221))</f>
        <v/>
      </c>
      <c r="AL234" s="245">
        <f>IF(AL$7="Actual","",IF($K234="Yes",AL221*(1+AL$59),AL221))</f>
        <v/>
      </c>
      <c r="AM234" s="245">
        <f>IF(AM$7="Actual","",IF($K234="Yes",AM221*(1+AM$59),AM221))</f>
        <v/>
      </c>
      <c r="AN234" s="245">
        <f>IF(AN$7="Actual","",IF($K234="Yes",AN221*(1+AN$59),AN221))</f>
        <v/>
      </c>
      <c r="AO234" s="245">
        <f>IF(AO$7="Actual","",IF($K234="Yes",AO221*(1+AO$59),AO221))</f>
        <v/>
      </c>
      <c r="AP234" s="245">
        <f>IF(AP$7="Actual","",IF($K234="Yes",AP221*(1+AP$59),AP221))</f>
        <v/>
      </c>
      <c r="AQ234" s="245">
        <f>IF(AQ$7="Actual","",IF($K234="Yes",AQ221*(1+AQ$59),AQ221))</f>
        <v/>
      </c>
      <c r="AR234" s="245">
        <f>IF(AR$7="Actual","",IF($K234="Yes",AR221*(1+AR$59),AR221))</f>
        <v/>
      </c>
      <c r="AS234" s="245">
        <f>IF(AS$7="Actual","",IF($K234="Yes",AS221*(1+AS$59),AS221))</f>
        <v/>
      </c>
      <c r="AT234" s="245">
        <f>IF(AT$7="Actual","",IF($K234="Yes",AT221*(1+AT$59),AT221))</f>
        <v/>
      </c>
      <c r="AU234" s="245">
        <f>IF(AU$7="Actual","",IF($K234="Yes",AU221*(1+AU$59),AU221))</f>
        <v/>
      </c>
      <c r="AV234" s="245">
        <f>IF(AV$7="Actual","",IF($K234="Yes",AV221*(1+AV$59),AV221))</f>
        <v/>
      </c>
      <c r="AW234" s="245">
        <f>IF(AW$7="Actual","",IF($K234="Yes",AW221*(1+AW$59),AW221))</f>
        <v/>
      </c>
      <c r="AX234" s="245">
        <f>IF(AX$7="Actual","",IF($K234="Yes",AX221*(1+AX$59),AX221))</f>
        <v/>
      </c>
      <c r="AY234" s="245">
        <f>IF(AY$7="Actual","",IF($K234="Yes",AY221*(1+AY$59),AY221))</f>
        <v/>
      </c>
      <c r="AZ234" s="245">
        <f>IF(AZ$7="Actual","",IF($K234="Yes",AZ221*(1+AZ$59),AZ221))</f>
        <v/>
      </c>
      <c r="BA234" s="245">
        <f>IF(BA$7="Actual","",IF($K234="Yes",BA221*(1+BA$59),BA221))</f>
        <v/>
      </c>
      <c r="BB234" s="245">
        <f>IF(BB$7="Actual","",IF($K234="Yes",BB221*(1+BB$59),BB221))</f>
        <v/>
      </c>
      <c r="BC234" s="245">
        <f>IF(BC$7="Actual","",IF($K234="Yes",BC221*(1+BC$59),BC221))</f>
        <v/>
      </c>
      <c r="BD234" s="245">
        <f>IF(BD$7="Actual","",IF($K234="Yes",BD221*(1+BD$59),BD221))</f>
        <v/>
      </c>
      <c r="BE234" s="245">
        <f>IF(BE$7="Actual","",IF($K234="Yes",BE221*(1+BE$59),BE221))</f>
        <v/>
      </c>
      <c r="BF234" s="245">
        <f>IF(BF$7="Actual","",IF($K234="Yes",BF221*(1+BF$59),BF221))</f>
        <v/>
      </c>
      <c r="BG234" s="245">
        <f>IF(BG$7="Actual","",IF($K234="Yes",BG221*(1+BG$59),BG221))</f>
        <v/>
      </c>
      <c r="BH234" s="245">
        <f>IF(BH$7="Actual","",IF($K234="Yes",BH221*(1+BH$59),BH221))</f>
        <v/>
      </c>
      <c r="BI234" s="245">
        <f>IF(BI$7="Actual","",IF($K234="Yes",BI221*(1+BI$59),BI221))</f>
        <v/>
      </c>
      <c r="BJ234" s="245">
        <f>IF(BJ$7="Actual","",IF($K234="Yes",BJ221*(1+BJ$59),BJ221))</f>
        <v/>
      </c>
      <c r="BK234" s="245">
        <f>IF(BK$7="Actual","",IF($K234="Yes",BK221*(1+BK$59),BK221))</f>
        <v/>
      </c>
      <c r="BL234" s="245">
        <f>IF(BL$7="Actual","",IF($K234="Yes",BL221*(1+BL$59),BL221))</f>
        <v/>
      </c>
      <c r="BM234" s="245">
        <f>IF(BM$7="Actual","",IF($K234="Yes",BM221*(1+BM$59),BM221))</f>
        <v/>
      </c>
      <c r="BN234" s="245">
        <f>IF(BN$7="Actual","",IF($K234="Yes",BN221*(1+BN$59),BN221))</f>
        <v/>
      </c>
      <c r="BO234" s="245">
        <f>IF(BO$7="Actual","",IF($K234="Yes",BO221*(1+BO$59),BO221))</f>
        <v/>
      </c>
      <c r="BP234" s="245">
        <f>IF(BP$7="Actual","",IF($K234="Yes",BP221*(1+BP$59),BP221))</f>
        <v/>
      </c>
      <c r="BQ234" s="245">
        <f>IF(BQ$7="Actual","",IF($K234="Yes",BQ221*(1+BQ$59),BQ221))</f>
        <v/>
      </c>
      <c r="BR234" s="245">
        <f>IF(BR$7="Actual","",IF($K234="Yes",BR221*(1+BR$59),BR221))</f>
        <v/>
      </c>
      <c r="BS234" s="245">
        <f>IF(BS$7="Actual","",IF($K234="Yes",BS221*(1+BS$59),BS221))</f>
        <v/>
      </c>
      <c r="BT234" s="245">
        <f>IF(BT$7="Actual","",IF($K234="Yes",BT221*(1+BT$59),BT221))</f>
        <v/>
      </c>
      <c r="BU234" s="245">
        <f>IF(BU$7="Actual","",IF($K234="Yes",BU221*(1+BU$59),BU221))</f>
        <v/>
      </c>
      <c r="BV234" s="245">
        <f>IF(BV$7="Actual","",IF($K234="Yes",BV221*(1+BV$59),BV221))</f>
        <v/>
      </c>
      <c r="BW234" s="245">
        <f>IF(BW$7="Actual","",IF($K234="Yes",BW221*(1+BW$59),BW221))</f>
        <v/>
      </c>
      <c r="BX234" s="245">
        <f>IF(BX$7="Actual","",IF($K234="Yes",BX221*(1+BX$59),BX221))</f>
        <v/>
      </c>
      <c r="BY234" s="245">
        <f>IF(BY$7="Actual","",IF($K234="Yes",BY221*(1+BY$59),BY221))</f>
        <v/>
      </c>
      <c r="BZ234" s="245">
        <f>IF(BZ$7="Actual","",IF($K234="Yes",BZ221*(1+BZ$59),BZ221))</f>
        <v/>
      </c>
      <c r="CA234" s="245">
        <f>IF(CA$7="Actual","",IF($K234="Yes",CA221*(1+CA$59),CA221))</f>
        <v/>
      </c>
      <c r="CB234" s="245" t="n"/>
    </row>
    <row r="235" ht="12" customHeight="1" s="227" thickBot="1">
      <c r="A235" s="244" t="n"/>
      <c r="B235" s="244" t="n"/>
      <c r="C235" s="244" t="n"/>
      <c r="H235" s="42" t="inlineStr">
        <is>
          <t>Total Direct Expenses</t>
        </is>
      </c>
      <c r="I235" s="43">
        <f>i_Setup!$M$16</f>
        <v/>
      </c>
      <c r="K235" s="6" t="n"/>
      <c r="M235" s="264">
        <f>SUM(M227:M234)</f>
        <v/>
      </c>
      <c r="N235" s="264">
        <f>SUM(N227:N234)</f>
        <v/>
      </c>
      <c r="O235" s="264">
        <f>SUM(O227:O234)</f>
        <v/>
      </c>
      <c r="P235" s="264">
        <f>SUM(P227:P234)</f>
        <v/>
      </c>
      <c r="Q235" s="264">
        <f>SUM(Q227:Q234)</f>
        <v/>
      </c>
      <c r="T235" s="264">
        <f>SUM(T227:T234)</f>
        <v/>
      </c>
      <c r="U235" s="264">
        <f>SUM(U227:U234)</f>
        <v/>
      </c>
      <c r="V235" s="264">
        <f>SUM(V227:V234)</f>
        <v/>
      </c>
      <c r="W235" s="264">
        <f>SUM(W227:W234)</f>
        <v/>
      </c>
      <c r="X235" s="264">
        <f>SUM(X227:X234)</f>
        <v/>
      </c>
      <c r="Y235" s="264">
        <f>SUM(Y227:Y234)</f>
        <v/>
      </c>
      <c r="Z235" s="264">
        <f>SUM(Z227:Z234)</f>
        <v/>
      </c>
      <c r="AA235" s="264">
        <f>SUM(AA227:AA234)</f>
        <v/>
      </c>
      <c r="AB235" s="264">
        <f>SUM(AB227:AB234)</f>
        <v/>
      </c>
      <c r="AC235" s="264">
        <f>SUM(AC227:AC234)</f>
        <v/>
      </c>
      <c r="AD235" s="264">
        <f>SUM(AD227:AD234)</f>
        <v/>
      </c>
      <c r="AE235" s="264">
        <f>SUM(AE227:AE234)</f>
        <v/>
      </c>
      <c r="AF235" s="264">
        <f>SUM(AF227:AF234)</f>
        <v/>
      </c>
      <c r="AG235" s="264">
        <f>SUM(AG227:AG234)</f>
        <v/>
      </c>
      <c r="AH235" s="264">
        <f>SUM(AH227:AH234)</f>
        <v/>
      </c>
      <c r="AI235" s="264">
        <f>SUM(AI227:AI234)</f>
        <v/>
      </c>
      <c r="AJ235" s="264">
        <f>SUM(AJ227:AJ234)</f>
        <v/>
      </c>
      <c r="AK235" s="264">
        <f>SUM(AK227:AK234)</f>
        <v/>
      </c>
      <c r="AL235" s="264">
        <f>SUM(AL227:AL234)</f>
        <v/>
      </c>
      <c r="AM235" s="264">
        <f>SUM(AM227:AM234)</f>
        <v/>
      </c>
      <c r="AN235" s="264">
        <f>SUM(AN227:AN234)</f>
        <v/>
      </c>
      <c r="AO235" s="264">
        <f>SUM(AO227:AO234)</f>
        <v/>
      </c>
      <c r="AP235" s="264">
        <f>SUM(AP227:AP234)</f>
        <v/>
      </c>
      <c r="AQ235" s="264">
        <f>SUM(AQ227:AQ234)</f>
        <v/>
      </c>
      <c r="AR235" s="264">
        <f>SUM(AR227:AR234)</f>
        <v/>
      </c>
      <c r="AS235" s="264">
        <f>SUM(AS227:AS234)</f>
        <v/>
      </c>
      <c r="AT235" s="264">
        <f>SUM(AT227:AT234)</f>
        <v/>
      </c>
      <c r="AU235" s="264">
        <f>SUM(AU227:AU234)</f>
        <v/>
      </c>
      <c r="AV235" s="264">
        <f>SUM(AV227:AV234)</f>
        <v/>
      </c>
      <c r="AW235" s="264">
        <f>SUM(AW227:AW234)</f>
        <v/>
      </c>
      <c r="AX235" s="264">
        <f>SUM(AX227:AX234)</f>
        <v/>
      </c>
      <c r="AY235" s="264">
        <f>SUM(AY227:AY234)</f>
        <v/>
      </c>
      <c r="AZ235" s="264">
        <f>SUM(AZ227:AZ234)</f>
        <v/>
      </c>
      <c r="BA235" s="264">
        <f>SUM(BA227:BA234)</f>
        <v/>
      </c>
      <c r="BB235" s="264">
        <f>SUM(BB227:BB234)</f>
        <v/>
      </c>
      <c r="BC235" s="264">
        <f>SUM(BC227:BC234)</f>
        <v/>
      </c>
      <c r="BD235" s="264">
        <f>SUM(BD227:BD234)</f>
        <v/>
      </c>
      <c r="BE235" s="264">
        <f>SUM(BE227:BE234)</f>
        <v/>
      </c>
      <c r="BF235" s="264">
        <f>SUM(BF227:BF234)</f>
        <v/>
      </c>
      <c r="BG235" s="264">
        <f>SUM(BG227:BG234)</f>
        <v/>
      </c>
      <c r="BH235" s="264">
        <f>SUM(BH227:BH234)</f>
        <v/>
      </c>
      <c r="BI235" s="264">
        <f>SUM(BI227:BI234)</f>
        <v/>
      </c>
      <c r="BJ235" s="264">
        <f>SUM(BJ227:BJ234)</f>
        <v/>
      </c>
      <c r="BK235" s="264">
        <f>SUM(BK227:BK234)</f>
        <v/>
      </c>
      <c r="BL235" s="264">
        <f>SUM(BL227:BL234)</f>
        <v/>
      </c>
      <c r="BM235" s="264">
        <f>SUM(BM227:BM234)</f>
        <v/>
      </c>
      <c r="BN235" s="264">
        <f>SUM(BN227:BN234)</f>
        <v/>
      </c>
      <c r="BO235" s="264">
        <f>SUM(BO227:BO234)</f>
        <v/>
      </c>
      <c r="BP235" s="264">
        <f>SUM(BP227:BP234)</f>
        <v/>
      </c>
      <c r="BQ235" s="264">
        <f>SUM(BQ227:BQ234)</f>
        <v/>
      </c>
      <c r="BR235" s="264">
        <f>SUM(BR227:BR234)</f>
        <v/>
      </c>
      <c r="BS235" s="264">
        <f>SUM(BS227:BS234)</f>
        <v/>
      </c>
      <c r="BT235" s="264">
        <f>SUM(BT227:BT234)</f>
        <v/>
      </c>
      <c r="BU235" s="264">
        <f>SUM(BU227:BU234)</f>
        <v/>
      </c>
      <c r="BV235" s="264">
        <f>SUM(BV227:BV234)</f>
        <v/>
      </c>
      <c r="BW235" s="264">
        <f>SUM(BW227:BW234)</f>
        <v/>
      </c>
      <c r="BX235" s="264">
        <f>SUM(BX227:BX234)</f>
        <v/>
      </c>
      <c r="BY235" s="264">
        <f>SUM(BY227:BY234)</f>
        <v/>
      </c>
      <c r="BZ235" s="264">
        <f>SUM(BZ227:BZ234)</f>
        <v/>
      </c>
      <c r="CA235" s="264">
        <f>SUM(CA227:CA234)</f>
        <v/>
      </c>
    </row>
    <row r="236" ht="12" customHeight="1" s="227">
      <c r="A236" s="244" t="n"/>
      <c r="B236" s="244" t="n"/>
      <c r="C236" s="244" t="n"/>
      <c r="H236" s="0" t="n"/>
      <c r="K236" s="6" t="n"/>
    </row>
    <row r="237" ht="12" customHeight="1" s="227">
      <c r="A237" s="244" t="n"/>
      <c r="B237" s="244" t="n"/>
      <c r="C237" s="244" t="n"/>
      <c r="H237" s="0" t="n"/>
      <c r="K237" s="6" t="n"/>
    </row>
    <row r="238" ht="12" customHeight="1" s="227">
      <c r="A238" s="244" t="n"/>
      <c r="B238" s="244" t="n"/>
      <c r="C238" s="244" t="n"/>
      <c r="G238" s="222" t="inlineStr">
        <is>
          <t>Purchase Payments</t>
        </is>
      </c>
      <c r="K238" s="6" t="n"/>
    </row>
    <row r="239" ht="12" customHeight="1" s="227">
      <c r="A239" s="244" t="n"/>
      <c r="B239" s="244" t="n"/>
      <c r="C239" s="244" t="n"/>
      <c r="K239" s="6" t="n"/>
    </row>
    <row r="240" ht="12" customHeight="1" s="227">
      <c r="A240" s="244" t="n"/>
      <c r="B240" s="244" t="n"/>
      <c r="C240" s="244" t="n"/>
      <c r="H240" s="4" t="inlineStr">
        <is>
          <t xml:space="preserve">Payables Opening Balance </t>
        </is>
      </c>
      <c r="I240" s="27">
        <f>i_Setup!$M$16</f>
        <v/>
      </c>
      <c r="K240" s="6" t="n"/>
      <c r="T240" s="245">
        <f>IF(T$2=i_Setup!$U$26,i_Actuals!T139,0)</f>
        <v/>
      </c>
      <c r="U240" s="245">
        <f>IF(U$2=i_Setup!$U$26,i_Actuals!U139,0)</f>
        <v/>
      </c>
      <c r="V240" s="245">
        <f>IF(V$2=i_Setup!$U$26,i_Actuals!V139,0)</f>
        <v/>
      </c>
      <c r="W240" s="245">
        <f>IF(W$2=i_Setup!$U$26,i_Actuals!W139,0)</f>
        <v/>
      </c>
      <c r="X240" s="245">
        <f>IF(X$2=i_Setup!$U$26,i_Actuals!X139,0)</f>
        <v/>
      </c>
      <c r="Y240" s="245">
        <f>IF(Y$2=i_Setup!$U$26,i_Actuals!Y139,0)</f>
        <v/>
      </c>
      <c r="Z240" s="245">
        <f>IF(Z$2=i_Setup!$U$26,i_Actuals!Z139,0)</f>
        <v/>
      </c>
      <c r="AA240" s="245">
        <f>IF(AA$2=i_Setup!$U$26,i_Actuals!AA139,0)</f>
        <v/>
      </c>
      <c r="AB240" s="245">
        <f>IF(AB$2=i_Setup!$U$26,i_Actuals!AB139,0)</f>
        <v/>
      </c>
      <c r="AC240" s="245">
        <f>IF(AC$2=i_Setup!$U$26,i_Actuals!AC139,0)</f>
        <v/>
      </c>
      <c r="AD240" s="245">
        <f>IF(AD$2=i_Setup!$U$26,i_Actuals!AD139,0)</f>
        <v/>
      </c>
      <c r="AE240" s="245">
        <f>IF(AE$2=i_Setup!$U$26,i_Actuals!AE139,0)</f>
        <v/>
      </c>
      <c r="AF240" s="245">
        <f>IF(AF$2=i_Setup!$U$26,i_Actuals!AF139,0)</f>
        <v/>
      </c>
      <c r="AG240" s="245">
        <f>IF(AG$2=i_Setup!$U$26,i_Actuals!AG139,0)</f>
        <v/>
      </c>
      <c r="AH240" s="245">
        <f>IF(AH$2=i_Setup!$U$26,i_Actuals!AH139,0)</f>
        <v/>
      </c>
      <c r="AI240" s="245">
        <f>IF(AI$2=i_Setup!$U$26,i_Actuals!AI139,0)</f>
        <v/>
      </c>
      <c r="AJ240" s="245">
        <f>IF(AJ$2=i_Setup!$U$26,i_Actuals!AJ139,0)</f>
        <v/>
      </c>
      <c r="AK240" s="245">
        <f>IF(AK$2=i_Setup!$U$26,i_Actuals!AK139,0)</f>
        <v/>
      </c>
      <c r="AL240" s="245">
        <f>IF(AL$2=i_Setup!$U$26,i_Actuals!AL139,0)</f>
        <v/>
      </c>
      <c r="AM240" s="245">
        <f>IF(AM$2=i_Setup!$U$26,i_Actuals!AM139,0)</f>
        <v/>
      </c>
      <c r="AN240" s="245">
        <f>IF(AN$2=i_Setup!$U$26,i_Actuals!AN139,0)</f>
        <v/>
      </c>
      <c r="AO240" s="245">
        <f>IF(AO$2=i_Setup!$U$26,i_Actuals!AO139,0)</f>
        <v/>
      </c>
      <c r="AP240" s="245">
        <f>IF(AP$2=i_Setup!$U$26,i_Actuals!AP139,0)</f>
        <v/>
      </c>
      <c r="AQ240" s="245">
        <f>IF(AQ$2=i_Setup!$U$26,i_Actuals!AQ139,0)</f>
        <v/>
      </c>
      <c r="AR240" s="245">
        <f>IF(AR$2=i_Setup!$U$26,i_Actuals!AR139,0)</f>
        <v/>
      </c>
      <c r="AS240" s="245">
        <f>IF(AS$2=i_Setup!$U$26,i_Actuals!AS139,0)</f>
        <v/>
      </c>
      <c r="AT240" s="245">
        <f>IF(AT$2=i_Setup!$U$26,i_Actuals!AT139,0)</f>
        <v/>
      </c>
      <c r="AU240" s="245">
        <f>IF(AU$2=i_Setup!$U$26,i_Actuals!AU139,0)</f>
        <v/>
      </c>
      <c r="AV240" s="245">
        <f>IF(AV$2=i_Setup!$U$26,i_Actuals!AV139,0)</f>
        <v/>
      </c>
      <c r="AW240" s="245">
        <f>IF(AW$2=i_Setup!$U$26,i_Actuals!AW139,0)</f>
        <v/>
      </c>
      <c r="AX240" s="245">
        <f>IF(AX$2=i_Setup!$U$26,i_Actuals!AX139,0)</f>
        <v/>
      </c>
      <c r="AY240" s="245">
        <f>IF(AY$2=i_Setup!$U$26,i_Actuals!AY139,0)</f>
        <v/>
      </c>
      <c r="AZ240" s="245">
        <f>IF(AZ$2=i_Setup!$U$26,i_Actuals!AZ139,0)</f>
        <v/>
      </c>
      <c r="BA240" s="245">
        <f>IF(BA$2=i_Setup!$U$26,i_Actuals!BA139,0)</f>
        <v/>
      </c>
      <c r="BB240" s="245">
        <f>IF(BB$2=i_Setup!$U$26,i_Actuals!BB139,0)</f>
        <v/>
      </c>
      <c r="BC240" s="245">
        <f>IF(BC$2=i_Setup!$U$26,i_Actuals!BC139,0)</f>
        <v/>
      </c>
      <c r="BD240" s="245">
        <f>IF(BD$2=i_Setup!$U$26,i_Actuals!BD139,0)</f>
        <v/>
      </c>
      <c r="BE240" s="245">
        <f>IF(BE$2=i_Setup!$U$26,i_Actuals!BE139,0)</f>
        <v/>
      </c>
      <c r="BF240" s="245">
        <f>IF(BF$2=i_Setup!$U$26,i_Actuals!BF139,0)</f>
        <v/>
      </c>
      <c r="BG240" s="245">
        <f>IF(BG$2=i_Setup!$U$26,i_Actuals!BG139,0)</f>
        <v/>
      </c>
      <c r="BH240" s="245">
        <f>IF(BH$2=i_Setup!$U$26,i_Actuals!BH139,0)</f>
        <v/>
      </c>
      <c r="BI240" s="245">
        <f>IF(BI$2=i_Setup!$U$26,i_Actuals!BI139,0)</f>
        <v/>
      </c>
      <c r="BJ240" s="245">
        <f>IF(BJ$2=i_Setup!$U$26,i_Actuals!BJ139,0)</f>
        <v/>
      </c>
      <c r="BK240" s="245">
        <f>IF(BK$2=i_Setup!$U$26,i_Actuals!BK139,0)</f>
        <v/>
      </c>
      <c r="BL240" s="245">
        <f>IF(BL$2=i_Setup!$U$26,i_Actuals!BL139,0)</f>
        <v/>
      </c>
      <c r="BM240" s="245">
        <f>IF(BM$2=i_Setup!$U$26,i_Actuals!BM139,0)</f>
        <v/>
      </c>
      <c r="BN240" s="245">
        <f>IF(BN$2=i_Setup!$U$26,i_Actuals!BN139,0)</f>
        <v/>
      </c>
      <c r="BO240" s="245">
        <f>IF(BO$2=i_Setup!$U$26,i_Actuals!BO139,0)</f>
        <v/>
      </c>
      <c r="BP240" s="245">
        <f>IF(BP$2=i_Setup!$U$26,i_Actuals!BP139,0)</f>
        <v/>
      </c>
      <c r="BQ240" s="245">
        <f>IF(BQ$2=i_Setup!$U$26,i_Actuals!BQ139,0)</f>
        <v/>
      </c>
      <c r="BR240" s="245">
        <f>IF(BR$2=i_Setup!$U$26,i_Actuals!BR139,0)</f>
        <v/>
      </c>
      <c r="BS240" s="245">
        <f>IF(BS$2=i_Setup!$U$26,i_Actuals!BS139,0)</f>
        <v/>
      </c>
      <c r="BT240" s="245">
        <f>IF(BT$2=i_Setup!$U$26,i_Actuals!BT139,0)</f>
        <v/>
      </c>
      <c r="BU240" s="245">
        <f>IF(BU$2=i_Setup!$U$26,i_Actuals!BU139,0)</f>
        <v/>
      </c>
      <c r="BV240" s="245">
        <f>IF(BV$2=i_Setup!$U$26,i_Actuals!BV139,0)</f>
        <v/>
      </c>
      <c r="BW240" s="245">
        <f>IF(BW$2=i_Setup!$U$26,i_Actuals!BW139,0)</f>
        <v/>
      </c>
      <c r="BX240" s="245">
        <f>IF(BX$2=i_Setup!$U$26,i_Actuals!BX139,0)</f>
        <v/>
      </c>
      <c r="BY240" s="245">
        <f>IF(BY$2=i_Setup!$U$26,i_Actuals!BY139,0)</f>
        <v/>
      </c>
      <c r="BZ240" s="245">
        <f>IF(BZ$2=i_Setup!$U$26,i_Actuals!BZ139,0)</f>
        <v/>
      </c>
      <c r="CA240" s="245">
        <f>IF(CA$2=i_Setup!$U$26,i_Actuals!CA139,0)</f>
        <v/>
      </c>
    </row>
    <row r="241" ht="12" customHeight="1" s="227">
      <c r="A241" s="244" t="n"/>
      <c r="B241" s="244" t="n"/>
      <c r="C241" s="244" t="n"/>
      <c r="H241" s="4" t="inlineStr">
        <is>
          <t>Payables Flag</t>
        </is>
      </c>
      <c r="I241" s="27" t="inlineStr">
        <is>
          <t>no.</t>
        </is>
      </c>
      <c r="K241" s="6" t="n"/>
      <c r="T241" s="245">
        <f>IF(T$7="Actual","",1)</f>
        <v/>
      </c>
      <c r="U241" s="245">
        <f>IF(U$7="Actual","",1)</f>
        <v/>
      </c>
      <c r="V241" s="245">
        <f>IF(V$7="Actual","",1)</f>
        <v/>
      </c>
      <c r="W241" s="245">
        <f>IF(W$7="Actual","",1)</f>
        <v/>
      </c>
      <c r="X241" s="245">
        <f>IF(X$7="Actual","",1)</f>
        <v/>
      </c>
      <c r="Y241" s="245">
        <f>IF(Y$7="Actual","",1)</f>
        <v/>
      </c>
      <c r="Z241" s="245">
        <f>IF(Z$7="Actual","",1)</f>
        <v/>
      </c>
      <c r="AA241" s="245">
        <f>IF(AA$7="Actual","",1)</f>
        <v/>
      </c>
      <c r="AB241" s="245">
        <f>IF(AB$7="Actual","",1)</f>
        <v/>
      </c>
      <c r="AC241" s="245">
        <f>IF(AC$7="Actual","",1)</f>
        <v/>
      </c>
      <c r="AD241" s="245">
        <f>IF(AD$7="Actual","",1)</f>
        <v/>
      </c>
      <c r="AE241" s="245">
        <f>IF(AE$7="Actual","",1)</f>
        <v/>
      </c>
      <c r="AF241" s="245">
        <f>IF(AF$7="Actual","",1)</f>
        <v/>
      </c>
      <c r="AG241" s="245">
        <f>IF(AG$7="Actual","",1)</f>
        <v/>
      </c>
      <c r="AH241" s="245">
        <f>IF(AH$7="Actual","",1)</f>
        <v/>
      </c>
      <c r="AI241" s="245">
        <f>IF(AI$7="Actual","",1)</f>
        <v/>
      </c>
      <c r="AJ241" s="245">
        <f>IF(AJ$7="Actual","",1)</f>
        <v/>
      </c>
      <c r="AK241" s="245">
        <f>IF(AK$7="Actual","",1)</f>
        <v/>
      </c>
      <c r="AL241" s="245">
        <f>IF(AL$7="Actual","",1)</f>
        <v/>
      </c>
      <c r="AM241" s="245">
        <f>IF(AM$7="Actual","",1)</f>
        <v/>
      </c>
      <c r="AN241" s="245">
        <f>IF(AN$7="Actual","",1)</f>
        <v/>
      </c>
      <c r="AO241" s="245">
        <f>IF(AO$7="Actual","",1)</f>
        <v/>
      </c>
      <c r="AP241" s="245">
        <f>IF(AP$7="Actual","",1)</f>
        <v/>
      </c>
      <c r="AQ241" s="245">
        <f>IF(AQ$7="Actual","",1)</f>
        <v/>
      </c>
      <c r="AR241" s="245">
        <f>IF(AR$7="Actual","",1)</f>
        <v/>
      </c>
      <c r="AS241" s="245">
        <f>IF(AS$7="Actual","",1)</f>
        <v/>
      </c>
      <c r="AT241" s="245">
        <f>IF(AT$7="Actual","",1)</f>
        <v/>
      </c>
      <c r="AU241" s="245">
        <f>IF(AU$7="Actual","",1)</f>
        <v/>
      </c>
      <c r="AV241" s="245">
        <f>IF(AV$7="Actual","",1)</f>
        <v/>
      </c>
      <c r="AW241" s="245">
        <f>IF(AW$7="Actual","",1)</f>
        <v/>
      </c>
      <c r="AX241" s="245">
        <f>IF(AX$7="Actual","",1)</f>
        <v/>
      </c>
      <c r="AY241" s="245">
        <f>IF(AY$7="Actual","",1)</f>
        <v/>
      </c>
      <c r="AZ241" s="245">
        <f>IF(AZ$7="Actual","",1)</f>
        <v/>
      </c>
      <c r="BA241" s="245">
        <f>IF(BA$7="Actual","",1)</f>
        <v/>
      </c>
      <c r="BB241" s="245">
        <f>IF(BB$7="Actual","",1)</f>
        <v/>
      </c>
      <c r="BC241" s="245">
        <f>IF(BC$7="Actual","",1)</f>
        <v/>
      </c>
      <c r="BD241" s="245">
        <f>IF(BD$7="Actual","",1)</f>
        <v/>
      </c>
      <c r="BE241" s="245">
        <f>IF(BE$7="Actual","",1)</f>
        <v/>
      </c>
      <c r="BF241" s="245">
        <f>IF(BF$7="Actual","",1)</f>
        <v/>
      </c>
      <c r="BG241" s="245">
        <f>IF(BG$7="Actual","",1)</f>
        <v/>
      </c>
      <c r="BH241" s="245">
        <f>IF(BH$7="Actual","",1)</f>
        <v/>
      </c>
      <c r="BI241" s="245">
        <f>IF(BI$7="Actual","",1)</f>
        <v/>
      </c>
      <c r="BJ241" s="245">
        <f>IF(BJ$7="Actual","",1)</f>
        <v/>
      </c>
      <c r="BK241" s="245">
        <f>IF(BK$7="Actual","",1)</f>
        <v/>
      </c>
      <c r="BL241" s="245">
        <f>IF(BL$7="Actual","",1)</f>
        <v/>
      </c>
      <c r="BM241" s="245">
        <f>IF(BM$7="Actual","",1)</f>
        <v/>
      </c>
      <c r="BN241" s="245">
        <f>IF(BN$7="Actual","",1)</f>
        <v/>
      </c>
      <c r="BO241" s="245">
        <f>IF(BO$7="Actual","",1)</f>
        <v/>
      </c>
      <c r="BP241" s="245">
        <f>IF(BP$7="Actual","",1)</f>
        <v/>
      </c>
      <c r="BQ241" s="245">
        <f>IF(BQ$7="Actual","",1)</f>
        <v/>
      </c>
      <c r="BR241" s="245">
        <f>IF(BR$7="Actual","",1)</f>
        <v/>
      </c>
      <c r="BS241" s="245">
        <f>IF(BS$7="Actual","",1)</f>
        <v/>
      </c>
      <c r="BT241" s="245">
        <f>IF(BT$7="Actual","",1)</f>
        <v/>
      </c>
      <c r="BU241" s="245">
        <f>IF(BU$7="Actual","",1)</f>
        <v/>
      </c>
      <c r="BV241" s="245">
        <f>IF(BV$7="Actual","",1)</f>
        <v/>
      </c>
      <c r="BW241" s="245">
        <f>IF(BW$7="Actual","",1)</f>
        <v/>
      </c>
      <c r="BX241" s="245">
        <f>IF(BX$7="Actual","",1)</f>
        <v/>
      </c>
      <c r="BY241" s="245">
        <f>IF(BY$7="Actual","",1)</f>
        <v/>
      </c>
      <c r="BZ241" s="245">
        <f>IF(BZ$7="Actual","",1)</f>
        <v/>
      </c>
      <c r="CA241" s="245">
        <f>IF(CA$7="Actual","",1)</f>
        <v/>
      </c>
    </row>
    <row r="242" ht="12" customHeight="1" s="227">
      <c r="A242" s="244" t="n"/>
      <c r="B242" s="244" t="n"/>
      <c r="C242" s="244" t="n"/>
      <c r="K242" s="6" t="n"/>
    </row>
    <row r="243" ht="12" customHeight="1" s="227">
      <c r="A243" s="244" t="n"/>
      <c r="B243" s="244" t="n"/>
      <c r="C243" s="244" t="n"/>
      <c r="H243" s="4" t="inlineStr">
        <is>
          <t>Payments Opening Bal</t>
        </is>
      </c>
      <c r="I243" s="27">
        <f>i_Setup!$M$16</f>
        <v/>
      </c>
      <c r="K243" s="259">
        <f>i_Actuals!K139</f>
        <v/>
      </c>
      <c r="M243" s="245" t="n"/>
      <c r="N243" s="245" t="n"/>
      <c r="O243" s="245" t="n"/>
      <c r="P243" s="245" t="n"/>
      <c r="Q243" s="245" t="n"/>
      <c r="T243" s="245">
        <f>IF(T$7="Actual","",IF(SUM($S241:T241)&lt;=$K243,IFERROR(SUM($T$240:$CA$240)/$K243,0),0))</f>
        <v/>
      </c>
      <c r="U243" s="245">
        <f>IF(U$7="Actual","",IF(SUM($S241:U241)&lt;=$K243,IFERROR(SUM($T$240:$CA$240)/$K243,0),0))</f>
        <v/>
      </c>
      <c r="V243" s="245">
        <f>IF(V$7="Actual","",IF(SUM($S241:V241)&lt;=$K243,IFERROR(SUM($T$240:$CA$240)/$K243,0),0))</f>
        <v/>
      </c>
      <c r="W243" s="245">
        <f>IF(W$7="Actual","",IF(SUM($S241:W241)&lt;=$K243,IFERROR(SUM($T$240:$CA$240)/$K243,0),0))</f>
        <v/>
      </c>
      <c r="X243" s="245">
        <f>IF(X$7="Actual","",IF(SUM($S241:X241)&lt;=$K243,IFERROR(SUM($T$240:$CA$240)/$K243,0),0))</f>
        <v/>
      </c>
      <c r="Y243" s="245">
        <f>IF(Y$7="Actual","",IF(SUM($S241:Y241)&lt;=$K243,IFERROR(SUM($T$240:$CA$240)/$K243,0),0))</f>
        <v/>
      </c>
      <c r="Z243" s="245">
        <f>IF(Z$7="Actual","",IF(SUM($S241:Z241)&lt;=$K243,IFERROR(SUM($T$240:$CA$240)/$K243,0),0))</f>
        <v/>
      </c>
      <c r="AA243" s="245">
        <f>IF(AA$7="Actual","",IF(SUM($S241:AA241)&lt;=$K243,IFERROR(SUM($T$240:$CA$240)/$K243,0),0))</f>
        <v/>
      </c>
      <c r="AB243" s="245">
        <f>IF(AB$7="Actual","",IF(SUM($S241:AB241)&lt;=$K243,IFERROR(SUM($T$240:$CA$240)/$K243,0),0))</f>
        <v/>
      </c>
      <c r="AC243" s="245">
        <f>IF(AC$7="Actual","",IF(SUM($S241:AC241)&lt;=$K243,IFERROR(SUM($T$240:$CA$240)/$K243,0),0))</f>
        <v/>
      </c>
      <c r="AD243" s="245">
        <f>IF(AD$7="Actual","",IF(SUM($S241:AD241)&lt;=$K243,IFERROR(SUM($T$240:$CA$240)/$K243,0),0))</f>
        <v/>
      </c>
      <c r="AE243" s="245">
        <f>IF(AE$7="Actual","",IF(SUM($S241:AE241)&lt;=$K243,IFERROR(SUM($T$240:$CA$240)/$K243,0),0))</f>
        <v/>
      </c>
      <c r="AF243" s="245">
        <f>IF(AF$7="Actual","",IF(SUM($S241:AF241)&lt;=$K243,IFERROR(SUM($T$240:$CA$240)/$K243,0),0))</f>
        <v/>
      </c>
      <c r="AG243" s="245">
        <f>IF(AG$7="Actual","",IF(SUM($S241:AG241)&lt;=$K243,IFERROR(SUM($T$240:$CA$240)/$K243,0),0))</f>
        <v/>
      </c>
      <c r="AH243" s="245">
        <f>IF(AH$7="Actual","",IF(SUM($S241:AH241)&lt;=$K243,IFERROR(SUM($T$240:$CA$240)/$K243,0),0))</f>
        <v/>
      </c>
      <c r="AI243" s="245">
        <f>IF(AI$7="Actual","",IF(SUM($S241:AI241)&lt;=$K243,IFERROR(SUM($T$240:$CA$240)/$K243,0),0))</f>
        <v/>
      </c>
      <c r="AJ243" s="245">
        <f>IF(AJ$7="Actual","",IF(SUM($S241:AJ241)&lt;=$K243,IFERROR(SUM($T$240:$CA$240)/$K243,0),0))</f>
        <v/>
      </c>
      <c r="AK243" s="245">
        <f>IF(AK$7="Actual","",IF(SUM($S241:AK241)&lt;=$K243,IFERROR(SUM($T$240:$CA$240)/$K243,0),0))</f>
        <v/>
      </c>
      <c r="AL243" s="245">
        <f>IF(AL$7="Actual","",IF(SUM($S241:AL241)&lt;=$K243,IFERROR(SUM($T$240:$CA$240)/$K243,0),0))</f>
        <v/>
      </c>
      <c r="AM243" s="245">
        <f>IF(AM$7="Actual","",IF(SUM($S241:AM241)&lt;=$K243,IFERROR(SUM($T$240:$CA$240)/$K243,0),0))</f>
        <v/>
      </c>
      <c r="AN243" s="245">
        <f>IF(AN$7="Actual","",IF(SUM($S241:AN241)&lt;=$K243,IFERROR(SUM($T$240:$CA$240)/$K243,0),0))</f>
        <v/>
      </c>
      <c r="AO243" s="245">
        <f>IF(AO$7="Actual","",IF(SUM($S241:AO241)&lt;=$K243,IFERROR(SUM($T$240:$CA$240)/$K243,0),0))</f>
        <v/>
      </c>
      <c r="AP243" s="245">
        <f>IF(AP$7="Actual","",IF(SUM($S241:AP241)&lt;=$K243,IFERROR(SUM($T$240:$CA$240)/$K243,0),0))</f>
        <v/>
      </c>
      <c r="AQ243" s="245">
        <f>IF(AQ$7="Actual","",IF(SUM($S241:AQ241)&lt;=$K243,IFERROR(SUM($T$240:$CA$240)/$K243,0),0))</f>
        <v/>
      </c>
      <c r="AR243" s="245">
        <f>IF(AR$7="Actual","",IF(SUM($S241:AR241)&lt;=$K243,IFERROR(SUM($T$240:$CA$240)/$K243,0),0))</f>
        <v/>
      </c>
      <c r="AS243" s="245">
        <f>IF(AS$7="Actual","",IF(SUM($S241:AS241)&lt;=$K243,IFERROR(SUM($T$240:$CA$240)/$K243,0),0))</f>
        <v/>
      </c>
      <c r="AT243" s="245">
        <f>IF(AT$7="Actual","",IF(SUM($S241:AT241)&lt;=$K243,IFERROR(SUM($T$240:$CA$240)/$K243,0),0))</f>
        <v/>
      </c>
      <c r="AU243" s="245">
        <f>IF(AU$7="Actual","",IF(SUM($S241:AU241)&lt;=$K243,IFERROR(SUM($T$240:$CA$240)/$K243,0),0))</f>
        <v/>
      </c>
      <c r="AV243" s="245">
        <f>IF(AV$7="Actual","",IF(SUM($S241:AV241)&lt;=$K243,IFERROR(SUM($T$240:$CA$240)/$K243,0),0))</f>
        <v/>
      </c>
      <c r="AW243" s="245">
        <f>IF(AW$7="Actual","",IF(SUM($S241:AW241)&lt;=$K243,IFERROR(SUM($T$240:$CA$240)/$K243,0),0))</f>
        <v/>
      </c>
      <c r="AX243" s="245">
        <f>IF(AX$7="Actual","",IF(SUM($S241:AX241)&lt;=$K243,IFERROR(SUM($T$240:$CA$240)/$K243,0),0))</f>
        <v/>
      </c>
      <c r="AY243" s="245">
        <f>IF(AY$7="Actual","",IF(SUM($S241:AY241)&lt;=$K243,IFERROR(SUM($T$240:$CA$240)/$K243,0),0))</f>
        <v/>
      </c>
      <c r="AZ243" s="245">
        <f>IF(AZ$7="Actual","",IF(SUM($S241:AZ241)&lt;=$K243,IFERROR(SUM($T$240:$CA$240)/$K243,0),0))</f>
        <v/>
      </c>
      <c r="BA243" s="245">
        <f>IF(BA$7="Actual","",IF(SUM($S241:BA241)&lt;=$K243,IFERROR(SUM($T$240:$CA$240)/$K243,0),0))</f>
        <v/>
      </c>
      <c r="BB243" s="245">
        <f>IF(BB$7="Actual","",IF(SUM($S241:BB241)&lt;=$K243,IFERROR(SUM($T$240:$CA$240)/$K243,0),0))</f>
        <v/>
      </c>
      <c r="BC243" s="245">
        <f>IF(BC$7="Actual","",IF(SUM($S241:BC241)&lt;=$K243,IFERROR(SUM($T$240:$CA$240)/$K243,0),0))</f>
        <v/>
      </c>
      <c r="BD243" s="245">
        <f>IF(BD$7="Actual","",IF(SUM($S241:BD241)&lt;=$K243,IFERROR(SUM($T$240:$CA$240)/$K243,0),0))</f>
        <v/>
      </c>
      <c r="BE243" s="245">
        <f>IF(BE$7="Actual","",IF(SUM($S241:BE241)&lt;=$K243,IFERROR(SUM($T$240:$CA$240)/$K243,0),0))</f>
        <v/>
      </c>
      <c r="BF243" s="245">
        <f>IF(BF$7="Actual","",IF(SUM($S241:BF241)&lt;=$K243,IFERROR(SUM($T$240:$CA$240)/$K243,0),0))</f>
        <v/>
      </c>
      <c r="BG243" s="245">
        <f>IF(BG$7="Actual","",IF(SUM($S241:BG241)&lt;=$K243,IFERROR(SUM($T$240:$CA$240)/$K243,0),0))</f>
        <v/>
      </c>
      <c r="BH243" s="245">
        <f>IF(BH$7="Actual","",IF(SUM($S241:BH241)&lt;=$K243,IFERROR(SUM($T$240:$CA$240)/$K243,0),0))</f>
        <v/>
      </c>
      <c r="BI243" s="245">
        <f>IF(BI$7="Actual","",IF(SUM($S241:BI241)&lt;=$K243,IFERROR(SUM($T$240:$CA$240)/$K243,0),0))</f>
        <v/>
      </c>
      <c r="BJ243" s="245">
        <f>IF(BJ$7="Actual","",IF(SUM($S241:BJ241)&lt;=$K243,IFERROR(SUM($T$240:$CA$240)/$K243,0),0))</f>
        <v/>
      </c>
      <c r="BK243" s="245">
        <f>IF(BK$7="Actual","",IF(SUM($S241:BK241)&lt;=$K243,IFERROR(SUM($T$240:$CA$240)/$K243,0),0))</f>
        <v/>
      </c>
      <c r="BL243" s="245">
        <f>IF(BL$7="Actual","",IF(SUM($S241:BL241)&lt;=$K243,IFERROR(SUM($T$240:$CA$240)/$K243,0),0))</f>
        <v/>
      </c>
      <c r="BM243" s="245">
        <f>IF(BM$7="Actual","",IF(SUM($S241:BM241)&lt;=$K243,IFERROR(SUM($T$240:$CA$240)/$K243,0),0))</f>
        <v/>
      </c>
      <c r="BN243" s="245">
        <f>IF(BN$7="Actual","",IF(SUM($S241:BN241)&lt;=$K243,IFERROR(SUM($T$240:$CA$240)/$K243,0),0))</f>
        <v/>
      </c>
      <c r="BO243" s="245">
        <f>IF(BO$7="Actual","",IF(SUM($S241:BO241)&lt;=$K243,IFERROR(SUM($T$240:$CA$240)/$K243,0),0))</f>
        <v/>
      </c>
      <c r="BP243" s="245">
        <f>IF(BP$7="Actual","",IF(SUM($S241:BP241)&lt;=$K243,IFERROR(SUM($T$240:$CA$240)/$K243,0),0))</f>
        <v/>
      </c>
      <c r="BQ243" s="245">
        <f>IF(BQ$7="Actual","",IF(SUM($S241:BQ241)&lt;=$K243,IFERROR(SUM($T$240:$CA$240)/$K243,0),0))</f>
        <v/>
      </c>
      <c r="BR243" s="245">
        <f>IF(BR$7="Actual","",IF(SUM($S241:BR241)&lt;=$K243,IFERROR(SUM($T$240:$CA$240)/$K243,0),0))</f>
        <v/>
      </c>
      <c r="BS243" s="245">
        <f>IF(BS$7="Actual","",IF(SUM($S241:BS241)&lt;=$K243,IFERROR(SUM($T$240:$CA$240)/$K243,0),0))</f>
        <v/>
      </c>
      <c r="BT243" s="245">
        <f>IF(BT$7="Actual","",IF(SUM($S241:BT241)&lt;=$K243,IFERROR(SUM($T$240:$CA$240)/$K243,0),0))</f>
        <v/>
      </c>
      <c r="BU243" s="245">
        <f>IF(BU$7="Actual","",IF(SUM($S241:BU241)&lt;=$K243,IFERROR(SUM($T$240:$CA$240)/$K243,0),0))</f>
        <v/>
      </c>
      <c r="BV243" s="245">
        <f>IF(BV$7="Actual","",IF(SUM($S241:BV241)&lt;=$K243,IFERROR(SUM($T$240:$CA$240)/$K243,0),0))</f>
        <v/>
      </c>
      <c r="BW243" s="245">
        <f>IF(BW$7="Actual","",IF(SUM($S241:BW241)&lt;=$K243,IFERROR(SUM($T$240:$CA$240)/$K243,0),0))</f>
        <v/>
      </c>
      <c r="BX243" s="245">
        <f>IF(BX$7="Actual","",IF(SUM($S241:BX241)&lt;=$K243,IFERROR(SUM($T$240:$CA$240)/$K243,0),0))</f>
        <v/>
      </c>
      <c r="BY243" s="245">
        <f>IF(BY$7="Actual","",IF(SUM($S241:BY241)&lt;=$K243,IFERROR(SUM($T$240:$CA$240)/$K243,0),0))</f>
        <v/>
      </c>
      <c r="BZ243" s="245">
        <f>IF(BZ$7="Actual","",IF(SUM($S241:BZ241)&lt;=$K243,IFERROR(SUM($T$240:$CA$240)/$K243,0),0))</f>
        <v/>
      </c>
      <c r="CA243" s="245">
        <f>IF(CA$7="Actual","",IF(SUM($S241:CA241)&lt;=$K243,IFERROR(SUM($T$240:$CA$240)/$K243,0),0))</f>
        <v/>
      </c>
    </row>
    <row r="244" ht="12" customHeight="1" s="227">
      <c r="A244" s="244" t="n"/>
      <c r="B244" s="244" t="n"/>
      <c r="C244" s="244" t="n"/>
      <c r="H244" s="0">
        <f>H227</f>
        <v/>
      </c>
      <c r="I244" s="27">
        <f>i_Setup!$M$16</f>
        <v/>
      </c>
      <c r="K244" s="259">
        <f>i_Assumptions!K75</f>
        <v/>
      </c>
      <c r="M244" s="245" t="n"/>
      <c r="N244" s="245" t="n"/>
      <c r="O244" s="245" t="n"/>
      <c r="P244" s="245" t="n"/>
      <c r="Q244" s="245" t="n"/>
      <c r="T244" s="245">
        <f>IF(T$7="Actual","",OFFSET(T227,,-$K244))</f>
        <v/>
      </c>
      <c r="U244" s="245">
        <f>IF(U$7="Actual","",OFFSET(U227,,-$K244))</f>
        <v/>
      </c>
      <c r="V244" s="245">
        <f>IF(V$7="Actual","",OFFSET(V227,,-$K244))</f>
        <v/>
      </c>
      <c r="W244" s="245">
        <f>IF(W$7="Actual","",OFFSET(W227,,-$K244))</f>
        <v/>
      </c>
      <c r="X244" s="245">
        <f>IF(X$7="Actual","",OFFSET(X227,,-$K244))</f>
        <v/>
      </c>
      <c r="Y244" s="245">
        <f>IF(Y$7="Actual","",OFFSET(Y227,,-$K244))</f>
        <v/>
      </c>
      <c r="Z244" s="245">
        <f>IF(Z$7="Actual","",OFFSET(Z227,,-$K244))</f>
        <v/>
      </c>
      <c r="AA244" s="245">
        <f>IF(AA$7="Actual","",OFFSET(AA227,,-$K244))</f>
        <v/>
      </c>
      <c r="AB244" s="245">
        <f>IF(AB$7="Actual","",OFFSET(AB227,,-$K244))</f>
        <v/>
      </c>
      <c r="AC244" s="245">
        <f>IF(AC$7="Actual","",OFFSET(AC227,,-$K244))</f>
        <v/>
      </c>
      <c r="AD244" s="245">
        <f>IF(AD$7="Actual","",OFFSET(AD227,,-$K244))</f>
        <v/>
      </c>
      <c r="AE244" s="245">
        <f>IF(AE$7="Actual","",OFFSET(AE227,,-$K244))</f>
        <v/>
      </c>
      <c r="AF244" s="245">
        <f>IF(AF$7="Actual","",OFFSET(AF227,,-$K244))</f>
        <v/>
      </c>
      <c r="AG244" s="245">
        <f>IF(AG$7="Actual","",OFFSET(AG227,,-$K244))</f>
        <v/>
      </c>
      <c r="AH244" s="245">
        <f>IF(AH$7="Actual","",OFFSET(AH227,,-$K244))</f>
        <v/>
      </c>
      <c r="AI244" s="245">
        <f>IF(AI$7="Actual","",OFFSET(AI227,,-$K244))</f>
        <v/>
      </c>
      <c r="AJ244" s="245">
        <f>IF(AJ$7="Actual","",OFFSET(AJ227,,-$K244))</f>
        <v/>
      </c>
      <c r="AK244" s="245">
        <f>IF(AK$7="Actual","",OFFSET(AK227,,-$K244))</f>
        <v/>
      </c>
      <c r="AL244" s="245">
        <f>IF(AL$7="Actual","",OFFSET(AL227,,-$K244))</f>
        <v/>
      </c>
      <c r="AM244" s="245">
        <f>IF(AM$7="Actual","",OFFSET(AM227,,-$K244))</f>
        <v/>
      </c>
      <c r="AN244" s="245">
        <f>IF(AN$7="Actual","",OFFSET(AN227,,-$K244))</f>
        <v/>
      </c>
      <c r="AO244" s="245">
        <f>IF(AO$7="Actual","",OFFSET(AO227,,-$K244))</f>
        <v/>
      </c>
      <c r="AP244" s="245">
        <f>IF(AP$7="Actual","",OFFSET(AP227,,-$K244))</f>
        <v/>
      </c>
      <c r="AQ244" s="245">
        <f>IF(AQ$7="Actual","",OFFSET(AQ227,,-$K244))</f>
        <v/>
      </c>
      <c r="AR244" s="245">
        <f>IF(AR$7="Actual","",OFFSET(AR227,,-$K244))</f>
        <v/>
      </c>
      <c r="AS244" s="245">
        <f>IF(AS$7="Actual","",OFFSET(AS227,,-$K244))</f>
        <v/>
      </c>
      <c r="AT244" s="245">
        <f>IF(AT$7="Actual","",OFFSET(AT227,,-$K244))</f>
        <v/>
      </c>
      <c r="AU244" s="245">
        <f>IF(AU$7="Actual","",OFFSET(AU227,,-$K244))</f>
        <v/>
      </c>
      <c r="AV244" s="245">
        <f>IF(AV$7="Actual","",OFFSET(AV227,,-$K244))</f>
        <v/>
      </c>
      <c r="AW244" s="245">
        <f>IF(AW$7="Actual","",OFFSET(AW227,,-$K244))</f>
        <v/>
      </c>
      <c r="AX244" s="245">
        <f>IF(AX$7="Actual","",OFFSET(AX227,,-$K244))</f>
        <v/>
      </c>
      <c r="AY244" s="245">
        <f>IF(AY$7="Actual","",OFFSET(AY227,,-$K244))</f>
        <v/>
      </c>
      <c r="AZ244" s="245">
        <f>IF(AZ$7="Actual","",OFFSET(AZ227,,-$K244))</f>
        <v/>
      </c>
      <c r="BA244" s="245">
        <f>IF(BA$7="Actual","",OFFSET(BA227,,-$K244))</f>
        <v/>
      </c>
      <c r="BB244" s="245">
        <f>IF(BB$7="Actual","",OFFSET(BB227,,-$K244))</f>
        <v/>
      </c>
      <c r="BC244" s="245">
        <f>IF(BC$7="Actual","",OFFSET(BC227,,-$K244))</f>
        <v/>
      </c>
      <c r="BD244" s="245">
        <f>IF(BD$7="Actual","",OFFSET(BD227,,-$K244))</f>
        <v/>
      </c>
      <c r="BE244" s="245">
        <f>IF(BE$7="Actual","",OFFSET(BE227,,-$K244))</f>
        <v/>
      </c>
      <c r="BF244" s="245">
        <f>IF(BF$7="Actual","",OFFSET(BF227,,-$K244))</f>
        <v/>
      </c>
      <c r="BG244" s="245">
        <f>IF(BG$7="Actual","",OFFSET(BG227,,-$K244))</f>
        <v/>
      </c>
      <c r="BH244" s="245">
        <f>IF(BH$7="Actual","",OFFSET(BH227,,-$K244))</f>
        <v/>
      </c>
      <c r="BI244" s="245">
        <f>IF(BI$7="Actual","",OFFSET(BI227,,-$K244))</f>
        <v/>
      </c>
      <c r="BJ244" s="245">
        <f>IF(BJ$7="Actual","",OFFSET(BJ227,,-$K244))</f>
        <v/>
      </c>
      <c r="BK244" s="245">
        <f>IF(BK$7="Actual","",OFFSET(BK227,,-$K244))</f>
        <v/>
      </c>
      <c r="BL244" s="245">
        <f>IF(BL$7="Actual","",OFFSET(BL227,,-$K244))</f>
        <v/>
      </c>
      <c r="BM244" s="245">
        <f>IF(BM$7="Actual","",OFFSET(BM227,,-$K244))</f>
        <v/>
      </c>
      <c r="BN244" s="245">
        <f>IF(BN$7="Actual","",OFFSET(BN227,,-$K244))</f>
        <v/>
      </c>
      <c r="BO244" s="245">
        <f>IF(BO$7="Actual","",OFFSET(BO227,,-$K244))</f>
        <v/>
      </c>
      <c r="BP244" s="245">
        <f>IF(BP$7="Actual","",OFFSET(BP227,,-$K244))</f>
        <v/>
      </c>
      <c r="BQ244" s="245">
        <f>IF(BQ$7="Actual","",OFFSET(BQ227,,-$K244))</f>
        <v/>
      </c>
      <c r="BR244" s="245">
        <f>IF(BR$7="Actual","",OFFSET(BR227,,-$K244))</f>
        <v/>
      </c>
      <c r="BS244" s="245">
        <f>IF(BS$7="Actual","",OFFSET(BS227,,-$K244))</f>
        <v/>
      </c>
      <c r="BT244" s="245">
        <f>IF(BT$7="Actual","",OFFSET(BT227,,-$K244))</f>
        <v/>
      </c>
      <c r="BU244" s="245">
        <f>IF(BU$7="Actual","",OFFSET(BU227,,-$K244))</f>
        <v/>
      </c>
      <c r="BV244" s="245">
        <f>IF(BV$7="Actual","",OFFSET(BV227,,-$K244))</f>
        <v/>
      </c>
      <c r="BW244" s="245">
        <f>IF(BW$7="Actual","",OFFSET(BW227,,-$K244))</f>
        <v/>
      </c>
      <c r="BX244" s="245">
        <f>IF(BX$7="Actual","",OFFSET(BX227,,-$K244))</f>
        <v/>
      </c>
      <c r="BY244" s="245">
        <f>IF(BY$7="Actual","",OFFSET(BY227,,-$K244))</f>
        <v/>
      </c>
      <c r="BZ244" s="245">
        <f>IF(BZ$7="Actual","",OFFSET(BZ227,,-$K244))</f>
        <v/>
      </c>
      <c r="CA244" s="245">
        <f>IF(CA$7="Actual","",OFFSET(CA227,,-$K244))</f>
        <v/>
      </c>
    </row>
    <row r="245" ht="12" customHeight="1" s="227">
      <c r="A245" s="244" t="n"/>
      <c r="B245" s="244" t="n"/>
      <c r="C245" s="244" t="n"/>
      <c r="H245" s="0">
        <f>H228</f>
        <v/>
      </c>
      <c r="I245" s="27">
        <f>i_Setup!$M$16</f>
        <v/>
      </c>
      <c r="K245" s="259">
        <f>i_Assumptions!K76</f>
        <v/>
      </c>
      <c r="M245" s="245" t="n"/>
      <c r="N245" s="245" t="n"/>
      <c r="O245" s="245" t="n"/>
      <c r="P245" s="245" t="n"/>
      <c r="Q245" s="245" t="n"/>
      <c r="T245" s="245">
        <f>IF(T$7="Actual","",OFFSET(T228,,-$K245))</f>
        <v/>
      </c>
      <c r="U245" s="245">
        <f>IF(U$7="Actual","",OFFSET(U228,,-$K245))</f>
        <v/>
      </c>
      <c r="V245" s="245">
        <f>IF(V$7="Actual","",OFFSET(V228,,-$K245))</f>
        <v/>
      </c>
      <c r="W245" s="245">
        <f>IF(W$7="Actual","",OFFSET(W228,,-$K245))</f>
        <v/>
      </c>
      <c r="X245" s="245">
        <f>IF(X$7="Actual","",OFFSET(X228,,-$K245))</f>
        <v/>
      </c>
      <c r="Y245" s="245">
        <f>IF(Y$7="Actual","",OFFSET(Y228,,-$K245))</f>
        <v/>
      </c>
      <c r="Z245" s="245">
        <f>IF(Z$7="Actual","",OFFSET(Z228,,-$K245))</f>
        <v/>
      </c>
      <c r="AA245" s="245">
        <f>IF(AA$7="Actual","",OFFSET(AA228,,-$K245))</f>
        <v/>
      </c>
      <c r="AB245" s="245">
        <f>IF(AB$7="Actual","",OFFSET(AB228,,-$K245))</f>
        <v/>
      </c>
      <c r="AC245" s="245">
        <f>IF(AC$7="Actual","",OFFSET(AC228,,-$K245))</f>
        <v/>
      </c>
      <c r="AD245" s="245">
        <f>IF(AD$7="Actual","",OFFSET(AD228,,-$K245))</f>
        <v/>
      </c>
      <c r="AE245" s="245">
        <f>IF(AE$7="Actual","",OFFSET(AE228,,-$K245))</f>
        <v/>
      </c>
      <c r="AF245" s="245">
        <f>IF(AF$7="Actual","",OFFSET(AF228,,-$K245))</f>
        <v/>
      </c>
      <c r="AG245" s="245">
        <f>IF(AG$7="Actual","",OFFSET(AG228,,-$K245))</f>
        <v/>
      </c>
      <c r="AH245" s="245">
        <f>IF(AH$7="Actual","",OFFSET(AH228,,-$K245))</f>
        <v/>
      </c>
      <c r="AI245" s="245">
        <f>IF(AI$7="Actual","",OFFSET(AI228,,-$K245))</f>
        <v/>
      </c>
      <c r="AJ245" s="245">
        <f>IF(AJ$7="Actual","",OFFSET(AJ228,,-$K245))</f>
        <v/>
      </c>
      <c r="AK245" s="245">
        <f>IF(AK$7="Actual","",OFFSET(AK228,,-$K245))</f>
        <v/>
      </c>
      <c r="AL245" s="245">
        <f>IF(AL$7="Actual","",OFFSET(AL228,,-$K245))</f>
        <v/>
      </c>
      <c r="AM245" s="245">
        <f>IF(AM$7="Actual","",OFFSET(AM228,,-$K245))</f>
        <v/>
      </c>
      <c r="AN245" s="245">
        <f>IF(AN$7="Actual","",OFFSET(AN228,,-$K245))</f>
        <v/>
      </c>
      <c r="AO245" s="245">
        <f>IF(AO$7="Actual","",OFFSET(AO228,,-$K245))</f>
        <v/>
      </c>
      <c r="AP245" s="245">
        <f>IF(AP$7="Actual","",OFFSET(AP228,,-$K245))</f>
        <v/>
      </c>
      <c r="AQ245" s="245">
        <f>IF(AQ$7="Actual","",OFFSET(AQ228,,-$K245))</f>
        <v/>
      </c>
      <c r="AR245" s="245">
        <f>IF(AR$7="Actual","",OFFSET(AR228,,-$K245))</f>
        <v/>
      </c>
      <c r="AS245" s="245">
        <f>IF(AS$7="Actual","",OFFSET(AS228,,-$K245))</f>
        <v/>
      </c>
      <c r="AT245" s="245">
        <f>IF(AT$7="Actual","",OFFSET(AT228,,-$K245))</f>
        <v/>
      </c>
      <c r="AU245" s="245">
        <f>IF(AU$7="Actual","",OFFSET(AU228,,-$K245))</f>
        <v/>
      </c>
      <c r="AV245" s="245">
        <f>IF(AV$7="Actual","",OFFSET(AV228,,-$K245))</f>
        <v/>
      </c>
      <c r="AW245" s="245">
        <f>IF(AW$7="Actual","",OFFSET(AW228,,-$K245))</f>
        <v/>
      </c>
      <c r="AX245" s="245">
        <f>IF(AX$7="Actual","",OFFSET(AX228,,-$K245))</f>
        <v/>
      </c>
      <c r="AY245" s="245">
        <f>IF(AY$7="Actual","",OFFSET(AY228,,-$K245))</f>
        <v/>
      </c>
      <c r="AZ245" s="245">
        <f>IF(AZ$7="Actual","",OFFSET(AZ228,,-$K245))</f>
        <v/>
      </c>
      <c r="BA245" s="245">
        <f>IF(BA$7="Actual","",OFFSET(BA228,,-$K245))</f>
        <v/>
      </c>
      <c r="BB245" s="245">
        <f>IF(BB$7="Actual","",OFFSET(BB228,,-$K245))</f>
        <v/>
      </c>
      <c r="BC245" s="245">
        <f>IF(BC$7="Actual","",OFFSET(BC228,,-$K245))</f>
        <v/>
      </c>
      <c r="BD245" s="245">
        <f>IF(BD$7="Actual","",OFFSET(BD228,,-$K245))</f>
        <v/>
      </c>
      <c r="BE245" s="245">
        <f>IF(BE$7="Actual","",OFFSET(BE228,,-$K245))</f>
        <v/>
      </c>
      <c r="BF245" s="245">
        <f>IF(BF$7="Actual","",OFFSET(BF228,,-$K245))</f>
        <v/>
      </c>
      <c r="BG245" s="245">
        <f>IF(BG$7="Actual","",OFFSET(BG228,,-$K245))</f>
        <v/>
      </c>
      <c r="BH245" s="245">
        <f>IF(BH$7="Actual","",OFFSET(BH228,,-$K245))</f>
        <v/>
      </c>
      <c r="BI245" s="245">
        <f>IF(BI$7="Actual","",OFFSET(BI228,,-$K245))</f>
        <v/>
      </c>
      <c r="BJ245" s="245">
        <f>IF(BJ$7="Actual","",OFFSET(BJ228,,-$K245))</f>
        <v/>
      </c>
      <c r="BK245" s="245">
        <f>IF(BK$7="Actual","",OFFSET(BK228,,-$K245))</f>
        <v/>
      </c>
      <c r="BL245" s="245">
        <f>IF(BL$7="Actual","",OFFSET(BL228,,-$K245))</f>
        <v/>
      </c>
      <c r="BM245" s="245">
        <f>IF(BM$7="Actual","",OFFSET(BM228,,-$K245))</f>
        <v/>
      </c>
      <c r="BN245" s="245">
        <f>IF(BN$7="Actual","",OFFSET(BN228,,-$K245))</f>
        <v/>
      </c>
      <c r="BO245" s="245">
        <f>IF(BO$7="Actual","",OFFSET(BO228,,-$K245))</f>
        <v/>
      </c>
      <c r="BP245" s="245">
        <f>IF(BP$7="Actual","",OFFSET(BP228,,-$K245))</f>
        <v/>
      </c>
      <c r="BQ245" s="245">
        <f>IF(BQ$7="Actual","",OFFSET(BQ228,,-$K245))</f>
        <v/>
      </c>
      <c r="BR245" s="245">
        <f>IF(BR$7="Actual","",OFFSET(BR228,,-$K245))</f>
        <v/>
      </c>
      <c r="BS245" s="245">
        <f>IF(BS$7="Actual","",OFFSET(BS228,,-$K245))</f>
        <v/>
      </c>
      <c r="BT245" s="245">
        <f>IF(BT$7="Actual","",OFFSET(BT228,,-$K245))</f>
        <v/>
      </c>
      <c r="BU245" s="245">
        <f>IF(BU$7="Actual","",OFFSET(BU228,,-$K245))</f>
        <v/>
      </c>
      <c r="BV245" s="245">
        <f>IF(BV$7="Actual","",OFFSET(BV228,,-$K245))</f>
        <v/>
      </c>
      <c r="BW245" s="245">
        <f>IF(BW$7="Actual","",OFFSET(BW228,,-$K245))</f>
        <v/>
      </c>
      <c r="BX245" s="245">
        <f>IF(BX$7="Actual","",OFFSET(BX228,,-$K245))</f>
        <v/>
      </c>
      <c r="BY245" s="245">
        <f>IF(BY$7="Actual","",OFFSET(BY228,,-$K245))</f>
        <v/>
      </c>
      <c r="BZ245" s="245">
        <f>IF(BZ$7="Actual","",OFFSET(BZ228,,-$K245))</f>
        <v/>
      </c>
      <c r="CA245" s="245">
        <f>IF(CA$7="Actual","",OFFSET(CA228,,-$K245))</f>
        <v/>
      </c>
    </row>
    <row r="246" ht="12" customHeight="1" s="227">
      <c r="A246" s="244" t="n"/>
      <c r="B246" s="244" t="n"/>
      <c r="C246" s="244" t="n"/>
      <c r="H246" s="0">
        <f>H229</f>
        <v/>
      </c>
      <c r="I246" s="27">
        <f>i_Setup!$M$16</f>
        <v/>
      </c>
      <c r="K246" s="259">
        <f>i_Assumptions!K77</f>
        <v/>
      </c>
      <c r="M246" s="245" t="n"/>
      <c r="N246" s="245" t="n"/>
      <c r="O246" s="245" t="n"/>
      <c r="P246" s="245" t="n"/>
      <c r="Q246" s="245" t="n"/>
      <c r="T246" s="245">
        <f>IF(T$7="Actual","",OFFSET(T229,,-$K246))</f>
        <v/>
      </c>
      <c r="U246" s="245">
        <f>IF(U$7="Actual","",OFFSET(U229,,-$K246))</f>
        <v/>
      </c>
      <c r="V246" s="245">
        <f>IF(V$7="Actual","",OFFSET(V229,,-$K246))</f>
        <v/>
      </c>
      <c r="W246" s="245">
        <f>IF(W$7="Actual","",OFFSET(W229,,-$K246))</f>
        <v/>
      </c>
      <c r="X246" s="245">
        <f>IF(X$7="Actual","",OFFSET(X229,,-$K246))</f>
        <v/>
      </c>
      <c r="Y246" s="245">
        <f>IF(Y$7="Actual","",OFFSET(Y229,,-$K246))</f>
        <v/>
      </c>
      <c r="Z246" s="245">
        <f>IF(Z$7="Actual","",OFFSET(Z229,,-$K246))</f>
        <v/>
      </c>
      <c r="AA246" s="245">
        <f>IF(AA$7="Actual","",OFFSET(AA229,,-$K246))</f>
        <v/>
      </c>
      <c r="AB246" s="245">
        <f>IF(AB$7="Actual","",OFFSET(AB229,,-$K246))</f>
        <v/>
      </c>
      <c r="AC246" s="245">
        <f>IF(AC$7="Actual","",OFFSET(AC229,,-$K246))</f>
        <v/>
      </c>
      <c r="AD246" s="245">
        <f>IF(AD$7="Actual","",OFFSET(AD229,,-$K246))</f>
        <v/>
      </c>
      <c r="AE246" s="245">
        <f>IF(AE$7="Actual","",OFFSET(AE229,,-$K246))</f>
        <v/>
      </c>
      <c r="AF246" s="245">
        <f>IF(AF$7="Actual","",OFFSET(AF229,,-$K246))</f>
        <v/>
      </c>
      <c r="AG246" s="245">
        <f>IF(AG$7="Actual","",OFFSET(AG229,,-$K246))</f>
        <v/>
      </c>
      <c r="AH246" s="245">
        <f>IF(AH$7="Actual","",OFFSET(AH229,,-$K246))</f>
        <v/>
      </c>
      <c r="AI246" s="245">
        <f>IF(AI$7="Actual","",OFFSET(AI229,,-$K246))</f>
        <v/>
      </c>
      <c r="AJ246" s="245">
        <f>IF(AJ$7="Actual","",OFFSET(AJ229,,-$K246))</f>
        <v/>
      </c>
      <c r="AK246" s="245">
        <f>IF(AK$7="Actual","",OFFSET(AK229,,-$K246))</f>
        <v/>
      </c>
      <c r="AL246" s="245">
        <f>IF(AL$7="Actual","",OFFSET(AL229,,-$K246))</f>
        <v/>
      </c>
      <c r="AM246" s="245">
        <f>IF(AM$7="Actual","",OFFSET(AM229,,-$K246))</f>
        <v/>
      </c>
      <c r="AN246" s="245">
        <f>IF(AN$7="Actual","",OFFSET(AN229,,-$K246))</f>
        <v/>
      </c>
      <c r="AO246" s="245">
        <f>IF(AO$7="Actual","",OFFSET(AO229,,-$K246))</f>
        <v/>
      </c>
      <c r="AP246" s="245">
        <f>IF(AP$7="Actual","",OFFSET(AP229,,-$K246))</f>
        <v/>
      </c>
      <c r="AQ246" s="245">
        <f>IF(AQ$7="Actual","",OFFSET(AQ229,,-$K246))</f>
        <v/>
      </c>
      <c r="AR246" s="245">
        <f>IF(AR$7="Actual","",OFFSET(AR229,,-$K246))</f>
        <v/>
      </c>
      <c r="AS246" s="245">
        <f>IF(AS$7="Actual","",OFFSET(AS229,,-$K246))</f>
        <v/>
      </c>
      <c r="AT246" s="245">
        <f>IF(AT$7="Actual","",OFFSET(AT229,,-$K246))</f>
        <v/>
      </c>
      <c r="AU246" s="245">
        <f>IF(AU$7="Actual","",OFFSET(AU229,,-$K246))</f>
        <v/>
      </c>
      <c r="AV246" s="245">
        <f>IF(AV$7="Actual","",OFFSET(AV229,,-$K246))</f>
        <v/>
      </c>
      <c r="AW246" s="245">
        <f>IF(AW$7="Actual","",OFFSET(AW229,,-$K246))</f>
        <v/>
      </c>
      <c r="AX246" s="245">
        <f>IF(AX$7="Actual","",OFFSET(AX229,,-$K246))</f>
        <v/>
      </c>
      <c r="AY246" s="245">
        <f>IF(AY$7="Actual","",OFFSET(AY229,,-$K246))</f>
        <v/>
      </c>
      <c r="AZ246" s="245">
        <f>IF(AZ$7="Actual","",OFFSET(AZ229,,-$K246))</f>
        <v/>
      </c>
      <c r="BA246" s="245">
        <f>IF(BA$7="Actual","",OFFSET(BA229,,-$K246))</f>
        <v/>
      </c>
      <c r="BB246" s="245">
        <f>IF(BB$7="Actual","",OFFSET(BB229,,-$K246))</f>
        <v/>
      </c>
      <c r="BC246" s="245">
        <f>IF(BC$7="Actual","",OFFSET(BC229,,-$K246))</f>
        <v/>
      </c>
      <c r="BD246" s="245">
        <f>IF(BD$7="Actual","",OFFSET(BD229,,-$K246))</f>
        <v/>
      </c>
      <c r="BE246" s="245">
        <f>IF(BE$7="Actual","",OFFSET(BE229,,-$K246))</f>
        <v/>
      </c>
      <c r="BF246" s="245">
        <f>IF(BF$7="Actual","",OFFSET(BF229,,-$K246))</f>
        <v/>
      </c>
      <c r="BG246" s="245">
        <f>IF(BG$7="Actual","",OFFSET(BG229,,-$K246))</f>
        <v/>
      </c>
      <c r="BH246" s="245">
        <f>IF(BH$7="Actual","",OFFSET(BH229,,-$K246))</f>
        <v/>
      </c>
      <c r="BI246" s="245">
        <f>IF(BI$7="Actual","",OFFSET(BI229,,-$K246))</f>
        <v/>
      </c>
      <c r="BJ246" s="245">
        <f>IF(BJ$7="Actual","",OFFSET(BJ229,,-$K246))</f>
        <v/>
      </c>
      <c r="BK246" s="245">
        <f>IF(BK$7="Actual","",OFFSET(BK229,,-$K246))</f>
        <v/>
      </c>
      <c r="BL246" s="245">
        <f>IF(BL$7="Actual","",OFFSET(BL229,,-$K246))</f>
        <v/>
      </c>
      <c r="BM246" s="245">
        <f>IF(BM$7="Actual","",OFFSET(BM229,,-$K246))</f>
        <v/>
      </c>
      <c r="BN246" s="245">
        <f>IF(BN$7="Actual","",OFFSET(BN229,,-$K246))</f>
        <v/>
      </c>
      <c r="BO246" s="245">
        <f>IF(BO$7="Actual","",OFFSET(BO229,,-$K246))</f>
        <v/>
      </c>
      <c r="BP246" s="245">
        <f>IF(BP$7="Actual","",OFFSET(BP229,,-$K246))</f>
        <v/>
      </c>
      <c r="BQ246" s="245">
        <f>IF(BQ$7="Actual","",OFFSET(BQ229,,-$K246))</f>
        <v/>
      </c>
      <c r="BR246" s="245">
        <f>IF(BR$7="Actual","",OFFSET(BR229,,-$K246))</f>
        <v/>
      </c>
      <c r="BS246" s="245">
        <f>IF(BS$7="Actual","",OFFSET(BS229,,-$K246))</f>
        <v/>
      </c>
      <c r="BT246" s="245">
        <f>IF(BT$7="Actual","",OFFSET(BT229,,-$K246))</f>
        <v/>
      </c>
      <c r="BU246" s="245">
        <f>IF(BU$7="Actual","",OFFSET(BU229,,-$K246))</f>
        <v/>
      </c>
      <c r="BV246" s="245">
        <f>IF(BV$7="Actual","",OFFSET(BV229,,-$K246))</f>
        <v/>
      </c>
      <c r="BW246" s="245">
        <f>IF(BW$7="Actual","",OFFSET(BW229,,-$K246))</f>
        <v/>
      </c>
      <c r="BX246" s="245">
        <f>IF(BX$7="Actual","",OFFSET(BX229,,-$K246))</f>
        <v/>
      </c>
      <c r="BY246" s="245">
        <f>IF(BY$7="Actual","",OFFSET(BY229,,-$K246))</f>
        <v/>
      </c>
      <c r="BZ246" s="245">
        <f>IF(BZ$7="Actual","",OFFSET(BZ229,,-$K246))</f>
        <v/>
      </c>
      <c r="CA246" s="245">
        <f>IF(CA$7="Actual","",OFFSET(CA229,,-$K246))</f>
        <v/>
      </c>
    </row>
    <row r="247" ht="12" customHeight="1" s="227">
      <c r="A247" s="244" t="n"/>
      <c r="B247" s="244" t="n"/>
      <c r="C247" s="244" t="n"/>
      <c r="H247" s="0">
        <f>H230</f>
        <v/>
      </c>
      <c r="I247" s="27">
        <f>i_Setup!$M$16</f>
        <v/>
      </c>
      <c r="K247" s="259">
        <f>i_Assumptions!K78</f>
        <v/>
      </c>
      <c r="M247" s="245" t="n"/>
      <c r="N247" s="245" t="n"/>
      <c r="O247" s="245" t="n"/>
      <c r="P247" s="245" t="n"/>
      <c r="Q247" s="245" t="n"/>
      <c r="T247" s="245">
        <f>IF(T$7="Actual","",OFFSET(T230,,-$K247))</f>
        <v/>
      </c>
      <c r="U247" s="245">
        <f>IF(U$7="Actual","",OFFSET(U230,,-$K247))</f>
        <v/>
      </c>
      <c r="V247" s="245">
        <f>IF(V$7="Actual","",OFFSET(V230,,-$K247))</f>
        <v/>
      </c>
      <c r="W247" s="245">
        <f>IF(W$7="Actual","",OFFSET(W230,,-$K247))</f>
        <v/>
      </c>
      <c r="X247" s="245">
        <f>IF(X$7="Actual","",OFFSET(X230,,-$K247))</f>
        <v/>
      </c>
      <c r="Y247" s="245">
        <f>IF(Y$7="Actual","",OFFSET(Y230,,-$K247))</f>
        <v/>
      </c>
      <c r="Z247" s="245">
        <f>IF(Z$7="Actual","",OFFSET(Z230,,-$K247))</f>
        <v/>
      </c>
      <c r="AA247" s="245">
        <f>IF(AA$7="Actual","",OFFSET(AA230,,-$K247))</f>
        <v/>
      </c>
      <c r="AB247" s="245">
        <f>IF(AB$7="Actual","",OFFSET(AB230,,-$K247))</f>
        <v/>
      </c>
      <c r="AC247" s="245">
        <f>IF(AC$7="Actual","",OFFSET(AC230,,-$K247))</f>
        <v/>
      </c>
      <c r="AD247" s="245">
        <f>IF(AD$7="Actual","",OFFSET(AD230,,-$K247))</f>
        <v/>
      </c>
      <c r="AE247" s="245">
        <f>IF(AE$7="Actual","",OFFSET(AE230,,-$K247))</f>
        <v/>
      </c>
      <c r="AF247" s="245">
        <f>IF(AF$7="Actual","",OFFSET(AF230,,-$K247))</f>
        <v/>
      </c>
      <c r="AG247" s="245">
        <f>IF(AG$7="Actual","",OFFSET(AG230,,-$K247))</f>
        <v/>
      </c>
      <c r="AH247" s="245">
        <f>IF(AH$7="Actual","",OFFSET(AH230,,-$K247))</f>
        <v/>
      </c>
      <c r="AI247" s="245">
        <f>IF(AI$7="Actual","",OFFSET(AI230,,-$K247))</f>
        <v/>
      </c>
      <c r="AJ247" s="245">
        <f>IF(AJ$7="Actual","",OFFSET(AJ230,,-$K247))</f>
        <v/>
      </c>
      <c r="AK247" s="245">
        <f>IF(AK$7="Actual","",OFFSET(AK230,,-$K247))</f>
        <v/>
      </c>
      <c r="AL247" s="245">
        <f>IF(AL$7="Actual","",OFFSET(AL230,,-$K247))</f>
        <v/>
      </c>
      <c r="AM247" s="245">
        <f>IF(AM$7="Actual","",OFFSET(AM230,,-$K247))</f>
        <v/>
      </c>
      <c r="AN247" s="245">
        <f>IF(AN$7="Actual","",OFFSET(AN230,,-$K247))</f>
        <v/>
      </c>
      <c r="AO247" s="245">
        <f>IF(AO$7="Actual","",OFFSET(AO230,,-$K247))</f>
        <v/>
      </c>
      <c r="AP247" s="245">
        <f>IF(AP$7="Actual","",OFFSET(AP230,,-$K247))</f>
        <v/>
      </c>
      <c r="AQ247" s="245">
        <f>IF(AQ$7="Actual","",OFFSET(AQ230,,-$K247))</f>
        <v/>
      </c>
      <c r="AR247" s="245">
        <f>IF(AR$7="Actual","",OFFSET(AR230,,-$K247))</f>
        <v/>
      </c>
      <c r="AS247" s="245">
        <f>IF(AS$7="Actual","",OFFSET(AS230,,-$K247))</f>
        <v/>
      </c>
      <c r="AT247" s="245">
        <f>IF(AT$7="Actual","",OFFSET(AT230,,-$K247))</f>
        <v/>
      </c>
      <c r="AU247" s="245">
        <f>IF(AU$7="Actual","",OFFSET(AU230,,-$K247))</f>
        <v/>
      </c>
      <c r="AV247" s="245">
        <f>IF(AV$7="Actual","",OFFSET(AV230,,-$K247))</f>
        <v/>
      </c>
      <c r="AW247" s="245">
        <f>IF(AW$7="Actual","",OFFSET(AW230,,-$K247))</f>
        <v/>
      </c>
      <c r="AX247" s="245">
        <f>IF(AX$7="Actual","",OFFSET(AX230,,-$K247))</f>
        <v/>
      </c>
      <c r="AY247" s="245">
        <f>IF(AY$7="Actual","",OFFSET(AY230,,-$K247))</f>
        <v/>
      </c>
      <c r="AZ247" s="245">
        <f>IF(AZ$7="Actual","",OFFSET(AZ230,,-$K247))</f>
        <v/>
      </c>
      <c r="BA247" s="245">
        <f>IF(BA$7="Actual","",OFFSET(BA230,,-$K247))</f>
        <v/>
      </c>
      <c r="BB247" s="245">
        <f>IF(BB$7="Actual","",OFFSET(BB230,,-$K247))</f>
        <v/>
      </c>
      <c r="BC247" s="245">
        <f>IF(BC$7="Actual","",OFFSET(BC230,,-$K247))</f>
        <v/>
      </c>
      <c r="BD247" s="245">
        <f>IF(BD$7="Actual","",OFFSET(BD230,,-$K247))</f>
        <v/>
      </c>
      <c r="BE247" s="245">
        <f>IF(BE$7="Actual","",OFFSET(BE230,,-$K247))</f>
        <v/>
      </c>
      <c r="BF247" s="245">
        <f>IF(BF$7="Actual","",OFFSET(BF230,,-$K247))</f>
        <v/>
      </c>
      <c r="BG247" s="245">
        <f>IF(BG$7="Actual","",OFFSET(BG230,,-$K247))</f>
        <v/>
      </c>
      <c r="BH247" s="245">
        <f>IF(BH$7="Actual","",OFFSET(BH230,,-$K247))</f>
        <v/>
      </c>
      <c r="BI247" s="245">
        <f>IF(BI$7="Actual","",OFFSET(BI230,,-$K247))</f>
        <v/>
      </c>
      <c r="BJ247" s="245">
        <f>IF(BJ$7="Actual","",OFFSET(BJ230,,-$K247))</f>
        <v/>
      </c>
      <c r="BK247" s="245">
        <f>IF(BK$7="Actual","",OFFSET(BK230,,-$K247))</f>
        <v/>
      </c>
      <c r="BL247" s="245">
        <f>IF(BL$7="Actual","",OFFSET(BL230,,-$K247))</f>
        <v/>
      </c>
      <c r="BM247" s="245">
        <f>IF(BM$7="Actual","",OFFSET(BM230,,-$K247))</f>
        <v/>
      </c>
      <c r="BN247" s="245">
        <f>IF(BN$7="Actual","",OFFSET(BN230,,-$K247))</f>
        <v/>
      </c>
      <c r="BO247" s="245">
        <f>IF(BO$7="Actual","",OFFSET(BO230,,-$K247))</f>
        <v/>
      </c>
      <c r="BP247" s="245">
        <f>IF(BP$7="Actual","",OFFSET(BP230,,-$K247))</f>
        <v/>
      </c>
      <c r="BQ247" s="245">
        <f>IF(BQ$7="Actual","",OFFSET(BQ230,,-$K247))</f>
        <v/>
      </c>
      <c r="BR247" s="245">
        <f>IF(BR$7="Actual","",OFFSET(BR230,,-$K247))</f>
        <v/>
      </c>
      <c r="BS247" s="245">
        <f>IF(BS$7="Actual","",OFFSET(BS230,,-$K247))</f>
        <v/>
      </c>
      <c r="BT247" s="245">
        <f>IF(BT$7="Actual","",OFFSET(BT230,,-$K247))</f>
        <v/>
      </c>
      <c r="BU247" s="245">
        <f>IF(BU$7="Actual","",OFFSET(BU230,,-$K247))</f>
        <v/>
      </c>
      <c r="BV247" s="245">
        <f>IF(BV$7="Actual","",OFFSET(BV230,,-$K247))</f>
        <v/>
      </c>
      <c r="BW247" s="245">
        <f>IF(BW$7="Actual","",OFFSET(BW230,,-$K247))</f>
        <v/>
      </c>
      <c r="BX247" s="245">
        <f>IF(BX$7="Actual","",OFFSET(BX230,,-$K247))</f>
        <v/>
      </c>
      <c r="BY247" s="245">
        <f>IF(BY$7="Actual","",OFFSET(BY230,,-$K247))</f>
        <v/>
      </c>
      <c r="BZ247" s="245">
        <f>IF(BZ$7="Actual","",OFFSET(BZ230,,-$K247))</f>
        <v/>
      </c>
      <c r="CA247" s="245">
        <f>IF(CA$7="Actual","",OFFSET(CA230,,-$K247))</f>
        <v/>
      </c>
    </row>
    <row r="248" ht="12" customHeight="1" s="227">
      <c r="A248" s="244" t="n"/>
      <c r="B248" s="244" t="n"/>
      <c r="C248" s="244" t="n"/>
      <c r="H248" s="0">
        <f>H231</f>
        <v/>
      </c>
      <c r="I248" s="27">
        <f>i_Setup!$M$16</f>
        <v/>
      </c>
      <c r="K248" s="259">
        <f>i_Assumptions!K79</f>
        <v/>
      </c>
      <c r="M248" s="245" t="n"/>
      <c r="N248" s="245" t="n"/>
      <c r="O248" s="245" t="n"/>
      <c r="P248" s="245" t="n"/>
      <c r="Q248" s="245" t="n"/>
      <c r="T248" s="245">
        <f>IF(T$7="Actual","",OFFSET(T231,,-$K248))</f>
        <v/>
      </c>
      <c r="U248" s="245">
        <f>IF(U$7="Actual","",OFFSET(U231,,-$K248))</f>
        <v/>
      </c>
      <c r="V248" s="245">
        <f>IF(V$7="Actual","",OFFSET(V231,,-$K248))</f>
        <v/>
      </c>
      <c r="W248" s="245">
        <f>IF(W$7="Actual","",OFFSET(W231,,-$K248))</f>
        <v/>
      </c>
      <c r="X248" s="245">
        <f>IF(X$7="Actual","",OFFSET(X231,,-$K248))</f>
        <v/>
      </c>
      <c r="Y248" s="245">
        <f>IF(Y$7="Actual","",OFFSET(Y231,,-$K248))</f>
        <v/>
      </c>
      <c r="Z248" s="245">
        <f>IF(Z$7="Actual","",OFFSET(Z231,,-$K248))</f>
        <v/>
      </c>
      <c r="AA248" s="245">
        <f>IF(AA$7="Actual","",OFFSET(AA231,,-$K248))</f>
        <v/>
      </c>
      <c r="AB248" s="245">
        <f>IF(AB$7="Actual","",OFFSET(AB231,,-$K248))</f>
        <v/>
      </c>
      <c r="AC248" s="245">
        <f>IF(AC$7="Actual","",OFFSET(AC231,,-$K248))</f>
        <v/>
      </c>
      <c r="AD248" s="245">
        <f>IF(AD$7="Actual","",OFFSET(AD231,,-$K248))</f>
        <v/>
      </c>
      <c r="AE248" s="245">
        <f>IF(AE$7="Actual","",OFFSET(AE231,,-$K248))</f>
        <v/>
      </c>
      <c r="AF248" s="245">
        <f>IF(AF$7="Actual","",OFFSET(AF231,,-$K248))</f>
        <v/>
      </c>
      <c r="AG248" s="245">
        <f>IF(AG$7="Actual","",OFFSET(AG231,,-$K248))</f>
        <v/>
      </c>
      <c r="AH248" s="245">
        <f>IF(AH$7="Actual","",OFFSET(AH231,,-$K248))</f>
        <v/>
      </c>
      <c r="AI248" s="245">
        <f>IF(AI$7="Actual","",OFFSET(AI231,,-$K248))</f>
        <v/>
      </c>
      <c r="AJ248" s="245">
        <f>IF(AJ$7="Actual","",OFFSET(AJ231,,-$K248))</f>
        <v/>
      </c>
      <c r="AK248" s="245">
        <f>IF(AK$7="Actual","",OFFSET(AK231,,-$K248))</f>
        <v/>
      </c>
      <c r="AL248" s="245">
        <f>IF(AL$7="Actual","",OFFSET(AL231,,-$K248))</f>
        <v/>
      </c>
      <c r="AM248" s="245">
        <f>IF(AM$7="Actual","",OFFSET(AM231,,-$K248))</f>
        <v/>
      </c>
      <c r="AN248" s="245">
        <f>IF(AN$7="Actual","",OFFSET(AN231,,-$K248))</f>
        <v/>
      </c>
      <c r="AO248" s="245">
        <f>IF(AO$7="Actual","",OFFSET(AO231,,-$K248))</f>
        <v/>
      </c>
      <c r="AP248" s="245">
        <f>IF(AP$7="Actual","",OFFSET(AP231,,-$K248))</f>
        <v/>
      </c>
      <c r="AQ248" s="245">
        <f>IF(AQ$7="Actual","",OFFSET(AQ231,,-$K248))</f>
        <v/>
      </c>
      <c r="AR248" s="245">
        <f>IF(AR$7="Actual","",OFFSET(AR231,,-$K248))</f>
        <v/>
      </c>
      <c r="AS248" s="245">
        <f>IF(AS$7="Actual","",OFFSET(AS231,,-$K248))</f>
        <v/>
      </c>
      <c r="AT248" s="245">
        <f>IF(AT$7="Actual","",OFFSET(AT231,,-$K248))</f>
        <v/>
      </c>
      <c r="AU248" s="245">
        <f>IF(AU$7="Actual","",OFFSET(AU231,,-$K248))</f>
        <v/>
      </c>
      <c r="AV248" s="245">
        <f>IF(AV$7="Actual","",OFFSET(AV231,,-$K248))</f>
        <v/>
      </c>
      <c r="AW248" s="245">
        <f>IF(AW$7="Actual","",OFFSET(AW231,,-$K248))</f>
        <v/>
      </c>
      <c r="AX248" s="245">
        <f>IF(AX$7="Actual","",OFFSET(AX231,,-$K248))</f>
        <v/>
      </c>
      <c r="AY248" s="245">
        <f>IF(AY$7="Actual","",OFFSET(AY231,,-$K248))</f>
        <v/>
      </c>
      <c r="AZ248" s="245">
        <f>IF(AZ$7="Actual","",OFFSET(AZ231,,-$K248))</f>
        <v/>
      </c>
      <c r="BA248" s="245">
        <f>IF(BA$7="Actual","",OFFSET(BA231,,-$K248))</f>
        <v/>
      </c>
      <c r="BB248" s="245">
        <f>IF(BB$7="Actual","",OFFSET(BB231,,-$K248))</f>
        <v/>
      </c>
      <c r="BC248" s="245">
        <f>IF(BC$7="Actual","",OFFSET(BC231,,-$K248))</f>
        <v/>
      </c>
      <c r="BD248" s="245">
        <f>IF(BD$7="Actual","",OFFSET(BD231,,-$K248))</f>
        <v/>
      </c>
      <c r="BE248" s="245">
        <f>IF(BE$7="Actual","",OFFSET(BE231,,-$K248))</f>
        <v/>
      </c>
      <c r="BF248" s="245">
        <f>IF(BF$7="Actual","",OFFSET(BF231,,-$K248))</f>
        <v/>
      </c>
      <c r="BG248" s="245">
        <f>IF(BG$7="Actual","",OFFSET(BG231,,-$K248))</f>
        <v/>
      </c>
      <c r="BH248" s="245">
        <f>IF(BH$7="Actual","",OFFSET(BH231,,-$K248))</f>
        <v/>
      </c>
      <c r="BI248" s="245">
        <f>IF(BI$7="Actual","",OFFSET(BI231,,-$K248))</f>
        <v/>
      </c>
      <c r="BJ248" s="245">
        <f>IF(BJ$7="Actual","",OFFSET(BJ231,,-$K248))</f>
        <v/>
      </c>
      <c r="BK248" s="245">
        <f>IF(BK$7="Actual","",OFFSET(BK231,,-$K248))</f>
        <v/>
      </c>
      <c r="BL248" s="245">
        <f>IF(BL$7="Actual","",OFFSET(BL231,,-$K248))</f>
        <v/>
      </c>
      <c r="BM248" s="245">
        <f>IF(BM$7="Actual","",OFFSET(BM231,,-$K248))</f>
        <v/>
      </c>
      <c r="BN248" s="245">
        <f>IF(BN$7="Actual","",OFFSET(BN231,,-$K248))</f>
        <v/>
      </c>
      <c r="BO248" s="245">
        <f>IF(BO$7="Actual","",OFFSET(BO231,,-$K248))</f>
        <v/>
      </c>
      <c r="BP248" s="245">
        <f>IF(BP$7="Actual","",OFFSET(BP231,,-$K248))</f>
        <v/>
      </c>
      <c r="BQ248" s="245">
        <f>IF(BQ$7="Actual","",OFFSET(BQ231,,-$K248))</f>
        <v/>
      </c>
      <c r="BR248" s="245">
        <f>IF(BR$7="Actual","",OFFSET(BR231,,-$K248))</f>
        <v/>
      </c>
      <c r="BS248" s="245">
        <f>IF(BS$7="Actual","",OFFSET(BS231,,-$K248))</f>
        <v/>
      </c>
      <c r="BT248" s="245">
        <f>IF(BT$7="Actual","",OFFSET(BT231,,-$K248))</f>
        <v/>
      </c>
      <c r="BU248" s="245">
        <f>IF(BU$7="Actual","",OFFSET(BU231,,-$K248))</f>
        <v/>
      </c>
      <c r="BV248" s="245">
        <f>IF(BV$7="Actual","",OFFSET(BV231,,-$K248))</f>
        <v/>
      </c>
      <c r="BW248" s="245">
        <f>IF(BW$7="Actual","",OFFSET(BW231,,-$K248))</f>
        <v/>
      </c>
      <c r="BX248" s="245">
        <f>IF(BX$7="Actual","",OFFSET(BX231,,-$K248))</f>
        <v/>
      </c>
      <c r="BY248" s="245">
        <f>IF(BY$7="Actual","",OFFSET(BY231,,-$K248))</f>
        <v/>
      </c>
      <c r="BZ248" s="245">
        <f>IF(BZ$7="Actual","",OFFSET(BZ231,,-$K248))</f>
        <v/>
      </c>
      <c r="CA248" s="245">
        <f>IF(CA$7="Actual","",OFFSET(CA231,,-$K248))</f>
        <v/>
      </c>
    </row>
    <row r="249" ht="12" customHeight="1" s="227">
      <c r="A249" s="244" t="n"/>
      <c r="B249" s="244" t="n"/>
      <c r="C249" s="244" t="n"/>
      <c r="H249" s="0">
        <f>H232</f>
        <v/>
      </c>
      <c r="I249" s="27">
        <f>i_Setup!$M$16</f>
        <v/>
      </c>
      <c r="K249" s="259">
        <f>i_Assumptions!K80</f>
        <v/>
      </c>
      <c r="M249" s="245" t="n"/>
      <c r="N249" s="245" t="n"/>
      <c r="O249" s="245" t="n"/>
      <c r="P249" s="245" t="n"/>
      <c r="Q249" s="245" t="n"/>
      <c r="T249" s="245">
        <f>IF(T$7="Actual","",OFFSET(T232,,-$K249))</f>
        <v/>
      </c>
      <c r="U249" s="245">
        <f>IF(U$7="Actual","",OFFSET(U232,,-$K249))</f>
        <v/>
      </c>
      <c r="V249" s="245">
        <f>IF(V$7="Actual","",OFFSET(V232,,-$K249))</f>
        <v/>
      </c>
      <c r="W249" s="245">
        <f>IF(W$7="Actual","",OFFSET(W232,,-$K249))</f>
        <v/>
      </c>
      <c r="X249" s="245">
        <f>IF(X$7="Actual","",OFFSET(X232,,-$K249))</f>
        <v/>
      </c>
      <c r="Y249" s="245">
        <f>IF(Y$7="Actual","",OFFSET(Y232,,-$K249))</f>
        <v/>
      </c>
      <c r="Z249" s="245">
        <f>IF(Z$7="Actual","",OFFSET(Z232,,-$K249))</f>
        <v/>
      </c>
      <c r="AA249" s="245">
        <f>IF(AA$7="Actual","",OFFSET(AA232,,-$K249))</f>
        <v/>
      </c>
      <c r="AB249" s="245">
        <f>IF(AB$7="Actual","",OFFSET(AB232,,-$K249))</f>
        <v/>
      </c>
      <c r="AC249" s="245">
        <f>IF(AC$7="Actual","",OFFSET(AC232,,-$K249))</f>
        <v/>
      </c>
      <c r="AD249" s="245">
        <f>IF(AD$7="Actual","",OFFSET(AD232,,-$K249))</f>
        <v/>
      </c>
      <c r="AE249" s="245">
        <f>IF(AE$7="Actual","",OFFSET(AE232,,-$K249))</f>
        <v/>
      </c>
      <c r="AF249" s="245">
        <f>IF(AF$7="Actual","",OFFSET(AF232,,-$K249))</f>
        <v/>
      </c>
      <c r="AG249" s="245">
        <f>IF(AG$7="Actual","",OFFSET(AG232,,-$K249))</f>
        <v/>
      </c>
      <c r="AH249" s="245">
        <f>IF(AH$7="Actual","",OFFSET(AH232,,-$K249))</f>
        <v/>
      </c>
      <c r="AI249" s="245">
        <f>IF(AI$7="Actual","",OFFSET(AI232,,-$K249))</f>
        <v/>
      </c>
      <c r="AJ249" s="245">
        <f>IF(AJ$7="Actual","",OFFSET(AJ232,,-$K249))</f>
        <v/>
      </c>
      <c r="AK249" s="245">
        <f>IF(AK$7="Actual","",OFFSET(AK232,,-$K249))</f>
        <v/>
      </c>
      <c r="AL249" s="245">
        <f>IF(AL$7="Actual","",OFFSET(AL232,,-$K249))</f>
        <v/>
      </c>
      <c r="AM249" s="245">
        <f>IF(AM$7="Actual","",OFFSET(AM232,,-$K249))</f>
        <v/>
      </c>
      <c r="AN249" s="245">
        <f>IF(AN$7="Actual","",OFFSET(AN232,,-$K249))</f>
        <v/>
      </c>
      <c r="AO249" s="245">
        <f>IF(AO$7="Actual","",OFFSET(AO232,,-$K249))</f>
        <v/>
      </c>
      <c r="AP249" s="245">
        <f>IF(AP$7="Actual","",OFFSET(AP232,,-$K249))</f>
        <v/>
      </c>
      <c r="AQ249" s="245">
        <f>IF(AQ$7="Actual","",OFFSET(AQ232,,-$K249))</f>
        <v/>
      </c>
      <c r="AR249" s="245">
        <f>IF(AR$7="Actual","",OFFSET(AR232,,-$K249))</f>
        <v/>
      </c>
      <c r="AS249" s="245">
        <f>IF(AS$7="Actual","",OFFSET(AS232,,-$K249))</f>
        <v/>
      </c>
      <c r="AT249" s="245">
        <f>IF(AT$7="Actual","",OFFSET(AT232,,-$K249))</f>
        <v/>
      </c>
      <c r="AU249" s="245">
        <f>IF(AU$7="Actual","",OFFSET(AU232,,-$K249))</f>
        <v/>
      </c>
      <c r="AV249" s="245">
        <f>IF(AV$7="Actual","",OFFSET(AV232,,-$K249))</f>
        <v/>
      </c>
      <c r="AW249" s="245">
        <f>IF(AW$7="Actual","",OFFSET(AW232,,-$K249))</f>
        <v/>
      </c>
      <c r="AX249" s="245">
        <f>IF(AX$7="Actual","",OFFSET(AX232,,-$K249))</f>
        <v/>
      </c>
      <c r="AY249" s="245">
        <f>IF(AY$7="Actual","",OFFSET(AY232,,-$K249))</f>
        <v/>
      </c>
      <c r="AZ249" s="245">
        <f>IF(AZ$7="Actual","",OFFSET(AZ232,,-$K249))</f>
        <v/>
      </c>
      <c r="BA249" s="245">
        <f>IF(BA$7="Actual","",OFFSET(BA232,,-$K249))</f>
        <v/>
      </c>
      <c r="BB249" s="245">
        <f>IF(BB$7="Actual","",OFFSET(BB232,,-$K249))</f>
        <v/>
      </c>
      <c r="BC249" s="245">
        <f>IF(BC$7="Actual","",OFFSET(BC232,,-$K249))</f>
        <v/>
      </c>
      <c r="BD249" s="245">
        <f>IF(BD$7="Actual","",OFFSET(BD232,,-$K249))</f>
        <v/>
      </c>
      <c r="BE249" s="245">
        <f>IF(BE$7="Actual","",OFFSET(BE232,,-$K249))</f>
        <v/>
      </c>
      <c r="BF249" s="245">
        <f>IF(BF$7="Actual","",OFFSET(BF232,,-$K249))</f>
        <v/>
      </c>
      <c r="BG249" s="245">
        <f>IF(BG$7="Actual","",OFFSET(BG232,,-$K249))</f>
        <v/>
      </c>
      <c r="BH249" s="245">
        <f>IF(BH$7="Actual","",OFFSET(BH232,,-$K249))</f>
        <v/>
      </c>
      <c r="BI249" s="245">
        <f>IF(BI$7="Actual","",OFFSET(BI232,,-$K249))</f>
        <v/>
      </c>
      <c r="BJ249" s="245">
        <f>IF(BJ$7="Actual","",OFFSET(BJ232,,-$K249))</f>
        <v/>
      </c>
      <c r="BK249" s="245">
        <f>IF(BK$7="Actual","",OFFSET(BK232,,-$K249))</f>
        <v/>
      </c>
      <c r="BL249" s="245">
        <f>IF(BL$7="Actual","",OFFSET(BL232,,-$K249))</f>
        <v/>
      </c>
      <c r="BM249" s="245">
        <f>IF(BM$7="Actual","",OFFSET(BM232,,-$K249))</f>
        <v/>
      </c>
      <c r="BN249" s="245">
        <f>IF(BN$7="Actual","",OFFSET(BN232,,-$K249))</f>
        <v/>
      </c>
      <c r="BO249" s="245">
        <f>IF(BO$7="Actual","",OFFSET(BO232,,-$K249))</f>
        <v/>
      </c>
      <c r="BP249" s="245">
        <f>IF(BP$7="Actual","",OFFSET(BP232,,-$K249))</f>
        <v/>
      </c>
      <c r="BQ249" s="245">
        <f>IF(BQ$7="Actual","",OFFSET(BQ232,,-$K249))</f>
        <v/>
      </c>
      <c r="BR249" s="245">
        <f>IF(BR$7="Actual","",OFFSET(BR232,,-$K249))</f>
        <v/>
      </c>
      <c r="BS249" s="245">
        <f>IF(BS$7="Actual","",OFFSET(BS232,,-$K249))</f>
        <v/>
      </c>
      <c r="BT249" s="245">
        <f>IF(BT$7="Actual","",OFFSET(BT232,,-$K249))</f>
        <v/>
      </c>
      <c r="BU249" s="245">
        <f>IF(BU$7="Actual","",OFFSET(BU232,,-$K249))</f>
        <v/>
      </c>
      <c r="BV249" s="245">
        <f>IF(BV$7="Actual","",OFFSET(BV232,,-$K249))</f>
        <v/>
      </c>
      <c r="BW249" s="245">
        <f>IF(BW$7="Actual","",OFFSET(BW232,,-$K249))</f>
        <v/>
      </c>
      <c r="BX249" s="245">
        <f>IF(BX$7="Actual","",OFFSET(BX232,,-$K249))</f>
        <v/>
      </c>
      <c r="BY249" s="245">
        <f>IF(BY$7="Actual","",OFFSET(BY232,,-$K249))</f>
        <v/>
      </c>
      <c r="BZ249" s="245">
        <f>IF(BZ$7="Actual","",OFFSET(BZ232,,-$K249))</f>
        <v/>
      </c>
      <c r="CA249" s="245">
        <f>IF(CA$7="Actual","",OFFSET(CA232,,-$K249))</f>
        <v/>
      </c>
    </row>
    <row r="250" ht="12" customHeight="1" s="227">
      <c r="A250" s="244" t="n"/>
      <c r="B250" s="244" t="n"/>
      <c r="C250" s="244" t="n"/>
      <c r="H250" s="0">
        <f>H233</f>
        <v/>
      </c>
      <c r="I250" s="27">
        <f>i_Setup!$M$16</f>
        <v/>
      </c>
      <c r="K250" s="259">
        <f>i_Assumptions!K81</f>
        <v/>
      </c>
      <c r="M250" s="245" t="n"/>
      <c r="N250" s="245" t="n"/>
      <c r="O250" s="245" t="n"/>
      <c r="P250" s="245" t="n"/>
      <c r="Q250" s="245" t="n"/>
      <c r="T250" s="245">
        <f>IF(T$7="Actual","",OFFSET(T233,,-$K250))</f>
        <v/>
      </c>
      <c r="U250" s="245">
        <f>IF(U$7="Actual","",OFFSET(U233,,-$K250))</f>
        <v/>
      </c>
      <c r="V250" s="245">
        <f>IF(V$7="Actual","",OFFSET(V233,,-$K250))</f>
        <v/>
      </c>
      <c r="W250" s="245">
        <f>IF(W$7="Actual","",OFFSET(W233,,-$K250))</f>
        <v/>
      </c>
      <c r="X250" s="245">
        <f>IF(X$7="Actual","",OFFSET(X233,,-$K250))</f>
        <v/>
      </c>
      <c r="Y250" s="245">
        <f>IF(Y$7="Actual","",OFFSET(Y233,,-$K250))</f>
        <v/>
      </c>
      <c r="Z250" s="245">
        <f>IF(Z$7="Actual","",OFFSET(Z233,,-$K250))</f>
        <v/>
      </c>
      <c r="AA250" s="245">
        <f>IF(AA$7="Actual","",OFFSET(AA233,,-$K250))</f>
        <v/>
      </c>
      <c r="AB250" s="245">
        <f>IF(AB$7="Actual","",OFFSET(AB233,,-$K250))</f>
        <v/>
      </c>
      <c r="AC250" s="245">
        <f>IF(AC$7="Actual","",OFFSET(AC233,,-$K250))</f>
        <v/>
      </c>
      <c r="AD250" s="245">
        <f>IF(AD$7="Actual","",OFFSET(AD233,,-$K250))</f>
        <v/>
      </c>
      <c r="AE250" s="245">
        <f>IF(AE$7="Actual","",OFFSET(AE233,,-$K250))</f>
        <v/>
      </c>
      <c r="AF250" s="245">
        <f>IF(AF$7="Actual","",OFFSET(AF233,,-$K250))</f>
        <v/>
      </c>
      <c r="AG250" s="245">
        <f>IF(AG$7="Actual","",OFFSET(AG233,,-$K250))</f>
        <v/>
      </c>
      <c r="AH250" s="245">
        <f>IF(AH$7="Actual","",OFFSET(AH233,,-$K250))</f>
        <v/>
      </c>
      <c r="AI250" s="245">
        <f>IF(AI$7="Actual","",OFFSET(AI233,,-$K250))</f>
        <v/>
      </c>
      <c r="AJ250" s="245">
        <f>IF(AJ$7="Actual","",OFFSET(AJ233,,-$K250))</f>
        <v/>
      </c>
      <c r="AK250" s="245">
        <f>IF(AK$7="Actual","",OFFSET(AK233,,-$K250))</f>
        <v/>
      </c>
      <c r="AL250" s="245">
        <f>IF(AL$7="Actual","",OFFSET(AL233,,-$K250))</f>
        <v/>
      </c>
      <c r="AM250" s="245">
        <f>IF(AM$7="Actual","",OFFSET(AM233,,-$K250))</f>
        <v/>
      </c>
      <c r="AN250" s="245">
        <f>IF(AN$7="Actual","",OFFSET(AN233,,-$K250))</f>
        <v/>
      </c>
      <c r="AO250" s="245">
        <f>IF(AO$7="Actual","",OFFSET(AO233,,-$K250))</f>
        <v/>
      </c>
      <c r="AP250" s="245">
        <f>IF(AP$7="Actual","",OFFSET(AP233,,-$K250))</f>
        <v/>
      </c>
      <c r="AQ250" s="245">
        <f>IF(AQ$7="Actual","",OFFSET(AQ233,,-$K250))</f>
        <v/>
      </c>
      <c r="AR250" s="245">
        <f>IF(AR$7="Actual","",OFFSET(AR233,,-$K250))</f>
        <v/>
      </c>
      <c r="AS250" s="245">
        <f>IF(AS$7="Actual","",OFFSET(AS233,,-$K250))</f>
        <v/>
      </c>
      <c r="AT250" s="245">
        <f>IF(AT$7="Actual","",OFFSET(AT233,,-$K250))</f>
        <v/>
      </c>
      <c r="AU250" s="245">
        <f>IF(AU$7="Actual","",OFFSET(AU233,,-$K250))</f>
        <v/>
      </c>
      <c r="AV250" s="245">
        <f>IF(AV$7="Actual","",OFFSET(AV233,,-$K250))</f>
        <v/>
      </c>
      <c r="AW250" s="245">
        <f>IF(AW$7="Actual","",OFFSET(AW233,,-$K250))</f>
        <v/>
      </c>
      <c r="AX250" s="245">
        <f>IF(AX$7="Actual","",OFFSET(AX233,,-$K250))</f>
        <v/>
      </c>
      <c r="AY250" s="245">
        <f>IF(AY$7="Actual","",OFFSET(AY233,,-$K250))</f>
        <v/>
      </c>
      <c r="AZ250" s="245">
        <f>IF(AZ$7="Actual","",OFFSET(AZ233,,-$K250))</f>
        <v/>
      </c>
      <c r="BA250" s="245">
        <f>IF(BA$7="Actual","",OFFSET(BA233,,-$K250))</f>
        <v/>
      </c>
      <c r="BB250" s="245">
        <f>IF(BB$7="Actual","",OFFSET(BB233,,-$K250))</f>
        <v/>
      </c>
      <c r="BC250" s="245">
        <f>IF(BC$7="Actual","",OFFSET(BC233,,-$K250))</f>
        <v/>
      </c>
      <c r="BD250" s="245">
        <f>IF(BD$7="Actual","",OFFSET(BD233,,-$K250))</f>
        <v/>
      </c>
      <c r="BE250" s="245">
        <f>IF(BE$7="Actual","",OFFSET(BE233,,-$K250))</f>
        <v/>
      </c>
      <c r="BF250" s="245">
        <f>IF(BF$7="Actual","",OFFSET(BF233,,-$K250))</f>
        <v/>
      </c>
      <c r="BG250" s="245">
        <f>IF(BG$7="Actual","",OFFSET(BG233,,-$K250))</f>
        <v/>
      </c>
      <c r="BH250" s="245">
        <f>IF(BH$7="Actual","",OFFSET(BH233,,-$K250))</f>
        <v/>
      </c>
      <c r="BI250" s="245">
        <f>IF(BI$7="Actual","",OFFSET(BI233,,-$K250))</f>
        <v/>
      </c>
      <c r="BJ250" s="245">
        <f>IF(BJ$7="Actual","",OFFSET(BJ233,,-$K250))</f>
        <v/>
      </c>
      <c r="BK250" s="245">
        <f>IF(BK$7="Actual","",OFFSET(BK233,,-$K250))</f>
        <v/>
      </c>
      <c r="BL250" s="245">
        <f>IF(BL$7="Actual","",OFFSET(BL233,,-$K250))</f>
        <v/>
      </c>
      <c r="BM250" s="245">
        <f>IF(BM$7="Actual","",OFFSET(BM233,,-$K250))</f>
        <v/>
      </c>
      <c r="BN250" s="245">
        <f>IF(BN$7="Actual","",OFFSET(BN233,,-$K250))</f>
        <v/>
      </c>
      <c r="BO250" s="245">
        <f>IF(BO$7="Actual","",OFFSET(BO233,,-$K250))</f>
        <v/>
      </c>
      <c r="BP250" s="245">
        <f>IF(BP$7="Actual","",OFFSET(BP233,,-$K250))</f>
        <v/>
      </c>
      <c r="BQ250" s="245">
        <f>IF(BQ$7="Actual","",OFFSET(BQ233,,-$K250))</f>
        <v/>
      </c>
      <c r="BR250" s="245">
        <f>IF(BR$7="Actual","",OFFSET(BR233,,-$K250))</f>
        <v/>
      </c>
      <c r="BS250" s="245">
        <f>IF(BS$7="Actual","",OFFSET(BS233,,-$K250))</f>
        <v/>
      </c>
      <c r="BT250" s="245">
        <f>IF(BT$7="Actual","",OFFSET(BT233,,-$K250))</f>
        <v/>
      </c>
      <c r="BU250" s="245">
        <f>IF(BU$7="Actual","",OFFSET(BU233,,-$K250))</f>
        <v/>
      </c>
      <c r="BV250" s="245">
        <f>IF(BV$7="Actual","",OFFSET(BV233,,-$K250))</f>
        <v/>
      </c>
      <c r="BW250" s="245">
        <f>IF(BW$7="Actual","",OFFSET(BW233,,-$K250))</f>
        <v/>
      </c>
      <c r="BX250" s="245">
        <f>IF(BX$7="Actual","",OFFSET(BX233,,-$K250))</f>
        <v/>
      </c>
      <c r="BY250" s="245">
        <f>IF(BY$7="Actual","",OFFSET(BY233,,-$K250))</f>
        <v/>
      </c>
      <c r="BZ250" s="245">
        <f>IF(BZ$7="Actual","",OFFSET(BZ233,,-$K250))</f>
        <v/>
      </c>
      <c r="CA250" s="245">
        <f>IF(CA$7="Actual","",OFFSET(CA233,,-$K250))</f>
        <v/>
      </c>
    </row>
    <row r="251" ht="12" customHeight="1" s="227">
      <c r="A251" s="244" t="n"/>
      <c r="B251" s="244" t="n"/>
      <c r="C251" s="244" t="n"/>
      <c r="H251" s="0">
        <f>H234</f>
        <v/>
      </c>
      <c r="I251" s="27">
        <f>i_Setup!$M$16</f>
        <v/>
      </c>
      <c r="K251" s="259">
        <f>i_Assumptions!K82</f>
        <v/>
      </c>
      <c r="M251" s="245" t="n"/>
      <c r="N251" s="245" t="n"/>
      <c r="O251" s="245" t="n"/>
      <c r="P251" s="245" t="n"/>
      <c r="Q251" s="245" t="n"/>
      <c r="T251" s="245">
        <f>IF(T$7="Actual","",OFFSET(T234,,-$K251))</f>
        <v/>
      </c>
      <c r="U251" s="245">
        <f>IF(U$7="Actual","",OFFSET(U234,,-$K251))</f>
        <v/>
      </c>
      <c r="V251" s="245">
        <f>IF(V$7="Actual","",OFFSET(V234,,-$K251))</f>
        <v/>
      </c>
      <c r="W251" s="245">
        <f>IF(W$7="Actual","",OFFSET(W234,,-$K251))</f>
        <v/>
      </c>
      <c r="X251" s="245">
        <f>IF(X$7="Actual","",OFFSET(X234,,-$K251))</f>
        <v/>
      </c>
      <c r="Y251" s="245">
        <f>IF(Y$7="Actual","",OFFSET(Y234,,-$K251))</f>
        <v/>
      </c>
      <c r="Z251" s="245">
        <f>IF(Z$7="Actual","",OFFSET(Z234,,-$K251))</f>
        <v/>
      </c>
      <c r="AA251" s="245">
        <f>IF(AA$7="Actual","",OFFSET(AA234,,-$K251))</f>
        <v/>
      </c>
      <c r="AB251" s="245">
        <f>IF(AB$7="Actual","",OFFSET(AB234,,-$K251))</f>
        <v/>
      </c>
      <c r="AC251" s="245">
        <f>IF(AC$7="Actual","",OFFSET(AC234,,-$K251))</f>
        <v/>
      </c>
      <c r="AD251" s="245">
        <f>IF(AD$7="Actual","",OFFSET(AD234,,-$K251))</f>
        <v/>
      </c>
      <c r="AE251" s="245">
        <f>IF(AE$7="Actual","",OFFSET(AE234,,-$K251))</f>
        <v/>
      </c>
      <c r="AF251" s="245">
        <f>IF(AF$7="Actual","",OFFSET(AF234,,-$K251))</f>
        <v/>
      </c>
      <c r="AG251" s="245">
        <f>IF(AG$7="Actual","",OFFSET(AG234,,-$K251))</f>
        <v/>
      </c>
      <c r="AH251" s="245">
        <f>IF(AH$7="Actual","",OFFSET(AH234,,-$K251))</f>
        <v/>
      </c>
      <c r="AI251" s="245">
        <f>IF(AI$7="Actual","",OFFSET(AI234,,-$K251))</f>
        <v/>
      </c>
      <c r="AJ251" s="245">
        <f>IF(AJ$7="Actual","",OFFSET(AJ234,,-$K251))</f>
        <v/>
      </c>
      <c r="AK251" s="245">
        <f>IF(AK$7="Actual","",OFFSET(AK234,,-$K251))</f>
        <v/>
      </c>
      <c r="AL251" s="245">
        <f>IF(AL$7="Actual","",OFFSET(AL234,,-$K251))</f>
        <v/>
      </c>
      <c r="AM251" s="245">
        <f>IF(AM$7="Actual","",OFFSET(AM234,,-$K251))</f>
        <v/>
      </c>
      <c r="AN251" s="245">
        <f>IF(AN$7="Actual","",OFFSET(AN234,,-$K251))</f>
        <v/>
      </c>
      <c r="AO251" s="245">
        <f>IF(AO$7="Actual","",OFFSET(AO234,,-$K251))</f>
        <v/>
      </c>
      <c r="AP251" s="245">
        <f>IF(AP$7="Actual","",OFFSET(AP234,,-$K251))</f>
        <v/>
      </c>
      <c r="AQ251" s="245">
        <f>IF(AQ$7="Actual","",OFFSET(AQ234,,-$K251))</f>
        <v/>
      </c>
      <c r="AR251" s="245">
        <f>IF(AR$7="Actual","",OFFSET(AR234,,-$K251))</f>
        <v/>
      </c>
      <c r="AS251" s="245">
        <f>IF(AS$7="Actual","",OFFSET(AS234,,-$K251))</f>
        <v/>
      </c>
      <c r="AT251" s="245">
        <f>IF(AT$7="Actual","",OFFSET(AT234,,-$K251))</f>
        <v/>
      </c>
      <c r="AU251" s="245">
        <f>IF(AU$7="Actual","",OFFSET(AU234,,-$K251))</f>
        <v/>
      </c>
      <c r="AV251" s="245">
        <f>IF(AV$7="Actual","",OFFSET(AV234,,-$K251))</f>
        <v/>
      </c>
      <c r="AW251" s="245">
        <f>IF(AW$7="Actual","",OFFSET(AW234,,-$K251))</f>
        <v/>
      </c>
      <c r="AX251" s="245">
        <f>IF(AX$7="Actual","",OFFSET(AX234,,-$K251))</f>
        <v/>
      </c>
      <c r="AY251" s="245">
        <f>IF(AY$7="Actual","",OFFSET(AY234,,-$K251))</f>
        <v/>
      </c>
      <c r="AZ251" s="245">
        <f>IF(AZ$7="Actual","",OFFSET(AZ234,,-$K251))</f>
        <v/>
      </c>
      <c r="BA251" s="245">
        <f>IF(BA$7="Actual","",OFFSET(BA234,,-$K251))</f>
        <v/>
      </c>
      <c r="BB251" s="245">
        <f>IF(BB$7="Actual","",OFFSET(BB234,,-$K251))</f>
        <v/>
      </c>
      <c r="BC251" s="245">
        <f>IF(BC$7="Actual","",OFFSET(BC234,,-$K251))</f>
        <v/>
      </c>
      <c r="BD251" s="245">
        <f>IF(BD$7="Actual","",OFFSET(BD234,,-$K251))</f>
        <v/>
      </c>
      <c r="BE251" s="245">
        <f>IF(BE$7="Actual","",OFFSET(BE234,,-$K251))</f>
        <v/>
      </c>
      <c r="BF251" s="245">
        <f>IF(BF$7="Actual","",OFFSET(BF234,,-$K251))</f>
        <v/>
      </c>
      <c r="BG251" s="245">
        <f>IF(BG$7="Actual","",OFFSET(BG234,,-$K251))</f>
        <v/>
      </c>
      <c r="BH251" s="245">
        <f>IF(BH$7="Actual","",OFFSET(BH234,,-$K251))</f>
        <v/>
      </c>
      <c r="BI251" s="245">
        <f>IF(BI$7="Actual","",OFFSET(BI234,,-$K251))</f>
        <v/>
      </c>
      <c r="BJ251" s="245">
        <f>IF(BJ$7="Actual","",OFFSET(BJ234,,-$K251))</f>
        <v/>
      </c>
      <c r="BK251" s="245">
        <f>IF(BK$7="Actual","",OFFSET(BK234,,-$K251))</f>
        <v/>
      </c>
      <c r="BL251" s="245">
        <f>IF(BL$7="Actual","",OFFSET(BL234,,-$K251))</f>
        <v/>
      </c>
      <c r="BM251" s="245">
        <f>IF(BM$7="Actual","",OFFSET(BM234,,-$K251))</f>
        <v/>
      </c>
      <c r="BN251" s="245">
        <f>IF(BN$7="Actual","",OFFSET(BN234,,-$K251))</f>
        <v/>
      </c>
      <c r="BO251" s="245">
        <f>IF(BO$7="Actual","",OFFSET(BO234,,-$K251))</f>
        <v/>
      </c>
      <c r="BP251" s="245">
        <f>IF(BP$7="Actual","",OFFSET(BP234,,-$K251))</f>
        <v/>
      </c>
      <c r="BQ251" s="245">
        <f>IF(BQ$7="Actual","",OFFSET(BQ234,,-$K251))</f>
        <v/>
      </c>
      <c r="BR251" s="245">
        <f>IF(BR$7="Actual","",OFFSET(BR234,,-$K251))</f>
        <v/>
      </c>
      <c r="BS251" s="245">
        <f>IF(BS$7="Actual","",OFFSET(BS234,,-$K251))</f>
        <v/>
      </c>
      <c r="BT251" s="245">
        <f>IF(BT$7="Actual","",OFFSET(BT234,,-$K251))</f>
        <v/>
      </c>
      <c r="BU251" s="245">
        <f>IF(BU$7="Actual","",OFFSET(BU234,,-$K251))</f>
        <v/>
      </c>
      <c r="BV251" s="245">
        <f>IF(BV$7="Actual","",OFFSET(BV234,,-$K251))</f>
        <v/>
      </c>
      <c r="BW251" s="245">
        <f>IF(BW$7="Actual","",OFFSET(BW234,,-$K251))</f>
        <v/>
      </c>
      <c r="BX251" s="245">
        <f>IF(BX$7="Actual","",OFFSET(BX234,,-$K251))</f>
        <v/>
      </c>
      <c r="BY251" s="245">
        <f>IF(BY$7="Actual","",OFFSET(BY234,,-$K251))</f>
        <v/>
      </c>
      <c r="BZ251" s="245">
        <f>IF(BZ$7="Actual","",OFFSET(BZ234,,-$K251))</f>
        <v/>
      </c>
      <c r="CA251" s="245">
        <f>IF(CA$7="Actual","",OFFSET(CA234,,-$K251))</f>
        <v/>
      </c>
    </row>
    <row r="252" ht="12" customHeight="1" s="227" thickBot="1">
      <c r="A252" s="244" t="n"/>
      <c r="B252" s="244" t="n"/>
      <c r="C252" s="244" t="n"/>
      <c r="H252" s="42" t="inlineStr">
        <is>
          <t>Total Purchase Payments</t>
        </is>
      </c>
      <c r="I252" s="43">
        <f>i_Setup!$M$16</f>
        <v/>
      </c>
      <c r="K252" s="6" t="n"/>
      <c r="M252" s="264">
        <f>SUM(M243:M251)</f>
        <v/>
      </c>
      <c r="N252" s="264">
        <f>SUM(N243:N251)</f>
        <v/>
      </c>
      <c r="O252" s="264">
        <f>SUM(O243:O251)</f>
        <v/>
      </c>
      <c r="P252" s="264">
        <f>SUM(P243:P251)</f>
        <v/>
      </c>
      <c r="Q252" s="264">
        <f>SUM(Q243:Q251)</f>
        <v/>
      </c>
      <c r="T252" s="264">
        <f>SUM(T243:T251)</f>
        <v/>
      </c>
      <c r="U252" s="264">
        <f>SUM(U243:U251)</f>
        <v/>
      </c>
      <c r="V252" s="264">
        <f>SUM(V243:V251)</f>
        <v/>
      </c>
      <c r="W252" s="264">
        <f>SUM(W243:W251)</f>
        <v/>
      </c>
      <c r="X252" s="264">
        <f>SUM(X243:X251)</f>
        <v/>
      </c>
      <c r="Y252" s="264">
        <f>SUM(Y243:Y251)</f>
        <v/>
      </c>
      <c r="Z252" s="264">
        <f>SUM(Z243:Z251)</f>
        <v/>
      </c>
      <c r="AA252" s="264">
        <f>SUM(AA243:AA251)</f>
        <v/>
      </c>
      <c r="AB252" s="264">
        <f>SUM(AB243:AB251)</f>
        <v/>
      </c>
      <c r="AC252" s="264">
        <f>SUM(AC243:AC251)</f>
        <v/>
      </c>
      <c r="AD252" s="264">
        <f>SUM(AD243:AD251)</f>
        <v/>
      </c>
      <c r="AE252" s="264">
        <f>SUM(AE243:AE251)</f>
        <v/>
      </c>
      <c r="AF252" s="264">
        <f>SUM(AF243:AF251)</f>
        <v/>
      </c>
      <c r="AG252" s="264">
        <f>SUM(AG243:AG251)</f>
        <v/>
      </c>
      <c r="AH252" s="264">
        <f>SUM(AH243:AH251)</f>
        <v/>
      </c>
      <c r="AI252" s="264">
        <f>SUM(AI243:AI251)</f>
        <v/>
      </c>
      <c r="AJ252" s="264">
        <f>SUM(AJ243:AJ251)</f>
        <v/>
      </c>
      <c r="AK252" s="264">
        <f>SUM(AK243:AK251)</f>
        <v/>
      </c>
      <c r="AL252" s="264">
        <f>SUM(AL243:AL251)</f>
        <v/>
      </c>
      <c r="AM252" s="264">
        <f>SUM(AM243:AM251)</f>
        <v/>
      </c>
      <c r="AN252" s="264">
        <f>SUM(AN243:AN251)</f>
        <v/>
      </c>
      <c r="AO252" s="264">
        <f>SUM(AO243:AO251)</f>
        <v/>
      </c>
      <c r="AP252" s="264">
        <f>SUM(AP243:AP251)</f>
        <v/>
      </c>
      <c r="AQ252" s="264">
        <f>SUM(AQ243:AQ251)</f>
        <v/>
      </c>
      <c r="AR252" s="264">
        <f>SUM(AR243:AR251)</f>
        <v/>
      </c>
      <c r="AS252" s="264">
        <f>SUM(AS243:AS251)</f>
        <v/>
      </c>
      <c r="AT252" s="264">
        <f>SUM(AT243:AT251)</f>
        <v/>
      </c>
      <c r="AU252" s="264">
        <f>SUM(AU243:AU251)</f>
        <v/>
      </c>
      <c r="AV252" s="264">
        <f>SUM(AV243:AV251)</f>
        <v/>
      </c>
      <c r="AW252" s="264">
        <f>SUM(AW243:AW251)</f>
        <v/>
      </c>
      <c r="AX252" s="264">
        <f>SUM(AX243:AX251)</f>
        <v/>
      </c>
      <c r="AY252" s="264">
        <f>SUM(AY243:AY251)</f>
        <v/>
      </c>
      <c r="AZ252" s="264">
        <f>SUM(AZ243:AZ251)</f>
        <v/>
      </c>
      <c r="BA252" s="264">
        <f>SUM(BA243:BA251)</f>
        <v/>
      </c>
      <c r="BB252" s="264">
        <f>SUM(BB243:BB251)</f>
        <v/>
      </c>
      <c r="BC252" s="264">
        <f>SUM(BC243:BC251)</f>
        <v/>
      </c>
      <c r="BD252" s="264">
        <f>SUM(BD243:BD251)</f>
        <v/>
      </c>
      <c r="BE252" s="264">
        <f>SUM(BE243:BE251)</f>
        <v/>
      </c>
      <c r="BF252" s="264">
        <f>SUM(BF243:BF251)</f>
        <v/>
      </c>
      <c r="BG252" s="264">
        <f>SUM(BG243:BG251)</f>
        <v/>
      </c>
      <c r="BH252" s="264">
        <f>SUM(BH243:BH251)</f>
        <v/>
      </c>
      <c r="BI252" s="264">
        <f>SUM(BI243:BI251)</f>
        <v/>
      </c>
      <c r="BJ252" s="264">
        <f>SUM(BJ243:BJ251)</f>
        <v/>
      </c>
      <c r="BK252" s="264">
        <f>SUM(BK243:BK251)</f>
        <v/>
      </c>
      <c r="BL252" s="264">
        <f>SUM(BL243:BL251)</f>
        <v/>
      </c>
      <c r="BM252" s="264">
        <f>SUM(BM243:BM251)</f>
        <v/>
      </c>
      <c r="BN252" s="264">
        <f>SUM(BN243:BN251)</f>
        <v/>
      </c>
      <c r="BO252" s="264">
        <f>SUM(BO243:BO251)</f>
        <v/>
      </c>
      <c r="BP252" s="264">
        <f>SUM(BP243:BP251)</f>
        <v/>
      </c>
      <c r="BQ252" s="264">
        <f>SUM(BQ243:BQ251)</f>
        <v/>
      </c>
      <c r="BR252" s="264">
        <f>SUM(BR243:BR251)</f>
        <v/>
      </c>
      <c r="BS252" s="264">
        <f>SUM(BS243:BS251)</f>
        <v/>
      </c>
      <c r="BT252" s="264">
        <f>SUM(BT243:BT251)</f>
        <v/>
      </c>
      <c r="BU252" s="264">
        <f>SUM(BU243:BU251)</f>
        <v/>
      </c>
      <c r="BV252" s="264">
        <f>SUM(BV243:BV251)</f>
        <v/>
      </c>
      <c r="BW252" s="264">
        <f>SUM(BW243:BW251)</f>
        <v/>
      </c>
      <c r="BX252" s="264">
        <f>SUM(BX243:BX251)</f>
        <v/>
      </c>
      <c r="BY252" s="264">
        <f>SUM(BY243:BY251)</f>
        <v/>
      </c>
      <c r="BZ252" s="264">
        <f>SUM(BZ243:BZ251)</f>
        <v/>
      </c>
      <c r="CA252" s="264">
        <f>SUM(CA243:CA251)</f>
        <v/>
      </c>
    </row>
    <row r="253" ht="12" customHeight="1" s="227">
      <c r="A253" s="244" t="n"/>
      <c r="B253" s="244" t="n"/>
      <c r="C253" s="244" t="n"/>
      <c r="K253" s="6" t="n"/>
    </row>
    <row r="254" ht="12" customHeight="1" s="227">
      <c r="A254" s="244" t="n"/>
      <c r="B254" s="244" t="n"/>
      <c r="C254" s="244" t="n"/>
      <c r="G254" s="222" t="inlineStr">
        <is>
          <t>Accounts Payable</t>
        </is>
      </c>
      <c r="K254" s="6" t="n"/>
    </row>
    <row r="255" ht="12" customHeight="1" s="227">
      <c r="A255" s="244" t="n"/>
      <c r="B255" s="244" t="n"/>
      <c r="C255" s="244" t="n"/>
      <c r="K255" s="6" t="n"/>
    </row>
    <row r="256" ht="12" customHeight="1" s="227">
      <c r="A256" s="244" t="n"/>
      <c r="B256" s="244" t="n"/>
      <c r="C256" s="244" t="n"/>
      <c r="H256" s="0" t="inlineStr">
        <is>
          <t>Opening Balance</t>
        </is>
      </c>
      <c r="I256" s="27">
        <f>i_Setup!$M$16</f>
        <v/>
      </c>
      <c r="K256" s="6" t="n"/>
      <c r="M256" s="245">
        <f>SUMIF($T$1:$CA$1,M$1,$T256:$CA256)</f>
        <v/>
      </c>
      <c r="N256" s="245">
        <f>SUMIF($T$1:$CA$1,N$1,$T256:$CA256)</f>
        <v/>
      </c>
      <c r="O256" s="245">
        <f>SUMIF($T$1:$CA$1,O$1,$T256:$CA256)</f>
        <v/>
      </c>
      <c r="P256" s="245">
        <f>SUMIF($T$1:$CA$1,P$1,$T256:$CA256)</f>
        <v/>
      </c>
      <c r="Q256" s="245">
        <f>SUMIF($T$1:$CA$1,Q$1,$T256:$CA256)</f>
        <v/>
      </c>
      <c r="T256" s="245">
        <f>S259</f>
        <v/>
      </c>
      <c r="U256" s="245">
        <f>T259</f>
        <v/>
      </c>
      <c r="V256" s="245">
        <f>U259</f>
        <v/>
      </c>
      <c r="W256" s="245">
        <f>V259</f>
        <v/>
      </c>
      <c r="X256" s="245">
        <f>W259</f>
        <v/>
      </c>
      <c r="Y256" s="245">
        <f>X259</f>
        <v/>
      </c>
      <c r="Z256" s="245">
        <f>Y259</f>
        <v/>
      </c>
      <c r="AA256" s="245">
        <f>Z259</f>
        <v/>
      </c>
      <c r="AB256" s="245">
        <f>AA259</f>
        <v/>
      </c>
      <c r="AC256" s="245">
        <f>AB259</f>
        <v/>
      </c>
      <c r="AD256" s="245">
        <f>AC259</f>
        <v/>
      </c>
      <c r="AE256" s="245">
        <f>AD259</f>
        <v/>
      </c>
      <c r="AF256" s="245">
        <f>AE259</f>
        <v/>
      </c>
      <c r="AG256" s="245">
        <f>AF259</f>
        <v/>
      </c>
      <c r="AH256" s="245">
        <f>AG259</f>
        <v/>
      </c>
      <c r="AI256" s="245">
        <f>AH259</f>
        <v/>
      </c>
      <c r="AJ256" s="245">
        <f>AI259</f>
        <v/>
      </c>
      <c r="AK256" s="245">
        <f>AJ259</f>
        <v/>
      </c>
      <c r="AL256" s="245">
        <f>AK259</f>
        <v/>
      </c>
      <c r="AM256" s="245">
        <f>AL259</f>
        <v/>
      </c>
      <c r="AN256" s="245">
        <f>AM259</f>
        <v/>
      </c>
      <c r="AO256" s="245">
        <f>AN259</f>
        <v/>
      </c>
      <c r="AP256" s="245">
        <f>AO259</f>
        <v/>
      </c>
      <c r="AQ256" s="245">
        <f>AP259</f>
        <v/>
      </c>
      <c r="AR256" s="245">
        <f>AQ259</f>
        <v/>
      </c>
      <c r="AS256" s="245">
        <f>AR259</f>
        <v/>
      </c>
      <c r="AT256" s="245">
        <f>AS259</f>
        <v/>
      </c>
      <c r="AU256" s="245">
        <f>AT259</f>
        <v/>
      </c>
      <c r="AV256" s="245">
        <f>AU259</f>
        <v/>
      </c>
      <c r="AW256" s="245">
        <f>AV259</f>
        <v/>
      </c>
      <c r="AX256" s="245">
        <f>AW259</f>
        <v/>
      </c>
      <c r="AY256" s="245">
        <f>AX259</f>
        <v/>
      </c>
      <c r="AZ256" s="245">
        <f>AY259</f>
        <v/>
      </c>
      <c r="BA256" s="245">
        <f>AZ259</f>
        <v/>
      </c>
      <c r="BB256" s="245">
        <f>BA259</f>
        <v/>
      </c>
      <c r="BC256" s="245">
        <f>BB259</f>
        <v/>
      </c>
      <c r="BD256" s="245">
        <f>BC259</f>
        <v/>
      </c>
      <c r="BE256" s="245">
        <f>BD259</f>
        <v/>
      </c>
      <c r="BF256" s="245">
        <f>BE259</f>
        <v/>
      </c>
      <c r="BG256" s="245">
        <f>BF259</f>
        <v/>
      </c>
      <c r="BH256" s="245">
        <f>BG259</f>
        <v/>
      </c>
      <c r="BI256" s="245">
        <f>BH259</f>
        <v/>
      </c>
      <c r="BJ256" s="245">
        <f>BI259</f>
        <v/>
      </c>
      <c r="BK256" s="245">
        <f>BJ259</f>
        <v/>
      </c>
      <c r="BL256" s="245">
        <f>BK259</f>
        <v/>
      </c>
      <c r="BM256" s="245">
        <f>BL259</f>
        <v/>
      </c>
      <c r="BN256" s="245">
        <f>BM259</f>
        <v/>
      </c>
      <c r="BO256" s="245">
        <f>BN259</f>
        <v/>
      </c>
      <c r="BP256" s="245">
        <f>BO259</f>
        <v/>
      </c>
      <c r="BQ256" s="245">
        <f>BP259</f>
        <v/>
      </c>
      <c r="BR256" s="245">
        <f>BQ259</f>
        <v/>
      </c>
      <c r="BS256" s="245">
        <f>BR259</f>
        <v/>
      </c>
      <c r="BT256" s="245">
        <f>BS259</f>
        <v/>
      </c>
      <c r="BU256" s="245">
        <f>BT259</f>
        <v/>
      </c>
      <c r="BV256" s="245">
        <f>BU259</f>
        <v/>
      </c>
      <c r="BW256" s="245">
        <f>BV259</f>
        <v/>
      </c>
      <c r="BX256" s="245">
        <f>BW259</f>
        <v/>
      </c>
      <c r="BY256" s="245">
        <f>BX259</f>
        <v/>
      </c>
      <c r="BZ256" s="245">
        <f>BY259</f>
        <v/>
      </c>
      <c r="CA256" s="245">
        <f>BZ259</f>
        <v/>
      </c>
      <c r="CB256" s="245" t="n"/>
    </row>
    <row r="257" ht="12" customHeight="1" s="227">
      <c r="A257" s="244" t="n"/>
      <c r="B257" s="244" t="n"/>
      <c r="C257" s="244" t="n"/>
      <c r="H257" s="0" t="inlineStr">
        <is>
          <t>Direct Expenses</t>
        </is>
      </c>
      <c r="I257" s="27">
        <f>i_Setup!$M$16</f>
        <v/>
      </c>
      <c r="K257" s="6" t="n"/>
      <c r="M257" s="245">
        <f>SUMIF($T$4:$CA$4,M$4,$T257:$CA257)</f>
        <v/>
      </c>
      <c r="N257" s="245">
        <f>SUMIF($T$4:$CA$4,N$4,$T257:$CA257)</f>
        <v/>
      </c>
      <c r="O257" s="245">
        <f>SUMIF($T$4:$CA$4,O$4,$T257:$CA257)</f>
        <v/>
      </c>
      <c r="P257" s="245">
        <f>SUMIF($T$4:$CA$4,P$4,$T257:$CA257)</f>
        <v/>
      </c>
      <c r="Q257" s="245">
        <f>SUMIF($T$4:$CA$4,Q$4,$T257:$CA257)</f>
        <v/>
      </c>
      <c r="T257" s="245">
        <f>IF(T$7="Actual","",T235)</f>
        <v/>
      </c>
      <c r="U257" s="245">
        <f>IF(U$7="Actual","",U235)</f>
        <v/>
      </c>
      <c r="V257" s="245">
        <f>IF(V$7="Actual","",V235)</f>
        <v/>
      </c>
      <c r="W257" s="245">
        <f>IF(W$7="Actual","",W235)</f>
        <v/>
      </c>
      <c r="X257" s="245">
        <f>IF(X$7="Actual","",X235)</f>
        <v/>
      </c>
      <c r="Y257" s="245">
        <f>IF(Y$7="Actual","",Y235)</f>
        <v/>
      </c>
      <c r="Z257" s="245">
        <f>IF(Z$7="Actual","",Z235)</f>
        <v/>
      </c>
      <c r="AA257" s="245">
        <f>IF(AA$7="Actual","",AA235)</f>
        <v/>
      </c>
      <c r="AB257" s="245">
        <f>IF(AB$7="Actual","",AB235)</f>
        <v/>
      </c>
      <c r="AC257" s="245">
        <f>IF(AC$7="Actual","",AC235)</f>
        <v/>
      </c>
      <c r="AD257" s="245">
        <f>IF(AD$7="Actual","",AD235)</f>
        <v/>
      </c>
      <c r="AE257" s="245">
        <f>IF(AE$7="Actual","",AE235)</f>
        <v/>
      </c>
      <c r="AF257" s="245">
        <f>IF(AF$7="Actual","",AF235)</f>
        <v/>
      </c>
      <c r="AG257" s="245">
        <f>IF(AG$7="Actual","",AG235)</f>
        <v/>
      </c>
      <c r="AH257" s="245">
        <f>IF(AH$7="Actual","",AH235)</f>
        <v/>
      </c>
      <c r="AI257" s="245">
        <f>IF(AI$7="Actual","",AI235)</f>
        <v/>
      </c>
      <c r="AJ257" s="245">
        <f>IF(AJ$7="Actual","",AJ235)</f>
        <v/>
      </c>
      <c r="AK257" s="245">
        <f>IF(AK$7="Actual","",AK235)</f>
        <v/>
      </c>
      <c r="AL257" s="245">
        <f>IF(AL$7="Actual","",AL235)</f>
        <v/>
      </c>
      <c r="AM257" s="245">
        <f>IF(AM$7="Actual","",AM235)</f>
        <v/>
      </c>
      <c r="AN257" s="245">
        <f>IF(AN$7="Actual","",AN235)</f>
        <v/>
      </c>
      <c r="AO257" s="245">
        <f>IF(AO$7="Actual","",AO235)</f>
        <v/>
      </c>
      <c r="AP257" s="245">
        <f>IF(AP$7="Actual","",AP235)</f>
        <v/>
      </c>
      <c r="AQ257" s="245">
        <f>IF(AQ$7="Actual","",AQ235)</f>
        <v/>
      </c>
      <c r="AR257" s="245">
        <f>IF(AR$7="Actual","",AR235)</f>
        <v/>
      </c>
      <c r="AS257" s="245">
        <f>IF(AS$7="Actual","",AS235)</f>
        <v/>
      </c>
      <c r="AT257" s="245">
        <f>IF(AT$7="Actual","",AT235)</f>
        <v/>
      </c>
      <c r="AU257" s="245">
        <f>IF(AU$7="Actual","",AU235)</f>
        <v/>
      </c>
      <c r="AV257" s="245">
        <f>IF(AV$7="Actual","",AV235)</f>
        <v/>
      </c>
      <c r="AW257" s="245">
        <f>IF(AW$7="Actual","",AW235)</f>
        <v/>
      </c>
      <c r="AX257" s="245">
        <f>IF(AX$7="Actual","",AX235)</f>
        <v/>
      </c>
      <c r="AY257" s="245">
        <f>IF(AY$7="Actual","",AY235)</f>
        <v/>
      </c>
      <c r="AZ257" s="245">
        <f>IF(AZ$7="Actual","",AZ235)</f>
        <v/>
      </c>
      <c r="BA257" s="245">
        <f>IF(BA$7="Actual","",BA235)</f>
        <v/>
      </c>
      <c r="BB257" s="245">
        <f>IF(BB$7="Actual","",BB235)</f>
        <v/>
      </c>
      <c r="BC257" s="245">
        <f>IF(BC$7="Actual","",BC235)</f>
        <v/>
      </c>
      <c r="BD257" s="245">
        <f>IF(BD$7="Actual","",BD235)</f>
        <v/>
      </c>
      <c r="BE257" s="245">
        <f>IF(BE$7="Actual","",BE235)</f>
        <v/>
      </c>
      <c r="BF257" s="245">
        <f>IF(BF$7="Actual","",BF235)</f>
        <v/>
      </c>
      <c r="BG257" s="245">
        <f>IF(BG$7="Actual","",BG235)</f>
        <v/>
      </c>
      <c r="BH257" s="245">
        <f>IF(BH$7="Actual","",BH235)</f>
        <v/>
      </c>
      <c r="BI257" s="245">
        <f>IF(BI$7="Actual","",BI235)</f>
        <v/>
      </c>
      <c r="BJ257" s="245">
        <f>IF(BJ$7="Actual","",BJ235)</f>
        <v/>
      </c>
      <c r="BK257" s="245">
        <f>IF(BK$7="Actual","",BK235)</f>
        <v/>
      </c>
      <c r="BL257" s="245">
        <f>IF(BL$7="Actual","",BL235)</f>
        <v/>
      </c>
      <c r="BM257" s="245">
        <f>IF(BM$7="Actual","",BM235)</f>
        <v/>
      </c>
      <c r="BN257" s="245">
        <f>IF(BN$7="Actual","",BN235)</f>
        <v/>
      </c>
      <c r="BO257" s="245">
        <f>IF(BO$7="Actual","",BO235)</f>
        <v/>
      </c>
      <c r="BP257" s="245">
        <f>IF(BP$7="Actual","",BP235)</f>
        <v/>
      </c>
      <c r="BQ257" s="245">
        <f>IF(BQ$7="Actual","",BQ235)</f>
        <v/>
      </c>
      <c r="BR257" s="245">
        <f>IF(BR$7="Actual","",BR235)</f>
        <v/>
      </c>
      <c r="BS257" s="245">
        <f>IF(BS$7="Actual","",BS235)</f>
        <v/>
      </c>
      <c r="BT257" s="245">
        <f>IF(BT$7="Actual","",BT235)</f>
        <v/>
      </c>
      <c r="BU257" s="245">
        <f>IF(BU$7="Actual","",BU235)</f>
        <v/>
      </c>
      <c r="BV257" s="245">
        <f>IF(BV$7="Actual","",BV235)</f>
        <v/>
      </c>
      <c r="BW257" s="245">
        <f>IF(BW$7="Actual","",BW235)</f>
        <v/>
      </c>
      <c r="BX257" s="245">
        <f>IF(BX$7="Actual","",BX235)</f>
        <v/>
      </c>
      <c r="BY257" s="245">
        <f>IF(BY$7="Actual","",BY235)</f>
        <v/>
      </c>
      <c r="BZ257" s="245">
        <f>IF(BZ$7="Actual","",BZ235)</f>
        <v/>
      </c>
      <c r="CA257" s="245">
        <f>IF(CA$7="Actual","",CA235)</f>
        <v/>
      </c>
      <c r="CB257" s="245" t="n"/>
    </row>
    <row r="258" ht="12" customHeight="1" s="227">
      <c r="A258" s="244" t="n"/>
      <c r="B258" s="244" t="n"/>
      <c r="C258" s="244" t="n"/>
      <c r="H258" s="0" t="inlineStr">
        <is>
          <t>Payments</t>
        </is>
      </c>
      <c r="I258" s="27">
        <f>i_Setup!$M$16</f>
        <v/>
      </c>
      <c r="K258" s="6" t="n"/>
      <c r="M258" s="245">
        <f>SUMIF($T$4:$CA$4,M$4,$T258:$CA258)</f>
        <v/>
      </c>
      <c r="N258" s="245">
        <f>SUMIF($T$4:$CA$4,N$4,$T258:$CA258)</f>
        <v/>
      </c>
      <c r="O258" s="245">
        <f>SUMIF($T$4:$CA$4,O$4,$T258:$CA258)</f>
        <v/>
      </c>
      <c r="P258" s="245">
        <f>SUMIF($T$4:$CA$4,P$4,$T258:$CA258)</f>
        <v/>
      </c>
      <c r="Q258" s="245">
        <f>SUMIF($T$4:$CA$4,Q$4,$T258:$CA258)</f>
        <v/>
      </c>
      <c r="T258" s="245">
        <f>IF(T$7="Actual","",-SUM(T252))</f>
        <v/>
      </c>
      <c r="U258" s="245">
        <f>IF(U$7="Actual","",-SUM(U252))</f>
        <v/>
      </c>
      <c r="V258" s="245">
        <f>IF(V$7="Actual","",-SUM(V252))</f>
        <v/>
      </c>
      <c r="W258" s="245">
        <f>IF(W$7="Actual","",-SUM(W252))</f>
        <v/>
      </c>
      <c r="X258" s="245">
        <f>IF(X$7="Actual","",-SUM(X252))</f>
        <v/>
      </c>
      <c r="Y258" s="245">
        <f>IF(Y$7="Actual","",-SUM(Y252))</f>
        <v/>
      </c>
      <c r="Z258" s="245">
        <f>IF(Z$7="Actual","",-SUM(Z252))</f>
        <v/>
      </c>
      <c r="AA258" s="245">
        <f>IF(AA$7="Actual","",-SUM(AA252))</f>
        <v/>
      </c>
      <c r="AB258" s="245">
        <f>IF(AB$7="Actual","",-SUM(AB252))</f>
        <v/>
      </c>
      <c r="AC258" s="245">
        <f>IF(AC$7="Actual","",-SUM(AC252))</f>
        <v/>
      </c>
      <c r="AD258" s="245">
        <f>IF(AD$7="Actual","",-SUM(AD252))</f>
        <v/>
      </c>
      <c r="AE258" s="245">
        <f>IF(AE$7="Actual","",-SUM(AE252))</f>
        <v/>
      </c>
      <c r="AF258" s="245">
        <f>IF(AF$7="Actual","",-SUM(AF252))</f>
        <v/>
      </c>
      <c r="AG258" s="245">
        <f>IF(AG$7="Actual","",-SUM(AG252))</f>
        <v/>
      </c>
      <c r="AH258" s="245">
        <f>IF(AH$7="Actual","",-SUM(AH252))</f>
        <v/>
      </c>
      <c r="AI258" s="245">
        <f>IF(AI$7="Actual","",-SUM(AI252))</f>
        <v/>
      </c>
      <c r="AJ258" s="245">
        <f>IF(AJ$7="Actual","",-SUM(AJ252))</f>
        <v/>
      </c>
      <c r="AK258" s="245">
        <f>IF(AK$7="Actual","",-SUM(AK252))</f>
        <v/>
      </c>
      <c r="AL258" s="245">
        <f>IF(AL$7="Actual","",-SUM(AL252))</f>
        <v/>
      </c>
      <c r="AM258" s="245">
        <f>IF(AM$7="Actual","",-SUM(AM252))</f>
        <v/>
      </c>
      <c r="AN258" s="245">
        <f>IF(AN$7="Actual","",-SUM(AN252))</f>
        <v/>
      </c>
      <c r="AO258" s="245">
        <f>IF(AO$7="Actual","",-SUM(AO252))</f>
        <v/>
      </c>
      <c r="AP258" s="245">
        <f>IF(AP$7="Actual","",-SUM(AP252))</f>
        <v/>
      </c>
      <c r="AQ258" s="245">
        <f>IF(AQ$7="Actual","",-SUM(AQ252))</f>
        <v/>
      </c>
      <c r="AR258" s="245">
        <f>IF(AR$7="Actual","",-SUM(AR252))</f>
        <v/>
      </c>
      <c r="AS258" s="245">
        <f>IF(AS$7="Actual","",-SUM(AS252))</f>
        <v/>
      </c>
      <c r="AT258" s="245">
        <f>IF(AT$7="Actual","",-SUM(AT252))</f>
        <v/>
      </c>
      <c r="AU258" s="245">
        <f>IF(AU$7="Actual","",-SUM(AU252))</f>
        <v/>
      </c>
      <c r="AV258" s="245">
        <f>IF(AV$7="Actual","",-SUM(AV252))</f>
        <v/>
      </c>
      <c r="AW258" s="245">
        <f>IF(AW$7="Actual","",-SUM(AW252))</f>
        <v/>
      </c>
      <c r="AX258" s="245">
        <f>IF(AX$7="Actual","",-SUM(AX252))</f>
        <v/>
      </c>
      <c r="AY258" s="245">
        <f>IF(AY$7="Actual","",-SUM(AY252))</f>
        <v/>
      </c>
      <c r="AZ258" s="245">
        <f>IF(AZ$7="Actual","",-SUM(AZ252))</f>
        <v/>
      </c>
      <c r="BA258" s="245">
        <f>IF(BA$7="Actual","",-SUM(BA252))</f>
        <v/>
      </c>
      <c r="BB258" s="245">
        <f>IF(BB$7="Actual","",-SUM(BB252))</f>
        <v/>
      </c>
      <c r="BC258" s="245">
        <f>IF(BC$7="Actual","",-SUM(BC252))</f>
        <v/>
      </c>
      <c r="BD258" s="245">
        <f>IF(BD$7="Actual","",-SUM(BD252))</f>
        <v/>
      </c>
      <c r="BE258" s="245">
        <f>IF(BE$7="Actual","",-SUM(BE252))</f>
        <v/>
      </c>
      <c r="BF258" s="245">
        <f>IF(BF$7="Actual","",-SUM(BF252))</f>
        <v/>
      </c>
      <c r="BG258" s="245">
        <f>IF(BG$7="Actual","",-SUM(BG252))</f>
        <v/>
      </c>
      <c r="BH258" s="245">
        <f>IF(BH$7="Actual","",-SUM(BH252))</f>
        <v/>
      </c>
      <c r="BI258" s="245">
        <f>IF(BI$7="Actual","",-SUM(BI252))</f>
        <v/>
      </c>
      <c r="BJ258" s="245">
        <f>IF(BJ$7="Actual","",-SUM(BJ252))</f>
        <v/>
      </c>
      <c r="BK258" s="245">
        <f>IF(BK$7="Actual","",-SUM(BK252))</f>
        <v/>
      </c>
      <c r="BL258" s="245">
        <f>IF(BL$7="Actual","",-SUM(BL252))</f>
        <v/>
      </c>
      <c r="BM258" s="245">
        <f>IF(BM$7="Actual","",-SUM(BM252))</f>
        <v/>
      </c>
      <c r="BN258" s="245">
        <f>IF(BN$7="Actual","",-SUM(BN252))</f>
        <v/>
      </c>
      <c r="BO258" s="245">
        <f>IF(BO$7="Actual","",-SUM(BO252))</f>
        <v/>
      </c>
      <c r="BP258" s="245">
        <f>IF(BP$7="Actual","",-SUM(BP252))</f>
        <v/>
      </c>
      <c r="BQ258" s="245">
        <f>IF(BQ$7="Actual","",-SUM(BQ252))</f>
        <v/>
      </c>
      <c r="BR258" s="245">
        <f>IF(BR$7="Actual","",-SUM(BR252))</f>
        <v/>
      </c>
      <c r="BS258" s="245">
        <f>IF(BS$7="Actual","",-SUM(BS252))</f>
        <v/>
      </c>
      <c r="BT258" s="245">
        <f>IF(BT$7="Actual","",-SUM(BT252))</f>
        <v/>
      </c>
      <c r="BU258" s="245">
        <f>IF(BU$7="Actual","",-SUM(BU252))</f>
        <v/>
      </c>
      <c r="BV258" s="245">
        <f>IF(BV$7="Actual","",-SUM(BV252))</f>
        <v/>
      </c>
      <c r="BW258" s="245">
        <f>IF(BW$7="Actual","",-SUM(BW252))</f>
        <v/>
      </c>
      <c r="BX258" s="245">
        <f>IF(BX$7="Actual","",-SUM(BX252))</f>
        <v/>
      </c>
      <c r="BY258" s="245">
        <f>IF(BY$7="Actual","",-SUM(BY252))</f>
        <v/>
      </c>
      <c r="BZ258" s="245">
        <f>IF(BZ$7="Actual","",-SUM(BZ252))</f>
        <v/>
      </c>
      <c r="CA258" s="245">
        <f>IF(CA$7="Actual","",-SUM(CA252))</f>
        <v/>
      </c>
      <c r="CB258" s="245" t="n"/>
    </row>
    <row r="259" ht="12" customHeight="1" s="227" thickBot="1">
      <c r="A259" s="244" t="n"/>
      <c r="B259" s="244" t="n"/>
      <c r="C259" s="244" t="n"/>
      <c r="H259" s="42" t="inlineStr">
        <is>
          <t>Closing Balance</t>
        </is>
      </c>
      <c r="I259" s="43">
        <f>i_Setup!$M$16</f>
        <v/>
      </c>
      <c r="K259" s="6" t="n"/>
      <c r="M259" s="264">
        <f>SUMIF($T$2:$CA$2,M$2,$T259:$CA259)</f>
        <v/>
      </c>
      <c r="N259" s="264">
        <f>SUMIF($T$2:$CA$2,N$2,$T259:$CA259)</f>
        <v/>
      </c>
      <c r="O259" s="264">
        <f>SUMIF($T$2:$CA$2,O$2,$T259:$CA259)</f>
        <v/>
      </c>
      <c r="P259" s="264">
        <f>SUMIF($T$2:$CA$2,P$2,$T259:$CA259)</f>
        <v/>
      </c>
      <c r="Q259" s="264">
        <f>SUMIF($T$2:$CA$2,Q$2,$T259:$CA259)</f>
        <v/>
      </c>
      <c r="T259" s="264">
        <f>IF(T$7="Actual",i_Actuals!T139,SUM(T256:T258))</f>
        <v/>
      </c>
      <c r="U259" s="264">
        <f>IF(U$7="Actual",i_Actuals!U139,SUM(U256:U258))</f>
        <v/>
      </c>
      <c r="V259" s="264">
        <f>IF(V$7="Actual",i_Actuals!V139,SUM(V256:V258))</f>
        <v/>
      </c>
      <c r="W259" s="264">
        <f>IF(W$7="Actual",i_Actuals!W139,SUM(W256:W258))</f>
        <v/>
      </c>
      <c r="X259" s="264">
        <f>IF(X$7="Actual",i_Actuals!X139,SUM(X256:X258))</f>
        <v/>
      </c>
      <c r="Y259" s="264">
        <f>IF(Y$7="Actual",i_Actuals!Y139,SUM(Y256:Y258))</f>
        <v/>
      </c>
      <c r="Z259" s="264">
        <f>IF(Z$7="Actual",i_Actuals!Z139,SUM(Z256:Z258))</f>
        <v/>
      </c>
      <c r="AA259" s="264">
        <f>IF(AA$7="Actual",i_Actuals!AA139,SUM(AA256:AA258))</f>
        <v/>
      </c>
      <c r="AB259" s="264">
        <f>IF(AB$7="Actual",i_Actuals!AB139,SUM(AB256:AB258))</f>
        <v/>
      </c>
      <c r="AC259" s="264">
        <f>IF(AC$7="Actual",i_Actuals!AC139,SUM(AC256:AC258))</f>
        <v/>
      </c>
      <c r="AD259" s="264">
        <f>IF(AD$7="Actual",i_Actuals!AD139,SUM(AD256:AD258))</f>
        <v/>
      </c>
      <c r="AE259" s="264">
        <f>IF(AE$7="Actual",i_Actuals!AE139,SUM(AE256:AE258))</f>
        <v/>
      </c>
      <c r="AF259" s="264">
        <f>IF(AF$7="Actual",i_Actuals!AF139,SUM(AF256:AF258))</f>
        <v/>
      </c>
      <c r="AG259" s="264">
        <f>IF(AG$7="Actual",i_Actuals!AG139,SUM(AG256:AG258))</f>
        <v/>
      </c>
      <c r="AH259" s="264">
        <f>IF(AH$7="Actual",i_Actuals!AH139,SUM(AH256:AH258))</f>
        <v/>
      </c>
      <c r="AI259" s="264">
        <f>IF(AI$7="Actual",i_Actuals!AI139,SUM(AI256:AI258))</f>
        <v/>
      </c>
      <c r="AJ259" s="264">
        <f>IF(AJ$7="Actual",i_Actuals!AJ139,SUM(AJ256:AJ258))</f>
        <v/>
      </c>
      <c r="AK259" s="264">
        <f>IF(AK$7="Actual",i_Actuals!AK139,SUM(AK256:AK258))</f>
        <v/>
      </c>
      <c r="AL259" s="264">
        <f>IF(AL$7="Actual",i_Actuals!AL139,SUM(AL256:AL258))</f>
        <v/>
      </c>
      <c r="AM259" s="264">
        <f>IF(AM$7="Actual",i_Actuals!AM139,SUM(AM256:AM258))</f>
        <v/>
      </c>
      <c r="AN259" s="264">
        <f>IF(AN$7="Actual",i_Actuals!AN139,SUM(AN256:AN258))</f>
        <v/>
      </c>
      <c r="AO259" s="264">
        <f>IF(AO$7="Actual",i_Actuals!AO139,SUM(AO256:AO258))</f>
        <v/>
      </c>
      <c r="AP259" s="264">
        <f>IF(AP$7="Actual",i_Actuals!AP139,SUM(AP256:AP258))</f>
        <v/>
      </c>
      <c r="AQ259" s="264">
        <f>IF(AQ$7="Actual",i_Actuals!AQ139,SUM(AQ256:AQ258))</f>
        <v/>
      </c>
      <c r="AR259" s="264">
        <f>IF(AR$7="Actual",i_Actuals!AR139,SUM(AR256:AR258))</f>
        <v/>
      </c>
      <c r="AS259" s="264">
        <f>IF(AS$7="Actual",i_Actuals!AS139,SUM(AS256:AS258))</f>
        <v/>
      </c>
      <c r="AT259" s="264">
        <f>IF(AT$7="Actual",i_Actuals!AT139,SUM(AT256:AT258))</f>
        <v/>
      </c>
      <c r="AU259" s="264">
        <f>IF(AU$7="Actual",i_Actuals!AU139,SUM(AU256:AU258))</f>
        <v/>
      </c>
      <c r="AV259" s="264">
        <f>IF(AV$7="Actual",i_Actuals!AV139,SUM(AV256:AV258))</f>
        <v/>
      </c>
      <c r="AW259" s="264">
        <f>IF(AW$7="Actual",i_Actuals!AW139,SUM(AW256:AW258))</f>
        <v/>
      </c>
      <c r="AX259" s="264">
        <f>IF(AX$7="Actual",i_Actuals!AX139,SUM(AX256:AX258))</f>
        <v/>
      </c>
      <c r="AY259" s="264">
        <f>IF(AY$7="Actual",i_Actuals!AY139,SUM(AY256:AY258))</f>
        <v/>
      </c>
      <c r="AZ259" s="264">
        <f>IF(AZ$7="Actual",i_Actuals!AZ139,SUM(AZ256:AZ258))</f>
        <v/>
      </c>
      <c r="BA259" s="264">
        <f>IF(BA$7="Actual",i_Actuals!BA139,SUM(BA256:BA258))</f>
        <v/>
      </c>
      <c r="BB259" s="264">
        <f>IF(BB$7="Actual",i_Actuals!BB139,SUM(BB256:BB258))</f>
        <v/>
      </c>
      <c r="BC259" s="264">
        <f>IF(BC$7="Actual",i_Actuals!BC139,SUM(BC256:BC258))</f>
        <v/>
      </c>
      <c r="BD259" s="264">
        <f>IF(BD$7="Actual",i_Actuals!BD139,SUM(BD256:BD258))</f>
        <v/>
      </c>
      <c r="BE259" s="264">
        <f>IF(BE$7="Actual",i_Actuals!BE139,SUM(BE256:BE258))</f>
        <v/>
      </c>
      <c r="BF259" s="264">
        <f>IF(BF$7="Actual",i_Actuals!BF139,SUM(BF256:BF258))</f>
        <v/>
      </c>
      <c r="BG259" s="264">
        <f>IF(BG$7="Actual",i_Actuals!BG139,SUM(BG256:BG258))</f>
        <v/>
      </c>
      <c r="BH259" s="264">
        <f>IF(BH$7="Actual",i_Actuals!BH139,SUM(BH256:BH258))</f>
        <v/>
      </c>
      <c r="BI259" s="264">
        <f>IF(BI$7="Actual",i_Actuals!BI139,SUM(BI256:BI258))</f>
        <v/>
      </c>
      <c r="BJ259" s="264">
        <f>IF(BJ$7="Actual",i_Actuals!BJ139,SUM(BJ256:BJ258))</f>
        <v/>
      </c>
      <c r="BK259" s="264">
        <f>IF(BK$7="Actual",i_Actuals!BK139,SUM(BK256:BK258))</f>
        <v/>
      </c>
      <c r="BL259" s="264">
        <f>IF(BL$7="Actual",i_Actuals!BL139,SUM(BL256:BL258))</f>
        <v/>
      </c>
      <c r="BM259" s="264">
        <f>IF(BM$7="Actual",i_Actuals!BM139,SUM(BM256:BM258))</f>
        <v/>
      </c>
      <c r="BN259" s="264">
        <f>IF(BN$7="Actual",i_Actuals!BN139,SUM(BN256:BN258))</f>
        <v/>
      </c>
      <c r="BO259" s="264">
        <f>IF(BO$7="Actual",i_Actuals!BO139,SUM(BO256:BO258))</f>
        <v/>
      </c>
      <c r="BP259" s="264">
        <f>IF(BP$7="Actual",i_Actuals!BP139,SUM(BP256:BP258))</f>
        <v/>
      </c>
      <c r="BQ259" s="264">
        <f>IF(BQ$7="Actual",i_Actuals!BQ139,SUM(BQ256:BQ258))</f>
        <v/>
      </c>
      <c r="BR259" s="264">
        <f>IF(BR$7="Actual",i_Actuals!BR139,SUM(BR256:BR258))</f>
        <v/>
      </c>
      <c r="BS259" s="264">
        <f>IF(BS$7="Actual",i_Actuals!BS139,SUM(BS256:BS258))</f>
        <v/>
      </c>
      <c r="BT259" s="264">
        <f>IF(BT$7="Actual",i_Actuals!BT139,SUM(BT256:BT258))</f>
        <v/>
      </c>
      <c r="BU259" s="264">
        <f>IF(BU$7="Actual",i_Actuals!BU139,SUM(BU256:BU258))</f>
        <v/>
      </c>
      <c r="BV259" s="264">
        <f>IF(BV$7="Actual",i_Actuals!BV139,SUM(BV256:BV258))</f>
        <v/>
      </c>
      <c r="BW259" s="264">
        <f>IF(BW$7="Actual",i_Actuals!BW139,SUM(BW256:BW258))</f>
        <v/>
      </c>
      <c r="BX259" s="264">
        <f>IF(BX$7="Actual",i_Actuals!BX139,SUM(BX256:BX258))</f>
        <v/>
      </c>
      <c r="BY259" s="264">
        <f>IF(BY$7="Actual",i_Actuals!BY139,SUM(BY256:BY258))</f>
        <v/>
      </c>
      <c r="BZ259" s="264">
        <f>IF(BZ$7="Actual",i_Actuals!BZ139,SUM(BZ256:BZ258))</f>
        <v/>
      </c>
      <c r="CA259" s="264">
        <f>IF(CA$7="Actual",i_Actuals!CA139,SUM(CA256:CA258))</f>
        <v/>
      </c>
    </row>
    <row r="260" ht="12" customHeight="1" s="227">
      <c r="A260" s="244" t="n"/>
      <c r="B260" s="244" t="n"/>
      <c r="C260" s="244" t="n"/>
      <c r="K260" s="6" t="n"/>
    </row>
    <row r="261" ht="12" customFormat="1" customHeight="1" s="8">
      <c r="A261" s="244" t="n"/>
      <c r="B261" s="244">
        <f>SUM(L261:CA261)</f>
        <v/>
      </c>
      <c r="D261" s="4" t="n"/>
      <c r="E261" s="4" t="n"/>
      <c r="F261" s="4" t="n"/>
      <c r="G261" s="4" t="n"/>
      <c r="H261" s="0" t="inlineStr">
        <is>
          <t>Signage Check</t>
        </is>
      </c>
      <c r="I261" s="4" t="n"/>
      <c r="J261" s="4" t="n"/>
      <c r="K261" s="6" t="n"/>
      <c r="L261" s="4" t="n"/>
      <c r="M261" s="244">
        <f>IF(M$7&lt;&gt;"",IF(M259&gt;0,1,0),"")</f>
        <v/>
      </c>
      <c r="N261" s="244">
        <f>IF(N$7&lt;&gt;"",IF(N259&gt;0,1,0),"")</f>
        <v/>
      </c>
      <c r="O261" s="244">
        <f>IF(O$7&lt;&gt;"",IF(O259&gt;0,1,0),"")</f>
        <v/>
      </c>
      <c r="P261" s="244">
        <f>IF(P$7&lt;&gt;"",IF(P259&gt;0,1,0),"")</f>
        <v/>
      </c>
      <c r="Q261" s="244">
        <f>IF(Q$7&lt;&gt;"",IF(Q259&gt;0,1,0),"")</f>
        <v/>
      </c>
      <c r="R261" s="244" t="n"/>
      <c r="S261" s="244" t="n"/>
      <c r="T261" s="244">
        <f>IF(T$7&lt;&gt;"",IF(T259&gt;0,1,0),"")</f>
        <v/>
      </c>
      <c r="U261" s="244">
        <f>IF(U$7&lt;&gt;"",IF(U259&gt;0,1,0),"")</f>
        <v/>
      </c>
      <c r="V261" s="244">
        <f>IF(V$7&lt;&gt;"",IF(V259&gt;0,1,0),"")</f>
        <v/>
      </c>
      <c r="W261" s="244">
        <f>IF(W$7&lt;&gt;"",IF(W259&gt;0,1,0),"")</f>
        <v/>
      </c>
      <c r="X261" s="244">
        <f>IF(X$7&lt;&gt;"",IF(X259&gt;0,1,0),"")</f>
        <v/>
      </c>
      <c r="Y261" s="244">
        <f>IF(Y$7&lt;&gt;"",IF(Y259&gt;0,1,0),"")</f>
        <v/>
      </c>
      <c r="Z261" s="244">
        <f>IF(Z$7&lt;&gt;"",IF(Z259&gt;0,1,0),"")</f>
        <v/>
      </c>
      <c r="AA261" s="244">
        <f>IF(AA$7&lt;&gt;"",IF(AA259&gt;0,1,0),"")</f>
        <v/>
      </c>
      <c r="AB261" s="244">
        <f>IF(AB$7&lt;&gt;"",IF(AB259&gt;0,1,0),"")</f>
        <v/>
      </c>
      <c r="AC261" s="244">
        <f>IF(AC$7&lt;&gt;"",IF(AC259&gt;0,1,0),"")</f>
        <v/>
      </c>
      <c r="AD261" s="244">
        <f>IF(AD$7&lt;&gt;"",IF(AD259&gt;0,1,0),"")</f>
        <v/>
      </c>
      <c r="AE261" s="244">
        <f>IF(AE$7&lt;&gt;"",IF(AE259&gt;0,1,0),"")</f>
        <v/>
      </c>
      <c r="AF261" s="244">
        <f>IF(AF$7&lt;&gt;"",IF(AF259&gt;0,1,0),"")</f>
        <v/>
      </c>
      <c r="AG261" s="244">
        <f>IF(AG$7&lt;&gt;"",IF(AG259&gt;0,1,0),"")</f>
        <v/>
      </c>
      <c r="AH261" s="244">
        <f>IF(AH$7&lt;&gt;"",IF(AH259&gt;0,1,0),"")</f>
        <v/>
      </c>
      <c r="AI261" s="244">
        <f>IF(AI$7&lt;&gt;"",IF(AI259&gt;0,1,0),"")</f>
        <v/>
      </c>
      <c r="AJ261" s="244">
        <f>IF(AJ$7&lt;&gt;"",IF(AJ259&gt;0,1,0),"")</f>
        <v/>
      </c>
      <c r="AK261" s="244">
        <f>IF(AK$7&lt;&gt;"",IF(AK259&gt;0,1,0),"")</f>
        <v/>
      </c>
      <c r="AL261" s="244">
        <f>IF(AL$7&lt;&gt;"",IF(AL259&gt;0,1,0),"")</f>
        <v/>
      </c>
      <c r="AM261" s="244">
        <f>IF(AM$7&lt;&gt;"",IF(AM259&gt;0,1,0),"")</f>
        <v/>
      </c>
      <c r="AN261" s="244">
        <f>IF(AN$7&lt;&gt;"",IF(AN259&gt;0,1,0),"")</f>
        <v/>
      </c>
      <c r="AO261" s="244">
        <f>IF(AO$7&lt;&gt;"",IF(AO259&gt;0,1,0),"")</f>
        <v/>
      </c>
      <c r="AP261" s="244">
        <f>IF(AP$7&lt;&gt;"",IF(AP259&gt;0,1,0),"")</f>
        <v/>
      </c>
      <c r="AQ261" s="244">
        <f>IF(AQ$7&lt;&gt;"",IF(AQ259&gt;0,1,0),"")</f>
        <v/>
      </c>
      <c r="AR261" s="244">
        <f>IF(AR$7&lt;&gt;"",IF(AR259&gt;0,1,0),"")</f>
        <v/>
      </c>
      <c r="AS261" s="244">
        <f>IF(AS$7&lt;&gt;"",IF(AS259&gt;0,1,0),"")</f>
        <v/>
      </c>
      <c r="AT261" s="244">
        <f>IF(AT$7&lt;&gt;"",IF(AT259&gt;0,1,0),"")</f>
        <v/>
      </c>
      <c r="AU261" s="244">
        <f>IF(AU$7&lt;&gt;"",IF(AU259&gt;0,1,0),"")</f>
        <v/>
      </c>
      <c r="AV261" s="244">
        <f>IF(AV$7&lt;&gt;"",IF(AV259&gt;0,1,0),"")</f>
        <v/>
      </c>
      <c r="AW261" s="244">
        <f>IF(AW$7&lt;&gt;"",IF(AW259&gt;0,1,0),"")</f>
        <v/>
      </c>
      <c r="AX261" s="244">
        <f>IF(AX$7&lt;&gt;"",IF(AX259&gt;0,1,0),"")</f>
        <v/>
      </c>
      <c r="AY261" s="244">
        <f>IF(AY$7&lt;&gt;"",IF(AY259&gt;0,1,0),"")</f>
        <v/>
      </c>
      <c r="AZ261" s="244">
        <f>IF(AZ$7&lt;&gt;"",IF(AZ259&gt;0,1,0),"")</f>
        <v/>
      </c>
      <c r="BA261" s="244">
        <f>IF(BA$7&lt;&gt;"",IF(BA259&gt;0,1,0),"")</f>
        <v/>
      </c>
      <c r="BB261" s="244">
        <f>IF(BB$7&lt;&gt;"",IF(BB259&gt;0,1,0),"")</f>
        <v/>
      </c>
      <c r="BC261" s="244">
        <f>IF(BC$7&lt;&gt;"",IF(BC259&gt;0,1,0),"")</f>
        <v/>
      </c>
      <c r="BD261" s="244">
        <f>IF(BD$7&lt;&gt;"",IF(BD259&gt;0,1,0),"")</f>
        <v/>
      </c>
      <c r="BE261" s="244">
        <f>IF(BE$7&lt;&gt;"",IF(BE259&gt;0,1,0),"")</f>
        <v/>
      </c>
      <c r="BF261" s="244">
        <f>IF(BF$7&lt;&gt;"",IF(BF259&gt;0,1,0),"")</f>
        <v/>
      </c>
      <c r="BG261" s="244">
        <f>IF(BG$7&lt;&gt;"",IF(BG259&gt;0,1,0),"")</f>
        <v/>
      </c>
      <c r="BH261" s="244">
        <f>IF(BH$7&lt;&gt;"",IF(BH259&gt;0,1,0),"")</f>
        <v/>
      </c>
      <c r="BI261" s="244">
        <f>IF(BI$7&lt;&gt;"",IF(BI259&gt;0,1,0),"")</f>
        <v/>
      </c>
      <c r="BJ261" s="244">
        <f>IF(BJ$7&lt;&gt;"",IF(BJ259&gt;0,1,0),"")</f>
        <v/>
      </c>
      <c r="BK261" s="244">
        <f>IF(BK$7&lt;&gt;"",IF(BK259&gt;0,1,0),"")</f>
        <v/>
      </c>
      <c r="BL261" s="244">
        <f>IF(BL$7&lt;&gt;"",IF(BL259&gt;0,1,0),"")</f>
        <v/>
      </c>
      <c r="BM261" s="244">
        <f>IF(BM$7&lt;&gt;"",IF(BM259&gt;0,1,0),"")</f>
        <v/>
      </c>
      <c r="BN261" s="244">
        <f>IF(BN$7&lt;&gt;"",IF(BN259&gt;0,1,0),"")</f>
        <v/>
      </c>
      <c r="BO261" s="244">
        <f>IF(BO$7&lt;&gt;"",IF(BO259&gt;0,1,0),"")</f>
        <v/>
      </c>
      <c r="BP261" s="244">
        <f>IF(BP$7&lt;&gt;"",IF(BP259&gt;0,1,0),"")</f>
        <v/>
      </c>
      <c r="BQ261" s="244">
        <f>IF(BQ$7&lt;&gt;"",IF(BQ259&gt;0,1,0),"")</f>
        <v/>
      </c>
      <c r="BR261" s="244">
        <f>IF(BR$7&lt;&gt;"",IF(BR259&gt;0,1,0),"")</f>
        <v/>
      </c>
      <c r="BS261" s="244">
        <f>IF(BS$7&lt;&gt;"",IF(BS259&gt;0,1,0),"")</f>
        <v/>
      </c>
      <c r="BT261" s="244">
        <f>IF(BT$7&lt;&gt;"",IF(BT259&gt;0,1,0),"")</f>
        <v/>
      </c>
      <c r="BU261" s="244">
        <f>IF(BU$7&lt;&gt;"",IF(BU259&gt;0,1,0),"")</f>
        <v/>
      </c>
      <c r="BV261" s="244">
        <f>IF(BV$7&lt;&gt;"",IF(BV259&gt;0,1,0),"")</f>
        <v/>
      </c>
      <c r="BW261" s="244">
        <f>IF(BW$7&lt;&gt;"",IF(BW259&gt;0,1,0),"")</f>
        <v/>
      </c>
      <c r="BX261" s="244">
        <f>IF(BX$7&lt;&gt;"",IF(BX259&gt;0,1,0),"")</f>
        <v/>
      </c>
      <c r="BY261" s="244">
        <f>IF(BY$7&lt;&gt;"",IF(BY259&gt;0,1,0),"")</f>
        <v/>
      </c>
      <c r="BZ261" s="244">
        <f>IF(BZ$7&lt;&gt;"",IF(BZ259&gt;0,1,0),"")</f>
        <v/>
      </c>
      <c r="CA261" s="244">
        <f>IF(CA$7&lt;&gt;"",IF(CA259&gt;0,1,0),"")</f>
        <v/>
      </c>
    </row>
    <row r="262" ht="12" customHeight="1" s="227">
      <c r="A262" s="244" t="n"/>
      <c r="B262" s="244" t="n"/>
      <c r="C262" s="244" t="n"/>
    </row>
    <row r="263" ht="12" customHeight="1" s="227">
      <c r="A263" s="244" t="n"/>
      <c r="B263" s="244" t="n"/>
      <c r="C263" s="244" t="n"/>
    </row>
    <row r="264" ht="13.5" customFormat="1" customHeight="1" s="223" thickBot="1">
      <c r="E264" s="223">
        <f>Heading2</f>
        <v/>
      </c>
      <c r="F264" s="223" t="inlineStr">
        <is>
          <t>Direct Labour Cost</t>
        </is>
      </c>
    </row>
    <row r="265" ht="12" customHeight="1" s="227">
      <c r="A265" s="244" t="n"/>
      <c r="B265" s="244" t="n"/>
      <c r="C265" s="244" t="n"/>
      <c r="I265" s="27" t="n"/>
      <c r="M265" s="245" t="n"/>
      <c r="N265" s="245" t="n"/>
      <c r="O265" s="245" t="n"/>
      <c r="P265" s="245" t="n"/>
      <c r="Q265" s="245" t="n"/>
      <c r="T265" s="266" t="n"/>
      <c r="U265" s="266" t="n"/>
      <c r="V265" s="266" t="n"/>
      <c r="W265" s="266" t="n"/>
      <c r="X265" s="266" t="n"/>
      <c r="Y265" s="266" t="n"/>
      <c r="Z265" s="266" t="n"/>
      <c r="AA265" s="266" t="n"/>
      <c r="AB265" s="266" t="n"/>
      <c r="AC265" s="266" t="n"/>
      <c r="AD265" s="266" t="n"/>
      <c r="AE265" s="266" t="n"/>
      <c r="AF265" s="266" t="n"/>
      <c r="AG265" s="266" t="n"/>
      <c r="AH265" s="266" t="n"/>
      <c r="AI265" s="266" t="n"/>
      <c r="AJ265" s="266" t="n"/>
      <c r="AK265" s="266" t="n"/>
      <c r="AL265" s="266" t="n"/>
      <c r="AM265" s="266" t="n"/>
      <c r="AN265" s="266" t="n"/>
      <c r="AO265" s="266" t="n"/>
      <c r="AP265" s="266" t="n"/>
      <c r="AQ265" s="266" t="n"/>
      <c r="AR265" s="266" t="n"/>
      <c r="AS265" s="266" t="n"/>
      <c r="AT265" s="266" t="n"/>
      <c r="AU265" s="266" t="n"/>
      <c r="AV265" s="266" t="n"/>
      <c r="AW265" s="266" t="n"/>
      <c r="AX265" s="266" t="n"/>
      <c r="AY265" s="266" t="n"/>
      <c r="AZ265" s="266" t="n"/>
      <c r="BA265" s="266" t="n"/>
      <c r="BB265" s="266" t="n"/>
      <c r="BC265" s="266" t="n"/>
      <c r="BD265" s="266" t="n"/>
      <c r="BE265" s="266" t="n"/>
      <c r="BF265" s="266" t="n"/>
      <c r="BG265" s="266" t="n"/>
      <c r="BH265" s="266" t="n"/>
      <c r="BI265" s="266" t="n"/>
      <c r="BJ265" s="266" t="n"/>
      <c r="BK265" s="266" t="n"/>
      <c r="BL265" s="266" t="n"/>
      <c r="BM265" s="266" t="n"/>
      <c r="BN265" s="266" t="n"/>
      <c r="BO265" s="266" t="n"/>
      <c r="BP265" s="266" t="n"/>
      <c r="BQ265" s="266" t="n"/>
      <c r="BR265" s="266" t="n"/>
      <c r="BS265" s="266" t="n"/>
      <c r="BT265" s="266" t="n"/>
      <c r="BU265" s="266" t="n"/>
      <c r="BV265" s="266" t="n"/>
      <c r="BW265" s="266" t="n"/>
      <c r="BX265" s="266" t="n"/>
      <c r="BY265" s="266" t="n"/>
      <c r="BZ265" s="266" t="n"/>
      <c r="CA265" s="266" t="n"/>
    </row>
    <row r="266" ht="12" customHeight="1" s="227">
      <c r="A266" s="244" t="n"/>
      <c r="B266" s="244" t="n"/>
      <c r="C266" s="244" t="n"/>
      <c r="G266" s="222" t="inlineStr">
        <is>
          <t>Staff Numbers Per Ship</t>
        </is>
      </c>
      <c r="K266" s="6" t="n"/>
    </row>
    <row r="267" ht="12" customHeight="1" s="227">
      <c r="A267" s="244" t="n"/>
      <c r="B267" s="244" t="n"/>
      <c r="C267" s="244" t="n"/>
      <c r="K267" s="6" t="n"/>
    </row>
    <row r="268" ht="12" customHeight="1" s="227">
      <c r="A268" s="244" t="n"/>
      <c r="B268" s="244" t="n"/>
      <c r="C268" s="244" t="n"/>
      <c r="H268" s="8">
        <f>i_Setup!U32</f>
        <v/>
      </c>
      <c r="K268" s="6" t="n"/>
    </row>
    <row r="269" ht="12" customHeight="1" s="227">
      <c r="A269" s="244" t="n"/>
      <c r="B269" s="244" t="n"/>
      <c r="C269" s="244" t="n"/>
      <c r="H269" s="4">
        <f>i_Setup!U46</f>
        <v/>
      </c>
      <c r="I269" s="27" t="inlineStr">
        <is>
          <t>no</t>
        </is>
      </c>
      <c r="K269" s="6" t="n"/>
      <c r="M269" s="267">
        <f>IF(M$7="Actual","",i_Assumptions!M87)</f>
        <v/>
      </c>
      <c r="N269" s="267">
        <f>IF(N$7="Actual","",i_Assumptions!N87)</f>
        <v/>
      </c>
      <c r="O269" s="267">
        <f>IF(O$7="Actual","",i_Assumptions!O87)</f>
        <v/>
      </c>
      <c r="P269" s="267">
        <f>IF(P$7="Actual","",i_Assumptions!P87)</f>
        <v/>
      </c>
      <c r="Q269" s="267">
        <f>IF(Q$7="Actual","",i_Assumptions!Q87)</f>
        <v/>
      </c>
      <c r="R269" s="268" t="n"/>
      <c r="S269" s="268" t="n"/>
      <c r="T269" s="269">
        <f>IF(T$7="Actual","",IFERROR((INDEX($M269:$Q269,,MATCH(T$4,$M$4:$Q$4,0))),0))</f>
        <v/>
      </c>
      <c r="U269" s="269">
        <f>IF(U$7="Actual","",IFERROR((INDEX($M269:$Q269,,MATCH(U$4,$M$4:$Q$4,0))),0))</f>
        <v/>
      </c>
      <c r="V269" s="269">
        <f>IF(V$7="Actual","",IFERROR((INDEX($M269:$Q269,,MATCH(V$4,$M$4:$Q$4,0))),0))</f>
        <v/>
      </c>
      <c r="W269" s="269">
        <f>IF(W$7="Actual","",IFERROR((INDEX($M269:$Q269,,MATCH(W$4,$M$4:$Q$4,0))),0))</f>
        <v/>
      </c>
      <c r="X269" s="269">
        <f>IF(X$7="Actual","",IFERROR((INDEX($M269:$Q269,,MATCH(X$4,$M$4:$Q$4,0))),0))</f>
        <v/>
      </c>
      <c r="Y269" s="269">
        <f>IF(Y$7="Actual","",IFERROR((INDEX($M269:$Q269,,MATCH(Y$4,$M$4:$Q$4,0))),0))</f>
        <v/>
      </c>
      <c r="Z269" s="269">
        <f>IF(Z$7="Actual","",IFERROR((INDEX($M269:$Q269,,MATCH(Z$4,$M$4:$Q$4,0))),0))</f>
        <v/>
      </c>
      <c r="AA269" s="269">
        <f>IF(AA$7="Actual","",IFERROR((INDEX($M269:$Q269,,MATCH(AA$4,$M$4:$Q$4,0))),0))</f>
        <v/>
      </c>
      <c r="AB269" s="269">
        <f>IF(AB$7="Actual","",IFERROR((INDEX($M269:$Q269,,MATCH(AB$4,$M$4:$Q$4,0))),0))</f>
        <v/>
      </c>
      <c r="AC269" s="269">
        <f>IF(AC$7="Actual","",IFERROR((INDEX($M269:$Q269,,MATCH(AC$4,$M$4:$Q$4,0))),0))</f>
        <v/>
      </c>
      <c r="AD269" s="269">
        <f>IF(AD$7="Actual","",IFERROR((INDEX($M269:$Q269,,MATCH(AD$4,$M$4:$Q$4,0))),0))</f>
        <v/>
      </c>
      <c r="AE269" s="269">
        <f>IF(AE$7="Actual","",IFERROR((INDEX($M269:$Q269,,MATCH(AE$4,$M$4:$Q$4,0))),0))</f>
        <v/>
      </c>
      <c r="AF269" s="269">
        <f>IF(AF$7="Actual","",IFERROR((INDEX($M269:$Q269,,MATCH(AF$4,$M$4:$Q$4,0))),0))</f>
        <v/>
      </c>
      <c r="AG269" s="269">
        <f>IF(AG$7="Actual","",IFERROR((INDEX($M269:$Q269,,MATCH(AG$4,$M$4:$Q$4,0))),0))</f>
        <v/>
      </c>
      <c r="AH269" s="269">
        <f>IF(AH$7="Actual","",IFERROR((INDEX($M269:$Q269,,MATCH(AH$4,$M$4:$Q$4,0))),0))</f>
        <v/>
      </c>
      <c r="AI269" s="269">
        <f>IF(AI$7="Actual","",IFERROR((INDEX($M269:$Q269,,MATCH(AI$4,$M$4:$Q$4,0))),0))</f>
        <v/>
      </c>
      <c r="AJ269" s="269">
        <f>IF(AJ$7="Actual","",IFERROR((INDEX($M269:$Q269,,MATCH(AJ$4,$M$4:$Q$4,0))),0))</f>
        <v/>
      </c>
      <c r="AK269" s="269">
        <f>IF(AK$7="Actual","",IFERROR((INDEX($M269:$Q269,,MATCH(AK$4,$M$4:$Q$4,0))),0))</f>
        <v/>
      </c>
      <c r="AL269" s="269">
        <f>IF(AL$7="Actual","",IFERROR((INDEX($M269:$Q269,,MATCH(AL$4,$M$4:$Q$4,0))),0))</f>
        <v/>
      </c>
      <c r="AM269" s="269">
        <f>IF(AM$7="Actual","",IFERROR((INDEX($M269:$Q269,,MATCH(AM$4,$M$4:$Q$4,0))),0))</f>
        <v/>
      </c>
      <c r="AN269" s="269">
        <f>IF(AN$7="Actual","",IFERROR((INDEX($M269:$Q269,,MATCH(AN$4,$M$4:$Q$4,0))),0))</f>
        <v/>
      </c>
      <c r="AO269" s="269">
        <f>IF(AO$7="Actual","",IFERROR((INDEX($M269:$Q269,,MATCH(AO$4,$M$4:$Q$4,0))),0))</f>
        <v/>
      </c>
      <c r="AP269" s="269">
        <f>IF(AP$7="Actual","",IFERROR((INDEX($M269:$Q269,,MATCH(AP$4,$M$4:$Q$4,0))),0))</f>
        <v/>
      </c>
      <c r="AQ269" s="269">
        <f>IF(AQ$7="Actual","",IFERROR((INDEX($M269:$Q269,,MATCH(AQ$4,$M$4:$Q$4,0))),0))</f>
        <v/>
      </c>
      <c r="AR269" s="269">
        <f>IF(AR$7="Actual","",IFERROR((INDEX($M269:$Q269,,MATCH(AR$4,$M$4:$Q$4,0))),0))</f>
        <v/>
      </c>
      <c r="AS269" s="269">
        <f>IF(AS$7="Actual","",IFERROR((INDEX($M269:$Q269,,MATCH(AS$4,$M$4:$Q$4,0))),0))</f>
        <v/>
      </c>
      <c r="AT269" s="269">
        <f>IF(AT$7="Actual","",IFERROR((INDEX($M269:$Q269,,MATCH(AT$4,$M$4:$Q$4,0))),0))</f>
        <v/>
      </c>
      <c r="AU269" s="269">
        <f>IF(AU$7="Actual","",IFERROR((INDEX($M269:$Q269,,MATCH(AU$4,$M$4:$Q$4,0))),0))</f>
        <v/>
      </c>
      <c r="AV269" s="269">
        <f>IF(AV$7="Actual","",IFERROR((INDEX($M269:$Q269,,MATCH(AV$4,$M$4:$Q$4,0))),0))</f>
        <v/>
      </c>
      <c r="AW269" s="269">
        <f>IF(AW$7="Actual","",IFERROR((INDEX($M269:$Q269,,MATCH(AW$4,$M$4:$Q$4,0))),0))</f>
        <v/>
      </c>
      <c r="AX269" s="269">
        <f>IF(AX$7="Actual","",IFERROR((INDEX($M269:$Q269,,MATCH(AX$4,$M$4:$Q$4,0))),0))</f>
        <v/>
      </c>
      <c r="AY269" s="269">
        <f>IF(AY$7="Actual","",IFERROR((INDEX($M269:$Q269,,MATCH(AY$4,$M$4:$Q$4,0))),0))</f>
        <v/>
      </c>
      <c r="AZ269" s="269">
        <f>IF(AZ$7="Actual","",IFERROR((INDEX($M269:$Q269,,MATCH(AZ$4,$M$4:$Q$4,0))),0))</f>
        <v/>
      </c>
      <c r="BA269" s="269">
        <f>IF(BA$7="Actual","",IFERROR((INDEX($M269:$Q269,,MATCH(BA$4,$M$4:$Q$4,0))),0))</f>
        <v/>
      </c>
      <c r="BB269" s="269">
        <f>IF(BB$7="Actual","",IFERROR((INDEX($M269:$Q269,,MATCH(BB$4,$M$4:$Q$4,0))),0))</f>
        <v/>
      </c>
      <c r="BC269" s="269">
        <f>IF(BC$7="Actual","",IFERROR((INDEX($M269:$Q269,,MATCH(BC$4,$M$4:$Q$4,0))),0))</f>
        <v/>
      </c>
      <c r="BD269" s="269">
        <f>IF(BD$7="Actual","",IFERROR((INDEX($M269:$Q269,,MATCH(BD$4,$M$4:$Q$4,0))),0))</f>
        <v/>
      </c>
      <c r="BE269" s="269">
        <f>IF(BE$7="Actual","",IFERROR((INDEX($M269:$Q269,,MATCH(BE$4,$M$4:$Q$4,0))),0))</f>
        <v/>
      </c>
      <c r="BF269" s="269">
        <f>IF(BF$7="Actual","",IFERROR((INDEX($M269:$Q269,,MATCH(BF$4,$M$4:$Q$4,0))),0))</f>
        <v/>
      </c>
      <c r="BG269" s="269">
        <f>IF(BG$7="Actual","",IFERROR((INDEX($M269:$Q269,,MATCH(BG$4,$M$4:$Q$4,0))),0))</f>
        <v/>
      </c>
      <c r="BH269" s="269">
        <f>IF(BH$7="Actual","",IFERROR((INDEX($M269:$Q269,,MATCH(BH$4,$M$4:$Q$4,0))),0))</f>
        <v/>
      </c>
      <c r="BI269" s="269">
        <f>IF(BI$7="Actual","",IFERROR((INDEX($M269:$Q269,,MATCH(BI$4,$M$4:$Q$4,0))),0))</f>
        <v/>
      </c>
      <c r="BJ269" s="269">
        <f>IF(BJ$7="Actual","",IFERROR((INDEX($M269:$Q269,,MATCH(BJ$4,$M$4:$Q$4,0))),0))</f>
        <v/>
      </c>
      <c r="BK269" s="269">
        <f>IF(BK$7="Actual","",IFERROR((INDEX($M269:$Q269,,MATCH(BK$4,$M$4:$Q$4,0))),0))</f>
        <v/>
      </c>
      <c r="BL269" s="269">
        <f>IF(BL$7="Actual","",IFERROR((INDEX($M269:$Q269,,MATCH(BL$4,$M$4:$Q$4,0))),0))</f>
        <v/>
      </c>
      <c r="BM269" s="269">
        <f>IF(BM$7="Actual","",IFERROR((INDEX($M269:$Q269,,MATCH(BM$4,$M$4:$Q$4,0))),0))</f>
        <v/>
      </c>
      <c r="BN269" s="269">
        <f>IF(BN$7="Actual","",IFERROR((INDEX($M269:$Q269,,MATCH(BN$4,$M$4:$Q$4,0))),0))</f>
        <v/>
      </c>
      <c r="BO269" s="269">
        <f>IF(BO$7="Actual","",IFERROR((INDEX($M269:$Q269,,MATCH(BO$4,$M$4:$Q$4,0))),0))</f>
        <v/>
      </c>
      <c r="BP269" s="269">
        <f>IF(BP$7="Actual","",IFERROR((INDEX($M269:$Q269,,MATCH(BP$4,$M$4:$Q$4,0))),0))</f>
        <v/>
      </c>
      <c r="BQ269" s="269">
        <f>IF(BQ$7="Actual","",IFERROR((INDEX($M269:$Q269,,MATCH(BQ$4,$M$4:$Q$4,0))),0))</f>
        <v/>
      </c>
      <c r="BR269" s="269">
        <f>IF(BR$7="Actual","",IFERROR((INDEX($M269:$Q269,,MATCH(BR$4,$M$4:$Q$4,0))),0))</f>
        <v/>
      </c>
      <c r="BS269" s="269">
        <f>IF(BS$7="Actual","",IFERROR((INDEX($M269:$Q269,,MATCH(BS$4,$M$4:$Q$4,0))),0))</f>
        <v/>
      </c>
      <c r="BT269" s="269">
        <f>IF(BT$7="Actual","",IFERROR((INDEX($M269:$Q269,,MATCH(BT$4,$M$4:$Q$4,0))),0))</f>
        <v/>
      </c>
      <c r="BU269" s="269">
        <f>IF(BU$7="Actual","",IFERROR((INDEX($M269:$Q269,,MATCH(BU$4,$M$4:$Q$4,0))),0))</f>
        <v/>
      </c>
      <c r="BV269" s="269">
        <f>IF(BV$7="Actual","",IFERROR((INDEX($M269:$Q269,,MATCH(BV$4,$M$4:$Q$4,0))),0))</f>
        <v/>
      </c>
      <c r="BW269" s="269">
        <f>IF(BW$7="Actual","",IFERROR((INDEX($M269:$Q269,,MATCH(BW$4,$M$4:$Q$4,0))),0))</f>
        <v/>
      </c>
      <c r="BX269" s="269">
        <f>IF(BX$7="Actual","",IFERROR((INDEX($M269:$Q269,,MATCH(BX$4,$M$4:$Q$4,0))),0))</f>
        <v/>
      </c>
      <c r="BY269" s="269">
        <f>IF(BY$7="Actual","",IFERROR((INDEX($M269:$Q269,,MATCH(BY$4,$M$4:$Q$4,0))),0))</f>
        <v/>
      </c>
      <c r="BZ269" s="269">
        <f>IF(BZ$7="Actual","",IFERROR((INDEX($M269:$Q269,,MATCH(BZ$4,$M$4:$Q$4,0))),0))</f>
        <v/>
      </c>
      <c r="CA269" s="269">
        <f>IF(CA$7="Actual","",IFERROR((INDEX($M269:$Q269,,MATCH(CA$4,$M$4:$Q$4,0))),0))</f>
        <v/>
      </c>
    </row>
    <row r="270" ht="12" customHeight="1" s="227">
      <c r="A270" s="244" t="n"/>
      <c r="B270" s="244" t="n"/>
      <c r="C270" s="244" t="n"/>
      <c r="H270" s="4">
        <f>i_Setup!U47</f>
        <v/>
      </c>
      <c r="I270" s="27" t="inlineStr">
        <is>
          <t>no</t>
        </is>
      </c>
      <c r="K270" s="6" t="n"/>
      <c r="M270" s="267">
        <f>IF(M$7="Actual","",i_Assumptions!M88)</f>
        <v/>
      </c>
      <c r="N270" s="267">
        <f>IF(N$7="Actual","",i_Assumptions!N88)</f>
        <v/>
      </c>
      <c r="O270" s="267">
        <f>IF(O$7="Actual","",i_Assumptions!O88)</f>
        <v/>
      </c>
      <c r="P270" s="267">
        <f>IF(P$7="Actual","",i_Assumptions!P88)</f>
        <v/>
      </c>
      <c r="Q270" s="267">
        <f>IF(Q$7="Actual","",i_Assumptions!Q88)</f>
        <v/>
      </c>
      <c r="R270" s="268" t="n"/>
      <c r="S270" s="268" t="n"/>
      <c r="T270" s="269">
        <f>IF(T$7="Actual","",IFERROR((INDEX($M270:$Q270,,MATCH(T$4,$M$4:$Q$4,0))),0))</f>
        <v/>
      </c>
      <c r="U270" s="269">
        <f>IF(U$7="Actual","",IFERROR((INDEX($M270:$Q270,,MATCH(U$4,$M$4:$Q$4,0))),0))</f>
        <v/>
      </c>
      <c r="V270" s="269">
        <f>IF(V$7="Actual","",IFERROR((INDEX($M270:$Q270,,MATCH(V$4,$M$4:$Q$4,0))),0))</f>
        <v/>
      </c>
      <c r="W270" s="269">
        <f>IF(W$7="Actual","",IFERROR((INDEX($M270:$Q270,,MATCH(W$4,$M$4:$Q$4,0))),0))</f>
        <v/>
      </c>
      <c r="X270" s="269">
        <f>IF(X$7="Actual","",IFERROR((INDEX($M270:$Q270,,MATCH(X$4,$M$4:$Q$4,0))),0))</f>
        <v/>
      </c>
      <c r="Y270" s="269">
        <f>IF(Y$7="Actual","",IFERROR((INDEX($M270:$Q270,,MATCH(Y$4,$M$4:$Q$4,0))),0))</f>
        <v/>
      </c>
      <c r="Z270" s="269">
        <f>IF(Z$7="Actual","",IFERROR((INDEX($M270:$Q270,,MATCH(Z$4,$M$4:$Q$4,0))),0))</f>
        <v/>
      </c>
      <c r="AA270" s="269">
        <f>IF(AA$7="Actual","",IFERROR((INDEX($M270:$Q270,,MATCH(AA$4,$M$4:$Q$4,0))),0))</f>
        <v/>
      </c>
      <c r="AB270" s="269">
        <f>IF(AB$7="Actual","",IFERROR((INDEX($M270:$Q270,,MATCH(AB$4,$M$4:$Q$4,0))),0))</f>
        <v/>
      </c>
      <c r="AC270" s="269">
        <f>IF(AC$7="Actual","",IFERROR((INDEX($M270:$Q270,,MATCH(AC$4,$M$4:$Q$4,0))),0))</f>
        <v/>
      </c>
      <c r="AD270" s="269">
        <f>IF(AD$7="Actual","",IFERROR((INDEX($M270:$Q270,,MATCH(AD$4,$M$4:$Q$4,0))),0))</f>
        <v/>
      </c>
      <c r="AE270" s="269">
        <f>IF(AE$7="Actual","",IFERROR((INDEX($M270:$Q270,,MATCH(AE$4,$M$4:$Q$4,0))),0))</f>
        <v/>
      </c>
      <c r="AF270" s="269">
        <f>IF(AF$7="Actual","",IFERROR((INDEX($M270:$Q270,,MATCH(AF$4,$M$4:$Q$4,0))),0))</f>
        <v/>
      </c>
      <c r="AG270" s="269">
        <f>IF(AG$7="Actual","",IFERROR((INDEX($M270:$Q270,,MATCH(AG$4,$M$4:$Q$4,0))),0))</f>
        <v/>
      </c>
      <c r="AH270" s="269">
        <f>IF(AH$7="Actual","",IFERROR((INDEX($M270:$Q270,,MATCH(AH$4,$M$4:$Q$4,0))),0))</f>
        <v/>
      </c>
      <c r="AI270" s="269">
        <f>IF(AI$7="Actual","",IFERROR((INDEX($M270:$Q270,,MATCH(AI$4,$M$4:$Q$4,0))),0))</f>
        <v/>
      </c>
      <c r="AJ270" s="269">
        <f>IF(AJ$7="Actual","",IFERROR((INDEX($M270:$Q270,,MATCH(AJ$4,$M$4:$Q$4,0))),0))</f>
        <v/>
      </c>
      <c r="AK270" s="269">
        <f>IF(AK$7="Actual","",IFERROR((INDEX($M270:$Q270,,MATCH(AK$4,$M$4:$Q$4,0))),0))</f>
        <v/>
      </c>
      <c r="AL270" s="269">
        <f>IF(AL$7="Actual","",IFERROR((INDEX($M270:$Q270,,MATCH(AL$4,$M$4:$Q$4,0))),0))</f>
        <v/>
      </c>
      <c r="AM270" s="269">
        <f>IF(AM$7="Actual","",IFERROR((INDEX($M270:$Q270,,MATCH(AM$4,$M$4:$Q$4,0))),0))</f>
        <v/>
      </c>
      <c r="AN270" s="269">
        <f>IF(AN$7="Actual","",IFERROR((INDEX($M270:$Q270,,MATCH(AN$4,$M$4:$Q$4,0))),0))</f>
        <v/>
      </c>
      <c r="AO270" s="269">
        <f>IF(AO$7="Actual","",IFERROR((INDEX($M270:$Q270,,MATCH(AO$4,$M$4:$Q$4,0))),0))</f>
        <v/>
      </c>
      <c r="AP270" s="269">
        <f>IF(AP$7="Actual","",IFERROR((INDEX($M270:$Q270,,MATCH(AP$4,$M$4:$Q$4,0))),0))</f>
        <v/>
      </c>
      <c r="AQ270" s="269">
        <f>IF(AQ$7="Actual","",IFERROR((INDEX($M270:$Q270,,MATCH(AQ$4,$M$4:$Q$4,0))),0))</f>
        <v/>
      </c>
      <c r="AR270" s="269">
        <f>IF(AR$7="Actual","",IFERROR((INDEX($M270:$Q270,,MATCH(AR$4,$M$4:$Q$4,0))),0))</f>
        <v/>
      </c>
      <c r="AS270" s="269">
        <f>IF(AS$7="Actual","",IFERROR((INDEX($M270:$Q270,,MATCH(AS$4,$M$4:$Q$4,0))),0))</f>
        <v/>
      </c>
      <c r="AT270" s="269">
        <f>IF(AT$7="Actual","",IFERROR((INDEX($M270:$Q270,,MATCH(AT$4,$M$4:$Q$4,0))),0))</f>
        <v/>
      </c>
      <c r="AU270" s="269">
        <f>IF(AU$7="Actual","",IFERROR((INDEX($M270:$Q270,,MATCH(AU$4,$M$4:$Q$4,0))),0))</f>
        <v/>
      </c>
      <c r="AV270" s="269">
        <f>IF(AV$7="Actual","",IFERROR((INDEX($M270:$Q270,,MATCH(AV$4,$M$4:$Q$4,0))),0))</f>
        <v/>
      </c>
      <c r="AW270" s="269">
        <f>IF(AW$7="Actual","",IFERROR((INDEX($M270:$Q270,,MATCH(AW$4,$M$4:$Q$4,0))),0))</f>
        <v/>
      </c>
      <c r="AX270" s="269">
        <f>IF(AX$7="Actual","",IFERROR((INDEX($M270:$Q270,,MATCH(AX$4,$M$4:$Q$4,0))),0))</f>
        <v/>
      </c>
      <c r="AY270" s="269">
        <f>IF(AY$7="Actual","",IFERROR((INDEX($M270:$Q270,,MATCH(AY$4,$M$4:$Q$4,0))),0))</f>
        <v/>
      </c>
      <c r="AZ270" s="269">
        <f>IF(AZ$7="Actual","",IFERROR((INDEX($M270:$Q270,,MATCH(AZ$4,$M$4:$Q$4,0))),0))</f>
        <v/>
      </c>
      <c r="BA270" s="269">
        <f>IF(BA$7="Actual","",IFERROR((INDEX($M270:$Q270,,MATCH(BA$4,$M$4:$Q$4,0))),0))</f>
        <v/>
      </c>
      <c r="BB270" s="269">
        <f>IF(BB$7="Actual","",IFERROR((INDEX($M270:$Q270,,MATCH(BB$4,$M$4:$Q$4,0))),0))</f>
        <v/>
      </c>
      <c r="BC270" s="269">
        <f>IF(BC$7="Actual","",IFERROR((INDEX($M270:$Q270,,MATCH(BC$4,$M$4:$Q$4,0))),0))</f>
        <v/>
      </c>
      <c r="BD270" s="269">
        <f>IF(BD$7="Actual","",IFERROR((INDEX($M270:$Q270,,MATCH(BD$4,$M$4:$Q$4,0))),0))</f>
        <v/>
      </c>
      <c r="BE270" s="269">
        <f>IF(BE$7="Actual","",IFERROR((INDEX($M270:$Q270,,MATCH(BE$4,$M$4:$Q$4,0))),0))</f>
        <v/>
      </c>
      <c r="BF270" s="269">
        <f>IF(BF$7="Actual","",IFERROR((INDEX($M270:$Q270,,MATCH(BF$4,$M$4:$Q$4,0))),0))</f>
        <v/>
      </c>
      <c r="BG270" s="269">
        <f>IF(BG$7="Actual","",IFERROR((INDEX($M270:$Q270,,MATCH(BG$4,$M$4:$Q$4,0))),0))</f>
        <v/>
      </c>
      <c r="BH270" s="269">
        <f>IF(BH$7="Actual","",IFERROR((INDEX($M270:$Q270,,MATCH(BH$4,$M$4:$Q$4,0))),0))</f>
        <v/>
      </c>
      <c r="BI270" s="269">
        <f>IF(BI$7="Actual","",IFERROR((INDEX($M270:$Q270,,MATCH(BI$4,$M$4:$Q$4,0))),0))</f>
        <v/>
      </c>
      <c r="BJ270" s="269">
        <f>IF(BJ$7="Actual","",IFERROR((INDEX($M270:$Q270,,MATCH(BJ$4,$M$4:$Q$4,0))),0))</f>
        <v/>
      </c>
      <c r="BK270" s="269">
        <f>IF(BK$7="Actual","",IFERROR((INDEX($M270:$Q270,,MATCH(BK$4,$M$4:$Q$4,0))),0))</f>
        <v/>
      </c>
      <c r="BL270" s="269">
        <f>IF(BL$7="Actual","",IFERROR((INDEX($M270:$Q270,,MATCH(BL$4,$M$4:$Q$4,0))),0))</f>
        <v/>
      </c>
      <c r="BM270" s="269">
        <f>IF(BM$7="Actual","",IFERROR((INDEX($M270:$Q270,,MATCH(BM$4,$M$4:$Q$4,0))),0))</f>
        <v/>
      </c>
      <c r="BN270" s="269">
        <f>IF(BN$7="Actual","",IFERROR((INDEX($M270:$Q270,,MATCH(BN$4,$M$4:$Q$4,0))),0))</f>
        <v/>
      </c>
      <c r="BO270" s="269">
        <f>IF(BO$7="Actual","",IFERROR((INDEX($M270:$Q270,,MATCH(BO$4,$M$4:$Q$4,0))),0))</f>
        <v/>
      </c>
      <c r="BP270" s="269">
        <f>IF(BP$7="Actual","",IFERROR((INDEX($M270:$Q270,,MATCH(BP$4,$M$4:$Q$4,0))),0))</f>
        <v/>
      </c>
      <c r="BQ270" s="269">
        <f>IF(BQ$7="Actual","",IFERROR((INDEX($M270:$Q270,,MATCH(BQ$4,$M$4:$Q$4,0))),0))</f>
        <v/>
      </c>
      <c r="BR270" s="269">
        <f>IF(BR$7="Actual","",IFERROR((INDEX($M270:$Q270,,MATCH(BR$4,$M$4:$Q$4,0))),0))</f>
        <v/>
      </c>
      <c r="BS270" s="269">
        <f>IF(BS$7="Actual","",IFERROR((INDEX($M270:$Q270,,MATCH(BS$4,$M$4:$Q$4,0))),0))</f>
        <v/>
      </c>
      <c r="BT270" s="269">
        <f>IF(BT$7="Actual","",IFERROR((INDEX($M270:$Q270,,MATCH(BT$4,$M$4:$Q$4,0))),0))</f>
        <v/>
      </c>
      <c r="BU270" s="269">
        <f>IF(BU$7="Actual","",IFERROR((INDEX($M270:$Q270,,MATCH(BU$4,$M$4:$Q$4,0))),0))</f>
        <v/>
      </c>
      <c r="BV270" s="269">
        <f>IF(BV$7="Actual","",IFERROR((INDEX($M270:$Q270,,MATCH(BV$4,$M$4:$Q$4,0))),0))</f>
        <v/>
      </c>
      <c r="BW270" s="269">
        <f>IF(BW$7="Actual","",IFERROR((INDEX($M270:$Q270,,MATCH(BW$4,$M$4:$Q$4,0))),0))</f>
        <v/>
      </c>
      <c r="BX270" s="269">
        <f>IF(BX$7="Actual","",IFERROR((INDEX($M270:$Q270,,MATCH(BX$4,$M$4:$Q$4,0))),0))</f>
        <v/>
      </c>
      <c r="BY270" s="269">
        <f>IF(BY$7="Actual","",IFERROR((INDEX($M270:$Q270,,MATCH(BY$4,$M$4:$Q$4,0))),0))</f>
        <v/>
      </c>
      <c r="BZ270" s="269">
        <f>IF(BZ$7="Actual","",IFERROR((INDEX($M270:$Q270,,MATCH(BZ$4,$M$4:$Q$4,0))),0))</f>
        <v/>
      </c>
      <c r="CA270" s="269">
        <f>IF(CA$7="Actual","",IFERROR((INDEX($M270:$Q270,,MATCH(CA$4,$M$4:$Q$4,0))),0))</f>
        <v/>
      </c>
    </row>
    <row r="271" ht="12" customHeight="1" s="227">
      <c r="A271" s="244" t="n"/>
      <c r="B271" s="244" t="n"/>
      <c r="C271" s="244" t="n"/>
      <c r="H271" s="4">
        <f>i_Setup!U48</f>
        <v/>
      </c>
      <c r="I271" s="27" t="inlineStr">
        <is>
          <t>no</t>
        </is>
      </c>
      <c r="K271" s="6" t="n"/>
      <c r="M271" s="267">
        <f>IF(M$7="Actual","",i_Assumptions!M89)</f>
        <v/>
      </c>
      <c r="N271" s="267">
        <f>IF(N$7="Actual","",i_Assumptions!N89)</f>
        <v/>
      </c>
      <c r="O271" s="267">
        <f>IF(O$7="Actual","",i_Assumptions!O89)</f>
        <v/>
      </c>
      <c r="P271" s="267">
        <f>IF(P$7="Actual","",i_Assumptions!P89)</f>
        <v/>
      </c>
      <c r="Q271" s="267">
        <f>IF(Q$7="Actual","",i_Assumptions!Q89)</f>
        <v/>
      </c>
      <c r="R271" s="268" t="n"/>
      <c r="S271" s="268" t="n"/>
      <c r="T271" s="269">
        <f>IF(T$7="Actual","",IFERROR((INDEX($M271:$Q271,,MATCH(T$4,$M$4:$Q$4,0))),0))</f>
        <v/>
      </c>
      <c r="U271" s="269">
        <f>IF(U$7="Actual","",IFERROR((INDEX($M271:$Q271,,MATCH(U$4,$M$4:$Q$4,0))),0))</f>
        <v/>
      </c>
      <c r="V271" s="269">
        <f>IF(V$7="Actual","",IFERROR((INDEX($M271:$Q271,,MATCH(V$4,$M$4:$Q$4,0))),0))</f>
        <v/>
      </c>
      <c r="W271" s="269">
        <f>IF(W$7="Actual","",IFERROR((INDEX($M271:$Q271,,MATCH(W$4,$M$4:$Q$4,0))),0))</f>
        <v/>
      </c>
      <c r="X271" s="269">
        <f>IF(X$7="Actual","",IFERROR((INDEX($M271:$Q271,,MATCH(X$4,$M$4:$Q$4,0))),0))</f>
        <v/>
      </c>
      <c r="Y271" s="269">
        <f>IF(Y$7="Actual","",IFERROR((INDEX($M271:$Q271,,MATCH(Y$4,$M$4:$Q$4,0))),0))</f>
        <v/>
      </c>
      <c r="Z271" s="269">
        <f>IF(Z$7="Actual","",IFERROR((INDEX($M271:$Q271,,MATCH(Z$4,$M$4:$Q$4,0))),0))</f>
        <v/>
      </c>
      <c r="AA271" s="269">
        <f>IF(AA$7="Actual","",IFERROR((INDEX($M271:$Q271,,MATCH(AA$4,$M$4:$Q$4,0))),0))</f>
        <v/>
      </c>
      <c r="AB271" s="269">
        <f>IF(AB$7="Actual","",IFERROR((INDEX($M271:$Q271,,MATCH(AB$4,$M$4:$Q$4,0))),0))</f>
        <v/>
      </c>
      <c r="AC271" s="269">
        <f>IF(AC$7="Actual","",IFERROR((INDEX($M271:$Q271,,MATCH(AC$4,$M$4:$Q$4,0))),0))</f>
        <v/>
      </c>
      <c r="AD271" s="269">
        <f>IF(AD$7="Actual","",IFERROR((INDEX($M271:$Q271,,MATCH(AD$4,$M$4:$Q$4,0))),0))</f>
        <v/>
      </c>
      <c r="AE271" s="269">
        <f>IF(AE$7="Actual","",IFERROR((INDEX($M271:$Q271,,MATCH(AE$4,$M$4:$Q$4,0))),0))</f>
        <v/>
      </c>
      <c r="AF271" s="269">
        <f>IF(AF$7="Actual","",IFERROR((INDEX($M271:$Q271,,MATCH(AF$4,$M$4:$Q$4,0))),0))</f>
        <v/>
      </c>
      <c r="AG271" s="269">
        <f>IF(AG$7="Actual","",IFERROR((INDEX($M271:$Q271,,MATCH(AG$4,$M$4:$Q$4,0))),0))</f>
        <v/>
      </c>
      <c r="AH271" s="269">
        <f>IF(AH$7="Actual","",IFERROR((INDEX($M271:$Q271,,MATCH(AH$4,$M$4:$Q$4,0))),0))</f>
        <v/>
      </c>
      <c r="AI271" s="269">
        <f>IF(AI$7="Actual","",IFERROR((INDEX($M271:$Q271,,MATCH(AI$4,$M$4:$Q$4,0))),0))</f>
        <v/>
      </c>
      <c r="AJ271" s="269">
        <f>IF(AJ$7="Actual","",IFERROR((INDEX($M271:$Q271,,MATCH(AJ$4,$M$4:$Q$4,0))),0))</f>
        <v/>
      </c>
      <c r="AK271" s="269">
        <f>IF(AK$7="Actual","",IFERROR((INDEX($M271:$Q271,,MATCH(AK$4,$M$4:$Q$4,0))),0))</f>
        <v/>
      </c>
      <c r="AL271" s="269">
        <f>IF(AL$7="Actual","",IFERROR((INDEX($M271:$Q271,,MATCH(AL$4,$M$4:$Q$4,0))),0))</f>
        <v/>
      </c>
      <c r="AM271" s="269">
        <f>IF(AM$7="Actual","",IFERROR((INDEX($M271:$Q271,,MATCH(AM$4,$M$4:$Q$4,0))),0))</f>
        <v/>
      </c>
      <c r="AN271" s="269">
        <f>IF(AN$7="Actual","",IFERROR((INDEX($M271:$Q271,,MATCH(AN$4,$M$4:$Q$4,0))),0))</f>
        <v/>
      </c>
      <c r="AO271" s="269">
        <f>IF(AO$7="Actual","",IFERROR((INDEX($M271:$Q271,,MATCH(AO$4,$M$4:$Q$4,0))),0))</f>
        <v/>
      </c>
      <c r="AP271" s="269">
        <f>IF(AP$7="Actual","",IFERROR((INDEX($M271:$Q271,,MATCH(AP$4,$M$4:$Q$4,0))),0))</f>
        <v/>
      </c>
      <c r="AQ271" s="269">
        <f>IF(AQ$7="Actual","",IFERROR((INDEX($M271:$Q271,,MATCH(AQ$4,$M$4:$Q$4,0))),0))</f>
        <v/>
      </c>
      <c r="AR271" s="269">
        <f>IF(AR$7="Actual","",IFERROR((INDEX($M271:$Q271,,MATCH(AR$4,$M$4:$Q$4,0))),0))</f>
        <v/>
      </c>
      <c r="AS271" s="269">
        <f>IF(AS$7="Actual","",IFERROR((INDEX($M271:$Q271,,MATCH(AS$4,$M$4:$Q$4,0))),0))</f>
        <v/>
      </c>
      <c r="AT271" s="269">
        <f>IF(AT$7="Actual","",IFERROR((INDEX($M271:$Q271,,MATCH(AT$4,$M$4:$Q$4,0))),0))</f>
        <v/>
      </c>
      <c r="AU271" s="269">
        <f>IF(AU$7="Actual","",IFERROR((INDEX($M271:$Q271,,MATCH(AU$4,$M$4:$Q$4,0))),0))</f>
        <v/>
      </c>
      <c r="AV271" s="269">
        <f>IF(AV$7="Actual","",IFERROR((INDEX($M271:$Q271,,MATCH(AV$4,$M$4:$Q$4,0))),0))</f>
        <v/>
      </c>
      <c r="AW271" s="269">
        <f>IF(AW$7="Actual","",IFERROR((INDEX($M271:$Q271,,MATCH(AW$4,$M$4:$Q$4,0))),0))</f>
        <v/>
      </c>
      <c r="AX271" s="269">
        <f>IF(AX$7="Actual","",IFERROR((INDEX($M271:$Q271,,MATCH(AX$4,$M$4:$Q$4,0))),0))</f>
        <v/>
      </c>
      <c r="AY271" s="269">
        <f>IF(AY$7="Actual","",IFERROR((INDEX($M271:$Q271,,MATCH(AY$4,$M$4:$Q$4,0))),0))</f>
        <v/>
      </c>
      <c r="AZ271" s="269">
        <f>IF(AZ$7="Actual","",IFERROR((INDEX($M271:$Q271,,MATCH(AZ$4,$M$4:$Q$4,0))),0))</f>
        <v/>
      </c>
      <c r="BA271" s="269">
        <f>IF(BA$7="Actual","",IFERROR((INDEX($M271:$Q271,,MATCH(BA$4,$M$4:$Q$4,0))),0))</f>
        <v/>
      </c>
      <c r="BB271" s="269">
        <f>IF(BB$7="Actual","",IFERROR((INDEX($M271:$Q271,,MATCH(BB$4,$M$4:$Q$4,0))),0))</f>
        <v/>
      </c>
      <c r="BC271" s="269">
        <f>IF(BC$7="Actual","",IFERROR((INDEX($M271:$Q271,,MATCH(BC$4,$M$4:$Q$4,0))),0))</f>
        <v/>
      </c>
      <c r="BD271" s="269">
        <f>IF(BD$7="Actual","",IFERROR((INDEX($M271:$Q271,,MATCH(BD$4,$M$4:$Q$4,0))),0))</f>
        <v/>
      </c>
      <c r="BE271" s="269">
        <f>IF(BE$7="Actual","",IFERROR((INDEX($M271:$Q271,,MATCH(BE$4,$M$4:$Q$4,0))),0))</f>
        <v/>
      </c>
      <c r="BF271" s="269">
        <f>IF(BF$7="Actual","",IFERROR((INDEX($M271:$Q271,,MATCH(BF$4,$M$4:$Q$4,0))),0))</f>
        <v/>
      </c>
      <c r="BG271" s="269">
        <f>IF(BG$7="Actual","",IFERROR((INDEX($M271:$Q271,,MATCH(BG$4,$M$4:$Q$4,0))),0))</f>
        <v/>
      </c>
      <c r="BH271" s="269">
        <f>IF(BH$7="Actual","",IFERROR((INDEX($M271:$Q271,,MATCH(BH$4,$M$4:$Q$4,0))),0))</f>
        <v/>
      </c>
      <c r="BI271" s="269">
        <f>IF(BI$7="Actual","",IFERROR((INDEX($M271:$Q271,,MATCH(BI$4,$M$4:$Q$4,0))),0))</f>
        <v/>
      </c>
      <c r="BJ271" s="269">
        <f>IF(BJ$7="Actual","",IFERROR((INDEX($M271:$Q271,,MATCH(BJ$4,$M$4:$Q$4,0))),0))</f>
        <v/>
      </c>
      <c r="BK271" s="269">
        <f>IF(BK$7="Actual","",IFERROR((INDEX($M271:$Q271,,MATCH(BK$4,$M$4:$Q$4,0))),0))</f>
        <v/>
      </c>
      <c r="BL271" s="269">
        <f>IF(BL$7="Actual","",IFERROR((INDEX($M271:$Q271,,MATCH(BL$4,$M$4:$Q$4,0))),0))</f>
        <v/>
      </c>
      <c r="BM271" s="269">
        <f>IF(BM$7="Actual","",IFERROR((INDEX($M271:$Q271,,MATCH(BM$4,$M$4:$Q$4,0))),0))</f>
        <v/>
      </c>
      <c r="BN271" s="269">
        <f>IF(BN$7="Actual","",IFERROR((INDEX($M271:$Q271,,MATCH(BN$4,$M$4:$Q$4,0))),0))</f>
        <v/>
      </c>
      <c r="BO271" s="269">
        <f>IF(BO$7="Actual","",IFERROR((INDEX($M271:$Q271,,MATCH(BO$4,$M$4:$Q$4,0))),0))</f>
        <v/>
      </c>
      <c r="BP271" s="269">
        <f>IF(BP$7="Actual","",IFERROR((INDEX($M271:$Q271,,MATCH(BP$4,$M$4:$Q$4,0))),0))</f>
        <v/>
      </c>
      <c r="BQ271" s="269">
        <f>IF(BQ$7="Actual","",IFERROR((INDEX($M271:$Q271,,MATCH(BQ$4,$M$4:$Q$4,0))),0))</f>
        <v/>
      </c>
      <c r="BR271" s="269">
        <f>IF(BR$7="Actual","",IFERROR((INDEX($M271:$Q271,,MATCH(BR$4,$M$4:$Q$4,0))),0))</f>
        <v/>
      </c>
      <c r="BS271" s="269">
        <f>IF(BS$7="Actual","",IFERROR((INDEX($M271:$Q271,,MATCH(BS$4,$M$4:$Q$4,0))),0))</f>
        <v/>
      </c>
      <c r="BT271" s="269">
        <f>IF(BT$7="Actual","",IFERROR((INDEX($M271:$Q271,,MATCH(BT$4,$M$4:$Q$4,0))),0))</f>
        <v/>
      </c>
      <c r="BU271" s="269">
        <f>IF(BU$7="Actual","",IFERROR((INDEX($M271:$Q271,,MATCH(BU$4,$M$4:$Q$4,0))),0))</f>
        <v/>
      </c>
      <c r="BV271" s="269">
        <f>IF(BV$7="Actual","",IFERROR((INDEX($M271:$Q271,,MATCH(BV$4,$M$4:$Q$4,0))),0))</f>
        <v/>
      </c>
      <c r="BW271" s="269">
        <f>IF(BW$7="Actual","",IFERROR((INDEX($M271:$Q271,,MATCH(BW$4,$M$4:$Q$4,0))),0))</f>
        <v/>
      </c>
      <c r="BX271" s="269">
        <f>IF(BX$7="Actual","",IFERROR((INDEX($M271:$Q271,,MATCH(BX$4,$M$4:$Q$4,0))),0))</f>
        <v/>
      </c>
      <c r="BY271" s="269">
        <f>IF(BY$7="Actual","",IFERROR((INDEX($M271:$Q271,,MATCH(BY$4,$M$4:$Q$4,0))),0))</f>
        <v/>
      </c>
      <c r="BZ271" s="269">
        <f>IF(BZ$7="Actual","",IFERROR((INDEX($M271:$Q271,,MATCH(BZ$4,$M$4:$Q$4,0))),0))</f>
        <v/>
      </c>
      <c r="CA271" s="269">
        <f>IF(CA$7="Actual","",IFERROR((INDEX($M271:$Q271,,MATCH(CA$4,$M$4:$Q$4,0))),0))</f>
        <v/>
      </c>
    </row>
    <row r="272" ht="12" customHeight="1" s="227">
      <c r="A272" s="244" t="n"/>
      <c r="B272" s="244" t="n"/>
      <c r="C272" s="244" t="n"/>
      <c r="H272" s="4">
        <f>i_Setup!U49</f>
        <v/>
      </c>
      <c r="I272" s="27" t="inlineStr">
        <is>
          <t>no</t>
        </is>
      </c>
      <c r="K272" s="6" t="n"/>
      <c r="M272" s="267">
        <f>IF(M$7="Actual","",i_Assumptions!M90)</f>
        <v/>
      </c>
      <c r="N272" s="267">
        <f>IF(N$7="Actual","",i_Assumptions!N90)</f>
        <v/>
      </c>
      <c r="O272" s="267">
        <f>IF(O$7="Actual","",i_Assumptions!O90)</f>
        <v/>
      </c>
      <c r="P272" s="267">
        <f>IF(P$7="Actual","",i_Assumptions!P90)</f>
        <v/>
      </c>
      <c r="Q272" s="267">
        <f>IF(Q$7="Actual","",i_Assumptions!Q90)</f>
        <v/>
      </c>
      <c r="R272" s="268" t="n"/>
      <c r="S272" s="268" t="n"/>
      <c r="T272" s="269">
        <f>IF(T$7="Actual","",IFERROR((INDEX($M272:$Q272,,MATCH(T$4,$M$4:$Q$4,0))),0))</f>
        <v/>
      </c>
      <c r="U272" s="269">
        <f>IF(U$7="Actual","",IFERROR((INDEX($M272:$Q272,,MATCH(U$4,$M$4:$Q$4,0))),0))</f>
        <v/>
      </c>
      <c r="V272" s="269">
        <f>IF(V$7="Actual","",IFERROR((INDEX($M272:$Q272,,MATCH(V$4,$M$4:$Q$4,0))),0))</f>
        <v/>
      </c>
      <c r="W272" s="269">
        <f>IF(W$7="Actual","",IFERROR((INDEX($M272:$Q272,,MATCH(W$4,$M$4:$Q$4,0))),0))</f>
        <v/>
      </c>
      <c r="X272" s="269">
        <f>IF(X$7="Actual","",IFERROR((INDEX($M272:$Q272,,MATCH(X$4,$M$4:$Q$4,0))),0))</f>
        <v/>
      </c>
      <c r="Y272" s="269">
        <f>IF(Y$7="Actual","",IFERROR((INDEX($M272:$Q272,,MATCH(Y$4,$M$4:$Q$4,0))),0))</f>
        <v/>
      </c>
      <c r="Z272" s="269">
        <f>IF(Z$7="Actual","",IFERROR((INDEX($M272:$Q272,,MATCH(Z$4,$M$4:$Q$4,0))),0))</f>
        <v/>
      </c>
      <c r="AA272" s="269">
        <f>IF(AA$7="Actual","",IFERROR((INDEX($M272:$Q272,,MATCH(AA$4,$M$4:$Q$4,0))),0))</f>
        <v/>
      </c>
      <c r="AB272" s="269">
        <f>IF(AB$7="Actual","",IFERROR((INDEX($M272:$Q272,,MATCH(AB$4,$M$4:$Q$4,0))),0))</f>
        <v/>
      </c>
      <c r="AC272" s="269">
        <f>IF(AC$7="Actual","",IFERROR((INDEX($M272:$Q272,,MATCH(AC$4,$M$4:$Q$4,0))),0))</f>
        <v/>
      </c>
      <c r="AD272" s="269">
        <f>IF(AD$7="Actual","",IFERROR((INDEX($M272:$Q272,,MATCH(AD$4,$M$4:$Q$4,0))),0))</f>
        <v/>
      </c>
      <c r="AE272" s="269">
        <f>IF(AE$7="Actual","",IFERROR((INDEX($M272:$Q272,,MATCH(AE$4,$M$4:$Q$4,0))),0))</f>
        <v/>
      </c>
      <c r="AF272" s="269">
        <f>IF(AF$7="Actual","",IFERROR((INDEX($M272:$Q272,,MATCH(AF$4,$M$4:$Q$4,0))),0))</f>
        <v/>
      </c>
      <c r="AG272" s="269">
        <f>IF(AG$7="Actual","",IFERROR((INDEX($M272:$Q272,,MATCH(AG$4,$M$4:$Q$4,0))),0))</f>
        <v/>
      </c>
      <c r="AH272" s="269">
        <f>IF(AH$7="Actual","",IFERROR((INDEX($M272:$Q272,,MATCH(AH$4,$M$4:$Q$4,0))),0))</f>
        <v/>
      </c>
      <c r="AI272" s="269">
        <f>IF(AI$7="Actual","",IFERROR((INDEX($M272:$Q272,,MATCH(AI$4,$M$4:$Q$4,0))),0))</f>
        <v/>
      </c>
      <c r="AJ272" s="269">
        <f>IF(AJ$7="Actual","",IFERROR((INDEX($M272:$Q272,,MATCH(AJ$4,$M$4:$Q$4,0))),0))</f>
        <v/>
      </c>
      <c r="AK272" s="269">
        <f>IF(AK$7="Actual","",IFERROR((INDEX($M272:$Q272,,MATCH(AK$4,$M$4:$Q$4,0))),0))</f>
        <v/>
      </c>
      <c r="AL272" s="269">
        <f>IF(AL$7="Actual","",IFERROR((INDEX($M272:$Q272,,MATCH(AL$4,$M$4:$Q$4,0))),0))</f>
        <v/>
      </c>
      <c r="AM272" s="269">
        <f>IF(AM$7="Actual","",IFERROR((INDEX($M272:$Q272,,MATCH(AM$4,$M$4:$Q$4,0))),0))</f>
        <v/>
      </c>
      <c r="AN272" s="269">
        <f>IF(AN$7="Actual","",IFERROR((INDEX($M272:$Q272,,MATCH(AN$4,$M$4:$Q$4,0))),0))</f>
        <v/>
      </c>
      <c r="AO272" s="269">
        <f>IF(AO$7="Actual","",IFERROR((INDEX($M272:$Q272,,MATCH(AO$4,$M$4:$Q$4,0))),0))</f>
        <v/>
      </c>
      <c r="AP272" s="269">
        <f>IF(AP$7="Actual","",IFERROR((INDEX($M272:$Q272,,MATCH(AP$4,$M$4:$Q$4,0))),0))</f>
        <v/>
      </c>
      <c r="AQ272" s="269">
        <f>IF(AQ$7="Actual","",IFERROR((INDEX($M272:$Q272,,MATCH(AQ$4,$M$4:$Q$4,0))),0))</f>
        <v/>
      </c>
      <c r="AR272" s="269">
        <f>IF(AR$7="Actual","",IFERROR((INDEX($M272:$Q272,,MATCH(AR$4,$M$4:$Q$4,0))),0))</f>
        <v/>
      </c>
      <c r="AS272" s="269">
        <f>IF(AS$7="Actual","",IFERROR((INDEX($M272:$Q272,,MATCH(AS$4,$M$4:$Q$4,0))),0))</f>
        <v/>
      </c>
      <c r="AT272" s="269">
        <f>IF(AT$7="Actual","",IFERROR((INDEX($M272:$Q272,,MATCH(AT$4,$M$4:$Q$4,0))),0))</f>
        <v/>
      </c>
      <c r="AU272" s="269">
        <f>IF(AU$7="Actual","",IFERROR((INDEX($M272:$Q272,,MATCH(AU$4,$M$4:$Q$4,0))),0))</f>
        <v/>
      </c>
      <c r="AV272" s="269">
        <f>IF(AV$7="Actual","",IFERROR((INDEX($M272:$Q272,,MATCH(AV$4,$M$4:$Q$4,0))),0))</f>
        <v/>
      </c>
      <c r="AW272" s="269">
        <f>IF(AW$7="Actual","",IFERROR((INDEX($M272:$Q272,,MATCH(AW$4,$M$4:$Q$4,0))),0))</f>
        <v/>
      </c>
      <c r="AX272" s="269">
        <f>IF(AX$7="Actual","",IFERROR((INDEX($M272:$Q272,,MATCH(AX$4,$M$4:$Q$4,0))),0))</f>
        <v/>
      </c>
      <c r="AY272" s="269">
        <f>IF(AY$7="Actual","",IFERROR((INDEX($M272:$Q272,,MATCH(AY$4,$M$4:$Q$4,0))),0))</f>
        <v/>
      </c>
      <c r="AZ272" s="269">
        <f>IF(AZ$7="Actual","",IFERROR((INDEX($M272:$Q272,,MATCH(AZ$4,$M$4:$Q$4,0))),0))</f>
        <v/>
      </c>
      <c r="BA272" s="269">
        <f>IF(BA$7="Actual","",IFERROR((INDEX($M272:$Q272,,MATCH(BA$4,$M$4:$Q$4,0))),0))</f>
        <v/>
      </c>
      <c r="BB272" s="269">
        <f>IF(BB$7="Actual","",IFERROR((INDEX($M272:$Q272,,MATCH(BB$4,$M$4:$Q$4,0))),0))</f>
        <v/>
      </c>
      <c r="BC272" s="269">
        <f>IF(BC$7="Actual","",IFERROR((INDEX($M272:$Q272,,MATCH(BC$4,$M$4:$Q$4,0))),0))</f>
        <v/>
      </c>
      <c r="BD272" s="269">
        <f>IF(BD$7="Actual","",IFERROR((INDEX($M272:$Q272,,MATCH(BD$4,$M$4:$Q$4,0))),0))</f>
        <v/>
      </c>
      <c r="BE272" s="269">
        <f>IF(BE$7="Actual","",IFERROR((INDEX($M272:$Q272,,MATCH(BE$4,$M$4:$Q$4,0))),0))</f>
        <v/>
      </c>
      <c r="BF272" s="269">
        <f>IF(BF$7="Actual","",IFERROR((INDEX($M272:$Q272,,MATCH(BF$4,$M$4:$Q$4,0))),0))</f>
        <v/>
      </c>
      <c r="BG272" s="269">
        <f>IF(BG$7="Actual","",IFERROR((INDEX($M272:$Q272,,MATCH(BG$4,$M$4:$Q$4,0))),0))</f>
        <v/>
      </c>
      <c r="BH272" s="269">
        <f>IF(BH$7="Actual","",IFERROR((INDEX($M272:$Q272,,MATCH(BH$4,$M$4:$Q$4,0))),0))</f>
        <v/>
      </c>
      <c r="BI272" s="269">
        <f>IF(BI$7="Actual","",IFERROR((INDEX($M272:$Q272,,MATCH(BI$4,$M$4:$Q$4,0))),0))</f>
        <v/>
      </c>
      <c r="BJ272" s="269">
        <f>IF(BJ$7="Actual","",IFERROR((INDEX($M272:$Q272,,MATCH(BJ$4,$M$4:$Q$4,0))),0))</f>
        <v/>
      </c>
      <c r="BK272" s="269">
        <f>IF(BK$7="Actual","",IFERROR((INDEX($M272:$Q272,,MATCH(BK$4,$M$4:$Q$4,0))),0))</f>
        <v/>
      </c>
      <c r="BL272" s="269">
        <f>IF(BL$7="Actual","",IFERROR((INDEX($M272:$Q272,,MATCH(BL$4,$M$4:$Q$4,0))),0))</f>
        <v/>
      </c>
      <c r="BM272" s="269">
        <f>IF(BM$7="Actual","",IFERROR((INDEX($M272:$Q272,,MATCH(BM$4,$M$4:$Q$4,0))),0))</f>
        <v/>
      </c>
      <c r="BN272" s="269">
        <f>IF(BN$7="Actual","",IFERROR((INDEX($M272:$Q272,,MATCH(BN$4,$M$4:$Q$4,0))),0))</f>
        <v/>
      </c>
      <c r="BO272" s="269">
        <f>IF(BO$7="Actual","",IFERROR((INDEX($M272:$Q272,,MATCH(BO$4,$M$4:$Q$4,0))),0))</f>
        <v/>
      </c>
      <c r="BP272" s="269">
        <f>IF(BP$7="Actual","",IFERROR((INDEX($M272:$Q272,,MATCH(BP$4,$M$4:$Q$4,0))),0))</f>
        <v/>
      </c>
      <c r="BQ272" s="269">
        <f>IF(BQ$7="Actual","",IFERROR((INDEX($M272:$Q272,,MATCH(BQ$4,$M$4:$Q$4,0))),0))</f>
        <v/>
      </c>
      <c r="BR272" s="269">
        <f>IF(BR$7="Actual","",IFERROR((INDEX($M272:$Q272,,MATCH(BR$4,$M$4:$Q$4,0))),0))</f>
        <v/>
      </c>
      <c r="BS272" s="269">
        <f>IF(BS$7="Actual","",IFERROR((INDEX($M272:$Q272,,MATCH(BS$4,$M$4:$Q$4,0))),0))</f>
        <v/>
      </c>
      <c r="BT272" s="269">
        <f>IF(BT$7="Actual","",IFERROR((INDEX($M272:$Q272,,MATCH(BT$4,$M$4:$Q$4,0))),0))</f>
        <v/>
      </c>
      <c r="BU272" s="269">
        <f>IF(BU$7="Actual","",IFERROR((INDEX($M272:$Q272,,MATCH(BU$4,$M$4:$Q$4,0))),0))</f>
        <v/>
      </c>
      <c r="BV272" s="269">
        <f>IF(BV$7="Actual","",IFERROR((INDEX($M272:$Q272,,MATCH(BV$4,$M$4:$Q$4,0))),0))</f>
        <v/>
      </c>
      <c r="BW272" s="269">
        <f>IF(BW$7="Actual","",IFERROR((INDEX($M272:$Q272,,MATCH(BW$4,$M$4:$Q$4,0))),0))</f>
        <v/>
      </c>
      <c r="BX272" s="269">
        <f>IF(BX$7="Actual","",IFERROR((INDEX($M272:$Q272,,MATCH(BX$4,$M$4:$Q$4,0))),0))</f>
        <v/>
      </c>
      <c r="BY272" s="269">
        <f>IF(BY$7="Actual","",IFERROR((INDEX($M272:$Q272,,MATCH(BY$4,$M$4:$Q$4,0))),0))</f>
        <v/>
      </c>
      <c r="BZ272" s="269">
        <f>IF(BZ$7="Actual","",IFERROR((INDEX($M272:$Q272,,MATCH(BZ$4,$M$4:$Q$4,0))),0))</f>
        <v/>
      </c>
      <c r="CA272" s="269">
        <f>IF(CA$7="Actual","",IFERROR((INDEX($M272:$Q272,,MATCH(CA$4,$M$4:$Q$4,0))),0))</f>
        <v/>
      </c>
    </row>
    <row r="273" ht="12" customHeight="1" s="227">
      <c r="A273" s="244" t="n"/>
      <c r="B273" s="244" t="n"/>
      <c r="C273" s="244" t="n"/>
      <c r="H273" s="4">
        <f>i_Setup!U50</f>
        <v/>
      </c>
      <c r="I273" s="27" t="inlineStr">
        <is>
          <t>no</t>
        </is>
      </c>
      <c r="K273" s="6" t="n"/>
      <c r="M273" s="267">
        <f>IF(M$7="Actual","",i_Assumptions!M91)</f>
        <v/>
      </c>
      <c r="N273" s="267">
        <f>IF(N$7="Actual","",i_Assumptions!N91)</f>
        <v/>
      </c>
      <c r="O273" s="267">
        <f>IF(O$7="Actual","",i_Assumptions!O91)</f>
        <v/>
      </c>
      <c r="P273" s="267">
        <f>IF(P$7="Actual","",i_Assumptions!P91)</f>
        <v/>
      </c>
      <c r="Q273" s="267">
        <f>IF(Q$7="Actual","",i_Assumptions!Q91)</f>
        <v/>
      </c>
      <c r="R273" s="268" t="n"/>
      <c r="S273" s="268" t="n"/>
      <c r="T273" s="269">
        <f>IF(T$7="Actual","",IFERROR((INDEX($M273:$Q273,,MATCH(T$4,$M$4:$Q$4,0))),0))</f>
        <v/>
      </c>
      <c r="U273" s="269">
        <f>IF(U$7="Actual","",IFERROR((INDEX($M273:$Q273,,MATCH(U$4,$M$4:$Q$4,0))),0))</f>
        <v/>
      </c>
      <c r="V273" s="269">
        <f>IF(V$7="Actual","",IFERROR((INDEX($M273:$Q273,,MATCH(V$4,$M$4:$Q$4,0))),0))</f>
        <v/>
      </c>
      <c r="W273" s="269">
        <f>IF(W$7="Actual","",IFERROR((INDEX($M273:$Q273,,MATCH(W$4,$M$4:$Q$4,0))),0))</f>
        <v/>
      </c>
      <c r="X273" s="269">
        <f>IF(X$7="Actual","",IFERROR((INDEX($M273:$Q273,,MATCH(X$4,$M$4:$Q$4,0))),0))</f>
        <v/>
      </c>
      <c r="Y273" s="269">
        <f>IF(Y$7="Actual","",IFERROR((INDEX($M273:$Q273,,MATCH(Y$4,$M$4:$Q$4,0))),0))</f>
        <v/>
      </c>
      <c r="Z273" s="269">
        <f>IF(Z$7="Actual","",IFERROR((INDEX($M273:$Q273,,MATCH(Z$4,$M$4:$Q$4,0))),0))</f>
        <v/>
      </c>
      <c r="AA273" s="269">
        <f>IF(AA$7="Actual","",IFERROR((INDEX($M273:$Q273,,MATCH(AA$4,$M$4:$Q$4,0))),0))</f>
        <v/>
      </c>
      <c r="AB273" s="269">
        <f>IF(AB$7="Actual","",IFERROR((INDEX($M273:$Q273,,MATCH(AB$4,$M$4:$Q$4,0))),0))</f>
        <v/>
      </c>
      <c r="AC273" s="269">
        <f>IF(AC$7="Actual","",IFERROR((INDEX($M273:$Q273,,MATCH(AC$4,$M$4:$Q$4,0))),0))</f>
        <v/>
      </c>
      <c r="AD273" s="269">
        <f>IF(AD$7="Actual","",IFERROR((INDEX($M273:$Q273,,MATCH(AD$4,$M$4:$Q$4,0))),0))</f>
        <v/>
      </c>
      <c r="AE273" s="269">
        <f>IF(AE$7="Actual","",IFERROR((INDEX($M273:$Q273,,MATCH(AE$4,$M$4:$Q$4,0))),0))</f>
        <v/>
      </c>
      <c r="AF273" s="269">
        <f>IF(AF$7="Actual","",IFERROR((INDEX($M273:$Q273,,MATCH(AF$4,$M$4:$Q$4,0))),0))</f>
        <v/>
      </c>
      <c r="AG273" s="269">
        <f>IF(AG$7="Actual","",IFERROR((INDEX($M273:$Q273,,MATCH(AG$4,$M$4:$Q$4,0))),0))</f>
        <v/>
      </c>
      <c r="AH273" s="269">
        <f>IF(AH$7="Actual","",IFERROR((INDEX($M273:$Q273,,MATCH(AH$4,$M$4:$Q$4,0))),0))</f>
        <v/>
      </c>
      <c r="AI273" s="269">
        <f>IF(AI$7="Actual","",IFERROR((INDEX($M273:$Q273,,MATCH(AI$4,$M$4:$Q$4,0))),0))</f>
        <v/>
      </c>
      <c r="AJ273" s="269">
        <f>IF(AJ$7="Actual","",IFERROR((INDEX($M273:$Q273,,MATCH(AJ$4,$M$4:$Q$4,0))),0))</f>
        <v/>
      </c>
      <c r="AK273" s="269">
        <f>IF(AK$7="Actual","",IFERROR((INDEX($M273:$Q273,,MATCH(AK$4,$M$4:$Q$4,0))),0))</f>
        <v/>
      </c>
      <c r="AL273" s="269">
        <f>IF(AL$7="Actual","",IFERROR((INDEX($M273:$Q273,,MATCH(AL$4,$M$4:$Q$4,0))),0))</f>
        <v/>
      </c>
      <c r="AM273" s="269">
        <f>IF(AM$7="Actual","",IFERROR((INDEX($M273:$Q273,,MATCH(AM$4,$M$4:$Q$4,0))),0))</f>
        <v/>
      </c>
      <c r="AN273" s="269">
        <f>IF(AN$7="Actual","",IFERROR((INDEX($M273:$Q273,,MATCH(AN$4,$M$4:$Q$4,0))),0))</f>
        <v/>
      </c>
      <c r="AO273" s="269">
        <f>IF(AO$7="Actual","",IFERROR((INDEX($M273:$Q273,,MATCH(AO$4,$M$4:$Q$4,0))),0))</f>
        <v/>
      </c>
      <c r="AP273" s="269">
        <f>IF(AP$7="Actual","",IFERROR((INDEX($M273:$Q273,,MATCH(AP$4,$M$4:$Q$4,0))),0))</f>
        <v/>
      </c>
      <c r="AQ273" s="269">
        <f>IF(AQ$7="Actual","",IFERROR((INDEX($M273:$Q273,,MATCH(AQ$4,$M$4:$Q$4,0))),0))</f>
        <v/>
      </c>
      <c r="AR273" s="269">
        <f>IF(AR$7="Actual","",IFERROR((INDEX($M273:$Q273,,MATCH(AR$4,$M$4:$Q$4,0))),0))</f>
        <v/>
      </c>
      <c r="AS273" s="269">
        <f>IF(AS$7="Actual","",IFERROR((INDEX($M273:$Q273,,MATCH(AS$4,$M$4:$Q$4,0))),0))</f>
        <v/>
      </c>
      <c r="AT273" s="269">
        <f>IF(AT$7="Actual","",IFERROR((INDEX($M273:$Q273,,MATCH(AT$4,$M$4:$Q$4,0))),0))</f>
        <v/>
      </c>
      <c r="AU273" s="269">
        <f>IF(AU$7="Actual","",IFERROR((INDEX($M273:$Q273,,MATCH(AU$4,$M$4:$Q$4,0))),0))</f>
        <v/>
      </c>
      <c r="AV273" s="269">
        <f>IF(AV$7="Actual","",IFERROR((INDEX($M273:$Q273,,MATCH(AV$4,$M$4:$Q$4,0))),0))</f>
        <v/>
      </c>
      <c r="AW273" s="269">
        <f>IF(AW$7="Actual","",IFERROR((INDEX($M273:$Q273,,MATCH(AW$4,$M$4:$Q$4,0))),0))</f>
        <v/>
      </c>
      <c r="AX273" s="269">
        <f>IF(AX$7="Actual","",IFERROR((INDEX($M273:$Q273,,MATCH(AX$4,$M$4:$Q$4,0))),0))</f>
        <v/>
      </c>
      <c r="AY273" s="269">
        <f>IF(AY$7="Actual","",IFERROR((INDEX($M273:$Q273,,MATCH(AY$4,$M$4:$Q$4,0))),0))</f>
        <v/>
      </c>
      <c r="AZ273" s="269">
        <f>IF(AZ$7="Actual","",IFERROR((INDEX($M273:$Q273,,MATCH(AZ$4,$M$4:$Q$4,0))),0))</f>
        <v/>
      </c>
      <c r="BA273" s="269">
        <f>IF(BA$7="Actual","",IFERROR((INDEX($M273:$Q273,,MATCH(BA$4,$M$4:$Q$4,0))),0))</f>
        <v/>
      </c>
      <c r="BB273" s="269">
        <f>IF(BB$7="Actual","",IFERROR((INDEX($M273:$Q273,,MATCH(BB$4,$M$4:$Q$4,0))),0))</f>
        <v/>
      </c>
      <c r="BC273" s="269">
        <f>IF(BC$7="Actual","",IFERROR((INDEX($M273:$Q273,,MATCH(BC$4,$M$4:$Q$4,0))),0))</f>
        <v/>
      </c>
      <c r="BD273" s="269">
        <f>IF(BD$7="Actual","",IFERROR((INDEX($M273:$Q273,,MATCH(BD$4,$M$4:$Q$4,0))),0))</f>
        <v/>
      </c>
      <c r="BE273" s="269">
        <f>IF(BE$7="Actual","",IFERROR((INDEX($M273:$Q273,,MATCH(BE$4,$M$4:$Q$4,0))),0))</f>
        <v/>
      </c>
      <c r="BF273" s="269">
        <f>IF(BF$7="Actual","",IFERROR((INDEX($M273:$Q273,,MATCH(BF$4,$M$4:$Q$4,0))),0))</f>
        <v/>
      </c>
      <c r="BG273" s="269">
        <f>IF(BG$7="Actual","",IFERROR((INDEX($M273:$Q273,,MATCH(BG$4,$M$4:$Q$4,0))),0))</f>
        <v/>
      </c>
      <c r="BH273" s="269">
        <f>IF(BH$7="Actual","",IFERROR((INDEX($M273:$Q273,,MATCH(BH$4,$M$4:$Q$4,0))),0))</f>
        <v/>
      </c>
      <c r="BI273" s="269">
        <f>IF(BI$7="Actual","",IFERROR((INDEX($M273:$Q273,,MATCH(BI$4,$M$4:$Q$4,0))),0))</f>
        <v/>
      </c>
      <c r="BJ273" s="269">
        <f>IF(BJ$7="Actual","",IFERROR((INDEX($M273:$Q273,,MATCH(BJ$4,$M$4:$Q$4,0))),0))</f>
        <v/>
      </c>
      <c r="BK273" s="269">
        <f>IF(BK$7="Actual","",IFERROR((INDEX($M273:$Q273,,MATCH(BK$4,$M$4:$Q$4,0))),0))</f>
        <v/>
      </c>
      <c r="BL273" s="269">
        <f>IF(BL$7="Actual","",IFERROR((INDEX($M273:$Q273,,MATCH(BL$4,$M$4:$Q$4,0))),0))</f>
        <v/>
      </c>
      <c r="BM273" s="269">
        <f>IF(BM$7="Actual","",IFERROR((INDEX($M273:$Q273,,MATCH(BM$4,$M$4:$Q$4,0))),0))</f>
        <v/>
      </c>
      <c r="BN273" s="269">
        <f>IF(BN$7="Actual","",IFERROR((INDEX($M273:$Q273,,MATCH(BN$4,$M$4:$Q$4,0))),0))</f>
        <v/>
      </c>
      <c r="BO273" s="269">
        <f>IF(BO$7="Actual","",IFERROR((INDEX($M273:$Q273,,MATCH(BO$4,$M$4:$Q$4,0))),0))</f>
        <v/>
      </c>
      <c r="BP273" s="269">
        <f>IF(BP$7="Actual","",IFERROR((INDEX($M273:$Q273,,MATCH(BP$4,$M$4:$Q$4,0))),0))</f>
        <v/>
      </c>
      <c r="BQ273" s="269">
        <f>IF(BQ$7="Actual","",IFERROR((INDEX($M273:$Q273,,MATCH(BQ$4,$M$4:$Q$4,0))),0))</f>
        <v/>
      </c>
      <c r="BR273" s="269">
        <f>IF(BR$7="Actual","",IFERROR((INDEX($M273:$Q273,,MATCH(BR$4,$M$4:$Q$4,0))),0))</f>
        <v/>
      </c>
      <c r="BS273" s="269">
        <f>IF(BS$7="Actual","",IFERROR((INDEX($M273:$Q273,,MATCH(BS$4,$M$4:$Q$4,0))),0))</f>
        <v/>
      </c>
      <c r="BT273" s="269">
        <f>IF(BT$7="Actual","",IFERROR((INDEX($M273:$Q273,,MATCH(BT$4,$M$4:$Q$4,0))),0))</f>
        <v/>
      </c>
      <c r="BU273" s="269">
        <f>IF(BU$7="Actual","",IFERROR((INDEX($M273:$Q273,,MATCH(BU$4,$M$4:$Q$4,0))),0))</f>
        <v/>
      </c>
      <c r="BV273" s="269">
        <f>IF(BV$7="Actual","",IFERROR((INDEX($M273:$Q273,,MATCH(BV$4,$M$4:$Q$4,0))),0))</f>
        <v/>
      </c>
      <c r="BW273" s="269">
        <f>IF(BW$7="Actual","",IFERROR((INDEX($M273:$Q273,,MATCH(BW$4,$M$4:$Q$4,0))),0))</f>
        <v/>
      </c>
      <c r="BX273" s="269">
        <f>IF(BX$7="Actual","",IFERROR((INDEX($M273:$Q273,,MATCH(BX$4,$M$4:$Q$4,0))),0))</f>
        <v/>
      </c>
      <c r="BY273" s="269">
        <f>IF(BY$7="Actual","",IFERROR((INDEX($M273:$Q273,,MATCH(BY$4,$M$4:$Q$4,0))),0))</f>
        <v/>
      </c>
      <c r="BZ273" s="269">
        <f>IF(BZ$7="Actual","",IFERROR((INDEX($M273:$Q273,,MATCH(BZ$4,$M$4:$Q$4,0))),0))</f>
        <v/>
      </c>
      <c r="CA273" s="269">
        <f>IF(CA$7="Actual","",IFERROR((INDEX($M273:$Q273,,MATCH(CA$4,$M$4:$Q$4,0))),0))</f>
        <v/>
      </c>
    </row>
    <row r="274" ht="12" customHeight="1" s="227">
      <c r="A274" s="244" t="n"/>
      <c r="B274" s="244" t="n"/>
      <c r="C274" s="244" t="n"/>
      <c r="H274" s="4">
        <f>i_Setup!U51</f>
        <v/>
      </c>
      <c r="I274" s="27" t="inlineStr">
        <is>
          <t>no</t>
        </is>
      </c>
      <c r="K274" s="6" t="n"/>
      <c r="M274" s="267">
        <f>IF(M$7="Actual","",i_Assumptions!M92)</f>
        <v/>
      </c>
      <c r="N274" s="267">
        <f>IF(N$7="Actual","",i_Assumptions!N92)</f>
        <v/>
      </c>
      <c r="O274" s="267">
        <f>IF(O$7="Actual","",i_Assumptions!O92)</f>
        <v/>
      </c>
      <c r="P274" s="267">
        <f>IF(P$7="Actual","",i_Assumptions!P92)</f>
        <v/>
      </c>
      <c r="Q274" s="267">
        <f>IF(Q$7="Actual","",i_Assumptions!Q92)</f>
        <v/>
      </c>
      <c r="R274" s="268" t="n"/>
      <c r="S274" s="268" t="n"/>
      <c r="T274" s="269">
        <f>IF(T$7="Actual","",IFERROR((INDEX($M274:$Q274,,MATCH(T$4,$M$4:$Q$4,0))),0))</f>
        <v/>
      </c>
      <c r="U274" s="269">
        <f>IF(U$7="Actual","",IFERROR((INDEX($M274:$Q274,,MATCH(U$4,$M$4:$Q$4,0))),0))</f>
        <v/>
      </c>
      <c r="V274" s="269">
        <f>IF(V$7="Actual","",IFERROR((INDEX($M274:$Q274,,MATCH(V$4,$M$4:$Q$4,0))),0))</f>
        <v/>
      </c>
      <c r="W274" s="269">
        <f>IF(W$7="Actual","",IFERROR((INDEX($M274:$Q274,,MATCH(W$4,$M$4:$Q$4,0))),0))</f>
        <v/>
      </c>
      <c r="X274" s="269">
        <f>IF(X$7="Actual","",IFERROR((INDEX($M274:$Q274,,MATCH(X$4,$M$4:$Q$4,0))),0))</f>
        <v/>
      </c>
      <c r="Y274" s="269">
        <f>IF(Y$7="Actual","",IFERROR((INDEX($M274:$Q274,,MATCH(Y$4,$M$4:$Q$4,0))),0))</f>
        <v/>
      </c>
      <c r="Z274" s="269">
        <f>IF(Z$7="Actual","",IFERROR((INDEX($M274:$Q274,,MATCH(Z$4,$M$4:$Q$4,0))),0))</f>
        <v/>
      </c>
      <c r="AA274" s="269">
        <f>IF(AA$7="Actual","",IFERROR((INDEX($M274:$Q274,,MATCH(AA$4,$M$4:$Q$4,0))),0))</f>
        <v/>
      </c>
      <c r="AB274" s="269">
        <f>IF(AB$7="Actual","",IFERROR((INDEX($M274:$Q274,,MATCH(AB$4,$M$4:$Q$4,0))),0))</f>
        <v/>
      </c>
      <c r="AC274" s="269">
        <f>IF(AC$7="Actual","",IFERROR((INDEX($M274:$Q274,,MATCH(AC$4,$M$4:$Q$4,0))),0))</f>
        <v/>
      </c>
      <c r="AD274" s="269">
        <f>IF(AD$7="Actual","",IFERROR((INDEX($M274:$Q274,,MATCH(AD$4,$M$4:$Q$4,0))),0))</f>
        <v/>
      </c>
      <c r="AE274" s="269">
        <f>IF(AE$7="Actual","",IFERROR((INDEX($M274:$Q274,,MATCH(AE$4,$M$4:$Q$4,0))),0))</f>
        <v/>
      </c>
      <c r="AF274" s="269">
        <f>IF(AF$7="Actual","",IFERROR((INDEX($M274:$Q274,,MATCH(AF$4,$M$4:$Q$4,0))),0))</f>
        <v/>
      </c>
      <c r="AG274" s="269">
        <f>IF(AG$7="Actual","",IFERROR((INDEX($M274:$Q274,,MATCH(AG$4,$M$4:$Q$4,0))),0))</f>
        <v/>
      </c>
      <c r="AH274" s="269">
        <f>IF(AH$7="Actual","",IFERROR((INDEX($M274:$Q274,,MATCH(AH$4,$M$4:$Q$4,0))),0))</f>
        <v/>
      </c>
      <c r="AI274" s="269">
        <f>IF(AI$7="Actual","",IFERROR((INDEX($M274:$Q274,,MATCH(AI$4,$M$4:$Q$4,0))),0))</f>
        <v/>
      </c>
      <c r="AJ274" s="269">
        <f>IF(AJ$7="Actual","",IFERROR((INDEX($M274:$Q274,,MATCH(AJ$4,$M$4:$Q$4,0))),0))</f>
        <v/>
      </c>
      <c r="AK274" s="269">
        <f>IF(AK$7="Actual","",IFERROR((INDEX($M274:$Q274,,MATCH(AK$4,$M$4:$Q$4,0))),0))</f>
        <v/>
      </c>
      <c r="AL274" s="269">
        <f>IF(AL$7="Actual","",IFERROR((INDEX($M274:$Q274,,MATCH(AL$4,$M$4:$Q$4,0))),0))</f>
        <v/>
      </c>
      <c r="AM274" s="269">
        <f>IF(AM$7="Actual","",IFERROR((INDEX($M274:$Q274,,MATCH(AM$4,$M$4:$Q$4,0))),0))</f>
        <v/>
      </c>
      <c r="AN274" s="269">
        <f>IF(AN$7="Actual","",IFERROR((INDEX($M274:$Q274,,MATCH(AN$4,$M$4:$Q$4,0))),0))</f>
        <v/>
      </c>
      <c r="AO274" s="269">
        <f>IF(AO$7="Actual","",IFERROR((INDEX($M274:$Q274,,MATCH(AO$4,$M$4:$Q$4,0))),0))</f>
        <v/>
      </c>
      <c r="AP274" s="269">
        <f>IF(AP$7="Actual","",IFERROR((INDEX($M274:$Q274,,MATCH(AP$4,$M$4:$Q$4,0))),0))</f>
        <v/>
      </c>
      <c r="AQ274" s="269">
        <f>IF(AQ$7="Actual","",IFERROR((INDEX($M274:$Q274,,MATCH(AQ$4,$M$4:$Q$4,0))),0))</f>
        <v/>
      </c>
      <c r="AR274" s="269">
        <f>IF(AR$7="Actual","",IFERROR((INDEX($M274:$Q274,,MATCH(AR$4,$M$4:$Q$4,0))),0))</f>
        <v/>
      </c>
      <c r="AS274" s="269">
        <f>IF(AS$7="Actual","",IFERROR((INDEX($M274:$Q274,,MATCH(AS$4,$M$4:$Q$4,0))),0))</f>
        <v/>
      </c>
      <c r="AT274" s="269">
        <f>IF(AT$7="Actual","",IFERROR((INDEX($M274:$Q274,,MATCH(AT$4,$M$4:$Q$4,0))),0))</f>
        <v/>
      </c>
      <c r="AU274" s="269">
        <f>IF(AU$7="Actual","",IFERROR((INDEX($M274:$Q274,,MATCH(AU$4,$M$4:$Q$4,0))),0))</f>
        <v/>
      </c>
      <c r="AV274" s="269">
        <f>IF(AV$7="Actual","",IFERROR((INDEX($M274:$Q274,,MATCH(AV$4,$M$4:$Q$4,0))),0))</f>
        <v/>
      </c>
      <c r="AW274" s="269">
        <f>IF(AW$7="Actual","",IFERROR((INDEX($M274:$Q274,,MATCH(AW$4,$M$4:$Q$4,0))),0))</f>
        <v/>
      </c>
      <c r="AX274" s="269">
        <f>IF(AX$7="Actual","",IFERROR((INDEX($M274:$Q274,,MATCH(AX$4,$M$4:$Q$4,0))),0))</f>
        <v/>
      </c>
      <c r="AY274" s="269">
        <f>IF(AY$7="Actual","",IFERROR((INDEX($M274:$Q274,,MATCH(AY$4,$M$4:$Q$4,0))),0))</f>
        <v/>
      </c>
      <c r="AZ274" s="269">
        <f>IF(AZ$7="Actual","",IFERROR((INDEX($M274:$Q274,,MATCH(AZ$4,$M$4:$Q$4,0))),0))</f>
        <v/>
      </c>
      <c r="BA274" s="269">
        <f>IF(BA$7="Actual","",IFERROR((INDEX($M274:$Q274,,MATCH(BA$4,$M$4:$Q$4,0))),0))</f>
        <v/>
      </c>
      <c r="BB274" s="269">
        <f>IF(BB$7="Actual","",IFERROR((INDEX($M274:$Q274,,MATCH(BB$4,$M$4:$Q$4,0))),0))</f>
        <v/>
      </c>
      <c r="BC274" s="269">
        <f>IF(BC$7="Actual","",IFERROR((INDEX($M274:$Q274,,MATCH(BC$4,$M$4:$Q$4,0))),0))</f>
        <v/>
      </c>
      <c r="BD274" s="269">
        <f>IF(BD$7="Actual","",IFERROR((INDEX($M274:$Q274,,MATCH(BD$4,$M$4:$Q$4,0))),0))</f>
        <v/>
      </c>
      <c r="BE274" s="269">
        <f>IF(BE$7="Actual","",IFERROR((INDEX($M274:$Q274,,MATCH(BE$4,$M$4:$Q$4,0))),0))</f>
        <v/>
      </c>
      <c r="BF274" s="269">
        <f>IF(BF$7="Actual","",IFERROR((INDEX($M274:$Q274,,MATCH(BF$4,$M$4:$Q$4,0))),0))</f>
        <v/>
      </c>
      <c r="BG274" s="269">
        <f>IF(BG$7="Actual","",IFERROR((INDEX($M274:$Q274,,MATCH(BG$4,$M$4:$Q$4,0))),0))</f>
        <v/>
      </c>
      <c r="BH274" s="269">
        <f>IF(BH$7="Actual","",IFERROR((INDEX($M274:$Q274,,MATCH(BH$4,$M$4:$Q$4,0))),0))</f>
        <v/>
      </c>
      <c r="BI274" s="269">
        <f>IF(BI$7="Actual","",IFERROR((INDEX($M274:$Q274,,MATCH(BI$4,$M$4:$Q$4,0))),0))</f>
        <v/>
      </c>
      <c r="BJ274" s="269">
        <f>IF(BJ$7="Actual","",IFERROR((INDEX($M274:$Q274,,MATCH(BJ$4,$M$4:$Q$4,0))),0))</f>
        <v/>
      </c>
      <c r="BK274" s="269">
        <f>IF(BK$7="Actual","",IFERROR((INDEX($M274:$Q274,,MATCH(BK$4,$M$4:$Q$4,0))),0))</f>
        <v/>
      </c>
      <c r="BL274" s="269">
        <f>IF(BL$7="Actual","",IFERROR((INDEX($M274:$Q274,,MATCH(BL$4,$M$4:$Q$4,0))),0))</f>
        <v/>
      </c>
      <c r="BM274" s="269">
        <f>IF(BM$7="Actual","",IFERROR((INDEX($M274:$Q274,,MATCH(BM$4,$M$4:$Q$4,0))),0))</f>
        <v/>
      </c>
      <c r="BN274" s="269">
        <f>IF(BN$7="Actual","",IFERROR((INDEX($M274:$Q274,,MATCH(BN$4,$M$4:$Q$4,0))),0))</f>
        <v/>
      </c>
      <c r="BO274" s="269">
        <f>IF(BO$7="Actual","",IFERROR((INDEX($M274:$Q274,,MATCH(BO$4,$M$4:$Q$4,0))),0))</f>
        <v/>
      </c>
      <c r="BP274" s="269">
        <f>IF(BP$7="Actual","",IFERROR((INDEX($M274:$Q274,,MATCH(BP$4,$M$4:$Q$4,0))),0))</f>
        <v/>
      </c>
      <c r="BQ274" s="269">
        <f>IF(BQ$7="Actual","",IFERROR((INDEX($M274:$Q274,,MATCH(BQ$4,$M$4:$Q$4,0))),0))</f>
        <v/>
      </c>
      <c r="BR274" s="269">
        <f>IF(BR$7="Actual","",IFERROR((INDEX($M274:$Q274,,MATCH(BR$4,$M$4:$Q$4,0))),0))</f>
        <v/>
      </c>
      <c r="BS274" s="269">
        <f>IF(BS$7="Actual","",IFERROR((INDEX($M274:$Q274,,MATCH(BS$4,$M$4:$Q$4,0))),0))</f>
        <v/>
      </c>
      <c r="BT274" s="269">
        <f>IF(BT$7="Actual","",IFERROR((INDEX($M274:$Q274,,MATCH(BT$4,$M$4:$Q$4,0))),0))</f>
        <v/>
      </c>
      <c r="BU274" s="269">
        <f>IF(BU$7="Actual","",IFERROR((INDEX($M274:$Q274,,MATCH(BU$4,$M$4:$Q$4,0))),0))</f>
        <v/>
      </c>
      <c r="BV274" s="269">
        <f>IF(BV$7="Actual","",IFERROR((INDEX($M274:$Q274,,MATCH(BV$4,$M$4:$Q$4,0))),0))</f>
        <v/>
      </c>
      <c r="BW274" s="269">
        <f>IF(BW$7="Actual","",IFERROR((INDEX($M274:$Q274,,MATCH(BW$4,$M$4:$Q$4,0))),0))</f>
        <v/>
      </c>
      <c r="BX274" s="269">
        <f>IF(BX$7="Actual","",IFERROR((INDEX($M274:$Q274,,MATCH(BX$4,$M$4:$Q$4,0))),0))</f>
        <v/>
      </c>
      <c r="BY274" s="269">
        <f>IF(BY$7="Actual","",IFERROR((INDEX($M274:$Q274,,MATCH(BY$4,$M$4:$Q$4,0))),0))</f>
        <v/>
      </c>
      <c r="BZ274" s="269">
        <f>IF(BZ$7="Actual","",IFERROR((INDEX($M274:$Q274,,MATCH(BZ$4,$M$4:$Q$4,0))),0))</f>
        <v/>
      </c>
      <c r="CA274" s="269">
        <f>IF(CA$7="Actual","",IFERROR((INDEX($M274:$Q274,,MATCH(CA$4,$M$4:$Q$4,0))),0))</f>
        <v/>
      </c>
    </row>
    <row r="275" ht="12" customHeight="1" s="227">
      <c r="A275" s="244" t="n"/>
      <c r="B275" s="244" t="n"/>
      <c r="C275" s="244" t="n"/>
      <c r="H275" s="4">
        <f>i_Setup!U52</f>
        <v/>
      </c>
      <c r="I275" s="27" t="inlineStr">
        <is>
          <t>no</t>
        </is>
      </c>
      <c r="K275" s="6" t="n"/>
      <c r="M275" s="267">
        <f>IF(M$7="Actual","",i_Assumptions!M93)</f>
        <v/>
      </c>
      <c r="N275" s="267">
        <f>IF(N$7="Actual","",i_Assumptions!N93)</f>
        <v/>
      </c>
      <c r="O275" s="267">
        <f>IF(O$7="Actual","",i_Assumptions!O93)</f>
        <v/>
      </c>
      <c r="P275" s="267">
        <f>IF(P$7="Actual","",i_Assumptions!P93)</f>
        <v/>
      </c>
      <c r="Q275" s="267">
        <f>IF(Q$7="Actual","",i_Assumptions!Q93)</f>
        <v/>
      </c>
      <c r="R275" s="268" t="n"/>
      <c r="S275" s="268" t="n"/>
      <c r="T275" s="269">
        <f>IF(T$7="Actual","",IFERROR((INDEX($M275:$Q275,,MATCH(T$4,$M$4:$Q$4,0))),0))</f>
        <v/>
      </c>
      <c r="U275" s="269">
        <f>IF(U$7="Actual","",IFERROR((INDEX($M275:$Q275,,MATCH(U$4,$M$4:$Q$4,0))),0))</f>
        <v/>
      </c>
      <c r="V275" s="269">
        <f>IF(V$7="Actual","",IFERROR((INDEX($M275:$Q275,,MATCH(V$4,$M$4:$Q$4,0))),0))</f>
        <v/>
      </c>
      <c r="W275" s="269">
        <f>IF(W$7="Actual","",IFERROR((INDEX($M275:$Q275,,MATCH(W$4,$M$4:$Q$4,0))),0))</f>
        <v/>
      </c>
      <c r="X275" s="269">
        <f>IF(X$7="Actual","",IFERROR((INDEX($M275:$Q275,,MATCH(X$4,$M$4:$Q$4,0))),0))</f>
        <v/>
      </c>
      <c r="Y275" s="269">
        <f>IF(Y$7="Actual","",IFERROR((INDEX($M275:$Q275,,MATCH(Y$4,$M$4:$Q$4,0))),0))</f>
        <v/>
      </c>
      <c r="Z275" s="269">
        <f>IF(Z$7="Actual","",IFERROR((INDEX($M275:$Q275,,MATCH(Z$4,$M$4:$Q$4,0))),0))</f>
        <v/>
      </c>
      <c r="AA275" s="269">
        <f>IF(AA$7="Actual","",IFERROR((INDEX($M275:$Q275,,MATCH(AA$4,$M$4:$Q$4,0))),0))</f>
        <v/>
      </c>
      <c r="AB275" s="269">
        <f>IF(AB$7="Actual","",IFERROR((INDEX($M275:$Q275,,MATCH(AB$4,$M$4:$Q$4,0))),0))</f>
        <v/>
      </c>
      <c r="AC275" s="269">
        <f>IF(AC$7="Actual","",IFERROR((INDEX($M275:$Q275,,MATCH(AC$4,$M$4:$Q$4,0))),0))</f>
        <v/>
      </c>
      <c r="AD275" s="269">
        <f>IF(AD$7="Actual","",IFERROR((INDEX($M275:$Q275,,MATCH(AD$4,$M$4:$Q$4,0))),0))</f>
        <v/>
      </c>
      <c r="AE275" s="269">
        <f>IF(AE$7="Actual","",IFERROR((INDEX($M275:$Q275,,MATCH(AE$4,$M$4:$Q$4,0))),0))</f>
        <v/>
      </c>
      <c r="AF275" s="269">
        <f>IF(AF$7="Actual","",IFERROR((INDEX($M275:$Q275,,MATCH(AF$4,$M$4:$Q$4,0))),0))</f>
        <v/>
      </c>
      <c r="AG275" s="269">
        <f>IF(AG$7="Actual","",IFERROR((INDEX($M275:$Q275,,MATCH(AG$4,$M$4:$Q$4,0))),0))</f>
        <v/>
      </c>
      <c r="AH275" s="269">
        <f>IF(AH$7="Actual","",IFERROR((INDEX($M275:$Q275,,MATCH(AH$4,$M$4:$Q$4,0))),0))</f>
        <v/>
      </c>
      <c r="AI275" s="269">
        <f>IF(AI$7="Actual","",IFERROR((INDEX($M275:$Q275,,MATCH(AI$4,$M$4:$Q$4,0))),0))</f>
        <v/>
      </c>
      <c r="AJ275" s="269">
        <f>IF(AJ$7="Actual","",IFERROR((INDEX($M275:$Q275,,MATCH(AJ$4,$M$4:$Q$4,0))),0))</f>
        <v/>
      </c>
      <c r="AK275" s="269">
        <f>IF(AK$7="Actual","",IFERROR((INDEX($M275:$Q275,,MATCH(AK$4,$M$4:$Q$4,0))),0))</f>
        <v/>
      </c>
      <c r="AL275" s="269">
        <f>IF(AL$7="Actual","",IFERROR((INDEX($M275:$Q275,,MATCH(AL$4,$M$4:$Q$4,0))),0))</f>
        <v/>
      </c>
      <c r="AM275" s="269">
        <f>IF(AM$7="Actual","",IFERROR((INDEX($M275:$Q275,,MATCH(AM$4,$M$4:$Q$4,0))),0))</f>
        <v/>
      </c>
      <c r="AN275" s="269">
        <f>IF(AN$7="Actual","",IFERROR((INDEX($M275:$Q275,,MATCH(AN$4,$M$4:$Q$4,0))),0))</f>
        <v/>
      </c>
      <c r="AO275" s="269">
        <f>IF(AO$7="Actual","",IFERROR((INDEX($M275:$Q275,,MATCH(AO$4,$M$4:$Q$4,0))),0))</f>
        <v/>
      </c>
      <c r="AP275" s="269">
        <f>IF(AP$7="Actual","",IFERROR((INDEX($M275:$Q275,,MATCH(AP$4,$M$4:$Q$4,0))),0))</f>
        <v/>
      </c>
      <c r="AQ275" s="269">
        <f>IF(AQ$7="Actual","",IFERROR((INDEX($M275:$Q275,,MATCH(AQ$4,$M$4:$Q$4,0))),0))</f>
        <v/>
      </c>
      <c r="AR275" s="269">
        <f>IF(AR$7="Actual","",IFERROR((INDEX($M275:$Q275,,MATCH(AR$4,$M$4:$Q$4,0))),0))</f>
        <v/>
      </c>
      <c r="AS275" s="269">
        <f>IF(AS$7="Actual","",IFERROR((INDEX($M275:$Q275,,MATCH(AS$4,$M$4:$Q$4,0))),0))</f>
        <v/>
      </c>
      <c r="AT275" s="269">
        <f>IF(AT$7="Actual","",IFERROR((INDEX($M275:$Q275,,MATCH(AT$4,$M$4:$Q$4,0))),0))</f>
        <v/>
      </c>
      <c r="AU275" s="269">
        <f>IF(AU$7="Actual","",IFERROR((INDEX($M275:$Q275,,MATCH(AU$4,$M$4:$Q$4,0))),0))</f>
        <v/>
      </c>
      <c r="AV275" s="269">
        <f>IF(AV$7="Actual","",IFERROR((INDEX($M275:$Q275,,MATCH(AV$4,$M$4:$Q$4,0))),0))</f>
        <v/>
      </c>
      <c r="AW275" s="269">
        <f>IF(AW$7="Actual","",IFERROR((INDEX($M275:$Q275,,MATCH(AW$4,$M$4:$Q$4,0))),0))</f>
        <v/>
      </c>
      <c r="AX275" s="269">
        <f>IF(AX$7="Actual","",IFERROR((INDEX($M275:$Q275,,MATCH(AX$4,$M$4:$Q$4,0))),0))</f>
        <v/>
      </c>
      <c r="AY275" s="269">
        <f>IF(AY$7="Actual","",IFERROR((INDEX($M275:$Q275,,MATCH(AY$4,$M$4:$Q$4,0))),0))</f>
        <v/>
      </c>
      <c r="AZ275" s="269">
        <f>IF(AZ$7="Actual","",IFERROR((INDEX($M275:$Q275,,MATCH(AZ$4,$M$4:$Q$4,0))),0))</f>
        <v/>
      </c>
      <c r="BA275" s="269">
        <f>IF(BA$7="Actual","",IFERROR((INDEX($M275:$Q275,,MATCH(BA$4,$M$4:$Q$4,0))),0))</f>
        <v/>
      </c>
      <c r="BB275" s="269">
        <f>IF(BB$7="Actual","",IFERROR((INDEX($M275:$Q275,,MATCH(BB$4,$M$4:$Q$4,0))),0))</f>
        <v/>
      </c>
      <c r="BC275" s="269">
        <f>IF(BC$7="Actual","",IFERROR((INDEX($M275:$Q275,,MATCH(BC$4,$M$4:$Q$4,0))),0))</f>
        <v/>
      </c>
      <c r="BD275" s="269">
        <f>IF(BD$7="Actual","",IFERROR((INDEX($M275:$Q275,,MATCH(BD$4,$M$4:$Q$4,0))),0))</f>
        <v/>
      </c>
      <c r="BE275" s="269">
        <f>IF(BE$7="Actual","",IFERROR((INDEX($M275:$Q275,,MATCH(BE$4,$M$4:$Q$4,0))),0))</f>
        <v/>
      </c>
      <c r="BF275" s="269">
        <f>IF(BF$7="Actual","",IFERROR((INDEX($M275:$Q275,,MATCH(BF$4,$M$4:$Q$4,0))),0))</f>
        <v/>
      </c>
      <c r="BG275" s="269">
        <f>IF(BG$7="Actual","",IFERROR((INDEX($M275:$Q275,,MATCH(BG$4,$M$4:$Q$4,0))),0))</f>
        <v/>
      </c>
      <c r="BH275" s="269">
        <f>IF(BH$7="Actual","",IFERROR((INDEX($M275:$Q275,,MATCH(BH$4,$M$4:$Q$4,0))),0))</f>
        <v/>
      </c>
      <c r="BI275" s="269">
        <f>IF(BI$7="Actual","",IFERROR((INDEX($M275:$Q275,,MATCH(BI$4,$M$4:$Q$4,0))),0))</f>
        <v/>
      </c>
      <c r="BJ275" s="269">
        <f>IF(BJ$7="Actual","",IFERROR((INDEX($M275:$Q275,,MATCH(BJ$4,$M$4:$Q$4,0))),0))</f>
        <v/>
      </c>
      <c r="BK275" s="269">
        <f>IF(BK$7="Actual","",IFERROR((INDEX($M275:$Q275,,MATCH(BK$4,$M$4:$Q$4,0))),0))</f>
        <v/>
      </c>
      <c r="BL275" s="269">
        <f>IF(BL$7="Actual","",IFERROR((INDEX($M275:$Q275,,MATCH(BL$4,$M$4:$Q$4,0))),0))</f>
        <v/>
      </c>
      <c r="BM275" s="269">
        <f>IF(BM$7="Actual","",IFERROR((INDEX($M275:$Q275,,MATCH(BM$4,$M$4:$Q$4,0))),0))</f>
        <v/>
      </c>
      <c r="BN275" s="269">
        <f>IF(BN$7="Actual","",IFERROR((INDEX($M275:$Q275,,MATCH(BN$4,$M$4:$Q$4,0))),0))</f>
        <v/>
      </c>
      <c r="BO275" s="269">
        <f>IF(BO$7="Actual","",IFERROR((INDEX($M275:$Q275,,MATCH(BO$4,$M$4:$Q$4,0))),0))</f>
        <v/>
      </c>
      <c r="BP275" s="269">
        <f>IF(BP$7="Actual","",IFERROR((INDEX($M275:$Q275,,MATCH(BP$4,$M$4:$Q$4,0))),0))</f>
        <v/>
      </c>
      <c r="BQ275" s="269">
        <f>IF(BQ$7="Actual","",IFERROR((INDEX($M275:$Q275,,MATCH(BQ$4,$M$4:$Q$4,0))),0))</f>
        <v/>
      </c>
      <c r="BR275" s="269">
        <f>IF(BR$7="Actual","",IFERROR((INDEX($M275:$Q275,,MATCH(BR$4,$M$4:$Q$4,0))),0))</f>
        <v/>
      </c>
      <c r="BS275" s="269">
        <f>IF(BS$7="Actual","",IFERROR((INDEX($M275:$Q275,,MATCH(BS$4,$M$4:$Q$4,0))),0))</f>
        <v/>
      </c>
      <c r="BT275" s="269">
        <f>IF(BT$7="Actual","",IFERROR((INDEX($M275:$Q275,,MATCH(BT$4,$M$4:$Q$4,0))),0))</f>
        <v/>
      </c>
      <c r="BU275" s="269">
        <f>IF(BU$7="Actual","",IFERROR((INDEX($M275:$Q275,,MATCH(BU$4,$M$4:$Q$4,0))),0))</f>
        <v/>
      </c>
      <c r="BV275" s="269">
        <f>IF(BV$7="Actual","",IFERROR((INDEX($M275:$Q275,,MATCH(BV$4,$M$4:$Q$4,0))),0))</f>
        <v/>
      </c>
      <c r="BW275" s="269">
        <f>IF(BW$7="Actual","",IFERROR((INDEX($M275:$Q275,,MATCH(BW$4,$M$4:$Q$4,0))),0))</f>
        <v/>
      </c>
      <c r="BX275" s="269">
        <f>IF(BX$7="Actual","",IFERROR((INDEX($M275:$Q275,,MATCH(BX$4,$M$4:$Q$4,0))),0))</f>
        <v/>
      </c>
      <c r="BY275" s="269">
        <f>IF(BY$7="Actual","",IFERROR((INDEX($M275:$Q275,,MATCH(BY$4,$M$4:$Q$4,0))),0))</f>
        <v/>
      </c>
      <c r="BZ275" s="269">
        <f>IF(BZ$7="Actual","",IFERROR((INDEX($M275:$Q275,,MATCH(BZ$4,$M$4:$Q$4,0))),0))</f>
        <v/>
      </c>
      <c r="CA275" s="269">
        <f>IF(CA$7="Actual","",IFERROR((INDEX($M275:$Q275,,MATCH(CA$4,$M$4:$Q$4,0))),0))</f>
        <v/>
      </c>
    </row>
    <row r="276" ht="12" customHeight="1" s="227">
      <c r="A276" s="244" t="n"/>
      <c r="B276" s="244" t="n"/>
      <c r="C276" s="244" t="n"/>
      <c r="H276" s="4">
        <f>i_Setup!U53</f>
        <v/>
      </c>
      <c r="I276" s="27" t="inlineStr">
        <is>
          <t>no</t>
        </is>
      </c>
      <c r="K276" s="6" t="n"/>
      <c r="M276" s="267">
        <f>IF(M$7="Actual","",i_Assumptions!M94)</f>
        <v/>
      </c>
      <c r="N276" s="267">
        <f>IF(N$7="Actual","",i_Assumptions!N94)</f>
        <v/>
      </c>
      <c r="O276" s="267">
        <f>IF(O$7="Actual","",i_Assumptions!O94)</f>
        <v/>
      </c>
      <c r="P276" s="267">
        <f>IF(P$7="Actual","",i_Assumptions!P94)</f>
        <v/>
      </c>
      <c r="Q276" s="267">
        <f>IF(Q$7="Actual","",i_Assumptions!Q94)</f>
        <v/>
      </c>
      <c r="R276" s="268" t="n"/>
      <c r="S276" s="268" t="n"/>
      <c r="T276" s="269">
        <f>IF(T$7="Actual","",IFERROR((INDEX($M276:$Q276,,MATCH(T$4,$M$4:$Q$4,0))),0))</f>
        <v/>
      </c>
      <c r="U276" s="269">
        <f>IF(U$7="Actual","",IFERROR((INDEX($M276:$Q276,,MATCH(U$4,$M$4:$Q$4,0))),0))</f>
        <v/>
      </c>
      <c r="V276" s="269">
        <f>IF(V$7="Actual","",IFERROR((INDEX($M276:$Q276,,MATCH(V$4,$M$4:$Q$4,0))),0))</f>
        <v/>
      </c>
      <c r="W276" s="269">
        <f>IF(W$7="Actual","",IFERROR((INDEX($M276:$Q276,,MATCH(W$4,$M$4:$Q$4,0))),0))</f>
        <v/>
      </c>
      <c r="X276" s="269">
        <f>IF(X$7="Actual","",IFERROR((INDEX($M276:$Q276,,MATCH(X$4,$M$4:$Q$4,0))),0))</f>
        <v/>
      </c>
      <c r="Y276" s="269">
        <f>IF(Y$7="Actual","",IFERROR((INDEX($M276:$Q276,,MATCH(Y$4,$M$4:$Q$4,0))),0))</f>
        <v/>
      </c>
      <c r="Z276" s="269">
        <f>IF(Z$7="Actual","",IFERROR((INDEX($M276:$Q276,,MATCH(Z$4,$M$4:$Q$4,0))),0))</f>
        <v/>
      </c>
      <c r="AA276" s="269">
        <f>IF(AA$7="Actual","",IFERROR((INDEX($M276:$Q276,,MATCH(AA$4,$M$4:$Q$4,0))),0))</f>
        <v/>
      </c>
      <c r="AB276" s="269">
        <f>IF(AB$7="Actual","",IFERROR((INDEX($M276:$Q276,,MATCH(AB$4,$M$4:$Q$4,0))),0))</f>
        <v/>
      </c>
      <c r="AC276" s="269">
        <f>IF(AC$7="Actual","",IFERROR((INDEX($M276:$Q276,,MATCH(AC$4,$M$4:$Q$4,0))),0))</f>
        <v/>
      </c>
      <c r="AD276" s="269">
        <f>IF(AD$7="Actual","",IFERROR((INDEX($M276:$Q276,,MATCH(AD$4,$M$4:$Q$4,0))),0))</f>
        <v/>
      </c>
      <c r="AE276" s="269">
        <f>IF(AE$7="Actual","",IFERROR((INDEX($M276:$Q276,,MATCH(AE$4,$M$4:$Q$4,0))),0))</f>
        <v/>
      </c>
      <c r="AF276" s="269">
        <f>IF(AF$7="Actual","",IFERROR((INDEX($M276:$Q276,,MATCH(AF$4,$M$4:$Q$4,0))),0))</f>
        <v/>
      </c>
      <c r="AG276" s="269">
        <f>IF(AG$7="Actual","",IFERROR((INDEX($M276:$Q276,,MATCH(AG$4,$M$4:$Q$4,0))),0))</f>
        <v/>
      </c>
      <c r="AH276" s="269">
        <f>IF(AH$7="Actual","",IFERROR((INDEX($M276:$Q276,,MATCH(AH$4,$M$4:$Q$4,0))),0))</f>
        <v/>
      </c>
      <c r="AI276" s="269">
        <f>IF(AI$7="Actual","",IFERROR((INDEX($M276:$Q276,,MATCH(AI$4,$M$4:$Q$4,0))),0))</f>
        <v/>
      </c>
      <c r="AJ276" s="269">
        <f>IF(AJ$7="Actual","",IFERROR((INDEX($M276:$Q276,,MATCH(AJ$4,$M$4:$Q$4,0))),0))</f>
        <v/>
      </c>
      <c r="AK276" s="269">
        <f>IF(AK$7="Actual","",IFERROR((INDEX($M276:$Q276,,MATCH(AK$4,$M$4:$Q$4,0))),0))</f>
        <v/>
      </c>
      <c r="AL276" s="269">
        <f>IF(AL$7="Actual","",IFERROR((INDEX($M276:$Q276,,MATCH(AL$4,$M$4:$Q$4,0))),0))</f>
        <v/>
      </c>
      <c r="AM276" s="269">
        <f>IF(AM$7="Actual","",IFERROR((INDEX($M276:$Q276,,MATCH(AM$4,$M$4:$Q$4,0))),0))</f>
        <v/>
      </c>
      <c r="AN276" s="269">
        <f>IF(AN$7="Actual","",IFERROR((INDEX($M276:$Q276,,MATCH(AN$4,$M$4:$Q$4,0))),0))</f>
        <v/>
      </c>
      <c r="AO276" s="269">
        <f>IF(AO$7="Actual","",IFERROR((INDEX($M276:$Q276,,MATCH(AO$4,$M$4:$Q$4,0))),0))</f>
        <v/>
      </c>
      <c r="AP276" s="269">
        <f>IF(AP$7="Actual","",IFERROR((INDEX($M276:$Q276,,MATCH(AP$4,$M$4:$Q$4,0))),0))</f>
        <v/>
      </c>
      <c r="AQ276" s="269">
        <f>IF(AQ$7="Actual","",IFERROR((INDEX($M276:$Q276,,MATCH(AQ$4,$M$4:$Q$4,0))),0))</f>
        <v/>
      </c>
      <c r="AR276" s="269">
        <f>IF(AR$7="Actual","",IFERROR((INDEX($M276:$Q276,,MATCH(AR$4,$M$4:$Q$4,0))),0))</f>
        <v/>
      </c>
      <c r="AS276" s="269">
        <f>IF(AS$7="Actual","",IFERROR((INDEX($M276:$Q276,,MATCH(AS$4,$M$4:$Q$4,0))),0))</f>
        <v/>
      </c>
      <c r="AT276" s="269">
        <f>IF(AT$7="Actual","",IFERROR((INDEX($M276:$Q276,,MATCH(AT$4,$M$4:$Q$4,0))),0))</f>
        <v/>
      </c>
      <c r="AU276" s="269">
        <f>IF(AU$7="Actual","",IFERROR((INDEX($M276:$Q276,,MATCH(AU$4,$M$4:$Q$4,0))),0))</f>
        <v/>
      </c>
      <c r="AV276" s="269">
        <f>IF(AV$7="Actual","",IFERROR((INDEX($M276:$Q276,,MATCH(AV$4,$M$4:$Q$4,0))),0))</f>
        <v/>
      </c>
      <c r="AW276" s="269">
        <f>IF(AW$7="Actual","",IFERROR((INDEX($M276:$Q276,,MATCH(AW$4,$M$4:$Q$4,0))),0))</f>
        <v/>
      </c>
      <c r="AX276" s="269">
        <f>IF(AX$7="Actual","",IFERROR((INDEX($M276:$Q276,,MATCH(AX$4,$M$4:$Q$4,0))),0))</f>
        <v/>
      </c>
      <c r="AY276" s="269">
        <f>IF(AY$7="Actual","",IFERROR((INDEX($M276:$Q276,,MATCH(AY$4,$M$4:$Q$4,0))),0))</f>
        <v/>
      </c>
      <c r="AZ276" s="269">
        <f>IF(AZ$7="Actual","",IFERROR((INDEX($M276:$Q276,,MATCH(AZ$4,$M$4:$Q$4,0))),0))</f>
        <v/>
      </c>
      <c r="BA276" s="269">
        <f>IF(BA$7="Actual","",IFERROR((INDEX($M276:$Q276,,MATCH(BA$4,$M$4:$Q$4,0))),0))</f>
        <v/>
      </c>
      <c r="BB276" s="269">
        <f>IF(BB$7="Actual","",IFERROR((INDEX($M276:$Q276,,MATCH(BB$4,$M$4:$Q$4,0))),0))</f>
        <v/>
      </c>
      <c r="BC276" s="269">
        <f>IF(BC$7="Actual","",IFERROR((INDEX($M276:$Q276,,MATCH(BC$4,$M$4:$Q$4,0))),0))</f>
        <v/>
      </c>
      <c r="BD276" s="269">
        <f>IF(BD$7="Actual","",IFERROR((INDEX($M276:$Q276,,MATCH(BD$4,$M$4:$Q$4,0))),0))</f>
        <v/>
      </c>
      <c r="BE276" s="269">
        <f>IF(BE$7="Actual","",IFERROR((INDEX($M276:$Q276,,MATCH(BE$4,$M$4:$Q$4,0))),0))</f>
        <v/>
      </c>
      <c r="BF276" s="269">
        <f>IF(BF$7="Actual","",IFERROR((INDEX($M276:$Q276,,MATCH(BF$4,$M$4:$Q$4,0))),0))</f>
        <v/>
      </c>
      <c r="BG276" s="269">
        <f>IF(BG$7="Actual","",IFERROR((INDEX($M276:$Q276,,MATCH(BG$4,$M$4:$Q$4,0))),0))</f>
        <v/>
      </c>
      <c r="BH276" s="269">
        <f>IF(BH$7="Actual","",IFERROR((INDEX($M276:$Q276,,MATCH(BH$4,$M$4:$Q$4,0))),0))</f>
        <v/>
      </c>
      <c r="BI276" s="269">
        <f>IF(BI$7="Actual","",IFERROR((INDEX($M276:$Q276,,MATCH(BI$4,$M$4:$Q$4,0))),0))</f>
        <v/>
      </c>
      <c r="BJ276" s="269">
        <f>IF(BJ$7="Actual","",IFERROR((INDEX($M276:$Q276,,MATCH(BJ$4,$M$4:$Q$4,0))),0))</f>
        <v/>
      </c>
      <c r="BK276" s="269">
        <f>IF(BK$7="Actual","",IFERROR((INDEX($M276:$Q276,,MATCH(BK$4,$M$4:$Q$4,0))),0))</f>
        <v/>
      </c>
      <c r="BL276" s="269">
        <f>IF(BL$7="Actual","",IFERROR((INDEX($M276:$Q276,,MATCH(BL$4,$M$4:$Q$4,0))),0))</f>
        <v/>
      </c>
      <c r="BM276" s="269">
        <f>IF(BM$7="Actual","",IFERROR((INDEX($M276:$Q276,,MATCH(BM$4,$M$4:$Q$4,0))),0))</f>
        <v/>
      </c>
      <c r="BN276" s="269">
        <f>IF(BN$7="Actual","",IFERROR((INDEX($M276:$Q276,,MATCH(BN$4,$M$4:$Q$4,0))),0))</f>
        <v/>
      </c>
      <c r="BO276" s="269">
        <f>IF(BO$7="Actual","",IFERROR((INDEX($M276:$Q276,,MATCH(BO$4,$M$4:$Q$4,0))),0))</f>
        <v/>
      </c>
      <c r="BP276" s="269">
        <f>IF(BP$7="Actual","",IFERROR((INDEX($M276:$Q276,,MATCH(BP$4,$M$4:$Q$4,0))),0))</f>
        <v/>
      </c>
      <c r="BQ276" s="269">
        <f>IF(BQ$7="Actual","",IFERROR((INDEX($M276:$Q276,,MATCH(BQ$4,$M$4:$Q$4,0))),0))</f>
        <v/>
      </c>
      <c r="BR276" s="269">
        <f>IF(BR$7="Actual","",IFERROR((INDEX($M276:$Q276,,MATCH(BR$4,$M$4:$Q$4,0))),0))</f>
        <v/>
      </c>
      <c r="BS276" s="269">
        <f>IF(BS$7="Actual","",IFERROR((INDEX($M276:$Q276,,MATCH(BS$4,$M$4:$Q$4,0))),0))</f>
        <v/>
      </c>
      <c r="BT276" s="269">
        <f>IF(BT$7="Actual","",IFERROR((INDEX($M276:$Q276,,MATCH(BT$4,$M$4:$Q$4,0))),0))</f>
        <v/>
      </c>
      <c r="BU276" s="269">
        <f>IF(BU$7="Actual","",IFERROR((INDEX($M276:$Q276,,MATCH(BU$4,$M$4:$Q$4,0))),0))</f>
        <v/>
      </c>
      <c r="BV276" s="269">
        <f>IF(BV$7="Actual","",IFERROR((INDEX($M276:$Q276,,MATCH(BV$4,$M$4:$Q$4,0))),0))</f>
        <v/>
      </c>
      <c r="BW276" s="269">
        <f>IF(BW$7="Actual","",IFERROR((INDEX($M276:$Q276,,MATCH(BW$4,$M$4:$Q$4,0))),0))</f>
        <v/>
      </c>
      <c r="BX276" s="269">
        <f>IF(BX$7="Actual","",IFERROR((INDEX($M276:$Q276,,MATCH(BX$4,$M$4:$Q$4,0))),0))</f>
        <v/>
      </c>
      <c r="BY276" s="269">
        <f>IF(BY$7="Actual","",IFERROR((INDEX($M276:$Q276,,MATCH(BY$4,$M$4:$Q$4,0))),0))</f>
        <v/>
      </c>
      <c r="BZ276" s="269">
        <f>IF(BZ$7="Actual","",IFERROR((INDEX($M276:$Q276,,MATCH(BZ$4,$M$4:$Q$4,0))),0))</f>
        <v/>
      </c>
      <c r="CA276" s="269">
        <f>IF(CA$7="Actual","",IFERROR((INDEX($M276:$Q276,,MATCH(CA$4,$M$4:$Q$4,0))),0))</f>
        <v/>
      </c>
    </row>
    <row r="277" ht="12" customHeight="1" s="227">
      <c r="A277" s="244" t="n"/>
      <c r="B277" s="244" t="n"/>
      <c r="C277" s="244" t="n"/>
      <c r="K277" s="6" t="n"/>
    </row>
    <row r="278" ht="12" customHeight="1" s="227">
      <c r="A278" s="244" t="n"/>
      <c r="B278" s="244" t="n"/>
      <c r="C278" s="244" t="n"/>
      <c r="H278" s="8">
        <f>i_Setup!U33</f>
        <v/>
      </c>
      <c r="K278" s="6" t="n"/>
    </row>
    <row r="279" ht="12" customHeight="1" s="227">
      <c r="A279" s="244" t="n"/>
      <c r="B279" s="244" t="n"/>
      <c r="C279" s="244" t="n"/>
      <c r="H279" s="4">
        <f>H269</f>
        <v/>
      </c>
      <c r="I279" s="27" t="inlineStr">
        <is>
          <t>no</t>
        </is>
      </c>
      <c r="K279" s="6" t="n"/>
      <c r="M279" s="267">
        <f>IF(M$7="Actual","",i_Assumptions!M127)</f>
        <v/>
      </c>
      <c r="N279" s="267">
        <f>IF(N$7="Actual","",i_Assumptions!N127)</f>
        <v/>
      </c>
      <c r="O279" s="267">
        <f>IF(O$7="Actual","",i_Assumptions!O127)</f>
        <v/>
      </c>
      <c r="P279" s="267">
        <f>IF(P$7="Actual","",i_Assumptions!P127)</f>
        <v/>
      </c>
      <c r="Q279" s="267">
        <f>IF(Q$7="Actual","",i_Assumptions!Q127)</f>
        <v/>
      </c>
      <c r="R279" s="268" t="n"/>
      <c r="S279" s="268" t="n"/>
      <c r="T279" s="269">
        <f>IF(T$7="Actual","",IFERROR((INDEX($M279:$Q279,,MATCH(T$4,$M$4:$Q$4,0))),0))</f>
        <v/>
      </c>
      <c r="U279" s="269">
        <f>IF(U$7="Actual","",IFERROR((INDEX($M279:$Q279,,MATCH(U$4,$M$4:$Q$4,0))),0))</f>
        <v/>
      </c>
      <c r="V279" s="269">
        <f>IF(V$7="Actual","",IFERROR((INDEX($M279:$Q279,,MATCH(V$4,$M$4:$Q$4,0))),0))</f>
        <v/>
      </c>
      <c r="W279" s="269">
        <f>IF(W$7="Actual","",IFERROR((INDEX($M279:$Q279,,MATCH(W$4,$M$4:$Q$4,0))),0))</f>
        <v/>
      </c>
      <c r="X279" s="269">
        <f>IF(X$7="Actual","",IFERROR((INDEX($M279:$Q279,,MATCH(X$4,$M$4:$Q$4,0))),0))</f>
        <v/>
      </c>
      <c r="Y279" s="269">
        <f>IF(Y$7="Actual","",IFERROR((INDEX($M279:$Q279,,MATCH(Y$4,$M$4:$Q$4,0))),0))</f>
        <v/>
      </c>
      <c r="Z279" s="269">
        <f>IF(Z$7="Actual","",IFERROR((INDEX($M279:$Q279,,MATCH(Z$4,$M$4:$Q$4,0))),0))</f>
        <v/>
      </c>
      <c r="AA279" s="269">
        <f>IF(AA$7="Actual","",IFERROR((INDEX($M279:$Q279,,MATCH(AA$4,$M$4:$Q$4,0))),0))</f>
        <v/>
      </c>
      <c r="AB279" s="269">
        <f>IF(AB$7="Actual","",IFERROR((INDEX($M279:$Q279,,MATCH(AB$4,$M$4:$Q$4,0))),0))</f>
        <v/>
      </c>
      <c r="AC279" s="269">
        <f>IF(AC$7="Actual","",IFERROR((INDEX($M279:$Q279,,MATCH(AC$4,$M$4:$Q$4,0))),0))</f>
        <v/>
      </c>
      <c r="AD279" s="269">
        <f>IF(AD$7="Actual","",IFERROR((INDEX($M279:$Q279,,MATCH(AD$4,$M$4:$Q$4,0))),0))</f>
        <v/>
      </c>
      <c r="AE279" s="269">
        <f>IF(AE$7="Actual","",IFERROR((INDEX($M279:$Q279,,MATCH(AE$4,$M$4:$Q$4,0))),0))</f>
        <v/>
      </c>
      <c r="AF279" s="269">
        <f>IF(AF$7="Actual","",IFERROR((INDEX($M279:$Q279,,MATCH(AF$4,$M$4:$Q$4,0))),0))</f>
        <v/>
      </c>
      <c r="AG279" s="269">
        <f>IF(AG$7="Actual","",IFERROR((INDEX($M279:$Q279,,MATCH(AG$4,$M$4:$Q$4,0))),0))</f>
        <v/>
      </c>
      <c r="AH279" s="269">
        <f>IF(AH$7="Actual","",IFERROR((INDEX($M279:$Q279,,MATCH(AH$4,$M$4:$Q$4,0))),0))</f>
        <v/>
      </c>
      <c r="AI279" s="269">
        <f>IF(AI$7="Actual","",IFERROR((INDEX($M279:$Q279,,MATCH(AI$4,$M$4:$Q$4,0))),0))</f>
        <v/>
      </c>
      <c r="AJ279" s="269">
        <f>IF(AJ$7="Actual","",IFERROR((INDEX($M279:$Q279,,MATCH(AJ$4,$M$4:$Q$4,0))),0))</f>
        <v/>
      </c>
      <c r="AK279" s="269">
        <f>IF(AK$7="Actual","",IFERROR((INDEX($M279:$Q279,,MATCH(AK$4,$M$4:$Q$4,0))),0))</f>
        <v/>
      </c>
      <c r="AL279" s="269">
        <f>IF(AL$7="Actual","",IFERROR((INDEX($M279:$Q279,,MATCH(AL$4,$M$4:$Q$4,0))),0))</f>
        <v/>
      </c>
      <c r="AM279" s="269">
        <f>IF(AM$7="Actual","",IFERROR((INDEX($M279:$Q279,,MATCH(AM$4,$M$4:$Q$4,0))),0))</f>
        <v/>
      </c>
      <c r="AN279" s="269">
        <f>IF(AN$7="Actual","",IFERROR((INDEX($M279:$Q279,,MATCH(AN$4,$M$4:$Q$4,0))),0))</f>
        <v/>
      </c>
      <c r="AO279" s="269">
        <f>IF(AO$7="Actual","",IFERROR((INDEX($M279:$Q279,,MATCH(AO$4,$M$4:$Q$4,0))),0))</f>
        <v/>
      </c>
      <c r="AP279" s="269">
        <f>IF(AP$7="Actual","",IFERROR((INDEX($M279:$Q279,,MATCH(AP$4,$M$4:$Q$4,0))),0))</f>
        <v/>
      </c>
      <c r="AQ279" s="269">
        <f>IF(AQ$7="Actual","",IFERROR((INDEX($M279:$Q279,,MATCH(AQ$4,$M$4:$Q$4,0))),0))</f>
        <v/>
      </c>
      <c r="AR279" s="269">
        <f>IF(AR$7="Actual","",IFERROR((INDEX($M279:$Q279,,MATCH(AR$4,$M$4:$Q$4,0))),0))</f>
        <v/>
      </c>
      <c r="AS279" s="269">
        <f>IF(AS$7="Actual","",IFERROR((INDEX($M279:$Q279,,MATCH(AS$4,$M$4:$Q$4,0))),0))</f>
        <v/>
      </c>
      <c r="AT279" s="269">
        <f>IF(AT$7="Actual","",IFERROR((INDEX($M279:$Q279,,MATCH(AT$4,$M$4:$Q$4,0))),0))</f>
        <v/>
      </c>
      <c r="AU279" s="269">
        <f>IF(AU$7="Actual","",IFERROR((INDEX($M279:$Q279,,MATCH(AU$4,$M$4:$Q$4,0))),0))</f>
        <v/>
      </c>
      <c r="AV279" s="269">
        <f>IF(AV$7="Actual","",IFERROR((INDEX($M279:$Q279,,MATCH(AV$4,$M$4:$Q$4,0))),0))</f>
        <v/>
      </c>
      <c r="AW279" s="269">
        <f>IF(AW$7="Actual","",IFERROR((INDEX($M279:$Q279,,MATCH(AW$4,$M$4:$Q$4,0))),0))</f>
        <v/>
      </c>
      <c r="AX279" s="269">
        <f>IF(AX$7="Actual","",IFERROR((INDEX($M279:$Q279,,MATCH(AX$4,$M$4:$Q$4,0))),0))</f>
        <v/>
      </c>
      <c r="AY279" s="269">
        <f>IF(AY$7="Actual","",IFERROR((INDEX($M279:$Q279,,MATCH(AY$4,$M$4:$Q$4,0))),0))</f>
        <v/>
      </c>
      <c r="AZ279" s="269">
        <f>IF(AZ$7="Actual","",IFERROR((INDEX($M279:$Q279,,MATCH(AZ$4,$M$4:$Q$4,0))),0))</f>
        <v/>
      </c>
      <c r="BA279" s="269">
        <f>IF(BA$7="Actual","",IFERROR((INDEX($M279:$Q279,,MATCH(BA$4,$M$4:$Q$4,0))),0))</f>
        <v/>
      </c>
      <c r="BB279" s="269">
        <f>IF(BB$7="Actual","",IFERROR((INDEX($M279:$Q279,,MATCH(BB$4,$M$4:$Q$4,0))),0))</f>
        <v/>
      </c>
      <c r="BC279" s="269">
        <f>IF(BC$7="Actual","",IFERROR((INDEX($M279:$Q279,,MATCH(BC$4,$M$4:$Q$4,0))),0))</f>
        <v/>
      </c>
      <c r="BD279" s="269">
        <f>IF(BD$7="Actual","",IFERROR((INDEX($M279:$Q279,,MATCH(BD$4,$M$4:$Q$4,0))),0))</f>
        <v/>
      </c>
      <c r="BE279" s="269">
        <f>IF(BE$7="Actual","",IFERROR((INDEX($M279:$Q279,,MATCH(BE$4,$M$4:$Q$4,0))),0))</f>
        <v/>
      </c>
      <c r="BF279" s="269">
        <f>IF(BF$7="Actual","",IFERROR((INDEX($M279:$Q279,,MATCH(BF$4,$M$4:$Q$4,0))),0))</f>
        <v/>
      </c>
      <c r="BG279" s="269">
        <f>IF(BG$7="Actual","",IFERROR((INDEX($M279:$Q279,,MATCH(BG$4,$M$4:$Q$4,0))),0))</f>
        <v/>
      </c>
      <c r="BH279" s="269">
        <f>IF(BH$7="Actual","",IFERROR((INDEX($M279:$Q279,,MATCH(BH$4,$M$4:$Q$4,0))),0))</f>
        <v/>
      </c>
      <c r="BI279" s="269">
        <f>IF(BI$7="Actual","",IFERROR((INDEX($M279:$Q279,,MATCH(BI$4,$M$4:$Q$4,0))),0))</f>
        <v/>
      </c>
      <c r="BJ279" s="269">
        <f>IF(BJ$7="Actual","",IFERROR((INDEX($M279:$Q279,,MATCH(BJ$4,$M$4:$Q$4,0))),0))</f>
        <v/>
      </c>
      <c r="BK279" s="269">
        <f>IF(BK$7="Actual","",IFERROR((INDEX($M279:$Q279,,MATCH(BK$4,$M$4:$Q$4,0))),0))</f>
        <v/>
      </c>
      <c r="BL279" s="269">
        <f>IF(BL$7="Actual","",IFERROR((INDEX($M279:$Q279,,MATCH(BL$4,$M$4:$Q$4,0))),0))</f>
        <v/>
      </c>
      <c r="BM279" s="269">
        <f>IF(BM$7="Actual","",IFERROR((INDEX($M279:$Q279,,MATCH(BM$4,$M$4:$Q$4,0))),0))</f>
        <v/>
      </c>
      <c r="BN279" s="269">
        <f>IF(BN$7="Actual","",IFERROR((INDEX($M279:$Q279,,MATCH(BN$4,$M$4:$Q$4,0))),0))</f>
        <v/>
      </c>
      <c r="BO279" s="269">
        <f>IF(BO$7="Actual","",IFERROR((INDEX($M279:$Q279,,MATCH(BO$4,$M$4:$Q$4,0))),0))</f>
        <v/>
      </c>
      <c r="BP279" s="269">
        <f>IF(BP$7="Actual","",IFERROR((INDEX($M279:$Q279,,MATCH(BP$4,$M$4:$Q$4,0))),0))</f>
        <v/>
      </c>
      <c r="BQ279" s="269">
        <f>IF(BQ$7="Actual","",IFERROR((INDEX($M279:$Q279,,MATCH(BQ$4,$M$4:$Q$4,0))),0))</f>
        <v/>
      </c>
      <c r="BR279" s="269">
        <f>IF(BR$7="Actual","",IFERROR((INDEX($M279:$Q279,,MATCH(BR$4,$M$4:$Q$4,0))),0))</f>
        <v/>
      </c>
      <c r="BS279" s="269">
        <f>IF(BS$7="Actual","",IFERROR((INDEX($M279:$Q279,,MATCH(BS$4,$M$4:$Q$4,0))),0))</f>
        <v/>
      </c>
      <c r="BT279" s="269">
        <f>IF(BT$7="Actual","",IFERROR((INDEX($M279:$Q279,,MATCH(BT$4,$M$4:$Q$4,0))),0))</f>
        <v/>
      </c>
      <c r="BU279" s="269">
        <f>IF(BU$7="Actual","",IFERROR((INDEX($M279:$Q279,,MATCH(BU$4,$M$4:$Q$4,0))),0))</f>
        <v/>
      </c>
      <c r="BV279" s="269">
        <f>IF(BV$7="Actual","",IFERROR((INDEX($M279:$Q279,,MATCH(BV$4,$M$4:$Q$4,0))),0))</f>
        <v/>
      </c>
      <c r="BW279" s="269">
        <f>IF(BW$7="Actual","",IFERROR((INDEX($M279:$Q279,,MATCH(BW$4,$M$4:$Q$4,0))),0))</f>
        <v/>
      </c>
      <c r="BX279" s="269">
        <f>IF(BX$7="Actual","",IFERROR((INDEX($M279:$Q279,,MATCH(BX$4,$M$4:$Q$4,0))),0))</f>
        <v/>
      </c>
      <c r="BY279" s="269">
        <f>IF(BY$7="Actual","",IFERROR((INDEX($M279:$Q279,,MATCH(BY$4,$M$4:$Q$4,0))),0))</f>
        <v/>
      </c>
      <c r="BZ279" s="269">
        <f>IF(BZ$7="Actual","",IFERROR((INDEX($M279:$Q279,,MATCH(BZ$4,$M$4:$Q$4,0))),0))</f>
        <v/>
      </c>
      <c r="CA279" s="269">
        <f>IF(CA$7="Actual","",IFERROR((INDEX($M279:$Q279,,MATCH(CA$4,$M$4:$Q$4,0))),0))</f>
        <v/>
      </c>
    </row>
    <row r="280" ht="12" customHeight="1" s="227">
      <c r="A280" s="244" t="n"/>
      <c r="B280" s="244" t="n"/>
      <c r="C280" s="244" t="n"/>
      <c r="H280" s="4">
        <f>H270</f>
        <v/>
      </c>
      <c r="I280" s="27" t="inlineStr">
        <is>
          <t>no</t>
        </is>
      </c>
      <c r="K280" s="6" t="n"/>
      <c r="M280" s="267">
        <f>IF(M$7="Actual","",i_Assumptions!M128)</f>
        <v/>
      </c>
      <c r="N280" s="267">
        <f>IF(N$7="Actual","",i_Assumptions!N128)</f>
        <v/>
      </c>
      <c r="O280" s="267">
        <f>IF(O$7="Actual","",i_Assumptions!O128)</f>
        <v/>
      </c>
      <c r="P280" s="267">
        <f>IF(P$7="Actual","",i_Assumptions!P128)</f>
        <v/>
      </c>
      <c r="Q280" s="267">
        <f>IF(Q$7="Actual","",i_Assumptions!Q128)</f>
        <v/>
      </c>
      <c r="R280" s="268" t="n"/>
      <c r="S280" s="268" t="n"/>
      <c r="T280" s="269">
        <f>IF(T$7="Actual","",IFERROR((INDEX($M280:$Q280,,MATCH(T$4,$M$4:$Q$4,0))),0))</f>
        <v/>
      </c>
      <c r="U280" s="269">
        <f>IF(U$7="Actual","",IFERROR((INDEX($M280:$Q280,,MATCH(U$4,$M$4:$Q$4,0))),0))</f>
        <v/>
      </c>
      <c r="V280" s="269">
        <f>IF(V$7="Actual","",IFERROR((INDEX($M280:$Q280,,MATCH(V$4,$M$4:$Q$4,0))),0))</f>
        <v/>
      </c>
      <c r="W280" s="269">
        <f>IF(W$7="Actual","",IFERROR((INDEX($M280:$Q280,,MATCH(W$4,$M$4:$Q$4,0))),0))</f>
        <v/>
      </c>
      <c r="X280" s="269">
        <f>IF(X$7="Actual","",IFERROR((INDEX($M280:$Q280,,MATCH(X$4,$M$4:$Q$4,0))),0))</f>
        <v/>
      </c>
      <c r="Y280" s="269">
        <f>IF(Y$7="Actual","",IFERROR((INDEX($M280:$Q280,,MATCH(Y$4,$M$4:$Q$4,0))),0))</f>
        <v/>
      </c>
      <c r="Z280" s="269">
        <f>IF(Z$7="Actual","",IFERROR((INDEX($M280:$Q280,,MATCH(Z$4,$M$4:$Q$4,0))),0))</f>
        <v/>
      </c>
      <c r="AA280" s="269">
        <f>IF(AA$7="Actual","",IFERROR((INDEX($M280:$Q280,,MATCH(AA$4,$M$4:$Q$4,0))),0))</f>
        <v/>
      </c>
      <c r="AB280" s="269">
        <f>IF(AB$7="Actual","",IFERROR((INDEX($M280:$Q280,,MATCH(AB$4,$M$4:$Q$4,0))),0))</f>
        <v/>
      </c>
      <c r="AC280" s="269">
        <f>IF(AC$7="Actual","",IFERROR((INDEX($M280:$Q280,,MATCH(AC$4,$M$4:$Q$4,0))),0))</f>
        <v/>
      </c>
      <c r="AD280" s="269">
        <f>IF(AD$7="Actual","",IFERROR((INDEX($M280:$Q280,,MATCH(AD$4,$M$4:$Q$4,0))),0))</f>
        <v/>
      </c>
      <c r="AE280" s="269">
        <f>IF(AE$7="Actual","",IFERROR((INDEX($M280:$Q280,,MATCH(AE$4,$M$4:$Q$4,0))),0))</f>
        <v/>
      </c>
      <c r="AF280" s="269">
        <f>IF(AF$7="Actual","",IFERROR((INDEX($M280:$Q280,,MATCH(AF$4,$M$4:$Q$4,0))),0))</f>
        <v/>
      </c>
      <c r="AG280" s="269">
        <f>IF(AG$7="Actual","",IFERROR((INDEX($M280:$Q280,,MATCH(AG$4,$M$4:$Q$4,0))),0))</f>
        <v/>
      </c>
      <c r="AH280" s="269">
        <f>IF(AH$7="Actual","",IFERROR((INDEX($M280:$Q280,,MATCH(AH$4,$M$4:$Q$4,0))),0))</f>
        <v/>
      </c>
      <c r="AI280" s="269">
        <f>IF(AI$7="Actual","",IFERROR((INDEX($M280:$Q280,,MATCH(AI$4,$M$4:$Q$4,0))),0))</f>
        <v/>
      </c>
      <c r="AJ280" s="269">
        <f>IF(AJ$7="Actual","",IFERROR((INDEX($M280:$Q280,,MATCH(AJ$4,$M$4:$Q$4,0))),0))</f>
        <v/>
      </c>
      <c r="AK280" s="269">
        <f>IF(AK$7="Actual","",IFERROR((INDEX($M280:$Q280,,MATCH(AK$4,$M$4:$Q$4,0))),0))</f>
        <v/>
      </c>
      <c r="AL280" s="269">
        <f>IF(AL$7="Actual","",IFERROR((INDEX($M280:$Q280,,MATCH(AL$4,$M$4:$Q$4,0))),0))</f>
        <v/>
      </c>
      <c r="AM280" s="269">
        <f>IF(AM$7="Actual","",IFERROR((INDEX($M280:$Q280,,MATCH(AM$4,$M$4:$Q$4,0))),0))</f>
        <v/>
      </c>
      <c r="AN280" s="269">
        <f>IF(AN$7="Actual","",IFERROR((INDEX($M280:$Q280,,MATCH(AN$4,$M$4:$Q$4,0))),0))</f>
        <v/>
      </c>
      <c r="AO280" s="269">
        <f>IF(AO$7="Actual","",IFERROR((INDEX($M280:$Q280,,MATCH(AO$4,$M$4:$Q$4,0))),0))</f>
        <v/>
      </c>
      <c r="AP280" s="269">
        <f>IF(AP$7="Actual","",IFERROR((INDEX($M280:$Q280,,MATCH(AP$4,$M$4:$Q$4,0))),0))</f>
        <v/>
      </c>
      <c r="AQ280" s="269">
        <f>IF(AQ$7="Actual","",IFERROR((INDEX($M280:$Q280,,MATCH(AQ$4,$M$4:$Q$4,0))),0))</f>
        <v/>
      </c>
      <c r="AR280" s="269">
        <f>IF(AR$7="Actual","",IFERROR((INDEX($M280:$Q280,,MATCH(AR$4,$M$4:$Q$4,0))),0))</f>
        <v/>
      </c>
      <c r="AS280" s="269">
        <f>IF(AS$7="Actual","",IFERROR((INDEX($M280:$Q280,,MATCH(AS$4,$M$4:$Q$4,0))),0))</f>
        <v/>
      </c>
      <c r="AT280" s="269">
        <f>IF(AT$7="Actual","",IFERROR((INDEX($M280:$Q280,,MATCH(AT$4,$M$4:$Q$4,0))),0))</f>
        <v/>
      </c>
      <c r="AU280" s="269">
        <f>IF(AU$7="Actual","",IFERROR((INDEX($M280:$Q280,,MATCH(AU$4,$M$4:$Q$4,0))),0))</f>
        <v/>
      </c>
      <c r="AV280" s="269">
        <f>IF(AV$7="Actual","",IFERROR((INDEX($M280:$Q280,,MATCH(AV$4,$M$4:$Q$4,0))),0))</f>
        <v/>
      </c>
      <c r="AW280" s="269">
        <f>IF(AW$7="Actual","",IFERROR((INDEX($M280:$Q280,,MATCH(AW$4,$M$4:$Q$4,0))),0))</f>
        <v/>
      </c>
      <c r="AX280" s="269">
        <f>IF(AX$7="Actual","",IFERROR((INDEX($M280:$Q280,,MATCH(AX$4,$M$4:$Q$4,0))),0))</f>
        <v/>
      </c>
      <c r="AY280" s="269">
        <f>IF(AY$7="Actual","",IFERROR((INDEX($M280:$Q280,,MATCH(AY$4,$M$4:$Q$4,0))),0))</f>
        <v/>
      </c>
      <c r="AZ280" s="269">
        <f>IF(AZ$7="Actual","",IFERROR((INDEX($M280:$Q280,,MATCH(AZ$4,$M$4:$Q$4,0))),0))</f>
        <v/>
      </c>
      <c r="BA280" s="269">
        <f>IF(BA$7="Actual","",IFERROR((INDEX($M280:$Q280,,MATCH(BA$4,$M$4:$Q$4,0))),0))</f>
        <v/>
      </c>
      <c r="BB280" s="269">
        <f>IF(BB$7="Actual","",IFERROR((INDEX($M280:$Q280,,MATCH(BB$4,$M$4:$Q$4,0))),0))</f>
        <v/>
      </c>
      <c r="BC280" s="269">
        <f>IF(BC$7="Actual","",IFERROR((INDEX($M280:$Q280,,MATCH(BC$4,$M$4:$Q$4,0))),0))</f>
        <v/>
      </c>
      <c r="BD280" s="269">
        <f>IF(BD$7="Actual","",IFERROR((INDEX($M280:$Q280,,MATCH(BD$4,$M$4:$Q$4,0))),0))</f>
        <v/>
      </c>
      <c r="BE280" s="269">
        <f>IF(BE$7="Actual","",IFERROR((INDEX($M280:$Q280,,MATCH(BE$4,$M$4:$Q$4,0))),0))</f>
        <v/>
      </c>
      <c r="BF280" s="269">
        <f>IF(BF$7="Actual","",IFERROR((INDEX($M280:$Q280,,MATCH(BF$4,$M$4:$Q$4,0))),0))</f>
        <v/>
      </c>
      <c r="BG280" s="269">
        <f>IF(BG$7="Actual","",IFERROR((INDEX($M280:$Q280,,MATCH(BG$4,$M$4:$Q$4,0))),0))</f>
        <v/>
      </c>
      <c r="BH280" s="269">
        <f>IF(BH$7="Actual","",IFERROR((INDEX($M280:$Q280,,MATCH(BH$4,$M$4:$Q$4,0))),0))</f>
        <v/>
      </c>
      <c r="BI280" s="269">
        <f>IF(BI$7="Actual","",IFERROR((INDEX($M280:$Q280,,MATCH(BI$4,$M$4:$Q$4,0))),0))</f>
        <v/>
      </c>
      <c r="BJ280" s="269">
        <f>IF(BJ$7="Actual","",IFERROR((INDEX($M280:$Q280,,MATCH(BJ$4,$M$4:$Q$4,0))),0))</f>
        <v/>
      </c>
      <c r="BK280" s="269">
        <f>IF(BK$7="Actual","",IFERROR((INDEX($M280:$Q280,,MATCH(BK$4,$M$4:$Q$4,0))),0))</f>
        <v/>
      </c>
      <c r="BL280" s="269">
        <f>IF(BL$7="Actual","",IFERROR((INDEX($M280:$Q280,,MATCH(BL$4,$M$4:$Q$4,0))),0))</f>
        <v/>
      </c>
      <c r="BM280" s="269">
        <f>IF(BM$7="Actual","",IFERROR((INDEX($M280:$Q280,,MATCH(BM$4,$M$4:$Q$4,0))),0))</f>
        <v/>
      </c>
      <c r="BN280" s="269">
        <f>IF(BN$7="Actual","",IFERROR((INDEX($M280:$Q280,,MATCH(BN$4,$M$4:$Q$4,0))),0))</f>
        <v/>
      </c>
      <c r="BO280" s="269">
        <f>IF(BO$7="Actual","",IFERROR((INDEX($M280:$Q280,,MATCH(BO$4,$M$4:$Q$4,0))),0))</f>
        <v/>
      </c>
      <c r="BP280" s="269">
        <f>IF(BP$7="Actual","",IFERROR((INDEX($M280:$Q280,,MATCH(BP$4,$M$4:$Q$4,0))),0))</f>
        <v/>
      </c>
      <c r="BQ280" s="269">
        <f>IF(BQ$7="Actual","",IFERROR((INDEX($M280:$Q280,,MATCH(BQ$4,$M$4:$Q$4,0))),0))</f>
        <v/>
      </c>
      <c r="BR280" s="269">
        <f>IF(BR$7="Actual","",IFERROR((INDEX($M280:$Q280,,MATCH(BR$4,$M$4:$Q$4,0))),0))</f>
        <v/>
      </c>
      <c r="BS280" s="269">
        <f>IF(BS$7="Actual","",IFERROR((INDEX($M280:$Q280,,MATCH(BS$4,$M$4:$Q$4,0))),0))</f>
        <v/>
      </c>
      <c r="BT280" s="269">
        <f>IF(BT$7="Actual","",IFERROR((INDEX($M280:$Q280,,MATCH(BT$4,$M$4:$Q$4,0))),0))</f>
        <v/>
      </c>
      <c r="BU280" s="269">
        <f>IF(BU$7="Actual","",IFERROR((INDEX($M280:$Q280,,MATCH(BU$4,$M$4:$Q$4,0))),0))</f>
        <v/>
      </c>
      <c r="BV280" s="269">
        <f>IF(BV$7="Actual","",IFERROR((INDEX($M280:$Q280,,MATCH(BV$4,$M$4:$Q$4,0))),0))</f>
        <v/>
      </c>
      <c r="BW280" s="269">
        <f>IF(BW$7="Actual","",IFERROR((INDEX($M280:$Q280,,MATCH(BW$4,$M$4:$Q$4,0))),0))</f>
        <v/>
      </c>
      <c r="BX280" s="269">
        <f>IF(BX$7="Actual","",IFERROR((INDEX($M280:$Q280,,MATCH(BX$4,$M$4:$Q$4,0))),0))</f>
        <v/>
      </c>
      <c r="BY280" s="269">
        <f>IF(BY$7="Actual","",IFERROR((INDEX($M280:$Q280,,MATCH(BY$4,$M$4:$Q$4,0))),0))</f>
        <v/>
      </c>
      <c r="BZ280" s="269">
        <f>IF(BZ$7="Actual","",IFERROR((INDEX($M280:$Q280,,MATCH(BZ$4,$M$4:$Q$4,0))),0))</f>
        <v/>
      </c>
      <c r="CA280" s="269">
        <f>IF(CA$7="Actual","",IFERROR((INDEX($M280:$Q280,,MATCH(CA$4,$M$4:$Q$4,0))),0))</f>
        <v/>
      </c>
    </row>
    <row r="281" ht="12" customHeight="1" s="227">
      <c r="A281" s="244" t="n"/>
      <c r="B281" s="244" t="n"/>
      <c r="C281" s="244" t="n"/>
      <c r="H281" s="4">
        <f>H271</f>
        <v/>
      </c>
      <c r="I281" s="27" t="inlineStr">
        <is>
          <t>no</t>
        </is>
      </c>
      <c r="K281" s="6" t="n"/>
      <c r="M281" s="267">
        <f>IF(M$7="Actual","",i_Assumptions!M129)</f>
        <v/>
      </c>
      <c r="N281" s="267">
        <f>IF(N$7="Actual","",i_Assumptions!N129)</f>
        <v/>
      </c>
      <c r="O281" s="267">
        <f>IF(O$7="Actual","",i_Assumptions!O129)</f>
        <v/>
      </c>
      <c r="P281" s="267">
        <f>IF(P$7="Actual","",i_Assumptions!P129)</f>
        <v/>
      </c>
      <c r="Q281" s="267">
        <f>IF(Q$7="Actual","",i_Assumptions!Q129)</f>
        <v/>
      </c>
      <c r="R281" s="268" t="n"/>
      <c r="S281" s="268" t="n"/>
      <c r="T281" s="269">
        <f>IF(T$7="Actual","",IFERROR((INDEX($M281:$Q281,,MATCH(T$4,$M$4:$Q$4,0))),0))</f>
        <v/>
      </c>
      <c r="U281" s="269">
        <f>IF(U$7="Actual","",IFERROR((INDEX($M281:$Q281,,MATCH(U$4,$M$4:$Q$4,0))),0))</f>
        <v/>
      </c>
      <c r="V281" s="269">
        <f>IF(V$7="Actual","",IFERROR((INDEX($M281:$Q281,,MATCH(V$4,$M$4:$Q$4,0))),0))</f>
        <v/>
      </c>
      <c r="W281" s="269">
        <f>IF(W$7="Actual","",IFERROR((INDEX($M281:$Q281,,MATCH(W$4,$M$4:$Q$4,0))),0))</f>
        <v/>
      </c>
      <c r="X281" s="269">
        <f>IF(X$7="Actual","",IFERROR((INDEX($M281:$Q281,,MATCH(X$4,$M$4:$Q$4,0))),0))</f>
        <v/>
      </c>
      <c r="Y281" s="269">
        <f>IF(Y$7="Actual","",IFERROR((INDEX($M281:$Q281,,MATCH(Y$4,$M$4:$Q$4,0))),0))</f>
        <v/>
      </c>
      <c r="Z281" s="269">
        <f>IF(Z$7="Actual","",IFERROR((INDEX($M281:$Q281,,MATCH(Z$4,$M$4:$Q$4,0))),0))</f>
        <v/>
      </c>
      <c r="AA281" s="269">
        <f>IF(AA$7="Actual","",IFERROR((INDEX($M281:$Q281,,MATCH(AA$4,$M$4:$Q$4,0))),0))</f>
        <v/>
      </c>
      <c r="AB281" s="269">
        <f>IF(AB$7="Actual","",IFERROR((INDEX($M281:$Q281,,MATCH(AB$4,$M$4:$Q$4,0))),0))</f>
        <v/>
      </c>
      <c r="AC281" s="269">
        <f>IF(AC$7="Actual","",IFERROR((INDEX($M281:$Q281,,MATCH(AC$4,$M$4:$Q$4,0))),0))</f>
        <v/>
      </c>
      <c r="AD281" s="269">
        <f>IF(AD$7="Actual","",IFERROR((INDEX($M281:$Q281,,MATCH(AD$4,$M$4:$Q$4,0))),0))</f>
        <v/>
      </c>
      <c r="AE281" s="269">
        <f>IF(AE$7="Actual","",IFERROR((INDEX($M281:$Q281,,MATCH(AE$4,$M$4:$Q$4,0))),0))</f>
        <v/>
      </c>
      <c r="AF281" s="269">
        <f>IF(AF$7="Actual","",IFERROR((INDEX($M281:$Q281,,MATCH(AF$4,$M$4:$Q$4,0))),0))</f>
        <v/>
      </c>
      <c r="AG281" s="269">
        <f>IF(AG$7="Actual","",IFERROR((INDEX($M281:$Q281,,MATCH(AG$4,$M$4:$Q$4,0))),0))</f>
        <v/>
      </c>
      <c r="AH281" s="269">
        <f>IF(AH$7="Actual","",IFERROR((INDEX($M281:$Q281,,MATCH(AH$4,$M$4:$Q$4,0))),0))</f>
        <v/>
      </c>
      <c r="AI281" s="269">
        <f>IF(AI$7="Actual","",IFERROR((INDEX($M281:$Q281,,MATCH(AI$4,$M$4:$Q$4,0))),0))</f>
        <v/>
      </c>
      <c r="AJ281" s="269">
        <f>IF(AJ$7="Actual","",IFERROR((INDEX($M281:$Q281,,MATCH(AJ$4,$M$4:$Q$4,0))),0))</f>
        <v/>
      </c>
      <c r="AK281" s="269">
        <f>IF(AK$7="Actual","",IFERROR((INDEX($M281:$Q281,,MATCH(AK$4,$M$4:$Q$4,0))),0))</f>
        <v/>
      </c>
      <c r="AL281" s="269">
        <f>IF(AL$7="Actual","",IFERROR((INDEX($M281:$Q281,,MATCH(AL$4,$M$4:$Q$4,0))),0))</f>
        <v/>
      </c>
      <c r="AM281" s="269">
        <f>IF(AM$7="Actual","",IFERROR((INDEX($M281:$Q281,,MATCH(AM$4,$M$4:$Q$4,0))),0))</f>
        <v/>
      </c>
      <c r="AN281" s="269">
        <f>IF(AN$7="Actual","",IFERROR((INDEX($M281:$Q281,,MATCH(AN$4,$M$4:$Q$4,0))),0))</f>
        <v/>
      </c>
      <c r="AO281" s="269">
        <f>IF(AO$7="Actual","",IFERROR((INDEX($M281:$Q281,,MATCH(AO$4,$M$4:$Q$4,0))),0))</f>
        <v/>
      </c>
      <c r="AP281" s="269">
        <f>IF(AP$7="Actual","",IFERROR((INDEX($M281:$Q281,,MATCH(AP$4,$M$4:$Q$4,0))),0))</f>
        <v/>
      </c>
      <c r="AQ281" s="269">
        <f>IF(AQ$7="Actual","",IFERROR((INDEX($M281:$Q281,,MATCH(AQ$4,$M$4:$Q$4,0))),0))</f>
        <v/>
      </c>
      <c r="AR281" s="269">
        <f>IF(AR$7="Actual","",IFERROR((INDEX($M281:$Q281,,MATCH(AR$4,$M$4:$Q$4,0))),0))</f>
        <v/>
      </c>
      <c r="AS281" s="269">
        <f>IF(AS$7="Actual","",IFERROR((INDEX($M281:$Q281,,MATCH(AS$4,$M$4:$Q$4,0))),0))</f>
        <v/>
      </c>
      <c r="AT281" s="269">
        <f>IF(AT$7="Actual","",IFERROR((INDEX($M281:$Q281,,MATCH(AT$4,$M$4:$Q$4,0))),0))</f>
        <v/>
      </c>
      <c r="AU281" s="269">
        <f>IF(AU$7="Actual","",IFERROR((INDEX($M281:$Q281,,MATCH(AU$4,$M$4:$Q$4,0))),0))</f>
        <v/>
      </c>
      <c r="AV281" s="269">
        <f>IF(AV$7="Actual","",IFERROR((INDEX($M281:$Q281,,MATCH(AV$4,$M$4:$Q$4,0))),0))</f>
        <v/>
      </c>
      <c r="AW281" s="269">
        <f>IF(AW$7="Actual","",IFERROR((INDEX($M281:$Q281,,MATCH(AW$4,$M$4:$Q$4,0))),0))</f>
        <v/>
      </c>
      <c r="AX281" s="269">
        <f>IF(AX$7="Actual","",IFERROR((INDEX($M281:$Q281,,MATCH(AX$4,$M$4:$Q$4,0))),0))</f>
        <v/>
      </c>
      <c r="AY281" s="269">
        <f>IF(AY$7="Actual","",IFERROR((INDEX($M281:$Q281,,MATCH(AY$4,$M$4:$Q$4,0))),0))</f>
        <v/>
      </c>
      <c r="AZ281" s="269">
        <f>IF(AZ$7="Actual","",IFERROR((INDEX($M281:$Q281,,MATCH(AZ$4,$M$4:$Q$4,0))),0))</f>
        <v/>
      </c>
      <c r="BA281" s="269">
        <f>IF(BA$7="Actual","",IFERROR((INDEX($M281:$Q281,,MATCH(BA$4,$M$4:$Q$4,0))),0))</f>
        <v/>
      </c>
      <c r="BB281" s="269">
        <f>IF(BB$7="Actual","",IFERROR((INDEX($M281:$Q281,,MATCH(BB$4,$M$4:$Q$4,0))),0))</f>
        <v/>
      </c>
      <c r="BC281" s="269">
        <f>IF(BC$7="Actual","",IFERROR((INDEX($M281:$Q281,,MATCH(BC$4,$M$4:$Q$4,0))),0))</f>
        <v/>
      </c>
      <c r="BD281" s="269">
        <f>IF(BD$7="Actual","",IFERROR((INDEX($M281:$Q281,,MATCH(BD$4,$M$4:$Q$4,0))),0))</f>
        <v/>
      </c>
      <c r="BE281" s="269">
        <f>IF(BE$7="Actual","",IFERROR((INDEX($M281:$Q281,,MATCH(BE$4,$M$4:$Q$4,0))),0))</f>
        <v/>
      </c>
      <c r="BF281" s="269">
        <f>IF(BF$7="Actual","",IFERROR((INDEX($M281:$Q281,,MATCH(BF$4,$M$4:$Q$4,0))),0))</f>
        <v/>
      </c>
      <c r="BG281" s="269">
        <f>IF(BG$7="Actual","",IFERROR((INDEX($M281:$Q281,,MATCH(BG$4,$M$4:$Q$4,0))),0))</f>
        <v/>
      </c>
      <c r="BH281" s="269">
        <f>IF(BH$7="Actual","",IFERROR((INDEX($M281:$Q281,,MATCH(BH$4,$M$4:$Q$4,0))),0))</f>
        <v/>
      </c>
      <c r="BI281" s="269">
        <f>IF(BI$7="Actual","",IFERROR((INDEX($M281:$Q281,,MATCH(BI$4,$M$4:$Q$4,0))),0))</f>
        <v/>
      </c>
      <c r="BJ281" s="269">
        <f>IF(BJ$7="Actual","",IFERROR((INDEX($M281:$Q281,,MATCH(BJ$4,$M$4:$Q$4,0))),0))</f>
        <v/>
      </c>
      <c r="BK281" s="269">
        <f>IF(BK$7="Actual","",IFERROR((INDEX($M281:$Q281,,MATCH(BK$4,$M$4:$Q$4,0))),0))</f>
        <v/>
      </c>
      <c r="BL281" s="269">
        <f>IF(BL$7="Actual","",IFERROR((INDEX($M281:$Q281,,MATCH(BL$4,$M$4:$Q$4,0))),0))</f>
        <v/>
      </c>
      <c r="BM281" s="269">
        <f>IF(BM$7="Actual","",IFERROR((INDEX($M281:$Q281,,MATCH(BM$4,$M$4:$Q$4,0))),0))</f>
        <v/>
      </c>
      <c r="BN281" s="269">
        <f>IF(BN$7="Actual","",IFERROR((INDEX($M281:$Q281,,MATCH(BN$4,$M$4:$Q$4,0))),0))</f>
        <v/>
      </c>
      <c r="BO281" s="269">
        <f>IF(BO$7="Actual","",IFERROR((INDEX($M281:$Q281,,MATCH(BO$4,$M$4:$Q$4,0))),0))</f>
        <v/>
      </c>
      <c r="BP281" s="269">
        <f>IF(BP$7="Actual","",IFERROR((INDEX($M281:$Q281,,MATCH(BP$4,$M$4:$Q$4,0))),0))</f>
        <v/>
      </c>
      <c r="BQ281" s="269">
        <f>IF(BQ$7="Actual","",IFERROR((INDEX($M281:$Q281,,MATCH(BQ$4,$M$4:$Q$4,0))),0))</f>
        <v/>
      </c>
      <c r="BR281" s="269">
        <f>IF(BR$7="Actual","",IFERROR((INDEX($M281:$Q281,,MATCH(BR$4,$M$4:$Q$4,0))),0))</f>
        <v/>
      </c>
      <c r="BS281" s="269">
        <f>IF(BS$7="Actual","",IFERROR((INDEX($M281:$Q281,,MATCH(BS$4,$M$4:$Q$4,0))),0))</f>
        <v/>
      </c>
      <c r="BT281" s="269">
        <f>IF(BT$7="Actual","",IFERROR((INDEX($M281:$Q281,,MATCH(BT$4,$M$4:$Q$4,0))),0))</f>
        <v/>
      </c>
      <c r="BU281" s="269">
        <f>IF(BU$7="Actual","",IFERROR((INDEX($M281:$Q281,,MATCH(BU$4,$M$4:$Q$4,0))),0))</f>
        <v/>
      </c>
      <c r="BV281" s="269">
        <f>IF(BV$7="Actual","",IFERROR((INDEX($M281:$Q281,,MATCH(BV$4,$M$4:$Q$4,0))),0))</f>
        <v/>
      </c>
      <c r="BW281" s="269">
        <f>IF(BW$7="Actual","",IFERROR((INDEX($M281:$Q281,,MATCH(BW$4,$M$4:$Q$4,0))),0))</f>
        <v/>
      </c>
      <c r="BX281" s="269">
        <f>IF(BX$7="Actual","",IFERROR((INDEX($M281:$Q281,,MATCH(BX$4,$M$4:$Q$4,0))),0))</f>
        <v/>
      </c>
      <c r="BY281" s="269">
        <f>IF(BY$7="Actual","",IFERROR((INDEX($M281:$Q281,,MATCH(BY$4,$M$4:$Q$4,0))),0))</f>
        <v/>
      </c>
      <c r="BZ281" s="269">
        <f>IF(BZ$7="Actual","",IFERROR((INDEX($M281:$Q281,,MATCH(BZ$4,$M$4:$Q$4,0))),0))</f>
        <v/>
      </c>
      <c r="CA281" s="269">
        <f>IF(CA$7="Actual","",IFERROR((INDEX($M281:$Q281,,MATCH(CA$4,$M$4:$Q$4,0))),0))</f>
        <v/>
      </c>
    </row>
    <row r="282" ht="12" customHeight="1" s="227">
      <c r="A282" s="244" t="n"/>
      <c r="B282" s="244" t="n"/>
      <c r="C282" s="244" t="n"/>
      <c r="H282" s="4">
        <f>H272</f>
        <v/>
      </c>
      <c r="I282" s="27" t="inlineStr">
        <is>
          <t>no</t>
        </is>
      </c>
      <c r="K282" s="6" t="n"/>
      <c r="M282" s="267">
        <f>IF(M$7="Actual","",i_Assumptions!M130)</f>
        <v/>
      </c>
      <c r="N282" s="267">
        <f>IF(N$7="Actual","",i_Assumptions!N130)</f>
        <v/>
      </c>
      <c r="O282" s="267">
        <f>IF(O$7="Actual","",i_Assumptions!O130)</f>
        <v/>
      </c>
      <c r="P282" s="267">
        <f>IF(P$7="Actual","",i_Assumptions!P130)</f>
        <v/>
      </c>
      <c r="Q282" s="267">
        <f>IF(Q$7="Actual","",i_Assumptions!Q130)</f>
        <v/>
      </c>
      <c r="R282" s="268" t="n"/>
      <c r="S282" s="268" t="n"/>
      <c r="T282" s="269">
        <f>IF(T$7="Actual","",IFERROR((INDEX($M282:$Q282,,MATCH(T$4,$M$4:$Q$4,0))),0))</f>
        <v/>
      </c>
      <c r="U282" s="269">
        <f>IF(U$7="Actual","",IFERROR((INDEX($M282:$Q282,,MATCH(U$4,$M$4:$Q$4,0))),0))</f>
        <v/>
      </c>
      <c r="V282" s="269">
        <f>IF(V$7="Actual","",IFERROR((INDEX($M282:$Q282,,MATCH(V$4,$M$4:$Q$4,0))),0))</f>
        <v/>
      </c>
      <c r="W282" s="269">
        <f>IF(W$7="Actual","",IFERROR((INDEX($M282:$Q282,,MATCH(W$4,$M$4:$Q$4,0))),0))</f>
        <v/>
      </c>
      <c r="X282" s="269">
        <f>IF(X$7="Actual","",IFERROR((INDEX($M282:$Q282,,MATCH(X$4,$M$4:$Q$4,0))),0))</f>
        <v/>
      </c>
      <c r="Y282" s="269">
        <f>IF(Y$7="Actual","",IFERROR((INDEX($M282:$Q282,,MATCH(Y$4,$M$4:$Q$4,0))),0))</f>
        <v/>
      </c>
      <c r="Z282" s="269">
        <f>IF(Z$7="Actual","",IFERROR((INDEX($M282:$Q282,,MATCH(Z$4,$M$4:$Q$4,0))),0))</f>
        <v/>
      </c>
      <c r="AA282" s="269">
        <f>IF(AA$7="Actual","",IFERROR((INDEX($M282:$Q282,,MATCH(AA$4,$M$4:$Q$4,0))),0))</f>
        <v/>
      </c>
      <c r="AB282" s="269">
        <f>IF(AB$7="Actual","",IFERROR((INDEX($M282:$Q282,,MATCH(AB$4,$M$4:$Q$4,0))),0))</f>
        <v/>
      </c>
      <c r="AC282" s="269">
        <f>IF(AC$7="Actual","",IFERROR((INDEX($M282:$Q282,,MATCH(AC$4,$M$4:$Q$4,0))),0))</f>
        <v/>
      </c>
      <c r="AD282" s="269">
        <f>IF(AD$7="Actual","",IFERROR((INDEX($M282:$Q282,,MATCH(AD$4,$M$4:$Q$4,0))),0))</f>
        <v/>
      </c>
      <c r="AE282" s="269">
        <f>IF(AE$7="Actual","",IFERROR((INDEX($M282:$Q282,,MATCH(AE$4,$M$4:$Q$4,0))),0))</f>
        <v/>
      </c>
      <c r="AF282" s="269">
        <f>IF(AF$7="Actual","",IFERROR((INDEX($M282:$Q282,,MATCH(AF$4,$M$4:$Q$4,0))),0))</f>
        <v/>
      </c>
      <c r="AG282" s="269">
        <f>IF(AG$7="Actual","",IFERROR((INDEX($M282:$Q282,,MATCH(AG$4,$M$4:$Q$4,0))),0))</f>
        <v/>
      </c>
      <c r="AH282" s="269">
        <f>IF(AH$7="Actual","",IFERROR((INDEX($M282:$Q282,,MATCH(AH$4,$M$4:$Q$4,0))),0))</f>
        <v/>
      </c>
      <c r="AI282" s="269">
        <f>IF(AI$7="Actual","",IFERROR((INDEX($M282:$Q282,,MATCH(AI$4,$M$4:$Q$4,0))),0))</f>
        <v/>
      </c>
      <c r="AJ282" s="269">
        <f>IF(AJ$7="Actual","",IFERROR((INDEX($M282:$Q282,,MATCH(AJ$4,$M$4:$Q$4,0))),0))</f>
        <v/>
      </c>
      <c r="AK282" s="269">
        <f>IF(AK$7="Actual","",IFERROR((INDEX($M282:$Q282,,MATCH(AK$4,$M$4:$Q$4,0))),0))</f>
        <v/>
      </c>
      <c r="AL282" s="269">
        <f>IF(AL$7="Actual","",IFERROR((INDEX($M282:$Q282,,MATCH(AL$4,$M$4:$Q$4,0))),0))</f>
        <v/>
      </c>
      <c r="AM282" s="269">
        <f>IF(AM$7="Actual","",IFERROR((INDEX($M282:$Q282,,MATCH(AM$4,$M$4:$Q$4,0))),0))</f>
        <v/>
      </c>
      <c r="AN282" s="269">
        <f>IF(AN$7="Actual","",IFERROR((INDEX($M282:$Q282,,MATCH(AN$4,$M$4:$Q$4,0))),0))</f>
        <v/>
      </c>
      <c r="AO282" s="269">
        <f>IF(AO$7="Actual","",IFERROR((INDEX($M282:$Q282,,MATCH(AO$4,$M$4:$Q$4,0))),0))</f>
        <v/>
      </c>
      <c r="AP282" s="269">
        <f>IF(AP$7="Actual","",IFERROR((INDEX($M282:$Q282,,MATCH(AP$4,$M$4:$Q$4,0))),0))</f>
        <v/>
      </c>
      <c r="AQ282" s="269">
        <f>IF(AQ$7="Actual","",IFERROR((INDEX($M282:$Q282,,MATCH(AQ$4,$M$4:$Q$4,0))),0))</f>
        <v/>
      </c>
      <c r="AR282" s="269">
        <f>IF(AR$7="Actual","",IFERROR((INDEX($M282:$Q282,,MATCH(AR$4,$M$4:$Q$4,0))),0))</f>
        <v/>
      </c>
      <c r="AS282" s="269">
        <f>IF(AS$7="Actual","",IFERROR((INDEX($M282:$Q282,,MATCH(AS$4,$M$4:$Q$4,0))),0))</f>
        <v/>
      </c>
      <c r="AT282" s="269">
        <f>IF(AT$7="Actual","",IFERROR((INDEX($M282:$Q282,,MATCH(AT$4,$M$4:$Q$4,0))),0))</f>
        <v/>
      </c>
      <c r="AU282" s="269">
        <f>IF(AU$7="Actual","",IFERROR((INDEX($M282:$Q282,,MATCH(AU$4,$M$4:$Q$4,0))),0))</f>
        <v/>
      </c>
      <c r="AV282" s="269">
        <f>IF(AV$7="Actual","",IFERROR((INDEX($M282:$Q282,,MATCH(AV$4,$M$4:$Q$4,0))),0))</f>
        <v/>
      </c>
      <c r="AW282" s="269">
        <f>IF(AW$7="Actual","",IFERROR((INDEX($M282:$Q282,,MATCH(AW$4,$M$4:$Q$4,0))),0))</f>
        <v/>
      </c>
      <c r="AX282" s="269">
        <f>IF(AX$7="Actual","",IFERROR((INDEX($M282:$Q282,,MATCH(AX$4,$M$4:$Q$4,0))),0))</f>
        <v/>
      </c>
      <c r="AY282" s="269">
        <f>IF(AY$7="Actual","",IFERROR((INDEX($M282:$Q282,,MATCH(AY$4,$M$4:$Q$4,0))),0))</f>
        <v/>
      </c>
      <c r="AZ282" s="269">
        <f>IF(AZ$7="Actual","",IFERROR((INDEX($M282:$Q282,,MATCH(AZ$4,$M$4:$Q$4,0))),0))</f>
        <v/>
      </c>
      <c r="BA282" s="269">
        <f>IF(BA$7="Actual","",IFERROR((INDEX($M282:$Q282,,MATCH(BA$4,$M$4:$Q$4,0))),0))</f>
        <v/>
      </c>
      <c r="BB282" s="269">
        <f>IF(BB$7="Actual","",IFERROR((INDEX($M282:$Q282,,MATCH(BB$4,$M$4:$Q$4,0))),0))</f>
        <v/>
      </c>
      <c r="BC282" s="269">
        <f>IF(BC$7="Actual","",IFERROR((INDEX($M282:$Q282,,MATCH(BC$4,$M$4:$Q$4,0))),0))</f>
        <v/>
      </c>
      <c r="BD282" s="269">
        <f>IF(BD$7="Actual","",IFERROR((INDEX($M282:$Q282,,MATCH(BD$4,$M$4:$Q$4,0))),0))</f>
        <v/>
      </c>
      <c r="BE282" s="269">
        <f>IF(BE$7="Actual","",IFERROR((INDEX($M282:$Q282,,MATCH(BE$4,$M$4:$Q$4,0))),0))</f>
        <v/>
      </c>
      <c r="BF282" s="269">
        <f>IF(BF$7="Actual","",IFERROR((INDEX($M282:$Q282,,MATCH(BF$4,$M$4:$Q$4,0))),0))</f>
        <v/>
      </c>
      <c r="BG282" s="269">
        <f>IF(BG$7="Actual","",IFERROR((INDEX($M282:$Q282,,MATCH(BG$4,$M$4:$Q$4,0))),0))</f>
        <v/>
      </c>
      <c r="BH282" s="269">
        <f>IF(BH$7="Actual","",IFERROR((INDEX($M282:$Q282,,MATCH(BH$4,$M$4:$Q$4,0))),0))</f>
        <v/>
      </c>
      <c r="BI282" s="269">
        <f>IF(BI$7="Actual","",IFERROR((INDEX($M282:$Q282,,MATCH(BI$4,$M$4:$Q$4,0))),0))</f>
        <v/>
      </c>
      <c r="BJ282" s="269">
        <f>IF(BJ$7="Actual","",IFERROR((INDEX($M282:$Q282,,MATCH(BJ$4,$M$4:$Q$4,0))),0))</f>
        <v/>
      </c>
      <c r="BK282" s="269">
        <f>IF(BK$7="Actual","",IFERROR((INDEX($M282:$Q282,,MATCH(BK$4,$M$4:$Q$4,0))),0))</f>
        <v/>
      </c>
      <c r="BL282" s="269">
        <f>IF(BL$7="Actual","",IFERROR((INDEX($M282:$Q282,,MATCH(BL$4,$M$4:$Q$4,0))),0))</f>
        <v/>
      </c>
      <c r="BM282" s="269">
        <f>IF(BM$7="Actual","",IFERROR((INDEX($M282:$Q282,,MATCH(BM$4,$M$4:$Q$4,0))),0))</f>
        <v/>
      </c>
      <c r="BN282" s="269">
        <f>IF(BN$7="Actual","",IFERROR((INDEX($M282:$Q282,,MATCH(BN$4,$M$4:$Q$4,0))),0))</f>
        <v/>
      </c>
      <c r="BO282" s="269">
        <f>IF(BO$7="Actual","",IFERROR((INDEX($M282:$Q282,,MATCH(BO$4,$M$4:$Q$4,0))),0))</f>
        <v/>
      </c>
      <c r="BP282" s="269">
        <f>IF(BP$7="Actual","",IFERROR((INDEX($M282:$Q282,,MATCH(BP$4,$M$4:$Q$4,0))),0))</f>
        <v/>
      </c>
      <c r="BQ282" s="269">
        <f>IF(BQ$7="Actual","",IFERROR((INDEX($M282:$Q282,,MATCH(BQ$4,$M$4:$Q$4,0))),0))</f>
        <v/>
      </c>
      <c r="BR282" s="269">
        <f>IF(BR$7="Actual","",IFERROR((INDEX($M282:$Q282,,MATCH(BR$4,$M$4:$Q$4,0))),0))</f>
        <v/>
      </c>
      <c r="BS282" s="269">
        <f>IF(BS$7="Actual","",IFERROR((INDEX($M282:$Q282,,MATCH(BS$4,$M$4:$Q$4,0))),0))</f>
        <v/>
      </c>
      <c r="BT282" s="269">
        <f>IF(BT$7="Actual","",IFERROR((INDEX($M282:$Q282,,MATCH(BT$4,$M$4:$Q$4,0))),0))</f>
        <v/>
      </c>
      <c r="BU282" s="269">
        <f>IF(BU$7="Actual","",IFERROR((INDEX($M282:$Q282,,MATCH(BU$4,$M$4:$Q$4,0))),0))</f>
        <v/>
      </c>
      <c r="BV282" s="269">
        <f>IF(BV$7="Actual","",IFERROR((INDEX($M282:$Q282,,MATCH(BV$4,$M$4:$Q$4,0))),0))</f>
        <v/>
      </c>
      <c r="BW282" s="269">
        <f>IF(BW$7="Actual","",IFERROR((INDEX($M282:$Q282,,MATCH(BW$4,$M$4:$Q$4,0))),0))</f>
        <v/>
      </c>
      <c r="BX282" s="269">
        <f>IF(BX$7="Actual","",IFERROR((INDEX($M282:$Q282,,MATCH(BX$4,$M$4:$Q$4,0))),0))</f>
        <v/>
      </c>
      <c r="BY282" s="269">
        <f>IF(BY$7="Actual","",IFERROR((INDEX($M282:$Q282,,MATCH(BY$4,$M$4:$Q$4,0))),0))</f>
        <v/>
      </c>
      <c r="BZ282" s="269">
        <f>IF(BZ$7="Actual","",IFERROR((INDEX($M282:$Q282,,MATCH(BZ$4,$M$4:$Q$4,0))),0))</f>
        <v/>
      </c>
      <c r="CA282" s="269">
        <f>IF(CA$7="Actual","",IFERROR((INDEX($M282:$Q282,,MATCH(CA$4,$M$4:$Q$4,0))),0))</f>
        <v/>
      </c>
    </row>
    <row r="283" ht="12" customHeight="1" s="227">
      <c r="A283" s="244" t="n"/>
      <c r="B283" s="244" t="n"/>
      <c r="C283" s="244" t="n"/>
      <c r="H283" s="4">
        <f>H273</f>
        <v/>
      </c>
      <c r="I283" s="27" t="inlineStr">
        <is>
          <t>no</t>
        </is>
      </c>
      <c r="K283" s="6" t="n"/>
      <c r="M283" s="267">
        <f>IF(M$7="Actual","",i_Assumptions!M131)</f>
        <v/>
      </c>
      <c r="N283" s="267">
        <f>IF(N$7="Actual","",i_Assumptions!N131)</f>
        <v/>
      </c>
      <c r="O283" s="267">
        <f>IF(O$7="Actual","",i_Assumptions!O131)</f>
        <v/>
      </c>
      <c r="P283" s="267">
        <f>IF(P$7="Actual","",i_Assumptions!P131)</f>
        <v/>
      </c>
      <c r="Q283" s="267">
        <f>IF(Q$7="Actual","",i_Assumptions!Q131)</f>
        <v/>
      </c>
      <c r="R283" s="268" t="n"/>
      <c r="S283" s="268" t="n"/>
      <c r="T283" s="269">
        <f>IF(T$7="Actual","",IFERROR((INDEX($M283:$Q283,,MATCH(T$4,$M$4:$Q$4,0))),0))</f>
        <v/>
      </c>
      <c r="U283" s="269">
        <f>IF(U$7="Actual","",IFERROR((INDEX($M283:$Q283,,MATCH(U$4,$M$4:$Q$4,0))),0))</f>
        <v/>
      </c>
      <c r="V283" s="269">
        <f>IF(V$7="Actual","",IFERROR((INDEX($M283:$Q283,,MATCH(V$4,$M$4:$Q$4,0))),0))</f>
        <v/>
      </c>
      <c r="W283" s="269">
        <f>IF(W$7="Actual","",IFERROR((INDEX($M283:$Q283,,MATCH(W$4,$M$4:$Q$4,0))),0))</f>
        <v/>
      </c>
      <c r="X283" s="269">
        <f>IF(X$7="Actual","",IFERROR((INDEX($M283:$Q283,,MATCH(X$4,$M$4:$Q$4,0))),0))</f>
        <v/>
      </c>
      <c r="Y283" s="269">
        <f>IF(Y$7="Actual","",IFERROR((INDEX($M283:$Q283,,MATCH(Y$4,$M$4:$Q$4,0))),0))</f>
        <v/>
      </c>
      <c r="Z283" s="269">
        <f>IF(Z$7="Actual","",IFERROR((INDEX($M283:$Q283,,MATCH(Z$4,$M$4:$Q$4,0))),0))</f>
        <v/>
      </c>
      <c r="AA283" s="269">
        <f>IF(AA$7="Actual","",IFERROR((INDEX($M283:$Q283,,MATCH(AA$4,$M$4:$Q$4,0))),0))</f>
        <v/>
      </c>
      <c r="AB283" s="269">
        <f>IF(AB$7="Actual","",IFERROR((INDEX($M283:$Q283,,MATCH(AB$4,$M$4:$Q$4,0))),0))</f>
        <v/>
      </c>
      <c r="AC283" s="269">
        <f>IF(AC$7="Actual","",IFERROR((INDEX($M283:$Q283,,MATCH(AC$4,$M$4:$Q$4,0))),0))</f>
        <v/>
      </c>
      <c r="AD283" s="269">
        <f>IF(AD$7="Actual","",IFERROR((INDEX($M283:$Q283,,MATCH(AD$4,$M$4:$Q$4,0))),0))</f>
        <v/>
      </c>
      <c r="AE283" s="269">
        <f>IF(AE$7="Actual","",IFERROR((INDEX($M283:$Q283,,MATCH(AE$4,$M$4:$Q$4,0))),0))</f>
        <v/>
      </c>
      <c r="AF283" s="269">
        <f>IF(AF$7="Actual","",IFERROR((INDEX($M283:$Q283,,MATCH(AF$4,$M$4:$Q$4,0))),0))</f>
        <v/>
      </c>
      <c r="AG283" s="269">
        <f>IF(AG$7="Actual","",IFERROR((INDEX($M283:$Q283,,MATCH(AG$4,$M$4:$Q$4,0))),0))</f>
        <v/>
      </c>
      <c r="AH283" s="269">
        <f>IF(AH$7="Actual","",IFERROR((INDEX($M283:$Q283,,MATCH(AH$4,$M$4:$Q$4,0))),0))</f>
        <v/>
      </c>
      <c r="AI283" s="269">
        <f>IF(AI$7="Actual","",IFERROR((INDEX($M283:$Q283,,MATCH(AI$4,$M$4:$Q$4,0))),0))</f>
        <v/>
      </c>
      <c r="AJ283" s="269">
        <f>IF(AJ$7="Actual","",IFERROR((INDEX($M283:$Q283,,MATCH(AJ$4,$M$4:$Q$4,0))),0))</f>
        <v/>
      </c>
      <c r="AK283" s="269">
        <f>IF(AK$7="Actual","",IFERROR((INDEX($M283:$Q283,,MATCH(AK$4,$M$4:$Q$4,0))),0))</f>
        <v/>
      </c>
      <c r="AL283" s="269">
        <f>IF(AL$7="Actual","",IFERROR((INDEX($M283:$Q283,,MATCH(AL$4,$M$4:$Q$4,0))),0))</f>
        <v/>
      </c>
      <c r="AM283" s="269">
        <f>IF(AM$7="Actual","",IFERROR((INDEX($M283:$Q283,,MATCH(AM$4,$M$4:$Q$4,0))),0))</f>
        <v/>
      </c>
      <c r="AN283" s="269">
        <f>IF(AN$7="Actual","",IFERROR((INDEX($M283:$Q283,,MATCH(AN$4,$M$4:$Q$4,0))),0))</f>
        <v/>
      </c>
      <c r="AO283" s="269">
        <f>IF(AO$7="Actual","",IFERROR((INDEX($M283:$Q283,,MATCH(AO$4,$M$4:$Q$4,0))),0))</f>
        <v/>
      </c>
      <c r="AP283" s="269">
        <f>IF(AP$7="Actual","",IFERROR((INDEX($M283:$Q283,,MATCH(AP$4,$M$4:$Q$4,0))),0))</f>
        <v/>
      </c>
      <c r="AQ283" s="269">
        <f>IF(AQ$7="Actual","",IFERROR((INDEX($M283:$Q283,,MATCH(AQ$4,$M$4:$Q$4,0))),0))</f>
        <v/>
      </c>
      <c r="AR283" s="269">
        <f>IF(AR$7="Actual","",IFERROR((INDEX($M283:$Q283,,MATCH(AR$4,$M$4:$Q$4,0))),0))</f>
        <v/>
      </c>
      <c r="AS283" s="269">
        <f>IF(AS$7="Actual","",IFERROR((INDEX($M283:$Q283,,MATCH(AS$4,$M$4:$Q$4,0))),0))</f>
        <v/>
      </c>
      <c r="AT283" s="269">
        <f>IF(AT$7="Actual","",IFERROR((INDEX($M283:$Q283,,MATCH(AT$4,$M$4:$Q$4,0))),0))</f>
        <v/>
      </c>
      <c r="AU283" s="269">
        <f>IF(AU$7="Actual","",IFERROR((INDEX($M283:$Q283,,MATCH(AU$4,$M$4:$Q$4,0))),0))</f>
        <v/>
      </c>
      <c r="AV283" s="269">
        <f>IF(AV$7="Actual","",IFERROR((INDEX($M283:$Q283,,MATCH(AV$4,$M$4:$Q$4,0))),0))</f>
        <v/>
      </c>
      <c r="AW283" s="269">
        <f>IF(AW$7="Actual","",IFERROR((INDEX($M283:$Q283,,MATCH(AW$4,$M$4:$Q$4,0))),0))</f>
        <v/>
      </c>
      <c r="AX283" s="269">
        <f>IF(AX$7="Actual","",IFERROR((INDEX($M283:$Q283,,MATCH(AX$4,$M$4:$Q$4,0))),0))</f>
        <v/>
      </c>
      <c r="AY283" s="269">
        <f>IF(AY$7="Actual","",IFERROR((INDEX($M283:$Q283,,MATCH(AY$4,$M$4:$Q$4,0))),0))</f>
        <v/>
      </c>
      <c r="AZ283" s="269">
        <f>IF(AZ$7="Actual","",IFERROR((INDEX($M283:$Q283,,MATCH(AZ$4,$M$4:$Q$4,0))),0))</f>
        <v/>
      </c>
      <c r="BA283" s="269">
        <f>IF(BA$7="Actual","",IFERROR((INDEX($M283:$Q283,,MATCH(BA$4,$M$4:$Q$4,0))),0))</f>
        <v/>
      </c>
      <c r="BB283" s="269">
        <f>IF(BB$7="Actual","",IFERROR((INDEX($M283:$Q283,,MATCH(BB$4,$M$4:$Q$4,0))),0))</f>
        <v/>
      </c>
      <c r="BC283" s="269">
        <f>IF(BC$7="Actual","",IFERROR((INDEX($M283:$Q283,,MATCH(BC$4,$M$4:$Q$4,0))),0))</f>
        <v/>
      </c>
      <c r="BD283" s="269">
        <f>IF(BD$7="Actual","",IFERROR((INDEX($M283:$Q283,,MATCH(BD$4,$M$4:$Q$4,0))),0))</f>
        <v/>
      </c>
      <c r="BE283" s="269">
        <f>IF(BE$7="Actual","",IFERROR((INDEX($M283:$Q283,,MATCH(BE$4,$M$4:$Q$4,0))),0))</f>
        <v/>
      </c>
      <c r="BF283" s="269">
        <f>IF(BF$7="Actual","",IFERROR((INDEX($M283:$Q283,,MATCH(BF$4,$M$4:$Q$4,0))),0))</f>
        <v/>
      </c>
      <c r="BG283" s="269">
        <f>IF(BG$7="Actual","",IFERROR((INDEX($M283:$Q283,,MATCH(BG$4,$M$4:$Q$4,0))),0))</f>
        <v/>
      </c>
      <c r="BH283" s="269">
        <f>IF(BH$7="Actual","",IFERROR((INDEX($M283:$Q283,,MATCH(BH$4,$M$4:$Q$4,0))),0))</f>
        <v/>
      </c>
      <c r="BI283" s="269">
        <f>IF(BI$7="Actual","",IFERROR((INDEX($M283:$Q283,,MATCH(BI$4,$M$4:$Q$4,0))),0))</f>
        <v/>
      </c>
      <c r="BJ283" s="269">
        <f>IF(BJ$7="Actual","",IFERROR((INDEX($M283:$Q283,,MATCH(BJ$4,$M$4:$Q$4,0))),0))</f>
        <v/>
      </c>
      <c r="BK283" s="269">
        <f>IF(BK$7="Actual","",IFERROR((INDEX($M283:$Q283,,MATCH(BK$4,$M$4:$Q$4,0))),0))</f>
        <v/>
      </c>
      <c r="BL283" s="269">
        <f>IF(BL$7="Actual","",IFERROR((INDEX($M283:$Q283,,MATCH(BL$4,$M$4:$Q$4,0))),0))</f>
        <v/>
      </c>
      <c r="BM283" s="269">
        <f>IF(BM$7="Actual","",IFERROR((INDEX($M283:$Q283,,MATCH(BM$4,$M$4:$Q$4,0))),0))</f>
        <v/>
      </c>
      <c r="BN283" s="269">
        <f>IF(BN$7="Actual","",IFERROR((INDEX($M283:$Q283,,MATCH(BN$4,$M$4:$Q$4,0))),0))</f>
        <v/>
      </c>
      <c r="BO283" s="269">
        <f>IF(BO$7="Actual","",IFERROR((INDEX($M283:$Q283,,MATCH(BO$4,$M$4:$Q$4,0))),0))</f>
        <v/>
      </c>
      <c r="BP283" s="269">
        <f>IF(BP$7="Actual","",IFERROR((INDEX($M283:$Q283,,MATCH(BP$4,$M$4:$Q$4,0))),0))</f>
        <v/>
      </c>
      <c r="BQ283" s="269">
        <f>IF(BQ$7="Actual","",IFERROR((INDEX($M283:$Q283,,MATCH(BQ$4,$M$4:$Q$4,0))),0))</f>
        <v/>
      </c>
      <c r="BR283" s="269">
        <f>IF(BR$7="Actual","",IFERROR((INDEX($M283:$Q283,,MATCH(BR$4,$M$4:$Q$4,0))),0))</f>
        <v/>
      </c>
      <c r="BS283" s="269">
        <f>IF(BS$7="Actual","",IFERROR((INDEX($M283:$Q283,,MATCH(BS$4,$M$4:$Q$4,0))),0))</f>
        <v/>
      </c>
      <c r="BT283" s="269">
        <f>IF(BT$7="Actual","",IFERROR((INDEX($M283:$Q283,,MATCH(BT$4,$M$4:$Q$4,0))),0))</f>
        <v/>
      </c>
      <c r="BU283" s="269">
        <f>IF(BU$7="Actual","",IFERROR((INDEX($M283:$Q283,,MATCH(BU$4,$M$4:$Q$4,0))),0))</f>
        <v/>
      </c>
      <c r="BV283" s="269">
        <f>IF(BV$7="Actual","",IFERROR((INDEX($M283:$Q283,,MATCH(BV$4,$M$4:$Q$4,0))),0))</f>
        <v/>
      </c>
      <c r="BW283" s="269">
        <f>IF(BW$7="Actual","",IFERROR((INDEX($M283:$Q283,,MATCH(BW$4,$M$4:$Q$4,0))),0))</f>
        <v/>
      </c>
      <c r="BX283" s="269">
        <f>IF(BX$7="Actual","",IFERROR((INDEX($M283:$Q283,,MATCH(BX$4,$M$4:$Q$4,0))),0))</f>
        <v/>
      </c>
      <c r="BY283" s="269">
        <f>IF(BY$7="Actual","",IFERROR((INDEX($M283:$Q283,,MATCH(BY$4,$M$4:$Q$4,0))),0))</f>
        <v/>
      </c>
      <c r="BZ283" s="269">
        <f>IF(BZ$7="Actual","",IFERROR((INDEX($M283:$Q283,,MATCH(BZ$4,$M$4:$Q$4,0))),0))</f>
        <v/>
      </c>
      <c r="CA283" s="269">
        <f>IF(CA$7="Actual","",IFERROR((INDEX($M283:$Q283,,MATCH(CA$4,$M$4:$Q$4,0))),0))</f>
        <v/>
      </c>
    </row>
    <row r="284" ht="12" customHeight="1" s="227">
      <c r="A284" s="244" t="n"/>
      <c r="B284" s="244" t="n"/>
      <c r="C284" s="244" t="n"/>
      <c r="H284" s="4">
        <f>H274</f>
        <v/>
      </c>
      <c r="I284" s="27" t="inlineStr">
        <is>
          <t>no</t>
        </is>
      </c>
      <c r="K284" s="6" t="n"/>
      <c r="M284" s="267">
        <f>IF(M$7="Actual","",i_Assumptions!M132)</f>
        <v/>
      </c>
      <c r="N284" s="267">
        <f>IF(N$7="Actual","",i_Assumptions!N132)</f>
        <v/>
      </c>
      <c r="O284" s="267">
        <f>IF(O$7="Actual","",i_Assumptions!O132)</f>
        <v/>
      </c>
      <c r="P284" s="267">
        <f>IF(P$7="Actual","",i_Assumptions!P132)</f>
        <v/>
      </c>
      <c r="Q284" s="267">
        <f>IF(Q$7="Actual","",i_Assumptions!Q132)</f>
        <v/>
      </c>
      <c r="R284" s="268" t="n"/>
      <c r="S284" s="268" t="n"/>
      <c r="T284" s="269">
        <f>IF(T$7="Actual","",IFERROR((INDEX($M284:$Q284,,MATCH(T$4,$M$4:$Q$4,0))),0))</f>
        <v/>
      </c>
      <c r="U284" s="269">
        <f>IF(U$7="Actual","",IFERROR((INDEX($M284:$Q284,,MATCH(U$4,$M$4:$Q$4,0))),0))</f>
        <v/>
      </c>
      <c r="V284" s="269">
        <f>IF(V$7="Actual","",IFERROR((INDEX($M284:$Q284,,MATCH(V$4,$M$4:$Q$4,0))),0))</f>
        <v/>
      </c>
      <c r="W284" s="269">
        <f>IF(W$7="Actual","",IFERROR((INDEX($M284:$Q284,,MATCH(W$4,$M$4:$Q$4,0))),0))</f>
        <v/>
      </c>
      <c r="X284" s="269">
        <f>IF(X$7="Actual","",IFERROR((INDEX($M284:$Q284,,MATCH(X$4,$M$4:$Q$4,0))),0))</f>
        <v/>
      </c>
      <c r="Y284" s="269">
        <f>IF(Y$7="Actual","",IFERROR((INDEX($M284:$Q284,,MATCH(Y$4,$M$4:$Q$4,0))),0))</f>
        <v/>
      </c>
      <c r="Z284" s="269">
        <f>IF(Z$7="Actual","",IFERROR((INDEX($M284:$Q284,,MATCH(Z$4,$M$4:$Q$4,0))),0))</f>
        <v/>
      </c>
      <c r="AA284" s="269">
        <f>IF(AA$7="Actual","",IFERROR((INDEX($M284:$Q284,,MATCH(AA$4,$M$4:$Q$4,0))),0))</f>
        <v/>
      </c>
      <c r="AB284" s="269">
        <f>IF(AB$7="Actual","",IFERROR((INDEX($M284:$Q284,,MATCH(AB$4,$M$4:$Q$4,0))),0))</f>
        <v/>
      </c>
      <c r="AC284" s="269">
        <f>IF(AC$7="Actual","",IFERROR((INDEX($M284:$Q284,,MATCH(AC$4,$M$4:$Q$4,0))),0))</f>
        <v/>
      </c>
      <c r="AD284" s="269">
        <f>IF(AD$7="Actual","",IFERROR((INDEX($M284:$Q284,,MATCH(AD$4,$M$4:$Q$4,0))),0))</f>
        <v/>
      </c>
      <c r="AE284" s="269">
        <f>IF(AE$7="Actual","",IFERROR((INDEX($M284:$Q284,,MATCH(AE$4,$M$4:$Q$4,0))),0))</f>
        <v/>
      </c>
      <c r="AF284" s="269">
        <f>IF(AF$7="Actual","",IFERROR((INDEX($M284:$Q284,,MATCH(AF$4,$M$4:$Q$4,0))),0))</f>
        <v/>
      </c>
      <c r="AG284" s="269">
        <f>IF(AG$7="Actual","",IFERROR((INDEX($M284:$Q284,,MATCH(AG$4,$M$4:$Q$4,0))),0))</f>
        <v/>
      </c>
      <c r="AH284" s="269">
        <f>IF(AH$7="Actual","",IFERROR((INDEX($M284:$Q284,,MATCH(AH$4,$M$4:$Q$4,0))),0))</f>
        <v/>
      </c>
      <c r="AI284" s="269">
        <f>IF(AI$7="Actual","",IFERROR((INDEX($M284:$Q284,,MATCH(AI$4,$M$4:$Q$4,0))),0))</f>
        <v/>
      </c>
      <c r="AJ284" s="269">
        <f>IF(AJ$7="Actual","",IFERROR((INDEX($M284:$Q284,,MATCH(AJ$4,$M$4:$Q$4,0))),0))</f>
        <v/>
      </c>
      <c r="AK284" s="269">
        <f>IF(AK$7="Actual","",IFERROR((INDEX($M284:$Q284,,MATCH(AK$4,$M$4:$Q$4,0))),0))</f>
        <v/>
      </c>
      <c r="AL284" s="269">
        <f>IF(AL$7="Actual","",IFERROR((INDEX($M284:$Q284,,MATCH(AL$4,$M$4:$Q$4,0))),0))</f>
        <v/>
      </c>
      <c r="AM284" s="269">
        <f>IF(AM$7="Actual","",IFERROR((INDEX($M284:$Q284,,MATCH(AM$4,$M$4:$Q$4,0))),0))</f>
        <v/>
      </c>
      <c r="AN284" s="269">
        <f>IF(AN$7="Actual","",IFERROR((INDEX($M284:$Q284,,MATCH(AN$4,$M$4:$Q$4,0))),0))</f>
        <v/>
      </c>
      <c r="AO284" s="269">
        <f>IF(AO$7="Actual","",IFERROR((INDEX($M284:$Q284,,MATCH(AO$4,$M$4:$Q$4,0))),0))</f>
        <v/>
      </c>
      <c r="AP284" s="269">
        <f>IF(AP$7="Actual","",IFERROR((INDEX($M284:$Q284,,MATCH(AP$4,$M$4:$Q$4,0))),0))</f>
        <v/>
      </c>
      <c r="AQ284" s="269">
        <f>IF(AQ$7="Actual","",IFERROR((INDEX($M284:$Q284,,MATCH(AQ$4,$M$4:$Q$4,0))),0))</f>
        <v/>
      </c>
      <c r="AR284" s="269">
        <f>IF(AR$7="Actual","",IFERROR((INDEX($M284:$Q284,,MATCH(AR$4,$M$4:$Q$4,0))),0))</f>
        <v/>
      </c>
      <c r="AS284" s="269">
        <f>IF(AS$7="Actual","",IFERROR((INDEX($M284:$Q284,,MATCH(AS$4,$M$4:$Q$4,0))),0))</f>
        <v/>
      </c>
      <c r="AT284" s="269">
        <f>IF(AT$7="Actual","",IFERROR((INDEX($M284:$Q284,,MATCH(AT$4,$M$4:$Q$4,0))),0))</f>
        <v/>
      </c>
      <c r="AU284" s="269">
        <f>IF(AU$7="Actual","",IFERROR((INDEX($M284:$Q284,,MATCH(AU$4,$M$4:$Q$4,0))),0))</f>
        <v/>
      </c>
      <c r="AV284" s="269">
        <f>IF(AV$7="Actual","",IFERROR((INDEX($M284:$Q284,,MATCH(AV$4,$M$4:$Q$4,0))),0))</f>
        <v/>
      </c>
      <c r="AW284" s="269">
        <f>IF(AW$7="Actual","",IFERROR((INDEX($M284:$Q284,,MATCH(AW$4,$M$4:$Q$4,0))),0))</f>
        <v/>
      </c>
      <c r="AX284" s="269">
        <f>IF(AX$7="Actual","",IFERROR((INDEX($M284:$Q284,,MATCH(AX$4,$M$4:$Q$4,0))),0))</f>
        <v/>
      </c>
      <c r="AY284" s="269">
        <f>IF(AY$7="Actual","",IFERROR((INDEX($M284:$Q284,,MATCH(AY$4,$M$4:$Q$4,0))),0))</f>
        <v/>
      </c>
      <c r="AZ284" s="269">
        <f>IF(AZ$7="Actual","",IFERROR((INDEX($M284:$Q284,,MATCH(AZ$4,$M$4:$Q$4,0))),0))</f>
        <v/>
      </c>
      <c r="BA284" s="269">
        <f>IF(BA$7="Actual","",IFERROR((INDEX($M284:$Q284,,MATCH(BA$4,$M$4:$Q$4,0))),0))</f>
        <v/>
      </c>
      <c r="BB284" s="269">
        <f>IF(BB$7="Actual","",IFERROR((INDEX($M284:$Q284,,MATCH(BB$4,$M$4:$Q$4,0))),0))</f>
        <v/>
      </c>
      <c r="BC284" s="269">
        <f>IF(BC$7="Actual","",IFERROR((INDEX($M284:$Q284,,MATCH(BC$4,$M$4:$Q$4,0))),0))</f>
        <v/>
      </c>
      <c r="BD284" s="269">
        <f>IF(BD$7="Actual","",IFERROR((INDEX($M284:$Q284,,MATCH(BD$4,$M$4:$Q$4,0))),0))</f>
        <v/>
      </c>
      <c r="BE284" s="269">
        <f>IF(BE$7="Actual","",IFERROR((INDEX($M284:$Q284,,MATCH(BE$4,$M$4:$Q$4,0))),0))</f>
        <v/>
      </c>
      <c r="BF284" s="269">
        <f>IF(BF$7="Actual","",IFERROR((INDEX($M284:$Q284,,MATCH(BF$4,$M$4:$Q$4,0))),0))</f>
        <v/>
      </c>
      <c r="BG284" s="269">
        <f>IF(BG$7="Actual","",IFERROR((INDEX($M284:$Q284,,MATCH(BG$4,$M$4:$Q$4,0))),0))</f>
        <v/>
      </c>
      <c r="BH284" s="269">
        <f>IF(BH$7="Actual","",IFERROR((INDEX($M284:$Q284,,MATCH(BH$4,$M$4:$Q$4,0))),0))</f>
        <v/>
      </c>
      <c r="BI284" s="269">
        <f>IF(BI$7="Actual","",IFERROR((INDEX($M284:$Q284,,MATCH(BI$4,$M$4:$Q$4,0))),0))</f>
        <v/>
      </c>
      <c r="BJ284" s="269">
        <f>IF(BJ$7="Actual","",IFERROR((INDEX($M284:$Q284,,MATCH(BJ$4,$M$4:$Q$4,0))),0))</f>
        <v/>
      </c>
      <c r="BK284" s="269">
        <f>IF(BK$7="Actual","",IFERROR((INDEX($M284:$Q284,,MATCH(BK$4,$M$4:$Q$4,0))),0))</f>
        <v/>
      </c>
      <c r="BL284" s="269">
        <f>IF(BL$7="Actual","",IFERROR((INDEX($M284:$Q284,,MATCH(BL$4,$M$4:$Q$4,0))),0))</f>
        <v/>
      </c>
      <c r="BM284" s="269">
        <f>IF(BM$7="Actual","",IFERROR((INDEX($M284:$Q284,,MATCH(BM$4,$M$4:$Q$4,0))),0))</f>
        <v/>
      </c>
      <c r="BN284" s="269">
        <f>IF(BN$7="Actual","",IFERROR((INDEX($M284:$Q284,,MATCH(BN$4,$M$4:$Q$4,0))),0))</f>
        <v/>
      </c>
      <c r="BO284" s="269">
        <f>IF(BO$7="Actual","",IFERROR((INDEX($M284:$Q284,,MATCH(BO$4,$M$4:$Q$4,0))),0))</f>
        <v/>
      </c>
      <c r="BP284" s="269">
        <f>IF(BP$7="Actual","",IFERROR((INDEX($M284:$Q284,,MATCH(BP$4,$M$4:$Q$4,0))),0))</f>
        <v/>
      </c>
      <c r="BQ284" s="269">
        <f>IF(BQ$7="Actual","",IFERROR((INDEX($M284:$Q284,,MATCH(BQ$4,$M$4:$Q$4,0))),0))</f>
        <v/>
      </c>
      <c r="BR284" s="269">
        <f>IF(BR$7="Actual","",IFERROR((INDEX($M284:$Q284,,MATCH(BR$4,$M$4:$Q$4,0))),0))</f>
        <v/>
      </c>
      <c r="BS284" s="269">
        <f>IF(BS$7="Actual","",IFERROR((INDEX($M284:$Q284,,MATCH(BS$4,$M$4:$Q$4,0))),0))</f>
        <v/>
      </c>
      <c r="BT284" s="269">
        <f>IF(BT$7="Actual","",IFERROR((INDEX($M284:$Q284,,MATCH(BT$4,$M$4:$Q$4,0))),0))</f>
        <v/>
      </c>
      <c r="BU284" s="269">
        <f>IF(BU$7="Actual","",IFERROR((INDEX($M284:$Q284,,MATCH(BU$4,$M$4:$Q$4,0))),0))</f>
        <v/>
      </c>
      <c r="BV284" s="269">
        <f>IF(BV$7="Actual","",IFERROR((INDEX($M284:$Q284,,MATCH(BV$4,$M$4:$Q$4,0))),0))</f>
        <v/>
      </c>
      <c r="BW284" s="269">
        <f>IF(BW$7="Actual","",IFERROR((INDEX($M284:$Q284,,MATCH(BW$4,$M$4:$Q$4,0))),0))</f>
        <v/>
      </c>
      <c r="BX284" s="269">
        <f>IF(BX$7="Actual","",IFERROR((INDEX($M284:$Q284,,MATCH(BX$4,$M$4:$Q$4,0))),0))</f>
        <v/>
      </c>
      <c r="BY284" s="269">
        <f>IF(BY$7="Actual","",IFERROR((INDEX($M284:$Q284,,MATCH(BY$4,$M$4:$Q$4,0))),0))</f>
        <v/>
      </c>
      <c r="BZ284" s="269">
        <f>IF(BZ$7="Actual","",IFERROR((INDEX($M284:$Q284,,MATCH(BZ$4,$M$4:$Q$4,0))),0))</f>
        <v/>
      </c>
      <c r="CA284" s="269">
        <f>IF(CA$7="Actual","",IFERROR((INDEX($M284:$Q284,,MATCH(CA$4,$M$4:$Q$4,0))),0))</f>
        <v/>
      </c>
    </row>
    <row r="285" ht="12" customHeight="1" s="227">
      <c r="A285" s="244" t="n"/>
      <c r="B285" s="244" t="n"/>
      <c r="C285" s="244" t="n"/>
      <c r="H285" s="4">
        <f>H275</f>
        <v/>
      </c>
      <c r="I285" s="27" t="inlineStr">
        <is>
          <t>no</t>
        </is>
      </c>
      <c r="K285" s="6" t="n"/>
      <c r="M285" s="267">
        <f>IF(M$7="Actual","",i_Assumptions!M133)</f>
        <v/>
      </c>
      <c r="N285" s="267">
        <f>IF(N$7="Actual","",i_Assumptions!N133)</f>
        <v/>
      </c>
      <c r="O285" s="267">
        <f>IF(O$7="Actual","",i_Assumptions!O133)</f>
        <v/>
      </c>
      <c r="P285" s="267">
        <f>IF(P$7="Actual","",i_Assumptions!P133)</f>
        <v/>
      </c>
      <c r="Q285" s="267">
        <f>IF(Q$7="Actual","",i_Assumptions!Q133)</f>
        <v/>
      </c>
      <c r="R285" s="268" t="n"/>
      <c r="S285" s="268" t="n"/>
      <c r="T285" s="269">
        <f>IF(T$7="Actual","",IFERROR((INDEX($M285:$Q285,,MATCH(T$4,$M$4:$Q$4,0))),0))</f>
        <v/>
      </c>
      <c r="U285" s="269">
        <f>IF(U$7="Actual","",IFERROR((INDEX($M285:$Q285,,MATCH(U$4,$M$4:$Q$4,0))),0))</f>
        <v/>
      </c>
      <c r="V285" s="269">
        <f>IF(V$7="Actual","",IFERROR((INDEX($M285:$Q285,,MATCH(V$4,$M$4:$Q$4,0))),0))</f>
        <v/>
      </c>
      <c r="W285" s="269">
        <f>IF(W$7="Actual","",IFERROR((INDEX($M285:$Q285,,MATCH(W$4,$M$4:$Q$4,0))),0))</f>
        <v/>
      </c>
      <c r="X285" s="269">
        <f>IF(X$7="Actual","",IFERROR((INDEX($M285:$Q285,,MATCH(X$4,$M$4:$Q$4,0))),0))</f>
        <v/>
      </c>
      <c r="Y285" s="269">
        <f>IF(Y$7="Actual","",IFERROR((INDEX($M285:$Q285,,MATCH(Y$4,$M$4:$Q$4,0))),0))</f>
        <v/>
      </c>
      <c r="Z285" s="269">
        <f>IF(Z$7="Actual","",IFERROR((INDEX($M285:$Q285,,MATCH(Z$4,$M$4:$Q$4,0))),0))</f>
        <v/>
      </c>
      <c r="AA285" s="269">
        <f>IF(AA$7="Actual","",IFERROR((INDEX($M285:$Q285,,MATCH(AA$4,$M$4:$Q$4,0))),0))</f>
        <v/>
      </c>
      <c r="AB285" s="269">
        <f>IF(AB$7="Actual","",IFERROR((INDEX($M285:$Q285,,MATCH(AB$4,$M$4:$Q$4,0))),0))</f>
        <v/>
      </c>
      <c r="AC285" s="269">
        <f>IF(AC$7="Actual","",IFERROR((INDEX($M285:$Q285,,MATCH(AC$4,$M$4:$Q$4,0))),0))</f>
        <v/>
      </c>
      <c r="AD285" s="269">
        <f>IF(AD$7="Actual","",IFERROR((INDEX($M285:$Q285,,MATCH(AD$4,$M$4:$Q$4,0))),0))</f>
        <v/>
      </c>
      <c r="AE285" s="269">
        <f>IF(AE$7="Actual","",IFERROR((INDEX($M285:$Q285,,MATCH(AE$4,$M$4:$Q$4,0))),0))</f>
        <v/>
      </c>
      <c r="AF285" s="269">
        <f>IF(AF$7="Actual","",IFERROR((INDEX($M285:$Q285,,MATCH(AF$4,$M$4:$Q$4,0))),0))</f>
        <v/>
      </c>
      <c r="AG285" s="269">
        <f>IF(AG$7="Actual","",IFERROR((INDEX($M285:$Q285,,MATCH(AG$4,$M$4:$Q$4,0))),0))</f>
        <v/>
      </c>
      <c r="AH285" s="269">
        <f>IF(AH$7="Actual","",IFERROR((INDEX($M285:$Q285,,MATCH(AH$4,$M$4:$Q$4,0))),0))</f>
        <v/>
      </c>
      <c r="AI285" s="269">
        <f>IF(AI$7="Actual","",IFERROR((INDEX($M285:$Q285,,MATCH(AI$4,$M$4:$Q$4,0))),0))</f>
        <v/>
      </c>
      <c r="AJ285" s="269">
        <f>IF(AJ$7="Actual","",IFERROR((INDEX($M285:$Q285,,MATCH(AJ$4,$M$4:$Q$4,0))),0))</f>
        <v/>
      </c>
      <c r="AK285" s="269">
        <f>IF(AK$7="Actual","",IFERROR((INDEX($M285:$Q285,,MATCH(AK$4,$M$4:$Q$4,0))),0))</f>
        <v/>
      </c>
      <c r="AL285" s="269">
        <f>IF(AL$7="Actual","",IFERROR((INDEX($M285:$Q285,,MATCH(AL$4,$M$4:$Q$4,0))),0))</f>
        <v/>
      </c>
      <c r="AM285" s="269">
        <f>IF(AM$7="Actual","",IFERROR((INDEX($M285:$Q285,,MATCH(AM$4,$M$4:$Q$4,0))),0))</f>
        <v/>
      </c>
      <c r="AN285" s="269">
        <f>IF(AN$7="Actual","",IFERROR((INDEX($M285:$Q285,,MATCH(AN$4,$M$4:$Q$4,0))),0))</f>
        <v/>
      </c>
      <c r="AO285" s="269">
        <f>IF(AO$7="Actual","",IFERROR((INDEX($M285:$Q285,,MATCH(AO$4,$M$4:$Q$4,0))),0))</f>
        <v/>
      </c>
      <c r="AP285" s="269">
        <f>IF(AP$7="Actual","",IFERROR((INDEX($M285:$Q285,,MATCH(AP$4,$M$4:$Q$4,0))),0))</f>
        <v/>
      </c>
      <c r="AQ285" s="269">
        <f>IF(AQ$7="Actual","",IFERROR((INDEX($M285:$Q285,,MATCH(AQ$4,$M$4:$Q$4,0))),0))</f>
        <v/>
      </c>
      <c r="AR285" s="269">
        <f>IF(AR$7="Actual","",IFERROR((INDEX($M285:$Q285,,MATCH(AR$4,$M$4:$Q$4,0))),0))</f>
        <v/>
      </c>
      <c r="AS285" s="269">
        <f>IF(AS$7="Actual","",IFERROR((INDEX($M285:$Q285,,MATCH(AS$4,$M$4:$Q$4,0))),0))</f>
        <v/>
      </c>
      <c r="AT285" s="269">
        <f>IF(AT$7="Actual","",IFERROR((INDEX($M285:$Q285,,MATCH(AT$4,$M$4:$Q$4,0))),0))</f>
        <v/>
      </c>
      <c r="AU285" s="269">
        <f>IF(AU$7="Actual","",IFERROR((INDEX($M285:$Q285,,MATCH(AU$4,$M$4:$Q$4,0))),0))</f>
        <v/>
      </c>
      <c r="AV285" s="269">
        <f>IF(AV$7="Actual","",IFERROR((INDEX($M285:$Q285,,MATCH(AV$4,$M$4:$Q$4,0))),0))</f>
        <v/>
      </c>
      <c r="AW285" s="269">
        <f>IF(AW$7="Actual","",IFERROR((INDEX($M285:$Q285,,MATCH(AW$4,$M$4:$Q$4,0))),0))</f>
        <v/>
      </c>
      <c r="AX285" s="269">
        <f>IF(AX$7="Actual","",IFERROR((INDEX($M285:$Q285,,MATCH(AX$4,$M$4:$Q$4,0))),0))</f>
        <v/>
      </c>
      <c r="AY285" s="269">
        <f>IF(AY$7="Actual","",IFERROR((INDEX($M285:$Q285,,MATCH(AY$4,$M$4:$Q$4,0))),0))</f>
        <v/>
      </c>
      <c r="AZ285" s="269">
        <f>IF(AZ$7="Actual","",IFERROR((INDEX($M285:$Q285,,MATCH(AZ$4,$M$4:$Q$4,0))),0))</f>
        <v/>
      </c>
      <c r="BA285" s="269">
        <f>IF(BA$7="Actual","",IFERROR((INDEX($M285:$Q285,,MATCH(BA$4,$M$4:$Q$4,0))),0))</f>
        <v/>
      </c>
      <c r="BB285" s="269">
        <f>IF(BB$7="Actual","",IFERROR((INDEX($M285:$Q285,,MATCH(BB$4,$M$4:$Q$4,0))),0))</f>
        <v/>
      </c>
      <c r="BC285" s="269">
        <f>IF(BC$7="Actual","",IFERROR((INDEX($M285:$Q285,,MATCH(BC$4,$M$4:$Q$4,0))),0))</f>
        <v/>
      </c>
      <c r="BD285" s="269">
        <f>IF(BD$7="Actual","",IFERROR((INDEX($M285:$Q285,,MATCH(BD$4,$M$4:$Q$4,0))),0))</f>
        <v/>
      </c>
      <c r="BE285" s="269">
        <f>IF(BE$7="Actual","",IFERROR((INDEX($M285:$Q285,,MATCH(BE$4,$M$4:$Q$4,0))),0))</f>
        <v/>
      </c>
      <c r="BF285" s="269">
        <f>IF(BF$7="Actual","",IFERROR((INDEX($M285:$Q285,,MATCH(BF$4,$M$4:$Q$4,0))),0))</f>
        <v/>
      </c>
      <c r="BG285" s="269">
        <f>IF(BG$7="Actual","",IFERROR((INDEX($M285:$Q285,,MATCH(BG$4,$M$4:$Q$4,0))),0))</f>
        <v/>
      </c>
      <c r="BH285" s="269">
        <f>IF(BH$7="Actual","",IFERROR((INDEX($M285:$Q285,,MATCH(BH$4,$M$4:$Q$4,0))),0))</f>
        <v/>
      </c>
      <c r="BI285" s="269">
        <f>IF(BI$7="Actual","",IFERROR((INDEX($M285:$Q285,,MATCH(BI$4,$M$4:$Q$4,0))),0))</f>
        <v/>
      </c>
      <c r="BJ285" s="269">
        <f>IF(BJ$7="Actual","",IFERROR((INDEX($M285:$Q285,,MATCH(BJ$4,$M$4:$Q$4,0))),0))</f>
        <v/>
      </c>
      <c r="BK285" s="269">
        <f>IF(BK$7="Actual","",IFERROR((INDEX($M285:$Q285,,MATCH(BK$4,$M$4:$Q$4,0))),0))</f>
        <v/>
      </c>
      <c r="BL285" s="269">
        <f>IF(BL$7="Actual","",IFERROR((INDEX($M285:$Q285,,MATCH(BL$4,$M$4:$Q$4,0))),0))</f>
        <v/>
      </c>
      <c r="BM285" s="269">
        <f>IF(BM$7="Actual","",IFERROR((INDEX($M285:$Q285,,MATCH(BM$4,$M$4:$Q$4,0))),0))</f>
        <v/>
      </c>
      <c r="BN285" s="269">
        <f>IF(BN$7="Actual","",IFERROR((INDEX($M285:$Q285,,MATCH(BN$4,$M$4:$Q$4,0))),0))</f>
        <v/>
      </c>
      <c r="BO285" s="269">
        <f>IF(BO$7="Actual","",IFERROR((INDEX($M285:$Q285,,MATCH(BO$4,$M$4:$Q$4,0))),0))</f>
        <v/>
      </c>
      <c r="BP285" s="269">
        <f>IF(BP$7="Actual","",IFERROR((INDEX($M285:$Q285,,MATCH(BP$4,$M$4:$Q$4,0))),0))</f>
        <v/>
      </c>
      <c r="BQ285" s="269">
        <f>IF(BQ$7="Actual","",IFERROR((INDEX($M285:$Q285,,MATCH(BQ$4,$M$4:$Q$4,0))),0))</f>
        <v/>
      </c>
      <c r="BR285" s="269">
        <f>IF(BR$7="Actual","",IFERROR((INDEX($M285:$Q285,,MATCH(BR$4,$M$4:$Q$4,0))),0))</f>
        <v/>
      </c>
      <c r="BS285" s="269">
        <f>IF(BS$7="Actual","",IFERROR((INDEX($M285:$Q285,,MATCH(BS$4,$M$4:$Q$4,0))),0))</f>
        <v/>
      </c>
      <c r="BT285" s="269">
        <f>IF(BT$7="Actual","",IFERROR((INDEX($M285:$Q285,,MATCH(BT$4,$M$4:$Q$4,0))),0))</f>
        <v/>
      </c>
      <c r="BU285" s="269">
        <f>IF(BU$7="Actual","",IFERROR((INDEX($M285:$Q285,,MATCH(BU$4,$M$4:$Q$4,0))),0))</f>
        <v/>
      </c>
      <c r="BV285" s="269">
        <f>IF(BV$7="Actual","",IFERROR((INDEX($M285:$Q285,,MATCH(BV$4,$M$4:$Q$4,0))),0))</f>
        <v/>
      </c>
      <c r="BW285" s="269">
        <f>IF(BW$7="Actual","",IFERROR((INDEX($M285:$Q285,,MATCH(BW$4,$M$4:$Q$4,0))),0))</f>
        <v/>
      </c>
      <c r="BX285" s="269">
        <f>IF(BX$7="Actual","",IFERROR((INDEX($M285:$Q285,,MATCH(BX$4,$M$4:$Q$4,0))),0))</f>
        <v/>
      </c>
      <c r="BY285" s="269">
        <f>IF(BY$7="Actual","",IFERROR((INDEX($M285:$Q285,,MATCH(BY$4,$M$4:$Q$4,0))),0))</f>
        <v/>
      </c>
      <c r="BZ285" s="269">
        <f>IF(BZ$7="Actual","",IFERROR((INDEX($M285:$Q285,,MATCH(BZ$4,$M$4:$Q$4,0))),0))</f>
        <v/>
      </c>
      <c r="CA285" s="269">
        <f>IF(CA$7="Actual","",IFERROR((INDEX($M285:$Q285,,MATCH(CA$4,$M$4:$Q$4,0))),0))</f>
        <v/>
      </c>
    </row>
    <row r="286" ht="12" customHeight="1" s="227">
      <c r="A286" s="244" t="n"/>
      <c r="B286" s="244" t="n"/>
      <c r="C286" s="244" t="n"/>
      <c r="H286" s="4">
        <f>H276</f>
        <v/>
      </c>
      <c r="I286" s="27" t="inlineStr">
        <is>
          <t>no</t>
        </is>
      </c>
      <c r="K286" s="6" t="n"/>
      <c r="M286" s="267">
        <f>IF(M$7="Actual","",i_Assumptions!M134)</f>
        <v/>
      </c>
      <c r="N286" s="267">
        <f>IF(N$7="Actual","",i_Assumptions!N134)</f>
        <v/>
      </c>
      <c r="O286" s="267">
        <f>IF(O$7="Actual","",i_Assumptions!O134)</f>
        <v/>
      </c>
      <c r="P286" s="267">
        <f>IF(P$7="Actual","",i_Assumptions!P134)</f>
        <v/>
      </c>
      <c r="Q286" s="267">
        <f>IF(Q$7="Actual","",i_Assumptions!Q134)</f>
        <v/>
      </c>
      <c r="R286" s="268" t="n"/>
      <c r="S286" s="268" t="n"/>
      <c r="T286" s="269">
        <f>IF(T$7="Actual","",IFERROR((INDEX($M286:$Q286,,MATCH(T$4,$M$4:$Q$4,0))),0))</f>
        <v/>
      </c>
      <c r="U286" s="269">
        <f>IF(U$7="Actual","",IFERROR((INDEX($M286:$Q286,,MATCH(U$4,$M$4:$Q$4,0))),0))</f>
        <v/>
      </c>
      <c r="V286" s="269">
        <f>IF(V$7="Actual","",IFERROR((INDEX($M286:$Q286,,MATCH(V$4,$M$4:$Q$4,0))),0))</f>
        <v/>
      </c>
      <c r="W286" s="269">
        <f>IF(W$7="Actual","",IFERROR((INDEX($M286:$Q286,,MATCH(W$4,$M$4:$Q$4,0))),0))</f>
        <v/>
      </c>
      <c r="X286" s="269">
        <f>IF(X$7="Actual","",IFERROR((INDEX($M286:$Q286,,MATCH(X$4,$M$4:$Q$4,0))),0))</f>
        <v/>
      </c>
      <c r="Y286" s="269">
        <f>IF(Y$7="Actual","",IFERROR((INDEX($M286:$Q286,,MATCH(Y$4,$M$4:$Q$4,0))),0))</f>
        <v/>
      </c>
      <c r="Z286" s="269">
        <f>IF(Z$7="Actual","",IFERROR((INDEX($M286:$Q286,,MATCH(Z$4,$M$4:$Q$4,0))),0))</f>
        <v/>
      </c>
      <c r="AA286" s="269">
        <f>IF(AA$7="Actual","",IFERROR((INDEX($M286:$Q286,,MATCH(AA$4,$M$4:$Q$4,0))),0))</f>
        <v/>
      </c>
      <c r="AB286" s="269">
        <f>IF(AB$7="Actual","",IFERROR((INDEX($M286:$Q286,,MATCH(AB$4,$M$4:$Q$4,0))),0))</f>
        <v/>
      </c>
      <c r="AC286" s="269">
        <f>IF(AC$7="Actual","",IFERROR((INDEX($M286:$Q286,,MATCH(AC$4,$M$4:$Q$4,0))),0))</f>
        <v/>
      </c>
      <c r="AD286" s="269">
        <f>IF(AD$7="Actual","",IFERROR((INDEX($M286:$Q286,,MATCH(AD$4,$M$4:$Q$4,0))),0))</f>
        <v/>
      </c>
      <c r="AE286" s="269">
        <f>IF(AE$7="Actual","",IFERROR((INDEX($M286:$Q286,,MATCH(AE$4,$M$4:$Q$4,0))),0))</f>
        <v/>
      </c>
      <c r="AF286" s="269">
        <f>IF(AF$7="Actual","",IFERROR((INDEX($M286:$Q286,,MATCH(AF$4,$M$4:$Q$4,0))),0))</f>
        <v/>
      </c>
      <c r="AG286" s="269">
        <f>IF(AG$7="Actual","",IFERROR((INDEX($M286:$Q286,,MATCH(AG$4,$M$4:$Q$4,0))),0))</f>
        <v/>
      </c>
      <c r="AH286" s="269">
        <f>IF(AH$7="Actual","",IFERROR((INDEX($M286:$Q286,,MATCH(AH$4,$M$4:$Q$4,0))),0))</f>
        <v/>
      </c>
      <c r="AI286" s="269">
        <f>IF(AI$7="Actual","",IFERROR((INDEX($M286:$Q286,,MATCH(AI$4,$M$4:$Q$4,0))),0))</f>
        <v/>
      </c>
      <c r="AJ286" s="269">
        <f>IF(AJ$7="Actual","",IFERROR((INDEX($M286:$Q286,,MATCH(AJ$4,$M$4:$Q$4,0))),0))</f>
        <v/>
      </c>
      <c r="AK286" s="269">
        <f>IF(AK$7="Actual","",IFERROR((INDEX($M286:$Q286,,MATCH(AK$4,$M$4:$Q$4,0))),0))</f>
        <v/>
      </c>
      <c r="AL286" s="269">
        <f>IF(AL$7="Actual","",IFERROR((INDEX($M286:$Q286,,MATCH(AL$4,$M$4:$Q$4,0))),0))</f>
        <v/>
      </c>
      <c r="AM286" s="269">
        <f>IF(AM$7="Actual","",IFERROR((INDEX($M286:$Q286,,MATCH(AM$4,$M$4:$Q$4,0))),0))</f>
        <v/>
      </c>
      <c r="AN286" s="269">
        <f>IF(AN$7="Actual","",IFERROR((INDEX($M286:$Q286,,MATCH(AN$4,$M$4:$Q$4,0))),0))</f>
        <v/>
      </c>
      <c r="AO286" s="269">
        <f>IF(AO$7="Actual","",IFERROR((INDEX($M286:$Q286,,MATCH(AO$4,$M$4:$Q$4,0))),0))</f>
        <v/>
      </c>
      <c r="AP286" s="269">
        <f>IF(AP$7="Actual","",IFERROR((INDEX($M286:$Q286,,MATCH(AP$4,$M$4:$Q$4,0))),0))</f>
        <v/>
      </c>
      <c r="AQ286" s="269">
        <f>IF(AQ$7="Actual","",IFERROR((INDEX($M286:$Q286,,MATCH(AQ$4,$M$4:$Q$4,0))),0))</f>
        <v/>
      </c>
      <c r="AR286" s="269">
        <f>IF(AR$7="Actual","",IFERROR((INDEX($M286:$Q286,,MATCH(AR$4,$M$4:$Q$4,0))),0))</f>
        <v/>
      </c>
      <c r="AS286" s="269">
        <f>IF(AS$7="Actual","",IFERROR((INDEX($M286:$Q286,,MATCH(AS$4,$M$4:$Q$4,0))),0))</f>
        <v/>
      </c>
      <c r="AT286" s="269">
        <f>IF(AT$7="Actual","",IFERROR((INDEX($M286:$Q286,,MATCH(AT$4,$M$4:$Q$4,0))),0))</f>
        <v/>
      </c>
      <c r="AU286" s="269">
        <f>IF(AU$7="Actual","",IFERROR((INDEX($M286:$Q286,,MATCH(AU$4,$M$4:$Q$4,0))),0))</f>
        <v/>
      </c>
      <c r="AV286" s="269">
        <f>IF(AV$7="Actual","",IFERROR((INDEX($M286:$Q286,,MATCH(AV$4,$M$4:$Q$4,0))),0))</f>
        <v/>
      </c>
      <c r="AW286" s="269">
        <f>IF(AW$7="Actual","",IFERROR((INDEX($M286:$Q286,,MATCH(AW$4,$M$4:$Q$4,0))),0))</f>
        <v/>
      </c>
      <c r="AX286" s="269">
        <f>IF(AX$7="Actual","",IFERROR((INDEX($M286:$Q286,,MATCH(AX$4,$M$4:$Q$4,0))),0))</f>
        <v/>
      </c>
      <c r="AY286" s="269">
        <f>IF(AY$7="Actual","",IFERROR((INDEX($M286:$Q286,,MATCH(AY$4,$M$4:$Q$4,0))),0))</f>
        <v/>
      </c>
      <c r="AZ286" s="269">
        <f>IF(AZ$7="Actual","",IFERROR((INDEX($M286:$Q286,,MATCH(AZ$4,$M$4:$Q$4,0))),0))</f>
        <v/>
      </c>
      <c r="BA286" s="269">
        <f>IF(BA$7="Actual","",IFERROR((INDEX($M286:$Q286,,MATCH(BA$4,$M$4:$Q$4,0))),0))</f>
        <v/>
      </c>
      <c r="BB286" s="269">
        <f>IF(BB$7="Actual","",IFERROR((INDEX($M286:$Q286,,MATCH(BB$4,$M$4:$Q$4,0))),0))</f>
        <v/>
      </c>
      <c r="BC286" s="269">
        <f>IF(BC$7="Actual","",IFERROR((INDEX($M286:$Q286,,MATCH(BC$4,$M$4:$Q$4,0))),0))</f>
        <v/>
      </c>
      <c r="BD286" s="269">
        <f>IF(BD$7="Actual","",IFERROR((INDEX($M286:$Q286,,MATCH(BD$4,$M$4:$Q$4,0))),0))</f>
        <v/>
      </c>
      <c r="BE286" s="269">
        <f>IF(BE$7="Actual","",IFERROR((INDEX($M286:$Q286,,MATCH(BE$4,$M$4:$Q$4,0))),0))</f>
        <v/>
      </c>
      <c r="BF286" s="269">
        <f>IF(BF$7="Actual","",IFERROR((INDEX($M286:$Q286,,MATCH(BF$4,$M$4:$Q$4,0))),0))</f>
        <v/>
      </c>
      <c r="BG286" s="269">
        <f>IF(BG$7="Actual","",IFERROR((INDEX($M286:$Q286,,MATCH(BG$4,$M$4:$Q$4,0))),0))</f>
        <v/>
      </c>
      <c r="BH286" s="269">
        <f>IF(BH$7="Actual","",IFERROR((INDEX($M286:$Q286,,MATCH(BH$4,$M$4:$Q$4,0))),0))</f>
        <v/>
      </c>
      <c r="BI286" s="269">
        <f>IF(BI$7="Actual","",IFERROR((INDEX($M286:$Q286,,MATCH(BI$4,$M$4:$Q$4,0))),0))</f>
        <v/>
      </c>
      <c r="BJ286" s="269">
        <f>IF(BJ$7="Actual","",IFERROR((INDEX($M286:$Q286,,MATCH(BJ$4,$M$4:$Q$4,0))),0))</f>
        <v/>
      </c>
      <c r="BK286" s="269">
        <f>IF(BK$7="Actual","",IFERROR((INDEX($M286:$Q286,,MATCH(BK$4,$M$4:$Q$4,0))),0))</f>
        <v/>
      </c>
      <c r="BL286" s="269">
        <f>IF(BL$7="Actual","",IFERROR((INDEX($M286:$Q286,,MATCH(BL$4,$M$4:$Q$4,0))),0))</f>
        <v/>
      </c>
      <c r="BM286" s="269">
        <f>IF(BM$7="Actual","",IFERROR((INDEX($M286:$Q286,,MATCH(BM$4,$M$4:$Q$4,0))),0))</f>
        <v/>
      </c>
      <c r="BN286" s="269">
        <f>IF(BN$7="Actual","",IFERROR((INDEX($M286:$Q286,,MATCH(BN$4,$M$4:$Q$4,0))),0))</f>
        <v/>
      </c>
      <c r="BO286" s="269">
        <f>IF(BO$7="Actual","",IFERROR((INDEX($M286:$Q286,,MATCH(BO$4,$M$4:$Q$4,0))),0))</f>
        <v/>
      </c>
      <c r="BP286" s="269">
        <f>IF(BP$7="Actual","",IFERROR((INDEX($M286:$Q286,,MATCH(BP$4,$M$4:$Q$4,0))),0))</f>
        <v/>
      </c>
      <c r="BQ286" s="269">
        <f>IF(BQ$7="Actual","",IFERROR((INDEX($M286:$Q286,,MATCH(BQ$4,$M$4:$Q$4,0))),0))</f>
        <v/>
      </c>
      <c r="BR286" s="269">
        <f>IF(BR$7="Actual","",IFERROR((INDEX($M286:$Q286,,MATCH(BR$4,$M$4:$Q$4,0))),0))</f>
        <v/>
      </c>
      <c r="BS286" s="269">
        <f>IF(BS$7="Actual","",IFERROR((INDEX($M286:$Q286,,MATCH(BS$4,$M$4:$Q$4,0))),0))</f>
        <v/>
      </c>
      <c r="BT286" s="269">
        <f>IF(BT$7="Actual","",IFERROR((INDEX($M286:$Q286,,MATCH(BT$4,$M$4:$Q$4,0))),0))</f>
        <v/>
      </c>
      <c r="BU286" s="269">
        <f>IF(BU$7="Actual","",IFERROR((INDEX($M286:$Q286,,MATCH(BU$4,$M$4:$Q$4,0))),0))</f>
        <v/>
      </c>
      <c r="BV286" s="269">
        <f>IF(BV$7="Actual","",IFERROR((INDEX($M286:$Q286,,MATCH(BV$4,$M$4:$Q$4,0))),0))</f>
        <v/>
      </c>
      <c r="BW286" s="269">
        <f>IF(BW$7="Actual","",IFERROR((INDEX($M286:$Q286,,MATCH(BW$4,$M$4:$Q$4,0))),0))</f>
        <v/>
      </c>
      <c r="BX286" s="269">
        <f>IF(BX$7="Actual","",IFERROR((INDEX($M286:$Q286,,MATCH(BX$4,$M$4:$Q$4,0))),0))</f>
        <v/>
      </c>
      <c r="BY286" s="269">
        <f>IF(BY$7="Actual","",IFERROR((INDEX($M286:$Q286,,MATCH(BY$4,$M$4:$Q$4,0))),0))</f>
        <v/>
      </c>
      <c r="BZ286" s="269">
        <f>IF(BZ$7="Actual","",IFERROR((INDEX($M286:$Q286,,MATCH(BZ$4,$M$4:$Q$4,0))),0))</f>
        <v/>
      </c>
      <c r="CA286" s="269">
        <f>IF(CA$7="Actual","",IFERROR((INDEX($M286:$Q286,,MATCH(CA$4,$M$4:$Q$4,0))),0))</f>
        <v/>
      </c>
    </row>
    <row r="287" ht="12" customHeight="1" s="227">
      <c r="A287" s="244" t="n"/>
      <c r="B287" s="244" t="n"/>
      <c r="C287" s="244" t="n"/>
      <c r="K287" s="6" t="n"/>
    </row>
    <row r="288" ht="12" customHeight="1" s="227">
      <c r="A288" s="244" t="n"/>
      <c r="B288" s="244" t="n"/>
      <c r="C288" s="244" t="n"/>
      <c r="H288" s="8">
        <f>i_Setup!U34</f>
        <v/>
      </c>
      <c r="K288" s="6" t="n"/>
    </row>
    <row r="289" ht="12" customHeight="1" s="227">
      <c r="A289" s="244" t="n"/>
      <c r="B289" s="244" t="n"/>
      <c r="C289" s="244" t="n"/>
      <c r="H289" s="4">
        <f>H279</f>
        <v/>
      </c>
      <c r="I289" s="27" t="inlineStr">
        <is>
          <t>no</t>
        </is>
      </c>
      <c r="K289" s="6" t="n"/>
      <c r="M289" s="267">
        <f>IF(M$7="Actual","",i_Assumptions!M167)</f>
        <v/>
      </c>
      <c r="N289" s="267">
        <f>IF(N$7="Actual","",i_Assumptions!N167)</f>
        <v/>
      </c>
      <c r="O289" s="267">
        <f>IF(O$7="Actual","",i_Assumptions!O167)</f>
        <v/>
      </c>
      <c r="P289" s="267">
        <f>IF(P$7="Actual","",i_Assumptions!P167)</f>
        <v/>
      </c>
      <c r="Q289" s="267">
        <f>IF(Q$7="Actual","",i_Assumptions!Q167)</f>
        <v/>
      </c>
      <c r="R289" s="268" t="n"/>
      <c r="S289" s="268" t="n"/>
      <c r="T289" s="269">
        <f>IF(T$7="Actual","",IFERROR((INDEX($M289:$Q289,,MATCH(T$4,$M$4:$Q$4,0))),0))</f>
        <v/>
      </c>
      <c r="U289" s="269">
        <f>IF(U$7="Actual","",IFERROR((INDEX($M289:$Q289,,MATCH(U$4,$M$4:$Q$4,0))),0))</f>
        <v/>
      </c>
      <c r="V289" s="269">
        <f>IF(V$7="Actual","",IFERROR((INDEX($M289:$Q289,,MATCH(V$4,$M$4:$Q$4,0))),0))</f>
        <v/>
      </c>
      <c r="W289" s="269">
        <f>IF(W$7="Actual","",IFERROR((INDEX($M289:$Q289,,MATCH(W$4,$M$4:$Q$4,0))),0))</f>
        <v/>
      </c>
      <c r="X289" s="269">
        <f>IF(X$7="Actual","",IFERROR((INDEX($M289:$Q289,,MATCH(X$4,$M$4:$Q$4,0))),0))</f>
        <v/>
      </c>
      <c r="Y289" s="269">
        <f>IF(Y$7="Actual","",IFERROR((INDEX($M289:$Q289,,MATCH(Y$4,$M$4:$Q$4,0))),0))</f>
        <v/>
      </c>
      <c r="Z289" s="269">
        <f>IF(Z$7="Actual","",IFERROR((INDEX($M289:$Q289,,MATCH(Z$4,$M$4:$Q$4,0))),0))</f>
        <v/>
      </c>
      <c r="AA289" s="269">
        <f>IF(AA$7="Actual","",IFERROR((INDEX($M289:$Q289,,MATCH(AA$4,$M$4:$Q$4,0))),0))</f>
        <v/>
      </c>
      <c r="AB289" s="269">
        <f>IF(AB$7="Actual","",IFERROR((INDEX($M289:$Q289,,MATCH(AB$4,$M$4:$Q$4,0))),0))</f>
        <v/>
      </c>
      <c r="AC289" s="269">
        <f>IF(AC$7="Actual","",IFERROR((INDEX($M289:$Q289,,MATCH(AC$4,$M$4:$Q$4,0))),0))</f>
        <v/>
      </c>
      <c r="AD289" s="269">
        <f>IF(AD$7="Actual","",IFERROR((INDEX($M289:$Q289,,MATCH(AD$4,$M$4:$Q$4,0))),0))</f>
        <v/>
      </c>
      <c r="AE289" s="269">
        <f>IF(AE$7="Actual","",IFERROR((INDEX($M289:$Q289,,MATCH(AE$4,$M$4:$Q$4,0))),0))</f>
        <v/>
      </c>
      <c r="AF289" s="269">
        <f>IF(AF$7="Actual","",IFERROR((INDEX($M289:$Q289,,MATCH(AF$4,$M$4:$Q$4,0))),0))</f>
        <v/>
      </c>
      <c r="AG289" s="269">
        <f>IF(AG$7="Actual","",IFERROR((INDEX($M289:$Q289,,MATCH(AG$4,$M$4:$Q$4,0))),0))</f>
        <v/>
      </c>
      <c r="AH289" s="269">
        <f>IF(AH$7="Actual","",IFERROR((INDEX($M289:$Q289,,MATCH(AH$4,$M$4:$Q$4,0))),0))</f>
        <v/>
      </c>
      <c r="AI289" s="269">
        <f>IF(AI$7="Actual","",IFERROR((INDEX($M289:$Q289,,MATCH(AI$4,$M$4:$Q$4,0))),0))</f>
        <v/>
      </c>
      <c r="AJ289" s="269">
        <f>IF(AJ$7="Actual","",IFERROR((INDEX($M289:$Q289,,MATCH(AJ$4,$M$4:$Q$4,0))),0))</f>
        <v/>
      </c>
      <c r="AK289" s="269">
        <f>IF(AK$7="Actual","",IFERROR((INDEX($M289:$Q289,,MATCH(AK$4,$M$4:$Q$4,0))),0))</f>
        <v/>
      </c>
      <c r="AL289" s="269">
        <f>IF(AL$7="Actual","",IFERROR((INDEX($M289:$Q289,,MATCH(AL$4,$M$4:$Q$4,0))),0))</f>
        <v/>
      </c>
      <c r="AM289" s="269">
        <f>IF(AM$7="Actual","",IFERROR((INDEX($M289:$Q289,,MATCH(AM$4,$M$4:$Q$4,0))),0))</f>
        <v/>
      </c>
      <c r="AN289" s="269">
        <f>IF(AN$7="Actual","",IFERROR((INDEX($M289:$Q289,,MATCH(AN$4,$M$4:$Q$4,0))),0))</f>
        <v/>
      </c>
      <c r="AO289" s="269">
        <f>IF(AO$7="Actual","",IFERROR((INDEX($M289:$Q289,,MATCH(AO$4,$M$4:$Q$4,0))),0))</f>
        <v/>
      </c>
      <c r="AP289" s="269">
        <f>IF(AP$7="Actual","",IFERROR((INDEX($M289:$Q289,,MATCH(AP$4,$M$4:$Q$4,0))),0))</f>
        <v/>
      </c>
      <c r="AQ289" s="269">
        <f>IF(AQ$7="Actual","",IFERROR((INDEX($M289:$Q289,,MATCH(AQ$4,$M$4:$Q$4,0))),0))</f>
        <v/>
      </c>
      <c r="AR289" s="269">
        <f>IF(AR$7="Actual","",IFERROR((INDEX($M289:$Q289,,MATCH(AR$4,$M$4:$Q$4,0))),0))</f>
        <v/>
      </c>
      <c r="AS289" s="269">
        <f>IF(AS$7="Actual","",IFERROR((INDEX($M289:$Q289,,MATCH(AS$4,$M$4:$Q$4,0))),0))</f>
        <v/>
      </c>
      <c r="AT289" s="269">
        <f>IF(AT$7="Actual","",IFERROR((INDEX($M289:$Q289,,MATCH(AT$4,$M$4:$Q$4,0))),0))</f>
        <v/>
      </c>
      <c r="AU289" s="269">
        <f>IF(AU$7="Actual","",IFERROR((INDEX($M289:$Q289,,MATCH(AU$4,$M$4:$Q$4,0))),0))</f>
        <v/>
      </c>
      <c r="AV289" s="269">
        <f>IF(AV$7="Actual","",IFERROR((INDEX($M289:$Q289,,MATCH(AV$4,$M$4:$Q$4,0))),0))</f>
        <v/>
      </c>
      <c r="AW289" s="269">
        <f>IF(AW$7="Actual","",IFERROR((INDEX($M289:$Q289,,MATCH(AW$4,$M$4:$Q$4,0))),0))</f>
        <v/>
      </c>
      <c r="AX289" s="269">
        <f>IF(AX$7="Actual","",IFERROR((INDEX($M289:$Q289,,MATCH(AX$4,$M$4:$Q$4,0))),0))</f>
        <v/>
      </c>
      <c r="AY289" s="269">
        <f>IF(AY$7="Actual","",IFERROR((INDEX($M289:$Q289,,MATCH(AY$4,$M$4:$Q$4,0))),0))</f>
        <v/>
      </c>
      <c r="AZ289" s="269">
        <f>IF(AZ$7="Actual","",IFERROR((INDEX($M289:$Q289,,MATCH(AZ$4,$M$4:$Q$4,0))),0))</f>
        <v/>
      </c>
      <c r="BA289" s="269">
        <f>IF(BA$7="Actual","",IFERROR((INDEX($M289:$Q289,,MATCH(BA$4,$M$4:$Q$4,0))),0))</f>
        <v/>
      </c>
      <c r="BB289" s="269">
        <f>IF(BB$7="Actual","",IFERROR((INDEX($M289:$Q289,,MATCH(BB$4,$M$4:$Q$4,0))),0))</f>
        <v/>
      </c>
      <c r="BC289" s="269">
        <f>IF(BC$7="Actual","",IFERROR((INDEX($M289:$Q289,,MATCH(BC$4,$M$4:$Q$4,0))),0))</f>
        <v/>
      </c>
      <c r="BD289" s="269">
        <f>IF(BD$7="Actual","",IFERROR((INDEX($M289:$Q289,,MATCH(BD$4,$M$4:$Q$4,0))),0))</f>
        <v/>
      </c>
      <c r="BE289" s="269">
        <f>IF(BE$7="Actual","",IFERROR((INDEX($M289:$Q289,,MATCH(BE$4,$M$4:$Q$4,0))),0))</f>
        <v/>
      </c>
      <c r="BF289" s="269">
        <f>IF(BF$7="Actual","",IFERROR((INDEX($M289:$Q289,,MATCH(BF$4,$M$4:$Q$4,0))),0))</f>
        <v/>
      </c>
      <c r="BG289" s="269">
        <f>IF(BG$7="Actual","",IFERROR((INDEX($M289:$Q289,,MATCH(BG$4,$M$4:$Q$4,0))),0))</f>
        <v/>
      </c>
      <c r="BH289" s="269">
        <f>IF(BH$7="Actual","",IFERROR((INDEX($M289:$Q289,,MATCH(BH$4,$M$4:$Q$4,0))),0))</f>
        <v/>
      </c>
      <c r="BI289" s="269">
        <f>IF(BI$7="Actual","",IFERROR((INDEX($M289:$Q289,,MATCH(BI$4,$M$4:$Q$4,0))),0))</f>
        <v/>
      </c>
      <c r="BJ289" s="269">
        <f>IF(BJ$7="Actual","",IFERROR((INDEX($M289:$Q289,,MATCH(BJ$4,$M$4:$Q$4,0))),0))</f>
        <v/>
      </c>
      <c r="BK289" s="269">
        <f>IF(BK$7="Actual","",IFERROR((INDEX($M289:$Q289,,MATCH(BK$4,$M$4:$Q$4,0))),0))</f>
        <v/>
      </c>
      <c r="BL289" s="269">
        <f>IF(BL$7="Actual","",IFERROR((INDEX($M289:$Q289,,MATCH(BL$4,$M$4:$Q$4,0))),0))</f>
        <v/>
      </c>
      <c r="BM289" s="269">
        <f>IF(BM$7="Actual","",IFERROR((INDEX($M289:$Q289,,MATCH(BM$4,$M$4:$Q$4,0))),0))</f>
        <v/>
      </c>
      <c r="BN289" s="269">
        <f>IF(BN$7="Actual","",IFERROR((INDEX($M289:$Q289,,MATCH(BN$4,$M$4:$Q$4,0))),0))</f>
        <v/>
      </c>
      <c r="BO289" s="269">
        <f>IF(BO$7="Actual","",IFERROR((INDEX($M289:$Q289,,MATCH(BO$4,$M$4:$Q$4,0))),0))</f>
        <v/>
      </c>
      <c r="BP289" s="269">
        <f>IF(BP$7="Actual","",IFERROR((INDEX($M289:$Q289,,MATCH(BP$4,$M$4:$Q$4,0))),0))</f>
        <v/>
      </c>
      <c r="BQ289" s="269">
        <f>IF(BQ$7="Actual","",IFERROR((INDEX($M289:$Q289,,MATCH(BQ$4,$M$4:$Q$4,0))),0))</f>
        <v/>
      </c>
      <c r="BR289" s="269">
        <f>IF(BR$7="Actual","",IFERROR((INDEX($M289:$Q289,,MATCH(BR$4,$M$4:$Q$4,0))),0))</f>
        <v/>
      </c>
      <c r="BS289" s="269">
        <f>IF(BS$7="Actual","",IFERROR((INDEX($M289:$Q289,,MATCH(BS$4,$M$4:$Q$4,0))),0))</f>
        <v/>
      </c>
      <c r="BT289" s="269">
        <f>IF(BT$7="Actual","",IFERROR((INDEX($M289:$Q289,,MATCH(BT$4,$M$4:$Q$4,0))),0))</f>
        <v/>
      </c>
      <c r="BU289" s="269">
        <f>IF(BU$7="Actual","",IFERROR((INDEX($M289:$Q289,,MATCH(BU$4,$M$4:$Q$4,0))),0))</f>
        <v/>
      </c>
      <c r="BV289" s="269">
        <f>IF(BV$7="Actual","",IFERROR((INDEX($M289:$Q289,,MATCH(BV$4,$M$4:$Q$4,0))),0))</f>
        <v/>
      </c>
      <c r="BW289" s="269">
        <f>IF(BW$7="Actual","",IFERROR((INDEX($M289:$Q289,,MATCH(BW$4,$M$4:$Q$4,0))),0))</f>
        <v/>
      </c>
      <c r="BX289" s="269">
        <f>IF(BX$7="Actual","",IFERROR((INDEX($M289:$Q289,,MATCH(BX$4,$M$4:$Q$4,0))),0))</f>
        <v/>
      </c>
      <c r="BY289" s="269">
        <f>IF(BY$7="Actual","",IFERROR((INDEX($M289:$Q289,,MATCH(BY$4,$M$4:$Q$4,0))),0))</f>
        <v/>
      </c>
      <c r="BZ289" s="269">
        <f>IF(BZ$7="Actual","",IFERROR((INDEX($M289:$Q289,,MATCH(BZ$4,$M$4:$Q$4,0))),0))</f>
        <v/>
      </c>
      <c r="CA289" s="269">
        <f>IF(CA$7="Actual","",IFERROR((INDEX($M289:$Q289,,MATCH(CA$4,$M$4:$Q$4,0))),0))</f>
        <v/>
      </c>
    </row>
    <row r="290" ht="12" customHeight="1" s="227">
      <c r="A290" s="244" t="n"/>
      <c r="B290" s="244" t="n"/>
      <c r="C290" s="244" t="n"/>
      <c r="H290" s="4">
        <f>H280</f>
        <v/>
      </c>
      <c r="I290" s="27" t="inlineStr">
        <is>
          <t>no</t>
        </is>
      </c>
      <c r="K290" s="6" t="n"/>
      <c r="M290" s="267">
        <f>IF(M$7="Actual","",i_Assumptions!M168)</f>
        <v/>
      </c>
      <c r="N290" s="267">
        <f>IF(N$7="Actual","",i_Assumptions!N168)</f>
        <v/>
      </c>
      <c r="O290" s="267">
        <f>IF(O$7="Actual","",i_Assumptions!O168)</f>
        <v/>
      </c>
      <c r="P290" s="267">
        <f>IF(P$7="Actual","",i_Assumptions!P168)</f>
        <v/>
      </c>
      <c r="Q290" s="267">
        <f>IF(Q$7="Actual","",i_Assumptions!Q168)</f>
        <v/>
      </c>
      <c r="R290" s="268" t="n"/>
      <c r="S290" s="268" t="n"/>
      <c r="T290" s="269">
        <f>IF(T$7="Actual","",IFERROR((INDEX($M290:$Q290,,MATCH(T$4,$M$4:$Q$4,0))),0))</f>
        <v/>
      </c>
      <c r="U290" s="269">
        <f>IF(U$7="Actual","",IFERROR((INDEX($M290:$Q290,,MATCH(U$4,$M$4:$Q$4,0))),0))</f>
        <v/>
      </c>
      <c r="V290" s="269">
        <f>IF(V$7="Actual","",IFERROR((INDEX($M290:$Q290,,MATCH(V$4,$M$4:$Q$4,0))),0))</f>
        <v/>
      </c>
      <c r="W290" s="269">
        <f>IF(W$7="Actual","",IFERROR((INDEX($M290:$Q290,,MATCH(W$4,$M$4:$Q$4,0))),0))</f>
        <v/>
      </c>
      <c r="X290" s="269">
        <f>IF(X$7="Actual","",IFERROR((INDEX($M290:$Q290,,MATCH(X$4,$M$4:$Q$4,0))),0))</f>
        <v/>
      </c>
      <c r="Y290" s="269">
        <f>IF(Y$7="Actual","",IFERROR((INDEX($M290:$Q290,,MATCH(Y$4,$M$4:$Q$4,0))),0))</f>
        <v/>
      </c>
      <c r="Z290" s="269">
        <f>IF(Z$7="Actual","",IFERROR((INDEX($M290:$Q290,,MATCH(Z$4,$M$4:$Q$4,0))),0))</f>
        <v/>
      </c>
      <c r="AA290" s="269">
        <f>IF(AA$7="Actual","",IFERROR((INDEX($M290:$Q290,,MATCH(AA$4,$M$4:$Q$4,0))),0))</f>
        <v/>
      </c>
      <c r="AB290" s="269">
        <f>IF(AB$7="Actual","",IFERROR((INDEX($M290:$Q290,,MATCH(AB$4,$M$4:$Q$4,0))),0))</f>
        <v/>
      </c>
      <c r="AC290" s="269">
        <f>IF(AC$7="Actual","",IFERROR((INDEX($M290:$Q290,,MATCH(AC$4,$M$4:$Q$4,0))),0))</f>
        <v/>
      </c>
      <c r="AD290" s="269">
        <f>IF(AD$7="Actual","",IFERROR((INDEX($M290:$Q290,,MATCH(AD$4,$M$4:$Q$4,0))),0))</f>
        <v/>
      </c>
      <c r="AE290" s="269">
        <f>IF(AE$7="Actual","",IFERROR((INDEX($M290:$Q290,,MATCH(AE$4,$M$4:$Q$4,0))),0))</f>
        <v/>
      </c>
      <c r="AF290" s="269">
        <f>IF(AF$7="Actual","",IFERROR((INDEX($M290:$Q290,,MATCH(AF$4,$M$4:$Q$4,0))),0))</f>
        <v/>
      </c>
      <c r="AG290" s="269">
        <f>IF(AG$7="Actual","",IFERROR((INDEX($M290:$Q290,,MATCH(AG$4,$M$4:$Q$4,0))),0))</f>
        <v/>
      </c>
      <c r="AH290" s="269">
        <f>IF(AH$7="Actual","",IFERROR((INDEX($M290:$Q290,,MATCH(AH$4,$M$4:$Q$4,0))),0))</f>
        <v/>
      </c>
      <c r="AI290" s="269">
        <f>IF(AI$7="Actual","",IFERROR((INDEX($M290:$Q290,,MATCH(AI$4,$M$4:$Q$4,0))),0))</f>
        <v/>
      </c>
      <c r="AJ290" s="269">
        <f>IF(AJ$7="Actual","",IFERROR((INDEX($M290:$Q290,,MATCH(AJ$4,$M$4:$Q$4,0))),0))</f>
        <v/>
      </c>
      <c r="AK290" s="269">
        <f>IF(AK$7="Actual","",IFERROR((INDEX($M290:$Q290,,MATCH(AK$4,$M$4:$Q$4,0))),0))</f>
        <v/>
      </c>
      <c r="AL290" s="269">
        <f>IF(AL$7="Actual","",IFERROR((INDEX($M290:$Q290,,MATCH(AL$4,$M$4:$Q$4,0))),0))</f>
        <v/>
      </c>
      <c r="AM290" s="269">
        <f>IF(AM$7="Actual","",IFERROR((INDEX($M290:$Q290,,MATCH(AM$4,$M$4:$Q$4,0))),0))</f>
        <v/>
      </c>
      <c r="AN290" s="269">
        <f>IF(AN$7="Actual","",IFERROR((INDEX($M290:$Q290,,MATCH(AN$4,$M$4:$Q$4,0))),0))</f>
        <v/>
      </c>
      <c r="AO290" s="269">
        <f>IF(AO$7="Actual","",IFERROR((INDEX($M290:$Q290,,MATCH(AO$4,$M$4:$Q$4,0))),0))</f>
        <v/>
      </c>
      <c r="AP290" s="269">
        <f>IF(AP$7="Actual","",IFERROR((INDEX($M290:$Q290,,MATCH(AP$4,$M$4:$Q$4,0))),0))</f>
        <v/>
      </c>
      <c r="AQ290" s="269">
        <f>IF(AQ$7="Actual","",IFERROR((INDEX($M290:$Q290,,MATCH(AQ$4,$M$4:$Q$4,0))),0))</f>
        <v/>
      </c>
      <c r="AR290" s="269">
        <f>IF(AR$7="Actual","",IFERROR((INDEX($M290:$Q290,,MATCH(AR$4,$M$4:$Q$4,0))),0))</f>
        <v/>
      </c>
      <c r="AS290" s="269">
        <f>IF(AS$7="Actual","",IFERROR((INDEX($M290:$Q290,,MATCH(AS$4,$M$4:$Q$4,0))),0))</f>
        <v/>
      </c>
      <c r="AT290" s="269">
        <f>IF(AT$7="Actual","",IFERROR((INDEX($M290:$Q290,,MATCH(AT$4,$M$4:$Q$4,0))),0))</f>
        <v/>
      </c>
      <c r="AU290" s="269">
        <f>IF(AU$7="Actual","",IFERROR((INDEX($M290:$Q290,,MATCH(AU$4,$M$4:$Q$4,0))),0))</f>
        <v/>
      </c>
      <c r="AV290" s="269">
        <f>IF(AV$7="Actual","",IFERROR((INDEX($M290:$Q290,,MATCH(AV$4,$M$4:$Q$4,0))),0))</f>
        <v/>
      </c>
      <c r="AW290" s="269">
        <f>IF(AW$7="Actual","",IFERROR((INDEX($M290:$Q290,,MATCH(AW$4,$M$4:$Q$4,0))),0))</f>
        <v/>
      </c>
      <c r="AX290" s="269">
        <f>IF(AX$7="Actual","",IFERROR((INDEX($M290:$Q290,,MATCH(AX$4,$M$4:$Q$4,0))),0))</f>
        <v/>
      </c>
      <c r="AY290" s="269">
        <f>IF(AY$7="Actual","",IFERROR((INDEX($M290:$Q290,,MATCH(AY$4,$M$4:$Q$4,0))),0))</f>
        <v/>
      </c>
      <c r="AZ290" s="269">
        <f>IF(AZ$7="Actual","",IFERROR((INDEX($M290:$Q290,,MATCH(AZ$4,$M$4:$Q$4,0))),0))</f>
        <v/>
      </c>
      <c r="BA290" s="269">
        <f>IF(BA$7="Actual","",IFERROR((INDEX($M290:$Q290,,MATCH(BA$4,$M$4:$Q$4,0))),0))</f>
        <v/>
      </c>
      <c r="BB290" s="269">
        <f>IF(BB$7="Actual","",IFERROR((INDEX($M290:$Q290,,MATCH(BB$4,$M$4:$Q$4,0))),0))</f>
        <v/>
      </c>
      <c r="BC290" s="269">
        <f>IF(BC$7="Actual","",IFERROR((INDEX($M290:$Q290,,MATCH(BC$4,$M$4:$Q$4,0))),0))</f>
        <v/>
      </c>
      <c r="BD290" s="269">
        <f>IF(BD$7="Actual","",IFERROR((INDEX($M290:$Q290,,MATCH(BD$4,$M$4:$Q$4,0))),0))</f>
        <v/>
      </c>
      <c r="BE290" s="269">
        <f>IF(BE$7="Actual","",IFERROR((INDEX($M290:$Q290,,MATCH(BE$4,$M$4:$Q$4,0))),0))</f>
        <v/>
      </c>
      <c r="BF290" s="269">
        <f>IF(BF$7="Actual","",IFERROR((INDEX($M290:$Q290,,MATCH(BF$4,$M$4:$Q$4,0))),0))</f>
        <v/>
      </c>
      <c r="BG290" s="269">
        <f>IF(BG$7="Actual","",IFERROR((INDEX($M290:$Q290,,MATCH(BG$4,$M$4:$Q$4,0))),0))</f>
        <v/>
      </c>
      <c r="BH290" s="269">
        <f>IF(BH$7="Actual","",IFERROR((INDEX($M290:$Q290,,MATCH(BH$4,$M$4:$Q$4,0))),0))</f>
        <v/>
      </c>
      <c r="BI290" s="269">
        <f>IF(BI$7="Actual","",IFERROR((INDEX($M290:$Q290,,MATCH(BI$4,$M$4:$Q$4,0))),0))</f>
        <v/>
      </c>
      <c r="BJ290" s="269">
        <f>IF(BJ$7="Actual","",IFERROR((INDEX($M290:$Q290,,MATCH(BJ$4,$M$4:$Q$4,0))),0))</f>
        <v/>
      </c>
      <c r="BK290" s="269">
        <f>IF(BK$7="Actual","",IFERROR((INDEX($M290:$Q290,,MATCH(BK$4,$M$4:$Q$4,0))),0))</f>
        <v/>
      </c>
      <c r="BL290" s="269">
        <f>IF(BL$7="Actual","",IFERROR((INDEX($M290:$Q290,,MATCH(BL$4,$M$4:$Q$4,0))),0))</f>
        <v/>
      </c>
      <c r="BM290" s="269">
        <f>IF(BM$7="Actual","",IFERROR((INDEX($M290:$Q290,,MATCH(BM$4,$M$4:$Q$4,0))),0))</f>
        <v/>
      </c>
      <c r="BN290" s="269">
        <f>IF(BN$7="Actual","",IFERROR((INDEX($M290:$Q290,,MATCH(BN$4,$M$4:$Q$4,0))),0))</f>
        <v/>
      </c>
      <c r="BO290" s="269">
        <f>IF(BO$7="Actual","",IFERROR((INDEX($M290:$Q290,,MATCH(BO$4,$M$4:$Q$4,0))),0))</f>
        <v/>
      </c>
      <c r="BP290" s="269">
        <f>IF(BP$7="Actual","",IFERROR((INDEX($M290:$Q290,,MATCH(BP$4,$M$4:$Q$4,0))),0))</f>
        <v/>
      </c>
      <c r="BQ290" s="269">
        <f>IF(BQ$7="Actual","",IFERROR((INDEX($M290:$Q290,,MATCH(BQ$4,$M$4:$Q$4,0))),0))</f>
        <v/>
      </c>
      <c r="BR290" s="269">
        <f>IF(BR$7="Actual","",IFERROR((INDEX($M290:$Q290,,MATCH(BR$4,$M$4:$Q$4,0))),0))</f>
        <v/>
      </c>
      <c r="BS290" s="269">
        <f>IF(BS$7="Actual","",IFERROR((INDEX($M290:$Q290,,MATCH(BS$4,$M$4:$Q$4,0))),0))</f>
        <v/>
      </c>
      <c r="BT290" s="269">
        <f>IF(BT$7="Actual","",IFERROR((INDEX($M290:$Q290,,MATCH(BT$4,$M$4:$Q$4,0))),0))</f>
        <v/>
      </c>
      <c r="BU290" s="269">
        <f>IF(BU$7="Actual","",IFERROR((INDEX($M290:$Q290,,MATCH(BU$4,$M$4:$Q$4,0))),0))</f>
        <v/>
      </c>
      <c r="BV290" s="269">
        <f>IF(BV$7="Actual","",IFERROR((INDEX($M290:$Q290,,MATCH(BV$4,$M$4:$Q$4,0))),0))</f>
        <v/>
      </c>
      <c r="BW290" s="269">
        <f>IF(BW$7="Actual","",IFERROR((INDEX($M290:$Q290,,MATCH(BW$4,$M$4:$Q$4,0))),0))</f>
        <v/>
      </c>
      <c r="BX290" s="269">
        <f>IF(BX$7="Actual","",IFERROR((INDEX($M290:$Q290,,MATCH(BX$4,$M$4:$Q$4,0))),0))</f>
        <v/>
      </c>
      <c r="BY290" s="269">
        <f>IF(BY$7="Actual","",IFERROR((INDEX($M290:$Q290,,MATCH(BY$4,$M$4:$Q$4,0))),0))</f>
        <v/>
      </c>
      <c r="BZ290" s="269">
        <f>IF(BZ$7="Actual","",IFERROR((INDEX($M290:$Q290,,MATCH(BZ$4,$M$4:$Q$4,0))),0))</f>
        <v/>
      </c>
      <c r="CA290" s="269">
        <f>IF(CA$7="Actual","",IFERROR((INDEX($M290:$Q290,,MATCH(CA$4,$M$4:$Q$4,0))),0))</f>
        <v/>
      </c>
    </row>
    <row r="291" ht="12" customHeight="1" s="227">
      <c r="A291" s="244" t="n"/>
      <c r="B291" s="244" t="n"/>
      <c r="C291" s="244" t="n"/>
      <c r="H291" s="4">
        <f>H281</f>
        <v/>
      </c>
      <c r="I291" s="27" t="inlineStr">
        <is>
          <t>no</t>
        </is>
      </c>
      <c r="K291" s="6" t="n"/>
      <c r="M291" s="267">
        <f>IF(M$7="Actual","",i_Assumptions!M169)</f>
        <v/>
      </c>
      <c r="N291" s="267">
        <f>IF(N$7="Actual","",i_Assumptions!N169)</f>
        <v/>
      </c>
      <c r="O291" s="267">
        <f>IF(O$7="Actual","",i_Assumptions!O169)</f>
        <v/>
      </c>
      <c r="P291" s="267">
        <f>IF(P$7="Actual","",i_Assumptions!P169)</f>
        <v/>
      </c>
      <c r="Q291" s="267">
        <f>IF(Q$7="Actual","",i_Assumptions!Q169)</f>
        <v/>
      </c>
      <c r="R291" s="268" t="n"/>
      <c r="S291" s="268" t="n"/>
      <c r="T291" s="269">
        <f>IF(T$7="Actual","",IFERROR((INDEX($M291:$Q291,,MATCH(T$4,$M$4:$Q$4,0))),0))</f>
        <v/>
      </c>
      <c r="U291" s="269">
        <f>IF(U$7="Actual","",IFERROR((INDEX($M291:$Q291,,MATCH(U$4,$M$4:$Q$4,0))),0))</f>
        <v/>
      </c>
      <c r="V291" s="269">
        <f>IF(V$7="Actual","",IFERROR((INDEX($M291:$Q291,,MATCH(V$4,$M$4:$Q$4,0))),0))</f>
        <v/>
      </c>
      <c r="W291" s="269">
        <f>IF(W$7="Actual","",IFERROR((INDEX($M291:$Q291,,MATCH(W$4,$M$4:$Q$4,0))),0))</f>
        <v/>
      </c>
      <c r="X291" s="269">
        <f>IF(X$7="Actual","",IFERROR((INDEX($M291:$Q291,,MATCH(X$4,$M$4:$Q$4,0))),0))</f>
        <v/>
      </c>
      <c r="Y291" s="269">
        <f>IF(Y$7="Actual","",IFERROR((INDEX($M291:$Q291,,MATCH(Y$4,$M$4:$Q$4,0))),0))</f>
        <v/>
      </c>
      <c r="Z291" s="269">
        <f>IF(Z$7="Actual","",IFERROR((INDEX($M291:$Q291,,MATCH(Z$4,$M$4:$Q$4,0))),0))</f>
        <v/>
      </c>
      <c r="AA291" s="269">
        <f>IF(AA$7="Actual","",IFERROR((INDEX($M291:$Q291,,MATCH(AA$4,$M$4:$Q$4,0))),0))</f>
        <v/>
      </c>
      <c r="AB291" s="269">
        <f>IF(AB$7="Actual","",IFERROR((INDEX($M291:$Q291,,MATCH(AB$4,$M$4:$Q$4,0))),0))</f>
        <v/>
      </c>
      <c r="AC291" s="269">
        <f>IF(AC$7="Actual","",IFERROR((INDEX($M291:$Q291,,MATCH(AC$4,$M$4:$Q$4,0))),0))</f>
        <v/>
      </c>
      <c r="AD291" s="269">
        <f>IF(AD$7="Actual","",IFERROR((INDEX($M291:$Q291,,MATCH(AD$4,$M$4:$Q$4,0))),0))</f>
        <v/>
      </c>
      <c r="AE291" s="269">
        <f>IF(AE$7="Actual","",IFERROR((INDEX($M291:$Q291,,MATCH(AE$4,$M$4:$Q$4,0))),0))</f>
        <v/>
      </c>
      <c r="AF291" s="269">
        <f>IF(AF$7="Actual","",IFERROR((INDEX($M291:$Q291,,MATCH(AF$4,$M$4:$Q$4,0))),0))</f>
        <v/>
      </c>
      <c r="AG291" s="269">
        <f>IF(AG$7="Actual","",IFERROR((INDEX($M291:$Q291,,MATCH(AG$4,$M$4:$Q$4,0))),0))</f>
        <v/>
      </c>
      <c r="AH291" s="269">
        <f>IF(AH$7="Actual","",IFERROR((INDEX($M291:$Q291,,MATCH(AH$4,$M$4:$Q$4,0))),0))</f>
        <v/>
      </c>
      <c r="AI291" s="269">
        <f>IF(AI$7="Actual","",IFERROR((INDEX($M291:$Q291,,MATCH(AI$4,$M$4:$Q$4,0))),0))</f>
        <v/>
      </c>
      <c r="AJ291" s="269">
        <f>IF(AJ$7="Actual","",IFERROR((INDEX($M291:$Q291,,MATCH(AJ$4,$M$4:$Q$4,0))),0))</f>
        <v/>
      </c>
      <c r="AK291" s="269">
        <f>IF(AK$7="Actual","",IFERROR((INDEX($M291:$Q291,,MATCH(AK$4,$M$4:$Q$4,0))),0))</f>
        <v/>
      </c>
      <c r="AL291" s="269">
        <f>IF(AL$7="Actual","",IFERROR((INDEX($M291:$Q291,,MATCH(AL$4,$M$4:$Q$4,0))),0))</f>
        <v/>
      </c>
      <c r="AM291" s="269">
        <f>IF(AM$7="Actual","",IFERROR((INDEX($M291:$Q291,,MATCH(AM$4,$M$4:$Q$4,0))),0))</f>
        <v/>
      </c>
      <c r="AN291" s="269">
        <f>IF(AN$7="Actual","",IFERROR((INDEX($M291:$Q291,,MATCH(AN$4,$M$4:$Q$4,0))),0))</f>
        <v/>
      </c>
      <c r="AO291" s="269">
        <f>IF(AO$7="Actual","",IFERROR((INDEX($M291:$Q291,,MATCH(AO$4,$M$4:$Q$4,0))),0))</f>
        <v/>
      </c>
      <c r="AP291" s="269">
        <f>IF(AP$7="Actual","",IFERROR((INDEX($M291:$Q291,,MATCH(AP$4,$M$4:$Q$4,0))),0))</f>
        <v/>
      </c>
      <c r="AQ291" s="269">
        <f>IF(AQ$7="Actual","",IFERROR((INDEX($M291:$Q291,,MATCH(AQ$4,$M$4:$Q$4,0))),0))</f>
        <v/>
      </c>
      <c r="AR291" s="269">
        <f>IF(AR$7="Actual","",IFERROR((INDEX($M291:$Q291,,MATCH(AR$4,$M$4:$Q$4,0))),0))</f>
        <v/>
      </c>
      <c r="AS291" s="269">
        <f>IF(AS$7="Actual","",IFERROR((INDEX($M291:$Q291,,MATCH(AS$4,$M$4:$Q$4,0))),0))</f>
        <v/>
      </c>
      <c r="AT291" s="269">
        <f>IF(AT$7="Actual","",IFERROR((INDEX($M291:$Q291,,MATCH(AT$4,$M$4:$Q$4,0))),0))</f>
        <v/>
      </c>
      <c r="AU291" s="269">
        <f>IF(AU$7="Actual","",IFERROR((INDEX($M291:$Q291,,MATCH(AU$4,$M$4:$Q$4,0))),0))</f>
        <v/>
      </c>
      <c r="AV291" s="269">
        <f>IF(AV$7="Actual","",IFERROR((INDEX($M291:$Q291,,MATCH(AV$4,$M$4:$Q$4,0))),0))</f>
        <v/>
      </c>
      <c r="AW291" s="269">
        <f>IF(AW$7="Actual","",IFERROR((INDEX($M291:$Q291,,MATCH(AW$4,$M$4:$Q$4,0))),0))</f>
        <v/>
      </c>
      <c r="AX291" s="269">
        <f>IF(AX$7="Actual","",IFERROR((INDEX($M291:$Q291,,MATCH(AX$4,$M$4:$Q$4,0))),0))</f>
        <v/>
      </c>
      <c r="AY291" s="269">
        <f>IF(AY$7="Actual","",IFERROR((INDEX($M291:$Q291,,MATCH(AY$4,$M$4:$Q$4,0))),0))</f>
        <v/>
      </c>
      <c r="AZ291" s="269">
        <f>IF(AZ$7="Actual","",IFERROR((INDEX($M291:$Q291,,MATCH(AZ$4,$M$4:$Q$4,0))),0))</f>
        <v/>
      </c>
      <c r="BA291" s="269">
        <f>IF(BA$7="Actual","",IFERROR((INDEX($M291:$Q291,,MATCH(BA$4,$M$4:$Q$4,0))),0))</f>
        <v/>
      </c>
      <c r="BB291" s="269">
        <f>IF(BB$7="Actual","",IFERROR((INDEX($M291:$Q291,,MATCH(BB$4,$M$4:$Q$4,0))),0))</f>
        <v/>
      </c>
      <c r="BC291" s="269">
        <f>IF(BC$7="Actual","",IFERROR((INDEX($M291:$Q291,,MATCH(BC$4,$M$4:$Q$4,0))),0))</f>
        <v/>
      </c>
      <c r="BD291" s="269">
        <f>IF(BD$7="Actual","",IFERROR((INDEX($M291:$Q291,,MATCH(BD$4,$M$4:$Q$4,0))),0))</f>
        <v/>
      </c>
      <c r="BE291" s="269">
        <f>IF(BE$7="Actual","",IFERROR((INDEX($M291:$Q291,,MATCH(BE$4,$M$4:$Q$4,0))),0))</f>
        <v/>
      </c>
      <c r="BF291" s="269">
        <f>IF(BF$7="Actual","",IFERROR((INDEX($M291:$Q291,,MATCH(BF$4,$M$4:$Q$4,0))),0))</f>
        <v/>
      </c>
      <c r="BG291" s="269">
        <f>IF(BG$7="Actual","",IFERROR((INDEX($M291:$Q291,,MATCH(BG$4,$M$4:$Q$4,0))),0))</f>
        <v/>
      </c>
      <c r="BH291" s="269">
        <f>IF(BH$7="Actual","",IFERROR((INDEX($M291:$Q291,,MATCH(BH$4,$M$4:$Q$4,0))),0))</f>
        <v/>
      </c>
      <c r="BI291" s="269">
        <f>IF(BI$7="Actual","",IFERROR((INDEX($M291:$Q291,,MATCH(BI$4,$M$4:$Q$4,0))),0))</f>
        <v/>
      </c>
      <c r="BJ291" s="269">
        <f>IF(BJ$7="Actual","",IFERROR((INDEX($M291:$Q291,,MATCH(BJ$4,$M$4:$Q$4,0))),0))</f>
        <v/>
      </c>
      <c r="BK291" s="269">
        <f>IF(BK$7="Actual","",IFERROR((INDEX($M291:$Q291,,MATCH(BK$4,$M$4:$Q$4,0))),0))</f>
        <v/>
      </c>
      <c r="BL291" s="269">
        <f>IF(BL$7="Actual","",IFERROR((INDEX($M291:$Q291,,MATCH(BL$4,$M$4:$Q$4,0))),0))</f>
        <v/>
      </c>
      <c r="BM291" s="269">
        <f>IF(BM$7="Actual","",IFERROR((INDEX($M291:$Q291,,MATCH(BM$4,$M$4:$Q$4,0))),0))</f>
        <v/>
      </c>
      <c r="BN291" s="269">
        <f>IF(BN$7="Actual","",IFERROR((INDEX($M291:$Q291,,MATCH(BN$4,$M$4:$Q$4,0))),0))</f>
        <v/>
      </c>
      <c r="BO291" s="269">
        <f>IF(BO$7="Actual","",IFERROR((INDEX($M291:$Q291,,MATCH(BO$4,$M$4:$Q$4,0))),0))</f>
        <v/>
      </c>
      <c r="BP291" s="269">
        <f>IF(BP$7="Actual","",IFERROR((INDEX($M291:$Q291,,MATCH(BP$4,$M$4:$Q$4,0))),0))</f>
        <v/>
      </c>
      <c r="BQ291" s="269">
        <f>IF(BQ$7="Actual","",IFERROR((INDEX($M291:$Q291,,MATCH(BQ$4,$M$4:$Q$4,0))),0))</f>
        <v/>
      </c>
      <c r="BR291" s="269">
        <f>IF(BR$7="Actual","",IFERROR((INDEX($M291:$Q291,,MATCH(BR$4,$M$4:$Q$4,0))),0))</f>
        <v/>
      </c>
      <c r="BS291" s="269">
        <f>IF(BS$7="Actual","",IFERROR((INDEX($M291:$Q291,,MATCH(BS$4,$M$4:$Q$4,0))),0))</f>
        <v/>
      </c>
      <c r="BT291" s="269">
        <f>IF(BT$7="Actual","",IFERROR((INDEX($M291:$Q291,,MATCH(BT$4,$M$4:$Q$4,0))),0))</f>
        <v/>
      </c>
      <c r="BU291" s="269">
        <f>IF(BU$7="Actual","",IFERROR((INDEX($M291:$Q291,,MATCH(BU$4,$M$4:$Q$4,0))),0))</f>
        <v/>
      </c>
      <c r="BV291" s="269">
        <f>IF(BV$7="Actual","",IFERROR((INDEX($M291:$Q291,,MATCH(BV$4,$M$4:$Q$4,0))),0))</f>
        <v/>
      </c>
      <c r="BW291" s="269">
        <f>IF(BW$7="Actual","",IFERROR((INDEX($M291:$Q291,,MATCH(BW$4,$M$4:$Q$4,0))),0))</f>
        <v/>
      </c>
      <c r="BX291" s="269">
        <f>IF(BX$7="Actual","",IFERROR((INDEX($M291:$Q291,,MATCH(BX$4,$M$4:$Q$4,0))),0))</f>
        <v/>
      </c>
      <c r="BY291" s="269">
        <f>IF(BY$7="Actual","",IFERROR((INDEX($M291:$Q291,,MATCH(BY$4,$M$4:$Q$4,0))),0))</f>
        <v/>
      </c>
      <c r="BZ291" s="269">
        <f>IF(BZ$7="Actual","",IFERROR((INDEX($M291:$Q291,,MATCH(BZ$4,$M$4:$Q$4,0))),0))</f>
        <v/>
      </c>
      <c r="CA291" s="269">
        <f>IF(CA$7="Actual","",IFERROR((INDEX($M291:$Q291,,MATCH(CA$4,$M$4:$Q$4,0))),0))</f>
        <v/>
      </c>
    </row>
    <row r="292" ht="12" customHeight="1" s="227">
      <c r="A292" s="244" t="n"/>
      <c r="B292" s="244" t="n"/>
      <c r="C292" s="244" t="n"/>
      <c r="H292" s="4">
        <f>H282</f>
        <v/>
      </c>
      <c r="I292" s="27" t="inlineStr">
        <is>
          <t>no</t>
        </is>
      </c>
      <c r="K292" s="6" t="n"/>
      <c r="M292" s="267">
        <f>IF(M$7="Actual","",i_Assumptions!M170)</f>
        <v/>
      </c>
      <c r="N292" s="267">
        <f>IF(N$7="Actual","",i_Assumptions!N170)</f>
        <v/>
      </c>
      <c r="O292" s="267">
        <f>IF(O$7="Actual","",i_Assumptions!O170)</f>
        <v/>
      </c>
      <c r="P292" s="267">
        <f>IF(P$7="Actual","",i_Assumptions!P170)</f>
        <v/>
      </c>
      <c r="Q292" s="267">
        <f>IF(Q$7="Actual","",i_Assumptions!Q170)</f>
        <v/>
      </c>
      <c r="R292" s="268" t="n"/>
      <c r="S292" s="268" t="n"/>
      <c r="T292" s="269">
        <f>IF(T$7="Actual","",IFERROR((INDEX($M292:$Q292,,MATCH(T$4,$M$4:$Q$4,0))),0))</f>
        <v/>
      </c>
      <c r="U292" s="269">
        <f>IF(U$7="Actual","",IFERROR((INDEX($M292:$Q292,,MATCH(U$4,$M$4:$Q$4,0))),0))</f>
        <v/>
      </c>
      <c r="V292" s="269">
        <f>IF(V$7="Actual","",IFERROR((INDEX($M292:$Q292,,MATCH(V$4,$M$4:$Q$4,0))),0))</f>
        <v/>
      </c>
      <c r="W292" s="269">
        <f>IF(W$7="Actual","",IFERROR((INDEX($M292:$Q292,,MATCH(W$4,$M$4:$Q$4,0))),0))</f>
        <v/>
      </c>
      <c r="X292" s="269">
        <f>IF(X$7="Actual","",IFERROR((INDEX($M292:$Q292,,MATCH(X$4,$M$4:$Q$4,0))),0))</f>
        <v/>
      </c>
      <c r="Y292" s="269">
        <f>IF(Y$7="Actual","",IFERROR((INDEX($M292:$Q292,,MATCH(Y$4,$M$4:$Q$4,0))),0))</f>
        <v/>
      </c>
      <c r="Z292" s="269">
        <f>IF(Z$7="Actual","",IFERROR((INDEX($M292:$Q292,,MATCH(Z$4,$M$4:$Q$4,0))),0))</f>
        <v/>
      </c>
      <c r="AA292" s="269">
        <f>IF(AA$7="Actual","",IFERROR((INDEX($M292:$Q292,,MATCH(AA$4,$M$4:$Q$4,0))),0))</f>
        <v/>
      </c>
      <c r="AB292" s="269">
        <f>IF(AB$7="Actual","",IFERROR((INDEX($M292:$Q292,,MATCH(AB$4,$M$4:$Q$4,0))),0))</f>
        <v/>
      </c>
      <c r="AC292" s="269">
        <f>IF(AC$7="Actual","",IFERROR((INDEX($M292:$Q292,,MATCH(AC$4,$M$4:$Q$4,0))),0))</f>
        <v/>
      </c>
      <c r="AD292" s="269">
        <f>IF(AD$7="Actual","",IFERROR((INDEX($M292:$Q292,,MATCH(AD$4,$M$4:$Q$4,0))),0))</f>
        <v/>
      </c>
      <c r="AE292" s="269">
        <f>IF(AE$7="Actual","",IFERROR((INDEX($M292:$Q292,,MATCH(AE$4,$M$4:$Q$4,0))),0))</f>
        <v/>
      </c>
      <c r="AF292" s="269">
        <f>IF(AF$7="Actual","",IFERROR((INDEX($M292:$Q292,,MATCH(AF$4,$M$4:$Q$4,0))),0))</f>
        <v/>
      </c>
      <c r="AG292" s="269">
        <f>IF(AG$7="Actual","",IFERROR((INDEX($M292:$Q292,,MATCH(AG$4,$M$4:$Q$4,0))),0))</f>
        <v/>
      </c>
      <c r="AH292" s="269">
        <f>IF(AH$7="Actual","",IFERROR((INDEX($M292:$Q292,,MATCH(AH$4,$M$4:$Q$4,0))),0))</f>
        <v/>
      </c>
      <c r="AI292" s="269">
        <f>IF(AI$7="Actual","",IFERROR((INDEX($M292:$Q292,,MATCH(AI$4,$M$4:$Q$4,0))),0))</f>
        <v/>
      </c>
      <c r="AJ292" s="269">
        <f>IF(AJ$7="Actual","",IFERROR((INDEX($M292:$Q292,,MATCH(AJ$4,$M$4:$Q$4,0))),0))</f>
        <v/>
      </c>
      <c r="AK292" s="269">
        <f>IF(AK$7="Actual","",IFERROR((INDEX($M292:$Q292,,MATCH(AK$4,$M$4:$Q$4,0))),0))</f>
        <v/>
      </c>
      <c r="AL292" s="269">
        <f>IF(AL$7="Actual","",IFERROR((INDEX($M292:$Q292,,MATCH(AL$4,$M$4:$Q$4,0))),0))</f>
        <v/>
      </c>
      <c r="AM292" s="269">
        <f>IF(AM$7="Actual","",IFERROR((INDEX($M292:$Q292,,MATCH(AM$4,$M$4:$Q$4,0))),0))</f>
        <v/>
      </c>
      <c r="AN292" s="269">
        <f>IF(AN$7="Actual","",IFERROR((INDEX($M292:$Q292,,MATCH(AN$4,$M$4:$Q$4,0))),0))</f>
        <v/>
      </c>
      <c r="AO292" s="269">
        <f>IF(AO$7="Actual","",IFERROR((INDEX($M292:$Q292,,MATCH(AO$4,$M$4:$Q$4,0))),0))</f>
        <v/>
      </c>
      <c r="AP292" s="269">
        <f>IF(AP$7="Actual","",IFERROR((INDEX($M292:$Q292,,MATCH(AP$4,$M$4:$Q$4,0))),0))</f>
        <v/>
      </c>
      <c r="AQ292" s="269">
        <f>IF(AQ$7="Actual","",IFERROR((INDEX($M292:$Q292,,MATCH(AQ$4,$M$4:$Q$4,0))),0))</f>
        <v/>
      </c>
      <c r="AR292" s="269">
        <f>IF(AR$7="Actual","",IFERROR((INDEX($M292:$Q292,,MATCH(AR$4,$M$4:$Q$4,0))),0))</f>
        <v/>
      </c>
      <c r="AS292" s="269">
        <f>IF(AS$7="Actual","",IFERROR((INDEX($M292:$Q292,,MATCH(AS$4,$M$4:$Q$4,0))),0))</f>
        <v/>
      </c>
      <c r="AT292" s="269">
        <f>IF(AT$7="Actual","",IFERROR((INDEX($M292:$Q292,,MATCH(AT$4,$M$4:$Q$4,0))),0))</f>
        <v/>
      </c>
      <c r="AU292" s="269">
        <f>IF(AU$7="Actual","",IFERROR((INDEX($M292:$Q292,,MATCH(AU$4,$M$4:$Q$4,0))),0))</f>
        <v/>
      </c>
      <c r="AV292" s="269">
        <f>IF(AV$7="Actual","",IFERROR((INDEX($M292:$Q292,,MATCH(AV$4,$M$4:$Q$4,0))),0))</f>
        <v/>
      </c>
      <c r="AW292" s="269">
        <f>IF(AW$7="Actual","",IFERROR((INDEX($M292:$Q292,,MATCH(AW$4,$M$4:$Q$4,0))),0))</f>
        <v/>
      </c>
      <c r="AX292" s="269">
        <f>IF(AX$7="Actual","",IFERROR((INDEX($M292:$Q292,,MATCH(AX$4,$M$4:$Q$4,0))),0))</f>
        <v/>
      </c>
      <c r="AY292" s="269">
        <f>IF(AY$7="Actual","",IFERROR((INDEX($M292:$Q292,,MATCH(AY$4,$M$4:$Q$4,0))),0))</f>
        <v/>
      </c>
      <c r="AZ292" s="269">
        <f>IF(AZ$7="Actual","",IFERROR((INDEX($M292:$Q292,,MATCH(AZ$4,$M$4:$Q$4,0))),0))</f>
        <v/>
      </c>
      <c r="BA292" s="269">
        <f>IF(BA$7="Actual","",IFERROR((INDEX($M292:$Q292,,MATCH(BA$4,$M$4:$Q$4,0))),0))</f>
        <v/>
      </c>
      <c r="BB292" s="269">
        <f>IF(BB$7="Actual","",IFERROR((INDEX($M292:$Q292,,MATCH(BB$4,$M$4:$Q$4,0))),0))</f>
        <v/>
      </c>
      <c r="BC292" s="269">
        <f>IF(BC$7="Actual","",IFERROR((INDEX($M292:$Q292,,MATCH(BC$4,$M$4:$Q$4,0))),0))</f>
        <v/>
      </c>
      <c r="BD292" s="269">
        <f>IF(BD$7="Actual","",IFERROR((INDEX($M292:$Q292,,MATCH(BD$4,$M$4:$Q$4,0))),0))</f>
        <v/>
      </c>
      <c r="BE292" s="269">
        <f>IF(BE$7="Actual","",IFERROR((INDEX($M292:$Q292,,MATCH(BE$4,$M$4:$Q$4,0))),0))</f>
        <v/>
      </c>
      <c r="BF292" s="269">
        <f>IF(BF$7="Actual","",IFERROR((INDEX($M292:$Q292,,MATCH(BF$4,$M$4:$Q$4,0))),0))</f>
        <v/>
      </c>
      <c r="BG292" s="269">
        <f>IF(BG$7="Actual","",IFERROR((INDEX($M292:$Q292,,MATCH(BG$4,$M$4:$Q$4,0))),0))</f>
        <v/>
      </c>
      <c r="BH292" s="269">
        <f>IF(BH$7="Actual","",IFERROR((INDEX($M292:$Q292,,MATCH(BH$4,$M$4:$Q$4,0))),0))</f>
        <v/>
      </c>
      <c r="BI292" s="269">
        <f>IF(BI$7="Actual","",IFERROR((INDEX($M292:$Q292,,MATCH(BI$4,$M$4:$Q$4,0))),0))</f>
        <v/>
      </c>
      <c r="BJ292" s="269">
        <f>IF(BJ$7="Actual","",IFERROR((INDEX($M292:$Q292,,MATCH(BJ$4,$M$4:$Q$4,0))),0))</f>
        <v/>
      </c>
      <c r="BK292" s="269">
        <f>IF(BK$7="Actual","",IFERROR((INDEX($M292:$Q292,,MATCH(BK$4,$M$4:$Q$4,0))),0))</f>
        <v/>
      </c>
      <c r="BL292" s="269">
        <f>IF(BL$7="Actual","",IFERROR((INDEX($M292:$Q292,,MATCH(BL$4,$M$4:$Q$4,0))),0))</f>
        <v/>
      </c>
      <c r="BM292" s="269">
        <f>IF(BM$7="Actual","",IFERROR((INDEX($M292:$Q292,,MATCH(BM$4,$M$4:$Q$4,0))),0))</f>
        <v/>
      </c>
      <c r="BN292" s="269">
        <f>IF(BN$7="Actual","",IFERROR((INDEX($M292:$Q292,,MATCH(BN$4,$M$4:$Q$4,0))),0))</f>
        <v/>
      </c>
      <c r="BO292" s="269">
        <f>IF(BO$7="Actual","",IFERROR((INDEX($M292:$Q292,,MATCH(BO$4,$M$4:$Q$4,0))),0))</f>
        <v/>
      </c>
      <c r="BP292" s="269">
        <f>IF(BP$7="Actual","",IFERROR((INDEX($M292:$Q292,,MATCH(BP$4,$M$4:$Q$4,0))),0))</f>
        <v/>
      </c>
      <c r="BQ292" s="269">
        <f>IF(BQ$7="Actual","",IFERROR((INDEX($M292:$Q292,,MATCH(BQ$4,$M$4:$Q$4,0))),0))</f>
        <v/>
      </c>
      <c r="BR292" s="269">
        <f>IF(BR$7="Actual","",IFERROR((INDEX($M292:$Q292,,MATCH(BR$4,$M$4:$Q$4,0))),0))</f>
        <v/>
      </c>
      <c r="BS292" s="269">
        <f>IF(BS$7="Actual","",IFERROR((INDEX($M292:$Q292,,MATCH(BS$4,$M$4:$Q$4,0))),0))</f>
        <v/>
      </c>
      <c r="BT292" s="269">
        <f>IF(BT$7="Actual","",IFERROR((INDEX($M292:$Q292,,MATCH(BT$4,$M$4:$Q$4,0))),0))</f>
        <v/>
      </c>
      <c r="BU292" s="269">
        <f>IF(BU$7="Actual","",IFERROR((INDEX($M292:$Q292,,MATCH(BU$4,$M$4:$Q$4,0))),0))</f>
        <v/>
      </c>
      <c r="BV292" s="269">
        <f>IF(BV$7="Actual","",IFERROR((INDEX($M292:$Q292,,MATCH(BV$4,$M$4:$Q$4,0))),0))</f>
        <v/>
      </c>
      <c r="BW292" s="269">
        <f>IF(BW$7="Actual","",IFERROR((INDEX($M292:$Q292,,MATCH(BW$4,$M$4:$Q$4,0))),0))</f>
        <v/>
      </c>
      <c r="BX292" s="269">
        <f>IF(BX$7="Actual","",IFERROR((INDEX($M292:$Q292,,MATCH(BX$4,$M$4:$Q$4,0))),0))</f>
        <v/>
      </c>
      <c r="BY292" s="269">
        <f>IF(BY$7="Actual","",IFERROR((INDEX($M292:$Q292,,MATCH(BY$4,$M$4:$Q$4,0))),0))</f>
        <v/>
      </c>
      <c r="BZ292" s="269">
        <f>IF(BZ$7="Actual","",IFERROR((INDEX($M292:$Q292,,MATCH(BZ$4,$M$4:$Q$4,0))),0))</f>
        <v/>
      </c>
      <c r="CA292" s="269">
        <f>IF(CA$7="Actual","",IFERROR((INDEX($M292:$Q292,,MATCH(CA$4,$M$4:$Q$4,0))),0))</f>
        <v/>
      </c>
    </row>
    <row r="293" ht="12" customHeight="1" s="227">
      <c r="A293" s="244" t="n"/>
      <c r="B293" s="244" t="n"/>
      <c r="C293" s="244" t="n"/>
      <c r="H293" s="4">
        <f>H283</f>
        <v/>
      </c>
      <c r="I293" s="27" t="inlineStr">
        <is>
          <t>no</t>
        </is>
      </c>
      <c r="K293" s="6" t="n"/>
      <c r="M293" s="267">
        <f>IF(M$7="Actual","",i_Assumptions!M171)</f>
        <v/>
      </c>
      <c r="N293" s="267">
        <f>IF(N$7="Actual","",i_Assumptions!N171)</f>
        <v/>
      </c>
      <c r="O293" s="267">
        <f>IF(O$7="Actual","",i_Assumptions!O171)</f>
        <v/>
      </c>
      <c r="P293" s="267">
        <f>IF(P$7="Actual","",i_Assumptions!P171)</f>
        <v/>
      </c>
      <c r="Q293" s="267">
        <f>IF(Q$7="Actual","",i_Assumptions!Q171)</f>
        <v/>
      </c>
      <c r="R293" s="268" t="n"/>
      <c r="S293" s="268" t="n"/>
      <c r="T293" s="269">
        <f>IF(T$7="Actual","",IFERROR((INDEX($M293:$Q293,,MATCH(T$4,$M$4:$Q$4,0))),0))</f>
        <v/>
      </c>
      <c r="U293" s="269">
        <f>IF(U$7="Actual","",IFERROR((INDEX($M293:$Q293,,MATCH(U$4,$M$4:$Q$4,0))),0))</f>
        <v/>
      </c>
      <c r="V293" s="269">
        <f>IF(V$7="Actual","",IFERROR((INDEX($M293:$Q293,,MATCH(V$4,$M$4:$Q$4,0))),0))</f>
        <v/>
      </c>
      <c r="W293" s="269">
        <f>IF(W$7="Actual","",IFERROR((INDEX($M293:$Q293,,MATCH(W$4,$M$4:$Q$4,0))),0))</f>
        <v/>
      </c>
      <c r="X293" s="269">
        <f>IF(X$7="Actual","",IFERROR((INDEX($M293:$Q293,,MATCH(X$4,$M$4:$Q$4,0))),0))</f>
        <v/>
      </c>
      <c r="Y293" s="269">
        <f>IF(Y$7="Actual","",IFERROR((INDEX($M293:$Q293,,MATCH(Y$4,$M$4:$Q$4,0))),0))</f>
        <v/>
      </c>
      <c r="Z293" s="269">
        <f>IF(Z$7="Actual","",IFERROR((INDEX($M293:$Q293,,MATCH(Z$4,$M$4:$Q$4,0))),0))</f>
        <v/>
      </c>
      <c r="AA293" s="269">
        <f>IF(AA$7="Actual","",IFERROR((INDEX($M293:$Q293,,MATCH(AA$4,$M$4:$Q$4,0))),0))</f>
        <v/>
      </c>
      <c r="AB293" s="269">
        <f>IF(AB$7="Actual","",IFERROR((INDEX($M293:$Q293,,MATCH(AB$4,$M$4:$Q$4,0))),0))</f>
        <v/>
      </c>
      <c r="AC293" s="269">
        <f>IF(AC$7="Actual","",IFERROR((INDEX($M293:$Q293,,MATCH(AC$4,$M$4:$Q$4,0))),0))</f>
        <v/>
      </c>
      <c r="AD293" s="269">
        <f>IF(AD$7="Actual","",IFERROR((INDEX($M293:$Q293,,MATCH(AD$4,$M$4:$Q$4,0))),0))</f>
        <v/>
      </c>
      <c r="AE293" s="269">
        <f>IF(AE$7="Actual","",IFERROR((INDEX($M293:$Q293,,MATCH(AE$4,$M$4:$Q$4,0))),0))</f>
        <v/>
      </c>
      <c r="AF293" s="269">
        <f>IF(AF$7="Actual","",IFERROR((INDEX($M293:$Q293,,MATCH(AF$4,$M$4:$Q$4,0))),0))</f>
        <v/>
      </c>
      <c r="AG293" s="269">
        <f>IF(AG$7="Actual","",IFERROR((INDEX($M293:$Q293,,MATCH(AG$4,$M$4:$Q$4,0))),0))</f>
        <v/>
      </c>
      <c r="AH293" s="269">
        <f>IF(AH$7="Actual","",IFERROR((INDEX($M293:$Q293,,MATCH(AH$4,$M$4:$Q$4,0))),0))</f>
        <v/>
      </c>
      <c r="AI293" s="269">
        <f>IF(AI$7="Actual","",IFERROR((INDEX($M293:$Q293,,MATCH(AI$4,$M$4:$Q$4,0))),0))</f>
        <v/>
      </c>
      <c r="AJ293" s="269">
        <f>IF(AJ$7="Actual","",IFERROR((INDEX($M293:$Q293,,MATCH(AJ$4,$M$4:$Q$4,0))),0))</f>
        <v/>
      </c>
      <c r="AK293" s="269">
        <f>IF(AK$7="Actual","",IFERROR((INDEX($M293:$Q293,,MATCH(AK$4,$M$4:$Q$4,0))),0))</f>
        <v/>
      </c>
      <c r="AL293" s="269">
        <f>IF(AL$7="Actual","",IFERROR((INDEX($M293:$Q293,,MATCH(AL$4,$M$4:$Q$4,0))),0))</f>
        <v/>
      </c>
      <c r="AM293" s="269">
        <f>IF(AM$7="Actual","",IFERROR((INDEX($M293:$Q293,,MATCH(AM$4,$M$4:$Q$4,0))),0))</f>
        <v/>
      </c>
      <c r="AN293" s="269">
        <f>IF(AN$7="Actual","",IFERROR((INDEX($M293:$Q293,,MATCH(AN$4,$M$4:$Q$4,0))),0))</f>
        <v/>
      </c>
      <c r="AO293" s="269">
        <f>IF(AO$7="Actual","",IFERROR((INDEX($M293:$Q293,,MATCH(AO$4,$M$4:$Q$4,0))),0))</f>
        <v/>
      </c>
      <c r="AP293" s="269">
        <f>IF(AP$7="Actual","",IFERROR((INDEX($M293:$Q293,,MATCH(AP$4,$M$4:$Q$4,0))),0))</f>
        <v/>
      </c>
      <c r="AQ293" s="269">
        <f>IF(AQ$7="Actual","",IFERROR((INDEX($M293:$Q293,,MATCH(AQ$4,$M$4:$Q$4,0))),0))</f>
        <v/>
      </c>
      <c r="AR293" s="269">
        <f>IF(AR$7="Actual","",IFERROR((INDEX($M293:$Q293,,MATCH(AR$4,$M$4:$Q$4,0))),0))</f>
        <v/>
      </c>
      <c r="AS293" s="269">
        <f>IF(AS$7="Actual","",IFERROR((INDEX($M293:$Q293,,MATCH(AS$4,$M$4:$Q$4,0))),0))</f>
        <v/>
      </c>
      <c r="AT293" s="269">
        <f>IF(AT$7="Actual","",IFERROR((INDEX($M293:$Q293,,MATCH(AT$4,$M$4:$Q$4,0))),0))</f>
        <v/>
      </c>
      <c r="AU293" s="269">
        <f>IF(AU$7="Actual","",IFERROR((INDEX($M293:$Q293,,MATCH(AU$4,$M$4:$Q$4,0))),0))</f>
        <v/>
      </c>
      <c r="AV293" s="269">
        <f>IF(AV$7="Actual","",IFERROR((INDEX($M293:$Q293,,MATCH(AV$4,$M$4:$Q$4,0))),0))</f>
        <v/>
      </c>
      <c r="AW293" s="269">
        <f>IF(AW$7="Actual","",IFERROR((INDEX($M293:$Q293,,MATCH(AW$4,$M$4:$Q$4,0))),0))</f>
        <v/>
      </c>
      <c r="AX293" s="269">
        <f>IF(AX$7="Actual","",IFERROR((INDEX($M293:$Q293,,MATCH(AX$4,$M$4:$Q$4,0))),0))</f>
        <v/>
      </c>
      <c r="AY293" s="269">
        <f>IF(AY$7="Actual","",IFERROR((INDEX($M293:$Q293,,MATCH(AY$4,$M$4:$Q$4,0))),0))</f>
        <v/>
      </c>
      <c r="AZ293" s="269">
        <f>IF(AZ$7="Actual","",IFERROR((INDEX($M293:$Q293,,MATCH(AZ$4,$M$4:$Q$4,0))),0))</f>
        <v/>
      </c>
      <c r="BA293" s="269">
        <f>IF(BA$7="Actual","",IFERROR((INDEX($M293:$Q293,,MATCH(BA$4,$M$4:$Q$4,0))),0))</f>
        <v/>
      </c>
      <c r="BB293" s="269">
        <f>IF(BB$7="Actual","",IFERROR((INDEX($M293:$Q293,,MATCH(BB$4,$M$4:$Q$4,0))),0))</f>
        <v/>
      </c>
      <c r="BC293" s="269">
        <f>IF(BC$7="Actual","",IFERROR((INDEX($M293:$Q293,,MATCH(BC$4,$M$4:$Q$4,0))),0))</f>
        <v/>
      </c>
      <c r="BD293" s="269">
        <f>IF(BD$7="Actual","",IFERROR((INDEX($M293:$Q293,,MATCH(BD$4,$M$4:$Q$4,0))),0))</f>
        <v/>
      </c>
      <c r="BE293" s="269">
        <f>IF(BE$7="Actual","",IFERROR((INDEX($M293:$Q293,,MATCH(BE$4,$M$4:$Q$4,0))),0))</f>
        <v/>
      </c>
      <c r="BF293" s="269">
        <f>IF(BF$7="Actual","",IFERROR((INDEX($M293:$Q293,,MATCH(BF$4,$M$4:$Q$4,0))),0))</f>
        <v/>
      </c>
      <c r="BG293" s="269">
        <f>IF(BG$7="Actual","",IFERROR((INDEX($M293:$Q293,,MATCH(BG$4,$M$4:$Q$4,0))),0))</f>
        <v/>
      </c>
      <c r="BH293" s="269">
        <f>IF(BH$7="Actual","",IFERROR((INDEX($M293:$Q293,,MATCH(BH$4,$M$4:$Q$4,0))),0))</f>
        <v/>
      </c>
      <c r="BI293" s="269">
        <f>IF(BI$7="Actual","",IFERROR((INDEX($M293:$Q293,,MATCH(BI$4,$M$4:$Q$4,0))),0))</f>
        <v/>
      </c>
      <c r="BJ293" s="269">
        <f>IF(BJ$7="Actual","",IFERROR((INDEX($M293:$Q293,,MATCH(BJ$4,$M$4:$Q$4,0))),0))</f>
        <v/>
      </c>
      <c r="BK293" s="269">
        <f>IF(BK$7="Actual","",IFERROR((INDEX($M293:$Q293,,MATCH(BK$4,$M$4:$Q$4,0))),0))</f>
        <v/>
      </c>
      <c r="BL293" s="269">
        <f>IF(BL$7="Actual","",IFERROR((INDEX($M293:$Q293,,MATCH(BL$4,$M$4:$Q$4,0))),0))</f>
        <v/>
      </c>
      <c r="BM293" s="269">
        <f>IF(BM$7="Actual","",IFERROR((INDEX($M293:$Q293,,MATCH(BM$4,$M$4:$Q$4,0))),0))</f>
        <v/>
      </c>
      <c r="BN293" s="269">
        <f>IF(BN$7="Actual","",IFERROR((INDEX($M293:$Q293,,MATCH(BN$4,$M$4:$Q$4,0))),0))</f>
        <v/>
      </c>
      <c r="BO293" s="269">
        <f>IF(BO$7="Actual","",IFERROR((INDEX($M293:$Q293,,MATCH(BO$4,$M$4:$Q$4,0))),0))</f>
        <v/>
      </c>
      <c r="BP293" s="269">
        <f>IF(BP$7="Actual","",IFERROR((INDEX($M293:$Q293,,MATCH(BP$4,$M$4:$Q$4,0))),0))</f>
        <v/>
      </c>
      <c r="BQ293" s="269">
        <f>IF(BQ$7="Actual","",IFERROR((INDEX($M293:$Q293,,MATCH(BQ$4,$M$4:$Q$4,0))),0))</f>
        <v/>
      </c>
      <c r="BR293" s="269">
        <f>IF(BR$7="Actual","",IFERROR((INDEX($M293:$Q293,,MATCH(BR$4,$M$4:$Q$4,0))),0))</f>
        <v/>
      </c>
      <c r="BS293" s="269">
        <f>IF(BS$7="Actual","",IFERROR((INDEX($M293:$Q293,,MATCH(BS$4,$M$4:$Q$4,0))),0))</f>
        <v/>
      </c>
      <c r="BT293" s="269">
        <f>IF(BT$7="Actual","",IFERROR((INDEX($M293:$Q293,,MATCH(BT$4,$M$4:$Q$4,0))),0))</f>
        <v/>
      </c>
      <c r="BU293" s="269">
        <f>IF(BU$7="Actual","",IFERROR((INDEX($M293:$Q293,,MATCH(BU$4,$M$4:$Q$4,0))),0))</f>
        <v/>
      </c>
      <c r="BV293" s="269">
        <f>IF(BV$7="Actual","",IFERROR((INDEX($M293:$Q293,,MATCH(BV$4,$M$4:$Q$4,0))),0))</f>
        <v/>
      </c>
      <c r="BW293" s="269">
        <f>IF(BW$7="Actual","",IFERROR((INDEX($M293:$Q293,,MATCH(BW$4,$M$4:$Q$4,0))),0))</f>
        <v/>
      </c>
      <c r="BX293" s="269">
        <f>IF(BX$7="Actual","",IFERROR((INDEX($M293:$Q293,,MATCH(BX$4,$M$4:$Q$4,0))),0))</f>
        <v/>
      </c>
      <c r="BY293" s="269">
        <f>IF(BY$7="Actual","",IFERROR((INDEX($M293:$Q293,,MATCH(BY$4,$M$4:$Q$4,0))),0))</f>
        <v/>
      </c>
      <c r="BZ293" s="269">
        <f>IF(BZ$7="Actual","",IFERROR((INDEX($M293:$Q293,,MATCH(BZ$4,$M$4:$Q$4,0))),0))</f>
        <v/>
      </c>
      <c r="CA293" s="269">
        <f>IF(CA$7="Actual","",IFERROR((INDEX($M293:$Q293,,MATCH(CA$4,$M$4:$Q$4,0))),0))</f>
        <v/>
      </c>
    </row>
    <row r="294" ht="12" customHeight="1" s="227">
      <c r="A294" s="244" t="n"/>
      <c r="B294" s="244" t="n"/>
      <c r="C294" s="244" t="n"/>
      <c r="H294" s="4">
        <f>H284</f>
        <v/>
      </c>
      <c r="I294" s="27" t="inlineStr">
        <is>
          <t>no</t>
        </is>
      </c>
      <c r="K294" s="6" t="n"/>
      <c r="M294" s="267">
        <f>IF(M$7="Actual","",i_Assumptions!M172)</f>
        <v/>
      </c>
      <c r="N294" s="267">
        <f>IF(N$7="Actual","",i_Assumptions!N172)</f>
        <v/>
      </c>
      <c r="O294" s="267">
        <f>IF(O$7="Actual","",i_Assumptions!O172)</f>
        <v/>
      </c>
      <c r="P294" s="267">
        <f>IF(P$7="Actual","",i_Assumptions!P172)</f>
        <v/>
      </c>
      <c r="Q294" s="267">
        <f>IF(Q$7="Actual","",i_Assumptions!Q172)</f>
        <v/>
      </c>
      <c r="R294" s="268" t="n"/>
      <c r="S294" s="268" t="n"/>
      <c r="T294" s="269">
        <f>IF(T$7="Actual","",IFERROR((INDEX($M294:$Q294,,MATCH(T$4,$M$4:$Q$4,0))),0))</f>
        <v/>
      </c>
      <c r="U294" s="269">
        <f>IF(U$7="Actual","",IFERROR((INDEX($M294:$Q294,,MATCH(U$4,$M$4:$Q$4,0))),0))</f>
        <v/>
      </c>
      <c r="V294" s="269">
        <f>IF(V$7="Actual","",IFERROR((INDEX($M294:$Q294,,MATCH(V$4,$M$4:$Q$4,0))),0))</f>
        <v/>
      </c>
      <c r="W294" s="269">
        <f>IF(W$7="Actual","",IFERROR((INDEX($M294:$Q294,,MATCH(W$4,$M$4:$Q$4,0))),0))</f>
        <v/>
      </c>
      <c r="X294" s="269">
        <f>IF(X$7="Actual","",IFERROR((INDEX($M294:$Q294,,MATCH(X$4,$M$4:$Q$4,0))),0))</f>
        <v/>
      </c>
      <c r="Y294" s="269">
        <f>IF(Y$7="Actual","",IFERROR((INDEX($M294:$Q294,,MATCH(Y$4,$M$4:$Q$4,0))),0))</f>
        <v/>
      </c>
      <c r="Z294" s="269">
        <f>IF(Z$7="Actual","",IFERROR((INDEX($M294:$Q294,,MATCH(Z$4,$M$4:$Q$4,0))),0))</f>
        <v/>
      </c>
      <c r="AA294" s="269">
        <f>IF(AA$7="Actual","",IFERROR((INDEX($M294:$Q294,,MATCH(AA$4,$M$4:$Q$4,0))),0))</f>
        <v/>
      </c>
      <c r="AB294" s="269">
        <f>IF(AB$7="Actual","",IFERROR((INDEX($M294:$Q294,,MATCH(AB$4,$M$4:$Q$4,0))),0))</f>
        <v/>
      </c>
      <c r="AC294" s="269">
        <f>IF(AC$7="Actual","",IFERROR((INDEX($M294:$Q294,,MATCH(AC$4,$M$4:$Q$4,0))),0))</f>
        <v/>
      </c>
      <c r="AD294" s="269">
        <f>IF(AD$7="Actual","",IFERROR((INDEX($M294:$Q294,,MATCH(AD$4,$M$4:$Q$4,0))),0))</f>
        <v/>
      </c>
      <c r="AE294" s="269">
        <f>IF(AE$7="Actual","",IFERROR((INDEX($M294:$Q294,,MATCH(AE$4,$M$4:$Q$4,0))),0))</f>
        <v/>
      </c>
      <c r="AF294" s="269">
        <f>IF(AF$7="Actual","",IFERROR((INDEX($M294:$Q294,,MATCH(AF$4,$M$4:$Q$4,0))),0))</f>
        <v/>
      </c>
      <c r="AG294" s="269">
        <f>IF(AG$7="Actual","",IFERROR((INDEX($M294:$Q294,,MATCH(AG$4,$M$4:$Q$4,0))),0))</f>
        <v/>
      </c>
      <c r="AH294" s="269">
        <f>IF(AH$7="Actual","",IFERROR((INDEX($M294:$Q294,,MATCH(AH$4,$M$4:$Q$4,0))),0))</f>
        <v/>
      </c>
      <c r="AI294" s="269">
        <f>IF(AI$7="Actual","",IFERROR((INDEX($M294:$Q294,,MATCH(AI$4,$M$4:$Q$4,0))),0))</f>
        <v/>
      </c>
      <c r="AJ294" s="269">
        <f>IF(AJ$7="Actual","",IFERROR((INDEX($M294:$Q294,,MATCH(AJ$4,$M$4:$Q$4,0))),0))</f>
        <v/>
      </c>
      <c r="AK294" s="269">
        <f>IF(AK$7="Actual","",IFERROR((INDEX($M294:$Q294,,MATCH(AK$4,$M$4:$Q$4,0))),0))</f>
        <v/>
      </c>
      <c r="AL294" s="269">
        <f>IF(AL$7="Actual","",IFERROR((INDEX($M294:$Q294,,MATCH(AL$4,$M$4:$Q$4,0))),0))</f>
        <v/>
      </c>
      <c r="AM294" s="269">
        <f>IF(AM$7="Actual","",IFERROR((INDEX($M294:$Q294,,MATCH(AM$4,$M$4:$Q$4,0))),0))</f>
        <v/>
      </c>
      <c r="AN294" s="269">
        <f>IF(AN$7="Actual","",IFERROR((INDEX($M294:$Q294,,MATCH(AN$4,$M$4:$Q$4,0))),0))</f>
        <v/>
      </c>
      <c r="AO294" s="269">
        <f>IF(AO$7="Actual","",IFERROR((INDEX($M294:$Q294,,MATCH(AO$4,$M$4:$Q$4,0))),0))</f>
        <v/>
      </c>
      <c r="AP294" s="269">
        <f>IF(AP$7="Actual","",IFERROR((INDEX($M294:$Q294,,MATCH(AP$4,$M$4:$Q$4,0))),0))</f>
        <v/>
      </c>
      <c r="AQ294" s="269">
        <f>IF(AQ$7="Actual","",IFERROR((INDEX($M294:$Q294,,MATCH(AQ$4,$M$4:$Q$4,0))),0))</f>
        <v/>
      </c>
      <c r="AR294" s="269">
        <f>IF(AR$7="Actual","",IFERROR((INDEX($M294:$Q294,,MATCH(AR$4,$M$4:$Q$4,0))),0))</f>
        <v/>
      </c>
      <c r="AS294" s="269">
        <f>IF(AS$7="Actual","",IFERROR((INDEX($M294:$Q294,,MATCH(AS$4,$M$4:$Q$4,0))),0))</f>
        <v/>
      </c>
      <c r="AT294" s="269">
        <f>IF(AT$7="Actual","",IFERROR((INDEX($M294:$Q294,,MATCH(AT$4,$M$4:$Q$4,0))),0))</f>
        <v/>
      </c>
      <c r="AU294" s="269">
        <f>IF(AU$7="Actual","",IFERROR((INDEX($M294:$Q294,,MATCH(AU$4,$M$4:$Q$4,0))),0))</f>
        <v/>
      </c>
      <c r="AV294" s="269">
        <f>IF(AV$7="Actual","",IFERROR((INDEX($M294:$Q294,,MATCH(AV$4,$M$4:$Q$4,0))),0))</f>
        <v/>
      </c>
      <c r="AW294" s="269">
        <f>IF(AW$7="Actual","",IFERROR((INDEX($M294:$Q294,,MATCH(AW$4,$M$4:$Q$4,0))),0))</f>
        <v/>
      </c>
      <c r="AX294" s="269">
        <f>IF(AX$7="Actual","",IFERROR((INDEX($M294:$Q294,,MATCH(AX$4,$M$4:$Q$4,0))),0))</f>
        <v/>
      </c>
      <c r="AY294" s="269">
        <f>IF(AY$7="Actual","",IFERROR((INDEX($M294:$Q294,,MATCH(AY$4,$M$4:$Q$4,0))),0))</f>
        <v/>
      </c>
      <c r="AZ294" s="269">
        <f>IF(AZ$7="Actual","",IFERROR((INDEX($M294:$Q294,,MATCH(AZ$4,$M$4:$Q$4,0))),0))</f>
        <v/>
      </c>
      <c r="BA294" s="269">
        <f>IF(BA$7="Actual","",IFERROR((INDEX($M294:$Q294,,MATCH(BA$4,$M$4:$Q$4,0))),0))</f>
        <v/>
      </c>
      <c r="BB294" s="269">
        <f>IF(BB$7="Actual","",IFERROR((INDEX($M294:$Q294,,MATCH(BB$4,$M$4:$Q$4,0))),0))</f>
        <v/>
      </c>
      <c r="BC294" s="269">
        <f>IF(BC$7="Actual","",IFERROR((INDEX($M294:$Q294,,MATCH(BC$4,$M$4:$Q$4,0))),0))</f>
        <v/>
      </c>
      <c r="BD294" s="269">
        <f>IF(BD$7="Actual","",IFERROR((INDEX($M294:$Q294,,MATCH(BD$4,$M$4:$Q$4,0))),0))</f>
        <v/>
      </c>
      <c r="BE294" s="269">
        <f>IF(BE$7="Actual","",IFERROR((INDEX($M294:$Q294,,MATCH(BE$4,$M$4:$Q$4,0))),0))</f>
        <v/>
      </c>
      <c r="BF294" s="269">
        <f>IF(BF$7="Actual","",IFERROR((INDEX($M294:$Q294,,MATCH(BF$4,$M$4:$Q$4,0))),0))</f>
        <v/>
      </c>
      <c r="BG294" s="269">
        <f>IF(BG$7="Actual","",IFERROR((INDEX($M294:$Q294,,MATCH(BG$4,$M$4:$Q$4,0))),0))</f>
        <v/>
      </c>
      <c r="BH294" s="269">
        <f>IF(BH$7="Actual","",IFERROR((INDEX($M294:$Q294,,MATCH(BH$4,$M$4:$Q$4,0))),0))</f>
        <v/>
      </c>
      <c r="BI294" s="269">
        <f>IF(BI$7="Actual","",IFERROR((INDEX($M294:$Q294,,MATCH(BI$4,$M$4:$Q$4,0))),0))</f>
        <v/>
      </c>
      <c r="BJ294" s="269">
        <f>IF(BJ$7="Actual","",IFERROR((INDEX($M294:$Q294,,MATCH(BJ$4,$M$4:$Q$4,0))),0))</f>
        <v/>
      </c>
      <c r="BK294" s="269">
        <f>IF(BK$7="Actual","",IFERROR((INDEX($M294:$Q294,,MATCH(BK$4,$M$4:$Q$4,0))),0))</f>
        <v/>
      </c>
      <c r="BL294" s="269">
        <f>IF(BL$7="Actual","",IFERROR((INDEX($M294:$Q294,,MATCH(BL$4,$M$4:$Q$4,0))),0))</f>
        <v/>
      </c>
      <c r="BM294" s="269">
        <f>IF(BM$7="Actual","",IFERROR((INDEX($M294:$Q294,,MATCH(BM$4,$M$4:$Q$4,0))),0))</f>
        <v/>
      </c>
      <c r="BN294" s="269">
        <f>IF(BN$7="Actual","",IFERROR((INDEX($M294:$Q294,,MATCH(BN$4,$M$4:$Q$4,0))),0))</f>
        <v/>
      </c>
      <c r="BO294" s="269">
        <f>IF(BO$7="Actual","",IFERROR((INDEX($M294:$Q294,,MATCH(BO$4,$M$4:$Q$4,0))),0))</f>
        <v/>
      </c>
      <c r="BP294" s="269">
        <f>IF(BP$7="Actual","",IFERROR((INDEX($M294:$Q294,,MATCH(BP$4,$M$4:$Q$4,0))),0))</f>
        <v/>
      </c>
      <c r="BQ294" s="269">
        <f>IF(BQ$7="Actual","",IFERROR((INDEX($M294:$Q294,,MATCH(BQ$4,$M$4:$Q$4,0))),0))</f>
        <v/>
      </c>
      <c r="BR294" s="269">
        <f>IF(BR$7="Actual","",IFERROR((INDEX($M294:$Q294,,MATCH(BR$4,$M$4:$Q$4,0))),0))</f>
        <v/>
      </c>
      <c r="BS294" s="269">
        <f>IF(BS$7="Actual","",IFERROR((INDEX($M294:$Q294,,MATCH(BS$4,$M$4:$Q$4,0))),0))</f>
        <v/>
      </c>
      <c r="BT294" s="269">
        <f>IF(BT$7="Actual","",IFERROR((INDEX($M294:$Q294,,MATCH(BT$4,$M$4:$Q$4,0))),0))</f>
        <v/>
      </c>
      <c r="BU294" s="269">
        <f>IF(BU$7="Actual","",IFERROR((INDEX($M294:$Q294,,MATCH(BU$4,$M$4:$Q$4,0))),0))</f>
        <v/>
      </c>
      <c r="BV294" s="269">
        <f>IF(BV$7="Actual","",IFERROR((INDEX($M294:$Q294,,MATCH(BV$4,$M$4:$Q$4,0))),0))</f>
        <v/>
      </c>
      <c r="BW294" s="269">
        <f>IF(BW$7="Actual","",IFERROR((INDEX($M294:$Q294,,MATCH(BW$4,$M$4:$Q$4,0))),0))</f>
        <v/>
      </c>
      <c r="BX294" s="269">
        <f>IF(BX$7="Actual","",IFERROR((INDEX($M294:$Q294,,MATCH(BX$4,$M$4:$Q$4,0))),0))</f>
        <v/>
      </c>
      <c r="BY294" s="269">
        <f>IF(BY$7="Actual","",IFERROR((INDEX($M294:$Q294,,MATCH(BY$4,$M$4:$Q$4,0))),0))</f>
        <v/>
      </c>
      <c r="BZ294" s="269">
        <f>IF(BZ$7="Actual","",IFERROR((INDEX($M294:$Q294,,MATCH(BZ$4,$M$4:$Q$4,0))),0))</f>
        <v/>
      </c>
      <c r="CA294" s="269">
        <f>IF(CA$7="Actual","",IFERROR((INDEX($M294:$Q294,,MATCH(CA$4,$M$4:$Q$4,0))),0))</f>
        <v/>
      </c>
    </row>
    <row r="295" ht="12" customHeight="1" s="227">
      <c r="A295" s="244" t="n"/>
      <c r="B295" s="244" t="n"/>
      <c r="C295" s="244" t="n"/>
      <c r="H295" s="4">
        <f>H285</f>
        <v/>
      </c>
      <c r="I295" s="27" t="inlineStr">
        <is>
          <t>no</t>
        </is>
      </c>
      <c r="K295" s="6" t="n"/>
      <c r="M295" s="267">
        <f>IF(M$7="Actual","",i_Assumptions!M173)</f>
        <v/>
      </c>
      <c r="N295" s="267">
        <f>IF(N$7="Actual","",i_Assumptions!N173)</f>
        <v/>
      </c>
      <c r="O295" s="267">
        <f>IF(O$7="Actual","",i_Assumptions!O173)</f>
        <v/>
      </c>
      <c r="P295" s="267">
        <f>IF(P$7="Actual","",i_Assumptions!P173)</f>
        <v/>
      </c>
      <c r="Q295" s="267">
        <f>IF(Q$7="Actual","",i_Assumptions!Q173)</f>
        <v/>
      </c>
      <c r="R295" s="268" t="n"/>
      <c r="S295" s="268" t="n"/>
      <c r="T295" s="269">
        <f>IF(T$7="Actual","",IFERROR((INDEX($M295:$Q295,,MATCH(T$4,$M$4:$Q$4,0))),0))</f>
        <v/>
      </c>
      <c r="U295" s="269">
        <f>IF(U$7="Actual","",IFERROR((INDEX($M295:$Q295,,MATCH(U$4,$M$4:$Q$4,0))),0))</f>
        <v/>
      </c>
      <c r="V295" s="269">
        <f>IF(V$7="Actual","",IFERROR((INDEX($M295:$Q295,,MATCH(V$4,$M$4:$Q$4,0))),0))</f>
        <v/>
      </c>
      <c r="W295" s="269">
        <f>IF(W$7="Actual","",IFERROR((INDEX($M295:$Q295,,MATCH(W$4,$M$4:$Q$4,0))),0))</f>
        <v/>
      </c>
      <c r="X295" s="269">
        <f>IF(X$7="Actual","",IFERROR((INDEX($M295:$Q295,,MATCH(X$4,$M$4:$Q$4,0))),0))</f>
        <v/>
      </c>
      <c r="Y295" s="269">
        <f>IF(Y$7="Actual","",IFERROR((INDEX($M295:$Q295,,MATCH(Y$4,$M$4:$Q$4,0))),0))</f>
        <v/>
      </c>
      <c r="Z295" s="269">
        <f>IF(Z$7="Actual","",IFERROR((INDEX($M295:$Q295,,MATCH(Z$4,$M$4:$Q$4,0))),0))</f>
        <v/>
      </c>
      <c r="AA295" s="269">
        <f>IF(AA$7="Actual","",IFERROR((INDEX($M295:$Q295,,MATCH(AA$4,$M$4:$Q$4,0))),0))</f>
        <v/>
      </c>
      <c r="AB295" s="269">
        <f>IF(AB$7="Actual","",IFERROR((INDEX($M295:$Q295,,MATCH(AB$4,$M$4:$Q$4,0))),0))</f>
        <v/>
      </c>
      <c r="AC295" s="269">
        <f>IF(AC$7="Actual","",IFERROR((INDEX($M295:$Q295,,MATCH(AC$4,$M$4:$Q$4,0))),0))</f>
        <v/>
      </c>
      <c r="AD295" s="269">
        <f>IF(AD$7="Actual","",IFERROR((INDEX($M295:$Q295,,MATCH(AD$4,$M$4:$Q$4,0))),0))</f>
        <v/>
      </c>
      <c r="AE295" s="269">
        <f>IF(AE$7="Actual","",IFERROR((INDEX($M295:$Q295,,MATCH(AE$4,$M$4:$Q$4,0))),0))</f>
        <v/>
      </c>
      <c r="AF295" s="269">
        <f>IF(AF$7="Actual","",IFERROR((INDEX($M295:$Q295,,MATCH(AF$4,$M$4:$Q$4,0))),0))</f>
        <v/>
      </c>
      <c r="AG295" s="269">
        <f>IF(AG$7="Actual","",IFERROR((INDEX($M295:$Q295,,MATCH(AG$4,$M$4:$Q$4,0))),0))</f>
        <v/>
      </c>
      <c r="AH295" s="269">
        <f>IF(AH$7="Actual","",IFERROR((INDEX($M295:$Q295,,MATCH(AH$4,$M$4:$Q$4,0))),0))</f>
        <v/>
      </c>
      <c r="AI295" s="269">
        <f>IF(AI$7="Actual","",IFERROR((INDEX($M295:$Q295,,MATCH(AI$4,$M$4:$Q$4,0))),0))</f>
        <v/>
      </c>
      <c r="AJ295" s="269">
        <f>IF(AJ$7="Actual","",IFERROR((INDEX($M295:$Q295,,MATCH(AJ$4,$M$4:$Q$4,0))),0))</f>
        <v/>
      </c>
      <c r="AK295" s="269">
        <f>IF(AK$7="Actual","",IFERROR((INDEX($M295:$Q295,,MATCH(AK$4,$M$4:$Q$4,0))),0))</f>
        <v/>
      </c>
      <c r="AL295" s="269">
        <f>IF(AL$7="Actual","",IFERROR((INDEX($M295:$Q295,,MATCH(AL$4,$M$4:$Q$4,0))),0))</f>
        <v/>
      </c>
      <c r="AM295" s="269">
        <f>IF(AM$7="Actual","",IFERROR((INDEX($M295:$Q295,,MATCH(AM$4,$M$4:$Q$4,0))),0))</f>
        <v/>
      </c>
      <c r="AN295" s="269">
        <f>IF(AN$7="Actual","",IFERROR((INDEX($M295:$Q295,,MATCH(AN$4,$M$4:$Q$4,0))),0))</f>
        <v/>
      </c>
      <c r="AO295" s="269">
        <f>IF(AO$7="Actual","",IFERROR((INDEX($M295:$Q295,,MATCH(AO$4,$M$4:$Q$4,0))),0))</f>
        <v/>
      </c>
      <c r="AP295" s="269">
        <f>IF(AP$7="Actual","",IFERROR((INDEX($M295:$Q295,,MATCH(AP$4,$M$4:$Q$4,0))),0))</f>
        <v/>
      </c>
      <c r="AQ295" s="269">
        <f>IF(AQ$7="Actual","",IFERROR((INDEX($M295:$Q295,,MATCH(AQ$4,$M$4:$Q$4,0))),0))</f>
        <v/>
      </c>
      <c r="AR295" s="269">
        <f>IF(AR$7="Actual","",IFERROR((INDEX($M295:$Q295,,MATCH(AR$4,$M$4:$Q$4,0))),0))</f>
        <v/>
      </c>
      <c r="AS295" s="269">
        <f>IF(AS$7="Actual","",IFERROR((INDEX($M295:$Q295,,MATCH(AS$4,$M$4:$Q$4,0))),0))</f>
        <v/>
      </c>
      <c r="AT295" s="269">
        <f>IF(AT$7="Actual","",IFERROR((INDEX($M295:$Q295,,MATCH(AT$4,$M$4:$Q$4,0))),0))</f>
        <v/>
      </c>
      <c r="AU295" s="269">
        <f>IF(AU$7="Actual","",IFERROR((INDEX($M295:$Q295,,MATCH(AU$4,$M$4:$Q$4,0))),0))</f>
        <v/>
      </c>
      <c r="AV295" s="269">
        <f>IF(AV$7="Actual","",IFERROR((INDEX($M295:$Q295,,MATCH(AV$4,$M$4:$Q$4,0))),0))</f>
        <v/>
      </c>
      <c r="AW295" s="269">
        <f>IF(AW$7="Actual","",IFERROR((INDEX($M295:$Q295,,MATCH(AW$4,$M$4:$Q$4,0))),0))</f>
        <v/>
      </c>
      <c r="AX295" s="269">
        <f>IF(AX$7="Actual","",IFERROR((INDEX($M295:$Q295,,MATCH(AX$4,$M$4:$Q$4,0))),0))</f>
        <v/>
      </c>
      <c r="AY295" s="269">
        <f>IF(AY$7="Actual","",IFERROR((INDEX($M295:$Q295,,MATCH(AY$4,$M$4:$Q$4,0))),0))</f>
        <v/>
      </c>
      <c r="AZ295" s="269">
        <f>IF(AZ$7="Actual","",IFERROR((INDEX($M295:$Q295,,MATCH(AZ$4,$M$4:$Q$4,0))),0))</f>
        <v/>
      </c>
      <c r="BA295" s="269">
        <f>IF(BA$7="Actual","",IFERROR((INDEX($M295:$Q295,,MATCH(BA$4,$M$4:$Q$4,0))),0))</f>
        <v/>
      </c>
      <c r="BB295" s="269">
        <f>IF(BB$7="Actual","",IFERROR((INDEX($M295:$Q295,,MATCH(BB$4,$M$4:$Q$4,0))),0))</f>
        <v/>
      </c>
      <c r="BC295" s="269">
        <f>IF(BC$7="Actual","",IFERROR((INDEX($M295:$Q295,,MATCH(BC$4,$M$4:$Q$4,0))),0))</f>
        <v/>
      </c>
      <c r="BD295" s="269">
        <f>IF(BD$7="Actual","",IFERROR((INDEX($M295:$Q295,,MATCH(BD$4,$M$4:$Q$4,0))),0))</f>
        <v/>
      </c>
      <c r="BE295" s="269">
        <f>IF(BE$7="Actual","",IFERROR((INDEX($M295:$Q295,,MATCH(BE$4,$M$4:$Q$4,0))),0))</f>
        <v/>
      </c>
      <c r="BF295" s="269">
        <f>IF(BF$7="Actual","",IFERROR((INDEX($M295:$Q295,,MATCH(BF$4,$M$4:$Q$4,0))),0))</f>
        <v/>
      </c>
      <c r="BG295" s="269">
        <f>IF(BG$7="Actual","",IFERROR((INDEX($M295:$Q295,,MATCH(BG$4,$M$4:$Q$4,0))),0))</f>
        <v/>
      </c>
      <c r="BH295" s="269">
        <f>IF(BH$7="Actual","",IFERROR((INDEX($M295:$Q295,,MATCH(BH$4,$M$4:$Q$4,0))),0))</f>
        <v/>
      </c>
      <c r="BI295" s="269">
        <f>IF(BI$7="Actual","",IFERROR((INDEX($M295:$Q295,,MATCH(BI$4,$M$4:$Q$4,0))),0))</f>
        <v/>
      </c>
      <c r="BJ295" s="269">
        <f>IF(BJ$7="Actual","",IFERROR((INDEX($M295:$Q295,,MATCH(BJ$4,$M$4:$Q$4,0))),0))</f>
        <v/>
      </c>
      <c r="BK295" s="269">
        <f>IF(BK$7="Actual","",IFERROR((INDEX($M295:$Q295,,MATCH(BK$4,$M$4:$Q$4,0))),0))</f>
        <v/>
      </c>
      <c r="BL295" s="269">
        <f>IF(BL$7="Actual","",IFERROR((INDEX($M295:$Q295,,MATCH(BL$4,$M$4:$Q$4,0))),0))</f>
        <v/>
      </c>
      <c r="BM295" s="269">
        <f>IF(BM$7="Actual","",IFERROR((INDEX($M295:$Q295,,MATCH(BM$4,$M$4:$Q$4,0))),0))</f>
        <v/>
      </c>
      <c r="BN295" s="269">
        <f>IF(BN$7="Actual","",IFERROR((INDEX($M295:$Q295,,MATCH(BN$4,$M$4:$Q$4,0))),0))</f>
        <v/>
      </c>
      <c r="BO295" s="269">
        <f>IF(BO$7="Actual","",IFERROR((INDEX($M295:$Q295,,MATCH(BO$4,$M$4:$Q$4,0))),0))</f>
        <v/>
      </c>
      <c r="BP295" s="269">
        <f>IF(BP$7="Actual","",IFERROR((INDEX($M295:$Q295,,MATCH(BP$4,$M$4:$Q$4,0))),0))</f>
        <v/>
      </c>
      <c r="BQ295" s="269">
        <f>IF(BQ$7="Actual","",IFERROR((INDEX($M295:$Q295,,MATCH(BQ$4,$M$4:$Q$4,0))),0))</f>
        <v/>
      </c>
      <c r="BR295" s="269">
        <f>IF(BR$7="Actual","",IFERROR((INDEX($M295:$Q295,,MATCH(BR$4,$M$4:$Q$4,0))),0))</f>
        <v/>
      </c>
      <c r="BS295" s="269">
        <f>IF(BS$7="Actual","",IFERROR((INDEX($M295:$Q295,,MATCH(BS$4,$M$4:$Q$4,0))),0))</f>
        <v/>
      </c>
      <c r="BT295" s="269">
        <f>IF(BT$7="Actual","",IFERROR((INDEX($M295:$Q295,,MATCH(BT$4,$M$4:$Q$4,0))),0))</f>
        <v/>
      </c>
      <c r="BU295" s="269">
        <f>IF(BU$7="Actual","",IFERROR((INDEX($M295:$Q295,,MATCH(BU$4,$M$4:$Q$4,0))),0))</f>
        <v/>
      </c>
      <c r="BV295" s="269">
        <f>IF(BV$7="Actual","",IFERROR((INDEX($M295:$Q295,,MATCH(BV$4,$M$4:$Q$4,0))),0))</f>
        <v/>
      </c>
      <c r="BW295" s="269">
        <f>IF(BW$7="Actual","",IFERROR((INDEX($M295:$Q295,,MATCH(BW$4,$M$4:$Q$4,0))),0))</f>
        <v/>
      </c>
      <c r="BX295" s="269">
        <f>IF(BX$7="Actual","",IFERROR((INDEX($M295:$Q295,,MATCH(BX$4,$M$4:$Q$4,0))),0))</f>
        <v/>
      </c>
      <c r="BY295" s="269">
        <f>IF(BY$7="Actual","",IFERROR((INDEX($M295:$Q295,,MATCH(BY$4,$M$4:$Q$4,0))),0))</f>
        <v/>
      </c>
      <c r="BZ295" s="269">
        <f>IF(BZ$7="Actual","",IFERROR((INDEX($M295:$Q295,,MATCH(BZ$4,$M$4:$Q$4,0))),0))</f>
        <v/>
      </c>
      <c r="CA295" s="269">
        <f>IF(CA$7="Actual","",IFERROR((INDEX($M295:$Q295,,MATCH(CA$4,$M$4:$Q$4,0))),0))</f>
        <v/>
      </c>
    </row>
    <row r="296" ht="12" customHeight="1" s="227">
      <c r="A296" s="244" t="n"/>
      <c r="B296" s="244" t="n"/>
      <c r="C296" s="244" t="n"/>
      <c r="H296" s="4">
        <f>H286</f>
        <v/>
      </c>
      <c r="I296" s="27" t="inlineStr">
        <is>
          <t>no</t>
        </is>
      </c>
      <c r="K296" s="6" t="n"/>
      <c r="M296" s="267">
        <f>IF(M$7="Actual","",i_Assumptions!M174)</f>
        <v/>
      </c>
      <c r="N296" s="267">
        <f>IF(N$7="Actual","",i_Assumptions!N174)</f>
        <v/>
      </c>
      <c r="O296" s="267">
        <f>IF(O$7="Actual","",i_Assumptions!O174)</f>
        <v/>
      </c>
      <c r="P296" s="267">
        <f>IF(P$7="Actual","",i_Assumptions!P174)</f>
        <v/>
      </c>
      <c r="Q296" s="267">
        <f>IF(Q$7="Actual","",i_Assumptions!Q174)</f>
        <v/>
      </c>
      <c r="R296" s="268" t="n"/>
      <c r="S296" s="268" t="n"/>
      <c r="T296" s="269">
        <f>IF(T$7="Actual","",IFERROR((INDEX($M296:$Q296,,MATCH(T$4,$M$4:$Q$4,0))),0))</f>
        <v/>
      </c>
      <c r="U296" s="269">
        <f>IF(U$7="Actual","",IFERROR((INDEX($M296:$Q296,,MATCH(U$4,$M$4:$Q$4,0))),0))</f>
        <v/>
      </c>
      <c r="V296" s="269">
        <f>IF(V$7="Actual","",IFERROR((INDEX($M296:$Q296,,MATCH(V$4,$M$4:$Q$4,0))),0))</f>
        <v/>
      </c>
      <c r="W296" s="269">
        <f>IF(W$7="Actual","",IFERROR((INDEX($M296:$Q296,,MATCH(W$4,$M$4:$Q$4,0))),0))</f>
        <v/>
      </c>
      <c r="X296" s="269">
        <f>IF(X$7="Actual","",IFERROR((INDEX($M296:$Q296,,MATCH(X$4,$M$4:$Q$4,0))),0))</f>
        <v/>
      </c>
      <c r="Y296" s="269">
        <f>IF(Y$7="Actual","",IFERROR((INDEX($M296:$Q296,,MATCH(Y$4,$M$4:$Q$4,0))),0))</f>
        <v/>
      </c>
      <c r="Z296" s="269">
        <f>IF(Z$7="Actual","",IFERROR((INDEX($M296:$Q296,,MATCH(Z$4,$M$4:$Q$4,0))),0))</f>
        <v/>
      </c>
      <c r="AA296" s="269">
        <f>IF(AA$7="Actual","",IFERROR((INDEX($M296:$Q296,,MATCH(AA$4,$M$4:$Q$4,0))),0))</f>
        <v/>
      </c>
      <c r="AB296" s="269">
        <f>IF(AB$7="Actual","",IFERROR((INDEX($M296:$Q296,,MATCH(AB$4,$M$4:$Q$4,0))),0))</f>
        <v/>
      </c>
      <c r="AC296" s="269">
        <f>IF(AC$7="Actual","",IFERROR((INDEX($M296:$Q296,,MATCH(AC$4,$M$4:$Q$4,0))),0))</f>
        <v/>
      </c>
      <c r="AD296" s="269">
        <f>IF(AD$7="Actual","",IFERROR((INDEX($M296:$Q296,,MATCH(AD$4,$M$4:$Q$4,0))),0))</f>
        <v/>
      </c>
      <c r="AE296" s="269">
        <f>IF(AE$7="Actual","",IFERROR((INDEX($M296:$Q296,,MATCH(AE$4,$M$4:$Q$4,0))),0))</f>
        <v/>
      </c>
      <c r="AF296" s="269">
        <f>IF(AF$7="Actual","",IFERROR((INDEX($M296:$Q296,,MATCH(AF$4,$M$4:$Q$4,0))),0))</f>
        <v/>
      </c>
      <c r="AG296" s="269">
        <f>IF(AG$7="Actual","",IFERROR((INDEX($M296:$Q296,,MATCH(AG$4,$M$4:$Q$4,0))),0))</f>
        <v/>
      </c>
      <c r="AH296" s="269">
        <f>IF(AH$7="Actual","",IFERROR((INDEX($M296:$Q296,,MATCH(AH$4,$M$4:$Q$4,0))),0))</f>
        <v/>
      </c>
      <c r="AI296" s="269">
        <f>IF(AI$7="Actual","",IFERROR((INDEX($M296:$Q296,,MATCH(AI$4,$M$4:$Q$4,0))),0))</f>
        <v/>
      </c>
      <c r="AJ296" s="269">
        <f>IF(AJ$7="Actual","",IFERROR((INDEX($M296:$Q296,,MATCH(AJ$4,$M$4:$Q$4,0))),0))</f>
        <v/>
      </c>
      <c r="AK296" s="269">
        <f>IF(AK$7="Actual","",IFERROR((INDEX($M296:$Q296,,MATCH(AK$4,$M$4:$Q$4,0))),0))</f>
        <v/>
      </c>
      <c r="AL296" s="269">
        <f>IF(AL$7="Actual","",IFERROR((INDEX($M296:$Q296,,MATCH(AL$4,$M$4:$Q$4,0))),0))</f>
        <v/>
      </c>
      <c r="AM296" s="269">
        <f>IF(AM$7="Actual","",IFERROR((INDEX($M296:$Q296,,MATCH(AM$4,$M$4:$Q$4,0))),0))</f>
        <v/>
      </c>
      <c r="AN296" s="269">
        <f>IF(AN$7="Actual","",IFERROR((INDEX($M296:$Q296,,MATCH(AN$4,$M$4:$Q$4,0))),0))</f>
        <v/>
      </c>
      <c r="AO296" s="269">
        <f>IF(AO$7="Actual","",IFERROR((INDEX($M296:$Q296,,MATCH(AO$4,$M$4:$Q$4,0))),0))</f>
        <v/>
      </c>
      <c r="AP296" s="269">
        <f>IF(AP$7="Actual","",IFERROR((INDEX($M296:$Q296,,MATCH(AP$4,$M$4:$Q$4,0))),0))</f>
        <v/>
      </c>
      <c r="AQ296" s="269">
        <f>IF(AQ$7="Actual","",IFERROR((INDEX($M296:$Q296,,MATCH(AQ$4,$M$4:$Q$4,0))),0))</f>
        <v/>
      </c>
      <c r="AR296" s="269">
        <f>IF(AR$7="Actual","",IFERROR((INDEX($M296:$Q296,,MATCH(AR$4,$M$4:$Q$4,0))),0))</f>
        <v/>
      </c>
      <c r="AS296" s="269">
        <f>IF(AS$7="Actual","",IFERROR((INDEX($M296:$Q296,,MATCH(AS$4,$M$4:$Q$4,0))),0))</f>
        <v/>
      </c>
      <c r="AT296" s="269">
        <f>IF(AT$7="Actual","",IFERROR((INDEX($M296:$Q296,,MATCH(AT$4,$M$4:$Q$4,0))),0))</f>
        <v/>
      </c>
      <c r="AU296" s="269">
        <f>IF(AU$7="Actual","",IFERROR((INDEX($M296:$Q296,,MATCH(AU$4,$M$4:$Q$4,0))),0))</f>
        <v/>
      </c>
      <c r="AV296" s="269">
        <f>IF(AV$7="Actual","",IFERROR((INDEX($M296:$Q296,,MATCH(AV$4,$M$4:$Q$4,0))),0))</f>
        <v/>
      </c>
      <c r="AW296" s="269">
        <f>IF(AW$7="Actual","",IFERROR((INDEX($M296:$Q296,,MATCH(AW$4,$M$4:$Q$4,0))),0))</f>
        <v/>
      </c>
      <c r="AX296" s="269">
        <f>IF(AX$7="Actual","",IFERROR((INDEX($M296:$Q296,,MATCH(AX$4,$M$4:$Q$4,0))),0))</f>
        <v/>
      </c>
      <c r="AY296" s="269">
        <f>IF(AY$7="Actual","",IFERROR((INDEX($M296:$Q296,,MATCH(AY$4,$M$4:$Q$4,0))),0))</f>
        <v/>
      </c>
      <c r="AZ296" s="269">
        <f>IF(AZ$7="Actual","",IFERROR((INDEX($M296:$Q296,,MATCH(AZ$4,$M$4:$Q$4,0))),0))</f>
        <v/>
      </c>
      <c r="BA296" s="269">
        <f>IF(BA$7="Actual","",IFERROR((INDEX($M296:$Q296,,MATCH(BA$4,$M$4:$Q$4,0))),0))</f>
        <v/>
      </c>
      <c r="BB296" s="269">
        <f>IF(BB$7="Actual","",IFERROR((INDEX($M296:$Q296,,MATCH(BB$4,$M$4:$Q$4,0))),0))</f>
        <v/>
      </c>
      <c r="BC296" s="269">
        <f>IF(BC$7="Actual","",IFERROR((INDEX($M296:$Q296,,MATCH(BC$4,$M$4:$Q$4,0))),0))</f>
        <v/>
      </c>
      <c r="BD296" s="269">
        <f>IF(BD$7="Actual","",IFERROR((INDEX($M296:$Q296,,MATCH(BD$4,$M$4:$Q$4,0))),0))</f>
        <v/>
      </c>
      <c r="BE296" s="269">
        <f>IF(BE$7="Actual","",IFERROR((INDEX($M296:$Q296,,MATCH(BE$4,$M$4:$Q$4,0))),0))</f>
        <v/>
      </c>
      <c r="BF296" s="269">
        <f>IF(BF$7="Actual","",IFERROR((INDEX($M296:$Q296,,MATCH(BF$4,$M$4:$Q$4,0))),0))</f>
        <v/>
      </c>
      <c r="BG296" s="269">
        <f>IF(BG$7="Actual","",IFERROR((INDEX($M296:$Q296,,MATCH(BG$4,$M$4:$Q$4,0))),0))</f>
        <v/>
      </c>
      <c r="BH296" s="269">
        <f>IF(BH$7="Actual","",IFERROR((INDEX($M296:$Q296,,MATCH(BH$4,$M$4:$Q$4,0))),0))</f>
        <v/>
      </c>
      <c r="BI296" s="269">
        <f>IF(BI$7="Actual","",IFERROR((INDEX($M296:$Q296,,MATCH(BI$4,$M$4:$Q$4,0))),0))</f>
        <v/>
      </c>
      <c r="BJ296" s="269">
        <f>IF(BJ$7="Actual","",IFERROR((INDEX($M296:$Q296,,MATCH(BJ$4,$M$4:$Q$4,0))),0))</f>
        <v/>
      </c>
      <c r="BK296" s="269">
        <f>IF(BK$7="Actual","",IFERROR((INDEX($M296:$Q296,,MATCH(BK$4,$M$4:$Q$4,0))),0))</f>
        <v/>
      </c>
      <c r="BL296" s="269">
        <f>IF(BL$7="Actual","",IFERROR((INDEX($M296:$Q296,,MATCH(BL$4,$M$4:$Q$4,0))),0))</f>
        <v/>
      </c>
      <c r="BM296" s="269">
        <f>IF(BM$7="Actual","",IFERROR((INDEX($M296:$Q296,,MATCH(BM$4,$M$4:$Q$4,0))),0))</f>
        <v/>
      </c>
      <c r="BN296" s="269">
        <f>IF(BN$7="Actual","",IFERROR((INDEX($M296:$Q296,,MATCH(BN$4,$M$4:$Q$4,0))),0))</f>
        <v/>
      </c>
      <c r="BO296" s="269">
        <f>IF(BO$7="Actual","",IFERROR((INDEX($M296:$Q296,,MATCH(BO$4,$M$4:$Q$4,0))),0))</f>
        <v/>
      </c>
      <c r="BP296" s="269">
        <f>IF(BP$7="Actual","",IFERROR((INDEX($M296:$Q296,,MATCH(BP$4,$M$4:$Q$4,0))),0))</f>
        <v/>
      </c>
      <c r="BQ296" s="269">
        <f>IF(BQ$7="Actual","",IFERROR((INDEX($M296:$Q296,,MATCH(BQ$4,$M$4:$Q$4,0))),0))</f>
        <v/>
      </c>
      <c r="BR296" s="269">
        <f>IF(BR$7="Actual","",IFERROR((INDEX($M296:$Q296,,MATCH(BR$4,$M$4:$Q$4,0))),0))</f>
        <v/>
      </c>
      <c r="BS296" s="269">
        <f>IF(BS$7="Actual","",IFERROR((INDEX($M296:$Q296,,MATCH(BS$4,$M$4:$Q$4,0))),0))</f>
        <v/>
      </c>
      <c r="BT296" s="269">
        <f>IF(BT$7="Actual","",IFERROR((INDEX($M296:$Q296,,MATCH(BT$4,$M$4:$Q$4,0))),0))</f>
        <v/>
      </c>
      <c r="BU296" s="269">
        <f>IF(BU$7="Actual","",IFERROR((INDEX($M296:$Q296,,MATCH(BU$4,$M$4:$Q$4,0))),0))</f>
        <v/>
      </c>
      <c r="BV296" s="269">
        <f>IF(BV$7="Actual","",IFERROR((INDEX($M296:$Q296,,MATCH(BV$4,$M$4:$Q$4,0))),0))</f>
        <v/>
      </c>
      <c r="BW296" s="269">
        <f>IF(BW$7="Actual","",IFERROR((INDEX($M296:$Q296,,MATCH(BW$4,$M$4:$Q$4,0))),0))</f>
        <v/>
      </c>
      <c r="BX296" s="269">
        <f>IF(BX$7="Actual","",IFERROR((INDEX($M296:$Q296,,MATCH(BX$4,$M$4:$Q$4,0))),0))</f>
        <v/>
      </c>
      <c r="BY296" s="269">
        <f>IF(BY$7="Actual","",IFERROR((INDEX($M296:$Q296,,MATCH(BY$4,$M$4:$Q$4,0))),0))</f>
        <v/>
      </c>
      <c r="BZ296" s="269">
        <f>IF(BZ$7="Actual","",IFERROR((INDEX($M296:$Q296,,MATCH(BZ$4,$M$4:$Q$4,0))),0))</f>
        <v/>
      </c>
      <c r="CA296" s="269">
        <f>IF(CA$7="Actual","",IFERROR((INDEX($M296:$Q296,,MATCH(CA$4,$M$4:$Q$4,0))),0))</f>
        <v/>
      </c>
    </row>
    <row r="297" ht="12" customHeight="1" s="227">
      <c r="A297" s="244" t="n"/>
      <c r="B297" s="244" t="n"/>
      <c r="C297" s="244" t="n"/>
      <c r="K297" s="6" t="n"/>
    </row>
    <row r="298" ht="12" customHeight="1" s="227">
      <c r="A298" s="244" t="n"/>
      <c r="B298" s="244" t="n"/>
      <c r="C298" s="244" t="n"/>
      <c r="H298" s="8">
        <f>i_Setup!U35</f>
        <v/>
      </c>
      <c r="K298" s="6" t="n"/>
    </row>
    <row r="299" ht="12" customHeight="1" s="227">
      <c r="A299" s="244" t="n"/>
      <c r="B299" s="244" t="n"/>
      <c r="C299" s="244" t="n"/>
      <c r="H299" s="4">
        <f>H289</f>
        <v/>
      </c>
      <c r="I299" s="27" t="inlineStr">
        <is>
          <t>no</t>
        </is>
      </c>
      <c r="K299" s="6" t="n"/>
      <c r="M299" s="267">
        <f>IF(M$7="Actual","",i_Assumptions!M207)</f>
        <v/>
      </c>
      <c r="N299" s="267">
        <f>IF(N$7="Actual","",i_Assumptions!N207)</f>
        <v/>
      </c>
      <c r="O299" s="267">
        <f>IF(O$7="Actual","",i_Assumptions!O207)</f>
        <v/>
      </c>
      <c r="P299" s="267">
        <f>IF(P$7="Actual","",i_Assumptions!P207)</f>
        <v/>
      </c>
      <c r="Q299" s="267">
        <f>IF(Q$7="Actual","",i_Assumptions!Q207)</f>
        <v/>
      </c>
      <c r="R299" s="268" t="n"/>
      <c r="S299" s="268" t="n"/>
      <c r="T299" s="269">
        <f>IF(T$7="Actual","",IFERROR((INDEX($M299:$Q299,,MATCH(T$4,$M$4:$Q$4,0))),0))</f>
        <v/>
      </c>
      <c r="U299" s="269">
        <f>IF(U$7="Actual","",IFERROR((INDEX($M299:$Q299,,MATCH(U$4,$M$4:$Q$4,0))),0))</f>
        <v/>
      </c>
      <c r="V299" s="269">
        <f>IF(V$7="Actual","",IFERROR((INDEX($M299:$Q299,,MATCH(V$4,$M$4:$Q$4,0))),0))</f>
        <v/>
      </c>
      <c r="W299" s="269">
        <f>IF(W$7="Actual","",IFERROR((INDEX($M299:$Q299,,MATCH(W$4,$M$4:$Q$4,0))),0))</f>
        <v/>
      </c>
      <c r="X299" s="269">
        <f>IF(X$7="Actual","",IFERROR((INDEX($M299:$Q299,,MATCH(X$4,$M$4:$Q$4,0))),0))</f>
        <v/>
      </c>
      <c r="Y299" s="269">
        <f>IF(Y$7="Actual","",IFERROR((INDEX($M299:$Q299,,MATCH(Y$4,$M$4:$Q$4,0))),0))</f>
        <v/>
      </c>
      <c r="Z299" s="269">
        <f>IF(Z$7="Actual","",IFERROR((INDEX($M299:$Q299,,MATCH(Z$4,$M$4:$Q$4,0))),0))</f>
        <v/>
      </c>
      <c r="AA299" s="269">
        <f>IF(AA$7="Actual","",IFERROR((INDEX($M299:$Q299,,MATCH(AA$4,$M$4:$Q$4,0))),0))</f>
        <v/>
      </c>
      <c r="AB299" s="269">
        <f>IF(AB$7="Actual","",IFERROR((INDEX($M299:$Q299,,MATCH(AB$4,$M$4:$Q$4,0))),0))</f>
        <v/>
      </c>
      <c r="AC299" s="269">
        <f>IF(AC$7="Actual","",IFERROR((INDEX($M299:$Q299,,MATCH(AC$4,$M$4:$Q$4,0))),0))</f>
        <v/>
      </c>
      <c r="AD299" s="269">
        <f>IF(AD$7="Actual","",IFERROR((INDEX($M299:$Q299,,MATCH(AD$4,$M$4:$Q$4,0))),0))</f>
        <v/>
      </c>
      <c r="AE299" s="269">
        <f>IF(AE$7="Actual","",IFERROR((INDEX($M299:$Q299,,MATCH(AE$4,$M$4:$Q$4,0))),0))</f>
        <v/>
      </c>
      <c r="AF299" s="269">
        <f>IF(AF$7="Actual","",IFERROR((INDEX($M299:$Q299,,MATCH(AF$4,$M$4:$Q$4,0))),0))</f>
        <v/>
      </c>
      <c r="AG299" s="269">
        <f>IF(AG$7="Actual","",IFERROR((INDEX($M299:$Q299,,MATCH(AG$4,$M$4:$Q$4,0))),0))</f>
        <v/>
      </c>
      <c r="AH299" s="269">
        <f>IF(AH$7="Actual","",IFERROR((INDEX($M299:$Q299,,MATCH(AH$4,$M$4:$Q$4,0))),0))</f>
        <v/>
      </c>
      <c r="AI299" s="269">
        <f>IF(AI$7="Actual","",IFERROR((INDEX($M299:$Q299,,MATCH(AI$4,$M$4:$Q$4,0))),0))</f>
        <v/>
      </c>
      <c r="AJ299" s="269">
        <f>IF(AJ$7="Actual","",IFERROR((INDEX($M299:$Q299,,MATCH(AJ$4,$M$4:$Q$4,0))),0))</f>
        <v/>
      </c>
      <c r="AK299" s="269">
        <f>IF(AK$7="Actual","",IFERROR((INDEX($M299:$Q299,,MATCH(AK$4,$M$4:$Q$4,0))),0))</f>
        <v/>
      </c>
      <c r="AL299" s="269">
        <f>IF(AL$7="Actual","",IFERROR((INDEX($M299:$Q299,,MATCH(AL$4,$M$4:$Q$4,0))),0))</f>
        <v/>
      </c>
      <c r="AM299" s="269">
        <f>IF(AM$7="Actual","",IFERROR((INDEX($M299:$Q299,,MATCH(AM$4,$M$4:$Q$4,0))),0))</f>
        <v/>
      </c>
      <c r="AN299" s="269">
        <f>IF(AN$7="Actual","",IFERROR((INDEX($M299:$Q299,,MATCH(AN$4,$M$4:$Q$4,0))),0))</f>
        <v/>
      </c>
      <c r="AO299" s="269">
        <f>IF(AO$7="Actual","",IFERROR((INDEX($M299:$Q299,,MATCH(AO$4,$M$4:$Q$4,0))),0))</f>
        <v/>
      </c>
      <c r="AP299" s="269">
        <f>IF(AP$7="Actual","",IFERROR((INDEX($M299:$Q299,,MATCH(AP$4,$M$4:$Q$4,0))),0))</f>
        <v/>
      </c>
      <c r="AQ299" s="269">
        <f>IF(AQ$7="Actual","",IFERROR((INDEX($M299:$Q299,,MATCH(AQ$4,$M$4:$Q$4,0))),0))</f>
        <v/>
      </c>
      <c r="AR299" s="269">
        <f>IF(AR$7="Actual","",IFERROR((INDEX($M299:$Q299,,MATCH(AR$4,$M$4:$Q$4,0))),0))</f>
        <v/>
      </c>
      <c r="AS299" s="269">
        <f>IF(AS$7="Actual","",IFERROR((INDEX($M299:$Q299,,MATCH(AS$4,$M$4:$Q$4,0))),0))</f>
        <v/>
      </c>
      <c r="AT299" s="269">
        <f>IF(AT$7="Actual","",IFERROR((INDEX($M299:$Q299,,MATCH(AT$4,$M$4:$Q$4,0))),0))</f>
        <v/>
      </c>
      <c r="AU299" s="269">
        <f>IF(AU$7="Actual","",IFERROR((INDEX($M299:$Q299,,MATCH(AU$4,$M$4:$Q$4,0))),0))</f>
        <v/>
      </c>
      <c r="AV299" s="269">
        <f>IF(AV$7="Actual","",IFERROR((INDEX($M299:$Q299,,MATCH(AV$4,$M$4:$Q$4,0))),0))</f>
        <v/>
      </c>
      <c r="AW299" s="269">
        <f>IF(AW$7="Actual","",IFERROR((INDEX($M299:$Q299,,MATCH(AW$4,$M$4:$Q$4,0))),0))</f>
        <v/>
      </c>
      <c r="AX299" s="269">
        <f>IF(AX$7="Actual","",IFERROR((INDEX($M299:$Q299,,MATCH(AX$4,$M$4:$Q$4,0))),0))</f>
        <v/>
      </c>
      <c r="AY299" s="269">
        <f>IF(AY$7="Actual","",IFERROR((INDEX($M299:$Q299,,MATCH(AY$4,$M$4:$Q$4,0))),0))</f>
        <v/>
      </c>
      <c r="AZ299" s="269">
        <f>IF(AZ$7="Actual","",IFERROR((INDEX($M299:$Q299,,MATCH(AZ$4,$M$4:$Q$4,0))),0))</f>
        <v/>
      </c>
      <c r="BA299" s="269">
        <f>IF(BA$7="Actual","",IFERROR((INDEX($M299:$Q299,,MATCH(BA$4,$M$4:$Q$4,0))),0))</f>
        <v/>
      </c>
      <c r="BB299" s="269">
        <f>IF(BB$7="Actual","",IFERROR((INDEX($M299:$Q299,,MATCH(BB$4,$M$4:$Q$4,0))),0))</f>
        <v/>
      </c>
      <c r="BC299" s="269">
        <f>IF(BC$7="Actual","",IFERROR((INDEX($M299:$Q299,,MATCH(BC$4,$M$4:$Q$4,0))),0))</f>
        <v/>
      </c>
      <c r="BD299" s="269">
        <f>IF(BD$7="Actual","",IFERROR((INDEX($M299:$Q299,,MATCH(BD$4,$M$4:$Q$4,0))),0))</f>
        <v/>
      </c>
      <c r="BE299" s="269">
        <f>IF(BE$7="Actual","",IFERROR((INDEX($M299:$Q299,,MATCH(BE$4,$M$4:$Q$4,0))),0))</f>
        <v/>
      </c>
      <c r="BF299" s="269">
        <f>IF(BF$7="Actual","",IFERROR((INDEX($M299:$Q299,,MATCH(BF$4,$M$4:$Q$4,0))),0))</f>
        <v/>
      </c>
      <c r="BG299" s="269">
        <f>IF(BG$7="Actual","",IFERROR((INDEX($M299:$Q299,,MATCH(BG$4,$M$4:$Q$4,0))),0))</f>
        <v/>
      </c>
      <c r="BH299" s="269">
        <f>IF(BH$7="Actual","",IFERROR((INDEX($M299:$Q299,,MATCH(BH$4,$M$4:$Q$4,0))),0))</f>
        <v/>
      </c>
      <c r="BI299" s="269">
        <f>IF(BI$7="Actual","",IFERROR((INDEX($M299:$Q299,,MATCH(BI$4,$M$4:$Q$4,0))),0))</f>
        <v/>
      </c>
      <c r="BJ299" s="269">
        <f>IF(BJ$7="Actual","",IFERROR((INDEX($M299:$Q299,,MATCH(BJ$4,$M$4:$Q$4,0))),0))</f>
        <v/>
      </c>
      <c r="BK299" s="269">
        <f>IF(BK$7="Actual","",IFERROR((INDEX($M299:$Q299,,MATCH(BK$4,$M$4:$Q$4,0))),0))</f>
        <v/>
      </c>
      <c r="BL299" s="269">
        <f>IF(BL$7="Actual","",IFERROR((INDEX($M299:$Q299,,MATCH(BL$4,$M$4:$Q$4,0))),0))</f>
        <v/>
      </c>
      <c r="BM299" s="269">
        <f>IF(BM$7="Actual","",IFERROR((INDEX($M299:$Q299,,MATCH(BM$4,$M$4:$Q$4,0))),0))</f>
        <v/>
      </c>
      <c r="BN299" s="269">
        <f>IF(BN$7="Actual","",IFERROR((INDEX($M299:$Q299,,MATCH(BN$4,$M$4:$Q$4,0))),0))</f>
        <v/>
      </c>
      <c r="BO299" s="269">
        <f>IF(BO$7="Actual","",IFERROR((INDEX($M299:$Q299,,MATCH(BO$4,$M$4:$Q$4,0))),0))</f>
        <v/>
      </c>
      <c r="BP299" s="269">
        <f>IF(BP$7="Actual","",IFERROR((INDEX($M299:$Q299,,MATCH(BP$4,$M$4:$Q$4,0))),0))</f>
        <v/>
      </c>
      <c r="BQ299" s="269">
        <f>IF(BQ$7="Actual","",IFERROR((INDEX($M299:$Q299,,MATCH(BQ$4,$M$4:$Q$4,0))),0))</f>
        <v/>
      </c>
      <c r="BR299" s="269">
        <f>IF(BR$7="Actual","",IFERROR((INDEX($M299:$Q299,,MATCH(BR$4,$M$4:$Q$4,0))),0))</f>
        <v/>
      </c>
      <c r="BS299" s="269">
        <f>IF(BS$7="Actual","",IFERROR((INDEX($M299:$Q299,,MATCH(BS$4,$M$4:$Q$4,0))),0))</f>
        <v/>
      </c>
      <c r="BT299" s="269">
        <f>IF(BT$7="Actual","",IFERROR((INDEX($M299:$Q299,,MATCH(BT$4,$M$4:$Q$4,0))),0))</f>
        <v/>
      </c>
      <c r="BU299" s="269">
        <f>IF(BU$7="Actual","",IFERROR((INDEX($M299:$Q299,,MATCH(BU$4,$M$4:$Q$4,0))),0))</f>
        <v/>
      </c>
      <c r="BV299" s="269">
        <f>IF(BV$7="Actual","",IFERROR((INDEX($M299:$Q299,,MATCH(BV$4,$M$4:$Q$4,0))),0))</f>
        <v/>
      </c>
      <c r="BW299" s="269">
        <f>IF(BW$7="Actual","",IFERROR((INDEX($M299:$Q299,,MATCH(BW$4,$M$4:$Q$4,0))),0))</f>
        <v/>
      </c>
      <c r="BX299" s="269">
        <f>IF(BX$7="Actual","",IFERROR((INDEX($M299:$Q299,,MATCH(BX$4,$M$4:$Q$4,0))),0))</f>
        <v/>
      </c>
      <c r="BY299" s="269">
        <f>IF(BY$7="Actual","",IFERROR((INDEX($M299:$Q299,,MATCH(BY$4,$M$4:$Q$4,0))),0))</f>
        <v/>
      </c>
      <c r="BZ299" s="269">
        <f>IF(BZ$7="Actual","",IFERROR((INDEX($M299:$Q299,,MATCH(BZ$4,$M$4:$Q$4,0))),0))</f>
        <v/>
      </c>
      <c r="CA299" s="269">
        <f>IF(CA$7="Actual","",IFERROR((INDEX($M299:$Q299,,MATCH(CA$4,$M$4:$Q$4,0))),0))</f>
        <v/>
      </c>
    </row>
    <row r="300" ht="12" customHeight="1" s="227">
      <c r="A300" s="244" t="n"/>
      <c r="B300" s="244" t="n"/>
      <c r="C300" s="244" t="n"/>
      <c r="H300" s="4">
        <f>H290</f>
        <v/>
      </c>
      <c r="I300" s="27" t="inlineStr">
        <is>
          <t>no</t>
        </is>
      </c>
      <c r="K300" s="6" t="n"/>
      <c r="M300" s="267">
        <f>IF(M$7="Actual","",i_Assumptions!M208)</f>
        <v/>
      </c>
      <c r="N300" s="267">
        <f>IF(N$7="Actual","",i_Assumptions!N208)</f>
        <v/>
      </c>
      <c r="O300" s="267">
        <f>IF(O$7="Actual","",i_Assumptions!O208)</f>
        <v/>
      </c>
      <c r="P300" s="267">
        <f>IF(P$7="Actual","",i_Assumptions!P208)</f>
        <v/>
      </c>
      <c r="Q300" s="267">
        <f>IF(Q$7="Actual","",i_Assumptions!Q208)</f>
        <v/>
      </c>
      <c r="R300" s="268" t="n"/>
      <c r="S300" s="268" t="n"/>
      <c r="T300" s="269">
        <f>IF(T$7="Actual","",IFERROR((INDEX($M300:$Q300,,MATCH(T$4,$M$4:$Q$4,0))),0))</f>
        <v/>
      </c>
      <c r="U300" s="269">
        <f>IF(U$7="Actual","",IFERROR((INDEX($M300:$Q300,,MATCH(U$4,$M$4:$Q$4,0))),0))</f>
        <v/>
      </c>
      <c r="V300" s="269">
        <f>IF(V$7="Actual","",IFERROR((INDEX($M300:$Q300,,MATCH(V$4,$M$4:$Q$4,0))),0))</f>
        <v/>
      </c>
      <c r="W300" s="269">
        <f>IF(W$7="Actual","",IFERROR((INDEX($M300:$Q300,,MATCH(W$4,$M$4:$Q$4,0))),0))</f>
        <v/>
      </c>
      <c r="X300" s="269">
        <f>IF(X$7="Actual","",IFERROR((INDEX($M300:$Q300,,MATCH(X$4,$M$4:$Q$4,0))),0))</f>
        <v/>
      </c>
      <c r="Y300" s="269">
        <f>IF(Y$7="Actual","",IFERROR((INDEX($M300:$Q300,,MATCH(Y$4,$M$4:$Q$4,0))),0))</f>
        <v/>
      </c>
      <c r="Z300" s="269">
        <f>IF(Z$7="Actual","",IFERROR((INDEX($M300:$Q300,,MATCH(Z$4,$M$4:$Q$4,0))),0))</f>
        <v/>
      </c>
      <c r="AA300" s="269">
        <f>IF(AA$7="Actual","",IFERROR((INDEX($M300:$Q300,,MATCH(AA$4,$M$4:$Q$4,0))),0))</f>
        <v/>
      </c>
      <c r="AB300" s="269">
        <f>IF(AB$7="Actual","",IFERROR((INDEX($M300:$Q300,,MATCH(AB$4,$M$4:$Q$4,0))),0))</f>
        <v/>
      </c>
      <c r="AC300" s="269">
        <f>IF(AC$7="Actual","",IFERROR((INDEX($M300:$Q300,,MATCH(AC$4,$M$4:$Q$4,0))),0))</f>
        <v/>
      </c>
      <c r="AD300" s="269">
        <f>IF(AD$7="Actual","",IFERROR((INDEX($M300:$Q300,,MATCH(AD$4,$M$4:$Q$4,0))),0))</f>
        <v/>
      </c>
      <c r="AE300" s="269">
        <f>IF(AE$7="Actual","",IFERROR((INDEX($M300:$Q300,,MATCH(AE$4,$M$4:$Q$4,0))),0))</f>
        <v/>
      </c>
      <c r="AF300" s="269">
        <f>IF(AF$7="Actual","",IFERROR((INDEX($M300:$Q300,,MATCH(AF$4,$M$4:$Q$4,0))),0))</f>
        <v/>
      </c>
      <c r="AG300" s="269">
        <f>IF(AG$7="Actual","",IFERROR((INDEX($M300:$Q300,,MATCH(AG$4,$M$4:$Q$4,0))),0))</f>
        <v/>
      </c>
      <c r="AH300" s="269">
        <f>IF(AH$7="Actual","",IFERROR((INDEX($M300:$Q300,,MATCH(AH$4,$M$4:$Q$4,0))),0))</f>
        <v/>
      </c>
      <c r="AI300" s="269">
        <f>IF(AI$7="Actual","",IFERROR((INDEX($M300:$Q300,,MATCH(AI$4,$M$4:$Q$4,0))),0))</f>
        <v/>
      </c>
      <c r="AJ300" s="269">
        <f>IF(AJ$7="Actual","",IFERROR((INDEX($M300:$Q300,,MATCH(AJ$4,$M$4:$Q$4,0))),0))</f>
        <v/>
      </c>
      <c r="AK300" s="269">
        <f>IF(AK$7="Actual","",IFERROR((INDEX($M300:$Q300,,MATCH(AK$4,$M$4:$Q$4,0))),0))</f>
        <v/>
      </c>
      <c r="AL300" s="269">
        <f>IF(AL$7="Actual","",IFERROR((INDEX($M300:$Q300,,MATCH(AL$4,$M$4:$Q$4,0))),0))</f>
        <v/>
      </c>
      <c r="AM300" s="269">
        <f>IF(AM$7="Actual","",IFERROR((INDEX($M300:$Q300,,MATCH(AM$4,$M$4:$Q$4,0))),0))</f>
        <v/>
      </c>
      <c r="AN300" s="269">
        <f>IF(AN$7="Actual","",IFERROR((INDEX($M300:$Q300,,MATCH(AN$4,$M$4:$Q$4,0))),0))</f>
        <v/>
      </c>
      <c r="AO300" s="269">
        <f>IF(AO$7="Actual","",IFERROR((INDEX($M300:$Q300,,MATCH(AO$4,$M$4:$Q$4,0))),0))</f>
        <v/>
      </c>
      <c r="AP300" s="269">
        <f>IF(AP$7="Actual","",IFERROR((INDEX($M300:$Q300,,MATCH(AP$4,$M$4:$Q$4,0))),0))</f>
        <v/>
      </c>
      <c r="AQ300" s="269">
        <f>IF(AQ$7="Actual","",IFERROR((INDEX($M300:$Q300,,MATCH(AQ$4,$M$4:$Q$4,0))),0))</f>
        <v/>
      </c>
      <c r="AR300" s="269">
        <f>IF(AR$7="Actual","",IFERROR((INDEX($M300:$Q300,,MATCH(AR$4,$M$4:$Q$4,0))),0))</f>
        <v/>
      </c>
      <c r="AS300" s="269">
        <f>IF(AS$7="Actual","",IFERROR((INDEX($M300:$Q300,,MATCH(AS$4,$M$4:$Q$4,0))),0))</f>
        <v/>
      </c>
      <c r="AT300" s="269">
        <f>IF(AT$7="Actual","",IFERROR((INDEX($M300:$Q300,,MATCH(AT$4,$M$4:$Q$4,0))),0))</f>
        <v/>
      </c>
      <c r="AU300" s="269">
        <f>IF(AU$7="Actual","",IFERROR((INDEX($M300:$Q300,,MATCH(AU$4,$M$4:$Q$4,0))),0))</f>
        <v/>
      </c>
      <c r="AV300" s="269">
        <f>IF(AV$7="Actual","",IFERROR((INDEX($M300:$Q300,,MATCH(AV$4,$M$4:$Q$4,0))),0))</f>
        <v/>
      </c>
      <c r="AW300" s="269">
        <f>IF(AW$7="Actual","",IFERROR((INDEX($M300:$Q300,,MATCH(AW$4,$M$4:$Q$4,0))),0))</f>
        <v/>
      </c>
      <c r="AX300" s="269">
        <f>IF(AX$7="Actual","",IFERROR((INDEX($M300:$Q300,,MATCH(AX$4,$M$4:$Q$4,0))),0))</f>
        <v/>
      </c>
      <c r="AY300" s="269">
        <f>IF(AY$7="Actual","",IFERROR((INDEX($M300:$Q300,,MATCH(AY$4,$M$4:$Q$4,0))),0))</f>
        <v/>
      </c>
      <c r="AZ300" s="269">
        <f>IF(AZ$7="Actual","",IFERROR((INDEX($M300:$Q300,,MATCH(AZ$4,$M$4:$Q$4,0))),0))</f>
        <v/>
      </c>
      <c r="BA300" s="269">
        <f>IF(BA$7="Actual","",IFERROR((INDEX($M300:$Q300,,MATCH(BA$4,$M$4:$Q$4,0))),0))</f>
        <v/>
      </c>
      <c r="BB300" s="269">
        <f>IF(BB$7="Actual","",IFERROR((INDEX($M300:$Q300,,MATCH(BB$4,$M$4:$Q$4,0))),0))</f>
        <v/>
      </c>
      <c r="BC300" s="269">
        <f>IF(BC$7="Actual","",IFERROR((INDEX($M300:$Q300,,MATCH(BC$4,$M$4:$Q$4,0))),0))</f>
        <v/>
      </c>
      <c r="BD300" s="269">
        <f>IF(BD$7="Actual","",IFERROR((INDEX($M300:$Q300,,MATCH(BD$4,$M$4:$Q$4,0))),0))</f>
        <v/>
      </c>
      <c r="BE300" s="269">
        <f>IF(BE$7="Actual","",IFERROR((INDEX($M300:$Q300,,MATCH(BE$4,$M$4:$Q$4,0))),0))</f>
        <v/>
      </c>
      <c r="BF300" s="269">
        <f>IF(BF$7="Actual","",IFERROR((INDEX($M300:$Q300,,MATCH(BF$4,$M$4:$Q$4,0))),0))</f>
        <v/>
      </c>
      <c r="BG300" s="269">
        <f>IF(BG$7="Actual","",IFERROR((INDEX($M300:$Q300,,MATCH(BG$4,$M$4:$Q$4,0))),0))</f>
        <v/>
      </c>
      <c r="BH300" s="269">
        <f>IF(BH$7="Actual","",IFERROR((INDEX($M300:$Q300,,MATCH(BH$4,$M$4:$Q$4,0))),0))</f>
        <v/>
      </c>
      <c r="BI300" s="269">
        <f>IF(BI$7="Actual","",IFERROR((INDEX($M300:$Q300,,MATCH(BI$4,$M$4:$Q$4,0))),0))</f>
        <v/>
      </c>
      <c r="BJ300" s="269">
        <f>IF(BJ$7="Actual","",IFERROR((INDEX($M300:$Q300,,MATCH(BJ$4,$M$4:$Q$4,0))),0))</f>
        <v/>
      </c>
      <c r="BK300" s="269">
        <f>IF(BK$7="Actual","",IFERROR((INDEX($M300:$Q300,,MATCH(BK$4,$M$4:$Q$4,0))),0))</f>
        <v/>
      </c>
      <c r="BL300" s="269">
        <f>IF(BL$7="Actual","",IFERROR((INDEX($M300:$Q300,,MATCH(BL$4,$M$4:$Q$4,0))),0))</f>
        <v/>
      </c>
      <c r="BM300" s="269">
        <f>IF(BM$7="Actual","",IFERROR((INDEX($M300:$Q300,,MATCH(BM$4,$M$4:$Q$4,0))),0))</f>
        <v/>
      </c>
      <c r="BN300" s="269">
        <f>IF(BN$7="Actual","",IFERROR((INDEX($M300:$Q300,,MATCH(BN$4,$M$4:$Q$4,0))),0))</f>
        <v/>
      </c>
      <c r="BO300" s="269">
        <f>IF(BO$7="Actual","",IFERROR((INDEX($M300:$Q300,,MATCH(BO$4,$M$4:$Q$4,0))),0))</f>
        <v/>
      </c>
      <c r="BP300" s="269">
        <f>IF(BP$7="Actual","",IFERROR((INDEX($M300:$Q300,,MATCH(BP$4,$M$4:$Q$4,0))),0))</f>
        <v/>
      </c>
      <c r="BQ300" s="269">
        <f>IF(BQ$7="Actual","",IFERROR((INDEX($M300:$Q300,,MATCH(BQ$4,$M$4:$Q$4,0))),0))</f>
        <v/>
      </c>
      <c r="BR300" s="269">
        <f>IF(BR$7="Actual","",IFERROR((INDEX($M300:$Q300,,MATCH(BR$4,$M$4:$Q$4,0))),0))</f>
        <v/>
      </c>
      <c r="BS300" s="269">
        <f>IF(BS$7="Actual","",IFERROR((INDEX($M300:$Q300,,MATCH(BS$4,$M$4:$Q$4,0))),0))</f>
        <v/>
      </c>
      <c r="BT300" s="269">
        <f>IF(BT$7="Actual","",IFERROR((INDEX($M300:$Q300,,MATCH(BT$4,$M$4:$Q$4,0))),0))</f>
        <v/>
      </c>
      <c r="BU300" s="269">
        <f>IF(BU$7="Actual","",IFERROR((INDEX($M300:$Q300,,MATCH(BU$4,$M$4:$Q$4,0))),0))</f>
        <v/>
      </c>
      <c r="BV300" s="269">
        <f>IF(BV$7="Actual","",IFERROR((INDEX($M300:$Q300,,MATCH(BV$4,$M$4:$Q$4,0))),0))</f>
        <v/>
      </c>
      <c r="BW300" s="269">
        <f>IF(BW$7="Actual","",IFERROR((INDEX($M300:$Q300,,MATCH(BW$4,$M$4:$Q$4,0))),0))</f>
        <v/>
      </c>
      <c r="BX300" s="269">
        <f>IF(BX$7="Actual","",IFERROR((INDEX($M300:$Q300,,MATCH(BX$4,$M$4:$Q$4,0))),0))</f>
        <v/>
      </c>
      <c r="BY300" s="269">
        <f>IF(BY$7="Actual","",IFERROR((INDEX($M300:$Q300,,MATCH(BY$4,$M$4:$Q$4,0))),0))</f>
        <v/>
      </c>
      <c r="BZ300" s="269">
        <f>IF(BZ$7="Actual","",IFERROR((INDEX($M300:$Q300,,MATCH(BZ$4,$M$4:$Q$4,0))),0))</f>
        <v/>
      </c>
      <c r="CA300" s="269">
        <f>IF(CA$7="Actual","",IFERROR((INDEX($M300:$Q300,,MATCH(CA$4,$M$4:$Q$4,0))),0))</f>
        <v/>
      </c>
    </row>
    <row r="301" ht="12" customHeight="1" s="227">
      <c r="A301" s="244" t="n"/>
      <c r="B301" s="244" t="n"/>
      <c r="C301" s="244" t="n"/>
      <c r="H301" s="4">
        <f>H291</f>
        <v/>
      </c>
      <c r="I301" s="27" t="inlineStr">
        <is>
          <t>no</t>
        </is>
      </c>
      <c r="K301" s="6" t="n"/>
      <c r="M301" s="267">
        <f>IF(M$7="Actual","",i_Assumptions!M209)</f>
        <v/>
      </c>
      <c r="N301" s="267">
        <f>IF(N$7="Actual","",i_Assumptions!N209)</f>
        <v/>
      </c>
      <c r="O301" s="267">
        <f>IF(O$7="Actual","",i_Assumptions!O209)</f>
        <v/>
      </c>
      <c r="P301" s="267">
        <f>IF(P$7="Actual","",i_Assumptions!P209)</f>
        <v/>
      </c>
      <c r="Q301" s="267">
        <f>IF(Q$7="Actual","",i_Assumptions!Q209)</f>
        <v/>
      </c>
      <c r="R301" s="268" t="n"/>
      <c r="S301" s="268" t="n"/>
      <c r="T301" s="269">
        <f>IF(T$7="Actual","",IFERROR((INDEX($M301:$Q301,,MATCH(T$4,$M$4:$Q$4,0))),0))</f>
        <v/>
      </c>
      <c r="U301" s="269">
        <f>IF(U$7="Actual","",IFERROR((INDEX($M301:$Q301,,MATCH(U$4,$M$4:$Q$4,0))),0))</f>
        <v/>
      </c>
      <c r="V301" s="269">
        <f>IF(V$7="Actual","",IFERROR((INDEX($M301:$Q301,,MATCH(V$4,$M$4:$Q$4,0))),0))</f>
        <v/>
      </c>
      <c r="W301" s="269">
        <f>IF(W$7="Actual","",IFERROR((INDEX($M301:$Q301,,MATCH(W$4,$M$4:$Q$4,0))),0))</f>
        <v/>
      </c>
      <c r="X301" s="269">
        <f>IF(X$7="Actual","",IFERROR((INDEX($M301:$Q301,,MATCH(X$4,$M$4:$Q$4,0))),0))</f>
        <v/>
      </c>
      <c r="Y301" s="269">
        <f>IF(Y$7="Actual","",IFERROR((INDEX($M301:$Q301,,MATCH(Y$4,$M$4:$Q$4,0))),0))</f>
        <v/>
      </c>
      <c r="Z301" s="269">
        <f>IF(Z$7="Actual","",IFERROR((INDEX($M301:$Q301,,MATCH(Z$4,$M$4:$Q$4,0))),0))</f>
        <v/>
      </c>
      <c r="AA301" s="269">
        <f>IF(AA$7="Actual","",IFERROR((INDEX($M301:$Q301,,MATCH(AA$4,$M$4:$Q$4,0))),0))</f>
        <v/>
      </c>
      <c r="AB301" s="269">
        <f>IF(AB$7="Actual","",IFERROR((INDEX($M301:$Q301,,MATCH(AB$4,$M$4:$Q$4,0))),0))</f>
        <v/>
      </c>
      <c r="AC301" s="269">
        <f>IF(AC$7="Actual","",IFERROR((INDEX($M301:$Q301,,MATCH(AC$4,$M$4:$Q$4,0))),0))</f>
        <v/>
      </c>
      <c r="AD301" s="269">
        <f>IF(AD$7="Actual","",IFERROR((INDEX($M301:$Q301,,MATCH(AD$4,$M$4:$Q$4,0))),0))</f>
        <v/>
      </c>
      <c r="AE301" s="269">
        <f>IF(AE$7="Actual","",IFERROR((INDEX($M301:$Q301,,MATCH(AE$4,$M$4:$Q$4,0))),0))</f>
        <v/>
      </c>
      <c r="AF301" s="269">
        <f>IF(AF$7="Actual","",IFERROR((INDEX($M301:$Q301,,MATCH(AF$4,$M$4:$Q$4,0))),0))</f>
        <v/>
      </c>
      <c r="AG301" s="269">
        <f>IF(AG$7="Actual","",IFERROR((INDEX($M301:$Q301,,MATCH(AG$4,$M$4:$Q$4,0))),0))</f>
        <v/>
      </c>
      <c r="AH301" s="269">
        <f>IF(AH$7="Actual","",IFERROR((INDEX($M301:$Q301,,MATCH(AH$4,$M$4:$Q$4,0))),0))</f>
        <v/>
      </c>
      <c r="AI301" s="269">
        <f>IF(AI$7="Actual","",IFERROR((INDEX($M301:$Q301,,MATCH(AI$4,$M$4:$Q$4,0))),0))</f>
        <v/>
      </c>
      <c r="AJ301" s="269">
        <f>IF(AJ$7="Actual","",IFERROR((INDEX($M301:$Q301,,MATCH(AJ$4,$M$4:$Q$4,0))),0))</f>
        <v/>
      </c>
      <c r="AK301" s="269">
        <f>IF(AK$7="Actual","",IFERROR((INDEX($M301:$Q301,,MATCH(AK$4,$M$4:$Q$4,0))),0))</f>
        <v/>
      </c>
      <c r="AL301" s="269">
        <f>IF(AL$7="Actual","",IFERROR((INDEX($M301:$Q301,,MATCH(AL$4,$M$4:$Q$4,0))),0))</f>
        <v/>
      </c>
      <c r="AM301" s="269">
        <f>IF(AM$7="Actual","",IFERROR((INDEX($M301:$Q301,,MATCH(AM$4,$M$4:$Q$4,0))),0))</f>
        <v/>
      </c>
      <c r="AN301" s="269">
        <f>IF(AN$7="Actual","",IFERROR((INDEX($M301:$Q301,,MATCH(AN$4,$M$4:$Q$4,0))),0))</f>
        <v/>
      </c>
      <c r="AO301" s="269">
        <f>IF(AO$7="Actual","",IFERROR((INDEX($M301:$Q301,,MATCH(AO$4,$M$4:$Q$4,0))),0))</f>
        <v/>
      </c>
      <c r="AP301" s="269">
        <f>IF(AP$7="Actual","",IFERROR((INDEX($M301:$Q301,,MATCH(AP$4,$M$4:$Q$4,0))),0))</f>
        <v/>
      </c>
      <c r="AQ301" s="269">
        <f>IF(AQ$7="Actual","",IFERROR((INDEX($M301:$Q301,,MATCH(AQ$4,$M$4:$Q$4,0))),0))</f>
        <v/>
      </c>
      <c r="AR301" s="269">
        <f>IF(AR$7="Actual","",IFERROR((INDEX($M301:$Q301,,MATCH(AR$4,$M$4:$Q$4,0))),0))</f>
        <v/>
      </c>
      <c r="AS301" s="269">
        <f>IF(AS$7="Actual","",IFERROR((INDEX($M301:$Q301,,MATCH(AS$4,$M$4:$Q$4,0))),0))</f>
        <v/>
      </c>
      <c r="AT301" s="269">
        <f>IF(AT$7="Actual","",IFERROR((INDEX($M301:$Q301,,MATCH(AT$4,$M$4:$Q$4,0))),0))</f>
        <v/>
      </c>
      <c r="AU301" s="269">
        <f>IF(AU$7="Actual","",IFERROR((INDEX($M301:$Q301,,MATCH(AU$4,$M$4:$Q$4,0))),0))</f>
        <v/>
      </c>
      <c r="AV301" s="269">
        <f>IF(AV$7="Actual","",IFERROR((INDEX($M301:$Q301,,MATCH(AV$4,$M$4:$Q$4,0))),0))</f>
        <v/>
      </c>
      <c r="AW301" s="269">
        <f>IF(AW$7="Actual","",IFERROR((INDEX($M301:$Q301,,MATCH(AW$4,$M$4:$Q$4,0))),0))</f>
        <v/>
      </c>
      <c r="AX301" s="269">
        <f>IF(AX$7="Actual","",IFERROR((INDEX($M301:$Q301,,MATCH(AX$4,$M$4:$Q$4,0))),0))</f>
        <v/>
      </c>
      <c r="AY301" s="269">
        <f>IF(AY$7="Actual","",IFERROR((INDEX($M301:$Q301,,MATCH(AY$4,$M$4:$Q$4,0))),0))</f>
        <v/>
      </c>
      <c r="AZ301" s="269">
        <f>IF(AZ$7="Actual","",IFERROR((INDEX($M301:$Q301,,MATCH(AZ$4,$M$4:$Q$4,0))),0))</f>
        <v/>
      </c>
      <c r="BA301" s="269">
        <f>IF(BA$7="Actual","",IFERROR((INDEX($M301:$Q301,,MATCH(BA$4,$M$4:$Q$4,0))),0))</f>
        <v/>
      </c>
      <c r="BB301" s="269">
        <f>IF(BB$7="Actual","",IFERROR((INDEX($M301:$Q301,,MATCH(BB$4,$M$4:$Q$4,0))),0))</f>
        <v/>
      </c>
      <c r="BC301" s="269">
        <f>IF(BC$7="Actual","",IFERROR((INDEX($M301:$Q301,,MATCH(BC$4,$M$4:$Q$4,0))),0))</f>
        <v/>
      </c>
      <c r="BD301" s="269">
        <f>IF(BD$7="Actual","",IFERROR((INDEX($M301:$Q301,,MATCH(BD$4,$M$4:$Q$4,0))),0))</f>
        <v/>
      </c>
      <c r="BE301" s="269">
        <f>IF(BE$7="Actual","",IFERROR((INDEX($M301:$Q301,,MATCH(BE$4,$M$4:$Q$4,0))),0))</f>
        <v/>
      </c>
      <c r="BF301" s="269">
        <f>IF(BF$7="Actual","",IFERROR((INDEX($M301:$Q301,,MATCH(BF$4,$M$4:$Q$4,0))),0))</f>
        <v/>
      </c>
      <c r="BG301" s="269">
        <f>IF(BG$7="Actual","",IFERROR((INDEX($M301:$Q301,,MATCH(BG$4,$M$4:$Q$4,0))),0))</f>
        <v/>
      </c>
      <c r="BH301" s="269">
        <f>IF(BH$7="Actual","",IFERROR((INDEX($M301:$Q301,,MATCH(BH$4,$M$4:$Q$4,0))),0))</f>
        <v/>
      </c>
      <c r="BI301" s="269">
        <f>IF(BI$7="Actual","",IFERROR((INDEX($M301:$Q301,,MATCH(BI$4,$M$4:$Q$4,0))),0))</f>
        <v/>
      </c>
      <c r="BJ301" s="269">
        <f>IF(BJ$7="Actual","",IFERROR((INDEX($M301:$Q301,,MATCH(BJ$4,$M$4:$Q$4,0))),0))</f>
        <v/>
      </c>
      <c r="BK301" s="269">
        <f>IF(BK$7="Actual","",IFERROR((INDEX($M301:$Q301,,MATCH(BK$4,$M$4:$Q$4,0))),0))</f>
        <v/>
      </c>
      <c r="BL301" s="269">
        <f>IF(BL$7="Actual","",IFERROR((INDEX($M301:$Q301,,MATCH(BL$4,$M$4:$Q$4,0))),0))</f>
        <v/>
      </c>
      <c r="BM301" s="269">
        <f>IF(BM$7="Actual","",IFERROR((INDEX($M301:$Q301,,MATCH(BM$4,$M$4:$Q$4,0))),0))</f>
        <v/>
      </c>
      <c r="BN301" s="269">
        <f>IF(BN$7="Actual","",IFERROR((INDEX($M301:$Q301,,MATCH(BN$4,$M$4:$Q$4,0))),0))</f>
        <v/>
      </c>
      <c r="BO301" s="269">
        <f>IF(BO$7="Actual","",IFERROR((INDEX($M301:$Q301,,MATCH(BO$4,$M$4:$Q$4,0))),0))</f>
        <v/>
      </c>
      <c r="BP301" s="269">
        <f>IF(BP$7="Actual","",IFERROR((INDEX($M301:$Q301,,MATCH(BP$4,$M$4:$Q$4,0))),0))</f>
        <v/>
      </c>
      <c r="BQ301" s="269">
        <f>IF(BQ$7="Actual","",IFERROR((INDEX($M301:$Q301,,MATCH(BQ$4,$M$4:$Q$4,0))),0))</f>
        <v/>
      </c>
      <c r="BR301" s="269">
        <f>IF(BR$7="Actual","",IFERROR((INDEX($M301:$Q301,,MATCH(BR$4,$M$4:$Q$4,0))),0))</f>
        <v/>
      </c>
      <c r="BS301" s="269">
        <f>IF(BS$7="Actual","",IFERROR((INDEX($M301:$Q301,,MATCH(BS$4,$M$4:$Q$4,0))),0))</f>
        <v/>
      </c>
      <c r="BT301" s="269">
        <f>IF(BT$7="Actual","",IFERROR((INDEX($M301:$Q301,,MATCH(BT$4,$M$4:$Q$4,0))),0))</f>
        <v/>
      </c>
      <c r="BU301" s="269">
        <f>IF(BU$7="Actual","",IFERROR((INDEX($M301:$Q301,,MATCH(BU$4,$M$4:$Q$4,0))),0))</f>
        <v/>
      </c>
      <c r="BV301" s="269">
        <f>IF(BV$7="Actual","",IFERROR((INDEX($M301:$Q301,,MATCH(BV$4,$M$4:$Q$4,0))),0))</f>
        <v/>
      </c>
      <c r="BW301" s="269">
        <f>IF(BW$7="Actual","",IFERROR((INDEX($M301:$Q301,,MATCH(BW$4,$M$4:$Q$4,0))),0))</f>
        <v/>
      </c>
      <c r="BX301" s="269">
        <f>IF(BX$7="Actual","",IFERROR((INDEX($M301:$Q301,,MATCH(BX$4,$M$4:$Q$4,0))),0))</f>
        <v/>
      </c>
      <c r="BY301" s="269">
        <f>IF(BY$7="Actual","",IFERROR((INDEX($M301:$Q301,,MATCH(BY$4,$M$4:$Q$4,0))),0))</f>
        <v/>
      </c>
      <c r="BZ301" s="269">
        <f>IF(BZ$7="Actual","",IFERROR((INDEX($M301:$Q301,,MATCH(BZ$4,$M$4:$Q$4,0))),0))</f>
        <v/>
      </c>
      <c r="CA301" s="269">
        <f>IF(CA$7="Actual","",IFERROR((INDEX($M301:$Q301,,MATCH(CA$4,$M$4:$Q$4,0))),0))</f>
        <v/>
      </c>
    </row>
    <row r="302" ht="12" customHeight="1" s="227">
      <c r="A302" s="244" t="n"/>
      <c r="B302" s="244" t="n"/>
      <c r="C302" s="244" t="n"/>
      <c r="H302" s="4">
        <f>H292</f>
        <v/>
      </c>
      <c r="I302" s="27" t="inlineStr">
        <is>
          <t>no</t>
        </is>
      </c>
      <c r="K302" s="6" t="n"/>
      <c r="M302" s="267">
        <f>IF(M$7="Actual","",i_Assumptions!M210)</f>
        <v/>
      </c>
      <c r="N302" s="267">
        <f>IF(N$7="Actual","",i_Assumptions!N210)</f>
        <v/>
      </c>
      <c r="O302" s="267">
        <f>IF(O$7="Actual","",i_Assumptions!O210)</f>
        <v/>
      </c>
      <c r="P302" s="267">
        <f>IF(P$7="Actual","",i_Assumptions!P210)</f>
        <v/>
      </c>
      <c r="Q302" s="267">
        <f>IF(Q$7="Actual","",i_Assumptions!Q210)</f>
        <v/>
      </c>
      <c r="R302" s="268" t="n"/>
      <c r="S302" s="268" t="n"/>
      <c r="T302" s="269">
        <f>IF(T$7="Actual","",IFERROR((INDEX($M302:$Q302,,MATCH(T$4,$M$4:$Q$4,0))),0))</f>
        <v/>
      </c>
      <c r="U302" s="269">
        <f>IF(U$7="Actual","",IFERROR((INDEX($M302:$Q302,,MATCH(U$4,$M$4:$Q$4,0))),0))</f>
        <v/>
      </c>
      <c r="V302" s="269">
        <f>IF(V$7="Actual","",IFERROR((INDEX($M302:$Q302,,MATCH(V$4,$M$4:$Q$4,0))),0))</f>
        <v/>
      </c>
      <c r="W302" s="269">
        <f>IF(W$7="Actual","",IFERROR((INDEX($M302:$Q302,,MATCH(W$4,$M$4:$Q$4,0))),0))</f>
        <v/>
      </c>
      <c r="X302" s="269">
        <f>IF(X$7="Actual","",IFERROR((INDEX($M302:$Q302,,MATCH(X$4,$M$4:$Q$4,0))),0))</f>
        <v/>
      </c>
      <c r="Y302" s="269">
        <f>IF(Y$7="Actual","",IFERROR((INDEX($M302:$Q302,,MATCH(Y$4,$M$4:$Q$4,0))),0))</f>
        <v/>
      </c>
      <c r="Z302" s="269">
        <f>IF(Z$7="Actual","",IFERROR((INDEX($M302:$Q302,,MATCH(Z$4,$M$4:$Q$4,0))),0))</f>
        <v/>
      </c>
      <c r="AA302" s="269">
        <f>IF(AA$7="Actual","",IFERROR((INDEX($M302:$Q302,,MATCH(AA$4,$M$4:$Q$4,0))),0))</f>
        <v/>
      </c>
      <c r="AB302" s="269">
        <f>IF(AB$7="Actual","",IFERROR((INDEX($M302:$Q302,,MATCH(AB$4,$M$4:$Q$4,0))),0))</f>
        <v/>
      </c>
      <c r="AC302" s="269">
        <f>IF(AC$7="Actual","",IFERROR((INDEX($M302:$Q302,,MATCH(AC$4,$M$4:$Q$4,0))),0))</f>
        <v/>
      </c>
      <c r="AD302" s="269">
        <f>IF(AD$7="Actual","",IFERROR((INDEX($M302:$Q302,,MATCH(AD$4,$M$4:$Q$4,0))),0))</f>
        <v/>
      </c>
      <c r="AE302" s="269">
        <f>IF(AE$7="Actual","",IFERROR((INDEX($M302:$Q302,,MATCH(AE$4,$M$4:$Q$4,0))),0))</f>
        <v/>
      </c>
      <c r="AF302" s="269">
        <f>IF(AF$7="Actual","",IFERROR((INDEX($M302:$Q302,,MATCH(AF$4,$M$4:$Q$4,0))),0))</f>
        <v/>
      </c>
      <c r="AG302" s="269">
        <f>IF(AG$7="Actual","",IFERROR((INDEX($M302:$Q302,,MATCH(AG$4,$M$4:$Q$4,0))),0))</f>
        <v/>
      </c>
      <c r="AH302" s="269">
        <f>IF(AH$7="Actual","",IFERROR((INDEX($M302:$Q302,,MATCH(AH$4,$M$4:$Q$4,0))),0))</f>
        <v/>
      </c>
      <c r="AI302" s="269">
        <f>IF(AI$7="Actual","",IFERROR((INDEX($M302:$Q302,,MATCH(AI$4,$M$4:$Q$4,0))),0))</f>
        <v/>
      </c>
      <c r="AJ302" s="269">
        <f>IF(AJ$7="Actual","",IFERROR((INDEX($M302:$Q302,,MATCH(AJ$4,$M$4:$Q$4,0))),0))</f>
        <v/>
      </c>
      <c r="AK302" s="269">
        <f>IF(AK$7="Actual","",IFERROR((INDEX($M302:$Q302,,MATCH(AK$4,$M$4:$Q$4,0))),0))</f>
        <v/>
      </c>
      <c r="AL302" s="269">
        <f>IF(AL$7="Actual","",IFERROR((INDEX($M302:$Q302,,MATCH(AL$4,$M$4:$Q$4,0))),0))</f>
        <v/>
      </c>
      <c r="AM302" s="269">
        <f>IF(AM$7="Actual","",IFERROR((INDEX($M302:$Q302,,MATCH(AM$4,$M$4:$Q$4,0))),0))</f>
        <v/>
      </c>
      <c r="AN302" s="269">
        <f>IF(AN$7="Actual","",IFERROR((INDEX($M302:$Q302,,MATCH(AN$4,$M$4:$Q$4,0))),0))</f>
        <v/>
      </c>
      <c r="AO302" s="269">
        <f>IF(AO$7="Actual","",IFERROR((INDEX($M302:$Q302,,MATCH(AO$4,$M$4:$Q$4,0))),0))</f>
        <v/>
      </c>
      <c r="AP302" s="269">
        <f>IF(AP$7="Actual","",IFERROR((INDEX($M302:$Q302,,MATCH(AP$4,$M$4:$Q$4,0))),0))</f>
        <v/>
      </c>
      <c r="AQ302" s="269">
        <f>IF(AQ$7="Actual","",IFERROR((INDEX($M302:$Q302,,MATCH(AQ$4,$M$4:$Q$4,0))),0))</f>
        <v/>
      </c>
      <c r="AR302" s="269">
        <f>IF(AR$7="Actual","",IFERROR((INDEX($M302:$Q302,,MATCH(AR$4,$M$4:$Q$4,0))),0))</f>
        <v/>
      </c>
      <c r="AS302" s="269">
        <f>IF(AS$7="Actual","",IFERROR((INDEX($M302:$Q302,,MATCH(AS$4,$M$4:$Q$4,0))),0))</f>
        <v/>
      </c>
      <c r="AT302" s="269">
        <f>IF(AT$7="Actual","",IFERROR((INDEX($M302:$Q302,,MATCH(AT$4,$M$4:$Q$4,0))),0))</f>
        <v/>
      </c>
      <c r="AU302" s="269">
        <f>IF(AU$7="Actual","",IFERROR((INDEX($M302:$Q302,,MATCH(AU$4,$M$4:$Q$4,0))),0))</f>
        <v/>
      </c>
      <c r="AV302" s="269">
        <f>IF(AV$7="Actual","",IFERROR((INDEX($M302:$Q302,,MATCH(AV$4,$M$4:$Q$4,0))),0))</f>
        <v/>
      </c>
      <c r="AW302" s="269">
        <f>IF(AW$7="Actual","",IFERROR((INDEX($M302:$Q302,,MATCH(AW$4,$M$4:$Q$4,0))),0))</f>
        <v/>
      </c>
      <c r="AX302" s="269">
        <f>IF(AX$7="Actual","",IFERROR((INDEX($M302:$Q302,,MATCH(AX$4,$M$4:$Q$4,0))),0))</f>
        <v/>
      </c>
      <c r="AY302" s="269">
        <f>IF(AY$7="Actual","",IFERROR((INDEX($M302:$Q302,,MATCH(AY$4,$M$4:$Q$4,0))),0))</f>
        <v/>
      </c>
      <c r="AZ302" s="269">
        <f>IF(AZ$7="Actual","",IFERROR((INDEX($M302:$Q302,,MATCH(AZ$4,$M$4:$Q$4,0))),0))</f>
        <v/>
      </c>
      <c r="BA302" s="269">
        <f>IF(BA$7="Actual","",IFERROR((INDEX($M302:$Q302,,MATCH(BA$4,$M$4:$Q$4,0))),0))</f>
        <v/>
      </c>
      <c r="BB302" s="269">
        <f>IF(BB$7="Actual","",IFERROR((INDEX($M302:$Q302,,MATCH(BB$4,$M$4:$Q$4,0))),0))</f>
        <v/>
      </c>
      <c r="BC302" s="269">
        <f>IF(BC$7="Actual","",IFERROR((INDEX($M302:$Q302,,MATCH(BC$4,$M$4:$Q$4,0))),0))</f>
        <v/>
      </c>
      <c r="BD302" s="269">
        <f>IF(BD$7="Actual","",IFERROR((INDEX($M302:$Q302,,MATCH(BD$4,$M$4:$Q$4,0))),0))</f>
        <v/>
      </c>
      <c r="BE302" s="269">
        <f>IF(BE$7="Actual","",IFERROR((INDEX($M302:$Q302,,MATCH(BE$4,$M$4:$Q$4,0))),0))</f>
        <v/>
      </c>
      <c r="BF302" s="269">
        <f>IF(BF$7="Actual","",IFERROR((INDEX($M302:$Q302,,MATCH(BF$4,$M$4:$Q$4,0))),0))</f>
        <v/>
      </c>
      <c r="BG302" s="269">
        <f>IF(BG$7="Actual","",IFERROR((INDEX($M302:$Q302,,MATCH(BG$4,$M$4:$Q$4,0))),0))</f>
        <v/>
      </c>
      <c r="BH302" s="269">
        <f>IF(BH$7="Actual","",IFERROR((INDEX($M302:$Q302,,MATCH(BH$4,$M$4:$Q$4,0))),0))</f>
        <v/>
      </c>
      <c r="BI302" s="269">
        <f>IF(BI$7="Actual","",IFERROR((INDEX($M302:$Q302,,MATCH(BI$4,$M$4:$Q$4,0))),0))</f>
        <v/>
      </c>
      <c r="BJ302" s="269">
        <f>IF(BJ$7="Actual","",IFERROR((INDEX($M302:$Q302,,MATCH(BJ$4,$M$4:$Q$4,0))),0))</f>
        <v/>
      </c>
      <c r="BK302" s="269">
        <f>IF(BK$7="Actual","",IFERROR((INDEX($M302:$Q302,,MATCH(BK$4,$M$4:$Q$4,0))),0))</f>
        <v/>
      </c>
      <c r="BL302" s="269">
        <f>IF(BL$7="Actual","",IFERROR((INDEX($M302:$Q302,,MATCH(BL$4,$M$4:$Q$4,0))),0))</f>
        <v/>
      </c>
      <c r="BM302" s="269">
        <f>IF(BM$7="Actual","",IFERROR((INDEX($M302:$Q302,,MATCH(BM$4,$M$4:$Q$4,0))),0))</f>
        <v/>
      </c>
      <c r="BN302" s="269">
        <f>IF(BN$7="Actual","",IFERROR((INDEX($M302:$Q302,,MATCH(BN$4,$M$4:$Q$4,0))),0))</f>
        <v/>
      </c>
      <c r="BO302" s="269">
        <f>IF(BO$7="Actual","",IFERROR((INDEX($M302:$Q302,,MATCH(BO$4,$M$4:$Q$4,0))),0))</f>
        <v/>
      </c>
      <c r="BP302" s="269">
        <f>IF(BP$7="Actual","",IFERROR((INDEX($M302:$Q302,,MATCH(BP$4,$M$4:$Q$4,0))),0))</f>
        <v/>
      </c>
      <c r="BQ302" s="269">
        <f>IF(BQ$7="Actual","",IFERROR((INDEX($M302:$Q302,,MATCH(BQ$4,$M$4:$Q$4,0))),0))</f>
        <v/>
      </c>
      <c r="BR302" s="269">
        <f>IF(BR$7="Actual","",IFERROR((INDEX($M302:$Q302,,MATCH(BR$4,$M$4:$Q$4,0))),0))</f>
        <v/>
      </c>
      <c r="BS302" s="269">
        <f>IF(BS$7="Actual","",IFERROR((INDEX($M302:$Q302,,MATCH(BS$4,$M$4:$Q$4,0))),0))</f>
        <v/>
      </c>
      <c r="BT302" s="269">
        <f>IF(BT$7="Actual","",IFERROR((INDEX($M302:$Q302,,MATCH(BT$4,$M$4:$Q$4,0))),0))</f>
        <v/>
      </c>
      <c r="BU302" s="269">
        <f>IF(BU$7="Actual","",IFERROR((INDEX($M302:$Q302,,MATCH(BU$4,$M$4:$Q$4,0))),0))</f>
        <v/>
      </c>
      <c r="BV302" s="269">
        <f>IF(BV$7="Actual","",IFERROR((INDEX($M302:$Q302,,MATCH(BV$4,$M$4:$Q$4,0))),0))</f>
        <v/>
      </c>
      <c r="BW302" s="269">
        <f>IF(BW$7="Actual","",IFERROR((INDEX($M302:$Q302,,MATCH(BW$4,$M$4:$Q$4,0))),0))</f>
        <v/>
      </c>
      <c r="BX302" s="269">
        <f>IF(BX$7="Actual","",IFERROR((INDEX($M302:$Q302,,MATCH(BX$4,$M$4:$Q$4,0))),0))</f>
        <v/>
      </c>
      <c r="BY302" s="269">
        <f>IF(BY$7="Actual","",IFERROR((INDEX($M302:$Q302,,MATCH(BY$4,$M$4:$Q$4,0))),0))</f>
        <v/>
      </c>
      <c r="BZ302" s="269">
        <f>IF(BZ$7="Actual","",IFERROR((INDEX($M302:$Q302,,MATCH(BZ$4,$M$4:$Q$4,0))),0))</f>
        <v/>
      </c>
      <c r="CA302" s="269">
        <f>IF(CA$7="Actual","",IFERROR((INDEX($M302:$Q302,,MATCH(CA$4,$M$4:$Q$4,0))),0))</f>
        <v/>
      </c>
    </row>
    <row r="303" ht="12" customHeight="1" s="227">
      <c r="A303" s="244" t="n"/>
      <c r="B303" s="244" t="n"/>
      <c r="C303" s="244" t="n"/>
      <c r="H303" s="4">
        <f>H293</f>
        <v/>
      </c>
      <c r="I303" s="27" t="inlineStr">
        <is>
          <t>no</t>
        </is>
      </c>
      <c r="K303" s="6" t="n"/>
      <c r="M303" s="267">
        <f>IF(M$7="Actual","",i_Assumptions!M211)</f>
        <v/>
      </c>
      <c r="N303" s="267">
        <f>IF(N$7="Actual","",i_Assumptions!N211)</f>
        <v/>
      </c>
      <c r="O303" s="267">
        <f>IF(O$7="Actual","",i_Assumptions!O211)</f>
        <v/>
      </c>
      <c r="P303" s="267">
        <f>IF(P$7="Actual","",i_Assumptions!P211)</f>
        <v/>
      </c>
      <c r="Q303" s="267">
        <f>IF(Q$7="Actual","",i_Assumptions!Q211)</f>
        <v/>
      </c>
      <c r="R303" s="268" t="n"/>
      <c r="S303" s="268" t="n"/>
      <c r="T303" s="269">
        <f>IF(T$7="Actual","",IFERROR((INDEX($M303:$Q303,,MATCH(T$4,$M$4:$Q$4,0))),0))</f>
        <v/>
      </c>
      <c r="U303" s="269">
        <f>IF(U$7="Actual","",IFERROR((INDEX($M303:$Q303,,MATCH(U$4,$M$4:$Q$4,0))),0))</f>
        <v/>
      </c>
      <c r="V303" s="269">
        <f>IF(V$7="Actual","",IFERROR((INDEX($M303:$Q303,,MATCH(V$4,$M$4:$Q$4,0))),0))</f>
        <v/>
      </c>
      <c r="W303" s="269">
        <f>IF(W$7="Actual","",IFERROR((INDEX($M303:$Q303,,MATCH(W$4,$M$4:$Q$4,0))),0))</f>
        <v/>
      </c>
      <c r="X303" s="269">
        <f>IF(X$7="Actual","",IFERROR((INDEX($M303:$Q303,,MATCH(X$4,$M$4:$Q$4,0))),0))</f>
        <v/>
      </c>
      <c r="Y303" s="269">
        <f>IF(Y$7="Actual","",IFERROR((INDEX($M303:$Q303,,MATCH(Y$4,$M$4:$Q$4,0))),0))</f>
        <v/>
      </c>
      <c r="Z303" s="269">
        <f>IF(Z$7="Actual","",IFERROR((INDEX($M303:$Q303,,MATCH(Z$4,$M$4:$Q$4,0))),0))</f>
        <v/>
      </c>
      <c r="AA303" s="269">
        <f>IF(AA$7="Actual","",IFERROR((INDEX($M303:$Q303,,MATCH(AA$4,$M$4:$Q$4,0))),0))</f>
        <v/>
      </c>
      <c r="AB303" s="269">
        <f>IF(AB$7="Actual","",IFERROR((INDEX($M303:$Q303,,MATCH(AB$4,$M$4:$Q$4,0))),0))</f>
        <v/>
      </c>
      <c r="AC303" s="269">
        <f>IF(AC$7="Actual","",IFERROR((INDEX($M303:$Q303,,MATCH(AC$4,$M$4:$Q$4,0))),0))</f>
        <v/>
      </c>
      <c r="AD303" s="269">
        <f>IF(AD$7="Actual","",IFERROR((INDEX($M303:$Q303,,MATCH(AD$4,$M$4:$Q$4,0))),0))</f>
        <v/>
      </c>
      <c r="AE303" s="269">
        <f>IF(AE$7="Actual","",IFERROR((INDEX($M303:$Q303,,MATCH(AE$4,$M$4:$Q$4,0))),0))</f>
        <v/>
      </c>
      <c r="AF303" s="269">
        <f>IF(AF$7="Actual","",IFERROR((INDEX($M303:$Q303,,MATCH(AF$4,$M$4:$Q$4,0))),0))</f>
        <v/>
      </c>
      <c r="AG303" s="269">
        <f>IF(AG$7="Actual","",IFERROR((INDEX($M303:$Q303,,MATCH(AG$4,$M$4:$Q$4,0))),0))</f>
        <v/>
      </c>
      <c r="AH303" s="269">
        <f>IF(AH$7="Actual","",IFERROR((INDEX($M303:$Q303,,MATCH(AH$4,$M$4:$Q$4,0))),0))</f>
        <v/>
      </c>
      <c r="AI303" s="269">
        <f>IF(AI$7="Actual","",IFERROR((INDEX($M303:$Q303,,MATCH(AI$4,$M$4:$Q$4,0))),0))</f>
        <v/>
      </c>
      <c r="AJ303" s="269">
        <f>IF(AJ$7="Actual","",IFERROR((INDEX($M303:$Q303,,MATCH(AJ$4,$M$4:$Q$4,0))),0))</f>
        <v/>
      </c>
      <c r="AK303" s="269">
        <f>IF(AK$7="Actual","",IFERROR((INDEX($M303:$Q303,,MATCH(AK$4,$M$4:$Q$4,0))),0))</f>
        <v/>
      </c>
      <c r="AL303" s="269">
        <f>IF(AL$7="Actual","",IFERROR((INDEX($M303:$Q303,,MATCH(AL$4,$M$4:$Q$4,0))),0))</f>
        <v/>
      </c>
      <c r="AM303" s="269">
        <f>IF(AM$7="Actual","",IFERROR((INDEX($M303:$Q303,,MATCH(AM$4,$M$4:$Q$4,0))),0))</f>
        <v/>
      </c>
      <c r="AN303" s="269">
        <f>IF(AN$7="Actual","",IFERROR((INDEX($M303:$Q303,,MATCH(AN$4,$M$4:$Q$4,0))),0))</f>
        <v/>
      </c>
      <c r="AO303" s="269">
        <f>IF(AO$7="Actual","",IFERROR((INDEX($M303:$Q303,,MATCH(AO$4,$M$4:$Q$4,0))),0))</f>
        <v/>
      </c>
      <c r="AP303" s="269">
        <f>IF(AP$7="Actual","",IFERROR((INDEX($M303:$Q303,,MATCH(AP$4,$M$4:$Q$4,0))),0))</f>
        <v/>
      </c>
      <c r="AQ303" s="269">
        <f>IF(AQ$7="Actual","",IFERROR((INDEX($M303:$Q303,,MATCH(AQ$4,$M$4:$Q$4,0))),0))</f>
        <v/>
      </c>
      <c r="AR303" s="269">
        <f>IF(AR$7="Actual","",IFERROR((INDEX($M303:$Q303,,MATCH(AR$4,$M$4:$Q$4,0))),0))</f>
        <v/>
      </c>
      <c r="AS303" s="269">
        <f>IF(AS$7="Actual","",IFERROR((INDEX($M303:$Q303,,MATCH(AS$4,$M$4:$Q$4,0))),0))</f>
        <v/>
      </c>
      <c r="AT303" s="269">
        <f>IF(AT$7="Actual","",IFERROR((INDEX($M303:$Q303,,MATCH(AT$4,$M$4:$Q$4,0))),0))</f>
        <v/>
      </c>
      <c r="AU303" s="269">
        <f>IF(AU$7="Actual","",IFERROR((INDEX($M303:$Q303,,MATCH(AU$4,$M$4:$Q$4,0))),0))</f>
        <v/>
      </c>
      <c r="AV303" s="269">
        <f>IF(AV$7="Actual","",IFERROR((INDEX($M303:$Q303,,MATCH(AV$4,$M$4:$Q$4,0))),0))</f>
        <v/>
      </c>
      <c r="AW303" s="269">
        <f>IF(AW$7="Actual","",IFERROR((INDEX($M303:$Q303,,MATCH(AW$4,$M$4:$Q$4,0))),0))</f>
        <v/>
      </c>
      <c r="AX303" s="269">
        <f>IF(AX$7="Actual","",IFERROR((INDEX($M303:$Q303,,MATCH(AX$4,$M$4:$Q$4,0))),0))</f>
        <v/>
      </c>
      <c r="AY303" s="269">
        <f>IF(AY$7="Actual","",IFERROR((INDEX($M303:$Q303,,MATCH(AY$4,$M$4:$Q$4,0))),0))</f>
        <v/>
      </c>
      <c r="AZ303" s="269">
        <f>IF(AZ$7="Actual","",IFERROR((INDEX($M303:$Q303,,MATCH(AZ$4,$M$4:$Q$4,0))),0))</f>
        <v/>
      </c>
      <c r="BA303" s="269">
        <f>IF(BA$7="Actual","",IFERROR((INDEX($M303:$Q303,,MATCH(BA$4,$M$4:$Q$4,0))),0))</f>
        <v/>
      </c>
      <c r="BB303" s="269">
        <f>IF(BB$7="Actual","",IFERROR((INDEX($M303:$Q303,,MATCH(BB$4,$M$4:$Q$4,0))),0))</f>
        <v/>
      </c>
      <c r="BC303" s="269">
        <f>IF(BC$7="Actual","",IFERROR((INDEX($M303:$Q303,,MATCH(BC$4,$M$4:$Q$4,0))),0))</f>
        <v/>
      </c>
      <c r="BD303" s="269">
        <f>IF(BD$7="Actual","",IFERROR((INDEX($M303:$Q303,,MATCH(BD$4,$M$4:$Q$4,0))),0))</f>
        <v/>
      </c>
      <c r="BE303" s="269">
        <f>IF(BE$7="Actual","",IFERROR((INDEX($M303:$Q303,,MATCH(BE$4,$M$4:$Q$4,0))),0))</f>
        <v/>
      </c>
      <c r="BF303" s="269">
        <f>IF(BF$7="Actual","",IFERROR((INDEX($M303:$Q303,,MATCH(BF$4,$M$4:$Q$4,0))),0))</f>
        <v/>
      </c>
      <c r="BG303" s="269">
        <f>IF(BG$7="Actual","",IFERROR((INDEX($M303:$Q303,,MATCH(BG$4,$M$4:$Q$4,0))),0))</f>
        <v/>
      </c>
      <c r="BH303" s="269">
        <f>IF(BH$7="Actual","",IFERROR((INDEX($M303:$Q303,,MATCH(BH$4,$M$4:$Q$4,0))),0))</f>
        <v/>
      </c>
      <c r="BI303" s="269">
        <f>IF(BI$7="Actual","",IFERROR((INDEX($M303:$Q303,,MATCH(BI$4,$M$4:$Q$4,0))),0))</f>
        <v/>
      </c>
      <c r="BJ303" s="269">
        <f>IF(BJ$7="Actual","",IFERROR((INDEX($M303:$Q303,,MATCH(BJ$4,$M$4:$Q$4,0))),0))</f>
        <v/>
      </c>
      <c r="BK303" s="269">
        <f>IF(BK$7="Actual","",IFERROR((INDEX($M303:$Q303,,MATCH(BK$4,$M$4:$Q$4,0))),0))</f>
        <v/>
      </c>
      <c r="BL303" s="269">
        <f>IF(BL$7="Actual","",IFERROR((INDEX($M303:$Q303,,MATCH(BL$4,$M$4:$Q$4,0))),0))</f>
        <v/>
      </c>
      <c r="BM303" s="269">
        <f>IF(BM$7="Actual","",IFERROR((INDEX($M303:$Q303,,MATCH(BM$4,$M$4:$Q$4,0))),0))</f>
        <v/>
      </c>
      <c r="BN303" s="269">
        <f>IF(BN$7="Actual","",IFERROR((INDEX($M303:$Q303,,MATCH(BN$4,$M$4:$Q$4,0))),0))</f>
        <v/>
      </c>
      <c r="BO303" s="269">
        <f>IF(BO$7="Actual","",IFERROR((INDEX($M303:$Q303,,MATCH(BO$4,$M$4:$Q$4,0))),0))</f>
        <v/>
      </c>
      <c r="BP303" s="269">
        <f>IF(BP$7="Actual","",IFERROR((INDEX($M303:$Q303,,MATCH(BP$4,$M$4:$Q$4,0))),0))</f>
        <v/>
      </c>
      <c r="BQ303" s="269">
        <f>IF(BQ$7="Actual","",IFERROR((INDEX($M303:$Q303,,MATCH(BQ$4,$M$4:$Q$4,0))),0))</f>
        <v/>
      </c>
      <c r="BR303" s="269">
        <f>IF(BR$7="Actual","",IFERROR((INDEX($M303:$Q303,,MATCH(BR$4,$M$4:$Q$4,0))),0))</f>
        <v/>
      </c>
      <c r="BS303" s="269">
        <f>IF(BS$7="Actual","",IFERROR((INDEX($M303:$Q303,,MATCH(BS$4,$M$4:$Q$4,0))),0))</f>
        <v/>
      </c>
      <c r="BT303" s="269">
        <f>IF(BT$7="Actual","",IFERROR((INDEX($M303:$Q303,,MATCH(BT$4,$M$4:$Q$4,0))),0))</f>
        <v/>
      </c>
      <c r="BU303" s="269">
        <f>IF(BU$7="Actual","",IFERROR((INDEX($M303:$Q303,,MATCH(BU$4,$M$4:$Q$4,0))),0))</f>
        <v/>
      </c>
      <c r="BV303" s="269">
        <f>IF(BV$7="Actual","",IFERROR((INDEX($M303:$Q303,,MATCH(BV$4,$M$4:$Q$4,0))),0))</f>
        <v/>
      </c>
      <c r="BW303" s="269">
        <f>IF(BW$7="Actual","",IFERROR((INDEX($M303:$Q303,,MATCH(BW$4,$M$4:$Q$4,0))),0))</f>
        <v/>
      </c>
      <c r="BX303" s="269">
        <f>IF(BX$7="Actual","",IFERROR((INDEX($M303:$Q303,,MATCH(BX$4,$M$4:$Q$4,0))),0))</f>
        <v/>
      </c>
      <c r="BY303" s="269">
        <f>IF(BY$7="Actual","",IFERROR((INDEX($M303:$Q303,,MATCH(BY$4,$M$4:$Q$4,0))),0))</f>
        <v/>
      </c>
      <c r="BZ303" s="269">
        <f>IF(BZ$7="Actual","",IFERROR((INDEX($M303:$Q303,,MATCH(BZ$4,$M$4:$Q$4,0))),0))</f>
        <v/>
      </c>
      <c r="CA303" s="269">
        <f>IF(CA$7="Actual","",IFERROR((INDEX($M303:$Q303,,MATCH(CA$4,$M$4:$Q$4,0))),0))</f>
        <v/>
      </c>
    </row>
    <row r="304" ht="12" customHeight="1" s="227">
      <c r="A304" s="244" t="n"/>
      <c r="B304" s="244" t="n"/>
      <c r="C304" s="244" t="n"/>
      <c r="H304" s="4">
        <f>H294</f>
        <v/>
      </c>
      <c r="I304" s="27" t="inlineStr">
        <is>
          <t>no</t>
        </is>
      </c>
      <c r="K304" s="6" t="n"/>
      <c r="M304" s="267">
        <f>IF(M$7="Actual","",i_Assumptions!M212)</f>
        <v/>
      </c>
      <c r="N304" s="267">
        <f>IF(N$7="Actual","",i_Assumptions!N212)</f>
        <v/>
      </c>
      <c r="O304" s="267">
        <f>IF(O$7="Actual","",i_Assumptions!O212)</f>
        <v/>
      </c>
      <c r="P304" s="267">
        <f>IF(P$7="Actual","",i_Assumptions!P212)</f>
        <v/>
      </c>
      <c r="Q304" s="267">
        <f>IF(Q$7="Actual","",i_Assumptions!Q212)</f>
        <v/>
      </c>
      <c r="R304" s="268" t="n"/>
      <c r="S304" s="268" t="n"/>
      <c r="T304" s="269">
        <f>IF(T$7="Actual","",IFERROR((INDEX($M304:$Q304,,MATCH(T$4,$M$4:$Q$4,0))),0))</f>
        <v/>
      </c>
      <c r="U304" s="269">
        <f>IF(U$7="Actual","",IFERROR((INDEX($M304:$Q304,,MATCH(U$4,$M$4:$Q$4,0))),0))</f>
        <v/>
      </c>
      <c r="V304" s="269">
        <f>IF(V$7="Actual","",IFERROR((INDEX($M304:$Q304,,MATCH(V$4,$M$4:$Q$4,0))),0))</f>
        <v/>
      </c>
      <c r="W304" s="269">
        <f>IF(W$7="Actual","",IFERROR((INDEX($M304:$Q304,,MATCH(W$4,$M$4:$Q$4,0))),0))</f>
        <v/>
      </c>
      <c r="X304" s="269">
        <f>IF(X$7="Actual","",IFERROR((INDEX($M304:$Q304,,MATCH(X$4,$M$4:$Q$4,0))),0))</f>
        <v/>
      </c>
      <c r="Y304" s="269">
        <f>IF(Y$7="Actual","",IFERROR((INDEX($M304:$Q304,,MATCH(Y$4,$M$4:$Q$4,0))),0))</f>
        <v/>
      </c>
      <c r="Z304" s="269">
        <f>IF(Z$7="Actual","",IFERROR((INDEX($M304:$Q304,,MATCH(Z$4,$M$4:$Q$4,0))),0))</f>
        <v/>
      </c>
      <c r="AA304" s="269">
        <f>IF(AA$7="Actual","",IFERROR((INDEX($M304:$Q304,,MATCH(AA$4,$M$4:$Q$4,0))),0))</f>
        <v/>
      </c>
      <c r="AB304" s="269">
        <f>IF(AB$7="Actual","",IFERROR((INDEX($M304:$Q304,,MATCH(AB$4,$M$4:$Q$4,0))),0))</f>
        <v/>
      </c>
      <c r="AC304" s="269">
        <f>IF(AC$7="Actual","",IFERROR((INDEX($M304:$Q304,,MATCH(AC$4,$M$4:$Q$4,0))),0))</f>
        <v/>
      </c>
      <c r="AD304" s="269">
        <f>IF(AD$7="Actual","",IFERROR((INDEX($M304:$Q304,,MATCH(AD$4,$M$4:$Q$4,0))),0))</f>
        <v/>
      </c>
      <c r="AE304" s="269">
        <f>IF(AE$7="Actual","",IFERROR((INDEX($M304:$Q304,,MATCH(AE$4,$M$4:$Q$4,0))),0))</f>
        <v/>
      </c>
      <c r="AF304" s="269">
        <f>IF(AF$7="Actual","",IFERROR((INDEX($M304:$Q304,,MATCH(AF$4,$M$4:$Q$4,0))),0))</f>
        <v/>
      </c>
      <c r="AG304" s="269">
        <f>IF(AG$7="Actual","",IFERROR((INDEX($M304:$Q304,,MATCH(AG$4,$M$4:$Q$4,0))),0))</f>
        <v/>
      </c>
      <c r="AH304" s="269">
        <f>IF(AH$7="Actual","",IFERROR((INDEX($M304:$Q304,,MATCH(AH$4,$M$4:$Q$4,0))),0))</f>
        <v/>
      </c>
      <c r="AI304" s="269">
        <f>IF(AI$7="Actual","",IFERROR((INDEX($M304:$Q304,,MATCH(AI$4,$M$4:$Q$4,0))),0))</f>
        <v/>
      </c>
      <c r="AJ304" s="269">
        <f>IF(AJ$7="Actual","",IFERROR((INDEX($M304:$Q304,,MATCH(AJ$4,$M$4:$Q$4,0))),0))</f>
        <v/>
      </c>
      <c r="AK304" s="269">
        <f>IF(AK$7="Actual","",IFERROR((INDEX($M304:$Q304,,MATCH(AK$4,$M$4:$Q$4,0))),0))</f>
        <v/>
      </c>
      <c r="AL304" s="269">
        <f>IF(AL$7="Actual","",IFERROR((INDEX($M304:$Q304,,MATCH(AL$4,$M$4:$Q$4,0))),0))</f>
        <v/>
      </c>
      <c r="AM304" s="269">
        <f>IF(AM$7="Actual","",IFERROR((INDEX($M304:$Q304,,MATCH(AM$4,$M$4:$Q$4,0))),0))</f>
        <v/>
      </c>
      <c r="AN304" s="269">
        <f>IF(AN$7="Actual","",IFERROR((INDEX($M304:$Q304,,MATCH(AN$4,$M$4:$Q$4,0))),0))</f>
        <v/>
      </c>
      <c r="AO304" s="269">
        <f>IF(AO$7="Actual","",IFERROR((INDEX($M304:$Q304,,MATCH(AO$4,$M$4:$Q$4,0))),0))</f>
        <v/>
      </c>
      <c r="AP304" s="269">
        <f>IF(AP$7="Actual","",IFERROR((INDEX($M304:$Q304,,MATCH(AP$4,$M$4:$Q$4,0))),0))</f>
        <v/>
      </c>
      <c r="AQ304" s="269">
        <f>IF(AQ$7="Actual","",IFERROR((INDEX($M304:$Q304,,MATCH(AQ$4,$M$4:$Q$4,0))),0))</f>
        <v/>
      </c>
      <c r="AR304" s="269">
        <f>IF(AR$7="Actual","",IFERROR((INDEX($M304:$Q304,,MATCH(AR$4,$M$4:$Q$4,0))),0))</f>
        <v/>
      </c>
      <c r="AS304" s="269">
        <f>IF(AS$7="Actual","",IFERROR((INDEX($M304:$Q304,,MATCH(AS$4,$M$4:$Q$4,0))),0))</f>
        <v/>
      </c>
      <c r="AT304" s="269">
        <f>IF(AT$7="Actual","",IFERROR((INDEX($M304:$Q304,,MATCH(AT$4,$M$4:$Q$4,0))),0))</f>
        <v/>
      </c>
      <c r="AU304" s="269">
        <f>IF(AU$7="Actual","",IFERROR((INDEX($M304:$Q304,,MATCH(AU$4,$M$4:$Q$4,0))),0))</f>
        <v/>
      </c>
      <c r="AV304" s="269">
        <f>IF(AV$7="Actual","",IFERROR((INDEX($M304:$Q304,,MATCH(AV$4,$M$4:$Q$4,0))),0))</f>
        <v/>
      </c>
      <c r="AW304" s="269">
        <f>IF(AW$7="Actual","",IFERROR((INDEX($M304:$Q304,,MATCH(AW$4,$M$4:$Q$4,0))),0))</f>
        <v/>
      </c>
      <c r="AX304" s="269">
        <f>IF(AX$7="Actual","",IFERROR((INDEX($M304:$Q304,,MATCH(AX$4,$M$4:$Q$4,0))),0))</f>
        <v/>
      </c>
      <c r="AY304" s="269">
        <f>IF(AY$7="Actual","",IFERROR((INDEX($M304:$Q304,,MATCH(AY$4,$M$4:$Q$4,0))),0))</f>
        <v/>
      </c>
      <c r="AZ304" s="269">
        <f>IF(AZ$7="Actual","",IFERROR((INDEX($M304:$Q304,,MATCH(AZ$4,$M$4:$Q$4,0))),0))</f>
        <v/>
      </c>
      <c r="BA304" s="269">
        <f>IF(BA$7="Actual","",IFERROR((INDEX($M304:$Q304,,MATCH(BA$4,$M$4:$Q$4,0))),0))</f>
        <v/>
      </c>
      <c r="BB304" s="269">
        <f>IF(BB$7="Actual","",IFERROR((INDEX($M304:$Q304,,MATCH(BB$4,$M$4:$Q$4,0))),0))</f>
        <v/>
      </c>
      <c r="BC304" s="269">
        <f>IF(BC$7="Actual","",IFERROR((INDEX($M304:$Q304,,MATCH(BC$4,$M$4:$Q$4,0))),0))</f>
        <v/>
      </c>
      <c r="BD304" s="269">
        <f>IF(BD$7="Actual","",IFERROR((INDEX($M304:$Q304,,MATCH(BD$4,$M$4:$Q$4,0))),0))</f>
        <v/>
      </c>
      <c r="BE304" s="269">
        <f>IF(BE$7="Actual","",IFERROR((INDEX($M304:$Q304,,MATCH(BE$4,$M$4:$Q$4,0))),0))</f>
        <v/>
      </c>
      <c r="BF304" s="269">
        <f>IF(BF$7="Actual","",IFERROR((INDEX($M304:$Q304,,MATCH(BF$4,$M$4:$Q$4,0))),0))</f>
        <v/>
      </c>
      <c r="BG304" s="269">
        <f>IF(BG$7="Actual","",IFERROR((INDEX($M304:$Q304,,MATCH(BG$4,$M$4:$Q$4,0))),0))</f>
        <v/>
      </c>
      <c r="BH304" s="269">
        <f>IF(BH$7="Actual","",IFERROR((INDEX($M304:$Q304,,MATCH(BH$4,$M$4:$Q$4,0))),0))</f>
        <v/>
      </c>
      <c r="BI304" s="269">
        <f>IF(BI$7="Actual","",IFERROR((INDEX($M304:$Q304,,MATCH(BI$4,$M$4:$Q$4,0))),0))</f>
        <v/>
      </c>
      <c r="BJ304" s="269">
        <f>IF(BJ$7="Actual","",IFERROR((INDEX($M304:$Q304,,MATCH(BJ$4,$M$4:$Q$4,0))),0))</f>
        <v/>
      </c>
      <c r="BK304" s="269">
        <f>IF(BK$7="Actual","",IFERROR((INDEX($M304:$Q304,,MATCH(BK$4,$M$4:$Q$4,0))),0))</f>
        <v/>
      </c>
      <c r="BL304" s="269">
        <f>IF(BL$7="Actual","",IFERROR((INDEX($M304:$Q304,,MATCH(BL$4,$M$4:$Q$4,0))),0))</f>
        <v/>
      </c>
      <c r="BM304" s="269">
        <f>IF(BM$7="Actual","",IFERROR((INDEX($M304:$Q304,,MATCH(BM$4,$M$4:$Q$4,0))),0))</f>
        <v/>
      </c>
      <c r="BN304" s="269">
        <f>IF(BN$7="Actual","",IFERROR((INDEX($M304:$Q304,,MATCH(BN$4,$M$4:$Q$4,0))),0))</f>
        <v/>
      </c>
      <c r="BO304" s="269">
        <f>IF(BO$7="Actual","",IFERROR((INDEX($M304:$Q304,,MATCH(BO$4,$M$4:$Q$4,0))),0))</f>
        <v/>
      </c>
      <c r="BP304" s="269">
        <f>IF(BP$7="Actual","",IFERROR((INDEX($M304:$Q304,,MATCH(BP$4,$M$4:$Q$4,0))),0))</f>
        <v/>
      </c>
      <c r="BQ304" s="269">
        <f>IF(BQ$7="Actual","",IFERROR((INDEX($M304:$Q304,,MATCH(BQ$4,$M$4:$Q$4,0))),0))</f>
        <v/>
      </c>
      <c r="BR304" s="269">
        <f>IF(BR$7="Actual","",IFERROR((INDEX($M304:$Q304,,MATCH(BR$4,$M$4:$Q$4,0))),0))</f>
        <v/>
      </c>
      <c r="BS304" s="269">
        <f>IF(BS$7="Actual","",IFERROR((INDEX($M304:$Q304,,MATCH(BS$4,$M$4:$Q$4,0))),0))</f>
        <v/>
      </c>
      <c r="BT304" s="269">
        <f>IF(BT$7="Actual","",IFERROR((INDEX($M304:$Q304,,MATCH(BT$4,$M$4:$Q$4,0))),0))</f>
        <v/>
      </c>
      <c r="BU304" s="269">
        <f>IF(BU$7="Actual","",IFERROR((INDEX($M304:$Q304,,MATCH(BU$4,$M$4:$Q$4,0))),0))</f>
        <v/>
      </c>
      <c r="BV304" s="269">
        <f>IF(BV$7="Actual","",IFERROR((INDEX($M304:$Q304,,MATCH(BV$4,$M$4:$Q$4,0))),0))</f>
        <v/>
      </c>
      <c r="BW304" s="269">
        <f>IF(BW$7="Actual","",IFERROR((INDEX($M304:$Q304,,MATCH(BW$4,$M$4:$Q$4,0))),0))</f>
        <v/>
      </c>
      <c r="BX304" s="269">
        <f>IF(BX$7="Actual","",IFERROR((INDEX($M304:$Q304,,MATCH(BX$4,$M$4:$Q$4,0))),0))</f>
        <v/>
      </c>
      <c r="BY304" s="269">
        <f>IF(BY$7="Actual","",IFERROR((INDEX($M304:$Q304,,MATCH(BY$4,$M$4:$Q$4,0))),0))</f>
        <v/>
      </c>
      <c r="BZ304" s="269">
        <f>IF(BZ$7="Actual","",IFERROR((INDEX($M304:$Q304,,MATCH(BZ$4,$M$4:$Q$4,0))),0))</f>
        <v/>
      </c>
      <c r="CA304" s="269">
        <f>IF(CA$7="Actual","",IFERROR((INDEX($M304:$Q304,,MATCH(CA$4,$M$4:$Q$4,0))),0))</f>
        <v/>
      </c>
    </row>
    <row r="305" ht="12" customHeight="1" s="227">
      <c r="A305" s="244" t="n"/>
      <c r="B305" s="244" t="n"/>
      <c r="C305" s="244" t="n"/>
      <c r="H305" s="4">
        <f>H295</f>
        <v/>
      </c>
      <c r="I305" s="27" t="inlineStr">
        <is>
          <t>no</t>
        </is>
      </c>
      <c r="K305" s="6" t="n"/>
      <c r="M305" s="267">
        <f>IF(M$7="Actual","",i_Assumptions!M213)</f>
        <v/>
      </c>
      <c r="N305" s="267">
        <f>IF(N$7="Actual","",i_Assumptions!N213)</f>
        <v/>
      </c>
      <c r="O305" s="267">
        <f>IF(O$7="Actual","",i_Assumptions!O213)</f>
        <v/>
      </c>
      <c r="P305" s="267">
        <f>IF(P$7="Actual","",i_Assumptions!P213)</f>
        <v/>
      </c>
      <c r="Q305" s="267">
        <f>IF(Q$7="Actual","",i_Assumptions!Q213)</f>
        <v/>
      </c>
      <c r="R305" s="268" t="n"/>
      <c r="S305" s="268" t="n"/>
      <c r="T305" s="269">
        <f>IF(T$7="Actual","",IFERROR((INDEX($M305:$Q305,,MATCH(T$4,$M$4:$Q$4,0))),0))</f>
        <v/>
      </c>
      <c r="U305" s="269">
        <f>IF(U$7="Actual","",IFERROR((INDEX($M305:$Q305,,MATCH(U$4,$M$4:$Q$4,0))),0))</f>
        <v/>
      </c>
      <c r="V305" s="269">
        <f>IF(V$7="Actual","",IFERROR((INDEX($M305:$Q305,,MATCH(V$4,$M$4:$Q$4,0))),0))</f>
        <v/>
      </c>
      <c r="W305" s="269">
        <f>IF(W$7="Actual","",IFERROR((INDEX($M305:$Q305,,MATCH(W$4,$M$4:$Q$4,0))),0))</f>
        <v/>
      </c>
      <c r="X305" s="269">
        <f>IF(X$7="Actual","",IFERROR((INDEX($M305:$Q305,,MATCH(X$4,$M$4:$Q$4,0))),0))</f>
        <v/>
      </c>
      <c r="Y305" s="269">
        <f>IF(Y$7="Actual","",IFERROR((INDEX($M305:$Q305,,MATCH(Y$4,$M$4:$Q$4,0))),0))</f>
        <v/>
      </c>
      <c r="Z305" s="269">
        <f>IF(Z$7="Actual","",IFERROR((INDEX($M305:$Q305,,MATCH(Z$4,$M$4:$Q$4,0))),0))</f>
        <v/>
      </c>
      <c r="AA305" s="269">
        <f>IF(AA$7="Actual","",IFERROR((INDEX($M305:$Q305,,MATCH(AA$4,$M$4:$Q$4,0))),0))</f>
        <v/>
      </c>
      <c r="AB305" s="269">
        <f>IF(AB$7="Actual","",IFERROR((INDEX($M305:$Q305,,MATCH(AB$4,$M$4:$Q$4,0))),0))</f>
        <v/>
      </c>
      <c r="AC305" s="269">
        <f>IF(AC$7="Actual","",IFERROR((INDEX($M305:$Q305,,MATCH(AC$4,$M$4:$Q$4,0))),0))</f>
        <v/>
      </c>
      <c r="AD305" s="269">
        <f>IF(AD$7="Actual","",IFERROR((INDEX($M305:$Q305,,MATCH(AD$4,$M$4:$Q$4,0))),0))</f>
        <v/>
      </c>
      <c r="AE305" s="269">
        <f>IF(AE$7="Actual","",IFERROR((INDEX($M305:$Q305,,MATCH(AE$4,$M$4:$Q$4,0))),0))</f>
        <v/>
      </c>
      <c r="AF305" s="269">
        <f>IF(AF$7="Actual","",IFERROR((INDEX($M305:$Q305,,MATCH(AF$4,$M$4:$Q$4,0))),0))</f>
        <v/>
      </c>
      <c r="AG305" s="269">
        <f>IF(AG$7="Actual","",IFERROR((INDEX($M305:$Q305,,MATCH(AG$4,$M$4:$Q$4,0))),0))</f>
        <v/>
      </c>
      <c r="AH305" s="269">
        <f>IF(AH$7="Actual","",IFERROR((INDEX($M305:$Q305,,MATCH(AH$4,$M$4:$Q$4,0))),0))</f>
        <v/>
      </c>
      <c r="AI305" s="269">
        <f>IF(AI$7="Actual","",IFERROR((INDEX($M305:$Q305,,MATCH(AI$4,$M$4:$Q$4,0))),0))</f>
        <v/>
      </c>
      <c r="AJ305" s="269">
        <f>IF(AJ$7="Actual","",IFERROR((INDEX($M305:$Q305,,MATCH(AJ$4,$M$4:$Q$4,0))),0))</f>
        <v/>
      </c>
      <c r="AK305" s="269">
        <f>IF(AK$7="Actual","",IFERROR((INDEX($M305:$Q305,,MATCH(AK$4,$M$4:$Q$4,0))),0))</f>
        <v/>
      </c>
      <c r="AL305" s="269">
        <f>IF(AL$7="Actual","",IFERROR((INDEX($M305:$Q305,,MATCH(AL$4,$M$4:$Q$4,0))),0))</f>
        <v/>
      </c>
      <c r="AM305" s="269">
        <f>IF(AM$7="Actual","",IFERROR((INDEX($M305:$Q305,,MATCH(AM$4,$M$4:$Q$4,0))),0))</f>
        <v/>
      </c>
      <c r="AN305" s="269">
        <f>IF(AN$7="Actual","",IFERROR((INDEX($M305:$Q305,,MATCH(AN$4,$M$4:$Q$4,0))),0))</f>
        <v/>
      </c>
      <c r="AO305" s="269">
        <f>IF(AO$7="Actual","",IFERROR((INDEX($M305:$Q305,,MATCH(AO$4,$M$4:$Q$4,0))),0))</f>
        <v/>
      </c>
      <c r="AP305" s="269">
        <f>IF(AP$7="Actual","",IFERROR((INDEX($M305:$Q305,,MATCH(AP$4,$M$4:$Q$4,0))),0))</f>
        <v/>
      </c>
      <c r="AQ305" s="269">
        <f>IF(AQ$7="Actual","",IFERROR((INDEX($M305:$Q305,,MATCH(AQ$4,$M$4:$Q$4,0))),0))</f>
        <v/>
      </c>
      <c r="AR305" s="269">
        <f>IF(AR$7="Actual","",IFERROR((INDEX($M305:$Q305,,MATCH(AR$4,$M$4:$Q$4,0))),0))</f>
        <v/>
      </c>
      <c r="AS305" s="269">
        <f>IF(AS$7="Actual","",IFERROR((INDEX($M305:$Q305,,MATCH(AS$4,$M$4:$Q$4,0))),0))</f>
        <v/>
      </c>
      <c r="AT305" s="269">
        <f>IF(AT$7="Actual","",IFERROR((INDEX($M305:$Q305,,MATCH(AT$4,$M$4:$Q$4,0))),0))</f>
        <v/>
      </c>
      <c r="AU305" s="269">
        <f>IF(AU$7="Actual","",IFERROR((INDEX($M305:$Q305,,MATCH(AU$4,$M$4:$Q$4,0))),0))</f>
        <v/>
      </c>
      <c r="AV305" s="269">
        <f>IF(AV$7="Actual","",IFERROR((INDEX($M305:$Q305,,MATCH(AV$4,$M$4:$Q$4,0))),0))</f>
        <v/>
      </c>
      <c r="AW305" s="269">
        <f>IF(AW$7="Actual","",IFERROR((INDEX($M305:$Q305,,MATCH(AW$4,$M$4:$Q$4,0))),0))</f>
        <v/>
      </c>
      <c r="AX305" s="269">
        <f>IF(AX$7="Actual","",IFERROR((INDEX($M305:$Q305,,MATCH(AX$4,$M$4:$Q$4,0))),0))</f>
        <v/>
      </c>
      <c r="AY305" s="269">
        <f>IF(AY$7="Actual","",IFERROR((INDEX($M305:$Q305,,MATCH(AY$4,$M$4:$Q$4,0))),0))</f>
        <v/>
      </c>
      <c r="AZ305" s="269">
        <f>IF(AZ$7="Actual","",IFERROR((INDEX($M305:$Q305,,MATCH(AZ$4,$M$4:$Q$4,0))),0))</f>
        <v/>
      </c>
      <c r="BA305" s="269">
        <f>IF(BA$7="Actual","",IFERROR((INDEX($M305:$Q305,,MATCH(BA$4,$M$4:$Q$4,0))),0))</f>
        <v/>
      </c>
      <c r="BB305" s="269">
        <f>IF(BB$7="Actual","",IFERROR((INDEX($M305:$Q305,,MATCH(BB$4,$M$4:$Q$4,0))),0))</f>
        <v/>
      </c>
      <c r="BC305" s="269">
        <f>IF(BC$7="Actual","",IFERROR((INDEX($M305:$Q305,,MATCH(BC$4,$M$4:$Q$4,0))),0))</f>
        <v/>
      </c>
      <c r="BD305" s="269">
        <f>IF(BD$7="Actual","",IFERROR((INDEX($M305:$Q305,,MATCH(BD$4,$M$4:$Q$4,0))),0))</f>
        <v/>
      </c>
      <c r="BE305" s="269">
        <f>IF(BE$7="Actual","",IFERROR((INDEX($M305:$Q305,,MATCH(BE$4,$M$4:$Q$4,0))),0))</f>
        <v/>
      </c>
      <c r="BF305" s="269">
        <f>IF(BF$7="Actual","",IFERROR((INDEX($M305:$Q305,,MATCH(BF$4,$M$4:$Q$4,0))),0))</f>
        <v/>
      </c>
      <c r="BG305" s="269">
        <f>IF(BG$7="Actual","",IFERROR((INDEX($M305:$Q305,,MATCH(BG$4,$M$4:$Q$4,0))),0))</f>
        <v/>
      </c>
      <c r="BH305" s="269">
        <f>IF(BH$7="Actual","",IFERROR((INDEX($M305:$Q305,,MATCH(BH$4,$M$4:$Q$4,0))),0))</f>
        <v/>
      </c>
      <c r="BI305" s="269">
        <f>IF(BI$7="Actual","",IFERROR((INDEX($M305:$Q305,,MATCH(BI$4,$M$4:$Q$4,0))),0))</f>
        <v/>
      </c>
      <c r="BJ305" s="269">
        <f>IF(BJ$7="Actual","",IFERROR((INDEX($M305:$Q305,,MATCH(BJ$4,$M$4:$Q$4,0))),0))</f>
        <v/>
      </c>
      <c r="BK305" s="269">
        <f>IF(BK$7="Actual","",IFERROR((INDEX($M305:$Q305,,MATCH(BK$4,$M$4:$Q$4,0))),0))</f>
        <v/>
      </c>
      <c r="BL305" s="269">
        <f>IF(BL$7="Actual","",IFERROR((INDEX($M305:$Q305,,MATCH(BL$4,$M$4:$Q$4,0))),0))</f>
        <v/>
      </c>
      <c r="BM305" s="269">
        <f>IF(BM$7="Actual","",IFERROR((INDEX($M305:$Q305,,MATCH(BM$4,$M$4:$Q$4,0))),0))</f>
        <v/>
      </c>
      <c r="BN305" s="269">
        <f>IF(BN$7="Actual","",IFERROR((INDEX($M305:$Q305,,MATCH(BN$4,$M$4:$Q$4,0))),0))</f>
        <v/>
      </c>
      <c r="BO305" s="269">
        <f>IF(BO$7="Actual","",IFERROR((INDEX($M305:$Q305,,MATCH(BO$4,$M$4:$Q$4,0))),0))</f>
        <v/>
      </c>
      <c r="BP305" s="269">
        <f>IF(BP$7="Actual","",IFERROR((INDEX($M305:$Q305,,MATCH(BP$4,$M$4:$Q$4,0))),0))</f>
        <v/>
      </c>
      <c r="BQ305" s="269">
        <f>IF(BQ$7="Actual","",IFERROR((INDEX($M305:$Q305,,MATCH(BQ$4,$M$4:$Q$4,0))),0))</f>
        <v/>
      </c>
      <c r="BR305" s="269">
        <f>IF(BR$7="Actual","",IFERROR((INDEX($M305:$Q305,,MATCH(BR$4,$M$4:$Q$4,0))),0))</f>
        <v/>
      </c>
      <c r="BS305" s="269">
        <f>IF(BS$7="Actual","",IFERROR((INDEX($M305:$Q305,,MATCH(BS$4,$M$4:$Q$4,0))),0))</f>
        <v/>
      </c>
      <c r="BT305" s="269">
        <f>IF(BT$7="Actual","",IFERROR((INDEX($M305:$Q305,,MATCH(BT$4,$M$4:$Q$4,0))),0))</f>
        <v/>
      </c>
      <c r="BU305" s="269">
        <f>IF(BU$7="Actual","",IFERROR((INDEX($M305:$Q305,,MATCH(BU$4,$M$4:$Q$4,0))),0))</f>
        <v/>
      </c>
      <c r="BV305" s="269">
        <f>IF(BV$7="Actual","",IFERROR((INDEX($M305:$Q305,,MATCH(BV$4,$M$4:$Q$4,0))),0))</f>
        <v/>
      </c>
      <c r="BW305" s="269">
        <f>IF(BW$7="Actual","",IFERROR((INDEX($M305:$Q305,,MATCH(BW$4,$M$4:$Q$4,0))),0))</f>
        <v/>
      </c>
      <c r="BX305" s="269">
        <f>IF(BX$7="Actual","",IFERROR((INDEX($M305:$Q305,,MATCH(BX$4,$M$4:$Q$4,0))),0))</f>
        <v/>
      </c>
      <c r="BY305" s="269">
        <f>IF(BY$7="Actual","",IFERROR((INDEX($M305:$Q305,,MATCH(BY$4,$M$4:$Q$4,0))),0))</f>
        <v/>
      </c>
      <c r="BZ305" s="269">
        <f>IF(BZ$7="Actual","",IFERROR((INDEX($M305:$Q305,,MATCH(BZ$4,$M$4:$Q$4,0))),0))</f>
        <v/>
      </c>
      <c r="CA305" s="269">
        <f>IF(CA$7="Actual","",IFERROR((INDEX($M305:$Q305,,MATCH(CA$4,$M$4:$Q$4,0))),0))</f>
        <v/>
      </c>
    </row>
    <row r="306" ht="12" customHeight="1" s="227">
      <c r="A306" s="244" t="n"/>
      <c r="B306" s="244" t="n"/>
      <c r="C306" s="244" t="n"/>
      <c r="H306" s="4">
        <f>H296</f>
        <v/>
      </c>
      <c r="I306" s="27" t="inlineStr">
        <is>
          <t>no</t>
        </is>
      </c>
      <c r="K306" s="6" t="n"/>
      <c r="M306" s="267">
        <f>IF(M$7="Actual","",i_Assumptions!M214)</f>
        <v/>
      </c>
      <c r="N306" s="267">
        <f>IF(N$7="Actual","",i_Assumptions!N214)</f>
        <v/>
      </c>
      <c r="O306" s="267">
        <f>IF(O$7="Actual","",i_Assumptions!O214)</f>
        <v/>
      </c>
      <c r="P306" s="267">
        <f>IF(P$7="Actual","",i_Assumptions!P214)</f>
        <v/>
      </c>
      <c r="Q306" s="267">
        <f>IF(Q$7="Actual","",i_Assumptions!Q214)</f>
        <v/>
      </c>
      <c r="R306" s="268" t="n"/>
      <c r="S306" s="268" t="n"/>
      <c r="T306" s="269">
        <f>IF(T$7="Actual","",IFERROR((INDEX($M306:$Q306,,MATCH(T$4,$M$4:$Q$4,0))),0))</f>
        <v/>
      </c>
      <c r="U306" s="269">
        <f>IF(U$7="Actual","",IFERROR((INDEX($M306:$Q306,,MATCH(U$4,$M$4:$Q$4,0))),0))</f>
        <v/>
      </c>
      <c r="V306" s="269">
        <f>IF(V$7="Actual","",IFERROR((INDEX($M306:$Q306,,MATCH(V$4,$M$4:$Q$4,0))),0))</f>
        <v/>
      </c>
      <c r="W306" s="269">
        <f>IF(W$7="Actual","",IFERROR((INDEX($M306:$Q306,,MATCH(W$4,$M$4:$Q$4,0))),0))</f>
        <v/>
      </c>
      <c r="X306" s="269">
        <f>IF(X$7="Actual","",IFERROR((INDEX($M306:$Q306,,MATCH(X$4,$M$4:$Q$4,0))),0))</f>
        <v/>
      </c>
      <c r="Y306" s="269">
        <f>IF(Y$7="Actual","",IFERROR((INDEX($M306:$Q306,,MATCH(Y$4,$M$4:$Q$4,0))),0))</f>
        <v/>
      </c>
      <c r="Z306" s="269">
        <f>IF(Z$7="Actual","",IFERROR((INDEX($M306:$Q306,,MATCH(Z$4,$M$4:$Q$4,0))),0))</f>
        <v/>
      </c>
      <c r="AA306" s="269">
        <f>IF(AA$7="Actual","",IFERROR((INDEX($M306:$Q306,,MATCH(AA$4,$M$4:$Q$4,0))),0))</f>
        <v/>
      </c>
      <c r="AB306" s="269">
        <f>IF(AB$7="Actual","",IFERROR((INDEX($M306:$Q306,,MATCH(AB$4,$M$4:$Q$4,0))),0))</f>
        <v/>
      </c>
      <c r="AC306" s="269">
        <f>IF(AC$7="Actual","",IFERROR((INDEX($M306:$Q306,,MATCH(AC$4,$M$4:$Q$4,0))),0))</f>
        <v/>
      </c>
      <c r="AD306" s="269">
        <f>IF(AD$7="Actual","",IFERROR((INDEX($M306:$Q306,,MATCH(AD$4,$M$4:$Q$4,0))),0))</f>
        <v/>
      </c>
      <c r="AE306" s="269">
        <f>IF(AE$7="Actual","",IFERROR((INDEX($M306:$Q306,,MATCH(AE$4,$M$4:$Q$4,0))),0))</f>
        <v/>
      </c>
      <c r="AF306" s="269">
        <f>IF(AF$7="Actual","",IFERROR((INDEX($M306:$Q306,,MATCH(AF$4,$M$4:$Q$4,0))),0))</f>
        <v/>
      </c>
      <c r="AG306" s="269">
        <f>IF(AG$7="Actual","",IFERROR((INDEX($M306:$Q306,,MATCH(AG$4,$M$4:$Q$4,0))),0))</f>
        <v/>
      </c>
      <c r="AH306" s="269">
        <f>IF(AH$7="Actual","",IFERROR((INDEX($M306:$Q306,,MATCH(AH$4,$M$4:$Q$4,0))),0))</f>
        <v/>
      </c>
      <c r="AI306" s="269">
        <f>IF(AI$7="Actual","",IFERROR((INDEX($M306:$Q306,,MATCH(AI$4,$M$4:$Q$4,0))),0))</f>
        <v/>
      </c>
      <c r="AJ306" s="269">
        <f>IF(AJ$7="Actual","",IFERROR((INDEX($M306:$Q306,,MATCH(AJ$4,$M$4:$Q$4,0))),0))</f>
        <v/>
      </c>
      <c r="AK306" s="269">
        <f>IF(AK$7="Actual","",IFERROR((INDEX($M306:$Q306,,MATCH(AK$4,$M$4:$Q$4,0))),0))</f>
        <v/>
      </c>
      <c r="AL306" s="269">
        <f>IF(AL$7="Actual","",IFERROR((INDEX($M306:$Q306,,MATCH(AL$4,$M$4:$Q$4,0))),0))</f>
        <v/>
      </c>
      <c r="AM306" s="269">
        <f>IF(AM$7="Actual","",IFERROR((INDEX($M306:$Q306,,MATCH(AM$4,$M$4:$Q$4,0))),0))</f>
        <v/>
      </c>
      <c r="AN306" s="269">
        <f>IF(AN$7="Actual","",IFERROR((INDEX($M306:$Q306,,MATCH(AN$4,$M$4:$Q$4,0))),0))</f>
        <v/>
      </c>
      <c r="AO306" s="269">
        <f>IF(AO$7="Actual","",IFERROR((INDEX($M306:$Q306,,MATCH(AO$4,$M$4:$Q$4,0))),0))</f>
        <v/>
      </c>
      <c r="AP306" s="269">
        <f>IF(AP$7="Actual","",IFERROR((INDEX($M306:$Q306,,MATCH(AP$4,$M$4:$Q$4,0))),0))</f>
        <v/>
      </c>
      <c r="AQ306" s="269">
        <f>IF(AQ$7="Actual","",IFERROR((INDEX($M306:$Q306,,MATCH(AQ$4,$M$4:$Q$4,0))),0))</f>
        <v/>
      </c>
      <c r="AR306" s="269">
        <f>IF(AR$7="Actual","",IFERROR((INDEX($M306:$Q306,,MATCH(AR$4,$M$4:$Q$4,0))),0))</f>
        <v/>
      </c>
      <c r="AS306" s="269">
        <f>IF(AS$7="Actual","",IFERROR((INDEX($M306:$Q306,,MATCH(AS$4,$M$4:$Q$4,0))),0))</f>
        <v/>
      </c>
      <c r="AT306" s="269">
        <f>IF(AT$7="Actual","",IFERROR((INDEX($M306:$Q306,,MATCH(AT$4,$M$4:$Q$4,0))),0))</f>
        <v/>
      </c>
      <c r="AU306" s="269">
        <f>IF(AU$7="Actual","",IFERROR((INDEX($M306:$Q306,,MATCH(AU$4,$M$4:$Q$4,0))),0))</f>
        <v/>
      </c>
      <c r="AV306" s="269">
        <f>IF(AV$7="Actual","",IFERROR((INDEX($M306:$Q306,,MATCH(AV$4,$M$4:$Q$4,0))),0))</f>
        <v/>
      </c>
      <c r="AW306" s="269">
        <f>IF(AW$7="Actual","",IFERROR((INDEX($M306:$Q306,,MATCH(AW$4,$M$4:$Q$4,0))),0))</f>
        <v/>
      </c>
      <c r="AX306" s="269">
        <f>IF(AX$7="Actual","",IFERROR((INDEX($M306:$Q306,,MATCH(AX$4,$M$4:$Q$4,0))),0))</f>
        <v/>
      </c>
      <c r="AY306" s="269">
        <f>IF(AY$7="Actual","",IFERROR((INDEX($M306:$Q306,,MATCH(AY$4,$M$4:$Q$4,0))),0))</f>
        <v/>
      </c>
      <c r="AZ306" s="269">
        <f>IF(AZ$7="Actual","",IFERROR((INDEX($M306:$Q306,,MATCH(AZ$4,$M$4:$Q$4,0))),0))</f>
        <v/>
      </c>
      <c r="BA306" s="269">
        <f>IF(BA$7="Actual","",IFERROR((INDEX($M306:$Q306,,MATCH(BA$4,$M$4:$Q$4,0))),0))</f>
        <v/>
      </c>
      <c r="BB306" s="269">
        <f>IF(BB$7="Actual","",IFERROR((INDEX($M306:$Q306,,MATCH(BB$4,$M$4:$Q$4,0))),0))</f>
        <v/>
      </c>
      <c r="BC306" s="269">
        <f>IF(BC$7="Actual","",IFERROR((INDEX($M306:$Q306,,MATCH(BC$4,$M$4:$Q$4,0))),0))</f>
        <v/>
      </c>
      <c r="BD306" s="269">
        <f>IF(BD$7="Actual","",IFERROR((INDEX($M306:$Q306,,MATCH(BD$4,$M$4:$Q$4,0))),0))</f>
        <v/>
      </c>
      <c r="BE306" s="269">
        <f>IF(BE$7="Actual","",IFERROR((INDEX($M306:$Q306,,MATCH(BE$4,$M$4:$Q$4,0))),0))</f>
        <v/>
      </c>
      <c r="BF306" s="269">
        <f>IF(BF$7="Actual","",IFERROR((INDEX($M306:$Q306,,MATCH(BF$4,$M$4:$Q$4,0))),0))</f>
        <v/>
      </c>
      <c r="BG306" s="269">
        <f>IF(BG$7="Actual","",IFERROR((INDEX($M306:$Q306,,MATCH(BG$4,$M$4:$Q$4,0))),0))</f>
        <v/>
      </c>
      <c r="BH306" s="269">
        <f>IF(BH$7="Actual","",IFERROR((INDEX($M306:$Q306,,MATCH(BH$4,$M$4:$Q$4,0))),0))</f>
        <v/>
      </c>
      <c r="BI306" s="269">
        <f>IF(BI$7="Actual","",IFERROR((INDEX($M306:$Q306,,MATCH(BI$4,$M$4:$Q$4,0))),0))</f>
        <v/>
      </c>
      <c r="BJ306" s="269">
        <f>IF(BJ$7="Actual","",IFERROR((INDEX($M306:$Q306,,MATCH(BJ$4,$M$4:$Q$4,0))),0))</f>
        <v/>
      </c>
      <c r="BK306" s="269">
        <f>IF(BK$7="Actual","",IFERROR((INDEX($M306:$Q306,,MATCH(BK$4,$M$4:$Q$4,0))),0))</f>
        <v/>
      </c>
      <c r="BL306" s="269">
        <f>IF(BL$7="Actual","",IFERROR((INDEX($M306:$Q306,,MATCH(BL$4,$M$4:$Q$4,0))),0))</f>
        <v/>
      </c>
      <c r="BM306" s="269">
        <f>IF(BM$7="Actual","",IFERROR((INDEX($M306:$Q306,,MATCH(BM$4,$M$4:$Q$4,0))),0))</f>
        <v/>
      </c>
      <c r="BN306" s="269">
        <f>IF(BN$7="Actual","",IFERROR((INDEX($M306:$Q306,,MATCH(BN$4,$M$4:$Q$4,0))),0))</f>
        <v/>
      </c>
      <c r="BO306" s="269">
        <f>IF(BO$7="Actual","",IFERROR((INDEX($M306:$Q306,,MATCH(BO$4,$M$4:$Q$4,0))),0))</f>
        <v/>
      </c>
      <c r="BP306" s="269">
        <f>IF(BP$7="Actual","",IFERROR((INDEX($M306:$Q306,,MATCH(BP$4,$M$4:$Q$4,0))),0))</f>
        <v/>
      </c>
      <c r="BQ306" s="269">
        <f>IF(BQ$7="Actual","",IFERROR((INDEX($M306:$Q306,,MATCH(BQ$4,$M$4:$Q$4,0))),0))</f>
        <v/>
      </c>
      <c r="BR306" s="269">
        <f>IF(BR$7="Actual","",IFERROR((INDEX($M306:$Q306,,MATCH(BR$4,$M$4:$Q$4,0))),0))</f>
        <v/>
      </c>
      <c r="BS306" s="269">
        <f>IF(BS$7="Actual","",IFERROR((INDEX($M306:$Q306,,MATCH(BS$4,$M$4:$Q$4,0))),0))</f>
        <v/>
      </c>
      <c r="BT306" s="269">
        <f>IF(BT$7="Actual","",IFERROR((INDEX($M306:$Q306,,MATCH(BT$4,$M$4:$Q$4,0))),0))</f>
        <v/>
      </c>
      <c r="BU306" s="269">
        <f>IF(BU$7="Actual","",IFERROR((INDEX($M306:$Q306,,MATCH(BU$4,$M$4:$Q$4,0))),0))</f>
        <v/>
      </c>
      <c r="BV306" s="269">
        <f>IF(BV$7="Actual","",IFERROR((INDEX($M306:$Q306,,MATCH(BV$4,$M$4:$Q$4,0))),0))</f>
        <v/>
      </c>
      <c r="BW306" s="269">
        <f>IF(BW$7="Actual","",IFERROR((INDEX($M306:$Q306,,MATCH(BW$4,$M$4:$Q$4,0))),0))</f>
        <v/>
      </c>
      <c r="BX306" s="269">
        <f>IF(BX$7="Actual","",IFERROR((INDEX($M306:$Q306,,MATCH(BX$4,$M$4:$Q$4,0))),0))</f>
        <v/>
      </c>
      <c r="BY306" s="269">
        <f>IF(BY$7="Actual","",IFERROR((INDEX($M306:$Q306,,MATCH(BY$4,$M$4:$Q$4,0))),0))</f>
        <v/>
      </c>
      <c r="BZ306" s="269">
        <f>IF(BZ$7="Actual","",IFERROR((INDEX($M306:$Q306,,MATCH(BZ$4,$M$4:$Q$4,0))),0))</f>
        <v/>
      </c>
      <c r="CA306" s="269">
        <f>IF(CA$7="Actual","",IFERROR((INDEX($M306:$Q306,,MATCH(CA$4,$M$4:$Q$4,0))),0))</f>
        <v/>
      </c>
    </row>
    <row r="307" ht="12" customHeight="1" s="227">
      <c r="A307" s="244" t="n"/>
      <c r="B307" s="244" t="n"/>
      <c r="C307" s="244" t="n"/>
      <c r="K307" s="6" t="n"/>
    </row>
    <row r="308" ht="12" customHeight="1" s="227">
      <c r="A308" s="244" t="n"/>
      <c r="B308" s="244" t="n"/>
      <c r="C308" s="244" t="n"/>
      <c r="H308" s="8">
        <f>i_Setup!U36</f>
        <v/>
      </c>
      <c r="K308" s="6" t="n"/>
    </row>
    <row r="309" ht="12" customHeight="1" s="227">
      <c r="A309" s="244" t="n"/>
      <c r="B309" s="244" t="n"/>
      <c r="C309" s="244" t="n"/>
      <c r="H309" s="4">
        <f>H299</f>
        <v/>
      </c>
      <c r="I309" s="27" t="inlineStr">
        <is>
          <t>no</t>
        </is>
      </c>
      <c r="K309" s="6" t="n"/>
      <c r="M309" s="267">
        <f>IF(M$7="Actual","",i_Assumptions!M247)</f>
        <v/>
      </c>
      <c r="N309" s="267">
        <f>IF(N$7="Actual","",i_Assumptions!N247)</f>
        <v/>
      </c>
      <c r="O309" s="267">
        <f>IF(O$7="Actual","",i_Assumptions!O247)</f>
        <v/>
      </c>
      <c r="P309" s="267">
        <f>IF(P$7="Actual","",i_Assumptions!P247)</f>
        <v/>
      </c>
      <c r="Q309" s="267">
        <f>IF(Q$7="Actual","",i_Assumptions!Q247)</f>
        <v/>
      </c>
      <c r="R309" s="268" t="n"/>
      <c r="S309" s="268" t="n"/>
      <c r="T309" s="269">
        <f>IF(T$7="Actual","",IFERROR((INDEX($M309:$Q309,,MATCH(T$4,$M$4:$Q$4,0))),0))</f>
        <v/>
      </c>
      <c r="U309" s="269">
        <f>IF(U$7="Actual","",IFERROR((INDEX($M309:$Q309,,MATCH(U$4,$M$4:$Q$4,0))),0))</f>
        <v/>
      </c>
      <c r="V309" s="269">
        <f>IF(V$7="Actual","",IFERROR((INDEX($M309:$Q309,,MATCH(V$4,$M$4:$Q$4,0))),0))</f>
        <v/>
      </c>
      <c r="W309" s="269">
        <f>IF(W$7="Actual","",IFERROR((INDEX($M309:$Q309,,MATCH(W$4,$M$4:$Q$4,0))),0))</f>
        <v/>
      </c>
      <c r="X309" s="269">
        <f>IF(X$7="Actual","",IFERROR((INDEX($M309:$Q309,,MATCH(X$4,$M$4:$Q$4,0))),0))</f>
        <v/>
      </c>
      <c r="Y309" s="269">
        <f>IF(Y$7="Actual","",IFERROR((INDEX($M309:$Q309,,MATCH(Y$4,$M$4:$Q$4,0))),0))</f>
        <v/>
      </c>
      <c r="Z309" s="269">
        <f>IF(Z$7="Actual","",IFERROR((INDEX($M309:$Q309,,MATCH(Z$4,$M$4:$Q$4,0))),0))</f>
        <v/>
      </c>
      <c r="AA309" s="269">
        <f>IF(AA$7="Actual","",IFERROR((INDEX($M309:$Q309,,MATCH(AA$4,$M$4:$Q$4,0))),0))</f>
        <v/>
      </c>
      <c r="AB309" s="269">
        <f>IF(AB$7="Actual","",IFERROR((INDEX($M309:$Q309,,MATCH(AB$4,$M$4:$Q$4,0))),0))</f>
        <v/>
      </c>
      <c r="AC309" s="269">
        <f>IF(AC$7="Actual","",IFERROR((INDEX($M309:$Q309,,MATCH(AC$4,$M$4:$Q$4,0))),0))</f>
        <v/>
      </c>
      <c r="AD309" s="269">
        <f>IF(AD$7="Actual","",IFERROR((INDEX($M309:$Q309,,MATCH(AD$4,$M$4:$Q$4,0))),0))</f>
        <v/>
      </c>
      <c r="AE309" s="269">
        <f>IF(AE$7="Actual","",IFERROR((INDEX($M309:$Q309,,MATCH(AE$4,$M$4:$Q$4,0))),0))</f>
        <v/>
      </c>
      <c r="AF309" s="269">
        <f>IF(AF$7="Actual","",IFERROR((INDEX($M309:$Q309,,MATCH(AF$4,$M$4:$Q$4,0))),0))</f>
        <v/>
      </c>
      <c r="AG309" s="269">
        <f>IF(AG$7="Actual","",IFERROR((INDEX($M309:$Q309,,MATCH(AG$4,$M$4:$Q$4,0))),0))</f>
        <v/>
      </c>
      <c r="AH309" s="269">
        <f>IF(AH$7="Actual","",IFERROR((INDEX($M309:$Q309,,MATCH(AH$4,$M$4:$Q$4,0))),0))</f>
        <v/>
      </c>
      <c r="AI309" s="269">
        <f>IF(AI$7="Actual","",IFERROR((INDEX($M309:$Q309,,MATCH(AI$4,$M$4:$Q$4,0))),0))</f>
        <v/>
      </c>
      <c r="AJ309" s="269">
        <f>IF(AJ$7="Actual","",IFERROR((INDEX($M309:$Q309,,MATCH(AJ$4,$M$4:$Q$4,0))),0))</f>
        <v/>
      </c>
      <c r="AK309" s="269">
        <f>IF(AK$7="Actual","",IFERROR((INDEX($M309:$Q309,,MATCH(AK$4,$M$4:$Q$4,0))),0))</f>
        <v/>
      </c>
      <c r="AL309" s="269">
        <f>IF(AL$7="Actual","",IFERROR((INDEX($M309:$Q309,,MATCH(AL$4,$M$4:$Q$4,0))),0))</f>
        <v/>
      </c>
      <c r="AM309" s="269">
        <f>IF(AM$7="Actual","",IFERROR((INDEX($M309:$Q309,,MATCH(AM$4,$M$4:$Q$4,0))),0))</f>
        <v/>
      </c>
      <c r="AN309" s="269">
        <f>IF(AN$7="Actual","",IFERROR((INDEX($M309:$Q309,,MATCH(AN$4,$M$4:$Q$4,0))),0))</f>
        <v/>
      </c>
      <c r="AO309" s="269">
        <f>IF(AO$7="Actual","",IFERROR((INDEX($M309:$Q309,,MATCH(AO$4,$M$4:$Q$4,0))),0))</f>
        <v/>
      </c>
      <c r="AP309" s="269">
        <f>IF(AP$7="Actual","",IFERROR((INDEX($M309:$Q309,,MATCH(AP$4,$M$4:$Q$4,0))),0))</f>
        <v/>
      </c>
      <c r="AQ309" s="269">
        <f>IF(AQ$7="Actual","",IFERROR((INDEX($M309:$Q309,,MATCH(AQ$4,$M$4:$Q$4,0))),0))</f>
        <v/>
      </c>
      <c r="AR309" s="269">
        <f>IF(AR$7="Actual","",IFERROR((INDEX($M309:$Q309,,MATCH(AR$4,$M$4:$Q$4,0))),0))</f>
        <v/>
      </c>
      <c r="AS309" s="269">
        <f>IF(AS$7="Actual","",IFERROR((INDEX($M309:$Q309,,MATCH(AS$4,$M$4:$Q$4,0))),0))</f>
        <v/>
      </c>
      <c r="AT309" s="269">
        <f>IF(AT$7="Actual","",IFERROR((INDEX($M309:$Q309,,MATCH(AT$4,$M$4:$Q$4,0))),0))</f>
        <v/>
      </c>
      <c r="AU309" s="269">
        <f>IF(AU$7="Actual","",IFERROR((INDEX($M309:$Q309,,MATCH(AU$4,$M$4:$Q$4,0))),0))</f>
        <v/>
      </c>
      <c r="AV309" s="269">
        <f>IF(AV$7="Actual","",IFERROR((INDEX($M309:$Q309,,MATCH(AV$4,$M$4:$Q$4,0))),0))</f>
        <v/>
      </c>
      <c r="AW309" s="269">
        <f>IF(AW$7="Actual","",IFERROR((INDEX($M309:$Q309,,MATCH(AW$4,$M$4:$Q$4,0))),0))</f>
        <v/>
      </c>
      <c r="AX309" s="269">
        <f>IF(AX$7="Actual","",IFERROR((INDEX($M309:$Q309,,MATCH(AX$4,$M$4:$Q$4,0))),0))</f>
        <v/>
      </c>
      <c r="AY309" s="269">
        <f>IF(AY$7="Actual","",IFERROR((INDEX($M309:$Q309,,MATCH(AY$4,$M$4:$Q$4,0))),0))</f>
        <v/>
      </c>
      <c r="AZ309" s="269">
        <f>IF(AZ$7="Actual","",IFERROR((INDEX($M309:$Q309,,MATCH(AZ$4,$M$4:$Q$4,0))),0))</f>
        <v/>
      </c>
      <c r="BA309" s="269">
        <f>IF(BA$7="Actual","",IFERROR((INDEX($M309:$Q309,,MATCH(BA$4,$M$4:$Q$4,0))),0))</f>
        <v/>
      </c>
      <c r="BB309" s="269">
        <f>IF(BB$7="Actual","",IFERROR((INDEX($M309:$Q309,,MATCH(BB$4,$M$4:$Q$4,0))),0))</f>
        <v/>
      </c>
      <c r="BC309" s="269">
        <f>IF(BC$7="Actual","",IFERROR((INDEX($M309:$Q309,,MATCH(BC$4,$M$4:$Q$4,0))),0))</f>
        <v/>
      </c>
      <c r="BD309" s="269">
        <f>IF(BD$7="Actual","",IFERROR((INDEX($M309:$Q309,,MATCH(BD$4,$M$4:$Q$4,0))),0))</f>
        <v/>
      </c>
      <c r="BE309" s="269">
        <f>IF(BE$7="Actual","",IFERROR((INDEX($M309:$Q309,,MATCH(BE$4,$M$4:$Q$4,0))),0))</f>
        <v/>
      </c>
      <c r="BF309" s="269">
        <f>IF(BF$7="Actual","",IFERROR((INDEX($M309:$Q309,,MATCH(BF$4,$M$4:$Q$4,0))),0))</f>
        <v/>
      </c>
      <c r="BG309" s="269">
        <f>IF(BG$7="Actual","",IFERROR((INDEX($M309:$Q309,,MATCH(BG$4,$M$4:$Q$4,0))),0))</f>
        <v/>
      </c>
      <c r="BH309" s="269">
        <f>IF(BH$7="Actual","",IFERROR((INDEX($M309:$Q309,,MATCH(BH$4,$M$4:$Q$4,0))),0))</f>
        <v/>
      </c>
      <c r="BI309" s="269">
        <f>IF(BI$7="Actual","",IFERROR((INDEX($M309:$Q309,,MATCH(BI$4,$M$4:$Q$4,0))),0))</f>
        <v/>
      </c>
      <c r="BJ309" s="269">
        <f>IF(BJ$7="Actual","",IFERROR((INDEX($M309:$Q309,,MATCH(BJ$4,$M$4:$Q$4,0))),0))</f>
        <v/>
      </c>
      <c r="BK309" s="269">
        <f>IF(BK$7="Actual","",IFERROR((INDEX($M309:$Q309,,MATCH(BK$4,$M$4:$Q$4,0))),0))</f>
        <v/>
      </c>
      <c r="BL309" s="269">
        <f>IF(BL$7="Actual","",IFERROR((INDEX($M309:$Q309,,MATCH(BL$4,$M$4:$Q$4,0))),0))</f>
        <v/>
      </c>
      <c r="BM309" s="269">
        <f>IF(BM$7="Actual","",IFERROR((INDEX($M309:$Q309,,MATCH(BM$4,$M$4:$Q$4,0))),0))</f>
        <v/>
      </c>
      <c r="BN309" s="269">
        <f>IF(BN$7="Actual","",IFERROR((INDEX($M309:$Q309,,MATCH(BN$4,$M$4:$Q$4,0))),0))</f>
        <v/>
      </c>
      <c r="BO309" s="269">
        <f>IF(BO$7="Actual","",IFERROR((INDEX($M309:$Q309,,MATCH(BO$4,$M$4:$Q$4,0))),0))</f>
        <v/>
      </c>
      <c r="BP309" s="269">
        <f>IF(BP$7="Actual","",IFERROR((INDEX($M309:$Q309,,MATCH(BP$4,$M$4:$Q$4,0))),0))</f>
        <v/>
      </c>
      <c r="BQ309" s="269">
        <f>IF(BQ$7="Actual","",IFERROR((INDEX($M309:$Q309,,MATCH(BQ$4,$M$4:$Q$4,0))),0))</f>
        <v/>
      </c>
      <c r="BR309" s="269">
        <f>IF(BR$7="Actual","",IFERROR((INDEX($M309:$Q309,,MATCH(BR$4,$M$4:$Q$4,0))),0))</f>
        <v/>
      </c>
      <c r="BS309" s="269">
        <f>IF(BS$7="Actual","",IFERROR((INDEX($M309:$Q309,,MATCH(BS$4,$M$4:$Q$4,0))),0))</f>
        <v/>
      </c>
      <c r="BT309" s="269">
        <f>IF(BT$7="Actual","",IFERROR((INDEX($M309:$Q309,,MATCH(BT$4,$M$4:$Q$4,0))),0))</f>
        <v/>
      </c>
      <c r="BU309" s="269">
        <f>IF(BU$7="Actual","",IFERROR((INDEX($M309:$Q309,,MATCH(BU$4,$M$4:$Q$4,0))),0))</f>
        <v/>
      </c>
      <c r="BV309" s="269">
        <f>IF(BV$7="Actual","",IFERROR((INDEX($M309:$Q309,,MATCH(BV$4,$M$4:$Q$4,0))),0))</f>
        <v/>
      </c>
      <c r="BW309" s="269">
        <f>IF(BW$7="Actual","",IFERROR((INDEX($M309:$Q309,,MATCH(BW$4,$M$4:$Q$4,0))),0))</f>
        <v/>
      </c>
      <c r="BX309" s="269">
        <f>IF(BX$7="Actual","",IFERROR((INDEX($M309:$Q309,,MATCH(BX$4,$M$4:$Q$4,0))),0))</f>
        <v/>
      </c>
      <c r="BY309" s="269">
        <f>IF(BY$7="Actual","",IFERROR((INDEX($M309:$Q309,,MATCH(BY$4,$M$4:$Q$4,0))),0))</f>
        <v/>
      </c>
      <c r="BZ309" s="269">
        <f>IF(BZ$7="Actual","",IFERROR((INDEX($M309:$Q309,,MATCH(BZ$4,$M$4:$Q$4,0))),0))</f>
        <v/>
      </c>
      <c r="CA309" s="269">
        <f>IF(CA$7="Actual","",IFERROR((INDEX($M309:$Q309,,MATCH(CA$4,$M$4:$Q$4,0))),0))</f>
        <v/>
      </c>
    </row>
    <row r="310" ht="12" customHeight="1" s="227">
      <c r="A310" s="244" t="n"/>
      <c r="B310" s="244" t="n"/>
      <c r="C310" s="244" t="n"/>
      <c r="H310" s="4">
        <f>H300</f>
        <v/>
      </c>
      <c r="I310" s="27" t="inlineStr">
        <is>
          <t>no</t>
        </is>
      </c>
      <c r="K310" s="6" t="n"/>
      <c r="M310" s="267">
        <f>IF(M$7="Actual","",i_Assumptions!M248)</f>
        <v/>
      </c>
      <c r="N310" s="267">
        <f>IF(N$7="Actual","",i_Assumptions!N248)</f>
        <v/>
      </c>
      <c r="O310" s="267">
        <f>IF(O$7="Actual","",i_Assumptions!O248)</f>
        <v/>
      </c>
      <c r="P310" s="267">
        <f>IF(P$7="Actual","",i_Assumptions!P248)</f>
        <v/>
      </c>
      <c r="Q310" s="267">
        <f>IF(Q$7="Actual","",i_Assumptions!Q248)</f>
        <v/>
      </c>
      <c r="R310" s="268" t="n"/>
      <c r="S310" s="268" t="n"/>
      <c r="T310" s="269">
        <f>IF(T$7="Actual","",IFERROR((INDEX($M310:$Q310,,MATCH(T$4,$M$4:$Q$4,0))),0))</f>
        <v/>
      </c>
      <c r="U310" s="269">
        <f>IF(U$7="Actual","",IFERROR((INDEX($M310:$Q310,,MATCH(U$4,$M$4:$Q$4,0))),0))</f>
        <v/>
      </c>
      <c r="V310" s="269">
        <f>IF(V$7="Actual","",IFERROR((INDEX($M310:$Q310,,MATCH(V$4,$M$4:$Q$4,0))),0))</f>
        <v/>
      </c>
      <c r="W310" s="269">
        <f>IF(W$7="Actual","",IFERROR((INDEX($M310:$Q310,,MATCH(W$4,$M$4:$Q$4,0))),0))</f>
        <v/>
      </c>
      <c r="X310" s="269">
        <f>IF(X$7="Actual","",IFERROR((INDEX($M310:$Q310,,MATCH(X$4,$M$4:$Q$4,0))),0))</f>
        <v/>
      </c>
      <c r="Y310" s="269">
        <f>IF(Y$7="Actual","",IFERROR((INDEX($M310:$Q310,,MATCH(Y$4,$M$4:$Q$4,0))),0))</f>
        <v/>
      </c>
      <c r="Z310" s="269">
        <f>IF(Z$7="Actual","",IFERROR((INDEX($M310:$Q310,,MATCH(Z$4,$M$4:$Q$4,0))),0))</f>
        <v/>
      </c>
      <c r="AA310" s="269">
        <f>IF(AA$7="Actual","",IFERROR((INDEX($M310:$Q310,,MATCH(AA$4,$M$4:$Q$4,0))),0))</f>
        <v/>
      </c>
      <c r="AB310" s="269">
        <f>IF(AB$7="Actual","",IFERROR((INDEX($M310:$Q310,,MATCH(AB$4,$M$4:$Q$4,0))),0))</f>
        <v/>
      </c>
      <c r="AC310" s="269">
        <f>IF(AC$7="Actual","",IFERROR((INDEX($M310:$Q310,,MATCH(AC$4,$M$4:$Q$4,0))),0))</f>
        <v/>
      </c>
      <c r="AD310" s="269">
        <f>IF(AD$7="Actual","",IFERROR((INDEX($M310:$Q310,,MATCH(AD$4,$M$4:$Q$4,0))),0))</f>
        <v/>
      </c>
      <c r="AE310" s="269">
        <f>IF(AE$7="Actual","",IFERROR((INDEX($M310:$Q310,,MATCH(AE$4,$M$4:$Q$4,0))),0))</f>
        <v/>
      </c>
      <c r="AF310" s="269">
        <f>IF(AF$7="Actual","",IFERROR((INDEX($M310:$Q310,,MATCH(AF$4,$M$4:$Q$4,0))),0))</f>
        <v/>
      </c>
      <c r="AG310" s="269">
        <f>IF(AG$7="Actual","",IFERROR((INDEX($M310:$Q310,,MATCH(AG$4,$M$4:$Q$4,0))),0))</f>
        <v/>
      </c>
      <c r="AH310" s="269">
        <f>IF(AH$7="Actual","",IFERROR((INDEX($M310:$Q310,,MATCH(AH$4,$M$4:$Q$4,0))),0))</f>
        <v/>
      </c>
      <c r="AI310" s="269">
        <f>IF(AI$7="Actual","",IFERROR((INDEX($M310:$Q310,,MATCH(AI$4,$M$4:$Q$4,0))),0))</f>
        <v/>
      </c>
      <c r="AJ310" s="269">
        <f>IF(AJ$7="Actual","",IFERROR((INDEX($M310:$Q310,,MATCH(AJ$4,$M$4:$Q$4,0))),0))</f>
        <v/>
      </c>
      <c r="AK310" s="269">
        <f>IF(AK$7="Actual","",IFERROR((INDEX($M310:$Q310,,MATCH(AK$4,$M$4:$Q$4,0))),0))</f>
        <v/>
      </c>
      <c r="AL310" s="269">
        <f>IF(AL$7="Actual","",IFERROR((INDEX($M310:$Q310,,MATCH(AL$4,$M$4:$Q$4,0))),0))</f>
        <v/>
      </c>
      <c r="AM310" s="269">
        <f>IF(AM$7="Actual","",IFERROR((INDEX($M310:$Q310,,MATCH(AM$4,$M$4:$Q$4,0))),0))</f>
        <v/>
      </c>
      <c r="AN310" s="269">
        <f>IF(AN$7="Actual","",IFERROR((INDEX($M310:$Q310,,MATCH(AN$4,$M$4:$Q$4,0))),0))</f>
        <v/>
      </c>
      <c r="AO310" s="269">
        <f>IF(AO$7="Actual","",IFERROR((INDEX($M310:$Q310,,MATCH(AO$4,$M$4:$Q$4,0))),0))</f>
        <v/>
      </c>
      <c r="AP310" s="269">
        <f>IF(AP$7="Actual","",IFERROR((INDEX($M310:$Q310,,MATCH(AP$4,$M$4:$Q$4,0))),0))</f>
        <v/>
      </c>
      <c r="AQ310" s="269">
        <f>IF(AQ$7="Actual","",IFERROR((INDEX($M310:$Q310,,MATCH(AQ$4,$M$4:$Q$4,0))),0))</f>
        <v/>
      </c>
      <c r="AR310" s="269">
        <f>IF(AR$7="Actual","",IFERROR((INDEX($M310:$Q310,,MATCH(AR$4,$M$4:$Q$4,0))),0))</f>
        <v/>
      </c>
      <c r="AS310" s="269">
        <f>IF(AS$7="Actual","",IFERROR((INDEX($M310:$Q310,,MATCH(AS$4,$M$4:$Q$4,0))),0))</f>
        <v/>
      </c>
      <c r="AT310" s="269">
        <f>IF(AT$7="Actual","",IFERROR((INDEX($M310:$Q310,,MATCH(AT$4,$M$4:$Q$4,0))),0))</f>
        <v/>
      </c>
      <c r="AU310" s="269">
        <f>IF(AU$7="Actual","",IFERROR((INDEX($M310:$Q310,,MATCH(AU$4,$M$4:$Q$4,0))),0))</f>
        <v/>
      </c>
      <c r="AV310" s="269">
        <f>IF(AV$7="Actual","",IFERROR((INDEX($M310:$Q310,,MATCH(AV$4,$M$4:$Q$4,0))),0))</f>
        <v/>
      </c>
      <c r="AW310" s="269">
        <f>IF(AW$7="Actual","",IFERROR((INDEX($M310:$Q310,,MATCH(AW$4,$M$4:$Q$4,0))),0))</f>
        <v/>
      </c>
      <c r="AX310" s="269">
        <f>IF(AX$7="Actual","",IFERROR((INDEX($M310:$Q310,,MATCH(AX$4,$M$4:$Q$4,0))),0))</f>
        <v/>
      </c>
      <c r="AY310" s="269">
        <f>IF(AY$7="Actual","",IFERROR((INDEX($M310:$Q310,,MATCH(AY$4,$M$4:$Q$4,0))),0))</f>
        <v/>
      </c>
      <c r="AZ310" s="269">
        <f>IF(AZ$7="Actual","",IFERROR((INDEX($M310:$Q310,,MATCH(AZ$4,$M$4:$Q$4,0))),0))</f>
        <v/>
      </c>
      <c r="BA310" s="269">
        <f>IF(BA$7="Actual","",IFERROR((INDEX($M310:$Q310,,MATCH(BA$4,$M$4:$Q$4,0))),0))</f>
        <v/>
      </c>
      <c r="BB310" s="269">
        <f>IF(BB$7="Actual","",IFERROR((INDEX($M310:$Q310,,MATCH(BB$4,$M$4:$Q$4,0))),0))</f>
        <v/>
      </c>
      <c r="BC310" s="269">
        <f>IF(BC$7="Actual","",IFERROR((INDEX($M310:$Q310,,MATCH(BC$4,$M$4:$Q$4,0))),0))</f>
        <v/>
      </c>
      <c r="BD310" s="269">
        <f>IF(BD$7="Actual","",IFERROR((INDEX($M310:$Q310,,MATCH(BD$4,$M$4:$Q$4,0))),0))</f>
        <v/>
      </c>
      <c r="BE310" s="269">
        <f>IF(BE$7="Actual","",IFERROR((INDEX($M310:$Q310,,MATCH(BE$4,$M$4:$Q$4,0))),0))</f>
        <v/>
      </c>
      <c r="BF310" s="269">
        <f>IF(BF$7="Actual","",IFERROR((INDEX($M310:$Q310,,MATCH(BF$4,$M$4:$Q$4,0))),0))</f>
        <v/>
      </c>
      <c r="BG310" s="269">
        <f>IF(BG$7="Actual","",IFERROR((INDEX($M310:$Q310,,MATCH(BG$4,$M$4:$Q$4,0))),0))</f>
        <v/>
      </c>
      <c r="BH310" s="269">
        <f>IF(BH$7="Actual","",IFERROR((INDEX($M310:$Q310,,MATCH(BH$4,$M$4:$Q$4,0))),0))</f>
        <v/>
      </c>
      <c r="BI310" s="269">
        <f>IF(BI$7="Actual","",IFERROR((INDEX($M310:$Q310,,MATCH(BI$4,$M$4:$Q$4,0))),0))</f>
        <v/>
      </c>
      <c r="BJ310" s="269">
        <f>IF(BJ$7="Actual","",IFERROR((INDEX($M310:$Q310,,MATCH(BJ$4,$M$4:$Q$4,0))),0))</f>
        <v/>
      </c>
      <c r="BK310" s="269">
        <f>IF(BK$7="Actual","",IFERROR((INDEX($M310:$Q310,,MATCH(BK$4,$M$4:$Q$4,0))),0))</f>
        <v/>
      </c>
      <c r="BL310" s="269">
        <f>IF(BL$7="Actual","",IFERROR((INDEX($M310:$Q310,,MATCH(BL$4,$M$4:$Q$4,0))),0))</f>
        <v/>
      </c>
      <c r="BM310" s="269">
        <f>IF(BM$7="Actual","",IFERROR((INDEX($M310:$Q310,,MATCH(BM$4,$M$4:$Q$4,0))),0))</f>
        <v/>
      </c>
      <c r="BN310" s="269">
        <f>IF(BN$7="Actual","",IFERROR((INDEX($M310:$Q310,,MATCH(BN$4,$M$4:$Q$4,0))),0))</f>
        <v/>
      </c>
      <c r="BO310" s="269">
        <f>IF(BO$7="Actual","",IFERROR((INDEX($M310:$Q310,,MATCH(BO$4,$M$4:$Q$4,0))),0))</f>
        <v/>
      </c>
      <c r="BP310" s="269">
        <f>IF(BP$7="Actual","",IFERROR((INDEX($M310:$Q310,,MATCH(BP$4,$M$4:$Q$4,0))),0))</f>
        <v/>
      </c>
      <c r="BQ310" s="269">
        <f>IF(BQ$7="Actual","",IFERROR((INDEX($M310:$Q310,,MATCH(BQ$4,$M$4:$Q$4,0))),0))</f>
        <v/>
      </c>
      <c r="BR310" s="269">
        <f>IF(BR$7="Actual","",IFERROR((INDEX($M310:$Q310,,MATCH(BR$4,$M$4:$Q$4,0))),0))</f>
        <v/>
      </c>
      <c r="BS310" s="269">
        <f>IF(BS$7="Actual","",IFERROR((INDEX($M310:$Q310,,MATCH(BS$4,$M$4:$Q$4,0))),0))</f>
        <v/>
      </c>
      <c r="BT310" s="269">
        <f>IF(BT$7="Actual","",IFERROR((INDEX($M310:$Q310,,MATCH(BT$4,$M$4:$Q$4,0))),0))</f>
        <v/>
      </c>
      <c r="BU310" s="269">
        <f>IF(BU$7="Actual","",IFERROR((INDEX($M310:$Q310,,MATCH(BU$4,$M$4:$Q$4,0))),0))</f>
        <v/>
      </c>
      <c r="BV310" s="269">
        <f>IF(BV$7="Actual","",IFERROR((INDEX($M310:$Q310,,MATCH(BV$4,$M$4:$Q$4,0))),0))</f>
        <v/>
      </c>
      <c r="BW310" s="269">
        <f>IF(BW$7="Actual","",IFERROR((INDEX($M310:$Q310,,MATCH(BW$4,$M$4:$Q$4,0))),0))</f>
        <v/>
      </c>
      <c r="BX310" s="269">
        <f>IF(BX$7="Actual","",IFERROR((INDEX($M310:$Q310,,MATCH(BX$4,$M$4:$Q$4,0))),0))</f>
        <v/>
      </c>
      <c r="BY310" s="269">
        <f>IF(BY$7="Actual","",IFERROR((INDEX($M310:$Q310,,MATCH(BY$4,$M$4:$Q$4,0))),0))</f>
        <v/>
      </c>
      <c r="BZ310" s="269">
        <f>IF(BZ$7="Actual","",IFERROR((INDEX($M310:$Q310,,MATCH(BZ$4,$M$4:$Q$4,0))),0))</f>
        <v/>
      </c>
      <c r="CA310" s="269">
        <f>IF(CA$7="Actual","",IFERROR((INDEX($M310:$Q310,,MATCH(CA$4,$M$4:$Q$4,0))),0))</f>
        <v/>
      </c>
    </row>
    <row r="311" ht="12" customHeight="1" s="227">
      <c r="A311" s="244" t="n"/>
      <c r="B311" s="244" t="n"/>
      <c r="C311" s="244" t="n"/>
      <c r="H311" s="4">
        <f>H301</f>
        <v/>
      </c>
      <c r="I311" s="27" t="inlineStr">
        <is>
          <t>no</t>
        </is>
      </c>
      <c r="K311" s="6" t="n"/>
      <c r="M311" s="267">
        <f>IF(M$7="Actual","",i_Assumptions!M249)</f>
        <v/>
      </c>
      <c r="N311" s="267">
        <f>IF(N$7="Actual","",i_Assumptions!N249)</f>
        <v/>
      </c>
      <c r="O311" s="267">
        <f>IF(O$7="Actual","",i_Assumptions!O249)</f>
        <v/>
      </c>
      <c r="P311" s="267">
        <f>IF(P$7="Actual","",i_Assumptions!P249)</f>
        <v/>
      </c>
      <c r="Q311" s="267">
        <f>IF(Q$7="Actual","",i_Assumptions!Q249)</f>
        <v/>
      </c>
      <c r="R311" s="268" t="n"/>
      <c r="S311" s="268" t="n"/>
      <c r="T311" s="269">
        <f>IF(T$7="Actual","",IFERROR((INDEX($M311:$Q311,,MATCH(T$4,$M$4:$Q$4,0))),0))</f>
        <v/>
      </c>
      <c r="U311" s="269">
        <f>IF(U$7="Actual","",IFERROR((INDEX($M311:$Q311,,MATCH(U$4,$M$4:$Q$4,0))),0))</f>
        <v/>
      </c>
      <c r="V311" s="269">
        <f>IF(V$7="Actual","",IFERROR((INDEX($M311:$Q311,,MATCH(V$4,$M$4:$Q$4,0))),0))</f>
        <v/>
      </c>
      <c r="W311" s="269">
        <f>IF(W$7="Actual","",IFERROR((INDEX($M311:$Q311,,MATCH(W$4,$M$4:$Q$4,0))),0))</f>
        <v/>
      </c>
      <c r="X311" s="269">
        <f>IF(X$7="Actual","",IFERROR((INDEX($M311:$Q311,,MATCH(X$4,$M$4:$Q$4,0))),0))</f>
        <v/>
      </c>
      <c r="Y311" s="269">
        <f>IF(Y$7="Actual","",IFERROR((INDEX($M311:$Q311,,MATCH(Y$4,$M$4:$Q$4,0))),0))</f>
        <v/>
      </c>
      <c r="Z311" s="269">
        <f>IF(Z$7="Actual","",IFERROR((INDEX($M311:$Q311,,MATCH(Z$4,$M$4:$Q$4,0))),0))</f>
        <v/>
      </c>
      <c r="AA311" s="269">
        <f>IF(AA$7="Actual","",IFERROR((INDEX($M311:$Q311,,MATCH(AA$4,$M$4:$Q$4,0))),0))</f>
        <v/>
      </c>
      <c r="AB311" s="269">
        <f>IF(AB$7="Actual","",IFERROR((INDEX($M311:$Q311,,MATCH(AB$4,$M$4:$Q$4,0))),0))</f>
        <v/>
      </c>
      <c r="AC311" s="269">
        <f>IF(AC$7="Actual","",IFERROR((INDEX($M311:$Q311,,MATCH(AC$4,$M$4:$Q$4,0))),0))</f>
        <v/>
      </c>
      <c r="AD311" s="269">
        <f>IF(AD$7="Actual","",IFERROR((INDEX($M311:$Q311,,MATCH(AD$4,$M$4:$Q$4,0))),0))</f>
        <v/>
      </c>
      <c r="AE311" s="269">
        <f>IF(AE$7="Actual","",IFERROR((INDEX($M311:$Q311,,MATCH(AE$4,$M$4:$Q$4,0))),0))</f>
        <v/>
      </c>
      <c r="AF311" s="269">
        <f>IF(AF$7="Actual","",IFERROR((INDEX($M311:$Q311,,MATCH(AF$4,$M$4:$Q$4,0))),0))</f>
        <v/>
      </c>
      <c r="AG311" s="269">
        <f>IF(AG$7="Actual","",IFERROR((INDEX($M311:$Q311,,MATCH(AG$4,$M$4:$Q$4,0))),0))</f>
        <v/>
      </c>
      <c r="AH311" s="269">
        <f>IF(AH$7="Actual","",IFERROR((INDEX($M311:$Q311,,MATCH(AH$4,$M$4:$Q$4,0))),0))</f>
        <v/>
      </c>
      <c r="AI311" s="269">
        <f>IF(AI$7="Actual","",IFERROR((INDEX($M311:$Q311,,MATCH(AI$4,$M$4:$Q$4,0))),0))</f>
        <v/>
      </c>
      <c r="AJ311" s="269">
        <f>IF(AJ$7="Actual","",IFERROR((INDEX($M311:$Q311,,MATCH(AJ$4,$M$4:$Q$4,0))),0))</f>
        <v/>
      </c>
      <c r="AK311" s="269">
        <f>IF(AK$7="Actual","",IFERROR((INDEX($M311:$Q311,,MATCH(AK$4,$M$4:$Q$4,0))),0))</f>
        <v/>
      </c>
      <c r="AL311" s="269">
        <f>IF(AL$7="Actual","",IFERROR((INDEX($M311:$Q311,,MATCH(AL$4,$M$4:$Q$4,0))),0))</f>
        <v/>
      </c>
      <c r="AM311" s="269">
        <f>IF(AM$7="Actual","",IFERROR((INDEX($M311:$Q311,,MATCH(AM$4,$M$4:$Q$4,0))),0))</f>
        <v/>
      </c>
      <c r="AN311" s="269">
        <f>IF(AN$7="Actual","",IFERROR((INDEX($M311:$Q311,,MATCH(AN$4,$M$4:$Q$4,0))),0))</f>
        <v/>
      </c>
      <c r="AO311" s="269">
        <f>IF(AO$7="Actual","",IFERROR((INDEX($M311:$Q311,,MATCH(AO$4,$M$4:$Q$4,0))),0))</f>
        <v/>
      </c>
      <c r="AP311" s="269">
        <f>IF(AP$7="Actual","",IFERROR((INDEX($M311:$Q311,,MATCH(AP$4,$M$4:$Q$4,0))),0))</f>
        <v/>
      </c>
      <c r="AQ311" s="269">
        <f>IF(AQ$7="Actual","",IFERROR((INDEX($M311:$Q311,,MATCH(AQ$4,$M$4:$Q$4,0))),0))</f>
        <v/>
      </c>
      <c r="AR311" s="269">
        <f>IF(AR$7="Actual","",IFERROR((INDEX($M311:$Q311,,MATCH(AR$4,$M$4:$Q$4,0))),0))</f>
        <v/>
      </c>
      <c r="AS311" s="269">
        <f>IF(AS$7="Actual","",IFERROR((INDEX($M311:$Q311,,MATCH(AS$4,$M$4:$Q$4,0))),0))</f>
        <v/>
      </c>
      <c r="AT311" s="269">
        <f>IF(AT$7="Actual","",IFERROR((INDEX($M311:$Q311,,MATCH(AT$4,$M$4:$Q$4,0))),0))</f>
        <v/>
      </c>
      <c r="AU311" s="269">
        <f>IF(AU$7="Actual","",IFERROR((INDEX($M311:$Q311,,MATCH(AU$4,$M$4:$Q$4,0))),0))</f>
        <v/>
      </c>
      <c r="AV311" s="269">
        <f>IF(AV$7="Actual","",IFERROR((INDEX($M311:$Q311,,MATCH(AV$4,$M$4:$Q$4,0))),0))</f>
        <v/>
      </c>
      <c r="AW311" s="269">
        <f>IF(AW$7="Actual","",IFERROR((INDEX($M311:$Q311,,MATCH(AW$4,$M$4:$Q$4,0))),0))</f>
        <v/>
      </c>
      <c r="AX311" s="269">
        <f>IF(AX$7="Actual","",IFERROR((INDEX($M311:$Q311,,MATCH(AX$4,$M$4:$Q$4,0))),0))</f>
        <v/>
      </c>
      <c r="AY311" s="269">
        <f>IF(AY$7="Actual","",IFERROR((INDEX($M311:$Q311,,MATCH(AY$4,$M$4:$Q$4,0))),0))</f>
        <v/>
      </c>
      <c r="AZ311" s="269">
        <f>IF(AZ$7="Actual","",IFERROR((INDEX($M311:$Q311,,MATCH(AZ$4,$M$4:$Q$4,0))),0))</f>
        <v/>
      </c>
      <c r="BA311" s="269">
        <f>IF(BA$7="Actual","",IFERROR((INDEX($M311:$Q311,,MATCH(BA$4,$M$4:$Q$4,0))),0))</f>
        <v/>
      </c>
      <c r="BB311" s="269">
        <f>IF(BB$7="Actual","",IFERROR((INDEX($M311:$Q311,,MATCH(BB$4,$M$4:$Q$4,0))),0))</f>
        <v/>
      </c>
      <c r="BC311" s="269">
        <f>IF(BC$7="Actual","",IFERROR((INDEX($M311:$Q311,,MATCH(BC$4,$M$4:$Q$4,0))),0))</f>
        <v/>
      </c>
      <c r="BD311" s="269">
        <f>IF(BD$7="Actual","",IFERROR((INDEX($M311:$Q311,,MATCH(BD$4,$M$4:$Q$4,0))),0))</f>
        <v/>
      </c>
      <c r="BE311" s="269">
        <f>IF(BE$7="Actual","",IFERROR((INDEX($M311:$Q311,,MATCH(BE$4,$M$4:$Q$4,0))),0))</f>
        <v/>
      </c>
      <c r="BF311" s="269">
        <f>IF(BF$7="Actual","",IFERROR((INDEX($M311:$Q311,,MATCH(BF$4,$M$4:$Q$4,0))),0))</f>
        <v/>
      </c>
      <c r="BG311" s="269">
        <f>IF(BG$7="Actual","",IFERROR((INDEX($M311:$Q311,,MATCH(BG$4,$M$4:$Q$4,0))),0))</f>
        <v/>
      </c>
      <c r="BH311" s="269">
        <f>IF(BH$7="Actual","",IFERROR((INDEX($M311:$Q311,,MATCH(BH$4,$M$4:$Q$4,0))),0))</f>
        <v/>
      </c>
      <c r="BI311" s="269">
        <f>IF(BI$7="Actual","",IFERROR((INDEX($M311:$Q311,,MATCH(BI$4,$M$4:$Q$4,0))),0))</f>
        <v/>
      </c>
      <c r="BJ311" s="269">
        <f>IF(BJ$7="Actual","",IFERROR((INDEX($M311:$Q311,,MATCH(BJ$4,$M$4:$Q$4,0))),0))</f>
        <v/>
      </c>
      <c r="BK311" s="269">
        <f>IF(BK$7="Actual","",IFERROR((INDEX($M311:$Q311,,MATCH(BK$4,$M$4:$Q$4,0))),0))</f>
        <v/>
      </c>
      <c r="BL311" s="269">
        <f>IF(BL$7="Actual","",IFERROR((INDEX($M311:$Q311,,MATCH(BL$4,$M$4:$Q$4,0))),0))</f>
        <v/>
      </c>
      <c r="BM311" s="269">
        <f>IF(BM$7="Actual","",IFERROR((INDEX($M311:$Q311,,MATCH(BM$4,$M$4:$Q$4,0))),0))</f>
        <v/>
      </c>
      <c r="BN311" s="269">
        <f>IF(BN$7="Actual","",IFERROR((INDEX($M311:$Q311,,MATCH(BN$4,$M$4:$Q$4,0))),0))</f>
        <v/>
      </c>
      <c r="BO311" s="269">
        <f>IF(BO$7="Actual","",IFERROR((INDEX($M311:$Q311,,MATCH(BO$4,$M$4:$Q$4,0))),0))</f>
        <v/>
      </c>
      <c r="BP311" s="269">
        <f>IF(BP$7="Actual","",IFERROR((INDEX($M311:$Q311,,MATCH(BP$4,$M$4:$Q$4,0))),0))</f>
        <v/>
      </c>
      <c r="BQ311" s="269">
        <f>IF(BQ$7="Actual","",IFERROR((INDEX($M311:$Q311,,MATCH(BQ$4,$M$4:$Q$4,0))),0))</f>
        <v/>
      </c>
      <c r="BR311" s="269">
        <f>IF(BR$7="Actual","",IFERROR((INDEX($M311:$Q311,,MATCH(BR$4,$M$4:$Q$4,0))),0))</f>
        <v/>
      </c>
      <c r="BS311" s="269">
        <f>IF(BS$7="Actual","",IFERROR((INDEX($M311:$Q311,,MATCH(BS$4,$M$4:$Q$4,0))),0))</f>
        <v/>
      </c>
      <c r="BT311" s="269">
        <f>IF(BT$7="Actual","",IFERROR((INDEX($M311:$Q311,,MATCH(BT$4,$M$4:$Q$4,0))),0))</f>
        <v/>
      </c>
      <c r="BU311" s="269">
        <f>IF(BU$7="Actual","",IFERROR((INDEX($M311:$Q311,,MATCH(BU$4,$M$4:$Q$4,0))),0))</f>
        <v/>
      </c>
      <c r="BV311" s="269">
        <f>IF(BV$7="Actual","",IFERROR((INDEX($M311:$Q311,,MATCH(BV$4,$M$4:$Q$4,0))),0))</f>
        <v/>
      </c>
      <c r="BW311" s="269">
        <f>IF(BW$7="Actual","",IFERROR((INDEX($M311:$Q311,,MATCH(BW$4,$M$4:$Q$4,0))),0))</f>
        <v/>
      </c>
      <c r="BX311" s="269">
        <f>IF(BX$7="Actual","",IFERROR((INDEX($M311:$Q311,,MATCH(BX$4,$M$4:$Q$4,0))),0))</f>
        <v/>
      </c>
      <c r="BY311" s="269">
        <f>IF(BY$7="Actual","",IFERROR((INDEX($M311:$Q311,,MATCH(BY$4,$M$4:$Q$4,0))),0))</f>
        <v/>
      </c>
      <c r="BZ311" s="269">
        <f>IF(BZ$7="Actual","",IFERROR((INDEX($M311:$Q311,,MATCH(BZ$4,$M$4:$Q$4,0))),0))</f>
        <v/>
      </c>
      <c r="CA311" s="269">
        <f>IF(CA$7="Actual","",IFERROR((INDEX($M311:$Q311,,MATCH(CA$4,$M$4:$Q$4,0))),0))</f>
        <v/>
      </c>
    </row>
    <row r="312" ht="12" customHeight="1" s="227">
      <c r="A312" s="244" t="n"/>
      <c r="B312" s="244" t="n"/>
      <c r="C312" s="244" t="n"/>
      <c r="H312" s="4">
        <f>H302</f>
        <v/>
      </c>
      <c r="I312" s="27" t="inlineStr">
        <is>
          <t>no</t>
        </is>
      </c>
      <c r="K312" s="6" t="n"/>
      <c r="M312" s="267">
        <f>IF(M$7="Actual","",i_Assumptions!M250)</f>
        <v/>
      </c>
      <c r="N312" s="267">
        <f>IF(N$7="Actual","",i_Assumptions!N250)</f>
        <v/>
      </c>
      <c r="O312" s="267">
        <f>IF(O$7="Actual","",i_Assumptions!O250)</f>
        <v/>
      </c>
      <c r="P312" s="267">
        <f>IF(P$7="Actual","",i_Assumptions!P250)</f>
        <v/>
      </c>
      <c r="Q312" s="267">
        <f>IF(Q$7="Actual","",i_Assumptions!Q250)</f>
        <v/>
      </c>
      <c r="R312" s="268" t="n"/>
      <c r="S312" s="268" t="n"/>
      <c r="T312" s="269">
        <f>IF(T$7="Actual","",IFERROR((INDEX($M312:$Q312,,MATCH(T$4,$M$4:$Q$4,0))),0))</f>
        <v/>
      </c>
      <c r="U312" s="269">
        <f>IF(U$7="Actual","",IFERROR((INDEX($M312:$Q312,,MATCH(U$4,$M$4:$Q$4,0))),0))</f>
        <v/>
      </c>
      <c r="V312" s="269">
        <f>IF(V$7="Actual","",IFERROR((INDEX($M312:$Q312,,MATCH(V$4,$M$4:$Q$4,0))),0))</f>
        <v/>
      </c>
      <c r="W312" s="269">
        <f>IF(W$7="Actual","",IFERROR((INDEX($M312:$Q312,,MATCH(W$4,$M$4:$Q$4,0))),0))</f>
        <v/>
      </c>
      <c r="X312" s="269">
        <f>IF(X$7="Actual","",IFERROR((INDEX($M312:$Q312,,MATCH(X$4,$M$4:$Q$4,0))),0))</f>
        <v/>
      </c>
      <c r="Y312" s="269">
        <f>IF(Y$7="Actual","",IFERROR((INDEX($M312:$Q312,,MATCH(Y$4,$M$4:$Q$4,0))),0))</f>
        <v/>
      </c>
      <c r="Z312" s="269">
        <f>IF(Z$7="Actual","",IFERROR((INDEX($M312:$Q312,,MATCH(Z$4,$M$4:$Q$4,0))),0))</f>
        <v/>
      </c>
      <c r="AA312" s="269">
        <f>IF(AA$7="Actual","",IFERROR((INDEX($M312:$Q312,,MATCH(AA$4,$M$4:$Q$4,0))),0))</f>
        <v/>
      </c>
      <c r="AB312" s="269">
        <f>IF(AB$7="Actual","",IFERROR((INDEX($M312:$Q312,,MATCH(AB$4,$M$4:$Q$4,0))),0))</f>
        <v/>
      </c>
      <c r="AC312" s="269">
        <f>IF(AC$7="Actual","",IFERROR((INDEX($M312:$Q312,,MATCH(AC$4,$M$4:$Q$4,0))),0))</f>
        <v/>
      </c>
      <c r="AD312" s="269">
        <f>IF(AD$7="Actual","",IFERROR((INDEX($M312:$Q312,,MATCH(AD$4,$M$4:$Q$4,0))),0))</f>
        <v/>
      </c>
      <c r="AE312" s="269">
        <f>IF(AE$7="Actual","",IFERROR((INDEX($M312:$Q312,,MATCH(AE$4,$M$4:$Q$4,0))),0))</f>
        <v/>
      </c>
      <c r="AF312" s="269">
        <f>IF(AF$7="Actual","",IFERROR((INDEX($M312:$Q312,,MATCH(AF$4,$M$4:$Q$4,0))),0))</f>
        <v/>
      </c>
      <c r="AG312" s="269">
        <f>IF(AG$7="Actual","",IFERROR((INDEX($M312:$Q312,,MATCH(AG$4,$M$4:$Q$4,0))),0))</f>
        <v/>
      </c>
      <c r="AH312" s="269">
        <f>IF(AH$7="Actual","",IFERROR((INDEX($M312:$Q312,,MATCH(AH$4,$M$4:$Q$4,0))),0))</f>
        <v/>
      </c>
      <c r="AI312" s="269">
        <f>IF(AI$7="Actual","",IFERROR((INDEX($M312:$Q312,,MATCH(AI$4,$M$4:$Q$4,0))),0))</f>
        <v/>
      </c>
      <c r="AJ312" s="269">
        <f>IF(AJ$7="Actual","",IFERROR((INDEX($M312:$Q312,,MATCH(AJ$4,$M$4:$Q$4,0))),0))</f>
        <v/>
      </c>
      <c r="AK312" s="269">
        <f>IF(AK$7="Actual","",IFERROR((INDEX($M312:$Q312,,MATCH(AK$4,$M$4:$Q$4,0))),0))</f>
        <v/>
      </c>
      <c r="AL312" s="269">
        <f>IF(AL$7="Actual","",IFERROR((INDEX($M312:$Q312,,MATCH(AL$4,$M$4:$Q$4,0))),0))</f>
        <v/>
      </c>
      <c r="AM312" s="269">
        <f>IF(AM$7="Actual","",IFERROR((INDEX($M312:$Q312,,MATCH(AM$4,$M$4:$Q$4,0))),0))</f>
        <v/>
      </c>
      <c r="AN312" s="269">
        <f>IF(AN$7="Actual","",IFERROR((INDEX($M312:$Q312,,MATCH(AN$4,$M$4:$Q$4,0))),0))</f>
        <v/>
      </c>
      <c r="AO312" s="269">
        <f>IF(AO$7="Actual","",IFERROR((INDEX($M312:$Q312,,MATCH(AO$4,$M$4:$Q$4,0))),0))</f>
        <v/>
      </c>
      <c r="AP312" s="269">
        <f>IF(AP$7="Actual","",IFERROR((INDEX($M312:$Q312,,MATCH(AP$4,$M$4:$Q$4,0))),0))</f>
        <v/>
      </c>
      <c r="AQ312" s="269">
        <f>IF(AQ$7="Actual","",IFERROR((INDEX($M312:$Q312,,MATCH(AQ$4,$M$4:$Q$4,0))),0))</f>
        <v/>
      </c>
      <c r="AR312" s="269">
        <f>IF(AR$7="Actual","",IFERROR((INDEX($M312:$Q312,,MATCH(AR$4,$M$4:$Q$4,0))),0))</f>
        <v/>
      </c>
      <c r="AS312" s="269">
        <f>IF(AS$7="Actual","",IFERROR((INDEX($M312:$Q312,,MATCH(AS$4,$M$4:$Q$4,0))),0))</f>
        <v/>
      </c>
      <c r="AT312" s="269">
        <f>IF(AT$7="Actual","",IFERROR((INDEX($M312:$Q312,,MATCH(AT$4,$M$4:$Q$4,0))),0))</f>
        <v/>
      </c>
      <c r="AU312" s="269">
        <f>IF(AU$7="Actual","",IFERROR((INDEX($M312:$Q312,,MATCH(AU$4,$M$4:$Q$4,0))),0))</f>
        <v/>
      </c>
      <c r="AV312" s="269">
        <f>IF(AV$7="Actual","",IFERROR((INDEX($M312:$Q312,,MATCH(AV$4,$M$4:$Q$4,0))),0))</f>
        <v/>
      </c>
      <c r="AW312" s="269">
        <f>IF(AW$7="Actual","",IFERROR((INDEX($M312:$Q312,,MATCH(AW$4,$M$4:$Q$4,0))),0))</f>
        <v/>
      </c>
      <c r="AX312" s="269">
        <f>IF(AX$7="Actual","",IFERROR((INDEX($M312:$Q312,,MATCH(AX$4,$M$4:$Q$4,0))),0))</f>
        <v/>
      </c>
      <c r="AY312" s="269">
        <f>IF(AY$7="Actual","",IFERROR((INDEX($M312:$Q312,,MATCH(AY$4,$M$4:$Q$4,0))),0))</f>
        <v/>
      </c>
      <c r="AZ312" s="269">
        <f>IF(AZ$7="Actual","",IFERROR((INDEX($M312:$Q312,,MATCH(AZ$4,$M$4:$Q$4,0))),0))</f>
        <v/>
      </c>
      <c r="BA312" s="269">
        <f>IF(BA$7="Actual","",IFERROR((INDEX($M312:$Q312,,MATCH(BA$4,$M$4:$Q$4,0))),0))</f>
        <v/>
      </c>
      <c r="BB312" s="269">
        <f>IF(BB$7="Actual","",IFERROR((INDEX($M312:$Q312,,MATCH(BB$4,$M$4:$Q$4,0))),0))</f>
        <v/>
      </c>
      <c r="BC312" s="269">
        <f>IF(BC$7="Actual","",IFERROR((INDEX($M312:$Q312,,MATCH(BC$4,$M$4:$Q$4,0))),0))</f>
        <v/>
      </c>
      <c r="BD312" s="269">
        <f>IF(BD$7="Actual","",IFERROR((INDEX($M312:$Q312,,MATCH(BD$4,$M$4:$Q$4,0))),0))</f>
        <v/>
      </c>
      <c r="BE312" s="269">
        <f>IF(BE$7="Actual","",IFERROR((INDEX($M312:$Q312,,MATCH(BE$4,$M$4:$Q$4,0))),0))</f>
        <v/>
      </c>
      <c r="BF312" s="269">
        <f>IF(BF$7="Actual","",IFERROR((INDEX($M312:$Q312,,MATCH(BF$4,$M$4:$Q$4,0))),0))</f>
        <v/>
      </c>
      <c r="BG312" s="269">
        <f>IF(BG$7="Actual","",IFERROR((INDEX($M312:$Q312,,MATCH(BG$4,$M$4:$Q$4,0))),0))</f>
        <v/>
      </c>
      <c r="BH312" s="269">
        <f>IF(BH$7="Actual","",IFERROR((INDEX($M312:$Q312,,MATCH(BH$4,$M$4:$Q$4,0))),0))</f>
        <v/>
      </c>
      <c r="BI312" s="269">
        <f>IF(BI$7="Actual","",IFERROR((INDEX($M312:$Q312,,MATCH(BI$4,$M$4:$Q$4,0))),0))</f>
        <v/>
      </c>
      <c r="BJ312" s="269">
        <f>IF(BJ$7="Actual","",IFERROR((INDEX($M312:$Q312,,MATCH(BJ$4,$M$4:$Q$4,0))),0))</f>
        <v/>
      </c>
      <c r="BK312" s="269">
        <f>IF(BK$7="Actual","",IFERROR((INDEX($M312:$Q312,,MATCH(BK$4,$M$4:$Q$4,0))),0))</f>
        <v/>
      </c>
      <c r="BL312" s="269">
        <f>IF(BL$7="Actual","",IFERROR((INDEX($M312:$Q312,,MATCH(BL$4,$M$4:$Q$4,0))),0))</f>
        <v/>
      </c>
      <c r="BM312" s="269">
        <f>IF(BM$7="Actual","",IFERROR((INDEX($M312:$Q312,,MATCH(BM$4,$M$4:$Q$4,0))),0))</f>
        <v/>
      </c>
      <c r="BN312" s="269">
        <f>IF(BN$7="Actual","",IFERROR((INDEX($M312:$Q312,,MATCH(BN$4,$M$4:$Q$4,0))),0))</f>
        <v/>
      </c>
      <c r="BO312" s="269">
        <f>IF(BO$7="Actual","",IFERROR((INDEX($M312:$Q312,,MATCH(BO$4,$M$4:$Q$4,0))),0))</f>
        <v/>
      </c>
      <c r="BP312" s="269">
        <f>IF(BP$7="Actual","",IFERROR((INDEX($M312:$Q312,,MATCH(BP$4,$M$4:$Q$4,0))),0))</f>
        <v/>
      </c>
      <c r="BQ312" s="269">
        <f>IF(BQ$7="Actual","",IFERROR((INDEX($M312:$Q312,,MATCH(BQ$4,$M$4:$Q$4,0))),0))</f>
        <v/>
      </c>
      <c r="BR312" s="269">
        <f>IF(BR$7="Actual","",IFERROR((INDEX($M312:$Q312,,MATCH(BR$4,$M$4:$Q$4,0))),0))</f>
        <v/>
      </c>
      <c r="BS312" s="269">
        <f>IF(BS$7="Actual","",IFERROR((INDEX($M312:$Q312,,MATCH(BS$4,$M$4:$Q$4,0))),0))</f>
        <v/>
      </c>
      <c r="BT312" s="269">
        <f>IF(BT$7="Actual","",IFERROR((INDEX($M312:$Q312,,MATCH(BT$4,$M$4:$Q$4,0))),0))</f>
        <v/>
      </c>
      <c r="BU312" s="269">
        <f>IF(BU$7="Actual","",IFERROR((INDEX($M312:$Q312,,MATCH(BU$4,$M$4:$Q$4,0))),0))</f>
        <v/>
      </c>
      <c r="BV312" s="269">
        <f>IF(BV$7="Actual","",IFERROR((INDEX($M312:$Q312,,MATCH(BV$4,$M$4:$Q$4,0))),0))</f>
        <v/>
      </c>
      <c r="BW312" s="269">
        <f>IF(BW$7="Actual","",IFERROR((INDEX($M312:$Q312,,MATCH(BW$4,$M$4:$Q$4,0))),0))</f>
        <v/>
      </c>
      <c r="BX312" s="269">
        <f>IF(BX$7="Actual","",IFERROR((INDEX($M312:$Q312,,MATCH(BX$4,$M$4:$Q$4,0))),0))</f>
        <v/>
      </c>
      <c r="BY312" s="269">
        <f>IF(BY$7="Actual","",IFERROR((INDEX($M312:$Q312,,MATCH(BY$4,$M$4:$Q$4,0))),0))</f>
        <v/>
      </c>
      <c r="BZ312" s="269">
        <f>IF(BZ$7="Actual","",IFERROR((INDEX($M312:$Q312,,MATCH(BZ$4,$M$4:$Q$4,0))),0))</f>
        <v/>
      </c>
      <c r="CA312" s="269">
        <f>IF(CA$7="Actual","",IFERROR((INDEX($M312:$Q312,,MATCH(CA$4,$M$4:$Q$4,0))),0))</f>
        <v/>
      </c>
    </row>
    <row r="313" ht="12" customHeight="1" s="227">
      <c r="A313" s="244" t="n"/>
      <c r="B313" s="244" t="n"/>
      <c r="C313" s="244" t="n"/>
      <c r="H313" s="4">
        <f>H303</f>
        <v/>
      </c>
      <c r="I313" s="27" t="inlineStr">
        <is>
          <t>no</t>
        </is>
      </c>
      <c r="K313" s="6" t="n"/>
      <c r="M313" s="267">
        <f>IF(M$7="Actual","",i_Assumptions!M251)</f>
        <v/>
      </c>
      <c r="N313" s="267">
        <f>IF(N$7="Actual","",i_Assumptions!N251)</f>
        <v/>
      </c>
      <c r="O313" s="267">
        <f>IF(O$7="Actual","",i_Assumptions!O251)</f>
        <v/>
      </c>
      <c r="P313" s="267">
        <f>IF(P$7="Actual","",i_Assumptions!P251)</f>
        <v/>
      </c>
      <c r="Q313" s="267">
        <f>IF(Q$7="Actual","",i_Assumptions!Q251)</f>
        <v/>
      </c>
      <c r="R313" s="268" t="n"/>
      <c r="S313" s="268" t="n"/>
      <c r="T313" s="269">
        <f>IF(T$7="Actual","",IFERROR((INDEX($M313:$Q313,,MATCH(T$4,$M$4:$Q$4,0))),0))</f>
        <v/>
      </c>
      <c r="U313" s="269">
        <f>IF(U$7="Actual","",IFERROR((INDEX($M313:$Q313,,MATCH(U$4,$M$4:$Q$4,0))),0))</f>
        <v/>
      </c>
      <c r="V313" s="269">
        <f>IF(V$7="Actual","",IFERROR((INDEX($M313:$Q313,,MATCH(V$4,$M$4:$Q$4,0))),0))</f>
        <v/>
      </c>
      <c r="W313" s="269">
        <f>IF(W$7="Actual","",IFERROR((INDEX($M313:$Q313,,MATCH(W$4,$M$4:$Q$4,0))),0))</f>
        <v/>
      </c>
      <c r="X313" s="269">
        <f>IF(X$7="Actual","",IFERROR((INDEX($M313:$Q313,,MATCH(X$4,$M$4:$Q$4,0))),0))</f>
        <v/>
      </c>
      <c r="Y313" s="269">
        <f>IF(Y$7="Actual","",IFERROR((INDEX($M313:$Q313,,MATCH(Y$4,$M$4:$Q$4,0))),0))</f>
        <v/>
      </c>
      <c r="Z313" s="269">
        <f>IF(Z$7="Actual","",IFERROR((INDEX($M313:$Q313,,MATCH(Z$4,$M$4:$Q$4,0))),0))</f>
        <v/>
      </c>
      <c r="AA313" s="269">
        <f>IF(AA$7="Actual","",IFERROR((INDEX($M313:$Q313,,MATCH(AA$4,$M$4:$Q$4,0))),0))</f>
        <v/>
      </c>
      <c r="AB313" s="269">
        <f>IF(AB$7="Actual","",IFERROR((INDEX($M313:$Q313,,MATCH(AB$4,$M$4:$Q$4,0))),0))</f>
        <v/>
      </c>
      <c r="AC313" s="269">
        <f>IF(AC$7="Actual","",IFERROR((INDEX($M313:$Q313,,MATCH(AC$4,$M$4:$Q$4,0))),0))</f>
        <v/>
      </c>
      <c r="AD313" s="269">
        <f>IF(AD$7="Actual","",IFERROR((INDEX($M313:$Q313,,MATCH(AD$4,$M$4:$Q$4,0))),0))</f>
        <v/>
      </c>
      <c r="AE313" s="269">
        <f>IF(AE$7="Actual","",IFERROR((INDEX($M313:$Q313,,MATCH(AE$4,$M$4:$Q$4,0))),0))</f>
        <v/>
      </c>
      <c r="AF313" s="269">
        <f>IF(AF$7="Actual","",IFERROR((INDEX($M313:$Q313,,MATCH(AF$4,$M$4:$Q$4,0))),0))</f>
        <v/>
      </c>
      <c r="AG313" s="269">
        <f>IF(AG$7="Actual","",IFERROR((INDEX($M313:$Q313,,MATCH(AG$4,$M$4:$Q$4,0))),0))</f>
        <v/>
      </c>
      <c r="AH313" s="269">
        <f>IF(AH$7="Actual","",IFERROR((INDEX($M313:$Q313,,MATCH(AH$4,$M$4:$Q$4,0))),0))</f>
        <v/>
      </c>
      <c r="AI313" s="269">
        <f>IF(AI$7="Actual","",IFERROR((INDEX($M313:$Q313,,MATCH(AI$4,$M$4:$Q$4,0))),0))</f>
        <v/>
      </c>
      <c r="AJ313" s="269">
        <f>IF(AJ$7="Actual","",IFERROR((INDEX($M313:$Q313,,MATCH(AJ$4,$M$4:$Q$4,0))),0))</f>
        <v/>
      </c>
      <c r="AK313" s="269">
        <f>IF(AK$7="Actual","",IFERROR((INDEX($M313:$Q313,,MATCH(AK$4,$M$4:$Q$4,0))),0))</f>
        <v/>
      </c>
      <c r="AL313" s="269">
        <f>IF(AL$7="Actual","",IFERROR((INDEX($M313:$Q313,,MATCH(AL$4,$M$4:$Q$4,0))),0))</f>
        <v/>
      </c>
      <c r="AM313" s="269">
        <f>IF(AM$7="Actual","",IFERROR((INDEX($M313:$Q313,,MATCH(AM$4,$M$4:$Q$4,0))),0))</f>
        <v/>
      </c>
      <c r="AN313" s="269">
        <f>IF(AN$7="Actual","",IFERROR((INDEX($M313:$Q313,,MATCH(AN$4,$M$4:$Q$4,0))),0))</f>
        <v/>
      </c>
      <c r="AO313" s="269">
        <f>IF(AO$7="Actual","",IFERROR((INDEX($M313:$Q313,,MATCH(AO$4,$M$4:$Q$4,0))),0))</f>
        <v/>
      </c>
      <c r="AP313" s="269">
        <f>IF(AP$7="Actual","",IFERROR((INDEX($M313:$Q313,,MATCH(AP$4,$M$4:$Q$4,0))),0))</f>
        <v/>
      </c>
      <c r="AQ313" s="269">
        <f>IF(AQ$7="Actual","",IFERROR((INDEX($M313:$Q313,,MATCH(AQ$4,$M$4:$Q$4,0))),0))</f>
        <v/>
      </c>
      <c r="AR313" s="269">
        <f>IF(AR$7="Actual","",IFERROR((INDEX($M313:$Q313,,MATCH(AR$4,$M$4:$Q$4,0))),0))</f>
        <v/>
      </c>
      <c r="AS313" s="269">
        <f>IF(AS$7="Actual","",IFERROR((INDEX($M313:$Q313,,MATCH(AS$4,$M$4:$Q$4,0))),0))</f>
        <v/>
      </c>
      <c r="AT313" s="269">
        <f>IF(AT$7="Actual","",IFERROR((INDEX($M313:$Q313,,MATCH(AT$4,$M$4:$Q$4,0))),0))</f>
        <v/>
      </c>
      <c r="AU313" s="269">
        <f>IF(AU$7="Actual","",IFERROR((INDEX($M313:$Q313,,MATCH(AU$4,$M$4:$Q$4,0))),0))</f>
        <v/>
      </c>
      <c r="AV313" s="269">
        <f>IF(AV$7="Actual","",IFERROR((INDEX($M313:$Q313,,MATCH(AV$4,$M$4:$Q$4,0))),0))</f>
        <v/>
      </c>
      <c r="AW313" s="269">
        <f>IF(AW$7="Actual","",IFERROR((INDEX($M313:$Q313,,MATCH(AW$4,$M$4:$Q$4,0))),0))</f>
        <v/>
      </c>
      <c r="AX313" s="269">
        <f>IF(AX$7="Actual","",IFERROR((INDEX($M313:$Q313,,MATCH(AX$4,$M$4:$Q$4,0))),0))</f>
        <v/>
      </c>
      <c r="AY313" s="269">
        <f>IF(AY$7="Actual","",IFERROR((INDEX($M313:$Q313,,MATCH(AY$4,$M$4:$Q$4,0))),0))</f>
        <v/>
      </c>
      <c r="AZ313" s="269">
        <f>IF(AZ$7="Actual","",IFERROR((INDEX($M313:$Q313,,MATCH(AZ$4,$M$4:$Q$4,0))),0))</f>
        <v/>
      </c>
      <c r="BA313" s="269">
        <f>IF(BA$7="Actual","",IFERROR((INDEX($M313:$Q313,,MATCH(BA$4,$M$4:$Q$4,0))),0))</f>
        <v/>
      </c>
      <c r="BB313" s="269">
        <f>IF(BB$7="Actual","",IFERROR((INDEX($M313:$Q313,,MATCH(BB$4,$M$4:$Q$4,0))),0))</f>
        <v/>
      </c>
      <c r="BC313" s="269">
        <f>IF(BC$7="Actual","",IFERROR((INDEX($M313:$Q313,,MATCH(BC$4,$M$4:$Q$4,0))),0))</f>
        <v/>
      </c>
      <c r="BD313" s="269">
        <f>IF(BD$7="Actual","",IFERROR((INDEX($M313:$Q313,,MATCH(BD$4,$M$4:$Q$4,0))),0))</f>
        <v/>
      </c>
      <c r="BE313" s="269">
        <f>IF(BE$7="Actual","",IFERROR((INDEX($M313:$Q313,,MATCH(BE$4,$M$4:$Q$4,0))),0))</f>
        <v/>
      </c>
      <c r="BF313" s="269">
        <f>IF(BF$7="Actual","",IFERROR((INDEX($M313:$Q313,,MATCH(BF$4,$M$4:$Q$4,0))),0))</f>
        <v/>
      </c>
      <c r="BG313" s="269">
        <f>IF(BG$7="Actual","",IFERROR((INDEX($M313:$Q313,,MATCH(BG$4,$M$4:$Q$4,0))),0))</f>
        <v/>
      </c>
      <c r="BH313" s="269">
        <f>IF(BH$7="Actual","",IFERROR((INDEX($M313:$Q313,,MATCH(BH$4,$M$4:$Q$4,0))),0))</f>
        <v/>
      </c>
      <c r="BI313" s="269">
        <f>IF(BI$7="Actual","",IFERROR((INDEX($M313:$Q313,,MATCH(BI$4,$M$4:$Q$4,0))),0))</f>
        <v/>
      </c>
      <c r="BJ313" s="269">
        <f>IF(BJ$7="Actual","",IFERROR((INDEX($M313:$Q313,,MATCH(BJ$4,$M$4:$Q$4,0))),0))</f>
        <v/>
      </c>
      <c r="BK313" s="269">
        <f>IF(BK$7="Actual","",IFERROR((INDEX($M313:$Q313,,MATCH(BK$4,$M$4:$Q$4,0))),0))</f>
        <v/>
      </c>
      <c r="BL313" s="269">
        <f>IF(BL$7="Actual","",IFERROR((INDEX($M313:$Q313,,MATCH(BL$4,$M$4:$Q$4,0))),0))</f>
        <v/>
      </c>
      <c r="BM313" s="269">
        <f>IF(BM$7="Actual","",IFERROR((INDEX($M313:$Q313,,MATCH(BM$4,$M$4:$Q$4,0))),0))</f>
        <v/>
      </c>
      <c r="BN313" s="269">
        <f>IF(BN$7="Actual","",IFERROR((INDEX($M313:$Q313,,MATCH(BN$4,$M$4:$Q$4,0))),0))</f>
        <v/>
      </c>
      <c r="BO313" s="269">
        <f>IF(BO$7="Actual","",IFERROR((INDEX($M313:$Q313,,MATCH(BO$4,$M$4:$Q$4,0))),0))</f>
        <v/>
      </c>
      <c r="BP313" s="269">
        <f>IF(BP$7="Actual","",IFERROR((INDEX($M313:$Q313,,MATCH(BP$4,$M$4:$Q$4,0))),0))</f>
        <v/>
      </c>
      <c r="BQ313" s="269">
        <f>IF(BQ$7="Actual","",IFERROR((INDEX($M313:$Q313,,MATCH(BQ$4,$M$4:$Q$4,0))),0))</f>
        <v/>
      </c>
      <c r="BR313" s="269">
        <f>IF(BR$7="Actual","",IFERROR((INDEX($M313:$Q313,,MATCH(BR$4,$M$4:$Q$4,0))),0))</f>
        <v/>
      </c>
      <c r="BS313" s="269">
        <f>IF(BS$7="Actual","",IFERROR((INDEX($M313:$Q313,,MATCH(BS$4,$M$4:$Q$4,0))),0))</f>
        <v/>
      </c>
      <c r="BT313" s="269">
        <f>IF(BT$7="Actual","",IFERROR((INDEX($M313:$Q313,,MATCH(BT$4,$M$4:$Q$4,0))),0))</f>
        <v/>
      </c>
      <c r="BU313" s="269">
        <f>IF(BU$7="Actual","",IFERROR((INDEX($M313:$Q313,,MATCH(BU$4,$M$4:$Q$4,0))),0))</f>
        <v/>
      </c>
      <c r="BV313" s="269">
        <f>IF(BV$7="Actual","",IFERROR((INDEX($M313:$Q313,,MATCH(BV$4,$M$4:$Q$4,0))),0))</f>
        <v/>
      </c>
      <c r="BW313" s="269">
        <f>IF(BW$7="Actual","",IFERROR((INDEX($M313:$Q313,,MATCH(BW$4,$M$4:$Q$4,0))),0))</f>
        <v/>
      </c>
      <c r="BX313" s="269">
        <f>IF(BX$7="Actual","",IFERROR((INDEX($M313:$Q313,,MATCH(BX$4,$M$4:$Q$4,0))),0))</f>
        <v/>
      </c>
      <c r="BY313" s="269">
        <f>IF(BY$7="Actual","",IFERROR((INDEX($M313:$Q313,,MATCH(BY$4,$M$4:$Q$4,0))),0))</f>
        <v/>
      </c>
      <c r="BZ313" s="269">
        <f>IF(BZ$7="Actual","",IFERROR((INDEX($M313:$Q313,,MATCH(BZ$4,$M$4:$Q$4,0))),0))</f>
        <v/>
      </c>
      <c r="CA313" s="269">
        <f>IF(CA$7="Actual","",IFERROR((INDEX($M313:$Q313,,MATCH(CA$4,$M$4:$Q$4,0))),0))</f>
        <v/>
      </c>
    </row>
    <row r="314" ht="12" customHeight="1" s="227">
      <c r="A314" s="244" t="n"/>
      <c r="B314" s="244" t="n"/>
      <c r="C314" s="244" t="n"/>
      <c r="H314" s="4">
        <f>H304</f>
        <v/>
      </c>
      <c r="I314" s="27" t="inlineStr">
        <is>
          <t>no</t>
        </is>
      </c>
      <c r="K314" s="6" t="n"/>
      <c r="M314" s="267">
        <f>IF(M$7="Actual","",i_Assumptions!M252)</f>
        <v/>
      </c>
      <c r="N314" s="267">
        <f>IF(N$7="Actual","",i_Assumptions!N252)</f>
        <v/>
      </c>
      <c r="O314" s="267">
        <f>IF(O$7="Actual","",i_Assumptions!O252)</f>
        <v/>
      </c>
      <c r="P314" s="267">
        <f>IF(P$7="Actual","",i_Assumptions!P252)</f>
        <v/>
      </c>
      <c r="Q314" s="267">
        <f>IF(Q$7="Actual","",i_Assumptions!Q252)</f>
        <v/>
      </c>
      <c r="R314" s="268" t="n"/>
      <c r="S314" s="268" t="n"/>
      <c r="T314" s="269">
        <f>IF(T$7="Actual","",IFERROR((INDEX($M314:$Q314,,MATCH(T$4,$M$4:$Q$4,0))),0))</f>
        <v/>
      </c>
      <c r="U314" s="269">
        <f>IF(U$7="Actual","",IFERROR((INDEX($M314:$Q314,,MATCH(U$4,$M$4:$Q$4,0))),0))</f>
        <v/>
      </c>
      <c r="V314" s="269">
        <f>IF(V$7="Actual","",IFERROR((INDEX($M314:$Q314,,MATCH(V$4,$M$4:$Q$4,0))),0))</f>
        <v/>
      </c>
      <c r="W314" s="269">
        <f>IF(W$7="Actual","",IFERROR((INDEX($M314:$Q314,,MATCH(W$4,$M$4:$Q$4,0))),0))</f>
        <v/>
      </c>
      <c r="X314" s="269">
        <f>IF(X$7="Actual","",IFERROR((INDEX($M314:$Q314,,MATCH(X$4,$M$4:$Q$4,0))),0))</f>
        <v/>
      </c>
      <c r="Y314" s="269">
        <f>IF(Y$7="Actual","",IFERROR((INDEX($M314:$Q314,,MATCH(Y$4,$M$4:$Q$4,0))),0))</f>
        <v/>
      </c>
      <c r="Z314" s="269">
        <f>IF(Z$7="Actual","",IFERROR((INDEX($M314:$Q314,,MATCH(Z$4,$M$4:$Q$4,0))),0))</f>
        <v/>
      </c>
      <c r="AA314" s="269">
        <f>IF(AA$7="Actual","",IFERROR((INDEX($M314:$Q314,,MATCH(AA$4,$M$4:$Q$4,0))),0))</f>
        <v/>
      </c>
      <c r="AB314" s="269">
        <f>IF(AB$7="Actual","",IFERROR((INDEX($M314:$Q314,,MATCH(AB$4,$M$4:$Q$4,0))),0))</f>
        <v/>
      </c>
      <c r="AC314" s="269">
        <f>IF(AC$7="Actual","",IFERROR((INDEX($M314:$Q314,,MATCH(AC$4,$M$4:$Q$4,0))),0))</f>
        <v/>
      </c>
      <c r="AD314" s="269">
        <f>IF(AD$7="Actual","",IFERROR((INDEX($M314:$Q314,,MATCH(AD$4,$M$4:$Q$4,0))),0))</f>
        <v/>
      </c>
      <c r="AE314" s="269">
        <f>IF(AE$7="Actual","",IFERROR((INDEX($M314:$Q314,,MATCH(AE$4,$M$4:$Q$4,0))),0))</f>
        <v/>
      </c>
      <c r="AF314" s="269">
        <f>IF(AF$7="Actual","",IFERROR((INDEX($M314:$Q314,,MATCH(AF$4,$M$4:$Q$4,0))),0))</f>
        <v/>
      </c>
      <c r="AG314" s="269">
        <f>IF(AG$7="Actual","",IFERROR((INDEX($M314:$Q314,,MATCH(AG$4,$M$4:$Q$4,0))),0))</f>
        <v/>
      </c>
      <c r="AH314" s="269">
        <f>IF(AH$7="Actual","",IFERROR((INDEX($M314:$Q314,,MATCH(AH$4,$M$4:$Q$4,0))),0))</f>
        <v/>
      </c>
      <c r="AI314" s="269">
        <f>IF(AI$7="Actual","",IFERROR((INDEX($M314:$Q314,,MATCH(AI$4,$M$4:$Q$4,0))),0))</f>
        <v/>
      </c>
      <c r="AJ314" s="269">
        <f>IF(AJ$7="Actual","",IFERROR((INDEX($M314:$Q314,,MATCH(AJ$4,$M$4:$Q$4,0))),0))</f>
        <v/>
      </c>
      <c r="AK314" s="269">
        <f>IF(AK$7="Actual","",IFERROR((INDEX($M314:$Q314,,MATCH(AK$4,$M$4:$Q$4,0))),0))</f>
        <v/>
      </c>
      <c r="AL314" s="269">
        <f>IF(AL$7="Actual","",IFERROR((INDEX($M314:$Q314,,MATCH(AL$4,$M$4:$Q$4,0))),0))</f>
        <v/>
      </c>
      <c r="AM314" s="269">
        <f>IF(AM$7="Actual","",IFERROR((INDEX($M314:$Q314,,MATCH(AM$4,$M$4:$Q$4,0))),0))</f>
        <v/>
      </c>
      <c r="AN314" s="269">
        <f>IF(AN$7="Actual","",IFERROR((INDEX($M314:$Q314,,MATCH(AN$4,$M$4:$Q$4,0))),0))</f>
        <v/>
      </c>
      <c r="AO314" s="269">
        <f>IF(AO$7="Actual","",IFERROR((INDEX($M314:$Q314,,MATCH(AO$4,$M$4:$Q$4,0))),0))</f>
        <v/>
      </c>
      <c r="AP314" s="269">
        <f>IF(AP$7="Actual","",IFERROR((INDEX($M314:$Q314,,MATCH(AP$4,$M$4:$Q$4,0))),0))</f>
        <v/>
      </c>
      <c r="AQ314" s="269">
        <f>IF(AQ$7="Actual","",IFERROR((INDEX($M314:$Q314,,MATCH(AQ$4,$M$4:$Q$4,0))),0))</f>
        <v/>
      </c>
      <c r="AR314" s="269">
        <f>IF(AR$7="Actual","",IFERROR((INDEX($M314:$Q314,,MATCH(AR$4,$M$4:$Q$4,0))),0))</f>
        <v/>
      </c>
      <c r="AS314" s="269">
        <f>IF(AS$7="Actual","",IFERROR((INDEX($M314:$Q314,,MATCH(AS$4,$M$4:$Q$4,0))),0))</f>
        <v/>
      </c>
      <c r="AT314" s="269">
        <f>IF(AT$7="Actual","",IFERROR((INDEX($M314:$Q314,,MATCH(AT$4,$M$4:$Q$4,0))),0))</f>
        <v/>
      </c>
      <c r="AU314" s="269">
        <f>IF(AU$7="Actual","",IFERROR((INDEX($M314:$Q314,,MATCH(AU$4,$M$4:$Q$4,0))),0))</f>
        <v/>
      </c>
      <c r="AV314" s="269">
        <f>IF(AV$7="Actual","",IFERROR((INDEX($M314:$Q314,,MATCH(AV$4,$M$4:$Q$4,0))),0))</f>
        <v/>
      </c>
      <c r="AW314" s="269">
        <f>IF(AW$7="Actual","",IFERROR((INDEX($M314:$Q314,,MATCH(AW$4,$M$4:$Q$4,0))),0))</f>
        <v/>
      </c>
      <c r="AX314" s="269">
        <f>IF(AX$7="Actual","",IFERROR((INDEX($M314:$Q314,,MATCH(AX$4,$M$4:$Q$4,0))),0))</f>
        <v/>
      </c>
      <c r="AY314" s="269">
        <f>IF(AY$7="Actual","",IFERROR((INDEX($M314:$Q314,,MATCH(AY$4,$M$4:$Q$4,0))),0))</f>
        <v/>
      </c>
      <c r="AZ314" s="269">
        <f>IF(AZ$7="Actual","",IFERROR((INDEX($M314:$Q314,,MATCH(AZ$4,$M$4:$Q$4,0))),0))</f>
        <v/>
      </c>
      <c r="BA314" s="269">
        <f>IF(BA$7="Actual","",IFERROR((INDEX($M314:$Q314,,MATCH(BA$4,$M$4:$Q$4,0))),0))</f>
        <v/>
      </c>
      <c r="BB314" s="269">
        <f>IF(BB$7="Actual","",IFERROR((INDEX($M314:$Q314,,MATCH(BB$4,$M$4:$Q$4,0))),0))</f>
        <v/>
      </c>
      <c r="BC314" s="269">
        <f>IF(BC$7="Actual","",IFERROR((INDEX($M314:$Q314,,MATCH(BC$4,$M$4:$Q$4,0))),0))</f>
        <v/>
      </c>
      <c r="BD314" s="269">
        <f>IF(BD$7="Actual","",IFERROR((INDEX($M314:$Q314,,MATCH(BD$4,$M$4:$Q$4,0))),0))</f>
        <v/>
      </c>
      <c r="BE314" s="269">
        <f>IF(BE$7="Actual","",IFERROR((INDEX($M314:$Q314,,MATCH(BE$4,$M$4:$Q$4,0))),0))</f>
        <v/>
      </c>
      <c r="BF314" s="269">
        <f>IF(BF$7="Actual","",IFERROR((INDEX($M314:$Q314,,MATCH(BF$4,$M$4:$Q$4,0))),0))</f>
        <v/>
      </c>
      <c r="BG314" s="269">
        <f>IF(BG$7="Actual","",IFERROR((INDEX($M314:$Q314,,MATCH(BG$4,$M$4:$Q$4,0))),0))</f>
        <v/>
      </c>
      <c r="BH314" s="269">
        <f>IF(BH$7="Actual","",IFERROR((INDEX($M314:$Q314,,MATCH(BH$4,$M$4:$Q$4,0))),0))</f>
        <v/>
      </c>
      <c r="BI314" s="269">
        <f>IF(BI$7="Actual","",IFERROR((INDEX($M314:$Q314,,MATCH(BI$4,$M$4:$Q$4,0))),0))</f>
        <v/>
      </c>
      <c r="BJ314" s="269">
        <f>IF(BJ$7="Actual","",IFERROR((INDEX($M314:$Q314,,MATCH(BJ$4,$M$4:$Q$4,0))),0))</f>
        <v/>
      </c>
      <c r="BK314" s="269">
        <f>IF(BK$7="Actual","",IFERROR((INDEX($M314:$Q314,,MATCH(BK$4,$M$4:$Q$4,0))),0))</f>
        <v/>
      </c>
      <c r="BL314" s="269">
        <f>IF(BL$7="Actual","",IFERROR((INDEX($M314:$Q314,,MATCH(BL$4,$M$4:$Q$4,0))),0))</f>
        <v/>
      </c>
      <c r="BM314" s="269">
        <f>IF(BM$7="Actual","",IFERROR((INDEX($M314:$Q314,,MATCH(BM$4,$M$4:$Q$4,0))),0))</f>
        <v/>
      </c>
      <c r="BN314" s="269">
        <f>IF(BN$7="Actual","",IFERROR((INDEX($M314:$Q314,,MATCH(BN$4,$M$4:$Q$4,0))),0))</f>
        <v/>
      </c>
      <c r="BO314" s="269">
        <f>IF(BO$7="Actual","",IFERROR((INDEX($M314:$Q314,,MATCH(BO$4,$M$4:$Q$4,0))),0))</f>
        <v/>
      </c>
      <c r="BP314" s="269">
        <f>IF(BP$7="Actual","",IFERROR((INDEX($M314:$Q314,,MATCH(BP$4,$M$4:$Q$4,0))),0))</f>
        <v/>
      </c>
      <c r="BQ314" s="269">
        <f>IF(BQ$7="Actual","",IFERROR((INDEX($M314:$Q314,,MATCH(BQ$4,$M$4:$Q$4,0))),0))</f>
        <v/>
      </c>
      <c r="BR314" s="269">
        <f>IF(BR$7="Actual","",IFERROR((INDEX($M314:$Q314,,MATCH(BR$4,$M$4:$Q$4,0))),0))</f>
        <v/>
      </c>
      <c r="BS314" s="269">
        <f>IF(BS$7="Actual","",IFERROR((INDEX($M314:$Q314,,MATCH(BS$4,$M$4:$Q$4,0))),0))</f>
        <v/>
      </c>
      <c r="BT314" s="269">
        <f>IF(BT$7="Actual","",IFERROR((INDEX($M314:$Q314,,MATCH(BT$4,$M$4:$Q$4,0))),0))</f>
        <v/>
      </c>
      <c r="BU314" s="269">
        <f>IF(BU$7="Actual","",IFERROR((INDEX($M314:$Q314,,MATCH(BU$4,$M$4:$Q$4,0))),0))</f>
        <v/>
      </c>
      <c r="BV314" s="269">
        <f>IF(BV$7="Actual","",IFERROR((INDEX($M314:$Q314,,MATCH(BV$4,$M$4:$Q$4,0))),0))</f>
        <v/>
      </c>
      <c r="BW314" s="269">
        <f>IF(BW$7="Actual","",IFERROR((INDEX($M314:$Q314,,MATCH(BW$4,$M$4:$Q$4,0))),0))</f>
        <v/>
      </c>
      <c r="BX314" s="269">
        <f>IF(BX$7="Actual","",IFERROR((INDEX($M314:$Q314,,MATCH(BX$4,$M$4:$Q$4,0))),0))</f>
        <v/>
      </c>
      <c r="BY314" s="269">
        <f>IF(BY$7="Actual","",IFERROR((INDEX($M314:$Q314,,MATCH(BY$4,$M$4:$Q$4,0))),0))</f>
        <v/>
      </c>
      <c r="BZ314" s="269">
        <f>IF(BZ$7="Actual","",IFERROR((INDEX($M314:$Q314,,MATCH(BZ$4,$M$4:$Q$4,0))),0))</f>
        <v/>
      </c>
      <c r="CA314" s="269">
        <f>IF(CA$7="Actual","",IFERROR((INDEX($M314:$Q314,,MATCH(CA$4,$M$4:$Q$4,0))),0))</f>
        <v/>
      </c>
    </row>
    <row r="315" ht="12" customHeight="1" s="227">
      <c r="A315" s="244" t="n"/>
      <c r="B315" s="244" t="n"/>
      <c r="C315" s="244" t="n"/>
      <c r="H315" s="4">
        <f>H305</f>
        <v/>
      </c>
      <c r="I315" s="27" t="inlineStr">
        <is>
          <t>no</t>
        </is>
      </c>
      <c r="K315" s="6" t="n"/>
      <c r="M315" s="267">
        <f>IF(M$7="Actual","",i_Assumptions!M253)</f>
        <v/>
      </c>
      <c r="N315" s="267">
        <f>IF(N$7="Actual","",i_Assumptions!N253)</f>
        <v/>
      </c>
      <c r="O315" s="267">
        <f>IF(O$7="Actual","",i_Assumptions!O253)</f>
        <v/>
      </c>
      <c r="P315" s="267">
        <f>IF(P$7="Actual","",i_Assumptions!P253)</f>
        <v/>
      </c>
      <c r="Q315" s="267">
        <f>IF(Q$7="Actual","",i_Assumptions!Q253)</f>
        <v/>
      </c>
      <c r="R315" s="268" t="n"/>
      <c r="S315" s="268" t="n"/>
      <c r="T315" s="269">
        <f>IF(T$7="Actual","",IFERROR((INDEX($M315:$Q315,,MATCH(T$4,$M$4:$Q$4,0))),0))</f>
        <v/>
      </c>
      <c r="U315" s="269">
        <f>IF(U$7="Actual","",IFERROR((INDEX($M315:$Q315,,MATCH(U$4,$M$4:$Q$4,0))),0))</f>
        <v/>
      </c>
      <c r="V315" s="269">
        <f>IF(V$7="Actual","",IFERROR((INDEX($M315:$Q315,,MATCH(V$4,$M$4:$Q$4,0))),0))</f>
        <v/>
      </c>
      <c r="W315" s="269">
        <f>IF(W$7="Actual","",IFERROR((INDEX($M315:$Q315,,MATCH(W$4,$M$4:$Q$4,0))),0))</f>
        <v/>
      </c>
      <c r="X315" s="269">
        <f>IF(X$7="Actual","",IFERROR((INDEX($M315:$Q315,,MATCH(X$4,$M$4:$Q$4,0))),0))</f>
        <v/>
      </c>
      <c r="Y315" s="269">
        <f>IF(Y$7="Actual","",IFERROR((INDEX($M315:$Q315,,MATCH(Y$4,$M$4:$Q$4,0))),0))</f>
        <v/>
      </c>
      <c r="Z315" s="269">
        <f>IF(Z$7="Actual","",IFERROR((INDEX($M315:$Q315,,MATCH(Z$4,$M$4:$Q$4,0))),0))</f>
        <v/>
      </c>
      <c r="AA315" s="269">
        <f>IF(AA$7="Actual","",IFERROR((INDEX($M315:$Q315,,MATCH(AA$4,$M$4:$Q$4,0))),0))</f>
        <v/>
      </c>
      <c r="AB315" s="269">
        <f>IF(AB$7="Actual","",IFERROR((INDEX($M315:$Q315,,MATCH(AB$4,$M$4:$Q$4,0))),0))</f>
        <v/>
      </c>
      <c r="AC315" s="269">
        <f>IF(AC$7="Actual","",IFERROR((INDEX($M315:$Q315,,MATCH(AC$4,$M$4:$Q$4,0))),0))</f>
        <v/>
      </c>
      <c r="AD315" s="269">
        <f>IF(AD$7="Actual","",IFERROR((INDEX($M315:$Q315,,MATCH(AD$4,$M$4:$Q$4,0))),0))</f>
        <v/>
      </c>
      <c r="AE315" s="269">
        <f>IF(AE$7="Actual","",IFERROR((INDEX($M315:$Q315,,MATCH(AE$4,$M$4:$Q$4,0))),0))</f>
        <v/>
      </c>
      <c r="AF315" s="269">
        <f>IF(AF$7="Actual","",IFERROR((INDEX($M315:$Q315,,MATCH(AF$4,$M$4:$Q$4,0))),0))</f>
        <v/>
      </c>
      <c r="AG315" s="269">
        <f>IF(AG$7="Actual","",IFERROR((INDEX($M315:$Q315,,MATCH(AG$4,$M$4:$Q$4,0))),0))</f>
        <v/>
      </c>
      <c r="AH315" s="269">
        <f>IF(AH$7="Actual","",IFERROR((INDEX($M315:$Q315,,MATCH(AH$4,$M$4:$Q$4,0))),0))</f>
        <v/>
      </c>
      <c r="AI315" s="269">
        <f>IF(AI$7="Actual","",IFERROR((INDEX($M315:$Q315,,MATCH(AI$4,$M$4:$Q$4,0))),0))</f>
        <v/>
      </c>
      <c r="AJ315" s="269">
        <f>IF(AJ$7="Actual","",IFERROR((INDEX($M315:$Q315,,MATCH(AJ$4,$M$4:$Q$4,0))),0))</f>
        <v/>
      </c>
      <c r="AK315" s="269">
        <f>IF(AK$7="Actual","",IFERROR((INDEX($M315:$Q315,,MATCH(AK$4,$M$4:$Q$4,0))),0))</f>
        <v/>
      </c>
      <c r="AL315" s="269">
        <f>IF(AL$7="Actual","",IFERROR((INDEX($M315:$Q315,,MATCH(AL$4,$M$4:$Q$4,0))),0))</f>
        <v/>
      </c>
      <c r="AM315" s="269">
        <f>IF(AM$7="Actual","",IFERROR((INDEX($M315:$Q315,,MATCH(AM$4,$M$4:$Q$4,0))),0))</f>
        <v/>
      </c>
      <c r="AN315" s="269">
        <f>IF(AN$7="Actual","",IFERROR((INDEX($M315:$Q315,,MATCH(AN$4,$M$4:$Q$4,0))),0))</f>
        <v/>
      </c>
      <c r="AO315" s="269">
        <f>IF(AO$7="Actual","",IFERROR((INDEX($M315:$Q315,,MATCH(AO$4,$M$4:$Q$4,0))),0))</f>
        <v/>
      </c>
      <c r="AP315" s="269">
        <f>IF(AP$7="Actual","",IFERROR((INDEX($M315:$Q315,,MATCH(AP$4,$M$4:$Q$4,0))),0))</f>
        <v/>
      </c>
      <c r="AQ315" s="269">
        <f>IF(AQ$7="Actual","",IFERROR((INDEX($M315:$Q315,,MATCH(AQ$4,$M$4:$Q$4,0))),0))</f>
        <v/>
      </c>
      <c r="AR315" s="269">
        <f>IF(AR$7="Actual","",IFERROR((INDEX($M315:$Q315,,MATCH(AR$4,$M$4:$Q$4,0))),0))</f>
        <v/>
      </c>
      <c r="AS315" s="269">
        <f>IF(AS$7="Actual","",IFERROR((INDEX($M315:$Q315,,MATCH(AS$4,$M$4:$Q$4,0))),0))</f>
        <v/>
      </c>
      <c r="AT315" s="269">
        <f>IF(AT$7="Actual","",IFERROR((INDEX($M315:$Q315,,MATCH(AT$4,$M$4:$Q$4,0))),0))</f>
        <v/>
      </c>
      <c r="AU315" s="269">
        <f>IF(AU$7="Actual","",IFERROR((INDEX($M315:$Q315,,MATCH(AU$4,$M$4:$Q$4,0))),0))</f>
        <v/>
      </c>
      <c r="AV315" s="269">
        <f>IF(AV$7="Actual","",IFERROR((INDEX($M315:$Q315,,MATCH(AV$4,$M$4:$Q$4,0))),0))</f>
        <v/>
      </c>
      <c r="AW315" s="269">
        <f>IF(AW$7="Actual","",IFERROR((INDEX($M315:$Q315,,MATCH(AW$4,$M$4:$Q$4,0))),0))</f>
        <v/>
      </c>
      <c r="AX315" s="269">
        <f>IF(AX$7="Actual","",IFERROR((INDEX($M315:$Q315,,MATCH(AX$4,$M$4:$Q$4,0))),0))</f>
        <v/>
      </c>
      <c r="AY315" s="269">
        <f>IF(AY$7="Actual","",IFERROR((INDEX($M315:$Q315,,MATCH(AY$4,$M$4:$Q$4,0))),0))</f>
        <v/>
      </c>
      <c r="AZ315" s="269">
        <f>IF(AZ$7="Actual","",IFERROR((INDEX($M315:$Q315,,MATCH(AZ$4,$M$4:$Q$4,0))),0))</f>
        <v/>
      </c>
      <c r="BA315" s="269">
        <f>IF(BA$7="Actual","",IFERROR((INDEX($M315:$Q315,,MATCH(BA$4,$M$4:$Q$4,0))),0))</f>
        <v/>
      </c>
      <c r="BB315" s="269">
        <f>IF(BB$7="Actual","",IFERROR((INDEX($M315:$Q315,,MATCH(BB$4,$M$4:$Q$4,0))),0))</f>
        <v/>
      </c>
      <c r="BC315" s="269">
        <f>IF(BC$7="Actual","",IFERROR((INDEX($M315:$Q315,,MATCH(BC$4,$M$4:$Q$4,0))),0))</f>
        <v/>
      </c>
      <c r="BD315" s="269">
        <f>IF(BD$7="Actual","",IFERROR((INDEX($M315:$Q315,,MATCH(BD$4,$M$4:$Q$4,0))),0))</f>
        <v/>
      </c>
      <c r="BE315" s="269">
        <f>IF(BE$7="Actual","",IFERROR((INDEX($M315:$Q315,,MATCH(BE$4,$M$4:$Q$4,0))),0))</f>
        <v/>
      </c>
      <c r="BF315" s="269">
        <f>IF(BF$7="Actual","",IFERROR((INDEX($M315:$Q315,,MATCH(BF$4,$M$4:$Q$4,0))),0))</f>
        <v/>
      </c>
      <c r="BG315" s="269">
        <f>IF(BG$7="Actual","",IFERROR((INDEX($M315:$Q315,,MATCH(BG$4,$M$4:$Q$4,0))),0))</f>
        <v/>
      </c>
      <c r="BH315" s="269">
        <f>IF(BH$7="Actual","",IFERROR((INDEX($M315:$Q315,,MATCH(BH$4,$M$4:$Q$4,0))),0))</f>
        <v/>
      </c>
      <c r="BI315" s="269">
        <f>IF(BI$7="Actual","",IFERROR((INDEX($M315:$Q315,,MATCH(BI$4,$M$4:$Q$4,0))),0))</f>
        <v/>
      </c>
      <c r="BJ315" s="269">
        <f>IF(BJ$7="Actual","",IFERROR((INDEX($M315:$Q315,,MATCH(BJ$4,$M$4:$Q$4,0))),0))</f>
        <v/>
      </c>
      <c r="BK315" s="269">
        <f>IF(BK$7="Actual","",IFERROR((INDEX($M315:$Q315,,MATCH(BK$4,$M$4:$Q$4,0))),0))</f>
        <v/>
      </c>
      <c r="BL315" s="269">
        <f>IF(BL$7="Actual","",IFERROR((INDEX($M315:$Q315,,MATCH(BL$4,$M$4:$Q$4,0))),0))</f>
        <v/>
      </c>
      <c r="BM315" s="269">
        <f>IF(BM$7="Actual","",IFERROR((INDEX($M315:$Q315,,MATCH(BM$4,$M$4:$Q$4,0))),0))</f>
        <v/>
      </c>
      <c r="BN315" s="269">
        <f>IF(BN$7="Actual","",IFERROR((INDEX($M315:$Q315,,MATCH(BN$4,$M$4:$Q$4,0))),0))</f>
        <v/>
      </c>
      <c r="BO315" s="269">
        <f>IF(BO$7="Actual","",IFERROR((INDEX($M315:$Q315,,MATCH(BO$4,$M$4:$Q$4,0))),0))</f>
        <v/>
      </c>
      <c r="BP315" s="269">
        <f>IF(BP$7="Actual","",IFERROR((INDEX($M315:$Q315,,MATCH(BP$4,$M$4:$Q$4,0))),0))</f>
        <v/>
      </c>
      <c r="BQ315" s="269">
        <f>IF(BQ$7="Actual","",IFERROR((INDEX($M315:$Q315,,MATCH(BQ$4,$M$4:$Q$4,0))),0))</f>
        <v/>
      </c>
      <c r="BR315" s="269">
        <f>IF(BR$7="Actual","",IFERROR((INDEX($M315:$Q315,,MATCH(BR$4,$M$4:$Q$4,0))),0))</f>
        <v/>
      </c>
      <c r="BS315" s="269">
        <f>IF(BS$7="Actual","",IFERROR((INDEX($M315:$Q315,,MATCH(BS$4,$M$4:$Q$4,0))),0))</f>
        <v/>
      </c>
      <c r="BT315" s="269">
        <f>IF(BT$7="Actual","",IFERROR((INDEX($M315:$Q315,,MATCH(BT$4,$M$4:$Q$4,0))),0))</f>
        <v/>
      </c>
      <c r="BU315" s="269">
        <f>IF(BU$7="Actual","",IFERROR((INDEX($M315:$Q315,,MATCH(BU$4,$M$4:$Q$4,0))),0))</f>
        <v/>
      </c>
      <c r="BV315" s="269">
        <f>IF(BV$7="Actual","",IFERROR((INDEX($M315:$Q315,,MATCH(BV$4,$M$4:$Q$4,0))),0))</f>
        <v/>
      </c>
      <c r="BW315" s="269">
        <f>IF(BW$7="Actual","",IFERROR((INDEX($M315:$Q315,,MATCH(BW$4,$M$4:$Q$4,0))),0))</f>
        <v/>
      </c>
      <c r="BX315" s="269">
        <f>IF(BX$7="Actual","",IFERROR((INDEX($M315:$Q315,,MATCH(BX$4,$M$4:$Q$4,0))),0))</f>
        <v/>
      </c>
      <c r="BY315" s="269">
        <f>IF(BY$7="Actual","",IFERROR((INDEX($M315:$Q315,,MATCH(BY$4,$M$4:$Q$4,0))),0))</f>
        <v/>
      </c>
      <c r="BZ315" s="269">
        <f>IF(BZ$7="Actual","",IFERROR((INDEX($M315:$Q315,,MATCH(BZ$4,$M$4:$Q$4,0))),0))</f>
        <v/>
      </c>
      <c r="CA315" s="269">
        <f>IF(CA$7="Actual","",IFERROR((INDEX($M315:$Q315,,MATCH(CA$4,$M$4:$Q$4,0))),0))</f>
        <v/>
      </c>
    </row>
    <row r="316" ht="12" customHeight="1" s="227">
      <c r="A316" s="244" t="n"/>
      <c r="B316" s="244" t="n"/>
      <c r="C316" s="244" t="n"/>
      <c r="H316" s="4">
        <f>H306</f>
        <v/>
      </c>
      <c r="I316" s="27" t="inlineStr">
        <is>
          <t>no</t>
        </is>
      </c>
      <c r="K316" s="6" t="n"/>
      <c r="M316" s="267">
        <f>IF(M$7="Actual","",i_Assumptions!M254)</f>
        <v/>
      </c>
      <c r="N316" s="267">
        <f>IF(N$7="Actual","",i_Assumptions!N254)</f>
        <v/>
      </c>
      <c r="O316" s="267">
        <f>IF(O$7="Actual","",i_Assumptions!O254)</f>
        <v/>
      </c>
      <c r="P316" s="267">
        <f>IF(P$7="Actual","",i_Assumptions!P254)</f>
        <v/>
      </c>
      <c r="Q316" s="267">
        <f>IF(Q$7="Actual","",i_Assumptions!Q254)</f>
        <v/>
      </c>
      <c r="R316" s="268" t="n"/>
      <c r="S316" s="268" t="n"/>
      <c r="T316" s="269">
        <f>IF(T$7="Actual","",IFERROR((INDEX($M316:$Q316,,MATCH(T$4,$M$4:$Q$4,0))),0))</f>
        <v/>
      </c>
      <c r="U316" s="269">
        <f>IF(U$7="Actual","",IFERROR((INDEX($M316:$Q316,,MATCH(U$4,$M$4:$Q$4,0))),0))</f>
        <v/>
      </c>
      <c r="V316" s="269">
        <f>IF(V$7="Actual","",IFERROR((INDEX($M316:$Q316,,MATCH(V$4,$M$4:$Q$4,0))),0))</f>
        <v/>
      </c>
      <c r="W316" s="269">
        <f>IF(W$7="Actual","",IFERROR((INDEX($M316:$Q316,,MATCH(W$4,$M$4:$Q$4,0))),0))</f>
        <v/>
      </c>
      <c r="X316" s="269">
        <f>IF(X$7="Actual","",IFERROR((INDEX($M316:$Q316,,MATCH(X$4,$M$4:$Q$4,0))),0))</f>
        <v/>
      </c>
      <c r="Y316" s="269">
        <f>IF(Y$7="Actual","",IFERROR((INDEX($M316:$Q316,,MATCH(Y$4,$M$4:$Q$4,0))),0))</f>
        <v/>
      </c>
      <c r="Z316" s="269">
        <f>IF(Z$7="Actual","",IFERROR((INDEX($M316:$Q316,,MATCH(Z$4,$M$4:$Q$4,0))),0))</f>
        <v/>
      </c>
      <c r="AA316" s="269">
        <f>IF(AA$7="Actual","",IFERROR((INDEX($M316:$Q316,,MATCH(AA$4,$M$4:$Q$4,0))),0))</f>
        <v/>
      </c>
      <c r="AB316" s="269">
        <f>IF(AB$7="Actual","",IFERROR((INDEX($M316:$Q316,,MATCH(AB$4,$M$4:$Q$4,0))),0))</f>
        <v/>
      </c>
      <c r="AC316" s="269">
        <f>IF(AC$7="Actual","",IFERROR((INDEX($M316:$Q316,,MATCH(AC$4,$M$4:$Q$4,0))),0))</f>
        <v/>
      </c>
      <c r="AD316" s="269">
        <f>IF(AD$7="Actual","",IFERROR((INDEX($M316:$Q316,,MATCH(AD$4,$M$4:$Q$4,0))),0))</f>
        <v/>
      </c>
      <c r="AE316" s="269">
        <f>IF(AE$7="Actual","",IFERROR((INDEX($M316:$Q316,,MATCH(AE$4,$M$4:$Q$4,0))),0))</f>
        <v/>
      </c>
      <c r="AF316" s="269">
        <f>IF(AF$7="Actual","",IFERROR((INDEX($M316:$Q316,,MATCH(AF$4,$M$4:$Q$4,0))),0))</f>
        <v/>
      </c>
      <c r="AG316" s="269">
        <f>IF(AG$7="Actual","",IFERROR((INDEX($M316:$Q316,,MATCH(AG$4,$M$4:$Q$4,0))),0))</f>
        <v/>
      </c>
      <c r="AH316" s="269">
        <f>IF(AH$7="Actual","",IFERROR((INDEX($M316:$Q316,,MATCH(AH$4,$M$4:$Q$4,0))),0))</f>
        <v/>
      </c>
      <c r="AI316" s="269">
        <f>IF(AI$7="Actual","",IFERROR((INDEX($M316:$Q316,,MATCH(AI$4,$M$4:$Q$4,0))),0))</f>
        <v/>
      </c>
      <c r="AJ316" s="269">
        <f>IF(AJ$7="Actual","",IFERROR((INDEX($M316:$Q316,,MATCH(AJ$4,$M$4:$Q$4,0))),0))</f>
        <v/>
      </c>
      <c r="AK316" s="269">
        <f>IF(AK$7="Actual","",IFERROR((INDEX($M316:$Q316,,MATCH(AK$4,$M$4:$Q$4,0))),0))</f>
        <v/>
      </c>
      <c r="AL316" s="269">
        <f>IF(AL$7="Actual","",IFERROR((INDEX($M316:$Q316,,MATCH(AL$4,$M$4:$Q$4,0))),0))</f>
        <v/>
      </c>
      <c r="AM316" s="269">
        <f>IF(AM$7="Actual","",IFERROR((INDEX($M316:$Q316,,MATCH(AM$4,$M$4:$Q$4,0))),0))</f>
        <v/>
      </c>
      <c r="AN316" s="269">
        <f>IF(AN$7="Actual","",IFERROR((INDEX($M316:$Q316,,MATCH(AN$4,$M$4:$Q$4,0))),0))</f>
        <v/>
      </c>
      <c r="AO316" s="269">
        <f>IF(AO$7="Actual","",IFERROR((INDEX($M316:$Q316,,MATCH(AO$4,$M$4:$Q$4,0))),0))</f>
        <v/>
      </c>
      <c r="AP316" s="269">
        <f>IF(AP$7="Actual","",IFERROR((INDEX($M316:$Q316,,MATCH(AP$4,$M$4:$Q$4,0))),0))</f>
        <v/>
      </c>
      <c r="AQ316" s="269">
        <f>IF(AQ$7="Actual","",IFERROR((INDEX($M316:$Q316,,MATCH(AQ$4,$M$4:$Q$4,0))),0))</f>
        <v/>
      </c>
      <c r="AR316" s="269">
        <f>IF(AR$7="Actual","",IFERROR((INDEX($M316:$Q316,,MATCH(AR$4,$M$4:$Q$4,0))),0))</f>
        <v/>
      </c>
      <c r="AS316" s="269">
        <f>IF(AS$7="Actual","",IFERROR((INDEX($M316:$Q316,,MATCH(AS$4,$M$4:$Q$4,0))),0))</f>
        <v/>
      </c>
      <c r="AT316" s="269">
        <f>IF(AT$7="Actual","",IFERROR((INDEX($M316:$Q316,,MATCH(AT$4,$M$4:$Q$4,0))),0))</f>
        <v/>
      </c>
      <c r="AU316" s="269">
        <f>IF(AU$7="Actual","",IFERROR((INDEX($M316:$Q316,,MATCH(AU$4,$M$4:$Q$4,0))),0))</f>
        <v/>
      </c>
      <c r="AV316" s="269">
        <f>IF(AV$7="Actual","",IFERROR((INDEX($M316:$Q316,,MATCH(AV$4,$M$4:$Q$4,0))),0))</f>
        <v/>
      </c>
      <c r="AW316" s="269">
        <f>IF(AW$7="Actual","",IFERROR((INDEX($M316:$Q316,,MATCH(AW$4,$M$4:$Q$4,0))),0))</f>
        <v/>
      </c>
      <c r="AX316" s="269">
        <f>IF(AX$7="Actual","",IFERROR((INDEX($M316:$Q316,,MATCH(AX$4,$M$4:$Q$4,0))),0))</f>
        <v/>
      </c>
      <c r="AY316" s="269">
        <f>IF(AY$7="Actual","",IFERROR((INDEX($M316:$Q316,,MATCH(AY$4,$M$4:$Q$4,0))),0))</f>
        <v/>
      </c>
      <c r="AZ316" s="269">
        <f>IF(AZ$7="Actual","",IFERROR((INDEX($M316:$Q316,,MATCH(AZ$4,$M$4:$Q$4,0))),0))</f>
        <v/>
      </c>
      <c r="BA316" s="269">
        <f>IF(BA$7="Actual","",IFERROR((INDEX($M316:$Q316,,MATCH(BA$4,$M$4:$Q$4,0))),0))</f>
        <v/>
      </c>
      <c r="BB316" s="269">
        <f>IF(BB$7="Actual","",IFERROR((INDEX($M316:$Q316,,MATCH(BB$4,$M$4:$Q$4,0))),0))</f>
        <v/>
      </c>
      <c r="BC316" s="269">
        <f>IF(BC$7="Actual","",IFERROR((INDEX($M316:$Q316,,MATCH(BC$4,$M$4:$Q$4,0))),0))</f>
        <v/>
      </c>
      <c r="BD316" s="269">
        <f>IF(BD$7="Actual","",IFERROR((INDEX($M316:$Q316,,MATCH(BD$4,$M$4:$Q$4,0))),0))</f>
        <v/>
      </c>
      <c r="BE316" s="269">
        <f>IF(BE$7="Actual","",IFERROR((INDEX($M316:$Q316,,MATCH(BE$4,$M$4:$Q$4,0))),0))</f>
        <v/>
      </c>
      <c r="BF316" s="269">
        <f>IF(BF$7="Actual","",IFERROR((INDEX($M316:$Q316,,MATCH(BF$4,$M$4:$Q$4,0))),0))</f>
        <v/>
      </c>
      <c r="BG316" s="269">
        <f>IF(BG$7="Actual","",IFERROR((INDEX($M316:$Q316,,MATCH(BG$4,$M$4:$Q$4,0))),0))</f>
        <v/>
      </c>
      <c r="BH316" s="269">
        <f>IF(BH$7="Actual","",IFERROR((INDEX($M316:$Q316,,MATCH(BH$4,$M$4:$Q$4,0))),0))</f>
        <v/>
      </c>
      <c r="BI316" s="269">
        <f>IF(BI$7="Actual","",IFERROR((INDEX($M316:$Q316,,MATCH(BI$4,$M$4:$Q$4,0))),0))</f>
        <v/>
      </c>
      <c r="BJ316" s="269">
        <f>IF(BJ$7="Actual","",IFERROR((INDEX($M316:$Q316,,MATCH(BJ$4,$M$4:$Q$4,0))),0))</f>
        <v/>
      </c>
      <c r="BK316" s="269">
        <f>IF(BK$7="Actual","",IFERROR((INDEX($M316:$Q316,,MATCH(BK$4,$M$4:$Q$4,0))),0))</f>
        <v/>
      </c>
      <c r="BL316" s="269">
        <f>IF(BL$7="Actual","",IFERROR((INDEX($M316:$Q316,,MATCH(BL$4,$M$4:$Q$4,0))),0))</f>
        <v/>
      </c>
      <c r="BM316" s="269">
        <f>IF(BM$7="Actual","",IFERROR((INDEX($M316:$Q316,,MATCH(BM$4,$M$4:$Q$4,0))),0))</f>
        <v/>
      </c>
      <c r="BN316" s="269">
        <f>IF(BN$7="Actual","",IFERROR((INDEX($M316:$Q316,,MATCH(BN$4,$M$4:$Q$4,0))),0))</f>
        <v/>
      </c>
      <c r="BO316" s="269">
        <f>IF(BO$7="Actual","",IFERROR((INDEX($M316:$Q316,,MATCH(BO$4,$M$4:$Q$4,0))),0))</f>
        <v/>
      </c>
      <c r="BP316" s="269">
        <f>IF(BP$7="Actual","",IFERROR((INDEX($M316:$Q316,,MATCH(BP$4,$M$4:$Q$4,0))),0))</f>
        <v/>
      </c>
      <c r="BQ316" s="269">
        <f>IF(BQ$7="Actual","",IFERROR((INDEX($M316:$Q316,,MATCH(BQ$4,$M$4:$Q$4,0))),0))</f>
        <v/>
      </c>
      <c r="BR316" s="269">
        <f>IF(BR$7="Actual","",IFERROR((INDEX($M316:$Q316,,MATCH(BR$4,$M$4:$Q$4,0))),0))</f>
        <v/>
      </c>
      <c r="BS316" s="269">
        <f>IF(BS$7="Actual","",IFERROR((INDEX($M316:$Q316,,MATCH(BS$4,$M$4:$Q$4,0))),0))</f>
        <v/>
      </c>
      <c r="BT316" s="269">
        <f>IF(BT$7="Actual","",IFERROR((INDEX($M316:$Q316,,MATCH(BT$4,$M$4:$Q$4,0))),0))</f>
        <v/>
      </c>
      <c r="BU316" s="269">
        <f>IF(BU$7="Actual","",IFERROR((INDEX($M316:$Q316,,MATCH(BU$4,$M$4:$Q$4,0))),0))</f>
        <v/>
      </c>
      <c r="BV316" s="269">
        <f>IF(BV$7="Actual","",IFERROR((INDEX($M316:$Q316,,MATCH(BV$4,$M$4:$Q$4,0))),0))</f>
        <v/>
      </c>
      <c r="BW316" s="269">
        <f>IF(BW$7="Actual","",IFERROR((INDEX($M316:$Q316,,MATCH(BW$4,$M$4:$Q$4,0))),0))</f>
        <v/>
      </c>
      <c r="BX316" s="269">
        <f>IF(BX$7="Actual","",IFERROR((INDEX($M316:$Q316,,MATCH(BX$4,$M$4:$Q$4,0))),0))</f>
        <v/>
      </c>
      <c r="BY316" s="269">
        <f>IF(BY$7="Actual","",IFERROR((INDEX($M316:$Q316,,MATCH(BY$4,$M$4:$Q$4,0))),0))</f>
        <v/>
      </c>
      <c r="BZ316" s="269">
        <f>IF(BZ$7="Actual","",IFERROR((INDEX($M316:$Q316,,MATCH(BZ$4,$M$4:$Q$4,0))),0))</f>
        <v/>
      </c>
      <c r="CA316" s="269">
        <f>IF(CA$7="Actual","",IFERROR((INDEX($M316:$Q316,,MATCH(CA$4,$M$4:$Q$4,0))),0))</f>
        <v/>
      </c>
    </row>
    <row r="317" ht="12" customHeight="1" s="227">
      <c r="A317" s="244" t="n"/>
      <c r="B317" s="244" t="n"/>
      <c r="C317" s="244" t="n"/>
      <c r="K317" s="6" t="n"/>
    </row>
    <row r="318" ht="12" customHeight="1" s="227">
      <c r="A318" s="244" t="n"/>
      <c r="B318" s="244" t="n"/>
      <c r="C318" s="244" t="n"/>
      <c r="H318" s="8">
        <f>i_Setup!U37</f>
        <v/>
      </c>
      <c r="K318" s="6" t="n"/>
    </row>
    <row r="319" ht="12" customHeight="1" s="227">
      <c r="A319" s="244" t="n"/>
      <c r="B319" s="244" t="n"/>
      <c r="C319" s="244" t="n"/>
      <c r="H319" s="4">
        <f>H309</f>
        <v/>
      </c>
      <c r="I319" s="27" t="inlineStr">
        <is>
          <t>no</t>
        </is>
      </c>
      <c r="K319" s="6" t="n"/>
      <c r="M319" s="267">
        <f>IF(M$7="Actual","",i_Assumptions!M287)</f>
        <v/>
      </c>
      <c r="N319" s="267">
        <f>IF(N$7="Actual","",i_Assumptions!N287)</f>
        <v/>
      </c>
      <c r="O319" s="267">
        <f>IF(O$7="Actual","",i_Assumptions!O287)</f>
        <v/>
      </c>
      <c r="P319" s="267">
        <f>IF(P$7="Actual","",i_Assumptions!P287)</f>
        <v/>
      </c>
      <c r="Q319" s="267">
        <f>IF(Q$7="Actual","",i_Assumptions!Q287)</f>
        <v/>
      </c>
      <c r="R319" s="268" t="n"/>
      <c r="S319" s="268" t="n"/>
      <c r="T319" s="269">
        <f>IF(T$7="Actual","",IFERROR((INDEX($M319:$Q319,,MATCH(T$4,$M$4:$Q$4,0))),0))</f>
        <v/>
      </c>
      <c r="U319" s="269">
        <f>IF(U$7="Actual","",IFERROR((INDEX($M319:$Q319,,MATCH(U$4,$M$4:$Q$4,0))),0))</f>
        <v/>
      </c>
      <c r="V319" s="269">
        <f>IF(V$7="Actual","",IFERROR((INDEX($M319:$Q319,,MATCH(V$4,$M$4:$Q$4,0))),0))</f>
        <v/>
      </c>
      <c r="W319" s="269">
        <f>IF(W$7="Actual","",IFERROR((INDEX($M319:$Q319,,MATCH(W$4,$M$4:$Q$4,0))),0))</f>
        <v/>
      </c>
      <c r="X319" s="269">
        <f>IF(X$7="Actual","",IFERROR((INDEX($M319:$Q319,,MATCH(X$4,$M$4:$Q$4,0))),0))</f>
        <v/>
      </c>
      <c r="Y319" s="269">
        <f>IF(Y$7="Actual","",IFERROR((INDEX($M319:$Q319,,MATCH(Y$4,$M$4:$Q$4,0))),0))</f>
        <v/>
      </c>
      <c r="Z319" s="269">
        <f>IF(Z$7="Actual","",IFERROR((INDEX($M319:$Q319,,MATCH(Z$4,$M$4:$Q$4,0))),0))</f>
        <v/>
      </c>
      <c r="AA319" s="269">
        <f>IF(AA$7="Actual","",IFERROR((INDEX($M319:$Q319,,MATCH(AA$4,$M$4:$Q$4,0))),0))</f>
        <v/>
      </c>
      <c r="AB319" s="269">
        <f>IF(AB$7="Actual","",IFERROR((INDEX($M319:$Q319,,MATCH(AB$4,$M$4:$Q$4,0))),0))</f>
        <v/>
      </c>
      <c r="AC319" s="269">
        <f>IF(AC$7="Actual","",IFERROR((INDEX($M319:$Q319,,MATCH(AC$4,$M$4:$Q$4,0))),0))</f>
        <v/>
      </c>
      <c r="AD319" s="269">
        <f>IF(AD$7="Actual","",IFERROR((INDEX($M319:$Q319,,MATCH(AD$4,$M$4:$Q$4,0))),0))</f>
        <v/>
      </c>
      <c r="AE319" s="269">
        <f>IF(AE$7="Actual","",IFERROR((INDEX($M319:$Q319,,MATCH(AE$4,$M$4:$Q$4,0))),0))</f>
        <v/>
      </c>
      <c r="AF319" s="269">
        <f>IF(AF$7="Actual","",IFERROR((INDEX($M319:$Q319,,MATCH(AF$4,$M$4:$Q$4,0))),0))</f>
        <v/>
      </c>
      <c r="AG319" s="269">
        <f>IF(AG$7="Actual","",IFERROR((INDEX($M319:$Q319,,MATCH(AG$4,$M$4:$Q$4,0))),0))</f>
        <v/>
      </c>
      <c r="AH319" s="269">
        <f>IF(AH$7="Actual","",IFERROR((INDEX($M319:$Q319,,MATCH(AH$4,$M$4:$Q$4,0))),0))</f>
        <v/>
      </c>
      <c r="AI319" s="269">
        <f>IF(AI$7="Actual","",IFERROR((INDEX($M319:$Q319,,MATCH(AI$4,$M$4:$Q$4,0))),0))</f>
        <v/>
      </c>
      <c r="AJ319" s="269">
        <f>IF(AJ$7="Actual","",IFERROR((INDEX($M319:$Q319,,MATCH(AJ$4,$M$4:$Q$4,0))),0))</f>
        <v/>
      </c>
      <c r="AK319" s="269">
        <f>IF(AK$7="Actual","",IFERROR((INDEX($M319:$Q319,,MATCH(AK$4,$M$4:$Q$4,0))),0))</f>
        <v/>
      </c>
      <c r="AL319" s="269">
        <f>IF(AL$7="Actual","",IFERROR((INDEX($M319:$Q319,,MATCH(AL$4,$M$4:$Q$4,0))),0))</f>
        <v/>
      </c>
      <c r="AM319" s="269">
        <f>IF(AM$7="Actual","",IFERROR((INDEX($M319:$Q319,,MATCH(AM$4,$M$4:$Q$4,0))),0))</f>
        <v/>
      </c>
      <c r="AN319" s="269">
        <f>IF(AN$7="Actual","",IFERROR((INDEX($M319:$Q319,,MATCH(AN$4,$M$4:$Q$4,0))),0))</f>
        <v/>
      </c>
      <c r="AO319" s="269">
        <f>IF(AO$7="Actual","",IFERROR((INDEX($M319:$Q319,,MATCH(AO$4,$M$4:$Q$4,0))),0))</f>
        <v/>
      </c>
      <c r="AP319" s="269">
        <f>IF(AP$7="Actual","",IFERROR((INDEX($M319:$Q319,,MATCH(AP$4,$M$4:$Q$4,0))),0))</f>
        <v/>
      </c>
      <c r="AQ319" s="269">
        <f>IF(AQ$7="Actual","",IFERROR((INDEX($M319:$Q319,,MATCH(AQ$4,$M$4:$Q$4,0))),0))</f>
        <v/>
      </c>
      <c r="AR319" s="269">
        <f>IF(AR$7="Actual","",IFERROR((INDEX($M319:$Q319,,MATCH(AR$4,$M$4:$Q$4,0))),0))</f>
        <v/>
      </c>
      <c r="AS319" s="269">
        <f>IF(AS$7="Actual","",IFERROR((INDEX($M319:$Q319,,MATCH(AS$4,$M$4:$Q$4,0))),0))</f>
        <v/>
      </c>
      <c r="AT319" s="269">
        <f>IF(AT$7="Actual","",IFERROR((INDEX($M319:$Q319,,MATCH(AT$4,$M$4:$Q$4,0))),0))</f>
        <v/>
      </c>
      <c r="AU319" s="269">
        <f>IF(AU$7="Actual","",IFERROR((INDEX($M319:$Q319,,MATCH(AU$4,$M$4:$Q$4,0))),0))</f>
        <v/>
      </c>
      <c r="AV319" s="269">
        <f>IF(AV$7="Actual","",IFERROR((INDEX($M319:$Q319,,MATCH(AV$4,$M$4:$Q$4,0))),0))</f>
        <v/>
      </c>
      <c r="AW319" s="269">
        <f>IF(AW$7="Actual","",IFERROR((INDEX($M319:$Q319,,MATCH(AW$4,$M$4:$Q$4,0))),0))</f>
        <v/>
      </c>
      <c r="AX319" s="269">
        <f>IF(AX$7="Actual","",IFERROR((INDEX($M319:$Q319,,MATCH(AX$4,$M$4:$Q$4,0))),0))</f>
        <v/>
      </c>
      <c r="AY319" s="269">
        <f>IF(AY$7="Actual","",IFERROR((INDEX($M319:$Q319,,MATCH(AY$4,$M$4:$Q$4,0))),0))</f>
        <v/>
      </c>
      <c r="AZ319" s="269">
        <f>IF(AZ$7="Actual","",IFERROR((INDEX($M319:$Q319,,MATCH(AZ$4,$M$4:$Q$4,0))),0))</f>
        <v/>
      </c>
      <c r="BA319" s="269">
        <f>IF(BA$7="Actual","",IFERROR((INDEX($M319:$Q319,,MATCH(BA$4,$M$4:$Q$4,0))),0))</f>
        <v/>
      </c>
      <c r="BB319" s="269">
        <f>IF(BB$7="Actual","",IFERROR((INDEX($M319:$Q319,,MATCH(BB$4,$M$4:$Q$4,0))),0))</f>
        <v/>
      </c>
      <c r="BC319" s="269">
        <f>IF(BC$7="Actual","",IFERROR((INDEX($M319:$Q319,,MATCH(BC$4,$M$4:$Q$4,0))),0))</f>
        <v/>
      </c>
      <c r="BD319" s="269">
        <f>IF(BD$7="Actual","",IFERROR((INDEX($M319:$Q319,,MATCH(BD$4,$M$4:$Q$4,0))),0))</f>
        <v/>
      </c>
      <c r="BE319" s="269">
        <f>IF(BE$7="Actual","",IFERROR((INDEX($M319:$Q319,,MATCH(BE$4,$M$4:$Q$4,0))),0))</f>
        <v/>
      </c>
      <c r="BF319" s="269">
        <f>IF(BF$7="Actual","",IFERROR((INDEX($M319:$Q319,,MATCH(BF$4,$M$4:$Q$4,0))),0))</f>
        <v/>
      </c>
      <c r="BG319" s="269">
        <f>IF(BG$7="Actual","",IFERROR((INDEX($M319:$Q319,,MATCH(BG$4,$M$4:$Q$4,0))),0))</f>
        <v/>
      </c>
      <c r="BH319" s="269">
        <f>IF(BH$7="Actual","",IFERROR((INDEX($M319:$Q319,,MATCH(BH$4,$M$4:$Q$4,0))),0))</f>
        <v/>
      </c>
      <c r="BI319" s="269">
        <f>IF(BI$7="Actual","",IFERROR((INDEX($M319:$Q319,,MATCH(BI$4,$M$4:$Q$4,0))),0))</f>
        <v/>
      </c>
      <c r="BJ319" s="269">
        <f>IF(BJ$7="Actual","",IFERROR((INDEX($M319:$Q319,,MATCH(BJ$4,$M$4:$Q$4,0))),0))</f>
        <v/>
      </c>
      <c r="BK319" s="269">
        <f>IF(BK$7="Actual","",IFERROR((INDEX($M319:$Q319,,MATCH(BK$4,$M$4:$Q$4,0))),0))</f>
        <v/>
      </c>
      <c r="BL319" s="269">
        <f>IF(BL$7="Actual","",IFERROR((INDEX($M319:$Q319,,MATCH(BL$4,$M$4:$Q$4,0))),0))</f>
        <v/>
      </c>
      <c r="BM319" s="269">
        <f>IF(BM$7="Actual","",IFERROR((INDEX($M319:$Q319,,MATCH(BM$4,$M$4:$Q$4,0))),0))</f>
        <v/>
      </c>
      <c r="BN319" s="269">
        <f>IF(BN$7="Actual","",IFERROR((INDEX($M319:$Q319,,MATCH(BN$4,$M$4:$Q$4,0))),0))</f>
        <v/>
      </c>
      <c r="BO319" s="269">
        <f>IF(BO$7="Actual","",IFERROR((INDEX($M319:$Q319,,MATCH(BO$4,$M$4:$Q$4,0))),0))</f>
        <v/>
      </c>
      <c r="BP319" s="269">
        <f>IF(BP$7="Actual","",IFERROR((INDEX($M319:$Q319,,MATCH(BP$4,$M$4:$Q$4,0))),0))</f>
        <v/>
      </c>
      <c r="BQ319" s="269">
        <f>IF(BQ$7="Actual","",IFERROR((INDEX($M319:$Q319,,MATCH(BQ$4,$M$4:$Q$4,0))),0))</f>
        <v/>
      </c>
      <c r="BR319" s="269">
        <f>IF(BR$7="Actual","",IFERROR((INDEX($M319:$Q319,,MATCH(BR$4,$M$4:$Q$4,0))),0))</f>
        <v/>
      </c>
      <c r="BS319" s="269">
        <f>IF(BS$7="Actual","",IFERROR((INDEX($M319:$Q319,,MATCH(BS$4,$M$4:$Q$4,0))),0))</f>
        <v/>
      </c>
      <c r="BT319" s="269">
        <f>IF(BT$7="Actual","",IFERROR((INDEX($M319:$Q319,,MATCH(BT$4,$M$4:$Q$4,0))),0))</f>
        <v/>
      </c>
      <c r="BU319" s="269">
        <f>IF(BU$7="Actual","",IFERROR((INDEX($M319:$Q319,,MATCH(BU$4,$M$4:$Q$4,0))),0))</f>
        <v/>
      </c>
      <c r="BV319" s="269">
        <f>IF(BV$7="Actual","",IFERROR((INDEX($M319:$Q319,,MATCH(BV$4,$M$4:$Q$4,0))),0))</f>
        <v/>
      </c>
      <c r="BW319" s="269">
        <f>IF(BW$7="Actual","",IFERROR((INDEX($M319:$Q319,,MATCH(BW$4,$M$4:$Q$4,0))),0))</f>
        <v/>
      </c>
      <c r="BX319" s="269">
        <f>IF(BX$7="Actual","",IFERROR((INDEX($M319:$Q319,,MATCH(BX$4,$M$4:$Q$4,0))),0))</f>
        <v/>
      </c>
      <c r="BY319" s="269">
        <f>IF(BY$7="Actual","",IFERROR((INDEX($M319:$Q319,,MATCH(BY$4,$M$4:$Q$4,0))),0))</f>
        <v/>
      </c>
      <c r="BZ319" s="269">
        <f>IF(BZ$7="Actual","",IFERROR((INDEX($M319:$Q319,,MATCH(BZ$4,$M$4:$Q$4,0))),0))</f>
        <v/>
      </c>
      <c r="CA319" s="269">
        <f>IF(CA$7="Actual","",IFERROR((INDEX($M319:$Q319,,MATCH(CA$4,$M$4:$Q$4,0))),0))</f>
        <v/>
      </c>
    </row>
    <row r="320" ht="12" customHeight="1" s="227">
      <c r="A320" s="244" t="n"/>
      <c r="B320" s="244" t="n"/>
      <c r="C320" s="244" t="n"/>
      <c r="H320" s="4">
        <f>H310</f>
        <v/>
      </c>
      <c r="I320" s="27" t="inlineStr">
        <is>
          <t>no</t>
        </is>
      </c>
      <c r="K320" s="6" t="n"/>
      <c r="M320" s="267">
        <f>IF(M$7="Actual","",i_Assumptions!M288)</f>
        <v/>
      </c>
      <c r="N320" s="267">
        <f>IF(N$7="Actual","",i_Assumptions!N288)</f>
        <v/>
      </c>
      <c r="O320" s="267">
        <f>IF(O$7="Actual","",i_Assumptions!O288)</f>
        <v/>
      </c>
      <c r="P320" s="267">
        <f>IF(P$7="Actual","",i_Assumptions!P288)</f>
        <v/>
      </c>
      <c r="Q320" s="267">
        <f>IF(Q$7="Actual","",i_Assumptions!Q288)</f>
        <v/>
      </c>
      <c r="R320" s="268" t="n"/>
      <c r="S320" s="268" t="n"/>
      <c r="T320" s="269">
        <f>IF(T$7="Actual","",IFERROR((INDEX($M320:$Q320,,MATCH(T$4,$M$4:$Q$4,0))),0))</f>
        <v/>
      </c>
      <c r="U320" s="269">
        <f>IF(U$7="Actual","",IFERROR((INDEX($M320:$Q320,,MATCH(U$4,$M$4:$Q$4,0))),0))</f>
        <v/>
      </c>
      <c r="V320" s="269">
        <f>IF(V$7="Actual","",IFERROR((INDEX($M320:$Q320,,MATCH(V$4,$M$4:$Q$4,0))),0))</f>
        <v/>
      </c>
      <c r="W320" s="269">
        <f>IF(W$7="Actual","",IFERROR((INDEX($M320:$Q320,,MATCH(W$4,$M$4:$Q$4,0))),0))</f>
        <v/>
      </c>
      <c r="X320" s="269">
        <f>IF(X$7="Actual","",IFERROR((INDEX($M320:$Q320,,MATCH(X$4,$M$4:$Q$4,0))),0))</f>
        <v/>
      </c>
      <c r="Y320" s="269">
        <f>IF(Y$7="Actual","",IFERROR((INDEX($M320:$Q320,,MATCH(Y$4,$M$4:$Q$4,0))),0))</f>
        <v/>
      </c>
      <c r="Z320" s="269">
        <f>IF(Z$7="Actual","",IFERROR((INDEX($M320:$Q320,,MATCH(Z$4,$M$4:$Q$4,0))),0))</f>
        <v/>
      </c>
      <c r="AA320" s="269">
        <f>IF(AA$7="Actual","",IFERROR((INDEX($M320:$Q320,,MATCH(AA$4,$M$4:$Q$4,0))),0))</f>
        <v/>
      </c>
      <c r="AB320" s="269">
        <f>IF(AB$7="Actual","",IFERROR((INDEX($M320:$Q320,,MATCH(AB$4,$M$4:$Q$4,0))),0))</f>
        <v/>
      </c>
      <c r="AC320" s="269">
        <f>IF(AC$7="Actual","",IFERROR((INDEX($M320:$Q320,,MATCH(AC$4,$M$4:$Q$4,0))),0))</f>
        <v/>
      </c>
      <c r="AD320" s="269">
        <f>IF(AD$7="Actual","",IFERROR((INDEX($M320:$Q320,,MATCH(AD$4,$M$4:$Q$4,0))),0))</f>
        <v/>
      </c>
      <c r="AE320" s="269">
        <f>IF(AE$7="Actual","",IFERROR((INDEX($M320:$Q320,,MATCH(AE$4,$M$4:$Q$4,0))),0))</f>
        <v/>
      </c>
      <c r="AF320" s="269">
        <f>IF(AF$7="Actual","",IFERROR((INDEX($M320:$Q320,,MATCH(AF$4,$M$4:$Q$4,0))),0))</f>
        <v/>
      </c>
      <c r="AG320" s="269">
        <f>IF(AG$7="Actual","",IFERROR((INDEX($M320:$Q320,,MATCH(AG$4,$M$4:$Q$4,0))),0))</f>
        <v/>
      </c>
      <c r="AH320" s="269">
        <f>IF(AH$7="Actual","",IFERROR((INDEX($M320:$Q320,,MATCH(AH$4,$M$4:$Q$4,0))),0))</f>
        <v/>
      </c>
      <c r="AI320" s="269">
        <f>IF(AI$7="Actual","",IFERROR((INDEX($M320:$Q320,,MATCH(AI$4,$M$4:$Q$4,0))),0))</f>
        <v/>
      </c>
      <c r="AJ320" s="269">
        <f>IF(AJ$7="Actual","",IFERROR((INDEX($M320:$Q320,,MATCH(AJ$4,$M$4:$Q$4,0))),0))</f>
        <v/>
      </c>
      <c r="AK320" s="269">
        <f>IF(AK$7="Actual","",IFERROR((INDEX($M320:$Q320,,MATCH(AK$4,$M$4:$Q$4,0))),0))</f>
        <v/>
      </c>
      <c r="AL320" s="269">
        <f>IF(AL$7="Actual","",IFERROR((INDEX($M320:$Q320,,MATCH(AL$4,$M$4:$Q$4,0))),0))</f>
        <v/>
      </c>
      <c r="AM320" s="269">
        <f>IF(AM$7="Actual","",IFERROR((INDEX($M320:$Q320,,MATCH(AM$4,$M$4:$Q$4,0))),0))</f>
        <v/>
      </c>
      <c r="AN320" s="269">
        <f>IF(AN$7="Actual","",IFERROR((INDEX($M320:$Q320,,MATCH(AN$4,$M$4:$Q$4,0))),0))</f>
        <v/>
      </c>
      <c r="AO320" s="269">
        <f>IF(AO$7="Actual","",IFERROR((INDEX($M320:$Q320,,MATCH(AO$4,$M$4:$Q$4,0))),0))</f>
        <v/>
      </c>
      <c r="AP320" s="269">
        <f>IF(AP$7="Actual","",IFERROR((INDEX($M320:$Q320,,MATCH(AP$4,$M$4:$Q$4,0))),0))</f>
        <v/>
      </c>
      <c r="AQ320" s="269">
        <f>IF(AQ$7="Actual","",IFERROR((INDEX($M320:$Q320,,MATCH(AQ$4,$M$4:$Q$4,0))),0))</f>
        <v/>
      </c>
      <c r="AR320" s="269">
        <f>IF(AR$7="Actual","",IFERROR((INDEX($M320:$Q320,,MATCH(AR$4,$M$4:$Q$4,0))),0))</f>
        <v/>
      </c>
      <c r="AS320" s="269">
        <f>IF(AS$7="Actual","",IFERROR((INDEX($M320:$Q320,,MATCH(AS$4,$M$4:$Q$4,0))),0))</f>
        <v/>
      </c>
      <c r="AT320" s="269">
        <f>IF(AT$7="Actual","",IFERROR((INDEX($M320:$Q320,,MATCH(AT$4,$M$4:$Q$4,0))),0))</f>
        <v/>
      </c>
      <c r="AU320" s="269">
        <f>IF(AU$7="Actual","",IFERROR((INDEX($M320:$Q320,,MATCH(AU$4,$M$4:$Q$4,0))),0))</f>
        <v/>
      </c>
      <c r="AV320" s="269">
        <f>IF(AV$7="Actual","",IFERROR((INDEX($M320:$Q320,,MATCH(AV$4,$M$4:$Q$4,0))),0))</f>
        <v/>
      </c>
      <c r="AW320" s="269">
        <f>IF(AW$7="Actual","",IFERROR((INDEX($M320:$Q320,,MATCH(AW$4,$M$4:$Q$4,0))),0))</f>
        <v/>
      </c>
      <c r="AX320" s="269">
        <f>IF(AX$7="Actual","",IFERROR((INDEX($M320:$Q320,,MATCH(AX$4,$M$4:$Q$4,0))),0))</f>
        <v/>
      </c>
      <c r="AY320" s="269">
        <f>IF(AY$7="Actual","",IFERROR((INDEX($M320:$Q320,,MATCH(AY$4,$M$4:$Q$4,0))),0))</f>
        <v/>
      </c>
      <c r="AZ320" s="269">
        <f>IF(AZ$7="Actual","",IFERROR((INDEX($M320:$Q320,,MATCH(AZ$4,$M$4:$Q$4,0))),0))</f>
        <v/>
      </c>
      <c r="BA320" s="269">
        <f>IF(BA$7="Actual","",IFERROR((INDEX($M320:$Q320,,MATCH(BA$4,$M$4:$Q$4,0))),0))</f>
        <v/>
      </c>
      <c r="BB320" s="269">
        <f>IF(BB$7="Actual","",IFERROR((INDEX($M320:$Q320,,MATCH(BB$4,$M$4:$Q$4,0))),0))</f>
        <v/>
      </c>
      <c r="BC320" s="269">
        <f>IF(BC$7="Actual","",IFERROR((INDEX($M320:$Q320,,MATCH(BC$4,$M$4:$Q$4,0))),0))</f>
        <v/>
      </c>
      <c r="BD320" s="269">
        <f>IF(BD$7="Actual","",IFERROR((INDEX($M320:$Q320,,MATCH(BD$4,$M$4:$Q$4,0))),0))</f>
        <v/>
      </c>
      <c r="BE320" s="269">
        <f>IF(BE$7="Actual","",IFERROR((INDEX($M320:$Q320,,MATCH(BE$4,$M$4:$Q$4,0))),0))</f>
        <v/>
      </c>
      <c r="BF320" s="269">
        <f>IF(BF$7="Actual","",IFERROR((INDEX($M320:$Q320,,MATCH(BF$4,$M$4:$Q$4,0))),0))</f>
        <v/>
      </c>
      <c r="BG320" s="269">
        <f>IF(BG$7="Actual","",IFERROR((INDEX($M320:$Q320,,MATCH(BG$4,$M$4:$Q$4,0))),0))</f>
        <v/>
      </c>
      <c r="BH320" s="269">
        <f>IF(BH$7="Actual","",IFERROR((INDEX($M320:$Q320,,MATCH(BH$4,$M$4:$Q$4,0))),0))</f>
        <v/>
      </c>
      <c r="BI320" s="269">
        <f>IF(BI$7="Actual","",IFERROR((INDEX($M320:$Q320,,MATCH(BI$4,$M$4:$Q$4,0))),0))</f>
        <v/>
      </c>
      <c r="BJ320" s="269">
        <f>IF(BJ$7="Actual","",IFERROR((INDEX($M320:$Q320,,MATCH(BJ$4,$M$4:$Q$4,0))),0))</f>
        <v/>
      </c>
      <c r="BK320" s="269">
        <f>IF(BK$7="Actual","",IFERROR((INDEX($M320:$Q320,,MATCH(BK$4,$M$4:$Q$4,0))),0))</f>
        <v/>
      </c>
      <c r="BL320" s="269">
        <f>IF(BL$7="Actual","",IFERROR((INDEX($M320:$Q320,,MATCH(BL$4,$M$4:$Q$4,0))),0))</f>
        <v/>
      </c>
      <c r="BM320" s="269">
        <f>IF(BM$7="Actual","",IFERROR((INDEX($M320:$Q320,,MATCH(BM$4,$M$4:$Q$4,0))),0))</f>
        <v/>
      </c>
      <c r="BN320" s="269">
        <f>IF(BN$7="Actual","",IFERROR((INDEX($M320:$Q320,,MATCH(BN$4,$M$4:$Q$4,0))),0))</f>
        <v/>
      </c>
      <c r="BO320" s="269">
        <f>IF(BO$7="Actual","",IFERROR((INDEX($M320:$Q320,,MATCH(BO$4,$M$4:$Q$4,0))),0))</f>
        <v/>
      </c>
      <c r="BP320" s="269">
        <f>IF(BP$7="Actual","",IFERROR((INDEX($M320:$Q320,,MATCH(BP$4,$M$4:$Q$4,0))),0))</f>
        <v/>
      </c>
      <c r="BQ320" s="269">
        <f>IF(BQ$7="Actual","",IFERROR((INDEX($M320:$Q320,,MATCH(BQ$4,$M$4:$Q$4,0))),0))</f>
        <v/>
      </c>
      <c r="BR320" s="269">
        <f>IF(BR$7="Actual","",IFERROR((INDEX($M320:$Q320,,MATCH(BR$4,$M$4:$Q$4,0))),0))</f>
        <v/>
      </c>
      <c r="BS320" s="269">
        <f>IF(BS$7="Actual","",IFERROR((INDEX($M320:$Q320,,MATCH(BS$4,$M$4:$Q$4,0))),0))</f>
        <v/>
      </c>
      <c r="BT320" s="269">
        <f>IF(BT$7="Actual","",IFERROR((INDEX($M320:$Q320,,MATCH(BT$4,$M$4:$Q$4,0))),0))</f>
        <v/>
      </c>
      <c r="BU320" s="269">
        <f>IF(BU$7="Actual","",IFERROR((INDEX($M320:$Q320,,MATCH(BU$4,$M$4:$Q$4,0))),0))</f>
        <v/>
      </c>
      <c r="BV320" s="269">
        <f>IF(BV$7="Actual","",IFERROR((INDEX($M320:$Q320,,MATCH(BV$4,$M$4:$Q$4,0))),0))</f>
        <v/>
      </c>
      <c r="BW320" s="269">
        <f>IF(BW$7="Actual","",IFERROR((INDEX($M320:$Q320,,MATCH(BW$4,$M$4:$Q$4,0))),0))</f>
        <v/>
      </c>
      <c r="BX320" s="269">
        <f>IF(BX$7="Actual","",IFERROR((INDEX($M320:$Q320,,MATCH(BX$4,$M$4:$Q$4,0))),0))</f>
        <v/>
      </c>
      <c r="BY320" s="269">
        <f>IF(BY$7="Actual","",IFERROR((INDEX($M320:$Q320,,MATCH(BY$4,$M$4:$Q$4,0))),0))</f>
        <v/>
      </c>
      <c r="BZ320" s="269">
        <f>IF(BZ$7="Actual","",IFERROR((INDEX($M320:$Q320,,MATCH(BZ$4,$M$4:$Q$4,0))),0))</f>
        <v/>
      </c>
      <c r="CA320" s="269">
        <f>IF(CA$7="Actual","",IFERROR((INDEX($M320:$Q320,,MATCH(CA$4,$M$4:$Q$4,0))),0))</f>
        <v/>
      </c>
    </row>
    <row r="321" ht="12" customHeight="1" s="227">
      <c r="A321" s="244" t="n"/>
      <c r="B321" s="244" t="n"/>
      <c r="C321" s="244" t="n"/>
      <c r="H321" s="4">
        <f>H311</f>
        <v/>
      </c>
      <c r="I321" s="27" t="inlineStr">
        <is>
          <t>no</t>
        </is>
      </c>
      <c r="K321" s="6" t="n"/>
      <c r="M321" s="267">
        <f>IF(M$7="Actual","",i_Assumptions!M289)</f>
        <v/>
      </c>
      <c r="N321" s="267">
        <f>IF(N$7="Actual","",i_Assumptions!N289)</f>
        <v/>
      </c>
      <c r="O321" s="267">
        <f>IF(O$7="Actual","",i_Assumptions!O289)</f>
        <v/>
      </c>
      <c r="P321" s="267">
        <f>IF(P$7="Actual","",i_Assumptions!P289)</f>
        <v/>
      </c>
      <c r="Q321" s="267">
        <f>IF(Q$7="Actual","",i_Assumptions!Q289)</f>
        <v/>
      </c>
      <c r="R321" s="268" t="n"/>
      <c r="S321" s="268" t="n"/>
      <c r="T321" s="269">
        <f>IF(T$7="Actual","",IFERROR((INDEX($M321:$Q321,,MATCH(T$4,$M$4:$Q$4,0))),0))</f>
        <v/>
      </c>
      <c r="U321" s="269">
        <f>IF(U$7="Actual","",IFERROR((INDEX($M321:$Q321,,MATCH(U$4,$M$4:$Q$4,0))),0))</f>
        <v/>
      </c>
      <c r="V321" s="269">
        <f>IF(V$7="Actual","",IFERROR((INDEX($M321:$Q321,,MATCH(V$4,$M$4:$Q$4,0))),0))</f>
        <v/>
      </c>
      <c r="W321" s="269">
        <f>IF(W$7="Actual","",IFERROR((INDEX($M321:$Q321,,MATCH(W$4,$M$4:$Q$4,0))),0))</f>
        <v/>
      </c>
      <c r="X321" s="269">
        <f>IF(X$7="Actual","",IFERROR((INDEX($M321:$Q321,,MATCH(X$4,$M$4:$Q$4,0))),0))</f>
        <v/>
      </c>
      <c r="Y321" s="269">
        <f>IF(Y$7="Actual","",IFERROR((INDEX($M321:$Q321,,MATCH(Y$4,$M$4:$Q$4,0))),0))</f>
        <v/>
      </c>
      <c r="Z321" s="269">
        <f>IF(Z$7="Actual","",IFERROR((INDEX($M321:$Q321,,MATCH(Z$4,$M$4:$Q$4,0))),0))</f>
        <v/>
      </c>
      <c r="AA321" s="269">
        <f>IF(AA$7="Actual","",IFERROR((INDEX($M321:$Q321,,MATCH(AA$4,$M$4:$Q$4,0))),0))</f>
        <v/>
      </c>
      <c r="AB321" s="269">
        <f>IF(AB$7="Actual","",IFERROR((INDEX($M321:$Q321,,MATCH(AB$4,$M$4:$Q$4,0))),0))</f>
        <v/>
      </c>
      <c r="AC321" s="269">
        <f>IF(AC$7="Actual","",IFERROR((INDEX($M321:$Q321,,MATCH(AC$4,$M$4:$Q$4,0))),0))</f>
        <v/>
      </c>
      <c r="AD321" s="269">
        <f>IF(AD$7="Actual","",IFERROR((INDEX($M321:$Q321,,MATCH(AD$4,$M$4:$Q$4,0))),0))</f>
        <v/>
      </c>
      <c r="AE321" s="269">
        <f>IF(AE$7="Actual","",IFERROR((INDEX($M321:$Q321,,MATCH(AE$4,$M$4:$Q$4,0))),0))</f>
        <v/>
      </c>
      <c r="AF321" s="269">
        <f>IF(AF$7="Actual","",IFERROR((INDEX($M321:$Q321,,MATCH(AF$4,$M$4:$Q$4,0))),0))</f>
        <v/>
      </c>
      <c r="AG321" s="269">
        <f>IF(AG$7="Actual","",IFERROR((INDEX($M321:$Q321,,MATCH(AG$4,$M$4:$Q$4,0))),0))</f>
        <v/>
      </c>
      <c r="AH321" s="269">
        <f>IF(AH$7="Actual","",IFERROR((INDEX($M321:$Q321,,MATCH(AH$4,$M$4:$Q$4,0))),0))</f>
        <v/>
      </c>
      <c r="AI321" s="269">
        <f>IF(AI$7="Actual","",IFERROR((INDEX($M321:$Q321,,MATCH(AI$4,$M$4:$Q$4,0))),0))</f>
        <v/>
      </c>
      <c r="AJ321" s="269">
        <f>IF(AJ$7="Actual","",IFERROR((INDEX($M321:$Q321,,MATCH(AJ$4,$M$4:$Q$4,0))),0))</f>
        <v/>
      </c>
      <c r="AK321" s="269">
        <f>IF(AK$7="Actual","",IFERROR((INDEX($M321:$Q321,,MATCH(AK$4,$M$4:$Q$4,0))),0))</f>
        <v/>
      </c>
      <c r="AL321" s="269">
        <f>IF(AL$7="Actual","",IFERROR((INDEX($M321:$Q321,,MATCH(AL$4,$M$4:$Q$4,0))),0))</f>
        <v/>
      </c>
      <c r="AM321" s="269">
        <f>IF(AM$7="Actual","",IFERROR((INDEX($M321:$Q321,,MATCH(AM$4,$M$4:$Q$4,0))),0))</f>
        <v/>
      </c>
      <c r="AN321" s="269">
        <f>IF(AN$7="Actual","",IFERROR((INDEX($M321:$Q321,,MATCH(AN$4,$M$4:$Q$4,0))),0))</f>
        <v/>
      </c>
      <c r="AO321" s="269">
        <f>IF(AO$7="Actual","",IFERROR((INDEX($M321:$Q321,,MATCH(AO$4,$M$4:$Q$4,0))),0))</f>
        <v/>
      </c>
      <c r="AP321" s="269">
        <f>IF(AP$7="Actual","",IFERROR((INDEX($M321:$Q321,,MATCH(AP$4,$M$4:$Q$4,0))),0))</f>
        <v/>
      </c>
      <c r="AQ321" s="269">
        <f>IF(AQ$7="Actual","",IFERROR((INDEX($M321:$Q321,,MATCH(AQ$4,$M$4:$Q$4,0))),0))</f>
        <v/>
      </c>
      <c r="AR321" s="269">
        <f>IF(AR$7="Actual","",IFERROR((INDEX($M321:$Q321,,MATCH(AR$4,$M$4:$Q$4,0))),0))</f>
        <v/>
      </c>
      <c r="AS321" s="269">
        <f>IF(AS$7="Actual","",IFERROR((INDEX($M321:$Q321,,MATCH(AS$4,$M$4:$Q$4,0))),0))</f>
        <v/>
      </c>
      <c r="AT321" s="269">
        <f>IF(AT$7="Actual","",IFERROR((INDEX($M321:$Q321,,MATCH(AT$4,$M$4:$Q$4,0))),0))</f>
        <v/>
      </c>
      <c r="AU321" s="269">
        <f>IF(AU$7="Actual","",IFERROR((INDEX($M321:$Q321,,MATCH(AU$4,$M$4:$Q$4,0))),0))</f>
        <v/>
      </c>
      <c r="AV321" s="269">
        <f>IF(AV$7="Actual","",IFERROR((INDEX($M321:$Q321,,MATCH(AV$4,$M$4:$Q$4,0))),0))</f>
        <v/>
      </c>
      <c r="AW321" s="269">
        <f>IF(AW$7="Actual","",IFERROR((INDEX($M321:$Q321,,MATCH(AW$4,$M$4:$Q$4,0))),0))</f>
        <v/>
      </c>
      <c r="AX321" s="269">
        <f>IF(AX$7="Actual","",IFERROR((INDEX($M321:$Q321,,MATCH(AX$4,$M$4:$Q$4,0))),0))</f>
        <v/>
      </c>
      <c r="AY321" s="269">
        <f>IF(AY$7="Actual","",IFERROR((INDEX($M321:$Q321,,MATCH(AY$4,$M$4:$Q$4,0))),0))</f>
        <v/>
      </c>
      <c r="AZ321" s="269">
        <f>IF(AZ$7="Actual","",IFERROR((INDEX($M321:$Q321,,MATCH(AZ$4,$M$4:$Q$4,0))),0))</f>
        <v/>
      </c>
      <c r="BA321" s="269">
        <f>IF(BA$7="Actual","",IFERROR((INDEX($M321:$Q321,,MATCH(BA$4,$M$4:$Q$4,0))),0))</f>
        <v/>
      </c>
      <c r="BB321" s="269">
        <f>IF(BB$7="Actual","",IFERROR((INDEX($M321:$Q321,,MATCH(BB$4,$M$4:$Q$4,0))),0))</f>
        <v/>
      </c>
      <c r="BC321" s="269">
        <f>IF(BC$7="Actual","",IFERROR((INDEX($M321:$Q321,,MATCH(BC$4,$M$4:$Q$4,0))),0))</f>
        <v/>
      </c>
      <c r="BD321" s="269">
        <f>IF(BD$7="Actual","",IFERROR((INDEX($M321:$Q321,,MATCH(BD$4,$M$4:$Q$4,0))),0))</f>
        <v/>
      </c>
      <c r="BE321" s="269">
        <f>IF(BE$7="Actual","",IFERROR((INDEX($M321:$Q321,,MATCH(BE$4,$M$4:$Q$4,0))),0))</f>
        <v/>
      </c>
      <c r="BF321" s="269">
        <f>IF(BF$7="Actual","",IFERROR((INDEX($M321:$Q321,,MATCH(BF$4,$M$4:$Q$4,0))),0))</f>
        <v/>
      </c>
      <c r="BG321" s="269">
        <f>IF(BG$7="Actual","",IFERROR((INDEX($M321:$Q321,,MATCH(BG$4,$M$4:$Q$4,0))),0))</f>
        <v/>
      </c>
      <c r="BH321" s="269">
        <f>IF(BH$7="Actual","",IFERROR((INDEX($M321:$Q321,,MATCH(BH$4,$M$4:$Q$4,0))),0))</f>
        <v/>
      </c>
      <c r="BI321" s="269">
        <f>IF(BI$7="Actual","",IFERROR((INDEX($M321:$Q321,,MATCH(BI$4,$M$4:$Q$4,0))),0))</f>
        <v/>
      </c>
      <c r="BJ321" s="269">
        <f>IF(BJ$7="Actual","",IFERROR((INDEX($M321:$Q321,,MATCH(BJ$4,$M$4:$Q$4,0))),0))</f>
        <v/>
      </c>
      <c r="BK321" s="269">
        <f>IF(BK$7="Actual","",IFERROR((INDEX($M321:$Q321,,MATCH(BK$4,$M$4:$Q$4,0))),0))</f>
        <v/>
      </c>
      <c r="BL321" s="269">
        <f>IF(BL$7="Actual","",IFERROR((INDEX($M321:$Q321,,MATCH(BL$4,$M$4:$Q$4,0))),0))</f>
        <v/>
      </c>
      <c r="BM321" s="269">
        <f>IF(BM$7="Actual","",IFERROR((INDEX($M321:$Q321,,MATCH(BM$4,$M$4:$Q$4,0))),0))</f>
        <v/>
      </c>
      <c r="BN321" s="269">
        <f>IF(BN$7="Actual","",IFERROR((INDEX($M321:$Q321,,MATCH(BN$4,$M$4:$Q$4,0))),0))</f>
        <v/>
      </c>
      <c r="BO321" s="269">
        <f>IF(BO$7="Actual","",IFERROR((INDEX($M321:$Q321,,MATCH(BO$4,$M$4:$Q$4,0))),0))</f>
        <v/>
      </c>
      <c r="BP321" s="269">
        <f>IF(BP$7="Actual","",IFERROR((INDEX($M321:$Q321,,MATCH(BP$4,$M$4:$Q$4,0))),0))</f>
        <v/>
      </c>
      <c r="BQ321" s="269">
        <f>IF(BQ$7="Actual","",IFERROR((INDEX($M321:$Q321,,MATCH(BQ$4,$M$4:$Q$4,0))),0))</f>
        <v/>
      </c>
      <c r="BR321" s="269">
        <f>IF(BR$7="Actual","",IFERROR((INDEX($M321:$Q321,,MATCH(BR$4,$M$4:$Q$4,0))),0))</f>
        <v/>
      </c>
      <c r="BS321" s="269">
        <f>IF(BS$7="Actual","",IFERROR((INDEX($M321:$Q321,,MATCH(BS$4,$M$4:$Q$4,0))),0))</f>
        <v/>
      </c>
      <c r="BT321" s="269">
        <f>IF(BT$7="Actual","",IFERROR((INDEX($M321:$Q321,,MATCH(BT$4,$M$4:$Q$4,0))),0))</f>
        <v/>
      </c>
      <c r="BU321" s="269">
        <f>IF(BU$7="Actual","",IFERROR((INDEX($M321:$Q321,,MATCH(BU$4,$M$4:$Q$4,0))),0))</f>
        <v/>
      </c>
      <c r="BV321" s="269">
        <f>IF(BV$7="Actual","",IFERROR((INDEX($M321:$Q321,,MATCH(BV$4,$M$4:$Q$4,0))),0))</f>
        <v/>
      </c>
      <c r="BW321" s="269">
        <f>IF(BW$7="Actual","",IFERROR((INDEX($M321:$Q321,,MATCH(BW$4,$M$4:$Q$4,0))),0))</f>
        <v/>
      </c>
      <c r="BX321" s="269">
        <f>IF(BX$7="Actual","",IFERROR((INDEX($M321:$Q321,,MATCH(BX$4,$M$4:$Q$4,0))),0))</f>
        <v/>
      </c>
      <c r="BY321" s="269">
        <f>IF(BY$7="Actual","",IFERROR((INDEX($M321:$Q321,,MATCH(BY$4,$M$4:$Q$4,0))),0))</f>
        <v/>
      </c>
      <c r="BZ321" s="269">
        <f>IF(BZ$7="Actual","",IFERROR((INDEX($M321:$Q321,,MATCH(BZ$4,$M$4:$Q$4,0))),0))</f>
        <v/>
      </c>
      <c r="CA321" s="269">
        <f>IF(CA$7="Actual","",IFERROR((INDEX($M321:$Q321,,MATCH(CA$4,$M$4:$Q$4,0))),0))</f>
        <v/>
      </c>
    </row>
    <row r="322" ht="12" customHeight="1" s="227">
      <c r="A322" s="244" t="n"/>
      <c r="B322" s="244" t="n"/>
      <c r="C322" s="244" t="n"/>
      <c r="H322" s="4">
        <f>H312</f>
        <v/>
      </c>
      <c r="I322" s="27" t="inlineStr">
        <is>
          <t>no</t>
        </is>
      </c>
      <c r="K322" s="6" t="n"/>
      <c r="M322" s="267">
        <f>IF(M$7="Actual","",i_Assumptions!M290)</f>
        <v/>
      </c>
      <c r="N322" s="267">
        <f>IF(N$7="Actual","",i_Assumptions!N290)</f>
        <v/>
      </c>
      <c r="O322" s="267">
        <f>IF(O$7="Actual","",i_Assumptions!O290)</f>
        <v/>
      </c>
      <c r="P322" s="267">
        <f>IF(P$7="Actual","",i_Assumptions!P290)</f>
        <v/>
      </c>
      <c r="Q322" s="267">
        <f>IF(Q$7="Actual","",i_Assumptions!Q290)</f>
        <v/>
      </c>
      <c r="R322" s="268" t="n"/>
      <c r="S322" s="268" t="n"/>
      <c r="T322" s="269">
        <f>IF(T$7="Actual","",IFERROR((INDEX($M322:$Q322,,MATCH(T$4,$M$4:$Q$4,0))),0))</f>
        <v/>
      </c>
      <c r="U322" s="269">
        <f>IF(U$7="Actual","",IFERROR((INDEX($M322:$Q322,,MATCH(U$4,$M$4:$Q$4,0))),0))</f>
        <v/>
      </c>
      <c r="V322" s="269">
        <f>IF(V$7="Actual","",IFERROR((INDEX($M322:$Q322,,MATCH(V$4,$M$4:$Q$4,0))),0))</f>
        <v/>
      </c>
      <c r="W322" s="269">
        <f>IF(W$7="Actual","",IFERROR((INDEX($M322:$Q322,,MATCH(W$4,$M$4:$Q$4,0))),0))</f>
        <v/>
      </c>
      <c r="X322" s="269">
        <f>IF(X$7="Actual","",IFERROR((INDEX($M322:$Q322,,MATCH(X$4,$M$4:$Q$4,0))),0))</f>
        <v/>
      </c>
      <c r="Y322" s="269">
        <f>IF(Y$7="Actual","",IFERROR((INDEX($M322:$Q322,,MATCH(Y$4,$M$4:$Q$4,0))),0))</f>
        <v/>
      </c>
      <c r="Z322" s="269">
        <f>IF(Z$7="Actual","",IFERROR((INDEX($M322:$Q322,,MATCH(Z$4,$M$4:$Q$4,0))),0))</f>
        <v/>
      </c>
      <c r="AA322" s="269">
        <f>IF(AA$7="Actual","",IFERROR((INDEX($M322:$Q322,,MATCH(AA$4,$M$4:$Q$4,0))),0))</f>
        <v/>
      </c>
      <c r="AB322" s="269">
        <f>IF(AB$7="Actual","",IFERROR((INDEX($M322:$Q322,,MATCH(AB$4,$M$4:$Q$4,0))),0))</f>
        <v/>
      </c>
      <c r="AC322" s="269">
        <f>IF(AC$7="Actual","",IFERROR((INDEX($M322:$Q322,,MATCH(AC$4,$M$4:$Q$4,0))),0))</f>
        <v/>
      </c>
      <c r="AD322" s="269">
        <f>IF(AD$7="Actual","",IFERROR((INDEX($M322:$Q322,,MATCH(AD$4,$M$4:$Q$4,0))),0))</f>
        <v/>
      </c>
      <c r="AE322" s="269">
        <f>IF(AE$7="Actual","",IFERROR((INDEX($M322:$Q322,,MATCH(AE$4,$M$4:$Q$4,0))),0))</f>
        <v/>
      </c>
      <c r="AF322" s="269">
        <f>IF(AF$7="Actual","",IFERROR((INDEX($M322:$Q322,,MATCH(AF$4,$M$4:$Q$4,0))),0))</f>
        <v/>
      </c>
      <c r="AG322" s="269">
        <f>IF(AG$7="Actual","",IFERROR((INDEX($M322:$Q322,,MATCH(AG$4,$M$4:$Q$4,0))),0))</f>
        <v/>
      </c>
      <c r="AH322" s="269">
        <f>IF(AH$7="Actual","",IFERROR((INDEX($M322:$Q322,,MATCH(AH$4,$M$4:$Q$4,0))),0))</f>
        <v/>
      </c>
      <c r="AI322" s="269">
        <f>IF(AI$7="Actual","",IFERROR((INDEX($M322:$Q322,,MATCH(AI$4,$M$4:$Q$4,0))),0))</f>
        <v/>
      </c>
      <c r="AJ322" s="269">
        <f>IF(AJ$7="Actual","",IFERROR((INDEX($M322:$Q322,,MATCH(AJ$4,$M$4:$Q$4,0))),0))</f>
        <v/>
      </c>
      <c r="AK322" s="269">
        <f>IF(AK$7="Actual","",IFERROR((INDEX($M322:$Q322,,MATCH(AK$4,$M$4:$Q$4,0))),0))</f>
        <v/>
      </c>
      <c r="AL322" s="269">
        <f>IF(AL$7="Actual","",IFERROR((INDEX($M322:$Q322,,MATCH(AL$4,$M$4:$Q$4,0))),0))</f>
        <v/>
      </c>
      <c r="AM322" s="269">
        <f>IF(AM$7="Actual","",IFERROR((INDEX($M322:$Q322,,MATCH(AM$4,$M$4:$Q$4,0))),0))</f>
        <v/>
      </c>
      <c r="AN322" s="269">
        <f>IF(AN$7="Actual","",IFERROR((INDEX($M322:$Q322,,MATCH(AN$4,$M$4:$Q$4,0))),0))</f>
        <v/>
      </c>
      <c r="AO322" s="269">
        <f>IF(AO$7="Actual","",IFERROR((INDEX($M322:$Q322,,MATCH(AO$4,$M$4:$Q$4,0))),0))</f>
        <v/>
      </c>
      <c r="AP322" s="269">
        <f>IF(AP$7="Actual","",IFERROR((INDEX($M322:$Q322,,MATCH(AP$4,$M$4:$Q$4,0))),0))</f>
        <v/>
      </c>
      <c r="AQ322" s="269">
        <f>IF(AQ$7="Actual","",IFERROR((INDEX($M322:$Q322,,MATCH(AQ$4,$M$4:$Q$4,0))),0))</f>
        <v/>
      </c>
      <c r="AR322" s="269">
        <f>IF(AR$7="Actual","",IFERROR((INDEX($M322:$Q322,,MATCH(AR$4,$M$4:$Q$4,0))),0))</f>
        <v/>
      </c>
      <c r="AS322" s="269">
        <f>IF(AS$7="Actual","",IFERROR((INDEX($M322:$Q322,,MATCH(AS$4,$M$4:$Q$4,0))),0))</f>
        <v/>
      </c>
      <c r="AT322" s="269">
        <f>IF(AT$7="Actual","",IFERROR((INDEX($M322:$Q322,,MATCH(AT$4,$M$4:$Q$4,0))),0))</f>
        <v/>
      </c>
      <c r="AU322" s="269">
        <f>IF(AU$7="Actual","",IFERROR((INDEX($M322:$Q322,,MATCH(AU$4,$M$4:$Q$4,0))),0))</f>
        <v/>
      </c>
      <c r="AV322" s="269">
        <f>IF(AV$7="Actual","",IFERROR((INDEX($M322:$Q322,,MATCH(AV$4,$M$4:$Q$4,0))),0))</f>
        <v/>
      </c>
      <c r="AW322" s="269">
        <f>IF(AW$7="Actual","",IFERROR((INDEX($M322:$Q322,,MATCH(AW$4,$M$4:$Q$4,0))),0))</f>
        <v/>
      </c>
      <c r="AX322" s="269">
        <f>IF(AX$7="Actual","",IFERROR((INDEX($M322:$Q322,,MATCH(AX$4,$M$4:$Q$4,0))),0))</f>
        <v/>
      </c>
      <c r="AY322" s="269">
        <f>IF(AY$7="Actual","",IFERROR((INDEX($M322:$Q322,,MATCH(AY$4,$M$4:$Q$4,0))),0))</f>
        <v/>
      </c>
      <c r="AZ322" s="269">
        <f>IF(AZ$7="Actual","",IFERROR((INDEX($M322:$Q322,,MATCH(AZ$4,$M$4:$Q$4,0))),0))</f>
        <v/>
      </c>
      <c r="BA322" s="269">
        <f>IF(BA$7="Actual","",IFERROR((INDEX($M322:$Q322,,MATCH(BA$4,$M$4:$Q$4,0))),0))</f>
        <v/>
      </c>
      <c r="BB322" s="269">
        <f>IF(BB$7="Actual","",IFERROR((INDEX($M322:$Q322,,MATCH(BB$4,$M$4:$Q$4,0))),0))</f>
        <v/>
      </c>
      <c r="BC322" s="269">
        <f>IF(BC$7="Actual","",IFERROR((INDEX($M322:$Q322,,MATCH(BC$4,$M$4:$Q$4,0))),0))</f>
        <v/>
      </c>
      <c r="BD322" s="269">
        <f>IF(BD$7="Actual","",IFERROR((INDEX($M322:$Q322,,MATCH(BD$4,$M$4:$Q$4,0))),0))</f>
        <v/>
      </c>
      <c r="BE322" s="269">
        <f>IF(BE$7="Actual","",IFERROR((INDEX($M322:$Q322,,MATCH(BE$4,$M$4:$Q$4,0))),0))</f>
        <v/>
      </c>
      <c r="BF322" s="269">
        <f>IF(BF$7="Actual","",IFERROR((INDEX($M322:$Q322,,MATCH(BF$4,$M$4:$Q$4,0))),0))</f>
        <v/>
      </c>
      <c r="BG322" s="269">
        <f>IF(BG$7="Actual","",IFERROR((INDEX($M322:$Q322,,MATCH(BG$4,$M$4:$Q$4,0))),0))</f>
        <v/>
      </c>
      <c r="BH322" s="269">
        <f>IF(BH$7="Actual","",IFERROR((INDEX($M322:$Q322,,MATCH(BH$4,$M$4:$Q$4,0))),0))</f>
        <v/>
      </c>
      <c r="BI322" s="269">
        <f>IF(BI$7="Actual","",IFERROR((INDEX($M322:$Q322,,MATCH(BI$4,$M$4:$Q$4,0))),0))</f>
        <v/>
      </c>
      <c r="BJ322" s="269">
        <f>IF(BJ$7="Actual","",IFERROR((INDEX($M322:$Q322,,MATCH(BJ$4,$M$4:$Q$4,0))),0))</f>
        <v/>
      </c>
      <c r="BK322" s="269">
        <f>IF(BK$7="Actual","",IFERROR((INDEX($M322:$Q322,,MATCH(BK$4,$M$4:$Q$4,0))),0))</f>
        <v/>
      </c>
      <c r="BL322" s="269">
        <f>IF(BL$7="Actual","",IFERROR((INDEX($M322:$Q322,,MATCH(BL$4,$M$4:$Q$4,0))),0))</f>
        <v/>
      </c>
      <c r="BM322" s="269">
        <f>IF(BM$7="Actual","",IFERROR((INDEX($M322:$Q322,,MATCH(BM$4,$M$4:$Q$4,0))),0))</f>
        <v/>
      </c>
      <c r="BN322" s="269">
        <f>IF(BN$7="Actual","",IFERROR((INDEX($M322:$Q322,,MATCH(BN$4,$M$4:$Q$4,0))),0))</f>
        <v/>
      </c>
      <c r="BO322" s="269">
        <f>IF(BO$7="Actual","",IFERROR((INDEX($M322:$Q322,,MATCH(BO$4,$M$4:$Q$4,0))),0))</f>
        <v/>
      </c>
      <c r="BP322" s="269">
        <f>IF(BP$7="Actual","",IFERROR((INDEX($M322:$Q322,,MATCH(BP$4,$M$4:$Q$4,0))),0))</f>
        <v/>
      </c>
      <c r="BQ322" s="269">
        <f>IF(BQ$7="Actual","",IFERROR((INDEX($M322:$Q322,,MATCH(BQ$4,$M$4:$Q$4,0))),0))</f>
        <v/>
      </c>
      <c r="BR322" s="269">
        <f>IF(BR$7="Actual","",IFERROR((INDEX($M322:$Q322,,MATCH(BR$4,$M$4:$Q$4,0))),0))</f>
        <v/>
      </c>
      <c r="BS322" s="269">
        <f>IF(BS$7="Actual","",IFERROR((INDEX($M322:$Q322,,MATCH(BS$4,$M$4:$Q$4,0))),0))</f>
        <v/>
      </c>
      <c r="BT322" s="269">
        <f>IF(BT$7="Actual","",IFERROR((INDEX($M322:$Q322,,MATCH(BT$4,$M$4:$Q$4,0))),0))</f>
        <v/>
      </c>
      <c r="BU322" s="269">
        <f>IF(BU$7="Actual","",IFERROR((INDEX($M322:$Q322,,MATCH(BU$4,$M$4:$Q$4,0))),0))</f>
        <v/>
      </c>
      <c r="BV322" s="269">
        <f>IF(BV$7="Actual","",IFERROR((INDEX($M322:$Q322,,MATCH(BV$4,$M$4:$Q$4,0))),0))</f>
        <v/>
      </c>
      <c r="BW322" s="269">
        <f>IF(BW$7="Actual","",IFERROR((INDEX($M322:$Q322,,MATCH(BW$4,$M$4:$Q$4,0))),0))</f>
        <v/>
      </c>
      <c r="BX322" s="269">
        <f>IF(BX$7="Actual","",IFERROR((INDEX($M322:$Q322,,MATCH(BX$4,$M$4:$Q$4,0))),0))</f>
        <v/>
      </c>
      <c r="BY322" s="269">
        <f>IF(BY$7="Actual","",IFERROR((INDEX($M322:$Q322,,MATCH(BY$4,$M$4:$Q$4,0))),0))</f>
        <v/>
      </c>
      <c r="BZ322" s="269">
        <f>IF(BZ$7="Actual","",IFERROR((INDEX($M322:$Q322,,MATCH(BZ$4,$M$4:$Q$4,0))),0))</f>
        <v/>
      </c>
      <c r="CA322" s="269">
        <f>IF(CA$7="Actual","",IFERROR((INDEX($M322:$Q322,,MATCH(CA$4,$M$4:$Q$4,0))),0))</f>
        <v/>
      </c>
    </row>
    <row r="323" ht="12" customHeight="1" s="227">
      <c r="A323" s="244" t="n"/>
      <c r="B323" s="244" t="n"/>
      <c r="C323" s="244" t="n"/>
      <c r="H323" s="4">
        <f>H313</f>
        <v/>
      </c>
      <c r="I323" s="27" t="inlineStr">
        <is>
          <t>no</t>
        </is>
      </c>
      <c r="K323" s="6" t="n"/>
      <c r="M323" s="267">
        <f>IF(M$7="Actual","",i_Assumptions!M291)</f>
        <v/>
      </c>
      <c r="N323" s="267">
        <f>IF(N$7="Actual","",i_Assumptions!N291)</f>
        <v/>
      </c>
      <c r="O323" s="267">
        <f>IF(O$7="Actual","",i_Assumptions!O291)</f>
        <v/>
      </c>
      <c r="P323" s="267">
        <f>IF(P$7="Actual","",i_Assumptions!P291)</f>
        <v/>
      </c>
      <c r="Q323" s="267">
        <f>IF(Q$7="Actual","",i_Assumptions!Q291)</f>
        <v/>
      </c>
      <c r="R323" s="268" t="n"/>
      <c r="S323" s="268" t="n"/>
      <c r="T323" s="269">
        <f>IF(T$7="Actual","",IFERROR((INDEX($M323:$Q323,,MATCH(T$4,$M$4:$Q$4,0))),0))</f>
        <v/>
      </c>
      <c r="U323" s="269">
        <f>IF(U$7="Actual","",IFERROR((INDEX($M323:$Q323,,MATCH(U$4,$M$4:$Q$4,0))),0))</f>
        <v/>
      </c>
      <c r="V323" s="269">
        <f>IF(V$7="Actual","",IFERROR((INDEX($M323:$Q323,,MATCH(V$4,$M$4:$Q$4,0))),0))</f>
        <v/>
      </c>
      <c r="W323" s="269">
        <f>IF(W$7="Actual","",IFERROR((INDEX($M323:$Q323,,MATCH(W$4,$M$4:$Q$4,0))),0))</f>
        <v/>
      </c>
      <c r="X323" s="269">
        <f>IF(X$7="Actual","",IFERROR((INDEX($M323:$Q323,,MATCH(X$4,$M$4:$Q$4,0))),0))</f>
        <v/>
      </c>
      <c r="Y323" s="269">
        <f>IF(Y$7="Actual","",IFERROR((INDEX($M323:$Q323,,MATCH(Y$4,$M$4:$Q$4,0))),0))</f>
        <v/>
      </c>
      <c r="Z323" s="269">
        <f>IF(Z$7="Actual","",IFERROR((INDEX($M323:$Q323,,MATCH(Z$4,$M$4:$Q$4,0))),0))</f>
        <v/>
      </c>
      <c r="AA323" s="269">
        <f>IF(AA$7="Actual","",IFERROR((INDEX($M323:$Q323,,MATCH(AA$4,$M$4:$Q$4,0))),0))</f>
        <v/>
      </c>
      <c r="AB323" s="269">
        <f>IF(AB$7="Actual","",IFERROR((INDEX($M323:$Q323,,MATCH(AB$4,$M$4:$Q$4,0))),0))</f>
        <v/>
      </c>
      <c r="AC323" s="269">
        <f>IF(AC$7="Actual","",IFERROR((INDEX($M323:$Q323,,MATCH(AC$4,$M$4:$Q$4,0))),0))</f>
        <v/>
      </c>
      <c r="AD323" s="269">
        <f>IF(AD$7="Actual","",IFERROR((INDEX($M323:$Q323,,MATCH(AD$4,$M$4:$Q$4,0))),0))</f>
        <v/>
      </c>
      <c r="AE323" s="269">
        <f>IF(AE$7="Actual","",IFERROR((INDEX($M323:$Q323,,MATCH(AE$4,$M$4:$Q$4,0))),0))</f>
        <v/>
      </c>
      <c r="AF323" s="269">
        <f>IF(AF$7="Actual","",IFERROR((INDEX($M323:$Q323,,MATCH(AF$4,$M$4:$Q$4,0))),0))</f>
        <v/>
      </c>
      <c r="AG323" s="269">
        <f>IF(AG$7="Actual","",IFERROR((INDEX($M323:$Q323,,MATCH(AG$4,$M$4:$Q$4,0))),0))</f>
        <v/>
      </c>
      <c r="AH323" s="269">
        <f>IF(AH$7="Actual","",IFERROR((INDEX($M323:$Q323,,MATCH(AH$4,$M$4:$Q$4,0))),0))</f>
        <v/>
      </c>
      <c r="AI323" s="269">
        <f>IF(AI$7="Actual","",IFERROR((INDEX($M323:$Q323,,MATCH(AI$4,$M$4:$Q$4,0))),0))</f>
        <v/>
      </c>
      <c r="AJ323" s="269">
        <f>IF(AJ$7="Actual","",IFERROR((INDEX($M323:$Q323,,MATCH(AJ$4,$M$4:$Q$4,0))),0))</f>
        <v/>
      </c>
      <c r="AK323" s="269">
        <f>IF(AK$7="Actual","",IFERROR((INDEX($M323:$Q323,,MATCH(AK$4,$M$4:$Q$4,0))),0))</f>
        <v/>
      </c>
      <c r="AL323" s="269">
        <f>IF(AL$7="Actual","",IFERROR((INDEX($M323:$Q323,,MATCH(AL$4,$M$4:$Q$4,0))),0))</f>
        <v/>
      </c>
      <c r="AM323" s="269">
        <f>IF(AM$7="Actual","",IFERROR((INDEX($M323:$Q323,,MATCH(AM$4,$M$4:$Q$4,0))),0))</f>
        <v/>
      </c>
      <c r="AN323" s="269">
        <f>IF(AN$7="Actual","",IFERROR((INDEX($M323:$Q323,,MATCH(AN$4,$M$4:$Q$4,0))),0))</f>
        <v/>
      </c>
      <c r="AO323" s="269">
        <f>IF(AO$7="Actual","",IFERROR((INDEX($M323:$Q323,,MATCH(AO$4,$M$4:$Q$4,0))),0))</f>
        <v/>
      </c>
      <c r="AP323" s="269">
        <f>IF(AP$7="Actual","",IFERROR((INDEX($M323:$Q323,,MATCH(AP$4,$M$4:$Q$4,0))),0))</f>
        <v/>
      </c>
      <c r="AQ323" s="269">
        <f>IF(AQ$7="Actual","",IFERROR((INDEX($M323:$Q323,,MATCH(AQ$4,$M$4:$Q$4,0))),0))</f>
        <v/>
      </c>
      <c r="AR323" s="269">
        <f>IF(AR$7="Actual","",IFERROR((INDEX($M323:$Q323,,MATCH(AR$4,$M$4:$Q$4,0))),0))</f>
        <v/>
      </c>
      <c r="AS323" s="269">
        <f>IF(AS$7="Actual","",IFERROR((INDEX($M323:$Q323,,MATCH(AS$4,$M$4:$Q$4,0))),0))</f>
        <v/>
      </c>
      <c r="AT323" s="269">
        <f>IF(AT$7="Actual","",IFERROR((INDEX($M323:$Q323,,MATCH(AT$4,$M$4:$Q$4,0))),0))</f>
        <v/>
      </c>
      <c r="AU323" s="269">
        <f>IF(AU$7="Actual","",IFERROR((INDEX($M323:$Q323,,MATCH(AU$4,$M$4:$Q$4,0))),0))</f>
        <v/>
      </c>
      <c r="AV323" s="269">
        <f>IF(AV$7="Actual","",IFERROR((INDEX($M323:$Q323,,MATCH(AV$4,$M$4:$Q$4,0))),0))</f>
        <v/>
      </c>
      <c r="AW323" s="269">
        <f>IF(AW$7="Actual","",IFERROR((INDEX($M323:$Q323,,MATCH(AW$4,$M$4:$Q$4,0))),0))</f>
        <v/>
      </c>
      <c r="AX323" s="269">
        <f>IF(AX$7="Actual","",IFERROR((INDEX($M323:$Q323,,MATCH(AX$4,$M$4:$Q$4,0))),0))</f>
        <v/>
      </c>
      <c r="AY323" s="269">
        <f>IF(AY$7="Actual","",IFERROR((INDEX($M323:$Q323,,MATCH(AY$4,$M$4:$Q$4,0))),0))</f>
        <v/>
      </c>
      <c r="AZ323" s="269">
        <f>IF(AZ$7="Actual","",IFERROR((INDEX($M323:$Q323,,MATCH(AZ$4,$M$4:$Q$4,0))),0))</f>
        <v/>
      </c>
      <c r="BA323" s="269">
        <f>IF(BA$7="Actual","",IFERROR((INDEX($M323:$Q323,,MATCH(BA$4,$M$4:$Q$4,0))),0))</f>
        <v/>
      </c>
      <c r="BB323" s="269">
        <f>IF(BB$7="Actual","",IFERROR((INDEX($M323:$Q323,,MATCH(BB$4,$M$4:$Q$4,0))),0))</f>
        <v/>
      </c>
      <c r="BC323" s="269">
        <f>IF(BC$7="Actual","",IFERROR((INDEX($M323:$Q323,,MATCH(BC$4,$M$4:$Q$4,0))),0))</f>
        <v/>
      </c>
      <c r="BD323" s="269">
        <f>IF(BD$7="Actual","",IFERROR((INDEX($M323:$Q323,,MATCH(BD$4,$M$4:$Q$4,0))),0))</f>
        <v/>
      </c>
      <c r="BE323" s="269">
        <f>IF(BE$7="Actual","",IFERROR((INDEX($M323:$Q323,,MATCH(BE$4,$M$4:$Q$4,0))),0))</f>
        <v/>
      </c>
      <c r="BF323" s="269">
        <f>IF(BF$7="Actual","",IFERROR((INDEX($M323:$Q323,,MATCH(BF$4,$M$4:$Q$4,0))),0))</f>
        <v/>
      </c>
      <c r="BG323" s="269">
        <f>IF(BG$7="Actual","",IFERROR((INDEX($M323:$Q323,,MATCH(BG$4,$M$4:$Q$4,0))),0))</f>
        <v/>
      </c>
      <c r="BH323" s="269">
        <f>IF(BH$7="Actual","",IFERROR((INDEX($M323:$Q323,,MATCH(BH$4,$M$4:$Q$4,0))),0))</f>
        <v/>
      </c>
      <c r="BI323" s="269">
        <f>IF(BI$7="Actual","",IFERROR((INDEX($M323:$Q323,,MATCH(BI$4,$M$4:$Q$4,0))),0))</f>
        <v/>
      </c>
      <c r="BJ323" s="269">
        <f>IF(BJ$7="Actual","",IFERROR((INDEX($M323:$Q323,,MATCH(BJ$4,$M$4:$Q$4,0))),0))</f>
        <v/>
      </c>
      <c r="BK323" s="269">
        <f>IF(BK$7="Actual","",IFERROR((INDEX($M323:$Q323,,MATCH(BK$4,$M$4:$Q$4,0))),0))</f>
        <v/>
      </c>
      <c r="BL323" s="269">
        <f>IF(BL$7="Actual","",IFERROR((INDEX($M323:$Q323,,MATCH(BL$4,$M$4:$Q$4,0))),0))</f>
        <v/>
      </c>
      <c r="BM323" s="269">
        <f>IF(BM$7="Actual","",IFERROR((INDEX($M323:$Q323,,MATCH(BM$4,$M$4:$Q$4,0))),0))</f>
        <v/>
      </c>
      <c r="BN323" s="269">
        <f>IF(BN$7="Actual","",IFERROR((INDEX($M323:$Q323,,MATCH(BN$4,$M$4:$Q$4,0))),0))</f>
        <v/>
      </c>
      <c r="BO323" s="269">
        <f>IF(BO$7="Actual","",IFERROR((INDEX($M323:$Q323,,MATCH(BO$4,$M$4:$Q$4,0))),0))</f>
        <v/>
      </c>
      <c r="BP323" s="269">
        <f>IF(BP$7="Actual","",IFERROR((INDEX($M323:$Q323,,MATCH(BP$4,$M$4:$Q$4,0))),0))</f>
        <v/>
      </c>
      <c r="BQ323" s="269">
        <f>IF(BQ$7="Actual","",IFERROR((INDEX($M323:$Q323,,MATCH(BQ$4,$M$4:$Q$4,0))),0))</f>
        <v/>
      </c>
      <c r="BR323" s="269">
        <f>IF(BR$7="Actual","",IFERROR((INDEX($M323:$Q323,,MATCH(BR$4,$M$4:$Q$4,0))),0))</f>
        <v/>
      </c>
      <c r="BS323" s="269">
        <f>IF(BS$7="Actual","",IFERROR((INDEX($M323:$Q323,,MATCH(BS$4,$M$4:$Q$4,0))),0))</f>
        <v/>
      </c>
      <c r="BT323" s="269">
        <f>IF(BT$7="Actual","",IFERROR((INDEX($M323:$Q323,,MATCH(BT$4,$M$4:$Q$4,0))),0))</f>
        <v/>
      </c>
      <c r="BU323" s="269">
        <f>IF(BU$7="Actual","",IFERROR((INDEX($M323:$Q323,,MATCH(BU$4,$M$4:$Q$4,0))),0))</f>
        <v/>
      </c>
      <c r="BV323" s="269">
        <f>IF(BV$7="Actual","",IFERROR((INDEX($M323:$Q323,,MATCH(BV$4,$M$4:$Q$4,0))),0))</f>
        <v/>
      </c>
      <c r="BW323" s="269">
        <f>IF(BW$7="Actual","",IFERROR((INDEX($M323:$Q323,,MATCH(BW$4,$M$4:$Q$4,0))),0))</f>
        <v/>
      </c>
      <c r="BX323" s="269">
        <f>IF(BX$7="Actual","",IFERROR((INDEX($M323:$Q323,,MATCH(BX$4,$M$4:$Q$4,0))),0))</f>
        <v/>
      </c>
      <c r="BY323" s="269">
        <f>IF(BY$7="Actual","",IFERROR((INDEX($M323:$Q323,,MATCH(BY$4,$M$4:$Q$4,0))),0))</f>
        <v/>
      </c>
      <c r="BZ323" s="269">
        <f>IF(BZ$7="Actual","",IFERROR((INDEX($M323:$Q323,,MATCH(BZ$4,$M$4:$Q$4,0))),0))</f>
        <v/>
      </c>
      <c r="CA323" s="269">
        <f>IF(CA$7="Actual","",IFERROR((INDEX($M323:$Q323,,MATCH(CA$4,$M$4:$Q$4,0))),0))</f>
        <v/>
      </c>
    </row>
    <row r="324" ht="12" customHeight="1" s="227">
      <c r="A324" s="244" t="n"/>
      <c r="B324" s="244" t="n"/>
      <c r="C324" s="244" t="n"/>
      <c r="H324" s="4">
        <f>H314</f>
        <v/>
      </c>
      <c r="I324" s="27" t="inlineStr">
        <is>
          <t>no</t>
        </is>
      </c>
      <c r="K324" s="6" t="n"/>
      <c r="M324" s="267">
        <f>IF(M$7="Actual","",i_Assumptions!M292)</f>
        <v/>
      </c>
      <c r="N324" s="267">
        <f>IF(N$7="Actual","",i_Assumptions!N292)</f>
        <v/>
      </c>
      <c r="O324" s="267">
        <f>IF(O$7="Actual","",i_Assumptions!O292)</f>
        <v/>
      </c>
      <c r="P324" s="267">
        <f>IF(P$7="Actual","",i_Assumptions!P292)</f>
        <v/>
      </c>
      <c r="Q324" s="267">
        <f>IF(Q$7="Actual","",i_Assumptions!Q292)</f>
        <v/>
      </c>
      <c r="R324" s="268" t="n"/>
      <c r="S324" s="268" t="n"/>
      <c r="T324" s="269">
        <f>IF(T$7="Actual","",IFERROR((INDEX($M324:$Q324,,MATCH(T$4,$M$4:$Q$4,0))),0))</f>
        <v/>
      </c>
      <c r="U324" s="269">
        <f>IF(U$7="Actual","",IFERROR((INDEX($M324:$Q324,,MATCH(U$4,$M$4:$Q$4,0))),0))</f>
        <v/>
      </c>
      <c r="V324" s="269">
        <f>IF(V$7="Actual","",IFERROR((INDEX($M324:$Q324,,MATCH(V$4,$M$4:$Q$4,0))),0))</f>
        <v/>
      </c>
      <c r="W324" s="269">
        <f>IF(W$7="Actual","",IFERROR((INDEX($M324:$Q324,,MATCH(W$4,$M$4:$Q$4,0))),0))</f>
        <v/>
      </c>
      <c r="X324" s="269">
        <f>IF(X$7="Actual","",IFERROR((INDEX($M324:$Q324,,MATCH(X$4,$M$4:$Q$4,0))),0))</f>
        <v/>
      </c>
      <c r="Y324" s="269">
        <f>IF(Y$7="Actual","",IFERROR((INDEX($M324:$Q324,,MATCH(Y$4,$M$4:$Q$4,0))),0))</f>
        <v/>
      </c>
      <c r="Z324" s="269">
        <f>IF(Z$7="Actual","",IFERROR((INDEX($M324:$Q324,,MATCH(Z$4,$M$4:$Q$4,0))),0))</f>
        <v/>
      </c>
      <c r="AA324" s="269">
        <f>IF(AA$7="Actual","",IFERROR((INDEX($M324:$Q324,,MATCH(AA$4,$M$4:$Q$4,0))),0))</f>
        <v/>
      </c>
      <c r="AB324" s="269">
        <f>IF(AB$7="Actual","",IFERROR((INDEX($M324:$Q324,,MATCH(AB$4,$M$4:$Q$4,0))),0))</f>
        <v/>
      </c>
      <c r="AC324" s="269">
        <f>IF(AC$7="Actual","",IFERROR((INDEX($M324:$Q324,,MATCH(AC$4,$M$4:$Q$4,0))),0))</f>
        <v/>
      </c>
      <c r="AD324" s="269">
        <f>IF(AD$7="Actual","",IFERROR((INDEX($M324:$Q324,,MATCH(AD$4,$M$4:$Q$4,0))),0))</f>
        <v/>
      </c>
      <c r="AE324" s="269">
        <f>IF(AE$7="Actual","",IFERROR((INDEX($M324:$Q324,,MATCH(AE$4,$M$4:$Q$4,0))),0))</f>
        <v/>
      </c>
      <c r="AF324" s="269">
        <f>IF(AF$7="Actual","",IFERROR((INDEX($M324:$Q324,,MATCH(AF$4,$M$4:$Q$4,0))),0))</f>
        <v/>
      </c>
      <c r="AG324" s="269">
        <f>IF(AG$7="Actual","",IFERROR((INDEX($M324:$Q324,,MATCH(AG$4,$M$4:$Q$4,0))),0))</f>
        <v/>
      </c>
      <c r="AH324" s="269">
        <f>IF(AH$7="Actual","",IFERROR((INDEX($M324:$Q324,,MATCH(AH$4,$M$4:$Q$4,0))),0))</f>
        <v/>
      </c>
      <c r="AI324" s="269">
        <f>IF(AI$7="Actual","",IFERROR((INDEX($M324:$Q324,,MATCH(AI$4,$M$4:$Q$4,0))),0))</f>
        <v/>
      </c>
      <c r="AJ324" s="269">
        <f>IF(AJ$7="Actual","",IFERROR((INDEX($M324:$Q324,,MATCH(AJ$4,$M$4:$Q$4,0))),0))</f>
        <v/>
      </c>
      <c r="AK324" s="269">
        <f>IF(AK$7="Actual","",IFERROR((INDEX($M324:$Q324,,MATCH(AK$4,$M$4:$Q$4,0))),0))</f>
        <v/>
      </c>
      <c r="AL324" s="269">
        <f>IF(AL$7="Actual","",IFERROR((INDEX($M324:$Q324,,MATCH(AL$4,$M$4:$Q$4,0))),0))</f>
        <v/>
      </c>
      <c r="AM324" s="269">
        <f>IF(AM$7="Actual","",IFERROR((INDEX($M324:$Q324,,MATCH(AM$4,$M$4:$Q$4,0))),0))</f>
        <v/>
      </c>
      <c r="AN324" s="269">
        <f>IF(AN$7="Actual","",IFERROR((INDEX($M324:$Q324,,MATCH(AN$4,$M$4:$Q$4,0))),0))</f>
        <v/>
      </c>
      <c r="AO324" s="269">
        <f>IF(AO$7="Actual","",IFERROR((INDEX($M324:$Q324,,MATCH(AO$4,$M$4:$Q$4,0))),0))</f>
        <v/>
      </c>
      <c r="AP324" s="269">
        <f>IF(AP$7="Actual","",IFERROR((INDEX($M324:$Q324,,MATCH(AP$4,$M$4:$Q$4,0))),0))</f>
        <v/>
      </c>
      <c r="AQ324" s="269">
        <f>IF(AQ$7="Actual","",IFERROR((INDEX($M324:$Q324,,MATCH(AQ$4,$M$4:$Q$4,0))),0))</f>
        <v/>
      </c>
      <c r="AR324" s="269">
        <f>IF(AR$7="Actual","",IFERROR((INDEX($M324:$Q324,,MATCH(AR$4,$M$4:$Q$4,0))),0))</f>
        <v/>
      </c>
      <c r="AS324" s="269">
        <f>IF(AS$7="Actual","",IFERROR((INDEX($M324:$Q324,,MATCH(AS$4,$M$4:$Q$4,0))),0))</f>
        <v/>
      </c>
      <c r="AT324" s="269">
        <f>IF(AT$7="Actual","",IFERROR((INDEX($M324:$Q324,,MATCH(AT$4,$M$4:$Q$4,0))),0))</f>
        <v/>
      </c>
      <c r="AU324" s="269">
        <f>IF(AU$7="Actual","",IFERROR((INDEX($M324:$Q324,,MATCH(AU$4,$M$4:$Q$4,0))),0))</f>
        <v/>
      </c>
      <c r="AV324" s="269">
        <f>IF(AV$7="Actual","",IFERROR((INDEX($M324:$Q324,,MATCH(AV$4,$M$4:$Q$4,0))),0))</f>
        <v/>
      </c>
      <c r="AW324" s="269">
        <f>IF(AW$7="Actual","",IFERROR((INDEX($M324:$Q324,,MATCH(AW$4,$M$4:$Q$4,0))),0))</f>
        <v/>
      </c>
      <c r="AX324" s="269">
        <f>IF(AX$7="Actual","",IFERROR((INDEX($M324:$Q324,,MATCH(AX$4,$M$4:$Q$4,0))),0))</f>
        <v/>
      </c>
      <c r="AY324" s="269">
        <f>IF(AY$7="Actual","",IFERROR((INDEX($M324:$Q324,,MATCH(AY$4,$M$4:$Q$4,0))),0))</f>
        <v/>
      </c>
      <c r="AZ324" s="269">
        <f>IF(AZ$7="Actual","",IFERROR((INDEX($M324:$Q324,,MATCH(AZ$4,$M$4:$Q$4,0))),0))</f>
        <v/>
      </c>
      <c r="BA324" s="269">
        <f>IF(BA$7="Actual","",IFERROR((INDEX($M324:$Q324,,MATCH(BA$4,$M$4:$Q$4,0))),0))</f>
        <v/>
      </c>
      <c r="BB324" s="269">
        <f>IF(BB$7="Actual","",IFERROR((INDEX($M324:$Q324,,MATCH(BB$4,$M$4:$Q$4,0))),0))</f>
        <v/>
      </c>
      <c r="BC324" s="269">
        <f>IF(BC$7="Actual","",IFERROR((INDEX($M324:$Q324,,MATCH(BC$4,$M$4:$Q$4,0))),0))</f>
        <v/>
      </c>
      <c r="BD324" s="269">
        <f>IF(BD$7="Actual","",IFERROR((INDEX($M324:$Q324,,MATCH(BD$4,$M$4:$Q$4,0))),0))</f>
        <v/>
      </c>
      <c r="BE324" s="269">
        <f>IF(BE$7="Actual","",IFERROR((INDEX($M324:$Q324,,MATCH(BE$4,$M$4:$Q$4,0))),0))</f>
        <v/>
      </c>
      <c r="BF324" s="269">
        <f>IF(BF$7="Actual","",IFERROR((INDEX($M324:$Q324,,MATCH(BF$4,$M$4:$Q$4,0))),0))</f>
        <v/>
      </c>
      <c r="BG324" s="269">
        <f>IF(BG$7="Actual","",IFERROR((INDEX($M324:$Q324,,MATCH(BG$4,$M$4:$Q$4,0))),0))</f>
        <v/>
      </c>
      <c r="BH324" s="269">
        <f>IF(BH$7="Actual","",IFERROR((INDEX($M324:$Q324,,MATCH(BH$4,$M$4:$Q$4,0))),0))</f>
        <v/>
      </c>
      <c r="BI324" s="269">
        <f>IF(BI$7="Actual","",IFERROR((INDEX($M324:$Q324,,MATCH(BI$4,$M$4:$Q$4,0))),0))</f>
        <v/>
      </c>
      <c r="BJ324" s="269">
        <f>IF(BJ$7="Actual","",IFERROR((INDEX($M324:$Q324,,MATCH(BJ$4,$M$4:$Q$4,0))),0))</f>
        <v/>
      </c>
      <c r="BK324" s="269">
        <f>IF(BK$7="Actual","",IFERROR((INDEX($M324:$Q324,,MATCH(BK$4,$M$4:$Q$4,0))),0))</f>
        <v/>
      </c>
      <c r="BL324" s="269">
        <f>IF(BL$7="Actual","",IFERROR((INDEX($M324:$Q324,,MATCH(BL$4,$M$4:$Q$4,0))),0))</f>
        <v/>
      </c>
      <c r="BM324" s="269">
        <f>IF(BM$7="Actual","",IFERROR((INDEX($M324:$Q324,,MATCH(BM$4,$M$4:$Q$4,0))),0))</f>
        <v/>
      </c>
      <c r="BN324" s="269">
        <f>IF(BN$7="Actual","",IFERROR((INDEX($M324:$Q324,,MATCH(BN$4,$M$4:$Q$4,0))),0))</f>
        <v/>
      </c>
      <c r="BO324" s="269">
        <f>IF(BO$7="Actual","",IFERROR((INDEX($M324:$Q324,,MATCH(BO$4,$M$4:$Q$4,0))),0))</f>
        <v/>
      </c>
      <c r="BP324" s="269">
        <f>IF(BP$7="Actual","",IFERROR((INDEX($M324:$Q324,,MATCH(BP$4,$M$4:$Q$4,0))),0))</f>
        <v/>
      </c>
      <c r="BQ324" s="269">
        <f>IF(BQ$7="Actual","",IFERROR((INDEX($M324:$Q324,,MATCH(BQ$4,$M$4:$Q$4,0))),0))</f>
        <v/>
      </c>
      <c r="BR324" s="269">
        <f>IF(BR$7="Actual","",IFERROR((INDEX($M324:$Q324,,MATCH(BR$4,$M$4:$Q$4,0))),0))</f>
        <v/>
      </c>
      <c r="BS324" s="269">
        <f>IF(BS$7="Actual","",IFERROR((INDEX($M324:$Q324,,MATCH(BS$4,$M$4:$Q$4,0))),0))</f>
        <v/>
      </c>
      <c r="BT324" s="269">
        <f>IF(BT$7="Actual","",IFERROR((INDEX($M324:$Q324,,MATCH(BT$4,$M$4:$Q$4,0))),0))</f>
        <v/>
      </c>
      <c r="BU324" s="269">
        <f>IF(BU$7="Actual","",IFERROR((INDEX($M324:$Q324,,MATCH(BU$4,$M$4:$Q$4,0))),0))</f>
        <v/>
      </c>
      <c r="BV324" s="269">
        <f>IF(BV$7="Actual","",IFERROR((INDEX($M324:$Q324,,MATCH(BV$4,$M$4:$Q$4,0))),0))</f>
        <v/>
      </c>
      <c r="BW324" s="269">
        <f>IF(BW$7="Actual","",IFERROR((INDEX($M324:$Q324,,MATCH(BW$4,$M$4:$Q$4,0))),0))</f>
        <v/>
      </c>
      <c r="BX324" s="269">
        <f>IF(BX$7="Actual","",IFERROR((INDEX($M324:$Q324,,MATCH(BX$4,$M$4:$Q$4,0))),0))</f>
        <v/>
      </c>
      <c r="BY324" s="269">
        <f>IF(BY$7="Actual","",IFERROR((INDEX($M324:$Q324,,MATCH(BY$4,$M$4:$Q$4,0))),0))</f>
        <v/>
      </c>
      <c r="BZ324" s="269">
        <f>IF(BZ$7="Actual","",IFERROR((INDEX($M324:$Q324,,MATCH(BZ$4,$M$4:$Q$4,0))),0))</f>
        <v/>
      </c>
      <c r="CA324" s="269">
        <f>IF(CA$7="Actual","",IFERROR((INDEX($M324:$Q324,,MATCH(CA$4,$M$4:$Q$4,0))),0))</f>
        <v/>
      </c>
    </row>
    <row r="325" ht="12" customHeight="1" s="227">
      <c r="A325" s="244" t="n"/>
      <c r="B325" s="244" t="n"/>
      <c r="C325" s="244" t="n"/>
      <c r="H325" s="4">
        <f>H315</f>
        <v/>
      </c>
      <c r="I325" s="27" t="inlineStr">
        <is>
          <t>no</t>
        </is>
      </c>
      <c r="K325" s="6" t="n"/>
      <c r="M325" s="267">
        <f>IF(M$7="Actual","",i_Assumptions!M293)</f>
        <v/>
      </c>
      <c r="N325" s="267">
        <f>IF(N$7="Actual","",i_Assumptions!N293)</f>
        <v/>
      </c>
      <c r="O325" s="267">
        <f>IF(O$7="Actual","",i_Assumptions!O293)</f>
        <v/>
      </c>
      <c r="P325" s="267">
        <f>IF(P$7="Actual","",i_Assumptions!P293)</f>
        <v/>
      </c>
      <c r="Q325" s="267">
        <f>IF(Q$7="Actual","",i_Assumptions!Q293)</f>
        <v/>
      </c>
      <c r="R325" s="268" t="n"/>
      <c r="S325" s="268" t="n"/>
      <c r="T325" s="269">
        <f>IF(T$7="Actual","",IFERROR((INDEX($M325:$Q325,,MATCH(T$4,$M$4:$Q$4,0))),0))</f>
        <v/>
      </c>
      <c r="U325" s="269">
        <f>IF(U$7="Actual","",IFERROR((INDEX($M325:$Q325,,MATCH(U$4,$M$4:$Q$4,0))),0))</f>
        <v/>
      </c>
      <c r="V325" s="269">
        <f>IF(V$7="Actual","",IFERROR((INDEX($M325:$Q325,,MATCH(V$4,$M$4:$Q$4,0))),0))</f>
        <v/>
      </c>
      <c r="W325" s="269">
        <f>IF(W$7="Actual","",IFERROR((INDEX($M325:$Q325,,MATCH(W$4,$M$4:$Q$4,0))),0))</f>
        <v/>
      </c>
      <c r="X325" s="269">
        <f>IF(X$7="Actual","",IFERROR((INDEX($M325:$Q325,,MATCH(X$4,$M$4:$Q$4,0))),0))</f>
        <v/>
      </c>
      <c r="Y325" s="269">
        <f>IF(Y$7="Actual","",IFERROR((INDEX($M325:$Q325,,MATCH(Y$4,$M$4:$Q$4,0))),0))</f>
        <v/>
      </c>
      <c r="Z325" s="269">
        <f>IF(Z$7="Actual","",IFERROR((INDEX($M325:$Q325,,MATCH(Z$4,$M$4:$Q$4,0))),0))</f>
        <v/>
      </c>
      <c r="AA325" s="269">
        <f>IF(AA$7="Actual","",IFERROR((INDEX($M325:$Q325,,MATCH(AA$4,$M$4:$Q$4,0))),0))</f>
        <v/>
      </c>
      <c r="AB325" s="269">
        <f>IF(AB$7="Actual","",IFERROR((INDEX($M325:$Q325,,MATCH(AB$4,$M$4:$Q$4,0))),0))</f>
        <v/>
      </c>
      <c r="AC325" s="269">
        <f>IF(AC$7="Actual","",IFERROR((INDEX($M325:$Q325,,MATCH(AC$4,$M$4:$Q$4,0))),0))</f>
        <v/>
      </c>
      <c r="AD325" s="269">
        <f>IF(AD$7="Actual","",IFERROR((INDEX($M325:$Q325,,MATCH(AD$4,$M$4:$Q$4,0))),0))</f>
        <v/>
      </c>
      <c r="AE325" s="269">
        <f>IF(AE$7="Actual","",IFERROR((INDEX($M325:$Q325,,MATCH(AE$4,$M$4:$Q$4,0))),0))</f>
        <v/>
      </c>
      <c r="AF325" s="269">
        <f>IF(AF$7="Actual","",IFERROR((INDEX($M325:$Q325,,MATCH(AF$4,$M$4:$Q$4,0))),0))</f>
        <v/>
      </c>
      <c r="AG325" s="269">
        <f>IF(AG$7="Actual","",IFERROR((INDEX($M325:$Q325,,MATCH(AG$4,$M$4:$Q$4,0))),0))</f>
        <v/>
      </c>
      <c r="AH325" s="269">
        <f>IF(AH$7="Actual","",IFERROR((INDEX($M325:$Q325,,MATCH(AH$4,$M$4:$Q$4,0))),0))</f>
        <v/>
      </c>
      <c r="AI325" s="269">
        <f>IF(AI$7="Actual","",IFERROR((INDEX($M325:$Q325,,MATCH(AI$4,$M$4:$Q$4,0))),0))</f>
        <v/>
      </c>
      <c r="AJ325" s="269">
        <f>IF(AJ$7="Actual","",IFERROR((INDEX($M325:$Q325,,MATCH(AJ$4,$M$4:$Q$4,0))),0))</f>
        <v/>
      </c>
      <c r="AK325" s="269">
        <f>IF(AK$7="Actual","",IFERROR((INDEX($M325:$Q325,,MATCH(AK$4,$M$4:$Q$4,0))),0))</f>
        <v/>
      </c>
      <c r="AL325" s="269">
        <f>IF(AL$7="Actual","",IFERROR((INDEX($M325:$Q325,,MATCH(AL$4,$M$4:$Q$4,0))),0))</f>
        <v/>
      </c>
      <c r="AM325" s="269">
        <f>IF(AM$7="Actual","",IFERROR((INDEX($M325:$Q325,,MATCH(AM$4,$M$4:$Q$4,0))),0))</f>
        <v/>
      </c>
      <c r="AN325" s="269">
        <f>IF(AN$7="Actual","",IFERROR((INDEX($M325:$Q325,,MATCH(AN$4,$M$4:$Q$4,0))),0))</f>
        <v/>
      </c>
      <c r="AO325" s="269">
        <f>IF(AO$7="Actual","",IFERROR((INDEX($M325:$Q325,,MATCH(AO$4,$M$4:$Q$4,0))),0))</f>
        <v/>
      </c>
      <c r="AP325" s="269">
        <f>IF(AP$7="Actual","",IFERROR((INDEX($M325:$Q325,,MATCH(AP$4,$M$4:$Q$4,0))),0))</f>
        <v/>
      </c>
      <c r="AQ325" s="269">
        <f>IF(AQ$7="Actual","",IFERROR((INDEX($M325:$Q325,,MATCH(AQ$4,$M$4:$Q$4,0))),0))</f>
        <v/>
      </c>
      <c r="AR325" s="269">
        <f>IF(AR$7="Actual","",IFERROR((INDEX($M325:$Q325,,MATCH(AR$4,$M$4:$Q$4,0))),0))</f>
        <v/>
      </c>
      <c r="AS325" s="269">
        <f>IF(AS$7="Actual","",IFERROR((INDEX($M325:$Q325,,MATCH(AS$4,$M$4:$Q$4,0))),0))</f>
        <v/>
      </c>
      <c r="AT325" s="269">
        <f>IF(AT$7="Actual","",IFERROR((INDEX($M325:$Q325,,MATCH(AT$4,$M$4:$Q$4,0))),0))</f>
        <v/>
      </c>
      <c r="AU325" s="269">
        <f>IF(AU$7="Actual","",IFERROR((INDEX($M325:$Q325,,MATCH(AU$4,$M$4:$Q$4,0))),0))</f>
        <v/>
      </c>
      <c r="AV325" s="269">
        <f>IF(AV$7="Actual","",IFERROR((INDEX($M325:$Q325,,MATCH(AV$4,$M$4:$Q$4,0))),0))</f>
        <v/>
      </c>
      <c r="AW325" s="269">
        <f>IF(AW$7="Actual","",IFERROR((INDEX($M325:$Q325,,MATCH(AW$4,$M$4:$Q$4,0))),0))</f>
        <v/>
      </c>
      <c r="AX325" s="269">
        <f>IF(AX$7="Actual","",IFERROR((INDEX($M325:$Q325,,MATCH(AX$4,$M$4:$Q$4,0))),0))</f>
        <v/>
      </c>
      <c r="AY325" s="269">
        <f>IF(AY$7="Actual","",IFERROR((INDEX($M325:$Q325,,MATCH(AY$4,$M$4:$Q$4,0))),0))</f>
        <v/>
      </c>
      <c r="AZ325" s="269">
        <f>IF(AZ$7="Actual","",IFERROR((INDEX($M325:$Q325,,MATCH(AZ$4,$M$4:$Q$4,0))),0))</f>
        <v/>
      </c>
      <c r="BA325" s="269">
        <f>IF(BA$7="Actual","",IFERROR((INDEX($M325:$Q325,,MATCH(BA$4,$M$4:$Q$4,0))),0))</f>
        <v/>
      </c>
      <c r="BB325" s="269">
        <f>IF(BB$7="Actual","",IFERROR((INDEX($M325:$Q325,,MATCH(BB$4,$M$4:$Q$4,0))),0))</f>
        <v/>
      </c>
      <c r="BC325" s="269">
        <f>IF(BC$7="Actual","",IFERROR((INDEX($M325:$Q325,,MATCH(BC$4,$M$4:$Q$4,0))),0))</f>
        <v/>
      </c>
      <c r="BD325" s="269">
        <f>IF(BD$7="Actual","",IFERROR((INDEX($M325:$Q325,,MATCH(BD$4,$M$4:$Q$4,0))),0))</f>
        <v/>
      </c>
      <c r="BE325" s="269">
        <f>IF(BE$7="Actual","",IFERROR((INDEX($M325:$Q325,,MATCH(BE$4,$M$4:$Q$4,0))),0))</f>
        <v/>
      </c>
      <c r="BF325" s="269">
        <f>IF(BF$7="Actual","",IFERROR((INDEX($M325:$Q325,,MATCH(BF$4,$M$4:$Q$4,0))),0))</f>
        <v/>
      </c>
      <c r="BG325" s="269">
        <f>IF(BG$7="Actual","",IFERROR((INDEX($M325:$Q325,,MATCH(BG$4,$M$4:$Q$4,0))),0))</f>
        <v/>
      </c>
      <c r="BH325" s="269">
        <f>IF(BH$7="Actual","",IFERROR((INDEX($M325:$Q325,,MATCH(BH$4,$M$4:$Q$4,0))),0))</f>
        <v/>
      </c>
      <c r="BI325" s="269">
        <f>IF(BI$7="Actual","",IFERROR((INDEX($M325:$Q325,,MATCH(BI$4,$M$4:$Q$4,0))),0))</f>
        <v/>
      </c>
      <c r="BJ325" s="269">
        <f>IF(BJ$7="Actual","",IFERROR((INDEX($M325:$Q325,,MATCH(BJ$4,$M$4:$Q$4,0))),0))</f>
        <v/>
      </c>
      <c r="BK325" s="269">
        <f>IF(BK$7="Actual","",IFERROR((INDEX($M325:$Q325,,MATCH(BK$4,$M$4:$Q$4,0))),0))</f>
        <v/>
      </c>
      <c r="BL325" s="269">
        <f>IF(BL$7="Actual","",IFERROR((INDEX($M325:$Q325,,MATCH(BL$4,$M$4:$Q$4,0))),0))</f>
        <v/>
      </c>
      <c r="BM325" s="269">
        <f>IF(BM$7="Actual","",IFERROR((INDEX($M325:$Q325,,MATCH(BM$4,$M$4:$Q$4,0))),0))</f>
        <v/>
      </c>
      <c r="BN325" s="269">
        <f>IF(BN$7="Actual","",IFERROR((INDEX($M325:$Q325,,MATCH(BN$4,$M$4:$Q$4,0))),0))</f>
        <v/>
      </c>
      <c r="BO325" s="269">
        <f>IF(BO$7="Actual","",IFERROR((INDEX($M325:$Q325,,MATCH(BO$4,$M$4:$Q$4,0))),0))</f>
        <v/>
      </c>
      <c r="BP325" s="269">
        <f>IF(BP$7="Actual","",IFERROR((INDEX($M325:$Q325,,MATCH(BP$4,$M$4:$Q$4,0))),0))</f>
        <v/>
      </c>
      <c r="BQ325" s="269">
        <f>IF(BQ$7="Actual","",IFERROR((INDEX($M325:$Q325,,MATCH(BQ$4,$M$4:$Q$4,0))),0))</f>
        <v/>
      </c>
      <c r="BR325" s="269">
        <f>IF(BR$7="Actual","",IFERROR((INDEX($M325:$Q325,,MATCH(BR$4,$M$4:$Q$4,0))),0))</f>
        <v/>
      </c>
      <c r="BS325" s="269">
        <f>IF(BS$7="Actual","",IFERROR((INDEX($M325:$Q325,,MATCH(BS$4,$M$4:$Q$4,0))),0))</f>
        <v/>
      </c>
      <c r="BT325" s="269">
        <f>IF(BT$7="Actual","",IFERROR((INDEX($M325:$Q325,,MATCH(BT$4,$M$4:$Q$4,0))),0))</f>
        <v/>
      </c>
      <c r="BU325" s="269">
        <f>IF(BU$7="Actual","",IFERROR((INDEX($M325:$Q325,,MATCH(BU$4,$M$4:$Q$4,0))),0))</f>
        <v/>
      </c>
      <c r="BV325" s="269">
        <f>IF(BV$7="Actual","",IFERROR((INDEX($M325:$Q325,,MATCH(BV$4,$M$4:$Q$4,0))),0))</f>
        <v/>
      </c>
      <c r="BW325" s="269">
        <f>IF(BW$7="Actual","",IFERROR((INDEX($M325:$Q325,,MATCH(BW$4,$M$4:$Q$4,0))),0))</f>
        <v/>
      </c>
      <c r="BX325" s="269">
        <f>IF(BX$7="Actual","",IFERROR((INDEX($M325:$Q325,,MATCH(BX$4,$M$4:$Q$4,0))),0))</f>
        <v/>
      </c>
      <c r="BY325" s="269">
        <f>IF(BY$7="Actual","",IFERROR((INDEX($M325:$Q325,,MATCH(BY$4,$M$4:$Q$4,0))),0))</f>
        <v/>
      </c>
      <c r="BZ325" s="269">
        <f>IF(BZ$7="Actual","",IFERROR((INDEX($M325:$Q325,,MATCH(BZ$4,$M$4:$Q$4,0))),0))</f>
        <v/>
      </c>
      <c r="CA325" s="269">
        <f>IF(CA$7="Actual","",IFERROR((INDEX($M325:$Q325,,MATCH(CA$4,$M$4:$Q$4,0))),0))</f>
        <v/>
      </c>
    </row>
    <row r="326" ht="12" customHeight="1" s="227">
      <c r="A326" s="244" t="n"/>
      <c r="B326" s="244" t="n"/>
      <c r="C326" s="244" t="n"/>
      <c r="H326" s="4">
        <f>H316</f>
        <v/>
      </c>
      <c r="I326" s="27" t="inlineStr">
        <is>
          <t>no</t>
        </is>
      </c>
      <c r="K326" s="6" t="n"/>
      <c r="M326" s="267">
        <f>IF(M$7="Actual","",i_Assumptions!M294)</f>
        <v/>
      </c>
      <c r="N326" s="267">
        <f>IF(N$7="Actual","",i_Assumptions!N294)</f>
        <v/>
      </c>
      <c r="O326" s="267">
        <f>IF(O$7="Actual","",i_Assumptions!O294)</f>
        <v/>
      </c>
      <c r="P326" s="267">
        <f>IF(P$7="Actual","",i_Assumptions!P294)</f>
        <v/>
      </c>
      <c r="Q326" s="267">
        <f>IF(Q$7="Actual","",i_Assumptions!Q294)</f>
        <v/>
      </c>
      <c r="R326" s="268" t="n"/>
      <c r="S326" s="268" t="n"/>
      <c r="T326" s="269">
        <f>IF(T$7="Actual","",IFERROR((INDEX($M326:$Q326,,MATCH(T$4,$M$4:$Q$4,0))),0))</f>
        <v/>
      </c>
      <c r="U326" s="269">
        <f>IF(U$7="Actual","",IFERROR((INDEX($M326:$Q326,,MATCH(U$4,$M$4:$Q$4,0))),0))</f>
        <v/>
      </c>
      <c r="V326" s="269">
        <f>IF(V$7="Actual","",IFERROR((INDEX($M326:$Q326,,MATCH(V$4,$M$4:$Q$4,0))),0))</f>
        <v/>
      </c>
      <c r="W326" s="269">
        <f>IF(W$7="Actual","",IFERROR((INDEX($M326:$Q326,,MATCH(W$4,$M$4:$Q$4,0))),0))</f>
        <v/>
      </c>
      <c r="X326" s="269">
        <f>IF(X$7="Actual","",IFERROR((INDEX($M326:$Q326,,MATCH(X$4,$M$4:$Q$4,0))),0))</f>
        <v/>
      </c>
      <c r="Y326" s="269">
        <f>IF(Y$7="Actual","",IFERROR((INDEX($M326:$Q326,,MATCH(Y$4,$M$4:$Q$4,0))),0))</f>
        <v/>
      </c>
      <c r="Z326" s="269">
        <f>IF(Z$7="Actual","",IFERROR((INDEX($M326:$Q326,,MATCH(Z$4,$M$4:$Q$4,0))),0))</f>
        <v/>
      </c>
      <c r="AA326" s="269">
        <f>IF(AA$7="Actual","",IFERROR((INDEX($M326:$Q326,,MATCH(AA$4,$M$4:$Q$4,0))),0))</f>
        <v/>
      </c>
      <c r="AB326" s="269">
        <f>IF(AB$7="Actual","",IFERROR((INDEX($M326:$Q326,,MATCH(AB$4,$M$4:$Q$4,0))),0))</f>
        <v/>
      </c>
      <c r="AC326" s="269">
        <f>IF(AC$7="Actual","",IFERROR((INDEX($M326:$Q326,,MATCH(AC$4,$M$4:$Q$4,0))),0))</f>
        <v/>
      </c>
      <c r="AD326" s="269">
        <f>IF(AD$7="Actual","",IFERROR((INDEX($M326:$Q326,,MATCH(AD$4,$M$4:$Q$4,0))),0))</f>
        <v/>
      </c>
      <c r="AE326" s="269">
        <f>IF(AE$7="Actual","",IFERROR((INDEX($M326:$Q326,,MATCH(AE$4,$M$4:$Q$4,0))),0))</f>
        <v/>
      </c>
      <c r="AF326" s="269">
        <f>IF(AF$7="Actual","",IFERROR((INDEX($M326:$Q326,,MATCH(AF$4,$M$4:$Q$4,0))),0))</f>
        <v/>
      </c>
      <c r="AG326" s="269">
        <f>IF(AG$7="Actual","",IFERROR((INDEX($M326:$Q326,,MATCH(AG$4,$M$4:$Q$4,0))),0))</f>
        <v/>
      </c>
      <c r="AH326" s="269">
        <f>IF(AH$7="Actual","",IFERROR((INDEX($M326:$Q326,,MATCH(AH$4,$M$4:$Q$4,0))),0))</f>
        <v/>
      </c>
      <c r="AI326" s="269">
        <f>IF(AI$7="Actual","",IFERROR((INDEX($M326:$Q326,,MATCH(AI$4,$M$4:$Q$4,0))),0))</f>
        <v/>
      </c>
      <c r="AJ326" s="269">
        <f>IF(AJ$7="Actual","",IFERROR((INDEX($M326:$Q326,,MATCH(AJ$4,$M$4:$Q$4,0))),0))</f>
        <v/>
      </c>
      <c r="AK326" s="269">
        <f>IF(AK$7="Actual","",IFERROR((INDEX($M326:$Q326,,MATCH(AK$4,$M$4:$Q$4,0))),0))</f>
        <v/>
      </c>
      <c r="AL326" s="269">
        <f>IF(AL$7="Actual","",IFERROR((INDEX($M326:$Q326,,MATCH(AL$4,$M$4:$Q$4,0))),0))</f>
        <v/>
      </c>
      <c r="AM326" s="269">
        <f>IF(AM$7="Actual","",IFERROR((INDEX($M326:$Q326,,MATCH(AM$4,$M$4:$Q$4,0))),0))</f>
        <v/>
      </c>
      <c r="AN326" s="269">
        <f>IF(AN$7="Actual","",IFERROR((INDEX($M326:$Q326,,MATCH(AN$4,$M$4:$Q$4,0))),0))</f>
        <v/>
      </c>
      <c r="AO326" s="269">
        <f>IF(AO$7="Actual","",IFERROR((INDEX($M326:$Q326,,MATCH(AO$4,$M$4:$Q$4,0))),0))</f>
        <v/>
      </c>
      <c r="AP326" s="269">
        <f>IF(AP$7="Actual","",IFERROR((INDEX($M326:$Q326,,MATCH(AP$4,$M$4:$Q$4,0))),0))</f>
        <v/>
      </c>
      <c r="AQ326" s="269">
        <f>IF(AQ$7="Actual","",IFERROR((INDEX($M326:$Q326,,MATCH(AQ$4,$M$4:$Q$4,0))),0))</f>
        <v/>
      </c>
      <c r="AR326" s="269">
        <f>IF(AR$7="Actual","",IFERROR((INDEX($M326:$Q326,,MATCH(AR$4,$M$4:$Q$4,0))),0))</f>
        <v/>
      </c>
      <c r="AS326" s="269">
        <f>IF(AS$7="Actual","",IFERROR((INDEX($M326:$Q326,,MATCH(AS$4,$M$4:$Q$4,0))),0))</f>
        <v/>
      </c>
      <c r="AT326" s="269">
        <f>IF(AT$7="Actual","",IFERROR((INDEX($M326:$Q326,,MATCH(AT$4,$M$4:$Q$4,0))),0))</f>
        <v/>
      </c>
      <c r="AU326" s="269">
        <f>IF(AU$7="Actual","",IFERROR((INDEX($M326:$Q326,,MATCH(AU$4,$M$4:$Q$4,0))),0))</f>
        <v/>
      </c>
      <c r="AV326" s="269">
        <f>IF(AV$7="Actual","",IFERROR((INDEX($M326:$Q326,,MATCH(AV$4,$M$4:$Q$4,0))),0))</f>
        <v/>
      </c>
      <c r="AW326" s="269">
        <f>IF(AW$7="Actual","",IFERROR((INDEX($M326:$Q326,,MATCH(AW$4,$M$4:$Q$4,0))),0))</f>
        <v/>
      </c>
      <c r="AX326" s="269">
        <f>IF(AX$7="Actual","",IFERROR((INDEX($M326:$Q326,,MATCH(AX$4,$M$4:$Q$4,0))),0))</f>
        <v/>
      </c>
      <c r="AY326" s="269">
        <f>IF(AY$7="Actual","",IFERROR((INDEX($M326:$Q326,,MATCH(AY$4,$M$4:$Q$4,0))),0))</f>
        <v/>
      </c>
      <c r="AZ326" s="269">
        <f>IF(AZ$7="Actual","",IFERROR((INDEX($M326:$Q326,,MATCH(AZ$4,$M$4:$Q$4,0))),0))</f>
        <v/>
      </c>
      <c r="BA326" s="269">
        <f>IF(BA$7="Actual","",IFERROR((INDEX($M326:$Q326,,MATCH(BA$4,$M$4:$Q$4,0))),0))</f>
        <v/>
      </c>
      <c r="BB326" s="269">
        <f>IF(BB$7="Actual","",IFERROR((INDEX($M326:$Q326,,MATCH(BB$4,$M$4:$Q$4,0))),0))</f>
        <v/>
      </c>
      <c r="BC326" s="269">
        <f>IF(BC$7="Actual","",IFERROR((INDEX($M326:$Q326,,MATCH(BC$4,$M$4:$Q$4,0))),0))</f>
        <v/>
      </c>
      <c r="BD326" s="269">
        <f>IF(BD$7="Actual","",IFERROR((INDEX($M326:$Q326,,MATCH(BD$4,$M$4:$Q$4,0))),0))</f>
        <v/>
      </c>
      <c r="BE326" s="269">
        <f>IF(BE$7="Actual","",IFERROR((INDEX($M326:$Q326,,MATCH(BE$4,$M$4:$Q$4,0))),0))</f>
        <v/>
      </c>
      <c r="BF326" s="269">
        <f>IF(BF$7="Actual","",IFERROR((INDEX($M326:$Q326,,MATCH(BF$4,$M$4:$Q$4,0))),0))</f>
        <v/>
      </c>
      <c r="BG326" s="269">
        <f>IF(BG$7="Actual","",IFERROR((INDEX($M326:$Q326,,MATCH(BG$4,$M$4:$Q$4,0))),0))</f>
        <v/>
      </c>
      <c r="BH326" s="269">
        <f>IF(BH$7="Actual","",IFERROR((INDEX($M326:$Q326,,MATCH(BH$4,$M$4:$Q$4,0))),0))</f>
        <v/>
      </c>
      <c r="BI326" s="269">
        <f>IF(BI$7="Actual","",IFERROR((INDEX($M326:$Q326,,MATCH(BI$4,$M$4:$Q$4,0))),0))</f>
        <v/>
      </c>
      <c r="BJ326" s="269">
        <f>IF(BJ$7="Actual","",IFERROR((INDEX($M326:$Q326,,MATCH(BJ$4,$M$4:$Q$4,0))),0))</f>
        <v/>
      </c>
      <c r="BK326" s="269">
        <f>IF(BK$7="Actual","",IFERROR((INDEX($M326:$Q326,,MATCH(BK$4,$M$4:$Q$4,0))),0))</f>
        <v/>
      </c>
      <c r="BL326" s="269">
        <f>IF(BL$7="Actual","",IFERROR((INDEX($M326:$Q326,,MATCH(BL$4,$M$4:$Q$4,0))),0))</f>
        <v/>
      </c>
      <c r="BM326" s="269">
        <f>IF(BM$7="Actual","",IFERROR((INDEX($M326:$Q326,,MATCH(BM$4,$M$4:$Q$4,0))),0))</f>
        <v/>
      </c>
      <c r="BN326" s="269">
        <f>IF(BN$7="Actual","",IFERROR((INDEX($M326:$Q326,,MATCH(BN$4,$M$4:$Q$4,0))),0))</f>
        <v/>
      </c>
      <c r="BO326" s="269">
        <f>IF(BO$7="Actual","",IFERROR((INDEX($M326:$Q326,,MATCH(BO$4,$M$4:$Q$4,0))),0))</f>
        <v/>
      </c>
      <c r="BP326" s="269">
        <f>IF(BP$7="Actual","",IFERROR((INDEX($M326:$Q326,,MATCH(BP$4,$M$4:$Q$4,0))),0))</f>
        <v/>
      </c>
      <c r="BQ326" s="269">
        <f>IF(BQ$7="Actual","",IFERROR((INDEX($M326:$Q326,,MATCH(BQ$4,$M$4:$Q$4,0))),0))</f>
        <v/>
      </c>
      <c r="BR326" s="269">
        <f>IF(BR$7="Actual","",IFERROR((INDEX($M326:$Q326,,MATCH(BR$4,$M$4:$Q$4,0))),0))</f>
        <v/>
      </c>
      <c r="BS326" s="269">
        <f>IF(BS$7="Actual","",IFERROR((INDEX($M326:$Q326,,MATCH(BS$4,$M$4:$Q$4,0))),0))</f>
        <v/>
      </c>
      <c r="BT326" s="269">
        <f>IF(BT$7="Actual","",IFERROR((INDEX($M326:$Q326,,MATCH(BT$4,$M$4:$Q$4,0))),0))</f>
        <v/>
      </c>
      <c r="BU326" s="269">
        <f>IF(BU$7="Actual","",IFERROR((INDEX($M326:$Q326,,MATCH(BU$4,$M$4:$Q$4,0))),0))</f>
        <v/>
      </c>
      <c r="BV326" s="269">
        <f>IF(BV$7="Actual","",IFERROR((INDEX($M326:$Q326,,MATCH(BV$4,$M$4:$Q$4,0))),0))</f>
        <v/>
      </c>
      <c r="BW326" s="269">
        <f>IF(BW$7="Actual","",IFERROR((INDEX($M326:$Q326,,MATCH(BW$4,$M$4:$Q$4,0))),0))</f>
        <v/>
      </c>
      <c r="BX326" s="269">
        <f>IF(BX$7="Actual","",IFERROR((INDEX($M326:$Q326,,MATCH(BX$4,$M$4:$Q$4,0))),0))</f>
        <v/>
      </c>
      <c r="BY326" s="269">
        <f>IF(BY$7="Actual","",IFERROR((INDEX($M326:$Q326,,MATCH(BY$4,$M$4:$Q$4,0))),0))</f>
        <v/>
      </c>
      <c r="BZ326" s="269">
        <f>IF(BZ$7="Actual","",IFERROR((INDEX($M326:$Q326,,MATCH(BZ$4,$M$4:$Q$4,0))),0))</f>
        <v/>
      </c>
      <c r="CA326" s="269">
        <f>IF(CA$7="Actual","",IFERROR((INDEX($M326:$Q326,,MATCH(CA$4,$M$4:$Q$4,0))),0))</f>
        <v/>
      </c>
    </row>
    <row r="327" ht="12" customHeight="1" s="227">
      <c r="A327" s="244" t="n"/>
      <c r="B327" s="244" t="n"/>
      <c r="C327" s="244" t="n"/>
      <c r="K327" s="6" t="n"/>
    </row>
    <row r="328" ht="12" customHeight="1" s="227">
      <c r="A328" s="244" t="n"/>
      <c r="B328" s="244" t="n"/>
      <c r="C328" s="244" t="n"/>
      <c r="H328" s="8">
        <f>i_Setup!U38</f>
        <v/>
      </c>
      <c r="K328" s="6" t="n"/>
    </row>
    <row r="329" ht="12" customHeight="1" s="227">
      <c r="A329" s="244" t="n"/>
      <c r="B329" s="244" t="n"/>
      <c r="C329" s="244" t="n"/>
      <c r="H329" s="4">
        <f>H319</f>
        <v/>
      </c>
      <c r="I329" s="27" t="inlineStr">
        <is>
          <t>no</t>
        </is>
      </c>
      <c r="K329" s="6" t="n"/>
      <c r="M329" s="267">
        <f>IF(M$7="Actual","",i_Assumptions!M327)</f>
        <v/>
      </c>
      <c r="N329" s="267">
        <f>IF(N$7="Actual","",i_Assumptions!N327)</f>
        <v/>
      </c>
      <c r="O329" s="267">
        <f>IF(O$7="Actual","",i_Assumptions!O327)</f>
        <v/>
      </c>
      <c r="P329" s="267">
        <f>IF(P$7="Actual","",i_Assumptions!P327)</f>
        <v/>
      </c>
      <c r="Q329" s="267">
        <f>IF(Q$7="Actual","",i_Assumptions!Q327)</f>
        <v/>
      </c>
      <c r="R329" s="268" t="n"/>
      <c r="S329" s="268" t="n"/>
      <c r="T329" s="269">
        <f>IF(T$7="Actual","",IFERROR((INDEX($M329:$Q329,,MATCH(T$4,$M$4:$Q$4,0))),0))</f>
        <v/>
      </c>
      <c r="U329" s="269">
        <f>IF(U$7="Actual","",IFERROR((INDEX($M329:$Q329,,MATCH(U$4,$M$4:$Q$4,0))),0))</f>
        <v/>
      </c>
      <c r="V329" s="269">
        <f>IF(V$7="Actual","",IFERROR((INDEX($M329:$Q329,,MATCH(V$4,$M$4:$Q$4,0))),0))</f>
        <v/>
      </c>
      <c r="W329" s="269">
        <f>IF(W$7="Actual","",IFERROR((INDEX($M329:$Q329,,MATCH(W$4,$M$4:$Q$4,0))),0))</f>
        <v/>
      </c>
      <c r="X329" s="269">
        <f>IF(X$7="Actual","",IFERROR((INDEX($M329:$Q329,,MATCH(X$4,$M$4:$Q$4,0))),0))</f>
        <v/>
      </c>
      <c r="Y329" s="269">
        <f>IF(Y$7="Actual","",IFERROR((INDEX($M329:$Q329,,MATCH(Y$4,$M$4:$Q$4,0))),0))</f>
        <v/>
      </c>
      <c r="Z329" s="269">
        <f>IF(Z$7="Actual","",IFERROR((INDEX($M329:$Q329,,MATCH(Z$4,$M$4:$Q$4,0))),0))</f>
        <v/>
      </c>
      <c r="AA329" s="269">
        <f>IF(AA$7="Actual","",IFERROR((INDEX($M329:$Q329,,MATCH(AA$4,$M$4:$Q$4,0))),0))</f>
        <v/>
      </c>
      <c r="AB329" s="269">
        <f>IF(AB$7="Actual","",IFERROR((INDEX($M329:$Q329,,MATCH(AB$4,$M$4:$Q$4,0))),0))</f>
        <v/>
      </c>
      <c r="AC329" s="269">
        <f>IF(AC$7="Actual","",IFERROR((INDEX($M329:$Q329,,MATCH(AC$4,$M$4:$Q$4,0))),0))</f>
        <v/>
      </c>
      <c r="AD329" s="269">
        <f>IF(AD$7="Actual","",IFERROR((INDEX($M329:$Q329,,MATCH(AD$4,$M$4:$Q$4,0))),0))</f>
        <v/>
      </c>
      <c r="AE329" s="269">
        <f>IF(AE$7="Actual","",IFERROR((INDEX($M329:$Q329,,MATCH(AE$4,$M$4:$Q$4,0))),0))</f>
        <v/>
      </c>
      <c r="AF329" s="269">
        <f>IF(AF$7="Actual","",IFERROR((INDEX($M329:$Q329,,MATCH(AF$4,$M$4:$Q$4,0))),0))</f>
        <v/>
      </c>
      <c r="AG329" s="269">
        <f>IF(AG$7="Actual","",IFERROR((INDEX($M329:$Q329,,MATCH(AG$4,$M$4:$Q$4,0))),0))</f>
        <v/>
      </c>
      <c r="AH329" s="269">
        <f>IF(AH$7="Actual","",IFERROR((INDEX($M329:$Q329,,MATCH(AH$4,$M$4:$Q$4,0))),0))</f>
        <v/>
      </c>
      <c r="AI329" s="269">
        <f>IF(AI$7="Actual","",IFERROR((INDEX($M329:$Q329,,MATCH(AI$4,$M$4:$Q$4,0))),0))</f>
        <v/>
      </c>
      <c r="AJ329" s="269">
        <f>IF(AJ$7="Actual","",IFERROR((INDEX($M329:$Q329,,MATCH(AJ$4,$M$4:$Q$4,0))),0))</f>
        <v/>
      </c>
      <c r="AK329" s="269">
        <f>IF(AK$7="Actual","",IFERROR((INDEX($M329:$Q329,,MATCH(AK$4,$M$4:$Q$4,0))),0))</f>
        <v/>
      </c>
      <c r="AL329" s="269">
        <f>IF(AL$7="Actual","",IFERROR((INDEX($M329:$Q329,,MATCH(AL$4,$M$4:$Q$4,0))),0))</f>
        <v/>
      </c>
      <c r="AM329" s="269">
        <f>IF(AM$7="Actual","",IFERROR((INDEX($M329:$Q329,,MATCH(AM$4,$M$4:$Q$4,0))),0))</f>
        <v/>
      </c>
      <c r="AN329" s="269">
        <f>IF(AN$7="Actual","",IFERROR((INDEX($M329:$Q329,,MATCH(AN$4,$M$4:$Q$4,0))),0))</f>
        <v/>
      </c>
      <c r="AO329" s="269">
        <f>IF(AO$7="Actual","",IFERROR((INDEX($M329:$Q329,,MATCH(AO$4,$M$4:$Q$4,0))),0))</f>
        <v/>
      </c>
      <c r="AP329" s="269">
        <f>IF(AP$7="Actual","",IFERROR((INDEX($M329:$Q329,,MATCH(AP$4,$M$4:$Q$4,0))),0))</f>
        <v/>
      </c>
      <c r="AQ329" s="269">
        <f>IF(AQ$7="Actual","",IFERROR((INDEX($M329:$Q329,,MATCH(AQ$4,$M$4:$Q$4,0))),0))</f>
        <v/>
      </c>
      <c r="AR329" s="269">
        <f>IF(AR$7="Actual","",IFERROR((INDEX($M329:$Q329,,MATCH(AR$4,$M$4:$Q$4,0))),0))</f>
        <v/>
      </c>
      <c r="AS329" s="269">
        <f>IF(AS$7="Actual","",IFERROR((INDEX($M329:$Q329,,MATCH(AS$4,$M$4:$Q$4,0))),0))</f>
        <v/>
      </c>
      <c r="AT329" s="269">
        <f>IF(AT$7="Actual","",IFERROR((INDEX($M329:$Q329,,MATCH(AT$4,$M$4:$Q$4,0))),0))</f>
        <v/>
      </c>
      <c r="AU329" s="269">
        <f>IF(AU$7="Actual","",IFERROR((INDEX($M329:$Q329,,MATCH(AU$4,$M$4:$Q$4,0))),0))</f>
        <v/>
      </c>
      <c r="AV329" s="269">
        <f>IF(AV$7="Actual","",IFERROR((INDEX($M329:$Q329,,MATCH(AV$4,$M$4:$Q$4,0))),0))</f>
        <v/>
      </c>
      <c r="AW329" s="269">
        <f>IF(AW$7="Actual","",IFERROR((INDEX($M329:$Q329,,MATCH(AW$4,$M$4:$Q$4,0))),0))</f>
        <v/>
      </c>
      <c r="AX329" s="269">
        <f>IF(AX$7="Actual","",IFERROR((INDEX($M329:$Q329,,MATCH(AX$4,$M$4:$Q$4,0))),0))</f>
        <v/>
      </c>
      <c r="AY329" s="269">
        <f>IF(AY$7="Actual","",IFERROR((INDEX($M329:$Q329,,MATCH(AY$4,$M$4:$Q$4,0))),0))</f>
        <v/>
      </c>
      <c r="AZ329" s="269">
        <f>IF(AZ$7="Actual","",IFERROR((INDEX($M329:$Q329,,MATCH(AZ$4,$M$4:$Q$4,0))),0))</f>
        <v/>
      </c>
      <c r="BA329" s="269">
        <f>IF(BA$7="Actual","",IFERROR((INDEX($M329:$Q329,,MATCH(BA$4,$M$4:$Q$4,0))),0))</f>
        <v/>
      </c>
      <c r="BB329" s="269">
        <f>IF(BB$7="Actual","",IFERROR((INDEX($M329:$Q329,,MATCH(BB$4,$M$4:$Q$4,0))),0))</f>
        <v/>
      </c>
      <c r="BC329" s="269">
        <f>IF(BC$7="Actual","",IFERROR((INDEX($M329:$Q329,,MATCH(BC$4,$M$4:$Q$4,0))),0))</f>
        <v/>
      </c>
      <c r="BD329" s="269">
        <f>IF(BD$7="Actual","",IFERROR((INDEX($M329:$Q329,,MATCH(BD$4,$M$4:$Q$4,0))),0))</f>
        <v/>
      </c>
      <c r="BE329" s="269">
        <f>IF(BE$7="Actual","",IFERROR((INDEX($M329:$Q329,,MATCH(BE$4,$M$4:$Q$4,0))),0))</f>
        <v/>
      </c>
      <c r="BF329" s="269">
        <f>IF(BF$7="Actual","",IFERROR((INDEX($M329:$Q329,,MATCH(BF$4,$M$4:$Q$4,0))),0))</f>
        <v/>
      </c>
      <c r="BG329" s="269">
        <f>IF(BG$7="Actual","",IFERROR((INDEX($M329:$Q329,,MATCH(BG$4,$M$4:$Q$4,0))),0))</f>
        <v/>
      </c>
      <c r="BH329" s="269">
        <f>IF(BH$7="Actual","",IFERROR((INDEX($M329:$Q329,,MATCH(BH$4,$M$4:$Q$4,0))),0))</f>
        <v/>
      </c>
      <c r="BI329" s="269">
        <f>IF(BI$7="Actual","",IFERROR((INDEX($M329:$Q329,,MATCH(BI$4,$M$4:$Q$4,0))),0))</f>
        <v/>
      </c>
      <c r="BJ329" s="269">
        <f>IF(BJ$7="Actual","",IFERROR((INDEX($M329:$Q329,,MATCH(BJ$4,$M$4:$Q$4,0))),0))</f>
        <v/>
      </c>
      <c r="BK329" s="269">
        <f>IF(BK$7="Actual","",IFERROR((INDEX($M329:$Q329,,MATCH(BK$4,$M$4:$Q$4,0))),0))</f>
        <v/>
      </c>
      <c r="BL329" s="269">
        <f>IF(BL$7="Actual","",IFERROR((INDEX($M329:$Q329,,MATCH(BL$4,$M$4:$Q$4,0))),0))</f>
        <v/>
      </c>
      <c r="BM329" s="269">
        <f>IF(BM$7="Actual","",IFERROR((INDEX($M329:$Q329,,MATCH(BM$4,$M$4:$Q$4,0))),0))</f>
        <v/>
      </c>
      <c r="BN329" s="269">
        <f>IF(BN$7="Actual","",IFERROR((INDEX($M329:$Q329,,MATCH(BN$4,$M$4:$Q$4,0))),0))</f>
        <v/>
      </c>
      <c r="BO329" s="269">
        <f>IF(BO$7="Actual","",IFERROR((INDEX($M329:$Q329,,MATCH(BO$4,$M$4:$Q$4,0))),0))</f>
        <v/>
      </c>
      <c r="BP329" s="269">
        <f>IF(BP$7="Actual","",IFERROR((INDEX($M329:$Q329,,MATCH(BP$4,$M$4:$Q$4,0))),0))</f>
        <v/>
      </c>
      <c r="BQ329" s="269">
        <f>IF(BQ$7="Actual","",IFERROR((INDEX($M329:$Q329,,MATCH(BQ$4,$M$4:$Q$4,0))),0))</f>
        <v/>
      </c>
      <c r="BR329" s="269">
        <f>IF(BR$7="Actual","",IFERROR((INDEX($M329:$Q329,,MATCH(BR$4,$M$4:$Q$4,0))),0))</f>
        <v/>
      </c>
      <c r="BS329" s="269">
        <f>IF(BS$7="Actual","",IFERROR((INDEX($M329:$Q329,,MATCH(BS$4,$M$4:$Q$4,0))),0))</f>
        <v/>
      </c>
      <c r="BT329" s="269">
        <f>IF(BT$7="Actual","",IFERROR((INDEX($M329:$Q329,,MATCH(BT$4,$M$4:$Q$4,0))),0))</f>
        <v/>
      </c>
      <c r="BU329" s="269">
        <f>IF(BU$7="Actual","",IFERROR((INDEX($M329:$Q329,,MATCH(BU$4,$M$4:$Q$4,0))),0))</f>
        <v/>
      </c>
      <c r="BV329" s="269">
        <f>IF(BV$7="Actual","",IFERROR((INDEX($M329:$Q329,,MATCH(BV$4,$M$4:$Q$4,0))),0))</f>
        <v/>
      </c>
      <c r="BW329" s="269">
        <f>IF(BW$7="Actual","",IFERROR((INDEX($M329:$Q329,,MATCH(BW$4,$M$4:$Q$4,0))),0))</f>
        <v/>
      </c>
      <c r="BX329" s="269">
        <f>IF(BX$7="Actual","",IFERROR((INDEX($M329:$Q329,,MATCH(BX$4,$M$4:$Q$4,0))),0))</f>
        <v/>
      </c>
      <c r="BY329" s="269">
        <f>IF(BY$7="Actual","",IFERROR((INDEX($M329:$Q329,,MATCH(BY$4,$M$4:$Q$4,0))),0))</f>
        <v/>
      </c>
      <c r="BZ329" s="269">
        <f>IF(BZ$7="Actual","",IFERROR((INDEX($M329:$Q329,,MATCH(BZ$4,$M$4:$Q$4,0))),0))</f>
        <v/>
      </c>
      <c r="CA329" s="269">
        <f>IF(CA$7="Actual","",IFERROR((INDEX($M329:$Q329,,MATCH(CA$4,$M$4:$Q$4,0))),0))</f>
        <v/>
      </c>
    </row>
    <row r="330" ht="12" customHeight="1" s="227">
      <c r="A330" s="244" t="n"/>
      <c r="B330" s="244" t="n"/>
      <c r="C330" s="244" t="n"/>
      <c r="H330" s="4">
        <f>H320</f>
        <v/>
      </c>
      <c r="I330" s="27" t="inlineStr">
        <is>
          <t>no</t>
        </is>
      </c>
      <c r="K330" s="6" t="n"/>
      <c r="M330" s="267">
        <f>IF(M$7="Actual","",i_Assumptions!M328)</f>
        <v/>
      </c>
      <c r="N330" s="267">
        <f>IF(N$7="Actual","",i_Assumptions!N328)</f>
        <v/>
      </c>
      <c r="O330" s="267">
        <f>IF(O$7="Actual","",i_Assumptions!O328)</f>
        <v/>
      </c>
      <c r="P330" s="267">
        <f>IF(P$7="Actual","",i_Assumptions!P328)</f>
        <v/>
      </c>
      <c r="Q330" s="267">
        <f>IF(Q$7="Actual","",i_Assumptions!Q328)</f>
        <v/>
      </c>
      <c r="R330" s="268" t="n"/>
      <c r="S330" s="268" t="n"/>
      <c r="T330" s="269">
        <f>IF(T$7="Actual","",IFERROR((INDEX($M330:$Q330,,MATCH(T$4,$M$4:$Q$4,0))),0))</f>
        <v/>
      </c>
      <c r="U330" s="269">
        <f>IF(U$7="Actual","",IFERROR((INDEX($M330:$Q330,,MATCH(U$4,$M$4:$Q$4,0))),0))</f>
        <v/>
      </c>
      <c r="V330" s="269">
        <f>IF(V$7="Actual","",IFERROR((INDEX($M330:$Q330,,MATCH(V$4,$M$4:$Q$4,0))),0))</f>
        <v/>
      </c>
      <c r="W330" s="269">
        <f>IF(W$7="Actual","",IFERROR((INDEX($M330:$Q330,,MATCH(W$4,$M$4:$Q$4,0))),0))</f>
        <v/>
      </c>
      <c r="X330" s="269">
        <f>IF(X$7="Actual","",IFERROR((INDEX($M330:$Q330,,MATCH(X$4,$M$4:$Q$4,0))),0))</f>
        <v/>
      </c>
      <c r="Y330" s="269">
        <f>IF(Y$7="Actual","",IFERROR((INDEX($M330:$Q330,,MATCH(Y$4,$M$4:$Q$4,0))),0))</f>
        <v/>
      </c>
      <c r="Z330" s="269">
        <f>IF(Z$7="Actual","",IFERROR((INDEX($M330:$Q330,,MATCH(Z$4,$M$4:$Q$4,0))),0))</f>
        <v/>
      </c>
      <c r="AA330" s="269">
        <f>IF(AA$7="Actual","",IFERROR((INDEX($M330:$Q330,,MATCH(AA$4,$M$4:$Q$4,0))),0))</f>
        <v/>
      </c>
      <c r="AB330" s="269">
        <f>IF(AB$7="Actual","",IFERROR((INDEX($M330:$Q330,,MATCH(AB$4,$M$4:$Q$4,0))),0))</f>
        <v/>
      </c>
      <c r="AC330" s="269">
        <f>IF(AC$7="Actual","",IFERROR((INDEX($M330:$Q330,,MATCH(AC$4,$M$4:$Q$4,0))),0))</f>
        <v/>
      </c>
      <c r="AD330" s="269">
        <f>IF(AD$7="Actual","",IFERROR((INDEX($M330:$Q330,,MATCH(AD$4,$M$4:$Q$4,0))),0))</f>
        <v/>
      </c>
      <c r="AE330" s="269">
        <f>IF(AE$7="Actual","",IFERROR((INDEX($M330:$Q330,,MATCH(AE$4,$M$4:$Q$4,0))),0))</f>
        <v/>
      </c>
      <c r="AF330" s="269">
        <f>IF(AF$7="Actual","",IFERROR((INDEX($M330:$Q330,,MATCH(AF$4,$M$4:$Q$4,0))),0))</f>
        <v/>
      </c>
      <c r="AG330" s="269">
        <f>IF(AG$7="Actual","",IFERROR((INDEX($M330:$Q330,,MATCH(AG$4,$M$4:$Q$4,0))),0))</f>
        <v/>
      </c>
      <c r="AH330" s="269">
        <f>IF(AH$7="Actual","",IFERROR((INDEX($M330:$Q330,,MATCH(AH$4,$M$4:$Q$4,0))),0))</f>
        <v/>
      </c>
      <c r="AI330" s="269">
        <f>IF(AI$7="Actual","",IFERROR((INDEX($M330:$Q330,,MATCH(AI$4,$M$4:$Q$4,0))),0))</f>
        <v/>
      </c>
      <c r="AJ330" s="269">
        <f>IF(AJ$7="Actual","",IFERROR((INDEX($M330:$Q330,,MATCH(AJ$4,$M$4:$Q$4,0))),0))</f>
        <v/>
      </c>
      <c r="AK330" s="269">
        <f>IF(AK$7="Actual","",IFERROR((INDEX($M330:$Q330,,MATCH(AK$4,$M$4:$Q$4,0))),0))</f>
        <v/>
      </c>
      <c r="AL330" s="269">
        <f>IF(AL$7="Actual","",IFERROR((INDEX($M330:$Q330,,MATCH(AL$4,$M$4:$Q$4,0))),0))</f>
        <v/>
      </c>
      <c r="AM330" s="269">
        <f>IF(AM$7="Actual","",IFERROR((INDEX($M330:$Q330,,MATCH(AM$4,$M$4:$Q$4,0))),0))</f>
        <v/>
      </c>
      <c r="AN330" s="269">
        <f>IF(AN$7="Actual","",IFERROR((INDEX($M330:$Q330,,MATCH(AN$4,$M$4:$Q$4,0))),0))</f>
        <v/>
      </c>
      <c r="AO330" s="269">
        <f>IF(AO$7="Actual","",IFERROR((INDEX($M330:$Q330,,MATCH(AO$4,$M$4:$Q$4,0))),0))</f>
        <v/>
      </c>
      <c r="AP330" s="269">
        <f>IF(AP$7="Actual","",IFERROR((INDEX($M330:$Q330,,MATCH(AP$4,$M$4:$Q$4,0))),0))</f>
        <v/>
      </c>
      <c r="AQ330" s="269">
        <f>IF(AQ$7="Actual","",IFERROR((INDEX($M330:$Q330,,MATCH(AQ$4,$M$4:$Q$4,0))),0))</f>
        <v/>
      </c>
      <c r="AR330" s="269">
        <f>IF(AR$7="Actual","",IFERROR((INDEX($M330:$Q330,,MATCH(AR$4,$M$4:$Q$4,0))),0))</f>
        <v/>
      </c>
      <c r="AS330" s="269">
        <f>IF(AS$7="Actual","",IFERROR((INDEX($M330:$Q330,,MATCH(AS$4,$M$4:$Q$4,0))),0))</f>
        <v/>
      </c>
      <c r="AT330" s="269">
        <f>IF(AT$7="Actual","",IFERROR((INDEX($M330:$Q330,,MATCH(AT$4,$M$4:$Q$4,0))),0))</f>
        <v/>
      </c>
      <c r="AU330" s="269">
        <f>IF(AU$7="Actual","",IFERROR((INDEX($M330:$Q330,,MATCH(AU$4,$M$4:$Q$4,0))),0))</f>
        <v/>
      </c>
      <c r="AV330" s="269">
        <f>IF(AV$7="Actual","",IFERROR((INDEX($M330:$Q330,,MATCH(AV$4,$M$4:$Q$4,0))),0))</f>
        <v/>
      </c>
      <c r="AW330" s="269">
        <f>IF(AW$7="Actual","",IFERROR((INDEX($M330:$Q330,,MATCH(AW$4,$M$4:$Q$4,0))),0))</f>
        <v/>
      </c>
      <c r="AX330" s="269">
        <f>IF(AX$7="Actual","",IFERROR((INDEX($M330:$Q330,,MATCH(AX$4,$M$4:$Q$4,0))),0))</f>
        <v/>
      </c>
      <c r="AY330" s="269">
        <f>IF(AY$7="Actual","",IFERROR((INDEX($M330:$Q330,,MATCH(AY$4,$M$4:$Q$4,0))),0))</f>
        <v/>
      </c>
      <c r="AZ330" s="269">
        <f>IF(AZ$7="Actual","",IFERROR((INDEX($M330:$Q330,,MATCH(AZ$4,$M$4:$Q$4,0))),0))</f>
        <v/>
      </c>
      <c r="BA330" s="269">
        <f>IF(BA$7="Actual","",IFERROR((INDEX($M330:$Q330,,MATCH(BA$4,$M$4:$Q$4,0))),0))</f>
        <v/>
      </c>
      <c r="BB330" s="269">
        <f>IF(BB$7="Actual","",IFERROR((INDEX($M330:$Q330,,MATCH(BB$4,$M$4:$Q$4,0))),0))</f>
        <v/>
      </c>
      <c r="BC330" s="269">
        <f>IF(BC$7="Actual","",IFERROR((INDEX($M330:$Q330,,MATCH(BC$4,$M$4:$Q$4,0))),0))</f>
        <v/>
      </c>
      <c r="BD330" s="269">
        <f>IF(BD$7="Actual","",IFERROR((INDEX($M330:$Q330,,MATCH(BD$4,$M$4:$Q$4,0))),0))</f>
        <v/>
      </c>
      <c r="BE330" s="269">
        <f>IF(BE$7="Actual","",IFERROR((INDEX($M330:$Q330,,MATCH(BE$4,$M$4:$Q$4,0))),0))</f>
        <v/>
      </c>
      <c r="BF330" s="269">
        <f>IF(BF$7="Actual","",IFERROR((INDEX($M330:$Q330,,MATCH(BF$4,$M$4:$Q$4,0))),0))</f>
        <v/>
      </c>
      <c r="BG330" s="269">
        <f>IF(BG$7="Actual","",IFERROR((INDEX($M330:$Q330,,MATCH(BG$4,$M$4:$Q$4,0))),0))</f>
        <v/>
      </c>
      <c r="BH330" s="269">
        <f>IF(BH$7="Actual","",IFERROR((INDEX($M330:$Q330,,MATCH(BH$4,$M$4:$Q$4,0))),0))</f>
        <v/>
      </c>
      <c r="BI330" s="269">
        <f>IF(BI$7="Actual","",IFERROR((INDEX($M330:$Q330,,MATCH(BI$4,$M$4:$Q$4,0))),0))</f>
        <v/>
      </c>
      <c r="BJ330" s="269">
        <f>IF(BJ$7="Actual","",IFERROR((INDEX($M330:$Q330,,MATCH(BJ$4,$M$4:$Q$4,0))),0))</f>
        <v/>
      </c>
      <c r="BK330" s="269">
        <f>IF(BK$7="Actual","",IFERROR((INDEX($M330:$Q330,,MATCH(BK$4,$M$4:$Q$4,0))),0))</f>
        <v/>
      </c>
      <c r="BL330" s="269">
        <f>IF(BL$7="Actual","",IFERROR((INDEX($M330:$Q330,,MATCH(BL$4,$M$4:$Q$4,0))),0))</f>
        <v/>
      </c>
      <c r="BM330" s="269">
        <f>IF(BM$7="Actual","",IFERROR((INDEX($M330:$Q330,,MATCH(BM$4,$M$4:$Q$4,0))),0))</f>
        <v/>
      </c>
      <c r="BN330" s="269">
        <f>IF(BN$7="Actual","",IFERROR((INDEX($M330:$Q330,,MATCH(BN$4,$M$4:$Q$4,0))),0))</f>
        <v/>
      </c>
      <c r="BO330" s="269">
        <f>IF(BO$7="Actual","",IFERROR((INDEX($M330:$Q330,,MATCH(BO$4,$M$4:$Q$4,0))),0))</f>
        <v/>
      </c>
      <c r="BP330" s="269">
        <f>IF(BP$7="Actual","",IFERROR((INDEX($M330:$Q330,,MATCH(BP$4,$M$4:$Q$4,0))),0))</f>
        <v/>
      </c>
      <c r="BQ330" s="269">
        <f>IF(BQ$7="Actual","",IFERROR((INDEX($M330:$Q330,,MATCH(BQ$4,$M$4:$Q$4,0))),0))</f>
        <v/>
      </c>
      <c r="BR330" s="269">
        <f>IF(BR$7="Actual","",IFERROR((INDEX($M330:$Q330,,MATCH(BR$4,$M$4:$Q$4,0))),0))</f>
        <v/>
      </c>
      <c r="BS330" s="269">
        <f>IF(BS$7="Actual","",IFERROR((INDEX($M330:$Q330,,MATCH(BS$4,$M$4:$Q$4,0))),0))</f>
        <v/>
      </c>
      <c r="BT330" s="269">
        <f>IF(BT$7="Actual","",IFERROR((INDEX($M330:$Q330,,MATCH(BT$4,$M$4:$Q$4,0))),0))</f>
        <v/>
      </c>
      <c r="BU330" s="269">
        <f>IF(BU$7="Actual","",IFERROR((INDEX($M330:$Q330,,MATCH(BU$4,$M$4:$Q$4,0))),0))</f>
        <v/>
      </c>
      <c r="BV330" s="269">
        <f>IF(BV$7="Actual","",IFERROR((INDEX($M330:$Q330,,MATCH(BV$4,$M$4:$Q$4,0))),0))</f>
        <v/>
      </c>
      <c r="BW330" s="269">
        <f>IF(BW$7="Actual","",IFERROR((INDEX($M330:$Q330,,MATCH(BW$4,$M$4:$Q$4,0))),0))</f>
        <v/>
      </c>
      <c r="BX330" s="269">
        <f>IF(BX$7="Actual","",IFERROR((INDEX($M330:$Q330,,MATCH(BX$4,$M$4:$Q$4,0))),0))</f>
        <v/>
      </c>
      <c r="BY330" s="269">
        <f>IF(BY$7="Actual","",IFERROR((INDEX($M330:$Q330,,MATCH(BY$4,$M$4:$Q$4,0))),0))</f>
        <v/>
      </c>
      <c r="BZ330" s="269">
        <f>IF(BZ$7="Actual","",IFERROR((INDEX($M330:$Q330,,MATCH(BZ$4,$M$4:$Q$4,0))),0))</f>
        <v/>
      </c>
      <c r="CA330" s="269">
        <f>IF(CA$7="Actual","",IFERROR((INDEX($M330:$Q330,,MATCH(CA$4,$M$4:$Q$4,0))),0))</f>
        <v/>
      </c>
    </row>
    <row r="331" ht="12" customHeight="1" s="227">
      <c r="A331" s="244" t="n"/>
      <c r="B331" s="244" t="n"/>
      <c r="C331" s="244" t="n"/>
      <c r="H331" s="4">
        <f>H321</f>
        <v/>
      </c>
      <c r="I331" s="27" t="inlineStr">
        <is>
          <t>no</t>
        </is>
      </c>
      <c r="K331" s="6" t="n"/>
      <c r="M331" s="267">
        <f>IF(M$7="Actual","",i_Assumptions!M329)</f>
        <v/>
      </c>
      <c r="N331" s="267">
        <f>IF(N$7="Actual","",i_Assumptions!N329)</f>
        <v/>
      </c>
      <c r="O331" s="267">
        <f>IF(O$7="Actual","",i_Assumptions!O329)</f>
        <v/>
      </c>
      <c r="P331" s="267">
        <f>IF(P$7="Actual","",i_Assumptions!P329)</f>
        <v/>
      </c>
      <c r="Q331" s="267">
        <f>IF(Q$7="Actual","",i_Assumptions!Q329)</f>
        <v/>
      </c>
      <c r="R331" s="268" t="n"/>
      <c r="S331" s="268" t="n"/>
      <c r="T331" s="269">
        <f>IF(T$7="Actual","",IFERROR((INDEX($M331:$Q331,,MATCH(T$4,$M$4:$Q$4,0))),0))</f>
        <v/>
      </c>
      <c r="U331" s="269">
        <f>IF(U$7="Actual","",IFERROR((INDEX($M331:$Q331,,MATCH(U$4,$M$4:$Q$4,0))),0))</f>
        <v/>
      </c>
      <c r="V331" s="269">
        <f>IF(V$7="Actual","",IFERROR((INDEX($M331:$Q331,,MATCH(V$4,$M$4:$Q$4,0))),0))</f>
        <v/>
      </c>
      <c r="W331" s="269">
        <f>IF(W$7="Actual","",IFERROR((INDEX($M331:$Q331,,MATCH(W$4,$M$4:$Q$4,0))),0))</f>
        <v/>
      </c>
      <c r="X331" s="269">
        <f>IF(X$7="Actual","",IFERROR((INDEX($M331:$Q331,,MATCH(X$4,$M$4:$Q$4,0))),0))</f>
        <v/>
      </c>
      <c r="Y331" s="269">
        <f>IF(Y$7="Actual","",IFERROR((INDEX($M331:$Q331,,MATCH(Y$4,$M$4:$Q$4,0))),0))</f>
        <v/>
      </c>
      <c r="Z331" s="269">
        <f>IF(Z$7="Actual","",IFERROR((INDEX($M331:$Q331,,MATCH(Z$4,$M$4:$Q$4,0))),0))</f>
        <v/>
      </c>
      <c r="AA331" s="269">
        <f>IF(AA$7="Actual","",IFERROR((INDEX($M331:$Q331,,MATCH(AA$4,$M$4:$Q$4,0))),0))</f>
        <v/>
      </c>
      <c r="AB331" s="269">
        <f>IF(AB$7="Actual","",IFERROR((INDEX($M331:$Q331,,MATCH(AB$4,$M$4:$Q$4,0))),0))</f>
        <v/>
      </c>
      <c r="AC331" s="269">
        <f>IF(AC$7="Actual","",IFERROR((INDEX($M331:$Q331,,MATCH(AC$4,$M$4:$Q$4,0))),0))</f>
        <v/>
      </c>
      <c r="AD331" s="269">
        <f>IF(AD$7="Actual","",IFERROR((INDEX($M331:$Q331,,MATCH(AD$4,$M$4:$Q$4,0))),0))</f>
        <v/>
      </c>
      <c r="AE331" s="269">
        <f>IF(AE$7="Actual","",IFERROR((INDEX($M331:$Q331,,MATCH(AE$4,$M$4:$Q$4,0))),0))</f>
        <v/>
      </c>
      <c r="AF331" s="269">
        <f>IF(AF$7="Actual","",IFERROR((INDEX($M331:$Q331,,MATCH(AF$4,$M$4:$Q$4,0))),0))</f>
        <v/>
      </c>
      <c r="AG331" s="269">
        <f>IF(AG$7="Actual","",IFERROR((INDEX($M331:$Q331,,MATCH(AG$4,$M$4:$Q$4,0))),0))</f>
        <v/>
      </c>
      <c r="AH331" s="269">
        <f>IF(AH$7="Actual","",IFERROR((INDEX($M331:$Q331,,MATCH(AH$4,$M$4:$Q$4,0))),0))</f>
        <v/>
      </c>
      <c r="AI331" s="269">
        <f>IF(AI$7="Actual","",IFERROR((INDEX($M331:$Q331,,MATCH(AI$4,$M$4:$Q$4,0))),0))</f>
        <v/>
      </c>
      <c r="AJ331" s="269">
        <f>IF(AJ$7="Actual","",IFERROR((INDEX($M331:$Q331,,MATCH(AJ$4,$M$4:$Q$4,0))),0))</f>
        <v/>
      </c>
      <c r="AK331" s="269">
        <f>IF(AK$7="Actual","",IFERROR((INDEX($M331:$Q331,,MATCH(AK$4,$M$4:$Q$4,0))),0))</f>
        <v/>
      </c>
      <c r="AL331" s="269">
        <f>IF(AL$7="Actual","",IFERROR((INDEX($M331:$Q331,,MATCH(AL$4,$M$4:$Q$4,0))),0))</f>
        <v/>
      </c>
      <c r="AM331" s="269">
        <f>IF(AM$7="Actual","",IFERROR((INDEX($M331:$Q331,,MATCH(AM$4,$M$4:$Q$4,0))),0))</f>
        <v/>
      </c>
      <c r="AN331" s="269">
        <f>IF(AN$7="Actual","",IFERROR((INDEX($M331:$Q331,,MATCH(AN$4,$M$4:$Q$4,0))),0))</f>
        <v/>
      </c>
      <c r="AO331" s="269">
        <f>IF(AO$7="Actual","",IFERROR((INDEX($M331:$Q331,,MATCH(AO$4,$M$4:$Q$4,0))),0))</f>
        <v/>
      </c>
      <c r="AP331" s="269">
        <f>IF(AP$7="Actual","",IFERROR((INDEX($M331:$Q331,,MATCH(AP$4,$M$4:$Q$4,0))),0))</f>
        <v/>
      </c>
      <c r="AQ331" s="269">
        <f>IF(AQ$7="Actual","",IFERROR((INDEX($M331:$Q331,,MATCH(AQ$4,$M$4:$Q$4,0))),0))</f>
        <v/>
      </c>
      <c r="AR331" s="269">
        <f>IF(AR$7="Actual","",IFERROR((INDEX($M331:$Q331,,MATCH(AR$4,$M$4:$Q$4,0))),0))</f>
        <v/>
      </c>
      <c r="AS331" s="269">
        <f>IF(AS$7="Actual","",IFERROR((INDEX($M331:$Q331,,MATCH(AS$4,$M$4:$Q$4,0))),0))</f>
        <v/>
      </c>
      <c r="AT331" s="269">
        <f>IF(AT$7="Actual","",IFERROR((INDEX($M331:$Q331,,MATCH(AT$4,$M$4:$Q$4,0))),0))</f>
        <v/>
      </c>
      <c r="AU331" s="269">
        <f>IF(AU$7="Actual","",IFERROR((INDEX($M331:$Q331,,MATCH(AU$4,$M$4:$Q$4,0))),0))</f>
        <v/>
      </c>
      <c r="AV331" s="269">
        <f>IF(AV$7="Actual","",IFERROR((INDEX($M331:$Q331,,MATCH(AV$4,$M$4:$Q$4,0))),0))</f>
        <v/>
      </c>
      <c r="AW331" s="269">
        <f>IF(AW$7="Actual","",IFERROR((INDEX($M331:$Q331,,MATCH(AW$4,$M$4:$Q$4,0))),0))</f>
        <v/>
      </c>
      <c r="AX331" s="269">
        <f>IF(AX$7="Actual","",IFERROR((INDEX($M331:$Q331,,MATCH(AX$4,$M$4:$Q$4,0))),0))</f>
        <v/>
      </c>
      <c r="AY331" s="269">
        <f>IF(AY$7="Actual","",IFERROR((INDEX($M331:$Q331,,MATCH(AY$4,$M$4:$Q$4,0))),0))</f>
        <v/>
      </c>
      <c r="AZ331" s="269">
        <f>IF(AZ$7="Actual","",IFERROR((INDEX($M331:$Q331,,MATCH(AZ$4,$M$4:$Q$4,0))),0))</f>
        <v/>
      </c>
      <c r="BA331" s="269">
        <f>IF(BA$7="Actual","",IFERROR((INDEX($M331:$Q331,,MATCH(BA$4,$M$4:$Q$4,0))),0))</f>
        <v/>
      </c>
      <c r="BB331" s="269">
        <f>IF(BB$7="Actual","",IFERROR((INDEX($M331:$Q331,,MATCH(BB$4,$M$4:$Q$4,0))),0))</f>
        <v/>
      </c>
      <c r="BC331" s="269">
        <f>IF(BC$7="Actual","",IFERROR((INDEX($M331:$Q331,,MATCH(BC$4,$M$4:$Q$4,0))),0))</f>
        <v/>
      </c>
      <c r="BD331" s="269">
        <f>IF(BD$7="Actual","",IFERROR((INDEX($M331:$Q331,,MATCH(BD$4,$M$4:$Q$4,0))),0))</f>
        <v/>
      </c>
      <c r="BE331" s="269">
        <f>IF(BE$7="Actual","",IFERROR((INDEX($M331:$Q331,,MATCH(BE$4,$M$4:$Q$4,0))),0))</f>
        <v/>
      </c>
      <c r="BF331" s="269">
        <f>IF(BF$7="Actual","",IFERROR((INDEX($M331:$Q331,,MATCH(BF$4,$M$4:$Q$4,0))),0))</f>
        <v/>
      </c>
      <c r="BG331" s="269">
        <f>IF(BG$7="Actual","",IFERROR((INDEX($M331:$Q331,,MATCH(BG$4,$M$4:$Q$4,0))),0))</f>
        <v/>
      </c>
      <c r="BH331" s="269">
        <f>IF(BH$7="Actual","",IFERROR((INDEX($M331:$Q331,,MATCH(BH$4,$M$4:$Q$4,0))),0))</f>
        <v/>
      </c>
      <c r="BI331" s="269">
        <f>IF(BI$7="Actual","",IFERROR((INDEX($M331:$Q331,,MATCH(BI$4,$M$4:$Q$4,0))),0))</f>
        <v/>
      </c>
      <c r="BJ331" s="269">
        <f>IF(BJ$7="Actual","",IFERROR((INDEX($M331:$Q331,,MATCH(BJ$4,$M$4:$Q$4,0))),0))</f>
        <v/>
      </c>
      <c r="BK331" s="269">
        <f>IF(BK$7="Actual","",IFERROR((INDEX($M331:$Q331,,MATCH(BK$4,$M$4:$Q$4,0))),0))</f>
        <v/>
      </c>
      <c r="BL331" s="269">
        <f>IF(BL$7="Actual","",IFERROR((INDEX($M331:$Q331,,MATCH(BL$4,$M$4:$Q$4,0))),0))</f>
        <v/>
      </c>
      <c r="BM331" s="269">
        <f>IF(BM$7="Actual","",IFERROR((INDEX($M331:$Q331,,MATCH(BM$4,$M$4:$Q$4,0))),0))</f>
        <v/>
      </c>
      <c r="BN331" s="269">
        <f>IF(BN$7="Actual","",IFERROR((INDEX($M331:$Q331,,MATCH(BN$4,$M$4:$Q$4,0))),0))</f>
        <v/>
      </c>
      <c r="BO331" s="269">
        <f>IF(BO$7="Actual","",IFERROR((INDEX($M331:$Q331,,MATCH(BO$4,$M$4:$Q$4,0))),0))</f>
        <v/>
      </c>
      <c r="BP331" s="269">
        <f>IF(BP$7="Actual","",IFERROR((INDEX($M331:$Q331,,MATCH(BP$4,$M$4:$Q$4,0))),0))</f>
        <v/>
      </c>
      <c r="BQ331" s="269">
        <f>IF(BQ$7="Actual","",IFERROR((INDEX($M331:$Q331,,MATCH(BQ$4,$M$4:$Q$4,0))),0))</f>
        <v/>
      </c>
      <c r="BR331" s="269">
        <f>IF(BR$7="Actual","",IFERROR((INDEX($M331:$Q331,,MATCH(BR$4,$M$4:$Q$4,0))),0))</f>
        <v/>
      </c>
      <c r="BS331" s="269">
        <f>IF(BS$7="Actual","",IFERROR((INDEX($M331:$Q331,,MATCH(BS$4,$M$4:$Q$4,0))),0))</f>
        <v/>
      </c>
      <c r="BT331" s="269">
        <f>IF(BT$7="Actual","",IFERROR((INDEX($M331:$Q331,,MATCH(BT$4,$M$4:$Q$4,0))),0))</f>
        <v/>
      </c>
      <c r="BU331" s="269">
        <f>IF(BU$7="Actual","",IFERROR((INDEX($M331:$Q331,,MATCH(BU$4,$M$4:$Q$4,0))),0))</f>
        <v/>
      </c>
      <c r="BV331" s="269">
        <f>IF(BV$7="Actual","",IFERROR((INDEX($M331:$Q331,,MATCH(BV$4,$M$4:$Q$4,0))),0))</f>
        <v/>
      </c>
      <c r="BW331" s="269">
        <f>IF(BW$7="Actual","",IFERROR((INDEX($M331:$Q331,,MATCH(BW$4,$M$4:$Q$4,0))),0))</f>
        <v/>
      </c>
      <c r="BX331" s="269">
        <f>IF(BX$7="Actual","",IFERROR((INDEX($M331:$Q331,,MATCH(BX$4,$M$4:$Q$4,0))),0))</f>
        <v/>
      </c>
      <c r="BY331" s="269">
        <f>IF(BY$7="Actual","",IFERROR((INDEX($M331:$Q331,,MATCH(BY$4,$M$4:$Q$4,0))),0))</f>
        <v/>
      </c>
      <c r="BZ331" s="269">
        <f>IF(BZ$7="Actual","",IFERROR((INDEX($M331:$Q331,,MATCH(BZ$4,$M$4:$Q$4,0))),0))</f>
        <v/>
      </c>
      <c r="CA331" s="269">
        <f>IF(CA$7="Actual","",IFERROR((INDEX($M331:$Q331,,MATCH(CA$4,$M$4:$Q$4,0))),0))</f>
        <v/>
      </c>
    </row>
    <row r="332" ht="12" customHeight="1" s="227">
      <c r="A332" s="244" t="n"/>
      <c r="B332" s="244" t="n"/>
      <c r="C332" s="244" t="n"/>
      <c r="H332" s="4">
        <f>H322</f>
        <v/>
      </c>
      <c r="I332" s="27" t="inlineStr">
        <is>
          <t>no</t>
        </is>
      </c>
      <c r="K332" s="6" t="n"/>
      <c r="M332" s="267">
        <f>IF(M$7="Actual","",i_Assumptions!M330)</f>
        <v/>
      </c>
      <c r="N332" s="267">
        <f>IF(N$7="Actual","",i_Assumptions!N330)</f>
        <v/>
      </c>
      <c r="O332" s="267">
        <f>IF(O$7="Actual","",i_Assumptions!O330)</f>
        <v/>
      </c>
      <c r="P332" s="267">
        <f>IF(P$7="Actual","",i_Assumptions!P330)</f>
        <v/>
      </c>
      <c r="Q332" s="267">
        <f>IF(Q$7="Actual","",i_Assumptions!Q330)</f>
        <v/>
      </c>
      <c r="R332" s="268" t="n"/>
      <c r="S332" s="268" t="n"/>
      <c r="T332" s="269">
        <f>IF(T$7="Actual","",IFERROR((INDEX($M332:$Q332,,MATCH(T$4,$M$4:$Q$4,0))),0))</f>
        <v/>
      </c>
      <c r="U332" s="269">
        <f>IF(U$7="Actual","",IFERROR((INDEX($M332:$Q332,,MATCH(U$4,$M$4:$Q$4,0))),0))</f>
        <v/>
      </c>
      <c r="V332" s="269">
        <f>IF(V$7="Actual","",IFERROR((INDEX($M332:$Q332,,MATCH(V$4,$M$4:$Q$4,0))),0))</f>
        <v/>
      </c>
      <c r="W332" s="269">
        <f>IF(W$7="Actual","",IFERROR((INDEX($M332:$Q332,,MATCH(W$4,$M$4:$Q$4,0))),0))</f>
        <v/>
      </c>
      <c r="X332" s="269">
        <f>IF(X$7="Actual","",IFERROR((INDEX($M332:$Q332,,MATCH(X$4,$M$4:$Q$4,0))),0))</f>
        <v/>
      </c>
      <c r="Y332" s="269">
        <f>IF(Y$7="Actual","",IFERROR((INDEX($M332:$Q332,,MATCH(Y$4,$M$4:$Q$4,0))),0))</f>
        <v/>
      </c>
      <c r="Z332" s="269">
        <f>IF(Z$7="Actual","",IFERROR((INDEX($M332:$Q332,,MATCH(Z$4,$M$4:$Q$4,0))),0))</f>
        <v/>
      </c>
      <c r="AA332" s="269">
        <f>IF(AA$7="Actual","",IFERROR((INDEX($M332:$Q332,,MATCH(AA$4,$M$4:$Q$4,0))),0))</f>
        <v/>
      </c>
      <c r="AB332" s="269">
        <f>IF(AB$7="Actual","",IFERROR((INDEX($M332:$Q332,,MATCH(AB$4,$M$4:$Q$4,0))),0))</f>
        <v/>
      </c>
      <c r="AC332" s="269">
        <f>IF(AC$7="Actual","",IFERROR((INDEX($M332:$Q332,,MATCH(AC$4,$M$4:$Q$4,0))),0))</f>
        <v/>
      </c>
      <c r="AD332" s="269">
        <f>IF(AD$7="Actual","",IFERROR((INDEX($M332:$Q332,,MATCH(AD$4,$M$4:$Q$4,0))),0))</f>
        <v/>
      </c>
      <c r="AE332" s="269">
        <f>IF(AE$7="Actual","",IFERROR((INDEX($M332:$Q332,,MATCH(AE$4,$M$4:$Q$4,0))),0))</f>
        <v/>
      </c>
      <c r="AF332" s="269">
        <f>IF(AF$7="Actual","",IFERROR((INDEX($M332:$Q332,,MATCH(AF$4,$M$4:$Q$4,0))),0))</f>
        <v/>
      </c>
      <c r="AG332" s="269">
        <f>IF(AG$7="Actual","",IFERROR((INDEX($M332:$Q332,,MATCH(AG$4,$M$4:$Q$4,0))),0))</f>
        <v/>
      </c>
      <c r="AH332" s="269">
        <f>IF(AH$7="Actual","",IFERROR((INDEX($M332:$Q332,,MATCH(AH$4,$M$4:$Q$4,0))),0))</f>
        <v/>
      </c>
      <c r="AI332" s="269">
        <f>IF(AI$7="Actual","",IFERROR((INDEX($M332:$Q332,,MATCH(AI$4,$M$4:$Q$4,0))),0))</f>
        <v/>
      </c>
      <c r="AJ332" s="269">
        <f>IF(AJ$7="Actual","",IFERROR((INDEX($M332:$Q332,,MATCH(AJ$4,$M$4:$Q$4,0))),0))</f>
        <v/>
      </c>
      <c r="AK332" s="269">
        <f>IF(AK$7="Actual","",IFERROR((INDEX($M332:$Q332,,MATCH(AK$4,$M$4:$Q$4,0))),0))</f>
        <v/>
      </c>
      <c r="AL332" s="269">
        <f>IF(AL$7="Actual","",IFERROR((INDEX($M332:$Q332,,MATCH(AL$4,$M$4:$Q$4,0))),0))</f>
        <v/>
      </c>
      <c r="AM332" s="269">
        <f>IF(AM$7="Actual","",IFERROR((INDEX($M332:$Q332,,MATCH(AM$4,$M$4:$Q$4,0))),0))</f>
        <v/>
      </c>
      <c r="AN332" s="269">
        <f>IF(AN$7="Actual","",IFERROR((INDEX($M332:$Q332,,MATCH(AN$4,$M$4:$Q$4,0))),0))</f>
        <v/>
      </c>
      <c r="AO332" s="269">
        <f>IF(AO$7="Actual","",IFERROR((INDEX($M332:$Q332,,MATCH(AO$4,$M$4:$Q$4,0))),0))</f>
        <v/>
      </c>
      <c r="AP332" s="269">
        <f>IF(AP$7="Actual","",IFERROR((INDEX($M332:$Q332,,MATCH(AP$4,$M$4:$Q$4,0))),0))</f>
        <v/>
      </c>
      <c r="AQ332" s="269">
        <f>IF(AQ$7="Actual","",IFERROR((INDEX($M332:$Q332,,MATCH(AQ$4,$M$4:$Q$4,0))),0))</f>
        <v/>
      </c>
      <c r="AR332" s="269">
        <f>IF(AR$7="Actual","",IFERROR((INDEX($M332:$Q332,,MATCH(AR$4,$M$4:$Q$4,0))),0))</f>
        <v/>
      </c>
      <c r="AS332" s="269">
        <f>IF(AS$7="Actual","",IFERROR((INDEX($M332:$Q332,,MATCH(AS$4,$M$4:$Q$4,0))),0))</f>
        <v/>
      </c>
      <c r="AT332" s="269">
        <f>IF(AT$7="Actual","",IFERROR((INDEX($M332:$Q332,,MATCH(AT$4,$M$4:$Q$4,0))),0))</f>
        <v/>
      </c>
      <c r="AU332" s="269">
        <f>IF(AU$7="Actual","",IFERROR((INDEX($M332:$Q332,,MATCH(AU$4,$M$4:$Q$4,0))),0))</f>
        <v/>
      </c>
      <c r="AV332" s="269">
        <f>IF(AV$7="Actual","",IFERROR((INDEX($M332:$Q332,,MATCH(AV$4,$M$4:$Q$4,0))),0))</f>
        <v/>
      </c>
      <c r="AW332" s="269">
        <f>IF(AW$7="Actual","",IFERROR((INDEX($M332:$Q332,,MATCH(AW$4,$M$4:$Q$4,0))),0))</f>
        <v/>
      </c>
      <c r="AX332" s="269">
        <f>IF(AX$7="Actual","",IFERROR((INDEX($M332:$Q332,,MATCH(AX$4,$M$4:$Q$4,0))),0))</f>
        <v/>
      </c>
      <c r="AY332" s="269">
        <f>IF(AY$7="Actual","",IFERROR((INDEX($M332:$Q332,,MATCH(AY$4,$M$4:$Q$4,0))),0))</f>
        <v/>
      </c>
      <c r="AZ332" s="269">
        <f>IF(AZ$7="Actual","",IFERROR((INDEX($M332:$Q332,,MATCH(AZ$4,$M$4:$Q$4,0))),0))</f>
        <v/>
      </c>
      <c r="BA332" s="269">
        <f>IF(BA$7="Actual","",IFERROR((INDEX($M332:$Q332,,MATCH(BA$4,$M$4:$Q$4,0))),0))</f>
        <v/>
      </c>
      <c r="BB332" s="269">
        <f>IF(BB$7="Actual","",IFERROR((INDEX($M332:$Q332,,MATCH(BB$4,$M$4:$Q$4,0))),0))</f>
        <v/>
      </c>
      <c r="BC332" s="269">
        <f>IF(BC$7="Actual","",IFERROR((INDEX($M332:$Q332,,MATCH(BC$4,$M$4:$Q$4,0))),0))</f>
        <v/>
      </c>
      <c r="BD332" s="269">
        <f>IF(BD$7="Actual","",IFERROR((INDEX($M332:$Q332,,MATCH(BD$4,$M$4:$Q$4,0))),0))</f>
        <v/>
      </c>
      <c r="BE332" s="269">
        <f>IF(BE$7="Actual","",IFERROR((INDEX($M332:$Q332,,MATCH(BE$4,$M$4:$Q$4,0))),0))</f>
        <v/>
      </c>
      <c r="BF332" s="269">
        <f>IF(BF$7="Actual","",IFERROR((INDEX($M332:$Q332,,MATCH(BF$4,$M$4:$Q$4,0))),0))</f>
        <v/>
      </c>
      <c r="BG332" s="269">
        <f>IF(BG$7="Actual","",IFERROR((INDEX($M332:$Q332,,MATCH(BG$4,$M$4:$Q$4,0))),0))</f>
        <v/>
      </c>
      <c r="BH332" s="269">
        <f>IF(BH$7="Actual","",IFERROR((INDEX($M332:$Q332,,MATCH(BH$4,$M$4:$Q$4,0))),0))</f>
        <v/>
      </c>
      <c r="BI332" s="269">
        <f>IF(BI$7="Actual","",IFERROR((INDEX($M332:$Q332,,MATCH(BI$4,$M$4:$Q$4,0))),0))</f>
        <v/>
      </c>
      <c r="BJ332" s="269">
        <f>IF(BJ$7="Actual","",IFERROR((INDEX($M332:$Q332,,MATCH(BJ$4,$M$4:$Q$4,0))),0))</f>
        <v/>
      </c>
      <c r="BK332" s="269">
        <f>IF(BK$7="Actual","",IFERROR((INDEX($M332:$Q332,,MATCH(BK$4,$M$4:$Q$4,0))),0))</f>
        <v/>
      </c>
      <c r="BL332" s="269">
        <f>IF(BL$7="Actual","",IFERROR((INDEX($M332:$Q332,,MATCH(BL$4,$M$4:$Q$4,0))),0))</f>
        <v/>
      </c>
      <c r="BM332" s="269">
        <f>IF(BM$7="Actual","",IFERROR((INDEX($M332:$Q332,,MATCH(BM$4,$M$4:$Q$4,0))),0))</f>
        <v/>
      </c>
      <c r="BN332" s="269">
        <f>IF(BN$7="Actual","",IFERROR((INDEX($M332:$Q332,,MATCH(BN$4,$M$4:$Q$4,0))),0))</f>
        <v/>
      </c>
      <c r="BO332" s="269">
        <f>IF(BO$7="Actual","",IFERROR((INDEX($M332:$Q332,,MATCH(BO$4,$M$4:$Q$4,0))),0))</f>
        <v/>
      </c>
      <c r="BP332" s="269">
        <f>IF(BP$7="Actual","",IFERROR((INDEX($M332:$Q332,,MATCH(BP$4,$M$4:$Q$4,0))),0))</f>
        <v/>
      </c>
      <c r="BQ332" s="269">
        <f>IF(BQ$7="Actual","",IFERROR((INDEX($M332:$Q332,,MATCH(BQ$4,$M$4:$Q$4,0))),0))</f>
        <v/>
      </c>
      <c r="BR332" s="269">
        <f>IF(BR$7="Actual","",IFERROR((INDEX($M332:$Q332,,MATCH(BR$4,$M$4:$Q$4,0))),0))</f>
        <v/>
      </c>
      <c r="BS332" s="269">
        <f>IF(BS$7="Actual","",IFERROR((INDEX($M332:$Q332,,MATCH(BS$4,$M$4:$Q$4,0))),0))</f>
        <v/>
      </c>
      <c r="BT332" s="269">
        <f>IF(BT$7="Actual","",IFERROR((INDEX($M332:$Q332,,MATCH(BT$4,$M$4:$Q$4,0))),0))</f>
        <v/>
      </c>
      <c r="BU332" s="269">
        <f>IF(BU$7="Actual","",IFERROR((INDEX($M332:$Q332,,MATCH(BU$4,$M$4:$Q$4,0))),0))</f>
        <v/>
      </c>
      <c r="BV332" s="269">
        <f>IF(BV$7="Actual","",IFERROR((INDEX($M332:$Q332,,MATCH(BV$4,$M$4:$Q$4,0))),0))</f>
        <v/>
      </c>
      <c r="BW332" s="269">
        <f>IF(BW$7="Actual","",IFERROR((INDEX($M332:$Q332,,MATCH(BW$4,$M$4:$Q$4,0))),0))</f>
        <v/>
      </c>
      <c r="BX332" s="269">
        <f>IF(BX$7="Actual","",IFERROR((INDEX($M332:$Q332,,MATCH(BX$4,$M$4:$Q$4,0))),0))</f>
        <v/>
      </c>
      <c r="BY332" s="269">
        <f>IF(BY$7="Actual","",IFERROR((INDEX($M332:$Q332,,MATCH(BY$4,$M$4:$Q$4,0))),0))</f>
        <v/>
      </c>
      <c r="BZ332" s="269">
        <f>IF(BZ$7="Actual","",IFERROR((INDEX($M332:$Q332,,MATCH(BZ$4,$M$4:$Q$4,0))),0))</f>
        <v/>
      </c>
      <c r="CA332" s="269">
        <f>IF(CA$7="Actual","",IFERROR((INDEX($M332:$Q332,,MATCH(CA$4,$M$4:$Q$4,0))),0))</f>
        <v/>
      </c>
    </row>
    <row r="333" ht="12" customHeight="1" s="227">
      <c r="A333" s="244" t="n"/>
      <c r="B333" s="244" t="n"/>
      <c r="C333" s="244" t="n"/>
      <c r="H333" s="4">
        <f>H323</f>
        <v/>
      </c>
      <c r="I333" s="27" t="inlineStr">
        <is>
          <t>no</t>
        </is>
      </c>
      <c r="K333" s="6" t="n"/>
      <c r="M333" s="267">
        <f>IF(M$7="Actual","",i_Assumptions!M331)</f>
        <v/>
      </c>
      <c r="N333" s="267">
        <f>IF(N$7="Actual","",i_Assumptions!N331)</f>
        <v/>
      </c>
      <c r="O333" s="267">
        <f>IF(O$7="Actual","",i_Assumptions!O331)</f>
        <v/>
      </c>
      <c r="P333" s="267">
        <f>IF(P$7="Actual","",i_Assumptions!P331)</f>
        <v/>
      </c>
      <c r="Q333" s="267">
        <f>IF(Q$7="Actual","",i_Assumptions!Q331)</f>
        <v/>
      </c>
      <c r="R333" s="268" t="n"/>
      <c r="S333" s="268" t="n"/>
      <c r="T333" s="269">
        <f>IF(T$7="Actual","",IFERROR((INDEX($M333:$Q333,,MATCH(T$4,$M$4:$Q$4,0))),0))</f>
        <v/>
      </c>
      <c r="U333" s="269">
        <f>IF(U$7="Actual","",IFERROR((INDEX($M333:$Q333,,MATCH(U$4,$M$4:$Q$4,0))),0))</f>
        <v/>
      </c>
      <c r="V333" s="269">
        <f>IF(V$7="Actual","",IFERROR((INDEX($M333:$Q333,,MATCH(V$4,$M$4:$Q$4,0))),0))</f>
        <v/>
      </c>
      <c r="W333" s="269">
        <f>IF(W$7="Actual","",IFERROR((INDEX($M333:$Q333,,MATCH(W$4,$M$4:$Q$4,0))),0))</f>
        <v/>
      </c>
      <c r="X333" s="269">
        <f>IF(X$7="Actual","",IFERROR((INDEX($M333:$Q333,,MATCH(X$4,$M$4:$Q$4,0))),0))</f>
        <v/>
      </c>
      <c r="Y333" s="269">
        <f>IF(Y$7="Actual","",IFERROR((INDEX($M333:$Q333,,MATCH(Y$4,$M$4:$Q$4,0))),0))</f>
        <v/>
      </c>
      <c r="Z333" s="269">
        <f>IF(Z$7="Actual","",IFERROR((INDEX($M333:$Q333,,MATCH(Z$4,$M$4:$Q$4,0))),0))</f>
        <v/>
      </c>
      <c r="AA333" s="269">
        <f>IF(AA$7="Actual","",IFERROR((INDEX($M333:$Q333,,MATCH(AA$4,$M$4:$Q$4,0))),0))</f>
        <v/>
      </c>
      <c r="AB333" s="269">
        <f>IF(AB$7="Actual","",IFERROR((INDEX($M333:$Q333,,MATCH(AB$4,$M$4:$Q$4,0))),0))</f>
        <v/>
      </c>
      <c r="AC333" s="269">
        <f>IF(AC$7="Actual","",IFERROR((INDEX($M333:$Q333,,MATCH(AC$4,$M$4:$Q$4,0))),0))</f>
        <v/>
      </c>
      <c r="AD333" s="269">
        <f>IF(AD$7="Actual","",IFERROR((INDEX($M333:$Q333,,MATCH(AD$4,$M$4:$Q$4,0))),0))</f>
        <v/>
      </c>
      <c r="AE333" s="269">
        <f>IF(AE$7="Actual","",IFERROR((INDEX($M333:$Q333,,MATCH(AE$4,$M$4:$Q$4,0))),0))</f>
        <v/>
      </c>
      <c r="AF333" s="269">
        <f>IF(AF$7="Actual","",IFERROR((INDEX($M333:$Q333,,MATCH(AF$4,$M$4:$Q$4,0))),0))</f>
        <v/>
      </c>
      <c r="AG333" s="269">
        <f>IF(AG$7="Actual","",IFERROR((INDEX($M333:$Q333,,MATCH(AG$4,$M$4:$Q$4,0))),0))</f>
        <v/>
      </c>
      <c r="AH333" s="269">
        <f>IF(AH$7="Actual","",IFERROR((INDEX($M333:$Q333,,MATCH(AH$4,$M$4:$Q$4,0))),0))</f>
        <v/>
      </c>
      <c r="AI333" s="269">
        <f>IF(AI$7="Actual","",IFERROR((INDEX($M333:$Q333,,MATCH(AI$4,$M$4:$Q$4,0))),0))</f>
        <v/>
      </c>
      <c r="AJ333" s="269">
        <f>IF(AJ$7="Actual","",IFERROR((INDEX($M333:$Q333,,MATCH(AJ$4,$M$4:$Q$4,0))),0))</f>
        <v/>
      </c>
      <c r="AK333" s="269">
        <f>IF(AK$7="Actual","",IFERROR((INDEX($M333:$Q333,,MATCH(AK$4,$M$4:$Q$4,0))),0))</f>
        <v/>
      </c>
      <c r="AL333" s="269">
        <f>IF(AL$7="Actual","",IFERROR((INDEX($M333:$Q333,,MATCH(AL$4,$M$4:$Q$4,0))),0))</f>
        <v/>
      </c>
      <c r="AM333" s="269">
        <f>IF(AM$7="Actual","",IFERROR((INDEX($M333:$Q333,,MATCH(AM$4,$M$4:$Q$4,0))),0))</f>
        <v/>
      </c>
      <c r="AN333" s="269">
        <f>IF(AN$7="Actual","",IFERROR((INDEX($M333:$Q333,,MATCH(AN$4,$M$4:$Q$4,0))),0))</f>
        <v/>
      </c>
      <c r="AO333" s="269">
        <f>IF(AO$7="Actual","",IFERROR((INDEX($M333:$Q333,,MATCH(AO$4,$M$4:$Q$4,0))),0))</f>
        <v/>
      </c>
      <c r="AP333" s="269">
        <f>IF(AP$7="Actual","",IFERROR((INDEX($M333:$Q333,,MATCH(AP$4,$M$4:$Q$4,0))),0))</f>
        <v/>
      </c>
      <c r="AQ333" s="269">
        <f>IF(AQ$7="Actual","",IFERROR((INDEX($M333:$Q333,,MATCH(AQ$4,$M$4:$Q$4,0))),0))</f>
        <v/>
      </c>
      <c r="AR333" s="269">
        <f>IF(AR$7="Actual","",IFERROR((INDEX($M333:$Q333,,MATCH(AR$4,$M$4:$Q$4,0))),0))</f>
        <v/>
      </c>
      <c r="AS333" s="269">
        <f>IF(AS$7="Actual","",IFERROR((INDEX($M333:$Q333,,MATCH(AS$4,$M$4:$Q$4,0))),0))</f>
        <v/>
      </c>
      <c r="AT333" s="269">
        <f>IF(AT$7="Actual","",IFERROR((INDEX($M333:$Q333,,MATCH(AT$4,$M$4:$Q$4,0))),0))</f>
        <v/>
      </c>
      <c r="AU333" s="269">
        <f>IF(AU$7="Actual","",IFERROR((INDEX($M333:$Q333,,MATCH(AU$4,$M$4:$Q$4,0))),0))</f>
        <v/>
      </c>
      <c r="AV333" s="269">
        <f>IF(AV$7="Actual","",IFERROR((INDEX($M333:$Q333,,MATCH(AV$4,$M$4:$Q$4,0))),0))</f>
        <v/>
      </c>
      <c r="AW333" s="269">
        <f>IF(AW$7="Actual","",IFERROR((INDEX($M333:$Q333,,MATCH(AW$4,$M$4:$Q$4,0))),0))</f>
        <v/>
      </c>
      <c r="AX333" s="269">
        <f>IF(AX$7="Actual","",IFERROR((INDEX($M333:$Q333,,MATCH(AX$4,$M$4:$Q$4,0))),0))</f>
        <v/>
      </c>
      <c r="AY333" s="269">
        <f>IF(AY$7="Actual","",IFERROR((INDEX($M333:$Q333,,MATCH(AY$4,$M$4:$Q$4,0))),0))</f>
        <v/>
      </c>
      <c r="AZ333" s="269">
        <f>IF(AZ$7="Actual","",IFERROR((INDEX($M333:$Q333,,MATCH(AZ$4,$M$4:$Q$4,0))),0))</f>
        <v/>
      </c>
      <c r="BA333" s="269">
        <f>IF(BA$7="Actual","",IFERROR((INDEX($M333:$Q333,,MATCH(BA$4,$M$4:$Q$4,0))),0))</f>
        <v/>
      </c>
      <c r="BB333" s="269">
        <f>IF(BB$7="Actual","",IFERROR((INDEX($M333:$Q333,,MATCH(BB$4,$M$4:$Q$4,0))),0))</f>
        <v/>
      </c>
      <c r="BC333" s="269">
        <f>IF(BC$7="Actual","",IFERROR((INDEX($M333:$Q333,,MATCH(BC$4,$M$4:$Q$4,0))),0))</f>
        <v/>
      </c>
      <c r="BD333" s="269">
        <f>IF(BD$7="Actual","",IFERROR((INDEX($M333:$Q333,,MATCH(BD$4,$M$4:$Q$4,0))),0))</f>
        <v/>
      </c>
      <c r="BE333" s="269">
        <f>IF(BE$7="Actual","",IFERROR((INDEX($M333:$Q333,,MATCH(BE$4,$M$4:$Q$4,0))),0))</f>
        <v/>
      </c>
      <c r="BF333" s="269">
        <f>IF(BF$7="Actual","",IFERROR((INDEX($M333:$Q333,,MATCH(BF$4,$M$4:$Q$4,0))),0))</f>
        <v/>
      </c>
      <c r="BG333" s="269">
        <f>IF(BG$7="Actual","",IFERROR((INDEX($M333:$Q333,,MATCH(BG$4,$M$4:$Q$4,0))),0))</f>
        <v/>
      </c>
      <c r="BH333" s="269">
        <f>IF(BH$7="Actual","",IFERROR((INDEX($M333:$Q333,,MATCH(BH$4,$M$4:$Q$4,0))),0))</f>
        <v/>
      </c>
      <c r="BI333" s="269">
        <f>IF(BI$7="Actual","",IFERROR((INDEX($M333:$Q333,,MATCH(BI$4,$M$4:$Q$4,0))),0))</f>
        <v/>
      </c>
      <c r="BJ333" s="269">
        <f>IF(BJ$7="Actual","",IFERROR((INDEX($M333:$Q333,,MATCH(BJ$4,$M$4:$Q$4,0))),0))</f>
        <v/>
      </c>
      <c r="BK333" s="269">
        <f>IF(BK$7="Actual","",IFERROR((INDEX($M333:$Q333,,MATCH(BK$4,$M$4:$Q$4,0))),0))</f>
        <v/>
      </c>
      <c r="BL333" s="269">
        <f>IF(BL$7="Actual","",IFERROR((INDEX($M333:$Q333,,MATCH(BL$4,$M$4:$Q$4,0))),0))</f>
        <v/>
      </c>
      <c r="BM333" s="269">
        <f>IF(BM$7="Actual","",IFERROR((INDEX($M333:$Q333,,MATCH(BM$4,$M$4:$Q$4,0))),0))</f>
        <v/>
      </c>
      <c r="BN333" s="269">
        <f>IF(BN$7="Actual","",IFERROR((INDEX($M333:$Q333,,MATCH(BN$4,$M$4:$Q$4,0))),0))</f>
        <v/>
      </c>
      <c r="BO333" s="269">
        <f>IF(BO$7="Actual","",IFERROR((INDEX($M333:$Q333,,MATCH(BO$4,$M$4:$Q$4,0))),0))</f>
        <v/>
      </c>
      <c r="BP333" s="269">
        <f>IF(BP$7="Actual","",IFERROR((INDEX($M333:$Q333,,MATCH(BP$4,$M$4:$Q$4,0))),0))</f>
        <v/>
      </c>
      <c r="BQ333" s="269">
        <f>IF(BQ$7="Actual","",IFERROR((INDEX($M333:$Q333,,MATCH(BQ$4,$M$4:$Q$4,0))),0))</f>
        <v/>
      </c>
      <c r="BR333" s="269">
        <f>IF(BR$7="Actual","",IFERROR((INDEX($M333:$Q333,,MATCH(BR$4,$M$4:$Q$4,0))),0))</f>
        <v/>
      </c>
      <c r="BS333" s="269">
        <f>IF(BS$7="Actual","",IFERROR((INDEX($M333:$Q333,,MATCH(BS$4,$M$4:$Q$4,0))),0))</f>
        <v/>
      </c>
      <c r="BT333" s="269">
        <f>IF(BT$7="Actual","",IFERROR((INDEX($M333:$Q333,,MATCH(BT$4,$M$4:$Q$4,0))),0))</f>
        <v/>
      </c>
      <c r="BU333" s="269">
        <f>IF(BU$7="Actual","",IFERROR((INDEX($M333:$Q333,,MATCH(BU$4,$M$4:$Q$4,0))),0))</f>
        <v/>
      </c>
      <c r="BV333" s="269">
        <f>IF(BV$7="Actual","",IFERROR((INDEX($M333:$Q333,,MATCH(BV$4,$M$4:$Q$4,0))),0))</f>
        <v/>
      </c>
      <c r="BW333" s="269">
        <f>IF(BW$7="Actual","",IFERROR((INDEX($M333:$Q333,,MATCH(BW$4,$M$4:$Q$4,0))),0))</f>
        <v/>
      </c>
      <c r="BX333" s="269">
        <f>IF(BX$7="Actual","",IFERROR((INDEX($M333:$Q333,,MATCH(BX$4,$M$4:$Q$4,0))),0))</f>
        <v/>
      </c>
      <c r="BY333" s="269">
        <f>IF(BY$7="Actual","",IFERROR((INDEX($M333:$Q333,,MATCH(BY$4,$M$4:$Q$4,0))),0))</f>
        <v/>
      </c>
      <c r="BZ333" s="269">
        <f>IF(BZ$7="Actual","",IFERROR((INDEX($M333:$Q333,,MATCH(BZ$4,$M$4:$Q$4,0))),0))</f>
        <v/>
      </c>
      <c r="CA333" s="269">
        <f>IF(CA$7="Actual","",IFERROR((INDEX($M333:$Q333,,MATCH(CA$4,$M$4:$Q$4,0))),0))</f>
        <v/>
      </c>
    </row>
    <row r="334" ht="12" customHeight="1" s="227">
      <c r="A334" s="244" t="n"/>
      <c r="B334" s="244" t="n"/>
      <c r="C334" s="244" t="n"/>
      <c r="H334" s="4">
        <f>H324</f>
        <v/>
      </c>
      <c r="I334" s="27" t="inlineStr">
        <is>
          <t>no</t>
        </is>
      </c>
      <c r="K334" s="6" t="n"/>
      <c r="M334" s="267">
        <f>IF(M$7="Actual","",i_Assumptions!M332)</f>
        <v/>
      </c>
      <c r="N334" s="267">
        <f>IF(N$7="Actual","",i_Assumptions!N332)</f>
        <v/>
      </c>
      <c r="O334" s="267">
        <f>IF(O$7="Actual","",i_Assumptions!O332)</f>
        <v/>
      </c>
      <c r="P334" s="267">
        <f>IF(P$7="Actual","",i_Assumptions!P332)</f>
        <v/>
      </c>
      <c r="Q334" s="267">
        <f>IF(Q$7="Actual","",i_Assumptions!Q332)</f>
        <v/>
      </c>
      <c r="R334" s="268" t="n"/>
      <c r="S334" s="268" t="n"/>
      <c r="T334" s="269">
        <f>IF(T$7="Actual","",IFERROR((INDEX($M334:$Q334,,MATCH(T$4,$M$4:$Q$4,0))),0))</f>
        <v/>
      </c>
      <c r="U334" s="269">
        <f>IF(U$7="Actual","",IFERROR((INDEX($M334:$Q334,,MATCH(U$4,$M$4:$Q$4,0))),0))</f>
        <v/>
      </c>
      <c r="V334" s="269">
        <f>IF(V$7="Actual","",IFERROR((INDEX($M334:$Q334,,MATCH(V$4,$M$4:$Q$4,0))),0))</f>
        <v/>
      </c>
      <c r="W334" s="269">
        <f>IF(W$7="Actual","",IFERROR((INDEX($M334:$Q334,,MATCH(W$4,$M$4:$Q$4,0))),0))</f>
        <v/>
      </c>
      <c r="X334" s="269">
        <f>IF(X$7="Actual","",IFERROR((INDEX($M334:$Q334,,MATCH(X$4,$M$4:$Q$4,0))),0))</f>
        <v/>
      </c>
      <c r="Y334" s="269">
        <f>IF(Y$7="Actual","",IFERROR((INDEX($M334:$Q334,,MATCH(Y$4,$M$4:$Q$4,0))),0))</f>
        <v/>
      </c>
      <c r="Z334" s="269">
        <f>IF(Z$7="Actual","",IFERROR((INDEX($M334:$Q334,,MATCH(Z$4,$M$4:$Q$4,0))),0))</f>
        <v/>
      </c>
      <c r="AA334" s="269">
        <f>IF(AA$7="Actual","",IFERROR((INDEX($M334:$Q334,,MATCH(AA$4,$M$4:$Q$4,0))),0))</f>
        <v/>
      </c>
      <c r="AB334" s="269">
        <f>IF(AB$7="Actual","",IFERROR((INDEX($M334:$Q334,,MATCH(AB$4,$M$4:$Q$4,0))),0))</f>
        <v/>
      </c>
      <c r="AC334" s="269">
        <f>IF(AC$7="Actual","",IFERROR((INDEX($M334:$Q334,,MATCH(AC$4,$M$4:$Q$4,0))),0))</f>
        <v/>
      </c>
      <c r="AD334" s="269">
        <f>IF(AD$7="Actual","",IFERROR((INDEX($M334:$Q334,,MATCH(AD$4,$M$4:$Q$4,0))),0))</f>
        <v/>
      </c>
      <c r="AE334" s="269">
        <f>IF(AE$7="Actual","",IFERROR((INDEX($M334:$Q334,,MATCH(AE$4,$M$4:$Q$4,0))),0))</f>
        <v/>
      </c>
      <c r="AF334" s="269">
        <f>IF(AF$7="Actual","",IFERROR((INDEX($M334:$Q334,,MATCH(AF$4,$M$4:$Q$4,0))),0))</f>
        <v/>
      </c>
      <c r="AG334" s="269">
        <f>IF(AG$7="Actual","",IFERROR((INDEX($M334:$Q334,,MATCH(AG$4,$M$4:$Q$4,0))),0))</f>
        <v/>
      </c>
      <c r="AH334" s="269">
        <f>IF(AH$7="Actual","",IFERROR((INDEX($M334:$Q334,,MATCH(AH$4,$M$4:$Q$4,0))),0))</f>
        <v/>
      </c>
      <c r="AI334" s="269">
        <f>IF(AI$7="Actual","",IFERROR((INDEX($M334:$Q334,,MATCH(AI$4,$M$4:$Q$4,0))),0))</f>
        <v/>
      </c>
      <c r="AJ334" s="269">
        <f>IF(AJ$7="Actual","",IFERROR((INDEX($M334:$Q334,,MATCH(AJ$4,$M$4:$Q$4,0))),0))</f>
        <v/>
      </c>
      <c r="AK334" s="269">
        <f>IF(AK$7="Actual","",IFERROR((INDEX($M334:$Q334,,MATCH(AK$4,$M$4:$Q$4,0))),0))</f>
        <v/>
      </c>
      <c r="AL334" s="269">
        <f>IF(AL$7="Actual","",IFERROR((INDEX($M334:$Q334,,MATCH(AL$4,$M$4:$Q$4,0))),0))</f>
        <v/>
      </c>
      <c r="AM334" s="269">
        <f>IF(AM$7="Actual","",IFERROR((INDEX($M334:$Q334,,MATCH(AM$4,$M$4:$Q$4,0))),0))</f>
        <v/>
      </c>
      <c r="AN334" s="269">
        <f>IF(AN$7="Actual","",IFERROR((INDEX($M334:$Q334,,MATCH(AN$4,$M$4:$Q$4,0))),0))</f>
        <v/>
      </c>
      <c r="AO334" s="269">
        <f>IF(AO$7="Actual","",IFERROR((INDEX($M334:$Q334,,MATCH(AO$4,$M$4:$Q$4,0))),0))</f>
        <v/>
      </c>
      <c r="AP334" s="269">
        <f>IF(AP$7="Actual","",IFERROR((INDEX($M334:$Q334,,MATCH(AP$4,$M$4:$Q$4,0))),0))</f>
        <v/>
      </c>
      <c r="AQ334" s="269">
        <f>IF(AQ$7="Actual","",IFERROR((INDEX($M334:$Q334,,MATCH(AQ$4,$M$4:$Q$4,0))),0))</f>
        <v/>
      </c>
      <c r="AR334" s="269">
        <f>IF(AR$7="Actual","",IFERROR((INDEX($M334:$Q334,,MATCH(AR$4,$M$4:$Q$4,0))),0))</f>
        <v/>
      </c>
      <c r="AS334" s="269">
        <f>IF(AS$7="Actual","",IFERROR((INDEX($M334:$Q334,,MATCH(AS$4,$M$4:$Q$4,0))),0))</f>
        <v/>
      </c>
      <c r="AT334" s="269">
        <f>IF(AT$7="Actual","",IFERROR((INDEX($M334:$Q334,,MATCH(AT$4,$M$4:$Q$4,0))),0))</f>
        <v/>
      </c>
      <c r="AU334" s="269">
        <f>IF(AU$7="Actual","",IFERROR((INDEX($M334:$Q334,,MATCH(AU$4,$M$4:$Q$4,0))),0))</f>
        <v/>
      </c>
      <c r="AV334" s="269">
        <f>IF(AV$7="Actual","",IFERROR((INDEX($M334:$Q334,,MATCH(AV$4,$M$4:$Q$4,0))),0))</f>
        <v/>
      </c>
      <c r="AW334" s="269">
        <f>IF(AW$7="Actual","",IFERROR((INDEX($M334:$Q334,,MATCH(AW$4,$M$4:$Q$4,0))),0))</f>
        <v/>
      </c>
      <c r="AX334" s="269">
        <f>IF(AX$7="Actual","",IFERROR((INDEX($M334:$Q334,,MATCH(AX$4,$M$4:$Q$4,0))),0))</f>
        <v/>
      </c>
      <c r="AY334" s="269">
        <f>IF(AY$7="Actual","",IFERROR((INDEX($M334:$Q334,,MATCH(AY$4,$M$4:$Q$4,0))),0))</f>
        <v/>
      </c>
      <c r="AZ334" s="269">
        <f>IF(AZ$7="Actual","",IFERROR((INDEX($M334:$Q334,,MATCH(AZ$4,$M$4:$Q$4,0))),0))</f>
        <v/>
      </c>
      <c r="BA334" s="269">
        <f>IF(BA$7="Actual","",IFERROR((INDEX($M334:$Q334,,MATCH(BA$4,$M$4:$Q$4,0))),0))</f>
        <v/>
      </c>
      <c r="BB334" s="269">
        <f>IF(BB$7="Actual","",IFERROR((INDEX($M334:$Q334,,MATCH(BB$4,$M$4:$Q$4,0))),0))</f>
        <v/>
      </c>
      <c r="BC334" s="269">
        <f>IF(BC$7="Actual","",IFERROR((INDEX($M334:$Q334,,MATCH(BC$4,$M$4:$Q$4,0))),0))</f>
        <v/>
      </c>
      <c r="BD334" s="269">
        <f>IF(BD$7="Actual","",IFERROR((INDEX($M334:$Q334,,MATCH(BD$4,$M$4:$Q$4,0))),0))</f>
        <v/>
      </c>
      <c r="BE334" s="269">
        <f>IF(BE$7="Actual","",IFERROR((INDEX($M334:$Q334,,MATCH(BE$4,$M$4:$Q$4,0))),0))</f>
        <v/>
      </c>
      <c r="BF334" s="269">
        <f>IF(BF$7="Actual","",IFERROR((INDEX($M334:$Q334,,MATCH(BF$4,$M$4:$Q$4,0))),0))</f>
        <v/>
      </c>
      <c r="BG334" s="269">
        <f>IF(BG$7="Actual","",IFERROR((INDEX($M334:$Q334,,MATCH(BG$4,$M$4:$Q$4,0))),0))</f>
        <v/>
      </c>
      <c r="BH334" s="269">
        <f>IF(BH$7="Actual","",IFERROR((INDEX($M334:$Q334,,MATCH(BH$4,$M$4:$Q$4,0))),0))</f>
        <v/>
      </c>
      <c r="BI334" s="269">
        <f>IF(BI$7="Actual","",IFERROR((INDEX($M334:$Q334,,MATCH(BI$4,$M$4:$Q$4,0))),0))</f>
        <v/>
      </c>
      <c r="BJ334" s="269">
        <f>IF(BJ$7="Actual","",IFERROR((INDEX($M334:$Q334,,MATCH(BJ$4,$M$4:$Q$4,0))),0))</f>
        <v/>
      </c>
      <c r="BK334" s="269">
        <f>IF(BK$7="Actual","",IFERROR((INDEX($M334:$Q334,,MATCH(BK$4,$M$4:$Q$4,0))),0))</f>
        <v/>
      </c>
      <c r="BL334" s="269">
        <f>IF(BL$7="Actual","",IFERROR((INDEX($M334:$Q334,,MATCH(BL$4,$M$4:$Q$4,0))),0))</f>
        <v/>
      </c>
      <c r="BM334" s="269">
        <f>IF(BM$7="Actual","",IFERROR((INDEX($M334:$Q334,,MATCH(BM$4,$M$4:$Q$4,0))),0))</f>
        <v/>
      </c>
      <c r="BN334" s="269">
        <f>IF(BN$7="Actual","",IFERROR((INDEX($M334:$Q334,,MATCH(BN$4,$M$4:$Q$4,0))),0))</f>
        <v/>
      </c>
      <c r="BO334" s="269">
        <f>IF(BO$7="Actual","",IFERROR((INDEX($M334:$Q334,,MATCH(BO$4,$M$4:$Q$4,0))),0))</f>
        <v/>
      </c>
      <c r="BP334" s="269">
        <f>IF(BP$7="Actual","",IFERROR((INDEX($M334:$Q334,,MATCH(BP$4,$M$4:$Q$4,0))),0))</f>
        <v/>
      </c>
      <c r="BQ334" s="269">
        <f>IF(BQ$7="Actual","",IFERROR((INDEX($M334:$Q334,,MATCH(BQ$4,$M$4:$Q$4,0))),0))</f>
        <v/>
      </c>
      <c r="BR334" s="269">
        <f>IF(BR$7="Actual","",IFERROR((INDEX($M334:$Q334,,MATCH(BR$4,$M$4:$Q$4,0))),0))</f>
        <v/>
      </c>
      <c r="BS334" s="269">
        <f>IF(BS$7="Actual","",IFERROR((INDEX($M334:$Q334,,MATCH(BS$4,$M$4:$Q$4,0))),0))</f>
        <v/>
      </c>
      <c r="BT334" s="269">
        <f>IF(BT$7="Actual","",IFERROR((INDEX($M334:$Q334,,MATCH(BT$4,$M$4:$Q$4,0))),0))</f>
        <v/>
      </c>
      <c r="BU334" s="269">
        <f>IF(BU$7="Actual","",IFERROR((INDEX($M334:$Q334,,MATCH(BU$4,$M$4:$Q$4,0))),0))</f>
        <v/>
      </c>
      <c r="BV334" s="269">
        <f>IF(BV$7="Actual","",IFERROR((INDEX($M334:$Q334,,MATCH(BV$4,$M$4:$Q$4,0))),0))</f>
        <v/>
      </c>
      <c r="BW334" s="269">
        <f>IF(BW$7="Actual","",IFERROR((INDEX($M334:$Q334,,MATCH(BW$4,$M$4:$Q$4,0))),0))</f>
        <v/>
      </c>
      <c r="BX334" s="269">
        <f>IF(BX$7="Actual","",IFERROR((INDEX($M334:$Q334,,MATCH(BX$4,$M$4:$Q$4,0))),0))</f>
        <v/>
      </c>
      <c r="BY334" s="269">
        <f>IF(BY$7="Actual","",IFERROR((INDEX($M334:$Q334,,MATCH(BY$4,$M$4:$Q$4,0))),0))</f>
        <v/>
      </c>
      <c r="BZ334" s="269">
        <f>IF(BZ$7="Actual","",IFERROR((INDEX($M334:$Q334,,MATCH(BZ$4,$M$4:$Q$4,0))),0))</f>
        <v/>
      </c>
      <c r="CA334" s="269">
        <f>IF(CA$7="Actual","",IFERROR((INDEX($M334:$Q334,,MATCH(CA$4,$M$4:$Q$4,0))),0))</f>
        <v/>
      </c>
    </row>
    <row r="335" ht="12" customHeight="1" s="227">
      <c r="A335" s="244" t="n"/>
      <c r="B335" s="244" t="n"/>
      <c r="C335" s="244" t="n"/>
      <c r="H335" s="4">
        <f>H325</f>
        <v/>
      </c>
      <c r="I335" s="27" t="inlineStr">
        <is>
          <t>no</t>
        </is>
      </c>
      <c r="K335" s="6" t="n"/>
      <c r="M335" s="267">
        <f>IF(M$7="Actual","",i_Assumptions!M333)</f>
        <v/>
      </c>
      <c r="N335" s="267">
        <f>IF(N$7="Actual","",i_Assumptions!N333)</f>
        <v/>
      </c>
      <c r="O335" s="267">
        <f>IF(O$7="Actual","",i_Assumptions!O333)</f>
        <v/>
      </c>
      <c r="P335" s="267">
        <f>IF(P$7="Actual","",i_Assumptions!P333)</f>
        <v/>
      </c>
      <c r="Q335" s="267">
        <f>IF(Q$7="Actual","",i_Assumptions!Q333)</f>
        <v/>
      </c>
      <c r="R335" s="268" t="n"/>
      <c r="S335" s="268" t="n"/>
      <c r="T335" s="269">
        <f>IF(T$7="Actual","",IFERROR((INDEX($M335:$Q335,,MATCH(T$4,$M$4:$Q$4,0))),0))</f>
        <v/>
      </c>
      <c r="U335" s="269">
        <f>IF(U$7="Actual","",IFERROR((INDEX($M335:$Q335,,MATCH(U$4,$M$4:$Q$4,0))),0))</f>
        <v/>
      </c>
      <c r="V335" s="269">
        <f>IF(V$7="Actual","",IFERROR((INDEX($M335:$Q335,,MATCH(V$4,$M$4:$Q$4,0))),0))</f>
        <v/>
      </c>
      <c r="W335" s="269">
        <f>IF(W$7="Actual","",IFERROR((INDEX($M335:$Q335,,MATCH(W$4,$M$4:$Q$4,0))),0))</f>
        <v/>
      </c>
      <c r="X335" s="269">
        <f>IF(X$7="Actual","",IFERROR((INDEX($M335:$Q335,,MATCH(X$4,$M$4:$Q$4,0))),0))</f>
        <v/>
      </c>
      <c r="Y335" s="269">
        <f>IF(Y$7="Actual","",IFERROR((INDEX($M335:$Q335,,MATCH(Y$4,$M$4:$Q$4,0))),0))</f>
        <v/>
      </c>
      <c r="Z335" s="269">
        <f>IF(Z$7="Actual","",IFERROR((INDEX($M335:$Q335,,MATCH(Z$4,$M$4:$Q$4,0))),0))</f>
        <v/>
      </c>
      <c r="AA335" s="269">
        <f>IF(AA$7="Actual","",IFERROR((INDEX($M335:$Q335,,MATCH(AA$4,$M$4:$Q$4,0))),0))</f>
        <v/>
      </c>
      <c r="AB335" s="269">
        <f>IF(AB$7="Actual","",IFERROR((INDEX($M335:$Q335,,MATCH(AB$4,$M$4:$Q$4,0))),0))</f>
        <v/>
      </c>
      <c r="AC335" s="269">
        <f>IF(AC$7="Actual","",IFERROR((INDEX($M335:$Q335,,MATCH(AC$4,$M$4:$Q$4,0))),0))</f>
        <v/>
      </c>
      <c r="AD335" s="269">
        <f>IF(AD$7="Actual","",IFERROR((INDEX($M335:$Q335,,MATCH(AD$4,$M$4:$Q$4,0))),0))</f>
        <v/>
      </c>
      <c r="AE335" s="269">
        <f>IF(AE$7="Actual","",IFERROR((INDEX($M335:$Q335,,MATCH(AE$4,$M$4:$Q$4,0))),0))</f>
        <v/>
      </c>
      <c r="AF335" s="269">
        <f>IF(AF$7="Actual","",IFERROR((INDEX($M335:$Q335,,MATCH(AF$4,$M$4:$Q$4,0))),0))</f>
        <v/>
      </c>
      <c r="AG335" s="269">
        <f>IF(AG$7="Actual","",IFERROR((INDEX($M335:$Q335,,MATCH(AG$4,$M$4:$Q$4,0))),0))</f>
        <v/>
      </c>
      <c r="AH335" s="269">
        <f>IF(AH$7="Actual","",IFERROR((INDEX($M335:$Q335,,MATCH(AH$4,$M$4:$Q$4,0))),0))</f>
        <v/>
      </c>
      <c r="AI335" s="269">
        <f>IF(AI$7="Actual","",IFERROR((INDEX($M335:$Q335,,MATCH(AI$4,$M$4:$Q$4,0))),0))</f>
        <v/>
      </c>
      <c r="AJ335" s="269">
        <f>IF(AJ$7="Actual","",IFERROR((INDEX($M335:$Q335,,MATCH(AJ$4,$M$4:$Q$4,0))),0))</f>
        <v/>
      </c>
      <c r="AK335" s="269">
        <f>IF(AK$7="Actual","",IFERROR((INDEX($M335:$Q335,,MATCH(AK$4,$M$4:$Q$4,0))),0))</f>
        <v/>
      </c>
      <c r="AL335" s="269">
        <f>IF(AL$7="Actual","",IFERROR((INDEX($M335:$Q335,,MATCH(AL$4,$M$4:$Q$4,0))),0))</f>
        <v/>
      </c>
      <c r="AM335" s="269">
        <f>IF(AM$7="Actual","",IFERROR((INDEX($M335:$Q335,,MATCH(AM$4,$M$4:$Q$4,0))),0))</f>
        <v/>
      </c>
      <c r="AN335" s="269">
        <f>IF(AN$7="Actual","",IFERROR((INDEX($M335:$Q335,,MATCH(AN$4,$M$4:$Q$4,0))),0))</f>
        <v/>
      </c>
      <c r="AO335" s="269">
        <f>IF(AO$7="Actual","",IFERROR((INDEX($M335:$Q335,,MATCH(AO$4,$M$4:$Q$4,0))),0))</f>
        <v/>
      </c>
      <c r="AP335" s="269">
        <f>IF(AP$7="Actual","",IFERROR((INDEX($M335:$Q335,,MATCH(AP$4,$M$4:$Q$4,0))),0))</f>
        <v/>
      </c>
      <c r="AQ335" s="269">
        <f>IF(AQ$7="Actual","",IFERROR((INDEX($M335:$Q335,,MATCH(AQ$4,$M$4:$Q$4,0))),0))</f>
        <v/>
      </c>
      <c r="AR335" s="269">
        <f>IF(AR$7="Actual","",IFERROR((INDEX($M335:$Q335,,MATCH(AR$4,$M$4:$Q$4,0))),0))</f>
        <v/>
      </c>
      <c r="AS335" s="269">
        <f>IF(AS$7="Actual","",IFERROR((INDEX($M335:$Q335,,MATCH(AS$4,$M$4:$Q$4,0))),0))</f>
        <v/>
      </c>
      <c r="AT335" s="269">
        <f>IF(AT$7="Actual","",IFERROR((INDEX($M335:$Q335,,MATCH(AT$4,$M$4:$Q$4,0))),0))</f>
        <v/>
      </c>
      <c r="AU335" s="269">
        <f>IF(AU$7="Actual","",IFERROR((INDEX($M335:$Q335,,MATCH(AU$4,$M$4:$Q$4,0))),0))</f>
        <v/>
      </c>
      <c r="AV335" s="269">
        <f>IF(AV$7="Actual","",IFERROR((INDEX($M335:$Q335,,MATCH(AV$4,$M$4:$Q$4,0))),0))</f>
        <v/>
      </c>
      <c r="AW335" s="269">
        <f>IF(AW$7="Actual","",IFERROR((INDEX($M335:$Q335,,MATCH(AW$4,$M$4:$Q$4,0))),0))</f>
        <v/>
      </c>
      <c r="AX335" s="269">
        <f>IF(AX$7="Actual","",IFERROR((INDEX($M335:$Q335,,MATCH(AX$4,$M$4:$Q$4,0))),0))</f>
        <v/>
      </c>
      <c r="AY335" s="269">
        <f>IF(AY$7="Actual","",IFERROR((INDEX($M335:$Q335,,MATCH(AY$4,$M$4:$Q$4,0))),0))</f>
        <v/>
      </c>
      <c r="AZ335" s="269">
        <f>IF(AZ$7="Actual","",IFERROR((INDEX($M335:$Q335,,MATCH(AZ$4,$M$4:$Q$4,0))),0))</f>
        <v/>
      </c>
      <c r="BA335" s="269">
        <f>IF(BA$7="Actual","",IFERROR((INDEX($M335:$Q335,,MATCH(BA$4,$M$4:$Q$4,0))),0))</f>
        <v/>
      </c>
      <c r="BB335" s="269">
        <f>IF(BB$7="Actual","",IFERROR((INDEX($M335:$Q335,,MATCH(BB$4,$M$4:$Q$4,0))),0))</f>
        <v/>
      </c>
      <c r="BC335" s="269">
        <f>IF(BC$7="Actual","",IFERROR((INDEX($M335:$Q335,,MATCH(BC$4,$M$4:$Q$4,0))),0))</f>
        <v/>
      </c>
      <c r="BD335" s="269">
        <f>IF(BD$7="Actual","",IFERROR((INDEX($M335:$Q335,,MATCH(BD$4,$M$4:$Q$4,0))),0))</f>
        <v/>
      </c>
      <c r="BE335" s="269">
        <f>IF(BE$7="Actual","",IFERROR((INDEX($M335:$Q335,,MATCH(BE$4,$M$4:$Q$4,0))),0))</f>
        <v/>
      </c>
      <c r="BF335" s="269">
        <f>IF(BF$7="Actual","",IFERROR((INDEX($M335:$Q335,,MATCH(BF$4,$M$4:$Q$4,0))),0))</f>
        <v/>
      </c>
      <c r="BG335" s="269">
        <f>IF(BG$7="Actual","",IFERROR((INDEX($M335:$Q335,,MATCH(BG$4,$M$4:$Q$4,0))),0))</f>
        <v/>
      </c>
      <c r="BH335" s="269">
        <f>IF(BH$7="Actual","",IFERROR((INDEX($M335:$Q335,,MATCH(BH$4,$M$4:$Q$4,0))),0))</f>
        <v/>
      </c>
      <c r="BI335" s="269">
        <f>IF(BI$7="Actual","",IFERROR((INDEX($M335:$Q335,,MATCH(BI$4,$M$4:$Q$4,0))),0))</f>
        <v/>
      </c>
      <c r="BJ335" s="269">
        <f>IF(BJ$7="Actual","",IFERROR((INDEX($M335:$Q335,,MATCH(BJ$4,$M$4:$Q$4,0))),0))</f>
        <v/>
      </c>
      <c r="BK335" s="269">
        <f>IF(BK$7="Actual","",IFERROR((INDEX($M335:$Q335,,MATCH(BK$4,$M$4:$Q$4,0))),0))</f>
        <v/>
      </c>
      <c r="BL335" s="269">
        <f>IF(BL$7="Actual","",IFERROR((INDEX($M335:$Q335,,MATCH(BL$4,$M$4:$Q$4,0))),0))</f>
        <v/>
      </c>
      <c r="BM335" s="269">
        <f>IF(BM$7="Actual","",IFERROR((INDEX($M335:$Q335,,MATCH(BM$4,$M$4:$Q$4,0))),0))</f>
        <v/>
      </c>
      <c r="BN335" s="269">
        <f>IF(BN$7="Actual","",IFERROR((INDEX($M335:$Q335,,MATCH(BN$4,$M$4:$Q$4,0))),0))</f>
        <v/>
      </c>
      <c r="BO335" s="269">
        <f>IF(BO$7="Actual","",IFERROR((INDEX($M335:$Q335,,MATCH(BO$4,$M$4:$Q$4,0))),0))</f>
        <v/>
      </c>
      <c r="BP335" s="269">
        <f>IF(BP$7="Actual","",IFERROR((INDEX($M335:$Q335,,MATCH(BP$4,$M$4:$Q$4,0))),0))</f>
        <v/>
      </c>
      <c r="BQ335" s="269">
        <f>IF(BQ$7="Actual","",IFERROR((INDEX($M335:$Q335,,MATCH(BQ$4,$M$4:$Q$4,0))),0))</f>
        <v/>
      </c>
      <c r="BR335" s="269">
        <f>IF(BR$7="Actual","",IFERROR((INDEX($M335:$Q335,,MATCH(BR$4,$M$4:$Q$4,0))),0))</f>
        <v/>
      </c>
      <c r="BS335" s="269">
        <f>IF(BS$7="Actual","",IFERROR((INDEX($M335:$Q335,,MATCH(BS$4,$M$4:$Q$4,0))),0))</f>
        <v/>
      </c>
      <c r="BT335" s="269">
        <f>IF(BT$7="Actual","",IFERROR((INDEX($M335:$Q335,,MATCH(BT$4,$M$4:$Q$4,0))),0))</f>
        <v/>
      </c>
      <c r="BU335" s="269">
        <f>IF(BU$7="Actual","",IFERROR((INDEX($M335:$Q335,,MATCH(BU$4,$M$4:$Q$4,0))),0))</f>
        <v/>
      </c>
      <c r="BV335" s="269">
        <f>IF(BV$7="Actual","",IFERROR((INDEX($M335:$Q335,,MATCH(BV$4,$M$4:$Q$4,0))),0))</f>
        <v/>
      </c>
      <c r="BW335" s="269">
        <f>IF(BW$7="Actual","",IFERROR((INDEX($M335:$Q335,,MATCH(BW$4,$M$4:$Q$4,0))),0))</f>
        <v/>
      </c>
      <c r="BX335" s="269">
        <f>IF(BX$7="Actual","",IFERROR((INDEX($M335:$Q335,,MATCH(BX$4,$M$4:$Q$4,0))),0))</f>
        <v/>
      </c>
      <c r="BY335" s="269">
        <f>IF(BY$7="Actual","",IFERROR((INDEX($M335:$Q335,,MATCH(BY$4,$M$4:$Q$4,0))),0))</f>
        <v/>
      </c>
      <c r="BZ335" s="269">
        <f>IF(BZ$7="Actual","",IFERROR((INDEX($M335:$Q335,,MATCH(BZ$4,$M$4:$Q$4,0))),0))</f>
        <v/>
      </c>
      <c r="CA335" s="269">
        <f>IF(CA$7="Actual","",IFERROR((INDEX($M335:$Q335,,MATCH(CA$4,$M$4:$Q$4,0))),0))</f>
        <v/>
      </c>
    </row>
    <row r="336" ht="12" customHeight="1" s="227">
      <c r="A336" s="244" t="n"/>
      <c r="B336" s="244" t="n"/>
      <c r="C336" s="244" t="n"/>
      <c r="H336" s="4">
        <f>H326</f>
        <v/>
      </c>
      <c r="I336" s="27" t="inlineStr">
        <is>
          <t>no</t>
        </is>
      </c>
      <c r="K336" s="6" t="n"/>
      <c r="M336" s="267">
        <f>IF(M$7="Actual","",i_Assumptions!M334)</f>
        <v/>
      </c>
      <c r="N336" s="267">
        <f>IF(N$7="Actual","",i_Assumptions!N334)</f>
        <v/>
      </c>
      <c r="O336" s="267">
        <f>IF(O$7="Actual","",i_Assumptions!O334)</f>
        <v/>
      </c>
      <c r="P336" s="267">
        <f>IF(P$7="Actual","",i_Assumptions!P334)</f>
        <v/>
      </c>
      <c r="Q336" s="267">
        <f>IF(Q$7="Actual","",i_Assumptions!Q334)</f>
        <v/>
      </c>
      <c r="R336" s="268" t="n"/>
      <c r="S336" s="268" t="n"/>
      <c r="T336" s="269">
        <f>IF(T$7="Actual","",IFERROR((INDEX($M336:$Q336,,MATCH(T$4,$M$4:$Q$4,0))),0))</f>
        <v/>
      </c>
      <c r="U336" s="269">
        <f>IF(U$7="Actual","",IFERROR((INDEX($M336:$Q336,,MATCH(U$4,$M$4:$Q$4,0))),0))</f>
        <v/>
      </c>
      <c r="V336" s="269">
        <f>IF(V$7="Actual","",IFERROR((INDEX($M336:$Q336,,MATCH(V$4,$M$4:$Q$4,0))),0))</f>
        <v/>
      </c>
      <c r="W336" s="269">
        <f>IF(W$7="Actual","",IFERROR((INDEX($M336:$Q336,,MATCH(W$4,$M$4:$Q$4,0))),0))</f>
        <v/>
      </c>
      <c r="X336" s="269">
        <f>IF(X$7="Actual","",IFERROR((INDEX($M336:$Q336,,MATCH(X$4,$M$4:$Q$4,0))),0))</f>
        <v/>
      </c>
      <c r="Y336" s="269">
        <f>IF(Y$7="Actual","",IFERROR((INDEX($M336:$Q336,,MATCH(Y$4,$M$4:$Q$4,0))),0))</f>
        <v/>
      </c>
      <c r="Z336" s="269">
        <f>IF(Z$7="Actual","",IFERROR((INDEX($M336:$Q336,,MATCH(Z$4,$M$4:$Q$4,0))),0))</f>
        <v/>
      </c>
      <c r="AA336" s="269">
        <f>IF(AA$7="Actual","",IFERROR((INDEX($M336:$Q336,,MATCH(AA$4,$M$4:$Q$4,0))),0))</f>
        <v/>
      </c>
      <c r="AB336" s="269">
        <f>IF(AB$7="Actual","",IFERROR((INDEX($M336:$Q336,,MATCH(AB$4,$M$4:$Q$4,0))),0))</f>
        <v/>
      </c>
      <c r="AC336" s="269">
        <f>IF(AC$7="Actual","",IFERROR((INDEX($M336:$Q336,,MATCH(AC$4,$M$4:$Q$4,0))),0))</f>
        <v/>
      </c>
      <c r="AD336" s="269">
        <f>IF(AD$7="Actual","",IFERROR((INDEX($M336:$Q336,,MATCH(AD$4,$M$4:$Q$4,0))),0))</f>
        <v/>
      </c>
      <c r="AE336" s="269">
        <f>IF(AE$7="Actual","",IFERROR((INDEX($M336:$Q336,,MATCH(AE$4,$M$4:$Q$4,0))),0))</f>
        <v/>
      </c>
      <c r="AF336" s="269">
        <f>IF(AF$7="Actual","",IFERROR((INDEX($M336:$Q336,,MATCH(AF$4,$M$4:$Q$4,0))),0))</f>
        <v/>
      </c>
      <c r="AG336" s="269">
        <f>IF(AG$7="Actual","",IFERROR((INDEX($M336:$Q336,,MATCH(AG$4,$M$4:$Q$4,0))),0))</f>
        <v/>
      </c>
      <c r="AH336" s="269">
        <f>IF(AH$7="Actual","",IFERROR((INDEX($M336:$Q336,,MATCH(AH$4,$M$4:$Q$4,0))),0))</f>
        <v/>
      </c>
      <c r="AI336" s="269">
        <f>IF(AI$7="Actual","",IFERROR((INDEX($M336:$Q336,,MATCH(AI$4,$M$4:$Q$4,0))),0))</f>
        <v/>
      </c>
      <c r="AJ336" s="269">
        <f>IF(AJ$7="Actual","",IFERROR((INDEX($M336:$Q336,,MATCH(AJ$4,$M$4:$Q$4,0))),0))</f>
        <v/>
      </c>
      <c r="AK336" s="269">
        <f>IF(AK$7="Actual","",IFERROR((INDEX($M336:$Q336,,MATCH(AK$4,$M$4:$Q$4,0))),0))</f>
        <v/>
      </c>
      <c r="AL336" s="269">
        <f>IF(AL$7="Actual","",IFERROR((INDEX($M336:$Q336,,MATCH(AL$4,$M$4:$Q$4,0))),0))</f>
        <v/>
      </c>
      <c r="AM336" s="269">
        <f>IF(AM$7="Actual","",IFERROR((INDEX($M336:$Q336,,MATCH(AM$4,$M$4:$Q$4,0))),0))</f>
        <v/>
      </c>
      <c r="AN336" s="269">
        <f>IF(AN$7="Actual","",IFERROR((INDEX($M336:$Q336,,MATCH(AN$4,$M$4:$Q$4,0))),0))</f>
        <v/>
      </c>
      <c r="AO336" s="269">
        <f>IF(AO$7="Actual","",IFERROR((INDEX($M336:$Q336,,MATCH(AO$4,$M$4:$Q$4,0))),0))</f>
        <v/>
      </c>
      <c r="AP336" s="269">
        <f>IF(AP$7="Actual","",IFERROR((INDEX($M336:$Q336,,MATCH(AP$4,$M$4:$Q$4,0))),0))</f>
        <v/>
      </c>
      <c r="AQ336" s="269">
        <f>IF(AQ$7="Actual","",IFERROR((INDEX($M336:$Q336,,MATCH(AQ$4,$M$4:$Q$4,0))),0))</f>
        <v/>
      </c>
      <c r="AR336" s="269">
        <f>IF(AR$7="Actual","",IFERROR((INDEX($M336:$Q336,,MATCH(AR$4,$M$4:$Q$4,0))),0))</f>
        <v/>
      </c>
      <c r="AS336" s="269">
        <f>IF(AS$7="Actual","",IFERROR((INDEX($M336:$Q336,,MATCH(AS$4,$M$4:$Q$4,0))),0))</f>
        <v/>
      </c>
      <c r="AT336" s="269">
        <f>IF(AT$7="Actual","",IFERROR((INDEX($M336:$Q336,,MATCH(AT$4,$M$4:$Q$4,0))),0))</f>
        <v/>
      </c>
      <c r="AU336" s="269">
        <f>IF(AU$7="Actual","",IFERROR((INDEX($M336:$Q336,,MATCH(AU$4,$M$4:$Q$4,0))),0))</f>
        <v/>
      </c>
      <c r="AV336" s="269">
        <f>IF(AV$7="Actual","",IFERROR((INDEX($M336:$Q336,,MATCH(AV$4,$M$4:$Q$4,0))),0))</f>
        <v/>
      </c>
      <c r="AW336" s="269">
        <f>IF(AW$7="Actual","",IFERROR((INDEX($M336:$Q336,,MATCH(AW$4,$M$4:$Q$4,0))),0))</f>
        <v/>
      </c>
      <c r="AX336" s="269">
        <f>IF(AX$7="Actual","",IFERROR((INDEX($M336:$Q336,,MATCH(AX$4,$M$4:$Q$4,0))),0))</f>
        <v/>
      </c>
      <c r="AY336" s="269">
        <f>IF(AY$7="Actual","",IFERROR((INDEX($M336:$Q336,,MATCH(AY$4,$M$4:$Q$4,0))),0))</f>
        <v/>
      </c>
      <c r="AZ336" s="269">
        <f>IF(AZ$7="Actual","",IFERROR((INDEX($M336:$Q336,,MATCH(AZ$4,$M$4:$Q$4,0))),0))</f>
        <v/>
      </c>
      <c r="BA336" s="269">
        <f>IF(BA$7="Actual","",IFERROR((INDEX($M336:$Q336,,MATCH(BA$4,$M$4:$Q$4,0))),0))</f>
        <v/>
      </c>
      <c r="BB336" s="269">
        <f>IF(BB$7="Actual","",IFERROR((INDEX($M336:$Q336,,MATCH(BB$4,$M$4:$Q$4,0))),0))</f>
        <v/>
      </c>
      <c r="BC336" s="269">
        <f>IF(BC$7="Actual","",IFERROR((INDEX($M336:$Q336,,MATCH(BC$4,$M$4:$Q$4,0))),0))</f>
        <v/>
      </c>
      <c r="BD336" s="269">
        <f>IF(BD$7="Actual","",IFERROR((INDEX($M336:$Q336,,MATCH(BD$4,$M$4:$Q$4,0))),0))</f>
        <v/>
      </c>
      <c r="BE336" s="269">
        <f>IF(BE$7="Actual","",IFERROR((INDEX($M336:$Q336,,MATCH(BE$4,$M$4:$Q$4,0))),0))</f>
        <v/>
      </c>
      <c r="BF336" s="269">
        <f>IF(BF$7="Actual","",IFERROR((INDEX($M336:$Q336,,MATCH(BF$4,$M$4:$Q$4,0))),0))</f>
        <v/>
      </c>
      <c r="BG336" s="269">
        <f>IF(BG$7="Actual","",IFERROR((INDEX($M336:$Q336,,MATCH(BG$4,$M$4:$Q$4,0))),0))</f>
        <v/>
      </c>
      <c r="BH336" s="269">
        <f>IF(BH$7="Actual","",IFERROR((INDEX($M336:$Q336,,MATCH(BH$4,$M$4:$Q$4,0))),0))</f>
        <v/>
      </c>
      <c r="BI336" s="269">
        <f>IF(BI$7="Actual","",IFERROR((INDEX($M336:$Q336,,MATCH(BI$4,$M$4:$Q$4,0))),0))</f>
        <v/>
      </c>
      <c r="BJ336" s="269">
        <f>IF(BJ$7="Actual","",IFERROR((INDEX($M336:$Q336,,MATCH(BJ$4,$M$4:$Q$4,0))),0))</f>
        <v/>
      </c>
      <c r="BK336" s="269">
        <f>IF(BK$7="Actual","",IFERROR((INDEX($M336:$Q336,,MATCH(BK$4,$M$4:$Q$4,0))),0))</f>
        <v/>
      </c>
      <c r="BL336" s="269">
        <f>IF(BL$7="Actual","",IFERROR((INDEX($M336:$Q336,,MATCH(BL$4,$M$4:$Q$4,0))),0))</f>
        <v/>
      </c>
      <c r="BM336" s="269">
        <f>IF(BM$7="Actual","",IFERROR((INDEX($M336:$Q336,,MATCH(BM$4,$M$4:$Q$4,0))),0))</f>
        <v/>
      </c>
      <c r="BN336" s="269">
        <f>IF(BN$7="Actual","",IFERROR((INDEX($M336:$Q336,,MATCH(BN$4,$M$4:$Q$4,0))),0))</f>
        <v/>
      </c>
      <c r="BO336" s="269">
        <f>IF(BO$7="Actual","",IFERROR((INDEX($M336:$Q336,,MATCH(BO$4,$M$4:$Q$4,0))),0))</f>
        <v/>
      </c>
      <c r="BP336" s="269">
        <f>IF(BP$7="Actual","",IFERROR((INDEX($M336:$Q336,,MATCH(BP$4,$M$4:$Q$4,0))),0))</f>
        <v/>
      </c>
      <c r="BQ336" s="269">
        <f>IF(BQ$7="Actual","",IFERROR((INDEX($M336:$Q336,,MATCH(BQ$4,$M$4:$Q$4,0))),0))</f>
        <v/>
      </c>
      <c r="BR336" s="269">
        <f>IF(BR$7="Actual","",IFERROR((INDEX($M336:$Q336,,MATCH(BR$4,$M$4:$Q$4,0))),0))</f>
        <v/>
      </c>
      <c r="BS336" s="269">
        <f>IF(BS$7="Actual","",IFERROR((INDEX($M336:$Q336,,MATCH(BS$4,$M$4:$Q$4,0))),0))</f>
        <v/>
      </c>
      <c r="BT336" s="269">
        <f>IF(BT$7="Actual","",IFERROR((INDEX($M336:$Q336,,MATCH(BT$4,$M$4:$Q$4,0))),0))</f>
        <v/>
      </c>
      <c r="BU336" s="269">
        <f>IF(BU$7="Actual","",IFERROR((INDEX($M336:$Q336,,MATCH(BU$4,$M$4:$Q$4,0))),0))</f>
        <v/>
      </c>
      <c r="BV336" s="269">
        <f>IF(BV$7="Actual","",IFERROR((INDEX($M336:$Q336,,MATCH(BV$4,$M$4:$Q$4,0))),0))</f>
        <v/>
      </c>
      <c r="BW336" s="269">
        <f>IF(BW$7="Actual","",IFERROR((INDEX($M336:$Q336,,MATCH(BW$4,$M$4:$Q$4,0))),0))</f>
        <v/>
      </c>
      <c r="BX336" s="269">
        <f>IF(BX$7="Actual","",IFERROR((INDEX($M336:$Q336,,MATCH(BX$4,$M$4:$Q$4,0))),0))</f>
        <v/>
      </c>
      <c r="BY336" s="269">
        <f>IF(BY$7="Actual","",IFERROR((INDEX($M336:$Q336,,MATCH(BY$4,$M$4:$Q$4,0))),0))</f>
        <v/>
      </c>
      <c r="BZ336" s="269">
        <f>IF(BZ$7="Actual","",IFERROR((INDEX($M336:$Q336,,MATCH(BZ$4,$M$4:$Q$4,0))),0))</f>
        <v/>
      </c>
      <c r="CA336" s="269">
        <f>IF(CA$7="Actual","",IFERROR((INDEX($M336:$Q336,,MATCH(CA$4,$M$4:$Q$4,0))),0))</f>
        <v/>
      </c>
    </row>
    <row r="337" ht="12" customHeight="1" s="227">
      <c r="A337" s="244" t="n"/>
      <c r="B337" s="244" t="n"/>
      <c r="C337" s="244" t="n"/>
      <c r="K337" s="6" t="n"/>
    </row>
    <row r="338" ht="12" customHeight="1" s="227">
      <c r="A338" s="244" t="n"/>
      <c r="B338" s="244" t="n"/>
      <c r="C338" s="244" t="n"/>
      <c r="H338" s="8">
        <f>i_Setup!U39</f>
        <v/>
      </c>
      <c r="K338" s="6" t="n"/>
    </row>
    <row r="339" ht="12" customHeight="1" s="227">
      <c r="A339" s="244" t="n"/>
      <c r="B339" s="244" t="n"/>
      <c r="C339" s="244" t="n"/>
      <c r="H339" s="4">
        <f>H329</f>
        <v/>
      </c>
      <c r="I339" s="27" t="inlineStr">
        <is>
          <t>no</t>
        </is>
      </c>
      <c r="K339" s="6" t="n"/>
      <c r="M339" s="267">
        <f>IF(M$7="Actual","",i_Assumptions!M367)</f>
        <v/>
      </c>
      <c r="N339" s="267">
        <f>IF(N$7="Actual","",i_Assumptions!N367)</f>
        <v/>
      </c>
      <c r="O339" s="267">
        <f>IF(O$7="Actual","",i_Assumptions!O367)</f>
        <v/>
      </c>
      <c r="P339" s="267">
        <f>IF(P$7="Actual","",i_Assumptions!P367)</f>
        <v/>
      </c>
      <c r="Q339" s="267">
        <f>IF(Q$7="Actual","",i_Assumptions!Q367)</f>
        <v/>
      </c>
      <c r="R339" s="268" t="n"/>
      <c r="S339" s="268" t="n"/>
      <c r="T339" s="269">
        <f>IF(T$7="Actual","",IFERROR((INDEX($M339:$Q339,,MATCH(T$4,$M$4:$Q$4,0))),0))</f>
        <v/>
      </c>
      <c r="U339" s="269">
        <f>IF(U$7="Actual","",IFERROR((INDEX($M339:$Q339,,MATCH(U$4,$M$4:$Q$4,0))),0))</f>
        <v/>
      </c>
      <c r="V339" s="269">
        <f>IF(V$7="Actual","",IFERROR((INDEX($M339:$Q339,,MATCH(V$4,$M$4:$Q$4,0))),0))</f>
        <v/>
      </c>
      <c r="W339" s="269">
        <f>IF(W$7="Actual","",IFERROR((INDEX($M339:$Q339,,MATCH(W$4,$M$4:$Q$4,0))),0))</f>
        <v/>
      </c>
      <c r="X339" s="269">
        <f>IF(X$7="Actual","",IFERROR((INDEX($M339:$Q339,,MATCH(X$4,$M$4:$Q$4,0))),0))</f>
        <v/>
      </c>
      <c r="Y339" s="269">
        <f>IF(Y$7="Actual","",IFERROR((INDEX($M339:$Q339,,MATCH(Y$4,$M$4:$Q$4,0))),0))</f>
        <v/>
      </c>
      <c r="Z339" s="269">
        <f>IF(Z$7="Actual","",IFERROR((INDEX($M339:$Q339,,MATCH(Z$4,$M$4:$Q$4,0))),0))</f>
        <v/>
      </c>
      <c r="AA339" s="269">
        <f>IF(AA$7="Actual","",IFERROR((INDEX($M339:$Q339,,MATCH(AA$4,$M$4:$Q$4,0))),0))</f>
        <v/>
      </c>
      <c r="AB339" s="269">
        <f>IF(AB$7="Actual","",IFERROR((INDEX($M339:$Q339,,MATCH(AB$4,$M$4:$Q$4,0))),0))</f>
        <v/>
      </c>
      <c r="AC339" s="269">
        <f>IF(AC$7="Actual","",IFERROR((INDEX($M339:$Q339,,MATCH(AC$4,$M$4:$Q$4,0))),0))</f>
        <v/>
      </c>
      <c r="AD339" s="269">
        <f>IF(AD$7="Actual","",IFERROR((INDEX($M339:$Q339,,MATCH(AD$4,$M$4:$Q$4,0))),0))</f>
        <v/>
      </c>
      <c r="AE339" s="269">
        <f>IF(AE$7="Actual","",IFERROR((INDEX($M339:$Q339,,MATCH(AE$4,$M$4:$Q$4,0))),0))</f>
        <v/>
      </c>
      <c r="AF339" s="269">
        <f>IF(AF$7="Actual","",IFERROR((INDEX($M339:$Q339,,MATCH(AF$4,$M$4:$Q$4,0))),0))</f>
        <v/>
      </c>
      <c r="AG339" s="269">
        <f>IF(AG$7="Actual","",IFERROR((INDEX($M339:$Q339,,MATCH(AG$4,$M$4:$Q$4,0))),0))</f>
        <v/>
      </c>
      <c r="AH339" s="269">
        <f>IF(AH$7="Actual","",IFERROR((INDEX($M339:$Q339,,MATCH(AH$4,$M$4:$Q$4,0))),0))</f>
        <v/>
      </c>
      <c r="AI339" s="269">
        <f>IF(AI$7="Actual","",IFERROR((INDEX($M339:$Q339,,MATCH(AI$4,$M$4:$Q$4,0))),0))</f>
        <v/>
      </c>
      <c r="AJ339" s="269">
        <f>IF(AJ$7="Actual","",IFERROR((INDEX($M339:$Q339,,MATCH(AJ$4,$M$4:$Q$4,0))),0))</f>
        <v/>
      </c>
      <c r="AK339" s="269">
        <f>IF(AK$7="Actual","",IFERROR((INDEX($M339:$Q339,,MATCH(AK$4,$M$4:$Q$4,0))),0))</f>
        <v/>
      </c>
      <c r="AL339" s="269">
        <f>IF(AL$7="Actual","",IFERROR((INDEX($M339:$Q339,,MATCH(AL$4,$M$4:$Q$4,0))),0))</f>
        <v/>
      </c>
      <c r="AM339" s="269">
        <f>IF(AM$7="Actual","",IFERROR((INDEX($M339:$Q339,,MATCH(AM$4,$M$4:$Q$4,0))),0))</f>
        <v/>
      </c>
      <c r="AN339" s="269">
        <f>IF(AN$7="Actual","",IFERROR((INDEX($M339:$Q339,,MATCH(AN$4,$M$4:$Q$4,0))),0))</f>
        <v/>
      </c>
      <c r="AO339" s="269">
        <f>IF(AO$7="Actual","",IFERROR((INDEX($M339:$Q339,,MATCH(AO$4,$M$4:$Q$4,0))),0))</f>
        <v/>
      </c>
      <c r="AP339" s="269">
        <f>IF(AP$7="Actual","",IFERROR((INDEX($M339:$Q339,,MATCH(AP$4,$M$4:$Q$4,0))),0))</f>
        <v/>
      </c>
      <c r="AQ339" s="269">
        <f>IF(AQ$7="Actual","",IFERROR((INDEX($M339:$Q339,,MATCH(AQ$4,$M$4:$Q$4,0))),0))</f>
        <v/>
      </c>
      <c r="AR339" s="269">
        <f>IF(AR$7="Actual","",IFERROR((INDEX($M339:$Q339,,MATCH(AR$4,$M$4:$Q$4,0))),0))</f>
        <v/>
      </c>
      <c r="AS339" s="269">
        <f>IF(AS$7="Actual","",IFERROR((INDEX($M339:$Q339,,MATCH(AS$4,$M$4:$Q$4,0))),0))</f>
        <v/>
      </c>
      <c r="AT339" s="269">
        <f>IF(AT$7="Actual","",IFERROR((INDEX($M339:$Q339,,MATCH(AT$4,$M$4:$Q$4,0))),0))</f>
        <v/>
      </c>
      <c r="AU339" s="269">
        <f>IF(AU$7="Actual","",IFERROR((INDEX($M339:$Q339,,MATCH(AU$4,$M$4:$Q$4,0))),0))</f>
        <v/>
      </c>
      <c r="AV339" s="269">
        <f>IF(AV$7="Actual","",IFERROR((INDEX($M339:$Q339,,MATCH(AV$4,$M$4:$Q$4,0))),0))</f>
        <v/>
      </c>
      <c r="AW339" s="269">
        <f>IF(AW$7="Actual","",IFERROR((INDEX($M339:$Q339,,MATCH(AW$4,$M$4:$Q$4,0))),0))</f>
        <v/>
      </c>
      <c r="AX339" s="269">
        <f>IF(AX$7="Actual","",IFERROR((INDEX($M339:$Q339,,MATCH(AX$4,$M$4:$Q$4,0))),0))</f>
        <v/>
      </c>
      <c r="AY339" s="269">
        <f>IF(AY$7="Actual","",IFERROR((INDEX($M339:$Q339,,MATCH(AY$4,$M$4:$Q$4,0))),0))</f>
        <v/>
      </c>
      <c r="AZ339" s="269">
        <f>IF(AZ$7="Actual","",IFERROR((INDEX($M339:$Q339,,MATCH(AZ$4,$M$4:$Q$4,0))),0))</f>
        <v/>
      </c>
      <c r="BA339" s="269">
        <f>IF(BA$7="Actual","",IFERROR((INDEX($M339:$Q339,,MATCH(BA$4,$M$4:$Q$4,0))),0))</f>
        <v/>
      </c>
      <c r="BB339" s="269">
        <f>IF(BB$7="Actual","",IFERROR((INDEX($M339:$Q339,,MATCH(BB$4,$M$4:$Q$4,0))),0))</f>
        <v/>
      </c>
      <c r="BC339" s="269">
        <f>IF(BC$7="Actual","",IFERROR((INDEX($M339:$Q339,,MATCH(BC$4,$M$4:$Q$4,0))),0))</f>
        <v/>
      </c>
      <c r="BD339" s="269">
        <f>IF(BD$7="Actual","",IFERROR((INDEX($M339:$Q339,,MATCH(BD$4,$M$4:$Q$4,0))),0))</f>
        <v/>
      </c>
      <c r="BE339" s="269">
        <f>IF(BE$7="Actual","",IFERROR((INDEX($M339:$Q339,,MATCH(BE$4,$M$4:$Q$4,0))),0))</f>
        <v/>
      </c>
      <c r="BF339" s="269">
        <f>IF(BF$7="Actual","",IFERROR((INDEX($M339:$Q339,,MATCH(BF$4,$M$4:$Q$4,0))),0))</f>
        <v/>
      </c>
      <c r="BG339" s="269">
        <f>IF(BG$7="Actual","",IFERROR((INDEX($M339:$Q339,,MATCH(BG$4,$M$4:$Q$4,0))),0))</f>
        <v/>
      </c>
      <c r="BH339" s="269">
        <f>IF(BH$7="Actual","",IFERROR((INDEX($M339:$Q339,,MATCH(BH$4,$M$4:$Q$4,0))),0))</f>
        <v/>
      </c>
      <c r="BI339" s="269">
        <f>IF(BI$7="Actual","",IFERROR((INDEX($M339:$Q339,,MATCH(BI$4,$M$4:$Q$4,0))),0))</f>
        <v/>
      </c>
      <c r="BJ339" s="269">
        <f>IF(BJ$7="Actual","",IFERROR((INDEX($M339:$Q339,,MATCH(BJ$4,$M$4:$Q$4,0))),0))</f>
        <v/>
      </c>
      <c r="BK339" s="269">
        <f>IF(BK$7="Actual","",IFERROR((INDEX($M339:$Q339,,MATCH(BK$4,$M$4:$Q$4,0))),0))</f>
        <v/>
      </c>
      <c r="BL339" s="269">
        <f>IF(BL$7="Actual","",IFERROR((INDEX($M339:$Q339,,MATCH(BL$4,$M$4:$Q$4,0))),0))</f>
        <v/>
      </c>
      <c r="BM339" s="269">
        <f>IF(BM$7="Actual","",IFERROR((INDEX($M339:$Q339,,MATCH(BM$4,$M$4:$Q$4,0))),0))</f>
        <v/>
      </c>
      <c r="BN339" s="269">
        <f>IF(BN$7="Actual","",IFERROR((INDEX($M339:$Q339,,MATCH(BN$4,$M$4:$Q$4,0))),0))</f>
        <v/>
      </c>
      <c r="BO339" s="269">
        <f>IF(BO$7="Actual","",IFERROR((INDEX($M339:$Q339,,MATCH(BO$4,$M$4:$Q$4,0))),0))</f>
        <v/>
      </c>
      <c r="BP339" s="269">
        <f>IF(BP$7="Actual","",IFERROR((INDEX($M339:$Q339,,MATCH(BP$4,$M$4:$Q$4,0))),0))</f>
        <v/>
      </c>
      <c r="BQ339" s="269">
        <f>IF(BQ$7="Actual","",IFERROR((INDEX($M339:$Q339,,MATCH(BQ$4,$M$4:$Q$4,0))),0))</f>
        <v/>
      </c>
      <c r="BR339" s="269">
        <f>IF(BR$7="Actual","",IFERROR((INDEX($M339:$Q339,,MATCH(BR$4,$M$4:$Q$4,0))),0))</f>
        <v/>
      </c>
      <c r="BS339" s="269">
        <f>IF(BS$7="Actual","",IFERROR((INDEX($M339:$Q339,,MATCH(BS$4,$M$4:$Q$4,0))),0))</f>
        <v/>
      </c>
      <c r="BT339" s="269">
        <f>IF(BT$7="Actual","",IFERROR((INDEX($M339:$Q339,,MATCH(BT$4,$M$4:$Q$4,0))),0))</f>
        <v/>
      </c>
      <c r="BU339" s="269">
        <f>IF(BU$7="Actual","",IFERROR((INDEX($M339:$Q339,,MATCH(BU$4,$M$4:$Q$4,0))),0))</f>
        <v/>
      </c>
      <c r="BV339" s="269">
        <f>IF(BV$7="Actual","",IFERROR((INDEX($M339:$Q339,,MATCH(BV$4,$M$4:$Q$4,0))),0))</f>
        <v/>
      </c>
      <c r="BW339" s="269">
        <f>IF(BW$7="Actual","",IFERROR((INDEX($M339:$Q339,,MATCH(BW$4,$M$4:$Q$4,0))),0))</f>
        <v/>
      </c>
      <c r="BX339" s="269">
        <f>IF(BX$7="Actual","",IFERROR((INDEX($M339:$Q339,,MATCH(BX$4,$M$4:$Q$4,0))),0))</f>
        <v/>
      </c>
      <c r="BY339" s="269">
        <f>IF(BY$7="Actual","",IFERROR((INDEX($M339:$Q339,,MATCH(BY$4,$M$4:$Q$4,0))),0))</f>
        <v/>
      </c>
      <c r="BZ339" s="269">
        <f>IF(BZ$7="Actual","",IFERROR((INDEX($M339:$Q339,,MATCH(BZ$4,$M$4:$Q$4,0))),0))</f>
        <v/>
      </c>
      <c r="CA339" s="269">
        <f>IF(CA$7="Actual","",IFERROR((INDEX($M339:$Q339,,MATCH(CA$4,$M$4:$Q$4,0))),0))</f>
        <v/>
      </c>
    </row>
    <row r="340" ht="12" customHeight="1" s="227">
      <c r="A340" s="244" t="n"/>
      <c r="B340" s="244" t="n"/>
      <c r="C340" s="244" t="n"/>
      <c r="H340" s="4">
        <f>H330</f>
        <v/>
      </c>
      <c r="I340" s="27" t="inlineStr">
        <is>
          <t>no</t>
        </is>
      </c>
      <c r="K340" s="6" t="n"/>
      <c r="M340" s="267">
        <f>IF(M$7="Actual","",i_Assumptions!M368)</f>
        <v/>
      </c>
      <c r="N340" s="267">
        <f>IF(N$7="Actual","",i_Assumptions!N368)</f>
        <v/>
      </c>
      <c r="O340" s="267">
        <f>IF(O$7="Actual","",i_Assumptions!O368)</f>
        <v/>
      </c>
      <c r="P340" s="267">
        <f>IF(P$7="Actual","",i_Assumptions!P368)</f>
        <v/>
      </c>
      <c r="Q340" s="267">
        <f>IF(Q$7="Actual","",i_Assumptions!Q368)</f>
        <v/>
      </c>
      <c r="R340" s="268" t="n"/>
      <c r="S340" s="268" t="n"/>
      <c r="T340" s="269">
        <f>IF(T$7="Actual","",IFERROR((INDEX($M340:$Q340,,MATCH(T$4,$M$4:$Q$4,0))),0))</f>
        <v/>
      </c>
      <c r="U340" s="269">
        <f>IF(U$7="Actual","",IFERROR((INDEX($M340:$Q340,,MATCH(U$4,$M$4:$Q$4,0))),0))</f>
        <v/>
      </c>
      <c r="V340" s="269">
        <f>IF(V$7="Actual","",IFERROR((INDEX($M340:$Q340,,MATCH(V$4,$M$4:$Q$4,0))),0))</f>
        <v/>
      </c>
      <c r="W340" s="269">
        <f>IF(W$7="Actual","",IFERROR((INDEX($M340:$Q340,,MATCH(W$4,$M$4:$Q$4,0))),0))</f>
        <v/>
      </c>
      <c r="X340" s="269">
        <f>IF(X$7="Actual","",IFERROR((INDEX($M340:$Q340,,MATCH(X$4,$M$4:$Q$4,0))),0))</f>
        <v/>
      </c>
      <c r="Y340" s="269">
        <f>IF(Y$7="Actual","",IFERROR((INDEX($M340:$Q340,,MATCH(Y$4,$M$4:$Q$4,0))),0))</f>
        <v/>
      </c>
      <c r="Z340" s="269">
        <f>IF(Z$7="Actual","",IFERROR((INDEX($M340:$Q340,,MATCH(Z$4,$M$4:$Q$4,0))),0))</f>
        <v/>
      </c>
      <c r="AA340" s="269">
        <f>IF(AA$7="Actual","",IFERROR((INDEX($M340:$Q340,,MATCH(AA$4,$M$4:$Q$4,0))),0))</f>
        <v/>
      </c>
      <c r="AB340" s="269">
        <f>IF(AB$7="Actual","",IFERROR((INDEX($M340:$Q340,,MATCH(AB$4,$M$4:$Q$4,0))),0))</f>
        <v/>
      </c>
      <c r="AC340" s="269">
        <f>IF(AC$7="Actual","",IFERROR((INDEX($M340:$Q340,,MATCH(AC$4,$M$4:$Q$4,0))),0))</f>
        <v/>
      </c>
      <c r="AD340" s="269">
        <f>IF(AD$7="Actual","",IFERROR((INDEX($M340:$Q340,,MATCH(AD$4,$M$4:$Q$4,0))),0))</f>
        <v/>
      </c>
      <c r="AE340" s="269">
        <f>IF(AE$7="Actual","",IFERROR((INDEX($M340:$Q340,,MATCH(AE$4,$M$4:$Q$4,0))),0))</f>
        <v/>
      </c>
      <c r="AF340" s="269">
        <f>IF(AF$7="Actual","",IFERROR((INDEX($M340:$Q340,,MATCH(AF$4,$M$4:$Q$4,0))),0))</f>
        <v/>
      </c>
      <c r="AG340" s="269">
        <f>IF(AG$7="Actual","",IFERROR((INDEX($M340:$Q340,,MATCH(AG$4,$M$4:$Q$4,0))),0))</f>
        <v/>
      </c>
      <c r="AH340" s="269">
        <f>IF(AH$7="Actual","",IFERROR((INDEX($M340:$Q340,,MATCH(AH$4,$M$4:$Q$4,0))),0))</f>
        <v/>
      </c>
      <c r="AI340" s="269">
        <f>IF(AI$7="Actual","",IFERROR((INDEX($M340:$Q340,,MATCH(AI$4,$M$4:$Q$4,0))),0))</f>
        <v/>
      </c>
      <c r="AJ340" s="269">
        <f>IF(AJ$7="Actual","",IFERROR((INDEX($M340:$Q340,,MATCH(AJ$4,$M$4:$Q$4,0))),0))</f>
        <v/>
      </c>
      <c r="AK340" s="269">
        <f>IF(AK$7="Actual","",IFERROR((INDEX($M340:$Q340,,MATCH(AK$4,$M$4:$Q$4,0))),0))</f>
        <v/>
      </c>
      <c r="AL340" s="269">
        <f>IF(AL$7="Actual","",IFERROR((INDEX($M340:$Q340,,MATCH(AL$4,$M$4:$Q$4,0))),0))</f>
        <v/>
      </c>
      <c r="AM340" s="269">
        <f>IF(AM$7="Actual","",IFERROR((INDEX($M340:$Q340,,MATCH(AM$4,$M$4:$Q$4,0))),0))</f>
        <v/>
      </c>
      <c r="AN340" s="269">
        <f>IF(AN$7="Actual","",IFERROR((INDEX($M340:$Q340,,MATCH(AN$4,$M$4:$Q$4,0))),0))</f>
        <v/>
      </c>
      <c r="AO340" s="269">
        <f>IF(AO$7="Actual","",IFERROR((INDEX($M340:$Q340,,MATCH(AO$4,$M$4:$Q$4,0))),0))</f>
        <v/>
      </c>
      <c r="AP340" s="269">
        <f>IF(AP$7="Actual","",IFERROR((INDEX($M340:$Q340,,MATCH(AP$4,$M$4:$Q$4,0))),0))</f>
        <v/>
      </c>
      <c r="AQ340" s="269">
        <f>IF(AQ$7="Actual","",IFERROR((INDEX($M340:$Q340,,MATCH(AQ$4,$M$4:$Q$4,0))),0))</f>
        <v/>
      </c>
      <c r="AR340" s="269">
        <f>IF(AR$7="Actual","",IFERROR((INDEX($M340:$Q340,,MATCH(AR$4,$M$4:$Q$4,0))),0))</f>
        <v/>
      </c>
      <c r="AS340" s="269">
        <f>IF(AS$7="Actual","",IFERROR((INDEX($M340:$Q340,,MATCH(AS$4,$M$4:$Q$4,0))),0))</f>
        <v/>
      </c>
      <c r="AT340" s="269">
        <f>IF(AT$7="Actual","",IFERROR((INDEX($M340:$Q340,,MATCH(AT$4,$M$4:$Q$4,0))),0))</f>
        <v/>
      </c>
      <c r="AU340" s="269">
        <f>IF(AU$7="Actual","",IFERROR((INDEX($M340:$Q340,,MATCH(AU$4,$M$4:$Q$4,0))),0))</f>
        <v/>
      </c>
      <c r="AV340" s="269">
        <f>IF(AV$7="Actual","",IFERROR((INDEX($M340:$Q340,,MATCH(AV$4,$M$4:$Q$4,0))),0))</f>
        <v/>
      </c>
      <c r="AW340" s="269">
        <f>IF(AW$7="Actual","",IFERROR((INDEX($M340:$Q340,,MATCH(AW$4,$M$4:$Q$4,0))),0))</f>
        <v/>
      </c>
      <c r="AX340" s="269">
        <f>IF(AX$7="Actual","",IFERROR((INDEX($M340:$Q340,,MATCH(AX$4,$M$4:$Q$4,0))),0))</f>
        <v/>
      </c>
      <c r="AY340" s="269">
        <f>IF(AY$7="Actual","",IFERROR((INDEX($M340:$Q340,,MATCH(AY$4,$M$4:$Q$4,0))),0))</f>
        <v/>
      </c>
      <c r="AZ340" s="269">
        <f>IF(AZ$7="Actual","",IFERROR((INDEX($M340:$Q340,,MATCH(AZ$4,$M$4:$Q$4,0))),0))</f>
        <v/>
      </c>
      <c r="BA340" s="269">
        <f>IF(BA$7="Actual","",IFERROR((INDEX($M340:$Q340,,MATCH(BA$4,$M$4:$Q$4,0))),0))</f>
        <v/>
      </c>
      <c r="BB340" s="269">
        <f>IF(BB$7="Actual","",IFERROR((INDEX($M340:$Q340,,MATCH(BB$4,$M$4:$Q$4,0))),0))</f>
        <v/>
      </c>
      <c r="BC340" s="269">
        <f>IF(BC$7="Actual","",IFERROR((INDEX($M340:$Q340,,MATCH(BC$4,$M$4:$Q$4,0))),0))</f>
        <v/>
      </c>
      <c r="BD340" s="269">
        <f>IF(BD$7="Actual","",IFERROR((INDEX($M340:$Q340,,MATCH(BD$4,$M$4:$Q$4,0))),0))</f>
        <v/>
      </c>
      <c r="BE340" s="269">
        <f>IF(BE$7="Actual","",IFERROR((INDEX($M340:$Q340,,MATCH(BE$4,$M$4:$Q$4,0))),0))</f>
        <v/>
      </c>
      <c r="BF340" s="269">
        <f>IF(BF$7="Actual","",IFERROR((INDEX($M340:$Q340,,MATCH(BF$4,$M$4:$Q$4,0))),0))</f>
        <v/>
      </c>
      <c r="BG340" s="269">
        <f>IF(BG$7="Actual","",IFERROR((INDEX($M340:$Q340,,MATCH(BG$4,$M$4:$Q$4,0))),0))</f>
        <v/>
      </c>
      <c r="BH340" s="269">
        <f>IF(BH$7="Actual","",IFERROR((INDEX($M340:$Q340,,MATCH(BH$4,$M$4:$Q$4,0))),0))</f>
        <v/>
      </c>
      <c r="BI340" s="269">
        <f>IF(BI$7="Actual","",IFERROR((INDEX($M340:$Q340,,MATCH(BI$4,$M$4:$Q$4,0))),0))</f>
        <v/>
      </c>
      <c r="BJ340" s="269">
        <f>IF(BJ$7="Actual","",IFERROR((INDEX($M340:$Q340,,MATCH(BJ$4,$M$4:$Q$4,0))),0))</f>
        <v/>
      </c>
      <c r="BK340" s="269">
        <f>IF(BK$7="Actual","",IFERROR((INDEX($M340:$Q340,,MATCH(BK$4,$M$4:$Q$4,0))),0))</f>
        <v/>
      </c>
      <c r="BL340" s="269">
        <f>IF(BL$7="Actual","",IFERROR((INDEX($M340:$Q340,,MATCH(BL$4,$M$4:$Q$4,0))),0))</f>
        <v/>
      </c>
      <c r="BM340" s="269">
        <f>IF(BM$7="Actual","",IFERROR((INDEX($M340:$Q340,,MATCH(BM$4,$M$4:$Q$4,0))),0))</f>
        <v/>
      </c>
      <c r="BN340" s="269">
        <f>IF(BN$7="Actual","",IFERROR((INDEX($M340:$Q340,,MATCH(BN$4,$M$4:$Q$4,0))),0))</f>
        <v/>
      </c>
      <c r="BO340" s="269">
        <f>IF(BO$7="Actual","",IFERROR((INDEX($M340:$Q340,,MATCH(BO$4,$M$4:$Q$4,0))),0))</f>
        <v/>
      </c>
      <c r="BP340" s="269">
        <f>IF(BP$7="Actual","",IFERROR((INDEX($M340:$Q340,,MATCH(BP$4,$M$4:$Q$4,0))),0))</f>
        <v/>
      </c>
      <c r="BQ340" s="269">
        <f>IF(BQ$7="Actual","",IFERROR((INDEX($M340:$Q340,,MATCH(BQ$4,$M$4:$Q$4,0))),0))</f>
        <v/>
      </c>
      <c r="BR340" s="269">
        <f>IF(BR$7="Actual","",IFERROR((INDEX($M340:$Q340,,MATCH(BR$4,$M$4:$Q$4,0))),0))</f>
        <v/>
      </c>
      <c r="BS340" s="269">
        <f>IF(BS$7="Actual","",IFERROR((INDEX($M340:$Q340,,MATCH(BS$4,$M$4:$Q$4,0))),0))</f>
        <v/>
      </c>
      <c r="BT340" s="269">
        <f>IF(BT$7="Actual","",IFERROR((INDEX($M340:$Q340,,MATCH(BT$4,$M$4:$Q$4,0))),0))</f>
        <v/>
      </c>
      <c r="BU340" s="269">
        <f>IF(BU$7="Actual","",IFERROR((INDEX($M340:$Q340,,MATCH(BU$4,$M$4:$Q$4,0))),0))</f>
        <v/>
      </c>
      <c r="BV340" s="269">
        <f>IF(BV$7="Actual","",IFERROR((INDEX($M340:$Q340,,MATCH(BV$4,$M$4:$Q$4,0))),0))</f>
        <v/>
      </c>
      <c r="BW340" s="269">
        <f>IF(BW$7="Actual","",IFERROR((INDEX($M340:$Q340,,MATCH(BW$4,$M$4:$Q$4,0))),0))</f>
        <v/>
      </c>
      <c r="BX340" s="269">
        <f>IF(BX$7="Actual","",IFERROR((INDEX($M340:$Q340,,MATCH(BX$4,$M$4:$Q$4,0))),0))</f>
        <v/>
      </c>
      <c r="BY340" s="269">
        <f>IF(BY$7="Actual","",IFERROR((INDEX($M340:$Q340,,MATCH(BY$4,$M$4:$Q$4,0))),0))</f>
        <v/>
      </c>
      <c r="BZ340" s="269">
        <f>IF(BZ$7="Actual","",IFERROR((INDEX($M340:$Q340,,MATCH(BZ$4,$M$4:$Q$4,0))),0))</f>
        <v/>
      </c>
      <c r="CA340" s="269">
        <f>IF(CA$7="Actual","",IFERROR((INDEX($M340:$Q340,,MATCH(CA$4,$M$4:$Q$4,0))),0))</f>
        <v/>
      </c>
    </row>
    <row r="341" ht="12" customHeight="1" s="227">
      <c r="A341" s="244" t="n"/>
      <c r="B341" s="244" t="n"/>
      <c r="C341" s="244" t="n"/>
      <c r="H341" s="4">
        <f>H331</f>
        <v/>
      </c>
      <c r="I341" s="27" t="inlineStr">
        <is>
          <t>no</t>
        </is>
      </c>
      <c r="K341" s="6" t="n"/>
      <c r="M341" s="267">
        <f>IF(M$7="Actual","",i_Assumptions!M369)</f>
        <v/>
      </c>
      <c r="N341" s="267">
        <f>IF(N$7="Actual","",i_Assumptions!N369)</f>
        <v/>
      </c>
      <c r="O341" s="267">
        <f>IF(O$7="Actual","",i_Assumptions!O369)</f>
        <v/>
      </c>
      <c r="P341" s="267">
        <f>IF(P$7="Actual","",i_Assumptions!P369)</f>
        <v/>
      </c>
      <c r="Q341" s="267">
        <f>IF(Q$7="Actual","",i_Assumptions!Q369)</f>
        <v/>
      </c>
      <c r="R341" s="268" t="n"/>
      <c r="S341" s="268" t="n"/>
      <c r="T341" s="269">
        <f>IF(T$7="Actual","",IFERROR((INDEX($M341:$Q341,,MATCH(T$4,$M$4:$Q$4,0))),0))</f>
        <v/>
      </c>
      <c r="U341" s="269">
        <f>IF(U$7="Actual","",IFERROR((INDEX($M341:$Q341,,MATCH(U$4,$M$4:$Q$4,0))),0))</f>
        <v/>
      </c>
      <c r="V341" s="269">
        <f>IF(V$7="Actual","",IFERROR((INDEX($M341:$Q341,,MATCH(V$4,$M$4:$Q$4,0))),0))</f>
        <v/>
      </c>
      <c r="W341" s="269">
        <f>IF(W$7="Actual","",IFERROR((INDEX($M341:$Q341,,MATCH(W$4,$M$4:$Q$4,0))),0))</f>
        <v/>
      </c>
      <c r="X341" s="269">
        <f>IF(X$7="Actual","",IFERROR((INDEX($M341:$Q341,,MATCH(X$4,$M$4:$Q$4,0))),0))</f>
        <v/>
      </c>
      <c r="Y341" s="269">
        <f>IF(Y$7="Actual","",IFERROR((INDEX($M341:$Q341,,MATCH(Y$4,$M$4:$Q$4,0))),0))</f>
        <v/>
      </c>
      <c r="Z341" s="269">
        <f>IF(Z$7="Actual","",IFERROR((INDEX($M341:$Q341,,MATCH(Z$4,$M$4:$Q$4,0))),0))</f>
        <v/>
      </c>
      <c r="AA341" s="269">
        <f>IF(AA$7="Actual","",IFERROR((INDEX($M341:$Q341,,MATCH(AA$4,$M$4:$Q$4,0))),0))</f>
        <v/>
      </c>
      <c r="AB341" s="269">
        <f>IF(AB$7="Actual","",IFERROR((INDEX($M341:$Q341,,MATCH(AB$4,$M$4:$Q$4,0))),0))</f>
        <v/>
      </c>
      <c r="AC341" s="269">
        <f>IF(AC$7="Actual","",IFERROR((INDEX($M341:$Q341,,MATCH(AC$4,$M$4:$Q$4,0))),0))</f>
        <v/>
      </c>
      <c r="AD341" s="269">
        <f>IF(AD$7="Actual","",IFERROR((INDEX($M341:$Q341,,MATCH(AD$4,$M$4:$Q$4,0))),0))</f>
        <v/>
      </c>
      <c r="AE341" s="269">
        <f>IF(AE$7="Actual","",IFERROR((INDEX($M341:$Q341,,MATCH(AE$4,$M$4:$Q$4,0))),0))</f>
        <v/>
      </c>
      <c r="AF341" s="269">
        <f>IF(AF$7="Actual","",IFERROR((INDEX($M341:$Q341,,MATCH(AF$4,$M$4:$Q$4,0))),0))</f>
        <v/>
      </c>
      <c r="AG341" s="269">
        <f>IF(AG$7="Actual","",IFERROR((INDEX($M341:$Q341,,MATCH(AG$4,$M$4:$Q$4,0))),0))</f>
        <v/>
      </c>
      <c r="AH341" s="269">
        <f>IF(AH$7="Actual","",IFERROR((INDEX($M341:$Q341,,MATCH(AH$4,$M$4:$Q$4,0))),0))</f>
        <v/>
      </c>
      <c r="AI341" s="269">
        <f>IF(AI$7="Actual","",IFERROR((INDEX($M341:$Q341,,MATCH(AI$4,$M$4:$Q$4,0))),0))</f>
        <v/>
      </c>
      <c r="AJ341" s="269">
        <f>IF(AJ$7="Actual","",IFERROR((INDEX($M341:$Q341,,MATCH(AJ$4,$M$4:$Q$4,0))),0))</f>
        <v/>
      </c>
      <c r="AK341" s="269">
        <f>IF(AK$7="Actual","",IFERROR((INDEX($M341:$Q341,,MATCH(AK$4,$M$4:$Q$4,0))),0))</f>
        <v/>
      </c>
      <c r="AL341" s="269">
        <f>IF(AL$7="Actual","",IFERROR((INDEX($M341:$Q341,,MATCH(AL$4,$M$4:$Q$4,0))),0))</f>
        <v/>
      </c>
      <c r="AM341" s="269">
        <f>IF(AM$7="Actual","",IFERROR((INDEX($M341:$Q341,,MATCH(AM$4,$M$4:$Q$4,0))),0))</f>
        <v/>
      </c>
      <c r="AN341" s="269">
        <f>IF(AN$7="Actual","",IFERROR((INDEX($M341:$Q341,,MATCH(AN$4,$M$4:$Q$4,0))),0))</f>
        <v/>
      </c>
      <c r="AO341" s="269">
        <f>IF(AO$7="Actual","",IFERROR((INDEX($M341:$Q341,,MATCH(AO$4,$M$4:$Q$4,0))),0))</f>
        <v/>
      </c>
      <c r="AP341" s="269">
        <f>IF(AP$7="Actual","",IFERROR((INDEX($M341:$Q341,,MATCH(AP$4,$M$4:$Q$4,0))),0))</f>
        <v/>
      </c>
      <c r="AQ341" s="269">
        <f>IF(AQ$7="Actual","",IFERROR((INDEX($M341:$Q341,,MATCH(AQ$4,$M$4:$Q$4,0))),0))</f>
        <v/>
      </c>
      <c r="AR341" s="269">
        <f>IF(AR$7="Actual","",IFERROR((INDEX($M341:$Q341,,MATCH(AR$4,$M$4:$Q$4,0))),0))</f>
        <v/>
      </c>
      <c r="AS341" s="269">
        <f>IF(AS$7="Actual","",IFERROR((INDEX($M341:$Q341,,MATCH(AS$4,$M$4:$Q$4,0))),0))</f>
        <v/>
      </c>
      <c r="AT341" s="269">
        <f>IF(AT$7="Actual","",IFERROR((INDEX($M341:$Q341,,MATCH(AT$4,$M$4:$Q$4,0))),0))</f>
        <v/>
      </c>
      <c r="AU341" s="269">
        <f>IF(AU$7="Actual","",IFERROR((INDEX($M341:$Q341,,MATCH(AU$4,$M$4:$Q$4,0))),0))</f>
        <v/>
      </c>
      <c r="AV341" s="269">
        <f>IF(AV$7="Actual","",IFERROR((INDEX($M341:$Q341,,MATCH(AV$4,$M$4:$Q$4,0))),0))</f>
        <v/>
      </c>
      <c r="AW341" s="269">
        <f>IF(AW$7="Actual","",IFERROR((INDEX($M341:$Q341,,MATCH(AW$4,$M$4:$Q$4,0))),0))</f>
        <v/>
      </c>
      <c r="AX341" s="269">
        <f>IF(AX$7="Actual","",IFERROR((INDEX($M341:$Q341,,MATCH(AX$4,$M$4:$Q$4,0))),0))</f>
        <v/>
      </c>
      <c r="AY341" s="269">
        <f>IF(AY$7="Actual","",IFERROR((INDEX($M341:$Q341,,MATCH(AY$4,$M$4:$Q$4,0))),0))</f>
        <v/>
      </c>
      <c r="AZ341" s="269">
        <f>IF(AZ$7="Actual","",IFERROR((INDEX($M341:$Q341,,MATCH(AZ$4,$M$4:$Q$4,0))),0))</f>
        <v/>
      </c>
      <c r="BA341" s="269">
        <f>IF(BA$7="Actual","",IFERROR((INDEX($M341:$Q341,,MATCH(BA$4,$M$4:$Q$4,0))),0))</f>
        <v/>
      </c>
      <c r="BB341" s="269">
        <f>IF(BB$7="Actual","",IFERROR((INDEX($M341:$Q341,,MATCH(BB$4,$M$4:$Q$4,0))),0))</f>
        <v/>
      </c>
      <c r="BC341" s="269">
        <f>IF(BC$7="Actual","",IFERROR((INDEX($M341:$Q341,,MATCH(BC$4,$M$4:$Q$4,0))),0))</f>
        <v/>
      </c>
      <c r="BD341" s="269">
        <f>IF(BD$7="Actual","",IFERROR((INDEX($M341:$Q341,,MATCH(BD$4,$M$4:$Q$4,0))),0))</f>
        <v/>
      </c>
      <c r="BE341" s="269">
        <f>IF(BE$7="Actual","",IFERROR((INDEX($M341:$Q341,,MATCH(BE$4,$M$4:$Q$4,0))),0))</f>
        <v/>
      </c>
      <c r="BF341" s="269">
        <f>IF(BF$7="Actual","",IFERROR((INDEX($M341:$Q341,,MATCH(BF$4,$M$4:$Q$4,0))),0))</f>
        <v/>
      </c>
      <c r="BG341" s="269">
        <f>IF(BG$7="Actual","",IFERROR((INDEX($M341:$Q341,,MATCH(BG$4,$M$4:$Q$4,0))),0))</f>
        <v/>
      </c>
      <c r="BH341" s="269">
        <f>IF(BH$7="Actual","",IFERROR((INDEX($M341:$Q341,,MATCH(BH$4,$M$4:$Q$4,0))),0))</f>
        <v/>
      </c>
      <c r="BI341" s="269">
        <f>IF(BI$7="Actual","",IFERROR((INDEX($M341:$Q341,,MATCH(BI$4,$M$4:$Q$4,0))),0))</f>
        <v/>
      </c>
      <c r="BJ341" s="269">
        <f>IF(BJ$7="Actual","",IFERROR((INDEX($M341:$Q341,,MATCH(BJ$4,$M$4:$Q$4,0))),0))</f>
        <v/>
      </c>
      <c r="BK341" s="269">
        <f>IF(BK$7="Actual","",IFERROR((INDEX($M341:$Q341,,MATCH(BK$4,$M$4:$Q$4,0))),0))</f>
        <v/>
      </c>
      <c r="BL341" s="269">
        <f>IF(BL$7="Actual","",IFERROR((INDEX($M341:$Q341,,MATCH(BL$4,$M$4:$Q$4,0))),0))</f>
        <v/>
      </c>
      <c r="BM341" s="269">
        <f>IF(BM$7="Actual","",IFERROR((INDEX($M341:$Q341,,MATCH(BM$4,$M$4:$Q$4,0))),0))</f>
        <v/>
      </c>
      <c r="BN341" s="269">
        <f>IF(BN$7="Actual","",IFERROR((INDEX($M341:$Q341,,MATCH(BN$4,$M$4:$Q$4,0))),0))</f>
        <v/>
      </c>
      <c r="BO341" s="269">
        <f>IF(BO$7="Actual","",IFERROR((INDEX($M341:$Q341,,MATCH(BO$4,$M$4:$Q$4,0))),0))</f>
        <v/>
      </c>
      <c r="BP341" s="269">
        <f>IF(BP$7="Actual","",IFERROR((INDEX($M341:$Q341,,MATCH(BP$4,$M$4:$Q$4,0))),0))</f>
        <v/>
      </c>
      <c r="BQ341" s="269">
        <f>IF(BQ$7="Actual","",IFERROR((INDEX($M341:$Q341,,MATCH(BQ$4,$M$4:$Q$4,0))),0))</f>
        <v/>
      </c>
      <c r="BR341" s="269">
        <f>IF(BR$7="Actual","",IFERROR((INDEX($M341:$Q341,,MATCH(BR$4,$M$4:$Q$4,0))),0))</f>
        <v/>
      </c>
      <c r="BS341" s="269">
        <f>IF(BS$7="Actual","",IFERROR((INDEX($M341:$Q341,,MATCH(BS$4,$M$4:$Q$4,0))),0))</f>
        <v/>
      </c>
      <c r="BT341" s="269">
        <f>IF(BT$7="Actual","",IFERROR((INDEX($M341:$Q341,,MATCH(BT$4,$M$4:$Q$4,0))),0))</f>
        <v/>
      </c>
      <c r="BU341" s="269">
        <f>IF(BU$7="Actual","",IFERROR((INDEX($M341:$Q341,,MATCH(BU$4,$M$4:$Q$4,0))),0))</f>
        <v/>
      </c>
      <c r="BV341" s="269">
        <f>IF(BV$7="Actual","",IFERROR((INDEX($M341:$Q341,,MATCH(BV$4,$M$4:$Q$4,0))),0))</f>
        <v/>
      </c>
      <c r="BW341" s="269">
        <f>IF(BW$7="Actual","",IFERROR((INDEX($M341:$Q341,,MATCH(BW$4,$M$4:$Q$4,0))),0))</f>
        <v/>
      </c>
      <c r="BX341" s="269">
        <f>IF(BX$7="Actual","",IFERROR((INDEX($M341:$Q341,,MATCH(BX$4,$M$4:$Q$4,0))),0))</f>
        <v/>
      </c>
      <c r="BY341" s="269">
        <f>IF(BY$7="Actual","",IFERROR((INDEX($M341:$Q341,,MATCH(BY$4,$M$4:$Q$4,0))),0))</f>
        <v/>
      </c>
      <c r="BZ341" s="269">
        <f>IF(BZ$7="Actual","",IFERROR((INDEX($M341:$Q341,,MATCH(BZ$4,$M$4:$Q$4,0))),0))</f>
        <v/>
      </c>
      <c r="CA341" s="269">
        <f>IF(CA$7="Actual","",IFERROR((INDEX($M341:$Q341,,MATCH(CA$4,$M$4:$Q$4,0))),0))</f>
        <v/>
      </c>
    </row>
    <row r="342" ht="12" customHeight="1" s="227">
      <c r="A342" s="244" t="n"/>
      <c r="B342" s="244" t="n"/>
      <c r="C342" s="244" t="n"/>
      <c r="H342" s="4">
        <f>H332</f>
        <v/>
      </c>
      <c r="I342" s="27" t="inlineStr">
        <is>
          <t>no</t>
        </is>
      </c>
      <c r="K342" s="6" t="n"/>
      <c r="M342" s="267">
        <f>IF(M$7="Actual","",i_Assumptions!M370)</f>
        <v/>
      </c>
      <c r="N342" s="267">
        <f>IF(N$7="Actual","",i_Assumptions!N370)</f>
        <v/>
      </c>
      <c r="O342" s="267">
        <f>IF(O$7="Actual","",i_Assumptions!O370)</f>
        <v/>
      </c>
      <c r="P342" s="267">
        <f>IF(P$7="Actual","",i_Assumptions!P370)</f>
        <v/>
      </c>
      <c r="Q342" s="267">
        <f>IF(Q$7="Actual","",i_Assumptions!Q370)</f>
        <v/>
      </c>
      <c r="R342" s="268" t="n"/>
      <c r="S342" s="268" t="n"/>
      <c r="T342" s="269">
        <f>IF(T$7="Actual","",IFERROR((INDEX($M342:$Q342,,MATCH(T$4,$M$4:$Q$4,0))),0))</f>
        <v/>
      </c>
      <c r="U342" s="269">
        <f>IF(U$7="Actual","",IFERROR((INDEX($M342:$Q342,,MATCH(U$4,$M$4:$Q$4,0))),0))</f>
        <v/>
      </c>
      <c r="V342" s="269">
        <f>IF(V$7="Actual","",IFERROR((INDEX($M342:$Q342,,MATCH(V$4,$M$4:$Q$4,0))),0))</f>
        <v/>
      </c>
      <c r="W342" s="269">
        <f>IF(W$7="Actual","",IFERROR((INDEX($M342:$Q342,,MATCH(W$4,$M$4:$Q$4,0))),0))</f>
        <v/>
      </c>
      <c r="X342" s="269">
        <f>IF(X$7="Actual","",IFERROR((INDEX($M342:$Q342,,MATCH(X$4,$M$4:$Q$4,0))),0))</f>
        <v/>
      </c>
      <c r="Y342" s="269">
        <f>IF(Y$7="Actual","",IFERROR((INDEX($M342:$Q342,,MATCH(Y$4,$M$4:$Q$4,0))),0))</f>
        <v/>
      </c>
      <c r="Z342" s="269">
        <f>IF(Z$7="Actual","",IFERROR((INDEX($M342:$Q342,,MATCH(Z$4,$M$4:$Q$4,0))),0))</f>
        <v/>
      </c>
      <c r="AA342" s="269">
        <f>IF(AA$7="Actual","",IFERROR((INDEX($M342:$Q342,,MATCH(AA$4,$M$4:$Q$4,0))),0))</f>
        <v/>
      </c>
      <c r="AB342" s="269">
        <f>IF(AB$7="Actual","",IFERROR((INDEX($M342:$Q342,,MATCH(AB$4,$M$4:$Q$4,0))),0))</f>
        <v/>
      </c>
      <c r="AC342" s="269">
        <f>IF(AC$7="Actual","",IFERROR((INDEX($M342:$Q342,,MATCH(AC$4,$M$4:$Q$4,0))),0))</f>
        <v/>
      </c>
      <c r="AD342" s="269">
        <f>IF(AD$7="Actual","",IFERROR((INDEX($M342:$Q342,,MATCH(AD$4,$M$4:$Q$4,0))),0))</f>
        <v/>
      </c>
      <c r="AE342" s="269">
        <f>IF(AE$7="Actual","",IFERROR((INDEX($M342:$Q342,,MATCH(AE$4,$M$4:$Q$4,0))),0))</f>
        <v/>
      </c>
      <c r="AF342" s="269">
        <f>IF(AF$7="Actual","",IFERROR((INDEX($M342:$Q342,,MATCH(AF$4,$M$4:$Q$4,0))),0))</f>
        <v/>
      </c>
      <c r="AG342" s="269">
        <f>IF(AG$7="Actual","",IFERROR((INDEX($M342:$Q342,,MATCH(AG$4,$M$4:$Q$4,0))),0))</f>
        <v/>
      </c>
      <c r="AH342" s="269">
        <f>IF(AH$7="Actual","",IFERROR((INDEX($M342:$Q342,,MATCH(AH$4,$M$4:$Q$4,0))),0))</f>
        <v/>
      </c>
      <c r="AI342" s="269">
        <f>IF(AI$7="Actual","",IFERROR((INDEX($M342:$Q342,,MATCH(AI$4,$M$4:$Q$4,0))),0))</f>
        <v/>
      </c>
      <c r="AJ342" s="269">
        <f>IF(AJ$7="Actual","",IFERROR((INDEX($M342:$Q342,,MATCH(AJ$4,$M$4:$Q$4,0))),0))</f>
        <v/>
      </c>
      <c r="AK342" s="269">
        <f>IF(AK$7="Actual","",IFERROR((INDEX($M342:$Q342,,MATCH(AK$4,$M$4:$Q$4,0))),0))</f>
        <v/>
      </c>
      <c r="AL342" s="269">
        <f>IF(AL$7="Actual","",IFERROR((INDEX($M342:$Q342,,MATCH(AL$4,$M$4:$Q$4,0))),0))</f>
        <v/>
      </c>
      <c r="AM342" s="269">
        <f>IF(AM$7="Actual","",IFERROR((INDEX($M342:$Q342,,MATCH(AM$4,$M$4:$Q$4,0))),0))</f>
        <v/>
      </c>
      <c r="AN342" s="269">
        <f>IF(AN$7="Actual","",IFERROR((INDEX($M342:$Q342,,MATCH(AN$4,$M$4:$Q$4,0))),0))</f>
        <v/>
      </c>
      <c r="AO342" s="269">
        <f>IF(AO$7="Actual","",IFERROR((INDEX($M342:$Q342,,MATCH(AO$4,$M$4:$Q$4,0))),0))</f>
        <v/>
      </c>
      <c r="AP342" s="269">
        <f>IF(AP$7="Actual","",IFERROR((INDEX($M342:$Q342,,MATCH(AP$4,$M$4:$Q$4,0))),0))</f>
        <v/>
      </c>
      <c r="AQ342" s="269">
        <f>IF(AQ$7="Actual","",IFERROR((INDEX($M342:$Q342,,MATCH(AQ$4,$M$4:$Q$4,0))),0))</f>
        <v/>
      </c>
      <c r="AR342" s="269">
        <f>IF(AR$7="Actual","",IFERROR((INDEX($M342:$Q342,,MATCH(AR$4,$M$4:$Q$4,0))),0))</f>
        <v/>
      </c>
      <c r="AS342" s="269">
        <f>IF(AS$7="Actual","",IFERROR((INDEX($M342:$Q342,,MATCH(AS$4,$M$4:$Q$4,0))),0))</f>
        <v/>
      </c>
      <c r="AT342" s="269">
        <f>IF(AT$7="Actual","",IFERROR((INDEX($M342:$Q342,,MATCH(AT$4,$M$4:$Q$4,0))),0))</f>
        <v/>
      </c>
      <c r="AU342" s="269">
        <f>IF(AU$7="Actual","",IFERROR((INDEX($M342:$Q342,,MATCH(AU$4,$M$4:$Q$4,0))),0))</f>
        <v/>
      </c>
      <c r="AV342" s="269">
        <f>IF(AV$7="Actual","",IFERROR((INDEX($M342:$Q342,,MATCH(AV$4,$M$4:$Q$4,0))),0))</f>
        <v/>
      </c>
      <c r="AW342" s="269">
        <f>IF(AW$7="Actual","",IFERROR((INDEX($M342:$Q342,,MATCH(AW$4,$M$4:$Q$4,0))),0))</f>
        <v/>
      </c>
      <c r="AX342" s="269">
        <f>IF(AX$7="Actual","",IFERROR((INDEX($M342:$Q342,,MATCH(AX$4,$M$4:$Q$4,0))),0))</f>
        <v/>
      </c>
      <c r="AY342" s="269">
        <f>IF(AY$7="Actual","",IFERROR((INDEX($M342:$Q342,,MATCH(AY$4,$M$4:$Q$4,0))),0))</f>
        <v/>
      </c>
      <c r="AZ342" s="269">
        <f>IF(AZ$7="Actual","",IFERROR((INDEX($M342:$Q342,,MATCH(AZ$4,$M$4:$Q$4,0))),0))</f>
        <v/>
      </c>
      <c r="BA342" s="269">
        <f>IF(BA$7="Actual","",IFERROR((INDEX($M342:$Q342,,MATCH(BA$4,$M$4:$Q$4,0))),0))</f>
        <v/>
      </c>
      <c r="BB342" s="269">
        <f>IF(BB$7="Actual","",IFERROR((INDEX($M342:$Q342,,MATCH(BB$4,$M$4:$Q$4,0))),0))</f>
        <v/>
      </c>
      <c r="BC342" s="269">
        <f>IF(BC$7="Actual","",IFERROR((INDEX($M342:$Q342,,MATCH(BC$4,$M$4:$Q$4,0))),0))</f>
        <v/>
      </c>
      <c r="BD342" s="269">
        <f>IF(BD$7="Actual","",IFERROR((INDEX($M342:$Q342,,MATCH(BD$4,$M$4:$Q$4,0))),0))</f>
        <v/>
      </c>
      <c r="BE342" s="269">
        <f>IF(BE$7="Actual","",IFERROR((INDEX($M342:$Q342,,MATCH(BE$4,$M$4:$Q$4,0))),0))</f>
        <v/>
      </c>
      <c r="BF342" s="269">
        <f>IF(BF$7="Actual","",IFERROR((INDEX($M342:$Q342,,MATCH(BF$4,$M$4:$Q$4,0))),0))</f>
        <v/>
      </c>
      <c r="BG342" s="269">
        <f>IF(BG$7="Actual","",IFERROR((INDEX($M342:$Q342,,MATCH(BG$4,$M$4:$Q$4,0))),0))</f>
        <v/>
      </c>
      <c r="BH342" s="269">
        <f>IF(BH$7="Actual","",IFERROR((INDEX($M342:$Q342,,MATCH(BH$4,$M$4:$Q$4,0))),0))</f>
        <v/>
      </c>
      <c r="BI342" s="269">
        <f>IF(BI$7="Actual","",IFERROR((INDEX($M342:$Q342,,MATCH(BI$4,$M$4:$Q$4,0))),0))</f>
        <v/>
      </c>
      <c r="BJ342" s="269">
        <f>IF(BJ$7="Actual","",IFERROR((INDEX($M342:$Q342,,MATCH(BJ$4,$M$4:$Q$4,0))),0))</f>
        <v/>
      </c>
      <c r="BK342" s="269">
        <f>IF(BK$7="Actual","",IFERROR((INDEX($M342:$Q342,,MATCH(BK$4,$M$4:$Q$4,0))),0))</f>
        <v/>
      </c>
      <c r="BL342" s="269">
        <f>IF(BL$7="Actual","",IFERROR((INDEX($M342:$Q342,,MATCH(BL$4,$M$4:$Q$4,0))),0))</f>
        <v/>
      </c>
      <c r="BM342" s="269">
        <f>IF(BM$7="Actual","",IFERROR((INDEX($M342:$Q342,,MATCH(BM$4,$M$4:$Q$4,0))),0))</f>
        <v/>
      </c>
      <c r="BN342" s="269">
        <f>IF(BN$7="Actual","",IFERROR((INDEX($M342:$Q342,,MATCH(BN$4,$M$4:$Q$4,0))),0))</f>
        <v/>
      </c>
      <c r="BO342" s="269">
        <f>IF(BO$7="Actual","",IFERROR((INDEX($M342:$Q342,,MATCH(BO$4,$M$4:$Q$4,0))),0))</f>
        <v/>
      </c>
      <c r="BP342" s="269">
        <f>IF(BP$7="Actual","",IFERROR((INDEX($M342:$Q342,,MATCH(BP$4,$M$4:$Q$4,0))),0))</f>
        <v/>
      </c>
      <c r="BQ342" s="269">
        <f>IF(BQ$7="Actual","",IFERROR((INDEX($M342:$Q342,,MATCH(BQ$4,$M$4:$Q$4,0))),0))</f>
        <v/>
      </c>
      <c r="BR342" s="269">
        <f>IF(BR$7="Actual","",IFERROR((INDEX($M342:$Q342,,MATCH(BR$4,$M$4:$Q$4,0))),0))</f>
        <v/>
      </c>
      <c r="BS342" s="269">
        <f>IF(BS$7="Actual","",IFERROR((INDEX($M342:$Q342,,MATCH(BS$4,$M$4:$Q$4,0))),0))</f>
        <v/>
      </c>
      <c r="BT342" s="269">
        <f>IF(BT$7="Actual","",IFERROR((INDEX($M342:$Q342,,MATCH(BT$4,$M$4:$Q$4,0))),0))</f>
        <v/>
      </c>
      <c r="BU342" s="269">
        <f>IF(BU$7="Actual","",IFERROR((INDEX($M342:$Q342,,MATCH(BU$4,$M$4:$Q$4,0))),0))</f>
        <v/>
      </c>
      <c r="BV342" s="269">
        <f>IF(BV$7="Actual","",IFERROR((INDEX($M342:$Q342,,MATCH(BV$4,$M$4:$Q$4,0))),0))</f>
        <v/>
      </c>
      <c r="BW342" s="269">
        <f>IF(BW$7="Actual","",IFERROR((INDEX($M342:$Q342,,MATCH(BW$4,$M$4:$Q$4,0))),0))</f>
        <v/>
      </c>
      <c r="BX342" s="269">
        <f>IF(BX$7="Actual","",IFERROR((INDEX($M342:$Q342,,MATCH(BX$4,$M$4:$Q$4,0))),0))</f>
        <v/>
      </c>
      <c r="BY342" s="269">
        <f>IF(BY$7="Actual","",IFERROR((INDEX($M342:$Q342,,MATCH(BY$4,$M$4:$Q$4,0))),0))</f>
        <v/>
      </c>
      <c r="BZ342" s="269">
        <f>IF(BZ$7="Actual","",IFERROR((INDEX($M342:$Q342,,MATCH(BZ$4,$M$4:$Q$4,0))),0))</f>
        <v/>
      </c>
      <c r="CA342" s="269">
        <f>IF(CA$7="Actual","",IFERROR((INDEX($M342:$Q342,,MATCH(CA$4,$M$4:$Q$4,0))),0))</f>
        <v/>
      </c>
    </row>
    <row r="343" ht="12" customHeight="1" s="227">
      <c r="A343" s="244" t="n"/>
      <c r="B343" s="244" t="n"/>
      <c r="C343" s="244" t="n"/>
      <c r="H343" s="4">
        <f>H333</f>
        <v/>
      </c>
      <c r="I343" s="27" t="inlineStr">
        <is>
          <t>no</t>
        </is>
      </c>
      <c r="K343" s="6" t="n"/>
      <c r="M343" s="267">
        <f>IF(M$7="Actual","",i_Assumptions!M371)</f>
        <v/>
      </c>
      <c r="N343" s="267">
        <f>IF(N$7="Actual","",i_Assumptions!N371)</f>
        <v/>
      </c>
      <c r="O343" s="267">
        <f>IF(O$7="Actual","",i_Assumptions!O371)</f>
        <v/>
      </c>
      <c r="P343" s="267">
        <f>IF(P$7="Actual","",i_Assumptions!P371)</f>
        <v/>
      </c>
      <c r="Q343" s="267">
        <f>IF(Q$7="Actual","",i_Assumptions!Q371)</f>
        <v/>
      </c>
      <c r="R343" s="268" t="n"/>
      <c r="S343" s="268" t="n"/>
      <c r="T343" s="269">
        <f>IF(T$7="Actual","",IFERROR((INDEX($M343:$Q343,,MATCH(T$4,$M$4:$Q$4,0))),0))</f>
        <v/>
      </c>
      <c r="U343" s="269">
        <f>IF(U$7="Actual","",IFERROR((INDEX($M343:$Q343,,MATCH(U$4,$M$4:$Q$4,0))),0))</f>
        <v/>
      </c>
      <c r="V343" s="269">
        <f>IF(V$7="Actual","",IFERROR((INDEX($M343:$Q343,,MATCH(V$4,$M$4:$Q$4,0))),0))</f>
        <v/>
      </c>
      <c r="W343" s="269">
        <f>IF(W$7="Actual","",IFERROR((INDEX($M343:$Q343,,MATCH(W$4,$M$4:$Q$4,0))),0))</f>
        <v/>
      </c>
      <c r="X343" s="269">
        <f>IF(X$7="Actual","",IFERROR((INDEX($M343:$Q343,,MATCH(X$4,$M$4:$Q$4,0))),0))</f>
        <v/>
      </c>
      <c r="Y343" s="269">
        <f>IF(Y$7="Actual","",IFERROR((INDEX($M343:$Q343,,MATCH(Y$4,$M$4:$Q$4,0))),0))</f>
        <v/>
      </c>
      <c r="Z343" s="269">
        <f>IF(Z$7="Actual","",IFERROR((INDEX($M343:$Q343,,MATCH(Z$4,$M$4:$Q$4,0))),0))</f>
        <v/>
      </c>
      <c r="AA343" s="269">
        <f>IF(AA$7="Actual","",IFERROR((INDEX($M343:$Q343,,MATCH(AA$4,$M$4:$Q$4,0))),0))</f>
        <v/>
      </c>
      <c r="AB343" s="269">
        <f>IF(AB$7="Actual","",IFERROR((INDEX($M343:$Q343,,MATCH(AB$4,$M$4:$Q$4,0))),0))</f>
        <v/>
      </c>
      <c r="AC343" s="269">
        <f>IF(AC$7="Actual","",IFERROR((INDEX($M343:$Q343,,MATCH(AC$4,$M$4:$Q$4,0))),0))</f>
        <v/>
      </c>
      <c r="AD343" s="269">
        <f>IF(AD$7="Actual","",IFERROR((INDEX($M343:$Q343,,MATCH(AD$4,$M$4:$Q$4,0))),0))</f>
        <v/>
      </c>
      <c r="AE343" s="269">
        <f>IF(AE$7="Actual","",IFERROR((INDEX($M343:$Q343,,MATCH(AE$4,$M$4:$Q$4,0))),0))</f>
        <v/>
      </c>
      <c r="AF343" s="269">
        <f>IF(AF$7="Actual","",IFERROR((INDEX($M343:$Q343,,MATCH(AF$4,$M$4:$Q$4,0))),0))</f>
        <v/>
      </c>
      <c r="AG343" s="269">
        <f>IF(AG$7="Actual","",IFERROR((INDEX($M343:$Q343,,MATCH(AG$4,$M$4:$Q$4,0))),0))</f>
        <v/>
      </c>
      <c r="AH343" s="269">
        <f>IF(AH$7="Actual","",IFERROR((INDEX($M343:$Q343,,MATCH(AH$4,$M$4:$Q$4,0))),0))</f>
        <v/>
      </c>
      <c r="AI343" s="269">
        <f>IF(AI$7="Actual","",IFERROR((INDEX($M343:$Q343,,MATCH(AI$4,$M$4:$Q$4,0))),0))</f>
        <v/>
      </c>
      <c r="AJ343" s="269">
        <f>IF(AJ$7="Actual","",IFERROR((INDEX($M343:$Q343,,MATCH(AJ$4,$M$4:$Q$4,0))),0))</f>
        <v/>
      </c>
      <c r="AK343" s="269">
        <f>IF(AK$7="Actual","",IFERROR((INDEX($M343:$Q343,,MATCH(AK$4,$M$4:$Q$4,0))),0))</f>
        <v/>
      </c>
      <c r="AL343" s="269">
        <f>IF(AL$7="Actual","",IFERROR((INDEX($M343:$Q343,,MATCH(AL$4,$M$4:$Q$4,0))),0))</f>
        <v/>
      </c>
      <c r="AM343" s="269">
        <f>IF(AM$7="Actual","",IFERROR((INDEX($M343:$Q343,,MATCH(AM$4,$M$4:$Q$4,0))),0))</f>
        <v/>
      </c>
      <c r="AN343" s="269">
        <f>IF(AN$7="Actual","",IFERROR((INDEX($M343:$Q343,,MATCH(AN$4,$M$4:$Q$4,0))),0))</f>
        <v/>
      </c>
      <c r="AO343" s="269">
        <f>IF(AO$7="Actual","",IFERROR((INDEX($M343:$Q343,,MATCH(AO$4,$M$4:$Q$4,0))),0))</f>
        <v/>
      </c>
      <c r="AP343" s="269">
        <f>IF(AP$7="Actual","",IFERROR((INDEX($M343:$Q343,,MATCH(AP$4,$M$4:$Q$4,0))),0))</f>
        <v/>
      </c>
      <c r="AQ343" s="269">
        <f>IF(AQ$7="Actual","",IFERROR((INDEX($M343:$Q343,,MATCH(AQ$4,$M$4:$Q$4,0))),0))</f>
        <v/>
      </c>
      <c r="AR343" s="269">
        <f>IF(AR$7="Actual","",IFERROR((INDEX($M343:$Q343,,MATCH(AR$4,$M$4:$Q$4,0))),0))</f>
        <v/>
      </c>
      <c r="AS343" s="269">
        <f>IF(AS$7="Actual","",IFERROR((INDEX($M343:$Q343,,MATCH(AS$4,$M$4:$Q$4,0))),0))</f>
        <v/>
      </c>
      <c r="AT343" s="269">
        <f>IF(AT$7="Actual","",IFERROR((INDEX($M343:$Q343,,MATCH(AT$4,$M$4:$Q$4,0))),0))</f>
        <v/>
      </c>
      <c r="AU343" s="269">
        <f>IF(AU$7="Actual","",IFERROR((INDEX($M343:$Q343,,MATCH(AU$4,$M$4:$Q$4,0))),0))</f>
        <v/>
      </c>
      <c r="AV343" s="269">
        <f>IF(AV$7="Actual","",IFERROR((INDEX($M343:$Q343,,MATCH(AV$4,$M$4:$Q$4,0))),0))</f>
        <v/>
      </c>
      <c r="AW343" s="269">
        <f>IF(AW$7="Actual","",IFERROR((INDEX($M343:$Q343,,MATCH(AW$4,$M$4:$Q$4,0))),0))</f>
        <v/>
      </c>
      <c r="AX343" s="269">
        <f>IF(AX$7="Actual","",IFERROR((INDEX($M343:$Q343,,MATCH(AX$4,$M$4:$Q$4,0))),0))</f>
        <v/>
      </c>
      <c r="AY343" s="269">
        <f>IF(AY$7="Actual","",IFERROR((INDEX($M343:$Q343,,MATCH(AY$4,$M$4:$Q$4,0))),0))</f>
        <v/>
      </c>
      <c r="AZ343" s="269">
        <f>IF(AZ$7="Actual","",IFERROR((INDEX($M343:$Q343,,MATCH(AZ$4,$M$4:$Q$4,0))),0))</f>
        <v/>
      </c>
      <c r="BA343" s="269">
        <f>IF(BA$7="Actual","",IFERROR((INDEX($M343:$Q343,,MATCH(BA$4,$M$4:$Q$4,0))),0))</f>
        <v/>
      </c>
      <c r="BB343" s="269">
        <f>IF(BB$7="Actual","",IFERROR((INDEX($M343:$Q343,,MATCH(BB$4,$M$4:$Q$4,0))),0))</f>
        <v/>
      </c>
      <c r="BC343" s="269">
        <f>IF(BC$7="Actual","",IFERROR((INDEX($M343:$Q343,,MATCH(BC$4,$M$4:$Q$4,0))),0))</f>
        <v/>
      </c>
      <c r="BD343" s="269">
        <f>IF(BD$7="Actual","",IFERROR((INDEX($M343:$Q343,,MATCH(BD$4,$M$4:$Q$4,0))),0))</f>
        <v/>
      </c>
      <c r="BE343" s="269">
        <f>IF(BE$7="Actual","",IFERROR((INDEX($M343:$Q343,,MATCH(BE$4,$M$4:$Q$4,0))),0))</f>
        <v/>
      </c>
      <c r="BF343" s="269">
        <f>IF(BF$7="Actual","",IFERROR((INDEX($M343:$Q343,,MATCH(BF$4,$M$4:$Q$4,0))),0))</f>
        <v/>
      </c>
      <c r="BG343" s="269">
        <f>IF(BG$7="Actual","",IFERROR((INDEX($M343:$Q343,,MATCH(BG$4,$M$4:$Q$4,0))),0))</f>
        <v/>
      </c>
      <c r="BH343" s="269">
        <f>IF(BH$7="Actual","",IFERROR((INDEX($M343:$Q343,,MATCH(BH$4,$M$4:$Q$4,0))),0))</f>
        <v/>
      </c>
      <c r="BI343" s="269">
        <f>IF(BI$7="Actual","",IFERROR((INDEX($M343:$Q343,,MATCH(BI$4,$M$4:$Q$4,0))),0))</f>
        <v/>
      </c>
      <c r="BJ343" s="269">
        <f>IF(BJ$7="Actual","",IFERROR((INDEX($M343:$Q343,,MATCH(BJ$4,$M$4:$Q$4,0))),0))</f>
        <v/>
      </c>
      <c r="BK343" s="269">
        <f>IF(BK$7="Actual","",IFERROR((INDEX($M343:$Q343,,MATCH(BK$4,$M$4:$Q$4,0))),0))</f>
        <v/>
      </c>
      <c r="BL343" s="269">
        <f>IF(BL$7="Actual","",IFERROR((INDEX($M343:$Q343,,MATCH(BL$4,$M$4:$Q$4,0))),0))</f>
        <v/>
      </c>
      <c r="BM343" s="269">
        <f>IF(BM$7="Actual","",IFERROR((INDEX($M343:$Q343,,MATCH(BM$4,$M$4:$Q$4,0))),0))</f>
        <v/>
      </c>
      <c r="BN343" s="269">
        <f>IF(BN$7="Actual","",IFERROR((INDEX($M343:$Q343,,MATCH(BN$4,$M$4:$Q$4,0))),0))</f>
        <v/>
      </c>
      <c r="BO343" s="269">
        <f>IF(BO$7="Actual","",IFERROR((INDEX($M343:$Q343,,MATCH(BO$4,$M$4:$Q$4,0))),0))</f>
        <v/>
      </c>
      <c r="BP343" s="269">
        <f>IF(BP$7="Actual","",IFERROR((INDEX($M343:$Q343,,MATCH(BP$4,$M$4:$Q$4,0))),0))</f>
        <v/>
      </c>
      <c r="BQ343" s="269">
        <f>IF(BQ$7="Actual","",IFERROR((INDEX($M343:$Q343,,MATCH(BQ$4,$M$4:$Q$4,0))),0))</f>
        <v/>
      </c>
      <c r="BR343" s="269">
        <f>IF(BR$7="Actual","",IFERROR((INDEX($M343:$Q343,,MATCH(BR$4,$M$4:$Q$4,0))),0))</f>
        <v/>
      </c>
      <c r="BS343" s="269">
        <f>IF(BS$7="Actual","",IFERROR((INDEX($M343:$Q343,,MATCH(BS$4,$M$4:$Q$4,0))),0))</f>
        <v/>
      </c>
      <c r="BT343" s="269">
        <f>IF(BT$7="Actual","",IFERROR((INDEX($M343:$Q343,,MATCH(BT$4,$M$4:$Q$4,0))),0))</f>
        <v/>
      </c>
      <c r="BU343" s="269">
        <f>IF(BU$7="Actual","",IFERROR((INDEX($M343:$Q343,,MATCH(BU$4,$M$4:$Q$4,0))),0))</f>
        <v/>
      </c>
      <c r="BV343" s="269">
        <f>IF(BV$7="Actual","",IFERROR((INDEX($M343:$Q343,,MATCH(BV$4,$M$4:$Q$4,0))),0))</f>
        <v/>
      </c>
      <c r="BW343" s="269">
        <f>IF(BW$7="Actual","",IFERROR((INDEX($M343:$Q343,,MATCH(BW$4,$M$4:$Q$4,0))),0))</f>
        <v/>
      </c>
      <c r="BX343" s="269">
        <f>IF(BX$7="Actual","",IFERROR((INDEX($M343:$Q343,,MATCH(BX$4,$M$4:$Q$4,0))),0))</f>
        <v/>
      </c>
      <c r="BY343" s="269">
        <f>IF(BY$7="Actual","",IFERROR((INDEX($M343:$Q343,,MATCH(BY$4,$M$4:$Q$4,0))),0))</f>
        <v/>
      </c>
      <c r="BZ343" s="269">
        <f>IF(BZ$7="Actual","",IFERROR((INDEX($M343:$Q343,,MATCH(BZ$4,$M$4:$Q$4,0))),0))</f>
        <v/>
      </c>
      <c r="CA343" s="269">
        <f>IF(CA$7="Actual","",IFERROR((INDEX($M343:$Q343,,MATCH(CA$4,$M$4:$Q$4,0))),0))</f>
        <v/>
      </c>
    </row>
    <row r="344" ht="12" customHeight="1" s="227">
      <c r="A344" s="244" t="n"/>
      <c r="B344" s="244" t="n"/>
      <c r="C344" s="244" t="n"/>
      <c r="H344" s="4">
        <f>H334</f>
        <v/>
      </c>
      <c r="I344" s="27" t="inlineStr">
        <is>
          <t>no</t>
        </is>
      </c>
      <c r="K344" s="6" t="n"/>
      <c r="M344" s="267">
        <f>IF(M$7="Actual","",i_Assumptions!M372)</f>
        <v/>
      </c>
      <c r="N344" s="267">
        <f>IF(N$7="Actual","",i_Assumptions!N372)</f>
        <v/>
      </c>
      <c r="O344" s="267">
        <f>IF(O$7="Actual","",i_Assumptions!O372)</f>
        <v/>
      </c>
      <c r="P344" s="267">
        <f>IF(P$7="Actual","",i_Assumptions!P372)</f>
        <v/>
      </c>
      <c r="Q344" s="267">
        <f>IF(Q$7="Actual","",i_Assumptions!Q372)</f>
        <v/>
      </c>
      <c r="R344" s="268" t="n"/>
      <c r="S344" s="268" t="n"/>
      <c r="T344" s="269">
        <f>IF(T$7="Actual","",IFERROR((INDEX($M344:$Q344,,MATCH(T$4,$M$4:$Q$4,0))),0))</f>
        <v/>
      </c>
      <c r="U344" s="269">
        <f>IF(U$7="Actual","",IFERROR((INDEX($M344:$Q344,,MATCH(U$4,$M$4:$Q$4,0))),0))</f>
        <v/>
      </c>
      <c r="V344" s="269">
        <f>IF(V$7="Actual","",IFERROR((INDEX($M344:$Q344,,MATCH(V$4,$M$4:$Q$4,0))),0))</f>
        <v/>
      </c>
      <c r="W344" s="269">
        <f>IF(W$7="Actual","",IFERROR((INDEX($M344:$Q344,,MATCH(W$4,$M$4:$Q$4,0))),0))</f>
        <v/>
      </c>
      <c r="X344" s="269">
        <f>IF(X$7="Actual","",IFERROR((INDEX($M344:$Q344,,MATCH(X$4,$M$4:$Q$4,0))),0))</f>
        <v/>
      </c>
      <c r="Y344" s="269">
        <f>IF(Y$7="Actual","",IFERROR((INDEX($M344:$Q344,,MATCH(Y$4,$M$4:$Q$4,0))),0))</f>
        <v/>
      </c>
      <c r="Z344" s="269">
        <f>IF(Z$7="Actual","",IFERROR((INDEX($M344:$Q344,,MATCH(Z$4,$M$4:$Q$4,0))),0))</f>
        <v/>
      </c>
      <c r="AA344" s="269">
        <f>IF(AA$7="Actual","",IFERROR((INDEX($M344:$Q344,,MATCH(AA$4,$M$4:$Q$4,0))),0))</f>
        <v/>
      </c>
      <c r="AB344" s="269">
        <f>IF(AB$7="Actual","",IFERROR((INDEX($M344:$Q344,,MATCH(AB$4,$M$4:$Q$4,0))),0))</f>
        <v/>
      </c>
      <c r="AC344" s="269">
        <f>IF(AC$7="Actual","",IFERROR((INDEX($M344:$Q344,,MATCH(AC$4,$M$4:$Q$4,0))),0))</f>
        <v/>
      </c>
      <c r="AD344" s="269">
        <f>IF(AD$7="Actual","",IFERROR((INDEX($M344:$Q344,,MATCH(AD$4,$M$4:$Q$4,0))),0))</f>
        <v/>
      </c>
      <c r="AE344" s="269">
        <f>IF(AE$7="Actual","",IFERROR((INDEX($M344:$Q344,,MATCH(AE$4,$M$4:$Q$4,0))),0))</f>
        <v/>
      </c>
      <c r="AF344" s="269">
        <f>IF(AF$7="Actual","",IFERROR((INDEX($M344:$Q344,,MATCH(AF$4,$M$4:$Q$4,0))),0))</f>
        <v/>
      </c>
      <c r="AG344" s="269">
        <f>IF(AG$7="Actual","",IFERROR((INDEX($M344:$Q344,,MATCH(AG$4,$M$4:$Q$4,0))),0))</f>
        <v/>
      </c>
      <c r="AH344" s="269">
        <f>IF(AH$7="Actual","",IFERROR((INDEX($M344:$Q344,,MATCH(AH$4,$M$4:$Q$4,0))),0))</f>
        <v/>
      </c>
      <c r="AI344" s="269">
        <f>IF(AI$7="Actual","",IFERROR((INDEX($M344:$Q344,,MATCH(AI$4,$M$4:$Q$4,0))),0))</f>
        <v/>
      </c>
      <c r="AJ344" s="269">
        <f>IF(AJ$7="Actual","",IFERROR((INDEX($M344:$Q344,,MATCH(AJ$4,$M$4:$Q$4,0))),0))</f>
        <v/>
      </c>
      <c r="AK344" s="269">
        <f>IF(AK$7="Actual","",IFERROR((INDEX($M344:$Q344,,MATCH(AK$4,$M$4:$Q$4,0))),0))</f>
        <v/>
      </c>
      <c r="AL344" s="269">
        <f>IF(AL$7="Actual","",IFERROR((INDEX($M344:$Q344,,MATCH(AL$4,$M$4:$Q$4,0))),0))</f>
        <v/>
      </c>
      <c r="AM344" s="269">
        <f>IF(AM$7="Actual","",IFERROR((INDEX($M344:$Q344,,MATCH(AM$4,$M$4:$Q$4,0))),0))</f>
        <v/>
      </c>
      <c r="AN344" s="269">
        <f>IF(AN$7="Actual","",IFERROR((INDEX($M344:$Q344,,MATCH(AN$4,$M$4:$Q$4,0))),0))</f>
        <v/>
      </c>
      <c r="AO344" s="269">
        <f>IF(AO$7="Actual","",IFERROR((INDEX($M344:$Q344,,MATCH(AO$4,$M$4:$Q$4,0))),0))</f>
        <v/>
      </c>
      <c r="AP344" s="269">
        <f>IF(AP$7="Actual","",IFERROR((INDEX($M344:$Q344,,MATCH(AP$4,$M$4:$Q$4,0))),0))</f>
        <v/>
      </c>
      <c r="AQ344" s="269">
        <f>IF(AQ$7="Actual","",IFERROR((INDEX($M344:$Q344,,MATCH(AQ$4,$M$4:$Q$4,0))),0))</f>
        <v/>
      </c>
      <c r="AR344" s="269">
        <f>IF(AR$7="Actual","",IFERROR((INDEX($M344:$Q344,,MATCH(AR$4,$M$4:$Q$4,0))),0))</f>
        <v/>
      </c>
      <c r="AS344" s="269">
        <f>IF(AS$7="Actual","",IFERROR((INDEX($M344:$Q344,,MATCH(AS$4,$M$4:$Q$4,0))),0))</f>
        <v/>
      </c>
      <c r="AT344" s="269">
        <f>IF(AT$7="Actual","",IFERROR((INDEX($M344:$Q344,,MATCH(AT$4,$M$4:$Q$4,0))),0))</f>
        <v/>
      </c>
      <c r="AU344" s="269">
        <f>IF(AU$7="Actual","",IFERROR((INDEX($M344:$Q344,,MATCH(AU$4,$M$4:$Q$4,0))),0))</f>
        <v/>
      </c>
      <c r="AV344" s="269">
        <f>IF(AV$7="Actual","",IFERROR((INDEX($M344:$Q344,,MATCH(AV$4,$M$4:$Q$4,0))),0))</f>
        <v/>
      </c>
      <c r="AW344" s="269">
        <f>IF(AW$7="Actual","",IFERROR((INDEX($M344:$Q344,,MATCH(AW$4,$M$4:$Q$4,0))),0))</f>
        <v/>
      </c>
      <c r="AX344" s="269">
        <f>IF(AX$7="Actual","",IFERROR((INDEX($M344:$Q344,,MATCH(AX$4,$M$4:$Q$4,0))),0))</f>
        <v/>
      </c>
      <c r="AY344" s="269">
        <f>IF(AY$7="Actual","",IFERROR((INDEX($M344:$Q344,,MATCH(AY$4,$M$4:$Q$4,0))),0))</f>
        <v/>
      </c>
      <c r="AZ344" s="269">
        <f>IF(AZ$7="Actual","",IFERROR((INDEX($M344:$Q344,,MATCH(AZ$4,$M$4:$Q$4,0))),0))</f>
        <v/>
      </c>
      <c r="BA344" s="269">
        <f>IF(BA$7="Actual","",IFERROR((INDEX($M344:$Q344,,MATCH(BA$4,$M$4:$Q$4,0))),0))</f>
        <v/>
      </c>
      <c r="BB344" s="269">
        <f>IF(BB$7="Actual","",IFERROR((INDEX($M344:$Q344,,MATCH(BB$4,$M$4:$Q$4,0))),0))</f>
        <v/>
      </c>
      <c r="BC344" s="269">
        <f>IF(BC$7="Actual","",IFERROR((INDEX($M344:$Q344,,MATCH(BC$4,$M$4:$Q$4,0))),0))</f>
        <v/>
      </c>
      <c r="BD344" s="269">
        <f>IF(BD$7="Actual","",IFERROR((INDEX($M344:$Q344,,MATCH(BD$4,$M$4:$Q$4,0))),0))</f>
        <v/>
      </c>
      <c r="BE344" s="269">
        <f>IF(BE$7="Actual","",IFERROR((INDEX($M344:$Q344,,MATCH(BE$4,$M$4:$Q$4,0))),0))</f>
        <v/>
      </c>
      <c r="BF344" s="269">
        <f>IF(BF$7="Actual","",IFERROR((INDEX($M344:$Q344,,MATCH(BF$4,$M$4:$Q$4,0))),0))</f>
        <v/>
      </c>
      <c r="BG344" s="269">
        <f>IF(BG$7="Actual","",IFERROR((INDEX($M344:$Q344,,MATCH(BG$4,$M$4:$Q$4,0))),0))</f>
        <v/>
      </c>
      <c r="BH344" s="269">
        <f>IF(BH$7="Actual","",IFERROR((INDEX($M344:$Q344,,MATCH(BH$4,$M$4:$Q$4,0))),0))</f>
        <v/>
      </c>
      <c r="BI344" s="269">
        <f>IF(BI$7="Actual","",IFERROR((INDEX($M344:$Q344,,MATCH(BI$4,$M$4:$Q$4,0))),0))</f>
        <v/>
      </c>
      <c r="BJ344" s="269">
        <f>IF(BJ$7="Actual","",IFERROR((INDEX($M344:$Q344,,MATCH(BJ$4,$M$4:$Q$4,0))),0))</f>
        <v/>
      </c>
      <c r="BK344" s="269">
        <f>IF(BK$7="Actual","",IFERROR((INDEX($M344:$Q344,,MATCH(BK$4,$M$4:$Q$4,0))),0))</f>
        <v/>
      </c>
      <c r="BL344" s="269">
        <f>IF(BL$7="Actual","",IFERROR((INDEX($M344:$Q344,,MATCH(BL$4,$M$4:$Q$4,0))),0))</f>
        <v/>
      </c>
      <c r="BM344" s="269">
        <f>IF(BM$7="Actual","",IFERROR((INDEX($M344:$Q344,,MATCH(BM$4,$M$4:$Q$4,0))),0))</f>
        <v/>
      </c>
      <c r="BN344" s="269">
        <f>IF(BN$7="Actual","",IFERROR((INDEX($M344:$Q344,,MATCH(BN$4,$M$4:$Q$4,0))),0))</f>
        <v/>
      </c>
      <c r="BO344" s="269">
        <f>IF(BO$7="Actual","",IFERROR((INDEX($M344:$Q344,,MATCH(BO$4,$M$4:$Q$4,0))),0))</f>
        <v/>
      </c>
      <c r="BP344" s="269">
        <f>IF(BP$7="Actual","",IFERROR((INDEX($M344:$Q344,,MATCH(BP$4,$M$4:$Q$4,0))),0))</f>
        <v/>
      </c>
      <c r="BQ344" s="269">
        <f>IF(BQ$7="Actual","",IFERROR((INDEX($M344:$Q344,,MATCH(BQ$4,$M$4:$Q$4,0))),0))</f>
        <v/>
      </c>
      <c r="BR344" s="269">
        <f>IF(BR$7="Actual","",IFERROR((INDEX($M344:$Q344,,MATCH(BR$4,$M$4:$Q$4,0))),0))</f>
        <v/>
      </c>
      <c r="BS344" s="269">
        <f>IF(BS$7="Actual","",IFERROR((INDEX($M344:$Q344,,MATCH(BS$4,$M$4:$Q$4,0))),0))</f>
        <v/>
      </c>
      <c r="BT344" s="269">
        <f>IF(BT$7="Actual","",IFERROR((INDEX($M344:$Q344,,MATCH(BT$4,$M$4:$Q$4,0))),0))</f>
        <v/>
      </c>
      <c r="BU344" s="269">
        <f>IF(BU$7="Actual","",IFERROR((INDEX($M344:$Q344,,MATCH(BU$4,$M$4:$Q$4,0))),0))</f>
        <v/>
      </c>
      <c r="BV344" s="269">
        <f>IF(BV$7="Actual","",IFERROR((INDEX($M344:$Q344,,MATCH(BV$4,$M$4:$Q$4,0))),0))</f>
        <v/>
      </c>
      <c r="BW344" s="269">
        <f>IF(BW$7="Actual","",IFERROR((INDEX($M344:$Q344,,MATCH(BW$4,$M$4:$Q$4,0))),0))</f>
        <v/>
      </c>
      <c r="BX344" s="269">
        <f>IF(BX$7="Actual","",IFERROR((INDEX($M344:$Q344,,MATCH(BX$4,$M$4:$Q$4,0))),0))</f>
        <v/>
      </c>
      <c r="BY344" s="269">
        <f>IF(BY$7="Actual","",IFERROR((INDEX($M344:$Q344,,MATCH(BY$4,$M$4:$Q$4,0))),0))</f>
        <v/>
      </c>
      <c r="BZ344" s="269">
        <f>IF(BZ$7="Actual","",IFERROR((INDEX($M344:$Q344,,MATCH(BZ$4,$M$4:$Q$4,0))),0))</f>
        <v/>
      </c>
      <c r="CA344" s="269">
        <f>IF(CA$7="Actual","",IFERROR((INDEX($M344:$Q344,,MATCH(CA$4,$M$4:$Q$4,0))),0))</f>
        <v/>
      </c>
    </row>
    <row r="345" ht="12" customHeight="1" s="227">
      <c r="A345" s="244" t="n"/>
      <c r="B345" s="244" t="n"/>
      <c r="C345" s="244" t="n"/>
      <c r="H345" s="4">
        <f>H335</f>
        <v/>
      </c>
      <c r="I345" s="27" t="inlineStr">
        <is>
          <t>no</t>
        </is>
      </c>
      <c r="K345" s="6" t="n"/>
      <c r="M345" s="267">
        <f>IF(M$7="Actual","",i_Assumptions!M373)</f>
        <v/>
      </c>
      <c r="N345" s="267">
        <f>IF(N$7="Actual","",i_Assumptions!N373)</f>
        <v/>
      </c>
      <c r="O345" s="267">
        <f>IF(O$7="Actual","",i_Assumptions!O373)</f>
        <v/>
      </c>
      <c r="P345" s="267">
        <f>IF(P$7="Actual","",i_Assumptions!P373)</f>
        <v/>
      </c>
      <c r="Q345" s="267">
        <f>IF(Q$7="Actual","",i_Assumptions!Q373)</f>
        <v/>
      </c>
      <c r="R345" s="268" t="n"/>
      <c r="S345" s="268" t="n"/>
      <c r="T345" s="269">
        <f>IF(T$7="Actual","",IFERROR((INDEX($M345:$Q345,,MATCH(T$4,$M$4:$Q$4,0))),0))</f>
        <v/>
      </c>
      <c r="U345" s="269">
        <f>IF(U$7="Actual","",IFERROR((INDEX($M345:$Q345,,MATCH(U$4,$M$4:$Q$4,0))),0))</f>
        <v/>
      </c>
      <c r="V345" s="269">
        <f>IF(V$7="Actual","",IFERROR((INDEX($M345:$Q345,,MATCH(V$4,$M$4:$Q$4,0))),0))</f>
        <v/>
      </c>
      <c r="W345" s="269">
        <f>IF(W$7="Actual","",IFERROR((INDEX($M345:$Q345,,MATCH(W$4,$M$4:$Q$4,0))),0))</f>
        <v/>
      </c>
      <c r="X345" s="269">
        <f>IF(X$7="Actual","",IFERROR((INDEX($M345:$Q345,,MATCH(X$4,$M$4:$Q$4,0))),0))</f>
        <v/>
      </c>
      <c r="Y345" s="269">
        <f>IF(Y$7="Actual","",IFERROR((INDEX($M345:$Q345,,MATCH(Y$4,$M$4:$Q$4,0))),0))</f>
        <v/>
      </c>
      <c r="Z345" s="269">
        <f>IF(Z$7="Actual","",IFERROR((INDEX($M345:$Q345,,MATCH(Z$4,$M$4:$Q$4,0))),0))</f>
        <v/>
      </c>
      <c r="AA345" s="269">
        <f>IF(AA$7="Actual","",IFERROR((INDEX($M345:$Q345,,MATCH(AA$4,$M$4:$Q$4,0))),0))</f>
        <v/>
      </c>
      <c r="AB345" s="269">
        <f>IF(AB$7="Actual","",IFERROR((INDEX($M345:$Q345,,MATCH(AB$4,$M$4:$Q$4,0))),0))</f>
        <v/>
      </c>
      <c r="AC345" s="269">
        <f>IF(AC$7="Actual","",IFERROR((INDEX($M345:$Q345,,MATCH(AC$4,$M$4:$Q$4,0))),0))</f>
        <v/>
      </c>
      <c r="AD345" s="269">
        <f>IF(AD$7="Actual","",IFERROR((INDEX($M345:$Q345,,MATCH(AD$4,$M$4:$Q$4,0))),0))</f>
        <v/>
      </c>
      <c r="AE345" s="269">
        <f>IF(AE$7="Actual","",IFERROR((INDEX($M345:$Q345,,MATCH(AE$4,$M$4:$Q$4,0))),0))</f>
        <v/>
      </c>
      <c r="AF345" s="269">
        <f>IF(AF$7="Actual","",IFERROR((INDEX($M345:$Q345,,MATCH(AF$4,$M$4:$Q$4,0))),0))</f>
        <v/>
      </c>
      <c r="AG345" s="269">
        <f>IF(AG$7="Actual","",IFERROR((INDEX($M345:$Q345,,MATCH(AG$4,$M$4:$Q$4,0))),0))</f>
        <v/>
      </c>
      <c r="AH345" s="269">
        <f>IF(AH$7="Actual","",IFERROR((INDEX($M345:$Q345,,MATCH(AH$4,$M$4:$Q$4,0))),0))</f>
        <v/>
      </c>
      <c r="AI345" s="269">
        <f>IF(AI$7="Actual","",IFERROR((INDEX($M345:$Q345,,MATCH(AI$4,$M$4:$Q$4,0))),0))</f>
        <v/>
      </c>
      <c r="AJ345" s="269">
        <f>IF(AJ$7="Actual","",IFERROR((INDEX($M345:$Q345,,MATCH(AJ$4,$M$4:$Q$4,0))),0))</f>
        <v/>
      </c>
      <c r="AK345" s="269">
        <f>IF(AK$7="Actual","",IFERROR((INDEX($M345:$Q345,,MATCH(AK$4,$M$4:$Q$4,0))),0))</f>
        <v/>
      </c>
      <c r="AL345" s="269">
        <f>IF(AL$7="Actual","",IFERROR((INDEX($M345:$Q345,,MATCH(AL$4,$M$4:$Q$4,0))),0))</f>
        <v/>
      </c>
      <c r="AM345" s="269">
        <f>IF(AM$7="Actual","",IFERROR((INDEX($M345:$Q345,,MATCH(AM$4,$M$4:$Q$4,0))),0))</f>
        <v/>
      </c>
      <c r="AN345" s="269">
        <f>IF(AN$7="Actual","",IFERROR((INDEX($M345:$Q345,,MATCH(AN$4,$M$4:$Q$4,0))),0))</f>
        <v/>
      </c>
      <c r="AO345" s="269">
        <f>IF(AO$7="Actual","",IFERROR((INDEX($M345:$Q345,,MATCH(AO$4,$M$4:$Q$4,0))),0))</f>
        <v/>
      </c>
      <c r="AP345" s="269">
        <f>IF(AP$7="Actual","",IFERROR((INDEX($M345:$Q345,,MATCH(AP$4,$M$4:$Q$4,0))),0))</f>
        <v/>
      </c>
      <c r="AQ345" s="269">
        <f>IF(AQ$7="Actual","",IFERROR((INDEX($M345:$Q345,,MATCH(AQ$4,$M$4:$Q$4,0))),0))</f>
        <v/>
      </c>
      <c r="AR345" s="269">
        <f>IF(AR$7="Actual","",IFERROR((INDEX($M345:$Q345,,MATCH(AR$4,$M$4:$Q$4,0))),0))</f>
        <v/>
      </c>
      <c r="AS345" s="269">
        <f>IF(AS$7="Actual","",IFERROR((INDEX($M345:$Q345,,MATCH(AS$4,$M$4:$Q$4,0))),0))</f>
        <v/>
      </c>
      <c r="AT345" s="269">
        <f>IF(AT$7="Actual","",IFERROR((INDEX($M345:$Q345,,MATCH(AT$4,$M$4:$Q$4,0))),0))</f>
        <v/>
      </c>
      <c r="AU345" s="269">
        <f>IF(AU$7="Actual","",IFERROR((INDEX($M345:$Q345,,MATCH(AU$4,$M$4:$Q$4,0))),0))</f>
        <v/>
      </c>
      <c r="AV345" s="269">
        <f>IF(AV$7="Actual","",IFERROR((INDEX($M345:$Q345,,MATCH(AV$4,$M$4:$Q$4,0))),0))</f>
        <v/>
      </c>
      <c r="AW345" s="269">
        <f>IF(AW$7="Actual","",IFERROR((INDEX($M345:$Q345,,MATCH(AW$4,$M$4:$Q$4,0))),0))</f>
        <v/>
      </c>
      <c r="AX345" s="269">
        <f>IF(AX$7="Actual","",IFERROR((INDEX($M345:$Q345,,MATCH(AX$4,$M$4:$Q$4,0))),0))</f>
        <v/>
      </c>
      <c r="AY345" s="269">
        <f>IF(AY$7="Actual","",IFERROR((INDEX($M345:$Q345,,MATCH(AY$4,$M$4:$Q$4,0))),0))</f>
        <v/>
      </c>
      <c r="AZ345" s="269">
        <f>IF(AZ$7="Actual","",IFERROR((INDEX($M345:$Q345,,MATCH(AZ$4,$M$4:$Q$4,0))),0))</f>
        <v/>
      </c>
      <c r="BA345" s="269">
        <f>IF(BA$7="Actual","",IFERROR((INDEX($M345:$Q345,,MATCH(BA$4,$M$4:$Q$4,0))),0))</f>
        <v/>
      </c>
      <c r="BB345" s="269">
        <f>IF(BB$7="Actual","",IFERROR((INDEX($M345:$Q345,,MATCH(BB$4,$M$4:$Q$4,0))),0))</f>
        <v/>
      </c>
      <c r="BC345" s="269">
        <f>IF(BC$7="Actual","",IFERROR((INDEX($M345:$Q345,,MATCH(BC$4,$M$4:$Q$4,0))),0))</f>
        <v/>
      </c>
      <c r="BD345" s="269">
        <f>IF(BD$7="Actual","",IFERROR((INDEX($M345:$Q345,,MATCH(BD$4,$M$4:$Q$4,0))),0))</f>
        <v/>
      </c>
      <c r="BE345" s="269">
        <f>IF(BE$7="Actual","",IFERROR((INDEX($M345:$Q345,,MATCH(BE$4,$M$4:$Q$4,0))),0))</f>
        <v/>
      </c>
      <c r="BF345" s="269">
        <f>IF(BF$7="Actual","",IFERROR((INDEX($M345:$Q345,,MATCH(BF$4,$M$4:$Q$4,0))),0))</f>
        <v/>
      </c>
      <c r="BG345" s="269">
        <f>IF(BG$7="Actual","",IFERROR((INDEX($M345:$Q345,,MATCH(BG$4,$M$4:$Q$4,0))),0))</f>
        <v/>
      </c>
      <c r="BH345" s="269">
        <f>IF(BH$7="Actual","",IFERROR((INDEX($M345:$Q345,,MATCH(BH$4,$M$4:$Q$4,0))),0))</f>
        <v/>
      </c>
      <c r="BI345" s="269">
        <f>IF(BI$7="Actual","",IFERROR((INDEX($M345:$Q345,,MATCH(BI$4,$M$4:$Q$4,0))),0))</f>
        <v/>
      </c>
      <c r="BJ345" s="269">
        <f>IF(BJ$7="Actual","",IFERROR((INDEX($M345:$Q345,,MATCH(BJ$4,$M$4:$Q$4,0))),0))</f>
        <v/>
      </c>
      <c r="BK345" s="269">
        <f>IF(BK$7="Actual","",IFERROR((INDEX($M345:$Q345,,MATCH(BK$4,$M$4:$Q$4,0))),0))</f>
        <v/>
      </c>
      <c r="BL345" s="269">
        <f>IF(BL$7="Actual","",IFERROR((INDEX($M345:$Q345,,MATCH(BL$4,$M$4:$Q$4,0))),0))</f>
        <v/>
      </c>
      <c r="BM345" s="269">
        <f>IF(BM$7="Actual","",IFERROR((INDEX($M345:$Q345,,MATCH(BM$4,$M$4:$Q$4,0))),0))</f>
        <v/>
      </c>
      <c r="BN345" s="269">
        <f>IF(BN$7="Actual","",IFERROR((INDEX($M345:$Q345,,MATCH(BN$4,$M$4:$Q$4,0))),0))</f>
        <v/>
      </c>
      <c r="BO345" s="269">
        <f>IF(BO$7="Actual","",IFERROR((INDEX($M345:$Q345,,MATCH(BO$4,$M$4:$Q$4,0))),0))</f>
        <v/>
      </c>
      <c r="BP345" s="269">
        <f>IF(BP$7="Actual","",IFERROR((INDEX($M345:$Q345,,MATCH(BP$4,$M$4:$Q$4,0))),0))</f>
        <v/>
      </c>
      <c r="BQ345" s="269">
        <f>IF(BQ$7="Actual","",IFERROR((INDEX($M345:$Q345,,MATCH(BQ$4,$M$4:$Q$4,0))),0))</f>
        <v/>
      </c>
      <c r="BR345" s="269">
        <f>IF(BR$7="Actual","",IFERROR((INDEX($M345:$Q345,,MATCH(BR$4,$M$4:$Q$4,0))),0))</f>
        <v/>
      </c>
      <c r="BS345" s="269">
        <f>IF(BS$7="Actual","",IFERROR((INDEX($M345:$Q345,,MATCH(BS$4,$M$4:$Q$4,0))),0))</f>
        <v/>
      </c>
      <c r="BT345" s="269">
        <f>IF(BT$7="Actual","",IFERROR((INDEX($M345:$Q345,,MATCH(BT$4,$M$4:$Q$4,0))),0))</f>
        <v/>
      </c>
      <c r="BU345" s="269">
        <f>IF(BU$7="Actual","",IFERROR((INDEX($M345:$Q345,,MATCH(BU$4,$M$4:$Q$4,0))),0))</f>
        <v/>
      </c>
      <c r="BV345" s="269">
        <f>IF(BV$7="Actual","",IFERROR((INDEX($M345:$Q345,,MATCH(BV$4,$M$4:$Q$4,0))),0))</f>
        <v/>
      </c>
      <c r="BW345" s="269">
        <f>IF(BW$7="Actual","",IFERROR((INDEX($M345:$Q345,,MATCH(BW$4,$M$4:$Q$4,0))),0))</f>
        <v/>
      </c>
      <c r="BX345" s="269">
        <f>IF(BX$7="Actual","",IFERROR((INDEX($M345:$Q345,,MATCH(BX$4,$M$4:$Q$4,0))),0))</f>
        <v/>
      </c>
      <c r="BY345" s="269">
        <f>IF(BY$7="Actual","",IFERROR((INDEX($M345:$Q345,,MATCH(BY$4,$M$4:$Q$4,0))),0))</f>
        <v/>
      </c>
      <c r="BZ345" s="269">
        <f>IF(BZ$7="Actual","",IFERROR((INDEX($M345:$Q345,,MATCH(BZ$4,$M$4:$Q$4,0))),0))</f>
        <v/>
      </c>
      <c r="CA345" s="269">
        <f>IF(CA$7="Actual","",IFERROR((INDEX($M345:$Q345,,MATCH(CA$4,$M$4:$Q$4,0))),0))</f>
        <v/>
      </c>
    </row>
    <row r="346" ht="12" customHeight="1" s="227">
      <c r="A346" s="244" t="n"/>
      <c r="B346" s="244" t="n"/>
      <c r="C346" s="244" t="n"/>
      <c r="H346" s="4">
        <f>H336</f>
        <v/>
      </c>
      <c r="I346" s="27" t="inlineStr">
        <is>
          <t>no</t>
        </is>
      </c>
      <c r="K346" s="6" t="n"/>
      <c r="M346" s="267">
        <f>IF(M$7="Actual","",i_Assumptions!M374)</f>
        <v/>
      </c>
      <c r="N346" s="267">
        <f>IF(N$7="Actual","",i_Assumptions!N374)</f>
        <v/>
      </c>
      <c r="O346" s="267">
        <f>IF(O$7="Actual","",i_Assumptions!O374)</f>
        <v/>
      </c>
      <c r="P346" s="267">
        <f>IF(P$7="Actual","",i_Assumptions!P374)</f>
        <v/>
      </c>
      <c r="Q346" s="267">
        <f>IF(Q$7="Actual","",i_Assumptions!Q374)</f>
        <v/>
      </c>
      <c r="R346" s="268" t="n"/>
      <c r="S346" s="268" t="n"/>
      <c r="T346" s="269">
        <f>IF(T$7="Actual","",IFERROR((INDEX($M346:$Q346,,MATCH(T$4,$M$4:$Q$4,0))),0))</f>
        <v/>
      </c>
      <c r="U346" s="269">
        <f>IF(U$7="Actual","",IFERROR((INDEX($M346:$Q346,,MATCH(U$4,$M$4:$Q$4,0))),0))</f>
        <v/>
      </c>
      <c r="V346" s="269">
        <f>IF(V$7="Actual","",IFERROR((INDEX($M346:$Q346,,MATCH(V$4,$M$4:$Q$4,0))),0))</f>
        <v/>
      </c>
      <c r="W346" s="269">
        <f>IF(W$7="Actual","",IFERROR((INDEX($M346:$Q346,,MATCH(W$4,$M$4:$Q$4,0))),0))</f>
        <v/>
      </c>
      <c r="X346" s="269">
        <f>IF(X$7="Actual","",IFERROR((INDEX($M346:$Q346,,MATCH(X$4,$M$4:$Q$4,0))),0))</f>
        <v/>
      </c>
      <c r="Y346" s="269">
        <f>IF(Y$7="Actual","",IFERROR((INDEX($M346:$Q346,,MATCH(Y$4,$M$4:$Q$4,0))),0))</f>
        <v/>
      </c>
      <c r="Z346" s="269">
        <f>IF(Z$7="Actual","",IFERROR((INDEX($M346:$Q346,,MATCH(Z$4,$M$4:$Q$4,0))),0))</f>
        <v/>
      </c>
      <c r="AA346" s="269">
        <f>IF(AA$7="Actual","",IFERROR((INDEX($M346:$Q346,,MATCH(AA$4,$M$4:$Q$4,0))),0))</f>
        <v/>
      </c>
      <c r="AB346" s="269">
        <f>IF(AB$7="Actual","",IFERROR((INDEX($M346:$Q346,,MATCH(AB$4,$M$4:$Q$4,0))),0))</f>
        <v/>
      </c>
      <c r="AC346" s="269">
        <f>IF(AC$7="Actual","",IFERROR((INDEX($M346:$Q346,,MATCH(AC$4,$M$4:$Q$4,0))),0))</f>
        <v/>
      </c>
      <c r="AD346" s="269">
        <f>IF(AD$7="Actual","",IFERROR((INDEX($M346:$Q346,,MATCH(AD$4,$M$4:$Q$4,0))),0))</f>
        <v/>
      </c>
      <c r="AE346" s="269">
        <f>IF(AE$7="Actual","",IFERROR((INDEX($M346:$Q346,,MATCH(AE$4,$M$4:$Q$4,0))),0))</f>
        <v/>
      </c>
      <c r="AF346" s="269">
        <f>IF(AF$7="Actual","",IFERROR((INDEX($M346:$Q346,,MATCH(AF$4,$M$4:$Q$4,0))),0))</f>
        <v/>
      </c>
      <c r="AG346" s="269">
        <f>IF(AG$7="Actual","",IFERROR((INDEX($M346:$Q346,,MATCH(AG$4,$M$4:$Q$4,0))),0))</f>
        <v/>
      </c>
      <c r="AH346" s="269">
        <f>IF(AH$7="Actual","",IFERROR((INDEX($M346:$Q346,,MATCH(AH$4,$M$4:$Q$4,0))),0))</f>
        <v/>
      </c>
      <c r="AI346" s="269">
        <f>IF(AI$7="Actual","",IFERROR((INDEX($M346:$Q346,,MATCH(AI$4,$M$4:$Q$4,0))),0))</f>
        <v/>
      </c>
      <c r="AJ346" s="269">
        <f>IF(AJ$7="Actual","",IFERROR((INDEX($M346:$Q346,,MATCH(AJ$4,$M$4:$Q$4,0))),0))</f>
        <v/>
      </c>
      <c r="AK346" s="269">
        <f>IF(AK$7="Actual","",IFERROR((INDEX($M346:$Q346,,MATCH(AK$4,$M$4:$Q$4,0))),0))</f>
        <v/>
      </c>
      <c r="AL346" s="269">
        <f>IF(AL$7="Actual","",IFERROR((INDEX($M346:$Q346,,MATCH(AL$4,$M$4:$Q$4,0))),0))</f>
        <v/>
      </c>
      <c r="AM346" s="269">
        <f>IF(AM$7="Actual","",IFERROR((INDEX($M346:$Q346,,MATCH(AM$4,$M$4:$Q$4,0))),0))</f>
        <v/>
      </c>
      <c r="AN346" s="269">
        <f>IF(AN$7="Actual","",IFERROR((INDEX($M346:$Q346,,MATCH(AN$4,$M$4:$Q$4,0))),0))</f>
        <v/>
      </c>
      <c r="AO346" s="269">
        <f>IF(AO$7="Actual","",IFERROR((INDEX($M346:$Q346,,MATCH(AO$4,$M$4:$Q$4,0))),0))</f>
        <v/>
      </c>
      <c r="AP346" s="269">
        <f>IF(AP$7="Actual","",IFERROR((INDEX($M346:$Q346,,MATCH(AP$4,$M$4:$Q$4,0))),0))</f>
        <v/>
      </c>
      <c r="AQ346" s="269">
        <f>IF(AQ$7="Actual","",IFERROR((INDEX($M346:$Q346,,MATCH(AQ$4,$M$4:$Q$4,0))),0))</f>
        <v/>
      </c>
      <c r="AR346" s="269">
        <f>IF(AR$7="Actual","",IFERROR((INDEX($M346:$Q346,,MATCH(AR$4,$M$4:$Q$4,0))),0))</f>
        <v/>
      </c>
      <c r="AS346" s="269">
        <f>IF(AS$7="Actual","",IFERROR((INDEX($M346:$Q346,,MATCH(AS$4,$M$4:$Q$4,0))),0))</f>
        <v/>
      </c>
      <c r="AT346" s="269">
        <f>IF(AT$7="Actual","",IFERROR((INDEX($M346:$Q346,,MATCH(AT$4,$M$4:$Q$4,0))),0))</f>
        <v/>
      </c>
      <c r="AU346" s="269">
        <f>IF(AU$7="Actual","",IFERROR((INDEX($M346:$Q346,,MATCH(AU$4,$M$4:$Q$4,0))),0))</f>
        <v/>
      </c>
      <c r="AV346" s="269">
        <f>IF(AV$7="Actual","",IFERROR((INDEX($M346:$Q346,,MATCH(AV$4,$M$4:$Q$4,0))),0))</f>
        <v/>
      </c>
      <c r="AW346" s="269">
        <f>IF(AW$7="Actual","",IFERROR((INDEX($M346:$Q346,,MATCH(AW$4,$M$4:$Q$4,0))),0))</f>
        <v/>
      </c>
      <c r="AX346" s="269">
        <f>IF(AX$7="Actual","",IFERROR((INDEX($M346:$Q346,,MATCH(AX$4,$M$4:$Q$4,0))),0))</f>
        <v/>
      </c>
      <c r="AY346" s="269">
        <f>IF(AY$7="Actual","",IFERROR((INDEX($M346:$Q346,,MATCH(AY$4,$M$4:$Q$4,0))),0))</f>
        <v/>
      </c>
      <c r="AZ346" s="269">
        <f>IF(AZ$7="Actual","",IFERROR((INDEX($M346:$Q346,,MATCH(AZ$4,$M$4:$Q$4,0))),0))</f>
        <v/>
      </c>
      <c r="BA346" s="269">
        <f>IF(BA$7="Actual","",IFERROR((INDEX($M346:$Q346,,MATCH(BA$4,$M$4:$Q$4,0))),0))</f>
        <v/>
      </c>
      <c r="BB346" s="269">
        <f>IF(BB$7="Actual","",IFERROR((INDEX($M346:$Q346,,MATCH(BB$4,$M$4:$Q$4,0))),0))</f>
        <v/>
      </c>
      <c r="BC346" s="269">
        <f>IF(BC$7="Actual","",IFERROR((INDEX($M346:$Q346,,MATCH(BC$4,$M$4:$Q$4,0))),0))</f>
        <v/>
      </c>
      <c r="BD346" s="269">
        <f>IF(BD$7="Actual","",IFERROR((INDEX($M346:$Q346,,MATCH(BD$4,$M$4:$Q$4,0))),0))</f>
        <v/>
      </c>
      <c r="BE346" s="269">
        <f>IF(BE$7="Actual","",IFERROR((INDEX($M346:$Q346,,MATCH(BE$4,$M$4:$Q$4,0))),0))</f>
        <v/>
      </c>
      <c r="BF346" s="269">
        <f>IF(BF$7="Actual","",IFERROR((INDEX($M346:$Q346,,MATCH(BF$4,$M$4:$Q$4,0))),0))</f>
        <v/>
      </c>
      <c r="BG346" s="269">
        <f>IF(BG$7="Actual","",IFERROR((INDEX($M346:$Q346,,MATCH(BG$4,$M$4:$Q$4,0))),0))</f>
        <v/>
      </c>
      <c r="BH346" s="269">
        <f>IF(BH$7="Actual","",IFERROR((INDEX($M346:$Q346,,MATCH(BH$4,$M$4:$Q$4,0))),0))</f>
        <v/>
      </c>
      <c r="BI346" s="269">
        <f>IF(BI$7="Actual","",IFERROR((INDEX($M346:$Q346,,MATCH(BI$4,$M$4:$Q$4,0))),0))</f>
        <v/>
      </c>
      <c r="BJ346" s="269">
        <f>IF(BJ$7="Actual","",IFERROR((INDEX($M346:$Q346,,MATCH(BJ$4,$M$4:$Q$4,0))),0))</f>
        <v/>
      </c>
      <c r="BK346" s="269">
        <f>IF(BK$7="Actual","",IFERROR((INDEX($M346:$Q346,,MATCH(BK$4,$M$4:$Q$4,0))),0))</f>
        <v/>
      </c>
      <c r="BL346" s="269">
        <f>IF(BL$7="Actual","",IFERROR((INDEX($M346:$Q346,,MATCH(BL$4,$M$4:$Q$4,0))),0))</f>
        <v/>
      </c>
      <c r="BM346" s="269">
        <f>IF(BM$7="Actual","",IFERROR((INDEX($M346:$Q346,,MATCH(BM$4,$M$4:$Q$4,0))),0))</f>
        <v/>
      </c>
      <c r="BN346" s="269">
        <f>IF(BN$7="Actual","",IFERROR((INDEX($M346:$Q346,,MATCH(BN$4,$M$4:$Q$4,0))),0))</f>
        <v/>
      </c>
      <c r="BO346" s="269">
        <f>IF(BO$7="Actual","",IFERROR((INDEX($M346:$Q346,,MATCH(BO$4,$M$4:$Q$4,0))),0))</f>
        <v/>
      </c>
      <c r="BP346" s="269">
        <f>IF(BP$7="Actual","",IFERROR((INDEX($M346:$Q346,,MATCH(BP$4,$M$4:$Q$4,0))),0))</f>
        <v/>
      </c>
      <c r="BQ346" s="269">
        <f>IF(BQ$7="Actual","",IFERROR((INDEX($M346:$Q346,,MATCH(BQ$4,$M$4:$Q$4,0))),0))</f>
        <v/>
      </c>
      <c r="BR346" s="269">
        <f>IF(BR$7="Actual","",IFERROR((INDEX($M346:$Q346,,MATCH(BR$4,$M$4:$Q$4,0))),0))</f>
        <v/>
      </c>
      <c r="BS346" s="269">
        <f>IF(BS$7="Actual","",IFERROR((INDEX($M346:$Q346,,MATCH(BS$4,$M$4:$Q$4,0))),0))</f>
        <v/>
      </c>
      <c r="BT346" s="269">
        <f>IF(BT$7="Actual","",IFERROR((INDEX($M346:$Q346,,MATCH(BT$4,$M$4:$Q$4,0))),0))</f>
        <v/>
      </c>
      <c r="BU346" s="269">
        <f>IF(BU$7="Actual","",IFERROR((INDEX($M346:$Q346,,MATCH(BU$4,$M$4:$Q$4,0))),0))</f>
        <v/>
      </c>
      <c r="BV346" s="269">
        <f>IF(BV$7="Actual","",IFERROR((INDEX($M346:$Q346,,MATCH(BV$4,$M$4:$Q$4,0))),0))</f>
        <v/>
      </c>
      <c r="BW346" s="269">
        <f>IF(BW$7="Actual","",IFERROR((INDEX($M346:$Q346,,MATCH(BW$4,$M$4:$Q$4,0))),0))</f>
        <v/>
      </c>
      <c r="BX346" s="269">
        <f>IF(BX$7="Actual","",IFERROR((INDEX($M346:$Q346,,MATCH(BX$4,$M$4:$Q$4,0))),0))</f>
        <v/>
      </c>
      <c r="BY346" s="269">
        <f>IF(BY$7="Actual","",IFERROR((INDEX($M346:$Q346,,MATCH(BY$4,$M$4:$Q$4,0))),0))</f>
        <v/>
      </c>
      <c r="BZ346" s="269">
        <f>IF(BZ$7="Actual","",IFERROR((INDEX($M346:$Q346,,MATCH(BZ$4,$M$4:$Q$4,0))),0))</f>
        <v/>
      </c>
      <c r="CA346" s="269">
        <f>IF(CA$7="Actual","",IFERROR((INDEX($M346:$Q346,,MATCH(CA$4,$M$4:$Q$4,0))),0))</f>
        <v/>
      </c>
    </row>
    <row r="347" ht="12" customHeight="1" s="227">
      <c r="A347" s="244" t="n"/>
      <c r="B347" s="244" t="n"/>
      <c r="C347" s="244" t="n"/>
      <c r="K347" s="6" t="n"/>
    </row>
    <row r="348" ht="12" customHeight="1" s="227">
      <c r="A348" s="244" t="n"/>
      <c r="B348" s="244" t="n"/>
      <c r="C348" s="244" t="n"/>
      <c r="H348" s="8">
        <f>i_Setup!U40</f>
        <v/>
      </c>
      <c r="K348" s="6" t="n"/>
    </row>
    <row r="349" ht="12" customHeight="1" s="227">
      <c r="A349" s="244" t="n"/>
      <c r="B349" s="244" t="n"/>
      <c r="C349" s="244" t="n"/>
      <c r="H349" s="4">
        <f>H339</f>
        <v/>
      </c>
      <c r="I349" s="27" t="inlineStr">
        <is>
          <t>no</t>
        </is>
      </c>
      <c r="K349" s="6" t="n"/>
      <c r="M349" s="267">
        <f>IF(M$7="Actual","",i_Assumptions!M407)</f>
        <v/>
      </c>
      <c r="N349" s="267">
        <f>IF(N$7="Actual","",i_Assumptions!N407)</f>
        <v/>
      </c>
      <c r="O349" s="267">
        <f>IF(O$7="Actual","",i_Assumptions!O407)</f>
        <v/>
      </c>
      <c r="P349" s="267">
        <f>IF(P$7="Actual","",i_Assumptions!P407)</f>
        <v/>
      </c>
      <c r="Q349" s="267">
        <f>IF(Q$7="Actual","",i_Assumptions!Q407)</f>
        <v/>
      </c>
      <c r="R349" s="268" t="n"/>
      <c r="S349" s="268" t="n"/>
      <c r="T349" s="269">
        <f>IF(T$7="Actual","",IFERROR((INDEX($M349:$Q349,,MATCH(T$4,$M$4:$Q$4,0))),0))</f>
        <v/>
      </c>
      <c r="U349" s="269">
        <f>IF(U$7="Actual","",IFERROR((INDEX($M349:$Q349,,MATCH(U$4,$M$4:$Q$4,0))),0))</f>
        <v/>
      </c>
      <c r="V349" s="269">
        <f>IF(V$7="Actual","",IFERROR((INDEX($M349:$Q349,,MATCH(V$4,$M$4:$Q$4,0))),0))</f>
        <v/>
      </c>
      <c r="W349" s="269">
        <f>IF(W$7="Actual","",IFERROR((INDEX($M349:$Q349,,MATCH(W$4,$M$4:$Q$4,0))),0))</f>
        <v/>
      </c>
      <c r="X349" s="269">
        <f>IF(X$7="Actual","",IFERROR((INDEX($M349:$Q349,,MATCH(X$4,$M$4:$Q$4,0))),0))</f>
        <v/>
      </c>
      <c r="Y349" s="269">
        <f>IF(Y$7="Actual","",IFERROR((INDEX($M349:$Q349,,MATCH(Y$4,$M$4:$Q$4,0))),0))</f>
        <v/>
      </c>
      <c r="Z349" s="269">
        <f>IF(Z$7="Actual","",IFERROR((INDEX($M349:$Q349,,MATCH(Z$4,$M$4:$Q$4,0))),0))</f>
        <v/>
      </c>
      <c r="AA349" s="269">
        <f>IF(AA$7="Actual","",IFERROR((INDEX($M349:$Q349,,MATCH(AA$4,$M$4:$Q$4,0))),0))</f>
        <v/>
      </c>
      <c r="AB349" s="269">
        <f>IF(AB$7="Actual","",IFERROR((INDEX($M349:$Q349,,MATCH(AB$4,$M$4:$Q$4,0))),0))</f>
        <v/>
      </c>
      <c r="AC349" s="269">
        <f>IF(AC$7="Actual","",IFERROR((INDEX($M349:$Q349,,MATCH(AC$4,$M$4:$Q$4,0))),0))</f>
        <v/>
      </c>
      <c r="AD349" s="269">
        <f>IF(AD$7="Actual","",IFERROR((INDEX($M349:$Q349,,MATCH(AD$4,$M$4:$Q$4,0))),0))</f>
        <v/>
      </c>
      <c r="AE349" s="269">
        <f>IF(AE$7="Actual","",IFERROR((INDEX($M349:$Q349,,MATCH(AE$4,$M$4:$Q$4,0))),0))</f>
        <v/>
      </c>
      <c r="AF349" s="269">
        <f>IF(AF$7="Actual","",IFERROR((INDEX($M349:$Q349,,MATCH(AF$4,$M$4:$Q$4,0))),0))</f>
        <v/>
      </c>
      <c r="AG349" s="269">
        <f>IF(AG$7="Actual","",IFERROR((INDEX($M349:$Q349,,MATCH(AG$4,$M$4:$Q$4,0))),0))</f>
        <v/>
      </c>
      <c r="AH349" s="269">
        <f>IF(AH$7="Actual","",IFERROR((INDEX($M349:$Q349,,MATCH(AH$4,$M$4:$Q$4,0))),0))</f>
        <v/>
      </c>
      <c r="AI349" s="269">
        <f>IF(AI$7="Actual","",IFERROR((INDEX($M349:$Q349,,MATCH(AI$4,$M$4:$Q$4,0))),0))</f>
        <v/>
      </c>
      <c r="AJ349" s="269">
        <f>IF(AJ$7="Actual","",IFERROR((INDEX($M349:$Q349,,MATCH(AJ$4,$M$4:$Q$4,0))),0))</f>
        <v/>
      </c>
      <c r="AK349" s="269">
        <f>IF(AK$7="Actual","",IFERROR((INDEX($M349:$Q349,,MATCH(AK$4,$M$4:$Q$4,0))),0))</f>
        <v/>
      </c>
      <c r="AL349" s="269">
        <f>IF(AL$7="Actual","",IFERROR((INDEX($M349:$Q349,,MATCH(AL$4,$M$4:$Q$4,0))),0))</f>
        <v/>
      </c>
      <c r="AM349" s="269">
        <f>IF(AM$7="Actual","",IFERROR((INDEX($M349:$Q349,,MATCH(AM$4,$M$4:$Q$4,0))),0))</f>
        <v/>
      </c>
      <c r="AN349" s="269">
        <f>IF(AN$7="Actual","",IFERROR((INDEX($M349:$Q349,,MATCH(AN$4,$M$4:$Q$4,0))),0))</f>
        <v/>
      </c>
      <c r="AO349" s="269">
        <f>IF(AO$7="Actual","",IFERROR((INDEX($M349:$Q349,,MATCH(AO$4,$M$4:$Q$4,0))),0))</f>
        <v/>
      </c>
      <c r="AP349" s="269">
        <f>IF(AP$7="Actual","",IFERROR((INDEX($M349:$Q349,,MATCH(AP$4,$M$4:$Q$4,0))),0))</f>
        <v/>
      </c>
      <c r="AQ349" s="269">
        <f>IF(AQ$7="Actual","",IFERROR((INDEX($M349:$Q349,,MATCH(AQ$4,$M$4:$Q$4,0))),0))</f>
        <v/>
      </c>
      <c r="AR349" s="269">
        <f>IF(AR$7="Actual","",IFERROR((INDEX($M349:$Q349,,MATCH(AR$4,$M$4:$Q$4,0))),0))</f>
        <v/>
      </c>
      <c r="AS349" s="269">
        <f>IF(AS$7="Actual","",IFERROR((INDEX($M349:$Q349,,MATCH(AS$4,$M$4:$Q$4,0))),0))</f>
        <v/>
      </c>
      <c r="AT349" s="269">
        <f>IF(AT$7="Actual","",IFERROR((INDEX($M349:$Q349,,MATCH(AT$4,$M$4:$Q$4,0))),0))</f>
        <v/>
      </c>
      <c r="AU349" s="269">
        <f>IF(AU$7="Actual","",IFERROR((INDEX($M349:$Q349,,MATCH(AU$4,$M$4:$Q$4,0))),0))</f>
        <v/>
      </c>
      <c r="AV349" s="269">
        <f>IF(AV$7="Actual","",IFERROR((INDEX($M349:$Q349,,MATCH(AV$4,$M$4:$Q$4,0))),0))</f>
        <v/>
      </c>
      <c r="AW349" s="269">
        <f>IF(AW$7="Actual","",IFERROR((INDEX($M349:$Q349,,MATCH(AW$4,$M$4:$Q$4,0))),0))</f>
        <v/>
      </c>
      <c r="AX349" s="269">
        <f>IF(AX$7="Actual","",IFERROR((INDEX($M349:$Q349,,MATCH(AX$4,$M$4:$Q$4,0))),0))</f>
        <v/>
      </c>
      <c r="AY349" s="269">
        <f>IF(AY$7="Actual","",IFERROR((INDEX($M349:$Q349,,MATCH(AY$4,$M$4:$Q$4,0))),0))</f>
        <v/>
      </c>
      <c r="AZ349" s="269">
        <f>IF(AZ$7="Actual","",IFERROR((INDEX($M349:$Q349,,MATCH(AZ$4,$M$4:$Q$4,0))),0))</f>
        <v/>
      </c>
      <c r="BA349" s="269">
        <f>IF(BA$7="Actual","",IFERROR((INDEX($M349:$Q349,,MATCH(BA$4,$M$4:$Q$4,0))),0))</f>
        <v/>
      </c>
      <c r="BB349" s="269">
        <f>IF(BB$7="Actual","",IFERROR((INDEX($M349:$Q349,,MATCH(BB$4,$M$4:$Q$4,0))),0))</f>
        <v/>
      </c>
      <c r="BC349" s="269">
        <f>IF(BC$7="Actual","",IFERROR((INDEX($M349:$Q349,,MATCH(BC$4,$M$4:$Q$4,0))),0))</f>
        <v/>
      </c>
      <c r="BD349" s="269">
        <f>IF(BD$7="Actual","",IFERROR((INDEX($M349:$Q349,,MATCH(BD$4,$M$4:$Q$4,0))),0))</f>
        <v/>
      </c>
      <c r="BE349" s="269">
        <f>IF(BE$7="Actual","",IFERROR((INDEX($M349:$Q349,,MATCH(BE$4,$M$4:$Q$4,0))),0))</f>
        <v/>
      </c>
      <c r="BF349" s="269">
        <f>IF(BF$7="Actual","",IFERROR((INDEX($M349:$Q349,,MATCH(BF$4,$M$4:$Q$4,0))),0))</f>
        <v/>
      </c>
      <c r="BG349" s="269">
        <f>IF(BG$7="Actual","",IFERROR((INDEX($M349:$Q349,,MATCH(BG$4,$M$4:$Q$4,0))),0))</f>
        <v/>
      </c>
      <c r="BH349" s="269">
        <f>IF(BH$7="Actual","",IFERROR((INDEX($M349:$Q349,,MATCH(BH$4,$M$4:$Q$4,0))),0))</f>
        <v/>
      </c>
      <c r="BI349" s="269">
        <f>IF(BI$7="Actual","",IFERROR((INDEX($M349:$Q349,,MATCH(BI$4,$M$4:$Q$4,0))),0))</f>
        <v/>
      </c>
      <c r="BJ349" s="269">
        <f>IF(BJ$7="Actual","",IFERROR((INDEX($M349:$Q349,,MATCH(BJ$4,$M$4:$Q$4,0))),0))</f>
        <v/>
      </c>
      <c r="BK349" s="269">
        <f>IF(BK$7="Actual","",IFERROR((INDEX($M349:$Q349,,MATCH(BK$4,$M$4:$Q$4,0))),0))</f>
        <v/>
      </c>
      <c r="BL349" s="269">
        <f>IF(BL$7="Actual","",IFERROR((INDEX($M349:$Q349,,MATCH(BL$4,$M$4:$Q$4,0))),0))</f>
        <v/>
      </c>
      <c r="BM349" s="269">
        <f>IF(BM$7="Actual","",IFERROR((INDEX($M349:$Q349,,MATCH(BM$4,$M$4:$Q$4,0))),0))</f>
        <v/>
      </c>
      <c r="BN349" s="269">
        <f>IF(BN$7="Actual","",IFERROR((INDEX($M349:$Q349,,MATCH(BN$4,$M$4:$Q$4,0))),0))</f>
        <v/>
      </c>
      <c r="BO349" s="269">
        <f>IF(BO$7="Actual","",IFERROR((INDEX($M349:$Q349,,MATCH(BO$4,$M$4:$Q$4,0))),0))</f>
        <v/>
      </c>
      <c r="BP349" s="269">
        <f>IF(BP$7="Actual","",IFERROR((INDEX($M349:$Q349,,MATCH(BP$4,$M$4:$Q$4,0))),0))</f>
        <v/>
      </c>
      <c r="BQ349" s="269">
        <f>IF(BQ$7="Actual","",IFERROR((INDEX($M349:$Q349,,MATCH(BQ$4,$M$4:$Q$4,0))),0))</f>
        <v/>
      </c>
      <c r="BR349" s="269">
        <f>IF(BR$7="Actual","",IFERROR((INDEX($M349:$Q349,,MATCH(BR$4,$M$4:$Q$4,0))),0))</f>
        <v/>
      </c>
      <c r="BS349" s="269">
        <f>IF(BS$7="Actual","",IFERROR((INDEX($M349:$Q349,,MATCH(BS$4,$M$4:$Q$4,0))),0))</f>
        <v/>
      </c>
      <c r="BT349" s="269">
        <f>IF(BT$7="Actual","",IFERROR((INDEX($M349:$Q349,,MATCH(BT$4,$M$4:$Q$4,0))),0))</f>
        <v/>
      </c>
      <c r="BU349" s="269">
        <f>IF(BU$7="Actual","",IFERROR((INDEX($M349:$Q349,,MATCH(BU$4,$M$4:$Q$4,0))),0))</f>
        <v/>
      </c>
      <c r="BV349" s="269">
        <f>IF(BV$7="Actual","",IFERROR((INDEX($M349:$Q349,,MATCH(BV$4,$M$4:$Q$4,0))),0))</f>
        <v/>
      </c>
      <c r="BW349" s="269">
        <f>IF(BW$7="Actual","",IFERROR((INDEX($M349:$Q349,,MATCH(BW$4,$M$4:$Q$4,0))),0))</f>
        <v/>
      </c>
      <c r="BX349" s="269">
        <f>IF(BX$7="Actual","",IFERROR((INDEX($M349:$Q349,,MATCH(BX$4,$M$4:$Q$4,0))),0))</f>
        <v/>
      </c>
      <c r="BY349" s="269">
        <f>IF(BY$7="Actual","",IFERROR((INDEX($M349:$Q349,,MATCH(BY$4,$M$4:$Q$4,0))),0))</f>
        <v/>
      </c>
      <c r="BZ349" s="269">
        <f>IF(BZ$7="Actual","",IFERROR((INDEX($M349:$Q349,,MATCH(BZ$4,$M$4:$Q$4,0))),0))</f>
        <v/>
      </c>
      <c r="CA349" s="269">
        <f>IF(CA$7="Actual","",IFERROR((INDEX($M349:$Q349,,MATCH(CA$4,$M$4:$Q$4,0))),0))</f>
        <v/>
      </c>
    </row>
    <row r="350" ht="12" customHeight="1" s="227">
      <c r="A350" s="244" t="n"/>
      <c r="B350" s="244" t="n"/>
      <c r="C350" s="244" t="n"/>
      <c r="H350" s="4">
        <f>H340</f>
        <v/>
      </c>
      <c r="I350" s="27" t="inlineStr">
        <is>
          <t>no</t>
        </is>
      </c>
      <c r="K350" s="6" t="n"/>
      <c r="M350" s="267">
        <f>IF(M$7="Actual","",i_Assumptions!M408)</f>
        <v/>
      </c>
      <c r="N350" s="267">
        <f>IF(N$7="Actual","",i_Assumptions!N408)</f>
        <v/>
      </c>
      <c r="O350" s="267">
        <f>IF(O$7="Actual","",i_Assumptions!O408)</f>
        <v/>
      </c>
      <c r="P350" s="267">
        <f>IF(P$7="Actual","",i_Assumptions!P408)</f>
        <v/>
      </c>
      <c r="Q350" s="267">
        <f>IF(Q$7="Actual","",i_Assumptions!Q408)</f>
        <v/>
      </c>
      <c r="R350" s="268" t="n"/>
      <c r="S350" s="268" t="n"/>
      <c r="T350" s="269">
        <f>IF(T$7="Actual","",IFERROR((INDEX($M350:$Q350,,MATCH(T$4,$M$4:$Q$4,0))),0))</f>
        <v/>
      </c>
      <c r="U350" s="269">
        <f>IF(U$7="Actual","",IFERROR((INDEX($M350:$Q350,,MATCH(U$4,$M$4:$Q$4,0))),0))</f>
        <v/>
      </c>
      <c r="V350" s="269">
        <f>IF(V$7="Actual","",IFERROR((INDEX($M350:$Q350,,MATCH(V$4,$M$4:$Q$4,0))),0))</f>
        <v/>
      </c>
      <c r="W350" s="269">
        <f>IF(W$7="Actual","",IFERROR((INDEX($M350:$Q350,,MATCH(W$4,$M$4:$Q$4,0))),0))</f>
        <v/>
      </c>
      <c r="X350" s="269">
        <f>IF(X$7="Actual","",IFERROR((INDEX($M350:$Q350,,MATCH(X$4,$M$4:$Q$4,0))),0))</f>
        <v/>
      </c>
      <c r="Y350" s="269">
        <f>IF(Y$7="Actual","",IFERROR((INDEX($M350:$Q350,,MATCH(Y$4,$M$4:$Q$4,0))),0))</f>
        <v/>
      </c>
      <c r="Z350" s="269">
        <f>IF(Z$7="Actual","",IFERROR((INDEX($M350:$Q350,,MATCH(Z$4,$M$4:$Q$4,0))),0))</f>
        <v/>
      </c>
      <c r="AA350" s="269">
        <f>IF(AA$7="Actual","",IFERROR((INDEX($M350:$Q350,,MATCH(AA$4,$M$4:$Q$4,0))),0))</f>
        <v/>
      </c>
      <c r="AB350" s="269">
        <f>IF(AB$7="Actual","",IFERROR((INDEX($M350:$Q350,,MATCH(AB$4,$M$4:$Q$4,0))),0))</f>
        <v/>
      </c>
      <c r="AC350" s="269">
        <f>IF(AC$7="Actual","",IFERROR((INDEX($M350:$Q350,,MATCH(AC$4,$M$4:$Q$4,0))),0))</f>
        <v/>
      </c>
      <c r="AD350" s="269">
        <f>IF(AD$7="Actual","",IFERROR((INDEX($M350:$Q350,,MATCH(AD$4,$M$4:$Q$4,0))),0))</f>
        <v/>
      </c>
      <c r="AE350" s="269">
        <f>IF(AE$7="Actual","",IFERROR((INDEX($M350:$Q350,,MATCH(AE$4,$M$4:$Q$4,0))),0))</f>
        <v/>
      </c>
      <c r="AF350" s="269">
        <f>IF(AF$7="Actual","",IFERROR((INDEX($M350:$Q350,,MATCH(AF$4,$M$4:$Q$4,0))),0))</f>
        <v/>
      </c>
      <c r="AG350" s="269">
        <f>IF(AG$7="Actual","",IFERROR((INDEX($M350:$Q350,,MATCH(AG$4,$M$4:$Q$4,0))),0))</f>
        <v/>
      </c>
      <c r="AH350" s="269">
        <f>IF(AH$7="Actual","",IFERROR((INDEX($M350:$Q350,,MATCH(AH$4,$M$4:$Q$4,0))),0))</f>
        <v/>
      </c>
      <c r="AI350" s="269">
        <f>IF(AI$7="Actual","",IFERROR((INDEX($M350:$Q350,,MATCH(AI$4,$M$4:$Q$4,0))),0))</f>
        <v/>
      </c>
      <c r="AJ350" s="269">
        <f>IF(AJ$7="Actual","",IFERROR((INDEX($M350:$Q350,,MATCH(AJ$4,$M$4:$Q$4,0))),0))</f>
        <v/>
      </c>
      <c r="AK350" s="269">
        <f>IF(AK$7="Actual","",IFERROR((INDEX($M350:$Q350,,MATCH(AK$4,$M$4:$Q$4,0))),0))</f>
        <v/>
      </c>
      <c r="AL350" s="269">
        <f>IF(AL$7="Actual","",IFERROR((INDEX($M350:$Q350,,MATCH(AL$4,$M$4:$Q$4,0))),0))</f>
        <v/>
      </c>
      <c r="AM350" s="269">
        <f>IF(AM$7="Actual","",IFERROR((INDEX($M350:$Q350,,MATCH(AM$4,$M$4:$Q$4,0))),0))</f>
        <v/>
      </c>
      <c r="AN350" s="269">
        <f>IF(AN$7="Actual","",IFERROR((INDEX($M350:$Q350,,MATCH(AN$4,$M$4:$Q$4,0))),0))</f>
        <v/>
      </c>
      <c r="AO350" s="269">
        <f>IF(AO$7="Actual","",IFERROR((INDEX($M350:$Q350,,MATCH(AO$4,$M$4:$Q$4,0))),0))</f>
        <v/>
      </c>
      <c r="AP350" s="269">
        <f>IF(AP$7="Actual","",IFERROR((INDEX($M350:$Q350,,MATCH(AP$4,$M$4:$Q$4,0))),0))</f>
        <v/>
      </c>
      <c r="AQ350" s="269">
        <f>IF(AQ$7="Actual","",IFERROR((INDEX($M350:$Q350,,MATCH(AQ$4,$M$4:$Q$4,0))),0))</f>
        <v/>
      </c>
      <c r="AR350" s="269">
        <f>IF(AR$7="Actual","",IFERROR((INDEX($M350:$Q350,,MATCH(AR$4,$M$4:$Q$4,0))),0))</f>
        <v/>
      </c>
      <c r="AS350" s="269">
        <f>IF(AS$7="Actual","",IFERROR((INDEX($M350:$Q350,,MATCH(AS$4,$M$4:$Q$4,0))),0))</f>
        <v/>
      </c>
      <c r="AT350" s="269">
        <f>IF(AT$7="Actual","",IFERROR((INDEX($M350:$Q350,,MATCH(AT$4,$M$4:$Q$4,0))),0))</f>
        <v/>
      </c>
      <c r="AU350" s="269">
        <f>IF(AU$7="Actual","",IFERROR((INDEX($M350:$Q350,,MATCH(AU$4,$M$4:$Q$4,0))),0))</f>
        <v/>
      </c>
      <c r="AV350" s="269">
        <f>IF(AV$7="Actual","",IFERROR((INDEX($M350:$Q350,,MATCH(AV$4,$M$4:$Q$4,0))),0))</f>
        <v/>
      </c>
      <c r="AW350" s="269">
        <f>IF(AW$7="Actual","",IFERROR((INDEX($M350:$Q350,,MATCH(AW$4,$M$4:$Q$4,0))),0))</f>
        <v/>
      </c>
      <c r="AX350" s="269">
        <f>IF(AX$7="Actual","",IFERROR((INDEX($M350:$Q350,,MATCH(AX$4,$M$4:$Q$4,0))),0))</f>
        <v/>
      </c>
      <c r="AY350" s="269">
        <f>IF(AY$7="Actual","",IFERROR((INDEX($M350:$Q350,,MATCH(AY$4,$M$4:$Q$4,0))),0))</f>
        <v/>
      </c>
      <c r="AZ350" s="269">
        <f>IF(AZ$7="Actual","",IFERROR((INDEX($M350:$Q350,,MATCH(AZ$4,$M$4:$Q$4,0))),0))</f>
        <v/>
      </c>
      <c r="BA350" s="269">
        <f>IF(BA$7="Actual","",IFERROR((INDEX($M350:$Q350,,MATCH(BA$4,$M$4:$Q$4,0))),0))</f>
        <v/>
      </c>
      <c r="BB350" s="269">
        <f>IF(BB$7="Actual","",IFERROR((INDEX($M350:$Q350,,MATCH(BB$4,$M$4:$Q$4,0))),0))</f>
        <v/>
      </c>
      <c r="BC350" s="269">
        <f>IF(BC$7="Actual","",IFERROR((INDEX($M350:$Q350,,MATCH(BC$4,$M$4:$Q$4,0))),0))</f>
        <v/>
      </c>
      <c r="BD350" s="269">
        <f>IF(BD$7="Actual","",IFERROR((INDEX($M350:$Q350,,MATCH(BD$4,$M$4:$Q$4,0))),0))</f>
        <v/>
      </c>
      <c r="BE350" s="269">
        <f>IF(BE$7="Actual","",IFERROR((INDEX($M350:$Q350,,MATCH(BE$4,$M$4:$Q$4,0))),0))</f>
        <v/>
      </c>
      <c r="BF350" s="269">
        <f>IF(BF$7="Actual","",IFERROR((INDEX($M350:$Q350,,MATCH(BF$4,$M$4:$Q$4,0))),0))</f>
        <v/>
      </c>
      <c r="BG350" s="269">
        <f>IF(BG$7="Actual","",IFERROR((INDEX($M350:$Q350,,MATCH(BG$4,$M$4:$Q$4,0))),0))</f>
        <v/>
      </c>
      <c r="BH350" s="269">
        <f>IF(BH$7="Actual","",IFERROR((INDEX($M350:$Q350,,MATCH(BH$4,$M$4:$Q$4,0))),0))</f>
        <v/>
      </c>
      <c r="BI350" s="269">
        <f>IF(BI$7="Actual","",IFERROR((INDEX($M350:$Q350,,MATCH(BI$4,$M$4:$Q$4,0))),0))</f>
        <v/>
      </c>
      <c r="BJ350" s="269">
        <f>IF(BJ$7="Actual","",IFERROR((INDEX($M350:$Q350,,MATCH(BJ$4,$M$4:$Q$4,0))),0))</f>
        <v/>
      </c>
      <c r="BK350" s="269">
        <f>IF(BK$7="Actual","",IFERROR((INDEX($M350:$Q350,,MATCH(BK$4,$M$4:$Q$4,0))),0))</f>
        <v/>
      </c>
      <c r="BL350" s="269">
        <f>IF(BL$7="Actual","",IFERROR((INDEX($M350:$Q350,,MATCH(BL$4,$M$4:$Q$4,0))),0))</f>
        <v/>
      </c>
      <c r="BM350" s="269">
        <f>IF(BM$7="Actual","",IFERROR((INDEX($M350:$Q350,,MATCH(BM$4,$M$4:$Q$4,0))),0))</f>
        <v/>
      </c>
      <c r="BN350" s="269">
        <f>IF(BN$7="Actual","",IFERROR((INDEX($M350:$Q350,,MATCH(BN$4,$M$4:$Q$4,0))),0))</f>
        <v/>
      </c>
      <c r="BO350" s="269">
        <f>IF(BO$7="Actual","",IFERROR((INDEX($M350:$Q350,,MATCH(BO$4,$M$4:$Q$4,0))),0))</f>
        <v/>
      </c>
      <c r="BP350" s="269">
        <f>IF(BP$7="Actual","",IFERROR((INDEX($M350:$Q350,,MATCH(BP$4,$M$4:$Q$4,0))),0))</f>
        <v/>
      </c>
      <c r="BQ350" s="269">
        <f>IF(BQ$7="Actual","",IFERROR((INDEX($M350:$Q350,,MATCH(BQ$4,$M$4:$Q$4,0))),0))</f>
        <v/>
      </c>
      <c r="BR350" s="269">
        <f>IF(BR$7="Actual","",IFERROR((INDEX($M350:$Q350,,MATCH(BR$4,$M$4:$Q$4,0))),0))</f>
        <v/>
      </c>
      <c r="BS350" s="269">
        <f>IF(BS$7="Actual","",IFERROR((INDEX($M350:$Q350,,MATCH(BS$4,$M$4:$Q$4,0))),0))</f>
        <v/>
      </c>
      <c r="BT350" s="269">
        <f>IF(BT$7="Actual","",IFERROR((INDEX($M350:$Q350,,MATCH(BT$4,$M$4:$Q$4,0))),0))</f>
        <v/>
      </c>
      <c r="BU350" s="269">
        <f>IF(BU$7="Actual","",IFERROR((INDEX($M350:$Q350,,MATCH(BU$4,$M$4:$Q$4,0))),0))</f>
        <v/>
      </c>
      <c r="BV350" s="269">
        <f>IF(BV$7="Actual","",IFERROR((INDEX($M350:$Q350,,MATCH(BV$4,$M$4:$Q$4,0))),0))</f>
        <v/>
      </c>
      <c r="BW350" s="269">
        <f>IF(BW$7="Actual","",IFERROR((INDEX($M350:$Q350,,MATCH(BW$4,$M$4:$Q$4,0))),0))</f>
        <v/>
      </c>
      <c r="BX350" s="269">
        <f>IF(BX$7="Actual","",IFERROR((INDEX($M350:$Q350,,MATCH(BX$4,$M$4:$Q$4,0))),0))</f>
        <v/>
      </c>
      <c r="BY350" s="269">
        <f>IF(BY$7="Actual","",IFERROR((INDEX($M350:$Q350,,MATCH(BY$4,$M$4:$Q$4,0))),0))</f>
        <v/>
      </c>
      <c r="BZ350" s="269">
        <f>IF(BZ$7="Actual","",IFERROR((INDEX($M350:$Q350,,MATCH(BZ$4,$M$4:$Q$4,0))),0))</f>
        <v/>
      </c>
      <c r="CA350" s="269">
        <f>IF(CA$7="Actual","",IFERROR((INDEX($M350:$Q350,,MATCH(CA$4,$M$4:$Q$4,0))),0))</f>
        <v/>
      </c>
    </row>
    <row r="351" ht="12" customHeight="1" s="227">
      <c r="A351" s="244" t="n"/>
      <c r="B351" s="244" t="n"/>
      <c r="C351" s="244" t="n"/>
      <c r="H351" s="4">
        <f>H341</f>
        <v/>
      </c>
      <c r="I351" s="27" t="inlineStr">
        <is>
          <t>no</t>
        </is>
      </c>
      <c r="K351" s="6" t="n"/>
      <c r="M351" s="267">
        <f>IF(M$7="Actual","",i_Assumptions!M409)</f>
        <v/>
      </c>
      <c r="N351" s="267">
        <f>IF(N$7="Actual","",i_Assumptions!N409)</f>
        <v/>
      </c>
      <c r="O351" s="267">
        <f>IF(O$7="Actual","",i_Assumptions!O409)</f>
        <v/>
      </c>
      <c r="P351" s="267">
        <f>IF(P$7="Actual","",i_Assumptions!P409)</f>
        <v/>
      </c>
      <c r="Q351" s="267">
        <f>IF(Q$7="Actual","",i_Assumptions!Q409)</f>
        <v/>
      </c>
      <c r="R351" s="268" t="n"/>
      <c r="S351" s="268" t="n"/>
      <c r="T351" s="269">
        <f>IF(T$7="Actual","",IFERROR((INDEX($M351:$Q351,,MATCH(T$4,$M$4:$Q$4,0))),0))</f>
        <v/>
      </c>
      <c r="U351" s="269">
        <f>IF(U$7="Actual","",IFERROR((INDEX($M351:$Q351,,MATCH(U$4,$M$4:$Q$4,0))),0))</f>
        <v/>
      </c>
      <c r="V351" s="269">
        <f>IF(V$7="Actual","",IFERROR((INDEX($M351:$Q351,,MATCH(V$4,$M$4:$Q$4,0))),0))</f>
        <v/>
      </c>
      <c r="W351" s="269">
        <f>IF(W$7="Actual","",IFERROR((INDEX($M351:$Q351,,MATCH(W$4,$M$4:$Q$4,0))),0))</f>
        <v/>
      </c>
      <c r="X351" s="269">
        <f>IF(X$7="Actual","",IFERROR((INDEX($M351:$Q351,,MATCH(X$4,$M$4:$Q$4,0))),0))</f>
        <v/>
      </c>
      <c r="Y351" s="269">
        <f>IF(Y$7="Actual","",IFERROR((INDEX($M351:$Q351,,MATCH(Y$4,$M$4:$Q$4,0))),0))</f>
        <v/>
      </c>
      <c r="Z351" s="269">
        <f>IF(Z$7="Actual","",IFERROR((INDEX($M351:$Q351,,MATCH(Z$4,$M$4:$Q$4,0))),0))</f>
        <v/>
      </c>
      <c r="AA351" s="269">
        <f>IF(AA$7="Actual","",IFERROR((INDEX($M351:$Q351,,MATCH(AA$4,$M$4:$Q$4,0))),0))</f>
        <v/>
      </c>
      <c r="AB351" s="269">
        <f>IF(AB$7="Actual","",IFERROR((INDEX($M351:$Q351,,MATCH(AB$4,$M$4:$Q$4,0))),0))</f>
        <v/>
      </c>
      <c r="AC351" s="269">
        <f>IF(AC$7="Actual","",IFERROR((INDEX($M351:$Q351,,MATCH(AC$4,$M$4:$Q$4,0))),0))</f>
        <v/>
      </c>
      <c r="AD351" s="269">
        <f>IF(AD$7="Actual","",IFERROR((INDEX($M351:$Q351,,MATCH(AD$4,$M$4:$Q$4,0))),0))</f>
        <v/>
      </c>
      <c r="AE351" s="269">
        <f>IF(AE$7="Actual","",IFERROR((INDEX($M351:$Q351,,MATCH(AE$4,$M$4:$Q$4,0))),0))</f>
        <v/>
      </c>
      <c r="AF351" s="269">
        <f>IF(AF$7="Actual","",IFERROR((INDEX($M351:$Q351,,MATCH(AF$4,$M$4:$Q$4,0))),0))</f>
        <v/>
      </c>
      <c r="AG351" s="269">
        <f>IF(AG$7="Actual","",IFERROR((INDEX($M351:$Q351,,MATCH(AG$4,$M$4:$Q$4,0))),0))</f>
        <v/>
      </c>
      <c r="AH351" s="269">
        <f>IF(AH$7="Actual","",IFERROR((INDEX($M351:$Q351,,MATCH(AH$4,$M$4:$Q$4,0))),0))</f>
        <v/>
      </c>
      <c r="AI351" s="269">
        <f>IF(AI$7="Actual","",IFERROR((INDEX($M351:$Q351,,MATCH(AI$4,$M$4:$Q$4,0))),0))</f>
        <v/>
      </c>
      <c r="AJ351" s="269">
        <f>IF(AJ$7="Actual","",IFERROR((INDEX($M351:$Q351,,MATCH(AJ$4,$M$4:$Q$4,0))),0))</f>
        <v/>
      </c>
      <c r="AK351" s="269">
        <f>IF(AK$7="Actual","",IFERROR((INDEX($M351:$Q351,,MATCH(AK$4,$M$4:$Q$4,0))),0))</f>
        <v/>
      </c>
      <c r="AL351" s="269">
        <f>IF(AL$7="Actual","",IFERROR((INDEX($M351:$Q351,,MATCH(AL$4,$M$4:$Q$4,0))),0))</f>
        <v/>
      </c>
      <c r="AM351" s="269">
        <f>IF(AM$7="Actual","",IFERROR((INDEX($M351:$Q351,,MATCH(AM$4,$M$4:$Q$4,0))),0))</f>
        <v/>
      </c>
      <c r="AN351" s="269">
        <f>IF(AN$7="Actual","",IFERROR((INDEX($M351:$Q351,,MATCH(AN$4,$M$4:$Q$4,0))),0))</f>
        <v/>
      </c>
      <c r="AO351" s="269">
        <f>IF(AO$7="Actual","",IFERROR((INDEX($M351:$Q351,,MATCH(AO$4,$M$4:$Q$4,0))),0))</f>
        <v/>
      </c>
      <c r="AP351" s="269">
        <f>IF(AP$7="Actual","",IFERROR((INDEX($M351:$Q351,,MATCH(AP$4,$M$4:$Q$4,0))),0))</f>
        <v/>
      </c>
      <c r="AQ351" s="269">
        <f>IF(AQ$7="Actual","",IFERROR((INDEX($M351:$Q351,,MATCH(AQ$4,$M$4:$Q$4,0))),0))</f>
        <v/>
      </c>
      <c r="AR351" s="269">
        <f>IF(AR$7="Actual","",IFERROR((INDEX($M351:$Q351,,MATCH(AR$4,$M$4:$Q$4,0))),0))</f>
        <v/>
      </c>
      <c r="AS351" s="269">
        <f>IF(AS$7="Actual","",IFERROR((INDEX($M351:$Q351,,MATCH(AS$4,$M$4:$Q$4,0))),0))</f>
        <v/>
      </c>
      <c r="AT351" s="269">
        <f>IF(AT$7="Actual","",IFERROR((INDEX($M351:$Q351,,MATCH(AT$4,$M$4:$Q$4,0))),0))</f>
        <v/>
      </c>
      <c r="AU351" s="269">
        <f>IF(AU$7="Actual","",IFERROR((INDEX($M351:$Q351,,MATCH(AU$4,$M$4:$Q$4,0))),0))</f>
        <v/>
      </c>
      <c r="AV351" s="269">
        <f>IF(AV$7="Actual","",IFERROR((INDEX($M351:$Q351,,MATCH(AV$4,$M$4:$Q$4,0))),0))</f>
        <v/>
      </c>
      <c r="AW351" s="269">
        <f>IF(AW$7="Actual","",IFERROR((INDEX($M351:$Q351,,MATCH(AW$4,$M$4:$Q$4,0))),0))</f>
        <v/>
      </c>
      <c r="AX351" s="269">
        <f>IF(AX$7="Actual","",IFERROR((INDEX($M351:$Q351,,MATCH(AX$4,$M$4:$Q$4,0))),0))</f>
        <v/>
      </c>
      <c r="AY351" s="269">
        <f>IF(AY$7="Actual","",IFERROR((INDEX($M351:$Q351,,MATCH(AY$4,$M$4:$Q$4,0))),0))</f>
        <v/>
      </c>
      <c r="AZ351" s="269">
        <f>IF(AZ$7="Actual","",IFERROR((INDEX($M351:$Q351,,MATCH(AZ$4,$M$4:$Q$4,0))),0))</f>
        <v/>
      </c>
      <c r="BA351" s="269">
        <f>IF(BA$7="Actual","",IFERROR((INDEX($M351:$Q351,,MATCH(BA$4,$M$4:$Q$4,0))),0))</f>
        <v/>
      </c>
      <c r="BB351" s="269">
        <f>IF(BB$7="Actual","",IFERROR((INDEX($M351:$Q351,,MATCH(BB$4,$M$4:$Q$4,0))),0))</f>
        <v/>
      </c>
      <c r="BC351" s="269">
        <f>IF(BC$7="Actual","",IFERROR((INDEX($M351:$Q351,,MATCH(BC$4,$M$4:$Q$4,0))),0))</f>
        <v/>
      </c>
      <c r="BD351" s="269">
        <f>IF(BD$7="Actual","",IFERROR((INDEX($M351:$Q351,,MATCH(BD$4,$M$4:$Q$4,0))),0))</f>
        <v/>
      </c>
      <c r="BE351" s="269">
        <f>IF(BE$7="Actual","",IFERROR((INDEX($M351:$Q351,,MATCH(BE$4,$M$4:$Q$4,0))),0))</f>
        <v/>
      </c>
      <c r="BF351" s="269">
        <f>IF(BF$7="Actual","",IFERROR((INDEX($M351:$Q351,,MATCH(BF$4,$M$4:$Q$4,0))),0))</f>
        <v/>
      </c>
      <c r="BG351" s="269">
        <f>IF(BG$7="Actual","",IFERROR((INDEX($M351:$Q351,,MATCH(BG$4,$M$4:$Q$4,0))),0))</f>
        <v/>
      </c>
      <c r="BH351" s="269">
        <f>IF(BH$7="Actual","",IFERROR((INDEX($M351:$Q351,,MATCH(BH$4,$M$4:$Q$4,0))),0))</f>
        <v/>
      </c>
      <c r="BI351" s="269">
        <f>IF(BI$7="Actual","",IFERROR((INDEX($M351:$Q351,,MATCH(BI$4,$M$4:$Q$4,0))),0))</f>
        <v/>
      </c>
      <c r="BJ351" s="269">
        <f>IF(BJ$7="Actual","",IFERROR((INDEX($M351:$Q351,,MATCH(BJ$4,$M$4:$Q$4,0))),0))</f>
        <v/>
      </c>
      <c r="BK351" s="269">
        <f>IF(BK$7="Actual","",IFERROR((INDEX($M351:$Q351,,MATCH(BK$4,$M$4:$Q$4,0))),0))</f>
        <v/>
      </c>
      <c r="BL351" s="269">
        <f>IF(BL$7="Actual","",IFERROR((INDEX($M351:$Q351,,MATCH(BL$4,$M$4:$Q$4,0))),0))</f>
        <v/>
      </c>
      <c r="BM351" s="269">
        <f>IF(BM$7="Actual","",IFERROR((INDEX($M351:$Q351,,MATCH(BM$4,$M$4:$Q$4,0))),0))</f>
        <v/>
      </c>
      <c r="BN351" s="269">
        <f>IF(BN$7="Actual","",IFERROR((INDEX($M351:$Q351,,MATCH(BN$4,$M$4:$Q$4,0))),0))</f>
        <v/>
      </c>
      <c r="BO351" s="269">
        <f>IF(BO$7="Actual","",IFERROR((INDEX($M351:$Q351,,MATCH(BO$4,$M$4:$Q$4,0))),0))</f>
        <v/>
      </c>
      <c r="BP351" s="269">
        <f>IF(BP$7="Actual","",IFERROR((INDEX($M351:$Q351,,MATCH(BP$4,$M$4:$Q$4,0))),0))</f>
        <v/>
      </c>
      <c r="BQ351" s="269">
        <f>IF(BQ$7="Actual","",IFERROR((INDEX($M351:$Q351,,MATCH(BQ$4,$M$4:$Q$4,0))),0))</f>
        <v/>
      </c>
      <c r="BR351" s="269">
        <f>IF(BR$7="Actual","",IFERROR((INDEX($M351:$Q351,,MATCH(BR$4,$M$4:$Q$4,0))),0))</f>
        <v/>
      </c>
      <c r="BS351" s="269">
        <f>IF(BS$7="Actual","",IFERROR((INDEX($M351:$Q351,,MATCH(BS$4,$M$4:$Q$4,0))),0))</f>
        <v/>
      </c>
      <c r="BT351" s="269">
        <f>IF(BT$7="Actual","",IFERROR((INDEX($M351:$Q351,,MATCH(BT$4,$M$4:$Q$4,0))),0))</f>
        <v/>
      </c>
      <c r="BU351" s="269">
        <f>IF(BU$7="Actual","",IFERROR((INDEX($M351:$Q351,,MATCH(BU$4,$M$4:$Q$4,0))),0))</f>
        <v/>
      </c>
      <c r="BV351" s="269">
        <f>IF(BV$7="Actual","",IFERROR((INDEX($M351:$Q351,,MATCH(BV$4,$M$4:$Q$4,0))),0))</f>
        <v/>
      </c>
      <c r="BW351" s="269">
        <f>IF(BW$7="Actual","",IFERROR((INDEX($M351:$Q351,,MATCH(BW$4,$M$4:$Q$4,0))),0))</f>
        <v/>
      </c>
      <c r="BX351" s="269">
        <f>IF(BX$7="Actual","",IFERROR((INDEX($M351:$Q351,,MATCH(BX$4,$M$4:$Q$4,0))),0))</f>
        <v/>
      </c>
      <c r="BY351" s="269">
        <f>IF(BY$7="Actual","",IFERROR((INDEX($M351:$Q351,,MATCH(BY$4,$M$4:$Q$4,0))),0))</f>
        <v/>
      </c>
      <c r="BZ351" s="269">
        <f>IF(BZ$7="Actual","",IFERROR((INDEX($M351:$Q351,,MATCH(BZ$4,$M$4:$Q$4,0))),0))</f>
        <v/>
      </c>
      <c r="CA351" s="269">
        <f>IF(CA$7="Actual","",IFERROR((INDEX($M351:$Q351,,MATCH(CA$4,$M$4:$Q$4,0))),0))</f>
        <v/>
      </c>
    </row>
    <row r="352" ht="12" customHeight="1" s="227">
      <c r="A352" s="244" t="n"/>
      <c r="B352" s="244" t="n"/>
      <c r="C352" s="244" t="n"/>
      <c r="H352" s="4">
        <f>H342</f>
        <v/>
      </c>
      <c r="I352" s="27" t="inlineStr">
        <is>
          <t>no</t>
        </is>
      </c>
      <c r="K352" s="6" t="n"/>
      <c r="M352" s="267">
        <f>IF(M$7="Actual","",i_Assumptions!M410)</f>
        <v/>
      </c>
      <c r="N352" s="267">
        <f>IF(N$7="Actual","",i_Assumptions!N410)</f>
        <v/>
      </c>
      <c r="O352" s="267">
        <f>IF(O$7="Actual","",i_Assumptions!O410)</f>
        <v/>
      </c>
      <c r="P352" s="267">
        <f>IF(P$7="Actual","",i_Assumptions!P410)</f>
        <v/>
      </c>
      <c r="Q352" s="267">
        <f>IF(Q$7="Actual","",i_Assumptions!Q410)</f>
        <v/>
      </c>
      <c r="R352" s="268" t="n"/>
      <c r="S352" s="268" t="n"/>
      <c r="T352" s="269">
        <f>IF(T$7="Actual","",IFERROR((INDEX($M352:$Q352,,MATCH(T$4,$M$4:$Q$4,0))),0))</f>
        <v/>
      </c>
      <c r="U352" s="269">
        <f>IF(U$7="Actual","",IFERROR((INDEX($M352:$Q352,,MATCH(U$4,$M$4:$Q$4,0))),0))</f>
        <v/>
      </c>
      <c r="V352" s="269">
        <f>IF(V$7="Actual","",IFERROR((INDEX($M352:$Q352,,MATCH(V$4,$M$4:$Q$4,0))),0))</f>
        <v/>
      </c>
      <c r="W352" s="269">
        <f>IF(W$7="Actual","",IFERROR((INDEX($M352:$Q352,,MATCH(W$4,$M$4:$Q$4,0))),0))</f>
        <v/>
      </c>
      <c r="X352" s="269">
        <f>IF(X$7="Actual","",IFERROR((INDEX($M352:$Q352,,MATCH(X$4,$M$4:$Q$4,0))),0))</f>
        <v/>
      </c>
      <c r="Y352" s="269">
        <f>IF(Y$7="Actual","",IFERROR((INDEX($M352:$Q352,,MATCH(Y$4,$M$4:$Q$4,0))),0))</f>
        <v/>
      </c>
      <c r="Z352" s="269">
        <f>IF(Z$7="Actual","",IFERROR((INDEX($M352:$Q352,,MATCH(Z$4,$M$4:$Q$4,0))),0))</f>
        <v/>
      </c>
      <c r="AA352" s="269">
        <f>IF(AA$7="Actual","",IFERROR((INDEX($M352:$Q352,,MATCH(AA$4,$M$4:$Q$4,0))),0))</f>
        <v/>
      </c>
      <c r="AB352" s="269">
        <f>IF(AB$7="Actual","",IFERROR((INDEX($M352:$Q352,,MATCH(AB$4,$M$4:$Q$4,0))),0))</f>
        <v/>
      </c>
      <c r="AC352" s="269">
        <f>IF(AC$7="Actual","",IFERROR((INDEX($M352:$Q352,,MATCH(AC$4,$M$4:$Q$4,0))),0))</f>
        <v/>
      </c>
      <c r="AD352" s="269">
        <f>IF(AD$7="Actual","",IFERROR((INDEX($M352:$Q352,,MATCH(AD$4,$M$4:$Q$4,0))),0))</f>
        <v/>
      </c>
      <c r="AE352" s="269">
        <f>IF(AE$7="Actual","",IFERROR((INDEX($M352:$Q352,,MATCH(AE$4,$M$4:$Q$4,0))),0))</f>
        <v/>
      </c>
      <c r="AF352" s="269">
        <f>IF(AF$7="Actual","",IFERROR((INDEX($M352:$Q352,,MATCH(AF$4,$M$4:$Q$4,0))),0))</f>
        <v/>
      </c>
      <c r="AG352" s="269">
        <f>IF(AG$7="Actual","",IFERROR((INDEX($M352:$Q352,,MATCH(AG$4,$M$4:$Q$4,0))),0))</f>
        <v/>
      </c>
      <c r="AH352" s="269">
        <f>IF(AH$7="Actual","",IFERROR((INDEX($M352:$Q352,,MATCH(AH$4,$M$4:$Q$4,0))),0))</f>
        <v/>
      </c>
      <c r="AI352" s="269">
        <f>IF(AI$7="Actual","",IFERROR((INDEX($M352:$Q352,,MATCH(AI$4,$M$4:$Q$4,0))),0))</f>
        <v/>
      </c>
      <c r="AJ352" s="269">
        <f>IF(AJ$7="Actual","",IFERROR((INDEX($M352:$Q352,,MATCH(AJ$4,$M$4:$Q$4,0))),0))</f>
        <v/>
      </c>
      <c r="AK352" s="269">
        <f>IF(AK$7="Actual","",IFERROR((INDEX($M352:$Q352,,MATCH(AK$4,$M$4:$Q$4,0))),0))</f>
        <v/>
      </c>
      <c r="AL352" s="269">
        <f>IF(AL$7="Actual","",IFERROR((INDEX($M352:$Q352,,MATCH(AL$4,$M$4:$Q$4,0))),0))</f>
        <v/>
      </c>
      <c r="AM352" s="269">
        <f>IF(AM$7="Actual","",IFERROR((INDEX($M352:$Q352,,MATCH(AM$4,$M$4:$Q$4,0))),0))</f>
        <v/>
      </c>
      <c r="AN352" s="269">
        <f>IF(AN$7="Actual","",IFERROR((INDEX($M352:$Q352,,MATCH(AN$4,$M$4:$Q$4,0))),0))</f>
        <v/>
      </c>
      <c r="AO352" s="269">
        <f>IF(AO$7="Actual","",IFERROR((INDEX($M352:$Q352,,MATCH(AO$4,$M$4:$Q$4,0))),0))</f>
        <v/>
      </c>
      <c r="AP352" s="269">
        <f>IF(AP$7="Actual","",IFERROR((INDEX($M352:$Q352,,MATCH(AP$4,$M$4:$Q$4,0))),0))</f>
        <v/>
      </c>
      <c r="AQ352" s="269">
        <f>IF(AQ$7="Actual","",IFERROR((INDEX($M352:$Q352,,MATCH(AQ$4,$M$4:$Q$4,0))),0))</f>
        <v/>
      </c>
      <c r="AR352" s="269">
        <f>IF(AR$7="Actual","",IFERROR((INDEX($M352:$Q352,,MATCH(AR$4,$M$4:$Q$4,0))),0))</f>
        <v/>
      </c>
      <c r="AS352" s="269">
        <f>IF(AS$7="Actual","",IFERROR((INDEX($M352:$Q352,,MATCH(AS$4,$M$4:$Q$4,0))),0))</f>
        <v/>
      </c>
      <c r="AT352" s="269">
        <f>IF(AT$7="Actual","",IFERROR((INDEX($M352:$Q352,,MATCH(AT$4,$M$4:$Q$4,0))),0))</f>
        <v/>
      </c>
      <c r="AU352" s="269">
        <f>IF(AU$7="Actual","",IFERROR((INDEX($M352:$Q352,,MATCH(AU$4,$M$4:$Q$4,0))),0))</f>
        <v/>
      </c>
      <c r="AV352" s="269">
        <f>IF(AV$7="Actual","",IFERROR((INDEX($M352:$Q352,,MATCH(AV$4,$M$4:$Q$4,0))),0))</f>
        <v/>
      </c>
      <c r="AW352" s="269">
        <f>IF(AW$7="Actual","",IFERROR((INDEX($M352:$Q352,,MATCH(AW$4,$M$4:$Q$4,0))),0))</f>
        <v/>
      </c>
      <c r="AX352" s="269">
        <f>IF(AX$7="Actual","",IFERROR((INDEX($M352:$Q352,,MATCH(AX$4,$M$4:$Q$4,0))),0))</f>
        <v/>
      </c>
      <c r="AY352" s="269">
        <f>IF(AY$7="Actual","",IFERROR((INDEX($M352:$Q352,,MATCH(AY$4,$M$4:$Q$4,0))),0))</f>
        <v/>
      </c>
      <c r="AZ352" s="269">
        <f>IF(AZ$7="Actual","",IFERROR((INDEX($M352:$Q352,,MATCH(AZ$4,$M$4:$Q$4,0))),0))</f>
        <v/>
      </c>
      <c r="BA352" s="269">
        <f>IF(BA$7="Actual","",IFERROR((INDEX($M352:$Q352,,MATCH(BA$4,$M$4:$Q$4,0))),0))</f>
        <v/>
      </c>
      <c r="BB352" s="269">
        <f>IF(BB$7="Actual","",IFERROR((INDEX($M352:$Q352,,MATCH(BB$4,$M$4:$Q$4,0))),0))</f>
        <v/>
      </c>
      <c r="BC352" s="269">
        <f>IF(BC$7="Actual","",IFERROR((INDEX($M352:$Q352,,MATCH(BC$4,$M$4:$Q$4,0))),0))</f>
        <v/>
      </c>
      <c r="BD352" s="269">
        <f>IF(BD$7="Actual","",IFERROR((INDEX($M352:$Q352,,MATCH(BD$4,$M$4:$Q$4,0))),0))</f>
        <v/>
      </c>
      <c r="BE352" s="269">
        <f>IF(BE$7="Actual","",IFERROR((INDEX($M352:$Q352,,MATCH(BE$4,$M$4:$Q$4,0))),0))</f>
        <v/>
      </c>
      <c r="BF352" s="269">
        <f>IF(BF$7="Actual","",IFERROR((INDEX($M352:$Q352,,MATCH(BF$4,$M$4:$Q$4,0))),0))</f>
        <v/>
      </c>
      <c r="BG352" s="269">
        <f>IF(BG$7="Actual","",IFERROR((INDEX($M352:$Q352,,MATCH(BG$4,$M$4:$Q$4,0))),0))</f>
        <v/>
      </c>
      <c r="BH352" s="269">
        <f>IF(BH$7="Actual","",IFERROR((INDEX($M352:$Q352,,MATCH(BH$4,$M$4:$Q$4,0))),0))</f>
        <v/>
      </c>
      <c r="BI352" s="269">
        <f>IF(BI$7="Actual","",IFERROR((INDEX($M352:$Q352,,MATCH(BI$4,$M$4:$Q$4,0))),0))</f>
        <v/>
      </c>
      <c r="BJ352" s="269">
        <f>IF(BJ$7="Actual","",IFERROR((INDEX($M352:$Q352,,MATCH(BJ$4,$M$4:$Q$4,0))),0))</f>
        <v/>
      </c>
      <c r="BK352" s="269">
        <f>IF(BK$7="Actual","",IFERROR((INDEX($M352:$Q352,,MATCH(BK$4,$M$4:$Q$4,0))),0))</f>
        <v/>
      </c>
      <c r="BL352" s="269">
        <f>IF(BL$7="Actual","",IFERROR((INDEX($M352:$Q352,,MATCH(BL$4,$M$4:$Q$4,0))),0))</f>
        <v/>
      </c>
      <c r="BM352" s="269">
        <f>IF(BM$7="Actual","",IFERROR((INDEX($M352:$Q352,,MATCH(BM$4,$M$4:$Q$4,0))),0))</f>
        <v/>
      </c>
      <c r="BN352" s="269">
        <f>IF(BN$7="Actual","",IFERROR((INDEX($M352:$Q352,,MATCH(BN$4,$M$4:$Q$4,0))),0))</f>
        <v/>
      </c>
      <c r="BO352" s="269">
        <f>IF(BO$7="Actual","",IFERROR((INDEX($M352:$Q352,,MATCH(BO$4,$M$4:$Q$4,0))),0))</f>
        <v/>
      </c>
      <c r="BP352" s="269">
        <f>IF(BP$7="Actual","",IFERROR((INDEX($M352:$Q352,,MATCH(BP$4,$M$4:$Q$4,0))),0))</f>
        <v/>
      </c>
      <c r="BQ352" s="269">
        <f>IF(BQ$7="Actual","",IFERROR((INDEX($M352:$Q352,,MATCH(BQ$4,$M$4:$Q$4,0))),0))</f>
        <v/>
      </c>
      <c r="BR352" s="269">
        <f>IF(BR$7="Actual","",IFERROR((INDEX($M352:$Q352,,MATCH(BR$4,$M$4:$Q$4,0))),0))</f>
        <v/>
      </c>
      <c r="BS352" s="269">
        <f>IF(BS$7="Actual","",IFERROR((INDEX($M352:$Q352,,MATCH(BS$4,$M$4:$Q$4,0))),0))</f>
        <v/>
      </c>
      <c r="BT352" s="269">
        <f>IF(BT$7="Actual","",IFERROR((INDEX($M352:$Q352,,MATCH(BT$4,$M$4:$Q$4,0))),0))</f>
        <v/>
      </c>
      <c r="BU352" s="269">
        <f>IF(BU$7="Actual","",IFERROR((INDEX($M352:$Q352,,MATCH(BU$4,$M$4:$Q$4,0))),0))</f>
        <v/>
      </c>
      <c r="BV352" s="269">
        <f>IF(BV$7="Actual","",IFERROR((INDEX($M352:$Q352,,MATCH(BV$4,$M$4:$Q$4,0))),0))</f>
        <v/>
      </c>
      <c r="BW352" s="269">
        <f>IF(BW$7="Actual","",IFERROR((INDEX($M352:$Q352,,MATCH(BW$4,$M$4:$Q$4,0))),0))</f>
        <v/>
      </c>
      <c r="BX352" s="269">
        <f>IF(BX$7="Actual","",IFERROR((INDEX($M352:$Q352,,MATCH(BX$4,$M$4:$Q$4,0))),0))</f>
        <v/>
      </c>
      <c r="BY352" s="269">
        <f>IF(BY$7="Actual","",IFERROR((INDEX($M352:$Q352,,MATCH(BY$4,$M$4:$Q$4,0))),0))</f>
        <v/>
      </c>
      <c r="BZ352" s="269">
        <f>IF(BZ$7="Actual","",IFERROR((INDEX($M352:$Q352,,MATCH(BZ$4,$M$4:$Q$4,0))),0))</f>
        <v/>
      </c>
      <c r="CA352" s="269">
        <f>IF(CA$7="Actual","",IFERROR((INDEX($M352:$Q352,,MATCH(CA$4,$M$4:$Q$4,0))),0))</f>
        <v/>
      </c>
    </row>
    <row r="353" ht="12" customHeight="1" s="227">
      <c r="A353" s="244" t="n"/>
      <c r="B353" s="244" t="n"/>
      <c r="C353" s="244" t="n"/>
      <c r="H353" s="4">
        <f>H343</f>
        <v/>
      </c>
      <c r="I353" s="27" t="inlineStr">
        <is>
          <t>no</t>
        </is>
      </c>
      <c r="K353" s="6" t="n"/>
      <c r="M353" s="267">
        <f>IF(M$7="Actual","",i_Assumptions!M411)</f>
        <v/>
      </c>
      <c r="N353" s="267">
        <f>IF(N$7="Actual","",i_Assumptions!N411)</f>
        <v/>
      </c>
      <c r="O353" s="267">
        <f>IF(O$7="Actual","",i_Assumptions!O411)</f>
        <v/>
      </c>
      <c r="P353" s="267">
        <f>IF(P$7="Actual","",i_Assumptions!P411)</f>
        <v/>
      </c>
      <c r="Q353" s="267">
        <f>IF(Q$7="Actual","",i_Assumptions!Q411)</f>
        <v/>
      </c>
      <c r="R353" s="268" t="n"/>
      <c r="S353" s="268" t="n"/>
      <c r="T353" s="269">
        <f>IF(T$7="Actual","",IFERROR((INDEX($M353:$Q353,,MATCH(T$4,$M$4:$Q$4,0))),0))</f>
        <v/>
      </c>
      <c r="U353" s="269">
        <f>IF(U$7="Actual","",IFERROR((INDEX($M353:$Q353,,MATCH(U$4,$M$4:$Q$4,0))),0))</f>
        <v/>
      </c>
      <c r="V353" s="269">
        <f>IF(V$7="Actual","",IFERROR((INDEX($M353:$Q353,,MATCH(V$4,$M$4:$Q$4,0))),0))</f>
        <v/>
      </c>
      <c r="W353" s="269">
        <f>IF(W$7="Actual","",IFERROR((INDEX($M353:$Q353,,MATCH(W$4,$M$4:$Q$4,0))),0))</f>
        <v/>
      </c>
      <c r="X353" s="269">
        <f>IF(X$7="Actual","",IFERROR((INDEX($M353:$Q353,,MATCH(X$4,$M$4:$Q$4,0))),0))</f>
        <v/>
      </c>
      <c r="Y353" s="269">
        <f>IF(Y$7="Actual","",IFERROR((INDEX($M353:$Q353,,MATCH(Y$4,$M$4:$Q$4,0))),0))</f>
        <v/>
      </c>
      <c r="Z353" s="269">
        <f>IF(Z$7="Actual","",IFERROR((INDEX($M353:$Q353,,MATCH(Z$4,$M$4:$Q$4,0))),0))</f>
        <v/>
      </c>
      <c r="AA353" s="269">
        <f>IF(AA$7="Actual","",IFERROR((INDEX($M353:$Q353,,MATCH(AA$4,$M$4:$Q$4,0))),0))</f>
        <v/>
      </c>
      <c r="AB353" s="269">
        <f>IF(AB$7="Actual","",IFERROR((INDEX($M353:$Q353,,MATCH(AB$4,$M$4:$Q$4,0))),0))</f>
        <v/>
      </c>
      <c r="AC353" s="269">
        <f>IF(AC$7="Actual","",IFERROR((INDEX($M353:$Q353,,MATCH(AC$4,$M$4:$Q$4,0))),0))</f>
        <v/>
      </c>
      <c r="AD353" s="269">
        <f>IF(AD$7="Actual","",IFERROR((INDEX($M353:$Q353,,MATCH(AD$4,$M$4:$Q$4,0))),0))</f>
        <v/>
      </c>
      <c r="AE353" s="269">
        <f>IF(AE$7="Actual","",IFERROR((INDEX($M353:$Q353,,MATCH(AE$4,$M$4:$Q$4,0))),0))</f>
        <v/>
      </c>
      <c r="AF353" s="269">
        <f>IF(AF$7="Actual","",IFERROR((INDEX($M353:$Q353,,MATCH(AF$4,$M$4:$Q$4,0))),0))</f>
        <v/>
      </c>
      <c r="AG353" s="269">
        <f>IF(AG$7="Actual","",IFERROR((INDEX($M353:$Q353,,MATCH(AG$4,$M$4:$Q$4,0))),0))</f>
        <v/>
      </c>
      <c r="AH353" s="269">
        <f>IF(AH$7="Actual","",IFERROR((INDEX($M353:$Q353,,MATCH(AH$4,$M$4:$Q$4,0))),0))</f>
        <v/>
      </c>
      <c r="AI353" s="269">
        <f>IF(AI$7="Actual","",IFERROR((INDEX($M353:$Q353,,MATCH(AI$4,$M$4:$Q$4,0))),0))</f>
        <v/>
      </c>
      <c r="AJ353" s="269">
        <f>IF(AJ$7="Actual","",IFERROR((INDEX($M353:$Q353,,MATCH(AJ$4,$M$4:$Q$4,0))),0))</f>
        <v/>
      </c>
      <c r="AK353" s="269">
        <f>IF(AK$7="Actual","",IFERROR((INDEX($M353:$Q353,,MATCH(AK$4,$M$4:$Q$4,0))),0))</f>
        <v/>
      </c>
      <c r="AL353" s="269">
        <f>IF(AL$7="Actual","",IFERROR((INDEX($M353:$Q353,,MATCH(AL$4,$M$4:$Q$4,0))),0))</f>
        <v/>
      </c>
      <c r="AM353" s="269">
        <f>IF(AM$7="Actual","",IFERROR((INDEX($M353:$Q353,,MATCH(AM$4,$M$4:$Q$4,0))),0))</f>
        <v/>
      </c>
      <c r="AN353" s="269">
        <f>IF(AN$7="Actual","",IFERROR((INDEX($M353:$Q353,,MATCH(AN$4,$M$4:$Q$4,0))),0))</f>
        <v/>
      </c>
      <c r="AO353" s="269">
        <f>IF(AO$7="Actual","",IFERROR((INDEX($M353:$Q353,,MATCH(AO$4,$M$4:$Q$4,0))),0))</f>
        <v/>
      </c>
      <c r="AP353" s="269">
        <f>IF(AP$7="Actual","",IFERROR((INDEX($M353:$Q353,,MATCH(AP$4,$M$4:$Q$4,0))),0))</f>
        <v/>
      </c>
      <c r="AQ353" s="269">
        <f>IF(AQ$7="Actual","",IFERROR((INDEX($M353:$Q353,,MATCH(AQ$4,$M$4:$Q$4,0))),0))</f>
        <v/>
      </c>
      <c r="AR353" s="269">
        <f>IF(AR$7="Actual","",IFERROR((INDEX($M353:$Q353,,MATCH(AR$4,$M$4:$Q$4,0))),0))</f>
        <v/>
      </c>
      <c r="AS353" s="269">
        <f>IF(AS$7="Actual","",IFERROR((INDEX($M353:$Q353,,MATCH(AS$4,$M$4:$Q$4,0))),0))</f>
        <v/>
      </c>
      <c r="AT353" s="269">
        <f>IF(AT$7="Actual","",IFERROR((INDEX($M353:$Q353,,MATCH(AT$4,$M$4:$Q$4,0))),0))</f>
        <v/>
      </c>
      <c r="AU353" s="269">
        <f>IF(AU$7="Actual","",IFERROR((INDEX($M353:$Q353,,MATCH(AU$4,$M$4:$Q$4,0))),0))</f>
        <v/>
      </c>
      <c r="AV353" s="269">
        <f>IF(AV$7="Actual","",IFERROR((INDEX($M353:$Q353,,MATCH(AV$4,$M$4:$Q$4,0))),0))</f>
        <v/>
      </c>
      <c r="AW353" s="269">
        <f>IF(AW$7="Actual","",IFERROR((INDEX($M353:$Q353,,MATCH(AW$4,$M$4:$Q$4,0))),0))</f>
        <v/>
      </c>
      <c r="AX353" s="269">
        <f>IF(AX$7="Actual","",IFERROR((INDEX($M353:$Q353,,MATCH(AX$4,$M$4:$Q$4,0))),0))</f>
        <v/>
      </c>
      <c r="AY353" s="269">
        <f>IF(AY$7="Actual","",IFERROR((INDEX($M353:$Q353,,MATCH(AY$4,$M$4:$Q$4,0))),0))</f>
        <v/>
      </c>
      <c r="AZ353" s="269">
        <f>IF(AZ$7="Actual","",IFERROR((INDEX($M353:$Q353,,MATCH(AZ$4,$M$4:$Q$4,0))),0))</f>
        <v/>
      </c>
      <c r="BA353" s="269">
        <f>IF(BA$7="Actual","",IFERROR((INDEX($M353:$Q353,,MATCH(BA$4,$M$4:$Q$4,0))),0))</f>
        <v/>
      </c>
      <c r="BB353" s="269">
        <f>IF(BB$7="Actual","",IFERROR((INDEX($M353:$Q353,,MATCH(BB$4,$M$4:$Q$4,0))),0))</f>
        <v/>
      </c>
      <c r="BC353" s="269">
        <f>IF(BC$7="Actual","",IFERROR((INDEX($M353:$Q353,,MATCH(BC$4,$M$4:$Q$4,0))),0))</f>
        <v/>
      </c>
      <c r="BD353" s="269">
        <f>IF(BD$7="Actual","",IFERROR((INDEX($M353:$Q353,,MATCH(BD$4,$M$4:$Q$4,0))),0))</f>
        <v/>
      </c>
      <c r="BE353" s="269">
        <f>IF(BE$7="Actual","",IFERROR((INDEX($M353:$Q353,,MATCH(BE$4,$M$4:$Q$4,0))),0))</f>
        <v/>
      </c>
      <c r="BF353" s="269">
        <f>IF(BF$7="Actual","",IFERROR((INDEX($M353:$Q353,,MATCH(BF$4,$M$4:$Q$4,0))),0))</f>
        <v/>
      </c>
      <c r="BG353" s="269">
        <f>IF(BG$7="Actual","",IFERROR((INDEX($M353:$Q353,,MATCH(BG$4,$M$4:$Q$4,0))),0))</f>
        <v/>
      </c>
      <c r="BH353" s="269">
        <f>IF(BH$7="Actual","",IFERROR((INDEX($M353:$Q353,,MATCH(BH$4,$M$4:$Q$4,0))),0))</f>
        <v/>
      </c>
      <c r="BI353" s="269">
        <f>IF(BI$7="Actual","",IFERROR((INDEX($M353:$Q353,,MATCH(BI$4,$M$4:$Q$4,0))),0))</f>
        <v/>
      </c>
      <c r="BJ353" s="269">
        <f>IF(BJ$7="Actual","",IFERROR((INDEX($M353:$Q353,,MATCH(BJ$4,$M$4:$Q$4,0))),0))</f>
        <v/>
      </c>
      <c r="BK353" s="269">
        <f>IF(BK$7="Actual","",IFERROR((INDEX($M353:$Q353,,MATCH(BK$4,$M$4:$Q$4,0))),0))</f>
        <v/>
      </c>
      <c r="BL353" s="269">
        <f>IF(BL$7="Actual","",IFERROR((INDEX($M353:$Q353,,MATCH(BL$4,$M$4:$Q$4,0))),0))</f>
        <v/>
      </c>
      <c r="BM353" s="269">
        <f>IF(BM$7="Actual","",IFERROR((INDEX($M353:$Q353,,MATCH(BM$4,$M$4:$Q$4,0))),0))</f>
        <v/>
      </c>
      <c r="BN353" s="269">
        <f>IF(BN$7="Actual","",IFERROR((INDEX($M353:$Q353,,MATCH(BN$4,$M$4:$Q$4,0))),0))</f>
        <v/>
      </c>
      <c r="BO353" s="269">
        <f>IF(BO$7="Actual","",IFERROR((INDEX($M353:$Q353,,MATCH(BO$4,$M$4:$Q$4,0))),0))</f>
        <v/>
      </c>
      <c r="BP353" s="269">
        <f>IF(BP$7="Actual","",IFERROR((INDEX($M353:$Q353,,MATCH(BP$4,$M$4:$Q$4,0))),0))</f>
        <v/>
      </c>
      <c r="BQ353" s="269">
        <f>IF(BQ$7="Actual","",IFERROR((INDEX($M353:$Q353,,MATCH(BQ$4,$M$4:$Q$4,0))),0))</f>
        <v/>
      </c>
      <c r="BR353" s="269">
        <f>IF(BR$7="Actual","",IFERROR((INDEX($M353:$Q353,,MATCH(BR$4,$M$4:$Q$4,0))),0))</f>
        <v/>
      </c>
      <c r="BS353" s="269">
        <f>IF(BS$7="Actual","",IFERROR((INDEX($M353:$Q353,,MATCH(BS$4,$M$4:$Q$4,0))),0))</f>
        <v/>
      </c>
      <c r="BT353" s="269">
        <f>IF(BT$7="Actual","",IFERROR((INDEX($M353:$Q353,,MATCH(BT$4,$M$4:$Q$4,0))),0))</f>
        <v/>
      </c>
      <c r="BU353" s="269">
        <f>IF(BU$7="Actual","",IFERROR((INDEX($M353:$Q353,,MATCH(BU$4,$M$4:$Q$4,0))),0))</f>
        <v/>
      </c>
      <c r="BV353" s="269">
        <f>IF(BV$7="Actual","",IFERROR((INDEX($M353:$Q353,,MATCH(BV$4,$M$4:$Q$4,0))),0))</f>
        <v/>
      </c>
      <c r="BW353" s="269">
        <f>IF(BW$7="Actual","",IFERROR((INDEX($M353:$Q353,,MATCH(BW$4,$M$4:$Q$4,0))),0))</f>
        <v/>
      </c>
      <c r="BX353" s="269">
        <f>IF(BX$7="Actual","",IFERROR((INDEX($M353:$Q353,,MATCH(BX$4,$M$4:$Q$4,0))),0))</f>
        <v/>
      </c>
      <c r="BY353" s="269">
        <f>IF(BY$7="Actual","",IFERROR((INDEX($M353:$Q353,,MATCH(BY$4,$M$4:$Q$4,0))),0))</f>
        <v/>
      </c>
      <c r="BZ353" s="269">
        <f>IF(BZ$7="Actual","",IFERROR((INDEX($M353:$Q353,,MATCH(BZ$4,$M$4:$Q$4,0))),0))</f>
        <v/>
      </c>
      <c r="CA353" s="269">
        <f>IF(CA$7="Actual","",IFERROR((INDEX($M353:$Q353,,MATCH(CA$4,$M$4:$Q$4,0))),0))</f>
        <v/>
      </c>
    </row>
    <row r="354" ht="12" customHeight="1" s="227">
      <c r="A354" s="244" t="n"/>
      <c r="B354" s="244" t="n"/>
      <c r="C354" s="244" t="n"/>
      <c r="H354" s="4">
        <f>H344</f>
        <v/>
      </c>
      <c r="I354" s="27" t="inlineStr">
        <is>
          <t>no</t>
        </is>
      </c>
      <c r="K354" s="6" t="n"/>
      <c r="M354" s="267">
        <f>IF(M$7="Actual","",i_Assumptions!M412)</f>
        <v/>
      </c>
      <c r="N354" s="267">
        <f>IF(N$7="Actual","",i_Assumptions!N412)</f>
        <v/>
      </c>
      <c r="O354" s="267">
        <f>IF(O$7="Actual","",i_Assumptions!O412)</f>
        <v/>
      </c>
      <c r="P354" s="267">
        <f>IF(P$7="Actual","",i_Assumptions!P412)</f>
        <v/>
      </c>
      <c r="Q354" s="267">
        <f>IF(Q$7="Actual","",i_Assumptions!Q412)</f>
        <v/>
      </c>
      <c r="R354" s="268" t="n"/>
      <c r="S354" s="268" t="n"/>
      <c r="T354" s="269">
        <f>IF(T$7="Actual","",IFERROR((INDEX($M354:$Q354,,MATCH(T$4,$M$4:$Q$4,0))),0))</f>
        <v/>
      </c>
      <c r="U354" s="269">
        <f>IF(U$7="Actual","",IFERROR((INDEX($M354:$Q354,,MATCH(U$4,$M$4:$Q$4,0))),0))</f>
        <v/>
      </c>
      <c r="V354" s="269">
        <f>IF(V$7="Actual","",IFERROR((INDEX($M354:$Q354,,MATCH(V$4,$M$4:$Q$4,0))),0))</f>
        <v/>
      </c>
      <c r="W354" s="269">
        <f>IF(W$7="Actual","",IFERROR((INDEX($M354:$Q354,,MATCH(W$4,$M$4:$Q$4,0))),0))</f>
        <v/>
      </c>
      <c r="X354" s="269">
        <f>IF(X$7="Actual","",IFERROR((INDEX($M354:$Q354,,MATCH(X$4,$M$4:$Q$4,0))),0))</f>
        <v/>
      </c>
      <c r="Y354" s="269">
        <f>IF(Y$7="Actual","",IFERROR((INDEX($M354:$Q354,,MATCH(Y$4,$M$4:$Q$4,0))),0))</f>
        <v/>
      </c>
      <c r="Z354" s="269">
        <f>IF(Z$7="Actual","",IFERROR((INDEX($M354:$Q354,,MATCH(Z$4,$M$4:$Q$4,0))),0))</f>
        <v/>
      </c>
      <c r="AA354" s="269">
        <f>IF(AA$7="Actual","",IFERROR((INDEX($M354:$Q354,,MATCH(AA$4,$M$4:$Q$4,0))),0))</f>
        <v/>
      </c>
      <c r="AB354" s="269">
        <f>IF(AB$7="Actual","",IFERROR((INDEX($M354:$Q354,,MATCH(AB$4,$M$4:$Q$4,0))),0))</f>
        <v/>
      </c>
      <c r="AC354" s="269">
        <f>IF(AC$7="Actual","",IFERROR((INDEX($M354:$Q354,,MATCH(AC$4,$M$4:$Q$4,0))),0))</f>
        <v/>
      </c>
      <c r="AD354" s="269">
        <f>IF(AD$7="Actual","",IFERROR((INDEX($M354:$Q354,,MATCH(AD$4,$M$4:$Q$4,0))),0))</f>
        <v/>
      </c>
      <c r="AE354" s="269">
        <f>IF(AE$7="Actual","",IFERROR((INDEX($M354:$Q354,,MATCH(AE$4,$M$4:$Q$4,0))),0))</f>
        <v/>
      </c>
      <c r="AF354" s="269">
        <f>IF(AF$7="Actual","",IFERROR((INDEX($M354:$Q354,,MATCH(AF$4,$M$4:$Q$4,0))),0))</f>
        <v/>
      </c>
      <c r="AG354" s="269">
        <f>IF(AG$7="Actual","",IFERROR((INDEX($M354:$Q354,,MATCH(AG$4,$M$4:$Q$4,0))),0))</f>
        <v/>
      </c>
      <c r="AH354" s="269">
        <f>IF(AH$7="Actual","",IFERROR((INDEX($M354:$Q354,,MATCH(AH$4,$M$4:$Q$4,0))),0))</f>
        <v/>
      </c>
      <c r="AI354" s="269">
        <f>IF(AI$7="Actual","",IFERROR((INDEX($M354:$Q354,,MATCH(AI$4,$M$4:$Q$4,0))),0))</f>
        <v/>
      </c>
      <c r="AJ354" s="269">
        <f>IF(AJ$7="Actual","",IFERROR((INDEX($M354:$Q354,,MATCH(AJ$4,$M$4:$Q$4,0))),0))</f>
        <v/>
      </c>
      <c r="AK354" s="269">
        <f>IF(AK$7="Actual","",IFERROR((INDEX($M354:$Q354,,MATCH(AK$4,$M$4:$Q$4,0))),0))</f>
        <v/>
      </c>
      <c r="AL354" s="269">
        <f>IF(AL$7="Actual","",IFERROR((INDEX($M354:$Q354,,MATCH(AL$4,$M$4:$Q$4,0))),0))</f>
        <v/>
      </c>
      <c r="AM354" s="269">
        <f>IF(AM$7="Actual","",IFERROR((INDEX($M354:$Q354,,MATCH(AM$4,$M$4:$Q$4,0))),0))</f>
        <v/>
      </c>
      <c r="AN354" s="269">
        <f>IF(AN$7="Actual","",IFERROR((INDEX($M354:$Q354,,MATCH(AN$4,$M$4:$Q$4,0))),0))</f>
        <v/>
      </c>
      <c r="AO354" s="269">
        <f>IF(AO$7="Actual","",IFERROR((INDEX($M354:$Q354,,MATCH(AO$4,$M$4:$Q$4,0))),0))</f>
        <v/>
      </c>
      <c r="AP354" s="269">
        <f>IF(AP$7="Actual","",IFERROR((INDEX($M354:$Q354,,MATCH(AP$4,$M$4:$Q$4,0))),0))</f>
        <v/>
      </c>
      <c r="AQ354" s="269">
        <f>IF(AQ$7="Actual","",IFERROR((INDEX($M354:$Q354,,MATCH(AQ$4,$M$4:$Q$4,0))),0))</f>
        <v/>
      </c>
      <c r="AR354" s="269">
        <f>IF(AR$7="Actual","",IFERROR((INDEX($M354:$Q354,,MATCH(AR$4,$M$4:$Q$4,0))),0))</f>
        <v/>
      </c>
      <c r="AS354" s="269">
        <f>IF(AS$7="Actual","",IFERROR((INDEX($M354:$Q354,,MATCH(AS$4,$M$4:$Q$4,0))),0))</f>
        <v/>
      </c>
      <c r="AT354" s="269">
        <f>IF(AT$7="Actual","",IFERROR((INDEX($M354:$Q354,,MATCH(AT$4,$M$4:$Q$4,0))),0))</f>
        <v/>
      </c>
      <c r="AU354" s="269">
        <f>IF(AU$7="Actual","",IFERROR((INDEX($M354:$Q354,,MATCH(AU$4,$M$4:$Q$4,0))),0))</f>
        <v/>
      </c>
      <c r="AV354" s="269">
        <f>IF(AV$7="Actual","",IFERROR((INDEX($M354:$Q354,,MATCH(AV$4,$M$4:$Q$4,0))),0))</f>
        <v/>
      </c>
      <c r="AW354" s="269">
        <f>IF(AW$7="Actual","",IFERROR((INDEX($M354:$Q354,,MATCH(AW$4,$M$4:$Q$4,0))),0))</f>
        <v/>
      </c>
      <c r="AX354" s="269">
        <f>IF(AX$7="Actual","",IFERROR((INDEX($M354:$Q354,,MATCH(AX$4,$M$4:$Q$4,0))),0))</f>
        <v/>
      </c>
      <c r="AY354" s="269">
        <f>IF(AY$7="Actual","",IFERROR((INDEX($M354:$Q354,,MATCH(AY$4,$M$4:$Q$4,0))),0))</f>
        <v/>
      </c>
      <c r="AZ354" s="269">
        <f>IF(AZ$7="Actual","",IFERROR((INDEX($M354:$Q354,,MATCH(AZ$4,$M$4:$Q$4,0))),0))</f>
        <v/>
      </c>
      <c r="BA354" s="269">
        <f>IF(BA$7="Actual","",IFERROR((INDEX($M354:$Q354,,MATCH(BA$4,$M$4:$Q$4,0))),0))</f>
        <v/>
      </c>
      <c r="BB354" s="269">
        <f>IF(BB$7="Actual","",IFERROR((INDEX($M354:$Q354,,MATCH(BB$4,$M$4:$Q$4,0))),0))</f>
        <v/>
      </c>
      <c r="BC354" s="269">
        <f>IF(BC$7="Actual","",IFERROR((INDEX($M354:$Q354,,MATCH(BC$4,$M$4:$Q$4,0))),0))</f>
        <v/>
      </c>
      <c r="BD354" s="269">
        <f>IF(BD$7="Actual","",IFERROR((INDEX($M354:$Q354,,MATCH(BD$4,$M$4:$Q$4,0))),0))</f>
        <v/>
      </c>
      <c r="BE354" s="269">
        <f>IF(BE$7="Actual","",IFERROR((INDEX($M354:$Q354,,MATCH(BE$4,$M$4:$Q$4,0))),0))</f>
        <v/>
      </c>
      <c r="BF354" s="269">
        <f>IF(BF$7="Actual","",IFERROR((INDEX($M354:$Q354,,MATCH(BF$4,$M$4:$Q$4,0))),0))</f>
        <v/>
      </c>
      <c r="BG354" s="269">
        <f>IF(BG$7="Actual","",IFERROR((INDEX($M354:$Q354,,MATCH(BG$4,$M$4:$Q$4,0))),0))</f>
        <v/>
      </c>
      <c r="BH354" s="269">
        <f>IF(BH$7="Actual","",IFERROR((INDEX($M354:$Q354,,MATCH(BH$4,$M$4:$Q$4,0))),0))</f>
        <v/>
      </c>
      <c r="BI354" s="269">
        <f>IF(BI$7="Actual","",IFERROR((INDEX($M354:$Q354,,MATCH(BI$4,$M$4:$Q$4,0))),0))</f>
        <v/>
      </c>
      <c r="BJ354" s="269">
        <f>IF(BJ$7="Actual","",IFERROR((INDEX($M354:$Q354,,MATCH(BJ$4,$M$4:$Q$4,0))),0))</f>
        <v/>
      </c>
      <c r="BK354" s="269">
        <f>IF(BK$7="Actual","",IFERROR((INDEX($M354:$Q354,,MATCH(BK$4,$M$4:$Q$4,0))),0))</f>
        <v/>
      </c>
      <c r="BL354" s="269">
        <f>IF(BL$7="Actual","",IFERROR((INDEX($M354:$Q354,,MATCH(BL$4,$M$4:$Q$4,0))),0))</f>
        <v/>
      </c>
      <c r="BM354" s="269">
        <f>IF(BM$7="Actual","",IFERROR((INDEX($M354:$Q354,,MATCH(BM$4,$M$4:$Q$4,0))),0))</f>
        <v/>
      </c>
      <c r="BN354" s="269">
        <f>IF(BN$7="Actual","",IFERROR((INDEX($M354:$Q354,,MATCH(BN$4,$M$4:$Q$4,0))),0))</f>
        <v/>
      </c>
      <c r="BO354" s="269">
        <f>IF(BO$7="Actual","",IFERROR((INDEX($M354:$Q354,,MATCH(BO$4,$M$4:$Q$4,0))),0))</f>
        <v/>
      </c>
      <c r="BP354" s="269">
        <f>IF(BP$7="Actual","",IFERROR((INDEX($M354:$Q354,,MATCH(BP$4,$M$4:$Q$4,0))),0))</f>
        <v/>
      </c>
      <c r="BQ354" s="269">
        <f>IF(BQ$7="Actual","",IFERROR((INDEX($M354:$Q354,,MATCH(BQ$4,$M$4:$Q$4,0))),0))</f>
        <v/>
      </c>
      <c r="BR354" s="269">
        <f>IF(BR$7="Actual","",IFERROR((INDEX($M354:$Q354,,MATCH(BR$4,$M$4:$Q$4,0))),0))</f>
        <v/>
      </c>
      <c r="BS354" s="269">
        <f>IF(BS$7="Actual","",IFERROR((INDEX($M354:$Q354,,MATCH(BS$4,$M$4:$Q$4,0))),0))</f>
        <v/>
      </c>
      <c r="BT354" s="269">
        <f>IF(BT$7="Actual","",IFERROR((INDEX($M354:$Q354,,MATCH(BT$4,$M$4:$Q$4,0))),0))</f>
        <v/>
      </c>
      <c r="BU354" s="269">
        <f>IF(BU$7="Actual","",IFERROR((INDEX($M354:$Q354,,MATCH(BU$4,$M$4:$Q$4,0))),0))</f>
        <v/>
      </c>
      <c r="BV354" s="269">
        <f>IF(BV$7="Actual","",IFERROR((INDEX($M354:$Q354,,MATCH(BV$4,$M$4:$Q$4,0))),0))</f>
        <v/>
      </c>
      <c r="BW354" s="269">
        <f>IF(BW$7="Actual","",IFERROR((INDEX($M354:$Q354,,MATCH(BW$4,$M$4:$Q$4,0))),0))</f>
        <v/>
      </c>
      <c r="BX354" s="269">
        <f>IF(BX$7="Actual","",IFERROR((INDEX($M354:$Q354,,MATCH(BX$4,$M$4:$Q$4,0))),0))</f>
        <v/>
      </c>
      <c r="BY354" s="269">
        <f>IF(BY$7="Actual","",IFERROR((INDEX($M354:$Q354,,MATCH(BY$4,$M$4:$Q$4,0))),0))</f>
        <v/>
      </c>
      <c r="BZ354" s="269">
        <f>IF(BZ$7="Actual","",IFERROR((INDEX($M354:$Q354,,MATCH(BZ$4,$M$4:$Q$4,0))),0))</f>
        <v/>
      </c>
      <c r="CA354" s="269">
        <f>IF(CA$7="Actual","",IFERROR((INDEX($M354:$Q354,,MATCH(CA$4,$M$4:$Q$4,0))),0))</f>
        <v/>
      </c>
    </row>
    <row r="355" ht="12" customHeight="1" s="227">
      <c r="A355" s="244" t="n"/>
      <c r="B355" s="244" t="n"/>
      <c r="C355" s="244" t="n"/>
      <c r="H355" s="4">
        <f>H345</f>
        <v/>
      </c>
      <c r="I355" s="27" t="inlineStr">
        <is>
          <t>no</t>
        </is>
      </c>
      <c r="K355" s="6" t="n"/>
      <c r="M355" s="267">
        <f>IF(M$7="Actual","",i_Assumptions!M413)</f>
        <v/>
      </c>
      <c r="N355" s="267">
        <f>IF(N$7="Actual","",i_Assumptions!N413)</f>
        <v/>
      </c>
      <c r="O355" s="267">
        <f>IF(O$7="Actual","",i_Assumptions!O413)</f>
        <v/>
      </c>
      <c r="P355" s="267">
        <f>IF(P$7="Actual","",i_Assumptions!P413)</f>
        <v/>
      </c>
      <c r="Q355" s="267">
        <f>IF(Q$7="Actual","",i_Assumptions!Q413)</f>
        <v/>
      </c>
      <c r="R355" s="268" t="n"/>
      <c r="S355" s="268" t="n"/>
      <c r="T355" s="269">
        <f>IF(T$7="Actual","",IFERROR((INDEX($M355:$Q355,,MATCH(T$4,$M$4:$Q$4,0))),0))</f>
        <v/>
      </c>
      <c r="U355" s="269">
        <f>IF(U$7="Actual","",IFERROR((INDEX($M355:$Q355,,MATCH(U$4,$M$4:$Q$4,0))),0))</f>
        <v/>
      </c>
      <c r="V355" s="269">
        <f>IF(V$7="Actual","",IFERROR((INDEX($M355:$Q355,,MATCH(V$4,$M$4:$Q$4,0))),0))</f>
        <v/>
      </c>
      <c r="W355" s="269">
        <f>IF(W$7="Actual","",IFERROR((INDEX($M355:$Q355,,MATCH(W$4,$M$4:$Q$4,0))),0))</f>
        <v/>
      </c>
      <c r="X355" s="269">
        <f>IF(X$7="Actual","",IFERROR((INDEX($M355:$Q355,,MATCH(X$4,$M$4:$Q$4,0))),0))</f>
        <v/>
      </c>
      <c r="Y355" s="269">
        <f>IF(Y$7="Actual","",IFERROR((INDEX($M355:$Q355,,MATCH(Y$4,$M$4:$Q$4,0))),0))</f>
        <v/>
      </c>
      <c r="Z355" s="269">
        <f>IF(Z$7="Actual","",IFERROR((INDEX($M355:$Q355,,MATCH(Z$4,$M$4:$Q$4,0))),0))</f>
        <v/>
      </c>
      <c r="AA355" s="269">
        <f>IF(AA$7="Actual","",IFERROR((INDEX($M355:$Q355,,MATCH(AA$4,$M$4:$Q$4,0))),0))</f>
        <v/>
      </c>
      <c r="AB355" s="269">
        <f>IF(AB$7="Actual","",IFERROR((INDEX($M355:$Q355,,MATCH(AB$4,$M$4:$Q$4,0))),0))</f>
        <v/>
      </c>
      <c r="AC355" s="269">
        <f>IF(AC$7="Actual","",IFERROR((INDEX($M355:$Q355,,MATCH(AC$4,$M$4:$Q$4,0))),0))</f>
        <v/>
      </c>
      <c r="AD355" s="269">
        <f>IF(AD$7="Actual","",IFERROR((INDEX($M355:$Q355,,MATCH(AD$4,$M$4:$Q$4,0))),0))</f>
        <v/>
      </c>
      <c r="AE355" s="269">
        <f>IF(AE$7="Actual","",IFERROR((INDEX($M355:$Q355,,MATCH(AE$4,$M$4:$Q$4,0))),0))</f>
        <v/>
      </c>
      <c r="AF355" s="269">
        <f>IF(AF$7="Actual","",IFERROR((INDEX($M355:$Q355,,MATCH(AF$4,$M$4:$Q$4,0))),0))</f>
        <v/>
      </c>
      <c r="AG355" s="269">
        <f>IF(AG$7="Actual","",IFERROR((INDEX($M355:$Q355,,MATCH(AG$4,$M$4:$Q$4,0))),0))</f>
        <v/>
      </c>
      <c r="AH355" s="269">
        <f>IF(AH$7="Actual","",IFERROR((INDEX($M355:$Q355,,MATCH(AH$4,$M$4:$Q$4,0))),0))</f>
        <v/>
      </c>
      <c r="AI355" s="269">
        <f>IF(AI$7="Actual","",IFERROR((INDEX($M355:$Q355,,MATCH(AI$4,$M$4:$Q$4,0))),0))</f>
        <v/>
      </c>
      <c r="AJ355" s="269">
        <f>IF(AJ$7="Actual","",IFERROR((INDEX($M355:$Q355,,MATCH(AJ$4,$M$4:$Q$4,0))),0))</f>
        <v/>
      </c>
      <c r="AK355" s="269">
        <f>IF(AK$7="Actual","",IFERROR((INDEX($M355:$Q355,,MATCH(AK$4,$M$4:$Q$4,0))),0))</f>
        <v/>
      </c>
      <c r="AL355" s="269">
        <f>IF(AL$7="Actual","",IFERROR((INDEX($M355:$Q355,,MATCH(AL$4,$M$4:$Q$4,0))),0))</f>
        <v/>
      </c>
      <c r="AM355" s="269">
        <f>IF(AM$7="Actual","",IFERROR((INDEX($M355:$Q355,,MATCH(AM$4,$M$4:$Q$4,0))),0))</f>
        <v/>
      </c>
      <c r="AN355" s="269">
        <f>IF(AN$7="Actual","",IFERROR((INDEX($M355:$Q355,,MATCH(AN$4,$M$4:$Q$4,0))),0))</f>
        <v/>
      </c>
      <c r="AO355" s="269">
        <f>IF(AO$7="Actual","",IFERROR((INDEX($M355:$Q355,,MATCH(AO$4,$M$4:$Q$4,0))),0))</f>
        <v/>
      </c>
      <c r="AP355" s="269">
        <f>IF(AP$7="Actual","",IFERROR((INDEX($M355:$Q355,,MATCH(AP$4,$M$4:$Q$4,0))),0))</f>
        <v/>
      </c>
      <c r="AQ355" s="269">
        <f>IF(AQ$7="Actual","",IFERROR((INDEX($M355:$Q355,,MATCH(AQ$4,$M$4:$Q$4,0))),0))</f>
        <v/>
      </c>
      <c r="AR355" s="269">
        <f>IF(AR$7="Actual","",IFERROR((INDEX($M355:$Q355,,MATCH(AR$4,$M$4:$Q$4,0))),0))</f>
        <v/>
      </c>
      <c r="AS355" s="269">
        <f>IF(AS$7="Actual","",IFERROR((INDEX($M355:$Q355,,MATCH(AS$4,$M$4:$Q$4,0))),0))</f>
        <v/>
      </c>
      <c r="AT355" s="269">
        <f>IF(AT$7="Actual","",IFERROR((INDEX($M355:$Q355,,MATCH(AT$4,$M$4:$Q$4,0))),0))</f>
        <v/>
      </c>
      <c r="AU355" s="269">
        <f>IF(AU$7="Actual","",IFERROR((INDEX($M355:$Q355,,MATCH(AU$4,$M$4:$Q$4,0))),0))</f>
        <v/>
      </c>
      <c r="AV355" s="269">
        <f>IF(AV$7="Actual","",IFERROR((INDEX($M355:$Q355,,MATCH(AV$4,$M$4:$Q$4,0))),0))</f>
        <v/>
      </c>
      <c r="AW355" s="269">
        <f>IF(AW$7="Actual","",IFERROR((INDEX($M355:$Q355,,MATCH(AW$4,$M$4:$Q$4,0))),0))</f>
        <v/>
      </c>
      <c r="AX355" s="269">
        <f>IF(AX$7="Actual","",IFERROR((INDEX($M355:$Q355,,MATCH(AX$4,$M$4:$Q$4,0))),0))</f>
        <v/>
      </c>
      <c r="AY355" s="269">
        <f>IF(AY$7="Actual","",IFERROR((INDEX($M355:$Q355,,MATCH(AY$4,$M$4:$Q$4,0))),0))</f>
        <v/>
      </c>
      <c r="AZ355" s="269">
        <f>IF(AZ$7="Actual","",IFERROR((INDEX($M355:$Q355,,MATCH(AZ$4,$M$4:$Q$4,0))),0))</f>
        <v/>
      </c>
      <c r="BA355" s="269">
        <f>IF(BA$7="Actual","",IFERROR((INDEX($M355:$Q355,,MATCH(BA$4,$M$4:$Q$4,0))),0))</f>
        <v/>
      </c>
      <c r="BB355" s="269">
        <f>IF(BB$7="Actual","",IFERROR((INDEX($M355:$Q355,,MATCH(BB$4,$M$4:$Q$4,0))),0))</f>
        <v/>
      </c>
      <c r="BC355" s="269">
        <f>IF(BC$7="Actual","",IFERROR((INDEX($M355:$Q355,,MATCH(BC$4,$M$4:$Q$4,0))),0))</f>
        <v/>
      </c>
      <c r="BD355" s="269">
        <f>IF(BD$7="Actual","",IFERROR((INDEX($M355:$Q355,,MATCH(BD$4,$M$4:$Q$4,0))),0))</f>
        <v/>
      </c>
      <c r="BE355" s="269">
        <f>IF(BE$7="Actual","",IFERROR((INDEX($M355:$Q355,,MATCH(BE$4,$M$4:$Q$4,0))),0))</f>
        <v/>
      </c>
      <c r="BF355" s="269">
        <f>IF(BF$7="Actual","",IFERROR((INDEX($M355:$Q355,,MATCH(BF$4,$M$4:$Q$4,0))),0))</f>
        <v/>
      </c>
      <c r="BG355" s="269">
        <f>IF(BG$7="Actual","",IFERROR((INDEX($M355:$Q355,,MATCH(BG$4,$M$4:$Q$4,0))),0))</f>
        <v/>
      </c>
      <c r="BH355" s="269">
        <f>IF(BH$7="Actual","",IFERROR((INDEX($M355:$Q355,,MATCH(BH$4,$M$4:$Q$4,0))),0))</f>
        <v/>
      </c>
      <c r="BI355" s="269">
        <f>IF(BI$7="Actual","",IFERROR((INDEX($M355:$Q355,,MATCH(BI$4,$M$4:$Q$4,0))),0))</f>
        <v/>
      </c>
      <c r="BJ355" s="269">
        <f>IF(BJ$7="Actual","",IFERROR((INDEX($M355:$Q355,,MATCH(BJ$4,$M$4:$Q$4,0))),0))</f>
        <v/>
      </c>
      <c r="BK355" s="269">
        <f>IF(BK$7="Actual","",IFERROR((INDEX($M355:$Q355,,MATCH(BK$4,$M$4:$Q$4,0))),0))</f>
        <v/>
      </c>
      <c r="BL355" s="269">
        <f>IF(BL$7="Actual","",IFERROR((INDEX($M355:$Q355,,MATCH(BL$4,$M$4:$Q$4,0))),0))</f>
        <v/>
      </c>
      <c r="BM355" s="269">
        <f>IF(BM$7="Actual","",IFERROR((INDEX($M355:$Q355,,MATCH(BM$4,$M$4:$Q$4,0))),0))</f>
        <v/>
      </c>
      <c r="BN355" s="269">
        <f>IF(BN$7="Actual","",IFERROR((INDEX($M355:$Q355,,MATCH(BN$4,$M$4:$Q$4,0))),0))</f>
        <v/>
      </c>
      <c r="BO355" s="269">
        <f>IF(BO$7="Actual","",IFERROR((INDEX($M355:$Q355,,MATCH(BO$4,$M$4:$Q$4,0))),0))</f>
        <v/>
      </c>
      <c r="BP355" s="269">
        <f>IF(BP$7="Actual","",IFERROR((INDEX($M355:$Q355,,MATCH(BP$4,$M$4:$Q$4,0))),0))</f>
        <v/>
      </c>
      <c r="BQ355" s="269">
        <f>IF(BQ$7="Actual","",IFERROR((INDEX($M355:$Q355,,MATCH(BQ$4,$M$4:$Q$4,0))),0))</f>
        <v/>
      </c>
      <c r="BR355" s="269">
        <f>IF(BR$7="Actual","",IFERROR((INDEX($M355:$Q355,,MATCH(BR$4,$M$4:$Q$4,0))),0))</f>
        <v/>
      </c>
      <c r="BS355" s="269">
        <f>IF(BS$7="Actual","",IFERROR((INDEX($M355:$Q355,,MATCH(BS$4,$M$4:$Q$4,0))),0))</f>
        <v/>
      </c>
      <c r="BT355" s="269">
        <f>IF(BT$7="Actual","",IFERROR((INDEX($M355:$Q355,,MATCH(BT$4,$M$4:$Q$4,0))),0))</f>
        <v/>
      </c>
      <c r="BU355" s="269">
        <f>IF(BU$7="Actual","",IFERROR((INDEX($M355:$Q355,,MATCH(BU$4,$M$4:$Q$4,0))),0))</f>
        <v/>
      </c>
      <c r="BV355" s="269">
        <f>IF(BV$7="Actual","",IFERROR((INDEX($M355:$Q355,,MATCH(BV$4,$M$4:$Q$4,0))),0))</f>
        <v/>
      </c>
      <c r="BW355" s="269">
        <f>IF(BW$7="Actual","",IFERROR((INDEX($M355:$Q355,,MATCH(BW$4,$M$4:$Q$4,0))),0))</f>
        <v/>
      </c>
      <c r="BX355" s="269">
        <f>IF(BX$7="Actual","",IFERROR((INDEX($M355:$Q355,,MATCH(BX$4,$M$4:$Q$4,0))),0))</f>
        <v/>
      </c>
      <c r="BY355" s="269">
        <f>IF(BY$7="Actual","",IFERROR((INDEX($M355:$Q355,,MATCH(BY$4,$M$4:$Q$4,0))),0))</f>
        <v/>
      </c>
      <c r="BZ355" s="269">
        <f>IF(BZ$7="Actual","",IFERROR((INDEX($M355:$Q355,,MATCH(BZ$4,$M$4:$Q$4,0))),0))</f>
        <v/>
      </c>
      <c r="CA355" s="269">
        <f>IF(CA$7="Actual","",IFERROR((INDEX($M355:$Q355,,MATCH(CA$4,$M$4:$Q$4,0))),0))</f>
        <v/>
      </c>
    </row>
    <row r="356" ht="12" customHeight="1" s="227">
      <c r="A356" s="244" t="n"/>
      <c r="B356" s="244" t="n"/>
      <c r="C356" s="244" t="n"/>
      <c r="H356" s="4">
        <f>H346</f>
        <v/>
      </c>
      <c r="I356" s="27" t="inlineStr">
        <is>
          <t>no</t>
        </is>
      </c>
      <c r="K356" s="6" t="n"/>
      <c r="M356" s="267">
        <f>IF(M$7="Actual","",i_Assumptions!M414)</f>
        <v/>
      </c>
      <c r="N356" s="267">
        <f>IF(N$7="Actual","",i_Assumptions!N414)</f>
        <v/>
      </c>
      <c r="O356" s="267">
        <f>IF(O$7="Actual","",i_Assumptions!O414)</f>
        <v/>
      </c>
      <c r="P356" s="267">
        <f>IF(P$7="Actual","",i_Assumptions!P414)</f>
        <v/>
      </c>
      <c r="Q356" s="267">
        <f>IF(Q$7="Actual","",i_Assumptions!Q414)</f>
        <v/>
      </c>
      <c r="R356" s="268" t="n"/>
      <c r="S356" s="268" t="n"/>
      <c r="T356" s="269">
        <f>IF(T$7="Actual","",IFERROR((INDEX($M356:$Q356,,MATCH(T$4,$M$4:$Q$4,0))),0))</f>
        <v/>
      </c>
      <c r="U356" s="269">
        <f>IF(U$7="Actual","",IFERROR((INDEX($M356:$Q356,,MATCH(U$4,$M$4:$Q$4,0))),0))</f>
        <v/>
      </c>
      <c r="V356" s="269">
        <f>IF(V$7="Actual","",IFERROR((INDEX($M356:$Q356,,MATCH(V$4,$M$4:$Q$4,0))),0))</f>
        <v/>
      </c>
      <c r="W356" s="269">
        <f>IF(W$7="Actual","",IFERROR((INDEX($M356:$Q356,,MATCH(W$4,$M$4:$Q$4,0))),0))</f>
        <v/>
      </c>
      <c r="X356" s="269">
        <f>IF(X$7="Actual","",IFERROR((INDEX($M356:$Q356,,MATCH(X$4,$M$4:$Q$4,0))),0))</f>
        <v/>
      </c>
      <c r="Y356" s="269">
        <f>IF(Y$7="Actual","",IFERROR((INDEX($M356:$Q356,,MATCH(Y$4,$M$4:$Q$4,0))),0))</f>
        <v/>
      </c>
      <c r="Z356" s="269">
        <f>IF(Z$7="Actual","",IFERROR((INDEX($M356:$Q356,,MATCH(Z$4,$M$4:$Q$4,0))),0))</f>
        <v/>
      </c>
      <c r="AA356" s="269">
        <f>IF(AA$7="Actual","",IFERROR((INDEX($M356:$Q356,,MATCH(AA$4,$M$4:$Q$4,0))),0))</f>
        <v/>
      </c>
      <c r="AB356" s="269">
        <f>IF(AB$7="Actual","",IFERROR((INDEX($M356:$Q356,,MATCH(AB$4,$M$4:$Q$4,0))),0))</f>
        <v/>
      </c>
      <c r="AC356" s="269">
        <f>IF(AC$7="Actual","",IFERROR((INDEX($M356:$Q356,,MATCH(AC$4,$M$4:$Q$4,0))),0))</f>
        <v/>
      </c>
      <c r="AD356" s="269">
        <f>IF(AD$7="Actual","",IFERROR((INDEX($M356:$Q356,,MATCH(AD$4,$M$4:$Q$4,0))),0))</f>
        <v/>
      </c>
      <c r="AE356" s="269">
        <f>IF(AE$7="Actual","",IFERROR((INDEX($M356:$Q356,,MATCH(AE$4,$M$4:$Q$4,0))),0))</f>
        <v/>
      </c>
      <c r="AF356" s="269">
        <f>IF(AF$7="Actual","",IFERROR((INDEX($M356:$Q356,,MATCH(AF$4,$M$4:$Q$4,0))),0))</f>
        <v/>
      </c>
      <c r="AG356" s="269">
        <f>IF(AG$7="Actual","",IFERROR((INDEX($M356:$Q356,,MATCH(AG$4,$M$4:$Q$4,0))),0))</f>
        <v/>
      </c>
      <c r="AH356" s="269">
        <f>IF(AH$7="Actual","",IFERROR((INDEX($M356:$Q356,,MATCH(AH$4,$M$4:$Q$4,0))),0))</f>
        <v/>
      </c>
      <c r="AI356" s="269">
        <f>IF(AI$7="Actual","",IFERROR((INDEX($M356:$Q356,,MATCH(AI$4,$M$4:$Q$4,0))),0))</f>
        <v/>
      </c>
      <c r="AJ356" s="269">
        <f>IF(AJ$7="Actual","",IFERROR((INDEX($M356:$Q356,,MATCH(AJ$4,$M$4:$Q$4,0))),0))</f>
        <v/>
      </c>
      <c r="AK356" s="269">
        <f>IF(AK$7="Actual","",IFERROR((INDEX($M356:$Q356,,MATCH(AK$4,$M$4:$Q$4,0))),0))</f>
        <v/>
      </c>
      <c r="AL356" s="269">
        <f>IF(AL$7="Actual","",IFERROR((INDEX($M356:$Q356,,MATCH(AL$4,$M$4:$Q$4,0))),0))</f>
        <v/>
      </c>
      <c r="AM356" s="269">
        <f>IF(AM$7="Actual","",IFERROR((INDEX($M356:$Q356,,MATCH(AM$4,$M$4:$Q$4,0))),0))</f>
        <v/>
      </c>
      <c r="AN356" s="269">
        <f>IF(AN$7="Actual","",IFERROR((INDEX($M356:$Q356,,MATCH(AN$4,$M$4:$Q$4,0))),0))</f>
        <v/>
      </c>
      <c r="AO356" s="269">
        <f>IF(AO$7="Actual","",IFERROR((INDEX($M356:$Q356,,MATCH(AO$4,$M$4:$Q$4,0))),0))</f>
        <v/>
      </c>
      <c r="AP356" s="269">
        <f>IF(AP$7="Actual","",IFERROR((INDEX($M356:$Q356,,MATCH(AP$4,$M$4:$Q$4,0))),0))</f>
        <v/>
      </c>
      <c r="AQ356" s="269">
        <f>IF(AQ$7="Actual","",IFERROR((INDEX($M356:$Q356,,MATCH(AQ$4,$M$4:$Q$4,0))),0))</f>
        <v/>
      </c>
      <c r="AR356" s="269">
        <f>IF(AR$7="Actual","",IFERROR((INDEX($M356:$Q356,,MATCH(AR$4,$M$4:$Q$4,0))),0))</f>
        <v/>
      </c>
      <c r="AS356" s="269">
        <f>IF(AS$7="Actual","",IFERROR((INDEX($M356:$Q356,,MATCH(AS$4,$M$4:$Q$4,0))),0))</f>
        <v/>
      </c>
      <c r="AT356" s="269">
        <f>IF(AT$7="Actual","",IFERROR((INDEX($M356:$Q356,,MATCH(AT$4,$M$4:$Q$4,0))),0))</f>
        <v/>
      </c>
      <c r="AU356" s="269">
        <f>IF(AU$7="Actual","",IFERROR((INDEX($M356:$Q356,,MATCH(AU$4,$M$4:$Q$4,0))),0))</f>
        <v/>
      </c>
      <c r="AV356" s="269">
        <f>IF(AV$7="Actual","",IFERROR((INDEX($M356:$Q356,,MATCH(AV$4,$M$4:$Q$4,0))),0))</f>
        <v/>
      </c>
      <c r="AW356" s="269">
        <f>IF(AW$7="Actual","",IFERROR((INDEX($M356:$Q356,,MATCH(AW$4,$M$4:$Q$4,0))),0))</f>
        <v/>
      </c>
      <c r="AX356" s="269">
        <f>IF(AX$7="Actual","",IFERROR((INDEX($M356:$Q356,,MATCH(AX$4,$M$4:$Q$4,0))),0))</f>
        <v/>
      </c>
      <c r="AY356" s="269">
        <f>IF(AY$7="Actual","",IFERROR((INDEX($M356:$Q356,,MATCH(AY$4,$M$4:$Q$4,0))),0))</f>
        <v/>
      </c>
      <c r="AZ356" s="269">
        <f>IF(AZ$7="Actual","",IFERROR((INDEX($M356:$Q356,,MATCH(AZ$4,$M$4:$Q$4,0))),0))</f>
        <v/>
      </c>
      <c r="BA356" s="269">
        <f>IF(BA$7="Actual","",IFERROR((INDEX($M356:$Q356,,MATCH(BA$4,$M$4:$Q$4,0))),0))</f>
        <v/>
      </c>
      <c r="BB356" s="269">
        <f>IF(BB$7="Actual","",IFERROR((INDEX($M356:$Q356,,MATCH(BB$4,$M$4:$Q$4,0))),0))</f>
        <v/>
      </c>
      <c r="BC356" s="269">
        <f>IF(BC$7="Actual","",IFERROR((INDEX($M356:$Q356,,MATCH(BC$4,$M$4:$Q$4,0))),0))</f>
        <v/>
      </c>
      <c r="BD356" s="269">
        <f>IF(BD$7="Actual","",IFERROR((INDEX($M356:$Q356,,MATCH(BD$4,$M$4:$Q$4,0))),0))</f>
        <v/>
      </c>
      <c r="BE356" s="269">
        <f>IF(BE$7="Actual","",IFERROR((INDEX($M356:$Q356,,MATCH(BE$4,$M$4:$Q$4,0))),0))</f>
        <v/>
      </c>
      <c r="BF356" s="269">
        <f>IF(BF$7="Actual","",IFERROR((INDEX($M356:$Q356,,MATCH(BF$4,$M$4:$Q$4,0))),0))</f>
        <v/>
      </c>
      <c r="BG356" s="269">
        <f>IF(BG$7="Actual","",IFERROR((INDEX($M356:$Q356,,MATCH(BG$4,$M$4:$Q$4,0))),0))</f>
        <v/>
      </c>
      <c r="BH356" s="269">
        <f>IF(BH$7="Actual","",IFERROR((INDEX($M356:$Q356,,MATCH(BH$4,$M$4:$Q$4,0))),0))</f>
        <v/>
      </c>
      <c r="BI356" s="269">
        <f>IF(BI$7="Actual","",IFERROR((INDEX($M356:$Q356,,MATCH(BI$4,$M$4:$Q$4,0))),0))</f>
        <v/>
      </c>
      <c r="BJ356" s="269">
        <f>IF(BJ$7="Actual","",IFERROR((INDEX($M356:$Q356,,MATCH(BJ$4,$M$4:$Q$4,0))),0))</f>
        <v/>
      </c>
      <c r="BK356" s="269">
        <f>IF(BK$7="Actual","",IFERROR((INDEX($M356:$Q356,,MATCH(BK$4,$M$4:$Q$4,0))),0))</f>
        <v/>
      </c>
      <c r="BL356" s="269">
        <f>IF(BL$7="Actual","",IFERROR((INDEX($M356:$Q356,,MATCH(BL$4,$M$4:$Q$4,0))),0))</f>
        <v/>
      </c>
      <c r="BM356" s="269">
        <f>IF(BM$7="Actual","",IFERROR((INDEX($M356:$Q356,,MATCH(BM$4,$M$4:$Q$4,0))),0))</f>
        <v/>
      </c>
      <c r="BN356" s="269">
        <f>IF(BN$7="Actual","",IFERROR((INDEX($M356:$Q356,,MATCH(BN$4,$M$4:$Q$4,0))),0))</f>
        <v/>
      </c>
      <c r="BO356" s="269">
        <f>IF(BO$7="Actual","",IFERROR((INDEX($M356:$Q356,,MATCH(BO$4,$M$4:$Q$4,0))),0))</f>
        <v/>
      </c>
      <c r="BP356" s="269">
        <f>IF(BP$7="Actual","",IFERROR((INDEX($M356:$Q356,,MATCH(BP$4,$M$4:$Q$4,0))),0))</f>
        <v/>
      </c>
      <c r="BQ356" s="269">
        <f>IF(BQ$7="Actual","",IFERROR((INDEX($M356:$Q356,,MATCH(BQ$4,$M$4:$Q$4,0))),0))</f>
        <v/>
      </c>
      <c r="BR356" s="269">
        <f>IF(BR$7="Actual","",IFERROR((INDEX($M356:$Q356,,MATCH(BR$4,$M$4:$Q$4,0))),0))</f>
        <v/>
      </c>
      <c r="BS356" s="269">
        <f>IF(BS$7="Actual","",IFERROR((INDEX($M356:$Q356,,MATCH(BS$4,$M$4:$Q$4,0))),0))</f>
        <v/>
      </c>
      <c r="BT356" s="269">
        <f>IF(BT$7="Actual","",IFERROR((INDEX($M356:$Q356,,MATCH(BT$4,$M$4:$Q$4,0))),0))</f>
        <v/>
      </c>
      <c r="BU356" s="269">
        <f>IF(BU$7="Actual","",IFERROR((INDEX($M356:$Q356,,MATCH(BU$4,$M$4:$Q$4,0))),0))</f>
        <v/>
      </c>
      <c r="BV356" s="269">
        <f>IF(BV$7="Actual","",IFERROR((INDEX($M356:$Q356,,MATCH(BV$4,$M$4:$Q$4,0))),0))</f>
        <v/>
      </c>
      <c r="BW356" s="269">
        <f>IF(BW$7="Actual","",IFERROR((INDEX($M356:$Q356,,MATCH(BW$4,$M$4:$Q$4,0))),0))</f>
        <v/>
      </c>
      <c r="BX356" s="269">
        <f>IF(BX$7="Actual","",IFERROR((INDEX($M356:$Q356,,MATCH(BX$4,$M$4:$Q$4,0))),0))</f>
        <v/>
      </c>
      <c r="BY356" s="269">
        <f>IF(BY$7="Actual","",IFERROR((INDEX($M356:$Q356,,MATCH(BY$4,$M$4:$Q$4,0))),0))</f>
        <v/>
      </c>
      <c r="BZ356" s="269">
        <f>IF(BZ$7="Actual","",IFERROR((INDEX($M356:$Q356,,MATCH(BZ$4,$M$4:$Q$4,0))),0))</f>
        <v/>
      </c>
      <c r="CA356" s="269">
        <f>IF(CA$7="Actual","",IFERROR((INDEX($M356:$Q356,,MATCH(CA$4,$M$4:$Q$4,0))),0))</f>
        <v/>
      </c>
    </row>
    <row r="357" ht="12" customHeight="1" s="227">
      <c r="A357" s="244" t="n"/>
      <c r="B357" s="244" t="n"/>
      <c r="C357" s="244" t="n"/>
      <c r="I357" s="27" t="n"/>
      <c r="K357" s="6" t="n"/>
      <c r="M357" s="266" t="n"/>
      <c r="N357" s="266" t="n"/>
      <c r="O357" s="266" t="n"/>
      <c r="P357" s="266" t="n"/>
      <c r="Q357" s="266" t="n"/>
      <c r="R357" s="268" t="n"/>
      <c r="S357" s="268" t="n"/>
      <c r="T357" s="268" t="n"/>
      <c r="U357" s="268" t="n"/>
      <c r="V357" s="268" t="n"/>
      <c r="W357" s="268" t="n"/>
      <c r="X357" s="268" t="n"/>
      <c r="Y357" s="268" t="n"/>
      <c r="Z357" s="268" t="n"/>
      <c r="AA357" s="268" t="n"/>
      <c r="AB357" s="268" t="n"/>
      <c r="AC357" s="268" t="n"/>
      <c r="AD357" s="268" t="n"/>
      <c r="AE357" s="268" t="n"/>
      <c r="AF357" s="268" t="n"/>
      <c r="AG357" s="268" t="n"/>
      <c r="AH357" s="268" t="n"/>
      <c r="AI357" s="268" t="n"/>
      <c r="AJ357" s="268" t="n"/>
      <c r="AK357" s="268" t="n"/>
      <c r="AL357" s="268" t="n"/>
      <c r="AM357" s="268" t="n"/>
      <c r="AN357" s="268" t="n"/>
      <c r="AO357" s="268" t="n"/>
      <c r="AP357" s="268" t="n"/>
      <c r="AQ357" s="268" t="n"/>
      <c r="AR357" s="268" t="n"/>
      <c r="AS357" s="268" t="n"/>
      <c r="AT357" s="268" t="n"/>
      <c r="AU357" s="268" t="n"/>
      <c r="AV357" s="268" t="n"/>
      <c r="AW357" s="268" t="n"/>
      <c r="AX357" s="268" t="n"/>
      <c r="AY357" s="268" t="n"/>
      <c r="AZ357" s="268" t="n"/>
      <c r="BA357" s="268" t="n"/>
      <c r="BB357" s="268" t="n"/>
      <c r="BC357" s="268" t="n"/>
      <c r="BD357" s="268" t="n"/>
      <c r="BE357" s="268" t="n"/>
      <c r="BF357" s="268" t="n"/>
      <c r="BG357" s="268" t="n"/>
      <c r="BH357" s="268" t="n"/>
      <c r="BI357" s="268" t="n"/>
      <c r="BJ357" s="268" t="n"/>
      <c r="BK357" s="268" t="n"/>
      <c r="BL357" s="268" t="n"/>
      <c r="BM357" s="268" t="n"/>
      <c r="BN357" s="268" t="n"/>
      <c r="BO357" s="268" t="n"/>
      <c r="BP357" s="268" t="n"/>
      <c r="BQ357" s="268" t="n"/>
      <c r="BR357" s="268" t="n"/>
      <c r="BS357" s="268" t="n"/>
      <c r="BT357" s="268" t="n"/>
      <c r="BU357" s="268" t="n"/>
      <c r="BV357" s="268" t="n"/>
      <c r="BW357" s="268" t="n"/>
      <c r="BX357" s="268" t="n"/>
      <c r="BY357" s="268" t="n"/>
      <c r="BZ357" s="268" t="n"/>
      <c r="CA357" s="268" t="n"/>
      <c r="CB357" s="268" t="n"/>
    </row>
    <row r="358" ht="12" customHeight="1" s="227">
      <c r="A358" s="244" t="n"/>
      <c r="B358" s="244" t="n"/>
      <c r="C358" s="244" t="n"/>
      <c r="H358" s="8">
        <f>i_Setup!U41</f>
        <v/>
      </c>
      <c r="K358" s="6" t="n"/>
    </row>
    <row r="359" ht="12" customHeight="1" s="227">
      <c r="A359" s="244" t="n"/>
      <c r="B359" s="244" t="n"/>
      <c r="C359" s="244" t="n"/>
      <c r="H359" s="4">
        <f>H349</f>
        <v/>
      </c>
      <c r="I359" s="27" t="inlineStr">
        <is>
          <t>no</t>
        </is>
      </c>
      <c r="K359" s="6" t="n"/>
      <c r="M359" s="267">
        <f>IF(M$7="Actual","",i_Assumptions!M447)</f>
        <v/>
      </c>
      <c r="N359" s="267">
        <f>IF(N$7="Actual","",i_Assumptions!N447)</f>
        <v/>
      </c>
      <c r="O359" s="267">
        <f>IF(O$7="Actual","",i_Assumptions!O447)</f>
        <v/>
      </c>
      <c r="P359" s="267">
        <f>IF(P$7="Actual","",i_Assumptions!P447)</f>
        <v/>
      </c>
      <c r="Q359" s="267">
        <f>IF(Q$7="Actual","",i_Assumptions!Q447)</f>
        <v/>
      </c>
      <c r="R359" s="268" t="n"/>
      <c r="S359" s="268" t="n"/>
      <c r="T359" s="269">
        <f>IF(T$7="Actual","",IFERROR((INDEX($M359:$Q359,,MATCH(T$4,$M$4:$Q$4,0))),0))</f>
        <v/>
      </c>
      <c r="U359" s="269">
        <f>IF(U$7="Actual","",IFERROR((INDEX($M359:$Q359,,MATCH(U$4,$M$4:$Q$4,0))),0))</f>
        <v/>
      </c>
      <c r="V359" s="269">
        <f>IF(V$7="Actual","",IFERROR((INDEX($M359:$Q359,,MATCH(V$4,$M$4:$Q$4,0))),0))</f>
        <v/>
      </c>
      <c r="W359" s="269">
        <f>IF(W$7="Actual","",IFERROR((INDEX($M359:$Q359,,MATCH(W$4,$M$4:$Q$4,0))),0))</f>
        <v/>
      </c>
      <c r="X359" s="269">
        <f>IF(X$7="Actual","",IFERROR((INDEX($M359:$Q359,,MATCH(X$4,$M$4:$Q$4,0))),0))</f>
        <v/>
      </c>
      <c r="Y359" s="269">
        <f>IF(Y$7="Actual","",IFERROR((INDEX($M359:$Q359,,MATCH(Y$4,$M$4:$Q$4,0))),0))</f>
        <v/>
      </c>
      <c r="Z359" s="269">
        <f>IF(Z$7="Actual","",IFERROR((INDEX($M359:$Q359,,MATCH(Z$4,$M$4:$Q$4,0))),0))</f>
        <v/>
      </c>
      <c r="AA359" s="269">
        <f>IF(AA$7="Actual","",IFERROR((INDEX($M359:$Q359,,MATCH(AA$4,$M$4:$Q$4,0))),0))</f>
        <v/>
      </c>
      <c r="AB359" s="269">
        <f>IF(AB$7="Actual","",IFERROR((INDEX($M359:$Q359,,MATCH(AB$4,$M$4:$Q$4,0))),0))</f>
        <v/>
      </c>
      <c r="AC359" s="269">
        <f>IF(AC$7="Actual","",IFERROR((INDEX($M359:$Q359,,MATCH(AC$4,$M$4:$Q$4,0))),0))</f>
        <v/>
      </c>
      <c r="AD359" s="269">
        <f>IF(AD$7="Actual","",IFERROR((INDEX($M359:$Q359,,MATCH(AD$4,$M$4:$Q$4,0))),0))</f>
        <v/>
      </c>
      <c r="AE359" s="269">
        <f>IF(AE$7="Actual","",IFERROR((INDEX($M359:$Q359,,MATCH(AE$4,$M$4:$Q$4,0))),0))</f>
        <v/>
      </c>
      <c r="AF359" s="269">
        <f>IF(AF$7="Actual","",IFERROR((INDEX($M359:$Q359,,MATCH(AF$4,$M$4:$Q$4,0))),0))</f>
        <v/>
      </c>
      <c r="AG359" s="269">
        <f>IF(AG$7="Actual","",IFERROR((INDEX($M359:$Q359,,MATCH(AG$4,$M$4:$Q$4,0))),0))</f>
        <v/>
      </c>
      <c r="AH359" s="269">
        <f>IF(AH$7="Actual","",IFERROR((INDEX($M359:$Q359,,MATCH(AH$4,$M$4:$Q$4,0))),0))</f>
        <v/>
      </c>
      <c r="AI359" s="269">
        <f>IF(AI$7="Actual","",IFERROR((INDEX($M359:$Q359,,MATCH(AI$4,$M$4:$Q$4,0))),0))</f>
        <v/>
      </c>
      <c r="AJ359" s="269">
        <f>IF(AJ$7="Actual","",IFERROR((INDEX($M359:$Q359,,MATCH(AJ$4,$M$4:$Q$4,0))),0))</f>
        <v/>
      </c>
      <c r="AK359" s="269">
        <f>IF(AK$7="Actual","",IFERROR((INDEX($M359:$Q359,,MATCH(AK$4,$M$4:$Q$4,0))),0))</f>
        <v/>
      </c>
      <c r="AL359" s="269">
        <f>IF(AL$7="Actual","",IFERROR((INDEX($M359:$Q359,,MATCH(AL$4,$M$4:$Q$4,0))),0))</f>
        <v/>
      </c>
      <c r="AM359" s="269">
        <f>IF(AM$7="Actual","",IFERROR((INDEX($M359:$Q359,,MATCH(AM$4,$M$4:$Q$4,0))),0))</f>
        <v/>
      </c>
      <c r="AN359" s="269">
        <f>IF(AN$7="Actual","",IFERROR((INDEX($M359:$Q359,,MATCH(AN$4,$M$4:$Q$4,0))),0))</f>
        <v/>
      </c>
      <c r="AO359" s="269">
        <f>IF(AO$7="Actual","",IFERROR((INDEX($M359:$Q359,,MATCH(AO$4,$M$4:$Q$4,0))),0))</f>
        <v/>
      </c>
      <c r="AP359" s="269">
        <f>IF(AP$7="Actual","",IFERROR((INDEX($M359:$Q359,,MATCH(AP$4,$M$4:$Q$4,0))),0))</f>
        <v/>
      </c>
      <c r="AQ359" s="269">
        <f>IF(AQ$7="Actual","",IFERROR((INDEX($M359:$Q359,,MATCH(AQ$4,$M$4:$Q$4,0))),0))</f>
        <v/>
      </c>
      <c r="AR359" s="269">
        <f>IF(AR$7="Actual","",IFERROR((INDEX($M359:$Q359,,MATCH(AR$4,$M$4:$Q$4,0))),0))</f>
        <v/>
      </c>
      <c r="AS359" s="269">
        <f>IF(AS$7="Actual","",IFERROR((INDEX($M359:$Q359,,MATCH(AS$4,$M$4:$Q$4,0))),0))</f>
        <v/>
      </c>
      <c r="AT359" s="269">
        <f>IF(AT$7="Actual","",IFERROR((INDEX($M359:$Q359,,MATCH(AT$4,$M$4:$Q$4,0))),0))</f>
        <v/>
      </c>
      <c r="AU359" s="269">
        <f>IF(AU$7="Actual","",IFERROR((INDEX($M359:$Q359,,MATCH(AU$4,$M$4:$Q$4,0))),0))</f>
        <v/>
      </c>
      <c r="AV359" s="269">
        <f>IF(AV$7="Actual","",IFERROR((INDEX($M359:$Q359,,MATCH(AV$4,$M$4:$Q$4,0))),0))</f>
        <v/>
      </c>
      <c r="AW359" s="269">
        <f>IF(AW$7="Actual","",IFERROR((INDEX($M359:$Q359,,MATCH(AW$4,$M$4:$Q$4,0))),0))</f>
        <v/>
      </c>
      <c r="AX359" s="269">
        <f>IF(AX$7="Actual","",IFERROR((INDEX($M359:$Q359,,MATCH(AX$4,$M$4:$Q$4,0))),0))</f>
        <v/>
      </c>
      <c r="AY359" s="269">
        <f>IF(AY$7="Actual","",IFERROR((INDEX($M359:$Q359,,MATCH(AY$4,$M$4:$Q$4,0))),0))</f>
        <v/>
      </c>
      <c r="AZ359" s="269">
        <f>IF(AZ$7="Actual","",IFERROR((INDEX($M359:$Q359,,MATCH(AZ$4,$M$4:$Q$4,0))),0))</f>
        <v/>
      </c>
      <c r="BA359" s="269">
        <f>IF(BA$7="Actual","",IFERROR((INDEX($M359:$Q359,,MATCH(BA$4,$M$4:$Q$4,0))),0))</f>
        <v/>
      </c>
      <c r="BB359" s="269">
        <f>IF(BB$7="Actual","",IFERROR((INDEX($M359:$Q359,,MATCH(BB$4,$M$4:$Q$4,0))),0))</f>
        <v/>
      </c>
      <c r="BC359" s="269">
        <f>IF(BC$7="Actual","",IFERROR((INDEX($M359:$Q359,,MATCH(BC$4,$M$4:$Q$4,0))),0))</f>
        <v/>
      </c>
      <c r="BD359" s="269">
        <f>IF(BD$7="Actual","",IFERROR((INDEX($M359:$Q359,,MATCH(BD$4,$M$4:$Q$4,0))),0))</f>
        <v/>
      </c>
      <c r="BE359" s="269">
        <f>IF(BE$7="Actual","",IFERROR((INDEX($M359:$Q359,,MATCH(BE$4,$M$4:$Q$4,0))),0))</f>
        <v/>
      </c>
      <c r="BF359" s="269">
        <f>IF(BF$7="Actual","",IFERROR((INDEX($M359:$Q359,,MATCH(BF$4,$M$4:$Q$4,0))),0))</f>
        <v/>
      </c>
      <c r="BG359" s="269">
        <f>IF(BG$7="Actual","",IFERROR((INDEX($M359:$Q359,,MATCH(BG$4,$M$4:$Q$4,0))),0))</f>
        <v/>
      </c>
      <c r="BH359" s="269">
        <f>IF(BH$7="Actual","",IFERROR((INDEX($M359:$Q359,,MATCH(BH$4,$M$4:$Q$4,0))),0))</f>
        <v/>
      </c>
      <c r="BI359" s="269">
        <f>IF(BI$7="Actual","",IFERROR((INDEX($M359:$Q359,,MATCH(BI$4,$M$4:$Q$4,0))),0))</f>
        <v/>
      </c>
      <c r="BJ359" s="269">
        <f>IF(BJ$7="Actual","",IFERROR((INDEX($M359:$Q359,,MATCH(BJ$4,$M$4:$Q$4,0))),0))</f>
        <v/>
      </c>
      <c r="BK359" s="269">
        <f>IF(BK$7="Actual","",IFERROR((INDEX($M359:$Q359,,MATCH(BK$4,$M$4:$Q$4,0))),0))</f>
        <v/>
      </c>
      <c r="BL359" s="269">
        <f>IF(BL$7="Actual","",IFERROR((INDEX($M359:$Q359,,MATCH(BL$4,$M$4:$Q$4,0))),0))</f>
        <v/>
      </c>
      <c r="BM359" s="269">
        <f>IF(BM$7="Actual","",IFERROR((INDEX($M359:$Q359,,MATCH(BM$4,$M$4:$Q$4,0))),0))</f>
        <v/>
      </c>
      <c r="BN359" s="269">
        <f>IF(BN$7="Actual","",IFERROR((INDEX($M359:$Q359,,MATCH(BN$4,$M$4:$Q$4,0))),0))</f>
        <v/>
      </c>
      <c r="BO359" s="269">
        <f>IF(BO$7="Actual","",IFERROR((INDEX($M359:$Q359,,MATCH(BO$4,$M$4:$Q$4,0))),0))</f>
        <v/>
      </c>
      <c r="BP359" s="269">
        <f>IF(BP$7="Actual","",IFERROR((INDEX($M359:$Q359,,MATCH(BP$4,$M$4:$Q$4,0))),0))</f>
        <v/>
      </c>
      <c r="BQ359" s="269">
        <f>IF(BQ$7="Actual","",IFERROR((INDEX($M359:$Q359,,MATCH(BQ$4,$M$4:$Q$4,0))),0))</f>
        <v/>
      </c>
      <c r="BR359" s="269">
        <f>IF(BR$7="Actual","",IFERROR((INDEX($M359:$Q359,,MATCH(BR$4,$M$4:$Q$4,0))),0))</f>
        <v/>
      </c>
      <c r="BS359" s="269">
        <f>IF(BS$7="Actual","",IFERROR((INDEX($M359:$Q359,,MATCH(BS$4,$M$4:$Q$4,0))),0))</f>
        <v/>
      </c>
      <c r="BT359" s="269">
        <f>IF(BT$7="Actual","",IFERROR((INDEX($M359:$Q359,,MATCH(BT$4,$M$4:$Q$4,0))),0))</f>
        <v/>
      </c>
      <c r="BU359" s="269">
        <f>IF(BU$7="Actual","",IFERROR((INDEX($M359:$Q359,,MATCH(BU$4,$M$4:$Q$4,0))),0))</f>
        <v/>
      </c>
      <c r="BV359" s="269">
        <f>IF(BV$7="Actual","",IFERROR((INDEX($M359:$Q359,,MATCH(BV$4,$M$4:$Q$4,0))),0))</f>
        <v/>
      </c>
      <c r="BW359" s="269">
        <f>IF(BW$7="Actual","",IFERROR((INDEX($M359:$Q359,,MATCH(BW$4,$M$4:$Q$4,0))),0))</f>
        <v/>
      </c>
      <c r="BX359" s="269">
        <f>IF(BX$7="Actual","",IFERROR((INDEX($M359:$Q359,,MATCH(BX$4,$M$4:$Q$4,0))),0))</f>
        <v/>
      </c>
      <c r="BY359" s="269">
        <f>IF(BY$7="Actual","",IFERROR((INDEX($M359:$Q359,,MATCH(BY$4,$M$4:$Q$4,0))),0))</f>
        <v/>
      </c>
      <c r="BZ359" s="269">
        <f>IF(BZ$7="Actual","",IFERROR((INDEX($M359:$Q359,,MATCH(BZ$4,$M$4:$Q$4,0))),0))</f>
        <v/>
      </c>
      <c r="CA359" s="269">
        <f>IF(CA$7="Actual","",IFERROR((INDEX($M359:$Q359,,MATCH(CA$4,$M$4:$Q$4,0))),0))</f>
        <v/>
      </c>
    </row>
    <row r="360" ht="12" customHeight="1" s="227">
      <c r="A360" s="244" t="n"/>
      <c r="B360" s="244" t="n"/>
      <c r="C360" s="244" t="n"/>
      <c r="H360" s="4">
        <f>H350</f>
        <v/>
      </c>
      <c r="I360" s="27" t="inlineStr">
        <is>
          <t>no</t>
        </is>
      </c>
      <c r="K360" s="6" t="n"/>
      <c r="M360" s="267">
        <f>IF(M$7="Actual","",i_Assumptions!M448)</f>
        <v/>
      </c>
      <c r="N360" s="267">
        <f>IF(N$7="Actual","",i_Assumptions!N448)</f>
        <v/>
      </c>
      <c r="O360" s="267">
        <f>IF(O$7="Actual","",i_Assumptions!O448)</f>
        <v/>
      </c>
      <c r="P360" s="267">
        <f>IF(P$7="Actual","",i_Assumptions!P448)</f>
        <v/>
      </c>
      <c r="Q360" s="267">
        <f>IF(Q$7="Actual","",i_Assumptions!Q448)</f>
        <v/>
      </c>
      <c r="R360" s="268" t="n"/>
      <c r="S360" s="268" t="n"/>
      <c r="T360" s="269">
        <f>IF(T$7="Actual","",IFERROR((INDEX($M360:$Q360,,MATCH(T$4,$M$4:$Q$4,0))),0))</f>
        <v/>
      </c>
      <c r="U360" s="269">
        <f>IF(U$7="Actual","",IFERROR((INDEX($M360:$Q360,,MATCH(U$4,$M$4:$Q$4,0))),0))</f>
        <v/>
      </c>
      <c r="V360" s="269">
        <f>IF(V$7="Actual","",IFERROR((INDEX($M360:$Q360,,MATCH(V$4,$M$4:$Q$4,0))),0))</f>
        <v/>
      </c>
      <c r="W360" s="269">
        <f>IF(W$7="Actual","",IFERROR((INDEX($M360:$Q360,,MATCH(W$4,$M$4:$Q$4,0))),0))</f>
        <v/>
      </c>
      <c r="X360" s="269">
        <f>IF(X$7="Actual","",IFERROR((INDEX($M360:$Q360,,MATCH(X$4,$M$4:$Q$4,0))),0))</f>
        <v/>
      </c>
      <c r="Y360" s="269">
        <f>IF(Y$7="Actual","",IFERROR((INDEX($M360:$Q360,,MATCH(Y$4,$M$4:$Q$4,0))),0))</f>
        <v/>
      </c>
      <c r="Z360" s="269">
        <f>IF(Z$7="Actual","",IFERROR((INDEX($M360:$Q360,,MATCH(Z$4,$M$4:$Q$4,0))),0))</f>
        <v/>
      </c>
      <c r="AA360" s="269">
        <f>IF(AA$7="Actual","",IFERROR((INDEX($M360:$Q360,,MATCH(AA$4,$M$4:$Q$4,0))),0))</f>
        <v/>
      </c>
      <c r="AB360" s="269">
        <f>IF(AB$7="Actual","",IFERROR((INDEX($M360:$Q360,,MATCH(AB$4,$M$4:$Q$4,0))),0))</f>
        <v/>
      </c>
      <c r="AC360" s="269">
        <f>IF(AC$7="Actual","",IFERROR((INDEX($M360:$Q360,,MATCH(AC$4,$M$4:$Q$4,0))),0))</f>
        <v/>
      </c>
      <c r="AD360" s="269">
        <f>IF(AD$7="Actual","",IFERROR((INDEX($M360:$Q360,,MATCH(AD$4,$M$4:$Q$4,0))),0))</f>
        <v/>
      </c>
      <c r="AE360" s="269">
        <f>IF(AE$7="Actual","",IFERROR((INDEX($M360:$Q360,,MATCH(AE$4,$M$4:$Q$4,0))),0))</f>
        <v/>
      </c>
      <c r="AF360" s="269">
        <f>IF(AF$7="Actual","",IFERROR((INDEX($M360:$Q360,,MATCH(AF$4,$M$4:$Q$4,0))),0))</f>
        <v/>
      </c>
      <c r="AG360" s="269">
        <f>IF(AG$7="Actual","",IFERROR((INDEX($M360:$Q360,,MATCH(AG$4,$M$4:$Q$4,0))),0))</f>
        <v/>
      </c>
      <c r="AH360" s="269">
        <f>IF(AH$7="Actual","",IFERROR((INDEX($M360:$Q360,,MATCH(AH$4,$M$4:$Q$4,0))),0))</f>
        <v/>
      </c>
      <c r="AI360" s="269">
        <f>IF(AI$7="Actual","",IFERROR((INDEX($M360:$Q360,,MATCH(AI$4,$M$4:$Q$4,0))),0))</f>
        <v/>
      </c>
      <c r="AJ360" s="269">
        <f>IF(AJ$7="Actual","",IFERROR((INDEX($M360:$Q360,,MATCH(AJ$4,$M$4:$Q$4,0))),0))</f>
        <v/>
      </c>
      <c r="AK360" s="269">
        <f>IF(AK$7="Actual","",IFERROR((INDEX($M360:$Q360,,MATCH(AK$4,$M$4:$Q$4,0))),0))</f>
        <v/>
      </c>
      <c r="AL360" s="269">
        <f>IF(AL$7="Actual","",IFERROR((INDEX($M360:$Q360,,MATCH(AL$4,$M$4:$Q$4,0))),0))</f>
        <v/>
      </c>
      <c r="AM360" s="269">
        <f>IF(AM$7="Actual","",IFERROR((INDEX($M360:$Q360,,MATCH(AM$4,$M$4:$Q$4,0))),0))</f>
        <v/>
      </c>
      <c r="AN360" s="269">
        <f>IF(AN$7="Actual","",IFERROR((INDEX($M360:$Q360,,MATCH(AN$4,$M$4:$Q$4,0))),0))</f>
        <v/>
      </c>
      <c r="AO360" s="269">
        <f>IF(AO$7="Actual","",IFERROR((INDEX($M360:$Q360,,MATCH(AO$4,$M$4:$Q$4,0))),0))</f>
        <v/>
      </c>
      <c r="AP360" s="269">
        <f>IF(AP$7="Actual","",IFERROR((INDEX($M360:$Q360,,MATCH(AP$4,$M$4:$Q$4,0))),0))</f>
        <v/>
      </c>
      <c r="AQ360" s="269">
        <f>IF(AQ$7="Actual","",IFERROR((INDEX($M360:$Q360,,MATCH(AQ$4,$M$4:$Q$4,0))),0))</f>
        <v/>
      </c>
      <c r="AR360" s="269">
        <f>IF(AR$7="Actual","",IFERROR((INDEX($M360:$Q360,,MATCH(AR$4,$M$4:$Q$4,0))),0))</f>
        <v/>
      </c>
      <c r="AS360" s="269">
        <f>IF(AS$7="Actual","",IFERROR((INDEX($M360:$Q360,,MATCH(AS$4,$M$4:$Q$4,0))),0))</f>
        <v/>
      </c>
      <c r="AT360" s="269">
        <f>IF(AT$7="Actual","",IFERROR((INDEX($M360:$Q360,,MATCH(AT$4,$M$4:$Q$4,0))),0))</f>
        <v/>
      </c>
      <c r="AU360" s="269">
        <f>IF(AU$7="Actual","",IFERROR((INDEX($M360:$Q360,,MATCH(AU$4,$M$4:$Q$4,0))),0))</f>
        <v/>
      </c>
      <c r="AV360" s="269">
        <f>IF(AV$7="Actual","",IFERROR((INDEX($M360:$Q360,,MATCH(AV$4,$M$4:$Q$4,0))),0))</f>
        <v/>
      </c>
      <c r="AW360" s="269">
        <f>IF(AW$7="Actual","",IFERROR((INDEX($M360:$Q360,,MATCH(AW$4,$M$4:$Q$4,0))),0))</f>
        <v/>
      </c>
      <c r="AX360" s="269">
        <f>IF(AX$7="Actual","",IFERROR((INDEX($M360:$Q360,,MATCH(AX$4,$M$4:$Q$4,0))),0))</f>
        <v/>
      </c>
      <c r="AY360" s="269">
        <f>IF(AY$7="Actual","",IFERROR((INDEX($M360:$Q360,,MATCH(AY$4,$M$4:$Q$4,0))),0))</f>
        <v/>
      </c>
      <c r="AZ360" s="269">
        <f>IF(AZ$7="Actual","",IFERROR((INDEX($M360:$Q360,,MATCH(AZ$4,$M$4:$Q$4,0))),0))</f>
        <v/>
      </c>
      <c r="BA360" s="269">
        <f>IF(BA$7="Actual","",IFERROR((INDEX($M360:$Q360,,MATCH(BA$4,$M$4:$Q$4,0))),0))</f>
        <v/>
      </c>
      <c r="BB360" s="269">
        <f>IF(BB$7="Actual","",IFERROR((INDEX($M360:$Q360,,MATCH(BB$4,$M$4:$Q$4,0))),0))</f>
        <v/>
      </c>
      <c r="BC360" s="269">
        <f>IF(BC$7="Actual","",IFERROR((INDEX($M360:$Q360,,MATCH(BC$4,$M$4:$Q$4,0))),0))</f>
        <v/>
      </c>
      <c r="BD360" s="269">
        <f>IF(BD$7="Actual","",IFERROR((INDEX($M360:$Q360,,MATCH(BD$4,$M$4:$Q$4,0))),0))</f>
        <v/>
      </c>
      <c r="BE360" s="269">
        <f>IF(BE$7="Actual","",IFERROR((INDEX($M360:$Q360,,MATCH(BE$4,$M$4:$Q$4,0))),0))</f>
        <v/>
      </c>
      <c r="BF360" s="269">
        <f>IF(BF$7="Actual","",IFERROR((INDEX($M360:$Q360,,MATCH(BF$4,$M$4:$Q$4,0))),0))</f>
        <v/>
      </c>
      <c r="BG360" s="269">
        <f>IF(BG$7="Actual","",IFERROR((INDEX($M360:$Q360,,MATCH(BG$4,$M$4:$Q$4,0))),0))</f>
        <v/>
      </c>
      <c r="BH360" s="269">
        <f>IF(BH$7="Actual","",IFERROR((INDEX($M360:$Q360,,MATCH(BH$4,$M$4:$Q$4,0))),0))</f>
        <v/>
      </c>
      <c r="BI360" s="269">
        <f>IF(BI$7="Actual","",IFERROR((INDEX($M360:$Q360,,MATCH(BI$4,$M$4:$Q$4,0))),0))</f>
        <v/>
      </c>
      <c r="BJ360" s="269">
        <f>IF(BJ$7="Actual","",IFERROR((INDEX($M360:$Q360,,MATCH(BJ$4,$M$4:$Q$4,0))),0))</f>
        <v/>
      </c>
      <c r="BK360" s="269">
        <f>IF(BK$7="Actual","",IFERROR((INDEX($M360:$Q360,,MATCH(BK$4,$M$4:$Q$4,0))),0))</f>
        <v/>
      </c>
      <c r="BL360" s="269">
        <f>IF(BL$7="Actual","",IFERROR((INDEX($M360:$Q360,,MATCH(BL$4,$M$4:$Q$4,0))),0))</f>
        <v/>
      </c>
      <c r="BM360" s="269">
        <f>IF(BM$7="Actual","",IFERROR((INDEX($M360:$Q360,,MATCH(BM$4,$M$4:$Q$4,0))),0))</f>
        <v/>
      </c>
      <c r="BN360" s="269">
        <f>IF(BN$7="Actual","",IFERROR((INDEX($M360:$Q360,,MATCH(BN$4,$M$4:$Q$4,0))),0))</f>
        <v/>
      </c>
      <c r="BO360" s="269">
        <f>IF(BO$7="Actual","",IFERROR((INDEX($M360:$Q360,,MATCH(BO$4,$M$4:$Q$4,0))),0))</f>
        <v/>
      </c>
      <c r="BP360" s="269">
        <f>IF(BP$7="Actual","",IFERROR((INDEX($M360:$Q360,,MATCH(BP$4,$M$4:$Q$4,0))),0))</f>
        <v/>
      </c>
      <c r="BQ360" s="269">
        <f>IF(BQ$7="Actual","",IFERROR((INDEX($M360:$Q360,,MATCH(BQ$4,$M$4:$Q$4,0))),0))</f>
        <v/>
      </c>
      <c r="BR360" s="269">
        <f>IF(BR$7="Actual","",IFERROR((INDEX($M360:$Q360,,MATCH(BR$4,$M$4:$Q$4,0))),0))</f>
        <v/>
      </c>
      <c r="BS360" s="269">
        <f>IF(BS$7="Actual","",IFERROR((INDEX($M360:$Q360,,MATCH(BS$4,$M$4:$Q$4,0))),0))</f>
        <v/>
      </c>
      <c r="BT360" s="269">
        <f>IF(BT$7="Actual","",IFERROR((INDEX($M360:$Q360,,MATCH(BT$4,$M$4:$Q$4,0))),0))</f>
        <v/>
      </c>
      <c r="BU360" s="269">
        <f>IF(BU$7="Actual","",IFERROR((INDEX($M360:$Q360,,MATCH(BU$4,$M$4:$Q$4,0))),0))</f>
        <v/>
      </c>
      <c r="BV360" s="269">
        <f>IF(BV$7="Actual","",IFERROR((INDEX($M360:$Q360,,MATCH(BV$4,$M$4:$Q$4,0))),0))</f>
        <v/>
      </c>
      <c r="BW360" s="269">
        <f>IF(BW$7="Actual","",IFERROR((INDEX($M360:$Q360,,MATCH(BW$4,$M$4:$Q$4,0))),0))</f>
        <v/>
      </c>
      <c r="BX360" s="269">
        <f>IF(BX$7="Actual","",IFERROR((INDEX($M360:$Q360,,MATCH(BX$4,$M$4:$Q$4,0))),0))</f>
        <v/>
      </c>
      <c r="BY360" s="269">
        <f>IF(BY$7="Actual","",IFERROR((INDEX($M360:$Q360,,MATCH(BY$4,$M$4:$Q$4,0))),0))</f>
        <v/>
      </c>
      <c r="BZ360" s="269">
        <f>IF(BZ$7="Actual","",IFERROR((INDEX($M360:$Q360,,MATCH(BZ$4,$M$4:$Q$4,0))),0))</f>
        <v/>
      </c>
      <c r="CA360" s="269">
        <f>IF(CA$7="Actual","",IFERROR((INDEX($M360:$Q360,,MATCH(CA$4,$M$4:$Q$4,0))),0))</f>
        <v/>
      </c>
    </row>
    <row r="361" ht="12" customHeight="1" s="227">
      <c r="A361" s="244" t="n"/>
      <c r="B361" s="244" t="n"/>
      <c r="C361" s="244" t="n"/>
      <c r="H361" s="4">
        <f>H351</f>
        <v/>
      </c>
      <c r="I361" s="27" t="inlineStr">
        <is>
          <t>no</t>
        </is>
      </c>
      <c r="K361" s="6" t="n"/>
      <c r="M361" s="267">
        <f>IF(M$7="Actual","",i_Assumptions!M449)</f>
        <v/>
      </c>
      <c r="N361" s="267">
        <f>IF(N$7="Actual","",i_Assumptions!N449)</f>
        <v/>
      </c>
      <c r="O361" s="267">
        <f>IF(O$7="Actual","",i_Assumptions!O449)</f>
        <v/>
      </c>
      <c r="P361" s="267">
        <f>IF(P$7="Actual","",i_Assumptions!P449)</f>
        <v/>
      </c>
      <c r="Q361" s="267">
        <f>IF(Q$7="Actual","",i_Assumptions!Q449)</f>
        <v/>
      </c>
      <c r="R361" s="268" t="n"/>
      <c r="S361" s="268" t="n"/>
      <c r="T361" s="269">
        <f>IF(T$7="Actual","",IFERROR((INDEX($M361:$Q361,,MATCH(T$4,$M$4:$Q$4,0))),0))</f>
        <v/>
      </c>
      <c r="U361" s="269">
        <f>IF(U$7="Actual","",IFERROR((INDEX($M361:$Q361,,MATCH(U$4,$M$4:$Q$4,0))),0))</f>
        <v/>
      </c>
      <c r="V361" s="269">
        <f>IF(V$7="Actual","",IFERROR((INDEX($M361:$Q361,,MATCH(V$4,$M$4:$Q$4,0))),0))</f>
        <v/>
      </c>
      <c r="W361" s="269">
        <f>IF(W$7="Actual","",IFERROR((INDEX($M361:$Q361,,MATCH(W$4,$M$4:$Q$4,0))),0))</f>
        <v/>
      </c>
      <c r="X361" s="269">
        <f>IF(X$7="Actual","",IFERROR((INDEX($M361:$Q361,,MATCH(X$4,$M$4:$Q$4,0))),0))</f>
        <v/>
      </c>
      <c r="Y361" s="269">
        <f>IF(Y$7="Actual","",IFERROR((INDEX($M361:$Q361,,MATCH(Y$4,$M$4:$Q$4,0))),0))</f>
        <v/>
      </c>
      <c r="Z361" s="269">
        <f>IF(Z$7="Actual","",IFERROR((INDEX($M361:$Q361,,MATCH(Z$4,$M$4:$Q$4,0))),0))</f>
        <v/>
      </c>
      <c r="AA361" s="269">
        <f>IF(AA$7="Actual","",IFERROR((INDEX($M361:$Q361,,MATCH(AA$4,$M$4:$Q$4,0))),0))</f>
        <v/>
      </c>
      <c r="AB361" s="269">
        <f>IF(AB$7="Actual","",IFERROR((INDEX($M361:$Q361,,MATCH(AB$4,$M$4:$Q$4,0))),0))</f>
        <v/>
      </c>
      <c r="AC361" s="269">
        <f>IF(AC$7="Actual","",IFERROR((INDEX($M361:$Q361,,MATCH(AC$4,$M$4:$Q$4,0))),0))</f>
        <v/>
      </c>
      <c r="AD361" s="269">
        <f>IF(AD$7="Actual","",IFERROR((INDEX($M361:$Q361,,MATCH(AD$4,$M$4:$Q$4,0))),0))</f>
        <v/>
      </c>
      <c r="AE361" s="269">
        <f>IF(AE$7="Actual","",IFERROR((INDEX($M361:$Q361,,MATCH(AE$4,$M$4:$Q$4,0))),0))</f>
        <v/>
      </c>
      <c r="AF361" s="269">
        <f>IF(AF$7="Actual","",IFERROR((INDEX($M361:$Q361,,MATCH(AF$4,$M$4:$Q$4,0))),0))</f>
        <v/>
      </c>
      <c r="AG361" s="269">
        <f>IF(AG$7="Actual","",IFERROR((INDEX($M361:$Q361,,MATCH(AG$4,$M$4:$Q$4,0))),0))</f>
        <v/>
      </c>
      <c r="AH361" s="269">
        <f>IF(AH$7="Actual","",IFERROR((INDEX($M361:$Q361,,MATCH(AH$4,$M$4:$Q$4,0))),0))</f>
        <v/>
      </c>
      <c r="AI361" s="269">
        <f>IF(AI$7="Actual","",IFERROR((INDEX($M361:$Q361,,MATCH(AI$4,$M$4:$Q$4,0))),0))</f>
        <v/>
      </c>
      <c r="AJ361" s="269">
        <f>IF(AJ$7="Actual","",IFERROR((INDEX($M361:$Q361,,MATCH(AJ$4,$M$4:$Q$4,0))),0))</f>
        <v/>
      </c>
      <c r="AK361" s="269">
        <f>IF(AK$7="Actual","",IFERROR((INDEX($M361:$Q361,,MATCH(AK$4,$M$4:$Q$4,0))),0))</f>
        <v/>
      </c>
      <c r="AL361" s="269">
        <f>IF(AL$7="Actual","",IFERROR((INDEX($M361:$Q361,,MATCH(AL$4,$M$4:$Q$4,0))),0))</f>
        <v/>
      </c>
      <c r="AM361" s="269">
        <f>IF(AM$7="Actual","",IFERROR((INDEX($M361:$Q361,,MATCH(AM$4,$M$4:$Q$4,0))),0))</f>
        <v/>
      </c>
      <c r="AN361" s="269">
        <f>IF(AN$7="Actual","",IFERROR((INDEX($M361:$Q361,,MATCH(AN$4,$M$4:$Q$4,0))),0))</f>
        <v/>
      </c>
      <c r="AO361" s="269">
        <f>IF(AO$7="Actual","",IFERROR((INDEX($M361:$Q361,,MATCH(AO$4,$M$4:$Q$4,0))),0))</f>
        <v/>
      </c>
      <c r="AP361" s="269">
        <f>IF(AP$7="Actual","",IFERROR((INDEX($M361:$Q361,,MATCH(AP$4,$M$4:$Q$4,0))),0))</f>
        <v/>
      </c>
      <c r="AQ361" s="269">
        <f>IF(AQ$7="Actual","",IFERROR((INDEX($M361:$Q361,,MATCH(AQ$4,$M$4:$Q$4,0))),0))</f>
        <v/>
      </c>
      <c r="AR361" s="269">
        <f>IF(AR$7="Actual","",IFERROR((INDEX($M361:$Q361,,MATCH(AR$4,$M$4:$Q$4,0))),0))</f>
        <v/>
      </c>
      <c r="AS361" s="269">
        <f>IF(AS$7="Actual","",IFERROR((INDEX($M361:$Q361,,MATCH(AS$4,$M$4:$Q$4,0))),0))</f>
        <v/>
      </c>
      <c r="AT361" s="269">
        <f>IF(AT$7="Actual","",IFERROR((INDEX($M361:$Q361,,MATCH(AT$4,$M$4:$Q$4,0))),0))</f>
        <v/>
      </c>
      <c r="AU361" s="269">
        <f>IF(AU$7="Actual","",IFERROR((INDEX($M361:$Q361,,MATCH(AU$4,$M$4:$Q$4,0))),0))</f>
        <v/>
      </c>
      <c r="AV361" s="269">
        <f>IF(AV$7="Actual","",IFERROR((INDEX($M361:$Q361,,MATCH(AV$4,$M$4:$Q$4,0))),0))</f>
        <v/>
      </c>
      <c r="AW361" s="269">
        <f>IF(AW$7="Actual","",IFERROR((INDEX($M361:$Q361,,MATCH(AW$4,$M$4:$Q$4,0))),0))</f>
        <v/>
      </c>
      <c r="AX361" s="269">
        <f>IF(AX$7="Actual","",IFERROR((INDEX($M361:$Q361,,MATCH(AX$4,$M$4:$Q$4,0))),0))</f>
        <v/>
      </c>
      <c r="AY361" s="269">
        <f>IF(AY$7="Actual","",IFERROR((INDEX($M361:$Q361,,MATCH(AY$4,$M$4:$Q$4,0))),0))</f>
        <v/>
      </c>
      <c r="AZ361" s="269">
        <f>IF(AZ$7="Actual","",IFERROR((INDEX($M361:$Q361,,MATCH(AZ$4,$M$4:$Q$4,0))),0))</f>
        <v/>
      </c>
      <c r="BA361" s="269">
        <f>IF(BA$7="Actual","",IFERROR((INDEX($M361:$Q361,,MATCH(BA$4,$M$4:$Q$4,0))),0))</f>
        <v/>
      </c>
      <c r="BB361" s="269">
        <f>IF(BB$7="Actual","",IFERROR((INDEX($M361:$Q361,,MATCH(BB$4,$M$4:$Q$4,0))),0))</f>
        <v/>
      </c>
      <c r="BC361" s="269">
        <f>IF(BC$7="Actual","",IFERROR((INDEX($M361:$Q361,,MATCH(BC$4,$M$4:$Q$4,0))),0))</f>
        <v/>
      </c>
      <c r="BD361" s="269">
        <f>IF(BD$7="Actual","",IFERROR((INDEX($M361:$Q361,,MATCH(BD$4,$M$4:$Q$4,0))),0))</f>
        <v/>
      </c>
      <c r="BE361" s="269">
        <f>IF(BE$7="Actual","",IFERROR((INDEX($M361:$Q361,,MATCH(BE$4,$M$4:$Q$4,0))),0))</f>
        <v/>
      </c>
      <c r="BF361" s="269">
        <f>IF(BF$7="Actual","",IFERROR((INDEX($M361:$Q361,,MATCH(BF$4,$M$4:$Q$4,0))),0))</f>
        <v/>
      </c>
      <c r="BG361" s="269">
        <f>IF(BG$7="Actual","",IFERROR((INDEX($M361:$Q361,,MATCH(BG$4,$M$4:$Q$4,0))),0))</f>
        <v/>
      </c>
      <c r="BH361" s="269">
        <f>IF(BH$7="Actual","",IFERROR((INDEX($M361:$Q361,,MATCH(BH$4,$M$4:$Q$4,0))),0))</f>
        <v/>
      </c>
      <c r="BI361" s="269">
        <f>IF(BI$7="Actual","",IFERROR((INDEX($M361:$Q361,,MATCH(BI$4,$M$4:$Q$4,0))),0))</f>
        <v/>
      </c>
      <c r="BJ361" s="269">
        <f>IF(BJ$7="Actual","",IFERROR((INDEX($M361:$Q361,,MATCH(BJ$4,$M$4:$Q$4,0))),0))</f>
        <v/>
      </c>
      <c r="BK361" s="269">
        <f>IF(BK$7="Actual","",IFERROR((INDEX($M361:$Q361,,MATCH(BK$4,$M$4:$Q$4,0))),0))</f>
        <v/>
      </c>
      <c r="BL361" s="269">
        <f>IF(BL$7="Actual","",IFERROR((INDEX($M361:$Q361,,MATCH(BL$4,$M$4:$Q$4,0))),0))</f>
        <v/>
      </c>
      <c r="BM361" s="269">
        <f>IF(BM$7="Actual","",IFERROR((INDEX($M361:$Q361,,MATCH(BM$4,$M$4:$Q$4,0))),0))</f>
        <v/>
      </c>
      <c r="BN361" s="269">
        <f>IF(BN$7="Actual","",IFERROR((INDEX($M361:$Q361,,MATCH(BN$4,$M$4:$Q$4,0))),0))</f>
        <v/>
      </c>
      <c r="BO361" s="269">
        <f>IF(BO$7="Actual","",IFERROR((INDEX($M361:$Q361,,MATCH(BO$4,$M$4:$Q$4,0))),0))</f>
        <v/>
      </c>
      <c r="BP361" s="269">
        <f>IF(BP$7="Actual","",IFERROR((INDEX($M361:$Q361,,MATCH(BP$4,$M$4:$Q$4,0))),0))</f>
        <v/>
      </c>
      <c r="BQ361" s="269">
        <f>IF(BQ$7="Actual","",IFERROR((INDEX($M361:$Q361,,MATCH(BQ$4,$M$4:$Q$4,0))),0))</f>
        <v/>
      </c>
      <c r="BR361" s="269">
        <f>IF(BR$7="Actual","",IFERROR((INDEX($M361:$Q361,,MATCH(BR$4,$M$4:$Q$4,0))),0))</f>
        <v/>
      </c>
      <c r="BS361" s="269">
        <f>IF(BS$7="Actual","",IFERROR((INDEX($M361:$Q361,,MATCH(BS$4,$M$4:$Q$4,0))),0))</f>
        <v/>
      </c>
      <c r="BT361" s="269">
        <f>IF(BT$7="Actual","",IFERROR((INDEX($M361:$Q361,,MATCH(BT$4,$M$4:$Q$4,0))),0))</f>
        <v/>
      </c>
      <c r="BU361" s="269">
        <f>IF(BU$7="Actual","",IFERROR((INDEX($M361:$Q361,,MATCH(BU$4,$M$4:$Q$4,0))),0))</f>
        <v/>
      </c>
      <c r="BV361" s="269">
        <f>IF(BV$7="Actual","",IFERROR((INDEX($M361:$Q361,,MATCH(BV$4,$M$4:$Q$4,0))),0))</f>
        <v/>
      </c>
      <c r="BW361" s="269">
        <f>IF(BW$7="Actual","",IFERROR((INDEX($M361:$Q361,,MATCH(BW$4,$M$4:$Q$4,0))),0))</f>
        <v/>
      </c>
      <c r="BX361" s="269">
        <f>IF(BX$7="Actual","",IFERROR((INDEX($M361:$Q361,,MATCH(BX$4,$M$4:$Q$4,0))),0))</f>
        <v/>
      </c>
      <c r="BY361" s="269">
        <f>IF(BY$7="Actual","",IFERROR((INDEX($M361:$Q361,,MATCH(BY$4,$M$4:$Q$4,0))),0))</f>
        <v/>
      </c>
      <c r="BZ361" s="269">
        <f>IF(BZ$7="Actual","",IFERROR((INDEX($M361:$Q361,,MATCH(BZ$4,$M$4:$Q$4,0))),0))</f>
        <v/>
      </c>
      <c r="CA361" s="269">
        <f>IF(CA$7="Actual","",IFERROR((INDEX($M361:$Q361,,MATCH(CA$4,$M$4:$Q$4,0))),0))</f>
        <v/>
      </c>
    </row>
    <row r="362" ht="12" customHeight="1" s="227">
      <c r="A362" s="244" t="n"/>
      <c r="B362" s="244" t="n"/>
      <c r="C362" s="244" t="n"/>
      <c r="H362" s="4">
        <f>H352</f>
        <v/>
      </c>
      <c r="I362" s="27" t="inlineStr">
        <is>
          <t>no</t>
        </is>
      </c>
      <c r="K362" s="6" t="n"/>
      <c r="M362" s="267">
        <f>IF(M$7="Actual","",i_Assumptions!M450)</f>
        <v/>
      </c>
      <c r="N362" s="267">
        <f>IF(N$7="Actual","",i_Assumptions!N450)</f>
        <v/>
      </c>
      <c r="O362" s="267">
        <f>IF(O$7="Actual","",i_Assumptions!O450)</f>
        <v/>
      </c>
      <c r="P362" s="267">
        <f>IF(P$7="Actual","",i_Assumptions!P450)</f>
        <v/>
      </c>
      <c r="Q362" s="267">
        <f>IF(Q$7="Actual","",i_Assumptions!Q450)</f>
        <v/>
      </c>
      <c r="R362" s="268" t="n"/>
      <c r="S362" s="268" t="n"/>
      <c r="T362" s="269">
        <f>IF(T$7="Actual","",IFERROR((INDEX($M362:$Q362,,MATCH(T$4,$M$4:$Q$4,0))),0))</f>
        <v/>
      </c>
      <c r="U362" s="269">
        <f>IF(U$7="Actual","",IFERROR((INDEX($M362:$Q362,,MATCH(U$4,$M$4:$Q$4,0))),0))</f>
        <v/>
      </c>
      <c r="V362" s="269">
        <f>IF(V$7="Actual","",IFERROR((INDEX($M362:$Q362,,MATCH(V$4,$M$4:$Q$4,0))),0))</f>
        <v/>
      </c>
      <c r="W362" s="269">
        <f>IF(W$7="Actual","",IFERROR((INDEX($M362:$Q362,,MATCH(W$4,$M$4:$Q$4,0))),0))</f>
        <v/>
      </c>
      <c r="X362" s="269">
        <f>IF(X$7="Actual","",IFERROR((INDEX($M362:$Q362,,MATCH(X$4,$M$4:$Q$4,0))),0))</f>
        <v/>
      </c>
      <c r="Y362" s="269">
        <f>IF(Y$7="Actual","",IFERROR((INDEX($M362:$Q362,,MATCH(Y$4,$M$4:$Q$4,0))),0))</f>
        <v/>
      </c>
      <c r="Z362" s="269">
        <f>IF(Z$7="Actual","",IFERROR((INDEX($M362:$Q362,,MATCH(Z$4,$M$4:$Q$4,0))),0))</f>
        <v/>
      </c>
      <c r="AA362" s="269">
        <f>IF(AA$7="Actual","",IFERROR((INDEX($M362:$Q362,,MATCH(AA$4,$M$4:$Q$4,0))),0))</f>
        <v/>
      </c>
      <c r="AB362" s="269">
        <f>IF(AB$7="Actual","",IFERROR((INDEX($M362:$Q362,,MATCH(AB$4,$M$4:$Q$4,0))),0))</f>
        <v/>
      </c>
      <c r="AC362" s="269">
        <f>IF(AC$7="Actual","",IFERROR((INDEX($M362:$Q362,,MATCH(AC$4,$M$4:$Q$4,0))),0))</f>
        <v/>
      </c>
      <c r="AD362" s="269">
        <f>IF(AD$7="Actual","",IFERROR((INDEX($M362:$Q362,,MATCH(AD$4,$M$4:$Q$4,0))),0))</f>
        <v/>
      </c>
      <c r="AE362" s="269">
        <f>IF(AE$7="Actual","",IFERROR((INDEX($M362:$Q362,,MATCH(AE$4,$M$4:$Q$4,0))),0))</f>
        <v/>
      </c>
      <c r="AF362" s="269">
        <f>IF(AF$7="Actual","",IFERROR((INDEX($M362:$Q362,,MATCH(AF$4,$M$4:$Q$4,0))),0))</f>
        <v/>
      </c>
      <c r="AG362" s="269">
        <f>IF(AG$7="Actual","",IFERROR((INDEX($M362:$Q362,,MATCH(AG$4,$M$4:$Q$4,0))),0))</f>
        <v/>
      </c>
      <c r="AH362" s="269">
        <f>IF(AH$7="Actual","",IFERROR((INDEX($M362:$Q362,,MATCH(AH$4,$M$4:$Q$4,0))),0))</f>
        <v/>
      </c>
      <c r="AI362" s="269">
        <f>IF(AI$7="Actual","",IFERROR((INDEX($M362:$Q362,,MATCH(AI$4,$M$4:$Q$4,0))),0))</f>
        <v/>
      </c>
      <c r="AJ362" s="269">
        <f>IF(AJ$7="Actual","",IFERROR((INDEX($M362:$Q362,,MATCH(AJ$4,$M$4:$Q$4,0))),0))</f>
        <v/>
      </c>
      <c r="AK362" s="269">
        <f>IF(AK$7="Actual","",IFERROR((INDEX($M362:$Q362,,MATCH(AK$4,$M$4:$Q$4,0))),0))</f>
        <v/>
      </c>
      <c r="AL362" s="269">
        <f>IF(AL$7="Actual","",IFERROR((INDEX($M362:$Q362,,MATCH(AL$4,$M$4:$Q$4,0))),0))</f>
        <v/>
      </c>
      <c r="AM362" s="269">
        <f>IF(AM$7="Actual","",IFERROR((INDEX($M362:$Q362,,MATCH(AM$4,$M$4:$Q$4,0))),0))</f>
        <v/>
      </c>
      <c r="AN362" s="269">
        <f>IF(AN$7="Actual","",IFERROR((INDEX($M362:$Q362,,MATCH(AN$4,$M$4:$Q$4,0))),0))</f>
        <v/>
      </c>
      <c r="AO362" s="269">
        <f>IF(AO$7="Actual","",IFERROR((INDEX($M362:$Q362,,MATCH(AO$4,$M$4:$Q$4,0))),0))</f>
        <v/>
      </c>
      <c r="AP362" s="269">
        <f>IF(AP$7="Actual","",IFERROR((INDEX($M362:$Q362,,MATCH(AP$4,$M$4:$Q$4,0))),0))</f>
        <v/>
      </c>
      <c r="AQ362" s="269">
        <f>IF(AQ$7="Actual","",IFERROR((INDEX($M362:$Q362,,MATCH(AQ$4,$M$4:$Q$4,0))),0))</f>
        <v/>
      </c>
      <c r="AR362" s="269">
        <f>IF(AR$7="Actual","",IFERROR((INDEX($M362:$Q362,,MATCH(AR$4,$M$4:$Q$4,0))),0))</f>
        <v/>
      </c>
      <c r="AS362" s="269">
        <f>IF(AS$7="Actual","",IFERROR((INDEX($M362:$Q362,,MATCH(AS$4,$M$4:$Q$4,0))),0))</f>
        <v/>
      </c>
      <c r="AT362" s="269">
        <f>IF(AT$7="Actual","",IFERROR((INDEX($M362:$Q362,,MATCH(AT$4,$M$4:$Q$4,0))),0))</f>
        <v/>
      </c>
      <c r="AU362" s="269">
        <f>IF(AU$7="Actual","",IFERROR((INDEX($M362:$Q362,,MATCH(AU$4,$M$4:$Q$4,0))),0))</f>
        <v/>
      </c>
      <c r="AV362" s="269">
        <f>IF(AV$7="Actual","",IFERROR((INDEX($M362:$Q362,,MATCH(AV$4,$M$4:$Q$4,0))),0))</f>
        <v/>
      </c>
      <c r="AW362" s="269">
        <f>IF(AW$7="Actual","",IFERROR((INDEX($M362:$Q362,,MATCH(AW$4,$M$4:$Q$4,0))),0))</f>
        <v/>
      </c>
      <c r="AX362" s="269">
        <f>IF(AX$7="Actual","",IFERROR((INDEX($M362:$Q362,,MATCH(AX$4,$M$4:$Q$4,0))),0))</f>
        <v/>
      </c>
      <c r="AY362" s="269">
        <f>IF(AY$7="Actual","",IFERROR((INDEX($M362:$Q362,,MATCH(AY$4,$M$4:$Q$4,0))),0))</f>
        <v/>
      </c>
      <c r="AZ362" s="269">
        <f>IF(AZ$7="Actual","",IFERROR((INDEX($M362:$Q362,,MATCH(AZ$4,$M$4:$Q$4,0))),0))</f>
        <v/>
      </c>
      <c r="BA362" s="269">
        <f>IF(BA$7="Actual","",IFERROR((INDEX($M362:$Q362,,MATCH(BA$4,$M$4:$Q$4,0))),0))</f>
        <v/>
      </c>
      <c r="BB362" s="269">
        <f>IF(BB$7="Actual","",IFERROR((INDEX($M362:$Q362,,MATCH(BB$4,$M$4:$Q$4,0))),0))</f>
        <v/>
      </c>
      <c r="BC362" s="269">
        <f>IF(BC$7="Actual","",IFERROR((INDEX($M362:$Q362,,MATCH(BC$4,$M$4:$Q$4,0))),0))</f>
        <v/>
      </c>
      <c r="BD362" s="269">
        <f>IF(BD$7="Actual","",IFERROR((INDEX($M362:$Q362,,MATCH(BD$4,$M$4:$Q$4,0))),0))</f>
        <v/>
      </c>
      <c r="BE362" s="269">
        <f>IF(BE$7="Actual","",IFERROR((INDEX($M362:$Q362,,MATCH(BE$4,$M$4:$Q$4,0))),0))</f>
        <v/>
      </c>
      <c r="BF362" s="269">
        <f>IF(BF$7="Actual","",IFERROR((INDEX($M362:$Q362,,MATCH(BF$4,$M$4:$Q$4,0))),0))</f>
        <v/>
      </c>
      <c r="BG362" s="269">
        <f>IF(BG$7="Actual","",IFERROR((INDEX($M362:$Q362,,MATCH(BG$4,$M$4:$Q$4,0))),0))</f>
        <v/>
      </c>
      <c r="BH362" s="269">
        <f>IF(BH$7="Actual","",IFERROR((INDEX($M362:$Q362,,MATCH(BH$4,$M$4:$Q$4,0))),0))</f>
        <v/>
      </c>
      <c r="BI362" s="269">
        <f>IF(BI$7="Actual","",IFERROR((INDEX($M362:$Q362,,MATCH(BI$4,$M$4:$Q$4,0))),0))</f>
        <v/>
      </c>
      <c r="BJ362" s="269">
        <f>IF(BJ$7="Actual","",IFERROR((INDEX($M362:$Q362,,MATCH(BJ$4,$M$4:$Q$4,0))),0))</f>
        <v/>
      </c>
      <c r="BK362" s="269">
        <f>IF(BK$7="Actual","",IFERROR((INDEX($M362:$Q362,,MATCH(BK$4,$M$4:$Q$4,0))),0))</f>
        <v/>
      </c>
      <c r="BL362" s="269">
        <f>IF(BL$7="Actual","",IFERROR((INDEX($M362:$Q362,,MATCH(BL$4,$M$4:$Q$4,0))),0))</f>
        <v/>
      </c>
      <c r="BM362" s="269">
        <f>IF(BM$7="Actual","",IFERROR((INDEX($M362:$Q362,,MATCH(BM$4,$M$4:$Q$4,0))),0))</f>
        <v/>
      </c>
      <c r="BN362" s="269">
        <f>IF(BN$7="Actual","",IFERROR((INDEX($M362:$Q362,,MATCH(BN$4,$M$4:$Q$4,0))),0))</f>
        <v/>
      </c>
      <c r="BO362" s="269">
        <f>IF(BO$7="Actual","",IFERROR((INDEX($M362:$Q362,,MATCH(BO$4,$M$4:$Q$4,0))),0))</f>
        <v/>
      </c>
      <c r="BP362" s="269">
        <f>IF(BP$7="Actual","",IFERROR((INDEX($M362:$Q362,,MATCH(BP$4,$M$4:$Q$4,0))),0))</f>
        <v/>
      </c>
      <c r="BQ362" s="269">
        <f>IF(BQ$7="Actual","",IFERROR((INDEX($M362:$Q362,,MATCH(BQ$4,$M$4:$Q$4,0))),0))</f>
        <v/>
      </c>
      <c r="BR362" s="269">
        <f>IF(BR$7="Actual","",IFERROR((INDEX($M362:$Q362,,MATCH(BR$4,$M$4:$Q$4,0))),0))</f>
        <v/>
      </c>
      <c r="BS362" s="269">
        <f>IF(BS$7="Actual","",IFERROR((INDEX($M362:$Q362,,MATCH(BS$4,$M$4:$Q$4,0))),0))</f>
        <v/>
      </c>
      <c r="BT362" s="269">
        <f>IF(BT$7="Actual","",IFERROR((INDEX($M362:$Q362,,MATCH(BT$4,$M$4:$Q$4,0))),0))</f>
        <v/>
      </c>
      <c r="BU362" s="269">
        <f>IF(BU$7="Actual","",IFERROR((INDEX($M362:$Q362,,MATCH(BU$4,$M$4:$Q$4,0))),0))</f>
        <v/>
      </c>
      <c r="BV362" s="269">
        <f>IF(BV$7="Actual","",IFERROR((INDEX($M362:$Q362,,MATCH(BV$4,$M$4:$Q$4,0))),0))</f>
        <v/>
      </c>
      <c r="BW362" s="269">
        <f>IF(BW$7="Actual","",IFERROR((INDEX($M362:$Q362,,MATCH(BW$4,$M$4:$Q$4,0))),0))</f>
        <v/>
      </c>
      <c r="BX362" s="269">
        <f>IF(BX$7="Actual","",IFERROR((INDEX($M362:$Q362,,MATCH(BX$4,$M$4:$Q$4,0))),0))</f>
        <v/>
      </c>
      <c r="BY362" s="269">
        <f>IF(BY$7="Actual","",IFERROR((INDEX($M362:$Q362,,MATCH(BY$4,$M$4:$Q$4,0))),0))</f>
        <v/>
      </c>
      <c r="BZ362" s="269">
        <f>IF(BZ$7="Actual","",IFERROR((INDEX($M362:$Q362,,MATCH(BZ$4,$M$4:$Q$4,0))),0))</f>
        <v/>
      </c>
      <c r="CA362" s="269">
        <f>IF(CA$7="Actual","",IFERROR((INDEX($M362:$Q362,,MATCH(CA$4,$M$4:$Q$4,0))),0))</f>
        <v/>
      </c>
    </row>
    <row r="363" ht="12" customHeight="1" s="227">
      <c r="A363" s="244" t="n"/>
      <c r="B363" s="244" t="n"/>
      <c r="C363" s="244" t="n"/>
      <c r="H363" s="4">
        <f>H353</f>
        <v/>
      </c>
      <c r="I363" s="27" t="inlineStr">
        <is>
          <t>no</t>
        </is>
      </c>
      <c r="K363" s="6" t="n"/>
      <c r="M363" s="267">
        <f>IF(M$7="Actual","",i_Assumptions!M451)</f>
        <v/>
      </c>
      <c r="N363" s="267">
        <f>IF(N$7="Actual","",i_Assumptions!N451)</f>
        <v/>
      </c>
      <c r="O363" s="267">
        <f>IF(O$7="Actual","",i_Assumptions!O451)</f>
        <v/>
      </c>
      <c r="P363" s="267">
        <f>IF(P$7="Actual","",i_Assumptions!P451)</f>
        <v/>
      </c>
      <c r="Q363" s="267">
        <f>IF(Q$7="Actual","",i_Assumptions!Q451)</f>
        <v/>
      </c>
      <c r="R363" s="268" t="n"/>
      <c r="S363" s="268" t="n"/>
      <c r="T363" s="269">
        <f>IF(T$7="Actual","",IFERROR((INDEX($M363:$Q363,,MATCH(T$4,$M$4:$Q$4,0))),0))</f>
        <v/>
      </c>
      <c r="U363" s="269">
        <f>IF(U$7="Actual","",IFERROR((INDEX($M363:$Q363,,MATCH(U$4,$M$4:$Q$4,0))),0))</f>
        <v/>
      </c>
      <c r="V363" s="269">
        <f>IF(V$7="Actual","",IFERROR((INDEX($M363:$Q363,,MATCH(V$4,$M$4:$Q$4,0))),0))</f>
        <v/>
      </c>
      <c r="W363" s="269">
        <f>IF(W$7="Actual","",IFERROR((INDEX($M363:$Q363,,MATCH(W$4,$M$4:$Q$4,0))),0))</f>
        <v/>
      </c>
      <c r="X363" s="269">
        <f>IF(X$7="Actual","",IFERROR((INDEX($M363:$Q363,,MATCH(X$4,$M$4:$Q$4,0))),0))</f>
        <v/>
      </c>
      <c r="Y363" s="269">
        <f>IF(Y$7="Actual","",IFERROR((INDEX($M363:$Q363,,MATCH(Y$4,$M$4:$Q$4,0))),0))</f>
        <v/>
      </c>
      <c r="Z363" s="269">
        <f>IF(Z$7="Actual","",IFERROR((INDEX($M363:$Q363,,MATCH(Z$4,$M$4:$Q$4,0))),0))</f>
        <v/>
      </c>
      <c r="AA363" s="269">
        <f>IF(AA$7="Actual","",IFERROR((INDEX($M363:$Q363,,MATCH(AA$4,$M$4:$Q$4,0))),0))</f>
        <v/>
      </c>
      <c r="AB363" s="269">
        <f>IF(AB$7="Actual","",IFERROR((INDEX($M363:$Q363,,MATCH(AB$4,$M$4:$Q$4,0))),0))</f>
        <v/>
      </c>
      <c r="AC363" s="269">
        <f>IF(AC$7="Actual","",IFERROR((INDEX($M363:$Q363,,MATCH(AC$4,$M$4:$Q$4,0))),0))</f>
        <v/>
      </c>
      <c r="AD363" s="269">
        <f>IF(AD$7="Actual","",IFERROR((INDEX($M363:$Q363,,MATCH(AD$4,$M$4:$Q$4,0))),0))</f>
        <v/>
      </c>
      <c r="AE363" s="269">
        <f>IF(AE$7="Actual","",IFERROR((INDEX($M363:$Q363,,MATCH(AE$4,$M$4:$Q$4,0))),0))</f>
        <v/>
      </c>
      <c r="AF363" s="269">
        <f>IF(AF$7="Actual","",IFERROR((INDEX($M363:$Q363,,MATCH(AF$4,$M$4:$Q$4,0))),0))</f>
        <v/>
      </c>
      <c r="AG363" s="269">
        <f>IF(AG$7="Actual","",IFERROR((INDEX($M363:$Q363,,MATCH(AG$4,$M$4:$Q$4,0))),0))</f>
        <v/>
      </c>
      <c r="AH363" s="269">
        <f>IF(AH$7="Actual","",IFERROR((INDEX($M363:$Q363,,MATCH(AH$4,$M$4:$Q$4,0))),0))</f>
        <v/>
      </c>
      <c r="AI363" s="269">
        <f>IF(AI$7="Actual","",IFERROR((INDEX($M363:$Q363,,MATCH(AI$4,$M$4:$Q$4,0))),0))</f>
        <v/>
      </c>
      <c r="AJ363" s="269">
        <f>IF(AJ$7="Actual","",IFERROR((INDEX($M363:$Q363,,MATCH(AJ$4,$M$4:$Q$4,0))),0))</f>
        <v/>
      </c>
      <c r="AK363" s="269">
        <f>IF(AK$7="Actual","",IFERROR((INDEX($M363:$Q363,,MATCH(AK$4,$M$4:$Q$4,0))),0))</f>
        <v/>
      </c>
      <c r="AL363" s="269">
        <f>IF(AL$7="Actual","",IFERROR((INDEX($M363:$Q363,,MATCH(AL$4,$M$4:$Q$4,0))),0))</f>
        <v/>
      </c>
      <c r="AM363" s="269">
        <f>IF(AM$7="Actual","",IFERROR((INDEX($M363:$Q363,,MATCH(AM$4,$M$4:$Q$4,0))),0))</f>
        <v/>
      </c>
      <c r="AN363" s="269">
        <f>IF(AN$7="Actual","",IFERROR((INDEX($M363:$Q363,,MATCH(AN$4,$M$4:$Q$4,0))),0))</f>
        <v/>
      </c>
      <c r="AO363" s="269">
        <f>IF(AO$7="Actual","",IFERROR((INDEX($M363:$Q363,,MATCH(AO$4,$M$4:$Q$4,0))),0))</f>
        <v/>
      </c>
      <c r="AP363" s="269">
        <f>IF(AP$7="Actual","",IFERROR((INDEX($M363:$Q363,,MATCH(AP$4,$M$4:$Q$4,0))),0))</f>
        <v/>
      </c>
      <c r="AQ363" s="269">
        <f>IF(AQ$7="Actual","",IFERROR((INDEX($M363:$Q363,,MATCH(AQ$4,$M$4:$Q$4,0))),0))</f>
        <v/>
      </c>
      <c r="AR363" s="269">
        <f>IF(AR$7="Actual","",IFERROR((INDEX($M363:$Q363,,MATCH(AR$4,$M$4:$Q$4,0))),0))</f>
        <v/>
      </c>
      <c r="AS363" s="269">
        <f>IF(AS$7="Actual","",IFERROR((INDEX($M363:$Q363,,MATCH(AS$4,$M$4:$Q$4,0))),0))</f>
        <v/>
      </c>
      <c r="AT363" s="269">
        <f>IF(AT$7="Actual","",IFERROR((INDEX($M363:$Q363,,MATCH(AT$4,$M$4:$Q$4,0))),0))</f>
        <v/>
      </c>
      <c r="AU363" s="269">
        <f>IF(AU$7="Actual","",IFERROR((INDEX($M363:$Q363,,MATCH(AU$4,$M$4:$Q$4,0))),0))</f>
        <v/>
      </c>
      <c r="AV363" s="269">
        <f>IF(AV$7="Actual","",IFERROR((INDEX($M363:$Q363,,MATCH(AV$4,$M$4:$Q$4,0))),0))</f>
        <v/>
      </c>
      <c r="AW363" s="269">
        <f>IF(AW$7="Actual","",IFERROR((INDEX($M363:$Q363,,MATCH(AW$4,$M$4:$Q$4,0))),0))</f>
        <v/>
      </c>
      <c r="AX363" s="269">
        <f>IF(AX$7="Actual","",IFERROR((INDEX($M363:$Q363,,MATCH(AX$4,$M$4:$Q$4,0))),0))</f>
        <v/>
      </c>
      <c r="AY363" s="269">
        <f>IF(AY$7="Actual","",IFERROR((INDEX($M363:$Q363,,MATCH(AY$4,$M$4:$Q$4,0))),0))</f>
        <v/>
      </c>
      <c r="AZ363" s="269">
        <f>IF(AZ$7="Actual","",IFERROR((INDEX($M363:$Q363,,MATCH(AZ$4,$M$4:$Q$4,0))),0))</f>
        <v/>
      </c>
      <c r="BA363" s="269">
        <f>IF(BA$7="Actual","",IFERROR((INDEX($M363:$Q363,,MATCH(BA$4,$M$4:$Q$4,0))),0))</f>
        <v/>
      </c>
      <c r="BB363" s="269">
        <f>IF(BB$7="Actual","",IFERROR((INDEX($M363:$Q363,,MATCH(BB$4,$M$4:$Q$4,0))),0))</f>
        <v/>
      </c>
      <c r="BC363" s="269">
        <f>IF(BC$7="Actual","",IFERROR((INDEX($M363:$Q363,,MATCH(BC$4,$M$4:$Q$4,0))),0))</f>
        <v/>
      </c>
      <c r="BD363" s="269">
        <f>IF(BD$7="Actual","",IFERROR((INDEX($M363:$Q363,,MATCH(BD$4,$M$4:$Q$4,0))),0))</f>
        <v/>
      </c>
      <c r="BE363" s="269">
        <f>IF(BE$7="Actual","",IFERROR((INDEX($M363:$Q363,,MATCH(BE$4,$M$4:$Q$4,0))),0))</f>
        <v/>
      </c>
      <c r="BF363" s="269">
        <f>IF(BF$7="Actual","",IFERROR((INDEX($M363:$Q363,,MATCH(BF$4,$M$4:$Q$4,0))),0))</f>
        <v/>
      </c>
      <c r="BG363" s="269">
        <f>IF(BG$7="Actual","",IFERROR((INDEX($M363:$Q363,,MATCH(BG$4,$M$4:$Q$4,0))),0))</f>
        <v/>
      </c>
      <c r="BH363" s="269">
        <f>IF(BH$7="Actual","",IFERROR((INDEX($M363:$Q363,,MATCH(BH$4,$M$4:$Q$4,0))),0))</f>
        <v/>
      </c>
      <c r="BI363" s="269">
        <f>IF(BI$7="Actual","",IFERROR((INDEX($M363:$Q363,,MATCH(BI$4,$M$4:$Q$4,0))),0))</f>
        <v/>
      </c>
      <c r="BJ363" s="269">
        <f>IF(BJ$7="Actual","",IFERROR((INDEX($M363:$Q363,,MATCH(BJ$4,$M$4:$Q$4,0))),0))</f>
        <v/>
      </c>
      <c r="BK363" s="269">
        <f>IF(BK$7="Actual","",IFERROR((INDEX($M363:$Q363,,MATCH(BK$4,$M$4:$Q$4,0))),0))</f>
        <v/>
      </c>
      <c r="BL363" s="269">
        <f>IF(BL$7="Actual","",IFERROR((INDEX($M363:$Q363,,MATCH(BL$4,$M$4:$Q$4,0))),0))</f>
        <v/>
      </c>
      <c r="BM363" s="269">
        <f>IF(BM$7="Actual","",IFERROR((INDEX($M363:$Q363,,MATCH(BM$4,$M$4:$Q$4,0))),0))</f>
        <v/>
      </c>
      <c r="BN363" s="269">
        <f>IF(BN$7="Actual","",IFERROR((INDEX($M363:$Q363,,MATCH(BN$4,$M$4:$Q$4,0))),0))</f>
        <v/>
      </c>
      <c r="BO363" s="269">
        <f>IF(BO$7="Actual","",IFERROR((INDEX($M363:$Q363,,MATCH(BO$4,$M$4:$Q$4,0))),0))</f>
        <v/>
      </c>
      <c r="BP363" s="269">
        <f>IF(BP$7="Actual","",IFERROR((INDEX($M363:$Q363,,MATCH(BP$4,$M$4:$Q$4,0))),0))</f>
        <v/>
      </c>
      <c r="BQ363" s="269">
        <f>IF(BQ$7="Actual","",IFERROR((INDEX($M363:$Q363,,MATCH(BQ$4,$M$4:$Q$4,0))),0))</f>
        <v/>
      </c>
      <c r="BR363" s="269">
        <f>IF(BR$7="Actual","",IFERROR((INDEX($M363:$Q363,,MATCH(BR$4,$M$4:$Q$4,0))),0))</f>
        <v/>
      </c>
      <c r="BS363" s="269">
        <f>IF(BS$7="Actual","",IFERROR((INDEX($M363:$Q363,,MATCH(BS$4,$M$4:$Q$4,0))),0))</f>
        <v/>
      </c>
      <c r="BT363" s="269">
        <f>IF(BT$7="Actual","",IFERROR((INDEX($M363:$Q363,,MATCH(BT$4,$M$4:$Q$4,0))),0))</f>
        <v/>
      </c>
      <c r="BU363" s="269">
        <f>IF(BU$7="Actual","",IFERROR((INDEX($M363:$Q363,,MATCH(BU$4,$M$4:$Q$4,0))),0))</f>
        <v/>
      </c>
      <c r="BV363" s="269">
        <f>IF(BV$7="Actual","",IFERROR((INDEX($M363:$Q363,,MATCH(BV$4,$M$4:$Q$4,0))),0))</f>
        <v/>
      </c>
      <c r="BW363" s="269">
        <f>IF(BW$7="Actual","",IFERROR((INDEX($M363:$Q363,,MATCH(BW$4,$M$4:$Q$4,0))),0))</f>
        <v/>
      </c>
      <c r="BX363" s="269">
        <f>IF(BX$7="Actual","",IFERROR((INDEX($M363:$Q363,,MATCH(BX$4,$M$4:$Q$4,0))),0))</f>
        <v/>
      </c>
      <c r="BY363" s="269">
        <f>IF(BY$7="Actual","",IFERROR((INDEX($M363:$Q363,,MATCH(BY$4,$M$4:$Q$4,0))),0))</f>
        <v/>
      </c>
      <c r="BZ363" s="269">
        <f>IF(BZ$7="Actual","",IFERROR((INDEX($M363:$Q363,,MATCH(BZ$4,$M$4:$Q$4,0))),0))</f>
        <v/>
      </c>
      <c r="CA363" s="269">
        <f>IF(CA$7="Actual","",IFERROR((INDEX($M363:$Q363,,MATCH(CA$4,$M$4:$Q$4,0))),0))</f>
        <v/>
      </c>
    </row>
    <row r="364" ht="12" customHeight="1" s="227">
      <c r="A364" s="244" t="n"/>
      <c r="B364" s="244" t="n"/>
      <c r="C364" s="244" t="n"/>
      <c r="H364" s="4">
        <f>H354</f>
        <v/>
      </c>
      <c r="I364" s="27" t="inlineStr">
        <is>
          <t>no</t>
        </is>
      </c>
      <c r="K364" s="6" t="n"/>
      <c r="M364" s="267">
        <f>IF(M$7="Actual","",i_Assumptions!M452)</f>
        <v/>
      </c>
      <c r="N364" s="267">
        <f>IF(N$7="Actual","",i_Assumptions!N452)</f>
        <v/>
      </c>
      <c r="O364" s="267">
        <f>IF(O$7="Actual","",i_Assumptions!O452)</f>
        <v/>
      </c>
      <c r="P364" s="267">
        <f>IF(P$7="Actual","",i_Assumptions!P452)</f>
        <v/>
      </c>
      <c r="Q364" s="267">
        <f>IF(Q$7="Actual","",i_Assumptions!Q452)</f>
        <v/>
      </c>
      <c r="R364" s="268" t="n"/>
      <c r="S364" s="268" t="n"/>
      <c r="T364" s="269">
        <f>IF(T$7="Actual","",IFERROR((INDEX($M364:$Q364,,MATCH(T$4,$M$4:$Q$4,0))),0))</f>
        <v/>
      </c>
      <c r="U364" s="269">
        <f>IF(U$7="Actual","",IFERROR((INDEX($M364:$Q364,,MATCH(U$4,$M$4:$Q$4,0))),0))</f>
        <v/>
      </c>
      <c r="V364" s="269">
        <f>IF(V$7="Actual","",IFERROR((INDEX($M364:$Q364,,MATCH(V$4,$M$4:$Q$4,0))),0))</f>
        <v/>
      </c>
      <c r="W364" s="269">
        <f>IF(W$7="Actual","",IFERROR((INDEX($M364:$Q364,,MATCH(W$4,$M$4:$Q$4,0))),0))</f>
        <v/>
      </c>
      <c r="X364" s="269">
        <f>IF(X$7="Actual","",IFERROR((INDEX($M364:$Q364,,MATCH(X$4,$M$4:$Q$4,0))),0))</f>
        <v/>
      </c>
      <c r="Y364" s="269">
        <f>IF(Y$7="Actual","",IFERROR((INDEX($M364:$Q364,,MATCH(Y$4,$M$4:$Q$4,0))),0))</f>
        <v/>
      </c>
      <c r="Z364" s="269">
        <f>IF(Z$7="Actual","",IFERROR((INDEX($M364:$Q364,,MATCH(Z$4,$M$4:$Q$4,0))),0))</f>
        <v/>
      </c>
      <c r="AA364" s="269">
        <f>IF(AA$7="Actual","",IFERROR((INDEX($M364:$Q364,,MATCH(AA$4,$M$4:$Q$4,0))),0))</f>
        <v/>
      </c>
      <c r="AB364" s="269">
        <f>IF(AB$7="Actual","",IFERROR((INDEX($M364:$Q364,,MATCH(AB$4,$M$4:$Q$4,0))),0))</f>
        <v/>
      </c>
      <c r="AC364" s="269">
        <f>IF(AC$7="Actual","",IFERROR((INDEX($M364:$Q364,,MATCH(AC$4,$M$4:$Q$4,0))),0))</f>
        <v/>
      </c>
      <c r="AD364" s="269">
        <f>IF(AD$7="Actual","",IFERROR((INDEX($M364:$Q364,,MATCH(AD$4,$M$4:$Q$4,0))),0))</f>
        <v/>
      </c>
      <c r="AE364" s="269">
        <f>IF(AE$7="Actual","",IFERROR((INDEX($M364:$Q364,,MATCH(AE$4,$M$4:$Q$4,0))),0))</f>
        <v/>
      </c>
      <c r="AF364" s="269">
        <f>IF(AF$7="Actual","",IFERROR((INDEX($M364:$Q364,,MATCH(AF$4,$M$4:$Q$4,0))),0))</f>
        <v/>
      </c>
      <c r="AG364" s="269">
        <f>IF(AG$7="Actual","",IFERROR((INDEX($M364:$Q364,,MATCH(AG$4,$M$4:$Q$4,0))),0))</f>
        <v/>
      </c>
      <c r="AH364" s="269">
        <f>IF(AH$7="Actual","",IFERROR((INDEX($M364:$Q364,,MATCH(AH$4,$M$4:$Q$4,0))),0))</f>
        <v/>
      </c>
      <c r="AI364" s="269">
        <f>IF(AI$7="Actual","",IFERROR((INDEX($M364:$Q364,,MATCH(AI$4,$M$4:$Q$4,0))),0))</f>
        <v/>
      </c>
      <c r="AJ364" s="269">
        <f>IF(AJ$7="Actual","",IFERROR((INDEX($M364:$Q364,,MATCH(AJ$4,$M$4:$Q$4,0))),0))</f>
        <v/>
      </c>
      <c r="AK364" s="269">
        <f>IF(AK$7="Actual","",IFERROR((INDEX($M364:$Q364,,MATCH(AK$4,$M$4:$Q$4,0))),0))</f>
        <v/>
      </c>
      <c r="AL364" s="269">
        <f>IF(AL$7="Actual","",IFERROR((INDEX($M364:$Q364,,MATCH(AL$4,$M$4:$Q$4,0))),0))</f>
        <v/>
      </c>
      <c r="AM364" s="269">
        <f>IF(AM$7="Actual","",IFERROR((INDEX($M364:$Q364,,MATCH(AM$4,$M$4:$Q$4,0))),0))</f>
        <v/>
      </c>
      <c r="AN364" s="269">
        <f>IF(AN$7="Actual","",IFERROR((INDEX($M364:$Q364,,MATCH(AN$4,$M$4:$Q$4,0))),0))</f>
        <v/>
      </c>
      <c r="AO364" s="269">
        <f>IF(AO$7="Actual","",IFERROR((INDEX($M364:$Q364,,MATCH(AO$4,$M$4:$Q$4,0))),0))</f>
        <v/>
      </c>
      <c r="AP364" s="269">
        <f>IF(AP$7="Actual","",IFERROR((INDEX($M364:$Q364,,MATCH(AP$4,$M$4:$Q$4,0))),0))</f>
        <v/>
      </c>
      <c r="AQ364" s="269">
        <f>IF(AQ$7="Actual","",IFERROR((INDEX($M364:$Q364,,MATCH(AQ$4,$M$4:$Q$4,0))),0))</f>
        <v/>
      </c>
      <c r="AR364" s="269">
        <f>IF(AR$7="Actual","",IFERROR((INDEX($M364:$Q364,,MATCH(AR$4,$M$4:$Q$4,0))),0))</f>
        <v/>
      </c>
      <c r="AS364" s="269">
        <f>IF(AS$7="Actual","",IFERROR((INDEX($M364:$Q364,,MATCH(AS$4,$M$4:$Q$4,0))),0))</f>
        <v/>
      </c>
      <c r="AT364" s="269">
        <f>IF(AT$7="Actual","",IFERROR((INDEX($M364:$Q364,,MATCH(AT$4,$M$4:$Q$4,0))),0))</f>
        <v/>
      </c>
      <c r="AU364" s="269">
        <f>IF(AU$7="Actual","",IFERROR((INDEX($M364:$Q364,,MATCH(AU$4,$M$4:$Q$4,0))),0))</f>
        <v/>
      </c>
      <c r="AV364" s="269">
        <f>IF(AV$7="Actual","",IFERROR((INDEX($M364:$Q364,,MATCH(AV$4,$M$4:$Q$4,0))),0))</f>
        <v/>
      </c>
      <c r="AW364" s="269">
        <f>IF(AW$7="Actual","",IFERROR((INDEX($M364:$Q364,,MATCH(AW$4,$M$4:$Q$4,0))),0))</f>
        <v/>
      </c>
      <c r="AX364" s="269">
        <f>IF(AX$7="Actual","",IFERROR((INDEX($M364:$Q364,,MATCH(AX$4,$M$4:$Q$4,0))),0))</f>
        <v/>
      </c>
      <c r="AY364" s="269">
        <f>IF(AY$7="Actual","",IFERROR((INDEX($M364:$Q364,,MATCH(AY$4,$M$4:$Q$4,0))),0))</f>
        <v/>
      </c>
      <c r="AZ364" s="269">
        <f>IF(AZ$7="Actual","",IFERROR((INDEX($M364:$Q364,,MATCH(AZ$4,$M$4:$Q$4,0))),0))</f>
        <v/>
      </c>
      <c r="BA364" s="269">
        <f>IF(BA$7="Actual","",IFERROR((INDEX($M364:$Q364,,MATCH(BA$4,$M$4:$Q$4,0))),0))</f>
        <v/>
      </c>
      <c r="BB364" s="269">
        <f>IF(BB$7="Actual","",IFERROR((INDEX($M364:$Q364,,MATCH(BB$4,$M$4:$Q$4,0))),0))</f>
        <v/>
      </c>
      <c r="BC364" s="269">
        <f>IF(BC$7="Actual","",IFERROR((INDEX($M364:$Q364,,MATCH(BC$4,$M$4:$Q$4,0))),0))</f>
        <v/>
      </c>
      <c r="BD364" s="269">
        <f>IF(BD$7="Actual","",IFERROR((INDEX($M364:$Q364,,MATCH(BD$4,$M$4:$Q$4,0))),0))</f>
        <v/>
      </c>
      <c r="BE364" s="269">
        <f>IF(BE$7="Actual","",IFERROR((INDEX($M364:$Q364,,MATCH(BE$4,$M$4:$Q$4,0))),0))</f>
        <v/>
      </c>
      <c r="BF364" s="269">
        <f>IF(BF$7="Actual","",IFERROR((INDEX($M364:$Q364,,MATCH(BF$4,$M$4:$Q$4,0))),0))</f>
        <v/>
      </c>
      <c r="BG364" s="269">
        <f>IF(BG$7="Actual","",IFERROR((INDEX($M364:$Q364,,MATCH(BG$4,$M$4:$Q$4,0))),0))</f>
        <v/>
      </c>
      <c r="BH364" s="269">
        <f>IF(BH$7="Actual","",IFERROR((INDEX($M364:$Q364,,MATCH(BH$4,$M$4:$Q$4,0))),0))</f>
        <v/>
      </c>
      <c r="BI364" s="269">
        <f>IF(BI$7="Actual","",IFERROR((INDEX($M364:$Q364,,MATCH(BI$4,$M$4:$Q$4,0))),0))</f>
        <v/>
      </c>
      <c r="BJ364" s="269">
        <f>IF(BJ$7="Actual","",IFERROR((INDEX($M364:$Q364,,MATCH(BJ$4,$M$4:$Q$4,0))),0))</f>
        <v/>
      </c>
      <c r="BK364" s="269">
        <f>IF(BK$7="Actual","",IFERROR((INDEX($M364:$Q364,,MATCH(BK$4,$M$4:$Q$4,0))),0))</f>
        <v/>
      </c>
      <c r="BL364" s="269">
        <f>IF(BL$7="Actual","",IFERROR((INDEX($M364:$Q364,,MATCH(BL$4,$M$4:$Q$4,0))),0))</f>
        <v/>
      </c>
      <c r="BM364" s="269">
        <f>IF(BM$7="Actual","",IFERROR((INDEX($M364:$Q364,,MATCH(BM$4,$M$4:$Q$4,0))),0))</f>
        <v/>
      </c>
      <c r="BN364" s="269">
        <f>IF(BN$7="Actual","",IFERROR((INDEX($M364:$Q364,,MATCH(BN$4,$M$4:$Q$4,0))),0))</f>
        <v/>
      </c>
      <c r="BO364" s="269">
        <f>IF(BO$7="Actual","",IFERROR((INDEX($M364:$Q364,,MATCH(BO$4,$M$4:$Q$4,0))),0))</f>
        <v/>
      </c>
      <c r="BP364" s="269">
        <f>IF(BP$7="Actual","",IFERROR((INDEX($M364:$Q364,,MATCH(BP$4,$M$4:$Q$4,0))),0))</f>
        <v/>
      </c>
      <c r="BQ364" s="269">
        <f>IF(BQ$7="Actual","",IFERROR((INDEX($M364:$Q364,,MATCH(BQ$4,$M$4:$Q$4,0))),0))</f>
        <v/>
      </c>
      <c r="BR364" s="269">
        <f>IF(BR$7="Actual","",IFERROR((INDEX($M364:$Q364,,MATCH(BR$4,$M$4:$Q$4,0))),0))</f>
        <v/>
      </c>
      <c r="BS364" s="269">
        <f>IF(BS$7="Actual","",IFERROR((INDEX($M364:$Q364,,MATCH(BS$4,$M$4:$Q$4,0))),0))</f>
        <v/>
      </c>
      <c r="BT364" s="269">
        <f>IF(BT$7="Actual","",IFERROR((INDEX($M364:$Q364,,MATCH(BT$4,$M$4:$Q$4,0))),0))</f>
        <v/>
      </c>
      <c r="BU364" s="269">
        <f>IF(BU$7="Actual","",IFERROR((INDEX($M364:$Q364,,MATCH(BU$4,$M$4:$Q$4,0))),0))</f>
        <v/>
      </c>
      <c r="BV364" s="269">
        <f>IF(BV$7="Actual","",IFERROR((INDEX($M364:$Q364,,MATCH(BV$4,$M$4:$Q$4,0))),0))</f>
        <v/>
      </c>
      <c r="BW364" s="269">
        <f>IF(BW$7="Actual","",IFERROR((INDEX($M364:$Q364,,MATCH(BW$4,$M$4:$Q$4,0))),0))</f>
        <v/>
      </c>
      <c r="BX364" s="269">
        <f>IF(BX$7="Actual","",IFERROR((INDEX($M364:$Q364,,MATCH(BX$4,$M$4:$Q$4,0))),0))</f>
        <v/>
      </c>
      <c r="BY364" s="269">
        <f>IF(BY$7="Actual","",IFERROR((INDEX($M364:$Q364,,MATCH(BY$4,$M$4:$Q$4,0))),0))</f>
        <v/>
      </c>
      <c r="BZ364" s="269">
        <f>IF(BZ$7="Actual","",IFERROR((INDEX($M364:$Q364,,MATCH(BZ$4,$M$4:$Q$4,0))),0))</f>
        <v/>
      </c>
      <c r="CA364" s="269">
        <f>IF(CA$7="Actual","",IFERROR((INDEX($M364:$Q364,,MATCH(CA$4,$M$4:$Q$4,0))),0))</f>
        <v/>
      </c>
    </row>
    <row r="365" ht="12" customHeight="1" s="227">
      <c r="A365" s="244" t="n"/>
      <c r="B365" s="244" t="n"/>
      <c r="C365" s="244" t="n"/>
      <c r="H365" s="4">
        <f>H355</f>
        <v/>
      </c>
      <c r="I365" s="27" t="inlineStr">
        <is>
          <t>no</t>
        </is>
      </c>
      <c r="K365" s="6" t="n"/>
      <c r="M365" s="267">
        <f>IF(M$7="Actual","",i_Assumptions!M453)</f>
        <v/>
      </c>
      <c r="N365" s="267">
        <f>IF(N$7="Actual","",i_Assumptions!N453)</f>
        <v/>
      </c>
      <c r="O365" s="267">
        <f>IF(O$7="Actual","",i_Assumptions!O453)</f>
        <v/>
      </c>
      <c r="P365" s="267">
        <f>IF(P$7="Actual","",i_Assumptions!P453)</f>
        <v/>
      </c>
      <c r="Q365" s="267">
        <f>IF(Q$7="Actual","",i_Assumptions!Q453)</f>
        <v/>
      </c>
      <c r="R365" s="268" t="n"/>
      <c r="S365" s="268" t="n"/>
      <c r="T365" s="269">
        <f>IF(T$7="Actual","",IFERROR((INDEX($M365:$Q365,,MATCH(T$4,$M$4:$Q$4,0))),0))</f>
        <v/>
      </c>
      <c r="U365" s="269">
        <f>IF(U$7="Actual","",IFERROR((INDEX($M365:$Q365,,MATCH(U$4,$M$4:$Q$4,0))),0))</f>
        <v/>
      </c>
      <c r="V365" s="269">
        <f>IF(V$7="Actual","",IFERROR((INDEX($M365:$Q365,,MATCH(V$4,$M$4:$Q$4,0))),0))</f>
        <v/>
      </c>
      <c r="W365" s="269">
        <f>IF(W$7="Actual","",IFERROR((INDEX($M365:$Q365,,MATCH(W$4,$M$4:$Q$4,0))),0))</f>
        <v/>
      </c>
      <c r="X365" s="269">
        <f>IF(X$7="Actual","",IFERROR((INDEX($M365:$Q365,,MATCH(X$4,$M$4:$Q$4,0))),0))</f>
        <v/>
      </c>
      <c r="Y365" s="269">
        <f>IF(Y$7="Actual","",IFERROR((INDEX($M365:$Q365,,MATCH(Y$4,$M$4:$Q$4,0))),0))</f>
        <v/>
      </c>
      <c r="Z365" s="269">
        <f>IF(Z$7="Actual","",IFERROR((INDEX($M365:$Q365,,MATCH(Z$4,$M$4:$Q$4,0))),0))</f>
        <v/>
      </c>
      <c r="AA365" s="269">
        <f>IF(AA$7="Actual","",IFERROR((INDEX($M365:$Q365,,MATCH(AA$4,$M$4:$Q$4,0))),0))</f>
        <v/>
      </c>
      <c r="AB365" s="269">
        <f>IF(AB$7="Actual","",IFERROR((INDEX($M365:$Q365,,MATCH(AB$4,$M$4:$Q$4,0))),0))</f>
        <v/>
      </c>
      <c r="AC365" s="269">
        <f>IF(AC$7="Actual","",IFERROR((INDEX($M365:$Q365,,MATCH(AC$4,$M$4:$Q$4,0))),0))</f>
        <v/>
      </c>
      <c r="AD365" s="269">
        <f>IF(AD$7="Actual","",IFERROR((INDEX($M365:$Q365,,MATCH(AD$4,$M$4:$Q$4,0))),0))</f>
        <v/>
      </c>
      <c r="AE365" s="269">
        <f>IF(AE$7="Actual","",IFERROR((INDEX($M365:$Q365,,MATCH(AE$4,$M$4:$Q$4,0))),0))</f>
        <v/>
      </c>
      <c r="AF365" s="269">
        <f>IF(AF$7="Actual","",IFERROR((INDEX($M365:$Q365,,MATCH(AF$4,$M$4:$Q$4,0))),0))</f>
        <v/>
      </c>
      <c r="AG365" s="269">
        <f>IF(AG$7="Actual","",IFERROR((INDEX($M365:$Q365,,MATCH(AG$4,$M$4:$Q$4,0))),0))</f>
        <v/>
      </c>
      <c r="AH365" s="269">
        <f>IF(AH$7="Actual","",IFERROR((INDEX($M365:$Q365,,MATCH(AH$4,$M$4:$Q$4,0))),0))</f>
        <v/>
      </c>
      <c r="AI365" s="269">
        <f>IF(AI$7="Actual","",IFERROR((INDEX($M365:$Q365,,MATCH(AI$4,$M$4:$Q$4,0))),0))</f>
        <v/>
      </c>
      <c r="AJ365" s="269">
        <f>IF(AJ$7="Actual","",IFERROR((INDEX($M365:$Q365,,MATCH(AJ$4,$M$4:$Q$4,0))),0))</f>
        <v/>
      </c>
      <c r="AK365" s="269">
        <f>IF(AK$7="Actual","",IFERROR((INDEX($M365:$Q365,,MATCH(AK$4,$M$4:$Q$4,0))),0))</f>
        <v/>
      </c>
      <c r="AL365" s="269">
        <f>IF(AL$7="Actual","",IFERROR((INDEX($M365:$Q365,,MATCH(AL$4,$M$4:$Q$4,0))),0))</f>
        <v/>
      </c>
      <c r="AM365" s="269">
        <f>IF(AM$7="Actual","",IFERROR((INDEX($M365:$Q365,,MATCH(AM$4,$M$4:$Q$4,0))),0))</f>
        <v/>
      </c>
      <c r="AN365" s="269">
        <f>IF(AN$7="Actual","",IFERROR((INDEX($M365:$Q365,,MATCH(AN$4,$M$4:$Q$4,0))),0))</f>
        <v/>
      </c>
      <c r="AO365" s="269">
        <f>IF(AO$7="Actual","",IFERROR((INDEX($M365:$Q365,,MATCH(AO$4,$M$4:$Q$4,0))),0))</f>
        <v/>
      </c>
      <c r="AP365" s="269">
        <f>IF(AP$7="Actual","",IFERROR((INDEX($M365:$Q365,,MATCH(AP$4,$M$4:$Q$4,0))),0))</f>
        <v/>
      </c>
      <c r="AQ365" s="269">
        <f>IF(AQ$7="Actual","",IFERROR((INDEX($M365:$Q365,,MATCH(AQ$4,$M$4:$Q$4,0))),0))</f>
        <v/>
      </c>
      <c r="AR365" s="269">
        <f>IF(AR$7="Actual","",IFERROR((INDEX($M365:$Q365,,MATCH(AR$4,$M$4:$Q$4,0))),0))</f>
        <v/>
      </c>
      <c r="AS365" s="269">
        <f>IF(AS$7="Actual","",IFERROR((INDEX($M365:$Q365,,MATCH(AS$4,$M$4:$Q$4,0))),0))</f>
        <v/>
      </c>
      <c r="AT365" s="269">
        <f>IF(AT$7="Actual","",IFERROR((INDEX($M365:$Q365,,MATCH(AT$4,$M$4:$Q$4,0))),0))</f>
        <v/>
      </c>
      <c r="AU365" s="269">
        <f>IF(AU$7="Actual","",IFERROR((INDEX($M365:$Q365,,MATCH(AU$4,$M$4:$Q$4,0))),0))</f>
        <v/>
      </c>
      <c r="AV365" s="269">
        <f>IF(AV$7="Actual","",IFERROR((INDEX($M365:$Q365,,MATCH(AV$4,$M$4:$Q$4,0))),0))</f>
        <v/>
      </c>
      <c r="AW365" s="269">
        <f>IF(AW$7="Actual","",IFERROR((INDEX($M365:$Q365,,MATCH(AW$4,$M$4:$Q$4,0))),0))</f>
        <v/>
      </c>
      <c r="AX365" s="269">
        <f>IF(AX$7="Actual","",IFERROR((INDEX($M365:$Q365,,MATCH(AX$4,$M$4:$Q$4,0))),0))</f>
        <v/>
      </c>
      <c r="AY365" s="269">
        <f>IF(AY$7="Actual","",IFERROR((INDEX($M365:$Q365,,MATCH(AY$4,$M$4:$Q$4,0))),0))</f>
        <v/>
      </c>
      <c r="AZ365" s="269">
        <f>IF(AZ$7="Actual","",IFERROR((INDEX($M365:$Q365,,MATCH(AZ$4,$M$4:$Q$4,0))),0))</f>
        <v/>
      </c>
      <c r="BA365" s="269">
        <f>IF(BA$7="Actual","",IFERROR((INDEX($M365:$Q365,,MATCH(BA$4,$M$4:$Q$4,0))),0))</f>
        <v/>
      </c>
      <c r="BB365" s="269">
        <f>IF(BB$7="Actual","",IFERROR((INDEX($M365:$Q365,,MATCH(BB$4,$M$4:$Q$4,0))),0))</f>
        <v/>
      </c>
      <c r="BC365" s="269">
        <f>IF(BC$7="Actual","",IFERROR((INDEX($M365:$Q365,,MATCH(BC$4,$M$4:$Q$4,0))),0))</f>
        <v/>
      </c>
      <c r="BD365" s="269">
        <f>IF(BD$7="Actual","",IFERROR((INDEX($M365:$Q365,,MATCH(BD$4,$M$4:$Q$4,0))),0))</f>
        <v/>
      </c>
      <c r="BE365" s="269">
        <f>IF(BE$7="Actual","",IFERROR((INDEX($M365:$Q365,,MATCH(BE$4,$M$4:$Q$4,0))),0))</f>
        <v/>
      </c>
      <c r="BF365" s="269">
        <f>IF(BF$7="Actual","",IFERROR((INDEX($M365:$Q365,,MATCH(BF$4,$M$4:$Q$4,0))),0))</f>
        <v/>
      </c>
      <c r="BG365" s="269">
        <f>IF(BG$7="Actual","",IFERROR((INDEX($M365:$Q365,,MATCH(BG$4,$M$4:$Q$4,0))),0))</f>
        <v/>
      </c>
      <c r="BH365" s="269">
        <f>IF(BH$7="Actual","",IFERROR((INDEX($M365:$Q365,,MATCH(BH$4,$M$4:$Q$4,0))),0))</f>
        <v/>
      </c>
      <c r="BI365" s="269">
        <f>IF(BI$7="Actual","",IFERROR((INDEX($M365:$Q365,,MATCH(BI$4,$M$4:$Q$4,0))),0))</f>
        <v/>
      </c>
      <c r="BJ365" s="269">
        <f>IF(BJ$7="Actual","",IFERROR((INDEX($M365:$Q365,,MATCH(BJ$4,$M$4:$Q$4,0))),0))</f>
        <v/>
      </c>
      <c r="BK365" s="269">
        <f>IF(BK$7="Actual","",IFERROR((INDEX($M365:$Q365,,MATCH(BK$4,$M$4:$Q$4,0))),0))</f>
        <v/>
      </c>
      <c r="BL365" s="269">
        <f>IF(BL$7="Actual","",IFERROR((INDEX($M365:$Q365,,MATCH(BL$4,$M$4:$Q$4,0))),0))</f>
        <v/>
      </c>
      <c r="BM365" s="269">
        <f>IF(BM$7="Actual","",IFERROR((INDEX($M365:$Q365,,MATCH(BM$4,$M$4:$Q$4,0))),0))</f>
        <v/>
      </c>
      <c r="BN365" s="269">
        <f>IF(BN$7="Actual","",IFERROR((INDEX($M365:$Q365,,MATCH(BN$4,$M$4:$Q$4,0))),0))</f>
        <v/>
      </c>
      <c r="BO365" s="269">
        <f>IF(BO$7="Actual","",IFERROR((INDEX($M365:$Q365,,MATCH(BO$4,$M$4:$Q$4,0))),0))</f>
        <v/>
      </c>
      <c r="BP365" s="269">
        <f>IF(BP$7="Actual","",IFERROR((INDEX($M365:$Q365,,MATCH(BP$4,$M$4:$Q$4,0))),0))</f>
        <v/>
      </c>
      <c r="BQ365" s="269">
        <f>IF(BQ$7="Actual","",IFERROR((INDEX($M365:$Q365,,MATCH(BQ$4,$M$4:$Q$4,0))),0))</f>
        <v/>
      </c>
      <c r="BR365" s="269">
        <f>IF(BR$7="Actual","",IFERROR((INDEX($M365:$Q365,,MATCH(BR$4,$M$4:$Q$4,0))),0))</f>
        <v/>
      </c>
      <c r="BS365" s="269">
        <f>IF(BS$7="Actual","",IFERROR((INDEX($M365:$Q365,,MATCH(BS$4,$M$4:$Q$4,0))),0))</f>
        <v/>
      </c>
      <c r="BT365" s="269">
        <f>IF(BT$7="Actual","",IFERROR((INDEX($M365:$Q365,,MATCH(BT$4,$M$4:$Q$4,0))),0))</f>
        <v/>
      </c>
      <c r="BU365" s="269">
        <f>IF(BU$7="Actual","",IFERROR((INDEX($M365:$Q365,,MATCH(BU$4,$M$4:$Q$4,0))),0))</f>
        <v/>
      </c>
      <c r="BV365" s="269">
        <f>IF(BV$7="Actual","",IFERROR((INDEX($M365:$Q365,,MATCH(BV$4,$M$4:$Q$4,0))),0))</f>
        <v/>
      </c>
      <c r="BW365" s="269">
        <f>IF(BW$7="Actual","",IFERROR((INDEX($M365:$Q365,,MATCH(BW$4,$M$4:$Q$4,0))),0))</f>
        <v/>
      </c>
      <c r="BX365" s="269">
        <f>IF(BX$7="Actual","",IFERROR((INDEX($M365:$Q365,,MATCH(BX$4,$M$4:$Q$4,0))),0))</f>
        <v/>
      </c>
      <c r="BY365" s="269">
        <f>IF(BY$7="Actual","",IFERROR((INDEX($M365:$Q365,,MATCH(BY$4,$M$4:$Q$4,0))),0))</f>
        <v/>
      </c>
      <c r="BZ365" s="269">
        <f>IF(BZ$7="Actual","",IFERROR((INDEX($M365:$Q365,,MATCH(BZ$4,$M$4:$Q$4,0))),0))</f>
        <v/>
      </c>
      <c r="CA365" s="269">
        <f>IF(CA$7="Actual","",IFERROR((INDEX($M365:$Q365,,MATCH(CA$4,$M$4:$Q$4,0))),0))</f>
        <v/>
      </c>
    </row>
    <row r="366" ht="12" customHeight="1" s="227">
      <c r="A366" s="244" t="n"/>
      <c r="B366" s="244" t="n"/>
      <c r="C366" s="244" t="n"/>
      <c r="H366" s="4">
        <f>H356</f>
        <v/>
      </c>
      <c r="I366" s="27" t="inlineStr">
        <is>
          <t>no</t>
        </is>
      </c>
      <c r="K366" s="6" t="n"/>
      <c r="M366" s="267">
        <f>IF(M$7="Actual","",i_Assumptions!M454)</f>
        <v/>
      </c>
      <c r="N366" s="267">
        <f>IF(N$7="Actual","",i_Assumptions!N454)</f>
        <v/>
      </c>
      <c r="O366" s="267">
        <f>IF(O$7="Actual","",i_Assumptions!O454)</f>
        <v/>
      </c>
      <c r="P366" s="267">
        <f>IF(P$7="Actual","",i_Assumptions!P454)</f>
        <v/>
      </c>
      <c r="Q366" s="267">
        <f>IF(Q$7="Actual","",i_Assumptions!Q454)</f>
        <v/>
      </c>
      <c r="R366" s="268" t="n"/>
      <c r="S366" s="268" t="n"/>
      <c r="T366" s="269">
        <f>IF(T$7="Actual","",IFERROR((INDEX($M366:$Q366,,MATCH(T$4,$M$4:$Q$4,0))),0))</f>
        <v/>
      </c>
      <c r="U366" s="269">
        <f>IF(U$7="Actual","",IFERROR((INDEX($M366:$Q366,,MATCH(U$4,$M$4:$Q$4,0))),0))</f>
        <v/>
      </c>
      <c r="V366" s="269">
        <f>IF(V$7="Actual","",IFERROR((INDEX($M366:$Q366,,MATCH(V$4,$M$4:$Q$4,0))),0))</f>
        <v/>
      </c>
      <c r="W366" s="269">
        <f>IF(W$7="Actual","",IFERROR((INDEX($M366:$Q366,,MATCH(W$4,$M$4:$Q$4,0))),0))</f>
        <v/>
      </c>
      <c r="X366" s="269">
        <f>IF(X$7="Actual","",IFERROR((INDEX($M366:$Q366,,MATCH(X$4,$M$4:$Q$4,0))),0))</f>
        <v/>
      </c>
      <c r="Y366" s="269">
        <f>IF(Y$7="Actual","",IFERROR((INDEX($M366:$Q366,,MATCH(Y$4,$M$4:$Q$4,0))),0))</f>
        <v/>
      </c>
      <c r="Z366" s="269">
        <f>IF(Z$7="Actual","",IFERROR((INDEX($M366:$Q366,,MATCH(Z$4,$M$4:$Q$4,0))),0))</f>
        <v/>
      </c>
      <c r="AA366" s="269">
        <f>IF(AA$7="Actual","",IFERROR((INDEX($M366:$Q366,,MATCH(AA$4,$M$4:$Q$4,0))),0))</f>
        <v/>
      </c>
      <c r="AB366" s="269">
        <f>IF(AB$7="Actual","",IFERROR((INDEX($M366:$Q366,,MATCH(AB$4,$M$4:$Q$4,0))),0))</f>
        <v/>
      </c>
      <c r="AC366" s="269">
        <f>IF(AC$7="Actual","",IFERROR((INDEX($M366:$Q366,,MATCH(AC$4,$M$4:$Q$4,0))),0))</f>
        <v/>
      </c>
      <c r="AD366" s="269">
        <f>IF(AD$7="Actual","",IFERROR((INDEX($M366:$Q366,,MATCH(AD$4,$M$4:$Q$4,0))),0))</f>
        <v/>
      </c>
      <c r="AE366" s="269">
        <f>IF(AE$7="Actual","",IFERROR((INDEX($M366:$Q366,,MATCH(AE$4,$M$4:$Q$4,0))),0))</f>
        <v/>
      </c>
      <c r="AF366" s="269">
        <f>IF(AF$7="Actual","",IFERROR((INDEX($M366:$Q366,,MATCH(AF$4,$M$4:$Q$4,0))),0))</f>
        <v/>
      </c>
      <c r="AG366" s="269">
        <f>IF(AG$7="Actual","",IFERROR((INDEX($M366:$Q366,,MATCH(AG$4,$M$4:$Q$4,0))),0))</f>
        <v/>
      </c>
      <c r="AH366" s="269">
        <f>IF(AH$7="Actual","",IFERROR((INDEX($M366:$Q366,,MATCH(AH$4,$M$4:$Q$4,0))),0))</f>
        <v/>
      </c>
      <c r="AI366" s="269">
        <f>IF(AI$7="Actual","",IFERROR((INDEX($M366:$Q366,,MATCH(AI$4,$M$4:$Q$4,0))),0))</f>
        <v/>
      </c>
      <c r="AJ366" s="269">
        <f>IF(AJ$7="Actual","",IFERROR((INDEX($M366:$Q366,,MATCH(AJ$4,$M$4:$Q$4,0))),0))</f>
        <v/>
      </c>
      <c r="AK366" s="269">
        <f>IF(AK$7="Actual","",IFERROR((INDEX($M366:$Q366,,MATCH(AK$4,$M$4:$Q$4,0))),0))</f>
        <v/>
      </c>
      <c r="AL366" s="269">
        <f>IF(AL$7="Actual","",IFERROR((INDEX($M366:$Q366,,MATCH(AL$4,$M$4:$Q$4,0))),0))</f>
        <v/>
      </c>
      <c r="AM366" s="269">
        <f>IF(AM$7="Actual","",IFERROR((INDEX($M366:$Q366,,MATCH(AM$4,$M$4:$Q$4,0))),0))</f>
        <v/>
      </c>
      <c r="AN366" s="269">
        <f>IF(AN$7="Actual","",IFERROR((INDEX($M366:$Q366,,MATCH(AN$4,$M$4:$Q$4,0))),0))</f>
        <v/>
      </c>
      <c r="AO366" s="269">
        <f>IF(AO$7="Actual","",IFERROR((INDEX($M366:$Q366,,MATCH(AO$4,$M$4:$Q$4,0))),0))</f>
        <v/>
      </c>
      <c r="AP366" s="269">
        <f>IF(AP$7="Actual","",IFERROR((INDEX($M366:$Q366,,MATCH(AP$4,$M$4:$Q$4,0))),0))</f>
        <v/>
      </c>
      <c r="AQ366" s="269">
        <f>IF(AQ$7="Actual","",IFERROR((INDEX($M366:$Q366,,MATCH(AQ$4,$M$4:$Q$4,0))),0))</f>
        <v/>
      </c>
      <c r="AR366" s="269">
        <f>IF(AR$7="Actual","",IFERROR((INDEX($M366:$Q366,,MATCH(AR$4,$M$4:$Q$4,0))),0))</f>
        <v/>
      </c>
      <c r="AS366" s="269">
        <f>IF(AS$7="Actual","",IFERROR((INDEX($M366:$Q366,,MATCH(AS$4,$M$4:$Q$4,0))),0))</f>
        <v/>
      </c>
      <c r="AT366" s="269">
        <f>IF(AT$7="Actual","",IFERROR((INDEX($M366:$Q366,,MATCH(AT$4,$M$4:$Q$4,0))),0))</f>
        <v/>
      </c>
      <c r="AU366" s="269">
        <f>IF(AU$7="Actual","",IFERROR((INDEX($M366:$Q366,,MATCH(AU$4,$M$4:$Q$4,0))),0))</f>
        <v/>
      </c>
      <c r="AV366" s="269">
        <f>IF(AV$7="Actual","",IFERROR((INDEX($M366:$Q366,,MATCH(AV$4,$M$4:$Q$4,0))),0))</f>
        <v/>
      </c>
      <c r="AW366" s="269">
        <f>IF(AW$7="Actual","",IFERROR((INDEX($M366:$Q366,,MATCH(AW$4,$M$4:$Q$4,0))),0))</f>
        <v/>
      </c>
      <c r="AX366" s="269">
        <f>IF(AX$7="Actual","",IFERROR((INDEX($M366:$Q366,,MATCH(AX$4,$M$4:$Q$4,0))),0))</f>
        <v/>
      </c>
      <c r="AY366" s="269">
        <f>IF(AY$7="Actual","",IFERROR((INDEX($M366:$Q366,,MATCH(AY$4,$M$4:$Q$4,0))),0))</f>
        <v/>
      </c>
      <c r="AZ366" s="269">
        <f>IF(AZ$7="Actual","",IFERROR((INDEX($M366:$Q366,,MATCH(AZ$4,$M$4:$Q$4,0))),0))</f>
        <v/>
      </c>
      <c r="BA366" s="269">
        <f>IF(BA$7="Actual","",IFERROR((INDEX($M366:$Q366,,MATCH(BA$4,$M$4:$Q$4,0))),0))</f>
        <v/>
      </c>
      <c r="BB366" s="269">
        <f>IF(BB$7="Actual","",IFERROR((INDEX($M366:$Q366,,MATCH(BB$4,$M$4:$Q$4,0))),0))</f>
        <v/>
      </c>
      <c r="BC366" s="269">
        <f>IF(BC$7="Actual","",IFERROR((INDEX($M366:$Q366,,MATCH(BC$4,$M$4:$Q$4,0))),0))</f>
        <v/>
      </c>
      <c r="BD366" s="269">
        <f>IF(BD$7="Actual","",IFERROR((INDEX($M366:$Q366,,MATCH(BD$4,$M$4:$Q$4,0))),0))</f>
        <v/>
      </c>
      <c r="BE366" s="269">
        <f>IF(BE$7="Actual","",IFERROR((INDEX($M366:$Q366,,MATCH(BE$4,$M$4:$Q$4,0))),0))</f>
        <v/>
      </c>
      <c r="BF366" s="269">
        <f>IF(BF$7="Actual","",IFERROR((INDEX($M366:$Q366,,MATCH(BF$4,$M$4:$Q$4,0))),0))</f>
        <v/>
      </c>
      <c r="BG366" s="269">
        <f>IF(BG$7="Actual","",IFERROR((INDEX($M366:$Q366,,MATCH(BG$4,$M$4:$Q$4,0))),0))</f>
        <v/>
      </c>
      <c r="BH366" s="269">
        <f>IF(BH$7="Actual","",IFERROR((INDEX($M366:$Q366,,MATCH(BH$4,$M$4:$Q$4,0))),0))</f>
        <v/>
      </c>
      <c r="BI366" s="269">
        <f>IF(BI$7="Actual","",IFERROR((INDEX($M366:$Q366,,MATCH(BI$4,$M$4:$Q$4,0))),0))</f>
        <v/>
      </c>
      <c r="BJ366" s="269">
        <f>IF(BJ$7="Actual","",IFERROR((INDEX($M366:$Q366,,MATCH(BJ$4,$M$4:$Q$4,0))),0))</f>
        <v/>
      </c>
      <c r="BK366" s="269">
        <f>IF(BK$7="Actual","",IFERROR((INDEX($M366:$Q366,,MATCH(BK$4,$M$4:$Q$4,0))),0))</f>
        <v/>
      </c>
      <c r="BL366" s="269">
        <f>IF(BL$7="Actual","",IFERROR((INDEX($M366:$Q366,,MATCH(BL$4,$M$4:$Q$4,0))),0))</f>
        <v/>
      </c>
      <c r="BM366" s="269">
        <f>IF(BM$7="Actual","",IFERROR((INDEX($M366:$Q366,,MATCH(BM$4,$M$4:$Q$4,0))),0))</f>
        <v/>
      </c>
      <c r="BN366" s="269">
        <f>IF(BN$7="Actual","",IFERROR((INDEX($M366:$Q366,,MATCH(BN$4,$M$4:$Q$4,0))),0))</f>
        <v/>
      </c>
      <c r="BO366" s="269">
        <f>IF(BO$7="Actual","",IFERROR((INDEX($M366:$Q366,,MATCH(BO$4,$M$4:$Q$4,0))),0))</f>
        <v/>
      </c>
      <c r="BP366" s="269">
        <f>IF(BP$7="Actual","",IFERROR((INDEX($M366:$Q366,,MATCH(BP$4,$M$4:$Q$4,0))),0))</f>
        <v/>
      </c>
      <c r="BQ366" s="269">
        <f>IF(BQ$7="Actual","",IFERROR((INDEX($M366:$Q366,,MATCH(BQ$4,$M$4:$Q$4,0))),0))</f>
        <v/>
      </c>
      <c r="BR366" s="269">
        <f>IF(BR$7="Actual","",IFERROR((INDEX($M366:$Q366,,MATCH(BR$4,$M$4:$Q$4,0))),0))</f>
        <v/>
      </c>
      <c r="BS366" s="269">
        <f>IF(BS$7="Actual","",IFERROR((INDEX($M366:$Q366,,MATCH(BS$4,$M$4:$Q$4,0))),0))</f>
        <v/>
      </c>
      <c r="BT366" s="269">
        <f>IF(BT$7="Actual","",IFERROR((INDEX($M366:$Q366,,MATCH(BT$4,$M$4:$Q$4,0))),0))</f>
        <v/>
      </c>
      <c r="BU366" s="269">
        <f>IF(BU$7="Actual","",IFERROR((INDEX($M366:$Q366,,MATCH(BU$4,$M$4:$Q$4,0))),0))</f>
        <v/>
      </c>
      <c r="BV366" s="269">
        <f>IF(BV$7="Actual","",IFERROR((INDEX($M366:$Q366,,MATCH(BV$4,$M$4:$Q$4,0))),0))</f>
        <v/>
      </c>
      <c r="BW366" s="269">
        <f>IF(BW$7="Actual","",IFERROR((INDEX($M366:$Q366,,MATCH(BW$4,$M$4:$Q$4,0))),0))</f>
        <v/>
      </c>
      <c r="BX366" s="269">
        <f>IF(BX$7="Actual","",IFERROR((INDEX($M366:$Q366,,MATCH(BX$4,$M$4:$Q$4,0))),0))</f>
        <v/>
      </c>
      <c r="BY366" s="269">
        <f>IF(BY$7="Actual","",IFERROR((INDEX($M366:$Q366,,MATCH(BY$4,$M$4:$Q$4,0))),0))</f>
        <v/>
      </c>
      <c r="BZ366" s="269">
        <f>IF(BZ$7="Actual","",IFERROR((INDEX($M366:$Q366,,MATCH(BZ$4,$M$4:$Q$4,0))),0))</f>
        <v/>
      </c>
      <c r="CA366" s="269">
        <f>IF(CA$7="Actual","",IFERROR((INDEX($M366:$Q366,,MATCH(CA$4,$M$4:$Q$4,0))),0))</f>
        <v/>
      </c>
    </row>
    <row r="367" ht="12" customHeight="1" s="227">
      <c r="A367" s="244" t="n"/>
      <c r="B367" s="244" t="n"/>
      <c r="C367" s="244" t="n"/>
      <c r="I367" s="27" t="n"/>
      <c r="K367" s="6" t="n"/>
      <c r="M367" s="266" t="n"/>
      <c r="N367" s="266" t="n"/>
      <c r="O367" s="266" t="n"/>
      <c r="P367" s="266" t="n"/>
      <c r="Q367" s="266" t="n"/>
      <c r="R367" s="268" t="n"/>
      <c r="S367" s="268" t="n"/>
      <c r="T367" s="268" t="n"/>
      <c r="U367" s="268" t="n"/>
      <c r="V367" s="268" t="n"/>
      <c r="W367" s="268" t="n"/>
      <c r="X367" s="268" t="n"/>
      <c r="Y367" s="268" t="n"/>
      <c r="Z367" s="268" t="n"/>
      <c r="AA367" s="268" t="n"/>
      <c r="AB367" s="268" t="n"/>
      <c r="AC367" s="268" t="n"/>
      <c r="AD367" s="268" t="n"/>
      <c r="AE367" s="268" t="n"/>
      <c r="AF367" s="268" t="n"/>
      <c r="AG367" s="268" t="n"/>
      <c r="AH367" s="268" t="n"/>
      <c r="AI367" s="268" t="n"/>
      <c r="AJ367" s="268" t="n"/>
      <c r="AK367" s="268" t="n"/>
      <c r="AL367" s="268" t="n"/>
      <c r="AM367" s="268" t="n"/>
      <c r="AN367" s="268" t="n"/>
      <c r="AO367" s="268" t="n"/>
      <c r="AP367" s="268" t="n"/>
      <c r="AQ367" s="268" t="n"/>
      <c r="AR367" s="268" t="n"/>
      <c r="AS367" s="268" t="n"/>
      <c r="AT367" s="268" t="n"/>
      <c r="AU367" s="268" t="n"/>
      <c r="AV367" s="268" t="n"/>
      <c r="AW367" s="268" t="n"/>
      <c r="AX367" s="268" t="n"/>
      <c r="AY367" s="268" t="n"/>
      <c r="AZ367" s="268" t="n"/>
      <c r="BA367" s="268" t="n"/>
      <c r="BB367" s="268" t="n"/>
      <c r="BC367" s="268" t="n"/>
      <c r="BD367" s="268" t="n"/>
      <c r="BE367" s="268" t="n"/>
      <c r="BF367" s="268" t="n"/>
      <c r="BG367" s="268" t="n"/>
      <c r="BH367" s="268" t="n"/>
      <c r="BI367" s="268" t="n"/>
      <c r="BJ367" s="268" t="n"/>
      <c r="BK367" s="268" t="n"/>
      <c r="BL367" s="268" t="n"/>
      <c r="BM367" s="268" t="n"/>
      <c r="BN367" s="268" t="n"/>
      <c r="BO367" s="268" t="n"/>
      <c r="BP367" s="268" t="n"/>
      <c r="BQ367" s="268" t="n"/>
      <c r="BR367" s="268" t="n"/>
      <c r="BS367" s="268" t="n"/>
      <c r="BT367" s="268" t="n"/>
      <c r="BU367" s="268" t="n"/>
      <c r="BV367" s="268" t="n"/>
      <c r="BW367" s="268" t="n"/>
      <c r="BX367" s="268" t="n"/>
      <c r="BY367" s="268" t="n"/>
      <c r="BZ367" s="268" t="n"/>
      <c r="CA367" s="268" t="n"/>
      <c r="CB367" s="268" t="n"/>
    </row>
    <row r="368" ht="12" customHeight="1" s="227">
      <c r="A368" s="244" t="n"/>
      <c r="B368" s="244" t="n"/>
      <c r="C368" s="244" t="n"/>
      <c r="I368" s="27" t="n"/>
      <c r="K368" s="6" t="n"/>
      <c r="M368" s="266" t="n"/>
      <c r="N368" s="266" t="n"/>
      <c r="O368" s="266" t="n"/>
      <c r="P368" s="266" t="n"/>
      <c r="Q368" s="266" t="n"/>
      <c r="R368" s="268" t="n"/>
      <c r="S368" s="268" t="n"/>
      <c r="T368" s="268" t="n"/>
      <c r="U368" s="268" t="n"/>
      <c r="V368" s="268" t="n"/>
      <c r="W368" s="268" t="n"/>
      <c r="X368" s="268" t="n"/>
      <c r="Y368" s="268" t="n"/>
      <c r="Z368" s="268" t="n"/>
      <c r="AA368" s="268" t="n"/>
      <c r="AB368" s="268" t="n"/>
      <c r="AC368" s="268" t="n"/>
      <c r="AD368" s="268" t="n"/>
      <c r="AE368" s="268" t="n"/>
      <c r="AF368" s="268" t="n"/>
      <c r="AG368" s="268" t="n"/>
      <c r="AH368" s="268" t="n"/>
      <c r="AI368" s="268" t="n"/>
      <c r="AJ368" s="268" t="n"/>
      <c r="AK368" s="268" t="n"/>
      <c r="AL368" s="268" t="n"/>
      <c r="AM368" s="268" t="n"/>
      <c r="AN368" s="268" t="n"/>
      <c r="AO368" s="268" t="n"/>
      <c r="AP368" s="268" t="n"/>
      <c r="AQ368" s="268" t="n"/>
      <c r="AR368" s="268" t="n"/>
      <c r="AS368" s="268" t="n"/>
      <c r="AT368" s="268" t="n"/>
      <c r="AU368" s="268" t="n"/>
      <c r="AV368" s="268" t="n"/>
      <c r="AW368" s="268" t="n"/>
      <c r="AX368" s="268" t="n"/>
      <c r="AY368" s="268" t="n"/>
      <c r="AZ368" s="268" t="n"/>
      <c r="BA368" s="268" t="n"/>
      <c r="BB368" s="268" t="n"/>
      <c r="BC368" s="268" t="n"/>
      <c r="BD368" s="268" t="n"/>
      <c r="BE368" s="268" t="n"/>
      <c r="BF368" s="268" t="n"/>
      <c r="BG368" s="268" t="n"/>
      <c r="BH368" s="268" t="n"/>
      <c r="BI368" s="268" t="n"/>
      <c r="BJ368" s="268" t="n"/>
      <c r="BK368" s="268" t="n"/>
      <c r="BL368" s="268" t="n"/>
      <c r="BM368" s="268" t="n"/>
      <c r="BN368" s="268" t="n"/>
      <c r="BO368" s="268" t="n"/>
      <c r="BP368" s="268" t="n"/>
      <c r="BQ368" s="268" t="n"/>
      <c r="BR368" s="268" t="n"/>
      <c r="BS368" s="268" t="n"/>
      <c r="BT368" s="268" t="n"/>
      <c r="BU368" s="268" t="n"/>
      <c r="BV368" s="268" t="n"/>
      <c r="BW368" s="268" t="n"/>
      <c r="BX368" s="268" t="n"/>
      <c r="BY368" s="268" t="n"/>
      <c r="BZ368" s="268" t="n"/>
      <c r="CA368" s="268" t="n"/>
      <c r="CB368" s="268" t="n"/>
    </row>
    <row r="369" ht="12" customHeight="1" s="227">
      <c r="A369" s="244" t="n"/>
      <c r="B369" s="244" t="n"/>
      <c r="C369" s="244" t="n"/>
      <c r="G369" s="222" t="inlineStr">
        <is>
          <t>Total Staff Numbers</t>
        </is>
      </c>
      <c r="I369" s="27" t="n"/>
      <c r="K369" s="6" t="n"/>
      <c r="M369" s="266" t="n"/>
      <c r="N369" s="266" t="n"/>
      <c r="O369" s="266" t="n"/>
      <c r="P369" s="266" t="n"/>
      <c r="Q369" s="266" t="n"/>
      <c r="R369" s="268" t="n"/>
      <c r="S369" s="268" t="n"/>
      <c r="T369" s="268" t="n"/>
      <c r="U369" s="268" t="n"/>
      <c r="V369" s="268" t="n"/>
      <c r="W369" s="268" t="n"/>
      <c r="X369" s="268" t="n"/>
      <c r="Y369" s="268" t="n"/>
      <c r="Z369" s="268" t="n"/>
      <c r="AA369" s="268" t="n"/>
      <c r="AB369" s="268" t="n"/>
      <c r="AC369" s="268" t="n"/>
      <c r="AD369" s="268" t="n"/>
      <c r="AE369" s="268" t="n"/>
      <c r="AF369" s="268" t="n"/>
      <c r="AG369" s="268" t="n"/>
      <c r="AH369" s="268" t="n"/>
      <c r="AI369" s="268" t="n"/>
      <c r="AJ369" s="268" t="n"/>
      <c r="AK369" s="268" t="n"/>
      <c r="AL369" s="268" t="n"/>
      <c r="AM369" s="268" t="n"/>
      <c r="AN369" s="268" t="n"/>
      <c r="AO369" s="268" t="n"/>
      <c r="AP369" s="268" t="n"/>
      <c r="AQ369" s="268" t="n"/>
      <c r="AR369" s="268" t="n"/>
      <c r="AS369" s="268" t="n"/>
      <c r="AT369" s="268" t="n"/>
      <c r="AU369" s="268" t="n"/>
      <c r="AV369" s="268" t="n"/>
      <c r="AW369" s="268" t="n"/>
      <c r="AX369" s="268" t="n"/>
      <c r="AY369" s="268" t="n"/>
      <c r="AZ369" s="268" t="n"/>
      <c r="BA369" s="268" t="n"/>
      <c r="BB369" s="268" t="n"/>
      <c r="BC369" s="268" t="n"/>
      <c r="BD369" s="268" t="n"/>
      <c r="BE369" s="268" t="n"/>
      <c r="BF369" s="268" t="n"/>
      <c r="BG369" s="268" t="n"/>
      <c r="BH369" s="268" t="n"/>
      <c r="BI369" s="268" t="n"/>
      <c r="BJ369" s="268" t="n"/>
      <c r="BK369" s="268" t="n"/>
      <c r="BL369" s="268" t="n"/>
      <c r="BM369" s="268" t="n"/>
      <c r="BN369" s="268" t="n"/>
      <c r="BO369" s="268" t="n"/>
      <c r="BP369" s="268" t="n"/>
      <c r="BQ369" s="268" t="n"/>
      <c r="BR369" s="268" t="n"/>
      <c r="BS369" s="268" t="n"/>
      <c r="BT369" s="268" t="n"/>
      <c r="BU369" s="268" t="n"/>
      <c r="BV369" s="268" t="n"/>
      <c r="BW369" s="268" t="n"/>
      <c r="BX369" s="268" t="n"/>
      <c r="BY369" s="268" t="n"/>
      <c r="BZ369" s="268" t="n"/>
      <c r="CA369" s="268" t="n"/>
      <c r="CB369" s="268" t="n"/>
    </row>
    <row r="370" ht="12" customHeight="1" s="227">
      <c r="A370" s="244" t="n"/>
      <c r="B370" s="244" t="n"/>
      <c r="C370" s="244" t="n"/>
      <c r="I370" s="27" t="n"/>
      <c r="K370" s="6" t="n"/>
      <c r="M370" s="266" t="n"/>
      <c r="N370" s="266" t="n"/>
      <c r="O370" s="266" t="n"/>
      <c r="P370" s="266" t="n"/>
      <c r="Q370" s="266" t="n"/>
      <c r="R370" s="268" t="n"/>
      <c r="S370" s="268" t="n"/>
      <c r="T370" s="268" t="n"/>
      <c r="U370" s="268" t="n"/>
      <c r="V370" s="268" t="n"/>
      <c r="W370" s="268" t="n"/>
      <c r="X370" s="268" t="n"/>
      <c r="Y370" s="268" t="n"/>
      <c r="Z370" s="268" t="n"/>
      <c r="AA370" s="268" t="n"/>
      <c r="AB370" s="268" t="n"/>
      <c r="AC370" s="268" t="n"/>
      <c r="AD370" s="268" t="n"/>
      <c r="AE370" s="268" t="n"/>
      <c r="AF370" s="268" t="n"/>
      <c r="AG370" s="268" t="n"/>
      <c r="AH370" s="268" t="n"/>
      <c r="AI370" s="268" t="n"/>
      <c r="AJ370" s="268" t="n"/>
      <c r="AK370" s="268" t="n"/>
      <c r="AL370" s="268" t="n"/>
      <c r="AM370" s="268" t="n"/>
      <c r="AN370" s="268" t="n"/>
      <c r="AO370" s="268" t="n"/>
      <c r="AP370" s="268" t="n"/>
      <c r="AQ370" s="268" t="n"/>
      <c r="AR370" s="268" t="n"/>
      <c r="AS370" s="268" t="n"/>
      <c r="AT370" s="268" t="n"/>
      <c r="AU370" s="268" t="n"/>
      <c r="AV370" s="268" t="n"/>
      <c r="AW370" s="268" t="n"/>
      <c r="AX370" s="268" t="n"/>
      <c r="AY370" s="268" t="n"/>
      <c r="AZ370" s="268" t="n"/>
      <c r="BA370" s="268" t="n"/>
      <c r="BB370" s="268" t="n"/>
      <c r="BC370" s="268" t="n"/>
      <c r="BD370" s="268" t="n"/>
      <c r="BE370" s="268" t="n"/>
      <c r="BF370" s="268" t="n"/>
      <c r="BG370" s="268" t="n"/>
      <c r="BH370" s="268" t="n"/>
      <c r="BI370" s="268" t="n"/>
      <c r="BJ370" s="268" t="n"/>
      <c r="BK370" s="268" t="n"/>
      <c r="BL370" s="268" t="n"/>
      <c r="BM370" s="268" t="n"/>
      <c r="BN370" s="268" t="n"/>
      <c r="BO370" s="268" t="n"/>
      <c r="BP370" s="268" t="n"/>
      <c r="BQ370" s="268" t="n"/>
      <c r="BR370" s="268" t="n"/>
      <c r="BS370" s="268" t="n"/>
      <c r="BT370" s="268" t="n"/>
      <c r="BU370" s="268" t="n"/>
      <c r="BV370" s="268" t="n"/>
      <c r="BW370" s="268" t="n"/>
      <c r="BX370" s="268" t="n"/>
      <c r="BY370" s="268" t="n"/>
      <c r="BZ370" s="268" t="n"/>
      <c r="CA370" s="268" t="n"/>
      <c r="CB370" s="268" t="n"/>
    </row>
    <row r="371" ht="12" customHeight="1" s="227">
      <c r="A371" s="244" t="n"/>
      <c r="B371" s="244" t="n"/>
      <c r="C371" s="244" t="n"/>
      <c r="H371" s="4">
        <f>H359</f>
        <v/>
      </c>
      <c r="I371" s="27" t="inlineStr">
        <is>
          <t>no</t>
        </is>
      </c>
      <c r="K371" s="6" t="n"/>
      <c r="M371" s="245">
        <f>SUMIF($T$2:$CA$2,M$2,$T371:$CA371)</f>
        <v/>
      </c>
      <c r="N371" s="245">
        <f>SUMIF($T$2:$CA$2,N$2,$T371:$CA371)</f>
        <v/>
      </c>
      <c r="O371" s="245">
        <f>SUMIF($T$2:$CA$2,O$2,$T371:$CA371)</f>
        <v/>
      </c>
      <c r="P371" s="245">
        <f>SUMIF($T$2:$CA$2,P$2,$T371:$CA371)</f>
        <v/>
      </c>
      <c r="Q371" s="245">
        <f>SUMIF($T$2:$CA$2,Q$2,$T371:$CA371)</f>
        <v/>
      </c>
      <c r="R371" s="268" t="n"/>
      <c r="S371" s="268" t="n"/>
      <c r="T371" s="268">
        <f>IF(T$7="Actual","",T269*c_Calculations!T$15+c_Calculations!T$16*c_Calculations!T279+c_Calculations!$T17*c_Calculations!T289+c_Calculations!T$18*c_Calculations!T299+c_Calculations!T$19*c_Calculations!T309+c_Calculations!T$20*c_Calculations!T319+c_Calculations!T$21*c_Calculations!T329+c_Calculations!T$22*c_Calculations!T339+c_Calculations!T$23*c_Calculations!T349+c_Calculations!T$24*c_Calculations!T359)</f>
        <v/>
      </c>
      <c r="U371" s="268">
        <f>IF(U$7="Actual","",U269*c_Calculations!U$15+c_Calculations!U$16*c_Calculations!U279+c_Calculations!$T17*c_Calculations!U289+c_Calculations!U$18*c_Calculations!U299+c_Calculations!U$19*c_Calculations!U309+c_Calculations!U$20*c_Calculations!U319+c_Calculations!U$21*c_Calculations!U329+c_Calculations!U$22*c_Calculations!U339+c_Calculations!U$23*c_Calculations!U349+c_Calculations!U$24*c_Calculations!U359)</f>
        <v/>
      </c>
      <c r="V371" s="268">
        <f>IF(V$7="Actual","",V269*c_Calculations!V$15+c_Calculations!V$16*c_Calculations!V279+c_Calculations!$T17*c_Calculations!V289+c_Calculations!V$18*c_Calculations!V299+c_Calculations!V$19*c_Calculations!V309+c_Calculations!V$20*c_Calculations!V319+c_Calculations!V$21*c_Calculations!V329+c_Calculations!V$22*c_Calculations!V339+c_Calculations!V$23*c_Calculations!V349+c_Calculations!V$24*c_Calculations!V359)</f>
        <v/>
      </c>
      <c r="W371" s="268">
        <f>IF(W$7="Actual","",W269*c_Calculations!W$15+c_Calculations!W$16*c_Calculations!W279+c_Calculations!$T17*c_Calculations!W289+c_Calculations!W$18*c_Calculations!W299+c_Calculations!W$19*c_Calculations!W309+c_Calculations!W$20*c_Calculations!W319+c_Calculations!W$21*c_Calculations!W329+c_Calculations!W$22*c_Calculations!W339+c_Calculations!W$23*c_Calculations!W349+c_Calculations!W$24*c_Calculations!W359)</f>
        <v/>
      </c>
      <c r="X371" s="268">
        <f>IF(X$7="Actual","",X269*c_Calculations!X$15+c_Calculations!X$16*c_Calculations!X279+c_Calculations!$T17*c_Calculations!X289+c_Calculations!X$18*c_Calculations!X299+c_Calculations!X$19*c_Calculations!X309+c_Calculations!X$20*c_Calculations!X319+c_Calculations!X$21*c_Calculations!X329+c_Calculations!X$22*c_Calculations!X339+c_Calculations!X$23*c_Calculations!X349+c_Calculations!X$24*c_Calculations!X359)</f>
        <v/>
      </c>
      <c r="Y371" s="268">
        <f>IF(Y$7="Actual","",Y269*c_Calculations!Y$15+c_Calculations!Y$16*c_Calculations!Y279+c_Calculations!$T17*c_Calculations!Y289+c_Calculations!Y$18*c_Calculations!Y299+c_Calculations!Y$19*c_Calculations!Y309+c_Calculations!Y$20*c_Calculations!Y319+c_Calculations!Y$21*c_Calculations!Y329+c_Calculations!Y$22*c_Calculations!Y339+c_Calculations!Y$23*c_Calculations!Y349+c_Calculations!Y$24*c_Calculations!Y359)</f>
        <v/>
      </c>
      <c r="Z371" s="268">
        <f>IF(Z$7="Actual","",Z269*c_Calculations!Z$15+c_Calculations!Z$16*c_Calculations!Z279+c_Calculations!$T17*c_Calculations!Z289+c_Calculations!Z$18*c_Calculations!Z299+c_Calculations!Z$19*c_Calculations!Z309+c_Calculations!Z$20*c_Calculations!Z319+c_Calculations!Z$21*c_Calculations!Z329+c_Calculations!Z$22*c_Calculations!Z339+c_Calculations!Z$23*c_Calculations!Z349+c_Calculations!Z$24*c_Calculations!Z359)</f>
        <v/>
      </c>
      <c r="AA371" s="268">
        <f>IF(AA$7="Actual","",AA269*c_Calculations!AA$15+c_Calculations!AA$16*c_Calculations!AA279+c_Calculations!$T17*c_Calculations!AA289+c_Calculations!AA$18*c_Calculations!AA299+c_Calculations!AA$19*c_Calculations!AA309+c_Calculations!AA$20*c_Calculations!AA319+c_Calculations!AA$21*c_Calculations!AA329+c_Calculations!AA$22*c_Calculations!AA339+c_Calculations!AA$23*c_Calculations!AA349+c_Calculations!AA$24*c_Calculations!AA359)</f>
        <v/>
      </c>
      <c r="AB371" s="268">
        <f>IF(AB$7="Actual","",AB269*c_Calculations!AB$15+c_Calculations!AB$16*c_Calculations!AB279+c_Calculations!$T17*c_Calculations!AB289+c_Calculations!AB$18*c_Calculations!AB299+c_Calculations!AB$19*c_Calculations!AB309+c_Calculations!AB$20*c_Calculations!AB319+c_Calculations!AB$21*c_Calculations!AB329+c_Calculations!AB$22*c_Calculations!AB339+c_Calculations!AB$23*c_Calculations!AB349+c_Calculations!AB$24*c_Calculations!AB359)</f>
        <v/>
      </c>
      <c r="AC371" s="268">
        <f>IF(AC$7="Actual","",AC269*c_Calculations!AC$15+c_Calculations!AC$16*c_Calculations!AC279+c_Calculations!$T17*c_Calculations!AC289+c_Calculations!AC$18*c_Calculations!AC299+c_Calculations!AC$19*c_Calculations!AC309+c_Calculations!AC$20*c_Calculations!AC319+c_Calculations!AC$21*c_Calculations!AC329+c_Calculations!AC$22*c_Calculations!AC339+c_Calculations!AC$23*c_Calculations!AC349+c_Calculations!AC$24*c_Calculations!AC359)</f>
        <v/>
      </c>
      <c r="AD371" s="268">
        <f>IF(AD$7="Actual","",AD269*c_Calculations!AD$15+c_Calculations!AD$16*c_Calculations!AD279+c_Calculations!$T17*c_Calculations!AD289+c_Calculations!AD$18*c_Calculations!AD299+c_Calculations!AD$19*c_Calculations!AD309+c_Calculations!AD$20*c_Calculations!AD319+c_Calculations!AD$21*c_Calculations!AD329+c_Calculations!AD$22*c_Calculations!AD339+c_Calculations!AD$23*c_Calculations!AD349+c_Calculations!AD$24*c_Calculations!AD359)</f>
        <v/>
      </c>
      <c r="AE371" s="268">
        <f>IF(AE$7="Actual","",AE269*c_Calculations!AE$15+c_Calculations!AE$16*c_Calculations!AE279+c_Calculations!$T17*c_Calculations!AE289+c_Calculations!AE$18*c_Calculations!AE299+c_Calculations!AE$19*c_Calculations!AE309+c_Calculations!AE$20*c_Calculations!AE319+c_Calculations!AE$21*c_Calculations!AE329+c_Calculations!AE$22*c_Calculations!AE339+c_Calculations!AE$23*c_Calculations!AE349+c_Calculations!AE$24*c_Calculations!AE359)</f>
        <v/>
      </c>
      <c r="AF371" s="268">
        <f>IF(AF$7="Actual","",AF269*c_Calculations!AF$15+c_Calculations!AF$16*c_Calculations!AF279+c_Calculations!$T17*c_Calculations!AF289+c_Calculations!AF$18*c_Calculations!AF299+c_Calculations!AF$19*c_Calculations!AF309+c_Calculations!AF$20*c_Calculations!AF319+c_Calculations!AF$21*c_Calculations!AF329+c_Calculations!AF$22*c_Calculations!AF339+c_Calculations!AF$23*c_Calculations!AF349+c_Calculations!AF$24*c_Calculations!AF359)</f>
        <v/>
      </c>
      <c r="AG371" s="268">
        <f>IF(AG$7="Actual","",AG269*c_Calculations!AG$15+c_Calculations!AG$16*c_Calculations!AG279+c_Calculations!$T17*c_Calculations!AG289+c_Calculations!AG$18*c_Calculations!AG299+c_Calculations!AG$19*c_Calculations!AG309+c_Calculations!AG$20*c_Calculations!AG319+c_Calculations!AG$21*c_Calculations!AG329+c_Calculations!AG$22*c_Calculations!AG339+c_Calculations!AG$23*c_Calculations!AG349+c_Calculations!AG$24*c_Calculations!AG359)</f>
        <v/>
      </c>
      <c r="AH371" s="268">
        <f>IF(AH$7="Actual","",AH269*c_Calculations!AH$15+c_Calculations!AH$16*c_Calculations!AH279+c_Calculations!$T17*c_Calculations!AH289+c_Calculations!AH$18*c_Calculations!AH299+c_Calculations!AH$19*c_Calculations!AH309+c_Calculations!AH$20*c_Calculations!AH319+c_Calculations!AH$21*c_Calculations!AH329+c_Calculations!AH$22*c_Calculations!AH339+c_Calculations!AH$23*c_Calculations!AH349+c_Calculations!AH$24*c_Calculations!AH359)</f>
        <v/>
      </c>
      <c r="AI371" s="268">
        <f>IF(AI$7="Actual","",AI269*c_Calculations!AI$15+c_Calculations!AI$16*c_Calculations!AI279+c_Calculations!$T17*c_Calculations!AI289+c_Calculations!AI$18*c_Calculations!AI299+c_Calculations!AI$19*c_Calculations!AI309+c_Calculations!AI$20*c_Calculations!AI319+c_Calculations!AI$21*c_Calculations!AI329+c_Calculations!AI$22*c_Calculations!AI339+c_Calculations!AI$23*c_Calculations!AI349+c_Calculations!AI$24*c_Calculations!AI359)</f>
        <v/>
      </c>
      <c r="AJ371" s="268">
        <f>IF(AJ$7="Actual","",AJ269*c_Calculations!AJ$15+c_Calculations!AJ$16*c_Calculations!AJ279+c_Calculations!$T17*c_Calculations!AJ289+c_Calculations!AJ$18*c_Calculations!AJ299+c_Calculations!AJ$19*c_Calculations!AJ309+c_Calculations!AJ$20*c_Calculations!AJ319+c_Calculations!AJ$21*c_Calculations!AJ329+c_Calculations!AJ$22*c_Calculations!AJ339+c_Calculations!AJ$23*c_Calculations!AJ349+c_Calculations!AJ$24*c_Calculations!AJ359)</f>
        <v/>
      </c>
      <c r="AK371" s="268">
        <f>IF(AK$7="Actual","",AK269*c_Calculations!AK$15+c_Calculations!AK$16*c_Calculations!AK279+c_Calculations!$T17*c_Calculations!AK289+c_Calculations!AK$18*c_Calculations!AK299+c_Calculations!AK$19*c_Calculations!AK309+c_Calculations!AK$20*c_Calculations!AK319+c_Calculations!AK$21*c_Calculations!AK329+c_Calculations!AK$22*c_Calculations!AK339+c_Calculations!AK$23*c_Calculations!AK349+c_Calculations!AK$24*c_Calculations!AK359)</f>
        <v/>
      </c>
      <c r="AL371" s="268">
        <f>IF(AL$7="Actual","",AL269*c_Calculations!AL$15+c_Calculations!AL$16*c_Calculations!AL279+c_Calculations!$T17*c_Calculations!AL289+c_Calculations!AL$18*c_Calculations!AL299+c_Calculations!AL$19*c_Calculations!AL309+c_Calculations!AL$20*c_Calculations!AL319+c_Calculations!AL$21*c_Calculations!AL329+c_Calculations!AL$22*c_Calculations!AL339+c_Calculations!AL$23*c_Calculations!AL349+c_Calculations!AL$24*c_Calculations!AL359)</f>
        <v/>
      </c>
      <c r="AM371" s="268">
        <f>IF(AM$7="Actual","",AM269*c_Calculations!AM$15+c_Calculations!AM$16*c_Calculations!AM279+c_Calculations!$T17*c_Calculations!AM289+c_Calculations!AM$18*c_Calculations!AM299+c_Calculations!AM$19*c_Calculations!AM309+c_Calculations!AM$20*c_Calculations!AM319+c_Calculations!AM$21*c_Calculations!AM329+c_Calculations!AM$22*c_Calculations!AM339+c_Calculations!AM$23*c_Calculations!AM349+c_Calculations!AM$24*c_Calculations!AM359)</f>
        <v/>
      </c>
      <c r="AN371" s="268">
        <f>IF(AN$7="Actual","",AN269*c_Calculations!AN$15+c_Calculations!AN$16*c_Calculations!AN279+c_Calculations!$T17*c_Calculations!AN289+c_Calculations!AN$18*c_Calculations!AN299+c_Calculations!AN$19*c_Calculations!AN309+c_Calculations!AN$20*c_Calculations!AN319+c_Calculations!AN$21*c_Calculations!AN329+c_Calculations!AN$22*c_Calculations!AN339+c_Calculations!AN$23*c_Calculations!AN349+c_Calculations!AN$24*c_Calculations!AN359)</f>
        <v/>
      </c>
      <c r="AO371" s="268">
        <f>IF(AO$7="Actual","",AO269*c_Calculations!AO$15+c_Calculations!AO$16*c_Calculations!AO279+c_Calculations!$T17*c_Calculations!AO289+c_Calculations!AO$18*c_Calculations!AO299+c_Calculations!AO$19*c_Calculations!AO309+c_Calculations!AO$20*c_Calculations!AO319+c_Calculations!AO$21*c_Calculations!AO329+c_Calculations!AO$22*c_Calculations!AO339+c_Calculations!AO$23*c_Calculations!AO349+c_Calculations!AO$24*c_Calculations!AO359)</f>
        <v/>
      </c>
      <c r="AP371" s="268">
        <f>IF(AP$7="Actual","",AP269*c_Calculations!AP$15+c_Calculations!AP$16*c_Calculations!AP279+c_Calculations!$T17*c_Calculations!AP289+c_Calculations!AP$18*c_Calculations!AP299+c_Calculations!AP$19*c_Calculations!AP309+c_Calculations!AP$20*c_Calculations!AP319+c_Calculations!AP$21*c_Calculations!AP329+c_Calculations!AP$22*c_Calculations!AP339+c_Calculations!AP$23*c_Calculations!AP349+c_Calculations!AP$24*c_Calculations!AP359)</f>
        <v/>
      </c>
      <c r="AQ371" s="268">
        <f>IF(AQ$7="Actual","",AQ269*c_Calculations!AQ$15+c_Calculations!AQ$16*c_Calculations!AQ279+c_Calculations!$T17*c_Calculations!AQ289+c_Calculations!AQ$18*c_Calculations!AQ299+c_Calculations!AQ$19*c_Calculations!AQ309+c_Calculations!AQ$20*c_Calculations!AQ319+c_Calculations!AQ$21*c_Calculations!AQ329+c_Calculations!AQ$22*c_Calculations!AQ339+c_Calculations!AQ$23*c_Calculations!AQ349+c_Calculations!AQ$24*c_Calculations!AQ359)</f>
        <v/>
      </c>
      <c r="AR371" s="268">
        <f>IF(AR$7="Actual","",AR269*c_Calculations!AR$15+c_Calculations!AR$16*c_Calculations!AR279+c_Calculations!$T17*c_Calculations!AR289+c_Calculations!AR$18*c_Calculations!AR299+c_Calculations!AR$19*c_Calculations!AR309+c_Calculations!AR$20*c_Calculations!AR319+c_Calculations!AR$21*c_Calculations!AR329+c_Calculations!AR$22*c_Calculations!AR339+c_Calculations!AR$23*c_Calculations!AR349+c_Calculations!AR$24*c_Calculations!AR359)</f>
        <v/>
      </c>
      <c r="AS371" s="268">
        <f>IF(AS$7="Actual","",AS269*c_Calculations!AS$15+c_Calculations!AS$16*c_Calculations!AS279+c_Calculations!$T17*c_Calculations!AS289+c_Calculations!AS$18*c_Calculations!AS299+c_Calculations!AS$19*c_Calculations!AS309+c_Calculations!AS$20*c_Calculations!AS319+c_Calculations!AS$21*c_Calculations!AS329+c_Calculations!AS$22*c_Calculations!AS339+c_Calculations!AS$23*c_Calculations!AS349+c_Calculations!AS$24*c_Calculations!AS359)</f>
        <v/>
      </c>
      <c r="AT371" s="268">
        <f>IF(AT$7="Actual","",AT269*c_Calculations!AT$15+c_Calculations!AT$16*c_Calculations!AT279+c_Calculations!$T17*c_Calculations!AT289+c_Calculations!AT$18*c_Calculations!AT299+c_Calculations!AT$19*c_Calculations!AT309+c_Calculations!AT$20*c_Calculations!AT319+c_Calculations!AT$21*c_Calculations!AT329+c_Calculations!AT$22*c_Calculations!AT339+c_Calculations!AT$23*c_Calculations!AT349+c_Calculations!AT$24*c_Calculations!AT359)</f>
        <v/>
      </c>
      <c r="AU371" s="268">
        <f>IF(AU$7="Actual","",AU269*c_Calculations!AU$15+c_Calculations!AU$16*c_Calculations!AU279+c_Calculations!$T17*c_Calculations!AU289+c_Calculations!AU$18*c_Calculations!AU299+c_Calculations!AU$19*c_Calculations!AU309+c_Calculations!AU$20*c_Calculations!AU319+c_Calculations!AU$21*c_Calculations!AU329+c_Calculations!AU$22*c_Calculations!AU339+c_Calculations!AU$23*c_Calculations!AU349+c_Calculations!AU$24*c_Calculations!AU359)</f>
        <v/>
      </c>
      <c r="AV371" s="268">
        <f>IF(AV$7="Actual","",AV269*c_Calculations!AV$15+c_Calculations!AV$16*c_Calculations!AV279+c_Calculations!$T17*c_Calculations!AV289+c_Calculations!AV$18*c_Calculations!AV299+c_Calculations!AV$19*c_Calculations!AV309+c_Calculations!AV$20*c_Calculations!AV319+c_Calculations!AV$21*c_Calculations!AV329+c_Calculations!AV$22*c_Calculations!AV339+c_Calculations!AV$23*c_Calculations!AV349+c_Calculations!AV$24*c_Calculations!AV359)</f>
        <v/>
      </c>
      <c r="AW371" s="268">
        <f>IF(AW$7="Actual","",AW269*c_Calculations!AW$15+c_Calculations!AW$16*c_Calculations!AW279+c_Calculations!$T17*c_Calculations!AW289+c_Calculations!AW$18*c_Calculations!AW299+c_Calculations!AW$19*c_Calculations!AW309+c_Calculations!AW$20*c_Calculations!AW319+c_Calculations!AW$21*c_Calculations!AW329+c_Calculations!AW$22*c_Calculations!AW339+c_Calculations!AW$23*c_Calculations!AW349+c_Calculations!AW$24*c_Calculations!AW359)</f>
        <v/>
      </c>
      <c r="AX371" s="268">
        <f>IF(AX$7="Actual","",AX269*c_Calculations!AX$15+c_Calculations!AX$16*c_Calculations!AX279+c_Calculations!$T17*c_Calculations!AX289+c_Calculations!AX$18*c_Calculations!AX299+c_Calculations!AX$19*c_Calculations!AX309+c_Calculations!AX$20*c_Calculations!AX319+c_Calculations!AX$21*c_Calculations!AX329+c_Calculations!AX$22*c_Calculations!AX339+c_Calculations!AX$23*c_Calculations!AX349+c_Calculations!AX$24*c_Calculations!AX359)</f>
        <v/>
      </c>
      <c r="AY371" s="268">
        <f>IF(AY$7="Actual","",AY269*c_Calculations!AY$15+c_Calculations!AY$16*c_Calculations!AY279+c_Calculations!$T17*c_Calculations!AY289+c_Calculations!AY$18*c_Calculations!AY299+c_Calculations!AY$19*c_Calculations!AY309+c_Calculations!AY$20*c_Calculations!AY319+c_Calculations!AY$21*c_Calculations!AY329+c_Calculations!AY$22*c_Calculations!AY339+c_Calculations!AY$23*c_Calculations!AY349+c_Calculations!AY$24*c_Calculations!AY359)</f>
        <v/>
      </c>
      <c r="AZ371" s="268">
        <f>IF(AZ$7="Actual","",AZ269*c_Calculations!AZ$15+c_Calculations!AZ$16*c_Calculations!AZ279+c_Calculations!$T17*c_Calculations!AZ289+c_Calculations!AZ$18*c_Calculations!AZ299+c_Calculations!AZ$19*c_Calculations!AZ309+c_Calculations!AZ$20*c_Calculations!AZ319+c_Calculations!AZ$21*c_Calculations!AZ329+c_Calculations!AZ$22*c_Calculations!AZ339+c_Calculations!AZ$23*c_Calculations!AZ349+c_Calculations!AZ$24*c_Calculations!AZ359)</f>
        <v/>
      </c>
      <c r="BA371" s="268">
        <f>IF(BA$7="Actual","",BA269*c_Calculations!BA$15+c_Calculations!BA$16*c_Calculations!BA279+c_Calculations!$T17*c_Calculations!BA289+c_Calculations!BA$18*c_Calculations!BA299+c_Calculations!BA$19*c_Calculations!BA309+c_Calculations!BA$20*c_Calculations!BA319+c_Calculations!BA$21*c_Calculations!BA329+c_Calculations!BA$22*c_Calculations!BA339+c_Calculations!BA$23*c_Calculations!BA349+c_Calculations!BA$24*c_Calculations!BA359)</f>
        <v/>
      </c>
      <c r="BB371" s="268">
        <f>IF(BB$7="Actual","",BB269*c_Calculations!BB$15+c_Calculations!BB$16*c_Calculations!BB279+c_Calculations!$T17*c_Calculations!BB289+c_Calculations!BB$18*c_Calculations!BB299+c_Calculations!BB$19*c_Calculations!BB309+c_Calculations!BB$20*c_Calculations!BB319+c_Calculations!BB$21*c_Calculations!BB329+c_Calculations!BB$22*c_Calculations!BB339+c_Calculations!BB$23*c_Calculations!BB349+c_Calculations!BB$24*c_Calculations!BB359)</f>
        <v/>
      </c>
      <c r="BC371" s="268">
        <f>IF(BC$7="Actual","",BC269*c_Calculations!BC$15+c_Calculations!BC$16*c_Calculations!BC279+c_Calculations!$T17*c_Calculations!BC289+c_Calculations!BC$18*c_Calculations!BC299+c_Calculations!BC$19*c_Calculations!BC309+c_Calculations!BC$20*c_Calculations!BC319+c_Calculations!BC$21*c_Calculations!BC329+c_Calculations!BC$22*c_Calculations!BC339+c_Calculations!BC$23*c_Calculations!BC349+c_Calculations!BC$24*c_Calculations!BC359)</f>
        <v/>
      </c>
      <c r="BD371" s="268">
        <f>IF(BD$7="Actual","",BD269*c_Calculations!BD$15+c_Calculations!BD$16*c_Calculations!BD279+c_Calculations!$T17*c_Calculations!BD289+c_Calculations!BD$18*c_Calculations!BD299+c_Calculations!BD$19*c_Calculations!BD309+c_Calculations!BD$20*c_Calculations!BD319+c_Calculations!BD$21*c_Calculations!BD329+c_Calculations!BD$22*c_Calculations!BD339+c_Calculations!BD$23*c_Calculations!BD349+c_Calculations!BD$24*c_Calculations!BD359)</f>
        <v/>
      </c>
      <c r="BE371" s="268">
        <f>IF(BE$7="Actual","",BE269*c_Calculations!BE$15+c_Calculations!BE$16*c_Calculations!BE279+c_Calculations!$T17*c_Calculations!BE289+c_Calculations!BE$18*c_Calculations!BE299+c_Calculations!BE$19*c_Calculations!BE309+c_Calculations!BE$20*c_Calculations!BE319+c_Calculations!BE$21*c_Calculations!BE329+c_Calculations!BE$22*c_Calculations!BE339+c_Calculations!BE$23*c_Calculations!BE349+c_Calculations!BE$24*c_Calculations!BE359)</f>
        <v/>
      </c>
      <c r="BF371" s="268">
        <f>IF(BF$7="Actual","",BF269*c_Calculations!BF$15+c_Calculations!BF$16*c_Calculations!BF279+c_Calculations!$T17*c_Calculations!BF289+c_Calculations!BF$18*c_Calculations!BF299+c_Calculations!BF$19*c_Calculations!BF309+c_Calculations!BF$20*c_Calculations!BF319+c_Calculations!BF$21*c_Calculations!BF329+c_Calculations!BF$22*c_Calculations!BF339+c_Calculations!BF$23*c_Calculations!BF349+c_Calculations!BF$24*c_Calculations!BF359)</f>
        <v/>
      </c>
      <c r="BG371" s="268">
        <f>IF(BG$7="Actual","",BG269*c_Calculations!BG$15+c_Calculations!BG$16*c_Calculations!BG279+c_Calculations!$T17*c_Calculations!BG289+c_Calculations!BG$18*c_Calculations!BG299+c_Calculations!BG$19*c_Calculations!BG309+c_Calculations!BG$20*c_Calculations!BG319+c_Calculations!BG$21*c_Calculations!BG329+c_Calculations!BG$22*c_Calculations!BG339+c_Calculations!BG$23*c_Calculations!BG349+c_Calculations!BG$24*c_Calculations!BG359)</f>
        <v/>
      </c>
      <c r="BH371" s="268">
        <f>IF(BH$7="Actual","",BH269*c_Calculations!BH$15+c_Calculations!BH$16*c_Calculations!BH279+c_Calculations!$T17*c_Calculations!BH289+c_Calculations!BH$18*c_Calculations!BH299+c_Calculations!BH$19*c_Calculations!BH309+c_Calculations!BH$20*c_Calculations!BH319+c_Calculations!BH$21*c_Calculations!BH329+c_Calculations!BH$22*c_Calculations!BH339+c_Calculations!BH$23*c_Calculations!BH349+c_Calculations!BH$24*c_Calculations!BH359)</f>
        <v/>
      </c>
      <c r="BI371" s="268">
        <f>IF(BI$7="Actual","",BI269*c_Calculations!BI$15+c_Calculations!BI$16*c_Calculations!BI279+c_Calculations!$T17*c_Calculations!BI289+c_Calculations!BI$18*c_Calculations!BI299+c_Calculations!BI$19*c_Calculations!BI309+c_Calculations!BI$20*c_Calculations!BI319+c_Calculations!BI$21*c_Calculations!BI329+c_Calculations!BI$22*c_Calculations!BI339+c_Calculations!BI$23*c_Calculations!BI349+c_Calculations!BI$24*c_Calculations!BI359)</f>
        <v/>
      </c>
      <c r="BJ371" s="268">
        <f>IF(BJ$7="Actual","",BJ269*c_Calculations!BJ$15+c_Calculations!BJ$16*c_Calculations!BJ279+c_Calculations!$T17*c_Calculations!BJ289+c_Calculations!BJ$18*c_Calculations!BJ299+c_Calculations!BJ$19*c_Calculations!BJ309+c_Calculations!BJ$20*c_Calculations!BJ319+c_Calculations!BJ$21*c_Calculations!BJ329+c_Calculations!BJ$22*c_Calculations!BJ339+c_Calculations!BJ$23*c_Calculations!BJ349+c_Calculations!BJ$24*c_Calculations!BJ359)</f>
        <v/>
      </c>
      <c r="BK371" s="268">
        <f>IF(BK$7="Actual","",BK269*c_Calculations!BK$15+c_Calculations!BK$16*c_Calculations!BK279+c_Calculations!$T17*c_Calculations!BK289+c_Calculations!BK$18*c_Calculations!BK299+c_Calculations!BK$19*c_Calculations!BK309+c_Calculations!BK$20*c_Calculations!BK319+c_Calculations!BK$21*c_Calculations!BK329+c_Calculations!BK$22*c_Calculations!BK339+c_Calculations!BK$23*c_Calculations!BK349+c_Calculations!BK$24*c_Calculations!BK359)</f>
        <v/>
      </c>
      <c r="BL371" s="268">
        <f>IF(BL$7="Actual","",BL269*c_Calculations!BL$15+c_Calculations!BL$16*c_Calculations!BL279+c_Calculations!$T17*c_Calculations!BL289+c_Calculations!BL$18*c_Calculations!BL299+c_Calculations!BL$19*c_Calculations!BL309+c_Calculations!BL$20*c_Calculations!BL319+c_Calculations!BL$21*c_Calculations!BL329+c_Calculations!BL$22*c_Calculations!BL339+c_Calculations!BL$23*c_Calculations!BL349+c_Calculations!BL$24*c_Calculations!BL359)</f>
        <v/>
      </c>
      <c r="BM371" s="268">
        <f>IF(BM$7="Actual","",BM269*c_Calculations!BM$15+c_Calculations!BM$16*c_Calculations!BM279+c_Calculations!$T17*c_Calculations!BM289+c_Calculations!BM$18*c_Calculations!BM299+c_Calculations!BM$19*c_Calculations!BM309+c_Calculations!BM$20*c_Calculations!BM319+c_Calculations!BM$21*c_Calculations!BM329+c_Calculations!BM$22*c_Calculations!BM339+c_Calculations!BM$23*c_Calculations!BM349+c_Calculations!BM$24*c_Calculations!BM359)</f>
        <v/>
      </c>
      <c r="BN371" s="268">
        <f>IF(BN$7="Actual","",BN269*c_Calculations!BN$15+c_Calculations!BN$16*c_Calculations!BN279+c_Calculations!$T17*c_Calculations!BN289+c_Calculations!BN$18*c_Calculations!BN299+c_Calculations!BN$19*c_Calculations!BN309+c_Calculations!BN$20*c_Calculations!BN319+c_Calculations!BN$21*c_Calculations!BN329+c_Calculations!BN$22*c_Calculations!BN339+c_Calculations!BN$23*c_Calculations!BN349+c_Calculations!BN$24*c_Calculations!BN359)</f>
        <v/>
      </c>
      <c r="BO371" s="268">
        <f>IF(BO$7="Actual","",BO269*c_Calculations!BO$15+c_Calculations!BO$16*c_Calculations!BO279+c_Calculations!$T17*c_Calculations!BO289+c_Calculations!BO$18*c_Calculations!BO299+c_Calculations!BO$19*c_Calculations!BO309+c_Calculations!BO$20*c_Calculations!BO319+c_Calculations!BO$21*c_Calculations!BO329+c_Calculations!BO$22*c_Calculations!BO339+c_Calculations!BO$23*c_Calculations!BO349+c_Calculations!BO$24*c_Calculations!BO359)</f>
        <v/>
      </c>
      <c r="BP371" s="268">
        <f>IF(BP$7="Actual","",BP269*c_Calculations!BP$15+c_Calculations!BP$16*c_Calculations!BP279+c_Calculations!$T17*c_Calculations!BP289+c_Calculations!BP$18*c_Calculations!BP299+c_Calculations!BP$19*c_Calculations!BP309+c_Calculations!BP$20*c_Calculations!BP319+c_Calculations!BP$21*c_Calculations!BP329+c_Calculations!BP$22*c_Calculations!BP339+c_Calculations!BP$23*c_Calculations!BP349+c_Calculations!BP$24*c_Calculations!BP359)</f>
        <v/>
      </c>
      <c r="BQ371" s="268">
        <f>IF(BQ$7="Actual","",BQ269*c_Calculations!BQ$15+c_Calculations!BQ$16*c_Calculations!BQ279+c_Calculations!$T17*c_Calculations!BQ289+c_Calculations!BQ$18*c_Calculations!BQ299+c_Calculations!BQ$19*c_Calculations!BQ309+c_Calculations!BQ$20*c_Calculations!BQ319+c_Calculations!BQ$21*c_Calculations!BQ329+c_Calculations!BQ$22*c_Calculations!BQ339+c_Calculations!BQ$23*c_Calculations!BQ349+c_Calculations!BQ$24*c_Calculations!BQ359)</f>
        <v/>
      </c>
      <c r="BR371" s="268">
        <f>IF(BR$7="Actual","",BR269*c_Calculations!BR$15+c_Calculations!BR$16*c_Calculations!BR279+c_Calculations!$T17*c_Calculations!BR289+c_Calculations!BR$18*c_Calculations!BR299+c_Calculations!BR$19*c_Calculations!BR309+c_Calculations!BR$20*c_Calculations!BR319+c_Calculations!BR$21*c_Calculations!BR329+c_Calculations!BR$22*c_Calculations!BR339+c_Calculations!BR$23*c_Calculations!BR349+c_Calculations!BR$24*c_Calculations!BR359)</f>
        <v/>
      </c>
      <c r="BS371" s="268">
        <f>IF(BS$7="Actual","",BS269*c_Calculations!BS$15+c_Calculations!BS$16*c_Calculations!BS279+c_Calculations!$T17*c_Calculations!BS289+c_Calculations!BS$18*c_Calculations!BS299+c_Calculations!BS$19*c_Calculations!BS309+c_Calculations!BS$20*c_Calculations!BS319+c_Calculations!BS$21*c_Calculations!BS329+c_Calculations!BS$22*c_Calculations!BS339+c_Calculations!BS$23*c_Calculations!BS349+c_Calculations!BS$24*c_Calculations!BS359)</f>
        <v/>
      </c>
      <c r="BT371" s="268">
        <f>IF(BT$7="Actual","",BT269*c_Calculations!BT$15+c_Calculations!BT$16*c_Calculations!BT279+c_Calculations!$T17*c_Calculations!BT289+c_Calculations!BT$18*c_Calculations!BT299+c_Calculations!BT$19*c_Calculations!BT309+c_Calculations!BT$20*c_Calculations!BT319+c_Calculations!BT$21*c_Calculations!BT329+c_Calculations!BT$22*c_Calculations!BT339+c_Calculations!BT$23*c_Calculations!BT349+c_Calculations!BT$24*c_Calculations!BT359)</f>
        <v/>
      </c>
      <c r="BU371" s="268">
        <f>IF(BU$7="Actual","",BU269*c_Calculations!BU$15+c_Calculations!BU$16*c_Calculations!BU279+c_Calculations!$T17*c_Calculations!BU289+c_Calculations!BU$18*c_Calculations!BU299+c_Calculations!BU$19*c_Calculations!BU309+c_Calculations!BU$20*c_Calculations!BU319+c_Calculations!BU$21*c_Calculations!BU329+c_Calculations!BU$22*c_Calculations!BU339+c_Calculations!BU$23*c_Calculations!BU349+c_Calculations!BU$24*c_Calculations!BU359)</f>
        <v/>
      </c>
      <c r="BV371" s="268">
        <f>IF(BV$7="Actual","",BV269*c_Calculations!BV$15+c_Calculations!BV$16*c_Calculations!BV279+c_Calculations!$T17*c_Calculations!BV289+c_Calculations!BV$18*c_Calculations!BV299+c_Calculations!BV$19*c_Calculations!BV309+c_Calculations!BV$20*c_Calculations!BV319+c_Calculations!BV$21*c_Calculations!BV329+c_Calculations!BV$22*c_Calculations!BV339+c_Calculations!BV$23*c_Calculations!BV349+c_Calculations!BV$24*c_Calculations!BV359)</f>
        <v/>
      </c>
      <c r="BW371" s="268">
        <f>IF(BW$7="Actual","",BW269*c_Calculations!BW$15+c_Calculations!BW$16*c_Calculations!BW279+c_Calculations!$T17*c_Calculations!BW289+c_Calculations!BW$18*c_Calculations!BW299+c_Calculations!BW$19*c_Calculations!BW309+c_Calculations!BW$20*c_Calculations!BW319+c_Calculations!BW$21*c_Calculations!BW329+c_Calculations!BW$22*c_Calculations!BW339+c_Calculations!BW$23*c_Calculations!BW349+c_Calculations!BW$24*c_Calculations!BW359)</f>
        <v/>
      </c>
      <c r="BX371" s="268">
        <f>IF(BX$7="Actual","",BX269*c_Calculations!BX$15+c_Calculations!BX$16*c_Calculations!BX279+c_Calculations!$T17*c_Calculations!BX289+c_Calculations!BX$18*c_Calculations!BX299+c_Calculations!BX$19*c_Calculations!BX309+c_Calculations!BX$20*c_Calculations!BX319+c_Calculations!BX$21*c_Calculations!BX329+c_Calculations!BX$22*c_Calculations!BX339+c_Calculations!BX$23*c_Calculations!BX349+c_Calculations!BX$24*c_Calculations!BX359)</f>
        <v/>
      </c>
      <c r="BY371" s="268">
        <f>IF(BY$7="Actual","",BY269*c_Calculations!BY$15+c_Calculations!BY$16*c_Calculations!BY279+c_Calculations!$T17*c_Calculations!BY289+c_Calculations!BY$18*c_Calculations!BY299+c_Calculations!BY$19*c_Calculations!BY309+c_Calculations!BY$20*c_Calculations!BY319+c_Calculations!BY$21*c_Calculations!BY329+c_Calculations!BY$22*c_Calculations!BY339+c_Calculations!BY$23*c_Calculations!BY349+c_Calculations!BY$24*c_Calculations!BY359)</f>
        <v/>
      </c>
      <c r="BZ371" s="268">
        <f>IF(BZ$7="Actual","",BZ269*c_Calculations!BZ$15+c_Calculations!BZ$16*c_Calculations!BZ279+c_Calculations!$T17*c_Calculations!BZ289+c_Calculations!BZ$18*c_Calculations!BZ299+c_Calculations!BZ$19*c_Calculations!BZ309+c_Calculations!BZ$20*c_Calculations!BZ319+c_Calculations!BZ$21*c_Calculations!BZ329+c_Calculations!BZ$22*c_Calculations!BZ339+c_Calculations!BZ$23*c_Calculations!BZ349+c_Calculations!BZ$24*c_Calculations!BZ359)</f>
        <v/>
      </c>
      <c r="CA371" s="268">
        <f>IF(CA$7="Actual","",CA269*c_Calculations!CA$15+c_Calculations!CA$16*c_Calculations!CA279+c_Calculations!$T17*c_Calculations!CA289+c_Calculations!CA$18*c_Calculations!CA299+c_Calculations!CA$19*c_Calculations!CA309+c_Calculations!CA$20*c_Calculations!CA319+c_Calculations!CA$21*c_Calculations!CA329+c_Calculations!CA$22*c_Calculations!CA339+c_Calculations!CA$23*c_Calculations!CA349+c_Calculations!CA$24*c_Calculations!CA359)</f>
        <v/>
      </c>
      <c r="CB371" s="268" t="n"/>
    </row>
    <row r="372" ht="12" customHeight="1" s="227">
      <c r="A372" s="244" t="n"/>
      <c r="B372" s="244" t="n"/>
      <c r="C372" s="244" t="n"/>
      <c r="H372" s="4">
        <f>H360</f>
        <v/>
      </c>
      <c r="I372" s="27" t="inlineStr">
        <is>
          <t>no</t>
        </is>
      </c>
      <c r="K372" s="6" t="n"/>
      <c r="M372" s="245">
        <f>SUMIF($T$2:$CA$2,M$2,$T372:$CA372)</f>
        <v/>
      </c>
      <c r="N372" s="245">
        <f>SUMIF($T$2:$CA$2,N$2,$T372:$CA372)</f>
        <v/>
      </c>
      <c r="O372" s="245">
        <f>SUMIF($T$2:$CA$2,O$2,$T372:$CA372)</f>
        <v/>
      </c>
      <c r="P372" s="245">
        <f>SUMIF($T$2:$CA$2,P$2,$T372:$CA372)</f>
        <v/>
      </c>
      <c r="Q372" s="245">
        <f>SUMIF($T$2:$CA$2,Q$2,$T372:$CA372)</f>
        <v/>
      </c>
      <c r="R372" s="268" t="n"/>
      <c r="S372" s="268" t="n"/>
      <c r="T372" s="268">
        <f>IF(T$7="Actual","",T270*c_Calculations!T$15+c_Calculations!T$16*c_Calculations!T280+c_Calculations!$T18*c_Calculations!T290+c_Calculations!T$18*c_Calculations!T300+c_Calculations!T$19*c_Calculations!T310+c_Calculations!T$20*c_Calculations!T320+c_Calculations!T$21*c_Calculations!T330+c_Calculations!T$22*c_Calculations!T340+c_Calculations!T$23*c_Calculations!T350+c_Calculations!T$24*c_Calculations!T360)</f>
        <v/>
      </c>
      <c r="U372" s="268">
        <f>IF(U$7="Actual","",U270*c_Calculations!U$15+c_Calculations!U$16*c_Calculations!U280+c_Calculations!$T18*c_Calculations!U290+c_Calculations!U$18*c_Calculations!U300+c_Calculations!U$19*c_Calculations!U310+c_Calculations!U$20*c_Calculations!U320+c_Calculations!U$21*c_Calculations!U330+c_Calculations!U$22*c_Calculations!U340+c_Calculations!U$23*c_Calculations!U350+c_Calculations!U$24*c_Calculations!U360)</f>
        <v/>
      </c>
      <c r="V372" s="268">
        <f>IF(V$7="Actual","",V270*c_Calculations!V$15+c_Calculations!V$16*c_Calculations!V280+c_Calculations!$T18*c_Calculations!V290+c_Calculations!V$18*c_Calculations!V300+c_Calculations!V$19*c_Calculations!V310+c_Calculations!V$20*c_Calculations!V320+c_Calculations!V$21*c_Calculations!V330+c_Calculations!V$22*c_Calculations!V340+c_Calculations!V$23*c_Calculations!V350+c_Calculations!V$24*c_Calculations!V360)</f>
        <v/>
      </c>
      <c r="W372" s="268">
        <f>IF(W$7="Actual","",W270*c_Calculations!W$15+c_Calculations!W$16*c_Calculations!W280+c_Calculations!$T18*c_Calculations!W290+c_Calculations!W$18*c_Calculations!W300+c_Calculations!W$19*c_Calculations!W310+c_Calculations!W$20*c_Calculations!W320+c_Calculations!W$21*c_Calculations!W330+c_Calculations!W$22*c_Calculations!W340+c_Calculations!W$23*c_Calculations!W350+c_Calculations!W$24*c_Calculations!W360)</f>
        <v/>
      </c>
      <c r="X372" s="268">
        <f>IF(X$7="Actual","",X270*c_Calculations!X$15+c_Calculations!X$16*c_Calculations!X280+c_Calculations!$T18*c_Calculations!X290+c_Calculations!X$18*c_Calculations!X300+c_Calculations!X$19*c_Calculations!X310+c_Calculations!X$20*c_Calculations!X320+c_Calculations!X$21*c_Calculations!X330+c_Calculations!X$22*c_Calculations!X340+c_Calculations!X$23*c_Calculations!X350+c_Calculations!X$24*c_Calculations!X360)</f>
        <v/>
      </c>
      <c r="Y372" s="268">
        <f>IF(Y$7="Actual","",Y270*c_Calculations!Y$15+c_Calculations!Y$16*c_Calculations!Y280+c_Calculations!$T18*c_Calculations!Y290+c_Calculations!Y$18*c_Calculations!Y300+c_Calculations!Y$19*c_Calculations!Y310+c_Calculations!Y$20*c_Calculations!Y320+c_Calculations!Y$21*c_Calculations!Y330+c_Calculations!Y$22*c_Calculations!Y340+c_Calculations!Y$23*c_Calculations!Y350+c_Calculations!Y$24*c_Calculations!Y360)</f>
        <v/>
      </c>
      <c r="Z372" s="268">
        <f>IF(Z$7="Actual","",Z270*c_Calculations!Z$15+c_Calculations!Z$16*c_Calculations!Z280+c_Calculations!$T18*c_Calculations!Z290+c_Calculations!Z$18*c_Calculations!Z300+c_Calculations!Z$19*c_Calculations!Z310+c_Calculations!Z$20*c_Calculations!Z320+c_Calculations!Z$21*c_Calculations!Z330+c_Calculations!Z$22*c_Calculations!Z340+c_Calculations!Z$23*c_Calculations!Z350+c_Calculations!Z$24*c_Calculations!Z360)</f>
        <v/>
      </c>
      <c r="AA372" s="268">
        <f>IF(AA$7="Actual","",AA270*c_Calculations!AA$15+c_Calculations!AA$16*c_Calculations!AA280+c_Calculations!$T18*c_Calculations!AA290+c_Calculations!AA$18*c_Calculations!AA300+c_Calculations!AA$19*c_Calculations!AA310+c_Calculations!AA$20*c_Calculations!AA320+c_Calculations!AA$21*c_Calculations!AA330+c_Calculations!AA$22*c_Calculations!AA340+c_Calculations!AA$23*c_Calculations!AA350+c_Calculations!AA$24*c_Calculations!AA360)</f>
        <v/>
      </c>
      <c r="AB372" s="268">
        <f>IF(AB$7="Actual","",AB270*c_Calculations!AB$15+c_Calculations!AB$16*c_Calculations!AB280+c_Calculations!$T18*c_Calculations!AB290+c_Calculations!AB$18*c_Calculations!AB300+c_Calculations!AB$19*c_Calculations!AB310+c_Calculations!AB$20*c_Calculations!AB320+c_Calculations!AB$21*c_Calculations!AB330+c_Calculations!AB$22*c_Calculations!AB340+c_Calculations!AB$23*c_Calculations!AB350+c_Calculations!AB$24*c_Calculations!AB360)</f>
        <v/>
      </c>
      <c r="AC372" s="268">
        <f>IF(AC$7="Actual","",AC270*c_Calculations!AC$15+c_Calculations!AC$16*c_Calculations!AC280+c_Calculations!$T18*c_Calculations!AC290+c_Calculations!AC$18*c_Calculations!AC300+c_Calculations!AC$19*c_Calculations!AC310+c_Calculations!AC$20*c_Calculations!AC320+c_Calculations!AC$21*c_Calculations!AC330+c_Calculations!AC$22*c_Calculations!AC340+c_Calculations!AC$23*c_Calculations!AC350+c_Calculations!AC$24*c_Calculations!AC360)</f>
        <v/>
      </c>
      <c r="AD372" s="268">
        <f>IF(AD$7="Actual","",AD270*c_Calculations!AD$15+c_Calculations!AD$16*c_Calculations!AD280+c_Calculations!$T18*c_Calculations!AD290+c_Calculations!AD$18*c_Calculations!AD300+c_Calculations!AD$19*c_Calculations!AD310+c_Calculations!AD$20*c_Calculations!AD320+c_Calculations!AD$21*c_Calculations!AD330+c_Calculations!AD$22*c_Calculations!AD340+c_Calculations!AD$23*c_Calculations!AD350+c_Calculations!AD$24*c_Calculations!AD360)</f>
        <v/>
      </c>
      <c r="AE372" s="268">
        <f>IF(AE$7="Actual","",AE270*c_Calculations!AE$15+c_Calculations!AE$16*c_Calculations!AE280+c_Calculations!$T18*c_Calculations!AE290+c_Calculations!AE$18*c_Calculations!AE300+c_Calculations!AE$19*c_Calculations!AE310+c_Calculations!AE$20*c_Calculations!AE320+c_Calculations!AE$21*c_Calculations!AE330+c_Calculations!AE$22*c_Calculations!AE340+c_Calculations!AE$23*c_Calculations!AE350+c_Calculations!AE$24*c_Calculations!AE360)</f>
        <v/>
      </c>
      <c r="AF372" s="268">
        <f>IF(AF$7="Actual","",AF270*c_Calculations!AF$15+c_Calculations!AF$16*c_Calculations!AF280+c_Calculations!$T18*c_Calculations!AF290+c_Calculations!AF$18*c_Calculations!AF300+c_Calculations!AF$19*c_Calculations!AF310+c_Calculations!AF$20*c_Calculations!AF320+c_Calculations!AF$21*c_Calculations!AF330+c_Calculations!AF$22*c_Calculations!AF340+c_Calculations!AF$23*c_Calculations!AF350+c_Calculations!AF$24*c_Calculations!AF360)</f>
        <v/>
      </c>
      <c r="AG372" s="268">
        <f>IF(AG$7="Actual","",AG270*c_Calculations!AG$15+c_Calculations!AG$16*c_Calculations!AG280+c_Calculations!$T18*c_Calculations!AG290+c_Calculations!AG$18*c_Calculations!AG300+c_Calculations!AG$19*c_Calculations!AG310+c_Calculations!AG$20*c_Calculations!AG320+c_Calculations!AG$21*c_Calculations!AG330+c_Calculations!AG$22*c_Calculations!AG340+c_Calculations!AG$23*c_Calculations!AG350+c_Calculations!AG$24*c_Calculations!AG360)</f>
        <v/>
      </c>
      <c r="AH372" s="268">
        <f>IF(AH$7="Actual","",AH270*c_Calculations!AH$15+c_Calculations!AH$16*c_Calculations!AH280+c_Calculations!$T18*c_Calculations!AH290+c_Calculations!AH$18*c_Calculations!AH300+c_Calculations!AH$19*c_Calculations!AH310+c_Calculations!AH$20*c_Calculations!AH320+c_Calculations!AH$21*c_Calculations!AH330+c_Calculations!AH$22*c_Calculations!AH340+c_Calculations!AH$23*c_Calculations!AH350+c_Calculations!AH$24*c_Calculations!AH360)</f>
        <v/>
      </c>
      <c r="AI372" s="268">
        <f>IF(AI$7="Actual","",AI270*c_Calculations!AI$15+c_Calculations!AI$16*c_Calculations!AI280+c_Calculations!$T18*c_Calculations!AI290+c_Calculations!AI$18*c_Calculations!AI300+c_Calculations!AI$19*c_Calculations!AI310+c_Calculations!AI$20*c_Calculations!AI320+c_Calculations!AI$21*c_Calculations!AI330+c_Calculations!AI$22*c_Calculations!AI340+c_Calculations!AI$23*c_Calculations!AI350+c_Calculations!AI$24*c_Calculations!AI360)</f>
        <v/>
      </c>
      <c r="AJ372" s="268">
        <f>IF(AJ$7="Actual","",AJ270*c_Calculations!AJ$15+c_Calculations!AJ$16*c_Calculations!AJ280+c_Calculations!$T18*c_Calculations!AJ290+c_Calculations!AJ$18*c_Calculations!AJ300+c_Calculations!AJ$19*c_Calculations!AJ310+c_Calculations!AJ$20*c_Calculations!AJ320+c_Calculations!AJ$21*c_Calculations!AJ330+c_Calculations!AJ$22*c_Calculations!AJ340+c_Calculations!AJ$23*c_Calculations!AJ350+c_Calculations!AJ$24*c_Calculations!AJ360)</f>
        <v/>
      </c>
      <c r="AK372" s="268">
        <f>IF(AK$7="Actual","",AK270*c_Calculations!AK$15+c_Calculations!AK$16*c_Calculations!AK280+c_Calculations!$T18*c_Calculations!AK290+c_Calculations!AK$18*c_Calculations!AK300+c_Calculations!AK$19*c_Calculations!AK310+c_Calculations!AK$20*c_Calculations!AK320+c_Calculations!AK$21*c_Calculations!AK330+c_Calculations!AK$22*c_Calculations!AK340+c_Calculations!AK$23*c_Calculations!AK350+c_Calculations!AK$24*c_Calculations!AK360)</f>
        <v/>
      </c>
      <c r="AL372" s="268">
        <f>IF(AL$7="Actual","",AL270*c_Calculations!AL$15+c_Calculations!AL$16*c_Calculations!AL280+c_Calculations!$T18*c_Calculations!AL290+c_Calculations!AL$18*c_Calculations!AL300+c_Calculations!AL$19*c_Calculations!AL310+c_Calculations!AL$20*c_Calculations!AL320+c_Calculations!AL$21*c_Calculations!AL330+c_Calculations!AL$22*c_Calculations!AL340+c_Calculations!AL$23*c_Calculations!AL350+c_Calculations!AL$24*c_Calculations!AL360)</f>
        <v/>
      </c>
      <c r="AM372" s="268">
        <f>IF(AM$7="Actual","",AM270*c_Calculations!AM$15+c_Calculations!AM$16*c_Calculations!AM280+c_Calculations!$T18*c_Calculations!AM290+c_Calculations!AM$18*c_Calculations!AM300+c_Calculations!AM$19*c_Calculations!AM310+c_Calculations!AM$20*c_Calculations!AM320+c_Calculations!AM$21*c_Calculations!AM330+c_Calculations!AM$22*c_Calculations!AM340+c_Calculations!AM$23*c_Calculations!AM350+c_Calculations!AM$24*c_Calculations!AM360)</f>
        <v/>
      </c>
      <c r="AN372" s="268">
        <f>IF(AN$7="Actual","",AN270*c_Calculations!AN$15+c_Calculations!AN$16*c_Calculations!AN280+c_Calculations!$T18*c_Calculations!AN290+c_Calculations!AN$18*c_Calculations!AN300+c_Calculations!AN$19*c_Calculations!AN310+c_Calculations!AN$20*c_Calculations!AN320+c_Calculations!AN$21*c_Calculations!AN330+c_Calculations!AN$22*c_Calculations!AN340+c_Calculations!AN$23*c_Calculations!AN350+c_Calculations!AN$24*c_Calculations!AN360)</f>
        <v/>
      </c>
      <c r="AO372" s="268">
        <f>IF(AO$7="Actual","",AO270*c_Calculations!AO$15+c_Calculations!AO$16*c_Calculations!AO280+c_Calculations!$T18*c_Calculations!AO290+c_Calculations!AO$18*c_Calculations!AO300+c_Calculations!AO$19*c_Calculations!AO310+c_Calculations!AO$20*c_Calculations!AO320+c_Calculations!AO$21*c_Calculations!AO330+c_Calculations!AO$22*c_Calculations!AO340+c_Calculations!AO$23*c_Calculations!AO350+c_Calculations!AO$24*c_Calculations!AO360)</f>
        <v/>
      </c>
      <c r="AP372" s="268">
        <f>IF(AP$7="Actual","",AP270*c_Calculations!AP$15+c_Calculations!AP$16*c_Calculations!AP280+c_Calculations!$T18*c_Calculations!AP290+c_Calculations!AP$18*c_Calculations!AP300+c_Calculations!AP$19*c_Calculations!AP310+c_Calculations!AP$20*c_Calculations!AP320+c_Calculations!AP$21*c_Calculations!AP330+c_Calculations!AP$22*c_Calculations!AP340+c_Calculations!AP$23*c_Calculations!AP350+c_Calculations!AP$24*c_Calculations!AP360)</f>
        <v/>
      </c>
      <c r="AQ372" s="268">
        <f>IF(AQ$7="Actual","",AQ270*c_Calculations!AQ$15+c_Calculations!AQ$16*c_Calculations!AQ280+c_Calculations!$T18*c_Calculations!AQ290+c_Calculations!AQ$18*c_Calculations!AQ300+c_Calculations!AQ$19*c_Calculations!AQ310+c_Calculations!AQ$20*c_Calculations!AQ320+c_Calculations!AQ$21*c_Calculations!AQ330+c_Calculations!AQ$22*c_Calculations!AQ340+c_Calculations!AQ$23*c_Calculations!AQ350+c_Calculations!AQ$24*c_Calculations!AQ360)</f>
        <v/>
      </c>
      <c r="AR372" s="268">
        <f>IF(AR$7="Actual","",AR270*c_Calculations!AR$15+c_Calculations!AR$16*c_Calculations!AR280+c_Calculations!$T18*c_Calculations!AR290+c_Calculations!AR$18*c_Calculations!AR300+c_Calculations!AR$19*c_Calculations!AR310+c_Calculations!AR$20*c_Calculations!AR320+c_Calculations!AR$21*c_Calculations!AR330+c_Calculations!AR$22*c_Calculations!AR340+c_Calculations!AR$23*c_Calculations!AR350+c_Calculations!AR$24*c_Calculations!AR360)</f>
        <v/>
      </c>
      <c r="AS372" s="268">
        <f>IF(AS$7="Actual","",AS270*c_Calculations!AS$15+c_Calculations!AS$16*c_Calculations!AS280+c_Calculations!$T18*c_Calculations!AS290+c_Calculations!AS$18*c_Calculations!AS300+c_Calculations!AS$19*c_Calculations!AS310+c_Calculations!AS$20*c_Calculations!AS320+c_Calculations!AS$21*c_Calculations!AS330+c_Calculations!AS$22*c_Calculations!AS340+c_Calculations!AS$23*c_Calculations!AS350+c_Calculations!AS$24*c_Calculations!AS360)</f>
        <v/>
      </c>
      <c r="AT372" s="268">
        <f>IF(AT$7="Actual","",AT270*c_Calculations!AT$15+c_Calculations!AT$16*c_Calculations!AT280+c_Calculations!$T18*c_Calculations!AT290+c_Calculations!AT$18*c_Calculations!AT300+c_Calculations!AT$19*c_Calculations!AT310+c_Calculations!AT$20*c_Calculations!AT320+c_Calculations!AT$21*c_Calculations!AT330+c_Calculations!AT$22*c_Calculations!AT340+c_Calculations!AT$23*c_Calculations!AT350+c_Calculations!AT$24*c_Calculations!AT360)</f>
        <v/>
      </c>
      <c r="AU372" s="268">
        <f>IF(AU$7="Actual","",AU270*c_Calculations!AU$15+c_Calculations!AU$16*c_Calculations!AU280+c_Calculations!$T18*c_Calculations!AU290+c_Calculations!AU$18*c_Calculations!AU300+c_Calculations!AU$19*c_Calculations!AU310+c_Calculations!AU$20*c_Calculations!AU320+c_Calculations!AU$21*c_Calculations!AU330+c_Calculations!AU$22*c_Calculations!AU340+c_Calculations!AU$23*c_Calculations!AU350+c_Calculations!AU$24*c_Calculations!AU360)</f>
        <v/>
      </c>
      <c r="AV372" s="268">
        <f>IF(AV$7="Actual","",AV270*c_Calculations!AV$15+c_Calculations!AV$16*c_Calculations!AV280+c_Calculations!$T18*c_Calculations!AV290+c_Calculations!AV$18*c_Calculations!AV300+c_Calculations!AV$19*c_Calculations!AV310+c_Calculations!AV$20*c_Calculations!AV320+c_Calculations!AV$21*c_Calculations!AV330+c_Calculations!AV$22*c_Calculations!AV340+c_Calculations!AV$23*c_Calculations!AV350+c_Calculations!AV$24*c_Calculations!AV360)</f>
        <v/>
      </c>
      <c r="AW372" s="268">
        <f>IF(AW$7="Actual","",AW270*c_Calculations!AW$15+c_Calculations!AW$16*c_Calculations!AW280+c_Calculations!$T18*c_Calculations!AW290+c_Calculations!AW$18*c_Calculations!AW300+c_Calculations!AW$19*c_Calculations!AW310+c_Calculations!AW$20*c_Calculations!AW320+c_Calculations!AW$21*c_Calculations!AW330+c_Calculations!AW$22*c_Calculations!AW340+c_Calculations!AW$23*c_Calculations!AW350+c_Calculations!AW$24*c_Calculations!AW360)</f>
        <v/>
      </c>
      <c r="AX372" s="268">
        <f>IF(AX$7="Actual","",AX270*c_Calculations!AX$15+c_Calculations!AX$16*c_Calculations!AX280+c_Calculations!$T18*c_Calculations!AX290+c_Calculations!AX$18*c_Calculations!AX300+c_Calculations!AX$19*c_Calculations!AX310+c_Calculations!AX$20*c_Calculations!AX320+c_Calculations!AX$21*c_Calculations!AX330+c_Calculations!AX$22*c_Calculations!AX340+c_Calculations!AX$23*c_Calculations!AX350+c_Calculations!AX$24*c_Calculations!AX360)</f>
        <v/>
      </c>
      <c r="AY372" s="268">
        <f>IF(AY$7="Actual","",AY270*c_Calculations!AY$15+c_Calculations!AY$16*c_Calculations!AY280+c_Calculations!$T18*c_Calculations!AY290+c_Calculations!AY$18*c_Calculations!AY300+c_Calculations!AY$19*c_Calculations!AY310+c_Calculations!AY$20*c_Calculations!AY320+c_Calculations!AY$21*c_Calculations!AY330+c_Calculations!AY$22*c_Calculations!AY340+c_Calculations!AY$23*c_Calculations!AY350+c_Calculations!AY$24*c_Calculations!AY360)</f>
        <v/>
      </c>
      <c r="AZ372" s="268">
        <f>IF(AZ$7="Actual","",AZ270*c_Calculations!AZ$15+c_Calculations!AZ$16*c_Calculations!AZ280+c_Calculations!$T18*c_Calculations!AZ290+c_Calculations!AZ$18*c_Calculations!AZ300+c_Calculations!AZ$19*c_Calculations!AZ310+c_Calculations!AZ$20*c_Calculations!AZ320+c_Calculations!AZ$21*c_Calculations!AZ330+c_Calculations!AZ$22*c_Calculations!AZ340+c_Calculations!AZ$23*c_Calculations!AZ350+c_Calculations!AZ$24*c_Calculations!AZ360)</f>
        <v/>
      </c>
      <c r="BA372" s="268">
        <f>IF(BA$7="Actual","",BA270*c_Calculations!BA$15+c_Calculations!BA$16*c_Calculations!BA280+c_Calculations!$T18*c_Calculations!BA290+c_Calculations!BA$18*c_Calculations!BA300+c_Calculations!BA$19*c_Calculations!BA310+c_Calculations!BA$20*c_Calculations!BA320+c_Calculations!BA$21*c_Calculations!BA330+c_Calculations!BA$22*c_Calculations!BA340+c_Calculations!BA$23*c_Calculations!BA350+c_Calculations!BA$24*c_Calculations!BA360)</f>
        <v/>
      </c>
      <c r="BB372" s="268">
        <f>IF(BB$7="Actual","",BB270*c_Calculations!BB$15+c_Calculations!BB$16*c_Calculations!BB280+c_Calculations!$T18*c_Calculations!BB290+c_Calculations!BB$18*c_Calculations!BB300+c_Calculations!BB$19*c_Calculations!BB310+c_Calculations!BB$20*c_Calculations!BB320+c_Calculations!BB$21*c_Calculations!BB330+c_Calculations!BB$22*c_Calculations!BB340+c_Calculations!BB$23*c_Calculations!BB350+c_Calculations!BB$24*c_Calculations!BB360)</f>
        <v/>
      </c>
      <c r="BC372" s="268">
        <f>IF(BC$7="Actual","",BC270*c_Calculations!BC$15+c_Calculations!BC$16*c_Calculations!BC280+c_Calculations!$T18*c_Calculations!BC290+c_Calculations!BC$18*c_Calculations!BC300+c_Calculations!BC$19*c_Calculations!BC310+c_Calculations!BC$20*c_Calculations!BC320+c_Calculations!BC$21*c_Calculations!BC330+c_Calculations!BC$22*c_Calculations!BC340+c_Calculations!BC$23*c_Calculations!BC350+c_Calculations!BC$24*c_Calculations!BC360)</f>
        <v/>
      </c>
      <c r="BD372" s="268">
        <f>IF(BD$7="Actual","",BD270*c_Calculations!BD$15+c_Calculations!BD$16*c_Calculations!BD280+c_Calculations!$T18*c_Calculations!BD290+c_Calculations!BD$18*c_Calculations!BD300+c_Calculations!BD$19*c_Calculations!BD310+c_Calculations!BD$20*c_Calculations!BD320+c_Calculations!BD$21*c_Calculations!BD330+c_Calculations!BD$22*c_Calculations!BD340+c_Calculations!BD$23*c_Calculations!BD350+c_Calculations!BD$24*c_Calculations!BD360)</f>
        <v/>
      </c>
      <c r="BE372" s="268">
        <f>IF(BE$7="Actual","",BE270*c_Calculations!BE$15+c_Calculations!BE$16*c_Calculations!BE280+c_Calculations!$T18*c_Calculations!BE290+c_Calculations!BE$18*c_Calculations!BE300+c_Calculations!BE$19*c_Calculations!BE310+c_Calculations!BE$20*c_Calculations!BE320+c_Calculations!BE$21*c_Calculations!BE330+c_Calculations!BE$22*c_Calculations!BE340+c_Calculations!BE$23*c_Calculations!BE350+c_Calculations!BE$24*c_Calculations!BE360)</f>
        <v/>
      </c>
      <c r="BF372" s="268">
        <f>IF(BF$7="Actual","",BF270*c_Calculations!BF$15+c_Calculations!BF$16*c_Calculations!BF280+c_Calculations!$T18*c_Calculations!BF290+c_Calculations!BF$18*c_Calculations!BF300+c_Calculations!BF$19*c_Calculations!BF310+c_Calculations!BF$20*c_Calculations!BF320+c_Calculations!BF$21*c_Calculations!BF330+c_Calculations!BF$22*c_Calculations!BF340+c_Calculations!BF$23*c_Calculations!BF350+c_Calculations!BF$24*c_Calculations!BF360)</f>
        <v/>
      </c>
      <c r="BG372" s="268">
        <f>IF(BG$7="Actual","",BG270*c_Calculations!BG$15+c_Calculations!BG$16*c_Calculations!BG280+c_Calculations!$T18*c_Calculations!BG290+c_Calculations!BG$18*c_Calculations!BG300+c_Calculations!BG$19*c_Calculations!BG310+c_Calculations!BG$20*c_Calculations!BG320+c_Calculations!BG$21*c_Calculations!BG330+c_Calculations!BG$22*c_Calculations!BG340+c_Calculations!BG$23*c_Calculations!BG350+c_Calculations!BG$24*c_Calculations!BG360)</f>
        <v/>
      </c>
      <c r="BH372" s="268">
        <f>IF(BH$7="Actual","",BH270*c_Calculations!BH$15+c_Calculations!BH$16*c_Calculations!BH280+c_Calculations!$T18*c_Calculations!BH290+c_Calculations!BH$18*c_Calculations!BH300+c_Calculations!BH$19*c_Calculations!BH310+c_Calculations!BH$20*c_Calculations!BH320+c_Calculations!BH$21*c_Calculations!BH330+c_Calculations!BH$22*c_Calculations!BH340+c_Calculations!BH$23*c_Calculations!BH350+c_Calculations!BH$24*c_Calculations!BH360)</f>
        <v/>
      </c>
      <c r="BI372" s="268">
        <f>IF(BI$7="Actual","",BI270*c_Calculations!BI$15+c_Calculations!BI$16*c_Calculations!BI280+c_Calculations!$T18*c_Calculations!BI290+c_Calculations!BI$18*c_Calculations!BI300+c_Calculations!BI$19*c_Calculations!BI310+c_Calculations!BI$20*c_Calculations!BI320+c_Calculations!BI$21*c_Calculations!BI330+c_Calculations!BI$22*c_Calculations!BI340+c_Calculations!BI$23*c_Calculations!BI350+c_Calculations!BI$24*c_Calculations!BI360)</f>
        <v/>
      </c>
      <c r="BJ372" s="268">
        <f>IF(BJ$7="Actual","",BJ270*c_Calculations!BJ$15+c_Calculations!BJ$16*c_Calculations!BJ280+c_Calculations!$T18*c_Calculations!BJ290+c_Calculations!BJ$18*c_Calculations!BJ300+c_Calculations!BJ$19*c_Calculations!BJ310+c_Calculations!BJ$20*c_Calculations!BJ320+c_Calculations!BJ$21*c_Calculations!BJ330+c_Calculations!BJ$22*c_Calculations!BJ340+c_Calculations!BJ$23*c_Calculations!BJ350+c_Calculations!BJ$24*c_Calculations!BJ360)</f>
        <v/>
      </c>
      <c r="BK372" s="268">
        <f>IF(BK$7="Actual","",BK270*c_Calculations!BK$15+c_Calculations!BK$16*c_Calculations!BK280+c_Calculations!$T18*c_Calculations!BK290+c_Calculations!BK$18*c_Calculations!BK300+c_Calculations!BK$19*c_Calculations!BK310+c_Calculations!BK$20*c_Calculations!BK320+c_Calculations!BK$21*c_Calculations!BK330+c_Calculations!BK$22*c_Calculations!BK340+c_Calculations!BK$23*c_Calculations!BK350+c_Calculations!BK$24*c_Calculations!BK360)</f>
        <v/>
      </c>
      <c r="BL372" s="268">
        <f>IF(BL$7="Actual","",BL270*c_Calculations!BL$15+c_Calculations!BL$16*c_Calculations!BL280+c_Calculations!$T18*c_Calculations!BL290+c_Calculations!BL$18*c_Calculations!BL300+c_Calculations!BL$19*c_Calculations!BL310+c_Calculations!BL$20*c_Calculations!BL320+c_Calculations!BL$21*c_Calculations!BL330+c_Calculations!BL$22*c_Calculations!BL340+c_Calculations!BL$23*c_Calculations!BL350+c_Calculations!BL$24*c_Calculations!BL360)</f>
        <v/>
      </c>
      <c r="BM372" s="268">
        <f>IF(BM$7="Actual","",BM270*c_Calculations!BM$15+c_Calculations!BM$16*c_Calculations!BM280+c_Calculations!$T18*c_Calculations!BM290+c_Calculations!BM$18*c_Calculations!BM300+c_Calculations!BM$19*c_Calculations!BM310+c_Calculations!BM$20*c_Calculations!BM320+c_Calculations!BM$21*c_Calculations!BM330+c_Calculations!BM$22*c_Calculations!BM340+c_Calculations!BM$23*c_Calculations!BM350+c_Calculations!BM$24*c_Calculations!BM360)</f>
        <v/>
      </c>
      <c r="BN372" s="268">
        <f>IF(BN$7="Actual","",BN270*c_Calculations!BN$15+c_Calculations!BN$16*c_Calculations!BN280+c_Calculations!$T18*c_Calculations!BN290+c_Calculations!BN$18*c_Calculations!BN300+c_Calculations!BN$19*c_Calculations!BN310+c_Calculations!BN$20*c_Calculations!BN320+c_Calculations!BN$21*c_Calculations!BN330+c_Calculations!BN$22*c_Calculations!BN340+c_Calculations!BN$23*c_Calculations!BN350+c_Calculations!BN$24*c_Calculations!BN360)</f>
        <v/>
      </c>
      <c r="BO372" s="268">
        <f>IF(BO$7="Actual","",BO270*c_Calculations!BO$15+c_Calculations!BO$16*c_Calculations!BO280+c_Calculations!$T18*c_Calculations!BO290+c_Calculations!BO$18*c_Calculations!BO300+c_Calculations!BO$19*c_Calculations!BO310+c_Calculations!BO$20*c_Calculations!BO320+c_Calculations!BO$21*c_Calculations!BO330+c_Calculations!BO$22*c_Calculations!BO340+c_Calculations!BO$23*c_Calculations!BO350+c_Calculations!BO$24*c_Calculations!BO360)</f>
        <v/>
      </c>
      <c r="BP372" s="268">
        <f>IF(BP$7="Actual","",BP270*c_Calculations!BP$15+c_Calculations!BP$16*c_Calculations!BP280+c_Calculations!$T18*c_Calculations!BP290+c_Calculations!BP$18*c_Calculations!BP300+c_Calculations!BP$19*c_Calculations!BP310+c_Calculations!BP$20*c_Calculations!BP320+c_Calculations!BP$21*c_Calculations!BP330+c_Calculations!BP$22*c_Calculations!BP340+c_Calculations!BP$23*c_Calculations!BP350+c_Calculations!BP$24*c_Calculations!BP360)</f>
        <v/>
      </c>
      <c r="BQ372" s="268">
        <f>IF(BQ$7="Actual","",BQ270*c_Calculations!BQ$15+c_Calculations!BQ$16*c_Calculations!BQ280+c_Calculations!$T18*c_Calculations!BQ290+c_Calculations!BQ$18*c_Calculations!BQ300+c_Calculations!BQ$19*c_Calculations!BQ310+c_Calculations!BQ$20*c_Calculations!BQ320+c_Calculations!BQ$21*c_Calculations!BQ330+c_Calculations!BQ$22*c_Calculations!BQ340+c_Calculations!BQ$23*c_Calculations!BQ350+c_Calculations!BQ$24*c_Calculations!BQ360)</f>
        <v/>
      </c>
      <c r="BR372" s="268">
        <f>IF(BR$7="Actual","",BR270*c_Calculations!BR$15+c_Calculations!BR$16*c_Calculations!BR280+c_Calculations!$T18*c_Calculations!BR290+c_Calculations!BR$18*c_Calculations!BR300+c_Calculations!BR$19*c_Calculations!BR310+c_Calculations!BR$20*c_Calculations!BR320+c_Calculations!BR$21*c_Calculations!BR330+c_Calculations!BR$22*c_Calculations!BR340+c_Calculations!BR$23*c_Calculations!BR350+c_Calculations!BR$24*c_Calculations!BR360)</f>
        <v/>
      </c>
      <c r="BS372" s="268">
        <f>IF(BS$7="Actual","",BS270*c_Calculations!BS$15+c_Calculations!BS$16*c_Calculations!BS280+c_Calculations!$T18*c_Calculations!BS290+c_Calculations!BS$18*c_Calculations!BS300+c_Calculations!BS$19*c_Calculations!BS310+c_Calculations!BS$20*c_Calculations!BS320+c_Calculations!BS$21*c_Calculations!BS330+c_Calculations!BS$22*c_Calculations!BS340+c_Calculations!BS$23*c_Calculations!BS350+c_Calculations!BS$24*c_Calculations!BS360)</f>
        <v/>
      </c>
      <c r="BT372" s="268">
        <f>IF(BT$7="Actual","",BT270*c_Calculations!BT$15+c_Calculations!BT$16*c_Calculations!BT280+c_Calculations!$T18*c_Calculations!BT290+c_Calculations!BT$18*c_Calculations!BT300+c_Calculations!BT$19*c_Calculations!BT310+c_Calculations!BT$20*c_Calculations!BT320+c_Calculations!BT$21*c_Calculations!BT330+c_Calculations!BT$22*c_Calculations!BT340+c_Calculations!BT$23*c_Calculations!BT350+c_Calculations!BT$24*c_Calculations!BT360)</f>
        <v/>
      </c>
      <c r="BU372" s="268">
        <f>IF(BU$7="Actual","",BU270*c_Calculations!BU$15+c_Calculations!BU$16*c_Calculations!BU280+c_Calculations!$T18*c_Calculations!BU290+c_Calculations!BU$18*c_Calculations!BU300+c_Calculations!BU$19*c_Calculations!BU310+c_Calculations!BU$20*c_Calculations!BU320+c_Calculations!BU$21*c_Calculations!BU330+c_Calculations!BU$22*c_Calculations!BU340+c_Calculations!BU$23*c_Calculations!BU350+c_Calculations!BU$24*c_Calculations!BU360)</f>
        <v/>
      </c>
      <c r="BV372" s="268">
        <f>IF(BV$7="Actual","",BV270*c_Calculations!BV$15+c_Calculations!BV$16*c_Calculations!BV280+c_Calculations!$T18*c_Calculations!BV290+c_Calculations!BV$18*c_Calculations!BV300+c_Calculations!BV$19*c_Calculations!BV310+c_Calculations!BV$20*c_Calculations!BV320+c_Calculations!BV$21*c_Calculations!BV330+c_Calculations!BV$22*c_Calculations!BV340+c_Calculations!BV$23*c_Calculations!BV350+c_Calculations!BV$24*c_Calculations!BV360)</f>
        <v/>
      </c>
      <c r="BW372" s="268">
        <f>IF(BW$7="Actual","",BW270*c_Calculations!BW$15+c_Calculations!BW$16*c_Calculations!BW280+c_Calculations!$T18*c_Calculations!BW290+c_Calculations!BW$18*c_Calculations!BW300+c_Calculations!BW$19*c_Calculations!BW310+c_Calculations!BW$20*c_Calculations!BW320+c_Calculations!BW$21*c_Calculations!BW330+c_Calculations!BW$22*c_Calculations!BW340+c_Calculations!BW$23*c_Calculations!BW350+c_Calculations!BW$24*c_Calculations!BW360)</f>
        <v/>
      </c>
      <c r="BX372" s="268">
        <f>IF(BX$7="Actual","",BX270*c_Calculations!BX$15+c_Calculations!BX$16*c_Calculations!BX280+c_Calculations!$T18*c_Calculations!BX290+c_Calculations!BX$18*c_Calculations!BX300+c_Calculations!BX$19*c_Calculations!BX310+c_Calculations!BX$20*c_Calculations!BX320+c_Calculations!BX$21*c_Calculations!BX330+c_Calculations!BX$22*c_Calculations!BX340+c_Calculations!BX$23*c_Calculations!BX350+c_Calculations!BX$24*c_Calculations!BX360)</f>
        <v/>
      </c>
      <c r="BY372" s="268">
        <f>IF(BY$7="Actual","",BY270*c_Calculations!BY$15+c_Calculations!BY$16*c_Calculations!BY280+c_Calculations!$T18*c_Calculations!BY290+c_Calculations!BY$18*c_Calculations!BY300+c_Calculations!BY$19*c_Calculations!BY310+c_Calculations!BY$20*c_Calculations!BY320+c_Calculations!BY$21*c_Calculations!BY330+c_Calculations!BY$22*c_Calculations!BY340+c_Calculations!BY$23*c_Calculations!BY350+c_Calculations!BY$24*c_Calculations!BY360)</f>
        <v/>
      </c>
      <c r="BZ372" s="268">
        <f>IF(BZ$7="Actual","",BZ270*c_Calculations!BZ$15+c_Calculations!BZ$16*c_Calculations!BZ280+c_Calculations!$T18*c_Calculations!BZ290+c_Calculations!BZ$18*c_Calculations!BZ300+c_Calculations!BZ$19*c_Calculations!BZ310+c_Calculations!BZ$20*c_Calculations!BZ320+c_Calculations!BZ$21*c_Calculations!BZ330+c_Calculations!BZ$22*c_Calculations!BZ340+c_Calculations!BZ$23*c_Calculations!BZ350+c_Calculations!BZ$24*c_Calculations!BZ360)</f>
        <v/>
      </c>
      <c r="CA372" s="268">
        <f>IF(CA$7="Actual","",CA270*c_Calculations!CA$15+c_Calculations!CA$16*c_Calculations!CA280+c_Calculations!$T18*c_Calculations!CA290+c_Calculations!CA$18*c_Calculations!CA300+c_Calculations!CA$19*c_Calculations!CA310+c_Calculations!CA$20*c_Calculations!CA320+c_Calculations!CA$21*c_Calculations!CA330+c_Calculations!CA$22*c_Calculations!CA340+c_Calculations!CA$23*c_Calculations!CA350+c_Calculations!CA$24*c_Calculations!CA360)</f>
        <v/>
      </c>
      <c r="CB372" s="268" t="n"/>
    </row>
    <row r="373" ht="12" customHeight="1" s="227">
      <c r="A373" s="244" t="n"/>
      <c r="B373" s="244" t="n"/>
      <c r="C373" s="244" t="n"/>
      <c r="H373" s="4">
        <f>H361</f>
        <v/>
      </c>
      <c r="I373" s="27" t="inlineStr">
        <is>
          <t>no</t>
        </is>
      </c>
      <c r="K373" s="6" t="n"/>
      <c r="M373" s="245">
        <f>SUMIF($T$2:$CA$2,M$2,$T373:$CA373)</f>
        <v/>
      </c>
      <c r="N373" s="245">
        <f>SUMIF($T$2:$CA$2,N$2,$T373:$CA373)</f>
        <v/>
      </c>
      <c r="O373" s="245">
        <f>SUMIF($T$2:$CA$2,O$2,$T373:$CA373)</f>
        <v/>
      </c>
      <c r="P373" s="245">
        <f>SUMIF($T$2:$CA$2,P$2,$T373:$CA373)</f>
        <v/>
      </c>
      <c r="Q373" s="245">
        <f>SUMIF($T$2:$CA$2,Q$2,$T373:$CA373)</f>
        <v/>
      </c>
      <c r="R373" s="268" t="n"/>
      <c r="S373" s="268" t="n"/>
      <c r="T373" s="268">
        <f>IF(T$7="Actual","",T271*c_Calculations!T$15+c_Calculations!T$16*c_Calculations!T281+c_Calculations!$T19*c_Calculations!T291+c_Calculations!T$18*c_Calculations!T301+c_Calculations!T$19*c_Calculations!T311+c_Calculations!T$20*c_Calculations!T321+c_Calculations!T$21*c_Calculations!T331+c_Calculations!T$22*c_Calculations!T341+c_Calculations!T$23*c_Calculations!T351+c_Calculations!T$24*c_Calculations!T361)</f>
        <v/>
      </c>
      <c r="U373" s="268">
        <f>IF(U$7="Actual","",U271*c_Calculations!U$15+c_Calculations!U$16*c_Calculations!U281+c_Calculations!$T19*c_Calculations!U291+c_Calculations!U$18*c_Calculations!U301+c_Calculations!U$19*c_Calculations!U311+c_Calculations!U$20*c_Calculations!U321+c_Calculations!U$21*c_Calculations!U331+c_Calculations!U$22*c_Calculations!U341+c_Calculations!U$23*c_Calculations!U351+c_Calculations!U$24*c_Calculations!U361)</f>
        <v/>
      </c>
      <c r="V373" s="268">
        <f>IF(V$7="Actual","",V271*c_Calculations!V$15+c_Calculations!V$16*c_Calculations!V281+c_Calculations!$T19*c_Calculations!V291+c_Calculations!V$18*c_Calculations!V301+c_Calculations!V$19*c_Calculations!V311+c_Calculations!V$20*c_Calculations!V321+c_Calculations!V$21*c_Calculations!V331+c_Calculations!V$22*c_Calculations!V341+c_Calculations!V$23*c_Calculations!V351+c_Calculations!V$24*c_Calculations!V361)</f>
        <v/>
      </c>
      <c r="W373" s="268">
        <f>IF(W$7="Actual","",W271*c_Calculations!W$15+c_Calculations!W$16*c_Calculations!W281+c_Calculations!$T19*c_Calculations!W291+c_Calculations!W$18*c_Calculations!W301+c_Calculations!W$19*c_Calculations!W311+c_Calculations!W$20*c_Calculations!W321+c_Calculations!W$21*c_Calculations!W331+c_Calculations!W$22*c_Calculations!W341+c_Calculations!W$23*c_Calculations!W351+c_Calculations!W$24*c_Calculations!W361)</f>
        <v/>
      </c>
      <c r="X373" s="268">
        <f>IF(X$7="Actual","",X271*c_Calculations!X$15+c_Calculations!X$16*c_Calculations!X281+c_Calculations!$T19*c_Calculations!X291+c_Calculations!X$18*c_Calculations!X301+c_Calculations!X$19*c_Calculations!X311+c_Calculations!X$20*c_Calculations!X321+c_Calculations!X$21*c_Calculations!X331+c_Calculations!X$22*c_Calculations!X341+c_Calculations!X$23*c_Calculations!X351+c_Calculations!X$24*c_Calculations!X361)</f>
        <v/>
      </c>
      <c r="Y373" s="268">
        <f>IF(Y$7="Actual","",Y271*c_Calculations!Y$15+c_Calculations!Y$16*c_Calculations!Y281+c_Calculations!$T19*c_Calculations!Y291+c_Calculations!Y$18*c_Calculations!Y301+c_Calculations!Y$19*c_Calculations!Y311+c_Calculations!Y$20*c_Calculations!Y321+c_Calculations!Y$21*c_Calculations!Y331+c_Calculations!Y$22*c_Calculations!Y341+c_Calculations!Y$23*c_Calculations!Y351+c_Calculations!Y$24*c_Calculations!Y361)</f>
        <v/>
      </c>
      <c r="Z373" s="268">
        <f>IF(Z$7="Actual","",Z271*c_Calculations!Z$15+c_Calculations!Z$16*c_Calculations!Z281+c_Calculations!$T19*c_Calculations!Z291+c_Calculations!Z$18*c_Calculations!Z301+c_Calculations!Z$19*c_Calculations!Z311+c_Calculations!Z$20*c_Calculations!Z321+c_Calculations!Z$21*c_Calculations!Z331+c_Calculations!Z$22*c_Calculations!Z341+c_Calculations!Z$23*c_Calculations!Z351+c_Calculations!Z$24*c_Calculations!Z361)</f>
        <v/>
      </c>
      <c r="AA373" s="268">
        <f>IF(AA$7="Actual","",AA271*c_Calculations!AA$15+c_Calculations!AA$16*c_Calculations!AA281+c_Calculations!$T19*c_Calculations!AA291+c_Calculations!AA$18*c_Calculations!AA301+c_Calculations!AA$19*c_Calculations!AA311+c_Calculations!AA$20*c_Calculations!AA321+c_Calculations!AA$21*c_Calculations!AA331+c_Calculations!AA$22*c_Calculations!AA341+c_Calculations!AA$23*c_Calculations!AA351+c_Calculations!AA$24*c_Calculations!AA361)</f>
        <v/>
      </c>
      <c r="AB373" s="268">
        <f>IF(AB$7="Actual","",AB271*c_Calculations!AB$15+c_Calculations!AB$16*c_Calculations!AB281+c_Calculations!$T19*c_Calculations!AB291+c_Calculations!AB$18*c_Calculations!AB301+c_Calculations!AB$19*c_Calculations!AB311+c_Calculations!AB$20*c_Calculations!AB321+c_Calculations!AB$21*c_Calculations!AB331+c_Calculations!AB$22*c_Calculations!AB341+c_Calculations!AB$23*c_Calculations!AB351+c_Calculations!AB$24*c_Calculations!AB361)</f>
        <v/>
      </c>
      <c r="AC373" s="268">
        <f>IF(AC$7="Actual","",AC271*c_Calculations!AC$15+c_Calculations!AC$16*c_Calculations!AC281+c_Calculations!$T19*c_Calculations!AC291+c_Calculations!AC$18*c_Calculations!AC301+c_Calculations!AC$19*c_Calculations!AC311+c_Calculations!AC$20*c_Calculations!AC321+c_Calculations!AC$21*c_Calculations!AC331+c_Calculations!AC$22*c_Calculations!AC341+c_Calculations!AC$23*c_Calculations!AC351+c_Calculations!AC$24*c_Calculations!AC361)</f>
        <v/>
      </c>
      <c r="AD373" s="268">
        <f>IF(AD$7="Actual","",AD271*c_Calculations!AD$15+c_Calculations!AD$16*c_Calculations!AD281+c_Calculations!$T19*c_Calculations!AD291+c_Calculations!AD$18*c_Calculations!AD301+c_Calculations!AD$19*c_Calculations!AD311+c_Calculations!AD$20*c_Calculations!AD321+c_Calculations!AD$21*c_Calculations!AD331+c_Calculations!AD$22*c_Calculations!AD341+c_Calculations!AD$23*c_Calculations!AD351+c_Calculations!AD$24*c_Calculations!AD361)</f>
        <v/>
      </c>
      <c r="AE373" s="268">
        <f>IF(AE$7="Actual","",AE271*c_Calculations!AE$15+c_Calculations!AE$16*c_Calculations!AE281+c_Calculations!$T19*c_Calculations!AE291+c_Calculations!AE$18*c_Calculations!AE301+c_Calculations!AE$19*c_Calculations!AE311+c_Calculations!AE$20*c_Calculations!AE321+c_Calculations!AE$21*c_Calculations!AE331+c_Calculations!AE$22*c_Calculations!AE341+c_Calculations!AE$23*c_Calculations!AE351+c_Calculations!AE$24*c_Calculations!AE361)</f>
        <v/>
      </c>
      <c r="AF373" s="268">
        <f>IF(AF$7="Actual","",AF271*c_Calculations!AF$15+c_Calculations!AF$16*c_Calculations!AF281+c_Calculations!$T19*c_Calculations!AF291+c_Calculations!AF$18*c_Calculations!AF301+c_Calculations!AF$19*c_Calculations!AF311+c_Calculations!AF$20*c_Calculations!AF321+c_Calculations!AF$21*c_Calculations!AF331+c_Calculations!AF$22*c_Calculations!AF341+c_Calculations!AF$23*c_Calculations!AF351+c_Calculations!AF$24*c_Calculations!AF361)</f>
        <v/>
      </c>
      <c r="AG373" s="268">
        <f>IF(AG$7="Actual","",AG271*c_Calculations!AG$15+c_Calculations!AG$16*c_Calculations!AG281+c_Calculations!$T19*c_Calculations!AG291+c_Calculations!AG$18*c_Calculations!AG301+c_Calculations!AG$19*c_Calculations!AG311+c_Calculations!AG$20*c_Calculations!AG321+c_Calculations!AG$21*c_Calculations!AG331+c_Calculations!AG$22*c_Calculations!AG341+c_Calculations!AG$23*c_Calculations!AG351+c_Calculations!AG$24*c_Calculations!AG361)</f>
        <v/>
      </c>
      <c r="AH373" s="268">
        <f>IF(AH$7="Actual","",AH271*c_Calculations!AH$15+c_Calculations!AH$16*c_Calculations!AH281+c_Calculations!$T19*c_Calculations!AH291+c_Calculations!AH$18*c_Calculations!AH301+c_Calculations!AH$19*c_Calculations!AH311+c_Calculations!AH$20*c_Calculations!AH321+c_Calculations!AH$21*c_Calculations!AH331+c_Calculations!AH$22*c_Calculations!AH341+c_Calculations!AH$23*c_Calculations!AH351+c_Calculations!AH$24*c_Calculations!AH361)</f>
        <v/>
      </c>
      <c r="AI373" s="268">
        <f>IF(AI$7="Actual","",AI271*c_Calculations!AI$15+c_Calculations!AI$16*c_Calculations!AI281+c_Calculations!$T19*c_Calculations!AI291+c_Calculations!AI$18*c_Calculations!AI301+c_Calculations!AI$19*c_Calculations!AI311+c_Calculations!AI$20*c_Calculations!AI321+c_Calculations!AI$21*c_Calculations!AI331+c_Calculations!AI$22*c_Calculations!AI341+c_Calculations!AI$23*c_Calculations!AI351+c_Calculations!AI$24*c_Calculations!AI361)</f>
        <v/>
      </c>
      <c r="AJ373" s="268">
        <f>IF(AJ$7="Actual","",AJ271*c_Calculations!AJ$15+c_Calculations!AJ$16*c_Calculations!AJ281+c_Calculations!$T19*c_Calculations!AJ291+c_Calculations!AJ$18*c_Calculations!AJ301+c_Calculations!AJ$19*c_Calculations!AJ311+c_Calculations!AJ$20*c_Calculations!AJ321+c_Calculations!AJ$21*c_Calculations!AJ331+c_Calculations!AJ$22*c_Calculations!AJ341+c_Calculations!AJ$23*c_Calculations!AJ351+c_Calculations!AJ$24*c_Calculations!AJ361)</f>
        <v/>
      </c>
      <c r="AK373" s="268">
        <f>IF(AK$7="Actual","",AK271*c_Calculations!AK$15+c_Calculations!AK$16*c_Calculations!AK281+c_Calculations!$T19*c_Calculations!AK291+c_Calculations!AK$18*c_Calculations!AK301+c_Calculations!AK$19*c_Calculations!AK311+c_Calculations!AK$20*c_Calculations!AK321+c_Calculations!AK$21*c_Calculations!AK331+c_Calculations!AK$22*c_Calculations!AK341+c_Calculations!AK$23*c_Calculations!AK351+c_Calculations!AK$24*c_Calculations!AK361)</f>
        <v/>
      </c>
      <c r="AL373" s="268">
        <f>IF(AL$7="Actual","",AL271*c_Calculations!AL$15+c_Calculations!AL$16*c_Calculations!AL281+c_Calculations!$T19*c_Calculations!AL291+c_Calculations!AL$18*c_Calculations!AL301+c_Calculations!AL$19*c_Calculations!AL311+c_Calculations!AL$20*c_Calculations!AL321+c_Calculations!AL$21*c_Calculations!AL331+c_Calculations!AL$22*c_Calculations!AL341+c_Calculations!AL$23*c_Calculations!AL351+c_Calculations!AL$24*c_Calculations!AL361)</f>
        <v/>
      </c>
      <c r="AM373" s="268">
        <f>IF(AM$7="Actual","",AM271*c_Calculations!AM$15+c_Calculations!AM$16*c_Calculations!AM281+c_Calculations!$T19*c_Calculations!AM291+c_Calculations!AM$18*c_Calculations!AM301+c_Calculations!AM$19*c_Calculations!AM311+c_Calculations!AM$20*c_Calculations!AM321+c_Calculations!AM$21*c_Calculations!AM331+c_Calculations!AM$22*c_Calculations!AM341+c_Calculations!AM$23*c_Calculations!AM351+c_Calculations!AM$24*c_Calculations!AM361)</f>
        <v/>
      </c>
      <c r="AN373" s="268">
        <f>IF(AN$7="Actual","",AN271*c_Calculations!AN$15+c_Calculations!AN$16*c_Calculations!AN281+c_Calculations!$T19*c_Calculations!AN291+c_Calculations!AN$18*c_Calculations!AN301+c_Calculations!AN$19*c_Calculations!AN311+c_Calculations!AN$20*c_Calculations!AN321+c_Calculations!AN$21*c_Calculations!AN331+c_Calculations!AN$22*c_Calculations!AN341+c_Calculations!AN$23*c_Calculations!AN351+c_Calculations!AN$24*c_Calculations!AN361)</f>
        <v/>
      </c>
      <c r="AO373" s="268">
        <f>IF(AO$7="Actual","",AO271*c_Calculations!AO$15+c_Calculations!AO$16*c_Calculations!AO281+c_Calculations!$T19*c_Calculations!AO291+c_Calculations!AO$18*c_Calculations!AO301+c_Calculations!AO$19*c_Calculations!AO311+c_Calculations!AO$20*c_Calculations!AO321+c_Calculations!AO$21*c_Calculations!AO331+c_Calculations!AO$22*c_Calculations!AO341+c_Calculations!AO$23*c_Calculations!AO351+c_Calculations!AO$24*c_Calculations!AO361)</f>
        <v/>
      </c>
      <c r="AP373" s="268">
        <f>IF(AP$7="Actual","",AP271*c_Calculations!AP$15+c_Calculations!AP$16*c_Calculations!AP281+c_Calculations!$T19*c_Calculations!AP291+c_Calculations!AP$18*c_Calculations!AP301+c_Calculations!AP$19*c_Calculations!AP311+c_Calculations!AP$20*c_Calculations!AP321+c_Calculations!AP$21*c_Calculations!AP331+c_Calculations!AP$22*c_Calculations!AP341+c_Calculations!AP$23*c_Calculations!AP351+c_Calculations!AP$24*c_Calculations!AP361)</f>
        <v/>
      </c>
      <c r="AQ373" s="268">
        <f>IF(AQ$7="Actual","",AQ271*c_Calculations!AQ$15+c_Calculations!AQ$16*c_Calculations!AQ281+c_Calculations!$T19*c_Calculations!AQ291+c_Calculations!AQ$18*c_Calculations!AQ301+c_Calculations!AQ$19*c_Calculations!AQ311+c_Calculations!AQ$20*c_Calculations!AQ321+c_Calculations!AQ$21*c_Calculations!AQ331+c_Calculations!AQ$22*c_Calculations!AQ341+c_Calculations!AQ$23*c_Calculations!AQ351+c_Calculations!AQ$24*c_Calculations!AQ361)</f>
        <v/>
      </c>
      <c r="AR373" s="268">
        <f>IF(AR$7="Actual","",AR271*c_Calculations!AR$15+c_Calculations!AR$16*c_Calculations!AR281+c_Calculations!$T19*c_Calculations!AR291+c_Calculations!AR$18*c_Calculations!AR301+c_Calculations!AR$19*c_Calculations!AR311+c_Calculations!AR$20*c_Calculations!AR321+c_Calculations!AR$21*c_Calculations!AR331+c_Calculations!AR$22*c_Calculations!AR341+c_Calculations!AR$23*c_Calculations!AR351+c_Calculations!AR$24*c_Calculations!AR361)</f>
        <v/>
      </c>
      <c r="AS373" s="268">
        <f>IF(AS$7="Actual","",AS271*c_Calculations!AS$15+c_Calculations!AS$16*c_Calculations!AS281+c_Calculations!$T19*c_Calculations!AS291+c_Calculations!AS$18*c_Calculations!AS301+c_Calculations!AS$19*c_Calculations!AS311+c_Calculations!AS$20*c_Calculations!AS321+c_Calculations!AS$21*c_Calculations!AS331+c_Calculations!AS$22*c_Calculations!AS341+c_Calculations!AS$23*c_Calculations!AS351+c_Calculations!AS$24*c_Calculations!AS361)</f>
        <v/>
      </c>
      <c r="AT373" s="268">
        <f>IF(AT$7="Actual","",AT271*c_Calculations!AT$15+c_Calculations!AT$16*c_Calculations!AT281+c_Calculations!$T19*c_Calculations!AT291+c_Calculations!AT$18*c_Calculations!AT301+c_Calculations!AT$19*c_Calculations!AT311+c_Calculations!AT$20*c_Calculations!AT321+c_Calculations!AT$21*c_Calculations!AT331+c_Calculations!AT$22*c_Calculations!AT341+c_Calculations!AT$23*c_Calculations!AT351+c_Calculations!AT$24*c_Calculations!AT361)</f>
        <v/>
      </c>
      <c r="AU373" s="268">
        <f>IF(AU$7="Actual","",AU271*c_Calculations!AU$15+c_Calculations!AU$16*c_Calculations!AU281+c_Calculations!$T19*c_Calculations!AU291+c_Calculations!AU$18*c_Calculations!AU301+c_Calculations!AU$19*c_Calculations!AU311+c_Calculations!AU$20*c_Calculations!AU321+c_Calculations!AU$21*c_Calculations!AU331+c_Calculations!AU$22*c_Calculations!AU341+c_Calculations!AU$23*c_Calculations!AU351+c_Calculations!AU$24*c_Calculations!AU361)</f>
        <v/>
      </c>
      <c r="AV373" s="268">
        <f>IF(AV$7="Actual","",AV271*c_Calculations!AV$15+c_Calculations!AV$16*c_Calculations!AV281+c_Calculations!$T19*c_Calculations!AV291+c_Calculations!AV$18*c_Calculations!AV301+c_Calculations!AV$19*c_Calculations!AV311+c_Calculations!AV$20*c_Calculations!AV321+c_Calculations!AV$21*c_Calculations!AV331+c_Calculations!AV$22*c_Calculations!AV341+c_Calculations!AV$23*c_Calculations!AV351+c_Calculations!AV$24*c_Calculations!AV361)</f>
        <v/>
      </c>
      <c r="AW373" s="268">
        <f>IF(AW$7="Actual","",AW271*c_Calculations!AW$15+c_Calculations!AW$16*c_Calculations!AW281+c_Calculations!$T19*c_Calculations!AW291+c_Calculations!AW$18*c_Calculations!AW301+c_Calculations!AW$19*c_Calculations!AW311+c_Calculations!AW$20*c_Calculations!AW321+c_Calculations!AW$21*c_Calculations!AW331+c_Calculations!AW$22*c_Calculations!AW341+c_Calculations!AW$23*c_Calculations!AW351+c_Calculations!AW$24*c_Calculations!AW361)</f>
        <v/>
      </c>
      <c r="AX373" s="268">
        <f>IF(AX$7="Actual","",AX271*c_Calculations!AX$15+c_Calculations!AX$16*c_Calculations!AX281+c_Calculations!$T19*c_Calculations!AX291+c_Calculations!AX$18*c_Calculations!AX301+c_Calculations!AX$19*c_Calculations!AX311+c_Calculations!AX$20*c_Calculations!AX321+c_Calculations!AX$21*c_Calculations!AX331+c_Calculations!AX$22*c_Calculations!AX341+c_Calculations!AX$23*c_Calculations!AX351+c_Calculations!AX$24*c_Calculations!AX361)</f>
        <v/>
      </c>
      <c r="AY373" s="268">
        <f>IF(AY$7="Actual","",AY271*c_Calculations!AY$15+c_Calculations!AY$16*c_Calculations!AY281+c_Calculations!$T19*c_Calculations!AY291+c_Calculations!AY$18*c_Calculations!AY301+c_Calculations!AY$19*c_Calculations!AY311+c_Calculations!AY$20*c_Calculations!AY321+c_Calculations!AY$21*c_Calculations!AY331+c_Calculations!AY$22*c_Calculations!AY341+c_Calculations!AY$23*c_Calculations!AY351+c_Calculations!AY$24*c_Calculations!AY361)</f>
        <v/>
      </c>
      <c r="AZ373" s="268">
        <f>IF(AZ$7="Actual","",AZ271*c_Calculations!AZ$15+c_Calculations!AZ$16*c_Calculations!AZ281+c_Calculations!$T19*c_Calculations!AZ291+c_Calculations!AZ$18*c_Calculations!AZ301+c_Calculations!AZ$19*c_Calculations!AZ311+c_Calculations!AZ$20*c_Calculations!AZ321+c_Calculations!AZ$21*c_Calculations!AZ331+c_Calculations!AZ$22*c_Calculations!AZ341+c_Calculations!AZ$23*c_Calculations!AZ351+c_Calculations!AZ$24*c_Calculations!AZ361)</f>
        <v/>
      </c>
      <c r="BA373" s="268">
        <f>IF(BA$7="Actual","",BA271*c_Calculations!BA$15+c_Calculations!BA$16*c_Calculations!BA281+c_Calculations!$T19*c_Calculations!BA291+c_Calculations!BA$18*c_Calculations!BA301+c_Calculations!BA$19*c_Calculations!BA311+c_Calculations!BA$20*c_Calculations!BA321+c_Calculations!BA$21*c_Calculations!BA331+c_Calculations!BA$22*c_Calculations!BA341+c_Calculations!BA$23*c_Calculations!BA351+c_Calculations!BA$24*c_Calculations!BA361)</f>
        <v/>
      </c>
      <c r="BB373" s="268">
        <f>IF(BB$7="Actual","",BB271*c_Calculations!BB$15+c_Calculations!BB$16*c_Calculations!BB281+c_Calculations!$T19*c_Calculations!BB291+c_Calculations!BB$18*c_Calculations!BB301+c_Calculations!BB$19*c_Calculations!BB311+c_Calculations!BB$20*c_Calculations!BB321+c_Calculations!BB$21*c_Calculations!BB331+c_Calculations!BB$22*c_Calculations!BB341+c_Calculations!BB$23*c_Calculations!BB351+c_Calculations!BB$24*c_Calculations!BB361)</f>
        <v/>
      </c>
      <c r="BC373" s="268">
        <f>IF(BC$7="Actual","",BC271*c_Calculations!BC$15+c_Calculations!BC$16*c_Calculations!BC281+c_Calculations!$T19*c_Calculations!BC291+c_Calculations!BC$18*c_Calculations!BC301+c_Calculations!BC$19*c_Calculations!BC311+c_Calculations!BC$20*c_Calculations!BC321+c_Calculations!BC$21*c_Calculations!BC331+c_Calculations!BC$22*c_Calculations!BC341+c_Calculations!BC$23*c_Calculations!BC351+c_Calculations!BC$24*c_Calculations!BC361)</f>
        <v/>
      </c>
      <c r="BD373" s="268">
        <f>IF(BD$7="Actual","",BD271*c_Calculations!BD$15+c_Calculations!BD$16*c_Calculations!BD281+c_Calculations!$T19*c_Calculations!BD291+c_Calculations!BD$18*c_Calculations!BD301+c_Calculations!BD$19*c_Calculations!BD311+c_Calculations!BD$20*c_Calculations!BD321+c_Calculations!BD$21*c_Calculations!BD331+c_Calculations!BD$22*c_Calculations!BD341+c_Calculations!BD$23*c_Calculations!BD351+c_Calculations!BD$24*c_Calculations!BD361)</f>
        <v/>
      </c>
      <c r="BE373" s="268">
        <f>IF(BE$7="Actual","",BE271*c_Calculations!BE$15+c_Calculations!BE$16*c_Calculations!BE281+c_Calculations!$T19*c_Calculations!BE291+c_Calculations!BE$18*c_Calculations!BE301+c_Calculations!BE$19*c_Calculations!BE311+c_Calculations!BE$20*c_Calculations!BE321+c_Calculations!BE$21*c_Calculations!BE331+c_Calculations!BE$22*c_Calculations!BE341+c_Calculations!BE$23*c_Calculations!BE351+c_Calculations!BE$24*c_Calculations!BE361)</f>
        <v/>
      </c>
      <c r="BF373" s="268">
        <f>IF(BF$7="Actual","",BF271*c_Calculations!BF$15+c_Calculations!BF$16*c_Calculations!BF281+c_Calculations!$T19*c_Calculations!BF291+c_Calculations!BF$18*c_Calculations!BF301+c_Calculations!BF$19*c_Calculations!BF311+c_Calculations!BF$20*c_Calculations!BF321+c_Calculations!BF$21*c_Calculations!BF331+c_Calculations!BF$22*c_Calculations!BF341+c_Calculations!BF$23*c_Calculations!BF351+c_Calculations!BF$24*c_Calculations!BF361)</f>
        <v/>
      </c>
      <c r="BG373" s="268">
        <f>IF(BG$7="Actual","",BG271*c_Calculations!BG$15+c_Calculations!BG$16*c_Calculations!BG281+c_Calculations!$T19*c_Calculations!BG291+c_Calculations!BG$18*c_Calculations!BG301+c_Calculations!BG$19*c_Calculations!BG311+c_Calculations!BG$20*c_Calculations!BG321+c_Calculations!BG$21*c_Calculations!BG331+c_Calculations!BG$22*c_Calculations!BG341+c_Calculations!BG$23*c_Calculations!BG351+c_Calculations!BG$24*c_Calculations!BG361)</f>
        <v/>
      </c>
      <c r="BH373" s="268">
        <f>IF(BH$7="Actual","",BH271*c_Calculations!BH$15+c_Calculations!BH$16*c_Calculations!BH281+c_Calculations!$T19*c_Calculations!BH291+c_Calculations!BH$18*c_Calculations!BH301+c_Calculations!BH$19*c_Calculations!BH311+c_Calculations!BH$20*c_Calculations!BH321+c_Calculations!BH$21*c_Calculations!BH331+c_Calculations!BH$22*c_Calculations!BH341+c_Calculations!BH$23*c_Calculations!BH351+c_Calculations!BH$24*c_Calculations!BH361)</f>
        <v/>
      </c>
      <c r="BI373" s="268">
        <f>IF(BI$7="Actual","",BI271*c_Calculations!BI$15+c_Calculations!BI$16*c_Calculations!BI281+c_Calculations!$T19*c_Calculations!BI291+c_Calculations!BI$18*c_Calculations!BI301+c_Calculations!BI$19*c_Calculations!BI311+c_Calculations!BI$20*c_Calculations!BI321+c_Calculations!BI$21*c_Calculations!BI331+c_Calculations!BI$22*c_Calculations!BI341+c_Calculations!BI$23*c_Calculations!BI351+c_Calculations!BI$24*c_Calculations!BI361)</f>
        <v/>
      </c>
      <c r="BJ373" s="268">
        <f>IF(BJ$7="Actual","",BJ271*c_Calculations!BJ$15+c_Calculations!BJ$16*c_Calculations!BJ281+c_Calculations!$T19*c_Calculations!BJ291+c_Calculations!BJ$18*c_Calculations!BJ301+c_Calculations!BJ$19*c_Calculations!BJ311+c_Calculations!BJ$20*c_Calculations!BJ321+c_Calculations!BJ$21*c_Calculations!BJ331+c_Calculations!BJ$22*c_Calculations!BJ341+c_Calculations!BJ$23*c_Calculations!BJ351+c_Calculations!BJ$24*c_Calculations!BJ361)</f>
        <v/>
      </c>
      <c r="BK373" s="268">
        <f>IF(BK$7="Actual","",BK271*c_Calculations!BK$15+c_Calculations!BK$16*c_Calculations!BK281+c_Calculations!$T19*c_Calculations!BK291+c_Calculations!BK$18*c_Calculations!BK301+c_Calculations!BK$19*c_Calculations!BK311+c_Calculations!BK$20*c_Calculations!BK321+c_Calculations!BK$21*c_Calculations!BK331+c_Calculations!BK$22*c_Calculations!BK341+c_Calculations!BK$23*c_Calculations!BK351+c_Calculations!BK$24*c_Calculations!BK361)</f>
        <v/>
      </c>
      <c r="BL373" s="268">
        <f>IF(BL$7="Actual","",BL271*c_Calculations!BL$15+c_Calculations!BL$16*c_Calculations!BL281+c_Calculations!$T19*c_Calculations!BL291+c_Calculations!BL$18*c_Calculations!BL301+c_Calculations!BL$19*c_Calculations!BL311+c_Calculations!BL$20*c_Calculations!BL321+c_Calculations!BL$21*c_Calculations!BL331+c_Calculations!BL$22*c_Calculations!BL341+c_Calculations!BL$23*c_Calculations!BL351+c_Calculations!BL$24*c_Calculations!BL361)</f>
        <v/>
      </c>
      <c r="BM373" s="268">
        <f>IF(BM$7="Actual","",BM271*c_Calculations!BM$15+c_Calculations!BM$16*c_Calculations!BM281+c_Calculations!$T19*c_Calculations!BM291+c_Calculations!BM$18*c_Calculations!BM301+c_Calculations!BM$19*c_Calculations!BM311+c_Calculations!BM$20*c_Calculations!BM321+c_Calculations!BM$21*c_Calculations!BM331+c_Calculations!BM$22*c_Calculations!BM341+c_Calculations!BM$23*c_Calculations!BM351+c_Calculations!BM$24*c_Calculations!BM361)</f>
        <v/>
      </c>
      <c r="BN373" s="268">
        <f>IF(BN$7="Actual","",BN271*c_Calculations!BN$15+c_Calculations!BN$16*c_Calculations!BN281+c_Calculations!$T19*c_Calculations!BN291+c_Calculations!BN$18*c_Calculations!BN301+c_Calculations!BN$19*c_Calculations!BN311+c_Calculations!BN$20*c_Calculations!BN321+c_Calculations!BN$21*c_Calculations!BN331+c_Calculations!BN$22*c_Calculations!BN341+c_Calculations!BN$23*c_Calculations!BN351+c_Calculations!BN$24*c_Calculations!BN361)</f>
        <v/>
      </c>
      <c r="BO373" s="268">
        <f>IF(BO$7="Actual","",BO271*c_Calculations!BO$15+c_Calculations!BO$16*c_Calculations!BO281+c_Calculations!$T19*c_Calculations!BO291+c_Calculations!BO$18*c_Calculations!BO301+c_Calculations!BO$19*c_Calculations!BO311+c_Calculations!BO$20*c_Calculations!BO321+c_Calculations!BO$21*c_Calculations!BO331+c_Calculations!BO$22*c_Calculations!BO341+c_Calculations!BO$23*c_Calculations!BO351+c_Calculations!BO$24*c_Calculations!BO361)</f>
        <v/>
      </c>
      <c r="BP373" s="268">
        <f>IF(BP$7="Actual","",BP271*c_Calculations!BP$15+c_Calculations!BP$16*c_Calculations!BP281+c_Calculations!$T19*c_Calculations!BP291+c_Calculations!BP$18*c_Calculations!BP301+c_Calculations!BP$19*c_Calculations!BP311+c_Calculations!BP$20*c_Calculations!BP321+c_Calculations!BP$21*c_Calculations!BP331+c_Calculations!BP$22*c_Calculations!BP341+c_Calculations!BP$23*c_Calculations!BP351+c_Calculations!BP$24*c_Calculations!BP361)</f>
        <v/>
      </c>
      <c r="BQ373" s="268">
        <f>IF(BQ$7="Actual","",BQ271*c_Calculations!BQ$15+c_Calculations!BQ$16*c_Calculations!BQ281+c_Calculations!$T19*c_Calculations!BQ291+c_Calculations!BQ$18*c_Calculations!BQ301+c_Calculations!BQ$19*c_Calculations!BQ311+c_Calculations!BQ$20*c_Calculations!BQ321+c_Calculations!BQ$21*c_Calculations!BQ331+c_Calculations!BQ$22*c_Calculations!BQ341+c_Calculations!BQ$23*c_Calculations!BQ351+c_Calculations!BQ$24*c_Calculations!BQ361)</f>
        <v/>
      </c>
      <c r="BR373" s="268">
        <f>IF(BR$7="Actual","",BR271*c_Calculations!BR$15+c_Calculations!BR$16*c_Calculations!BR281+c_Calculations!$T19*c_Calculations!BR291+c_Calculations!BR$18*c_Calculations!BR301+c_Calculations!BR$19*c_Calculations!BR311+c_Calculations!BR$20*c_Calculations!BR321+c_Calculations!BR$21*c_Calculations!BR331+c_Calculations!BR$22*c_Calculations!BR341+c_Calculations!BR$23*c_Calculations!BR351+c_Calculations!BR$24*c_Calculations!BR361)</f>
        <v/>
      </c>
      <c r="BS373" s="268">
        <f>IF(BS$7="Actual","",BS271*c_Calculations!BS$15+c_Calculations!BS$16*c_Calculations!BS281+c_Calculations!$T19*c_Calculations!BS291+c_Calculations!BS$18*c_Calculations!BS301+c_Calculations!BS$19*c_Calculations!BS311+c_Calculations!BS$20*c_Calculations!BS321+c_Calculations!BS$21*c_Calculations!BS331+c_Calculations!BS$22*c_Calculations!BS341+c_Calculations!BS$23*c_Calculations!BS351+c_Calculations!BS$24*c_Calculations!BS361)</f>
        <v/>
      </c>
      <c r="BT373" s="268">
        <f>IF(BT$7="Actual","",BT271*c_Calculations!BT$15+c_Calculations!BT$16*c_Calculations!BT281+c_Calculations!$T19*c_Calculations!BT291+c_Calculations!BT$18*c_Calculations!BT301+c_Calculations!BT$19*c_Calculations!BT311+c_Calculations!BT$20*c_Calculations!BT321+c_Calculations!BT$21*c_Calculations!BT331+c_Calculations!BT$22*c_Calculations!BT341+c_Calculations!BT$23*c_Calculations!BT351+c_Calculations!BT$24*c_Calculations!BT361)</f>
        <v/>
      </c>
      <c r="BU373" s="268">
        <f>IF(BU$7="Actual","",BU271*c_Calculations!BU$15+c_Calculations!BU$16*c_Calculations!BU281+c_Calculations!$T19*c_Calculations!BU291+c_Calculations!BU$18*c_Calculations!BU301+c_Calculations!BU$19*c_Calculations!BU311+c_Calculations!BU$20*c_Calculations!BU321+c_Calculations!BU$21*c_Calculations!BU331+c_Calculations!BU$22*c_Calculations!BU341+c_Calculations!BU$23*c_Calculations!BU351+c_Calculations!BU$24*c_Calculations!BU361)</f>
        <v/>
      </c>
      <c r="BV373" s="268">
        <f>IF(BV$7="Actual","",BV271*c_Calculations!BV$15+c_Calculations!BV$16*c_Calculations!BV281+c_Calculations!$T19*c_Calculations!BV291+c_Calculations!BV$18*c_Calculations!BV301+c_Calculations!BV$19*c_Calculations!BV311+c_Calculations!BV$20*c_Calculations!BV321+c_Calculations!BV$21*c_Calculations!BV331+c_Calculations!BV$22*c_Calculations!BV341+c_Calculations!BV$23*c_Calculations!BV351+c_Calculations!BV$24*c_Calculations!BV361)</f>
        <v/>
      </c>
      <c r="BW373" s="268">
        <f>IF(BW$7="Actual","",BW271*c_Calculations!BW$15+c_Calculations!BW$16*c_Calculations!BW281+c_Calculations!$T19*c_Calculations!BW291+c_Calculations!BW$18*c_Calculations!BW301+c_Calculations!BW$19*c_Calculations!BW311+c_Calculations!BW$20*c_Calculations!BW321+c_Calculations!BW$21*c_Calculations!BW331+c_Calculations!BW$22*c_Calculations!BW341+c_Calculations!BW$23*c_Calculations!BW351+c_Calculations!BW$24*c_Calculations!BW361)</f>
        <v/>
      </c>
      <c r="BX373" s="268">
        <f>IF(BX$7="Actual","",BX271*c_Calculations!BX$15+c_Calculations!BX$16*c_Calculations!BX281+c_Calculations!$T19*c_Calculations!BX291+c_Calculations!BX$18*c_Calculations!BX301+c_Calculations!BX$19*c_Calculations!BX311+c_Calculations!BX$20*c_Calculations!BX321+c_Calculations!BX$21*c_Calculations!BX331+c_Calculations!BX$22*c_Calculations!BX341+c_Calculations!BX$23*c_Calculations!BX351+c_Calculations!BX$24*c_Calculations!BX361)</f>
        <v/>
      </c>
      <c r="BY373" s="268">
        <f>IF(BY$7="Actual","",BY271*c_Calculations!BY$15+c_Calculations!BY$16*c_Calculations!BY281+c_Calculations!$T19*c_Calculations!BY291+c_Calculations!BY$18*c_Calculations!BY301+c_Calculations!BY$19*c_Calculations!BY311+c_Calculations!BY$20*c_Calculations!BY321+c_Calculations!BY$21*c_Calculations!BY331+c_Calculations!BY$22*c_Calculations!BY341+c_Calculations!BY$23*c_Calculations!BY351+c_Calculations!BY$24*c_Calculations!BY361)</f>
        <v/>
      </c>
      <c r="BZ373" s="268">
        <f>IF(BZ$7="Actual","",BZ271*c_Calculations!BZ$15+c_Calculations!BZ$16*c_Calculations!BZ281+c_Calculations!$T19*c_Calculations!BZ291+c_Calculations!BZ$18*c_Calculations!BZ301+c_Calculations!BZ$19*c_Calculations!BZ311+c_Calculations!BZ$20*c_Calculations!BZ321+c_Calculations!BZ$21*c_Calculations!BZ331+c_Calculations!BZ$22*c_Calculations!BZ341+c_Calculations!BZ$23*c_Calculations!BZ351+c_Calculations!BZ$24*c_Calculations!BZ361)</f>
        <v/>
      </c>
      <c r="CA373" s="268">
        <f>IF(CA$7="Actual","",CA271*c_Calculations!CA$15+c_Calculations!CA$16*c_Calculations!CA281+c_Calculations!$T19*c_Calculations!CA291+c_Calculations!CA$18*c_Calculations!CA301+c_Calculations!CA$19*c_Calculations!CA311+c_Calculations!CA$20*c_Calculations!CA321+c_Calculations!CA$21*c_Calculations!CA331+c_Calculations!CA$22*c_Calculations!CA341+c_Calculations!CA$23*c_Calculations!CA351+c_Calculations!CA$24*c_Calculations!CA361)</f>
        <v/>
      </c>
      <c r="CB373" s="268" t="n"/>
    </row>
    <row r="374" ht="12" customHeight="1" s="227">
      <c r="A374" s="244" t="n"/>
      <c r="B374" s="244" t="n"/>
      <c r="C374" s="244" t="n"/>
      <c r="H374" s="4">
        <f>H362</f>
        <v/>
      </c>
      <c r="I374" s="27" t="inlineStr">
        <is>
          <t>no</t>
        </is>
      </c>
      <c r="K374" s="6" t="n"/>
      <c r="M374" s="245">
        <f>SUMIF($T$2:$CA$2,M$2,$T374:$CA374)</f>
        <v/>
      </c>
      <c r="N374" s="245">
        <f>SUMIF($T$2:$CA$2,N$2,$T374:$CA374)</f>
        <v/>
      </c>
      <c r="O374" s="245">
        <f>SUMIF($T$2:$CA$2,O$2,$T374:$CA374)</f>
        <v/>
      </c>
      <c r="P374" s="245">
        <f>SUMIF($T$2:$CA$2,P$2,$T374:$CA374)</f>
        <v/>
      </c>
      <c r="Q374" s="245">
        <f>SUMIF($T$2:$CA$2,Q$2,$T374:$CA374)</f>
        <v/>
      </c>
      <c r="R374" s="268" t="n"/>
      <c r="S374" s="268" t="n"/>
      <c r="T374" s="268">
        <f>IF(T$7="Actual","",T272*c_Calculations!T$15+c_Calculations!T$16*c_Calculations!T282+c_Calculations!$T20*c_Calculations!T292+c_Calculations!T$18*c_Calculations!T302+c_Calculations!T$19*c_Calculations!T312+c_Calculations!T$20*c_Calculations!T322+c_Calculations!T$21*c_Calculations!T332+c_Calculations!T$22*c_Calculations!T342+c_Calculations!T$23*c_Calculations!T352+c_Calculations!T$24*c_Calculations!T362)</f>
        <v/>
      </c>
      <c r="U374" s="268">
        <f>IF(U$7="Actual","",U272*c_Calculations!U$15+c_Calculations!U$16*c_Calculations!U282+c_Calculations!$T20*c_Calculations!U292+c_Calculations!U$18*c_Calculations!U302+c_Calculations!U$19*c_Calculations!U312+c_Calculations!U$20*c_Calculations!U322+c_Calculations!U$21*c_Calculations!U332+c_Calculations!U$22*c_Calculations!U342+c_Calculations!U$23*c_Calculations!U352+c_Calculations!U$24*c_Calculations!U362)</f>
        <v/>
      </c>
      <c r="V374" s="268">
        <f>IF(V$7="Actual","",V272*c_Calculations!V$15+c_Calculations!V$16*c_Calculations!V282+c_Calculations!$T20*c_Calculations!V292+c_Calculations!V$18*c_Calculations!V302+c_Calculations!V$19*c_Calculations!V312+c_Calculations!V$20*c_Calculations!V322+c_Calculations!V$21*c_Calculations!V332+c_Calculations!V$22*c_Calculations!V342+c_Calculations!V$23*c_Calculations!V352+c_Calculations!V$24*c_Calculations!V362)</f>
        <v/>
      </c>
      <c r="W374" s="268">
        <f>IF(W$7="Actual","",W272*c_Calculations!W$15+c_Calculations!W$16*c_Calculations!W282+c_Calculations!$T20*c_Calculations!W292+c_Calculations!W$18*c_Calculations!W302+c_Calculations!W$19*c_Calculations!W312+c_Calculations!W$20*c_Calculations!W322+c_Calculations!W$21*c_Calculations!W332+c_Calculations!W$22*c_Calculations!W342+c_Calculations!W$23*c_Calculations!W352+c_Calculations!W$24*c_Calculations!W362)</f>
        <v/>
      </c>
      <c r="X374" s="268">
        <f>IF(X$7="Actual","",X272*c_Calculations!X$15+c_Calculations!X$16*c_Calculations!X282+c_Calculations!$T20*c_Calculations!X292+c_Calculations!X$18*c_Calculations!X302+c_Calculations!X$19*c_Calculations!X312+c_Calculations!X$20*c_Calculations!X322+c_Calculations!X$21*c_Calculations!X332+c_Calculations!X$22*c_Calculations!X342+c_Calculations!X$23*c_Calculations!X352+c_Calculations!X$24*c_Calculations!X362)</f>
        <v/>
      </c>
      <c r="Y374" s="268">
        <f>IF(Y$7="Actual","",Y272*c_Calculations!Y$15+c_Calculations!Y$16*c_Calculations!Y282+c_Calculations!$T20*c_Calculations!Y292+c_Calculations!Y$18*c_Calculations!Y302+c_Calculations!Y$19*c_Calculations!Y312+c_Calculations!Y$20*c_Calculations!Y322+c_Calculations!Y$21*c_Calculations!Y332+c_Calculations!Y$22*c_Calculations!Y342+c_Calculations!Y$23*c_Calculations!Y352+c_Calculations!Y$24*c_Calculations!Y362)</f>
        <v/>
      </c>
      <c r="Z374" s="268">
        <f>IF(Z$7="Actual","",Z272*c_Calculations!Z$15+c_Calculations!Z$16*c_Calculations!Z282+c_Calculations!$T20*c_Calculations!Z292+c_Calculations!Z$18*c_Calculations!Z302+c_Calculations!Z$19*c_Calculations!Z312+c_Calculations!Z$20*c_Calculations!Z322+c_Calculations!Z$21*c_Calculations!Z332+c_Calculations!Z$22*c_Calculations!Z342+c_Calculations!Z$23*c_Calculations!Z352+c_Calculations!Z$24*c_Calculations!Z362)</f>
        <v/>
      </c>
      <c r="AA374" s="268">
        <f>IF(AA$7="Actual","",AA272*c_Calculations!AA$15+c_Calculations!AA$16*c_Calculations!AA282+c_Calculations!$T20*c_Calculations!AA292+c_Calculations!AA$18*c_Calculations!AA302+c_Calculations!AA$19*c_Calculations!AA312+c_Calculations!AA$20*c_Calculations!AA322+c_Calculations!AA$21*c_Calculations!AA332+c_Calculations!AA$22*c_Calculations!AA342+c_Calculations!AA$23*c_Calculations!AA352+c_Calculations!AA$24*c_Calculations!AA362)</f>
        <v/>
      </c>
      <c r="AB374" s="268">
        <f>IF(AB$7="Actual","",AB272*c_Calculations!AB$15+c_Calculations!AB$16*c_Calculations!AB282+c_Calculations!$T20*c_Calculations!AB292+c_Calculations!AB$18*c_Calculations!AB302+c_Calculations!AB$19*c_Calculations!AB312+c_Calculations!AB$20*c_Calculations!AB322+c_Calculations!AB$21*c_Calculations!AB332+c_Calculations!AB$22*c_Calculations!AB342+c_Calculations!AB$23*c_Calculations!AB352+c_Calculations!AB$24*c_Calculations!AB362)</f>
        <v/>
      </c>
      <c r="AC374" s="268">
        <f>IF(AC$7="Actual","",AC272*c_Calculations!AC$15+c_Calculations!AC$16*c_Calculations!AC282+c_Calculations!$T20*c_Calculations!AC292+c_Calculations!AC$18*c_Calculations!AC302+c_Calculations!AC$19*c_Calculations!AC312+c_Calculations!AC$20*c_Calculations!AC322+c_Calculations!AC$21*c_Calculations!AC332+c_Calculations!AC$22*c_Calculations!AC342+c_Calculations!AC$23*c_Calculations!AC352+c_Calculations!AC$24*c_Calculations!AC362)</f>
        <v/>
      </c>
      <c r="AD374" s="268">
        <f>IF(AD$7="Actual","",AD272*c_Calculations!AD$15+c_Calculations!AD$16*c_Calculations!AD282+c_Calculations!$T20*c_Calculations!AD292+c_Calculations!AD$18*c_Calculations!AD302+c_Calculations!AD$19*c_Calculations!AD312+c_Calculations!AD$20*c_Calculations!AD322+c_Calculations!AD$21*c_Calculations!AD332+c_Calculations!AD$22*c_Calculations!AD342+c_Calculations!AD$23*c_Calculations!AD352+c_Calculations!AD$24*c_Calculations!AD362)</f>
        <v/>
      </c>
      <c r="AE374" s="268">
        <f>IF(AE$7="Actual","",AE272*c_Calculations!AE$15+c_Calculations!AE$16*c_Calculations!AE282+c_Calculations!$T20*c_Calculations!AE292+c_Calculations!AE$18*c_Calculations!AE302+c_Calculations!AE$19*c_Calculations!AE312+c_Calculations!AE$20*c_Calculations!AE322+c_Calculations!AE$21*c_Calculations!AE332+c_Calculations!AE$22*c_Calculations!AE342+c_Calculations!AE$23*c_Calculations!AE352+c_Calculations!AE$24*c_Calculations!AE362)</f>
        <v/>
      </c>
      <c r="AF374" s="268">
        <f>IF(AF$7="Actual","",AF272*c_Calculations!AF$15+c_Calculations!AF$16*c_Calculations!AF282+c_Calculations!$T20*c_Calculations!AF292+c_Calculations!AF$18*c_Calculations!AF302+c_Calculations!AF$19*c_Calculations!AF312+c_Calculations!AF$20*c_Calculations!AF322+c_Calculations!AF$21*c_Calculations!AF332+c_Calculations!AF$22*c_Calculations!AF342+c_Calculations!AF$23*c_Calculations!AF352+c_Calculations!AF$24*c_Calculations!AF362)</f>
        <v/>
      </c>
      <c r="AG374" s="268">
        <f>IF(AG$7="Actual","",AG272*c_Calculations!AG$15+c_Calculations!AG$16*c_Calculations!AG282+c_Calculations!$T20*c_Calculations!AG292+c_Calculations!AG$18*c_Calculations!AG302+c_Calculations!AG$19*c_Calculations!AG312+c_Calculations!AG$20*c_Calculations!AG322+c_Calculations!AG$21*c_Calculations!AG332+c_Calculations!AG$22*c_Calculations!AG342+c_Calculations!AG$23*c_Calculations!AG352+c_Calculations!AG$24*c_Calculations!AG362)</f>
        <v/>
      </c>
      <c r="AH374" s="268">
        <f>IF(AH$7="Actual","",AH272*c_Calculations!AH$15+c_Calculations!AH$16*c_Calculations!AH282+c_Calculations!$T20*c_Calculations!AH292+c_Calculations!AH$18*c_Calculations!AH302+c_Calculations!AH$19*c_Calculations!AH312+c_Calculations!AH$20*c_Calculations!AH322+c_Calculations!AH$21*c_Calculations!AH332+c_Calculations!AH$22*c_Calculations!AH342+c_Calculations!AH$23*c_Calculations!AH352+c_Calculations!AH$24*c_Calculations!AH362)</f>
        <v/>
      </c>
      <c r="AI374" s="268">
        <f>IF(AI$7="Actual","",AI272*c_Calculations!AI$15+c_Calculations!AI$16*c_Calculations!AI282+c_Calculations!$T20*c_Calculations!AI292+c_Calculations!AI$18*c_Calculations!AI302+c_Calculations!AI$19*c_Calculations!AI312+c_Calculations!AI$20*c_Calculations!AI322+c_Calculations!AI$21*c_Calculations!AI332+c_Calculations!AI$22*c_Calculations!AI342+c_Calculations!AI$23*c_Calculations!AI352+c_Calculations!AI$24*c_Calculations!AI362)</f>
        <v/>
      </c>
      <c r="AJ374" s="268">
        <f>IF(AJ$7="Actual","",AJ272*c_Calculations!AJ$15+c_Calculations!AJ$16*c_Calculations!AJ282+c_Calculations!$T20*c_Calculations!AJ292+c_Calculations!AJ$18*c_Calculations!AJ302+c_Calculations!AJ$19*c_Calculations!AJ312+c_Calculations!AJ$20*c_Calculations!AJ322+c_Calculations!AJ$21*c_Calculations!AJ332+c_Calculations!AJ$22*c_Calculations!AJ342+c_Calculations!AJ$23*c_Calculations!AJ352+c_Calculations!AJ$24*c_Calculations!AJ362)</f>
        <v/>
      </c>
      <c r="AK374" s="268">
        <f>IF(AK$7="Actual","",AK272*c_Calculations!AK$15+c_Calculations!AK$16*c_Calculations!AK282+c_Calculations!$T20*c_Calculations!AK292+c_Calculations!AK$18*c_Calculations!AK302+c_Calculations!AK$19*c_Calculations!AK312+c_Calculations!AK$20*c_Calculations!AK322+c_Calculations!AK$21*c_Calculations!AK332+c_Calculations!AK$22*c_Calculations!AK342+c_Calculations!AK$23*c_Calculations!AK352+c_Calculations!AK$24*c_Calculations!AK362)</f>
        <v/>
      </c>
      <c r="AL374" s="268">
        <f>IF(AL$7="Actual","",AL272*c_Calculations!AL$15+c_Calculations!AL$16*c_Calculations!AL282+c_Calculations!$T20*c_Calculations!AL292+c_Calculations!AL$18*c_Calculations!AL302+c_Calculations!AL$19*c_Calculations!AL312+c_Calculations!AL$20*c_Calculations!AL322+c_Calculations!AL$21*c_Calculations!AL332+c_Calculations!AL$22*c_Calculations!AL342+c_Calculations!AL$23*c_Calculations!AL352+c_Calculations!AL$24*c_Calculations!AL362)</f>
        <v/>
      </c>
      <c r="AM374" s="268">
        <f>IF(AM$7="Actual","",AM272*c_Calculations!AM$15+c_Calculations!AM$16*c_Calculations!AM282+c_Calculations!$T20*c_Calculations!AM292+c_Calculations!AM$18*c_Calculations!AM302+c_Calculations!AM$19*c_Calculations!AM312+c_Calculations!AM$20*c_Calculations!AM322+c_Calculations!AM$21*c_Calculations!AM332+c_Calculations!AM$22*c_Calculations!AM342+c_Calculations!AM$23*c_Calculations!AM352+c_Calculations!AM$24*c_Calculations!AM362)</f>
        <v/>
      </c>
      <c r="AN374" s="268">
        <f>IF(AN$7="Actual","",AN272*c_Calculations!AN$15+c_Calculations!AN$16*c_Calculations!AN282+c_Calculations!$T20*c_Calculations!AN292+c_Calculations!AN$18*c_Calculations!AN302+c_Calculations!AN$19*c_Calculations!AN312+c_Calculations!AN$20*c_Calculations!AN322+c_Calculations!AN$21*c_Calculations!AN332+c_Calculations!AN$22*c_Calculations!AN342+c_Calculations!AN$23*c_Calculations!AN352+c_Calculations!AN$24*c_Calculations!AN362)</f>
        <v/>
      </c>
      <c r="AO374" s="268">
        <f>IF(AO$7="Actual","",AO272*c_Calculations!AO$15+c_Calculations!AO$16*c_Calculations!AO282+c_Calculations!$T20*c_Calculations!AO292+c_Calculations!AO$18*c_Calculations!AO302+c_Calculations!AO$19*c_Calculations!AO312+c_Calculations!AO$20*c_Calculations!AO322+c_Calculations!AO$21*c_Calculations!AO332+c_Calculations!AO$22*c_Calculations!AO342+c_Calculations!AO$23*c_Calculations!AO352+c_Calculations!AO$24*c_Calculations!AO362)</f>
        <v/>
      </c>
      <c r="AP374" s="268">
        <f>IF(AP$7="Actual","",AP272*c_Calculations!AP$15+c_Calculations!AP$16*c_Calculations!AP282+c_Calculations!$T20*c_Calculations!AP292+c_Calculations!AP$18*c_Calculations!AP302+c_Calculations!AP$19*c_Calculations!AP312+c_Calculations!AP$20*c_Calculations!AP322+c_Calculations!AP$21*c_Calculations!AP332+c_Calculations!AP$22*c_Calculations!AP342+c_Calculations!AP$23*c_Calculations!AP352+c_Calculations!AP$24*c_Calculations!AP362)</f>
        <v/>
      </c>
      <c r="AQ374" s="268">
        <f>IF(AQ$7="Actual","",AQ272*c_Calculations!AQ$15+c_Calculations!AQ$16*c_Calculations!AQ282+c_Calculations!$T20*c_Calculations!AQ292+c_Calculations!AQ$18*c_Calculations!AQ302+c_Calculations!AQ$19*c_Calculations!AQ312+c_Calculations!AQ$20*c_Calculations!AQ322+c_Calculations!AQ$21*c_Calculations!AQ332+c_Calculations!AQ$22*c_Calculations!AQ342+c_Calculations!AQ$23*c_Calculations!AQ352+c_Calculations!AQ$24*c_Calculations!AQ362)</f>
        <v/>
      </c>
      <c r="AR374" s="268">
        <f>IF(AR$7="Actual","",AR272*c_Calculations!AR$15+c_Calculations!AR$16*c_Calculations!AR282+c_Calculations!$T20*c_Calculations!AR292+c_Calculations!AR$18*c_Calculations!AR302+c_Calculations!AR$19*c_Calculations!AR312+c_Calculations!AR$20*c_Calculations!AR322+c_Calculations!AR$21*c_Calculations!AR332+c_Calculations!AR$22*c_Calculations!AR342+c_Calculations!AR$23*c_Calculations!AR352+c_Calculations!AR$24*c_Calculations!AR362)</f>
        <v/>
      </c>
      <c r="AS374" s="268">
        <f>IF(AS$7="Actual","",AS272*c_Calculations!AS$15+c_Calculations!AS$16*c_Calculations!AS282+c_Calculations!$T20*c_Calculations!AS292+c_Calculations!AS$18*c_Calculations!AS302+c_Calculations!AS$19*c_Calculations!AS312+c_Calculations!AS$20*c_Calculations!AS322+c_Calculations!AS$21*c_Calculations!AS332+c_Calculations!AS$22*c_Calculations!AS342+c_Calculations!AS$23*c_Calculations!AS352+c_Calculations!AS$24*c_Calculations!AS362)</f>
        <v/>
      </c>
      <c r="AT374" s="268">
        <f>IF(AT$7="Actual","",AT272*c_Calculations!AT$15+c_Calculations!AT$16*c_Calculations!AT282+c_Calculations!$T20*c_Calculations!AT292+c_Calculations!AT$18*c_Calculations!AT302+c_Calculations!AT$19*c_Calculations!AT312+c_Calculations!AT$20*c_Calculations!AT322+c_Calculations!AT$21*c_Calculations!AT332+c_Calculations!AT$22*c_Calculations!AT342+c_Calculations!AT$23*c_Calculations!AT352+c_Calculations!AT$24*c_Calculations!AT362)</f>
        <v/>
      </c>
      <c r="AU374" s="268">
        <f>IF(AU$7="Actual","",AU272*c_Calculations!AU$15+c_Calculations!AU$16*c_Calculations!AU282+c_Calculations!$T20*c_Calculations!AU292+c_Calculations!AU$18*c_Calculations!AU302+c_Calculations!AU$19*c_Calculations!AU312+c_Calculations!AU$20*c_Calculations!AU322+c_Calculations!AU$21*c_Calculations!AU332+c_Calculations!AU$22*c_Calculations!AU342+c_Calculations!AU$23*c_Calculations!AU352+c_Calculations!AU$24*c_Calculations!AU362)</f>
        <v/>
      </c>
      <c r="AV374" s="268">
        <f>IF(AV$7="Actual","",AV272*c_Calculations!AV$15+c_Calculations!AV$16*c_Calculations!AV282+c_Calculations!$T20*c_Calculations!AV292+c_Calculations!AV$18*c_Calculations!AV302+c_Calculations!AV$19*c_Calculations!AV312+c_Calculations!AV$20*c_Calculations!AV322+c_Calculations!AV$21*c_Calculations!AV332+c_Calculations!AV$22*c_Calculations!AV342+c_Calculations!AV$23*c_Calculations!AV352+c_Calculations!AV$24*c_Calculations!AV362)</f>
        <v/>
      </c>
      <c r="AW374" s="268">
        <f>IF(AW$7="Actual","",AW272*c_Calculations!AW$15+c_Calculations!AW$16*c_Calculations!AW282+c_Calculations!$T20*c_Calculations!AW292+c_Calculations!AW$18*c_Calculations!AW302+c_Calculations!AW$19*c_Calculations!AW312+c_Calculations!AW$20*c_Calculations!AW322+c_Calculations!AW$21*c_Calculations!AW332+c_Calculations!AW$22*c_Calculations!AW342+c_Calculations!AW$23*c_Calculations!AW352+c_Calculations!AW$24*c_Calculations!AW362)</f>
        <v/>
      </c>
      <c r="AX374" s="268">
        <f>IF(AX$7="Actual","",AX272*c_Calculations!AX$15+c_Calculations!AX$16*c_Calculations!AX282+c_Calculations!$T20*c_Calculations!AX292+c_Calculations!AX$18*c_Calculations!AX302+c_Calculations!AX$19*c_Calculations!AX312+c_Calculations!AX$20*c_Calculations!AX322+c_Calculations!AX$21*c_Calculations!AX332+c_Calculations!AX$22*c_Calculations!AX342+c_Calculations!AX$23*c_Calculations!AX352+c_Calculations!AX$24*c_Calculations!AX362)</f>
        <v/>
      </c>
      <c r="AY374" s="268">
        <f>IF(AY$7="Actual","",AY272*c_Calculations!AY$15+c_Calculations!AY$16*c_Calculations!AY282+c_Calculations!$T20*c_Calculations!AY292+c_Calculations!AY$18*c_Calculations!AY302+c_Calculations!AY$19*c_Calculations!AY312+c_Calculations!AY$20*c_Calculations!AY322+c_Calculations!AY$21*c_Calculations!AY332+c_Calculations!AY$22*c_Calculations!AY342+c_Calculations!AY$23*c_Calculations!AY352+c_Calculations!AY$24*c_Calculations!AY362)</f>
        <v/>
      </c>
      <c r="AZ374" s="268">
        <f>IF(AZ$7="Actual","",AZ272*c_Calculations!AZ$15+c_Calculations!AZ$16*c_Calculations!AZ282+c_Calculations!$T20*c_Calculations!AZ292+c_Calculations!AZ$18*c_Calculations!AZ302+c_Calculations!AZ$19*c_Calculations!AZ312+c_Calculations!AZ$20*c_Calculations!AZ322+c_Calculations!AZ$21*c_Calculations!AZ332+c_Calculations!AZ$22*c_Calculations!AZ342+c_Calculations!AZ$23*c_Calculations!AZ352+c_Calculations!AZ$24*c_Calculations!AZ362)</f>
        <v/>
      </c>
      <c r="BA374" s="268">
        <f>IF(BA$7="Actual","",BA272*c_Calculations!BA$15+c_Calculations!BA$16*c_Calculations!BA282+c_Calculations!$T20*c_Calculations!BA292+c_Calculations!BA$18*c_Calculations!BA302+c_Calculations!BA$19*c_Calculations!BA312+c_Calculations!BA$20*c_Calculations!BA322+c_Calculations!BA$21*c_Calculations!BA332+c_Calculations!BA$22*c_Calculations!BA342+c_Calculations!BA$23*c_Calculations!BA352+c_Calculations!BA$24*c_Calculations!BA362)</f>
        <v/>
      </c>
      <c r="BB374" s="268">
        <f>IF(BB$7="Actual","",BB272*c_Calculations!BB$15+c_Calculations!BB$16*c_Calculations!BB282+c_Calculations!$T20*c_Calculations!BB292+c_Calculations!BB$18*c_Calculations!BB302+c_Calculations!BB$19*c_Calculations!BB312+c_Calculations!BB$20*c_Calculations!BB322+c_Calculations!BB$21*c_Calculations!BB332+c_Calculations!BB$22*c_Calculations!BB342+c_Calculations!BB$23*c_Calculations!BB352+c_Calculations!BB$24*c_Calculations!BB362)</f>
        <v/>
      </c>
      <c r="BC374" s="268">
        <f>IF(BC$7="Actual","",BC272*c_Calculations!BC$15+c_Calculations!BC$16*c_Calculations!BC282+c_Calculations!$T20*c_Calculations!BC292+c_Calculations!BC$18*c_Calculations!BC302+c_Calculations!BC$19*c_Calculations!BC312+c_Calculations!BC$20*c_Calculations!BC322+c_Calculations!BC$21*c_Calculations!BC332+c_Calculations!BC$22*c_Calculations!BC342+c_Calculations!BC$23*c_Calculations!BC352+c_Calculations!BC$24*c_Calculations!BC362)</f>
        <v/>
      </c>
      <c r="BD374" s="268">
        <f>IF(BD$7="Actual","",BD272*c_Calculations!BD$15+c_Calculations!BD$16*c_Calculations!BD282+c_Calculations!$T20*c_Calculations!BD292+c_Calculations!BD$18*c_Calculations!BD302+c_Calculations!BD$19*c_Calculations!BD312+c_Calculations!BD$20*c_Calculations!BD322+c_Calculations!BD$21*c_Calculations!BD332+c_Calculations!BD$22*c_Calculations!BD342+c_Calculations!BD$23*c_Calculations!BD352+c_Calculations!BD$24*c_Calculations!BD362)</f>
        <v/>
      </c>
      <c r="BE374" s="268">
        <f>IF(BE$7="Actual","",BE272*c_Calculations!BE$15+c_Calculations!BE$16*c_Calculations!BE282+c_Calculations!$T20*c_Calculations!BE292+c_Calculations!BE$18*c_Calculations!BE302+c_Calculations!BE$19*c_Calculations!BE312+c_Calculations!BE$20*c_Calculations!BE322+c_Calculations!BE$21*c_Calculations!BE332+c_Calculations!BE$22*c_Calculations!BE342+c_Calculations!BE$23*c_Calculations!BE352+c_Calculations!BE$24*c_Calculations!BE362)</f>
        <v/>
      </c>
      <c r="BF374" s="268">
        <f>IF(BF$7="Actual","",BF272*c_Calculations!BF$15+c_Calculations!BF$16*c_Calculations!BF282+c_Calculations!$T20*c_Calculations!BF292+c_Calculations!BF$18*c_Calculations!BF302+c_Calculations!BF$19*c_Calculations!BF312+c_Calculations!BF$20*c_Calculations!BF322+c_Calculations!BF$21*c_Calculations!BF332+c_Calculations!BF$22*c_Calculations!BF342+c_Calculations!BF$23*c_Calculations!BF352+c_Calculations!BF$24*c_Calculations!BF362)</f>
        <v/>
      </c>
      <c r="BG374" s="268">
        <f>IF(BG$7="Actual","",BG272*c_Calculations!BG$15+c_Calculations!BG$16*c_Calculations!BG282+c_Calculations!$T20*c_Calculations!BG292+c_Calculations!BG$18*c_Calculations!BG302+c_Calculations!BG$19*c_Calculations!BG312+c_Calculations!BG$20*c_Calculations!BG322+c_Calculations!BG$21*c_Calculations!BG332+c_Calculations!BG$22*c_Calculations!BG342+c_Calculations!BG$23*c_Calculations!BG352+c_Calculations!BG$24*c_Calculations!BG362)</f>
        <v/>
      </c>
      <c r="BH374" s="268">
        <f>IF(BH$7="Actual","",BH272*c_Calculations!BH$15+c_Calculations!BH$16*c_Calculations!BH282+c_Calculations!$T20*c_Calculations!BH292+c_Calculations!BH$18*c_Calculations!BH302+c_Calculations!BH$19*c_Calculations!BH312+c_Calculations!BH$20*c_Calculations!BH322+c_Calculations!BH$21*c_Calculations!BH332+c_Calculations!BH$22*c_Calculations!BH342+c_Calculations!BH$23*c_Calculations!BH352+c_Calculations!BH$24*c_Calculations!BH362)</f>
        <v/>
      </c>
      <c r="BI374" s="268">
        <f>IF(BI$7="Actual","",BI272*c_Calculations!BI$15+c_Calculations!BI$16*c_Calculations!BI282+c_Calculations!$T20*c_Calculations!BI292+c_Calculations!BI$18*c_Calculations!BI302+c_Calculations!BI$19*c_Calculations!BI312+c_Calculations!BI$20*c_Calculations!BI322+c_Calculations!BI$21*c_Calculations!BI332+c_Calculations!BI$22*c_Calculations!BI342+c_Calculations!BI$23*c_Calculations!BI352+c_Calculations!BI$24*c_Calculations!BI362)</f>
        <v/>
      </c>
      <c r="BJ374" s="268">
        <f>IF(BJ$7="Actual","",BJ272*c_Calculations!BJ$15+c_Calculations!BJ$16*c_Calculations!BJ282+c_Calculations!$T20*c_Calculations!BJ292+c_Calculations!BJ$18*c_Calculations!BJ302+c_Calculations!BJ$19*c_Calculations!BJ312+c_Calculations!BJ$20*c_Calculations!BJ322+c_Calculations!BJ$21*c_Calculations!BJ332+c_Calculations!BJ$22*c_Calculations!BJ342+c_Calculations!BJ$23*c_Calculations!BJ352+c_Calculations!BJ$24*c_Calculations!BJ362)</f>
        <v/>
      </c>
      <c r="BK374" s="268">
        <f>IF(BK$7="Actual","",BK272*c_Calculations!BK$15+c_Calculations!BK$16*c_Calculations!BK282+c_Calculations!$T20*c_Calculations!BK292+c_Calculations!BK$18*c_Calculations!BK302+c_Calculations!BK$19*c_Calculations!BK312+c_Calculations!BK$20*c_Calculations!BK322+c_Calculations!BK$21*c_Calculations!BK332+c_Calculations!BK$22*c_Calculations!BK342+c_Calculations!BK$23*c_Calculations!BK352+c_Calculations!BK$24*c_Calculations!BK362)</f>
        <v/>
      </c>
      <c r="BL374" s="268">
        <f>IF(BL$7="Actual","",BL272*c_Calculations!BL$15+c_Calculations!BL$16*c_Calculations!BL282+c_Calculations!$T20*c_Calculations!BL292+c_Calculations!BL$18*c_Calculations!BL302+c_Calculations!BL$19*c_Calculations!BL312+c_Calculations!BL$20*c_Calculations!BL322+c_Calculations!BL$21*c_Calculations!BL332+c_Calculations!BL$22*c_Calculations!BL342+c_Calculations!BL$23*c_Calculations!BL352+c_Calculations!BL$24*c_Calculations!BL362)</f>
        <v/>
      </c>
      <c r="BM374" s="268">
        <f>IF(BM$7="Actual","",BM272*c_Calculations!BM$15+c_Calculations!BM$16*c_Calculations!BM282+c_Calculations!$T20*c_Calculations!BM292+c_Calculations!BM$18*c_Calculations!BM302+c_Calculations!BM$19*c_Calculations!BM312+c_Calculations!BM$20*c_Calculations!BM322+c_Calculations!BM$21*c_Calculations!BM332+c_Calculations!BM$22*c_Calculations!BM342+c_Calculations!BM$23*c_Calculations!BM352+c_Calculations!BM$24*c_Calculations!BM362)</f>
        <v/>
      </c>
      <c r="BN374" s="268">
        <f>IF(BN$7="Actual","",BN272*c_Calculations!BN$15+c_Calculations!BN$16*c_Calculations!BN282+c_Calculations!$T20*c_Calculations!BN292+c_Calculations!BN$18*c_Calculations!BN302+c_Calculations!BN$19*c_Calculations!BN312+c_Calculations!BN$20*c_Calculations!BN322+c_Calculations!BN$21*c_Calculations!BN332+c_Calculations!BN$22*c_Calculations!BN342+c_Calculations!BN$23*c_Calculations!BN352+c_Calculations!BN$24*c_Calculations!BN362)</f>
        <v/>
      </c>
      <c r="BO374" s="268">
        <f>IF(BO$7="Actual","",BO272*c_Calculations!BO$15+c_Calculations!BO$16*c_Calculations!BO282+c_Calculations!$T20*c_Calculations!BO292+c_Calculations!BO$18*c_Calculations!BO302+c_Calculations!BO$19*c_Calculations!BO312+c_Calculations!BO$20*c_Calculations!BO322+c_Calculations!BO$21*c_Calculations!BO332+c_Calculations!BO$22*c_Calculations!BO342+c_Calculations!BO$23*c_Calculations!BO352+c_Calculations!BO$24*c_Calculations!BO362)</f>
        <v/>
      </c>
      <c r="BP374" s="268">
        <f>IF(BP$7="Actual","",BP272*c_Calculations!BP$15+c_Calculations!BP$16*c_Calculations!BP282+c_Calculations!$T20*c_Calculations!BP292+c_Calculations!BP$18*c_Calculations!BP302+c_Calculations!BP$19*c_Calculations!BP312+c_Calculations!BP$20*c_Calculations!BP322+c_Calculations!BP$21*c_Calculations!BP332+c_Calculations!BP$22*c_Calculations!BP342+c_Calculations!BP$23*c_Calculations!BP352+c_Calculations!BP$24*c_Calculations!BP362)</f>
        <v/>
      </c>
      <c r="BQ374" s="268">
        <f>IF(BQ$7="Actual","",BQ272*c_Calculations!BQ$15+c_Calculations!BQ$16*c_Calculations!BQ282+c_Calculations!$T20*c_Calculations!BQ292+c_Calculations!BQ$18*c_Calculations!BQ302+c_Calculations!BQ$19*c_Calculations!BQ312+c_Calculations!BQ$20*c_Calculations!BQ322+c_Calculations!BQ$21*c_Calculations!BQ332+c_Calculations!BQ$22*c_Calculations!BQ342+c_Calculations!BQ$23*c_Calculations!BQ352+c_Calculations!BQ$24*c_Calculations!BQ362)</f>
        <v/>
      </c>
      <c r="BR374" s="268">
        <f>IF(BR$7="Actual","",BR272*c_Calculations!BR$15+c_Calculations!BR$16*c_Calculations!BR282+c_Calculations!$T20*c_Calculations!BR292+c_Calculations!BR$18*c_Calculations!BR302+c_Calculations!BR$19*c_Calculations!BR312+c_Calculations!BR$20*c_Calculations!BR322+c_Calculations!BR$21*c_Calculations!BR332+c_Calculations!BR$22*c_Calculations!BR342+c_Calculations!BR$23*c_Calculations!BR352+c_Calculations!BR$24*c_Calculations!BR362)</f>
        <v/>
      </c>
      <c r="BS374" s="268">
        <f>IF(BS$7="Actual","",BS272*c_Calculations!BS$15+c_Calculations!BS$16*c_Calculations!BS282+c_Calculations!$T20*c_Calculations!BS292+c_Calculations!BS$18*c_Calculations!BS302+c_Calculations!BS$19*c_Calculations!BS312+c_Calculations!BS$20*c_Calculations!BS322+c_Calculations!BS$21*c_Calculations!BS332+c_Calculations!BS$22*c_Calculations!BS342+c_Calculations!BS$23*c_Calculations!BS352+c_Calculations!BS$24*c_Calculations!BS362)</f>
        <v/>
      </c>
      <c r="BT374" s="268">
        <f>IF(BT$7="Actual","",BT272*c_Calculations!BT$15+c_Calculations!BT$16*c_Calculations!BT282+c_Calculations!$T20*c_Calculations!BT292+c_Calculations!BT$18*c_Calculations!BT302+c_Calculations!BT$19*c_Calculations!BT312+c_Calculations!BT$20*c_Calculations!BT322+c_Calculations!BT$21*c_Calculations!BT332+c_Calculations!BT$22*c_Calculations!BT342+c_Calculations!BT$23*c_Calculations!BT352+c_Calculations!BT$24*c_Calculations!BT362)</f>
        <v/>
      </c>
      <c r="BU374" s="268">
        <f>IF(BU$7="Actual","",BU272*c_Calculations!BU$15+c_Calculations!BU$16*c_Calculations!BU282+c_Calculations!$T20*c_Calculations!BU292+c_Calculations!BU$18*c_Calculations!BU302+c_Calculations!BU$19*c_Calculations!BU312+c_Calculations!BU$20*c_Calculations!BU322+c_Calculations!BU$21*c_Calculations!BU332+c_Calculations!BU$22*c_Calculations!BU342+c_Calculations!BU$23*c_Calculations!BU352+c_Calculations!BU$24*c_Calculations!BU362)</f>
        <v/>
      </c>
      <c r="BV374" s="268">
        <f>IF(BV$7="Actual","",BV272*c_Calculations!BV$15+c_Calculations!BV$16*c_Calculations!BV282+c_Calculations!$T20*c_Calculations!BV292+c_Calculations!BV$18*c_Calculations!BV302+c_Calculations!BV$19*c_Calculations!BV312+c_Calculations!BV$20*c_Calculations!BV322+c_Calculations!BV$21*c_Calculations!BV332+c_Calculations!BV$22*c_Calculations!BV342+c_Calculations!BV$23*c_Calculations!BV352+c_Calculations!BV$24*c_Calculations!BV362)</f>
        <v/>
      </c>
      <c r="BW374" s="268">
        <f>IF(BW$7="Actual","",BW272*c_Calculations!BW$15+c_Calculations!BW$16*c_Calculations!BW282+c_Calculations!$T20*c_Calculations!BW292+c_Calculations!BW$18*c_Calculations!BW302+c_Calculations!BW$19*c_Calculations!BW312+c_Calculations!BW$20*c_Calculations!BW322+c_Calculations!BW$21*c_Calculations!BW332+c_Calculations!BW$22*c_Calculations!BW342+c_Calculations!BW$23*c_Calculations!BW352+c_Calculations!BW$24*c_Calculations!BW362)</f>
        <v/>
      </c>
      <c r="BX374" s="268">
        <f>IF(BX$7="Actual","",BX272*c_Calculations!BX$15+c_Calculations!BX$16*c_Calculations!BX282+c_Calculations!$T20*c_Calculations!BX292+c_Calculations!BX$18*c_Calculations!BX302+c_Calculations!BX$19*c_Calculations!BX312+c_Calculations!BX$20*c_Calculations!BX322+c_Calculations!BX$21*c_Calculations!BX332+c_Calculations!BX$22*c_Calculations!BX342+c_Calculations!BX$23*c_Calculations!BX352+c_Calculations!BX$24*c_Calculations!BX362)</f>
        <v/>
      </c>
      <c r="BY374" s="268">
        <f>IF(BY$7="Actual","",BY272*c_Calculations!BY$15+c_Calculations!BY$16*c_Calculations!BY282+c_Calculations!$T20*c_Calculations!BY292+c_Calculations!BY$18*c_Calculations!BY302+c_Calculations!BY$19*c_Calculations!BY312+c_Calculations!BY$20*c_Calculations!BY322+c_Calculations!BY$21*c_Calculations!BY332+c_Calculations!BY$22*c_Calculations!BY342+c_Calculations!BY$23*c_Calculations!BY352+c_Calculations!BY$24*c_Calculations!BY362)</f>
        <v/>
      </c>
      <c r="BZ374" s="268">
        <f>IF(BZ$7="Actual","",BZ272*c_Calculations!BZ$15+c_Calculations!BZ$16*c_Calculations!BZ282+c_Calculations!$T20*c_Calculations!BZ292+c_Calculations!BZ$18*c_Calculations!BZ302+c_Calculations!BZ$19*c_Calculations!BZ312+c_Calculations!BZ$20*c_Calculations!BZ322+c_Calculations!BZ$21*c_Calculations!BZ332+c_Calculations!BZ$22*c_Calculations!BZ342+c_Calculations!BZ$23*c_Calculations!BZ352+c_Calculations!BZ$24*c_Calculations!BZ362)</f>
        <v/>
      </c>
      <c r="CA374" s="268">
        <f>IF(CA$7="Actual","",CA272*c_Calculations!CA$15+c_Calculations!CA$16*c_Calculations!CA282+c_Calculations!$T20*c_Calculations!CA292+c_Calculations!CA$18*c_Calculations!CA302+c_Calculations!CA$19*c_Calculations!CA312+c_Calculations!CA$20*c_Calculations!CA322+c_Calculations!CA$21*c_Calculations!CA332+c_Calculations!CA$22*c_Calculations!CA342+c_Calculations!CA$23*c_Calculations!CA352+c_Calculations!CA$24*c_Calculations!CA362)</f>
        <v/>
      </c>
      <c r="CB374" s="268" t="n"/>
    </row>
    <row r="375" ht="12" customHeight="1" s="227">
      <c r="A375" s="244" t="n"/>
      <c r="B375" s="244" t="n"/>
      <c r="C375" s="244" t="n"/>
      <c r="H375" s="4">
        <f>H363</f>
        <v/>
      </c>
      <c r="I375" s="27" t="inlineStr">
        <is>
          <t>no</t>
        </is>
      </c>
      <c r="K375" s="6" t="n"/>
      <c r="M375" s="245">
        <f>SUMIF($T$2:$CA$2,M$2,$T375:$CA375)</f>
        <v/>
      </c>
      <c r="N375" s="245">
        <f>SUMIF($T$2:$CA$2,N$2,$T375:$CA375)</f>
        <v/>
      </c>
      <c r="O375" s="245">
        <f>SUMIF($T$2:$CA$2,O$2,$T375:$CA375)</f>
        <v/>
      </c>
      <c r="P375" s="245">
        <f>SUMIF($T$2:$CA$2,P$2,$T375:$CA375)</f>
        <v/>
      </c>
      <c r="Q375" s="245">
        <f>SUMIF($T$2:$CA$2,Q$2,$T375:$CA375)</f>
        <v/>
      </c>
      <c r="R375" s="268" t="n"/>
      <c r="S375" s="268" t="n"/>
      <c r="T375" s="268">
        <f>IF(T$7="Actual","",T273*c_Calculations!T$15+c_Calculations!T$16*c_Calculations!T283+c_Calculations!$T21*c_Calculations!T293+c_Calculations!T$18*c_Calculations!T303+c_Calculations!T$19*c_Calculations!T313+c_Calculations!T$20*c_Calculations!T323+c_Calculations!T$21*c_Calculations!T333+c_Calculations!T$22*c_Calculations!T343+c_Calculations!T$23*c_Calculations!T353+c_Calculations!T$24*c_Calculations!T363)</f>
        <v/>
      </c>
      <c r="U375" s="268">
        <f>IF(U$7="Actual","",U273*c_Calculations!U$15+c_Calculations!U$16*c_Calculations!U283+c_Calculations!$T21*c_Calculations!U293+c_Calculations!U$18*c_Calculations!U303+c_Calculations!U$19*c_Calculations!U313+c_Calculations!U$20*c_Calculations!U323+c_Calculations!U$21*c_Calculations!U333+c_Calculations!U$22*c_Calculations!U343+c_Calculations!U$23*c_Calculations!U353+c_Calculations!U$24*c_Calculations!U363)</f>
        <v/>
      </c>
      <c r="V375" s="268">
        <f>IF(V$7="Actual","",V273*c_Calculations!V$15+c_Calculations!V$16*c_Calculations!V283+c_Calculations!$T21*c_Calculations!V293+c_Calculations!V$18*c_Calculations!V303+c_Calculations!V$19*c_Calculations!V313+c_Calculations!V$20*c_Calculations!V323+c_Calculations!V$21*c_Calculations!V333+c_Calculations!V$22*c_Calculations!V343+c_Calculations!V$23*c_Calculations!V353+c_Calculations!V$24*c_Calculations!V363)</f>
        <v/>
      </c>
      <c r="W375" s="268">
        <f>IF(W$7="Actual","",W273*c_Calculations!W$15+c_Calculations!W$16*c_Calculations!W283+c_Calculations!$T21*c_Calculations!W293+c_Calculations!W$18*c_Calculations!W303+c_Calculations!W$19*c_Calculations!W313+c_Calculations!W$20*c_Calculations!W323+c_Calculations!W$21*c_Calculations!W333+c_Calculations!W$22*c_Calculations!W343+c_Calculations!W$23*c_Calculations!W353+c_Calculations!W$24*c_Calculations!W363)</f>
        <v/>
      </c>
      <c r="X375" s="268">
        <f>IF(X$7="Actual","",X273*c_Calculations!X$15+c_Calculations!X$16*c_Calculations!X283+c_Calculations!$T21*c_Calculations!X293+c_Calculations!X$18*c_Calculations!X303+c_Calculations!X$19*c_Calculations!X313+c_Calculations!X$20*c_Calculations!X323+c_Calculations!X$21*c_Calculations!X333+c_Calculations!X$22*c_Calculations!X343+c_Calculations!X$23*c_Calculations!X353+c_Calculations!X$24*c_Calculations!X363)</f>
        <v/>
      </c>
      <c r="Y375" s="268">
        <f>IF(Y$7="Actual","",Y273*c_Calculations!Y$15+c_Calculations!Y$16*c_Calculations!Y283+c_Calculations!$T21*c_Calculations!Y293+c_Calculations!Y$18*c_Calculations!Y303+c_Calculations!Y$19*c_Calculations!Y313+c_Calculations!Y$20*c_Calculations!Y323+c_Calculations!Y$21*c_Calculations!Y333+c_Calculations!Y$22*c_Calculations!Y343+c_Calculations!Y$23*c_Calculations!Y353+c_Calculations!Y$24*c_Calculations!Y363)</f>
        <v/>
      </c>
      <c r="Z375" s="268">
        <f>IF(Z$7="Actual","",Z273*c_Calculations!Z$15+c_Calculations!Z$16*c_Calculations!Z283+c_Calculations!$T21*c_Calculations!Z293+c_Calculations!Z$18*c_Calculations!Z303+c_Calculations!Z$19*c_Calculations!Z313+c_Calculations!Z$20*c_Calculations!Z323+c_Calculations!Z$21*c_Calculations!Z333+c_Calculations!Z$22*c_Calculations!Z343+c_Calculations!Z$23*c_Calculations!Z353+c_Calculations!Z$24*c_Calculations!Z363)</f>
        <v/>
      </c>
      <c r="AA375" s="268">
        <f>IF(AA$7="Actual","",AA273*c_Calculations!AA$15+c_Calculations!AA$16*c_Calculations!AA283+c_Calculations!$T21*c_Calculations!AA293+c_Calculations!AA$18*c_Calculations!AA303+c_Calculations!AA$19*c_Calculations!AA313+c_Calculations!AA$20*c_Calculations!AA323+c_Calculations!AA$21*c_Calculations!AA333+c_Calculations!AA$22*c_Calculations!AA343+c_Calculations!AA$23*c_Calculations!AA353+c_Calculations!AA$24*c_Calculations!AA363)</f>
        <v/>
      </c>
      <c r="AB375" s="268">
        <f>IF(AB$7="Actual","",AB273*c_Calculations!AB$15+c_Calculations!AB$16*c_Calculations!AB283+c_Calculations!$T21*c_Calculations!AB293+c_Calculations!AB$18*c_Calculations!AB303+c_Calculations!AB$19*c_Calculations!AB313+c_Calculations!AB$20*c_Calculations!AB323+c_Calculations!AB$21*c_Calculations!AB333+c_Calculations!AB$22*c_Calculations!AB343+c_Calculations!AB$23*c_Calculations!AB353+c_Calculations!AB$24*c_Calculations!AB363)</f>
        <v/>
      </c>
      <c r="AC375" s="268">
        <f>IF(AC$7="Actual","",AC273*c_Calculations!AC$15+c_Calculations!AC$16*c_Calculations!AC283+c_Calculations!$T21*c_Calculations!AC293+c_Calculations!AC$18*c_Calculations!AC303+c_Calculations!AC$19*c_Calculations!AC313+c_Calculations!AC$20*c_Calculations!AC323+c_Calculations!AC$21*c_Calculations!AC333+c_Calculations!AC$22*c_Calculations!AC343+c_Calculations!AC$23*c_Calculations!AC353+c_Calculations!AC$24*c_Calculations!AC363)</f>
        <v/>
      </c>
      <c r="AD375" s="268">
        <f>IF(AD$7="Actual","",AD273*c_Calculations!AD$15+c_Calculations!AD$16*c_Calculations!AD283+c_Calculations!$T21*c_Calculations!AD293+c_Calculations!AD$18*c_Calculations!AD303+c_Calculations!AD$19*c_Calculations!AD313+c_Calculations!AD$20*c_Calculations!AD323+c_Calculations!AD$21*c_Calculations!AD333+c_Calculations!AD$22*c_Calculations!AD343+c_Calculations!AD$23*c_Calculations!AD353+c_Calculations!AD$24*c_Calculations!AD363)</f>
        <v/>
      </c>
      <c r="AE375" s="268">
        <f>IF(AE$7="Actual","",AE273*c_Calculations!AE$15+c_Calculations!AE$16*c_Calculations!AE283+c_Calculations!$T21*c_Calculations!AE293+c_Calculations!AE$18*c_Calculations!AE303+c_Calculations!AE$19*c_Calculations!AE313+c_Calculations!AE$20*c_Calculations!AE323+c_Calculations!AE$21*c_Calculations!AE333+c_Calculations!AE$22*c_Calculations!AE343+c_Calculations!AE$23*c_Calculations!AE353+c_Calculations!AE$24*c_Calculations!AE363)</f>
        <v/>
      </c>
      <c r="AF375" s="268">
        <f>IF(AF$7="Actual","",AF273*c_Calculations!AF$15+c_Calculations!AF$16*c_Calculations!AF283+c_Calculations!$T21*c_Calculations!AF293+c_Calculations!AF$18*c_Calculations!AF303+c_Calculations!AF$19*c_Calculations!AF313+c_Calculations!AF$20*c_Calculations!AF323+c_Calculations!AF$21*c_Calculations!AF333+c_Calculations!AF$22*c_Calculations!AF343+c_Calculations!AF$23*c_Calculations!AF353+c_Calculations!AF$24*c_Calculations!AF363)</f>
        <v/>
      </c>
      <c r="AG375" s="268">
        <f>IF(AG$7="Actual","",AG273*c_Calculations!AG$15+c_Calculations!AG$16*c_Calculations!AG283+c_Calculations!$T21*c_Calculations!AG293+c_Calculations!AG$18*c_Calculations!AG303+c_Calculations!AG$19*c_Calculations!AG313+c_Calculations!AG$20*c_Calculations!AG323+c_Calculations!AG$21*c_Calculations!AG333+c_Calculations!AG$22*c_Calculations!AG343+c_Calculations!AG$23*c_Calculations!AG353+c_Calculations!AG$24*c_Calculations!AG363)</f>
        <v/>
      </c>
      <c r="AH375" s="268">
        <f>IF(AH$7="Actual","",AH273*c_Calculations!AH$15+c_Calculations!AH$16*c_Calculations!AH283+c_Calculations!$T21*c_Calculations!AH293+c_Calculations!AH$18*c_Calculations!AH303+c_Calculations!AH$19*c_Calculations!AH313+c_Calculations!AH$20*c_Calculations!AH323+c_Calculations!AH$21*c_Calculations!AH333+c_Calculations!AH$22*c_Calculations!AH343+c_Calculations!AH$23*c_Calculations!AH353+c_Calculations!AH$24*c_Calculations!AH363)</f>
        <v/>
      </c>
      <c r="AI375" s="268">
        <f>IF(AI$7="Actual","",AI273*c_Calculations!AI$15+c_Calculations!AI$16*c_Calculations!AI283+c_Calculations!$T21*c_Calculations!AI293+c_Calculations!AI$18*c_Calculations!AI303+c_Calculations!AI$19*c_Calculations!AI313+c_Calculations!AI$20*c_Calculations!AI323+c_Calculations!AI$21*c_Calculations!AI333+c_Calculations!AI$22*c_Calculations!AI343+c_Calculations!AI$23*c_Calculations!AI353+c_Calculations!AI$24*c_Calculations!AI363)</f>
        <v/>
      </c>
      <c r="AJ375" s="268">
        <f>IF(AJ$7="Actual","",AJ273*c_Calculations!AJ$15+c_Calculations!AJ$16*c_Calculations!AJ283+c_Calculations!$T21*c_Calculations!AJ293+c_Calculations!AJ$18*c_Calculations!AJ303+c_Calculations!AJ$19*c_Calculations!AJ313+c_Calculations!AJ$20*c_Calculations!AJ323+c_Calculations!AJ$21*c_Calculations!AJ333+c_Calculations!AJ$22*c_Calculations!AJ343+c_Calculations!AJ$23*c_Calculations!AJ353+c_Calculations!AJ$24*c_Calculations!AJ363)</f>
        <v/>
      </c>
      <c r="AK375" s="268">
        <f>IF(AK$7="Actual","",AK273*c_Calculations!AK$15+c_Calculations!AK$16*c_Calculations!AK283+c_Calculations!$T21*c_Calculations!AK293+c_Calculations!AK$18*c_Calculations!AK303+c_Calculations!AK$19*c_Calculations!AK313+c_Calculations!AK$20*c_Calculations!AK323+c_Calculations!AK$21*c_Calculations!AK333+c_Calculations!AK$22*c_Calculations!AK343+c_Calculations!AK$23*c_Calculations!AK353+c_Calculations!AK$24*c_Calculations!AK363)</f>
        <v/>
      </c>
      <c r="AL375" s="268">
        <f>IF(AL$7="Actual","",AL273*c_Calculations!AL$15+c_Calculations!AL$16*c_Calculations!AL283+c_Calculations!$T21*c_Calculations!AL293+c_Calculations!AL$18*c_Calculations!AL303+c_Calculations!AL$19*c_Calculations!AL313+c_Calculations!AL$20*c_Calculations!AL323+c_Calculations!AL$21*c_Calculations!AL333+c_Calculations!AL$22*c_Calculations!AL343+c_Calculations!AL$23*c_Calculations!AL353+c_Calculations!AL$24*c_Calculations!AL363)</f>
        <v/>
      </c>
      <c r="AM375" s="268">
        <f>IF(AM$7="Actual","",AM273*c_Calculations!AM$15+c_Calculations!AM$16*c_Calculations!AM283+c_Calculations!$T21*c_Calculations!AM293+c_Calculations!AM$18*c_Calculations!AM303+c_Calculations!AM$19*c_Calculations!AM313+c_Calculations!AM$20*c_Calculations!AM323+c_Calculations!AM$21*c_Calculations!AM333+c_Calculations!AM$22*c_Calculations!AM343+c_Calculations!AM$23*c_Calculations!AM353+c_Calculations!AM$24*c_Calculations!AM363)</f>
        <v/>
      </c>
      <c r="AN375" s="268">
        <f>IF(AN$7="Actual","",AN273*c_Calculations!AN$15+c_Calculations!AN$16*c_Calculations!AN283+c_Calculations!$T21*c_Calculations!AN293+c_Calculations!AN$18*c_Calculations!AN303+c_Calculations!AN$19*c_Calculations!AN313+c_Calculations!AN$20*c_Calculations!AN323+c_Calculations!AN$21*c_Calculations!AN333+c_Calculations!AN$22*c_Calculations!AN343+c_Calculations!AN$23*c_Calculations!AN353+c_Calculations!AN$24*c_Calculations!AN363)</f>
        <v/>
      </c>
      <c r="AO375" s="268">
        <f>IF(AO$7="Actual","",AO273*c_Calculations!AO$15+c_Calculations!AO$16*c_Calculations!AO283+c_Calculations!$T21*c_Calculations!AO293+c_Calculations!AO$18*c_Calculations!AO303+c_Calculations!AO$19*c_Calculations!AO313+c_Calculations!AO$20*c_Calculations!AO323+c_Calculations!AO$21*c_Calculations!AO333+c_Calculations!AO$22*c_Calculations!AO343+c_Calculations!AO$23*c_Calculations!AO353+c_Calculations!AO$24*c_Calculations!AO363)</f>
        <v/>
      </c>
      <c r="AP375" s="268">
        <f>IF(AP$7="Actual","",AP273*c_Calculations!AP$15+c_Calculations!AP$16*c_Calculations!AP283+c_Calculations!$T21*c_Calculations!AP293+c_Calculations!AP$18*c_Calculations!AP303+c_Calculations!AP$19*c_Calculations!AP313+c_Calculations!AP$20*c_Calculations!AP323+c_Calculations!AP$21*c_Calculations!AP333+c_Calculations!AP$22*c_Calculations!AP343+c_Calculations!AP$23*c_Calculations!AP353+c_Calculations!AP$24*c_Calculations!AP363)</f>
        <v/>
      </c>
      <c r="AQ375" s="268">
        <f>IF(AQ$7="Actual","",AQ273*c_Calculations!AQ$15+c_Calculations!AQ$16*c_Calculations!AQ283+c_Calculations!$T21*c_Calculations!AQ293+c_Calculations!AQ$18*c_Calculations!AQ303+c_Calculations!AQ$19*c_Calculations!AQ313+c_Calculations!AQ$20*c_Calculations!AQ323+c_Calculations!AQ$21*c_Calculations!AQ333+c_Calculations!AQ$22*c_Calculations!AQ343+c_Calculations!AQ$23*c_Calculations!AQ353+c_Calculations!AQ$24*c_Calculations!AQ363)</f>
        <v/>
      </c>
      <c r="AR375" s="268">
        <f>IF(AR$7="Actual","",AR273*c_Calculations!AR$15+c_Calculations!AR$16*c_Calculations!AR283+c_Calculations!$T21*c_Calculations!AR293+c_Calculations!AR$18*c_Calculations!AR303+c_Calculations!AR$19*c_Calculations!AR313+c_Calculations!AR$20*c_Calculations!AR323+c_Calculations!AR$21*c_Calculations!AR333+c_Calculations!AR$22*c_Calculations!AR343+c_Calculations!AR$23*c_Calculations!AR353+c_Calculations!AR$24*c_Calculations!AR363)</f>
        <v/>
      </c>
      <c r="AS375" s="268">
        <f>IF(AS$7="Actual","",AS273*c_Calculations!AS$15+c_Calculations!AS$16*c_Calculations!AS283+c_Calculations!$T21*c_Calculations!AS293+c_Calculations!AS$18*c_Calculations!AS303+c_Calculations!AS$19*c_Calculations!AS313+c_Calculations!AS$20*c_Calculations!AS323+c_Calculations!AS$21*c_Calculations!AS333+c_Calculations!AS$22*c_Calculations!AS343+c_Calculations!AS$23*c_Calculations!AS353+c_Calculations!AS$24*c_Calculations!AS363)</f>
        <v/>
      </c>
      <c r="AT375" s="268">
        <f>IF(AT$7="Actual","",AT273*c_Calculations!AT$15+c_Calculations!AT$16*c_Calculations!AT283+c_Calculations!$T21*c_Calculations!AT293+c_Calculations!AT$18*c_Calculations!AT303+c_Calculations!AT$19*c_Calculations!AT313+c_Calculations!AT$20*c_Calculations!AT323+c_Calculations!AT$21*c_Calculations!AT333+c_Calculations!AT$22*c_Calculations!AT343+c_Calculations!AT$23*c_Calculations!AT353+c_Calculations!AT$24*c_Calculations!AT363)</f>
        <v/>
      </c>
      <c r="AU375" s="268">
        <f>IF(AU$7="Actual","",AU273*c_Calculations!AU$15+c_Calculations!AU$16*c_Calculations!AU283+c_Calculations!$T21*c_Calculations!AU293+c_Calculations!AU$18*c_Calculations!AU303+c_Calculations!AU$19*c_Calculations!AU313+c_Calculations!AU$20*c_Calculations!AU323+c_Calculations!AU$21*c_Calculations!AU333+c_Calculations!AU$22*c_Calculations!AU343+c_Calculations!AU$23*c_Calculations!AU353+c_Calculations!AU$24*c_Calculations!AU363)</f>
        <v/>
      </c>
      <c r="AV375" s="268">
        <f>IF(AV$7="Actual","",AV273*c_Calculations!AV$15+c_Calculations!AV$16*c_Calculations!AV283+c_Calculations!$T21*c_Calculations!AV293+c_Calculations!AV$18*c_Calculations!AV303+c_Calculations!AV$19*c_Calculations!AV313+c_Calculations!AV$20*c_Calculations!AV323+c_Calculations!AV$21*c_Calculations!AV333+c_Calculations!AV$22*c_Calculations!AV343+c_Calculations!AV$23*c_Calculations!AV353+c_Calculations!AV$24*c_Calculations!AV363)</f>
        <v/>
      </c>
      <c r="AW375" s="268">
        <f>IF(AW$7="Actual","",AW273*c_Calculations!AW$15+c_Calculations!AW$16*c_Calculations!AW283+c_Calculations!$T21*c_Calculations!AW293+c_Calculations!AW$18*c_Calculations!AW303+c_Calculations!AW$19*c_Calculations!AW313+c_Calculations!AW$20*c_Calculations!AW323+c_Calculations!AW$21*c_Calculations!AW333+c_Calculations!AW$22*c_Calculations!AW343+c_Calculations!AW$23*c_Calculations!AW353+c_Calculations!AW$24*c_Calculations!AW363)</f>
        <v/>
      </c>
      <c r="AX375" s="268">
        <f>IF(AX$7="Actual","",AX273*c_Calculations!AX$15+c_Calculations!AX$16*c_Calculations!AX283+c_Calculations!$T21*c_Calculations!AX293+c_Calculations!AX$18*c_Calculations!AX303+c_Calculations!AX$19*c_Calculations!AX313+c_Calculations!AX$20*c_Calculations!AX323+c_Calculations!AX$21*c_Calculations!AX333+c_Calculations!AX$22*c_Calculations!AX343+c_Calculations!AX$23*c_Calculations!AX353+c_Calculations!AX$24*c_Calculations!AX363)</f>
        <v/>
      </c>
      <c r="AY375" s="268">
        <f>IF(AY$7="Actual","",AY273*c_Calculations!AY$15+c_Calculations!AY$16*c_Calculations!AY283+c_Calculations!$T21*c_Calculations!AY293+c_Calculations!AY$18*c_Calculations!AY303+c_Calculations!AY$19*c_Calculations!AY313+c_Calculations!AY$20*c_Calculations!AY323+c_Calculations!AY$21*c_Calculations!AY333+c_Calculations!AY$22*c_Calculations!AY343+c_Calculations!AY$23*c_Calculations!AY353+c_Calculations!AY$24*c_Calculations!AY363)</f>
        <v/>
      </c>
      <c r="AZ375" s="268">
        <f>IF(AZ$7="Actual","",AZ273*c_Calculations!AZ$15+c_Calculations!AZ$16*c_Calculations!AZ283+c_Calculations!$T21*c_Calculations!AZ293+c_Calculations!AZ$18*c_Calculations!AZ303+c_Calculations!AZ$19*c_Calculations!AZ313+c_Calculations!AZ$20*c_Calculations!AZ323+c_Calculations!AZ$21*c_Calculations!AZ333+c_Calculations!AZ$22*c_Calculations!AZ343+c_Calculations!AZ$23*c_Calculations!AZ353+c_Calculations!AZ$24*c_Calculations!AZ363)</f>
        <v/>
      </c>
      <c r="BA375" s="268">
        <f>IF(BA$7="Actual","",BA273*c_Calculations!BA$15+c_Calculations!BA$16*c_Calculations!BA283+c_Calculations!$T21*c_Calculations!BA293+c_Calculations!BA$18*c_Calculations!BA303+c_Calculations!BA$19*c_Calculations!BA313+c_Calculations!BA$20*c_Calculations!BA323+c_Calculations!BA$21*c_Calculations!BA333+c_Calculations!BA$22*c_Calculations!BA343+c_Calculations!BA$23*c_Calculations!BA353+c_Calculations!BA$24*c_Calculations!BA363)</f>
        <v/>
      </c>
      <c r="BB375" s="268">
        <f>IF(BB$7="Actual","",BB273*c_Calculations!BB$15+c_Calculations!BB$16*c_Calculations!BB283+c_Calculations!$T21*c_Calculations!BB293+c_Calculations!BB$18*c_Calculations!BB303+c_Calculations!BB$19*c_Calculations!BB313+c_Calculations!BB$20*c_Calculations!BB323+c_Calculations!BB$21*c_Calculations!BB333+c_Calculations!BB$22*c_Calculations!BB343+c_Calculations!BB$23*c_Calculations!BB353+c_Calculations!BB$24*c_Calculations!BB363)</f>
        <v/>
      </c>
      <c r="BC375" s="268">
        <f>IF(BC$7="Actual","",BC273*c_Calculations!BC$15+c_Calculations!BC$16*c_Calculations!BC283+c_Calculations!$T21*c_Calculations!BC293+c_Calculations!BC$18*c_Calculations!BC303+c_Calculations!BC$19*c_Calculations!BC313+c_Calculations!BC$20*c_Calculations!BC323+c_Calculations!BC$21*c_Calculations!BC333+c_Calculations!BC$22*c_Calculations!BC343+c_Calculations!BC$23*c_Calculations!BC353+c_Calculations!BC$24*c_Calculations!BC363)</f>
        <v/>
      </c>
      <c r="BD375" s="268">
        <f>IF(BD$7="Actual","",BD273*c_Calculations!BD$15+c_Calculations!BD$16*c_Calculations!BD283+c_Calculations!$T21*c_Calculations!BD293+c_Calculations!BD$18*c_Calculations!BD303+c_Calculations!BD$19*c_Calculations!BD313+c_Calculations!BD$20*c_Calculations!BD323+c_Calculations!BD$21*c_Calculations!BD333+c_Calculations!BD$22*c_Calculations!BD343+c_Calculations!BD$23*c_Calculations!BD353+c_Calculations!BD$24*c_Calculations!BD363)</f>
        <v/>
      </c>
      <c r="BE375" s="268">
        <f>IF(BE$7="Actual","",BE273*c_Calculations!BE$15+c_Calculations!BE$16*c_Calculations!BE283+c_Calculations!$T21*c_Calculations!BE293+c_Calculations!BE$18*c_Calculations!BE303+c_Calculations!BE$19*c_Calculations!BE313+c_Calculations!BE$20*c_Calculations!BE323+c_Calculations!BE$21*c_Calculations!BE333+c_Calculations!BE$22*c_Calculations!BE343+c_Calculations!BE$23*c_Calculations!BE353+c_Calculations!BE$24*c_Calculations!BE363)</f>
        <v/>
      </c>
      <c r="BF375" s="268">
        <f>IF(BF$7="Actual","",BF273*c_Calculations!BF$15+c_Calculations!BF$16*c_Calculations!BF283+c_Calculations!$T21*c_Calculations!BF293+c_Calculations!BF$18*c_Calculations!BF303+c_Calculations!BF$19*c_Calculations!BF313+c_Calculations!BF$20*c_Calculations!BF323+c_Calculations!BF$21*c_Calculations!BF333+c_Calculations!BF$22*c_Calculations!BF343+c_Calculations!BF$23*c_Calculations!BF353+c_Calculations!BF$24*c_Calculations!BF363)</f>
        <v/>
      </c>
      <c r="BG375" s="268">
        <f>IF(BG$7="Actual","",BG273*c_Calculations!BG$15+c_Calculations!BG$16*c_Calculations!BG283+c_Calculations!$T21*c_Calculations!BG293+c_Calculations!BG$18*c_Calculations!BG303+c_Calculations!BG$19*c_Calculations!BG313+c_Calculations!BG$20*c_Calculations!BG323+c_Calculations!BG$21*c_Calculations!BG333+c_Calculations!BG$22*c_Calculations!BG343+c_Calculations!BG$23*c_Calculations!BG353+c_Calculations!BG$24*c_Calculations!BG363)</f>
        <v/>
      </c>
      <c r="BH375" s="268">
        <f>IF(BH$7="Actual","",BH273*c_Calculations!BH$15+c_Calculations!BH$16*c_Calculations!BH283+c_Calculations!$T21*c_Calculations!BH293+c_Calculations!BH$18*c_Calculations!BH303+c_Calculations!BH$19*c_Calculations!BH313+c_Calculations!BH$20*c_Calculations!BH323+c_Calculations!BH$21*c_Calculations!BH333+c_Calculations!BH$22*c_Calculations!BH343+c_Calculations!BH$23*c_Calculations!BH353+c_Calculations!BH$24*c_Calculations!BH363)</f>
        <v/>
      </c>
      <c r="BI375" s="268">
        <f>IF(BI$7="Actual","",BI273*c_Calculations!BI$15+c_Calculations!BI$16*c_Calculations!BI283+c_Calculations!$T21*c_Calculations!BI293+c_Calculations!BI$18*c_Calculations!BI303+c_Calculations!BI$19*c_Calculations!BI313+c_Calculations!BI$20*c_Calculations!BI323+c_Calculations!BI$21*c_Calculations!BI333+c_Calculations!BI$22*c_Calculations!BI343+c_Calculations!BI$23*c_Calculations!BI353+c_Calculations!BI$24*c_Calculations!BI363)</f>
        <v/>
      </c>
      <c r="BJ375" s="268">
        <f>IF(BJ$7="Actual","",BJ273*c_Calculations!BJ$15+c_Calculations!BJ$16*c_Calculations!BJ283+c_Calculations!$T21*c_Calculations!BJ293+c_Calculations!BJ$18*c_Calculations!BJ303+c_Calculations!BJ$19*c_Calculations!BJ313+c_Calculations!BJ$20*c_Calculations!BJ323+c_Calculations!BJ$21*c_Calculations!BJ333+c_Calculations!BJ$22*c_Calculations!BJ343+c_Calculations!BJ$23*c_Calculations!BJ353+c_Calculations!BJ$24*c_Calculations!BJ363)</f>
        <v/>
      </c>
      <c r="BK375" s="268">
        <f>IF(BK$7="Actual","",BK273*c_Calculations!BK$15+c_Calculations!BK$16*c_Calculations!BK283+c_Calculations!$T21*c_Calculations!BK293+c_Calculations!BK$18*c_Calculations!BK303+c_Calculations!BK$19*c_Calculations!BK313+c_Calculations!BK$20*c_Calculations!BK323+c_Calculations!BK$21*c_Calculations!BK333+c_Calculations!BK$22*c_Calculations!BK343+c_Calculations!BK$23*c_Calculations!BK353+c_Calculations!BK$24*c_Calculations!BK363)</f>
        <v/>
      </c>
      <c r="BL375" s="268">
        <f>IF(BL$7="Actual","",BL273*c_Calculations!BL$15+c_Calculations!BL$16*c_Calculations!BL283+c_Calculations!$T21*c_Calculations!BL293+c_Calculations!BL$18*c_Calculations!BL303+c_Calculations!BL$19*c_Calculations!BL313+c_Calculations!BL$20*c_Calculations!BL323+c_Calculations!BL$21*c_Calculations!BL333+c_Calculations!BL$22*c_Calculations!BL343+c_Calculations!BL$23*c_Calculations!BL353+c_Calculations!BL$24*c_Calculations!BL363)</f>
        <v/>
      </c>
      <c r="BM375" s="268">
        <f>IF(BM$7="Actual","",BM273*c_Calculations!BM$15+c_Calculations!BM$16*c_Calculations!BM283+c_Calculations!$T21*c_Calculations!BM293+c_Calculations!BM$18*c_Calculations!BM303+c_Calculations!BM$19*c_Calculations!BM313+c_Calculations!BM$20*c_Calculations!BM323+c_Calculations!BM$21*c_Calculations!BM333+c_Calculations!BM$22*c_Calculations!BM343+c_Calculations!BM$23*c_Calculations!BM353+c_Calculations!BM$24*c_Calculations!BM363)</f>
        <v/>
      </c>
      <c r="BN375" s="268">
        <f>IF(BN$7="Actual","",BN273*c_Calculations!BN$15+c_Calculations!BN$16*c_Calculations!BN283+c_Calculations!$T21*c_Calculations!BN293+c_Calculations!BN$18*c_Calculations!BN303+c_Calculations!BN$19*c_Calculations!BN313+c_Calculations!BN$20*c_Calculations!BN323+c_Calculations!BN$21*c_Calculations!BN333+c_Calculations!BN$22*c_Calculations!BN343+c_Calculations!BN$23*c_Calculations!BN353+c_Calculations!BN$24*c_Calculations!BN363)</f>
        <v/>
      </c>
      <c r="BO375" s="268">
        <f>IF(BO$7="Actual","",BO273*c_Calculations!BO$15+c_Calculations!BO$16*c_Calculations!BO283+c_Calculations!$T21*c_Calculations!BO293+c_Calculations!BO$18*c_Calculations!BO303+c_Calculations!BO$19*c_Calculations!BO313+c_Calculations!BO$20*c_Calculations!BO323+c_Calculations!BO$21*c_Calculations!BO333+c_Calculations!BO$22*c_Calculations!BO343+c_Calculations!BO$23*c_Calculations!BO353+c_Calculations!BO$24*c_Calculations!BO363)</f>
        <v/>
      </c>
      <c r="BP375" s="268">
        <f>IF(BP$7="Actual","",BP273*c_Calculations!BP$15+c_Calculations!BP$16*c_Calculations!BP283+c_Calculations!$T21*c_Calculations!BP293+c_Calculations!BP$18*c_Calculations!BP303+c_Calculations!BP$19*c_Calculations!BP313+c_Calculations!BP$20*c_Calculations!BP323+c_Calculations!BP$21*c_Calculations!BP333+c_Calculations!BP$22*c_Calculations!BP343+c_Calculations!BP$23*c_Calculations!BP353+c_Calculations!BP$24*c_Calculations!BP363)</f>
        <v/>
      </c>
      <c r="BQ375" s="268">
        <f>IF(BQ$7="Actual","",BQ273*c_Calculations!BQ$15+c_Calculations!BQ$16*c_Calculations!BQ283+c_Calculations!$T21*c_Calculations!BQ293+c_Calculations!BQ$18*c_Calculations!BQ303+c_Calculations!BQ$19*c_Calculations!BQ313+c_Calculations!BQ$20*c_Calculations!BQ323+c_Calculations!BQ$21*c_Calculations!BQ333+c_Calculations!BQ$22*c_Calculations!BQ343+c_Calculations!BQ$23*c_Calculations!BQ353+c_Calculations!BQ$24*c_Calculations!BQ363)</f>
        <v/>
      </c>
      <c r="BR375" s="268">
        <f>IF(BR$7="Actual","",BR273*c_Calculations!BR$15+c_Calculations!BR$16*c_Calculations!BR283+c_Calculations!$T21*c_Calculations!BR293+c_Calculations!BR$18*c_Calculations!BR303+c_Calculations!BR$19*c_Calculations!BR313+c_Calculations!BR$20*c_Calculations!BR323+c_Calculations!BR$21*c_Calculations!BR333+c_Calculations!BR$22*c_Calculations!BR343+c_Calculations!BR$23*c_Calculations!BR353+c_Calculations!BR$24*c_Calculations!BR363)</f>
        <v/>
      </c>
      <c r="BS375" s="268">
        <f>IF(BS$7="Actual","",BS273*c_Calculations!BS$15+c_Calculations!BS$16*c_Calculations!BS283+c_Calculations!$T21*c_Calculations!BS293+c_Calculations!BS$18*c_Calculations!BS303+c_Calculations!BS$19*c_Calculations!BS313+c_Calculations!BS$20*c_Calculations!BS323+c_Calculations!BS$21*c_Calculations!BS333+c_Calculations!BS$22*c_Calculations!BS343+c_Calculations!BS$23*c_Calculations!BS353+c_Calculations!BS$24*c_Calculations!BS363)</f>
        <v/>
      </c>
      <c r="BT375" s="268">
        <f>IF(BT$7="Actual","",BT273*c_Calculations!BT$15+c_Calculations!BT$16*c_Calculations!BT283+c_Calculations!$T21*c_Calculations!BT293+c_Calculations!BT$18*c_Calculations!BT303+c_Calculations!BT$19*c_Calculations!BT313+c_Calculations!BT$20*c_Calculations!BT323+c_Calculations!BT$21*c_Calculations!BT333+c_Calculations!BT$22*c_Calculations!BT343+c_Calculations!BT$23*c_Calculations!BT353+c_Calculations!BT$24*c_Calculations!BT363)</f>
        <v/>
      </c>
      <c r="BU375" s="268">
        <f>IF(BU$7="Actual","",BU273*c_Calculations!BU$15+c_Calculations!BU$16*c_Calculations!BU283+c_Calculations!$T21*c_Calculations!BU293+c_Calculations!BU$18*c_Calculations!BU303+c_Calculations!BU$19*c_Calculations!BU313+c_Calculations!BU$20*c_Calculations!BU323+c_Calculations!BU$21*c_Calculations!BU333+c_Calculations!BU$22*c_Calculations!BU343+c_Calculations!BU$23*c_Calculations!BU353+c_Calculations!BU$24*c_Calculations!BU363)</f>
        <v/>
      </c>
      <c r="BV375" s="268">
        <f>IF(BV$7="Actual","",BV273*c_Calculations!BV$15+c_Calculations!BV$16*c_Calculations!BV283+c_Calculations!$T21*c_Calculations!BV293+c_Calculations!BV$18*c_Calculations!BV303+c_Calculations!BV$19*c_Calculations!BV313+c_Calculations!BV$20*c_Calculations!BV323+c_Calculations!BV$21*c_Calculations!BV333+c_Calculations!BV$22*c_Calculations!BV343+c_Calculations!BV$23*c_Calculations!BV353+c_Calculations!BV$24*c_Calculations!BV363)</f>
        <v/>
      </c>
      <c r="BW375" s="268">
        <f>IF(BW$7="Actual","",BW273*c_Calculations!BW$15+c_Calculations!BW$16*c_Calculations!BW283+c_Calculations!$T21*c_Calculations!BW293+c_Calculations!BW$18*c_Calculations!BW303+c_Calculations!BW$19*c_Calculations!BW313+c_Calculations!BW$20*c_Calculations!BW323+c_Calculations!BW$21*c_Calculations!BW333+c_Calculations!BW$22*c_Calculations!BW343+c_Calculations!BW$23*c_Calculations!BW353+c_Calculations!BW$24*c_Calculations!BW363)</f>
        <v/>
      </c>
      <c r="BX375" s="268">
        <f>IF(BX$7="Actual","",BX273*c_Calculations!BX$15+c_Calculations!BX$16*c_Calculations!BX283+c_Calculations!$T21*c_Calculations!BX293+c_Calculations!BX$18*c_Calculations!BX303+c_Calculations!BX$19*c_Calculations!BX313+c_Calculations!BX$20*c_Calculations!BX323+c_Calculations!BX$21*c_Calculations!BX333+c_Calculations!BX$22*c_Calculations!BX343+c_Calculations!BX$23*c_Calculations!BX353+c_Calculations!BX$24*c_Calculations!BX363)</f>
        <v/>
      </c>
      <c r="BY375" s="268">
        <f>IF(BY$7="Actual","",BY273*c_Calculations!BY$15+c_Calculations!BY$16*c_Calculations!BY283+c_Calculations!$T21*c_Calculations!BY293+c_Calculations!BY$18*c_Calculations!BY303+c_Calculations!BY$19*c_Calculations!BY313+c_Calculations!BY$20*c_Calculations!BY323+c_Calculations!BY$21*c_Calculations!BY333+c_Calculations!BY$22*c_Calculations!BY343+c_Calculations!BY$23*c_Calculations!BY353+c_Calculations!BY$24*c_Calculations!BY363)</f>
        <v/>
      </c>
      <c r="BZ375" s="268">
        <f>IF(BZ$7="Actual","",BZ273*c_Calculations!BZ$15+c_Calculations!BZ$16*c_Calculations!BZ283+c_Calculations!$T21*c_Calculations!BZ293+c_Calculations!BZ$18*c_Calculations!BZ303+c_Calculations!BZ$19*c_Calculations!BZ313+c_Calculations!BZ$20*c_Calculations!BZ323+c_Calculations!BZ$21*c_Calculations!BZ333+c_Calculations!BZ$22*c_Calculations!BZ343+c_Calculations!BZ$23*c_Calculations!BZ353+c_Calculations!BZ$24*c_Calculations!BZ363)</f>
        <v/>
      </c>
      <c r="CA375" s="268">
        <f>IF(CA$7="Actual","",CA273*c_Calculations!CA$15+c_Calculations!CA$16*c_Calculations!CA283+c_Calculations!$T21*c_Calculations!CA293+c_Calculations!CA$18*c_Calculations!CA303+c_Calculations!CA$19*c_Calculations!CA313+c_Calculations!CA$20*c_Calculations!CA323+c_Calculations!CA$21*c_Calculations!CA333+c_Calculations!CA$22*c_Calculations!CA343+c_Calculations!CA$23*c_Calculations!CA353+c_Calculations!CA$24*c_Calculations!CA363)</f>
        <v/>
      </c>
      <c r="CB375" s="268" t="n"/>
    </row>
    <row r="376" ht="12" customHeight="1" s="227">
      <c r="A376" s="244" t="n"/>
      <c r="B376" s="244" t="n"/>
      <c r="C376" s="244" t="n"/>
      <c r="H376" s="4">
        <f>H364</f>
        <v/>
      </c>
      <c r="I376" s="27" t="inlineStr">
        <is>
          <t>no</t>
        </is>
      </c>
      <c r="K376" s="6" t="n"/>
      <c r="M376" s="245">
        <f>SUMIF($T$2:$CA$2,M$2,$T376:$CA376)</f>
        <v/>
      </c>
      <c r="N376" s="245">
        <f>SUMIF($T$2:$CA$2,N$2,$T376:$CA376)</f>
        <v/>
      </c>
      <c r="O376" s="245">
        <f>SUMIF($T$2:$CA$2,O$2,$T376:$CA376)</f>
        <v/>
      </c>
      <c r="P376" s="245">
        <f>SUMIF($T$2:$CA$2,P$2,$T376:$CA376)</f>
        <v/>
      </c>
      <c r="Q376" s="245">
        <f>SUMIF($T$2:$CA$2,Q$2,$T376:$CA376)</f>
        <v/>
      </c>
      <c r="R376" s="268" t="n"/>
      <c r="S376" s="268" t="n"/>
      <c r="T376" s="268">
        <f>IF(T$7="Actual","",T274*c_Calculations!T$15+c_Calculations!T$16*c_Calculations!T284+c_Calculations!$T22*c_Calculations!T294+c_Calculations!T$18*c_Calculations!T304+c_Calculations!T$19*c_Calculations!T314+c_Calculations!T$20*c_Calculations!T324+c_Calculations!T$21*c_Calculations!T334+c_Calculations!T$22*c_Calculations!T344+c_Calculations!T$23*c_Calculations!T354+c_Calculations!T$24*c_Calculations!T364)</f>
        <v/>
      </c>
      <c r="U376" s="268">
        <f>IF(U$7="Actual","",U274*c_Calculations!U$15+c_Calculations!U$16*c_Calculations!U284+c_Calculations!$T22*c_Calculations!U294+c_Calculations!U$18*c_Calculations!U304+c_Calculations!U$19*c_Calculations!U314+c_Calculations!U$20*c_Calculations!U324+c_Calculations!U$21*c_Calculations!U334+c_Calculations!U$22*c_Calculations!U344+c_Calculations!U$23*c_Calculations!U354+c_Calculations!U$24*c_Calculations!U364)</f>
        <v/>
      </c>
      <c r="V376" s="268">
        <f>IF(V$7="Actual","",V274*c_Calculations!V$15+c_Calculations!V$16*c_Calculations!V284+c_Calculations!$T22*c_Calculations!V294+c_Calculations!V$18*c_Calculations!V304+c_Calculations!V$19*c_Calculations!V314+c_Calculations!V$20*c_Calculations!V324+c_Calculations!V$21*c_Calculations!V334+c_Calculations!V$22*c_Calculations!V344+c_Calculations!V$23*c_Calculations!V354+c_Calculations!V$24*c_Calculations!V364)</f>
        <v/>
      </c>
      <c r="W376" s="268">
        <f>IF(W$7="Actual","",W274*c_Calculations!W$15+c_Calculations!W$16*c_Calculations!W284+c_Calculations!$T22*c_Calculations!W294+c_Calculations!W$18*c_Calculations!W304+c_Calculations!W$19*c_Calculations!W314+c_Calculations!W$20*c_Calculations!W324+c_Calculations!W$21*c_Calculations!W334+c_Calculations!W$22*c_Calculations!W344+c_Calculations!W$23*c_Calculations!W354+c_Calculations!W$24*c_Calculations!W364)</f>
        <v/>
      </c>
      <c r="X376" s="268">
        <f>IF(X$7="Actual","",X274*c_Calculations!X$15+c_Calculations!X$16*c_Calculations!X284+c_Calculations!$T22*c_Calculations!X294+c_Calculations!X$18*c_Calculations!X304+c_Calculations!X$19*c_Calculations!X314+c_Calculations!X$20*c_Calculations!X324+c_Calculations!X$21*c_Calculations!X334+c_Calculations!X$22*c_Calculations!X344+c_Calculations!X$23*c_Calculations!X354+c_Calculations!X$24*c_Calculations!X364)</f>
        <v/>
      </c>
      <c r="Y376" s="268">
        <f>IF(Y$7="Actual","",Y274*c_Calculations!Y$15+c_Calculations!Y$16*c_Calculations!Y284+c_Calculations!$T22*c_Calculations!Y294+c_Calculations!Y$18*c_Calculations!Y304+c_Calculations!Y$19*c_Calculations!Y314+c_Calculations!Y$20*c_Calculations!Y324+c_Calculations!Y$21*c_Calculations!Y334+c_Calculations!Y$22*c_Calculations!Y344+c_Calculations!Y$23*c_Calculations!Y354+c_Calculations!Y$24*c_Calculations!Y364)</f>
        <v/>
      </c>
      <c r="Z376" s="268">
        <f>IF(Z$7="Actual","",Z274*c_Calculations!Z$15+c_Calculations!Z$16*c_Calculations!Z284+c_Calculations!$T22*c_Calculations!Z294+c_Calculations!Z$18*c_Calculations!Z304+c_Calculations!Z$19*c_Calculations!Z314+c_Calculations!Z$20*c_Calculations!Z324+c_Calculations!Z$21*c_Calculations!Z334+c_Calculations!Z$22*c_Calculations!Z344+c_Calculations!Z$23*c_Calculations!Z354+c_Calculations!Z$24*c_Calculations!Z364)</f>
        <v/>
      </c>
      <c r="AA376" s="268">
        <f>IF(AA$7="Actual","",AA274*c_Calculations!AA$15+c_Calculations!AA$16*c_Calculations!AA284+c_Calculations!$T22*c_Calculations!AA294+c_Calculations!AA$18*c_Calculations!AA304+c_Calculations!AA$19*c_Calculations!AA314+c_Calculations!AA$20*c_Calculations!AA324+c_Calculations!AA$21*c_Calculations!AA334+c_Calculations!AA$22*c_Calculations!AA344+c_Calculations!AA$23*c_Calculations!AA354+c_Calculations!AA$24*c_Calculations!AA364)</f>
        <v/>
      </c>
      <c r="AB376" s="268">
        <f>IF(AB$7="Actual","",AB274*c_Calculations!AB$15+c_Calculations!AB$16*c_Calculations!AB284+c_Calculations!$T22*c_Calculations!AB294+c_Calculations!AB$18*c_Calculations!AB304+c_Calculations!AB$19*c_Calculations!AB314+c_Calculations!AB$20*c_Calculations!AB324+c_Calculations!AB$21*c_Calculations!AB334+c_Calculations!AB$22*c_Calculations!AB344+c_Calculations!AB$23*c_Calculations!AB354+c_Calculations!AB$24*c_Calculations!AB364)</f>
        <v/>
      </c>
      <c r="AC376" s="268">
        <f>IF(AC$7="Actual","",AC274*c_Calculations!AC$15+c_Calculations!AC$16*c_Calculations!AC284+c_Calculations!$T22*c_Calculations!AC294+c_Calculations!AC$18*c_Calculations!AC304+c_Calculations!AC$19*c_Calculations!AC314+c_Calculations!AC$20*c_Calculations!AC324+c_Calculations!AC$21*c_Calculations!AC334+c_Calculations!AC$22*c_Calculations!AC344+c_Calculations!AC$23*c_Calculations!AC354+c_Calculations!AC$24*c_Calculations!AC364)</f>
        <v/>
      </c>
      <c r="AD376" s="268">
        <f>IF(AD$7="Actual","",AD274*c_Calculations!AD$15+c_Calculations!AD$16*c_Calculations!AD284+c_Calculations!$T22*c_Calculations!AD294+c_Calculations!AD$18*c_Calculations!AD304+c_Calculations!AD$19*c_Calculations!AD314+c_Calculations!AD$20*c_Calculations!AD324+c_Calculations!AD$21*c_Calculations!AD334+c_Calculations!AD$22*c_Calculations!AD344+c_Calculations!AD$23*c_Calculations!AD354+c_Calculations!AD$24*c_Calculations!AD364)</f>
        <v/>
      </c>
      <c r="AE376" s="268">
        <f>IF(AE$7="Actual","",AE274*c_Calculations!AE$15+c_Calculations!AE$16*c_Calculations!AE284+c_Calculations!$T22*c_Calculations!AE294+c_Calculations!AE$18*c_Calculations!AE304+c_Calculations!AE$19*c_Calculations!AE314+c_Calculations!AE$20*c_Calculations!AE324+c_Calculations!AE$21*c_Calculations!AE334+c_Calculations!AE$22*c_Calculations!AE344+c_Calculations!AE$23*c_Calculations!AE354+c_Calculations!AE$24*c_Calculations!AE364)</f>
        <v/>
      </c>
      <c r="AF376" s="268">
        <f>IF(AF$7="Actual","",AF274*c_Calculations!AF$15+c_Calculations!AF$16*c_Calculations!AF284+c_Calculations!$T22*c_Calculations!AF294+c_Calculations!AF$18*c_Calculations!AF304+c_Calculations!AF$19*c_Calculations!AF314+c_Calculations!AF$20*c_Calculations!AF324+c_Calculations!AF$21*c_Calculations!AF334+c_Calculations!AF$22*c_Calculations!AF344+c_Calculations!AF$23*c_Calculations!AF354+c_Calculations!AF$24*c_Calculations!AF364)</f>
        <v/>
      </c>
      <c r="AG376" s="268">
        <f>IF(AG$7="Actual","",AG274*c_Calculations!AG$15+c_Calculations!AG$16*c_Calculations!AG284+c_Calculations!$T22*c_Calculations!AG294+c_Calculations!AG$18*c_Calculations!AG304+c_Calculations!AG$19*c_Calculations!AG314+c_Calculations!AG$20*c_Calculations!AG324+c_Calculations!AG$21*c_Calculations!AG334+c_Calculations!AG$22*c_Calculations!AG344+c_Calculations!AG$23*c_Calculations!AG354+c_Calculations!AG$24*c_Calculations!AG364)</f>
        <v/>
      </c>
      <c r="AH376" s="268">
        <f>IF(AH$7="Actual","",AH274*c_Calculations!AH$15+c_Calculations!AH$16*c_Calculations!AH284+c_Calculations!$T22*c_Calculations!AH294+c_Calculations!AH$18*c_Calculations!AH304+c_Calculations!AH$19*c_Calculations!AH314+c_Calculations!AH$20*c_Calculations!AH324+c_Calculations!AH$21*c_Calculations!AH334+c_Calculations!AH$22*c_Calculations!AH344+c_Calculations!AH$23*c_Calculations!AH354+c_Calculations!AH$24*c_Calculations!AH364)</f>
        <v/>
      </c>
      <c r="AI376" s="268">
        <f>IF(AI$7="Actual","",AI274*c_Calculations!AI$15+c_Calculations!AI$16*c_Calculations!AI284+c_Calculations!$T22*c_Calculations!AI294+c_Calculations!AI$18*c_Calculations!AI304+c_Calculations!AI$19*c_Calculations!AI314+c_Calculations!AI$20*c_Calculations!AI324+c_Calculations!AI$21*c_Calculations!AI334+c_Calculations!AI$22*c_Calculations!AI344+c_Calculations!AI$23*c_Calculations!AI354+c_Calculations!AI$24*c_Calculations!AI364)</f>
        <v/>
      </c>
      <c r="AJ376" s="268">
        <f>IF(AJ$7="Actual","",AJ274*c_Calculations!AJ$15+c_Calculations!AJ$16*c_Calculations!AJ284+c_Calculations!$T22*c_Calculations!AJ294+c_Calculations!AJ$18*c_Calculations!AJ304+c_Calculations!AJ$19*c_Calculations!AJ314+c_Calculations!AJ$20*c_Calculations!AJ324+c_Calculations!AJ$21*c_Calculations!AJ334+c_Calculations!AJ$22*c_Calculations!AJ344+c_Calculations!AJ$23*c_Calculations!AJ354+c_Calculations!AJ$24*c_Calculations!AJ364)</f>
        <v/>
      </c>
      <c r="AK376" s="268">
        <f>IF(AK$7="Actual","",AK274*c_Calculations!AK$15+c_Calculations!AK$16*c_Calculations!AK284+c_Calculations!$T22*c_Calculations!AK294+c_Calculations!AK$18*c_Calculations!AK304+c_Calculations!AK$19*c_Calculations!AK314+c_Calculations!AK$20*c_Calculations!AK324+c_Calculations!AK$21*c_Calculations!AK334+c_Calculations!AK$22*c_Calculations!AK344+c_Calculations!AK$23*c_Calculations!AK354+c_Calculations!AK$24*c_Calculations!AK364)</f>
        <v/>
      </c>
      <c r="AL376" s="268">
        <f>IF(AL$7="Actual","",AL274*c_Calculations!AL$15+c_Calculations!AL$16*c_Calculations!AL284+c_Calculations!$T22*c_Calculations!AL294+c_Calculations!AL$18*c_Calculations!AL304+c_Calculations!AL$19*c_Calculations!AL314+c_Calculations!AL$20*c_Calculations!AL324+c_Calculations!AL$21*c_Calculations!AL334+c_Calculations!AL$22*c_Calculations!AL344+c_Calculations!AL$23*c_Calculations!AL354+c_Calculations!AL$24*c_Calculations!AL364)</f>
        <v/>
      </c>
      <c r="AM376" s="268">
        <f>IF(AM$7="Actual","",AM274*c_Calculations!AM$15+c_Calculations!AM$16*c_Calculations!AM284+c_Calculations!$T22*c_Calculations!AM294+c_Calculations!AM$18*c_Calculations!AM304+c_Calculations!AM$19*c_Calculations!AM314+c_Calculations!AM$20*c_Calculations!AM324+c_Calculations!AM$21*c_Calculations!AM334+c_Calculations!AM$22*c_Calculations!AM344+c_Calculations!AM$23*c_Calculations!AM354+c_Calculations!AM$24*c_Calculations!AM364)</f>
        <v/>
      </c>
      <c r="AN376" s="268">
        <f>IF(AN$7="Actual","",AN274*c_Calculations!AN$15+c_Calculations!AN$16*c_Calculations!AN284+c_Calculations!$T22*c_Calculations!AN294+c_Calculations!AN$18*c_Calculations!AN304+c_Calculations!AN$19*c_Calculations!AN314+c_Calculations!AN$20*c_Calculations!AN324+c_Calculations!AN$21*c_Calculations!AN334+c_Calculations!AN$22*c_Calculations!AN344+c_Calculations!AN$23*c_Calculations!AN354+c_Calculations!AN$24*c_Calculations!AN364)</f>
        <v/>
      </c>
      <c r="AO376" s="268">
        <f>IF(AO$7="Actual","",AO274*c_Calculations!AO$15+c_Calculations!AO$16*c_Calculations!AO284+c_Calculations!$T22*c_Calculations!AO294+c_Calculations!AO$18*c_Calculations!AO304+c_Calculations!AO$19*c_Calculations!AO314+c_Calculations!AO$20*c_Calculations!AO324+c_Calculations!AO$21*c_Calculations!AO334+c_Calculations!AO$22*c_Calculations!AO344+c_Calculations!AO$23*c_Calculations!AO354+c_Calculations!AO$24*c_Calculations!AO364)</f>
        <v/>
      </c>
      <c r="AP376" s="268">
        <f>IF(AP$7="Actual","",AP274*c_Calculations!AP$15+c_Calculations!AP$16*c_Calculations!AP284+c_Calculations!$T22*c_Calculations!AP294+c_Calculations!AP$18*c_Calculations!AP304+c_Calculations!AP$19*c_Calculations!AP314+c_Calculations!AP$20*c_Calculations!AP324+c_Calculations!AP$21*c_Calculations!AP334+c_Calculations!AP$22*c_Calculations!AP344+c_Calculations!AP$23*c_Calculations!AP354+c_Calculations!AP$24*c_Calculations!AP364)</f>
        <v/>
      </c>
      <c r="AQ376" s="268">
        <f>IF(AQ$7="Actual","",AQ274*c_Calculations!AQ$15+c_Calculations!AQ$16*c_Calculations!AQ284+c_Calculations!$T22*c_Calculations!AQ294+c_Calculations!AQ$18*c_Calculations!AQ304+c_Calculations!AQ$19*c_Calculations!AQ314+c_Calculations!AQ$20*c_Calculations!AQ324+c_Calculations!AQ$21*c_Calculations!AQ334+c_Calculations!AQ$22*c_Calculations!AQ344+c_Calculations!AQ$23*c_Calculations!AQ354+c_Calculations!AQ$24*c_Calculations!AQ364)</f>
        <v/>
      </c>
      <c r="AR376" s="268">
        <f>IF(AR$7="Actual","",AR274*c_Calculations!AR$15+c_Calculations!AR$16*c_Calculations!AR284+c_Calculations!$T22*c_Calculations!AR294+c_Calculations!AR$18*c_Calculations!AR304+c_Calculations!AR$19*c_Calculations!AR314+c_Calculations!AR$20*c_Calculations!AR324+c_Calculations!AR$21*c_Calculations!AR334+c_Calculations!AR$22*c_Calculations!AR344+c_Calculations!AR$23*c_Calculations!AR354+c_Calculations!AR$24*c_Calculations!AR364)</f>
        <v/>
      </c>
      <c r="AS376" s="268">
        <f>IF(AS$7="Actual","",AS274*c_Calculations!AS$15+c_Calculations!AS$16*c_Calculations!AS284+c_Calculations!$T22*c_Calculations!AS294+c_Calculations!AS$18*c_Calculations!AS304+c_Calculations!AS$19*c_Calculations!AS314+c_Calculations!AS$20*c_Calculations!AS324+c_Calculations!AS$21*c_Calculations!AS334+c_Calculations!AS$22*c_Calculations!AS344+c_Calculations!AS$23*c_Calculations!AS354+c_Calculations!AS$24*c_Calculations!AS364)</f>
        <v/>
      </c>
      <c r="AT376" s="268">
        <f>IF(AT$7="Actual","",AT274*c_Calculations!AT$15+c_Calculations!AT$16*c_Calculations!AT284+c_Calculations!$T22*c_Calculations!AT294+c_Calculations!AT$18*c_Calculations!AT304+c_Calculations!AT$19*c_Calculations!AT314+c_Calculations!AT$20*c_Calculations!AT324+c_Calculations!AT$21*c_Calculations!AT334+c_Calculations!AT$22*c_Calculations!AT344+c_Calculations!AT$23*c_Calculations!AT354+c_Calculations!AT$24*c_Calculations!AT364)</f>
        <v/>
      </c>
      <c r="AU376" s="268">
        <f>IF(AU$7="Actual","",AU274*c_Calculations!AU$15+c_Calculations!AU$16*c_Calculations!AU284+c_Calculations!$T22*c_Calculations!AU294+c_Calculations!AU$18*c_Calculations!AU304+c_Calculations!AU$19*c_Calculations!AU314+c_Calculations!AU$20*c_Calculations!AU324+c_Calculations!AU$21*c_Calculations!AU334+c_Calculations!AU$22*c_Calculations!AU344+c_Calculations!AU$23*c_Calculations!AU354+c_Calculations!AU$24*c_Calculations!AU364)</f>
        <v/>
      </c>
      <c r="AV376" s="268">
        <f>IF(AV$7="Actual","",AV274*c_Calculations!AV$15+c_Calculations!AV$16*c_Calculations!AV284+c_Calculations!$T22*c_Calculations!AV294+c_Calculations!AV$18*c_Calculations!AV304+c_Calculations!AV$19*c_Calculations!AV314+c_Calculations!AV$20*c_Calculations!AV324+c_Calculations!AV$21*c_Calculations!AV334+c_Calculations!AV$22*c_Calculations!AV344+c_Calculations!AV$23*c_Calculations!AV354+c_Calculations!AV$24*c_Calculations!AV364)</f>
        <v/>
      </c>
      <c r="AW376" s="268">
        <f>IF(AW$7="Actual","",AW274*c_Calculations!AW$15+c_Calculations!AW$16*c_Calculations!AW284+c_Calculations!$T22*c_Calculations!AW294+c_Calculations!AW$18*c_Calculations!AW304+c_Calculations!AW$19*c_Calculations!AW314+c_Calculations!AW$20*c_Calculations!AW324+c_Calculations!AW$21*c_Calculations!AW334+c_Calculations!AW$22*c_Calculations!AW344+c_Calculations!AW$23*c_Calculations!AW354+c_Calculations!AW$24*c_Calculations!AW364)</f>
        <v/>
      </c>
      <c r="AX376" s="268">
        <f>IF(AX$7="Actual","",AX274*c_Calculations!AX$15+c_Calculations!AX$16*c_Calculations!AX284+c_Calculations!$T22*c_Calculations!AX294+c_Calculations!AX$18*c_Calculations!AX304+c_Calculations!AX$19*c_Calculations!AX314+c_Calculations!AX$20*c_Calculations!AX324+c_Calculations!AX$21*c_Calculations!AX334+c_Calculations!AX$22*c_Calculations!AX344+c_Calculations!AX$23*c_Calculations!AX354+c_Calculations!AX$24*c_Calculations!AX364)</f>
        <v/>
      </c>
      <c r="AY376" s="268">
        <f>IF(AY$7="Actual","",AY274*c_Calculations!AY$15+c_Calculations!AY$16*c_Calculations!AY284+c_Calculations!$T22*c_Calculations!AY294+c_Calculations!AY$18*c_Calculations!AY304+c_Calculations!AY$19*c_Calculations!AY314+c_Calculations!AY$20*c_Calculations!AY324+c_Calculations!AY$21*c_Calculations!AY334+c_Calculations!AY$22*c_Calculations!AY344+c_Calculations!AY$23*c_Calculations!AY354+c_Calculations!AY$24*c_Calculations!AY364)</f>
        <v/>
      </c>
      <c r="AZ376" s="268">
        <f>IF(AZ$7="Actual","",AZ274*c_Calculations!AZ$15+c_Calculations!AZ$16*c_Calculations!AZ284+c_Calculations!$T22*c_Calculations!AZ294+c_Calculations!AZ$18*c_Calculations!AZ304+c_Calculations!AZ$19*c_Calculations!AZ314+c_Calculations!AZ$20*c_Calculations!AZ324+c_Calculations!AZ$21*c_Calculations!AZ334+c_Calculations!AZ$22*c_Calculations!AZ344+c_Calculations!AZ$23*c_Calculations!AZ354+c_Calculations!AZ$24*c_Calculations!AZ364)</f>
        <v/>
      </c>
      <c r="BA376" s="268">
        <f>IF(BA$7="Actual","",BA274*c_Calculations!BA$15+c_Calculations!BA$16*c_Calculations!BA284+c_Calculations!$T22*c_Calculations!BA294+c_Calculations!BA$18*c_Calculations!BA304+c_Calculations!BA$19*c_Calculations!BA314+c_Calculations!BA$20*c_Calculations!BA324+c_Calculations!BA$21*c_Calculations!BA334+c_Calculations!BA$22*c_Calculations!BA344+c_Calculations!BA$23*c_Calculations!BA354+c_Calculations!BA$24*c_Calculations!BA364)</f>
        <v/>
      </c>
      <c r="BB376" s="268">
        <f>IF(BB$7="Actual","",BB274*c_Calculations!BB$15+c_Calculations!BB$16*c_Calculations!BB284+c_Calculations!$T22*c_Calculations!BB294+c_Calculations!BB$18*c_Calculations!BB304+c_Calculations!BB$19*c_Calculations!BB314+c_Calculations!BB$20*c_Calculations!BB324+c_Calculations!BB$21*c_Calculations!BB334+c_Calculations!BB$22*c_Calculations!BB344+c_Calculations!BB$23*c_Calculations!BB354+c_Calculations!BB$24*c_Calculations!BB364)</f>
        <v/>
      </c>
      <c r="BC376" s="268">
        <f>IF(BC$7="Actual","",BC274*c_Calculations!BC$15+c_Calculations!BC$16*c_Calculations!BC284+c_Calculations!$T22*c_Calculations!BC294+c_Calculations!BC$18*c_Calculations!BC304+c_Calculations!BC$19*c_Calculations!BC314+c_Calculations!BC$20*c_Calculations!BC324+c_Calculations!BC$21*c_Calculations!BC334+c_Calculations!BC$22*c_Calculations!BC344+c_Calculations!BC$23*c_Calculations!BC354+c_Calculations!BC$24*c_Calculations!BC364)</f>
        <v/>
      </c>
      <c r="BD376" s="268">
        <f>IF(BD$7="Actual","",BD274*c_Calculations!BD$15+c_Calculations!BD$16*c_Calculations!BD284+c_Calculations!$T22*c_Calculations!BD294+c_Calculations!BD$18*c_Calculations!BD304+c_Calculations!BD$19*c_Calculations!BD314+c_Calculations!BD$20*c_Calculations!BD324+c_Calculations!BD$21*c_Calculations!BD334+c_Calculations!BD$22*c_Calculations!BD344+c_Calculations!BD$23*c_Calculations!BD354+c_Calculations!BD$24*c_Calculations!BD364)</f>
        <v/>
      </c>
      <c r="BE376" s="268">
        <f>IF(BE$7="Actual","",BE274*c_Calculations!BE$15+c_Calculations!BE$16*c_Calculations!BE284+c_Calculations!$T22*c_Calculations!BE294+c_Calculations!BE$18*c_Calculations!BE304+c_Calculations!BE$19*c_Calculations!BE314+c_Calculations!BE$20*c_Calculations!BE324+c_Calculations!BE$21*c_Calculations!BE334+c_Calculations!BE$22*c_Calculations!BE344+c_Calculations!BE$23*c_Calculations!BE354+c_Calculations!BE$24*c_Calculations!BE364)</f>
        <v/>
      </c>
      <c r="BF376" s="268">
        <f>IF(BF$7="Actual","",BF274*c_Calculations!BF$15+c_Calculations!BF$16*c_Calculations!BF284+c_Calculations!$T22*c_Calculations!BF294+c_Calculations!BF$18*c_Calculations!BF304+c_Calculations!BF$19*c_Calculations!BF314+c_Calculations!BF$20*c_Calculations!BF324+c_Calculations!BF$21*c_Calculations!BF334+c_Calculations!BF$22*c_Calculations!BF344+c_Calculations!BF$23*c_Calculations!BF354+c_Calculations!BF$24*c_Calculations!BF364)</f>
        <v/>
      </c>
      <c r="BG376" s="268">
        <f>IF(BG$7="Actual","",BG274*c_Calculations!BG$15+c_Calculations!BG$16*c_Calculations!BG284+c_Calculations!$T22*c_Calculations!BG294+c_Calculations!BG$18*c_Calculations!BG304+c_Calculations!BG$19*c_Calculations!BG314+c_Calculations!BG$20*c_Calculations!BG324+c_Calculations!BG$21*c_Calculations!BG334+c_Calculations!BG$22*c_Calculations!BG344+c_Calculations!BG$23*c_Calculations!BG354+c_Calculations!BG$24*c_Calculations!BG364)</f>
        <v/>
      </c>
      <c r="BH376" s="268">
        <f>IF(BH$7="Actual","",BH274*c_Calculations!BH$15+c_Calculations!BH$16*c_Calculations!BH284+c_Calculations!$T22*c_Calculations!BH294+c_Calculations!BH$18*c_Calculations!BH304+c_Calculations!BH$19*c_Calculations!BH314+c_Calculations!BH$20*c_Calculations!BH324+c_Calculations!BH$21*c_Calculations!BH334+c_Calculations!BH$22*c_Calculations!BH344+c_Calculations!BH$23*c_Calculations!BH354+c_Calculations!BH$24*c_Calculations!BH364)</f>
        <v/>
      </c>
      <c r="BI376" s="268">
        <f>IF(BI$7="Actual","",BI274*c_Calculations!BI$15+c_Calculations!BI$16*c_Calculations!BI284+c_Calculations!$T22*c_Calculations!BI294+c_Calculations!BI$18*c_Calculations!BI304+c_Calculations!BI$19*c_Calculations!BI314+c_Calculations!BI$20*c_Calculations!BI324+c_Calculations!BI$21*c_Calculations!BI334+c_Calculations!BI$22*c_Calculations!BI344+c_Calculations!BI$23*c_Calculations!BI354+c_Calculations!BI$24*c_Calculations!BI364)</f>
        <v/>
      </c>
      <c r="BJ376" s="268">
        <f>IF(BJ$7="Actual","",BJ274*c_Calculations!BJ$15+c_Calculations!BJ$16*c_Calculations!BJ284+c_Calculations!$T22*c_Calculations!BJ294+c_Calculations!BJ$18*c_Calculations!BJ304+c_Calculations!BJ$19*c_Calculations!BJ314+c_Calculations!BJ$20*c_Calculations!BJ324+c_Calculations!BJ$21*c_Calculations!BJ334+c_Calculations!BJ$22*c_Calculations!BJ344+c_Calculations!BJ$23*c_Calculations!BJ354+c_Calculations!BJ$24*c_Calculations!BJ364)</f>
        <v/>
      </c>
      <c r="BK376" s="268">
        <f>IF(BK$7="Actual","",BK274*c_Calculations!BK$15+c_Calculations!BK$16*c_Calculations!BK284+c_Calculations!$T22*c_Calculations!BK294+c_Calculations!BK$18*c_Calculations!BK304+c_Calculations!BK$19*c_Calculations!BK314+c_Calculations!BK$20*c_Calculations!BK324+c_Calculations!BK$21*c_Calculations!BK334+c_Calculations!BK$22*c_Calculations!BK344+c_Calculations!BK$23*c_Calculations!BK354+c_Calculations!BK$24*c_Calculations!BK364)</f>
        <v/>
      </c>
      <c r="BL376" s="268">
        <f>IF(BL$7="Actual","",BL274*c_Calculations!BL$15+c_Calculations!BL$16*c_Calculations!BL284+c_Calculations!$T22*c_Calculations!BL294+c_Calculations!BL$18*c_Calculations!BL304+c_Calculations!BL$19*c_Calculations!BL314+c_Calculations!BL$20*c_Calculations!BL324+c_Calculations!BL$21*c_Calculations!BL334+c_Calculations!BL$22*c_Calculations!BL344+c_Calculations!BL$23*c_Calculations!BL354+c_Calculations!BL$24*c_Calculations!BL364)</f>
        <v/>
      </c>
      <c r="BM376" s="268">
        <f>IF(BM$7="Actual","",BM274*c_Calculations!BM$15+c_Calculations!BM$16*c_Calculations!BM284+c_Calculations!$T22*c_Calculations!BM294+c_Calculations!BM$18*c_Calculations!BM304+c_Calculations!BM$19*c_Calculations!BM314+c_Calculations!BM$20*c_Calculations!BM324+c_Calculations!BM$21*c_Calculations!BM334+c_Calculations!BM$22*c_Calculations!BM344+c_Calculations!BM$23*c_Calculations!BM354+c_Calculations!BM$24*c_Calculations!BM364)</f>
        <v/>
      </c>
      <c r="BN376" s="268">
        <f>IF(BN$7="Actual","",BN274*c_Calculations!BN$15+c_Calculations!BN$16*c_Calculations!BN284+c_Calculations!$T22*c_Calculations!BN294+c_Calculations!BN$18*c_Calculations!BN304+c_Calculations!BN$19*c_Calculations!BN314+c_Calculations!BN$20*c_Calculations!BN324+c_Calculations!BN$21*c_Calculations!BN334+c_Calculations!BN$22*c_Calculations!BN344+c_Calculations!BN$23*c_Calculations!BN354+c_Calculations!BN$24*c_Calculations!BN364)</f>
        <v/>
      </c>
      <c r="BO376" s="268">
        <f>IF(BO$7="Actual","",BO274*c_Calculations!BO$15+c_Calculations!BO$16*c_Calculations!BO284+c_Calculations!$T22*c_Calculations!BO294+c_Calculations!BO$18*c_Calculations!BO304+c_Calculations!BO$19*c_Calculations!BO314+c_Calculations!BO$20*c_Calculations!BO324+c_Calculations!BO$21*c_Calculations!BO334+c_Calculations!BO$22*c_Calculations!BO344+c_Calculations!BO$23*c_Calculations!BO354+c_Calculations!BO$24*c_Calculations!BO364)</f>
        <v/>
      </c>
      <c r="BP376" s="268">
        <f>IF(BP$7="Actual","",BP274*c_Calculations!BP$15+c_Calculations!BP$16*c_Calculations!BP284+c_Calculations!$T22*c_Calculations!BP294+c_Calculations!BP$18*c_Calculations!BP304+c_Calculations!BP$19*c_Calculations!BP314+c_Calculations!BP$20*c_Calculations!BP324+c_Calculations!BP$21*c_Calculations!BP334+c_Calculations!BP$22*c_Calculations!BP344+c_Calculations!BP$23*c_Calculations!BP354+c_Calculations!BP$24*c_Calculations!BP364)</f>
        <v/>
      </c>
      <c r="BQ376" s="268">
        <f>IF(BQ$7="Actual","",BQ274*c_Calculations!BQ$15+c_Calculations!BQ$16*c_Calculations!BQ284+c_Calculations!$T22*c_Calculations!BQ294+c_Calculations!BQ$18*c_Calculations!BQ304+c_Calculations!BQ$19*c_Calculations!BQ314+c_Calculations!BQ$20*c_Calculations!BQ324+c_Calculations!BQ$21*c_Calculations!BQ334+c_Calculations!BQ$22*c_Calculations!BQ344+c_Calculations!BQ$23*c_Calculations!BQ354+c_Calculations!BQ$24*c_Calculations!BQ364)</f>
        <v/>
      </c>
      <c r="BR376" s="268">
        <f>IF(BR$7="Actual","",BR274*c_Calculations!BR$15+c_Calculations!BR$16*c_Calculations!BR284+c_Calculations!$T22*c_Calculations!BR294+c_Calculations!BR$18*c_Calculations!BR304+c_Calculations!BR$19*c_Calculations!BR314+c_Calculations!BR$20*c_Calculations!BR324+c_Calculations!BR$21*c_Calculations!BR334+c_Calculations!BR$22*c_Calculations!BR344+c_Calculations!BR$23*c_Calculations!BR354+c_Calculations!BR$24*c_Calculations!BR364)</f>
        <v/>
      </c>
      <c r="BS376" s="268">
        <f>IF(BS$7="Actual","",BS274*c_Calculations!BS$15+c_Calculations!BS$16*c_Calculations!BS284+c_Calculations!$T22*c_Calculations!BS294+c_Calculations!BS$18*c_Calculations!BS304+c_Calculations!BS$19*c_Calculations!BS314+c_Calculations!BS$20*c_Calculations!BS324+c_Calculations!BS$21*c_Calculations!BS334+c_Calculations!BS$22*c_Calculations!BS344+c_Calculations!BS$23*c_Calculations!BS354+c_Calculations!BS$24*c_Calculations!BS364)</f>
        <v/>
      </c>
      <c r="BT376" s="268">
        <f>IF(BT$7="Actual","",BT274*c_Calculations!BT$15+c_Calculations!BT$16*c_Calculations!BT284+c_Calculations!$T22*c_Calculations!BT294+c_Calculations!BT$18*c_Calculations!BT304+c_Calculations!BT$19*c_Calculations!BT314+c_Calculations!BT$20*c_Calculations!BT324+c_Calculations!BT$21*c_Calculations!BT334+c_Calculations!BT$22*c_Calculations!BT344+c_Calculations!BT$23*c_Calculations!BT354+c_Calculations!BT$24*c_Calculations!BT364)</f>
        <v/>
      </c>
      <c r="BU376" s="268">
        <f>IF(BU$7="Actual","",BU274*c_Calculations!BU$15+c_Calculations!BU$16*c_Calculations!BU284+c_Calculations!$T22*c_Calculations!BU294+c_Calculations!BU$18*c_Calculations!BU304+c_Calculations!BU$19*c_Calculations!BU314+c_Calculations!BU$20*c_Calculations!BU324+c_Calculations!BU$21*c_Calculations!BU334+c_Calculations!BU$22*c_Calculations!BU344+c_Calculations!BU$23*c_Calculations!BU354+c_Calculations!BU$24*c_Calculations!BU364)</f>
        <v/>
      </c>
      <c r="BV376" s="268">
        <f>IF(BV$7="Actual","",BV274*c_Calculations!BV$15+c_Calculations!BV$16*c_Calculations!BV284+c_Calculations!$T22*c_Calculations!BV294+c_Calculations!BV$18*c_Calculations!BV304+c_Calculations!BV$19*c_Calculations!BV314+c_Calculations!BV$20*c_Calculations!BV324+c_Calculations!BV$21*c_Calculations!BV334+c_Calculations!BV$22*c_Calculations!BV344+c_Calculations!BV$23*c_Calculations!BV354+c_Calculations!BV$24*c_Calculations!BV364)</f>
        <v/>
      </c>
      <c r="BW376" s="268">
        <f>IF(BW$7="Actual","",BW274*c_Calculations!BW$15+c_Calculations!BW$16*c_Calculations!BW284+c_Calculations!$T22*c_Calculations!BW294+c_Calculations!BW$18*c_Calculations!BW304+c_Calculations!BW$19*c_Calculations!BW314+c_Calculations!BW$20*c_Calculations!BW324+c_Calculations!BW$21*c_Calculations!BW334+c_Calculations!BW$22*c_Calculations!BW344+c_Calculations!BW$23*c_Calculations!BW354+c_Calculations!BW$24*c_Calculations!BW364)</f>
        <v/>
      </c>
      <c r="BX376" s="268">
        <f>IF(BX$7="Actual","",BX274*c_Calculations!BX$15+c_Calculations!BX$16*c_Calculations!BX284+c_Calculations!$T22*c_Calculations!BX294+c_Calculations!BX$18*c_Calculations!BX304+c_Calculations!BX$19*c_Calculations!BX314+c_Calculations!BX$20*c_Calculations!BX324+c_Calculations!BX$21*c_Calculations!BX334+c_Calculations!BX$22*c_Calculations!BX344+c_Calculations!BX$23*c_Calculations!BX354+c_Calculations!BX$24*c_Calculations!BX364)</f>
        <v/>
      </c>
      <c r="BY376" s="268">
        <f>IF(BY$7="Actual","",BY274*c_Calculations!BY$15+c_Calculations!BY$16*c_Calculations!BY284+c_Calculations!$T22*c_Calculations!BY294+c_Calculations!BY$18*c_Calculations!BY304+c_Calculations!BY$19*c_Calculations!BY314+c_Calculations!BY$20*c_Calculations!BY324+c_Calculations!BY$21*c_Calculations!BY334+c_Calculations!BY$22*c_Calculations!BY344+c_Calculations!BY$23*c_Calculations!BY354+c_Calculations!BY$24*c_Calculations!BY364)</f>
        <v/>
      </c>
      <c r="BZ376" s="268">
        <f>IF(BZ$7="Actual","",BZ274*c_Calculations!BZ$15+c_Calculations!BZ$16*c_Calculations!BZ284+c_Calculations!$T22*c_Calculations!BZ294+c_Calculations!BZ$18*c_Calculations!BZ304+c_Calculations!BZ$19*c_Calculations!BZ314+c_Calculations!BZ$20*c_Calculations!BZ324+c_Calculations!BZ$21*c_Calculations!BZ334+c_Calculations!BZ$22*c_Calculations!BZ344+c_Calculations!BZ$23*c_Calculations!BZ354+c_Calculations!BZ$24*c_Calculations!BZ364)</f>
        <v/>
      </c>
      <c r="CA376" s="268">
        <f>IF(CA$7="Actual","",CA274*c_Calculations!CA$15+c_Calculations!CA$16*c_Calculations!CA284+c_Calculations!$T22*c_Calculations!CA294+c_Calculations!CA$18*c_Calculations!CA304+c_Calculations!CA$19*c_Calculations!CA314+c_Calculations!CA$20*c_Calculations!CA324+c_Calculations!CA$21*c_Calculations!CA334+c_Calculations!CA$22*c_Calculations!CA344+c_Calculations!CA$23*c_Calculations!CA354+c_Calculations!CA$24*c_Calculations!CA364)</f>
        <v/>
      </c>
      <c r="CB376" s="268" t="n"/>
    </row>
    <row r="377" ht="12" customHeight="1" s="227">
      <c r="A377" s="244" t="n"/>
      <c r="B377" s="244" t="n"/>
      <c r="C377" s="244" t="n"/>
      <c r="H377" s="4">
        <f>H365</f>
        <v/>
      </c>
      <c r="I377" s="27" t="inlineStr">
        <is>
          <t>no</t>
        </is>
      </c>
      <c r="K377" s="6" t="n"/>
      <c r="M377" s="245">
        <f>SUMIF($T$2:$CA$2,M$2,$T377:$CA377)</f>
        <v/>
      </c>
      <c r="N377" s="245">
        <f>SUMIF($T$2:$CA$2,N$2,$T377:$CA377)</f>
        <v/>
      </c>
      <c r="O377" s="245">
        <f>SUMIF($T$2:$CA$2,O$2,$T377:$CA377)</f>
        <v/>
      </c>
      <c r="P377" s="245">
        <f>SUMIF($T$2:$CA$2,P$2,$T377:$CA377)</f>
        <v/>
      </c>
      <c r="Q377" s="245">
        <f>SUMIF($T$2:$CA$2,Q$2,$T377:$CA377)</f>
        <v/>
      </c>
      <c r="R377" s="268" t="n"/>
      <c r="S377" s="268" t="n"/>
      <c r="T377" s="268">
        <f>IF(T$7="Actual","",T275*c_Calculations!T$15+c_Calculations!T$16*c_Calculations!T285+c_Calculations!$T23*c_Calculations!T295+c_Calculations!T$18*c_Calculations!T305+c_Calculations!T$19*c_Calculations!T315+c_Calculations!T$20*c_Calculations!T325+c_Calculations!T$21*c_Calculations!T335+c_Calculations!T$22*c_Calculations!T345+c_Calculations!T$23*c_Calculations!T355+c_Calculations!T$24*c_Calculations!T365)</f>
        <v/>
      </c>
      <c r="U377" s="268">
        <f>IF(U$7="Actual","",U275*c_Calculations!U$15+c_Calculations!U$16*c_Calculations!U285+c_Calculations!$T23*c_Calculations!U295+c_Calculations!U$18*c_Calculations!U305+c_Calculations!U$19*c_Calculations!U315+c_Calculations!U$20*c_Calculations!U325+c_Calculations!U$21*c_Calculations!U335+c_Calculations!U$22*c_Calculations!U345+c_Calculations!U$23*c_Calculations!U355+c_Calculations!U$24*c_Calculations!U365)</f>
        <v/>
      </c>
      <c r="V377" s="268">
        <f>IF(V$7="Actual","",V275*c_Calculations!V$15+c_Calculations!V$16*c_Calculations!V285+c_Calculations!$T23*c_Calculations!V295+c_Calculations!V$18*c_Calculations!V305+c_Calculations!V$19*c_Calculations!V315+c_Calculations!V$20*c_Calculations!V325+c_Calculations!V$21*c_Calculations!V335+c_Calculations!V$22*c_Calculations!V345+c_Calculations!V$23*c_Calculations!V355+c_Calculations!V$24*c_Calculations!V365)</f>
        <v/>
      </c>
      <c r="W377" s="268">
        <f>IF(W$7="Actual","",W275*c_Calculations!W$15+c_Calculations!W$16*c_Calculations!W285+c_Calculations!$T23*c_Calculations!W295+c_Calculations!W$18*c_Calculations!W305+c_Calculations!W$19*c_Calculations!W315+c_Calculations!W$20*c_Calculations!W325+c_Calculations!W$21*c_Calculations!W335+c_Calculations!W$22*c_Calculations!W345+c_Calculations!W$23*c_Calculations!W355+c_Calculations!W$24*c_Calculations!W365)</f>
        <v/>
      </c>
      <c r="X377" s="268">
        <f>IF(X$7="Actual","",X275*c_Calculations!X$15+c_Calculations!X$16*c_Calculations!X285+c_Calculations!$T23*c_Calculations!X295+c_Calculations!X$18*c_Calculations!X305+c_Calculations!X$19*c_Calculations!X315+c_Calculations!X$20*c_Calculations!X325+c_Calculations!X$21*c_Calculations!X335+c_Calculations!X$22*c_Calculations!X345+c_Calculations!X$23*c_Calculations!X355+c_Calculations!X$24*c_Calculations!X365)</f>
        <v/>
      </c>
      <c r="Y377" s="268">
        <f>IF(Y$7="Actual","",Y275*c_Calculations!Y$15+c_Calculations!Y$16*c_Calculations!Y285+c_Calculations!$T23*c_Calculations!Y295+c_Calculations!Y$18*c_Calculations!Y305+c_Calculations!Y$19*c_Calculations!Y315+c_Calculations!Y$20*c_Calculations!Y325+c_Calculations!Y$21*c_Calculations!Y335+c_Calculations!Y$22*c_Calculations!Y345+c_Calculations!Y$23*c_Calculations!Y355+c_Calculations!Y$24*c_Calculations!Y365)</f>
        <v/>
      </c>
      <c r="Z377" s="268">
        <f>IF(Z$7="Actual","",Z275*c_Calculations!Z$15+c_Calculations!Z$16*c_Calculations!Z285+c_Calculations!$T23*c_Calculations!Z295+c_Calculations!Z$18*c_Calculations!Z305+c_Calculations!Z$19*c_Calculations!Z315+c_Calculations!Z$20*c_Calculations!Z325+c_Calculations!Z$21*c_Calculations!Z335+c_Calculations!Z$22*c_Calculations!Z345+c_Calculations!Z$23*c_Calculations!Z355+c_Calculations!Z$24*c_Calculations!Z365)</f>
        <v/>
      </c>
      <c r="AA377" s="268">
        <f>IF(AA$7="Actual","",AA275*c_Calculations!AA$15+c_Calculations!AA$16*c_Calculations!AA285+c_Calculations!$T23*c_Calculations!AA295+c_Calculations!AA$18*c_Calculations!AA305+c_Calculations!AA$19*c_Calculations!AA315+c_Calculations!AA$20*c_Calculations!AA325+c_Calculations!AA$21*c_Calculations!AA335+c_Calculations!AA$22*c_Calculations!AA345+c_Calculations!AA$23*c_Calculations!AA355+c_Calculations!AA$24*c_Calculations!AA365)</f>
        <v/>
      </c>
      <c r="AB377" s="268">
        <f>IF(AB$7="Actual","",AB275*c_Calculations!AB$15+c_Calculations!AB$16*c_Calculations!AB285+c_Calculations!$T23*c_Calculations!AB295+c_Calculations!AB$18*c_Calculations!AB305+c_Calculations!AB$19*c_Calculations!AB315+c_Calculations!AB$20*c_Calculations!AB325+c_Calculations!AB$21*c_Calculations!AB335+c_Calculations!AB$22*c_Calculations!AB345+c_Calculations!AB$23*c_Calculations!AB355+c_Calculations!AB$24*c_Calculations!AB365)</f>
        <v/>
      </c>
      <c r="AC377" s="268">
        <f>IF(AC$7="Actual","",AC275*c_Calculations!AC$15+c_Calculations!AC$16*c_Calculations!AC285+c_Calculations!$T23*c_Calculations!AC295+c_Calculations!AC$18*c_Calculations!AC305+c_Calculations!AC$19*c_Calculations!AC315+c_Calculations!AC$20*c_Calculations!AC325+c_Calculations!AC$21*c_Calculations!AC335+c_Calculations!AC$22*c_Calculations!AC345+c_Calculations!AC$23*c_Calculations!AC355+c_Calculations!AC$24*c_Calculations!AC365)</f>
        <v/>
      </c>
      <c r="AD377" s="268">
        <f>IF(AD$7="Actual","",AD275*c_Calculations!AD$15+c_Calculations!AD$16*c_Calculations!AD285+c_Calculations!$T23*c_Calculations!AD295+c_Calculations!AD$18*c_Calculations!AD305+c_Calculations!AD$19*c_Calculations!AD315+c_Calculations!AD$20*c_Calculations!AD325+c_Calculations!AD$21*c_Calculations!AD335+c_Calculations!AD$22*c_Calculations!AD345+c_Calculations!AD$23*c_Calculations!AD355+c_Calculations!AD$24*c_Calculations!AD365)</f>
        <v/>
      </c>
      <c r="AE377" s="268">
        <f>IF(AE$7="Actual","",AE275*c_Calculations!AE$15+c_Calculations!AE$16*c_Calculations!AE285+c_Calculations!$T23*c_Calculations!AE295+c_Calculations!AE$18*c_Calculations!AE305+c_Calculations!AE$19*c_Calculations!AE315+c_Calculations!AE$20*c_Calculations!AE325+c_Calculations!AE$21*c_Calculations!AE335+c_Calculations!AE$22*c_Calculations!AE345+c_Calculations!AE$23*c_Calculations!AE355+c_Calculations!AE$24*c_Calculations!AE365)</f>
        <v/>
      </c>
      <c r="AF377" s="268">
        <f>IF(AF$7="Actual","",AF275*c_Calculations!AF$15+c_Calculations!AF$16*c_Calculations!AF285+c_Calculations!$T23*c_Calculations!AF295+c_Calculations!AF$18*c_Calculations!AF305+c_Calculations!AF$19*c_Calculations!AF315+c_Calculations!AF$20*c_Calculations!AF325+c_Calculations!AF$21*c_Calculations!AF335+c_Calculations!AF$22*c_Calculations!AF345+c_Calculations!AF$23*c_Calculations!AF355+c_Calculations!AF$24*c_Calculations!AF365)</f>
        <v/>
      </c>
      <c r="AG377" s="268">
        <f>IF(AG$7="Actual","",AG275*c_Calculations!AG$15+c_Calculations!AG$16*c_Calculations!AG285+c_Calculations!$T23*c_Calculations!AG295+c_Calculations!AG$18*c_Calculations!AG305+c_Calculations!AG$19*c_Calculations!AG315+c_Calculations!AG$20*c_Calculations!AG325+c_Calculations!AG$21*c_Calculations!AG335+c_Calculations!AG$22*c_Calculations!AG345+c_Calculations!AG$23*c_Calculations!AG355+c_Calculations!AG$24*c_Calculations!AG365)</f>
        <v/>
      </c>
      <c r="AH377" s="268">
        <f>IF(AH$7="Actual","",AH275*c_Calculations!AH$15+c_Calculations!AH$16*c_Calculations!AH285+c_Calculations!$T23*c_Calculations!AH295+c_Calculations!AH$18*c_Calculations!AH305+c_Calculations!AH$19*c_Calculations!AH315+c_Calculations!AH$20*c_Calculations!AH325+c_Calculations!AH$21*c_Calculations!AH335+c_Calculations!AH$22*c_Calculations!AH345+c_Calculations!AH$23*c_Calculations!AH355+c_Calculations!AH$24*c_Calculations!AH365)</f>
        <v/>
      </c>
      <c r="AI377" s="268">
        <f>IF(AI$7="Actual","",AI275*c_Calculations!AI$15+c_Calculations!AI$16*c_Calculations!AI285+c_Calculations!$T23*c_Calculations!AI295+c_Calculations!AI$18*c_Calculations!AI305+c_Calculations!AI$19*c_Calculations!AI315+c_Calculations!AI$20*c_Calculations!AI325+c_Calculations!AI$21*c_Calculations!AI335+c_Calculations!AI$22*c_Calculations!AI345+c_Calculations!AI$23*c_Calculations!AI355+c_Calculations!AI$24*c_Calculations!AI365)</f>
        <v/>
      </c>
      <c r="AJ377" s="268">
        <f>IF(AJ$7="Actual","",AJ275*c_Calculations!AJ$15+c_Calculations!AJ$16*c_Calculations!AJ285+c_Calculations!$T23*c_Calculations!AJ295+c_Calculations!AJ$18*c_Calculations!AJ305+c_Calculations!AJ$19*c_Calculations!AJ315+c_Calculations!AJ$20*c_Calculations!AJ325+c_Calculations!AJ$21*c_Calculations!AJ335+c_Calculations!AJ$22*c_Calculations!AJ345+c_Calculations!AJ$23*c_Calculations!AJ355+c_Calculations!AJ$24*c_Calculations!AJ365)</f>
        <v/>
      </c>
      <c r="AK377" s="268">
        <f>IF(AK$7="Actual","",AK275*c_Calculations!AK$15+c_Calculations!AK$16*c_Calculations!AK285+c_Calculations!$T23*c_Calculations!AK295+c_Calculations!AK$18*c_Calculations!AK305+c_Calculations!AK$19*c_Calculations!AK315+c_Calculations!AK$20*c_Calculations!AK325+c_Calculations!AK$21*c_Calculations!AK335+c_Calculations!AK$22*c_Calculations!AK345+c_Calculations!AK$23*c_Calculations!AK355+c_Calculations!AK$24*c_Calculations!AK365)</f>
        <v/>
      </c>
      <c r="AL377" s="268">
        <f>IF(AL$7="Actual","",AL275*c_Calculations!AL$15+c_Calculations!AL$16*c_Calculations!AL285+c_Calculations!$T23*c_Calculations!AL295+c_Calculations!AL$18*c_Calculations!AL305+c_Calculations!AL$19*c_Calculations!AL315+c_Calculations!AL$20*c_Calculations!AL325+c_Calculations!AL$21*c_Calculations!AL335+c_Calculations!AL$22*c_Calculations!AL345+c_Calculations!AL$23*c_Calculations!AL355+c_Calculations!AL$24*c_Calculations!AL365)</f>
        <v/>
      </c>
      <c r="AM377" s="268">
        <f>IF(AM$7="Actual","",AM275*c_Calculations!AM$15+c_Calculations!AM$16*c_Calculations!AM285+c_Calculations!$T23*c_Calculations!AM295+c_Calculations!AM$18*c_Calculations!AM305+c_Calculations!AM$19*c_Calculations!AM315+c_Calculations!AM$20*c_Calculations!AM325+c_Calculations!AM$21*c_Calculations!AM335+c_Calculations!AM$22*c_Calculations!AM345+c_Calculations!AM$23*c_Calculations!AM355+c_Calculations!AM$24*c_Calculations!AM365)</f>
        <v/>
      </c>
      <c r="AN377" s="268">
        <f>IF(AN$7="Actual","",AN275*c_Calculations!AN$15+c_Calculations!AN$16*c_Calculations!AN285+c_Calculations!$T23*c_Calculations!AN295+c_Calculations!AN$18*c_Calculations!AN305+c_Calculations!AN$19*c_Calculations!AN315+c_Calculations!AN$20*c_Calculations!AN325+c_Calculations!AN$21*c_Calculations!AN335+c_Calculations!AN$22*c_Calculations!AN345+c_Calculations!AN$23*c_Calculations!AN355+c_Calculations!AN$24*c_Calculations!AN365)</f>
        <v/>
      </c>
      <c r="AO377" s="268">
        <f>IF(AO$7="Actual","",AO275*c_Calculations!AO$15+c_Calculations!AO$16*c_Calculations!AO285+c_Calculations!$T23*c_Calculations!AO295+c_Calculations!AO$18*c_Calculations!AO305+c_Calculations!AO$19*c_Calculations!AO315+c_Calculations!AO$20*c_Calculations!AO325+c_Calculations!AO$21*c_Calculations!AO335+c_Calculations!AO$22*c_Calculations!AO345+c_Calculations!AO$23*c_Calculations!AO355+c_Calculations!AO$24*c_Calculations!AO365)</f>
        <v/>
      </c>
      <c r="AP377" s="268">
        <f>IF(AP$7="Actual","",AP275*c_Calculations!AP$15+c_Calculations!AP$16*c_Calculations!AP285+c_Calculations!$T23*c_Calculations!AP295+c_Calculations!AP$18*c_Calculations!AP305+c_Calculations!AP$19*c_Calculations!AP315+c_Calculations!AP$20*c_Calculations!AP325+c_Calculations!AP$21*c_Calculations!AP335+c_Calculations!AP$22*c_Calculations!AP345+c_Calculations!AP$23*c_Calculations!AP355+c_Calculations!AP$24*c_Calculations!AP365)</f>
        <v/>
      </c>
      <c r="AQ377" s="268">
        <f>IF(AQ$7="Actual","",AQ275*c_Calculations!AQ$15+c_Calculations!AQ$16*c_Calculations!AQ285+c_Calculations!$T23*c_Calculations!AQ295+c_Calculations!AQ$18*c_Calculations!AQ305+c_Calculations!AQ$19*c_Calculations!AQ315+c_Calculations!AQ$20*c_Calculations!AQ325+c_Calculations!AQ$21*c_Calculations!AQ335+c_Calculations!AQ$22*c_Calculations!AQ345+c_Calculations!AQ$23*c_Calculations!AQ355+c_Calculations!AQ$24*c_Calculations!AQ365)</f>
        <v/>
      </c>
      <c r="AR377" s="268">
        <f>IF(AR$7="Actual","",AR275*c_Calculations!AR$15+c_Calculations!AR$16*c_Calculations!AR285+c_Calculations!$T23*c_Calculations!AR295+c_Calculations!AR$18*c_Calculations!AR305+c_Calculations!AR$19*c_Calculations!AR315+c_Calculations!AR$20*c_Calculations!AR325+c_Calculations!AR$21*c_Calculations!AR335+c_Calculations!AR$22*c_Calculations!AR345+c_Calculations!AR$23*c_Calculations!AR355+c_Calculations!AR$24*c_Calculations!AR365)</f>
        <v/>
      </c>
      <c r="AS377" s="268">
        <f>IF(AS$7="Actual","",AS275*c_Calculations!AS$15+c_Calculations!AS$16*c_Calculations!AS285+c_Calculations!$T23*c_Calculations!AS295+c_Calculations!AS$18*c_Calculations!AS305+c_Calculations!AS$19*c_Calculations!AS315+c_Calculations!AS$20*c_Calculations!AS325+c_Calculations!AS$21*c_Calculations!AS335+c_Calculations!AS$22*c_Calculations!AS345+c_Calculations!AS$23*c_Calculations!AS355+c_Calculations!AS$24*c_Calculations!AS365)</f>
        <v/>
      </c>
      <c r="AT377" s="268">
        <f>IF(AT$7="Actual","",AT275*c_Calculations!AT$15+c_Calculations!AT$16*c_Calculations!AT285+c_Calculations!$T23*c_Calculations!AT295+c_Calculations!AT$18*c_Calculations!AT305+c_Calculations!AT$19*c_Calculations!AT315+c_Calculations!AT$20*c_Calculations!AT325+c_Calculations!AT$21*c_Calculations!AT335+c_Calculations!AT$22*c_Calculations!AT345+c_Calculations!AT$23*c_Calculations!AT355+c_Calculations!AT$24*c_Calculations!AT365)</f>
        <v/>
      </c>
      <c r="AU377" s="268">
        <f>IF(AU$7="Actual","",AU275*c_Calculations!AU$15+c_Calculations!AU$16*c_Calculations!AU285+c_Calculations!$T23*c_Calculations!AU295+c_Calculations!AU$18*c_Calculations!AU305+c_Calculations!AU$19*c_Calculations!AU315+c_Calculations!AU$20*c_Calculations!AU325+c_Calculations!AU$21*c_Calculations!AU335+c_Calculations!AU$22*c_Calculations!AU345+c_Calculations!AU$23*c_Calculations!AU355+c_Calculations!AU$24*c_Calculations!AU365)</f>
        <v/>
      </c>
      <c r="AV377" s="268">
        <f>IF(AV$7="Actual","",AV275*c_Calculations!AV$15+c_Calculations!AV$16*c_Calculations!AV285+c_Calculations!$T23*c_Calculations!AV295+c_Calculations!AV$18*c_Calculations!AV305+c_Calculations!AV$19*c_Calculations!AV315+c_Calculations!AV$20*c_Calculations!AV325+c_Calculations!AV$21*c_Calculations!AV335+c_Calculations!AV$22*c_Calculations!AV345+c_Calculations!AV$23*c_Calculations!AV355+c_Calculations!AV$24*c_Calculations!AV365)</f>
        <v/>
      </c>
      <c r="AW377" s="268">
        <f>IF(AW$7="Actual","",AW275*c_Calculations!AW$15+c_Calculations!AW$16*c_Calculations!AW285+c_Calculations!$T23*c_Calculations!AW295+c_Calculations!AW$18*c_Calculations!AW305+c_Calculations!AW$19*c_Calculations!AW315+c_Calculations!AW$20*c_Calculations!AW325+c_Calculations!AW$21*c_Calculations!AW335+c_Calculations!AW$22*c_Calculations!AW345+c_Calculations!AW$23*c_Calculations!AW355+c_Calculations!AW$24*c_Calculations!AW365)</f>
        <v/>
      </c>
      <c r="AX377" s="268">
        <f>IF(AX$7="Actual","",AX275*c_Calculations!AX$15+c_Calculations!AX$16*c_Calculations!AX285+c_Calculations!$T23*c_Calculations!AX295+c_Calculations!AX$18*c_Calculations!AX305+c_Calculations!AX$19*c_Calculations!AX315+c_Calculations!AX$20*c_Calculations!AX325+c_Calculations!AX$21*c_Calculations!AX335+c_Calculations!AX$22*c_Calculations!AX345+c_Calculations!AX$23*c_Calculations!AX355+c_Calculations!AX$24*c_Calculations!AX365)</f>
        <v/>
      </c>
      <c r="AY377" s="268">
        <f>IF(AY$7="Actual","",AY275*c_Calculations!AY$15+c_Calculations!AY$16*c_Calculations!AY285+c_Calculations!$T23*c_Calculations!AY295+c_Calculations!AY$18*c_Calculations!AY305+c_Calculations!AY$19*c_Calculations!AY315+c_Calculations!AY$20*c_Calculations!AY325+c_Calculations!AY$21*c_Calculations!AY335+c_Calculations!AY$22*c_Calculations!AY345+c_Calculations!AY$23*c_Calculations!AY355+c_Calculations!AY$24*c_Calculations!AY365)</f>
        <v/>
      </c>
      <c r="AZ377" s="268">
        <f>IF(AZ$7="Actual","",AZ275*c_Calculations!AZ$15+c_Calculations!AZ$16*c_Calculations!AZ285+c_Calculations!$T23*c_Calculations!AZ295+c_Calculations!AZ$18*c_Calculations!AZ305+c_Calculations!AZ$19*c_Calculations!AZ315+c_Calculations!AZ$20*c_Calculations!AZ325+c_Calculations!AZ$21*c_Calculations!AZ335+c_Calculations!AZ$22*c_Calculations!AZ345+c_Calculations!AZ$23*c_Calculations!AZ355+c_Calculations!AZ$24*c_Calculations!AZ365)</f>
        <v/>
      </c>
      <c r="BA377" s="268">
        <f>IF(BA$7="Actual","",BA275*c_Calculations!BA$15+c_Calculations!BA$16*c_Calculations!BA285+c_Calculations!$T23*c_Calculations!BA295+c_Calculations!BA$18*c_Calculations!BA305+c_Calculations!BA$19*c_Calculations!BA315+c_Calculations!BA$20*c_Calculations!BA325+c_Calculations!BA$21*c_Calculations!BA335+c_Calculations!BA$22*c_Calculations!BA345+c_Calculations!BA$23*c_Calculations!BA355+c_Calculations!BA$24*c_Calculations!BA365)</f>
        <v/>
      </c>
      <c r="BB377" s="268">
        <f>IF(BB$7="Actual","",BB275*c_Calculations!BB$15+c_Calculations!BB$16*c_Calculations!BB285+c_Calculations!$T23*c_Calculations!BB295+c_Calculations!BB$18*c_Calculations!BB305+c_Calculations!BB$19*c_Calculations!BB315+c_Calculations!BB$20*c_Calculations!BB325+c_Calculations!BB$21*c_Calculations!BB335+c_Calculations!BB$22*c_Calculations!BB345+c_Calculations!BB$23*c_Calculations!BB355+c_Calculations!BB$24*c_Calculations!BB365)</f>
        <v/>
      </c>
      <c r="BC377" s="268">
        <f>IF(BC$7="Actual","",BC275*c_Calculations!BC$15+c_Calculations!BC$16*c_Calculations!BC285+c_Calculations!$T23*c_Calculations!BC295+c_Calculations!BC$18*c_Calculations!BC305+c_Calculations!BC$19*c_Calculations!BC315+c_Calculations!BC$20*c_Calculations!BC325+c_Calculations!BC$21*c_Calculations!BC335+c_Calculations!BC$22*c_Calculations!BC345+c_Calculations!BC$23*c_Calculations!BC355+c_Calculations!BC$24*c_Calculations!BC365)</f>
        <v/>
      </c>
      <c r="BD377" s="268">
        <f>IF(BD$7="Actual","",BD275*c_Calculations!BD$15+c_Calculations!BD$16*c_Calculations!BD285+c_Calculations!$T23*c_Calculations!BD295+c_Calculations!BD$18*c_Calculations!BD305+c_Calculations!BD$19*c_Calculations!BD315+c_Calculations!BD$20*c_Calculations!BD325+c_Calculations!BD$21*c_Calculations!BD335+c_Calculations!BD$22*c_Calculations!BD345+c_Calculations!BD$23*c_Calculations!BD355+c_Calculations!BD$24*c_Calculations!BD365)</f>
        <v/>
      </c>
      <c r="BE377" s="268">
        <f>IF(BE$7="Actual","",BE275*c_Calculations!BE$15+c_Calculations!BE$16*c_Calculations!BE285+c_Calculations!$T23*c_Calculations!BE295+c_Calculations!BE$18*c_Calculations!BE305+c_Calculations!BE$19*c_Calculations!BE315+c_Calculations!BE$20*c_Calculations!BE325+c_Calculations!BE$21*c_Calculations!BE335+c_Calculations!BE$22*c_Calculations!BE345+c_Calculations!BE$23*c_Calculations!BE355+c_Calculations!BE$24*c_Calculations!BE365)</f>
        <v/>
      </c>
      <c r="BF377" s="268">
        <f>IF(BF$7="Actual","",BF275*c_Calculations!BF$15+c_Calculations!BF$16*c_Calculations!BF285+c_Calculations!$T23*c_Calculations!BF295+c_Calculations!BF$18*c_Calculations!BF305+c_Calculations!BF$19*c_Calculations!BF315+c_Calculations!BF$20*c_Calculations!BF325+c_Calculations!BF$21*c_Calculations!BF335+c_Calculations!BF$22*c_Calculations!BF345+c_Calculations!BF$23*c_Calculations!BF355+c_Calculations!BF$24*c_Calculations!BF365)</f>
        <v/>
      </c>
      <c r="BG377" s="268">
        <f>IF(BG$7="Actual","",BG275*c_Calculations!BG$15+c_Calculations!BG$16*c_Calculations!BG285+c_Calculations!$T23*c_Calculations!BG295+c_Calculations!BG$18*c_Calculations!BG305+c_Calculations!BG$19*c_Calculations!BG315+c_Calculations!BG$20*c_Calculations!BG325+c_Calculations!BG$21*c_Calculations!BG335+c_Calculations!BG$22*c_Calculations!BG345+c_Calculations!BG$23*c_Calculations!BG355+c_Calculations!BG$24*c_Calculations!BG365)</f>
        <v/>
      </c>
      <c r="BH377" s="268">
        <f>IF(BH$7="Actual","",BH275*c_Calculations!BH$15+c_Calculations!BH$16*c_Calculations!BH285+c_Calculations!$T23*c_Calculations!BH295+c_Calculations!BH$18*c_Calculations!BH305+c_Calculations!BH$19*c_Calculations!BH315+c_Calculations!BH$20*c_Calculations!BH325+c_Calculations!BH$21*c_Calculations!BH335+c_Calculations!BH$22*c_Calculations!BH345+c_Calculations!BH$23*c_Calculations!BH355+c_Calculations!BH$24*c_Calculations!BH365)</f>
        <v/>
      </c>
      <c r="BI377" s="268">
        <f>IF(BI$7="Actual","",BI275*c_Calculations!BI$15+c_Calculations!BI$16*c_Calculations!BI285+c_Calculations!$T23*c_Calculations!BI295+c_Calculations!BI$18*c_Calculations!BI305+c_Calculations!BI$19*c_Calculations!BI315+c_Calculations!BI$20*c_Calculations!BI325+c_Calculations!BI$21*c_Calculations!BI335+c_Calculations!BI$22*c_Calculations!BI345+c_Calculations!BI$23*c_Calculations!BI355+c_Calculations!BI$24*c_Calculations!BI365)</f>
        <v/>
      </c>
      <c r="BJ377" s="268">
        <f>IF(BJ$7="Actual","",BJ275*c_Calculations!BJ$15+c_Calculations!BJ$16*c_Calculations!BJ285+c_Calculations!$T23*c_Calculations!BJ295+c_Calculations!BJ$18*c_Calculations!BJ305+c_Calculations!BJ$19*c_Calculations!BJ315+c_Calculations!BJ$20*c_Calculations!BJ325+c_Calculations!BJ$21*c_Calculations!BJ335+c_Calculations!BJ$22*c_Calculations!BJ345+c_Calculations!BJ$23*c_Calculations!BJ355+c_Calculations!BJ$24*c_Calculations!BJ365)</f>
        <v/>
      </c>
      <c r="BK377" s="268">
        <f>IF(BK$7="Actual","",BK275*c_Calculations!BK$15+c_Calculations!BK$16*c_Calculations!BK285+c_Calculations!$T23*c_Calculations!BK295+c_Calculations!BK$18*c_Calculations!BK305+c_Calculations!BK$19*c_Calculations!BK315+c_Calculations!BK$20*c_Calculations!BK325+c_Calculations!BK$21*c_Calculations!BK335+c_Calculations!BK$22*c_Calculations!BK345+c_Calculations!BK$23*c_Calculations!BK355+c_Calculations!BK$24*c_Calculations!BK365)</f>
        <v/>
      </c>
      <c r="BL377" s="268">
        <f>IF(BL$7="Actual","",BL275*c_Calculations!BL$15+c_Calculations!BL$16*c_Calculations!BL285+c_Calculations!$T23*c_Calculations!BL295+c_Calculations!BL$18*c_Calculations!BL305+c_Calculations!BL$19*c_Calculations!BL315+c_Calculations!BL$20*c_Calculations!BL325+c_Calculations!BL$21*c_Calculations!BL335+c_Calculations!BL$22*c_Calculations!BL345+c_Calculations!BL$23*c_Calculations!BL355+c_Calculations!BL$24*c_Calculations!BL365)</f>
        <v/>
      </c>
      <c r="BM377" s="268">
        <f>IF(BM$7="Actual","",BM275*c_Calculations!BM$15+c_Calculations!BM$16*c_Calculations!BM285+c_Calculations!$T23*c_Calculations!BM295+c_Calculations!BM$18*c_Calculations!BM305+c_Calculations!BM$19*c_Calculations!BM315+c_Calculations!BM$20*c_Calculations!BM325+c_Calculations!BM$21*c_Calculations!BM335+c_Calculations!BM$22*c_Calculations!BM345+c_Calculations!BM$23*c_Calculations!BM355+c_Calculations!BM$24*c_Calculations!BM365)</f>
        <v/>
      </c>
      <c r="BN377" s="268">
        <f>IF(BN$7="Actual","",BN275*c_Calculations!BN$15+c_Calculations!BN$16*c_Calculations!BN285+c_Calculations!$T23*c_Calculations!BN295+c_Calculations!BN$18*c_Calculations!BN305+c_Calculations!BN$19*c_Calculations!BN315+c_Calculations!BN$20*c_Calculations!BN325+c_Calculations!BN$21*c_Calculations!BN335+c_Calculations!BN$22*c_Calculations!BN345+c_Calculations!BN$23*c_Calculations!BN355+c_Calculations!BN$24*c_Calculations!BN365)</f>
        <v/>
      </c>
      <c r="BO377" s="268">
        <f>IF(BO$7="Actual","",BO275*c_Calculations!BO$15+c_Calculations!BO$16*c_Calculations!BO285+c_Calculations!$T23*c_Calculations!BO295+c_Calculations!BO$18*c_Calculations!BO305+c_Calculations!BO$19*c_Calculations!BO315+c_Calculations!BO$20*c_Calculations!BO325+c_Calculations!BO$21*c_Calculations!BO335+c_Calculations!BO$22*c_Calculations!BO345+c_Calculations!BO$23*c_Calculations!BO355+c_Calculations!BO$24*c_Calculations!BO365)</f>
        <v/>
      </c>
      <c r="BP377" s="268">
        <f>IF(BP$7="Actual","",BP275*c_Calculations!BP$15+c_Calculations!BP$16*c_Calculations!BP285+c_Calculations!$T23*c_Calculations!BP295+c_Calculations!BP$18*c_Calculations!BP305+c_Calculations!BP$19*c_Calculations!BP315+c_Calculations!BP$20*c_Calculations!BP325+c_Calculations!BP$21*c_Calculations!BP335+c_Calculations!BP$22*c_Calculations!BP345+c_Calculations!BP$23*c_Calculations!BP355+c_Calculations!BP$24*c_Calculations!BP365)</f>
        <v/>
      </c>
      <c r="BQ377" s="268">
        <f>IF(BQ$7="Actual","",BQ275*c_Calculations!BQ$15+c_Calculations!BQ$16*c_Calculations!BQ285+c_Calculations!$T23*c_Calculations!BQ295+c_Calculations!BQ$18*c_Calculations!BQ305+c_Calculations!BQ$19*c_Calculations!BQ315+c_Calculations!BQ$20*c_Calculations!BQ325+c_Calculations!BQ$21*c_Calculations!BQ335+c_Calculations!BQ$22*c_Calculations!BQ345+c_Calculations!BQ$23*c_Calculations!BQ355+c_Calculations!BQ$24*c_Calculations!BQ365)</f>
        <v/>
      </c>
      <c r="BR377" s="268">
        <f>IF(BR$7="Actual","",BR275*c_Calculations!BR$15+c_Calculations!BR$16*c_Calculations!BR285+c_Calculations!$T23*c_Calculations!BR295+c_Calculations!BR$18*c_Calculations!BR305+c_Calculations!BR$19*c_Calculations!BR315+c_Calculations!BR$20*c_Calculations!BR325+c_Calculations!BR$21*c_Calculations!BR335+c_Calculations!BR$22*c_Calculations!BR345+c_Calculations!BR$23*c_Calculations!BR355+c_Calculations!BR$24*c_Calculations!BR365)</f>
        <v/>
      </c>
      <c r="BS377" s="268">
        <f>IF(BS$7="Actual","",BS275*c_Calculations!BS$15+c_Calculations!BS$16*c_Calculations!BS285+c_Calculations!$T23*c_Calculations!BS295+c_Calculations!BS$18*c_Calculations!BS305+c_Calculations!BS$19*c_Calculations!BS315+c_Calculations!BS$20*c_Calculations!BS325+c_Calculations!BS$21*c_Calculations!BS335+c_Calculations!BS$22*c_Calculations!BS345+c_Calculations!BS$23*c_Calculations!BS355+c_Calculations!BS$24*c_Calculations!BS365)</f>
        <v/>
      </c>
      <c r="BT377" s="268">
        <f>IF(BT$7="Actual","",BT275*c_Calculations!BT$15+c_Calculations!BT$16*c_Calculations!BT285+c_Calculations!$T23*c_Calculations!BT295+c_Calculations!BT$18*c_Calculations!BT305+c_Calculations!BT$19*c_Calculations!BT315+c_Calculations!BT$20*c_Calculations!BT325+c_Calculations!BT$21*c_Calculations!BT335+c_Calculations!BT$22*c_Calculations!BT345+c_Calculations!BT$23*c_Calculations!BT355+c_Calculations!BT$24*c_Calculations!BT365)</f>
        <v/>
      </c>
      <c r="BU377" s="268">
        <f>IF(BU$7="Actual","",BU275*c_Calculations!BU$15+c_Calculations!BU$16*c_Calculations!BU285+c_Calculations!$T23*c_Calculations!BU295+c_Calculations!BU$18*c_Calculations!BU305+c_Calculations!BU$19*c_Calculations!BU315+c_Calculations!BU$20*c_Calculations!BU325+c_Calculations!BU$21*c_Calculations!BU335+c_Calculations!BU$22*c_Calculations!BU345+c_Calculations!BU$23*c_Calculations!BU355+c_Calculations!BU$24*c_Calculations!BU365)</f>
        <v/>
      </c>
      <c r="BV377" s="268">
        <f>IF(BV$7="Actual","",BV275*c_Calculations!BV$15+c_Calculations!BV$16*c_Calculations!BV285+c_Calculations!$T23*c_Calculations!BV295+c_Calculations!BV$18*c_Calculations!BV305+c_Calculations!BV$19*c_Calculations!BV315+c_Calculations!BV$20*c_Calculations!BV325+c_Calculations!BV$21*c_Calculations!BV335+c_Calculations!BV$22*c_Calculations!BV345+c_Calculations!BV$23*c_Calculations!BV355+c_Calculations!BV$24*c_Calculations!BV365)</f>
        <v/>
      </c>
      <c r="BW377" s="268">
        <f>IF(BW$7="Actual","",BW275*c_Calculations!BW$15+c_Calculations!BW$16*c_Calculations!BW285+c_Calculations!$T23*c_Calculations!BW295+c_Calculations!BW$18*c_Calculations!BW305+c_Calculations!BW$19*c_Calculations!BW315+c_Calculations!BW$20*c_Calculations!BW325+c_Calculations!BW$21*c_Calculations!BW335+c_Calculations!BW$22*c_Calculations!BW345+c_Calculations!BW$23*c_Calculations!BW355+c_Calculations!BW$24*c_Calculations!BW365)</f>
        <v/>
      </c>
      <c r="BX377" s="268">
        <f>IF(BX$7="Actual","",BX275*c_Calculations!BX$15+c_Calculations!BX$16*c_Calculations!BX285+c_Calculations!$T23*c_Calculations!BX295+c_Calculations!BX$18*c_Calculations!BX305+c_Calculations!BX$19*c_Calculations!BX315+c_Calculations!BX$20*c_Calculations!BX325+c_Calculations!BX$21*c_Calculations!BX335+c_Calculations!BX$22*c_Calculations!BX345+c_Calculations!BX$23*c_Calculations!BX355+c_Calculations!BX$24*c_Calculations!BX365)</f>
        <v/>
      </c>
      <c r="BY377" s="268">
        <f>IF(BY$7="Actual","",BY275*c_Calculations!BY$15+c_Calculations!BY$16*c_Calculations!BY285+c_Calculations!$T23*c_Calculations!BY295+c_Calculations!BY$18*c_Calculations!BY305+c_Calculations!BY$19*c_Calculations!BY315+c_Calculations!BY$20*c_Calculations!BY325+c_Calculations!BY$21*c_Calculations!BY335+c_Calculations!BY$22*c_Calculations!BY345+c_Calculations!BY$23*c_Calculations!BY355+c_Calculations!BY$24*c_Calculations!BY365)</f>
        <v/>
      </c>
      <c r="BZ377" s="268">
        <f>IF(BZ$7="Actual","",BZ275*c_Calculations!BZ$15+c_Calculations!BZ$16*c_Calculations!BZ285+c_Calculations!$T23*c_Calculations!BZ295+c_Calculations!BZ$18*c_Calculations!BZ305+c_Calculations!BZ$19*c_Calculations!BZ315+c_Calculations!BZ$20*c_Calculations!BZ325+c_Calculations!BZ$21*c_Calculations!BZ335+c_Calculations!BZ$22*c_Calculations!BZ345+c_Calculations!BZ$23*c_Calculations!BZ355+c_Calculations!BZ$24*c_Calculations!BZ365)</f>
        <v/>
      </c>
      <c r="CA377" s="268">
        <f>IF(CA$7="Actual","",CA275*c_Calculations!CA$15+c_Calculations!CA$16*c_Calculations!CA285+c_Calculations!$T23*c_Calculations!CA295+c_Calculations!CA$18*c_Calculations!CA305+c_Calculations!CA$19*c_Calculations!CA315+c_Calculations!CA$20*c_Calculations!CA325+c_Calculations!CA$21*c_Calculations!CA335+c_Calculations!CA$22*c_Calculations!CA345+c_Calculations!CA$23*c_Calculations!CA355+c_Calculations!CA$24*c_Calculations!CA365)</f>
        <v/>
      </c>
      <c r="CB377" s="268" t="n"/>
    </row>
    <row r="378" ht="12" customHeight="1" s="227">
      <c r="A378" s="244" t="n"/>
      <c r="B378" s="244" t="n"/>
      <c r="C378" s="244" t="n"/>
      <c r="H378" s="4">
        <f>H366</f>
        <v/>
      </c>
      <c r="I378" s="27" t="inlineStr">
        <is>
          <t>no</t>
        </is>
      </c>
      <c r="K378" s="6" t="n"/>
      <c r="M378" s="245">
        <f>SUMIF($T$2:$CA$2,M$2,$T378:$CA378)</f>
        <v/>
      </c>
      <c r="N378" s="245">
        <f>SUMIF($T$2:$CA$2,N$2,$T378:$CA378)</f>
        <v/>
      </c>
      <c r="O378" s="245">
        <f>SUMIF($T$2:$CA$2,O$2,$T378:$CA378)</f>
        <v/>
      </c>
      <c r="P378" s="245">
        <f>SUMIF($T$2:$CA$2,P$2,$T378:$CA378)</f>
        <v/>
      </c>
      <c r="Q378" s="245">
        <f>SUMIF($T$2:$CA$2,Q$2,$T378:$CA378)</f>
        <v/>
      </c>
      <c r="R378" s="268" t="n"/>
      <c r="S378" s="268" t="n"/>
      <c r="T378" s="268">
        <f>IF(T$7="Actual","",T276*c_Calculations!T$15+c_Calculations!T$16*c_Calculations!T286+c_Calculations!$T24*c_Calculations!T296+c_Calculations!T$18*c_Calculations!T306+c_Calculations!T$19*c_Calculations!T316+c_Calculations!T$20*c_Calculations!T326+c_Calculations!T$21*c_Calculations!T336+c_Calculations!T$22*c_Calculations!T346+c_Calculations!T$23*c_Calculations!T356+c_Calculations!T$24*c_Calculations!T366)</f>
        <v/>
      </c>
      <c r="U378" s="268">
        <f>IF(U$7="Actual","",U276*c_Calculations!U$15+c_Calculations!U$16*c_Calculations!U286+c_Calculations!$T24*c_Calculations!U296+c_Calculations!U$18*c_Calculations!U306+c_Calculations!U$19*c_Calculations!U316+c_Calculations!U$20*c_Calculations!U326+c_Calculations!U$21*c_Calculations!U336+c_Calculations!U$22*c_Calculations!U346+c_Calculations!U$23*c_Calculations!U356+c_Calculations!U$24*c_Calculations!U366)</f>
        <v/>
      </c>
      <c r="V378" s="268">
        <f>IF(V$7="Actual","",V276*c_Calculations!V$15+c_Calculations!V$16*c_Calculations!V286+c_Calculations!$T24*c_Calculations!V296+c_Calculations!V$18*c_Calculations!V306+c_Calculations!V$19*c_Calculations!V316+c_Calculations!V$20*c_Calculations!V326+c_Calculations!V$21*c_Calculations!V336+c_Calculations!V$22*c_Calculations!V346+c_Calculations!V$23*c_Calculations!V356+c_Calculations!V$24*c_Calculations!V366)</f>
        <v/>
      </c>
      <c r="W378" s="268">
        <f>IF(W$7="Actual","",W276*c_Calculations!W$15+c_Calculations!W$16*c_Calculations!W286+c_Calculations!$T24*c_Calculations!W296+c_Calculations!W$18*c_Calculations!W306+c_Calculations!W$19*c_Calculations!W316+c_Calculations!W$20*c_Calculations!W326+c_Calculations!W$21*c_Calculations!W336+c_Calculations!W$22*c_Calculations!W346+c_Calculations!W$23*c_Calculations!W356+c_Calculations!W$24*c_Calculations!W366)</f>
        <v/>
      </c>
      <c r="X378" s="268">
        <f>IF(X$7="Actual","",X276*c_Calculations!X$15+c_Calculations!X$16*c_Calculations!X286+c_Calculations!$T24*c_Calculations!X296+c_Calculations!X$18*c_Calculations!X306+c_Calculations!X$19*c_Calculations!X316+c_Calculations!X$20*c_Calculations!X326+c_Calculations!X$21*c_Calculations!X336+c_Calculations!X$22*c_Calculations!X346+c_Calculations!X$23*c_Calculations!X356+c_Calculations!X$24*c_Calculations!X366)</f>
        <v/>
      </c>
      <c r="Y378" s="268">
        <f>IF(Y$7="Actual","",Y276*c_Calculations!Y$15+c_Calculations!Y$16*c_Calculations!Y286+c_Calculations!$T24*c_Calculations!Y296+c_Calculations!Y$18*c_Calculations!Y306+c_Calculations!Y$19*c_Calculations!Y316+c_Calculations!Y$20*c_Calculations!Y326+c_Calculations!Y$21*c_Calculations!Y336+c_Calculations!Y$22*c_Calculations!Y346+c_Calculations!Y$23*c_Calculations!Y356+c_Calculations!Y$24*c_Calculations!Y366)</f>
        <v/>
      </c>
      <c r="Z378" s="268">
        <f>IF(Z$7="Actual","",Z276*c_Calculations!Z$15+c_Calculations!Z$16*c_Calculations!Z286+c_Calculations!$T24*c_Calculations!Z296+c_Calculations!Z$18*c_Calculations!Z306+c_Calculations!Z$19*c_Calculations!Z316+c_Calculations!Z$20*c_Calculations!Z326+c_Calculations!Z$21*c_Calculations!Z336+c_Calculations!Z$22*c_Calculations!Z346+c_Calculations!Z$23*c_Calculations!Z356+c_Calculations!Z$24*c_Calculations!Z366)</f>
        <v/>
      </c>
      <c r="AA378" s="268">
        <f>IF(AA$7="Actual","",AA276*c_Calculations!AA$15+c_Calculations!AA$16*c_Calculations!AA286+c_Calculations!$T24*c_Calculations!AA296+c_Calculations!AA$18*c_Calculations!AA306+c_Calculations!AA$19*c_Calculations!AA316+c_Calculations!AA$20*c_Calculations!AA326+c_Calculations!AA$21*c_Calculations!AA336+c_Calculations!AA$22*c_Calculations!AA346+c_Calculations!AA$23*c_Calculations!AA356+c_Calculations!AA$24*c_Calculations!AA366)</f>
        <v/>
      </c>
      <c r="AB378" s="268">
        <f>IF(AB$7="Actual","",AB276*c_Calculations!AB$15+c_Calculations!AB$16*c_Calculations!AB286+c_Calculations!$T24*c_Calculations!AB296+c_Calculations!AB$18*c_Calculations!AB306+c_Calculations!AB$19*c_Calculations!AB316+c_Calculations!AB$20*c_Calculations!AB326+c_Calculations!AB$21*c_Calculations!AB336+c_Calculations!AB$22*c_Calculations!AB346+c_Calculations!AB$23*c_Calculations!AB356+c_Calculations!AB$24*c_Calculations!AB366)</f>
        <v/>
      </c>
      <c r="AC378" s="268">
        <f>IF(AC$7="Actual","",AC276*c_Calculations!AC$15+c_Calculations!AC$16*c_Calculations!AC286+c_Calculations!$T24*c_Calculations!AC296+c_Calculations!AC$18*c_Calculations!AC306+c_Calculations!AC$19*c_Calculations!AC316+c_Calculations!AC$20*c_Calculations!AC326+c_Calculations!AC$21*c_Calculations!AC336+c_Calculations!AC$22*c_Calculations!AC346+c_Calculations!AC$23*c_Calculations!AC356+c_Calculations!AC$24*c_Calculations!AC366)</f>
        <v/>
      </c>
      <c r="AD378" s="268">
        <f>IF(AD$7="Actual","",AD276*c_Calculations!AD$15+c_Calculations!AD$16*c_Calculations!AD286+c_Calculations!$T24*c_Calculations!AD296+c_Calculations!AD$18*c_Calculations!AD306+c_Calculations!AD$19*c_Calculations!AD316+c_Calculations!AD$20*c_Calculations!AD326+c_Calculations!AD$21*c_Calculations!AD336+c_Calculations!AD$22*c_Calculations!AD346+c_Calculations!AD$23*c_Calculations!AD356+c_Calculations!AD$24*c_Calculations!AD366)</f>
        <v/>
      </c>
      <c r="AE378" s="268">
        <f>IF(AE$7="Actual","",AE276*c_Calculations!AE$15+c_Calculations!AE$16*c_Calculations!AE286+c_Calculations!$T24*c_Calculations!AE296+c_Calculations!AE$18*c_Calculations!AE306+c_Calculations!AE$19*c_Calculations!AE316+c_Calculations!AE$20*c_Calculations!AE326+c_Calculations!AE$21*c_Calculations!AE336+c_Calculations!AE$22*c_Calculations!AE346+c_Calculations!AE$23*c_Calculations!AE356+c_Calculations!AE$24*c_Calculations!AE366)</f>
        <v/>
      </c>
      <c r="AF378" s="268">
        <f>IF(AF$7="Actual","",AF276*c_Calculations!AF$15+c_Calculations!AF$16*c_Calculations!AF286+c_Calculations!$T24*c_Calculations!AF296+c_Calculations!AF$18*c_Calculations!AF306+c_Calculations!AF$19*c_Calculations!AF316+c_Calculations!AF$20*c_Calculations!AF326+c_Calculations!AF$21*c_Calculations!AF336+c_Calculations!AF$22*c_Calculations!AF346+c_Calculations!AF$23*c_Calculations!AF356+c_Calculations!AF$24*c_Calculations!AF366)</f>
        <v/>
      </c>
      <c r="AG378" s="268">
        <f>IF(AG$7="Actual","",AG276*c_Calculations!AG$15+c_Calculations!AG$16*c_Calculations!AG286+c_Calculations!$T24*c_Calculations!AG296+c_Calculations!AG$18*c_Calculations!AG306+c_Calculations!AG$19*c_Calculations!AG316+c_Calculations!AG$20*c_Calculations!AG326+c_Calculations!AG$21*c_Calculations!AG336+c_Calculations!AG$22*c_Calculations!AG346+c_Calculations!AG$23*c_Calculations!AG356+c_Calculations!AG$24*c_Calculations!AG366)</f>
        <v/>
      </c>
      <c r="AH378" s="268">
        <f>IF(AH$7="Actual","",AH276*c_Calculations!AH$15+c_Calculations!AH$16*c_Calculations!AH286+c_Calculations!$T24*c_Calculations!AH296+c_Calculations!AH$18*c_Calculations!AH306+c_Calculations!AH$19*c_Calculations!AH316+c_Calculations!AH$20*c_Calculations!AH326+c_Calculations!AH$21*c_Calculations!AH336+c_Calculations!AH$22*c_Calculations!AH346+c_Calculations!AH$23*c_Calculations!AH356+c_Calculations!AH$24*c_Calculations!AH366)</f>
        <v/>
      </c>
      <c r="AI378" s="268">
        <f>IF(AI$7="Actual","",AI276*c_Calculations!AI$15+c_Calculations!AI$16*c_Calculations!AI286+c_Calculations!$T24*c_Calculations!AI296+c_Calculations!AI$18*c_Calculations!AI306+c_Calculations!AI$19*c_Calculations!AI316+c_Calculations!AI$20*c_Calculations!AI326+c_Calculations!AI$21*c_Calculations!AI336+c_Calculations!AI$22*c_Calculations!AI346+c_Calculations!AI$23*c_Calculations!AI356+c_Calculations!AI$24*c_Calculations!AI366)</f>
        <v/>
      </c>
      <c r="AJ378" s="268">
        <f>IF(AJ$7="Actual","",AJ276*c_Calculations!AJ$15+c_Calculations!AJ$16*c_Calculations!AJ286+c_Calculations!$T24*c_Calculations!AJ296+c_Calculations!AJ$18*c_Calculations!AJ306+c_Calculations!AJ$19*c_Calculations!AJ316+c_Calculations!AJ$20*c_Calculations!AJ326+c_Calculations!AJ$21*c_Calculations!AJ336+c_Calculations!AJ$22*c_Calculations!AJ346+c_Calculations!AJ$23*c_Calculations!AJ356+c_Calculations!AJ$24*c_Calculations!AJ366)</f>
        <v/>
      </c>
      <c r="AK378" s="268">
        <f>IF(AK$7="Actual","",AK276*c_Calculations!AK$15+c_Calculations!AK$16*c_Calculations!AK286+c_Calculations!$T24*c_Calculations!AK296+c_Calculations!AK$18*c_Calculations!AK306+c_Calculations!AK$19*c_Calculations!AK316+c_Calculations!AK$20*c_Calculations!AK326+c_Calculations!AK$21*c_Calculations!AK336+c_Calculations!AK$22*c_Calculations!AK346+c_Calculations!AK$23*c_Calculations!AK356+c_Calculations!AK$24*c_Calculations!AK366)</f>
        <v/>
      </c>
      <c r="AL378" s="268">
        <f>IF(AL$7="Actual","",AL276*c_Calculations!AL$15+c_Calculations!AL$16*c_Calculations!AL286+c_Calculations!$T24*c_Calculations!AL296+c_Calculations!AL$18*c_Calculations!AL306+c_Calculations!AL$19*c_Calculations!AL316+c_Calculations!AL$20*c_Calculations!AL326+c_Calculations!AL$21*c_Calculations!AL336+c_Calculations!AL$22*c_Calculations!AL346+c_Calculations!AL$23*c_Calculations!AL356+c_Calculations!AL$24*c_Calculations!AL366)</f>
        <v/>
      </c>
      <c r="AM378" s="268">
        <f>IF(AM$7="Actual","",AM276*c_Calculations!AM$15+c_Calculations!AM$16*c_Calculations!AM286+c_Calculations!$T24*c_Calculations!AM296+c_Calculations!AM$18*c_Calculations!AM306+c_Calculations!AM$19*c_Calculations!AM316+c_Calculations!AM$20*c_Calculations!AM326+c_Calculations!AM$21*c_Calculations!AM336+c_Calculations!AM$22*c_Calculations!AM346+c_Calculations!AM$23*c_Calculations!AM356+c_Calculations!AM$24*c_Calculations!AM366)</f>
        <v/>
      </c>
      <c r="AN378" s="268">
        <f>IF(AN$7="Actual","",AN276*c_Calculations!AN$15+c_Calculations!AN$16*c_Calculations!AN286+c_Calculations!$T24*c_Calculations!AN296+c_Calculations!AN$18*c_Calculations!AN306+c_Calculations!AN$19*c_Calculations!AN316+c_Calculations!AN$20*c_Calculations!AN326+c_Calculations!AN$21*c_Calculations!AN336+c_Calculations!AN$22*c_Calculations!AN346+c_Calculations!AN$23*c_Calculations!AN356+c_Calculations!AN$24*c_Calculations!AN366)</f>
        <v/>
      </c>
      <c r="AO378" s="268">
        <f>IF(AO$7="Actual","",AO276*c_Calculations!AO$15+c_Calculations!AO$16*c_Calculations!AO286+c_Calculations!$T24*c_Calculations!AO296+c_Calculations!AO$18*c_Calculations!AO306+c_Calculations!AO$19*c_Calculations!AO316+c_Calculations!AO$20*c_Calculations!AO326+c_Calculations!AO$21*c_Calculations!AO336+c_Calculations!AO$22*c_Calculations!AO346+c_Calculations!AO$23*c_Calculations!AO356+c_Calculations!AO$24*c_Calculations!AO366)</f>
        <v/>
      </c>
      <c r="AP378" s="268">
        <f>IF(AP$7="Actual","",AP276*c_Calculations!AP$15+c_Calculations!AP$16*c_Calculations!AP286+c_Calculations!$T24*c_Calculations!AP296+c_Calculations!AP$18*c_Calculations!AP306+c_Calculations!AP$19*c_Calculations!AP316+c_Calculations!AP$20*c_Calculations!AP326+c_Calculations!AP$21*c_Calculations!AP336+c_Calculations!AP$22*c_Calculations!AP346+c_Calculations!AP$23*c_Calculations!AP356+c_Calculations!AP$24*c_Calculations!AP366)</f>
        <v/>
      </c>
      <c r="AQ378" s="268">
        <f>IF(AQ$7="Actual","",AQ276*c_Calculations!AQ$15+c_Calculations!AQ$16*c_Calculations!AQ286+c_Calculations!$T24*c_Calculations!AQ296+c_Calculations!AQ$18*c_Calculations!AQ306+c_Calculations!AQ$19*c_Calculations!AQ316+c_Calculations!AQ$20*c_Calculations!AQ326+c_Calculations!AQ$21*c_Calculations!AQ336+c_Calculations!AQ$22*c_Calculations!AQ346+c_Calculations!AQ$23*c_Calculations!AQ356+c_Calculations!AQ$24*c_Calculations!AQ366)</f>
        <v/>
      </c>
      <c r="AR378" s="268">
        <f>IF(AR$7="Actual","",AR276*c_Calculations!AR$15+c_Calculations!AR$16*c_Calculations!AR286+c_Calculations!$T24*c_Calculations!AR296+c_Calculations!AR$18*c_Calculations!AR306+c_Calculations!AR$19*c_Calculations!AR316+c_Calculations!AR$20*c_Calculations!AR326+c_Calculations!AR$21*c_Calculations!AR336+c_Calculations!AR$22*c_Calculations!AR346+c_Calculations!AR$23*c_Calculations!AR356+c_Calculations!AR$24*c_Calculations!AR366)</f>
        <v/>
      </c>
      <c r="AS378" s="268">
        <f>IF(AS$7="Actual","",AS276*c_Calculations!AS$15+c_Calculations!AS$16*c_Calculations!AS286+c_Calculations!$T24*c_Calculations!AS296+c_Calculations!AS$18*c_Calculations!AS306+c_Calculations!AS$19*c_Calculations!AS316+c_Calculations!AS$20*c_Calculations!AS326+c_Calculations!AS$21*c_Calculations!AS336+c_Calculations!AS$22*c_Calculations!AS346+c_Calculations!AS$23*c_Calculations!AS356+c_Calculations!AS$24*c_Calculations!AS366)</f>
        <v/>
      </c>
      <c r="AT378" s="268">
        <f>IF(AT$7="Actual","",AT276*c_Calculations!AT$15+c_Calculations!AT$16*c_Calculations!AT286+c_Calculations!$T24*c_Calculations!AT296+c_Calculations!AT$18*c_Calculations!AT306+c_Calculations!AT$19*c_Calculations!AT316+c_Calculations!AT$20*c_Calculations!AT326+c_Calculations!AT$21*c_Calculations!AT336+c_Calculations!AT$22*c_Calculations!AT346+c_Calculations!AT$23*c_Calculations!AT356+c_Calculations!AT$24*c_Calculations!AT366)</f>
        <v/>
      </c>
      <c r="AU378" s="268">
        <f>IF(AU$7="Actual","",AU276*c_Calculations!AU$15+c_Calculations!AU$16*c_Calculations!AU286+c_Calculations!$T24*c_Calculations!AU296+c_Calculations!AU$18*c_Calculations!AU306+c_Calculations!AU$19*c_Calculations!AU316+c_Calculations!AU$20*c_Calculations!AU326+c_Calculations!AU$21*c_Calculations!AU336+c_Calculations!AU$22*c_Calculations!AU346+c_Calculations!AU$23*c_Calculations!AU356+c_Calculations!AU$24*c_Calculations!AU366)</f>
        <v/>
      </c>
      <c r="AV378" s="268">
        <f>IF(AV$7="Actual","",AV276*c_Calculations!AV$15+c_Calculations!AV$16*c_Calculations!AV286+c_Calculations!$T24*c_Calculations!AV296+c_Calculations!AV$18*c_Calculations!AV306+c_Calculations!AV$19*c_Calculations!AV316+c_Calculations!AV$20*c_Calculations!AV326+c_Calculations!AV$21*c_Calculations!AV336+c_Calculations!AV$22*c_Calculations!AV346+c_Calculations!AV$23*c_Calculations!AV356+c_Calculations!AV$24*c_Calculations!AV366)</f>
        <v/>
      </c>
      <c r="AW378" s="268">
        <f>IF(AW$7="Actual","",AW276*c_Calculations!AW$15+c_Calculations!AW$16*c_Calculations!AW286+c_Calculations!$T24*c_Calculations!AW296+c_Calculations!AW$18*c_Calculations!AW306+c_Calculations!AW$19*c_Calculations!AW316+c_Calculations!AW$20*c_Calculations!AW326+c_Calculations!AW$21*c_Calculations!AW336+c_Calculations!AW$22*c_Calculations!AW346+c_Calculations!AW$23*c_Calculations!AW356+c_Calculations!AW$24*c_Calculations!AW366)</f>
        <v/>
      </c>
      <c r="AX378" s="268">
        <f>IF(AX$7="Actual","",AX276*c_Calculations!AX$15+c_Calculations!AX$16*c_Calculations!AX286+c_Calculations!$T24*c_Calculations!AX296+c_Calculations!AX$18*c_Calculations!AX306+c_Calculations!AX$19*c_Calculations!AX316+c_Calculations!AX$20*c_Calculations!AX326+c_Calculations!AX$21*c_Calculations!AX336+c_Calculations!AX$22*c_Calculations!AX346+c_Calculations!AX$23*c_Calculations!AX356+c_Calculations!AX$24*c_Calculations!AX366)</f>
        <v/>
      </c>
      <c r="AY378" s="268">
        <f>IF(AY$7="Actual","",AY276*c_Calculations!AY$15+c_Calculations!AY$16*c_Calculations!AY286+c_Calculations!$T24*c_Calculations!AY296+c_Calculations!AY$18*c_Calculations!AY306+c_Calculations!AY$19*c_Calculations!AY316+c_Calculations!AY$20*c_Calculations!AY326+c_Calculations!AY$21*c_Calculations!AY336+c_Calculations!AY$22*c_Calculations!AY346+c_Calculations!AY$23*c_Calculations!AY356+c_Calculations!AY$24*c_Calculations!AY366)</f>
        <v/>
      </c>
      <c r="AZ378" s="268">
        <f>IF(AZ$7="Actual","",AZ276*c_Calculations!AZ$15+c_Calculations!AZ$16*c_Calculations!AZ286+c_Calculations!$T24*c_Calculations!AZ296+c_Calculations!AZ$18*c_Calculations!AZ306+c_Calculations!AZ$19*c_Calculations!AZ316+c_Calculations!AZ$20*c_Calculations!AZ326+c_Calculations!AZ$21*c_Calculations!AZ336+c_Calculations!AZ$22*c_Calculations!AZ346+c_Calculations!AZ$23*c_Calculations!AZ356+c_Calculations!AZ$24*c_Calculations!AZ366)</f>
        <v/>
      </c>
      <c r="BA378" s="268">
        <f>IF(BA$7="Actual","",BA276*c_Calculations!BA$15+c_Calculations!BA$16*c_Calculations!BA286+c_Calculations!$T24*c_Calculations!BA296+c_Calculations!BA$18*c_Calculations!BA306+c_Calculations!BA$19*c_Calculations!BA316+c_Calculations!BA$20*c_Calculations!BA326+c_Calculations!BA$21*c_Calculations!BA336+c_Calculations!BA$22*c_Calculations!BA346+c_Calculations!BA$23*c_Calculations!BA356+c_Calculations!BA$24*c_Calculations!BA366)</f>
        <v/>
      </c>
      <c r="BB378" s="268">
        <f>IF(BB$7="Actual","",BB276*c_Calculations!BB$15+c_Calculations!BB$16*c_Calculations!BB286+c_Calculations!$T24*c_Calculations!BB296+c_Calculations!BB$18*c_Calculations!BB306+c_Calculations!BB$19*c_Calculations!BB316+c_Calculations!BB$20*c_Calculations!BB326+c_Calculations!BB$21*c_Calculations!BB336+c_Calculations!BB$22*c_Calculations!BB346+c_Calculations!BB$23*c_Calculations!BB356+c_Calculations!BB$24*c_Calculations!BB366)</f>
        <v/>
      </c>
      <c r="BC378" s="268">
        <f>IF(BC$7="Actual","",BC276*c_Calculations!BC$15+c_Calculations!BC$16*c_Calculations!BC286+c_Calculations!$T24*c_Calculations!BC296+c_Calculations!BC$18*c_Calculations!BC306+c_Calculations!BC$19*c_Calculations!BC316+c_Calculations!BC$20*c_Calculations!BC326+c_Calculations!BC$21*c_Calculations!BC336+c_Calculations!BC$22*c_Calculations!BC346+c_Calculations!BC$23*c_Calculations!BC356+c_Calculations!BC$24*c_Calculations!BC366)</f>
        <v/>
      </c>
      <c r="BD378" s="268">
        <f>IF(BD$7="Actual","",BD276*c_Calculations!BD$15+c_Calculations!BD$16*c_Calculations!BD286+c_Calculations!$T24*c_Calculations!BD296+c_Calculations!BD$18*c_Calculations!BD306+c_Calculations!BD$19*c_Calculations!BD316+c_Calculations!BD$20*c_Calculations!BD326+c_Calculations!BD$21*c_Calculations!BD336+c_Calculations!BD$22*c_Calculations!BD346+c_Calculations!BD$23*c_Calculations!BD356+c_Calculations!BD$24*c_Calculations!BD366)</f>
        <v/>
      </c>
      <c r="BE378" s="268">
        <f>IF(BE$7="Actual","",BE276*c_Calculations!BE$15+c_Calculations!BE$16*c_Calculations!BE286+c_Calculations!$T24*c_Calculations!BE296+c_Calculations!BE$18*c_Calculations!BE306+c_Calculations!BE$19*c_Calculations!BE316+c_Calculations!BE$20*c_Calculations!BE326+c_Calculations!BE$21*c_Calculations!BE336+c_Calculations!BE$22*c_Calculations!BE346+c_Calculations!BE$23*c_Calculations!BE356+c_Calculations!BE$24*c_Calculations!BE366)</f>
        <v/>
      </c>
      <c r="BF378" s="268">
        <f>IF(BF$7="Actual","",BF276*c_Calculations!BF$15+c_Calculations!BF$16*c_Calculations!BF286+c_Calculations!$T24*c_Calculations!BF296+c_Calculations!BF$18*c_Calculations!BF306+c_Calculations!BF$19*c_Calculations!BF316+c_Calculations!BF$20*c_Calculations!BF326+c_Calculations!BF$21*c_Calculations!BF336+c_Calculations!BF$22*c_Calculations!BF346+c_Calculations!BF$23*c_Calculations!BF356+c_Calculations!BF$24*c_Calculations!BF366)</f>
        <v/>
      </c>
      <c r="BG378" s="268">
        <f>IF(BG$7="Actual","",BG276*c_Calculations!BG$15+c_Calculations!BG$16*c_Calculations!BG286+c_Calculations!$T24*c_Calculations!BG296+c_Calculations!BG$18*c_Calculations!BG306+c_Calculations!BG$19*c_Calculations!BG316+c_Calculations!BG$20*c_Calculations!BG326+c_Calculations!BG$21*c_Calculations!BG336+c_Calculations!BG$22*c_Calculations!BG346+c_Calculations!BG$23*c_Calculations!BG356+c_Calculations!BG$24*c_Calculations!BG366)</f>
        <v/>
      </c>
      <c r="BH378" s="268">
        <f>IF(BH$7="Actual","",BH276*c_Calculations!BH$15+c_Calculations!BH$16*c_Calculations!BH286+c_Calculations!$T24*c_Calculations!BH296+c_Calculations!BH$18*c_Calculations!BH306+c_Calculations!BH$19*c_Calculations!BH316+c_Calculations!BH$20*c_Calculations!BH326+c_Calculations!BH$21*c_Calculations!BH336+c_Calculations!BH$22*c_Calculations!BH346+c_Calculations!BH$23*c_Calculations!BH356+c_Calculations!BH$24*c_Calculations!BH366)</f>
        <v/>
      </c>
      <c r="BI378" s="268">
        <f>IF(BI$7="Actual","",BI276*c_Calculations!BI$15+c_Calculations!BI$16*c_Calculations!BI286+c_Calculations!$T24*c_Calculations!BI296+c_Calculations!BI$18*c_Calculations!BI306+c_Calculations!BI$19*c_Calculations!BI316+c_Calculations!BI$20*c_Calculations!BI326+c_Calculations!BI$21*c_Calculations!BI336+c_Calculations!BI$22*c_Calculations!BI346+c_Calculations!BI$23*c_Calculations!BI356+c_Calculations!BI$24*c_Calculations!BI366)</f>
        <v/>
      </c>
      <c r="BJ378" s="268">
        <f>IF(BJ$7="Actual","",BJ276*c_Calculations!BJ$15+c_Calculations!BJ$16*c_Calculations!BJ286+c_Calculations!$T24*c_Calculations!BJ296+c_Calculations!BJ$18*c_Calculations!BJ306+c_Calculations!BJ$19*c_Calculations!BJ316+c_Calculations!BJ$20*c_Calculations!BJ326+c_Calculations!BJ$21*c_Calculations!BJ336+c_Calculations!BJ$22*c_Calculations!BJ346+c_Calculations!BJ$23*c_Calculations!BJ356+c_Calculations!BJ$24*c_Calculations!BJ366)</f>
        <v/>
      </c>
      <c r="BK378" s="268">
        <f>IF(BK$7="Actual","",BK276*c_Calculations!BK$15+c_Calculations!BK$16*c_Calculations!BK286+c_Calculations!$T24*c_Calculations!BK296+c_Calculations!BK$18*c_Calculations!BK306+c_Calculations!BK$19*c_Calculations!BK316+c_Calculations!BK$20*c_Calculations!BK326+c_Calculations!BK$21*c_Calculations!BK336+c_Calculations!BK$22*c_Calculations!BK346+c_Calculations!BK$23*c_Calculations!BK356+c_Calculations!BK$24*c_Calculations!BK366)</f>
        <v/>
      </c>
      <c r="BL378" s="268">
        <f>IF(BL$7="Actual","",BL276*c_Calculations!BL$15+c_Calculations!BL$16*c_Calculations!BL286+c_Calculations!$T24*c_Calculations!BL296+c_Calculations!BL$18*c_Calculations!BL306+c_Calculations!BL$19*c_Calculations!BL316+c_Calculations!BL$20*c_Calculations!BL326+c_Calculations!BL$21*c_Calculations!BL336+c_Calculations!BL$22*c_Calculations!BL346+c_Calculations!BL$23*c_Calculations!BL356+c_Calculations!BL$24*c_Calculations!BL366)</f>
        <v/>
      </c>
      <c r="BM378" s="268">
        <f>IF(BM$7="Actual","",BM276*c_Calculations!BM$15+c_Calculations!BM$16*c_Calculations!BM286+c_Calculations!$T24*c_Calculations!BM296+c_Calculations!BM$18*c_Calculations!BM306+c_Calculations!BM$19*c_Calculations!BM316+c_Calculations!BM$20*c_Calculations!BM326+c_Calculations!BM$21*c_Calculations!BM336+c_Calculations!BM$22*c_Calculations!BM346+c_Calculations!BM$23*c_Calculations!BM356+c_Calculations!BM$24*c_Calculations!BM366)</f>
        <v/>
      </c>
      <c r="BN378" s="268">
        <f>IF(BN$7="Actual","",BN276*c_Calculations!BN$15+c_Calculations!BN$16*c_Calculations!BN286+c_Calculations!$T24*c_Calculations!BN296+c_Calculations!BN$18*c_Calculations!BN306+c_Calculations!BN$19*c_Calculations!BN316+c_Calculations!BN$20*c_Calculations!BN326+c_Calculations!BN$21*c_Calculations!BN336+c_Calculations!BN$22*c_Calculations!BN346+c_Calculations!BN$23*c_Calculations!BN356+c_Calculations!BN$24*c_Calculations!BN366)</f>
        <v/>
      </c>
      <c r="BO378" s="268">
        <f>IF(BO$7="Actual","",BO276*c_Calculations!BO$15+c_Calculations!BO$16*c_Calculations!BO286+c_Calculations!$T24*c_Calculations!BO296+c_Calculations!BO$18*c_Calculations!BO306+c_Calculations!BO$19*c_Calculations!BO316+c_Calculations!BO$20*c_Calculations!BO326+c_Calculations!BO$21*c_Calculations!BO336+c_Calculations!BO$22*c_Calculations!BO346+c_Calculations!BO$23*c_Calculations!BO356+c_Calculations!BO$24*c_Calculations!BO366)</f>
        <v/>
      </c>
      <c r="BP378" s="268">
        <f>IF(BP$7="Actual","",BP276*c_Calculations!BP$15+c_Calculations!BP$16*c_Calculations!BP286+c_Calculations!$T24*c_Calculations!BP296+c_Calculations!BP$18*c_Calculations!BP306+c_Calculations!BP$19*c_Calculations!BP316+c_Calculations!BP$20*c_Calculations!BP326+c_Calculations!BP$21*c_Calculations!BP336+c_Calculations!BP$22*c_Calculations!BP346+c_Calculations!BP$23*c_Calculations!BP356+c_Calculations!BP$24*c_Calculations!BP366)</f>
        <v/>
      </c>
      <c r="BQ378" s="268">
        <f>IF(BQ$7="Actual","",BQ276*c_Calculations!BQ$15+c_Calculations!BQ$16*c_Calculations!BQ286+c_Calculations!$T24*c_Calculations!BQ296+c_Calculations!BQ$18*c_Calculations!BQ306+c_Calculations!BQ$19*c_Calculations!BQ316+c_Calculations!BQ$20*c_Calculations!BQ326+c_Calculations!BQ$21*c_Calculations!BQ336+c_Calculations!BQ$22*c_Calculations!BQ346+c_Calculations!BQ$23*c_Calculations!BQ356+c_Calculations!BQ$24*c_Calculations!BQ366)</f>
        <v/>
      </c>
      <c r="BR378" s="268">
        <f>IF(BR$7="Actual","",BR276*c_Calculations!BR$15+c_Calculations!BR$16*c_Calculations!BR286+c_Calculations!$T24*c_Calculations!BR296+c_Calculations!BR$18*c_Calculations!BR306+c_Calculations!BR$19*c_Calculations!BR316+c_Calculations!BR$20*c_Calculations!BR326+c_Calculations!BR$21*c_Calculations!BR336+c_Calculations!BR$22*c_Calculations!BR346+c_Calculations!BR$23*c_Calculations!BR356+c_Calculations!BR$24*c_Calculations!BR366)</f>
        <v/>
      </c>
      <c r="BS378" s="268">
        <f>IF(BS$7="Actual","",BS276*c_Calculations!BS$15+c_Calculations!BS$16*c_Calculations!BS286+c_Calculations!$T24*c_Calculations!BS296+c_Calculations!BS$18*c_Calculations!BS306+c_Calculations!BS$19*c_Calculations!BS316+c_Calculations!BS$20*c_Calculations!BS326+c_Calculations!BS$21*c_Calculations!BS336+c_Calculations!BS$22*c_Calculations!BS346+c_Calculations!BS$23*c_Calculations!BS356+c_Calculations!BS$24*c_Calculations!BS366)</f>
        <v/>
      </c>
      <c r="BT378" s="268">
        <f>IF(BT$7="Actual","",BT276*c_Calculations!BT$15+c_Calculations!BT$16*c_Calculations!BT286+c_Calculations!$T24*c_Calculations!BT296+c_Calculations!BT$18*c_Calculations!BT306+c_Calculations!BT$19*c_Calculations!BT316+c_Calculations!BT$20*c_Calculations!BT326+c_Calculations!BT$21*c_Calculations!BT336+c_Calculations!BT$22*c_Calculations!BT346+c_Calculations!BT$23*c_Calculations!BT356+c_Calculations!BT$24*c_Calculations!BT366)</f>
        <v/>
      </c>
      <c r="BU378" s="268">
        <f>IF(BU$7="Actual","",BU276*c_Calculations!BU$15+c_Calculations!BU$16*c_Calculations!BU286+c_Calculations!$T24*c_Calculations!BU296+c_Calculations!BU$18*c_Calculations!BU306+c_Calculations!BU$19*c_Calculations!BU316+c_Calculations!BU$20*c_Calculations!BU326+c_Calculations!BU$21*c_Calculations!BU336+c_Calculations!BU$22*c_Calculations!BU346+c_Calculations!BU$23*c_Calculations!BU356+c_Calculations!BU$24*c_Calculations!BU366)</f>
        <v/>
      </c>
      <c r="BV378" s="268">
        <f>IF(BV$7="Actual","",BV276*c_Calculations!BV$15+c_Calculations!BV$16*c_Calculations!BV286+c_Calculations!$T24*c_Calculations!BV296+c_Calculations!BV$18*c_Calculations!BV306+c_Calculations!BV$19*c_Calculations!BV316+c_Calculations!BV$20*c_Calculations!BV326+c_Calculations!BV$21*c_Calculations!BV336+c_Calculations!BV$22*c_Calculations!BV346+c_Calculations!BV$23*c_Calculations!BV356+c_Calculations!BV$24*c_Calculations!BV366)</f>
        <v/>
      </c>
      <c r="BW378" s="268">
        <f>IF(BW$7="Actual","",BW276*c_Calculations!BW$15+c_Calculations!BW$16*c_Calculations!BW286+c_Calculations!$T24*c_Calculations!BW296+c_Calculations!BW$18*c_Calculations!BW306+c_Calculations!BW$19*c_Calculations!BW316+c_Calculations!BW$20*c_Calculations!BW326+c_Calculations!BW$21*c_Calculations!BW336+c_Calculations!BW$22*c_Calculations!BW346+c_Calculations!BW$23*c_Calculations!BW356+c_Calculations!BW$24*c_Calculations!BW366)</f>
        <v/>
      </c>
      <c r="BX378" s="268">
        <f>IF(BX$7="Actual","",BX276*c_Calculations!BX$15+c_Calculations!BX$16*c_Calculations!BX286+c_Calculations!$T24*c_Calculations!BX296+c_Calculations!BX$18*c_Calculations!BX306+c_Calculations!BX$19*c_Calculations!BX316+c_Calculations!BX$20*c_Calculations!BX326+c_Calculations!BX$21*c_Calculations!BX336+c_Calculations!BX$22*c_Calculations!BX346+c_Calculations!BX$23*c_Calculations!BX356+c_Calculations!BX$24*c_Calculations!BX366)</f>
        <v/>
      </c>
      <c r="BY378" s="268">
        <f>IF(BY$7="Actual","",BY276*c_Calculations!BY$15+c_Calculations!BY$16*c_Calculations!BY286+c_Calculations!$T24*c_Calculations!BY296+c_Calculations!BY$18*c_Calculations!BY306+c_Calculations!BY$19*c_Calculations!BY316+c_Calculations!BY$20*c_Calculations!BY326+c_Calculations!BY$21*c_Calculations!BY336+c_Calculations!BY$22*c_Calculations!BY346+c_Calculations!BY$23*c_Calculations!BY356+c_Calculations!BY$24*c_Calculations!BY366)</f>
        <v/>
      </c>
      <c r="BZ378" s="268">
        <f>IF(BZ$7="Actual","",BZ276*c_Calculations!BZ$15+c_Calculations!BZ$16*c_Calculations!BZ286+c_Calculations!$T24*c_Calculations!BZ296+c_Calculations!BZ$18*c_Calculations!BZ306+c_Calculations!BZ$19*c_Calculations!BZ316+c_Calculations!BZ$20*c_Calculations!BZ326+c_Calculations!BZ$21*c_Calculations!BZ336+c_Calculations!BZ$22*c_Calculations!BZ346+c_Calculations!BZ$23*c_Calculations!BZ356+c_Calculations!BZ$24*c_Calculations!BZ366)</f>
        <v/>
      </c>
      <c r="CA378" s="268">
        <f>IF(CA$7="Actual","",CA276*c_Calculations!CA$15+c_Calculations!CA$16*c_Calculations!CA286+c_Calculations!$T24*c_Calculations!CA296+c_Calculations!CA$18*c_Calculations!CA306+c_Calculations!CA$19*c_Calculations!CA316+c_Calculations!CA$20*c_Calculations!CA326+c_Calculations!CA$21*c_Calculations!CA336+c_Calculations!CA$22*c_Calculations!CA346+c_Calculations!CA$23*c_Calculations!CA356+c_Calculations!CA$24*c_Calculations!CA366)</f>
        <v/>
      </c>
      <c r="CB378" s="268" t="n"/>
    </row>
    <row r="379" ht="12" customHeight="1" s="227" thickBot="1">
      <c r="A379" s="244" t="n"/>
      <c r="B379" s="244" t="n"/>
      <c r="C379" s="244" t="n"/>
      <c r="H379" s="42" t="inlineStr">
        <is>
          <t>Total Direct Staff</t>
        </is>
      </c>
      <c r="I379" s="43" t="inlineStr">
        <is>
          <t>no</t>
        </is>
      </c>
      <c r="K379" s="6" t="n"/>
      <c r="M379" s="264">
        <f>SUM(M371:M378)</f>
        <v/>
      </c>
      <c r="N379" s="264">
        <f>SUM(N371:N378)</f>
        <v/>
      </c>
      <c r="O379" s="264">
        <f>SUM(O371:O378)</f>
        <v/>
      </c>
      <c r="P379" s="264">
        <f>SUM(P371:P378)</f>
        <v/>
      </c>
      <c r="Q379" s="264">
        <f>SUM(Q371:Q378)</f>
        <v/>
      </c>
      <c r="R379" s="270" t="n"/>
      <c r="S379" s="270" t="n"/>
      <c r="T379" s="264">
        <f>SUM(T371:T378)</f>
        <v/>
      </c>
      <c r="U379" s="264">
        <f>SUM(U371:U378)</f>
        <v/>
      </c>
      <c r="V379" s="264">
        <f>SUM(V371:V378)</f>
        <v/>
      </c>
      <c r="W379" s="264">
        <f>SUM(W371:W378)</f>
        <v/>
      </c>
      <c r="X379" s="264">
        <f>SUM(X371:X378)</f>
        <v/>
      </c>
      <c r="Y379" s="264">
        <f>SUM(Y371:Y378)</f>
        <v/>
      </c>
      <c r="Z379" s="264">
        <f>SUM(Z371:Z378)</f>
        <v/>
      </c>
      <c r="AA379" s="264">
        <f>SUM(AA371:AA378)</f>
        <v/>
      </c>
      <c r="AB379" s="264">
        <f>SUM(AB371:AB378)</f>
        <v/>
      </c>
      <c r="AC379" s="264">
        <f>SUM(AC371:AC378)</f>
        <v/>
      </c>
      <c r="AD379" s="264">
        <f>SUM(AD371:AD378)</f>
        <v/>
      </c>
      <c r="AE379" s="264">
        <f>SUM(AE371:AE378)</f>
        <v/>
      </c>
      <c r="AF379" s="264">
        <f>SUM(AF371:AF378)</f>
        <v/>
      </c>
      <c r="AG379" s="264">
        <f>SUM(AG371:AG378)</f>
        <v/>
      </c>
      <c r="AH379" s="264">
        <f>SUM(AH371:AH378)</f>
        <v/>
      </c>
      <c r="AI379" s="264">
        <f>SUM(AI371:AI378)</f>
        <v/>
      </c>
      <c r="AJ379" s="264">
        <f>SUM(AJ371:AJ378)</f>
        <v/>
      </c>
      <c r="AK379" s="264">
        <f>SUM(AK371:AK378)</f>
        <v/>
      </c>
      <c r="AL379" s="264">
        <f>SUM(AL371:AL378)</f>
        <v/>
      </c>
      <c r="AM379" s="264">
        <f>SUM(AM371:AM378)</f>
        <v/>
      </c>
      <c r="AN379" s="264">
        <f>SUM(AN371:AN378)</f>
        <v/>
      </c>
      <c r="AO379" s="264">
        <f>SUM(AO371:AO378)</f>
        <v/>
      </c>
      <c r="AP379" s="264">
        <f>SUM(AP371:AP378)</f>
        <v/>
      </c>
      <c r="AQ379" s="264">
        <f>SUM(AQ371:AQ378)</f>
        <v/>
      </c>
      <c r="AR379" s="264">
        <f>SUM(AR371:AR378)</f>
        <v/>
      </c>
      <c r="AS379" s="264">
        <f>SUM(AS371:AS378)</f>
        <v/>
      </c>
      <c r="AT379" s="264">
        <f>SUM(AT371:AT378)</f>
        <v/>
      </c>
      <c r="AU379" s="264">
        <f>SUM(AU371:AU378)</f>
        <v/>
      </c>
      <c r="AV379" s="264">
        <f>SUM(AV371:AV378)</f>
        <v/>
      </c>
      <c r="AW379" s="264">
        <f>SUM(AW371:AW378)</f>
        <v/>
      </c>
      <c r="AX379" s="264">
        <f>SUM(AX371:AX378)</f>
        <v/>
      </c>
      <c r="AY379" s="264">
        <f>SUM(AY371:AY378)</f>
        <v/>
      </c>
      <c r="AZ379" s="264">
        <f>SUM(AZ371:AZ378)</f>
        <v/>
      </c>
      <c r="BA379" s="264">
        <f>SUM(BA371:BA378)</f>
        <v/>
      </c>
      <c r="BB379" s="264">
        <f>SUM(BB371:BB378)</f>
        <v/>
      </c>
      <c r="BC379" s="264">
        <f>SUM(BC371:BC378)</f>
        <v/>
      </c>
      <c r="BD379" s="264">
        <f>SUM(BD371:BD378)</f>
        <v/>
      </c>
      <c r="BE379" s="264">
        <f>SUM(BE371:BE378)</f>
        <v/>
      </c>
      <c r="BF379" s="264">
        <f>SUM(BF371:BF378)</f>
        <v/>
      </c>
      <c r="BG379" s="264">
        <f>SUM(BG371:BG378)</f>
        <v/>
      </c>
      <c r="BH379" s="264">
        <f>SUM(BH371:BH378)</f>
        <v/>
      </c>
      <c r="BI379" s="264">
        <f>SUM(BI371:BI378)</f>
        <v/>
      </c>
      <c r="BJ379" s="264">
        <f>SUM(BJ371:BJ378)</f>
        <v/>
      </c>
      <c r="BK379" s="264">
        <f>SUM(BK371:BK378)</f>
        <v/>
      </c>
      <c r="BL379" s="264">
        <f>SUM(BL371:BL378)</f>
        <v/>
      </c>
      <c r="BM379" s="264">
        <f>SUM(BM371:BM378)</f>
        <v/>
      </c>
      <c r="BN379" s="264">
        <f>SUM(BN371:BN378)</f>
        <v/>
      </c>
      <c r="BO379" s="264">
        <f>SUM(BO371:BO378)</f>
        <v/>
      </c>
      <c r="BP379" s="264">
        <f>SUM(BP371:BP378)</f>
        <v/>
      </c>
      <c r="BQ379" s="264">
        <f>SUM(BQ371:BQ378)</f>
        <v/>
      </c>
      <c r="BR379" s="264">
        <f>SUM(BR371:BR378)</f>
        <v/>
      </c>
      <c r="BS379" s="264">
        <f>SUM(BS371:BS378)</f>
        <v/>
      </c>
      <c r="BT379" s="264">
        <f>SUM(BT371:BT378)</f>
        <v/>
      </c>
      <c r="BU379" s="264">
        <f>SUM(BU371:BU378)</f>
        <v/>
      </c>
      <c r="BV379" s="264">
        <f>SUM(BV371:BV378)</f>
        <v/>
      </c>
      <c r="BW379" s="264">
        <f>SUM(BW371:BW378)</f>
        <v/>
      </c>
      <c r="BX379" s="264">
        <f>SUM(BX371:BX378)</f>
        <v/>
      </c>
      <c r="BY379" s="264">
        <f>SUM(BY371:BY378)</f>
        <v/>
      </c>
      <c r="BZ379" s="264">
        <f>SUM(BZ371:BZ378)</f>
        <v/>
      </c>
      <c r="CA379" s="264">
        <f>SUM(CA371:CA378)</f>
        <v/>
      </c>
    </row>
    <row r="380" ht="12" customHeight="1" s="227">
      <c r="A380" s="244" t="n"/>
      <c r="B380" s="244" t="n"/>
      <c r="C380" s="244" t="n"/>
      <c r="K380" s="6" t="n"/>
    </row>
    <row r="381" ht="12" customHeight="1" s="227">
      <c r="A381" s="244" t="n"/>
      <c r="B381" s="244" t="n"/>
      <c r="C381" s="244" t="n"/>
      <c r="K381" s="6" t="n"/>
    </row>
    <row r="382" ht="12" customHeight="1" s="227">
      <c r="A382" s="244" t="n"/>
      <c r="B382" s="244" t="n"/>
      <c r="C382" s="244" t="n"/>
      <c r="G382" s="222" t="inlineStr">
        <is>
          <t>Average salary per full time position</t>
        </is>
      </c>
      <c r="K382" s="6" t="n"/>
    </row>
    <row r="383" ht="12" customHeight="1" s="227">
      <c r="A383" s="244" t="n"/>
      <c r="B383" s="244" t="n"/>
      <c r="C383" s="244" t="n"/>
      <c r="K383" s="6" t="n"/>
    </row>
    <row r="384" ht="12" customHeight="1" s="227">
      <c r="A384" s="244" t="n"/>
      <c r="B384" s="244" t="n"/>
      <c r="C384" s="244" t="n"/>
      <c r="H384" s="0">
        <f>i_Setup!U46</f>
        <v/>
      </c>
      <c r="I384" s="27">
        <f>i_Setup!$M$16</f>
        <v/>
      </c>
      <c r="K384" s="6" t="n"/>
      <c r="M384" s="257">
        <f>IF(M$7="Actual","",i_Assumptions!M465)</f>
        <v/>
      </c>
      <c r="N384" s="257">
        <f>IF(N$7="Actual","",i_Assumptions!N465)</f>
        <v/>
      </c>
      <c r="O384" s="257">
        <f>IF(O$7="Actual","",i_Assumptions!O465)</f>
        <v/>
      </c>
      <c r="P384" s="257">
        <f>IF(P$7="Actual","",i_Assumptions!P465)</f>
        <v/>
      </c>
      <c r="Q384" s="257">
        <f>IF(Q$7="Actual","",i_Assumptions!Q465)</f>
        <v/>
      </c>
      <c r="T384" s="257">
        <f>IF(T$7="Actual","",IFERROR((INDEX($M384:$Q384,,MATCH(T$4,$M$4:$Q$4,0))/12),0))</f>
        <v/>
      </c>
      <c r="U384" s="257">
        <f>IF(U$7="Actual","",IFERROR((INDEX($M384:$Q384,,MATCH(U$4,$M$4:$Q$4,0))/12),0))</f>
        <v/>
      </c>
      <c r="V384" s="257">
        <f>IF(V$7="Actual","",IFERROR((INDEX($M384:$Q384,,MATCH(V$4,$M$4:$Q$4,0))/12),0))</f>
        <v/>
      </c>
      <c r="W384" s="257">
        <f>IF(W$7="Actual","",IFERROR((INDEX($M384:$Q384,,MATCH(W$4,$M$4:$Q$4,0))/12),0))</f>
        <v/>
      </c>
      <c r="X384" s="257">
        <f>IF(X$7="Actual","",IFERROR((INDEX($M384:$Q384,,MATCH(X$4,$M$4:$Q$4,0))/12),0))</f>
        <v/>
      </c>
      <c r="Y384" s="257">
        <f>IF(Y$7="Actual","",IFERROR((INDEX($M384:$Q384,,MATCH(Y$4,$M$4:$Q$4,0))/12),0))</f>
        <v/>
      </c>
      <c r="Z384" s="257">
        <f>IF(Z$7="Actual","",IFERROR((INDEX($M384:$Q384,,MATCH(Z$4,$M$4:$Q$4,0))/12),0))</f>
        <v/>
      </c>
      <c r="AA384" s="257">
        <f>IF(AA$7="Actual","",IFERROR((INDEX($M384:$Q384,,MATCH(AA$4,$M$4:$Q$4,0))/12),0))</f>
        <v/>
      </c>
      <c r="AB384" s="257">
        <f>IF(AB$7="Actual","",IFERROR((INDEX($M384:$Q384,,MATCH(AB$4,$M$4:$Q$4,0))/12),0))</f>
        <v/>
      </c>
      <c r="AC384" s="257">
        <f>IF(AC$7="Actual","",IFERROR((INDEX($M384:$Q384,,MATCH(AC$4,$M$4:$Q$4,0))/12),0))</f>
        <v/>
      </c>
      <c r="AD384" s="257">
        <f>IF(AD$7="Actual","",IFERROR((INDEX($M384:$Q384,,MATCH(AD$4,$M$4:$Q$4,0))/12),0))</f>
        <v/>
      </c>
      <c r="AE384" s="257">
        <f>IF(AE$7="Actual","",IFERROR((INDEX($M384:$Q384,,MATCH(AE$4,$M$4:$Q$4,0))/12),0))</f>
        <v/>
      </c>
      <c r="AF384" s="257">
        <f>IF(AF$7="Actual","",IFERROR((INDEX($M384:$Q384,,MATCH(AF$4,$M$4:$Q$4,0))/12),0))</f>
        <v/>
      </c>
      <c r="AG384" s="257">
        <f>IF(AG$7="Actual","",IFERROR((INDEX($M384:$Q384,,MATCH(AG$4,$M$4:$Q$4,0))/12),0))</f>
        <v/>
      </c>
      <c r="AH384" s="257">
        <f>IF(AH$7="Actual","",IFERROR((INDEX($M384:$Q384,,MATCH(AH$4,$M$4:$Q$4,0))/12),0))</f>
        <v/>
      </c>
      <c r="AI384" s="257">
        <f>IF(AI$7="Actual","",IFERROR((INDEX($M384:$Q384,,MATCH(AI$4,$M$4:$Q$4,0))/12),0))</f>
        <v/>
      </c>
      <c r="AJ384" s="257">
        <f>IF(AJ$7="Actual","",IFERROR((INDEX($M384:$Q384,,MATCH(AJ$4,$M$4:$Q$4,0))/12),0))</f>
        <v/>
      </c>
      <c r="AK384" s="257">
        <f>IF(AK$7="Actual","",IFERROR((INDEX($M384:$Q384,,MATCH(AK$4,$M$4:$Q$4,0))/12),0))</f>
        <v/>
      </c>
      <c r="AL384" s="257">
        <f>IF(AL$7="Actual","",IFERROR((INDEX($M384:$Q384,,MATCH(AL$4,$M$4:$Q$4,0))/12),0))</f>
        <v/>
      </c>
      <c r="AM384" s="257">
        <f>IF(AM$7="Actual","",IFERROR((INDEX($M384:$Q384,,MATCH(AM$4,$M$4:$Q$4,0))/12),0))</f>
        <v/>
      </c>
      <c r="AN384" s="257">
        <f>IF(AN$7="Actual","",IFERROR((INDEX($M384:$Q384,,MATCH(AN$4,$M$4:$Q$4,0))/12),0))</f>
        <v/>
      </c>
      <c r="AO384" s="257">
        <f>IF(AO$7="Actual","",IFERROR((INDEX($M384:$Q384,,MATCH(AO$4,$M$4:$Q$4,0))/12),0))</f>
        <v/>
      </c>
      <c r="AP384" s="257">
        <f>IF(AP$7="Actual","",IFERROR((INDEX($M384:$Q384,,MATCH(AP$4,$M$4:$Q$4,0))/12),0))</f>
        <v/>
      </c>
      <c r="AQ384" s="257">
        <f>IF(AQ$7="Actual","",IFERROR((INDEX($M384:$Q384,,MATCH(AQ$4,$M$4:$Q$4,0))/12),0))</f>
        <v/>
      </c>
      <c r="AR384" s="257">
        <f>IF(AR$7="Actual","",IFERROR((INDEX($M384:$Q384,,MATCH(AR$4,$M$4:$Q$4,0))/12),0))</f>
        <v/>
      </c>
      <c r="AS384" s="257">
        <f>IF(AS$7="Actual","",IFERROR((INDEX($M384:$Q384,,MATCH(AS$4,$M$4:$Q$4,0))/12),0))</f>
        <v/>
      </c>
      <c r="AT384" s="257">
        <f>IF(AT$7="Actual","",IFERROR((INDEX($M384:$Q384,,MATCH(AT$4,$M$4:$Q$4,0))/12),0))</f>
        <v/>
      </c>
      <c r="AU384" s="257">
        <f>IF(AU$7="Actual","",IFERROR((INDEX($M384:$Q384,,MATCH(AU$4,$M$4:$Q$4,0))/12),0))</f>
        <v/>
      </c>
      <c r="AV384" s="257">
        <f>IF(AV$7="Actual","",IFERROR((INDEX($M384:$Q384,,MATCH(AV$4,$M$4:$Q$4,0))/12),0))</f>
        <v/>
      </c>
      <c r="AW384" s="257">
        <f>IF(AW$7="Actual","",IFERROR((INDEX($M384:$Q384,,MATCH(AW$4,$M$4:$Q$4,0))/12),0))</f>
        <v/>
      </c>
      <c r="AX384" s="257">
        <f>IF(AX$7="Actual","",IFERROR((INDEX($M384:$Q384,,MATCH(AX$4,$M$4:$Q$4,0))/12),0))</f>
        <v/>
      </c>
      <c r="AY384" s="257">
        <f>IF(AY$7="Actual","",IFERROR((INDEX($M384:$Q384,,MATCH(AY$4,$M$4:$Q$4,0))/12),0))</f>
        <v/>
      </c>
      <c r="AZ384" s="257">
        <f>IF(AZ$7="Actual","",IFERROR((INDEX($M384:$Q384,,MATCH(AZ$4,$M$4:$Q$4,0))/12),0))</f>
        <v/>
      </c>
      <c r="BA384" s="257">
        <f>IF(BA$7="Actual","",IFERROR((INDEX($M384:$Q384,,MATCH(BA$4,$M$4:$Q$4,0))/12),0))</f>
        <v/>
      </c>
      <c r="BB384" s="257">
        <f>IF(BB$7="Actual","",IFERROR((INDEX($M384:$Q384,,MATCH(BB$4,$M$4:$Q$4,0))/12),0))</f>
        <v/>
      </c>
      <c r="BC384" s="257">
        <f>IF(BC$7="Actual","",IFERROR((INDEX($M384:$Q384,,MATCH(BC$4,$M$4:$Q$4,0))/12),0))</f>
        <v/>
      </c>
      <c r="BD384" s="257">
        <f>IF(BD$7="Actual","",IFERROR((INDEX($M384:$Q384,,MATCH(BD$4,$M$4:$Q$4,0))/12),0))</f>
        <v/>
      </c>
      <c r="BE384" s="257">
        <f>IF(BE$7="Actual","",IFERROR((INDEX($M384:$Q384,,MATCH(BE$4,$M$4:$Q$4,0))/12),0))</f>
        <v/>
      </c>
      <c r="BF384" s="257">
        <f>IF(BF$7="Actual","",IFERROR((INDEX($M384:$Q384,,MATCH(BF$4,$M$4:$Q$4,0))/12),0))</f>
        <v/>
      </c>
      <c r="BG384" s="257">
        <f>IF(BG$7="Actual","",IFERROR((INDEX($M384:$Q384,,MATCH(BG$4,$M$4:$Q$4,0))/12),0))</f>
        <v/>
      </c>
      <c r="BH384" s="257">
        <f>IF(BH$7="Actual","",IFERROR((INDEX($M384:$Q384,,MATCH(BH$4,$M$4:$Q$4,0))/12),0))</f>
        <v/>
      </c>
      <c r="BI384" s="257">
        <f>IF(BI$7="Actual","",IFERROR((INDEX($M384:$Q384,,MATCH(BI$4,$M$4:$Q$4,0))/12),0))</f>
        <v/>
      </c>
      <c r="BJ384" s="257">
        <f>IF(BJ$7="Actual","",IFERROR((INDEX($M384:$Q384,,MATCH(BJ$4,$M$4:$Q$4,0))/12),0))</f>
        <v/>
      </c>
      <c r="BK384" s="257">
        <f>IF(BK$7="Actual","",IFERROR((INDEX($M384:$Q384,,MATCH(BK$4,$M$4:$Q$4,0))/12),0))</f>
        <v/>
      </c>
      <c r="BL384" s="257">
        <f>IF(BL$7="Actual","",IFERROR((INDEX($M384:$Q384,,MATCH(BL$4,$M$4:$Q$4,0))/12),0))</f>
        <v/>
      </c>
      <c r="BM384" s="257">
        <f>IF(BM$7="Actual","",IFERROR((INDEX($M384:$Q384,,MATCH(BM$4,$M$4:$Q$4,0))/12),0))</f>
        <v/>
      </c>
      <c r="BN384" s="257">
        <f>IF(BN$7="Actual","",IFERROR((INDEX($M384:$Q384,,MATCH(BN$4,$M$4:$Q$4,0))/12),0))</f>
        <v/>
      </c>
      <c r="BO384" s="257">
        <f>IF(BO$7="Actual","",IFERROR((INDEX($M384:$Q384,,MATCH(BO$4,$M$4:$Q$4,0))/12),0))</f>
        <v/>
      </c>
      <c r="BP384" s="257">
        <f>IF(BP$7="Actual","",IFERROR((INDEX($M384:$Q384,,MATCH(BP$4,$M$4:$Q$4,0))/12),0))</f>
        <v/>
      </c>
      <c r="BQ384" s="257">
        <f>IF(BQ$7="Actual","",IFERROR((INDEX($M384:$Q384,,MATCH(BQ$4,$M$4:$Q$4,0))/12),0))</f>
        <v/>
      </c>
      <c r="BR384" s="257">
        <f>IF(BR$7="Actual","",IFERROR((INDEX($M384:$Q384,,MATCH(BR$4,$M$4:$Q$4,0))/12),0))</f>
        <v/>
      </c>
      <c r="BS384" s="257">
        <f>IF(BS$7="Actual","",IFERROR((INDEX($M384:$Q384,,MATCH(BS$4,$M$4:$Q$4,0))/12),0))</f>
        <v/>
      </c>
      <c r="BT384" s="257">
        <f>IF(BT$7="Actual","",IFERROR((INDEX($M384:$Q384,,MATCH(BT$4,$M$4:$Q$4,0))/12),0))</f>
        <v/>
      </c>
      <c r="BU384" s="257">
        <f>IF(BU$7="Actual","",IFERROR((INDEX($M384:$Q384,,MATCH(BU$4,$M$4:$Q$4,0))/12),0))</f>
        <v/>
      </c>
      <c r="BV384" s="257">
        <f>IF(BV$7="Actual","",IFERROR((INDEX($M384:$Q384,,MATCH(BV$4,$M$4:$Q$4,0))/12),0))</f>
        <v/>
      </c>
      <c r="BW384" s="257">
        <f>IF(BW$7="Actual","",IFERROR((INDEX($M384:$Q384,,MATCH(BW$4,$M$4:$Q$4,0))/12),0))</f>
        <v/>
      </c>
      <c r="BX384" s="257">
        <f>IF(BX$7="Actual","",IFERROR((INDEX($M384:$Q384,,MATCH(BX$4,$M$4:$Q$4,0))/12),0))</f>
        <v/>
      </c>
      <c r="BY384" s="257">
        <f>IF(BY$7="Actual","",IFERROR((INDEX($M384:$Q384,,MATCH(BY$4,$M$4:$Q$4,0))/12),0))</f>
        <v/>
      </c>
      <c r="BZ384" s="257">
        <f>IF(BZ$7="Actual","",IFERROR((INDEX($M384:$Q384,,MATCH(BZ$4,$M$4:$Q$4,0))/12),0))</f>
        <v/>
      </c>
      <c r="CA384" s="257">
        <f>IF(CA$7="Actual","",IFERROR((INDEX($M384:$Q384,,MATCH(CA$4,$M$4:$Q$4,0))/12),0))</f>
        <v/>
      </c>
    </row>
    <row r="385" ht="12" customHeight="1" s="227">
      <c r="A385" s="244" t="n"/>
      <c r="B385" s="244" t="n"/>
      <c r="C385" s="244" t="n"/>
      <c r="H385" s="0">
        <f>i_Setup!U47</f>
        <v/>
      </c>
      <c r="I385" s="27">
        <f>i_Setup!$M$16</f>
        <v/>
      </c>
      <c r="K385" s="6" t="n"/>
      <c r="M385" s="257">
        <f>IF(M$7="Actual","",i_Assumptions!M466)</f>
        <v/>
      </c>
      <c r="N385" s="257">
        <f>IF(N$7="Actual","",i_Assumptions!N466)</f>
        <v/>
      </c>
      <c r="O385" s="257">
        <f>IF(O$7="Actual","",i_Assumptions!O466)</f>
        <v/>
      </c>
      <c r="P385" s="257">
        <f>IF(P$7="Actual","",i_Assumptions!P466)</f>
        <v/>
      </c>
      <c r="Q385" s="257">
        <f>IF(Q$7="Actual","",i_Assumptions!Q466)</f>
        <v/>
      </c>
      <c r="T385" s="257">
        <f>IF(T$7="Actual","",IFERROR((INDEX($M385:$Q385,,MATCH(T$4,$M$4:$Q$4,0))/12),0))</f>
        <v/>
      </c>
      <c r="U385" s="257">
        <f>IF(U$7="Actual","",IFERROR((INDEX($M385:$Q385,,MATCH(U$4,$M$4:$Q$4,0))/12),0))</f>
        <v/>
      </c>
      <c r="V385" s="257">
        <f>IF(V$7="Actual","",IFERROR((INDEX($M385:$Q385,,MATCH(V$4,$M$4:$Q$4,0))/12),0))</f>
        <v/>
      </c>
      <c r="W385" s="257">
        <f>IF(W$7="Actual","",IFERROR((INDEX($M385:$Q385,,MATCH(W$4,$M$4:$Q$4,0))/12),0))</f>
        <v/>
      </c>
      <c r="X385" s="257">
        <f>IF(X$7="Actual","",IFERROR((INDEX($M385:$Q385,,MATCH(X$4,$M$4:$Q$4,0))/12),0))</f>
        <v/>
      </c>
      <c r="Y385" s="257">
        <f>IF(Y$7="Actual","",IFERROR((INDEX($M385:$Q385,,MATCH(Y$4,$M$4:$Q$4,0))/12),0))</f>
        <v/>
      </c>
      <c r="Z385" s="257">
        <f>IF(Z$7="Actual","",IFERROR((INDEX($M385:$Q385,,MATCH(Z$4,$M$4:$Q$4,0))/12),0))</f>
        <v/>
      </c>
      <c r="AA385" s="257">
        <f>IF(AA$7="Actual","",IFERROR((INDEX($M385:$Q385,,MATCH(AA$4,$M$4:$Q$4,0))/12),0))</f>
        <v/>
      </c>
      <c r="AB385" s="257">
        <f>IF(AB$7="Actual","",IFERROR((INDEX($M385:$Q385,,MATCH(AB$4,$M$4:$Q$4,0))/12),0))</f>
        <v/>
      </c>
      <c r="AC385" s="257">
        <f>IF(AC$7="Actual","",IFERROR((INDEX($M385:$Q385,,MATCH(AC$4,$M$4:$Q$4,0))/12),0))</f>
        <v/>
      </c>
      <c r="AD385" s="257">
        <f>IF(AD$7="Actual","",IFERROR((INDEX($M385:$Q385,,MATCH(AD$4,$M$4:$Q$4,0))/12),0))</f>
        <v/>
      </c>
      <c r="AE385" s="257">
        <f>IF(AE$7="Actual","",IFERROR((INDEX($M385:$Q385,,MATCH(AE$4,$M$4:$Q$4,0))/12),0))</f>
        <v/>
      </c>
      <c r="AF385" s="257">
        <f>IF(AF$7="Actual","",IFERROR((INDEX($M385:$Q385,,MATCH(AF$4,$M$4:$Q$4,0))/12),0))</f>
        <v/>
      </c>
      <c r="AG385" s="257">
        <f>IF(AG$7="Actual","",IFERROR((INDEX($M385:$Q385,,MATCH(AG$4,$M$4:$Q$4,0))/12),0))</f>
        <v/>
      </c>
      <c r="AH385" s="257">
        <f>IF(AH$7="Actual","",IFERROR((INDEX($M385:$Q385,,MATCH(AH$4,$M$4:$Q$4,0))/12),0))</f>
        <v/>
      </c>
      <c r="AI385" s="257">
        <f>IF(AI$7="Actual","",IFERROR((INDEX($M385:$Q385,,MATCH(AI$4,$M$4:$Q$4,0))/12),0))</f>
        <v/>
      </c>
      <c r="AJ385" s="257">
        <f>IF(AJ$7="Actual","",IFERROR((INDEX($M385:$Q385,,MATCH(AJ$4,$M$4:$Q$4,0))/12),0))</f>
        <v/>
      </c>
      <c r="AK385" s="257">
        <f>IF(AK$7="Actual","",IFERROR((INDEX($M385:$Q385,,MATCH(AK$4,$M$4:$Q$4,0))/12),0))</f>
        <v/>
      </c>
      <c r="AL385" s="257">
        <f>IF(AL$7="Actual","",IFERROR((INDEX($M385:$Q385,,MATCH(AL$4,$M$4:$Q$4,0))/12),0))</f>
        <v/>
      </c>
      <c r="AM385" s="257">
        <f>IF(AM$7="Actual","",IFERROR((INDEX($M385:$Q385,,MATCH(AM$4,$M$4:$Q$4,0))/12),0))</f>
        <v/>
      </c>
      <c r="AN385" s="257">
        <f>IF(AN$7="Actual","",IFERROR((INDEX($M385:$Q385,,MATCH(AN$4,$M$4:$Q$4,0))/12),0))</f>
        <v/>
      </c>
      <c r="AO385" s="257">
        <f>IF(AO$7="Actual","",IFERROR((INDEX($M385:$Q385,,MATCH(AO$4,$M$4:$Q$4,0))/12),0))</f>
        <v/>
      </c>
      <c r="AP385" s="257">
        <f>IF(AP$7="Actual","",IFERROR((INDEX($M385:$Q385,,MATCH(AP$4,$M$4:$Q$4,0))/12),0))</f>
        <v/>
      </c>
      <c r="AQ385" s="257">
        <f>IF(AQ$7="Actual","",IFERROR((INDEX($M385:$Q385,,MATCH(AQ$4,$M$4:$Q$4,0))/12),0))</f>
        <v/>
      </c>
      <c r="AR385" s="257">
        <f>IF(AR$7="Actual","",IFERROR((INDEX($M385:$Q385,,MATCH(AR$4,$M$4:$Q$4,0))/12),0))</f>
        <v/>
      </c>
      <c r="AS385" s="257">
        <f>IF(AS$7="Actual","",IFERROR((INDEX($M385:$Q385,,MATCH(AS$4,$M$4:$Q$4,0))/12),0))</f>
        <v/>
      </c>
      <c r="AT385" s="257">
        <f>IF(AT$7="Actual","",IFERROR((INDEX($M385:$Q385,,MATCH(AT$4,$M$4:$Q$4,0))/12),0))</f>
        <v/>
      </c>
      <c r="AU385" s="257">
        <f>IF(AU$7="Actual","",IFERROR((INDEX($M385:$Q385,,MATCH(AU$4,$M$4:$Q$4,0))/12),0))</f>
        <v/>
      </c>
      <c r="AV385" s="257">
        <f>IF(AV$7="Actual","",IFERROR((INDEX($M385:$Q385,,MATCH(AV$4,$M$4:$Q$4,0))/12),0))</f>
        <v/>
      </c>
      <c r="AW385" s="257">
        <f>IF(AW$7="Actual","",IFERROR((INDEX($M385:$Q385,,MATCH(AW$4,$M$4:$Q$4,0))/12),0))</f>
        <v/>
      </c>
      <c r="AX385" s="257">
        <f>IF(AX$7="Actual","",IFERROR((INDEX($M385:$Q385,,MATCH(AX$4,$M$4:$Q$4,0))/12),0))</f>
        <v/>
      </c>
      <c r="AY385" s="257">
        <f>IF(AY$7="Actual","",IFERROR((INDEX($M385:$Q385,,MATCH(AY$4,$M$4:$Q$4,0))/12),0))</f>
        <v/>
      </c>
      <c r="AZ385" s="257">
        <f>IF(AZ$7="Actual","",IFERROR((INDEX($M385:$Q385,,MATCH(AZ$4,$M$4:$Q$4,0))/12),0))</f>
        <v/>
      </c>
      <c r="BA385" s="257">
        <f>IF(BA$7="Actual","",IFERROR((INDEX($M385:$Q385,,MATCH(BA$4,$M$4:$Q$4,0))/12),0))</f>
        <v/>
      </c>
      <c r="BB385" s="257">
        <f>IF(BB$7="Actual","",IFERROR((INDEX($M385:$Q385,,MATCH(BB$4,$M$4:$Q$4,0))/12),0))</f>
        <v/>
      </c>
      <c r="BC385" s="257">
        <f>IF(BC$7="Actual","",IFERROR((INDEX($M385:$Q385,,MATCH(BC$4,$M$4:$Q$4,0))/12),0))</f>
        <v/>
      </c>
      <c r="BD385" s="257">
        <f>IF(BD$7="Actual","",IFERROR((INDEX($M385:$Q385,,MATCH(BD$4,$M$4:$Q$4,0))/12),0))</f>
        <v/>
      </c>
      <c r="BE385" s="257">
        <f>IF(BE$7="Actual","",IFERROR((INDEX($M385:$Q385,,MATCH(BE$4,$M$4:$Q$4,0))/12),0))</f>
        <v/>
      </c>
      <c r="BF385" s="257">
        <f>IF(BF$7="Actual","",IFERROR((INDEX($M385:$Q385,,MATCH(BF$4,$M$4:$Q$4,0))/12),0))</f>
        <v/>
      </c>
      <c r="BG385" s="257">
        <f>IF(BG$7="Actual","",IFERROR((INDEX($M385:$Q385,,MATCH(BG$4,$M$4:$Q$4,0))/12),0))</f>
        <v/>
      </c>
      <c r="BH385" s="257">
        <f>IF(BH$7="Actual","",IFERROR((INDEX($M385:$Q385,,MATCH(BH$4,$M$4:$Q$4,0))/12),0))</f>
        <v/>
      </c>
      <c r="BI385" s="257">
        <f>IF(BI$7="Actual","",IFERROR((INDEX($M385:$Q385,,MATCH(BI$4,$M$4:$Q$4,0))/12),0))</f>
        <v/>
      </c>
      <c r="BJ385" s="257">
        <f>IF(BJ$7="Actual","",IFERROR((INDEX($M385:$Q385,,MATCH(BJ$4,$M$4:$Q$4,0))/12),0))</f>
        <v/>
      </c>
      <c r="BK385" s="257">
        <f>IF(BK$7="Actual","",IFERROR((INDEX($M385:$Q385,,MATCH(BK$4,$M$4:$Q$4,0))/12),0))</f>
        <v/>
      </c>
      <c r="BL385" s="257">
        <f>IF(BL$7="Actual","",IFERROR((INDEX($M385:$Q385,,MATCH(BL$4,$M$4:$Q$4,0))/12),0))</f>
        <v/>
      </c>
      <c r="BM385" s="257">
        <f>IF(BM$7="Actual","",IFERROR((INDEX($M385:$Q385,,MATCH(BM$4,$M$4:$Q$4,0))/12),0))</f>
        <v/>
      </c>
      <c r="BN385" s="257">
        <f>IF(BN$7="Actual","",IFERROR((INDEX($M385:$Q385,,MATCH(BN$4,$M$4:$Q$4,0))/12),0))</f>
        <v/>
      </c>
      <c r="BO385" s="257">
        <f>IF(BO$7="Actual","",IFERROR((INDEX($M385:$Q385,,MATCH(BO$4,$M$4:$Q$4,0))/12),0))</f>
        <v/>
      </c>
      <c r="BP385" s="257">
        <f>IF(BP$7="Actual","",IFERROR((INDEX($M385:$Q385,,MATCH(BP$4,$M$4:$Q$4,0))/12),0))</f>
        <v/>
      </c>
      <c r="BQ385" s="257">
        <f>IF(BQ$7="Actual","",IFERROR((INDEX($M385:$Q385,,MATCH(BQ$4,$M$4:$Q$4,0))/12),0))</f>
        <v/>
      </c>
      <c r="BR385" s="257">
        <f>IF(BR$7="Actual","",IFERROR((INDEX($M385:$Q385,,MATCH(BR$4,$M$4:$Q$4,0))/12),0))</f>
        <v/>
      </c>
      <c r="BS385" s="257">
        <f>IF(BS$7="Actual","",IFERROR((INDEX($M385:$Q385,,MATCH(BS$4,$M$4:$Q$4,0))/12),0))</f>
        <v/>
      </c>
      <c r="BT385" s="257">
        <f>IF(BT$7="Actual","",IFERROR((INDEX($M385:$Q385,,MATCH(BT$4,$M$4:$Q$4,0))/12),0))</f>
        <v/>
      </c>
      <c r="BU385" s="257">
        <f>IF(BU$7="Actual","",IFERROR((INDEX($M385:$Q385,,MATCH(BU$4,$M$4:$Q$4,0))/12),0))</f>
        <v/>
      </c>
      <c r="BV385" s="257">
        <f>IF(BV$7="Actual","",IFERROR((INDEX($M385:$Q385,,MATCH(BV$4,$M$4:$Q$4,0))/12),0))</f>
        <v/>
      </c>
      <c r="BW385" s="257">
        <f>IF(BW$7="Actual","",IFERROR((INDEX($M385:$Q385,,MATCH(BW$4,$M$4:$Q$4,0))/12),0))</f>
        <v/>
      </c>
      <c r="BX385" s="257">
        <f>IF(BX$7="Actual","",IFERROR((INDEX($M385:$Q385,,MATCH(BX$4,$M$4:$Q$4,0))/12),0))</f>
        <v/>
      </c>
      <c r="BY385" s="257">
        <f>IF(BY$7="Actual","",IFERROR((INDEX($M385:$Q385,,MATCH(BY$4,$M$4:$Q$4,0))/12),0))</f>
        <v/>
      </c>
      <c r="BZ385" s="257">
        <f>IF(BZ$7="Actual","",IFERROR((INDEX($M385:$Q385,,MATCH(BZ$4,$M$4:$Q$4,0))/12),0))</f>
        <v/>
      </c>
      <c r="CA385" s="257">
        <f>IF(CA$7="Actual","",IFERROR((INDEX($M385:$Q385,,MATCH(CA$4,$M$4:$Q$4,0))/12),0))</f>
        <v/>
      </c>
    </row>
    <row r="386" ht="12" customHeight="1" s="227">
      <c r="A386" s="244" t="n"/>
      <c r="B386" s="244" t="n"/>
      <c r="C386" s="244" t="n"/>
      <c r="H386" s="0">
        <f>i_Setup!U48</f>
        <v/>
      </c>
      <c r="I386" s="27">
        <f>i_Setup!$M$16</f>
        <v/>
      </c>
      <c r="K386" s="6" t="n"/>
      <c r="M386" s="257">
        <f>IF(M$7="Actual","",i_Assumptions!M467)</f>
        <v/>
      </c>
      <c r="N386" s="257">
        <f>IF(N$7="Actual","",i_Assumptions!N467)</f>
        <v/>
      </c>
      <c r="O386" s="257">
        <f>IF(O$7="Actual","",i_Assumptions!O467)</f>
        <v/>
      </c>
      <c r="P386" s="257">
        <f>IF(P$7="Actual","",i_Assumptions!P467)</f>
        <v/>
      </c>
      <c r="Q386" s="257">
        <f>IF(Q$7="Actual","",i_Assumptions!Q467)</f>
        <v/>
      </c>
      <c r="T386" s="257">
        <f>IF(T$7="Actual","",IFERROR((INDEX($M386:$Q386,,MATCH(T$4,$M$4:$Q$4,0))/12),0))</f>
        <v/>
      </c>
      <c r="U386" s="257">
        <f>IF(U$7="Actual","",IFERROR((INDEX($M386:$Q386,,MATCH(U$4,$M$4:$Q$4,0))/12),0))</f>
        <v/>
      </c>
      <c r="V386" s="257">
        <f>IF(V$7="Actual","",IFERROR((INDEX($M386:$Q386,,MATCH(V$4,$M$4:$Q$4,0))/12),0))</f>
        <v/>
      </c>
      <c r="W386" s="257">
        <f>IF(W$7="Actual","",IFERROR((INDEX($M386:$Q386,,MATCH(W$4,$M$4:$Q$4,0))/12),0))</f>
        <v/>
      </c>
      <c r="X386" s="257">
        <f>IF(X$7="Actual","",IFERROR((INDEX($M386:$Q386,,MATCH(X$4,$M$4:$Q$4,0))/12),0))</f>
        <v/>
      </c>
      <c r="Y386" s="257">
        <f>IF(Y$7="Actual","",IFERROR((INDEX($M386:$Q386,,MATCH(Y$4,$M$4:$Q$4,0))/12),0))</f>
        <v/>
      </c>
      <c r="Z386" s="257">
        <f>IF(Z$7="Actual","",IFERROR((INDEX($M386:$Q386,,MATCH(Z$4,$M$4:$Q$4,0))/12),0))</f>
        <v/>
      </c>
      <c r="AA386" s="257">
        <f>IF(AA$7="Actual","",IFERROR((INDEX($M386:$Q386,,MATCH(AA$4,$M$4:$Q$4,0))/12),0))</f>
        <v/>
      </c>
      <c r="AB386" s="257">
        <f>IF(AB$7="Actual","",IFERROR((INDEX($M386:$Q386,,MATCH(AB$4,$M$4:$Q$4,0))/12),0))</f>
        <v/>
      </c>
      <c r="AC386" s="257">
        <f>IF(AC$7="Actual","",IFERROR((INDEX($M386:$Q386,,MATCH(AC$4,$M$4:$Q$4,0))/12),0))</f>
        <v/>
      </c>
      <c r="AD386" s="257">
        <f>IF(AD$7="Actual","",IFERROR((INDEX($M386:$Q386,,MATCH(AD$4,$M$4:$Q$4,0))/12),0))</f>
        <v/>
      </c>
      <c r="AE386" s="257">
        <f>IF(AE$7="Actual","",IFERROR((INDEX($M386:$Q386,,MATCH(AE$4,$M$4:$Q$4,0))/12),0))</f>
        <v/>
      </c>
      <c r="AF386" s="257">
        <f>IF(AF$7="Actual","",IFERROR((INDEX($M386:$Q386,,MATCH(AF$4,$M$4:$Q$4,0))/12),0))</f>
        <v/>
      </c>
      <c r="AG386" s="257">
        <f>IF(AG$7="Actual","",IFERROR((INDEX($M386:$Q386,,MATCH(AG$4,$M$4:$Q$4,0))/12),0))</f>
        <v/>
      </c>
      <c r="AH386" s="257">
        <f>IF(AH$7="Actual","",IFERROR((INDEX($M386:$Q386,,MATCH(AH$4,$M$4:$Q$4,0))/12),0))</f>
        <v/>
      </c>
      <c r="AI386" s="257">
        <f>IF(AI$7="Actual","",IFERROR((INDEX($M386:$Q386,,MATCH(AI$4,$M$4:$Q$4,0))/12),0))</f>
        <v/>
      </c>
      <c r="AJ386" s="257">
        <f>IF(AJ$7="Actual","",IFERROR((INDEX($M386:$Q386,,MATCH(AJ$4,$M$4:$Q$4,0))/12),0))</f>
        <v/>
      </c>
      <c r="AK386" s="257">
        <f>IF(AK$7="Actual","",IFERROR((INDEX($M386:$Q386,,MATCH(AK$4,$M$4:$Q$4,0))/12),0))</f>
        <v/>
      </c>
      <c r="AL386" s="257">
        <f>IF(AL$7="Actual","",IFERROR((INDEX($M386:$Q386,,MATCH(AL$4,$M$4:$Q$4,0))/12),0))</f>
        <v/>
      </c>
      <c r="AM386" s="257">
        <f>IF(AM$7="Actual","",IFERROR((INDEX($M386:$Q386,,MATCH(AM$4,$M$4:$Q$4,0))/12),0))</f>
        <v/>
      </c>
      <c r="AN386" s="257">
        <f>IF(AN$7="Actual","",IFERROR((INDEX($M386:$Q386,,MATCH(AN$4,$M$4:$Q$4,0))/12),0))</f>
        <v/>
      </c>
      <c r="AO386" s="257">
        <f>IF(AO$7="Actual","",IFERROR((INDEX($M386:$Q386,,MATCH(AO$4,$M$4:$Q$4,0))/12),0))</f>
        <v/>
      </c>
      <c r="AP386" s="257">
        <f>IF(AP$7="Actual","",IFERROR((INDEX($M386:$Q386,,MATCH(AP$4,$M$4:$Q$4,0))/12),0))</f>
        <v/>
      </c>
      <c r="AQ386" s="257">
        <f>IF(AQ$7="Actual","",IFERROR((INDEX($M386:$Q386,,MATCH(AQ$4,$M$4:$Q$4,0))/12),0))</f>
        <v/>
      </c>
      <c r="AR386" s="257">
        <f>IF(AR$7="Actual","",IFERROR((INDEX($M386:$Q386,,MATCH(AR$4,$M$4:$Q$4,0))/12),0))</f>
        <v/>
      </c>
      <c r="AS386" s="257">
        <f>IF(AS$7="Actual","",IFERROR((INDEX($M386:$Q386,,MATCH(AS$4,$M$4:$Q$4,0))/12),0))</f>
        <v/>
      </c>
      <c r="AT386" s="257">
        <f>IF(AT$7="Actual","",IFERROR((INDEX($M386:$Q386,,MATCH(AT$4,$M$4:$Q$4,0))/12),0))</f>
        <v/>
      </c>
      <c r="AU386" s="257">
        <f>IF(AU$7="Actual","",IFERROR((INDEX($M386:$Q386,,MATCH(AU$4,$M$4:$Q$4,0))/12),0))</f>
        <v/>
      </c>
      <c r="AV386" s="257">
        <f>IF(AV$7="Actual","",IFERROR((INDEX($M386:$Q386,,MATCH(AV$4,$M$4:$Q$4,0))/12),0))</f>
        <v/>
      </c>
      <c r="AW386" s="257">
        <f>IF(AW$7="Actual","",IFERROR((INDEX($M386:$Q386,,MATCH(AW$4,$M$4:$Q$4,0))/12),0))</f>
        <v/>
      </c>
      <c r="AX386" s="257">
        <f>IF(AX$7="Actual","",IFERROR((INDEX($M386:$Q386,,MATCH(AX$4,$M$4:$Q$4,0))/12),0))</f>
        <v/>
      </c>
      <c r="AY386" s="257">
        <f>IF(AY$7="Actual","",IFERROR((INDEX($M386:$Q386,,MATCH(AY$4,$M$4:$Q$4,0))/12),0))</f>
        <v/>
      </c>
      <c r="AZ386" s="257">
        <f>IF(AZ$7="Actual","",IFERROR((INDEX($M386:$Q386,,MATCH(AZ$4,$M$4:$Q$4,0))/12),0))</f>
        <v/>
      </c>
      <c r="BA386" s="257">
        <f>IF(BA$7="Actual","",IFERROR((INDEX($M386:$Q386,,MATCH(BA$4,$M$4:$Q$4,0))/12),0))</f>
        <v/>
      </c>
      <c r="BB386" s="257">
        <f>IF(BB$7="Actual","",IFERROR((INDEX($M386:$Q386,,MATCH(BB$4,$M$4:$Q$4,0))/12),0))</f>
        <v/>
      </c>
      <c r="BC386" s="257">
        <f>IF(BC$7="Actual","",IFERROR((INDEX($M386:$Q386,,MATCH(BC$4,$M$4:$Q$4,0))/12),0))</f>
        <v/>
      </c>
      <c r="BD386" s="257">
        <f>IF(BD$7="Actual","",IFERROR((INDEX($M386:$Q386,,MATCH(BD$4,$M$4:$Q$4,0))/12),0))</f>
        <v/>
      </c>
      <c r="BE386" s="257">
        <f>IF(BE$7="Actual","",IFERROR((INDEX($M386:$Q386,,MATCH(BE$4,$M$4:$Q$4,0))/12),0))</f>
        <v/>
      </c>
      <c r="BF386" s="257">
        <f>IF(BF$7="Actual","",IFERROR((INDEX($M386:$Q386,,MATCH(BF$4,$M$4:$Q$4,0))/12),0))</f>
        <v/>
      </c>
      <c r="BG386" s="257">
        <f>IF(BG$7="Actual","",IFERROR((INDEX($M386:$Q386,,MATCH(BG$4,$M$4:$Q$4,0))/12),0))</f>
        <v/>
      </c>
      <c r="BH386" s="257">
        <f>IF(BH$7="Actual","",IFERROR((INDEX($M386:$Q386,,MATCH(BH$4,$M$4:$Q$4,0))/12),0))</f>
        <v/>
      </c>
      <c r="BI386" s="257">
        <f>IF(BI$7="Actual","",IFERROR((INDEX($M386:$Q386,,MATCH(BI$4,$M$4:$Q$4,0))/12),0))</f>
        <v/>
      </c>
      <c r="BJ386" s="257">
        <f>IF(BJ$7="Actual","",IFERROR((INDEX($M386:$Q386,,MATCH(BJ$4,$M$4:$Q$4,0))/12),0))</f>
        <v/>
      </c>
      <c r="BK386" s="257">
        <f>IF(BK$7="Actual","",IFERROR((INDEX($M386:$Q386,,MATCH(BK$4,$M$4:$Q$4,0))/12),0))</f>
        <v/>
      </c>
      <c r="BL386" s="257">
        <f>IF(BL$7="Actual","",IFERROR((INDEX($M386:$Q386,,MATCH(BL$4,$M$4:$Q$4,0))/12),0))</f>
        <v/>
      </c>
      <c r="BM386" s="257">
        <f>IF(BM$7="Actual","",IFERROR((INDEX($M386:$Q386,,MATCH(BM$4,$M$4:$Q$4,0))/12),0))</f>
        <v/>
      </c>
      <c r="BN386" s="257">
        <f>IF(BN$7="Actual","",IFERROR((INDEX($M386:$Q386,,MATCH(BN$4,$M$4:$Q$4,0))/12),0))</f>
        <v/>
      </c>
      <c r="BO386" s="257">
        <f>IF(BO$7="Actual","",IFERROR((INDEX($M386:$Q386,,MATCH(BO$4,$M$4:$Q$4,0))/12),0))</f>
        <v/>
      </c>
      <c r="BP386" s="257">
        <f>IF(BP$7="Actual","",IFERROR((INDEX($M386:$Q386,,MATCH(BP$4,$M$4:$Q$4,0))/12),0))</f>
        <v/>
      </c>
      <c r="BQ386" s="257">
        <f>IF(BQ$7="Actual","",IFERROR((INDEX($M386:$Q386,,MATCH(BQ$4,$M$4:$Q$4,0))/12),0))</f>
        <v/>
      </c>
      <c r="BR386" s="257">
        <f>IF(BR$7="Actual","",IFERROR((INDEX($M386:$Q386,,MATCH(BR$4,$M$4:$Q$4,0))/12),0))</f>
        <v/>
      </c>
      <c r="BS386" s="257">
        <f>IF(BS$7="Actual","",IFERROR((INDEX($M386:$Q386,,MATCH(BS$4,$M$4:$Q$4,0))/12),0))</f>
        <v/>
      </c>
      <c r="BT386" s="257">
        <f>IF(BT$7="Actual","",IFERROR((INDEX($M386:$Q386,,MATCH(BT$4,$M$4:$Q$4,0))/12),0))</f>
        <v/>
      </c>
      <c r="BU386" s="257">
        <f>IF(BU$7="Actual","",IFERROR((INDEX($M386:$Q386,,MATCH(BU$4,$M$4:$Q$4,0))/12),0))</f>
        <v/>
      </c>
      <c r="BV386" s="257">
        <f>IF(BV$7="Actual","",IFERROR((INDEX($M386:$Q386,,MATCH(BV$4,$M$4:$Q$4,0))/12),0))</f>
        <v/>
      </c>
      <c r="BW386" s="257">
        <f>IF(BW$7="Actual","",IFERROR((INDEX($M386:$Q386,,MATCH(BW$4,$M$4:$Q$4,0))/12),0))</f>
        <v/>
      </c>
      <c r="BX386" s="257">
        <f>IF(BX$7="Actual","",IFERROR((INDEX($M386:$Q386,,MATCH(BX$4,$M$4:$Q$4,0))/12),0))</f>
        <v/>
      </c>
      <c r="BY386" s="257">
        <f>IF(BY$7="Actual","",IFERROR((INDEX($M386:$Q386,,MATCH(BY$4,$M$4:$Q$4,0))/12),0))</f>
        <v/>
      </c>
      <c r="BZ386" s="257">
        <f>IF(BZ$7="Actual","",IFERROR((INDEX($M386:$Q386,,MATCH(BZ$4,$M$4:$Q$4,0))/12),0))</f>
        <v/>
      </c>
      <c r="CA386" s="257">
        <f>IF(CA$7="Actual","",IFERROR((INDEX($M386:$Q386,,MATCH(CA$4,$M$4:$Q$4,0))/12),0))</f>
        <v/>
      </c>
    </row>
    <row r="387" ht="12" customHeight="1" s="227">
      <c r="A387" s="244" t="n"/>
      <c r="B387" s="244" t="n"/>
      <c r="C387" s="244" t="n"/>
      <c r="H387" s="0">
        <f>i_Setup!U49</f>
        <v/>
      </c>
      <c r="I387" s="27">
        <f>i_Setup!$M$16</f>
        <v/>
      </c>
      <c r="K387" s="6" t="n"/>
      <c r="M387" s="257">
        <f>IF(M$7="Actual","",i_Assumptions!M468)</f>
        <v/>
      </c>
      <c r="N387" s="257">
        <f>IF(N$7="Actual","",i_Assumptions!N468)</f>
        <v/>
      </c>
      <c r="O387" s="257">
        <f>IF(O$7="Actual","",i_Assumptions!O468)</f>
        <v/>
      </c>
      <c r="P387" s="257">
        <f>IF(P$7="Actual","",i_Assumptions!P468)</f>
        <v/>
      </c>
      <c r="Q387" s="257">
        <f>IF(Q$7="Actual","",i_Assumptions!Q468)</f>
        <v/>
      </c>
      <c r="T387" s="257">
        <f>IF(T$7="Actual","",IFERROR((INDEX($M387:$Q387,,MATCH(T$4,$M$4:$Q$4,0))/12),0))</f>
        <v/>
      </c>
      <c r="U387" s="257">
        <f>IF(U$7="Actual","",IFERROR((INDEX($M387:$Q387,,MATCH(U$4,$M$4:$Q$4,0))/12),0))</f>
        <v/>
      </c>
      <c r="V387" s="257">
        <f>IF(V$7="Actual","",IFERROR((INDEX($M387:$Q387,,MATCH(V$4,$M$4:$Q$4,0))/12),0))</f>
        <v/>
      </c>
      <c r="W387" s="257">
        <f>IF(W$7="Actual","",IFERROR((INDEX($M387:$Q387,,MATCH(W$4,$M$4:$Q$4,0))/12),0))</f>
        <v/>
      </c>
      <c r="X387" s="257">
        <f>IF(X$7="Actual","",IFERROR((INDEX($M387:$Q387,,MATCH(X$4,$M$4:$Q$4,0))/12),0))</f>
        <v/>
      </c>
      <c r="Y387" s="257">
        <f>IF(Y$7="Actual","",IFERROR((INDEX($M387:$Q387,,MATCH(Y$4,$M$4:$Q$4,0))/12),0))</f>
        <v/>
      </c>
      <c r="Z387" s="257">
        <f>IF(Z$7="Actual","",IFERROR((INDEX($M387:$Q387,,MATCH(Z$4,$M$4:$Q$4,0))/12),0))</f>
        <v/>
      </c>
      <c r="AA387" s="257">
        <f>IF(AA$7="Actual","",IFERROR((INDEX($M387:$Q387,,MATCH(AA$4,$M$4:$Q$4,0))/12),0))</f>
        <v/>
      </c>
      <c r="AB387" s="257">
        <f>IF(AB$7="Actual","",IFERROR((INDEX($M387:$Q387,,MATCH(AB$4,$M$4:$Q$4,0))/12),0))</f>
        <v/>
      </c>
      <c r="AC387" s="257">
        <f>IF(AC$7="Actual","",IFERROR((INDEX($M387:$Q387,,MATCH(AC$4,$M$4:$Q$4,0))/12),0))</f>
        <v/>
      </c>
      <c r="AD387" s="257">
        <f>IF(AD$7="Actual","",IFERROR((INDEX($M387:$Q387,,MATCH(AD$4,$M$4:$Q$4,0))/12),0))</f>
        <v/>
      </c>
      <c r="AE387" s="257">
        <f>IF(AE$7="Actual","",IFERROR((INDEX($M387:$Q387,,MATCH(AE$4,$M$4:$Q$4,0))/12),0))</f>
        <v/>
      </c>
      <c r="AF387" s="257">
        <f>IF(AF$7="Actual","",IFERROR((INDEX($M387:$Q387,,MATCH(AF$4,$M$4:$Q$4,0))/12),0))</f>
        <v/>
      </c>
      <c r="AG387" s="257">
        <f>IF(AG$7="Actual","",IFERROR((INDEX($M387:$Q387,,MATCH(AG$4,$M$4:$Q$4,0))/12),0))</f>
        <v/>
      </c>
      <c r="AH387" s="257">
        <f>IF(AH$7="Actual","",IFERROR((INDEX($M387:$Q387,,MATCH(AH$4,$M$4:$Q$4,0))/12),0))</f>
        <v/>
      </c>
      <c r="AI387" s="257">
        <f>IF(AI$7="Actual","",IFERROR((INDEX($M387:$Q387,,MATCH(AI$4,$M$4:$Q$4,0))/12),0))</f>
        <v/>
      </c>
      <c r="AJ387" s="257">
        <f>IF(AJ$7="Actual","",IFERROR((INDEX($M387:$Q387,,MATCH(AJ$4,$M$4:$Q$4,0))/12),0))</f>
        <v/>
      </c>
      <c r="AK387" s="257">
        <f>IF(AK$7="Actual","",IFERROR((INDEX($M387:$Q387,,MATCH(AK$4,$M$4:$Q$4,0))/12),0))</f>
        <v/>
      </c>
      <c r="AL387" s="257">
        <f>IF(AL$7="Actual","",IFERROR((INDEX($M387:$Q387,,MATCH(AL$4,$M$4:$Q$4,0))/12),0))</f>
        <v/>
      </c>
      <c r="AM387" s="257">
        <f>IF(AM$7="Actual","",IFERROR((INDEX($M387:$Q387,,MATCH(AM$4,$M$4:$Q$4,0))/12),0))</f>
        <v/>
      </c>
      <c r="AN387" s="257">
        <f>IF(AN$7="Actual","",IFERROR((INDEX($M387:$Q387,,MATCH(AN$4,$M$4:$Q$4,0))/12),0))</f>
        <v/>
      </c>
      <c r="AO387" s="257">
        <f>IF(AO$7="Actual","",IFERROR((INDEX($M387:$Q387,,MATCH(AO$4,$M$4:$Q$4,0))/12),0))</f>
        <v/>
      </c>
      <c r="AP387" s="257">
        <f>IF(AP$7="Actual","",IFERROR((INDEX($M387:$Q387,,MATCH(AP$4,$M$4:$Q$4,0))/12),0))</f>
        <v/>
      </c>
      <c r="AQ387" s="257">
        <f>IF(AQ$7="Actual","",IFERROR((INDEX($M387:$Q387,,MATCH(AQ$4,$M$4:$Q$4,0))/12),0))</f>
        <v/>
      </c>
      <c r="AR387" s="257">
        <f>IF(AR$7="Actual","",IFERROR((INDEX($M387:$Q387,,MATCH(AR$4,$M$4:$Q$4,0))/12),0))</f>
        <v/>
      </c>
      <c r="AS387" s="257">
        <f>IF(AS$7="Actual","",IFERROR((INDEX($M387:$Q387,,MATCH(AS$4,$M$4:$Q$4,0))/12),0))</f>
        <v/>
      </c>
      <c r="AT387" s="257">
        <f>IF(AT$7="Actual","",IFERROR((INDEX($M387:$Q387,,MATCH(AT$4,$M$4:$Q$4,0))/12),0))</f>
        <v/>
      </c>
      <c r="AU387" s="257">
        <f>IF(AU$7="Actual","",IFERROR((INDEX($M387:$Q387,,MATCH(AU$4,$M$4:$Q$4,0))/12),0))</f>
        <v/>
      </c>
      <c r="AV387" s="257">
        <f>IF(AV$7="Actual","",IFERROR((INDEX($M387:$Q387,,MATCH(AV$4,$M$4:$Q$4,0))/12),0))</f>
        <v/>
      </c>
      <c r="AW387" s="257">
        <f>IF(AW$7="Actual","",IFERROR((INDEX($M387:$Q387,,MATCH(AW$4,$M$4:$Q$4,0))/12),0))</f>
        <v/>
      </c>
      <c r="AX387" s="257">
        <f>IF(AX$7="Actual","",IFERROR((INDEX($M387:$Q387,,MATCH(AX$4,$M$4:$Q$4,0))/12),0))</f>
        <v/>
      </c>
      <c r="AY387" s="257">
        <f>IF(AY$7="Actual","",IFERROR((INDEX($M387:$Q387,,MATCH(AY$4,$M$4:$Q$4,0))/12),0))</f>
        <v/>
      </c>
      <c r="AZ387" s="257">
        <f>IF(AZ$7="Actual","",IFERROR((INDEX($M387:$Q387,,MATCH(AZ$4,$M$4:$Q$4,0))/12),0))</f>
        <v/>
      </c>
      <c r="BA387" s="257">
        <f>IF(BA$7="Actual","",IFERROR((INDEX($M387:$Q387,,MATCH(BA$4,$M$4:$Q$4,0))/12),0))</f>
        <v/>
      </c>
      <c r="BB387" s="257">
        <f>IF(BB$7="Actual","",IFERROR((INDEX($M387:$Q387,,MATCH(BB$4,$M$4:$Q$4,0))/12),0))</f>
        <v/>
      </c>
      <c r="BC387" s="257">
        <f>IF(BC$7="Actual","",IFERROR((INDEX($M387:$Q387,,MATCH(BC$4,$M$4:$Q$4,0))/12),0))</f>
        <v/>
      </c>
      <c r="BD387" s="257">
        <f>IF(BD$7="Actual","",IFERROR((INDEX($M387:$Q387,,MATCH(BD$4,$M$4:$Q$4,0))/12),0))</f>
        <v/>
      </c>
      <c r="BE387" s="257">
        <f>IF(BE$7="Actual","",IFERROR((INDEX($M387:$Q387,,MATCH(BE$4,$M$4:$Q$4,0))/12),0))</f>
        <v/>
      </c>
      <c r="BF387" s="257">
        <f>IF(BF$7="Actual","",IFERROR((INDEX($M387:$Q387,,MATCH(BF$4,$M$4:$Q$4,0))/12),0))</f>
        <v/>
      </c>
      <c r="BG387" s="257">
        <f>IF(BG$7="Actual","",IFERROR((INDEX($M387:$Q387,,MATCH(BG$4,$M$4:$Q$4,0))/12),0))</f>
        <v/>
      </c>
      <c r="BH387" s="257">
        <f>IF(BH$7="Actual","",IFERROR((INDEX($M387:$Q387,,MATCH(BH$4,$M$4:$Q$4,0))/12),0))</f>
        <v/>
      </c>
      <c r="BI387" s="257">
        <f>IF(BI$7="Actual","",IFERROR((INDEX($M387:$Q387,,MATCH(BI$4,$M$4:$Q$4,0))/12),0))</f>
        <v/>
      </c>
      <c r="BJ387" s="257">
        <f>IF(BJ$7="Actual","",IFERROR((INDEX($M387:$Q387,,MATCH(BJ$4,$M$4:$Q$4,0))/12),0))</f>
        <v/>
      </c>
      <c r="BK387" s="257">
        <f>IF(BK$7="Actual","",IFERROR((INDEX($M387:$Q387,,MATCH(BK$4,$M$4:$Q$4,0))/12),0))</f>
        <v/>
      </c>
      <c r="BL387" s="257">
        <f>IF(BL$7="Actual","",IFERROR((INDEX($M387:$Q387,,MATCH(BL$4,$M$4:$Q$4,0))/12),0))</f>
        <v/>
      </c>
      <c r="BM387" s="257">
        <f>IF(BM$7="Actual","",IFERROR((INDEX($M387:$Q387,,MATCH(BM$4,$M$4:$Q$4,0))/12),0))</f>
        <v/>
      </c>
      <c r="BN387" s="257">
        <f>IF(BN$7="Actual","",IFERROR((INDEX($M387:$Q387,,MATCH(BN$4,$M$4:$Q$4,0))/12),0))</f>
        <v/>
      </c>
      <c r="BO387" s="257">
        <f>IF(BO$7="Actual","",IFERROR((INDEX($M387:$Q387,,MATCH(BO$4,$M$4:$Q$4,0))/12),0))</f>
        <v/>
      </c>
      <c r="BP387" s="257">
        <f>IF(BP$7="Actual","",IFERROR((INDEX($M387:$Q387,,MATCH(BP$4,$M$4:$Q$4,0))/12),0))</f>
        <v/>
      </c>
      <c r="BQ387" s="257">
        <f>IF(BQ$7="Actual","",IFERROR((INDEX($M387:$Q387,,MATCH(BQ$4,$M$4:$Q$4,0))/12),0))</f>
        <v/>
      </c>
      <c r="BR387" s="257">
        <f>IF(BR$7="Actual","",IFERROR((INDEX($M387:$Q387,,MATCH(BR$4,$M$4:$Q$4,0))/12),0))</f>
        <v/>
      </c>
      <c r="BS387" s="257">
        <f>IF(BS$7="Actual","",IFERROR((INDEX($M387:$Q387,,MATCH(BS$4,$M$4:$Q$4,0))/12),0))</f>
        <v/>
      </c>
      <c r="BT387" s="257">
        <f>IF(BT$7="Actual","",IFERROR((INDEX($M387:$Q387,,MATCH(BT$4,$M$4:$Q$4,0))/12),0))</f>
        <v/>
      </c>
      <c r="BU387" s="257">
        <f>IF(BU$7="Actual","",IFERROR((INDEX($M387:$Q387,,MATCH(BU$4,$M$4:$Q$4,0))/12),0))</f>
        <v/>
      </c>
      <c r="BV387" s="257">
        <f>IF(BV$7="Actual","",IFERROR((INDEX($M387:$Q387,,MATCH(BV$4,$M$4:$Q$4,0))/12),0))</f>
        <v/>
      </c>
      <c r="BW387" s="257">
        <f>IF(BW$7="Actual","",IFERROR((INDEX($M387:$Q387,,MATCH(BW$4,$M$4:$Q$4,0))/12),0))</f>
        <v/>
      </c>
      <c r="BX387" s="257">
        <f>IF(BX$7="Actual","",IFERROR((INDEX($M387:$Q387,,MATCH(BX$4,$M$4:$Q$4,0))/12),0))</f>
        <v/>
      </c>
      <c r="BY387" s="257">
        <f>IF(BY$7="Actual","",IFERROR((INDEX($M387:$Q387,,MATCH(BY$4,$M$4:$Q$4,0))/12),0))</f>
        <v/>
      </c>
      <c r="BZ387" s="257">
        <f>IF(BZ$7="Actual","",IFERROR((INDEX($M387:$Q387,,MATCH(BZ$4,$M$4:$Q$4,0))/12),0))</f>
        <v/>
      </c>
      <c r="CA387" s="257">
        <f>IF(CA$7="Actual","",IFERROR((INDEX($M387:$Q387,,MATCH(CA$4,$M$4:$Q$4,0))/12),0))</f>
        <v/>
      </c>
    </row>
    <row r="388" ht="12" customHeight="1" s="227">
      <c r="A388" s="244" t="n"/>
      <c r="B388" s="244" t="n"/>
      <c r="C388" s="244" t="n"/>
      <c r="H388" s="0">
        <f>i_Setup!U50</f>
        <v/>
      </c>
      <c r="I388" s="27">
        <f>i_Setup!$M$16</f>
        <v/>
      </c>
      <c r="K388" s="6" t="n"/>
      <c r="M388" s="257">
        <f>IF(M$7="Actual","",i_Assumptions!M469)</f>
        <v/>
      </c>
      <c r="N388" s="257">
        <f>IF(N$7="Actual","",i_Assumptions!N469)</f>
        <v/>
      </c>
      <c r="O388" s="257">
        <f>IF(O$7="Actual","",i_Assumptions!O469)</f>
        <v/>
      </c>
      <c r="P388" s="257">
        <f>IF(P$7="Actual","",i_Assumptions!P469)</f>
        <v/>
      </c>
      <c r="Q388" s="257">
        <f>IF(Q$7="Actual","",i_Assumptions!Q469)</f>
        <v/>
      </c>
      <c r="T388" s="257">
        <f>IF(T$7="Actual","",IFERROR((INDEX($M388:$Q388,,MATCH(T$4,$M$4:$Q$4,0))/12),0))</f>
        <v/>
      </c>
      <c r="U388" s="257">
        <f>IF(U$7="Actual","",IFERROR((INDEX($M388:$Q388,,MATCH(U$4,$M$4:$Q$4,0))/12),0))</f>
        <v/>
      </c>
      <c r="V388" s="257">
        <f>IF(V$7="Actual","",IFERROR((INDEX($M388:$Q388,,MATCH(V$4,$M$4:$Q$4,0))/12),0))</f>
        <v/>
      </c>
      <c r="W388" s="257">
        <f>IF(W$7="Actual","",IFERROR((INDEX($M388:$Q388,,MATCH(W$4,$M$4:$Q$4,0))/12),0))</f>
        <v/>
      </c>
      <c r="X388" s="257">
        <f>IF(X$7="Actual","",IFERROR((INDEX($M388:$Q388,,MATCH(X$4,$M$4:$Q$4,0))/12),0))</f>
        <v/>
      </c>
      <c r="Y388" s="257">
        <f>IF(Y$7="Actual","",IFERROR((INDEX($M388:$Q388,,MATCH(Y$4,$M$4:$Q$4,0))/12),0))</f>
        <v/>
      </c>
      <c r="Z388" s="257">
        <f>IF(Z$7="Actual","",IFERROR((INDEX($M388:$Q388,,MATCH(Z$4,$M$4:$Q$4,0))/12),0))</f>
        <v/>
      </c>
      <c r="AA388" s="257">
        <f>IF(AA$7="Actual","",IFERROR((INDEX($M388:$Q388,,MATCH(AA$4,$M$4:$Q$4,0))/12),0))</f>
        <v/>
      </c>
      <c r="AB388" s="257">
        <f>IF(AB$7="Actual","",IFERROR((INDEX($M388:$Q388,,MATCH(AB$4,$M$4:$Q$4,0))/12),0))</f>
        <v/>
      </c>
      <c r="AC388" s="257">
        <f>IF(AC$7="Actual","",IFERROR((INDEX($M388:$Q388,,MATCH(AC$4,$M$4:$Q$4,0))/12),0))</f>
        <v/>
      </c>
      <c r="AD388" s="257">
        <f>IF(AD$7="Actual","",IFERROR((INDEX($M388:$Q388,,MATCH(AD$4,$M$4:$Q$4,0))/12),0))</f>
        <v/>
      </c>
      <c r="AE388" s="257">
        <f>IF(AE$7="Actual","",IFERROR((INDEX($M388:$Q388,,MATCH(AE$4,$M$4:$Q$4,0))/12),0))</f>
        <v/>
      </c>
      <c r="AF388" s="257">
        <f>IF(AF$7="Actual","",IFERROR((INDEX($M388:$Q388,,MATCH(AF$4,$M$4:$Q$4,0))/12),0))</f>
        <v/>
      </c>
      <c r="AG388" s="257">
        <f>IF(AG$7="Actual","",IFERROR((INDEX($M388:$Q388,,MATCH(AG$4,$M$4:$Q$4,0))/12),0))</f>
        <v/>
      </c>
      <c r="AH388" s="257">
        <f>IF(AH$7="Actual","",IFERROR((INDEX($M388:$Q388,,MATCH(AH$4,$M$4:$Q$4,0))/12),0))</f>
        <v/>
      </c>
      <c r="AI388" s="257">
        <f>IF(AI$7="Actual","",IFERROR((INDEX($M388:$Q388,,MATCH(AI$4,$M$4:$Q$4,0))/12),0))</f>
        <v/>
      </c>
      <c r="AJ388" s="257">
        <f>IF(AJ$7="Actual","",IFERROR((INDEX($M388:$Q388,,MATCH(AJ$4,$M$4:$Q$4,0))/12),0))</f>
        <v/>
      </c>
      <c r="AK388" s="257">
        <f>IF(AK$7="Actual","",IFERROR((INDEX($M388:$Q388,,MATCH(AK$4,$M$4:$Q$4,0))/12),0))</f>
        <v/>
      </c>
      <c r="AL388" s="257">
        <f>IF(AL$7="Actual","",IFERROR((INDEX($M388:$Q388,,MATCH(AL$4,$M$4:$Q$4,0))/12),0))</f>
        <v/>
      </c>
      <c r="AM388" s="257">
        <f>IF(AM$7="Actual","",IFERROR((INDEX($M388:$Q388,,MATCH(AM$4,$M$4:$Q$4,0))/12),0))</f>
        <v/>
      </c>
      <c r="AN388" s="257">
        <f>IF(AN$7="Actual","",IFERROR((INDEX($M388:$Q388,,MATCH(AN$4,$M$4:$Q$4,0))/12),0))</f>
        <v/>
      </c>
      <c r="AO388" s="257">
        <f>IF(AO$7="Actual","",IFERROR((INDEX($M388:$Q388,,MATCH(AO$4,$M$4:$Q$4,0))/12),0))</f>
        <v/>
      </c>
      <c r="AP388" s="257">
        <f>IF(AP$7="Actual","",IFERROR((INDEX($M388:$Q388,,MATCH(AP$4,$M$4:$Q$4,0))/12),0))</f>
        <v/>
      </c>
      <c r="AQ388" s="257">
        <f>IF(AQ$7="Actual","",IFERROR((INDEX($M388:$Q388,,MATCH(AQ$4,$M$4:$Q$4,0))/12),0))</f>
        <v/>
      </c>
      <c r="AR388" s="257">
        <f>IF(AR$7="Actual","",IFERROR((INDEX($M388:$Q388,,MATCH(AR$4,$M$4:$Q$4,0))/12),0))</f>
        <v/>
      </c>
      <c r="AS388" s="257">
        <f>IF(AS$7="Actual","",IFERROR((INDEX($M388:$Q388,,MATCH(AS$4,$M$4:$Q$4,0))/12),0))</f>
        <v/>
      </c>
      <c r="AT388" s="257">
        <f>IF(AT$7="Actual","",IFERROR((INDEX($M388:$Q388,,MATCH(AT$4,$M$4:$Q$4,0))/12),0))</f>
        <v/>
      </c>
      <c r="AU388" s="257">
        <f>IF(AU$7="Actual","",IFERROR((INDEX($M388:$Q388,,MATCH(AU$4,$M$4:$Q$4,0))/12),0))</f>
        <v/>
      </c>
      <c r="AV388" s="257">
        <f>IF(AV$7="Actual","",IFERROR((INDEX($M388:$Q388,,MATCH(AV$4,$M$4:$Q$4,0))/12),0))</f>
        <v/>
      </c>
      <c r="AW388" s="257">
        <f>IF(AW$7="Actual","",IFERROR((INDEX($M388:$Q388,,MATCH(AW$4,$M$4:$Q$4,0))/12),0))</f>
        <v/>
      </c>
      <c r="AX388" s="257">
        <f>IF(AX$7="Actual","",IFERROR((INDEX($M388:$Q388,,MATCH(AX$4,$M$4:$Q$4,0))/12),0))</f>
        <v/>
      </c>
      <c r="AY388" s="257">
        <f>IF(AY$7="Actual","",IFERROR((INDEX($M388:$Q388,,MATCH(AY$4,$M$4:$Q$4,0))/12),0))</f>
        <v/>
      </c>
      <c r="AZ388" s="257">
        <f>IF(AZ$7="Actual","",IFERROR((INDEX($M388:$Q388,,MATCH(AZ$4,$M$4:$Q$4,0))/12),0))</f>
        <v/>
      </c>
      <c r="BA388" s="257">
        <f>IF(BA$7="Actual","",IFERROR((INDEX($M388:$Q388,,MATCH(BA$4,$M$4:$Q$4,0))/12),0))</f>
        <v/>
      </c>
      <c r="BB388" s="257">
        <f>IF(BB$7="Actual","",IFERROR((INDEX($M388:$Q388,,MATCH(BB$4,$M$4:$Q$4,0))/12),0))</f>
        <v/>
      </c>
      <c r="BC388" s="257">
        <f>IF(BC$7="Actual","",IFERROR((INDEX($M388:$Q388,,MATCH(BC$4,$M$4:$Q$4,0))/12),0))</f>
        <v/>
      </c>
      <c r="BD388" s="257">
        <f>IF(BD$7="Actual","",IFERROR((INDEX($M388:$Q388,,MATCH(BD$4,$M$4:$Q$4,0))/12),0))</f>
        <v/>
      </c>
      <c r="BE388" s="257">
        <f>IF(BE$7="Actual","",IFERROR((INDEX($M388:$Q388,,MATCH(BE$4,$M$4:$Q$4,0))/12),0))</f>
        <v/>
      </c>
      <c r="BF388" s="257">
        <f>IF(BF$7="Actual","",IFERROR((INDEX($M388:$Q388,,MATCH(BF$4,$M$4:$Q$4,0))/12),0))</f>
        <v/>
      </c>
      <c r="BG388" s="257">
        <f>IF(BG$7="Actual","",IFERROR((INDEX($M388:$Q388,,MATCH(BG$4,$M$4:$Q$4,0))/12),0))</f>
        <v/>
      </c>
      <c r="BH388" s="257">
        <f>IF(BH$7="Actual","",IFERROR((INDEX($M388:$Q388,,MATCH(BH$4,$M$4:$Q$4,0))/12),0))</f>
        <v/>
      </c>
      <c r="BI388" s="257">
        <f>IF(BI$7="Actual","",IFERROR((INDEX($M388:$Q388,,MATCH(BI$4,$M$4:$Q$4,0))/12),0))</f>
        <v/>
      </c>
      <c r="BJ388" s="257">
        <f>IF(BJ$7="Actual","",IFERROR((INDEX($M388:$Q388,,MATCH(BJ$4,$M$4:$Q$4,0))/12),0))</f>
        <v/>
      </c>
      <c r="BK388" s="257">
        <f>IF(BK$7="Actual","",IFERROR((INDEX($M388:$Q388,,MATCH(BK$4,$M$4:$Q$4,0))/12),0))</f>
        <v/>
      </c>
      <c r="BL388" s="257">
        <f>IF(BL$7="Actual","",IFERROR((INDEX($M388:$Q388,,MATCH(BL$4,$M$4:$Q$4,0))/12),0))</f>
        <v/>
      </c>
      <c r="BM388" s="257">
        <f>IF(BM$7="Actual","",IFERROR((INDEX($M388:$Q388,,MATCH(BM$4,$M$4:$Q$4,0))/12),0))</f>
        <v/>
      </c>
      <c r="BN388" s="257">
        <f>IF(BN$7="Actual","",IFERROR((INDEX($M388:$Q388,,MATCH(BN$4,$M$4:$Q$4,0))/12),0))</f>
        <v/>
      </c>
      <c r="BO388" s="257">
        <f>IF(BO$7="Actual","",IFERROR((INDEX($M388:$Q388,,MATCH(BO$4,$M$4:$Q$4,0))/12),0))</f>
        <v/>
      </c>
      <c r="BP388" s="257">
        <f>IF(BP$7="Actual","",IFERROR((INDEX($M388:$Q388,,MATCH(BP$4,$M$4:$Q$4,0))/12),0))</f>
        <v/>
      </c>
      <c r="BQ388" s="257">
        <f>IF(BQ$7="Actual","",IFERROR((INDEX($M388:$Q388,,MATCH(BQ$4,$M$4:$Q$4,0))/12),0))</f>
        <v/>
      </c>
      <c r="BR388" s="257">
        <f>IF(BR$7="Actual","",IFERROR((INDEX($M388:$Q388,,MATCH(BR$4,$M$4:$Q$4,0))/12),0))</f>
        <v/>
      </c>
      <c r="BS388" s="257">
        <f>IF(BS$7="Actual","",IFERROR((INDEX($M388:$Q388,,MATCH(BS$4,$M$4:$Q$4,0))/12),0))</f>
        <v/>
      </c>
      <c r="BT388" s="257">
        <f>IF(BT$7="Actual","",IFERROR((INDEX($M388:$Q388,,MATCH(BT$4,$M$4:$Q$4,0))/12),0))</f>
        <v/>
      </c>
      <c r="BU388" s="257">
        <f>IF(BU$7="Actual","",IFERROR((INDEX($M388:$Q388,,MATCH(BU$4,$M$4:$Q$4,0))/12),0))</f>
        <v/>
      </c>
      <c r="BV388" s="257">
        <f>IF(BV$7="Actual","",IFERROR((INDEX($M388:$Q388,,MATCH(BV$4,$M$4:$Q$4,0))/12),0))</f>
        <v/>
      </c>
      <c r="BW388" s="257">
        <f>IF(BW$7="Actual","",IFERROR((INDEX($M388:$Q388,,MATCH(BW$4,$M$4:$Q$4,0))/12),0))</f>
        <v/>
      </c>
      <c r="BX388" s="257">
        <f>IF(BX$7="Actual","",IFERROR((INDEX($M388:$Q388,,MATCH(BX$4,$M$4:$Q$4,0))/12),0))</f>
        <v/>
      </c>
      <c r="BY388" s="257">
        <f>IF(BY$7="Actual","",IFERROR((INDEX($M388:$Q388,,MATCH(BY$4,$M$4:$Q$4,0))/12),0))</f>
        <v/>
      </c>
      <c r="BZ388" s="257">
        <f>IF(BZ$7="Actual","",IFERROR((INDEX($M388:$Q388,,MATCH(BZ$4,$M$4:$Q$4,0))/12),0))</f>
        <v/>
      </c>
      <c r="CA388" s="257">
        <f>IF(CA$7="Actual","",IFERROR((INDEX($M388:$Q388,,MATCH(CA$4,$M$4:$Q$4,0))/12),0))</f>
        <v/>
      </c>
    </row>
    <row r="389" ht="12" customHeight="1" s="227">
      <c r="A389" s="244" t="n"/>
      <c r="B389" s="244" t="n"/>
      <c r="C389" s="244" t="n"/>
      <c r="H389" s="0">
        <f>i_Setup!U51</f>
        <v/>
      </c>
      <c r="I389" s="27">
        <f>i_Setup!$M$16</f>
        <v/>
      </c>
      <c r="K389" s="6" t="n"/>
      <c r="M389" s="257">
        <f>IF(M$7="Actual","",i_Assumptions!M470)</f>
        <v/>
      </c>
      <c r="N389" s="257">
        <f>IF(N$7="Actual","",i_Assumptions!N470)</f>
        <v/>
      </c>
      <c r="O389" s="257">
        <f>IF(O$7="Actual","",i_Assumptions!O470)</f>
        <v/>
      </c>
      <c r="P389" s="257">
        <f>IF(P$7="Actual","",i_Assumptions!P470)</f>
        <v/>
      </c>
      <c r="Q389" s="257">
        <f>IF(Q$7="Actual","",i_Assumptions!Q470)</f>
        <v/>
      </c>
      <c r="T389" s="257">
        <f>IF(T$7="Actual","",IFERROR((INDEX($M389:$Q389,,MATCH(T$4,$M$4:$Q$4,0))/12),0))</f>
        <v/>
      </c>
      <c r="U389" s="257">
        <f>IF(U$7="Actual","",IFERROR((INDEX($M389:$Q389,,MATCH(U$4,$M$4:$Q$4,0))/12),0))</f>
        <v/>
      </c>
      <c r="V389" s="257">
        <f>IF(V$7="Actual","",IFERROR((INDEX($M389:$Q389,,MATCH(V$4,$M$4:$Q$4,0))/12),0))</f>
        <v/>
      </c>
      <c r="W389" s="257">
        <f>IF(W$7="Actual","",IFERROR((INDEX($M389:$Q389,,MATCH(W$4,$M$4:$Q$4,0))/12),0))</f>
        <v/>
      </c>
      <c r="X389" s="257">
        <f>IF(X$7="Actual","",IFERROR((INDEX($M389:$Q389,,MATCH(X$4,$M$4:$Q$4,0))/12),0))</f>
        <v/>
      </c>
      <c r="Y389" s="257">
        <f>IF(Y$7="Actual","",IFERROR((INDEX($M389:$Q389,,MATCH(Y$4,$M$4:$Q$4,0))/12),0))</f>
        <v/>
      </c>
      <c r="Z389" s="257">
        <f>IF(Z$7="Actual","",IFERROR((INDEX($M389:$Q389,,MATCH(Z$4,$M$4:$Q$4,0))/12),0))</f>
        <v/>
      </c>
      <c r="AA389" s="257">
        <f>IF(AA$7="Actual","",IFERROR((INDEX($M389:$Q389,,MATCH(AA$4,$M$4:$Q$4,0))/12),0))</f>
        <v/>
      </c>
      <c r="AB389" s="257">
        <f>IF(AB$7="Actual","",IFERROR((INDEX($M389:$Q389,,MATCH(AB$4,$M$4:$Q$4,0))/12),0))</f>
        <v/>
      </c>
      <c r="AC389" s="257">
        <f>IF(AC$7="Actual","",IFERROR((INDEX($M389:$Q389,,MATCH(AC$4,$M$4:$Q$4,0))/12),0))</f>
        <v/>
      </c>
      <c r="AD389" s="257">
        <f>IF(AD$7="Actual","",IFERROR((INDEX($M389:$Q389,,MATCH(AD$4,$M$4:$Q$4,0))/12),0))</f>
        <v/>
      </c>
      <c r="AE389" s="257">
        <f>IF(AE$7="Actual","",IFERROR((INDEX($M389:$Q389,,MATCH(AE$4,$M$4:$Q$4,0))/12),0))</f>
        <v/>
      </c>
      <c r="AF389" s="257">
        <f>IF(AF$7="Actual","",IFERROR((INDEX($M389:$Q389,,MATCH(AF$4,$M$4:$Q$4,0))/12),0))</f>
        <v/>
      </c>
      <c r="AG389" s="257">
        <f>IF(AG$7="Actual","",IFERROR((INDEX($M389:$Q389,,MATCH(AG$4,$M$4:$Q$4,0))/12),0))</f>
        <v/>
      </c>
      <c r="AH389" s="257">
        <f>IF(AH$7="Actual","",IFERROR((INDEX($M389:$Q389,,MATCH(AH$4,$M$4:$Q$4,0))/12),0))</f>
        <v/>
      </c>
      <c r="AI389" s="257">
        <f>IF(AI$7="Actual","",IFERROR((INDEX($M389:$Q389,,MATCH(AI$4,$M$4:$Q$4,0))/12),0))</f>
        <v/>
      </c>
      <c r="AJ389" s="257">
        <f>IF(AJ$7="Actual","",IFERROR((INDEX($M389:$Q389,,MATCH(AJ$4,$M$4:$Q$4,0))/12),0))</f>
        <v/>
      </c>
      <c r="AK389" s="257">
        <f>IF(AK$7="Actual","",IFERROR((INDEX($M389:$Q389,,MATCH(AK$4,$M$4:$Q$4,0))/12),0))</f>
        <v/>
      </c>
      <c r="AL389" s="257">
        <f>IF(AL$7="Actual","",IFERROR((INDEX($M389:$Q389,,MATCH(AL$4,$M$4:$Q$4,0))/12),0))</f>
        <v/>
      </c>
      <c r="AM389" s="257">
        <f>IF(AM$7="Actual","",IFERROR((INDEX($M389:$Q389,,MATCH(AM$4,$M$4:$Q$4,0))/12),0))</f>
        <v/>
      </c>
      <c r="AN389" s="257">
        <f>IF(AN$7="Actual","",IFERROR((INDEX($M389:$Q389,,MATCH(AN$4,$M$4:$Q$4,0))/12),0))</f>
        <v/>
      </c>
      <c r="AO389" s="257">
        <f>IF(AO$7="Actual","",IFERROR((INDEX($M389:$Q389,,MATCH(AO$4,$M$4:$Q$4,0))/12),0))</f>
        <v/>
      </c>
      <c r="AP389" s="257">
        <f>IF(AP$7="Actual","",IFERROR((INDEX($M389:$Q389,,MATCH(AP$4,$M$4:$Q$4,0))/12),0))</f>
        <v/>
      </c>
      <c r="AQ389" s="257">
        <f>IF(AQ$7="Actual","",IFERROR((INDEX($M389:$Q389,,MATCH(AQ$4,$M$4:$Q$4,0))/12),0))</f>
        <v/>
      </c>
      <c r="AR389" s="257">
        <f>IF(AR$7="Actual","",IFERROR((INDEX($M389:$Q389,,MATCH(AR$4,$M$4:$Q$4,0))/12),0))</f>
        <v/>
      </c>
      <c r="AS389" s="257">
        <f>IF(AS$7="Actual","",IFERROR((INDEX($M389:$Q389,,MATCH(AS$4,$M$4:$Q$4,0))/12),0))</f>
        <v/>
      </c>
      <c r="AT389" s="257">
        <f>IF(AT$7="Actual","",IFERROR((INDEX($M389:$Q389,,MATCH(AT$4,$M$4:$Q$4,0))/12),0))</f>
        <v/>
      </c>
      <c r="AU389" s="257">
        <f>IF(AU$7="Actual","",IFERROR((INDEX($M389:$Q389,,MATCH(AU$4,$M$4:$Q$4,0))/12),0))</f>
        <v/>
      </c>
      <c r="AV389" s="257">
        <f>IF(AV$7="Actual","",IFERROR((INDEX($M389:$Q389,,MATCH(AV$4,$M$4:$Q$4,0))/12),0))</f>
        <v/>
      </c>
      <c r="AW389" s="257">
        <f>IF(AW$7="Actual","",IFERROR((INDEX($M389:$Q389,,MATCH(AW$4,$M$4:$Q$4,0))/12),0))</f>
        <v/>
      </c>
      <c r="AX389" s="257">
        <f>IF(AX$7="Actual","",IFERROR((INDEX($M389:$Q389,,MATCH(AX$4,$M$4:$Q$4,0))/12),0))</f>
        <v/>
      </c>
      <c r="AY389" s="257">
        <f>IF(AY$7="Actual","",IFERROR((INDEX($M389:$Q389,,MATCH(AY$4,$M$4:$Q$4,0))/12),0))</f>
        <v/>
      </c>
      <c r="AZ389" s="257">
        <f>IF(AZ$7="Actual","",IFERROR((INDEX($M389:$Q389,,MATCH(AZ$4,$M$4:$Q$4,0))/12),0))</f>
        <v/>
      </c>
      <c r="BA389" s="257">
        <f>IF(BA$7="Actual","",IFERROR((INDEX($M389:$Q389,,MATCH(BA$4,$M$4:$Q$4,0))/12),0))</f>
        <v/>
      </c>
      <c r="BB389" s="257">
        <f>IF(BB$7="Actual","",IFERROR((INDEX($M389:$Q389,,MATCH(BB$4,$M$4:$Q$4,0))/12),0))</f>
        <v/>
      </c>
      <c r="BC389" s="257">
        <f>IF(BC$7="Actual","",IFERROR((INDEX($M389:$Q389,,MATCH(BC$4,$M$4:$Q$4,0))/12),0))</f>
        <v/>
      </c>
      <c r="BD389" s="257">
        <f>IF(BD$7="Actual","",IFERROR((INDEX($M389:$Q389,,MATCH(BD$4,$M$4:$Q$4,0))/12),0))</f>
        <v/>
      </c>
      <c r="BE389" s="257">
        <f>IF(BE$7="Actual","",IFERROR((INDEX($M389:$Q389,,MATCH(BE$4,$M$4:$Q$4,0))/12),0))</f>
        <v/>
      </c>
      <c r="BF389" s="257">
        <f>IF(BF$7="Actual","",IFERROR((INDEX($M389:$Q389,,MATCH(BF$4,$M$4:$Q$4,0))/12),0))</f>
        <v/>
      </c>
      <c r="BG389" s="257">
        <f>IF(BG$7="Actual","",IFERROR((INDEX($M389:$Q389,,MATCH(BG$4,$M$4:$Q$4,0))/12),0))</f>
        <v/>
      </c>
      <c r="BH389" s="257">
        <f>IF(BH$7="Actual","",IFERROR((INDEX($M389:$Q389,,MATCH(BH$4,$M$4:$Q$4,0))/12),0))</f>
        <v/>
      </c>
      <c r="BI389" s="257">
        <f>IF(BI$7="Actual","",IFERROR((INDEX($M389:$Q389,,MATCH(BI$4,$M$4:$Q$4,0))/12),0))</f>
        <v/>
      </c>
      <c r="BJ389" s="257">
        <f>IF(BJ$7="Actual","",IFERROR((INDEX($M389:$Q389,,MATCH(BJ$4,$M$4:$Q$4,0))/12),0))</f>
        <v/>
      </c>
      <c r="BK389" s="257">
        <f>IF(BK$7="Actual","",IFERROR((INDEX($M389:$Q389,,MATCH(BK$4,$M$4:$Q$4,0))/12),0))</f>
        <v/>
      </c>
      <c r="BL389" s="257">
        <f>IF(BL$7="Actual","",IFERROR((INDEX($M389:$Q389,,MATCH(BL$4,$M$4:$Q$4,0))/12),0))</f>
        <v/>
      </c>
      <c r="BM389" s="257">
        <f>IF(BM$7="Actual","",IFERROR((INDEX($M389:$Q389,,MATCH(BM$4,$M$4:$Q$4,0))/12),0))</f>
        <v/>
      </c>
      <c r="BN389" s="257">
        <f>IF(BN$7="Actual","",IFERROR((INDEX($M389:$Q389,,MATCH(BN$4,$M$4:$Q$4,0))/12),0))</f>
        <v/>
      </c>
      <c r="BO389" s="257">
        <f>IF(BO$7="Actual","",IFERROR((INDEX($M389:$Q389,,MATCH(BO$4,$M$4:$Q$4,0))/12),0))</f>
        <v/>
      </c>
      <c r="BP389" s="257">
        <f>IF(BP$7="Actual","",IFERROR((INDEX($M389:$Q389,,MATCH(BP$4,$M$4:$Q$4,0))/12),0))</f>
        <v/>
      </c>
      <c r="BQ389" s="257">
        <f>IF(BQ$7="Actual","",IFERROR((INDEX($M389:$Q389,,MATCH(BQ$4,$M$4:$Q$4,0))/12),0))</f>
        <v/>
      </c>
      <c r="BR389" s="257">
        <f>IF(BR$7="Actual","",IFERROR((INDEX($M389:$Q389,,MATCH(BR$4,$M$4:$Q$4,0))/12),0))</f>
        <v/>
      </c>
      <c r="BS389" s="257">
        <f>IF(BS$7="Actual","",IFERROR((INDEX($M389:$Q389,,MATCH(BS$4,$M$4:$Q$4,0))/12),0))</f>
        <v/>
      </c>
      <c r="BT389" s="257">
        <f>IF(BT$7="Actual","",IFERROR((INDEX($M389:$Q389,,MATCH(BT$4,$M$4:$Q$4,0))/12),0))</f>
        <v/>
      </c>
      <c r="BU389" s="257">
        <f>IF(BU$7="Actual","",IFERROR((INDEX($M389:$Q389,,MATCH(BU$4,$M$4:$Q$4,0))/12),0))</f>
        <v/>
      </c>
      <c r="BV389" s="257">
        <f>IF(BV$7="Actual","",IFERROR((INDEX($M389:$Q389,,MATCH(BV$4,$M$4:$Q$4,0))/12),0))</f>
        <v/>
      </c>
      <c r="BW389" s="257">
        <f>IF(BW$7="Actual","",IFERROR((INDEX($M389:$Q389,,MATCH(BW$4,$M$4:$Q$4,0))/12),0))</f>
        <v/>
      </c>
      <c r="BX389" s="257">
        <f>IF(BX$7="Actual","",IFERROR((INDEX($M389:$Q389,,MATCH(BX$4,$M$4:$Q$4,0))/12),0))</f>
        <v/>
      </c>
      <c r="BY389" s="257">
        <f>IF(BY$7="Actual","",IFERROR((INDEX($M389:$Q389,,MATCH(BY$4,$M$4:$Q$4,0))/12),0))</f>
        <v/>
      </c>
      <c r="BZ389" s="257">
        <f>IF(BZ$7="Actual","",IFERROR((INDEX($M389:$Q389,,MATCH(BZ$4,$M$4:$Q$4,0))/12),0))</f>
        <v/>
      </c>
      <c r="CA389" s="257">
        <f>IF(CA$7="Actual","",IFERROR((INDEX($M389:$Q389,,MATCH(CA$4,$M$4:$Q$4,0))/12),0))</f>
        <v/>
      </c>
    </row>
    <row r="390" ht="12" customHeight="1" s="227">
      <c r="A390" s="244" t="n"/>
      <c r="B390" s="244" t="n"/>
      <c r="C390" s="244" t="n"/>
      <c r="H390" s="0">
        <f>i_Setup!U52</f>
        <v/>
      </c>
      <c r="I390" s="27">
        <f>i_Setup!$M$16</f>
        <v/>
      </c>
      <c r="K390" s="6" t="n"/>
      <c r="M390" s="257">
        <f>IF(M$7="Actual","",i_Assumptions!M471)</f>
        <v/>
      </c>
      <c r="N390" s="257">
        <f>IF(N$7="Actual","",i_Assumptions!N471)</f>
        <v/>
      </c>
      <c r="O390" s="257">
        <f>IF(O$7="Actual","",i_Assumptions!O471)</f>
        <v/>
      </c>
      <c r="P390" s="257">
        <f>IF(P$7="Actual","",i_Assumptions!P471)</f>
        <v/>
      </c>
      <c r="Q390" s="257">
        <f>IF(Q$7="Actual","",i_Assumptions!Q471)</f>
        <v/>
      </c>
      <c r="T390" s="257">
        <f>IF(T$7="Actual","",IFERROR((INDEX($M390:$Q390,,MATCH(T$4,$M$4:$Q$4,0))/12),0))</f>
        <v/>
      </c>
      <c r="U390" s="257">
        <f>IF(U$7="Actual","",IFERROR((INDEX($M390:$Q390,,MATCH(U$4,$M$4:$Q$4,0))/12),0))</f>
        <v/>
      </c>
      <c r="V390" s="257">
        <f>IF(V$7="Actual","",IFERROR((INDEX($M390:$Q390,,MATCH(V$4,$M$4:$Q$4,0))/12),0))</f>
        <v/>
      </c>
      <c r="W390" s="257">
        <f>IF(W$7="Actual","",IFERROR((INDEX($M390:$Q390,,MATCH(W$4,$M$4:$Q$4,0))/12),0))</f>
        <v/>
      </c>
      <c r="X390" s="257">
        <f>IF(X$7="Actual","",IFERROR((INDEX($M390:$Q390,,MATCH(X$4,$M$4:$Q$4,0))/12),0))</f>
        <v/>
      </c>
      <c r="Y390" s="257">
        <f>IF(Y$7="Actual","",IFERROR((INDEX($M390:$Q390,,MATCH(Y$4,$M$4:$Q$4,0))/12),0))</f>
        <v/>
      </c>
      <c r="Z390" s="257">
        <f>IF(Z$7="Actual","",IFERROR((INDEX($M390:$Q390,,MATCH(Z$4,$M$4:$Q$4,0))/12),0))</f>
        <v/>
      </c>
      <c r="AA390" s="257">
        <f>IF(AA$7="Actual","",IFERROR((INDEX($M390:$Q390,,MATCH(AA$4,$M$4:$Q$4,0))/12),0))</f>
        <v/>
      </c>
      <c r="AB390" s="257">
        <f>IF(AB$7="Actual","",IFERROR((INDEX($M390:$Q390,,MATCH(AB$4,$M$4:$Q$4,0))/12),0))</f>
        <v/>
      </c>
      <c r="AC390" s="257">
        <f>IF(AC$7="Actual","",IFERROR((INDEX($M390:$Q390,,MATCH(AC$4,$M$4:$Q$4,0))/12),0))</f>
        <v/>
      </c>
      <c r="AD390" s="257">
        <f>IF(AD$7="Actual","",IFERROR((INDEX($M390:$Q390,,MATCH(AD$4,$M$4:$Q$4,0))/12),0))</f>
        <v/>
      </c>
      <c r="AE390" s="257">
        <f>IF(AE$7="Actual","",IFERROR((INDEX($M390:$Q390,,MATCH(AE$4,$M$4:$Q$4,0))/12),0))</f>
        <v/>
      </c>
      <c r="AF390" s="257">
        <f>IF(AF$7="Actual","",IFERROR((INDEX($M390:$Q390,,MATCH(AF$4,$M$4:$Q$4,0))/12),0))</f>
        <v/>
      </c>
      <c r="AG390" s="257">
        <f>IF(AG$7="Actual","",IFERROR((INDEX($M390:$Q390,,MATCH(AG$4,$M$4:$Q$4,0))/12),0))</f>
        <v/>
      </c>
      <c r="AH390" s="257">
        <f>IF(AH$7="Actual","",IFERROR((INDEX($M390:$Q390,,MATCH(AH$4,$M$4:$Q$4,0))/12),0))</f>
        <v/>
      </c>
      <c r="AI390" s="257">
        <f>IF(AI$7="Actual","",IFERROR((INDEX($M390:$Q390,,MATCH(AI$4,$M$4:$Q$4,0))/12),0))</f>
        <v/>
      </c>
      <c r="AJ390" s="257">
        <f>IF(AJ$7="Actual","",IFERROR((INDEX($M390:$Q390,,MATCH(AJ$4,$M$4:$Q$4,0))/12),0))</f>
        <v/>
      </c>
      <c r="AK390" s="257">
        <f>IF(AK$7="Actual","",IFERROR((INDEX($M390:$Q390,,MATCH(AK$4,$M$4:$Q$4,0))/12),0))</f>
        <v/>
      </c>
      <c r="AL390" s="257">
        <f>IF(AL$7="Actual","",IFERROR((INDEX($M390:$Q390,,MATCH(AL$4,$M$4:$Q$4,0))/12),0))</f>
        <v/>
      </c>
      <c r="AM390" s="257">
        <f>IF(AM$7="Actual","",IFERROR((INDEX($M390:$Q390,,MATCH(AM$4,$M$4:$Q$4,0))/12),0))</f>
        <v/>
      </c>
      <c r="AN390" s="257">
        <f>IF(AN$7="Actual","",IFERROR((INDEX($M390:$Q390,,MATCH(AN$4,$M$4:$Q$4,0))/12),0))</f>
        <v/>
      </c>
      <c r="AO390" s="257">
        <f>IF(AO$7="Actual","",IFERROR((INDEX($M390:$Q390,,MATCH(AO$4,$M$4:$Q$4,0))/12),0))</f>
        <v/>
      </c>
      <c r="AP390" s="257">
        <f>IF(AP$7="Actual","",IFERROR((INDEX($M390:$Q390,,MATCH(AP$4,$M$4:$Q$4,0))/12),0))</f>
        <v/>
      </c>
      <c r="AQ390" s="257">
        <f>IF(AQ$7="Actual","",IFERROR((INDEX($M390:$Q390,,MATCH(AQ$4,$M$4:$Q$4,0))/12),0))</f>
        <v/>
      </c>
      <c r="AR390" s="257">
        <f>IF(AR$7="Actual","",IFERROR((INDEX($M390:$Q390,,MATCH(AR$4,$M$4:$Q$4,0))/12),0))</f>
        <v/>
      </c>
      <c r="AS390" s="257">
        <f>IF(AS$7="Actual","",IFERROR((INDEX($M390:$Q390,,MATCH(AS$4,$M$4:$Q$4,0))/12),0))</f>
        <v/>
      </c>
      <c r="AT390" s="257">
        <f>IF(AT$7="Actual","",IFERROR((INDEX($M390:$Q390,,MATCH(AT$4,$M$4:$Q$4,0))/12),0))</f>
        <v/>
      </c>
      <c r="AU390" s="257">
        <f>IF(AU$7="Actual","",IFERROR((INDEX($M390:$Q390,,MATCH(AU$4,$M$4:$Q$4,0))/12),0))</f>
        <v/>
      </c>
      <c r="AV390" s="257">
        <f>IF(AV$7="Actual","",IFERROR((INDEX($M390:$Q390,,MATCH(AV$4,$M$4:$Q$4,0))/12),0))</f>
        <v/>
      </c>
      <c r="AW390" s="257">
        <f>IF(AW$7="Actual","",IFERROR((INDEX($M390:$Q390,,MATCH(AW$4,$M$4:$Q$4,0))/12),0))</f>
        <v/>
      </c>
      <c r="AX390" s="257">
        <f>IF(AX$7="Actual","",IFERROR((INDEX($M390:$Q390,,MATCH(AX$4,$M$4:$Q$4,0))/12),0))</f>
        <v/>
      </c>
      <c r="AY390" s="257">
        <f>IF(AY$7="Actual","",IFERROR((INDEX($M390:$Q390,,MATCH(AY$4,$M$4:$Q$4,0))/12),0))</f>
        <v/>
      </c>
      <c r="AZ390" s="257">
        <f>IF(AZ$7="Actual","",IFERROR((INDEX($M390:$Q390,,MATCH(AZ$4,$M$4:$Q$4,0))/12),0))</f>
        <v/>
      </c>
      <c r="BA390" s="257">
        <f>IF(BA$7="Actual","",IFERROR((INDEX($M390:$Q390,,MATCH(BA$4,$M$4:$Q$4,0))/12),0))</f>
        <v/>
      </c>
      <c r="BB390" s="257">
        <f>IF(BB$7="Actual","",IFERROR((INDEX($M390:$Q390,,MATCH(BB$4,$M$4:$Q$4,0))/12),0))</f>
        <v/>
      </c>
      <c r="BC390" s="257">
        <f>IF(BC$7="Actual","",IFERROR((INDEX($M390:$Q390,,MATCH(BC$4,$M$4:$Q$4,0))/12),0))</f>
        <v/>
      </c>
      <c r="BD390" s="257">
        <f>IF(BD$7="Actual","",IFERROR((INDEX($M390:$Q390,,MATCH(BD$4,$M$4:$Q$4,0))/12),0))</f>
        <v/>
      </c>
      <c r="BE390" s="257">
        <f>IF(BE$7="Actual","",IFERROR((INDEX($M390:$Q390,,MATCH(BE$4,$M$4:$Q$4,0))/12),0))</f>
        <v/>
      </c>
      <c r="BF390" s="257">
        <f>IF(BF$7="Actual","",IFERROR((INDEX($M390:$Q390,,MATCH(BF$4,$M$4:$Q$4,0))/12),0))</f>
        <v/>
      </c>
      <c r="BG390" s="257">
        <f>IF(BG$7="Actual","",IFERROR((INDEX($M390:$Q390,,MATCH(BG$4,$M$4:$Q$4,0))/12),0))</f>
        <v/>
      </c>
      <c r="BH390" s="257">
        <f>IF(BH$7="Actual","",IFERROR((INDEX($M390:$Q390,,MATCH(BH$4,$M$4:$Q$4,0))/12),0))</f>
        <v/>
      </c>
      <c r="BI390" s="257">
        <f>IF(BI$7="Actual","",IFERROR((INDEX($M390:$Q390,,MATCH(BI$4,$M$4:$Q$4,0))/12),0))</f>
        <v/>
      </c>
      <c r="BJ390" s="257">
        <f>IF(BJ$7="Actual","",IFERROR((INDEX($M390:$Q390,,MATCH(BJ$4,$M$4:$Q$4,0))/12),0))</f>
        <v/>
      </c>
      <c r="BK390" s="257">
        <f>IF(BK$7="Actual","",IFERROR((INDEX($M390:$Q390,,MATCH(BK$4,$M$4:$Q$4,0))/12),0))</f>
        <v/>
      </c>
      <c r="BL390" s="257">
        <f>IF(BL$7="Actual","",IFERROR((INDEX($M390:$Q390,,MATCH(BL$4,$M$4:$Q$4,0))/12),0))</f>
        <v/>
      </c>
      <c r="BM390" s="257">
        <f>IF(BM$7="Actual","",IFERROR((INDEX($M390:$Q390,,MATCH(BM$4,$M$4:$Q$4,0))/12),0))</f>
        <v/>
      </c>
      <c r="BN390" s="257">
        <f>IF(BN$7="Actual","",IFERROR((INDEX($M390:$Q390,,MATCH(BN$4,$M$4:$Q$4,0))/12),0))</f>
        <v/>
      </c>
      <c r="BO390" s="257">
        <f>IF(BO$7="Actual","",IFERROR((INDEX($M390:$Q390,,MATCH(BO$4,$M$4:$Q$4,0))/12),0))</f>
        <v/>
      </c>
      <c r="BP390" s="257">
        <f>IF(BP$7="Actual","",IFERROR((INDEX($M390:$Q390,,MATCH(BP$4,$M$4:$Q$4,0))/12),0))</f>
        <v/>
      </c>
      <c r="BQ390" s="257">
        <f>IF(BQ$7="Actual","",IFERROR((INDEX($M390:$Q390,,MATCH(BQ$4,$M$4:$Q$4,0))/12),0))</f>
        <v/>
      </c>
      <c r="BR390" s="257">
        <f>IF(BR$7="Actual","",IFERROR((INDEX($M390:$Q390,,MATCH(BR$4,$M$4:$Q$4,0))/12),0))</f>
        <v/>
      </c>
      <c r="BS390" s="257">
        <f>IF(BS$7="Actual","",IFERROR((INDEX($M390:$Q390,,MATCH(BS$4,$M$4:$Q$4,0))/12),0))</f>
        <v/>
      </c>
      <c r="BT390" s="257">
        <f>IF(BT$7="Actual","",IFERROR((INDEX($M390:$Q390,,MATCH(BT$4,$M$4:$Q$4,0))/12),0))</f>
        <v/>
      </c>
      <c r="BU390" s="257">
        <f>IF(BU$7="Actual","",IFERROR((INDEX($M390:$Q390,,MATCH(BU$4,$M$4:$Q$4,0))/12),0))</f>
        <v/>
      </c>
      <c r="BV390" s="257">
        <f>IF(BV$7="Actual","",IFERROR((INDEX($M390:$Q390,,MATCH(BV$4,$M$4:$Q$4,0))/12),0))</f>
        <v/>
      </c>
      <c r="BW390" s="257">
        <f>IF(BW$7="Actual","",IFERROR((INDEX($M390:$Q390,,MATCH(BW$4,$M$4:$Q$4,0))/12),0))</f>
        <v/>
      </c>
      <c r="BX390" s="257">
        <f>IF(BX$7="Actual","",IFERROR((INDEX($M390:$Q390,,MATCH(BX$4,$M$4:$Q$4,0))/12),0))</f>
        <v/>
      </c>
      <c r="BY390" s="257">
        <f>IF(BY$7="Actual","",IFERROR((INDEX($M390:$Q390,,MATCH(BY$4,$M$4:$Q$4,0))/12),0))</f>
        <v/>
      </c>
      <c r="BZ390" s="257">
        <f>IF(BZ$7="Actual","",IFERROR((INDEX($M390:$Q390,,MATCH(BZ$4,$M$4:$Q$4,0))/12),0))</f>
        <v/>
      </c>
      <c r="CA390" s="257">
        <f>IF(CA$7="Actual","",IFERROR((INDEX($M390:$Q390,,MATCH(CA$4,$M$4:$Q$4,0))/12),0))</f>
        <v/>
      </c>
    </row>
    <row r="391" ht="12" customHeight="1" s="227">
      <c r="A391" s="244" t="n"/>
      <c r="B391" s="244" t="n"/>
      <c r="C391" s="244" t="n"/>
      <c r="H391" s="0">
        <f>i_Setup!U53</f>
        <v/>
      </c>
      <c r="I391" s="27">
        <f>i_Setup!$M$16</f>
        <v/>
      </c>
      <c r="K391" s="6" t="n"/>
      <c r="M391" s="257">
        <f>IF(M$7="Actual","",i_Assumptions!M472)</f>
        <v/>
      </c>
      <c r="N391" s="257">
        <f>IF(N$7="Actual","",i_Assumptions!N472)</f>
        <v/>
      </c>
      <c r="O391" s="257">
        <f>IF(O$7="Actual","",i_Assumptions!O472)</f>
        <v/>
      </c>
      <c r="P391" s="257">
        <f>IF(P$7="Actual","",i_Assumptions!P472)</f>
        <v/>
      </c>
      <c r="Q391" s="257">
        <f>IF(Q$7="Actual","",i_Assumptions!Q472)</f>
        <v/>
      </c>
      <c r="T391" s="257">
        <f>IF(T$7="Actual","",IFERROR((INDEX($M391:$Q391,,MATCH(T$4,$M$4:$Q$4,0))/12),0))</f>
        <v/>
      </c>
      <c r="U391" s="257">
        <f>IF(U$7="Actual","",IFERROR((INDEX($M391:$Q391,,MATCH(U$4,$M$4:$Q$4,0))/12),0))</f>
        <v/>
      </c>
      <c r="V391" s="257">
        <f>IF(V$7="Actual","",IFERROR((INDEX($M391:$Q391,,MATCH(V$4,$M$4:$Q$4,0))/12),0))</f>
        <v/>
      </c>
      <c r="W391" s="257">
        <f>IF(W$7="Actual","",IFERROR((INDEX($M391:$Q391,,MATCH(W$4,$M$4:$Q$4,0))/12),0))</f>
        <v/>
      </c>
      <c r="X391" s="257">
        <f>IF(X$7="Actual","",IFERROR((INDEX($M391:$Q391,,MATCH(X$4,$M$4:$Q$4,0))/12),0))</f>
        <v/>
      </c>
      <c r="Y391" s="257">
        <f>IF(Y$7="Actual","",IFERROR((INDEX($M391:$Q391,,MATCH(Y$4,$M$4:$Q$4,0))/12),0))</f>
        <v/>
      </c>
      <c r="Z391" s="257">
        <f>IF(Z$7="Actual","",IFERROR((INDEX($M391:$Q391,,MATCH(Z$4,$M$4:$Q$4,0))/12),0))</f>
        <v/>
      </c>
      <c r="AA391" s="257">
        <f>IF(AA$7="Actual","",IFERROR((INDEX($M391:$Q391,,MATCH(AA$4,$M$4:$Q$4,0))/12),0))</f>
        <v/>
      </c>
      <c r="AB391" s="257">
        <f>IF(AB$7="Actual","",IFERROR((INDEX($M391:$Q391,,MATCH(AB$4,$M$4:$Q$4,0))/12),0))</f>
        <v/>
      </c>
      <c r="AC391" s="257">
        <f>IF(AC$7="Actual","",IFERROR((INDEX($M391:$Q391,,MATCH(AC$4,$M$4:$Q$4,0))/12),0))</f>
        <v/>
      </c>
      <c r="AD391" s="257">
        <f>IF(AD$7="Actual","",IFERROR((INDEX($M391:$Q391,,MATCH(AD$4,$M$4:$Q$4,0))/12),0))</f>
        <v/>
      </c>
      <c r="AE391" s="257">
        <f>IF(AE$7="Actual","",IFERROR((INDEX($M391:$Q391,,MATCH(AE$4,$M$4:$Q$4,0))/12),0))</f>
        <v/>
      </c>
      <c r="AF391" s="257">
        <f>IF(AF$7="Actual","",IFERROR((INDEX($M391:$Q391,,MATCH(AF$4,$M$4:$Q$4,0))/12),0))</f>
        <v/>
      </c>
      <c r="AG391" s="257">
        <f>IF(AG$7="Actual","",IFERROR((INDEX($M391:$Q391,,MATCH(AG$4,$M$4:$Q$4,0))/12),0))</f>
        <v/>
      </c>
      <c r="AH391" s="257">
        <f>IF(AH$7="Actual","",IFERROR((INDEX($M391:$Q391,,MATCH(AH$4,$M$4:$Q$4,0))/12),0))</f>
        <v/>
      </c>
      <c r="AI391" s="257">
        <f>IF(AI$7="Actual","",IFERROR((INDEX($M391:$Q391,,MATCH(AI$4,$M$4:$Q$4,0))/12),0))</f>
        <v/>
      </c>
      <c r="AJ391" s="257">
        <f>IF(AJ$7="Actual","",IFERROR((INDEX($M391:$Q391,,MATCH(AJ$4,$M$4:$Q$4,0))/12),0))</f>
        <v/>
      </c>
      <c r="AK391" s="257">
        <f>IF(AK$7="Actual","",IFERROR((INDEX($M391:$Q391,,MATCH(AK$4,$M$4:$Q$4,0))/12),0))</f>
        <v/>
      </c>
      <c r="AL391" s="257">
        <f>IF(AL$7="Actual","",IFERROR((INDEX($M391:$Q391,,MATCH(AL$4,$M$4:$Q$4,0))/12),0))</f>
        <v/>
      </c>
      <c r="AM391" s="257">
        <f>IF(AM$7="Actual","",IFERROR((INDEX($M391:$Q391,,MATCH(AM$4,$M$4:$Q$4,0))/12),0))</f>
        <v/>
      </c>
      <c r="AN391" s="257">
        <f>IF(AN$7="Actual","",IFERROR((INDEX($M391:$Q391,,MATCH(AN$4,$M$4:$Q$4,0))/12),0))</f>
        <v/>
      </c>
      <c r="AO391" s="257">
        <f>IF(AO$7="Actual","",IFERROR((INDEX($M391:$Q391,,MATCH(AO$4,$M$4:$Q$4,0))/12),0))</f>
        <v/>
      </c>
      <c r="AP391" s="257">
        <f>IF(AP$7="Actual","",IFERROR((INDEX($M391:$Q391,,MATCH(AP$4,$M$4:$Q$4,0))/12),0))</f>
        <v/>
      </c>
      <c r="AQ391" s="257">
        <f>IF(AQ$7="Actual","",IFERROR((INDEX($M391:$Q391,,MATCH(AQ$4,$M$4:$Q$4,0))/12),0))</f>
        <v/>
      </c>
      <c r="AR391" s="257">
        <f>IF(AR$7="Actual","",IFERROR((INDEX($M391:$Q391,,MATCH(AR$4,$M$4:$Q$4,0))/12),0))</f>
        <v/>
      </c>
      <c r="AS391" s="257">
        <f>IF(AS$7="Actual","",IFERROR((INDEX($M391:$Q391,,MATCH(AS$4,$M$4:$Q$4,0))/12),0))</f>
        <v/>
      </c>
      <c r="AT391" s="257">
        <f>IF(AT$7="Actual","",IFERROR((INDEX($M391:$Q391,,MATCH(AT$4,$M$4:$Q$4,0))/12),0))</f>
        <v/>
      </c>
      <c r="AU391" s="257">
        <f>IF(AU$7="Actual","",IFERROR((INDEX($M391:$Q391,,MATCH(AU$4,$M$4:$Q$4,0))/12),0))</f>
        <v/>
      </c>
      <c r="AV391" s="257">
        <f>IF(AV$7="Actual","",IFERROR((INDEX($M391:$Q391,,MATCH(AV$4,$M$4:$Q$4,0))/12),0))</f>
        <v/>
      </c>
      <c r="AW391" s="257">
        <f>IF(AW$7="Actual","",IFERROR((INDEX($M391:$Q391,,MATCH(AW$4,$M$4:$Q$4,0))/12),0))</f>
        <v/>
      </c>
      <c r="AX391" s="257">
        <f>IF(AX$7="Actual","",IFERROR((INDEX($M391:$Q391,,MATCH(AX$4,$M$4:$Q$4,0))/12),0))</f>
        <v/>
      </c>
      <c r="AY391" s="257">
        <f>IF(AY$7="Actual","",IFERROR((INDEX($M391:$Q391,,MATCH(AY$4,$M$4:$Q$4,0))/12),0))</f>
        <v/>
      </c>
      <c r="AZ391" s="257">
        <f>IF(AZ$7="Actual","",IFERROR((INDEX($M391:$Q391,,MATCH(AZ$4,$M$4:$Q$4,0))/12),0))</f>
        <v/>
      </c>
      <c r="BA391" s="257">
        <f>IF(BA$7="Actual","",IFERROR((INDEX($M391:$Q391,,MATCH(BA$4,$M$4:$Q$4,0))/12),0))</f>
        <v/>
      </c>
      <c r="BB391" s="257">
        <f>IF(BB$7="Actual","",IFERROR((INDEX($M391:$Q391,,MATCH(BB$4,$M$4:$Q$4,0))/12),0))</f>
        <v/>
      </c>
      <c r="BC391" s="257">
        <f>IF(BC$7="Actual","",IFERROR((INDEX($M391:$Q391,,MATCH(BC$4,$M$4:$Q$4,0))/12),0))</f>
        <v/>
      </c>
      <c r="BD391" s="257">
        <f>IF(BD$7="Actual","",IFERROR((INDEX($M391:$Q391,,MATCH(BD$4,$M$4:$Q$4,0))/12),0))</f>
        <v/>
      </c>
      <c r="BE391" s="257">
        <f>IF(BE$7="Actual","",IFERROR((INDEX($M391:$Q391,,MATCH(BE$4,$M$4:$Q$4,0))/12),0))</f>
        <v/>
      </c>
      <c r="BF391" s="257">
        <f>IF(BF$7="Actual","",IFERROR((INDEX($M391:$Q391,,MATCH(BF$4,$M$4:$Q$4,0))/12),0))</f>
        <v/>
      </c>
      <c r="BG391" s="257">
        <f>IF(BG$7="Actual","",IFERROR((INDEX($M391:$Q391,,MATCH(BG$4,$M$4:$Q$4,0))/12),0))</f>
        <v/>
      </c>
      <c r="BH391" s="257">
        <f>IF(BH$7="Actual","",IFERROR((INDEX($M391:$Q391,,MATCH(BH$4,$M$4:$Q$4,0))/12),0))</f>
        <v/>
      </c>
      <c r="BI391" s="257">
        <f>IF(BI$7="Actual","",IFERROR((INDEX($M391:$Q391,,MATCH(BI$4,$M$4:$Q$4,0))/12),0))</f>
        <v/>
      </c>
      <c r="BJ391" s="257">
        <f>IF(BJ$7="Actual","",IFERROR((INDEX($M391:$Q391,,MATCH(BJ$4,$M$4:$Q$4,0))/12),0))</f>
        <v/>
      </c>
      <c r="BK391" s="257">
        <f>IF(BK$7="Actual","",IFERROR((INDEX($M391:$Q391,,MATCH(BK$4,$M$4:$Q$4,0))/12),0))</f>
        <v/>
      </c>
      <c r="BL391" s="257">
        <f>IF(BL$7="Actual","",IFERROR((INDEX($M391:$Q391,,MATCH(BL$4,$M$4:$Q$4,0))/12),0))</f>
        <v/>
      </c>
      <c r="BM391" s="257">
        <f>IF(BM$7="Actual","",IFERROR((INDEX($M391:$Q391,,MATCH(BM$4,$M$4:$Q$4,0))/12),0))</f>
        <v/>
      </c>
      <c r="BN391" s="257">
        <f>IF(BN$7="Actual","",IFERROR((INDEX($M391:$Q391,,MATCH(BN$4,$M$4:$Q$4,0))/12),0))</f>
        <v/>
      </c>
      <c r="BO391" s="257">
        <f>IF(BO$7="Actual","",IFERROR((INDEX($M391:$Q391,,MATCH(BO$4,$M$4:$Q$4,0))/12),0))</f>
        <v/>
      </c>
      <c r="BP391" s="257">
        <f>IF(BP$7="Actual","",IFERROR((INDEX($M391:$Q391,,MATCH(BP$4,$M$4:$Q$4,0))/12),0))</f>
        <v/>
      </c>
      <c r="BQ391" s="257">
        <f>IF(BQ$7="Actual","",IFERROR((INDEX($M391:$Q391,,MATCH(BQ$4,$M$4:$Q$4,0))/12),0))</f>
        <v/>
      </c>
      <c r="BR391" s="257">
        <f>IF(BR$7="Actual","",IFERROR((INDEX($M391:$Q391,,MATCH(BR$4,$M$4:$Q$4,0))/12),0))</f>
        <v/>
      </c>
      <c r="BS391" s="257">
        <f>IF(BS$7="Actual","",IFERROR((INDEX($M391:$Q391,,MATCH(BS$4,$M$4:$Q$4,0))/12),0))</f>
        <v/>
      </c>
      <c r="BT391" s="257">
        <f>IF(BT$7="Actual","",IFERROR((INDEX($M391:$Q391,,MATCH(BT$4,$M$4:$Q$4,0))/12),0))</f>
        <v/>
      </c>
      <c r="BU391" s="257">
        <f>IF(BU$7="Actual","",IFERROR((INDEX($M391:$Q391,,MATCH(BU$4,$M$4:$Q$4,0))/12),0))</f>
        <v/>
      </c>
      <c r="BV391" s="257">
        <f>IF(BV$7="Actual","",IFERROR((INDEX($M391:$Q391,,MATCH(BV$4,$M$4:$Q$4,0))/12),0))</f>
        <v/>
      </c>
      <c r="BW391" s="257">
        <f>IF(BW$7="Actual","",IFERROR((INDEX($M391:$Q391,,MATCH(BW$4,$M$4:$Q$4,0))/12),0))</f>
        <v/>
      </c>
      <c r="BX391" s="257">
        <f>IF(BX$7="Actual","",IFERROR((INDEX($M391:$Q391,,MATCH(BX$4,$M$4:$Q$4,0))/12),0))</f>
        <v/>
      </c>
      <c r="BY391" s="257">
        <f>IF(BY$7="Actual","",IFERROR((INDEX($M391:$Q391,,MATCH(BY$4,$M$4:$Q$4,0))/12),0))</f>
        <v/>
      </c>
      <c r="BZ391" s="257">
        <f>IF(BZ$7="Actual","",IFERROR((INDEX($M391:$Q391,,MATCH(BZ$4,$M$4:$Q$4,0))/12),0))</f>
        <v/>
      </c>
      <c r="CA391" s="257">
        <f>IF(CA$7="Actual","",IFERROR((INDEX($M391:$Q391,,MATCH(CA$4,$M$4:$Q$4,0))/12),0))</f>
        <v/>
      </c>
    </row>
    <row r="392" ht="12" customHeight="1" s="227">
      <c r="A392" s="244" t="n"/>
      <c r="B392" s="244" t="n"/>
      <c r="C392" s="244" t="n"/>
      <c r="K392" s="6" t="n"/>
    </row>
    <row r="393" ht="12" customHeight="1" s="227">
      <c r="A393" s="244" t="n"/>
      <c r="B393" s="244" t="n"/>
      <c r="C393" s="244" t="n"/>
      <c r="K393" s="6" t="n"/>
    </row>
    <row r="394" ht="12" customHeight="1" s="227">
      <c r="A394" s="244" t="n"/>
      <c r="B394" s="244" t="n"/>
      <c r="C394" s="244" t="n"/>
      <c r="G394" s="222" t="inlineStr">
        <is>
          <t>Average Employer's Social Security as a % of Salary</t>
        </is>
      </c>
      <c r="K394" s="6" t="n"/>
    </row>
    <row r="395" ht="12" customHeight="1" s="227">
      <c r="A395" s="244" t="n"/>
      <c r="B395" s="244" t="n"/>
      <c r="C395" s="244" t="n"/>
      <c r="K395" s="6" t="n"/>
    </row>
    <row r="396" ht="12" customHeight="1" s="227">
      <c r="A396" s="244" t="n"/>
      <c r="B396" s="244" t="n"/>
      <c r="C396" s="244" t="n"/>
      <c r="H396" s="4">
        <f>H384</f>
        <v/>
      </c>
      <c r="I396" s="27" t="inlineStr">
        <is>
          <t>%</t>
        </is>
      </c>
      <c r="K396" s="265">
        <f>i_Assumptions!K477</f>
        <v/>
      </c>
    </row>
    <row r="397" ht="12" customHeight="1" s="227">
      <c r="A397" s="244" t="n"/>
      <c r="B397" s="244" t="n"/>
      <c r="C397" s="244" t="n"/>
      <c r="H397" s="4">
        <f>H385</f>
        <v/>
      </c>
      <c r="I397" s="27" t="inlineStr">
        <is>
          <t>%</t>
        </is>
      </c>
      <c r="K397" s="265">
        <f>i_Assumptions!K478</f>
        <v/>
      </c>
    </row>
    <row r="398" ht="12" customHeight="1" s="227">
      <c r="A398" s="244" t="n"/>
      <c r="B398" s="244" t="n"/>
      <c r="C398" s="244" t="n"/>
      <c r="H398" s="4">
        <f>H386</f>
        <v/>
      </c>
      <c r="I398" s="27" t="inlineStr">
        <is>
          <t>%</t>
        </is>
      </c>
      <c r="K398" s="265">
        <f>i_Assumptions!K479</f>
        <v/>
      </c>
    </row>
    <row r="399" ht="12" customHeight="1" s="227">
      <c r="A399" s="244" t="n"/>
      <c r="B399" s="244" t="n"/>
      <c r="C399" s="244" t="n"/>
      <c r="H399" s="4">
        <f>H387</f>
        <v/>
      </c>
      <c r="I399" s="27" t="inlineStr">
        <is>
          <t>%</t>
        </is>
      </c>
      <c r="K399" s="265">
        <f>i_Assumptions!K480</f>
        <v/>
      </c>
    </row>
    <row r="400" ht="12" customHeight="1" s="227">
      <c r="A400" s="244" t="n"/>
      <c r="B400" s="244" t="n"/>
      <c r="C400" s="244" t="n"/>
      <c r="H400" s="4">
        <f>H388</f>
        <v/>
      </c>
      <c r="I400" s="27" t="inlineStr">
        <is>
          <t>%</t>
        </is>
      </c>
      <c r="K400" s="265">
        <f>i_Assumptions!K481</f>
        <v/>
      </c>
    </row>
    <row r="401" ht="12" customHeight="1" s="227">
      <c r="A401" s="244" t="n"/>
      <c r="B401" s="244" t="n"/>
      <c r="C401" s="244" t="n"/>
      <c r="H401" s="4">
        <f>H389</f>
        <v/>
      </c>
      <c r="I401" s="27" t="inlineStr">
        <is>
          <t>%</t>
        </is>
      </c>
      <c r="K401" s="265">
        <f>i_Assumptions!K482</f>
        <v/>
      </c>
    </row>
    <row r="402" ht="12" customHeight="1" s="227">
      <c r="A402" s="244" t="n"/>
      <c r="B402" s="244" t="n"/>
      <c r="C402" s="244" t="n"/>
      <c r="H402" s="4">
        <f>H390</f>
        <v/>
      </c>
      <c r="I402" s="27" t="inlineStr">
        <is>
          <t>%</t>
        </is>
      </c>
      <c r="K402" s="265">
        <f>i_Assumptions!K483</f>
        <v/>
      </c>
    </row>
    <row r="403" ht="12" customHeight="1" s="227">
      <c r="A403" s="244" t="n"/>
      <c r="B403" s="244" t="n"/>
      <c r="C403" s="244" t="n"/>
      <c r="H403" s="4">
        <f>H391</f>
        <v/>
      </c>
      <c r="I403" s="27" t="inlineStr">
        <is>
          <t>%</t>
        </is>
      </c>
      <c r="K403" s="265">
        <f>i_Assumptions!K484</f>
        <v/>
      </c>
    </row>
    <row r="404" ht="12" customHeight="1" s="227">
      <c r="A404" s="244" t="n"/>
      <c r="B404" s="244" t="n"/>
      <c r="C404" s="244" t="n"/>
      <c r="K404" s="6" t="n"/>
    </row>
    <row r="405" ht="12" customHeight="1" s="227">
      <c r="A405" s="244" t="n"/>
      <c r="B405" s="244" t="n"/>
      <c r="C405" s="244" t="n"/>
      <c r="K405" s="6" t="n"/>
    </row>
    <row r="406" ht="12" customHeight="1" s="227">
      <c r="A406" s="244" t="n"/>
      <c r="B406" s="244" t="n"/>
      <c r="C406" s="244" t="n"/>
      <c r="G406" s="222" t="inlineStr">
        <is>
          <t>Bonus Payment Flag</t>
        </is>
      </c>
      <c r="K406" s="6" t="n"/>
    </row>
    <row r="407" ht="12" customHeight="1" s="227">
      <c r="A407" s="244" t="n"/>
      <c r="B407" s="244" t="n"/>
      <c r="C407" s="244" t="n"/>
      <c r="K407" s="6" t="n"/>
    </row>
    <row r="408" ht="12" customHeight="1" s="227">
      <c r="A408" s="244" t="n"/>
      <c r="B408" s="244" t="n"/>
      <c r="C408" s="244" t="n"/>
      <c r="H408" s="4" t="inlineStr">
        <is>
          <t>Bonus Payment Flag</t>
        </is>
      </c>
      <c r="I408" s="27" t="inlineStr">
        <is>
          <t>no.</t>
        </is>
      </c>
      <c r="K408" s="6" t="n"/>
      <c r="M408" s="245">
        <f>SUMIF($T$4:$CA$4,M$4,$T408:$CA408)</f>
        <v/>
      </c>
      <c r="N408" s="245">
        <f>SUMIF($T$4:$CA$4,N$4,$T408:$CA408)</f>
        <v/>
      </c>
      <c r="O408" s="245">
        <f>SUMIF($T$4:$CA$4,O$4,$T408:$CA408)</f>
        <v/>
      </c>
      <c r="P408" s="245">
        <f>SUMIF($T$4:$CA$4,P$4,$T408:$CA408)</f>
        <v/>
      </c>
      <c r="Q408" s="245">
        <f>SUMIF($T$4:$CA$4,Q$4,$T408:$CA408)</f>
        <v/>
      </c>
      <c r="T408" s="245">
        <f>HLOOKUP(c_Calculations!T$5,i_Assumptions!$T$500:$AE$501,2,FALSE)</f>
        <v/>
      </c>
      <c r="U408" s="245">
        <f>HLOOKUP(c_Calculations!U$5,i_Assumptions!$T$500:$AE$501,2,FALSE)</f>
        <v/>
      </c>
      <c r="V408" s="245">
        <f>HLOOKUP(c_Calculations!V$5,i_Assumptions!$T$500:$AE$501,2,FALSE)</f>
        <v/>
      </c>
      <c r="W408" s="245">
        <f>HLOOKUP(c_Calculations!W$5,i_Assumptions!$T$500:$AE$501,2,FALSE)</f>
        <v/>
      </c>
      <c r="X408" s="245">
        <f>HLOOKUP(c_Calculations!X$5,i_Assumptions!$T$500:$AE$501,2,FALSE)</f>
        <v/>
      </c>
      <c r="Y408" s="245">
        <f>HLOOKUP(c_Calculations!Y$5,i_Assumptions!$T$500:$AE$501,2,FALSE)</f>
        <v/>
      </c>
      <c r="Z408" s="245">
        <f>HLOOKUP(c_Calculations!Z$5,i_Assumptions!$T$500:$AE$501,2,FALSE)</f>
        <v/>
      </c>
      <c r="AA408" s="245">
        <f>HLOOKUP(c_Calculations!AA$5,i_Assumptions!$T$500:$AE$501,2,FALSE)</f>
        <v/>
      </c>
      <c r="AB408" s="245">
        <f>HLOOKUP(c_Calculations!AB$5,i_Assumptions!$T$500:$AE$501,2,FALSE)</f>
        <v/>
      </c>
      <c r="AC408" s="245">
        <f>HLOOKUP(c_Calculations!AC$5,i_Assumptions!$T$500:$AE$501,2,FALSE)</f>
        <v/>
      </c>
      <c r="AD408" s="245">
        <f>HLOOKUP(c_Calculations!AD$5,i_Assumptions!$T$500:$AE$501,2,FALSE)</f>
        <v/>
      </c>
      <c r="AE408" s="245">
        <f>HLOOKUP(c_Calculations!AE$5,i_Assumptions!$T$500:$AE$501,2,FALSE)</f>
        <v/>
      </c>
      <c r="AF408" s="245">
        <f>HLOOKUP(c_Calculations!AF$5,i_Assumptions!$T$500:$AE$501,2,FALSE)</f>
        <v/>
      </c>
      <c r="AG408" s="245">
        <f>HLOOKUP(c_Calculations!AG$5,i_Assumptions!$T$500:$AE$501,2,FALSE)</f>
        <v/>
      </c>
      <c r="AH408" s="245">
        <f>HLOOKUP(c_Calculations!AH$5,i_Assumptions!$T$500:$AE$501,2,FALSE)</f>
        <v/>
      </c>
      <c r="AI408" s="245">
        <f>HLOOKUP(c_Calculations!AI$5,i_Assumptions!$T$500:$AE$501,2,FALSE)</f>
        <v/>
      </c>
      <c r="AJ408" s="245">
        <f>HLOOKUP(c_Calculations!AJ$5,i_Assumptions!$T$500:$AE$501,2,FALSE)</f>
        <v/>
      </c>
      <c r="AK408" s="245">
        <f>HLOOKUP(c_Calculations!AK$5,i_Assumptions!$T$500:$AE$501,2,FALSE)</f>
        <v/>
      </c>
      <c r="AL408" s="245">
        <f>HLOOKUP(c_Calculations!AL$5,i_Assumptions!$T$500:$AE$501,2,FALSE)</f>
        <v/>
      </c>
      <c r="AM408" s="245">
        <f>HLOOKUP(c_Calculations!AM$5,i_Assumptions!$T$500:$AE$501,2,FALSE)</f>
        <v/>
      </c>
      <c r="AN408" s="245">
        <f>HLOOKUP(c_Calculations!AN$5,i_Assumptions!$T$500:$AE$501,2,FALSE)</f>
        <v/>
      </c>
      <c r="AO408" s="245">
        <f>HLOOKUP(c_Calculations!AO$5,i_Assumptions!$T$500:$AE$501,2,FALSE)</f>
        <v/>
      </c>
      <c r="AP408" s="245">
        <f>HLOOKUP(c_Calculations!AP$5,i_Assumptions!$T$500:$AE$501,2,FALSE)</f>
        <v/>
      </c>
      <c r="AQ408" s="245">
        <f>HLOOKUP(c_Calculations!AQ$5,i_Assumptions!$T$500:$AE$501,2,FALSE)</f>
        <v/>
      </c>
      <c r="AR408" s="245">
        <f>HLOOKUP(c_Calculations!AR$5,i_Assumptions!$T$500:$AE$501,2,FALSE)</f>
        <v/>
      </c>
      <c r="AS408" s="245">
        <f>HLOOKUP(c_Calculations!AS$5,i_Assumptions!$T$500:$AE$501,2,FALSE)</f>
        <v/>
      </c>
      <c r="AT408" s="245">
        <f>HLOOKUP(c_Calculations!AT$5,i_Assumptions!$T$500:$AE$501,2,FALSE)</f>
        <v/>
      </c>
      <c r="AU408" s="245">
        <f>HLOOKUP(c_Calculations!AU$5,i_Assumptions!$T$500:$AE$501,2,FALSE)</f>
        <v/>
      </c>
      <c r="AV408" s="245">
        <f>HLOOKUP(c_Calculations!AV$5,i_Assumptions!$T$500:$AE$501,2,FALSE)</f>
        <v/>
      </c>
      <c r="AW408" s="245">
        <f>HLOOKUP(c_Calculations!AW$5,i_Assumptions!$T$500:$AE$501,2,FALSE)</f>
        <v/>
      </c>
      <c r="AX408" s="245">
        <f>HLOOKUP(c_Calculations!AX$5,i_Assumptions!$T$500:$AE$501,2,FALSE)</f>
        <v/>
      </c>
      <c r="AY408" s="245">
        <f>HLOOKUP(c_Calculations!AY$5,i_Assumptions!$T$500:$AE$501,2,FALSE)</f>
        <v/>
      </c>
      <c r="AZ408" s="245">
        <f>HLOOKUP(c_Calculations!AZ$5,i_Assumptions!$T$500:$AE$501,2,FALSE)</f>
        <v/>
      </c>
      <c r="BA408" s="245">
        <f>HLOOKUP(c_Calculations!BA$5,i_Assumptions!$T$500:$AE$501,2,FALSE)</f>
        <v/>
      </c>
      <c r="BB408" s="245">
        <f>HLOOKUP(c_Calculations!BB$5,i_Assumptions!$T$500:$AE$501,2,FALSE)</f>
        <v/>
      </c>
      <c r="BC408" s="245">
        <f>HLOOKUP(c_Calculations!BC$5,i_Assumptions!$T$500:$AE$501,2,FALSE)</f>
        <v/>
      </c>
      <c r="BD408" s="245">
        <f>HLOOKUP(c_Calculations!BD$5,i_Assumptions!$T$500:$AE$501,2,FALSE)</f>
        <v/>
      </c>
      <c r="BE408" s="245">
        <f>HLOOKUP(c_Calculations!BE$5,i_Assumptions!$T$500:$AE$501,2,FALSE)</f>
        <v/>
      </c>
      <c r="BF408" s="245">
        <f>HLOOKUP(c_Calculations!BF$5,i_Assumptions!$T$500:$AE$501,2,FALSE)</f>
        <v/>
      </c>
      <c r="BG408" s="245">
        <f>HLOOKUP(c_Calculations!BG$5,i_Assumptions!$T$500:$AE$501,2,FALSE)</f>
        <v/>
      </c>
      <c r="BH408" s="245">
        <f>HLOOKUP(c_Calculations!BH$5,i_Assumptions!$T$500:$AE$501,2,FALSE)</f>
        <v/>
      </c>
      <c r="BI408" s="245">
        <f>HLOOKUP(c_Calculations!BI$5,i_Assumptions!$T$500:$AE$501,2,FALSE)</f>
        <v/>
      </c>
      <c r="BJ408" s="245">
        <f>HLOOKUP(c_Calculations!BJ$5,i_Assumptions!$T$500:$AE$501,2,FALSE)</f>
        <v/>
      </c>
      <c r="BK408" s="245">
        <f>HLOOKUP(c_Calculations!BK$5,i_Assumptions!$T$500:$AE$501,2,FALSE)</f>
        <v/>
      </c>
      <c r="BL408" s="245">
        <f>HLOOKUP(c_Calculations!BL$5,i_Assumptions!$T$500:$AE$501,2,FALSE)</f>
        <v/>
      </c>
      <c r="BM408" s="245">
        <f>HLOOKUP(c_Calculations!BM$5,i_Assumptions!$T$500:$AE$501,2,FALSE)</f>
        <v/>
      </c>
      <c r="BN408" s="245">
        <f>HLOOKUP(c_Calculations!BN$5,i_Assumptions!$T$500:$AE$501,2,FALSE)</f>
        <v/>
      </c>
      <c r="BO408" s="245">
        <f>HLOOKUP(c_Calculations!BO$5,i_Assumptions!$T$500:$AE$501,2,FALSE)</f>
        <v/>
      </c>
      <c r="BP408" s="245">
        <f>HLOOKUP(c_Calculations!BP$5,i_Assumptions!$T$500:$AE$501,2,FALSE)</f>
        <v/>
      </c>
      <c r="BQ408" s="245">
        <f>HLOOKUP(c_Calculations!BQ$5,i_Assumptions!$T$500:$AE$501,2,FALSE)</f>
        <v/>
      </c>
      <c r="BR408" s="245">
        <f>HLOOKUP(c_Calculations!BR$5,i_Assumptions!$T$500:$AE$501,2,FALSE)</f>
        <v/>
      </c>
      <c r="BS408" s="245">
        <f>HLOOKUP(c_Calculations!BS$5,i_Assumptions!$T$500:$AE$501,2,FALSE)</f>
        <v/>
      </c>
      <c r="BT408" s="245">
        <f>HLOOKUP(c_Calculations!BT$5,i_Assumptions!$T$500:$AE$501,2,FALSE)</f>
        <v/>
      </c>
      <c r="BU408" s="245">
        <f>HLOOKUP(c_Calculations!BU$5,i_Assumptions!$T$500:$AE$501,2,FALSE)</f>
        <v/>
      </c>
      <c r="BV408" s="245">
        <f>HLOOKUP(c_Calculations!BV$5,i_Assumptions!$T$500:$AE$501,2,FALSE)</f>
        <v/>
      </c>
      <c r="BW408" s="245">
        <f>HLOOKUP(c_Calculations!BW$5,i_Assumptions!$T$500:$AE$501,2,FALSE)</f>
        <v/>
      </c>
      <c r="BX408" s="245">
        <f>HLOOKUP(c_Calculations!BX$5,i_Assumptions!$T$500:$AE$501,2,FALSE)</f>
        <v/>
      </c>
      <c r="BY408" s="245">
        <f>HLOOKUP(c_Calculations!BY$5,i_Assumptions!$T$500:$AE$501,2,FALSE)</f>
        <v/>
      </c>
      <c r="BZ408" s="245">
        <f>HLOOKUP(c_Calculations!BZ$5,i_Assumptions!$T$500:$AE$501,2,FALSE)</f>
        <v/>
      </c>
      <c r="CA408" s="245">
        <f>HLOOKUP(c_Calculations!CA$5,i_Assumptions!$T$500:$AE$501,2,FALSE)</f>
        <v/>
      </c>
    </row>
    <row r="409" ht="12" customHeight="1" s="227">
      <c r="A409" s="244" t="n"/>
      <c r="B409" s="244" t="n"/>
      <c r="C409" s="244" t="n"/>
      <c r="K409" s="6" t="n"/>
    </row>
    <row r="410" ht="12" customHeight="1" s="227">
      <c r="A410" s="244" t="n"/>
      <c r="B410" s="244" t="n"/>
      <c r="C410" s="244" t="n"/>
      <c r="K410" s="6" t="n"/>
    </row>
    <row r="411" ht="12" customHeight="1" s="227">
      <c r="A411" s="244" t="n"/>
      <c r="B411" s="244" t="n"/>
      <c r="C411" s="244" t="n"/>
      <c r="G411" s="222" t="inlineStr">
        <is>
          <t>Bonus Percentage per Bonus Month</t>
        </is>
      </c>
      <c r="K411" s="6" t="n"/>
    </row>
    <row r="412" ht="12" customHeight="1" s="227">
      <c r="A412" s="244" t="n"/>
      <c r="B412" s="244" t="n"/>
      <c r="C412" s="244" t="n"/>
      <c r="K412" s="6" t="n"/>
    </row>
    <row r="413" ht="12" customHeight="1" s="227">
      <c r="A413" s="244" t="n"/>
      <c r="B413" s="244" t="n"/>
      <c r="C413" s="244" t="n"/>
      <c r="H413" s="4">
        <f>H396</f>
        <v/>
      </c>
      <c r="I413" s="27" t="inlineStr">
        <is>
          <t>%</t>
        </is>
      </c>
      <c r="K413" s="6" t="n"/>
      <c r="M413" s="265">
        <f>IF(M$7="Actual","",i_Assumptions!M489)</f>
        <v/>
      </c>
      <c r="N413" s="265">
        <f>IF(N$7="Actual","",i_Assumptions!N489)</f>
        <v/>
      </c>
      <c r="O413" s="265">
        <f>IF(O$7="Actual","",i_Assumptions!O489)</f>
        <v/>
      </c>
      <c r="P413" s="265">
        <f>IF(P$7="Actual","",i_Assumptions!P489)</f>
        <v/>
      </c>
      <c r="Q413" s="265">
        <f>IF(Q$7="Actual","",i_Assumptions!Q489)</f>
        <v/>
      </c>
      <c r="T413" s="265">
        <f>IF(T$7="Actual","",IF(T$408=0,0,INDEX($M413:$Q413,,MATCH(T$4,$M$4:$Q$4,0))/INDEX($M$408:$Q$408,,MATCH(T$4,$M$4:$Q$4,0))))</f>
        <v/>
      </c>
      <c r="U413" s="265">
        <f>IF(U$7="Actual","",IF(U$408=0,0,INDEX($M413:$Q413,,MATCH(U$4,$M$4:$Q$4,0))/INDEX($M$408:$Q$408,,MATCH(U$4,$M$4:$Q$4,0))))</f>
        <v/>
      </c>
      <c r="V413" s="265">
        <f>IF(V$7="Actual","",IF(V$408=0,0,INDEX($M413:$Q413,,MATCH(V$4,$M$4:$Q$4,0))/INDEX($M$408:$Q$408,,MATCH(V$4,$M$4:$Q$4,0))))</f>
        <v/>
      </c>
      <c r="W413" s="265">
        <f>IF(W$7="Actual","",IF(W$408=0,0,INDEX($M413:$Q413,,MATCH(W$4,$M$4:$Q$4,0))/INDEX($M$408:$Q$408,,MATCH(W$4,$M$4:$Q$4,0))))</f>
        <v/>
      </c>
      <c r="X413" s="265">
        <f>IF(X$7="Actual","",IF(X$408=0,0,INDEX($M413:$Q413,,MATCH(X$4,$M$4:$Q$4,0))/INDEX($M$408:$Q$408,,MATCH(X$4,$M$4:$Q$4,0))))</f>
        <v/>
      </c>
      <c r="Y413" s="265">
        <f>IF(Y$7="Actual","",IF(Y$408=0,0,INDEX($M413:$Q413,,MATCH(Y$4,$M$4:$Q$4,0))/INDEX($M$408:$Q$408,,MATCH(Y$4,$M$4:$Q$4,0))))</f>
        <v/>
      </c>
      <c r="Z413" s="265">
        <f>IF(Z$7="Actual","",IF(Z$408=0,0,INDEX($M413:$Q413,,MATCH(Z$4,$M$4:$Q$4,0))/INDEX($M$408:$Q$408,,MATCH(Z$4,$M$4:$Q$4,0))))</f>
        <v/>
      </c>
      <c r="AA413" s="265">
        <f>IF(AA$7="Actual","",IF(AA$408=0,0,INDEX($M413:$Q413,,MATCH(AA$4,$M$4:$Q$4,0))/INDEX($M$408:$Q$408,,MATCH(AA$4,$M$4:$Q$4,0))))</f>
        <v/>
      </c>
      <c r="AB413" s="265">
        <f>IF(AB$7="Actual","",IF(AB$408=0,0,INDEX($M413:$Q413,,MATCH(AB$4,$M$4:$Q$4,0))/INDEX($M$408:$Q$408,,MATCH(AB$4,$M$4:$Q$4,0))))</f>
        <v/>
      </c>
      <c r="AC413" s="265">
        <f>IF(AC$7="Actual","",IF(AC$408=0,0,INDEX($M413:$Q413,,MATCH(AC$4,$M$4:$Q$4,0))/INDEX($M$408:$Q$408,,MATCH(AC$4,$M$4:$Q$4,0))))</f>
        <v/>
      </c>
      <c r="AD413" s="265">
        <f>IF(AD$7="Actual","",IF(AD$408=0,0,INDEX($M413:$Q413,,MATCH(AD$4,$M$4:$Q$4,0))/INDEX($M$408:$Q$408,,MATCH(AD$4,$M$4:$Q$4,0))))</f>
        <v/>
      </c>
      <c r="AE413" s="265">
        <f>IF(AE$7="Actual","",IF(AE$408=0,0,INDEX($M413:$Q413,,MATCH(AE$4,$M$4:$Q$4,0))/INDEX($M$408:$Q$408,,MATCH(AE$4,$M$4:$Q$4,0))))</f>
        <v/>
      </c>
      <c r="AF413" s="265">
        <f>IF(AF$7="Actual","",IF(AF$408=0,0,INDEX($M413:$Q413,,MATCH(AF$4,$M$4:$Q$4,0))/INDEX($M$408:$Q$408,,MATCH(AF$4,$M$4:$Q$4,0))))</f>
        <v/>
      </c>
      <c r="AG413" s="265">
        <f>IF(AG$7="Actual","",IF(AG$408=0,0,INDEX($M413:$Q413,,MATCH(AG$4,$M$4:$Q$4,0))/INDEX($M$408:$Q$408,,MATCH(AG$4,$M$4:$Q$4,0))))</f>
        <v/>
      </c>
      <c r="AH413" s="265">
        <f>IF(AH$7="Actual","",IF(AH$408=0,0,INDEX($M413:$Q413,,MATCH(AH$4,$M$4:$Q$4,0))/INDEX($M$408:$Q$408,,MATCH(AH$4,$M$4:$Q$4,0))))</f>
        <v/>
      </c>
      <c r="AI413" s="265">
        <f>IF(AI$7="Actual","",IF(AI$408=0,0,INDEX($M413:$Q413,,MATCH(AI$4,$M$4:$Q$4,0))/INDEX($M$408:$Q$408,,MATCH(AI$4,$M$4:$Q$4,0))))</f>
        <v/>
      </c>
      <c r="AJ413" s="265">
        <f>IF(AJ$7="Actual","",IF(AJ$408=0,0,INDEX($M413:$Q413,,MATCH(AJ$4,$M$4:$Q$4,0))/INDEX($M$408:$Q$408,,MATCH(AJ$4,$M$4:$Q$4,0))))</f>
        <v/>
      </c>
      <c r="AK413" s="265">
        <f>IF(AK$7="Actual","",IF(AK$408=0,0,INDEX($M413:$Q413,,MATCH(AK$4,$M$4:$Q$4,0))/INDEX($M$408:$Q$408,,MATCH(AK$4,$M$4:$Q$4,0))))</f>
        <v/>
      </c>
      <c r="AL413" s="265">
        <f>IF(AL$7="Actual","",IF(AL$408=0,0,INDEX($M413:$Q413,,MATCH(AL$4,$M$4:$Q$4,0))/INDEX($M$408:$Q$408,,MATCH(AL$4,$M$4:$Q$4,0))))</f>
        <v/>
      </c>
      <c r="AM413" s="265">
        <f>IF(AM$7="Actual","",IF(AM$408=0,0,INDEX($M413:$Q413,,MATCH(AM$4,$M$4:$Q$4,0))/INDEX($M$408:$Q$408,,MATCH(AM$4,$M$4:$Q$4,0))))</f>
        <v/>
      </c>
      <c r="AN413" s="265">
        <f>IF(AN$7="Actual","",IF(AN$408=0,0,INDEX($M413:$Q413,,MATCH(AN$4,$M$4:$Q$4,0))/INDEX($M$408:$Q$408,,MATCH(AN$4,$M$4:$Q$4,0))))</f>
        <v/>
      </c>
      <c r="AO413" s="265">
        <f>IF(AO$7="Actual","",IF(AO$408=0,0,INDEX($M413:$Q413,,MATCH(AO$4,$M$4:$Q$4,0))/INDEX($M$408:$Q$408,,MATCH(AO$4,$M$4:$Q$4,0))))</f>
        <v/>
      </c>
      <c r="AP413" s="265">
        <f>IF(AP$7="Actual","",IF(AP$408=0,0,INDEX($M413:$Q413,,MATCH(AP$4,$M$4:$Q$4,0))/INDEX($M$408:$Q$408,,MATCH(AP$4,$M$4:$Q$4,0))))</f>
        <v/>
      </c>
      <c r="AQ413" s="265">
        <f>IF(AQ$7="Actual","",IF(AQ$408=0,0,INDEX($M413:$Q413,,MATCH(AQ$4,$M$4:$Q$4,0))/INDEX($M$408:$Q$408,,MATCH(AQ$4,$M$4:$Q$4,0))))</f>
        <v/>
      </c>
      <c r="AR413" s="265">
        <f>IF(AR$7="Actual","",IF(AR$408=0,0,INDEX($M413:$Q413,,MATCH(AR$4,$M$4:$Q$4,0))/INDEX($M$408:$Q$408,,MATCH(AR$4,$M$4:$Q$4,0))))</f>
        <v/>
      </c>
      <c r="AS413" s="265">
        <f>IF(AS$7="Actual","",IF(AS$408=0,0,INDEX($M413:$Q413,,MATCH(AS$4,$M$4:$Q$4,0))/INDEX($M$408:$Q$408,,MATCH(AS$4,$M$4:$Q$4,0))))</f>
        <v/>
      </c>
      <c r="AT413" s="265">
        <f>IF(AT$7="Actual","",IF(AT$408=0,0,INDEX($M413:$Q413,,MATCH(AT$4,$M$4:$Q$4,0))/INDEX($M$408:$Q$408,,MATCH(AT$4,$M$4:$Q$4,0))))</f>
        <v/>
      </c>
      <c r="AU413" s="265">
        <f>IF(AU$7="Actual","",IF(AU$408=0,0,INDEX($M413:$Q413,,MATCH(AU$4,$M$4:$Q$4,0))/INDEX($M$408:$Q$408,,MATCH(AU$4,$M$4:$Q$4,0))))</f>
        <v/>
      </c>
      <c r="AV413" s="265">
        <f>IF(AV$7="Actual","",IF(AV$408=0,0,INDEX($M413:$Q413,,MATCH(AV$4,$M$4:$Q$4,0))/INDEX($M$408:$Q$408,,MATCH(AV$4,$M$4:$Q$4,0))))</f>
        <v/>
      </c>
      <c r="AW413" s="265">
        <f>IF(AW$7="Actual","",IF(AW$408=0,0,INDEX($M413:$Q413,,MATCH(AW$4,$M$4:$Q$4,0))/INDEX($M$408:$Q$408,,MATCH(AW$4,$M$4:$Q$4,0))))</f>
        <v/>
      </c>
      <c r="AX413" s="265">
        <f>IF(AX$7="Actual","",IF(AX$408=0,0,INDEX($M413:$Q413,,MATCH(AX$4,$M$4:$Q$4,0))/INDEX($M$408:$Q$408,,MATCH(AX$4,$M$4:$Q$4,0))))</f>
        <v/>
      </c>
      <c r="AY413" s="265">
        <f>IF(AY$7="Actual","",IF(AY$408=0,0,INDEX($M413:$Q413,,MATCH(AY$4,$M$4:$Q$4,0))/INDEX($M$408:$Q$408,,MATCH(AY$4,$M$4:$Q$4,0))))</f>
        <v/>
      </c>
      <c r="AZ413" s="265">
        <f>IF(AZ$7="Actual","",IF(AZ$408=0,0,INDEX($M413:$Q413,,MATCH(AZ$4,$M$4:$Q$4,0))/INDEX($M$408:$Q$408,,MATCH(AZ$4,$M$4:$Q$4,0))))</f>
        <v/>
      </c>
      <c r="BA413" s="265">
        <f>IF(BA$7="Actual","",IF(BA$408=0,0,INDEX($M413:$Q413,,MATCH(BA$4,$M$4:$Q$4,0))/INDEX($M$408:$Q$408,,MATCH(BA$4,$M$4:$Q$4,0))))</f>
        <v/>
      </c>
      <c r="BB413" s="265">
        <f>IF(BB$7="Actual","",IF(BB$408=0,0,INDEX($M413:$Q413,,MATCH(BB$4,$M$4:$Q$4,0))/INDEX($M$408:$Q$408,,MATCH(BB$4,$M$4:$Q$4,0))))</f>
        <v/>
      </c>
      <c r="BC413" s="265">
        <f>IF(BC$7="Actual","",IF(BC$408=0,0,INDEX($M413:$Q413,,MATCH(BC$4,$M$4:$Q$4,0))/INDEX($M$408:$Q$408,,MATCH(BC$4,$M$4:$Q$4,0))))</f>
        <v/>
      </c>
      <c r="BD413" s="265">
        <f>IF(BD$7="Actual","",IF(BD$408=0,0,INDEX($M413:$Q413,,MATCH(BD$4,$M$4:$Q$4,0))/INDEX($M$408:$Q$408,,MATCH(BD$4,$M$4:$Q$4,0))))</f>
        <v/>
      </c>
      <c r="BE413" s="265">
        <f>IF(BE$7="Actual","",IF(BE$408=0,0,INDEX($M413:$Q413,,MATCH(BE$4,$M$4:$Q$4,0))/INDEX($M$408:$Q$408,,MATCH(BE$4,$M$4:$Q$4,0))))</f>
        <v/>
      </c>
      <c r="BF413" s="265">
        <f>IF(BF$7="Actual","",IF(BF$408=0,0,INDEX($M413:$Q413,,MATCH(BF$4,$M$4:$Q$4,0))/INDEX($M$408:$Q$408,,MATCH(BF$4,$M$4:$Q$4,0))))</f>
        <v/>
      </c>
      <c r="BG413" s="265">
        <f>IF(BG$7="Actual","",IF(BG$408=0,0,INDEX($M413:$Q413,,MATCH(BG$4,$M$4:$Q$4,0))/INDEX($M$408:$Q$408,,MATCH(BG$4,$M$4:$Q$4,0))))</f>
        <v/>
      </c>
      <c r="BH413" s="265">
        <f>IF(BH$7="Actual","",IF(BH$408=0,0,INDEX($M413:$Q413,,MATCH(BH$4,$M$4:$Q$4,0))/INDEX($M$408:$Q$408,,MATCH(BH$4,$M$4:$Q$4,0))))</f>
        <v/>
      </c>
      <c r="BI413" s="265">
        <f>IF(BI$7="Actual","",IF(BI$408=0,0,INDEX($M413:$Q413,,MATCH(BI$4,$M$4:$Q$4,0))/INDEX($M$408:$Q$408,,MATCH(BI$4,$M$4:$Q$4,0))))</f>
        <v/>
      </c>
      <c r="BJ413" s="265">
        <f>IF(BJ$7="Actual","",IF(BJ$408=0,0,INDEX($M413:$Q413,,MATCH(BJ$4,$M$4:$Q$4,0))/INDEX($M$408:$Q$408,,MATCH(BJ$4,$M$4:$Q$4,0))))</f>
        <v/>
      </c>
      <c r="BK413" s="265">
        <f>IF(BK$7="Actual","",IF(BK$408=0,0,INDEX($M413:$Q413,,MATCH(BK$4,$M$4:$Q$4,0))/INDEX($M$408:$Q$408,,MATCH(BK$4,$M$4:$Q$4,0))))</f>
        <v/>
      </c>
      <c r="BL413" s="265">
        <f>IF(BL$7="Actual","",IF(BL$408=0,0,INDEX($M413:$Q413,,MATCH(BL$4,$M$4:$Q$4,0))/INDEX($M$408:$Q$408,,MATCH(BL$4,$M$4:$Q$4,0))))</f>
        <v/>
      </c>
      <c r="BM413" s="265">
        <f>IF(BM$7="Actual","",IF(BM$408=0,0,INDEX($M413:$Q413,,MATCH(BM$4,$M$4:$Q$4,0))/INDEX($M$408:$Q$408,,MATCH(BM$4,$M$4:$Q$4,0))))</f>
        <v/>
      </c>
      <c r="BN413" s="265">
        <f>IF(BN$7="Actual","",IF(BN$408=0,0,INDEX($M413:$Q413,,MATCH(BN$4,$M$4:$Q$4,0))/INDEX($M$408:$Q$408,,MATCH(BN$4,$M$4:$Q$4,0))))</f>
        <v/>
      </c>
      <c r="BO413" s="265">
        <f>IF(BO$7="Actual","",IF(BO$408=0,0,INDEX($M413:$Q413,,MATCH(BO$4,$M$4:$Q$4,0))/INDEX($M$408:$Q$408,,MATCH(BO$4,$M$4:$Q$4,0))))</f>
        <v/>
      </c>
      <c r="BP413" s="265">
        <f>IF(BP$7="Actual","",IF(BP$408=0,0,INDEX($M413:$Q413,,MATCH(BP$4,$M$4:$Q$4,0))/INDEX($M$408:$Q$408,,MATCH(BP$4,$M$4:$Q$4,0))))</f>
        <v/>
      </c>
      <c r="BQ413" s="265">
        <f>IF(BQ$7="Actual","",IF(BQ$408=0,0,INDEX($M413:$Q413,,MATCH(BQ$4,$M$4:$Q$4,0))/INDEX($M$408:$Q$408,,MATCH(BQ$4,$M$4:$Q$4,0))))</f>
        <v/>
      </c>
      <c r="BR413" s="265">
        <f>IF(BR$7="Actual","",IF(BR$408=0,0,INDEX($M413:$Q413,,MATCH(BR$4,$M$4:$Q$4,0))/INDEX($M$408:$Q$408,,MATCH(BR$4,$M$4:$Q$4,0))))</f>
        <v/>
      </c>
      <c r="BS413" s="265">
        <f>IF(BS$7="Actual","",IF(BS$408=0,0,INDEX($M413:$Q413,,MATCH(BS$4,$M$4:$Q$4,0))/INDEX($M$408:$Q$408,,MATCH(BS$4,$M$4:$Q$4,0))))</f>
        <v/>
      </c>
      <c r="BT413" s="265">
        <f>IF(BT$7="Actual","",IF(BT$408=0,0,INDEX($M413:$Q413,,MATCH(BT$4,$M$4:$Q$4,0))/INDEX($M$408:$Q$408,,MATCH(BT$4,$M$4:$Q$4,0))))</f>
        <v/>
      </c>
      <c r="BU413" s="265">
        <f>IF(BU$7="Actual","",IF(BU$408=0,0,INDEX($M413:$Q413,,MATCH(BU$4,$M$4:$Q$4,0))/INDEX($M$408:$Q$408,,MATCH(BU$4,$M$4:$Q$4,0))))</f>
        <v/>
      </c>
      <c r="BV413" s="265">
        <f>IF(BV$7="Actual","",IF(BV$408=0,0,INDEX($M413:$Q413,,MATCH(BV$4,$M$4:$Q$4,0))/INDEX($M$408:$Q$408,,MATCH(BV$4,$M$4:$Q$4,0))))</f>
        <v/>
      </c>
      <c r="BW413" s="265">
        <f>IF(BW$7="Actual","",IF(BW$408=0,0,INDEX($M413:$Q413,,MATCH(BW$4,$M$4:$Q$4,0))/INDEX($M$408:$Q$408,,MATCH(BW$4,$M$4:$Q$4,0))))</f>
        <v/>
      </c>
      <c r="BX413" s="265">
        <f>IF(BX$7="Actual","",IF(BX$408=0,0,INDEX($M413:$Q413,,MATCH(BX$4,$M$4:$Q$4,0))/INDEX($M$408:$Q$408,,MATCH(BX$4,$M$4:$Q$4,0))))</f>
        <v/>
      </c>
      <c r="BY413" s="265">
        <f>IF(BY$7="Actual","",IF(BY$408=0,0,INDEX($M413:$Q413,,MATCH(BY$4,$M$4:$Q$4,0))/INDEX($M$408:$Q$408,,MATCH(BY$4,$M$4:$Q$4,0))))</f>
        <v/>
      </c>
      <c r="BZ413" s="265">
        <f>IF(BZ$7="Actual","",IF(BZ$408=0,0,INDEX($M413:$Q413,,MATCH(BZ$4,$M$4:$Q$4,0))/INDEX($M$408:$Q$408,,MATCH(BZ$4,$M$4:$Q$4,0))))</f>
        <v/>
      </c>
      <c r="CA413" s="265">
        <f>IF(CA$7="Actual","",IF(CA$408=0,0,INDEX($M413:$Q413,,MATCH(CA$4,$M$4:$Q$4,0))/INDEX($M$408:$Q$408,,MATCH(CA$4,$M$4:$Q$4,0))))</f>
        <v/>
      </c>
    </row>
    <row r="414" ht="12" customHeight="1" s="227">
      <c r="A414" s="244" t="n"/>
      <c r="B414" s="244" t="n"/>
      <c r="C414" s="244" t="n"/>
      <c r="H414" s="4">
        <f>H397</f>
        <v/>
      </c>
      <c r="I414" s="27" t="inlineStr">
        <is>
          <t>%</t>
        </is>
      </c>
      <c r="K414" s="6" t="n"/>
      <c r="M414" s="265">
        <f>IF(M$7="Actual","",i_Assumptions!M490)</f>
        <v/>
      </c>
      <c r="N414" s="265">
        <f>IF(N$7="Actual","",i_Assumptions!N490)</f>
        <v/>
      </c>
      <c r="O414" s="265">
        <f>IF(O$7="Actual","",i_Assumptions!O490)</f>
        <v/>
      </c>
      <c r="P414" s="265">
        <f>IF(P$7="Actual","",i_Assumptions!P490)</f>
        <v/>
      </c>
      <c r="Q414" s="265">
        <f>IF(Q$7="Actual","",i_Assumptions!Q490)</f>
        <v/>
      </c>
      <c r="T414" s="265">
        <f>IF(T$7="Actual","",IF(T$408=0,0,INDEX($M414:$Q414,,MATCH(T$4,$M$4:$Q$4,0))/INDEX($M$408:$Q$408,,MATCH(T$4,$M$4:$Q$4,0))))</f>
        <v/>
      </c>
      <c r="U414" s="265">
        <f>IF(U$7="Actual","",IF(U$408=0,0,INDEX($M414:$Q414,,MATCH(U$4,$M$4:$Q$4,0))/INDEX($M$408:$Q$408,,MATCH(U$4,$M$4:$Q$4,0))))</f>
        <v/>
      </c>
      <c r="V414" s="265">
        <f>IF(V$7="Actual","",IF(V$408=0,0,INDEX($M414:$Q414,,MATCH(V$4,$M$4:$Q$4,0))/INDEX($M$408:$Q$408,,MATCH(V$4,$M$4:$Q$4,0))))</f>
        <v/>
      </c>
      <c r="W414" s="265">
        <f>IF(W$7="Actual","",IF(W$408=0,0,INDEX($M414:$Q414,,MATCH(W$4,$M$4:$Q$4,0))/INDEX($M$408:$Q$408,,MATCH(W$4,$M$4:$Q$4,0))))</f>
        <v/>
      </c>
      <c r="X414" s="265">
        <f>IF(X$7="Actual","",IF(X$408=0,0,INDEX($M414:$Q414,,MATCH(X$4,$M$4:$Q$4,0))/INDEX($M$408:$Q$408,,MATCH(X$4,$M$4:$Q$4,0))))</f>
        <v/>
      </c>
      <c r="Y414" s="265">
        <f>IF(Y$7="Actual","",IF(Y$408=0,0,INDEX($M414:$Q414,,MATCH(Y$4,$M$4:$Q$4,0))/INDEX($M$408:$Q$408,,MATCH(Y$4,$M$4:$Q$4,0))))</f>
        <v/>
      </c>
      <c r="Z414" s="265">
        <f>IF(Z$7="Actual","",IF(Z$408=0,0,INDEX($M414:$Q414,,MATCH(Z$4,$M$4:$Q$4,0))/INDEX($M$408:$Q$408,,MATCH(Z$4,$M$4:$Q$4,0))))</f>
        <v/>
      </c>
      <c r="AA414" s="265">
        <f>IF(AA$7="Actual","",IF(AA$408=0,0,INDEX($M414:$Q414,,MATCH(AA$4,$M$4:$Q$4,0))/INDEX($M$408:$Q$408,,MATCH(AA$4,$M$4:$Q$4,0))))</f>
        <v/>
      </c>
      <c r="AB414" s="265">
        <f>IF(AB$7="Actual","",IF(AB$408=0,0,INDEX($M414:$Q414,,MATCH(AB$4,$M$4:$Q$4,0))/INDEX($M$408:$Q$408,,MATCH(AB$4,$M$4:$Q$4,0))))</f>
        <v/>
      </c>
      <c r="AC414" s="265">
        <f>IF(AC$7="Actual","",IF(AC$408=0,0,INDEX($M414:$Q414,,MATCH(AC$4,$M$4:$Q$4,0))/INDEX($M$408:$Q$408,,MATCH(AC$4,$M$4:$Q$4,0))))</f>
        <v/>
      </c>
      <c r="AD414" s="265">
        <f>IF(AD$7="Actual","",IF(AD$408=0,0,INDEX($M414:$Q414,,MATCH(AD$4,$M$4:$Q$4,0))/INDEX($M$408:$Q$408,,MATCH(AD$4,$M$4:$Q$4,0))))</f>
        <v/>
      </c>
      <c r="AE414" s="265">
        <f>IF(AE$7="Actual","",IF(AE$408=0,0,INDEX($M414:$Q414,,MATCH(AE$4,$M$4:$Q$4,0))/INDEX($M$408:$Q$408,,MATCH(AE$4,$M$4:$Q$4,0))))</f>
        <v/>
      </c>
      <c r="AF414" s="265">
        <f>IF(AF$7="Actual","",IF(AF$408=0,0,INDEX($M414:$Q414,,MATCH(AF$4,$M$4:$Q$4,0))/INDEX($M$408:$Q$408,,MATCH(AF$4,$M$4:$Q$4,0))))</f>
        <v/>
      </c>
      <c r="AG414" s="265">
        <f>IF(AG$7="Actual","",IF(AG$408=0,0,INDEX($M414:$Q414,,MATCH(AG$4,$M$4:$Q$4,0))/INDEX($M$408:$Q$408,,MATCH(AG$4,$M$4:$Q$4,0))))</f>
        <v/>
      </c>
      <c r="AH414" s="265">
        <f>IF(AH$7="Actual","",IF(AH$408=0,0,INDEX($M414:$Q414,,MATCH(AH$4,$M$4:$Q$4,0))/INDEX($M$408:$Q$408,,MATCH(AH$4,$M$4:$Q$4,0))))</f>
        <v/>
      </c>
      <c r="AI414" s="265">
        <f>IF(AI$7="Actual","",IF(AI$408=0,0,INDEX($M414:$Q414,,MATCH(AI$4,$M$4:$Q$4,0))/INDEX($M$408:$Q$408,,MATCH(AI$4,$M$4:$Q$4,0))))</f>
        <v/>
      </c>
      <c r="AJ414" s="265">
        <f>IF(AJ$7="Actual","",IF(AJ$408=0,0,INDEX($M414:$Q414,,MATCH(AJ$4,$M$4:$Q$4,0))/INDEX($M$408:$Q$408,,MATCH(AJ$4,$M$4:$Q$4,0))))</f>
        <v/>
      </c>
      <c r="AK414" s="265">
        <f>IF(AK$7="Actual","",IF(AK$408=0,0,INDEX($M414:$Q414,,MATCH(AK$4,$M$4:$Q$4,0))/INDEX($M$408:$Q$408,,MATCH(AK$4,$M$4:$Q$4,0))))</f>
        <v/>
      </c>
      <c r="AL414" s="265">
        <f>IF(AL$7="Actual","",IF(AL$408=0,0,INDEX($M414:$Q414,,MATCH(AL$4,$M$4:$Q$4,0))/INDEX($M$408:$Q$408,,MATCH(AL$4,$M$4:$Q$4,0))))</f>
        <v/>
      </c>
      <c r="AM414" s="265">
        <f>IF(AM$7="Actual","",IF(AM$408=0,0,INDEX($M414:$Q414,,MATCH(AM$4,$M$4:$Q$4,0))/INDEX($M$408:$Q$408,,MATCH(AM$4,$M$4:$Q$4,0))))</f>
        <v/>
      </c>
      <c r="AN414" s="265">
        <f>IF(AN$7="Actual","",IF(AN$408=0,0,INDEX($M414:$Q414,,MATCH(AN$4,$M$4:$Q$4,0))/INDEX($M$408:$Q$408,,MATCH(AN$4,$M$4:$Q$4,0))))</f>
        <v/>
      </c>
      <c r="AO414" s="265">
        <f>IF(AO$7="Actual","",IF(AO$408=0,0,INDEX($M414:$Q414,,MATCH(AO$4,$M$4:$Q$4,0))/INDEX($M$408:$Q$408,,MATCH(AO$4,$M$4:$Q$4,0))))</f>
        <v/>
      </c>
      <c r="AP414" s="265">
        <f>IF(AP$7="Actual","",IF(AP$408=0,0,INDEX($M414:$Q414,,MATCH(AP$4,$M$4:$Q$4,0))/INDEX($M$408:$Q$408,,MATCH(AP$4,$M$4:$Q$4,0))))</f>
        <v/>
      </c>
      <c r="AQ414" s="265">
        <f>IF(AQ$7="Actual","",IF(AQ$408=0,0,INDEX($M414:$Q414,,MATCH(AQ$4,$M$4:$Q$4,0))/INDEX($M$408:$Q$408,,MATCH(AQ$4,$M$4:$Q$4,0))))</f>
        <v/>
      </c>
      <c r="AR414" s="265">
        <f>IF(AR$7="Actual","",IF(AR$408=0,0,INDEX($M414:$Q414,,MATCH(AR$4,$M$4:$Q$4,0))/INDEX($M$408:$Q$408,,MATCH(AR$4,$M$4:$Q$4,0))))</f>
        <v/>
      </c>
      <c r="AS414" s="265">
        <f>IF(AS$7="Actual","",IF(AS$408=0,0,INDEX($M414:$Q414,,MATCH(AS$4,$M$4:$Q$4,0))/INDEX($M$408:$Q$408,,MATCH(AS$4,$M$4:$Q$4,0))))</f>
        <v/>
      </c>
      <c r="AT414" s="265">
        <f>IF(AT$7="Actual","",IF(AT$408=0,0,INDEX($M414:$Q414,,MATCH(AT$4,$M$4:$Q$4,0))/INDEX($M$408:$Q$408,,MATCH(AT$4,$M$4:$Q$4,0))))</f>
        <v/>
      </c>
      <c r="AU414" s="265">
        <f>IF(AU$7="Actual","",IF(AU$408=0,0,INDEX($M414:$Q414,,MATCH(AU$4,$M$4:$Q$4,0))/INDEX($M$408:$Q$408,,MATCH(AU$4,$M$4:$Q$4,0))))</f>
        <v/>
      </c>
      <c r="AV414" s="265">
        <f>IF(AV$7="Actual","",IF(AV$408=0,0,INDEX($M414:$Q414,,MATCH(AV$4,$M$4:$Q$4,0))/INDEX($M$408:$Q$408,,MATCH(AV$4,$M$4:$Q$4,0))))</f>
        <v/>
      </c>
      <c r="AW414" s="265">
        <f>IF(AW$7="Actual","",IF(AW$408=0,0,INDEX($M414:$Q414,,MATCH(AW$4,$M$4:$Q$4,0))/INDEX($M$408:$Q$408,,MATCH(AW$4,$M$4:$Q$4,0))))</f>
        <v/>
      </c>
      <c r="AX414" s="265">
        <f>IF(AX$7="Actual","",IF(AX$408=0,0,INDEX($M414:$Q414,,MATCH(AX$4,$M$4:$Q$4,0))/INDEX($M$408:$Q$408,,MATCH(AX$4,$M$4:$Q$4,0))))</f>
        <v/>
      </c>
      <c r="AY414" s="265">
        <f>IF(AY$7="Actual","",IF(AY$408=0,0,INDEX($M414:$Q414,,MATCH(AY$4,$M$4:$Q$4,0))/INDEX($M$408:$Q$408,,MATCH(AY$4,$M$4:$Q$4,0))))</f>
        <v/>
      </c>
      <c r="AZ414" s="265">
        <f>IF(AZ$7="Actual","",IF(AZ$408=0,0,INDEX($M414:$Q414,,MATCH(AZ$4,$M$4:$Q$4,0))/INDEX($M$408:$Q$408,,MATCH(AZ$4,$M$4:$Q$4,0))))</f>
        <v/>
      </c>
      <c r="BA414" s="265">
        <f>IF(BA$7="Actual","",IF(BA$408=0,0,INDEX($M414:$Q414,,MATCH(BA$4,$M$4:$Q$4,0))/INDEX($M$408:$Q$408,,MATCH(BA$4,$M$4:$Q$4,0))))</f>
        <v/>
      </c>
      <c r="BB414" s="265">
        <f>IF(BB$7="Actual","",IF(BB$408=0,0,INDEX($M414:$Q414,,MATCH(BB$4,$M$4:$Q$4,0))/INDEX($M$408:$Q$408,,MATCH(BB$4,$M$4:$Q$4,0))))</f>
        <v/>
      </c>
      <c r="BC414" s="265">
        <f>IF(BC$7="Actual","",IF(BC$408=0,0,INDEX($M414:$Q414,,MATCH(BC$4,$M$4:$Q$4,0))/INDEX($M$408:$Q$408,,MATCH(BC$4,$M$4:$Q$4,0))))</f>
        <v/>
      </c>
      <c r="BD414" s="265">
        <f>IF(BD$7="Actual","",IF(BD$408=0,0,INDEX($M414:$Q414,,MATCH(BD$4,$M$4:$Q$4,0))/INDEX($M$408:$Q$408,,MATCH(BD$4,$M$4:$Q$4,0))))</f>
        <v/>
      </c>
      <c r="BE414" s="265">
        <f>IF(BE$7="Actual","",IF(BE$408=0,0,INDEX($M414:$Q414,,MATCH(BE$4,$M$4:$Q$4,0))/INDEX($M$408:$Q$408,,MATCH(BE$4,$M$4:$Q$4,0))))</f>
        <v/>
      </c>
      <c r="BF414" s="265">
        <f>IF(BF$7="Actual","",IF(BF$408=0,0,INDEX($M414:$Q414,,MATCH(BF$4,$M$4:$Q$4,0))/INDEX($M$408:$Q$408,,MATCH(BF$4,$M$4:$Q$4,0))))</f>
        <v/>
      </c>
      <c r="BG414" s="265">
        <f>IF(BG$7="Actual","",IF(BG$408=0,0,INDEX($M414:$Q414,,MATCH(BG$4,$M$4:$Q$4,0))/INDEX($M$408:$Q$408,,MATCH(BG$4,$M$4:$Q$4,0))))</f>
        <v/>
      </c>
      <c r="BH414" s="265">
        <f>IF(BH$7="Actual","",IF(BH$408=0,0,INDEX($M414:$Q414,,MATCH(BH$4,$M$4:$Q$4,0))/INDEX($M$408:$Q$408,,MATCH(BH$4,$M$4:$Q$4,0))))</f>
        <v/>
      </c>
      <c r="BI414" s="265">
        <f>IF(BI$7="Actual","",IF(BI$408=0,0,INDEX($M414:$Q414,,MATCH(BI$4,$M$4:$Q$4,0))/INDEX($M$408:$Q$408,,MATCH(BI$4,$M$4:$Q$4,0))))</f>
        <v/>
      </c>
      <c r="BJ414" s="265">
        <f>IF(BJ$7="Actual","",IF(BJ$408=0,0,INDEX($M414:$Q414,,MATCH(BJ$4,$M$4:$Q$4,0))/INDEX($M$408:$Q$408,,MATCH(BJ$4,$M$4:$Q$4,0))))</f>
        <v/>
      </c>
      <c r="BK414" s="265">
        <f>IF(BK$7="Actual","",IF(BK$408=0,0,INDEX($M414:$Q414,,MATCH(BK$4,$M$4:$Q$4,0))/INDEX($M$408:$Q$408,,MATCH(BK$4,$M$4:$Q$4,0))))</f>
        <v/>
      </c>
      <c r="BL414" s="265">
        <f>IF(BL$7="Actual","",IF(BL$408=0,0,INDEX($M414:$Q414,,MATCH(BL$4,$M$4:$Q$4,0))/INDEX($M$408:$Q$408,,MATCH(BL$4,$M$4:$Q$4,0))))</f>
        <v/>
      </c>
      <c r="BM414" s="265">
        <f>IF(BM$7="Actual","",IF(BM$408=0,0,INDEX($M414:$Q414,,MATCH(BM$4,$M$4:$Q$4,0))/INDEX($M$408:$Q$408,,MATCH(BM$4,$M$4:$Q$4,0))))</f>
        <v/>
      </c>
      <c r="BN414" s="265">
        <f>IF(BN$7="Actual","",IF(BN$408=0,0,INDEX($M414:$Q414,,MATCH(BN$4,$M$4:$Q$4,0))/INDEX($M$408:$Q$408,,MATCH(BN$4,$M$4:$Q$4,0))))</f>
        <v/>
      </c>
      <c r="BO414" s="265">
        <f>IF(BO$7="Actual","",IF(BO$408=0,0,INDEX($M414:$Q414,,MATCH(BO$4,$M$4:$Q$4,0))/INDEX($M$408:$Q$408,,MATCH(BO$4,$M$4:$Q$4,0))))</f>
        <v/>
      </c>
      <c r="BP414" s="265">
        <f>IF(BP$7="Actual","",IF(BP$408=0,0,INDEX($M414:$Q414,,MATCH(BP$4,$M$4:$Q$4,0))/INDEX($M$408:$Q$408,,MATCH(BP$4,$M$4:$Q$4,0))))</f>
        <v/>
      </c>
      <c r="BQ414" s="265">
        <f>IF(BQ$7="Actual","",IF(BQ$408=0,0,INDEX($M414:$Q414,,MATCH(BQ$4,$M$4:$Q$4,0))/INDEX($M$408:$Q$408,,MATCH(BQ$4,$M$4:$Q$4,0))))</f>
        <v/>
      </c>
      <c r="BR414" s="265">
        <f>IF(BR$7="Actual","",IF(BR$408=0,0,INDEX($M414:$Q414,,MATCH(BR$4,$M$4:$Q$4,0))/INDEX($M$408:$Q$408,,MATCH(BR$4,$M$4:$Q$4,0))))</f>
        <v/>
      </c>
      <c r="BS414" s="265">
        <f>IF(BS$7="Actual","",IF(BS$408=0,0,INDEX($M414:$Q414,,MATCH(BS$4,$M$4:$Q$4,0))/INDEX($M$408:$Q$408,,MATCH(BS$4,$M$4:$Q$4,0))))</f>
        <v/>
      </c>
      <c r="BT414" s="265">
        <f>IF(BT$7="Actual","",IF(BT$408=0,0,INDEX($M414:$Q414,,MATCH(BT$4,$M$4:$Q$4,0))/INDEX($M$408:$Q$408,,MATCH(BT$4,$M$4:$Q$4,0))))</f>
        <v/>
      </c>
      <c r="BU414" s="265">
        <f>IF(BU$7="Actual","",IF(BU$408=0,0,INDEX($M414:$Q414,,MATCH(BU$4,$M$4:$Q$4,0))/INDEX($M$408:$Q$408,,MATCH(BU$4,$M$4:$Q$4,0))))</f>
        <v/>
      </c>
      <c r="BV414" s="265">
        <f>IF(BV$7="Actual","",IF(BV$408=0,0,INDEX($M414:$Q414,,MATCH(BV$4,$M$4:$Q$4,0))/INDEX($M$408:$Q$408,,MATCH(BV$4,$M$4:$Q$4,0))))</f>
        <v/>
      </c>
      <c r="BW414" s="265">
        <f>IF(BW$7="Actual","",IF(BW$408=0,0,INDEX($M414:$Q414,,MATCH(BW$4,$M$4:$Q$4,0))/INDEX($M$408:$Q$408,,MATCH(BW$4,$M$4:$Q$4,0))))</f>
        <v/>
      </c>
      <c r="BX414" s="265">
        <f>IF(BX$7="Actual","",IF(BX$408=0,0,INDEX($M414:$Q414,,MATCH(BX$4,$M$4:$Q$4,0))/INDEX($M$408:$Q$408,,MATCH(BX$4,$M$4:$Q$4,0))))</f>
        <v/>
      </c>
      <c r="BY414" s="265">
        <f>IF(BY$7="Actual","",IF(BY$408=0,0,INDEX($M414:$Q414,,MATCH(BY$4,$M$4:$Q$4,0))/INDEX($M$408:$Q$408,,MATCH(BY$4,$M$4:$Q$4,0))))</f>
        <v/>
      </c>
      <c r="BZ414" s="265">
        <f>IF(BZ$7="Actual","",IF(BZ$408=0,0,INDEX($M414:$Q414,,MATCH(BZ$4,$M$4:$Q$4,0))/INDEX($M$408:$Q$408,,MATCH(BZ$4,$M$4:$Q$4,0))))</f>
        <v/>
      </c>
      <c r="CA414" s="265">
        <f>IF(CA$7="Actual","",IF(CA$408=0,0,INDEX($M414:$Q414,,MATCH(CA$4,$M$4:$Q$4,0))/INDEX($M$408:$Q$408,,MATCH(CA$4,$M$4:$Q$4,0))))</f>
        <v/>
      </c>
    </row>
    <row r="415" ht="12" customHeight="1" s="227">
      <c r="A415" s="244" t="n"/>
      <c r="B415" s="244" t="n"/>
      <c r="C415" s="244" t="n"/>
      <c r="H415" s="4">
        <f>H398</f>
        <v/>
      </c>
      <c r="I415" s="27" t="inlineStr">
        <is>
          <t>%</t>
        </is>
      </c>
      <c r="K415" s="6" t="n"/>
      <c r="M415" s="265">
        <f>IF(M$7="Actual","",i_Assumptions!M491)</f>
        <v/>
      </c>
      <c r="N415" s="265">
        <f>IF(N$7="Actual","",i_Assumptions!N491)</f>
        <v/>
      </c>
      <c r="O415" s="265">
        <f>IF(O$7="Actual","",i_Assumptions!O491)</f>
        <v/>
      </c>
      <c r="P415" s="265">
        <f>IF(P$7="Actual","",i_Assumptions!P491)</f>
        <v/>
      </c>
      <c r="Q415" s="265">
        <f>IF(Q$7="Actual","",i_Assumptions!Q491)</f>
        <v/>
      </c>
      <c r="T415" s="265">
        <f>IF(T$7="Actual","",IF(T$408=0,0,INDEX($M415:$Q415,,MATCH(T$4,$M$4:$Q$4,0))/INDEX($M$408:$Q$408,,MATCH(T$4,$M$4:$Q$4,0))))</f>
        <v/>
      </c>
      <c r="U415" s="265">
        <f>IF(U$7="Actual","",IF(U$408=0,0,INDEX($M415:$Q415,,MATCH(U$4,$M$4:$Q$4,0))/INDEX($M$408:$Q$408,,MATCH(U$4,$M$4:$Q$4,0))))</f>
        <v/>
      </c>
      <c r="V415" s="265">
        <f>IF(V$7="Actual","",IF(V$408=0,0,INDEX($M415:$Q415,,MATCH(V$4,$M$4:$Q$4,0))/INDEX($M$408:$Q$408,,MATCH(V$4,$M$4:$Q$4,0))))</f>
        <v/>
      </c>
      <c r="W415" s="265">
        <f>IF(W$7="Actual","",IF(W$408=0,0,INDEX($M415:$Q415,,MATCH(W$4,$M$4:$Q$4,0))/INDEX($M$408:$Q$408,,MATCH(W$4,$M$4:$Q$4,0))))</f>
        <v/>
      </c>
      <c r="X415" s="265">
        <f>IF(X$7="Actual","",IF(X$408=0,0,INDEX($M415:$Q415,,MATCH(X$4,$M$4:$Q$4,0))/INDEX($M$408:$Q$408,,MATCH(X$4,$M$4:$Q$4,0))))</f>
        <v/>
      </c>
      <c r="Y415" s="265">
        <f>IF(Y$7="Actual","",IF(Y$408=0,0,INDEX($M415:$Q415,,MATCH(Y$4,$M$4:$Q$4,0))/INDEX($M$408:$Q$408,,MATCH(Y$4,$M$4:$Q$4,0))))</f>
        <v/>
      </c>
      <c r="Z415" s="265">
        <f>IF(Z$7="Actual","",IF(Z$408=0,0,INDEX($M415:$Q415,,MATCH(Z$4,$M$4:$Q$4,0))/INDEX($M$408:$Q$408,,MATCH(Z$4,$M$4:$Q$4,0))))</f>
        <v/>
      </c>
      <c r="AA415" s="265">
        <f>IF(AA$7="Actual","",IF(AA$408=0,0,INDEX($M415:$Q415,,MATCH(AA$4,$M$4:$Q$4,0))/INDEX($M$408:$Q$408,,MATCH(AA$4,$M$4:$Q$4,0))))</f>
        <v/>
      </c>
      <c r="AB415" s="265">
        <f>IF(AB$7="Actual","",IF(AB$408=0,0,INDEX($M415:$Q415,,MATCH(AB$4,$M$4:$Q$4,0))/INDEX($M$408:$Q$408,,MATCH(AB$4,$M$4:$Q$4,0))))</f>
        <v/>
      </c>
      <c r="AC415" s="265">
        <f>IF(AC$7="Actual","",IF(AC$408=0,0,INDEX($M415:$Q415,,MATCH(AC$4,$M$4:$Q$4,0))/INDEX($M$408:$Q$408,,MATCH(AC$4,$M$4:$Q$4,0))))</f>
        <v/>
      </c>
      <c r="AD415" s="265">
        <f>IF(AD$7="Actual","",IF(AD$408=0,0,INDEX($M415:$Q415,,MATCH(AD$4,$M$4:$Q$4,0))/INDEX($M$408:$Q$408,,MATCH(AD$4,$M$4:$Q$4,0))))</f>
        <v/>
      </c>
      <c r="AE415" s="265">
        <f>IF(AE$7="Actual","",IF(AE$408=0,0,INDEX($M415:$Q415,,MATCH(AE$4,$M$4:$Q$4,0))/INDEX($M$408:$Q$408,,MATCH(AE$4,$M$4:$Q$4,0))))</f>
        <v/>
      </c>
      <c r="AF415" s="265">
        <f>IF(AF$7="Actual","",IF(AF$408=0,0,INDEX($M415:$Q415,,MATCH(AF$4,$M$4:$Q$4,0))/INDEX($M$408:$Q$408,,MATCH(AF$4,$M$4:$Q$4,0))))</f>
        <v/>
      </c>
      <c r="AG415" s="265">
        <f>IF(AG$7="Actual","",IF(AG$408=0,0,INDEX($M415:$Q415,,MATCH(AG$4,$M$4:$Q$4,0))/INDEX($M$408:$Q$408,,MATCH(AG$4,$M$4:$Q$4,0))))</f>
        <v/>
      </c>
      <c r="AH415" s="265">
        <f>IF(AH$7="Actual","",IF(AH$408=0,0,INDEX($M415:$Q415,,MATCH(AH$4,$M$4:$Q$4,0))/INDEX($M$408:$Q$408,,MATCH(AH$4,$M$4:$Q$4,0))))</f>
        <v/>
      </c>
      <c r="AI415" s="265">
        <f>IF(AI$7="Actual","",IF(AI$408=0,0,INDEX($M415:$Q415,,MATCH(AI$4,$M$4:$Q$4,0))/INDEX($M$408:$Q$408,,MATCH(AI$4,$M$4:$Q$4,0))))</f>
        <v/>
      </c>
      <c r="AJ415" s="265">
        <f>IF(AJ$7="Actual","",IF(AJ$408=0,0,INDEX($M415:$Q415,,MATCH(AJ$4,$M$4:$Q$4,0))/INDEX($M$408:$Q$408,,MATCH(AJ$4,$M$4:$Q$4,0))))</f>
        <v/>
      </c>
      <c r="AK415" s="265">
        <f>IF(AK$7="Actual","",IF(AK$408=0,0,INDEX($M415:$Q415,,MATCH(AK$4,$M$4:$Q$4,0))/INDEX($M$408:$Q$408,,MATCH(AK$4,$M$4:$Q$4,0))))</f>
        <v/>
      </c>
      <c r="AL415" s="265">
        <f>IF(AL$7="Actual","",IF(AL$408=0,0,INDEX($M415:$Q415,,MATCH(AL$4,$M$4:$Q$4,0))/INDEX($M$408:$Q$408,,MATCH(AL$4,$M$4:$Q$4,0))))</f>
        <v/>
      </c>
      <c r="AM415" s="265">
        <f>IF(AM$7="Actual","",IF(AM$408=0,0,INDEX($M415:$Q415,,MATCH(AM$4,$M$4:$Q$4,0))/INDEX($M$408:$Q$408,,MATCH(AM$4,$M$4:$Q$4,0))))</f>
        <v/>
      </c>
      <c r="AN415" s="265">
        <f>IF(AN$7="Actual","",IF(AN$408=0,0,INDEX($M415:$Q415,,MATCH(AN$4,$M$4:$Q$4,0))/INDEX($M$408:$Q$408,,MATCH(AN$4,$M$4:$Q$4,0))))</f>
        <v/>
      </c>
      <c r="AO415" s="265">
        <f>IF(AO$7="Actual","",IF(AO$408=0,0,INDEX($M415:$Q415,,MATCH(AO$4,$M$4:$Q$4,0))/INDEX($M$408:$Q$408,,MATCH(AO$4,$M$4:$Q$4,0))))</f>
        <v/>
      </c>
      <c r="AP415" s="265">
        <f>IF(AP$7="Actual","",IF(AP$408=0,0,INDEX($M415:$Q415,,MATCH(AP$4,$M$4:$Q$4,0))/INDEX($M$408:$Q$408,,MATCH(AP$4,$M$4:$Q$4,0))))</f>
        <v/>
      </c>
      <c r="AQ415" s="265">
        <f>IF(AQ$7="Actual","",IF(AQ$408=0,0,INDEX($M415:$Q415,,MATCH(AQ$4,$M$4:$Q$4,0))/INDEX($M$408:$Q$408,,MATCH(AQ$4,$M$4:$Q$4,0))))</f>
        <v/>
      </c>
      <c r="AR415" s="265">
        <f>IF(AR$7="Actual","",IF(AR$408=0,0,INDEX($M415:$Q415,,MATCH(AR$4,$M$4:$Q$4,0))/INDEX($M$408:$Q$408,,MATCH(AR$4,$M$4:$Q$4,0))))</f>
        <v/>
      </c>
      <c r="AS415" s="265">
        <f>IF(AS$7="Actual","",IF(AS$408=0,0,INDEX($M415:$Q415,,MATCH(AS$4,$M$4:$Q$4,0))/INDEX($M$408:$Q$408,,MATCH(AS$4,$M$4:$Q$4,0))))</f>
        <v/>
      </c>
      <c r="AT415" s="265">
        <f>IF(AT$7="Actual","",IF(AT$408=0,0,INDEX($M415:$Q415,,MATCH(AT$4,$M$4:$Q$4,0))/INDEX($M$408:$Q$408,,MATCH(AT$4,$M$4:$Q$4,0))))</f>
        <v/>
      </c>
      <c r="AU415" s="265">
        <f>IF(AU$7="Actual","",IF(AU$408=0,0,INDEX($M415:$Q415,,MATCH(AU$4,$M$4:$Q$4,0))/INDEX($M$408:$Q$408,,MATCH(AU$4,$M$4:$Q$4,0))))</f>
        <v/>
      </c>
      <c r="AV415" s="265">
        <f>IF(AV$7="Actual","",IF(AV$408=0,0,INDEX($M415:$Q415,,MATCH(AV$4,$M$4:$Q$4,0))/INDEX($M$408:$Q$408,,MATCH(AV$4,$M$4:$Q$4,0))))</f>
        <v/>
      </c>
      <c r="AW415" s="265">
        <f>IF(AW$7="Actual","",IF(AW$408=0,0,INDEX($M415:$Q415,,MATCH(AW$4,$M$4:$Q$4,0))/INDEX($M$408:$Q$408,,MATCH(AW$4,$M$4:$Q$4,0))))</f>
        <v/>
      </c>
      <c r="AX415" s="265">
        <f>IF(AX$7="Actual","",IF(AX$408=0,0,INDEX($M415:$Q415,,MATCH(AX$4,$M$4:$Q$4,0))/INDEX($M$408:$Q$408,,MATCH(AX$4,$M$4:$Q$4,0))))</f>
        <v/>
      </c>
      <c r="AY415" s="265">
        <f>IF(AY$7="Actual","",IF(AY$408=0,0,INDEX($M415:$Q415,,MATCH(AY$4,$M$4:$Q$4,0))/INDEX($M$408:$Q$408,,MATCH(AY$4,$M$4:$Q$4,0))))</f>
        <v/>
      </c>
      <c r="AZ415" s="265">
        <f>IF(AZ$7="Actual","",IF(AZ$408=0,0,INDEX($M415:$Q415,,MATCH(AZ$4,$M$4:$Q$4,0))/INDEX($M$408:$Q$408,,MATCH(AZ$4,$M$4:$Q$4,0))))</f>
        <v/>
      </c>
      <c r="BA415" s="265">
        <f>IF(BA$7="Actual","",IF(BA$408=0,0,INDEX($M415:$Q415,,MATCH(BA$4,$M$4:$Q$4,0))/INDEX($M$408:$Q$408,,MATCH(BA$4,$M$4:$Q$4,0))))</f>
        <v/>
      </c>
      <c r="BB415" s="265">
        <f>IF(BB$7="Actual","",IF(BB$408=0,0,INDEX($M415:$Q415,,MATCH(BB$4,$M$4:$Q$4,0))/INDEX($M$408:$Q$408,,MATCH(BB$4,$M$4:$Q$4,0))))</f>
        <v/>
      </c>
      <c r="BC415" s="265">
        <f>IF(BC$7="Actual","",IF(BC$408=0,0,INDEX($M415:$Q415,,MATCH(BC$4,$M$4:$Q$4,0))/INDEX($M$408:$Q$408,,MATCH(BC$4,$M$4:$Q$4,0))))</f>
        <v/>
      </c>
      <c r="BD415" s="265">
        <f>IF(BD$7="Actual","",IF(BD$408=0,0,INDEX($M415:$Q415,,MATCH(BD$4,$M$4:$Q$4,0))/INDEX($M$408:$Q$408,,MATCH(BD$4,$M$4:$Q$4,0))))</f>
        <v/>
      </c>
      <c r="BE415" s="265">
        <f>IF(BE$7="Actual","",IF(BE$408=0,0,INDEX($M415:$Q415,,MATCH(BE$4,$M$4:$Q$4,0))/INDEX($M$408:$Q$408,,MATCH(BE$4,$M$4:$Q$4,0))))</f>
        <v/>
      </c>
      <c r="BF415" s="265">
        <f>IF(BF$7="Actual","",IF(BF$408=0,0,INDEX($M415:$Q415,,MATCH(BF$4,$M$4:$Q$4,0))/INDEX($M$408:$Q$408,,MATCH(BF$4,$M$4:$Q$4,0))))</f>
        <v/>
      </c>
      <c r="BG415" s="265">
        <f>IF(BG$7="Actual","",IF(BG$408=0,0,INDEX($M415:$Q415,,MATCH(BG$4,$M$4:$Q$4,0))/INDEX($M$408:$Q$408,,MATCH(BG$4,$M$4:$Q$4,0))))</f>
        <v/>
      </c>
      <c r="BH415" s="265">
        <f>IF(BH$7="Actual","",IF(BH$408=0,0,INDEX($M415:$Q415,,MATCH(BH$4,$M$4:$Q$4,0))/INDEX($M$408:$Q$408,,MATCH(BH$4,$M$4:$Q$4,0))))</f>
        <v/>
      </c>
      <c r="BI415" s="265">
        <f>IF(BI$7="Actual","",IF(BI$408=0,0,INDEX($M415:$Q415,,MATCH(BI$4,$M$4:$Q$4,0))/INDEX($M$408:$Q$408,,MATCH(BI$4,$M$4:$Q$4,0))))</f>
        <v/>
      </c>
      <c r="BJ415" s="265">
        <f>IF(BJ$7="Actual","",IF(BJ$408=0,0,INDEX($M415:$Q415,,MATCH(BJ$4,$M$4:$Q$4,0))/INDEX($M$408:$Q$408,,MATCH(BJ$4,$M$4:$Q$4,0))))</f>
        <v/>
      </c>
      <c r="BK415" s="265">
        <f>IF(BK$7="Actual","",IF(BK$408=0,0,INDEX($M415:$Q415,,MATCH(BK$4,$M$4:$Q$4,0))/INDEX($M$408:$Q$408,,MATCH(BK$4,$M$4:$Q$4,0))))</f>
        <v/>
      </c>
      <c r="BL415" s="265">
        <f>IF(BL$7="Actual","",IF(BL$408=0,0,INDEX($M415:$Q415,,MATCH(BL$4,$M$4:$Q$4,0))/INDEX($M$408:$Q$408,,MATCH(BL$4,$M$4:$Q$4,0))))</f>
        <v/>
      </c>
      <c r="BM415" s="265">
        <f>IF(BM$7="Actual","",IF(BM$408=0,0,INDEX($M415:$Q415,,MATCH(BM$4,$M$4:$Q$4,0))/INDEX($M$408:$Q$408,,MATCH(BM$4,$M$4:$Q$4,0))))</f>
        <v/>
      </c>
      <c r="BN415" s="265">
        <f>IF(BN$7="Actual","",IF(BN$408=0,0,INDEX($M415:$Q415,,MATCH(BN$4,$M$4:$Q$4,0))/INDEX($M$408:$Q$408,,MATCH(BN$4,$M$4:$Q$4,0))))</f>
        <v/>
      </c>
      <c r="BO415" s="265">
        <f>IF(BO$7="Actual","",IF(BO$408=0,0,INDEX($M415:$Q415,,MATCH(BO$4,$M$4:$Q$4,0))/INDEX($M$408:$Q$408,,MATCH(BO$4,$M$4:$Q$4,0))))</f>
        <v/>
      </c>
      <c r="BP415" s="265">
        <f>IF(BP$7="Actual","",IF(BP$408=0,0,INDEX($M415:$Q415,,MATCH(BP$4,$M$4:$Q$4,0))/INDEX($M$408:$Q$408,,MATCH(BP$4,$M$4:$Q$4,0))))</f>
        <v/>
      </c>
      <c r="BQ415" s="265">
        <f>IF(BQ$7="Actual","",IF(BQ$408=0,0,INDEX($M415:$Q415,,MATCH(BQ$4,$M$4:$Q$4,0))/INDEX($M$408:$Q$408,,MATCH(BQ$4,$M$4:$Q$4,0))))</f>
        <v/>
      </c>
      <c r="BR415" s="265">
        <f>IF(BR$7="Actual","",IF(BR$408=0,0,INDEX($M415:$Q415,,MATCH(BR$4,$M$4:$Q$4,0))/INDEX($M$408:$Q$408,,MATCH(BR$4,$M$4:$Q$4,0))))</f>
        <v/>
      </c>
      <c r="BS415" s="265">
        <f>IF(BS$7="Actual","",IF(BS$408=0,0,INDEX($M415:$Q415,,MATCH(BS$4,$M$4:$Q$4,0))/INDEX($M$408:$Q$408,,MATCH(BS$4,$M$4:$Q$4,0))))</f>
        <v/>
      </c>
      <c r="BT415" s="265">
        <f>IF(BT$7="Actual","",IF(BT$408=0,0,INDEX($M415:$Q415,,MATCH(BT$4,$M$4:$Q$4,0))/INDEX($M$408:$Q$408,,MATCH(BT$4,$M$4:$Q$4,0))))</f>
        <v/>
      </c>
      <c r="BU415" s="265">
        <f>IF(BU$7="Actual","",IF(BU$408=0,0,INDEX($M415:$Q415,,MATCH(BU$4,$M$4:$Q$4,0))/INDEX($M$408:$Q$408,,MATCH(BU$4,$M$4:$Q$4,0))))</f>
        <v/>
      </c>
      <c r="BV415" s="265">
        <f>IF(BV$7="Actual","",IF(BV$408=0,0,INDEX($M415:$Q415,,MATCH(BV$4,$M$4:$Q$4,0))/INDEX($M$408:$Q$408,,MATCH(BV$4,$M$4:$Q$4,0))))</f>
        <v/>
      </c>
      <c r="BW415" s="265">
        <f>IF(BW$7="Actual","",IF(BW$408=0,0,INDEX($M415:$Q415,,MATCH(BW$4,$M$4:$Q$4,0))/INDEX($M$408:$Q$408,,MATCH(BW$4,$M$4:$Q$4,0))))</f>
        <v/>
      </c>
      <c r="BX415" s="265">
        <f>IF(BX$7="Actual","",IF(BX$408=0,0,INDEX($M415:$Q415,,MATCH(BX$4,$M$4:$Q$4,0))/INDEX($M$408:$Q$408,,MATCH(BX$4,$M$4:$Q$4,0))))</f>
        <v/>
      </c>
      <c r="BY415" s="265">
        <f>IF(BY$7="Actual","",IF(BY$408=0,0,INDEX($M415:$Q415,,MATCH(BY$4,$M$4:$Q$4,0))/INDEX($M$408:$Q$408,,MATCH(BY$4,$M$4:$Q$4,0))))</f>
        <v/>
      </c>
      <c r="BZ415" s="265">
        <f>IF(BZ$7="Actual","",IF(BZ$408=0,0,INDEX($M415:$Q415,,MATCH(BZ$4,$M$4:$Q$4,0))/INDEX($M$408:$Q$408,,MATCH(BZ$4,$M$4:$Q$4,0))))</f>
        <v/>
      </c>
      <c r="CA415" s="265">
        <f>IF(CA$7="Actual","",IF(CA$408=0,0,INDEX($M415:$Q415,,MATCH(CA$4,$M$4:$Q$4,0))/INDEX($M$408:$Q$408,,MATCH(CA$4,$M$4:$Q$4,0))))</f>
        <v/>
      </c>
    </row>
    <row r="416" ht="12" customHeight="1" s="227">
      <c r="A416" s="244" t="n"/>
      <c r="B416" s="244" t="n"/>
      <c r="C416" s="244" t="n"/>
      <c r="H416" s="4">
        <f>H399</f>
        <v/>
      </c>
      <c r="I416" s="27" t="inlineStr">
        <is>
          <t>%</t>
        </is>
      </c>
      <c r="K416" s="6" t="n"/>
      <c r="M416" s="265">
        <f>IF(M$7="Actual","",i_Assumptions!M492)</f>
        <v/>
      </c>
      <c r="N416" s="265">
        <f>IF(N$7="Actual","",i_Assumptions!N492)</f>
        <v/>
      </c>
      <c r="O416" s="265">
        <f>IF(O$7="Actual","",i_Assumptions!O492)</f>
        <v/>
      </c>
      <c r="P416" s="265">
        <f>IF(P$7="Actual","",i_Assumptions!P492)</f>
        <v/>
      </c>
      <c r="Q416" s="265">
        <f>IF(Q$7="Actual","",i_Assumptions!Q492)</f>
        <v/>
      </c>
      <c r="T416" s="265">
        <f>IF(T$7="Actual","",IF(T$408=0,0,INDEX($M416:$Q416,,MATCH(T$4,$M$4:$Q$4,0))/INDEX($M$408:$Q$408,,MATCH(T$4,$M$4:$Q$4,0))))</f>
        <v/>
      </c>
      <c r="U416" s="265">
        <f>IF(U$7="Actual","",IF(U$408=0,0,INDEX($M416:$Q416,,MATCH(U$4,$M$4:$Q$4,0))/INDEX($M$408:$Q$408,,MATCH(U$4,$M$4:$Q$4,0))))</f>
        <v/>
      </c>
      <c r="V416" s="265">
        <f>IF(V$7="Actual","",IF(V$408=0,0,INDEX($M416:$Q416,,MATCH(V$4,$M$4:$Q$4,0))/INDEX($M$408:$Q$408,,MATCH(V$4,$M$4:$Q$4,0))))</f>
        <v/>
      </c>
      <c r="W416" s="265">
        <f>IF(W$7="Actual","",IF(W$408=0,0,INDEX($M416:$Q416,,MATCH(W$4,$M$4:$Q$4,0))/INDEX($M$408:$Q$408,,MATCH(W$4,$M$4:$Q$4,0))))</f>
        <v/>
      </c>
      <c r="X416" s="265">
        <f>IF(X$7="Actual","",IF(X$408=0,0,INDEX($M416:$Q416,,MATCH(X$4,$M$4:$Q$4,0))/INDEX($M$408:$Q$408,,MATCH(X$4,$M$4:$Q$4,0))))</f>
        <v/>
      </c>
      <c r="Y416" s="265">
        <f>IF(Y$7="Actual","",IF(Y$408=0,0,INDEX($M416:$Q416,,MATCH(Y$4,$M$4:$Q$4,0))/INDEX($M$408:$Q$408,,MATCH(Y$4,$M$4:$Q$4,0))))</f>
        <v/>
      </c>
      <c r="Z416" s="265">
        <f>IF(Z$7="Actual","",IF(Z$408=0,0,INDEX($M416:$Q416,,MATCH(Z$4,$M$4:$Q$4,0))/INDEX($M$408:$Q$408,,MATCH(Z$4,$M$4:$Q$4,0))))</f>
        <v/>
      </c>
      <c r="AA416" s="265">
        <f>IF(AA$7="Actual","",IF(AA$408=0,0,INDEX($M416:$Q416,,MATCH(AA$4,$M$4:$Q$4,0))/INDEX($M$408:$Q$408,,MATCH(AA$4,$M$4:$Q$4,0))))</f>
        <v/>
      </c>
      <c r="AB416" s="265">
        <f>IF(AB$7="Actual","",IF(AB$408=0,0,INDEX($M416:$Q416,,MATCH(AB$4,$M$4:$Q$4,0))/INDEX($M$408:$Q$408,,MATCH(AB$4,$M$4:$Q$4,0))))</f>
        <v/>
      </c>
      <c r="AC416" s="265">
        <f>IF(AC$7="Actual","",IF(AC$408=0,0,INDEX($M416:$Q416,,MATCH(AC$4,$M$4:$Q$4,0))/INDEX($M$408:$Q$408,,MATCH(AC$4,$M$4:$Q$4,0))))</f>
        <v/>
      </c>
      <c r="AD416" s="265">
        <f>IF(AD$7="Actual","",IF(AD$408=0,0,INDEX($M416:$Q416,,MATCH(AD$4,$M$4:$Q$4,0))/INDEX($M$408:$Q$408,,MATCH(AD$4,$M$4:$Q$4,0))))</f>
        <v/>
      </c>
      <c r="AE416" s="265">
        <f>IF(AE$7="Actual","",IF(AE$408=0,0,INDEX($M416:$Q416,,MATCH(AE$4,$M$4:$Q$4,0))/INDEX($M$408:$Q$408,,MATCH(AE$4,$M$4:$Q$4,0))))</f>
        <v/>
      </c>
      <c r="AF416" s="265">
        <f>IF(AF$7="Actual","",IF(AF$408=0,0,INDEX($M416:$Q416,,MATCH(AF$4,$M$4:$Q$4,0))/INDEX($M$408:$Q$408,,MATCH(AF$4,$M$4:$Q$4,0))))</f>
        <v/>
      </c>
      <c r="AG416" s="265">
        <f>IF(AG$7="Actual","",IF(AG$408=0,0,INDEX($M416:$Q416,,MATCH(AG$4,$M$4:$Q$4,0))/INDEX($M$408:$Q$408,,MATCH(AG$4,$M$4:$Q$4,0))))</f>
        <v/>
      </c>
      <c r="AH416" s="265">
        <f>IF(AH$7="Actual","",IF(AH$408=0,0,INDEX($M416:$Q416,,MATCH(AH$4,$M$4:$Q$4,0))/INDEX($M$408:$Q$408,,MATCH(AH$4,$M$4:$Q$4,0))))</f>
        <v/>
      </c>
      <c r="AI416" s="265">
        <f>IF(AI$7="Actual","",IF(AI$408=0,0,INDEX($M416:$Q416,,MATCH(AI$4,$M$4:$Q$4,0))/INDEX($M$408:$Q$408,,MATCH(AI$4,$M$4:$Q$4,0))))</f>
        <v/>
      </c>
      <c r="AJ416" s="265">
        <f>IF(AJ$7="Actual","",IF(AJ$408=0,0,INDEX($M416:$Q416,,MATCH(AJ$4,$M$4:$Q$4,0))/INDEX($M$408:$Q$408,,MATCH(AJ$4,$M$4:$Q$4,0))))</f>
        <v/>
      </c>
      <c r="AK416" s="265">
        <f>IF(AK$7="Actual","",IF(AK$408=0,0,INDEX($M416:$Q416,,MATCH(AK$4,$M$4:$Q$4,0))/INDEX($M$408:$Q$408,,MATCH(AK$4,$M$4:$Q$4,0))))</f>
        <v/>
      </c>
      <c r="AL416" s="265">
        <f>IF(AL$7="Actual","",IF(AL$408=0,0,INDEX($M416:$Q416,,MATCH(AL$4,$M$4:$Q$4,0))/INDEX($M$408:$Q$408,,MATCH(AL$4,$M$4:$Q$4,0))))</f>
        <v/>
      </c>
      <c r="AM416" s="265">
        <f>IF(AM$7="Actual","",IF(AM$408=0,0,INDEX($M416:$Q416,,MATCH(AM$4,$M$4:$Q$4,0))/INDEX($M$408:$Q$408,,MATCH(AM$4,$M$4:$Q$4,0))))</f>
        <v/>
      </c>
      <c r="AN416" s="265">
        <f>IF(AN$7="Actual","",IF(AN$408=0,0,INDEX($M416:$Q416,,MATCH(AN$4,$M$4:$Q$4,0))/INDEX($M$408:$Q$408,,MATCH(AN$4,$M$4:$Q$4,0))))</f>
        <v/>
      </c>
      <c r="AO416" s="265">
        <f>IF(AO$7="Actual","",IF(AO$408=0,0,INDEX($M416:$Q416,,MATCH(AO$4,$M$4:$Q$4,0))/INDEX($M$408:$Q$408,,MATCH(AO$4,$M$4:$Q$4,0))))</f>
        <v/>
      </c>
      <c r="AP416" s="265">
        <f>IF(AP$7="Actual","",IF(AP$408=0,0,INDEX($M416:$Q416,,MATCH(AP$4,$M$4:$Q$4,0))/INDEX($M$408:$Q$408,,MATCH(AP$4,$M$4:$Q$4,0))))</f>
        <v/>
      </c>
      <c r="AQ416" s="265">
        <f>IF(AQ$7="Actual","",IF(AQ$408=0,0,INDEX($M416:$Q416,,MATCH(AQ$4,$M$4:$Q$4,0))/INDEX($M$408:$Q$408,,MATCH(AQ$4,$M$4:$Q$4,0))))</f>
        <v/>
      </c>
      <c r="AR416" s="265">
        <f>IF(AR$7="Actual","",IF(AR$408=0,0,INDEX($M416:$Q416,,MATCH(AR$4,$M$4:$Q$4,0))/INDEX($M$408:$Q$408,,MATCH(AR$4,$M$4:$Q$4,0))))</f>
        <v/>
      </c>
      <c r="AS416" s="265">
        <f>IF(AS$7="Actual","",IF(AS$408=0,0,INDEX($M416:$Q416,,MATCH(AS$4,$M$4:$Q$4,0))/INDEX($M$408:$Q$408,,MATCH(AS$4,$M$4:$Q$4,0))))</f>
        <v/>
      </c>
      <c r="AT416" s="265">
        <f>IF(AT$7="Actual","",IF(AT$408=0,0,INDEX($M416:$Q416,,MATCH(AT$4,$M$4:$Q$4,0))/INDEX($M$408:$Q$408,,MATCH(AT$4,$M$4:$Q$4,0))))</f>
        <v/>
      </c>
      <c r="AU416" s="265">
        <f>IF(AU$7="Actual","",IF(AU$408=0,0,INDEX($M416:$Q416,,MATCH(AU$4,$M$4:$Q$4,0))/INDEX($M$408:$Q$408,,MATCH(AU$4,$M$4:$Q$4,0))))</f>
        <v/>
      </c>
      <c r="AV416" s="265">
        <f>IF(AV$7="Actual","",IF(AV$408=0,0,INDEX($M416:$Q416,,MATCH(AV$4,$M$4:$Q$4,0))/INDEX($M$408:$Q$408,,MATCH(AV$4,$M$4:$Q$4,0))))</f>
        <v/>
      </c>
      <c r="AW416" s="265">
        <f>IF(AW$7="Actual","",IF(AW$408=0,0,INDEX($M416:$Q416,,MATCH(AW$4,$M$4:$Q$4,0))/INDEX($M$408:$Q$408,,MATCH(AW$4,$M$4:$Q$4,0))))</f>
        <v/>
      </c>
      <c r="AX416" s="265">
        <f>IF(AX$7="Actual","",IF(AX$408=0,0,INDEX($M416:$Q416,,MATCH(AX$4,$M$4:$Q$4,0))/INDEX($M$408:$Q$408,,MATCH(AX$4,$M$4:$Q$4,0))))</f>
        <v/>
      </c>
      <c r="AY416" s="265">
        <f>IF(AY$7="Actual","",IF(AY$408=0,0,INDEX($M416:$Q416,,MATCH(AY$4,$M$4:$Q$4,0))/INDEX($M$408:$Q$408,,MATCH(AY$4,$M$4:$Q$4,0))))</f>
        <v/>
      </c>
      <c r="AZ416" s="265">
        <f>IF(AZ$7="Actual","",IF(AZ$408=0,0,INDEX($M416:$Q416,,MATCH(AZ$4,$M$4:$Q$4,0))/INDEX($M$408:$Q$408,,MATCH(AZ$4,$M$4:$Q$4,0))))</f>
        <v/>
      </c>
      <c r="BA416" s="265">
        <f>IF(BA$7="Actual","",IF(BA$408=0,0,INDEX($M416:$Q416,,MATCH(BA$4,$M$4:$Q$4,0))/INDEX($M$408:$Q$408,,MATCH(BA$4,$M$4:$Q$4,0))))</f>
        <v/>
      </c>
      <c r="BB416" s="265">
        <f>IF(BB$7="Actual","",IF(BB$408=0,0,INDEX($M416:$Q416,,MATCH(BB$4,$M$4:$Q$4,0))/INDEX($M$408:$Q$408,,MATCH(BB$4,$M$4:$Q$4,0))))</f>
        <v/>
      </c>
      <c r="BC416" s="265">
        <f>IF(BC$7="Actual","",IF(BC$408=0,0,INDEX($M416:$Q416,,MATCH(BC$4,$M$4:$Q$4,0))/INDEX($M$408:$Q$408,,MATCH(BC$4,$M$4:$Q$4,0))))</f>
        <v/>
      </c>
      <c r="BD416" s="265">
        <f>IF(BD$7="Actual","",IF(BD$408=0,0,INDEX($M416:$Q416,,MATCH(BD$4,$M$4:$Q$4,0))/INDEX($M$408:$Q$408,,MATCH(BD$4,$M$4:$Q$4,0))))</f>
        <v/>
      </c>
      <c r="BE416" s="265">
        <f>IF(BE$7="Actual","",IF(BE$408=0,0,INDEX($M416:$Q416,,MATCH(BE$4,$M$4:$Q$4,0))/INDEX($M$408:$Q$408,,MATCH(BE$4,$M$4:$Q$4,0))))</f>
        <v/>
      </c>
      <c r="BF416" s="265">
        <f>IF(BF$7="Actual","",IF(BF$408=0,0,INDEX($M416:$Q416,,MATCH(BF$4,$M$4:$Q$4,0))/INDEX($M$408:$Q$408,,MATCH(BF$4,$M$4:$Q$4,0))))</f>
        <v/>
      </c>
      <c r="BG416" s="265">
        <f>IF(BG$7="Actual","",IF(BG$408=0,0,INDEX($M416:$Q416,,MATCH(BG$4,$M$4:$Q$4,0))/INDEX($M$408:$Q$408,,MATCH(BG$4,$M$4:$Q$4,0))))</f>
        <v/>
      </c>
      <c r="BH416" s="265">
        <f>IF(BH$7="Actual","",IF(BH$408=0,0,INDEX($M416:$Q416,,MATCH(BH$4,$M$4:$Q$4,0))/INDEX($M$408:$Q$408,,MATCH(BH$4,$M$4:$Q$4,0))))</f>
        <v/>
      </c>
      <c r="BI416" s="265">
        <f>IF(BI$7="Actual","",IF(BI$408=0,0,INDEX($M416:$Q416,,MATCH(BI$4,$M$4:$Q$4,0))/INDEX($M$408:$Q$408,,MATCH(BI$4,$M$4:$Q$4,0))))</f>
        <v/>
      </c>
      <c r="BJ416" s="265">
        <f>IF(BJ$7="Actual","",IF(BJ$408=0,0,INDEX($M416:$Q416,,MATCH(BJ$4,$M$4:$Q$4,0))/INDEX($M$408:$Q$408,,MATCH(BJ$4,$M$4:$Q$4,0))))</f>
        <v/>
      </c>
      <c r="BK416" s="265">
        <f>IF(BK$7="Actual","",IF(BK$408=0,0,INDEX($M416:$Q416,,MATCH(BK$4,$M$4:$Q$4,0))/INDEX($M$408:$Q$408,,MATCH(BK$4,$M$4:$Q$4,0))))</f>
        <v/>
      </c>
      <c r="BL416" s="265">
        <f>IF(BL$7="Actual","",IF(BL$408=0,0,INDEX($M416:$Q416,,MATCH(BL$4,$M$4:$Q$4,0))/INDEX($M$408:$Q$408,,MATCH(BL$4,$M$4:$Q$4,0))))</f>
        <v/>
      </c>
      <c r="BM416" s="265">
        <f>IF(BM$7="Actual","",IF(BM$408=0,0,INDEX($M416:$Q416,,MATCH(BM$4,$M$4:$Q$4,0))/INDEX($M$408:$Q$408,,MATCH(BM$4,$M$4:$Q$4,0))))</f>
        <v/>
      </c>
      <c r="BN416" s="265">
        <f>IF(BN$7="Actual","",IF(BN$408=0,0,INDEX($M416:$Q416,,MATCH(BN$4,$M$4:$Q$4,0))/INDEX($M$408:$Q$408,,MATCH(BN$4,$M$4:$Q$4,0))))</f>
        <v/>
      </c>
      <c r="BO416" s="265">
        <f>IF(BO$7="Actual","",IF(BO$408=0,0,INDEX($M416:$Q416,,MATCH(BO$4,$M$4:$Q$4,0))/INDEX($M$408:$Q$408,,MATCH(BO$4,$M$4:$Q$4,0))))</f>
        <v/>
      </c>
      <c r="BP416" s="265">
        <f>IF(BP$7="Actual","",IF(BP$408=0,0,INDEX($M416:$Q416,,MATCH(BP$4,$M$4:$Q$4,0))/INDEX($M$408:$Q$408,,MATCH(BP$4,$M$4:$Q$4,0))))</f>
        <v/>
      </c>
      <c r="BQ416" s="265">
        <f>IF(BQ$7="Actual","",IF(BQ$408=0,0,INDEX($M416:$Q416,,MATCH(BQ$4,$M$4:$Q$4,0))/INDEX($M$408:$Q$408,,MATCH(BQ$4,$M$4:$Q$4,0))))</f>
        <v/>
      </c>
      <c r="BR416" s="265">
        <f>IF(BR$7="Actual","",IF(BR$408=0,0,INDEX($M416:$Q416,,MATCH(BR$4,$M$4:$Q$4,0))/INDEX($M$408:$Q$408,,MATCH(BR$4,$M$4:$Q$4,0))))</f>
        <v/>
      </c>
      <c r="BS416" s="265">
        <f>IF(BS$7="Actual","",IF(BS$408=0,0,INDEX($M416:$Q416,,MATCH(BS$4,$M$4:$Q$4,0))/INDEX($M$408:$Q$408,,MATCH(BS$4,$M$4:$Q$4,0))))</f>
        <v/>
      </c>
      <c r="BT416" s="265">
        <f>IF(BT$7="Actual","",IF(BT$408=0,0,INDEX($M416:$Q416,,MATCH(BT$4,$M$4:$Q$4,0))/INDEX($M$408:$Q$408,,MATCH(BT$4,$M$4:$Q$4,0))))</f>
        <v/>
      </c>
      <c r="BU416" s="265">
        <f>IF(BU$7="Actual","",IF(BU$408=0,0,INDEX($M416:$Q416,,MATCH(BU$4,$M$4:$Q$4,0))/INDEX($M$408:$Q$408,,MATCH(BU$4,$M$4:$Q$4,0))))</f>
        <v/>
      </c>
      <c r="BV416" s="265">
        <f>IF(BV$7="Actual","",IF(BV$408=0,0,INDEX($M416:$Q416,,MATCH(BV$4,$M$4:$Q$4,0))/INDEX($M$408:$Q$408,,MATCH(BV$4,$M$4:$Q$4,0))))</f>
        <v/>
      </c>
      <c r="BW416" s="265">
        <f>IF(BW$7="Actual","",IF(BW$408=0,0,INDEX($M416:$Q416,,MATCH(BW$4,$M$4:$Q$4,0))/INDEX($M$408:$Q$408,,MATCH(BW$4,$M$4:$Q$4,0))))</f>
        <v/>
      </c>
      <c r="BX416" s="265">
        <f>IF(BX$7="Actual","",IF(BX$408=0,0,INDEX($M416:$Q416,,MATCH(BX$4,$M$4:$Q$4,0))/INDEX($M$408:$Q$408,,MATCH(BX$4,$M$4:$Q$4,0))))</f>
        <v/>
      </c>
      <c r="BY416" s="265">
        <f>IF(BY$7="Actual","",IF(BY$408=0,0,INDEX($M416:$Q416,,MATCH(BY$4,$M$4:$Q$4,0))/INDEX($M$408:$Q$408,,MATCH(BY$4,$M$4:$Q$4,0))))</f>
        <v/>
      </c>
      <c r="BZ416" s="265">
        <f>IF(BZ$7="Actual","",IF(BZ$408=0,0,INDEX($M416:$Q416,,MATCH(BZ$4,$M$4:$Q$4,0))/INDEX($M$408:$Q$408,,MATCH(BZ$4,$M$4:$Q$4,0))))</f>
        <v/>
      </c>
      <c r="CA416" s="265">
        <f>IF(CA$7="Actual","",IF(CA$408=0,0,INDEX($M416:$Q416,,MATCH(CA$4,$M$4:$Q$4,0))/INDEX($M$408:$Q$408,,MATCH(CA$4,$M$4:$Q$4,0))))</f>
        <v/>
      </c>
    </row>
    <row r="417" ht="12" customHeight="1" s="227">
      <c r="A417" s="244" t="n"/>
      <c r="B417" s="244" t="n"/>
      <c r="C417" s="244" t="n"/>
      <c r="H417" s="4">
        <f>H400</f>
        <v/>
      </c>
      <c r="I417" s="27" t="inlineStr">
        <is>
          <t>%</t>
        </is>
      </c>
      <c r="K417" s="6" t="n"/>
      <c r="M417" s="265">
        <f>IF(M$7="Actual","",i_Assumptions!M493)</f>
        <v/>
      </c>
      <c r="N417" s="265">
        <f>IF(N$7="Actual","",i_Assumptions!N493)</f>
        <v/>
      </c>
      <c r="O417" s="265">
        <f>IF(O$7="Actual","",i_Assumptions!O493)</f>
        <v/>
      </c>
      <c r="P417" s="265">
        <f>IF(P$7="Actual","",i_Assumptions!P493)</f>
        <v/>
      </c>
      <c r="Q417" s="265">
        <f>IF(Q$7="Actual","",i_Assumptions!Q493)</f>
        <v/>
      </c>
      <c r="T417" s="265">
        <f>IF(T$7="Actual","",IF(T$408=0,0,INDEX($M417:$Q417,,MATCH(T$4,$M$4:$Q$4,0))/INDEX($M$408:$Q$408,,MATCH(T$4,$M$4:$Q$4,0))))</f>
        <v/>
      </c>
      <c r="U417" s="265">
        <f>IF(U$7="Actual","",IF(U$408=0,0,INDEX($M417:$Q417,,MATCH(U$4,$M$4:$Q$4,0))/INDEX($M$408:$Q$408,,MATCH(U$4,$M$4:$Q$4,0))))</f>
        <v/>
      </c>
      <c r="V417" s="265">
        <f>IF(V$7="Actual","",IF(V$408=0,0,INDEX($M417:$Q417,,MATCH(V$4,$M$4:$Q$4,0))/INDEX($M$408:$Q$408,,MATCH(V$4,$M$4:$Q$4,0))))</f>
        <v/>
      </c>
      <c r="W417" s="265">
        <f>IF(W$7="Actual","",IF(W$408=0,0,INDEX($M417:$Q417,,MATCH(W$4,$M$4:$Q$4,0))/INDEX($M$408:$Q$408,,MATCH(W$4,$M$4:$Q$4,0))))</f>
        <v/>
      </c>
      <c r="X417" s="265">
        <f>IF(X$7="Actual","",IF(X$408=0,0,INDEX($M417:$Q417,,MATCH(X$4,$M$4:$Q$4,0))/INDEX($M$408:$Q$408,,MATCH(X$4,$M$4:$Q$4,0))))</f>
        <v/>
      </c>
      <c r="Y417" s="265">
        <f>IF(Y$7="Actual","",IF(Y$408=0,0,INDEX($M417:$Q417,,MATCH(Y$4,$M$4:$Q$4,0))/INDEX($M$408:$Q$408,,MATCH(Y$4,$M$4:$Q$4,0))))</f>
        <v/>
      </c>
      <c r="Z417" s="265">
        <f>IF(Z$7="Actual","",IF(Z$408=0,0,INDEX($M417:$Q417,,MATCH(Z$4,$M$4:$Q$4,0))/INDEX($M$408:$Q$408,,MATCH(Z$4,$M$4:$Q$4,0))))</f>
        <v/>
      </c>
      <c r="AA417" s="265">
        <f>IF(AA$7="Actual","",IF(AA$408=0,0,INDEX($M417:$Q417,,MATCH(AA$4,$M$4:$Q$4,0))/INDEX($M$408:$Q$408,,MATCH(AA$4,$M$4:$Q$4,0))))</f>
        <v/>
      </c>
      <c r="AB417" s="265">
        <f>IF(AB$7="Actual","",IF(AB$408=0,0,INDEX($M417:$Q417,,MATCH(AB$4,$M$4:$Q$4,0))/INDEX($M$408:$Q$408,,MATCH(AB$4,$M$4:$Q$4,0))))</f>
        <v/>
      </c>
      <c r="AC417" s="265">
        <f>IF(AC$7="Actual","",IF(AC$408=0,0,INDEX($M417:$Q417,,MATCH(AC$4,$M$4:$Q$4,0))/INDEX($M$408:$Q$408,,MATCH(AC$4,$M$4:$Q$4,0))))</f>
        <v/>
      </c>
      <c r="AD417" s="265">
        <f>IF(AD$7="Actual","",IF(AD$408=0,0,INDEX($M417:$Q417,,MATCH(AD$4,$M$4:$Q$4,0))/INDEX($M$408:$Q$408,,MATCH(AD$4,$M$4:$Q$4,0))))</f>
        <v/>
      </c>
      <c r="AE417" s="265">
        <f>IF(AE$7="Actual","",IF(AE$408=0,0,INDEX($M417:$Q417,,MATCH(AE$4,$M$4:$Q$4,0))/INDEX($M$408:$Q$408,,MATCH(AE$4,$M$4:$Q$4,0))))</f>
        <v/>
      </c>
      <c r="AF417" s="265">
        <f>IF(AF$7="Actual","",IF(AF$408=0,0,INDEX($M417:$Q417,,MATCH(AF$4,$M$4:$Q$4,0))/INDEX($M$408:$Q$408,,MATCH(AF$4,$M$4:$Q$4,0))))</f>
        <v/>
      </c>
      <c r="AG417" s="265">
        <f>IF(AG$7="Actual","",IF(AG$408=0,0,INDEX($M417:$Q417,,MATCH(AG$4,$M$4:$Q$4,0))/INDEX($M$408:$Q$408,,MATCH(AG$4,$M$4:$Q$4,0))))</f>
        <v/>
      </c>
      <c r="AH417" s="265">
        <f>IF(AH$7="Actual","",IF(AH$408=0,0,INDEX($M417:$Q417,,MATCH(AH$4,$M$4:$Q$4,0))/INDEX($M$408:$Q$408,,MATCH(AH$4,$M$4:$Q$4,0))))</f>
        <v/>
      </c>
      <c r="AI417" s="265">
        <f>IF(AI$7="Actual","",IF(AI$408=0,0,INDEX($M417:$Q417,,MATCH(AI$4,$M$4:$Q$4,0))/INDEX($M$408:$Q$408,,MATCH(AI$4,$M$4:$Q$4,0))))</f>
        <v/>
      </c>
      <c r="AJ417" s="265">
        <f>IF(AJ$7="Actual","",IF(AJ$408=0,0,INDEX($M417:$Q417,,MATCH(AJ$4,$M$4:$Q$4,0))/INDEX($M$408:$Q$408,,MATCH(AJ$4,$M$4:$Q$4,0))))</f>
        <v/>
      </c>
      <c r="AK417" s="265">
        <f>IF(AK$7="Actual","",IF(AK$408=0,0,INDEX($M417:$Q417,,MATCH(AK$4,$M$4:$Q$4,0))/INDEX($M$408:$Q$408,,MATCH(AK$4,$M$4:$Q$4,0))))</f>
        <v/>
      </c>
      <c r="AL417" s="265">
        <f>IF(AL$7="Actual","",IF(AL$408=0,0,INDEX($M417:$Q417,,MATCH(AL$4,$M$4:$Q$4,0))/INDEX($M$408:$Q$408,,MATCH(AL$4,$M$4:$Q$4,0))))</f>
        <v/>
      </c>
      <c r="AM417" s="265">
        <f>IF(AM$7="Actual","",IF(AM$408=0,0,INDEX($M417:$Q417,,MATCH(AM$4,$M$4:$Q$4,0))/INDEX($M$408:$Q$408,,MATCH(AM$4,$M$4:$Q$4,0))))</f>
        <v/>
      </c>
      <c r="AN417" s="265">
        <f>IF(AN$7="Actual","",IF(AN$408=0,0,INDEX($M417:$Q417,,MATCH(AN$4,$M$4:$Q$4,0))/INDEX($M$408:$Q$408,,MATCH(AN$4,$M$4:$Q$4,0))))</f>
        <v/>
      </c>
      <c r="AO417" s="265">
        <f>IF(AO$7="Actual","",IF(AO$408=0,0,INDEX($M417:$Q417,,MATCH(AO$4,$M$4:$Q$4,0))/INDEX($M$408:$Q$408,,MATCH(AO$4,$M$4:$Q$4,0))))</f>
        <v/>
      </c>
      <c r="AP417" s="265">
        <f>IF(AP$7="Actual","",IF(AP$408=0,0,INDEX($M417:$Q417,,MATCH(AP$4,$M$4:$Q$4,0))/INDEX($M$408:$Q$408,,MATCH(AP$4,$M$4:$Q$4,0))))</f>
        <v/>
      </c>
      <c r="AQ417" s="265">
        <f>IF(AQ$7="Actual","",IF(AQ$408=0,0,INDEX($M417:$Q417,,MATCH(AQ$4,$M$4:$Q$4,0))/INDEX($M$408:$Q$408,,MATCH(AQ$4,$M$4:$Q$4,0))))</f>
        <v/>
      </c>
      <c r="AR417" s="265">
        <f>IF(AR$7="Actual","",IF(AR$408=0,0,INDEX($M417:$Q417,,MATCH(AR$4,$M$4:$Q$4,0))/INDEX($M$408:$Q$408,,MATCH(AR$4,$M$4:$Q$4,0))))</f>
        <v/>
      </c>
      <c r="AS417" s="265">
        <f>IF(AS$7="Actual","",IF(AS$408=0,0,INDEX($M417:$Q417,,MATCH(AS$4,$M$4:$Q$4,0))/INDEX($M$408:$Q$408,,MATCH(AS$4,$M$4:$Q$4,0))))</f>
        <v/>
      </c>
      <c r="AT417" s="265">
        <f>IF(AT$7="Actual","",IF(AT$408=0,0,INDEX($M417:$Q417,,MATCH(AT$4,$M$4:$Q$4,0))/INDEX($M$408:$Q$408,,MATCH(AT$4,$M$4:$Q$4,0))))</f>
        <v/>
      </c>
      <c r="AU417" s="265">
        <f>IF(AU$7="Actual","",IF(AU$408=0,0,INDEX($M417:$Q417,,MATCH(AU$4,$M$4:$Q$4,0))/INDEX($M$408:$Q$408,,MATCH(AU$4,$M$4:$Q$4,0))))</f>
        <v/>
      </c>
      <c r="AV417" s="265">
        <f>IF(AV$7="Actual","",IF(AV$408=0,0,INDEX($M417:$Q417,,MATCH(AV$4,$M$4:$Q$4,0))/INDEX($M$408:$Q$408,,MATCH(AV$4,$M$4:$Q$4,0))))</f>
        <v/>
      </c>
      <c r="AW417" s="265">
        <f>IF(AW$7="Actual","",IF(AW$408=0,0,INDEX($M417:$Q417,,MATCH(AW$4,$M$4:$Q$4,0))/INDEX($M$408:$Q$408,,MATCH(AW$4,$M$4:$Q$4,0))))</f>
        <v/>
      </c>
      <c r="AX417" s="265">
        <f>IF(AX$7="Actual","",IF(AX$408=0,0,INDEX($M417:$Q417,,MATCH(AX$4,$M$4:$Q$4,0))/INDEX($M$408:$Q$408,,MATCH(AX$4,$M$4:$Q$4,0))))</f>
        <v/>
      </c>
      <c r="AY417" s="265">
        <f>IF(AY$7="Actual","",IF(AY$408=0,0,INDEX($M417:$Q417,,MATCH(AY$4,$M$4:$Q$4,0))/INDEX($M$408:$Q$408,,MATCH(AY$4,$M$4:$Q$4,0))))</f>
        <v/>
      </c>
      <c r="AZ417" s="265">
        <f>IF(AZ$7="Actual","",IF(AZ$408=0,0,INDEX($M417:$Q417,,MATCH(AZ$4,$M$4:$Q$4,0))/INDEX($M$408:$Q$408,,MATCH(AZ$4,$M$4:$Q$4,0))))</f>
        <v/>
      </c>
      <c r="BA417" s="265">
        <f>IF(BA$7="Actual","",IF(BA$408=0,0,INDEX($M417:$Q417,,MATCH(BA$4,$M$4:$Q$4,0))/INDEX($M$408:$Q$408,,MATCH(BA$4,$M$4:$Q$4,0))))</f>
        <v/>
      </c>
      <c r="BB417" s="265">
        <f>IF(BB$7="Actual","",IF(BB$408=0,0,INDEX($M417:$Q417,,MATCH(BB$4,$M$4:$Q$4,0))/INDEX($M$408:$Q$408,,MATCH(BB$4,$M$4:$Q$4,0))))</f>
        <v/>
      </c>
      <c r="BC417" s="265">
        <f>IF(BC$7="Actual","",IF(BC$408=0,0,INDEX($M417:$Q417,,MATCH(BC$4,$M$4:$Q$4,0))/INDEX($M$408:$Q$408,,MATCH(BC$4,$M$4:$Q$4,0))))</f>
        <v/>
      </c>
      <c r="BD417" s="265">
        <f>IF(BD$7="Actual","",IF(BD$408=0,0,INDEX($M417:$Q417,,MATCH(BD$4,$M$4:$Q$4,0))/INDEX($M$408:$Q$408,,MATCH(BD$4,$M$4:$Q$4,0))))</f>
        <v/>
      </c>
      <c r="BE417" s="265">
        <f>IF(BE$7="Actual","",IF(BE$408=0,0,INDEX($M417:$Q417,,MATCH(BE$4,$M$4:$Q$4,0))/INDEX($M$408:$Q$408,,MATCH(BE$4,$M$4:$Q$4,0))))</f>
        <v/>
      </c>
      <c r="BF417" s="265">
        <f>IF(BF$7="Actual","",IF(BF$408=0,0,INDEX($M417:$Q417,,MATCH(BF$4,$M$4:$Q$4,0))/INDEX($M$408:$Q$408,,MATCH(BF$4,$M$4:$Q$4,0))))</f>
        <v/>
      </c>
      <c r="BG417" s="265">
        <f>IF(BG$7="Actual","",IF(BG$408=0,0,INDEX($M417:$Q417,,MATCH(BG$4,$M$4:$Q$4,0))/INDEX($M$408:$Q$408,,MATCH(BG$4,$M$4:$Q$4,0))))</f>
        <v/>
      </c>
      <c r="BH417" s="265">
        <f>IF(BH$7="Actual","",IF(BH$408=0,0,INDEX($M417:$Q417,,MATCH(BH$4,$M$4:$Q$4,0))/INDEX($M$408:$Q$408,,MATCH(BH$4,$M$4:$Q$4,0))))</f>
        <v/>
      </c>
      <c r="BI417" s="265">
        <f>IF(BI$7="Actual","",IF(BI$408=0,0,INDEX($M417:$Q417,,MATCH(BI$4,$M$4:$Q$4,0))/INDEX($M$408:$Q$408,,MATCH(BI$4,$M$4:$Q$4,0))))</f>
        <v/>
      </c>
      <c r="BJ417" s="265">
        <f>IF(BJ$7="Actual","",IF(BJ$408=0,0,INDEX($M417:$Q417,,MATCH(BJ$4,$M$4:$Q$4,0))/INDEX($M$408:$Q$408,,MATCH(BJ$4,$M$4:$Q$4,0))))</f>
        <v/>
      </c>
      <c r="BK417" s="265">
        <f>IF(BK$7="Actual","",IF(BK$408=0,0,INDEX($M417:$Q417,,MATCH(BK$4,$M$4:$Q$4,0))/INDEX($M$408:$Q$408,,MATCH(BK$4,$M$4:$Q$4,0))))</f>
        <v/>
      </c>
      <c r="BL417" s="265">
        <f>IF(BL$7="Actual","",IF(BL$408=0,0,INDEX($M417:$Q417,,MATCH(BL$4,$M$4:$Q$4,0))/INDEX($M$408:$Q$408,,MATCH(BL$4,$M$4:$Q$4,0))))</f>
        <v/>
      </c>
      <c r="BM417" s="265">
        <f>IF(BM$7="Actual","",IF(BM$408=0,0,INDEX($M417:$Q417,,MATCH(BM$4,$M$4:$Q$4,0))/INDEX($M$408:$Q$408,,MATCH(BM$4,$M$4:$Q$4,0))))</f>
        <v/>
      </c>
      <c r="BN417" s="265">
        <f>IF(BN$7="Actual","",IF(BN$408=0,0,INDEX($M417:$Q417,,MATCH(BN$4,$M$4:$Q$4,0))/INDEX($M$408:$Q$408,,MATCH(BN$4,$M$4:$Q$4,0))))</f>
        <v/>
      </c>
      <c r="BO417" s="265">
        <f>IF(BO$7="Actual","",IF(BO$408=0,0,INDEX($M417:$Q417,,MATCH(BO$4,$M$4:$Q$4,0))/INDEX($M$408:$Q$408,,MATCH(BO$4,$M$4:$Q$4,0))))</f>
        <v/>
      </c>
      <c r="BP417" s="265">
        <f>IF(BP$7="Actual","",IF(BP$408=0,0,INDEX($M417:$Q417,,MATCH(BP$4,$M$4:$Q$4,0))/INDEX($M$408:$Q$408,,MATCH(BP$4,$M$4:$Q$4,0))))</f>
        <v/>
      </c>
      <c r="BQ417" s="265">
        <f>IF(BQ$7="Actual","",IF(BQ$408=0,0,INDEX($M417:$Q417,,MATCH(BQ$4,$M$4:$Q$4,0))/INDEX($M$408:$Q$408,,MATCH(BQ$4,$M$4:$Q$4,0))))</f>
        <v/>
      </c>
      <c r="BR417" s="265">
        <f>IF(BR$7="Actual","",IF(BR$408=0,0,INDEX($M417:$Q417,,MATCH(BR$4,$M$4:$Q$4,0))/INDEX($M$408:$Q$408,,MATCH(BR$4,$M$4:$Q$4,0))))</f>
        <v/>
      </c>
      <c r="BS417" s="265">
        <f>IF(BS$7="Actual","",IF(BS$408=0,0,INDEX($M417:$Q417,,MATCH(BS$4,$M$4:$Q$4,0))/INDEX($M$408:$Q$408,,MATCH(BS$4,$M$4:$Q$4,0))))</f>
        <v/>
      </c>
      <c r="BT417" s="265">
        <f>IF(BT$7="Actual","",IF(BT$408=0,0,INDEX($M417:$Q417,,MATCH(BT$4,$M$4:$Q$4,0))/INDEX($M$408:$Q$408,,MATCH(BT$4,$M$4:$Q$4,0))))</f>
        <v/>
      </c>
      <c r="BU417" s="265">
        <f>IF(BU$7="Actual","",IF(BU$408=0,0,INDEX($M417:$Q417,,MATCH(BU$4,$M$4:$Q$4,0))/INDEX($M$408:$Q$408,,MATCH(BU$4,$M$4:$Q$4,0))))</f>
        <v/>
      </c>
      <c r="BV417" s="265">
        <f>IF(BV$7="Actual","",IF(BV$408=0,0,INDEX($M417:$Q417,,MATCH(BV$4,$M$4:$Q$4,0))/INDEX($M$408:$Q$408,,MATCH(BV$4,$M$4:$Q$4,0))))</f>
        <v/>
      </c>
      <c r="BW417" s="265">
        <f>IF(BW$7="Actual","",IF(BW$408=0,0,INDEX($M417:$Q417,,MATCH(BW$4,$M$4:$Q$4,0))/INDEX($M$408:$Q$408,,MATCH(BW$4,$M$4:$Q$4,0))))</f>
        <v/>
      </c>
      <c r="BX417" s="265">
        <f>IF(BX$7="Actual","",IF(BX$408=0,0,INDEX($M417:$Q417,,MATCH(BX$4,$M$4:$Q$4,0))/INDEX($M$408:$Q$408,,MATCH(BX$4,$M$4:$Q$4,0))))</f>
        <v/>
      </c>
      <c r="BY417" s="265">
        <f>IF(BY$7="Actual","",IF(BY$408=0,0,INDEX($M417:$Q417,,MATCH(BY$4,$M$4:$Q$4,0))/INDEX($M$408:$Q$408,,MATCH(BY$4,$M$4:$Q$4,0))))</f>
        <v/>
      </c>
      <c r="BZ417" s="265">
        <f>IF(BZ$7="Actual","",IF(BZ$408=0,0,INDEX($M417:$Q417,,MATCH(BZ$4,$M$4:$Q$4,0))/INDEX($M$408:$Q$408,,MATCH(BZ$4,$M$4:$Q$4,0))))</f>
        <v/>
      </c>
      <c r="CA417" s="265">
        <f>IF(CA$7="Actual","",IF(CA$408=0,0,INDEX($M417:$Q417,,MATCH(CA$4,$M$4:$Q$4,0))/INDEX($M$408:$Q$408,,MATCH(CA$4,$M$4:$Q$4,0))))</f>
        <v/>
      </c>
    </row>
    <row r="418" ht="12" customHeight="1" s="227">
      <c r="A418" s="244" t="n"/>
      <c r="B418" s="244" t="n"/>
      <c r="C418" s="244" t="n"/>
      <c r="H418" s="4">
        <f>H401</f>
        <v/>
      </c>
      <c r="I418" s="27" t="inlineStr">
        <is>
          <t>%</t>
        </is>
      </c>
      <c r="K418" s="6" t="n"/>
      <c r="M418" s="265">
        <f>IF(M$7="Actual","",i_Assumptions!M497)</f>
        <v/>
      </c>
      <c r="N418" s="265">
        <f>IF(N$7="Actual","",i_Assumptions!N497)</f>
        <v/>
      </c>
      <c r="O418" s="265">
        <f>IF(O$7="Actual","",i_Assumptions!O497)</f>
        <v/>
      </c>
      <c r="P418" s="265">
        <f>IF(P$7="Actual","",i_Assumptions!P497)</f>
        <v/>
      </c>
      <c r="Q418" s="265">
        <f>IF(Q$7="Actual","",i_Assumptions!Q497)</f>
        <v/>
      </c>
      <c r="T418" s="265">
        <f>IF(T$7="Actual","",IF(T$408=0,0,INDEX($M418:$Q418,,MATCH(T$4,$M$4:$Q$4,0))/INDEX($M$408:$Q$408,,MATCH(T$4,$M$4:$Q$4,0))))</f>
        <v/>
      </c>
      <c r="U418" s="265">
        <f>IF(U$7="Actual","",IF(U$408=0,0,INDEX($M418:$Q418,,MATCH(U$4,$M$4:$Q$4,0))/INDEX($M$408:$Q$408,,MATCH(U$4,$M$4:$Q$4,0))))</f>
        <v/>
      </c>
      <c r="V418" s="265">
        <f>IF(V$7="Actual","",IF(V$408=0,0,INDEX($M418:$Q418,,MATCH(V$4,$M$4:$Q$4,0))/INDEX($M$408:$Q$408,,MATCH(V$4,$M$4:$Q$4,0))))</f>
        <v/>
      </c>
      <c r="W418" s="265">
        <f>IF(W$7="Actual","",IF(W$408=0,0,INDEX($M418:$Q418,,MATCH(W$4,$M$4:$Q$4,0))/INDEX($M$408:$Q$408,,MATCH(W$4,$M$4:$Q$4,0))))</f>
        <v/>
      </c>
      <c r="X418" s="265">
        <f>IF(X$7="Actual","",IF(X$408=0,0,INDEX($M418:$Q418,,MATCH(X$4,$M$4:$Q$4,0))/INDEX($M$408:$Q$408,,MATCH(X$4,$M$4:$Q$4,0))))</f>
        <v/>
      </c>
      <c r="Y418" s="265">
        <f>IF(Y$7="Actual","",IF(Y$408=0,0,INDEX($M418:$Q418,,MATCH(Y$4,$M$4:$Q$4,0))/INDEX($M$408:$Q$408,,MATCH(Y$4,$M$4:$Q$4,0))))</f>
        <v/>
      </c>
      <c r="Z418" s="265">
        <f>IF(Z$7="Actual","",IF(Z$408=0,0,INDEX($M418:$Q418,,MATCH(Z$4,$M$4:$Q$4,0))/INDEX($M$408:$Q$408,,MATCH(Z$4,$M$4:$Q$4,0))))</f>
        <v/>
      </c>
      <c r="AA418" s="265">
        <f>IF(AA$7="Actual","",IF(AA$408=0,0,INDEX($M418:$Q418,,MATCH(AA$4,$M$4:$Q$4,0))/INDEX($M$408:$Q$408,,MATCH(AA$4,$M$4:$Q$4,0))))</f>
        <v/>
      </c>
      <c r="AB418" s="265">
        <f>IF(AB$7="Actual","",IF(AB$408=0,0,INDEX($M418:$Q418,,MATCH(AB$4,$M$4:$Q$4,0))/INDEX($M$408:$Q$408,,MATCH(AB$4,$M$4:$Q$4,0))))</f>
        <v/>
      </c>
      <c r="AC418" s="265">
        <f>IF(AC$7="Actual","",IF(AC$408=0,0,INDEX($M418:$Q418,,MATCH(AC$4,$M$4:$Q$4,0))/INDEX($M$408:$Q$408,,MATCH(AC$4,$M$4:$Q$4,0))))</f>
        <v/>
      </c>
      <c r="AD418" s="265">
        <f>IF(AD$7="Actual","",IF(AD$408=0,0,INDEX($M418:$Q418,,MATCH(AD$4,$M$4:$Q$4,0))/INDEX($M$408:$Q$408,,MATCH(AD$4,$M$4:$Q$4,0))))</f>
        <v/>
      </c>
      <c r="AE418" s="265">
        <f>IF(AE$7="Actual","",IF(AE$408=0,0,INDEX($M418:$Q418,,MATCH(AE$4,$M$4:$Q$4,0))/INDEX($M$408:$Q$408,,MATCH(AE$4,$M$4:$Q$4,0))))</f>
        <v/>
      </c>
      <c r="AF418" s="265">
        <f>IF(AF$7="Actual","",IF(AF$408=0,0,INDEX($M418:$Q418,,MATCH(AF$4,$M$4:$Q$4,0))/INDEX($M$408:$Q$408,,MATCH(AF$4,$M$4:$Q$4,0))))</f>
        <v/>
      </c>
      <c r="AG418" s="265">
        <f>IF(AG$7="Actual","",IF(AG$408=0,0,INDEX($M418:$Q418,,MATCH(AG$4,$M$4:$Q$4,0))/INDEX($M$408:$Q$408,,MATCH(AG$4,$M$4:$Q$4,0))))</f>
        <v/>
      </c>
      <c r="AH418" s="265">
        <f>IF(AH$7="Actual","",IF(AH$408=0,0,INDEX($M418:$Q418,,MATCH(AH$4,$M$4:$Q$4,0))/INDEX($M$408:$Q$408,,MATCH(AH$4,$M$4:$Q$4,0))))</f>
        <v/>
      </c>
      <c r="AI418" s="265">
        <f>IF(AI$7="Actual","",IF(AI$408=0,0,INDEX($M418:$Q418,,MATCH(AI$4,$M$4:$Q$4,0))/INDEX($M$408:$Q$408,,MATCH(AI$4,$M$4:$Q$4,0))))</f>
        <v/>
      </c>
      <c r="AJ418" s="265">
        <f>IF(AJ$7="Actual","",IF(AJ$408=0,0,INDEX($M418:$Q418,,MATCH(AJ$4,$M$4:$Q$4,0))/INDEX($M$408:$Q$408,,MATCH(AJ$4,$M$4:$Q$4,0))))</f>
        <v/>
      </c>
      <c r="AK418" s="265">
        <f>IF(AK$7="Actual","",IF(AK$408=0,0,INDEX($M418:$Q418,,MATCH(AK$4,$M$4:$Q$4,0))/INDEX($M$408:$Q$408,,MATCH(AK$4,$M$4:$Q$4,0))))</f>
        <v/>
      </c>
      <c r="AL418" s="265">
        <f>IF(AL$7="Actual","",IF(AL$408=0,0,INDEX($M418:$Q418,,MATCH(AL$4,$M$4:$Q$4,0))/INDEX($M$408:$Q$408,,MATCH(AL$4,$M$4:$Q$4,0))))</f>
        <v/>
      </c>
      <c r="AM418" s="265">
        <f>IF(AM$7="Actual","",IF(AM$408=0,0,INDEX($M418:$Q418,,MATCH(AM$4,$M$4:$Q$4,0))/INDEX($M$408:$Q$408,,MATCH(AM$4,$M$4:$Q$4,0))))</f>
        <v/>
      </c>
      <c r="AN418" s="265">
        <f>IF(AN$7="Actual","",IF(AN$408=0,0,INDEX($M418:$Q418,,MATCH(AN$4,$M$4:$Q$4,0))/INDEX($M$408:$Q$408,,MATCH(AN$4,$M$4:$Q$4,0))))</f>
        <v/>
      </c>
      <c r="AO418" s="265">
        <f>IF(AO$7="Actual","",IF(AO$408=0,0,INDEX($M418:$Q418,,MATCH(AO$4,$M$4:$Q$4,0))/INDEX($M$408:$Q$408,,MATCH(AO$4,$M$4:$Q$4,0))))</f>
        <v/>
      </c>
      <c r="AP418" s="265">
        <f>IF(AP$7="Actual","",IF(AP$408=0,0,INDEX($M418:$Q418,,MATCH(AP$4,$M$4:$Q$4,0))/INDEX($M$408:$Q$408,,MATCH(AP$4,$M$4:$Q$4,0))))</f>
        <v/>
      </c>
      <c r="AQ418" s="265">
        <f>IF(AQ$7="Actual","",IF(AQ$408=0,0,INDEX($M418:$Q418,,MATCH(AQ$4,$M$4:$Q$4,0))/INDEX($M$408:$Q$408,,MATCH(AQ$4,$M$4:$Q$4,0))))</f>
        <v/>
      </c>
      <c r="AR418" s="265">
        <f>IF(AR$7="Actual","",IF(AR$408=0,0,INDEX($M418:$Q418,,MATCH(AR$4,$M$4:$Q$4,0))/INDEX($M$408:$Q$408,,MATCH(AR$4,$M$4:$Q$4,0))))</f>
        <v/>
      </c>
      <c r="AS418" s="265">
        <f>IF(AS$7="Actual","",IF(AS$408=0,0,INDEX($M418:$Q418,,MATCH(AS$4,$M$4:$Q$4,0))/INDEX($M$408:$Q$408,,MATCH(AS$4,$M$4:$Q$4,0))))</f>
        <v/>
      </c>
      <c r="AT418" s="265">
        <f>IF(AT$7="Actual","",IF(AT$408=0,0,INDEX($M418:$Q418,,MATCH(AT$4,$M$4:$Q$4,0))/INDEX($M$408:$Q$408,,MATCH(AT$4,$M$4:$Q$4,0))))</f>
        <v/>
      </c>
      <c r="AU418" s="265">
        <f>IF(AU$7="Actual","",IF(AU$408=0,0,INDEX($M418:$Q418,,MATCH(AU$4,$M$4:$Q$4,0))/INDEX($M$408:$Q$408,,MATCH(AU$4,$M$4:$Q$4,0))))</f>
        <v/>
      </c>
      <c r="AV418" s="265">
        <f>IF(AV$7="Actual","",IF(AV$408=0,0,INDEX($M418:$Q418,,MATCH(AV$4,$M$4:$Q$4,0))/INDEX($M$408:$Q$408,,MATCH(AV$4,$M$4:$Q$4,0))))</f>
        <v/>
      </c>
      <c r="AW418" s="265">
        <f>IF(AW$7="Actual","",IF(AW$408=0,0,INDEX($M418:$Q418,,MATCH(AW$4,$M$4:$Q$4,0))/INDEX($M$408:$Q$408,,MATCH(AW$4,$M$4:$Q$4,0))))</f>
        <v/>
      </c>
      <c r="AX418" s="265">
        <f>IF(AX$7="Actual","",IF(AX$408=0,0,INDEX($M418:$Q418,,MATCH(AX$4,$M$4:$Q$4,0))/INDEX($M$408:$Q$408,,MATCH(AX$4,$M$4:$Q$4,0))))</f>
        <v/>
      </c>
      <c r="AY418" s="265">
        <f>IF(AY$7="Actual","",IF(AY$408=0,0,INDEX($M418:$Q418,,MATCH(AY$4,$M$4:$Q$4,0))/INDEX($M$408:$Q$408,,MATCH(AY$4,$M$4:$Q$4,0))))</f>
        <v/>
      </c>
      <c r="AZ418" s="265">
        <f>IF(AZ$7="Actual","",IF(AZ$408=0,0,INDEX($M418:$Q418,,MATCH(AZ$4,$M$4:$Q$4,0))/INDEX($M$408:$Q$408,,MATCH(AZ$4,$M$4:$Q$4,0))))</f>
        <v/>
      </c>
      <c r="BA418" s="265">
        <f>IF(BA$7="Actual","",IF(BA$408=0,0,INDEX($M418:$Q418,,MATCH(BA$4,$M$4:$Q$4,0))/INDEX($M$408:$Q$408,,MATCH(BA$4,$M$4:$Q$4,0))))</f>
        <v/>
      </c>
      <c r="BB418" s="265">
        <f>IF(BB$7="Actual","",IF(BB$408=0,0,INDEX($M418:$Q418,,MATCH(BB$4,$M$4:$Q$4,0))/INDEX($M$408:$Q$408,,MATCH(BB$4,$M$4:$Q$4,0))))</f>
        <v/>
      </c>
      <c r="BC418" s="265">
        <f>IF(BC$7="Actual","",IF(BC$408=0,0,INDEX($M418:$Q418,,MATCH(BC$4,$M$4:$Q$4,0))/INDEX($M$408:$Q$408,,MATCH(BC$4,$M$4:$Q$4,0))))</f>
        <v/>
      </c>
      <c r="BD418" s="265">
        <f>IF(BD$7="Actual","",IF(BD$408=0,0,INDEX($M418:$Q418,,MATCH(BD$4,$M$4:$Q$4,0))/INDEX($M$408:$Q$408,,MATCH(BD$4,$M$4:$Q$4,0))))</f>
        <v/>
      </c>
      <c r="BE418" s="265">
        <f>IF(BE$7="Actual","",IF(BE$408=0,0,INDEX($M418:$Q418,,MATCH(BE$4,$M$4:$Q$4,0))/INDEX($M$408:$Q$408,,MATCH(BE$4,$M$4:$Q$4,0))))</f>
        <v/>
      </c>
      <c r="BF418" s="265">
        <f>IF(BF$7="Actual","",IF(BF$408=0,0,INDEX($M418:$Q418,,MATCH(BF$4,$M$4:$Q$4,0))/INDEX($M$408:$Q$408,,MATCH(BF$4,$M$4:$Q$4,0))))</f>
        <v/>
      </c>
      <c r="BG418" s="265">
        <f>IF(BG$7="Actual","",IF(BG$408=0,0,INDEX($M418:$Q418,,MATCH(BG$4,$M$4:$Q$4,0))/INDEX($M$408:$Q$408,,MATCH(BG$4,$M$4:$Q$4,0))))</f>
        <v/>
      </c>
      <c r="BH418" s="265">
        <f>IF(BH$7="Actual","",IF(BH$408=0,0,INDEX($M418:$Q418,,MATCH(BH$4,$M$4:$Q$4,0))/INDEX($M$408:$Q$408,,MATCH(BH$4,$M$4:$Q$4,0))))</f>
        <v/>
      </c>
      <c r="BI418" s="265">
        <f>IF(BI$7="Actual","",IF(BI$408=0,0,INDEX($M418:$Q418,,MATCH(BI$4,$M$4:$Q$4,0))/INDEX($M$408:$Q$408,,MATCH(BI$4,$M$4:$Q$4,0))))</f>
        <v/>
      </c>
      <c r="BJ418" s="265">
        <f>IF(BJ$7="Actual","",IF(BJ$408=0,0,INDEX($M418:$Q418,,MATCH(BJ$4,$M$4:$Q$4,0))/INDEX($M$408:$Q$408,,MATCH(BJ$4,$M$4:$Q$4,0))))</f>
        <v/>
      </c>
      <c r="BK418" s="265">
        <f>IF(BK$7="Actual","",IF(BK$408=0,0,INDEX($M418:$Q418,,MATCH(BK$4,$M$4:$Q$4,0))/INDEX($M$408:$Q$408,,MATCH(BK$4,$M$4:$Q$4,0))))</f>
        <v/>
      </c>
      <c r="BL418" s="265">
        <f>IF(BL$7="Actual","",IF(BL$408=0,0,INDEX($M418:$Q418,,MATCH(BL$4,$M$4:$Q$4,0))/INDEX($M$408:$Q$408,,MATCH(BL$4,$M$4:$Q$4,0))))</f>
        <v/>
      </c>
      <c r="BM418" s="265">
        <f>IF(BM$7="Actual","",IF(BM$408=0,0,INDEX($M418:$Q418,,MATCH(BM$4,$M$4:$Q$4,0))/INDEX($M$408:$Q$408,,MATCH(BM$4,$M$4:$Q$4,0))))</f>
        <v/>
      </c>
      <c r="BN418" s="265">
        <f>IF(BN$7="Actual","",IF(BN$408=0,0,INDEX($M418:$Q418,,MATCH(BN$4,$M$4:$Q$4,0))/INDEX($M$408:$Q$408,,MATCH(BN$4,$M$4:$Q$4,0))))</f>
        <v/>
      </c>
      <c r="BO418" s="265">
        <f>IF(BO$7="Actual","",IF(BO$408=0,0,INDEX($M418:$Q418,,MATCH(BO$4,$M$4:$Q$4,0))/INDEX($M$408:$Q$408,,MATCH(BO$4,$M$4:$Q$4,0))))</f>
        <v/>
      </c>
      <c r="BP418" s="265">
        <f>IF(BP$7="Actual","",IF(BP$408=0,0,INDEX($M418:$Q418,,MATCH(BP$4,$M$4:$Q$4,0))/INDEX($M$408:$Q$408,,MATCH(BP$4,$M$4:$Q$4,0))))</f>
        <v/>
      </c>
      <c r="BQ418" s="265">
        <f>IF(BQ$7="Actual","",IF(BQ$408=0,0,INDEX($M418:$Q418,,MATCH(BQ$4,$M$4:$Q$4,0))/INDEX($M$408:$Q$408,,MATCH(BQ$4,$M$4:$Q$4,0))))</f>
        <v/>
      </c>
      <c r="BR418" s="265">
        <f>IF(BR$7="Actual","",IF(BR$408=0,0,INDEX($M418:$Q418,,MATCH(BR$4,$M$4:$Q$4,0))/INDEX($M$408:$Q$408,,MATCH(BR$4,$M$4:$Q$4,0))))</f>
        <v/>
      </c>
      <c r="BS418" s="265">
        <f>IF(BS$7="Actual","",IF(BS$408=0,0,INDEX($M418:$Q418,,MATCH(BS$4,$M$4:$Q$4,0))/INDEX($M$408:$Q$408,,MATCH(BS$4,$M$4:$Q$4,0))))</f>
        <v/>
      </c>
      <c r="BT418" s="265">
        <f>IF(BT$7="Actual","",IF(BT$408=0,0,INDEX($M418:$Q418,,MATCH(BT$4,$M$4:$Q$4,0))/INDEX($M$408:$Q$408,,MATCH(BT$4,$M$4:$Q$4,0))))</f>
        <v/>
      </c>
      <c r="BU418" s="265">
        <f>IF(BU$7="Actual","",IF(BU$408=0,0,INDEX($M418:$Q418,,MATCH(BU$4,$M$4:$Q$4,0))/INDEX($M$408:$Q$408,,MATCH(BU$4,$M$4:$Q$4,0))))</f>
        <v/>
      </c>
      <c r="BV418" s="265">
        <f>IF(BV$7="Actual","",IF(BV$408=0,0,INDEX($M418:$Q418,,MATCH(BV$4,$M$4:$Q$4,0))/INDEX($M$408:$Q$408,,MATCH(BV$4,$M$4:$Q$4,0))))</f>
        <v/>
      </c>
      <c r="BW418" s="265">
        <f>IF(BW$7="Actual","",IF(BW$408=0,0,INDEX($M418:$Q418,,MATCH(BW$4,$M$4:$Q$4,0))/INDEX($M$408:$Q$408,,MATCH(BW$4,$M$4:$Q$4,0))))</f>
        <v/>
      </c>
      <c r="BX418" s="265">
        <f>IF(BX$7="Actual","",IF(BX$408=0,0,INDEX($M418:$Q418,,MATCH(BX$4,$M$4:$Q$4,0))/INDEX($M$408:$Q$408,,MATCH(BX$4,$M$4:$Q$4,0))))</f>
        <v/>
      </c>
      <c r="BY418" s="265">
        <f>IF(BY$7="Actual","",IF(BY$408=0,0,INDEX($M418:$Q418,,MATCH(BY$4,$M$4:$Q$4,0))/INDEX($M$408:$Q$408,,MATCH(BY$4,$M$4:$Q$4,0))))</f>
        <v/>
      </c>
      <c r="BZ418" s="265">
        <f>IF(BZ$7="Actual","",IF(BZ$408=0,0,INDEX($M418:$Q418,,MATCH(BZ$4,$M$4:$Q$4,0))/INDEX($M$408:$Q$408,,MATCH(BZ$4,$M$4:$Q$4,0))))</f>
        <v/>
      </c>
      <c r="CA418" s="265">
        <f>IF(CA$7="Actual","",IF(CA$408=0,0,INDEX($M418:$Q418,,MATCH(CA$4,$M$4:$Q$4,0))/INDEX($M$408:$Q$408,,MATCH(CA$4,$M$4:$Q$4,0))))</f>
        <v/>
      </c>
    </row>
    <row r="419" ht="12" customHeight="1" s="227">
      <c r="A419" s="244" t="n"/>
      <c r="B419" s="244" t="n"/>
      <c r="C419" s="244" t="n"/>
      <c r="H419" s="4">
        <f>H402</f>
        <v/>
      </c>
      <c r="I419" s="27" t="inlineStr">
        <is>
          <t>%</t>
        </is>
      </c>
      <c r="K419" s="6" t="n"/>
      <c r="M419" s="265">
        <f>IF(M$7="Actual","",i_Assumptions!M498)</f>
        <v/>
      </c>
      <c r="N419" s="265">
        <f>IF(N$7="Actual","",i_Assumptions!N498)</f>
        <v/>
      </c>
      <c r="O419" s="265">
        <f>IF(O$7="Actual","",i_Assumptions!O498)</f>
        <v/>
      </c>
      <c r="P419" s="265">
        <f>IF(P$7="Actual","",i_Assumptions!P498)</f>
        <v/>
      </c>
      <c r="Q419" s="265">
        <f>IF(Q$7="Actual","",i_Assumptions!Q498)</f>
        <v/>
      </c>
      <c r="T419" s="265">
        <f>IF(T$7="Actual","",IF(T$408=0,0,INDEX($M419:$Q419,,MATCH(T$4,$M$4:$Q$4,0))/INDEX($M$408:$Q$408,,MATCH(T$4,$M$4:$Q$4,0))))</f>
        <v/>
      </c>
      <c r="U419" s="265">
        <f>IF(U$7="Actual","",IF(U$408=0,0,INDEX($M419:$Q419,,MATCH(U$4,$M$4:$Q$4,0))/INDEX($M$408:$Q$408,,MATCH(U$4,$M$4:$Q$4,0))))</f>
        <v/>
      </c>
      <c r="V419" s="265">
        <f>IF(V$7="Actual","",IF(V$408=0,0,INDEX($M419:$Q419,,MATCH(V$4,$M$4:$Q$4,0))/INDEX($M$408:$Q$408,,MATCH(V$4,$M$4:$Q$4,0))))</f>
        <v/>
      </c>
      <c r="W419" s="265">
        <f>IF(W$7="Actual","",IF(W$408=0,0,INDEX($M419:$Q419,,MATCH(W$4,$M$4:$Q$4,0))/INDEX($M$408:$Q$408,,MATCH(W$4,$M$4:$Q$4,0))))</f>
        <v/>
      </c>
      <c r="X419" s="265">
        <f>IF(X$7="Actual","",IF(X$408=0,0,INDEX($M419:$Q419,,MATCH(X$4,$M$4:$Q$4,0))/INDEX($M$408:$Q$408,,MATCH(X$4,$M$4:$Q$4,0))))</f>
        <v/>
      </c>
      <c r="Y419" s="265">
        <f>IF(Y$7="Actual","",IF(Y$408=0,0,INDEX($M419:$Q419,,MATCH(Y$4,$M$4:$Q$4,0))/INDEX($M$408:$Q$408,,MATCH(Y$4,$M$4:$Q$4,0))))</f>
        <v/>
      </c>
      <c r="Z419" s="265">
        <f>IF(Z$7="Actual","",IF(Z$408=0,0,INDEX($M419:$Q419,,MATCH(Z$4,$M$4:$Q$4,0))/INDEX($M$408:$Q$408,,MATCH(Z$4,$M$4:$Q$4,0))))</f>
        <v/>
      </c>
      <c r="AA419" s="265">
        <f>IF(AA$7="Actual","",IF(AA$408=0,0,INDEX($M419:$Q419,,MATCH(AA$4,$M$4:$Q$4,0))/INDEX($M$408:$Q$408,,MATCH(AA$4,$M$4:$Q$4,0))))</f>
        <v/>
      </c>
      <c r="AB419" s="265">
        <f>IF(AB$7="Actual","",IF(AB$408=0,0,INDEX($M419:$Q419,,MATCH(AB$4,$M$4:$Q$4,0))/INDEX($M$408:$Q$408,,MATCH(AB$4,$M$4:$Q$4,0))))</f>
        <v/>
      </c>
      <c r="AC419" s="265">
        <f>IF(AC$7="Actual","",IF(AC$408=0,0,INDEX($M419:$Q419,,MATCH(AC$4,$M$4:$Q$4,0))/INDEX($M$408:$Q$408,,MATCH(AC$4,$M$4:$Q$4,0))))</f>
        <v/>
      </c>
      <c r="AD419" s="265">
        <f>IF(AD$7="Actual","",IF(AD$408=0,0,INDEX($M419:$Q419,,MATCH(AD$4,$M$4:$Q$4,0))/INDEX($M$408:$Q$408,,MATCH(AD$4,$M$4:$Q$4,0))))</f>
        <v/>
      </c>
      <c r="AE419" s="265">
        <f>IF(AE$7="Actual","",IF(AE$408=0,0,INDEX($M419:$Q419,,MATCH(AE$4,$M$4:$Q$4,0))/INDEX($M$408:$Q$408,,MATCH(AE$4,$M$4:$Q$4,0))))</f>
        <v/>
      </c>
      <c r="AF419" s="265">
        <f>IF(AF$7="Actual","",IF(AF$408=0,0,INDEX($M419:$Q419,,MATCH(AF$4,$M$4:$Q$4,0))/INDEX($M$408:$Q$408,,MATCH(AF$4,$M$4:$Q$4,0))))</f>
        <v/>
      </c>
      <c r="AG419" s="265">
        <f>IF(AG$7="Actual","",IF(AG$408=0,0,INDEX($M419:$Q419,,MATCH(AG$4,$M$4:$Q$4,0))/INDEX($M$408:$Q$408,,MATCH(AG$4,$M$4:$Q$4,0))))</f>
        <v/>
      </c>
      <c r="AH419" s="265">
        <f>IF(AH$7="Actual","",IF(AH$408=0,0,INDEX($M419:$Q419,,MATCH(AH$4,$M$4:$Q$4,0))/INDEX($M$408:$Q$408,,MATCH(AH$4,$M$4:$Q$4,0))))</f>
        <v/>
      </c>
      <c r="AI419" s="265">
        <f>IF(AI$7="Actual","",IF(AI$408=0,0,INDEX($M419:$Q419,,MATCH(AI$4,$M$4:$Q$4,0))/INDEX($M$408:$Q$408,,MATCH(AI$4,$M$4:$Q$4,0))))</f>
        <v/>
      </c>
      <c r="AJ419" s="265">
        <f>IF(AJ$7="Actual","",IF(AJ$408=0,0,INDEX($M419:$Q419,,MATCH(AJ$4,$M$4:$Q$4,0))/INDEX($M$408:$Q$408,,MATCH(AJ$4,$M$4:$Q$4,0))))</f>
        <v/>
      </c>
      <c r="AK419" s="265">
        <f>IF(AK$7="Actual","",IF(AK$408=0,0,INDEX($M419:$Q419,,MATCH(AK$4,$M$4:$Q$4,0))/INDEX($M$408:$Q$408,,MATCH(AK$4,$M$4:$Q$4,0))))</f>
        <v/>
      </c>
      <c r="AL419" s="265">
        <f>IF(AL$7="Actual","",IF(AL$408=0,0,INDEX($M419:$Q419,,MATCH(AL$4,$M$4:$Q$4,0))/INDEX($M$408:$Q$408,,MATCH(AL$4,$M$4:$Q$4,0))))</f>
        <v/>
      </c>
      <c r="AM419" s="265">
        <f>IF(AM$7="Actual","",IF(AM$408=0,0,INDEX($M419:$Q419,,MATCH(AM$4,$M$4:$Q$4,0))/INDEX($M$408:$Q$408,,MATCH(AM$4,$M$4:$Q$4,0))))</f>
        <v/>
      </c>
      <c r="AN419" s="265">
        <f>IF(AN$7="Actual","",IF(AN$408=0,0,INDEX($M419:$Q419,,MATCH(AN$4,$M$4:$Q$4,0))/INDEX($M$408:$Q$408,,MATCH(AN$4,$M$4:$Q$4,0))))</f>
        <v/>
      </c>
      <c r="AO419" s="265">
        <f>IF(AO$7="Actual","",IF(AO$408=0,0,INDEX($M419:$Q419,,MATCH(AO$4,$M$4:$Q$4,0))/INDEX($M$408:$Q$408,,MATCH(AO$4,$M$4:$Q$4,0))))</f>
        <v/>
      </c>
      <c r="AP419" s="265">
        <f>IF(AP$7="Actual","",IF(AP$408=0,0,INDEX($M419:$Q419,,MATCH(AP$4,$M$4:$Q$4,0))/INDEX($M$408:$Q$408,,MATCH(AP$4,$M$4:$Q$4,0))))</f>
        <v/>
      </c>
      <c r="AQ419" s="265">
        <f>IF(AQ$7="Actual","",IF(AQ$408=0,0,INDEX($M419:$Q419,,MATCH(AQ$4,$M$4:$Q$4,0))/INDEX($M$408:$Q$408,,MATCH(AQ$4,$M$4:$Q$4,0))))</f>
        <v/>
      </c>
      <c r="AR419" s="265">
        <f>IF(AR$7="Actual","",IF(AR$408=0,0,INDEX($M419:$Q419,,MATCH(AR$4,$M$4:$Q$4,0))/INDEX($M$408:$Q$408,,MATCH(AR$4,$M$4:$Q$4,0))))</f>
        <v/>
      </c>
      <c r="AS419" s="265">
        <f>IF(AS$7="Actual","",IF(AS$408=0,0,INDEX($M419:$Q419,,MATCH(AS$4,$M$4:$Q$4,0))/INDEX($M$408:$Q$408,,MATCH(AS$4,$M$4:$Q$4,0))))</f>
        <v/>
      </c>
      <c r="AT419" s="265">
        <f>IF(AT$7="Actual","",IF(AT$408=0,0,INDEX($M419:$Q419,,MATCH(AT$4,$M$4:$Q$4,0))/INDEX($M$408:$Q$408,,MATCH(AT$4,$M$4:$Q$4,0))))</f>
        <v/>
      </c>
      <c r="AU419" s="265">
        <f>IF(AU$7="Actual","",IF(AU$408=0,0,INDEX($M419:$Q419,,MATCH(AU$4,$M$4:$Q$4,0))/INDEX($M$408:$Q$408,,MATCH(AU$4,$M$4:$Q$4,0))))</f>
        <v/>
      </c>
      <c r="AV419" s="265">
        <f>IF(AV$7="Actual","",IF(AV$408=0,0,INDEX($M419:$Q419,,MATCH(AV$4,$M$4:$Q$4,0))/INDEX($M$408:$Q$408,,MATCH(AV$4,$M$4:$Q$4,0))))</f>
        <v/>
      </c>
      <c r="AW419" s="265">
        <f>IF(AW$7="Actual","",IF(AW$408=0,0,INDEX($M419:$Q419,,MATCH(AW$4,$M$4:$Q$4,0))/INDEX($M$408:$Q$408,,MATCH(AW$4,$M$4:$Q$4,0))))</f>
        <v/>
      </c>
      <c r="AX419" s="265">
        <f>IF(AX$7="Actual","",IF(AX$408=0,0,INDEX($M419:$Q419,,MATCH(AX$4,$M$4:$Q$4,0))/INDEX($M$408:$Q$408,,MATCH(AX$4,$M$4:$Q$4,0))))</f>
        <v/>
      </c>
      <c r="AY419" s="265">
        <f>IF(AY$7="Actual","",IF(AY$408=0,0,INDEX($M419:$Q419,,MATCH(AY$4,$M$4:$Q$4,0))/INDEX($M$408:$Q$408,,MATCH(AY$4,$M$4:$Q$4,0))))</f>
        <v/>
      </c>
      <c r="AZ419" s="265">
        <f>IF(AZ$7="Actual","",IF(AZ$408=0,0,INDEX($M419:$Q419,,MATCH(AZ$4,$M$4:$Q$4,0))/INDEX($M$408:$Q$408,,MATCH(AZ$4,$M$4:$Q$4,0))))</f>
        <v/>
      </c>
      <c r="BA419" s="265">
        <f>IF(BA$7="Actual","",IF(BA$408=0,0,INDEX($M419:$Q419,,MATCH(BA$4,$M$4:$Q$4,0))/INDEX($M$408:$Q$408,,MATCH(BA$4,$M$4:$Q$4,0))))</f>
        <v/>
      </c>
      <c r="BB419" s="265">
        <f>IF(BB$7="Actual","",IF(BB$408=0,0,INDEX($M419:$Q419,,MATCH(BB$4,$M$4:$Q$4,0))/INDEX($M$408:$Q$408,,MATCH(BB$4,$M$4:$Q$4,0))))</f>
        <v/>
      </c>
      <c r="BC419" s="265">
        <f>IF(BC$7="Actual","",IF(BC$408=0,0,INDEX($M419:$Q419,,MATCH(BC$4,$M$4:$Q$4,0))/INDEX($M$408:$Q$408,,MATCH(BC$4,$M$4:$Q$4,0))))</f>
        <v/>
      </c>
      <c r="BD419" s="265">
        <f>IF(BD$7="Actual","",IF(BD$408=0,0,INDEX($M419:$Q419,,MATCH(BD$4,$M$4:$Q$4,0))/INDEX($M$408:$Q$408,,MATCH(BD$4,$M$4:$Q$4,0))))</f>
        <v/>
      </c>
      <c r="BE419" s="265">
        <f>IF(BE$7="Actual","",IF(BE$408=0,0,INDEX($M419:$Q419,,MATCH(BE$4,$M$4:$Q$4,0))/INDEX($M$408:$Q$408,,MATCH(BE$4,$M$4:$Q$4,0))))</f>
        <v/>
      </c>
      <c r="BF419" s="265">
        <f>IF(BF$7="Actual","",IF(BF$408=0,0,INDEX($M419:$Q419,,MATCH(BF$4,$M$4:$Q$4,0))/INDEX($M$408:$Q$408,,MATCH(BF$4,$M$4:$Q$4,0))))</f>
        <v/>
      </c>
      <c r="BG419" s="265">
        <f>IF(BG$7="Actual","",IF(BG$408=0,0,INDEX($M419:$Q419,,MATCH(BG$4,$M$4:$Q$4,0))/INDEX($M$408:$Q$408,,MATCH(BG$4,$M$4:$Q$4,0))))</f>
        <v/>
      </c>
      <c r="BH419" s="265">
        <f>IF(BH$7="Actual","",IF(BH$408=0,0,INDEX($M419:$Q419,,MATCH(BH$4,$M$4:$Q$4,0))/INDEX($M$408:$Q$408,,MATCH(BH$4,$M$4:$Q$4,0))))</f>
        <v/>
      </c>
      <c r="BI419" s="265">
        <f>IF(BI$7="Actual","",IF(BI$408=0,0,INDEX($M419:$Q419,,MATCH(BI$4,$M$4:$Q$4,0))/INDEX($M$408:$Q$408,,MATCH(BI$4,$M$4:$Q$4,0))))</f>
        <v/>
      </c>
      <c r="BJ419" s="265">
        <f>IF(BJ$7="Actual","",IF(BJ$408=0,0,INDEX($M419:$Q419,,MATCH(BJ$4,$M$4:$Q$4,0))/INDEX($M$408:$Q$408,,MATCH(BJ$4,$M$4:$Q$4,0))))</f>
        <v/>
      </c>
      <c r="BK419" s="265">
        <f>IF(BK$7="Actual","",IF(BK$408=0,0,INDEX($M419:$Q419,,MATCH(BK$4,$M$4:$Q$4,0))/INDEX($M$408:$Q$408,,MATCH(BK$4,$M$4:$Q$4,0))))</f>
        <v/>
      </c>
      <c r="BL419" s="265">
        <f>IF(BL$7="Actual","",IF(BL$408=0,0,INDEX($M419:$Q419,,MATCH(BL$4,$M$4:$Q$4,0))/INDEX($M$408:$Q$408,,MATCH(BL$4,$M$4:$Q$4,0))))</f>
        <v/>
      </c>
      <c r="BM419" s="265">
        <f>IF(BM$7="Actual","",IF(BM$408=0,0,INDEX($M419:$Q419,,MATCH(BM$4,$M$4:$Q$4,0))/INDEX($M$408:$Q$408,,MATCH(BM$4,$M$4:$Q$4,0))))</f>
        <v/>
      </c>
      <c r="BN419" s="265">
        <f>IF(BN$7="Actual","",IF(BN$408=0,0,INDEX($M419:$Q419,,MATCH(BN$4,$M$4:$Q$4,0))/INDEX($M$408:$Q$408,,MATCH(BN$4,$M$4:$Q$4,0))))</f>
        <v/>
      </c>
      <c r="BO419" s="265">
        <f>IF(BO$7="Actual","",IF(BO$408=0,0,INDEX($M419:$Q419,,MATCH(BO$4,$M$4:$Q$4,0))/INDEX($M$408:$Q$408,,MATCH(BO$4,$M$4:$Q$4,0))))</f>
        <v/>
      </c>
      <c r="BP419" s="265">
        <f>IF(BP$7="Actual","",IF(BP$408=0,0,INDEX($M419:$Q419,,MATCH(BP$4,$M$4:$Q$4,0))/INDEX($M$408:$Q$408,,MATCH(BP$4,$M$4:$Q$4,0))))</f>
        <v/>
      </c>
      <c r="BQ419" s="265">
        <f>IF(BQ$7="Actual","",IF(BQ$408=0,0,INDEX($M419:$Q419,,MATCH(BQ$4,$M$4:$Q$4,0))/INDEX($M$408:$Q$408,,MATCH(BQ$4,$M$4:$Q$4,0))))</f>
        <v/>
      </c>
      <c r="BR419" s="265">
        <f>IF(BR$7="Actual","",IF(BR$408=0,0,INDEX($M419:$Q419,,MATCH(BR$4,$M$4:$Q$4,0))/INDEX($M$408:$Q$408,,MATCH(BR$4,$M$4:$Q$4,0))))</f>
        <v/>
      </c>
      <c r="BS419" s="265">
        <f>IF(BS$7="Actual","",IF(BS$408=0,0,INDEX($M419:$Q419,,MATCH(BS$4,$M$4:$Q$4,0))/INDEX($M$408:$Q$408,,MATCH(BS$4,$M$4:$Q$4,0))))</f>
        <v/>
      </c>
      <c r="BT419" s="265">
        <f>IF(BT$7="Actual","",IF(BT$408=0,0,INDEX($M419:$Q419,,MATCH(BT$4,$M$4:$Q$4,0))/INDEX($M$408:$Q$408,,MATCH(BT$4,$M$4:$Q$4,0))))</f>
        <v/>
      </c>
      <c r="BU419" s="265">
        <f>IF(BU$7="Actual","",IF(BU$408=0,0,INDEX($M419:$Q419,,MATCH(BU$4,$M$4:$Q$4,0))/INDEX($M$408:$Q$408,,MATCH(BU$4,$M$4:$Q$4,0))))</f>
        <v/>
      </c>
      <c r="BV419" s="265">
        <f>IF(BV$7="Actual","",IF(BV$408=0,0,INDEX($M419:$Q419,,MATCH(BV$4,$M$4:$Q$4,0))/INDEX($M$408:$Q$408,,MATCH(BV$4,$M$4:$Q$4,0))))</f>
        <v/>
      </c>
      <c r="BW419" s="265">
        <f>IF(BW$7="Actual","",IF(BW$408=0,0,INDEX($M419:$Q419,,MATCH(BW$4,$M$4:$Q$4,0))/INDEX($M$408:$Q$408,,MATCH(BW$4,$M$4:$Q$4,0))))</f>
        <v/>
      </c>
      <c r="BX419" s="265">
        <f>IF(BX$7="Actual","",IF(BX$408=0,0,INDEX($M419:$Q419,,MATCH(BX$4,$M$4:$Q$4,0))/INDEX($M$408:$Q$408,,MATCH(BX$4,$M$4:$Q$4,0))))</f>
        <v/>
      </c>
      <c r="BY419" s="265">
        <f>IF(BY$7="Actual","",IF(BY$408=0,0,INDEX($M419:$Q419,,MATCH(BY$4,$M$4:$Q$4,0))/INDEX($M$408:$Q$408,,MATCH(BY$4,$M$4:$Q$4,0))))</f>
        <v/>
      </c>
      <c r="BZ419" s="265">
        <f>IF(BZ$7="Actual","",IF(BZ$408=0,0,INDEX($M419:$Q419,,MATCH(BZ$4,$M$4:$Q$4,0))/INDEX($M$408:$Q$408,,MATCH(BZ$4,$M$4:$Q$4,0))))</f>
        <v/>
      </c>
      <c r="CA419" s="265">
        <f>IF(CA$7="Actual","",IF(CA$408=0,0,INDEX($M419:$Q419,,MATCH(CA$4,$M$4:$Q$4,0))/INDEX($M$408:$Q$408,,MATCH(CA$4,$M$4:$Q$4,0))))</f>
        <v/>
      </c>
    </row>
    <row r="420" ht="12" customHeight="1" s="227">
      <c r="A420" s="244" t="n"/>
      <c r="B420" s="244" t="n"/>
      <c r="C420" s="244" t="n"/>
      <c r="H420" s="4">
        <f>H403</f>
        <v/>
      </c>
      <c r="I420" s="27" t="inlineStr">
        <is>
          <t>%</t>
        </is>
      </c>
      <c r="K420" s="6" t="n"/>
      <c r="M420" s="265">
        <f>IF(M$7="Actual","",i_Assumptions!M499)</f>
        <v/>
      </c>
      <c r="N420" s="265">
        <f>IF(N$7="Actual","",i_Assumptions!N499)</f>
        <v/>
      </c>
      <c r="O420" s="265">
        <f>IF(O$7="Actual","",i_Assumptions!O499)</f>
        <v/>
      </c>
      <c r="P420" s="265">
        <f>IF(P$7="Actual","",i_Assumptions!P499)</f>
        <v/>
      </c>
      <c r="Q420" s="265">
        <f>IF(Q$7="Actual","",i_Assumptions!Q499)</f>
        <v/>
      </c>
      <c r="T420" s="265">
        <f>IF(T$7="Actual","",IF(T$408=0,0,INDEX($M420:$Q420,,MATCH(T$4,$M$4:$Q$4,0))/INDEX($M$408:$Q$408,,MATCH(T$4,$M$4:$Q$4,0))))</f>
        <v/>
      </c>
      <c r="U420" s="265">
        <f>IF(U$7="Actual","",IF(U$408=0,0,INDEX($M420:$Q420,,MATCH(U$4,$M$4:$Q$4,0))/INDEX($M$408:$Q$408,,MATCH(U$4,$M$4:$Q$4,0))))</f>
        <v/>
      </c>
      <c r="V420" s="265">
        <f>IF(V$7="Actual","",IF(V$408=0,0,INDEX($M420:$Q420,,MATCH(V$4,$M$4:$Q$4,0))/INDEX($M$408:$Q$408,,MATCH(V$4,$M$4:$Q$4,0))))</f>
        <v/>
      </c>
      <c r="W420" s="265">
        <f>IF(W$7="Actual","",IF(W$408=0,0,INDEX($M420:$Q420,,MATCH(W$4,$M$4:$Q$4,0))/INDEX($M$408:$Q$408,,MATCH(W$4,$M$4:$Q$4,0))))</f>
        <v/>
      </c>
      <c r="X420" s="265">
        <f>IF(X$7="Actual","",IF(X$408=0,0,INDEX($M420:$Q420,,MATCH(X$4,$M$4:$Q$4,0))/INDEX($M$408:$Q$408,,MATCH(X$4,$M$4:$Q$4,0))))</f>
        <v/>
      </c>
      <c r="Y420" s="265">
        <f>IF(Y$7="Actual","",IF(Y$408=0,0,INDEX($M420:$Q420,,MATCH(Y$4,$M$4:$Q$4,0))/INDEX($M$408:$Q$408,,MATCH(Y$4,$M$4:$Q$4,0))))</f>
        <v/>
      </c>
      <c r="Z420" s="265">
        <f>IF(Z$7="Actual","",IF(Z$408=0,0,INDEX($M420:$Q420,,MATCH(Z$4,$M$4:$Q$4,0))/INDEX($M$408:$Q$408,,MATCH(Z$4,$M$4:$Q$4,0))))</f>
        <v/>
      </c>
      <c r="AA420" s="265">
        <f>IF(AA$7="Actual","",IF(AA$408=0,0,INDEX($M420:$Q420,,MATCH(AA$4,$M$4:$Q$4,0))/INDEX($M$408:$Q$408,,MATCH(AA$4,$M$4:$Q$4,0))))</f>
        <v/>
      </c>
      <c r="AB420" s="265">
        <f>IF(AB$7="Actual","",IF(AB$408=0,0,INDEX($M420:$Q420,,MATCH(AB$4,$M$4:$Q$4,0))/INDEX($M$408:$Q$408,,MATCH(AB$4,$M$4:$Q$4,0))))</f>
        <v/>
      </c>
      <c r="AC420" s="265">
        <f>IF(AC$7="Actual","",IF(AC$408=0,0,INDEX($M420:$Q420,,MATCH(AC$4,$M$4:$Q$4,0))/INDEX($M$408:$Q$408,,MATCH(AC$4,$M$4:$Q$4,0))))</f>
        <v/>
      </c>
      <c r="AD420" s="265">
        <f>IF(AD$7="Actual","",IF(AD$408=0,0,INDEX($M420:$Q420,,MATCH(AD$4,$M$4:$Q$4,0))/INDEX($M$408:$Q$408,,MATCH(AD$4,$M$4:$Q$4,0))))</f>
        <v/>
      </c>
      <c r="AE420" s="265">
        <f>IF(AE$7="Actual","",IF(AE$408=0,0,INDEX($M420:$Q420,,MATCH(AE$4,$M$4:$Q$4,0))/INDEX($M$408:$Q$408,,MATCH(AE$4,$M$4:$Q$4,0))))</f>
        <v/>
      </c>
      <c r="AF420" s="265">
        <f>IF(AF$7="Actual","",IF(AF$408=0,0,INDEX($M420:$Q420,,MATCH(AF$4,$M$4:$Q$4,0))/INDEX($M$408:$Q$408,,MATCH(AF$4,$M$4:$Q$4,0))))</f>
        <v/>
      </c>
      <c r="AG420" s="265">
        <f>IF(AG$7="Actual","",IF(AG$408=0,0,INDEX($M420:$Q420,,MATCH(AG$4,$M$4:$Q$4,0))/INDEX($M$408:$Q$408,,MATCH(AG$4,$M$4:$Q$4,0))))</f>
        <v/>
      </c>
      <c r="AH420" s="265">
        <f>IF(AH$7="Actual","",IF(AH$408=0,0,INDEX($M420:$Q420,,MATCH(AH$4,$M$4:$Q$4,0))/INDEX($M$408:$Q$408,,MATCH(AH$4,$M$4:$Q$4,0))))</f>
        <v/>
      </c>
      <c r="AI420" s="265">
        <f>IF(AI$7="Actual","",IF(AI$408=0,0,INDEX($M420:$Q420,,MATCH(AI$4,$M$4:$Q$4,0))/INDEX($M$408:$Q$408,,MATCH(AI$4,$M$4:$Q$4,0))))</f>
        <v/>
      </c>
      <c r="AJ420" s="265">
        <f>IF(AJ$7="Actual","",IF(AJ$408=0,0,INDEX($M420:$Q420,,MATCH(AJ$4,$M$4:$Q$4,0))/INDEX($M$408:$Q$408,,MATCH(AJ$4,$M$4:$Q$4,0))))</f>
        <v/>
      </c>
      <c r="AK420" s="265">
        <f>IF(AK$7="Actual","",IF(AK$408=0,0,INDEX($M420:$Q420,,MATCH(AK$4,$M$4:$Q$4,0))/INDEX($M$408:$Q$408,,MATCH(AK$4,$M$4:$Q$4,0))))</f>
        <v/>
      </c>
      <c r="AL420" s="265">
        <f>IF(AL$7="Actual","",IF(AL$408=0,0,INDEX($M420:$Q420,,MATCH(AL$4,$M$4:$Q$4,0))/INDEX($M$408:$Q$408,,MATCH(AL$4,$M$4:$Q$4,0))))</f>
        <v/>
      </c>
      <c r="AM420" s="265">
        <f>IF(AM$7="Actual","",IF(AM$408=0,0,INDEX($M420:$Q420,,MATCH(AM$4,$M$4:$Q$4,0))/INDEX($M$408:$Q$408,,MATCH(AM$4,$M$4:$Q$4,0))))</f>
        <v/>
      </c>
      <c r="AN420" s="265">
        <f>IF(AN$7="Actual","",IF(AN$408=0,0,INDEX($M420:$Q420,,MATCH(AN$4,$M$4:$Q$4,0))/INDEX($M$408:$Q$408,,MATCH(AN$4,$M$4:$Q$4,0))))</f>
        <v/>
      </c>
      <c r="AO420" s="265">
        <f>IF(AO$7="Actual","",IF(AO$408=0,0,INDEX($M420:$Q420,,MATCH(AO$4,$M$4:$Q$4,0))/INDEX($M$408:$Q$408,,MATCH(AO$4,$M$4:$Q$4,0))))</f>
        <v/>
      </c>
      <c r="AP420" s="265">
        <f>IF(AP$7="Actual","",IF(AP$408=0,0,INDEX($M420:$Q420,,MATCH(AP$4,$M$4:$Q$4,0))/INDEX($M$408:$Q$408,,MATCH(AP$4,$M$4:$Q$4,0))))</f>
        <v/>
      </c>
      <c r="AQ420" s="265">
        <f>IF(AQ$7="Actual","",IF(AQ$408=0,0,INDEX($M420:$Q420,,MATCH(AQ$4,$M$4:$Q$4,0))/INDEX($M$408:$Q$408,,MATCH(AQ$4,$M$4:$Q$4,0))))</f>
        <v/>
      </c>
      <c r="AR420" s="265">
        <f>IF(AR$7="Actual","",IF(AR$408=0,0,INDEX($M420:$Q420,,MATCH(AR$4,$M$4:$Q$4,0))/INDEX($M$408:$Q$408,,MATCH(AR$4,$M$4:$Q$4,0))))</f>
        <v/>
      </c>
      <c r="AS420" s="265">
        <f>IF(AS$7="Actual","",IF(AS$408=0,0,INDEX($M420:$Q420,,MATCH(AS$4,$M$4:$Q$4,0))/INDEX($M$408:$Q$408,,MATCH(AS$4,$M$4:$Q$4,0))))</f>
        <v/>
      </c>
      <c r="AT420" s="265">
        <f>IF(AT$7="Actual","",IF(AT$408=0,0,INDEX($M420:$Q420,,MATCH(AT$4,$M$4:$Q$4,0))/INDEX($M$408:$Q$408,,MATCH(AT$4,$M$4:$Q$4,0))))</f>
        <v/>
      </c>
      <c r="AU420" s="265">
        <f>IF(AU$7="Actual","",IF(AU$408=0,0,INDEX($M420:$Q420,,MATCH(AU$4,$M$4:$Q$4,0))/INDEX($M$408:$Q$408,,MATCH(AU$4,$M$4:$Q$4,0))))</f>
        <v/>
      </c>
      <c r="AV420" s="265">
        <f>IF(AV$7="Actual","",IF(AV$408=0,0,INDEX($M420:$Q420,,MATCH(AV$4,$M$4:$Q$4,0))/INDEX($M$408:$Q$408,,MATCH(AV$4,$M$4:$Q$4,0))))</f>
        <v/>
      </c>
      <c r="AW420" s="265">
        <f>IF(AW$7="Actual","",IF(AW$408=0,0,INDEX($M420:$Q420,,MATCH(AW$4,$M$4:$Q$4,0))/INDEX($M$408:$Q$408,,MATCH(AW$4,$M$4:$Q$4,0))))</f>
        <v/>
      </c>
      <c r="AX420" s="265">
        <f>IF(AX$7="Actual","",IF(AX$408=0,0,INDEX($M420:$Q420,,MATCH(AX$4,$M$4:$Q$4,0))/INDEX($M$408:$Q$408,,MATCH(AX$4,$M$4:$Q$4,0))))</f>
        <v/>
      </c>
      <c r="AY420" s="265">
        <f>IF(AY$7="Actual","",IF(AY$408=0,0,INDEX($M420:$Q420,,MATCH(AY$4,$M$4:$Q$4,0))/INDEX($M$408:$Q$408,,MATCH(AY$4,$M$4:$Q$4,0))))</f>
        <v/>
      </c>
      <c r="AZ420" s="265">
        <f>IF(AZ$7="Actual","",IF(AZ$408=0,0,INDEX($M420:$Q420,,MATCH(AZ$4,$M$4:$Q$4,0))/INDEX($M$408:$Q$408,,MATCH(AZ$4,$M$4:$Q$4,0))))</f>
        <v/>
      </c>
      <c r="BA420" s="265">
        <f>IF(BA$7="Actual","",IF(BA$408=0,0,INDEX($M420:$Q420,,MATCH(BA$4,$M$4:$Q$4,0))/INDEX($M$408:$Q$408,,MATCH(BA$4,$M$4:$Q$4,0))))</f>
        <v/>
      </c>
      <c r="BB420" s="265">
        <f>IF(BB$7="Actual","",IF(BB$408=0,0,INDEX($M420:$Q420,,MATCH(BB$4,$M$4:$Q$4,0))/INDEX($M$408:$Q$408,,MATCH(BB$4,$M$4:$Q$4,0))))</f>
        <v/>
      </c>
      <c r="BC420" s="265">
        <f>IF(BC$7="Actual","",IF(BC$408=0,0,INDEX($M420:$Q420,,MATCH(BC$4,$M$4:$Q$4,0))/INDEX($M$408:$Q$408,,MATCH(BC$4,$M$4:$Q$4,0))))</f>
        <v/>
      </c>
      <c r="BD420" s="265">
        <f>IF(BD$7="Actual","",IF(BD$408=0,0,INDEX($M420:$Q420,,MATCH(BD$4,$M$4:$Q$4,0))/INDEX($M$408:$Q$408,,MATCH(BD$4,$M$4:$Q$4,0))))</f>
        <v/>
      </c>
      <c r="BE420" s="265">
        <f>IF(BE$7="Actual","",IF(BE$408=0,0,INDEX($M420:$Q420,,MATCH(BE$4,$M$4:$Q$4,0))/INDEX($M$408:$Q$408,,MATCH(BE$4,$M$4:$Q$4,0))))</f>
        <v/>
      </c>
      <c r="BF420" s="265">
        <f>IF(BF$7="Actual","",IF(BF$408=0,0,INDEX($M420:$Q420,,MATCH(BF$4,$M$4:$Q$4,0))/INDEX($M$408:$Q$408,,MATCH(BF$4,$M$4:$Q$4,0))))</f>
        <v/>
      </c>
      <c r="BG420" s="265">
        <f>IF(BG$7="Actual","",IF(BG$408=0,0,INDEX($M420:$Q420,,MATCH(BG$4,$M$4:$Q$4,0))/INDEX($M$408:$Q$408,,MATCH(BG$4,$M$4:$Q$4,0))))</f>
        <v/>
      </c>
      <c r="BH420" s="265">
        <f>IF(BH$7="Actual","",IF(BH$408=0,0,INDEX($M420:$Q420,,MATCH(BH$4,$M$4:$Q$4,0))/INDEX($M$408:$Q$408,,MATCH(BH$4,$M$4:$Q$4,0))))</f>
        <v/>
      </c>
      <c r="BI420" s="265">
        <f>IF(BI$7="Actual","",IF(BI$408=0,0,INDEX($M420:$Q420,,MATCH(BI$4,$M$4:$Q$4,0))/INDEX($M$408:$Q$408,,MATCH(BI$4,$M$4:$Q$4,0))))</f>
        <v/>
      </c>
      <c r="BJ420" s="265">
        <f>IF(BJ$7="Actual","",IF(BJ$408=0,0,INDEX($M420:$Q420,,MATCH(BJ$4,$M$4:$Q$4,0))/INDEX($M$408:$Q$408,,MATCH(BJ$4,$M$4:$Q$4,0))))</f>
        <v/>
      </c>
      <c r="BK420" s="265">
        <f>IF(BK$7="Actual","",IF(BK$408=0,0,INDEX($M420:$Q420,,MATCH(BK$4,$M$4:$Q$4,0))/INDEX($M$408:$Q$408,,MATCH(BK$4,$M$4:$Q$4,0))))</f>
        <v/>
      </c>
      <c r="BL420" s="265">
        <f>IF(BL$7="Actual","",IF(BL$408=0,0,INDEX($M420:$Q420,,MATCH(BL$4,$M$4:$Q$4,0))/INDEX($M$408:$Q$408,,MATCH(BL$4,$M$4:$Q$4,0))))</f>
        <v/>
      </c>
      <c r="BM420" s="265">
        <f>IF(BM$7="Actual","",IF(BM$408=0,0,INDEX($M420:$Q420,,MATCH(BM$4,$M$4:$Q$4,0))/INDEX($M$408:$Q$408,,MATCH(BM$4,$M$4:$Q$4,0))))</f>
        <v/>
      </c>
      <c r="BN420" s="265">
        <f>IF(BN$7="Actual","",IF(BN$408=0,0,INDEX($M420:$Q420,,MATCH(BN$4,$M$4:$Q$4,0))/INDEX($M$408:$Q$408,,MATCH(BN$4,$M$4:$Q$4,0))))</f>
        <v/>
      </c>
      <c r="BO420" s="265">
        <f>IF(BO$7="Actual","",IF(BO$408=0,0,INDEX($M420:$Q420,,MATCH(BO$4,$M$4:$Q$4,0))/INDEX($M$408:$Q$408,,MATCH(BO$4,$M$4:$Q$4,0))))</f>
        <v/>
      </c>
      <c r="BP420" s="265">
        <f>IF(BP$7="Actual","",IF(BP$408=0,0,INDEX($M420:$Q420,,MATCH(BP$4,$M$4:$Q$4,0))/INDEX($M$408:$Q$408,,MATCH(BP$4,$M$4:$Q$4,0))))</f>
        <v/>
      </c>
      <c r="BQ420" s="265">
        <f>IF(BQ$7="Actual","",IF(BQ$408=0,0,INDEX($M420:$Q420,,MATCH(BQ$4,$M$4:$Q$4,0))/INDEX($M$408:$Q$408,,MATCH(BQ$4,$M$4:$Q$4,0))))</f>
        <v/>
      </c>
      <c r="BR420" s="265">
        <f>IF(BR$7="Actual","",IF(BR$408=0,0,INDEX($M420:$Q420,,MATCH(BR$4,$M$4:$Q$4,0))/INDEX($M$408:$Q$408,,MATCH(BR$4,$M$4:$Q$4,0))))</f>
        <v/>
      </c>
      <c r="BS420" s="265">
        <f>IF(BS$7="Actual","",IF(BS$408=0,0,INDEX($M420:$Q420,,MATCH(BS$4,$M$4:$Q$4,0))/INDEX($M$408:$Q$408,,MATCH(BS$4,$M$4:$Q$4,0))))</f>
        <v/>
      </c>
      <c r="BT420" s="265">
        <f>IF(BT$7="Actual","",IF(BT$408=0,0,INDEX($M420:$Q420,,MATCH(BT$4,$M$4:$Q$4,0))/INDEX($M$408:$Q$408,,MATCH(BT$4,$M$4:$Q$4,0))))</f>
        <v/>
      </c>
      <c r="BU420" s="265">
        <f>IF(BU$7="Actual","",IF(BU$408=0,0,INDEX($M420:$Q420,,MATCH(BU$4,$M$4:$Q$4,0))/INDEX($M$408:$Q$408,,MATCH(BU$4,$M$4:$Q$4,0))))</f>
        <v/>
      </c>
      <c r="BV420" s="265">
        <f>IF(BV$7="Actual","",IF(BV$408=0,0,INDEX($M420:$Q420,,MATCH(BV$4,$M$4:$Q$4,0))/INDEX($M$408:$Q$408,,MATCH(BV$4,$M$4:$Q$4,0))))</f>
        <v/>
      </c>
      <c r="BW420" s="265">
        <f>IF(BW$7="Actual","",IF(BW$408=0,0,INDEX($M420:$Q420,,MATCH(BW$4,$M$4:$Q$4,0))/INDEX($M$408:$Q$408,,MATCH(BW$4,$M$4:$Q$4,0))))</f>
        <v/>
      </c>
      <c r="BX420" s="265">
        <f>IF(BX$7="Actual","",IF(BX$408=0,0,INDEX($M420:$Q420,,MATCH(BX$4,$M$4:$Q$4,0))/INDEX($M$408:$Q$408,,MATCH(BX$4,$M$4:$Q$4,0))))</f>
        <v/>
      </c>
      <c r="BY420" s="265">
        <f>IF(BY$7="Actual","",IF(BY$408=0,0,INDEX($M420:$Q420,,MATCH(BY$4,$M$4:$Q$4,0))/INDEX($M$408:$Q$408,,MATCH(BY$4,$M$4:$Q$4,0))))</f>
        <v/>
      </c>
      <c r="BZ420" s="265">
        <f>IF(BZ$7="Actual","",IF(BZ$408=0,0,INDEX($M420:$Q420,,MATCH(BZ$4,$M$4:$Q$4,0))/INDEX($M$408:$Q$408,,MATCH(BZ$4,$M$4:$Q$4,0))))</f>
        <v/>
      </c>
      <c r="CA420" s="265">
        <f>IF(CA$7="Actual","",IF(CA$408=0,0,INDEX($M420:$Q420,,MATCH(CA$4,$M$4:$Q$4,0))/INDEX($M$408:$Q$408,,MATCH(CA$4,$M$4:$Q$4,0))))</f>
        <v/>
      </c>
    </row>
    <row r="421" ht="12" customHeight="1" s="227">
      <c r="A421" s="244" t="n"/>
      <c r="B421" s="244" t="n"/>
      <c r="C421" s="244" t="n"/>
      <c r="K421" s="6" t="n"/>
    </row>
    <row r="422" ht="12" customHeight="1" s="227">
      <c r="A422" s="244" t="n"/>
      <c r="B422" s="244" t="n"/>
      <c r="C422" s="244" t="n"/>
      <c r="K422" s="6" t="n"/>
    </row>
    <row r="423" ht="12" customHeight="1" s="227">
      <c r="A423" s="244" t="n"/>
      <c r="B423" s="244" t="n"/>
      <c r="C423" s="244" t="n"/>
      <c r="G423" s="222" t="inlineStr">
        <is>
          <t>Total Direct Staff Costs</t>
        </is>
      </c>
      <c r="K423" s="6" t="n"/>
    </row>
    <row r="424" ht="12" customHeight="1" s="227">
      <c r="A424" s="244" t="n"/>
      <c r="B424" s="244" t="n"/>
      <c r="C424" s="244" t="n"/>
      <c r="K424" s="6" t="n"/>
    </row>
    <row r="425" ht="12" customHeight="1" s="227">
      <c r="A425" s="244" t="n"/>
      <c r="B425" s="244" t="n"/>
      <c r="C425" s="244" t="n"/>
      <c r="H425" s="0">
        <f>H384</f>
        <v/>
      </c>
      <c r="I425" s="27">
        <f>i_Setup!$M$16</f>
        <v/>
      </c>
      <c r="K425" s="6" t="n"/>
      <c r="M425" s="245">
        <f>SUMIF($T$4:$CA$4,M$4,$T425:$CA425)</f>
        <v/>
      </c>
      <c r="N425" s="245">
        <f>SUMIF($T$4:$CA$4,N$4,$T425:$CA425)</f>
        <v/>
      </c>
      <c r="O425" s="245">
        <f>SUMIF($T$4:$CA$4,O$4,$T425:$CA425)</f>
        <v/>
      </c>
      <c r="P425" s="245">
        <f>SUMIF($T$4:$CA$4,P$4,$T425:$CA425)</f>
        <v/>
      </c>
      <c r="Q425" s="245">
        <f>SUMIF($T$4:$CA$4,Q$4,$T425:$CA425)</f>
        <v/>
      </c>
      <c r="T425" s="245">
        <f>IF(T$7="Actual","",(T371*T384)+((T371*T384)*$K396)+(INDEX($M384:$Q384,,MATCH(T$4,$M$4:$Q$4,0))*T413)*T371)</f>
        <v/>
      </c>
      <c r="U425" s="245">
        <f>IF(U$7="Actual","",(U371*U384)+((U371*U384)*$K396)+(INDEX($M384:$Q384,,MATCH(U$4,$M$4:$Q$4,0))*U413)*U371)</f>
        <v/>
      </c>
      <c r="V425" s="245">
        <f>IF(V$7="Actual","",(V371*V384)+((V371*V384)*$K396)+(INDEX($M384:$Q384,,MATCH(V$4,$M$4:$Q$4,0))*V413)*V371)</f>
        <v/>
      </c>
      <c r="W425" s="245">
        <f>IF(W$7="Actual","",(W371*W384)+((W371*W384)*$K396)+(INDEX($M384:$Q384,,MATCH(W$4,$M$4:$Q$4,0))*W413)*W371)</f>
        <v/>
      </c>
      <c r="X425" s="245">
        <f>IF(X$7="Actual","",(X371*X384)+((X371*X384)*$K396)+(INDEX($M384:$Q384,,MATCH(X$4,$M$4:$Q$4,0))*X413)*X371)</f>
        <v/>
      </c>
      <c r="Y425" s="245">
        <f>IF(Y$7="Actual","",(Y371*Y384)+((Y371*Y384)*$K396)+(INDEX($M384:$Q384,,MATCH(Y$4,$M$4:$Q$4,0))*Y413)*Y371)</f>
        <v/>
      </c>
      <c r="Z425" s="245">
        <f>IF(Z$7="Actual","",(Z371*Z384)+((Z371*Z384)*$K396)+(INDEX($M384:$Q384,,MATCH(Z$4,$M$4:$Q$4,0))*Z413)*Z371)</f>
        <v/>
      </c>
      <c r="AA425" s="245">
        <f>IF(AA$7="Actual","",(AA371*AA384)+((AA371*AA384)*$K396)+(INDEX($M384:$Q384,,MATCH(AA$4,$M$4:$Q$4,0))*AA413)*AA371)</f>
        <v/>
      </c>
      <c r="AB425" s="245">
        <f>IF(AB$7="Actual","",(AB371*AB384)+((AB371*AB384)*$K396)+(INDEX($M384:$Q384,,MATCH(AB$4,$M$4:$Q$4,0))*AB413)*AB371)</f>
        <v/>
      </c>
      <c r="AC425" s="245">
        <f>IF(AC$7="Actual","",(AC371*AC384)+((AC371*AC384)*$K396)+(INDEX($M384:$Q384,,MATCH(AC$4,$M$4:$Q$4,0))*AC413)*AC371)</f>
        <v/>
      </c>
      <c r="AD425" s="245">
        <f>IF(AD$7="Actual","",(AD371*AD384)+((AD371*AD384)*$K396)+(INDEX($M384:$Q384,,MATCH(AD$4,$M$4:$Q$4,0))*AD413)*AD371)</f>
        <v/>
      </c>
      <c r="AE425" s="245">
        <f>IF(AE$7="Actual","",(AE371*AE384)+((AE371*AE384)*$K396)+(INDEX($M384:$Q384,,MATCH(AE$4,$M$4:$Q$4,0))*AE413)*AE371)</f>
        <v/>
      </c>
      <c r="AF425" s="245">
        <f>IF(AF$7="Actual","",(AF371*AF384)+((AF371*AF384)*$K396)+(INDEX($M384:$Q384,,MATCH(AF$4,$M$4:$Q$4,0))*AF413)*AF371)</f>
        <v/>
      </c>
      <c r="AG425" s="245">
        <f>IF(AG$7="Actual","",(AG371*AG384)+((AG371*AG384)*$K396)+(INDEX($M384:$Q384,,MATCH(AG$4,$M$4:$Q$4,0))*AG413)*AG371)</f>
        <v/>
      </c>
      <c r="AH425" s="245">
        <f>IF(AH$7="Actual","",(AH371*AH384)+((AH371*AH384)*$K396)+(INDEX($M384:$Q384,,MATCH(AH$4,$M$4:$Q$4,0))*AH413)*AH371)</f>
        <v/>
      </c>
      <c r="AI425" s="245">
        <f>IF(AI$7="Actual","",(AI371*AI384)+((AI371*AI384)*$K396)+(INDEX($M384:$Q384,,MATCH(AI$4,$M$4:$Q$4,0))*AI413)*AI371)</f>
        <v/>
      </c>
      <c r="AJ425" s="245">
        <f>IF(AJ$7="Actual","",(AJ371*AJ384)+((AJ371*AJ384)*$K396)+(INDEX($M384:$Q384,,MATCH(AJ$4,$M$4:$Q$4,0))*AJ413)*AJ371)</f>
        <v/>
      </c>
      <c r="AK425" s="245">
        <f>IF(AK$7="Actual","",(AK371*AK384)+((AK371*AK384)*$K396)+(INDEX($M384:$Q384,,MATCH(AK$4,$M$4:$Q$4,0))*AK413)*AK371)</f>
        <v/>
      </c>
      <c r="AL425" s="245">
        <f>IF(AL$7="Actual","",(AL371*AL384)+((AL371*AL384)*$K396)+(INDEX($M384:$Q384,,MATCH(AL$4,$M$4:$Q$4,0))*AL413)*AL371)</f>
        <v/>
      </c>
      <c r="AM425" s="245">
        <f>IF(AM$7="Actual","",(AM371*AM384)+((AM371*AM384)*$K396)+(INDEX($M384:$Q384,,MATCH(AM$4,$M$4:$Q$4,0))*AM413)*AM371)</f>
        <v/>
      </c>
      <c r="AN425" s="245">
        <f>IF(AN$7="Actual","",(AN371*AN384)+((AN371*AN384)*$K396)+(INDEX($M384:$Q384,,MATCH(AN$4,$M$4:$Q$4,0))*AN413)*AN371)</f>
        <v/>
      </c>
      <c r="AO425" s="245">
        <f>IF(AO$7="Actual","",(AO371*AO384)+((AO371*AO384)*$K396)+(INDEX($M384:$Q384,,MATCH(AO$4,$M$4:$Q$4,0))*AO413)*AO371)</f>
        <v/>
      </c>
      <c r="AP425" s="245">
        <f>IF(AP$7="Actual","",(AP371*AP384)+((AP371*AP384)*$K396)+(INDEX($M384:$Q384,,MATCH(AP$4,$M$4:$Q$4,0))*AP413)*AP371)</f>
        <v/>
      </c>
      <c r="AQ425" s="245">
        <f>IF(AQ$7="Actual","",(AQ371*AQ384)+((AQ371*AQ384)*$K396)+(INDEX($M384:$Q384,,MATCH(AQ$4,$M$4:$Q$4,0))*AQ413)*AQ371)</f>
        <v/>
      </c>
      <c r="AR425" s="245">
        <f>IF(AR$7="Actual","",(AR371*AR384)+((AR371*AR384)*$K396)+(INDEX($M384:$Q384,,MATCH(AR$4,$M$4:$Q$4,0))*AR413)*AR371)</f>
        <v/>
      </c>
      <c r="AS425" s="245">
        <f>IF(AS$7="Actual","",(AS371*AS384)+((AS371*AS384)*$K396)+(INDEX($M384:$Q384,,MATCH(AS$4,$M$4:$Q$4,0))*AS413)*AS371)</f>
        <v/>
      </c>
      <c r="AT425" s="245">
        <f>IF(AT$7="Actual","",(AT371*AT384)+((AT371*AT384)*$K396)+(INDEX($M384:$Q384,,MATCH(AT$4,$M$4:$Q$4,0))*AT413)*AT371)</f>
        <v/>
      </c>
      <c r="AU425" s="245">
        <f>IF(AU$7="Actual","",(AU371*AU384)+((AU371*AU384)*$K396)+(INDEX($M384:$Q384,,MATCH(AU$4,$M$4:$Q$4,0))*AU413)*AU371)</f>
        <v/>
      </c>
      <c r="AV425" s="245">
        <f>IF(AV$7="Actual","",(AV371*AV384)+((AV371*AV384)*$K396)+(INDEX($M384:$Q384,,MATCH(AV$4,$M$4:$Q$4,0))*AV413)*AV371)</f>
        <v/>
      </c>
      <c r="AW425" s="245">
        <f>IF(AW$7="Actual","",(AW371*AW384)+((AW371*AW384)*$K396)+(INDEX($M384:$Q384,,MATCH(AW$4,$M$4:$Q$4,0))*AW413)*AW371)</f>
        <v/>
      </c>
      <c r="AX425" s="245">
        <f>IF(AX$7="Actual","",(AX371*AX384)+((AX371*AX384)*$K396)+(INDEX($M384:$Q384,,MATCH(AX$4,$M$4:$Q$4,0))*AX413)*AX371)</f>
        <v/>
      </c>
      <c r="AY425" s="245">
        <f>IF(AY$7="Actual","",(AY371*AY384)+((AY371*AY384)*$K396)+(INDEX($M384:$Q384,,MATCH(AY$4,$M$4:$Q$4,0))*AY413)*AY371)</f>
        <v/>
      </c>
      <c r="AZ425" s="245">
        <f>IF(AZ$7="Actual","",(AZ371*AZ384)+((AZ371*AZ384)*$K396)+(INDEX($M384:$Q384,,MATCH(AZ$4,$M$4:$Q$4,0))*AZ413)*AZ371)</f>
        <v/>
      </c>
      <c r="BA425" s="245">
        <f>IF(BA$7="Actual","",(BA371*BA384)+((BA371*BA384)*$K396)+(INDEX($M384:$Q384,,MATCH(BA$4,$M$4:$Q$4,0))*BA413)*BA371)</f>
        <v/>
      </c>
      <c r="BB425" s="245">
        <f>IF(BB$7="Actual","",(BB371*BB384)+((BB371*BB384)*$K396)+(INDEX($M384:$Q384,,MATCH(BB$4,$M$4:$Q$4,0))*BB413)*BB371)</f>
        <v/>
      </c>
      <c r="BC425" s="245">
        <f>IF(BC$7="Actual","",(BC371*BC384)+((BC371*BC384)*$K396)+(INDEX($M384:$Q384,,MATCH(BC$4,$M$4:$Q$4,0))*BC413)*BC371)</f>
        <v/>
      </c>
      <c r="BD425" s="245">
        <f>IF(BD$7="Actual","",(BD371*BD384)+((BD371*BD384)*$K396)+(INDEX($M384:$Q384,,MATCH(BD$4,$M$4:$Q$4,0))*BD413)*BD371)</f>
        <v/>
      </c>
      <c r="BE425" s="245">
        <f>IF(BE$7="Actual","",(BE371*BE384)+((BE371*BE384)*$K396)+(INDEX($M384:$Q384,,MATCH(BE$4,$M$4:$Q$4,0))*BE413)*BE371)</f>
        <v/>
      </c>
      <c r="BF425" s="245">
        <f>IF(BF$7="Actual","",(BF371*BF384)+((BF371*BF384)*$K396)+(INDEX($M384:$Q384,,MATCH(BF$4,$M$4:$Q$4,0))*BF413)*BF371)</f>
        <v/>
      </c>
      <c r="BG425" s="245">
        <f>IF(BG$7="Actual","",(BG371*BG384)+((BG371*BG384)*$K396)+(INDEX($M384:$Q384,,MATCH(BG$4,$M$4:$Q$4,0))*BG413)*BG371)</f>
        <v/>
      </c>
      <c r="BH425" s="245">
        <f>IF(BH$7="Actual","",(BH371*BH384)+((BH371*BH384)*$K396)+(INDEX($M384:$Q384,,MATCH(BH$4,$M$4:$Q$4,0))*BH413)*BH371)</f>
        <v/>
      </c>
      <c r="BI425" s="245">
        <f>IF(BI$7="Actual","",(BI371*BI384)+((BI371*BI384)*$K396)+(INDEX($M384:$Q384,,MATCH(BI$4,$M$4:$Q$4,0))*BI413)*BI371)</f>
        <v/>
      </c>
      <c r="BJ425" s="245">
        <f>IF(BJ$7="Actual","",(BJ371*BJ384)+((BJ371*BJ384)*$K396)+(INDEX($M384:$Q384,,MATCH(BJ$4,$M$4:$Q$4,0))*BJ413)*BJ371)</f>
        <v/>
      </c>
      <c r="BK425" s="245">
        <f>IF(BK$7="Actual","",(BK371*BK384)+((BK371*BK384)*$K396)+(INDEX($M384:$Q384,,MATCH(BK$4,$M$4:$Q$4,0))*BK413)*BK371)</f>
        <v/>
      </c>
      <c r="BL425" s="245">
        <f>IF(BL$7="Actual","",(BL371*BL384)+((BL371*BL384)*$K396)+(INDEX($M384:$Q384,,MATCH(BL$4,$M$4:$Q$4,0))*BL413)*BL371)</f>
        <v/>
      </c>
      <c r="BM425" s="245">
        <f>IF(BM$7="Actual","",(BM371*BM384)+((BM371*BM384)*$K396)+(INDEX($M384:$Q384,,MATCH(BM$4,$M$4:$Q$4,0))*BM413)*BM371)</f>
        <v/>
      </c>
      <c r="BN425" s="245">
        <f>IF(BN$7="Actual","",(BN371*BN384)+((BN371*BN384)*$K396)+(INDEX($M384:$Q384,,MATCH(BN$4,$M$4:$Q$4,0))*BN413)*BN371)</f>
        <v/>
      </c>
      <c r="BO425" s="245">
        <f>IF(BO$7="Actual","",(BO371*BO384)+((BO371*BO384)*$K396)+(INDEX($M384:$Q384,,MATCH(BO$4,$M$4:$Q$4,0))*BO413)*BO371)</f>
        <v/>
      </c>
      <c r="BP425" s="245">
        <f>IF(BP$7="Actual","",(BP371*BP384)+((BP371*BP384)*$K396)+(INDEX($M384:$Q384,,MATCH(BP$4,$M$4:$Q$4,0))*BP413)*BP371)</f>
        <v/>
      </c>
      <c r="BQ425" s="245">
        <f>IF(BQ$7="Actual","",(BQ371*BQ384)+((BQ371*BQ384)*$K396)+(INDEX($M384:$Q384,,MATCH(BQ$4,$M$4:$Q$4,0))*BQ413)*BQ371)</f>
        <v/>
      </c>
      <c r="BR425" s="245">
        <f>IF(BR$7="Actual","",(BR371*BR384)+((BR371*BR384)*$K396)+(INDEX($M384:$Q384,,MATCH(BR$4,$M$4:$Q$4,0))*BR413)*BR371)</f>
        <v/>
      </c>
      <c r="BS425" s="245">
        <f>IF(BS$7="Actual","",(BS371*BS384)+((BS371*BS384)*$K396)+(INDEX($M384:$Q384,,MATCH(BS$4,$M$4:$Q$4,0))*BS413)*BS371)</f>
        <v/>
      </c>
      <c r="BT425" s="245">
        <f>IF(BT$7="Actual","",(BT371*BT384)+((BT371*BT384)*$K396)+(INDEX($M384:$Q384,,MATCH(BT$4,$M$4:$Q$4,0))*BT413)*BT371)</f>
        <v/>
      </c>
      <c r="BU425" s="245">
        <f>IF(BU$7="Actual","",(BU371*BU384)+((BU371*BU384)*$K396)+(INDEX($M384:$Q384,,MATCH(BU$4,$M$4:$Q$4,0))*BU413)*BU371)</f>
        <v/>
      </c>
      <c r="BV425" s="245">
        <f>IF(BV$7="Actual","",(BV371*BV384)+((BV371*BV384)*$K396)+(INDEX($M384:$Q384,,MATCH(BV$4,$M$4:$Q$4,0))*BV413)*BV371)</f>
        <v/>
      </c>
      <c r="BW425" s="245">
        <f>IF(BW$7="Actual","",(BW371*BW384)+((BW371*BW384)*$K396)+(INDEX($M384:$Q384,,MATCH(BW$4,$M$4:$Q$4,0))*BW413)*BW371)</f>
        <v/>
      </c>
      <c r="BX425" s="245">
        <f>IF(BX$7="Actual","",(BX371*BX384)+((BX371*BX384)*$K396)+(INDEX($M384:$Q384,,MATCH(BX$4,$M$4:$Q$4,0))*BX413)*BX371)</f>
        <v/>
      </c>
      <c r="BY425" s="245">
        <f>IF(BY$7="Actual","",(BY371*BY384)+((BY371*BY384)*$K396)+(INDEX($M384:$Q384,,MATCH(BY$4,$M$4:$Q$4,0))*BY413)*BY371)</f>
        <v/>
      </c>
      <c r="BZ425" s="245">
        <f>IF(BZ$7="Actual","",(BZ371*BZ384)+((BZ371*BZ384)*$K396)+(INDEX($M384:$Q384,,MATCH(BZ$4,$M$4:$Q$4,0))*BZ413)*BZ371)</f>
        <v/>
      </c>
      <c r="CA425" s="245">
        <f>IF(CA$7="Actual","",(CA371*CA384)+((CA371*CA384)*$K396)+(INDEX($M384:$Q384,,MATCH(CA$4,$M$4:$Q$4,0))*CA413)*CA371)</f>
        <v/>
      </c>
    </row>
    <row r="426" ht="12" customHeight="1" s="227">
      <c r="A426" s="244" t="n"/>
      <c r="B426" s="244" t="n"/>
      <c r="C426" s="244" t="n"/>
      <c r="H426" s="0">
        <f>H385</f>
        <v/>
      </c>
      <c r="I426" s="27">
        <f>i_Setup!$M$16</f>
        <v/>
      </c>
      <c r="K426" s="6" t="n"/>
      <c r="M426" s="245">
        <f>SUMIF($T$4:$CA$4,M$4,$T426:$CA426)</f>
        <v/>
      </c>
      <c r="N426" s="245">
        <f>SUMIF($T$4:$CA$4,N$4,$T426:$CA426)</f>
        <v/>
      </c>
      <c r="O426" s="245">
        <f>SUMIF($T$4:$CA$4,O$4,$T426:$CA426)</f>
        <v/>
      </c>
      <c r="P426" s="245">
        <f>SUMIF($T$4:$CA$4,P$4,$T426:$CA426)</f>
        <v/>
      </c>
      <c r="Q426" s="245">
        <f>SUMIF($T$4:$CA$4,Q$4,$T426:$CA426)</f>
        <v/>
      </c>
      <c r="T426" s="245">
        <f>IF(T$7="Actual","",(T372*T385)+((T372*T385)*$K397)+(INDEX($M385:$Q385,,MATCH(T$4,$M$4:$Q$4,0))*T414)*T372)</f>
        <v/>
      </c>
      <c r="U426" s="245">
        <f>IF(U$7="Actual","",(U372*U385)+((U372*U385)*$K397)+(INDEX($M385:$Q385,,MATCH(U$4,$M$4:$Q$4,0))*U414)*U372)</f>
        <v/>
      </c>
      <c r="V426" s="245">
        <f>IF(V$7="Actual","",(V372*V385)+((V372*V385)*$K397)+(INDEX($M385:$Q385,,MATCH(V$4,$M$4:$Q$4,0))*V414)*V372)</f>
        <v/>
      </c>
      <c r="W426" s="245">
        <f>IF(W$7="Actual","",(W372*W385)+((W372*W385)*$K397)+(INDEX($M385:$Q385,,MATCH(W$4,$M$4:$Q$4,0))*W414)*W372)</f>
        <v/>
      </c>
      <c r="X426" s="245">
        <f>IF(X$7="Actual","",(X372*X385)+((X372*X385)*$K397)+(INDEX($M385:$Q385,,MATCH(X$4,$M$4:$Q$4,0))*X414)*X372)</f>
        <v/>
      </c>
      <c r="Y426" s="245">
        <f>IF(Y$7="Actual","",(Y372*Y385)+((Y372*Y385)*$K397)+(INDEX($M385:$Q385,,MATCH(Y$4,$M$4:$Q$4,0))*Y414)*Y372)</f>
        <v/>
      </c>
      <c r="Z426" s="245">
        <f>IF(Z$7="Actual","",(Z372*Z385)+((Z372*Z385)*$K397)+(INDEX($M385:$Q385,,MATCH(Z$4,$M$4:$Q$4,0))*Z414)*Z372)</f>
        <v/>
      </c>
      <c r="AA426" s="245">
        <f>IF(AA$7="Actual","",(AA372*AA385)+((AA372*AA385)*$K397)+(INDEX($M385:$Q385,,MATCH(AA$4,$M$4:$Q$4,0))*AA414)*AA372)</f>
        <v/>
      </c>
      <c r="AB426" s="245">
        <f>IF(AB$7="Actual","",(AB372*AB385)+((AB372*AB385)*$K397)+(INDEX($M385:$Q385,,MATCH(AB$4,$M$4:$Q$4,0))*AB414)*AB372)</f>
        <v/>
      </c>
      <c r="AC426" s="245">
        <f>IF(AC$7="Actual","",(AC372*AC385)+((AC372*AC385)*$K397)+(INDEX($M385:$Q385,,MATCH(AC$4,$M$4:$Q$4,0))*AC414)*AC372)</f>
        <v/>
      </c>
      <c r="AD426" s="245">
        <f>IF(AD$7="Actual","",(AD372*AD385)+((AD372*AD385)*$K397)+(INDEX($M385:$Q385,,MATCH(AD$4,$M$4:$Q$4,0))*AD414)*AD372)</f>
        <v/>
      </c>
      <c r="AE426" s="245">
        <f>IF(AE$7="Actual","",(AE372*AE385)+((AE372*AE385)*$K397)+(INDEX($M385:$Q385,,MATCH(AE$4,$M$4:$Q$4,0))*AE414)*AE372)</f>
        <v/>
      </c>
      <c r="AF426" s="245">
        <f>IF(AF$7="Actual","",(AF372*AF385)+((AF372*AF385)*$K397)+(INDEX($M385:$Q385,,MATCH(AF$4,$M$4:$Q$4,0))*AF414)*AF372)</f>
        <v/>
      </c>
      <c r="AG426" s="245">
        <f>IF(AG$7="Actual","",(AG372*AG385)+((AG372*AG385)*$K397)+(INDEX($M385:$Q385,,MATCH(AG$4,$M$4:$Q$4,0))*AG414)*AG372)</f>
        <v/>
      </c>
      <c r="AH426" s="245">
        <f>IF(AH$7="Actual","",(AH372*AH385)+((AH372*AH385)*$K397)+(INDEX($M385:$Q385,,MATCH(AH$4,$M$4:$Q$4,0))*AH414)*AH372)</f>
        <v/>
      </c>
      <c r="AI426" s="245">
        <f>IF(AI$7="Actual","",(AI372*AI385)+((AI372*AI385)*$K397)+(INDEX($M385:$Q385,,MATCH(AI$4,$M$4:$Q$4,0))*AI414)*AI372)</f>
        <v/>
      </c>
      <c r="AJ426" s="245">
        <f>IF(AJ$7="Actual","",(AJ372*AJ385)+((AJ372*AJ385)*$K397)+(INDEX($M385:$Q385,,MATCH(AJ$4,$M$4:$Q$4,0))*AJ414)*AJ372)</f>
        <v/>
      </c>
      <c r="AK426" s="245">
        <f>IF(AK$7="Actual","",(AK372*AK385)+((AK372*AK385)*$K397)+(INDEX($M385:$Q385,,MATCH(AK$4,$M$4:$Q$4,0))*AK414)*AK372)</f>
        <v/>
      </c>
      <c r="AL426" s="245">
        <f>IF(AL$7="Actual","",(AL372*AL385)+((AL372*AL385)*$K397)+(INDEX($M385:$Q385,,MATCH(AL$4,$M$4:$Q$4,0))*AL414)*AL372)</f>
        <v/>
      </c>
      <c r="AM426" s="245">
        <f>IF(AM$7="Actual","",(AM372*AM385)+((AM372*AM385)*$K397)+(INDEX($M385:$Q385,,MATCH(AM$4,$M$4:$Q$4,0))*AM414)*AM372)</f>
        <v/>
      </c>
      <c r="AN426" s="245">
        <f>IF(AN$7="Actual","",(AN372*AN385)+((AN372*AN385)*$K397)+(INDEX($M385:$Q385,,MATCH(AN$4,$M$4:$Q$4,0))*AN414)*AN372)</f>
        <v/>
      </c>
      <c r="AO426" s="245">
        <f>IF(AO$7="Actual","",(AO372*AO385)+((AO372*AO385)*$K397)+(INDEX($M385:$Q385,,MATCH(AO$4,$M$4:$Q$4,0))*AO414)*AO372)</f>
        <v/>
      </c>
      <c r="AP426" s="245">
        <f>IF(AP$7="Actual","",(AP372*AP385)+((AP372*AP385)*$K397)+(INDEX($M385:$Q385,,MATCH(AP$4,$M$4:$Q$4,0))*AP414)*AP372)</f>
        <v/>
      </c>
      <c r="AQ426" s="245">
        <f>IF(AQ$7="Actual","",(AQ372*AQ385)+((AQ372*AQ385)*$K397)+(INDEX($M385:$Q385,,MATCH(AQ$4,$M$4:$Q$4,0))*AQ414)*AQ372)</f>
        <v/>
      </c>
      <c r="AR426" s="245">
        <f>IF(AR$7="Actual","",(AR372*AR385)+((AR372*AR385)*$K397)+(INDEX($M385:$Q385,,MATCH(AR$4,$M$4:$Q$4,0))*AR414)*AR372)</f>
        <v/>
      </c>
      <c r="AS426" s="245">
        <f>IF(AS$7="Actual","",(AS372*AS385)+((AS372*AS385)*$K397)+(INDEX($M385:$Q385,,MATCH(AS$4,$M$4:$Q$4,0))*AS414)*AS372)</f>
        <v/>
      </c>
      <c r="AT426" s="245">
        <f>IF(AT$7="Actual","",(AT372*AT385)+((AT372*AT385)*$K397)+(INDEX($M385:$Q385,,MATCH(AT$4,$M$4:$Q$4,0))*AT414)*AT372)</f>
        <v/>
      </c>
      <c r="AU426" s="245">
        <f>IF(AU$7="Actual","",(AU372*AU385)+((AU372*AU385)*$K397)+(INDEX($M385:$Q385,,MATCH(AU$4,$M$4:$Q$4,0))*AU414)*AU372)</f>
        <v/>
      </c>
      <c r="AV426" s="245">
        <f>IF(AV$7="Actual","",(AV372*AV385)+((AV372*AV385)*$K397)+(INDEX($M385:$Q385,,MATCH(AV$4,$M$4:$Q$4,0))*AV414)*AV372)</f>
        <v/>
      </c>
      <c r="AW426" s="245">
        <f>IF(AW$7="Actual","",(AW372*AW385)+((AW372*AW385)*$K397)+(INDEX($M385:$Q385,,MATCH(AW$4,$M$4:$Q$4,0))*AW414)*AW372)</f>
        <v/>
      </c>
      <c r="AX426" s="245">
        <f>IF(AX$7="Actual","",(AX372*AX385)+((AX372*AX385)*$K397)+(INDEX($M385:$Q385,,MATCH(AX$4,$M$4:$Q$4,0))*AX414)*AX372)</f>
        <v/>
      </c>
      <c r="AY426" s="245">
        <f>IF(AY$7="Actual","",(AY372*AY385)+((AY372*AY385)*$K397)+(INDEX($M385:$Q385,,MATCH(AY$4,$M$4:$Q$4,0))*AY414)*AY372)</f>
        <v/>
      </c>
      <c r="AZ426" s="245">
        <f>IF(AZ$7="Actual","",(AZ372*AZ385)+((AZ372*AZ385)*$K397)+(INDEX($M385:$Q385,,MATCH(AZ$4,$M$4:$Q$4,0))*AZ414)*AZ372)</f>
        <v/>
      </c>
      <c r="BA426" s="245">
        <f>IF(BA$7="Actual","",(BA372*BA385)+((BA372*BA385)*$K397)+(INDEX($M385:$Q385,,MATCH(BA$4,$M$4:$Q$4,0))*BA414)*BA372)</f>
        <v/>
      </c>
      <c r="BB426" s="245">
        <f>IF(BB$7="Actual","",(BB372*BB385)+((BB372*BB385)*$K397)+(INDEX($M385:$Q385,,MATCH(BB$4,$M$4:$Q$4,0))*BB414)*BB372)</f>
        <v/>
      </c>
      <c r="BC426" s="245">
        <f>IF(BC$7="Actual","",(BC372*BC385)+((BC372*BC385)*$K397)+(INDEX($M385:$Q385,,MATCH(BC$4,$M$4:$Q$4,0))*BC414)*BC372)</f>
        <v/>
      </c>
      <c r="BD426" s="245">
        <f>IF(BD$7="Actual","",(BD372*BD385)+((BD372*BD385)*$K397)+(INDEX($M385:$Q385,,MATCH(BD$4,$M$4:$Q$4,0))*BD414)*BD372)</f>
        <v/>
      </c>
      <c r="BE426" s="245">
        <f>IF(BE$7="Actual","",(BE372*BE385)+((BE372*BE385)*$K397)+(INDEX($M385:$Q385,,MATCH(BE$4,$M$4:$Q$4,0))*BE414)*BE372)</f>
        <v/>
      </c>
      <c r="BF426" s="245">
        <f>IF(BF$7="Actual","",(BF372*BF385)+((BF372*BF385)*$K397)+(INDEX($M385:$Q385,,MATCH(BF$4,$M$4:$Q$4,0))*BF414)*BF372)</f>
        <v/>
      </c>
      <c r="BG426" s="245">
        <f>IF(BG$7="Actual","",(BG372*BG385)+((BG372*BG385)*$K397)+(INDEX($M385:$Q385,,MATCH(BG$4,$M$4:$Q$4,0))*BG414)*BG372)</f>
        <v/>
      </c>
      <c r="BH426" s="245">
        <f>IF(BH$7="Actual","",(BH372*BH385)+((BH372*BH385)*$K397)+(INDEX($M385:$Q385,,MATCH(BH$4,$M$4:$Q$4,0))*BH414)*BH372)</f>
        <v/>
      </c>
      <c r="BI426" s="245">
        <f>IF(BI$7="Actual","",(BI372*BI385)+((BI372*BI385)*$K397)+(INDEX($M385:$Q385,,MATCH(BI$4,$M$4:$Q$4,0))*BI414)*BI372)</f>
        <v/>
      </c>
      <c r="BJ426" s="245">
        <f>IF(BJ$7="Actual","",(BJ372*BJ385)+((BJ372*BJ385)*$K397)+(INDEX($M385:$Q385,,MATCH(BJ$4,$M$4:$Q$4,0))*BJ414)*BJ372)</f>
        <v/>
      </c>
      <c r="BK426" s="245">
        <f>IF(BK$7="Actual","",(BK372*BK385)+((BK372*BK385)*$K397)+(INDEX($M385:$Q385,,MATCH(BK$4,$M$4:$Q$4,0))*BK414)*BK372)</f>
        <v/>
      </c>
      <c r="BL426" s="245">
        <f>IF(BL$7="Actual","",(BL372*BL385)+((BL372*BL385)*$K397)+(INDEX($M385:$Q385,,MATCH(BL$4,$M$4:$Q$4,0))*BL414)*BL372)</f>
        <v/>
      </c>
      <c r="BM426" s="245">
        <f>IF(BM$7="Actual","",(BM372*BM385)+((BM372*BM385)*$K397)+(INDEX($M385:$Q385,,MATCH(BM$4,$M$4:$Q$4,0))*BM414)*BM372)</f>
        <v/>
      </c>
      <c r="BN426" s="245">
        <f>IF(BN$7="Actual","",(BN372*BN385)+((BN372*BN385)*$K397)+(INDEX($M385:$Q385,,MATCH(BN$4,$M$4:$Q$4,0))*BN414)*BN372)</f>
        <v/>
      </c>
      <c r="BO426" s="245">
        <f>IF(BO$7="Actual","",(BO372*BO385)+((BO372*BO385)*$K397)+(INDEX($M385:$Q385,,MATCH(BO$4,$M$4:$Q$4,0))*BO414)*BO372)</f>
        <v/>
      </c>
      <c r="BP426" s="245">
        <f>IF(BP$7="Actual","",(BP372*BP385)+((BP372*BP385)*$K397)+(INDEX($M385:$Q385,,MATCH(BP$4,$M$4:$Q$4,0))*BP414)*BP372)</f>
        <v/>
      </c>
      <c r="BQ426" s="245">
        <f>IF(BQ$7="Actual","",(BQ372*BQ385)+((BQ372*BQ385)*$K397)+(INDEX($M385:$Q385,,MATCH(BQ$4,$M$4:$Q$4,0))*BQ414)*BQ372)</f>
        <v/>
      </c>
      <c r="BR426" s="245">
        <f>IF(BR$7="Actual","",(BR372*BR385)+((BR372*BR385)*$K397)+(INDEX($M385:$Q385,,MATCH(BR$4,$M$4:$Q$4,0))*BR414)*BR372)</f>
        <v/>
      </c>
      <c r="BS426" s="245">
        <f>IF(BS$7="Actual","",(BS372*BS385)+((BS372*BS385)*$K397)+(INDEX($M385:$Q385,,MATCH(BS$4,$M$4:$Q$4,0))*BS414)*BS372)</f>
        <v/>
      </c>
      <c r="BT426" s="245">
        <f>IF(BT$7="Actual","",(BT372*BT385)+((BT372*BT385)*$K397)+(INDEX($M385:$Q385,,MATCH(BT$4,$M$4:$Q$4,0))*BT414)*BT372)</f>
        <v/>
      </c>
      <c r="BU426" s="245">
        <f>IF(BU$7="Actual","",(BU372*BU385)+((BU372*BU385)*$K397)+(INDEX($M385:$Q385,,MATCH(BU$4,$M$4:$Q$4,0))*BU414)*BU372)</f>
        <v/>
      </c>
      <c r="BV426" s="245">
        <f>IF(BV$7="Actual","",(BV372*BV385)+((BV372*BV385)*$K397)+(INDEX($M385:$Q385,,MATCH(BV$4,$M$4:$Q$4,0))*BV414)*BV372)</f>
        <v/>
      </c>
      <c r="BW426" s="245">
        <f>IF(BW$7="Actual","",(BW372*BW385)+((BW372*BW385)*$K397)+(INDEX($M385:$Q385,,MATCH(BW$4,$M$4:$Q$4,0))*BW414)*BW372)</f>
        <v/>
      </c>
      <c r="BX426" s="245">
        <f>IF(BX$7="Actual","",(BX372*BX385)+((BX372*BX385)*$K397)+(INDEX($M385:$Q385,,MATCH(BX$4,$M$4:$Q$4,0))*BX414)*BX372)</f>
        <v/>
      </c>
      <c r="BY426" s="245">
        <f>IF(BY$7="Actual","",(BY372*BY385)+((BY372*BY385)*$K397)+(INDEX($M385:$Q385,,MATCH(BY$4,$M$4:$Q$4,0))*BY414)*BY372)</f>
        <v/>
      </c>
      <c r="BZ426" s="245">
        <f>IF(BZ$7="Actual","",(BZ372*BZ385)+((BZ372*BZ385)*$K397)+(INDEX($M385:$Q385,,MATCH(BZ$4,$M$4:$Q$4,0))*BZ414)*BZ372)</f>
        <v/>
      </c>
      <c r="CA426" s="245">
        <f>IF(CA$7="Actual","",(CA372*CA385)+((CA372*CA385)*$K397)+(INDEX($M385:$Q385,,MATCH(CA$4,$M$4:$Q$4,0))*CA414)*CA372)</f>
        <v/>
      </c>
    </row>
    <row r="427" ht="12" customHeight="1" s="227">
      <c r="A427" s="244" t="n"/>
      <c r="B427" s="244" t="n"/>
      <c r="C427" s="244" t="n"/>
      <c r="H427" s="0">
        <f>H386</f>
        <v/>
      </c>
      <c r="I427" s="27">
        <f>i_Setup!$M$16</f>
        <v/>
      </c>
      <c r="K427" s="6" t="n"/>
      <c r="M427" s="245">
        <f>SUMIF($T$4:$CA$4,M$4,$T427:$CA427)</f>
        <v/>
      </c>
      <c r="N427" s="245">
        <f>SUMIF($T$4:$CA$4,N$4,$T427:$CA427)</f>
        <v/>
      </c>
      <c r="O427" s="245">
        <f>SUMIF($T$4:$CA$4,O$4,$T427:$CA427)</f>
        <v/>
      </c>
      <c r="P427" s="245">
        <f>SUMIF($T$4:$CA$4,P$4,$T427:$CA427)</f>
        <v/>
      </c>
      <c r="Q427" s="245">
        <f>SUMIF($T$4:$CA$4,Q$4,$T427:$CA427)</f>
        <v/>
      </c>
      <c r="T427" s="245">
        <f>IF(T$7="Actual","",(T373*T386)+((T373*T386)*$K398)+(INDEX($M386:$Q386,,MATCH(T$4,$M$4:$Q$4,0))*T415)*T373)</f>
        <v/>
      </c>
      <c r="U427" s="245">
        <f>IF(U$7="Actual","",(U373*U386)+((U373*U386)*$K398)+(INDEX($M386:$Q386,,MATCH(U$4,$M$4:$Q$4,0))*U415)*U373)</f>
        <v/>
      </c>
      <c r="V427" s="245">
        <f>IF(V$7="Actual","",(V373*V386)+((V373*V386)*$K398)+(INDEX($M386:$Q386,,MATCH(V$4,$M$4:$Q$4,0))*V415)*V373)</f>
        <v/>
      </c>
      <c r="W427" s="245">
        <f>IF(W$7="Actual","",(W373*W386)+((W373*W386)*$K398)+(INDEX($M386:$Q386,,MATCH(W$4,$M$4:$Q$4,0))*W415)*W373)</f>
        <v/>
      </c>
      <c r="X427" s="245">
        <f>IF(X$7="Actual","",(X373*X386)+((X373*X386)*$K398)+(INDEX($M386:$Q386,,MATCH(X$4,$M$4:$Q$4,0))*X415)*X373)</f>
        <v/>
      </c>
      <c r="Y427" s="245">
        <f>IF(Y$7="Actual","",(Y373*Y386)+((Y373*Y386)*$K398)+(INDEX($M386:$Q386,,MATCH(Y$4,$M$4:$Q$4,0))*Y415)*Y373)</f>
        <v/>
      </c>
      <c r="Z427" s="245">
        <f>IF(Z$7="Actual","",(Z373*Z386)+((Z373*Z386)*$K398)+(INDEX($M386:$Q386,,MATCH(Z$4,$M$4:$Q$4,0))*Z415)*Z373)</f>
        <v/>
      </c>
      <c r="AA427" s="245">
        <f>IF(AA$7="Actual","",(AA373*AA386)+((AA373*AA386)*$K398)+(INDEX($M386:$Q386,,MATCH(AA$4,$M$4:$Q$4,0))*AA415)*AA373)</f>
        <v/>
      </c>
      <c r="AB427" s="245">
        <f>IF(AB$7="Actual","",(AB373*AB386)+((AB373*AB386)*$K398)+(INDEX($M386:$Q386,,MATCH(AB$4,$M$4:$Q$4,0))*AB415)*AB373)</f>
        <v/>
      </c>
      <c r="AC427" s="245">
        <f>IF(AC$7="Actual","",(AC373*AC386)+((AC373*AC386)*$K398)+(INDEX($M386:$Q386,,MATCH(AC$4,$M$4:$Q$4,0))*AC415)*AC373)</f>
        <v/>
      </c>
      <c r="AD427" s="245">
        <f>IF(AD$7="Actual","",(AD373*AD386)+((AD373*AD386)*$K398)+(INDEX($M386:$Q386,,MATCH(AD$4,$M$4:$Q$4,0))*AD415)*AD373)</f>
        <v/>
      </c>
      <c r="AE427" s="245">
        <f>IF(AE$7="Actual","",(AE373*AE386)+((AE373*AE386)*$K398)+(INDEX($M386:$Q386,,MATCH(AE$4,$M$4:$Q$4,0))*AE415)*AE373)</f>
        <v/>
      </c>
      <c r="AF427" s="245">
        <f>IF(AF$7="Actual","",(AF373*AF386)+((AF373*AF386)*$K398)+(INDEX($M386:$Q386,,MATCH(AF$4,$M$4:$Q$4,0))*AF415)*AF373)</f>
        <v/>
      </c>
      <c r="AG427" s="245">
        <f>IF(AG$7="Actual","",(AG373*AG386)+((AG373*AG386)*$K398)+(INDEX($M386:$Q386,,MATCH(AG$4,$M$4:$Q$4,0))*AG415)*AG373)</f>
        <v/>
      </c>
      <c r="AH427" s="245">
        <f>IF(AH$7="Actual","",(AH373*AH386)+((AH373*AH386)*$K398)+(INDEX($M386:$Q386,,MATCH(AH$4,$M$4:$Q$4,0))*AH415)*AH373)</f>
        <v/>
      </c>
      <c r="AI427" s="245">
        <f>IF(AI$7="Actual","",(AI373*AI386)+((AI373*AI386)*$K398)+(INDEX($M386:$Q386,,MATCH(AI$4,$M$4:$Q$4,0))*AI415)*AI373)</f>
        <v/>
      </c>
      <c r="AJ427" s="245">
        <f>IF(AJ$7="Actual","",(AJ373*AJ386)+((AJ373*AJ386)*$K398)+(INDEX($M386:$Q386,,MATCH(AJ$4,$M$4:$Q$4,0))*AJ415)*AJ373)</f>
        <v/>
      </c>
      <c r="AK427" s="245">
        <f>IF(AK$7="Actual","",(AK373*AK386)+((AK373*AK386)*$K398)+(INDEX($M386:$Q386,,MATCH(AK$4,$M$4:$Q$4,0))*AK415)*AK373)</f>
        <v/>
      </c>
      <c r="AL427" s="245">
        <f>IF(AL$7="Actual","",(AL373*AL386)+((AL373*AL386)*$K398)+(INDEX($M386:$Q386,,MATCH(AL$4,$M$4:$Q$4,0))*AL415)*AL373)</f>
        <v/>
      </c>
      <c r="AM427" s="245">
        <f>IF(AM$7="Actual","",(AM373*AM386)+((AM373*AM386)*$K398)+(INDEX($M386:$Q386,,MATCH(AM$4,$M$4:$Q$4,0))*AM415)*AM373)</f>
        <v/>
      </c>
      <c r="AN427" s="245">
        <f>IF(AN$7="Actual","",(AN373*AN386)+((AN373*AN386)*$K398)+(INDEX($M386:$Q386,,MATCH(AN$4,$M$4:$Q$4,0))*AN415)*AN373)</f>
        <v/>
      </c>
      <c r="AO427" s="245">
        <f>IF(AO$7="Actual","",(AO373*AO386)+((AO373*AO386)*$K398)+(INDEX($M386:$Q386,,MATCH(AO$4,$M$4:$Q$4,0))*AO415)*AO373)</f>
        <v/>
      </c>
      <c r="AP427" s="245">
        <f>IF(AP$7="Actual","",(AP373*AP386)+((AP373*AP386)*$K398)+(INDEX($M386:$Q386,,MATCH(AP$4,$M$4:$Q$4,0))*AP415)*AP373)</f>
        <v/>
      </c>
      <c r="AQ427" s="245">
        <f>IF(AQ$7="Actual","",(AQ373*AQ386)+((AQ373*AQ386)*$K398)+(INDEX($M386:$Q386,,MATCH(AQ$4,$M$4:$Q$4,0))*AQ415)*AQ373)</f>
        <v/>
      </c>
      <c r="AR427" s="245">
        <f>IF(AR$7="Actual","",(AR373*AR386)+((AR373*AR386)*$K398)+(INDEX($M386:$Q386,,MATCH(AR$4,$M$4:$Q$4,0))*AR415)*AR373)</f>
        <v/>
      </c>
      <c r="AS427" s="245">
        <f>IF(AS$7="Actual","",(AS373*AS386)+((AS373*AS386)*$K398)+(INDEX($M386:$Q386,,MATCH(AS$4,$M$4:$Q$4,0))*AS415)*AS373)</f>
        <v/>
      </c>
      <c r="AT427" s="245">
        <f>IF(AT$7="Actual","",(AT373*AT386)+((AT373*AT386)*$K398)+(INDEX($M386:$Q386,,MATCH(AT$4,$M$4:$Q$4,0))*AT415)*AT373)</f>
        <v/>
      </c>
      <c r="AU427" s="245">
        <f>IF(AU$7="Actual","",(AU373*AU386)+((AU373*AU386)*$K398)+(INDEX($M386:$Q386,,MATCH(AU$4,$M$4:$Q$4,0))*AU415)*AU373)</f>
        <v/>
      </c>
      <c r="AV427" s="245">
        <f>IF(AV$7="Actual","",(AV373*AV386)+((AV373*AV386)*$K398)+(INDEX($M386:$Q386,,MATCH(AV$4,$M$4:$Q$4,0))*AV415)*AV373)</f>
        <v/>
      </c>
      <c r="AW427" s="245">
        <f>IF(AW$7="Actual","",(AW373*AW386)+((AW373*AW386)*$K398)+(INDEX($M386:$Q386,,MATCH(AW$4,$M$4:$Q$4,0))*AW415)*AW373)</f>
        <v/>
      </c>
      <c r="AX427" s="245">
        <f>IF(AX$7="Actual","",(AX373*AX386)+((AX373*AX386)*$K398)+(INDEX($M386:$Q386,,MATCH(AX$4,$M$4:$Q$4,0))*AX415)*AX373)</f>
        <v/>
      </c>
      <c r="AY427" s="245">
        <f>IF(AY$7="Actual","",(AY373*AY386)+((AY373*AY386)*$K398)+(INDEX($M386:$Q386,,MATCH(AY$4,$M$4:$Q$4,0))*AY415)*AY373)</f>
        <v/>
      </c>
      <c r="AZ427" s="245">
        <f>IF(AZ$7="Actual","",(AZ373*AZ386)+((AZ373*AZ386)*$K398)+(INDEX($M386:$Q386,,MATCH(AZ$4,$M$4:$Q$4,0))*AZ415)*AZ373)</f>
        <v/>
      </c>
      <c r="BA427" s="245">
        <f>IF(BA$7="Actual","",(BA373*BA386)+((BA373*BA386)*$K398)+(INDEX($M386:$Q386,,MATCH(BA$4,$M$4:$Q$4,0))*BA415)*BA373)</f>
        <v/>
      </c>
      <c r="BB427" s="245">
        <f>IF(BB$7="Actual","",(BB373*BB386)+((BB373*BB386)*$K398)+(INDEX($M386:$Q386,,MATCH(BB$4,$M$4:$Q$4,0))*BB415)*BB373)</f>
        <v/>
      </c>
      <c r="BC427" s="245">
        <f>IF(BC$7="Actual","",(BC373*BC386)+((BC373*BC386)*$K398)+(INDEX($M386:$Q386,,MATCH(BC$4,$M$4:$Q$4,0))*BC415)*BC373)</f>
        <v/>
      </c>
      <c r="BD427" s="245">
        <f>IF(BD$7="Actual","",(BD373*BD386)+((BD373*BD386)*$K398)+(INDEX($M386:$Q386,,MATCH(BD$4,$M$4:$Q$4,0))*BD415)*BD373)</f>
        <v/>
      </c>
      <c r="BE427" s="245">
        <f>IF(BE$7="Actual","",(BE373*BE386)+((BE373*BE386)*$K398)+(INDEX($M386:$Q386,,MATCH(BE$4,$M$4:$Q$4,0))*BE415)*BE373)</f>
        <v/>
      </c>
      <c r="BF427" s="245">
        <f>IF(BF$7="Actual","",(BF373*BF386)+((BF373*BF386)*$K398)+(INDEX($M386:$Q386,,MATCH(BF$4,$M$4:$Q$4,0))*BF415)*BF373)</f>
        <v/>
      </c>
      <c r="BG427" s="245">
        <f>IF(BG$7="Actual","",(BG373*BG386)+((BG373*BG386)*$K398)+(INDEX($M386:$Q386,,MATCH(BG$4,$M$4:$Q$4,0))*BG415)*BG373)</f>
        <v/>
      </c>
      <c r="BH427" s="245">
        <f>IF(BH$7="Actual","",(BH373*BH386)+((BH373*BH386)*$K398)+(INDEX($M386:$Q386,,MATCH(BH$4,$M$4:$Q$4,0))*BH415)*BH373)</f>
        <v/>
      </c>
      <c r="BI427" s="245">
        <f>IF(BI$7="Actual","",(BI373*BI386)+((BI373*BI386)*$K398)+(INDEX($M386:$Q386,,MATCH(BI$4,$M$4:$Q$4,0))*BI415)*BI373)</f>
        <v/>
      </c>
      <c r="BJ427" s="245">
        <f>IF(BJ$7="Actual","",(BJ373*BJ386)+((BJ373*BJ386)*$K398)+(INDEX($M386:$Q386,,MATCH(BJ$4,$M$4:$Q$4,0))*BJ415)*BJ373)</f>
        <v/>
      </c>
      <c r="BK427" s="245">
        <f>IF(BK$7="Actual","",(BK373*BK386)+((BK373*BK386)*$K398)+(INDEX($M386:$Q386,,MATCH(BK$4,$M$4:$Q$4,0))*BK415)*BK373)</f>
        <v/>
      </c>
      <c r="BL427" s="245">
        <f>IF(BL$7="Actual","",(BL373*BL386)+((BL373*BL386)*$K398)+(INDEX($M386:$Q386,,MATCH(BL$4,$M$4:$Q$4,0))*BL415)*BL373)</f>
        <v/>
      </c>
      <c r="BM427" s="245">
        <f>IF(BM$7="Actual","",(BM373*BM386)+((BM373*BM386)*$K398)+(INDEX($M386:$Q386,,MATCH(BM$4,$M$4:$Q$4,0))*BM415)*BM373)</f>
        <v/>
      </c>
      <c r="BN427" s="245">
        <f>IF(BN$7="Actual","",(BN373*BN386)+((BN373*BN386)*$K398)+(INDEX($M386:$Q386,,MATCH(BN$4,$M$4:$Q$4,0))*BN415)*BN373)</f>
        <v/>
      </c>
      <c r="BO427" s="245">
        <f>IF(BO$7="Actual","",(BO373*BO386)+((BO373*BO386)*$K398)+(INDEX($M386:$Q386,,MATCH(BO$4,$M$4:$Q$4,0))*BO415)*BO373)</f>
        <v/>
      </c>
      <c r="BP427" s="245">
        <f>IF(BP$7="Actual","",(BP373*BP386)+((BP373*BP386)*$K398)+(INDEX($M386:$Q386,,MATCH(BP$4,$M$4:$Q$4,0))*BP415)*BP373)</f>
        <v/>
      </c>
      <c r="BQ427" s="245">
        <f>IF(BQ$7="Actual","",(BQ373*BQ386)+((BQ373*BQ386)*$K398)+(INDEX($M386:$Q386,,MATCH(BQ$4,$M$4:$Q$4,0))*BQ415)*BQ373)</f>
        <v/>
      </c>
      <c r="BR427" s="245">
        <f>IF(BR$7="Actual","",(BR373*BR386)+((BR373*BR386)*$K398)+(INDEX($M386:$Q386,,MATCH(BR$4,$M$4:$Q$4,0))*BR415)*BR373)</f>
        <v/>
      </c>
      <c r="BS427" s="245">
        <f>IF(BS$7="Actual","",(BS373*BS386)+((BS373*BS386)*$K398)+(INDEX($M386:$Q386,,MATCH(BS$4,$M$4:$Q$4,0))*BS415)*BS373)</f>
        <v/>
      </c>
      <c r="BT427" s="245">
        <f>IF(BT$7="Actual","",(BT373*BT386)+((BT373*BT386)*$K398)+(INDEX($M386:$Q386,,MATCH(BT$4,$M$4:$Q$4,0))*BT415)*BT373)</f>
        <v/>
      </c>
      <c r="BU427" s="245">
        <f>IF(BU$7="Actual","",(BU373*BU386)+((BU373*BU386)*$K398)+(INDEX($M386:$Q386,,MATCH(BU$4,$M$4:$Q$4,0))*BU415)*BU373)</f>
        <v/>
      </c>
      <c r="BV427" s="245">
        <f>IF(BV$7="Actual","",(BV373*BV386)+((BV373*BV386)*$K398)+(INDEX($M386:$Q386,,MATCH(BV$4,$M$4:$Q$4,0))*BV415)*BV373)</f>
        <v/>
      </c>
      <c r="BW427" s="245">
        <f>IF(BW$7="Actual","",(BW373*BW386)+((BW373*BW386)*$K398)+(INDEX($M386:$Q386,,MATCH(BW$4,$M$4:$Q$4,0))*BW415)*BW373)</f>
        <v/>
      </c>
      <c r="BX427" s="245">
        <f>IF(BX$7="Actual","",(BX373*BX386)+((BX373*BX386)*$K398)+(INDEX($M386:$Q386,,MATCH(BX$4,$M$4:$Q$4,0))*BX415)*BX373)</f>
        <v/>
      </c>
      <c r="BY427" s="245">
        <f>IF(BY$7="Actual","",(BY373*BY386)+((BY373*BY386)*$K398)+(INDEX($M386:$Q386,,MATCH(BY$4,$M$4:$Q$4,0))*BY415)*BY373)</f>
        <v/>
      </c>
      <c r="BZ427" s="245">
        <f>IF(BZ$7="Actual","",(BZ373*BZ386)+((BZ373*BZ386)*$K398)+(INDEX($M386:$Q386,,MATCH(BZ$4,$M$4:$Q$4,0))*BZ415)*BZ373)</f>
        <v/>
      </c>
      <c r="CA427" s="245">
        <f>IF(CA$7="Actual","",(CA373*CA386)+((CA373*CA386)*$K398)+(INDEX($M386:$Q386,,MATCH(CA$4,$M$4:$Q$4,0))*CA415)*CA373)</f>
        <v/>
      </c>
    </row>
    <row r="428" ht="12" customHeight="1" s="227">
      <c r="A428" s="244" t="n"/>
      <c r="B428" s="244" t="n"/>
      <c r="C428" s="244" t="n"/>
      <c r="H428" s="0">
        <f>H387</f>
        <v/>
      </c>
      <c r="I428" s="27">
        <f>i_Setup!$M$16</f>
        <v/>
      </c>
      <c r="K428" s="6" t="n"/>
      <c r="M428" s="245">
        <f>SUMIF($T$4:$CA$4,M$4,$T428:$CA428)</f>
        <v/>
      </c>
      <c r="N428" s="245">
        <f>SUMIF($T$4:$CA$4,N$4,$T428:$CA428)</f>
        <v/>
      </c>
      <c r="O428" s="245">
        <f>SUMIF($T$4:$CA$4,O$4,$T428:$CA428)</f>
        <v/>
      </c>
      <c r="P428" s="245">
        <f>SUMIF($T$4:$CA$4,P$4,$T428:$CA428)</f>
        <v/>
      </c>
      <c r="Q428" s="245">
        <f>SUMIF($T$4:$CA$4,Q$4,$T428:$CA428)</f>
        <v/>
      </c>
      <c r="T428" s="245">
        <f>IF(T$7="Actual","",(T374*T387)+((T374*T387)*$K399)+(INDEX($M387:$Q387,,MATCH(T$4,$M$4:$Q$4,0))*T416)*T374)</f>
        <v/>
      </c>
      <c r="U428" s="245">
        <f>IF(U$7="Actual","",(U374*U387)+((U374*U387)*$K399)+(INDEX($M387:$Q387,,MATCH(U$4,$M$4:$Q$4,0))*U416)*U374)</f>
        <v/>
      </c>
      <c r="V428" s="245">
        <f>IF(V$7="Actual","",(V374*V387)+((V374*V387)*$K399)+(INDEX($M387:$Q387,,MATCH(V$4,$M$4:$Q$4,0))*V416)*V374)</f>
        <v/>
      </c>
      <c r="W428" s="245">
        <f>IF(W$7="Actual","",(W374*W387)+((W374*W387)*$K399)+(INDEX($M387:$Q387,,MATCH(W$4,$M$4:$Q$4,0))*W416)*W374)</f>
        <v/>
      </c>
      <c r="X428" s="245">
        <f>IF(X$7="Actual","",(X374*X387)+((X374*X387)*$K399)+(INDEX($M387:$Q387,,MATCH(X$4,$M$4:$Q$4,0))*X416)*X374)</f>
        <v/>
      </c>
      <c r="Y428" s="245">
        <f>IF(Y$7="Actual","",(Y374*Y387)+((Y374*Y387)*$K399)+(INDEX($M387:$Q387,,MATCH(Y$4,$M$4:$Q$4,0))*Y416)*Y374)</f>
        <v/>
      </c>
      <c r="Z428" s="245">
        <f>IF(Z$7="Actual","",(Z374*Z387)+((Z374*Z387)*$K399)+(INDEX($M387:$Q387,,MATCH(Z$4,$M$4:$Q$4,0))*Z416)*Z374)</f>
        <v/>
      </c>
      <c r="AA428" s="245">
        <f>IF(AA$7="Actual","",(AA374*AA387)+((AA374*AA387)*$K399)+(INDEX($M387:$Q387,,MATCH(AA$4,$M$4:$Q$4,0))*AA416)*AA374)</f>
        <v/>
      </c>
      <c r="AB428" s="245">
        <f>IF(AB$7="Actual","",(AB374*AB387)+((AB374*AB387)*$K399)+(INDEX($M387:$Q387,,MATCH(AB$4,$M$4:$Q$4,0))*AB416)*AB374)</f>
        <v/>
      </c>
      <c r="AC428" s="245">
        <f>IF(AC$7="Actual","",(AC374*AC387)+((AC374*AC387)*$K399)+(INDEX($M387:$Q387,,MATCH(AC$4,$M$4:$Q$4,0))*AC416)*AC374)</f>
        <v/>
      </c>
      <c r="AD428" s="245">
        <f>IF(AD$7="Actual","",(AD374*AD387)+((AD374*AD387)*$K399)+(INDEX($M387:$Q387,,MATCH(AD$4,$M$4:$Q$4,0))*AD416)*AD374)</f>
        <v/>
      </c>
      <c r="AE428" s="245">
        <f>IF(AE$7="Actual","",(AE374*AE387)+((AE374*AE387)*$K399)+(INDEX($M387:$Q387,,MATCH(AE$4,$M$4:$Q$4,0))*AE416)*AE374)</f>
        <v/>
      </c>
      <c r="AF428" s="245">
        <f>IF(AF$7="Actual","",(AF374*AF387)+((AF374*AF387)*$K399)+(INDEX($M387:$Q387,,MATCH(AF$4,$M$4:$Q$4,0))*AF416)*AF374)</f>
        <v/>
      </c>
      <c r="AG428" s="245">
        <f>IF(AG$7="Actual","",(AG374*AG387)+((AG374*AG387)*$K399)+(INDEX($M387:$Q387,,MATCH(AG$4,$M$4:$Q$4,0))*AG416)*AG374)</f>
        <v/>
      </c>
      <c r="AH428" s="245">
        <f>IF(AH$7="Actual","",(AH374*AH387)+((AH374*AH387)*$K399)+(INDEX($M387:$Q387,,MATCH(AH$4,$M$4:$Q$4,0))*AH416)*AH374)</f>
        <v/>
      </c>
      <c r="AI428" s="245">
        <f>IF(AI$7="Actual","",(AI374*AI387)+((AI374*AI387)*$K399)+(INDEX($M387:$Q387,,MATCH(AI$4,$M$4:$Q$4,0))*AI416)*AI374)</f>
        <v/>
      </c>
      <c r="AJ428" s="245">
        <f>IF(AJ$7="Actual","",(AJ374*AJ387)+((AJ374*AJ387)*$K399)+(INDEX($M387:$Q387,,MATCH(AJ$4,$M$4:$Q$4,0))*AJ416)*AJ374)</f>
        <v/>
      </c>
      <c r="AK428" s="245">
        <f>IF(AK$7="Actual","",(AK374*AK387)+((AK374*AK387)*$K399)+(INDEX($M387:$Q387,,MATCH(AK$4,$M$4:$Q$4,0))*AK416)*AK374)</f>
        <v/>
      </c>
      <c r="AL428" s="245">
        <f>IF(AL$7="Actual","",(AL374*AL387)+((AL374*AL387)*$K399)+(INDEX($M387:$Q387,,MATCH(AL$4,$M$4:$Q$4,0))*AL416)*AL374)</f>
        <v/>
      </c>
      <c r="AM428" s="245">
        <f>IF(AM$7="Actual","",(AM374*AM387)+((AM374*AM387)*$K399)+(INDEX($M387:$Q387,,MATCH(AM$4,$M$4:$Q$4,0))*AM416)*AM374)</f>
        <v/>
      </c>
      <c r="AN428" s="245">
        <f>IF(AN$7="Actual","",(AN374*AN387)+((AN374*AN387)*$K399)+(INDEX($M387:$Q387,,MATCH(AN$4,$M$4:$Q$4,0))*AN416)*AN374)</f>
        <v/>
      </c>
      <c r="AO428" s="245">
        <f>IF(AO$7="Actual","",(AO374*AO387)+((AO374*AO387)*$K399)+(INDEX($M387:$Q387,,MATCH(AO$4,$M$4:$Q$4,0))*AO416)*AO374)</f>
        <v/>
      </c>
      <c r="AP428" s="245">
        <f>IF(AP$7="Actual","",(AP374*AP387)+((AP374*AP387)*$K399)+(INDEX($M387:$Q387,,MATCH(AP$4,$M$4:$Q$4,0))*AP416)*AP374)</f>
        <v/>
      </c>
      <c r="AQ428" s="245">
        <f>IF(AQ$7="Actual","",(AQ374*AQ387)+((AQ374*AQ387)*$K399)+(INDEX($M387:$Q387,,MATCH(AQ$4,$M$4:$Q$4,0))*AQ416)*AQ374)</f>
        <v/>
      </c>
      <c r="AR428" s="245">
        <f>IF(AR$7="Actual","",(AR374*AR387)+((AR374*AR387)*$K399)+(INDEX($M387:$Q387,,MATCH(AR$4,$M$4:$Q$4,0))*AR416)*AR374)</f>
        <v/>
      </c>
      <c r="AS428" s="245">
        <f>IF(AS$7="Actual","",(AS374*AS387)+((AS374*AS387)*$K399)+(INDEX($M387:$Q387,,MATCH(AS$4,$M$4:$Q$4,0))*AS416)*AS374)</f>
        <v/>
      </c>
      <c r="AT428" s="245">
        <f>IF(AT$7="Actual","",(AT374*AT387)+((AT374*AT387)*$K399)+(INDEX($M387:$Q387,,MATCH(AT$4,$M$4:$Q$4,0))*AT416)*AT374)</f>
        <v/>
      </c>
      <c r="AU428" s="245">
        <f>IF(AU$7="Actual","",(AU374*AU387)+((AU374*AU387)*$K399)+(INDEX($M387:$Q387,,MATCH(AU$4,$M$4:$Q$4,0))*AU416)*AU374)</f>
        <v/>
      </c>
      <c r="AV428" s="245">
        <f>IF(AV$7="Actual","",(AV374*AV387)+((AV374*AV387)*$K399)+(INDEX($M387:$Q387,,MATCH(AV$4,$M$4:$Q$4,0))*AV416)*AV374)</f>
        <v/>
      </c>
      <c r="AW428" s="245">
        <f>IF(AW$7="Actual","",(AW374*AW387)+((AW374*AW387)*$K399)+(INDEX($M387:$Q387,,MATCH(AW$4,$M$4:$Q$4,0))*AW416)*AW374)</f>
        <v/>
      </c>
      <c r="AX428" s="245">
        <f>IF(AX$7="Actual","",(AX374*AX387)+((AX374*AX387)*$K399)+(INDEX($M387:$Q387,,MATCH(AX$4,$M$4:$Q$4,0))*AX416)*AX374)</f>
        <v/>
      </c>
      <c r="AY428" s="245">
        <f>IF(AY$7="Actual","",(AY374*AY387)+((AY374*AY387)*$K399)+(INDEX($M387:$Q387,,MATCH(AY$4,$M$4:$Q$4,0))*AY416)*AY374)</f>
        <v/>
      </c>
      <c r="AZ428" s="245">
        <f>IF(AZ$7="Actual","",(AZ374*AZ387)+((AZ374*AZ387)*$K399)+(INDEX($M387:$Q387,,MATCH(AZ$4,$M$4:$Q$4,0))*AZ416)*AZ374)</f>
        <v/>
      </c>
      <c r="BA428" s="245">
        <f>IF(BA$7="Actual","",(BA374*BA387)+((BA374*BA387)*$K399)+(INDEX($M387:$Q387,,MATCH(BA$4,$M$4:$Q$4,0))*BA416)*BA374)</f>
        <v/>
      </c>
      <c r="BB428" s="245">
        <f>IF(BB$7="Actual","",(BB374*BB387)+((BB374*BB387)*$K399)+(INDEX($M387:$Q387,,MATCH(BB$4,$M$4:$Q$4,0))*BB416)*BB374)</f>
        <v/>
      </c>
      <c r="BC428" s="245">
        <f>IF(BC$7="Actual","",(BC374*BC387)+((BC374*BC387)*$K399)+(INDEX($M387:$Q387,,MATCH(BC$4,$M$4:$Q$4,0))*BC416)*BC374)</f>
        <v/>
      </c>
      <c r="BD428" s="245">
        <f>IF(BD$7="Actual","",(BD374*BD387)+((BD374*BD387)*$K399)+(INDEX($M387:$Q387,,MATCH(BD$4,$M$4:$Q$4,0))*BD416)*BD374)</f>
        <v/>
      </c>
      <c r="BE428" s="245">
        <f>IF(BE$7="Actual","",(BE374*BE387)+((BE374*BE387)*$K399)+(INDEX($M387:$Q387,,MATCH(BE$4,$M$4:$Q$4,0))*BE416)*BE374)</f>
        <v/>
      </c>
      <c r="BF428" s="245">
        <f>IF(BF$7="Actual","",(BF374*BF387)+((BF374*BF387)*$K399)+(INDEX($M387:$Q387,,MATCH(BF$4,$M$4:$Q$4,0))*BF416)*BF374)</f>
        <v/>
      </c>
      <c r="BG428" s="245">
        <f>IF(BG$7="Actual","",(BG374*BG387)+((BG374*BG387)*$K399)+(INDEX($M387:$Q387,,MATCH(BG$4,$M$4:$Q$4,0))*BG416)*BG374)</f>
        <v/>
      </c>
      <c r="BH428" s="245">
        <f>IF(BH$7="Actual","",(BH374*BH387)+((BH374*BH387)*$K399)+(INDEX($M387:$Q387,,MATCH(BH$4,$M$4:$Q$4,0))*BH416)*BH374)</f>
        <v/>
      </c>
      <c r="BI428" s="245">
        <f>IF(BI$7="Actual","",(BI374*BI387)+((BI374*BI387)*$K399)+(INDEX($M387:$Q387,,MATCH(BI$4,$M$4:$Q$4,0))*BI416)*BI374)</f>
        <v/>
      </c>
      <c r="BJ428" s="245">
        <f>IF(BJ$7="Actual","",(BJ374*BJ387)+((BJ374*BJ387)*$K399)+(INDEX($M387:$Q387,,MATCH(BJ$4,$M$4:$Q$4,0))*BJ416)*BJ374)</f>
        <v/>
      </c>
      <c r="BK428" s="245">
        <f>IF(BK$7="Actual","",(BK374*BK387)+((BK374*BK387)*$K399)+(INDEX($M387:$Q387,,MATCH(BK$4,$M$4:$Q$4,0))*BK416)*BK374)</f>
        <v/>
      </c>
      <c r="BL428" s="245">
        <f>IF(BL$7="Actual","",(BL374*BL387)+((BL374*BL387)*$K399)+(INDEX($M387:$Q387,,MATCH(BL$4,$M$4:$Q$4,0))*BL416)*BL374)</f>
        <v/>
      </c>
      <c r="BM428" s="245">
        <f>IF(BM$7="Actual","",(BM374*BM387)+((BM374*BM387)*$K399)+(INDEX($M387:$Q387,,MATCH(BM$4,$M$4:$Q$4,0))*BM416)*BM374)</f>
        <v/>
      </c>
      <c r="BN428" s="245">
        <f>IF(BN$7="Actual","",(BN374*BN387)+((BN374*BN387)*$K399)+(INDEX($M387:$Q387,,MATCH(BN$4,$M$4:$Q$4,0))*BN416)*BN374)</f>
        <v/>
      </c>
      <c r="BO428" s="245">
        <f>IF(BO$7="Actual","",(BO374*BO387)+((BO374*BO387)*$K399)+(INDEX($M387:$Q387,,MATCH(BO$4,$M$4:$Q$4,0))*BO416)*BO374)</f>
        <v/>
      </c>
      <c r="BP428" s="245">
        <f>IF(BP$7="Actual","",(BP374*BP387)+((BP374*BP387)*$K399)+(INDEX($M387:$Q387,,MATCH(BP$4,$M$4:$Q$4,0))*BP416)*BP374)</f>
        <v/>
      </c>
      <c r="BQ428" s="245">
        <f>IF(BQ$7="Actual","",(BQ374*BQ387)+((BQ374*BQ387)*$K399)+(INDEX($M387:$Q387,,MATCH(BQ$4,$M$4:$Q$4,0))*BQ416)*BQ374)</f>
        <v/>
      </c>
      <c r="BR428" s="245">
        <f>IF(BR$7="Actual","",(BR374*BR387)+((BR374*BR387)*$K399)+(INDEX($M387:$Q387,,MATCH(BR$4,$M$4:$Q$4,0))*BR416)*BR374)</f>
        <v/>
      </c>
      <c r="BS428" s="245">
        <f>IF(BS$7="Actual","",(BS374*BS387)+((BS374*BS387)*$K399)+(INDEX($M387:$Q387,,MATCH(BS$4,$M$4:$Q$4,0))*BS416)*BS374)</f>
        <v/>
      </c>
      <c r="BT428" s="245">
        <f>IF(BT$7="Actual","",(BT374*BT387)+((BT374*BT387)*$K399)+(INDEX($M387:$Q387,,MATCH(BT$4,$M$4:$Q$4,0))*BT416)*BT374)</f>
        <v/>
      </c>
      <c r="BU428" s="245">
        <f>IF(BU$7="Actual","",(BU374*BU387)+((BU374*BU387)*$K399)+(INDEX($M387:$Q387,,MATCH(BU$4,$M$4:$Q$4,0))*BU416)*BU374)</f>
        <v/>
      </c>
      <c r="BV428" s="245">
        <f>IF(BV$7="Actual","",(BV374*BV387)+((BV374*BV387)*$K399)+(INDEX($M387:$Q387,,MATCH(BV$4,$M$4:$Q$4,0))*BV416)*BV374)</f>
        <v/>
      </c>
      <c r="BW428" s="245">
        <f>IF(BW$7="Actual","",(BW374*BW387)+((BW374*BW387)*$K399)+(INDEX($M387:$Q387,,MATCH(BW$4,$M$4:$Q$4,0))*BW416)*BW374)</f>
        <v/>
      </c>
      <c r="BX428" s="245">
        <f>IF(BX$7="Actual","",(BX374*BX387)+((BX374*BX387)*$K399)+(INDEX($M387:$Q387,,MATCH(BX$4,$M$4:$Q$4,0))*BX416)*BX374)</f>
        <v/>
      </c>
      <c r="BY428" s="245">
        <f>IF(BY$7="Actual","",(BY374*BY387)+((BY374*BY387)*$K399)+(INDEX($M387:$Q387,,MATCH(BY$4,$M$4:$Q$4,0))*BY416)*BY374)</f>
        <v/>
      </c>
      <c r="BZ428" s="245">
        <f>IF(BZ$7="Actual","",(BZ374*BZ387)+((BZ374*BZ387)*$K399)+(INDEX($M387:$Q387,,MATCH(BZ$4,$M$4:$Q$4,0))*BZ416)*BZ374)</f>
        <v/>
      </c>
      <c r="CA428" s="245">
        <f>IF(CA$7="Actual","",(CA374*CA387)+((CA374*CA387)*$K399)+(INDEX($M387:$Q387,,MATCH(CA$4,$M$4:$Q$4,0))*CA416)*CA374)</f>
        <v/>
      </c>
    </row>
    <row r="429" ht="12.6" customHeight="1" s="227">
      <c r="A429" s="244" t="n"/>
      <c r="B429" s="244" t="n"/>
      <c r="C429" s="244" t="n"/>
      <c r="H429" s="0">
        <f>H388</f>
        <v/>
      </c>
      <c r="I429" s="27">
        <f>i_Setup!$M$16</f>
        <v/>
      </c>
      <c r="K429" s="6" t="n"/>
      <c r="M429" s="245">
        <f>SUMIF($T$4:$CA$4,M$4,$T429:$CA429)</f>
        <v/>
      </c>
      <c r="N429" s="245">
        <f>SUMIF($T$4:$CA$4,N$4,$T429:$CA429)</f>
        <v/>
      </c>
      <c r="O429" s="245">
        <f>SUMIF($T$4:$CA$4,O$4,$T429:$CA429)</f>
        <v/>
      </c>
      <c r="P429" s="245">
        <f>SUMIF($T$4:$CA$4,P$4,$T429:$CA429)</f>
        <v/>
      </c>
      <c r="Q429" s="245">
        <f>SUMIF($T$4:$CA$4,Q$4,$T429:$CA429)</f>
        <v/>
      </c>
      <c r="T429" s="245">
        <f>IF(T$7="Actual","",(T375*T388)+((T375*T388)*$K400)+(INDEX($M388:$Q388,,MATCH(T$4,$M$4:$Q$4,0))*T417)*T375)</f>
        <v/>
      </c>
      <c r="U429" s="245">
        <f>IF(U$7="Actual","",(U375*U388)+((U375*U388)*$K400)+(INDEX($M388:$Q388,,MATCH(U$4,$M$4:$Q$4,0))*U417)*U375)</f>
        <v/>
      </c>
      <c r="V429" s="245">
        <f>IF(V$7="Actual","",(V375*V388)+((V375*V388)*$K400)+(INDEX($M388:$Q388,,MATCH(V$4,$M$4:$Q$4,0))*V417)*V375)</f>
        <v/>
      </c>
      <c r="W429" s="245">
        <f>IF(W$7="Actual","",(W375*W388)+((W375*W388)*$K400)+(INDEX($M388:$Q388,,MATCH(W$4,$M$4:$Q$4,0))*W417)*W375)</f>
        <v/>
      </c>
      <c r="X429" s="245">
        <f>IF(X$7="Actual","",(X375*X388)+((X375*X388)*$K400)+(INDEX($M388:$Q388,,MATCH(X$4,$M$4:$Q$4,0))*X417)*X375)</f>
        <v/>
      </c>
      <c r="Y429" s="245">
        <f>IF(Y$7="Actual","",(Y375*Y388)+((Y375*Y388)*$K400)+(INDEX($M388:$Q388,,MATCH(Y$4,$M$4:$Q$4,0))*Y417)*Y375)</f>
        <v/>
      </c>
      <c r="Z429" s="245">
        <f>IF(Z$7="Actual","",(Z375*Z388)+((Z375*Z388)*$K400)+(INDEX($M388:$Q388,,MATCH(Z$4,$M$4:$Q$4,0))*Z417)*Z375)</f>
        <v/>
      </c>
      <c r="AA429" s="245">
        <f>IF(AA$7="Actual","",(AA375*AA388)+((AA375*AA388)*$K400)+(INDEX($M388:$Q388,,MATCH(AA$4,$M$4:$Q$4,0))*AA417)*AA375)</f>
        <v/>
      </c>
      <c r="AB429" s="245">
        <f>IF(AB$7="Actual","",(AB375*AB388)+((AB375*AB388)*$K400)+(INDEX($M388:$Q388,,MATCH(AB$4,$M$4:$Q$4,0))*AB417)*AB375)</f>
        <v/>
      </c>
      <c r="AC429" s="245">
        <f>IF(AC$7="Actual","",(AC375*AC388)+((AC375*AC388)*$K400)+(INDEX($M388:$Q388,,MATCH(AC$4,$M$4:$Q$4,0))*AC417)*AC375)</f>
        <v/>
      </c>
      <c r="AD429" s="245">
        <f>IF(AD$7="Actual","",(AD375*AD388)+((AD375*AD388)*$K400)+(INDEX($M388:$Q388,,MATCH(AD$4,$M$4:$Q$4,0))*AD417)*AD375)</f>
        <v/>
      </c>
      <c r="AE429" s="245">
        <f>IF(AE$7="Actual","",(AE375*AE388)+((AE375*AE388)*$K400)+(INDEX($M388:$Q388,,MATCH(AE$4,$M$4:$Q$4,0))*AE417)*AE375)</f>
        <v/>
      </c>
      <c r="AF429" s="245">
        <f>IF(AF$7="Actual","",(AF375*AF388)+((AF375*AF388)*$K400)+(INDEX($M388:$Q388,,MATCH(AF$4,$M$4:$Q$4,0))*AF417)*AF375)</f>
        <v/>
      </c>
      <c r="AG429" s="245">
        <f>IF(AG$7="Actual","",(AG375*AG388)+((AG375*AG388)*$K400)+(INDEX($M388:$Q388,,MATCH(AG$4,$M$4:$Q$4,0))*AG417)*AG375)</f>
        <v/>
      </c>
      <c r="AH429" s="245">
        <f>IF(AH$7="Actual","",(AH375*AH388)+((AH375*AH388)*$K400)+(INDEX($M388:$Q388,,MATCH(AH$4,$M$4:$Q$4,0))*AH417)*AH375)</f>
        <v/>
      </c>
      <c r="AI429" s="245">
        <f>IF(AI$7="Actual","",(AI375*AI388)+((AI375*AI388)*$K400)+(INDEX($M388:$Q388,,MATCH(AI$4,$M$4:$Q$4,0))*AI417)*AI375)</f>
        <v/>
      </c>
      <c r="AJ429" s="245">
        <f>IF(AJ$7="Actual","",(AJ375*AJ388)+((AJ375*AJ388)*$K400)+(INDEX($M388:$Q388,,MATCH(AJ$4,$M$4:$Q$4,0))*AJ417)*AJ375)</f>
        <v/>
      </c>
      <c r="AK429" s="245">
        <f>IF(AK$7="Actual","",(AK375*AK388)+((AK375*AK388)*$K400)+(INDEX($M388:$Q388,,MATCH(AK$4,$M$4:$Q$4,0))*AK417)*AK375)</f>
        <v/>
      </c>
      <c r="AL429" s="245">
        <f>IF(AL$7="Actual","",(AL375*AL388)+((AL375*AL388)*$K400)+(INDEX($M388:$Q388,,MATCH(AL$4,$M$4:$Q$4,0))*AL417)*AL375)</f>
        <v/>
      </c>
      <c r="AM429" s="245">
        <f>IF(AM$7="Actual","",(AM375*AM388)+((AM375*AM388)*$K400)+(INDEX($M388:$Q388,,MATCH(AM$4,$M$4:$Q$4,0))*AM417)*AM375)</f>
        <v/>
      </c>
      <c r="AN429" s="245">
        <f>IF(AN$7="Actual","",(AN375*AN388)+((AN375*AN388)*$K400)+(INDEX($M388:$Q388,,MATCH(AN$4,$M$4:$Q$4,0))*AN417)*AN375)</f>
        <v/>
      </c>
      <c r="AO429" s="245">
        <f>IF(AO$7="Actual","",(AO375*AO388)+((AO375*AO388)*$K400)+(INDEX($M388:$Q388,,MATCH(AO$4,$M$4:$Q$4,0))*AO417)*AO375)</f>
        <v/>
      </c>
      <c r="AP429" s="245">
        <f>IF(AP$7="Actual","",(AP375*AP388)+((AP375*AP388)*$K400)+(INDEX($M388:$Q388,,MATCH(AP$4,$M$4:$Q$4,0))*AP417)*AP375)</f>
        <v/>
      </c>
      <c r="AQ429" s="245">
        <f>IF(AQ$7="Actual","",(AQ375*AQ388)+((AQ375*AQ388)*$K400)+(INDEX($M388:$Q388,,MATCH(AQ$4,$M$4:$Q$4,0))*AQ417)*AQ375)</f>
        <v/>
      </c>
      <c r="AR429" s="245">
        <f>IF(AR$7="Actual","",(AR375*AR388)+((AR375*AR388)*$K400)+(INDEX($M388:$Q388,,MATCH(AR$4,$M$4:$Q$4,0))*AR417)*AR375)</f>
        <v/>
      </c>
      <c r="AS429" s="245">
        <f>IF(AS$7="Actual","",(AS375*AS388)+((AS375*AS388)*$K400)+(INDEX($M388:$Q388,,MATCH(AS$4,$M$4:$Q$4,0))*AS417)*AS375)</f>
        <v/>
      </c>
      <c r="AT429" s="245">
        <f>IF(AT$7="Actual","",(AT375*AT388)+((AT375*AT388)*$K400)+(INDEX($M388:$Q388,,MATCH(AT$4,$M$4:$Q$4,0))*AT417)*AT375)</f>
        <v/>
      </c>
      <c r="AU429" s="245">
        <f>IF(AU$7="Actual","",(AU375*AU388)+((AU375*AU388)*$K400)+(INDEX($M388:$Q388,,MATCH(AU$4,$M$4:$Q$4,0))*AU417)*AU375)</f>
        <v/>
      </c>
      <c r="AV429" s="245">
        <f>IF(AV$7="Actual","",(AV375*AV388)+((AV375*AV388)*$K400)+(INDEX($M388:$Q388,,MATCH(AV$4,$M$4:$Q$4,0))*AV417)*AV375)</f>
        <v/>
      </c>
      <c r="AW429" s="245">
        <f>IF(AW$7="Actual","",(AW375*AW388)+((AW375*AW388)*$K400)+(INDEX($M388:$Q388,,MATCH(AW$4,$M$4:$Q$4,0))*AW417)*AW375)</f>
        <v/>
      </c>
      <c r="AX429" s="245">
        <f>IF(AX$7="Actual","",(AX375*AX388)+((AX375*AX388)*$K400)+(INDEX($M388:$Q388,,MATCH(AX$4,$M$4:$Q$4,0))*AX417)*AX375)</f>
        <v/>
      </c>
      <c r="AY429" s="245">
        <f>IF(AY$7="Actual","",(AY375*AY388)+((AY375*AY388)*$K400)+(INDEX($M388:$Q388,,MATCH(AY$4,$M$4:$Q$4,0))*AY417)*AY375)</f>
        <v/>
      </c>
      <c r="AZ429" s="245">
        <f>IF(AZ$7="Actual","",(AZ375*AZ388)+((AZ375*AZ388)*$K400)+(INDEX($M388:$Q388,,MATCH(AZ$4,$M$4:$Q$4,0))*AZ417)*AZ375)</f>
        <v/>
      </c>
      <c r="BA429" s="245">
        <f>IF(BA$7="Actual","",(BA375*BA388)+((BA375*BA388)*$K400)+(INDEX($M388:$Q388,,MATCH(BA$4,$M$4:$Q$4,0))*BA417)*BA375)</f>
        <v/>
      </c>
      <c r="BB429" s="245">
        <f>IF(BB$7="Actual","",(BB375*BB388)+((BB375*BB388)*$K400)+(INDEX($M388:$Q388,,MATCH(BB$4,$M$4:$Q$4,0))*BB417)*BB375)</f>
        <v/>
      </c>
      <c r="BC429" s="245">
        <f>IF(BC$7="Actual","",(BC375*BC388)+((BC375*BC388)*$K400)+(INDEX($M388:$Q388,,MATCH(BC$4,$M$4:$Q$4,0))*BC417)*BC375)</f>
        <v/>
      </c>
      <c r="BD429" s="245">
        <f>IF(BD$7="Actual","",(BD375*BD388)+((BD375*BD388)*$K400)+(INDEX($M388:$Q388,,MATCH(BD$4,$M$4:$Q$4,0))*BD417)*BD375)</f>
        <v/>
      </c>
      <c r="BE429" s="245">
        <f>IF(BE$7="Actual","",(BE375*BE388)+((BE375*BE388)*$K400)+(INDEX($M388:$Q388,,MATCH(BE$4,$M$4:$Q$4,0))*BE417)*BE375)</f>
        <v/>
      </c>
      <c r="BF429" s="245">
        <f>IF(BF$7="Actual","",(BF375*BF388)+((BF375*BF388)*$K400)+(INDEX($M388:$Q388,,MATCH(BF$4,$M$4:$Q$4,0))*BF417)*BF375)</f>
        <v/>
      </c>
      <c r="BG429" s="245">
        <f>IF(BG$7="Actual","",(BG375*BG388)+((BG375*BG388)*$K400)+(INDEX($M388:$Q388,,MATCH(BG$4,$M$4:$Q$4,0))*BG417)*BG375)</f>
        <v/>
      </c>
      <c r="BH429" s="245">
        <f>IF(BH$7="Actual","",(BH375*BH388)+((BH375*BH388)*$K400)+(INDEX($M388:$Q388,,MATCH(BH$4,$M$4:$Q$4,0))*BH417)*BH375)</f>
        <v/>
      </c>
      <c r="BI429" s="245">
        <f>IF(BI$7="Actual","",(BI375*BI388)+((BI375*BI388)*$K400)+(INDEX($M388:$Q388,,MATCH(BI$4,$M$4:$Q$4,0))*BI417)*BI375)</f>
        <v/>
      </c>
      <c r="BJ429" s="245">
        <f>IF(BJ$7="Actual","",(BJ375*BJ388)+((BJ375*BJ388)*$K400)+(INDEX($M388:$Q388,,MATCH(BJ$4,$M$4:$Q$4,0))*BJ417)*BJ375)</f>
        <v/>
      </c>
      <c r="BK429" s="245">
        <f>IF(BK$7="Actual","",(BK375*BK388)+((BK375*BK388)*$K400)+(INDEX($M388:$Q388,,MATCH(BK$4,$M$4:$Q$4,0))*BK417)*BK375)</f>
        <v/>
      </c>
      <c r="BL429" s="245">
        <f>IF(BL$7="Actual","",(BL375*BL388)+((BL375*BL388)*$K400)+(INDEX($M388:$Q388,,MATCH(BL$4,$M$4:$Q$4,0))*BL417)*BL375)</f>
        <v/>
      </c>
      <c r="BM429" s="245">
        <f>IF(BM$7="Actual","",(BM375*BM388)+((BM375*BM388)*$K400)+(INDEX($M388:$Q388,,MATCH(BM$4,$M$4:$Q$4,0))*BM417)*BM375)</f>
        <v/>
      </c>
      <c r="BN429" s="245">
        <f>IF(BN$7="Actual","",(BN375*BN388)+((BN375*BN388)*$K400)+(INDEX($M388:$Q388,,MATCH(BN$4,$M$4:$Q$4,0))*BN417)*BN375)</f>
        <v/>
      </c>
      <c r="BO429" s="245">
        <f>IF(BO$7="Actual","",(BO375*BO388)+((BO375*BO388)*$K400)+(INDEX($M388:$Q388,,MATCH(BO$4,$M$4:$Q$4,0))*BO417)*BO375)</f>
        <v/>
      </c>
      <c r="BP429" s="245">
        <f>IF(BP$7="Actual","",(BP375*BP388)+((BP375*BP388)*$K400)+(INDEX($M388:$Q388,,MATCH(BP$4,$M$4:$Q$4,0))*BP417)*BP375)</f>
        <v/>
      </c>
      <c r="BQ429" s="245">
        <f>IF(BQ$7="Actual","",(BQ375*BQ388)+((BQ375*BQ388)*$K400)+(INDEX($M388:$Q388,,MATCH(BQ$4,$M$4:$Q$4,0))*BQ417)*BQ375)</f>
        <v/>
      </c>
      <c r="BR429" s="245">
        <f>IF(BR$7="Actual","",(BR375*BR388)+((BR375*BR388)*$K400)+(INDEX($M388:$Q388,,MATCH(BR$4,$M$4:$Q$4,0))*BR417)*BR375)</f>
        <v/>
      </c>
      <c r="BS429" s="245">
        <f>IF(BS$7="Actual","",(BS375*BS388)+((BS375*BS388)*$K400)+(INDEX($M388:$Q388,,MATCH(BS$4,$M$4:$Q$4,0))*BS417)*BS375)</f>
        <v/>
      </c>
      <c r="BT429" s="245">
        <f>IF(BT$7="Actual","",(BT375*BT388)+((BT375*BT388)*$K400)+(INDEX($M388:$Q388,,MATCH(BT$4,$M$4:$Q$4,0))*BT417)*BT375)</f>
        <v/>
      </c>
      <c r="BU429" s="245">
        <f>IF(BU$7="Actual","",(BU375*BU388)+((BU375*BU388)*$K400)+(INDEX($M388:$Q388,,MATCH(BU$4,$M$4:$Q$4,0))*BU417)*BU375)</f>
        <v/>
      </c>
      <c r="BV429" s="245">
        <f>IF(BV$7="Actual","",(BV375*BV388)+((BV375*BV388)*$K400)+(INDEX($M388:$Q388,,MATCH(BV$4,$M$4:$Q$4,0))*BV417)*BV375)</f>
        <v/>
      </c>
      <c r="BW429" s="245">
        <f>IF(BW$7="Actual","",(BW375*BW388)+((BW375*BW388)*$K400)+(INDEX($M388:$Q388,,MATCH(BW$4,$M$4:$Q$4,0))*BW417)*BW375)</f>
        <v/>
      </c>
      <c r="BX429" s="245">
        <f>IF(BX$7="Actual","",(BX375*BX388)+((BX375*BX388)*$K400)+(INDEX($M388:$Q388,,MATCH(BX$4,$M$4:$Q$4,0))*BX417)*BX375)</f>
        <v/>
      </c>
      <c r="BY429" s="245">
        <f>IF(BY$7="Actual","",(BY375*BY388)+((BY375*BY388)*$K400)+(INDEX($M388:$Q388,,MATCH(BY$4,$M$4:$Q$4,0))*BY417)*BY375)</f>
        <v/>
      </c>
      <c r="BZ429" s="245">
        <f>IF(BZ$7="Actual","",(BZ375*BZ388)+((BZ375*BZ388)*$K400)+(INDEX($M388:$Q388,,MATCH(BZ$4,$M$4:$Q$4,0))*BZ417)*BZ375)</f>
        <v/>
      </c>
      <c r="CA429" s="245">
        <f>IF(CA$7="Actual","",(CA375*CA388)+((CA375*CA388)*$K400)+(INDEX($M388:$Q388,,MATCH(CA$4,$M$4:$Q$4,0))*CA417)*CA375)</f>
        <v/>
      </c>
    </row>
    <row r="430" ht="12.6" customHeight="1" s="227">
      <c r="A430" s="244" t="n"/>
      <c r="B430" s="244" t="n"/>
      <c r="C430" s="244" t="n"/>
      <c r="H430" s="0">
        <f>H389</f>
        <v/>
      </c>
      <c r="I430" s="27">
        <f>i_Setup!$M$16</f>
        <v/>
      </c>
      <c r="K430" s="6" t="n"/>
      <c r="M430" s="245">
        <f>SUMIF($T$4:$CA$4,M$4,$T430:$CA430)</f>
        <v/>
      </c>
      <c r="N430" s="245">
        <f>SUMIF($T$4:$CA$4,N$4,$T430:$CA430)</f>
        <v/>
      </c>
      <c r="O430" s="245">
        <f>SUMIF($T$4:$CA$4,O$4,$T430:$CA430)</f>
        <v/>
      </c>
      <c r="P430" s="245">
        <f>SUMIF($T$4:$CA$4,P$4,$T430:$CA430)</f>
        <v/>
      </c>
      <c r="Q430" s="245">
        <f>SUMIF($T$4:$CA$4,Q$4,$T430:$CA430)</f>
        <v/>
      </c>
      <c r="T430" s="245">
        <f>IF(T$7="Actual","",(T376*T389)+((T376*T389)*$K401)+(INDEX($M389:$Q389,,MATCH(T$4,$M$4:$Q$4,0))*T418)*T376)</f>
        <v/>
      </c>
      <c r="U430" s="245">
        <f>IF(U$7="Actual","",(U376*U389)+((U376*U389)*$K401)+(INDEX($M389:$Q389,,MATCH(U$4,$M$4:$Q$4,0))*U418)*U376)</f>
        <v/>
      </c>
      <c r="V430" s="245">
        <f>IF(V$7="Actual","",(V376*V389)+((V376*V389)*$K401)+(INDEX($M389:$Q389,,MATCH(V$4,$M$4:$Q$4,0))*V418)*V376)</f>
        <v/>
      </c>
      <c r="W430" s="245">
        <f>IF(W$7="Actual","",(W376*W389)+((W376*W389)*$K401)+(INDEX($M389:$Q389,,MATCH(W$4,$M$4:$Q$4,0))*W418)*W376)</f>
        <v/>
      </c>
      <c r="X430" s="245">
        <f>IF(X$7="Actual","",(X376*X389)+((X376*X389)*$K401)+(INDEX($M389:$Q389,,MATCH(X$4,$M$4:$Q$4,0))*X418)*X376)</f>
        <v/>
      </c>
      <c r="Y430" s="245">
        <f>IF(Y$7="Actual","",(Y376*Y389)+((Y376*Y389)*$K401)+(INDEX($M389:$Q389,,MATCH(Y$4,$M$4:$Q$4,0))*Y418)*Y376)</f>
        <v/>
      </c>
      <c r="Z430" s="245">
        <f>IF(Z$7="Actual","",(Z376*Z389)+((Z376*Z389)*$K401)+(INDEX($M389:$Q389,,MATCH(Z$4,$M$4:$Q$4,0))*Z418)*Z376)</f>
        <v/>
      </c>
      <c r="AA430" s="245">
        <f>IF(AA$7="Actual","",(AA376*AA389)+((AA376*AA389)*$K401)+(INDEX($M389:$Q389,,MATCH(AA$4,$M$4:$Q$4,0))*AA418)*AA376)</f>
        <v/>
      </c>
      <c r="AB430" s="245">
        <f>IF(AB$7="Actual","",(AB376*AB389)+((AB376*AB389)*$K401)+(INDEX($M389:$Q389,,MATCH(AB$4,$M$4:$Q$4,0))*AB418)*AB376)</f>
        <v/>
      </c>
      <c r="AC430" s="245">
        <f>IF(AC$7="Actual","",(AC376*AC389)+((AC376*AC389)*$K401)+(INDEX($M389:$Q389,,MATCH(AC$4,$M$4:$Q$4,0))*AC418)*AC376)</f>
        <v/>
      </c>
      <c r="AD430" s="245">
        <f>IF(AD$7="Actual","",(AD376*AD389)+((AD376*AD389)*$K401)+(INDEX($M389:$Q389,,MATCH(AD$4,$M$4:$Q$4,0))*AD418)*AD376)</f>
        <v/>
      </c>
      <c r="AE430" s="245">
        <f>IF(AE$7="Actual","",(AE376*AE389)+((AE376*AE389)*$K401)+(INDEX($M389:$Q389,,MATCH(AE$4,$M$4:$Q$4,0))*AE418)*AE376)</f>
        <v/>
      </c>
      <c r="AF430" s="245">
        <f>IF(AF$7="Actual","",(AF376*AF389)+((AF376*AF389)*$K401)+(INDEX($M389:$Q389,,MATCH(AF$4,$M$4:$Q$4,0))*AF418)*AF376)</f>
        <v/>
      </c>
      <c r="AG430" s="245">
        <f>IF(AG$7="Actual","",(AG376*AG389)+((AG376*AG389)*$K401)+(INDEX($M389:$Q389,,MATCH(AG$4,$M$4:$Q$4,0))*AG418)*AG376)</f>
        <v/>
      </c>
      <c r="AH430" s="245">
        <f>IF(AH$7="Actual","",(AH376*AH389)+((AH376*AH389)*$K401)+(INDEX($M389:$Q389,,MATCH(AH$4,$M$4:$Q$4,0))*AH418)*AH376)</f>
        <v/>
      </c>
      <c r="AI430" s="245">
        <f>IF(AI$7="Actual","",(AI376*AI389)+((AI376*AI389)*$K401)+(INDEX($M389:$Q389,,MATCH(AI$4,$M$4:$Q$4,0))*AI418)*AI376)</f>
        <v/>
      </c>
      <c r="AJ430" s="245">
        <f>IF(AJ$7="Actual","",(AJ376*AJ389)+((AJ376*AJ389)*$K401)+(INDEX($M389:$Q389,,MATCH(AJ$4,$M$4:$Q$4,0))*AJ418)*AJ376)</f>
        <v/>
      </c>
      <c r="AK430" s="245">
        <f>IF(AK$7="Actual","",(AK376*AK389)+((AK376*AK389)*$K401)+(INDEX($M389:$Q389,,MATCH(AK$4,$M$4:$Q$4,0))*AK418)*AK376)</f>
        <v/>
      </c>
      <c r="AL430" s="245">
        <f>IF(AL$7="Actual","",(AL376*AL389)+((AL376*AL389)*$K401)+(INDEX($M389:$Q389,,MATCH(AL$4,$M$4:$Q$4,0))*AL418)*AL376)</f>
        <v/>
      </c>
      <c r="AM430" s="245">
        <f>IF(AM$7="Actual","",(AM376*AM389)+((AM376*AM389)*$K401)+(INDEX($M389:$Q389,,MATCH(AM$4,$M$4:$Q$4,0))*AM418)*AM376)</f>
        <v/>
      </c>
      <c r="AN430" s="245">
        <f>IF(AN$7="Actual","",(AN376*AN389)+((AN376*AN389)*$K401)+(INDEX($M389:$Q389,,MATCH(AN$4,$M$4:$Q$4,0))*AN418)*AN376)</f>
        <v/>
      </c>
      <c r="AO430" s="245">
        <f>IF(AO$7="Actual","",(AO376*AO389)+((AO376*AO389)*$K401)+(INDEX($M389:$Q389,,MATCH(AO$4,$M$4:$Q$4,0))*AO418)*AO376)</f>
        <v/>
      </c>
      <c r="AP430" s="245">
        <f>IF(AP$7="Actual","",(AP376*AP389)+((AP376*AP389)*$K401)+(INDEX($M389:$Q389,,MATCH(AP$4,$M$4:$Q$4,0))*AP418)*AP376)</f>
        <v/>
      </c>
      <c r="AQ430" s="245">
        <f>IF(AQ$7="Actual","",(AQ376*AQ389)+((AQ376*AQ389)*$K401)+(INDEX($M389:$Q389,,MATCH(AQ$4,$M$4:$Q$4,0))*AQ418)*AQ376)</f>
        <v/>
      </c>
      <c r="AR430" s="245">
        <f>IF(AR$7="Actual","",(AR376*AR389)+((AR376*AR389)*$K401)+(INDEX($M389:$Q389,,MATCH(AR$4,$M$4:$Q$4,0))*AR418)*AR376)</f>
        <v/>
      </c>
      <c r="AS430" s="245">
        <f>IF(AS$7="Actual","",(AS376*AS389)+((AS376*AS389)*$K401)+(INDEX($M389:$Q389,,MATCH(AS$4,$M$4:$Q$4,0))*AS418)*AS376)</f>
        <v/>
      </c>
      <c r="AT430" s="245">
        <f>IF(AT$7="Actual","",(AT376*AT389)+((AT376*AT389)*$K401)+(INDEX($M389:$Q389,,MATCH(AT$4,$M$4:$Q$4,0))*AT418)*AT376)</f>
        <v/>
      </c>
      <c r="AU430" s="245">
        <f>IF(AU$7="Actual","",(AU376*AU389)+((AU376*AU389)*$K401)+(INDEX($M389:$Q389,,MATCH(AU$4,$M$4:$Q$4,0))*AU418)*AU376)</f>
        <v/>
      </c>
      <c r="AV430" s="245">
        <f>IF(AV$7="Actual","",(AV376*AV389)+((AV376*AV389)*$K401)+(INDEX($M389:$Q389,,MATCH(AV$4,$M$4:$Q$4,0))*AV418)*AV376)</f>
        <v/>
      </c>
      <c r="AW430" s="245">
        <f>IF(AW$7="Actual","",(AW376*AW389)+((AW376*AW389)*$K401)+(INDEX($M389:$Q389,,MATCH(AW$4,$M$4:$Q$4,0))*AW418)*AW376)</f>
        <v/>
      </c>
      <c r="AX430" s="245">
        <f>IF(AX$7="Actual","",(AX376*AX389)+((AX376*AX389)*$K401)+(INDEX($M389:$Q389,,MATCH(AX$4,$M$4:$Q$4,0))*AX418)*AX376)</f>
        <v/>
      </c>
      <c r="AY430" s="245">
        <f>IF(AY$7="Actual","",(AY376*AY389)+((AY376*AY389)*$K401)+(INDEX($M389:$Q389,,MATCH(AY$4,$M$4:$Q$4,0))*AY418)*AY376)</f>
        <v/>
      </c>
      <c r="AZ430" s="245">
        <f>IF(AZ$7="Actual","",(AZ376*AZ389)+((AZ376*AZ389)*$K401)+(INDEX($M389:$Q389,,MATCH(AZ$4,$M$4:$Q$4,0))*AZ418)*AZ376)</f>
        <v/>
      </c>
      <c r="BA430" s="245">
        <f>IF(BA$7="Actual","",(BA376*BA389)+((BA376*BA389)*$K401)+(INDEX($M389:$Q389,,MATCH(BA$4,$M$4:$Q$4,0))*BA418)*BA376)</f>
        <v/>
      </c>
      <c r="BB430" s="245">
        <f>IF(BB$7="Actual","",(BB376*BB389)+((BB376*BB389)*$K401)+(INDEX($M389:$Q389,,MATCH(BB$4,$M$4:$Q$4,0))*BB418)*BB376)</f>
        <v/>
      </c>
      <c r="BC430" s="245">
        <f>IF(BC$7="Actual","",(BC376*BC389)+((BC376*BC389)*$K401)+(INDEX($M389:$Q389,,MATCH(BC$4,$M$4:$Q$4,0))*BC418)*BC376)</f>
        <v/>
      </c>
      <c r="BD430" s="245">
        <f>IF(BD$7="Actual","",(BD376*BD389)+((BD376*BD389)*$K401)+(INDEX($M389:$Q389,,MATCH(BD$4,$M$4:$Q$4,0))*BD418)*BD376)</f>
        <v/>
      </c>
      <c r="BE430" s="245">
        <f>IF(BE$7="Actual","",(BE376*BE389)+((BE376*BE389)*$K401)+(INDEX($M389:$Q389,,MATCH(BE$4,$M$4:$Q$4,0))*BE418)*BE376)</f>
        <v/>
      </c>
      <c r="BF430" s="245">
        <f>IF(BF$7="Actual","",(BF376*BF389)+((BF376*BF389)*$K401)+(INDEX($M389:$Q389,,MATCH(BF$4,$M$4:$Q$4,0))*BF418)*BF376)</f>
        <v/>
      </c>
      <c r="BG430" s="245">
        <f>IF(BG$7="Actual","",(BG376*BG389)+((BG376*BG389)*$K401)+(INDEX($M389:$Q389,,MATCH(BG$4,$M$4:$Q$4,0))*BG418)*BG376)</f>
        <v/>
      </c>
      <c r="BH430" s="245">
        <f>IF(BH$7="Actual","",(BH376*BH389)+((BH376*BH389)*$K401)+(INDEX($M389:$Q389,,MATCH(BH$4,$M$4:$Q$4,0))*BH418)*BH376)</f>
        <v/>
      </c>
      <c r="BI430" s="245">
        <f>IF(BI$7="Actual","",(BI376*BI389)+((BI376*BI389)*$K401)+(INDEX($M389:$Q389,,MATCH(BI$4,$M$4:$Q$4,0))*BI418)*BI376)</f>
        <v/>
      </c>
      <c r="BJ430" s="245">
        <f>IF(BJ$7="Actual","",(BJ376*BJ389)+((BJ376*BJ389)*$K401)+(INDEX($M389:$Q389,,MATCH(BJ$4,$M$4:$Q$4,0))*BJ418)*BJ376)</f>
        <v/>
      </c>
      <c r="BK430" s="245">
        <f>IF(BK$7="Actual","",(BK376*BK389)+((BK376*BK389)*$K401)+(INDEX($M389:$Q389,,MATCH(BK$4,$M$4:$Q$4,0))*BK418)*BK376)</f>
        <v/>
      </c>
      <c r="BL430" s="245">
        <f>IF(BL$7="Actual","",(BL376*BL389)+((BL376*BL389)*$K401)+(INDEX($M389:$Q389,,MATCH(BL$4,$M$4:$Q$4,0))*BL418)*BL376)</f>
        <v/>
      </c>
      <c r="BM430" s="245">
        <f>IF(BM$7="Actual","",(BM376*BM389)+((BM376*BM389)*$K401)+(INDEX($M389:$Q389,,MATCH(BM$4,$M$4:$Q$4,0))*BM418)*BM376)</f>
        <v/>
      </c>
      <c r="BN430" s="245">
        <f>IF(BN$7="Actual","",(BN376*BN389)+((BN376*BN389)*$K401)+(INDEX($M389:$Q389,,MATCH(BN$4,$M$4:$Q$4,0))*BN418)*BN376)</f>
        <v/>
      </c>
      <c r="BO430" s="245">
        <f>IF(BO$7="Actual","",(BO376*BO389)+((BO376*BO389)*$K401)+(INDEX($M389:$Q389,,MATCH(BO$4,$M$4:$Q$4,0))*BO418)*BO376)</f>
        <v/>
      </c>
      <c r="BP430" s="245">
        <f>IF(BP$7="Actual","",(BP376*BP389)+((BP376*BP389)*$K401)+(INDEX($M389:$Q389,,MATCH(BP$4,$M$4:$Q$4,0))*BP418)*BP376)</f>
        <v/>
      </c>
      <c r="BQ430" s="245">
        <f>IF(BQ$7="Actual","",(BQ376*BQ389)+((BQ376*BQ389)*$K401)+(INDEX($M389:$Q389,,MATCH(BQ$4,$M$4:$Q$4,0))*BQ418)*BQ376)</f>
        <v/>
      </c>
      <c r="BR430" s="245">
        <f>IF(BR$7="Actual","",(BR376*BR389)+((BR376*BR389)*$K401)+(INDEX($M389:$Q389,,MATCH(BR$4,$M$4:$Q$4,0))*BR418)*BR376)</f>
        <v/>
      </c>
      <c r="BS430" s="245">
        <f>IF(BS$7="Actual","",(BS376*BS389)+((BS376*BS389)*$K401)+(INDEX($M389:$Q389,,MATCH(BS$4,$M$4:$Q$4,0))*BS418)*BS376)</f>
        <v/>
      </c>
      <c r="BT430" s="245">
        <f>IF(BT$7="Actual","",(BT376*BT389)+((BT376*BT389)*$K401)+(INDEX($M389:$Q389,,MATCH(BT$4,$M$4:$Q$4,0))*BT418)*BT376)</f>
        <v/>
      </c>
      <c r="BU430" s="245">
        <f>IF(BU$7="Actual","",(BU376*BU389)+((BU376*BU389)*$K401)+(INDEX($M389:$Q389,,MATCH(BU$4,$M$4:$Q$4,0))*BU418)*BU376)</f>
        <v/>
      </c>
      <c r="BV430" s="245">
        <f>IF(BV$7="Actual","",(BV376*BV389)+((BV376*BV389)*$K401)+(INDEX($M389:$Q389,,MATCH(BV$4,$M$4:$Q$4,0))*BV418)*BV376)</f>
        <v/>
      </c>
      <c r="BW430" s="245">
        <f>IF(BW$7="Actual","",(BW376*BW389)+((BW376*BW389)*$K401)+(INDEX($M389:$Q389,,MATCH(BW$4,$M$4:$Q$4,0))*BW418)*BW376)</f>
        <v/>
      </c>
      <c r="BX430" s="245">
        <f>IF(BX$7="Actual","",(BX376*BX389)+((BX376*BX389)*$K401)+(INDEX($M389:$Q389,,MATCH(BX$4,$M$4:$Q$4,0))*BX418)*BX376)</f>
        <v/>
      </c>
      <c r="BY430" s="245">
        <f>IF(BY$7="Actual","",(BY376*BY389)+((BY376*BY389)*$K401)+(INDEX($M389:$Q389,,MATCH(BY$4,$M$4:$Q$4,0))*BY418)*BY376)</f>
        <v/>
      </c>
      <c r="BZ430" s="245">
        <f>IF(BZ$7="Actual","",(BZ376*BZ389)+((BZ376*BZ389)*$K401)+(INDEX($M389:$Q389,,MATCH(BZ$4,$M$4:$Q$4,0))*BZ418)*BZ376)</f>
        <v/>
      </c>
      <c r="CA430" s="245">
        <f>IF(CA$7="Actual","",(CA376*CA389)+((CA376*CA389)*$K401)+(INDEX($M389:$Q389,,MATCH(CA$4,$M$4:$Q$4,0))*CA418)*CA376)</f>
        <v/>
      </c>
    </row>
    <row r="431" ht="12.6" customHeight="1" s="227">
      <c r="A431" s="244" t="n"/>
      <c r="B431" s="244" t="n"/>
      <c r="C431" s="244" t="n"/>
      <c r="H431" s="0">
        <f>H390</f>
        <v/>
      </c>
      <c r="I431" s="27">
        <f>i_Setup!$M$16</f>
        <v/>
      </c>
      <c r="K431" s="6" t="n"/>
      <c r="M431" s="245">
        <f>SUMIF($T$4:$CA$4,M$4,$T431:$CA431)</f>
        <v/>
      </c>
      <c r="N431" s="245">
        <f>SUMIF($T$4:$CA$4,N$4,$T431:$CA431)</f>
        <v/>
      </c>
      <c r="O431" s="245">
        <f>SUMIF($T$4:$CA$4,O$4,$T431:$CA431)</f>
        <v/>
      </c>
      <c r="P431" s="245">
        <f>SUMIF($T$4:$CA$4,P$4,$T431:$CA431)</f>
        <v/>
      </c>
      <c r="Q431" s="245">
        <f>SUMIF($T$4:$CA$4,Q$4,$T431:$CA431)</f>
        <v/>
      </c>
      <c r="T431" s="245">
        <f>IF(T$7="Actual","",(T377*T390)+((T377*T390)*$K402)+(INDEX($M390:$Q390,,MATCH(T$4,$M$4:$Q$4,0))*T419)*T377)</f>
        <v/>
      </c>
      <c r="U431" s="245">
        <f>IF(U$7="Actual","",(U377*U390)+((U377*U390)*$K402)+(INDEX($M390:$Q390,,MATCH(U$4,$M$4:$Q$4,0))*U419)*U377)</f>
        <v/>
      </c>
      <c r="V431" s="245">
        <f>IF(V$7="Actual","",(V377*V390)+((V377*V390)*$K402)+(INDEX($M390:$Q390,,MATCH(V$4,$M$4:$Q$4,0))*V419)*V377)</f>
        <v/>
      </c>
      <c r="W431" s="245">
        <f>IF(W$7="Actual","",(W377*W390)+((W377*W390)*$K402)+(INDEX($M390:$Q390,,MATCH(W$4,$M$4:$Q$4,0))*W419)*W377)</f>
        <v/>
      </c>
      <c r="X431" s="245">
        <f>IF(X$7="Actual","",(X377*X390)+((X377*X390)*$K402)+(INDEX($M390:$Q390,,MATCH(X$4,$M$4:$Q$4,0))*X419)*X377)</f>
        <v/>
      </c>
      <c r="Y431" s="245">
        <f>IF(Y$7="Actual","",(Y377*Y390)+((Y377*Y390)*$K402)+(INDEX($M390:$Q390,,MATCH(Y$4,$M$4:$Q$4,0))*Y419)*Y377)</f>
        <v/>
      </c>
      <c r="Z431" s="245">
        <f>IF(Z$7="Actual","",(Z377*Z390)+((Z377*Z390)*$K402)+(INDEX($M390:$Q390,,MATCH(Z$4,$M$4:$Q$4,0))*Z419)*Z377)</f>
        <v/>
      </c>
      <c r="AA431" s="245">
        <f>IF(AA$7="Actual","",(AA377*AA390)+((AA377*AA390)*$K402)+(INDEX($M390:$Q390,,MATCH(AA$4,$M$4:$Q$4,0))*AA419)*AA377)</f>
        <v/>
      </c>
      <c r="AB431" s="245">
        <f>IF(AB$7="Actual","",(AB377*AB390)+((AB377*AB390)*$K402)+(INDEX($M390:$Q390,,MATCH(AB$4,$M$4:$Q$4,0))*AB419)*AB377)</f>
        <v/>
      </c>
      <c r="AC431" s="245">
        <f>IF(AC$7="Actual","",(AC377*AC390)+((AC377*AC390)*$K402)+(INDEX($M390:$Q390,,MATCH(AC$4,$M$4:$Q$4,0))*AC419)*AC377)</f>
        <v/>
      </c>
      <c r="AD431" s="245">
        <f>IF(AD$7="Actual","",(AD377*AD390)+((AD377*AD390)*$K402)+(INDEX($M390:$Q390,,MATCH(AD$4,$M$4:$Q$4,0))*AD419)*AD377)</f>
        <v/>
      </c>
      <c r="AE431" s="245">
        <f>IF(AE$7="Actual","",(AE377*AE390)+((AE377*AE390)*$K402)+(INDEX($M390:$Q390,,MATCH(AE$4,$M$4:$Q$4,0))*AE419)*AE377)</f>
        <v/>
      </c>
      <c r="AF431" s="245">
        <f>IF(AF$7="Actual","",(AF377*AF390)+((AF377*AF390)*$K402)+(INDEX($M390:$Q390,,MATCH(AF$4,$M$4:$Q$4,0))*AF419)*AF377)</f>
        <v/>
      </c>
      <c r="AG431" s="245">
        <f>IF(AG$7="Actual","",(AG377*AG390)+((AG377*AG390)*$K402)+(INDEX($M390:$Q390,,MATCH(AG$4,$M$4:$Q$4,0))*AG419)*AG377)</f>
        <v/>
      </c>
      <c r="AH431" s="245">
        <f>IF(AH$7="Actual","",(AH377*AH390)+((AH377*AH390)*$K402)+(INDEX($M390:$Q390,,MATCH(AH$4,$M$4:$Q$4,0))*AH419)*AH377)</f>
        <v/>
      </c>
      <c r="AI431" s="245">
        <f>IF(AI$7="Actual","",(AI377*AI390)+((AI377*AI390)*$K402)+(INDEX($M390:$Q390,,MATCH(AI$4,$M$4:$Q$4,0))*AI419)*AI377)</f>
        <v/>
      </c>
      <c r="AJ431" s="245">
        <f>IF(AJ$7="Actual","",(AJ377*AJ390)+((AJ377*AJ390)*$K402)+(INDEX($M390:$Q390,,MATCH(AJ$4,$M$4:$Q$4,0))*AJ419)*AJ377)</f>
        <v/>
      </c>
      <c r="AK431" s="245">
        <f>IF(AK$7="Actual","",(AK377*AK390)+((AK377*AK390)*$K402)+(INDEX($M390:$Q390,,MATCH(AK$4,$M$4:$Q$4,0))*AK419)*AK377)</f>
        <v/>
      </c>
      <c r="AL431" s="245">
        <f>IF(AL$7="Actual","",(AL377*AL390)+((AL377*AL390)*$K402)+(INDEX($M390:$Q390,,MATCH(AL$4,$M$4:$Q$4,0))*AL419)*AL377)</f>
        <v/>
      </c>
      <c r="AM431" s="245">
        <f>IF(AM$7="Actual","",(AM377*AM390)+((AM377*AM390)*$K402)+(INDEX($M390:$Q390,,MATCH(AM$4,$M$4:$Q$4,0))*AM419)*AM377)</f>
        <v/>
      </c>
      <c r="AN431" s="245">
        <f>IF(AN$7="Actual","",(AN377*AN390)+((AN377*AN390)*$K402)+(INDEX($M390:$Q390,,MATCH(AN$4,$M$4:$Q$4,0))*AN419)*AN377)</f>
        <v/>
      </c>
      <c r="AO431" s="245">
        <f>IF(AO$7="Actual","",(AO377*AO390)+((AO377*AO390)*$K402)+(INDEX($M390:$Q390,,MATCH(AO$4,$M$4:$Q$4,0))*AO419)*AO377)</f>
        <v/>
      </c>
      <c r="AP431" s="245">
        <f>IF(AP$7="Actual","",(AP377*AP390)+((AP377*AP390)*$K402)+(INDEX($M390:$Q390,,MATCH(AP$4,$M$4:$Q$4,0))*AP419)*AP377)</f>
        <v/>
      </c>
      <c r="AQ431" s="245">
        <f>IF(AQ$7="Actual","",(AQ377*AQ390)+((AQ377*AQ390)*$K402)+(INDEX($M390:$Q390,,MATCH(AQ$4,$M$4:$Q$4,0))*AQ419)*AQ377)</f>
        <v/>
      </c>
      <c r="AR431" s="245">
        <f>IF(AR$7="Actual","",(AR377*AR390)+((AR377*AR390)*$K402)+(INDEX($M390:$Q390,,MATCH(AR$4,$M$4:$Q$4,0))*AR419)*AR377)</f>
        <v/>
      </c>
      <c r="AS431" s="245">
        <f>IF(AS$7="Actual","",(AS377*AS390)+((AS377*AS390)*$K402)+(INDEX($M390:$Q390,,MATCH(AS$4,$M$4:$Q$4,0))*AS419)*AS377)</f>
        <v/>
      </c>
      <c r="AT431" s="245">
        <f>IF(AT$7="Actual","",(AT377*AT390)+((AT377*AT390)*$K402)+(INDEX($M390:$Q390,,MATCH(AT$4,$M$4:$Q$4,0))*AT419)*AT377)</f>
        <v/>
      </c>
      <c r="AU431" s="245">
        <f>IF(AU$7="Actual","",(AU377*AU390)+((AU377*AU390)*$K402)+(INDEX($M390:$Q390,,MATCH(AU$4,$M$4:$Q$4,0))*AU419)*AU377)</f>
        <v/>
      </c>
      <c r="AV431" s="245">
        <f>IF(AV$7="Actual","",(AV377*AV390)+((AV377*AV390)*$K402)+(INDEX($M390:$Q390,,MATCH(AV$4,$M$4:$Q$4,0))*AV419)*AV377)</f>
        <v/>
      </c>
      <c r="AW431" s="245">
        <f>IF(AW$7="Actual","",(AW377*AW390)+((AW377*AW390)*$K402)+(INDEX($M390:$Q390,,MATCH(AW$4,$M$4:$Q$4,0))*AW419)*AW377)</f>
        <v/>
      </c>
      <c r="AX431" s="245">
        <f>IF(AX$7="Actual","",(AX377*AX390)+((AX377*AX390)*$K402)+(INDEX($M390:$Q390,,MATCH(AX$4,$M$4:$Q$4,0))*AX419)*AX377)</f>
        <v/>
      </c>
      <c r="AY431" s="245">
        <f>IF(AY$7="Actual","",(AY377*AY390)+((AY377*AY390)*$K402)+(INDEX($M390:$Q390,,MATCH(AY$4,$M$4:$Q$4,0))*AY419)*AY377)</f>
        <v/>
      </c>
      <c r="AZ431" s="245">
        <f>IF(AZ$7="Actual","",(AZ377*AZ390)+((AZ377*AZ390)*$K402)+(INDEX($M390:$Q390,,MATCH(AZ$4,$M$4:$Q$4,0))*AZ419)*AZ377)</f>
        <v/>
      </c>
      <c r="BA431" s="245">
        <f>IF(BA$7="Actual","",(BA377*BA390)+((BA377*BA390)*$K402)+(INDEX($M390:$Q390,,MATCH(BA$4,$M$4:$Q$4,0))*BA419)*BA377)</f>
        <v/>
      </c>
      <c r="BB431" s="245">
        <f>IF(BB$7="Actual","",(BB377*BB390)+((BB377*BB390)*$K402)+(INDEX($M390:$Q390,,MATCH(BB$4,$M$4:$Q$4,0))*BB419)*BB377)</f>
        <v/>
      </c>
      <c r="BC431" s="245">
        <f>IF(BC$7="Actual","",(BC377*BC390)+((BC377*BC390)*$K402)+(INDEX($M390:$Q390,,MATCH(BC$4,$M$4:$Q$4,0))*BC419)*BC377)</f>
        <v/>
      </c>
      <c r="BD431" s="245">
        <f>IF(BD$7="Actual","",(BD377*BD390)+((BD377*BD390)*$K402)+(INDEX($M390:$Q390,,MATCH(BD$4,$M$4:$Q$4,0))*BD419)*BD377)</f>
        <v/>
      </c>
      <c r="BE431" s="245">
        <f>IF(BE$7="Actual","",(BE377*BE390)+((BE377*BE390)*$K402)+(INDEX($M390:$Q390,,MATCH(BE$4,$M$4:$Q$4,0))*BE419)*BE377)</f>
        <v/>
      </c>
      <c r="BF431" s="245">
        <f>IF(BF$7="Actual","",(BF377*BF390)+((BF377*BF390)*$K402)+(INDEX($M390:$Q390,,MATCH(BF$4,$M$4:$Q$4,0))*BF419)*BF377)</f>
        <v/>
      </c>
      <c r="BG431" s="245">
        <f>IF(BG$7="Actual","",(BG377*BG390)+((BG377*BG390)*$K402)+(INDEX($M390:$Q390,,MATCH(BG$4,$M$4:$Q$4,0))*BG419)*BG377)</f>
        <v/>
      </c>
      <c r="BH431" s="245">
        <f>IF(BH$7="Actual","",(BH377*BH390)+((BH377*BH390)*$K402)+(INDEX($M390:$Q390,,MATCH(BH$4,$M$4:$Q$4,0))*BH419)*BH377)</f>
        <v/>
      </c>
      <c r="BI431" s="245">
        <f>IF(BI$7="Actual","",(BI377*BI390)+((BI377*BI390)*$K402)+(INDEX($M390:$Q390,,MATCH(BI$4,$M$4:$Q$4,0))*BI419)*BI377)</f>
        <v/>
      </c>
      <c r="BJ431" s="245">
        <f>IF(BJ$7="Actual","",(BJ377*BJ390)+((BJ377*BJ390)*$K402)+(INDEX($M390:$Q390,,MATCH(BJ$4,$M$4:$Q$4,0))*BJ419)*BJ377)</f>
        <v/>
      </c>
      <c r="BK431" s="245">
        <f>IF(BK$7="Actual","",(BK377*BK390)+((BK377*BK390)*$K402)+(INDEX($M390:$Q390,,MATCH(BK$4,$M$4:$Q$4,0))*BK419)*BK377)</f>
        <v/>
      </c>
      <c r="BL431" s="245">
        <f>IF(BL$7="Actual","",(BL377*BL390)+((BL377*BL390)*$K402)+(INDEX($M390:$Q390,,MATCH(BL$4,$M$4:$Q$4,0))*BL419)*BL377)</f>
        <v/>
      </c>
      <c r="BM431" s="245">
        <f>IF(BM$7="Actual","",(BM377*BM390)+((BM377*BM390)*$K402)+(INDEX($M390:$Q390,,MATCH(BM$4,$M$4:$Q$4,0))*BM419)*BM377)</f>
        <v/>
      </c>
      <c r="BN431" s="245">
        <f>IF(BN$7="Actual","",(BN377*BN390)+((BN377*BN390)*$K402)+(INDEX($M390:$Q390,,MATCH(BN$4,$M$4:$Q$4,0))*BN419)*BN377)</f>
        <v/>
      </c>
      <c r="BO431" s="245">
        <f>IF(BO$7="Actual","",(BO377*BO390)+((BO377*BO390)*$K402)+(INDEX($M390:$Q390,,MATCH(BO$4,$M$4:$Q$4,0))*BO419)*BO377)</f>
        <v/>
      </c>
      <c r="BP431" s="245">
        <f>IF(BP$7="Actual","",(BP377*BP390)+((BP377*BP390)*$K402)+(INDEX($M390:$Q390,,MATCH(BP$4,$M$4:$Q$4,0))*BP419)*BP377)</f>
        <v/>
      </c>
      <c r="BQ431" s="245">
        <f>IF(BQ$7="Actual","",(BQ377*BQ390)+((BQ377*BQ390)*$K402)+(INDEX($M390:$Q390,,MATCH(BQ$4,$M$4:$Q$4,0))*BQ419)*BQ377)</f>
        <v/>
      </c>
      <c r="BR431" s="245">
        <f>IF(BR$7="Actual","",(BR377*BR390)+((BR377*BR390)*$K402)+(INDEX($M390:$Q390,,MATCH(BR$4,$M$4:$Q$4,0))*BR419)*BR377)</f>
        <v/>
      </c>
      <c r="BS431" s="245">
        <f>IF(BS$7="Actual","",(BS377*BS390)+((BS377*BS390)*$K402)+(INDEX($M390:$Q390,,MATCH(BS$4,$M$4:$Q$4,0))*BS419)*BS377)</f>
        <v/>
      </c>
      <c r="BT431" s="245">
        <f>IF(BT$7="Actual","",(BT377*BT390)+((BT377*BT390)*$K402)+(INDEX($M390:$Q390,,MATCH(BT$4,$M$4:$Q$4,0))*BT419)*BT377)</f>
        <v/>
      </c>
      <c r="BU431" s="245">
        <f>IF(BU$7="Actual","",(BU377*BU390)+((BU377*BU390)*$K402)+(INDEX($M390:$Q390,,MATCH(BU$4,$M$4:$Q$4,0))*BU419)*BU377)</f>
        <v/>
      </c>
      <c r="BV431" s="245">
        <f>IF(BV$7="Actual","",(BV377*BV390)+((BV377*BV390)*$K402)+(INDEX($M390:$Q390,,MATCH(BV$4,$M$4:$Q$4,0))*BV419)*BV377)</f>
        <v/>
      </c>
      <c r="BW431" s="245">
        <f>IF(BW$7="Actual","",(BW377*BW390)+((BW377*BW390)*$K402)+(INDEX($M390:$Q390,,MATCH(BW$4,$M$4:$Q$4,0))*BW419)*BW377)</f>
        <v/>
      </c>
      <c r="BX431" s="245">
        <f>IF(BX$7="Actual","",(BX377*BX390)+((BX377*BX390)*$K402)+(INDEX($M390:$Q390,,MATCH(BX$4,$M$4:$Q$4,0))*BX419)*BX377)</f>
        <v/>
      </c>
      <c r="BY431" s="245">
        <f>IF(BY$7="Actual","",(BY377*BY390)+((BY377*BY390)*$K402)+(INDEX($M390:$Q390,,MATCH(BY$4,$M$4:$Q$4,0))*BY419)*BY377)</f>
        <v/>
      </c>
      <c r="BZ431" s="245">
        <f>IF(BZ$7="Actual","",(BZ377*BZ390)+((BZ377*BZ390)*$K402)+(INDEX($M390:$Q390,,MATCH(BZ$4,$M$4:$Q$4,0))*BZ419)*BZ377)</f>
        <v/>
      </c>
      <c r="CA431" s="245">
        <f>IF(CA$7="Actual","",(CA377*CA390)+((CA377*CA390)*$K402)+(INDEX($M390:$Q390,,MATCH(CA$4,$M$4:$Q$4,0))*CA419)*CA377)</f>
        <v/>
      </c>
    </row>
    <row r="432" ht="12.6" customHeight="1" s="227">
      <c r="A432" s="244" t="n"/>
      <c r="B432" s="244" t="n"/>
      <c r="C432" s="244" t="n"/>
      <c r="H432" s="0">
        <f>H391</f>
        <v/>
      </c>
      <c r="I432" s="27">
        <f>i_Setup!$M$16</f>
        <v/>
      </c>
      <c r="K432" s="6" t="n"/>
      <c r="M432" s="245">
        <f>SUMIF($T$4:$CA$4,M$4,$T432:$CA432)</f>
        <v/>
      </c>
      <c r="N432" s="245">
        <f>SUMIF($T$4:$CA$4,N$4,$T432:$CA432)</f>
        <v/>
      </c>
      <c r="O432" s="245">
        <f>SUMIF($T$4:$CA$4,O$4,$T432:$CA432)</f>
        <v/>
      </c>
      <c r="P432" s="245">
        <f>SUMIF($T$4:$CA$4,P$4,$T432:$CA432)</f>
        <v/>
      </c>
      <c r="Q432" s="245">
        <f>SUMIF($T$4:$CA$4,Q$4,$T432:$CA432)</f>
        <v/>
      </c>
      <c r="T432" s="245">
        <f>IF(T$7="Actual","",(T378*T391)+((T378*T391)*$K403)+(INDEX($M391:$Q391,,MATCH(T$4,$M$4:$Q$4,0))*T420)*T378)</f>
        <v/>
      </c>
      <c r="U432" s="245">
        <f>IF(U$7="Actual","",(U378*U391)+((U378*U391)*$K403)+(INDEX($M391:$Q391,,MATCH(U$4,$M$4:$Q$4,0))*U420)*U378)</f>
        <v/>
      </c>
      <c r="V432" s="245">
        <f>IF(V$7="Actual","",(V378*V391)+((V378*V391)*$K403)+(INDEX($M391:$Q391,,MATCH(V$4,$M$4:$Q$4,0))*V420)*V378)</f>
        <v/>
      </c>
      <c r="W432" s="245">
        <f>IF(W$7="Actual","",(W378*W391)+((W378*W391)*$K403)+(INDEX($M391:$Q391,,MATCH(W$4,$M$4:$Q$4,0))*W420)*W378)</f>
        <v/>
      </c>
      <c r="X432" s="245">
        <f>IF(X$7="Actual","",(X378*X391)+((X378*X391)*$K403)+(INDEX($M391:$Q391,,MATCH(X$4,$M$4:$Q$4,0))*X420)*X378)</f>
        <v/>
      </c>
      <c r="Y432" s="245">
        <f>IF(Y$7="Actual","",(Y378*Y391)+((Y378*Y391)*$K403)+(INDEX($M391:$Q391,,MATCH(Y$4,$M$4:$Q$4,0))*Y420)*Y378)</f>
        <v/>
      </c>
      <c r="Z432" s="245">
        <f>IF(Z$7="Actual","",(Z378*Z391)+((Z378*Z391)*$K403)+(INDEX($M391:$Q391,,MATCH(Z$4,$M$4:$Q$4,0))*Z420)*Z378)</f>
        <v/>
      </c>
      <c r="AA432" s="245">
        <f>IF(AA$7="Actual","",(AA378*AA391)+((AA378*AA391)*$K403)+(INDEX($M391:$Q391,,MATCH(AA$4,$M$4:$Q$4,0))*AA420)*AA378)</f>
        <v/>
      </c>
      <c r="AB432" s="245">
        <f>IF(AB$7="Actual","",(AB378*AB391)+((AB378*AB391)*$K403)+(INDEX($M391:$Q391,,MATCH(AB$4,$M$4:$Q$4,0))*AB420)*AB378)</f>
        <v/>
      </c>
      <c r="AC432" s="245">
        <f>IF(AC$7="Actual","",(AC378*AC391)+((AC378*AC391)*$K403)+(INDEX($M391:$Q391,,MATCH(AC$4,$M$4:$Q$4,0))*AC420)*AC378)</f>
        <v/>
      </c>
      <c r="AD432" s="245">
        <f>IF(AD$7="Actual","",(AD378*AD391)+((AD378*AD391)*$K403)+(INDEX($M391:$Q391,,MATCH(AD$4,$M$4:$Q$4,0))*AD420)*AD378)</f>
        <v/>
      </c>
      <c r="AE432" s="245">
        <f>IF(AE$7="Actual","",(AE378*AE391)+((AE378*AE391)*$K403)+(INDEX($M391:$Q391,,MATCH(AE$4,$M$4:$Q$4,0))*AE420)*AE378)</f>
        <v/>
      </c>
      <c r="AF432" s="245">
        <f>IF(AF$7="Actual","",(AF378*AF391)+((AF378*AF391)*$K403)+(INDEX($M391:$Q391,,MATCH(AF$4,$M$4:$Q$4,0))*AF420)*AF378)</f>
        <v/>
      </c>
      <c r="AG432" s="245">
        <f>IF(AG$7="Actual","",(AG378*AG391)+((AG378*AG391)*$K403)+(INDEX($M391:$Q391,,MATCH(AG$4,$M$4:$Q$4,0))*AG420)*AG378)</f>
        <v/>
      </c>
      <c r="AH432" s="245">
        <f>IF(AH$7="Actual","",(AH378*AH391)+((AH378*AH391)*$K403)+(INDEX($M391:$Q391,,MATCH(AH$4,$M$4:$Q$4,0))*AH420)*AH378)</f>
        <v/>
      </c>
      <c r="AI432" s="245">
        <f>IF(AI$7="Actual","",(AI378*AI391)+((AI378*AI391)*$K403)+(INDEX($M391:$Q391,,MATCH(AI$4,$M$4:$Q$4,0))*AI420)*AI378)</f>
        <v/>
      </c>
      <c r="AJ432" s="245">
        <f>IF(AJ$7="Actual","",(AJ378*AJ391)+((AJ378*AJ391)*$K403)+(INDEX($M391:$Q391,,MATCH(AJ$4,$M$4:$Q$4,0))*AJ420)*AJ378)</f>
        <v/>
      </c>
      <c r="AK432" s="245">
        <f>IF(AK$7="Actual","",(AK378*AK391)+((AK378*AK391)*$K403)+(INDEX($M391:$Q391,,MATCH(AK$4,$M$4:$Q$4,0))*AK420)*AK378)</f>
        <v/>
      </c>
      <c r="AL432" s="245">
        <f>IF(AL$7="Actual","",(AL378*AL391)+((AL378*AL391)*$K403)+(INDEX($M391:$Q391,,MATCH(AL$4,$M$4:$Q$4,0))*AL420)*AL378)</f>
        <v/>
      </c>
      <c r="AM432" s="245">
        <f>IF(AM$7="Actual","",(AM378*AM391)+((AM378*AM391)*$K403)+(INDEX($M391:$Q391,,MATCH(AM$4,$M$4:$Q$4,0))*AM420)*AM378)</f>
        <v/>
      </c>
      <c r="AN432" s="245">
        <f>IF(AN$7="Actual","",(AN378*AN391)+((AN378*AN391)*$K403)+(INDEX($M391:$Q391,,MATCH(AN$4,$M$4:$Q$4,0))*AN420)*AN378)</f>
        <v/>
      </c>
      <c r="AO432" s="245">
        <f>IF(AO$7="Actual","",(AO378*AO391)+((AO378*AO391)*$K403)+(INDEX($M391:$Q391,,MATCH(AO$4,$M$4:$Q$4,0))*AO420)*AO378)</f>
        <v/>
      </c>
      <c r="AP432" s="245">
        <f>IF(AP$7="Actual","",(AP378*AP391)+((AP378*AP391)*$K403)+(INDEX($M391:$Q391,,MATCH(AP$4,$M$4:$Q$4,0))*AP420)*AP378)</f>
        <v/>
      </c>
      <c r="AQ432" s="245">
        <f>IF(AQ$7="Actual","",(AQ378*AQ391)+((AQ378*AQ391)*$K403)+(INDEX($M391:$Q391,,MATCH(AQ$4,$M$4:$Q$4,0))*AQ420)*AQ378)</f>
        <v/>
      </c>
      <c r="AR432" s="245">
        <f>IF(AR$7="Actual","",(AR378*AR391)+((AR378*AR391)*$K403)+(INDEX($M391:$Q391,,MATCH(AR$4,$M$4:$Q$4,0))*AR420)*AR378)</f>
        <v/>
      </c>
      <c r="AS432" s="245">
        <f>IF(AS$7="Actual","",(AS378*AS391)+((AS378*AS391)*$K403)+(INDEX($M391:$Q391,,MATCH(AS$4,$M$4:$Q$4,0))*AS420)*AS378)</f>
        <v/>
      </c>
      <c r="AT432" s="245">
        <f>IF(AT$7="Actual","",(AT378*AT391)+((AT378*AT391)*$K403)+(INDEX($M391:$Q391,,MATCH(AT$4,$M$4:$Q$4,0))*AT420)*AT378)</f>
        <v/>
      </c>
      <c r="AU432" s="245">
        <f>IF(AU$7="Actual","",(AU378*AU391)+((AU378*AU391)*$K403)+(INDEX($M391:$Q391,,MATCH(AU$4,$M$4:$Q$4,0))*AU420)*AU378)</f>
        <v/>
      </c>
      <c r="AV432" s="245">
        <f>IF(AV$7="Actual","",(AV378*AV391)+((AV378*AV391)*$K403)+(INDEX($M391:$Q391,,MATCH(AV$4,$M$4:$Q$4,0))*AV420)*AV378)</f>
        <v/>
      </c>
      <c r="AW432" s="245">
        <f>IF(AW$7="Actual","",(AW378*AW391)+((AW378*AW391)*$K403)+(INDEX($M391:$Q391,,MATCH(AW$4,$M$4:$Q$4,0))*AW420)*AW378)</f>
        <v/>
      </c>
      <c r="AX432" s="245">
        <f>IF(AX$7="Actual","",(AX378*AX391)+((AX378*AX391)*$K403)+(INDEX($M391:$Q391,,MATCH(AX$4,$M$4:$Q$4,0))*AX420)*AX378)</f>
        <v/>
      </c>
      <c r="AY432" s="245">
        <f>IF(AY$7="Actual","",(AY378*AY391)+((AY378*AY391)*$K403)+(INDEX($M391:$Q391,,MATCH(AY$4,$M$4:$Q$4,0))*AY420)*AY378)</f>
        <v/>
      </c>
      <c r="AZ432" s="245">
        <f>IF(AZ$7="Actual","",(AZ378*AZ391)+((AZ378*AZ391)*$K403)+(INDEX($M391:$Q391,,MATCH(AZ$4,$M$4:$Q$4,0))*AZ420)*AZ378)</f>
        <v/>
      </c>
      <c r="BA432" s="245">
        <f>IF(BA$7="Actual","",(BA378*BA391)+((BA378*BA391)*$K403)+(INDEX($M391:$Q391,,MATCH(BA$4,$M$4:$Q$4,0))*BA420)*BA378)</f>
        <v/>
      </c>
      <c r="BB432" s="245">
        <f>IF(BB$7="Actual","",(BB378*BB391)+((BB378*BB391)*$K403)+(INDEX($M391:$Q391,,MATCH(BB$4,$M$4:$Q$4,0))*BB420)*BB378)</f>
        <v/>
      </c>
      <c r="BC432" s="245">
        <f>IF(BC$7="Actual","",(BC378*BC391)+((BC378*BC391)*$K403)+(INDEX($M391:$Q391,,MATCH(BC$4,$M$4:$Q$4,0))*BC420)*BC378)</f>
        <v/>
      </c>
      <c r="BD432" s="245">
        <f>IF(BD$7="Actual","",(BD378*BD391)+((BD378*BD391)*$K403)+(INDEX($M391:$Q391,,MATCH(BD$4,$M$4:$Q$4,0))*BD420)*BD378)</f>
        <v/>
      </c>
      <c r="BE432" s="245">
        <f>IF(BE$7="Actual","",(BE378*BE391)+((BE378*BE391)*$K403)+(INDEX($M391:$Q391,,MATCH(BE$4,$M$4:$Q$4,0))*BE420)*BE378)</f>
        <v/>
      </c>
      <c r="BF432" s="245">
        <f>IF(BF$7="Actual","",(BF378*BF391)+((BF378*BF391)*$K403)+(INDEX($M391:$Q391,,MATCH(BF$4,$M$4:$Q$4,0))*BF420)*BF378)</f>
        <v/>
      </c>
      <c r="BG432" s="245">
        <f>IF(BG$7="Actual","",(BG378*BG391)+((BG378*BG391)*$K403)+(INDEX($M391:$Q391,,MATCH(BG$4,$M$4:$Q$4,0))*BG420)*BG378)</f>
        <v/>
      </c>
      <c r="BH432" s="245">
        <f>IF(BH$7="Actual","",(BH378*BH391)+((BH378*BH391)*$K403)+(INDEX($M391:$Q391,,MATCH(BH$4,$M$4:$Q$4,0))*BH420)*BH378)</f>
        <v/>
      </c>
      <c r="BI432" s="245">
        <f>IF(BI$7="Actual","",(BI378*BI391)+((BI378*BI391)*$K403)+(INDEX($M391:$Q391,,MATCH(BI$4,$M$4:$Q$4,0))*BI420)*BI378)</f>
        <v/>
      </c>
      <c r="BJ432" s="245">
        <f>IF(BJ$7="Actual","",(BJ378*BJ391)+((BJ378*BJ391)*$K403)+(INDEX($M391:$Q391,,MATCH(BJ$4,$M$4:$Q$4,0))*BJ420)*BJ378)</f>
        <v/>
      </c>
      <c r="BK432" s="245">
        <f>IF(BK$7="Actual","",(BK378*BK391)+((BK378*BK391)*$K403)+(INDEX($M391:$Q391,,MATCH(BK$4,$M$4:$Q$4,0))*BK420)*BK378)</f>
        <v/>
      </c>
      <c r="BL432" s="245">
        <f>IF(BL$7="Actual","",(BL378*BL391)+((BL378*BL391)*$K403)+(INDEX($M391:$Q391,,MATCH(BL$4,$M$4:$Q$4,0))*BL420)*BL378)</f>
        <v/>
      </c>
      <c r="BM432" s="245">
        <f>IF(BM$7="Actual","",(BM378*BM391)+((BM378*BM391)*$K403)+(INDEX($M391:$Q391,,MATCH(BM$4,$M$4:$Q$4,0))*BM420)*BM378)</f>
        <v/>
      </c>
      <c r="BN432" s="245">
        <f>IF(BN$7="Actual","",(BN378*BN391)+((BN378*BN391)*$K403)+(INDEX($M391:$Q391,,MATCH(BN$4,$M$4:$Q$4,0))*BN420)*BN378)</f>
        <v/>
      </c>
      <c r="BO432" s="245">
        <f>IF(BO$7="Actual","",(BO378*BO391)+((BO378*BO391)*$K403)+(INDEX($M391:$Q391,,MATCH(BO$4,$M$4:$Q$4,0))*BO420)*BO378)</f>
        <v/>
      </c>
      <c r="BP432" s="245">
        <f>IF(BP$7="Actual","",(BP378*BP391)+((BP378*BP391)*$K403)+(INDEX($M391:$Q391,,MATCH(BP$4,$M$4:$Q$4,0))*BP420)*BP378)</f>
        <v/>
      </c>
      <c r="BQ432" s="245">
        <f>IF(BQ$7="Actual","",(BQ378*BQ391)+((BQ378*BQ391)*$K403)+(INDEX($M391:$Q391,,MATCH(BQ$4,$M$4:$Q$4,0))*BQ420)*BQ378)</f>
        <v/>
      </c>
      <c r="BR432" s="245">
        <f>IF(BR$7="Actual","",(BR378*BR391)+((BR378*BR391)*$K403)+(INDEX($M391:$Q391,,MATCH(BR$4,$M$4:$Q$4,0))*BR420)*BR378)</f>
        <v/>
      </c>
      <c r="BS432" s="245">
        <f>IF(BS$7="Actual","",(BS378*BS391)+((BS378*BS391)*$K403)+(INDEX($M391:$Q391,,MATCH(BS$4,$M$4:$Q$4,0))*BS420)*BS378)</f>
        <v/>
      </c>
      <c r="BT432" s="245">
        <f>IF(BT$7="Actual","",(BT378*BT391)+((BT378*BT391)*$K403)+(INDEX($M391:$Q391,,MATCH(BT$4,$M$4:$Q$4,0))*BT420)*BT378)</f>
        <v/>
      </c>
      <c r="BU432" s="245">
        <f>IF(BU$7="Actual","",(BU378*BU391)+((BU378*BU391)*$K403)+(INDEX($M391:$Q391,,MATCH(BU$4,$M$4:$Q$4,0))*BU420)*BU378)</f>
        <v/>
      </c>
      <c r="BV432" s="245">
        <f>IF(BV$7="Actual","",(BV378*BV391)+((BV378*BV391)*$K403)+(INDEX($M391:$Q391,,MATCH(BV$4,$M$4:$Q$4,0))*BV420)*BV378)</f>
        <v/>
      </c>
      <c r="BW432" s="245">
        <f>IF(BW$7="Actual","",(BW378*BW391)+((BW378*BW391)*$K403)+(INDEX($M391:$Q391,,MATCH(BW$4,$M$4:$Q$4,0))*BW420)*BW378)</f>
        <v/>
      </c>
      <c r="BX432" s="245">
        <f>IF(BX$7="Actual","",(BX378*BX391)+((BX378*BX391)*$K403)+(INDEX($M391:$Q391,,MATCH(BX$4,$M$4:$Q$4,0))*BX420)*BX378)</f>
        <v/>
      </c>
      <c r="BY432" s="245">
        <f>IF(BY$7="Actual","",(BY378*BY391)+((BY378*BY391)*$K403)+(INDEX($M391:$Q391,,MATCH(BY$4,$M$4:$Q$4,0))*BY420)*BY378)</f>
        <v/>
      </c>
      <c r="BZ432" s="245">
        <f>IF(BZ$7="Actual","",(BZ378*BZ391)+((BZ378*BZ391)*$K403)+(INDEX($M391:$Q391,,MATCH(BZ$4,$M$4:$Q$4,0))*BZ420)*BZ378)</f>
        <v/>
      </c>
      <c r="CA432" s="245">
        <f>IF(CA$7="Actual","",(CA378*CA391)+((CA378*CA391)*$K403)+(INDEX($M391:$Q391,,MATCH(CA$4,$M$4:$Q$4,0))*CA420)*CA378)</f>
        <v/>
      </c>
    </row>
    <row r="433" ht="12" customHeight="1" s="227" thickBot="1">
      <c r="A433" s="244" t="n"/>
      <c r="B433" s="244" t="n"/>
      <c r="C433" s="244" t="n"/>
      <c r="H433" s="42" t="inlineStr">
        <is>
          <t>Total Direct Staff Costs</t>
        </is>
      </c>
      <c r="I433" s="43">
        <f>i_Setup!$M$16</f>
        <v/>
      </c>
      <c r="K433" s="6" t="n"/>
      <c r="M433" s="264">
        <f>SUM(M425:M432)</f>
        <v/>
      </c>
      <c r="N433" s="264">
        <f>SUM(N425:N432)</f>
        <v/>
      </c>
      <c r="O433" s="264">
        <f>SUM(O425:O432)</f>
        <v/>
      </c>
      <c r="P433" s="264">
        <f>SUM(P425:P432)</f>
        <v/>
      </c>
      <c r="Q433" s="264">
        <f>SUM(Q425:Q432)</f>
        <v/>
      </c>
      <c r="T433" s="264">
        <f>SUM(T425:T432)</f>
        <v/>
      </c>
      <c r="U433" s="264">
        <f>SUM(U425:U432)</f>
        <v/>
      </c>
      <c r="V433" s="264">
        <f>SUM(V425:V432)</f>
        <v/>
      </c>
      <c r="W433" s="264">
        <f>SUM(W425:W432)</f>
        <v/>
      </c>
      <c r="X433" s="264">
        <f>SUM(X425:X432)</f>
        <v/>
      </c>
      <c r="Y433" s="264">
        <f>SUM(Y425:Y432)</f>
        <v/>
      </c>
      <c r="Z433" s="264">
        <f>SUM(Z425:Z432)</f>
        <v/>
      </c>
      <c r="AA433" s="264">
        <f>SUM(AA425:AA432)</f>
        <v/>
      </c>
      <c r="AB433" s="264">
        <f>SUM(AB425:AB432)</f>
        <v/>
      </c>
      <c r="AC433" s="264">
        <f>SUM(AC425:AC432)</f>
        <v/>
      </c>
      <c r="AD433" s="264">
        <f>SUM(AD425:AD432)</f>
        <v/>
      </c>
      <c r="AE433" s="264">
        <f>SUM(AE425:AE432)</f>
        <v/>
      </c>
      <c r="AF433" s="264">
        <f>SUM(AF425:AF432)</f>
        <v/>
      </c>
      <c r="AG433" s="264">
        <f>SUM(AG425:AG432)</f>
        <v/>
      </c>
      <c r="AH433" s="264">
        <f>SUM(AH425:AH432)</f>
        <v/>
      </c>
      <c r="AI433" s="264">
        <f>SUM(AI425:AI432)</f>
        <v/>
      </c>
      <c r="AJ433" s="264">
        <f>SUM(AJ425:AJ432)</f>
        <v/>
      </c>
      <c r="AK433" s="264">
        <f>SUM(AK425:AK432)</f>
        <v/>
      </c>
      <c r="AL433" s="264">
        <f>SUM(AL425:AL432)</f>
        <v/>
      </c>
      <c r="AM433" s="264">
        <f>SUM(AM425:AM432)</f>
        <v/>
      </c>
      <c r="AN433" s="264">
        <f>SUM(AN425:AN432)</f>
        <v/>
      </c>
      <c r="AO433" s="264">
        <f>SUM(AO425:AO432)</f>
        <v/>
      </c>
      <c r="AP433" s="264">
        <f>SUM(AP425:AP432)</f>
        <v/>
      </c>
      <c r="AQ433" s="264">
        <f>SUM(AQ425:AQ432)</f>
        <v/>
      </c>
      <c r="AR433" s="264">
        <f>SUM(AR425:AR432)</f>
        <v/>
      </c>
      <c r="AS433" s="264">
        <f>SUM(AS425:AS432)</f>
        <v/>
      </c>
      <c r="AT433" s="264">
        <f>SUM(AT425:AT432)</f>
        <v/>
      </c>
      <c r="AU433" s="264">
        <f>SUM(AU425:AU432)</f>
        <v/>
      </c>
      <c r="AV433" s="264">
        <f>SUM(AV425:AV432)</f>
        <v/>
      </c>
      <c r="AW433" s="264">
        <f>SUM(AW425:AW432)</f>
        <v/>
      </c>
      <c r="AX433" s="264">
        <f>SUM(AX425:AX432)</f>
        <v/>
      </c>
      <c r="AY433" s="264">
        <f>SUM(AY425:AY432)</f>
        <v/>
      </c>
      <c r="AZ433" s="264">
        <f>SUM(AZ425:AZ432)</f>
        <v/>
      </c>
      <c r="BA433" s="264">
        <f>SUM(BA425:BA432)</f>
        <v/>
      </c>
      <c r="BB433" s="264">
        <f>SUM(BB425:BB432)</f>
        <v/>
      </c>
      <c r="BC433" s="264">
        <f>SUM(BC425:BC432)</f>
        <v/>
      </c>
      <c r="BD433" s="264">
        <f>SUM(BD425:BD432)</f>
        <v/>
      </c>
      <c r="BE433" s="264">
        <f>SUM(BE425:BE432)</f>
        <v/>
      </c>
      <c r="BF433" s="264">
        <f>SUM(BF425:BF432)</f>
        <v/>
      </c>
      <c r="BG433" s="264">
        <f>SUM(BG425:BG432)</f>
        <v/>
      </c>
      <c r="BH433" s="264">
        <f>SUM(BH425:BH432)</f>
        <v/>
      </c>
      <c r="BI433" s="264">
        <f>SUM(BI425:BI432)</f>
        <v/>
      </c>
      <c r="BJ433" s="264">
        <f>SUM(BJ425:BJ432)</f>
        <v/>
      </c>
      <c r="BK433" s="264">
        <f>SUM(BK425:BK432)</f>
        <v/>
      </c>
      <c r="BL433" s="264">
        <f>SUM(BL425:BL432)</f>
        <v/>
      </c>
      <c r="BM433" s="264">
        <f>SUM(BM425:BM432)</f>
        <v/>
      </c>
      <c r="BN433" s="264">
        <f>SUM(BN425:BN432)</f>
        <v/>
      </c>
      <c r="BO433" s="264">
        <f>SUM(BO425:BO432)</f>
        <v/>
      </c>
      <c r="BP433" s="264">
        <f>SUM(BP425:BP432)</f>
        <v/>
      </c>
      <c r="BQ433" s="264">
        <f>SUM(BQ425:BQ432)</f>
        <v/>
      </c>
      <c r="BR433" s="264">
        <f>SUM(BR425:BR432)</f>
        <v/>
      </c>
      <c r="BS433" s="264">
        <f>SUM(BS425:BS432)</f>
        <v/>
      </c>
      <c r="BT433" s="264">
        <f>SUM(BT425:BT432)</f>
        <v/>
      </c>
      <c r="BU433" s="264">
        <f>SUM(BU425:BU432)</f>
        <v/>
      </c>
      <c r="BV433" s="264">
        <f>SUM(BV425:BV432)</f>
        <v/>
      </c>
      <c r="BW433" s="264">
        <f>SUM(BW425:BW432)</f>
        <v/>
      </c>
      <c r="BX433" s="264">
        <f>SUM(BX425:BX432)</f>
        <v/>
      </c>
      <c r="BY433" s="264">
        <f>SUM(BY425:BY432)</f>
        <v/>
      </c>
      <c r="BZ433" s="264">
        <f>SUM(BZ425:BZ432)</f>
        <v/>
      </c>
      <c r="CA433" s="264">
        <f>SUM(CA425:CA432)</f>
        <v/>
      </c>
    </row>
    <row r="434" ht="12" customHeight="1" s="227">
      <c r="A434" s="244" t="n"/>
      <c r="B434" s="244" t="n"/>
      <c r="C434" s="244" t="n"/>
    </row>
    <row r="435" ht="12" customHeight="1" s="227">
      <c r="A435" s="244" t="n"/>
      <c r="B435" s="244" t="n"/>
      <c r="C435" s="244" t="n"/>
    </row>
    <row r="436" ht="15.75" customFormat="1" customHeight="1" s="99">
      <c r="D436" s="99">
        <f>Heading1</f>
        <v/>
      </c>
      <c r="E436" s="99" t="inlineStr">
        <is>
          <t>Other Expenses</t>
        </is>
      </c>
      <c r="K436" s="151" t="n"/>
    </row>
    <row r="437" ht="12" customHeight="1" s="227">
      <c r="A437" s="244" t="n"/>
      <c r="B437" s="244" t="n"/>
      <c r="C437" s="244" t="n"/>
      <c r="K437" s="6" t="n"/>
    </row>
    <row r="438" ht="13.5" customFormat="1" customHeight="1" s="223" thickBot="1">
      <c r="E438" s="223">
        <f>Heading2</f>
        <v/>
      </c>
      <c r="F438" s="223" t="inlineStr">
        <is>
          <t>Non-Direct Staff Costs</t>
        </is>
      </c>
      <c r="K438" s="135" t="n"/>
    </row>
    <row r="439" ht="12" customHeight="1" s="227">
      <c r="A439" s="244" t="n"/>
      <c r="B439" s="244" t="n"/>
      <c r="C439" s="244" t="n"/>
      <c r="K439" s="6" t="n"/>
    </row>
    <row r="440" ht="12" customHeight="1" s="227">
      <c r="A440" s="244" t="n"/>
      <c r="B440" s="244" t="n"/>
      <c r="C440" s="244" t="n"/>
      <c r="G440" s="222" t="inlineStr">
        <is>
          <t>Staff Numbers</t>
        </is>
      </c>
      <c r="K440" s="6" t="n"/>
    </row>
    <row r="441" ht="12" customHeight="1" s="227">
      <c r="A441" s="244" t="n"/>
      <c r="B441" s="244" t="n"/>
      <c r="C441" s="244" t="n"/>
      <c r="K441" s="6" t="n"/>
    </row>
    <row r="442" ht="12" customHeight="1" s="227">
      <c r="A442" s="244" t="n"/>
      <c r="B442" s="244" t="n"/>
      <c r="C442" s="244" t="n"/>
      <c r="H442" s="4">
        <f>i_Setup!U55</f>
        <v/>
      </c>
      <c r="I442" s="27" t="inlineStr">
        <is>
          <t>no</t>
        </is>
      </c>
      <c r="K442" s="6" t="n"/>
      <c r="M442" s="245">
        <f>SUMIF($T$2:$CA$2,M$2,$T442:$CA442)</f>
        <v/>
      </c>
      <c r="N442" s="245">
        <f>SUMIF($T$2:$CA$2,N$2,$T442:$CA442)</f>
        <v/>
      </c>
      <c r="O442" s="245">
        <f>SUMIF($T$2:$CA$2,O$2,$T442:$CA442)</f>
        <v/>
      </c>
      <c r="P442" s="245">
        <f>SUMIF($T$2:$CA$2,P$2,$T442:$CA442)</f>
        <v/>
      </c>
      <c r="Q442" s="245">
        <f>SUMIF($T$2:$CA$2,Q$2,$T442:$CA442)</f>
        <v/>
      </c>
      <c r="T442" s="257">
        <f>IF(T$7="Actual","",i_Assumptions!T509)</f>
        <v/>
      </c>
      <c r="U442" s="257">
        <f>IF(U$7="Actual","",i_Assumptions!U509)</f>
        <v/>
      </c>
      <c r="V442" s="257">
        <f>IF(V$7="Actual","",i_Assumptions!V509)</f>
        <v/>
      </c>
      <c r="W442" s="257">
        <f>IF(W$7="Actual","",i_Assumptions!W509)</f>
        <v/>
      </c>
      <c r="X442" s="257">
        <f>IF(X$7="Actual","",i_Assumptions!X509)</f>
        <v/>
      </c>
      <c r="Y442" s="257">
        <f>IF(Y$7="Actual","",i_Assumptions!Y509)</f>
        <v/>
      </c>
      <c r="Z442" s="257">
        <f>IF(Z$7="Actual","",i_Assumptions!Z509)</f>
        <v/>
      </c>
      <c r="AA442" s="257">
        <f>IF(AA$7="Actual","",i_Assumptions!AA509)</f>
        <v/>
      </c>
      <c r="AB442" s="257">
        <f>IF(AB$7="Actual","",i_Assumptions!AB509)</f>
        <v/>
      </c>
      <c r="AC442" s="257">
        <f>IF(AC$7="Actual","",i_Assumptions!AC509)</f>
        <v/>
      </c>
      <c r="AD442" s="257">
        <f>IF(AD$7="Actual","",i_Assumptions!AD509)</f>
        <v/>
      </c>
      <c r="AE442" s="257">
        <f>IF(AE$7="Actual","",i_Assumptions!AE509)</f>
        <v/>
      </c>
      <c r="AF442" s="257">
        <f>IF(AF$7="Actual","",i_Assumptions!AF509)</f>
        <v/>
      </c>
      <c r="AG442" s="257">
        <f>IF(AG$7="Actual","",i_Assumptions!AG509)</f>
        <v/>
      </c>
      <c r="AH442" s="257">
        <f>IF(AH$7="Actual","",i_Assumptions!AH509)</f>
        <v/>
      </c>
      <c r="AI442" s="257">
        <f>IF(AI$7="Actual","",i_Assumptions!AI509)</f>
        <v/>
      </c>
      <c r="AJ442" s="257">
        <f>IF(AJ$7="Actual","",i_Assumptions!AJ509)</f>
        <v/>
      </c>
      <c r="AK442" s="257">
        <f>IF(AK$7="Actual","",i_Assumptions!AK509)</f>
        <v/>
      </c>
      <c r="AL442" s="257">
        <f>IF(AL$7="Actual","",i_Assumptions!AL509)</f>
        <v/>
      </c>
      <c r="AM442" s="257">
        <f>IF(AM$7="Actual","",i_Assumptions!AM509)</f>
        <v/>
      </c>
      <c r="AN442" s="257">
        <f>IF(AN$7="Actual","",i_Assumptions!AN509)</f>
        <v/>
      </c>
      <c r="AO442" s="257">
        <f>IF(AO$7="Actual","",i_Assumptions!AO509)</f>
        <v/>
      </c>
      <c r="AP442" s="257">
        <f>IF(AP$7="Actual","",i_Assumptions!AP509)</f>
        <v/>
      </c>
      <c r="AQ442" s="257">
        <f>IF(AQ$7="Actual","",i_Assumptions!AQ509)</f>
        <v/>
      </c>
      <c r="AR442" s="257">
        <f>IF(AR$7="Actual","",i_Assumptions!AR509)</f>
        <v/>
      </c>
      <c r="AS442" s="257">
        <f>IF(AS$7="Actual","",i_Assumptions!AS509)</f>
        <v/>
      </c>
      <c r="AT442" s="257">
        <f>IF(AT$7="Actual","",i_Assumptions!AT509)</f>
        <v/>
      </c>
      <c r="AU442" s="257">
        <f>IF(AU$7="Actual","",i_Assumptions!AU509)</f>
        <v/>
      </c>
      <c r="AV442" s="257">
        <f>IF(AV$7="Actual","",i_Assumptions!AV509)</f>
        <v/>
      </c>
      <c r="AW442" s="257">
        <f>IF(AW$7="Actual","",i_Assumptions!AW509)</f>
        <v/>
      </c>
      <c r="AX442" s="257">
        <f>IF(AX$7="Actual","",i_Assumptions!AX509)</f>
        <v/>
      </c>
      <c r="AY442" s="257">
        <f>IF(AY$7="Actual","",i_Assumptions!AY509)</f>
        <v/>
      </c>
      <c r="AZ442" s="257">
        <f>IF(AZ$7="Actual","",i_Assumptions!AZ509)</f>
        <v/>
      </c>
      <c r="BA442" s="257">
        <f>IF(BA$7="Actual","",i_Assumptions!BA509)</f>
        <v/>
      </c>
      <c r="BB442" s="257">
        <f>IF(BB$7="Actual","",i_Assumptions!BB509)</f>
        <v/>
      </c>
      <c r="BC442" s="257">
        <f>IF(BC$7="Actual","",i_Assumptions!BC509)</f>
        <v/>
      </c>
      <c r="BD442" s="257">
        <f>IF(BD$7="Actual","",i_Assumptions!BD509)</f>
        <v/>
      </c>
      <c r="BE442" s="257">
        <f>IF(BE$7="Actual","",i_Assumptions!BE509)</f>
        <v/>
      </c>
      <c r="BF442" s="257">
        <f>IF(BF$7="Actual","",i_Assumptions!BF509)</f>
        <v/>
      </c>
      <c r="BG442" s="257">
        <f>IF(BG$7="Actual","",i_Assumptions!BG509)</f>
        <v/>
      </c>
      <c r="BH442" s="257">
        <f>IF(BH$7="Actual","",i_Assumptions!BH509)</f>
        <v/>
      </c>
      <c r="BI442" s="257">
        <f>IF(BI$7="Actual","",i_Assumptions!BI509)</f>
        <v/>
      </c>
      <c r="BJ442" s="257">
        <f>IF(BJ$7="Actual","",i_Assumptions!BJ509)</f>
        <v/>
      </c>
      <c r="BK442" s="257">
        <f>IF(BK$7="Actual","",i_Assumptions!BK509)</f>
        <v/>
      </c>
      <c r="BL442" s="257">
        <f>IF(BL$7="Actual","",i_Assumptions!BL509)</f>
        <v/>
      </c>
      <c r="BM442" s="257">
        <f>IF(BM$7="Actual","",i_Assumptions!BM509)</f>
        <v/>
      </c>
      <c r="BN442" s="257">
        <f>IF(BN$7="Actual","",i_Assumptions!BN509)</f>
        <v/>
      </c>
      <c r="BO442" s="257">
        <f>IF(BO$7="Actual","",i_Assumptions!BO509)</f>
        <v/>
      </c>
      <c r="BP442" s="257">
        <f>IF(BP$7="Actual","",i_Assumptions!BP509)</f>
        <v/>
      </c>
      <c r="BQ442" s="257">
        <f>IF(BQ$7="Actual","",i_Assumptions!BQ509)</f>
        <v/>
      </c>
      <c r="BR442" s="257">
        <f>IF(BR$7="Actual","",i_Assumptions!BR509)</f>
        <v/>
      </c>
      <c r="BS442" s="257">
        <f>IF(BS$7="Actual","",i_Assumptions!BS509)</f>
        <v/>
      </c>
      <c r="BT442" s="257">
        <f>IF(BT$7="Actual","",i_Assumptions!BT509)</f>
        <v/>
      </c>
      <c r="BU442" s="257">
        <f>IF(BU$7="Actual","",i_Assumptions!BU509)</f>
        <v/>
      </c>
      <c r="BV442" s="257">
        <f>IF(BV$7="Actual","",i_Assumptions!BV509)</f>
        <v/>
      </c>
      <c r="BW442" s="257">
        <f>IF(BW$7="Actual","",i_Assumptions!BW509)</f>
        <v/>
      </c>
      <c r="BX442" s="257">
        <f>IF(BX$7="Actual","",i_Assumptions!BX509)</f>
        <v/>
      </c>
      <c r="BY442" s="257">
        <f>IF(BY$7="Actual","",i_Assumptions!BY509)</f>
        <v/>
      </c>
      <c r="BZ442" s="257">
        <f>IF(BZ$7="Actual","",i_Assumptions!BZ509)</f>
        <v/>
      </c>
      <c r="CA442" s="257">
        <f>IF(CA$7="Actual","",i_Assumptions!CA509)</f>
        <v/>
      </c>
    </row>
    <row r="443" ht="12" customHeight="1" s="227">
      <c r="A443" s="244" t="n"/>
      <c r="B443" s="244" t="n"/>
      <c r="C443" s="244" t="n"/>
      <c r="H443" s="4">
        <f>i_Setup!U56</f>
        <v/>
      </c>
      <c r="I443" s="27" t="inlineStr">
        <is>
          <t>no</t>
        </is>
      </c>
      <c r="K443" s="6" t="n"/>
      <c r="M443" s="245">
        <f>SUMIF($T$2:$CA$2,M$2,$T443:$CA443)</f>
        <v/>
      </c>
      <c r="N443" s="245">
        <f>SUMIF($T$2:$CA$2,N$2,$T443:$CA443)</f>
        <v/>
      </c>
      <c r="O443" s="245">
        <f>SUMIF($T$2:$CA$2,O$2,$T443:$CA443)</f>
        <v/>
      </c>
      <c r="P443" s="245">
        <f>SUMIF($T$2:$CA$2,P$2,$T443:$CA443)</f>
        <v/>
      </c>
      <c r="Q443" s="245">
        <f>SUMIF($T$2:$CA$2,Q$2,$T443:$CA443)</f>
        <v/>
      </c>
      <c r="T443" s="257">
        <f>IF(T$7="Actual","",i_Assumptions!T510)</f>
        <v/>
      </c>
      <c r="U443" s="257">
        <f>IF(U$7="Actual","",i_Assumptions!U510)</f>
        <v/>
      </c>
      <c r="V443" s="257">
        <f>IF(V$7="Actual","",i_Assumptions!V510)</f>
        <v/>
      </c>
      <c r="W443" s="257">
        <f>IF(W$7="Actual","",i_Assumptions!W510)</f>
        <v/>
      </c>
      <c r="X443" s="257">
        <f>IF(X$7="Actual","",i_Assumptions!X510)</f>
        <v/>
      </c>
      <c r="Y443" s="257">
        <f>IF(Y$7="Actual","",i_Assumptions!Y510)</f>
        <v/>
      </c>
      <c r="Z443" s="257">
        <f>IF(Z$7="Actual","",i_Assumptions!Z510)</f>
        <v/>
      </c>
      <c r="AA443" s="257">
        <f>IF(AA$7="Actual","",i_Assumptions!AA510)</f>
        <v/>
      </c>
      <c r="AB443" s="257">
        <f>IF(AB$7="Actual","",i_Assumptions!AB510)</f>
        <v/>
      </c>
      <c r="AC443" s="257">
        <f>IF(AC$7="Actual","",i_Assumptions!AC510)</f>
        <v/>
      </c>
      <c r="AD443" s="257">
        <f>IF(AD$7="Actual","",i_Assumptions!AD510)</f>
        <v/>
      </c>
      <c r="AE443" s="257">
        <f>IF(AE$7="Actual","",i_Assumptions!AE510)</f>
        <v/>
      </c>
      <c r="AF443" s="257">
        <f>IF(AF$7="Actual","",i_Assumptions!AF510)</f>
        <v/>
      </c>
      <c r="AG443" s="257">
        <f>IF(AG$7="Actual","",i_Assumptions!AG510)</f>
        <v/>
      </c>
      <c r="AH443" s="257">
        <f>IF(AH$7="Actual","",i_Assumptions!AH510)</f>
        <v/>
      </c>
      <c r="AI443" s="257">
        <f>IF(AI$7="Actual","",i_Assumptions!AI510)</f>
        <v/>
      </c>
      <c r="AJ443" s="257">
        <f>IF(AJ$7="Actual","",i_Assumptions!AJ510)</f>
        <v/>
      </c>
      <c r="AK443" s="257">
        <f>IF(AK$7="Actual","",i_Assumptions!AK510)</f>
        <v/>
      </c>
      <c r="AL443" s="257">
        <f>IF(AL$7="Actual","",i_Assumptions!AL510)</f>
        <v/>
      </c>
      <c r="AM443" s="257">
        <f>IF(AM$7="Actual","",i_Assumptions!AM510)</f>
        <v/>
      </c>
      <c r="AN443" s="257">
        <f>IF(AN$7="Actual","",i_Assumptions!AN510)</f>
        <v/>
      </c>
      <c r="AO443" s="257">
        <f>IF(AO$7="Actual","",i_Assumptions!AO510)</f>
        <v/>
      </c>
      <c r="AP443" s="257">
        <f>IF(AP$7="Actual","",i_Assumptions!AP510)</f>
        <v/>
      </c>
      <c r="AQ443" s="257">
        <f>IF(AQ$7="Actual","",i_Assumptions!AQ510)</f>
        <v/>
      </c>
      <c r="AR443" s="257">
        <f>IF(AR$7="Actual","",i_Assumptions!AR510)</f>
        <v/>
      </c>
      <c r="AS443" s="257">
        <f>IF(AS$7="Actual","",i_Assumptions!AS510)</f>
        <v/>
      </c>
      <c r="AT443" s="257">
        <f>IF(AT$7="Actual","",i_Assumptions!AT510)</f>
        <v/>
      </c>
      <c r="AU443" s="257">
        <f>IF(AU$7="Actual","",i_Assumptions!AU510)</f>
        <v/>
      </c>
      <c r="AV443" s="257">
        <f>IF(AV$7="Actual","",i_Assumptions!AV510)</f>
        <v/>
      </c>
      <c r="AW443" s="257">
        <f>IF(AW$7="Actual","",i_Assumptions!AW510)</f>
        <v/>
      </c>
      <c r="AX443" s="257">
        <f>IF(AX$7="Actual","",i_Assumptions!AX510)</f>
        <v/>
      </c>
      <c r="AY443" s="257">
        <f>IF(AY$7="Actual","",i_Assumptions!AY510)</f>
        <v/>
      </c>
      <c r="AZ443" s="257">
        <f>IF(AZ$7="Actual","",i_Assumptions!AZ510)</f>
        <v/>
      </c>
      <c r="BA443" s="257">
        <f>IF(BA$7="Actual","",i_Assumptions!BA510)</f>
        <v/>
      </c>
      <c r="BB443" s="257">
        <f>IF(BB$7="Actual","",i_Assumptions!BB510)</f>
        <v/>
      </c>
      <c r="BC443" s="257">
        <f>IF(BC$7="Actual","",i_Assumptions!BC510)</f>
        <v/>
      </c>
      <c r="BD443" s="257">
        <f>IF(BD$7="Actual","",i_Assumptions!BD510)</f>
        <v/>
      </c>
      <c r="BE443" s="257">
        <f>IF(BE$7="Actual","",i_Assumptions!BE510)</f>
        <v/>
      </c>
      <c r="BF443" s="257">
        <f>IF(BF$7="Actual","",i_Assumptions!BF510)</f>
        <v/>
      </c>
      <c r="BG443" s="257">
        <f>IF(BG$7="Actual","",i_Assumptions!BG510)</f>
        <v/>
      </c>
      <c r="BH443" s="257">
        <f>IF(BH$7="Actual","",i_Assumptions!BH510)</f>
        <v/>
      </c>
      <c r="BI443" s="257">
        <f>IF(BI$7="Actual","",i_Assumptions!BI510)</f>
        <v/>
      </c>
      <c r="BJ443" s="257">
        <f>IF(BJ$7="Actual","",i_Assumptions!BJ510)</f>
        <v/>
      </c>
      <c r="BK443" s="257">
        <f>IF(BK$7="Actual","",i_Assumptions!BK510)</f>
        <v/>
      </c>
      <c r="BL443" s="257">
        <f>IF(BL$7="Actual","",i_Assumptions!BL510)</f>
        <v/>
      </c>
      <c r="BM443" s="257">
        <f>IF(BM$7="Actual","",i_Assumptions!BM510)</f>
        <v/>
      </c>
      <c r="BN443" s="257">
        <f>IF(BN$7="Actual","",i_Assumptions!BN510)</f>
        <v/>
      </c>
      <c r="BO443" s="257">
        <f>IF(BO$7="Actual","",i_Assumptions!BO510)</f>
        <v/>
      </c>
      <c r="BP443" s="257">
        <f>IF(BP$7="Actual","",i_Assumptions!BP510)</f>
        <v/>
      </c>
      <c r="BQ443" s="257">
        <f>IF(BQ$7="Actual","",i_Assumptions!BQ510)</f>
        <v/>
      </c>
      <c r="BR443" s="257">
        <f>IF(BR$7="Actual","",i_Assumptions!BR510)</f>
        <v/>
      </c>
      <c r="BS443" s="257">
        <f>IF(BS$7="Actual","",i_Assumptions!BS510)</f>
        <v/>
      </c>
      <c r="BT443" s="257">
        <f>IF(BT$7="Actual","",i_Assumptions!BT510)</f>
        <v/>
      </c>
      <c r="BU443" s="257">
        <f>IF(BU$7="Actual","",i_Assumptions!BU510)</f>
        <v/>
      </c>
      <c r="BV443" s="257">
        <f>IF(BV$7="Actual","",i_Assumptions!BV510)</f>
        <v/>
      </c>
      <c r="BW443" s="257">
        <f>IF(BW$7="Actual","",i_Assumptions!BW510)</f>
        <v/>
      </c>
      <c r="BX443" s="257">
        <f>IF(BX$7="Actual","",i_Assumptions!BX510)</f>
        <v/>
      </c>
      <c r="BY443" s="257">
        <f>IF(BY$7="Actual","",i_Assumptions!BY510)</f>
        <v/>
      </c>
      <c r="BZ443" s="257">
        <f>IF(BZ$7="Actual","",i_Assumptions!BZ510)</f>
        <v/>
      </c>
      <c r="CA443" s="257">
        <f>IF(CA$7="Actual","",i_Assumptions!CA510)</f>
        <v/>
      </c>
    </row>
    <row r="444" ht="12" customHeight="1" s="227">
      <c r="A444" s="244" t="n"/>
      <c r="B444" s="244" t="n"/>
      <c r="C444" s="244" t="n"/>
      <c r="H444" s="4">
        <f>i_Setup!U57</f>
        <v/>
      </c>
      <c r="I444" s="27" t="inlineStr">
        <is>
          <t>no</t>
        </is>
      </c>
      <c r="K444" s="6" t="n"/>
      <c r="M444" s="245">
        <f>SUMIF($T$2:$CA$2,M$2,$T444:$CA444)</f>
        <v/>
      </c>
      <c r="N444" s="245">
        <f>SUMIF($T$2:$CA$2,N$2,$T444:$CA444)</f>
        <v/>
      </c>
      <c r="O444" s="245">
        <f>SUMIF($T$2:$CA$2,O$2,$T444:$CA444)</f>
        <v/>
      </c>
      <c r="P444" s="245">
        <f>SUMIF($T$2:$CA$2,P$2,$T444:$CA444)</f>
        <v/>
      </c>
      <c r="Q444" s="245">
        <f>SUMIF($T$2:$CA$2,Q$2,$T444:$CA444)</f>
        <v/>
      </c>
      <c r="T444" s="257">
        <f>IF(T$7="Actual","",i_Assumptions!T511)</f>
        <v/>
      </c>
      <c r="U444" s="257">
        <f>IF(U$7="Actual","",i_Assumptions!U511)</f>
        <v/>
      </c>
      <c r="V444" s="257">
        <f>IF(V$7="Actual","",i_Assumptions!V511)</f>
        <v/>
      </c>
      <c r="W444" s="257">
        <f>IF(W$7="Actual","",i_Assumptions!W511)</f>
        <v/>
      </c>
      <c r="X444" s="257">
        <f>IF(X$7="Actual","",i_Assumptions!X511)</f>
        <v/>
      </c>
      <c r="Y444" s="257">
        <f>IF(Y$7="Actual","",i_Assumptions!Y511)</f>
        <v/>
      </c>
      <c r="Z444" s="257">
        <f>IF(Z$7="Actual","",i_Assumptions!Z511)</f>
        <v/>
      </c>
      <c r="AA444" s="257">
        <f>IF(AA$7="Actual","",i_Assumptions!AA511)</f>
        <v/>
      </c>
      <c r="AB444" s="257">
        <f>IF(AB$7="Actual","",i_Assumptions!AB511)</f>
        <v/>
      </c>
      <c r="AC444" s="257">
        <f>IF(AC$7="Actual","",i_Assumptions!AC511)</f>
        <v/>
      </c>
      <c r="AD444" s="257">
        <f>IF(AD$7="Actual","",i_Assumptions!AD511)</f>
        <v/>
      </c>
      <c r="AE444" s="257">
        <f>IF(AE$7="Actual","",i_Assumptions!AE511)</f>
        <v/>
      </c>
      <c r="AF444" s="257">
        <f>IF(AF$7="Actual","",i_Assumptions!AF511)</f>
        <v/>
      </c>
      <c r="AG444" s="257">
        <f>IF(AG$7="Actual","",i_Assumptions!AG511)</f>
        <v/>
      </c>
      <c r="AH444" s="257">
        <f>IF(AH$7="Actual","",i_Assumptions!AH511)</f>
        <v/>
      </c>
      <c r="AI444" s="257">
        <f>IF(AI$7="Actual","",i_Assumptions!AI511)</f>
        <v/>
      </c>
      <c r="AJ444" s="257">
        <f>IF(AJ$7="Actual","",i_Assumptions!AJ511)</f>
        <v/>
      </c>
      <c r="AK444" s="257">
        <f>IF(AK$7="Actual","",i_Assumptions!AK511)</f>
        <v/>
      </c>
      <c r="AL444" s="257">
        <f>IF(AL$7="Actual","",i_Assumptions!AL511)</f>
        <v/>
      </c>
      <c r="AM444" s="257">
        <f>IF(AM$7="Actual","",i_Assumptions!AM511)</f>
        <v/>
      </c>
      <c r="AN444" s="257">
        <f>IF(AN$7="Actual","",i_Assumptions!AN511)</f>
        <v/>
      </c>
      <c r="AO444" s="257">
        <f>IF(AO$7="Actual","",i_Assumptions!AO511)</f>
        <v/>
      </c>
      <c r="AP444" s="257">
        <f>IF(AP$7="Actual","",i_Assumptions!AP511)</f>
        <v/>
      </c>
      <c r="AQ444" s="257">
        <f>IF(AQ$7="Actual","",i_Assumptions!AQ511)</f>
        <v/>
      </c>
      <c r="AR444" s="257">
        <f>IF(AR$7="Actual","",i_Assumptions!AR511)</f>
        <v/>
      </c>
      <c r="AS444" s="257">
        <f>IF(AS$7="Actual","",i_Assumptions!AS511)</f>
        <v/>
      </c>
      <c r="AT444" s="257">
        <f>IF(AT$7="Actual","",i_Assumptions!AT511)</f>
        <v/>
      </c>
      <c r="AU444" s="257">
        <f>IF(AU$7="Actual","",i_Assumptions!AU511)</f>
        <v/>
      </c>
      <c r="AV444" s="257">
        <f>IF(AV$7="Actual","",i_Assumptions!AV511)</f>
        <v/>
      </c>
      <c r="AW444" s="257">
        <f>IF(AW$7="Actual","",i_Assumptions!AW511)</f>
        <v/>
      </c>
      <c r="AX444" s="257">
        <f>IF(AX$7="Actual","",i_Assumptions!AX511)</f>
        <v/>
      </c>
      <c r="AY444" s="257">
        <f>IF(AY$7="Actual","",i_Assumptions!AY511)</f>
        <v/>
      </c>
      <c r="AZ444" s="257">
        <f>IF(AZ$7="Actual","",i_Assumptions!AZ511)</f>
        <v/>
      </c>
      <c r="BA444" s="257">
        <f>IF(BA$7="Actual","",i_Assumptions!BA511)</f>
        <v/>
      </c>
      <c r="BB444" s="257">
        <f>IF(BB$7="Actual","",i_Assumptions!BB511)</f>
        <v/>
      </c>
      <c r="BC444" s="257">
        <f>IF(BC$7="Actual","",i_Assumptions!BC511)</f>
        <v/>
      </c>
      <c r="BD444" s="257">
        <f>IF(BD$7="Actual","",i_Assumptions!BD511)</f>
        <v/>
      </c>
      <c r="BE444" s="257">
        <f>IF(BE$7="Actual","",i_Assumptions!BE511)</f>
        <v/>
      </c>
      <c r="BF444" s="257">
        <f>IF(BF$7="Actual","",i_Assumptions!BF511)</f>
        <v/>
      </c>
      <c r="BG444" s="257">
        <f>IF(BG$7="Actual","",i_Assumptions!BG511)</f>
        <v/>
      </c>
      <c r="BH444" s="257">
        <f>IF(BH$7="Actual","",i_Assumptions!BH511)</f>
        <v/>
      </c>
      <c r="BI444" s="257">
        <f>IF(BI$7="Actual","",i_Assumptions!BI511)</f>
        <v/>
      </c>
      <c r="BJ444" s="257">
        <f>IF(BJ$7="Actual","",i_Assumptions!BJ511)</f>
        <v/>
      </c>
      <c r="BK444" s="257">
        <f>IF(BK$7="Actual","",i_Assumptions!BK511)</f>
        <v/>
      </c>
      <c r="BL444" s="257">
        <f>IF(BL$7="Actual","",i_Assumptions!BL511)</f>
        <v/>
      </c>
      <c r="BM444" s="257">
        <f>IF(BM$7="Actual","",i_Assumptions!BM511)</f>
        <v/>
      </c>
      <c r="BN444" s="257">
        <f>IF(BN$7="Actual","",i_Assumptions!BN511)</f>
        <v/>
      </c>
      <c r="BO444" s="257">
        <f>IF(BO$7="Actual","",i_Assumptions!BO511)</f>
        <v/>
      </c>
      <c r="BP444" s="257">
        <f>IF(BP$7="Actual","",i_Assumptions!BP511)</f>
        <v/>
      </c>
      <c r="BQ444" s="257">
        <f>IF(BQ$7="Actual","",i_Assumptions!BQ511)</f>
        <v/>
      </c>
      <c r="BR444" s="257">
        <f>IF(BR$7="Actual","",i_Assumptions!BR511)</f>
        <v/>
      </c>
      <c r="BS444" s="257">
        <f>IF(BS$7="Actual","",i_Assumptions!BS511)</f>
        <v/>
      </c>
      <c r="BT444" s="257">
        <f>IF(BT$7="Actual","",i_Assumptions!BT511)</f>
        <v/>
      </c>
      <c r="BU444" s="257">
        <f>IF(BU$7="Actual","",i_Assumptions!BU511)</f>
        <v/>
      </c>
      <c r="BV444" s="257">
        <f>IF(BV$7="Actual","",i_Assumptions!BV511)</f>
        <v/>
      </c>
      <c r="BW444" s="257">
        <f>IF(BW$7="Actual","",i_Assumptions!BW511)</f>
        <v/>
      </c>
      <c r="BX444" s="257">
        <f>IF(BX$7="Actual","",i_Assumptions!BX511)</f>
        <v/>
      </c>
      <c r="BY444" s="257">
        <f>IF(BY$7="Actual","",i_Assumptions!BY511)</f>
        <v/>
      </c>
      <c r="BZ444" s="257">
        <f>IF(BZ$7="Actual","",i_Assumptions!BZ511)</f>
        <v/>
      </c>
      <c r="CA444" s="257">
        <f>IF(CA$7="Actual","",i_Assumptions!CA511)</f>
        <v/>
      </c>
    </row>
    <row r="445" ht="12" customHeight="1" s="227">
      <c r="A445" s="244" t="n"/>
      <c r="B445" s="244" t="n"/>
      <c r="C445" s="244" t="n"/>
      <c r="H445" s="4">
        <f>i_Setup!U58</f>
        <v/>
      </c>
      <c r="I445" s="27" t="inlineStr">
        <is>
          <t>no</t>
        </is>
      </c>
      <c r="K445" s="6" t="n"/>
      <c r="M445" s="245">
        <f>SUMIF($T$2:$CA$2,M$2,$T445:$CA445)</f>
        <v/>
      </c>
      <c r="N445" s="245">
        <f>SUMIF($T$2:$CA$2,N$2,$T445:$CA445)</f>
        <v/>
      </c>
      <c r="O445" s="245">
        <f>SUMIF($T$2:$CA$2,O$2,$T445:$CA445)</f>
        <v/>
      </c>
      <c r="P445" s="245">
        <f>SUMIF($T$2:$CA$2,P$2,$T445:$CA445)</f>
        <v/>
      </c>
      <c r="Q445" s="245">
        <f>SUMIF($T$2:$CA$2,Q$2,$T445:$CA445)</f>
        <v/>
      </c>
      <c r="T445" s="257">
        <f>IF(T$7="Actual","",i_Assumptions!T512)</f>
        <v/>
      </c>
      <c r="U445" s="257">
        <f>IF(U$7="Actual","",i_Assumptions!U512)</f>
        <v/>
      </c>
      <c r="V445" s="257">
        <f>IF(V$7="Actual","",i_Assumptions!V512)</f>
        <v/>
      </c>
      <c r="W445" s="257">
        <f>IF(W$7="Actual","",i_Assumptions!W512)</f>
        <v/>
      </c>
      <c r="X445" s="257">
        <f>IF(X$7="Actual","",i_Assumptions!X512)</f>
        <v/>
      </c>
      <c r="Y445" s="257">
        <f>IF(Y$7="Actual","",i_Assumptions!Y512)</f>
        <v/>
      </c>
      <c r="Z445" s="257">
        <f>IF(Z$7="Actual","",i_Assumptions!Z512)</f>
        <v/>
      </c>
      <c r="AA445" s="257">
        <f>IF(AA$7="Actual","",i_Assumptions!AA512)</f>
        <v/>
      </c>
      <c r="AB445" s="257">
        <f>IF(AB$7="Actual","",i_Assumptions!AB512)</f>
        <v/>
      </c>
      <c r="AC445" s="257">
        <f>IF(AC$7="Actual","",i_Assumptions!AC512)</f>
        <v/>
      </c>
      <c r="AD445" s="257">
        <f>IF(AD$7="Actual","",i_Assumptions!AD512)</f>
        <v/>
      </c>
      <c r="AE445" s="257">
        <f>IF(AE$7="Actual","",i_Assumptions!AE512)</f>
        <v/>
      </c>
      <c r="AF445" s="257">
        <f>IF(AF$7="Actual","",i_Assumptions!AF512)</f>
        <v/>
      </c>
      <c r="AG445" s="257">
        <f>IF(AG$7="Actual","",i_Assumptions!AG512)</f>
        <v/>
      </c>
      <c r="AH445" s="257">
        <f>IF(AH$7="Actual","",i_Assumptions!AH512)</f>
        <v/>
      </c>
      <c r="AI445" s="257">
        <f>IF(AI$7="Actual","",i_Assumptions!AI512)</f>
        <v/>
      </c>
      <c r="AJ445" s="257">
        <f>IF(AJ$7="Actual","",i_Assumptions!AJ512)</f>
        <v/>
      </c>
      <c r="AK445" s="257">
        <f>IF(AK$7="Actual","",i_Assumptions!AK512)</f>
        <v/>
      </c>
      <c r="AL445" s="257">
        <f>IF(AL$7="Actual","",i_Assumptions!AL512)</f>
        <v/>
      </c>
      <c r="AM445" s="257">
        <f>IF(AM$7="Actual","",i_Assumptions!AM512)</f>
        <v/>
      </c>
      <c r="AN445" s="257">
        <f>IF(AN$7="Actual","",i_Assumptions!AN512)</f>
        <v/>
      </c>
      <c r="AO445" s="257">
        <f>IF(AO$7="Actual","",i_Assumptions!AO512)</f>
        <v/>
      </c>
      <c r="AP445" s="257">
        <f>IF(AP$7="Actual","",i_Assumptions!AP512)</f>
        <v/>
      </c>
      <c r="AQ445" s="257">
        <f>IF(AQ$7="Actual","",i_Assumptions!AQ512)</f>
        <v/>
      </c>
      <c r="AR445" s="257">
        <f>IF(AR$7="Actual","",i_Assumptions!AR512)</f>
        <v/>
      </c>
      <c r="AS445" s="257">
        <f>IF(AS$7="Actual","",i_Assumptions!AS512)</f>
        <v/>
      </c>
      <c r="AT445" s="257">
        <f>IF(AT$7="Actual","",i_Assumptions!AT512)</f>
        <v/>
      </c>
      <c r="AU445" s="257">
        <f>IF(AU$7="Actual","",i_Assumptions!AU512)</f>
        <v/>
      </c>
      <c r="AV445" s="257">
        <f>IF(AV$7="Actual","",i_Assumptions!AV512)</f>
        <v/>
      </c>
      <c r="AW445" s="257">
        <f>IF(AW$7="Actual","",i_Assumptions!AW512)</f>
        <v/>
      </c>
      <c r="AX445" s="257">
        <f>IF(AX$7="Actual","",i_Assumptions!AX512)</f>
        <v/>
      </c>
      <c r="AY445" s="257">
        <f>IF(AY$7="Actual","",i_Assumptions!AY512)</f>
        <v/>
      </c>
      <c r="AZ445" s="257">
        <f>IF(AZ$7="Actual","",i_Assumptions!AZ512)</f>
        <v/>
      </c>
      <c r="BA445" s="257">
        <f>IF(BA$7="Actual","",i_Assumptions!BA512)</f>
        <v/>
      </c>
      <c r="BB445" s="257">
        <f>IF(BB$7="Actual","",i_Assumptions!BB512)</f>
        <v/>
      </c>
      <c r="BC445" s="257">
        <f>IF(BC$7="Actual","",i_Assumptions!BC512)</f>
        <v/>
      </c>
      <c r="BD445" s="257">
        <f>IF(BD$7="Actual","",i_Assumptions!BD512)</f>
        <v/>
      </c>
      <c r="BE445" s="257">
        <f>IF(BE$7="Actual","",i_Assumptions!BE512)</f>
        <v/>
      </c>
      <c r="BF445" s="257">
        <f>IF(BF$7="Actual","",i_Assumptions!BF512)</f>
        <v/>
      </c>
      <c r="BG445" s="257">
        <f>IF(BG$7="Actual","",i_Assumptions!BG512)</f>
        <v/>
      </c>
      <c r="BH445" s="257">
        <f>IF(BH$7="Actual","",i_Assumptions!BH512)</f>
        <v/>
      </c>
      <c r="BI445" s="257">
        <f>IF(BI$7="Actual","",i_Assumptions!BI512)</f>
        <v/>
      </c>
      <c r="BJ445" s="257">
        <f>IF(BJ$7="Actual","",i_Assumptions!BJ512)</f>
        <v/>
      </c>
      <c r="BK445" s="257">
        <f>IF(BK$7="Actual","",i_Assumptions!BK512)</f>
        <v/>
      </c>
      <c r="BL445" s="257">
        <f>IF(BL$7="Actual","",i_Assumptions!BL512)</f>
        <v/>
      </c>
      <c r="BM445" s="257">
        <f>IF(BM$7="Actual","",i_Assumptions!BM512)</f>
        <v/>
      </c>
      <c r="BN445" s="257">
        <f>IF(BN$7="Actual","",i_Assumptions!BN512)</f>
        <v/>
      </c>
      <c r="BO445" s="257">
        <f>IF(BO$7="Actual","",i_Assumptions!BO512)</f>
        <v/>
      </c>
      <c r="BP445" s="257">
        <f>IF(BP$7="Actual","",i_Assumptions!BP512)</f>
        <v/>
      </c>
      <c r="BQ445" s="257">
        <f>IF(BQ$7="Actual","",i_Assumptions!BQ512)</f>
        <v/>
      </c>
      <c r="BR445" s="257">
        <f>IF(BR$7="Actual","",i_Assumptions!BR512)</f>
        <v/>
      </c>
      <c r="BS445" s="257">
        <f>IF(BS$7="Actual","",i_Assumptions!BS512)</f>
        <v/>
      </c>
      <c r="BT445" s="257">
        <f>IF(BT$7="Actual","",i_Assumptions!BT512)</f>
        <v/>
      </c>
      <c r="BU445" s="257">
        <f>IF(BU$7="Actual","",i_Assumptions!BU512)</f>
        <v/>
      </c>
      <c r="BV445" s="257">
        <f>IF(BV$7="Actual","",i_Assumptions!BV512)</f>
        <v/>
      </c>
      <c r="BW445" s="257">
        <f>IF(BW$7="Actual","",i_Assumptions!BW512)</f>
        <v/>
      </c>
      <c r="BX445" s="257">
        <f>IF(BX$7="Actual","",i_Assumptions!BX512)</f>
        <v/>
      </c>
      <c r="BY445" s="257">
        <f>IF(BY$7="Actual","",i_Assumptions!BY512)</f>
        <v/>
      </c>
      <c r="BZ445" s="257">
        <f>IF(BZ$7="Actual","",i_Assumptions!BZ512)</f>
        <v/>
      </c>
      <c r="CA445" s="257">
        <f>IF(CA$7="Actual","",i_Assumptions!CA512)</f>
        <v/>
      </c>
    </row>
    <row r="446" ht="12" customHeight="1" s="227">
      <c r="A446" s="244" t="n"/>
      <c r="B446" s="244" t="n"/>
      <c r="C446" s="244" t="n"/>
      <c r="H446" s="4">
        <f>i_Setup!U59</f>
        <v/>
      </c>
      <c r="I446" s="27" t="inlineStr">
        <is>
          <t>no</t>
        </is>
      </c>
      <c r="K446" s="6" t="n"/>
      <c r="M446" s="245">
        <f>SUMIF($T$2:$CA$2,M$2,$T446:$CA446)</f>
        <v/>
      </c>
      <c r="N446" s="245">
        <f>SUMIF($T$2:$CA$2,N$2,$T446:$CA446)</f>
        <v/>
      </c>
      <c r="O446" s="245">
        <f>SUMIF($T$2:$CA$2,O$2,$T446:$CA446)</f>
        <v/>
      </c>
      <c r="P446" s="245">
        <f>SUMIF($T$2:$CA$2,P$2,$T446:$CA446)</f>
        <v/>
      </c>
      <c r="Q446" s="245">
        <f>SUMIF($T$2:$CA$2,Q$2,$T446:$CA446)</f>
        <v/>
      </c>
      <c r="T446" s="257">
        <f>IF(T$7="Actual","",i_Assumptions!T513)</f>
        <v/>
      </c>
      <c r="U446" s="257">
        <f>IF(U$7="Actual","",i_Assumptions!U513)</f>
        <v/>
      </c>
      <c r="V446" s="257">
        <f>IF(V$7="Actual","",i_Assumptions!V513)</f>
        <v/>
      </c>
      <c r="W446" s="257">
        <f>IF(W$7="Actual","",i_Assumptions!W513)</f>
        <v/>
      </c>
      <c r="X446" s="257">
        <f>IF(X$7="Actual","",i_Assumptions!X513)</f>
        <v/>
      </c>
      <c r="Y446" s="257">
        <f>IF(Y$7="Actual","",i_Assumptions!Y513)</f>
        <v/>
      </c>
      <c r="Z446" s="257">
        <f>IF(Z$7="Actual","",i_Assumptions!Z513)</f>
        <v/>
      </c>
      <c r="AA446" s="257">
        <f>IF(AA$7="Actual","",i_Assumptions!AA513)</f>
        <v/>
      </c>
      <c r="AB446" s="257">
        <f>IF(AB$7="Actual","",i_Assumptions!AB513)</f>
        <v/>
      </c>
      <c r="AC446" s="257">
        <f>IF(AC$7="Actual","",i_Assumptions!AC513)</f>
        <v/>
      </c>
      <c r="AD446" s="257">
        <f>IF(AD$7="Actual","",i_Assumptions!AD513)</f>
        <v/>
      </c>
      <c r="AE446" s="257">
        <f>IF(AE$7="Actual","",i_Assumptions!AE513)</f>
        <v/>
      </c>
      <c r="AF446" s="257">
        <f>IF(AF$7="Actual","",i_Assumptions!AF513)</f>
        <v/>
      </c>
      <c r="AG446" s="257">
        <f>IF(AG$7="Actual","",i_Assumptions!AG513)</f>
        <v/>
      </c>
      <c r="AH446" s="257">
        <f>IF(AH$7="Actual","",i_Assumptions!AH513)</f>
        <v/>
      </c>
      <c r="AI446" s="257">
        <f>IF(AI$7="Actual","",i_Assumptions!AI513)</f>
        <v/>
      </c>
      <c r="AJ446" s="257">
        <f>IF(AJ$7="Actual","",i_Assumptions!AJ513)</f>
        <v/>
      </c>
      <c r="AK446" s="257">
        <f>IF(AK$7="Actual","",i_Assumptions!AK513)</f>
        <v/>
      </c>
      <c r="AL446" s="257">
        <f>IF(AL$7="Actual","",i_Assumptions!AL513)</f>
        <v/>
      </c>
      <c r="AM446" s="257">
        <f>IF(AM$7="Actual","",i_Assumptions!AM513)</f>
        <v/>
      </c>
      <c r="AN446" s="257">
        <f>IF(AN$7="Actual","",i_Assumptions!AN513)</f>
        <v/>
      </c>
      <c r="AO446" s="257">
        <f>IF(AO$7="Actual","",i_Assumptions!AO513)</f>
        <v/>
      </c>
      <c r="AP446" s="257">
        <f>IF(AP$7="Actual","",i_Assumptions!AP513)</f>
        <v/>
      </c>
      <c r="AQ446" s="257">
        <f>IF(AQ$7="Actual","",i_Assumptions!AQ513)</f>
        <v/>
      </c>
      <c r="AR446" s="257">
        <f>IF(AR$7="Actual","",i_Assumptions!AR513)</f>
        <v/>
      </c>
      <c r="AS446" s="257">
        <f>IF(AS$7="Actual","",i_Assumptions!AS513)</f>
        <v/>
      </c>
      <c r="AT446" s="257">
        <f>IF(AT$7="Actual","",i_Assumptions!AT513)</f>
        <v/>
      </c>
      <c r="AU446" s="257">
        <f>IF(AU$7="Actual","",i_Assumptions!AU513)</f>
        <v/>
      </c>
      <c r="AV446" s="257">
        <f>IF(AV$7="Actual","",i_Assumptions!AV513)</f>
        <v/>
      </c>
      <c r="AW446" s="257">
        <f>IF(AW$7="Actual","",i_Assumptions!AW513)</f>
        <v/>
      </c>
      <c r="AX446" s="257">
        <f>IF(AX$7="Actual","",i_Assumptions!AX513)</f>
        <v/>
      </c>
      <c r="AY446" s="257">
        <f>IF(AY$7="Actual","",i_Assumptions!AY513)</f>
        <v/>
      </c>
      <c r="AZ446" s="257">
        <f>IF(AZ$7="Actual","",i_Assumptions!AZ513)</f>
        <v/>
      </c>
      <c r="BA446" s="257">
        <f>IF(BA$7="Actual","",i_Assumptions!BA513)</f>
        <v/>
      </c>
      <c r="BB446" s="257">
        <f>IF(BB$7="Actual","",i_Assumptions!BB513)</f>
        <v/>
      </c>
      <c r="BC446" s="257">
        <f>IF(BC$7="Actual","",i_Assumptions!BC513)</f>
        <v/>
      </c>
      <c r="BD446" s="257">
        <f>IF(BD$7="Actual","",i_Assumptions!BD513)</f>
        <v/>
      </c>
      <c r="BE446" s="257">
        <f>IF(BE$7="Actual","",i_Assumptions!BE513)</f>
        <v/>
      </c>
      <c r="BF446" s="257">
        <f>IF(BF$7="Actual","",i_Assumptions!BF513)</f>
        <v/>
      </c>
      <c r="BG446" s="257">
        <f>IF(BG$7="Actual","",i_Assumptions!BG513)</f>
        <v/>
      </c>
      <c r="BH446" s="257">
        <f>IF(BH$7="Actual","",i_Assumptions!BH513)</f>
        <v/>
      </c>
      <c r="BI446" s="257">
        <f>IF(BI$7="Actual","",i_Assumptions!BI513)</f>
        <v/>
      </c>
      <c r="BJ446" s="257">
        <f>IF(BJ$7="Actual","",i_Assumptions!BJ513)</f>
        <v/>
      </c>
      <c r="BK446" s="257">
        <f>IF(BK$7="Actual","",i_Assumptions!BK513)</f>
        <v/>
      </c>
      <c r="BL446" s="257">
        <f>IF(BL$7="Actual","",i_Assumptions!BL513)</f>
        <v/>
      </c>
      <c r="BM446" s="257">
        <f>IF(BM$7="Actual","",i_Assumptions!BM513)</f>
        <v/>
      </c>
      <c r="BN446" s="257">
        <f>IF(BN$7="Actual","",i_Assumptions!BN513)</f>
        <v/>
      </c>
      <c r="BO446" s="257">
        <f>IF(BO$7="Actual","",i_Assumptions!BO513)</f>
        <v/>
      </c>
      <c r="BP446" s="257">
        <f>IF(BP$7="Actual","",i_Assumptions!BP513)</f>
        <v/>
      </c>
      <c r="BQ446" s="257">
        <f>IF(BQ$7="Actual","",i_Assumptions!BQ513)</f>
        <v/>
      </c>
      <c r="BR446" s="257">
        <f>IF(BR$7="Actual","",i_Assumptions!BR513)</f>
        <v/>
      </c>
      <c r="BS446" s="257">
        <f>IF(BS$7="Actual","",i_Assumptions!BS513)</f>
        <v/>
      </c>
      <c r="BT446" s="257">
        <f>IF(BT$7="Actual","",i_Assumptions!BT513)</f>
        <v/>
      </c>
      <c r="BU446" s="257">
        <f>IF(BU$7="Actual","",i_Assumptions!BU513)</f>
        <v/>
      </c>
      <c r="BV446" s="257">
        <f>IF(BV$7="Actual","",i_Assumptions!BV513)</f>
        <v/>
      </c>
      <c r="BW446" s="257">
        <f>IF(BW$7="Actual","",i_Assumptions!BW513)</f>
        <v/>
      </c>
      <c r="BX446" s="257">
        <f>IF(BX$7="Actual","",i_Assumptions!BX513)</f>
        <v/>
      </c>
      <c r="BY446" s="257">
        <f>IF(BY$7="Actual","",i_Assumptions!BY513)</f>
        <v/>
      </c>
      <c r="BZ446" s="257">
        <f>IF(BZ$7="Actual","",i_Assumptions!BZ513)</f>
        <v/>
      </c>
      <c r="CA446" s="257">
        <f>IF(CA$7="Actual","",i_Assumptions!CA513)</f>
        <v/>
      </c>
    </row>
    <row r="447" ht="12" customHeight="1" s="227">
      <c r="A447" s="244" t="n"/>
      <c r="B447" s="244" t="n"/>
      <c r="C447" s="244" t="n"/>
      <c r="H447" s="4">
        <f>i_Setup!U60</f>
        <v/>
      </c>
      <c r="I447" s="27" t="inlineStr">
        <is>
          <t>no</t>
        </is>
      </c>
      <c r="K447" s="6" t="n"/>
      <c r="M447" s="245">
        <f>SUMIF($T$2:$CA$2,M$2,$T447:$CA447)</f>
        <v/>
      </c>
      <c r="N447" s="245">
        <f>SUMIF($T$2:$CA$2,N$2,$T447:$CA447)</f>
        <v/>
      </c>
      <c r="O447" s="245">
        <f>SUMIF($T$2:$CA$2,O$2,$T447:$CA447)</f>
        <v/>
      </c>
      <c r="P447" s="245">
        <f>SUMIF($T$2:$CA$2,P$2,$T447:$CA447)</f>
        <v/>
      </c>
      <c r="Q447" s="245">
        <f>SUMIF($T$2:$CA$2,Q$2,$T447:$CA447)</f>
        <v/>
      </c>
      <c r="T447" s="257">
        <f>IF(T$7="Actual","",i_Assumptions!T514)</f>
        <v/>
      </c>
      <c r="U447" s="257">
        <f>IF(U$7="Actual","",i_Assumptions!U514)</f>
        <v/>
      </c>
      <c r="V447" s="257">
        <f>IF(V$7="Actual","",i_Assumptions!V514)</f>
        <v/>
      </c>
      <c r="W447" s="257">
        <f>IF(W$7="Actual","",i_Assumptions!W514)</f>
        <v/>
      </c>
      <c r="X447" s="257">
        <f>IF(X$7="Actual","",i_Assumptions!X514)</f>
        <v/>
      </c>
      <c r="Y447" s="257">
        <f>IF(Y$7="Actual","",i_Assumptions!Y514)</f>
        <v/>
      </c>
      <c r="Z447" s="257">
        <f>IF(Z$7="Actual","",i_Assumptions!Z514)</f>
        <v/>
      </c>
      <c r="AA447" s="257">
        <f>IF(AA$7="Actual","",i_Assumptions!AA514)</f>
        <v/>
      </c>
      <c r="AB447" s="257">
        <f>IF(AB$7="Actual","",i_Assumptions!AB514)</f>
        <v/>
      </c>
      <c r="AC447" s="257">
        <f>IF(AC$7="Actual","",i_Assumptions!AC514)</f>
        <v/>
      </c>
      <c r="AD447" s="257">
        <f>IF(AD$7="Actual","",i_Assumptions!AD514)</f>
        <v/>
      </c>
      <c r="AE447" s="257">
        <f>IF(AE$7="Actual","",i_Assumptions!AE514)</f>
        <v/>
      </c>
      <c r="AF447" s="257">
        <f>IF(AF$7="Actual","",i_Assumptions!AF514)</f>
        <v/>
      </c>
      <c r="AG447" s="257">
        <f>IF(AG$7="Actual","",i_Assumptions!AG514)</f>
        <v/>
      </c>
      <c r="AH447" s="257">
        <f>IF(AH$7="Actual","",i_Assumptions!AH514)</f>
        <v/>
      </c>
      <c r="AI447" s="257">
        <f>IF(AI$7="Actual","",i_Assumptions!AI514)</f>
        <v/>
      </c>
      <c r="AJ447" s="257">
        <f>IF(AJ$7="Actual","",i_Assumptions!AJ514)</f>
        <v/>
      </c>
      <c r="AK447" s="257">
        <f>IF(AK$7="Actual","",i_Assumptions!AK514)</f>
        <v/>
      </c>
      <c r="AL447" s="257">
        <f>IF(AL$7="Actual","",i_Assumptions!AL514)</f>
        <v/>
      </c>
      <c r="AM447" s="257">
        <f>IF(AM$7="Actual","",i_Assumptions!AM514)</f>
        <v/>
      </c>
      <c r="AN447" s="257">
        <f>IF(AN$7="Actual","",i_Assumptions!AN514)</f>
        <v/>
      </c>
      <c r="AO447" s="257">
        <f>IF(AO$7="Actual","",i_Assumptions!AO514)</f>
        <v/>
      </c>
      <c r="AP447" s="257">
        <f>IF(AP$7="Actual","",i_Assumptions!AP514)</f>
        <v/>
      </c>
      <c r="AQ447" s="257">
        <f>IF(AQ$7="Actual","",i_Assumptions!AQ514)</f>
        <v/>
      </c>
      <c r="AR447" s="257">
        <f>IF(AR$7="Actual","",i_Assumptions!AR514)</f>
        <v/>
      </c>
      <c r="AS447" s="257">
        <f>IF(AS$7="Actual","",i_Assumptions!AS514)</f>
        <v/>
      </c>
      <c r="AT447" s="257">
        <f>IF(AT$7="Actual","",i_Assumptions!AT514)</f>
        <v/>
      </c>
      <c r="AU447" s="257">
        <f>IF(AU$7="Actual","",i_Assumptions!AU514)</f>
        <v/>
      </c>
      <c r="AV447" s="257">
        <f>IF(AV$7="Actual","",i_Assumptions!AV514)</f>
        <v/>
      </c>
      <c r="AW447" s="257">
        <f>IF(AW$7="Actual","",i_Assumptions!AW514)</f>
        <v/>
      </c>
      <c r="AX447" s="257">
        <f>IF(AX$7="Actual","",i_Assumptions!AX514)</f>
        <v/>
      </c>
      <c r="AY447" s="257">
        <f>IF(AY$7="Actual","",i_Assumptions!AY514)</f>
        <v/>
      </c>
      <c r="AZ447" s="257">
        <f>IF(AZ$7="Actual","",i_Assumptions!AZ514)</f>
        <v/>
      </c>
      <c r="BA447" s="257">
        <f>IF(BA$7="Actual","",i_Assumptions!BA514)</f>
        <v/>
      </c>
      <c r="BB447" s="257">
        <f>IF(BB$7="Actual","",i_Assumptions!BB514)</f>
        <v/>
      </c>
      <c r="BC447" s="257">
        <f>IF(BC$7="Actual","",i_Assumptions!BC514)</f>
        <v/>
      </c>
      <c r="BD447" s="257">
        <f>IF(BD$7="Actual","",i_Assumptions!BD514)</f>
        <v/>
      </c>
      <c r="BE447" s="257">
        <f>IF(BE$7="Actual","",i_Assumptions!BE514)</f>
        <v/>
      </c>
      <c r="BF447" s="257">
        <f>IF(BF$7="Actual","",i_Assumptions!BF514)</f>
        <v/>
      </c>
      <c r="BG447" s="257">
        <f>IF(BG$7="Actual","",i_Assumptions!BG514)</f>
        <v/>
      </c>
      <c r="BH447" s="257">
        <f>IF(BH$7="Actual","",i_Assumptions!BH514)</f>
        <v/>
      </c>
      <c r="BI447" s="257">
        <f>IF(BI$7="Actual","",i_Assumptions!BI514)</f>
        <v/>
      </c>
      <c r="BJ447" s="257">
        <f>IF(BJ$7="Actual","",i_Assumptions!BJ514)</f>
        <v/>
      </c>
      <c r="BK447" s="257">
        <f>IF(BK$7="Actual","",i_Assumptions!BK514)</f>
        <v/>
      </c>
      <c r="BL447" s="257">
        <f>IF(BL$7="Actual","",i_Assumptions!BL514)</f>
        <v/>
      </c>
      <c r="BM447" s="257">
        <f>IF(BM$7="Actual","",i_Assumptions!BM514)</f>
        <v/>
      </c>
      <c r="BN447" s="257">
        <f>IF(BN$7="Actual","",i_Assumptions!BN514)</f>
        <v/>
      </c>
      <c r="BO447" s="257">
        <f>IF(BO$7="Actual","",i_Assumptions!BO514)</f>
        <v/>
      </c>
      <c r="BP447" s="257">
        <f>IF(BP$7="Actual","",i_Assumptions!BP514)</f>
        <v/>
      </c>
      <c r="BQ447" s="257">
        <f>IF(BQ$7="Actual","",i_Assumptions!BQ514)</f>
        <v/>
      </c>
      <c r="BR447" s="257">
        <f>IF(BR$7="Actual","",i_Assumptions!BR514)</f>
        <v/>
      </c>
      <c r="BS447" s="257">
        <f>IF(BS$7="Actual","",i_Assumptions!BS514)</f>
        <v/>
      </c>
      <c r="BT447" s="257">
        <f>IF(BT$7="Actual","",i_Assumptions!BT514)</f>
        <v/>
      </c>
      <c r="BU447" s="257">
        <f>IF(BU$7="Actual","",i_Assumptions!BU514)</f>
        <v/>
      </c>
      <c r="BV447" s="257">
        <f>IF(BV$7="Actual","",i_Assumptions!BV514)</f>
        <v/>
      </c>
      <c r="BW447" s="257">
        <f>IF(BW$7="Actual","",i_Assumptions!BW514)</f>
        <v/>
      </c>
      <c r="BX447" s="257">
        <f>IF(BX$7="Actual","",i_Assumptions!BX514)</f>
        <v/>
      </c>
      <c r="BY447" s="257">
        <f>IF(BY$7="Actual","",i_Assumptions!BY514)</f>
        <v/>
      </c>
      <c r="BZ447" s="257">
        <f>IF(BZ$7="Actual","",i_Assumptions!BZ514)</f>
        <v/>
      </c>
      <c r="CA447" s="257">
        <f>IF(CA$7="Actual","",i_Assumptions!CA514)</f>
        <v/>
      </c>
    </row>
    <row r="448" ht="12" customHeight="1" s="227">
      <c r="A448" s="244" t="n"/>
      <c r="B448" s="244" t="n"/>
      <c r="C448" s="244" t="n"/>
      <c r="H448" s="4">
        <f>i_Setup!U61</f>
        <v/>
      </c>
      <c r="I448" s="27" t="inlineStr">
        <is>
          <t>no</t>
        </is>
      </c>
      <c r="K448" s="6" t="n"/>
      <c r="M448" s="245">
        <f>SUMIF($T$2:$CA$2,M$2,$T448:$CA448)</f>
        <v/>
      </c>
      <c r="N448" s="245">
        <f>SUMIF($T$2:$CA$2,N$2,$T448:$CA448)</f>
        <v/>
      </c>
      <c r="O448" s="245">
        <f>SUMIF($T$2:$CA$2,O$2,$T448:$CA448)</f>
        <v/>
      </c>
      <c r="P448" s="245">
        <f>SUMIF($T$2:$CA$2,P$2,$T448:$CA448)</f>
        <v/>
      </c>
      <c r="Q448" s="245">
        <f>SUMIF($T$2:$CA$2,Q$2,$T448:$CA448)</f>
        <v/>
      </c>
      <c r="T448" s="257">
        <f>IF(T$7="Actual","",i_Assumptions!T515)</f>
        <v/>
      </c>
      <c r="U448" s="257">
        <f>IF(U$7="Actual","",i_Assumptions!U515)</f>
        <v/>
      </c>
      <c r="V448" s="257">
        <f>IF(V$7="Actual","",i_Assumptions!V515)</f>
        <v/>
      </c>
      <c r="W448" s="257">
        <f>IF(W$7="Actual","",i_Assumptions!W515)</f>
        <v/>
      </c>
      <c r="X448" s="257">
        <f>IF(X$7="Actual","",i_Assumptions!X515)</f>
        <v/>
      </c>
      <c r="Y448" s="257">
        <f>IF(Y$7="Actual","",i_Assumptions!Y515)</f>
        <v/>
      </c>
      <c r="Z448" s="257">
        <f>IF(Z$7="Actual","",i_Assumptions!Z515)</f>
        <v/>
      </c>
      <c r="AA448" s="257">
        <f>IF(AA$7="Actual","",i_Assumptions!AA515)</f>
        <v/>
      </c>
      <c r="AB448" s="257">
        <f>IF(AB$7="Actual","",i_Assumptions!AB515)</f>
        <v/>
      </c>
      <c r="AC448" s="257">
        <f>IF(AC$7="Actual","",i_Assumptions!AC515)</f>
        <v/>
      </c>
      <c r="AD448" s="257">
        <f>IF(AD$7="Actual","",i_Assumptions!AD515)</f>
        <v/>
      </c>
      <c r="AE448" s="257">
        <f>IF(AE$7="Actual","",i_Assumptions!AE515)</f>
        <v/>
      </c>
      <c r="AF448" s="257">
        <f>IF(AF$7="Actual","",i_Assumptions!AF515)</f>
        <v/>
      </c>
      <c r="AG448" s="257">
        <f>IF(AG$7="Actual","",i_Assumptions!AG515)</f>
        <v/>
      </c>
      <c r="AH448" s="257">
        <f>IF(AH$7="Actual","",i_Assumptions!AH515)</f>
        <v/>
      </c>
      <c r="AI448" s="257">
        <f>IF(AI$7="Actual","",i_Assumptions!AI515)</f>
        <v/>
      </c>
      <c r="AJ448" s="257">
        <f>IF(AJ$7="Actual","",i_Assumptions!AJ515)</f>
        <v/>
      </c>
      <c r="AK448" s="257">
        <f>IF(AK$7="Actual","",i_Assumptions!AK515)</f>
        <v/>
      </c>
      <c r="AL448" s="257">
        <f>IF(AL$7="Actual","",i_Assumptions!AL515)</f>
        <v/>
      </c>
      <c r="AM448" s="257">
        <f>IF(AM$7="Actual","",i_Assumptions!AM515)</f>
        <v/>
      </c>
      <c r="AN448" s="257">
        <f>IF(AN$7="Actual","",i_Assumptions!AN515)</f>
        <v/>
      </c>
      <c r="AO448" s="257">
        <f>IF(AO$7="Actual","",i_Assumptions!AO515)</f>
        <v/>
      </c>
      <c r="AP448" s="257">
        <f>IF(AP$7="Actual","",i_Assumptions!AP515)</f>
        <v/>
      </c>
      <c r="AQ448" s="257">
        <f>IF(AQ$7="Actual","",i_Assumptions!AQ515)</f>
        <v/>
      </c>
      <c r="AR448" s="257">
        <f>IF(AR$7="Actual","",i_Assumptions!AR515)</f>
        <v/>
      </c>
      <c r="AS448" s="257">
        <f>IF(AS$7="Actual","",i_Assumptions!AS515)</f>
        <v/>
      </c>
      <c r="AT448" s="257">
        <f>IF(AT$7="Actual","",i_Assumptions!AT515)</f>
        <v/>
      </c>
      <c r="AU448" s="257">
        <f>IF(AU$7="Actual","",i_Assumptions!AU515)</f>
        <v/>
      </c>
      <c r="AV448" s="257">
        <f>IF(AV$7="Actual","",i_Assumptions!AV515)</f>
        <v/>
      </c>
      <c r="AW448" s="257">
        <f>IF(AW$7="Actual","",i_Assumptions!AW515)</f>
        <v/>
      </c>
      <c r="AX448" s="257">
        <f>IF(AX$7="Actual","",i_Assumptions!AX515)</f>
        <v/>
      </c>
      <c r="AY448" s="257">
        <f>IF(AY$7="Actual","",i_Assumptions!AY515)</f>
        <v/>
      </c>
      <c r="AZ448" s="257">
        <f>IF(AZ$7="Actual","",i_Assumptions!AZ515)</f>
        <v/>
      </c>
      <c r="BA448" s="257">
        <f>IF(BA$7="Actual","",i_Assumptions!BA515)</f>
        <v/>
      </c>
      <c r="BB448" s="257">
        <f>IF(BB$7="Actual","",i_Assumptions!BB515)</f>
        <v/>
      </c>
      <c r="BC448" s="257">
        <f>IF(BC$7="Actual","",i_Assumptions!BC515)</f>
        <v/>
      </c>
      <c r="BD448" s="257">
        <f>IF(BD$7="Actual","",i_Assumptions!BD515)</f>
        <v/>
      </c>
      <c r="BE448" s="257">
        <f>IF(BE$7="Actual","",i_Assumptions!BE515)</f>
        <v/>
      </c>
      <c r="BF448" s="257">
        <f>IF(BF$7="Actual","",i_Assumptions!BF515)</f>
        <v/>
      </c>
      <c r="BG448" s="257">
        <f>IF(BG$7="Actual","",i_Assumptions!BG515)</f>
        <v/>
      </c>
      <c r="BH448" s="257">
        <f>IF(BH$7="Actual","",i_Assumptions!BH515)</f>
        <v/>
      </c>
      <c r="BI448" s="257">
        <f>IF(BI$7="Actual","",i_Assumptions!BI515)</f>
        <v/>
      </c>
      <c r="BJ448" s="257">
        <f>IF(BJ$7="Actual","",i_Assumptions!BJ515)</f>
        <v/>
      </c>
      <c r="BK448" s="257">
        <f>IF(BK$7="Actual","",i_Assumptions!BK515)</f>
        <v/>
      </c>
      <c r="BL448" s="257">
        <f>IF(BL$7="Actual","",i_Assumptions!BL515)</f>
        <v/>
      </c>
      <c r="BM448" s="257">
        <f>IF(BM$7="Actual","",i_Assumptions!BM515)</f>
        <v/>
      </c>
      <c r="BN448" s="257">
        <f>IF(BN$7="Actual","",i_Assumptions!BN515)</f>
        <v/>
      </c>
      <c r="BO448" s="257">
        <f>IF(BO$7="Actual","",i_Assumptions!BO515)</f>
        <v/>
      </c>
      <c r="BP448" s="257">
        <f>IF(BP$7="Actual","",i_Assumptions!BP515)</f>
        <v/>
      </c>
      <c r="BQ448" s="257">
        <f>IF(BQ$7="Actual","",i_Assumptions!BQ515)</f>
        <v/>
      </c>
      <c r="BR448" s="257">
        <f>IF(BR$7="Actual","",i_Assumptions!BR515)</f>
        <v/>
      </c>
      <c r="BS448" s="257">
        <f>IF(BS$7="Actual","",i_Assumptions!BS515)</f>
        <v/>
      </c>
      <c r="BT448" s="257">
        <f>IF(BT$7="Actual","",i_Assumptions!BT515)</f>
        <v/>
      </c>
      <c r="BU448" s="257">
        <f>IF(BU$7="Actual","",i_Assumptions!BU515)</f>
        <v/>
      </c>
      <c r="BV448" s="257">
        <f>IF(BV$7="Actual","",i_Assumptions!BV515)</f>
        <v/>
      </c>
      <c r="BW448" s="257">
        <f>IF(BW$7="Actual","",i_Assumptions!BW515)</f>
        <v/>
      </c>
      <c r="BX448" s="257">
        <f>IF(BX$7="Actual","",i_Assumptions!BX515)</f>
        <v/>
      </c>
      <c r="BY448" s="257">
        <f>IF(BY$7="Actual","",i_Assumptions!BY515)</f>
        <v/>
      </c>
      <c r="BZ448" s="257">
        <f>IF(BZ$7="Actual","",i_Assumptions!BZ515)</f>
        <v/>
      </c>
      <c r="CA448" s="257">
        <f>IF(CA$7="Actual","",i_Assumptions!CA515)</f>
        <v/>
      </c>
    </row>
    <row r="449" ht="12" customHeight="1" s="227">
      <c r="A449" s="244" t="n"/>
      <c r="B449" s="244" t="n"/>
      <c r="C449" s="244" t="n"/>
      <c r="H449" s="4">
        <f>i_Setup!U62</f>
        <v/>
      </c>
      <c r="I449" s="27" t="inlineStr">
        <is>
          <t>no</t>
        </is>
      </c>
      <c r="K449" s="6" t="n"/>
      <c r="M449" s="245">
        <f>SUMIF($T$2:$CA$2,M$2,$T449:$CA449)</f>
        <v/>
      </c>
      <c r="N449" s="245">
        <f>SUMIF($T$2:$CA$2,N$2,$T449:$CA449)</f>
        <v/>
      </c>
      <c r="O449" s="245">
        <f>SUMIF($T$2:$CA$2,O$2,$T449:$CA449)</f>
        <v/>
      </c>
      <c r="P449" s="245">
        <f>SUMIF($T$2:$CA$2,P$2,$T449:$CA449)</f>
        <v/>
      </c>
      <c r="Q449" s="245">
        <f>SUMIF($T$2:$CA$2,Q$2,$T449:$CA449)</f>
        <v/>
      </c>
      <c r="T449" s="257">
        <f>IF(T$7="Actual","",i_Assumptions!T516)</f>
        <v/>
      </c>
      <c r="U449" s="257">
        <f>IF(U$7="Actual","",i_Assumptions!U516)</f>
        <v/>
      </c>
      <c r="V449" s="257">
        <f>IF(V$7="Actual","",i_Assumptions!V516)</f>
        <v/>
      </c>
      <c r="W449" s="257">
        <f>IF(W$7="Actual","",i_Assumptions!W516)</f>
        <v/>
      </c>
      <c r="X449" s="257">
        <f>IF(X$7="Actual","",i_Assumptions!X516)</f>
        <v/>
      </c>
      <c r="Y449" s="257">
        <f>IF(Y$7="Actual","",i_Assumptions!Y516)</f>
        <v/>
      </c>
      <c r="Z449" s="257">
        <f>IF(Z$7="Actual","",i_Assumptions!Z516)</f>
        <v/>
      </c>
      <c r="AA449" s="257">
        <f>IF(AA$7="Actual","",i_Assumptions!AA516)</f>
        <v/>
      </c>
      <c r="AB449" s="257">
        <f>IF(AB$7="Actual","",i_Assumptions!AB516)</f>
        <v/>
      </c>
      <c r="AC449" s="257">
        <f>IF(AC$7="Actual","",i_Assumptions!AC516)</f>
        <v/>
      </c>
      <c r="AD449" s="257">
        <f>IF(AD$7="Actual","",i_Assumptions!AD516)</f>
        <v/>
      </c>
      <c r="AE449" s="257">
        <f>IF(AE$7="Actual","",i_Assumptions!AE516)</f>
        <v/>
      </c>
      <c r="AF449" s="257">
        <f>IF(AF$7="Actual","",i_Assumptions!AF516)</f>
        <v/>
      </c>
      <c r="AG449" s="257">
        <f>IF(AG$7="Actual","",i_Assumptions!AG516)</f>
        <v/>
      </c>
      <c r="AH449" s="257">
        <f>IF(AH$7="Actual","",i_Assumptions!AH516)</f>
        <v/>
      </c>
      <c r="AI449" s="257">
        <f>IF(AI$7="Actual","",i_Assumptions!AI516)</f>
        <v/>
      </c>
      <c r="AJ449" s="257">
        <f>IF(AJ$7="Actual","",i_Assumptions!AJ516)</f>
        <v/>
      </c>
      <c r="AK449" s="257">
        <f>IF(AK$7="Actual","",i_Assumptions!AK516)</f>
        <v/>
      </c>
      <c r="AL449" s="257">
        <f>IF(AL$7="Actual","",i_Assumptions!AL516)</f>
        <v/>
      </c>
      <c r="AM449" s="257">
        <f>IF(AM$7="Actual","",i_Assumptions!AM516)</f>
        <v/>
      </c>
      <c r="AN449" s="257">
        <f>IF(AN$7="Actual","",i_Assumptions!AN516)</f>
        <v/>
      </c>
      <c r="AO449" s="257">
        <f>IF(AO$7="Actual","",i_Assumptions!AO516)</f>
        <v/>
      </c>
      <c r="AP449" s="257">
        <f>IF(AP$7="Actual","",i_Assumptions!AP516)</f>
        <v/>
      </c>
      <c r="AQ449" s="257">
        <f>IF(AQ$7="Actual","",i_Assumptions!AQ516)</f>
        <v/>
      </c>
      <c r="AR449" s="257">
        <f>IF(AR$7="Actual","",i_Assumptions!AR516)</f>
        <v/>
      </c>
      <c r="AS449" s="257">
        <f>IF(AS$7="Actual","",i_Assumptions!AS516)</f>
        <v/>
      </c>
      <c r="AT449" s="257">
        <f>IF(AT$7="Actual","",i_Assumptions!AT516)</f>
        <v/>
      </c>
      <c r="AU449" s="257">
        <f>IF(AU$7="Actual","",i_Assumptions!AU516)</f>
        <v/>
      </c>
      <c r="AV449" s="257">
        <f>IF(AV$7="Actual","",i_Assumptions!AV516)</f>
        <v/>
      </c>
      <c r="AW449" s="257">
        <f>IF(AW$7="Actual","",i_Assumptions!AW516)</f>
        <v/>
      </c>
      <c r="AX449" s="257">
        <f>IF(AX$7="Actual","",i_Assumptions!AX516)</f>
        <v/>
      </c>
      <c r="AY449" s="257">
        <f>IF(AY$7="Actual","",i_Assumptions!AY516)</f>
        <v/>
      </c>
      <c r="AZ449" s="257">
        <f>IF(AZ$7="Actual","",i_Assumptions!AZ516)</f>
        <v/>
      </c>
      <c r="BA449" s="257">
        <f>IF(BA$7="Actual","",i_Assumptions!BA516)</f>
        <v/>
      </c>
      <c r="BB449" s="257">
        <f>IF(BB$7="Actual","",i_Assumptions!BB516)</f>
        <v/>
      </c>
      <c r="BC449" s="257">
        <f>IF(BC$7="Actual","",i_Assumptions!BC516)</f>
        <v/>
      </c>
      <c r="BD449" s="257">
        <f>IF(BD$7="Actual","",i_Assumptions!BD516)</f>
        <v/>
      </c>
      <c r="BE449" s="257">
        <f>IF(BE$7="Actual","",i_Assumptions!BE516)</f>
        <v/>
      </c>
      <c r="BF449" s="257">
        <f>IF(BF$7="Actual","",i_Assumptions!BF516)</f>
        <v/>
      </c>
      <c r="BG449" s="257">
        <f>IF(BG$7="Actual","",i_Assumptions!BG516)</f>
        <v/>
      </c>
      <c r="BH449" s="257">
        <f>IF(BH$7="Actual","",i_Assumptions!BH516)</f>
        <v/>
      </c>
      <c r="BI449" s="257">
        <f>IF(BI$7="Actual","",i_Assumptions!BI516)</f>
        <v/>
      </c>
      <c r="BJ449" s="257">
        <f>IF(BJ$7="Actual","",i_Assumptions!BJ516)</f>
        <v/>
      </c>
      <c r="BK449" s="257">
        <f>IF(BK$7="Actual","",i_Assumptions!BK516)</f>
        <v/>
      </c>
      <c r="BL449" s="257">
        <f>IF(BL$7="Actual","",i_Assumptions!BL516)</f>
        <v/>
      </c>
      <c r="BM449" s="257">
        <f>IF(BM$7="Actual","",i_Assumptions!BM516)</f>
        <v/>
      </c>
      <c r="BN449" s="257">
        <f>IF(BN$7="Actual","",i_Assumptions!BN516)</f>
        <v/>
      </c>
      <c r="BO449" s="257">
        <f>IF(BO$7="Actual","",i_Assumptions!BO516)</f>
        <v/>
      </c>
      <c r="BP449" s="257">
        <f>IF(BP$7="Actual","",i_Assumptions!BP516)</f>
        <v/>
      </c>
      <c r="BQ449" s="257">
        <f>IF(BQ$7="Actual","",i_Assumptions!BQ516)</f>
        <v/>
      </c>
      <c r="BR449" s="257">
        <f>IF(BR$7="Actual","",i_Assumptions!BR516)</f>
        <v/>
      </c>
      <c r="BS449" s="257">
        <f>IF(BS$7="Actual","",i_Assumptions!BS516)</f>
        <v/>
      </c>
      <c r="BT449" s="257">
        <f>IF(BT$7="Actual","",i_Assumptions!BT516)</f>
        <v/>
      </c>
      <c r="BU449" s="257">
        <f>IF(BU$7="Actual","",i_Assumptions!BU516)</f>
        <v/>
      </c>
      <c r="BV449" s="257">
        <f>IF(BV$7="Actual","",i_Assumptions!BV516)</f>
        <v/>
      </c>
      <c r="BW449" s="257">
        <f>IF(BW$7="Actual","",i_Assumptions!BW516)</f>
        <v/>
      </c>
      <c r="BX449" s="257">
        <f>IF(BX$7="Actual","",i_Assumptions!BX516)</f>
        <v/>
      </c>
      <c r="BY449" s="257">
        <f>IF(BY$7="Actual","",i_Assumptions!BY516)</f>
        <v/>
      </c>
      <c r="BZ449" s="257">
        <f>IF(BZ$7="Actual","",i_Assumptions!BZ516)</f>
        <v/>
      </c>
      <c r="CA449" s="257">
        <f>IF(CA$7="Actual","",i_Assumptions!CA516)</f>
        <v/>
      </c>
    </row>
    <row r="450" ht="12" customHeight="1" s="227">
      <c r="A450" s="244" t="n"/>
      <c r="B450" s="244" t="n"/>
      <c r="C450" s="244" t="n"/>
      <c r="K450" s="6" t="n"/>
    </row>
    <row r="451" ht="12" customHeight="1" s="227">
      <c r="A451" s="244" t="n"/>
      <c r="B451" s="244" t="n"/>
      <c r="C451" s="244" t="n"/>
      <c r="K451" s="6" t="n"/>
    </row>
    <row r="452" ht="12" customHeight="1" s="227">
      <c r="A452" s="244" t="n"/>
      <c r="B452" s="244" t="n"/>
      <c r="C452" s="244" t="n"/>
      <c r="G452" s="222" t="inlineStr">
        <is>
          <t>Average salary per full time position</t>
        </is>
      </c>
      <c r="K452" s="6" t="n"/>
    </row>
    <row r="453" ht="12" customHeight="1" s="227">
      <c r="A453" s="244" t="n"/>
      <c r="B453" s="244" t="n"/>
      <c r="C453" s="244" t="n"/>
      <c r="K453" s="6" t="n"/>
    </row>
    <row r="454" ht="12" customHeight="1" s="227">
      <c r="A454" s="244" t="n"/>
      <c r="B454" s="244" t="n"/>
      <c r="C454" s="244" t="n"/>
      <c r="H454" s="0">
        <f>H442</f>
        <v/>
      </c>
      <c r="I454" s="27">
        <f>i_Setup!$M$16</f>
        <v/>
      </c>
      <c r="K454" s="6" t="n"/>
      <c r="M454" s="257">
        <f>IF(M$7="Actual","",i_Assumptions!M521)</f>
        <v/>
      </c>
      <c r="N454" s="257">
        <f>IF(N$7="Actual","",i_Assumptions!N521)</f>
        <v/>
      </c>
      <c r="O454" s="257">
        <f>IF(O$7="Actual","",i_Assumptions!O521)</f>
        <v/>
      </c>
      <c r="P454" s="257">
        <f>IF(P$7="Actual","",i_Assumptions!P521)</f>
        <v/>
      </c>
      <c r="Q454" s="257">
        <f>IF(Q$7="Actual","",i_Assumptions!Q521)</f>
        <v/>
      </c>
      <c r="T454" s="257">
        <f>IF(T$7="Actual","",IFERROR((INDEX($M454:$Q454,,MATCH(T$4,$M$4:$Q$4,0))/12),0))</f>
        <v/>
      </c>
      <c r="U454" s="257">
        <f>IF(U$7="Actual","",IFERROR((INDEX($M454:$Q454,,MATCH(U$4,$M$4:$Q$4,0))/12),0))</f>
        <v/>
      </c>
      <c r="V454" s="257">
        <f>IF(V$7="Actual","",IFERROR((INDEX($M454:$Q454,,MATCH(V$4,$M$4:$Q$4,0))/12),0))</f>
        <v/>
      </c>
      <c r="W454" s="257">
        <f>IF(W$7="Actual","",IFERROR((INDEX($M454:$Q454,,MATCH(W$4,$M$4:$Q$4,0))/12),0))</f>
        <v/>
      </c>
      <c r="X454" s="257">
        <f>IF(X$7="Actual","",IFERROR((INDEX($M454:$Q454,,MATCH(X$4,$M$4:$Q$4,0))/12),0))</f>
        <v/>
      </c>
      <c r="Y454" s="257">
        <f>IF(Y$7="Actual","",IFERROR((INDEX($M454:$Q454,,MATCH(Y$4,$M$4:$Q$4,0))/12),0))</f>
        <v/>
      </c>
      <c r="Z454" s="257">
        <f>IF(Z$7="Actual","",IFERROR((INDEX($M454:$Q454,,MATCH(Z$4,$M$4:$Q$4,0))/12),0))</f>
        <v/>
      </c>
      <c r="AA454" s="257">
        <f>IF(AA$7="Actual","",IFERROR((INDEX($M454:$Q454,,MATCH(AA$4,$M$4:$Q$4,0))/12),0))</f>
        <v/>
      </c>
      <c r="AB454" s="257">
        <f>IF(AB$7="Actual","",IFERROR((INDEX($M454:$Q454,,MATCH(AB$4,$M$4:$Q$4,0))/12),0))</f>
        <v/>
      </c>
      <c r="AC454" s="257">
        <f>IF(AC$7="Actual","",IFERROR((INDEX($M454:$Q454,,MATCH(AC$4,$M$4:$Q$4,0))/12),0))</f>
        <v/>
      </c>
      <c r="AD454" s="257">
        <f>IF(AD$7="Actual","",IFERROR((INDEX($M454:$Q454,,MATCH(AD$4,$M$4:$Q$4,0))/12),0))</f>
        <v/>
      </c>
      <c r="AE454" s="257">
        <f>IF(AE$7="Actual","",IFERROR((INDEX($M454:$Q454,,MATCH(AE$4,$M$4:$Q$4,0))/12),0))</f>
        <v/>
      </c>
      <c r="AF454" s="257">
        <f>IF(AF$7="Actual","",IFERROR((INDEX($M454:$Q454,,MATCH(AF$4,$M$4:$Q$4,0))/12),0))</f>
        <v/>
      </c>
      <c r="AG454" s="257">
        <f>IF(AG$7="Actual","",IFERROR((INDEX($M454:$Q454,,MATCH(AG$4,$M$4:$Q$4,0))/12),0))</f>
        <v/>
      </c>
      <c r="AH454" s="257">
        <f>IF(AH$7="Actual","",IFERROR((INDEX($M454:$Q454,,MATCH(AH$4,$M$4:$Q$4,0))/12),0))</f>
        <v/>
      </c>
      <c r="AI454" s="257">
        <f>IF(AI$7="Actual","",IFERROR((INDEX($M454:$Q454,,MATCH(AI$4,$M$4:$Q$4,0))/12),0))</f>
        <v/>
      </c>
      <c r="AJ454" s="257">
        <f>IF(AJ$7="Actual","",IFERROR((INDEX($M454:$Q454,,MATCH(AJ$4,$M$4:$Q$4,0))/12),0))</f>
        <v/>
      </c>
      <c r="AK454" s="257">
        <f>IF(AK$7="Actual","",IFERROR((INDEX($M454:$Q454,,MATCH(AK$4,$M$4:$Q$4,0))/12),0))</f>
        <v/>
      </c>
      <c r="AL454" s="257">
        <f>IF(AL$7="Actual","",IFERROR((INDEX($M454:$Q454,,MATCH(AL$4,$M$4:$Q$4,0))/12),0))</f>
        <v/>
      </c>
      <c r="AM454" s="257">
        <f>IF(AM$7="Actual","",IFERROR((INDEX($M454:$Q454,,MATCH(AM$4,$M$4:$Q$4,0))/12),0))</f>
        <v/>
      </c>
      <c r="AN454" s="257">
        <f>IF(AN$7="Actual","",IFERROR((INDEX($M454:$Q454,,MATCH(AN$4,$M$4:$Q$4,0))/12),0))</f>
        <v/>
      </c>
      <c r="AO454" s="257">
        <f>IF(AO$7="Actual","",IFERROR((INDEX($M454:$Q454,,MATCH(AO$4,$M$4:$Q$4,0))/12),0))</f>
        <v/>
      </c>
      <c r="AP454" s="257">
        <f>IF(AP$7="Actual","",IFERROR((INDEX($M454:$Q454,,MATCH(AP$4,$M$4:$Q$4,0))/12),0))</f>
        <v/>
      </c>
      <c r="AQ454" s="257">
        <f>IF(AQ$7="Actual","",IFERROR((INDEX($M454:$Q454,,MATCH(AQ$4,$M$4:$Q$4,0))/12),0))</f>
        <v/>
      </c>
      <c r="AR454" s="257">
        <f>IF(AR$7="Actual","",IFERROR((INDEX($M454:$Q454,,MATCH(AR$4,$M$4:$Q$4,0))/12),0))</f>
        <v/>
      </c>
      <c r="AS454" s="257">
        <f>IF(AS$7="Actual","",IFERROR((INDEX($M454:$Q454,,MATCH(AS$4,$M$4:$Q$4,0))/12),0))</f>
        <v/>
      </c>
      <c r="AT454" s="257">
        <f>IF(AT$7="Actual","",IFERROR((INDEX($M454:$Q454,,MATCH(AT$4,$M$4:$Q$4,0))/12),0))</f>
        <v/>
      </c>
      <c r="AU454" s="257">
        <f>IF(AU$7="Actual","",IFERROR((INDEX($M454:$Q454,,MATCH(AU$4,$M$4:$Q$4,0))/12),0))</f>
        <v/>
      </c>
      <c r="AV454" s="257">
        <f>IF(AV$7="Actual","",IFERROR((INDEX($M454:$Q454,,MATCH(AV$4,$M$4:$Q$4,0))/12),0))</f>
        <v/>
      </c>
      <c r="AW454" s="257">
        <f>IF(AW$7="Actual","",IFERROR((INDEX($M454:$Q454,,MATCH(AW$4,$M$4:$Q$4,0))/12),0))</f>
        <v/>
      </c>
      <c r="AX454" s="257">
        <f>IF(AX$7="Actual","",IFERROR((INDEX($M454:$Q454,,MATCH(AX$4,$M$4:$Q$4,0))/12),0))</f>
        <v/>
      </c>
      <c r="AY454" s="257">
        <f>IF(AY$7="Actual","",IFERROR((INDEX($M454:$Q454,,MATCH(AY$4,$M$4:$Q$4,0))/12),0))</f>
        <v/>
      </c>
      <c r="AZ454" s="257">
        <f>IF(AZ$7="Actual","",IFERROR((INDEX($M454:$Q454,,MATCH(AZ$4,$M$4:$Q$4,0))/12),0))</f>
        <v/>
      </c>
      <c r="BA454" s="257">
        <f>IF(BA$7="Actual","",IFERROR((INDEX($M454:$Q454,,MATCH(BA$4,$M$4:$Q$4,0))/12),0))</f>
        <v/>
      </c>
      <c r="BB454" s="257">
        <f>IF(BB$7="Actual","",IFERROR((INDEX($M454:$Q454,,MATCH(BB$4,$M$4:$Q$4,0))/12),0))</f>
        <v/>
      </c>
      <c r="BC454" s="257">
        <f>IF(BC$7="Actual","",IFERROR((INDEX($M454:$Q454,,MATCH(BC$4,$M$4:$Q$4,0))/12),0))</f>
        <v/>
      </c>
      <c r="BD454" s="257">
        <f>IF(BD$7="Actual","",IFERROR((INDEX($M454:$Q454,,MATCH(BD$4,$M$4:$Q$4,0))/12),0))</f>
        <v/>
      </c>
      <c r="BE454" s="257">
        <f>IF(BE$7="Actual","",IFERROR((INDEX($M454:$Q454,,MATCH(BE$4,$M$4:$Q$4,0))/12),0))</f>
        <v/>
      </c>
      <c r="BF454" s="257">
        <f>IF(BF$7="Actual","",IFERROR((INDEX($M454:$Q454,,MATCH(BF$4,$M$4:$Q$4,0))/12),0))</f>
        <v/>
      </c>
      <c r="BG454" s="257">
        <f>IF(BG$7="Actual","",IFERROR((INDEX($M454:$Q454,,MATCH(BG$4,$M$4:$Q$4,0))/12),0))</f>
        <v/>
      </c>
      <c r="BH454" s="257">
        <f>IF(BH$7="Actual","",IFERROR((INDEX($M454:$Q454,,MATCH(BH$4,$M$4:$Q$4,0))/12),0))</f>
        <v/>
      </c>
      <c r="BI454" s="257">
        <f>IF(BI$7="Actual","",IFERROR((INDEX($M454:$Q454,,MATCH(BI$4,$M$4:$Q$4,0))/12),0))</f>
        <v/>
      </c>
      <c r="BJ454" s="257">
        <f>IF(BJ$7="Actual","",IFERROR((INDEX($M454:$Q454,,MATCH(BJ$4,$M$4:$Q$4,0))/12),0))</f>
        <v/>
      </c>
      <c r="BK454" s="257">
        <f>IF(BK$7="Actual","",IFERROR((INDEX($M454:$Q454,,MATCH(BK$4,$M$4:$Q$4,0))/12),0))</f>
        <v/>
      </c>
      <c r="BL454" s="257">
        <f>IF(BL$7="Actual","",IFERROR((INDEX($M454:$Q454,,MATCH(BL$4,$M$4:$Q$4,0))/12),0))</f>
        <v/>
      </c>
      <c r="BM454" s="257">
        <f>IF(BM$7="Actual","",IFERROR((INDEX($M454:$Q454,,MATCH(BM$4,$M$4:$Q$4,0))/12),0))</f>
        <v/>
      </c>
      <c r="BN454" s="257">
        <f>IF(BN$7="Actual","",IFERROR((INDEX($M454:$Q454,,MATCH(BN$4,$M$4:$Q$4,0))/12),0))</f>
        <v/>
      </c>
      <c r="BO454" s="257">
        <f>IF(BO$7="Actual","",IFERROR((INDEX($M454:$Q454,,MATCH(BO$4,$M$4:$Q$4,0))/12),0))</f>
        <v/>
      </c>
      <c r="BP454" s="257">
        <f>IF(BP$7="Actual","",IFERROR((INDEX($M454:$Q454,,MATCH(BP$4,$M$4:$Q$4,0))/12),0))</f>
        <v/>
      </c>
      <c r="BQ454" s="257">
        <f>IF(BQ$7="Actual","",IFERROR((INDEX($M454:$Q454,,MATCH(BQ$4,$M$4:$Q$4,0))/12),0))</f>
        <v/>
      </c>
      <c r="BR454" s="257">
        <f>IF(BR$7="Actual","",IFERROR((INDEX($M454:$Q454,,MATCH(BR$4,$M$4:$Q$4,0))/12),0))</f>
        <v/>
      </c>
      <c r="BS454" s="257">
        <f>IF(BS$7="Actual","",IFERROR((INDEX($M454:$Q454,,MATCH(BS$4,$M$4:$Q$4,0))/12),0))</f>
        <v/>
      </c>
      <c r="BT454" s="257">
        <f>IF(BT$7="Actual","",IFERROR((INDEX($M454:$Q454,,MATCH(BT$4,$M$4:$Q$4,0))/12),0))</f>
        <v/>
      </c>
      <c r="BU454" s="257">
        <f>IF(BU$7="Actual","",IFERROR((INDEX($M454:$Q454,,MATCH(BU$4,$M$4:$Q$4,0))/12),0))</f>
        <v/>
      </c>
      <c r="BV454" s="257">
        <f>IF(BV$7="Actual","",IFERROR((INDEX($M454:$Q454,,MATCH(BV$4,$M$4:$Q$4,0))/12),0))</f>
        <v/>
      </c>
      <c r="BW454" s="257">
        <f>IF(BW$7="Actual","",IFERROR((INDEX($M454:$Q454,,MATCH(BW$4,$M$4:$Q$4,0))/12),0))</f>
        <v/>
      </c>
      <c r="BX454" s="257">
        <f>IF(BX$7="Actual","",IFERROR((INDEX($M454:$Q454,,MATCH(BX$4,$M$4:$Q$4,0))/12),0))</f>
        <v/>
      </c>
      <c r="BY454" s="257">
        <f>IF(BY$7="Actual","",IFERROR((INDEX($M454:$Q454,,MATCH(BY$4,$M$4:$Q$4,0))/12),0))</f>
        <v/>
      </c>
      <c r="BZ454" s="257">
        <f>IF(BZ$7="Actual","",IFERROR((INDEX($M454:$Q454,,MATCH(BZ$4,$M$4:$Q$4,0))/12),0))</f>
        <v/>
      </c>
      <c r="CA454" s="257">
        <f>IF(CA$7="Actual","",IFERROR((INDEX($M454:$Q454,,MATCH(CA$4,$M$4:$Q$4,0))/12),0))</f>
        <v/>
      </c>
    </row>
    <row r="455" ht="12" customHeight="1" s="227">
      <c r="A455" s="244" t="n"/>
      <c r="B455" s="244" t="n"/>
      <c r="C455" s="244" t="n"/>
      <c r="H455" s="0">
        <f>H443</f>
        <v/>
      </c>
      <c r="I455" s="27">
        <f>i_Setup!$M$16</f>
        <v/>
      </c>
      <c r="K455" s="6" t="n"/>
      <c r="M455" s="257">
        <f>IF(M$7="Actual","",i_Assumptions!M522)</f>
        <v/>
      </c>
      <c r="N455" s="257">
        <f>IF(N$7="Actual","",i_Assumptions!N522)</f>
        <v/>
      </c>
      <c r="O455" s="257">
        <f>IF(O$7="Actual","",i_Assumptions!O522)</f>
        <v/>
      </c>
      <c r="P455" s="257">
        <f>IF(P$7="Actual","",i_Assumptions!P522)</f>
        <v/>
      </c>
      <c r="Q455" s="257">
        <f>IF(Q$7="Actual","",i_Assumptions!Q522)</f>
        <v/>
      </c>
      <c r="T455" s="257">
        <f>IF(T$7="Actual","",IFERROR((INDEX($M455:$Q455,,MATCH(T$4,$M$4:$Q$4,0))/12),0))</f>
        <v/>
      </c>
      <c r="U455" s="257">
        <f>IF(U$7="Actual","",IFERROR((INDEX($M455:$Q455,,MATCH(U$4,$M$4:$Q$4,0))/12),0))</f>
        <v/>
      </c>
      <c r="V455" s="257">
        <f>IF(V$7="Actual","",IFERROR((INDEX($M455:$Q455,,MATCH(V$4,$M$4:$Q$4,0))/12),0))</f>
        <v/>
      </c>
      <c r="W455" s="257">
        <f>IF(W$7="Actual","",IFERROR((INDEX($M455:$Q455,,MATCH(W$4,$M$4:$Q$4,0))/12),0))</f>
        <v/>
      </c>
      <c r="X455" s="257">
        <f>IF(X$7="Actual","",IFERROR((INDEX($M455:$Q455,,MATCH(X$4,$M$4:$Q$4,0))/12),0))</f>
        <v/>
      </c>
      <c r="Y455" s="257">
        <f>IF(Y$7="Actual","",IFERROR((INDEX($M455:$Q455,,MATCH(Y$4,$M$4:$Q$4,0))/12),0))</f>
        <v/>
      </c>
      <c r="Z455" s="257">
        <f>IF(Z$7="Actual","",IFERROR((INDEX($M455:$Q455,,MATCH(Z$4,$M$4:$Q$4,0))/12),0))</f>
        <v/>
      </c>
      <c r="AA455" s="257">
        <f>IF(AA$7="Actual","",IFERROR((INDEX($M455:$Q455,,MATCH(AA$4,$M$4:$Q$4,0))/12),0))</f>
        <v/>
      </c>
      <c r="AB455" s="257">
        <f>IF(AB$7="Actual","",IFERROR((INDEX($M455:$Q455,,MATCH(AB$4,$M$4:$Q$4,0))/12),0))</f>
        <v/>
      </c>
      <c r="AC455" s="257">
        <f>IF(AC$7="Actual","",IFERROR((INDEX($M455:$Q455,,MATCH(AC$4,$M$4:$Q$4,0))/12),0))</f>
        <v/>
      </c>
      <c r="AD455" s="257">
        <f>IF(AD$7="Actual","",IFERROR((INDEX($M455:$Q455,,MATCH(AD$4,$M$4:$Q$4,0))/12),0))</f>
        <v/>
      </c>
      <c r="AE455" s="257">
        <f>IF(AE$7="Actual","",IFERROR((INDEX($M455:$Q455,,MATCH(AE$4,$M$4:$Q$4,0))/12),0))</f>
        <v/>
      </c>
      <c r="AF455" s="257">
        <f>IF(AF$7="Actual","",IFERROR((INDEX($M455:$Q455,,MATCH(AF$4,$M$4:$Q$4,0))/12),0))</f>
        <v/>
      </c>
      <c r="AG455" s="257">
        <f>IF(AG$7="Actual","",IFERROR((INDEX($M455:$Q455,,MATCH(AG$4,$M$4:$Q$4,0))/12),0))</f>
        <v/>
      </c>
      <c r="AH455" s="257">
        <f>IF(AH$7="Actual","",IFERROR((INDEX($M455:$Q455,,MATCH(AH$4,$M$4:$Q$4,0))/12),0))</f>
        <v/>
      </c>
      <c r="AI455" s="257">
        <f>IF(AI$7="Actual","",IFERROR((INDEX($M455:$Q455,,MATCH(AI$4,$M$4:$Q$4,0))/12),0))</f>
        <v/>
      </c>
      <c r="AJ455" s="257">
        <f>IF(AJ$7="Actual","",IFERROR((INDEX($M455:$Q455,,MATCH(AJ$4,$M$4:$Q$4,0))/12),0))</f>
        <v/>
      </c>
      <c r="AK455" s="257">
        <f>IF(AK$7="Actual","",IFERROR((INDEX($M455:$Q455,,MATCH(AK$4,$M$4:$Q$4,0))/12),0))</f>
        <v/>
      </c>
      <c r="AL455" s="257">
        <f>IF(AL$7="Actual","",IFERROR((INDEX($M455:$Q455,,MATCH(AL$4,$M$4:$Q$4,0))/12),0))</f>
        <v/>
      </c>
      <c r="AM455" s="257">
        <f>IF(AM$7="Actual","",IFERROR((INDEX($M455:$Q455,,MATCH(AM$4,$M$4:$Q$4,0))/12),0))</f>
        <v/>
      </c>
      <c r="AN455" s="257">
        <f>IF(AN$7="Actual","",IFERROR((INDEX($M455:$Q455,,MATCH(AN$4,$M$4:$Q$4,0))/12),0))</f>
        <v/>
      </c>
      <c r="AO455" s="257">
        <f>IF(AO$7="Actual","",IFERROR((INDEX($M455:$Q455,,MATCH(AO$4,$M$4:$Q$4,0))/12),0))</f>
        <v/>
      </c>
      <c r="AP455" s="257">
        <f>IF(AP$7="Actual","",IFERROR((INDEX($M455:$Q455,,MATCH(AP$4,$M$4:$Q$4,0))/12),0))</f>
        <v/>
      </c>
      <c r="AQ455" s="257">
        <f>IF(AQ$7="Actual","",IFERROR((INDEX($M455:$Q455,,MATCH(AQ$4,$M$4:$Q$4,0))/12),0))</f>
        <v/>
      </c>
      <c r="AR455" s="257">
        <f>IF(AR$7="Actual","",IFERROR((INDEX($M455:$Q455,,MATCH(AR$4,$M$4:$Q$4,0))/12),0))</f>
        <v/>
      </c>
      <c r="AS455" s="257">
        <f>IF(AS$7="Actual","",IFERROR((INDEX($M455:$Q455,,MATCH(AS$4,$M$4:$Q$4,0))/12),0))</f>
        <v/>
      </c>
      <c r="AT455" s="257">
        <f>IF(AT$7="Actual","",IFERROR((INDEX($M455:$Q455,,MATCH(AT$4,$M$4:$Q$4,0))/12),0))</f>
        <v/>
      </c>
      <c r="AU455" s="257">
        <f>IF(AU$7="Actual","",IFERROR((INDEX($M455:$Q455,,MATCH(AU$4,$M$4:$Q$4,0))/12),0))</f>
        <v/>
      </c>
      <c r="AV455" s="257">
        <f>IF(AV$7="Actual","",IFERROR((INDEX($M455:$Q455,,MATCH(AV$4,$M$4:$Q$4,0))/12),0))</f>
        <v/>
      </c>
      <c r="AW455" s="257">
        <f>IF(AW$7="Actual","",IFERROR((INDEX($M455:$Q455,,MATCH(AW$4,$M$4:$Q$4,0))/12),0))</f>
        <v/>
      </c>
      <c r="AX455" s="257">
        <f>IF(AX$7="Actual","",IFERROR((INDEX($M455:$Q455,,MATCH(AX$4,$M$4:$Q$4,0))/12),0))</f>
        <v/>
      </c>
      <c r="AY455" s="257">
        <f>IF(AY$7="Actual","",IFERROR((INDEX($M455:$Q455,,MATCH(AY$4,$M$4:$Q$4,0))/12),0))</f>
        <v/>
      </c>
      <c r="AZ455" s="257">
        <f>IF(AZ$7="Actual","",IFERROR((INDEX($M455:$Q455,,MATCH(AZ$4,$M$4:$Q$4,0))/12),0))</f>
        <v/>
      </c>
      <c r="BA455" s="257">
        <f>IF(BA$7="Actual","",IFERROR((INDEX($M455:$Q455,,MATCH(BA$4,$M$4:$Q$4,0))/12),0))</f>
        <v/>
      </c>
      <c r="BB455" s="257">
        <f>IF(BB$7="Actual","",IFERROR((INDEX($M455:$Q455,,MATCH(BB$4,$M$4:$Q$4,0))/12),0))</f>
        <v/>
      </c>
      <c r="BC455" s="257">
        <f>IF(BC$7="Actual","",IFERROR((INDEX($M455:$Q455,,MATCH(BC$4,$M$4:$Q$4,0))/12),0))</f>
        <v/>
      </c>
      <c r="BD455" s="257">
        <f>IF(BD$7="Actual","",IFERROR((INDEX($M455:$Q455,,MATCH(BD$4,$M$4:$Q$4,0))/12),0))</f>
        <v/>
      </c>
      <c r="BE455" s="257">
        <f>IF(BE$7="Actual","",IFERROR((INDEX($M455:$Q455,,MATCH(BE$4,$M$4:$Q$4,0))/12),0))</f>
        <v/>
      </c>
      <c r="BF455" s="257">
        <f>IF(BF$7="Actual","",IFERROR((INDEX($M455:$Q455,,MATCH(BF$4,$M$4:$Q$4,0))/12),0))</f>
        <v/>
      </c>
      <c r="BG455" s="257">
        <f>IF(BG$7="Actual","",IFERROR((INDEX($M455:$Q455,,MATCH(BG$4,$M$4:$Q$4,0))/12),0))</f>
        <v/>
      </c>
      <c r="BH455" s="257">
        <f>IF(BH$7="Actual","",IFERROR((INDEX($M455:$Q455,,MATCH(BH$4,$M$4:$Q$4,0))/12),0))</f>
        <v/>
      </c>
      <c r="BI455" s="257">
        <f>IF(BI$7="Actual","",IFERROR((INDEX($M455:$Q455,,MATCH(BI$4,$M$4:$Q$4,0))/12),0))</f>
        <v/>
      </c>
      <c r="BJ455" s="257">
        <f>IF(BJ$7="Actual","",IFERROR((INDEX($M455:$Q455,,MATCH(BJ$4,$M$4:$Q$4,0))/12),0))</f>
        <v/>
      </c>
      <c r="BK455" s="257">
        <f>IF(BK$7="Actual","",IFERROR((INDEX($M455:$Q455,,MATCH(BK$4,$M$4:$Q$4,0))/12),0))</f>
        <v/>
      </c>
      <c r="BL455" s="257">
        <f>IF(BL$7="Actual","",IFERROR((INDEX($M455:$Q455,,MATCH(BL$4,$M$4:$Q$4,0))/12),0))</f>
        <v/>
      </c>
      <c r="BM455" s="257">
        <f>IF(BM$7="Actual","",IFERROR((INDEX($M455:$Q455,,MATCH(BM$4,$M$4:$Q$4,0))/12),0))</f>
        <v/>
      </c>
      <c r="BN455" s="257">
        <f>IF(BN$7="Actual","",IFERROR((INDEX($M455:$Q455,,MATCH(BN$4,$M$4:$Q$4,0))/12),0))</f>
        <v/>
      </c>
      <c r="BO455" s="257">
        <f>IF(BO$7="Actual","",IFERROR((INDEX($M455:$Q455,,MATCH(BO$4,$M$4:$Q$4,0))/12),0))</f>
        <v/>
      </c>
      <c r="BP455" s="257">
        <f>IF(BP$7="Actual","",IFERROR((INDEX($M455:$Q455,,MATCH(BP$4,$M$4:$Q$4,0))/12),0))</f>
        <v/>
      </c>
      <c r="BQ455" s="257">
        <f>IF(BQ$7="Actual","",IFERROR((INDEX($M455:$Q455,,MATCH(BQ$4,$M$4:$Q$4,0))/12),0))</f>
        <v/>
      </c>
      <c r="BR455" s="257">
        <f>IF(BR$7="Actual","",IFERROR((INDEX($M455:$Q455,,MATCH(BR$4,$M$4:$Q$4,0))/12),0))</f>
        <v/>
      </c>
      <c r="BS455" s="257">
        <f>IF(BS$7="Actual","",IFERROR((INDEX($M455:$Q455,,MATCH(BS$4,$M$4:$Q$4,0))/12),0))</f>
        <v/>
      </c>
      <c r="BT455" s="257">
        <f>IF(BT$7="Actual","",IFERROR((INDEX($M455:$Q455,,MATCH(BT$4,$M$4:$Q$4,0))/12),0))</f>
        <v/>
      </c>
      <c r="BU455" s="257">
        <f>IF(BU$7="Actual","",IFERROR((INDEX($M455:$Q455,,MATCH(BU$4,$M$4:$Q$4,0))/12),0))</f>
        <v/>
      </c>
      <c r="BV455" s="257">
        <f>IF(BV$7="Actual","",IFERROR((INDEX($M455:$Q455,,MATCH(BV$4,$M$4:$Q$4,0))/12),0))</f>
        <v/>
      </c>
      <c r="BW455" s="257">
        <f>IF(BW$7="Actual","",IFERROR((INDEX($M455:$Q455,,MATCH(BW$4,$M$4:$Q$4,0))/12),0))</f>
        <v/>
      </c>
      <c r="BX455" s="257">
        <f>IF(BX$7="Actual","",IFERROR((INDEX($M455:$Q455,,MATCH(BX$4,$M$4:$Q$4,0))/12),0))</f>
        <v/>
      </c>
      <c r="BY455" s="257">
        <f>IF(BY$7="Actual","",IFERROR((INDEX($M455:$Q455,,MATCH(BY$4,$M$4:$Q$4,0))/12),0))</f>
        <v/>
      </c>
      <c r="BZ455" s="257">
        <f>IF(BZ$7="Actual","",IFERROR((INDEX($M455:$Q455,,MATCH(BZ$4,$M$4:$Q$4,0))/12),0))</f>
        <v/>
      </c>
      <c r="CA455" s="257">
        <f>IF(CA$7="Actual","",IFERROR((INDEX($M455:$Q455,,MATCH(CA$4,$M$4:$Q$4,0))/12),0))</f>
        <v/>
      </c>
    </row>
    <row r="456" ht="12" customHeight="1" s="227">
      <c r="A456" s="244" t="n"/>
      <c r="B456" s="244" t="n"/>
      <c r="C456" s="244" t="n"/>
      <c r="H456" s="0">
        <f>H444</f>
        <v/>
      </c>
      <c r="I456" s="27">
        <f>i_Setup!$M$16</f>
        <v/>
      </c>
      <c r="K456" s="6" t="n"/>
      <c r="M456" s="257">
        <f>IF(M$7="Actual","",i_Assumptions!M523)</f>
        <v/>
      </c>
      <c r="N456" s="257">
        <f>IF(N$7="Actual","",i_Assumptions!N523)</f>
        <v/>
      </c>
      <c r="O456" s="257">
        <f>IF(O$7="Actual","",i_Assumptions!O523)</f>
        <v/>
      </c>
      <c r="P456" s="257">
        <f>IF(P$7="Actual","",i_Assumptions!P523)</f>
        <v/>
      </c>
      <c r="Q456" s="257">
        <f>IF(Q$7="Actual","",i_Assumptions!Q523)</f>
        <v/>
      </c>
      <c r="T456" s="257">
        <f>IF(T$7="Actual","",IFERROR((INDEX($M456:$Q456,,MATCH(T$4,$M$4:$Q$4,0))/12),0))</f>
        <v/>
      </c>
      <c r="U456" s="257">
        <f>IF(U$7="Actual","",IFERROR((INDEX($M456:$Q456,,MATCH(U$4,$M$4:$Q$4,0))/12),0))</f>
        <v/>
      </c>
      <c r="V456" s="257">
        <f>IF(V$7="Actual","",IFERROR((INDEX($M456:$Q456,,MATCH(V$4,$M$4:$Q$4,0))/12),0))</f>
        <v/>
      </c>
      <c r="W456" s="257">
        <f>IF(W$7="Actual","",IFERROR((INDEX($M456:$Q456,,MATCH(W$4,$M$4:$Q$4,0))/12),0))</f>
        <v/>
      </c>
      <c r="X456" s="257">
        <f>IF(X$7="Actual","",IFERROR((INDEX($M456:$Q456,,MATCH(X$4,$M$4:$Q$4,0))/12),0))</f>
        <v/>
      </c>
      <c r="Y456" s="257">
        <f>IF(Y$7="Actual","",IFERROR((INDEX($M456:$Q456,,MATCH(Y$4,$M$4:$Q$4,0))/12),0))</f>
        <v/>
      </c>
      <c r="Z456" s="257">
        <f>IF(Z$7="Actual","",IFERROR((INDEX($M456:$Q456,,MATCH(Z$4,$M$4:$Q$4,0))/12),0))</f>
        <v/>
      </c>
      <c r="AA456" s="257">
        <f>IF(AA$7="Actual","",IFERROR((INDEX($M456:$Q456,,MATCH(AA$4,$M$4:$Q$4,0))/12),0))</f>
        <v/>
      </c>
      <c r="AB456" s="257">
        <f>IF(AB$7="Actual","",IFERROR((INDEX($M456:$Q456,,MATCH(AB$4,$M$4:$Q$4,0))/12),0))</f>
        <v/>
      </c>
      <c r="AC456" s="257">
        <f>IF(AC$7="Actual","",IFERROR((INDEX($M456:$Q456,,MATCH(AC$4,$M$4:$Q$4,0))/12),0))</f>
        <v/>
      </c>
      <c r="AD456" s="257">
        <f>IF(AD$7="Actual","",IFERROR((INDEX($M456:$Q456,,MATCH(AD$4,$M$4:$Q$4,0))/12),0))</f>
        <v/>
      </c>
      <c r="AE456" s="257">
        <f>IF(AE$7="Actual","",IFERROR((INDEX($M456:$Q456,,MATCH(AE$4,$M$4:$Q$4,0))/12),0))</f>
        <v/>
      </c>
      <c r="AF456" s="257">
        <f>IF(AF$7="Actual","",IFERROR((INDEX($M456:$Q456,,MATCH(AF$4,$M$4:$Q$4,0))/12),0))</f>
        <v/>
      </c>
      <c r="AG456" s="257">
        <f>IF(AG$7="Actual","",IFERROR((INDEX($M456:$Q456,,MATCH(AG$4,$M$4:$Q$4,0))/12),0))</f>
        <v/>
      </c>
      <c r="AH456" s="257">
        <f>IF(AH$7="Actual","",IFERROR((INDEX($M456:$Q456,,MATCH(AH$4,$M$4:$Q$4,0))/12),0))</f>
        <v/>
      </c>
      <c r="AI456" s="257">
        <f>IF(AI$7="Actual","",IFERROR((INDEX($M456:$Q456,,MATCH(AI$4,$M$4:$Q$4,0))/12),0))</f>
        <v/>
      </c>
      <c r="AJ456" s="257">
        <f>IF(AJ$7="Actual","",IFERROR((INDEX($M456:$Q456,,MATCH(AJ$4,$M$4:$Q$4,0))/12),0))</f>
        <v/>
      </c>
      <c r="AK456" s="257">
        <f>IF(AK$7="Actual","",IFERROR((INDEX($M456:$Q456,,MATCH(AK$4,$M$4:$Q$4,0))/12),0))</f>
        <v/>
      </c>
      <c r="AL456" s="257">
        <f>IF(AL$7="Actual","",IFERROR((INDEX($M456:$Q456,,MATCH(AL$4,$M$4:$Q$4,0))/12),0))</f>
        <v/>
      </c>
      <c r="AM456" s="257">
        <f>IF(AM$7="Actual","",IFERROR((INDEX($M456:$Q456,,MATCH(AM$4,$M$4:$Q$4,0))/12),0))</f>
        <v/>
      </c>
      <c r="AN456" s="257">
        <f>IF(AN$7="Actual","",IFERROR((INDEX($M456:$Q456,,MATCH(AN$4,$M$4:$Q$4,0))/12),0))</f>
        <v/>
      </c>
      <c r="AO456" s="257">
        <f>IF(AO$7="Actual","",IFERROR((INDEX($M456:$Q456,,MATCH(AO$4,$M$4:$Q$4,0))/12),0))</f>
        <v/>
      </c>
      <c r="AP456" s="257">
        <f>IF(AP$7="Actual","",IFERROR((INDEX($M456:$Q456,,MATCH(AP$4,$M$4:$Q$4,0))/12),0))</f>
        <v/>
      </c>
      <c r="AQ456" s="257">
        <f>IF(AQ$7="Actual","",IFERROR((INDEX($M456:$Q456,,MATCH(AQ$4,$M$4:$Q$4,0))/12),0))</f>
        <v/>
      </c>
      <c r="AR456" s="257">
        <f>IF(AR$7="Actual","",IFERROR((INDEX($M456:$Q456,,MATCH(AR$4,$M$4:$Q$4,0))/12),0))</f>
        <v/>
      </c>
      <c r="AS456" s="257">
        <f>IF(AS$7="Actual","",IFERROR((INDEX($M456:$Q456,,MATCH(AS$4,$M$4:$Q$4,0))/12),0))</f>
        <v/>
      </c>
      <c r="AT456" s="257">
        <f>IF(AT$7="Actual","",IFERROR((INDEX($M456:$Q456,,MATCH(AT$4,$M$4:$Q$4,0))/12),0))</f>
        <v/>
      </c>
      <c r="AU456" s="257">
        <f>IF(AU$7="Actual","",IFERROR((INDEX($M456:$Q456,,MATCH(AU$4,$M$4:$Q$4,0))/12),0))</f>
        <v/>
      </c>
      <c r="AV456" s="257">
        <f>IF(AV$7="Actual","",IFERROR((INDEX($M456:$Q456,,MATCH(AV$4,$M$4:$Q$4,0))/12),0))</f>
        <v/>
      </c>
      <c r="AW456" s="257">
        <f>IF(AW$7="Actual","",IFERROR((INDEX($M456:$Q456,,MATCH(AW$4,$M$4:$Q$4,0))/12),0))</f>
        <v/>
      </c>
      <c r="AX456" s="257">
        <f>IF(AX$7="Actual","",IFERROR((INDEX($M456:$Q456,,MATCH(AX$4,$M$4:$Q$4,0))/12),0))</f>
        <v/>
      </c>
      <c r="AY456" s="257">
        <f>IF(AY$7="Actual","",IFERROR((INDEX($M456:$Q456,,MATCH(AY$4,$M$4:$Q$4,0))/12),0))</f>
        <v/>
      </c>
      <c r="AZ456" s="257">
        <f>IF(AZ$7="Actual","",IFERROR((INDEX($M456:$Q456,,MATCH(AZ$4,$M$4:$Q$4,0))/12),0))</f>
        <v/>
      </c>
      <c r="BA456" s="257">
        <f>IF(BA$7="Actual","",IFERROR((INDEX($M456:$Q456,,MATCH(BA$4,$M$4:$Q$4,0))/12),0))</f>
        <v/>
      </c>
      <c r="BB456" s="257">
        <f>IF(BB$7="Actual","",IFERROR((INDEX($M456:$Q456,,MATCH(BB$4,$M$4:$Q$4,0))/12),0))</f>
        <v/>
      </c>
      <c r="BC456" s="257">
        <f>IF(BC$7="Actual","",IFERROR((INDEX($M456:$Q456,,MATCH(BC$4,$M$4:$Q$4,0))/12),0))</f>
        <v/>
      </c>
      <c r="BD456" s="257">
        <f>IF(BD$7="Actual","",IFERROR((INDEX($M456:$Q456,,MATCH(BD$4,$M$4:$Q$4,0))/12),0))</f>
        <v/>
      </c>
      <c r="BE456" s="257">
        <f>IF(BE$7="Actual","",IFERROR((INDEX($M456:$Q456,,MATCH(BE$4,$M$4:$Q$4,0))/12),0))</f>
        <v/>
      </c>
      <c r="BF456" s="257">
        <f>IF(BF$7="Actual","",IFERROR((INDEX($M456:$Q456,,MATCH(BF$4,$M$4:$Q$4,0))/12),0))</f>
        <v/>
      </c>
      <c r="BG456" s="257">
        <f>IF(BG$7="Actual","",IFERROR((INDEX($M456:$Q456,,MATCH(BG$4,$M$4:$Q$4,0))/12),0))</f>
        <v/>
      </c>
      <c r="BH456" s="257">
        <f>IF(BH$7="Actual","",IFERROR((INDEX($M456:$Q456,,MATCH(BH$4,$M$4:$Q$4,0))/12),0))</f>
        <v/>
      </c>
      <c r="BI456" s="257">
        <f>IF(BI$7="Actual","",IFERROR((INDEX($M456:$Q456,,MATCH(BI$4,$M$4:$Q$4,0))/12),0))</f>
        <v/>
      </c>
      <c r="BJ456" s="257">
        <f>IF(BJ$7="Actual","",IFERROR((INDEX($M456:$Q456,,MATCH(BJ$4,$M$4:$Q$4,0))/12),0))</f>
        <v/>
      </c>
      <c r="BK456" s="257">
        <f>IF(BK$7="Actual","",IFERROR((INDEX($M456:$Q456,,MATCH(BK$4,$M$4:$Q$4,0))/12),0))</f>
        <v/>
      </c>
      <c r="BL456" s="257">
        <f>IF(BL$7="Actual","",IFERROR((INDEX($M456:$Q456,,MATCH(BL$4,$M$4:$Q$4,0))/12),0))</f>
        <v/>
      </c>
      <c r="BM456" s="257">
        <f>IF(BM$7="Actual","",IFERROR((INDEX($M456:$Q456,,MATCH(BM$4,$M$4:$Q$4,0))/12),0))</f>
        <v/>
      </c>
      <c r="BN456" s="257">
        <f>IF(BN$7="Actual","",IFERROR((INDEX($M456:$Q456,,MATCH(BN$4,$M$4:$Q$4,0))/12),0))</f>
        <v/>
      </c>
      <c r="BO456" s="257">
        <f>IF(BO$7="Actual","",IFERROR((INDEX($M456:$Q456,,MATCH(BO$4,$M$4:$Q$4,0))/12),0))</f>
        <v/>
      </c>
      <c r="BP456" s="257">
        <f>IF(BP$7="Actual","",IFERROR((INDEX($M456:$Q456,,MATCH(BP$4,$M$4:$Q$4,0))/12),0))</f>
        <v/>
      </c>
      <c r="BQ456" s="257">
        <f>IF(BQ$7="Actual","",IFERROR((INDEX($M456:$Q456,,MATCH(BQ$4,$M$4:$Q$4,0))/12),0))</f>
        <v/>
      </c>
      <c r="BR456" s="257">
        <f>IF(BR$7="Actual","",IFERROR((INDEX($M456:$Q456,,MATCH(BR$4,$M$4:$Q$4,0))/12),0))</f>
        <v/>
      </c>
      <c r="BS456" s="257">
        <f>IF(BS$7="Actual","",IFERROR((INDEX($M456:$Q456,,MATCH(BS$4,$M$4:$Q$4,0))/12),0))</f>
        <v/>
      </c>
      <c r="BT456" s="257">
        <f>IF(BT$7="Actual","",IFERROR((INDEX($M456:$Q456,,MATCH(BT$4,$M$4:$Q$4,0))/12),0))</f>
        <v/>
      </c>
      <c r="BU456" s="257">
        <f>IF(BU$7="Actual","",IFERROR((INDEX($M456:$Q456,,MATCH(BU$4,$M$4:$Q$4,0))/12),0))</f>
        <v/>
      </c>
      <c r="BV456" s="257">
        <f>IF(BV$7="Actual","",IFERROR((INDEX($M456:$Q456,,MATCH(BV$4,$M$4:$Q$4,0))/12),0))</f>
        <v/>
      </c>
      <c r="BW456" s="257">
        <f>IF(BW$7="Actual","",IFERROR((INDEX($M456:$Q456,,MATCH(BW$4,$M$4:$Q$4,0))/12),0))</f>
        <v/>
      </c>
      <c r="BX456" s="257">
        <f>IF(BX$7="Actual","",IFERROR((INDEX($M456:$Q456,,MATCH(BX$4,$M$4:$Q$4,0))/12),0))</f>
        <v/>
      </c>
      <c r="BY456" s="257">
        <f>IF(BY$7="Actual","",IFERROR((INDEX($M456:$Q456,,MATCH(BY$4,$M$4:$Q$4,0))/12),0))</f>
        <v/>
      </c>
      <c r="BZ456" s="257">
        <f>IF(BZ$7="Actual","",IFERROR((INDEX($M456:$Q456,,MATCH(BZ$4,$M$4:$Q$4,0))/12),0))</f>
        <v/>
      </c>
      <c r="CA456" s="257">
        <f>IF(CA$7="Actual","",IFERROR((INDEX($M456:$Q456,,MATCH(CA$4,$M$4:$Q$4,0))/12),0))</f>
        <v/>
      </c>
    </row>
    <row r="457" ht="12" customHeight="1" s="227">
      <c r="A457" s="244" t="n"/>
      <c r="B457" s="244" t="n"/>
      <c r="C457" s="244" t="n"/>
      <c r="H457" s="0">
        <f>H445</f>
        <v/>
      </c>
      <c r="I457" s="27">
        <f>i_Setup!$M$16</f>
        <v/>
      </c>
      <c r="K457" s="6" t="n"/>
      <c r="M457" s="257">
        <f>IF(M$7="Actual","",i_Assumptions!M524)</f>
        <v/>
      </c>
      <c r="N457" s="257">
        <f>IF(N$7="Actual","",i_Assumptions!N524)</f>
        <v/>
      </c>
      <c r="O457" s="257">
        <f>IF(O$7="Actual","",i_Assumptions!O524)</f>
        <v/>
      </c>
      <c r="P457" s="257">
        <f>IF(P$7="Actual","",i_Assumptions!P524)</f>
        <v/>
      </c>
      <c r="Q457" s="257">
        <f>IF(Q$7="Actual","",i_Assumptions!Q524)</f>
        <v/>
      </c>
      <c r="T457" s="257">
        <f>IF(T$7="Actual","",IFERROR((INDEX($M457:$Q457,,MATCH(T$4,$M$4:$Q$4,0))/12),0))</f>
        <v/>
      </c>
      <c r="U457" s="257">
        <f>IF(U$7="Actual","",IFERROR((INDEX($M457:$Q457,,MATCH(U$4,$M$4:$Q$4,0))/12),0))</f>
        <v/>
      </c>
      <c r="V457" s="257">
        <f>IF(V$7="Actual","",IFERROR((INDEX($M457:$Q457,,MATCH(V$4,$M$4:$Q$4,0))/12),0))</f>
        <v/>
      </c>
      <c r="W457" s="257">
        <f>IF(W$7="Actual","",IFERROR((INDEX($M457:$Q457,,MATCH(W$4,$M$4:$Q$4,0))/12),0))</f>
        <v/>
      </c>
      <c r="X457" s="257">
        <f>IF(X$7="Actual","",IFERROR((INDEX($M457:$Q457,,MATCH(X$4,$M$4:$Q$4,0))/12),0))</f>
        <v/>
      </c>
      <c r="Y457" s="257">
        <f>IF(Y$7="Actual","",IFERROR((INDEX($M457:$Q457,,MATCH(Y$4,$M$4:$Q$4,0))/12),0))</f>
        <v/>
      </c>
      <c r="Z457" s="257">
        <f>IF(Z$7="Actual","",IFERROR((INDEX($M457:$Q457,,MATCH(Z$4,$M$4:$Q$4,0))/12),0))</f>
        <v/>
      </c>
      <c r="AA457" s="257">
        <f>IF(AA$7="Actual","",IFERROR((INDEX($M457:$Q457,,MATCH(AA$4,$M$4:$Q$4,0))/12),0))</f>
        <v/>
      </c>
      <c r="AB457" s="257">
        <f>IF(AB$7="Actual","",IFERROR((INDEX($M457:$Q457,,MATCH(AB$4,$M$4:$Q$4,0))/12),0))</f>
        <v/>
      </c>
      <c r="AC457" s="257">
        <f>IF(AC$7="Actual","",IFERROR((INDEX($M457:$Q457,,MATCH(AC$4,$M$4:$Q$4,0))/12),0))</f>
        <v/>
      </c>
      <c r="AD457" s="257">
        <f>IF(AD$7="Actual","",IFERROR((INDEX($M457:$Q457,,MATCH(AD$4,$M$4:$Q$4,0))/12),0))</f>
        <v/>
      </c>
      <c r="AE457" s="257">
        <f>IF(AE$7="Actual","",IFERROR((INDEX($M457:$Q457,,MATCH(AE$4,$M$4:$Q$4,0))/12),0))</f>
        <v/>
      </c>
      <c r="AF457" s="257">
        <f>IF(AF$7="Actual","",IFERROR((INDEX($M457:$Q457,,MATCH(AF$4,$M$4:$Q$4,0))/12),0))</f>
        <v/>
      </c>
      <c r="AG457" s="257">
        <f>IF(AG$7="Actual","",IFERROR((INDEX($M457:$Q457,,MATCH(AG$4,$M$4:$Q$4,0))/12),0))</f>
        <v/>
      </c>
      <c r="AH457" s="257">
        <f>IF(AH$7="Actual","",IFERROR((INDEX($M457:$Q457,,MATCH(AH$4,$M$4:$Q$4,0))/12),0))</f>
        <v/>
      </c>
      <c r="AI457" s="257">
        <f>IF(AI$7="Actual","",IFERROR((INDEX($M457:$Q457,,MATCH(AI$4,$M$4:$Q$4,0))/12),0))</f>
        <v/>
      </c>
      <c r="AJ457" s="257">
        <f>IF(AJ$7="Actual","",IFERROR((INDEX($M457:$Q457,,MATCH(AJ$4,$M$4:$Q$4,0))/12),0))</f>
        <v/>
      </c>
      <c r="AK457" s="257">
        <f>IF(AK$7="Actual","",IFERROR((INDEX($M457:$Q457,,MATCH(AK$4,$M$4:$Q$4,0))/12),0))</f>
        <v/>
      </c>
      <c r="AL457" s="257">
        <f>IF(AL$7="Actual","",IFERROR((INDEX($M457:$Q457,,MATCH(AL$4,$M$4:$Q$4,0))/12),0))</f>
        <v/>
      </c>
      <c r="AM457" s="257">
        <f>IF(AM$7="Actual","",IFERROR((INDEX($M457:$Q457,,MATCH(AM$4,$M$4:$Q$4,0))/12),0))</f>
        <v/>
      </c>
      <c r="AN457" s="257">
        <f>IF(AN$7="Actual","",IFERROR((INDEX($M457:$Q457,,MATCH(AN$4,$M$4:$Q$4,0))/12),0))</f>
        <v/>
      </c>
      <c r="AO457" s="257">
        <f>IF(AO$7="Actual","",IFERROR((INDEX($M457:$Q457,,MATCH(AO$4,$M$4:$Q$4,0))/12),0))</f>
        <v/>
      </c>
      <c r="AP457" s="257">
        <f>IF(AP$7="Actual","",IFERROR((INDEX($M457:$Q457,,MATCH(AP$4,$M$4:$Q$4,0))/12),0))</f>
        <v/>
      </c>
      <c r="AQ457" s="257">
        <f>IF(AQ$7="Actual","",IFERROR((INDEX($M457:$Q457,,MATCH(AQ$4,$M$4:$Q$4,0))/12),0))</f>
        <v/>
      </c>
      <c r="AR457" s="257">
        <f>IF(AR$7="Actual","",IFERROR((INDEX($M457:$Q457,,MATCH(AR$4,$M$4:$Q$4,0))/12),0))</f>
        <v/>
      </c>
      <c r="AS457" s="257">
        <f>IF(AS$7="Actual","",IFERROR((INDEX($M457:$Q457,,MATCH(AS$4,$M$4:$Q$4,0))/12),0))</f>
        <v/>
      </c>
      <c r="AT457" s="257">
        <f>IF(AT$7="Actual","",IFERROR((INDEX($M457:$Q457,,MATCH(AT$4,$M$4:$Q$4,0))/12),0))</f>
        <v/>
      </c>
      <c r="AU457" s="257">
        <f>IF(AU$7="Actual","",IFERROR((INDEX($M457:$Q457,,MATCH(AU$4,$M$4:$Q$4,0))/12),0))</f>
        <v/>
      </c>
      <c r="AV457" s="257">
        <f>IF(AV$7="Actual","",IFERROR((INDEX($M457:$Q457,,MATCH(AV$4,$M$4:$Q$4,0))/12),0))</f>
        <v/>
      </c>
      <c r="AW457" s="257">
        <f>IF(AW$7="Actual","",IFERROR((INDEX($M457:$Q457,,MATCH(AW$4,$M$4:$Q$4,0))/12),0))</f>
        <v/>
      </c>
      <c r="AX457" s="257">
        <f>IF(AX$7="Actual","",IFERROR((INDEX($M457:$Q457,,MATCH(AX$4,$M$4:$Q$4,0))/12),0))</f>
        <v/>
      </c>
      <c r="AY457" s="257">
        <f>IF(AY$7="Actual","",IFERROR((INDEX($M457:$Q457,,MATCH(AY$4,$M$4:$Q$4,0))/12),0))</f>
        <v/>
      </c>
      <c r="AZ457" s="257">
        <f>IF(AZ$7="Actual","",IFERROR((INDEX($M457:$Q457,,MATCH(AZ$4,$M$4:$Q$4,0))/12),0))</f>
        <v/>
      </c>
      <c r="BA457" s="257">
        <f>IF(BA$7="Actual","",IFERROR((INDEX($M457:$Q457,,MATCH(BA$4,$M$4:$Q$4,0))/12),0))</f>
        <v/>
      </c>
      <c r="BB457" s="257">
        <f>IF(BB$7="Actual","",IFERROR((INDEX($M457:$Q457,,MATCH(BB$4,$M$4:$Q$4,0))/12),0))</f>
        <v/>
      </c>
      <c r="BC457" s="257">
        <f>IF(BC$7="Actual","",IFERROR((INDEX($M457:$Q457,,MATCH(BC$4,$M$4:$Q$4,0))/12),0))</f>
        <v/>
      </c>
      <c r="BD457" s="257">
        <f>IF(BD$7="Actual","",IFERROR((INDEX($M457:$Q457,,MATCH(BD$4,$M$4:$Q$4,0))/12),0))</f>
        <v/>
      </c>
      <c r="BE457" s="257">
        <f>IF(BE$7="Actual","",IFERROR((INDEX($M457:$Q457,,MATCH(BE$4,$M$4:$Q$4,0))/12),0))</f>
        <v/>
      </c>
      <c r="BF457" s="257">
        <f>IF(BF$7="Actual","",IFERROR((INDEX($M457:$Q457,,MATCH(BF$4,$M$4:$Q$4,0))/12),0))</f>
        <v/>
      </c>
      <c r="BG457" s="257">
        <f>IF(BG$7="Actual","",IFERROR((INDEX($M457:$Q457,,MATCH(BG$4,$M$4:$Q$4,0))/12),0))</f>
        <v/>
      </c>
      <c r="BH457" s="257">
        <f>IF(BH$7="Actual","",IFERROR((INDEX($M457:$Q457,,MATCH(BH$4,$M$4:$Q$4,0))/12),0))</f>
        <v/>
      </c>
      <c r="BI457" s="257">
        <f>IF(BI$7="Actual","",IFERROR((INDEX($M457:$Q457,,MATCH(BI$4,$M$4:$Q$4,0))/12),0))</f>
        <v/>
      </c>
      <c r="BJ457" s="257">
        <f>IF(BJ$7="Actual","",IFERROR((INDEX($M457:$Q457,,MATCH(BJ$4,$M$4:$Q$4,0))/12),0))</f>
        <v/>
      </c>
      <c r="BK457" s="257">
        <f>IF(BK$7="Actual","",IFERROR((INDEX($M457:$Q457,,MATCH(BK$4,$M$4:$Q$4,0))/12),0))</f>
        <v/>
      </c>
      <c r="BL457" s="257">
        <f>IF(BL$7="Actual","",IFERROR((INDEX($M457:$Q457,,MATCH(BL$4,$M$4:$Q$4,0))/12),0))</f>
        <v/>
      </c>
      <c r="BM457" s="257">
        <f>IF(BM$7="Actual","",IFERROR((INDEX($M457:$Q457,,MATCH(BM$4,$M$4:$Q$4,0))/12),0))</f>
        <v/>
      </c>
      <c r="BN457" s="257">
        <f>IF(BN$7="Actual","",IFERROR((INDEX($M457:$Q457,,MATCH(BN$4,$M$4:$Q$4,0))/12),0))</f>
        <v/>
      </c>
      <c r="BO457" s="257">
        <f>IF(BO$7="Actual","",IFERROR((INDEX($M457:$Q457,,MATCH(BO$4,$M$4:$Q$4,0))/12),0))</f>
        <v/>
      </c>
      <c r="BP457" s="257">
        <f>IF(BP$7="Actual","",IFERROR((INDEX($M457:$Q457,,MATCH(BP$4,$M$4:$Q$4,0))/12),0))</f>
        <v/>
      </c>
      <c r="BQ457" s="257">
        <f>IF(BQ$7="Actual","",IFERROR((INDEX($M457:$Q457,,MATCH(BQ$4,$M$4:$Q$4,0))/12),0))</f>
        <v/>
      </c>
      <c r="BR457" s="257">
        <f>IF(BR$7="Actual","",IFERROR((INDEX($M457:$Q457,,MATCH(BR$4,$M$4:$Q$4,0))/12),0))</f>
        <v/>
      </c>
      <c r="BS457" s="257">
        <f>IF(BS$7="Actual","",IFERROR((INDEX($M457:$Q457,,MATCH(BS$4,$M$4:$Q$4,0))/12),0))</f>
        <v/>
      </c>
      <c r="BT457" s="257">
        <f>IF(BT$7="Actual","",IFERROR((INDEX($M457:$Q457,,MATCH(BT$4,$M$4:$Q$4,0))/12),0))</f>
        <v/>
      </c>
      <c r="BU457" s="257">
        <f>IF(BU$7="Actual","",IFERROR((INDEX($M457:$Q457,,MATCH(BU$4,$M$4:$Q$4,0))/12),0))</f>
        <v/>
      </c>
      <c r="BV457" s="257">
        <f>IF(BV$7="Actual","",IFERROR((INDEX($M457:$Q457,,MATCH(BV$4,$M$4:$Q$4,0))/12),0))</f>
        <v/>
      </c>
      <c r="BW457" s="257">
        <f>IF(BW$7="Actual","",IFERROR((INDEX($M457:$Q457,,MATCH(BW$4,$M$4:$Q$4,0))/12),0))</f>
        <v/>
      </c>
      <c r="BX457" s="257">
        <f>IF(BX$7="Actual","",IFERROR((INDEX($M457:$Q457,,MATCH(BX$4,$M$4:$Q$4,0))/12),0))</f>
        <v/>
      </c>
      <c r="BY457" s="257">
        <f>IF(BY$7="Actual","",IFERROR((INDEX($M457:$Q457,,MATCH(BY$4,$M$4:$Q$4,0))/12),0))</f>
        <v/>
      </c>
      <c r="BZ457" s="257">
        <f>IF(BZ$7="Actual","",IFERROR((INDEX($M457:$Q457,,MATCH(BZ$4,$M$4:$Q$4,0))/12),0))</f>
        <v/>
      </c>
      <c r="CA457" s="257">
        <f>IF(CA$7="Actual","",IFERROR((INDEX($M457:$Q457,,MATCH(CA$4,$M$4:$Q$4,0))/12),0))</f>
        <v/>
      </c>
    </row>
    <row r="458" ht="12" customHeight="1" s="227">
      <c r="A458" s="244" t="n"/>
      <c r="B458" s="244" t="n"/>
      <c r="C458" s="244" t="n"/>
      <c r="H458" s="0">
        <f>H446</f>
        <v/>
      </c>
      <c r="I458" s="27">
        <f>i_Setup!$M$16</f>
        <v/>
      </c>
      <c r="K458" s="6" t="n"/>
      <c r="M458" s="257">
        <f>IF(M$7="Actual","",i_Assumptions!M525)</f>
        <v/>
      </c>
      <c r="N458" s="257">
        <f>IF(N$7="Actual","",i_Assumptions!N525)</f>
        <v/>
      </c>
      <c r="O458" s="257">
        <f>IF(O$7="Actual","",i_Assumptions!O525)</f>
        <v/>
      </c>
      <c r="P458" s="257">
        <f>IF(P$7="Actual","",i_Assumptions!P525)</f>
        <v/>
      </c>
      <c r="Q458" s="257">
        <f>IF(Q$7="Actual","",i_Assumptions!Q525)</f>
        <v/>
      </c>
      <c r="T458" s="257">
        <f>IF(T$7="Actual","",IFERROR((INDEX($M458:$Q458,,MATCH(T$4,$M$4:$Q$4,0))/12),0))</f>
        <v/>
      </c>
      <c r="U458" s="257">
        <f>IF(U$7="Actual","",IFERROR((INDEX($M458:$Q458,,MATCH(U$4,$M$4:$Q$4,0))/12),0))</f>
        <v/>
      </c>
      <c r="V458" s="257">
        <f>IF(V$7="Actual","",IFERROR((INDEX($M458:$Q458,,MATCH(V$4,$M$4:$Q$4,0))/12),0))</f>
        <v/>
      </c>
      <c r="W458" s="257">
        <f>IF(W$7="Actual","",IFERROR((INDEX($M458:$Q458,,MATCH(W$4,$M$4:$Q$4,0))/12),0))</f>
        <v/>
      </c>
      <c r="X458" s="257">
        <f>IF(X$7="Actual","",IFERROR((INDEX($M458:$Q458,,MATCH(X$4,$M$4:$Q$4,0))/12),0))</f>
        <v/>
      </c>
      <c r="Y458" s="257">
        <f>IF(Y$7="Actual","",IFERROR((INDEX($M458:$Q458,,MATCH(Y$4,$M$4:$Q$4,0))/12),0))</f>
        <v/>
      </c>
      <c r="Z458" s="257">
        <f>IF(Z$7="Actual","",IFERROR((INDEX($M458:$Q458,,MATCH(Z$4,$M$4:$Q$4,0))/12),0))</f>
        <v/>
      </c>
      <c r="AA458" s="257">
        <f>IF(AA$7="Actual","",IFERROR((INDEX($M458:$Q458,,MATCH(AA$4,$M$4:$Q$4,0))/12),0))</f>
        <v/>
      </c>
      <c r="AB458" s="257">
        <f>IF(AB$7="Actual","",IFERROR((INDEX($M458:$Q458,,MATCH(AB$4,$M$4:$Q$4,0))/12),0))</f>
        <v/>
      </c>
      <c r="AC458" s="257">
        <f>IF(AC$7="Actual","",IFERROR((INDEX($M458:$Q458,,MATCH(AC$4,$M$4:$Q$4,0))/12),0))</f>
        <v/>
      </c>
      <c r="AD458" s="257">
        <f>IF(AD$7="Actual","",IFERROR((INDEX($M458:$Q458,,MATCH(AD$4,$M$4:$Q$4,0))/12),0))</f>
        <v/>
      </c>
      <c r="AE458" s="257">
        <f>IF(AE$7="Actual","",IFERROR((INDEX($M458:$Q458,,MATCH(AE$4,$M$4:$Q$4,0))/12),0))</f>
        <v/>
      </c>
      <c r="AF458" s="257">
        <f>IF(AF$7="Actual","",IFERROR((INDEX($M458:$Q458,,MATCH(AF$4,$M$4:$Q$4,0))/12),0))</f>
        <v/>
      </c>
      <c r="AG458" s="257">
        <f>IF(AG$7="Actual","",IFERROR((INDEX($M458:$Q458,,MATCH(AG$4,$M$4:$Q$4,0))/12),0))</f>
        <v/>
      </c>
      <c r="AH458" s="257">
        <f>IF(AH$7="Actual","",IFERROR((INDEX($M458:$Q458,,MATCH(AH$4,$M$4:$Q$4,0))/12),0))</f>
        <v/>
      </c>
      <c r="AI458" s="257">
        <f>IF(AI$7="Actual","",IFERROR((INDEX($M458:$Q458,,MATCH(AI$4,$M$4:$Q$4,0))/12),0))</f>
        <v/>
      </c>
      <c r="AJ458" s="257">
        <f>IF(AJ$7="Actual","",IFERROR((INDEX($M458:$Q458,,MATCH(AJ$4,$M$4:$Q$4,0))/12),0))</f>
        <v/>
      </c>
      <c r="AK458" s="257">
        <f>IF(AK$7="Actual","",IFERROR((INDEX($M458:$Q458,,MATCH(AK$4,$M$4:$Q$4,0))/12),0))</f>
        <v/>
      </c>
      <c r="AL458" s="257">
        <f>IF(AL$7="Actual","",IFERROR((INDEX($M458:$Q458,,MATCH(AL$4,$M$4:$Q$4,0))/12),0))</f>
        <v/>
      </c>
      <c r="AM458" s="257">
        <f>IF(AM$7="Actual","",IFERROR((INDEX($M458:$Q458,,MATCH(AM$4,$M$4:$Q$4,0))/12),0))</f>
        <v/>
      </c>
      <c r="AN458" s="257">
        <f>IF(AN$7="Actual","",IFERROR((INDEX($M458:$Q458,,MATCH(AN$4,$M$4:$Q$4,0))/12),0))</f>
        <v/>
      </c>
      <c r="AO458" s="257">
        <f>IF(AO$7="Actual","",IFERROR((INDEX($M458:$Q458,,MATCH(AO$4,$M$4:$Q$4,0))/12),0))</f>
        <v/>
      </c>
      <c r="AP458" s="257">
        <f>IF(AP$7="Actual","",IFERROR((INDEX($M458:$Q458,,MATCH(AP$4,$M$4:$Q$4,0))/12),0))</f>
        <v/>
      </c>
      <c r="AQ458" s="257">
        <f>IF(AQ$7="Actual","",IFERROR((INDEX($M458:$Q458,,MATCH(AQ$4,$M$4:$Q$4,0))/12),0))</f>
        <v/>
      </c>
      <c r="AR458" s="257">
        <f>IF(AR$7="Actual","",IFERROR((INDEX($M458:$Q458,,MATCH(AR$4,$M$4:$Q$4,0))/12),0))</f>
        <v/>
      </c>
      <c r="AS458" s="257">
        <f>IF(AS$7="Actual","",IFERROR((INDEX($M458:$Q458,,MATCH(AS$4,$M$4:$Q$4,0))/12),0))</f>
        <v/>
      </c>
      <c r="AT458" s="257">
        <f>IF(AT$7="Actual","",IFERROR((INDEX($M458:$Q458,,MATCH(AT$4,$M$4:$Q$4,0))/12),0))</f>
        <v/>
      </c>
      <c r="AU458" s="257">
        <f>IF(AU$7="Actual","",IFERROR((INDEX($M458:$Q458,,MATCH(AU$4,$M$4:$Q$4,0))/12),0))</f>
        <v/>
      </c>
      <c r="AV458" s="257">
        <f>IF(AV$7="Actual","",IFERROR((INDEX($M458:$Q458,,MATCH(AV$4,$M$4:$Q$4,0))/12),0))</f>
        <v/>
      </c>
      <c r="AW458" s="257">
        <f>IF(AW$7="Actual","",IFERROR((INDEX($M458:$Q458,,MATCH(AW$4,$M$4:$Q$4,0))/12),0))</f>
        <v/>
      </c>
      <c r="AX458" s="257">
        <f>IF(AX$7="Actual","",IFERROR((INDEX($M458:$Q458,,MATCH(AX$4,$M$4:$Q$4,0))/12),0))</f>
        <v/>
      </c>
      <c r="AY458" s="257">
        <f>IF(AY$7="Actual","",IFERROR((INDEX($M458:$Q458,,MATCH(AY$4,$M$4:$Q$4,0))/12),0))</f>
        <v/>
      </c>
      <c r="AZ458" s="257">
        <f>IF(AZ$7="Actual","",IFERROR((INDEX($M458:$Q458,,MATCH(AZ$4,$M$4:$Q$4,0))/12),0))</f>
        <v/>
      </c>
      <c r="BA458" s="257">
        <f>IF(BA$7="Actual","",IFERROR((INDEX($M458:$Q458,,MATCH(BA$4,$M$4:$Q$4,0))/12),0))</f>
        <v/>
      </c>
      <c r="BB458" s="257">
        <f>IF(BB$7="Actual","",IFERROR((INDEX($M458:$Q458,,MATCH(BB$4,$M$4:$Q$4,0))/12),0))</f>
        <v/>
      </c>
      <c r="BC458" s="257">
        <f>IF(BC$7="Actual","",IFERROR((INDEX($M458:$Q458,,MATCH(BC$4,$M$4:$Q$4,0))/12),0))</f>
        <v/>
      </c>
      <c r="BD458" s="257">
        <f>IF(BD$7="Actual","",IFERROR((INDEX($M458:$Q458,,MATCH(BD$4,$M$4:$Q$4,0))/12),0))</f>
        <v/>
      </c>
      <c r="BE458" s="257">
        <f>IF(BE$7="Actual","",IFERROR((INDEX($M458:$Q458,,MATCH(BE$4,$M$4:$Q$4,0))/12),0))</f>
        <v/>
      </c>
      <c r="BF458" s="257">
        <f>IF(BF$7="Actual","",IFERROR((INDEX($M458:$Q458,,MATCH(BF$4,$M$4:$Q$4,0))/12),0))</f>
        <v/>
      </c>
      <c r="BG458" s="257">
        <f>IF(BG$7="Actual","",IFERROR((INDEX($M458:$Q458,,MATCH(BG$4,$M$4:$Q$4,0))/12),0))</f>
        <v/>
      </c>
      <c r="BH458" s="257">
        <f>IF(BH$7="Actual","",IFERROR((INDEX($M458:$Q458,,MATCH(BH$4,$M$4:$Q$4,0))/12),0))</f>
        <v/>
      </c>
      <c r="BI458" s="257">
        <f>IF(BI$7="Actual","",IFERROR((INDEX($M458:$Q458,,MATCH(BI$4,$M$4:$Q$4,0))/12),0))</f>
        <v/>
      </c>
      <c r="BJ458" s="257">
        <f>IF(BJ$7="Actual","",IFERROR((INDEX($M458:$Q458,,MATCH(BJ$4,$M$4:$Q$4,0))/12),0))</f>
        <v/>
      </c>
      <c r="BK458" s="257">
        <f>IF(BK$7="Actual","",IFERROR((INDEX($M458:$Q458,,MATCH(BK$4,$M$4:$Q$4,0))/12),0))</f>
        <v/>
      </c>
      <c r="BL458" s="257">
        <f>IF(BL$7="Actual","",IFERROR((INDEX($M458:$Q458,,MATCH(BL$4,$M$4:$Q$4,0))/12),0))</f>
        <v/>
      </c>
      <c r="BM458" s="257">
        <f>IF(BM$7="Actual","",IFERROR((INDEX($M458:$Q458,,MATCH(BM$4,$M$4:$Q$4,0))/12),0))</f>
        <v/>
      </c>
      <c r="BN458" s="257">
        <f>IF(BN$7="Actual","",IFERROR((INDEX($M458:$Q458,,MATCH(BN$4,$M$4:$Q$4,0))/12),0))</f>
        <v/>
      </c>
      <c r="BO458" s="257">
        <f>IF(BO$7="Actual","",IFERROR((INDEX($M458:$Q458,,MATCH(BO$4,$M$4:$Q$4,0))/12),0))</f>
        <v/>
      </c>
      <c r="BP458" s="257">
        <f>IF(BP$7="Actual","",IFERROR((INDEX($M458:$Q458,,MATCH(BP$4,$M$4:$Q$4,0))/12),0))</f>
        <v/>
      </c>
      <c r="BQ458" s="257">
        <f>IF(BQ$7="Actual","",IFERROR((INDEX($M458:$Q458,,MATCH(BQ$4,$M$4:$Q$4,0))/12),0))</f>
        <v/>
      </c>
      <c r="BR458" s="257">
        <f>IF(BR$7="Actual","",IFERROR((INDEX($M458:$Q458,,MATCH(BR$4,$M$4:$Q$4,0))/12),0))</f>
        <v/>
      </c>
      <c r="BS458" s="257">
        <f>IF(BS$7="Actual","",IFERROR((INDEX($M458:$Q458,,MATCH(BS$4,$M$4:$Q$4,0))/12),0))</f>
        <v/>
      </c>
      <c r="BT458" s="257">
        <f>IF(BT$7="Actual","",IFERROR((INDEX($M458:$Q458,,MATCH(BT$4,$M$4:$Q$4,0))/12),0))</f>
        <v/>
      </c>
      <c r="BU458" s="257">
        <f>IF(BU$7="Actual","",IFERROR((INDEX($M458:$Q458,,MATCH(BU$4,$M$4:$Q$4,0))/12),0))</f>
        <v/>
      </c>
      <c r="BV458" s="257">
        <f>IF(BV$7="Actual","",IFERROR((INDEX($M458:$Q458,,MATCH(BV$4,$M$4:$Q$4,0))/12),0))</f>
        <v/>
      </c>
      <c r="BW458" s="257">
        <f>IF(BW$7="Actual","",IFERROR((INDEX($M458:$Q458,,MATCH(BW$4,$M$4:$Q$4,0))/12),0))</f>
        <v/>
      </c>
      <c r="BX458" s="257">
        <f>IF(BX$7="Actual","",IFERROR((INDEX($M458:$Q458,,MATCH(BX$4,$M$4:$Q$4,0))/12),0))</f>
        <v/>
      </c>
      <c r="BY458" s="257">
        <f>IF(BY$7="Actual","",IFERROR((INDEX($M458:$Q458,,MATCH(BY$4,$M$4:$Q$4,0))/12),0))</f>
        <v/>
      </c>
      <c r="BZ458" s="257">
        <f>IF(BZ$7="Actual","",IFERROR((INDEX($M458:$Q458,,MATCH(BZ$4,$M$4:$Q$4,0))/12),0))</f>
        <v/>
      </c>
      <c r="CA458" s="257">
        <f>IF(CA$7="Actual","",IFERROR((INDEX($M458:$Q458,,MATCH(CA$4,$M$4:$Q$4,0))/12),0))</f>
        <v/>
      </c>
    </row>
    <row r="459" ht="12" customHeight="1" s="227">
      <c r="A459" s="244" t="n"/>
      <c r="B459" s="244" t="n"/>
      <c r="C459" s="244" t="n"/>
      <c r="H459" s="0">
        <f>H447</f>
        <v/>
      </c>
      <c r="I459" s="27">
        <f>i_Setup!$M$16</f>
        <v/>
      </c>
      <c r="K459" s="6" t="n"/>
      <c r="M459" s="257">
        <f>IF(M$7="Actual","",i_Assumptions!M526)</f>
        <v/>
      </c>
      <c r="N459" s="257">
        <f>IF(N$7="Actual","",i_Assumptions!N526)</f>
        <v/>
      </c>
      <c r="O459" s="257">
        <f>IF(O$7="Actual","",i_Assumptions!O526)</f>
        <v/>
      </c>
      <c r="P459" s="257">
        <f>IF(P$7="Actual","",i_Assumptions!P526)</f>
        <v/>
      </c>
      <c r="Q459" s="257">
        <f>IF(Q$7="Actual","",i_Assumptions!Q526)</f>
        <v/>
      </c>
      <c r="T459" s="257">
        <f>IF(T$7="Actual","",IFERROR((INDEX($M459:$Q459,,MATCH(T$4,$M$4:$Q$4,0))/12),0))</f>
        <v/>
      </c>
      <c r="U459" s="257">
        <f>IF(U$7="Actual","",IFERROR((INDEX($M459:$Q459,,MATCH(U$4,$M$4:$Q$4,0))/12),0))</f>
        <v/>
      </c>
      <c r="V459" s="257">
        <f>IF(V$7="Actual","",IFERROR((INDEX($M459:$Q459,,MATCH(V$4,$M$4:$Q$4,0))/12),0))</f>
        <v/>
      </c>
      <c r="W459" s="257">
        <f>IF(W$7="Actual","",IFERROR((INDEX($M459:$Q459,,MATCH(W$4,$M$4:$Q$4,0))/12),0))</f>
        <v/>
      </c>
      <c r="X459" s="257">
        <f>IF(X$7="Actual","",IFERROR((INDEX($M459:$Q459,,MATCH(X$4,$M$4:$Q$4,0))/12),0))</f>
        <v/>
      </c>
      <c r="Y459" s="257">
        <f>IF(Y$7="Actual","",IFERROR((INDEX($M459:$Q459,,MATCH(Y$4,$M$4:$Q$4,0))/12),0))</f>
        <v/>
      </c>
      <c r="Z459" s="257">
        <f>IF(Z$7="Actual","",IFERROR((INDEX($M459:$Q459,,MATCH(Z$4,$M$4:$Q$4,0))/12),0))</f>
        <v/>
      </c>
      <c r="AA459" s="257">
        <f>IF(AA$7="Actual","",IFERROR((INDEX($M459:$Q459,,MATCH(AA$4,$M$4:$Q$4,0))/12),0))</f>
        <v/>
      </c>
      <c r="AB459" s="257">
        <f>IF(AB$7="Actual","",IFERROR((INDEX($M459:$Q459,,MATCH(AB$4,$M$4:$Q$4,0))/12),0))</f>
        <v/>
      </c>
      <c r="AC459" s="257">
        <f>IF(AC$7="Actual","",IFERROR((INDEX($M459:$Q459,,MATCH(AC$4,$M$4:$Q$4,0))/12),0))</f>
        <v/>
      </c>
      <c r="AD459" s="257">
        <f>IF(AD$7="Actual","",IFERROR((INDEX($M459:$Q459,,MATCH(AD$4,$M$4:$Q$4,0))/12),0))</f>
        <v/>
      </c>
      <c r="AE459" s="257">
        <f>IF(AE$7="Actual","",IFERROR((INDEX($M459:$Q459,,MATCH(AE$4,$M$4:$Q$4,0))/12),0))</f>
        <v/>
      </c>
      <c r="AF459" s="257">
        <f>IF(AF$7="Actual","",IFERROR((INDEX($M459:$Q459,,MATCH(AF$4,$M$4:$Q$4,0))/12),0))</f>
        <v/>
      </c>
      <c r="AG459" s="257">
        <f>IF(AG$7="Actual","",IFERROR((INDEX($M459:$Q459,,MATCH(AG$4,$M$4:$Q$4,0))/12),0))</f>
        <v/>
      </c>
      <c r="AH459" s="257">
        <f>IF(AH$7="Actual","",IFERROR((INDEX($M459:$Q459,,MATCH(AH$4,$M$4:$Q$4,0))/12),0))</f>
        <v/>
      </c>
      <c r="AI459" s="257">
        <f>IF(AI$7="Actual","",IFERROR((INDEX($M459:$Q459,,MATCH(AI$4,$M$4:$Q$4,0))/12),0))</f>
        <v/>
      </c>
      <c r="AJ459" s="257">
        <f>IF(AJ$7="Actual","",IFERROR((INDEX($M459:$Q459,,MATCH(AJ$4,$M$4:$Q$4,0))/12),0))</f>
        <v/>
      </c>
      <c r="AK459" s="257">
        <f>IF(AK$7="Actual","",IFERROR((INDEX($M459:$Q459,,MATCH(AK$4,$M$4:$Q$4,0))/12),0))</f>
        <v/>
      </c>
      <c r="AL459" s="257">
        <f>IF(AL$7="Actual","",IFERROR((INDEX($M459:$Q459,,MATCH(AL$4,$M$4:$Q$4,0))/12),0))</f>
        <v/>
      </c>
      <c r="AM459" s="257">
        <f>IF(AM$7="Actual","",IFERROR((INDEX($M459:$Q459,,MATCH(AM$4,$M$4:$Q$4,0))/12),0))</f>
        <v/>
      </c>
      <c r="AN459" s="257">
        <f>IF(AN$7="Actual","",IFERROR((INDEX($M459:$Q459,,MATCH(AN$4,$M$4:$Q$4,0))/12),0))</f>
        <v/>
      </c>
      <c r="AO459" s="257">
        <f>IF(AO$7="Actual","",IFERROR((INDEX($M459:$Q459,,MATCH(AO$4,$M$4:$Q$4,0))/12),0))</f>
        <v/>
      </c>
      <c r="AP459" s="257">
        <f>IF(AP$7="Actual","",IFERROR((INDEX($M459:$Q459,,MATCH(AP$4,$M$4:$Q$4,0))/12),0))</f>
        <v/>
      </c>
      <c r="AQ459" s="257">
        <f>IF(AQ$7="Actual","",IFERROR((INDEX($M459:$Q459,,MATCH(AQ$4,$M$4:$Q$4,0))/12),0))</f>
        <v/>
      </c>
      <c r="AR459" s="257">
        <f>IF(AR$7="Actual","",IFERROR((INDEX($M459:$Q459,,MATCH(AR$4,$M$4:$Q$4,0))/12),0))</f>
        <v/>
      </c>
      <c r="AS459" s="257">
        <f>IF(AS$7="Actual","",IFERROR((INDEX($M459:$Q459,,MATCH(AS$4,$M$4:$Q$4,0))/12),0))</f>
        <v/>
      </c>
      <c r="AT459" s="257">
        <f>IF(AT$7="Actual","",IFERROR((INDEX($M459:$Q459,,MATCH(AT$4,$M$4:$Q$4,0))/12),0))</f>
        <v/>
      </c>
      <c r="AU459" s="257">
        <f>IF(AU$7="Actual","",IFERROR((INDEX($M459:$Q459,,MATCH(AU$4,$M$4:$Q$4,0))/12),0))</f>
        <v/>
      </c>
      <c r="AV459" s="257">
        <f>IF(AV$7="Actual","",IFERROR((INDEX($M459:$Q459,,MATCH(AV$4,$M$4:$Q$4,0))/12),0))</f>
        <v/>
      </c>
      <c r="AW459" s="257">
        <f>IF(AW$7="Actual","",IFERROR((INDEX($M459:$Q459,,MATCH(AW$4,$M$4:$Q$4,0))/12),0))</f>
        <v/>
      </c>
      <c r="AX459" s="257">
        <f>IF(AX$7="Actual","",IFERROR((INDEX($M459:$Q459,,MATCH(AX$4,$M$4:$Q$4,0))/12),0))</f>
        <v/>
      </c>
      <c r="AY459" s="257">
        <f>IF(AY$7="Actual","",IFERROR((INDEX($M459:$Q459,,MATCH(AY$4,$M$4:$Q$4,0))/12),0))</f>
        <v/>
      </c>
      <c r="AZ459" s="257">
        <f>IF(AZ$7="Actual","",IFERROR((INDEX($M459:$Q459,,MATCH(AZ$4,$M$4:$Q$4,0))/12),0))</f>
        <v/>
      </c>
      <c r="BA459" s="257">
        <f>IF(BA$7="Actual","",IFERROR((INDEX($M459:$Q459,,MATCH(BA$4,$M$4:$Q$4,0))/12),0))</f>
        <v/>
      </c>
      <c r="BB459" s="257">
        <f>IF(BB$7="Actual","",IFERROR((INDEX($M459:$Q459,,MATCH(BB$4,$M$4:$Q$4,0))/12),0))</f>
        <v/>
      </c>
      <c r="BC459" s="257">
        <f>IF(BC$7="Actual","",IFERROR((INDEX($M459:$Q459,,MATCH(BC$4,$M$4:$Q$4,0))/12),0))</f>
        <v/>
      </c>
      <c r="BD459" s="257">
        <f>IF(BD$7="Actual","",IFERROR((INDEX($M459:$Q459,,MATCH(BD$4,$M$4:$Q$4,0))/12),0))</f>
        <v/>
      </c>
      <c r="BE459" s="257">
        <f>IF(BE$7="Actual","",IFERROR((INDEX($M459:$Q459,,MATCH(BE$4,$M$4:$Q$4,0))/12),0))</f>
        <v/>
      </c>
      <c r="BF459" s="257">
        <f>IF(BF$7="Actual","",IFERROR((INDEX($M459:$Q459,,MATCH(BF$4,$M$4:$Q$4,0))/12),0))</f>
        <v/>
      </c>
      <c r="BG459" s="257">
        <f>IF(BG$7="Actual","",IFERROR((INDEX($M459:$Q459,,MATCH(BG$4,$M$4:$Q$4,0))/12),0))</f>
        <v/>
      </c>
      <c r="BH459" s="257">
        <f>IF(BH$7="Actual","",IFERROR((INDEX($M459:$Q459,,MATCH(BH$4,$M$4:$Q$4,0))/12),0))</f>
        <v/>
      </c>
      <c r="BI459" s="257">
        <f>IF(BI$7="Actual","",IFERROR((INDEX($M459:$Q459,,MATCH(BI$4,$M$4:$Q$4,0))/12),0))</f>
        <v/>
      </c>
      <c r="BJ459" s="257">
        <f>IF(BJ$7="Actual","",IFERROR((INDEX($M459:$Q459,,MATCH(BJ$4,$M$4:$Q$4,0))/12),0))</f>
        <v/>
      </c>
      <c r="BK459" s="257">
        <f>IF(BK$7="Actual","",IFERROR((INDEX($M459:$Q459,,MATCH(BK$4,$M$4:$Q$4,0))/12),0))</f>
        <v/>
      </c>
      <c r="BL459" s="257">
        <f>IF(BL$7="Actual","",IFERROR((INDEX($M459:$Q459,,MATCH(BL$4,$M$4:$Q$4,0))/12),0))</f>
        <v/>
      </c>
      <c r="BM459" s="257">
        <f>IF(BM$7="Actual","",IFERROR((INDEX($M459:$Q459,,MATCH(BM$4,$M$4:$Q$4,0))/12),0))</f>
        <v/>
      </c>
      <c r="BN459" s="257">
        <f>IF(BN$7="Actual","",IFERROR((INDEX($M459:$Q459,,MATCH(BN$4,$M$4:$Q$4,0))/12),0))</f>
        <v/>
      </c>
      <c r="BO459" s="257">
        <f>IF(BO$7="Actual","",IFERROR((INDEX($M459:$Q459,,MATCH(BO$4,$M$4:$Q$4,0))/12),0))</f>
        <v/>
      </c>
      <c r="BP459" s="257">
        <f>IF(BP$7="Actual","",IFERROR((INDEX($M459:$Q459,,MATCH(BP$4,$M$4:$Q$4,0))/12),0))</f>
        <v/>
      </c>
      <c r="BQ459" s="257">
        <f>IF(BQ$7="Actual","",IFERROR((INDEX($M459:$Q459,,MATCH(BQ$4,$M$4:$Q$4,0))/12),0))</f>
        <v/>
      </c>
      <c r="BR459" s="257">
        <f>IF(BR$7="Actual","",IFERROR((INDEX($M459:$Q459,,MATCH(BR$4,$M$4:$Q$4,0))/12),0))</f>
        <v/>
      </c>
      <c r="BS459" s="257">
        <f>IF(BS$7="Actual","",IFERROR((INDEX($M459:$Q459,,MATCH(BS$4,$M$4:$Q$4,0))/12),0))</f>
        <v/>
      </c>
      <c r="BT459" s="257">
        <f>IF(BT$7="Actual","",IFERROR((INDEX($M459:$Q459,,MATCH(BT$4,$M$4:$Q$4,0))/12),0))</f>
        <v/>
      </c>
      <c r="BU459" s="257">
        <f>IF(BU$7="Actual","",IFERROR((INDEX($M459:$Q459,,MATCH(BU$4,$M$4:$Q$4,0))/12),0))</f>
        <v/>
      </c>
      <c r="BV459" s="257">
        <f>IF(BV$7="Actual","",IFERROR((INDEX($M459:$Q459,,MATCH(BV$4,$M$4:$Q$4,0))/12),0))</f>
        <v/>
      </c>
      <c r="BW459" s="257">
        <f>IF(BW$7="Actual","",IFERROR((INDEX($M459:$Q459,,MATCH(BW$4,$M$4:$Q$4,0))/12),0))</f>
        <v/>
      </c>
      <c r="BX459" s="257">
        <f>IF(BX$7="Actual","",IFERROR((INDEX($M459:$Q459,,MATCH(BX$4,$M$4:$Q$4,0))/12),0))</f>
        <v/>
      </c>
      <c r="BY459" s="257">
        <f>IF(BY$7="Actual","",IFERROR((INDEX($M459:$Q459,,MATCH(BY$4,$M$4:$Q$4,0))/12),0))</f>
        <v/>
      </c>
      <c r="BZ459" s="257">
        <f>IF(BZ$7="Actual","",IFERROR((INDEX($M459:$Q459,,MATCH(BZ$4,$M$4:$Q$4,0))/12),0))</f>
        <v/>
      </c>
      <c r="CA459" s="257">
        <f>IF(CA$7="Actual","",IFERROR((INDEX($M459:$Q459,,MATCH(CA$4,$M$4:$Q$4,0))/12),0))</f>
        <v/>
      </c>
    </row>
    <row r="460" ht="12" customHeight="1" s="227">
      <c r="A460" s="244" t="n"/>
      <c r="B460" s="244" t="n"/>
      <c r="C460" s="244" t="n"/>
      <c r="H460" s="0">
        <f>H448</f>
        <v/>
      </c>
      <c r="I460" s="27">
        <f>i_Setup!$M$16</f>
        <v/>
      </c>
      <c r="K460" s="6" t="n"/>
      <c r="M460" s="257">
        <f>IF(M$7="Actual","",i_Assumptions!M527)</f>
        <v/>
      </c>
      <c r="N460" s="257">
        <f>IF(N$7="Actual","",i_Assumptions!N527)</f>
        <v/>
      </c>
      <c r="O460" s="257">
        <f>IF(O$7="Actual","",i_Assumptions!O527)</f>
        <v/>
      </c>
      <c r="P460" s="257">
        <f>IF(P$7="Actual","",i_Assumptions!P527)</f>
        <v/>
      </c>
      <c r="Q460" s="257">
        <f>IF(Q$7="Actual","",i_Assumptions!Q527)</f>
        <v/>
      </c>
      <c r="T460" s="257">
        <f>IF(T$7="Actual","",IFERROR((INDEX($M460:$Q460,,MATCH(T$4,$M$4:$Q$4,0))/12),0))</f>
        <v/>
      </c>
      <c r="U460" s="257">
        <f>IF(U$7="Actual","",IFERROR((INDEX($M460:$Q460,,MATCH(U$4,$M$4:$Q$4,0))/12),0))</f>
        <v/>
      </c>
      <c r="V460" s="257">
        <f>IF(V$7="Actual","",IFERROR((INDEX($M460:$Q460,,MATCH(V$4,$M$4:$Q$4,0))/12),0))</f>
        <v/>
      </c>
      <c r="W460" s="257">
        <f>IF(W$7="Actual","",IFERROR((INDEX($M460:$Q460,,MATCH(W$4,$M$4:$Q$4,0))/12),0))</f>
        <v/>
      </c>
      <c r="X460" s="257">
        <f>IF(X$7="Actual","",IFERROR((INDEX($M460:$Q460,,MATCH(X$4,$M$4:$Q$4,0))/12),0))</f>
        <v/>
      </c>
      <c r="Y460" s="257">
        <f>IF(Y$7="Actual","",IFERROR((INDEX($M460:$Q460,,MATCH(Y$4,$M$4:$Q$4,0))/12),0))</f>
        <v/>
      </c>
      <c r="Z460" s="257">
        <f>IF(Z$7="Actual","",IFERROR((INDEX($M460:$Q460,,MATCH(Z$4,$M$4:$Q$4,0))/12),0))</f>
        <v/>
      </c>
      <c r="AA460" s="257">
        <f>IF(AA$7="Actual","",IFERROR((INDEX($M460:$Q460,,MATCH(AA$4,$M$4:$Q$4,0))/12),0))</f>
        <v/>
      </c>
      <c r="AB460" s="257">
        <f>IF(AB$7="Actual","",IFERROR((INDEX($M460:$Q460,,MATCH(AB$4,$M$4:$Q$4,0))/12),0))</f>
        <v/>
      </c>
      <c r="AC460" s="257">
        <f>IF(AC$7="Actual","",IFERROR((INDEX($M460:$Q460,,MATCH(AC$4,$M$4:$Q$4,0))/12),0))</f>
        <v/>
      </c>
      <c r="AD460" s="257">
        <f>IF(AD$7="Actual","",IFERROR((INDEX($M460:$Q460,,MATCH(AD$4,$M$4:$Q$4,0))/12),0))</f>
        <v/>
      </c>
      <c r="AE460" s="257">
        <f>IF(AE$7="Actual","",IFERROR((INDEX($M460:$Q460,,MATCH(AE$4,$M$4:$Q$4,0))/12),0))</f>
        <v/>
      </c>
      <c r="AF460" s="257">
        <f>IF(AF$7="Actual","",IFERROR((INDEX($M460:$Q460,,MATCH(AF$4,$M$4:$Q$4,0))/12),0))</f>
        <v/>
      </c>
      <c r="AG460" s="257">
        <f>IF(AG$7="Actual","",IFERROR((INDEX($M460:$Q460,,MATCH(AG$4,$M$4:$Q$4,0))/12),0))</f>
        <v/>
      </c>
      <c r="AH460" s="257">
        <f>IF(AH$7="Actual","",IFERROR((INDEX($M460:$Q460,,MATCH(AH$4,$M$4:$Q$4,0))/12),0))</f>
        <v/>
      </c>
      <c r="AI460" s="257">
        <f>IF(AI$7="Actual","",IFERROR((INDEX($M460:$Q460,,MATCH(AI$4,$M$4:$Q$4,0))/12),0))</f>
        <v/>
      </c>
      <c r="AJ460" s="257">
        <f>IF(AJ$7="Actual","",IFERROR((INDEX($M460:$Q460,,MATCH(AJ$4,$M$4:$Q$4,0))/12),0))</f>
        <v/>
      </c>
      <c r="AK460" s="257">
        <f>IF(AK$7="Actual","",IFERROR((INDEX($M460:$Q460,,MATCH(AK$4,$M$4:$Q$4,0))/12),0))</f>
        <v/>
      </c>
      <c r="AL460" s="257">
        <f>IF(AL$7="Actual","",IFERROR((INDEX($M460:$Q460,,MATCH(AL$4,$M$4:$Q$4,0))/12),0))</f>
        <v/>
      </c>
      <c r="AM460" s="257">
        <f>IF(AM$7="Actual","",IFERROR((INDEX($M460:$Q460,,MATCH(AM$4,$M$4:$Q$4,0))/12),0))</f>
        <v/>
      </c>
      <c r="AN460" s="257">
        <f>IF(AN$7="Actual","",IFERROR((INDEX($M460:$Q460,,MATCH(AN$4,$M$4:$Q$4,0))/12),0))</f>
        <v/>
      </c>
      <c r="AO460" s="257">
        <f>IF(AO$7="Actual","",IFERROR((INDEX($M460:$Q460,,MATCH(AO$4,$M$4:$Q$4,0))/12),0))</f>
        <v/>
      </c>
      <c r="AP460" s="257">
        <f>IF(AP$7="Actual","",IFERROR((INDEX($M460:$Q460,,MATCH(AP$4,$M$4:$Q$4,0))/12),0))</f>
        <v/>
      </c>
      <c r="AQ460" s="257">
        <f>IF(AQ$7="Actual","",IFERROR((INDEX($M460:$Q460,,MATCH(AQ$4,$M$4:$Q$4,0))/12),0))</f>
        <v/>
      </c>
      <c r="AR460" s="257">
        <f>IF(AR$7="Actual","",IFERROR((INDEX($M460:$Q460,,MATCH(AR$4,$M$4:$Q$4,0))/12),0))</f>
        <v/>
      </c>
      <c r="AS460" s="257">
        <f>IF(AS$7="Actual","",IFERROR((INDEX($M460:$Q460,,MATCH(AS$4,$M$4:$Q$4,0))/12),0))</f>
        <v/>
      </c>
      <c r="AT460" s="257">
        <f>IF(AT$7="Actual","",IFERROR((INDEX($M460:$Q460,,MATCH(AT$4,$M$4:$Q$4,0))/12),0))</f>
        <v/>
      </c>
      <c r="AU460" s="257">
        <f>IF(AU$7="Actual","",IFERROR((INDEX($M460:$Q460,,MATCH(AU$4,$M$4:$Q$4,0))/12),0))</f>
        <v/>
      </c>
      <c r="AV460" s="257">
        <f>IF(AV$7="Actual","",IFERROR((INDEX($M460:$Q460,,MATCH(AV$4,$M$4:$Q$4,0))/12),0))</f>
        <v/>
      </c>
      <c r="AW460" s="257">
        <f>IF(AW$7="Actual","",IFERROR((INDEX($M460:$Q460,,MATCH(AW$4,$M$4:$Q$4,0))/12),0))</f>
        <v/>
      </c>
      <c r="AX460" s="257">
        <f>IF(AX$7="Actual","",IFERROR((INDEX($M460:$Q460,,MATCH(AX$4,$M$4:$Q$4,0))/12),0))</f>
        <v/>
      </c>
      <c r="AY460" s="257">
        <f>IF(AY$7="Actual","",IFERROR((INDEX($M460:$Q460,,MATCH(AY$4,$M$4:$Q$4,0))/12),0))</f>
        <v/>
      </c>
      <c r="AZ460" s="257">
        <f>IF(AZ$7="Actual","",IFERROR((INDEX($M460:$Q460,,MATCH(AZ$4,$M$4:$Q$4,0))/12),0))</f>
        <v/>
      </c>
      <c r="BA460" s="257">
        <f>IF(BA$7="Actual","",IFERROR((INDEX($M460:$Q460,,MATCH(BA$4,$M$4:$Q$4,0))/12),0))</f>
        <v/>
      </c>
      <c r="BB460" s="257">
        <f>IF(BB$7="Actual","",IFERROR((INDEX($M460:$Q460,,MATCH(BB$4,$M$4:$Q$4,0))/12),0))</f>
        <v/>
      </c>
      <c r="BC460" s="257">
        <f>IF(BC$7="Actual","",IFERROR((INDEX($M460:$Q460,,MATCH(BC$4,$M$4:$Q$4,0))/12),0))</f>
        <v/>
      </c>
      <c r="BD460" s="257">
        <f>IF(BD$7="Actual","",IFERROR((INDEX($M460:$Q460,,MATCH(BD$4,$M$4:$Q$4,0))/12),0))</f>
        <v/>
      </c>
      <c r="BE460" s="257">
        <f>IF(BE$7="Actual","",IFERROR((INDEX($M460:$Q460,,MATCH(BE$4,$M$4:$Q$4,0))/12),0))</f>
        <v/>
      </c>
      <c r="BF460" s="257">
        <f>IF(BF$7="Actual","",IFERROR((INDEX($M460:$Q460,,MATCH(BF$4,$M$4:$Q$4,0))/12),0))</f>
        <v/>
      </c>
      <c r="BG460" s="257">
        <f>IF(BG$7="Actual","",IFERROR((INDEX($M460:$Q460,,MATCH(BG$4,$M$4:$Q$4,0))/12),0))</f>
        <v/>
      </c>
      <c r="BH460" s="257">
        <f>IF(BH$7="Actual","",IFERROR((INDEX($M460:$Q460,,MATCH(BH$4,$M$4:$Q$4,0))/12),0))</f>
        <v/>
      </c>
      <c r="BI460" s="257">
        <f>IF(BI$7="Actual","",IFERROR((INDEX($M460:$Q460,,MATCH(BI$4,$M$4:$Q$4,0))/12),0))</f>
        <v/>
      </c>
      <c r="BJ460" s="257">
        <f>IF(BJ$7="Actual","",IFERROR((INDEX($M460:$Q460,,MATCH(BJ$4,$M$4:$Q$4,0))/12),0))</f>
        <v/>
      </c>
      <c r="BK460" s="257">
        <f>IF(BK$7="Actual","",IFERROR((INDEX($M460:$Q460,,MATCH(BK$4,$M$4:$Q$4,0))/12),0))</f>
        <v/>
      </c>
      <c r="BL460" s="257">
        <f>IF(BL$7="Actual","",IFERROR((INDEX($M460:$Q460,,MATCH(BL$4,$M$4:$Q$4,0))/12),0))</f>
        <v/>
      </c>
      <c r="BM460" s="257">
        <f>IF(BM$7="Actual","",IFERROR((INDEX($M460:$Q460,,MATCH(BM$4,$M$4:$Q$4,0))/12),0))</f>
        <v/>
      </c>
      <c r="BN460" s="257">
        <f>IF(BN$7="Actual","",IFERROR((INDEX($M460:$Q460,,MATCH(BN$4,$M$4:$Q$4,0))/12),0))</f>
        <v/>
      </c>
      <c r="BO460" s="257">
        <f>IF(BO$7="Actual","",IFERROR((INDEX($M460:$Q460,,MATCH(BO$4,$M$4:$Q$4,0))/12),0))</f>
        <v/>
      </c>
      <c r="BP460" s="257">
        <f>IF(BP$7="Actual","",IFERROR((INDEX($M460:$Q460,,MATCH(BP$4,$M$4:$Q$4,0))/12),0))</f>
        <v/>
      </c>
      <c r="BQ460" s="257">
        <f>IF(BQ$7="Actual","",IFERROR((INDEX($M460:$Q460,,MATCH(BQ$4,$M$4:$Q$4,0))/12),0))</f>
        <v/>
      </c>
      <c r="BR460" s="257">
        <f>IF(BR$7="Actual","",IFERROR((INDEX($M460:$Q460,,MATCH(BR$4,$M$4:$Q$4,0))/12),0))</f>
        <v/>
      </c>
      <c r="BS460" s="257">
        <f>IF(BS$7="Actual","",IFERROR((INDEX($M460:$Q460,,MATCH(BS$4,$M$4:$Q$4,0))/12),0))</f>
        <v/>
      </c>
      <c r="BT460" s="257">
        <f>IF(BT$7="Actual","",IFERROR((INDEX($M460:$Q460,,MATCH(BT$4,$M$4:$Q$4,0))/12),0))</f>
        <v/>
      </c>
      <c r="BU460" s="257">
        <f>IF(BU$7="Actual","",IFERROR((INDEX($M460:$Q460,,MATCH(BU$4,$M$4:$Q$4,0))/12),0))</f>
        <v/>
      </c>
      <c r="BV460" s="257">
        <f>IF(BV$7="Actual","",IFERROR((INDEX($M460:$Q460,,MATCH(BV$4,$M$4:$Q$4,0))/12),0))</f>
        <v/>
      </c>
      <c r="BW460" s="257">
        <f>IF(BW$7="Actual","",IFERROR((INDEX($M460:$Q460,,MATCH(BW$4,$M$4:$Q$4,0))/12),0))</f>
        <v/>
      </c>
      <c r="BX460" s="257">
        <f>IF(BX$7="Actual","",IFERROR((INDEX($M460:$Q460,,MATCH(BX$4,$M$4:$Q$4,0))/12),0))</f>
        <v/>
      </c>
      <c r="BY460" s="257">
        <f>IF(BY$7="Actual","",IFERROR((INDEX($M460:$Q460,,MATCH(BY$4,$M$4:$Q$4,0))/12),0))</f>
        <v/>
      </c>
      <c r="BZ460" s="257">
        <f>IF(BZ$7="Actual","",IFERROR((INDEX($M460:$Q460,,MATCH(BZ$4,$M$4:$Q$4,0))/12),0))</f>
        <v/>
      </c>
      <c r="CA460" s="257">
        <f>IF(CA$7="Actual","",IFERROR((INDEX($M460:$Q460,,MATCH(CA$4,$M$4:$Q$4,0))/12),0))</f>
        <v/>
      </c>
    </row>
    <row r="461" ht="12" customHeight="1" s="227">
      <c r="A461" s="244" t="n"/>
      <c r="B461" s="244" t="n"/>
      <c r="C461" s="244" t="n"/>
      <c r="H461" s="0">
        <f>H449</f>
        <v/>
      </c>
      <c r="I461" s="27">
        <f>i_Setup!$M$16</f>
        <v/>
      </c>
      <c r="K461" s="6" t="n"/>
      <c r="M461" s="257">
        <f>IF(M$7="Actual","",i_Assumptions!M528)</f>
        <v/>
      </c>
      <c r="N461" s="257">
        <f>IF(N$7="Actual","",i_Assumptions!N528)</f>
        <v/>
      </c>
      <c r="O461" s="257">
        <f>IF(O$7="Actual","",i_Assumptions!O528)</f>
        <v/>
      </c>
      <c r="P461" s="257">
        <f>IF(P$7="Actual","",i_Assumptions!P528)</f>
        <v/>
      </c>
      <c r="Q461" s="257">
        <f>IF(Q$7="Actual","",i_Assumptions!Q528)</f>
        <v/>
      </c>
      <c r="T461" s="257">
        <f>IF(T$7="Actual","",IFERROR((INDEX($M461:$Q461,,MATCH(T$4,$M$4:$Q$4,0))/12),0))</f>
        <v/>
      </c>
      <c r="U461" s="257">
        <f>IF(U$7="Actual","",IFERROR((INDEX($M461:$Q461,,MATCH(U$4,$M$4:$Q$4,0))/12),0))</f>
        <v/>
      </c>
      <c r="V461" s="257">
        <f>IF(V$7="Actual","",IFERROR((INDEX($M461:$Q461,,MATCH(V$4,$M$4:$Q$4,0))/12),0))</f>
        <v/>
      </c>
      <c r="W461" s="257">
        <f>IF(W$7="Actual","",IFERROR((INDEX($M461:$Q461,,MATCH(W$4,$M$4:$Q$4,0))/12),0))</f>
        <v/>
      </c>
      <c r="X461" s="257">
        <f>IF(X$7="Actual","",IFERROR((INDEX($M461:$Q461,,MATCH(X$4,$M$4:$Q$4,0))/12),0))</f>
        <v/>
      </c>
      <c r="Y461" s="257">
        <f>IF(Y$7="Actual","",IFERROR((INDEX($M461:$Q461,,MATCH(Y$4,$M$4:$Q$4,0))/12),0))</f>
        <v/>
      </c>
      <c r="Z461" s="257">
        <f>IF(Z$7="Actual","",IFERROR((INDEX($M461:$Q461,,MATCH(Z$4,$M$4:$Q$4,0))/12),0))</f>
        <v/>
      </c>
      <c r="AA461" s="257">
        <f>IF(AA$7="Actual","",IFERROR((INDEX($M461:$Q461,,MATCH(AA$4,$M$4:$Q$4,0))/12),0))</f>
        <v/>
      </c>
      <c r="AB461" s="257">
        <f>IF(AB$7="Actual","",IFERROR((INDEX($M461:$Q461,,MATCH(AB$4,$M$4:$Q$4,0))/12),0))</f>
        <v/>
      </c>
      <c r="AC461" s="257">
        <f>IF(AC$7="Actual","",IFERROR((INDEX($M461:$Q461,,MATCH(AC$4,$M$4:$Q$4,0))/12),0))</f>
        <v/>
      </c>
      <c r="AD461" s="257">
        <f>IF(AD$7="Actual","",IFERROR((INDEX($M461:$Q461,,MATCH(AD$4,$M$4:$Q$4,0))/12),0))</f>
        <v/>
      </c>
      <c r="AE461" s="257">
        <f>IF(AE$7="Actual","",IFERROR((INDEX($M461:$Q461,,MATCH(AE$4,$M$4:$Q$4,0))/12),0))</f>
        <v/>
      </c>
      <c r="AF461" s="257">
        <f>IF(AF$7="Actual","",IFERROR((INDEX($M461:$Q461,,MATCH(AF$4,$M$4:$Q$4,0))/12),0))</f>
        <v/>
      </c>
      <c r="AG461" s="257">
        <f>IF(AG$7="Actual","",IFERROR((INDEX($M461:$Q461,,MATCH(AG$4,$M$4:$Q$4,0))/12),0))</f>
        <v/>
      </c>
      <c r="AH461" s="257">
        <f>IF(AH$7="Actual","",IFERROR((INDEX($M461:$Q461,,MATCH(AH$4,$M$4:$Q$4,0))/12),0))</f>
        <v/>
      </c>
      <c r="AI461" s="257">
        <f>IF(AI$7="Actual","",IFERROR((INDEX($M461:$Q461,,MATCH(AI$4,$M$4:$Q$4,0))/12),0))</f>
        <v/>
      </c>
      <c r="AJ461" s="257">
        <f>IF(AJ$7="Actual","",IFERROR((INDEX($M461:$Q461,,MATCH(AJ$4,$M$4:$Q$4,0))/12),0))</f>
        <v/>
      </c>
      <c r="AK461" s="257">
        <f>IF(AK$7="Actual","",IFERROR((INDEX($M461:$Q461,,MATCH(AK$4,$M$4:$Q$4,0))/12),0))</f>
        <v/>
      </c>
      <c r="AL461" s="257">
        <f>IF(AL$7="Actual","",IFERROR((INDEX($M461:$Q461,,MATCH(AL$4,$M$4:$Q$4,0))/12),0))</f>
        <v/>
      </c>
      <c r="AM461" s="257">
        <f>IF(AM$7="Actual","",IFERROR((INDEX($M461:$Q461,,MATCH(AM$4,$M$4:$Q$4,0))/12),0))</f>
        <v/>
      </c>
      <c r="AN461" s="257">
        <f>IF(AN$7="Actual","",IFERROR((INDEX($M461:$Q461,,MATCH(AN$4,$M$4:$Q$4,0))/12),0))</f>
        <v/>
      </c>
      <c r="AO461" s="257">
        <f>IF(AO$7="Actual","",IFERROR((INDEX($M461:$Q461,,MATCH(AO$4,$M$4:$Q$4,0))/12),0))</f>
        <v/>
      </c>
      <c r="AP461" s="257">
        <f>IF(AP$7="Actual","",IFERROR((INDEX($M461:$Q461,,MATCH(AP$4,$M$4:$Q$4,0))/12),0))</f>
        <v/>
      </c>
      <c r="AQ461" s="257">
        <f>IF(AQ$7="Actual","",IFERROR((INDEX($M461:$Q461,,MATCH(AQ$4,$M$4:$Q$4,0))/12),0))</f>
        <v/>
      </c>
      <c r="AR461" s="257">
        <f>IF(AR$7="Actual","",IFERROR((INDEX($M461:$Q461,,MATCH(AR$4,$M$4:$Q$4,0))/12),0))</f>
        <v/>
      </c>
      <c r="AS461" s="257">
        <f>IF(AS$7="Actual","",IFERROR((INDEX($M461:$Q461,,MATCH(AS$4,$M$4:$Q$4,0))/12),0))</f>
        <v/>
      </c>
      <c r="AT461" s="257">
        <f>IF(AT$7="Actual","",IFERROR((INDEX($M461:$Q461,,MATCH(AT$4,$M$4:$Q$4,0))/12),0))</f>
        <v/>
      </c>
      <c r="AU461" s="257">
        <f>IF(AU$7="Actual","",IFERROR((INDEX($M461:$Q461,,MATCH(AU$4,$M$4:$Q$4,0))/12),0))</f>
        <v/>
      </c>
      <c r="AV461" s="257">
        <f>IF(AV$7="Actual","",IFERROR((INDEX($M461:$Q461,,MATCH(AV$4,$M$4:$Q$4,0))/12),0))</f>
        <v/>
      </c>
      <c r="AW461" s="257">
        <f>IF(AW$7="Actual","",IFERROR((INDEX($M461:$Q461,,MATCH(AW$4,$M$4:$Q$4,0))/12),0))</f>
        <v/>
      </c>
      <c r="AX461" s="257">
        <f>IF(AX$7="Actual","",IFERROR((INDEX($M461:$Q461,,MATCH(AX$4,$M$4:$Q$4,0))/12),0))</f>
        <v/>
      </c>
      <c r="AY461" s="257">
        <f>IF(AY$7="Actual","",IFERROR((INDEX($M461:$Q461,,MATCH(AY$4,$M$4:$Q$4,0))/12),0))</f>
        <v/>
      </c>
      <c r="AZ461" s="257">
        <f>IF(AZ$7="Actual","",IFERROR((INDEX($M461:$Q461,,MATCH(AZ$4,$M$4:$Q$4,0))/12),0))</f>
        <v/>
      </c>
      <c r="BA461" s="257">
        <f>IF(BA$7="Actual","",IFERROR((INDEX($M461:$Q461,,MATCH(BA$4,$M$4:$Q$4,0))/12),0))</f>
        <v/>
      </c>
      <c r="BB461" s="257">
        <f>IF(BB$7="Actual","",IFERROR((INDEX($M461:$Q461,,MATCH(BB$4,$M$4:$Q$4,0))/12),0))</f>
        <v/>
      </c>
      <c r="BC461" s="257">
        <f>IF(BC$7="Actual","",IFERROR((INDEX($M461:$Q461,,MATCH(BC$4,$M$4:$Q$4,0))/12),0))</f>
        <v/>
      </c>
      <c r="BD461" s="257">
        <f>IF(BD$7="Actual","",IFERROR((INDEX($M461:$Q461,,MATCH(BD$4,$M$4:$Q$4,0))/12),0))</f>
        <v/>
      </c>
      <c r="BE461" s="257">
        <f>IF(BE$7="Actual","",IFERROR((INDEX($M461:$Q461,,MATCH(BE$4,$M$4:$Q$4,0))/12),0))</f>
        <v/>
      </c>
      <c r="BF461" s="257">
        <f>IF(BF$7="Actual","",IFERROR((INDEX($M461:$Q461,,MATCH(BF$4,$M$4:$Q$4,0))/12),0))</f>
        <v/>
      </c>
      <c r="BG461" s="257">
        <f>IF(BG$7="Actual","",IFERROR((INDEX($M461:$Q461,,MATCH(BG$4,$M$4:$Q$4,0))/12),0))</f>
        <v/>
      </c>
      <c r="BH461" s="257">
        <f>IF(BH$7="Actual","",IFERROR((INDEX($M461:$Q461,,MATCH(BH$4,$M$4:$Q$4,0))/12),0))</f>
        <v/>
      </c>
      <c r="BI461" s="257">
        <f>IF(BI$7="Actual","",IFERROR((INDEX($M461:$Q461,,MATCH(BI$4,$M$4:$Q$4,0))/12),0))</f>
        <v/>
      </c>
      <c r="BJ461" s="257">
        <f>IF(BJ$7="Actual","",IFERROR((INDEX($M461:$Q461,,MATCH(BJ$4,$M$4:$Q$4,0))/12),0))</f>
        <v/>
      </c>
      <c r="BK461" s="257">
        <f>IF(BK$7="Actual","",IFERROR((INDEX($M461:$Q461,,MATCH(BK$4,$M$4:$Q$4,0))/12),0))</f>
        <v/>
      </c>
      <c r="BL461" s="257">
        <f>IF(BL$7="Actual","",IFERROR((INDEX($M461:$Q461,,MATCH(BL$4,$M$4:$Q$4,0))/12),0))</f>
        <v/>
      </c>
      <c r="BM461" s="257">
        <f>IF(BM$7="Actual","",IFERROR((INDEX($M461:$Q461,,MATCH(BM$4,$M$4:$Q$4,0))/12),0))</f>
        <v/>
      </c>
      <c r="BN461" s="257">
        <f>IF(BN$7="Actual","",IFERROR((INDEX($M461:$Q461,,MATCH(BN$4,$M$4:$Q$4,0))/12),0))</f>
        <v/>
      </c>
      <c r="BO461" s="257">
        <f>IF(BO$7="Actual","",IFERROR((INDEX($M461:$Q461,,MATCH(BO$4,$M$4:$Q$4,0))/12),0))</f>
        <v/>
      </c>
      <c r="BP461" s="257">
        <f>IF(BP$7="Actual","",IFERROR((INDEX($M461:$Q461,,MATCH(BP$4,$M$4:$Q$4,0))/12),0))</f>
        <v/>
      </c>
      <c r="BQ461" s="257">
        <f>IF(BQ$7="Actual","",IFERROR((INDEX($M461:$Q461,,MATCH(BQ$4,$M$4:$Q$4,0))/12),0))</f>
        <v/>
      </c>
      <c r="BR461" s="257">
        <f>IF(BR$7="Actual","",IFERROR((INDEX($M461:$Q461,,MATCH(BR$4,$M$4:$Q$4,0))/12),0))</f>
        <v/>
      </c>
      <c r="BS461" s="257">
        <f>IF(BS$7="Actual","",IFERROR((INDEX($M461:$Q461,,MATCH(BS$4,$M$4:$Q$4,0))/12),0))</f>
        <v/>
      </c>
      <c r="BT461" s="257">
        <f>IF(BT$7="Actual","",IFERROR((INDEX($M461:$Q461,,MATCH(BT$4,$M$4:$Q$4,0))/12),0))</f>
        <v/>
      </c>
      <c r="BU461" s="257">
        <f>IF(BU$7="Actual","",IFERROR((INDEX($M461:$Q461,,MATCH(BU$4,$M$4:$Q$4,0))/12),0))</f>
        <v/>
      </c>
      <c r="BV461" s="257">
        <f>IF(BV$7="Actual","",IFERROR((INDEX($M461:$Q461,,MATCH(BV$4,$M$4:$Q$4,0))/12),0))</f>
        <v/>
      </c>
      <c r="BW461" s="257">
        <f>IF(BW$7="Actual","",IFERROR((INDEX($M461:$Q461,,MATCH(BW$4,$M$4:$Q$4,0))/12),0))</f>
        <v/>
      </c>
      <c r="BX461" s="257">
        <f>IF(BX$7="Actual","",IFERROR((INDEX($M461:$Q461,,MATCH(BX$4,$M$4:$Q$4,0))/12),0))</f>
        <v/>
      </c>
      <c r="BY461" s="257">
        <f>IF(BY$7="Actual","",IFERROR((INDEX($M461:$Q461,,MATCH(BY$4,$M$4:$Q$4,0))/12),0))</f>
        <v/>
      </c>
      <c r="BZ461" s="257">
        <f>IF(BZ$7="Actual","",IFERROR((INDEX($M461:$Q461,,MATCH(BZ$4,$M$4:$Q$4,0))/12),0))</f>
        <v/>
      </c>
      <c r="CA461" s="257">
        <f>IF(CA$7="Actual","",IFERROR((INDEX($M461:$Q461,,MATCH(CA$4,$M$4:$Q$4,0))/12),0))</f>
        <v/>
      </c>
    </row>
    <row r="462" ht="12" customHeight="1" s="227">
      <c r="A462" s="244" t="n"/>
      <c r="B462" s="244" t="n"/>
      <c r="C462" s="244" t="n"/>
      <c r="K462" s="6" t="n"/>
    </row>
    <row r="463" ht="12" customHeight="1" s="227">
      <c r="A463" s="244" t="n"/>
      <c r="B463" s="244" t="n"/>
      <c r="C463" s="244" t="n"/>
      <c r="K463" s="6" t="n"/>
    </row>
    <row r="464" ht="12" customHeight="1" s="227">
      <c r="A464" s="244" t="n"/>
      <c r="B464" s="244" t="n"/>
      <c r="C464" s="244" t="n"/>
      <c r="G464" s="222" t="inlineStr">
        <is>
          <t>Average Employer's Social Security as a % of Salary</t>
        </is>
      </c>
      <c r="K464" s="6" t="n"/>
    </row>
    <row r="465" ht="12" customHeight="1" s="227">
      <c r="A465" s="244" t="n"/>
      <c r="B465" s="244" t="n"/>
      <c r="C465" s="244" t="n"/>
      <c r="K465" s="6" t="n"/>
    </row>
    <row r="466" ht="12" customHeight="1" s="227">
      <c r="A466" s="244" t="n"/>
      <c r="B466" s="244" t="n"/>
      <c r="C466" s="244" t="n"/>
      <c r="H466" s="4">
        <f>H454</f>
        <v/>
      </c>
      <c r="I466" s="27" t="inlineStr">
        <is>
          <t>%</t>
        </is>
      </c>
      <c r="K466" s="265">
        <f>i_Assumptions!K533</f>
        <v/>
      </c>
    </row>
    <row r="467" ht="12" customHeight="1" s="227">
      <c r="A467" s="244" t="n"/>
      <c r="B467" s="244" t="n"/>
      <c r="C467" s="244" t="n"/>
      <c r="H467" s="4">
        <f>H455</f>
        <v/>
      </c>
      <c r="I467" s="27" t="inlineStr">
        <is>
          <t>%</t>
        </is>
      </c>
      <c r="K467" s="265">
        <f>i_Assumptions!K534</f>
        <v/>
      </c>
    </row>
    <row r="468" ht="12" customHeight="1" s="227">
      <c r="A468" s="244" t="n"/>
      <c r="B468" s="244" t="n"/>
      <c r="C468" s="244" t="n"/>
      <c r="H468" s="4">
        <f>H456</f>
        <v/>
      </c>
      <c r="I468" s="27" t="inlineStr">
        <is>
          <t>%</t>
        </is>
      </c>
      <c r="K468" s="265">
        <f>i_Assumptions!K535</f>
        <v/>
      </c>
    </row>
    <row r="469" ht="12" customHeight="1" s="227">
      <c r="A469" s="244" t="n"/>
      <c r="B469" s="244" t="n"/>
      <c r="C469" s="244" t="n"/>
      <c r="H469" s="4">
        <f>H457</f>
        <v/>
      </c>
      <c r="I469" s="27" t="inlineStr">
        <is>
          <t>%</t>
        </is>
      </c>
      <c r="K469" s="265">
        <f>i_Assumptions!K536</f>
        <v/>
      </c>
    </row>
    <row r="470" ht="12" customHeight="1" s="227">
      <c r="A470" s="244" t="n"/>
      <c r="B470" s="244" t="n"/>
      <c r="C470" s="244" t="n"/>
      <c r="H470" s="4">
        <f>H458</f>
        <v/>
      </c>
      <c r="I470" s="27" t="inlineStr">
        <is>
          <t>%</t>
        </is>
      </c>
      <c r="K470" s="265">
        <f>i_Assumptions!K537</f>
        <v/>
      </c>
    </row>
    <row r="471" ht="12" customHeight="1" s="227">
      <c r="A471" s="244" t="n"/>
      <c r="B471" s="244" t="n"/>
      <c r="C471" s="244" t="n"/>
      <c r="H471" s="4">
        <f>H459</f>
        <v/>
      </c>
      <c r="I471" s="27" t="inlineStr">
        <is>
          <t>%</t>
        </is>
      </c>
      <c r="K471" s="265">
        <f>i_Assumptions!K538</f>
        <v/>
      </c>
    </row>
    <row r="472" ht="12" customHeight="1" s="227">
      <c r="A472" s="244" t="n"/>
      <c r="B472" s="244" t="n"/>
      <c r="C472" s="244" t="n"/>
      <c r="H472" s="4">
        <f>H460</f>
        <v/>
      </c>
      <c r="I472" s="27" t="inlineStr">
        <is>
          <t>%</t>
        </is>
      </c>
      <c r="K472" s="265">
        <f>i_Assumptions!K539</f>
        <v/>
      </c>
    </row>
    <row r="473" ht="12" customHeight="1" s="227">
      <c r="A473" s="244" t="n"/>
      <c r="B473" s="244" t="n"/>
      <c r="C473" s="244" t="n"/>
      <c r="H473" s="4">
        <f>H461</f>
        <v/>
      </c>
      <c r="I473" s="27" t="inlineStr">
        <is>
          <t>%</t>
        </is>
      </c>
      <c r="K473" s="265">
        <f>i_Assumptions!K540</f>
        <v/>
      </c>
    </row>
    <row r="474" ht="12" customHeight="1" s="227">
      <c r="A474" s="244" t="n"/>
      <c r="B474" s="244" t="n"/>
      <c r="C474" s="244" t="n"/>
      <c r="K474" s="6" t="n"/>
    </row>
    <row r="475" ht="12" customHeight="1" s="227">
      <c r="A475" s="244" t="n"/>
      <c r="B475" s="244" t="n"/>
      <c r="C475" s="244" t="n"/>
      <c r="K475" s="6" t="n"/>
    </row>
    <row r="476" ht="12" customHeight="1" s="227">
      <c r="A476" s="244" t="n"/>
      <c r="B476" s="244" t="n"/>
      <c r="C476" s="244" t="n"/>
      <c r="G476" s="222" t="inlineStr">
        <is>
          <t>Bonus Payment Flag</t>
        </is>
      </c>
      <c r="K476" s="6" t="n"/>
    </row>
    <row r="477" ht="12" customHeight="1" s="227">
      <c r="A477" s="244" t="n"/>
      <c r="B477" s="244" t="n"/>
      <c r="C477" s="244" t="n"/>
      <c r="K477" s="6" t="n"/>
    </row>
    <row r="478" ht="12" customHeight="1" s="227">
      <c r="A478" s="244" t="n"/>
      <c r="B478" s="244" t="n"/>
      <c r="C478" s="244" t="n"/>
      <c r="H478" s="4" t="inlineStr">
        <is>
          <t>Bonus Payment Flag</t>
        </is>
      </c>
      <c r="I478" s="27" t="inlineStr">
        <is>
          <t>no.</t>
        </is>
      </c>
      <c r="K478" s="6" t="n"/>
      <c r="M478" s="245">
        <f>SUMIF($T$4:$CA$4,M$4,$T478:$CA478)</f>
        <v/>
      </c>
      <c r="N478" s="245">
        <f>SUMIF($T$4:$CA$4,N$4,$T478:$CA478)</f>
        <v/>
      </c>
      <c r="O478" s="245">
        <f>SUMIF($T$4:$CA$4,O$4,$T478:$CA478)</f>
        <v/>
      </c>
      <c r="P478" s="245">
        <f>SUMIF($T$4:$CA$4,P$4,$T478:$CA478)</f>
        <v/>
      </c>
      <c r="Q478" s="245">
        <f>SUMIF($T$4:$CA$4,Q$4,$T478:$CA478)</f>
        <v/>
      </c>
      <c r="T478" s="245">
        <f>HLOOKUP(c_Calculations!T$5,i_Assumptions!$T$556:$AE$557,2,FALSE)</f>
        <v/>
      </c>
      <c r="U478" s="245">
        <f>HLOOKUP(c_Calculations!U$5,i_Assumptions!$T$556:$AE$557,2,FALSE)</f>
        <v/>
      </c>
      <c r="V478" s="245">
        <f>HLOOKUP(c_Calculations!V$5,i_Assumptions!$T$556:$AE$557,2,FALSE)</f>
        <v/>
      </c>
      <c r="W478" s="245">
        <f>HLOOKUP(c_Calculations!W$5,i_Assumptions!$T$556:$AE$557,2,FALSE)</f>
        <v/>
      </c>
      <c r="X478" s="245">
        <f>HLOOKUP(c_Calculations!X$5,i_Assumptions!$T$556:$AE$557,2,FALSE)</f>
        <v/>
      </c>
      <c r="Y478" s="245">
        <f>HLOOKUP(c_Calculations!Y$5,i_Assumptions!$T$556:$AE$557,2,FALSE)</f>
        <v/>
      </c>
      <c r="Z478" s="245">
        <f>HLOOKUP(c_Calculations!Z$5,i_Assumptions!$T$556:$AE$557,2,FALSE)</f>
        <v/>
      </c>
      <c r="AA478" s="245">
        <f>HLOOKUP(c_Calculations!AA$5,i_Assumptions!$T$556:$AE$557,2,FALSE)</f>
        <v/>
      </c>
      <c r="AB478" s="245">
        <f>HLOOKUP(c_Calculations!AB$5,i_Assumptions!$T$556:$AE$557,2,FALSE)</f>
        <v/>
      </c>
      <c r="AC478" s="245">
        <f>HLOOKUP(c_Calculations!AC$5,i_Assumptions!$T$556:$AE$557,2,FALSE)</f>
        <v/>
      </c>
      <c r="AD478" s="245">
        <f>HLOOKUP(c_Calculations!AD$5,i_Assumptions!$T$556:$AE$557,2,FALSE)</f>
        <v/>
      </c>
      <c r="AE478" s="245">
        <f>HLOOKUP(c_Calculations!AE$5,i_Assumptions!$T$556:$AE$557,2,FALSE)</f>
        <v/>
      </c>
      <c r="AF478" s="245">
        <f>HLOOKUP(c_Calculations!AF$5,i_Assumptions!$T$556:$AE$557,2,FALSE)</f>
        <v/>
      </c>
      <c r="AG478" s="245">
        <f>HLOOKUP(c_Calculations!AG$5,i_Assumptions!$T$556:$AE$557,2,FALSE)</f>
        <v/>
      </c>
      <c r="AH478" s="245">
        <f>HLOOKUP(c_Calculations!AH$5,i_Assumptions!$T$556:$AE$557,2,FALSE)</f>
        <v/>
      </c>
      <c r="AI478" s="245">
        <f>HLOOKUP(c_Calculations!AI$5,i_Assumptions!$T$556:$AE$557,2,FALSE)</f>
        <v/>
      </c>
      <c r="AJ478" s="245">
        <f>HLOOKUP(c_Calculations!AJ$5,i_Assumptions!$T$556:$AE$557,2,FALSE)</f>
        <v/>
      </c>
      <c r="AK478" s="245">
        <f>HLOOKUP(c_Calculations!AK$5,i_Assumptions!$T$556:$AE$557,2,FALSE)</f>
        <v/>
      </c>
      <c r="AL478" s="245">
        <f>HLOOKUP(c_Calculations!AL$5,i_Assumptions!$T$556:$AE$557,2,FALSE)</f>
        <v/>
      </c>
      <c r="AM478" s="245">
        <f>HLOOKUP(c_Calculations!AM$5,i_Assumptions!$T$556:$AE$557,2,FALSE)</f>
        <v/>
      </c>
      <c r="AN478" s="245">
        <f>HLOOKUP(c_Calculations!AN$5,i_Assumptions!$T$556:$AE$557,2,FALSE)</f>
        <v/>
      </c>
      <c r="AO478" s="245">
        <f>HLOOKUP(c_Calculations!AO$5,i_Assumptions!$T$556:$AE$557,2,FALSE)</f>
        <v/>
      </c>
      <c r="AP478" s="245">
        <f>HLOOKUP(c_Calculations!AP$5,i_Assumptions!$T$556:$AE$557,2,FALSE)</f>
        <v/>
      </c>
      <c r="AQ478" s="245">
        <f>HLOOKUP(c_Calculations!AQ$5,i_Assumptions!$T$556:$AE$557,2,FALSE)</f>
        <v/>
      </c>
      <c r="AR478" s="245">
        <f>HLOOKUP(c_Calculations!AR$5,i_Assumptions!$T$556:$AE$557,2,FALSE)</f>
        <v/>
      </c>
      <c r="AS478" s="245">
        <f>HLOOKUP(c_Calculations!AS$5,i_Assumptions!$T$556:$AE$557,2,FALSE)</f>
        <v/>
      </c>
      <c r="AT478" s="245">
        <f>HLOOKUP(c_Calculations!AT$5,i_Assumptions!$T$556:$AE$557,2,FALSE)</f>
        <v/>
      </c>
      <c r="AU478" s="245">
        <f>HLOOKUP(c_Calculations!AU$5,i_Assumptions!$T$556:$AE$557,2,FALSE)</f>
        <v/>
      </c>
      <c r="AV478" s="245">
        <f>HLOOKUP(c_Calculations!AV$5,i_Assumptions!$T$556:$AE$557,2,FALSE)</f>
        <v/>
      </c>
      <c r="AW478" s="245">
        <f>HLOOKUP(c_Calculations!AW$5,i_Assumptions!$T$556:$AE$557,2,FALSE)</f>
        <v/>
      </c>
      <c r="AX478" s="245">
        <f>HLOOKUP(c_Calculations!AX$5,i_Assumptions!$T$556:$AE$557,2,FALSE)</f>
        <v/>
      </c>
      <c r="AY478" s="245">
        <f>HLOOKUP(c_Calculations!AY$5,i_Assumptions!$T$556:$AE$557,2,FALSE)</f>
        <v/>
      </c>
      <c r="AZ478" s="245">
        <f>HLOOKUP(c_Calculations!AZ$5,i_Assumptions!$T$556:$AE$557,2,FALSE)</f>
        <v/>
      </c>
      <c r="BA478" s="245">
        <f>HLOOKUP(c_Calculations!BA$5,i_Assumptions!$T$556:$AE$557,2,FALSE)</f>
        <v/>
      </c>
      <c r="BB478" s="245">
        <f>HLOOKUP(c_Calculations!BB$5,i_Assumptions!$T$556:$AE$557,2,FALSE)</f>
        <v/>
      </c>
      <c r="BC478" s="245">
        <f>HLOOKUP(c_Calculations!BC$5,i_Assumptions!$T$556:$AE$557,2,FALSE)</f>
        <v/>
      </c>
      <c r="BD478" s="245">
        <f>HLOOKUP(c_Calculations!BD$5,i_Assumptions!$T$556:$AE$557,2,FALSE)</f>
        <v/>
      </c>
      <c r="BE478" s="245">
        <f>HLOOKUP(c_Calculations!BE$5,i_Assumptions!$T$556:$AE$557,2,FALSE)</f>
        <v/>
      </c>
      <c r="BF478" s="245">
        <f>HLOOKUP(c_Calculations!BF$5,i_Assumptions!$T$556:$AE$557,2,FALSE)</f>
        <v/>
      </c>
      <c r="BG478" s="245">
        <f>HLOOKUP(c_Calculations!BG$5,i_Assumptions!$T$556:$AE$557,2,FALSE)</f>
        <v/>
      </c>
      <c r="BH478" s="245">
        <f>HLOOKUP(c_Calculations!BH$5,i_Assumptions!$T$556:$AE$557,2,FALSE)</f>
        <v/>
      </c>
      <c r="BI478" s="245">
        <f>HLOOKUP(c_Calculations!BI$5,i_Assumptions!$T$556:$AE$557,2,FALSE)</f>
        <v/>
      </c>
      <c r="BJ478" s="245">
        <f>HLOOKUP(c_Calculations!BJ$5,i_Assumptions!$T$556:$AE$557,2,FALSE)</f>
        <v/>
      </c>
      <c r="BK478" s="245">
        <f>HLOOKUP(c_Calculations!BK$5,i_Assumptions!$T$556:$AE$557,2,FALSE)</f>
        <v/>
      </c>
      <c r="BL478" s="245">
        <f>HLOOKUP(c_Calculations!BL$5,i_Assumptions!$T$556:$AE$557,2,FALSE)</f>
        <v/>
      </c>
      <c r="BM478" s="245">
        <f>HLOOKUP(c_Calculations!BM$5,i_Assumptions!$T$556:$AE$557,2,FALSE)</f>
        <v/>
      </c>
      <c r="BN478" s="245">
        <f>HLOOKUP(c_Calculations!BN$5,i_Assumptions!$T$556:$AE$557,2,FALSE)</f>
        <v/>
      </c>
      <c r="BO478" s="245">
        <f>HLOOKUP(c_Calculations!BO$5,i_Assumptions!$T$556:$AE$557,2,FALSE)</f>
        <v/>
      </c>
      <c r="BP478" s="245">
        <f>HLOOKUP(c_Calculations!BP$5,i_Assumptions!$T$556:$AE$557,2,FALSE)</f>
        <v/>
      </c>
      <c r="BQ478" s="245">
        <f>HLOOKUP(c_Calculations!BQ$5,i_Assumptions!$T$556:$AE$557,2,FALSE)</f>
        <v/>
      </c>
      <c r="BR478" s="245">
        <f>HLOOKUP(c_Calculations!BR$5,i_Assumptions!$T$556:$AE$557,2,FALSE)</f>
        <v/>
      </c>
      <c r="BS478" s="245">
        <f>HLOOKUP(c_Calculations!BS$5,i_Assumptions!$T$556:$AE$557,2,FALSE)</f>
        <v/>
      </c>
      <c r="BT478" s="245">
        <f>HLOOKUP(c_Calculations!BT$5,i_Assumptions!$T$556:$AE$557,2,FALSE)</f>
        <v/>
      </c>
      <c r="BU478" s="245">
        <f>HLOOKUP(c_Calculations!BU$5,i_Assumptions!$T$556:$AE$557,2,FALSE)</f>
        <v/>
      </c>
      <c r="BV478" s="245">
        <f>HLOOKUP(c_Calculations!BV$5,i_Assumptions!$T$556:$AE$557,2,FALSE)</f>
        <v/>
      </c>
      <c r="BW478" s="245">
        <f>HLOOKUP(c_Calculations!BW$5,i_Assumptions!$T$556:$AE$557,2,FALSE)</f>
        <v/>
      </c>
      <c r="BX478" s="245">
        <f>HLOOKUP(c_Calculations!BX$5,i_Assumptions!$T$556:$AE$557,2,FALSE)</f>
        <v/>
      </c>
      <c r="BY478" s="245">
        <f>HLOOKUP(c_Calculations!BY$5,i_Assumptions!$T$556:$AE$557,2,FALSE)</f>
        <v/>
      </c>
      <c r="BZ478" s="245">
        <f>HLOOKUP(c_Calculations!BZ$5,i_Assumptions!$T$556:$AE$557,2,FALSE)</f>
        <v/>
      </c>
      <c r="CA478" s="245">
        <f>HLOOKUP(c_Calculations!CA$5,i_Assumptions!$T$556:$AE$557,2,FALSE)</f>
        <v/>
      </c>
    </row>
    <row r="479" ht="12" customHeight="1" s="227">
      <c r="A479" s="244" t="n"/>
      <c r="B479" s="244" t="n"/>
      <c r="C479" s="244" t="n"/>
      <c r="K479" s="6" t="n"/>
    </row>
    <row r="480" ht="12" customHeight="1" s="227">
      <c r="A480" s="244" t="n"/>
      <c r="B480" s="244" t="n"/>
      <c r="C480" s="244" t="n"/>
      <c r="K480" s="6" t="n"/>
    </row>
    <row r="481" ht="12" customHeight="1" s="227">
      <c r="A481" s="244" t="n"/>
      <c r="B481" s="244" t="n"/>
      <c r="C481" s="244" t="n"/>
      <c r="G481" s="222" t="inlineStr">
        <is>
          <t>Bonus Percentage per Bonus Month</t>
        </is>
      </c>
      <c r="K481" s="6" t="n"/>
    </row>
    <row r="482" ht="12" customHeight="1" s="227">
      <c r="A482" s="244" t="n"/>
      <c r="B482" s="244" t="n"/>
      <c r="C482" s="244" t="n"/>
      <c r="K482" s="6" t="n"/>
    </row>
    <row r="483" ht="12" customHeight="1" s="227">
      <c r="A483" s="244" t="n"/>
      <c r="B483" s="244" t="n"/>
      <c r="C483" s="244" t="n"/>
      <c r="H483" s="4">
        <f>H466</f>
        <v/>
      </c>
      <c r="I483" s="27" t="inlineStr">
        <is>
          <t>%</t>
        </is>
      </c>
      <c r="K483" s="6" t="n"/>
      <c r="M483" s="265">
        <f>IF(M$7="Actual","",i_Assumptions!M545)</f>
        <v/>
      </c>
      <c r="N483" s="265">
        <f>IF(N$7="Actual","",i_Assumptions!N545)</f>
        <v/>
      </c>
      <c r="O483" s="265">
        <f>IF(O$7="Actual","",i_Assumptions!O545)</f>
        <v/>
      </c>
      <c r="P483" s="265">
        <f>IF(P$7="Actual","",i_Assumptions!P545)</f>
        <v/>
      </c>
      <c r="Q483" s="265">
        <f>IF(Q$7="Actual","",i_Assumptions!Q545)</f>
        <v/>
      </c>
      <c r="T483" s="265">
        <f>IF(T$7="Actual","",IF(T$478=0,0,INDEX($M483:$Q483,,MATCH(T$4,$M$4:$Q$4,0))/INDEX($M$478:$Q$478,,MATCH(T$4,$M$4:$Q$4,0))))</f>
        <v/>
      </c>
      <c r="U483" s="265">
        <f>IF(U$7="Actual","",IF(U$478=0,0,INDEX($M483:$Q483,,MATCH(U$4,$M$4:$Q$4,0))/INDEX($M$478:$Q$478,,MATCH(U$4,$M$4:$Q$4,0))))</f>
        <v/>
      </c>
      <c r="V483" s="265">
        <f>IF(V$7="Actual","",IF(V$478=0,0,INDEX($M483:$Q483,,MATCH(V$4,$M$4:$Q$4,0))/INDEX($M$478:$Q$478,,MATCH(V$4,$M$4:$Q$4,0))))</f>
        <v/>
      </c>
      <c r="W483" s="265">
        <f>IF(W$7="Actual","",IF(W$478=0,0,INDEX($M483:$Q483,,MATCH(W$4,$M$4:$Q$4,0))/INDEX($M$478:$Q$478,,MATCH(W$4,$M$4:$Q$4,0))))</f>
        <v/>
      </c>
      <c r="X483" s="265">
        <f>IF(X$7="Actual","",IF(X$478=0,0,INDEX($M483:$Q483,,MATCH(X$4,$M$4:$Q$4,0))/INDEX($M$478:$Q$478,,MATCH(X$4,$M$4:$Q$4,0))))</f>
        <v/>
      </c>
      <c r="Y483" s="265">
        <f>IF(Y$7="Actual","",IF(Y$478=0,0,INDEX($M483:$Q483,,MATCH(Y$4,$M$4:$Q$4,0))/INDEX($M$478:$Q$478,,MATCH(Y$4,$M$4:$Q$4,0))))</f>
        <v/>
      </c>
      <c r="Z483" s="265">
        <f>IF(Z$7="Actual","",IF(Z$478=0,0,INDEX($M483:$Q483,,MATCH(Z$4,$M$4:$Q$4,0))/INDEX($M$478:$Q$478,,MATCH(Z$4,$M$4:$Q$4,0))))</f>
        <v/>
      </c>
      <c r="AA483" s="265">
        <f>IF(AA$7="Actual","",IF(AA$478=0,0,INDEX($M483:$Q483,,MATCH(AA$4,$M$4:$Q$4,0))/INDEX($M$478:$Q$478,,MATCH(AA$4,$M$4:$Q$4,0))))</f>
        <v/>
      </c>
      <c r="AB483" s="265">
        <f>IF(AB$7="Actual","",IF(AB$478=0,0,INDEX($M483:$Q483,,MATCH(AB$4,$M$4:$Q$4,0))/INDEX($M$478:$Q$478,,MATCH(AB$4,$M$4:$Q$4,0))))</f>
        <v/>
      </c>
      <c r="AC483" s="265">
        <f>IF(AC$7="Actual","",IF(AC$478=0,0,INDEX($M483:$Q483,,MATCH(AC$4,$M$4:$Q$4,0))/INDEX($M$478:$Q$478,,MATCH(AC$4,$M$4:$Q$4,0))))</f>
        <v/>
      </c>
      <c r="AD483" s="265">
        <f>IF(AD$7="Actual","",IF(AD$478=0,0,INDEX($M483:$Q483,,MATCH(AD$4,$M$4:$Q$4,0))/INDEX($M$478:$Q$478,,MATCH(AD$4,$M$4:$Q$4,0))))</f>
        <v/>
      </c>
      <c r="AE483" s="265">
        <f>IF(AE$7="Actual","",IF(AE$478=0,0,INDEX($M483:$Q483,,MATCH(AE$4,$M$4:$Q$4,0))/INDEX($M$478:$Q$478,,MATCH(AE$4,$M$4:$Q$4,0))))</f>
        <v/>
      </c>
      <c r="AF483" s="265">
        <f>IF(AF$7="Actual","",IF(AF$478=0,0,INDEX($M483:$Q483,,MATCH(AF$4,$M$4:$Q$4,0))/INDEX($M$478:$Q$478,,MATCH(AF$4,$M$4:$Q$4,0))))</f>
        <v/>
      </c>
      <c r="AG483" s="265">
        <f>IF(AG$7="Actual","",IF(AG$478=0,0,INDEX($M483:$Q483,,MATCH(AG$4,$M$4:$Q$4,0))/INDEX($M$478:$Q$478,,MATCH(AG$4,$M$4:$Q$4,0))))</f>
        <v/>
      </c>
      <c r="AH483" s="265">
        <f>IF(AH$7="Actual","",IF(AH$478=0,0,INDEX($M483:$Q483,,MATCH(AH$4,$M$4:$Q$4,0))/INDEX($M$478:$Q$478,,MATCH(AH$4,$M$4:$Q$4,0))))</f>
        <v/>
      </c>
      <c r="AI483" s="265">
        <f>IF(AI$7="Actual","",IF(AI$478=0,0,INDEX($M483:$Q483,,MATCH(AI$4,$M$4:$Q$4,0))/INDEX($M$478:$Q$478,,MATCH(AI$4,$M$4:$Q$4,0))))</f>
        <v/>
      </c>
      <c r="AJ483" s="265">
        <f>IF(AJ$7="Actual","",IF(AJ$478=0,0,INDEX($M483:$Q483,,MATCH(AJ$4,$M$4:$Q$4,0))/INDEX($M$478:$Q$478,,MATCH(AJ$4,$M$4:$Q$4,0))))</f>
        <v/>
      </c>
      <c r="AK483" s="265">
        <f>IF(AK$7="Actual","",IF(AK$478=0,0,INDEX($M483:$Q483,,MATCH(AK$4,$M$4:$Q$4,0))/INDEX($M$478:$Q$478,,MATCH(AK$4,$M$4:$Q$4,0))))</f>
        <v/>
      </c>
      <c r="AL483" s="265">
        <f>IF(AL$7="Actual","",IF(AL$478=0,0,INDEX($M483:$Q483,,MATCH(AL$4,$M$4:$Q$4,0))/INDEX($M$478:$Q$478,,MATCH(AL$4,$M$4:$Q$4,0))))</f>
        <v/>
      </c>
      <c r="AM483" s="265">
        <f>IF(AM$7="Actual","",IF(AM$478=0,0,INDEX($M483:$Q483,,MATCH(AM$4,$M$4:$Q$4,0))/INDEX($M$478:$Q$478,,MATCH(AM$4,$M$4:$Q$4,0))))</f>
        <v/>
      </c>
      <c r="AN483" s="265">
        <f>IF(AN$7="Actual","",IF(AN$478=0,0,INDEX($M483:$Q483,,MATCH(AN$4,$M$4:$Q$4,0))/INDEX($M$478:$Q$478,,MATCH(AN$4,$M$4:$Q$4,0))))</f>
        <v/>
      </c>
      <c r="AO483" s="265">
        <f>IF(AO$7="Actual","",IF(AO$478=0,0,INDEX($M483:$Q483,,MATCH(AO$4,$M$4:$Q$4,0))/INDEX($M$478:$Q$478,,MATCH(AO$4,$M$4:$Q$4,0))))</f>
        <v/>
      </c>
      <c r="AP483" s="265">
        <f>IF(AP$7="Actual","",IF(AP$478=0,0,INDEX($M483:$Q483,,MATCH(AP$4,$M$4:$Q$4,0))/INDEX($M$478:$Q$478,,MATCH(AP$4,$M$4:$Q$4,0))))</f>
        <v/>
      </c>
      <c r="AQ483" s="265">
        <f>IF(AQ$7="Actual","",IF(AQ$478=0,0,INDEX($M483:$Q483,,MATCH(AQ$4,$M$4:$Q$4,0))/INDEX($M$478:$Q$478,,MATCH(AQ$4,$M$4:$Q$4,0))))</f>
        <v/>
      </c>
      <c r="AR483" s="265">
        <f>IF(AR$7="Actual","",IF(AR$478=0,0,INDEX($M483:$Q483,,MATCH(AR$4,$M$4:$Q$4,0))/INDEX($M$478:$Q$478,,MATCH(AR$4,$M$4:$Q$4,0))))</f>
        <v/>
      </c>
      <c r="AS483" s="265">
        <f>IF(AS$7="Actual","",IF(AS$478=0,0,INDEX($M483:$Q483,,MATCH(AS$4,$M$4:$Q$4,0))/INDEX($M$478:$Q$478,,MATCH(AS$4,$M$4:$Q$4,0))))</f>
        <v/>
      </c>
      <c r="AT483" s="265">
        <f>IF(AT$7="Actual","",IF(AT$478=0,0,INDEX($M483:$Q483,,MATCH(AT$4,$M$4:$Q$4,0))/INDEX($M$478:$Q$478,,MATCH(AT$4,$M$4:$Q$4,0))))</f>
        <v/>
      </c>
      <c r="AU483" s="265">
        <f>IF(AU$7="Actual","",IF(AU$478=0,0,INDEX($M483:$Q483,,MATCH(AU$4,$M$4:$Q$4,0))/INDEX($M$478:$Q$478,,MATCH(AU$4,$M$4:$Q$4,0))))</f>
        <v/>
      </c>
      <c r="AV483" s="265">
        <f>IF(AV$7="Actual","",IF(AV$478=0,0,INDEX($M483:$Q483,,MATCH(AV$4,$M$4:$Q$4,0))/INDEX($M$478:$Q$478,,MATCH(AV$4,$M$4:$Q$4,0))))</f>
        <v/>
      </c>
      <c r="AW483" s="265">
        <f>IF(AW$7="Actual","",IF(AW$478=0,0,INDEX($M483:$Q483,,MATCH(AW$4,$M$4:$Q$4,0))/INDEX($M$478:$Q$478,,MATCH(AW$4,$M$4:$Q$4,0))))</f>
        <v/>
      </c>
      <c r="AX483" s="265">
        <f>IF(AX$7="Actual","",IF(AX$478=0,0,INDEX($M483:$Q483,,MATCH(AX$4,$M$4:$Q$4,0))/INDEX($M$478:$Q$478,,MATCH(AX$4,$M$4:$Q$4,0))))</f>
        <v/>
      </c>
      <c r="AY483" s="265">
        <f>IF(AY$7="Actual","",IF(AY$478=0,0,INDEX($M483:$Q483,,MATCH(AY$4,$M$4:$Q$4,0))/INDEX($M$478:$Q$478,,MATCH(AY$4,$M$4:$Q$4,0))))</f>
        <v/>
      </c>
      <c r="AZ483" s="265">
        <f>IF(AZ$7="Actual","",IF(AZ$478=0,0,INDEX($M483:$Q483,,MATCH(AZ$4,$M$4:$Q$4,0))/INDEX($M$478:$Q$478,,MATCH(AZ$4,$M$4:$Q$4,0))))</f>
        <v/>
      </c>
      <c r="BA483" s="265">
        <f>IF(BA$7="Actual","",IF(BA$478=0,0,INDEX($M483:$Q483,,MATCH(BA$4,$M$4:$Q$4,0))/INDEX($M$478:$Q$478,,MATCH(BA$4,$M$4:$Q$4,0))))</f>
        <v/>
      </c>
      <c r="BB483" s="265">
        <f>IF(BB$7="Actual","",IF(BB$478=0,0,INDEX($M483:$Q483,,MATCH(BB$4,$M$4:$Q$4,0))/INDEX($M$478:$Q$478,,MATCH(BB$4,$M$4:$Q$4,0))))</f>
        <v/>
      </c>
      <c r="BC483" s="265">
        <f>IF(BC$7="Actual","",IF(BC$478=0,0,INDEX($M483:$Q483,,MATCH(BC$4,$M$4:$Q$4,0))/INDEX($M$478:$Q$478,,MATCH(BC$4,$M$4:$Q$4,0))))</f>
        <v/>
      </c>
      <c r="BD483" s="265">
        <f>IF(BD$7="Actual","",IF(BD$478=0,0,INDEX($M483:$Q483,,MATCH(BD$4,$M$4:$Q$4,0))/INDEX($M$478:$Q$478,,MATCH(BD$4,$M$4:$Q$4,0))))</f>
        <v/>
      </c>
      <c r="BE483" s="265">
        <f>IF(BE$7="Actual","",IF(BE$478=0,0,INDEX($M483:$Q483,,MATCH(BE$4,$M$4:$Q$4,0))/INDEX($M$478:$Q$478,,MATCH(BE$4,$M$4:$Q$4,0))))</f>
        <v/>
      </c>
      <c r="BF483" s="265">
        <f>IF(BF$7="Actual","",IF(BF$478=0,0,INDEX($M483:$Q483,,MATCH(BF$4,$M$4:$Q$4,0))/INDEX($M$478:$Q$478,,MATCH(BF$4,$M$4:$Q$4,0))))</f>
        <v/>
      </c>
      <c r="BG483" s="265">
        <f>IF(BG$7="Actual","",IF(BG$478=0,0,INDEX($M483:$Q483,,MATCH(BG$4,$M$4:$Q$4,0))/INDEX($M$478:$Q$478,,MATCH(BG$4,$M$4:$Q$4,0))))</f>
        <v/>
      </c>
      <c r="BH483" s="265">
        <f>IF(BH$7="Actual","",IF(BH$478=0,0,INDEX($M483:$Q483,,MATCH(BH$4,$M$4:$Q$4,0))/INDEX($M$478:$Q$478,,MATCH(BH$4,$M$4:$Q$4,0))))</f>
        <v/>
      </c>
      <c r="BI483" s="265">
        <f>IF(BI$7="Actual","",IF(BI$478=0,0,INDEX($M483:$Q483,,MATCH(BI$4,$M$4:$Q$4,0))/INDEX($M$478:$Q$478,,MATCH(BI$4,$M$4:$Q$4,0))))</f>
        <v/>
      </c>
      <c r="BJ483" s="265">
        <f>IF(BJ$7="Actual","",IF(BJ$478=0,0,INDEX($M483:$Q483,,MATCH(BJ$4,$M$4:$Q$4,0))/INDEX($M$478:$Q$478,,MATCH(BJ$4,$M$4:$Q$4,0))))</f>
        <v/>
      </c>
      <c r="BK483" s="265">
        <f>IF(BK$7="Actual","",IF(BK$478=0,0,INDEX($M483:$Q483,,MATCH(BK$4,$M$4:$Q$4,0))/INDEX($M$478:$Q$478,,MATCH(BK$4,$M$4:$Q$4,0))))</f>
        <v/>
      </c>
      <c r="BL483" s="265">
        <f>IF(BL$7="Actual","",IF(BL$478=0,0,INDEX($M483:$Q483,,MATCH(BL$4,$M$4:$Q$4,0))/INDEX($M$478:$Q$478,,MATCH(BL$4,$M$4:$Q$4,0))))</f>
        <v/>
      </c>
      <c r="BM483" s="265">
        <f>IF(BM$7="Actual","",IF(BM$478=0,0,INDEX($M483:$Q483,,MATCH(BM$4,$M$4:$Q$4,0))/INDEX($M$478:$Q$478,,MATCH(BM$4,$M$4:$Q$4,0))))</f>
        <v/>
      </c>
      <c r="BN483" s="265">
        <f>IF(BN$7="Actual","",IF(BN$478=0,0,INDEX($M483:$Q483,,MATCH(BN$4,$M$4:$Q$4,0))/INDEX($M$478:$Q$478,,MATCH(BN$4,$M$4:$Q$4,0))))</f>
        <v/>
      </c>
      <c r="BO483" s="265">
        <f>IF(BO$7="Actual","",IF(BO$478=0,0,INDEX($M483:$Q483,,MATCH(BO$4,$M$4:$Q$4,0))/INDEX($M$478:$Q$478,,MATCH(BO$4,$M$4:$Q$4,0))))</f>
        <v/>
      </c>
      <c r="BP483" s="265">
        <f>IF(BP$7="Actual","",IF(BP$478=0,0,INDEX($M483:$Q483,,MATCH(BP$4,$M$4:$Q$4,0))/INDEX($M$478:$Q$478,,MATCH(BP$4,$M$4:$Q$4,0))))</f>
        <v/>
      </c>
      <c r="BQ483" s="265">
        <f>IF(BQ$7="Actual","",IF(BQ$478=0,0,INDEX($M483:$Q483,,MATCH(BQ$4,$M$4:$Q$4,0))/INDEX($M$478:$Q$478,,MATCH(BQ$4,$M$4:$Q$4,0))))</f>
        <v/>
      </c>
      <c r="BR483" s="265">
        <f>IF(BR$7="Actual","",IF(BR$478=0,0,INDEX($M483:$Q483,,MATCH(BR$4,$M$4:$Q$4,0))/INDEX($M$478:$Q$478,,MATCH(BR$4,$M$4:$Q$4,0))))</f>
        <v/>
      </c>
      <c r="BS483" s="265">
        <f>IF(BS$7="Actual","",IF(BS$478=0,0,INDEX($M483:$Q483,,MATCH(BS$4,$M$4:$Q$4,0))/INDEX($M$478:$Q$478,,MATCH(BS$4,$M$4:$Q$4,0))))</f>
        <v/>
      </c>
      <c r="BT483" s="265">
        <f>IF(BT$7="Actual","",IF(BT$478=0,0,INDEX($M483:$Q483,,MATCH(BT$4,$M$4:$Q$4,0))/INDEX($M$478:$Q$478,,MATCH(BT$4,$M$4:$Q$4,0))))</f>
        <v/>
      </c>
      <c r="BU483" s="265">
        <f>IF(BU$7="Actual","",IF(BU$478=0,0,INDEX($M483:$Q483,,MATCH(BU$4,$M$4:$Q$4,0))/INDEX($M$478:$Q$478,,MATCH(BU$4,$M$4:$Q$4,0))))</f>
        <v/>
      </c>
      <c r="BV483" s="265">
        <f>IF(BV$7="Actual","",IF(BV$478=0,0,INDEX($M483:$Q483,,MATCH(BV$4,$M$4:$Q$4,0))/INDEX($M$478:$Q$478,,MATCH(BV$4,$M$4:$Q$4,0))))</f>
        <v/>
      </c>
      <c r="BW483" s="265">
        <f>IF(BW$7="Actual","",IF(BW$478=0,0,INDEX($M483:$Q483,,MATCH(BW$4,$M$4:$Q$4,0))/INDEX($M$478:$Q$478,,MATCH(BW$4,$M$4:$Q$4,0))))</f>
        <v/>
      </c>
      <c r="BX483" s="265">
        <f>IF(BX$7="Actual","",IF(BX$478=0,0,INDEX($M483:$Q483,,MATCH(BX$4,$M$4:$Q$4,0))/INDEX($M$478:$Q$478,,MATCH(BX$4,$M$4:$Q$4,0))))</f>
        <v/>
      </c>
      <c r="BY483" s="265">
        <f>IF(BY$7="Actual","",IF(BY$478=0,0,INDEX($M483:$Q483,,MATCH(BY$4,$M$4:$Q$4,0))/INDEX($M$478:$Q$478,,MATCH(BY$4,$M$4:$Q$4,0))))</f>
        <v/>
      </c>
      <c r="BZ483" s="265">
        <f>IF(BZ$7="Actual","",IF(BZ$478=0,0,INDEX($M483:$Q483,,MATCH(BZ$4,$M$4:$Q$4,0))/INDEX($M$478:$Q$478,,MATCH(BZ$4,$M$4:$Q$4,0))))</f>
        <v/>
      </c>
      <c r="CA483" s="265">
        <f>IF(CA$7="Actual","",IF(CA$478=0,0,INDEX($M483:$Q483,,MATCH(CA$4,$M$4:$Q$4,0))/INDEX($M$478:$Q$478,,MATCH(CA$4,$M$4:$Q$4,0))))</f>
        <v/>
      </c>
    </row>
    <row r="484" ht="12" customHeight="1" s="227">
      <c r="A484" s="244" t="n"/>
      <c r="B484" s="244" t="n"/>
      <c r="C484" s="244" t="n"/>
      <c r="H484" s="4">
        <f>H467</f>
        <v/>
      </c>
      <c r="I484" s="27" t="inlineStr">
        <is>
          <t>%</t>
        </is>
      </c>
      <c r="K484" s="6" t="n"/>
      <c r="M484" s="265">
        <f>IF(M$7="Actual","",i_Assumptions!M546)</f>
        <v/>
      </c>
      <c r="N484" s="265">
        <f>IF(N$7="Actual","",i_Assumptions!N546)</f>
        <v/>
      </c>
      <c r="O484" s="265">
        <f>IF(O$7="Actual","",i_Assumptions!O546)</f>
        <v/>
      </c>
      <c r="P484" s="265">
        <f>IF(P$7="Actual","",i_Assumptions!P546)</f>
        <v/>
      </c>
      <c r="Q484" s="265">
        <f>IF(Q$7="Actual","",i_Assumptions!Q546)</f>
        <v/>
      </c>
      <c r="T484" s="265">
        <f>IF(T$7="Actual","",IF(T$478=0,0,INDEX($M484:$Q484,,MATCH(T$4,$M$4:$Q$4,0))/INDEX($M$478:$Q$478,,MATCH(T$4,$M$4:$Q$4,0))))</f>
        <v/>
      </c>
      <c r="U484" s="265">
        <f>IF(U$7="Actual","",IF(U$478=0,0,INDEX($M484:$Q484,,MATCH(U$4,$M$4:$Q$4,0))/INDEX($M$478:$Q$478,,MATCH(U$4,$M$4:$Q$4,0))))</f>
        <v/>
      </c>
      <c r="V484" s="265">
        <f>IF(V$7="Actual","",IF(V$478=0,0,INDEX($M484:$Q484,,MATCH(V$4,$M$4:$Q$4,0))/INDEX($M$478:$Q$478,,MATCH(V$4,$M$4:$Q$4,0))))</f>
        <v/>
      </c>
      <c r="W484" s="265">
        <f>IF(W$7="Actual","",IF(W$478=0,0,INDEX($M484:$Q484,,MATCH(W$4,$M$4:$Q$4,0))/INDEX($M$478:$Q$478,,MATCH(W$4,$M$4:$Q$4,0))))</f>
        <v/>
      </c>
      <c r="X484" s="265">
        <f>IF(X$7="Actual","",IF(X$478=0,0,INDEX($M484:$Q484,,MATCH(X$4,$M$4:$Q$4,0))/INDEX($M$478:$Q$478,,MATCH(X$4,$M$4:$Q$4,0))))</f>
        <v/>
      </c>
      <c r="Y484" s="265">
        <f>IF(Y$7="Actual","",IF(Y$478=0,0,INDEX($M484:$Q484,,MATCH(Y$4,$M$4:$Q$4,0))/INDEX($M$478:$Q$478,,MATCH(Y$4,$M$4:$Q$4,0))))</f>
        <v/>
      </c>
      <c r="Z484" s="265">
        <f>IF(Z$7="Actual","",IF(Z$478=0,0,INDEX($M484:$Q484,,MATCH(Z$4,$M$4:$Q$4,0))/INDEX($M$478:$Q$478,,MATCH(Z$4,$M$4:$Q$4,0))))</f>
        <v/>
      </c>
      <c r="AA484" s="265">
        <f>IF(AA$7="Actual","",IF(AA$478=0,0,INDEX($M484:$Q484,,MATCH(AA$4,$M$4:$Q$4,0))/INDEX($M$478:$Q$478,,MATCH(AA$4,$M$4:$Q$4,0))))</f>
        <v/>
      </c>
      <c r="AB484" s="265">
        <f>IF(AB$7="Actual","",IF(AB$478=0,0,INDEX($M484:$Q484,,MATCH(AB$4,$M$4:$Q$4,0))/INDEX($M$478:$Q$478,,MATCH(AB$4,$M$4:$Q$4,0))))</f>
        <v/>
      </c>
      <c r="AC484" s="265">
        <f>IF(AC$7="Actual","",IF(AC$478=0,0,INDEX($M484:$Q484,,MATCH(AC$4,$M$4:$Q$4,0))/INDEX($M$478:$Q$478,,MATCH(AC$4,$M$4:$Q$4,0))))</f>
        <v/>
      </c>
      <c r="AD484" s="265">
        <f>IF(AD$7="Actual","",IF(AD$478=0,0,INDEX($M484:$Q484,,MATCH(AD$4,$M$4:$Q$4,0))/INDEX($M$478:$Q$478,,MATCH(AD$4,$M$4:$Q$4,0))))</f>
        <v/>
      </c>
      <c r="AE484" s="265">
        <f>IF(AE$7="Actual","",IF(AE$478=0,0,INDEX($M484:$Q484,,MATCH(AE$4,$M$4:$Q$4,0))/INDEX($M$478:$Q$478,,MATCH(AE$4,$M$4:$Q$4,0))))</f>
        <v/>
      </c>
      <c r="AF484" s="265">
        <f>IF(AF$7="Actual","",IF(AF$478=0,0,INDEX($M484:$Q484,,MATCH(AF$4,$M$4:$Q$4,0))/INDEX($M$478:$Q$478,,MATCH(AF$4,$M$4:$Q$4,0))))</f>
        <v/>
      </c>
      <c r="AG484" s="265">
        <f>IF(AG$7="Actual","",IF(AG$478=0,0,INDEX($M484:$Q484,,MATCH(AG$4,$M$4:$Q$4,0))/INDEX($M$478:$Q$478,,MATCH(AG$4,$M$4:$Q$4,0))))</f>
        <v/>
      </c>
      <c r="AH484" s="265">
        <f>IF(AH$7="Actual","",IF(AH$478=0,0,INDEX($M484:$Q484,,MATCH(AH$4,$M$4:$Q$4,0))/INDEX($M$478:$Q$478,,MATCH(AH$4,$M$4:$Q$4,0))))</f>
        <v/>
      </c>
      <c r="AI484" s="265">
        <f>IF(AI$7="Actual","",IF(AI$478=0,0,INDEX($M484:$Q484,,MATCH(AI$4,$M$4:$Q$4,0))/INDEX($M$478:$Q$478,,MATCH(AI$4,$M$4:$Q$4,0))))</f>
        <v/>
      </c>
      <c r="AJ484" s="265">
        <f>IF(AJ$7="Actual","",IF(AJ$478=0,0,INDEX($M484:$Q484,,MATCH(AJ$4,$M$4:$Q$4,0))/INDEX($M$478:$Q$478,,MATCH(AJ$4,$M$4:$Q$4,0))))</f>
        <v/>
      </c>
      <c r="AK484" s="265">
        <f>IF(AK$7="Actual","",IF(AK$478=0,0,INDEX($M484:$Q484,,MATCH(AK$4,$M$4:$Q$4,0))/INDEX($M$478:$Q$478,,MATCH(AK$4,$M$4:$Q$4,0))))</f>
        <v/>
      </c>
      <c r="AL484" s="265">
        <f>IF(AL$7="Actual","",IF(AL$478=0,0,INDEX($M484:$Q484,,MATCH(AL$4,$M$4:$Q$4,0))/INDEX($M$478:$Q$478,,MATCH(AL$4,$M$4:$Q$4,0))))</f>
        <v/>
      </c>
      <c r="AM484" s="265">
        <f>IF(AM$7="Actual","",IF(AM$478=0,0,INDEX($M484:$Q484,,MATCH(AM$4,$M$4:$Q$4,0))/INDEX($M$478:$Q$478,,MATCH(AM$4,$M$4:$Q$4,0))))</f>
        <v/>
      </c>
      <c r="AN484" s="265">
        <f>IF(AN$7="Actual","",IF(AN$478=0,0,INDEX($M484:$Q484,,MATCH(AN$4,$M$4:$Q$4,0))/INDEX($M$478:$Q$478,,MATCH(AN$4,$M$4:$Q$4,0))))</f>
        <v/>
      </c>
      <c r="AO484" s="265">
        <f>IF(AO$7="Actual","",IF(AO$478=0,0,INDEX($M484:$Q484,,MATCH(AO$4,$M$4:$Q$4,0))/INDEX($M$478:$Q$478,,MATCH(AO$4,$M$4:$Q$4,0))))</f>
        <v/>
      </c>
      <c r="AP484" s="265">
        <f>IF(AP$7="Actual","",IF(AP$478=0,0,INDEX($M484:$Q484,,MATCH(AP$4,$M$4:$Q$4,0))/INDEX($M$478:$Q$478,,MATCH(AP$4,$M$4:$Q$4,0))))</f>
        <v/>
      </c>
      <c r="AQ484" s="265">
        <f>IF(AQ$7="Actual","",IF(AQ$478=0,0,INDEX($M484:$Q484,,MATCH(AQ$4,$M$4:$Q$4,0))/INDEX($M$478:$Q$478,,MATCH(AQ$4,$M$4:$Q$4,0))))</f>
        <v/>
      </c>
      <c r="AR484" s="265">
        <f>IF(AR$7="Actual","",IF(AR$478=0,0,INDEX($M484:$Q484,,MATCH(AR$4,$M$4:$Q$4,0))/INDEX($M$478:$Q$478,,MATCH(AR$4,$M$4:$Q$4,0))))</f>
        <v/>
      </c>
      <c r="AS484" s="265">
        <f>IF(AS$7="Actual","",IF(AS$478=0,0,INDEX($M484:$Q484,,MATCH(AS$4,$M$4:$Q$4,0))/INDEX($M$478:$Q$478,,MATCH(AS$4,$M$4:$Q$4,0))))</f>
        <v/>
      </c>
      <c r="AT484" s="265">
        <f>IF(AT$7="Actual","",IF(AT$478=0,0,INDEX($M484:$Q484,,MATCH(AT$4,$M$4:$Q$4,0))/INDEX($M$478:$Q$478,,MATCH(AT$4,$M$4:$Q$4,0))))</f>
        <v/>
      </c>
      <c r="AU484" s="265">
        <f>IF(AU$7="Actual","",IF(AU$478=0,0,INDEX($M484:$Q484,,MATCH(AU$4,$M$4:$Q$4,0))/INDEX($M$478:$Q$478,,MATCH(AU$4,$M$4:$Q$4,0))))</f>
        <v/>
      </c>
      <c r="AV484" s="265">
        <f>IF(AV$7="Actual","",IF(AV$478=0,0,INDEX($M484:$Q484,,MATCH(AV$4,$M$4:$Q$4,0))/INDEX($M$478:$Q$478,,MATCH(AV$4,$M$4:$Q$4,0))))</f>
        <v/>
      </c>
      <c r="AW484" s="265">
        <f>IF(AW$7="Actual","",IF(AW$478=0,0,INDEX($M484:$Q484,,MATCH(AW$4,$M$4:$Q$4,0))/INDEX($M$478:$Q$478,,MATCH(AW$4,$M$4:$Q$4,0))))</f>
        <v/>
      </c>
      <c r="AX484" s="265">
        <f>IF(AX$7="Actual","",IF(AX$478=0,0,INDEX($M484:$Q484,,MATCH(AX$4,$M$4:$Q$4,0))/INDEX($M$478:$Q$478,,MATCH(AX$4,$M$4:$Q$4,0))))</f>
        <v/>
      </c>
      <c r="AY484" s="265">
        <f>IF(AY$7="Actual","",IF(AY$478=0,0,INDEX($M484:$Q484,,MATCH(AY$4,$M$4:$Q$4,0))/INDEX($M$478:$Q$478,,MATCH(AY$4,$M$4:$Q$4,0))))</f>
        <v/>
      </c>
      <c r="AZ484" s="265">
        <f>IF(AZ$7="Actual","",IF(AZ$478=0,0,INDEX($M484:$Q484,,MATCH(AZ$4,$M$4:$Q$4,0))/INDEX($M$478:$Q$478,,MATCH(AZ$4,$M$4:$Q$4,0))))</f>
        <v/>
      </c>
      <c r="BA484" s="265">
        <f>IF(BA$7="Actual","",IF(BA$478=0,0,INDEX($M484:$Q484,,MATCH(BA$4,$M$4:$Q$4,0))/INDEX($M$478:$Q$478,,MATCH(BA$4,$M$4:$Q$4,0))))</f>
        <v/>
      </c>
      <c r="BB484" s="265">
        <f>IF(BB$7="Actual","",IF(BB$478=0,0,INDEX($M484:$Q484,,MATCH(BB$4,$M$4:$Q$4,0))/INDEX($M$478:$Q$478,,MATCH(BB$4,$M$4:$Q$4,0))))</f>
        <v/>
      </c>
      <c r="BC484" s="265">
        <f>IF(BC$7="Actual","",IF(BC$478=0,0,INDEX($M484:$Q484,,MATCH(BC$4,$M$4:$Q$4,0))/INDEX($M$478:$Q$478,,MATCH(BC$4,$M$4:$Q$4,0))))</f>
        <v/>
      </c>
      <c r="BD484" s="265">
        <f>IF(BD$7="Actual","",IF(BD$478=0,0,INDEX($M484:$Q484,,MATCH(BD$4,$M$4:$Q$4,0))/INDEX($M$478:$Q$478,,MATCH(BD$4,$M$4:$Q$4,0))))</f>
        <v/>
      </c>
      <c r="BE484" s="265">
        <f>IF(BE$7="Actual","",IF(BE$478=0,0,INDEX($M484:$Q484,,MATCH(BE$4,$M$4:$Q$4,0))/INDEX($M$478:$Q$478,,MATCH(BE$4,$M$4:$Q$4,0))))</f>
        <v/>
      </c>
      <c r="BF484" s="265">
        <f>IF(BF$7="Actual","",IF(BF$478=0,0,INDEX($M484:$Q484,,MATCH(BF$4,$M$4:$Q$4,0))/INDEX($M$478:$Q$478,,MATCH(BF$4,$M$4:$Q$4,0))))</f>
        <v/>
      </c>
      <c r="BG484" s="265">
        <f>IF(BG$7="Actual","",IF(BG$478=0,0,INDEX($M484:$Q484,,MATCH(BG$4,$M$4:$Q$4,0))/INDEX($M$478:$Q$478,,MATCH(BG$4,$M$4:$Q$4,0))))</f>
        <v/>
      </c>
      <c r="BH484" s="265">
        <f>IF(BH$7="Actual","",IF(BH$478=0,0,INDEX($M484:$Q484,,MATCH(BH$4,$M$4:$Q$4,0))/INDEX($M$478:$Q$478,,MATCH(BH$4,$M$4:$Q$4,0))))</f>
        <v/>
      </c>
      <c r="BI484" s="265">
        <f>IF(BI$7="Actual","",IF(BI$478=0,0,INDEX($M484:$Q484,,MATCH(BI$4,$M$4:$Q$4,0))/INDEX($M$478:$Q$478,,MATCH(BI$4,$M$4:$Q$4,0))))</f>
        <v/>
      </c>
      <c r="BJ484" s="265">
        <f>IF(BJ$7="Actual","",IF(BJ$478=0,0,INDEX($M484:$Q484,,MATCH(BJ$4,$M$4:$Q$4,0))/INDEX($M$478:$Q$478,,MATCH(BJ$4,$M$4:$Q$4,0))))</f>
        <v/>
      </c>
      <c r="BK484" s="265">
        <f>IF(BK$7="Actual","",IF(BK$478=0,0,INDEX($M484:$Q484,,MATCH(BK$4,$M$4:$Q$4,0))/INDEX($M$478:$Q$478,,MATCH(BK$4,$M$4:$Q$4,0))))</f>
        <v/>
      </c>
      <c r="BL484" s="265">
        <f>IF(BL$7="Actual","",IF(BL$478=0,0,INDEX($M484:$Q484,,MATCH(BL$4,$M$4:$Q$4,0))/INDEX($M$478:$Q$478,,MATCH(BL$4,$M$4:$Q$4,0))))</f>
        <v/>
      </c>
      <c r="BM484" s="265">
        <f>IF(BM$7="Actual","",IF(BM$478=0,0,INDEX($M484:$Q484,,MATCH(BM$4,$M$4:$Q$4,0))/INDEX($M$478:$Q$478,,MATCH(BM$4,$M$4:$Q$4,0))))</f>
        <v/>
      </c>
      <c r="BN484" s="265">
        <f>IF(BN$7="Actual","",IF(BN$478=0,0,INDEX($M484:$Q484,,MATCH(BN$4,$M$4:$Q$4,0))/INDEX($M$478:$Q$478,,MATCH(BN$4,$M$4:$Q$4,0))))</f>
        <v/>
      </c>
      <c r="BO484" s="265">
        <f>IF(BO$7="Actual","",IF(BO$478=0,0,INDEX($M484:$Q484,,MATCH(BO$4,$M$4:$Q$4,0))/INDEX($M$478:$Q$478,,MATCH(BO$4,$M$4:$Q$4,0))))</f>
        <v/>
      </c>
      <c r="BP484" s="265">
        <f>IF(BP$7="Actual","",IF(BP$478=0,0,INDEX($M484:$Q484,,MATCH(BP$4,$M$4:$Q$4,0))/INDEX($M$478:$Q$478,,MATCH(BP$4,$M$4:$Q$4,0))))</f>
        <v/>
      </c>
      <c r="BQ484" s="265">
        <f>IF(BQ$7="Actual","",IF(BQ$478=0,0,INDEX($M484:$Q484,,MATCH(BQ$4,$M$4:$Q$4,0))/INDEX($M$478:$Q$478,,MATCH(BQ$4,$M$4:$Q$4,0))))</f>
        <v/>
      </c>
      <c r="BR484" s="265">
        <f>IF(BR$7="Actual","",IF(BR$478=0,0,INDEX($M484:$Q484,,MATCH(BR$4,$M$4:$Q$4,0))/INDEX($M$478:$Q$478,,MATCH(BR$4,$M$4:$Q$4,0))))</f>
        <v/>
      </c>
      <c r="BS484" s="265">
        <f>IF(BS$7="Actual","",IF(BS$478=0,0,INDEX($M484:$Q484,,MATCH(BS$4,$M$4:$Q$4,0))/INDEX($M$478:$Q$478,,MATCH(BS$4,$M$4:$Q$4,0))))</f>
        <v/>
      </c>
      <c r="BT484" s="265">
        <f>IF(BT$7="Actual","",IF(BT$478=0,0,INDEX($M484:$Q484,,MATCH(BT$4,$M$4:$Q$4,0))/INDEX($M$478:$Q$478,,MATCH(BT$4,$M$4:$Q$4,0))))</f>
        <v/>
      </c>
      <c r="BU484" s="265">
        <f>IF(BU$7="Actual","",IF(BU$478=0,0,INDEX($M484:$Q484,,MATCH(BU$4,$M$4:$Q$4,0))/INDEX($M$478:$Q$478,,MATCH(BU$4,$M$4:$Q$4,0))))</f>
        <v/>
      </c>
      <c r="BV484" s="265">
        <f>IF(BV$7="Actual","",IF(BV$478=0,0,INDEX($M484:$Q484,,MATCH(BV$4,$M$4:$Q$4,0))/INDEX($M$478:$Q$478,,MATCH(BV$4,$M$4:$Q$4,0))))</f>
        <v/>
      </c>
      <c r="BW484" s="265">
        <f>IF(BW$7="Actual","",IF(BW$478=0,0,INDEX($M484:$Q484,,MATCH(BW$4,$M$4:$Q$4,0))/INDEX($M$478:$Q$478,,MATCH(BW$4,$M$4:$Q$4,0))))</f>
        <v/>
      </c>
      <c r="BX484" s="265">
        <f>IF(BX$7="Actual","",IF(BX$478=0,0,INDEX($M484:$Q484,,MATCH(BX$4,$M$4:$Q$4,0))/INDEX($M$478:$Q$478,,MATCH(BX$4,$M$4:$Q$4,0))))</f>
        <v/>
      </c>
      <c r="BY484" s="265">
        <f>IF(BY$7="Actual","",IF(BY$478=0,0,INDEX($M484:$Q484,,MATCH(BY$4,$M$4:$Q$4,0))/INDEX($M$478:$Q$478,,MATCH(BY$4,$M$4:$Q$4,0))))</f>
        <v/>
      </c>
      <c r="BZ484" s="265">
        <f>IF(BZ$7="Actual","",IF(BZ$478=0,0,INDEX($M484:$Q484,,MATCH(BZ$4,$M$4:$Q$4,0))/INDEX($M$478:$Q$478,,MATCH(BZ$4,$M$4:$Q$4,0))))</f>
        <v/>
      </c>
      <c r="CA484" s="265">
        <f>IF(CA$7="Actual","",IF(CA$478=0,0,INDEX($M484:$Q484,,MATCH(CA$4,$M$4:$Q$4,0))/INDEX($M$478:$Q$478,,MATCH(CA$4,$M$4:$Q$4,0))))</f>
        <v/>
      </c>
    </row>
    <row r="485" ht="12" customHeight="1" s="227">
      <c r="A485" s="244" t="n"/>
      <c r="B485" s="244" t="n"/>
      <c r="C485" s="244" t="n"/>
      <c r="H485" s="4">
        <f>H468</f>
        <v/>
      </c>
      <c r="I485" s="27" t="inlineStr">
        <is>
          <t>%</t>
        </is>
      </c>
      <c r="K485" s="6" t="n"/>
      <c r="M485" s="265">
        <f>IF(M$7="Actual","",i_Assumptions!M547)</f>
        <v/>
      </c>
      <c r="N485" s="265">
        <f>IF(N$7="Actual","",i_Assumptions!N547)</f>
        <v/>
      </c>
      <c r="O485" s="265">
        <f>IF(O$7="Actual","",i_Assumptions!O547)</f>
        <v/>
      </c>
      <c r="P485" s="265">
        <f>IF(P$7="Actual","",i_Assumptions!P547)</f>
        <v/>
      </c>
      <c r="Q485" s="265">
        <f>IF(Q$7="Actual","",i_Assumptions!Q547)</f>
        <v/>
      </c>
      <c r="T485" s="265">
        <f>IF(T$7="Actual","",IF(T$478=0,0,INDEX($M485:$Q485,,MATCH(T$4,$M$4:$Q$4,0))/INDEX($M$478:$Q$478,,MATCH(T$4,$M$4:$Q$4,0))))</f>
        <v/>
      </c>
      <c r="U485" s="265">
        <f>IF(U$7="Actual","",IF(U$478=0,0,INDEX($M485:$Q485,,MATCH(U$4,$M$4:$Q$4,0))/INDEX($M$478:$Q$478,,MATCH(U$4,$M$4:$Q$4,0))))</f>
        <v/>
      </c>
      <c r="V485" s="265">
        <f>IF(V$7="Actual","",IF(V$478=0,0,INDEX($M485:$Q485,,MATCH(V$4,$M$4:$Q$4,0))/INDEX($M$478:$Q$478,,MATCH(V$4,$M$4:$Q$4,0))))</f>
        <v/>
      </c>
      <c r="W485" s="265">
        <f>IF(W$7="Actual","",IF(W$478=0,0,INDEX($M485:$Q485,,MATCH(W$4,$M$4:$Q$4,0))/INDEX($M$478:$Q$478,,MATCH(W$4,$M$4:$Q$4,0))))</f>
        <v/>
      </c>
      <c r="X485" s="265">
        <f>IF(X$7="Actual","",IF(X$478=0,0,INDEX($M485:$Q485,,MATCH(X$4,$M$4:$Q$4,0))/INDEX($M$478:$Q$478,,MATCH(X$4,$M$4:$Q$4,0))))</f>
        <v/>
      </c>
      <c r="Y485" s="265">
        <f>IF(Y$7="Actual","",IF(Y$478=0,0,INDEX($M485:$Q485,,MATCH(Y$4,$M$4:$Q$4,0))/INDEX($M$478:$Q$478,,MATCH(Y$4,$M$4:$Q$4,0))))</f>
        <v/>
      </c>
      <c r="Z485" s="265">
        <f>IF(Z$7="Actual","",IF(Z$478=0,0,INDEX($M485:$Q485,,MATCH(Z$4,$M$4:$Q$4,0))/INDEX($M$478:$Q$478,,MATCH(Z$4,$M$4:$Q$4,0))))</f>
        <v/>
      </c>
      <c r="AA485" s="265">
        <f>IF(AA$7="Actual","",IF(AA$478=0,0,INDEX($M485:$Q485,,MATCH(AA$4,$M$4:$Q$4,0))/INDEX($M$478:$Q$478,,MATCH(AA$4,$M$4:$Q$4,0))))</f>
        <v/>
      </c>
      <c r="AB485" s="265">
        <f>IF(AB$7="Actual","",IF(AB$478=0,0,INDEX($M485:$Q485,,MATCH(AB$4,$M$4:$Q$4,0))/INDEX($M$478:$Q$478,,MATCH(AB$4,$M$4:$Q$4,0))))</f>
        <v/>
      </c>
      <c r="AC485" s="265">
        <f>IF(AC$7="Actual","",IF(AC$478=0,0,INDEX($M485:$Q485,,MATCH(AC$4,$M$4:$Q$4,0))/INDEX($M$478:$Q$478,,MATCH(AC$4,$M$4:$Q$4,0))))</f>
        <v/>
      </c>
      <c r="AD485" s="265">
        <f>IF(AD$7="Actual","",IF(AD$478=0,0,INDEX($M485:$Q485,,MATCH(AD$4,$M$4:$Q$4,0))/INDEX($M$478:$Q$478,,MATCH(AD$4,$M$4:$Q$4,0))))</f>
        <v/>
      </c>
      <c r="AE485" s="265">
        <f>IF(AE$7="Actual","",IF(AE$478=0,0,INDEX($M485:$Q485,,MATCH(AE$4,$M$4:$Q$4,0))/INDEX($M$478:$Q$478,,MATCH(AE$4,$M$4:$Q$4,0))))</f>
        <v/>
      </c>
      <c r="AF485" s="265">
        <f>IF(AF$7="Actual","",IF(AF$478=0,0,INDEX($M485:$Q485,,MATCH(AF$4,$M$4:$Q$4,0))/INDEX($M$478:$Q$478,,MATCH(AF$4,$M$4:$Q$4,0))))</f>
        <v/>
      </c>
      <c r="AG485" s="265">
        <f>IF(AG$7="Actual","",IF(AG$478=0,0,INDEX($M485:$Q485,,MATCH(AG$4,$M$4:$Q$4,0))/INDEX($M$478:$Q$478,,MATCH(AG$4,$M$4:$Q$4,0))))</f>
        <v/>
      </c>
      <c r="AH485" s="265">
        <f>IF(AH$7="Actual","",IF(AH$478=0,0,INDEX($M485:$Q485,,MATCH(AH$4,$M$4:$Q$4,0))/INDEX($M$478:$Q$478,,MATCH(AH$4,$M$4:$Q$4,0))))</f>
        <v/>
      </c>
      <c r="AI485" s="265">
        <f>IF(AI$7="Actual","",IF(AI$478=0,0,INDEX($M485:$Q485,,MATCH(AI$4,$M$4:$Q$4,0))/INDEX($M$478:$Q$478,,MATCH(AI$4,$M$4:$Q$4,0))))</f>
        <v/>
      </c>
      <c r="AJ485" s="265">
        <f>IF(AJ$7="Actual","",IF(AJ$478=0,0,INDEX($M485:$Q485,,MATCH(AJ$4,$M$4:$Q$4,0))/INDEX($M$478:$Q$478,,MATCH(AJ$4,$M$4:$Q$4,0))))</f>
        <v/>
      </c>
      <c r="AK485" s="265">
        <f>IF(AK$7="Actual","",IF(AK$478=0,0,INDEX($M485:$Q485,,MATCH(AK$4,$M$4:$Q$4,0))/INDEX($M$478:$Q$478,,MATCH(AK$4,$M$4:$Q$4,0))))</f>
        <v/>
      </c>
      <c r="AL485" s="265">
        <f>IF(AL$7="Actual","",IF(AL$478=0,0,INDEX($M485:$Q485,,MATCH(AL$4,$M$4:$Q$4,0))/INDEX($M$478:$Q$478,,MATCH(AL$4,$M$4:$Q$4,0))))</f>
        <v/>
      </c>
      <c r="AM485" s="265">
        <f>IF(AM$7="Actual","",IF(AM$478=0,0,INDEX($M485:$Q485,,MATCH(AM$4,$M$4:$Q$4,0))/INDEX($M$478:$Q$478,,MATCH(AM$4,$M$4:$Q$4,0))))</f>
        <v/>
      </c>
      <c r="AN485" s="265">
        <f>IF(AN$7="Actual","",IF(AN$478=0,0,INDEX($M485:$Q485,,MATCH(AN$4,$M$4:$Q$4,0))/INDEX($M$478:$Q$478,,MATCH(AN$4,$M$4:$Q$4,0))))</f>
        <v/>
      </c>
      <c r="AO485" s="265">
        <f>IF(AO$7="Actual","",IF(AO$478=0,0,INDEX($M485:$Q485,,MATCH(AO$4,$M$4:$Q$4,0))/INDEX($M$478:$Q$478,,MATCH(AO$4,$M$4:$Q$4,0))))</f>
        <v/>
      </c>
      <c r="AP485" s="265">
        <f>IF(AP$7="Actual","",IF(AP$478=0,0,INDEX($M485:$Q485,,MATCH(AP$4,$M$4:$Q$4,0))/INDEX($M$478:$Q$478,,MATCH(AP$4,$M$4:$Q$4,0))))</f>
        <v/>
      </c>
      <c r="AQ485" s="265">
        <f>IF(AQ$7="Actual","",IF(AQ$478=0,0,INDEX($M485:$Q485,,MATCH(AQ$4,$M$4:$Q$4,0))/INDEX($M$478:$Q$478,,MATCH(AQ$4,$M$4:$Q$4,0))))</f>
        <v/>
      </c>
      <c r="AR485" s="265">
        <f>IF(AR$7="Actual","",IF(AR$478=0,0,INDEX($M485:$Q485,,MATCH(AR$4,$M$4:$Q$4,0))/INDEX($M$478:$Q$478,,MATCH(AR$4,$M$4:$Q$4,0))))</f>
        <v/>
      </c>
      <c r="AS485" s="265">
        <f>IF(AS$7="Actual","",IF(AS$478=0,0,INDEX($M485:$Q485,,MATCH(AS$4,$M$4:$Q$4,0))/INDEX($M$478:$Q$478,,MATCH(AS$4,$M$4:$Q$4,0))))</f>
        <v/>
      </c>
      <c r="AT485" s="265">
        <f>IF(AT$7="Actual","",IF(AT$478=0,0,INDEX($M485:$Q485,,MATCH(AT$4,$M$4:$Q$4,0))/INDEX($M$478:$Q$478,,MATCH(AT$4,$M$4:$Q$4,0))))</f>
        <v/>
      </c>
      <c r="AU485" s="265">
        <f>IF(AU$7="Actual","",IF(AU$478=0,0,INDEX($M485:$Q485,,MATCH(AU$4,$M$4:$Q$4,0))/INDEX($M$478:$Q$478,,MATCH(AU$4,$M$4:$Q$4,0))))</f>
        <v/>
      </c>
      <c r="AV485" s="265">
        <f>IF(AV$7="Actual","",IF(AV$478=0,0,INDEX($M485:$Q485,,MATCH(AV$4,$M$4:$Q$4,0))/INDEX($M$478:$Q$478,,MATCH(AV$4,$M$4:$Q$4,0))))</f>
        <v/>
      </c>
      <c r="AW485" s="265">
        <f>IF(AW$7="Actual","",IF(AW$478=0,0,INDEX($M485:$Q485,,MATCH(AW$4,$M$4:$Q$4,0))/INDEX($M$478:$Q$478,,MATCH(AW$4,$M$4:$Q$4,0))))</f>
        <v/>
      </c>
      <c r="AX485" s="265">
        <f>IF(AX$7="Actual","",IF(AX$478=0,0,INDEX($M485:$Q485,,MATCH(AX$4,$M$4:$Q$4,0))/INDEX($M$478:$Q$478,,MATCH(AX$4,$M$4:$Q$4,0))))</f>
        <v/>
      </c>
      <c r="AY485" s="265">
        <f>IF(AY$7="Actual","",IF(AY$478=0,0,INDEX($M485:$Q485,,MATCH(AY$4,$M$4:$Q$4,0))/INDEX($M$478:$Q$478,,MATCH(AY$4,$M$4:$Q$4,0))))</f>
        <v/>
      </c>
      <c r="AZ485" s="265">
        <f>IF(AZ$7="Actual","",IF(AZ$478=0,0,INDEX($M485:$Q485,,MATCH(AZ$4,$M$4:$Q$4,0))/INDEX($M$478:$Q$478,,MATCH(AZ$4,$M$4:$Q$4,0))))</f>
        <v/>
      </c>
      <c r="BA485" s="265">
        <f>IF(BA$7="Actual","",IF(BA$478=0,0,INDEX($M485:$Q485,,MATCH(BA$4,$M$4:$Q$4,0))/INDEX($M$478:$Q$478,,MATCH(BA$4,$M$4:$Q$4,0))))</f>
        <v/>
      </c>
      <c r="BB485" s="265">
        <f>IF(BB$7="Actual","",IF(BB$478=0,0,INDEX($M485:$Q485,,MATCH(BB$4,$M$4:$Q$4,0))/INDEX($M$478:$Q$478,,MATCH(BB$4,$M$4:$Q$4,0))))</f>
        <v/>
      </c>
      <c r="BC485" s="265">
        <f>IF(BC$7="Actual","",IF(BC$478=0,0,INDEX($M485:$Q485,,MATCH(BC$4,$M$4:$Q$4,0))/INDEX($M$478:$Q$478,,MATCH(BC$4,$M$4:$Q$4,0))))</f>
        <v/>
      </c>
      <c r="BD485" s="265">
        <f>IF(BD$7="Actual","",IF(BD$478=0,0,INDEX($M485:$Q485,,MATCH(BD$4,$M$4:$Q$4,0))/INDEX($M$478:$Q$478,,MATCH(BD$4,$M$4:$Q$4,0))))</f>
        <v/>
      </c>
      <c r="BE485" s="265">
        <f>IF(BE$7="Actual","",IF(BE$478=0,0,INDEX($M485:$Q485,,MATCH(BE$4,$M$4:$Q$4,0))/INDEX($M$478:$Q$478,,MATCH(BE$4,$M$4:$Q$4,0))))</f>
        <v/>
      </c>
      <c r="BF485" s="265">
        <f>IF(BF$7="Actual","",IF(BF$478=0,0,INDEX($M485:$Q485,,MATCH(BF$4,$M$4:$Q$4,0))/INDEX($M$478:$Q$478,,MATCH(BF$4,$M$4:$Q$4,0))))</f>
        <v/>
      </c>
      <c r="BG485" s="265">
        <f>IF(BG$7="Actual","",IF(BG$478=0,0,INDEX($M485:$Q485,,MATCH(BG$4,$M$4:$Q$4,0))/INDEX($M$478:$Q$478,,MATCH(BG$4,$M$4:$Q$4,0))))</f>
        <v/>
      </c>
      <c r="BH485" s="265">
        <f>IF(BH$7="Actual","",IF(BH$478=0,0,INDEX($M485:$Q485,,MATCH(BH$4,$M$4:$Q$4,0))/INDEX($M$478:$Q$478,,MATCH(BH$4,$M$4:$Q$4,0))))</f>
        <v/>
      </c>
      <c r="BI485" s="265">
        <f>IF(BI$7="Actual","",IF(BI$478=0,0,INDEX($M485:$Q485,,MATCH(BI$4,$M$4:$Q$4,0))/INDEX($M$478:$Q$478,,MATCH(BI$4,$M$4:$Q$4,0))))</f>
        <v/>
      </c>
      <c r="BJ485" s="265">
        <f>IF(BJ$7="Actual","",IF(BJ$478=0,0,INDEX($M485:$Q485,,MATCH(BJ$4,$M$4:$Q$4,0))/INDEX($M$478:$Q$478,,MATCH(BJ$4,$M$4:$Q$4,0))))</f>
        <v/>
      </c>
      <c r="BK485" s="265">
        <f>IF(BK$7="Actual","",IF(BK$478=0,0,INDEX($M485:$Q485,,MATCH(BK$4,$M$4:$Q$4,0))/INDEX($M$478:$Q$478,,MATCH(BK$4,$M$4:$Q$4,0))))</f>
        <v/>
      </c>
      <c r="BL485" s="265">
        <f>IF(BL$7="Actual","",IF(BL$478=0,0,INDEX($M485:$Q485,,MATCH(BL$4,$M$4:$Q$4,0))/INDEX($M$478:$Q$478,,MATCH(BL$4,$M$4:$Q$4,0))))</f>
        <v/>
      </c>
      <c r="BM485" s="265">
        <f>IF(BM$7="Actual","",IF(BM$478=0,0,INDEX($M485:$Q485,,MATCH(BM$4,$M$4:$Q$4,0))/INDEX($M$478:$Q$478,,MATCH(BM$4,$M$4:$Q$4,0))))</f>
        <v/>
      </c>
      <c r="BN485" s="265">
        <f>IF(BN$7="Actual","",IF(BN$478=0,0,INDEX($M485:$Q485,,MATCH(BN$4,$M$4:$Q$4,0))/INDEX($M$478:$Q$478,,MATCH(BN$4,$M$4:$Q$4,0))))</f>
        <v/>
      </c>
      <c r="BO485" s="265">
        <f>IF(BO$7="Actual","",IF(BO$478=0,0,INDEX($M485:$Q485,,MATCH(BO$4,$M$4:$Q$4,0))/INDEX($M$478:$Q$478,,MATCH(BO$4,$M$4:$Q$4,0))))</f>
        <v/>
      </c>
      <c r="BP485" s="265">
        <f>IF(BP$7="Actual","",IF(BP$478=0,0,INDEX($M485:$Q485,,MATCH(BP$4,$M$4:$Q$4,0))/INDEX($M$478:$Q$478,,MATCH(BP$4,$M$4:$Q$4,0))))</f>
        <v/>
      </c>
      <c r="BQ485" s="265">
        <f>IF(BQ$7="Actual","",IF(BQ$478=0,0,INDEX($M485:$Q485,,MATCH(BQ$4,$M$4:$Q$4,0))/INDEX($M$478:$Q$478,,MATCH(BQ$4,$M$4:$Q$4,0))))</f>
        <v/>
      </c>
      <c r="BR485" s="265">
        <f>IF(BR$7="Actual","",IF(BR$478=0,0,INDEX($M485:$Q485,,MATCH(BR$4,$M$4:$Q$4,0))/INDEX($M$478:$Q$478,,MATCH(BR$4,$M$4:$Q$4,0))))</f>
        <v/>
      </c>
      <c r="BS485" s="265">
        <f>IF(BS$7="Actual","",IF(BS$478=0,0,INDEX($M485:$Q485,,MATCH(BS$4,$M$4:$Q$4,0))/INDEX($M$478:$Q$478,,MATCH(BS$4,$M$4:$Q$4,0))))</f>
        <v/>
      </c>
      <c r="BT485" s="265">
        <f>IF(BT$7="Actual","",IF(BT$478=0,0,INDEX($M485:$Q485,,MATCH(BT$4,$M$4:$Q$4,0))/INDEX($M$478:$Q$478,,MATCH(BT$4,$M$4:$Q$4,0))))</f>
        <v/>
      </c>
      <c r="BU485" s="265">
        <f>IF(BU$7="Actual","",IF(BU$478=0,0,INDEX($M485:$Q485,,MATCH(BU$4,$M$4:$Q$4,0))/INDEX($M$478:$Q$478,,MATCH(BU$4,$M$4:$Q$4,0))))</f>
        <v/>
      </c>
      <c r="BV485" s="265">
        <f>IF(BV$7="Actual","",IF(BV$478=0,0,INDEX($M485:$Q485,,MATCH(BV$4,$M$4:$Q$4,0))/INDEX($M$478:$Q$478,,MATCH(BV$4,$M$4:$Q$4,0))))</f>
        <v/>
      </c>
      <c r="BW485" s="265">
        <f>IF(BW$7="Actual","",IF(BW$478=0,0,INDEX($M485:$Q485,,MATCH(BW$4,$M$4:$Q$4,0))/INDEX($M$478:$Q$478,,MATCH(BW$4,$M$4:$Q$4,0))))</f>
        <v/>
      </c>
      <c r="BX485" s="265">
        <f>IF(BX$7="Actual","",IF(BX$478=0,0,INDEX($M485:$Q485,,MATCH(BX$4,$M$4:$Q$4,0))/INDEX($M$478:$Q$478,,MATCH(BX$4,$M$4:$Q$4,0))))</f>
        <v/>
      </c>
      <c r="BY485" s="265">
        <f>IF(BY$7="Actual","",IF(BY$478=0,0,INDEX($M485:$Q485,,MATCH(BY$4,$M$4:$Q$4,0))/INDEX($M$478:$Q$478,,MATCH(BY$4,$M$4:$Q$4,0))))</f>
        <v/>
      </c>
      <c r="BZ485" s="265">
        <f>IF(BZ$7="Actual","",IF(BZ$478=0,0,INDEX($M485:$Q485,,MATCH(BZ$4,$M$4:$Q$4,0))/INDEX($M$478:$Q$478,,MATCH(BZ$4,$M$4:$Q$4,0))))</f>
        <v/>
      </c>
      <c r="CA485" s="265">
        <f>IF(CA$7="Actual","",IF(CA$478=0,0,INDEX($M485:$Q485,,MATCH(CA$4,$M$4:$Q$4,0))/INDEX($M$478:$Q$478,,MATCH(CA$4,$M$4:$Q$4,0))))</f>
        <v/>
      </c>
    </row>
    <row r="486" ht="12" customHeight="1" s="227">
      <c r="A486" s="244" t="n"/>
      <c r="B486" s="244" t="n"/>
      <c r="C486" s="244" t="n"/>
      <c r="H486" s="4">
        <f>H469</f>
        <v/>
      </c>
      <c r="I486" s="27" t="inlineStr">
        <is>
          <t>%</t>
        </is>
      </c>
      <c r="K486" s="6" t="n"/>
      <c r="M486" s="265">
        <f>IF(M$7="Actual","",i_Assumptions!M548)</f>
        <v/>
      </c>
      <c r="N486" s="265">
        <f>IF(N$7="Actual","",i_Assumptions!N548)</f>
        <v/>
      </c>
      <c r="O486" s="265">
        <f>IF(O$7="Actual","",i_Assumptions!O548)</f>
        <v/>
      </c>
      <c r="P486" s="265">
        <f>IF(P$7="Actual","",i_Assumptions!P548)</f>
        <v/>
      </c>
      <c r="Q486" s="265">
        <f>IF(Q$7="Actual","",i_Assumptions!Q548)</f>
        <v/>
      </c>
      <c r="T486" s="265">
        <f>IF(T$7="Actual","",IF(T$478=0,0,INDEX($M486:$Q486,,MATCH(T$4,$M$4:$Q$4,0))/INDEX($M$478:$Q$478,,MATCH(T$4,$M$4:$Q$4,0))))</f>
        <v/>
      </c>
      <c r="U486" s="265">
        <f>IF(U$7="Actual","",IF(U$478=0,0,INDEX($M486:$Q486,,MATCH(U$4,$M$4:$Q$4,0))/INDEX($M$478:$Q$478,,MATCH(U$4,$M$4:$Q$4,0))))</f>
        <v/>
      </c>
      <c r="V486" s="265">
        <f>IF(V$7="Actual","",IF(V$478=0,0,INDEX($M486:$Q486,,MATCH(V$4,$M$4:$Q$4,0))/INDEX($M$478:$Q$478,,MATCH(V$4,$M$4:$Q$4,0))))</f>
        <v/>
      </c>
      <c r="W486" s="265">
        <f>IF(W$7="Actual","",IF(W$478=0,0,INDEX($M486:$Q486,,MATCH(W$4,$M$4:$Q$4,0))/INDEX($M$478:$Q$478,,MATCH(W$4,$M$4:$Q$4,0))))</f>
        <v/>
      </c>
      <c r="X486" s="265">
        <f>IF(X$7="Actual","",IF(X$478=0,0,INDEX($M486:$Q486,,MATCH(X$4,$M$4:$Q$4,0))/INDEX($M$478:$Q$478,,MATCH(X$4,$M$4:$Q$4,0))))</f>
        <v/>
      </c>
      <c r="Y486" s="265">
        <f>IF(Y$7="Actual","",IF(Y$478=0,0,INDEX($M486:$Q486,,MATCH(Y$4,$M$4:$Q$4,0))/INDEX($M$478:$Q$478,,MATCH(Y$4,$M$4:$Q$4,0))))</f>
        <v/>
      </c>
      <c r="Z486" s="265">
        <f>IF(Z$7="Actual","",IF(Z$478=0,0,INDEX($M486:$Q486,,MATCH(Z$4,$M$4:$Q$4,0))/INDEX($M$478:$Q$478,,MATCH(Z$4,$M$4:$Q$4,0))))</f>
        <v/>
      </c>
      <c r="AA486" s="265">
        <f>IF(AA$7="Actual","",IF(AA$478=0,0,INDEX($M486:$Q486,,MATCH(AA$4,$M$4:$Q$4,0))/INDEX($M$478:$Q$478,,MATCH(AA$4,$M$4:$Q$4,0))))</f>
        <v/>
      </c>
      <c r="AB486" s="265">
        <f>IF(AB$7="Actual","",IF(AB$478=0,0,INDEX($M486:$Q486,,MATCH(AB$4,$M$4:$Q$4,0))/INDEX($M$478:$Q$478,,MATCH(AB$4,$M$4:$Q$4,0))))</f>
        <v/>
      </c>
      <c r="AC486" s="265">
        <f>IF(AC$7="Actual","",IF(AC$478=0,0,INDEX($M486:$Q486,,MATCH(AC$4,$M$4:$Q$4,0))/INDEX($M$478:$Q$478,,MATCH(AC$4,$M$4:$Q$4,0))))</f>
        <v/>
      </c>
      <c r="AD486" s="265">
        <f>IF(AD$7="Actual","",IF(AD$478=0,0,INDEX($M486:$Q486,,MATCH(AD$4,$M$4:$Q$4,0))/INDEX($M$478:$Q$478,,MATCH(AD$4,$M$4:$Q$4,0))))</f>
        <v/>
      </c>
      <c r="AE486" s="265">
        <f>IF(AE$7="Actual","",IF(AE$478=0,0,INDEX($M486:$Q486,,MATCH(AE$4,$M$4:$Q$4,0))/INDEX($M$478:$Q$478,,MATCH(AE$4,$M$4:$Q$4,0))))</f>
        <v/>
      </c>
      <c r="AF486" s="265">
        <f>IF(AF$7="Actual","",IF(AF$478=0,0,INDEX($M486:$Q486,,MATCH(AF$4,$M$4:$Q$4,0))/INDEX($M$478:$Q$478,,MATCH(AF$4,$M$4:$Q$4,0))))</f>
        <v/>
      </c>
      <c r="AG486" s="265">
        <f>IF(AG$7="Actual","",IF(AG$478=0,0,INDEX($M486:$Q486,,MATCH(AG$4,$M$4:$Q$4,0))/INDEX($M$478:$Q$478,,MATCH(AG$4,$M$4:$Q$4,0))))</f>
        <v/>
      </c>
      <c r="AH486" s="265">
        <f>IF(AH$7="Actual","",IF(AH$478=0,0,INDEX($M486:$Q486,,MATCH(AH$4,$M$4:$Q$4,0))/INDEX($M$478:$Q$478,,MATCH(AH$4,$M$4:$Q$4,0))))</f>
        <v/>
      </c>
      <c r="AI486" s="265">
        <f>IF(AI$7="Actual","",IF(AI$478=0,0,INDEX($M486:$Q486,,MATCH(AI$4,$M$4:$Q$4,0))/INDEX($M$478:$Q$478,,MATCH(AI$4,$M$4:$Q$4,0))))</f>
        <v/>
      </c>
      <c r="AJ486" s="265">
        <f>IF(AJ$7="Actual","",IF(AJ$478=0,0,INDEX($M486:$Q486,,MATCH(AJ$4,$M$4:$Q$4,0))/INDEX($M$478:$Q$478,,MATCH(AJ$4,$M$4:$Q$4,0))))</f>
        <v/>
      </c>
      <c r="AK486" s="265">
        <f>IF(AK$7="Actual","",IF(AK$478=0,0,INDEX($M486:$Q486,,MATCH(AK$4,$M$4:$Q$4,0))/INDEX($M$478:$Q$478,,MATCH(AK$4,$M$4:$Q$4,0))))</f>
        <v/>
      </c>
      <c r="AL486" s="265">
        <f>IF(AL$7="Actual","",IF(AL$478=0,0,INDEX($M486:$Q486,,MATCH(AL$4,$M$4:$Q$4,0))/INDEX($M$478:$Q$478,,MATCH(AL$4,$M$4:$Q$4,0))))</f>
        <v/>
      </c>
      <c r="AM486" s="265">
        <f>IF(AM$7="Actual","",IF(AM$478=0,0,INDEX($M486:$Q486,,MATCH(AM$4,$M$4:$Q$4,0))/INDEX($M$478:$Q$478,,MATCH(AM$4,$M$4:$Q$4,0))))</f>
        <v/>
      </c>
      <c r="AN486" s="265">
        <f>IF(AN$7="Actual","",IF(AN$478=0,0,INDEX($M486:$Q486,,MATCH(AN$4,$M$4:$Q$4,0))/INDEX($M$478:$Q$478,,MATCH(AN$4,$M$4:$Q$4,0))))</f>
        <v/>
      </c>
      <c r="AO486" s="265">
        <f>IF(AO$7="Actual","",IF(AO$478=0,0,INDEX($M486:$Q486,,MATCH(AO$4,$M$4:$Q$4,0))/INDEX($M$478:$Q$478,,MATCH(AO$4,$M$4:$Q$4,0))))</f>
        <v/>
      </c>
      <c r="AP486" s="265">
        <f>IF(AP$7="Actual","",IF(AP$478=0,0,INDEX($M486:$Q486,,MATCH(AP$4,$M$4:$Q$4,0))/INDEX($M$478:$Q$478,,MATCH(AP$4,$M$4:$Q$4,0))))</f>
        <v/>
      </c>
      <c r="AQ486" s="265">
        <f>IF(AQ$7="Actual","",IF(AQ$478=0,0,INDEX($M486:$Q486,,MATCH(AQ$4,$M$4:$Q$4,0))/INDEX($M$478:$Q$478,,MATCH(AQ$4,$M$4:$Q$4,0))))</f>
        <v/>
      </c>
      <c r="AR486" s="265">
        <f>IF(AR$7="Actual","",IF(AR$478=0,0,INDEX($M486:$Q486,,MATCH(AR$4,$M$4:$Q$4,0))/INDEX($M$478:$Q$478,,MATCH(AR$4,$M$4:$Q$4,0))))</f>
        <v/>
      </c>
      <c r="AS486" s="265">
        <f>IF(AS$7="Actual","",IF(AS$478=0,0,INDEX($M486:$Q486,,MATCH(AS$4,$M$4:$Q$4,0))/INDEX($M$478:$Q$478,,MATCH(AS$4,$M$4:$Q$4,0))))</f>
        <v/>
      </c>
      <c r="AT486" s="265">
        <f>IF(AT$7="Actual","",IF(AT$478=0,0,INDEX($M486:$Q486,,MATCH(AT$4,$M$4:$Q$4,0))/INDEX($M$478:$Q$478,,MATCH(AT$4,$M$4:$Q$4,0))))</f>
        <v/>
      </c>
      <c r="AU486" s="265">
        <f>IF(AU$7="Actual","",IF(AU$478=0,0,INDEX($M486:$Q486,,MATCH(AU$4,$M$4:$Q$4,0))/INDEX($M$478:$Q$478,,MATCH(AU$4,$M$4:$Q$4,0))))</f>
        <v/>
      </c>
      <c r="AV486" s="265">
        <f>IF(AV$7="Actual","",IF(AV$478=0,0,INDEX($M486:$Q486,,MATCH(AV$4,$M$4:$Q$4,0))/INDEX($M$478:$Q$478,,MATCH(AV$4,$M$4:$Q$4,0))))</f>
        <v/>
      </c>
      <c r="AW486" s="265">
        <f>IF(AW$7="Actual","",IF(AW$478=0,0,INDEX($M486:$Q486,,MATCH(AW$4,$M$4:$Q$4,0))/INDEX($M$478:$Q$478,,MATCH(AW$4,$M$4:$Q$4,0))))</f>
        <v/>
      </c>
      <c r="AX486" s="265">
        <f>IF(AX$7="Actual","",IF(AX$478=0,0,INDEX($M486:$Q486,,MATCH(AX$4,$M$4:$Q$4,0))/INDEX($M$478:$Q$478,,MATCH(AX$4,$M$4:$Q$4,0))))</f>
        <v/>
      </c>
      <c r="AY486" s="265">
        <f>IF(AY$7="Actual","",IF(AY$478=0,0,INDEX($M486:$Q486,,MATCH(AY$4,$M$4:$Q$4,0))/INDEX($M$478:$Q$478,,MATCH(AY$4,$M$4:$Q$4,0))))</f>
        <v/>
      </c>
      <c r="AZ486" s="265">
        <f>IF(AZ$7="Actual","",IF(AZ$478=0,0,INDEX($M486:$Q486,,MATCH(AZ$4,$M$4:$Q$4,0))/INDEX($M$478:$Q$478,,MATCH(AZ$4,$M$4:$Q$4,0))))</f>
        <v/>
      </c>
      <c r="BA486" s="265">
        <f>IF(BA$7="Actual","",IF(BA$478=0,0,INDEX($M486:$Q486,,MATCH(BA$4,$M$4:$Q$4,0))/INDEX($M$478:$Q$478,,MATCH(BA$4,$M$4:$Q$4,0))))</f>
        <v/>
      </c>
      <c r="BB486" s="265">
        <f>IF(BB$7="Actual","",IF(BB$478=0,0,INDEX($M486:$Q486,,MATCH(BB$4,$M$4:$Q$4,0))/INDEX($M$478:$Q$478,,MATCH(BB$4,$M$4:$Q$4,0))))</f>
        <v/>
      </c>
      <c r="BC486" s="265">
        <f>IF(BC$7="Actual","",IF(BC$478=0,0,INDEX($M486:$Q486,,MATCH(BC$4,$M$4:$Q$4,0))/INDEX($M$478:$Q$478,,MATCH(BC$4,$M$4:$Q$4,0))))</f>
        <v/>
      </c>
      <c r="BD486" s="265">
        <f>IF(BD$7="Actual","",IF(BD$478=0,0,INDEX($M486:$Q486,,MATCH(BD$4,$M$4:$Q$4,0))/INDEX($M$478:$Q$478,,MATCH(BD$4,$M$4:$Q$4,0))))</f>
        <v/>
      </c>
      <c r="BE486" s="265">
        <f>IF(BE$7="Actual","",IF(BE$478=0,0,INDEX($M486:$Q486,,MATCH(BE$4,$M$4:$Q$4,0))/INDEX($M$478:$Q$478,,MATCH(BE$4,$M$4:$Q$4,0))))</f>
        <v/>
      </c>
      <c r="BF486" s="265">
        <f>IF(BF$7="Actual","",IF(BF$478=0,0,INDEX($M486:$Q486,,MATCH(BF$4,$M$4:$Q$4,0))/INDEX($M$478:$Q$478,,MATCH(BF$4,$M$4:$Q$4,0))))</f>
        <v/>
      </c>
      <c r="BG486" s="265">
        <f>IF(BG$7="Actual","",IF(BG$478=0,0,INDEX($M486:$Q486,,MATCH(BG$4,$M$4:$Q$4,0))/INDEX($M$478:$Q$478,,MATCH(BG$4,$M$4:$Q$4,0))))</f>
        <v/>
      </c>
      <c r="BH486" s="265">
        <f>IF(BH$7="Actual","",IF(BH$478=0,0,INDEX($M486:$Q486,,MATCH(BH$4,$M$4:$Q$4,0))/INDEX($M$478:$Q$478,,MATCH(BH$4,$M$4:$Q$4,0))))</f>
        <v/>
      </c>
      <c r="BI486" s="265">
        <f>IF(BI$7="Actual","",IF(BI$478=0,0,INDEX($M486:$Q486,,MATCH(BI$4,$M$4:$Q$4,0))/INDEX($M$478:$Q$478,,MATCH(BI$4,$M$4:$Q$4,0))))</f>
        <v/>
      </c>
      <c r="BJ486" s="265">
        <f>IF(BJ$7="Actual","",IF(BJ$478=0,0,INDEX($M486:$Q486,,MATCH(BJ$4,$M$4:$Q$4,0))/INDEX($M$478:$Q$478,,MATCH(BJ$4,$M$4:$Q$4,0))))</f>
        <v/>
      </c>
      <c r="BK486" s="265">
        <f>IF(BK$7="Actual","",IF(BK$478=0,0,INDEX($M486:$Q486,,MATCH(BK$4,$M$4:$Q$4,0))/INDEX($M$478:$Q$478,,MATCH(BK$4,$M$4:$Q$4,0))))</f>
        <v/>
      </c>
      <c r="BL486" s="265">
        <f>IF(BL$7="Actual","",IF(BL$478=0,0,INDEX($M486:$Q486,,MATCH(BL$4,$M$4:$Q$4,0))/INDEX($M$478:$Q$478,,MATCH(BL$4,$M$4:$Q$4,0))))</f>
        <v/>
      </c>
      <c r="BM486" s="265">
        <f>IF(BM$7="Actual","",IF(BM$478=0,0,INDEX($M486:$Q486,,MATCH(BM$4,$M$4:$Q$4,0))/INDEX($M$478:$Q$478,,MATCH(BM$4,$M$4:$Q$4,0))))</f>
        <v/>
      </c>
      <c r="BN486" s="265">
        <f>IF(BN$7="Actual","",IF(BN$478=0,0,INDEX($M486:$Q486,,MATCH(BN$4,$M$4:$Q$4,0))/INDEX($M$478:$Q$478,,MATCH(BN$4,$M$4:$Q$4,0))))</f>
        <v/>
      </c>
      <c r="BO486" s="265">
        <f>IF(BO$7="Actual","",IF(BO$478=0,0,INDEX($M486:$Q486,,MATCH(BO$4,$M$4:$Q$4,0))/INDEX($M$478:$Q$478,,MATCH(BO$4,$M$4:$Q$4,0))))</f>
        <v/>
      </c>
      <c r="BP486" s="265">
        <f>IF(BP$7="Actual","",IF(BP$478=0,0,INDEX($M486:$Q486,,MATCH(BP$4,$M$4:$Q$4,0))/INDEX($M$478:$Q$478,,MATCH(BP$4,$M$4:$Q$4,0))))</f>
        <v/>
      </c>
      <c r="BQ486" s="265">
        <f>IF(BQ$7="Actual","",IF(BQ$478=0,0,INDEX($M486:$Q486,,MATCH(BQ$4,$M$4:$Q$4,0))/INDEX($M$478:$Q$478,,MATCH(BQ$4,$M$4:$Q$4,0))))</f>
        <v/>
      </c>
      <c r="BR486" s="265">
        <f>IF(BR$7="Actual","",IF(BR$478=0,0,INDEX($M486:$Q486,,MATCH(BR$4,$M$4:$Q$4,0))/INDEX($M$478:$Q$478,,MATCH(BR$4,$M$4:$Q$4,0))))</f>
        <v/>
      </c>
      <c r="BS486" s="265">
        <f>IF(BS$7="Actual","",IF(BS$478=0,0,INDEX($M486:$Q486,,MATCH(BS$4,$M$4:$Q$4,0))/INDEX($M$478:$Q$478,,MATCH(BS$4,$M$4:$Q$4,0))))</f>
        <v/>
      </c>
      <c r="BT486" s="265">
        <f>IF(BT$7="Actual","",IF(BT$478=0,0,INDEX($M486:$Q486,,MATCH(BT$4,$M$4:$Q$4,0))/INDEX($M$478:$Q$478,,MATCH(BT$4,$M$4:$Q$4,0))))</f>
        <v/>
      </c>
      <c r="BU486" s="265">
        <f>IF(BU$7="Actual","",IF(BU$478=0,0,INDEX($M486:$Q486,,MATCH(BU$4,$M$4:$Q$4,0))/INDEX($M$478:$Q$478,,MATCH(BU$4,$M$4:$Q$4,0))))</f>
        <v/>
      </c>
      <c r="BV486" s="265">
        <f>IF(BV$7="Actual","",IF(BV$478=0,0,INDEX($M486:$Q486,,MATCH(BV$4,$M$4:$Q$4,0))/INDEX($M$478:$Q$478,,MATCH(BV$4,$M$4:$Q$4,0))))</f>
        <v/>
      </c>
      <c r="BW486" s="265">
        <f>IF(BW$7="Actual","",IF(BW$478=0,0,INDEX($M486:$Q486,,MATCH(BW$4,$M$4:$Q$4,0))/INDEX($M$478:$Q$478,,MATCH(BW$4,$M$4:$Q$4,0))))</f>
        <v/>
      </c>
      <c r="BX486" s="265">
        <f>IF(BX$7="Actual","",IF(BX$478=0,0,INDEX($M486:$Q486,,MATCH(BX$4,$M$4:$Q$4,0))/INDEX($M$478:$Q$478,,MATCH(BX$4,$M$4:$Q$4,0))))</f>
        <v/>
      </c>
      <c r="BY486" s="265">
        <f>IF(BY$7="Actual","",IF(BY$478=0,0,INDEX($M486:$Q486,,MATCH(BY$4,$M$4:$Q$4,0))/INDEX($M$478:$Q$478,,MATCH(BY$4,$M$4:$Q$4,0))))</f>
        <v/>
      </c>
      <c r="BZ486" s="265">
        <f>IF(BZ$7="Actual","",IF(BZ$478=0,0,INDEX($M486:$Q486,,MATCH(BZ$4,$M$4:$Q$4,0))/INDEX($M$478:$Q$478,,MATCH(BZ$4,$M$4:$Q$4,0))))</f>
        <v/>
      </c>
      <c r="CA486" s="265">
        <f>IF(CA$7="Actual","",IF(CA$478=0,0,INDEX($M486:$Q486,,MATCH(CA$4,$M$4:$Q$4,0))/INDEX($M$478:$Q$478,,MATCH(CA$4,$M$4:$Q$4,0))))</f>
        <v/>
      </c>
    </row>
    <row r="487" ht="12" customHeight="1" s="227">
      <c r="A487" s="244" t="n"/>
      <c r="B487" s="244" t="n"/>
      <c r="C487" s="244" t="n"/>
      <c r="H487" s="4">
        <f>H470</f>
        <v/>
      </c>
      <c r="I487" s="27" t="inlineStr">
        <is>
          <t>%</t>
        </is>
      </c>
      <c r="K487" s="6" t="n"/>
      <c r="M487" s="265">
        <f>IF(M$7="Actual","",i_Assumptions!M549)</f>
        <v/>
      </c>
      <c r="N487" s="265">
        <f>IF(N$7="Actual","",i_Assumptions!N549)</f>
        <v/>
      </c>
      <c r="O487" s="265">
        <f>IF(O$7="Actual","",i_Assumptions!O549)</f>
        <v/>
      </c>
      <c r="P487" s="265">
        <f>IF(P$7="Actual","",i_Assumptions!P549)</f>
        <v/>
      </c>
      <c r="Q487" s="265">
        <f>IF(Q$7="Actual","",i_Assumptions!Q549)</f>
        <v/>
      </c>
      <c r="T487" s="265">
        <f>IF(T$7="Actual","",IF(T$478=0,0,INDEX($M487:$Q487,,MATCH(T$4,$M$4:$Q$4,0))/INDEX($M$478:$Q$478,,MATCH(T$4,$M$4:$Q$4,0))))</f>
        <v/>
      </c>
      <c r="U487" s="265">
        <f>IF(U$7="Actual","",IF(U$478=0,0,INDEX($M487:$Q487,,MATCH(U$4,$M$4:$Q$4,0))/INDEX($M$478:$Q$478,,MATCH(U$4,$M$4:$Q$4,0))))</f>
        <v/>
      </c>
      <c r="V487" s="265">
        <f>IF(V$7="Actual","",IF(V$478=0,0,INDEX($M487:$Q487,,MATCH(V$4,$M$4:$Q$4,0))/INDEX($M$478:$Q$478,,MATCH(V$4,$M$4:$Q$4,0))))</f>
        <v/>
      </c>
      <c r="W487" s="265">
        <f>IF(W$7="Actual","",IF(W$478=0,0,INDEX($M487:$Q487,,MATCH(W$4,$M$4:$Q$4,0))/INDEX($M$478:$Q$478,,MATCH(W$4,$M$4:$Q$4,0))))</f>
        <v/>
      </c>
      <c r="X487" s="265">
        <f>IF(X$7="Actual","",IF(X$478=0,0,INDEX($M487:$Q487,,MATCH(X$4,$M$4:$Q$4,0))/INDEX($M$478:$Q$478,,MATCH(X$4,$M$4:$Q$4,0))))</f>
        <v/>
      </c>
      <c r="Y487" s="265">
        <f>IF(Y$7="Actual","",IF(Y$478=0,0,INDEX($M487:$Q487,,MATCH(Y$4,$M$4:$Q$4,0))/INDEX($M$478:$Q$478,,MATCH(Y$4,$M$4:$Q$4,0))))</f>
        <v/>
      </c>
      <c r="Z487" s="265">
        <f>IF(Z$7="Actual","",IF(Z$478=0,0,INDEX($M487:$Q487,,MATCH(Z$4,$M$4:$Q$4,0))/INDEX($M$478:$Q$478,,MATCH(Z$4,$M$4:$Q$4,0))))</f>
        <v/>
      </c>
      <c r="AA487" s="265">
        <f>IF(AA$7="Actual","",IF(AA$478=0,0,INDEX($M487:$Q487,,MATCH(AA$4,$M$4:$Q$4,0))/INDEX($M$478:$Q$478,,MATCH(AA$4,$M$4:$Q$4,0))))</f>
        <v/>
      </c>
      <c r="AB487" s="265">
        <f>IF(AB$7="Actual","",IF(AB$478=0,0,INDEX($M487:$Q487,,MATCH(AB$4,$M$4:$Q$4,0))/INDEX($M$478:$Q$478,,MATCH(AB$4,$M$4:$Q$4,0))))</f>
        <v/>
      </c>
      <c r="AC487" s="265">
        <f>IF(AC$7="Actual","",IF(AC$478=0,0,INDEX($M487:$Q487,,MATCH(AC$4,$M$4:$Q$4,0))/INDEX($M$478:$Q$478,,MATCH(AC$4,$M$4:$Q$4,0))))</f>
        <v/>
      </c>
      <c r="AD487" s="265">
        <f>IF(AD$7="Actual","",IF(AD$478=0,0,INDEX($M487:$Q487,,MATCH(AD$4,$M$4:$Q$4,0))/INDEX($M$478:$Q$478,,MATCH(AD$4,$M$4:$Q$4,0))))</f>
        <v/>
      </c>
      <c r="AE487" s="265">
        <f>IF(AE$7="Actual","",IF(AE$478=0,0,INDEX($M487:$Q487,,MATCH(AE$4,$M$4:$Q$4,0))/INDEX($M$478:$Q$478,,MATCH(AE$4,$M$4:$Q$4,0))))</f>
        <v/>
      </c>
      <c r="AF487" s="265">
        <f>IF(AF$7="Actual","",IF(AF$478=0,0,INDEX($M487:$Q487,,MATCH(AF$4,$M$4:$Q$4,0))/INDEX($M$478:$Q$478,,MATCH(AF$4,$M$4:$Q$4,0))))</f>
        <v/>
      </c>
      <c r="AG487" s="265">
        <f>IF(AG$7="Actual","",IF(AG$478=0,0,INDEX($M487:$Q487,,MATCH(AG$4,$M$4:$Q$4,0))/INDEX($M$478:$Q$478,,MATCH(AG$4,$M$4:$Q$4,0))))</f>
        <v/>
      </c>
      <c r="AH487" s="265">
        <f>IF(AH$7="Actual","",IF(AH$478=0,0,INDEX($M487:$Q487,,MATCH(AH$4,$M$4:$Q$4,0))/INDEX($M$478:$Q$478,,MATCH(AH$4,$M$4:$Q$4,0))))</f>
        <v/>
      </c>
      <c r="AI487" s="265">
        <f>IF(AI$7="Actual","",IF(AI$478=0,0,INDEX($M487:$Q487,,MATCH(AI$4,$M$4:$Q$4,0))/INDEX($M$478:$Q$478,,MATCH(AI$4,$M$4:$Q$4,0))))</f>
        <v/>
      </c>
      <c r="AJ487" s="265">
        <f>IF(AJ$7="Actual","",IF(AJ$478=0,0,INDEX($M487:$Q487,,MATCH(AJ$4,$M$4:$Q$4,0))/INDEX($M$478:$Q$478,,MATCH(AJ$4,$M$4:$Q$4,0))))</f>
        <v/>
      </c>
      <c r="AK487" s="265">
        <f>IF(AK$7="Actual","",IF(AK$478=0,0,INDEX($M487:$Q487,,MATCH(AK$4,$M$4:$Q$4,0))/INDEX($M$478:$Q$478,,MATCH(AK$4,$M$4:$Q$4,0))))</f>
        <v/>
      </c>
      <c r="AL487" s="265">
        <f>IF(AL$7="Actual","",IF(AL$478=0,0,INDEX($M487:$Q487,,MATCH(AL$4,$M$4:$Q$4,0))/INDEX($M$478:$Q$478,,MATCH(AL$4,$M$4:$Q$4,0))))</f>
        <v/>
      </c>
      <c r="AM487" s="265">
        <f>IF(AM$7="Actual","",IF(AM$478=0,0,INDEX($M487:$Q487,,MATCH(AM$4,$M$4:$Q$4,0))/INDEX($M$478:$Q$478,,MATCH(AM$4,$M$4:$Q$4,0))))</f>
        <v/>
      </c>
      <c r="AN487" s="265">
        <f>IF(AN$7="Actual","",IF(AN$478=0,0,INDEX($M487:$Q487,,MATCH(AN$4,$M$4:$Q$4,0))/INDEX($M$478:$Q$478,,MATCH(AN$4,$M$4:$Q$4,0))))</f>
        <v/>
      </c>
      <c r="AO487" s="265">
        <f>IF(AO$7="Actual","",IF(AO$478=0,0,INDEX($M487:$Q487,,MATCH(AO$4,$M$4:$Q$4,0))/INDEX($M$478:$Q$478,,MATCH(AO$4,$M$4:$Q$4,0))))</f>
        <v/>
      </c>
      <c r="AP487" s="265">
        <f>IF(AP$7="Actual","",IF(AP$478=0,0,INDEX($M487:$Q487,,MATCH(AP$4,$M$4:$Q$4,0))/INDEX($M$478:$Q$478,,MATCH(AP$4,$M$4:$Q$4,0))))</f>
        <v/>
      </c>
      <c r="AQ487" s="265">
        <f>IF(AQ$7="Actual","",IF(AQ$478=0,0,INDEX($M487:$Q487,,MATCH(AQ$4,$M$4:$Q$4,0))/INDEX($M$478:$Q$478,,MATCH(AQ$4,$M$4:$Q$4,0))))</f>
        <v/>
      </c>
      <c r="AR487" s="265">
        <f>IF(AR$7="Actual","",IF(AR$478=0,0,INDEX($M487:$Q487,,MATCH(AR$4,$M$4:$Q$4,0))/INDEX($M$478:$Q$478,,MATCH(AR$4,$M$4:$Q$4,0))))</f>
        <v/>
      </c>
      <c r="AS487" s="265">
        <f>IF(AS$7="Actual","",IF(AS$478=0,0,INDEX($M487:$Q487,,MATCH(AS$4,$M$4:$Q$4,0))/INDEX($M$478:$Q$478,,MATCH(AS$4,$M$4:$Q$4,0))))</f>
        <v/>
      </c>
      <c r="AT487" s="265">
        <f>IF(AT$7="Actual","",IF(AT$478=0,0,INDEX($M487:$Q487,,MATCH(AT$4,$M$4:$Q$4,0))/INDEX($M$478:$Q$478,,MATCH(AT$4,$M$4:$Q$4,0))))</f>
        <v/>
      </c>
      <c r="AU487" s="265">
        <f>IF(AU$7="Actual","",IF(AU$478=0,0,INDEX($M487:$Q487,,MATCH(AU$4,$M$4:$Q$4,0))/INDEX($M$478:$Q$478,,MATCH(AU$4,$M$4:$Q$4,0))))</f>
        <v/>
      </c>
      <c r="AV487" s="265">
        <f>IF(AV$7="Actual","",IF(AV$478=0,0,INDEX($M487:$Q487,,MATCH(AV$4,$M$4:$Q$4,0))/INDEX($M$478:$Q$478,,MATCH(AV$4,$M$4:$Q$4,0))))</f>
        <v/>
      </c>
      <c r="AW487" s="265">
        <f>IF(AW$7="Actual","",IF(AW$478=0,0,INDEX($M487:$Q487,,MATCH(AW$4,$M$4:$Q$4,0))/INDEX($M$478:$Q$478,,MATCH(AW$4,$M$4:$Q$4,0))))</f>
        <v/>
      </c>
      <c r="AX487" s="265">
        <f>IF(AX$7="Actual","",IF(AX$478=0,0,INDEX($M487:$Q487,,MATCH(AX$4,$M$4:$Q$4,0))/INDEX($M$478:$Q$478,,MATCH(AX$4,$M$4:$Q$4,0))))</f>
        <v/>
      </c>
      <c r="AY487" s="265">
        <f>IF(AY$7="Actual","",IF(AY$478=0,0,INDEX($M487:$Q487,,MATCH(AY$4,$M$4:$Q$4,0))/INDEX($M$478:$Q$478,,MATCH(AY$4,$M$4:$Q$4,0))))</f>
        <v/>
      </c>
      <c r="AZ487" s="265">
        <f>IF(AZ$7="Actual","",IF(AZ$478=0,0,INDEX($M487:$Q487,,MATCH(AZ$4,$M$4:$Q$4,0))/INDEX($M$478:$Q$478,,MATCH(AZ$4,$M$4:$Q$4,0))))</f>
        <v/>
      </c>
      <c r="BA487" s="265">
        <f>IF(BA$7="Actual","",IF(BA$478=0,0,INDEX($M487:$Q487,,MATCH(BA$4,$M$4:$Q$4,0))/INDEX($M$478:$Q$478,,MATCH(BA$4,$M$4:$Q$4,0))))</f>
        <v/>
      </c>
      <c r="BB487" s="265">
        <f>IF(BB$7="Actual","",IF(BB$478=0,0,INDEX($M487:$Q487,,MATCH(BB$4,$M$4:$Q$4,0))/INDEX($M$478:$Q$478,,MATCH(BB$4,$M$4:$Q$4,0))))</f>
        <v/>
      </c>
      <c r="BC487" s="265">
        <f>IF(BC$7="Actual","",IF(BC$478=0,0,INDEX($M487:$Q487,,MATCH(BC$4,$M$4:$Q$4,0))/INDEX($M$478:$Q$478,,MATCH(BC$4,$M$4:$Q$4,0))))</f>
        <v/>
      </c>
      <c r="BD487" s="265">
        <f>IF(BD$7="Actual","",IF(BD$478=0,0,INDEX($M487:$Q487,,MATCH(BD$4,$M$4:$Q$4,0))/INDEX($M$478:$Q$478,,MATCH(BD$4,$M$4:$Q$4,0))))</f>
        <v/>
      </c>
      <c r="BE487" s="265">
        <f>IF(BE$7="Actual","",IF(BE$478=0,0,INDEX($M487:$Q487,,MATCH(BE$4,$M$4:$Q$4,0))/INDEX($M$478:$Q$478,,MATCH(BE$4,$M$4:$Q$4,0))))</f>
        <v/>
      </c>
      <c r="BF487" s="265">
        <f>IF(BF$7="Actual","",IF(BF$478=0,0,INDEX($M487:$Q487,,MATCH(BF$4,$M$4:$Q$4,0))/INDEX($M$478:$Q$478,,MATCH(BF$4,$M$4:$Q$4,0))))</f>
        <v/>
      </c>
      <c r="BG487" s="265">
        <f>IF(BG$7="Actual","",IF(BG$478=0,0,INDEX($M487:$Q487,,MATCH(BG$4,$M$4:$Q$4,0))/INDEX($M$478:$Q$478,,MATCH(BG$4,$M$4:$Q$4,0))))</f>
        <v/>
      </c>
      <c r="BH487" s="265">
        <f>IF(BH$7="Actual","",IF(BH$478=0,0,INDEX($M487:$Q487,,MATCH(BH$4,$M$4:$Q$4,0))/INDEX($M$478:$Q$478,,MATCH(BH$4,$M$4:$Q$4,0))))</f>
        <v/>
      </c>
      <c r="BI487" s="265">
        <f>IF(BI$7="Actual","",IF(BI$478=0,0,INDEX($M487:$Q487,,MATCH(BI$4,$M$4:$Q$4,0))/INDEX($M$478:$Q$478,,MATCH(BI$4,$M$4:$Q$4,0))))</f>
        <v/>
      </c>
      <c r="BJ487" s="265">
        <f>IF(BJ$7="Actual","",IF(BJ$478=0,0,INDEX($M487:$Q487,,MATCH(BJ$4,$M$4:$Q$4,0))/INDEX($M$478:$Q$478,,MATCH(BJ$4,$M$4:$Q$4,0))))</f>
        <v/>
      </c>
      <c r="BK487" s="265">
        <f>IF(BK$7="Actual","",IF(BK$478=0,0,INDEX($M487:$Q487,,MATCH(BK$4,$M$4:$Q$4,0))/INDEX($M$478:$Q$478,,MATCH(BK$4,$M$4:$Q$4,0))))</f>
        <v/>
      </c>
      <c r="BL487" s="265">
        <f>IF(BL$7="Actual","",IF(BL$478=0,0,INDEX($M487:$Q487,,MATCH(BL$4,$M$4:$Q$4,0))/INDEX($M$478:$Q$478,,MATCH(BL$4,$M$4:$Q$4,0))))</f>
        <v/>
      </c>
      <c r="BM487" s="265">
        <f>IF(BM$7="Actual","",IF(BM$478=0,0,INDEX($M487:$Q487,,MATCH(BM$4,$M$4:$Q$4,0))/INDEX($M$478:$Q$478,,MATCH(BM$4,$M$4:$Q$4,0))))</f>
        <v/>
      </c>
      <c r="BN487" s="265">
        <f>IF(BN$7="Actual","",IF(BN$478=0,0,INDEX($M487:$Q487,,MATCH(BN$4,$M$4:$Q$4,0))/INDEX($M$478:$Q$478,,MATCH(BN$4,$M$4:$Q$4,0))))</f>
        <v/>
      </c>
      <c r="BO487" s="265">
        <f>IF(BO$7="Actual","",IF(BO$478=0,0,INDEX($M487:$Q487,,MATCH(BO$4,$M$4:$Q$4,0))/INDEX($M$478:$Q$478,,MATCH(BO$4,$M$4:$Q$4,0))))</f>
        <v/>
      </c>
      <c r="BP487" s="265">
        <f>IF(BP$7="Actual","",IF(BP$478=0,0,INDEX($M487:$Q487,,MATCH(BP$4,$M$4:$Q$4,0))/INDEX($M$478:$Q$478,,MATCH(BP$4,$M$4:$Q$4,0))))</f>
        <v/>
      </c>
      <c r="BQ487" s="265">
        <f>IF(BQ$7="Actual","",IF(BQ$478=0,0,INDEX($M487:$Q487,,MATCH(BQ$4,$M$4:$Q$4,0))/INDEX($M$478:$Q$478,,MATCH(BQ$4,$M$4:$Q$4,0))))</f>
        <v/>
      </c>
      <c r="BR487" s="265">
        <f>IF(BR$7="Actual","",IF(BR$478=0,0,INDEX($M487:$Q487,,MATCH(BR$4,$M$4:$Q$4,0))/INDEX($M$478:$Q$478,,MATCH(BR$4,$M$4:$Q$4,0))))</f>
        <v/>
      </c>
      <c r="BS487" s="265">
        <f>IF(BS$7="Actual","",IF(BS$478=0,0,INDEX($M487:$Q487,,MATCH(BS$4,$M$4:$Q$4,0))/INDEX($M$478:$Q$478,,MATCH(BS$4,$M$4:$Q$4,0))))</f>
        <v/>
      </c>
      <c r="BT487" s="265">
        <f>IF(BT$7="Actual","",IF(BT$478=0,0,INDEX($M487:$Q487,,MATCH(BT$4,$M$4:$Q$4,0))/INDEX($M$478:$Q$478,,MATCH(BT$4,$M$4:$Q$4,0))))</f>
        <v/>
      </c>
      <c r="BU487" s="265">
        <f>IF(BU$7="Actual","",IF(BU$478=0,0,INDEX($M487:$Q487,,MATCH(BU$4,$M$4:$Q$4,0))/INDEX($M$478:$Q$478,,MATCH(BU$4,$M$4:$Q$4,0))))</f>
        <v/>
      </c>
      <c r="BV487" s="265">
        <f>IF(BV$7="Actual","",IF(BV$478=0,0,INDEX($M487:$Q487,,MATCH(BV$4,$M$4:$Q$4,0))/INDEX($M$478:$Q$478,,MATCH(BV$4,$M$4:$Q$4,0))))</f>
        <v/>
      </c>
      <c r="BW487" s="265">
        <f>IF(BW$7="Actual","",IF(BW$478=0,0,INDEX($M487:$Q487,,MATCH(BW$4,$M$4:$Q$4,0))/INDEX($M$478:$Q$478,,MATCH(BW$4,$M$4:$Q$4,0))))</f>
        <v/>
      </c>
      <c r="BX487" s="265">
        <f>IF(BX$7="Actual","",IF(BX$478=0,0,INDEX($M487:$Q487,,MATCH(BX$4,$M$4:$Q$4,0))/INDEX($M$478:$Q$478,,MATCH(BX$4,$M$4:$Q$4,0))))</f>
        <v/>
      </c>
      <c r="BY487" s="265">
        <f>IF(BY$7="Actual","",IF(BY$478=0,0,INDEX($M487:$Q487,,MATCH(BY$4,$M$4:$Q$4,0))/INDEX($M$478:$Q$478,,MATCH(BY$4,$M$4:$Q$4,0))))</f>
        <v/>
      </c>
      <c r="BZ487" s="265">
        <f>IF(BZ$7="Actual","",IF(BZ$478=0,0,INDEX($M487:$Q487,,MATCH(BZ$4,$M$4:$Q$4,0))/INDEX($M$478:$Q$478,,MATCH(BZ$4,$M$4:$Q$4,0))))</f>
        <v/>
      </c>
      <c r="CA487" s="265">
        <f>IF(CA$7="Actual","",IF(CA$478=0,0,INDEX($M487:$Q487,,MATCH(CA$4,$M$4:$Q$4,0))/INDEX($M$478:$Q$478,,MATCH(CA$4,$M$4:$Q$4,0))))</f>
        <v/>
      </c>
    </row>
    <row r="488" ht="12" customHeight="1" s="227">
      <c r="A488" s="244" t="n"/>
      <c r="B488" s="244" t="n"/>
      <c r="C488" s="244" t="n"/>
      <c r="H488" s="4">
        <f>H471</f>
        <v/>
      </c>
      <c r="I488" s="27" t="inlineStr">
        <is>
          <t>%</t>
        </is>
      </c>
      <c r="K488" s="6" t="n"/>
      <c r="M488" s="265">
        <f>IF(M$7="Actual","",i_Assumptions!M550)</f>
        <v/>
      </c>
      <c r="N488" s="265">
        <f>IF(N$7="Actual","",i_Assumptions!N550)</f>
        <v/>
      </c>
      <c r="O488" s="265">
        <f>IF(O$7="Actual","",i_Assumptions!O550)</f>
        <v/>
      </c>
      <c r="P488" s="265">
        <f>IF(P$7="Actual","",i_Assumptions!P550)</f>
        <v/>
      </c>
      <c r="Q488" s="265">
        <f>IF(Q$7="Actual","",i_Assumptions!Q550)</f>
        <v/>
      </c>
      <c r="T488" s="265">
        <f>IF(T$7="Actual","",IF(T$478=0,0,INDEX($M488:$Q488,,MATCH(T$4,$M$4:$Q$4,0))/INDEX($M$478:$Q$478,,MATCH(T$4,$M$4:$Q$4,0))))</f>
        <v/>
      </c>
      <c r="U488" s="265">
        <f>IF(U$7="Actual","",IF(U$478=0,0,INDEX($M488:$Q488,,MATCH(U$4,$M$4:$Q$4,0))/INDEX($M$478:$Q$478,,MATCH(U$4,$M$4:$Q$4,0))))</f>
        <v/>
      </c>
      <c r="V488" s="265">
        <f>IF(V$7="Actual","",IF(V$478=0,0,INDEX($M488:$Q488,,MATCH(V$4,$M$4:$Q$4,0))/INDEX($M$478:$Q$478,,MATCH(V$4,$M$4:$Q$4,0))))</f>
        <v/>
      </c>
      <c r="W488" s="265">
        <f>IF(W$7="Actual","",IF(W$478=0,0,INDEX($M488:$Q488,,MATCH(W$4,$M$4:$Q$4,0))/INDEX($M$478:$Q$478,,MATCH(W$4,$M$4:$Q$4,0))))</f>
        <v/>
      </c>
      <c r="X488" s="265">
        <f>IF(X$7="Actual","",IF(X$478=0,0,INDEX($M488:$Q488,,MATCH(X$4,$M$4:$Q$4,0))/INDEX($M$478:$Q$478,,MATCH(X$4,$M$4:$Q$4,0))))</f>
        <v/>
      </c>
      <c r="Y488" s="265">
        <f>IF(Y$7="Actual","",IF(Y$478=0,0,INDEX($M488:$Q488,,MATCH(Y$4,$M$4:$Q$4,0))/INDEX($M$478:$Q$478,,MATCH(Y$4,$M$4:$Q$4,0))))</f>
        <v/>
      </c>
      <c r="Z488" s="265">
        <f>IF(Z$7="Actual","",IF(Z$478=0,0,INDEX($M488:$Q488,,MATCH(Z$4,$M$4:$Q$4,0))/INDEX($M$478:$Q$478,,MATCH(Z$4,$M$4:$Q$4,0))))</f>
        <v/>
      </c>
      <c r="AA488" s="265">
        <f>IF(AA$7="Actual","",IF(AA$478=0,0,INDEX($M488:$Q488,,MATCH(AA$4,$M$4:$Q$4,0))/INDEX($M$478:$Q$478,,MATCH(AA$4,$M$4:$Q$4,0))))</f>
        <v/>
      </c>
      <c r="AB488" s="265">
        <f>IF(AB$7="Actual","",IF(AB$478=0,0,INDEX($M488:$Q488,,MATCH(AB$4,$M$4:$Q$4,0))/INDEX($M$478:$Q$478,,MATCH(AB$4,$M$4:$Q$4,0))))</f>
        <v/>
      </c>
      <c r="AC488" s="265">
        <f>IF(AC$7="Actual","",IF(AC$478=0,0,INDEX($M488:$Q488,,MATCH(AC$4,$M$4:$Q$4,0))/INDEX($M$478:$Q$478,,MATCH(AC$4,$M$4:$Q$4,0))))</f>
        <v/>
      </c>
      <c r="AD488" s="265">
        <f>IF(AD$7="Actual","",IF(AD$478=0,0,INDEX($M488:$Q488,,MATCH(AD$4,$M$4:$Q$4,0))/INDEX($M$478:$Q$478,,MATCH(AD$4,$M$4:$Q$4,0))))</f>
        <v/>
      </c>
      <c r="AE488" s="265">
        <f>IF(AE$7="Actual","",IF(AE$478=0,0,INDEX($M488:$Q488,,MATCH(AE$4,$M$4:$Q$4,0))/INDEX($M$478:$Q$478,,MATCH(AE$4,$M$4:$Q$4,0))))</f>
        <v/>
      </c>
      <c r="AF488" s="265">
        <f>IF(AF$7="Actual","",IF(AF$478=0,0,INDEX($M488:$Q488,,MATCH(AF$4,$M$4:$Q$4,0))/INDEX($M$478:$Q$478,,MATCH(AF$4,$M$4:$Q$4,0))))</f>
        <v/>
      </c>
      <c r="AG488" s="265">
        <f>IF(AG$7="Actual","",IF(AG$478=0,0,INDEX($M488:$Q488,,MATCH(AG$4,$M$4:$Q$4,0))/INDEX($M$478:$Q$478,,MATCH(AG$4,$M$4:$Q$4,0))))</f>
        <v/>
      </c>
      <c r="AH488" s="265">
        <f>IF(AH$7="Actual","",IF(AH$478=0,0,INDEX($M488:$Q488,,MATCH(AH$4,$M$4:$Q$4,0))/INDEX($M$478:$Q$478,,MATCH(AH$4,$M$4:$Q$4,0))))</f>
        <v/>
      </c>
      <c r="AI488" s="265">
        <f>IF(AI$7="Actual","",IF(AI$478=0,0,INDEX($M488:$Q488,,MATCH(AI$4,$M$4:$Q$4,0))/INDEX($M$478:$Q$478,,MATCH(AI$4,$M$4:$Q$4,0))))</f>
        <v/>
      </c>
      <c r="AJ488" s="265">
        <f>IF(AJ$7="Actual","",IF(AJ$478=0,0,INDEX($M488:$Q488,,MATCH(AJ$4,$M$4:$Q$4,0))/INDEX($M$478:$Q$478,,MATCH(AJ$4,$M$4:$Q$4,0))))</f>
        <v/>
      </c>
      <c r="AK488" s="265">
        <f>IF(AK$7="Actual","",IF(AK$478=0,0,INDEX($M488:$Q488,,MATCH(AK$4,$M$4:$Q$4,0))/INDEX($M$478:$Q$478,,MATCH(AK$4,$M$4:$Q$4,0))))</f>
        <v/>
      </c>
      <c r="AL488" s="265">
        <f>IF(AL$7="Actual","",IF(AL$478=0,0,INDEX($M488:$Q488,,MATCH(AL$4,$M$4:$Q$4,0))/INDEX($M$478:$Q$478,,MATCH(AL$4,$M$4:$Q$4,0))))</f>
        <v/>
      </c>
      <c r="AM488" s="265">
        <f>IF(AM$7="Actual","",IF(AM$478=0,0,INDEX($M488:$Q488,,MATCH(AM$4,$M$4:$Q$4,0))/INDEX($M$478:$Q$478,,MATCH(AM$4,$M$4:$Q$4,0))))</f>
        <v/>
      </c>
      <c r="AN488" s="265">
        <f>IF(AN$7="Actual","",IF(AN$478=0,0,INDEX($M488:$Q488,,MATCH(AN$4,$M$4:$Q$4,0))/INDEX($M$478:$Q$478,,MATCH(AN$4,$M$4:$Q$4,0))))</f>
        <v/>
      </c>
      <c r="AO488" s="265">
        <f>IF(AO$7="Actual","",IF(AO$478=0,0,INDEX($M488:$Q488,,MATCH(AO$4,$M$4:$Q$4,0))/INDEX($M$478:$Q$478,,MATCH(AO$4,$M$4:$Q$4,0))))</f>
        <v/>
      </c>
      <c r="AP488" s="265">
        <f>IF(AP$7="Actual","",IF(AP$478=0,0,INDEX($M488:$Q488,,MATCH(AP$4,$M$4:$Q$4,0))/INDEX($M$478:$Q$478,,MATCH(AP$4,$M$4:$Q$4,0))))</f>
        <v/>
      </c>
      <c r="AQ488" s="265">
        <f>IF(AQ$7="Actual","",IF(AQ$478=0,0,INDEX($M488:$Q488,,MATCH(AQ$4,$M$4:$Q$4,0))/INDEX($M$478:$Q$478,,MATCH(AQ$4,$M$4:$Q$4,0))))</f>
        <v/>
      </c>
      <c r="AR488" s="265">
        <f>IF(AR$7="Actual","",IF(AR$478=0,0,INDEX($M488:$Q488,,MATCH(AR$4,$M$4:$Q$4,0))/INDEX($M$478:$Q$478,,MATCH(AR$4,$M$4:$Q$4,0))))</f>
        <v/>
      </c>
      <c r="AS488" s="265">
        <f>IF(AS$7="Actual","",IF(AS$478=0,0,INDEX($M488:$Q488,,MATCH(AS$4,$M$4:$Q$4,0))/INDEX($M$478:$Q$478,,MATCH(AS$4,$M$4:$Q$4,0))))</f>
        <v/>
      </c>
      <c r="AT488" s="265">
        <f>IF(AT$7="Actual","",IF(AT$478=0,0,INDEX($M488:$Q488,,MATCH(AT$4,$M$4:$Q$4,0))/INDEX($M$478:$Q$478,,MATCH(AT$4,$M$4:$Q$4,0))))</f>
        <v/>
      </c>
      <c r="AU488" s="265">
        <f>IF(AU$7="Actual","",IF(AU$478=0,0,INDEX($M488:$Q488,,MATCH(AU$4,$M$4:$Q$4,0))/INDEX($M$478:$Q$478,,MATCH(AU$4,$M$4:$Q$4,0))))</f>
        <v/>
      </c>
      <c r="AV488" s="265">
        <f>IF(AV$7="Actual","",IF(AV$478=0,0,INDEX($M488:$Q488,,MATCH(AV$4,$M$4:$Q$4,0))/INDEX($M$478:$Q$478,,MATCH(AV$4,$M$4:$Q$4,0))))</f>
        <v/>
      </c>
      <c r="AW488" s="265">
        <f>IF(AW$7="Actual","",IF(AW$478=0,0,INDEX($M488:$Q488,,MATCH(AW$4,$M$4:$Q$4,0))/INDEX($M$478:$Q$478,,MATCH(AW$4,$M$4:$Q$4,0))))</f>
        <v/>
      </c>
      <c r="AX488" s="265">
        <f>IF(AX$7="Actual","",IF(AX$478=0,0,INDEX($M488:$Q488,,MATCH(AX$4,$M$4:$Q$4,0))/INDEX($M$478:$Q$478,,MATCH(AX$4,$M$4:$Q$4,0))))</f>
        <v/>
      </c>
      <c r="AY488" s="265">
        <f>IF(AY$7="Actual","",IF(AY$478=0,0,INDEX($M488:$Q488,,MATCH(AY$4,$M$4:$Q$4,0))/INDEX($M$478:$Q$478,,MATCH(AY$4,$M$4:$Q$4,0))))</f>
        <v/>
      </c>
      <c r="AZ488" s="265">
        <f>IF(AZ$7="Actual","",IF(AZ$478=0,0,INDEX($M488:$Q488,,MATCH(AZ$4,$M$4:$Q$4,0))/INDEX($M$478:$Q$478,,MATCH(AZ$4,$M$4:$Q$4,0))))</f>
        <v/>
      </c>
      <c r="BA488" s="265">
        <f>IF(BA$7="Actual","",IF(BA$478=0,0,INDEX($M488:$Q488,,MATCH(BA$4,$M$4:$Q$4,0))/INDEX($M$478:$Q$478,,MATCH(BA$4,$M$4:$Q$4,0))))</f>
        <v/>
      </c>
      <c r="BB488" s="265">
        <f>IF(BB$7="Actual","",IF(BB$478=0,0,INDEX($M488:$Q488,,MATCH(BB$4,$M$4:$Q$4,0))/INDEX($M$478:$Q$478,,MATCH(BB$4,$M$4:$Q$4,0))))</f>
        <v/>
      </c>
      <c r="BC488" s="265">
        <f>IF(BC$7="Actual","",IF(BC$478=0,0,INDEX($M488:$Q488,,MATCH(BC$4,$M$4:$Q$4,0))/INDEX($M$478:$Q$478,,MATCH(BC$4,$M$4:$Q$4,0))))</f>
        <v/>
      </c>
      <c r="BD488" s="265">
        <f>IF(BD$7="Actual","",IF(BD$478=0,0,INDEX($M488:$Q488,,MATCH(BD$4,$M$4:$Q$4,0))/INDEX($M$478:$Q$478,,MATCH(BD$4,$M$4:$Q$4,0))))</f>
        <v/>
      </c>
      <c r="BE488" s="265">
        <f>IF(BE$7="Actual","",IF(BE$478=0,0,INDEX($M488:$Q488,,MATCH(BE$4,$M$4:$Q$4,0))/INDEX($M$478:$Q$478,,MATCH(BE$4,$M$4:$Q$4,0))))</f>
        <v/>
      </c>
      <c r="BF488" s="265">
        <f>IF(BF$7="Actual","",IF(BF$478=0,0,INDEX($M488:$Q488,,MATCH(BF$4,$M$4:$Q$4,0))/INDEX($M$478:$Q$478,,MATCH(BF$4,$M$4:$Q$4,0))))</f>
        <v/>
      </c>
      <c r="BG488" s="265">
        <f>IF(BG$7="Actual","",IF(BG$478=0,0,INDEX($M488:$Q488,,MATCH(BG$4,$M$4:$Q$4,0))/INDEX($M$478:$Q$478,,MATCH(BG$4,$M$4:$Q$4,0))))</f>
        <v/>
      </c>
      <c r="BH488" s="265">
        <f>IF(BH$7="Actual","",IF(BH$478=0,0,INDEX($M488:$Q488,,MATCH(BH$4,$M$4:$Q$4,0))/INDEX($M$478:$Q$478,,MATCH(BH$4,$M$4:$Q$4,0))))</f>
        <v/>
      </c>
      <c r="BI488" s="265">
        <f>IF(BI$7="Actual","",IF(BI$478=0,0,INDEX($M488:$Q488,,MATCH(BI$4,$M$4:$Q$4,0))/INDEX($M$478:$Q$478,,MATCH(BI$4,$M$4:$Q$4,0))))</f>
        <v/>
      </c>
      <c r="BJ488" s="265">
        <f>IF(BJ$7="Actual","",IF(BJ$478=0,0,INDEX($M488:$Q488,,MATCH(BJ$4,$M$4:$Q$4,0))/INDEX($M$478:$Q$478,,MATCH(BJ$4,$M$4:$Q$4,0))))</f>
        <v/>
      </c>
      <c r="BK488" s="265">
        <f>IF(BK$7="Actual","",IF(BK$478=0,0,INDEX($M488:$Q488,,MATCH(BK$4,$M$4:$Q$4,0))/INDEX($M$478:$Q$478,,MATCH(BK$4,$M$4:$Q$4,0))))</f>
        <v/>
      </c>
      <c r="BL488" s="265">
        <f>IF(BL$7="Actual","",IF(BL$478=0,0,INDEX($M488:$Q488,,MATCH(BL$4,$M$4:$Q$4,0))/INDEX($M$478:$Q$478,,MATCH(BL$4,$M$4:$Q$4,0))))</f>
        <v/>
      </c>
      <c r="BM488" s="265">
        <f>IF(BM$7="Actual","",IF(BM$478=0,0,INDEX($M488:$Q488,,MATCH(BM$4,$M$4:$Q$4,0))/INDEX($M$478:$Q$478,,MATCH(BM$4,$M$4:$Q$4,0))))</f>
        <v/>
      </c>
      <c r="BN488" s="265">
        <f>IF(BN$7="Actual","",IF(BN$478=0,0,INDEX($M488:$Q488,,MATCH(BN$4,$M$4:$Q$4,0))/INDEX($M$478:$Q$478,,MATCH(BN$4,$M$4:$Q$4,0))))</f>
        <v/>
      </c>
      <c r="BO488" s="265">
        <f>IF(BO$7="Actual","",IF(BO$478=0,0,INDEX($M488:$Q488,,MATCH(BO$4,$M$4:$Q$4,0))/INDEX($M$478:$Q$478,,MATCH(BO$4,$M$4:$Q$4,0))))</f>
        <v/>
      </c>
      <c r="BP488" s="265">
        <f>IF(BP$7="Actual","",IF(BP$478=0,0,INDEX($M488:$Q488,,MATCH(BP$4,$M$4:$Q$4,0))/INDEX($M$478:$Q$478,,MATCH(BP$4,$M$4:$Q$4,0))))</f>
        <v/>
      </c>
      <c r="BQ488" s="265">
        <f>IF(BQ$7="Actual","",IF(BQ$478=0,0,INDEX($M488:$Q488,,MATCH(BQ$4,$M$4:$Q$4,0))/INDEX($M$478:$Q$478,,MATCH(BQ$4,$M$4:$Q$4,0))))</f>
        <v/>
      </c>
      <c r="BR488" s="265">
        <f>IF(BR$7="Actual","",IF(BR$478=0,0,INDEX($M488:$Q488,,MATCH(BR$4,$M$4:$Q$4,0))/INDEX($M$478:$Q$478,,MATCH(BR$4,$M$4:$Q$4,0))))</f>
        <v/>
      </c>
      <c r="BS488" s="265">
        <f>IF(BS$7="Actual","",IF(BS$478=0,0,INDEX($M488:$Q488,,MATCH(BS$4,$M$4:$Q$4,0))/INDEX($M$478:$Q$478,,MATCH(BS$4,$M$4:$Q$4,0))))</f>
        <v/>
      </c>
      <c r="BT488" s="265">
        <f>IF(BT$7="Actual","",IF(BT$478=0,0,INDEX($M488:$Q488,,MATCH(BT$4,$M$4:$Q$4,0))/INDEX($M$478:$Q$478,,MATCH(BT$4,$M$4:$Q$4,0))))</f>
        <v/>
      </c>
      <c r="BU488" s="265">
        <f>IF(BU$7="Actual","",IF(BU$478=0,0,INDEX($M488:$Q488,,MATCH(BU$4,$M$4:$Q$4,0))/INDEX($M$478:$Q$478,,MATCH(BU$4,$M$4:$Q$4,0))))</f>
        <v/>
      </c>
      <c r="BV488" s="265">
        <f>IF(BV$7="Actual","",IF(BV$478=0,0,INDEX($M488:$Q488,,MATCH(BV$4,$M$4:$Q$4,0))/INDEX($M$478:$Q$478,,MATCH(BV$4,$M$4:$Q$4,0))))</f>
        <v/>
      </c>
      <c r="BW488" s="265">
        <f>IF(BW$7="Actual","",IF(BW$478=0,0,INDEX($M488:$Q488,,MATCH(BW$4,$M$4:$Q$4,0))/INDEX($M$478:$Q$478,,MATCH(BW$4,$M$4:$Q$4,0))))</f>
        <v/>
      </c>
      <c r="BX488" s="265">
        <f>IF(BX$7="Actual","",IF(BX$478=0,0,INDEX($M488:$Q488,,MATCH(BX$4,$M$4:$Q$4,0))/INDEX($M$478:$Q$478,,MATCH(BX$4,$M$4:$Q$4,0))))</f>
        <v/>
      </c>
      <c r="BY488" s="265">
        <f>IF(BY$7="Actual","",IF(BY$478=0,0,INDEX($M488:$Q488,,MATCH(BY$4,$M$4:$Q$4,0))/INDEX($M$478:$Q$478,,MATCH(BY$4,$M$4:$Q$4,0))))</f>
        <v/>
      </c>
      <c r="BZ488" s="265">
        <f>IF(BZ$7="Actual","",IF(BZ$478=0,0,INDEX($M488:$Q488,,MATCH(BZ$4,$M$4:$Q$4,0))/INDEX($M$478:$Q$478,,MATCH(BZ$4,$M$4:$Q$4,0))))</f>
        <v/>
      </c>
      <c r="CA488" s="265">
        <f>IF(CA$7="Actual","",IF(CA$478=0,0,INDEX($M488:$Q488,,MATCH(CA$4,$M$4:$Q$4,0))/INDEX($M$478:$Q$478,,MATCH(CA$4,$M$4:$Q$4,0))))</f>
        <v/>
      </c>
    </row>
    <row r="489" ht="12" customHeight="1" s="227">
      <c r="A489" s="244" t="n"/>
      <c r="B489" s="244" t="n"/>
      <c r="C489" s="244" t="n"/>
      <c r="H489" s="4">
        <f>H472</f>
        <v/>
      </c>
      <c r="I489" s="27" t="inlineStr">
        <is>
          <t>%</t>
        </is>
      </c>
      <c r="K489" s="6" t="n"/>
      <c r="M489" s="265">
        <f>IF(M$7="Actual","",i_Assumptions!M551)</f>
        <v/>
      </c>
      <c r="N489" s="265">
        <f>IF(N$7="Actual","",i_Assumptions!N551)</f>
        <v/>
      </c>
      <c r="O489" s="265">
        <f>IF(O$7="Actual","",i_Assumptions!O551)</f>
        <v/>
      </c>
      <c r="P489" s="265">
        <f>IF(P$7="Actual","",i_Assumptions!P551)</f>
        <v/>
      </c>
      <c r="Q489" s="265">
        <f>IF(Q$7="Actual","",i_Assumptions!Q551)</f>
        <v/>
      </c>
      <c r="T489" s="265">
        <f>IF(T$7="Actual","",IF(T$478=0,0,INDEX($M489:$Q489,,MATCH(T$4,$M$4:$Q$4,0))/INDEX($M$478:$Q$478,,MATCH(T$4,$M$4:$Q$4,0))))</f>
        <v/>
      </c>
      <c r="U489" s="265">
        <f>IF(U$7="Actual","",IF(U$478=0,0,INDEX($M489:$Q489,,MATCH(U$4,$M$4:$Q$4,0))/INDEX($M$478:$Q$478,,MATCH(U$4,$M$4:$Q$4,0))))</f>
        <v/>
      </c>
      <c r="V489" s="265">
        <f>IF(V$7="Actual","",IF(V$478=0,0,INDEX($M489:$Q489,,MATCH(V$4,$M$4:$Q$4,0))/INDEX($M$478:$Q$478,,MATCH(V$4,$M$4:$Q$4,0))))</f>
        <v/>
      </c>
      <c r="W489" s="265">
        <f>IF(W$7="Actual","",IF(W$478=0,0,INDEX($M489:$Q489,,MATCH(W$4,$M$4:$Q$4,0))/INDEX($M$478:$Q$478,,MATCH(W$4,$M$4:$Q$4,0))))</f>
        <v/>
      </c>
      <c r="X489" s="265">
        <f>IF(X$7="Actual","",IF(X$478=0,0,INDEX($M489:$Q489,,MATCH(X$4,$M$4:$Q$4,0))/INDEX($M$478:$Q$478,,MATCH(X$4,$M$4:$Q$4,0))))</f>
        <v/>
      </c>
      <c r="Y489" s="265">
        <f>IF(Y$7="Actual","",IF(Y$478=0,0,INDEX($M489:$Q489,,MATCH(Y$4,$M$4:$Q$4,0))/INDEX($M$478:$Q$478,,MATCH(Y$4,$M$4:$Q$4,0))))</f>
        <v/>
      </c>
      <c r="Z489" s="265">
        <f>IF(Z$7="Actual","",IF(Z$478=0,0,INDEX($M489:$Q489,,MATCH(Z$4,$M$4:$Q$4,0))/INDEX($M$478:$Q$478,,MATCH(Z$4,$M$4:$Q$4,0))))</f>
        <v/>
      </c>
      <c r="AA489" s="265">
        <f>IF(AA$7="Actual","",IF(AA$478=0,0,INDEX($M489:$Q489,,MATCH(AA$4,$M$4:$Q$4,0))/INDEX($M$478:$Q$478,,MATCH(AA$4,$M$4:$Q$4,0))))</f>
        <v/>
      </c>
      <c r="AB489" s="265">
        <f>IF(AB$7="Actual","",IF(AB$478=0,0,INDEX($M489:$Q489,,MATCH(AB$4,$M$4:$Q$4,0))/INDEX($M$478:$Q$478,,MATCH(AB$4,$M$4:$Q$4,0))))</f>
        <v/>
      </c>
      <c r="AC489" s="265">
        <f>IF(AC$7="Actual","",IF(AC$478=0,0,INDEX($M489:$Q489,,MATCH(AC$4,$M$4:$Q$4,0))/INDEX($M$478:$Q$478,,MATCH(AC$4,$M$4:$Q$4,0))))</f>
        <v/>
      </c>
      <c r="AD489" s="265">
        <f>IF(AD$7="Actual","",IF(AD$478=0,0,INDEX($M489:$Q489,,MATCH(AD$4,$M$4:$Q$4,0))/INDEX($M$478:$Q$478,,MATCH(AD$4,$M$4:$Q$4,0))))</f>
        <v/>
      </c>
      <c r="AE489" s="265">
        <f>IF(AE$7="Actual","",IF(AE$478=0,0,INDEX($M489:$Q489,,MATCH(AE$4,$M$4:$Q$4,0))/INDEX($M$478:$Q$478,,MATCH(AE$4,$M$4:$Q$4,0))))</f>
        <v/>
      </c>
      <c r="AF489" s="265">
        <f>IF(AF$7="Actual","",IF(AF$478=0,0,INDEX($M489:$Q489,,MATCH(AF$4,$M$4:$Q$4,0))/INDEX($M$478:$Q$478,,MATCH(AF$4,$M$4:$Q$4,0))))</f>
        <v/>
      </c>
      <c r="AG489" s="265">
        <f>IF(AG$7="Actual","",IF(AG$478=0,0,INDEX($M489:$Q489,,MATCH(AG$4,$M$4:$Q$4,0))/INDEX($M$478:$Q$478,,MATCH(AG$4,$M$4:$Q$4,0))))</f>
        <v/>
      </c>
      <c r="AH489" s="265">
        <f>IF(AH$7="Actual","",IF(AH$478=0,0,INDEX($M489:$Q489,,MATCH(AH$4,$M$4:$Q$4,0))/INDEX($M$478:$Q$478,,MATCH(AH$4,$M$4:$Q$4,0))))</f>
        <v/>
      </c>
      <c r="AI489" s="265">
        <f>IF(AI$7="Actual","",IF(AI$478=0,0,INDEX($M489:$Q489,,MATCH(AI$4,$M$4:$Q$4,0))/INDEX($M$478:$Q$478,,MATCH(AI$4,$M$4:$Q$4,0))))</f>
        <v/>
      </c>
      <c r="AJ489" s="265">
        <f>IF(AJ$7="Actual","",IF(AJ$478=0,0,INDEX($M489:$Q489,,MATCH(AJ$4,$M$4:$Q$4,0))/INDEX($M$478:$Q$478,,MATCH(AJ$4,$M$4:$Q$4,0))))</f>
        <v/>
      </c>
      <c r="AK489" s="265">
        <f>IF(AK$7="Actual","",IF(AK$478=0,0,INDEX($M489:$Q489,,MATCH(AK$4,$M$4:$Q$4,0))/INDEX($M$478:$Q$478,,MATCH(AK$4,$M$4:$Q$4,0))))</f>
        <v/>
      </c>
      <c r="AL489" s="265">
        <f>IF(AL$7="Actual","",IF(AL$478=0,0,INDEX($M489:$Q489,,MATCH(AL$4,$M$4:$Q$4,0))/INDEX($M$478:$Q$478,,MATCH(AL$4,$M$4:$Q$4,0))))</f>
        <v/>
      </c>
      <c r="AM489" s="265">
        <f>IF(AM$7="Actual","",IF(AM$478=0,0,INDEX($M489:$Q489,,MATCH(AM$4,$M$4:$Q$4,0))/INDEX($M$478:$Q$478,,MATCH(AM$4,$M$4:$Q$4,0))))</f>
        <v/>
      </c>
      <c r="AN489" s="265">
        <f>IF(AN$7="Actual","",IF(AN$478=0,0,INDEX($M489:$Q489,,MATCH(AN$4,$M$4:$Q$4,0))/INDEX($M$478:$Q$478,,MATCH(AN$4,$M$4:$Q$4,0))))</f>
        <v/>
      </c>
      <c r="AO489" s="265">
        <f>IF(AO$7="Actual","",IF(AO$478=0,0,INDEX($M489:$Q489,,MATCH(AO$4,$M$4:$Q$4,0))/INDEX($M$478:$Q$478,,MATCH(AO$4,$M$4:$Q$4,0))))</f>
        <v/>
      </c>
      <c r="AP489" s="265">
        <f>IF(AP$7="Actual","",IF(AP$478=0,0,INDEX($M489:$Q489,,MATCH(AP$4,$M$4:$Q$4,0))/INDEX($M$478:$Q$478,,MATCH(AP$4,$M$4:$Q$4,0))))</f>
        <v/>
      </c>
      <c r="AQ489" s="265">
        <f>IF(AQ$7="Actual","",IF(AQ$478=0,0,INDEX($M489:$Q489,,MATCH(AQ$4,$M$4:$Q$4,0))/INDEX($M$478:$Q$478,,MATCH(AQ$4,$M$4:$Q$4,0))))</f>
        <v/>
      </c>
      <c r="AR489" s="265">
        <f>IF(AR$7="Actual","",IF(AR$478=0,0,INDEX($M489:$Q489,,MATCH(AR$4,$M$4:$Q$4,0))/INDEX($M$478:$Q$478,,MATCH(AR$4,$M$4:$Q$4,0))))</f>
        <v/>
      </c>
      <c r="AS489" s="265">
        <f>IF(AS$7="Actual","",IF(AS$478=0,0,INDEX($M489:$Q489,,MATCH(AS$4,$M$4:$Q$4,0))/INDEX($M$478:$Q$478,,MATCH(AS$4,$M$4:$Q$4,0))))</f>
        <v/>
      </c>
      <c r="AT489" s="265">
        <f>IF(AT$7="Actual","",IF(AT$478=0,0,INDEX($M489:$Q489,,MATCH(AT$4,$M$4:$Q$4,0))/INDEX($M$478:$Q$478,,MATCH(AT$4,$M$4:$Q$4,0))))</f>
        <v/>
      </c>
      <c r="AU489" s="265">
        <f>IF(AU$7="Actual","",IF(AU$478=0,0,INDEX($M489:$Q489,,MATCH(AU$4,$M$4:$Q$4,0))/INDEX($M$478:$Q$478,,MATCH(AU$4,$M$4:$Q$4,0))))</f>
        <v/>
      </c>
      <c r="AV489" s="265">
        <f>IF(AV$7="Actual","",IF(AV$478=0,0,INDEX($M489:$Q489,,MATCH(AV$4,$M$4:$Q$4,0))/INDEX($M$478:$Q$478,,MATCH(AV$4,$M$4:$Q$4,0))))</f>
        <v/>
      </c>
      <c r="AW489" s="265">
        <f>IF(AW$7="Actual","",IF(AW$478=0,0,INDEX($M489:$Q489,,MATCH(AW$4,$M$4:$Q$4,0))/INDEX($M$478:$Q$478,,MATCH(AW$4,$M$4:$Q$4,0))))</f>
        <v/>
      </c>
      <c r="AX489" s="265">
        <f>IF(AX$7="Actual","",IF(AX$478=0,0,INDEX($M489:$Q489,,MATCH(AX$4,$M$4:$Q$4,0))/INDEX($M$478:$Q$478,,MATCH(AX$4,$M$4:$Q$4,0))))</f>
        <v/>
      </c>
      <c r="AY489" s="265">
        <f>IF(AY$7="Actual","",IF(AY$478=0,0,INDEX($M489:$Q489,,MATCH(AY$4,$M$4:$Q$4,0))/INDEX($M$478:$Q$478,,MATCH(AY$4,$M$4:$Q$4,0))))</f>
        <v/>
      </c>
      <c r="AZ489" s="265">
        <f>IF(AZ$7="Actual","",IF(AZ$478=0,0,INDEX($M489:$Q489,,MATCH(AZ$4,$M$4:$Q$4,0))/INDEX($M$478:$Q$478,,MATCH(AZ$4,$M$4:$Q$4,0))))</f>
        <v/>
      </c>
      <c r="BA489" s="265">
        <f>IF(BA$7="Actual","",IF(BA$478=0,0,INDEX($M489:$Q489,,MATCH(BA$4,$M$4:$Q$4,0))/INDEX($M$478:$Q$478,,MATCH(BA$4,$M$4:$Q$4,0))))</f>
        <v/>
      </c>
      <c r="BB489" s="265">
        <f>IF(BB$7="Actual","",IF(BB$478=0,0,INDEX($M489:$Q489,,MATCH(BB$4,$M$4:$Q$4,0))/INDEX($M$478:$Q$478,,MATCH(BB$4,$M$4:$Q$4,0))))</f>
        <v/>
      </c>
      <c r="BC489" s="265">
        <f>IF(BC$7="Actual","",IF(BC$478=0,0,INDEX($M489:$Q489,,MATCH(BC$4,$M$4:$Q$4,0))/INDEX($M$478:$Q$478,,MATCH(BC$4,$M$4:$Q$4,0))))</f>
        <v/>
      </c>
      <c r="BD489" s="265">
        <f>IF(BD$7="Actual","",IF(BD$478=0,0,INDEX($M489:$Q489,,MATCH(BD$4,$M$4:$Q$4,0))/INDEX($M$478:$Q$478,,MATCH(BD$4,$M$4:$Q$4,0))))</f>
        <v/>
      </c>
      <c r="BE489" s="265">
        <f>IF(BE$7="Actual","",IF(BE$478=0,0,INDEX($M489:$Q489,,MATCH(BE$4,$M$4:$Q$4,0))/INDEX($M$478:$Q$478,,MATCH(BE$4,$M$4:$Q$4,0))))</f>
        <v/>
      </c>
      <c r="BF489" s="265">
        <f>IF(BF$7="Actual","",IF(BF$478=0,0,INDEX($M489:$Q489,,MATCH(BF$4,$M$4:$Q$4,0))/INDEX($M$478:$Q$478,,MATCH(BF$4,$M$4:$Q$4,0))))</f>
        <v/>
      </c>
      <c r="BG489" s="265">
        <f>IF(BG$7="Actual","",IF(BG$478=0,0,INDEX($M489:$Q489,,MATCH(BG$4,$M$4:$Q$4,0))/INDEX($M$478:$Q$478,,MATCH(BG$4,$M$4:$Q$4,0))))</f>
        <v/>
      </c>
      <c r="BH489" s="265">
        <f>IF(BH$7="Actual","",IF(BH$478=0,0,INDEX($M489:$Q489,,MATCH(BH$4,$M$4:$Q$4,0))/INDEX($M$478:$Q$478,,MATCH(BH$4,$M$4:$Q$4,0))))</f>
        <v/>
      </c>
      <c r="BI489" s="265">
        <f>IF(BI$7="Actual","",IF(BI$478=0,0,INDEX($M489:$Q489,,MATCH(BI$4,$M$4:$Q$4,0))/INDEX($M$478:$Q$478,,MATCH(BI$4,$M$4:$Q$4,0))))</f>
        <v/>
      </c>
      <c r="BJ489" s="265">
        <f>IF(BJ$7="Actual","",IF(BJ$478=0,0,INDEX($M489:$Q489,,MATCH(BJ$4,$M$4:$Q$4,0))/INDEX($M$478:$Q$478,,MATCH(BJ$4,$M$4:$Q$4,0))))</f>
        <v/>
      </c>
      <c r="BK489" s="265">
        <f>IF(BK$7="Actual","",IF(BK$478=0,0,INDEX($M489:$Q489,,MATCH(BK$4,$M$4:$Q$4,0))/INDEX($M$478:$Q$478,,MATCH(BK$4,$M$4:$Q$4,0))))</f>
        <v/>
      </c>
      <c r="BL489" s="265">
        <f>IF(BL$7="Actual","",IF(BL$478=0,0,INDEX($M489:$Q489,,MATCH(BL$4,$M$4:$Q$4,0))/INDEX($M$478:$Q$478,,MATCH(BL$4,$M$4:$Q$4,0))))</f>
        <v/>
      </c>
      <c r="BM489" s="265">
        <f>IF(BM$7="Actual","",IF(BM$478=0,0,INDEX($M489:$Q489,,MATCH(BM$4,$M$4:$Q$4,0))/INDEX($M$478:$Q$478,,MATCH(BM$4,$M$4:$Q$4,0))))</f>
        <v/>
      </c>
      <c r="BN489" s="265">
        <f>IF(BN$7="Actual","",IF(BN$478=0,0,INDEX($M489:$Q489,,MATCH(BN$4,$M$4:$Q$4,0))/INDEX($M$478:$Q$478,,MATCH(BN$4,$M$4:$Q$4,0))))</f>
        <v/>
      </c>
      <c r="BO489" s="265">
        <f>IF(BO$7="Actual","",IF(BO$478=0,0,INDEX($M489:$Q489,,MATCH(BO$4,$M$4:$Q$4,0))/INDEX($M$478:$Q$478,,MATCH(BO$4,$M$4:$Q$4,0))))</f>
        <v/>
      </c>
      <c r="BP489" s="265">
        <f>IF(BP$7="Actual","",IF(BP$478=0,0,INDEX($M489:$Q489,,MATCH(BP$4,$M$4:$Q$4,0))/INDEX($M$478:$Q$478,,MATCH(BP$4,$M$4:$Q$4,0))))</f>
        <v/>
      </c>
      <c r="BQ489" s="265">
        <f>IF(BQ$7="Actual","",IF(BQ$478=0,0,INDEX($M489:$Q489,,MATCH(BQ$4,$M$4:$Q$4,0))/INDEX($M$478:$Q$478,,MATCH(BQ$4,$M$4:$Q$4,0))))</f>
        <v/>
      </c>
      <c r="BR489" s="265">
        <f>IF(BR$7="Actual","",IF(BR$478=0,0,INDEX($M489:$Q489,,MATCH(BR$4,$M$4:$Q$4,0))/INDEX($M$478:$Q$478,,MATCH(BR$4,$M$4:$Q$4,0))))</f>
        <v/>
      </c>
      <c r="BS489" s="265">
        <f>IF(BS$7="Actual","",IF(BS$478=0,0,INDEX($M489:$Q489,,MATCH(BS$4,$M$4:$Q$4,0))/INDEX($M$478:$Q$478,,MATCH(BS$4,$M$4:$Q$4,0))))</f>
        <v/>
      </c>
      <c r="BT489" s="265">
        <f>IF(BT$7="Actual","",IF(BT$478=0,0,INDEX($M489:$Q489,,MATCH(BT$4,$M$4:$Q$4,0))/INDEX($M$478:$Q$478,,MATCH(BT$4,$M$4:$Q$4,0))))</f>
        <v/>
      </c>
      <c r="BU489" s="265">
        <f>IF(BU$7="Actual","",IF(BU$478=0,0,INDEX($M489:$Q489,,MATCH(BU$4,$M$4:$Q$4,0))/INDEX($M$478:$Q$478,,MATCH(BU$4,$M$4:$Q$4,0))))</f>
        <v/>
      </c>
      <c r="BV489" s="265">
        <f>IF(BV$7="Actual","",IF(BV$478=0,0,INDEX($M489:$Q489,,MATCH(BV$4,$M$4:$Q$4,0))/INDEX($M$478:$Q$478,,MATCH(BV$4,$M$4:$Q$4,0))))</f>
        <v/>
      </c>
      <c r="BW489" s="265">
        <f>IF(BW$7="Actual","",IF(BW$478=0,0,INDEX($M489:$Q489,,MATCH(BW$4,$M$4:$Q$4,0))/INDEX($M$478:$Q$478,,MATCH(BW$4,$M$4:$Q$4,0))))</f>
        <v/>
      </c>
      <c r="BX489" s="265">
        <f>IF(BX$7="Actual","",IF(BX$478=0,0,INDEX($M489:$Q489,,MATCH(BX$4,$M$4:$Q$4,0))/INDEX($M$478:$Q$478,,MATCH(BX$4,$M$4:$Q$4,0))))</f>
        <v/>
      </c>
      <c r="BY489" s="265">
        <f>IF(BY$7="Actual","",IF(BY$478=0,0,INDEX($M489:$Q489,,MATCH(BY$4,$M$4:$Q$4,0))/INDEX($M$478:$Q$478,,MATCH(BY$4,$M$4:$Q$4,0))))</f>
        <v/>
      </c>
      <c r="BZ489" s="265">
        <f>IF(BZ$7="Actual","",IF(BZ$478=0,0,INDEX($M489:$Q489,,MATCH(BZ$4,$M$4:$Q$4,0))/INDEX($M$478:$Q$478,,MATCH(BZ$4,$M$4:$Q$4,0))))</f>
        <v/>
      </c>
      <c r="CA489" s="265">
        <f>IF(CA$7="Actual","",IF(CA$478=0,0,INDEX($M489:$Q489,,MATCH(CA$4,$M$4:$Q$4,0))/INDEX($M$478:$Q$478,,MATCH(CA$4,$M$4:$Q$4,0))))</f>
        <v/>
      </c>
    </row>
    <row r="490" ht="12" customHeight="1" s="227">
      <c r="A490" s="244" t="n"/>
      <c r="B490" s="244" t="n"/>
      <c r="C490" s="244" t="n"/>
      <c r="H490" s="4">
        <f>H473</f>
        <v/>
      </c>
      <c r="I490" s="27" t="inlineStr">
        <is>
          <t>%</t>
        </is>
      </c>
      <c r="K490" s="6" t="n"/>
      <c r="M490" s="265">
        <f>IF(M$7="Actual","",i_Assumptions!M552)</f>
        <v/>
      </c>
      <c r="N490" s="265">
        <f>IF(N$7="Actual","",i_Assumptions!N552)</f>
        <v/>
      </c>
      <c r="O490" s="265">
        <f>IF(O$7="Actual","",i_Assumptions!O552)</f>
        <v/>
      </c>
      <c r="P490" s="265">
        <f>IF(P$7="Actual","",i_Assumptions!P552)</f>
        <v/>
      </c>
      <c r="Q490" s="265">
        <f>IF(Q$7="Actual","",i_Assumptions!Q552)</f>
        <v/>
      </c>
      <c r="T490" s="265">
        <f>IF(T$7="Actual","",IF(T$478=0,0,INDEX($M490:$Q490,,MATCH(T$4,$M$4:$Q$4,0))/INDEX($M$478:$Q$478,,MATCH(T$4,$M$4:$Q$4,0))))</f>
        <v/>
      </c>
      <c r="U490" s="265">
        <f>IF(U$7="Actual","",IF(U$478=0,0,INDEX($M490:$Q490,,MATCH(U$4,$M$4:$Q$4,0))/INDEX($M$478:$Q$478,,MATCH(U$4,$M$4:$Q$4,0))))</f>
        <v/>
      </c>
      <c r="V490" s="265">
        <f>IF(V$7="Actual","",IF(V$478=0,0,INDEX($M490:$Q490,,MATCH(V$4,$M$4:$Q$4,0))/INDEX($M$478:$Q$478,,MATCH(V$4,$M$4:$Q$4,0))))</f>
        <v/>
      </c>
      <c r="W490" s="265">
        <f>IF(W$7="Actual","",IF(W$478=0,0,INDEX($M490:$Q490,,MATCH(W$4,$M$4:$Q$4,0))/INDEX($M$478:$Q$478,,MATCH(W$4,$M$4:$Q$4,0))))</f>
        <v/>
      </c>
      <c r="X490" s="265">
        <f>IF(X$7="Actual","",IF(X$478=0,0,INDEX($M490:$Q490,,MATCH(X$4,$M$4:$Q$4,0))/INDEX($M$478:$Q$478,,MATCH(X$4,$M$4:$Q$4,0))))</f>
        <v/>
      </c>
      <c r="Y490" s="265">
        <f>IF(Y$7="Actual","",IF(Y$478=0,0,INDEX($M490:$Q490,,MATCH(Y$4,$M$4:$Q$4,0))/INDEX($M$478:$Q$478,,MATCH(Y$4,$M$4:$Q$4,0))))</f>
        <v/>
      </c>
      <c r="Z490" s="265">
        <f>IF(Z$7="Actual","",IF(Z$478=0,0,INDEX($M490:$Q490,,MATCH(Z$4,$M$4:$Q$4,0))/INDEX($M$478:$Q$478,,MATCH(Z$4,$M$4:$Q$4,0))))</f>
        <v/>
      </c>
      <c r="AA490" s="265">
        <f>IF(AA$7="Actual","",IF(AA$478=0,0,INDEX($M490:$Q490,,MATCH(AA$4,$M$4:$Q$4,0))/INDEX($M$478:$Q$478,,MATCH(AA$4,$M$4:$Q$4,0))))</f>
        <v/>
      </c>
      <c r="AB490" s="265">
        <f>IF(AB$7="Actual","",IF(AB$478=0,0,INDEX($M490:$Q490,,MATCH(AB$4,$M$4:$Q$4,0))/INDEX($M$478:$Q$478,,MATCH(AB$4,$M$4:$Q$4,0))))</f>
        <v/>
      </c>
      <c r="AC490" s="265">
        <f>IF(AC$7="Actual","",IF(AC$478=0,0,INDEX($M490:$Q490,,MATCH(AC$4,$M$4:$Q$4,0))/INDEX($M$478:$Q$478,,MATCH(AC$4,$M$4:$Q$4,0))))</f>
        <v/>
      </c>
      <c r="AD490" s="265">
        <f>IF(AD$7="Actual","",IF(AD$478=0,0,INDEX($M490:$Q490,,MATCH(AD$4,$M$4:$Q$4,0))/INDEX($M$478:$Q$478,,MATCH(AD$4,$M$4:$Q$4,0))))</f>
        <v/>
      </c>
      <c r="AE490" s="265">
        <f>IF(AE$7="Actual","",IF(AE$478=0,0,INDEX($M490:$Q490,,MATCH(AE$4,$M$4:$Q$4,0))/INDEX($M$478:$Q$478,,MATCH(AE$4,$M$4:$Q$4,0))))</f>
        <v/>
      </c>
      <c r="AF490" s="265">
        <f>IF(AF$7="Actual","",IF(AF$478=0,0,INDEX($M490:$Q490,,MATCH(AF$4,$M$4:$Q$4,0))/INDEX($M$478:$Q$478,,MATCH(AF$4,$M$4:$Q$4,0))))</f>
        <v/>
      </c>
      <c r="AG490" s="265">
        <f>IF(AG$7="Actual","",IF(AG$478=0,0,INDEX($M490:$Q490,,MATCH(AG$4,$M$4:$Q$4,0))/INDEX($M$478:$Q$478,,MATCH(AG$4,$M$4:$Q$4,0))))</f>
        <v/>
      </c>
      <c r="AH490" s="265">
        <f>IF(AH$7="Actual","",IF(AH$478=0,0,INDEX($M490:$Q490,,MATCH(AH$4,$M$4:$Q$4,0))/INDEX($M$478:$Q$478,,MATCH(AH$4,$M$4:$Q$4,0))))</f>
        <v/>
      </c>
      <c r="AI490" s="265">
        <f>IF(AI$7="Actual","",IF(AI$478=0,0,INDEX($M490:$Q490,,MATCH(AI$4,$M$4:$Q$4,0))/INDEX($M$478:$Q$478,,MATCH(AI$4,$M$4:$Q$4,0))))</f>
        <v/>
      </c>
      <c r="AJ490" s="265">
        <f>IF(AJ$7="Actual","",IF(AJ$478=0,0,INDEX($M490:$Q490,,MATCH(AJ$4,$M$4:$Q$4,0))/INDEX($M$478:$Q$478,,MATCH(AJ$4,$M$4:$Q$4,0))))</f>
        <v/>
      </c>
      <c r="AK490" s="265">
        <f>IF(AK$7="Actual","",IF(AK$478=0,0,INDEX($M490:$Q490,,MATCH(AK$4,$M$4:$Q$4,0))/INDEX($M$478:$Q$478,,MATCH(AK$4,$M$4:$Q$4,0))))</f>
        <v/>
      </c>
      <c r="AL490" s="265">
        <f>IF(AL$7="Actual","",IF(AL$478=0,0,INDEX($M490:$Q490,,MATCH(AL$4,$M$4:$Q$4,0))/INDEX($M$478:$Q$478,,MATCH(AL$4,$M$4:$Q$4,0))))</f>
        <v/>
      </c>
      <c r="AM490" s="265">
        <f>IF(AM$7="Actual","",IF(AM$478=0,0,INDEX($M490:$Q490,,MATCH(AM$4,$M$4:$Q$4,0))/INDEX($M$478:$Q$478,,MATCH(AM$4,$M$4:$Q$4,0))))</f>
        <v/>
      </c>
      <c r="AN490" s="265">
        <f>IF(AN$7="Actual","",IF(AN$478=0,0,INDEX($M490:$Q490,,MATCH(AN$4,$M$4:$Q$4,0))/INDEX($M$478:$Q$478,,MATCH(AN$4,$M$4:$Q$4,0))))</f>
        <v/>
      </c>
      <c r="AO490" s="265">
        <f>IF(AO$7="Actual","",IF(AO$478=0,0,INDEX($M490:$Q490,,MATCH(AO$4,$M$4:$Q$4,0))/INDEX($M$478:$Q$478,,MATCH(AO$4,$M$4:$Q$4,0))))</f>
        <v/>
      </c>
      <c r="AP490" s="265">
        <f>IF(AP$7="Actual","",IF(AP$478=0,0,INDEX($M490:$Q490,,MATCH(AP$4,$M$4:$Q$4,0))/INDEX($M$478:$Q$478,,MATCH(AP$4,$M$4:$Q$4,0))))</f>
        <v/>
      </c>
      <c r="AQ490" s="265">
        <f>IF(AQ$7="Actual","",IF(AQ$478=0,0,INDEX($M490:$Q490,,MATCH(AQ$4,$M$4:$Q$4,0))/INDEX($M$478:$Q$478,,MATCH(AQ$4,$M$4:$Q$4,0))))</f>
        <v/>
      </c>
      <c r="AR490" s="265">
        <f>IF(AR$7="Actual","",IF(AR$478=0,0,INDEX($M490:$Q490,,MATCH(AR$4,$M$4:$Q$4,0))/INDEX($M$478:$Q$478,,MATCH(AR$4,$M$4:$Q$4,0))))</f>
        <v/>
      </c>
      <c r="AS490" s="265">
        <f>IF(AS$7="Actual","",IF(AS$478=0,0,INDEX($M490:$Q490,,MATCH(AS$4,$M$4:$Q$4,0))/INDEX($M$478:$Q$478,,MATCH(AS$4,$M$4:$Q$4,0))))</f>
        <v/>
      </c>
      <c r="AT490" s="265">
        <f>IF(AT$7="Actual","",IF(AT$478=0,0,INDEX($M490:$Q490,,MATCH(AT$4,$M$4:$Q$4,0))/INDEX($M$478:$Q$478,,MATCH(AT$4,$M$4:$Q$4,0))))</f>
        <v/>
      </c>
      <c r="AU490" s="265">
        <f>IF(AU$7="Actual","",IF(AU$478=0,0,INDEX($M490:$Q490,,MATCH(AU$4,$M$4:$Q$4,0))/INDEX($M$478:$Q$478,,MATCH(AU$4,$M$4:$Q$4,0))))</f>
        <v/>
      </c>
      <c r="AV490" s="265">
        <f>IF(AV$7="Actual","",IF(AV$478=0,0,INDEX($M490:$Q490,,MATCH(AV$4,$M$4:$Q$4,0))/INDEX($M$478:$Q$478,,MATCH(AV$4,$M$4:$Q$4,0))))</f>
        <v/>
      </c>
      <c r="AW490" s="265">
        <f>IF(AW$7="Actual","",IF(AW$478=0,0,INDEX($M490:$Q490,,MATCH(AW$4,$M$4:$Q$4,0))/INDEX($M$478:$Q$478,,MATCH(AW$4,$M$4:$Q$4,0))))</f>
        <v/>
      </c>
      <c r="AX490" s="265">
        <f>IF(AX$7="Actual","",IF(AX$478=0,0,INDEX($M490:$Q490,,MATCH(AX$4,$M$4:$Q$4,0))/INDEX($M$478:$Q$478,,MATCH(AX$4,$M$4:$Q$4,0))))</f>
        <v/>
      </c>
      <c r="AY490" s="265">
        <f>IF(AY$7="Actual","",IF(AY$478=0,0,INDEX($M490:$Q490,,MATCH(AY$4,$M$4:$Q$4,0))/INDEX($M$478:$Q$478,,MATCH(AY$4,$M$4:$Q$4,0))))</f>
        <v/>
      </c>
      <c r="AZ490" s="265">
        <f>IF(AZ$7="Actual","",IF(AZ$478=0,0,INDEX($M490:$Q490,,MATCH(AZ$4,$M$4:$Q$4,0))/INDEX($M$478:$Q$478,,MATCH(AZ$4,$M$4:$Q$4,0))))</f>
        <v/>
      </c>
      <c r="BA490" s="265">
        <f>IF(BA$7="Actual","",IF(BA$478=0,0,INDEX($M490:$Q490,,MATCH(BA$4,$M$4:$Q$4,0))/INDEX($M$478:$Q$478,,MATCH(BA$4,$M$4:$Q$4,0))))</f>
        <v/>
      </c>
      <c r="BB490" s="265">
        <f>IF(BB$7="Actual","",IF(BB$478=0,0,INDEX($M490:$Q490,,MATCH(BB$4,$M$4:$Q$4,0))/INDEX($M$478:$Q$478,,MATCH(BB$4,$M$4:$Q$4,0))))</f>
        <v/>
      </c>
      <c r="BC490" s="265">
        <f>IF(BC$7="Actual","",IF(BC$478=0,0,INDEX($M490:$Q490,,MATCH(BC$4,$M$4:$Q$4,0))/INDEX($M$478:$Q$478,,MATCH(BC$4,$M$4:$Q$4,0))))</f>
        <v/>
      </c>
      <c r="BD490" s="265">
        <f>IF(BD$7="Actual","",IF(BD$478=0,0,INDEX($M490:$Q490,,MATCH(BD$4,$M$4:$Q$4,0))/INDEX($M$478:$Q$478,,MATCH(BD$4,$M$4:$Q$4,0))))</f>
        <v/>
      </c>
      <c r="BE490" s="265">
        <f>IF(BE$7="Actual","",IF(BE$478=0,0,INDEX($M490:$Q490,,MATCH(BE$4,$M$4:$Q$4,0))/INDEX($M$478:$Q$478,,MATCH(BE$4,$M$4:$Q$4,0))))</f>
        <v/>
      </c>
      <c r="BF490" s="265">
        <f>IF(BF$7="Actual","",IF(BF$478=0,0,INDEX($M490:$Q490,,MATCH(BF$4,$M$4:$Q$4,0))/INDEX($M$478:$Q$478,,MATCH(BF$4,$M$4:$Q$4,0))))</f>
        <v/>
      </c>
      <c r="BG490" s="265">
        <f>IF(BG$7="Actual","",IF(BG$478=0,0,INDEX($M490:$Q490,,MATCH(BG$4,$M$4:$Q$4,0))/INDEX($M$478:$Q$478,,MATCH(BG$4,$M$4:$Q$4,0))))</f>
        <v/>
      </c>
      <c r="BH490" s="265">
        <f>IF(BH$7="Actual","",IF(BH$478=0,0,INDEX($M490:$Q490,,MATCH(BH$4,$M$4:$Q$4,0))/INDEX($M$478:$Q$478,,MATCH(BH$4,$M$4:$Q$4,0))))</f>
        <v/>
      </c>
      <c r="BI490" s="265">
        <f>IF(BI$7="Actual","",IF(BI$478=0,0,INDEX($M490:$Q490,,MATCH(BI$4,$M$4:$Q$4,0))/INDEX($M$478:$Q$478,,MATCH(BI$4,$M$4:$Q$4,0))))</f>
        <v/>
      </c>
      <c r="BJ490" s="265">
        <f>IF(BJ$7="Actual","",IF(BJ$478=0,0,INDEX($M490:$Q490,,MATCH(BJ$4,$M$4:$Q$4,0))/INDEX($M$478:$Q$478,,MATCH(BJ$4,$M$4:$Q$4,0))))</f>
        <v/>
      </c>
      <c r="BK490" s="265">
        <f>IF(BK$7="Actual","",IF(BK$478=0,0,INDEX($M490:$Q490,,MATCH(BK$4,$M$4:$Q$4,0))/INDEX($M$478:$Q$478,,MATCH(BK$4,$M$4:$Q$4,0))))</f>
        <v/>
      </c>
      <c r="BL490" s="265">
        <f>IF(BL$7="Actual","",IF(BL$478=0,0,INDEX($M490:$Q490,,MATCH(BL$4,$M$4:$Q$4,0))/INDEX($M$478:$Q$478,,MATCH(BL$4,$M$4:$Q$4,0))))</f>
        <v/>
      </c>
      <c r="BM490" s="265">
        <f>IF(BM$7="Actual","",IF(BM$478=0,0,INDEX($M490:$Q490,,MATCH(BM$4,$M$4:$Q$4,0))/INDEX($M$478:$Q$478,,MATCH(BM$4,$M$4:$Q$4,0))))</f>
        <v/>
      </c>
      <c r="BN490" s="265">
        <f>IF(BN$7="Actual","",IF(BN$478=0,0,INDEX($M490:$Q490,,MATCH(BN$4,$M$4:$Q$4,0))/INDEX($M$478:$Q$478,,MATCH(BN$4,$M$4:$Q$4,0))))</f>
        <v/>
      </c>
      <c r="BO490" s="265">
        <f>IF(BO$7="Actual","",IF(BO$478=0,0,INDEX($M490:$Q490,,MATCH(BO$4,$M$4:$Q$4,0))/INDEX($M$478:$Q$478,,MATCH(BO$4,$M$4:$Q$4,0))))</f>
        <v/>
      </c>
      <c r="BP490" s="265">
        <f>IF(BP$7="Actual","",IF(BP$478=0,0,INDEX($M490:$Q490,,MATCH(BP$4,$M$4:$Q$4,0))/INDEX($M$478:$Q$478,,MATCH(BP$4,$M$4:$Q$4,0))))</f>
        <v/>
      </c>
      <c r="BQ490" s="265">
        <f>IF(BQ$7="Actual","",IF(BQ$478=0,0,INDEX($M490:$Q490,,MATCH(BQ$4,$M$4:$Q$4,0))/INDEX($M$478:$Q$478,,MATCH(BQ$4,$M$4:$Q$4,0))))</f>
        <v/>
      </c>
      <c r="BR490" s="265">
        <f>IF(BR$7="Actual","",IF(BR$478=0,0,INDEX($M490:$Q490,,MATCH(BR$4,$M$4:$Q$4,0))/INDEX($M$478:$Q$478,,MATCH(BR$4,$M$4:$Q$4,0))))</f>
        <v/>
      </c>
      <c r="BS490" s="265">
        <f>IF(BS$7="Actual","",IF(BS$478=0,0,INDEX($M490:$Q490,,MATCH(BS$4,$M$4:$Q$4,0))/INDEX($M$478:$Q$478,,MATCH(BS$4,$M$4:$Q$4,0))))</f>
        <v/>
      </c>
      <c r="BT490" s="265">
        <f>IF(BT$7="Actual","",IF(BT$478=0,0,INDEX($M490:$Q490,,MATCH(BT$4,$M$4:$Q$4,0))/INDEX($M$478:$Q$478,,MATCH(BT$4,$M$4:$Q$4,0))))</f>
        <v/>
      </c>
      <c r="BU490" s="265">
        <f>IF(BU$7="Actual","",IF(BU$478=0,0,INDEX($M490:$Q490,,MATCH(BU$4,$M$4:$Q$4,0))/INDEX($M$478:$Q$478,,MATCH(BU$4,$M$4:$Q$4,0))))</f>
        <v/>
      </c>
      <c r="BV490" s="265">
        <f>IF(BV$7="Actual","",IF(BV$478=0,0,INDEX($M490:$Q490,,MATCH(BV$4,$M$4:$Q$4,0))/INDEX($M$478:$Q$478,,MATCH(BV$4,$M$4:$Q$4,0))))</f>
        <v/>
      </c>
      <c r="BW490" s="265">
        <f>IF(BW$7="Actual","",IF(BW$478=0,0,INDEX($M490:$Q490,,MATCH(BW$4,$M$4:$Q$4,0))/INDEX($M$478:$Q$478,,MATCH(BW$4,$M$4:$Q$4,0))))</f>
        <v/>
      </c>
      <c r="BX490" s="265">
        <f>IF(BX$7="Actual","",IF(BX$478=0,0,INDEX($M490:$Q490,,MATCH(BX$4,$M$4:$Q$4,0))/INDEX($M$478:$Q$478,,MATCH(BX$4,$M$4:$Q$4,0))))</f>
        <v/>
      </c>
      <c r="BY490" s="265">
        <f>IF(BY$7="Actual","",IF(BY$478=0,0,INDEX($M490:$Q490,,MATCH(BY$4,$M$4:$Q$4,0))/INDEX($M$478:$Q$478,,MATCH(BY$4,$M$4:$Q$4,0))))</f>
        <v/>
      </c>
      <c r="BZ490" s="265">
        <f>IF(BZ$7="Actual","",IF(BZ$478=0,0,INDEX($M490:$Q490,,MATCH(BZ$4,$M$4:$Q$4,0))/INDEX($M$478:$Q$478,,MATCH(BZ$4,$M$4:$Q$4,0))))</f>
        <v/>
      </c>
      <c r="CA490" s="265">
        <f>IF(CA$7="Actual","",IF(CA$478=0,0,INDEX($M490:$Q490,,MATCH(CA$4,$M$4:$Q$4,0))/INDEX($M$478:$Q$478,,MATCH(CA$4,$M$4:$Q$4,0))))</f>
        <v/>
      </c>
    </row>
    <row r="491" ht="12" customHeight="1" s="227">
      <c r="A491" s="244" t="n"/>
      <c r="B491" s="244" t="n"/>
      <c r="C491" s="244" t="n"/>
      <c r="K491" s="6" t="n"/>
    </row>
    <row r="492" ht="12" customHeight="1" s="227">
      <c r="A492" s="244" t="n"/>
      <c r="B492" s="244" t="n"/>
      <c r="C492" s="244" t="n"/>
      <c r="K492" s="6" t="n"/>
    </row>
    <row r="493" ht="12" customHeight="1" s="227">
      <c r="A493" s="244" t="n"/>
      <c r="B493" s="244" t="n"/>
      <c r="C493" s="244" t="n"/>
      <c r="G493" s="222" t="inlineStr">
        <is>
          <t>Total Non-Direct Staff Costs</t>
        </is>
      </c>
      <c r="K493" s="6" t="n"/>
    </row>
    <row r="494" ht="12" customHeight="1" s="227">
      <c r="A494" s="244" t="n"/>
      <c r="B494" s="244" t="n"/>
      <c r="C494" s="244" t="n"/>
      <c r="K494" s="6" t="n"/>
    </row>
    <row r="495" ht="12" customHeight="1" s="227">
      <c r="A495" s="244" t="n"/>
      <c r="B495" s="244" t="n"/>
      <c r="C495" s="244" t="n"/>
      <c r="H495" s="0">
        <f>H454</f>
        <v/>
      </c>
      <c r="I495" s="27">
        <f>i_Setup!$M$16</f>
        <v/>
      </c>
      <c r="K495" s="6" t="n"/>
      <c r="M495" s="245">
        <f>SUMIF($T$4:$CA$4,M$4,$T495:$CA495)</f>
        <v/>
      </c>
      <c r="N495" s="245">
        <f>SUMIF($T$4:$CA$4,N$4,$T495:$CA495)</f>
        <v/>
      </c>
      <c r="O495" s="245">
        <f>SUMIF($T$4:$CA$4,O$4,$T495:$CA495)</f>
        <v/>
      </c>
      <c r="P495" s="245">
        <f>SUMIF($T$4:$CA$4,P$4,$T495:$CA495)</f>
        <v/>
      </c>
      <c r="Q495" s="245">
        <f>SUMIF($T$4:$CA$4,Q$4,$T495:$CA495)</f>
        <v/>
      </c>
      <c r="T495" s="245">
        <f>IF(T$7="Actual","",(T442*T454)+((T442*T454)*$K466)+(INDEX($M454:$Q454,,MATCH(T$4,$M$4:$Q$4,0))*T483)*T442)</f>
        <v/>
      </c>
      <c r="U495" s="245">
        <f>IF(U$7="Actual","",(U442*U454)+((U442*U454)*$K466)+(INDEX($M454:$Q454,,MATCH(U$4,$M$4:$Q$4,0))*U483)*U442)</f>
        <v/>
      </c>
      <c r="V495" s="245">
        <f>IF(V$7="Actual","",(V442*V454)+((V442*V454)*$K466)+(INDEX($M454:$Q454,,MATCH(V$4,$M$4:$Q$4,0))*V483)*V442)</f>
        <v/>
      </c>
      <c r="W495" s="245">
        <f>IF(W$7="Actual","",(W442*W454)+((W442*W454)*$K466)+(INDEX($M454:$Q454,,MATCH(W$4,$M$4:$Q$4,0))*W483)*W442)</f>
        <v/>
      </c>
      <c r="X495" s="245">
        <f>IF(X$7="Actual","",(X442*X454)+((X442*X454)*$K466)+(INDEX($M454:$Q454,,MATCH(X$4,$M$4:$Q$4,0))*X483)*X442)</f>
        <v/>
      </c>
      <c r="Y495" s="245">
        <f>IF(Y$7="Actual","",(Y442*Y454)+((Y442*Y454)*$K466)+(INDEX($M454:$Q454,,MATCH(Y$4,$M$4:$Q$4,0))*Y483)*Y442)</f>
        <v/>
      </c>
      <c r="Z495" s="245">
        <f>IF(Z$7="Actual","",(Z442*Z454)+((Z442*Z454)*$K466)+(INDEX($M454:$Q454,,MATCH(Z$4,$M$4:$Q$4,0))*Z483)*Z442)</f>
        <v/>
      </c>
      <c r="AA495" s="245">
        <f>IF(AA$7="Actual","",(AA442*AA454)+((AA442*AA454)*$K466)+(INDEX($M454:$Q454,,MATCH(AA$4,$M$4:$Q$4,0))*AA483)*AA442)</f>
        <v/>
      </c>
      <c r="AB495" s="245">
        <f>IF(AB$7="Actual","",(AB442*AB454)+((AB442*AB454)*$K466)+(INDEX($M454:$Q454,,MATCH(AB$4,$M$4:$Q$4,0))*AB483)*AB442)</f>
        <v/>
      </c>
      <c r="AC495" s="245">
        <f>IF(AC$7="Actual","",(AC442*AC454)+((AC442*AC454)*$K466)+(INDEX($M454:$Q454,,MATCH(AC$4,$M$4:$Q$4,0))*AC483)*AC442)</f>
        <v/>
      </c>
      <c r="AD495" s="245">
        <f>IF(AD$7="Actual","",(AD442*AD454)+((AD442*AD454)*$K466)+(INDEX($M454:$Q454,,MATCH(AD$4,$M$4:$Q$4,0))*AD483)*AD442)</f>
        <v/>
      </c>
      <c r="AE495" s="245">
        <f>IF(AE$7="Actual","",(AE442*AE454)+((AE442*AE454)*$K466)+(INDEX($M454:$Q454,,MATCH(AE$4,$M$4:$Q$4,0))*AE483)*AE442)</f>
        <v/>
      </c>
      <c r="AF495" s="245">
        <f>IF(AF$7="Actual","",(AF442*AF454)+((AF442*AF454)*$K466)+(INDEX($M454:$Q454,,MATCH(AF$4,$M$4:$Q$4,0))*AF483)*AF442)</f>
        <v/>
      </c>
      <c r="AG495" s="245">
        <f>IF(AG$7="Actual","",(AG442*AG454)+((AG442*AG454)*$K466)+(INDEX($M454:$Q454,,MATCH(AG$4,$M$4:$Q$4,0))*AG483)*AG442)</f>
        <v/>
      </c>
      <c r="AH495" s="245">
        <f>IF(AH$7="Actual","",(AH442*AH454)+((AH442*AH454)*$K466)+(INDEX($M454:$Q454,,MATCH(AH$4,$M$4:$Q$4,0))*AH483)*AH442)</f>
        <v/>
      </c>
      <c r="AI495" s="245">
        <f>IF(AI$7="Actual","",(AI442*AI454)+((AI442*AI454)*$K466)+(INDEX($M454:$Q454,,MATCH(AI$4,$M$4:$Q$4,0))*AI483)*AI442)</f>
        <v/>
      </c>
      <c r="AJ495" s="245">
        <f>IF(AJ$7="Actual","",(AJ442*AJ454)+((AJ442*AJ454)*$K466)+(INDEX($M454:$Q454,,MATCH(AJ$4,$M$4:$Q$4,0))*AJ483)*AJ442)</f>
        <v/>
      </c>
      <c r="AK495" s="245">
        <f>IF(AK$7="Actual","",(AK442*AK454)+((AK442*AK454)*$K466)+(INDEX($M454:$Q454,,MATCH(AK$4,$M$4:$Q$4,0))*AK483)*AK442)</f>
        <v/>
      </c>
      <c r="AL495" s="245">
        <f>IF(AL$7="Actual","",(AL442*AL454)+((AL442*AL454)*$K466)+(INDEX($M454:$Q454,,MATCH(AL$4,$M$4:$Q$4,0))*AL483)*AL442)</f>
        <v/>
      </c>
      <c r="AM495" s="245">
        <f>IF(AM$7="Actual","",(AM442*AM454)+((AM442*AM454)*$K466)+(INDEX($M454:$Q454,,MATCH(AM$4,$M$4:$Q$4,0))*AM483)*AM442)</f>
        <v/>
      </c>
      <c r="AN495" s="245">
        <f>IF(AN$7="Actual","",(AN442*AN454)+((AN442*AN454)*$K466)+(INDEX($M454:$Q454,,MATCH(AN$4,$M$4:$Q$4,0))*AN483)*AN442)</f>
        <v/>
      </c>
      <c r="AO495" s="245">
        <f>IF(AO$7="Actual","",(AO442*AO454)+((AO442*AO454)*$K466)+(INDEX($M454:$Q454,,MATCH(AO$4,$M$4:$Q$4,0))*AO483)*AO442)</f>
        <v/>
      </c>
      <c r="AP495" s="245">
        <f>IF(AP$7="Actual","",(AP442*AP454)+((AP442*AP454)*$K466)+(INDEX($M454:$Q454,,MATCH(AP$4,$M$4:$Q$4,0))*AP483)*AP442)</f>
        <v/>
      </c>
      <c r="AQ495" s="245">
        <f>IF(AQ$7="Actual","",(AQ442*AQ454)+((AQ442*AQ454)*$K466)+(INDEX($M454:$Q454,,MATCH(AQ$4,$M$4:$Q$4,0))*AQ483)*AQ442)</f>
        <v/>
      </c>
      <c r="AR495" s="245">
        <f>IF(AR$7="Actual","",(AR442*AR454)+((AR442*AR454)*$K466)+(INDEX($M454:$Q454,,MATCH(AR$4,$M$4:$Q$4,0))*AR483)*AR442)</f>
        <v/>
      </c>
      <c r="AS495" s="245">
        <f>IF(AS$7="Actual","",(AS442*AS454)+((AS442*AS454)*$K466)+(INDEX($M454:$Q454,,MATCH(AS$4,$M$4:$Q$4,0))*AS483)*AS442)</f>
        <v/>
      </c>
      <c r="AT495" s="245">
        <f>IF(AT$7="Actual","",(AT442*AT454)+((AT442*AT454)*$K466)+(INDEX($M454:$Q454,,MATCH(AT$4,$M$4:$Q$4,0))*AT483)*AT442)</f>
        <v/>
      </c>
      <c r="AU495" s="245">
        <f>IF(AU$7="Actual","",(AU442*AU454)+((AU442*AU454)*$K466)+(INDEX($M454:$Q454,,MATCH(AU$4,$M$4:$Q$4,0))*AU483)*AU442)</f>
        <v/>
      </c>
      <c r="AV495" s="245">
        <f>IF(AV$7="Actual","",(AV442*AV454)+((AV442*AV454)*$K466)+(INDEX($M454:$Q454,,MATCH(AV$4,$M$4:$Q$4,0))*AV483)*AV442)</f>
        <v/>
      </c>
      <c r="AW495" s="245">
        <f>IF(AW$7="Actual","",(AW442*AW454)+((AW442*AW454)*$K466)+(INDEX($M454:$Q454,,MATCH(AW$4,$M$4:$Q$4,0))*AW483)*AW442)</f>
        <v/>
      </c>
      <c r="AX495" s="245">
        <f>IF(AX$7="Actual","",(AX442*AX454)+((AX442*AX454)*$K466)+(INDEX($M454:$Q454,,MATCH(AX$4,$M$4:$Q$4,0))*AX483)*AX442)</f>
        <v/>
      </c>
      <c r="AY495" s="245">
        <f>IF(AY$7="Actual","",(AY442*AY454)+((AY442*AY454)*$K466)+(INDEX($M454:$Q454,,MATCH(AY$4,$M$4:$Q$4,0))*AY483)*AY442)</f>
        <v/>
      </c>
      <c r="AZ495" s="245">
        <f>IF(AZ$7="Actual","",(AZ442*AZ454)+((AZ442*AZ454)*$K466)+(INDEX($M454:$Q454,,MATCH(AZ$4,$M$4:$Q$4,0))*AZ483)*AZ442)</f>
        <v/>
      </c>
      <c r="BA495" s="245">
        <f>IF(BA$7="Actual","",(BA442*BA454)+((BA442*BA454)*$K466)+(INDEX($M454:$Q454,,MATCH(BA$4,$M$4:$Q$4,0))*BA483)*BA442)</f>
        <v/>
      </c>
      <c r="BB495" s="245">
        <f>IF(BB$7="Actual","",(BB442*BB454)+((BB442*BB454)*$K466)+(INDEX($M454:$Q454,,MATCH(BB$4,$M$4:$Q$4,0))*BB483)*BB442)</f>
        <v/>
      </c>
      <c r="BC495" s="245">
        <f>IF(BC$7="Actual","",(BC442*BC454)+((BC442*BC454)*$K466)+(INDEX($M454:$Q454,,MATCH(BC$4,$M$4:$Q$4,0))*BC483)*BC442)</f>
        <v/>
      </c>
      <c r="BD495" s="245">
        <f>IF(BD$7="Actual","",(BD442*BD454)+((BD442*BD454)*$K466)+(INDEX($M454:$Q454,,MATCH(BD$4,$M$4:$Q$4,0))*BD483)*BD442)</f>
        <v/>
      </c>
      <c r="BE495" s="245">
        <f>IF(BE$7="Actual","",(BE442*BE454)+((BE442*BE454)*$K466)+(INDEX($M454:$Q454,,MATCH(BE$4,$M$4:$Q$4,0))*BE483)*BE442)</f>
        <v/>
      </c>
      <c r="BF495" s="245">
        <f>IF(BF$7="Actual","",(BF442*BF454)+((BF442*BF454)*$K466)+(INDEX($M454:$Q454,,MATCH(BF$4,$M$4:$Q$4,0))*BF483)*BF442)</f>
        <v/>
      </c>
      <c r="BG495" s="245">
        <f>IF(BG$7="Actual","",(BG442*BG454)+((BG442*BG454)*$K466)+(INDEX($M454:$Q454,,MATCH(BG$4,$M$4:$Q$4,0))*BG483)*BG442)</f>
        <v/>
      </c>
      <c r="BH495" s="245">
        <f>IF(BH$7="Actual","",(BH442*BH454)+((BH442*BH454)*$K466)+(INDEX($M454:$Q454,,MATCH(BH$4,$M$4:$Q$4,0))*BH483)*BH442)</f>
        <v/>
      </c>
      <c r="BI495" s="245">
        <f>IF(BI$7="Actual","",(BI442*BI454)+((BI442*BI454)*$K466)+(INDEX($M454:$Q454,,MATCH(BI$4,$M$4:$Q$4,0))*BI483)*BI442)</f>
        <v/>
      </c>
      <c r="BJ495" s="245">
        <f>IF(BJ$7="Actual","",(BJ442*BJ454)+((BJ442*BJ454)*$K466)+(INDEX($M454:$Q454,,MATCH(BJ$4,$M$4:$Q$4,0))*BJ483)*BJ442)</f>
        <v/>
      </c>
      <c r="BK495" s="245">
        <f>IF(BK$7="Actual","",(BK442*BK454)+((BK442*BK454)*$K466)+(INDEX($M454:$Q454,,MATCH(BK$4,$M$4:$Q$4,0))*BK483)*BK442)</f>
        <v/>
      </c>
      <c r="BL495" s="245">
        <f>IF(BL$7="Actual","",(BL442*BL454)+((BL442*BL454)*$K466)+(INDEX($M454:$Q454,,MATCH(BL$4,$M$4:$Q$4,0))*BL483)*BL442)</f>
        <v/>
      </c>
      <c r="BM495" s="245">
        <f>IF(BM$7="Actual","",(BM442*BM454)+((BM442*BM454)*$K466)+(INDEX($M454:$Q454,,MATCH(BM$4,$M$4:$Q$4,0))*BM483)*BM442)</f>
        <v/>
      </c>
      <c r="BN495" s="245">
        <f>IF(BN$7="Actual","",(BN442*BN454)+((BN442*BN454)*$K466)+(INDEX($M454:$Q454,,MATCH(BN$4,$M$4:$Q$4,0))*BN483)*BN442)</f>
        <v/>
      </c>
      <c r="BO495" s="245">
        <f>IF(BO$7="Actual","",(BO442*BO454)+((BO442*BO454)*$K466)+(INDEX($M454:$Q454,,MATCH(BO$4,$M$4:$Q$4,0))*BO483)*BO442)</f>
        <v/>
      </c>
      <c r="BP495" s="245">
        <f>IF(BP$7="Actual","",(BP442*BP454)+((BP442*BP454)*$K466)+(INDEX($M454:$Q454,,MATCH(BP$4,$M$4:$Q$4,0))*BP483)*BP442)</f>
        <v/>
      </c>
      <c r="BQ495" s="245">
        <f>IF(BQ$7="Actual","",(BQ442*BQ454)+((BQ442*BQ454)*$K466)+(INDEX($M454:$Q454,,MATCH(BQ$4,$M$4:$Q$4,0))*BQ483)*BQ442)</f>
        <v/>
      </c>
      <c r="BR495" s="245">
        <f>IF(BR$7="Actual","",(BR442*BR454)+((BR442*BR454)*$K466)+(INDEX($M454:$Q454,,MATCH(BR$4,$M$4:$Q$4,0))*BR483)*BR442)</f>
        <v/>
      </c>
      <c r="BS495" s="245">
        <f>IF(BS$7="Actual","",(BS442*BS454)+((BS442*BS454)*$K466)+(INDEX($M454:$Q454,,MATCH(BS$4,$M$4:$Q$4,0))*BS483)*BS442)</f>
        <v/>
      </c>
      <c r="BT495" s="245">
        <f>IF(BT$7="Actual","",(BT442*BT454)+((BT442*BT454)*$K466)+(INDEX($M454:$Q454,,MATCH(BT$4,$M$4:$Q$4,0))*BT483)*BT442)</f>
        <v/>
      </c>
      <c r="BU495" s="245">
        <f>IF(BU$7="Actual","",(BU442*BU454)+((BU442*BU454)*$K466)+(INDEX($M454:$Q454,,MATCH(BU$4,$M$4:$Q$4,0))*BU483)*BU442)</f>
        <v/>
      </c>
      <c r="BV495" s="245">
        <f>IF(BV$7="Actual","",(BV442*BV454)+((BV442*BV454)*$K466)+(INDEX($M454:$Q454,,MATCH(BV$4,$M$4:$Q$4,0))*BV483)*BV442)</f>
        <v/>
      </c>
      <c r="BW495" s="245">
        <f>IF(BW$7="Actual","",(BW442*BW454)+((BW442*BW454)*$K466)+(INDEX($M454:$Q454,,MATCH(BW$4,$M$4:$Q$4,0))*BW483)*BW442)</f>
        <v/>
      </c>
      <c r="BX495" s="245">
        <f>IF(BX$7="Actual","",(BX442*BX454)+((BX442*BX454)*$K466)+(INDEX($M454:$Q454,,MATCH(BX$4,$M$4:$Q$4,0))*BX483)*BX442)</f>
        <v/>
      </c>
      <c r="BY495" s="245">
        <f>IF(BY$7="Actual","",(BY442*BY454)+((BY442*BY454)*$K466)+(INDEX($M454:$Q454,,MATCH(BY$4,$M$4:$Q$4,0))*BY483)*BY442)</f>
        <v/>
      </c>
      <c r="BZ495" s="245">
        <f>IF(BZ$7="Actual","",(BZ442*BZ454)+((BZ442*BZ454)*$K466)+(INDEX($M454:$Q454,,MATCH(BZ$4,$M$4:$Q$4,0))*BZ483)*BZ442)</f>
        <v/>
      </c>
      <c r="CA495" s="245">
        <f>IF(CA$7="Actual","",(CA442*CA454)+((CA442*CA454)*$K466)+(INDEX($M454:$Q454,,MATCH(CA$4,$M$4:$Q$4,0))*CA483)*CA442)</f>
        <v/>
      </c>
    </row>
    <row r="496" ht="12" customHeight="1" s="227">
      <c r="A496" s="244" t="n"/>
      <c r="B496" s="244" t="n"/>
      <c r="C496" s="244" t="n"/>
      <c r="H496" s="0">
        <f>H455</f>
        <v/>
      </c>
      <c r="I496" s="27">
        <f>i_Setup!$M$16</f>
        <v/>
      </c>
      <c r="K496" s="6" t="n"/>
      <c r="M496" s="245">
        <f>SUMIF($T$4:$CA$4,M$4,$T496:$CA496)</f>
        <v/>
      </c>
      <c r="N496" s="245">
        <f>SUMIF($T$4:$CA$4,N$4,$T496:$CA496)</f>
        <v/>
      </c>
      <c r="O496" s="245">
        <f>SUMIF($T$4:$CA$4,O$4,$T496:$CA496)</f>
        <v/>
      </c>
      <c r="P496" s="245">
        <f>SUMIF($T$4:$CA$4,P$4,$T496:$CA496)</f>
        <v/>
      </c>
      <c r="Q496" s="245">
        <f>SUMIF($T$4:$CA$4,Q$4,$T496:$CA496)</f>
        <v/>
      </c>
      <c r="T496" s="245">
        <f>IF(T$7="Actual","",(T443*T455)+((T443*T455)*$K467)+(INDEX($M455:$Q455,,MATCH(T$4,$M$4:$Q$4,0))*T484)*T443)</f>
        <v/>
      </c>
      <c r="U496" s="245">
        <f>IF(U$7="Actual","",(U443*U455)+((U443*U455)*$K467)+(INDEX($M455:$Q455,,MATCH(U$4,$M$4:$Q$4,0))*U484)*U443)</f>
        <v/>
      </c>
      <c r="V496" s="245">
        <f>IF(V$7="Actual","",(V443*V455)+((V443*V455)*$K467)+(INDEX($M455:$Q455,,MATCH(V$4,$M$4:$Q$4,0))*V484)*V443)</f>
        <v/>
      </c>
      <c r="W496" s="245">
        <f>IF(W$7="Actual","",(W443*W455)+((W443*W455)*$K467)+(INDEX($M455:$Q455,,MATCH(W$4,$M$4:$Q$4,0))*W484)*W443)</f>
        <v/>
      </c>
      <c r="X496" s="245">
        <f>IF(X$7="Actual","",(X443*X455)+((X443*X455)*$K467)+(INDEX($M455:$Q455,,MATCH(X$4,$M$4:$Q$4,0))*X484)*X443)</f>
        <v/>
      </c>
      <c r="Y496" s="245">
        <f>IF(Y$7="Actual","",(Y443*Y455)+((Y443*Y455)*$K467)+(INDEX($M455:$Q455,,MATCH(Y$4,$M$4:$Q$4,0))*Y484)*Y443)</f>
        <v/>
      </c>
      <c r="Z496" s="245">
        <f>IF(Z$7="Actual","",(Z443*Z455)+((Z443*Z455)*$K467)+(INDEX($M455:$Q455,,MATCH(Z$4,$M$4:$Q$4,0))*Z484)*Z443)</f>
        <v/>
      </c>
      <c r="AA496" s="245">
        <f>IF(AA$7="Actual","",(AA443*AA455)+((AA443*AA455)*$K467)+(INDEX($M455:$Q455,,MATCH(AA$4,$M$4:$Q$4,0))*AA484)*AA443)</f>
        <v/>
      </c>
      <c r="AB496" s="245">
        <f>IF(AB$7="Actual","",(AB443*AB455)+((AB443*AB455)*$K467)+(INDEX($M455:$Q455,,MATCH(AB$4,$M$4:$Q$4,0))*AB484)*AB443)</f>
        <v/>
      </c>
      <c r="AC496" s="245">
        <f>IF(AC$7="Actual","",(AC443*AC455)+((AC443*AC455)*$K467)+(INDEX($M455:$Q455,,MATCH(AC$4,$M$4:$Q$4,0))*AC484)*AC443)</f>
        <v/>
      </c>
      <c r="AD496" s="245">
        <f>IF(AD$7="Actual","",(AD443*AD455)+((AD443*AD455)*$K467)+(INDEX($M455:$Q455,,MATCH(AD$4,$M$4:$Q$4,0))*AD484)*AD443)</f>
        <v/>
      </c>
      <c r="AE496" s="245">
        <f>IF(AE$7="Actual","",(AE443*AE455)+((AE443*AE455)*$K467)+(INDEX($M455:$Q455,,MATCH(AE$4,$M$4:$Q$4,0))*AE484)*AE443)</f>
        <v/>
      </c>
      <c r="AF496" s="245">
        <f>IF(AF$7="Actual","",(AF443*AF455)+((AF443*AF455)*$K467)+(INDEX($M455:$Q455,,MATCH(AF$4,$M$4:$Q$4,0))*AF484)*AF443)</f>
        <v/>
      </c>
      <c r="AG496" s="245">
        <f>IF(AG$7="Actual","",(AG443*AG455)+((AG443*AG455)*$K467)+(INDEX($M455:$Q455,,MATCH(AG$4,$M$4:$Q$4,0))*AG484)*AG443)</f>
        <v/>
      </c>
      <c r="AH496" s="245">
        <f>IF(AH$7="Actual","",(AH443*AH455)+((AH443*AH455)*$K467)+(INDEX($M455:$Q455,,MATCH(AH$4,$M$4:$Q$4,0))*AH484)*AH443)</f>
        <v/>
      </c>
      <c r="AI496" s="245">
        <f>IF(AI$7="Actual","",(AI443*AI455)+((AI443*AI455)*$K467)+(INDEX($M455:$Q455,,MATCH(AI$4,$M$4:$Q$4,0))*AI484)*AI443)</f>
        <v/>
      </c>
      <c r="AJ496" s="245">
        <f>IF(AJ$7="Actual","",(AJ443*AJ455)+((AJ443*AJ455)*$K467)+(INDEX($M455:$Q455,,MATCH(AJ$4,$M$4:$Q$4,0))*AJ484)*AJ443)</f>
        <v/>
      </c>
      <c r="AK496" s="245">
        <f>IF(AK$7="Actual","",(AK443*AK455)+((AK443*AK455)*$K467)+(INDEX($M455:$Q455,,MATCH(AK$4,$M$4:$Q$4,0))*AK484)*AK443)</f>
        <v/>
      </c>
      <c r="AL496" s="245">
        <f>IF(AL$7="Actual","",(AL443*AL455)+((AL443*AL455)*$K467)+(INDEX($M455:$Q455,,MATCH(AL$4,$M$4:$Q$4,0))*AL484)*AL443)</f>
        <v/>
      </c>
      <c r="AM496" s="245">
        <f>IF(AM$7="Actual","",(AM443*AM455)+((AM443*AM455)*$K467)+(INDEX($M455:$Q455,,MATCH(AM$4,$M$4:$Q$4,0))*AM484)*AM443)</f>
        <v/>
      </c>
      <c r="AN496" s="245">
        <f>IF(AN$7="Actual","",(AN443*AN455)+((AN443*AN455)*$K467)+(INDEX($M455:$Q455,,MATCH(AN$4,$M$4:$Q$4,0))*AN484)*AN443)</f>
        <v/>
      </c>
      <c r="AO496" s="245">
        <f>IF(AO$7="Actual","",(AO443*AO455)+((AO443*AO455)*$K467)+(INDEX($M455:$Q455,,MATCH(AO$4,$M$4:$Q$4,0))*AO484)*AO443)</f>
        <v/>
      </c>
      <c r="AP496" s="245">
        <f>IF(AP$7="Actual","",(AP443*AP455)+((AP443*AP455)*$K467)+(INDEX($M455:$Q455,,MATCH(AP$4,$M$4:$Q$4,0))*AP484)*AP443)</f>
        <v/>
      </c>
      <c r="AQ496" s="245">
        <f>IF(AQ$7="Actual","",(AQ443*AQ455)+((AQ443*AQ455)*$K467)+(INDEX($M455:$Q455,,MATCH(AQ$4,$M$4:$Q$4,0))*AQ484)*AQ443)</f>
        <v/>
      </c>
      <c r="AR496" s="245">
        <f>IF(AR$7="Actual","",(AR443*AR455)+((AR443*AR455)*$K467)+(INDEX($M455:$Q455,,MATCH(AR$4,$M$4:$Q$4,0))*AR484)*AR443)</f>
        <v/>
      </c>
      <c r="AS496" s="245">
        <f>IF(AS$7="Actual","",(AS443*AS455)+((AS443*AS455)*$K467)+(INDEX($M455:$Q455,,MATCH(AS$4,$M$4:$Q$4,0))*AS484)*AS443)</f>
        <v/>
      </c>
      <c r="AT496" s="245">
        <f>IF(AT$7="Actual","",(AT443*AT455)+((AT443*AT455)*$K467)+(INDEX($M455:$Q455,,MATCH(AT$4,$M$4:$Q$4,0))*AT484)*AT443)</f>
        <v/>
      </c>
      <c r="AU496" s="245">
        <f>IF(AU$7="Actual","",(AU443*AU455)+((AU443*AU455)*$K467)+(INDEX($M455:$Q455,,MATCH(AU$4,$M$4:$Q$4,0))*AU484)*AU443)</f>
        <v/>
      </c>
      <c r="AV496" s="245">
        <f>IF(AV$7="Actual","",(AV443*AV455)+((AV443*AV455)*$K467)+(INDEX($M455:$Q455,,MATCH(AV$4,$M$4:$Q$4,0))*AV484)*AV443)</f>
        <v/>
      </c>
      <c r="AW496" s="245">
        <f>IF(AW$7="Actual","",(AW443*AW455)+((AW443*AW455)*$K467)+(INDEX($M455:$Q455,,MATCH(AW$4,$M$4:$Q$4,0))*AW484)*AW443)</f>
        <v/>
      </c>
      <c r="AX496" s="245">
        <f>IF(AX$7="Actual","",(AX443*AX455)+((AX443*AX455)*$K467)+(INDEX($M455:$Q455,,MATCH(AX$4,$M$4:$Q$4,0))*AX484)*AX443)</f>
        <v/>
      </c>
      <c r="AY496" s="245">
        <f>IF(AY$7="Actual","",(AY443*AY455)+((AY443*AY455)*$K467)+(INDEX($M455:$Q455,,MATCH(AY$4,$M$4:$Q$4,0))*AY484)*AY443)</f>
        <v/>
      </c>
      <c r="AZ496" s="245">
        <f>IF(AZ$7="Actual","",(AZ443*AZ455)+((AZ443*AZ455)*$K467)+(INDEX($M455:$Q455,,MATCH(AZ$4,$M$4:$Q$4,0))*AZ484)*AZ443)</f>
        <v/>
      </c>
      <c r="BA496" s="245">
        <f>IF(BA$7="Actual","",(BA443*BA455)+((BA443*BA455)*$K467)+(INDEX($M455:$Q455,,MATCH(BA$4,$M$4:$Q$4,0))*BA484)*BA443)</f>
        <v/>
      </c>
      <c r="BB496" s="245">
        <f>IF(BB$7="Actual","",(BB443*BB455)+((BB443*BB455)*$K467)+(INDEX($M455:$Q455,,MATCH(BB$4,$M$4:$Q$4,0))*BB484)*BB443)</f>
        <v/>
      </c>
      <c r="BC496" s="245">
        <f>IF(BC$7="Actual","",(BC443*BC455)+((BC443*BC455)*$K467)+(INDEX($M455:$Q455,,MATCH(BC$4,$M$4:$Q$4,0))*BC484)*BC443)</f>
        <v/>
      </c>
      <c r="BD496" s="245">
        <f>IF(BD$7="Actual","",(BD443*BD455)+((BD443*BD455)*$K467)+(INDEX($M455:$Q455,,MATCH(BD$4,$M$4:$Q$4,0))*BD484)*BD443)</f>
        <v/>
      </c>
      <c r="BE496" s="245">
        <f>IF(BE$7="Actual","",(BE443*BE455)+((BE443*BE455)*$K467)+(INDEX($M455:$Q455,,MATCH(BE$4,$M$4:$Q$4,0))*BE484)*BE443)</f>
        <v/>
      </c>
      <c r="BF496" s="245">
        <f>IF(BF$7="Actual","",(BF443*BF455)+((BF443*BF455)*$K467)+(INDEX($M455:$Q455,,MATCH(BF$4,$M$4:$Q$4,0))*BF484)*BF443)</f>
        <v/>
      </c>
      <c r="BG496" s="245">
        <f>IF(BG$7="Actual","",(BG443*BG455)+((BG443*BG455)*$K467)+(INDEX($M455:$Q455,,MATCH(BG$4,$M$4:$Q$4,0))*BG484)*BG443)</f>
        <v/>
      </c>
      <c r="BH496" s="245">
        <f>IF(BH$7="Actual","",(BH443*BH455)+((BH443*BH455)*$K467)+(INDEX($M455:$Q455,,MATCH(BH$4,$M$4:$Q$4,0))*BH484)*BH443)</f>
        <v/>
      </c>
      <c r="BI496" s="245">
        <f>IF(BI$7="Actual","",(BI443*BI455)+((BI443*BI455)*$K467)+(INDEX($M455:$Q455,,MATCH(BI$4,$M$4:$Q$4,0))*BI484)*BI443)</f>
        <v/>
      </c>
      <c r="BJ496" s="245">
        <f>IF(BJ$7="Actual","",(BJ443*BJ455)+((BJ443*BJ455)*$K467)+(INDEX($M455:$Q455,,MATCH(BJ$4,$M$4:$Q$4,0))*BJ484)*BJ443)</f>
        <v/>
      </c>
      <c r="BK496" s="245">
        <f>IF(BK$7="Actual","",(BK443*BK455)+((BK443*BK455)*$K467)+(INDEX($M455:$Q455,,MATCH(BK$4,$M$4:$Q$4,0))*BK484)*BK443)</f>
        <v/>
      </c>
      <c r="BL496" s="245">
        <f>IF(BL$7="Actual","",(BL443*BL455)+((BL443*BL455)*$K467)+(INDEX($M455:$Q455,,MATCH(BL$4,$M$4:$Q$4,0))*BL484)*BL443)</f>
        <v/>
      </c>
      <c r="BM496" s="245">
        <f>IF(BM$7="Actual","",(BM443*BM455)+((BM443*BM455)*$K467)+(INDEX($M455:$Q455,,MATCH(BM$4,$M$4:$Q$4,0))*BM484)*BM443)</f>
        <v/>
      </c>
      <c r="BN496" s="245">
        <f>IF(BN$7="Actual","",(BN443*BN455)+((BN443*BN455)*$K467)+(INDEX($M455:$Q455,,MATCH(BN$4,$M$4:$Q$4,0))*BN484)*BN443)</f>
        <v/>
      </c>
      <c r="BO496" s="245">
        <f>IF(BO$7="Actual","",(BO443*BO455)+((BO443*BO455)*$K467)+(INDEX($M455:$Q455,,MATCH(BO$4,$M$4:$Q$4,0))*BO484)*BO443)</f>
        <v/>
      </c>
      <c r="BP496" s="245">
        <f>IF(BP$7="Actual","",(BP443*BP455)+((BP443*BP455)*$K467)+(INDEX($M455:$Q455,,MATCH(BP$4,$M$4:$Q$4,0))*BP484)*BP443)</f>
        <v/>
      </c>
      <c r="BQ496" s="245">
        <f>IF(BQ$7="Actual","",(BQ443*BQ455)+((BQ443*BQ455)*$K467)+(INDEX($M455:$Q455,,MATCH(BQ$4,$M$4:$Q$4,0))*BQ484)*BQ443)</f>
        <v/>
      </c>
      <c r="BR496" s="245">
        <f>IF(BR$7="Actual","",(BR443*BR455)+((BR443*BR455)*$K467)+(INDEX($M455:$Q455,,MATCH(BR$4,$M$4:$Q$4,0))*BR484)*BR443)</f>
        <v/>
      </c>
      <c r="BS496" s="245">
        <f>IF(BS$7="Actual","",(BS443*BS455)+((BS443*BS455)*$K467)+(INDEX($M455:$Q455,,MATCH(BS$4,$M$4:$Q$4,0))*BS484)*BS443)</f>
        <v/>
      </c>
      <c r="BT496" s="245">
        <f>IF(BT$7="Actual","",(BT443*BT455)+((BT443*BT455)*$K467)+(INDEX($M455:$Q455,,MATCH(BT$4,$M$4:$Q$4,0))*BT484)*BT443)</f>
        <v/>
      </c>
      <c r="BU496" s="245">
        <f>IF(BU$7="Actual","",(BU443*BU455)+((BU443*BU455)*$K467)+(INDEX($M455:$Q455,,MATCH(BU$4,$M$4:$Q$4,0))*BU484)*BU443)</f>
        <v/>
      </c>
      <c r="BV496" s="245">
        <f>IF(BV$7="Actual","",(BV443*BV455)+((BV443*BV455)*$K467)+(INDEX($M455:$Q455,,MATCH(BV$4,$M$4:$Q$4,0))*BV484)*BV443)</f>
        <v/>
      </c>
      <c r="BW496" s="245">
        <f>IF(BW$7="Actual","",(BW443*BW455)+((BW443*BW455)*$K467)+(INDEX($M455:$Q455,,MATCH(BW$4,$M$4:$Q$4,0))*BW484)*BW443)</f>
        <v/>
      </c>
      <c r="BX496" s="245">
        <f>IF(BX$7="Actual","",(BX443*BX455)+((BX443*BX455)*$K467)+(INDEX($M455:$Q455,,MATCH(BX$4,$M$4:$Q$4,0))*BX484)*BX443)</f>
        <v/>
      </c>
      <c r="BY496" s="245">
        <f>IF(BY$7="Actual","",(BY443*BY455)+((BY443*BY455)*$K467)+(INDEX($M455:$Q455,,MATCH(BY$4,$M$4:$Q$4,0))*BY484)*BY443)</f>
        <v/>
      </c>
      <c r="BZ496" s="245">
        <f>IF(BZ$7="Actual","",(BZ443*BZ455)+((BZ443*BZ455)*$K467)+(INDEX($M455:$Q455,,MATCH(BZ$4,$M$4:$Q$4,0))*BZ484)*BZ443)</f>
        <v/>
      </c>
      <c r="CA496" s="245">
        <f>IF(CA$7="Actual","",(CA443*CA455)+((CA443*CA455)*$K467)+(INDEX($M455:$Q455,,MATCH(CA$4,$M$4:$Q$4,0))*CA484)*CA443)</f>
        <v/>
      </c>
    </row>
    <row r="497" ht="12" customHeight="1" s="227">
      <c r="A497" s="244" t="n"/>
      <c r="B497" s="244" t="n"/>
      <c r="C497" s="244" t="n"/>
      <c r="H497" s="0">
        <f>H456</f>
        <v/>
      </c>
      <c r="I497" s="27">
        <f>i_Setup!$M$16</f>
        <v/>
      </c>
      <c r="K497" s="6" t="n"/>
      <c r="M497" s="245">
        <f>SUMIF($T$4:$CA$4,M$4,$T497:$CA497)</f>
        <v/>
      </c>
      <c r="N497" s="245">
        <f>SUMIF($T$4:$CA$4,N$4,$T497:$CA497)</f>
        <v/>
      </c>
      <c r="O497" s="245">
        <f>SUMIF($T$4:$CA$4,O$4,$T497:$CA497)</f>
        <v/>
      </c>
      <c r="P497" s="245">
        <f>SUMIF($T$4:$CA$4,P$4,$T497:$CA497)</f>
        <v/>
      </c>
      <c r="Q497" s="245">
        <f>SUMIF($T$4:$CA$4,Q$4,$T497:$CA497)</f>
        <v/>
      </c>
      <c r="T497" s="245">
        <f>IF(T$7="Actual","",(T444*T456)+((T444*T456)*$K468)+(INDEX($M456:$Q456,,MATCH(T$4,$M$4:$Q$4,0))*T485)*T444)</f>
        <v/>
      </c>
      <c r="U497" s="245">
        <f>IF(U$7="Actual","",(U444*U456)+((U444*U456)*$K468)+(INDEX($M456:$Q456,,MATCH(U$4,$M$4:$Q$4,0))*U485)*U444)</f>
        <v/>
      </c>
      <c r="V497" s="245">
        <f>IF(V$7="Actual","",(V444*V456)+((V444*V456)*$K468)+(INDEX($M456:$Q456,,MATCH(V$4,$M$4:$Q$4,0))*V485)*V444)</f>
        <v/>
      </c>
      <c r="W497" s="245">
        <f>IF(W$7="Actual","",(W444*W456)+((W444*W456)*$K468)+(INDEX($M456:$Q456,,MATCH(W$4,$M$4:$Q$4,0))*W485)*W444)</f>
        <v/>
      </c>
      <c r="X497" s="245">
        <f>IF(X$7="Actual","",(X444*X456)+((X444*X456)*$K468)+(INDEX($M456:$Q456,,MATCH(X$4,$M$4:$Q$4,0))*X485)*X444)</f>
        <v/>
      </c>
      <c r="Y497" s="245">
        <f>IF(Y$7="Actual","",(Y444*Y456)+((Y444*Y456)*$K468)+(INDEX($M456:$Q456,,MATCH(Y$4,$M$4:$Q$4,0))*Y485)*Y444)</f>
        <v/>
      </c>
      <c r="Z497" s="245">
        <f>IF(Z$7="Actual","",(Z444*Z456)+((Z444*Z456)*$K468)+(INDEX($M456:$Q456,,MATCH(Z$4,$M$4:$Q$4,0))*Z485)*Z444)</f>
        <v/>
      </c>
      <c r="AA497" s="245">
        <f>IF(AA$7="Actual","",(AA444*AA456)+((AA444*AA456)*$K468)+(INDEX($M456:$Q456,,MATCH(AA$4,$M$4:$Q$4,0))*AA485)*AA444)</f>
        <v/>
      </c>
      <c r="AB497" s="245">
        <f>IF(AB$7="Actual","",(AB444*AB456)+((AB444*AB456)*$K468)+(INDEX($M456:$Q456,,MATCH(AB$4,$M$4:$Q$4,0))*AB485)*AB444)</f>
        <v/>
      </c>
      <c r="AC497" s="245">
        <f>IF(AC$7="Actual","",(AC444*AC456)+((AC444*AC456)*$K468)+(INDEX($M456:$Q456,,MATCH(AC$4,$M$4:$Q$4,0))*AC485)*AC444)</f>
        <v/>
      </c>
      <c r="AD497" s="245">
        <f>IF(AD$7="Actual","",(AD444*AD456)+((AD444*AD456)*$K468)+(INDEX($M456:$Q456,,MATCH(AD$4,$M$4:$Q$4,0))*AD485)*AD444)</f>
        <v/>
      </c>
      <c r="AE497" s="245">
        <f>IF(AE$7="Actual","",(AE444*AE456)+((AE444*AE456)*$K468)+(INDEX($M456:$Q456,,MATCH(AE$4,$M$4:$Q$4,0))*AE485)*AE444)</f>
        <v/>
      </c>
      <c r="AF497" s="245">
        <f>IF(AF$7="Actual","",(AF444*AF456)+((AF444*AF456)*$K468)+(INDEX($M456:$Q456,,MATCH(AF$4,$M$4:$Q$4,0))*AF485)*AF444)</f>
        <v/>
      </c>
      <c r="AG497" s="245">
        <f>IF(AG$7="Actual","",(AG444*AG456)+((AG444*AG456)*$K468)+(INDEX($M456:$Q456,,MATCH(AG$4,$M$4:$Q$4,0))*AG485)*AG444)</f>
        <v/>
      </c>
      <c r="AH497" s="245">
        <f>IF(AH$7="Actual","",(AH444*AH456)+((AH444*AH456)*$K468)+(INDEX($M456:$Q456,,MATCH(AH$4,$M$4:$Q$4,0))*AH485)*AH444)</f>
        <v/>
      </c>
      <c r="AI497" s="245">
        <f>IF(AI$7="Actual","",(AI444*AI456)+((AI444*AI456)*$K468)+(INDEX($M456:$Q456,,MATCH(AI$4,$M$4:$Q$4,0))*AI485)*AI444)</f>
        <v/>
      </c>
      <c r="AJ497" s="245">
        <f>IF(AJ$7="Actual","",(AJ444*AJ456)+((AJ444*AJ456)*$K468)+(INDEX($M456:$Q456,,MATCH(AJ$4,$M$4:$Q$4,0))*AJ485)*AJ444)</f>
        <v/>
      </c>
      <c r="AK497" s="245">
        <f>IF(AK$7="Actual","",(AK444*AK456)+((AK444*AK456)*$K468)+(INDEX($M456:$Q456,,MATCH(AK$4,$M$4:$Q$4,0))*AK485)*AK444)</f>
        <v/>
      </c>
      <c r="AL497" s="245">
        <f>IF(AL$7="Actual","",(AL444*AL456)+((AL444*AL456)*$K468)+(INDEX($M456:$Q456,,MATCH(AL$4,$M$4:$Q$4,0))*AL485)*AL444)</f>
        <v/>
      </c>
      <c r="AM497" s="245">
        <f>IF(AM$7="Actual","",(AM444*AM456)+((AM444*AM456)*$K468)+(INDEX($M456:$Q456,,MATCH(AM$4,$M$4:$Q$4,0))*AM485)*AM444)</f>
        <v/>
      </c>
      <c r="AN497" s="245">
        <f>IF(AN$7="Actual","",(AN444*AN456)+((AN444*AN456)*$K468)+(INDEX($M456:$Q456,,MATCH(AN$4,$M$4:$Q$4,0))*AN485)*AN444)</f>
        <v/>
      </c>
      <c r="AO497" s="245">
        <f>IF(AO$7="Actual","",(AO444*AO456)+((AO444*AO456)*$K468)+(INDEX($M456:$Q456,,MATCH(AO$4,$M$4:$Q$4,0))*AO485)*AO444)</f>
        <v/>
      </c>
      <c r="AP497" s="245">
        <f>IF(AP$7="Actual","",(AP444*AP456)+((AP444*AP456)*$K468)+(INDEX($M456:$Q456,,MATCH(AP$4,$M$4:$Q$4,0))*AP485)*AP444)</f>
        <v/>
      </c>
      <c r="AQ497" s="245">
        <f>IF(AQ$7="Actual","",(AQ444*AQ456)+((AQ444*AQ456)*$K468)+(INDEX($M456:$Q456,,MATCH(AQ$4,$M$4:$Q$4,0))*AQ485)*AQ444)</f>
        <v/>
      </c>
      <c r="AR497" s="245">
        <f>IF(AR$7="Actual","",(AR444*AR456)+((AR444*AR456)*$K468)+(INDEX($M456:$Q456,,MATCH(AR$4,$M$4:$Q$4,0))*AR485)*AR444)</f>
        <v/>
      </c>
      <c r="AS497" s="245">
        <f>IF(AS$7="Actual","",(AS444*AS456)+((AS444*AS456)*$K468)+(INDEX($M456:$Q456,,MATCH(AS$4,$M$4:$Q$4,0))*AS485)*AS444)</f>
        <v/>
      </c>
      <c r="AT497" s="245">
        <f>IF(AT$7="Actual","",(AT444*AT456)+((AT444*AT456)*$K468)+(INDEX($M456:$Q456,,MATCH(AT$4,$M$4:$Q$4,0))*AT485)*AT444)</f>
        <v/>
      </c>
      <c r="AU497" s="245">
        <f>IF(AU$7="Actual","",(AU444*AU456)+((AU444*AU456)*$K468)+(INDEX($M456:$Q456,,MATCH(AU$4,$M$4:$Q$4,0))*AU485)*AU444)</f>
        <v/>
      </c>
      <c r="AV497" s="245">
        <f>IF(AV$7="Actual","",(AV444*AV456)+((AV444*AV456)*$K468)+(INDEX($M456:$Q456,,MATCH(AV$4,$M$4:$Q$4,0))*AV485)*AV444)</f>
        <v/>
      </c>
      <c r="AW497" s="245">
        <f>IF(AW$7="Actual","",(AW444*AW456)+((AW444*AW456)*$K468)+(INDEX($M456:$Q456,,MATCH(AW$4,$M$4:$Q$4,0))*AW485)*AW444)</f>
        <v/>
      </c>
      <c r="AX497" s="245">
        <f>IF(AX$7="Actual","",(AX444*AX456)+((AX444*AX456)*$K468)+(INDEX($M456:$Q456,,MATCH(AX$4,$M$4:$Q$4,0))*AX485)*AX444)</f>
        <v/>
      </c>
      <c r="AY497" s="245">
        <f>IF(AY$7="Actual","",(AY444*AY456)+((AY444*AY456)*$K468)+(INDEX($M456:$Q456,,MATCH(AY$4,$M$4:$Q$4,0))*AY485)*AY444)</f>
        <v/>
      </c>
      <c r="AZ497" s="245">
        <f>IF(AZ$7="Actual","",(AZ444*AZ456)+((AZ444*AZ456)*$K468)+(INDEX($M456:$Q456,,MATCH(AZ$4,$M$4:$Q$4,0))*AZ485)*AZ444)</f>
        <v/>
      </c>
      <c r="BA497" s="245">
        <f>IF(BA$7="Actual","",(BA444*BA456)+((BA444*BA456)*$K468)+(INDEX($M456:$Q456,,MATCH(BA$4,$M$4:$Q$4,0))*BA485)*BA444)</f>
        <v/>
      </c>
      <c r="BB497" s="245">
        <f>IF(BB$7="Actual","",(BB444*BB456)+((BB444*BB456)*$K468)+(INDEX($M456:$Q456,,MATCH(BB$4,$M$4:$Q$4,0))*BB485)*BB444)</f>
        <v/>
      </c>
      <c r="BC497" s="245">
        <f>IF(BC$7="Actual","",(BC444*BC456)+((BC444*BC456)*$K468)+(INDEX($M456:$Q456,,MATCH(BC$4,$M$4:$Q$4,0))*BC485)*BC444)</f>
        <v/>
      </c>
      <c r="BD497" s="245">
        <f>IF(BD$7="Actual","",(BD444*BD456)+((BD444*BD456)*$K468)+(INDEX($M456:$Q456,,MATCH(BD$4,$M$4:$Q$4,0))*BD485)*BD444)</f>
        <v/>
      </c>
      <c r="BE497" s="245">
        <f>IF(BE$7="Actual","",(BE444*BE456)+((BE444*BE456)*$K468)+(INDEX($M456:$Q456,,MATCH(BE$4,$M$4:$Q$4,0))*BE485)*BE444)</f>
        <v/>
      </c>
      <c r="BF497" s="245">
        <f>IF(BF$7="Actual","",(BF444*BF456)+((BF444*BF456)*$K468)+(INDEX($M456:$Q456,,MATCH(BF$4,$M$4:$Q$4,0))*BF485)*BF444)</f>
        <v/>
      </c>
      <c r="BG497" s="245">
        <f>IF(BG$7="Actual","",(BG444*BG456)+((BG444*BG456)*$K468)+(INDEX($M456:$Q456,,MATCH(BG$4,$M$4:$Q$4,0))*BG485)*BG444)</f>
        <v/>
      </c>
      <c r="BH497" s="245">
        <f>IF(BH$7="Actual","",(BH444*BH456)+((BH444*BH456)*$K468)+(INDEX($M456:$Q456,,MATCH(BH$4,$M$4:$Q$4,0))*BH485)*BH444)</f>
        <v/>
      </c>
      <c r="BI497" s="245">
        <f>IF(BI$7="Actual","",(BI444*BI456)+((BI444*BI456)*$K468)+(INDEX($M456:$Q456,,MATCH(BI$4,$M$4:$Q$4,0))*BI485)*BI444)</f>
        <v/>
      </c>
      <c r="BJ497" s="245">
        <f>IF(BJ$7="Actual","",(BJ444*BJ456)+((BJ444*BJ456)*$K468)+(INDEX($M456:$Q456,,MATCH(BJ$4,$M$4:$Q$4,0))*BJ485)*BJ444)</f>
        <v/>
      </c>
      <c r="BK497" s="245">
        <f>IF(BK$7="Actual","",(BK444*BK456)+((BK444*BK456)*$K468)+(INDEX($M456:$Q456,,MATCH(BK$4,$M$4:$Q$4,0))*BK485)*BK444)</f>
        <v/>
      </c>
      <c r="BL497" s="245">
        <f>IF(BL$7="Actual","",(BL444*BL456)+((BL444*BL456)*$K468)+(INDEX($M456:$Q456,,MATCH(BL$4,$M$4:$Q$4,0))*BL485)*BL444)</f>
        <v/>
      </c>
      <c r="BM497" s="245">
        <f>IF(BM$7="Actual","",(BM444*BM456)+((BM444*BM456)*$K468)+(INDEX($M456:$Q456,,MATCH(BM$4,$M$4:$Q$4,0))*BM485)*BM444)</f>
        <v/>
      </c>
      <c r="BN497" s="245">
        <f>IF(BN$7="Actual","",(BN444*BN456)+((BN444*BN456)*$K468)+(INDEX($M456:$Q456,,MATCH(BN$4,$M$4:$Q$4,0))*BN485)*BN444)</f>
        <v/>
      </c>
      <c r="BO497" s="245">
        <f>IF(BO$7="Actual","",(BO444*BO456)+((BO444*BO456)*$K468)+(INDEX($M456:$Q456,,MATCH(BO$4,$M$4:$Q$4,0))*BO485)*BO444)</f>
        <v/>
      </c>
      <c r="BP497" s="245">
        <f>IF(BP$7="Actual","",(BP444*BP456)+((BP444*BP456)*$K468)+(INDEX($M456:$Q456,,MATCH(BP$4,$M$4:$Q$4,0))*BP485)*BP444)</f>
        <v/>
      </c>
      <c r="BQ497" s="245">
        <f>IF(BQ$7="Actual","",(BQ444*BQ456)+((BQ444*BQ456)*$K468)+(INDEX($M456:$Q456,,MATCH(BQ$4,$M$4:$Q$4,0))*BQ485)*BQ444)</f>
        <v/>
      </c>
      <c r="BR497" s="245">
        <f>IF(BR$7="Actual","",(BR444*BR456)+((BR444*BR456)*$K468)+(INDEX($M456:$Q456,,MATCH(BR$4,$M$4:$Q$4,0))*BR485)*BR444)</f>
        <v/>
      </c>
      <c r="BS497" s="245">
        <f>IF(BS$7="Actual","",(BS444*BS456)+((BS444*BS456)*$K468)+(INDEX($M456:$Q456,,MATCH(BS$4,$M$4:$Q$4,0))*BS485)*BS444)</f>
        <v/>
      </c>
      <c r="BT497" s="245">
        <f>IF(BT$7="Actual","",(BT444*BT456)+((BT444*BT456)*$K468)+(INDEX($M456:$Q456,,MATCH(BT$4,$M$4:$Q$4,0))*BT485)*BT444)</f>
        <v/>
      </c>
      <c r="BU497" s="245">
        <f>IF(BU$7="Actual","",(BU444*BU456)+((BU444*BU456)*$K468)+(INDEX($M456:$Q456,,MATCH(BU$4,$M$4:$Q$4,0))*BU485)*BU444)</f>
        <v/>
      </c>
      <c r="BV497" s="245">
        <f>IF(BV$7="Actual","",(BV444*BV456)+((BV444*BV456)*$K468)+(INDEX($M456:$Q456,,MATCH(BV$4,$M$4:$Q$4,0))*BV485)*BV444)</f>
        <v/>
      </c>
      <c r="BW497" s="245">
        <f>IF(BW$7="Actual","",(BW444*BW456)+((BW444*BW456)*$K468)+(INDEX($M456:$Q456,,MATCH(BW$4,$M$4:$Q$4,0))*BW485)*BW444)</f>
        <v/>
      </c>
      <c r="BX497" s="245">
        <f>IF(BX$7="Actual","",(BX444*BX456)+((BX444*BX456)*$K468)+(INDEX($M456:$Q456,,MATCH(BX$4,$M$4:$Q$4,0))*BX485)*BX444)</f>
        <v/>
      </c>
      <c r="BY497" s="245">
        <f>IF(BY$7="Actual","",(BY444*BY456)+((BY444*BY456)*$K468)+(INDEX($M456:$Q456,,MATCH(BY$4,$M$4:$Q$4,0))*BY485)*BY444)</f>
        <v/>
      </c>
      <c r="BZ497" s="245">
        <f>IF(BZ$7="Actual","",(BZ444*BZ456)+((BZ444*BZ456)*$K468)+(INDEX($M456:$Q456,,MATCH(BZ$4,$M$4:$Q$4,0))*BZ485)*BZ444)</f>
        <v/>
      </c>
      <c r="CA497" s="245">
        <f>IF(CA$7="Actual","",(CA444*CA456)+((CA444*CA456)*$K468)+(INDEX($M456:$Q456,,MATCH(CA$4,$M$4:$Q$4,0))*CA485)*CA444)</f>
        <v/>
      </c>
    </row>
    <row r="498" ht="12" customHeight="1" s="227">
      <c r="A498" s="244" t="n"/>
      <c r="B498" s="244" t="n"/>
      <c r="C498" s="244" t="n"/>
      <c r="H498" s="0">
        <f>H457</f>
        <v/>
      </c>
      <c r="I498" s="27">
        <f>i_Setup!$M$16</f>
        <v/>
      </c>
      <c r="K498" s="6" t="n"/>
      <c r="M498" s="245">
        <f>SUMIF($T$4:$CA$4,M$4,$T498:$CA498)</f>
        <v/>
      </c>
      <c r="N498" s="245">
        <f>SUMIF($T$4:$CA$4,N$4,$T498:$CA498)</f>
        <v/>
      </c>
      <c r="O498" s="245">
        <f>SUMIF($T$4:$CA$4,O$4,$T498:$CA498)</f>
        <v/>
      </c>
      <c r="P498" s="245">
        <f>SUMIF($T$4:$CA$4,P$4,$T498:$CA498)</f>
        <v/>
      </c>
      <c r="Q498" s="245">
        <f>SUMIF($T$4:$CA$4,Q$4,$T498:$CA498)</f>
        <v/>
      </c>
      <c r="T498" s="245">
        <f>IF(T$7="Actual","",(T445*T457)+((T445*T457)*$K469)+(INDEX($M457:$Q457,,MATCH(T$4,$M$4:$Q$4,0))*T486)*T445)</f>
        <v/>
      </c>
      <c r="U498" s="245">
        <f>IF(U$7="Actual","",(U445*U457)+((U445*U457)*$K469)+(INDEX($M457:$Q457,,MATCH(U$4,$M$4:$Q$4,0))*U486)*U445)</f>
        <v/>
      </c>
      <c r="V498" s="245">
        <f>IF(V$7="Actual","",(V445*V457)+((V445*V457)*$K469)+(INDEX($M457:$Q457,,MATCH(V$4,$M$4:$Q$4,0))*V486)*V445)</f>
        <v/>
      </c>
      <c r="W498" s="245">
        <f>IF(W$7="Actual","",(W445*W457)+((W445*W457)*$K469)+(INDEX($M457:$Q457,,MATCH(W$4,$M$4:$Q$4,0))*W486)*W445)</f>
        <v/>
      </c>
      <c r="X498" s="245">
        <f>IF(X$7="Actual","",(X445*X457)+((X445*X457)*$K469)+(INDEX($M457:$Q457,,MATCH(X$4,$M$4:$Q$4,0))*X486)*X445)</f>
        <v/>
      </c>
      <c r="Y498" s="245">
        <f>IF(Y$7="Actual","",(Y445*Y457)+((Y445*Y457)*$K469)+(INDEX($M457:$Q457,,MATCH(Y$4,$M$4:$Q$4,0))*Y486)*Y445)</f>
        <v/>
      </c>
      <c r="Z498" s="245">
        <f>IF(Z$7="Actual","",(Z445*Z457)+((Z445*Z457)*$K469)+(INDEX($M457:$Q457,,MATCH(Z$4,$M$4:$Q$4,0))*Z486)*Z445)</f>
        <v/>
      </c>
      <c r="AA498" s="245">
        <f>IF(AA$7="Actual","",(AA445*AA457)+((AA445*AA457)*$K469)+(INDEX($M457:$Q457,,MATCH(AA$4,$M$4:$Q$4,0))*AA486)*AA445)</f>
        <v/>
      </c>
      <c r="AB498" s="245">
        <f>IF(AB$7="Actual","",(AB445*AB457)+((AB445*AB457)*$K469)+(INDEX($M457:$Q457,,MATCH(AB$4,$M$4:$Q$4,0))*AB486)*AB445)</f>
        <v/>
      </c>
      <c r="AC498" s="245">
        <f>IF(AC$7="Actual","",(AC445*AC457)+((AC445*AC457)*$K469)+(INDEX($M457:$Q457,,MATCH(AC$4,$M$4:$Q$4,0))*AC486)*AC445)</f>
        <v/>
      </c>
      <c r="AD498" s="245">
        <f>IF(AD$7="Actual","",(AD445*AD457)+((AD445*AD457)*$K469)+(INDEX($M457:$Q457,,MATCH(AD$4,$M$4:$Q$4,0))*AD486)*AD445)</f>
        <v/>
      </c>
      <c r="AE498" s="245">
        <f>IF(AE$7="Actual","",(AE445*AE457)+((AE445*AE457)*$K469)+(INDEX($M457:$Q457,,MATCH(AE$4,$M$4:$Q$4,0))*AE486)*AE445)</f>
        <v/>
      </c>
      <c r="AF498" s="245">
        <f>IF(AF$7="Actual","",(AF445*AF457)+((AF445*AF457)*$K469)+(INDEX($M457:$Q457,,MATCH(AF$4,$M$4:$Q$4,0))*AF486)*AF445)</f>
        <v/>
      </c>
      <c r="AG498" s="245">
        <f>IF(AG$7="Actual","",(AG445*AG457)+((AG445*AG457)*$K469)+(INDEX($M457:$Q457,,MATCH(AG$4,$M$4:$Q$4,0))*AG486)*AG445)</f>
        <v/>
      </c>
      <c r="AH498" s="245">
        <f>IF(AH$7="Actual","",(AH445*AH457)+((AH445*AH457)*$K469)+(INDEX($M457:$Q457,,MATCH(AH$4,$M$4:$Q$4,0))*AH486)*AH445)</f>
        <v/>
      </c>
      <c r="AI498" s="245">
        <f>IF(AI$7="Actual","",(AI445*AI457)+((AI445*AI457)*$K469)+(INDEX($M457:$Q457,,MATCH(AI$4,$M$4:$Q$4,0))*AI486)*AI445)</f>
        <v/>
      </c>
      <c r="AJ498" s="245">
        <f>IF(AJ$7="Actual","",(AJ445*AJ457)+((AJ445*AJ457)*$K469)+(INDEX($M457:$Q457,,MATCH(AJ$4,$M$4:$Q$4,0))*AJ486)*AJ445)</f>
        <v/>
      </c>
      <c r="AK498" s="245">
        <f>IF(AK$7="Actual","",(AK445*AK457)+((AK445*AK457)*$K469)+(INDEX($M457:$Q457,,MATCH(AK$4,$M$4:$Q$4,0))*AK486)*AK445)</f>
        <v/>
      </c>
      <c r="AL498" s="245">
        <f>IF(AL$7="Actual","",(AL445*AL457)+((AL445*AL457)*$K469)+(INDEX($M457:$Q457,,MATCH(AL$4,$M$4:$Q$4,0))*AL486)*AL445)</f>
        <v/>
      </c>
      <c r="AM498" s="245">
        <f>IF(AM$7="Actual","",(AM445*AM457)+((AM445*AM457)*$K469)+(INDEX($M457:$Q457,,MATCH(AM$4,$M$4:$Q$4,0))*AM486)*AM445)</f>
        <v/>
      </c>
      <c r="AN498" s="245">
        <f>IF(AN$7="Actual","",(AN445*AN457)+((AN445*AN457)*$K469)+(INDEX($M457:$Q457,,MATCH(AN$4,$M$4:$Q$4,0))*AN486)*AN445)</f>
        <v/>
      </c>
      <c r="AO498" s="245">
        <f>IF(AO$7="Actual","",(AO445*AO457)+((AO445*AO457)*$K469)+(INDEX($M457:$Q457,,MATCH(AO$4,$M$4:$Q$4,0))*AO486)*AO445)</f>
        <v/>
      </c>
      <c r="AP498" s="245">
        <f>IF(AP$7="Actual","",(AP445*AP457)+((AP445*AP457)*$K469)+(INDEX($M457:$Q457,,MATCH(AP$4,$M$4:$Q$4,0))*AP486)*AP445)</f>
        <v/>
      </c>
      <c r="AQ498" s="245">
        <f>IF(AQ$7="Actual","",(AQ445*AQ457)+((AQ445*AQ457)*$K469)+(INDEX($M457:$Q457,,MATCH(AQ$4,$M$4:$Q$4,0))*AQ486)*AQ445)</f>
        <v/>
      </c>
      <c r="AR498" s="245">
        <f>IF(AR$7="Actual","",(AR445*AR457)+((AR445*AR457)*$K469)+(INDEX($M457:$Q457,,MATCH(AR$4,$M$4:$Q$4,0))*AR486)*AR445)</f>
        <v/>
      </c>
      <c r="AS498" s="245">
        <f>IF(AS$7="Actual","",(AS445*AS457)+((AS445*AS457)*$K469)+(INDEX($M457:$Q457,,MATCH(AS$4,$M$4:$Q$4,0))*AS486)*AS445)</f>
        <v/>
      </c>
      <c r="AT498" s="245">
        <f>IF(AT$7="Actual","",(AT445*AT457)+((AT445*AT457)*$K469)+(INDEX($M457:$Q457,,MATCH(AT$4,$M$4:$Q$4,0))*AT486)*AT445)</f>
        <v/>
      </c>
      <c r="AU498" s="245">
        <f>IF(AU$7="Actual","",(AU445*AU457)+((AU445*AU457)*$K469)+(INDEX($M457:$Q457,,MATCH(AU$4,$M$4:$Q$4,0))*AU486)*AU445)</f>
        <v/>
      </c>
      <c r="AV498" s="245">
        <f>IF(AV$7="Actual","",(AV445*AV457)+((AV445*AV457)*$K469)+(INDEX($M457:$Q457,,MATCH(AV$4,$M$4:$Q$4,0))*AV486)*AV445)</f>
        <v/>
      </c>
      <c r="AW498" s="245">
        <f>IF(AW$7="Actual","",(AW445*AW457)+((AW445*AW457)*$K469)+(INDEX($M457:$Q457,,MATCH(AW$4,$M$4:$Q$4,0))*AW486)*AW445)</f>
        <v/>
      </c>
      <c r="AX498" s="245">
        <f>IF(AX$7="Actual","",(AX445*AX457)+((AX445*AX457)*$K469)+(INDEX($M457:$Q457,,MATCH(AX$4,$M$4:$Q$4,0))*AX486)*AX445)</f>
        <v/>
      </c>
      <c r="AY498" s="245">
        <f>IF(AY$7="Actual","",(AY445*AY457)+((AY445*AY457)*$K469)+(INDEX($M457:$Q457,,MATCH(AY$4,$M$4:$Q$4,0))*AY486)*AY445)</f>
        <v/>
      </c>
      <c r="AZ498" s="245">
        <f>IF(AZ$7="Actual","",(AZ445*AZ457)+((AZ445*AZ457)*$K469)+(INDEX($M457:$Q457,,MATCH(AZ$4,$M$4:$Q$4,0))*AZ486)*AZ445)</f>
        <v/>
      </c>
      <c r="BA498" s="245">
        <f>IF(BA$7="Actual","",(BA445*BA457)+((BA445*BA457)*$K469)+(INDEX($M457:$Q457,,MATCH(BA$4,$M$4:$Q$4,0))*BA486)*BA445)</f>
        <v/>
      </c>
      <c r="BB498" s="245">
        <f>IF(BB$7="Actual","",(BB445*BB457)+((BB445*BB457)*$K469)+(INDEX($M457:$Q457,,MATCH(BB$4,$M$4:$Q$4,0))*BB486)*BB445)</f>
        <v/>
      </c>
      <c r="BC498" s="245">
        <f>IF(BC$7="Actual","",(BC445*BC457)+((BC445*BC457)*$K469)+(INDEX($M457:$Q457,,MATCH(BC$4,$M$4:$Q$4,0))*BC486)*BC445)</f>
        <v/>
      </c>
      <c r="BD498" s="245">
        <f>IF(BD$7="Actual","",(BD445*BD457)+((BD445*BD457)*$K469)+(INDEX($M457:$Q457,,MATCH(BD$4,$M$4:$Q$4,0))*BD486)*BD445)</f>
        <v/>
      </c>
      <c r="BE498" s="245">
        <f>IF(BE$7="Actual","",(BE445*BE457)+((BE445*BE457)*$K469)+(INDEX($M457:$Q457,,MATCH(BE$4,$M$4:$Q$4,0))*BE486)*BE445)</f>
        <v/>
      </c>
      <c r="BF498" s="245">
        <f>IF(BF$7="Actual","",(BF445*BF457)+((BF445*BF457)*$K469)+(INDEX($M457:$Q457,,MATCH(BF$4,$M$4:$Q$4,0))*BF486)*BF445)</f>
        <v/>
      </c>
      <c r="BG498" s="245">
        <f>IF(BG$7="Actual","",(BG445*BG457)+((BG445*BG457)*$K469)+(INDEX($M457:$Q457,,MATCH(BG$4,$M$4:$Q$4,0))*BG486)*BG445)</f>
        <v/>
      </c>
      <c r="BH498" s="245">
        <f>IF(BH$7="Actual","",(BH445*BH457)+((BH445*BH457)*$K469)+(INDEX($M457:$Q457,,MATCH(BH$4,$M$4:$Q$4,0))*BH486)*BH445)</f>
        <v/>
      </c>
      <c r="BI498" s="245">
        <f>IF(BI$7="Actual","",(BI445*BI457)+((BI445*BI457)*$K469)+(INDEX($M457:$Q457,,MATCH(BI$4,$M$4:$Q$4,0))*BI486)*BI445)</f>
        <v/>
      </c>
      <c r="BJ498" s="245">
        <f>IF(BJ$7="Actual","",(BJ445*BJ457)+((BJ445*BJ457)*$K469)+(INDEX($M457:$Q457,,MATCH(BJ$4,$M$4:$Q$4,0))*BJ486)*BJ445)</f>
        <v/>
      </c>
      <c r="BK498" s="245">
        <f>IF(BK$7="Actual","",(BK445*BK457)+((BK445*BK457)*$K469)+(INDEX($M457:$Q457,,MATCH(BK$4,$M$4:$Q$4,0))*BK486)*BK445)</f>
        <v/>
      </c>
      <c r="BL498" s="245">
        <f>IF(BL$7="Actual","",(BL445*BL457)+((BL445*BL457)*$K469)+(INDEX($M457:$Q457,,MATCH(BL$4,$M$4:$Q$4,0))*BL486)*BL445)</f>
        <v/>
      </c>
      <c r="BM498" s="245">
        <f>IF(BM$7="Actual","",(BM445*BM457)+((BM445*BM457)*$K469)+(INDEX($M457:$Q457,,MATCH(BM$4,$M$4:$Q$4,0))*BM486)*BM445)</f>
        <v/>
      </c>
      <c r="BN498" s="245">
        <f>IF(BN$7="Actual","",(BN445*BN457)+((BN445*BN457)*$K469)+(INDEX($M457:$Q457,,MATCH(BN$4,$M$4:$Q$4,0))*BN486)*BN445)</f>
        <v/>
      </c>
      <c r="BO498" s="245">
        <f>IF(BO$7="Actual","",(BO445*BO457)+((BO445*BO457)*$K469)+(INDEX($M457:$Q457,,MATCH(BO$4,$M$4:$Q$4,0))*BO486)*BO445)</f>
        <v/>
      </c>
      <c r="BP498" s="245">
        <f>IF(BP$7="Actual","",(BP445*BP457)+((BP445*BP457)*$K469)+(INDEX($M457:$Q457,,MATCH(BP$4,$M$4:$Q$4,0))*BP486)*BP445)</f>
        <v/>
      </c>
      <c r="BQ498" s="245">
        <f>IF(BQ$7="Actual","",(BQ445*BQ457)+((BQ445*BQ457)*$K469)+(INDEX($M457:$Q457,,MATCH(BQ$4,$M$4:$Q$4,0))*BQ486)*BQ445)</f>
        <v/>
      </c>
      <c r="BR498" s="245">
        <f>IF(BR$7="Actual","",(BR445*BR457)+((BR445*BR457)*$K469)+(INDEX($M457:$Q457,,MATCH(BR$4,$M$4:$Q$4,0))*BR486)*BR445)</f>
        <v/>
      </c>
      <c r="BS498" s="245">
        <f>IF(BS$7="Actual","",(BS445*BS457)+((BS445*BS457)*$K469)+(INDEX($M457:$Q457,,MATCH(BS$4,$M$4:$Q$4,0))*BS486)*BS445)</f>
        <v/>
      </c>
      <c r="BT498" s="245">
        <f>IF(BT$7="Actual","",(BT445*BT457)+((BT445*BT457)*$K469)+(INDEX($M457:$Q457,,MATCH(BT$4,$M$4:$Q$4,0))*BT486)*BT445)</f>
        <v/>
      </c>
      <c r="BU498" s="245">
        <f>IF(BU$7="Actual","",(BU445*BU457)+((BU445*BU457)*$K469)+(INDEX($M457:$Q457,,MATCH(BU$4,$M$4:$Q$4,0))*BU486)*BU445)</f>
        <v/>
      </c>
      <c r="BV498" s="245">
        <f>IF(BV$7="Actual","",(BV445*BV457)+((BV445*BV457)*$K469)+(INDEX($M457:$Q457,,MATCH(BV$4,$M$4:$Q$4,0))*BV486)*BV445)</f>
        <v/>
      </c>
      <c r="BW498" s="245">
        <f>IF(BW$7="Actual","",(BW445*BW457)+((BW445*BW457)*$K469)+(INDEX($M457:$Q457,,MATCH(BW$4,$M$4:$Q$4,0))*BW486)*BW445)</f>
        <v/>
      </c>
      <c r="BX498" s="245">
        <f>IF(BX$7="Actual","",(BX445*BX457)+((BX445*BX457)*$K469)+(INDEX($M457:$Q457,,MATCH(BX$4,$M$4:$Q$4,0))*BX486)*BX445)</f>
        <v/>
      </c>
      <c r="BY498" s="245">
        <f>IF(BY$7="Actual","",(BY445*BY457)+((BY445*BY457)*$K469)+(INDEX($M457:$Q457,,MATCH(BY$4,$M$4:$Q$4,0))*BY486)*BY445)</f>
        <v/>
      </c>
      <c r="BZ498" s="245">
        <f>IF(BZ$7="Actual","",(BZ445*BZ457)+((BZ445*BZ457)*$K469)+(INDEX($M457:$Q457,,MATCH(BZ$4,$M$4:$Q$4,0))*BZ486)*BZ445)</f>
        <v/>
      </c>
      <c r="CA498" s="245">
        <f>IF(CA$7="Actual","",(CA445*CA457)+((CA445*CA457)*$K469)+(INDEX($M457:$Q457,,MATCH(CA$4,$M$4:$Q$4,0))*CA486)*CA445)</f>
        <v/>
      </c>
    </row>
    <row r="499" ht="12" customHeight="1" s="227">
      <c r="A499" s="244" t="n"/>
      <c r="B499" s="244" t="n"/>
      <c r="C499" s="244" t="n"/>
      <c r="H499" s="0">
        <f>H458</f>
        <v/>
      </c>
      <c r="I499" s="27">
        <f>i_Setup!$M$16</f>
        <v/>
      </c>
      <c r="K499" s="6" t="n"/>
      <c r="M499" s="245">
        <f>SUMIF($T$4:$CA$4,M$4,$T499:$CA499)</f>
        <v/>
      </c>
      <c r="N499" s="245">
        <f>SUMIF($T$4:$CA$4,N$4,$T499:$CA499)</f>
        <v/>
      </c>
      <c r="O499" s="245">
        <f>SUMIF($T$4:$CA$4,O$4,$T499:$CA499)</f>
        <v/>
      </c>
      <c r="P499" s="245">
        <f>SUMIF($T$4:$CA$4,P$4,$T499:$CA499)</f>
        <v/>
      </c>
      <c r="Q499" s="245">
        <f>SUMIF($T$4:$CA$4,Q$4,$T499:$CA499)</f>
        <v/>
      </c>
      <c r="T499" s="245">
        <f>IF(T$7="Actual","",(T446*T458)+((T446*T458)*$K470)+(INDEX($M458:$Q458,,MATCH(T$4,$M$4:$Q$4,0))*T487)*T446)</f>
        <v/>
      </c>
      <c r="U499" s="245">
        <f>IF(U$7="Actual","",(U446*U458)+((U446*U458)*$K470)+(INDEX($M458:$Q458,,MATCH(U$4,$M$4:$Q$4,0))*U487)*U446)</f>
        <v/>
      </c>
      <c r="V499" s="245">
        <f>IF(V$7="Actual","",(V446*V458)+((V446*V458)*$K470)+(INDEX($M458:$Q458,,MATCH(V$4,$M$4:$Q$4,0))*V487)*V446)</f>
        <v/>
      </c>
      <c r="W499" s="245">
        <f>IF(W$7="Actual","",(W446*W458)+((W446*W458)*$K470)+(INDEX($M458:$Q458,,MATCH(W$4,$M$4:$Q$4,0))*W487)*W446)</f>
        <v/>
      </c>
      <c r="X499" s="245">
        <f>IF(X$7="Actual","",(X446*X458)+((X446*X458)*$K470)+(INDEX($M458:$Q458,,MATCH(X$4,$M$4:$Q$4,0))*X487)*X446)</f>
        <v/>
      </c>
      <c r="Y499" s="245">
        <f>IF(Y$7="Actual","",(Y446*Y458)+((Y446*Y458)*$K470)+(INDEX($M458:$Q458,,MATCH(Y$4,$M$4:$Q$4,0))*Y487)*Y446)</f>
        <v/>
      </c>
      <c r="Z499" s="245">
        <f>IF(Z$7="Actual","",(Z446*Z458)+((Z446*Z458)*$K470)+(INDEX($M458:$Q458,,MATCH(Z$4,$M$4:$Q$4,0))*Z487)*Z446)</f>
        <v/>
      </c>
      <c r="AA499" s="245">
        <f>IF(AA$7="Actual","",(AA446*AA458)+((AA446*AA458)*$K470)+(INDEX($M458:$Q458,,MATCH(AA$4,$M$4:$Q$4,0))*AA487)*AA446)</f>
        <v/>
      </c>
      <c r="AB499" s="245">
        <f>IF(AB$7="Actual","",(AB446*AB458)+((AB446*AB458)*$K470)+(INDEX($M458:$Q458,,MATCH(AB$4,$M$4:$Q$4,0))*AB487)*AB446)</f>
        <v/>
      </c>
      <c r="AC499" s="245">
        <f>IF(AC$7="Actual","",(AC446*AC458)+((AC446*AC458)*$K470)+(INDEX($M458:$Q458,,MATCH(AC$4,$M$4:$Q$4,0))*AC487)*AC446)</f>
        <v/>
      </c>
      <c r="AD499" s="245">
        <f>IF(AD$7="Actual","",(AD446*AD458)+((AD446*AD458)*$K470)+(INDEX($M458:$Q458,,MATCH(AD$4,$M$4:$Q$4,0))*AD487)*AD446)</f>
        <v/>
      </c>
      <c r="AE499" s="245">
        <f>IF(AE$7="Actual","",(AE446*AE458)+((AE446*AE458)*$K470)+(INDEX($M458:$Q458,,MATCH(AE$4,$M$4:$Q$4,0))*AE487)*AE446)</f>
        <v/>
      </c>
      <c r="AF499" s="245">
        <f>IF(AF$7="Actual","",(AF446*AF458)+((AF446*AF458)*$K470)+(INDEX($M458:$Q458,,MATCH(AF$4,$M$4:$Q$4,0))*AF487)*AF446)</f>
        <v/>
      </c>
      <c r="AG499" s="245">
        <f>IF(AG$7="Actual","",(AG446*AG458)+((AG446*AG458)*$K470)+(INDEX($M458:$Q458,,MATCH(AG$4,$M$4:$Q$4,0))*AG487)*AG446)</f>
        <v/>
      </c>
      <c r="AH499" s="245">
        <f>IF(AH$7="Actual","",(AH446*AH458)+((AH446*AH458)*$K470)+(INDEX($M458:$Q458,,MATCH(AH$4,$M$4:$Q$4,0))*AH487)*AH446)</f>
        <v/>
      </c>
      <c r="AI499" s="245">
        <f>IF(AI$7="Actual","",(AI446*AI458)+((AI446*AI458)*$K470)+(INDEX($M458:$Q458,,MATCH(AI$4,$M$4:$Q$4,0))*AI487)*AI446)</f>
        <v/>
      </c>
      <c r="AJ499" s="245">
        <f>IF(AJ$7="Actual","",(AJ446*AJ458)+((AJ446*AJ458)*$K470)+(INDEX($M458:$Q458,,MATCH(AJ$4,$M$4:$Q$4,0))*AJ487)*AJ446)</f>
        <v/>
      </c>
      <c r="AK499" s="245">
        <f>IF(AK$7="Actual","",(AK446*AK458)+((AK446*AK458)*$K470)+(INDEX($M458:$Q458,,MATCH(AK$4,$M$4:$Q$4,0))*AK487)*AK446)</f>
        <v/>
      </c>
      <c r="AL499" s="245">
        <f>IF(AL$7="Actual","",(AL446*AL458)+((AL446*AL458)*$K470)+(INDEX($M458:$Q458,,MATCH(AL$4,$M$4:$Q$4,0))*AL487)*AL446)</f>
        <v/>
      </c>
      <c r="AM499" s="245">
        <f>IF(AM$7="Actual","",(AM446*AM458)+((AM446*AM458)*$K470)+(INDEX($M458:$Q458,,MATCH(AM$4,$M$4:$Q$4,0))*AM487)*AM446)</f>
        <v/>
      </c>
      <c r="AN499" s="245">
        <f>IF(AN$7="Actual","",(AN446*AN458)+((AN446*AN458)*$K470)+(INDEX($M458:$Q458,,MATCH(AN$4,$M$4:$Q$4,0))*AN487)*AN446)</f>
        <v/>
      </c>
      <c r="AO499" s="245">
        <f>IF(AO$7="Actual","",(AO446*AO458)+((AO446*AO458)*$K470)+(INDEX($M458:$Q458,,MATCH(AO$4,$M$4:$Q$4,0))*AO487)*AO446)</f>
        <v/>
      </c>
      <c r="AP499" s="245">
        <f>IF(AP$7="Actual","",(AP446*AP458)+((AP446*AP458)*$K470)+(INDEX($M458:$Q458,,MATCH(AP$4,$M$4:$Q$4,0))*AP487)*AP446)</f>
        <v/>
      </c>
      <c r="AQ499" s="245">
        <f>IF(AQ$7="Actual","",(AQ446*AQ458)+((AQ446*AQ458)*$K470)+(INDEX($M458:$Q458,,MATCH(AQ$4,$M$4:$Q$4,0))*AQ487)*AQ446)</f>
        <v/>
      </c>
      <c r="AR499" s="245">
        <f>IF(AR$7="Actual","",(AR446*AR458)+((AR446*AR458)*$K470)+(INDEX($M458:$Q458,,MATCH(AR$4,$M$4:$Q$4,0))*AR487)*AR446)</f>
        <v/>
      </c>
      <c r="AS499" s="245">
        <f>IF(AS$7="Actual","",(AS446*AS458)+((AS446*AS458)*$K470)+(INDEX($M458:$Q458,,MATCH(AS$4,$M$4:$Q$4,0))*AS487)*AS446)</f>
        <v/>
      </c>
      <c r="AT499" s="245">
        <f>IF(AT$7="Actual","",(AT446*AT458)+((AT446*AT458)*$K470)+(INDEX($M458:$Q458,,MATCH(AT$4,$M$4:$Q$4,0))*AT487)*AT446)</f>
        <v/>
      </c>
      <c r="AU499" s="245">
        <f>IF(AU$7="Actual","",(AU446*AU458)+((AU446*AU458)*$K470)+(INDEX($M458:$Q458,,MATCH(AU$4,$M$4:$Q$4,0))*AU487)*AU446)</f>
        <v/>
      </c>
      <c r="AV499" s="245">
        <f>IF(AV$7="Actual","",(AV446*AV458)+((AV446*AV458)*$K470)+(INDEX($M458:$Q458,,MATCH(AV$4,$M$4:$Q$4,0))*AV487)*AV446)</f>
        <v/>
      </c>
      <c r="AW499" s="245">
        <f>IF(AW$7="Actual","",(AW446*AW458)+((AW446*AW458)*$K470)+(INDEX($M458:$Q458,,MATCH(AW$4,$M$4:$Q$4,0))*AW487)*AW446)</f>
        <v/>
      </c>
      <c r="AX499" s="245">
        <f>IF(AX$7="Actual","",(AX446*AX458)+((AX446*AX458)*$K470)+(INDEX($M458:$Q458,,MATCH(AX$4,$M$4:$Q$4,0))*AX487)*AX446)</f>
        <v/>
      </c>
      <c r="AY499" s="245">
        <f>IF(AY$7="Actual","",(AY446*AY458)+((AY446*AY458)*$K470)+(INDEX($M458:$Q458,,MATCH(AY$4,$M$4:$Q$4,0))*AY487)*AY446)</f>
        <v/>
      </c>
      <c r="AZ499" s="245">
        <f>IF(AZ$7="Actual","",(AZ446*AZ458)+((AZ446*AZ458)*$K470)+(INDEX($M458:$Q458,,MATCH(AZ$4,$M$4:$Q$4,0))*AZ487)*AZ446)</f>
        <v/>
      </c>
      <c r="BA499" s="245">
        <f>IF(BA$7="Actual","",(BA446*BA458)+((BA446*BA458)*$K470)+(INDEX($M458:$Q458,,MATCH(BA$4,$M$4:$Q$4,0))*BA487)*BA446)</f>
        <v/>
      </c>
      <c r="BB499" s="245">
        <f>IF(BB$7="Actual","",(BB446*BB458)+((BB446*BB458)*$K470)+(INDEX($M458:$Q458,,MATCH(BB$4,$M$4:$Q$4,0))*BB487)*BB446)</f>
        <v/>
      </c>
      <c r="BC499" s="245">
        <f>IF(BC$7="Actual","",(BC446*BC458)+((BC446*BC458)*$K470)+(INDEX($M458:$Q458,,MATCH(BC$4,$M$4:$Q$4,0))*BC487)*BC446)</f>
        <v/>
      </c>
      <c r="BD499" s="245">
        <f>IF(BD$7="Actual","",(BD446*BD458)+((BD446*BD458)*$K470)+(INDEX($M458:$Q458,,MATCH(BD$4,$M$4:$Q$4,0))*BD487)*BD446)</f>
        <v/>
      </c>
      <c r="BE499" s="245">
        <f>IF(BE$7="Actual","",(BE446*BE458)+((BE446*BE458)*$K470)+(INDEX($M458:$Q458,,MATCH(BE$4,$M$4:$Q$4,0))*BE487)*BE446)</f>
        <v/>
      </c>
      <c r="BF499" s="245">
        <f>IF(BF$7="Actual","",(BF446*BF458)+((BF446*BF458)*$K470)+(INDEX($M458:$Q458,,MATCH(BF$4,$M$4:$Q$4,0))*BF487)*BF446)</f>
        <v/>
      </c>
      <c r="BG499" s="245">
        <f>IF(BG$7="Actual","",(BG446*BG458)+((BG446*BG458)*$K470)+(INDEX($M458:$Q458,,MATCH(BG$4,$M$4:$Q$4,0))*BG487)*BG446)</f>
        <v/>
      </c>
      <c r="BH499" s="245">
        <f>IF(BH$7="Actual","",(BH446*BH458)+((BH446*BH458)*$K470)+(INDEX($M458:$Q458,,MATCH(BH$4,$M$4:$Q$4,0))*BH487)*BH446)</f>
        <v/>
      </c>
      <c r="BI499" s="245">
        <f>IF(BI$7="Actual","",(BI446*BI458)+((BI446*BI458)*$K470)+(INDEX($M458:$Q458,,MATCH(BI$4,$M$4:$Q$4,0))*BI487)*BI446)</f>
        <v/>
      </c>
      <c r="BJ499" s="245">
        <f>IF(BJ$7="Actual","",(BJ446*BJ458)+((BJ446*BJ458)*$K470)+(INDEX($M458:$Q458,,MATCH(BJ$4,$M$4:$Q$4,0))*BJ487)*BJ446)</f>
        <v/>
      </c>
      <c r="BK499" s="245">
        <f>IF(BK$7="Actual","",(BK446*BK458)+((BK446*BK458)*$K470)+(INDEX($M458:$Q458,,MATCH(BK$4,$M$4:$Q$4,0))*BK487)*BK446)</f>
        <v/>
      </c>
      <c r="BL499" s="245">
        <f>IF(BL$7="Actual","",(BL446*BL458)+((BL446*BL458)*$K470)+(INDEX($M458:$Q458,,MATCH(BL$4,$M$4:$Q$4,0))*BL487)*BL446)</f>
        <v/>
      </c>
      <c r="BM499" s="245">
        <f>IF(BM$7="Actual","",(BM446*BM458)+((BM446*BM458)*$K470)+(INDEX($M458:$Q458,,MATCH(BM$4,$M$4:$Q$4,0))*BM487)*BM446)</f>
        <v/>
      </c>
      <c r="BN499" s="245">
        <f>IF(BN$7="Actual","",(BN446*BN458)+((BN446*BN458)*$K470)+(INDEX($M458:$Q458,,MATCH(BN$4,$M$4:$Q$4,0))*BN487)*BN446)</f>
        <v/>
      </c>
      <c r="BO499" s="245">
        <f>IF(BO$7="Actual","",(BO446*BO458)+((BO446*BO458)*$K470)+(INDEX($M458:$Q458,,MATCH(BO$4,$M$4:$Q$4,0))*BO487)*BO446)</f>
        <v/>
      </c>
      <c r="BP499" s="245">
        <f>IF(BP$7="Actual","",(BP446*BP458)+((BP446*BP458)*$K470)+(INDEX($M458:$Q458,,MATCH(BP$4,$M$4:$Q$4,0))*BP487)*BP446)</f>
        <v/>
      </c>
      <c r="BQ499" s="245">
        <f>IF(BQ$7="Actual","",(BQ446*BQ458)+((BQ446*BQ458)*$K470)+(INDEX($M458:$Q458,,MATCH(BQ$4,$M$4:$Q$4,0))*BQ487)*BQ446)</f>
        <v/>
      </c>
      <c r="BR499" s="245">
        <f>IF(BR$7="Actual","",(BR446*BR458)+((BR446*BR458)*$K470)+(INDEX($M458:$Q458,,MATCH(BR$4,$M$4:$Q$4,0))*BR487)*BR446)</f>
        <v/>
      </c>
      <c r="BS499" s="245">
        <f>IF(BS$7="Actual","",(BS446*BS458)+((BS446*BS458)*$K470)+(INDEX($M458:$Q458,,MATCH(BS$4,$M$4:$Q$4,0))*BS487)*BS446)</f>
        <v/>
      </c>
      <c r="BT499" s="245">
        <f>IF(BT$7="Actual","",(BT446*BT458)+((BT446*BT458)*$K470)+(INDEX($M458:$Q458,,MATCH(BT$4,$M$4:$Q$4,0))*BT487)*BT446)</f>
        <v/>
      </c>
      <c r="BU499" s="245">
        <f>IF(BU$7="Actual","",(BU446*BU458)+((BU446*BU458)*$K470)+(INDEX($M458:$Q458,,MATCH(BU$4,$M$4:$Q$4,0))*BU487)*BU446)</f>
        <v/>
      </c>
      <c r="BV499" s="245">
        <f>IF(BV$7="Actual","",(BV446*BV458)+((BV446*BV458)*$K470)+(INDEX($M458:$Q458,,MATCH(BV$4,$M$4:$Q$4,0))*BV487)*BV446)</f>
        <v/>
      </c>
      <c r="BW499" s="245">
        <f>IF(BW$7="Actual","",(BW446*BW458)+((BW446*BW458)*$K470)+(INDEX($M458:$Q458,,MATCH(BW$4,$M$4:$Q$4,0))*BW487)*BW446)</f>
        <v/>
      </c>
      <c r="BX499" s="245">
        <f>IF(BX$7="Actual","",(BX446*BX458)+((BX446*BX458)*$K470)+(INDEX($M458:$Q458,,MATCH(BX$4,$M$4:$Q$4,0))*BX487)*BX446)</f>
        <v/>
      </c>
      <c r="BY499" s="245">
        <f>IF(BY$7="Actual","",(BY446*BY458)+((BY446*BY458)*$K470)+(INDEX($M458:$Q458,,MATCH(BY$4,$M$4:$Q$4,0))*BY487)*BY446)</f>
        <v/>
      </c>
      <c r="BZ499" s="245">
        <f>IF(BZ$7="Actual","",(BZ446*BZ458)+((BZ446*BZ458)*$K470)+(INDEX($M458:$Q458,,MATCH(BZ$4,$M$4:$Q$4,0))*BZ487)*BZ446)</f>
        <v/>
      </c>
      <c r="CA499" s="245">
        <f>IF(CA$7="Actual","",(CA446*CA458)+((CA446*CA458)*$K470)+(INDEX($M458:$Q458,,MATCH(CA$4,$M$4:$Q$4,0))*CA487)*CA446)</f>
        <v/>
      </c>
    </row>
    <row r="500" ht="12" customHeight="1" s="227">
      <c r="A500" s="244" t="n"/>
      <c r="B500" s="244" t="n"/>
      <c r="C500" s="244" t="n"/>
      <c r="H500" s="0">
        <f>H459</f>
        <v/>
      </c>
      <c r="I500" s="27">
        <f>i_Setup!$M$16</f>
        <v/>
      </c>
      <c r="K500" s="6" t="n"/>
      <c r="M500" s="245">
        <f>SUMIF($T$4:$CA$4,M$4,$T500:$CA500)</f>
        <v/>
      </c>
      <c r="N500" s="245">
        <f>SUMIF($T$4:$CA$4,N$4,$T500:$CA500)</f>
        <v/>
      </c>
      <c r="O500" s="245">
        <f>SUMIF($T$4:$CA$4,O$4,$T500:$CA500)</f>
        <v/>
      </c>
      <c r="P500" s="245">
        <f>SUMIF($T$4:$CA$4,P$4,$T500:$CA500)</f>
        <v/>
      </c>
      <c r="Q500" s="245">
        <f>SUMIF($T$4:$CA$4,Q$4,$T500:$CA500)</f>
        <v/>
      </c>
      <c r="T500" s="245">
        <f>IF(T$7="Actual","",(T447*T459)+((T447*T459)*$K471)+(INDEX($M459:$Q459,,MATCH(T$4,$M$4:$Q$4,0))*T488)*T447)</f>
        <v/>
      </c>
      <c r="U500" s="245">
        <f>IF(U$7="Actual","",(U447*U459)+((U447*U459)*$K471)+(INDEX($M459:$Q459,,MATCH(U$4,$M$4:$Q$4,0))*U488)*U447)</f>
        <v/>
      </c>
      <c r="V500" s="245">
        <f>IF(V$7="Actual","",(V447*V459)+((V447*V459)*$K471)+(INDEX($M459:$Q459,,MATCH(V$4,$M$4:$Q$4,0))*V488)*V447)</f>
        <v/>
      </c>
      <c r="W500" s="245">
        <f>IF(W$7="Actual","",(W447*W459)+((W447*W459)*$K471)+(INDEX($M459:$Q459,,MATCH(W$4,$M$4:$Q$4,0))*W488)*W447)</f>
        <v/>
      </c>
      <c r="X500" s="245">
        <f>IF(X$7="Actual","",(X447*X459)+((X447*X459)*$K471)+(INDEX($M459:$Q459,,MATCH(X$4,$M$4:$Q$4,0))*X488)*X447)</f>
        <v/>
      </c>
      <c r="Y500" s="245">
        <f>IF(Y$7="Actual","",(Y447*Y459)+((Y447*Y459)*$K471)+(INDEX($M459:$Q459,,MATCH(Y$4,$M$4:$Q$4,0))*Y488)*Y447)</f>
        <v/>
      </c>
      <c r="Z500" s="245">
        <f>IF(Z$7="Actual","",(Z447*Z459)+((Z447*Z459)*$K471)+(INDEX($M459:$Q459,,MATCH(Z$4,$M$4:$Q$4,0))*Z488)*Z447)</f>
        <v/>
      </c>
      <c r="AA500" s="245">
        <f>IF(AA$7="Actual","",(AA447*AA459)+((AA447*AA459)*$K471)+(INDEX($M459:$Q459,,MATCH(AA$4,$M$4:$Q$4,0))*AA488)*AA447)</f>
        <v/>
      </c>
      <c r="AB500" s="245">
        <f>IF(AB$7="Actual","",(AB447*AB459)+((AB447*AB459)*$K471)+(INDEX($M459:$Q459,,MATCH(AB$4,$M$4:$Q$4,0))*AB488)*AB447)</f>
        <v/>
      </c>
      <c r="AC500" s="245">
        <f>IF(AC$7="Actual","",(AC447*AC459)+((AC447*AC459)*$K471)+(INDEX($M459:$Q459,,MATCH(AC$4,$M$4:$Q$4,0))*AC488)*AC447)</f>
        <v/>
      </c>
      <c r="AD500" s="245">
        <f>IF(AD$7="Actual","",(AD447*AD459)+((AD447*AD459)*$K471)+(INDEX($M459:$Q459,,MATCH(AD$4,$M$4:$Q$4,0))*AD488)*AD447)</f>
        <v/>
      </c>
      <c r="AE500" s="245">
        <f>IF(AE$7="Actual","",(AE447*AE459)+((AE447*AE459)*$K471)+(INDEX($M459:$Q459,,MATCH(AE$4,$M$4:$Q$4,0))*AE488)*AE447)</f>
        <v/>
      </c>
      <c r="AF500" s="245">
        <f>IF(AF$7="Actual","",(AF447*AF459)+((AF447*AF459)*$K471)+(INDEX($M459:$Q459,,MATCH(AF$4,$M$4:$Q$4,0))*AF488)*AF447)</f>
        <v/>
      </c>
      <c r="AG500" s="245">
        <f>IF(AG$7="Actual","",(AG447*AG459)+((AG447*AG459)*$K471)+(INDEX($M459:$Q459,,MATCH(AG$4,$M$4:$Q$4,0))*AG488)*AG447)</f>
        <v/>
      </c>
      <c r="AH500" s="245">
        <f>IF(AH$7="Actual","",(AH447*AH459)+((AH447*AH459)*$K471)+(INDEX($M459:$Q459,,MATCH(AH$4,$M$4:$Q$4,0))*AH488)*AH447)</f>
        <v/>
      </c>
      <c r="AI500" s="245">
        <f>IF(AI$7="Actual","",(AI447*AI459)+((AI447*AI459)*$K471)+(INDEX($M459:$Q459,,MATCH(AI$4,$M$4:$Q$4,0))*AI488)*AI447)</f>
        <v/>
      </c>
      <c r="AJ500" s="245">
        <f>IF(AJ$7="Actual","",(AJ447*AJ459)+((AJ447*AJ459)*$K471)+(INDEX($M459:$Q459,,MATCH(AJ$4,$M$4:$Q$4,0))*AJ488)*AJ447)</f>
        <v/>
      </c>
      <c r="AK500" s="245">
        <f>IF(AK$7="Actual","",(AK447*AK459)+((AK447*AK459)*$K471)+(INDEX($M459:$Q459,,MATCH(AK$4,$M$4:$Q$4,0))*AK488)*AK447)</f>
        <v/>
      </c>
      <c r="AL500" s="245">
        <f>IF(AL$7="Actual","",(AL447*AL459)+((AL447*AL459)*$K471)+(INDEX($M459:$Q459,,MATCH(AL$4,$M$4:$Q$4,0))*AL488)*AL447)</f>
        <v/>
      </c>
      <c r="AM500" s="245">
        <f>IF(AM$7="Actual","",(AM447*AM459)+((AM447*AM459)*$K471)+(INDEX($M459:$Q459,,MATCH(AM$4,$M$4:$Q$4,0))*AM488)*AM447)</f>
        <v/>
      </c>
      <c r="AN500" s="245">
        <f>IF(AN$7="Actual","",(AN447*AN459)+((AN447*AN459)*$K471)+(INDEX($M459:$Q459,,MATCH(AN$4,$M$4:$Q$4,0))*AN488)*AN447)</f>
        <v/>
      </c>
      <c r="AO500" s="245">
        <f>IF(AO$7="Actual","",(AO447*AO459)+((AO447*AO459)*$K471)+(INDEX($M459:$Q459,,MATCH(AO$4,$M$4:$Q$4,0))*AO488)*AO447)</f>
        <v/>
      </c>
      <c r="AP500" s="245">
        <f>IF(AP$7="Actual","",(AP447*AP459)+((AP447*AP459)*$K471)+(INDEX($M459:$Q459,,MATCH(AP$4,$M$4:$Q$4,0))*AP488)*AP447)</f>
        <v/>
      </c>
      <c r="AQ500" s="245">
        <f>IF(AQ$7="Actual","",(AQ447*AQ459)+((AQ447*AQ459)*$K471)+(INDEX($M459:$Q459,,MATCH(AQ$4,$M$4:$Q$4,0))*AQ488)*AQ447)</f>
        <v/>
      </c>
      <c r="AR500" s="245">
        <f>IF(AR$7="Actual","",(AR447*AR459)+((AR447*AR459)*$K471)+(INDEX($M459:$Q459,,MATCH(AR$4,$M$4:$Q$4,0))*AR488)*AR447)</f>
        <v/>
      </c>
      <c r="AS500" s="245">
        <f>IF(AS$7="Actual","",(AS447*AS459)+((AS447*AS459)*$K471)+(INDEX($M459:$Q459,,MATCH(AS$4,$M$4:$Q$4,0))*AS488)*AS447)</f>
        <v/>
      </c>
      <c r="AT500" s="245">
        <f>IF(AT$7="Actual","",(AT447*AT459)+((AT447*AT459)*$K471)+(INDEX($M459:$Q459,,MATCH(AT$4,$M$4:$Q$4,0))*AT488)*AT447)</f>
        <v/>
      </c>
      <c r="AU500" s="245">
        <f>IF(AU$7="Actual","",(AU447*AU459)+((AU447*AU459)*$K471)+(INDEX($M459:$Q459,,MATCH(AU$4,$M$4:$Q$4,0))*AU488)*AU447)</f>
        <v/>
      </c>
      <c r="AV500" s="245">
        <f>IF(AV$7="Actual","",(AV447*AV459)+((AV447*AV459)*$K471)+(INDEX($M459:$Q459,,MATCH(AV$4,$M$4:$Q$4,0))*AV488)*AV447)</f>
        <v/>
      </c>
      <c r="AW500" s="245">
        <f>IF(AW$7="Actual","",(AW447*AW459)+((AW447*AW459)*$K471)+(INDEX($M459:$Q459,,MATCH(AW$4,$M$4:$Q$4,0))*AW488)*AW447)</f>
        <v/>
      </c>
      <c r="AX500" s="245">
        <f>IF(AX$7="Actual","",(AX447*AX459)+((AX447*AX459)*$K471)+(INDEX($M459:$Q459,,MATCH(AX$4,$M$4:$Q$4,0))*AX488)*AX447)</f>
        <v/>
      </c>
      <c r="AY500" s="245">
        <f>IF(AY$7="Actual","",(AY447*AY459)+((AY447*AY459)*$K471)+(INDEX($M459:$Q459,,MATCH(AY$4,$M$4:$Q$4,0))*AY488)*AY447)</f>
        <v/>
      </c>
      <c r="AZ500" s="245">
        <f>IF(AZ$7="Actual","",(AZ447*AZ459)+((AZ447*AZ459)*$K471)+(INDEX($M459:$Q459,,MATCH(AZ$4,$M$4:$Q$4,0))*AZ488)*AZ447)</f>
        <v/>
      </c>
      <c r="BA500" s="245">
        <f>IF(BA$7="Actual","",(BA447*BA459)+((BA447*BA459)*$K471)+(INDEX($M459:$Q459,,MATCH(BA$4,$M$4:$Q$4,0))*BA488)*BA447)</f>
        <v/>
      </c>
      <c r="BB500" s="245">
        <f>IF(BB$7="Actual","",(BB447*BB459)+((BB447*BB459)*$K471)+(INDEX($M459:$Q459,,MATCH(BB$4,$M$4:$Q$4,0))*BB488)*BB447)</f>
        <v/>
      </c>
      <c r="BC500" s="245">
        <f>IF(BC$7="Actual","",(BC447*BC459)+((BC447*BC459)*$K471)+(INDEX($M459:$Q459,,MATCH(BC$4,$M$4:$Q$4,0))*BC488)*BC447)</f>
        <v/>
      </c>
      <c r="BD500" s="245">
        <f>IF(BD$7="Actual","",(BD447*BD459)+((BD447*BD459)*$K471)+(INDEX($M459:$Q459,,MATCH(BD$4,$M$4:$Q$4,0))*BD488)*BD447)</f>
        <v/>
      </c>
      <c r="BE500" s="245">
        <f>IF(BE$7="Actual","",(BE447*BE459)+((BE447*BE459)*$K471)+(INDEX($M459:$Q459,,MATCH(BE$4,$M$4:$Q$4,0))*BE488)*BE447)</f>
        <v/>
      </c>
      <c r="BF500" s="245">
        <f>IF(BF$7="Actual","",(BF447*BF459)+((BF447*BF459)*$K471)+(INDEX($M459:$Q459,,MATCH(BF$4,$M$4:$Q$4,0))*BF488)*BF447)</f>
        <v/>
      </c>
      <c r="BG500" s="245">
        <f>IF(BG$7="Actual","",(BG447*BG459)+((BG447*BG459)*$K471)+(INDEX($M459:$Q459,,MATCH(BG$4,$M$4:$Q$4,0))*BG488)*BG447)</f>
        <v/>
      </c>
      <c r="BH500" s="245">
        <f>IF(BH$7="Actual","",(BH447*BH459)+((BH447*BH459)*$K471)+(INDEX($M459:$Q459,,MATCH(BH$4,$M$4:$Q$4,0))*BH488)*BH447)</f>
        <v/>
      </c>
      <c r="BI500" s="245">
        <f>IF(BI$7="Actual","",(BI447*BI459)+((BI447*BI459)*$K471)+(INDEX($M459:$Q459,,MATCH(BI$4,$M$4:$Q$4,0))*BI488)*BI447)</f>
        <v/>
      </c>
      <c r="BJ500" s="245">
        <f>IF(BJ$7="Actual","",(BJ447*BJ459)+((BJ447*BJ459)*$K471)+(INDEX($M459:$Q459,,MATCH(BJ$4,$M$4:$Q$4,0))*BJ488)*BJ447)</f>
        <v/>
      </c>
      <c r="BK500" s="245">
        <f>IF(BK$7="Actual","",(BK447*BK459)+((BK447*BK459)*$K471)+(INDEX($M459:$Q459,,MATCH(BK$4,$M$4:$Q$4,0))*BK488)*BK447)</f>
        <v/>
      </c>
      <c r="BL500" s="245">
        <f>IF(BL$7="Actual","",(BL447*BL459)+((BL447*BL459)*$K471)+(INDEX($M459:$Q459,,MATCH(BL$4,$M$4:$Q$4,0))*BL488)*BL447)</f>
        <v/>
      </c>
      <c r="BM500" s="245">
        <f>IF(BM$7="Actual","",(BM447*BM459)+((BM447*BM459)*$K471)+(INDEX($M459:$Q459,,MATCH(BM$4,$M$4:$Q$4,0))*BM488)*BM447)</f>
        <v/>
      </c>
      <c r="BN500" s="245">
        <f>IF(BN$7="Actual","",(BN447*BN459)+((BN447*BN459)*$K471)+(INDEX($M459:$Q459,,MATCH(BN$4,$M$4:$Q$4,0))*BN488)*BN447)</f>
        <v/>
      </c>
      <c r="BO500" s="245">
        <f>IF(BO$7="Actual","",(BO447*BO459)+((BO447*BO459)*$K471)+(INDEX($M459:$Q459,,MATCH(BO$4,$M$4:$Q$4,0))*BO488)*BO447)</f>
        <v/>
      </c>
      <c r="BP500" s="245">
        <f>IF(BP$7="Actual","",(BP447*BP459)+((BP447*BP459)*$K471)+(INDEX($M459:$Q459,,MATCH(BP$4,$M$4:$Q$4,0))*BP488)*BP447)</f>
        <v/>
      </c>
      <c r="BQ500" s="245">
        <f>IF(BQ$7="Actual","",(BQ447*BQ459)+((BQ447*BQ459)*$K471)+(INDEX($M459:$Q459,,MATCH(BQ$4,$M$4:$Q$4,0))*BQ488)*BQ447)</f>
        <v/>
      </c>
      <c r="BR500" s="245">
        <f>IF(BR$7="Actual","",(BR447*BR459)+((BR447*BR459)*$K471)+(INDEX($M459:$Q459,,MATCH(BR$4,$M$4:$Q$4,0))*BR488)*BR447)</f>
        <v/>
      </c>
      <c r="BS500" s="245">
        <f>IF(BS$7="Actual","",(BS447*BS459)+((BS447*BS459)*$K471)+(INDEX($M459:$Q459,,MATCH(BS$4,$M$4:$Q$4,0))*BS488)*BS447)</f>
        <v/>
      </c>
      <c r="BT500" s="245">
        <f>IF(BT$7="Actual","",(BT447*BT459)+((BT447*BT459)*$K471)+(INDEX($M459:$Q459,,MATCH(BT$4,$M$4:$Q$4,0))*BT488)*BT447)</f>
        <v/>
      </c>
      <c r="BU500" s="245">
        <f>IF(BU$7="Actual","",(BU447*BU459)+((BU447*BU459)*$K471)+(INDEX($M459:$Q459,,MATCH(BU$4,$M$4:$Q$4,0))*BU488)*BU447)</f>
        <v/>
      </c>
      <c r="BV500" s="245">
        <f>IF(BV$7="Actual","",(BV447*BV459)+((BV447*BV459)*$K471)+(INDEX($M459:$Q459,,MATCH(BV$4,$M$4:$Q$4,0))*BV488)*BV447)</f>
        <v/>
      </c>
      <c r="BW500" s="245">
        <f>IF(BW$7="Actual","",(BW447*BW459)+((BW447*BW459)*$K471)+(INDEX($M459:$Q459,,MATCH(BW$4,$M$4:$Q$4,0))*BW488)*BW447)</f>
        <v/>
      </c>
      <c r="BX500" s="245">
        <f>IF(BX$7="Actual","",(BX447*BX459)+((BX447*BX459)*$K471)+(INDEX($M459:$Q459,,MATCH(BX$4,$M$4:$Q$4,0))*BX488)*BX447)</f>
        <v/>
      </c>
      <c r="BY500" s="245">
        <f>IF(BY$7="Actual","",(BY447*BY459)+((BY447*BY459)*$K471)+(INDEX($M459:$Q459,,MATCH(BY$4,$M$4:$Q$4,0))*BY488)*BY447)</f>
        <v/>
      </c>
      <c r="BZ500" s="245">
        <f>IF(BZ$7="Actual","",(BZ447*BZ459)+((BZ447*BZ459)*$K471)+(INDEX($M459:$Q459,,MATCH(BZ$4,$M$4:$Q$4,0))*BZ488)*BZ447)</f>
        <v/>
      </c>
      <c r="CA500" s="245">
        <f>IF(CA$7="Actual","",(CA447*CA459)+((CA447*CA459)*$K471)+(INDEX($M459:$Q459,,MATCH(CA$4,$M$4:$Q$4,0))*CA488)*CA447)</f>
        <v/>
      </c>
    </row>
    <row r="501" ht="12" customHeight="1" s="227">
      <c r="A501" s="244" t="n"/>
      <c r="B501" s="244" t="n"/>
      <c r="C501" s="244" t="n"/>
      <c r="H501" s="0">
        <f>H460</f>
        <v/>
      </c>
      <c r="I501" s="27">
        <f>i_Setup!$M$16</f>
        <v/>
      </c>
      <c r="K501" s="6" t="n"/>
      <c r="M501" s="245">
        <f>SUMIF($T$4:$CA$4,M$4,$T501:$CA501)</f>
        <v/>
      </c>
      <c r="N501" s="245">
        <f>SUMIF($T$4:$CA$4,N$4,$T501:$CA501)</f>
        <v/>
      </c>
      <c r="O501" s="245">
        <f>SUMIF($T$4:$CA$4,O$4,$T501:$CA501)</f>
        <v/>
      </c>
      <c r="P501" s="245">
        <f>SUMIF($T$4:$CA$4,P$4,$T501:$CA501)</f>
        <v/>
      </c>
      <c r="Q501" s="245">
        <f>SUMIF($T$4:$CA$4,Q$4,$T501:$CA501)</f>
        <v/>
      </c>
      <c r="T501" s="245">
        <f>IF(T$7="Actual","",(T448*T460)+((T448*T460)*$K472)+(INDEX($M460:$Q460,,MATCH(T$4,$M$4:$Q$4,0))*T489)*T448)</f>
        <v/>
      </c>
      <c r="U501" s="245">
        <f>IF(U$7="Actual","",(U448*U460)+((U448*U460)*$K472)+(INDEX($M460:$Q460,,MATCH(U$4,$M$4:$Q$4,0))*U489)*U448)</f>
        <v/>
      </c>
      <c r="V501" s="245">
        <f>IF(V$7="Actual","",(V448*V460)+((V448*V460)*$K472)+(INDEX($M460:$Q460,,MATCH(V$4,$M$4:$Q$4,0))*V489)*V448)</f>
        <v/>
      </c>
      <c r="W501" s="245">
        <f>IF(W$7="Actual","",(W448*W460)+((W448*W460)*$K472)+(INDEX($M460:$Q460,,MATCH(W$4,$M$4:$Q$4,0))*W489)*W448)</f>
        <v/>
      </c>
      <c r="X501" s="245">
        <f>IF(X$7="Actual","",(X448*X460)+((X448*X460)*$K472)+(INDEX($M460:$Q460,,MATCH(X$4,$M$4:$Q$4,0))*X489)*X448)</f>
        <v/>
      </c>
      <c r="Y501" s="245">
        <f>IF(Y$7="Actual","",(Y448*Y460)+((Y448*Y460)*$K472)+(INDEX($M460:$Q460,,MATCH(Y$4,$M$4:$Q$4,0))*Y489)*Y448)</f>
        <v/>
      </c>
      <c r="Z501" s="245">
        <f>IF(Z$7="Actual","",(Z448*Z460)+((Z448*Z460)*$K472)+(INDEX($M460:$Q460,,MATCH(Z$4,$M$4:$Q$4,0))*Z489)*Z448)</f>
        <v/>
      </c>
      <c r="AA501" s="245">
        <f>IF(AA$7="Actual","",(AA448*AA460)+((AA448*AA460)*$K472)+(INDEX($M460:$Q460,,MATCH(AA$4,$M$4:$Q$4,0))*AA489)*AA448)</f>
        <v/>
      </c>
      <c r="AB501" s="245">
        <f>IF(AB$7="Actual","",(AB448*AB460)+((AB448*AB460)*$K472)+(INDEX($M460:$Q460,,MATCH(AB$4,$M$4:$Q$4,0))*AB489)*AB448)</f>
        <v/>
      </c>
      <c r="AC501" s="245">
        <f>IF(AC$7="Actual","",(AC448*AC460)+((AC448*AC460)*$K472)+(INDEX($M460:$Q460,,MATCH(AC$4,$M$4:$Q$4,0))*AC489)*AC448)</f>
        <v/>
      </c>
      <c r="AD501" s="245">
        <f>IF(AD$7="Actual","",(AD448*AD460)+((AD448*AD460)*$K472)+(INDEX($M460:$Q460,,MATCH(AD$4,$M$4:$Q$4,0))*AD489)*AD448)</f>
        <v/>
      </c>
      <c r="AE501" s="245">
        <f>IF(AE$7="Actual","",(AE448*AE460)+((AE448*AE460)*$K472)+(INDEX($M460:$Q460,,MATCH(AE$4,$M$4:$Q$4,0))*AE489)*AE448)</f>
        <v/>
      </c>
      <c r="AF501" s="245">
        <f>IF(AF$7="Actual","",(AF448*AF460)+((AF448*AF460)*$K472)+(INDEX($M460:$Q460,,MATCH(AF$4,$M$4:$Q$4,0))*AF489)*AF448)</f>
        <v/>
      </c>
      <c r="AG501" s="245">
        <f>IF(AG$7="Actual","",(AG448*AG460)+((AG448*AG460)*$K472)+(INDEX($M460:$Q460,,MATCH(AG$4,$M$4:$Q$4,0))*AG489)*AG448)</f>
        <v/>
      </c>
      <c r="AH501" s="245">
        <f>IF(AH$7="Actual","",(AH448*AH460)+((AH448*AH460)*$K472)+(INDEX($M460:$Q460,,MATCH(AH$4,$M$4:$Q$4,0))*AH489)*AH448)</f>
        <v/>
      </c>
      <c r="AI501" s="245">
        <f>IF(AI$7="Actual","",(AI448*AI460)+((AI448*AI460)*$K472)+(INDEX($M460:$Q460,,MATCH(AI$4,$M$4:$Q$4,0))*AI489)*AI448)</f>
        <v/>
      </c>
      <c r="AJ501" s="245">
        <f>IF(AJ$7="Actual","",(AJ448*AJ460)+((AJ448*AJ460)*$K472)+(INDEX($M460:$Q460,,MATCH(AJ$4,$M$4:$Q$4,0))*AJ489)*AJ448)</f>
        <v/>
      </c>
      <c r="AK501" s="245">
        <f>IF(AK$7="Actual","",(AK448*AK460)+((AK448*AK460)*$K472)+(INDEX($M460:$Q460,,MATCH(AK$4,$M$4:$Q$4,0))*AK489)*AK448)</f>
        <v/>
      </c>
      <c r="AL501" s="245">
        <f>IF(AL$7="Actual","",(AL448*AL460)+((AL448*AL460)*$K472)+(INDEX($M460:$Q460,,MATCH(AL$4,$M$4:$Q$4,0))*AL489)*AL448)</f>
        <v/>
      </c>
      <c r="AM501" s="245">
        <f>IF(AM$7="Actual","",(AM448*AM460)+((AM448*AM460)*$K472)+(INDEX($M460:$Q460,,MATCH(AM$4,$M$4:$Q$4,0))*AM489)*AM448)</f>
        <v/>
      </c>
      <c r="AN501" s="245">
        <f>IF(AN$7="Actual","",(AN448*AN460)+((AN448*AN460)*$K472)+(INDEX($M460:$Q460,,MATCH(AN$4,$M$4:$Q$4,0))*AN489)*AN448)</f>
        <v/>
      </c>
      <c r="AO501" s="245">
        <f>IF(AO$7="Actual","",(AO448*AO460)+((AO448*AO460)*$K472)+(INDEX($M460:$Q460,,MATCH(AO$4,$M$4:$Q$4,0))*AO489)*AO448)</f>
        <v/>
      </c>
      <c r="AP501" s="245">
        <f>IF(AP$7="Actual","",(AP448*AP460)+((AP448*AP460)*$K472)+(INDEX($M460:$Q460,,MATCH(AP$4,$M$4:$Q$4,0))*AP489)*AP448)</f>
        <v/>
      </c>
      <c r="AQ501" s="245">
        <f>IF(AQ$7="Actual","",(AQ448*AQ460)+((AQ448*AQ460)*$K472)+(INDEX($M460:$Q460,,MATCH(AQ$4,$M$4:$Q$4,0))*AQ489)*AQ448)</f>
        <v/>
      </c>
      <c r="AR501" s="245">
        <f>IF(AR$7="Actual","",(AR448*AR460)+((AR448*AR460)*$K472)+(INDEX($M460:$Q460,,MATCH(AR$4,$M$4:$Q$4,0))*AR489)*AR448)</f>
        <v/>
      </c>
      <c r="AS501" s="245">
        <f>IF(AS$7="Actual","",(AS448*AS460)+((AS448*AS460)*$K472)+(INDEX($M460:$Q460,,MATCH(AS$4,$M$4:$Q$4,0))*AS489)*AS448)</f>
        <v/>
      </c>
      <c r="AT501" s="245">
        <f>IF(AT$7="Actual","",(AT448*AT460)+((AT448*AT460)*$K472)+(INDEX($M460:$Q460,,MATCH(AT$4,$M$4:$Q$4,0))*AT489)*AT448)</f>
        <v/>
      </c>
      <c r="AU501" s="245">
        <f>IF(AU$7="Actual","",(AU448*AU460)+((AU448*AU460)*$K472)+(INDEX($M460:$Q460,,MATCH(AU$4,$M$4:$Q$4,0))*AU489)*AU448)</f>
        <v/>
      </c>
      <c r="AV501" s="245">
        <f>IF(AV$7="Actual","",(AV448*AV460)+((AV448*AV460)*$K472)+(INDEX($M460:$Q460,,MATCH(AV$4,$M$4:$Q$4,0))*AV489)*AV448)</f>
        <v/>
      </c>
      <c r="AW501" s="245">
        <f>IF(AW$7="Actual","",(AW448*AW460)+((AW448*AW460)*$K472)+(INDEX($M460:$Q460,,MATCH(AW$4,$M$4:$Q$4,0))*AW489)*AW448)</f>
        <v/>
      </c>
      <c r="AX501" s="245">
        <f>IF(AX$7="Actual","",(AX448*AX460)+((AX448*AX460)*$K472)+(INDEX($M460:$Q460,,MATCH(AX$4,$M$4:$Q$4,0))*AX489)*AX448)</f>
        <v/>
      </c>
      <c r="AY501" s="245">
        <f>IF(AY$7="Actual","",(AY448*AY460)+((AY448*AY460)*$K472)+(INDEX($M460:$Q460,,MATCH(AY$4,$M$4:$Q$4,0))*AY489)*AY448)</f>
        <v/>
      </c>
      <c r="AZ501" s="245">
        <f>IF(AZ$7="Actual","",(AZ448*AZ460)+((AZ448*AZ460)*$K472)+(INDEX($M460:$Q460,,MATCH(AZ$4,$M$4:$Q$4,0))*AZ489)*AZ448)</f>
        <v/>
      </c>
      <c r="BA501" s="245">
        <f>IF(BA$7="Actual","",(BA448*BA460)+((BA448*BA460)*$K472)+(INDEX($M460:$Q460,,MATCH(BA$4,$M$4:$Q$4,0))*BA489)*BA448)</f>
        <v/>
      </c>
      <c r="BB501" s="245">
        <f>IF(BB$7="Actual","",(BB448*BB460)+((BB448*BB460)*$K472)+(INDEX($M460:$Q460,,MATCH(BB$4,$M$4:$Q$4,0))*BB489)*BB448)</f>
        <v/>
      </c>
      <c r="BC501" s="245">
        <f>IF(BC$7="Actual","",(BC448*BC460)+((BC448*BC460)*$K472)+(INDEX($M460:$Q460,,MATCH(BC$4,$M$4:$Q$4,0))*BC489)*BC448)</f>
        <v/>
      </c>
      <c r="BD501" s="245">
        <f>IF(BD$7="Actual","",(BD448*BD460)+((BD448*BD460)*$K472)+(INDEX($M460:$Q460,,MATCH(BD$4,$M$4:$Q$4,0))*BD489)*BD448)</f>
        <v/>
      </c>
      <c r="BE501" s="245">
        <f>IF(BE$7="Actual","",(BE448*BE460)+((BE448*BE460)*$K472)+(INDEX($M460:$Q460,,MATCH(BE$4,$M$4:$Q$4,0))*BE489)*BE448)</f>
        <v/>
      </c>
      <c r="BF501" s="245">
        <f>IF(BF$7="Actual","",(BF448*BF460)+((BF448*BF460)*$K472)+(INDEX($M460:$Q460,,MATCH(BF$4,$M$4:$Q$4,0))*BF489)*BF448)</f>
        <v/>
      </c>
      <c r="BG501" s="245">
        <f>IF(BG$7="Actual","",(BG448*BG460)+((BG448*BG460)*$K472)+(INDEX($M460:$Q460,,MATCH(BG$4,$M$4:$Q$4,0))*BG489)*BG448)</f>
        <v/>
      </c>
      <c r="BH501" s="245">
        <f>IF(BH$7="Actual","",(BH448*BH460)+((BH448*BH460)*$K472)+(INDEX($M460:$Q460,,MATCH(BH$4,$M$4:$Q$4,0))*BH489)*BH448)</f>
        <v/>
      </c>
      <c r="BI501" s="245">
        <f>IF(BI$7="Actual","",(BI448*BI460)+((BI448*BI460)*$K472)+(INDEX($M460:$Q460,,MATCH(BI$4,$M$4:$Q$4,0))*BI489)*BI448)</f>
        <v/>
      </c>
      <c r="BJ501" s="245">
        <f>IF(BJ$7="Actual","",(BJ448*BJ460)+((BJ448*BJ460)*$K472)+(INDEX($M460:$Q460,,MATCH(BJ$4,$M$4:$Q$4,0))*BJ489)*BJ448)</f>
        <v/>
      </c>
      <c r="BK501" s="245">
        <f>IF(BK$7="Actual","",(BK448*BK460)+((BK448*BK460)*$K472)+(INDEX($M460:$Q460,,MATCH(BK$4,$M$4:$Q$4,0))*BK489)*BK448)</f>
        <v/>
      </c>
      <c r="BL501" s="245">
        <f>IF(BL$7="Actual","",(BL448*BL460)+((BL448*BL460)*$K472)+(INDEX($M460:$Q460,,MATCH(BL$4,$M$4:$Q$4,0))*BL489)*BL448)</f>
        <v/>
      </c>
      <c r="BM501" s="245">
        <f>IF(BM$7="Actual","",(BM448*BM460)+((BM448*BM460)*$K472)+(INDEX($M460:$Q460,,MATCH(BM$4,$M$4:$Q$4,0))*BM489)*BM448)</f>
        <v/>
      </c>
      <c r="BN501" s="245">
        <f>IF(BN$7="Actual","",(BN448*BN460)+((BN448*BN460)*$K472)+(INDEX($M460:$Q460,,MATCH(BN$4,$M$4:$Q$4,0))*BN489)*BN448)</f>
        <v/>
      </c>
      <c r="BO501" s="245">
        <f>IF(BO$7="Actual","",(BO448*BO460)+((BO448*BO460)*$K472)+(INDEX($M460:$Q460,,MATCH(BO$4,$M$4:$Q$4,0))*BO489)*BO448)</f>
        <v/>
      </c>
      <c r="BP501" s="245">
        <f>IF(BP$7="Actual","",(BP448*BP460)+((BP448*BP460)*$K472)+(INDEX($M460:$Q460,,MATCH(BP$4,$M$4:$Q$4,0))*BP489)*BP448)</f>
        <v/>
      </c>
      <c r="BQ501" s="245">
        <f>IF(BQ$7="Actual","",(BQ448*BQ460)+((BQ448*BQ460)*$K472)+(INDEX($M460:$Q460,,MATCH(BQ$4,$M$4:$Q$4,0))*BQ489)*BQ448)</f>
        <v/>
      </c>
      <c r="BR501" s="245">
        <f>IF(BR$7="Actual","",(BR448*BR460)+((BR448*BR460)*$K472)+(INDEX($M460:$Q460,,MATCH(BR$4,$M$4:$Q$4,0))*BR489)*BR448)</f>
        <v/>
      </c>
      <c r="BS501" s="245">
        <f>IF(BS$7="Actual","",(BS448*BS460)+((BS448*BS460)*$K472)+(INDEX($M460:$Q460,,MATCH(BS$4,$M$4:$Q$4,0))*BS489)*BS448)</f>
        <v/>
      </c>
      <c r="BT501" s="245">
        <f>IF(BT$7="Actual","",(BT448*BT460)+((BT448*BT460)*$K472)+(INDEX($M460:$Q460,,MATCH(BT$4,$M$4:$Q$4,0))*BT489)*BT448)</f>
        <v/>
      </c>
      <c r="BU501" s="245">
        <f>IF(BU$7="Actual","",(BU448*BU460)+((BU448*BU460)*$K472)+(INDEX($M460:$Q460,,MATCH(BU$4,$M$4:$Q$4,0))*BU489)*BU448)</f>
        <v/>
      </c>
      <c r="BV501" s="245">
        <f>IF(BV$7="Actual","",(BV448*BV460)+((BV448*BV460)*$K472)+(INDEX($M460:$Q460,,MATCH(BV$4,$M$4:$Q$4,0))*BV489)*BV448)</f>
        <v/>
      </c>
      <c r="BW501" s="245">
        <f>IF(BW$7="Actual","",(BW448*BW460)+((BW448*BW460)*$K472)+(INDEX($M460:$Q460,,MATCH(BW$4,$M$4:$Q$4,0))*BW489)*BW448)</f>
        <v/>
      </c>
      <c r="BX501" s="245">
        <f>IF(BX$7="Actual","",(BX448*BX460)+((BX448*BX460)*$K472)+(INDEX($M460:$Q460,,MATCH(BX$4,$M$4:$Q$4,0))*BX489)*BX448)</f>
        <v/>
      </c>
      <c r="BY501" s="245">
        <f>IF(BY$7="Actual","",(BY448*BY460)+((BY448*BY460)*$K472)+(INDEX($M460:$Q460,,MATCH(BY$4,$M$4:$Q$4,0))*BY489)*BY448)</f>
        <v/>
      </c>
      <c r="BZ501" s="245">
        <f>IF(BZ$7="Actual","",(BZ448*BZ460)+((BZ448*BZ460)*$K472)+(INDEX($M460:$Q460,,MATCH(BZ$4,$M$4:$Q$4,0))*BZ489)*BZ448)</f>
        <v/>
      </c>
      <c r="CA501" s="245">
        <f>IF(CA$7="Actual","",(CA448*CA460)+((CA448*CA460)*$K472)+(INDEX($M460:$Q460,,MATCH(CA$4,$M$4:$Q$4,0))*CA489)*CA448)</f>
        <v/>
      </c>
    </row>
    <row r="502" ht="12" customHeight="1" s="227">
      <c r="A502" s="244" t="n"/>
      <c r="B502" s="244" t="n"/>
      <c r="C502" s="244" t="n"/>
      <c r="H502" s="0">
        <f>H461</f>
        <v/>
      </c>
      <c r="I502" s="27">
        <f>i_Setup!$M$16</f>
        <v/>
      </c>
      <c r="K502" s="6" t="n"/>
      <c r="M502" s="245">
        <f>SUMIF($T$4:$CA$4,M$4,$T502:$CA502)</f>
        <v/>
      </c>
      <c r="N502" s="245">
        <f>SUMIF($T$4:$CA$4,N$4,$T502:$CA502)</f>
        <v/>
      </c>
      <c r="O502" s="245">
        <f>SUMIF($T$4:$CA$4,O$4,$T502:$CA502)</f>
        <v/>
      </c>
      <c r="P502" s="245">
        <f>SUMIF($T$4:$CA$4,P$4,$T502:$CA502)</f>
        <v/>
      </c>
      <c r="Q502" s="245">
        <f>SUMIF($T$4:$CA$4,Q$4,$T502:$CA502)</f>
        <v/>
      </c>
      <c r="T502" s="245">
        <f>IF(T$7="Actual","",(T449*T461)+((T449*T461)*$K473)+(INDEX($M461:$Q461,,MATCH(T$4,$M$4:$Q$4,0))*T490)*T449)</f>
        <v/>
      </c>
      <c r="U502" s="245">
        <f>IF(U$7="Actual","",(U449*U461)+((U449*U461)*$K473)+(INDEX($M461:$Q461,,MATCH(U$4,$M$4:$Q$4,0))*U490)*U449)</f>
        <v/>
      </c>
      <c r="V502" s="245">
        <f>IF(V$7="Actual","",(V449*V461)+((V449*V461)*$K473)+(INDEX($M461:$Q461,,MATCH(V$4,$M$4:$Q$4,0))*V490)*V449)</f>
        <v/>
      </c>
      <c r="W502" s="245">
        <f>IF(W$7="Actual","",(W449*W461)+((W449*W461)*$K473)+(INDEX($M461:$Q461,,MATCH(W$4,$M$4:$Q$4,0))*W490)*W449)</f>
        <v/>
      </c>
      <c r="X502" s="245">
        <f>IF(X$7="Actual","",(X449*X461)+((X449*X461)*$K473)+(INDEX($M461:$Q461,,MATCH(X$4,$M$4:$Q$4,0))*X490)*X449)</f>
        <v/>
      </c>
      <c r="Y502" s="245">
        <f>IF(Y$7="Actual","",(Y449*Y461)+((Y449*Y461)*$K473)+(INDEX($M461:$Q461,,MATCH(Y$4,$M$4:$Q$4,0))*Y490)*Y449)</f>
        <v/>
      </c>
      <c r="Z502" s="245">
        <f>IF(Z$7="Actual","",(Z449*Z461)+((Z449*Z461)*$K473)+(INDEX($M461:$Q461,,MATCH(Z$4,$M$4:$Q$4,0))*Z490)*Z449)</f>
        <v/>
      </c>
      <c r="AA502" s="245">
        <f>IF(AA$7="Actual","",(AA449*AA461)+((AA449*AA461)*$K473)+(INDEX($M461:$Q461,,MATCH(AA$4,$M$4:$Q$4,0))*AA490)*AA449)</f>
        <v/>
      </c>
      <c r="AB502" s="245">
        <f>IF(AB$7="Actual","",(AB449*AB461)+((AB449*AB461)*$K473)+(INDEX($M461:$Q461,,MATCH(AB$4,$M$4:$Q$4,0))*AB490)*AB449)</f>
        <v/>
      </c>
      <c r="AC502" s="245">
        <f>IF(AC$7="Actual","",(AC449*AC461)+((AC449*AC461)*$K473)+(INDEX($M461:$Q461,,MATCH(AC$4,$M$4:$Q$4,0))*AC490)*AC449)</f>
        <v/>
      </c>
      <c r="AD502" s="245">
        <f>IF(AD$7="Actual","",(AD449*AD461)+((AD449*AD461)*$K473)+(INDEX($M461:$Q461,,MATCH(AD$4,$M$4:$Q$4,0))*AD490)*AD449)</f>
        <v/>
      </c>
      <c r="AE502" s="245">
        <f>IF(AE$7="Actual","",(AE449*AE461)+((AE449*AE461)*$K473)+(INDEX($M461:$Q461,,MATCH(AE$4,$M$4:$Q$4,0))*AE490)*AE449)</f>
        <v/>
      </c>
      <c r="AF502" s="245">
        <f>IF(AF$7="Actual","",(AF449*AF461)+((AF449*AF461)*$K473)+(INDEX($M461:$Q461,,MATCH(AF$4,$M$4:$Q$4,0))*AF490)*AF449)</f>
        <v/>
      </c>
      <c r="AG502" s="245">
        <f>IF(AG$7="Actual","",(AG449*AG461)+((AG449*AG461)*$K473)+(INDEX($M461:$Q461,,MATCH(AG$4,$M$4:$Q$4,0))*AG490)*AG449)</f>
        <v/>
      </c>
      <c r="AH502" s="245">
        <f>IF(AH$7="Actual","",(AH449*AH461)+((AH449*AH461)*$K473)+(INDEX($M461:$Q461,,MATCH(AH$4,$M$4:$Q$4,0))*AH490)*AH449)</f>
        <v/>
      </c>
      <c r="AI502" s="245">
        <f>IF(AI$7="Actual","",(AI449*AI461)+((AI449*AI461)*$K473)+(INDEX($M461:$Q461,,MATCH(AI$4,$M$4:$Q$4,0))*AI490)*AI449)</f>
        <v/>
      </c>
      <c r="AJ502" s="245">
        <f>IF(AJ$7="Actual","",(AJ449*AJ461)+((AJ449*AJ461)*$K473)+(INDEX($M461:$Q461,,MATCH(AJ$4,$M$4:$Q$4,0))*AJ490)*AJ449)</f>
        <v/>
      </c>
      <c r="AK502" s="245">
        <f>IF(AK$7="Actual","",(AK449*AK461)+((AK449*AK461)*$K473)+(INDEX($M461:$Q461,,MATCH(AK$4,$M$4:$Q$4,0))*AK490)*AK449)</f>
        <v/>
      </c>
      <c r="AL502" s="245">
        <f>IF(AL$7="Actual","",(AL449*AL461)+((AL449*AL461)*$K473)+(INDEX($M461:$Q461,,MATCH(AL$4,$M$4:$Q$4,0))*AL490)*AL449)</f>
        <v/>
      </c>
      <c r="AM502" s="245">
        <f>IF(AM$7="Actual","",(AM449*AM461)+((AM449*AM461)*$K473)+(INDEX($M461:$Q461,,MATCH(AM$4,$M$4:$Q$4,0))*AM490)*AM449)</f>
        <v/>
      </c>
      <c r="AN502" s="245">
        <f>IF(AN$7="Actual","",(AN449*AN461)+((AN449*AN461)*$K473)+(INDEX($M461:$Q461,,MATCH(AN$4,$M$4:$Q$4,0))*AN490)*AN449)</f>
        <v/>
      </c>
      <c r="AO502" s="245">
        <f>IF(AO$7="Actual","",(AO449*AO461)+((AO449*AO461)*$K473)+(INDEX($M461:$Q461,,MATCH(AO$4,$M$4:$Q$4,0))*AO490)*AO449)</f>
        <v/>
      </c>
      <c r="AP502" s="245">
        <f>IF(AP$7="Actual","",(AP449*AP461)+((AP449*AP461)*$K473)+(INDEX($M461:$Q461,,MATCH(AP$4,$M$4:$Q$4,0))*AP490)*AP449)</f>
        <v/>
      </c>
      <c r="AQ502" s="245">
        <f>IF(AQ$7="Actual","",(AQ449*AQ461)+((AQ449*AQ461)*$K473)+(INDEX($M461:$Q461,,MATCH(AQ$4,$M$4:$Q$4,0))*AQ490)*AQ449)</f>
        <v/>
      </c>
      <c r="AR502" s="245">
        <f>IF(AR$7="Actual","",(AR449*AR461)+((AR449*AR461)*$K473)+(INDEX($M461:$Q461,,MATCH(AR$4,$M$4:$Q$4,0))*AR490)*AR449)</f>
        <v/>
      </c>
      <c r="AS502" s="245">
        <f>IF(AS$7="Actual","",(AS449*AS461)+((AS449*AS461)*$K473)+(INDEX($M461:$Q461,,MATCH(AS$4,$M$4:$Q$4,0))*AS490)*AS449)</f>
        <v/>
      </c>
      <c r="AT502" s="245">
        <f>IF(AT$7="Actual","",(AT449*AT461)+((AT449*AT461)*$K473)+(INDEX($M461:$Q461,,MATCH(AT$4,$M$4:$Q$4,0))*AT490)*AT449)</f>
        <v/>
      </c>
      <c r="AU502" s="245">
        <f>IF(AU$7="Actual","",(AU449*AU461)+((AU449*AU461)*$K473)+(INDEX($M461:$Q461,,MATCH(AU$4,$M$4:$Q$4,0))*AU490)*AU449)</f>
        <v/>
      </c>
      <c r="AV502" s="245">
        <f>IF(AV$7="Actual","",(AV449*AV461)+((AV449*AV461)*$K473)+(INDEX($M461:$Q461,,MATCH(AV$4,$M$4:$Q$4,0))*AV490)*AV449)</f>
        <v/>
      </c>
      <c r="AW502" s="245">
        <f>IF(AW$7="Actual","",(AW449*AW461)+((AW449*AW461)*$K473)+(INDEX($M461:$Q461,,MATCH(AW$4,$M$4:$Q$4,0))*AW490)*AW449)</f>
        <v/>
      </c>
      <c r="AX502" s="245">
        <f>IF(AX$7="Actual","",(AX449*AX461)+((AX449*AX461)*$K473)+(INDEX($M461:$Q461,,MATCH(AX$4,$M$4:$Q$4,0))*AX490)*AX449)</f>
        <v/>
      </c>
      <c r="AY502" s="245">
        <f>IF(AY$7="Actual","",(AY449*AY461)+((AY449*AY461)*$K473)+(INDEX($M461:$Q461,,MATCH(AY$4,$M$4:$Q$4,0))*AY490)*AY449)</f>
        <v/>
      </c>
      <c r="AZ502" s="245">
        <f>IF(AZ$7="Actual","",(AZ449*AZ461)+((AZ449*AZ461)*$K473)+(INDEX($M461:$Q461,,MATCH(AZ$4,$M$4:$Q$4,0))*AZ490)*AZ449)</f>
        <v/>
      </c>
      <c r="BA502" s="245">
        <f>IF(BA$7="Actual","",(BA449*BA461)+((BA449*BA461)*$K473)+(INDEX($M461:$Q461,,MATCH(BA$4,$M$4:$Q$4,0))*BA490)*BA449)</f>
        <v/>
      </c>
      <c r="BB502" s="245">
        <f>IF(BB$7="Actual","",(BB449*BB461)+((BB449*BB461)*$K473)+(INDEX($M461:$Q461,,MATCH(BB$4,$M$4:$Q$4,0))*BB490)*BB449)</f>
        <v/>
      </c>
      <c r="BC502" s="245">
        <f>IF(BC$7="Actual","",(BC449*BC461)+((BC449*BC461)*$K473)+(INDEX($M461:$Q461,,MATCH(BC$4,$M$4:$Q$4,0))*BC490)*BC449)</f>
        <v/>
      </c>
      <c r="BD502" s="245">
        <f>IF(BD$7="Actual","",(BD449*BD461)+((BD449*BD461)*$K473)+(INDEX($M461:$Q461,,MATCH(BD$4,$M$4:$Q$4,0))*BD490)*BD449)</f>
        <v/>
      </c>
      <c r="BE502" s="245">
        <f>IF(BE$7="Actual","",(BE449*BE461)+((BE449*BE461)*$K473)+(INDEX($M461:$Q461,,MATCH(BE$4,$M$4:$Q$4,0))*BE490)*BE449)</f>
        <v/>
      </c>
      <c r="BF502" s="245">
        <f>IF(BF$7="Actual","",(BF449*BF461)+((BF449*BF461)*$K473)+(INDEX($M461:$Q461,,MATCH(BF$4,$M$4:$Q$4,0))*BF490)*BF449)</f>
        <v/>
      </c>
      <c r="BG502" s="245">
        <f>IF(BG$7="Actual","",(BG449*BG461)+((BG449*BG461)*$K473)+(INDEX($M461:$Q461,,MATCH(BG$4,$M$4:$Q$4,0))*BG490)*BG449)</f>
        <v/>
      </c>
      <c r="BH502" s="245">
        <f>IF(BH$7="Actual","",(BH449*BH461)+((BH449*BH461)*$K473)+(INDEX($M461:$Q461,,MATCH(BH$4,$M$4:$Q$4,0))*BH490)*BH449)</f>
        <v/>
      </c>
      <c r="BI502" s="245">
        <f>IF(BI$7="Actual","",(BI449*BI461)+((BI449*BI461)*$K473)+(INDEX($M461:$Q461,,MATCH(BI$4,$M$4:$Q$4,0))*BI490)*BI449)</f>
        <v/>
      </c>
      <c r="BJ502" s="245">
        <f>IF(BJ$7="Actual","",(BJ449*BJ461)+((BJ449*BJ461)*$K473)+(INDEX($M461:$Q461,,MATCH(BJ$4,$M$4:$Q$4,0))*BJ490)*BJ449)</f>
        <v/>
      </c>
      <c r="BK502" s="245">
        <f>IF(BK$7="Actual","",(BK449*BK461)+((BK449*BK461)*$K473)+(INDEX($M461:$Q461,,MATCH(BK$4,$M$4:$Q$4,0))*BK490)*BK449)</f>
        <v/>
      </c>
      <c r="BL502" s="245">
        <f>IF(BL$7="Actual","",(BL449*BL461)+((BL449*BL461)*$K473)+(INDEX($M461:$Q461,,MATCH(BL$4,$M$4:$Q$4,0))*BL490)*BL449)</f>
        <v/>
      </c>
      <c r="BM502" s="245">
        <f>IF(BM$7="Actual","",(BM449*BM461)+((BM449*BM461)*$K473)+(INDEX($M461:$Q461,,MATCH(BM$4,$M$4:$Q$4,0))*BM490)*BM449)</f>
        <v/>
      </c>
      <c r="BN502" s="245">
        <f>IF(BN$7="Actual","",(BN449*BN461)+((BN449*BN461)*$K473)+(INDEX($M461:$Q461,,MATCH(BN$4,$M$4:$Q$4,0))*BN490)*BN449)</f>
        <v/>
      </c>
      <c r="BO502" s="245">
        <f>IF(BO$7="Actual","",(BO449*BO461)+((BO449*BO461)*$K473)+(INDEX($M461:$Q461,,MATCH(BO$4,$M$4:$Q$4,0))*BO490)*BO449)</f>
        <v/>
      </c>
      <c r="BP502" s="245">
        <f>IF(BP$7="Actual","",(BP449*BP461)+((BP449*BP461)*$K473)+(INDEX($M461:$Q461,,MATCH(BP$4,$M$4:$Q$4,0))*BP490)*BP449)</f>
        <v/>
      </c>
      <c r="BQ502" s="245">
        <f>IF(BQ$7="Actual","",(BQ449*BQ461)+((BQ449*BQ461)*$K473)+(INDEX($M461:$Q461,,MATCH(BQ$4,$M$4:$Q$4,0))*BQ490)*BQ449)</f>
        <v/>
      </c>
      <c r="BR502" s="245">
        <f>IF(BR$7="Actual","",(BR449*BR461)+((BR449*BR461)*$K473)+(INDEX($M461:$Q461,,MATCH(BR$4,$M$4:$Q$4,0))*BR490)*BR449)</f>
        <v/>
      </c>
      <c r="BS502" s="245">
        <f>IF(BS$7="Actual","",(BS449*BS461)+((BS449*BS461)*$K473)+(INDEX($M461:$Q461,,MATCH(BS$4,$M$4:$Q$4,0))*BS490)*BS449)</f>
        <v/>
      </c>
      <c r="BT502" s="245">
        <f>IF(BT$7="Actual","",(BT449*BT461)+((BT449*BT461)*$K473)+(INDEX($M461:$Q461,,MATCH(BT$4,$M$4:$Q$4,0))*BT490)*BT449)</f>
        <v/>
      </c>
      <c r="BU502" s="245">
        <f>IF(BU$7="Actual","",(BU449*BU461)+((BU449*BU461)*$K473)+(INDEX($M461:$Q461,,MATCH(BU$4,$M$4:$Q$4,0))*BU490)*BU449)</f>
        <v/>
      </c>
      <c r="BV502" s="245">
        <f>IF(BV$7="Actual","",(BV449*BV461)+((BV449*BV461)*$K473)+(INDEX($M461:$Q461,,MATCH(BV$4,$M$4:$Q$4,0))*BV490)*BV449)</f>
        <v/>
      </c>
      <c r="BW502" s="245">
        <f>IF(BW$7="Actual","",(BW449*BW461)+((BW449*BW461)*$K473)+(INDEX($M461:$Q461,,MATCH(BW$4,$M$4:$Q$4,0))*BW490)*BW449)</f>
        <v/>
      </c>
      <c r="BX502" s="245">
        <f>IF(BX$7="Actual","",(BX449*BX461)+((BX449*BX461)*$K473)+(INDEX($M461:$Q461,,MATCH(BX$4,$M$4:$Q$4,0))*BX490)*BX449)</f>
        <v/>
      </c>
      <c r="BY502" s="245">
        <f>IF(BY$7="Actual","",(BY449*BY461)+((BY449*BY461)*$K473)+(INDEX($M461:$Q461,,MATCH(BY$4,$M$4:$Q$4,0))*BY490)*BY449)</f>
        <v/>
      </c>
      <c r="BZ502" s="245">
        <f>IF(BZ$7="Actual","",(BZ449*BZ461)+((BZ449*BZ461)*$K473)+(INDEX($M461:$Q461,,MATCH(BZ$4,$M$4:$Q$4,0))*BZ490)*BZ449)</f>
        <v/>
      </c>
      <c r="CA502" s="245">
        <f>IF(CA$7="Actual","",(CA449*CA461)+((CA449*CA461)*$K473)+(INDEX($M461:$Q461,,MATCH(CA$4,$M$4:$Q$4,0))*CA490)*CA449)</f>
        <v/>
      </c>
    </row>
    <row r="503" ht="12" customHeight="1" s="227" thickBot="1">
      <c r="A503" s="244" t="n"/>
      <c r="B503" s="244" t="n"/>
      <c r="C503" s="244" t="n"/>
      <c r="H503" s="42" t="inlineStr">
        <is>
          <t>Total Non-Direct Staff Costs</t>
        </is>
      </c>
      <c r="I503" s="43">
        <f>i_Setup!$M$16</f>
        <v/>
      </c>
      <c r="K503" s="6" t="n"/>
      <c r="M503" s="264">
        <f>SUM(M495:M502)</f>
        <v/>
      </c>
      <c r="N503" s="264">
        <f>SUM(N495:N502)</f>
        <v/>
      </c>
      <c r="O503" s="264">
        <f>SUM(O495:O502)</f>
        <v/>
      </c>
      <c r="P503" s="264">
        <f>SUM(P495:P502)</f>
        <v/>
      </c>
      <c r="Q503" s="264">
        <f>SUM(Q495:Q502)</f>
        <v/>
      </c>
      <c r="T503" s="264">
        <f>SUM(T495:T502)</f>
        <v/>
      </c>
      <c r="U503" s="264">
        <f>SUM(U495:U502)</f>
        <v/>
      </c>
      <c r="V503" s="264">
        <f>SUM(V495:V502)</f>
        <v/>
      </c>
      <c r="W503" s="264">
        <f>SUM(W495:W502)</f>
        <v/>
      </c>
      <c r="X503" s="264">
        <f>SUM(X495:X502)</f>
        <v/>
      </c>
      <c r="Y503" s="264">
        <f>SUM(Y495:Y502)</f>
        <v/>
      </c>
      <c r="Z503" s="264">
        <f>SUM(Z495:Z502)</f>
        <v/>
      </c>
      <c r="AA503" s="264">
        <f>SUM(AA495:AA502)</f>
        <v/>
      </c>
      <c r="AB503" s="264">
        <f>SUM(AB495:AB502)</f>
        <v/>
      </c>
      <c r="AC503" s="264">
        <f>SUM(AC495:AC502)</f>
        <v/>
      </c>
      <c r="AD503" s="264">
        <f>SUM(AD495:AD502)</f>
        <v/>
      </c>
      <c r="AE503" s="264">
        <f>SUM(AE495:AE502)</f>
        <v/>
      </c>
      <c r="AF503" s="264">
        <f>SUM(AF495:AF502)</f>
        <v/>
      </c>
      <c r="AG503" s="264">
        <f>SUM(AG495:AG502)</f>
        <v/>
      </c>
      <c r="AH503" s="264">
        <f>SUM(AH495:AH502)</f>
        <v/>
      </c>
      <c r="AI503" s="264">
        <f>SUM(AI495:AI502)</f>
        <v/>
      </c>
      <c r="AJ503" s="264">
        <f>SUM(AJ495:AJ502)</f>
        <v/>
      </c>
      <c r="AK503" s="264">
        <f>SUM(AK495:AK502)</f>
        <v/>
      </c>
      <c r="AL503" s="264">
        <f>SUM(AL495:AL502)</f>
        <v/>
      </c>
      <c r="AM503" s="264">
        <f>SUM(AM495:AM502)</f>
        <v/>
      </c>
      <c r="AN503" s="264">
        <f>SUM(AN495:AN502)</f>
        <v/>
      </c>
      <c r="AO503" s="264">
        <f>SUM(AO495:AO502)</f>
        <v/>
      </c>
      <c r="AP503" s="264">
        <f>SUM(AP495:AP502)</f>
        <v/>
      </c>
      <c r="AQ503" s="264">
        <f>SUM(AQ495:AQ502)</f>
        <v/>
      </c>
      <c r="AR503" s="264">
        <f>SUM(AR495:AR502)</f>
        <v/>
      </c>
      <c r="AS503" s="264">
        <f>SUM(AS495:AS502)</f>
        <v/>
      </c>
      <c r="AT503" s="264">
        <f>SUM(AT495:AT502)</f>
        <v/>
      </c>
      <c r="AU503" s="264">
        <f>SUM(AU495:AU502)</f>
        <v/>
      </c>
      <c r="AV503" s="264">
        <f>SUM(AV495:AV502)</f>
        <v/>
      </c>
      <c r="AW503" s="264">
        <f>SUM(AW495:AW502)</f>
        <v/>
      </c>
      <c r="AX503" s="264">
        <f>SUM(AX495:AX502)</f>
        <v/>
      </c>
      <c r="AY503" s="264">
        <f>SUM(AY495:AY502)</f>
        <v/>
      </c>
      <c r="AZ503" s="264">
        <f>SUM(AZ495:AZ502)</f>
        <v/>
      </c>
      <c r="BA503" s="264">
        <f>SUM(BA495:BA502)</f>
        <v/>
      </c>
      <c r="BB503" s="264">
        <f>SUM(BB495:BB502)</f>
        <v/>
      </c>
      <c r="BC503" s="264">
        <f>SUM(BC495:BC502)</f>
        <v/>
      </c>
      <c r="BD503" s="264">
        <f>SUM(BD495:BD502)</f>
        <v/>
      </c>
      <c r="BE503" s="264">
        <f>SUM(BE495:BE502)</f>
        <v/>
      </c>
      <c r="BF503" s="264">
        <f>SUM(BF495:BF502)</f>
        <v/>
      </c>
      <c r="BG503" s="264">
        <f>SUM(BG495:BG502)</f>
        <v/>
      </c>
      <c r="BH503" s="264">
        <f>SUM(BH495:BH502)</f>
        <v/>
      </c>
      <c r="BI503" s="264">
        <f>SUM(BI495:BI502)</f>
        <v/>
      </c>
      <c r="BJ503" s="264">
        <f>SUM(BJ495:BJ502)</f>
        <v/>
      </c>
      <c r="BK503" s="264">
        <f>SUM(BK495:BK502)</f>
        <v/>
      </c>
      <c r="BL503" s="264">
        <f>SUM(BL495:BL502)</f>
        <v/>
      </c>
      <c r="BM503" s="264">
        <f>SUM(BM495:BM502)</f>
        <v/>
      </c>
      <c r="BN503" s="264">
        <f>SUM(BN495:BN502)</f>
        <v/>
      </c>
      <c r="BO503" s="264">
        <f>SUM(BO495:BO502)</f>
        <v/>
      </c>
      <c r="BP503" s="264">
        <f>SUM(BP495:BP502)</f>
        <v/>
      </c>
      <c r="BQ503" s="264">
        <f>SUM(BQ495:BQ502)</f>
        <v/>
      </c>
      <c r="BR503" s="264">
        <f>SUM(BR495:BR502)</f>
        <v/>
      </c>
      <c r="BS503" s="264">
        <f>SUM(BS495:BS502)</f>
        <v/>
      </c>
      <c r="BT503" s="264">
        <f>SUM(BT495:BT502)</f>
        <v/>
      </c>
      <c r="BU503" s="264">
        <f>SUM(BU495:BU502)</f>
        <v/>
      </c>
      <c r="BV503" s="264">
        <f>SUM(BV495:BV502)</f>
        <v/>
      </c>
      <c r="BW503" s="264">
        <f>SUM(BW495:BW502)</f>
        <v/>
      </c>
      <c r="BX503" s="264">
        <f>SUM(BX495:BX502)</f>
        <v/>
      </c>
      <c r="BY503" s="264">
        <f>SUM(BY495:BY502)</f>
        <v/>
      </c>
      <c r="BZ503" s="264">
        <f>SUM(BZ495:BZ502)</f>
        <v/>
      </c>
      <c r="CA503" s="264">
        <f>SUM(CA495:CA502)</f>
        <v/>
      </c>
    </row>
    <row r="504" ht="12" customHeight="1" s="227">
      <c r="A504" s="244" t="n"/>
      <c r="B504" s="244" t="n"/>
      <c r="C504" s="244" t="n"/>
      <c r="K504" s="6" t="n"/>
    </row>
    <row r="505" ht="12" customHeight="1" s="227">
      <c r="A505" s="244" t="n"/>
      <c r="B505" s="244" t="n"/>
      <c r="C505" s="244" t="n"/>
      <c r="K505" s="6" t="n"/>
    </row>
    <row r="506" ht="13.5" customFormat="1" customHeight="1" s="223" thickBot="1">
      <c r="E506" s="223">
        <f>Heading2</f>
        <v/>
      </c>
      <c r="F506" s="223" t="inlineStr">
        <is>
          <t>Marketing Costs</t>
        </is>
      </c>
      <c r="K506" s="135" t="n"/>
    </row>
    <row r="507" ht="12" customHeight="1" s="227">
      <c r="A507" s="244" t="n"/>
      <c r="B507" s="244" t="n"/>
      <c r="C507" s="244" t="n"/>
      <c r="K507" s="6" t="n"/>
    </row>
    <row r="508" ht="12" customHeight="1" s="227">
      <c r="A508" s="244" t="n"/>
      <c r="B508" s="244" t="n"/>
      <c r="C508" s="244" t="n"/>
      <c r="G508" s="222" t="inlineStr">
        <is>
          <t>Marketing Costs (Excl. Sales Tax)</t>
        </is>
      </c>
      <c r="K508" s="6" t="n"/>
    </row>
    <row r="509" ht="12" customHeight="1" s="227">
      <c r="A509" s="244" t="n"/>
      <c r="B509" s="244" t="n"/>
      <c r="C509" s="244" t="n"/>
      <c r="K509" s="6" t="n"/>
    </row>
    <row r="510" ht="12" customHeight="1" s="227">
      <c r="A510" s="244" t="n"/>
      <c r="B510" s="244" t="n"/>
      <c r="C510" s="244" t="n"/>
      <c r="H510" s="4">
        <f>i_Setup!U87</f>
        <v/>
      </c>
      <c r="I510" s="27">
        <f>i_Setup!$M$16</f>
        <v/>
      </c>
      <c r="K510" s="259">
        <f>i_Assumptions!K564</f>
        <v/>
      </c>
      <c r="M510" s="257">
        <f>IF($K510="Monthly",0,i_Assumptions!M564)</f>
        <v/>
      </c>
      <c r="N510" s="257">
        <f>IF($K510="Monthly",0,i_Assumptions!N564)</f>
        <v/>
      </c>
      <c r="O510" s="257">
        <f>IF($K510="Monthly",0,i_Assumptions!O564)</f>
        <v/>
      </c>
      <c r="P510" s="257">
        <f>IF($K510="Monthly",0,i_Assumptions!P564)</f>
        <v/>
      </c>
      <c r="Q510" s="257">
        <f>IF($K510="Monthly",0,i_Assumptions!Q564)</f>
        <v/>
      </c>
      <c r="T510" s="257">
        <f>IF($K510="Monthly",i_Assumptions!T564,INDEX($M510:$Q510,,MATCH(T$4,$M$4:$Q$4,0))/12)</f>
        <v/>
      </c>
      <c r="U510" s="257">
        <f>IF($K510="Monthly",i_Assumptions!U564,INDEX($M510:$Q510,,MATCH(U$4,$M$4:$Q$4,0))/12)</f>
        <v/>
      </c>
      <c r="V510" s="257">
        <f>IF($K510="Monthly",i_Assumptions!V564,INDEX($M510:$Q510,,MATCH(V$4,$M$4:$Q$4,0))/12)</f>
        <v/>
      </c>
      <c r="W510" s="257">
        <f>IF($K510="Monthly",i_Assumptions!W564,INDEX($M510:$Q510,,MATCH(W$4,$M$4:$Q$4,0))/12)</f>
        <v/>
      </c>
      <c r="X510" s="257">
        <f>IF($K510="Monthly",i_Assumptions!X564,INDEX($M510:$Q510,,MATCH(X$4,$M$4:$Q$4,0))/12)</f>
        <v/>
      </c>
      <c r="Y510" s="257">
        <f>IF($K510="Monthly",i_Assumptions!Y564,INDEX($M510:$Q510,,MATCH(Y$4,$M$4:$Q$4,0))/12)</f>
        <v/>
      </c>
      <c r="Z510" s="257">
        <f>IF($K510="Monthly",i_Assumptions!Z564,INDEX($M510:$Q510,,MATCH(Z$4,$M$4:$Q$4,0))/12)</f>
        <v/>
      </c>
      <c r="AA510" s="257">
        <f>IF($K510="Monthly",i_Assumptions!AA564,INDEX($M510:$Q510,,MATCH(AA$4,$M$4:$Q$4,0))/12)</f>
        <v/>
      </c>
      <c r="AB510" s="257">
        <f>IF($K510="Monthly",i_Assumptions!AB564,INDEX($M510:$Q510,,MATCH(AB$4,$M$4:$Q$4,0))/12)</f>
        <v/>
      </c>
      <c r="AC510" s="257">
        <f>IF($K510="Monthly",i_Assumptions!AC564,INDEX($M510:$Q510,,MATCH(AC$4,$M$4:$Q$4,0))/12)</f>
        <v/>
      </c>
      <c r="AD510" s="257">
        <f>IF($K510="Monthly",i_Assumptions!AD564,INDEX($M510:$Q510,,MATCH(AD$4,$M$4:$Q$4,0))/12)</f>
        <v/>
      </c>
      <c r="AE510" s="257">
        <f>IF($K510="Monthly",i_Assumptions!AE564,INDEX($M510:$Q510,,MATCH(AE$4,$M$4:$Q$4,0))/12)</f>
        <v/>
      </c>
      <c r="AF510" s="257">
        <f>IF($K510="Monthly",i_Assumptions!AF564,INDEX($M510:$Q510,,MATCH(AF$4,$M$4:$Q$4,0))/12)</f>
        <v/>
      </c>
      <c r="AG510" s="257">
        <f>IF($K510="Monthly",i_Assumptions!AG564,INDEX($M510:$Q510,,MATCH(AG$4,$M$4:$Q$4,0))/12)</f>
        <v/>
      </c>
      <c r="AH510" s="257">
        <f>IF($K510="Monthly",i_Assumptions!AH564,INDEX($M510:$Q510,,MATCH(AH$4,$M$4:$Q$4,0))/12)</f>
        <v/>
      </c>
      <c r="AI510" s="257">
        <f>IF($K510="Monthly",i_Assumptions!AI564,INDEX($M510:$Q510,,MATCH(AI$4,$M$4:$Q$4,0))/12)</f>
        <v/>
      </c>
      <c r="AJ510" s="257">
        <f>IF($K510="Monthly",i_Assumptions!AJ564,INDEX($M510:$Q510,,MATCH(AJ$4,$M$4:$Q$4,0))/12)</f>
        <v/>
      </c>
      <c r="AK510" s="257">
        <f>IF($K510="Monthly",i_Assumptions!AK564,INDEX($M510:$Q510,,MATCH(AK$4,$M$4:$Q$4,0))/12)</f>
        <v/>
      </c>
      <c r="AL510" s="257">
        <f>IF($K510="Monthly",i_Assumptions!AL564,INDEX($M510:$Q510,,MATCH(AL$4,$M$4:$Q$4,0))/12)</f>
        <v/>
      </c>
      <c r="AM510" s="257">
        <f>IF($K510="Monthly",i_Assumptions!AM564,INDEX($M510:$Q510,,MATCH(AM$4,$M$4:$Q$4,0))/12)</f>
        <v/>
      </c>
      <c r="AN510" s="257">
        <f>IF($K510="Monthly",i_Assumptions!AN564,INDEX($M510:$Q510,,MATCH(AN$4,$M$4:$Q$4,0))/12)</f>
        <v/>
      </c>
      <c r="AO510" s="257">
        <f>IF($K510="Monthly",i_Assumptions!AO564,INDEX($M510:$Q510,,MATCH(AO$4,$M$4:$Q$4,0))/12)</f>
        <v/>
      </c>
      <c r="AP510" s="257">
        <f>IF($K510="Monthly",i_Assumptions!AP564,INDEX($M510:$Q510,,MATCH(AP$4,$M$4:$Q$4,0))/12)</f>
        <v/>
      </c>
      <c r="AQ510" s="257">
        <f>IF($K510="Monthly",i_Assumptions!AQ564,INDEX($M510:$Q510,,MATCH(AQ$4,$M$4:$Q$4,0))/12)</f>
        <v/>
      </c>
      <c r="AR510" s="257">
        <f>IF($K510="Monthly",i_Assumptions!AR564,INDEX($M510:$Q510,,MATCH(AR$4,$M$4:$Q$4,0))/12)</f>
        <v/>
      </c>
      <c r="AS510" s="257">
        <f>IF($K510="Monthly",i_Assumptions!AS564,INDEX($M510:$Q510,,MATCH(AS$4,$M$4:$Q$4,0))/12)</f>
        <v/>
      </c>
      <c r="AT510" s="257">
        <f>IF($K510="Monthly",i_Assumptions!AT564,INDEX($M510:$Q510,,MATCH(AT$4,$M$4:$Q$4,0))/12)</f>
        <v/>
      </c>
      <c r="AU510" s="257">
        <f>IF($K510="Monthly",i_Assumptions!AU564,INDEX($M510:$Q510,,MATCH(AU$4,$M$4:$Q$4,0))/12)</f>
        <v/>
      </c>
      <c r="AV510" s="257">
        <f>IF($K510="Monthly",i_Assumptions!AV564,INDEX($M510:$Q510,,MATCH(AV$4,$M$4:$Q$4,0))/12)</f>
        <v/>
      </c>
      <c r="AW510" s="257">
        <f>IF($K510="Monthly",i_Assumptions!AW564,INDEX($M510:$Q510,,MATCH(AW$4,$M$4:$Q$4,0))/12)</f>
        <v/>
      </c>
      <c r="AX510" s="257">
        <f>IF($K510="Monthly",i_Assumptions!AX564,INDEX($M510:$Q510,,MATCH(AX$4,$M$4:$Q$4,0))/12)</f>
        <v/>
      </c>
      <c r="AY510" s="257">
        <f>IF($K510="Monthly",i_Assumptions!AY564,INDEX($M510:$Q510,,MATCH(AY$4,$M$4:$Q$4,0))/12)</f>
        <v/>
      </c>
      <c r="AZ510" s="257">
        <f>IF($K510="Monthly",i_Assumptions!AZ564,INDEX($M510:$Q510,,MATCH(AZ$4,$M$4:$Q$4,0))/12)</f>
        <v/>
      </c>
      <c r="BA510" s="257">
        <f>IF($K510="Monthly",i_Assumptions!BA564,INDEX($M510:$Q510,,MATCH(BA$4,$M$4:$Q$4,0))/12)</f>
        <v/>
      </c>
      <c r="BB510" s="257">
        <f>IF($K510="Monthly",i_Assumptions!BB564,INDEX($M510:$Q510,,MATCH(BB$4,$M$4:$Q$4,0))/12)</f>
        <v/>
      </c>
      <c r="BC510" s="257">
        <f>IF($K510="Monthly",i_Assumptions!BC564,INDEX($M510:$Q510,,MATCH(BC$4,$M$4:$Q$4,0))/12)</f>
        <v/>
      </c>
      <c r="BD510" s="257">
        <f>IF($K510="Monthly",i_Assumptions!BD564,INDEX($M510:$Q510,,MATCH(BD$4,$M$4:$Q$4,0))/12)</f>
        <v/>
      </c>
      <c r="BE510" s="257">
        <f>IF($K510="Monthly",i_Assumptions!BE564,INDEX($M510:$Q510,,MATCH(BE$4,$M$4:$Q$4,0))/12)</f>
        <v/>
      </c>
      <c r="BF510" s="257">
        <f>IF($K510="Monthly",i_Assumptions!BF564,INDEX($M510:$Q510,,MATCH(BF$4,$M$4:$Q$4,0))/12)</f>
        <v/>
      </c>
      <c r="BG510" s="257">
        <f>IF($K510="Monthly",i_Assumptions!BG564,INDEX($M510:$Q510,,MATCH(BG$4,$M$4:$Q$4,0))/12)</f>
        <v/>
      </c>
      <c r="BH510" s="257">
        <f>IF($K510="Monthly",i_Assumptions!BH564,INDEX($M510:$Q510,,MATCH(BH$4,$M$4:$Q$4,0))/12)</f>
        <v/>
      </c>
      <c r="BI510" s="257">
        <f>IF($K510="Monthly",i_Assumptions!BI564,INDEX($M510:$Q510,,MATCH(BI$4,$M$4:$Q$4,0))/12)</f>
        <v/>
      </c>
      <c r="BJ510" s="257">
        <f>IF($K510="Monthly",i_Assumptions!BJ564,INDEX($M510:$Q510,,MATCH(BJ$4,$M$4:$Q$4,0))/12)</f>
        <v/>
      </c>
      <c r="BK510" s="257">
        <f>IF($K510="Monthly",i_Assumptions!BK564,INDEX($M510:$Q510,,MATCH(BK$4,$M$4:$Q$4,0))/12)</f>
        <v/>
      </c>
      <c r="BL510" s="257">
        <f>IF($K510="Monthly",i_Assumptions!BL564,INDEX($M510:$Q510,,MATCH(BL$4,$M$4:$Q$4,0))/12)</f>
        <v/>
      </c>
      <c r="BM510" s="257">
        <f>IF($K510="Monthly",i_Assumptions!BM564,INDEX($M510:$Q510,,MATCH(BM$4,$M$4:$Q$4,0))/12)</f>
        <v/>
      </c>
      <c r="BN510" s="257">
        <f>IF($K510="Monthly",i_Assumptions!BN564,INDEX($M510:$Q510,,MATCH(BN$4,$M$4:$Q$4,0))/12)</f>
        <v/>
      </c>
      <c r="BO510" s="257">
        <f>IF($K510="Monthly",i_Assumptions!BO564,INDEX($M510:$Q510,,MATCH(BO$4,$M$4:$Q$4,0))/12)</f>
        <v/>
      </c>
      <c r="BP510" s="257">
        <f>IF($K510="Monthly",i_Assumptions!BP564,INDEX($M510:$Q510,,MATCH(BP$4,$M$4:$Q$4,0))/12)</f>
        <v/>
      </c>
      <c r="BQ510" s="257">
        <f>IF($K510="Monthly",i_Assumptions!BQ564,INDEX($M510:$Q510,,MATCH(BQ$4,$M$4:$Q$4,0))/12)</f>
        <v/>
      </c>
      <c r="BR510" s="257">
        <f>IF($K510="Monthly",i_Assumptions!BR564,INDEX($M510:$Q510,,MATCH(BR$4,$M$4:$Q$4,0))/12)</f>
        <v/>
      </c>
      <c r="BS510" s="257">
        <f>IF($K510="Monthly",i_Assumptions!BS564,INDEX($M510:$Q510,,MATCH(BS$4,$M$4:$Q$4,0))/12)</f>
        <v/>
      </c>
      <c r="BT510" s="257">
        <f>IF($K510="Monthly",i_Assumptions!BT564,INDEX($M510:$Q510,,MATCH(BT$4,$M$4:$Q$4,0))/12)</f>
        <v/>
      </c>
      <c r="BU510" s="257">
        <f>IF($K510="Monthly",i_Assumptions!BU564,INDEX($M510:$Q510,,MATCH(BU$4,$M$4:$Q$4,0))/12)</f>
        <v/>
      </c>
      <c r="BV510" s="257">
        <f>IF($K510="Monthly",i_Assumptions!BV564,INDEX($M510:$Q510,,MATCH(BV$4,$M$4:$Q$4,0))/12)</f>
        <v/>
      </c>
      <c r="BW510" s="257">
        <f>IF($K510="Monthly",i_Assumptions!BW564,INDEX($M510:$Q510,,MATCH(BW$4,$M$4:$Q$4,0))/12)</f>
        <v/>
      </c>
      <c r="BX510" s="257">
        <f>IF($K510="Monthly",i_Assumptions!BX564,INDEX($M510:$Q510,,MATCH(BX$4,$M$4:$Q$4,0))/12)</f>
        <v/>
      </c>
      <c r="BY510" s="257">
        <f>IF($K510="Monthly",i_Assumptions!BY564,INDEX($M510:$Q510,,MATCH(BY$4,$M$4:$Q$4,0))/12)</f>
        <v/>
      </c>
      <c r="BZ510" s="257">
        <f>IF($K510="Monthly",i_Assumptions!BZ564,INDEX($M510:$Q510,,MATCH(BZ$4,$M$4:$Q$4,0))/12)</f>
        <v/>
      </c>
      <c r="CA510" s="257">
        <f>IF($K510="Monthly",i_Assumptions!CA564,INDEX($M510:$Q510,,MATCH(CA$4,$M$4:$Q$4,0))/12)</f>
        <v/>
      </c>
    </row>
    <row r="511" ht="12" customHeight="1" s="227">
      <c r="A511" s="244" t="n"/>
      <c r="B511" s="244" t="n"/>
      <c r="C511" s="244" t="n"/>
      <c r="H511" s="4">
        <f>i_Setup!U88</f>
        <v/>
      </c>
      <c r="I511" s="27">
        <f>i_Setup!$M$16</f>
        <v/>
      </c>
      <c r="K511" s="259">
        <f>i_Assumptions!K565</f>
        <v/>
      </c>
      <c r="M511" s="257">
        <f>IF($K511="Monthly",0,i_Assumptions!M565)</f>
        <v/>
      </c>
      <c r="N511" s="257">
        <f>IF($K511="Monthly",0,i_Assumptions!N565)</f>
        <v/>
      </c>
      <c r="O511" s="257">
        <f>IF($K511="Monthly",0,i_Assumptions!O565)</f>
        <v/>
      </c>
      <c r="P511" s="257">
        <f>IF($K511="Monthly",0,i_Assumptions!P565)</f>
        <v/>
      </c>
      <c r="Q511" s="257">
        <f>IF($K511="Monthly",0,i_Assumptions!Q565)</f>
        <v/>
      </c>
      <c r="T511" s="257">
        <f>IF($K511="Monthly",i_Assumptions!T565,INDEX($M511:$Q511,,MATCH(T$4,$M$4:$Q$4,0))/12)</f>
        <v/>
      </c>
      <c r="U511" s="257">
        <f>IF($K511="Monthly",i_Assumptions!U565,INDEX($M511:$Q511,,MATCH(U$4,$M$4:$Q$4,0))/12)</f>
        <v/>
      </c>
      <c r="V511" s="257">
        <f>IF($K511="Monthly",i_Assumptions!V565,INDEX($M511:$Q511,,MATCH(V$4,$M$4:$Q$4,0))/12)</f>
        <v/>
      </c>
      <c r="W511" s="257">
        <f>IF($K511="Monthly",i_Assumptions!W565,INDEX($M511:$Q511,,MATCH(W$4,$M$4:$Q$4,0))/12)</f>
        <v/>
      </c>
      <c r="X511" s="257">
        <f>IF($K511="Monthly",i_Assumptions!X565,INDEX($M511:$Q511,,MATCH(X$4,$M$4:$Q$4,0))/12)</f>
        <v/>
      </c>
      <c r="Y511" s="257">
        <f>IF($K511="Monthly",i_Assumptions!Y565,INDEX($M511:$Q511,,MATCH(Y$4,$M$4:$Q$4,0))/12)</f>
        <v/>
      </c>
      <c r="Z511" s="257">
        <f>IF($K511="Monthly",i_Assumptions!Z565,INDEX($M511:$Q511,,MATCH(Z$4,$M$4:$Q$4,0))/12)</f>
        <v/>
      </c>
      <c r="AA511" s="257">
        <f>IF($K511="Monthly",i_Assumptions!AA565,INDEX($M511:$Q511,,MATCH(AA$4,$M$4:$Q$4,0))/12)</f>
        <v/>
      </c>
      <c r="AB511" s="257">
        <f>IF($K511="Monthly",i_Assumptions!AB565,INDEX($M511:$Q511,,MATCH(AB$4,$M$4:$Q$4,0))/12)</f>
        <v/>
      </c>
      <c r="AC511" s="257">
        <f>IF($K511="Monthly",i_Assumptions!AC565,INDEX($M511:$Q511,,MATCH(AC$4,$M$4:$Q$4,0))/12)</f>
        <v/>
      </c>
      <c r="AD511" s="257">
        <f>IF($K511="Monthly",i_Assumptions!AD565,INDEX($M511:$Q511,,MATCH(AD$4,$M$4:$Q$4,0))/12)</f>
        <v/>
      </c>
      <c r="AE511" s="257">
        <f>IF($K511="Monthly",i_Assumptions!AE565,INDEX($M511:$Q511,,MATCH(AE$4,$M$4:$Q$4,0))/12)</f>
        <v/>
      </c>
      <c r="AF511" s="257">
        <f>IF($K511="Monthly",i_Assumptions!AF565,INDEX($M511:$Q511,,MATCH(AF$4,$M$4:$Q$4,0))/12)</f>
        <v/>
      </c>
      <c r="AG511" s="257">
        <f>IF($K511="Monthly",i_Assumptions!AG565,INDEX($M511:$Q511,,MATCH(AG$4,$M$4:$Q$4,0))/12)</f>
        <v/>
      </c>
      <c r="AH511" s="257">
        <f>IF($K511="Monthly",i_Assumptions!AH565,INDEX($M511:$Q511,,MATCH(AH$4,$M$4:$Q$4,0))/12)</f>
        <v/>
      </c>
      <c r="AI511" s="257">
        <f>IF($K511="Monthly",i_Assumptions!AI565,INDEX($M511:$Q511,,MATCH(AI$4,$M$4:$Q$4,0))/12)</f>
        <v/>
      </c>
      <c r="AJ511" s="257">
        <f>IF($K511="Monthly",i_Assumptions!AJ565,INDEX($M511:$Q511,,MATCH(AJ$4,$M$4:$Q$4,0))/12)</f>
        <v/>
      </c>
      <c r="AK511" s="257">
        <f>IF($K511="Monthly",i_Assumptions!AK565,INDEX($M511:$Q511,,MATCH(AK$4,$M$4:$Q$4,0))/12)</f>
        <v/>
      </c>
      <c r="AL511" s="257">
        <f>IF($K511="Monthly",i_Assumptions!AL565,INDEX($M511:$Q511,,MATCH(AL$4,$M$4:$Q$4,0))/12)</f>
        <v/>
      </c>
      <c r="AM511" s="257">
        <f>IF($K511="Monthly",i_Assumptions!AM565,INDEX($M511:$Q511,,MATCH(AM$4,$M$4:$Q$4,0))/12)</f>
        <v/>
      </c>
      <c r="AN511" s="257">
        <f>IF($K511="Monthly",i_Assumptions!AN565,INDEX($M511:$Q511,,MATCH(AN$4,$M$4:$Q$4,0))/12)</f>
        <v/>
      </c>
      <c r="AO511" s="257">
        <f>IF($K511="Monthly",i_Assumptions!AO565,INDEX($M511:$Q511,,MATCH(AO$4,$M$4:$Q$4,0))/12)</f>
        <v/>
      </c>
      <c r="AP511" s="257">
        <f>IF($K511="Monthly",i_Assumptions!AP565,INDEX($M511:$Q511,,MATCH(AP$4,$M$4:$Q$4,0))/12)</f>
        <v/>
      </c>
      <c r="AQ511" s="257">
        <f>IF($K511="Monthly",i_Assumptions!AQ565,INDEX($M511:$Q511,,MATCH(AQ$4,$M$4:$Q$4,0))/12)</f>
        <v/>
      </c>
      <c r="AR511" s="257">
        <f>IF($K511="Monthly",i_Assumptions!AR565,INDEX($M511:$Q511,,MATCH(AR$4,$M$4:$Q$4,0))/12)</f>
        <v/>
      </c>
      <c r="AS511" s="257">
        <f>IF($K511="Monthly",i_Assumptions!AS565,INDEX($M511:$Q511,,MATCH(AS$4,$M$4:$Q$4,0))/12)</f>
        <v/>
      </c>
      <c r="AT511" s="257">
        <f>IF($K511="Monthly",i_Assumptions!AT565,INDEX($M511:$Q511,,MATCH(AT$4,$M$4:$Q$4,0))/12)</f>
        <v/>
      </c>
      <c r="AU511" s="257">
        <f>IF($K511="Monthly",i_Assumptions!AU565,INDEX($M511:$Q511,,MATCH(AU$4,$M$4:$Q$4,0))/12)</f>
        <v/>
      </c>
      <c r="AV511" s="257">
        <f>IF($K511="Monthly",i_Assumptions!AV565,INDEX($M511:$Q511,,MATCH(AV$4,$M$4:$Q$4,0))/12)</f>
        <v/>
      </c>
      <c r="AW511" s="257">
        <f>IF($K511="Monthly",i_Assumptions!AW565,INDEX($M511:$Q511,,MATCH(AW$4,$M$4:$Q$4,0))/12)</f>
        <v/>
      </c>
      <c r="AX511" s="257">
        <f>IF($K511="Monthly",i_Assumptions!AX565,INDEX($M511:$Q511,,MATCH(AX$4,$M$4:$Q$4,0))/12)</f>
        <v/>
      </c>
      <c r="AY511" s="257">
        <f>IF($K511="Monthly",i_Assumptions!AY565,INDEX($M511:$Q511,,MATCH(AY$4,$M$4:$Q$4,0))/12)</f>
        <v/>
      </c>
      <c r="AZ511" s="257">
        <f>IF($K511="Monthly",i_Assumptions!AZ565,INDEX($M511:$Q511,,MATCH(AZ$4,$M$4:$Q$4,0))/12)</f>
        <v/>
      </c>
      <c r="BA511" s="257">
        <f>IF($K511="Monthly",i_Assumptions!BA565,INDEX($M511:$Q511,,MATCH(BA$4,$M$4:$Q$4,0))/12)</f>
        <v/>
      </c>
      <c r="BB511" s="257">
        <f>IF($K511="Monthly",i_Assumptions!BB565,INDEX($M511:$Q511,,MATCH(BB$4,$M$4:$Q$4,0))/12)</f>
        <v/>
      </c>
      <c r="BC511" s="257">
        <f>IF($K511="Monthly",i_Assumptions!BC565,INDEX($M511:$Q511,,MATCH(BC$4,$M$4:$Q$4,0))/12)</f>
        <v/>
      </c>
      <c r="BD511" s="257">
        <f>IF($K511="Monthly",i_Assumptions!BD565,INDEX($M511:$Q511,,MATCH(BD$4,$M$4:$Q$4,0))/12)</f>
        <v/>
      </c>
      <c r="BE511" s="257">
        <f>IF($K511="Monthly",i_Assumptions!BE565,INDEX($M511:$Q511,,MATCH(BE$4,$M$4:$Q$4,0))/12)</f>
        <v/>
      </c>
      <c r="BF511" s="257">
        <f>IF($K511="Monthly",i_Assumptions!BF565,INDEX($M511:$Q511,,MATCH(BF$4,$M$4:$Q$4,0))/12)</f>
        <v/>
      </c>
      <c r="BG511" s="257">
        <f>IF($K511="Monthly",i_Assumptions!BG565,INDEX($M511:$Q511,,MATCH(BG$4,$M$4:$Q$4,0))/12)</f>
        <v/>
      </c>
      <c r="BH511" s="257">
        <f>IF($K511="Monthly",i_Assumptions!BH565,INDEX($M511:$Q511,,MATCH(BH$4,$M$4:$Q$4,0))/12)</f>
        <v/>
      </c>
      <c r="BI511" s="257">
        <f>IF($K511="Monthly",i_Assumptions!BI565,INDEX($M511:$Q511,,MATCH(BI$4,$M$4:$Q$4,0))/12)</f>
        <v/>
      </c>
      <c r="BJ511" s="257">
        <f>IF($K511="Monthly",i_Assumptions!BJ565,INDEX($M511:$Q511,,MATCH(BJ$4,$M$4:$Q$4,0))/12)</f>
        <v/>
      </c>
      <c r="BK511" s="257">
        <f>IF($K511="Monthly",i_Assumptions!BK565,INDEX($M511:$Q511,,MATCH(BK$4,$M$4:$Q$4,0))/12)</f>
        <v/>
      </c>
      <c r="BL511" s="257">
        <f>IF($K511="Monthly",i_Assumptions!BL565,INDEX($M511:$Q511,,MATCH(BL$4,$M$4:$Q$4,0))/12)</f>
        <v/>
      </c>
      <c r="BM511" s="257">
        <f>IF($K511="Monthly",i_Assumptions!BM565,INDEX($M511:$Q511,,MATCH(BM$4,$M$4:$Q$4,0))/12)</f>
        <v/>
      </c>
      <c r="BN511" s="257">
        <f>IF($K511="Monthly",i_Assumptions!BN565,INDEX($M511:$Q511,,MATCH(BN$4,$M$4:$Q$4,0))/12)</f>
        <v/>
      </c>
      <c r="BO511" s="257">
        <f>IF($K511="Monthly",i_Assumptions!BO565,INDEX($M511:$Q511,,MATCH(BO$4,$M$4:$Q$4,0))/12)</f>
        <v/>
      </c>
      <c r="BP511" s="257">
        <f>IF($K511="Monthly",i_Assumptions!BP565,INDEX($M511:$Q511,,MATCH(BP$4,$M$4:$Q$4,0))/12)</f>
        <v/>
      </c>
      <c r="BQ511" s="257">
        <f>IF($K511="Monthly",i_Assumptions!BQ565,INDEX($M511:$Q511,,MATCH(BQ$4,$M$4:$Q$4,0))/12)</f>
        <v/>
      </c>
      <c r="BR511" s="257">
        <f>IF($K511="Monthly",i_Assumptions!BR565,INDEX($M511:$Q511,,MATCH(BR$4,$M$4:$Q$4,0))/12)</f>
        <v/>
      </c>
      <c r="BS511" s="257">
        <f>IF($K511="Monthly",i_Assumptions!BS565,INDEX($M511:$Q511,,MATCH(BS$4,$M$4:$Q$4,0))/12)</f>
        <v/>
      </c>
      <c r="BT511" s="257">
        <f>IF($K511="Monthly",i_Assumptions!BT565,INDEX($M511:$Q511,,MATCH(BT$4,$M$4:$Q$4,0))/12)</f>
        <v/>
      </c>
      <c r="BU511" s="257">
        <f>IF($K511="Monthly",i_Assumptions!BU565,INDEX($M511:$Q511,,MATCH(BU$4,$M$4:$Q$4,0))/12)</f>
        <v/>
      </c>
      <c r="BV511" s="257">
        <f>IF($K511="Monthly",i_Assumptions!BV565,INDEX($M511:$Q511,,MATCH(BV$4,$M$4:$Q$4,0))/12)</f>
        <v/>
      </c>
      <c r="BW511" s="257">
        <f>IF($K511="Monthly",i_Assumptions!BW565,INDEX($M511:$Q511,,MATCH(BW$4,$M$4:$Q$4,0))/12)</f>
        <v/>
      </c>
      <c r="BX511" s="257">
        <f>IF($K511="Monthly",i_Assumptions!BX565,INDEX($M511:$Q511,,MATCH(BX$4,$M$4:$Q$4,0))/12)</f>
        <v/>
      </c>
      <c r="BY511" s="257">
        <f>IF($K511="Monthly",i_Assumptions!BY565,INDEX($M511:$Q511,,MATCH(BY$4,$M$4:$Q$4,0))/12)</f>
        <v/>
      </c>
      <c r="BZ511" s="257">
        <f>IF($K511="Monthly",i_Assumptions!BZ565,INDEX($M511:$Q511,,MATCH(BZ$4,$M$4:$Q$4,0))/12)</f>
        <v/>
      </c>
      <c r="CA511" s="257">
        <f>IF($K511="Monthly",i_Assumptions!CA565,INDEX($M511:$Q511,,MATCH(CA$4,$M$4:$Q$4,0))/12)</f>
        <v/>
      </c>
    </row>
    <row r="512" ht="12" customHeight="1" s="227">
      <c r="A512" s="244" t="n"/>
      <c r="B512" s="244" t="n"/>
      <c r="C512" s="244" t="n"/>
      <c r="H512" s="4">
        <f>i_Setup!U89</f>
        <v/>
      </c>
      <c r="I512" s="27">
        <f>i_Setup!$M$16</f>
        <v/>
      </c>
      <c r="K512" s="259">
        <f>i_Assumptions!K566</f>
        <v/>
      </c>
      <c r="M512" s="257">
        <f>IF($K512="Monthly",0,i_Assumptions!M566)</f>
        <v/>
      </c>
      <c r="N512" s="257">
        <f>IF($K512="Monthly",0,i_Assumptions!N566)</f>
        <v/>
      </c>
      <c r="O512" s="257">
        <f>IF($K512="Monthly",0,i_Assumptions!O566)</f>
        <v/>
      </c>
      <c r="P512" s="257">
        <f>IF($K512="Monthly",0,i_Assumptions!P566)</f>
        <v/>
      </c>
      <c r="Q512" s="257">
        <f>IF($K512="Monthly",0,i_Assumptions!Q566)</f>
        <v/>
      </c>
      <c r="T512" s="257">
        <f>IF($K512="Monthly",i_Assumptions!T566,INDEX($M512:$Q512,,MATCH(T$4,$M$4:$Q$4,0))/12)</f>
        <v/>
      </c>
      <c r="U512" s="257">
        <f>IF($K512="Monthly",i_Assumptions!U566,INDEX($M512:$Q512,,MATCH(U$4,$M$4:$Q$4,0))/12)</f>
        <v/>
      </c>
      <c r="V512" s="257">
        <f>IF($K512="Monthly",i_Assumptions!V566,INDEX($M512:$Q512,,MATCH(V$4,$M$4:$Q$4,0))/12)</f>
        <v/>
      </c>
      <c r="W512" s="257">
        <f>IF($K512="Monthly",i_Assumptions!W566,INDEX($M512:$Q512,,MATCH(W$4,$M$4:$Q$4,0))/12)</f>
        <v/>
      </c>
      <c r="X512" s="257">
        <f>IF($K512="Monthly",i_Assumptions!X566,INDEX($M512:$Q512,,MATCH(X$4,$M$4:$Q$4,0))/12)</f>
        <v/>
      </c>
      <c r="Y512" s="257">
        <f>IF($K512="Monthly",i_Assumptions!Y566,INDEX($M512:$Q512,,MATCH(Y$4,$M$4:$Q$4,0))/12)</f>
        <v/>
      </c>
      <c r="Z512" s="257">
        <f>IF($K512="Monthly",i_Assumptions!Z566,INDEX($M512:$Q512,,MATCH(Z$4,$M$4:$Q$4,0))/12)</f>
        <v/>
      </c>
      <c r="AA512" s="257">
        <f>IF($K512="Monthly",i_Assumptions!AA566,INDEX($M512:$Q512,,MATCH(AA$4,$M$4:$Q$4,0))/12)</f>
        <v/>
      </c>
      <c r="AB512" s="257">
        <f>IF($K512="Monthly",i_Assumptions!AB566,INDEX($M512:$Q512,,MATCH(AB$4,$M$4:$Q$4,0))/12)</f>
        <v/>
      </c>
      <c r="AC512" s="257">
        <f>IF($K512="Monthly",i_Assumptions!AC566,INDEX($M512:$Q512,,MATCH(AC$4,$M$4:$Q$4,0))/12)</f>
        <v/>
      </c>
      <c r="AD512" s="257">
        <f>IF($K512="Monthly",i_Assumptions!AD566,INDEX($M512:$Q512,,MATCH(AD$4,$M$4:$Q$4,0))/12)</f>
        <v/>
      </c>
      <c r="AE512" s="257">
        <f>IF($K512="Monthly",i_Assumptions!AE566,INDEX($M512:$Q512,,MATCH(AE$4,$M$4:$Q$4,0))/12)</f>
        <v/>
      </c>
      <c r="AF512" s="257">
        <f>IF($K512="Monthly",i_Assumptions!AF566,INDEX($M512:$Q512,,MATCH(AF$4,$M$4:$Q$4,0))/12)</f>
        <v/>
      </c>
      <c r="AG512" s="257">
        <f>IF($K512="Monthly",i_Assumptions!AG566,INDEX($M512:$Q512,,MATCH(AG$4,$M$4:$Q$4,0))/12)</f>
        <v/>
      </c>
      <c r="AH512" s="257">
        <f>IF($K512="Monthly",i_Assumptions!AH566,INDEX($M512:$Q512,,MATCH(AH$4,$M$4:$Q$4,0))/12)</f>
        <v/>
      </c>
      <c r="AI512" s="257">
        <f>IF($K512="Monthly",i_Assumptions!AI566,INDEX($M512:$Q512,,MATCH(AI$4,$M$4:$Q$4,0))/12)</f>
        <v/>
      </c>
      <c r="AJ512" s="257">
        <f>IF($K512="Monthly",i_Assumptions!AJ566,INDEX($M512:$Q512,,MATCH(AJ$4,$M$4:$Q$4,0))/12)</f>
        <v/>
      </c>
      <c r="AK512" s="257">
        <f>IF($K512="Monthly",i_Assumptions!AK566,INDEX($M512:$Q512,,MATCH(AK$4,$M$4:$Q$4,0))/12)</f>
        <v/>
      </c>
      <c r="AL512" s="257">
        <f>IF($K512="Monthly",i_Assumptions!AL566,INDEX($M512:$Q512,,MATCH(AL$4,$M$4:$Q$4,0))/12)</f>
        <v/>
      </c>
      <c r="AM512" s="257">
        <f>IF($K512="Monthly",i_Assumptions!AM566,INDEX($M512:$Q512,,MATCH(AM$4,$M$4:$Q$4,0))/12)</f>
        <v/>
      </c>
      <c r="AN512" s="257">
        <f>IF($K512="Monthly",i_Assumptions!AN566,INDEX($M512:$Q512,,MATCH(AN$4,$M$4:$Q$4,0))/12)</f>
        <v/>
      </c>
      <c r="AO512" s="257">
        <f>IF($K512="Monthly",i_Assumptions!AO566,INDEX($M512:$Q512,,MATCH(AO$4,$M$4:$Q$4,0))/12)</f>
        <v/>
      </c>
      <c r="AP512" s="257">
        <f>IF($K512="Monthly",i_Assumptions!AP566,INDEX($M512:$Q512,,MATCH(AP$4,$M$4:$Q$4,0))/12)</f>
        <v/>
      </c>
      <c r="AQ512" s="257">
        <f>IF($K512="Monthly",i_Assumptions!AQ566,INDEX($M512:$Q512,,MATCH(AQ$4,$M$4:$Q$4,0))/12)</f>
        <v/>
      </c>
      <c r="AR512" s="257">
        <f>IF($K512="Monthly",i_Assumptions!AR566,INDEX($M512:$Q512,,MATCH(AR$4,$M$4:$Q$4,0))/12)</f>
        <v/>
      </c>
      <c r="AS512" s="257">
        <f>IF($K512="Monthly",i_Assumptions!AS566,INDEX($M512:$Q512,,MATCH(AS$4,$M$4:$Q$4,0))/12)</f>
        <v/>
      </c>
      <c r="AT512" s="257">
        <f>IF($K512="Monthly",i_Assumptions!AT566,INDEX($M512:$Q512,,MATCH(AT$4,$M$4:$Q$4,0))/12)</f>
        <v/>
      </c>
      <c r="AU512" s="257">
        <f>IF($K512="Monthly",i_Assumptions!AU566,INDEX($M512:$Q512,,MATCH(AU$4,$M$4:$Q$4,0))/12)</f>
        <v/>
      </c>
      <c r="AV512" s="257">
        <f>IF($K512="Monthly",i_Assumptions!AV566,INDEX($M512:$Q512,,MATCH(AV$4,$M$4:$Q$4,0))/12)</f>
        <v/>
      </c>
      <c r="AW512" s="257">
        <f>IF($K512="Monthly",i_Assumptions!AW566,INDEX($M512:$Q512,,MATCH(AW$4,$M$4:$Q$4,0))/12)</f>
        <v/>
      </c>
      <c r="AX512" s="257">
        <f>IF($K512="Monthly",i_Assumptions!AX566,INDEX($M512:$Q512,,MATCH(AX$4,$M$4:$Q$4,0))/12)</f>
        <v/>
      </c>
      <c r="AY512" s="257">
        <f>IF($K512="Monthly",i_Assumptions!AY566,INDEX($M512:$Q512,,MATCH(AY$4,$M$4:$Q$4,0))/12)</f>
        <v/>
      </c>
      <c r="AZ512" s="257">
        <f>IF($K512="Monthly",i_Assumptions!AZ566,INDEX($M512:$Q512,,MATCH(AZ$4,$M$4:$Q$4,0))/12)</f>
        <v/>
      </c>
      <c r="BA512" s="257">
        <f>IF($K512="Monthly",i_Assumptions!BA566,INDEX($M512:$Q512,,MATCH(BA$4,$M$4:$Q$4,0))/12)</f>
        <v/>
      </c>
      <c r="BB512" s="257">
        <f>IF($K512="Monthly",i_Assumptions!BB566,INDEX($M512:$Q512,,MATCH(BB$4,$M$4:$Q$4,0))/12)</f>
        <v/>
      </c>
      <c r="BC512" s="257">
        <f>IF($K512="Monthly",i_Assumptions!BC566,INDEX($M512:$Q512,,MATCH(BC$4,$M$4:$Q$4,0))/12)</f>
        <v/>
      </c>
      <c r="BD512" s="257">
        <f>IF($K512="Monthly",i_Assumptions!BD566,INDEX($M512:$Q512,,MATCH(BD$4,$M$4:$Q$4,0))/12)</f>
        <v/>
      </c>
      <c r="BE512" s="257">
        <f>IF($K512="Monthly",i_Assumptions!BE566,INDEX($M512:$Q512,,MATCH(BE$4,$M$4:$Q$4,0))/12)</f>
        <v/>
      </c>
      <c r="BF512" s="257">
        <f>IF($K512="Monthly",i_Assumptions!BF566,INDEX($M512:$Q512,,MATCH(BF$4,$M$4:$Q$4,0))/12)</f>
        <v/>
      </c>
      <c r="BG512" s="257">
        <f>IF($K512="Monthly",i_Assumptions!BG566,INDEX($M512:$Q512,,MATCH(BG$4,$M$4:$Q$4,0))/12)</f>
        <v/>
      </c>
      <c r="BH512" s="257">
        <f>IF($K512="Monthly",i_Assumptions!BH566,INDEX($M512:$Q512,,MATCH(BH$4,$M$4:$Q$4,0))/12)</f>
        <v/>
      </c>
      <c r="BI512" s="257">
        <f>IF($K512="Monthly",i_Assumptions!BI566,INDEX($M512:$Q512,,MATCH(BI$4,$M$4:$Q$4,0))/12)</f>
        <v/>
      </c>
      <c r="BJ512" s="257">
        <f>IF($K512="Monthly",i_Assumptions!BJ566,INDEX($M512:$Q512,,MATCH(BJ$4,$M$4:$Q$4,0))/12)</f>
        <v/>
      </c>
      <c r="BK512" s="257">
        <f>IF($K512="Monthly",i_Assumptions!BK566,INDEX($M512:$Q512,,MATCH(BK$4,$M$4:$Q$4,0))/12)</f>
        <v/>
      </c>
      <c r="BL512" s="257">
        <f>IF($K512="Monthly",i_Assumptions!BL566,INDEX($M512:$Q512,,MATCH(BL$4,$M$4:$Q$4,0))/12)</f>
        <v/>
      </c>
      <c r="BM512" s="257">
        <f>IF($K512="Monthly",i_Assumptions!BM566,INDEX($M512:$Q512,,MATCH(BM$4,$M$4:$Q$4,0))/12)</f>
        <v/>
      </c>
      <c r="BN512" s="257">
        <f>IF($K512="Monthly",i_Assumptions!BN566,INDEX($M512:$Q512,,MATCH(BN$4,$M$4:$Q$4,0))/12)</f>
        <v/>
      </c>
      <c r="BO512" s="257">
        <f>IF($K512="Monthly",i_Assumptions!BO566,INDEX($M512:$Q512,,MATCH(BO$4,$M$4:$Q$4,0))/12)</f>
        <v/>
      </c>
      <c r="BP512" s="257">
        <f>IF($K512="Monthly",i_Assumptions!BP566,INDEX($M512:$Q512,,MATCH(BP$4,$M$4:$Q$4,0))/12)</f>
        <v/>
      </c>
      <c r="BQ512" s="257">
        <f>IF($K512="Monthly",i_Assumptions!BQ566,INDEX($M512:$Q512,,MATCH(BQ$4,$M$4:$Q$4,0))/12)</f>
        <v/>
      </c>
      <c r="BR512" s="257">
        <f>IF($K512="Monthly",i_Assumptions!BR566,INDEX($M512:$Q512,,MATCH(BR$4,$M$4:$Q$4,0))/12)</f>
        <v/>
      </c>
      <c r="BS512" s="257">
        <f>IF($K512="Monthly",i_Assumptions!BS566,INDEX($M512:$Q512,,MATCH(BS$4,$M$4:$Q$4,0))/12)</f>
        <v/>
      </c>
      <c r="BT512" s="257">
        <f>IF($K512="Monthly",i_Assumptions!BT566,INDEX($M512:$Q512,,MATCH(BT$4,$M$4:$Q$4,0))/12)</f>
        <v/>
      </c>
      <c r="BU512" s="257">
        <f>IF($K512="Monthly",i_Assumptions!BU566,INDEX($M512:$Q512,,MATCH(BU$4,$M$4:$Q$4,0))/12)</f>
        <v/>
      </c>
      <c r="BV512" s="257">
        <f>IF($K512="Monthly",i_Assumptions!BV566,INDEX($M512:$Q512,,MATCH(BV$4,$M$4:$Q$4,0))/12)</f>
        <v/>
      </c>
      <c r="BW512" s="257">
        <f>IF($K512="Monthly",i_Assumptions!BW566,INDEX($M512:$Q512,,MATCH(BW$4,$M$4:$Q$4,0))/12)</f>
        <v/>
      </c>
      <c r="BX512" s="257">
        <f>IF($K512="Monthly",i_Assumptions!BX566,INDEX($M512:$Q512,,MATCH(BX$4,$M$4:$Q$4,0))/12)</f>
        <v/>
      </c>
      <c r="BY512" s="257">
        <f>IF($K512="Monthly",i_Assumptions!BY566,INDEX($M512:$Q512,,MATCH(BY$4,$M$4:$Q$4,0))/12)</f>
        <v/>
      </c>
      <c r="BZ512" s="257">
        <f>IF($K512="Monthly",i_Assumptions!BZ566,INDEX($M512:$Q512,,MATCH(BZ$4,$M$4:$Q$4,0))/12)</f>
        <v/>
      </c>
      <c r="CA512" s="257">
        <f>IF($K512="Monthly",i_Assumptions!CA566,INDEX($M512:$Q512,,MATCH(CA$4,$M$4:$Q$4,0))/12)</f>
        <v/>
      </c>
    </row>
    <row r="513" ht="12" customHeight="1" s="227">
      <c r="A513" s="244" t="n"/>
      <c r="B513" s="244" t="n"/>
      <c r="C513" s="244" t="n"/>
      <c r="H513" s="4">
        <f>i_Setup!U90</f>
        <v/>
      </c>
      <c r="I513" s="27">
        <f>i_Setup!$M$16</f>
        <v/>
      </c>
      <c r="K513" s="259">
        <f>i_Assumptions!K567</f>
        <v/>
      </c>
      <c r="M513" s="257">
        <f>IF($K513="Monthly",0,i_Assumptions!M567)</f>
        <v/>
      </c>
      <c r="N513" s="257">
        <f>IF($K513="Monthly",0,i_Assumptions!N567)</f>
        <v/>
      </c>
      <c r="O513" s="257">
        <f>IF($K513="Monthly",0,i_Assumptions!O567)</f>
        <v/>
      </c>
      <c r="P513" s="257">
        <f>IF($K513="Monthly",0,i_Assumptions!P567)</f>
        <v/>
      </c>
      <c r="Q513" s="257">
        <f>IF($K513="Monthly",0,i_Assumptions!Q567)</f>
        <v/>
      </c>
      <c r="T513" s="257">
        <f>IF($K513="Monthly",i_Assumptions!T567,INDEX($M513:$Q513,,MATCH(T$4,$M$4:$Q$4,0))/12)</f>
        <v/>
      </c>
      <c r="U513" s="257">
        <f>IF($K513="Monthly",i_Assumptions!U567,INDEX($M513:$Q513,,MATCH(U$4,$M$4:$Q$4,0))/12)</f>
        <v/>
      </c>
      <c r="V513" s="257">
        <f>IF($K513="Monthly",i_Assumptions!V567,INDEX($M513:$Q513,,MATCH(V$4,$M$4:$Q$4,0))/12)</f>
        <v/>
      </c>
      <c r="W513" s="257">
        <f>IF($K513="Monthly",i_Assumptions!W567,INDEX($M513:$Q513,,MATCH(W$4,$M$4:$Q$4,0))/12)</f>
        <v/>
      </c>
      <c r="X513" s="257">
        <f>IF($K513="Monthly",i_Assumptions!X567,INDEX($M513:$Q513,,MATCH(X$4,$M$4:$Q$4,0))/12)</f>
        <v/>
      </c>
      <c r="Y513" s="257">
        <f>IF($K513="Monthly",i_Assumptions!Y567,INDEX($M513:$Q513,,MATCH(Y$4,$M$4:$Q$4,0))/12)</f>
        <v/>
      </c>
      <c r="Z513" s="257">
        <f>IF($K513="Monthly",i_Assumptions!Z567,INDEX($M513:$Q513,,MATCH(Z$4,$M$4:$Q$4,0))/12)</f>
        <v/>
      </c>
      <c r="AA513" s="257">
        <f>IF($K513="Monthly",i_Assumptions!AA567,INDEX($M513:$Q513,,MATCH(AA$4,$M$4:$Q$4,0))/12)</f>
        <v/>
      </c>
      <c r="AB513" s="257">
        <f>IF($K513="Monthly",i_Assumptions!AB567,INDEX($M513:$Q513,,MATCH(AB$4,$M$4:$Q$4,0))/12)</f>
        <v/>
      </c>
      <c r="AC513" s="257">
        <f>IF($K513="Monthly",i_Assumptions!AC567,INDEX($M513:$Q513,,MATCH(AC$4,$M$4:$Q$4,0))/12)</f>
        <v/>
      </c>
      <c r="AD513" s="257">
        <f>IF($K513="Monthly",i_Assumptions!AD567,INDEX($M513:$Q513,,MATCH(AD$4,$M$4:$Q$4,0))/12)</f>
        <v/>
      </c>
      <c r="AE513" s="257">
        <f>IF($K513="Monthly",i_Assumptions!AE567,INDEX($M513:$Q513,,MATCH(AE$4,$M$4:$Q$4,0))/12)</f>
        <v/>
      </c>
      <c r="AF513" s="257">
        <f>IF($K513="Monthly",i_Assumptions!AF567,INDEX($M513:$Q513,,MATCH(AF$4,$M$4:$Q$4,0))/12)</f>
        <v/>
      </c>
      <c r="AG513" s="257">
        <f>IF($K513="Monthly",i_Assumptions!AG567,INDEX($M513:$Q513,,MATCH(AG$4,$M$4:$Q$4,0))/12)</f>
        <v/>
      </c>
      <c r="AH513" s="257">
        <f>IF($K513="Monthly",i_Assumptions!AH567,INDEX($M513:$Q513,,MATCH(AH$4,$M$4:$Q$4,0))/12)</f>
        <v/>
      </c>
      <c r="AI513" s="257">
        <f>IF($K513="Monthly",i_Assumptions!AI567,INDEX($M513:$Q513,,MATCH(AI$4,$M$4:$Q$4,0))/12)</f>
        <v/>
      </c>
      <c r="AJ513" s="257">
        <f>IF($K513="Monthly",i_Assumptions!AJ567,INDEX($M513:$Q513,,MATCH(AJ$4,$M$4:$Q$4,0))/12)</f>
        <v/>
      </c>
      <c r="AK513" s="257">
        <f>IF($K513="Monthly",i_Assumptions!AK567,INDEX($M513:$Q513,,MATCH(AK$4,$M$4:$Q$4,0))/12)</f>
        <v/>
      </c>
      <c r="AL513" s="257">
        <f>IF($K513="Monthly",i_Assumptions!AL567,INDEX($M513:$Q513,,MATCH(AL$4,$M$4:$Q$4,0))/12)</f>
        <v/>
      </c>
      <c r="AM513" s="257">
        <f>IF($K513="Monthly",i_Assumptions!AM567,INDEX($M513:$Q513,,MATCH(AM$4,$M$4:$Q$4,0))/12)</f>
        <v/>
      </c>
      <c r="AN513" s="257">
        <f>IF($K513="Monthly",i_Assumptions!AN567,INDEX($M513:$Q513,,MATCH(AN$4,$M$4:$Q$4,0))/12)</f>
        <v/>
      </c>
      <c r="AO513" s="257">
        <f>IF($K513="Monthly",i_Assumptions!AO567,INDEX($M513:$Q513,,MATCH(AO$4,$M$4:$Q$4,0))/12)</f>
        <v/>
      </c>
      <c r="AP513" s="257">
        <f>IF($K513="Monthly",i_Assumptions!AP567,INDEX($M513:$Q513,,MATCH(AP$4,$M$4:$Q$4,0))/12)</f>
        <v/>
      </c>
      <c r="AQ513" s="257">
        <f>IF($K513="Monthly",i_Assumptions!AQ567,INDEX($M513:$Q513,,MATCH(AQ$4,$M$4:$Q$4,0))/12)</f>
        <v/>
      </c>
      <c r="AR513" s="257">
        <f>IF($K513="Monthly",i_Assumptions!AR567,INDEX($M513:$Q513,,MATCH(AR$4,$M$4:$Q$4,0))/12)</f>
        <v/>
      </c>
      <c r="AS513" s="257">
        <f>IF($K513="Monthly",i_Assumptions!AS567,INDEX($M513:$Q513,,MATCH(AS$4,$M$4:$Q$4,0))/12)</f>
        <v/>
      </c>
      <c r="AT513" s="257">
        <f>IF($K513="Monthly",i_Assumptions!AT567,INDEX($M513:$Q513,,MATCH(AT$4,$M$4:$Q$4,0))/12)</f>
        <v/>
      </c>
      <c r="AU513" s="257">
        <f>IF($K513="Monthly",i_Assumptions!AU567,INDEX($M513:$Q513,,MATCH(AU$4,$M$4:$Q$4,0))/12)</f>
        <v/>
      </c>
      <c r="AV513" s="257">
        <f>IF($K513="Monthly",i_Assumptions!AV567,INDEX($M513:$Q513,,MATCH(AV$4,$M$4:$Q$4,0))/12)</f>
        <v/>
      </c>
      <c r="AW513" s="257">
        <f>IF($K513="Monthly",i_Assumptions!AW567,INDEX($M513:$Q513,,MATCH(AW$4,$M$4:$Q$4,0))/12)</f>
        <v/>
      </c>
      <c r="AX513" s="257">
        <f>IF($K513="Monthly",i_Assumptions!AX567,INDEX($M513:$Q513,,MATCH(AX$4,$M$4:$Q$4,0))/12)</f>
        <v/>
      </c>
      <c r="AY513" s="257">
        <f>IF($K513="Monthly",i_Assumptions!AY567,INDEX($M513:$Q513,,MATCH(AY$4,$M$4:$Q$4,0))/12)</f>
        <v/>
      </c>
      <c r="AZ513" s="257">
        <f>IF($K513="Monthly",i_Assumptions!AZ567,INDEX($M513:$Q513,,MATCH(AZ$4,$M$4:$Q$4,0))/12)</f>
        <v/>
      </c>
      <c r="BA513" s="257">
        <f>IF($K513="Monthly",i_Assumptions!BA567,INDEX($M513:$Q513,,MATCH(BA$4,$M$4:$Q$4,0))/12)</f>
        <v/>
      </c>
      <c r="BB513" s="257">
        <f>IF($K513="Monthly",i_Assumptions!BB567,INDEX($M513:$Q513,,MATCH(BB$4,$M$4:$Q$4,0))/12)</f>
        <v/>
      </c>
      <c r="BC513" s="257">
        <f>IF($K513="Monthly",i_Assumptions!BC567,INDEX($M513:$Q513,,MATCH(BC$4,$M$4:$Q$4,0))/12)</f>
        <v/>
      </c>
      <c r="BD513" s="257">
        <f>IF($K513="Monthly",i_Assumptions!BD567,INDEX($M513:$Q513,,MATCH(BD$4,$M$4:$Q$4,0))/12)</f>
        <v/>
      </c>
      <c r="BE513" s="257">
        <f>IF($K513="Monthly",i_Assumptions!BE567,INDEX($M513:$Q513,,MATCH(BE$4,$M$4:$Q$4,0))/12)</f>
        <v/>
      </c>
      <c r="BF513" s="257">
        <f>IF($K513="Monthly",i_Assumptions!BF567,INDEX($M513:$Q513,,MATCH(BF$4,$M$4:$Q$4,0))/12)</f>
        <v/>
      </c>
      <c r="BG513" s="257">
        <f>IF($K513="Monthly",i_Assumptions!BG567,INDEX($M513:$Q513,,MATCH(BG$4,$M$4:$Q$4,0))/12)</f>
        <v/>
      </c>
      <c r="BH513" s="257">
        <f>IF($K513="Monthly",i_Assumptions!BH567,INDEX($M513:$Q513,,MATCH(BH$4,$M$4:$Q$4,0))/12)</f>
        <v/>
      </c>
      <c r="BI513" s="257">
        <f>IF($K513="Monthly",i_Assumptions!BI567,INDEX($M513:$Q513,,MATCH(BI$4,$M$4:$Q$4,0))/12)</f>
        <v/>
      </c>
      <c r="BJ513" s="257">
        <f>IF($K513="Monthly",i_Assumptions!BJ567,INDEX($M513:$Q513,,MATCH(BJ$4,$M$4:$Q$4,0))/12)</f>
        <v/>
      </c>
      <c r="BK513" s="257">
        <f>IF($K513="Monthly",i_Assumptions!BK567,INDEX($M513:$Q513,,MATCH(BK$4,$M$4:$Q$4,0))/12)</f>
        <v/>
      </c>
      <c r="BL513" s="257">
        <f>IF($K513="Monthly",i_Assumptions!BL567,INDEX($M513:$Q513,,MATCH(BL$4,$M$4:$Q$4,0))/12)</f>
        <v/>
      </c>
      <c r="BM513" s="257">
        <f>IF($K513="Monthly",i_Assumptions!BM567,INDEX($M513:$Q513,,MATCH(BM$4,$M$4:$Q$4,0))/12)</f>
        <v/>
      </c>
      <c r="BN513" s="257">
        <f>IF($K513="Monthly",i_Assumptions!BN567,INDEX($M513:$Q513,,MATCH(BN$4,$M$4:$Q$4,0))/12)</f>
        <v/>
      </c>
      <c r="BO513" s="257">
        <f>IF($K513="Monthly",i_Assumptions!BO567,INDEX($M513:$Q513,,MATCH(BO$4,$M$4:$Q$4,0))/12)</f>
        <v/>
      </c>
      <c r="BP513" s="257">
        <f>IF($K513="Monthly",i_Assumptions!BP567,INDEX($M513:$Q513,,MATCH(BP$4,$M$4:$Q$4,0))/12)</f>
        <v/>
      </c>
      <c r="BQ513" s="257">
        <f>IF($K513="Monthly",i_Assumptions!BQ567,INDEX($M513:$Q513,,MATCH(BQ$4,$M$4:$Q$4,0))/12)</f>
        <v/>
      </c>
      <c r="BR513" s="257">
        <f>IF($K513="Monthly",i_Assumptions!BR567,INDEX($M513:$Q513,,MATCH(BR$4,$M$4:$Q$4,0))/12)</f>
        <v/>
      </c>
      <c r="BS513" s="257">
        <f>IF($K513="Monthly",i_Assumptions!BS567,INDEX($M513:$Q513,,MATCH(BS$4,$M$4:$Q$4,0))/12)</f>
        <v/>
      </c>
      <c r="BT513" s="257">
        <f>IF($K513="Monthly",i_Assumptions!BT567,INDEX($M513:$Q513,,MATCH(BT$4,$M$4:$Q$4,0))/12)</f>
        <v/>
      </c>
      <c r="BU513" s="257">
        <f>IF($K513="Monthly",i_Assumptions!BU567,INDEX($M513:$Q513,,MATCH(BU$4,$M$4:$Q$4,0))/12)</f>
        <v/>
      </c>
      <c r="BV513" s="257">
        <f>IF($K513="Monthly",i_Assumptions!BV567,INDEX($M513:$Q513,,MATCH(BV$4,$M$4:$Q$4,0))/12)</f>
        <v/>
      </c>
      <c r="BW513" s="257">
        <f>IF($K513="Monthly",i_Assumptions!BW567,INDEX($M513:$Q513,,MATCH(BW$4,$M$4:$Q$4,0))/12)</f>
        <v/>
      </c>
      <c r="BX513" s="257">
        <f>IF($K513="Monthly",i_Assumptions!BX567,INDEX($M513:$Q513,,MATCH(BX$4,$M$4:$Q$4,0))/12)</f>
        <v/>
      </c>
      <c r="BY513" s="257">
        <f>IF($K513="Monthly",i_Assumptions!BY567,INDEX($M513:$Q513,,MATCH(BY$4,$M$4:$Q$4,0))/12)</f>
        <v/>
      </c>
      <c r="BZ513" s="257">
        <f>IF($K513="Monthly",i_Assumptions!BZ567,INDEX($M513:$Q513,,MATCH(BZ$4,$M$4:$Q$4,0))/12)</f>
        <v/>
      </c>
      <c r="CA513" s="257">
        <f>IF($K513="Monthly",i_Assumptions!CA567,INDEX($M513:$Q513,,MATCH(CA$4,$M$4:$Q$4,0))/12)</f>
        <v/>
      </c>
    </row>
    <row r="514" ht="12" customHeight="1" s="227">
      <c r="A514" s="244" t="n"/>
      <c r="B514" s="244" t="n"/>
      <c r="C514" s="244" t="n"/>
      <c r="H514" s="4">
        <f>i_Setup!U91</f>
        <v/>
      </c>
      <c r="I514" s="27">
        <f>i_Setup!$M$16</f>
        <v/>
      </c>
      <c r="K514" s="259">
        <f>i_Assumptions!K568</f>
        <v/>
      </c>
      <c r="M514" s="257">
        <f>IF($K514="Monthly",0,i_Assumptions!M568)</f>
        <v/>
      </c>
      <c r="N514" s="257">
        <f>IF($K514="Monthly",0,i_Assumptions!N568)</f>
        <v/>
      </c>
      <c r="O514" s="257">
        <f>IF($K514="Monthly",0,i_Assumptions!O568)</f>
        <v/>
      </c>
      <c r="P514" s="257">
        <f>IF($K514="Monthly",0,i_Assumptions!P568)</f>
        <v/>
      </c>
      <c r="Q514" s="257">
        <f>IF($K514="Monthly",0,i_Assumptions!Q568)</f>
        <v/>
      </c>
      <c r="T514" s="257">
        <f>IF($K514="Monthly",i_Assumptions!T568,INDEX($M514:$Q514,,MATCH(T$4,$M$4:$Q$4,0))/12)</f>
        <v/>
      </c>
      <c r="U514" s="257">
        <f>IF($K514="Monthly",i_Assumptions!U568,INDEX($M514:$Q514,,MATCH(U$4,$M$4:$Q$4,0))/12)</f>
        <v/>
      </c>
      <c r="V514" s="257">
        <f>IF($K514="Monthly",i_Assumptions!V568,INDEX($M514:$Q514,,MATCH(V$4,$M$4:$Q$4,0))/12)</f>
        <v/>
      </c>
      <c r="W514" s="257">
        <f>IF($K514="Monthly",i_Assumptions!W568,INDEX($M514:$Q514,,MATCH(W$4,$M$4:$Q$4,0))/12)</f>
        <v/>
      </c>
      <c r="X514" s="257">
        <f>IF($K514="Monthly",i_Assumptions!X568,INDEX($M514:$Q514,,MATCH(X$4,$M$4:$Q$4,0))/12)</f>
        <v/>
      </c>
      <c r="Y514" s="257">
        <f>IF($K514="Monthly",i_Assumptions!Y568,INDEX($M514:$Q514,,MATCH(Y$4,$M$4:$Q$4,0))/12)</f>
        <v/>
      </c>
      <c r="Z514" s="257">
        <f>IF($K514="Monthly",i_Assumptions!Z568,INDEX($M514:$Q514,,MATCH(Z$4,$M$4:$Q$4,0))/12)</f>
        <v/>
      </c>
      <c r="AA514" s="257">
        <f>IF($K514="Monthly",i_Assumptions!AA568,INDEX($M514:$Q514,,MATCH(AA$4,$M$4:$Q$4,0))/12)</f>
        <v/>
      </c>
      <c r="AB514" s="257">
        <f>IF($K514="Monthly",i_Assumptions!AB568,INDEX($M514:$Q514,,MATCH(AB$4,$M$4:$Q$4,0))/12)</f>
        <v/>
      </c>
      <c r="AC514" s="257">
        <f>IF($K514="Monthly",i_Assumptions!AC568,INDEX($M514:$Q514,,MATCH(AC$4,$M$4:$Q$4,0))/12)</f>
        <v/>
      </c>
      <c r="AD514" s="257">
        <f>IF($K514="Monthly",i_Assumptions!AD568,INDEX($M514:$Q514,,MATCH(AD$4,$M$4:$Q$4,0))/12)</f>
        <v/>
      </c>
      <c r="AE514" s="257">
        <f>IF($K514="Monthly",i_Assumptions!AE568,INDEX($M514:$Q514,,MATCH(AE$4,$M$4:$Q$4,0))/12)</f>
        <v/>
      </c>
      <c r="AF514" s="257">
        <f>IF($K514="Monthly",i_Assumptions!AF568,INDEX($M514:$Q514,,MATCH(AF$4,$M$4:$Q$4,0))/12)</f>
        <v/>
      </c>
      <c r="AG514" s="257">
        <f>IF($K514="Monthly",i_Assumptions!AG568,INDEX($M514:$Q514,,MATCH(AG$4,$M$4:$Q$4,0))/12)</f>
        <v/>
      </c>
      <c r="AH514" s="257">
        <f>IF($K514="Monthly",i_Assumptions!AH568,INDEX($M514:$Q514,,MATCH(AH$4,$M$4:$Q$4,0))/12)</f>
        <v/>
      </c>
      <c r="AI514" s="257">
        <f>IF($K514="Monthly",i_Assumptions!AI568,INDEX($M514:$Q514,,MATCH(AI$4,$M$4:$Q$4,0))/12)</f>
        <v/>
      </c>
      <c r="AJ514" s="257">
        <f>IF($K514="Monthly",i_Assumptions!AJ568,INDEX($M514:$Q514,,MATCH(AJ$4,$M$4:$Q$4,0))/12)</f>
        <v/>
      </c>
      <c r="AK514" s="257">
        <f>IF($K514="Monthly",i_Assumptions!AK568,INDEX($M514:$Q514,,MATCH(AK$4,$M$4:$Q$4,0))/12)</f>
        <v/>
      </c>
      <c r="AL514" s="257">
        <f>IF($K514="Monthly",i_Assumptions!AL568,INDEX($M514:$Q514,,MATCH(AL$4,$M$4:$Q$4,0))/12)</f>
        <v/>
      </c>
      <c r="AM514" s="257">
        <f>IF($K514="Monthly",i_Assumptions!AM568,INDEX($M514:$Q514,,MATCH(AM$4,$M$4:$Q$4,0))/12)</f>
        <v/>
      </c>
      <c r="AN514" s="257">
        <f>IF($K514="Monthly",i_Assumptions!AN568,INDEX($M514:$Q514,,MATCH(AN$4,$M$4:$Q$4,0))/12)</f>
        <v/>
      </c>
      <c r="AO514" s="257">
        <f>IF($K514="Monthly",i_Assumptions!AO568,INDEX($M514:$Q514,,MATCH(AO$4,$M$4:$Q$4,0))/12)</f>
        <v/>
      </c>
      <c r="AP514" s="257">
        <f>IF($K514="Monthly",i_Assumptions!AP568,INDEX($M514:$Q514,,MATCH(AP$4,$M$4:$Q$4,0))/12)</f>
        <v/>
      </c>
      <c r="AQ514" s="257">
        <f>IF($K514="Monthly",i_Assumptions!AQ568,INDEX($M514:$Q514,,MATCH(AQ$4,$M$4:$Q$4,0))/12)</f>
        <v/>
      </c>
      <c r="AR514" s="257">
        <f>IF($K514="Monthly",i_Assumptions!AR568,INDEX($M514:$Q514,,MATCH(AR$4,$M$4:$Q$4,0))/12)</f>
        <v/>
      </c>
      <c r="AS514" s="257">
        <f>IF($K514="Monthly",i_Assumptions!AS568,INDEX($M514:$Q514,,MATCH(AS$4,$M$4:$Q$4,0))/12)</f>
        <v/>
      </c>
      <c r="AT514" s="257">
        <f>IF($K514="Monthly",i_Assumptions!AT568,INDEX($M514:$Q514,,MATCH(AT$4,$M$4:$Q$4,0))/12)</f>
        <v/>
      </c>
      <c r="AU514" s="257">
        <f>IF($K514="Monthly",i_Assumptions!AU568,INDEX($M514:$Q514,,MATCH(AU$4,$M$4:$Q$4,0))/12)</f>
        <v/>
      </c>
      <c r="AV514" s="257">
        <f>IF($K514="Monthly",i_Assumptions!AV568,INDEX($M514:$Q514,,MATCH(AV$4,$M$4:$Q$4,0))/12)</f>
        <v/>
      </c>
      <c r="AW514" s="257">
        <f>IF($K514="Monthly",i_Assumptions!AW568,INDEX($M514:$Q514,,MATCH(AW$4,$M$4:$Q$4,0))/12)</f>
        <v/>
      </c>
      <c r="AX514" s="257">
        <f>IF($K514="Monthly",i_Assumptions!AX568,INDEX($M514:$Q514,,MATCH(AX$4,$M$4:$Q$4,0))/12)</f>
        <v/>
      </c>
      <c r="AY514" s="257">
        <f>IF($K514="Monthly",i_Assumptions!AY568,INDEX($M514:$Q514,,MATCH(AY$4,$M$4:$Q$4,0))/12)</f>
        <v/>
      </c>
      <c r="AZ514" s="257">
        <f>IF($K514="Monthly",i_Assumptions!AZ568,INDEX($M514:$Q514,,MATCH(AZ$4,$M$4:$Q$4,0))/12)</f>
        <v/>
      </c>
      <c r="BA514" s="257">
        <f>IF($K514="Monthly",i_Assumptions!BA568,INDEX($M514:$Q514,,MATCH(BA$4,$M$4:$Q$4,0))/12)</f>
        <v/>
      </c>
      <c r="BB514" s="257">
        <f>IF($K514="Monthly",i_Assumptions!BB568,INDEX($M514:$Q514,,MATCH(BB$4,$M$4:$Q$4,0))/12)</f>
        <v/>
      </c>
      <c r="BC514" s="257">
        <f>IF($K514="Monthly",i_Assumptions!BC568,INDEX($M514:$Q514,,MATCH(BC$4,$M$4:$Q$4,0))/12)</f>
        <v/>
      </c>
      <c r="BD514" s="257">
        <f>IF($K514="Monthly",i_Assumptions!BD568,INDEX($M514:$Q514,,MATCH(BD$4,$M$4:$Q$4,0))/12)</f>
        <v/>
      </c>
      <c r="BE514" s="257">
        <f>IF($K514="Monthly",i_Assumptions!BE568,INDEX($M514:$Q514,,MATCH(BE$4,$M$4:$Q$4,0))/12)</f>
        <v/>
      </c>
      <c r="BF514" s="257">
        <f>IF($K514="Monthly",i_Assumptions!BF568,INDEX($M514:$Q514,,MATCH(BF$4,$M$4:$Q$4,0))/12)</f>
        <v/>
      </c>
      <c r="BG514" s="257">
        <f>IF($K514="Monthly",i_Assumptions!BG568,INDEX($M514:$Q514,,MATCH(BG$4,$M$4:$Q$4,0))/12)</f>
        <v/>
      </c>
      <c r="BH514" s="257">
        <f>IF($K514="Monthly",i_Assumptions!BH568,INDEX($M514:$Q514,,MATCH(BH$4,$M$4:$Q$4,0))/12)</f>
        <v/>
      </c>
      <c r="BI514" s="257">
        <f>IF($K514="Monthly",i_Assumptions!BI568,INDEX($M514:$Q514,,MATCH(BI$4,$M$4:$Q$4,0))/12)</f>
        <v/>
      </c>
      <c r="BJ514" s="257">
        <f>IF($K514="Monthly",i_Assumptions!BJ568,INDEX($M514:$Q514,,MATCH(BJ$4,$M$4:$Q$4,0))/12)</f>
        <v/>
      </c>
      <c r="BK514" s="257">
        <f>IF($K514="Monthly",i_Assumptions!BK568,INDEX($M514:$Q514,,MATCH(BK$4,$M$4:$Q$4,0))/12)</f>
        <v/>
      </c>
      <c r="BL514" s="257">
        <f>IF($K514="Monthly",i_Assumptions!BL568,INDEX($M514:$Q514,,MATCH(BL$4,$M$4:$Q$4,0))/12)</f>
        <v/>
      </c>
      <c r="BM514" s="257">
        <f>IF($K514="Monthly",i_Assumptions!BM568,INDEX($M514:$Q514,,MATCH(BM$4,$M$4:$Q$4,0))/12)</f>
        <v/>
      </c>
      <c r="BN514" s="257">
        <f>IF($K514="Monthly",i_Assumptions!BN568,INDEX($M514:$Q514,,MATCH(BN$4,$M$4:$Q$4,0))/12)</f>
        <v/>
      </c>
      <c r="BO514" s="257">
        <f>IF($K514="Monthly",i_Assumptions!BO568,INDEX($M514:$Q514,,MATCH(BO$4,$M$4:$Q$4,0))/12)</f>
        <v/>
      </c>
      <c r="BP514" s="257">
        <f>IF($K514="Monthly",i_Assumptions!BP568,INDEX($M514:$Q514,,MATCH(BP$4,$M$4:$Q$4,0))/12)</f>
        <v/>
      </c>
      <c r="BQ514" s="257">
        <f>IF($K514="Monthly",i_Assumptions!BQ568,INDEX($M514:$Q514,,MATCH(BQ$4,$M$4:$Q$4,0))/12)</f>
        <v/>
      </c>
      <c r="BR514" s="257">
        <f>IF($K514="Monthly",i_Assumptions!BR568,INDEX($M514:$Q514,,MATCH(BR$4,$M$4:$Q$4,0))/12)</f>
        <v/>
      </c>
      <c r="BS514" s="257">
        <f>IF($K514="Monthly",i_Assumptions!BS568,INDEX($M514:$Q514,,MATCH(BS$4,$M$4:$Q$4,0))/12)</f>
        <v/>
      </c>
      <c r="BT514" s="257">
        <f>IF($K514="Monthly",i_Assumptions!BT568,INDEX($M514:$Q514,,MATCH(BT$4,$M$4:$Q$4,0))/12)</f>
        <v/>
      </c>
      <c r="BU514" s="257">
        <f>IF($K514="Monthly",i_Assumptions!BU568,INDEX($M514:$Q514,,MATCH(BU$4,$M$4:$Q$4,0))/12)</f>
        <v/>
      </c>
      <c r="BV514" s="257">
        <f>IF($K514="Monthly",i_Assumptions!BV568,INDEX($M514:$Q514,,MATCH(BV$4,$M$4:$Q$4,0))/12)</f>
        <v/>
      </c>
      <c r="BW514" s="257">
        <f>IF($K514="Monthly",i_Assumptions!BW568,INDEX($M514:$Q514,,MATCH(BW$4,$M$4:$Q$4,0))/12)</f>
        <v/>
      </c>
      <c r="BX514" s="257">
        <f>IF($K514="Monthly",i_Assumptions!BX568,INDEX($M514:$Q514,,MATCH(BX$4,$M$4:$Q$4,0))/12)</f>
        <v/>
      </c>
      <c r="BY514" s="257">
        <f>IF($K514="Monthly",i_Assumptions!BY568,INDEX($M514:$Q514,,MATCH(BY$4,$M$4:$Q$4,0))/12)</f>
        <v/>
      </c>
      <c r="BZ514" s="257">
        <f>IF($K514="Monthly",i_Assumptions!BZ568,INDEX($M514:$Q514,,MATCH(BZ$4,$M$4:$Q$4,0))/12)</f>
        <v/>
      </c>
      <c r="CA514" s="257">
        <f>IF($K514="Monthly",i_Assumptions!CA568,INDEX($M514:$Q514,,MATCH(CA$4,$M$4:$Q$4,0))/12)</f>
        <v/>
      </c>
    </row>
    <row r="515" ht="12" customHeight="1" s="227" thickBot="1">
      <c r="A515" s="244" t="n"/>
      <c r="B515" s="244" t="n"/>
      <c r="C515" s="244" t="n"/>
      <c r="H515" s="42" t="inlineStr">
        <is>
          <t>Total Marketing Costs</t>
        </is>
      </c>
      <c r="I515" s="43">
        <f>i_Setup!$M$16</f>
        <v/>
      </c>
      <c r="K515" s="6" t="n"/>
      <c r="M515" s="264">
        <f>SUM(M510:M514)</f>
        <v/>
      </c>
      <c r="N515" s="264">
        <f>SUM(N510:N514)</f>
        <v/>
      </c>
      <c r="O515" s="264">
        <f>SUM(O510:O514)</f>
        <v/>
      </c>
      <c r="P515" s="264">
        <f>SUM(P510:P514)</f>
        <v/>
      </c>
      <c r="Q515" s="264">
        <f>SUM(Q510:Q514)</f>
        <v/>
      </c>
      <c r="T515" s="264">
        <f>SUM(T510:T514)</f>
        <v/>
      </c>
      <c r="U515" s="264">
        <f>SUM(U510:U514)</f>
        <v/>
      </c>
      <c r="V515" s="264">
        <f>SUM(V510:V514)</f>
        <v/>
      </c>
      <c r="W515" s="264">
        <f>SUM(W510:W514)</f>
        <v/>
      </c>
      <c r="X515" s="264">
        <f>SUM(X510:X514)</f>
        <v/>
      </c>
      <c r="Y515" s="264">
        <f>SUM(Y510:Y514)</f>
        <v/>
      </c>
      <c r="Z515" s="264">
        <f>SUM(Z510:Z514)</f>
        <v/>
      </c>
      <c r="AA515" s="264">
        <f>SUM(AA510:AA514)</f>
        <v/>
      </c>
      <c r="AB515" s="264">
        <f>SUM(AB510:AB514)</f>
        <v/>
      </c>
      <c r="AC515" s="264">
        <f>SUM(AC510:AC514)</f>
        <v/>
      </c>
      <c r="AD515" s="264">
        <f>SUM(AD510:AD514)</f>
        <v/>
      </c>
      <c r="AE515" s="264">
        <f>SUM(AE510:AE514)</f>
        <v/>
      </c>
      <c r="AF515" s="264">
        <f>SUM(AF510:AF514)</f>
        <v/>
      </c>
      <c r="AG515" s="264">
        <f>SUM(AG510:AG514)</f>
        <v/>
      </c>
      <c r="AH515" s="264">
        <f>SUM(AH510:AH514)</f>
        <v/>
      </c>
      <c r="AI515" s="264">
        <f>SUM(AI510:AI514)</f>
        <v/>
      </c>
      <c r="AJ515" s="264">
        <f>SUM(AJ510:AJ514)</f>
        <v/>
      </c>
      <c r="AK515" s="264">
        <f>SUM(AK510:AK514)</f>
        <v/>
      </c>
      <c r="AL515" s="264">
        <f>SUM(AL510:AL514)</f>
        <v/>
      </c>
      <c r="AM515" s="264">
        <f>SUM(AM510:AM514)</f>
        <v/>
      </c>
      <c r="AN515" s="264">
        <f>SUM(AN510:AN514)</f>
        <v/>
      </c>
      <c r="AO515" s="264">
        <f>SUM(AO510:AO514)</f>
        <v/>
      </c>
      <c r="AP515" s="264">
        <f>SUM(AP510:AP514)</f>
        <v/>
      </c>
      <c r="AQ515" s="264">
        <f>SUM(AQ510:AQ514)</f>
        <v/>
      </c>
      <c r="AR515" s="264">
        <f>SUM(AR510:AR514)</f>
        <v/>
      </c>
      <c r="AS515" s="264">
        <f>SUM(AS510:AS514)</f>
        <v/>
      </c>
      <c r="AT515" s="264">
        <f>SUM(AT510:AT514)</f>
        <v/>
      </c>
      <c r="AU515" s="264">
        <f>SUM(AU510:AU514)</f>
        <v/>
      </c>
      <c r="AV515" s="264">
        <f>SUM(AV510:AV514)</f>
        <v/>
      </c>
      <c r="AW515" s="264">
        <f>SUM(AW510:AW514)</f>
        <v/>
      </c>
      <c r="AX515" s="264">
        <f>SUM(AX510:AX514)</f>
        <v/>
      </c>
      <c r="AY515" s="264">
        <f>SUM(AY510:AY514)</f>
        <v/>
      </c>
      <c r="AZ515" s="264">
        <f>SUM(AZ510:AZ514)</f>
        <v/>
      </c>
      <c r="BA515" s="264">
        <f>SUM(BA510:BA514)</f>
        <v/>
      </c>
      <c r="BB515" s="264">
        <f>SUM(BB510:BB514)</f>
        <v/>
      </c>
      <c r="BC515" s="264">
        <f>SUM(BC510:BC514)</f>
        <v/>
      </c>
      <c r="BD515" s="264">
        <f>SUM(BD510:BD514)</f>
        <v/>
      </c>
      <c r="BE515" s="264">
        <f>SUM(BE510:BE514)</f>
        <v/>
      </c>
      <c r="BF515" s="264">
        <f>SUM(BF510:BF514)</f>
        <v/>
      </c>
      <c r="BG515" s="264">
        <f>SUM(BG510:BG514)</f>
        <v/>
      </c>
      <c r="BH515" s="264">
        <f>SUM(BH510:BH514)</f>
        <v/>
      </c>
      <c r="BI515" s="264">
        <f>SUM(BI510:BI514)</f>
        <v/>
      </c>
      <c r="BJ515" s="264">
        <f>SUM(BJ510:BJ514)</f>
        <v/>
      </c>
      <c r="BK515" s="264">
        <f>SUM(BK510:BK514)</f>
        <v/>
      </c>
      <c r="BL515" s="264">
        <f>SUM(BL510:BL514)</f>
        <v/>
      </c>
      <c r="BM515" s="264">
        <f>SUM(BM510:BM514)</f>
        <v/>
      </c>
      <c r="BN515" s="264">
        <f>SUM(BN510:BN514)</f>
        <v/>
      </c>
      <c r="BO515" s="264">
        <f>SUM(BO510:BO514)</f>
        <v/>
      </c>
      <c r="BP515" s="264">
        <f>SUM(BP510:BP514)</f>
        <v/>
      </c>
      <c r="BQ515" s="264">
        <f>SUM(BQ510:BQ514)</f>
        <v/>
      </c>
      <c r="BR515" s="264">
        <f>SUM(BR510:BR514)</f>
        <v/>
      </c>
      <c r="BS515" s="264">
        <f>SUM(BS510:BS514)</f>
        <v/>
      </c>
      <c r="BT515" s="264">
        <f>SUM(BT510:BT514)</f>
        <v/>
      </c>
      <c r="BU515" s="264">
        <f>SUM(BU510:BU514)</f>
        <v/>
      </c>
      <c r="BV515" s="264">
        <f>SUM(BV510:BV514)</f>
        <v/>
      </c>
      <c r="BW515" s="264">
        <f>SUM(BW510:BW514)</f>
        <v/>
      </c>
      <c r="BX515" s="264">
        <f>SUM(BX510:BX514)</f>
        <v/>
      </c>
      <c r="BY515" s="264">
        <f>SUM(BY510:BY514)</f>
        <v/>
      </c>
      <c r="BZ515" s="264">
        <f>SUM(BZ510:BZ514)</f>
        <v/>
      </c>
      <c r="CA515" s="264">
        <f>SUM(CA510:CA514)</f>
        <v/>
      </c>
    </row>
    <row r="516" ht="12" customHeight="1" s="227">
      <c r="A516" s="244" t="n"/>
      <c r="B516" s="244" t="n"/>
      <c r="C516" s="244" t="n"/>
      <c r="K516" s="6" t="n"/>
    </row>
    <row r="517" ht="12" customHeight="1" s="227">
      <c r="A517" s="244" t="n"/>
      <c r="B517" s="244" t="n"/>
      <c r="C517" s="244" t="n"/>
      <c r="K517" s="6" t="n"/>
    </row>
    <row r="518" ht="12" customHeight="1" s="227">
      <c r="A518" s="244" t="n"/>
      <c r="B518" s="244" t="n"/>
      <c r="C518" s="244" t="n"/>
      <c r="G518" s="222" t="inlineStr">
        <is>
          <t>Marketing Costs (Incl. Sales Tax)</t>
        </is>
      </c>
      <c r="K518" s="6" t="n"/>
    </row>
    <row r="519" ht="12" customHeight="1" s="227">
      <c r="A519" s="244" t="n"/>
      <c r="B519" s="244" t="n"/>
      <c r="C519" s="244" t="n"/>
      <c r="K519" s="6" t="n"/>
    </row>
    <row r="520" ht="12" customHeight="1" s="227">
      <c r="A520" s="244" t="n"/>
      <c r="B520" s="244" t="n"/>
      <c r="C520" s="244" t="n"/>
      <c r="H520" s="4">
        <f>H510</f>
        <v/>
      </c>
      <c r="I520" s="27">
        <f>i_Setup!$M$16</f>
        <v/>
      </c>
      <c r="K520" s="259">
        <f>i_Setup!P87</f>
        <v/>
      </c>
      <c r="M520" s="245">
        <f>SUMIF($T$4:$CA$4,M$4,$T520:$CA520)</f>
        <v/>
      </c>
      <c r="N520" s="245">
        <f>SUMIF($T$4:$CA$4,N$4,$T520:$CA520)</f>
        <v/>
      </c>
      <c r="O520" s="245">
        <f>SUMIF($T$4:$CA$4,O$4,$T520:$CA520)</f>
        <v/>
      </c>
      <c r="P520" s="245">
        <f>SUMIF($T$4:$CA$4,P$4,$T520:$CA520)</f>
        <v/>
      </c>
      <c r="Q520" s="245">
        <f>SUMIF($T$4:$CA$4,Q$4,$T520:$CA520)</f>
        <v/>
      </c>
      <c r="T520" s="245">
        <f>IF(T$7="Actual","",IF($K520="Yes",IFERROR(T510*(1+T$59),0),T510))</f>
        <v/>
      </c>
      <c r="U520" s="245">
        <f>IF(U$7="Actual","",IF($K520="Yes",IFERROR(U510*(1+U$59),0),U510))</f>
        <v/>
      </c>
      <c r="V520" s="245">
        <f>IF(V$7="Actual","",IF($K520="Yes",IFERROR(V510*(1+V$59),0),V510))</f>
        <v/>
      </c>
      <c r="W520" s="245">
        <f>IF(W$7="Actual","",IF($K520="Yes",IFERROR(W510*(1+W$59),0),W510))</f>
        <v/>
      </c>
      <c r="X520" s="245">
        <f>IF(X$7="Actual","",IF($K520="Yes",IFERROR(X510*(1+X$59),0),X510))</f>
        <v/>
      </c>
      <c r="Y520" s="245">
        <f>IF(Y$7="Actual","",IF($K520="Yes",IFERROR(Y510*(1+Y$59),0),Y510))</f>
        <v/>
      </c>
      <c r="Z520" s="245">
        <f>IF(Z$7="Actual","",IF($K520="Yes",IFERROR(Z510*(1+Z$59),0),Z510))</f>
        <v/>
      </c>
      <c r="AA520" s="245">
        <f>IF(AA$7="Actual","",IF($K520="Yes",IFERROR(AA510*(1+AA$59),0),AA510))</f>
        <v/>
      </c>
      <c r="AB520" s="245">
        <f>IF(AB$7="Actual","",IF($K520="Yes",IFERROR(AB510*(1+AB$59),0),AB510))</f>
        <v/>
      </c>
      <c r="AC520" s="245">
        <f>IF(AC$7="Actual","",IF($K520="Yes",IFERROR(AC510*(1+AC$59),0),AC510))</f>
        <v/>
      </c>
      <c r="AD520" s="245">
        <f>IF(AD$7="Actual","",IF($K520="Yes",IFERROR(AD510*(1+AD$59),0),AD510))</f>
        <v/>
      </c>
      <c r="AE520" s="245">
        <f>IF(AE$7="Actual","",IF($K520="Yes",IFERROR(AE510*(1+AE$59),0),AE510))</f>
        <v/>
      </c>
      <c r="AF520" s="245">
        <f>IF(AF$7="Actual","",IF($K520="Yes",IFERROR(AF510*(1+AF$59),0),AF510))</f>
        <v/>
      </c>
      <c r="AG520" s="245">
        <f>IF(AG$7="Actual","",IF($K520="Yes",IFERROR(AG510*(1+AG$59),0),AG510))</f>
        <v/>
      </c>
      <c r="AH520" s="245">
        <f>IF(AH$7="Actual","",IF($K520="Yes",IFERROR(AH510*(1+AH$59),0),AH510))</f>
        <v/>
      </c>
      <c r="AI520" s="245">
        <f>IF(AI$7="Actual","",IF($K520="Yes",IFERROR(AI510*(1+AI$59),0),AI510))</f>
        <v/>
      </c>
      <c r="AJ520" s="245">
        <f>IF(AJ$7="Actual","",IF($K520="Yes",IFERROR(AJ510*(1+AJ$59),0),AJ510))</f>
        <v/>
      </c>
      <c r="AK520" s="245">
        <f>IF(AK$7="Actual","",IF($K520="Yes",IFERROR(AK510*(1+AK$59),0),AK510))</f>
        <v/>
      </c>
      <c r="AL520" s="245">
        <f>IF(AL$7="Actual","",IF($K520="Yes",IFERROR(AL510*(1+AL$59),0),AL510))</f>
        <v/>
      </c>
      <c r="AM520" s="245">
        <f>IF(AM$7="Actual","",IF($K520="Yes",IFERROR(AM510*(1+AM$59),0),AM510))</f>
        <v/>
      </c>
      <c r="AN520" s="245">
        <f>IF(AN$7="Actual","",IF($K520="Yes",IFERROR(AN510*(1+AN$59),0),AN510))</f>
        <v/>
      </c>
      <c r="AO520" s="245">
        <f>IF(AO$7="Actual","",IF($K520="Yes",IFERROR(AO510*(1+AO$59),0),AO510))</f>
        <v/>
      </c>
      <c r="AP520" s="245">
        <f>IF(AP$7="Actual","",IF($K520="Yes",IFERROR(AP510*(1+AP$59),0),AP510))</f>
        <v/>
      </c>
      <c r="AQ520" s="245">
        <f>IF(AQ$7="Actual","",IF($K520="Yes",IFERROR(AQ510*(1+AQ$59),0),AQ510))</f>
        <v/>
      </c>
      <c r="AR520" s="245">
        <f>IF(AR$7="Actual","",IF($K520="Yes",IFERROR(AR510*(1+AR$59),0),AR510))</f>
        <v/>
      </c>
      <c r="AS520" s="245">
        <f>IF(AS$7="Actual","",IF($K520="Yes",IFERROR(AS510*(1+AS$59),0),AS510))</f>
        <v/>
      </c>
      <c r="AT520" s="245">
        <f>IF(AT$7="Actual","",IF($K520="Yes",IFERROR(AT510*(1+AT$59),0),AT510))</f>
        <v/>
      </c>
      <c r="AU520" s="245">
        <f>IF(AU$7="Actual","",IF($K520="Yes",IFERROR(AU510*(1+AU$59),0),AU510))</f>
        <v/>
      </c>
      <c r="AV520" s="245">
        <f>IF(AV$7="Actual","",IF($K520="Yes",IFERROR(AV510*(1+AV$59),0),AV510))</f>
        <v/>
      </c>
      <c r="AW520" s="245">
        <f>IF(AW$7="Actual","",IF($K520="Yes",IFERROR(AW510*(1+AW$59),0),AW510))</f>
        <v/>
      </c>
      <c r="AX520" s="245">
        <f>IF(AX$7="Actual","",IF($K520="Yes",IFERROR(AX510*(1+AX$59),0),AX510))</f>
        <v/>
      </c>
      <c r="AY520" s="245">
        <f>IF(AY$7="Actual","",IF($K520="Yes",IFERROR(AY510*(1+AY$59),0),AY510))</f>
        <v/>
      </c>
      <c r="AZ520" s="245">
        <f>IF(AZ$7="Actual","",IF($K520="Yes",IFERROR(AZ510*(1+AZ$59),0),AZ510))</f>
        <v/>
      </c>
      <c r="BA520" s="245">
        <f>IF(BA$7="Actual","",IF($K520="Yes",IFERROR(BA510*(1+BA$59),0),BA510))</f>
        <v/>
      </c>
      <c r="BB520" s="245">
        <f>IF(BB$7="Actual","",IF($K520="Yes",IFERROR(BB510*(1+BB$59),0),BB510))</f>
        <v/>
      </c>
      <c r="BC520" s="245">
        <f>IF(BC$7="Actual","",IF($K520="Yes",IFERROR(BC510*(1+BC$59),0),BC510))</f>
        <v/>
      </c>
      <c r="BD520" s="245">
        <f>IF(BD$7="Actual","",IF($K520="Yes",IFERROR(BD510*(1+BD$59),0),BD510))</f>
        <v/>
      </c>
      <c r="BE520" s="245">
        <f>IF(BE$7="Actual","",IF($K520="Yes",IFERROR(BE510*(1+BE$59),0),BE510))</f>
        <v/>
      </c>
      <c r="BF520" s="245">
        <f>IF(BF$7="Actual","",IF($K520="Yes",IFERROR(BF510*(1+BF$59),0),BF510))</f>
        <v/>
      </c>
      <c r="BG520" s="245">
        <f>IF(BG$7="Actual","",IF($K520="Yes",IFERROR(BG510*(1+BG$59),0),BG510))</f>
        <v/>
      </c>
      <c r="BH520" s="245">
        <f>IF(BH$7="Actual","",IF($K520="Yes",IFERROR(BH510*(1+BH$59),0),BH510))</f>
        <v/>
      </c>
      <c r="BI520" s="245">
        <f>IF(BI$7="Actual","",IF($K520="Yes",IFERROR(BI510*(1+BI$59),0),BI510))</f>
        <v/>
      </c>
      <c r="BJ520" s="245">
        <f>IF(BJ$7="Actual","",IF($K520="Yes",IFERROR(BJ510*(1+BJ$59),0),BJ510))</f>
        <v/>
      </c>
      <c r="BK520" s="245">
        <f>IF(BK$7="Actual","",IF($K520="Yes",IFERROR(BK510*(1+BK$59),0),BK510))</f>
        <v/>
      </c>
      <c r="BL520" s="245">
        <f>IF(BL$7="Actual","",IF($K520="Yes",IFERROR(BL510*(1+BL$59),0),BL510))</f>
        <v/>
      </c>
      <c r="BM520" s="245">
        <f>IF(BM$7="Actual","",IF($K520="Yes",IFERROR(BM510*(1+BM$59),0),BM510))</f>
        <v/>
      </c>
      <c r="BN520" s="245">
        <f>IF(BN$7="Actual","",IF($K520="Yes",IFERROR(BN510*(1+BN$59),0),BN510))</f>
        <v/>
      </c>
      <c r="BO520" s="245">
        <f>IF(BO$7="Actual","",IF($K520="Yes",IFERROR(BO510*(1+BO$59),0),BO510))</f>
        <v/>
      </c>
      <c r="BP520" s="245">
        <f>IF(BP$7="Actual","",IF($K520="Yes",IFERROR(BP510*(1+BP$59),0),BP510))</f>
        <v/>
      </c>
      <c r="BQ520" s="245">
        <f>IF(BQ$7="Actual","",IF($K520="Yes",IFERROR(BQ510*(1+BQ$59),0),BQ510))</f>
        <v/>
      </c>
      <c r="BR520" s="245">
        <f>IF(BR$7="Actual","",IF($K520="Yes",IFERROR(BR510*(1+BR$59),0),BR510))</f>
        <v/>
      </c>
      <c r="BS520" s="245">
        <f>IF(BS$7="Actual","",IF($K520="Yes",IFERROR(BS510*(1+BS$59),0),BS510))</f>
        <v/>
      </c>
      <c r="BT520" s="245">
        <f>IF(BT$7="Actual","",IF($K520="Yes",IFERROR(BT510*(1+BT$59),0),BT510))</f>
        <v/>
      </c>
      <c r="BU520" s="245">
        <f>IF(BU$7="Actual","",IF($K520="Yes",IFERROR(BU510*(1+BU$59),0),BU510))</f>
        <v/>
      </c>
      <c r="BV520" s="245">
        <f>IF(BV$7="Actual","",IF($K520="Yes",IFERROR(BV510*(1+BV$59),0),BV510))</f>
        <v/>
      </c>
      <c r="BW520" s="245">
        <f>IF(BW$7="Actual","",IF($K520="Yes",IFERROR(BW510*(1+BW$59),0),BW510))</f>
        <v/>
      </c>
      <c r="BX520" s="245">
        <f>IF(BX$7="Actual","",IF($K520="Yes",IFERROR(BX510*(1+BX$59),0),BX510))</f>
        <v/>
      </c>
      <c r="BY520" s="245">
        <f>IF(BY$7="Actual","",IF($K520="Yes",IFERROR(BY510*(1+BY$59),0),BY510))</f>
        <v/>
      </c>
      <c r="BZ520" s="245">
        <f>IF(BZ$7="Actual","",IF($K520="Yes",IFERROR(BZ510*(1+BZ$59),0),BZ510))</f>
        <v/>
      </c>
      <c r="CA520" s="245">
        <f>IF(CA$7="Actual","",IF($K520="Yes",IFERROR(CA510*(1+CA$59),0),CA510))</f>
        <v/>
      </c>
    </row>
    <row r="521" ht="12" customHeight="1" s="227">
      <c r="A521" s="244" t="n"/>
      <c r="B521" s="244" t="n"/>
      <c r="C521" s="244" t="n"/>
      <c r="H521" s="4">
        <f>H511</f>
        <v/>
      </c>
      <c r="I521" s="27">
        <f>i_Setup!$M$16</f>
        <v/>
      </c>
      <c r="K521" s="259">
        <f>i_Setup!P88</f>
        <v/>
      </c>
      <c r="M521" s="245">
        <f>SUMIF($T$4:$CA$4,M$4,$T521:$CA521)</f>
        <v/>
      </c>
      <c r="N521" s="245">
        <f>SUMIF($T$4:$CA$4,N$4,$T521:$CA521)</f>
        <v/>
      </c>
      <c r="O521" s="245">
        <f>SUMIF($T$4:$CA$4,O$4,$T521:$CA521)</f>
        <v/>
      </c>
      <c r="P521" s="245">
        <f>SUMIF($T$4:$CA$4,P$4,$T521:$CA521)</f>
        <v/>
      </c>
      <c r="Q521" s="245">
        <f>SUMIF($T$4:$CA$4,Q$4,$T521:$CA521)</f>
        <v/>
      </c>
      <c r="T521" s="245">
        <f>IF(T$7="Actual","",IF($K521="Yes",IFERROR(T511*(1+T$59),0),T511))</f>
        <v/>
      </c>
      <c r="U521" s="245">
        <f>IF(U$7="Actual","",IF($K521="Yes",IFERROR(U511*(1+U$59),0),U511))</f>
        <v/>
      </c>
      <c r="V521" s="245">
        <f>IF(V$7="Actual","",IF($K521="Yes",IFERROR(V511*(1+V$59),0),V511))</f>
        <v/>
      </c>
      <c r="W521" s="245">
        <f>IF(W$7="Actual","",IF($K521="Yes",IFERROR(W511*(1+W$59),0),W511))</f>
        <v/>
      </c>
      <c r="X521" s="245">
        <f>IF(X$7="Actual","",IF($K521="Yes",IFERROR(X511*(1+X$59),0),X511))</f>
        <v/>
      </c>
      <c r="Y521" s="245">
        <f>IF(Y$7="Actual","",IF($K521="Yes",IFERROR(Y511*(1+Y$59),0),Y511))</f>
        <v/>
      </c>
      <c r="Z521" s="245">
        <f>IF(Z$7="Actual","",IF($K521="Yes",IFERROR(Z511*(1+Z$59),0),Z511))</f>
        <v/>
      </c>
      <c r="AA521" s="245">
        <f>IF(AA$7="Actual","",IF($K521="Yes",IFERROR(AA511*(1+AA$59),0),AA511))</f>
        <v/>
      </c>
      <c r="AB521" s="245">
        <f>IF(AB$7="Actual","",IF($K521="Yes",IFERROR(AB511*(1+AB$59),0),AB511))</f>
        <v/>
      </c>
      <c r="AC521" s="245">
        <f>IF(AC$7="Actual","",IF($K521="Yes",IFERROR(AC511*(1+AC$59),0),AC511))</f>
        <v/>
      </c>
      <c r="AD521" s="245">
        <f>IF(AD$7="Actual","",IF($K521="Yes",IFERROR(AD511*(1+AD$59),0),AD511))</f>
        <v/>
      </c>
      <c r="AE521" s="245">
        <f>IF(AE$7="Actual","",IF($K521="Yes",IFERROR(AE511*(1+AE$59),0),AE511))</f>
        <v/>
      </c>
      <c r="AF521" s="245">
        <f>IF(AF$7="Actual","",IF($K521="Yes",IFERROR(AF511*(1+AF$59),0),AF511))</f>
        <v/>
      </c>
      <c r="AG521" s="245">
        <f>IF(AG$7="Actual","",IF($K521="Yes",IFERROR(AG511*(1+AG$59),0),AG511))</f>
        <v/>
      </c>
      <c r="AH521" s="245">
        <f>IF(AH$7="Actual","",IF($K521="Yes",IFERROR(AH511*(1+AH$59),0),AH511))</f>
        <v/>
      </c>
      <c r="AI521" s="245">
        <f>IF(AI$7="Actual","",IF($K521="Yes",IFERROR(AI511*(1+AI$59),0),AI511))</f>
        <v/>
      </c>
      <c r="AJ521" s="245">
        <f>IF(AJ$7="Actual","",IF($K521="Yes",IFERROR(AJ511*(1+AJ$59),0),AJ511))</f>
        <v/>
      </c>
      <c r="AK521" s="245">
        <f>IF(AK$7="Actual","",IF($K521="Yes",IFERROR(AK511*(1+AK$59),0),AK511))</f>
        <v/>
      </c>
      <c r="AL521" s="245">
        <f>IF(AL$7="Actual","",IF($K521="Yes",IFERROR(AL511*(1+AL$59),0),AL511))</f>
        <v/>
      </c>
      <c r="AM521" s="245">
        <f>IF(AM$7="Actual","",IF($K521="Yes",IFERROR(AM511*(1+AM$59),0),AM511))</f>
        <v/>
      </c>
      <c r="AN521" s="245">
        <f>IF(AN$7="Actual","",IF($K521="Yes",IFERROR(AN511*(1+AN$59),0),AN511))</f>
        <v/>
      </c>
      <c r="AO521" s="245">
        <f>IF(AO$7="Actual","",IF($K521="Yes",IFERROR(AO511*(1+AO$59),0),AO511))</f>
        <v/>
      </c>
      <c r="AP521" s="245">
        <f>IF(AP$7="Actual","",IF($K521="Yes",IFERROR(AP511*(1+AP$59),0),AP511))</f>
        <v/>
      </c>
      <c r="AQ521" s="245">
        <f>IF(AQ$7="Actual","",IF($K521="Yes",IFERROR(AQ511*(1+AQ$59),0),AQ511))</f>
        <v/>
      </c>
      <c r="AR521" s="245">
        <f>IF(AR$7="Actual","",IF($K521="Yes",IFERROR(AR511*(1+AR$59),0),AR511))</f>
        <v/>
      </c>
      <c r="AS521" s="245">
        <f>IF(AS$7="Actual","",IF($K521="Yes",IFERROR(AS511*(1+AS$59),0),AS511))</f>
        <v/>
      </c>
      <c r="AT521" s="245">
        <f>IF(AT$7="Actual","",IF($K521="Yes",IFERROR(AT511*(1+AT$59),0),AT511))</f>
        <v/>
      </c>
      <c r="AU521" s="245">
        <f>IF(AU$7="Actual","",IF($K521="Yes",IFERROR(AU511*(1+AU$59),0),AU511))</f>
        <v/>
      </c>
      <c r="AV521" s="245">
        <f>IF(AV$7="Actual","",IF($K521="Yes",IFERROR(AV511*(1+AV$59),0),AV511))</f>
        <v/>
      </c>
      <c r="AW521" s="245">
        <f>IF(AW$7="Actual","",IF($K521="Yes",IFERROR(AW511*(1+AW$59),0),AW511))</f>
        <v/>
      </c>
      <c r="AX521" s="245">
        <f>IF(AX$7="Actual","",IF($K521="Yes",IFERROR(AX511*(1+AX$59),0),AX511))</f>
        <v/>
      </c>
      <c r="AY521" s="245">
        <f>IF(AY$7="Actual","",IF($K521="Yes",IFERROR(AY511*(1+AY$59),0),AY511))</f>
        <v/>
      </c>
      <c r="AZ521" s="245">
        <f>IF(AZ$7="Actual","",IF($K521="Yes",IFERROR(AZ511*(1+AZ$59),0),AZ511))</f>
        <v/>
      </c>
      <c r="BA521" s="245">
        <f>IF(BA$7="Actual","",IF($K521="Yes",IFERROR(BA511*(1+BA$59),0),BA511))</f>
        <v/>
      </c>
      <c r="BB521" s="245">
        <f>IF(BB$7="Actual","",IF($K521="Yes",IFERROR(BB511*(1+BB$59),0),BB511))</f>
        <v/>
      </c>
      <c r="BC521" s="245">
        <f>IF(BC$7="Actual","",IF($K521="Yes",IFERROR(BC511*(1+BC$59),0),BC511))</f>
        <v/>
      </c>
      <c r="BD521" s="245">
        <f>IF(BD$7="Actual","",IF($K521="Yes",IFERROR(BD511*(1+BD$59),0),BD511))</f>
        <v/>
      </c>
      <c r="BE521" s="245">
        <f>IF(BE$7="Actual","",IF($K521="Yes",IFERROR(BE511*(1+BE$59),0),BE511))</f>
        <v/>
      </c>
      <c r="BF521" s="245">
        <f>IF(BF$7="Actual","",IF($K521="Yes",IFERROR(BF511*(1+BF$59),0),BF511))</f>
        <v/>
      </c>
      <c r="BG521" s="245">
        <f>IF(BG$7="Actual","",IF($K521="Yes",IFERROR(BG511*(1+BG$59),0),BG511))</f>
        <v/>
      </c>
      <c r="BH521" s="245">
        <f>IF(BH$7="Actual","",IF($K521="Yes",IFERROR(BH511*(1+BH$59),0),BH511))</f>
        <v/>
      </c>
      <c r="BI521" s="245">
        <f>IF(BI$7="Actual","",IF($K521="Yes",IFERROR(BI511*(1+BI$59),0),BI511))</f>
        <v/>
      </c>
      <c r="BJ521" s="245">
        <f>IF(BJ$7="Actual","",IF($K521="Yes",IFERROR(BJ511*(1+BJ$59),0),BJ511))</f>
        <v/>
      </c>
      <c r="BK521" s="245">
        <f>IF(BK$7="Actual","",IF($K521="Yes",IFERROR(BK511*(1+BK$59),0),BK511))</f>
        <v/>
      </c>
      <c r="BL521" s="245">
        <f>IF(BL$7="Actual","",IF($K521="Yes",IFERROR(BL511*(1+BL$59),0),BL511))</f>
        <v/>
      </c>
      <c r="BM521" s="245">
        <f>IF(BM$7="Actual","",IF($K521="Yes",IFERROR(BM511*(1+BM$59),0),BM511))</f>
        <v/>
      </c>
      <c r="BN521" s="245">
        <f>IF(BN$7="Actual","",IF($K521="Yes",IFERROR(BN511*(1+BN$59),0),BN511))</f>
        <v/>
      </c>
      <c r="BO521" s="245">
        <f>IF(BO$7="Actual","",IF($K521="Yes",IFERROR(BO511*(1+BO$59),0),BO511))</f>
        <v/>
      </c>
      <c r="BP521" s="245">
        <f>IF(BP$7="Actual","",IF($K521="Yes",IFERROR(BP511*(1+BP$59),0),BP511))</f>
        <v/>
      </c>
      <c r="BQ521" s="245">
        <f>IF(BQ$7="Actual","",IF($K521="Yes",IFERROR(BQ511*(1+BQ$59),0),BQ511))</f>
        <v/>
      </c>
      <c r="BR521" s="245">
        <f>IF(BR$7="Actual","",IF($K521="Yes",IFERROR(BR511*(1+BR$59),0),BR511))</f>
        <v/>
      </c>
      <c r="BS521" s="245">
        <f>IF(BS$7="Actual","",IF($K521="Yes",IFERROR(BS511*(1+BS$59),0),BS511))</f>
        <v/>
      </c>
      <c r="BT521" s="245">
        <f>IF(BT$7="Actual","",IF($K521="Yes",IFERROR(BT511*(1+BT$59),0),BT511))</f>
        <v/>
      </c>
      <c r="BU521" s="245">
        <f>IF(BU$7="Actual","",IF($K521="Yes",IFERROR(BU511*(1+BU$59),0),BU511))</f>
        <v/>
      </c>
      <c r="BV521" s="245">
        <f>IF(BV$7="Actual","",IF($K521="Yes",IFERROR(BV511*(1+BV$59),0),BV511))</f>
        <v/>
      </c>
      <c r="BW521" s="245">
        <f>IF(BW$7="Actual","",IF($K521="Yes",IFERROR(BW511*(1+BW$59),0),BW511))</f>
        <v/>
      </c>
      <c r="BX521" s="245">
        <f>IF(BX$7="Actual","",IF($K521="Yes",IFERROR(BX511*(1+BX$59),0),BX511))</f>
        <v/>
      </c>
      <c r="BY521" s="245">
        <f>IF(BY$7="Actual","",IF($K521="Yes",IFERROR(BY511*(1+BY$59),0),BY511))</f>
        <v/>
      </c>
      <c r="BZ521" s="245">
        <f>IF(BZ$7="Actual","",IF($K521="Yes",IFERROR(BZ511*(1+BZ$59),0),BZ511))</f>
        <v/>
      </c>
      <c r="CA521" s="245">
        <f>IF(CA$7="Actual","",IF($K521="Yes",IFERROR(CA511*(1+CA$59),0),CA511))</f>
        <v/>
      </c>
    </row>
    <row r="522" ht="12" customHeight="1" s="227">
      <c r="A522" s="244" t="n"/>
      <c r="B522" s="244" t="n"/>
      <c r="C522" s="244" t="n"/>
      <c r="H522" s="4">
        <f>H512</f>
        <v/>
      </c>
      <c r="I522" s="27">
        <f>i_Setup!$M$16</f>
        <v/>
      </c>
      <c r="K522" s="259">
        <f>i_Setup!P89</f>
        <v/>
      </c>
      <c r="M522" s="245">
        <f>SUMIF($T$4:$CA$4,M$4,$T522:$CA522)</f>
        <v/>
      </c>
      <c r="N522" s="245">
        <f>SUMIF($T$4:$CA$4,N$4,$T522:$CA522)</f>
        <v/>
      </c>
      <c r="O522" s="245">
        <f>SUMIF($T$4:$CA$4,O$4,$T522:$CA522)</f>
        <v/>
      </c>
      <c r="P522" s="245">
        <f>SUMIF($T$4:$CA$4,P$4,$T522:$CA522)</f>
        <v/>
      </c>
      <c r="Q522" s="245">
        <f>SUMIF($T$4:$CA$4,Q$4,$T522:$CA522)</f>
        <v/>
      </c>
      <c r="T522" s="245">
        <f>IF(T$7="Actual","",IF($K522="Yes",IFERROR(T512*(1+T$59),0),T512))</f>
        <v/>
      </c>
      <c r="U522" s="245">
        <f>IF(U$7="Actual","",IF($K522="Yes",IFERROR(U512*(1+U$59),0),U512))</f>
        <v/>
      </c>
      <c r="V522" s="245">
        <f>IF(V$7="Actual","",IF($K522="Yes",IFERROR(V512*(1+V$59),0),V512))</f>
        <v/>
      </c>
      <c r="W522" s="245">
        <f>IF(W$7="Actual","",IF($K522="Yes",IFERROR(W512*(1+W$59),0),W512))</f>
        <v/>
      </c>
      <c r="X522" s="245">
        <f>IF(X$7="Actual","",IF($K522="Yes",IFERROR(X512*(1+X$59),0),X512))</f>
        <v/>
      </c>
      <c r="Y522" s="245">
        <f>IF(Y$7="Actual","",IF($K522="Yes",IFERROR(Y512*(1+Y$59),0),Y512))</f>
        <v/>
      </c>
      <c r="Z522" s="245">
        <f>IF(Z$7="Actual","",IF($K522="Yes",IFERROR(Z512*(1+Z$59),0),Z512))</f>
        <v/>
      </c>
      <c r="AA522" s="245">
        <f>IF(AA$7="Actual","",IF($K522="Yes",IFERROR(AA512*(1+AA$59),0),AA512))</f>
        <v/>
      </c>
      <c r="AB522" s="245">
        <f>IF(AB$7="Actual","",IF($K522="Yes",IFERROR(AB512*(1+AB$59),0),AB512))</f>
        <v/>
      </c>
      <c r="AC522" s="245">
        <f>IF(AC$7="Actual","",IF($K522="Yes",IFERROR(AC512*(1+AC$59),0),AC512))</f>
        <v/>
      </c>
      <c r="AD522" s="245">
        <f>IF(AD$7="Actual","",IF($K522="Yes",IFERROR(AD512*(1+AD$59),0),AD512))</f>
        <v/>
      </c>
      <c r="AE522" s="245">
        <f>IF(AE$7="Actual","",IF($K522="Yes",IFERROR(AE512*(1+AE$59),0),AE512))</f>
        <v/>
      </c>
      <c r="AF522" s="245">
        <f>IF(AF$7="Actual","",IF($K522="Yes",IFERROR(AF512*(1+AF$59),0),AF512))</f>
        <v/>
      </c>
      <c r="AG522" s="245">
        <f>IF(AG$7="Actual","",IF($K522="Yes",IFERROR(AG512*(1+AG$59),0),AG512))</f>
        <v/>
      </c>
      <c r="AH522" s="245">
        <f>IF(AH$7="Actual","",IF($K522="Yes",IFERROR(AH512*(1+AH$59),0),AH512))</f>
        <v/>
      </c>
      <c r="AI522" s="245">
        <f>IF(AI$7="Actual","",IF($K522="Yes",IFERROR(AI512*(1+AI$59),0),AI512))</f>
        <v/>
      </c>
      <c r="AJ522" s="245">
        <f>IF(AJ$7="Actual","",IF($K522="Yes",IFERROR(AJ512*(1+AJ$59),0),AJ512))</f>
        <v/>
      </c>
      <c r="AK522" s="245">
        <f>IF(AK$7="Actual","",IF($K522="Yes",IFERROR(AK512*(1+AK$59),0),AK512))</f>
        <v/>
      </c>
      <c r="AL522" s="245">
        <f>IF(AL$7="Actual","",IF($K522="Yes",IFERROR(AL512*(1+AL$59),0),AL512))</f>
        <v/>
      </c>
      <c r="AM522" s="245">
        <f>IF(AM$7="Actual","",IF($K522="Yes",IFERROR(AM512*(1+AM$59),0),AM512))</f>
        <v/>
      </c>
      <c r="AN522" s="245">
        <f>IF(AN$7="Actual","",IF($K522="Yes",IFERROR(AN512*(1+AN$59),0),AN512))</f>
        <v/>
      </c>
      <c r="AO522" s="245">
        <f>IF(AO$7="Actual","",IF($K522="Yes",IFERROR(AO512*(1+AO$59),0),AO512))</f>
        <v/>
      </c>
      <c r="AP522" s="245">
        <f>IF(AP$7="Actual","",IF($K522="Yes",IFERROR(AP512*(1+AP$59),0),AP512))</f>
        <v/>
      </c>
      <c r="AQ522" s="245">
        <f>IF(AQ$7="Actual","",IF($K522="Yes",IFERROR(AQ512*(1+AQ$59),0),AQ512))</f>
        <v/>
      </c>
      <c r="AR522" s="245">
        <f>IF(AR$7="Actual","",IF($K522="Yes",IFERROR(AR512*(1+AR$59),0),AR512))</f>
        <v/>
      </c>
      <c r="AS522" s="245">
        <f>IF(AS$7="Actual","",IF($K522="Yes",IFERROR(AS512*(1+AS$59),0),AS512))</f>
        <v/>
      </c>
      <c r="AT522" s="245">
        <f>IF(AT$7="Actual","",IF($K522="Yes",IFERROR(AT512*(1+AT$59),0),AT512))</f>
        <v/>
      </c>
      <c r="AU522" s="245">
        <f>IF(AU$7="Actual","",IF($K522="Yes",IFERROR(AU512*(1+AU$59),0),AU512))</f>
        <v/>
      </c>
      <c r="AV522" s="245">
        <f>IF(AV$7="Actual","",IF($K522="Yes",IFERROR(AV512*(1+AV$59),0),AV512))</f>
        <v/>
      </c>
      <c r="AW522" s="245">
        <f>IF(AW$7="Actual","",IF($K522="Yes",IFERROR(AW512*(1+AW$59),0),AW512))</f>
        <v/>
      </c>
      <c r="AX522" s="245">
        <f>IF(AX$7="Actual","",IF($K522="Yes",IFERROR(AX512*(1+AX$59),0),AX512))</f>
        <v/>
      </c>
      <c r="AY522" s="245">
        <f>IF(AY$7="Actual","",IF($K522="Yes",IFERROR(AY512*(1+AY$59),0),AY512))</f>
        <v/>
      </c>
      <c r="AZ522" s="245">
        <f>IF(AZ$7="Actual","",IF($K522="Yes",IFERROR(AZ512*(1+AZ$59),0),AZ512))</f>
        <v/>
      </c>
      <c r="BA522" s="245">
        <f>IF(BA$7="Actual","",IF($K522="Yes",IFERROR(BA512*(1+BA$59),0),BA512))</f>
        <v/>
      </c>
      <c r="BB522" s="245">
        <f>IF(BB$7="Actual","",IF($K522="Yes",IFERROR(BB512*(1+BB$59),0),BB512))</f>
        <v/>
      </c>
      <c r="BC522" s="245">
        <f>IF(BC$7="Actual","",IF($K522="Yes",IFERROR(BC512*(1+BC$59),0),BC512))</f>
        <v/>
      </c>
      <c r="BD522" s="245">
        <f>IF(BD$7="Actual","",IF($K522="Yes",IFERROR(BD512*(1+BD$59),0),BD512))</f>
        <v/>
      </c>
      <c r="BE522" s="245">
        <f>IF(BE$7="Actual","",IF($K522="Yes",IFERROR(BE512*(1+BE$59),0),BE512))</f>
        <v/>
      </c>
      <c r="BF522" s="245">
        <f>IF(BF$7="Actual","",IF($K522="Yes",IFERROR(BF512*(1+BF$59),0),BF512))</f>
        <v/>
      </c>
      <c r="BG522" s="245">
        <f>IF(BG$7="Actual","",IF($K522="Yes",IFERROR(BG512*(1+BG$59),0),BG512))</f>
        <v/>
      </c>
      <c r="BH522" s="245">
        <f>IF(BH$7="Actual","",IF($K522="Yes",IFERROR(BH512*(1+BH$59),0),BH512))</f>
        <v/>
      </c>
      <c r="BI522" s="245">
        <f>IF(BI$7="Actual","",IF($K522="Yes",IFERROR(BI512*(1+BI$59),0),BI512))</f>
        <v/>
      </c>
      <c r="BJ522" s="245">
        <f>IF(BJ$7="Actual","",IF($K522="Yes",IFERROR(BJ512*(1+BJ$59),0),BJ512))</f>
        <v/>
      </c>
      <c r="BK522" s="245">
        <f>IF(BK$7="Actual","",IF($K522="Yes",IFERROR(BK512*(1+BK$59),0),BK512))</f>
        <v/>
      </c>
      <c r="BL522" s="245">
        <f>IF(BL$7="Actual","",IF($K522="Yes",IFERROR(BL512*(1+BL$59),0),BL512))</f>
        <v/>
      </c>
      <c r="BM522" s="245">
        <f>IF(BM$7="Actual","",IF($K522="Yes",IFERROR(BM512*(1+BM$59),0),BM512))</f>
        <v/>
      </c>
      <c r="BN522" s="245">
        <f>IF(BN$7="Actual","",IF($K522="Yes",IFERROR(BN512*(1+BN$59),0),BN512))</f>
        <v/>
      </c>
      <c r="BO522" s="245">
        <f>IF(BO$7="Actual","",IF($K522="Yes",IFERROR(BO512*(1+BO$59),0),BO512))</f>
        <v/>
      </c>
      <c r="BP522" s="245">
        <f>IF(BP$7="Actual","",IF($K522="Yes",IFERROR(BP512*(1+BP$59),0),BP512))</f>
        <v/>
      </c>
      <c r="BQ522" s="245">
        <f>IF(BQ$7="Actual","",IF($K522="Yes",IFERROR(BQ512*(1+BQ$59),0),BQ512))</f>
        <v/>
      </c>
      <c r="BR522" s="245">
        <f>IF(BR$7="Actual","",IF($K522="Yes",IFERROR(BR512*(1+BR$59),0),BR512))</f>
        <v/>
      </c>
      <c r="BS522" s="245">
        <f>IF(BS$7="Actual","",IF($K522="Yes",IFERROR(BS512*(1+BS$59),0),BS512))</f>
        <v/>
      </c>
      <c r="BT522" s="245">
        <f>IF(BT$7="Actual","",IF($K522="Yes",IFERROR(BT512*(1+BT$59),0),BT512))</f>
        <v/>
      </c>
      <c r="BU522" s="245">
        <f>IF(BU$7="Actual","",IF($K522="Yes",IFERROR(BU512*(1+BU$59),0),BU512))</f>
        <v/>
      </c>
      <c r="BV522" s="245">
        <f>IF(BV$7="Actual","",IF($K522="Yes",IFERROR(BV512*(1+BV$59),0),BV512))</f>
        <v/>
      </c>
      <c r="BW522" s="245">
        <f>IF(BW$7="Actual","",IF($K522="Yes",IFERROR(BW512*(1+BW$59),0),BW512))</f>
        <v/>
      </c>
      <c r="BX522" s="245">
        <f>IF(BX$7="Actual","",IF($K522="Yes",IFERROR(BX512*(1+BX$59),0),BX512))</f>
        <v/>
      </c>
      <c r="BY522" s="245">
        <f>IF(BY$7="Actual","",IF($K522="Yes",IFERROR(BY512*(1+BY$59),0),BY512))</f>
        <v/>
      </c>
      <c r="BZ522" s="245">
        <f>IF(BZ$7="Actual","",IF($K522="Yes",IFERROR(BZ512*(1+BZ$59),0),BZ512))</f>
        <v/>
      </c>
      <c r="CA522" s="245">
        <f>IF(CA$7="Actual","",IF($K522="Yes",IFERROR(CA512*(1+CA$59),0),CA512))</f>
        <v/>
      </c>
    </row>
    <row r="523" ht="12" customHeight="1" s="227">
      <c r="A523" s="244" t="n"/>
      <c r="B523" s="244" t="n"/>
      <c r="C523" s="244" t="n"/>
      <c r="H523" s="4">
        <f>H513</f>
        <v/>
      </c>
      <c r="I523" s="27">
        <f>i_Setup!$M$16</f>
        <v/>
      </c>
      <c r="K523" s="259">
        <f>i_Setup!P90</f>
        <v/>
      </c>
      <c r="M523" s="245">
        <f>SUMIF($T$4:$CA$4,M$4,$T523:$CA523)</f>
        <v/>
      </c>
      <c r="N523" s="245">
        <f>SUMIF($T$4:$CA$4,N$4,$T523:$CA523)</f>
        <v/>
      </c>
      <c r="O523" s="245">
        <f>SUMIF($T$4:$CA$4,O$4,$T523:$CA523)</f>
        <v/>
      </c>
      <c r="P523" s="245">
        <f>SUMIF($T$4:$CA$4,P$4,$T523:$CA523)</f>
        <v/>
      </c>
      <c r="Q523" s="245">
        <f>SUMIF($T$4:$CA$4,Q$4,$T523:$CA523)</f>
        <v/>
      </c>
      <c r="T523" s="245">
        <f>IF(T$7="Actual","",IF($K523="Yes",IFERROR(T513*(1+T$59),0),T513))</f>
        <v/>
      </c>
      <c r="U523" s="245">
        <f>IF(U$7="Actual","",IF($K523="Yes",IFERROR(U513*(1+U$59),0),U513))</f>
        <v/>
      </c>
      <c r="V523" s="245">
        <f>IF(V$7="Actual","",IF($K523="Yes",IFERROR(V513*(1+V$59),0),V513))</f>
        <v/>
      </c>
      <c r="W523" s="245">
        <f>IF(W$7="Actual","",IF($K523="Yes",IFERROR(W513*(1+W$59),0),W513))</f>
        <v/>
      </c>
      <c r="X523" s="245">
        <f>IF(X$7="Actual","",IF($K523="Yes",IFERROR(X513*(1+X$59),0),X513))</f>
        <v/>
      </c>
      <c r="Y523" s="245">
        <f>IF(Y$7="Actual","",IF($K523="Yes",IFERROR(Y513*(1+Y$59),0),Y513))</f>
        <v/>
      </c>
      <c r="Z523" s="245">
        <f>IF(Z$7="Actual","",IF($K523="Yes",IFERROR(Z513*(1+Z$59),0),Z513))</f>
        <v/>
      </c>
      <c r="AA523" s="245">
        <f>IF(AA$7="Actual","",IF($K523="Yes",IFERROR(AA513*(1+AA$59),0),AA513))</f>
        <v/>
      </c>
      <c r="AB523" s="245">
        <f>IF(AB$7="Actual","",IF($K523="Yes",IFERROR(AB513*(1+AB$59),0),AB513))</f>
        <v/>
      </c>
      <c r="AC523" s="245">
        <f>IF(AC$7="Actual","",IF($K523="Yes",IFERROR(AC513*(1+AC$59),0),AC513))</f>
        <v/>
      </c>
      <c r="AD523" s="245">
        <f>IF(AD$7="Actual","",IF($K523="Yes",IFERROR(AD513*(1+AD$59),0),AD513))</f>
        <v/>
      </c>
      <c r="AE523" s="245">
        <f>IF(AE$7="Actual","",IF($K523="Yes",IFERROR(AE513*(1+AE$59),0),AE513))</f>
        <v/>
      </c>
      <c r="AF523" s="245">
        <f>IF(AF$7="Actual","",IF($K523="Yes",IFERROR(AF513*(1+AF$59),0),AF513))</f>
        <v/>
      </c>
      <c r="AG523" s="245">
        <f>IF(AG$7="Actual","",IF($K523="Yes",IFERROR(AG513*(1+AG$59),0),AG513))</f>
        <v/>
      </c>
      <c r="AH523" s="245">
        <f>IF(AH$7="Actual","",IF($K523="Yes",IFERROR(AH513*(1+AH$59),0),AH513))</f>
        <v/>
      </c>
      <c r="AI523" s="245">
        <f>IF(AI$7="Actual","",IF($K523="Yes",IFERROR(AI513*(1+AI$59),0),AI513))</f>
        <v/>
      </c>
      <c r="AJ523" s="245">
        <f>IF(AJ$7="Actual","",IF($K523="Yes",IFERROR(AJ513*(1+AJ$59),0),AJ513))</f>
        <v/>
      </c>
      <c r="AK523" s="245">
        <f>IF(AK$7="Actual","",IF($K523="Yes",IFERROR(AK513*(1+AK$59),0),AK513))</f>
        <v/>
      </c>
      <c r="AL523" s="245">
        <f>IF(AL$7="Actual","",IF($K523="Yes",IFERROR(AL513*(1+AL$59),0),AL513))</f>
        <v/>
      </c>
      <c r="AM523" s="245">
        <f>IF(AM$7="Actual","",IF($K523="Yes",IFERROR(AM513*(1+AM$59),0),AM513))</f>
        <v/>
      </c>
      <c r="AN523" s="245">
        <f>IF(AN$7="Actual","",IF($K523="Yes",IFERROR(AN513*(1+AN$59),0),AN513))</f>
        <v/>
      </c>
      <c r="AO523" s="245">
        <f>IF(AO$7="Actual","",IF($K523="Yes",IFERROR(AO513*(1+AO$59),0),AO513))</f>
        <v/>
      </c>
      <c r="AP523" s="245">
        <f>IF(AP$7="Actual","",IF($K523="Yes",IFERROR(AP513*(1+AP$59),0),AP513))</f>
        <v/>
      </c>
      <c r="AQ523" s="245">
        <f>IF(AQ$7="Actual","",IF($K523="Yes",IFERROR(AQ513*(1+AQ$59),0),AQ513))</f>
        <v/>
      </c>
      <c r="AR523" s="245">
        <f>IF(AR$7="Actual","",IF($K523="Yes",IFERROR(AR513*(1+AR$59),0),AR513))</f>
        <v/>
      </c>
      <c r="AS523" s="245">
        <f>IF(AS$7="Actual","",IF($K523="Yes",IFERROR(AS513*(1+AS$59),0),AS513))</f>
        <v/>
      </c>
      <c r="AT523" s="245">
        <f>IF(AT$7="Actual","",IF($K523="Yes",IFERROR(AT513*(1+AT$59),0),AT513))</f>
        <v/>
      </c>
      <c r="AU523" s="245">
        <f>IF(AU$7="Actual","",IF($K523="Yes",IFERROR(AU513*(1+AU$59),0),AU513))</f>
        <v/>
      </c>
      <c r="AV523" s="245">
        <f>IF(AV$7="Actual","",IF($K523="Yes",IFERROR(AV513*(1+AV$59),0),AV513))</f>
        <v/>
      </c>
      <c r="AW523" s="245">
        <f>IF(AW$7="Actual","",IF($K523="Yes",IFERROR(AW513*(1+AW$59),0),AW513))</f>
        <v/>
      </c>
      <c r="AX523" s="245">
        <f>IF(AX$7="Actual","",IF($K523="Yes",IFERROR(AX513*(1+AX$59),0),AX513))</f>
        <v/>
      </c>
      <c r="AY523" s="245">
        <f>IF(AY$7="Actual","",IF($K523="Yes",IFERROR(AY513*(1+AY$59),0),AY513))</f>
        <v/>
      </c>
      <c r="AZ523" s="245">
        <f>IF(AZ$7="Actual","",IF($K523="Yes",IFERROR(AZ513*(1+AZ$59),0),AZ513))</f>
        <v/>
      </c>
      <c r="BA523" s="245">
        <f>IF(BA$7="Actual","",IF($K523="Yes",IFERROR(BA513*(1+BA$59),0),BA513))</f>
        <v/>
      </c>
      <c r="BB523" s="245">
        <f>IF(BB$7="Actual","",IF($K523="Yes",IFERROR(BB513*(1+BB$59),0),BB513))</f>
        <v/>
      </c>
      <c r="BC523" s="245">
        <f>IF(BC$7="Actual","",IF($K523="Yes",IFERROR(BC513*(1+BC$59),0),BC513))</f>
        <v/>
      </c>
      <c r="BD523" s="245">
        <f>IF(BD$7="Actual","",IF($K523="Yes",IFERROR(BD513*(1+BD$59),0),BD513))</f>
        <v/>
      </c>
      <c r="BE523" s="245">
        <f>IF(BE$7="Actual","",IF($K523="Yes",IFERROR(BE513*(1+BE$59),0),BE513))</f>
        <v/>
      </c>
      <c r="BF523" s="245">
        <f>IF(BF$7="Actual","",IF($K523="Yes",IFERROR(BF513*(1+BF$59),0),BF513))</f>
        <v/>
      </c>
      <c r="BG523" s="245">
        <f>IF(BG$7="Actual","",IF($K523="Yes",IFERROR(BG513*(1+BG$59),0),BG513))</f>
        <v/>
      </c>
      <c r="BH523" s="245">
        <f>IF(BH$7="Actual","",IF($K523="Yes",IFERROR(BH513*(1+BH$59),0),BH513))</f>
        <v/>
      </c>
      <c r="BI523" s="245">
        <f>IF(BI$7="Actual","",IF($K523="Yes",IFERROR(BI513*(1+BI$59),0),BI513))</f>
        <v/>
      </c>
      <c r="BJ523" s="245">
        <f>IF(BJ$7="Actual","",IF($K523="Yes",IFERROR(BJ513*(1+BJ$59),0),BJ513))</f>
        <v/>
      </c>
      <c r="BK523" s="245">
        <f>IF(BK$7="Actual","",IF($K523="Yes",IFERROR(BK513*(1+BK$59),0),BK513))</f>
        <v/>
      </c>
      <c r="BL523" s="245">
        <f>IF(BL$7="Actual","",IF($K523="Yes",IFERROR(BL513*(1+BL$59),0),BL513))</f>
        <v/>
      </c>
      <c r="BM523" s="245">
        <f>IF(BM$7="Actual","",IF($K523="Yes",IFERROR(BM513*(1+BM$59),0),BM513))</f>
        <v/>
      </c>
      <c r="BN523" s="245">
        <f>IF(BN$7="Actual","",IF($K523="Yes",IFERROR(BN513*(1+BN$59),0),BN513))</f>
        <v/>
      </c>
      <c r="BO523" s="245">
        <f>IF(BO$7="Actual","",IF($K523="Yes",IFERROR(BO513*(1+BO$59),0),BO513))</f>
        <v/>
      </c>
      <c r="BP523" s="245">
        <f>IF(BP$7="Actual","",IF($K523="Yes",IFERROR(BP513*(1+BP$59),0),BP513))</f>
        <v/>
      </c>
      <c r="BQ523" s="245">
        <f>IF(BQ$7="Actual","",IF($K523="Yes",IFERROR(BQ513*(1+BQ$59),0),BQ513))</f>
        <v/>
      </c>
      <c r="BR523" s="245">
        <f>IF(BR$7="Actual","",IF($K523="Yes",IFERROR(BR513*(1+BR$59),0),BR513))</f>
        <v/>
      </c>
      <c r="BS523" s="245">
        <f>IF(BS$7="Actual","",IF($K523="Yes",IFERROR(BS513*(1+BS$59),0),BS513))</f>
        <v/>
      </c>
      <c r="BT523" s="245">
        <f>IF(BT$7="Actual","",IF($K523="Yes",IFERROR(BT513*(1+BT$59),0),BT513))</f>
        <v/>
      </c>
      <c r="BU523" s="245">
        <f>IF(BU$7="Actual","",IF($K523="Yes",IFERROR(BU513*(1+BU$59),0),BU513))</f>
        <v/>
      </c>
      <c r="BV523" s="245">
        <f>IF(BV$7="Actual","",IF($K523="Yes",IFERROR(BV513*(1+BV$59),0),BV513))</f>
        <v/>
      </c>
      <c r="BW523" s="245">
        <f>IF(BW$7="Actual","",IF($K523="Yes",IFERROR(BW513*(1+BW$59),0),BW513))</f>
        <v/>
      </c>
      <c r="BX523" s="245">
        <f>IF(BX$7="Actual","",IF($K523="Yes",IFERROR(BX513*(1+BX$59),0),BX513))</f>
        <v/>
      </c>
      <c r="BY523" s="245">
        <f>IF(BY$7="Actual","",IF($K523="Yes",IFERROR(BY513*(1+BY$59),0),BY513))</f>
        <v/>
      </c>
      <c r="BZ523" s="245">
        <f>IF(BZ$7="Actual","",IF($K523="Yes",IFERROR(BZ513*(1+BZ$59),0),BZ513))</f>
        <v/>
      </c>
      <c r="CA523" s="245">
        <f>IF(CA$7="Actual","",IF($K523="Yes",IFERROR(CA513*(1+CA$59),0),CA513))</f>
        <v/>
      </c>
    </row>
    <row r="524" ht="12" customHeight="1" s="227">
      <c r="A524" s="244" t="n"/>
      <c r="B524" s="244" t="n"/>
      <c r="C524" s="244" t="n"/>
      <c r="H524" s="4">
        <f>H514</f>
        <v/>
      </c>
      <c r="I524" s="27">
        <f>i_Setup!$M$16</f>
        <v/>
      </c>
      <c r="K524" s="259">
        <f>i_Setup!P91</f>
        <v/>
      </c>
      <c r="M524" s="245">
        <f>SUMIF($T$4:$CA$4,M$4,$T524:$CA524)</f>
        <v/>
      </c>
      <c r="N524" s="245">
        <f>SUMIF($T$4:$CA$4,N$4,$T524:$CA524)</f>
        <v/>
      </c>
      <c r="O524" s="245">
        <f>SUMIF($T$4:$CA$4,O$4,$T524:$CA524)</f>
        <v/>
      </c>
      <c r="P524" s="245">
        <f>SUMIF($T$4:$CA$4,P$4,$T524:$CA524)</f>
        <v/>
      </c>
      <c r="Q524" s="245">
        <f>SUMIF($T$4:$CA$4,Q$4,$T524:$CA524)</f>
        <v/>
      </c>
      <c r="T524" s="245">
        <f>IF(T$7="Actual","",IF($K524="Yes",IFERROR(T514*(1+T$59),0),T514))</f>
        <v/>
      </c>
      <c r="U524" s="245">
        <f>IF(U$7="Actual","",IF($K524="Yes",IFERROR(U514*(1+U$59),0),U514))</f>
        <v/>
      </c>
      <c r="V524" s="245">
        <f>IF(V$7="Actual","",IF($K524="Yes",IFERROR(V514*(1+V$59),0),V514))</f>
        <v/>
      </c>
      <c r="W524" s="245">
        <f>IF(W$7="Actual","",IF($K524="Yes",IFERROR(W514*(1+W$59),0),W514))</f>
        <v/>
      </c>
      <c r="X524" s="245">
        <f>IF(X$7="Actual","",IF($K524="Yes",IFERROR(X514*(1+X$59),0),X514))</f>
        <v/>
      </c>
      <c r="Y524" s="245">
        <f>IF(Y$7="Actual","",IF($K524="Yes",IFERROR(Y514*(1+Y$59),0),Y514))</f>
        <v/>
      </c>
      <c r="Z524" s="245">
        <f>IF(Z$7="Actual","",IF($K524="Yes",IFERROR(Z514*(1+Z$59),0),Z514))</f>
        <v/>
      </c>
      <c r="AA524" s="245">
        <f>IF(AA$7="Actual","",IF($K524="Yes",IFERROR(AA514*(1+AA$59),0),AA514))</f>
        <v/>
      </c>
      <c r="AB524" s="245">
        <f>IF(AB$7="Actual","",IF($K524="Yes",IFERROR(AB514*(1+AB$59),0),AB514))</f>
        <v/>
      </c>
      <c r="AC524" s="245">
        <f>IF(AC$7="Actual","",IF($K524="Yes",IFERROR(AC514*(1+AC$59),0),AC514))</f>
        <v/>
      </c>
      <c r="AD524" s="245">
        <f>IF(AD$7="Actual","",IF($K524="Yes",IFERROR(AD514*(1+AD$59),0),AD514))</f>
        <v/>
      </c>
      <c r="AE524" s="245">
        <f>IF(AE$7="Actual","",IF($K524="Yes",IFERROR(AE514*(1+AE$59),0),AE514))</f>
        <v/>
      </c>
      <c r="AF524" s="245">
        <f>IF(AF$7="Actual","",IF($K524="Yes",IFERROR(AF514*(1+AF$59),0),AF514))</f>
        <v/>
      </c>
      <c r="AG524" s="245">
        <f>IF(AG$7="Actual","",IF($K524="Yes",IFERROR(AG514*(1+AG$59),0),AG514))</f>
        <v/>
      </c>
      <c r="AH524" s="245">
        <f>IF(AH$7="Actual","",IF($K524="Yes",IFERROR(AH514*(1+AH$59),0),AH514))</f>
        <v/>
      </c>
      <c r="AI524" s="245">
        <f>IF(AI$7="Actual","",IF($K524="Yes",IFERROR(AI514*(1+AI$59),0),AI514))</f>
        <v/>
      </c>
      <c r="AJ524" s="245">
        <f>IF(AJ$7="Actual","",IF($K524="Yes",IFERROR(AJ514*(1+AJ$59),0),AJ514))</f>
        <v/>
      </c>
      <c r="AK524" s="245">
        <f>IF(AK$7="Actual","",IF($K524="Yes",IFERROR(AK514*(1+AK$59),0),AK514))</f>
        <v/>
      </c>
      <c r="AL524" s="245">
        <f>IF(AL$7="Actual","",IF($K524="Yes",IFERROR(AL514*(1+AL$59),0),AL514))</f>
        <v/>
      </c>
      <c r="AM524" s="245">
        <f>IF(AM$7="Actual","",IF($K524="Yes",IFERROR(AM514*(1+AM$59),0),AM514))</f>
        <v/>
      </c>
      <c r="AN524" s="245">
        <f>IF(AN$7="Actual","",IF($K524="Yes",IFERROR(AN514*(1+AN$59),0),AN514))</f>
        <v/>
      </c>
      <c r="AO524" s="245">
        <f>IF(AO$7="Actual","",IF($K524="Yes",IFERROR(AO514*(1+AO$59),0),AO514))</f>
        <v/>
      </c>
      <c r="AP524" s="245">
        <f>IF(AP$7="Actual","",IF($K524="Yes",IFERROR(AP514*(1+AP$59),0),AP514))</f>
        <v/>
      </c>
      <c r="AQ524" s="245">
        <f>IF(AQ$7="Actual","",IF($K524="Yes",IFERROR(AQ514*(1+AQ$59),0),AQ514))</f>
        <v/>
      </c>
      <c r="AR524" s="245">
        <f>IF(AR$7="Actual","",IF($K524="Yes",IFERROR(AR514*(1+AR$59),0),AR514))</f>
        <v/>
      </c>
      <c r="AS524" s="245">
        <f>IF(AS$7="Actual","",IF($K524="Yes",IFERROR(AS514*(1+AS$59),0),AS514))</f>
        <v/>
      </c>
      <c r="AT524" s="245">
        <f>IF(AT$7="Actual","",IF($K524="Yes",IFERROR(AT514*(1+AT$59),0),AT514))</f>
        <v/>
      </c>
      <c r="AU524" s="245">
        <f>IF(AU$7="Actual","",IF($K524="Yes",IFERROR(AU514*(1+AU$59),0),AU514))</f>
        <v/>
      </c>
      <c r="AV524" s="245">
        <f>IF(AV$7="Actual","",IF($K524="Yes",IFERROR(AV514*(1+AV$59),0),AV514))</f>
        <v/>
      </c>
      <c r="AW524" s="245">
        <f>IF(AW$7="Actual","",IF($K524="Yes",IFERROR(AW514*(1+AW$59),0),AW514))</f>
        <v/>
      </c>
      <c r="AX524" s="245">
        <f>IF(AX$7="Actual","",IF($K524="Yes",IFERROR(AX514*(1+AX$59),0),AX514))</f>
        <v/>
      </c>
      <c r="AY524" s="245">
        <f>IF(AY$7="Actual","",IF($K524="Yes",IFERROR(AY514*(1+AY$59),0),AY514))</f>
        <v/>
      </c>
      <c r="AZ524" s="245">
        <f>IF(AZ$7="Actual","",IF($K524="Yes",IFERROR(AZ514*(1+AZ$59),0),AZ514))</f>
        <v/>
      </c>
      <c r="BA524" s="245">
        <f>IF(BA$7="Actual","",IF($K524="Yes",IFERROR(BA514*(1+BA$59),0),BA514))</f>
        <v/>
      </c>
      <c r="BB524" s="245">
        <f>IF(BB$7="Actual","",IF($K524="Yes",IFERROR(BB514*(1+BB$59),0),BB514))</f>
        <v/>
      </c>
      <c r="BC524" s="245">
        <f>IF(BC$7="Actual","",IF($K524="Yes",IFERROR(BC514*(1+BC$59),0),BC514))</f>
        <v/>
      </c>
      <c r="BD524" s="245">
        <f>IF(BD$7="Actual","",IF($K524="Yes",IFERROR(BD514*(1+BD$59),0),BD514))</f>
        <v/>
      </c>
      <c r="BE524" s="245">
        <f>IF(BE$7="Actual","",IF($K524="Yes",IFERROR(BE514*(1+BE$59),0),BE514))</f>
        <v/>
      </c>
      <c r="BF524" s="245">
        <f>IF(BF$7="Actual","",IF($K524="Yes",IFERROR(BF514*(1+BF$59),0),BF514))</f>
        <v/>
      </c>
      <c r="BG524" s="245">
        <f>IF(BG$7="Actual","",IF($K524="Yes",IFERROR(BG514*(1+BG$59),0),BG514))</f>
        <v/>
      </c>
      <c r="BH524" s="245">
        <f>IF(BH$7="Actual","",IF($K524="Yes",IFERROR(BH514*(1+BH$59),0),BH514))</f>
        <v/>
      </c>
      <c r="BI524" s="245">
        <f>IF(BI$7="Actual","",IF($K524="Yes",IFERROR(BI514*(1+BI$59),0),BI514))</f>
        <v/>
      </c>
      <c r="BJ524" s="245">
        <f>IF(BJ$7="Actual","",IF($K524="Yes",IFERROR(BJ514*(1+BJ$59),0),BJ514))</f>
        <v/>
      </c>
      <c r="BK524" s="245">
        <f>IF(BK$7="Actual","",IF($K524="Yes",IFERROR(BK514*(1+BK$59),0),BK514))</f>
        <v/>
      </c>
      <c r="BL524" s="245">
        <f>IF(BL$7="Actual","",IF($K524="Yes",IFERROR(BL514*(1+BL$59),0),BL514))</f>
        <v/>
      </c>
      <c r="BM524" s="245">
        <f>IF(BM$7="Actual","",IF($K524="Yes",IFERROR(BM514*(1+BM$59),0),BM514))</f>
        <v/>
      </c>
      <c r="BN524" s="245">
        <f>IF(BN$7="Actual","",IF($K524="Yes",IFERROR(BN514*(1+BN$59),0),BN514))</f>
        <v/>
      </c>
      <c r="BO524" s="245">
        <f>IF(BO$7="Actual","",IF($K524="Yes",IFERROR(BO514*(1+BO$59),0),BO514))</f>
        <v/>
      </c>
      <c r="BP524" s="245">
        <f>IF(BP$7="Actual","",IF($K524="Yes",IFERROR(BP514*(1+BP$59),0),BP514))</f>
        <v/>
      </c>
      <c r="BQ524" s="245">
        <f>IF(BQ$7="Actual","",IF($K524="Yes",IFERROR(BQ514*(1+BQ$59),0),BQ514))</f>
        <v/>
      </c>
      <c r="BR524" s="245">
        <f>IF(BR$7="Actual","",IF($K524="Yes",IFERROR(BR514*(1+BR$59),0),BR514))</f>
        <v/>
      </c>
      <c r="BS524" s="245">
        <f>IF(BS$7="Actual","",IF($K524="Yes",IFERROR(BS514*(1+BS$59),0),BS514))</f>
        <v/>
      </c>
      <c r="BT524" s="245">
        <f>IF(BT$7="Actual","",IF($K524="Yes",IFERROR(BT514*(1+BT$59),0),BT514))</f>
        <v/>
      </c>
      <c r="BU524" s="245">
        <f>IF(BU$7="Actual","",IF($K524="Yes",IFERROR(BU514*(1+BU$59),0),BU514))</f>
        <v/>
      </c>
      <c r="BV524" s="245">
        <f>IF(BV$7="Actual","",IF($K524="Yes",IFERROR(BV514*(1+BV$59),0),BV514))</f>
        <v/>
      </c>
      <c r="BW524" s="245">
        <f>IF(BW$7="Actual","",IF($K524="Yes",IFERROR(BW514*(1+BW$59),0),BW514))</f>
        <v/>
      </c>
      <c r="BX524" s="245">
        <f>IF(BX$7="Actual","",IF($K524="Yes",IFERROR(BX514*(1+BX$59),0),BX514))</f>
        <v/>
      </c>
      <c r="BY524" s="245">
        <f>IF(BY$7="Actual","",IF($K524="Yes",IFERROR(BY514*(1+BY$59),0),BY514))</f>
        <v/>
      </c>
      <c r="BZ524" s="245">
        <f>IF(BZ$7="Actual","",IF($K524="Yes",IFERROR(BZ514*(1+BZ$59),0),BZ514))</f>
        <v/>
      </c>
      <c r="CA524" s="245">
        <f>IF(CA$7="Actual","",IF($K524="Yes",IFERROR(CA514*(1+CA$59),0),CA514))</f>
        <v/>
      </c>
    </row>
    <row r="525" ht="12" customHeight="1" s="227" thickBot="1">
      <c r="A525" s="244" t="n"/>
      <c r="B525" s="244" t="n"/>
      <c r="C525" s="244" t="n"/>
      <c r="H525" s="42" t="inlineStr">
        <is>
          <t>Total Marketing Costs</t>
        </is>
      </c>
      <c r="I525" s="43">
        <f>i_Setup!$M$16</f>
        <v/>
      </c>
      <c r="K525" s="6" t="n"/>
      <c r="M525" s="264">
        <f>SUM(M520:M524)</f>
        <v/>
      </c>
      <c r="N525" s="264">
        <f>SUM(N520:N524)</f>
        <v/>
      </c>
      <c r="O525" s="264">
        <f>SUM(O520:O524)</f>
        <v/>
      </c>
      <c r="P525" s="264">
        <f>SUM(P520:P524)</f>
        <v/>
      </c>
      <c r="Q525" s="264">
        <f>SUM(Q520:Q524)</f>
        <v/>
      </c>
      <c r="T525" s="264">
        <f>SUM(T520:T524)</f>
        <v/>
      </c>
      <c r="U525" s="264">
        <f>SUM(U520:U524)</f>
        <v/>
      </c>
      <c r="V525" s="264">
        <f>SUM(V520:V524)</f>
        <v/>
      </c>
      <c r="W525" s="264">
        <f>SUM(W520:W524)</f>
        <v/>
      </c>
      <c r="X525" s="264">
        <f>SUM(X520:X524)</f>
        <v/>
      </c>
      <c r="Y525" s="264">
        <f>SUM(Y520:Y524)</f>
        <v/>
      </c>
      <c r="Z525" s="264">
        <f>SUM(Z520:Z524)</f>
        <v/>
      </c>
      <c r="AA525" s="264">
        <f>SUM(AA520:AA524)</f>
        <v/>
      </c>
      <c r="AB525" s="264">
        <f>SUM(AB520:AB524)</f>
        <v/>
      </c>
      <c r="AC525" s="264">
        <f>SUM(AC520:AC524)</f>
        <v/>
      </c>
      <c r="AD525" s="264">
        <f>SUM(AD520:AD524)</f>
        <v/>
      </c>
      <c r="AE525" s="264">
        <f>SUM(AE520:AE524)</f>
        <v/>
      </c>
      <c r="AF525" s="264">
        <f>SUM(AF520:AF524)</f>
        <v/>
      </c>
      <c r="AG525" s="264">
        <f>SUM(AG520:AG524)</f>
        <v/>
      </c>
      <c r="AH525" s="264">
        <f>SUM(AH520:AH524)</f>
        <v/>
      </c>
      <c r="AI525" s="264">
        <f>SUM(AI520:AI524)</f>
        <v/>
      </c>
      <c r="AJ525" s="264">
        <f>SUM(AJ520:AJ524)</f>
        <v/>
      </c>
      <c r="AK525" s="264">
        <f>SUM(AK520:AK524)</f>
        <v/>
      </c>
      <c r="AL525" s="264">
        <f>SUM(AL520:AL524)</f>
        <v/>
      </c>
      <c r="AM525" s="264">
        <f>SUM(AM520:AM524)</f>
        <v/>
      </c>
      <c r="AN525" s="264">
        <f>SUM(AN520:AN524)</f>
        <v/>
      </c>
      <c r="AO525" s="264">
        <f>SUM(AO520:AO524)</f>
        <v/>
      </c>
      <c r="AP525" s="264">
        <f>SUM(AP520:AP524)</f>
        <v/>
      </c>
      <c r="AQ525" s="264">
        <f>SUM(AQ520:AQ524)</f>
        <v/>
      </c>
      <c r="AR525" s="264">
        <f>SUM(AR520:AR524)</f>
        <v/>
      </c>
      <c r="AS525" s="264">
        <f>SUM(AS520:AS524)</f>
        <v/>
      </c>
      <c r="AT525" s="264">
        <f>SUM(AT520:AT524)</f>
        <v/>
      </c>
      <c r="AU525" s="264">
        <f>SUM(AU520:AU524)</f>
        <v/>
      </c>
      <c r="AV525" s="264">
        <f>SUM(AV520:AV524)</f>
        <v/>
      </c>
      <c r="AW525" s="264">
        <f>SUM(AW520:AW524)</f>
        <v/>
      </c>
      <c r="AX525" s="264">
        <f>SUM(AX520:AX524)</f>
        <v/>
      </c>
      <c r="AY525" s="264">
        <f>SUM(AY520:AY524)</f>
        <v/>
      </c>
      <c r="AZ525" s="264">
        <f>SUM(AZ520:AZ524)</f>
        <v/>
      </c>
      <c r="BA525" s="264">
        <f>SUM(BA520:BA524)</f>
        <v/>
      </c>
      <c r="BB525" s="264">
        <f>SUM(BB520:BB524)</f>
        <v/>
      </c>
      <c r="BC525" s="264">
        <f>SUM(BC520:BC524)</f>
        <v/>
      </c>
      <c r="BD525" s="264">
        <f>SUM(BD520:BD524)</f>
        <v/>
      </c>
      <c r="BE525" s="264">
        <f>SUM(BE520:BE524)</f>
        <v/>
      </c>
      <c r="BF525" s="264">
        <f>SUM(BF520:BF524)</f>
        <v/>
      </c>
      <c r="BG525" s="264">
        <f>SUM(BG520:BG524)</f>
        <v/>
      </c>
      <c r="BH525" s="264">
        <f>SUM(BH520:BH524)</f>
        <v/>
      </c>
      <c r="BI525" s="264">
        <f>SUM(BI520:BI524)</f>
        <v/>
      </c>
      <c r="BJ525" s="264">
        <f>SUM(BJ520:BJ524)</f>
        <v/>
      </c>
      <c r="BK525" s="264">
        <f>SUM(BK520:BK524)</f>
        <v/>
      </c>
      <c r="BL525" s="264">
        <f>SUM(BL520:BL524)</f>
        <v/>
      </c>
      <c r="BM525" s="264">
        <f>SUM(BM520:BM524)</f>
        <v/>
      </c>
      <c r="BN525" s="264">
        <f>SUM(BN520:BN524)</f>
        <v/>
      </c>
      <c r="BO525" s="264">
        <f>SUM(BO520:BO524)</f>
        <v/>
      </c>
      <c r="BP525" s="264">
        <f>SUM(BP520:BP524)</f>
        <v/>
      </c>
      <c r="BQ525" s="264">
        <f>SUM(BQ520:BQ524)</f>
        <v/>
      </c>
      <c r="BR525" s="264">
        <f>SUM(BR520:BR524)</f>
        <v/>
      </c>
      <c r="BS525" s="264">
        <f>SUM(BS520:BS524)</f>
        <v/>
      </c>
      <c r="BT525" s="264">
        <f>SUM(BT520:BT524)</f>
        <v/>
      </c>
      <c r="BU525" s="264">
        <f>SUM(BU520:BU524)</f>
        <v/>
      </c>
      <c r="BV525" s="264">
        <f>SUM(BV520:BV524)</f>
        <v/>
      </c>
      <c r="BW525" s="264">
        <f>SUM(BW520:BW524)</f>
        <v/>
      </c>
      <c r="BX525" s="264">
        <f>SUM(BX520:BX524)</f>
        <v/>
      </c>
      <c r="BY525" s="264">
        <f>SUM(BY520:BY524)</f>
        <v/>
      </c>
      <c r="BZ525" s="264">
        <f>SUM(BZ520:BZ524)</f>
        <v/>
      </c>
      <c r="CA525" s="264">
        <f>SUM(CA520:CA524)</f>
        <v/>
      </c>
    </row>
    <row r="526" ht="12" customHeight="1" s="227">
      <c r="A526" s="244" t="n"/>
      <c r="B526" s="244" t="n"/>
      <c r="C526" s="244" t="n"/>
      <c r="K526" s="6" t="n"/>
    </row>
    <row r="527" ht="12" customHeight="1" s="227">
      <c r="A527" s="244" t="n"/>
      <c r="B527" s="244" t="n"/>
      <c r="C527" s="244" t="n"/>
    </row>
    <row r="528" ht="13.5" customFormat="1" customHeight="1" s="223" thickBot="1">
      <c r="E528" s="223">
        <f>Heading2</f>
        <v/>
      </c>
      <c r="F528" s="223" t="inlineStr">
        <is>
          <t>Other Expenses</t>
        </is>
      </c>
      <c r="K528" s="135" t="n"/>
    </row>
    <row r="529" ht="12" customHeight="1" s="227">
      <c r="A529" s="244" t="n"/>
      <c r="B529" s="244" t="n"/>
      <c r="C529" s="244" t="n"/>
      <c r="K529" s="6" t="n"/>
    </row>
    <row r="530" ht="12" customHeight="1" s="227">
      <c r="A530" s="244" t="n"/>
      <c r="B530" s="244" t="n"/>
      <c r="C530" s="244" t="n"/>
      <c r="G530" s="222" t="inlineStr">
        <is>
          <t>Other Expenses (Excl Sales Tax)</t>
        </is>
      </c>
      <c r="K530" s="6" t="n"/>
    </row>
    <row r="531" ht="12" customHeight="1" s="227">
      <c r="A531" s="244" t="n"/>
      <c r="B531" s="244" t="n"/>
      <c r="C531" s="244" t="n"/>
      <c r="I531" s="27" t="n"/>
      <c r="K531" s="6" t="n"/>
    </row>
    <row r="532" ht="12" customHeight="1" s="227">
      <c r="A532" s="244" t="n"/>
      <c r="B532" s="244" t="n"/>
      <c r="C532" s="244" t="n"/>
      <c r="H532" s="4">
        <f>i_Setup!U96</f>
        <v/>
      </c>
      <c r="I532" s="27">
        <f>i_Setup!$M$16</f>
        <v/>
      </c>
      <c r="K532" s="259">
        <f>i_Assumptions!K573</f>
        <v/>
      </c>
      <c r="M532" s="257">
        <f>IF($K532="Monthly",0,i_Assumptions!M573)</f>
        <v/>
      </c>
      <c r="N532" s="257">
        <f>IF($K532="Monthly",0,i_Assumptions!N573)</f>
        <v/>
      </c>
      <c r="O532" s="257">
        <f>IF($K532="Monthly",0,i_Assumptions!O573)</f>
        <v/>
      </c>
      <c r="P532" s="257">
        <f>IF($K532="Monthly",0,i_Assumptions!P573)</f>
        <v/>
      </c>
      <c r="Q532" s="257">
        <f>IF($K532="Monthly",0,i_Assumptions!Q573)</f>
        <v/>
      </c>
      <c r="T532" s="257">
        <f>IF($K532="Monthly",i_Assumptions!T573,INDEX($M532:$Q532,,MATCH(T$4,$M$4:$Q$4,0))/12)</f>
        <v/>
      </c>
      <c r="U532" s="257">
        <f>IF($K532="Monthly",i_Assumptions!U573,INDEX($M532:$Q532,,MATCH(U$4,$M$4:$Q$4,0))/12)</f>
        <v/>
      </c>
      <c r="V532" s="257">
        <f>IF($K532="Monthly",i_Assumptions!V573,INDEX($M532:$Q532,,MATCH(V$4,$M$4:$Q$4,0))/12)</f>
        <v/>
      </c>
      <c r="W532" s="257">
        <f>IF($K532="Monthly",i_Assumptions!W573,INDEX($M532:$Q532,,MATCH(W$4,$M$4:$Q$4,0))/12)</f>
        <v/>
      </c>
      <c r="X532" s="257">
        <f>IF($K532="Monthly",i_Assumptions!X573,INDEX($M532:$Q532,,MATCH(X$4,$M$4:$Q$4,0))/12)</f>
        <v/>
      </c>
      <c r="Y532" s="257">
        <f>IF($K532="Monthly",i_Assumptions!Y573,INDEX($M532:$Q532,,MATCH(Y$4,$M$4:$Q$4,0))/12)</f>
        <v/>
      </c>
      <c r="Z532" s="257">
        <f>IF($K532="Monthly",i_Assumptions!Z573,INDEX($M532:$Q532,,MATCH(Z$4,$M$4:$Q$4,0))/12)</f>
        <v/>
      </c>
      <c r="AA532" s="257">
        <f>IF($K532="Monthly",i_Assumptions!AA573,INDEX($M532:$Q532,,MATCH(AA$4,$M$4:$Q$4,0))/12)</f>
        <v/>
      </c>
      <c r="AB532" s="257">
        <f>IF($K532="Monthly",i_Assumptions!AB573,INDEX($M532:$Q532,,MATCH(AB$4,$M$4:$Q$4,0))/12)</f>
        <v/>
      </c>
      <c r="AC532" s="257">
        <f>IF($K532="Monthly",i_Assumptions!AC573,INDEX($M532:$Q532,,MATCH(AC$4,$M$4:$Q$4,0))/12)</f>
        <v/>
      </c>
      <c r="AD532" s="257">
        <f>IF($K532="Monthly",i_Assumptions!AD573,INDEX($M532:$Q532,,MATCH(AD$4,$M$4:$Q$4,0))/12)</f>
        <v/>
      </c>
      <c r="AE532" s="257">
        <f>IF($K532="Monthly",i_Assumptions!AE573,INDEX($M532:$Q532,,MATCH(AE$4,$M$4:$Q$4,0))/12)</f>
        <v/>
      </c>
      <c r="AF532" s="257">
        <f>IF($K532="Monthly",i_Assumptions!AF573,INDEX($M532:$Q532,,MATCH(AF$4,$M$4:$Q$4,0))/12)</f>
        <v/>
      </c>
      <c r="AG532" s="257">
        <f>IF($K532="Monthly",i_Assumptions!AG573,INDEX($M532:$Q532,,MATCH(AG$4,$M$4:$Q$4,0))/12)</f>
        <v/>
      </c>
      <c r="AH532" s="257">
        <f>IF($K532="Monthly",i_Assumptions!AH573,INDEX($M532:$Q532,,MATCH(AH$4,$M$4:$Q$4,0))/12)</f>
        <v/>
      </c>
      <c r="AI532" s="257">
        <f>IF($K532="Monthly",i_Assumptions!AI573,INDEX($M532:$Q532,,MATCH(AI$4,$M$4:$Q$4,0))/12)</f>
        <v/>
      </c>
      <c r="AJ532" s="257">
        <f>IF($K532="Monthly",i_Assumptions!AJ573,INDEX($M532:$Q532,,MATCH(AJ$4,$M$4:$Q$4,0))/12)</f>
        <v/>
      </c>
      <c r="AK532" s="257">
        <f>IF($K532="Monthly",i_Assumptions!AK573,INDEX($M532:$Q532,,MATCH(AK$4,$M$4:$Q$4,0))/12)</f>
        <v/>
      </c>
      <c r="AL532" s="257">
        <f>IF($K532="Monthly",i_Assumptions!AL573,INDEX($M532:$Q532,,MATCH(AL$4,$M$4:$Q$4,0))/12)</f>
        <v/>
      </c>
      <c r="AM532" s="257">
        <f>IF($K532="Monthly",i_Assumptions!AM573,INDEX($M532:$Q532,,MATCH(AM$4,$M$4:$Q$4,0))/12)</f>
        <v/>
      </c>
      <c r="AN532" s="257">
        <f>IF($K532="Monthly",i_Assumptions!AN573,INDEX($M532:$Q532,,MATCH(AN$4,$M$4:$Q$4,0))/12)</f>
        <v/>
      </c>
      <c r="AO532" s="257">
        <f>IF($K532="Monthly",i_Assumptions!AO573,INDEX($M532:$Q532,,MATCH(AO$4,$M$4:$Q$4,0))/12)</f>
        <v/>
      </c>
      <c r="AP532" s="257">
        <f>IF($K532="Monthly",i_Assumptions!AP573,INDEX($M532:$Q532,,MATCH(AP$4,$M$4:$Q$4,0))/12)</f>
        <v/>
      </c>
      <c r="AQ532" s="257">
        <f>IF($K532="Monthly",i_Assumptions!AQ573,INDEX($M532:$Q532,,MATCH(AQ$4,$M$4:$Q$4,0))/12)</f>
        <v/>
      </c>
      <c r="AR532" s="257">
        <f>IF($K532="Monthly",i_Assumptions!AR573,INDEX($M532:$Q532,,MATCH(AR$4,$M$4:$Q$4,0))/12)</f>
        <v/>
      </c>
      <c r="AS532" s="257">
        <f>IF($K532="Monthly",i_Assumptions!AS573,INDEX($M532:$Q532,,MATCH(AS$4,$M$4:$Q$4,0))/12)</f>
        <v/>
      </c>
      <c r="AT532" s="257">
        <f>IF($K532="Monthly",i_Assumptions!AT573,INDEX($M532:$Q532,,MATCH(AT$4,$M$4:$Q$4,0))/12)</f>
        <v/>
      </c>
      <c r="AU532" s="257">
        <f>IF($K532="Monthly",i_Assumptions!AU573,INDEX($M532:$Q532,,MATCH(AU$4,$M$4:$Q$4,0))/12)</f>
        <v/>
      </c>
      <c r="AV532" s="257">
        <f>IF($K532="Monthly",i_Assumptions!AV573,INDEX($M532:$Q532,,MATCH(AV$4,$M$4:$Q$4,0))/12)</f>
        <v/>
      </c>
      <c r="AW532" s="257">
        <f>IF($K532="Monthly",i_Assumptions!AW573,INDEX($M532:$Q532,,MATCH(AW$4,$M$4:$Q$4,0))/12)</f>
        <v/>
      </c>
      <c r="AX532" s="257">
        <f>IF($K532="Monthly",i_Assumptions!AX573,INDEX($M532:$Q532,,MATCH(AX$4,$M$4:$Q$4,0))/12)</f>
        <v/>
      </c>
      <c r="AY532" s="257">
        <f>IF($K532="Monthly",i_Assumptions!AY573,INDEX($M532:$Q532,,MATCH(AY$4,$M$4:$Q$4,0))/12)</f>
        <v/>
      </c>
      <c r="AZ532" s="257">
        <f>IF($K532="Monthly",i_Assumptions!AZ573,INDEX($M532:$Q532,,MATCH(AZ$4,$M$4:$Q$4,0))/12)</f>
        <v/>
      </c>
      <c r="BA532" s="257">
        <f>IF($K532="Monthly",i_Assumptions!BA573,INDEX($M532:$Q532,,MATCH(BA$4,$M$4:$Q$4,0))/12)</f>
        <v/>
      </c>
      <c r="BB532" s="257">
        <f>IF($K532="Monthly",i_Assumptions!BB573,INDEX($M532:$Q532,,MATCH(BB$4,$M$4:$Q$4,0))/12)</f>
        <v/>
      </c>
      <c r="BC532" s="257">
        <f>IF($K532="Monthly",i_Assumptions!BC573,INDEX($M532:$Q532,,MATCH(BC$4,$M$4:$Q$4,0))/12)</f>
        <v/>
      </c>
      <c r="BD532" s="257">
        <f>IF($K532="Monthly",i_Assumptions!BD573,INDEX($M532:$Q532,,MATCH(BD$4,$M$4:$Q$4,0))/12)</f>
        <v/>
      </c>
      <c r="BE532" s="257">
        <f>IF($K532="Monthly",i_Assumptions!BE573,INDEX($M532:$Q532,,MATCH(BE$4,$M$4:$Q$4,0))/12)</f>
        <v/>
      </c>
      <c r="BF532" s="257">
        <f>IF($K532="Monthly",i_Assumptions!BF573,INDEX($M532:$Q532,,MATCH(BF$4,$M$4:$Q$4,0))/12)</f>
        <v/>
      </c>
      <c r="BG532" s="257">
        <f>IF($K532="Monthly",i_Assumptions!BG573,INDEX($M532:$Q532,,MATCH(BG$4,$M$4:$Q$4,0))/12)</f>
        <v/>
      </c>
      <c r="BH532" s="257">
        <f>IF($K532="Monthly",i_Assumptions!BH573,INDEX($M532:$Q532,,MATCH(BH$4,$M$4:$Q$4,0))/12)</f>
        <v/>
      </c>
      <c r="BI532" s="257">
        <f>IF($K532="Monthly",i_Assumptions!BI573,INDEX($M532:$Q532,,MATCH(BI$4,$M$4:$Q$4,0))/12)</f>
        <v/>
      </c>
      <c r="BJ532" s="257">
        <f>IF($K532="Monthly",i_Assumptions!BJ573,INDEX($M532:$Q532,,MATCH(BJ$4,$M$4:$Q$4,0))/12)</f>
        <v/>
      </c>
      <c r="BK532" s="257">
        <f>IF($K532="Monthly",i_Assumptions!BK573,INDEX($M532:$Q532,,MATCH(BK$4,$M$4:$Q$4,0))/12)</f>
        <v/>
      </c>
      <c r="BL532" s="257">
        <f>IF($K532="Monthly",i_Assumptions!BL573,INDEX($M532:$Q532,,MATCH(BL$4,$M$4:$Q$4,0))/12)</f>
        <v/>
      </c>
      <c r="BM532" s="257">
        <f>IF($K532="Monthly",i_Assumptions!BM573,INDEX($M532:$Q532,,MATCH(BM$4,$M$4:$Q$4,0))/12)</f>
        <v/>
      </c>
      <c r="BN532" s="257">
        <f>IF($K532="Monthly",i_Assumptions!BN573,INDEX($M532:$Q532,,MATCH(BN$4,$M$4:$Q$4,0))/12)</f>
        <v/>
      </c>
      <c r="BO532" s="257">
        <f>IF($K532="Monthly",i_Assumptions!BO573,INDEX($M532:$Q532,,MATCH(BO$4,$M$4:$Q$4,0))/12)</f>
        <v/>
      </c>
      <c r="BP532" s="257">
        <f>IF($K532="Monthly",i_Assumptions!BP573,INDEX($M532:$Q532,,MATCH(BP$4,$M$4:$Q$4,0))/12)</f>
        <v/>
      </c>
      <c r="BQ532" s="257">
        <f>IF($K532="Monthly",i_Assumptions!BQ573,INDEX($M532:$Q532,,MATCH(BQ$4,$M$4:$Q$4,0))/12)</f>
        <v/>
      </c>
      <c r="BR532" s="257">
        <f>IF($K532="Monthly",i_Assumptions!BR573,INDEX($M532:$Q532,,MATCH(BR$4,$M$4:$Q$4,0))/12)</f>
        <v/>
      </c>
      <c r="BS532" s="257">
        <f>IF($K532="Monthly",i_Assumptions!BS573,INDEX($M532:$Q532,,MATCH(BS$4,$M$4:$Q$4,0))/12)</f>
        <v/>
      </c>
      <c r="BT532" s="257">
        <f>IF($K532="Monthly",i_Assumptions!BT573,INDEX($M532:$Q532,,MATCH(BT$4,$M$4:$Q$4,0))/12)</f>
        <v/>
      </c>
      <c r="BU532" s="257">
        <f>IF($K532="Monthly",i_Assumptions!BU573,INDEX($M532:$Q532,,MATCH(BU$4,$M$4:$Q$4,0))/12)</f>
        <v/>
      </c>
      <c r="BV532" s="257">
        <f>IF($K532="Monthly",i_Assumptions!BV573,INDEX($M532:$Q532,,MATCH(BV$4,$M$4:$Q$4,0))/12)</f>
        <v/>
      </c>
      <c r="BW532" s="257">
        <f>IF($K532="Monthly",i_Assumptions!BW573,INDEX($M532:$Q532,,MATCH(BW$4,$M$4:$Q$4,0))/12)</f>
        <v/>
      </c>
      <c r="BX532" s="257">
        <f>IF($K532="Monthly",i_Assumptions!BX573,INDEX($M532:$Q532,,MATCH(BX$4,$M$4:$Q$4,0))/12)</f>
        <v/>
      </c>
      <c r="BY532" s="257">
        <f>IF($K532="Monthly",i_Assumptions!BY573,INDEX($M532:$Q532,,MATCH(BY$4,$M$4:$Q$4,0))/12)</f>
        <v/>
      </c>
      <c r="BZ532" s="257">
        <f>IF($K532="Monthly",i_Assumptions!BZ573,INDEX($M532:$Q532,,MATCH(BZ$4,$M$4:$Q$4,0))/12)</f>
        <v/>
      </c>
      <c r="CA532" s="257">
        <f>IF($K532="Monthly",i_Assumptions!CA573,INDEX($M532:$Q532,,MATCH(CA$4,$M$4:$Q$4,0))/12)</f>
        <v/>
      </c>
    </row>
    <row r="533" ht="12" customHeight="1" s="227">
      <c r="A533" s="244" t="n"/>
      <c r="B533" s="244" t="n"/>
      <c r="C533" s="244" t="n"/>
      <c r="H533" s="4">
        <f>i_Setup!U97</f>
        <v/>
      </c>
      <c r="I533" s="27">
        <f>i_Setup!$M$16</f>
        <v/>
      </c>
      <c r="K533" s="259">
        <f>i_Assumptions!K574</f>
        <v/>
      </c>
      <c r="M533" s="257">
        <f>IF($K533="Monthly",0,i_Assumptions!M574)</f>
        <v/>
      </c>
      <c r="N533" s="257">
        <f>IF($K533="Monthly",0,i_Assumptions!N574)</f>
        <v/>
      </c>
      <c r="O533" s="257">
        <f>IF($K533="Monthly",0,i_Assumptions!O574)</f>
        <v/>
      </c>
      <c r="P533" s="257">
        <f>IF($K533="Monthly",0,i_Assumptions!P574)</f>
        <v/>
      </c>
      <c r="Q533" s="257">
        <f>IF($K533="Monthly",0,i_Assumptions!Q574)</f>
        <v/>
      </c>
      <c r="T533" s="257">
        <f>IF($K533="Monthly",i_Assumptions!T574,INDEX($M533:$Q533,,MATCH(T$4,$M$4:$Q$4,0))/12)</f>
        <v/>
      </c>
      <c r="U533" s="257">
        <f>IF($K533="Monthly",i_Assumptions!U574,INDEX($M533:$Q533,,MATCH(U$4,$M$4:$Q$4,0))/12)</f>
        <v/>
      </c>
      <c r="V533" s="257">
        <f>IF($K533="Monthly",i_Assumptions!V574,INDEX($M533:$Q533,,MATCH(V$4,$M$4:$Q$4,0))/12)</f>
        <v/>
      </c>
      <c r="W533" s="257">
        <f>IF($K533="Monthly",i_Assumptions!W574,INDEX($M533:$Q533,,MATCH(W$4,$M$4:$Q$4,0))/12)</f>
        <v/>
      </c>
      <c r="X533" s="257">
        <f>IF($K533="Monthly",i_Assumptions!X574,INDEX($M533:$Q533,,MATCH(X$4,$M$4:$Q$4,0))/12)</f>
        <v/>
      </c>
      <c r="Y533" s="257">
        <f>IF($K533="Monthly",i_Assumptions!Y574,INDEX($M533:$Q533,,MATCH(Y$4,$M$4:$Q$4,0))/12)</f>
        <v/>
      </c>
      <c r="Z533" s="257">
        <f>IF($K533="Monthly",i_Assumptions!Z574,INDEX($M533:$Q533,,MATCH(Z$4,$M$4:$Q$4,0))/12)</f>
        <v/>
      </c>
      <c r="AA533" s="257">
        <f>IF($K533="Monthly",i_Assumptions!AA574,INDEX($M533:$Q533,,MATCH(AA$4,$M$4:$Q$4,0))/12)</f>
        <v/>
      </c>
      <c r="AB533" s="257">
        <f>IF($K533="Monthly",i_Assumptions!AB574,INDEX($M533:$Q533,,MATCH(AB$4,$M$4:$Q$4,0))/12)</f>
        <v/>
      </c>
      <c r="AC533" s="257">
        <f>IF($K533="Monthly",i_Assumptions!AC574,INDEX($M533:$Q533,,MATCH(AC$4,$M$4:$Q$4,0))/12)</f>
        <v/>
      </c>
      <c r="AD533" s="257">
        <f>IF($K533="Monthly",i_Assumptions!AD574,INDEX($M533:$Q533,,MATCH(AD$4,$M$4:$Q$4,0))/12)</f>
        <v/>
      </c>
      <c r="AE533" s="257">
        <f>IF($K533="Monthly",i_Assumptions!AE574,INDEX($M533:$Q533,,MATCH(AE$4,$M$4:$Q$4,0))/12)</f>
        <v/>
      </c>
      <c r="AF533" s="257">
        <f>IF($K533="Monthly",i_Assumptions!AF574,INDEX($M533:$Q533,,MATCH(AF$4,$M$4:$Q$4,0))/12)</f>
        <v/>
      </c>
      <c r="AG533" s="257">
        <f>IF($K533="Monthly",i_Assumptions!AG574,INDEX($M533:$Q533,,MATCH(AG$4,$M$4:$Q$4,0))/12)</f>
        <v/>
      </c>
      <c r="AH533" s="257">
        <f>IF($K533="Monthly",i_Assumptions!AH574,INDEX($M533:$Q533,,MATCH(AH$4,$M$4:$Q$4,0))/12)</f>
        <v/>
      </c>
      <c r="AI533" s="257">
        <f>IF($K533="Monthly",i_Assumptions!AI574,INDEX($M533:$Q533,,MATCH(AI$4,$M$4:$Q$4,0))/12)</f>
        <v/>
      </c>
      <c r="AJ533" s="257">
        <f>IF($K533="Monthly",i_Assumptions!AJ574,INDEX($M533:$Q533,,MATCH(AJ$4,$M$4:$Q$4,0))/12)</f>
        <v/>
      </c>
      <c r="AK533" s="257">
        <f>IF($K533="Monthly",i_Assumptions!AK574,INDEX($M533:$Q533,,MATCH(AK$4,$M$4:$Q$4,0))/12)</f>
        <v/>
      </c>
      <c r="AL533" s="257">
        <f>IF($K533="Monthly",i_Assumptions!AL574,INDEX($M533:$Q533,,MATCH(AL$4,$M$4:$Q$4,0))/12)</f>
        <v/>
      </c>
      <c r="AM533" s="257">
        <f>IF($K533="Monthly",i_Assumptions!AM574,INDEX($M533:$Q533,,MATCH(AM$4,$M$4:$Q$4,0))/12)</f>
        <v/>
      </c>
      <c r="AN533" s="257">
        <f>IF($K533="Monthly",i_Assumptions!AN574,INDEX($M533:$Q533,,MATCH(AN$4,$M$4:$Q$4,0))/12)</f>
        <v/>
      </c>
      <c r="AO533" s="257">
        <f>IF($K533="Monthly",i_Assumptions!AO574,INDEX($M533:$Q533,,MATCH(AO$4,$M$4:$Q$4,0))/12)</f>
        <v/>
      </c>
      <c r="AP533" s="257">
        <f>IF($K533="Monthly",i_Assumptions!AP574,INDEX($M533:$Q533,,MATCH(AP$4,$M$4:$Q$4,0))/12)</f>
        <v/>
      </c>
      <c r="AQ533" s="257">
        <f>IF($K533="Monthly",i_Assumptions!AQ574,INDEX($M533:$Q533,,MATCH(AQ$4,$M$4:$Q$4,0))/12)</f>
        <v/>
      </c>
      <c r="AR533" s="257">
        <f>IF($K533="Monthly",i_Assumptions!AR574,INDEX($M533:$Q533,,MATCH(AR$4,$M$4:$Q$4,0))/12)</f>
        <v/>
      </c>
      <c r="AS533" s="257">
        <f>IF($K533="Monthly",i_Assumptions!AS574,INDEX($M533:$Q533,,MATCH(AS$4,$M$4:$Q$4,0))/12)</f>
        <v/>
      </c>
      <c r="AT533" s="257">
        <f>IF($K533="Monthly",i_Assumptions!AT574,INDEX($M533:$Q533,,MATCH(AT$4,$M$4:$Q$4,0))/12)</f>
        <v/>
      </c>
      <c r="AU533" s="257">
        <f>IF($K533="Monthly",i_Assumptions!AU574,INDEX($M533:$Q533,,MATCH(AU$4,$M$4:$Q$4,0))/12)</f>
        <v/>
      </c>
      <c r="AV533" s="257">
        <f>IF($K533="Monthly",i_Assumptions!AV574,INDEX($M533:$Q533,,MATCH(AV$4,$M$4:$Q$4,0))/12)</f>
        <v/>
      </c>
      <c r="AW533" s="257">
        <f>IF($K533="Monthly",i_Assumptions!AW574,INDEX($M533:$Q533,,MATCH(AW$4,$M$4:$Q$4,0))/12)</f>
        <v/>
      </c>
      <c r="AX533" s="257">
        <f>IF($K533="Monthly",i_Assumptions!AX574,INDEX($M533:$Q533,,MATCH(AX$4,$M$4:$Q$4,0))/12)</f>
        <v/>
      </c>
      <c r="AY533" s="257">
        <f>IF($K533="Monthly",i_Assumptions!AY574,INDEX($M533:$Q533,,MATCH(AY$4,$M$4:$Q$4,0))/12)</f>
        <v/>
      </c>
      <c r="AZ533" s="257">
        <f>IF($K533="Monthly",i_Assumptions!AZ574,INDEX($M533:$Q533,,MATCH(AZ$4,$M$4:$Q$4,0))/12)</f>
        <v/>
      </c>
      <c r="BA533" s="257">
        <f>IF($K533="Monthly",i_Assumptions!BA574,INDEX($M533:$Q533,,MATCH(BA$4,$M$4:$Q$4,0))/12)</f>
        <v/>
      </c>
      <c r="BB533" s="257">
        <f>IF($K533="Monthly",i_Assumptions!BB574,INDEX($M533:$Q533,,MATCH(BB$4,$M$4:$Q$4,0))/12)</f>
        <v/>
      </c>
      <c r="BC533" s="257">
        <f>IF($K533="Monthly",i_Assumptions!BC574,INDEX($M533:$Q533,,MATCH(BC$4,$M$4:$Q$4,0))/12)</f>
        <v/>
      </c>
      <c r="BD533" s="257">
        <f>IF($K533="Monthly",i_Assumptions!BD574,INDEX($M533:$Q533,,MATCH(BD$4,$M$4:$Q$4,0))/12)</f>
        <v/>
      </c>
      <c r="BE533" s="257">
        <f>IF($K533="Monthly",i_Assumptions!BE574,INDEX($M533:$Q533,,MATCH(BE$4,$M$4:$Q$4,0))/12)</f>
        <v/>
      </c>
      <c r="BF533" s="257">
        <f>IF($K533="Monthly",i_Assumptions!BF574,INDEX($M533:$Q533,,MATCH(BF$4,$M$4:$Q$4,0))/12)</f>
        <v/>
      </c>
      <c r="BG533" s="257">
        <f>IF($K533="Monthly",i_Assumptions!BG574,INDEX($M533:$Q533,,MATCH(BG$4,$M$4:$Q$4,0))/12)</f>
        <v/>
      </c>
      <c r="BH533" s="257">
        <f>IF($K533="Monthly",i_Assumptions!BH574,INDEX($M533:$Q533,,MATCH(BH$4,$M$4:$Q$4,0))/12)</f>
        <v/>
      </c>
      <c r="BI533" s="257">
        <f>IF($K533="Monthly",i_Assumptions!BI574,INDEX($M533:$Q533,,MATCH(BI$4,$M$4:$Q$4,0))/12)</f>
        <v/>
      </c>
      <c r="BJ533" s="257">
        <f>IF($K533="Monthly",i_Assumptions!BJ574,INDEX($M533:$Q533,,MATCH(BJ$4,$M$4:$Q$4,0))/12)</f>
        <v/>
      </c>
      <c r="BK533" s="257">
        <f>IF($K533="Monthly",i_Assumptions!BK574,INDEX($M533:$Q533,,MATCH(BK$4,$M$4:$Q$4,0))/12)</f>
        <v/>
      </c>
      <c r="BL533" s="257">
        <f>IF($K533="Monthly",i_Assumptions!BL574,INDEX($M533:$Q533,,MATCH(BL$4,$M$4:$Q$4,0))/12)</f>
        <v/>
      </c>
      <c r="BM533" s="257">
        <f>IF($K533="Monthly",i_Assumptions!BM574,INDEX($M533:$Q533,,MATCH(BM$4,$M$4:$Q$4,0))/12)</f>
        <v/>
      </c>
      <c r="BN533" s="257">
        <f>IF($K533="Monthly",i_Assumptions!BN574,INDEX($M533:$Q533,,MATCH(BN$4,$M$4:$Q$4,0))/12)</f>
        <v/>
      </c>
      <c r="BO533" s="257">
        <f>IF($K533="Monthly",i_Assumptions!BO574,INDEX($M533:$Q533,,MATCH(BO$4,$M$4:$Q$4,0))/12)</f>
        <v/>
      </c>
      <c r="BP533" s="257">
        <f>IF($K533="Monthly",i_Assumptions!BP574,INDEX($M533:$Q533,,MATCH(BP$4,$M$4:$Q$4,0))/12)</f>
        <v/>
      </c>
      <c r="BQ533" s="257">
        <f>IF($K533="Monthly",i_Assumptions!BQ574,INDEX($M533:$Q533,,MATCH(BQ$4,$M$4:$Q$4,0))/12)</f>
        <v/>
      </c>
      <c r="BR533" s="257">
        <f>IF($K533="Monthly",i_Assumptions!BR574,INDEX($M533:$Q533,,MATCH(BR$4,$M$4:$Q$4,0))/12)</f>
        <v/>
      </c>
      <c r="BS533" s="257">
        <f>IF($K533="Monthly",i_Assumptions!BS574,INDEX($M533:$Q533,,MATCH(BS$4,$M$4:$Q$4,0))/12)</f>
        <v/>
      </c>
      <c r="BT533" s="257">
        <f>IF($K533="Monthly",i_Assumptions!BT574,INDEX($M533:$Q533,,MATCH(BT$4,$M$4:$Q$4,0))/12)</f>
        <v/>
      </c>
      <c r="BU533" s="257">
        <f>IF($K533="Monthly",i_Assumptions!BU574,INDEX($M533:$Q533,,MATCH(BU$4,$M$4:$Q$4,0))/12)</f>
        <v/>
      </c>
      <c r="BV533" s="257">
        <f>IF($K533="Monthly",i_Assumptions!BV574,INDEX($M533:$Q533,,MATCH(BV$4,$M$4:$Q$4,0))/12)</f>
        <v/>
      </c>
      <c r="BW533" s="257">
        <f>IF($K533="Monthly",i_Assumptions!BW574,INDEX($M533:$Q533,,MATCH(BW$4,$M$4:$Q$4,0))/12)</f>
        <v/>
      </c>
      <c r="BX533" s="257">
        <f>IF($K533="Monthly",i_Assumptions!BX574,INDEX($M533:$Q533,,MATCH(BX$4,$M$4:$Q$4,0))/12)</f>
        <v/>
      </c>
      <c r="BY533" s="257">
        <f>IF($K533="Monthly",i_Assumptions!BY574,INDEX($M533:$Q533,,MATCH(BY$4,$M$4:$Q$4,0))/12)</f>
        <v/>
      </c>
      <c r="BZ533" s="257">
        <f>IF($K533="Monthly",i_Assumptions!BZ574,INDEX($M533:$Q533,,MATCH(BZ$4,$M$4:$Q$4,0))/12)</f>
        <v/>
      </c>
      <c r="CA533" s="257">
        <f>IF($K533="Monthly",i_Assumptions!CA574,INDEX($M533:$Q533,,MATCH(CA$4,$M$4:$Q$4,0))/12)</f>
        <v/>
      </c>
    </row>
    <row r="534" ht="12" customHeight="1" s="227">
      <c r="A534" s="244" t="n"/>
      <c r="B534" s="244" t="n"/>
      <c r="C534" s="244" t="n"/>
      <c r="H534" s="4">
        <f>i_Setup!U98</f>
        <v/>
      </c>
      <c r="I534" s="27">
        <f>i_Setup!$M$16</f>
        <v/>
      </c>
      <c r="K534" s="259">
        <f>i_Assumptions!K575</f>
        <v/>
      </c>
      <c r="M534" s="257">
        <f>IF($K534="Monthly",0,i_Assumptions!M575)</f>
        <v/>
      </c>
      <c r="N534" s="257">
        <f>IF($K534="Monthly",0,i_Assumptions!N575)</f>
        <v/>
      </c>
      <c r="O534" s="257">
        <f>IF($K534="Monthly",0,i_Assumptions!O575)</f>
        <v/>
      </c>
      <c r="P534" s="257">
        <f>IF($K534="Monthly",0,i_Assumptions!P575)</f>
        <v/>
      </c>
      <c r="Q534" s="257">
        <f>IF($K534="Monthly",0,i_Assumptions!Q575)</f>
        <v/>
      </c>
      <c r="T534" s="257">
        <f>IF($K534="Monthly",i_Assumptions!T575,INDEX($M534:$Q534,,MATCH(T$4,$M$4:$Q$4,0))/12)</f>
        <v/>
      </c>
      <c r="U534" s="257">
        <f>IF($K534="Monthly",i_Assumptions!U575,INDEX($M534:$Q534,,MATCH(U$4,$M$4:$Q$4,0))/12)</f>
        <v/>
      </c>
      <c r="V534" s="257">
        <f>IF($K534="Monthly",i_Assumptions!V575,INDEX($M534:$Q534,,MATCH(V$4,$M$4:$Q$4,0))/12)</f>
        <v/>
      </c>
      <c r="W534" s="257">
        <f>IF($K534="Monthly",i_Assumptions!W575,INDEX($M534:$Q534,,MATCH(W$4,$M$4:$Q$4,0))/12)</f>
        <v/>
      </c>
      <c r="X534" s="257">
        <f>IF($K534="Monthly",i_Assumptions!X575,INDEX($M534:$Q534,,MATCH(X$4,$M$4:$Q$4,0))/12)</f>
        <v/>
      </c>
      <c r="Y534" s="257">
        <f>IF($K534="Monthly",i_Assumptions!Y575,INDEX($M534:$Q534,,MATCH(Y$4,$M$4:$Q$4,0))/12)</f>
        <v/>
      </c>
      <c r="Z534" s="257">
        <f>IF($K534="Monthly",i_Assumptions!Z575,INDEX($M534:$Q534,,MATCH(Z$4,$M$4:$Q$4,0))/12)</f>
        <v/>
      </c>
      <c r="AA534" s="257">
        <f>IF($K534="Monthly",i_Assumptions!AA575,INDEX($M534:$Q534,,MATCH(AA$4,$M$4:$Q$4,0))/12)</f>
        <v/>
      </c>
      <c r="AB534" s="257">
        <f>IF($K534="Monthly",i_Assumptions!AB575,INDEX($M534:$Q534,,MATCH(AB$4,$M$4:$Q$4,0))/12)</f>
        <v/>
      </c>
      <c r="AC534" s="257">
        <f>IF($K534="Monthly",i_Assumptions!AC575,INDEX($M534:$Q534,,MATCH(AC$4,$M$4:$Q$4,0))/12)</f>
        <v/>
      </c>
      <c r="AD534" s="257">
        <f>IF($K534="Monthly",i_Assumptions!AD575,INDEX($M534:$Q534,,MATCH(AD$4,$M$4:$Q$4,0))/12)</f>
        <v/>
      </c>
      <c r="AE534" s="257">
        <f>IF($K534="Monthly",i_Assumptions!AE575,INDEX($M534:$Q534,,MATCH(AE$4,$M$4:$Q$4,0))/12)</f>
        <v/>
      </c>
      <c r="AF534" s="257">
        <f>IF($K534="Monthly",i_Assumptions!AF575,INDEX($M534:$Q534,,MATCH(AF$4,$M$4:$Q$4,0))/12)</f>
        <v/>
      </c>
      <c r="AG534" s="257">
        <f>IF($K534="Monthly",i_Assumptions!AG575,INDEX($M534:$Q534,,MATCH(AG$4,$M$4:$Q$4,0))/12)</f>
        <v/>
      </c>
      <c r="AH534" s="257">
        <f>IF($K534="Monthly",i_Assumptions!AH575,INDEX($M534:$Q534,,MATCH(AH$4,$M$4:$Q$4,0))/12)</f>
        <v/>
      </c>
      <c r="AI534" s="257">
        <f>IF($K534="Monthly",i_Assumptions!AI575,INDEX($M534:$Q534,,MATCH(AI$4,$M$4:$Q$4,0))/12)</f>
        <v/>
      </c>
      <c r="AJ534" s="257">
        <f>IF($K534="Monthly",i_Assumptions!AJ575,INDEX($M534:$Q534,,MATCH(AJ$4,$M$4:$Q$4,0))/12)</f>
        <v/>
      </c>
      <c r="AK534" s="257">
        <f>IF($K534="Monthly",i_Assumptions!AK575,INDEX($M534:$Q534,,MATCH(AK$4,$M$4:$Q$4,0))/12)</f>
        <v/>
      </c>
      <c r="AL534" s="257">
        <f>IF($K534="Monthly",i_Assumptions!AL575,INDEX($M534:$Q534,,MATCH(AL$4,$M$4:$Q$4,0))/12)</f>
        <v/>
      </c>
      <c r="AM534" s="257">
        <f>IF($K534="Monthly",i_Assumptions!AM575,INDEX($M534:$Q534,,MATCH(AM$4,$M$4:$Q$4,0))/12)</f>
        <v/>
      </c>
      <c r="AN534" s="257">
        <f>IF($K534="Monthly",i_Assumptions!AN575,INDEX($M534:$Q534,,MATCH(AN$4,$M$4:$Q$4,0))/12)</f>
        <v/>
      </c>
      <c r="AO534" s="257">
        <f>IF($K534="Monthly",i_Assumptions!AO575,INDEX($M534:$Q534,,MATCH(AO$4,$M$4:$Q$4,0))/12)</f>
        <v/>
      </c>
      <c r="AP534" s="257">
        <f>IF($K534="Monthly",i_Assumptions!AP575,INDEX($M534:$Q534,,MATCH(AP$4,$M$4:$Q$4,0))/12)</f>
        <v/>
      </c>
      <c r="AQ534" s="257">
        <f>IF($K534="Monthly",i_Assumptions!AQ575,INDEX($M534:$Q534,,MATCH(AQ$4,$M$4:$Q$4,0))/12)</f>
        <v/>
      </c>
      <c r="AR534" s="257">
        <f>IF($K534="Monthly",i_Assumptions!AR575,INDEX($M534:$Q534,,MATCH(AR$4,$M$4:$Q$4,0))/12)</f>
        <v/>
      </c>
      <c r="AS534" s="257">
        <f>IF($K534="Monthly",i_Assumptions!AS575,INDEX($M534:$Q534,,MATCH(AS$4,$M$4:$Q$4,0))/12)</f>
        <v/>
      </c>
      <c r="AT534" s="257">
        <f>IF($K534="Monthly",i_Assumptions!AT575,INDEX($M534:$Q534,,MATCH(AT$4,$M$4:$Q$4,0))/12)</f>
        <v/>
      </c>
      <c r="AU534" s="257">
        <f>IF($K534="Monthly",i_Assumptions!AU575,INDEX($M534:$Q534,,MATCH(AU$4,$M$4:$Q$4,0))/12)</f>
        <v/>
      </c>
      <c r="AV534" s="257">
        <f>IF($K534="Monthly",i_Assumptions!AV575,INDEX($M534:$Q534,,MATCH(AV$4,$M$4:$Q$4,0))/12)</f>
        <v/>
      </c>
      <c r="AW534" s="257">
        <f>IF($K534="Monthly",i_Assumptions!AW575,INDEX($M534:$Q534,,MATCH(AW$4,$M$4:$Q$4,0))/12)</f>
        <v/>
      </c>
      <c r="AX534" s="257">
        <f>IF($K534="Monthly",i_Assumptions!AX575,INDEX($M534:$Q534,,MATCH(AX$4,$M$4:$Q$4,0))/12)</f>
        <v/>
      </c>
      <c r="AY534" s="257">
        <f>IF($K534="Monthly",i_Assumptions!AY575,INDEX($M534:$Q534,,MATCH(AY$4,$M$4:$Q$4,0))/12)</f>
        <v/>
      </c>
      <c r="AZ534" s="257">
        <f>IF($K534="Monthly",i_Assumptions!AZ575,INDEX($M534:$Q534,,MATCH(AZ$4,$M$4:$Q$4,0))/12)</f>
        <v/>
      </c>
      <c r="BA534" s="257">
        <f>IF($K534="Monthly",i_Assumptions!BA575,INDEX($M534:$Q534,,MATCH(BA$4,$M$4:$Q$4,0))/12)</f>
        <v/>
      </c>
      <c r="BB534" s="257">
        <f>IF($K534="Monthly",i_Assumptions!BB575,INDEX($M534:$Q534,,MATCH(BB$4,$M$4:$Q$4,0))/12)</f>
        <v/>
      </c>
      <c r="BC534" s="257">
        <f>IF($K534="Monthly",i_Assumptions!BC575,INDEX($M534:$Q534,,MATCH(BC$4,$M$4:$Q$4,0))/12)</f>
        <v/>
      </c>
      <c r="BD534" s="257">
        <f>IF($K534="Monthly",i_Assumptions!BD575,INDEX($M534:$Q534,,MATCH(BD$4,$M$4:$Q$4,0))/12)</f>
        <v/>
      </c>
      <c r="BE534" s="257">
        <f>IF($K534="Monthly",i_Assumptions!BE575,INDEX($M534:$Q534,,MATCH(BE$4,$M$4:$Q$4,0))/12)</f>
        <v/>
      </c>
      <c r="BF534" s="257">
        <f>IF($K534="Monthly",i_Assumptions!BF575,INDEX($M534:$Q534,,MATCH(BF$4,$M$4:$Q$4,0))/12)</f>
        <v/>
      </c>
      <c r="BG534" s="257">
        <f>IF($K534="Monthly",i_Assumptions!BG575,INDEX($M534:$Q534,,MATCH(BG$4,$M$4:$Q$4,0))/12)</f>
        <v/>
      </c>
      <c r="BH534" s="257">
        <f>IF($K534="Monthly",i_Assumptions!BH575,INDEX($M534:$Q534,,MATCH(BH$4,$M$4:$Q$4,0))/12)</f>
        <v/>
      </c>
      <c r="BI534" s="257">
        <f>IF($K534="Monthly",i_Assumptions!BI575,INDEX($M534:$Q534,,MATCH(BI$4,$M$4:$Q$4,0))/12)</f>
        <v/>
      </c>
      <c r="BJ534" s="257">
        <f>IF($K534="Monthly",i_Assumptions!BJ575,INDEX($M534:$Q534,,MATCH(BJ$4,$M$4:$Q$4,0))/12)</f>
        <v/>
      </c>
      <c r="BK534" s="257">
        <f>IF($K534="Monthly",i_Assumptions!BK575,INDEX($M534:$Q534,,MATCH(BK$4,$M$4:$Q$4,0))/12)</f>
        <v/>
      </c>
      <c r="BL534" s="257">
        <f>IF($K534="Monthly",i_Assumptions!BL575,INDEX($M534:$Q534,,MATCH(BL$4,$M$4:$Q$4,0))/12)</f>
        <v/>
      </c>
      <c r="BM534" s="257">
        <f>IF($K534="Monthly",i_Assumptions!BM575,INDEX($M534:$Q534,,MATCH(BM$4,$M$4:$Q$4,0))/12)</f>
        <v/>
      </c>
      <c r="BN534" s="257">
        <f>IF($K534="Monthly",i_Assumptions!BN575,INDEX($M534:$Q534,,MATCH(BN$4,$M$4:$Q$4,0))/12)</f>
        <v/>
      </c>
      <c r="BO534" s="257">
        <f>IF($K534="Monthly",i_Assumptions!BO575,INDEX($M534:$Q534,,MATCH(BO$4,$M$4:$Q$4,0))/12)</f>
        <v/>
      </c>
      <c r="BP534" s="257">
        <f>IF($K534="Monthly",i_Assumptions!BP575,INDEX($M534:$Q534,,MATCH(BP$4,$M$4:$Q$4,0))/12)</f>
        <v/>
      </c>
      <c r="BQ534" s="257">
        <f>IF($K534="Monthly",i_Assumptions!BQ575,INDEX($M534:$Q534,,MATCH(BQ$4,$M$4:$Q$4,0))/12)</f>
        <v/>
      </c>
      <c r="BR534" s="257">
        <f>IF($K534="Monthly",i_Assumptions!BR575,INDEX($M534:$Q534,,MATCH(BR$4,$M$4:$Q$4,0))/12)</f>
        <v/>
      </c>
      <c r="BS534" s="257">
        <f>IF($K534="Monthly",i_Assumptions!BS575,INDEX($M534:$Q534,,MATCH(BS$4,$M$4:$Q$4,0))/12)</f>
        <v/>
      </c>
      <c r="BT534" s="257">
        <f>IF($K534="Monthly",i_Assumptions!BT575,INDEX($M534:$Q534,,MATCH(BT$4,$M$4:$Q$4,0))/12)</f>
        <v/>
      </c>
      <c r="BU534" s="257">
        <f>IF($K534="Monthly",i_Assumptions!BU575,INDEX($M534:$Q534,,MATCH(BU$4,$M$4:$Q$4,0))/12)</f>
        <v/>
      </c>
      <c r="BV534" s="257">
        <f>IF($K534="Monthly",i_Assumptions!BV575,INDEX($M534:$Q534,,MATCH(BV$4,$M$4:$Q$4,0))/12)</f>
        <v/>
      </c>
      <c r="BW534" s="257">
        <f>IF($K534="Monthly",i_Assumptions!BW575,INDEX($M534:$Q534,,MATCH(BW$4,$M$4:$Q$4,0))/12)</f>
        <v/>
      </c>
      <c r="BX534" s="257">
        <f>IF($K534="Monthly",i_Assumptions!BX575,INDEX($M534:$Q534,,MATCH(BX$4,$M$4:$Q$4,0))/12)</f>
        <v/>
      </c>
      <c r="BY534" s="257">
        <f>IF($K534="Monthly",i_Assumptions!BY575,INDEX($M534:$Q534,,MATCH(BY$4,$M$4:$Q$4,0))/12)</f>
        <v/>
      </c>
      <c r="BZ534" s="257">
        <f>IF($K534="Monthly",i_Assumptions!BZ575,INDEX($M534:$Q534,,MATCH(BZ$4,$M$4:$Q$4,0))/12)</f>
        <v/>
      </c>
      <c r="CA534" s="257">
        <f>IF($K534="Monthly",i_Assumptions!CA575,INDEX($M534:$Q534,,MATCH(CA$4,$M$4:$Q$4,0))/12)</f>
        <v/>
      </c>
    </row>
    <row r="535" ht="12" customHeight="1" s="227">
      <c r="A535" s="244" t="n"/>
      <c r="B535" s="244" t="n"/>
      <c r="C535" s="244" t="n"/>
      <c r="H535" s="4">
        <f>i_Setup!U99</f>
        <v/>
      </c>
      <c r="I535" s="27">
        <f>i_Setup!$M$16</f>
        <v/>
      </c>
      <c r="K535" s="259">
        <f>i_Assumptions!K576</f>
        <v/>
      </c>
      <c r="M535" s="257">
        <f>IF($K535="Monthly",0,i_Assumptions!M576)</f>
        <v/>
      </c>
      <c r="N535" s="257">
        <f>IF($K535="Monthly",0,i_Assumptions!N576)</f>
        <v/>
      </c>
      <c r="O535" s="257">
        <f>IF($K535="Monthly",0,i_Assumptions!O576)</f>
        <v/>
      </c>
      <c r="P535" s="257">
        <f>IF($K535="Monthly",0,i_Assumptions!P576)</f>
        <v/>
      </c>
      <c r="Q535" s="257">
        <f>IF($K535="Monthly",0,i_Assumptions!Q576)</f>
        <v/>
      </c>
      <c r="T535" s="257">
        <f>IF($K535="Monthly",i_Assumptions!T576,INDEX($M535:$Q535,,MATCH(T$4,$M$4:$Q$4,0))/12)</f>
        <v/>
      </c>
      <c r="U535" s="257">
        <f>IF($K535="Monthly",i_Assumptions!U576,INDEX($M535:$Q535,,MATCH(U$4,$M$4:$Q$4,0))/12)</f>
        <v/>
      </c>
      <c r="V535" s="257">
        <f>IF($K535="Monthly",i_Assumptions!V576,INDEX($M535:$Q535,,MATCH(V$4,$M$4:$Q$4,0))/12)</f>
        <v/>
      </c>
      <c r="W535" s="257">
        <f>IF($K535="Monthly",i_Assumptions!W576,INDEX($M535:$Q535,,MATCH(W$4,$M$4:$Q$4,0))/12)</f>
        <v/>
      </c>
      <c r="X535" s="257">
        <f>IF($K535="Monthly",i_Assumptions!X576,INDEX($M535:$Q535,,MATCH(X$4,$M$4:$Q$4,0))/12)</f>
        <v/>
      </c>
      <c r="Y535" s="257">
        <f>IF($K535="Monthly",i_Assumptions!Y576,INDEX($M535:$Q535,,MATCH(Y$4,$M$4:$Q$4,0))/12)</f>
        <v/>
      </c>
      <c r="Z535" s="257">
        <f>IF($K535="Monthly",i_Assumptions!Z576,INDEX($M535:$Q535,,MATCH(Z$4,$M$4:$Q$4,0))/12)</f>
        <v/>
      </c>
      <c r="AA535" s="257">
        <f>IF($K535="Monthly",i_Assumptions!AA576,INDEX($M535:$Q535,,MATCH(AA$4,$M$4:$Q$4,0))/12)</f>
        <v/>
      </c>
      <c r="AB535" s="257">
        <f>IF($K535="Monthly",i_Assumptions!AB576,INDEX($M535:$Q535,,MATCH(AB$4,$M$4:$Q$4,0))/12)</f>
        <v/>
      </c>
      <c r="AC535" s="257">
        <f>IF($K535="Monthly",i_Assumptions!AC576,INDEX($M535:$Q535,,MATCH(AC$4,$M$4:$Q$4,0))/12)</f>
        <v/>
      </c>
      <c r="AD535" s="257">
        <f>IF($K535="Monthly",i_Assumptions!AD576,INDEX($M535:$Q535,,MATCH(AD$4,$M$4:$Q$4,0))/12)</f>
        <v/>
      </c>
      <c r="AE535" s="257">
        <f>IF($K535="Monthly",i_Assumptions!AE576,INDEX($M535:$Q535,,MATCH(AE$4,$M$4:$Q$4,0))/12)</f>
        <v/>
      </c>
      <c r="AF535" s="257">
        <f>IF($K535="Monthly",i_Assumptions!AF576,INDEX($M535:$Q535,,MATCH(AF$4,$M$4:$Q$4,0))/12)</f>
        <v/>
      </c>
      <c r="AG535" s="257">
        <f>IF($K535="Monthly",i_Assumptions!AG576,INDEX($M535:$Q535,,MATCH(AG$4,$M$4:$Q$4,0))/12)</f>
        <v/>
      </c>
      <c r="AH535" s="257">
        <f>IF($K535="Monthly",i_Assumptions!AH576,INDEX($M535:$Q535,,MATCH(AH$4,$M$4:$Q$4,0))/12)</f>
        <v/>
      </c>
      <c r="AI535" s="257">
        <f>IF($K535="Monthly",i_Assumptions!AI576,INDEX($M535:$Q535,,MATCH(AI$4,$M$4:$Q$4,0))/12)</f>
        <v/>
      </c>
      <c r="AJ535" s="257">
        <f>IF($K535="Monthly",i_Assumptions!AJ576,INDEX($M535:$Q535,,MATCH(AJ$4,$M$4:$Q$4,0))/12)</f>
        <v/>
      </c>
      <c r="AK535" s="257">
        <f>IF($K535="Monthly",i_Assumptions!AK576,INDEX($M535:$Q535,,MATCH(AK$4,$M$4:$Q$4,0))/12)</f>
        <v/>
      </c>
      <c r="AL535" s="257">
        <f>IF($K535="Monthly",i_Assumptions!AL576,INDEX($M535:$Q535,,MATCH(AL$4,$M$4:$Q$4,0))/12)</f>
        <v/>
      </c>
      <c r="AM535" s="257">
        <f>IF($K535="Monthly",i_Assumptions!AM576,INDEX($M535:$Q535,,MATCH(AM$4,$M$4:$Q$4,0))/12)</f>
        <v/>
      </c>
      <c r="AN535" s="257">
        <f>IF($K535="Monthly",i_Assumptions!AN576,INDEX($M535:$Q535,,MATCH(AN$4,$M$4:$Q$4,0))/12)</f>
        <v/>
      </c>
      <c r="AO535" s="257">
        <f>IF($K535="Monthly",i_Assumptions!AO576,INDEX($M535:$Q535,,MATCH(AO$4,$M$4:$Q$4,0))/12)</f>
        <v/>
      </c>
      <c r="AP535" s="257">
        <f>IF($K535="Monthly",i_Assumptions!AP576,INDEX($M535:$Q535,,MATCH(AP$4,$M$4:$Q$4,0))/12)</f>
        <v/>
      </c>
      <c r="AQ535" s="257">
        <f>IF($K535="Monthly",i_Assumptions!AQ576,INDEX($M535:$Q535,,MATCH(AQ$4,$M$4:$Q$4,0))/12)</f>
        <v/>
      </c>
      <c r="AR535" s="257">
        <f>IF($K535="Monthly",i_Assumptions!AR576,INDEX($M535:$Q535,,MATCH(AR$4,$M$4:$Q$4,0))/12)</f>
        <v/>
      </c>
      <c r="AS535" s="257">
        <f>IF($K535="Monthly",i_Assumptions!AS576,INDEX($M535:$Q535,,MATCH(AS$4,$M$4:$Q$4,0))/12)</f>
        <v/>
      </c>
      <c r="AT535" s="257">
        <f>IF($K535="Monthly",i_Assumptions!AT576,INDEX($M535:$Q535,,MATCH(AT$4,$M$4:$Q$4,0))/12)</f>
        <v/>
      </c>
      <c r="AU535" s="257">
        <f>IF($K535="Monthly",i_Assumptions!AU576,INDEX($M535:$Q535,,MATCH(AU$4,$M$4:$Q$4,0))/12)</f>
        <v/>
      </c>
      <c r="AV535" s="257">
        <f>IF($K535="Monthly",i_Assumptions!AV576,INDEX($M535:$Q535,,MATCH(AV$4,$M$4:$Q$4,0))/12)</f>
        <v/>
      </c>
      <c r="AW535" s="257">
        <f>IF($K535="Monthly",i_Assumptions!AW576,INDEX($M535:$Q535,,MATCH(AW$4,$M$4:$Q$4,0))/12)</f>
        <v/>
      </c>
      <c r="AX535" s="257">
        <f>IF($K535="Monthly",i_Assumptions!AX576,INDEX($M535:$Q535,,MATCH(AX$4,$M$4:$Q$4,0))/12)</f>
        <v/>
      </c>
      <c r="AY535" s="257">
        <f>IF($K535="Monthly",i_Assumptions!AY576,INDEX($M535:$Q535,,MATCH(AY$4,$M$4:$Q$4,0))/12)</f>
        <v/>
      </c>
      <c r="AZ535" s="257">
        <f>IF($K535="Monthly",i_Assumptions!AZ576,INDEX($M535:$Q535,,MATCH(AZ$4,$M$4:$Q$4,0))/12)</f>
        <v/>
      </c>
      <c r="BA535" s="257">
        <f>IF($K535="Monthly",i_Assumptions!BA576,INDEX($M535:$Q535,,MATCH(BA$4,$M$4:$Q$4,0))/12)</f>
        <v/>
      </c>
      <c r="BB535" s="257">
        <f>IF($K535="Monthly",i_Assumptions!BB576,INDEX($M535:$Q535,,MATCH(BB$4,$M$4:$Q$4,0))/12)</f>
        <v/>
      </c>
      <c r="BC535" s="257">
        <f>IF($K535="Monthly",i_Assumptions!BC576,INDEX($M535:$Q535,,MATCH(BC$4,$M$4:$Q$4,0))/12)</f>
        <v/>
      </c>
      <c r="BD535" s="257">
        <f>IF($K535="Monthly",i_Assumptions!BD576,INDEX($M535:$Q535,,MATCH(BD$4,$M$4:$Q$4,0))/12)</f>
        <v/>
      </c>
      <c r="BE535" s="257">
        <f>IF($K535="Monthly",i_Assumptions!BE576,INDEX($M535:$Q535,,MATCH(BE$4,$M$4:$Q$4,0))/12)</f>
        <v/>
      </c>
      <c r="BF535" s="257">
        <f>IF($K535="Monthly",i_Assumptions!BF576,INDEX($M535:$Q535,,MATCH(BF$4,$M$4:$Q$4,0))/12)</f>
        <v/>
      </c>
      <c r="BG535" s="257">
        <f>IF($K535="Monthly",i_Assumptions!BG576,INDEX($M535:$Q535,,MATCH(BG$4,$M$4:$Q$4,0))/12)</f>
        <v/>
      </c>
      <c r="BH535" s="257">
        <f>IF($K535="Monthly",i_Assumptions!BH576,INDEX($M535:$Q535,,MATCH(BH$4,$M$4:$Q$4,0))/12)</f>
        <v/>
      </c>
      <c r="BI535" s="257">
        <f>IF($K535="Monthly",i_Assumptions!BI576,INDEX($M535:$Q535,,MATCH(BI$4,$M$4:$Q$4,0))/12)</f>
        <v/>
      </c>
      <c r="BJ535" s="257">
        <f>IF($K535="Monthly",i_Assumptions!BJ576,INDEX($M535:$Q535,,MATCH(BJ$4,$M$4:$Q$4,0))/12)</f>
        <v/>
      </c>
      <c r="BK535" s="257">
        <f>IF($K535="Monthly",i_Assumptions!BK576,INDEX($M535:$Q535,,MATCH(BK$4,$M$4:$Q$4,0))/12)</f>
        <v/>
      </c>
      <c r="BL535" s="257">
        <f>IF($K535="Monthly",i_Assumptions!BL576,INDEX($M535:$Q535,,MATCH(BL$4,$M$4:$Q$4,0))/12)</f>
        <v/>
      </c>
      <c r="BM535" s="257">
        <f>IF($K535="Monthly",i_Assumptions!BM576,INDEX($M535:$Q535,,MATCH(BM$4,$M$4:$Q$4,0))/12)</f>
        <v/>
      </c>
      <c r="BN535" s="257">
        <f>IF($K535="Monthly",i_Assumptions!BN576,INDEX($M535:$Q535,,MATCH(BN$4,$M$4:$Q$4,0))/12)</f>
        <v/>
      </c>
      <c r="BO535" s="257">
        <f>IF($K535="Monthly",i_Assumptions!BO576,INDEX($M535:$Q535,,MATCH(BO$4,$M$4:$Q$4,0))/12)</f>
        <v/>
      </c>
      <c r="BP535" s="257">
        <f>IF($K535="Monthly",i_Assumptions!BP576,INDEX($M535:$Q535,,MATCH(BP$4,$M$4:$Q$4,0))/12)</f>
        <v/>
      </c>
      <c r="BQ535" s="257">
        <f>IF($K535="Monthly",i_Assumptions!BQ576,INDEX($M535:$Q535,,MATCH(BQ$4,$M$4:$Q$4,0))/12)</f>
        <v/>
      </c>
      <c r="BR535" s="257">
        <f>IF($K535="Monthly",i_Assumptions!BR576,INDEX($M535:$Q535,,MATCH(BR$4,$M$4:$Q$4,0))/12)</f>
        <v/>
      </c>
      <c r="BS535" s="257">
        <f>IF($K535="Monthly",i_Assumptions!BS576,INDEX($M535:$Q535,,MATCH(BS$4,$M$4:$Q$4,0))/12)</f>
        <v/>
      </c>
      <c r="BT535" s="257">
        <f>IF($K535="Monthly",i_Assumptions!BT576,INDEX($M535:$Q535,,MATCH(BT$4,$M$4:$Q$4,0))/12)</f>
        <v/>
      </c>
      <c r="BU535" s="257">
        <f>IF($K535="Monthly",i_Assumptions!BU576,INDEX($M535:$Q535,,MATCH(BU$4,$M$4:$Q$4,0))/12)</f>
        <v/>
      </c>
      <c r="BV535" s="257">
        <f>IF($K535="Monthly",i_Assumptions!BV576,INDEX($M535:$Q535,,MATCH(BV$4,$M$4:$Q$4,0))/12)</f>
        <v/>
      </c>
      <c r="BW535" s="257">
        <f>IF($K535="Monthly",i_Assumptions!BW576,INDEX($M535:$Q535,,MATCH(BW$4,$M$4:$Q$4,0))/12)</f>
        <v/>
      </c>
      <c r="BX535" s="257">
        <f>IF($K535="Monthly",i_Assumptions!BX576,INDEX($M535:$Q535,,MATCH(BX$4,$M$4:$Q$4,0))/12)</f>
        <v/>
      </c>
      <c r="BY535" s="257">
        <f>IF($K535="Monthly",i_Assumptions!BY576,INDEX($M535:$Q535,,MATCH(BY$4,$M$4:$Q$4,0))/12)</f>
        <v/>
      </c>
      <c r="BZ535" s="257">
        <f>IF($K535="Monthly",i_Assumptions!BZ576,INDEX($M535:$Q535,,MATCH(BZ$4,$M$4:$Q$4,0))/12)</f>
        <v/>
      </c>
      <c r="CA535" s="257">
        <f>IF($K535="Monthly",i_Assumptions!CA576,INDEX($M535:$Q535,,MATCH(CA$4,$M$4:$Q$4,0))/12)</f>
        <v/>
      </c>
    </row>
    <row r="536" ht="12" customHeight="1" s="227">
      <c r="A536" s="244" t="n"/>
      <c r="B536" s="244" t="n"/>
      <c r="C536" s="244" t="n"/>
      <c r="H536" s="4">
        <f>i_Setup!U100</f>
        <v/>
      </c>
      <c r="I536" s="27">
        <f>i_Setup!$M$16</f>
        <v/>
      </c>
      <c r="K536" s="259">
        <f>i_Assumptions!K577</f>
        <v/>
      </c>
      <c r="M536" s="257">
        <f>IF($K536="Monthly",0,i_Assumptions!M577)</f>
        <v/>
      </c>
      <c r="N536" s="257">
        <f>IF($K536="Monthly",0,i_Assumptions!N577)</f>
        <v/>
      </c>
      <c r="O536" s="257">
        <f>IF($K536="Monthly",0,i_Assumptions!O577)</f>
        <v/>
      </c>
      <c r="P536" s="257">
        <f>IF($K536="Monthly",0,i_Assumptions!P577)</f>
        <v/>
      </c>
      <c r="Q536" s="257">
        <f>IF($K536="Monthly",0,i_Assumptions!Q577)</f>
        <v/>
      </c>
      <c r="T536" s="257">
        <f>IF($K536="Monthly",i_Assumptions!T577,INDEX($M536:$Q536,,MATCH(T$4,$M$4:$Q$4,0))/12)</f>
        <v/>
      </c>
      <c r="U536" s="257">
        <f>IF($K536="Monthly",i_Assumptions!U577,INDEX($M536:$Q536,,MATCH(U$4,$M$4:$Q$4,0))/12)</f>
        <v/>
      </c>
      <c r="V536" s="257">
        <f>IF($K536="Monthly",i_Assumptions!V577,INDEX($M536:$Q536,,MATCH(V$4,$M$4:$Q$4,0))/12)</f>
        <v/>
      </c>
      <c r="W536" s="257">
        <f>IF($K536="Monthly",i_Assumptions!W577,INDEX($M536:$Q536,,MATCH(W$4,$M$4:$Q$4,0))/12)</f>
        <v/>
      </c>
      <c r="X536" s="257">
        <f>IF($K536="Monthly",i_Assumptions!X577,INDEX($M536:$Q536,,MATCH(X$4,$M$4:$Q$4,0))/12)</f>
        <v/>
      </c>
      <c r="Y536" s="257">
        <f>IF($K536="Monthly",i_Assumptions!Y577,INDEX($M536:$Q536,,MATCH(Y$4,$M$4:$Q$4,0))/12)</f>
        <v/>
      </c>
      <c r="Z536" s="257">
        <f>IF($K536="Monthly",i_Assumptions!Z577,INDEX($M536:$Q536,,MATCH(Z$4,$M$4:$Q$4,0))/12)</f>
        <v/>
      </c>
      <c r="AA536" s="257">
        <f>IF($K536="Monthly",i_Assumptions!AA577,INDEX($M536:$Q536,,MATCH(AA$4,$M$4:$Q$4,0))/12)</f>
        <v/>
      </c>
      <c r="AB536" s="257">
        <f>IF($K536="Monthly",i_Assumptions!AB577,INDEX($M536:$Q536,,MATCH(AB$4,$M$4:$Q$4,0))/12)</f>
        <v/>
      </c>
      <c r="AC536" s="257">
        <f>IF($K536="Monthly",i_Assumptions!AC577,INDEX($M536:$Q536,,MATCH(AC$4,$M$4:$Q$4,0))/12)</f>
        <v/>
      </c>
      <c r="AD536" s="257">
        <f>IF($K536="Monthly",i_Assumptions!AD577,INDEX($M536:$Q536,,MATCH(AD$4,$M$4:$Q$4,0))/12)</f>
        <v/>
      </c>
      <c r="AE536" s="257">
        <f>IF($K536="Monthly",i_Assumptions!AE577,INDEX($M536:$Q536,,MATCH(AE$4,$M$4:$Q$4,0))/12)</f>
        <v/>
      </c>
      <c r="AF536" s="257">
        <f>IF($K536="Monthly",i_Assumptions!AF577,INDEX($M536:$Q536,,MATCH(AF$4,$M$4:$Q$4,0))/12)</f>
        <v/>
      </c>
      <c r="AG536" s="257">
        <f>IF($K536="Monthly",i_Assumptions!AG577,INDEX($M536:$Q536,,MATCH(AG$4,$M$4:$Q$4,0))/12)</f>
        <v/>
      </c>
      <c r="AH536" s="257">
        <f>IF($K536="Monthly",i_Assumptions!AH577,INDEX($M536:$Q536,,MATCH(AH$4,$M$4:$Q$4,0))/12)</f>
        <v/>
      </c>
      <c r="AI536" s="257">
        <f>IF($K536="Monthly",i_Assumptions!AI577,INDEX($M536:$Q536,,MATCH(AI$4,$M$4:$Q$4,0))/12)</f>
        <v/>
      </c>
      <c r="AJ536" s="257">
        <f>IF($K536="Monthly",i_Assumptions!AJ577,INDEX($M536:$Q536,,MATCH(AJ$4,$M$4:$Q$4,0))/12)</f>
        <v/>
      </c>
      <c r="AK536" s="257">
        <f>IF($K536="Monthly",i_Assumptions!AK577,INDEX($M536:$Q536,,MATCH(AK$4,$M$4:$Q$4,0))/12)</f>
        <v/>
      </c>
      <c r="AL536" s="257">
        <f>IF($K536="Monthly",i_Assumptions!AL577,INDEX($M536:$Q536,,MATCH(AL$4,$M$4:$Q$4,0))/12)</f>
        <v/>
      </c>
      <c r="AM536" s="257">
        <f>IF($K536="Monthly",i_Assumptions!AM577,INDEX($M536:$Q536,,MATCH(AM$4,$M$4:$Q$4,0))/12)</f>
        <v/>
      </c>
      <c r="AN536" s="257">
        <f>IF($K536="Monthly",i_Assumptions!AN577,INDEX($M536:$Q536,,MATCH(AN$4,$M$4:$Q$4,0))/12)</f>
        <v/>
      </c>
      <c r="AO536" s="257">
        <f>IF($K536="Monthly",i_Assumptions!AO577,INDEX($M536:$Q536,,MATCH(AO$4,$M$4:$Q$4,0))/12)</f>
        <v/>
      </c>
      <c r="AP536" s="257">
        <f>IF($K536="Monthly",i_Assumptions!AP577,INDEX($M536:$Q536,,MATCH(AP$4,$M$4:$Q$4,0))/12)</f>
        <v/>
      </c>
      <c r="AQ536" s="257">
        <f>IF($K536="Monthly",i_Assumptions!AQ577,INDEX($M536:$Q536,,MATCH(AQ$4,$M$4:$Q$4,0))/12)</f>
        <v/>
      </c>
      <c r="AR536" s="257">
        <f>IF($K536="Monthly",i_Assumptions!AR577,INDEX($M536:$Q536,,MATCH(AR$4,$M$4:$Q$4,0))/12)</f>
        <v/>
      </c>
      <c r="AS536" s="257">
        <f>IF($K536="Monthly",i_Assumptions!AS577,INDEX($M536:$Q536,,MATCH(AS$4,$M$4:$Q$4,0))/12)</f>
        <v/>
      </c>
      <c r="AT536" s="257">
        <f>IF($K536="Monthly",i_Assumptions!AT577,INDEX($M536:$Q536,,MATCH(AT$4,$M$4:$Q$4,0))/12)</f>
        <v/>
      </c>
      <c r="AU536" s="257">
        <f>IF($K536="Monthly",i_Assumptions!AU577,INDEX($M536:$Q536,,MATCH(AU$4,$M$4:$Q$4,0))/12)</f>
        <v/>
      </c>
      <c r="AV536" s="257">
        <f>IF($K536="Monthly",i_Assumptions!AV577,INDEX($M536:$Q536,,MATCH(AV$4,$M$4:$Q$4,0))/12)</f>
        <v/>
      </c>
      <c r="AW536" s="257">
        <f>IF($K536="Monthly",i_Assumptions!AW577,INDEX($M536:$Q536,,MATCH(AW$4,$M$4:$Q$4,0))/12)</f>
        <v/>
      </c>
      <c r="AX536" s="257">
        <f>IF($K536="Monthly",i_Assumptions!AX577,INDEX($M536:$Q536,,MATCH(AX$4,$M$4:$Q$4,0))/12)</f>
        <v/>
      </c>
      <c r="AY536" s="257">
        <f>IF($K536="Monthly",i_Assumptions!AY577,INDEX($M536:$Q536,,MATCH(AY$4,$M$4:$Q$4,0))/12)</f>
        <v/>
      </c>
      <c r="AZ536" s="257">
        <f>IF($K536="Monthly",i_Assumptions!AZ577,INDEX($M536:$Q536,,MATCH(AZ$4,$M$4:$Q$4,0))/12)</f>
        <v/>
      </c>
      <c r="BA536" s="257">
        <f>IF($K536="Monthly",i_Assumptions!BA577,INDEX($M536:$Q536,,MATCH(BA$4,$M$4:$Q$4,0))/12)</f>
        <v/>
      </c>
      <c r="BB536" s="257">
        <f>IF($K536="Monthly",i_Assumptions!BB577,INDEX($M536:$Q536,,MATCH(BB$4,$M$4:$Q$4,0))/12)</f>
        <v/>
      </c>
      <c r="BC536" s="257">
        <f>IF($K536="Monthly",i_Assumptions!BC577,INDEX($M536:$Q536,,MATCH(BC$4,$M$4:$Q$4,0))/12)</f>
        <v/>
      </c>
      <c r="BD536" s="257">
        <f>IF($K536="Monthly",i_Assumptions!BD577,INDEX($M536:$Q536,,MATCH(BD$4,$M$4:$Q$4,0))/12)</f>
        <v/>
      </c>
      <c r="BE536" s="257">
        <f>IF($K536="Monthly",i_Assumptions!BE577,INDEX($M536:$Q536,,MATCH(BE$4,$M$4:$Q$4,0))/12)</f>
        <v/>
      </c>
      <c r="BF536" s="257">
        <f>IF($K536="Monthly",i_Assumptions!BF577,INDEX($M536:$Q536,,MATCH(BF$4,$M$4:$Q$4,0))/12)</f>
        <v/>
      </c>
      <c r="BG536" s="257">
        <f>IF($K536="Monthly",i_Assumptions!BG577,INDEX($M536:$Q536,,MATCH(BG$4,$M$4:$Q$4,0))/12)</f>
        <v/>
      </c>
      <c r="BH536" s="257">
        <f>IF($K536="Monthly",i_Assumptions!BH577,INDEX($M536:$Q536,,MATCH(BH$4,$M$4:$Q$4,0))/12)</f>
        <v/>
      </c>
      <c r="BI536" s="257">
        <f>IF($K536="Monthly",i_Assumptions!BI577,INDEX($M536:$Q536,,MATCH(BI$4,$M$4:$Q$4,0))/12)</f>
        <v/>
      </c>
      <c r="BJ536" s="257">
        <f>IF($K536="Monthly",i_Assumptions!BJ577,INDEX($M536:$Q536,,MATCH(BJ$4,$M$4:$Q$4,0))/12)</f>
        <v/>
      </c>
      <c r="BK536" s="257">
        <f>IF($K536="Monthly",i_Assumptions!BK577,INDEX($M536:$Q536,,MATCH(BK$4,$M$4:$Q$4,0))/12)</f>
        <v/>
      </c>
      <c r="BL536" s="257">
        <f>IF($K536="Monthly",i_Assumptions!BL577,INDEX($M536:$Q536,,MATCH(BL$4,$M$4:$Q$4,0))/12)</f>
        <v/>
      </c>
      <c r="BM536" s="257">
        <f>IF($K536="Monthly",i_Assumptions!BM577,INDEX($M536:$Q536,,MATCH(BM$4,$M$4:$Q$4,0))/12)</f>
        <v/>
      </c>
      <c r="BN536" s="257">
        <f>IF($K536="Monthly",i_Assumptions!BN577,INDEX($M536:$Q536,,MATCH(BN$4,$M$4:$Q$4,0))/12)</f>
        <v/>
      </c>
      <c r="BO536" s="257">
        <f>IF($K536="Monthly",i_Assumptions!BO577,INDEX($M536:$Q536,,MATCH(BO$4,$M$4:$Q$4,0))/12)</f>
        <v/>
      </c>
      <c r="BP536" s="257">
        <f>IF($K536="Monthly",i_Assumptions!BP577,INDEX($M536:$Q536,,MATCH(BP$4,$M$4:$Q$4,0))/12)</f>
        <v/>
      </c>
      <c r="BQ536" s="257">
        <f>IF($K536="Monthly",i_Assumptions!BQ577,INDEX($M536:$Q536,,MATCH(BQ$4,$M$4:$Q$4,0))/12)</f>
        <v/>
      </c>
      <c r="BR536" s="257">
        <f>IF($K536="Monthly",i_Assumptions!BR577,INDEX($M536:$Q536,,MATCH(BR$4,$M$4:$Q$4,0))/12)</f>
        <v/>
      </c>
      <c r="BS536" s="257">
        <f>IF($K536="Monthly",i_Assumptions!BS577,INDEX($M536:$Q536,,MATCH(BS$4,$M$4:$Q$4,0))/12)</f>
        <v/>
      </c>
      <c r="BT536" s="257">
        <f>IF($K536="Monthly",i_Assumptions!BT577,INDEX($M536:$Q536,,MATCH(BT$4,$M$4:$Q$4,0))/12)</f>
        <v/>
      </c>
      <c r="BU536" s="257">
        <f>IF($K536="Monthly",i_Assumptions!BU577,INDEX($M536:$Q536,,MATCH(BU$4,$M$4:$Q$4,0))/12)</f>
        <v/>
      </c>
      <c r="BV536" s="257">
        <f>IF($K536="Monthly",i_Assumptions!BV577,INDEX($M536:$Q536,,MATCH(BV$4,$M$4:$Q$4,0))/12)</f>
        <v/>
      </c>
      <c r="BW536" s="257">
        <f>IF($K536="Monthly",i_Assumptions!BW577,INDEX($M536:$Q536,,MATCH(BW$4,$M$4:$Q$4,0))/12)</f>
        <v/>
      </c>
      <c r="BX536" s="257">
        <f>IF($K536="Monthly",i_Assumptions!BX577,INDEX($M536:$Q536,,MATCH(BX$4,$M$4:$Q$4,0))/12)</f>
        <v/>
      </c>
      <c r="BY536" s="257">
        <f>IF($K536="Monthly",i_Assumptions!BY577,INDEX($M536:$Q536,,MATCH(BY$4,$M$4:$Q$4,0))/12)</f>
        <v/>
      </c>
      <c r="BZ536" s="257">
        <f>IF($K536="Monthly",i_Assumptions!BZ577,INDEX($M536:$Q536,,MATCH(BZ$4,$M$4:$Q$4,0))/12)</f>
        <v/>
      </c>
      <c r="CA536" s="257">
        <f>IF($K536="Monthly",i_Assumptions!CA577,INDEX($M536:$Q536,,MATCH(CA$4,$M$4:$Q$4,0))/12)</f>
        <v/>
      </c>
    </row>
    <row r="537" ht="12" customHeight="1" s="227">
      <c r="A537" s="244" t="n"/>
      <c r="B537" s="244" t="n"/>
      <c r="C537" s="244" t="n"/>
      <c r="H537" s="4">
        <f>i_Setup!U101</f>
        <v/>
      </c>
      <c r="I537" s="27">
        <f>i_Setup!$M$16</f>
        <v/>
      </c>
      <c r="K537" s="259">
        <f>i_Assumptions!K578</f>
        <v/>
      </c>
      <c r="M537" s="257">
        <f>IF($K537="Monthly",0,i_Assumptions!M578)</f>
        <v/>
      </c>
      <c r="N537" s="257">
        <f>IF($K537="Monthly",0,i_Assumptions!N578)</f>
        <v/>
      </c>
      <c r="O537" s="257">
        <f>IF($K537="Monthly",0,i_Assumptions!O578)</f>
        <v/>
      </c>
      <c r="P537" s="257">
        <f>IF($K537="Monthly",0,i_Assumptions!P578)</f>
        <v/>
      </c>
      <c r="Q537" s="257">
        <f>IF($K537="Monthly",0,i_Assumptions!Q578)</f>
        <v/>
      </c>
      <c r="T537" s="257">
        <f>IF($K537="Monthly",i_Assumptions!T578,INDEX($M537:$Q537,,MATCH(T$4,$M$4:$Q$4,0))/12)</f>
        <v/>
      </c>
      <c r="U537" s="257">
        <f>IF($K537="Monthly",i_Assumptions!U578,INDEX($M537:$Q537,,MATCH(U$4,$M$4:$Q$4,0))/12)</f>
        <v/>
      </c>
      <c r="V537" s="257">
        <f>IF($K537="Monthly",i_Assumptions!V578,INDEX($M537:$Q537,,MATCH(V$4,$M$4:$Q$4,0))/12)</f>
        <v/>
      </c>
      <c r="W537" s="257">
        <f>IF($K537="Monthly",i_Assumptions!W578,INDEX($M537:$Q537,,MATCH(W$4,$M$4:$Q$4,0))/12)</f>
        <v/>
      </c>
      <c r="X537" s="257">
        <f>IF($K537="Monthly",i_Assumptions!X578,INDEX($M537:$Q537,,MATCH(X$4,$M$4:$Q$4,0))/12)</f>
        <v/>
      </c>
      <c r="Y537" s="257">
        <f>IF($K537="Monthly",i_Assumptions!Y578,INDEX($M537:$Q537,,MATCH(Y$4,$M$4:$Q$4,0))/12)</f>
        <v/>
      </c>
      <c r="Z537" s="257">
        <f>IF($K537="Monthly",i_Assumptions!Z578,INDEX($M537:$Q537,,MATCH(Z$4,$M$4:$Q$4,0))/12)</f>
        <v/>
      </c>
      <c r="AA537" s="257">
        <f>IF($K537="Monthly",i_Assumptions!AA578,INDEX($M537:$Q537,,MATCH(AA$4,$M$4:$Q$4,0))/12)</f>
        <v/>
      </c>
      <c r="AB537" s="257">
        <f>IF($K537="Monthly",i_Assumptions!AB578,INDEX($M537:$Q537,,MATCH(AB$4,$M$4:$Q$4,0))/12)</f>
        <v/>
      </c>
      <c r="AC537" s="257">
        <f>IF($K537="Monthly",i_Assumptions!AC578,INDEX($M537:$Q537,,MATCH(AC$4,$M$4:$Q$4,0))/12)</f>
        <v/>
      </c>
      <c r="AD537" s="257">
        <f>IF($K537="Monthly",i_Assumptions!AD578,INDEX($M537:$Q537,,MATCH(AD$4,$M$4:$Q$4,0))/12)</f>
        <v/>
      </c>
      <c r="AE537" s="257">
        <f>IF($K537="Monthly",i_Assumptions!AE578,INDEX($M537:$Q537,,MATCH(AE$4,$M$4:$Q$4,0))/12)</f>
        <v/>
      </c>
      <c r="AF537" s="257">
        <f>IF($K537="Monthly",i_Assumptions!AF578,INDEX($M537:$Q537,,MATCH(AF$4,$M$4:$Q$4,0))/12)</f>
        <v/>
      </c>
      <c r="AG537" s="257">
        <f>IF($K537="Monthly",i_Assumptions!AG578,INDEX($M537:$Q537,,MATCH(AG$4,$M$4:$Q$4,0))/12)</f>
        <v/>
      </c>
      <c r="AH537" s="257">
        <f>IF($K537="Monthly",i_Assumptions!AH578,INDEX($M537:$Q537,,MATCH(AH$4,$M$4:$Q$4,0))/12)</f>
        <v/>
      </c>
      <c r="AI537" s="257">
        <f>IF($K537="Monthly",i_Assumptions!AI578,INDEX($M537:$Q537,,MATCH(AI$4,$M$4:$Q$4,0))/12)</f>
        <v/>
      </c>
      <c r="AJ537" s="257">
        <f>IF($K537="Monthly",i_Assumptions!AJ578,INDEX($M537:$Q537,,MATCH(AJ$4,$M$4:$Q$4,0))/12)</f>
        <v/>
      </c>
      <c r="AK537" s="257">
        <f>IF($K537="Monthly",i_Assumptions!AK578,INDEX($M537:$Q537,,MATCH(AK$4,$M$4:$Q$4,0))/12)</f>
        <v/>
      </c>
      <c r="AL537" s="257">
        <f>IF($K537="Monthly",i_Assumptions!AL578,INDEX($M537:$Q537,,MATCH(AL$4,$M$4:$Q$4,0))/12)</f>
        <v/>
      </c>
      <c r="AM537" s="257">
        <f>IF($K537="Monthly",i_Assumptions!AM578,INDEX($M537:$Q537,,MATCH(AM$4,$M$4:$Q$4,0))/12)</f>
        <v/>
      </c>
      <c r="AN537" s="257">
        <f>IF($K537="Monthly",i_Assumptions!AN578,INDEX($M537:$Q537,,MATCH(AN$4,$M$4:$Q$4,0))/12)</f>
        <v/>
      </c>
      <c r="AO537" s="257">
        <f>IF($K537="Monthly",i_Assumptions!AO578,INDEX($M537:$Q537,,MATCH(AO$4,$M$4:$Q$4,0))/12)</f>
        <v/>
      </c>
      <c r="AP537" s="257">
        <f>IF($K537="Monthly",i_Assumptions!AP578,INDEX($M537:$Q537,,MATCH(AP$4,$M$4:$Q$4,0))/12)</f>
        <v/>
      </c>
      <c r="AQ537" s="257">
        <f>IF($K537="Monthly",i_Assumptions!AQ578,INDEX($M537:$Q537,,MATCH(AQ$4,$M$4:$Q$4,0))/12)</f>
        <v/>
      </c>
      <c r="AR537" s="257">
        <f>IF($K537="Monthly",i_Assumptions!AR578,INDEX($M537:$Q537,,MATCH(AR$4,$M$4:$Q$4,0))/12)</f>
        <v/>
      </c>
      <c r="AS537" s="257">
        <f>IF($K537="Monthly",i_Assumptions!AS578,INDEX($M537:$Q537,,MATCH(AS$4,$M$4:$Q$4,0))/12)</f>
        <v/>
      </c>
      <c r="AT537" s="257">
        <f>IF($K537="Monthly",i_Assumptions!AT578,INDEX($M537:$Q537,,MATCH(AT$4,$M$4:$Q$4,0))/12)</f>
        <v/>
      </c>
      <c r="AU537" s="257">
        <f>IF($K537="Monthly",i_Assumptions!AU578,INDEX($M537:$Q537,,MATCH(AU$4,$M$4:$Q$4,0))/12)</f>
        <v/>
      </c>
      <c r="AV537" s="257">
        <f>IF($K537="Monthly",i_Assumptions!AV578,INDEX($M537:$Q537,,MATCH(AV$4,$M$4:$Q$4,0))/12)</f>
        <v/>
      </c>
      <c r="AW537" s="257">
        <f>IF($K537="Monthly",i_Assumptions!AW578,INDEX($M537:$Q537,,MATCH(AW$4,$M$4:$Q$4,0))/12)</f>
        <v/>
      </c>
      <c r="AX537" s="257">
        <f>IF($K537="Monthly",i_Assumptions!AX578,INDEX($M537:$Q537,,MATCH(AX$4,$M$4:$Q$4,0))/12)</f>
        <v/>
      </c>
      <c r="AY537" s="257">
        <f>IF($K537="Monthly",i_Assumptions!AY578,INDEX($M537:$Q537,,MATCH(AY$4,$M$4:$Q$4,0))/12)</f>
        <v/>
      </c>
      <c r="AZ537" s="257">
        <f>IF($K537="Monthly",i_Assumptions!AZ578,INDEX($M537:$Q537,,MATCH(AZ$4,$M$4:$Q$4,0))/12)</f>
        <v/>
      </c>
      <c r="BA537" s="257">
        <f>IF($K537="Monthly",i_Assumptions!BA578,INDEX($M537:$Q537,,MATCH(BA$4,$M$4:$Q$4,0))/12)</f>
        <v/>
      </c>
      <c r="BB537" s="257">
        <f>IF($K537="Monthly",i_Assumptions!BB578,INDEX($M537:$Q537,,MATCH(BB$4,$M$4:$Q$4,0))/12)</f>
        <v/>
      </c>
      <c r="BC537" s="257">
        <f>IF($K537="Monthly",i_Assumptions!BC578,INDEX($M537:$Q537,,MATCH(BC$4,$M$4:$Q$4,0))/12)</f>
        <v/>
      </c>
      <c r="BD537" s="257">
        <f>IF($K537="Monthly",i_Assumptions!BD578,INDEX($M537:$Q537,,MATCH(BD$4,$M$4:$Q$4,0))/12)</f>
        <v/>
      </c>
      <c r="BE537" s="257">
        <f>IF($K537="Monthly",i_Assumptions!BE578,INDEX($M537:$Q537,,MATCH(BE$4,$M$4:$Q$4,0))/12)</f>
        <v/>
      </c>
      <c r="BF537" s="257">
        <f>IF($K537="Monthly",i_Assumptions!BF578,INDEX($M537:$Q537,,MATCH(BF$4,$M$4:$Q$4,0))/12)</f>
        <v/>
      </c>
      <c r="BG537" s="257">
        <f>IF($K537="Monthly",i_Assumptions!BG578,INDEX($M537:$Q537,,MATCH(BG$4,$M$4:$Q$4,0))/12)</f>
        <v/>
      </c>
      <c r="BH537" s="257">
        <f>IF($K537="Monthly",i_Assumptions!BH578,INDEX($M537:$Q537,,MATCH(BH$4,$M$4:$Q$4,0))/12)</f>
        <v/>
      </c>
      <c r="BI537" s="257">
        <f>IF($K537="Monthly",i_Assumptions!BI578,INDEX($M537:$Q537,,MATCH(BI$4,$M$4:$Q$4,0))/12)</f>
        <v/>
      </c>
      <c r="BJ537" s="257">
        <f>IF($K537="Monthly",i_Assumptions!BJ578,INDEX($M537:$Q537,,MATCH(BJ$4,$M$4:$Q$4,0))/12)</f>
        <v/>
      </c>
      <c r="BK537" s="257">
        <f>IF($K537="Monthly",i_Assumptions!BK578,INDEX($M537:$Q537,,MATCH(BK$4,$M$4:$Q$4,0))/12)</f>
        <v/>
      </c>
      <c r="BL537" s="257">
        <f>IF($K537="Monthly",i_Assumptions!BL578,INDEX($M537:$Q537,,MATCH(BL$4,$M$4:$Q$4,0))/12)</f>
        <v/>
      </c>
      <c r="BM537" s="257">
        <f>IF($K537="Monthly",i_Assumptions!BM578,INDEX($M537:$Q537,,MATCH(BM$4,$M$4:$Q$4,0))/12)</f>
        <v/>
      </c>
      <c r="BN537" s="257">
        <f>IF($K537="Monthly",i_Assumptions!BN578,INDEX($M537:$Q537,,MATCH(BN$4,$M$4:$Q$4,0))/12)</f>
        <v/>
      </c>
      <c r="BO537" s="257">
        <f>IF($K537="Monthly",i_Assumptions!BO578,INDEX($M537:$Q537,,MATCH(BO$4,$M$4:$Q$4,0))/12)</f>
        <v/>
      </c>
      <c r="BP537" s="257">
        <f>IF($K537="Monthly",i_Assumptions!BP578,INDEX($M537:$Q537,,MATCH(BP$4,$M$4:$Q$4,0))/12)</f>
        <v/>
      </c>
      <c r="BQ537" s="257">
        <f>IF($K537="Monthly",i_Assumptions!BQ578,INDEX($M537:$Q537,,MATCH(BQ$4,$M$4:$Q$4,0))/12)</f>
        <v/>
      </c>
      <c r="BR537" s="257">
        <f>IF($K537="Monthly",i_Assumptions!BR578,INDEX($M537:$Q537,,MATCH(BR$4,$M$4:$Q$4,0))/12)</f>
        <v/>
      </c>
      <c r="BS537" s="257">
        <f>IF($K537="Monthly",i_Assumptions!BS578,INDEX($M537:$Q537,,MATCH(BS$4,$M$4:$Q$4,0))/12)</f>
        <v/>
      </c>
      <c r="BT537" s="257">
        <f>IF($K537="Monthly",i_Assumptions!BT578,INDEX($M537:$Q537,,MATCH(BT$4,$M$4:$Q$4,0))/12)</f>
        <v/>
      </c>
      <c r="BU537" s="257">
        <f>IF($K537="Monthly",i_Assumptions!BU578,INDEX($M537:$Q537,,MATCH(BU$4,$M$4:$Q$4,0))/12)</f>
        <v/>
      </c>
      <c r="BV537" s="257">
        <f>IF($K537="Monthly",i_Assumptions!BV578,INDEX($M537:$Q537,,MATCH(BV$4,$M$4:$Q$4,0))/12)</f>
        <v/>
      </c>
      <c r="BW537" s="257">
        <f>IF($K537="Monthly",i_Assumptions!BW578,INDEX($M537:$Q537,,MATCH(BW$4,$M$4:$Q$4,0))/12)</f>
        <v/>
      </c>
      <c r="BX537" s="257">
        <f>IF($K537="Monthly",i_Assumptions!BX578,INDEX($M537:$Q537,,MATCH(BX$4,$M$4:$Q$4,0))/12)</f>
        <v/>
      </c>
      <c r="BY537" s="257">
        <f>IF($K537="Monthly",i_Assumptions!BY578,INDEX($M537:$Q537,,MATCH(BY$4,$M$4:$Q$4,0))/12)</f>
        <v/>
      </c>
      <c r="BZ537" s="257">
        <f>IF($K537="Monthly",i_Assumptions!BZ578,INDEX($M537:$Q537,,MATCH(BZ$4,$M$4:$Q$4,0))/12)</f>
        <v/>
      </c>
      <c r="CA537" s="257">
        <f>IF($K537="Monthly",i_Assumptions!CA578,INDEX($M537:$Q537,,MATCH(CA$4,$M$4:$Q$4,0))/12)</f>
        <v/>
      </c>
    </row>
    <row r="538" ht="12" customHeight="1" s="227">
      <c r="A538" s="244" t="n"/>
      <c r="B538" s="244" t="n"/>
      <c r="C538" s="244" t="n"/>
      <c r="H538" s="4">
        <f>i_Setup!U102</f>
        <v/>
      </c>
      <c r="I538" s="27">
        <f>i_Setup!$M$16</f>
        <v/>
      </c>
      <c r="K538" s="259">
        <f>i_Assumptions!K579</f>
        <v/>
      </c>
      <c r="M538" s="257">
        <f>IF($K538="Monthly",0,i_Assumptions!M579)</f>
        <v/>
      </c>
      <c r="N538" s="257">
        <f>IF($K538="Monthly",0,i_Assumptions!N579)</f>
        <v/>
      </c>
      <c r="O538" s="257">
        <f>IF($K538="Monthly",0,i_Assumptions!O579)</f>
        <v/>
      </c>
      <c r="P538" s="257">
        <f>IF($K538="Monthly",0,i_Assumptions!P579)</f>
        <v/>
      </c>
      <c r="Q538" s="257">
        <f>IF($K538="Monthly",0,i_Assumptions!Q579)</f>
        <v/>
      </c>
      <c r="T538" s="257">
        <f>IF($K538="Monthly",i_Assumptions!T579,INDEX($M538:$Q538,,MATCH(T$4,$M$4:$Q$4,0))/12)</f>
        <v/>
      </c>
      <c r="U538" s="257">
        <f>IF($K538="Monthly",i_Assumptions!U579,INDEX($M538:$Q538,,MATCH(U$4,$M$4:$Q$4,0))/12)</f>
        <v/>
      </c>
      <c r="V538" s="257">
        <f>IF($K538="Monthly",i_Assumptions!V579,INDEX($M538:$Q538,,MATCH(V$4,$M$4:$Q$4,0))/12)</f>
        <v/>
      </c>
      <c r="W538" s="257">
        <f>IF($K538="Monthly",i_Assumptions!W579,INDEX($M538:$Q538,,MATCH(W$4,$M$4:$Q$4,0))/12)</f>
        <v/>
      </c>
      <c r="X538" s="257">
        <f>IF($K538="Monthly",i_Assumptions!X579,INDEX($M538:$Q538,,MATCH(X$4,$M$4:$Q$4,0))/12)</f>
        <v/>
      </c>
      <c r="Y538" s="257">
        <f>IF($K538="Monthly",i_Assumptions!Y579,INDEX($M538:$Q538,,MATCH(Y$4,$M$4:$Q$4,0))/12)</f>
        <v/>
      </c>
      <c r="Z538" s="257">
        <f>IF($K538="Monthly",i_Assumptions!Z579,INDEX($M538:$Q538,,MATCH(Z$4,$M$4:$Q$4,0))/12)</f>
        <v/>
      </c>
      <c r="AA538" s="257">
        <f>IF($K538="Monthly",i_Assumptions!AA579,INDEX($M538:$Q538,,MATCH(AA$4,$M$4:$Q$4,0))/12)</f>
        <v/>
      </c>
      <c r="AB538" s="257">
        <f>IF($K538="Monthly",i_Assumptions!AB579,INDEX($M538:$Q538,,MATCH(AB$4,$M$4:$Q$4,0))/12)</f>
        <v/>
      </c>
      <c r="AC538" s="257">
        <f>IF($K538="Monthly",i_Assumptions!AC579,INDEX($M538:$Q538,,MATCH(AC$4,$M$4:$Q$4,0))/12)</f>
        <v/>
      </c>
      <c r="AD538" s="257">
        <f>IF($K538="Monthly",i_Assumptions!AD579,INDEX($M538:$Q538,,MATCH(AD$4,$M$4:$Q$4,0))/12)</f>
        <v/>
      </c>
      <c r="AE538" s="257">
        <f>IF($K538="Monthly",i_Assumptions!AE579,INDEX($M538:$Q538,,MATCH(AE$4,$M$4:$Q$4,0))/12)</f>
        <v/>
      </c>
      <c r="AF538" s="257">
        <f>IF($K538="Monthly",i_Assumptions!AF579,INDEX($M538:$Q538,,MATCH(AF$4,$M$4:$Q$4,0))/12)</f>
        <v/>
      </c>
      <c r="AG538" s="257">
        <f>IF($K538="Monthly",i_Assumptions!AG579,INDEX($M538:$Q538,,MATCH(AG$4,$M$4:$Q$4,0))/12)</f>
        <v/>
      </c>
      <c r="AH538" s="257">
        <f>IF($K538="Monthly",i_Assumptions!AH579,INDEX($M538:$Q538,,MATCH(AH$4,$M$4:$Q$4,0))/12)</f>
        <v/>
      </c>
      <c r="AI538" s="257">
        <f>IF($K538="Monthly",i_Assumptions!AI579,INDEX($M538:$Q538,,MATCH(AI$4,$M$4:$Q$4,0))/12)</f>
        <v/>
      </c>
      <c r="AJ538" s="257">
        <f>IF($K538="Monthly",i_Assumptions!AJ579,INDEX($M538:$Q538,,MATCH(AJ$4,$M$4:$Q$4,0))/12)</f>
        <v/>
      </c>
      <c r="AK538" s="257">
        <f>IF($K538="Monthly",i_Assumptions!AK579,INDEX($M538:$Q538,,MATCH(AK$4,$M$4:$Q$4,0))/12)</f>
        <v/>
      </c>
      <c r="AL538" s="257">
        <f>IF($K538="Monthly",i_Assumptions!AL579,INDEX($M538:$Q538,,MATCH(AL$4,$M$4:$Q$4,0))/12)</f>
        <v/>
      </c>
      <c r="AM538" s="257">
        <f>IF($K538="Monthly",i_Assumptions!AM579,INDEX($M538:$Q538,,MATCH(AM$4,$M$4:$Q$4,0))/12)</f>
        <v/>
      </c>
      <c r="AN538" s="257">
        <f>IF($K538="Monthly",i_Assumptions!AN579,INDEX($M538:$Q538,,MATCH(AN$4,$M$4:$Q$4,0))/12)</f>
        <v/>
      </c>
      <c r="AO538" s="257">
        <f>IF($K538="Monthly",i_Assumptions!AO579,INDEX($M538:$Q538,,MATCH(AO$4,$M$4:$Q$4,0))/12)</f>
        <v/>
      </c>
      <c r="AP538" s="257">
        <f>IF($K538="Monthly",i_Assumptions!AP579,INDEX($M538:$Q538,,MATCH(AP$4,$M$4:$Q$4,0))/12)</f>
        <v/>
      </c>
      <c r="AQ538" s="257">
        <f>IF($K538="Monthly",i_Assumptions!AQ579,INDEX($M538:$Q538,,MATCH(AQ$4,$M$4:$Q$4,0))/12)</f>
        <v/>
      </c>
      <c r="AR538" s="257">
        <f>IF($K538="Monthly",i_Assumptions!AR579,INDEX($M538:$Q538,,MATCH(AR$4,$M$4:$Q$4,0))/12)</f>
        <v/>
      </c>
      <c r="AS538" s="257">
        <f>IF($K538="Monthly",i_Assumptions!AS579,INDEX($M538:$Q538,,MATCH(AS$4,$M$4:$Q$4,0))/12)</f>
        <v/>
      </c>
      <c r="AT538" s="257">
        <f>IF($K538="Monthly",i_Assumptions!AT579,INDEX($M538:$Q538,,MATCH(AT$4,$M$4:$Q$4,0))/12)</f>
        <v/>
      </c>
      <c r="AU538" s="257">
        <f>IF($K538="Monthly",i_Assumptions!AU579,INDEX($M538:$Q538,,MATCH(AU$4,$M$4:$Q$4,0))/12)</f>
        <v/>
      </c>
      <c r="AV538" s="257">
        <f>IF($K538="Monthly",i_Assumptions!AV579,INDEX($M538:$Q538,,MATCH(AV$4,$M$4:$Q$4,0))/12)</f>
        <v/>
      </c>
      <c r="AW538" s="257">
        <f>IF($K538="Monthly",i_Assumptions!AW579,INDEX($M538:$Q538,,MATCH(AW$4,$M$4:$Q$4,0))/12)</f>
        <v/>
      </c>
      <c r="AX538" s="257">
        <f>IF($K538="Monthly",i_Assumptions!AX579,INDEX($M538:$Q538,,MATCH(AX$4,$M$4:$Q$4,0))/12)</f>
        <v/>
      </c>
      <c r="AY538" s="257">
        <f>IF($K538="Monthly",i_Assumptions!AY579,INDEX($M538:$Q538,,MATCH(AY$4,$M$4:$Q$4,0))/12)</f>
        <v/>
      </c>
      <c r="AZ538" s="257">
        <f>IF($K538="Monthly",i_Assumptions!AZ579,INDEX($M538:$Q538,,MATCH(AZ$4,$M$4:$Q$4,0))/12)</f>
        <v/>
      </c>
      <c r="BA538" s="257">
        <f>IF($K538="Monthly",i_Assumptions!BA579,INDEX($M538:$Q538,,MATCH(BA$4,$M$4:$Q$4,0))/12)</f>
        <v/>
      </c>
      <c r="BB538" s="257">
        <f>IF($K538="Monthly",i_Assumptions!BB579,INDEX($M538:$Q538,,MATCH(BB$4,$M$4:$Q$4,0))/12)</f>
        <v/>
      </c>
      <c r="BC538" s="257">
        <f>IF($K538="Monthly",i_Assumptions!BC579,INDEX($M538:$Q538,,MATCH(BC$4,$M$4:$Q$4,0))/12)</f>
        <v/>
      </c>
      <c r="BD538" s="257">
        <f>IF($K538="Monthly",i_Assumptions!BD579,INDEX($M538:$Q538,,MATCH(BD$4,$M$4:$Q$4,0))/12)</f>
        <v/>
      </c>
      <c r="BE538" s="257">
        <f>IF($K538="Monthly",i_Assumptions!BE579,INDEX($M538:$Q538,,MATCH(BE$4,$M$4:$Q$4,0))/12)</f>
        <v/>
      </c>
      <c r="BF538" s="257">
        <f>IF($K538="Monthly",i_Assumptions!BF579,INDEX($M538:$Q538,,MATCH(BF$4,$M$4:$Q$4,0))/12)</f>
        <v/>
      </c>
      <c r="BG538" s="257">
        <f>IF($K538="Monthly",i_Assumptions!BG579,INDEX($M538:$Q538,,MATCH(BG$4,$M$4:$Q$4,0))/12)</f>
        <v/>
      </c>
      <c r="BH538" s="257">
        <f>IF($K538="Monthly",i_Assumptions!BH579,INDEX($M538:$Q538,,MATCH(BH$4,$M$4:$Q$4,0))/12)</f>
        <v/>
      </c>
      <c r="BI538" s="257">
        <f>IF($K538="Monthly",i_Assumptions!BI579,INDEX($M538:$Q538,,MATCH(BI$4,$M$4:$Q$4,0))/12)</f>
        <v/>
      </c>
      <c r="BJ538" s="257">
        <f>IF($K538="Monthly",i_Assumptions!BJ579,INDEX($M538:$Q538,,MATCH(BJ$4,$M$4:$Q$4,0))/12)</f>
        <v/>
      </c>
      <c r="BK538" s="257">
        <f>IF($K538="Monthly",i_Assumptions!BK579,INDEX($M538:$Q538,,MATCH(BK$4,$M$4:$Q$4,0))/12)</f>
        <v/>
      </c>
      <c r="BL538" s="257">
        <f>IF($K538="Monthly",i_Assumptions!BL579,INDEX($M538:$Q538,,MATCH(BL$4,$M$4:$Q$4,0))/12)</f>
        <v/>
      </c>
      <c r="BM538" s="257">
        <f>IF($K538="Monthly",i_Assumptions!BM579,INDEX($M538:$Q538,,MATCH(BM$4,$M$4:$Q$4,0))/12)</f>
        <v/>
      </c>
      <c r="BN538" s="257">
        <f>IF($K538="Monthly",i_Assumptions!BN579,INDEX($M538:$Q538,,MATCH(BN$4,$M$4:$Q$4,0))/12)</f>
        <v/>
      </c>
      <c r="BO538" s="257">
        <f>IF($K538="Monthly",i_Assumptions!BO579,INDEX($M538:$Q538,,MATCH(BO$4,$M$4:$Q$4,0))/12)</f>
        <v/>
      </c>
      <c r="BP538" s="257">
        <f>IF($K538="Monthly",i_Assumptions!BP579,INDEX($M538:$Q538,,MATCH(BP$4,$M$4:$Q$4,0))/12)</f>
        <v/>
      </c>
      <c r="BQ538" s="257">
        <f>IF($K538="Monthly",i_Assumptions!BQ579,INDEX($M538:$Q538,,MATCH(BQ$4,$M$4:$Q$4,0))/12)</f>
        <v/>
      </c>
      <c r="BR538" s="257">
        <f>IF($K538="Monthly",i_Assumptions!BR579,INDEX($M538:$Q538,,MATCH(BR$4,$M$4:$Q$4,0))/12)</f>
        <v/>
      </c>
      <c r="BS538" s="257">
        <f>IF($K538="Monthly",i_Assumptions!BS579,INDEX($M538:$Q538,,MATCH(BS$4,$M$4:$Q$4,0))/12)</f>
        <v/>
      </c>
      <c r="BT538" s="257">
        <f>IF($K538="Monthly",i_Assumptions!BT579,INDEX($M538:$Q538,,MATCH(BT$4,$M$4:$Q$4,0))/12)</f>
        <v/>
      </c>
      <c r="BU538" s="257">
        <f>IF($K538="Monthly",i_Assumptions!BU579,INDEX($M538:$Q538,,MATCH(BU$4,$M$4:$Q$4,0))/12)</f>
        <v/>
      </c>
      <c r="BV538" s="257">
        <f>IF($K538="Monthly",i_Assumptions!BV579,INDEX($M538:$Q538,,MATCH(BV$4,$M$4:$Q$4,0))/12)</f>
        <v/>
      </c>
      <c r="BW538" s="257">
        <f>IF($K538="Monthly",i_Assumptions!BW579,INDEX($M538:$Q538,,MATCH(BW$4,$M$4:$Q$4,0))/12)</f>
        <v/>
      </c>
      <c r="BX538" s="257">
        <f>IF($K538="Monthly",i_Assumptions!BX579,INDEX($M538:$Q538,,MATCH(BX$4,$M$4:$Q$4,0))/12)</f>
        <v/>
      </c>
      <c r="BY538" s="257">
        <f>IF($K538="Monthly",i_Assumptions!BY579,INDEX($M538:$Q538,,MATCH(BY$4,$M$4:$Q$4,0))/12)</f>
        <v/>
      </c>
      <c r="BZ538" s="257">
        <f>IF($K538="Monthly",i_Assumptions!BZ579,INDEX($M538:$Q538,,MATCH(BZ$4,$M$4:$Q$4,0))/12)</f>
        <v/>
      </c>
      <c r="CA538" s="257">
        <f>IF($K538="Monthly",i_Assumptions!CA579,INDEX($M538:$Q538,,MATCH(CA$4,$M$4:$Q$4,0))/12)</f>
        <v/>
      </c>
    </row>
    <row r="539" ht="12" customHeight="1" s="227">
      <c r="A539" s="244" t="n"/>
      <c r="B539" s="244" t="n"/>
      <c r="C539" s="244" t="n"/>
      <c r="H539" s="4">
        <f>i_Setup!U103</f>
        <v/>
      </c>
      <c r="I539" s="27">
        <f>i_Setup!$M$16</f>
        <v/>
      </c>
      <c r="K539" s="259">
        <f>i_Assumptions!K580</f>
        <v/>
      </c>
      <c r="M539" s="257">
        <f>IF($K539="Monthly",0,i_Assumptions!M580)</f>
        <v/>
      </c>
      <c r="N539" s="257">
        <f>IF($K539="Monthly",0,i_Assumptions!N580)</f>
        <v/>
      </c>
      <c r="O539" s="257">
        <f>IF($K539="Monthly",0,i_Assumptions!O580)</f>
        <v/>
      </c>
      <c r="P539" s="257">
        <f>IF($K539="Monthly",0,i_Assumptions!P580)</f>
        <v/>
      </c>
      <c r="Q539" s="257">
        <f>IF($K539="Monthly",0,i_Assumptions!Q580)</f>
        <v/>
      </c>
      <c r="T539" s="257">
        <f>IF($K539="Monthly",i_Assumptions!T580,INDEX($M539:$Q539,,MATCH(T$4,$M$4:$Q$4,0))/12)</f>
        <v/>
      </c>
      <c r="U539" s="257">
        <f>IF($K539="Monthly",i_Assumptions!U580,INDEX($M539:$Q539,,MATCH(U$4,$M$4:$Q$4,0))/12)</f>
        <v/>
      </c>
      <c r="V539" s="257">
        <f>IF($K539="Monthly",i_Assumptions!V580,INDEX($M539:$Q539,,MATCH(V$4,$M$4:$Q$4,0))/12)</f>
        <v/>
      </c>
      <c r="W539" s="257">
        <f>IF($K539="Monthly",i_Assumptions!W580,INDEX($M539:$Q539,,MATCH(W$4,$M$4:$Q$4,0))/12)</f>
        <v/>
      </c>
      <c r="X539" s="257">
        <f>IF($K539="Monthly",i_Assumptions!X580,INDEX($M539:$Q539,,MATCH(X$4,$M$4:$Q$4,0))/12)</f>
        <v/>
      </c>
      <c r="Y539" s="257">
        <f>IF($K539="Monthly",i_Assumptions!Y580,INDEX($M539:$Q539,,MATCH(Y$4,$M$4:$Q$4,0))/12)</f>
        <v/>
      </c>
      <c r="Z539" s="257">
        <f>IF($K539="Monthly",i_Assumptions!Z580,INDEX($M539:$Q539,,MATCH(Z$4,$M$4:$Q$4,0))/12)</f>
        <v/>
      </c>
      <c r="AA539" s="257">
        <f>IF($K539="Monthly",i_Assumptions!AA580,INDEX($M539:$Q539,,MATCH(AA$4,$M$4:$Q$4,0))/12)</f>
        <v/>
      </c>
      <c r="AB539" s="257">
        <f>IF($K539="Monthly",i_Assumptions!AB580,INDEX($M539:$Q539,,MATCH(AB$4,$M$4:$Q$4,0))/12)</f>
        <v/>
      </c>
      <c r="AC539" s="257">
        <f>IF($K539="Monthly",i_Assumptions!AC580,INDEX($M539:$Q539,,MATCH(AC$4,$M$4:$Q$4,0))/12)</f>
        <v/>
      </c>
      <c r="AD539" s="257">
        <f>IF($K539="Monthly",i_Assumptions!AD580,INDEX($M539:$Q539,,MATCH(AD$4,$M$4:$Q$4,0))/12)</f>
        <v/>
      </c>
      <c r="AE539" s="257">
        <f>IF($K539="Monthly",i_Assumptions!AE580,INDEX($M539:$Q539,,MATCH(AE$4,$M$4:$Q$4,0))/12)</f>
        <v/>
      </c>
      <c r="AF539" s="257">
        <f>IF($K539="Monthly",i_Assumptions!AF580,INDEX($M539:$Q539,,MATCH(AF$4,$M$4:$Q$4,0))/12)</f>
        <v/>
      </c>
      <c r="AG539" s="257">
        <f>IF($K539="Monthly",i_Assumptions!AG580,INDEX($M539:$Q539,,MATCH(AG$4,$M$4:$Q$4,0))/12)</f>
        <v/>
      </c>
      <c r="AH539" s="257">
        <f>IF($K539="Monthly",i_Assumptions!AH580,INDEX($M539:$Q539,,MATCH(AH$4,$M$4:$Q$4,0))/12)</f>
        <v/>
      </c>
      <c r="AI539" s="257">
        <f>IF($K539="Monthly",i_Assumptions!AI580,INDEX($M539:$Q539,,MATCH(AI$4,$M$4:$Q$4,0))/12)</f>
        <v/>
      </c>
      <c r="AJ539" s="257">
        <f>IF($K539="Monthly",i_Assumptions!AJ580,INDEX($M539:$Q539,,MATCH(AJ$4,$M$4:$Q$4,0))/12)</f>
        <v/>
      </c>
      <c r="AK539" s="257">
        <f>IF($K539="Monthly",i_Assumptions!AK580,INDEX($M539:$Q539,,MATCH(AK$4,$M$4:$Q$4,0))/12)</f>
        <v/>
      </c>
      <c r="AL539" s="257">
        <f>IF($K539="Monthly",i_Assumptions!AL580,INDEX($M539:$Q539,,MATCH(AL$4,$M$4:$Q$4,0))/12)</f>
        <v/>
      </c>
      <c r="AM539" s="257">
        <f>IF($K539="Monthly",i_Assumptions!AM580,INDEX($M539:$Q539,,MATCH(AM$4,$M$4:$Q$4,0))/12)</f>
        <v/>
      </c>
      <c r="AN539" s="257">
        <f>IF($K539="Monthly",i_Assumptions!AN580,INDEX($M539:$Q539,,MATCH(AN$4,$M$4:$Q$4,0))/12)</f>
        <v/>
      </c>
      <c r="AO539" s="257">
        <f>IF($K539="Monthly",i_Assumptions!AO580,INDEX($M539:$Q539,,MATCH(AO$4,$M$4:$Q$4,0))/12)</f>
        <v/>
      </c>
      <c r="AP539" s="257">
        <f>IF($K539="Monthly",i_Assumptions!AP580,INDEX($M539:$Q539,,MATCH(AP$4,$M$4:$Q$4,0))/12)</f>
        <v/>
      </c>
      <c r="AQ539" s="257">
        <f>IF($K539="Monthly",i_Assumptions!AQ580,INDEX($M539:$Q539,,MATCH(AQ$4,$M$4:$Q$4,0))/12)</f>
        <v/>
      </c>
      <c r="AR539" s="257">
        <f>IF($K539="Monthly",i_Assumptions!AR580,INDEX($M539:$Q539,,MATCH(AR$4,$M$4:$Q$4,0))/12)</f>
        <v/>
      </c>
      <c r="AS539" s="257">
        <f>IF($K539="Monthly",i_Assumptions!AS580,INDEX($M539:$Q539,,MATCH(AS$4,$M$4:$Q$4,0))/12)</f>
        <v/>
      </c>
      <c r="AT539" s="257">
        <f>IF($K539="Monthly",i_Assumptions!AT580,INDEX($M539:$Q539,,MATCH(AT$4,$M$4:$Q$4,0))/12)</f>
        <v/>
      </c>
      <c r="AU539" s="257">
        <f>IF($K539="Monthly",i_Assumptions!AU580,INDEX($M539:$Q539,,MATCH(AU$4,$M$4:$Q$4,0))/12)</f>
        <v/>
      </c>
      <c r="AV539" s="257">
        <f>IF($K539="Monthly",i_Assumptions!AV580,INDEX($M539:$Q539,,MATCH(AV$4,$M$4:$Q$4,0))/12)</f>
        <v/>
      </c>
      <c r="AW539" s="257">
        <f>IF($K539="Monthly",i_Assumptions!AW580,INDEX($M539:$Q539,,MATCH(AW$4,$M$4:$Q$4,0))/12)</f>
        <v/>
      </c>
      <c r="AX539" s="257">
        <f>IF($K539="Monthly",i_Assumptions!AX580,INDEX($M539:$Q539,,MATCH(AX$4,$M$4:$Q$4,0))/12)</f>
        <v/>
      </c>
      <c r="AY539" s="257">
        <f>IF($K539="Monthly",i_Assumptions!AY580,INDEX($M539:$Q539,,MATCH(AY$4,$M$4:$Q$4,0))/12)</f>
        <v/>
      </c>
      <c r="AZ539" s="257">
        <f>IF($K539="Monthly",i_Assumptions!AZ580,INDEX($M539:$Q539,,MATCH(AZ$4,$M$4:$Q$4,0))/12)</f>
        <v/>
      </c>
      <c r="BA539" s="257">
        <f>IF($K539="Monthly",i_Assumptions!BA580,INDEX($M539:$Q539,,MATCH(BA$4,$M$4:$Q$4,0))/12)</f>
        <v/>
      </c>
      <c r="BB539" s="257">
        <f>IF($K539="Monthly",i_Assumptions!BB580,INDEX($M539:$Q539,,MATCH(BB$4,$M$4:$Q$4,0))/12)</f>
        <v/>
      </c>
      <c r="BC539" s="257">
        <f>IF($K539="Monthly",i_Assumptions!BC580,INDEX($M539:$Q539,,MATCH(BC$4,$M$4:$Q$4,0))/12)</f>
        <v/>
      </c>
      <c r="BD539" s="257">
        <f>IF($K539="Monthly",i_Assumptions!BD580,INDEX($M539:$Q539,,MATCH(BD$4,$M$4:$Q$4,0))/12)</f>
        <v/>
      </c>
      <c r="BE539" s="257">
        <f>IF($K539="Monthly",i_Assumptions!BE580,INDEX($M539:$Q539,,MATCH(BE$4,$M$4:$Q$4,0))/12)</f>
        <v/>
      </c>
      <c r="BF539" s="257">
        <f>IF($K539="Monthly",i_Assumptions!BF580,INDEX($M539:$Q539,,MATCH(BF$4,$M$4:$Q$4,0))/12)</f>
        <v/>
      </c>
      <c r="BG539" s="257">
        <f>IF($K539="Monthly",i_Assumptions!BG580,INDEX($M539:$Q539,,MATCH(BG$4,$M$4:$Q$4,0))/12)</f>
        <v/>
      </c>
      <c r="BH539" s="257">
        <f>IF($K539="Monthly",i_Assumptions!BH580,INDEX($M539:$Q539,,MATCH(BH$4,$M$4:$Q$4,0))/12)</f>
        <v/>
      </c>
      <c r="BI539" s="257">
        <f>IF($K539="Monthly",i_Assumptions!BI580,INDEX($M539:$Q539,,MATCH(BI$4,$M$4:$Q$4,0))/12)</f>
        <v/>
      </c>
      <c r="BJ539" s="257">
        <f>IF($K539="Monthly",i_Assumptions!BJ580,INDEX($M539:$Q539,,MATCH(BJ$4,$M$4:$Q$4,0))/12)</f>
        <v/>
      </c>
      <c r="BK539" s="257">
        <f>IF($K539="Monthly",i_Assumptions!BK580,INDEX($M539:$Q539,,MATCH(BK$4,$M$4:$Q$4,0))/12)</f>
        <v/>
      </c>
      <c r="BL539" s="257">
        <f>IF($K539="Monthly",i_Assumptions!BL580,INDEX($M539:$Q539,,MATCH(BL$4,$M$4:$Q$4,0))/12)</f>
        <v/>
      </c>
      <c r="BM539" s="257">
        <f>IF($K539="Monthly",i_Assumptions!BM580,INDEX($M539:$Q539,,MATCH(BM$4,$M$4:$Q$4,0))/12)</f>
        <v/>
      </c>
      <c r="BN539" s="257">
        <f>IF($K539="Monthly",i_Assumptions!BN580,INDEX($M539:$Q539,,MATCH(BN$4,$M$4:$Q$4,0))/12)</f>
        <v/>
      </c>
      <c r="BO539" s="257">
        <f>IF($K539="Monthly",i_Assumptions!BO580,INDEX($M539:$Q539,,MATCH(BO$4,$M$4:$Q$4,0))/12)</f>
        <v/>
      </c>
      <c r="BP539" s="257">
        <f>IF($K539="Monthly",i_Assumptions!BP580,INDEX($M539:$Q539,,MATCH(BP$4,$M$4:$Q$4,0))/12)</f>
        <v/>
      </c>
      <c r="BQ539" s="257">
        <f>IF($K539="Monthly",i_Assumptions!BQ580,INDEX($M539:$Q539,,MATCH(BQ$4,$M$4:$Q$4,0))/12)</f>
        <v/>
      </c>
      <c r="BR539" s="257">
        <f>IF($K539="Monthly",i_Assumptions!BR580,INDEX($M539:$Q539,,MATCH(BR$4,$M$4:$Q$4,0))/12)</f>
        <v/>
      </c>
      <c r="BS539" s="257">
        <f>IF($K539="Monthly",i_Assumptions!BS580,INDEX($M539:$Q539,,MATCH(BS$4,$M$4:$Q$4,0))/12)</f>
        <v/>
      </c>
      <c r="BT539" s="257">
        <f>IF($K539="Monthly",i_Assumptions!BT580,INDEX($M539:$Q539,,MATCH(BT$4,$M$4:$Q$4,0))/12)</f>
        <v/>
      </c>
      <c r="BU539" s="257">
        <f>IF($K539="Monthly",i_Assumptions!BU580,INDEX($M539:$Q539,,MATCH(BU$4,$M$4:$Q$4,0))/12)</f>
        <v/>
      </c>
      <c r="BV539" s="257">
        <f>IF($K539="Monthly",i_Assumptions!BV580,INDEX($M539:$Q539,,MATCH(BV$4,$M$4:$Q$4,0))/12)</f>
        <v/>
      </c>
      <c r="BW539" s="257">
        <f>IF($K539="Monthly",i_Assumptions!BW580,INDEX($M539:$Q539,,MATCH(BW$4,$M$4:$Q$4,0))/12)</f>
        <v/>
      </c>
      <c r="BX539" s="257">
        <f>IF($K539="Monthly",i_Assumptions!BX580,INDEX($M539:$Q539,,MATCH(BX$4,$M$4:$Q$4,0))/12)</f>
        <v/>
      </c>
      <c r="BY539" s="257">
        <f>IF($K539="Monthly",i_Assumptions!BY580,INDEX($M539:$Q539,,MATCH(BY$4,$M$4:$Q$4,0))/12)</f>
        <v/>
      </c>
      <c r="BZ539" s="257">
        <f>IF($K539="Monthly",i_Assumptions!BZ580,INDEX($M539:$Q539,,MATCH(BZ$4,$M$4:$Q$4,0))/12)</f>
        <v/>
      </c>
      <c r="CA539" s="257">
        <f>IF($K539="Monthly",i_Assumptions!CA580,INDEX($M539:$Q539,,MATCH(CA$4,$M$4:$Q$4,0))/12)</f>
        <v/>
      </c>
    </row>
    <row r="540" ht="12" customHeight="1" s="227">
      <c r="A540" s="244" t="n"/>
      <c r="B540" s="244" t="n"/>
      <c r="C540" s="244" t="n"/>
      <c r="H540" s="4">
        <f>i_Setup!U104</f>
        <v/>
      </c>
      <c r="I540" s="27">
        <f>i_Setup!$M$16</f>
        <v/>
      </c>
      <c r="K540" s="259">
        <f>i_Assumptions!K581</f>
        <v/>
      </c>
      <c r="M540" s="257">
        <f>IF($K540="Monthly",0,i_Assumptions!M581)</f>
        <v/>
      </c>
      <c r="N540" s="257">
        <f>IF($K540="Monthly",0,i_Assumptions!N581)</f>
        <v/>
      </c>
      <c r="O540" s="257">
        <f>IF($K540="Monthly",0,i_Assumptions!O581)</f>
        <v/>
      </c>
      <c r="P540" s="257">
        <f>IF($K540="Monthly",0,i_Assumptions!P581)</f>
        <v/>
      </c>
      <c r="Q540" s="257">
        <f>IF($K540="Monthly",0,i_Assumptions!Q581)</f>
        <v/>
      </c>
      <c r="T540" s="257">
        <f>IF($K540="Monthly",i_Assumptions!T581,INDEX($M540:$Q540,,MATCH(T$4,$M$4:$Q$4,0))/12)</f>
        <v/>
      </c>
      <c r="U540" s="257">
        <f>IF($K540="Monthly",i_Assumptions!U581,INDEX($M540:$Q540,,MATCH(U$4,$M$4:$Q$4,0))/12)</f>
        <v/>
      </c>
      <c r="V540" s="257">
        <f>IF($K540="Monthly",i_Assumptions!V581,INDEX($M540:$Q540,,MATCH(V$4,$M$4:$Q$4,0))/12)</f>
        <v/>
      </c>
      <c r="W540" s="257">
        <f>IF($K540="Monthly",i_Assumptions!W581,INDEX($M540:$Q540,,MATCH(W$4,$M$4:$Q$4,0))/12)</f>
        <v/>
      </c>
      <c r="X540" s="257">
        <f>IF($K540="Monthly",i_Assumptions!X581,INDEX($M540:$Q540,,MATCH(X$4,$M$4:$Q$4,0))/12)</f>
        <v/>
      </c>
      <c r="Y540" s="257">
        <f>IF($K540="Monthly",i_Assumptions!Y581,INDEX($M540:$Q540,,MATCH(Y$4,$M$4:$Q$4,0))/12)</f>
        <v/>
      </c>
      <c r="Z540" s="257">
        <f>IF($K540="Monthly",i_Assumptions!Z581,INDEX($M540:$Q540,,MATCH(Z$4,$M$4:$Q$4,0))/12)</f>
        <v/>
      </c>
      <c r="AA540" s="257">
        <f>IF($K540="Monthly",i_Assumptions!AA581,INDEX($M540:$Q540,,MATCH(AA$4,$M$4:$Q$4,0))/12)</f>
        <v/>
      </c>
      <c r="AB540" s="257">
        <f>IF($K540="Monthly",i_Assumptions!AB581,INDEX($M540:$Q540,,MATCH(AB$4,$M$4:$Q$4,0))/12)</f>
        <v/>
      </c>
      <c r="AC540" s="257">
        <f>IF($K540="Monthly",i_Assumptions!AC581,INDEX($M540:$Q540,,MATCH(AC$4,$M$4:$Q$4,0))/12)</f>
        <v/>
      </c>
      <c r="AD540" s="257">
        <f>IF($K540="Monthly",i_Assumptions!AD581,INDEX($M540:$Q540,,MATCH(AD$4,$M$4:$Q$4,0))/12)</f>
        <v/>
      </c>
      <c r="AE540" s="257">
        <f>IF($K540="Monthly",i_Assumptions!AE581,INDEX($M540:$Q540,,MATCH(AE$4,$M$4:$Q$4,0))/12)</f>
        <v/>
      </c>
      <c r="AF540" s="257">
        <f>IF($K540="Monthly",i_Assumptions!AF581,INDEX($M540:$Q540,,MATCH(AF$4,$M$4:$Q$4,0))/12)</f>
        <v/>
      </c>
      <c r="AG540" s="257">
        <f>IF($K540="Monthly",i_Assumptions!AG581,INDEX($M540:$Q540,,MATCH(AG$4,$M$4:$Q$4,0))/12)</f>
        <v/>
      </c>
      <c r="AH540" s="257">
        <f>IF($K540="Monthly",i_Assumptions!AH581,INDEX($M540:$Q540,,MATCH(AH$4,$M$4:$Q$4,0))/12)</f>
        <v/>
      </c>
      <c r="AI540" s="257">
        <f>IF($K540="Monthly",i_Assumptions!AI581,INDEX($M540:$Q540,,MATCH(AI$4,$M$4:$Q$4,0))/12)</f>
        <v/>
      </c>
      <c r="AJ540" s="257">
        <f>IF($K540="Monthly",i_Assumptions!AJ581,INDEX($M540:$Q540,,MATCH(AJ$4,$M$4:$Q$4,0))/12)</f>
        <v/>
      </c>
      <c r="AK540" s="257">
        <f>IF($K540="Monthly",i_Assumptions!AK581,INDEX($M540:$Q540,,MATCH(AK$4,$M$4:$Q$4,0))/12)</f>
        <v/>
      </c>
      <c r="AL540" s="257">
        <f>IF($K540="Monthly",i_Assumptions!AL581,INDEX($M540:$Q540,,MATCH(AL$4,$M$4:$Q$4,0))/12)</f>
        <v/>
      </c>
      <c r="AM540" s="257">
        <f>IF($K540="Monthly",i_Assumptions!AM581,INDEX($M540:$Q540,,MATCH(AM$4,$M$4:$Q$4,0))/12)</f>
        <v/>
      </c>
      <c r="AN540" s="257">
        <f>IF($K540="Monthly",i_Assumptions!AN581,INDEX($M540:$Q540,,MATCH(AN$4,$M$4:$Q$4,0))/12)</f>
        <v/>
      </c>
      <c r="AO540" s="257">
        <f>IF($K540="Monthly",i_Assumptions!AO581,INDEX($M540:$Q540,,MATCH(AO$4,$M$4:$Q$4,0))/12)</f>
        <v/>
      </c>
      <c r="AP540" s="257">
        <f>IF($K540="Monthly",i_Assumptions!AP581,INDEX($M540:$Q540,,MATCH(AP$4,$M$4:$Q$4,0))/12)</f>
        <v/>
      </c>
      <c r="AQ540" s="257">
        <f>IF($K540="Monthly",i_Assumptions!AQ581,INDEX($M540:$Q540,,MATCH(AQ$4,$M$4:$Q$4,0))/12)</f>
        <v/>
      </c>
      <c r="AR540" s="257">
        <f>IF($K540="Monthly",i_Assumptions!AR581,INDEX($M540:$Q540,,MATCH(AR$4,$M$4:$Q$4,0))/12)</f>
        <v/>
      </c>
      <c r="AS540" s="257">
        <f>IF($K540="Monthly",i_Assumptions!AS581,INDEX($M540:$Q540,,MATCH(AS$4,$M$4:$Q$4,0))/12)</f>
        <v/>
      </c>
      <c r="AT540" s="257">
        <f>IF($K540="Monthly",i_Assumptions!AT581,INDEX($M540:$Q540,,MATCH(AT$4,$M$4:$Q$4,0))/12)</f>
        <v/>
      </c>
      <c r="AU540" s="257">
        <f>IF($K540="Monthly",i_Assumptions!AU581,INDEX($M540:$Q540,,MATCH(AU$4,$M$4:$Q$4,0))/12)</f>
        <v/>
      </c>
      <c r="AV540" s="257">
        <f>IF($K540="Monthly",i_Assumptions!AV581,INDEX($M540:$Q540,,MATCH(AV$4,$M$4:$Q$4,0))/12)</f>
        <v/>
      </c>
      <c r="AW540" s="257">
        <f>IF($K540="Monthly",i_Assumptions!AW581,INDEX($M540:$Q540,,MATCH(AW$4,$M$4:$Q$4,0))/12)</f>
        <v/>
      </c>
      <c r="AX540" s="257">
        <f>IF($K540="Monthly",i_Assumptions!AX581,INDEX($M540:$Q540,,MATCH(AX$4,$M$4:$Q$4,0))/12)</f>
        <v/>
      </c>
      <c r="AY540" s="257">
        <f>IF($K540="Monthly",i_Assumptions!AY581,INDEX($M540:$Q540,,MATCH(AY$4,$M$4:$Q$4,0))/12)</f>
        <v/>
      </c>
      <c r="AZ540" s="257">
        <f>IF($K540="Monthly",i_Assumptions!AZ581,INDEX($M540:$Q540,,MATCH(AZ$4,$M$4:$Q$4,0))/12)</f>
        <v/>
      </c>
      <c r="BA540" s="257">
        <f>IF($K540="Monthly",i_Assumptions!BA581,INDEX($M540:$Q540,,MATCH(BA$4,$M$4:$Q$4,0))/12)</f>
        <v/>
      </c>
      <c r="BB540" s="257">
        <f>IF($K540="Monthly",i_Assumptions!BB581,INDEX($M540:$Q540,,MATCH(BB$4,$M$4:$Q$4,0))/12)</f>
        <v/>
      </c>
      <c r="BC540" s="257">
        <f>IF($K540="Monthly",i_Assumptions!BC581,INDEX($M540:$Q540,,MATCH(BC$4,$M$4:$Q$4,0))/12)</f>
        <v/>
      </c>
      <c r="BD540" s="257">
        <f>IF($K540="Monthly",i_Assumptions!BD581,INDEX($M540:$Q540,,MATCH(BD$4,$M$4:$Q$4,0))/12)</f>
        <v/>
      </c>
      <c r="BE540" s="257">
        <f>IF($K540="Monthly",i_Assumptions!BE581,INDEX($M540:$Q540,,MATCH(BE$4,$M$4:$Q$4,0))/12)</f>
        <v/>
      </c>
      <c r="BF540" s="257">
        <f>IF($K540="Monthly",i_Assumptions!BF581,INDEX($M540:$Q540,,MATCH(BF$4,$M$4:$Q$4,0))/12)</f>
        <v/>
      </c>
      <c r="BG540" s="257">
        <f>IF($K540="Monthly",i_Assumptions!BG581,INDEX($M540:$Q540,,MATCH(BG$4,$M$4:$Q$4,0))/12)</f>
        <v/>
      </c>
      <c r="BH540" s="257">
        <f>IF($K540="Monthly",i_Assumptions!BH581,INDEX($M540:$Q540,,MATCH(BH$4,$M$4:$Q$4,0))/12)</f>
        <v/>
      </c>
      <c r="BI540" s="257">
        <f>IF($K540="Monthly",i_Assumptions!BI581,INDEX($M540:$Q540,,MATCH(BI$4,$M$4:$Q$4,0))/12)</f>
        <v/>
      </c>
      <c r="BJ540" s="257">
        <f>IF($K540="Monthly",i_Assumptions!BJ581,INDEX($M540:$Q540,,MATCH(BJ$4,$M$4:$Q$4,0))/12)</f>
        <v/>
      </c>
      <c r="BK540" s="257">
        <f>IF($K540="Monthly",i_Assumptions!BK581,INDEX($M540:$Q540,,MATCH(BK$4,$M$4:$Q$4,0))/12)</f>
        <v/>
      </c>
      <c r="BL540" s="257">
        <f>IF($K540="Monthly",i_Assumptions!BL581,INDEX($M540:$Q540,,MATCH(BL$4,$M$4:$Q$4,0))/12)</f>
        <v/>
      </c>
      <c r="BM540" s="257">
        <f>IF($K540="Monthly",i_Assumptions!BM581,INDEX($M540:$Q540,,MATCH(BM$4,$M$4:$Q$4,0))/12)</f>
        <v/>
      </c>
      <c r="BN540" s="257">
        <f>IF($K540="Monthly",i_Assumptions!BN581,INDEX($M540:$Q540,,MATCH(BN$4,$M$4:$Q$4,0))/12)</f>
        <v/>
      </c>
      <c r="BO540" s="257">
        <f>IF($K540="Monthly",i_Assumptions!BO581,INDEX($M540:$Q540,,MATCH(BO$4,$M$4:$Q$4,0))/12)</f>
        <v/>
      </c>
      <c r="BP540" s="257">
        <f>IF($K540="Monthly",i_Assumptions!BP581,INDEX($M540:$Q540,,MATCH(BP$4,$M$4:$Q$4,0))/12)</f>
        <v/>
      </c>
      <c r="BQ540" s="257">
        <f>IF($K540="Monthly",i_Assumptions!BQ581,INDEX($M540:$Q540,,MATCH(BQ$4,$M$4:$Q$4,0))/12)</f>
        <v/>
      </c>
      <c r="BR540" s="257">
        <f>IF($K540="Monthly",i_Assumptions!BR581,INDEX($M540:$Q540,,MATCH(BR$4,$M$4:$Q$4,0))/12)</f>
        <v/>
      </c>
      <c r="BS540" s="257">
        <f>IF($K540="Monthly",i_Assumptions!BS581,INDEX($M540:$Q540,,MATCH(BS$4,$M$4:$Q$4,0))/12)</f>
        <v/>
      </c>
      <c r="BT540" s="257">
        <f>IF($K540="Monthly",i_Assumptions!BT581,INDEX($M540:$Q540,,MATCH(BT$4,$M$4:$Q$4,0))/12)</f>
        <v/>
      </c>
      <c r="BU540" s="257">
        <f>IF($K540="Monthly",i_Assumptions!BU581,INDEX($M540:$Q540,,MATCH(BU$4,$M$4:$Q$4,0))/12)</f>
        <v/>
      </c>
      <c r="BV540" s="257">
        <f>IF($K540="Monthly",i_Assumptions!BV581,INDEX($M540:$Q540,,MATCH(BV$4,$M$4:$Q$4,0))/12)</f>
        <v/>
      </c>
      <c r="BW540" s="257">
        <f>IF($K540="Monthly",i_Assumptions!BW581,INDEX($M540:$Q540,,MATCH(BW$4,$M$4:$Q$4,0))/12)</f>
        <v/>
      </c>
      <c r="BX540" s="257">
        <f>IF($K540="Monthly",i_Assumptions!BX581,INDEX($M540:$Q540,,MATCH(BX$4,$M$4:$Q$4,0))/12)</f>
        <v/>
      </c>
      <c r="BY540" s="257">
        <f>IF($K540="Monthly",i_Assumptions!BY581,INDEX($M540:$Q540,,MATCH(BY$4,$M$4:$Q$4,0))/12)</f>
        <v/>
      </c>
      <c r="BZ540" s="257">
        <f>IF($K540="Monthly",i_Assumptions!BZ581,INDEX($M540:$Q540,,MATCH(BZ$4,$M$4:$Q$4,0))/12)</f>
        <v/>
      </c>
      <c r="CA540" s="257">
        <f>IF($K540="Monthly",i_Assumptions!CA581,INDEX($M540:$Q540,,MATCH(CA$4,$M$4:$Q$4,0))/12)</f>
        <v/>
      </c>
    </row>
    <row r="541" ht="12" customHeight="1" s="227">
      <c r="A541" s="244" t="n"/>
      <c r="B541" s="244" t="n"/>
      <c r="C541" s="244" t="n"/>
      <c r="H541" s="4">
        <f>i_Setup!U105</f>
        <v/>
      </c>
      <c r="I541" s="27">
        <f>i_Setup!$M$16</f>
        <v/>
      </c>
      <c r="K541" s="259">
        <f>i_Assumptions!K582</f>
        <v/>
      </c>
      <c r="M541" s="257">
        <f>IF($K541="Monthly",0,i_Assumptions!M582)</f>
        <v/>
      </c>
      <c r="N541" s="257">
        <f>IF($K541="Monthly",0,i_Assumptions!N582)</f>
        <v/>
      </c>
      <c r="O541" s="257">
        <f>IF($K541="Monthly",0,i_Assumptions!O582)</f>
        <v/>
      </c>
      <c r="P541" s="257">
        <f>IF($K541="Monthly",0,i_Assumptions!P582)</f>
        <v/>
      </c>
      <c r="Q541" s="257">
        <f>IF($K541="Monthly",0,i_Assumptions!Q582)</f>
        <v/>
      </c>
      <c r="T541" s="257">
        <f>IF($K541="Monthly",i_Assumptions!T582,INDEX($M541:$Q541,,MATCH(T$4,$M$4:$Q$4,0))/12)</f>
        <v/>
      </c>
      <c r="U541" s="257">
        <f>IF($K541="Monthly",i_Assumptions!U582,INDEX($M541:$Q541,,MATCH(U$4,$M$4:$Q$4,0))/12)</f>
        <v/>
      </c>
      <c r="V541" s="257">
        <f>IF($K541="Monthly",i_Assumptions!V582,INDEX($M541:$Q541,,MATCH(V$4,$M$4:$Q$4,0))/12)</f>
        <v/>
      </c>
      <c r="W541" s="257">
        <f>IF($K541="Monthly",i_Assumptions!W582,INDEX($M541:$Q541,,MATCH(W$4,$M$4:$Q$4,0))/12)</f>
        <v/>
      </c>
      <c r="X541" s="257">
        <f>IF($K541="Monthly",i_Assumptions!X582,INDEX($M541:$Q541,,MATCH(X$4,$M$4:$Q$4,0))/12)</f>
        <v/>
      </c>
      <c r="Y541" s="257">
        <f>IF($K541="Monthly",i_Assumptions!Y582,INDEX($M541:$Q541,,MATCH(Y$4,$M$4:$Q$4,0))/12)</f>
        <v/>
      </c>
      <c r="Z541" s="257">
        <f>IF($K541="Monthly",i_Assumptions!Z582,INDEX($M541:$Q541,,MATCH(Z$4,$M$4:$Q$4,0))/12)</f>
        <v/>
      </c>
      <c r="AA541" s="257">
        <f>IF($K541="Monthly",i_Assumptions!AA582,INDEX($M541:$Q541,,MATCH(AA$4,$M$4:$Q$4,0))/12)</f>
        <v/>
      </c>
      <c r="AB541" s="257">
        <f>IF($K541="Monthly",i_Assumptions!AB582,INDEX($M541:$Q541,,MATCH(AB$4,$M$4:$Q$4,0))/12)</f>
        <v/>
      </c>
      <c r="AC541" s="257">
        <f>IF($K541="Monthly",i_Assumptions!AC582,INDEX($M541:$Q541,,MATCH(AC$4,$M$4:$Q$4,0))/12)</f>
        <v/>
      </c>
      <c r="AD541" s="257">
        <f>IF($K541="Monthly",i_Assumptions!AD582,INDEX($M541:$Q541,,MATCH(AD$4,$M$4:$Q$4,0))/12)</f>
        <v/>
      </c>
      <c r="AE541" s="257">
        <f>IF($K541="Monthly",i_Assumptions!AE582,INDEX($M541:$Q541,,MATCH(AE$4,$M$4:$Q$4,0))/12)</f>
        <v/>
      </c>
      <c r="AF541" s="257">
        <f>IF($K541="Monthly",i_Assumptions!AF582,INDEX($M541:$Q541,,MATCH(AF$4,$M$4:$Q$4,0))/12)</f>
        <v/>
      </c>
      <c r="AG541" s="257">
        <f>IF($K541="Monthly",i_Assumptions!AG582,INDEX($M541:$Q541,,MATCH(AG$4,$M$4:$Q$4,0))/12)</f>
        <v/>
      </c>
      <c r="AH541" s="257">
        <f>IF($K541="Monthly",i_Assumptions!AH582,INDEX($M541:$Q541,,MATCH(AH$4,$M$4:$Q$4,0))/12)</f>
        <v/>
      </c>
      <c r="AI541" s="257">
        <f>IF($K541="Monthly",i_Assumptions!AI582,INDEX($M541:$Q541,,MATCH(AI$4,$M$4:$Q$4,0))/12)</f>
        <v/>
      </c>
      <c r="AJ541" s="257">
        <f>IF($K541="Monthly",i_Assumptions!AJ582,INDEX($M541:$Q541,,MATCH(AJ$4,$M$4:$Q$4,0))/12)</f>
        <v/>
      </c>
      <c r="AK541" s="257">
        <f>IF($K541="Monthly",i_Assumptions!AK582,INDEX($M541:$Q541,,MATCH(AK$4,$M$4:$Q$4,0))/12)</f>
        <v/>
      </c>
      <c r="AL541" s="257">
        <f>IF($K541="Monthly",i_Assumptions!AL582,INDEX($M541:$Q541,,MATCH(AL$4,$M$4:$Q$4,0))/12)</f>
        <v/>
      </c>
      <c r="AM541" s="257">
        <f>IF($K541="Monthly",i_Assumptions!AM582,INDEX($M541:$Q541,,MATCH(AM$4,$M$4:$Q$4,0))/12)</f>
        <v/>
      </c>
      <c r="AN541" s="257">
        <f>IF($K541="Monthly",i_Assumptions!AN582,INDEX($M541:$Q541,,MATCH(AN$4,$M$4:$Q$4,0))/12)</f>
        <v/>
      </c>
      <c r="AO541" s="257">
        <f>IF($K541="Monthly",i_Assumptions!AO582,INDEX($M541:$Q541,,MATCH(AO$4,$M$4:$Q$4,0))/12)</f>
        <v/>
      </c>
      <c r="AP541" s="257">
        <f>IF($K541="Monthly",i_Assumptions!AP582,INDEX($M541:$Q541,,MATCH(AP$4,$M$4:$Q$4,0))/12)</f>
        <v/>
      </c>
      <c r="AQ541" s="257">
        <f>IF($K541="Monthly",i_Assumptions!AQ582,INDEX($M541:$Q541,,MATCH(AQ$4,$M$4:$Q$4,0))/12)</f>
        <v/>
      </c>
      <c r="AR541" s="257">
        <f>IF($K541="Monthly",i_Assumptions!AR582,INDEX($M541:$Q541,,MATCH(AR$4,$M$4:$Q$4,0))/12)</f>
        <v/>
      </c>
      <c r="AS541" s="257">
        <f>IF($K541="Monthly",i_Assumptions!AS582,INDEX($M541:$Q541,,MATCH(AS$4,$M$4:$Q$4,0))/12)</f>
        <v/>
      </c>
      <c r="AT541" s="257">
        <f>IF($K541="Monthly",i_Assumptions!AT582,INDEX($M541:$Q541,,MATCH(AT$4,$M$4:$Q$4,0))/12)</f>
        <v/>
      </c>
      <c r="AU541" s="257">
        <f>IF($K541="Monthly",i_Assumptions!AU582,INDEX($M541:$Q541,,MATCH(AU$4,$M$4:$Q$4,0))/12)</f>
        <v/>
      </c>
      <c r="AV541" s="257">
        <f>IF($K541="Monthly",i_Assumptions!AV582,INDEX($M541:$Q541,,MATCH(AV$4,$M$4:$Q$4,0))/12)</f>
        <v/>
      </c>
      <c r="AW541" s="257">
        <f>IF($K541="Monthly",i_Assumptions!AW582,INDEX($M541:$Q541,,MATCH(AW$4,$M$4:$Q$4,0))/12)</f>
        <v/>
      </c>
      <c r="AX541" s="257">
        <f>IF($K541="Monthly",i_Assumptions!AX582,INDEX($M541:$Q541,,MATCH(AX$4,$M$4:$Q$4,0))/12)</f>
        <v/>
      </c>
      <c r="AY541" s="257">
        <f>IF($K541="Monthly",i_Assumptions!AY582,INDEX($M541:$Q541,,MATCH(AY$4,$M$4:$Q$4,0))/12)</f>
        <v/>
      </c>
      <c r="AZ541" s="257">
        <f>IF($K541="Monthly",i_Assumptions!AZ582,INDEX($M541:$Q541,,MATCH(AZ$4,$M$4:$Q$4,0))/12)</f>
        <v/>
      </c>
      <c r="BA541" s="257">
        <f>IF($K541="Monthly",i_Assumptions!BA582,INDEX($M541:$Q541,,MATCH(BA$4,$M$4:$Q$4,0))/12)</f>
        <v/>
      </c>
      <c r="BB541" s="257">
        <f>IF($K541="Monthly",i_Assumptions!BB582,INDEX($M541:$Q541,,MATCH(BB$4,$M$4:$Q$4,0))/12)</f>
        <v/>
      </c>
      <c r="BC541" s="257">
        <f>IF($K541="Monthly",i_Assumptions!BC582,INDEX($M541:$Q541,,MATCH(BC$4,$M$4:$Q$4,0))/12)</f>
        <v/>
      </c>
      <c r="BD541" s="257">
        <f>IF($K541="Monthly",i_Assumptions!BD582,INDEX($M541:$Q541,,MATCH(BD$4,$M$4:$Q$4,0))/12)</f>
        <v/>
      </c>
      <c r="BE541" s="257">
        <f>IF($K541="Monthly",i_Assumptions!BE582,INDEX($M541:$Q541,,MATCH(BE$4,$M$4:$Q$4,0))/12)</f>
        <v/>
      </c>
      <c r="BF541" s="257">
        <f>IF($K541="Monthly",i_Assumptions!BF582,INDEX($M541:$Q541,,MATCH(BF$4,$M$4:$Q$4,0))/12)</f>
        <v/>
      </c>
      <c r="BG541" s="257">
        <f>IF($K541="Monthly",i_Assumptions!BG582,INDEX($M541:$Q541,,MATCH(BG$4,$M$4:$Q$4,0))/12)</f>
        <v/>
      </c>
      <c r="BH541" s="257">
        <f>IF($K541="Monthly",i_Assumptions!BH582,INDEX($M541:$Q541,,MATCH(BH$4,$M$4:$Q$4,0))/12)</f>
        <v/>
      </c>
      <c r="BI541" s="257">
        <f>IF($K541="Monthly",i_Assumptions!BI582,INDEX($M541:$Q541,,MATCH(BI$4,$M$4:$Q$4,0))/12)</f>
        <v/>
      </c>
      <c r="BJ541" s="257">
        <f>IF($K541="Monthly",i_Assumptions!BJ582,INDEX($M541:$Q541,,MATCH(BJ$4,$M$4:$Q$4,0))/12)</f>
        <v/>
      </c>
      <c r="BK541" s="257">
        <f>IF($K541="Monthly",i_Assumptions!BK582,INDEX($M541:$Q541,,MATCH(BK$4,$M$4:$Q$4,0))/12)</f>
        <v/>
      </c>
      <c r="BL541" s="257">
        <f>IF($K541="Monthly",i_Assumptions!BL582,INDEX($M541:$Q541,,MATCH(BL$4,$M$4:$Q$4,0))/12)</f>
        <v/>
      </c>
      <c r="BM541" s="257">
        <f>IF($K541="Monthly",i_Assumptions!BM582,INDEX($M541:$Q541,,MATCH(BM$4,$M$4:$Q$4,0))/12)</f>
        <v/>
      </c>
      <c r="BN541" s="257">
        <f>IF($K541="Monthly",i_Assumptions!BN582,INDEX($M541:$Q541,,MATCH(BN$4,$M$4:$Q$4,0))/12)</f>
        <v/>
      </c>
      <c r="BO541" s="257">
        <f>IF($K541="Monthly",i_Assumptions!BO582,INDEX($M541:$Q541,,MATCH(BO$4,$M$4:$Q$4,0))/12)</f>
        <v/>
      </c>
      <c r="BP541" s="257">
        <f>IF($K541="Monthly",i_Assumptions!BP582,INDEX($M541:$Q541,,MATCH(BP$4,$M$4:$Q$4,0))/12)</f>
        <v/>
      </c>
      <c r="BQ541" s="257">
        <f>IF($K541="Monthly",i_Assumptions!BQ582,INDEX($M541:$Q541,,MATCH(BQ$4,$M$4:$Q$4,0))/12)</f>
        <v/>
      </c>
      <c r="BR541" s="257">
        <f>IF($K541="Monthly",i_Assumptions!BR582,INDEX($M541:$Q541,,MATCH(BR$4,$M$4:$Q$4,0))/12)</f>
        <v/>
      </c>
      <c r="BS541" s="257">
        <f>IF($K541="Monthly",i_Assumptions!BS582,INDEX($M541:$Q541,,MATCH(BS$4,$M$4:$Q$4,0))/12)</f>
        <v/>
      </c>
      <c r="BT541" s="257">
        <f>IF($K541="Monthly",i_Assumptions!BT582,INDEX($M541:$Q541,,MATCH(BT$4,$M$4:$Q$4,0))/12)</f>
        <v/>
      </c>
      <c r="BU541" s="257">
        <f>IF($K541="Monthly",i_Assumptions!BU582,INDEX($M541:$Q541,,MATCH(BU$4,$M$4:$Q$4,0))/12)</f>
        <v/>
      </c>
      <c r="BV541" s="257">
        <f>IF($K541="Monthly",i_Assumptions!BV582,INDEX($M541:$Q541,,MATCH(BV$4,$M$4:$Q$4,0))/12)</f>
        <v/>
      </c>
      <c r="BW541" s="257">
        <f>IF($K541="Monthly",i_Assumptions!BW582,INDEX($M541:$Q541,,MATCH(BW$4,$M$4:$Q$4,0))/12)</f>
        <v/>
      </c>
      <c r="BX541" s="257">
        <f>IF($K541="Monthly",i_Assumptions!BX582,INDEX($M541:$Q541,,MATCH(BX$4,$M$4:$Q$4,0))/12)</f>
        <v/>
      </c>
      <c r="BY541" s="257">
        <f>IF($K541="Monthly",i_Assumptions!BY582,INDEX($M541:$Q541,,MATCH(BY$4,$M$4:$Q$4,0))/12)</f>
        <v/>
      </c>
      <c r="BZ541" s="257">
        <f>IF($K541="Monthly",i_Assumptions!BZ582,INDEX($M541:$Q541,,MATCH(BZ$4,$M$4:$Q$4,0))/12)</f>
        <v/>
      </c>
      <c r="CA541" s="257">
        <f>IF($K541="Monthly",i_Assumptions!CA582,INDEX($M541:$Q541,,MATCH(CA$4,$M$4:$Q$4,0))/12)</f>
        <v/>
      </c>
    </row>
    <row r="542" ht="12" customHeight="1" s="227">
      <c r="A542" s="244" t="n"/>
      <c r="B542" s="244" t="n"/>
      <c r="C542" s="244" t="n"/>
      <c r="H542" s="4">
        <f>i_Setup!U106</f>
        <v/>
      </c>
      <c r="I542" s="27">
        <f>i_Setup!$M$16</f>
        <v/>
      </c>
      <c r="K542" s="259">
        <f>i_Assumptions!K583</f>
        <v/>
      </c>
      <c r="M542" s="257">
        <f>IF($K542="Monthly",0,i_Assumptions!M583)</f>
        <v/>
      </c>
      <c r="N542" s="257">
        <f>IF($K542="Monthly",0,i_Assumptions!N583)</f>
        <v/>
      </c>
      <c r="O542" s="257">
        <f>IF($K542="Monthly",0,i_Assumptions!O583)</f>
        <v/>
      </c>
      <c r="P542" s="257">
        <f>IF($K542="Monthly",0,i_Assumptions!P583)</f>
        <v/>
      </c>
      <c r="Q542" s="257">
        <f>IF($K542="Monthly",0,i_Assumptions!Q583)</f>
        <v/>
      </c>
      <c r="T542" s="257">
        <f>IF($K542="Monthly",i_Assumptions!T583,INDEX($M542:$Q542,,MATCH(T$4,$M$4:$Q$4,0))/12)</f>
        <v/>
      </c>
      <c r="U542" s="257">
        <f>IF($K542="Monthly",i_Assumptions!U583,INDEX($M542:$Q542,,MATCH(U$4,$M$4:$Q$4,0))/12)</f>
        <v/>
      </c>
      <c r="V542" s="257">
        <f>IF($K542="Monthly",i_Assumptions!V583,INDEX($M542:$Q542,,MATCH(V$4,$M$4:$Q$4,0))/12)</f>
        <v/>
      </c>
      <c r="W542" s="257">
        <f>IF($K542="Monthly",i_Assumptions!W583,INDEX($M542:$Q542,,MATCH(W$4,$M$4:$Q$4,0))/12)</f>
        <v/>
      </c>
      <c r="X542" s="257">
        <f>IF($K542="Monthly",i_Assumptions!X583,INDEX($M542:$Q542,,MATCH(X$4,$M$4:$Q$4,0))/12)</f>
        <v/>
      </c>
      <c r="Y542" s="257">
        <f>IF($K542="Monthly",i_Assumptions!Y583,INDEX($M542:$Q542,,MATCH(Y$4,$M$4:$Q$4,0))/12)</f>
        <v/>
      </c>
      <c r="Z542" s="257">
        <f>IF($K542="Monthly",i_Assumptions!Z583,INDEX($M542:$Q542,,MATCH(Z$4,$M$4:$Q$4,0))/12)</f>
        <v/>
      </c>
      <c r="AA542" s="257">
        <f>IF($K542="Monthly",i_Assumptions!AA583,INDEX($M542:$Q542,,MATCH(AA$4,$M$4:$Q$4,0))/12)</f>
        <v/>
      </c>
      <c r="AB542" s="257">
        <f>IF($K542="Monthly",i_Assumptions!AB583,INDEX($M542:$Q542,,MATCH(AB$4,$M$4:$Q$4,0))/12)</f>
        <v/>
      </c>
      <c r="AC542" s="257">
        <f>IF($K542="Monthly",i_Assumptions!AC583,INDEX($M542:$Q542,,MATCH(AC$4,$M$4:$Q$4,0))/12)</f>
        <v/>
      </c>
      <c r="AD542" s="257">
        <f>IF($K542="Monthly",i_Assumptions!AD583,INDEX($M542:$Q542,,MATCH(AD$4,$M$4:$Q$4,0))/12)</f>
        <v/>
      </c>
      <c r="AE542" s="257">
        <f>IF($K542="Monthly",i_Assumptions!AE583,INDEX($M542:$Q542,,MATCH(AE$4,$M$4:$Q$4,0))/12)</f>
        <v/>
      </c>
      <c r="AF542" s="257">
        <f>IF($K542="Monthly",i_Assumptions!AF583,INDEX($M542:$Q542,,MATCH(AF$4,$M$4:$Q$4,0))/12)</f>
        <v/>
      </c>
      <c r="AG542" s="257">
        <f>IF($K542="Monthly",i_Assumptions!AG583,INDEX($M542:$Q542,,MATCH(AG$4,$M$4:$Q$4,0))/12)</f>
        <v/>
      </c>
      <c r="AH542" s="257">
        <f>IF($K542="Monthly",i_Assumptions!AH583,INDEX($M542:$Q542,,MATCH(AH$4,$M$4:$Q$4,0))/12)</f>
        <v/>
      </c>
      <c r="AI542" s="257">
        <f>IF($K542="Monthly",i_Assumptions!AI583,INDEX($M542:$Q542,,MATCH(AI$4,$M$4:$Q$4,0))/12)</f>
        <v/>
      </c>
      <c r="AJ542" s="257">
        <f>IF($K542="Monthly",i_Assumptions!AJ583,INDEX($M542:$Q542,,MATCH(AJ$4,$M$4:$Q$4,0))/12)</f>
        <v/>
      </c>
      <c r="AK542" s="257">
        <f>IF($K542="Monthly",i_Assumptions!AK583,INDEX($M542:$Q542,,MATCH(AK$4,$M$4:$Q$4,0))/12)</f>
        <v/>
      </c>
      <c r="AL542" s="257">
        <f>IF($K542="Monthly",i_Assumptions!AL583,INDEX($M542:$Q542,,MATCH(AL$4,$M$4:$Q$4,0))/12)</f>
        <v/>
      </c>
      <c r="AM542" s="257">
        <f>IF($K542="Monthly",i_Assumptions!AM583,INDEX($M542:$Q542,,MATCH(AM$4,$M$4:$Q$4,0))/12)</f>
        <v/>
      </c>
      <c r="AN542" s="257">
        <f>IF($K542="Monthly",i_Assumptions!AN583,INDEX($M542:$Q542,,MATCH(AN$4,$M$4:$Q$4,0))/12)</f>
        <v/>
      </c>
      <c r="AO542" s="257">
        <f>IF($K542="Monthly",i_Assumptions!AO583,INDEX($M542:$Q542,,MATCH(AO$4,$M$4:$Q$4,0))/12)</f>
        <v/>
      </c>
      <c r="AP542" s="257">
        <f>IF($K542="Monthly",i_Assumptions!AP583,INDEX($M542:$Q542,,MATCH(AP$4,$M$4:$Q$4,0))/12)</f>
        <v/>
      </c>
      <c r="AQ542" s="257">
        <f>IF($K542="Monthly",i_Assumptions!AQ583,INDEX($M542:$Q542,,MATCH(AQ$4,$M$4:$Q$4,0))/12)</f>
        <v/>
      </c>
      <c r="AR542" s="257">
        <f>IF($K542="Monthly",i_Assumptions!AR583,INDEX($M542:$Q542,,MATCH(AR$4,$M$4:$Q$4,0))/12)</f>
        <v/>
      </c>
      <c r="AS542" s="257">
        <f>IF($K542="Monthly",i_Assumptions!AS583,INDEX($M542:$Q542,,MATCH(AS$4,$M$4:$Q$4,0))/12)</f>
        <v/>
      </c>
      <c r="AT542" s="257">
        <f>IF($K542="Monthly",i_Assumptions!AT583,INDEX($M542:$Q542,,MATCH(AT$4,$M$4:$Q$4,0))/12)</f>
        <v/>
      </c>
      <c r="AU542" s="257">
        <f>IF($K542="Monthly",i_Assumptions!AU583,INDEX($M542:$Q542,,MATCH(AU$4,$M$4:$Q$4,0))/12)</f>
        <v/>
      </c>
      <c r="AV542" s="257">
        <f>IF($K542="Monthly",i_Assumptions!AV583,INDEX($M542:$Q542,,MATCH(AV$4,$M$4:$Q$4,0))/12)</f>
        <v/>
      </c>
      <c r="AW542" s="257">
        <f>IF($K542="Monthly",i_Assumptions!AW583,INDEX($M542:$Q542,,MATCH(AW$4,$M$4:$Q$4,0))/12)</f>
        <v/>
      </c>
      <c r="AX542" s="257">
        <f>IF($K542="Monthly",i_Assumptions!AX583,INDEX($M542:$Q542,,MATCH(AX$4,$M$4:$Q$4,0))/12)</f>
        <v/>
      </c>
      <c r="AY542" s="257">
        <f>IF($K542="Monthly",i_Assumptions!AY583,INDEX($M542:$Q542,,MATCH(AY$4,$M$4:$Q$4,0))/12)</f>
        <v/>
      </c>
      <c r="AZ542" s="257">
        <f>IF($K542="Monthly",i_Assumptions!AZ583,INDEX($M542:$Q542,,MATCH(AZ$4,$M$4:$Q$4,0))/12)</f>
        <v/>
      </c>
      <c r="BA542" s="257">
        <f>IF($K542="Monthly",i_Assumptions!BA583,INDEX($M542:$Q542,,MATCH(BA$4,$M$4:$Q$4,0))/12)</f>
        <v/>
      </c>
      <c r="BB542" s="257">
        <f>IF($K542="Monthly",i_Assumptions!BB583,INDEX($M542:$Q542,,MATCH(BB$4,$M$4:$Q$4,0))/12)</f>
        <v/>
      </c>
      <c r="BC542" s="257">
        <f>IF($K542="Monthly",i_Assumptions!BC583,INDEX($M542:$Q542,,MATCH(BC$4,$M$4:$Q$4,0))/12)</f>
        <v/>
      </c>
      <c r="BD542" s="257">
        <f>IF($K542="Monthly",i_Assumptions!BD583,INDEX($M542:$Q542,,MATCH(BD$4,$M$4:$Q$4,0))/12)</f>
        <v/>
      </c>
      <c r="BE542" s="257">
        <f>IF($K542="Monthly",i_Assumptions!BE583,INDEX($M542:$Q542,,MATCH(BE$4,$M$4:$Q$4,0))/12)</f>
        <v/>
      </c>
      <c r="BF542" s="257">
        <f>IF($K542="Monthly",i_Assumptions!BF583,INDEX($M542:$Q542,,MATCH(BF$4,$M$4:$Q$4,0))/12)</f>
        <v/>
      </c>
      <c r="BG542" s="257">
        <f>IF($K542="Monthly",i_Assumptions!BG583,INDEX($M542:$Q542,,MATCH(BG$4,$M$4:$Q$4,0))/12)</f>
        <v/>
      </c>
      <c r="BH542" s="257">
        <f>IF($K542="Monthly",i_Assumptions!BH583,INDEX($M542:$Q542,,MATCH(BH$4,$M$4:$Q$4,0))/12)</f>
        <v/>
      </c>
      <c r="BI542" s="257">
        <f>IF($K542="Monthly",i_Assumptions!BI583,INDEX($M542:$Q542,,MATCH(BI$4,$M$4:$Q$4,0))/12)</f>
        <v/>
      </c>
      <c r="BJ542" s="257">
        <f>IF($K542="Monthly",i_Assumptions!BJ583,INDEX($M542:$Q542,,MATCH(BJ$4,$M$4:$Q$4,0))/12)</f>
        <v/>
      </c>
      <c r="BK542" s="257">
        <f>IF($K542="Monthly",i_Assumptions!BK583,INDEX($M542:$Q542,,MATCH(BK$4,$M$4:$Q$4,0))/12)</f>
        <v/>
      </c>
      <c r="BL542" s="257">
        <f>IF($K542="Monthly",i_Assumptions!BL583,INDEX($M542:$Q542,,MATCH(BL$4,$M$4:$Q$4,0))/12)</f>
        <v/>
      </c>
      <c r="BM542" s="257">
        <f>IF($K542="Monthly",i_Assumptions!BM583,INDEX($M542:$Q542,,MATCH(BM$4,$M$4:$Q$4,0))/12)</f>
        <v/>
      </c>
      <c r="BN542" s="257">
        <f>IF($K542="Monthly",i_Assumptions!BN583,INDEX($M542:$Q542,,MATCH(BN$4,$M$4:$Q$4,0))/12)</f>
        <v/>
      </c>
      <c r="BO542" s="257">
        <f>IF($K542="Monthly",i_Assumptions!BO583,INDEX($M542:$Q542,,MATCH(BO$4,$M$4:$Q$4,0))/12)</f>
        <v/>
      </c>
      <c r="BP542" s="257">
        <f>IF($K542="Monthly",i_Assumptions!BP583,INDEX($M542:$Q542,,MATCH(BP$4,$M$4:$Q$4,0))/12)</f>
        <v/>
      </c>
      <c r="BQ542" s="257">
        <f>IF($K542="Monthly",i_Assumptions!BQ583,INDEX($M542:$Q542,,MATCH(BQ$4,$M$4:$Q$4,0))/12)</f>
        <v/>
      </c>
      <c r="BR542" s="257">
        <f>IF($K542="Monthly",i_Assumptions!BR583,INDEX($M542:$Q542,,MATCH(BR$4,$M$4:$Q$4,0))/12)</f>
        <v/>
      </c>
      <c r="BS542" s="257">
        <f>IF($K542="Monthly",i_Assumptions!BS583,INDEX($M542:$Q542,,MATCH(BS$4,$M$4:$Q$4,0))/12)</f>
        <v/>
      </c>
      <c r="BT542" s="257">
        <f>IF($K542="Monthly",i_Assumptions!BT583,INDEX($M542:$Q542,,MATCH(BT$4,$M$4:$Q$4,0))/12)</f>
        <v/>
      </c>
      <c r="BU542" s="257">
        <f>IF($K542="Monthly",i_Assumptions!BU583,INDEX($M542:$Q542,,MATCH(BU$4,$M$4:$Q$4,0))/12)</f>
        <v/>
      </c>
      <c r="BV542" s="257">
        <f>IF($K542="Monthly",i_Assumptions!BV583,INDEX($M542:$Q542,,MATCH(BV$4,$M$4:$Q$4,0))/12)</f>
        <v/>
      </c>
      <c r="BW542" s="257">
        <f>IF($K542="Monthly",i_Assumptions!BW583,INDEX($M542:$Q542,,MATCH(BW$4,$M$4:$Q$4,0))/12)</f>
        <v/>
      </c>
      <c r="BX542" s="257">
        <f>IF($K542="Monthly",i_Assumptions!BX583,INDEX($M542:$Q542,,MATCH(BX$4,$M$4:$Q$4,0))/12)</f>
        <v/>
      </c>
      <c r="BY542" s="257">
        <f>IF($K542="Monthly",i_Assumptions!BY583,INDEX($M542:$Q542,,MATCH(BY$4,$M$4:$Q$4,0))/12)</f>
        <v/>
      </c>
      <c r="BZ542" s="257">
        <f>IF($K542="Monthly",i_Assumptions!BZ583,INDEX($M542:$Q542,,MATCH(BZ$4,$M$4:$Q$4,0))/12)</f>
        <v/>
      </c>
      <c r="CA542" s="257">
        <f>IF($K542="Monthly",i_Assumptions!CA583,INDEX($M542:$Q542,,MATCH(CA$4,$M$4:$Q$4,0))/12)</f>
        <v/>
      </c>
    </row>
    <row r="543" ht="12" customHeight="1" s="227">
      <c r="A543" s="244" t="n"/>
      <c r="B543" s="244" t="n"/>
      <c r="C543" s="244" t="n"/>
      <c r="H543" s="4">
        <f>i_Setup!U107</f>
        <v/>
      </c>
      <c r="I543" s="27">
        <f>i_Setup!$M$16</f>
        <v/>
      </c>
      <c r="K543" s="259">
        <f>i_Assumptions!K584</f>
        <v/>
      </c>
      <c r="M543" s="257">
        <f>IF($K543="Monthly",0,i_Assumptions!M584)</f>
        <v/>
      </c>
      <c r="N543" s="257">
        <f>IF($K543="Monthly",0,i_Assumptions!N584)</f>
        <v/>
      </c>
      <c r="O543" s="257">
        <f>IF($K543="Monthly",0,i_Assumptions!O584)</f>
        <v/>
      </c>
      <c r="P543" s="257">
        <f>IF($K543="Monthly",0,i_Assumptions!P584)</f>
        <v/>
      </c>
      <c r="Q543" s="257">
        <f>IF($K543="Monthly",0,i_Assumptions!Q584)</f>
        <v/>
      </c>
      <c r="T543" s="257">
        <f>IF($K543="Monthly",i_Assumptions!T584,INDEX($M543:$Q543,,MATCH(T$4,$M$4:$Q$4,0))/12)</f>
        <v/>
      </c>
      <c r="U543" s="257">
        <f>IF($K543="Monthly",i_Assumptions!U584,INDEX($M543:$Q543,,MATCH(U$4,$M$4:$Q$4,0))/12)</f>
        <v/>
      </c>
      <c r="V543" s="257">
        <f>IF($K543="Monthly",i_Assumptions!V584,INDEX($M543:$Q543,,MATCH(V$4,$M$4:$Q$4,0))/12)</f>
        <v/>
      </c>
      <c r="W543" s="257">
        <f>IF($K543="Monthly",i_Assumptions!W584,INDEX($M543:$Q543,,MATCH(W$4,$M$4:$Q$4,0))/12)</f>
        <v/>
      </c>
      <c r="X543" s="257">
        <f>IF($K543="Monthly",i_Assumptions!X584,INDEX($M543:$Q543,,MATCH(X$4,$M$4:$Q$4,0))/12)</f>
        <v/>
      </c>
      <c r="Y543" s="257">
        <f>IF($K543="Monthly",i_Assumptions!Y584,INDEX($M543:$Q543,,MATCH(Y$4,$M$4:$Q$4,0))/12)</f>
        <v/>
      </c>
      <c r="Z543" s="257">
        <f>IF($K543="Monthly",i_Assumptions!Z584,INDEX($M543:$Q543,,MATCH(Z$4,$M$4:$Q$4,0))/12)</f>
        <v/>
      </c>
      <c r="AA543" s="257">
        <f>IF($K543="Monthly",i_Assumptions!AA584,INDEX($M543:$Q543,,MATCH(AA$4,$M$4:$Q$4,0))/12)</f>
        <v/>
      </c>
      <c r="AB543" s="257">
        <f>IF($K543="Monthly",i_Assumptions!AB584,INDEX($M543:$Q543,,MATCH(AB$4,$M$4:$Q$4,0))/12)</f>
        <v/>
      </c>
      <c r="AC543" s="257">
        <f>IF($K543="Monthly",i_Assumptions!AC584,INDEX($M543:$Q543,,MATCH(AC$4,$M$4:$Q$4,0))/12)</f>
        <v/>
      </c>
      <c r="AD543" s="257">
        <f>IF($K543="Monthly",i_Assumptions!AD584,INDEX($M543:$Q543,,MATCH(AD$4,$M$4:$Q$4,0))/12)</f>
        <v/>
      </c>
      <c r="AE543" s="257">
        <f>IF($K543="Monthly",i_Assumptions!AE584,INDEX($M543:$Q543,,MATCH(AE$4,$M$4:$Q$4,0))/12)</f>
        <v/>
      </c>
      <c r="AF543" s="257">
        <f>IF($K543="Monthly",i_Assumptions!AF584,INDEX($M543:$Q543,,MATCH(AF$4,$M$4:$Q$4,0))/12)</f>
        <v/>
      </c>
      <c r="AG543" s="257">
        <f>IF($K543="Monthly",i_Assumptions!AG584,INDEX($M543:$Q543,,MATCH(AG$4,$M$4:$Q$4,0))/12)</f>
        <v/>
      </c>
      <c r="AH543" s="257">
        <f>IF($K543="Monthly",i_Assumptions!AH584,INDEX($M543:$Q543,,MATCH(AH$4,$M$4:$Q$4,0))/12)</f>
        <v/>
      </c>
      <c r="AI543" s="257">
        <f>IF($K543="Monthly",i_Assumptions!AI584,INDEX($M543:$Q543,,MATCH(AI$4,$M$4:$Q$4,0))/12)</f>
        <v/>
      </c>
      <c r="AJ543" s="257">
        <f>IF($K543="Monthly",i_Assumptions!AJ584,INDEX($M543:$Q543,,MATCH(AJ$4,$M$4:$Q$4,0))/12)</f>
        <v/>
      </c>
      <c r="AK543" s="257">
        <f>IF($K543="Monthly",i_Assumptions!AK584,INDEX($M543:$Q543,,MATCH(AK$4,$M$4:$Q$4,0))/12)</f>
        <v/>
      </c>
      <c r="AL543" s="257">
        <f>IF($K543="Monthly",i_Assumptions!AL584,INDEX($M543:$Q543,,MATCH(AL$4,$M$4:$Q$4,0))/12)</f>
        <v/>
      </c>
      <c r="AM543" s="257">
        <f>IF($K543="Monthly",i_Assumptions!AM584,INDEX($M543:$Q543,,MATCH(AM$4,$M$4:$Q$4,0))/12)</f>
        <v/>
      </c>
      <c r="AN543" s="257">
        <f>IF($K543="Monthly",i_Assumptions!AN584,INDEX($M543:$Q543,,MATCH(AN$4,$M$4:$Q$4,0))/12)</f>
        <v/>
      </c>
      <c r="AO543" s="257">
        <f>IF($K543="Monthly",i_Assumptions!AO584,INDEX($M543:$Q543,,MATCH(AO$4,$M$4:$Q$4,0))/12)</f>
        <v/>
      </c>
      <c r="AP543" s="257">
        <f>IF($K543="Monthly",i_Assumptions!AP584,INDEX($M543:$Q543,,MATCH(AP$4,$M$4:$Q$4,0))/12)</f>
        <v/>
      </c>
      <c r="AQ543" s="257">
        <f>IF($K543="Monthly",i_Assumptions!AQ584,INDEX($M543:$Q543,,MATCH(AQ$4,$M$4:$Q$4,0))/12)</f>
        <v/>
      </c>
      <c r="AR543" s="257">
        <f>IF($K543="Monthly",i_Assumptions!AR584,INDEX($M543:$Q543,,MATCH(AR$4,$M$4:$Q$4,0))/12)</f>
        <v/>
      </c>
      <c r="AS543" s="257">
        <f>IF($K543="Monthly",i_Assumptions!AS584,INDEX($M543:$Q543,,MATCH(AS$4,$M$4:$Q$4,0))/12)</f>
        <v/>
      </c>
      <c r="AT543" s="257">
        <f>IF($K543="Monthly",i_Assumptions!AT584,INDEX($M543:$Q543,,MATCH(AT$4,$M$4:$Q$4,0))/12)</f>
        <v/>
      </c>
      <c r="AU543" s="257">
        <f>IF($K543="Monthly",i_Assumptions!AU584,INDEX($M543:$Q543,,MATCH(AU$4,$M$4:$Q$4,0))/12)</f>
        <v/>
      </c>
      <c r="AV543" s="257">
        <f>IF($K543="Monthly",i_Assumptions!AV584,INDEX($M543:$Q543,,MATCH(AV$4,$M$4:$Q$4,0))/12)</f>
        <v/>
      </c>
      <c r="AW543" s="257">
        <f>IF($K543="Monthly",i_Assumptions!AW584,INDEX($M543:$Q543,,MATCH(AW$4,$M$4:$Q$4,0))/12)</f>
        <v/>
      </c>
      <c r="AX543" s="257">
        <f>IF($K543="Monthly",i_Assumptions!AX584,INDEX($M543:$Q543,,MATCH(AX$4,$M$4:$Q$4,0))/12)</f>
        <v/>
      </c>
      <c r="AY543" s="257">
        <f>IF($K543="Monthly",i_Assumptions!AY584,INDEX($M543:$Q543,,MATCH(AY$4,$M$4:$Q$4,0))/12)</f>
        <v/>
      </c>
      <c r="AZ543" s="257">
        <f>IF($K543="Monthly",i_Assumptions!AZ584,INDEX($M543:$Q543,,MATCH(AZ$4,$M$4:$Q$4,0))/12)</f>
        <v/>
      </c>
      <c r="BA543" s="257">
        <f>IF($K543="Monthly",i_Assumptions!BA584,INDEX($M543:$Q543,,MATCH(BA$4,$M$4:$Q$4,0))/12)</f>
        <v/>
      </c>
      <c r="BB543" s="257">
        <f>IF($K543="Monthly",i_Assumptions!BB584,INDEX($M543:$Q543,,MATCH(BB$4,$M$4:$Q$4,0))/12)</f>
        <v/>
      </c>
      <c r="BC543" s="257">
        <f>IF($K543="Monthly",i_Assumptions!BC584,INDEX($M543:$Q543,,MATCH(BC$4,$M$4:$Q$4,0))/12)</f>
        <v/>
      </c>
      <c r="BD543" s="257">
        <f>IF($K543="Monthly",i_Assumptions!BD584,INDEX($M543:$Q543,,MATCH(BD$4,$M$4:$Q$4,0))/12)</f>
        <v/>
      </c>
      <c r="BE543" s="257">
        <f>IF($K543="Monthly",i_Assumptions!BE584,INDEX($M543:$Q543,,MATCH(BE$4,$M$4:$Q$4,0))/12)</f>
        <v/>
      </c>
      <c r="BF543" s="257">
        <f>IF($K543="Monthly",i_Assumptions!BF584,INDEX($M543:$Q543,,MATCH(BF$4,$M$4:$Q$4,0))/12)</f>
        <v/>
      </c>
      <c r="BG543" s="257">
        <f>IF($K543="Monthly",i_Assumptions!BG584,INDEX($M543:$Q543,,MATCH(BG$4,$M$4:$Q$4,0))/12)</f>
        <v/>
      </c>
      <c r="BH543" s="257">
        <f>IF($K543="Monthly",i_Assumptions!BH584,INDEX($M543:$Q543,,MATCH(BH$4,$M$4:$Q$4,0))/12)</f>
        <v/>
      </c>
      <c r="BI543" s="257">
        <f>IF($K543="Monthly",i_Assumptions!BI584,INDEX($M543:$Q543,,MATCH(BI$4,$M$4:$Q$4,0))/12)</f>
        <v/>
      </c>
      <c r="BJ543" s="257">
        <f>IF($K543="Monthly",i_Assumptions!BJ584,INDEX($M543:$Q543,,MATCH(BJ$4,$M$4:$Q$4,0))/12)</f>
        <v/>
      </c>
      <c r="BK543" s="257">
        <f>IF($K543="Monthly",i_Assumptions!BK584,INDEX($M543:$Q543,,MATCH(BK$4,$M$4:$Q$4,0))/12)</f>
        <v/>
      </c>
      <c r="BL543" s="257">
        <f>IF($K543="Monthly",i_Assumptions!BL584,INDEX($M543:$Q543,,MATCH(BL$4,$M$4:$Q$4,0))/12)</f>
        <v/>
      </c>
      <c r="BM543" s="257">
        <f>IF($K543="Monthly",i_Assumptions!BM584,INDEX($M543:$Q543,,MATCH(BM$4,$M$4:$Q$4,0))/12)</f>
        <v/>
      </c>
      <c r="BN543" s="257">
        <f>IF($K543="Monthly",i_Assumptions!BN584,INDEX($M543:$Q543,,MATCH(BN$4,$M$4:$Q$4,0))/12)</f>
        <v/>
      </c>
      <c r="BO543" s="257">
        <f>IF($K543="Monthly",i_Assumptions!BO584,INDEX($M543:$Q543,,MATCH(BO$4,$M$4:$Q$4,0))/12)</f>
        <v/>
      </c>
      <c r="BP543" s="257">
        <f>IF($K543="Monthly",i_Assumptions!BP584,INDEX($M543:$Q543,,MATCH(BP$4,$M$4:$Q$4,0))/12)</f>
        <v/>
      </c>
      <c r="BQ543" s="257">
        <f>IF($K543="Monthly",i_Assumptions!BQ584,INDEX($M543:$Q543,,MATCH(BQ$4,$M$4:$Q$4,0))/12)</f>
        <v/>
      </c>
      <c r="BR543" s="257">
        <f>IF($K543="Monthly",i_Assumptions!BR584,INDEX($M543:$Q543,,MATCH(BR$4,$M$4:$Q$4,0))/12)</f>
        <v/>
      </c>
      <c r="BS543" s="257">
        <f>IF($K543="Monthly",i_Assumptions!BS584,INDEX($M543:$Q543,,MATCH(BS$4,$M$4:$Q$4,0))/12)</f>
        <v/>
      </c>
      <c r="BT543" s="257">
        <f>IF($K543="Monthly",i_Assumptions!BT584,INDEX($M543:$Q543,,MATCH(BT$4,$M$4:$Q$4,0))/12)</f>
        <v/>
      </c>
      <c r="BU543" s="257">
        <f>IF($K543="Monthly",i_Assumptions!BU584,INDEX($M543:$Q543,,MATCH(BU$4,$M$4:$Q$4,0))/12)</f>
        <v/>
      </c>
      <c r="BV543" s="257">
        <f>IF($K543="Monthly",i_Assumptions!BV584,INDEX($M543:$Q543,,MATCH(BV$4,$M$4:$Q$4,0))/12)</f>
        <v/>
      </c>
      <c r="BW543" s="257">
        <f>IF($K543="Monthly",i_Assumptions!BW584,INDEX($M543:$Q543,,MATCH(BW$4,$M$4:$Q$4,0))/12)</f>
        <v/>
      </c>
      <c r="BX543" s="257">
        <f>IF($K543="Monthly",i_Assumptions!BX584,INDEX($M543:$Q543,,MATCH(BX$4,$M$4:$Q$4,0))/12)</f>
        <v/>
      </c>
      <c r="BY543" s="257">
        <f>IF($K543="Monthly",i_Assumptions!BY584,INDEX($M543:$Q543,,MATCH(BY$4,$M$4:$Q$4,0))/12)</f>
        <v/>
      </c>
      <c r="BZ543" s="257">
        <f>IF($K543="Monthly",i_Assumptions!BZ584,INDEX($M543:$Q543,,MATCH(BZ$4,$M$4:$Q$4,0))/12)</f>
        <v/>
      </c>
      <c r="CA543" s="257">
        <f>IF($K543="Monthly",i_Assumptions!CA584,INDEX($M543:$Q543,,MATCH(CA$4,$M$4:$Q$4,0))/12)</f>
        <v/>
      </c>
    </row>
    <row r="544" ht="12" customHeight="1" s="227">
      <c r="A544" s="244" t="n"/>
      <c r="B544" s="244" t="n"/>
      <c r="C544" s="244" t="n"/>
      <c r="H544" s="4">
        <f>i_Setup!U108</f>
        <v/>
      </c>
      <c r="I544" s="27">
        <f>i_Setup!$M$16</f>
        <v/>
      </c>
      <c r="K544" s="259">
        <f>i_Assumptions!K585</f>
        <v/>
      </c>
      <c r="M544" s="257">
        <f>IF($K544="Monthly",0,i_Assumptions!M585)</f>
        <v/>
      </c>
      <c r="N544" s="257">
        <f>IF($K544="Monthly",0,i_Assumptions!N585)</f>
        <v/>
      </c>
      <c r="O544" s="257">
        <f>IF($K544="Monthly",0,i_Assumptions!O585)</f>
        <v/>
      </c>
      <c r="P544" s="257">
        <f>IF($K544="Monthly",0,i_Assumptions!P585)</f>
        <v/>
      </c>
      <c r="Q544" s="257">
        <f>IF($K544="Monthly",0,i_Assumptions!Q585)</f>
        <v/>
      </c>
      <c r="T544" s="257">
        <f>IF($K544="Monthly",i_Assumptions!T585,INDEX($M544:$Q544,,MATCH(T$4,$M$4:$Q$4,0))/12)</f>
        <v/>
      </c>
      <c r="U544" s="257">
        <f>IF($K544="Monthly",i_Assumptions!U585,INDEX($M544:$Q544,,MATCH(U$4,$M$4:$Q$4,0))/12)</f>
        <v/>
      </c>
      <c r="V544" s="257">
        <f>IF($K544="Monthly",i_Assumptions!V585,INDEX($M544:$Q544,,MATCH(V$4,$M$4:$Q$4,0))/12)</f>
        <v/>
      </c>
      <c r="W544" s="257">
        <f>IF($K544="Monthly",i_Assumptions!W585,INDEX($M544:$Q544,,MATCH(W$4,$M$4:$Q$4,0))/12)</f>
        <v/>
      </c>
      <c r="X544" s="257">
        <f>IF($K544="Monthly",i_Assumptions!X585,INDEX($M544:$Q544,,MATCH(X$4,$M$4:$Q$4,0))/12)</f>
        <v/>
      </c>
      <c r="Y544" s="257">
        <f>IF($K544="Monthly",i_Assumptions!Y585,INDEX($M544:$Q544,,MATCH(Y$4,$M$4:$Q$4,0))/12)</f>
        <v/>
      </c>
      <c r="Z544" s="257">
        <f>IF($K544="Monthly",i_Assumptions!Z585,INDEX($M544:$Q544,,MATCH(Z$4,$M$4:$Q$4,0))/12)</f>
        <v/>
      </c>
      <c r="AA544" s="257">
        <f>IF($K544="Monthly",i_Assumptions!AA585,INDEX($M544:$Q544,,MATCH(AA$4,$M$4:$Q$4,0))/12)</f>
        <v/>
      </c>
      <c r="AB544" s="257">
        <f>IF($K544="Monthly",i_Assumptions!AB585,INDEX($M544:$Q544,,MATCH(AB$4,$M$4:$Q$4,0))/12)</f>
        <v/>
      </c>
      <c r="AC544" s="257">
        <f>IF($K544="Monthly",i_Assumptions!AC585,INDEX($M544:$Q544,,MATCH(AC$4,$M$4:$Q$4,0))/12)</f>
        <v/>
      </c>
      <c r="AD544" s="257">
        <f>IF($K544="Monthly",i_Assumptions!AD585,INDEX($M544:$Q544,,MATCH(AD$4,$M$4:$Q$4,0))/12)</f>
        <v/>
      </c>
      <c r="AE544" s="257">
        <f>IF($K544="Monthly",i_Assumptions!AE585,INDEX($M544:$Q544,,MATCH(AE$4,$M$4:$Q$4,0))/12)</f>
        <v/>
      </c>
      <c r="AF544" s="257">
        <f>IF($K544="Monthly",i_Assumptions!AF585,INDEX($M544:$Q544,,MATCH(AF$4,$M$4:$Q$4,0))/12)</f>
        <v/>
      </c>
      <c r="AG544" s="257">
        <f>IF($K544="Monthly",i_Assumptions!AG585,INDEX($M544:$Q544,,MATCH(AG$4,$M$4:$Q$4,0))/12)</f>
        <v/>
      </c>
      <c r="AH544" s="257">
        <f>IF($K544="Monthly",i_Assumptions!AH585,INDEX($M544:$Q544,,MATCH(AH$4,$M$4:$Q$4,0))/12)</f>
        <v/>
      </c>
      <c r="AI544" s="257">
        <f>IF($K544="Monthly",i_Assumptions!AI585,INDEX($M544:$Q544,,MATCH(AI$4,$M$4:$Q$4,0))/12)</f>
        <v/>
      </c>
      <c r="AJ544" s="257">
        <f>IF($K544="Monthly",i_Assumptions!AJ585,INDEX($M544:$Q544,,MATCH(AJ$4,$M$4:$Q$4,0))/12)</f>
        <v/>
      </c>
      <c r="AK544" s="257">
        <f>IF($K544="Monthly",i_Assumptions!AK585,INDEX($M544:$Q544,,MATCH(AK$4,$M$4:$Q$4,0))/12)</f>
        <v/>
      </c>
      <c r="AL544" s="257">
        <f>IF($K544="Monthly",i_Assumptions!AL585,INDEX($M544:$Q544,,MATCH(AL$4,$M$4:$Q$4,0))/12)</f>
        <v/>
      </c>
      <c r="AM544" s="257">
        <f>IF($K544="Monthly",i_Assumptions!AM585,INDEX($M544:$Q544,,MATCH(AM$4,$M$4:$Q$4,0))/12)</f>
        <v/>
      </c>
      <c r="AN544" s="257">
        <f>IF($K544="Monthly",i_Assumptions!AN585,INDEX($M544:$Q544,,MATCH(AN$4,$M$4:$Q$4,0))/12)</f>
        <v/>
      </c>
      <c r="AO544" s="257">
        <f>IF($K544="Monthly",i_Assumptions!AO585,INDEX($M544:$Q544,,MATCH(AO$4,$M$4:$Q$4,0))/12)</f>
        <v/>
      </c>
      <c r="AP544" s="257">
        <f>IF($K544="Monthly",i_Assumptions!AP585,INDEX($M544:$Q544,,MATCH(AP$4,$M$4:$Q$4,0))/12)</f>
        <v/>
      </c>
      <c r="AQ544" s="257">
        <f>IF($K544="Monthly",i_Assumptions!AQ585,INDEX($M544:$Q544,,MATCH(AQ$4,$M$4:$Q$4,0))/12)</f>
        <v/>
      </c>
      <c r="AR544" s="257">
        <f>IF($K544="Monthly",i_Assumptions!AR585,INDEX($M544:$Q544,,MATCH(AR$4,$M$4:$Q$4,0))/12)</f>
        <v/>
      </c>
      <c r="AS544" s="257">
        <f>IF($K544="Monthly",i_Assumptions!AS585,INDEX($M544:$Q544,,MATCH(AS$4,$M$4:$Q$4,0))/12)</f>
        <v/>
      </c>
      <c r="AT544" s="257">
        <f>IF($K544="Monthly",i_Assumptions!AT585,INDEX($M544:$Q544,,MATCH(AT$4,$M$4:$Q$4,0))/12)</f>
        <v/>
      </c>
      <c r="AU544" s="257">
        <f>IF($K544="Monthly",i_Assumptions!AU585,INDEX($M544:$Q544,,MATCH(AU$4,$M$4:$Q$4,0))/12)</f>
        <v/>
      </c>
      <c r="AV544" s="257">
        <f>IF($K544="Monthly",i_Assumptions!AV585,INDEX($M544:$Q544,,MATCH(AV$4,$M$4:$Q$4,0))/12)</f>
        <v/>
      </c>
      <c r="AW544" s="257">
        <f>IF($K544="Monthly",i_Assumptions!AW585,INDEX($M544:$Q544,,MATCH(AW$4,$M$4:$Q$4,0))/12)</f>
        <v/>
      </c>
      <c r="AX544" s="257">
        <f>IF($K544="Monthly",i_Assumptions!AX585,INDEX($M544:$Q544,,MATCH(AX$4,$M$4:$Q$4,0))/12)</f>
        <v/>
      </c>
      <c r="AY544" s="257">
        <f>IF($K544="Monthly",i_Assumptions!AY585,INDEX($M544:$Q544,,MATCH(AY$4,$M$4:$Q$4,0))/12)</f>
        <v/>
      </c>
      <c r="AZ544" s="257">
        <f>IF($K544="Monthly",i_Assumptions!AZ585,INDEX($M544:$Q544,,MATCH(AZ$4,$M$4:$Q$4,0))/12)</f>
        <v/>
      </c>
      <c r="BA544" s="257">
        <f>IF($K544="Monthly",i_Assumptions!BA585,INDEX($M544:$Q544,,MATCH(BA$4,$M$4:$Q$4,0))/12)</f>
        <v/>
      </c>
      <c r="BB544" s="257">
        <f>IF($K544="Monthly",i_Assumptions!BB585,INDEX($M544:$Q544,,MATCH(BB$4,$M$4:$Q$4,0))/12)</f>
        <v/>
      </c>
      <c r="BC544" s="257">
        <f>IF($K544="Monthly",i_Assumptions!BC585,INDEX($M544:$Q544,,MATCH(BC$4,$M$4:$Q$4,0))/12)</f>
        <v/>
      </c>
      <c r="BD544" s="257">
        <f>IF($K544="Monthly",i_Assumptions!BD585,INDEX($M544:$Q544,,MATCH(BD$4,$M$4:$Q$4,0))/12)</f>
        <v/>
      </c>
      <c r="BE544" s="257">
        <f>IF($K544="Monthly",i_Assumptions!BE585,INDEX($M544:$Q544,,MATCH(BE$4,$M$4:$Q$4,0))/12)</f>
        <v/>
      </c>
      <c r="BF544" s="257">
        <f>IF($K544="Monthly",i_Assumptions!BF585,INDEX($M544:$Q544,,MATCH(BF$4,$M$4:$Q$4,0))/12)</f>
        <v/>
      </c>
      <c r="BG544" s="257">
        <f>IF($K544="Monthly",i_Assumptions!BG585,INDEX($M544:$Q544,,MATCH(BG$4,$M$4:$Q$4,0))/12)</f>
        <v/>
      </c>
      <c r="BH544" s="257">
        <f>IF($K544="Monthly",i_Assumptions!BH585,INDEX($M544:$Q544,,MATCH(BH$4,$M$4:$Q$4,0))/12)</f>
        <v/>
      </c>
      <c r="BI544" s="257">
        <f>IF($K544="Monthly",i_Assumptions!BI585,INDEX($M544:$Q544,,MATCH(BI$4,$M$4:$Q$4,0))/12)</f>
        <v/>
      </c>
      <c r="BJ544" s="257">
        <f>IF($K544="Monthly",i_Assumptions!BJ585,INDEX($M544:$Q544,,MATCH(BJ$4,$M$4:$Q$4,0))/12)</f>
        <v/>
      </c>
      <c r="BK544" s="257">
        <f>IF($K544="Monthly",i_Assumptions!BK585,INDEX($M544:$Q544,,MATCH(BK$4,$M$4:$Q$4,0))/12)</f>
        <v/>
      </c>
      <c r="BL544" s="257">
        <f>IF($K544="Monthly",i_Assumptions!BL585,INDEX($M544:$Q544,,MATCH(BL$4,$M$4:$Q$4,0))/12)</f>
        <v/>
      </c>
      <c r="BM544" s="257">
        <f>IF($K544="Monthly",i_Assumptions!BM585,INDEX($M544:$Q544,,MATCH(BM$4,$M$4:$Q$4,0))/12)</f>
        <v/>
      </c>
      <c r="BN544" s="257">
        <f>IF($K544="Monthly",i_Assumptions!BN585,INDEX($M544:$Q544,,MATCH(BN$4,$M$4:$Q$4,0))/12)</f>
        <v/>
      </c>
      <c r="BO544" s="257">
        <f>IF($K544="Monthly",i_Assumptions!BO585,INDEX($M544:$Q544,,MATCH(BO$4,$M$4:$Q$4,0))/12)</f>
        <v/>
      </c>
      <c r="BP544" s="257">
        <f>IF($K544="Monthly",i_Assumptions!BP585,INDEX($M544:$Q544,,MATCH(BP$4,$M$4:$Q$4,0))/12)</f>
        <v/>
      </c>
      <c r="BQ544" s="257">
        <f>IF($K544="Monthly",i_Assumptions!BQ585,INDEX($M544:$Q544,,MATCH(BQ$4,$M$4:$Q$4,0))/12)</f>
        <v/>
      </c>
      <c r="BR544" s="257">
        <f>IF($K544="Monthly",i_Assumptions!BR585,INDEX($M544:$Q544,,MATCH(BR$4,$M$4:$Q$4,0))/12)</f>
        <v/>
      </c>
      <c r="BS544" s="257">
        <f>IF($K544="Monthly",i_Assumptions!BS585,INDEX($M544:$Q544,,MATCH(BS$4,$M$4:$Q$4,0))/12)</f>
        <v/>
      </c>
      <c r="BT544" s="257">
        <f>IF($K544="Monthly",i_Assumptions!BT585,INDEX($M544:$Q544,,MATCH(BT$4,$M$4:$Q$4,0))/12)</f>
        <v/>
      </c>
      <c r="BU544" s="257">
        <f>IF($K544="Monthly",i_Assumptions!BU585,INDEX($M544:$Q544,,MATCH(BU$4,$M$4:$Q$4,0))/12)</f>
        <v/>
      </c>
      <c r="BV544" s="257">
        <f>IF($K544="Monthly",i_Assumptions!BV585,INDEX($M544:$Q544,,MATCH(BV$4,$M$4:$Q$4,0))/12)</f>
        <v/>
      </c>
      <c r="BW544" s="257">
        <f>IF($K544="Monthly",i_Assumptions!BW585,INDEX($M544:$Q544,,MATCH(BW$4,$M$4:$Q$4,0))/12)</f>
        <v/>
      </c>
      <c r="BX544" s="257">
        <f>IF($K544="Monthly",i_Assumptions!BX585,INDEX($M544:$Q544,,MATCH(BX$4,$M$4:$Q$4,0))/12)</f>
        <v/>
      </c>
      <c r="BY544" s="257">
        <f>IF($K544="Monthly",i_Assumptions!BY585,INDEX($M544:$Q544,,MATCH(BY$4,$M$4:$Q$4,0))/12)</f>
        <v/>
      </c>
      <c r="BZ544" s="257">
        <f>IF($K544="Monthly",i_Assumptions!BZ585,INDEX($M544:$Q544,,MATCH(BZ$4,$M$4:$Q$4,0))/12)</f>
        <v/>
      </c>
      <c r="CA544" s="257">
        <f>IF($K544="Monthly",i_Assumptions!CA585,INDEX($M544:$Q544,,MATCH(CA$4,$M$4:$Q$4,0))/12)</f>
        <v/>
      </c>
    </row>
    <row r="545" ht="12" customHeight="1" s="227">
      <c r="A545" s="244" t="n"/>
      <c r="B545" s="244" t="n"/>
      <c r="C545" s="244" t="n"/>
      <c r="H545" s="4">
        <f>i_Setup!U109</f>
        <v/>
      </c>
      <c r="I545" s="27">
        <f>i_Setup!$M$16</f>
        <v/>
      </c>
      <c r="K545" s="259">
        <f>i_Assumptions!K586</f>
        <v/>
      </c>
      <c r="M545" s="257">
        <f>IF($K545="Monthly",0,i_Assumptions!M586)</f>
        <v/>
      </c>
      <c r="N545" s="257">
        <f>IF($K545="Monthly",0,i_Assumptions!N586)</f>
        <v/>
      </c>
      <c r="O545" s="257">
        <f>IF($K545="Monthly",0,i_Assumptions!O586)</f>
        <v/>
      </c>
      <c r="P545" s="257">
        <f>IF($K545="Monthly",0,i_Assumptions!P586)</f>
        <v/>
      </c>
      <c r="Q545" s="257">
        <f>IF($K545="Monthly",0,i_Assumptions!Q586)</f>
        <v/>
      </c>
      <c r="T545" s="257">
        <f>IF($K545="Monthly",i_Assumptions!T586,INDEX($M545:$Q545,,MATCH(T$4,$M$4:$Q$4,0))/12)</f>
        <v/>
      </c>
      <c r="U545" s="257">
        <f>IF($K545="Monthly",i_Assumptions!U586,INDEX($M545:$Q545,,MATCH(U$4,$M$4:$Q$4,0))/12)</f>
        <v/>
      </c>
      <c r="V545" s="257">
        <f>IF($K545="Monthly",i_Assumptions!V586,INDEX($M545:$Q545,,MATCH(V$4,$M$4:$Q$4,0))/12)</f>
        <v/>
      </c>
      <c r="W545" s="257">
        <f>IF($K545="Monthly",i_Assumptions!W586,INDEX($M545:$Q545,,MATCH(W$4,$M$4:$Q$4,0))/12)</f>
        <v/>
      </c>
      <c r="X545" s="257">
        <f>IF($K545="Monthly",i_Assumptions!X586,INDEX($M545:$Q545,,MATCH(X$4,$M$4:$Q$4,0))/12)</f>
        <v/>
      </c>
      <c r="Y545" s="257">
        <f>IF($K545="Monthly",i_Assumptions!Y586,INDEX($M545:$Q545,,MATCH(Y$4,$M$4:$Q$4,0))/12)</f>
        <v/>
      </c>
      <c r="Z545" s="257">
        <f>IF($K545="Monthly",i_Assumptions!Z586,INDEX($M545:$Q545,,MATCH(Z$4,$M$4:$Q$4,0))/12)</f>
        <v/>
      </c>
      <c r="AA545" s="257">
        <f>IF($K545="Monthly",i_Assumptions!AA586,INDEX($M545:$Q545,,MATCH(AA$4,$M$4:$Q$4,0))/12)</f>
        <v/>
      </c>
      <c r="AB545" s="257">
        <f>IF($K545="Monthly",i_Assumptions!AB586,INDEX($M545:$Q545,,MATCH(AB$4,$M$4:$Q$4,0))/12)</f>
        <v/>
      </c>
      <c r="AC545" s="257">
        <f>IF($K545="Monthly",i_Assumptions!AC586,INDEX($M545:$Q545,,MATCH(AC$4,$M$4:$Q$4,0))/12)</f>
        <v/>
      </c>
      <c r="AD545" s="257">
        <f>IF($K545="Monthly",i_Assumptions!AD586,INDEX($M545:$Q545,,MATCH(AD$4,$M$4:$Q$4,0))/12)</f>
        <v/>
      </c>
      <c r="AE545" s="257">
        <f>IF($K545="Monthly",i_Assumptions!AE586,INDEX($M545:$Q545,,MATCH(AE$4,$M$4:$Q$4,0))/12)</f>
        <v/>
      </c>
      <c r="AF545" s="257">
        <f>IF($K545="Monthly",i_Assumptions!AF586,INDEX($M545:$Q545,,MATCH(AF$4,$M$4:$Q$4,0))/12)</f>
        <v/>
      </c>
      <c r="AG545" s="257">
        <f>IF($K545="Monthly",i_Assumptions!AG586,INDEX($M545:$Q545,,MATCH(AG$4,$M$4:$Q$4,0))/12)</f>
        <v/>
      </c>
      <c r="AH545" s="257">
        <f>IF($K545="Monthly",i_Assumptions!AH586,INDEX($M545:$Q545,,MATCH(AH$4,$M$4:$Q$4,0))/12)</f>
        <v/>
      </c>
      <c r="AI545" s="257">
        <f>IF($K545="Monthly",i_Assumptions!AI586,INDEX($M545:$Q545,,MATCH(AI$4,$M$4:$Q$4,0))/12)</f>
        <v/>
      </c>
      <c r="AJ545" s="257">
        <f>IF($K545="Monthly",i_Assumptions!AJ586,INDEX($M545:$Q545,,MATCH(AJ$4,$M$4:$Q$4,0))/12)</f>
        <v/>
      </c>
      <c r="AK545" s="257">
        <f>IF($K545="Monthly",i_Assumptions!AK586,INDEX($M545:$Q545,,MATCH(AK$4,$M$4:$Q$4,0))/12)</f>
        <v/>
      </c>
      <c r="AL545" s="257">
        <f>IF($K545="Monthly",i_Assumptions!AL586,INDEX($M545:$Q545,,MATCH(AL$4,$M$4:$Q$4,0))/12)</f>
        <v/>
      </c>
      <c r="AM545" s="257">
        <f>IF($K545="Monthly",i_Assumptions!AM586,INDEX($M545:$Q545,,MATCH(AM$4,$M$4:$Q$4,0))/12)</f>
        <v/>
      </c>
      <c r="AN545" s="257">
        <f>IF($K545="Monthly",i_Assumptions!AN586,INDEX($M545:$Q545,,MATCH(AN$4,$M$4:$Q$4,0))/12)</f>
        <v/>
      </c>
      <c r="AO545" s="257">
        <f>IF($K545="Monthly",i_Assumptions!AO586,INDEX($M545:$Q545,,MATCH(AO$4,$M$4:$Q$4,0))/12)</f>
        <v/>
      </c>
      <c r="AP545" s="257">
        <f>IF($K545="Monthly",i_Assumptions!AP586,INDEX($M545:$Q545,,MATCH(AP$4,$M$4:$Q$4,0))/12)</f>
        <v/>
      </c>
      <c r="AQ545" s="257">
        <f>IF($K545="Monthly",i_Assumptions!AQ586,INDEX($M545:$Q545,,MATCH(AQ$4,$M$4:$Q$4,0))/12)</f>
        <v/>
      </c>
      <c r="AR545" s="257">
        <f>IF($K545="Monthly",i_Assumptions!AR586,INDEX($M545:$Q545,,MATCH(AR$4,$M$4:$Q$4,0))/12)</f>
        <v/>
      </c>
      <c r="AS545" s="257">
        <f>IF($K545="Monthly",i_Assumptions!AS586,INDEX($M545:$Q545,,MATCH(AS$4,$M$4:$Q$4,0))/12)</f>
        <v/>
      </c>
      <c r="AT545" s="257">
        <f>IF($K545="Monthly",i_Assumptions!AT586,INDEX($M545:$Q545,,MATCH(AT$4,$M$4:$Q$4,0))/12)</f>
        <v/>
      </c>
      <c r="AU545" s="257">
        <f>IF($K545="Monthly",i_Assumptions!AU586,INDEX($M545:$Q545,,MATCH(AU$4,$M$4:$Q$4,0))/12)</f>
        <v/>
      </c>
      <c r="AV545" s="257">
        <f>IF($K545="Monthly",i_Assumptions!AV586,INDEX($M545:$Q545,,MATCH(AV$4,$M$4:$Q$4,0))/12)</f>
        <v/>
      </c>
      <c r="AW545" s="257">
        <f>IF($K545="Monthly",i_Assumptions!AW586,INDEX($M545:$Q545,,MATCH(AW$4,$M$4:$Q$4,0))/12)</f>
        <v/>
      </c>
      <c r="AX545" s="257">
        <f>IF($K545="Monthly",i_Assumptions!AX586,INDEX($M545:$Q545,,MATCH(AX$4,$M$4:$Q$4,0))/12)</f>
        <v/>
      </c>
      <c r="AY545" s="257">
        <f>IF($K545="Monthly",i_Assumptions!AY586,INDEX($M545:$Q545,,MATCH(AY$4,$M$4:$Q$4,0))/12)</f>
        <v/>
      </c>
      <c r="AZ545" s="257">
        <f>IF($K545="Monthly",i_Assumptions!AZ586,INDEX($M545:$Q545,,MATCH(AZ$4,$M$4:$Q$4,0))/12)</f>
        <v/>
      </c>
      <c r="BA545" s="257">
        <f>IF($K545="Monthly",i_Assumptions!BA586,INDEX($M545:$Q545,,MATCH(BA$4,$M$4:$Q$4,0))/12)</f>
        <v/>
      </c>
      <c r="BB545" s="257">
        <f>IF($K545="Monthly",i_Assumptions!BB586,INDEX($M545:$Q545,,MATCH(BB$4,$M$4:$Q$4,0))/12)</f>
        <v/>
      </c>
      <c r="BC545" s="257">
        <f>IF($K545="Monthly",i_Assumptions!BC586,INDEX($M545:$Q545,,MATCH(BC$4,$M$4:$Q$4,0))/12)</f>
        <v/>
      </c>
      <c r="BD545" s="257">
        <f>IF($K545="Monthly",i_Assumptions!BD586,INDEX($M545:$Q545,,MATCH(BD$4,$M$4:$Q$4,0))/12)</f>
        <v/>
      </c>
      <c r="BE545" s="257">
        <f>IF($K545="Monthly",i_Assumptions!BE586,INDEX($M545:$Q545,,MATCH(BE$4,$M$4:$Q$4,0))/12)</f>
        <v/>
      </c>
      <c r="BF545" s="257">
        <f>IF($K545="Monthly",i_Assumptions!BF586,INDEX($M545:$Q545,,MATCH(BF$4,$M$4:$Q$4,0))/12)</f>
        <v/>
      </c>
      <c r="BG545" s="257">
        <f>IF($K545="Monthly",i_Assumptions!BG586,INDEX($M545:$Q545,,MATCH(BG$4,$M$4:$Q$4,0))/12)</f>
        <v/>
      </c>
      <c r="BH545" s="257">
        <f>IF($K545="Monthly",i_Assumptions!BH586,INDEX($M545:$Q545,,MATCH(BH$4,$M$4:$Q$4,0))/12)</f>
        <v/>
      </c>
      <c r="BI545" s="257">
        <f>IF($K545="Monthly",i_Assumptions!BI586,INDEX($M545:$Q545,,MATCH(BI$4,$M$4:$Q$4,0))/12)</f>
        <v/>
      </c>
      <c r="BJ545" s="257">
        <f>IF($K545="Monthly",i_Assumptions!BJ586,INDEX($M545:$Q545,,MATCH(BJ$4,$M$4:$Q$4,0))/12)</f>
        <v/>
      </c>
      <c r="BK545" s="257">
        <f>IF($K545="Monthly",i_Assumptions!BK586,INDEX($M545:$Q545,,MATCH(BK$4,$M$4:$Q$4,0))/12)</f>
        <v/>
      </c>
      <c r="BL545" s="257">
        <f>IF($K545="Monthly",i_Assumptions!BL586,INDEX($M545:$Q545,,MATCH(BL$4,$M$4:$Q$4,0))/12)</f>
        <v/>
      </c>
      <c r="BM545" s="257">
        <f>IF($K545="Monthly",i_Assumptions!BM586,INDEX($M545:$Q545,,MATCH(BM$4,$M$4:$Q$4,0))/12)</f>
        <v/>
      </c>
      <c r="BN545" s="257">
        <f>IF($K545="Monthly",i_Assumptions!BN586,INDEX($M545:$Q545,,MATCH(BN$4,$M$4:$Q$4,0))/12)</f>
        <v/>
      </c>
      <c r="BO545" s="257">
        <f>IF($K545="Monthly",i_Assumptions!BO586,INDEX($M545:$Q545,,MATCH(BO$4,$M$4:$Q$4,0))/12)</f>
        <v/>
      </c>
      <c r="BP545" s="257">
        <f>IF($K545="Monthly",i_Assumptions!BP586,INDEX($M545:$Q545,,MATCH(BP$4,$M$4:$Q$4,0))/12)</f>
        <v/>
      </c>
      <c r="BQ545" s="257">
        <f>IF($K545="Monthly",i_Assumptions!BQ586,INDEX($M545:$Q545,,MATCH(BQ$4,$M$4:$Q$4,0))/12)</f>
        <v/>
      </c>
      <c r="BR545" s="257">
        <f>IF($K545="Monthly",i_Assumptions!BR586,INDEX($M545:$Q545,,MATCH(BR$4,$M$4:$Q$4,0))/12)</f>
        <v/>
      </c>
      <c r="BS545" s="257">
        <f>IF($K545="Monthly",i_Assumptions!BS586,INDEX($M545:$Q545,,MATCH(BS$4,$M$4:$Q$4,0))/12)</f>
        <v/>
      </c>
      <c r="BT545" s="257">
        <f>IF($K545="Monthly",i_Assumptions!BT586,INDEX($M545:$Q545,,MATCH(BT$4,$M$4:$Q$4,0))/12)</f>
        <v/>
      </c>
      <c r="BU545" s="257">
        <f>IF($K545="Monthly",i_Assumptions!BU586,INDEX($M545:$Q545,,MATCH(BU$4,$M$4:$Q$4,0))/12)</f>
        <v/>
      </c>
      <c r="BV545" s="257">
        <f>IF($K545="Monthly",i_Assumptions!BV586,INDEX($M545:$Q545,,MATCH(BV$4,$M$4:$Q$4,0))/12)</f>
        <v/>
      </c>
      <c r="BW545" s="257">
        <f>IF($K545="Monthly",i_Assumptions!BW586,INDEX($M545:$Q545,,MATCH(BW$4,$M$4:$Q$4,0))/12)</f>
        <v/>
      </c>
      <c r="BX545" s="257">
        <f>IF($K545="Monthly",i_Assumptions!BX586,INDEX($M545:$Q545,,MATCH(BX$4,$M$4:$Q$4,0))/12)</f>
        <v/>
      </c>
      <c r="BY545" s="257">
        <f>IF($K545="Monthly",i_Assumptions!BY586,INDEX($M545:$Q545,,MATCH(BY$4,$M$4:$Q$4,0))/12)</f>
        <v/>
      </c>
      <c r="BZ545" s="257">
        <f>IF($K545="Monthly",i_Assumptions!BZ586,INDEX($M545:$Q545,,MATCH(BZ$4,$M$4:$Q$4,0))/12)</f>
        <v/>
      </c>
      <c r="CA545" s="257">
        <f>IF($K545="Monthly",i_Assumptions!CA586,INDEX($M545:$Q545,,MATCH(CA$4,$M$4:$Q$4,0))/12)</f>
        <v/>
      </c>
    </row>
    <row r="546" ht="12" customHeight="1" s="227">
      <c r="A546" s="244" t="n"/>
      <c r="B546" s="244" t="n"/>
      <c r="C546" s="244" t="n"/>
      <c r="H546" s="4">
        <f>i_Setup!U110</f>
        <v/>
      </c>
      <c r="I546" s="27">
        <f>i_Setup!$M$16</f>
        <v/>
      </c>
      <c r="K546" s="259">
        <f>i_Assumptions!K587</f>
        <v/>
      </c>
      <c r="M546" s="257">
        <f>IF($K546="Monthly",0,i_Assumptions!M587)</f>
        <v/>
      </c>
      <c r="N546" s="257">
        <f>IF($K546="Monthly",0,i_Assumptions!N587)</f>
        <v/>
      </c>
      <c r="O546" s="257">
        <f>IF($K546="Monthly",0,i_Assumptions!O587)</f>
        <v/>
      </c>
      <c r="P546" s="257">
        <f>IF($K546="Monthly",0,i_Assumptions!P587)</f>
        <v/>
      </c>
      <c r="Q546" s="257">
        <f>IF($K546="Monthly",0,i_Assumptions!Q587)</f>
        <v/>
      </c>
      <c r="T546" s="257">
        <f>IF($K546="Monthly",i_Assumptions!T587,INDEX($M546:$Q546,,MATCH(T$4,$M$4:$Q$4,0))/12)</f>
        <v/>
      </c>
      <c r="U546" s="257">
        <f>IF($K546="Monthly",i_Assumptions!U587,INDEX($M546:$Q546,,MATCH(U$4,$M$4:$Q$4,0))/12)</f>
        <v/>
      </c>
      <c r="V546" s="257">
        <f>IF($K546="Monthly",i_Assumptions!V587,INDEX($M546:$Q546,,MATCH(V$4,$M$4:$Q$4,0))/12)</f>
        <v/>
      </c>
      <c r="W546" s="257">
        <f>IF($K546="Monthly",i_Assumptions!W587,INDEX($M546:$Q546,,MATCH(W$4,$M$4:$Q$4,0))/12)</f>
        <v/>
      </c>
      <c r="X546" s="257">
        <f>IF($K546="Monthly",i_Assumptions!X587,INDEX($M546:$Q546,,MATCH(X$4,$M$4:$Q$4,0))/12)</f>
        <v/>
      </c>
      <c r="Y546" s="257">
        <f>IF($K546="Monthly",i_Assumptions!Y587,INDEX($M546:$Q546,,MATCH(Y$4,$M$4:$Q$4,0))/12)</f>
        <v/>
      </c>
      <c r="Z546" s="257">
        <f>IF($K546="Monthly",i_Assumptions!Z587,INDEX($M546:$Q546,,MATCH(Z$4,$M$4:$Q$4,0))/12)</f>
        <v/>
      </c>
      <c r="AA546" s="257">
        <f>IF($K546="Monthly",i_Assumptions!AA587,INDEX($M546:$Q546,,MATCH(AA$4,$M$4:$Q$4,0))/12)</f>
        <v/>
      </c>
      <c r="AB546" s="257">
        <f>IF($K546="Monthly",i_Assumptions!AB587,INDEX($M546:$Q546,,MATCH(AB$4,$M$4:$Q$4,0))/12)</f>
        <v/>
      </c>
      <c r="AC546" s="257">
        <f>IF($K546="Monthly",i_Assumptions!AC587,INDEX($M546:$Q546,,MATCH(AC$4,$M$4:$Q$4,0))/12)</f>
        <v/>
      </c>
      <c r="AD546" s="257">
        <f>IF($K546="Monthly",i_Assumptions!AD587,INDEX($M546:$Q546,,MATCH(AD$4,$M$4:$Q$4,0))/12)</f>
        <v/>
      </c>
      <c r="AE546" s="257">
        <f>IF($K546="Monthly",i_Assumptions!AE587,INDEX($M546:$Q546,,MATCH(AE$4,$M$4:$Q$4,0))/12)</f>
        <v/>
      </c>
      <c r="AF546" s="257">
        <f>IF($K546="Monthly",i_Assumptions!AF587,INDEX($M546:$Q546,,MATCH(AF$4,$M$4:$Q$4,0))/12)</f>
        <v/>
      </c>
      <c r="AG546" s="257">
        <f>IF($K546="Monthly",i_Assumptions!AG587,INDEX($M546:$Q546,,MATCH(AG$4,$M$4:$Q$4,0))/12)</f>
        <v/>
      </c>
      <c r="AH546" s="257">
        <f>IF($K546="Monthly",i_Assumptions!AH587,INDEX($M546:$Q546,,MATCH(AH$4,$M$4:$Q$4,0))/12)</f>
        <v/>
      </c>
      <c r="AI546" s="257">
        <f>IF($K546="Monthly",i_Assumptions!AI587,INDEX($M546:$Q546,,MATCH(AI$4,$M$4:$Q$4,0))/12)</f>
        <v/>
      </c>
      <c r="AJ546" s="257">
        <f>IF($K546="Monthly",i_Assumptions!AJ587,INDEX($M546:$Q546,,MATCH(AJ$4,$M$4:$Q$4,0))/12)</f>
        <v/>
      </c>
      <c r="AK546" s="257">
        <f>IF($K546="Monthly",i_Assumptions!AK587,INDEX($M546:$Q546,,MATCH(AK$4,$M$4:$Q$4,0))/12)</f>
        <v/>
      </c>
      <c r="AL546" s="257">
        <f>IF($K546="Monthly",i_Assumptions!AL587,INDEX($M546:$Q546,,MATCH(AL$4,$M$4:$Q$4,0))/12)</f>
        <v/>
      </c>
      <c r="AM546" s="257">
        <f>IF($K546="Monthly",i_Assumptions!AM587,INDEX($M546:$Q546,,MATCH(AM$4,$M$4:$Q$4,0))/12)</f>
        <v/>
      </c>
      <c r="AN546" s="257">
        <f>IF($K546="Monthly",i_Assumptions!AN587,INDEX($M546:$Q546,,MATCH(AN$4,$M$4:$Q$4,0))/12)</f>
        <v/>
      </c>
      <c r="AO546" s="257">
        <f>IF($K546="Monthly",i_Assumptions!AO587,INDEX($M546:$Q546,,MATCH(AO$4,$M$4:$Q$4,0))/12)</f>
        <v/>
      </c>
      <c r="AP546" s="257">
        <f>IF($K546="Monthly",i_Assumptions!AP587,INDEX($M546:$Q546,,MATCH(AP$4,$M$4:$Q$4,0))/12)</f>
        <v/>
      </c>
      <c r="AQ546" s="257">
        <f>IF($K546="Monthly",i_Assumptions!AQ587,INDEX($M546:$Q546,,MATCH(AQ$4,$M$4:$Q$4,0))/12)</f>
        <v/>
      </c>
      <c r="AR546" s="257">
        <f>IF($K546="Monthly",i_Assumptions!AR587,INDEX($M546:$Q546,,MATCH(AR$4,$M$4:$Q$4,0))/12)</f>
        <v/>
      </c>
      <c r="AS546" s="257">
        <f>IF($K546="Monthly",i_Assumptions!AS587,INDEX($M546:$Q546,,MATCH(AS$4,$M$4:$Q$4,0))/12)</f>
        <v/>
      </c>
      <c r="AT546" s="257">
        <f>IF($K546="Monthly",i_Assumptions!AT587,INDEX($M546:$Q546,,MATCH(AT$4,$M$4:$Q$4,0))/12)</f>
        <v/>
      </c>
      <c r="AU546" s="257">
        <f>IF($K546="Monthly",i_Assumptions!AU587,INDEX($M546:$Q546,,MATCH(AU$4,$M$4:$Q$4,0))/12)</f>
        <v/>
      </c>
      <c r="AV546" s="257">
        <f>IF($K546="Monthly",i_Assumptions!AV587,INDEX($M546:$Q546,,MATCH(AV$4,$M$4:$Q$4,0))/12)</f>
        <v/>
      </c>
      <c r="AW546" s="257">
        <f>IF($K546="Monthly",i_Assumptions!AW587,INDEX($M546:$Q546,,MATCH(AW$4,$M$4:$Q$4,0))/12)</f>
        <v/>
      </c>
      <c r="AX546" s="257">
        <f>IF($K546="Monthly",i_Assumptions!AX587,INDEX($M546:$Q546,,MATCH(AX$4,$M$4:$Q$4,0))/12)</f>
        <v/>
      </c>
      <c r="AY546" s="257">
        <f>IF($K546="Monthly",i_Assumptions!AY587,INDEX($M546:$Q546,,MATCH(AY$4,$M$4:$Q$4,0))/12)</f>
        <v/>
      </c>
      <c r="AZ546" s="257">
        <f>IF($K546="Monthly",i_Assumptions!AZ587,INDEX($M546:$Q546,,MATCH(AZ$4,$M$4:$Q$4,0))/12)</f>
        <v/>
      </c>
      <c r="BA546" s="257">
        <f>IF($K546="Monthly",i_Assumptions!BA587,INDEX($M546:$Q546,,MATCH(BA$4,$M$4:$Q$4,0))/12)</f>
        <v/>
      </c>
      <c r="BB546" s="257">
        <f>IF($K546="Monthly",i_Assumptions!BB587,INDEX($M546:$Q546,,MATCH(BB$4,$M$4:$Q$4,0))/12)</f>
        <v/>
      </c>
      <c r="BC546" s="257">
        <f>IF($K546="Monthly",i_Assumptions!BC587,INDEX($M546:$Q546,,MATCH(BC$4,$M$4:$Q$4,0))/12)</f>
        <v/>
      </c>
      <c r="BD546" s="257">
        <f>IF($K546="Monthly",i_Assumptions!BD587,INDEX($M546:$Q546,,MATCH(BD$4,$M$4:$Q$4,0))/12)</f>
        <v/>
      </c>
      <c r="BE546" s="257">
        <f>IF($K546="Monthly",i_Assumptions!BE587,INDEX($M546:$Q546,,MATCH(BE$4,$M$4:$Q$4,0))/12)</f>
        <v/>
      </c>
      <c r="BF546" s="257">
        <f>IF($K546="Monthly",i_Assumptions!BF587,INDEX($M546:$Q546,,MATCH(BF$4,$M$4:$Q$4,0))/12)</f>
        <v/>
      </c>
      <c r="BG546" s="257">
        <f>IF($K546="Monthly",i_Assumptions!BG587,INDEX($M546:$Q546,,MATCH(BG$4,$M$4:$Q$4,0))/12)</f>
        <v/>
      </c>
      <c r="BH546" s="257">
        <f>IF($K546="Monthly",i_Assumptions!BH587,INDEX($M546:$Q546,,MATCH(BH$4,$M$4:$Q$4,0))/12)</f>
        <v/>
      </c>
      <c r="BI546" s="257">
        <f>IF($K546="Monthly",i_Assumptions!BI587,INDEX($M546:$Q546,,MATCH(BI$4,$M$4:$Q$4,0))/12)</f>
        <v/>
      </c>
      <c r="BJ546" s="257">
        <f>IF($K546="Monthly",i_Assumptions!BJ587,INDEX($M546:$Q546,,MATCH(BJ$4,$M$4:$Q$4,0))/12)</f>
        <v/>
      </c>
      <c r="BK546" s="257">
        <f>IF($K546="Monthly",i_Assumptions!BK587,INDEX($M546:$Q546,,MATCH(BK$4,$M$4:$Q$4,0))/12)</f>
        <v/>
      </c>
      <c r="BL546" s="257">
        <f>IF($K546="Monthly",i_Assumptions!BL587,INDEX($M546:$Q546,,MATCH(BL$4,$M$4:$Q$4,0))/12)</f>
        <v/>
      </c>
      <c r="BM546" s="257">
        <f>IF($K546="Monthly",i_Assumptions!BM587,INDEX($M546:$Q546,,MATCH(BM$4,$M$4:$Q$4,0))/12)</f>
        <v/>
      </c>
      <c r="BN546" s="257">
        <f>IF($K546="Monthly",i_Assumptions!BN587,INDEX($M546:$Q546,,MATCH(BN$4,$M$4:$Q$4,0))/12)</f>
        <v/>
      </c>
      <c r="BO546" s="257">
        <f>IF($K546="Monthly",i_Assumptions!BO587,INDEX($M546:$Q546,,MATCH(BO$4,$M$4:$Q$4,0))/12)</f>
        <v/>
      </c>
      <c r="BP546" s="257">
        <f>IF($K546="Monthly",i_Assumptions!BP587,INDEX($M546:$Q546,,MATCH(BP$4,$M$4:$Q$4,0))/12)</f>
        <v/>
      </c>
      <c r="BQ546" s="257">
        <f>IF($K546="Monthly",i_Assumptions!BQ587,INDEX($M546:$Q546,,MATCH(BQ$4,$M$4:$Q$4,0))/12)</f>
        <v/>
      </c>
      <c r="BR546" s="257">
        <f>IF($K546="Monthly",i_Assumptions!BR587,INDEX($M546:$Q546,,MATCH(BR$4,$M$4:$Q$4,0))/12)</f>
        <v/>
      </c>
      <c r="BS546" s="257">
        <f>IF($K546="Monthly",i_Assumptions!BS587,INDEX($M546:$Q546,,MATCH(BS$4,$M$4:$Q$4,0))/12)</f>
        <v/>
      </c>
      <c r="BT546" s="257">
        <f>IF($K546="Monthly",i_Assumptions!BT587,INDEX($M546:$Q546,,MATCH(BT$4,$M$4:$Q$4,0))/12)</f>
        <v/>
      </c>
      <c r="BU546" s="257">
        <f>IF($K546="Monthly",i_Assumptions!BU587,INDEX($M546:$Q546,,MATCH(BU$4,$M$4:$Q$4,0))/12)</f>
        <v/>
      </c>
      <c r="BV546" s="257">
        <f>IF($K546="Monthly",i_Assumptions!BV587,INDEX($M546:$Q546,,MATCH(BV$4,$M$4:$Q$4,0))/12)</f>
        <v/>
      </c>
      <c r="BW546" s="257">
        <f>IF($K546="Monthly",i_Assumptions!BW587,INDEX($M546:$Q546,,MATCH(BW$4,$M$4:$Q$4,0))/12)</f>
        <v/>
      </c>
      <c r="BX546" s="257">
        <f>IF($K546="Monthly",i_Assumptions!BX587,INDEX($M546:$Q546,,MATCH(BX$4,$M$4:$Q$4,0))/12)</f>
        <v/>
      </c>
      <c r="BY546" s="257">
        <f>IF($K546="Monthly",i_Assumptions!BY587,INDEX($M546:$Q546,,MATCH(BY$4,$M$4:$Q$4,0))/12)</f>
        <v/>
      </c>
      <c r="BZ546" s="257">
        <f>IF($K546="Monthly",i_Assumptions!BZ587,INDEX($M546:$Q546,,MATCH(BZ$4,$M$4:$Q$4,0))/12)</f>
        <v/>
      </c>
      <c r="CA546" s="257">
        <f>IF($K546="Monthly",i_Assumptions!CA587,INDEX($M546:$Q546,,MATCH(CA$4,$M$4:$Q$4,0))/12)</f>
        <v/>
      </c>
    </row>
    <row r="547" ht="12" customHeight="1" s="227" thickBot="1">
      <c r="A547" s="244" t="n"/>
      <c r="B547" s="244" t="n"/>
      <c r="C547" s="244" t="n"/>
      <c r="H547" s="42" t="inlineStr">
        <is>
          <t>Total Other Expenses</t>
        </is>
      </c>
      <c r="I547" s="43">
        <f>i_Setup!$M$16</f>
        <v/>
      </c>
      <c r="K547" s="6" t="n"/>
      <c r="M547" s="264">
        <f>SUM(M532:M546)</f>
        <v/>
      </c>
      <c r="N547" s="264">
        <f>SUM(N532:N546)</f>
        <v/>
      </c>
      <c r="O547" s="264">
        <f>SUM(O532:O546)</f>
        <v/>
      </c>
      <c r="P547" s="264">
        <f>SUM(P532:P546)</f>
        <v/>
      </c>
      <c r="Q547" s="264">
        <f>SUM(Q532:Q546)</f>
        <v/>
      </c>
      <c r="T547" s="264">
        <f>IF(T$7&lt;&gt;"",SUM(T532:T546),"")</f>
        <v/>
      </c>
      <c r="U547" s="264">
        <f>IF(U$7&lt;&gt;"",SUM(U532:U546),"")</f>
        <v/>
      </c>
      <c r="V547" s="264">
        <f>IF(V$7&lt;&gt;"",SUM(V532:V546),"")</f>
        <v/>
      </c>
      <c r="W547" s="264">
        <f>IF(W$7&lt;&gt;"",SUM(W532:W546),"")</f>
        <v/>
      </c>
      <c r="X547" s="264">
        <f>IF(X$7&lt;&gt;"",SUM(X532:X546),"")</f>
        <v/>
      </c>
      <c r="Y547" s="264">
        <f>IF(Y$7&lt;&gt;"",SUM(Y532:Y546),"")</f>
        <v/>
      </c>
      <c r="Z547" s="264">
        <f>IF(Z$7&lt;&gt;"",SUM(Z532:Z546),"")</f>
        <v/>
      </c>
      <c r="AA547" s="264">
        <f>IF(AA$7&lt;&gt;"",SUM(AA532:AA546),"")</f>
        <v/>
      </c>
      <c r="AB547" s="264">
        <f>IF(AB$7&lt;&gt;"",SUM(AB532:AB546),"")</f>
        <v/>
      </c>
      <c r="AC547" s="264">
        <f>IF(AC$7&lt;&gt;"",SUM(AC532:AC546),"")</f>
        <v/>
      </c>
      <c r="AD547" s="264">
        <f>IF(AD$7&lt;&gt;"",SUM(AD532:AD546),"")</f>
        <v/>
      </c>
      <c r="AE547" s="264">
        <f>IF(AE$7&lt;&gt;"",SUM(AE532:AE546),"")</f>
        <v/>
      </c>
      <c r="AF547" s="264">
        <f>IF(AF$7&lt;&gt;"",SUM(AF532:AF546),"")</f>
        <v/>
      </c>
      <c r="AG547" s="264">
        <f>IF(AG$7&lt;&gt;"",SUM(AG532:AG546),"")</f>
        <v/>
      </c>
      <c r="AH547" s="264">
        <f>IF(AH$7&lt;&gt;"",SUM(AH532:AH546),"")</f>
        <v/>
      </c>
      <c r="AI547" s="264">
        <f>IF(AI$7&lt;&gt;"",SUM(AI532:AI546),"")</f>
        <v/>
      </c>
      <c r="AJ547" s="264">
        <f>IF(AJ$7&lt;&gt;"",SUM(AJ532:AJ546),"")</f>
        <v/>
      </c>
      <c r="AK547" s="264">
        <f>IF(AK$7&lt;&gt;"",SUM(AK532:AK546),"")</f>
        <v/>
      </c>
      <c r="AL547" s="264">
        <f>IF(AL$7&lt;&gt;"",SUM(AL532:AL546),"")</f>
        <v/>
      </c>
      <c r="AM547" s="264">
        <f>IF(AM$7&lt;&gt;"",SUM(AM532:AM546),"")</f>
        <v/>
      </c>
      <c r="AN547" s="264">
        <f>IF(AN$7&lt;&gt;"",SUM(AN532:AN546),"")</f>
        <v/>
      </c>
      <c r="AO547" s="264">
        <f>IF(AO$7&lt;&gt;"",SUM(AO532:AO546),"")</f>
        <v/>
      </c>
      <c r="AP547" s="264">
        <f>IF(AP$7&lt;&gt;"",SUM(AP532:AP546),"")</f>
        <v/>
      </c>
      <c r="AQ547" s="264">
        <f>IF(AQ$7&lt;&gt;"",SUM(AQ532:AQ546),"")</f>
        <v/>
      </c>
      <c r="AR547" s="264">
        <f>IF(AR$7&lt;&gt;"",SUM(AR532:AR546),"")</f>
        <v/>
      </c>
      <c r="AS547" s="264">
        <f>IF(AS$7&lt;&gt;"",SUM(AS532:AS546),"")</f>
        <v/>
      </c>
      <c r="AT547" s="264">
        <f>IF(AT$7&lt;&gt;"",SUM(AT532:AT546),"")</f>
        <v/>
      </c>
      <c r="AU547" s="264">
        <f>IF(AU$7&lt;&gt;"",SUM(AU532:AU546),"")</f>
        <v/>
      </c>
      <c r="AV547" s="264">
        <f>IF(AV$7&lt;&gt;"",SUM(AV532:AV546),"")</f>
        <v/>
      </c>
      <c r="AW547" s="264">
        <f>IF(AW$7&lt;&gt;"",SUM(AW532:AW546),"")</f>
        <v/>
      </c>
      <c r="AX547" s="264">
        <f>IF(AX$7&lt;&gt;"",SUM(AX532:AX546),"")</f>
        <v/>
      </c>
      <c r="AY547" s="264">
        <f>IF(AY$7&lt;&gt;"",SUM(AY532:AY546),"")</f>
        <v/>
      </c>
      <c r="AZ547" s="264">
        <f>IF(AZ$7&lt;&gt;"",SUM(AZ532:AZ546),"")</f>
        <v/>
      </c>
      <c r="BA547" s="264">
        <f>IF(BA$7&lt;&gt;"",SUM(BA532:BA546),"")</f>
        <v/>
      </c>
      <c r="BB547" s="264">
        <f>IF(BB$7&lt;&gt;"",SUM(BB532:BB546),"")</f>
        <v/>
      </c>
      <c r="BC547" s="264">
        <f>IF(BC$7&lt;&gt;"",SUM(BC532:BC546),"")</f>
        <v/>
      </c>
      <c r="BD547" s="264">
        <f>IF(BD$7&lt;&gt;"",SUM(BD532:BD546),"")</f>
        <v/>
      </c>
      <c r="BE547" s="264">
        <f>IF(BE$7&lt;&gt;"",SUM(BE532:BE546),"")</f>
        <v/>
      </c>
      <c r="BF547" s="264">
        <f>IF(BF$7&lt;&gt;"",SUM(BF532:BF546),"")</f>
        <v/>
      </c>
      <c r="BG547" s="264">
        <f>IF(BG$7&lt;&gt;"",SUM(BG532:BG546),"")</f>
        <v/>
      </c>
      <c r="BH547" s="264">
        <f>IF(BH$7&lt;&gt;"",SUM(BH532:BH546),"")</f>
        <v/>
      </c>
      <c r="BI547" s="264">
        <f>IF(BI$7&lt;&gt;"",SUM(BI532:BI546),"")</f>
        <v/>
      </c>
      <c r="BJ547" s="264">
        <f>IF(BJ$7&lt;&gt;"",SUM(BJ532:BJ546),"")</f>
        <v/>
      </c>
      <c r="BK547" s="264">
        <f>IF(BK$7&lt;&gt;"",SUM(BK532:BK546),"")</f>
        <v/>
      </c>
      <c r="BL547" s="264">
        <f>IF(BL$7&lt;&gt;"",SUM(BL532:BL546),"")</f>
        <v/>
      </c>
      <c r="BM547" s="264">
        <f>IF(BM$7&lt;&gt;"",SUM(BM532:BM546),"")</f>
        <v/>
      </c>
      <c r="BN547" s="264">
        <f>IF(BN$7&lt;&gt;"",SUM(BN532:BN546),"")</f>
        <v/>
      </c>
      <c r="BO547" s="264">
        <f>IF(BO$7&lt;&gt;"",SUM(BO532:BO546),"")</f>
        <v/>
      </c>
      <c r="BP547" s="264">
        <f>IF(BP$7&lt;&gt;"",SUM(BP532:BP546),"")</f>
        <v/>
      </c>
      <c r="BQ547" s="264">
        <f>IF(BQ$7&lt;&gt;"",SUM(BQ532:BQ546),"")</f>
        <v/>
      </c>
      <c r="BR547" s="264">
        <f>IF(BR$7&lt;&gt;"",SUM(BR532:BR546),"")</f>
        <v/>
      </c>
      <c r="BS547" s="264">
        <f>IF(BS$7&lt;&gt;"",SUM(BS532:BS546),"")</f>
        <v/>
      </c>
      <c r="BT547" s="264">
        <f>IF(BT$7&lt;&gt;"",SUM(BT532:BT546),"")</f>
        <v/>
      </c>
      <c r="BU547" s="264">
        <f>IF(BU$7&lt;&gt;"",SUM(BU532:BU546),"")</f>
        <v/>
      </c>
      <c r="BV547" s="264">
        <f>IF(BV$7&lt;&gt;"",SUM(BV532:BV546),"")</f>
        <v/>
      </c>
      <c r="BW547" s="264">
        <f>IF(BW$7&lt;&gt;"",SUM(BW532:BW546),"")</f>
        <v/>
      </c>
      <c r="BX547" s="264">
        <f>IF(BX$7&lt;&gt;"",SUM(BX532:BX546),"")</f>
        <v/>
      </c>
      <c r="BY547" s="264">
        <f>IF(BY$7&lt;&gt;"",SUM(BY532:BY546),"")</f>
        <v/>
      </c>
      <c r="BZ547" s="264">
        <f>IF(BZ$7&lt;&gt;"",SUM(BZ532:BZ546),"")</f>
        <v/>
      </c>
      <c r="CA547" s="264">
        <f>IF(CA$7&lt;&gt;"",SUM(CA532:CA546),"")</f>
        <v/>
      </c>
    </row>
    <row r="548" ht="12" customHeight="1" s="227">
      <c r="A548" s="244" t="n"/>
      <c r="B548" s="244" t="n"/>
      <c r="C548" s="244" t="n"/>
      <c r="K548" s="6" t="n"/>
    </row>
    <row r="549" ht="12" customHeight="1" s="227">
      <c r="A549" s="244" t="n"/>
      <c r="B549" s="244" t="n"/>
      <c r="C549" s="244" t="n"/>
      <c r="K549" s="6" t="n"/>
    </row>
    <row r="550" ht="12" customHeight="1" s="227">
      <c r="A550" s="244" t="n"/>
      <c r="B550" s="244" t="n"/>
      <c r="C550" s="244" t="n"/>
      <c r="G550" s="222" t="inlineStr">
        <is>
          <t>Other Expenses (Incl. Sales Tax)</t>
        </is>
      </c>
      <c r="K550" s="6" t="n"/>
    </row>
    <row r="551" ht="12" customHeight="1" s="227">
      <c r="A551" s="244" t="n"/>
      <c r="B551" s="244" t="n"/>
      <c r="C551" s="244" t="n"/>
      <c r="I551" s="27" t="n"/>
      <c r="K551" s="6" t="n"/>
    </row>
    <row r="552" ht="12" customHeight="1" s="227">
      <c r="A552" s="244" t="n"/>
      <c r="B552" s="244" t="n"/>
      <c r="C552" s="244" t="n"/>
      <c r="H552" s="4">
        <f>H532</f>
        <v/>
      </c>
      <c r="I552" s="27">
        <f>i_Setup!$M$16</f>
        <v/>
      </c>
      <c r="K552" s="259">
        <f>i_Setup!P96</f>
        <v/>
      </c>
      <c r="M552" s="245">
        <f>SUMIF($T$4:$CA$4,M$4,$T552:$CA552)</f>
        <v/>
      </c>
      <c r="N552" s="245">
        <f>SUMIF($T$4:$CA$4,N$4,$T552:$CA552)</f>
        <v/>
      </c>
      <c r="O552" s="245">
        <f>SUMIF($T$4:$CA$4,O$4,$T552:$CA552)</f>
        <v/>
      </c>
      <c r="P552" s="245">
        <f>SUMIF($T$4:$CA$4,P$4,$T552:$CA552)</f>
        <v/>
      </c>
      <c r="Q552" s="245">
        <f>SUMIF($T$4:$CA$4,Q$4,$T552:$CA552)</f>
        <v/>
      </c>
      <c r="T552" s="245">
        <f>IF(T$7="Actual","",IF($K552="Yes",IFERROR(T532*(1+T$59),0),T532))</f>
        <v/>
      </c>
      <c r="U552" s="245">
        <f>IF(U$7="Actual","",IF($K552="Yes",IFERROR(U532*(1+U$59),0),U532))</f>
        <v/>
      </c>
      <c r="V552" s="245">
        <f>IF(V$7="Actual","",IF($K552="Yes",IFERROR(V532*(1+V$59),0),V532))</f>
        <v/>
      </c>
      <c r="W552" s="245">
        <f>IF(W$7="Actual","",IF($K552="Yes",IFERROR(W532*(1+W$59),0),W532))</f>
        <v/>
      </c>
      <c r="X552" s="245">
        <f>IF(X$7="Actual","",IF($K552="Yes",IFERROR(X532*(1+X$59),0),X532))</f>
        <v/>
      </c>
      <c r="Y552" s="245">
        <f>IF(Y$7="Actual","",IF($K552="Yes",IFERROR(Y532*(1+Y$59),0),Y532))</f>
        <v/>
      </c>
      <c r="Z552" s="245">
        <f>IF(Z$7="Actual","",IF($K552="Yes",IFERROR(Z532*(1+Z$59),0),Z532))</f>
        <v/>
      </c>
      <c r="AA552" s="245">
        <f>IF(AA$7="Actual","",IF($K552="Yes",IFERROR(AA532*(1+AA$59),0),AA532))</f>
        <v/>
      </c>
      <c r="AB552" s="245">
        <f>IF(AB$7="Actual","",IF($K552="Yes",IFERROR(AB532*(1+AB$59),0),AB532))</f>
        <v/>
      </c>
      <c r="AC552" s="245">
        <f>IF(AC$7="Actual","",IF($K552="Yes",IFERROR(AC532*(1+AC$59),0),AC532))</f>
        <v/>
      </c>
      <c r="AD552" s="245">
        <f>IF(AD$7="Actual","",IF($K552="Yes",IFERROR(AD532*(1+AD$59),0),AD532))</f>
        <v/>
      </c>
      <c r="AE552" s="245">
        <f>IF(AE$7="Actual","",IF($K552="Yes",IFERROR(AE532*(1+AE$59),0),AE532))</f>
        <v/>
      </c>
      <c r="AF552" s="245">
        <f>IF(AF$7="Actual","",IF($K552="Yes",IFERROR(AF532*(1+AF$59),0),AF532))</f>
        <v/>
      </c>
      <c r="AG552" s="245">
        <f>IF(AG$7="Actual","",IF($K552="Yes",IFERROR(AG532*(1+AG$59),0),AG532))</f>
        <v/>
      </c>
      <c r="AH552" s="245">
        <f>IF(AH$7="Actual","",IF($K552="Yes",IFERROR(AH532*(1+AH$59),0),AH532))</f>
        <v/>
      </c>
      <c r="AI552" s="245">
        <f>IF(AI$7="Actual","",IF($K552="Yes",IFERROR(AI532*(1+AI$59),0),AI532))</f>
        <v/>
      </c>
      <c r="AJ552" s="245">
        <f>IF(AJ$7="Actual","",IF($K552="Yes",IFERROR(AJ532*(1+AJ$59),0),AJ532))</f>
        <v/>
      </c>
      <c r="AK552" s="245">
        <f>IF(AK$7="Actual","",IF($K552="Yes",IFERROR(AK532*(1+AK$59),0),AK532))</f>
        <v/>
      </c>
      <c r="AL552" s="245">
        <f>IF(AL$7="Actual","",IF($K552="Yes",IFERROR(AL532*(1+AL$59),0),AL532))</f>
        <v/>
      </c>
      <c r="AM552" s="245">
        <f>IF(AM$7="Actual","",IF($K552="Yes",IFERROR(AM532*(1+AM$59),0),AM532))</f>
        <v/>
      </c>
      <c r="AN552" s="245">
        <f>IF(AN$7="Actual","",IF($K552="Yes",IFERROR(AN532*(1+AN$59),0),AN532))</f>
        <v/>
      </c>
      <c r="AO552" s="245">
        <f>IF(AO$7="Actual","",IF($K552="Yes",IFERROR(AO532*(1+AO$59),0),AO532))</f>
        <v/>
      </c>
      <c r="AP552" s="245">
        <f>IF(AP$7="Actual","",IF($K552="Yes",IFERROR(AP532*(1+AP$59),0),AP532))</f>
        <v/>
      </c>
      <c r="AQ552" s="245">
        <f>IF(AQ$7="Actual","",IF($K552="Yes",IFERROR(AQ532*(1+AQ$59),0),AQ532))</f>
        <v/>
      </c>
      <c r="AR552" s="245">
        <f>IF(AR$7="Actual","",IF($K552="Yes",IFERROR(AR532*(1+AR$59),0),AR532))</f>
        <v/>
      </c>
      <c r="AS552" s="245">
        <f>IF(AS$7="Actual","",IF($K552="Yes",IFERROR(AS532*(1+AS$59),0),AS532))</f>
        <v/>
      </c>
      <c r="AT552" s="245">
        <f>IF(AT$7="Actual","",IF($K552="Yes",IFERROR(AT532*(1+AT$59),0),AT532))</f>
        <v/>
      </c>
      <c r="AU552" s="245">
        <f>IF(AU$7="Actual","",IF($K552="Yes",IFERROR(AU532*(1+AU$59),0),AU532))</f>
        <v/>
      </c>
      <c r="AV552" s="245">
        <f>IF(AV$7="Actual","",IF($K552="Yes",IFERROR(AV532*(1+AV$59),0),AV532))</f>
        <v/>
      </c>
      <c r="AW552" s="245">
        <f>IF(AW$7="Actual","",IF($K552="Yes",IFERROR(AW532*(1+AW$59),0),AW532))</f>
        <v/>
      </c>
      <c r="AX552" s="245">
        <f>IF(AX$7="Actual","",IF($K552="Yes",IFERROR(AX532*(1+AX$59),0),AX532))</f>
        <v/>
      </c>
      <c r="AY552" s="245">
        <f>IF(AY$7="Actual","",IF($K552="Yes",IFERROR(AY532*(1+AY$59),0),AY532))</f>
        <v/>
      </c>
      <c r="AZ552" s="245">
        <f>IF(AZ$7="Actual","",IF($K552="Yes",IFERROR(AZ532*(1+AZ$59),0),AZ532))</f>
        <v/>
      </c>
      <c r="BA552" s="245">
        <f>IF(BA$7="Actual","",IF($K552="Yes",IFERROR(BA532*(1+BA$59),0),BA532))</f>
        <v/>
      </c>
      <c r="BB552" s="245">
        <f>IF(BB$7="Actual","",IF($K552="Yes",IFERROR(BB532*(1+BB$59),0),BB532))</f>
        <v/>
      </c>
      <c r="BC552" s="245">
        <f>IF(BC$7="Actual","",IF($K552="Yes",IFERROR(BC532*(1+BC$59),0),BC532))</f>
        <v/>
      </c>
      <c r="BD552" s="245">
        <f>IF(BD$7="Actual","",IF($K552="Yes",IFERROR(BD532*(1+BD$59),0),BD532))</f>
        <v/>
      </c>
      <c r="BE552" s="245">
        <f>IF(BE$7="Actual","",IF($K552="Yes",IFERROR(BE532*(1+BE$59),0),BE532))</f>
        <v/>
      </c>
      <c r="BF552" s="245">
        <f>IF(BF$7="Actual","",IF($K552="Yes",IFERROR(BF532*(1+BF$59),0),BF532))</f>
        <v/>
      </c>
      <c r="BG552" s="245">
        <f>IF(BG$7="Actual","",IF($K552="Yes",IFERROR(BG532*(1+BG$59),0),BG532))</f>
        <v/>
      </c>
      <c r="BH552" s="245">
        <f>IF(BH$7="Actual","",IF($K552="Yes",IFERROR(BH532*(1+BH$59),0),BH532))</f>
        <v/>
      </c>
      <c r="BI552" s="245">
        <f>IF(BI$7="Actual","",IF($K552="Yes",IFERROR(BI532*(1+BI$59),0),BI532))</f>
        <v/>
      </c>
      <c r="BJ552" s="245">
        <f>IF(BJ$7="Actual","",IF($K552="Yes",IFERROR(BJ532*(1+BJ$59),0),BJ532))</f>
        <v/>
      </c>
      <c r="BK552" s="245">
        <f>IF(BK$7="Actual","",IF($K552="Yes",IFERROR(BK532*(1+BK$59),0),BK532))</f>
        <v/>
      </c>
      <c r="BL552" s="245">
        <f>IF(BL$7="Actual","",IF($K552="Yes",IFERROR(BL532*(1+BL$59),0),BL532))</f>
        <v/>
      </c>
      <c r="BM552" s="245">
        <f>IF(BM$7="Actual","",IF($K552="Yes",IFERROR(BM532*(1+BM$59),0),BM532))</f>
        <v/>
      </c>
      <c r="BN552" s="245">
        <f>IF(BN$7="Actual","",IF($K552="Yes",IFERROR(BN532*(1+BN$59),0),BN532))</f>
        <v/>
      </c>
      <c r="BO552" s="245">
        <f>IF(BO$7="Actual","",IF($K552="Yes",IFERROR(BO532*(1+BO$59),0),BO532))</f>
        <v/>
      </c>
      <c r="BP552" s="245">
        <f>IF(BP$7="Actual","",IF($K552="Yes",IFERROR(BP532*(1+BP$59),0),BP532))</f>
        <v/>
      </c>
      <c r="BQ552" s="245">
        <f>IF(BQ$7="Actual","",IF($K552="Yes",IFERROR(BQ532*(1+BQ$59),0),BQ532))</f>
        <v/>
      </c>
      <c r="BR552" s="245">
        <f>IF(BR$7="Actual","",IF($K552="Yes",IFERROR(BR532*(1+BR$59),0),BR532))</f>
        <v/>
      </c>
      <c r="BS552" s="245">
        <f>IF(BS$7="Actual","",IF($K552="Yes",IFERROR(BS532*(1+BS$59),0),BS532))</f>
        <v/>
      </c>
      <c r="BT552" s="245">
        <f>IF(BT$7="Actual","",IF($K552="Yes",IFERROR(BT532*(1+BT$59),0),BT532))</f>
        <v/>
      </c>
      <c r="BU552" s="245">
        <f>IF(BU$7="Actual","",IF($K552="Yes",IFERROR(BU532*(1+BU$59),0),BU532))</f>
        <v/>
      </c>
      <c r="BV552" s="245">
        <f>IF(BV$7="Actual","",IF($K552="Yes",IFERROR(BV532*(1+BV$59),0),BV532))</f>
        <v/>
      </c>
      <c r="BW552" s="245">
        <f>IF(BW$7="Actual","",IF($K552="Yes",IFERROR(BW532*(1+BW$59),0),BW532))</f>
        <v/>
      </c>
      <c r="BX552" s="245">
        <f>IF(BX$7="Actual","",IF($K552="Yes",IFERROR(BX532*(1+BX$59),0),BX532))</f>
        <v/>
      </c>
      <c r="BY552" s="245">
        <f>IF(BY$7="Actual","",IF($K552="Yes",IFERROR(BY532*(1+BY$59),0),BY532))</f>
        <v/>
      </c>
      <c r="BZ552" s="245">
        <f>IF(BZ$7="Actual","",IF($K552="Yes",IFERROR(BZ532*(1+BZ$59),0),BZ532))</f>
        <v/>
      </c>
      <c r="CA552" s="245">
        <f>IF(CA$7="Actual","",IF($K552="Yes",IFERROR(CA532*(1+CA$59),0),CA532))</f>
        <v/>
      </c>
    </row>
    <row r="553" ht="12" customHeight="1" s="227">
      <c r="A553" s="244" t="n"/>
      <c r="B553" s="244" t="n"/>
      <c r="C553" s="244" t="n"/>
      <c r="H553" s="4">
        <f>H533</f>
        <v/>
      </c>
      <c r="I553" s="27">
        <f>i_Setup!$M$16</f>
        <v/>
      </c>
      <c r="K553" s="259">
        <f>i_Setup!P97</f>
        <v/>
      </c>
      <c r="M553" s="245">
        <f>SUMIF($T$4:$CA$4,M$4,$T553:$CA553)</f>
        <v/>
      </c>
      <c r="N553" s="245">
        <f>SUMIF($T$4:$CA$4,N$4,$T553:$CA553)</f>
        <v/>
      </c>
      <c r="O553" s="245">
        <f>SUMIF($T$4:$CA$4,O$4,$T553:$CA553)</f>
        <v/>
      </c>
      <c r="P553" s="245">
        <f>SUMIF($T$4:$CA$4,P$4,$T553:$CA553)</f>
        <v/>
      </c>
      <c r="Q553" s="245">
        <f>SUMIF($T$4:$CA$4,Q$4,$T553:$CA553)</f>
        <v/>
      </c>
      <c r="T553" s="245">
        <f>IF(T$7="Actual","",IF($K553="Yes",IFERROR(T533*(1+T$59),0),T533))</f>
        <v/>
      </c>
      <c r="U553" s="245">
        <f>IF(U$7="Actual","",IF($K553="Yes",IFERROR(U533*(1+U$59),0),U533))</f>
        <v/>
      </c>
      <c r="V553" s="245">
        <f>IF(V$7="Actual","",IF($K553="Yes",IFERROR(V533*(1+V$59),0),V533))</f>
        <v/>
      </c>
      <c r="W553" s="245">
        <f>IF(W$7="Actual","",IF($K553="Yes",IFERROR(W533*(1+W$59),0),W533))</f>
        <v/>
      </c>
      <c r="X553" s="245">
        <f>IF(X$7="Actual","",IF($K553="Yes",IFERROR(X533*(1+X$59),0),X533))</f>
        <v/>
      </c>
      <c r="Y553" s="245">
        <f>IF(Y$7="Actual","",IF($K553="Yes",IFERROR(Y533*(1+Y$59),0),Y533))</f>
        <v/>
      </c>
      <c r="Z553" s="245">
        <f>IF(Z$7="Actual","",IF($K553="Yes",IFERROR(Z533*(1+Z$59),0),Z533))</f>
        <v/>
      </c>
      <c r="AA553" s="245">
        <f>IF(AA$7="Actual","",IF($K553="Yes",IFERROR(AA533*(1+AA$59),0),AA533))</f>
        <v/>
      </c>
      <c r="AB553" s="245">
        <f>IF(AB$7="Actual","",IF($K553="Yes",IFERROR(AB533*(1+AB$59),0),AB533))</f>
        <v/>
      </c>
      <c r="AC553" s="245">
        <f>IF(AC$7="Actual","",IF($K553="Yes",IFERROR(AC533*(1+AC$59),0),AC533))</f>
        <v/>
      </c>
      <c r="AD553" s="245">
        <f>IF(AD$7="Actual","",IF($K553="Yes",IFERROR(AD533*(1+AD$59),0),AD533))</f>
        <v/>
      </c>
      <c r="AE553" s="245">
        <f>IF(AE$7="Actual","",IF($K553="Yes",IFERROR(AE533*(1+AE$59),0),AE533))</f>
        <v/>
      </c>
      <c r="AF553" s="245">
        <f>IF(AF$7="Actual","",IF($K553="Yes",IFERROR(AF533*(1+AF$59),0),AF533))</f>
        <v/>
      </c>
      <c r="AG553" s="245">
        <f>IF(AG$7="Actual","",IF($K553="Yes",IFERROR(AG533*(1+AG$59),0),AG533))</f>
        <v/>
      </c>
      <c r="AH553" s="245">
        <f>IF(AH$7="Actual","",IF($K553="Yes",IFERROR(AH533*(1+AH$59),0),AH533))</f>
        <v/>
      </c>
      <c r="AI553" s="245">
        <f>IF(AI$7="Actual","",IF($K553="Yes",IFERROR(AI533*(1+AI$59),0),AI533))</f>
        <v/>
      </c>
      <c r="AJ553" s="245">
        <f>IF(AJ$7="Actual","",IF($K553="Yes",IFERROR(AJ533*(1+AJ$59),0),AJ533))</f>
        <v/>
      </c>
      <c r="AK553" s="245">
        <f>IF(AK$7="Actual","",IF($K553="Yes",IFERROR(AK533*(1+AK$59),0),AK533))</f>
        <v/>
      </c>
      <c r="AL553" s="245">
        <f>IF(AL$7="Actual","",IF($K553="Yes",IFERROR(AL533*(1+AL$59),0),AL533))</f>
        <v/>
      </c>
      <c r="AM553" s="245">
        <f>IF(AM$7="Actual","",IF($K553="Yes",IFERROR(AM533*(1+AM$59),0),AM533))</f>
        <v/>
      </c>
      <c r="AN553" s="245">
        <f>IF(AN$7="Actual","",IF($K553="Yes",IFERROR(AN533*(1+AN$59),0),AN533))</f>
        <v/>
      </c>
      <c r="AO553" s="245">
        <f>IF(AO$7="Actual","",IF($K553="Yes",IFERROR(AO533*(1+AO$59),0),AO533))</f>
        <v/>
      </c>
      <c r="AP553" s="245">
        <f>IF(AP$7="Actual","",IF($K553="Yes",IFERROR(AP533*(1+AP$59),0),AP533))</f>
        <v/>
      </c>
      <c r="AQ553" s="245">
        <f>IF(AQ$7="Actual","",IF($K553="Yes",IFERROR(AQ533*(1+AQ$59),0),AQ533))</f>
        <v/>
      </c>
      <c r="AR553" s="245">
        <f>IF(AR$7="Actual","",IF($K553="Yes",IFERROR(AR533*(1+AR$59),0),AR533))</f>
        <v/>
      </c>
      <c r="AS553" s="245">
        <f>IF(AS$7="Actual","",IF($K553="Yes",IFERROR(AS533*(1+AS$59),0),AS533))</f>
        <v/>
      </c>
      <c r="AT553" s="245">
        <f>IF(AT$7="Actual","",IF($K553="Yes",IFERROR(AT533*(1+AT$59),0),AT533))</f>
        <v/>
      </c>
      <c r="AU553" s="245">
        <f>IF(AU$7="Actual","",IF($K553="Yes",IFERROR(AU533*(1+AU$59),0),AU533))</f>
        <v/>
      </c>
      <c r="AV553" s="245">
        <f>IF(AV$7="Actual","",IF($K553="Yes",IFERROR(AV533*(1+AV$59),0),AV533))</f>
        <v/>
      </c>
      <c r="AW553" s="245">
        <f>IF(AW$7="Actual","",IF($K553="Yes",IFERROR(AW533*(1+AW$59),0),AW533))</f>
        <v/>
      </c>
      <c r="AX553" s="245">
        <f>IF(AX$7="Actual","",IF($K553="Yes",IFERROR(AX533*(1+AX$59),0),AX533))</f>
        <v/>
      </c>
      <c r="AY553" s="245">
        <f>IF(AY$7="Actual","",IF($K553="Yes",IFERROR(AY533*(1+AY$59),0),AY533))</f>
        <v/>
      </c>
      <c r="AZ553" s="245">
        <f>IF(AZ$7="Actual","",IF($K553="Yes",IFERROR(AZ533*(1+AZ$59),0),AZ533))</f>
        <v/>
      </c>
      <c r="BA553" s="245">
        <f>IF(BA$7="Actual","",IF($K553="Yes",IFERROR(BA533*(1+BA$59),0),BA533))</f>
        <v/>
      </c>
      <c r="BB553" s="245">
        <f>IF(BB$7="Actual","",IF($K553="Yes",IFERROR(BB533*(1+BB$59),0),BB533))</f>
        <v/>
      </c>
      <c r="BC553" s="245">
        <f>IF(BC$7="Actual","",IF($K553="Yes",IFERROR(BC533*(1+BC$59),0),BC533))</f>
        <v/>
      </c>
      <c r="BD553" s="245">
        <f>IF(BD$7="Actual","",IF($K553="Yes",IFERROR(BD533*(1+BD$59),0),BD533))</f>
        <v/>
      </c>
      <c r="BE553" s="245">
        <f>IF(BE$7="Actual","",IF($K553="Yes",IFERROR(BE533*(1+BE$59),0),BE533))</f>
        <v/>
      </c>
      <c r="BF553" s="245">
        <f>IF(BF$7="Actual","",IF($K553="Yes",IFERROR(BF533*(1+BF$59),0),BF533))</f>
        <v/>
      </c>
      <c r="BG553" s="245">
        <f>IF(BG$7="Actual","",IF($K553="Yes",IFERROR(BG533*(1+BG$59),0),BG533))</f>
        <v/>
      </c>
      <c r="BH553" s="245">
        <f>IF(BH$7="Actual","",IF($K553="Yes",IFERROR(BH533*(1+BH$59),0),BH533))</f>
        <v/>
      </c>
      <c r="BI553" s="245">
        <f>IF(BI$7="Actual","",IF($K553="Yes",IFERROR(BI533*(1+BI$59),0),BI533))</f>
        <v/>
      </c>
      <c r="BJ553" s="245">
        <f>IF(BJ$7="Actual","",IF($K553="Yes",IFERROR(BJ533*(1+BJ$59),0),BJ533))</f>
        <v/>
      </c>
      <c r="BK553" s="245">
        <f>IF(BK$7="Actual","",IF($K553="Yes",IFERROR(BK533*(1+BK$59),0),BK533))</f>
        <v/>
      </c>
      <c r="BL553" s="245">
        <f>IF(BL$7="Actual","",IF($K553="Yes",IFERROR(BL533*(1+BL$59),0),BL533))</f>
        <v/>
      </c>
      <c r="BM553" s="245">
        <f>IF(BM$7="Actual","",IF($K553="Yes",IFERROR(BM533*(1+BM$59),0),BM533))</f>
        <v/>
      </c>
      <c r="BN553" s="245">
        <f>IF(BN$7="Actual","",IF($K553="Yes",IFERROR(BN533*(1+BN$59),0),BN533))</f>
        <v/>
      </c>
      <c r="BO553" s="245">
        <f>IF(BO$7="Actual","",IF($K553="Yes",IFERROR(BO533*(1+BO$59),0),BO533))</f>
        <v/>
      </c>
      <c r="BP553" s="245">
        <f>IF(BP$7="Actual","",IF($K553="Yes",IFERROR(BP533*(1+BP$59),0),BP533))</f>
        <v/>
      </c>
      <c r="BQ553" s="245">
        <f>IF(BQ$7="Actual","",IF($K553="Yes",IFERROR(BQ533*(1+BQ$59),0),BQ533))</f>
        <v/>
      </c>
      <c r="BR553" s="245">
        <f>IF(BR$7="Actual","",IF($K553="Yes",IFERROR(BR533*(1+BR$59),0),BR533))</f>
        <v/>
      </c>
      <c r="BS553" s="245">
        <f>IF(BS$7="Actual","",IF($K553="Yes",IFERROR(BS533*(1+BS$59),0),BS533))</f>
        <v/>
      </c>
      <c r="BT553" s="245">
        <f>IF(BT$7="Actual","",IF($K553="Yes",IFERROR(BT533*(1+BT$59),0),BT533))</f>
        <v/>
      </c>
      <c r="BU553" s="245">
        <f>IF(BU$7="Actual","",IF($K553="Yes",IFERROR(BU533*(1+BU$59),0),BU533))</f>
        <v/>
      </c>
      <c r="BV553" s="245">
        <f>IF(BV$7="Actual","",IF($K553="Yes",IFERROR(BV533*(1+BV$59),0),BV533))</f>
        <v/>
      </c>
      <c r="BW553" s="245">
        <f>IF(BW$7="Actual","",IF($K553="Yes",IFERROR(BW533*(1+BW$59),0),BW533))</f>
        <v/>
      </c>
      <c r="BX553" s="245">
        <f>IF(BX$7="Actual","",IF($K553="Yes",IFERROR(BX533*(1+BX$59),0),BX533))</f>
        <v/>
      </c>
      <c r="BY553" s="245">
        <f>IF(BY$7="Actual","",IF($K553="Yes",IFERROR(BY533*(1+BY$59),0),BY533))</f>
        <v/>
      </c>
      <c r="BZ553" s="245">
        <f>IF(BZ$7="Actual","",IF($K553="Yes",IFERROR(BZ533*(1+BZ$59),0),BZ533))</f>
        <v/>
      </c>
      <c r="CA553" s="245">
        <f>IF(CA$7="Actual","",IF($K553="Yes",IFERROR(CA533*(1+CA$59),0),CA533))</f>
        <v/>
      </c>
    </row>
    <row r="554" ht="12" customHeight="1" s="227">
      <c r="A554" s="244" t="n"/>
      <c r="B554" s="244" t="n"/>
      <c r="C554" s="244" t="n"/>
      <c r="H554" s="4">
        <f>H534</f>
        <v/>
      </c>
      <c r="I554" s="27">
        <f>i_Setup!$M$16</f>
        <v/>
      </c>
      <c r="K554" s="259">
        <f>i_Setup!P98</f>
        <v/>
      </c>
      <c r="M554" s="245">
        <f>SUMIF($T$4:$CA$4,M$4,$T554:$CA554)</f>
        <v/>
      </c>
      <c r="N554" s="245">
        <f>SUMIF($T$4:$CA$4,N$4,$T554:$CA554)</f>
        <v/>
      </c>
      <c r="O554" s="245">
        <f>SUMIF($T$4:$CA$4,O$4,$T554:$CA554)</f>
        <v/>
      </c>
      <c r="P554" s="245">
        <f>SUMIF($T$4:$CA$4,P$4,$T554:$CA554)</f>
        <v/>
      </c>
      <c r="Q554" s="245">
        <f>SUMIF($T$4:$CA$4,Q$4,$T554:$CA554)</f>
        <v/>
      </c>
      <c r="T554" s="245">
        <f>IF(T$7="Actual","",IF($K554="Yes",IFERROR(T534*(1+T$59),0),T534))</f>
        <v/>
      </c>
      <c r="U554" s="245">
        <f>IF(U$7="Actual","",IF($K554="Yes",IFERROR(U534*(1+U$59),0),U534))</f>
        <v/>
      </c>
      <c r="V554" s="245">
        <f>IF(V$7="Actual","",IF($K554="Yes",IFERROR(V534*(1+V$59),0),V534))</f>
        <v/>
      </c>
      <c r="W554" s="245">
        <f>IF(W$7="Actual","",IF($K554="Yes",IFERROR(W534*(1+W$59),0),W534))</f>
        <v/>
      </c>
      <c r="X554" s="245">
        <f>IF(X$7="Actual","",IF($K554="Yes",IFERROR(X534*(1+X$59),0),X534))</f>
        <v/>
      </c>
      <c r="Y554" s="245">
        <f>IF(Y$7="Actual","",IF($K554="Yes",IFERROR(Y534*(1+Y$59),0),Y534))</f>
        <v/>
      </c>
      <c r="Z554" s="245">
        <f>IF(Z$7="Actual","",IF($K554="Yes",IFERROR(Z534*(1+Z$59),0),Z534))</f>
        <v/>
      </c>
      <c r="AA554" s="245">
        <f>IF(AA$7="Actual","",IF($K554="Yes",IFERROR(AA534*(1+AA$59),0),AA534))</f>
        <v/>
      </c>
      <c r="AB554" s="245">
        <f>IF(AB$7="Actual","",IF($K554="Yes",IFERROR(AB534*(1+AB$59),0),AB534))</f>
        <v/>
      </c>
      <c r="AC554" s="245">
        <f>IF(AC$7="Actual","",IF($K554="Yes",IFERROR(AC534*(1+AC$59),0),AC534))</f>
        <v/>
      </c>
      <c r="AD554" s="245">
        <f>IF(AD$7="Actual","",IF($K554="Yes",IFERROR(AD534*(1+AD$59),0),AD534))</f>
        <v/>
      </c>
      <c r="AE554" s="245">
        <f>IF(AE$7="Actual","",IF($K554="Yes",IFERROR(AE534*(1+AE$59),0),AE534))</f>
        <v/>
      </c>
      <c r="AF554" s="245">
        <f>IF(AF$7="Actual","",IF($K554="Yes",IFERROR(AF534*(1+AF$59),0),AF534))</f>
        <v/>
      </c>
      <c r="AG554" s="245">
        <f>IF(AG$7="Actual","",IF($K554="Yes",IFERROR(AG534*(1+AG$59),0),AG534))</f>
        <v/>
      </c>
      <c r="AH554" s="245">
        <f>IF(AH$7="Actual","",IF($K554="Yes",IFERROR(AH534*(1+AH$59),0),AH534))</f>
        <v/>
      </c>
      <c r="AI554" s="245">
        <f>IF(AI$7="Actual","",IF($K554="Yes",IFERROR(AI534*(1+AI$59),0),AI534))</f>
        <v/>
      </c>
      <c r="AJ554" s="245">
        <f>IF(AJ$7="Actual","",IF($K554="Yes",IFERROR(AJ534*(1+AJ$59),0),AJ534))</f>
        <v/>
      </c>
      <c r="AK554" s="245">
        <f>IF(AK$7="Actual","",IF($K554="Yes",IFERROR(AK534*(1+AK$59),0),AK534))</f>
        <v/>
      </c>
      <c r="AL554" s="245">
        <f>IF(AL$7="Actual","",IF($K554="Yes",IFERROR(AL534*(1+AL$59),0),AL534))</f>
        <v/>
      </c>
      <c r="AM554" s="245">
        <f>IF(AM$7="Actual","",IF($K554="Yes",IFERROR(AM534*(1+AM$59),0),AM534))</f>
        <v/>
      </c>
      <c r="AN554" s="245">
        <f>IF(AN$7="Actual","",IF($K554="Yes",IFERROR(AN534*(1+AN$59),0),AN534))</f>
        <v/>
      </c>
      <c r="AO554" s="245">
        <f>IF(AO$7="Actual","",IF($K554="Yes",IFERROR(AO534*(1+AO$59),0),AO534))</f>
        <v/>
      </c>
      <c r="AP554" s="245">
        <f>IF(AP$7="Actual","",IF($K554="Yes",IFERROR(AP534*(1+AP$59),0),AP534))</f>
        <v/>
      </c>
      <c r="AQ554" s="245">
        <f>IF(AQ$7="Actual","",IF($K554="Yes",IFERROR(AQ534*(1+AQ$59),0),AQ534))</f>
        <v/>
      </c>
      <c r="AR554" s="245">
        <f>IF(AR$7="Actual","",IF($K554="Yes",IFERROR(AR534*(1+AR$59),0),AR534))</f>
        <v/>
      </c>
      <c r="AS554" s="245">
        <f>IF(AS$7="Actual","",IF($K554="Yes",IFERROR(AS534*(1+AS$59),0),AS534))</f>
        <v/>
      </c>
      <c r="AT554" s="245">
        <f>IF(AT$7="Actual","",IF($K554="Yes",IFERROR(AT534*(1+AT$59),0),AT534))</f>
        <v/>
      </c>
      <c r="AU554" s="245">
        <f>IF(AU$7="Actual","",IF($K554="Yes",IFERROR(AU534*(1+AU$59),0),AU534))</f>
        <v/>
      </c>
      <c r="AV554" s="245">
        <f>IF(AV$7="Actual","",IF($K554="Yes",IFERROR(AV534*(1+AV$59),0),AV534))</f>
        <v/>
      </c>
      <c r="AW554" s="245">
        <f>IF(AW$7="Actual","",IF($K554="Yes",IFERROR(AW534*(1+AW$59),0),AW534))</f>
        <v/>
      </c>
      <c r="AX554" s="245">
        <f>IF(AX$7="Actual","",IF($K554="Yes",IFERROR(AX534*(1+AX$59),0),AX534))</f>
        <v/>
      </c>
      <c r="AY554" s="245">
        <f>IF(AY$7="Actual","",IF($K554="Yes",IFERROR(AY534*(1+AY$59),0),AY534))</f>
        <v/>
      </c>
      <c r="AZ554" s="245">
        <f>IF(AZ$7="Actual","",IF($K554="Yes",IFERROR(AZ534*(1+AZ$59),0),AZ534))</f>
        <v/>
      </c>
      <c r="BA554" s="245">
        <f>IF(BA$7="Actual","",IF($K554="Yes",IFERROR(BA534*(1+BA$59),0),BA534))</f>
        <v/>
      </c>
      <c r="BB554" s="245">
        <f>IF(BB$7="Actual","",IF($K554="Yes",IFERROR(BB534*(1+BB$59),0),BB534))</f>
        <v/>
      </c>
      <c r="BC554" s="245">
        <f>IF(BC$7="Actual","",IF($K554="Yes",IFERROR(BC534*(1+BC$59),0),BC534))</f>
        <v/>
      </c>
      <c r="BD554" s="245">
        <f>IF(BD$7="Actual","",IF($K554="Yes",IFERROR(BD534*(1+BD$59),0),BD534))</f>
        <v/>
      </c>
      <c r="BE554" s="245">
        <f>IF(BE$7="Actual","",IF($K554="Yes",IFERROR(BE534*(1+BE$59),0),BE534))</f>
        <v/>
      </c>
      <c r="BF554" s="245">
        <f>IF(BF$7="Actual","",IF($K554="Yes",IFERROR(BF534*(1+BF$59),0),BF534))</f>
        <v/>
      </c>
      <c r="BG554" s="245">
        <f>IF(BG$7="Actual","",IF($K554="Yes",IFERROR(BG534*(1+BG$59),0),BG534))</f>
        <v/>
      </c>
      <c r="BH554" s="245">
        <f>IF(BH$7="Actual","",IF($K554="Yes",IFERROR(BH534*(1+BH$59),0),BH534))</f>
        <v/>
      </c>
      <c r="BI554" s="245">
        <f>IF(BI$7="Actual","",IF($K554="Yes",IFERROR(BI534*(1+BI$59),0),BI534))</f>
        <v/>
      </c>
      <c r="BJ554" s="245">
        <f>IF(BJ$7="Actual","",IF($K554="Yes",IFERROR(BJ534*(1+BJ$59),0),BJ534))</f>
        <v/>
      </c>
      <c r="BK554" s="245">
        <f>IF(BK$7="Actual","",IF($K554="Yes",IFERROR(BK534*(1+BK$59),0),BK534))</f>
        <v/>
      </c>
      <c r="BL554" s="245">
        <f>IF(BL$7="Actual","",IF($K554="Yes",IFERROR(BL534*(1+BL$59),0),BL534))</f>
        <v/>
      </c>
      <c r="BM554" s="245">
        <f>IF(BM$7="Actual","",IF($K554="Yes",IFERROR(BM534*(1+BM$59),0),BM534))</f>
        <v/>
      </c>
      <c r="BN554" s="245">
        <f>IF(BN$7="Actual","",IF($K554="Yes",IFERROR(BN534*(1+BN$59),0),BN534))</f>
        <v/>
      </c>
      <c r="BO554" s="245">
        <f>IF(BO$7="Actual","",IF($K554="Yes",IFERROR(BO534*(1+BO$59),0),BO534))</f>
        <v/>
      </c>
      <c r="BP554" s="245">
        <f>IF(BP$7="Actual","",IF($K554="Yes",IFERROR(BP534*(1+BP$59),0),BP534))</f>
        <v/>
      </c>
      <c r="BQ554" s="245">
        <f>IF(BQ$7="Actual","",IF($K554="Yes",IFERROR(BQ534*(1+BQ$59),0),BQ534))</f>
        <v/>
      </c>
      <c r="BR554" s="245">
        <f>IF(BR$7="Actual","",IF($K554="Yes",IFERROR(BR534*(1+BR$59),0),BR534))</f>
        <v/>
      </c>
      <c r="BS554" s="245">
        <f>IF(BS$7="Actual","",IF($K554="Yes",IFERROR(BS534*(1+BS$59),0),BS534))</f>
        <v/>
      </c>
      <c r="BT554" s="245">
        <f>IF(BT$7="Actual","",IF($K554="Yes",IFERROR(BT534*(1+BT$59),0),BT534))</f>
        <v/>
      </c>
      <c r="BU554" s="245">
        <f>IF(BU$7="Actual","",IF($K554="Yes",IFERROR(BU534*(1+BU$59),0),BU534))</f>
        <v/>
      </c>
      <c r="BV554" s="245">
        <f>IF(BV$7="Actual","",IF($K554="Yes",IFERROR(BV534*(1+BV$59),0),BV534))</f>
        <v/>
      </c>
      <c r="BW554" s="245">
        <f>IF(BW$7="Actual","",IF($K554="Yes",IFERROR(BW534*(1+BW$59),0),BW534))</f>
        <v/>
      </c>
      <c r="BX554" s="245">
        <f>IF(BX$7="Actual","",IF($K554="Yes",IFERROR(BX534*(1+BX$59),0),BX534))</f>
        <v/>
      </c>
      <c r="BY554" s="245">
        <f>IF(BY$7="Actual","",IF($K554="Yes",IFERROR(BY534*(1+BY$59),0),BY534))</f>
        <v/>
      </c>
      <c r="BZ554" s="245">
        <f>IF(BZ$7="Actual","",IF($K554="Yes",IFERROR(BZ534*(1+BZ$59),0),BZ534))</f>
        <v/>
      </c>
      <c r="CA554" s="245">
        <f>IF(CA$7="Actual","",IF($K554="Yes",IFERROR(CA534*(1+CA$59),0),CA534))</f>
        <v/>
      </c>
    </row>
    <row r="555" ht="12" customHeight="1" s="227">
      <c r="A555" s="244" t="n"/>
      <c r="B555" s="244" t="n"/>
      <c r="C555" s="244" t="n"/>
      <c r="H555" s="4">
        <f>H535</f>
        <v/>
      </c>
      <c r="I555" s="27">
        <f>i_Setup!$M$16</f>
        <v/>
      </c>
      <c r="K555" s="259">
        <f>i_Setup!P99</f>
        <v/>
      </c>
      <c r="M555" s="245">
        <f>SUMIF($T$4:$CA$4,M$4,$T555:$CA555)</f>
        <v/>
      </c>
      <c r="N555" s="245">
        <f>SUMIF($T$4:$CA$4,N$4,$T555:$CA555)</f>
        <v/>
      </c>
      <c r="O555" s="245">
        <f>SUMIF($T$4:$CA$4,O$4,$T555:$CA555)</f>
        <v/>
      </c>
      <c r="P555" s="245">
        <f>SUMIF($T$4:$CA$4,P$4,$T555:$CA555)</f>
        <v/>
      </c>
      <c r="Q555" s="245">
        <f>SUMIF($T$4:$CA$4,Q$4,$T555:$CA555)</f>
        <v/>
      </c>
      <c r="T555" s="245">
        <f>IF(T$7="Actual","",IF($K555="Yes",IFERROR(T535*(1+T$59),0),T535))</f>
        <v/>
      </c>
      <c r="U555" s="245">
        <f>IF(U$7="Actual","",IF($K555="Yes",IFERROR(U535*(1+U$59),0),U535))</f>
        <v/>
      </c>
      <c r="V555" s="245">
        <f>IF(V$7="Actual","",IF($K555="Yes",IFERROR(V535*(1+V$59),0),V535))</f>
        <v/>
      </c>
      <c r="W555" s="245">
        <f>IF(W$7="Actual","",IF($K555="Yes",IFERROR(W535*(1+W$59),0),W535))</f>
        <v/>
      </c>
      <c r="X555" s="245">
        <f>IF(X$7="Actual","",IF($K555="Yes",IFERROR(X535*(1+X$59),0),X535))</f>
        <v/>
      </c>
      <c r="Y555" s="245">
        <f>IF(Y$7="Actual","",IF($K555="Yes",IFERROR(Y535*(1+Y$59),0),Y535))</f>
        <v/>
      </c>
      <c r="Z555" s="245">
        <f>IF(Z$7="Actual","",IF($K555="Yes",IFERROR(Z535*(1+Z$59),0),Z535))</f>
        <v/>
      </c>
      <c r="AA555" s="245">
        <f>IF(AA$7="Actual","",IF($K555="Yes",IFERROR(AA535*(1+AA$59),0),AA535))</f>
        <v/>
      </c>
      <c r="AB555" s="245">
        <f>IF(AB$7="Actual","",IF($K555="Yes",IFERROR(AB535*(1+AB$59),0),AB535))</f>
        <v/>
      </c>
      <c r="AC555" s="245">
        <f>IF(AC$7="Actual","",IF($K555="Yes",IFERROR(AC535*(1+AC$59),0),AC535))</f>
        <v/>
      </c>
      <c r="AD555" s="245">
        <f>IF(AD$7="Actual","",IF($K555="Yes",IFERROR(AD535*(1+AD$59),0),AD535))</f>
        <v/>
      </c>
      <c r="AE555" s="245">
        <f>IF(AE$7="Actual","",IF($K555="Yes",IFERROR(AE535*(1+AE$59),0),AE535))</f>
        <v/>
      </c>
      <c r="AF555" s="245">
        <f>IF(AF$7="Actual","",IF($K555="Yes",IFERROR(AF535*(1+AF$59),0),AF535))</f>
        <v/>
      </c>
      <c r="AG555" s="245">
        <f>IF(AG$7="Actual","",IF($K555="Yes",IFERROR(AG535*(1+AG$59),0),AG535))</f>
        <v/>
      </c>
      <c r="AH555" s="245">
        <f>IF(AH$7="Actual","",IF($K555="Yes",IFERROR(AH535*(1+AH$59),0),AH535))</f>
        <v/>
      </c>
      <c r="AI555" s="245">
        <f>IF(AI$7="Actual","",IF($K555="Yes",IFERROR(AI535*(1+AI$59),0),AI535))</f>
        <v/>
      </c>
      <c r="AJ555" s="245">
        <f>IF(AJ$7="Actual","",IF($K555="Yes",IFERROR(AJ535*(1+AJ$59),0),AJ535))</f>
        <v/>
      </c>
      <c r="AK555" s="245">
        <f>IF(AK$7="Actual","",IF($K555="Yes",IFERROR(AK535*(1+AK$59),0),AK535))</f>
        <v/>
      </c>
      <c r="AL555" s="245">
        <f>IF(AL$7="Actual","",IF($K555="Yes",IFERROR(AL535*(1+AL$59),0),AL535))</f>
        <v/>
      </c>
      <c r="AM555" s="245">
        <f>IF(AM$7="Actual","",IF($K555="Yes",IFERROR(AM535*(1+AM$59),0),AM535))</f>
        <v/>
      </c>
      <c r="AN555" s="245">
        <f>IF(AN$7="Actual","",IF($K555="Yes",IFERROR(AN535*(1+AN$59),0),AN535))</f>
        <v/>
      </c>
      <c r="AO555" s="245">
        <f>IF(AO$7="Actual","",IF($K555="Yes",IFERROR(AO535*(1+AO$59),0),AO535))</f>
        <v/>
      </c>
      <c r="AP555" s="245">
        <f>IF(AP$7="Actual","",IF($K555="Yes",IFERROR(AP535*(1+AP$59),0),AP535))</f>
        <v/>
      </c>
      <c r="AQ555" s="245">
        <f>IF(AQ$7="Actual","",IF($K555="Yes",IFERROR(AQ535*(1+AQ$59),0),AQ535))</f>
        <v/>
      </c>
      <c r="AR555" s="245">
        <f>IF(AR$7="Actual","",IF($K555="Yes",IFERROR(AR535*(1+AR$59),0),AR535))</f>
        <v/>
      </c>
      <c r="AS555" s="245">
        <f>IF(AS$7="Actual","",IF($K555="Yes",IFERROR(AS535*(1+AS$59),0),AS535))</f>
        <v/>
      </c>
      <c r="AT555" s="245">
        <f>IF(AT$7="Actual","",IF($K555="Yes",IFERROR(AT535*(1+AT$59),0),AT535))</f>
        <v/>
      </c>
      <c r="AU555" s="245">
        <f>IF(AU$7="Actual","",IF($K555="Yes",IFERROR(AU535*(1+AU$59),0),AU535))</f>
        <v/>
      </c>
      <c r="AV555" s="245">
        <f>IF(AV$7="Actual","",IF($K555="Yes",IFERROR(AV535*(1+AV$59),0),AV535))</f>
        <v/>
      </c>
      <c r="AW555" s="245">
        <f>IF(AW$7="Actual","",IF($K555="Yes",IFERROR(AW535*(1+AW$59),0),AW535))</f>
        <v/>
      </c>
      <c r="AX555" s="245">
        <f>IF(AX$7="Actual","",IF($K555="Yes",IFERROR(AX535*(1+AX$59),0),AX535))</f>
        <v/>
      </c>
      <c r="AY555" s="245">
        <f>IF(AY$7="Actual","",IF($K555="Yes",IFERROR(AY535*(1+AY$59),0),AY535))</f>
        <v/>
      </c>
      <c r="AZ555" s="245">
        <f>IF(AZ$7="Actual","",IF($K555="Yes",IFERROR(AZ535*(1+AZ$59),0),AZ535))</f>
        <v/>
      </c>
      <c r="BA555" s="245">
        <f>IF(BA$7="Actual","",IF($K555="Yes",IFERROR(BA535*(1+BA$59),0),BA535))</f>
        <v/>
      </c>
      <c r="BB555" s="245">
        <f>IF(BB$7="Actual","",IF($K555="Yes",IFERROR(BB535*(1+BB$59),0),BB535))</f>
        <v/>
      </c>
      <c r="BC555" s="245">
        <f>IF(BC$7="Actual","",IF($K555="Yes",IFERROR(BC535*(1+BC$59),0),BC535))</f>
        <v/>
      </c>
      <c r="BD555" s="245">
        <f>IF(BD$7="Actual","",IF($K555="Yes",IFERROR(BD535*(1+BD$59),0),BD535))</f>
        <v/>
      </c>
      <c r="BE555" s="245">
        <f>IF(BE$7="Actual","",IF($K555="Yes",IFERROR(BE535*(1+BE$59),0),BE535))</f>
        <v/>
      </c>
      <c r="BF555" s="245">
        <f>IF(BF$7="Actual","",IF($K555="Yes",IFERROR(BF535*(1+BF$59),0),BF535))</f>
        <v/>
      </c>
      <c r="BG555" s="245">
        <f>IF(BG$7="Actual","",IF($K555="Yes",IFERROR(BG535*(1+BG$59),0),BG535))</f>
        <v/>
      </c>
      <c r="BH555" s="245">
        <f>IF(BH$7="Actual","",IF($K555="Yes",IFERROR(BH535*(1+BH$59),0),BH535))</f>
        <v/>
      </c>
      <c r="BI555" s="245">
        <f>IF(BI$7="Actual","",IF($K555="Yes",IFERROR(BI535*(1+BI$59),0),BI535))</f>
        <v/>
      </c>
      <c r="BJ555" s="245">
        <f>IF(BJ$7="Actual","",IF($K555="Yes",IFERROR(BJ535*(1+BJ$59),0),BJ535))</f>
        <v/>
      </c>
      <c r="BK555" s="245">
        <f>IF(BK$7="Actual","",IF($K555="Yes",IFERROR(BK535*(1+BK$59),0),BK535))</f>
        <v/>
      </c>
      <c r="BL555" s="245">
        <f>IF(BL$7="Actual","",IF($K555="Yes",IFERROR(BL535*(1+BL$59),0),BL535))</f>
        <v/>
      </c>
      <c r="BM555" s="245">
        <f>IF(BM$7="Actual","",IF($K555="Yes",IFERROR(BM535*(1+BM$59),0),BM535))</f>
        <v/>
      </c>
      <c r="BN555" s="245">
        <f>IF(BN$7="Actual","",IF($K555="Yes",IFERROR(BN535*(1+BN$59),0),BN535))</f>
        <v/>
      </c>
      <c r="BO555" s="245">
        <f>IF(BO$7="Actual","",IF($K555="Yes",IFERROR(BO535*(1+BO$59),0),BO535))</f>
        <v/>
      </c>
      <c r="BP555" s="245">
        <f>IF(BP$7="Actual","",IF($K555="Yes",IFERROR(BP535*(1+BP$59),0),BP535))</f>
        <v/>
      </c>
      <c r="BQ555" s="245">
        <f>IF(BQ$7="Actual","",IF($K555="Yes",IFERROR(BQ535*(1+BQ$59),0),BQ535))</f>
        <v/>
      </c>
      <c r="BR555" s="245">
        <f>IF(BR$7="Actual","",IF($K555="Yes",IFERROR(BR535*(1+BR$59),0),BR535))</f>
        <v/>
      </c>
      <c r="BS555" s="245">
        <f>IF(BS$7="Actual","",IF($K555="Yes",IFERROR(BS535*(1+BS$59),0),BS535))</f>
        <v/>
      </c>
      <c r="BT555" s="245">
        <f>IF(BT$7="Actual","",IF($K555="Yes",IFERROR(BT535*(1+BT$59),0),BT535))</f>
        <v/>
      </c>
      <c r="BU555" s="245">
        <f>IF(BU$7="Actual","",IF($K555="Yes",IFERROR(BU535*(1+BU$59),0),BU535))</f>
        <v/>
      </c>
      <c r="BV555" s="245">
        <f>IF(BV$7="Actual","",IF($K555="Yes",IFERROR(BV535*(1+BV$59),0),BV535))</f>
        <v/>
      </c>
      <c r="BW555" s="245">
        <f>IF(BW$7="Actual","",IF($K555="Yes",IFERROR(BW535*(1+BW$59),0),BW535))</f>
        <v/>
      </c>
      <c r="BX555" s="245">
        <f>IF(BX$7="Actual","",IF($K555="Yes",IFERROR(BX535*(1+BX$59),0),BX535))</f>
        <v/>
      </c>
      <c r="BY555" s="245">
        <f>IF(BY$7="Actual","",IF($K555="Yes",IFERROR(BY535*(1+BY$59),0),BY535))</f>
        <v/>
      </c>
      <c r="BZ555" s="245">
        <f>IF(BZ$7="Actual","",IF($K555="Yes",IFERROR(BZ535*(1+BZ$59),0),BZ535))</f>
        <v/>
      </c>
      <c r="CA555" s="245">
        <f>IF(CA$7="Actual","",IF($K555="Yes",IFERROR(CA535*(1+CA$59),0),CA535))</f>
        <v/>
      </c>
    </row>
    <row r="556" ht="12" customHeight="1" s="227">
      <c r="A556" s="244" t="n"/>
      <c r="B556" s="244" t="n"/>
      <c r="C556" s="244" t="n"/>
      <c r="H556" s="4">
        <f>H536</f>
        <v/>
      </c>
      <c r="I556" s="27">
        <f>i_Setup!$M$16</f>
        <v/>
      </c>
      <c r="K556" s="259">
        <f>i_Setup!P100</f>
        <v/>
      </c>
      <c r="M556" s="245">
        <f>SUMIF($T$4:$CA$4,M$4,$T556:$CA556)</f>
        <v/>
      </c>
      <c r="N556" s="245">
        <f>SUMIF($T$4:$CA$4,N$4,$T556:$CA556)</f>
        <v/>
      </c>
      <c r="O556" s="245">
        <f>SUMIF($T$4:$CA$4,O$4,$T556:$CA556)</f>
        <v/>
      </c>
      <c r="P556" s="245">
        <f>SUMIF($T$4:$CA$4,P$4,$T556:$CA556)</f>
        <v/>
      </c>
      <c r="Q556" s="245">
        <f>SUMIF($T$4:$CA$4,Q$4,$T556:$CA556)</f>
        <v/>
      </c>
      <c r="T556" s="245">
        <f>IF(T$7="Actual","",IF($K556="Yes",IFERROR(T536*(1+T$59),0),T536))</f>
        <v/>
      </c>
      <c r="U556" s="245">
        <f>IF(U$7="Actual","",IF($K556="Yes",IFERROR(U536*(1+U$59),0),U536))</f>
        <v/>
      </c>
      <c r="V556" s="245">
        <f>IF(V$7="Actual","",IF($K556="Yes",IFERROR(V536*(1+V$59),0),V536))</f>
        <v/>
      </c>
      <c r="W556" s="245">
        <f>IF(W$7="Actual","",IF($K556="Yes",IFERROR(W536*(1+W$59),0),W536))</f>
        <v/>
      </c>
      <c r="X556" s="245">
        <f>IF(X$7="Actual","",IF($K556="Yes",IFERROR(X536*(1+X$59),0),X536))</f>
        <v/>
      </c>
      <c r="Y556" s="245">
        <f>IF(Y$7="Actual","",IF($K556="Yes",IFERROR(Y536*(1+Y$59),0),Y536))</f>
        <v/>
      </c>
      <c r="Z556" s="245">
        <f>IF(Z$7="Actual","",IF($K556="Yes",IFERROR(Z536*(1+Z$59),0),Z536))</f>
        <v/>
      </c>
      <c r="AA556" s="245">
        <f>IF(AA$7="Actual","",IF($K556="Yes",IFERROR(AA536*(1+AA$59),0),AA536))</f>
        <v/>
      </c>
      <c r="AB556" s="245">
        <f>IF(AB$7="Actual","",IF($K556="Yes",IFERROR(AB536*(1+AB$59),0),AB536))</f>
        <v/>
      </c>
      <c r="AC556" s="245">
        <f>IF(AC$7="Actual","",IF($K556="Yes",IFERROR(AC536*(1+AC$59),0),AC536))</f>
        <v/>
      </c>
      <c r="AD556" s="245">
        <f>IF(AD$7="Actual","",IF($K556="Yes",IFERROR(AD536*(1+AD$59),0),AD536))</f>
        <v/>
      </c>
      <c r="AE556" s="245">
        <f>IF(AE$7="Actual","",IF($K556="Yes",IFERROR(AE536*(1+AE$59),0),AE536))</f>
        <v/>
      </c>
      <c r="AF556" s="245">
        <f>IF(AF$7="Actual","",IF($K556="Yes",IFERROR(AF536*(1+AF$59),0),AF536))</f>
        <v/>
      </c>
      <c r="AG556" s="245">
        <f>IF(AG$7="Actual","",IF($K556="Yes",IFERROR(AG536*(1+AG$59),0),AG536))</f>
        <v/>
      </c>
      <c r="AH556" s="245">
        <f>IF(AH$7="Actual","",IF($K556="Yes",IFERROR(AH536*(1+AH$59),0),AH536))</f>
        <v/>
      </c>
      <c r="AI556" s="245">
        <f>IF(AI$7="Actual","",IF($K556="Yes",IFERROR(AI536*(1+AI$59),0),AI536))</f>
        <v/>
      </c>
      <c r="AJ556" s="245">
        <f>IF(AJ$7="Actual","",IF($K556="Yes",IFERROR(AJ536*(1+AJ$59),0),AJ536))</f>
        <v/>
      </c>
      <c r="AK556" s="245">
        <f>IF(AK$7="Actual","",IF($K556="Yes",IFERROR(AK536*(1+AK$59),0),AK536))</f>
        <v/>
      </c>
      <c r="AL556" s="245">
        <f>IF(AL$7="Actual","",IF($K556="Yes",IFERROR(AL536*(1+AL$59),0),AL536))</f>
        <v/>
      </c>
      <c r="AM556" s="245">
        <f>IF(AM$7="Actual","",IF($K556="Yes",IFERROR(AM536*(1+AM$59),0),AM536))</f>
        <v/>
      </c>
      <c r="AN556" s="245">
        <f>IF(AN$7="Actual","",IF($K556="Yes",IFERROR(AN536*(1+AN$59),0),AN536))</f>
        <v/>
      </c>
      <c r="AO556" s="245">
        <f>IF(AO$7="Actual","",IF($K556="Yes",IFERROR(AO536*(1+AO$59),0),AO536))</f>
        <v/>
      </c>
      <c r="AP556" s="245">
        <f>IF(AP$7="Actual","",IF($K556="Yes",IFERROR(AP536*(1+AP$59),0),AP536))</f>
        <v/>
      </c>
      <c r="AQ556" s="245">
        <f>IF(AQ$7="Actual","",IF($K556="Yes",IFERROR(AQ536*(1+AQ$59),0),AQ536))</f>
        <v/>
      </c>
      <c r="AR556" s="245">
        <f>IF(AR$7="Actual","",IF($K556="Yes",IFERROR(AR536*(1+AR$59),0),AR536))</f>
        <v/>
      </c>
      <c r="AS556" s="245">
        <f>IF(AS$7="Actual","",IF($K556="Yes",IFERROR(AS536*(1+AS$59),0),AS536))</f>
        <v/>
      </c>
      <c r="AT556" s="245">
        <f>IF(AT$7="Actual","",IF($K556="Yes",IFERROR(AT536*(1+AT$59),0),AT536))</f>
        <v/>
      </c>
      <c r="AU556" s="245">
        <f>IF(AU$7="Actual","",IF($K556="Yes",IFERROR(AU536*(1+AU$59),0),AU536))</f>
        <v/>
      </c>
      <c r="AV556" s="245">
        <f>IF(AV$7="Actual","",IF($K556="Yes",IFERROR(AV536*(1+AV$59),0),AV536))</f>
        <v/>
      </c>
      <c r="AW556" s="245">
        <f>IF(AW$7="Actual","",IF($K556="Yes",IFERROR(AW536*(1+AW$59),0),AW536))</f>
        <v/>
      </c>
      <c r="AX556" s="245">
        <f>IF(AX$7="Actual","",IF($K556="Yes",IFERROR(AX536*(1+AX$59),0),AX536))</f>
        <v/>
      </c>
      <c r="AY556" s="245">
        <f>IF(AY$7="Actual","",IF($K556="Yes",IFERROR(AY536*(1+AY$59),0),AY536))</f>
        <v/>
      </c>
      <c r="AZ556" s="245">
        <f>IF(AZ$7="Actual","",IF($K556="Yes",IFERROR(AZ536*(1+AZ$59),0),AZ536))</f>
        <v/>
      </c>
      <c r="BA556" s="245">
        <f>IF(BA$7="Actual","",IF($K556="Yes",IFERROR(BA536*(1+BA$59),0),BA536))</f>
        <v/>
      </c>
      <c r="BB556" s="245">
        <f>IF(BB$7="Actual","",IF($K556="Yes",IFERROR(BB536*(1+BB$59),0),BB536))</f>
        <v/>
      </c>
      <c r="BC556" s="245">
        <f>IF(BC$7="Actual","",IF($K556="Yes",IFERROR(BC536*(1+BC$59),0),BC536))</f>
        <v/>
      </c>
      <c r="BD556" s="245">
        <f>IF(BD$7="Actual","",IF($K556="Yes",IFERROR(BD536*(1+BD$59),0),BD536))</f>
        <v/>
      </c>
      <c r="BE556" s="245">
        <f>IF(BE$7="Actual","",IF($K556="Yes",IFERROR(BE536*(1+BE$59),0),BE536))</f>
        <v/>
      </c>
      <c r="BF556" s="245">
        <f>IF(BF$7="Actual","",IF($K556="Yes",IFERROR(BF536*(1+BF$59),0),BF536))</f>
        <v/>
      </c>
      <c r="BG556" s="245">
        <f>IF(BG$7="Actual","",IF($K556="Yes",IFERROR(BG536*(1+BG$59),0),BG536))</f>
        <v/>
      </c>
      <c r="BH556" s="245">
        <f>IF(BH$7="Actual","",IF($K556="Yes",IFERROR(BH536*(1+BH$59),0),BH536))</f>
        <v/>
      </c>
      <c r="BI556" s="245">
        <f>IF(BI$7="Actual","",IF($K556="Yes",IFERROR(BI536*(1+BI$59),0),BI536))</f>
        <v/>
      </c>
      <c r="BJ556" s="245">
        <f>IF(BJ$7="Actual","",IF($K556="Yes",IFERROR(BJ536*(1+BJ$59),0),BJ536))</f>
        <v/>
      </c>
      <c r="BK556" s="245">
        <f>IF(BK$7="Actual","",IF($K556="Yes",IFERROR(BK536*(1+BK$59),0),BK536))</f>
        <v/>
      </c>
      <c r="BL556" s="245">
        <f>IF(BL$7="Actual","",IF($K556="Yes",IFERROR(BL536*(1+BL$59),0),BL536))</f>
        <v/>
      </c>
      <c r="BM556" s="245">
        <f>IF(BM$7="Actual","",IF($K556="Yes",IFERROR(BM536*(1+BM$59),0),BM536))</f>
        <v/>
      </c>
      <c r="BN556" s="245">
        <f>IF(BN$7="Actual","",IF($K556="Yes",IFERROR(BN536*(1+BN$59),0),BN536))</f>
        <v/>
      </c>
      <c r="BO556" s="245">
        <f>IF(BO$7="Actual","",IF($K556="Yes",IFERROR(BO536*(1+BO$59),0),BO536))</f>
        <v/>
      </c>
      <c r="BP556" s="245">
        <f>IF(BP$7="Actual","",IF($K556="Yes",IFERROR(BP536*(1+BP$59),0),BP536))</f>
        <v/>
      </c>
      <c r="BQ556" s="245">
        <f>IF(BQ$7="Actual","",IF($K556="Yes",IFERROR(BQ536*(1+BQ$59),0),BQ536))</f>
        <v/>
      </c>
      <c r="BR556" s="245">
        <f>IF(BR$7="Actual","",IF($K556="Yes",IFERROR(BR536*(1+BR$59),0),BR536))</f>
        <v/>
      </c>
      <c r="BS556" s="245">
        <f>IF(BS$7="Actual","",IF($K556="Yes",IFERROR(BS536*(1+BS$59),0),BS536))</f>
        <v/>
      </c>
      <c r="BT556" s="245">
        <f>IF(BT$7="Actual","",IF($K556="Yes",IFERROR(BT536*(1+BT$59),0),BT536))</f>
        <v/>
      </c>
      <c r="BU556" s="245">
        <f>IF(BU$7="Actual","",IF($K556="Yes",IFERROR(BU536*(1+BU$59),0),BU536))</f>
        <v/>
      </c>
      <c r="BV556" s="245">
        <f>IF(BV$7="Actual","",IF($K556="Yes",IFERROR(BV536*(1+BV$59),0),BV536))</f>
        <v/>
      </c>
      <c r="BW556" s="245">
        <f>IF(BW$7="Actual","",IF($K556="Yes",IFERROR(BW536*(1+BW$59),0),BW536))</f>
        <v/>
      </c>
      <c r="BX556" s="245">
        <f>IF(BX$7="Actual","",IF($K556="Yes",IFERROR(BX536*(1+BX$59),0),BX536))</f>
        <v/>
      </c>
      <c r="BY556" s="245">
        <f>IF(BY$7="Actual","",IF($K556="Yes",IFERROR(BY536*(1+BY$59),0),BY536))</f>
        <v/>
      </c>
      <c r="BZ556" s="245">
        <f>IF(BZ$7="Actual","",IF($K556="Yes",IFERROR(BZ536*(1+BZ$59),0),BZ536))</f>
        <v/>
      </c>
      <c r="CA556" s="245">
        <f>IF(CA$7="Actual","",IF($K556="Yes",IFERROR(CA536*(1+CA$59),0),CA536))</f>
        <v/>
      </c>
    </row>
    <row r="557" ht="12" customHeight="1" s="227">
      <c r="A557" s="244" t="n"/>
      <c r="B557" s="244" t="n"/>
      <c r="C557" s="244" t="n"/>
      <c r="H557" s="4">
        <f>H537</f>
        <v/>
      </c>
      <c r="I557" s="27">
        <f>i_Setup!$M$16</f>
        <v/>
      </c>
      <c r="K557" s="259">
        <f>i_Setup!P101</f>
        <v/>
      </c>
      <c r="M557" s="245">
        <f>SUMIF($T$4:$CA$4,M$4,$T557:$CA557)</f>
        <v/>
      </c>
      <c r="N557" s="245">
        <f>SUMIF($T$4:$CA$4,N$4,$T557:$CA557)</f>
        <v/>
      </c>
      <c r="O557" s="245">
        <f>SUMIF($T$4:$CA$4,O$4,$T557:$CA557)</f>
        <v/>
      </c>
      <c r="P557" s="245">
        <f>SUMIF($T$4:$CA$4,P$4,$T557:$CA557)</f>
        <v/>
      </c>
      <c r="Q557" s="245">
        <f>SUMIF($T$4:$CA$4,Q$4,$T557:$CA557)</f>
        <v/>
      </c>
      <c r="T557" s="245">
        <f>IF(T$7="Actual","",IF($K557="Yes",IFERROR(T537*(1+T$59),0),T537))</f>
        <v/>
      </c>
      <c r="U557" s="245">
        <f>IF(U$7="Actual","",IF($K557="Yes",IFERROR(U537*(1+U$59),0),U537))</f>
        <v/>
      </c>
      <c r="V557" s="245">
        <f>IF(V$7="Actual","",IF($K557="Yes",IFERROR(V537*(1+V$59),0),V537))</f>
        <v/>
      </c>
      <c r="W557" s="245">
        <f>IF(W$7="Actual","",IF($K557="Yes",IFERROR(W537*(1+W$59),0),W537))</f>
        <v/>
      </c>
      <c r="X557" s="245">
        <f>IF(X$7="Actual","",IF($K557="Yes",IFERROR(X537*(1+X$59),0),X537))</f>
        <v/>
      </c>
      <c r="Y557" s="245">
        <f>IF(Y$7="Actual","",IF($K557="Yes",IFERROR(Y537*(1+Y$59),0),Y537))</f>
        <v/>
      </c>
      <c r="Z557" s="245">
        <f>IF(Z$7="Actual","",IF($K557="Yes",IFERROR(Z537*(1+Z$59),0),Z537))</f>
        <v/>
      </c>
      <c r="AA557" s="245">
        <f>IF(AA$7="Actual","",IF($K557="Yes",IFERROR(AA537*(1+AA$59),0),AA537))</f>
        <v/>
      </c>
      <c r="AB557" s="245">
        <f>IF(AB$7="Actual","",IF($K557="Yes",IFERROR(AB537*(1+AB$59),0),AB537))</f>
        <v/>
      </c>
      <c r="AC557" s="245">
        <f>IF(AC$7="Actual","",IF($K557="Yes",IFERROR(AC537*(1+AC$59),0),AC537))</f>
        <v/>
      </c>
      <c r="AD557" s="245">
        <f>IF(AD$7="Actual","",IF($K557="Yes",IFERROR(AD537*(1+AD$59),0),AD537))</f>
        <v/>
      </c>
      <c r="AE557" s="245">
        <f>IF(AE$7="Actual","",IF($K557="Yes",IFERROR(AE537*(1+AE$59),0),AE537))</f>
        <v/>
      </c>
      <c r="AF557" s="245">
        <f>IF(AF$7="Actual","",IF($K557="Yes",IFERROR(AF537*(1+AF$59),0),AF537))</f>
        <v/>
      </c>
      <c r="AG557" s="245">
        <f>IF(AG$7="Actual","",IF($K557="Yes",IFERROR(AG537*(1+AG$59),0),AG537))</f>
        <v/>
      </c>
      <c r="AH557" s="245">
        <f>IF(AH$7="Actual","",IF($K557="Yes",IFERROR(AH537*(1+AH$59),0),AH537))</f>
        <v/>
      </c>
      <c r="AI557" s="245">
        <f>IF(AI$7="Actual","",IF($K557="Yes",IFERROR(AI537*(1+AI$59),0),AI537))</f>
        <v/>
      </c>
      <c r="AJ557" s="245">
        <f>IF(AJ$7="Actual","",IF($K557="Yes",IFERROR(AJ537*(1+AJ$59),0),AJ537))</f>
        <v/>
      </c>
      <c r="AK557" s="245">
        <f>IF(AK$7="Actual","",IF($K557="Yes",IFERROR(AK537*(1+AK$59),0),AK537))</f>
        <v/>
      </c>
      <c r="AL557" s="245">
        <f>IF(AL$7="Actual","",IF($K557="Yes",IFERROR(AL537*(1+AL$59),0),AL537))</f>
        <v/>
      </c>
      <c r="AM557" s="245">
        <f>IF(AM$7="Actual","",IF($K557="Yes",IFERROR(AM537*(1+AM$59),0),AM537))</f>
        <v/>
      </c>
      <c r="AN557" s="245">
        <f>IF(AN$7="Actual","",IF($K557="Yes",IFERROR(AN537*(1+AN$59),0),AN537))</f>
        <v/>
      </c>
      <c r="AO557" s="245">
        <f>IF(AO$7="Actual","",IF($K557="Yes",IFERROR(AO537*(1+AO$59),0),AO537))</f>
        <v/>
      </c>
      <c r="AP557" s="245">
        <f>IF(AP$7="Actual","",IF($K557="Yes",IFERROR(AP537*(1+AP$59),0),AP537))</f>
        <v/>
      </c>
      <c r="AQ557" s="245">
        <f>IF(AQ$7="Actual","",IF($K557="Yes",IFERROR(AQ537*(1+AQ$59),0),AQ537))</f>
        <v/>
      </c>
      <c r="AR557" s="245">
        <f>IF(AR$7="Actual","",IF($K557="Yes",IFERROR(AR537*(1+AR$59),0),AR537))</f>
        <v/>
      </c>
      <c r="AS557" s="245">
        <f>IF(AS$7="Actual","",IF($K557="Yes",IFERROR(AS537*(1+AS$59),0),AS537))</f>
        <v/>
      </c>
      <c r="AT557" s="245">
        <f>IF(AT$7="Actual","",IF($K557="Yes",IFERROR(AT537*(1+AT$59),0),AT537))</f>
        <v/>
      </c>
      <c r="AU557" s="245">
        <f>IF(AU$7="Actual","",IF($K557="Yes",IFERROR(AU537*(1+AU$59),0),AU537))</f>
        <v/>
      </c>
      <c r="AV557" s="245">
        <f>IF(AV$7="Actual","",IF($K557="Yes",IFERROR(AV537*(1+AV$59),0),AV537))</f>
        <v/>
      </c>
      <c r="AW557" s="245">
        <f>IF(AW$7="Actual","",IF($K557="Yes",IFERROR(AW537*(1+AW$59),0),AW537))</f>
        <v/>
      </c>
      <c r="AX557" s="245">
        <f>IF(AX$7="Actual","",IF($K557="Yes",IFERROR(AX537*(1+AX$59),0),AX537))</f>
        <v/>
      </c>
      <c r="AY557" s="245">
        <f>IF(AY$7="Actual","",IF($K557="Yes",IFERROR(AY537*(1+AY$59),0),AY537))</f>
        <v/>
      </c>
      <c r="AZ557" s="245">
        <f>IF(AZ$7="Actual","",IF($K557="Yes",IFERROR(AZ537*(1+AZ$59),0),AZ537))</f>
        <v/>
      </c>
      <c r="BA557" s="245">
        <f>IF(BA$7="Actual","",IF($K557="Yes",IFERROR(BA537*(1+BA$59),0),BA537))</f>
        <v/>
      </c>
      <c r="BB557" s="245">
        <f>IF(BB$7="Actual","",IF($K557="Yes",IFERROR(BB537*(1+BB$59),0),BB537))</f>
        <v/>
      </c>
      <c r="BC557" s="245">
        <f>IF(BC$7="Actual","",IF($K557="Yes",IFERROR(BC537*(1+BC$59),0),BC537))</f>
        <v/>
      </c>
      <c r="BD557" s="245">
        <f>IF(BD$7="Actual","",IF($K557="Yes",IFERROR(BD537*(1+BD$59),0),BD537))</f>
        <v/>
      </c>
      <c r="BE557" s="245">
        <f>IF(BE$7="Actual","",IF($K557="Yes",IFERROR(BE537*(1+BE$59),0),BE537))</f>
        <v/>
      </c>
      <c r="BF557" s="245">
        <f>IF(BF$7="Actual","",IF($K557="Yes",IFERROR(BF537*(1+BF$59),0),BF537))</f>
        <v/>
      </c>
      <c r="BG557" s="245">
        <f>IF(BG$7="Actual","",IF($K557="Yes",IFERROR(BG537*(1+BG$59),0),BG537))</f>
        <v/>
      </c>
      <c r="BH557" s="245">
        <f>IF(BH$7="Actual","",IF($K557="Yes",IFERROR(BH537*(1+BH$59),0),BH537))</f>
        <v/>
      </c>
      <c r="BI557" s="245">
        <f>IF(BI$7="Actual","",IF($K557="Yes",IFERROR(BI537*(1+BI$59),0),BI537))</f>
        <v/>
      </c>
      <c r="BJ557" s="245">
        <f>IF(BJ$7="Actual","",IF($K557="Yes",IFERROR(BJ537*(1+BJ$59),0),BJ537))</f>
        <v/>
      </c>
      <c r="BK557" s="245">
        <f>IF(BK$7="Actual","",IF($K557="Yes",IFERROR(BK537*(1+BK$59),0),BK537))</f>
        <v/>
      </c>
      <c r="BL557" s="245">
        <f>IF(BL$7="Actual","",IF($K557="Yes",IFERROR(BL537*(1+BL$59),0),BL537))</f>
        <v/>
      </c>
      <c r="BM557" s="245">
        <f>IF(BM$7="Actual","",IF($K557="Yes",IFERROR(BM537*(1+BM$59),0),BM537))</f>
        <v/>
      </c>
      <c r="BN557" s="245">
        <f>IF(BN$7="Actual","",IF($K557="Yes",IFERROR(BN537*(1+BN$59),0),BN537))</f>
        <v/>
      </c>
      <c r="BO557" s="245">
        <f>IF(BO$7="Actual","",IF($K557="Yes",IFERROR(BO537*(1+BO$59),0),BO537))</f>
        <v/>
      </c>
      <c r="BP557" s="245">
        <f>IF(BP$7="Actual","",IF($K557="Yes",IFERROR(BP537*(1+BP$59),0),BP537))</f>
        <v/>
      </c>
      <c r="BQ557" s="245">
        <f>IF(BQ$7="Actual","",IF($K557="Yes",IFERROR(BQ537*(1+BQ$59),0),BQ537))</f>
        <v/>
      </c>
      <c r="BR557" s="245">
        <f>IF(BR$7="Actual","",IF($K557="Yes",IFERROR(BR537*(1+BR$59),0),BR537))</f>
        <v/>
      </c>
      <c r="BS557" s="245">
        <f>IF(BS$7="Actual","",IF($K557="Yes",IFERROR(BS537*(1+BS$59),0),BS537))</f>
        <v/>
      </c>
      <c r="BT557" s="245">
        <f>IF(BT$7="Actual","",IF($K557="Yes",IFERROR(BT537*(1+BT$59),0),BT537))</f>
        <v/>
      </c>
      <c r="BU557" s="245">
        <f>IF(BU$7="Actual","",IF($K557="Yes",IFERROR(BU537*(1+BU$59),0),BU537))</f>
        <v/>
      </c>
      <c r="BV557" s="245">
        <f>IF(BV$7="Actual","",IF($K557="Yes",IFERROR(BV537*(1+BV$59),0),BV537))</f>
        <v/>
      </c>
      <c r="BW557" s="245">
        <f>IF(BW$7="Actual","",IF($K557="Yes",IFERROR(BW537*(1+BW$59),0),BW537))</f>
        <v/>
      </c>
      <c r="BX557" s="245">
        <f>IF(BX$7="Actual","",IF($K557="Yes",IFERROR(BX537*(1+BX$59),0),BX537))</f>
        <v/>
      </c>
      <c r="BY557" s="245">
        <f>IF(BY$7="Actual","",IF($K557="Yes",IFERROR(BY537*(1+BY$59),0),BY537))</f>
        <v/>
      </c>
      <c r="BZ557" s="245">
        <f>IF(BZ$7="Actual","",IF($K557="Yes",IFERROR(BZ537*(1+BZ$59),0),BZ537))</f>
        <v/>
      </c>
      <c r="CA557" s="245">
        <f>IF(CA$7="Actual","",IF($K557="Yes",IFERROR(CA537*(1+CA$59),0),CA537))</f>
        <v/>
      </c>
    </row>
    <row r="558" ht="12" customHeight="1" s="227">
      <c r="A558" s="244" t="n"/>
      <c r="B558" s="244" t="n"/>
      <c r="C558" s="244" t="n"/>
      <c r="H558" s="4">
        <f>H538</f>
        <v/>
      </c>
      <c r="I558" s="27">
        <f>i_Setup!$M$16</f>
        <v/>
      </c>
      <c r="K558" s="259">
        <f>i_Setup!P102</f>
        <v/>
      </c>
      <c r="M558" s="245">
        <f>SUMIF($T$4:$CA$4,M$4,$T558:$CA558)</f>
        <v/>
      </c>
      <c r="N558" s="245">
        <f>SUMIF($T$4:$CA$4,N$4,$T558:$CA558)</f>
        <v/>
      </c>
      <c r="O558" s="245">
        <f>SUMIF($T$4:$CA$4,O$4,$T558:$CA558)</f>
        <v/>
      </c>
      <c r="P558" s="245">
        <f>SUMIF($T$4:$CA$4,P$4,$T558:$CA558)</f>
        <v/>
      </c>
      <c r="Q558" s="245">
        <f>SUMIF($T$4:$CA$4,Q$4,$T558:$CA558)</f>
        <v/>
      </c>
      <c r="T558" s="245">
        <f>IF(T$7="Actual","",IF($K558="Yes",IFERROR(T538*(1+T$59),0),T538))</f>
        <v/>
      </c>
      <c r="U558" s="245">
        <f>IF(U$7="Actual","",IF($K558="Yes",IFERROR(U538*(1+U$59),0),U538))</f>
        <v/>
      </c>
      <c r="V558" s="245">
        <f>IF(V$7="Actual","",IF($K558="Yes",IFERROR(V538*(1+V$59),0),V538))</f>
        <v/>
      </c>
      <c r="W558" s="245">
        <f>IF(W$7="Actual","",IF($K558="Yes",IFERROR(W538*(1+W$59),0),W538))</f>
        <v/>
      </c>
      <c r="X558" s="245">
        <f>IF(X$7="Actual","",IF($K558="Yes",IFERROR(X538*(1+X$59),0),X538))</f>
        <v/>
      </c>
      <c r="Y558" s="245">
        <f>IF(Y$7="Actual","",IF($K558="Yes",IFERROR(Y538*(1+Y$59),0),Y538))</f>
        <v/>
      </c>
      <c r="Z558" s="245">
        <f>IF(Z$7="Actual","",IF($K558="Yes",IFERROR(Z538*(1+Z$59),0),Z538))</f>
        <v/>
      </c>
      <c r="AA558" s="245">
        <f>IF(AA$7="Actual","",IF($K558="Yes",IFERROR(AA538*(1+AA$59),0),AA538))</f>
        <v/>
      </c>
      <c r="AB558" s="245">
        <f>IF(AB$7="Actual","",IF($K558="Yes",IFERROR(AB538*(1+AB$59),0),AB538))</f>
        <v/>
      </c>
      <c r="AC558" s="245">
        <f>IF(AC$7="Actual","",IF($K558="Yes",IFERROR(AC538*(1+AC$59),0),AC538))</f>
        <v/>
      </c>
      <c r="AD558" s="245">
        <f>IF(AD$7="Actual","",IF($K558="Yes",IFERROR(AD538*(1+AD$59),0),AD538))</f>
        <v/>
      </c>
      <c r="AE558" s="245">
        <f>IF(AE$7="Actual","",IF($K558="Yes",IFERROR(AE538*(1+AE$59),0),AE538))</f>
        <v/>
      </c>
      <c r="AF558" s="245">
        <f>IF(AF$7="Actual","",IF($K558="Yes",IFERROR(AF538*(1+AF$59),0),AF538))</f>
        <v/>
      </c>
      <c r="AG558" s="245">
        <f>IF(AG$7="Actual","",IF($K558="Yes",IFERROR(AG538*(1+AG$59),0),AG538))</f>
        <v/>
      </c>
      <c r="AH558" s="245">
        <f>IF(AH$7="Actual","",IF($K558="Yes",IFERROR(AH538*(1+AH$59),0),AH538))</f>
        <v/>
      </c>
      <c r="AI558" s="245">
        <f>IF(AI$7="Actual","",IF($K558="Yes",IFERROR(AI538*(1+AI$59),0),AI538))</f>
        <v/>
      </c>
      <c r="AJ558" s="245">
        <f>IF(AJ$7="Actual","",IF($K558="Yes",IFERROR(AJ538*(1+AJ$59),0),AJ538))</f>
        <v/>
      </c>
      <c r="AK558" s="245">
        <f>IF(AK$7="Actual","",IF($K558="Yes",IFERROR(AK538*(1+AK$59),0),AK538))</f>
        <v/>
      </c>
      <c r="AL558" s="245">
        <f>IF(AL$7="Actual","",IF($K558="Yes",IFERROR(AL538*(1+AL$59),0),AL538))</f>
        <v/>
      </c>
      <c r="AM558" s="245">
        <f>IF(AM$7="Actual","",IF($K558="Yes",IFERROR(AM538*(1+AM$59),0),AM538))</f>
        <v/>
      </c>
      <c r="AN558" s="245">
        <f>IF(AN$7="Actual","",IF($K558="Yes",IFERROR(AN538*(1+AN$59),0),AN538))</f>
        <v/>
      </c>
      <c r="AO558" s="245">
        <f>IF(AO$7="Actual","",IF($K558="Yes",IFERROR(AO538*(1+AO$59),0),AO538))</f>
        <v/>
      </c>
      <c r="AP558" s="245">
        <f>IF(AP$7="Actual","",IF($K558="Yes",IFERROR(AP538*(1+AP$59),0),AP538))</f>
        <v/>
      </c>
      <c r="AQ558" s="245">
        <f>IF(AQ$7="Actual","",IF($K558="Yes",IFERROR(AQ538*(1+AQ$59),0),AQ538))</f>
        <v/>
      </c>
      <c r="AR558" s="245">
        <f>IF(AR$7="Actual","",IF($K558="Yes",IFERROR(AR538*(1+AR$59),0),AR538))</f>
        <v/>
      </c>
      <c r="AS558" s="245">
        <f>IF(AS$7="Actual","",IF($K558="Yes",IFERROR(AS538*(1+AS$59),0),AS538))</f>
        <v/>
      </c>
      <c r="AT558" s="245">
        <f>IF(AT$7="Actual","",IF($K558="Yes",IFERROR(AT538*(1+AT$59),0),AT538))</f>
        <v/>
      </c>
      <c r="AU558" s="245">
        <f>IF(AU$7="Actual","",IF($K558="Yes",IFERROR(AU538*(1+AU$59),0),AU538))</f>
        <v/>
      </c>
      <c r="AV558" s="245">
        <f>IF(AV$7="Actual","",IF($K558="Yes",IFERROR(AV538*(1+AV$59),0),AV538))</f>
        <v/>
      </c>
      <c r="AW558" s="245">
        <f>IF(AW$7="Actual","",IF($K558="Yes",IFERROR(AW538*(1+AW$59),0),AW538))</f>
        <v/>
      </c>
      <c r="AX558" s="245">
        <f>IF(AX$7="Actual","",IF($K558="Yes",IFERROR(AX538*(1+AX$59),0),AX538))</f>
        <v/>
      </c>
      <c r="AY558" s="245">
        <f>IF(AY$7="Actual","",IF($K558="Yes",IFERROR(AY538*(1+AY$59),0),AY538))</f>
        <v/>
      </c>
      <c r="AZ558" s="245">
        <f>IF(AZ$7="Actual","",IF($K558="Yes",IFERROR(AZ538*(1+AZ$59),0),AZ538))</f>
        <v/>
      </c>
      <c r="BA558" s="245">
        <f>IF(BA$7="Actual","",IF($K558="Yes",IFERROR(BA538*(1+BA$59),0),BA538))</f>
        <v/>
      </c>
      <c r="BB558" s="245">
        <f>IF(BB$7="Actual","",IF($K558="Yes",IFERROR(BB538*(1+BB$59),0),BB538))</f>
        <v/>
      </c>
      <c r="BC558" s="245">
        <f>IF(BC$7="Actual","",IF($K558="Yes",IFERROR(BC538*(1+BC$59),0),BC538))</f>
        <v/>
      </c>
      <c r="BD558" s="245">
        <f>IF(BD$7="Actual","",IF($K558="Yes",IFERROR(BD538*(1+BD$59),0),BD538))</f>
        <v/>
      </c>
      <c r="BE558" s="245">
        <f>IF(BE$7="Actual","",IF($K558="Yes",IFERROR(BE538*(1+BE$59),0),BE538))</f>
        <v/>
      </c>
      <c r="BF558" s="245">
        <f>IF(BF$7="Actual","",IF($K558="Yes",IFERROR(BF538*(1+BF$59),0),BF538))</f>
        <v/>
      </c>
      <c r="BG558" s="245">
        <f>IF(BG$7="Actual","",IF($K558="Yes",IFERROR(BG538*(1+BG$59),0),BG538))</f>
        <v/>
      </c>
      <c r="BH558" s="245">
        <f>IF(BH$7="Actual","",IF($K558="Yes",IFERROR(BH538*(1+BH$59),0),BH538))</f>
        <v/>
      </c>
      <c r="BI558" s="245">
        <f>IF(BI$7="Actual","",IF($K558="Yes",IFERROR(BI538*(1+BI$59),0),BI538))</f>
        <v/>
      </c>
      <c r="BJ558" s="245">
        <f>IF(BJ$7="Actual","",IF($K558="Yes",IFERROR(BJ538*(1+BJ$59),0),BJ538))</f>
        <v/>
      </c>
      <c r="BK558" s="245">
        <f>IF(BK$7="Actual","",IF($K558="Yes",IFERROR(BK538*(1+BK$59),0),BK538))</f>
        <v/>
      </c>
      <c r="BL558" s="245">
        <f>IF(BL$7="Actual","",IF($K558="Yes",IFERROR(BL538*(1+BL$59),0),BL538))</f>
        <v/>
      </c>
      <c r="BM558" s="245">
        <f>IF(BM$7="Actual","",IF($K558="Yes",IFERROR(BM538*(1+BM$59),0),BM538))</f>
        <v/>
      </c>
      <c r="BN558" s="245">
        <f>IF(BN$7="Actual","",IF($K558="Yes",IFERROR(BN538*(1+BN$59),0),BN538))</f>
        <v/>
      </c>
      <c r="BO558" s="245">
        <f>IF(BO$7="Actual","",IF($K558="Yes",IFERROR(BO538*(1+BO$59),0),BO538))</f>
        <v/>
      </c>
      <c r="BP558" s="245">
        <f>IF(BP$7="Actual","",IF($K558="Yes",IFERROR(BP538*(1+BP$59),0),BP538))</f>
        <v/>
      </c>
      <c r="BQ558" s="245">
        <f>IF(BQ$7="Actual","",IF($K558="Yes",IFERROR(BQ538*(1+BQ$59),0),BQ538))</f>
        <v/>
      </c>
      <c r="BR558" s="245">
        <f>IF(BR$7="Actual","",IF($K558="Yes",IFERROR(BR538*(1+BR$59),0),BR538))</f>
        <v/>
      </c>
      <c r="BS558" s="245">
        <f>IF(BS$7="Actual","",IF($K558="Yes",IFERROR(BS538*(1+BS$59),0),BS538))</f>
        <v/>
      </c>
      <c r="BT558" s="245">
        <f>IF(BT$7="Actual","",IF($K558="Yes",IFERROR(BT538*(1+BT$59),0),BT538))</f>
        <v/>
      </c>
      <c r="BU558" s="245">
        <f>IF(BU$7="Actual","",IF($K558="Yes",IFERROR(BU538*(1+BU$59),0),BU538))</f>
        <v/>
      </c>
      <c r="BV558" s="245">
        <f>IF(BV$7="Actual","",IF($K558="Yes",IFERROR(BV538*(1+BV$59),0),BV538))</f>
        <v/>
      </c>
      <c r="BW558" s="245">
        <f>IF(BW$7="Actual","",IF($K558="Yes",IFERROR(BW538*(1+BW$59),0),BW538))</f>
        <v/>
      </c>
      <c r="BX558" s="245">
        <f>IF(BX$7="Actual","",IF($K558="Yes",IFERROR(BX538*(1+BX$59),0),BX538))</f>
        <v/>
      </c>
      <c r="BY558" s="245">
        <f>IF(BY$7="Actual","",IF($K558="Yes",IFERROR(BY538*(1+BY$59),0),BY538))</f>
        <v/>
      </c>
      <c r="BZ558" s="245">
        <f>IF(BZ$7="Actual","",IF($K558="Yes",IFERROR(BZ538*(1+BZ$59),0),BZ538))</f>
        <v/>
      </c>
      <c r="CA558" s="245">
        <f>IF(CA$7="Actual","",IF($K558="Yes",IFERROR(CA538*(1+CA$59),0),CA538))</f>
        <v/>
      </c>
    </row>
    <row r="559" ht="12" customHeight="1" s="227">
      <c r="A559" s="244" t="n"/>
      <c r="B559" s="244" t="n"/>
      <c r="C559" s="244" t="n"/>
      <c r="H559" s="4">
        <f>H539</f>
        <v/>
      </c>
      <c r="I559" s="27">
        <f>i_Setup!$M$16</f>
        <v/>
      </c>
      <c r="K559" s="259">
        <f>i_Setup!P103</f>
        <v/>
      </c>
      <c r="M559" s="245">
        <f>SUMIF($T$4:$CA$4,M$4,$T559:$CA559)</f>
        <v/>
      </c>
      <c r="N559" s="245">
        <f>SUMIF($T$4:$CA$4,N$4,$T559:$CA559)</f>
        <v/>
      </c>
      <c r="O559" s="245">
        <f>SUMIF($T$4:$CA$4,O$4,$T559:$CA559)</f>
        <v/>
      </c>
      <c r="P559" s="245">
        <f>SUMIF($T$4:$CA$4,P$4,$T559:$CA559)</f>
        <v/>
      </c>
      <c r="Q559" s="245">
        <f>SUMIF($T$4:$CA$4,Q$4,$T559:$CA559)</f>
        <v/>
      </c>
      <c r="T559" s="245">
        <f>IF(T$7="Actual","",IF($K559="Yes",IFERROR(T539*(1+T$59),0),T539))</f>
        <v/>
      </c>
      <c r="U559" s="245">
        <f>IF(U$7="Actual","",IF($K559="Yes",IFERROR(U539*(1+U$59),0),U539))</f>
        <v/>
      </c>
      <c r="V559" s="245">
        <f>IF(V$7="Actual","",IF($K559="Yes",IFERROR(V539*(1+V$59),0),V539))</f>
        <v/>
      </c>
      <c r="W559" s="245">
        <f>IF(W$7="Actual","",IF($K559="Yes",IFERROR(W539*(1+W$59),0),W539))</f>
        <v/>
      </c>
      <c r="X559" s="245">
        <f>IF(X$7="Actual","",IF($K559="Yes",IFERROR(X539*(1+X$59),0),X539))</f>
        <v/>
      </c>
      <c r="Y559" s="245">
        <f>IF(Y$7="Actual","",IF($K559="Yes",IFERROR(Y539*(1+Y$59),0),Y539))</f>
        <v/>
      </c>
      <c r="Z559" s="245">
        <f>IF(Z$7="Actual","",IF($K559="Yes",IFERROR(Z539*(1+Z$59),0),Z539))</f>
        <v/>
      </c>
      <c r="AA559" s="245">
        <f>IF(AA$7="Actual","",IF($K559="Yes",IFERROR(AA539*(1+AA$59),0),AA539))</f>
        <v/>
      </c>
      <c r="AB559" s="245">
        <f>IF(AB$7="Actual","",IF($K559="Yes",IFERROR(AB539*(1+AB$59),0),AB539))</f>
        <v/>
      </c>
      <c r="AC559" s="245">
        <f>IF(AC$7="Actual","",IF($K559="Yes",IFERROR(AC539*(1+AC$59),0),AC539))</f>
        <v/>
      </c>
      <c r="AD559" s="245">
        <f>IF(AD$7="Actual","",IF($K559="Yes",IFERROR(AD539*(1+AD$59),0),AD539))</f>
        <v/>
      </c>
      <c r="AE559" s="245">
        <f>IF(AE$7="Actual","",IF($K559="Yes",IFERROR(AE539*(1+AE$59),0),AE539))</f>
        <v/>
      </c>
      <c r="AF559" s="245">
        <f>IF(AF$7="Actual","",IF($K559="Yes",IFERROR(AF539*(1+AF$59),0),AF539))</f>
        <v/>
      </c>
      <c r="AG559" s="245">
        <f>IF(AG$7="Actual","",IF($K559="Yes",IFERROR(AG539*(1+AG$59),0),AG539))</f>
        <v/>
      </c>
      <c r="AH559" s="245">
        <f>IF(AH$7="Actual","",IF($K559="Yes",IFERROR(AH539*(1+AH$59),0),AH539))</f>
        <v/>
      </c>
      <c r="AI559" s="245">
        <f>IF(AI$7="Actual","",IF($K559="Yes",IFERROR(AI539*(1+AI$59),0),AI539))</f>
        <v/>
      </c>
      <c r="AJ559" s="245">
        <f>IF(AJ$7="Actual","",IF($K559="Yes",IFERROR(AJ539*(1+AJ$59),0),AJ539))</f>
        <v/>
      </c>
      <c r="AK559" s="245">
        <f>IF(AK$7="Actual","",IF($K559="Yes",IFERROR(AK539*(1+AK$59),0),AK539))</f>
        <v/>
      </c>
      <c r="AL559" s="245">
        <f>IF(AL$7="Actual","",IF($K559="Yes",IFERROR(AL539*(1+AL$59),0),AL539))</f>
        <v/>
      </c>
      <c r="AM559" s="245">
        <f>IF(AM$7="Actual","",IF($K559="Yes",IFERROR(AM539*(1+AM$59),0),AM539))</f>
        <v/>
      </c>
      <c r="AN559" s="245">
        <f>IF(AN$7="Actual","",IF($K559="Yes",IFERROR(AN539*(1+AN$59),0),AN539))</f>
        <v/>
      </c>
      <c r="AO559" s="245">
        <f>IF(AO$7="Actual","",IF($K559="Yes",IFERROR(AO539*(1+AO$59),0),AO539))</f>
        <v/>
      </c>
      <c r="AP559" s="245">
        <f>IF(AP$7="Actual","",IF($K559="Yes",IFERROR(AP539*(1+AP$59),0),AP539))</f>
        <v/>
      </c>
      <c r="AQ559" s="245">
        <f>IF(AQ$7="Actual","",IF($K559="Yes",IFERROR(AQ539*(1+AQ$59),0),AQ539))</f>
        <v/>
      </c>
      <c r="AR559" s="245">
        <f>IF(AR$7="Actual","",IF($K559="Yes",IFERROR(AR539*(1+AR$59),0),AR539))</f>
        <v/>
      </c>
      <c r="AS559" s="245">
        <f>IF(AS$7="Actual","",IF($K559="Yes",IFERROR(AS539*(1+AS$59),0),AS539))</f>
        <v/>
      </c>
      <c r="AT559" s="245">
        <f>IF(AT$7="Actual","",IF($K559="Yes",IFERROR(AT539*(1+AT$59),0),AT539))</f>
        <v/>
      </c>
      <c r="AU559" s="245">
        <f>IF(AU$7="Actual","",IF($K559="Yes",IFERROR(AU539*(1+AU$59),0),AU539))</f>
        <v/>
      </c>
      <c r="AV559" s="245">
        <f>IF(AV$7="Actual","",IF($K559="Yes",IFERROR(AV539*(1+AV$59),0),AV539))</f>
        <v/>
      </c>
      <c r="AW559" s="245">
        <f>IF(AW$7="Actual","",IF($K559="Yes",IFERROR(AW539*(1+AW$59),0),AW539))</f>
        <v/>
      </c>
      <c r="AX559" s="245">
        <f>IF(AX$7="Actual","",IF($K559="Yes",IFERROR(AX539*(1+AX$59),0),AX539))</f>
        <v/>
      </c>
      <c r="AY559" s="245">
        <f>IF(AY$7="Actual","",IF($K559="Yes",IFERROR(AY539*(1+AY$59),0),AY539))</f>
        <v/>
      </c>
      <c r="AZ559" s="245">
        <f>IF(AZ$7="Actual","",IF($K559="Yes",IFERROR(AZ539*(1+AZ$59),0),AZ539))</f>
        <v/>
      </c>
      <c r="BA559" s="245">
        <f>IF(BA$7="Actual","",IF($K559="Yes",IFERROR(BA539*(1+BA$59),0),BA539))</f>
        <v/>
      </c>
      <c r="BB559" s="245">
        <f>IF(BB$7="Actual","",IF($K559="Yes",IFERROR(BB539*(1+BB$59),0),BB539))</f>
        <v/>
      </c>
      <c r="BC559" s="245">
        <f>IF(BC$7="Actual","",IF($K559="Yes",IFERROR(BC539*(1+BC$59),0),BC539))</f>
        <v/>
      </c>
      <c r="BD559" s="245">
        <f>IF(BD$7="Actual","",IF($K559="Yes",IFERROR(BD539*(1+BD$59),0),BD539))</f>
        <v/>
      </c>
      <c r="BE559" s="245">
        <f>IF(BE$7="Actual","",IF($K559="Yes",IFERROR(BE539*(1+BE$59),0),BE539))</f>
        <v/>
      </c>
      <c r="BF559" s="245">
        <f>IF(BF$7="Actual","",IF($K559="Yes",IFERROR(BF539*(1+BF$59),0),BF539))</f>
        <v/>
      </c>
      <c r="BG559" s="245">
        <f>IF(BG$7="Actual","",IF($K559="Yes",IFERROR(BG539*(1+BG$59),0),BG539))</f>
        <v/>
      </c>
      <c r="BH559" s="245">
        <f>IF(BH$7="Actual","",IF($K559="Yes",IFERROR(BH539*(1+BH$59),0),BH539))</f>
        <v/>
      </c>
      <c r="BI559" s="245">
        <f>IF(BI$7="Actual","",IF($K559="Yes",IFERROR(BI539*(1+BI$59),0),BI539))</f>
        <v/>
      </c>
      <c r="BJ559" s="245">
        <f>IF(BJ$7="Actual","",IF($K559="Yes",IFERROR(BJ539*(1+BJ$59),0),BJ539))</f>
        <v/>
      </c>
      <c r="BK559" s="245">
        <f>IF(BK$7="Actual","",IF($K559="Yes",IFERROR(BK539*(1+BK$59),0),BK539))</f>
        <v/>
      </c>
      <c r="BL559" s="245">
        <f>IF(BL$7="Actual","",IF($K559="Yes",IFERROR(BL539*(1+BL$59),0),BL539))</f>
        <v/>
      </c>
      <c r="BM559" s="245">
        <f>IF(BM$7="Actual","",IF($K559="Yes",IFERROR(BM539*(1+BM$59),0),BM539))</f>
        <v/>
      </c>
      <c r="BN559" s="245">
        <f>IF(BN$7="Actual","",IF($K559="Yes",IFERROR(BN539*(1+BN$59),0),BN539))</f>
        <v/>
      </c>
      <c r="BO559" s="245">
        <f>IF(BO$7="Actual","",IF($K559="Yes",IFERROR(BO539*(1+BO$59),0),BO539))</f>
        <v/>
      </c>
      <c r="BP559" s="245">
        <f>IF(BP$7="Actual","",IF($K559="Yes",IFERROR(BP539*(1+BP$59),0),BP539))</f>
        <v/>
      </c>
      <c r="BQ559" s="245">
        <f>IF(BQ$7="Actual","",IF($K559="Yes",IFERROR(BQ539*(1+BQ$59),0),BQ539))</f>
        <v/>
      </c>
      <c r="BR559" s="245">
        <f>IF(BR$7="Actual","",IF($K559="Yes",IFERROR(BR539*(1+BR$59),0),BR539))</f>
        <v/>
      </c>
      <c r="BS559" s="245">
        <f>IF(BS$7="Actual","",IF($K559="Yes",IFERROR(BS539*(1+BS$59),0),BS539))</f>
        <v/>
      </c>
      <c r="BT559" s="245">
        <f>IF(BT$7="Actual","",IF($K559="Yes",IFERROR(BT539*(1+BT$59),0),BT539))</f>
        <v/>
      </c>
      <c r="BU559" s="245">
        <f>IF(BU$7="Actual","",IF($K559="Yes",IFERROR(BU539*(1+BU$59),0),BU539))</f>
        <v/>
      </c>
      <c r="BV559" s="245">
        <f>IF(BV$7="Actual","",IF($K559="Yes",IFERROR(BV539*(1+BV$59),0),BV539))</f>
        <v/>
      </c>
      <c r="BW559" s="245">
        <f>IF(BW$7="Actual","",IF($K559="Yes",IFERROR(BW539*(1+BW$59),0),BW539))</f>
        <v/>
      </c>
      <c r="BX559" s="245">
        <f>IF(BX$7="Actual","",IF($K559="Yes",IFERROR(BX539*(1+BX$59),0),BX539))</f>
        <v/>
      </c>
      <c r="BY559" s="245">
        <f>IF(BY$7="Actual","",IF($K559="Yes",IFERROR(BY539*(1+BY$59),0),BY539))</f>
        <v/>
      </c>
      <c r="BZ559" s="245">
        <f>IF(BZ$7="Actual","",IF($K559="Yes",IFERROR(BZ539*(1+BZ$59),0),BZ539))</f>
        <v/>
      </c>
      <c r="CA559" s="245">
        <f>IF(CA$7="Actual","",IF($K559="Yes",IFERROR(CA539*(1+CA$59),0),CA539))</f>
        <v/>
      </c>
    </row>
    <row r="560" ht="12" customHeight="1" s="227">
      <c r="A560" s="244" t="n"/>
      <c r="B560" s="244" t="n"/>
      <c r="C560" s="244" t="n"/>
      <c r="H560" s="4">
        <f>H540</f>
        <v/>
      </c>
      <c r="I560" s="27">
        <f>i_Setup!$M$16</f>
        <v/>
      </c>
      <c r="K560" s="259">
        <f>i_Setup!P104</f>
        <v/>
      </c>
      <c r="M560" s="245">
        <f>SUMIF($T$4:$CA$4,M$4,$T560:$CA560)</f>
        <v/>
      </c>
      <c r="N560" s="245">
        <f>SUMIF($T$4:$CA$4,N$4,$T560:$CA560)</f>
        <v/>
      </c>
      <c r="O560" s="245">
        <f>SUMIF($T$4:$CA$4,O$4,$T560:$CA560)</f>
        <v/>
      </c>
      <c r="P560" s="245">
        <f>SUMIF($T$4:$CA$4,P$4,$T560:$CA560)</f>
        <v/>
      </c>
      <c r="Q560" s="245">
        <f>SUMIF($T$4:$CA$4,Q$4,$T560:$CA560)</f>
        <v/>
      </c>
      <c r="T560" s="245">
        <f>IF(T$7="Actual","",IF($K560="Yes",IFERROR(T540*(1+T$59),0),T540))</f>
        <v/>
      </c>
      <c r="U560" s="245">
        <f>IF(U$7="Actual","",IF($K560="Yes",IFERROR(U540*(1+U$59),0),U540))</f>
        <v/>
      </c>
      <c r="V560" s="245">
        <f>IF(V$7="Actual","",IF($K560="Yes",IFERROR(V540*(1+V$59),0),V540))</f>
        <v/>
      </c>
      <c r="W560" s="245">
        <f>IF(W$7="Actual","",IF($K560="Yes",IFERROR(W540*(1+W$59),0),W540))</f>
        <v/>
      </c>
      <c r="X560" s="245">
        <f>IF(X$7="Actual","",IF($K560="Yes",IFERROR(X540*(1+X$59),0),X540))</f>
        <v/>
      </c>
      <c r="Y560" s="245">
        <f>IF(Y$7="Actual","",IF($K560="Yes",IFERROR(Y540*(1+Y$59),0),Y540))</f>
        <v/>
      </c>
      <c r="Z560" s="245">
        <f>IF(Z$7="Actual","",IF($K560="Yes",IFERROR(Z540*(1+Z$59),0),Z540))</f>
        <v/>
      </c>
      <c r="AA560" s="245">
        <f>IF(AA$7="Actual","",IF($K560="Yes",IFERROR(AA540*(1+AA$59),0),AA540))</f>
        <v/>
      </c>
      <c r="AB560" s="245">
        <f>IF(AB$7="Actual","",IF($K560="Yes",IFERROR(AB540*(1+AB$59),0),AB540))</f>
        <v/>
      </c>
      <c r="AC560" s="245">
        <f>IF(AC$7="Actual","",IF($K560="Yes",IFERROR(AC540*(1+AC$59),0),AC540))</f>
        <v/>
      </c>
      <c r="AD560" s="245">
        <f>IF(AD$7="Actual","",IF($K560="Yes",IFERROR(AD540*(1+AD$59),0),AD540))</f>
        <v/>
      </c>
      <c r="AE560" s="245">
        <f>IF(AE$7="Actual","",IF($K560="Yes",IFERROR(AE540*(1+AE$59),0),AE540))</f>
        <v/>
      </c>
      <c r="AF560" s="245">
        <f>IF(AF$7="Actual","",IF($K560="Yes",IFERROR(AF540*(1+AF$59),0),AF540))</f>
        <v/>
      </c>
      <c r="AG560" s="245">
        <f>IF(AG$7="Actual","",IF($K560="Yes",IFERROR(AG540*(1+AG$59),0),AG540))</f>
        <v/>
      </c>
      <c r="AH560" s="245">
        <f>IF(AH$7="Actual","",IF($K560="Yes",IFERROR(AH540*(1+AH$59),0),AH540))</f>
        <v/>
      </c>
      <c r="AI560" s="245">
        <f>IF(AI$7="Actual","",IF($K560="Yes",IFERROR(AI540*(1+AI$59),0),AI540))</f>
        <v/>
      </c>
      <c r="AJ560" s="245">
        <f>IF(AJ$7="Actual","",IF($K560="Yes",IFERROR(AJ540*(1+AJ$59),0),AJ540))</f>
        <v/>
      </c>
      <c r="AK560" s="245">
        <f>IF(AK$7="Actual","",IF($K560="Yes",IFERROR(AK540*(1+AK$59),0),AK540))</f>
        <v/>
      </c>
      <c r="AL560" s="245">
        <f>IF(AL$7="Actual","",IF($K560="Yes",IFERROR(AL540*(1+AL$59),0),AL540))</f>
        <v/>
      </c>
      <c r="AM560" s="245">
        <f>IF(AM$7="Actual","",IF($K560="Yes",IFERROR(AM540*(1+AM$59),0),AM540))</f>
        <v/>
      </c>
      <c r="AN560" s="245">
        <f>IF(AN$7="Actual","",IF($K560="Yes",IFERROR(AN540*(1+AN$59),0),AN540))</f>
        <v/>
      </c>
      <c r="AO560" s="245">
        <f>IF(AO$7="Actual","",IF($K560="Yes",IFERROR(AO540*(1+AO$59),0),AO540))</f>
        <v/>
      </c>
      <c r="AP560" s="245">
        <f>IF(AP$7="Actual","",IF($K560="Yes",IFERROR(AP540*(1+AP$59),0),AP540))</f>
        <v/>
      </c>
      <c r="AQ560" s="245">
        <f>IF(AQ$7="Actual","",IF($K560="Yes",IFERROR(AQ540*(1+AQ$59),0),AQ540))</f>
        <v/>
      </c>
      <c r="AR560" s="245">
        <f>IF(AR$7="Actual","",IF($K560="Yes",IFERROR(AR540*(1+AR$59),0),AR540))</f>
        <v/>
      </c>
      <c r="AS560" s="245">
        <f>IF(AS$7="Actual","",IF($K560="Yes",IFERROR(AS540*(1+AS$59),0),AS540))</f>
        <v/>
      </c>
      <c r="AT560" s="245">
        <f>IF(AT$7="Actual","",IF($K560="Yes",IFERROR(AT540*(1+AT$59),0),AT540))</f>
        <v/>
      </c>
      <c r="AU560" s="245">
        <f>IF(AU$7="Actual","",IF($K560="Yes",IFERROR(AU540*(1+AU$59),0),AU540))</f>
        <v/>
      </c>
      <c r="AV560" s="245">
        <f>IF(AV$7="Actual","",IF($K560="Yes",IFERROR(AV540*(1+AV$59),0),AV540))</f>
        <v/>
      </c>
      <c r="AW560" s="245">
        <f>IF(AW$7="Actual","",IF($K560="Yes",IFERROR(AW540*(1+AW$59),0),AW540))</f>
        <v/>
      </c>
      <c r="AX560" s="245">
        <f>IF(AX$7="Actual","",IF($K560="Yes",IFERROR(AX540*(1+AX$59),0),AX540))</f>
        <v/>
      </c>
      <c r="AY560" s="245">
        <f>IF(AY$7="Actual","",IF($K560="Yes",IFERROR(AY540*(1+AY$59),0),AY540))</f>
        <v/>
      </c>
      <c r="AZ560" s="245">
        <f>IF(AZ$7="Actual","",IF($K560="Yes",IFERROR(AZ540*(1+AZ$59),0),AZ540))</f>
        <v/>
      </c>
      <c r="BA560" s="245">
        <f>IF(BA$7="Actual","",IF($K560="Yes",IFERROR(BA540*(1+BA$59),0),BA540))</f>
        <v/>
      </c>
      <c r="BB560" s="245">
        <f>IF(BB$7="Actual","",IF($K560="Yes",IFERROR(BB540*(1+BB$59),0),BB540))</f>
        <v/>
      </c>
      <c r="BC560" s="245">
        <f>IF(BC$7="Actual","",IF($K560="Yes",IFERROR(BC540*(1+BC$59),0),BC540))</f>
        <v/>
      </c>
      <c r="BD560" s="245">
        <f>IF(BD$7="Actual","",IF($K560="Yes",IFERROR(BD540*(1+BD$59),0),BD540))</f>
        <v/>
      </c>
      <c r="BE560" s="245">
        <f>IF(BE$7="Actual","",IF($K560="Yes",IFERROR(BE540*(1+BE$59),0),BE540))</f>
        <v/>
      </c>
      <c r="BF560" s="245">
        <f>IF(BF$7="Actual","",IF($K560="Yes",IFERROR(BF540*(1+BF$59),0),BF540))</f>
        <v/>
      </c>
      <c r="BG560" s="245">
        <f>IF(BG$7="Actual","",IF($K560="Yes",IFERROR(BG540*(1+BG$59),0),BG540))</f>
        <v/>
      </c>
      <c r="BH560" s="245">
        <f>IF(BH$7="Actual","",IF($K560="Yes",IFERROR(BH540*(1+BH$59),0),BH540))</f>
        <v/>
      </c>
      <c r="BI560" s="245">
        <f>IF(BI$7="Actual","",IF($K560="Yes",IFERROR(BI540*(1+BI$59),0),BI540))</f>
        <v/>
      </c>
      <c r="BJ560" s="245">
        <f>IF(BJ$7="Actual","",IF($K560="Yes",IFERROR(BJ540*(1+BJ$59),0),BJ540))</f>
        <v/>
      </c>
      <c r="BK560" s="245">
        <f>IF(BK$7="Actual","",IF($K560="Yes",IFERROR(BK540*(1+BK$59),0),BK540))</f>
        <v/>
      </c>
      <c r="BL560" s="245">
        <f>IF(BL$7="Actual","",IF($K560="Yes",IFERROR(BL540*(1+BL$59),0),BL540))</f>
        <v/>
      </c>
      <c r="BM560" s="245">
        <f>IF(BM$7="Actual","",IF($K560="Yes",IFERROR(BM540*(1+BM$59),0),BM540))</f>
        <v/>
      </c>
      <c r="BN560" s="245">
        <f>IF(BN$7="Actual","",IF($K560="Yes",IFERROR(BN540*(1+BN$59),0),BN540))</f>
        <v/>
      </c>
      <c r="BO560" s="245">
        <f>IF(BO$7="Actual","",IF($K560="Yes",IFERROR(BO540*(1+BO$59),0),BO540))</f>
        <v/>
      </c>
      <c r="BP560" s="245">
        <f>IF(BP$7="Actual","",IF($K560="Yes",IFERROR(BP540*(1+BP$59),0),BP540))</f>
        <v/>
      </c>
      <c r="BQ560" s="245">
        <f>IF(BQ$7="Actual","",IF($K560="Yes",IFERROR(BQ540*(1+BQ$59),0),BQ540))</f>
        <v/>
      </c>
      <c r="BR560" s="245">
        <f>IF(BR$7="Actual","",IF($K560="Yes",IFERROR(BR540*(1+BR$59),0),BR540))</f>
        <v/>
      </c>
      <c r="BS560" s="245">
        <f>IF(BS$7="Actual","",IF($K560="Yes",IFERROR(BS540*(1+BS$59),0),BS540))</f>
        <v/>
      </c>
      <c r="BT560" s="245">
        <f>IF(BT$7="Actual","",IF($K560="Yes",IFERROR(BT540*(1+BT$59),0),BT540))</f>
        <v/>
      </c>
      <c r="BU560" s="245">
        <f>IF(BU$7="Actual","",IF($K560="Yes",IFERROR(BU540*(1+BU$59),0),BU540))</f>
        <v/>
      </c>
      <c r="BV560" s="245">
        <f>IF(BV$7="Actual","",IF($K560="Yes",IFERROR(BV540*(1+BV$59),0),BV540))</f>
        <v/>
      </c>
      <c r="BW560" s="245">
        <f>IF(BW$7="Actual","",IF($K560="Yes",IFERROR(BW540*(1+BW$59),0),BW540))</f>
        <v/>
      </c>
      <c r="BX560" s="245">
        <f>IF(BX$7="Actual","",IF($K560="Yes",IFERROR(BX540*(1+BX$59),0),BX540))</f>
        <v/>
      </c>
      <c r="BY560" s="245">
        <f>IF(BY$7="Actual","",IF($K560="Yes",IFERROR(BY540*(1+BY$59),0),BY540))</f>
        <v/>
      </c>
      <c r="BZ560" s="245">
        <f>IF(BZ$7="Actual","",IF($K560="Yes",IFERROR(BZ540*(1+BZ$59),0),BZ540))</f>
        <v/>
      </c>
      <c r="CA560" s="245">
        <f>IF(CA$7="Actual","",IF($K560="Yes",IFERROR(CA540*(1+CA$59),0),CA540))</f>
        <v/>
      </c>
    </row>
    <row r="561" ht="12" customHeight="1" s="227">
      <c r="A561" s="244" t="n"/>
      <c r="B561" s="244" t="n"/>
      <c r="C561" s="244" t="n"/>
      <c r="H561" s="4">
        <f>H541</f>
        <v/>
      </c>
      <c r="I561" s="27">
        <f>i_Setup!$M$16</f>
        <v/>
      </c>
      <c r="K561" s="259">
        <f>i_Setup!P105</f>
        <v/>
      </c>
      <c r="M561" s="245">
        <f>SUMIF($T$4:$CA$4,M$4,$T561:$CA561)</f>
        <v/>
      </c>
      <c r="N561" s="245">
        <f>SUMIF($T$4:$CA$4,N$4,$T561:$CA561)</f>
        <v/>
      </c>
      <c r="O561" s="245">
        <f>SUMIF($T$4:$CA$4,O$4,$T561:$CA561)</f>
        <v/>
      </c>
      <c r="P561" s="245">
        <f>SUMIF($T$4:$CA$4,P$4,$T561:$CA561)</f>
        <v/>
      </c>
      <c r="Q561" s="245">
        <f>SUMIF($T$4:$CA$4,Q$4,$T561:$CA561)</f>
        <v/>
      </c>
      <c r="T561" s="245">
        <f>IF(T$7="Actual","",IF($K561="Yes",IFERROR(T541*(1+T$59),0),T541))</f>
        <v/>
      </c>
      <c r="U561" s="245">
        <f>IF(U$7="Actual","",IF($K561="Yes",IFERROR(U541*(1+U$59),0),U541))</f>
        <v/>
      </c>
      <c r="V561" s="245">
        <f>IF(V$7="Actual","",IF($K561="Yes",IFERROR(V541*(1+V$59),0),V541))</f>
        <v/>
      </c>
      <c r="W561" s="245">
        <f>IF(W$7="Actual","",IF($K561="Yes",IFERROR(W541*(1+W$59),0),W541))</f>
        <v/>
      </c>
      <c r="X561" s="245">
        <f>IF(X$7="Actual","",IF($K561="Yes",IFERROR(X541*(1+X$59),0),X541))</f>
        <v/>
      </c>
      <c r="Y561" s="245">
        <f>IF(Y$7="Actual","",IF($K561="Yes",IFERROR(Y541*(1+Y$59),0),Y541))</f>
        <v/>
      </c>
      <c r="Z561" s="245">
        <f>IF(Z$7="Actual","",IF($K561="Yes",IFERROR(Z541*(1+Z$59),0),Z541))</f>
        <v/>
      </c>
      <c r="AA561" s="245">
        <f>IF(AA$7="Actual","",IF($K561="Yes",IFERROR(AA541*(1+AA$59),0),AA541))</f>
        <v/>
      </c>
      <c r="AB561" s="245">
        <f>IF(AB$7="Actual","",IF($K561="Yes",IFERROR(AB541*(1+AB$59),0),AB541))</f>
        <v/>
      </c>
      <c r="AC561" s="245">
        <f>IF(AC$7="Actual","",IF($K561="Yes",IFERROR(AC541*(1+AC$59),0),AC541))</f>
        <v/>
      </c>
      <c r="AD561" s="245">
        <f>IF(AD$7="Actual","",IF($K561="Yes",IFERROR(AD541*(1+AD$59),0),AD541))</f>
        <v/>
      </c>
      <c r="AE561" s="245">
        <f>IF(AE$7="Actual","",IF($K561="Yes",IFERROR(AE541*(1+AE$59),0),AE541))</f>
        <v/>
      </c>
      <c r="AF561" s="245">
        <f>IF(AF$7="Actual","",IF($K561="Yes",IFERROR(AF541*(1+AF$59),0),AF541))</f>
        <v/>
      </c>
      <c r="AG561" s="245">
        <f>IF(AG$7="Actual","",IF($K561="Yes",IFERROR(AG541*(1+AG$59),0),AG541))</f>
        <v/>
      </c>
      <c r="AH561" s="245">
        <f>IF(AH$7="Actual","",IF($K561="Yes",IFERROR(AH541*(1+AH$59),0),AH541))</f>
        <v/>
      </c>
      <c r="AI561" s="245">
        <f>IF(AI$7="Actual","",IF($K561="Yes",IFERROR(AI541*(1+AI$59),0),AI541))</f>
        <v/>
      </c>
      <c r="AJ561" s="245">
        <f>IF(AJ$7="Actual","",IF($K561="Yes",IFERROR(AJ541*(1+AJ$59),0),AJ541))</f>
        <v/>
      </c>
      <c r="AK561" s="245">
        <f>IF(AK$7="Actual","",IF($K561="Yes",IFERROR(AK541*(1+AK$59),0),AK541))</f>
        <v/>
      </c>
      <c r="AL561" s="245">
        <f>IF(AL$7="Actual","",IF($K561="Yes",IFERROR(AL541*(1+AL$59),0),AL541))</f>
        <v/>
      </c>
      <c r="AM561" s="245">
        <f>IF(AM$7="Actual","",IF($K561="Yes",IFERROR(AM541*(1+AM$59),0),AM541))</f>
        <v/>
      </c>
      <c r="AN561" s="245">
        <f>IF(AN$7="Actual","",IF($K561="Yes",IFERROR(AN541*(1+AN$59),0),AN541))</f>
        <v/>
      </c>
      <c r="AO561" s="245">
        <f>IF(AO$7="Actual","",IF($K561="Yes",IFERROR(AO541*(1+AO$59),0),AO541))</f>
        <v/>
      </c>
      <c r="AP561" s="245">
        <f>IF(AP$7="Actual","",IF($K561="Yes",IFERROR(AP541*(1+AP$59),0),AP541))</f>
        <v/>
      </c>
      <c r="AQ561" s="245">
        <f>IF(AQ$7="Actual","",IF($K561="Yes",IFERROR(AQ541*(1+AQ$59),0),AQ541))</f>
        <v/>
      </c>
      <c r="AR561" s="245">
        <f>IF(AR$7="Actual","",IF($K561="Yes",IFERROR(AR541*(1+AR$59),0),AR541))</f>
        <v/>
      </c>
      <c r="AS561" s="245">
        <f>IF(AS$7="Actual","",IF($K561="Yes",IFERROR(AS541*(1+AS$59),0),AS541))</f>
        <v/>
      </c>
      <c r="AT561" s="245">
        <f>IF(AT$7="Actual","",IF($K561="Yes",IFERROR(AT541*(1+AT$59),0),AT541))</f>
        <v/>
      </c>
      <c r="AU561" s="245">
        <f>IF(AU$7="Actual","",IF($K561="Yes",IFERROR(AU541*(1+AU$59),0),AU541))</f>
        <v/>
      </c>
      <c r="AV561" s="245">
        <f>IF(AV$7="Actual","",IF($K561="Yes",IFERROR(AV541*(1+AV$59),0),AV541))</f>
        <v/>
      </c>
      <c r="AW561" s="245">
        <f>IF(AW$7="Actual","",IF($K561="Yes",IFERROR(AW541*(1+AW$59),0),AW541))</f>
        <v/>
      </c>
      <c r="AX561" s="245">
        <f>IF(AX$7="Actual","",IF($K561="Yes",IFERROR(AX541*(1+AX$59),0),AX541))</f>
        <v/>
      </c>
      <c r="AY561" s="245">
        <f>IF(AY$7="Actual","",IF($K561="Yes",IFERROR(AY541*(1+AY$59),0),AY541))</f>
        <v/>
      </c>
      <c r="AZ561" s="245">
        <f>IF(AZ$7="Actual","",IF($K561="Yes",IFERROR(AZ541*(1+AZ$59),0),AZ541))</f>
        <v/>
      </c>
      <c r="BA561" s="245">
        <f>IF(BA$7="Actual","",IF($K561="Yes",IFERROR(BA541*(1+BA$59),0),BA541))</f>
        <v/>
      </c>
      <c r="BB561" s="245">
        <f>IF(BB$7="Actual","",IF($K561="Yes",IFERROR(BB541*(1+BB$59),0),BB541))</f>
        <v/>
      </c>
      <c r="BC561" s="245">
        <f>IF(BC$7="Actual","",IF($K561="Yes",IFERROR(BC541*(1+BC$59),0),BC541))</f>
        <v/>
      </c>
      <c r="BD561" s="245">
        <f>IF(BD$7="Actual","",IF($K561="Yes",IFERROR(BD541*(1+BD$59),0),BD541))</f>
        <v/>
      </c>
      <c r="BE561" s="245">
        <f>IF(BE$7="Actual","",IF($K561="Yes",IFERROR(BE541*(1+BE$59),0),BE541))</f>
        <v/>
      </c>
      <c r="BF561" s="245">
        <f>IF(BF$7="Actual","",IF($K561="Yes",IFERROR(BF541*(1+BF$59),0),BF541))</f>
        <v/>
      </c>
      <c r="BG561" s="245">
        <f>IF(BG$7="Actual","",IF($K561="Yes",IFERROR(BG541*(1+BG$59),0),BG541))</f>
        <v/>
      </c>
      <c r="BH561" s="245">
        <f>IF(BH$7="Actual","",IF($K561="Yes",IFERROR(BH541*(1+BH$59),0),BH541))</f>
        <v/>
      </c>
      <c r="BI561" s="245">
        <f>IF(BI$7="Actual","",IF($K561="Yes",IFERROR(BI541*(1+BI$59),0),BI541))</f>
        <v/>
      </c>
      <c r="BJ561" s="245">
        <f>IF(BJ$7="Actual","",IF($K561="Yes",IFERROR(BJ541*(1+BJ$59),0),BJ541))</f>
        <v/>
      </c>
      <c r="BK561" s="245">
        <f>IF(BK$7="Actual","",IF($K561="Yes",IFERROR(BK541*(1+BK$59),0),BK541))</f>
        <v/>
      </c>
      <c r="BL561" s="245">
        <f>IF(BL$7="Actual","",IF($K561="Yes",IFERROR(BL541*(1+BL$59),0),BL541))</f>
        <v/>
      </c>
      <c r="BM561" s="245">
        <f>IF(BM$7="Actual","",IF($K561="Yes",IFERROR(BM541*(1+BM$59),0),BM541))</f>
        <v/>
      </c>
      <c r="BN561" s="245">
        <f>IF(BN$7="Actual","",IF($K561="Yes",IFERROR(BN541*(1+BN$59),0),BN541))</f>
        <v/>
      </c>
      <c r="BO561" s="245">
        <f>IF(BO$7="Actual","",IF($K561="Yes",IFERROR(BO541*(1+BO$59),0),BO541))</f>
        <v/>
      </c>
      <c r="BP561" s="245">
        <f>IF(BP$7="Actual","",IF($K561="Yes",IFERROR(BP541*(1+BP$59),0),BP541))</f>
        <v/>
      </c>
      <c r="BQ561" s="245">
        <f>IF(BQ$7="Actual","",IF($K561="Yes",IFERROR(BQ541*(1+BQ$59),0),BQ541))</f>
        <v/>
      </c>
      <c r="BR561" s="245">
        <f>IF(BR$7="Actual","",IF($K561="Yes",IFERROR(BR541*(1+BR$59),0),BR541))</f>
        <v/>
      </c>
      <c r="BS561" s="245">
        <f>IF(BS$7="Actual","",IF($K561="Yes",IFERROR(BS541*(1+BS$59),0),BS541))</f>
        <v/>
      </c>
      <c r="BT561" s="245">
        <f>IF(BT$7="Actual","",IF($K561="Yes",IFERROR(BT541*(1+BT$59),0),BT541))</f>
        <v/>
      </c>
      <c r="BU561" s="245">
        <f>IF(BU$7="Actual","",IF($K561="Yes",IFERROR(BU541*(1+BU$59),0),BU541))</f>
        <v/>
      </c>
      <c r="BV561" s="245">
        <f>IF(BV$7="Actual","",IF($K561="Yes",IFERROR(BV541*(1+BV$59),0),BV541))</f>
        <v/>
      </c>
      <c r="BW561" s="245">
        <f>IF(BW$7="Actual","",IF($K561="Yes",IFERROR(BW541*(1+BW$59),0),BW541))</f>
        <v/>
      </c>
      <c r="BX561" s="245">
        <f>IF(BX$7="Actual","",IF($K561="Yes",IFERROR(BX541*(1+BX$59),0),BX541))</f>
        <v/>
      </c>
      <c r="BY561" s="245">
        <f>IF(BY$7="Actual","",IF($K561="Yes",IFERROR(BY541*(1+BY$59),0),BY541))</f>
        <v/>
      </c>
      <c r="BZ561" s="245">
        <f>IF(BZ$7="Actual","",IF($K561="Yes",IFERROR(BZ541*(1+BZ$59),0),BZ541))</f>
        <v/>
      </c>
      <c r="CA561" s="245">
        <f>IF(CA$7="Actual","",IF($K561="Yes",IFERROR(CA541*(1+CA$59),0),CA541))</f>
        <v/>
      </c>
    </row>
    <row r="562" ht="12" customHeight="1" s="227">
      <c r="A562" s="244" t="n"/>
      <c r="B562" s="244" t="n"/>
      <c r="C562" s="244" t="n"/>
      <c r="H562" s="4">
        <f>H542</f>
        <v/>
      </c>
      <c r="I562" s="27">
        <f>i_Setup!$M$16</f>
        <v/>
      </c>
      <c r="K562" s="259">
        <f>i_Setup!P106</f>
        <v/>
      </c>
      <c r="M562" s="245">
        <f>SUMIF($T$4:$CA$4,M$4,$T562:$CA562)</f>
        <v/>
      </c>
      <c r="N562" s="245">
        <f>SUMIF($T$4:$CA$4,N$4,$T562:$CA562)</f>
        <v/>
      </c>
      <c r="O562" s="245">
        <f>SUMIF($T$4:$CA$4,O$4,$T562:$CA562)</f>
        <v/>
      </c>
      <c r="P562" s="245">
        <f>SUMIF($T$4:$CA$4,P$4,$T562:$CA562)</f>
        <v/>
      </c>
      <c r="Q562" s="245">
        <f>SUMIF($T$4:$CA$4,Q$4,$T562:$CA562)</f>
        <v/>
      </c>
      <c r="T562" s="245">
        <f>IF(T$7="Actual","",IF($K562="Yes",IFERROR(T542*(1+T$59),0),T542))</f>
        <v/>
      </c>
      <c r="U562" s="245">
        <f>IF(U$7="Actual","",IF($K562="Yes",IFERROR(U542*(1+U$59),0),U542))</f>
        <v/>
      </c>
      <c r="V562" s="245">
        <f>IF(V$7="Actual","",IF($K562="Yes",IFERROR(V542*(1+V$59),0),V542))</f>
        <v/>
      </c>
      <c r="W562" s="245">
        <f>IF(W$7="Actual","",IF($K562="Yes",IFERROR(W542*(1+W$59),0),W542))</f>
        <v/>
      </c>
      <c r="X562" s="245">
        <f>IF(X$7="Actual","",IF($K562="Yes",IFERROR(X542*(1+X$59),0),X542))</f>
        <v/>
      </c>
      <c r="Y562" s="245">
        <f>IF(Y$7="Actual","",IF($K562="Yes",IFERROR(Y542*(1+Y$59),0),Y542))</f>
        <v/>
      </c>
      <c r="Z562" s="245">
        <f>IF(Z$7="Actual","",IF($K562="Yes",IFERROR(Z542*(1+Z$59),0),Z542))</f>
        <v/>
      </c>
      <c r="AA562" s="245">
        <f>IF(AA$7="Actual","",IF($K562="Yes",IFERROR(AA542*(1+AA$59),0),AA542))</f>
        <v/>
      </c>
      <c r="AB562" s="245">
        <f>IF(AB$7="Actual","",IF($K562="Yes",IFERROR(AB542*(1+AB$59),0),AB542))</f>
        <v/>
      </c>
      <c r="AC562" s="245">
        <f>IF(AC$7="Actual","",IF($K562="Yes",IFERROR(AC542*(1+AC$59),0),AC542))</f>
        <v/>
      </c>
      <c r="AD562" s="245">
        <f>IF(AD$7="Actual","",IF($K562="Yes",IFERROR(AD542*(1+AD$59),0),AD542))</f>
        <v/>
      </c>
      <c r="AE562" s="245">
        <f>IF(AE$7="Actual","",IF($K562="Yes",IFERROR(AE542*(1+AE$59),0),AE542))</f>
        <v/>
      </c>
      <c r="AF562" s="245">
        <f>IF(AF$7="Actual","",IF($K562="Yes",IFERROR(AF542*(1+AF$59),0),AF542))</f>
        <v/>
      </c>
      <c r="AG562" s="245">
        <f>IF(AG$7="Actual","",IF($K562="Yes",IFERROR(AG542*(1+AG$59),0),AG542))</f>
        <v/>
      </c>
      <c r="AH562" s="245">
        <f>IF(AH$7="Actual","",IF($K562="Yes",IFERROR(AH542*(1+AH$59),0),AH542))</f>
        <v/>
      </c>
      <c r="AI562" s="245">
        <f>IF(AI$7="Actual","",IF($K562="Yes",IFERROR(AI542*(1+AI$59),0),AI542))</f>
        <v/>
      </c>
      <c r="AJ562" s="245">
        <f>IF(AJ$7="Actual","",IF($K562="Yes",IFERROR(AJ542*(1+AJ$59),0),AJ542))</f>
        <v/>
      </c>
      <c r="AK562" s="245">
        <f>IF(AK$7="Actual","",IF($K562="Yes",IFERROR(AK542*(1+AK$59),0),AK542))</f>
        <v/>
      </c>
      <c r="AL562" s="245">
        <f>IF(AL$7="Actual","",IF($K562="Yes",IFERROR(AL542*(1+AL$59),0),AL542))</f>
        <v/>
      </c>
      <c r="AM562" s="245">
        <f>IF(AM$7="Actual","",IF($K562="Yes",IFERROR(AM542*(1+AM$59),0),AM542))</f>
        <v/>
      </c>
      <c r="AN562" s="245">
        <f>IF(AN$7="Actual","",IF($K562="Yes",IFERROR(AN542*(1+AN$59),0),AN542))</f>
        <v/>
      </c>
      <c r="AO562" s="245">
        <f>IF(AO$7="Actual","",IF($K562="Yes",IFERROR(AO542*(1+AO$59),0),AO542))</f>
        <v/>
      </c>
      <c r="AP562" s="245">
        <f>IF(AP$7="Actual","",IF($K562="Yes",IFERROR(AP542*(1+AP$59),0),AP542))</f>
        <v/>
      </c>
      <c r="AQ562" s="245">
        <f>IF(AQ$7="Actual","",IF($K562="Yes",IFERROR(AQ542*(1+AQ$59),0),AQ542))</f>
        <v/>
      </c>
      <c r="AR562" s="245">
        <f>IF(AR$7="Actual","",IF($K562="Yes",IFERROR(AR542*(1+AR$59),0),AR542))</f>
        <v/>
      </c>
      <c r="AS562" s="245">
        <f>IF(AS$7="Actual","",IF($K562="Yes",IFERROR(AS542*(1+AS$59),0),AS542))</f>
        <v/>
      </c>
      <c r="AT562" s="245">
        <f>IF(AT$7="Actual","",IF($K562="Yes",IFERROR(AT542*(1+AT$59),0),AT542))</f>
        <v/>
      </c>
      <c r="AU562" s="245">
        <f>IF(AU$7="Actual","",IF($K562="Yes",IFERROR(AU542*(1+AU$59),0),AU542))</f>
        <v/>
      </c>
      <c r="AV562" s="245">
        <f>IF(AV$7="Actual","",IF($K562="Yes",IFERROR(AV542*(1+AV$59),0),AV542))</f>
        <v/>
      </c>
      <c r="AW562" s="245">
        <f>IF(AW$7="Actual","",IF($K562="Yes",IFERROR(AW542*(1+AW$59),0),AW542))</f>
        <v/>
      </c>
      <c r="AX562" s="245">
        <f>IF(AX$7="Actual","",IF($K562="Yes",IFERROR(AX542*(1+AX$59),0),AX542))</f>
        <v/>
      </c>
      <c r="AY562" s="245">
        <f>IF(AY$7="Actual","",IF($K562="Yes",IFERROR(AY542*(1+AY$59),0),AY542))</f>
        <v/>
      </c>
      <c r="AZ562" s="245">
        <f>IF(AZ$7="Actual","",IF($K562="Yes",IFERROR(AZ542*(1+AZ$59),0),AZ542))</f>
        <v/>
      </c>
      <c r="BA562" s="245">
        <f>IF(BA$7="Actual","",IF($K562="Yes",IFERROR(BA542*(1+BA$59),0),BA542))</f>
        <v/>
      </c>
      <c r="BB562" s="245">
        <f>IF(BB$7="Actual","",IF($K562="Yes",IFERROR(BB542*(1+BB$59),0),BB542))</f>
        <v/>
      </c>
      <c r="BC562" s="245">
        <f>IF(BC$7="Actual","",IF($K562="Yes",IFERROR(BC542*(1+BC$59),0),BC542))</f>
        <v/>
      </c>
      <c r="BD562" s="245">
        <f>IF(BD$7="Actual","",IF($K562="Yes",IFERROR(BD542*(1+BD$59),0),BD542))</f>
        <v/>
      </c>
      <c r="BE562" s="245">
        <f>IF(BE$7="Actual","",IF($K562="Yes",IFERROR(BE542*(1+BE$59),0),BE542))</f>
        <v/>
      </c>
      <c r="BF562" s="245">
        <f>IF(BF$7="Actual","",IF($K562="Yes",IFERROR(BF542*(1+BF$59),0),BF542))</f>
        <v/>
      </c>
      <c r="BG562" s="245">
        <f>IF(BG$7="Actual","",IF($K562="Yes",IFERROR(BG542*(1+BG$59),0),BG542))</f>
        <v/>
      </c>
      <c r="BH562" s="245">
        <f>IF(BH$7="Actual","",IF($K562="Yes",IFERROR(BH542*(1+BH$59),0),BH542))</f>
        <v/>
      </c>
      <c r="BI562" s="245">
        <f>IF(BI$7="Actual","",IF($K562="Yes",IFERROR(BI542*(1+BI$59),0),BI542))</f>
        <v/>
      </c>
      <c r="BJ562" s="245">
        <f>IF(BJ$7="Actual","",IF($K562="Yes",IFERROR(BJ542*(1+BJ$59),0),BJ542))</f>
        <v/>
      </c>
      <c r="BK562" s="245">
        <f>IF(BK$7="Actual","",IF($K562="Yes",IFERROR(BK542*(1+BK$59),0),BK542))</f>
        <v/>
      </c>
      <c r="BL562" s="245">
        <f>IF(BL$7="Actual","",IF($K562="Yes",IFERROR(BL542*(1+BL$59),0),BL542))</f>
        <v/>
      </c>
      <c r="BM562" s="245">
        <f>IF(BM$7="Actual","",IF($K562="Yes",IFERROR(BM542*(1+BM$59),0),BM542))</f>
        <v/>
      </c>
      <c r="BN562" s="245">
        <f>IF(BN$7="Actual","",IF($K562="Yes",IFERROR(BN542*(1+BN$59),0),BN542))</f>
        <v/>
      </c>
      <c r="BO562" s="245">
        <f>IF(BO$7="Actual","",IF($K562="Yes",IFERROR(BO542*(1+BO$59),0),BO542))</f>
        <v/>
      </c>
      <c r="BP562" s="245">
        <f>IF(BP$7="Actual","",IF($K562="Yes",IFERROR(BP542*(1+BP$59),0),BP542))</f>
        <v/>
      </c>
      <c r="BQ562" s="245">
        <f>IF(BQ$7="Actual","",IF($K562="Yes",IFERROR(BQ542*(1+BQ$59),0),BQ542))</f>
        <v/>
      </c>
      <c r="BR562" s="245">
        <f>IF(BR$7="Actual","",IF($K562="Yes",IFERROR(BR542*(1+BR$59),0),BR542))</f>
        <v/>
      </c>
      <c r="BS562" s="245">
        <f>IF(BS$7="Actual","",IF($K562="Yes",IFERROR(BS542*(1+BS$59),0),BS542))</f>
        <v/>
      </c>
      <c r="BT562" s="245">
        <f>IF(BT$7="Actual","",IF($K562="Yes",IFERROR(BT542*(1+BT$59),0),BT542))</f>
        <v/>
      </c>
      <c r="BU562" s="245">
        <f>IF(BU$7="Actual","",IF($K562="Yes",IFERROR(BU542*(1+BU$59),0),BU542))</f>
        <v/>
      </c>
      <c r="BV562" s="245">
        <f>IF(BV$7="Actual","",IF($K562="Yes",IFERROR(BV542*(1+BV$59),0),BV542))</f>
        <v/>
      </c>
      <c r="BW562" s="245">
        <f>IF(BW$7="Actual","",IF($K562="Yes",IFERROR(BW542*(1+BW$59),0),BW542))</f>
        <v/>
      </c>
      <c r="BX562" s="245">
        <f>IF(BX$7="Actual","",IF($K562="Yes",IFERROR(BX542*(1+BX$59),0),BX542))</f>
        <v/>
      </c>
      <c r="BY562" s="245">
        <f>IF(BY$7="Actual","",IF($K562="Yes",IFERROR(BY542*(1+BY$59),0),BY542))</f>
        <v/>
      </c>
      <c r="BZ562" s="245">
        <f>IF(BZ$7="Actual","",IF($K562="Yes",IFERROR(BZ542*(1+BZ$59),0),BZ542))</f>
        <v/>
      </c>
      <c r="CA562" s="245">
        <f>IF(CA$7="Actual","",IF($K562="Yes",IFERROR(CA542*(1+CA$59),0),CA542))</f>
        <v/>
      </c>
    </row>
    <row r="563" ht="12" customHeight="1" s="227">
      <c r="A563" s="244" t="n"/>
      <c r="B563" s="244" t="n"/>
      <c r="C563" s="244" t="n"/>
      <c r="H563" s="4">
        <f>H543</f>
        <v/>
      </c>
      <c r="I563" s="27">
        <f>i_Setup!$M$16</f>
        <v/>
      </c>
      <c r="K563" s="259">
        <f>i_Setup!P107</f>
        <v/>
      </c>
      <c r="M563" s="245">
        <f>SUMIF($T$4:$CA$4,M$4,$T563:$CA563)</f>
        <v/>
      </c>
      <c r="N563" s="245">
        <f>SUMIF($T$4:$CA$4,N$4,$T563:$CA563)</f>
        <v/>
      </c>
      <c r="O563" s="245">
        <f>SUMIF($T$4:$CA$4,O$4,$T563:$CA563)</f>
        <v/>
      </c>
      <c r="P563" s="245">
        <f>SUMIF($T$4:$CA$4,P$4,$T563:$CA563)</f>
        <v/>
      </c>
      <c r="Q563" s="245">
        <f>SUMIF($T$4:$CA$4,Q$4,$T563:$CA563)</f>
        <v/>
      </c>
      <c r="T563" s="245">
        <f>IF(T$7="Actual","",IF($K563="Yes",IFERROR(T543*(1+T$59),0),T543))</f>
        <v/>
      </c>
      <c r="U563" s="245">
        <f>IF(U$7="Actual","",IF($K563="Yes",IFERROR(U543*(1+U$59),0),U543))</f>
        <v/>
      </c>
      <c r="V563" s="245">
        <f>IF(V$7="Actual","",IF($K563="Yes",IFERROR(V543*(1+V$59),0),V543))</f>
        <v/>
      </c>
      <c r="W563" s="245">
        <f>IF(W$7="Actual","",IF($K563="Yes",IFERROR(W543*(1+W$59),0),W543))</f>
        <v/>
      </c>
      <c r="X563" s="245">
        <f>IF(X$7="Actual","",IF($K563="Yes",IFERROR(X543*(1+X$59),0),X543))</f>
        <v/>
      </c>
      <c r="Y563" s="245">
        <f>IF(Y$7="Actual","",IF($K563="Yes",IFERROR(Y543*(1+Y$59),0),Y543))</f>
        <v/>
      </c>
      <c r="Z563" s="245">
        <f>IF(Z$7="Actual","",IF($K563="Yes",IFERROR(Z543*(1+Z$59),0),Z543))</f>
        <v/>
      </c>
      <c r="AA563" s="245">
        <f>IF(AA$7="Actual","",IF($K563="Yes",IFERROR(AA543*(1+AA$59),0),AA543))</f>
        <v/>
      </c>
      <c r="AB563" s="245">
        <f>IF(AB$7="Actual","",IF($K563="Yes",IFERROR(AB543*(1+AB$59),0),AB543))</f>
        <v/>
      </c>
      <c r="AC563" s="245">
        <f>IF(AC$7="Actual","",IF($K563="Yes",IFERROR(AC543*(1+AC$59),0),AC543))</f>
        <v/>
      </c>
      <c r="AD563" s="245">
        <f>IF(AD$7="Actual","",IF($K563="Yes",IFERROR(AD543*(1+AD$59),0),AD543))</f>
        <v/>
      </c>
      <c r="AE563" s="245">
        <f>IF(AE$7="Actual","",IF($K563="Yes",IFERROR(AE543*(1+AE$59),0),AE543))</f>
        <v/>
      </c>
      <c r="AF563" s="245">
        <f>IF(AF$7="Actual","",IF($K563="Yes",IFERROR(AF543*(1+AF$59),0),AF543))</f>
        <v/>
      </c>
      <c r="AG563" s="245">
        <f>IF(AG$7="Actual","",IF($K563="Yes",IFERROR(AG543*(1+AG$59),0),AG543))</f>
        <v/>
      </c>
      <c r="AH563" s="245">
        <f>IF(AH$7="Actual","",IF($K563="Yes",IFERROR(AH543*(1+AH$59),0),AH543))</f>
        <v/>
      </c>
      <c r="AI563" s="245">
        <f>IF(AI$7="Actual","",IF($K563="Yes",IFERROR(AI543*(1+AI$59),0),AI543))</f>
        <v/>
      </c>
      <c r="AJ563" s="245">
        <f>IF(AJ$7="Actual","",IF($K563="Yes",IFERROR(AJ543*(1+AJ$59),0),AJ543))</f>
        <v/>
      </c>
      <c r="AK563" s="245">
        <f>IF(AK$7="Actual","",IF($K563="Yes",IFERROR(AK543*(1+AK$59),0),AK543))</f>
        <v/>
      </c>
      <c r="AL563" s="245">
        <f>IF(AL$7="Actual","",IF($K563="Yes",IFERROR(AL543*(1+AL$59),0),AL543))</f>
        <v/>
      </c>
      <c r="AM563" s="245">
        <f>IF(AM$7="Actual","",IF($K563="Yes",IFERROR(AM543*(1+AM$59),0),AM543))</f>
        <v/>
      </c>
      <c r="AN563" s="245">
        <f>IF(AN$7="Actual","",IF($K563="Yes",IFERROR(AN543*(1+AN$59),0),AN543))</f>
        <v/>
      </c>
      <c r="AO563" s="245">
        <f>IF(AO$7="Actual","",IF($K563="Yes",IFERROR(AO543*(1+AO$59),0),AO543))</f>
        <v/>
      </c>
      <c r="AP563" s="245">
        <f>IF(AP$7="Actual","",IF($K563="Yes",IFERROR(AP543*(1+AP$59),0),AP543))</f>
        <v/>
      </c>
      <c r="AQ563" s="245">
        <f>IF(AQ$7="Actual","",IF($K563="Yes",IFERROR(AQ543*(1+AQ$59),0),AQ543))</f>
        <v/>
      </c>
      <c r="AR563" s="245">
        <f>IF(AR$7="Actual","",IF($K563="Yes",IFERROR(AR543*(1+AR$59),0),AR543))</f>
        <v/>
      </c>
      <c r="AS563" s="245">
        <f>IF(AS$7="Actual","",IF($K563="Yes",IFERROR(AS543*(1+AS$59),0),AS543))</f>
        <v/>
      </c>
      <c r="AT563" s="245">
        <f>IF(AT$7="Actual","",IF($K563="Yes",IFERROR(AT543*(1+AT$59),0),AT543))</f>
        <v/>
      </c>
      <c r="AU563" s="245">
        <f>IF(AU$7="Actual","",IF($K563="Yes",IFERROR(AU543*(1+AU$59),0),AU543))</f>
        <v/>
      </c>
      <c r="AV563" s="245">
        <f>IF(AV$7="Actual","",IF($K563="Yes",IFERROR(AV543*(1+AV$59),0),AV543))</f>
        <v/>
      </c>
      <c r="AW563" s="245">
        <f>IF(AW$7="Actual","",IF($K563="Yes",IFERROR(AW543*(1+AW$59),0),AW543))</f>
        <v/>
      </c>
      <c r="AX563" s="245">
        <f>IF(AX$7="Actual","",IF($K563="Yes",IFERROR(AX543*(1+AX$59),0),AX543))</f>
        <v/>
      </c>
      <c r="AY563" s="245">
        <f>IF(AY$7="Actual","",IF($K563="Yes",IFERROR(AY543*(1+AY$59),0),AY543))</f>
        <v/>
      </c>
      <c r="AZ563" s="245">
        <f>IF(AZ$7="Actual","",IF($K563="Yes",IFERROR(AZ543*(1+AZ$59),0),AZ543))</f>
        <v/>
      </c>
      <c r="BA563" s="245">
        <f>IF(BA$7="Actual","",IF($K563="Yes",IFERROR(BA543*(1+BA$59),0),BA543))</f>
        <v/>
      </c>
      <c r="BB563" s="245">
        <f>IF(BB$7="Actual","",IF($K563="Yes",IFERROR(BB543*(1+BB$59),0),BB543))</f>
        <v/>
      </c>
      <c r="BC563" s="245">
        <f>IF(BC$7="Actual","",IF($K563="Yes",IFERROR(BC543*(1+BC$59),0),BC543))</f>
        <v/>
      </c>
      <c r="BD563" s="245">
        <f>IF(BD$7="Actual","",IF($K563="Yes",IFERROR(BD543*(1+BD$59),0),BD543))</f>
        <v/>
      </c>
      <c r="BE563" s="245">
        <f>IF(BE$7="Actual","",IF($K563="Yes",IFERROR(BE543*(1+BE$59),0),BE543))</f>
        <v/>
      </c>
      <c r="BF563" s="245">
        <f>IF(BF$7="Actual","",IF($K563="Yes",IFERROR(BF543*(1+BF$59),0),BF543))</f>
        <v/>
      </c>
      <c r="BG563" s="245">
        <f>IF(BG$7="Actual","",IF($K563="Yes",IFERROR(BG543*(1+BG$59),0),BG543))</f>
        <v/>
      </c>
      <c r="BH563" s="245">
        <f>IF(BH$7="Actual","",IF($K563="Yes",IFERROR(BH543*(1+BH$59),0),BH543))</f>
        <v/>
      </c>
      <c r="BI563" s="245">
        <f>IF(BI$7="Actual","",IF($K563="Yes",IFERROR(BI543*(1+BI$59),0),BI543))</f>
        <v/>
      </c>
      <c r="BJ563" s="245">
        <f>IF(BJ$7="Actual","",IF($K563="Yes",IFERROR(BJ543*(1+BJ$59),0),BJ543))</f>
        <v/>
      </c>
      <c r="BK563" s="245">
        <f>IF(BK$7="Actual","",IF($K563="Yes",IFERROR(BK543*(1+BK$59),0),BK543))</f>
        <v/>
      </c>
      <c r="BL563" s="245">
        <f>IF(BL$7="Actual","",IF($K563="Yes",IFERROR(BL543*(1+BL$59),0),BL543))</f>
        <v/>
      </c>
      <c r="BM563" s="245">
        <f>IF(BM$7="Actual","",IF($K563="Yes",IFERROR(BM543*(1+BM$59),0),BM543))</f>
        <v/>
      </c>
      <c r="BN563" s="245">
        <f>IF(BN$7="Actual","",IF($K563="Yes",IFERROR(BN543*(1+BN$59),0),BN543))</f>
        <v/>
      </c>
      <c r="BO563" s="245">
        <f>IF(BO$7="Actual","",IF($K563="Yes",IFERROR(BO543*(1+BO$59),0),BO543))</f>
        <v/>
      </c>
      <c r="BP563" s="245">
        <f>IF(BP$7="Actual","",IF($K563="Yes",IFERROR(BP543*(1+BP$59),0),BP543))</f>
        <v/>
      </c>
      <c r="BQ563" s="245">
        <f>IF(BQ$7="Actual","",IF($K563="Yes",IFERROR(BQ543*(1+BQ$59),0),BQ543))</f>
        <v/>
      </c>
      <c r="BR563" s="245">
        <f>IF(BR$7="Actual","",IF($K563="Yes",IFERROR(BR543*(1+BR$59),0),BR543))</f>
        <v/>
      </c>
      <c r="BS563" s="245">
        <f>IF(BS$7="Actual","",IF($K563="Yes",IFERROR(BS543*(1+BS$59),0),BS543))</f>
        <v/>
      </c>
      <c r="BT563" s="245">
        <f>IF(BT$7="Actual","",IF($K563="Yes",IFERROR(BT543*(1+BT$59),0),BT543))</f>
        <v/>
      </c>
      <c r="BU563" s="245">
        <f>IF(BU$7="Actual","",IF($K563="Yes",IFERROR(BU543*(1+BU$59),0),BU543))</f>
        <v/>
      </c>
      <c r="BV563" s="245">
        <f>IF(BV$7="Actual","",IF($K563="Yes",IFERROR(BV543*(1+BV$59),0),BV543))</f>
        <v/>
      </c>
      <c r="BW563" s="245">
        <f>IF(BW$7="Actual","",IF($K563="Yes",IFERROR(BW543*(1+BW$59),0),BW543))</f>
        <v/>
      </c>
      <c r="BX563" s="245">
        <f>IF(BX$7="Actual","",IF($K563="Yes",IFERROR(BX543*(1+BX$59),0),BX543))</f>
        <v/>
      </c>
      <c r="BY563" s="245">
        <f>IF(BY$7="Actual","",IF($K563="Yes",IFERROR(BY543*(1+BY$59),0),BY543))</f>
        <v/>
      </c>
      <c r="BZ563" s="245">
        <f>IF(BZ$7="Actual","",IF($K563="Yes",IFERROR(BZ543*(1+BZ$59),0),BZ543))</f>
        <v/>
      </c>
      <c r="CA563" s="245">
        <f>IF(CA$7="Actual","",IF($K563="Yes",IFERROR(CA543*(1+CA$59),0),CA543))</f>
        <v/>
      </c>
    </row>
    <row r="564" ht="12" customHeight="1" s="227">
      <c r="A564" s="244" t="n"/>
      <c r="B564" s="244" t="n"/>
      <c r="C564" s="244" t="n"/>
      <c r="H564" s="4">
        <f>H544</f>
        <v/>
      </c>
      <c r="I564" s="27">
        <f>i_Setup!$M$16</f>
        <v/>
      </c>
      <c r="K564" s="259">
        <f>i_Setup!P108</f>
        <v/>
      </c>
      <c r="M564" s="245">
        <f>SUMIF($T$4:$CA$4,M$4,$T564:$CA564)</f>
        <v/>
      </c>
      <c r="N564" s="245">
        <f>SUMIF($T$4:$CA$4,N$4,$T564:$CA564)</f>
        <v/>
      </c>
      <c r="O564" s="245">
        <f>SUMIF($T$4:$CA$4,O$4,$T564:$CA564)</f>
        <v/>
      </c>
      <c r="P564" s="245">
        <f>SUMIF($T$4:$CA$4,P$4,$T564:$CA564)</f>
        <v/>
      </c>
      <c r="Q564" s="245">
        <f>SUMIF($T$4:$CA$4,Q$4,$T564:$CA564)</f>
        <v/>
      </c>
      <c r="T564" s="245">
        <f>IF(T$7="Actual","",IF($K564="Yes",IFERROR(T544*(1+T$59),0),T544))</f>
        <v/>
      </c>
      <c r="U564" s="245">
        <f>IF(U$7="Actual","",IF($K564="Yes",IFERROR(U544*(1+U$59),0),U544))</f>
        <v/>
      </c>
      <c r="V564" s="245">
        <f>IF(V$7="Actual","",IF($K564="Yes",IFERROR(V544*(1+V$59),0),V544))</f>
        <v/>
      </c>
      <c r="W564" s="245">
        <f>IF(W$7="Actual","",IF($K564="Yes",IFERROR(W544*(1+W$59),0),W544))</f>
        <v/>
      </c>
      <c r="X564" s="245">
        <f>IF(X$7="Actual","",IF($K564="Yes",IFERROR(X544*(1+X$59),0),X544))</f>
        <v/>
      </c>
      <c r="Y564" s="245">
        <f>IF(Y$7="Actual","",IF($K564="Yes",IFERROR(Y544*(1+Y$59),0),Y544))</f>
        <v/>
      </c>
      <c r="Z564" s="245">
        <f>IF(Z$7="Actual","",IF($K564="Yes",IFERROR(Z544*(1+Z$59),0),Z544))</f>
        <v/>
      </c>
      <c r="AA564" s="245">
        <f>IF(AA$7="Actual","",IF($K564="Yes",IFERROR(AA544*(1+AA$59),0),AA544))</f>
        <v/>
      </c>
      <c r="AB564" s="245">
        <f>IF(AB$7="Actual","",IF($K564="Yes",IFERROR(AB544*(1+AB$59),0),AB544))</f>
        <v/>
      </c>
      <c r="AC564" s="245">
        <f>IF(AC$7="Actual","",IF($K564="Yes",IFERROR(AC544*(1+AC$59),0),AC544))</f>
        <v/>
      </c>
      <c r="AD564" s="245">
        <f>IF(AD$7="Actual","",IF($K564="Yes",IFERROR(AD544*(1+AD$59),0),AD544))</f>
        <v/>
      </c>
      <c r="AE564" s="245">
        <f>IF(AE$7="Actual","",IF($K564="Yes",IFERROR(AE544*(1+AE$59),0),AE544))</f>
        <v/>
      </c>
      <c r="AF564" s="245">
        <f>IF(AF$7="Actual","",IF($K564="Yes",IFERROR(AF544*(1+AF$59),0),AF544))</f>
        <v/>
      </c>
      <c r="AG564" s="245">
        <f>IF(AG$7="Actual","",IF($K564="Yes",IFERROR(AG544*(1+AG$59),0),AG544))</f>
        <v/>
      </c>
      <c r="AH564" s="245">
        <f>IF(AH$7="Actual","",IF($K564="Yes",IFERROR(AH544*(1+AH$59),0),AH544))</f>
        <v/>
      </c>
      <c r="AI564" s="245">
        <f>IF(AI$7="Actual","",IF($K564="Yes",IFERROR(AI544*(1+AI$59),0),AI544))</f>
        <v/>
      </c>
      <c r="AJ564" s="245">
        <f>IF(AJ$7="Actual","",IF($K564="Yes",IFERROR(AJ544*(1+AJ$59),0),AJ544))</f>
        <v/>
      </c>
      <c r="AK564" s="245">
        <f>IF(AK$7="Actual","",IF($K564="Yes",IFERROR(AK544*(1+AK$59),0),AK544))</f>
        <v/>
      </c>
      <c r="AL564" s="245">
        <f>IF(AL$7="Actual","",IF($K564="Yes",IFERROR(AL544*(1+AL$59),0),AL544))</f>
        <v/>
      </c>
      <c r="AM564" s="245">
        <f>IF(AM$7="Actual","",IF($K564="Yes",IFERROR(AM544*(1+AM$59),0),AM544))</f>
        <v/>
      </c>
      <c r="AN564" s="245">
        <f>IF(AN$7="Actual","",IF($K564="Yes",IFERROR(AN544*(1+AN$59),0),AN544))</f>
        <v/>
      </c>
      <c r="AO564" s="245">
        <f>IF(AO$7="Actual","",IF($K564="Yes",IFERROR(AO544*(1+AO$59),0),AO544))</f>
        <v/>
      </c>
      <c r="AP564" s="245">
        <f>IF(AP$7="Actual","",IF($K564="Yes",IFERROR(AP544*(1+AP$59),0),AP544))</f>
        <v/>
      </c>
      <c r="AQ564" s="245">
        <f>IF(AQ$7="Actual","",IF($K564="Yes",IFERROR(AQ544*(1+AQ$59),0),AQ544))</f>
        <v/>
      </c>
      <c r="AR564" s="245">
        <f>IF(AR$7="Actual","",IF($K564="Yes",IFERROR(AR544*(1+AR$59),0),AR544))</f>
        <v/>
      </c>
      <c r="AS564" s="245">
        <f>IF(AS$7="Actual","",IF($K564="Yes",IFERROR(AS544*(1+AS$59),0),AS544))</f>
        <v/>
      </c>
      <c r="AT564" s="245">
        <f>IF(AT$7="Actual","",IF($K564="Yes",IFERROR(AT544*(1+AT$59),0),AT544))</f>
        <v/>
      </c>
      <c r="AU564" s="245">
        <f>IF(AU$7="Actual","",IF($K564="Yes",IFERROR(AU544*(1+AU$59),0),AU544))</f>
        <v/>
      </c>
      <c r="AV564" s="245">
        <f>IF(AV$7="Actual","",IF($K564="Yes",IFERROR(AV544*(1+AV$59),0),AV544))</f>
        <v/>
      </c>
      <c r="AW564" s="245">
        <f>IF(AW$7="Actual","",IF($K564="Yes",IFERROR(AW544*(1+AW$59),0),AW544))</f>
        <v/>
      </c>
      <c r="AX564" s="245">
        <f>IF(AX$7="Actual","",IF($K564="Yes",IFERROR(AX544*(1+AX$59),0),AX544))</f>
        <v/>
      </c>
      <c r="AY564" s="245">
        <f>IF(AY$7="Actual","",IF($K564="Yes",IFERROR(AY544*(1+AY$59),0),AY544))</f>
        <v/>
      </c>
      <c r="AZ564" s="245">
        <f>IF(AZ$7="Actual","",IF($K564="Yes",IFERROR(AZ544*(1+AZ$59),0),AZ544))</f>
        <v/>
      </c>
      <c r="BA564" s="245">
        <f>IF(BA$7="Actual","",IF($K564="Yes",IFERROR(BA544*(1+BA$59),0),BA544))</f>
        <v/>
      </c>
      <c r="BB564" s="245">
        <f>IF(BB$7="Actual","",IF($K564="Yes",IFERROR(BB544*(1+BB$59),0),BB544))</f>
        <v/>
      </c>
      <c r="BC564" s="245">
        <f>IF(BC$7="Actual","",IF($K564="Yes",IFERROR(BC544*(1+BC$59),0),BC544))</f>
        <v/>
      </c>
      <c r="BD564" s="245">
        <f>IF(BD$7="Actual","",IF($K564="Yes",IFERROR(BD544*(1+BD$59),0),BD544))</f>
        <v/>
      </c>
      <c r="BE564" s="245">
        <f>IF(BE$7="Actual","",IF($K564="Yes",IFERROR(BE544*(1+BE$59),0),BE544))</f>
        <v/>
      </c>
      <c r="BF564" s="245">
        <f>IF(BF$7="Actual","",IF($K564="Yes",IFERROR(BF544*(1+BF$59),0),BF544))</f>
        <v/>
      </c>
      <c r="BG564" s="245">
        <f>IF(BG$7="Actual","",IF($K564="Yes",IFERROR(BG544*(1+BG$59),0),BG544))</f>
        <v/>
      </c>
      <c r="BH564" s="245">
        <f>IF(BH$7="Actual","",IF($K564="Yes",IFERROR(BH544*(1+BH$59),0),BH544))</f>
        <v/>
      </c>
      <c r="BI564" s="245">
        <f>IF(BI$7="Actual","",IF($K564="Yes",IFERROR(BI544*(1+BI$59),0),BI544))</f>
        <v/>
      </c>
      <c r="BJ564" s="245">
        <f>IF(BJ$7="Actual","",IF($K564="Yes",IFERROR(BJ544*(1+BJ$59),0),BJ544))</f>
        <v/>
      </c>
      <c r="BK564" s="245">
        <f>IF(BK$7="Actual","",IF($K564="Yes",IFERROR(BK544*(1+BK$59),0),BK544))</f>
        <v/>
      </c>
      <c r="BL564" s="245">
        <f>IF(BL$7="Actual","",IF($K564="Yes",IFERROR(BL544*(1+BL$59),0),BL544))</f>
        <v/>
      </c>
      <c r="BM564" s="245">
        <f>IF(BM$7="Actual","",IF($K564="Yes",IFERROR(BM544*(1+BM$59),0),BM544))</f>
        <v/>
      </c>
      <c r="BN564" s="245">
        <f>IF(BN$7="Actual","",IF($K564="Yes",IFERROR(BN544*(1+BN$59),0),BN544))</f>
        <v/>
      </c>
      <c r="BO564" s="245">
        <f>IF(BO$7="Actual","",IF($K564="Yes",IFERROR(BO544*(1+BO$59),0),BO544))</f>
        <v/>
      </c>
      <c r="BP564" s="245">
        <f>IF(BP$7="Actual","",IF($K564="Yes",IFERROR(BP544*(1+BP$59),0),BP544))</f>
        <v/>
      </c>
      <c r="BQ564" s="245">
        <f>IF(BQ$7="Actual","",IF($K564="Yes",IFERROR(BQ544*(1+BQ$59),0),BQ544))</f>
        <v/>
      </c>
      <c r="BR564" s="245">
        <f>IF(BR$7="Actual","",IF($K564="Yes",IFERROR(BR544*(1+BR$59),0),BR544))</f>
        <v/>
      </c>
      <c r="BS564" s="245">
        <f>IF(BS$7="Actual","",IF($K564="Yes",IFERROR(BS544*(1+BS$59),0),BS544))</f>
        <v/>
      </c>
      <c r="BT564" s="245">
        <f>IF(BT$7="Actual","",IF($K564="Yes",IFERROR(BT544*(1+BT$59),0),BT544))</f>
        <v/>
      </c>
      <c r="BU564" s="245">
        <f>IF(BU$7="Actual","",IF($K564="Yes",IFERROR(BU544*(1+BU$59),0),BU544))</f>
        <v/>
      </c>
      <c r="BV564" s="245">
        <f>IF(BV$7="Actual","",IF($K564="Yes",IFERROR(BV544*(1+BV$59),0),BV544))</f>
        <v/>
      </c>
      <c r="BW564" s="245">
        <f>IF(BW$7="Actual","",IF($K564="Yes",IFERROR(BW544*(1+BW$59),0),BW544))</f>
        <v/>
      </c>
      <c r="BX564" s="245">
        <f>IF(BX$7="Actual","",IF($K564="Yes",IFERROR(BX544*(1+BX$59),0),BX544))</f>
        <v/>
      </c>
      <c r="BY564" s="245">
        <f>IF(BY$7="Actual","",IF($K564="Yes",IFERROR(BY544*(1+BY$59),0),BY544))</f>
        <v/>
      </c>
      <c r="BZ564" s="245">
        <f>IF(BZ$7="Actual","",IF($K564="Yes",IFERROR(BZ544*(1+BZ$59),0),BZ544))</f>
        <v/>
      </c>
      <c r="CA564" s="245">
        <f>IF(CA$7="Actual","",IF($K564="Yes",IFERROR(CA544*(1+CA$59),0),CA544))</f>
        <v/>
      </c>
    </row>
    <row r="565" ht="12" customHeight="1" s="227">
      <c r="A565" s="244" t="n"/>
      <c r="B565" s="244" t="n"/>
      <c r="C565" s="244" t="n"/>
      <c r="H565" s="4">
        <f>H545</f>
        <v/>
      </c>
      <c r="I565" s="27">
        <f>i_Setup!$M$16</f>
        <v/>
      </c>
      <c r="K565" s="259">
        <f>i_Setup!P109</f>
        <v/>
      </c>
      <c r="M565" s="245">
        <f>SUMIF($T$4:$CA$4,M$4,$T565:$CA565)</f>
        <v/>
      </c>
      <c r="N565" s="245">
        <f>SUMIF($T$4:$CA$4,N$4,$T565:$CA565)</f>
        <v/>
      </c>
      <c r="O565" s="245">
        <f>SUMIF($T$4:$CA$4,O$4,$T565:$CA565)</f>
        <v/>
      </c>
      <c r="P565" s="245">
        <f>SUMIF($T$4:$CA$4,P$4,$T565:$CA565)</f>
        <v/>
      </c>
      <c r="Q565" s="245">
        <f>SUMIF($T$4:$CA$4,Q$4,$T565:$CA565)</f>
        <v/>
      </c>
      <c r="T565" s="245">
        <f>IF(T$7="Actual","",IF($K565="Yes",IFERROR(T545*(1+T$59),0),T545))</f>
        <v/>
      </c>
      <c r="U565" s="245">
        <f>IF(U$7="Actual","",IF($K565="Yes",IFERROR(U545*(1+U$59),0),U545))</f>
        <v/>
      </c>
      <c r="V565" s="245">
        <f>IF(V$7="Actual","",IF($K565="Yes",IFERROR(V545*(1+V$59),0),V545))</f>
        <v/>
      </c>
      <c r="W565" s="245">
        <f>IF(W$7="Actual","",IF($K565="Yes",IFERROR(W545*(1+W$59),0),W545))</f>
        <v/>
      </c>
      <c r="X565" s="245">
        <f>IF(X$7="Actual","",IF($K565="Yes",IFERROR(X545*(1+X$59),0),X545))</f>
        <v/>
      </c>
      <c r="Y565" s="245">
        <f>IF(Y$7="Actual","",IF($K565="Yes",IFERROR(Y545*(1+Y$59),0),Y545))</f>
        <v/>
      </c>
      <c r="Z565" s="245">
        <f>IF(Z$7="Actual","",IF($K565="Yes",IFERROR(Z545*(1+Z$59),0),Z545))</f>
        <v/>
      </c>
      <c r="AA565" s="245">
        <f>IF(AA$7="Actual","",IF($K565="Yes",IFERROR(AA545*(1+AA$59),0),AA545))</f>
        <v/>
      </c>
      <c r="AB565" s="245">
        <f>IF(AB$7="Actual","",IF($K565="Yes",IFERROR(AB545*(1+AB$59),0),AB545))</f>
        <v/>
      </c>
      <c r="AC565" s="245">
        <f>IF(AC$7="Actual","",IF($K565="Yes",IFERROR(AC545*(1+AC$59),0),AC545))</f>
        <v/>
      </c>
      <c r="AD565" s="245">
        <f>IF(AD$7="Actual","",IF($K565="Yes",IFERROR(AD545*(1+AD$59),0),AD545))</f>
        <v/>
      </c>
      <c r="AE565" s="245">
        <f>IF(AE$7="Actual","",IF($K565="Yes",IFERROR(AE545*(1+AE$59),0),AE545))</f>
        <v/>
      </c>
      <c r="AF565" s="245">
        <f>IF(AF$7="Actual","",IF($K565="Yes",IFERROR(AF545*(1+AF$59),0),AF545))</f>
        <v/>
      </c>
      <c r="AG565" s="245">
        <f>IF(AG$7="Actual","",IF($K565="Yes",IFERROR(AG545*(1+AG$59),0),AG545))</f>
        <v/>
      </c>
      <c r="AH565" s="245">
        <f>IF(AH$7="Actual","",IF($K565="Yes",IFERROR(AH545*(1+AH$59),0),AH545))</f>
        <v/>
      </c>
      <c r="AI565" s="245">
        <f>IF(AI$7="Actual","",IF($K565="Yes",IFERROR(AI545*(1+AI$59),0),AI545))</f>
        <v/>
      </c>
      <c r="AJ565" s="245">
        <f>IF(AJ$7="Actual","",IF($K565="Yes",IFERROR(AJ545*(1+AJ$59),0),AJ545))</f>
        <v/>
      </c>
      <c r="AK565" s="245">
        <f>IF(AK$7="Actual","",IF($K565="Yes",IFERROR(AK545*(1+AK$59),0),AK545))</f>
        <v/>
      </c>
      <c r="AL565" s="245">
        <f>IF(AL$7="Actual","",IF($K565="Yes",IFERROR(AL545*(1+AL$59),0),AL545))</f>
        <v/>
      </c>
      <c r="AM565" s="245">
        <f>IF(AM$7="Actual","",IF($K565="Yes",IFERROR(AM545*(1+AM$59),0),AM545))</f>
        <v/>
      </c>
      <c r="AN565" s="245">
        <f>IF(AN$7="Actual","",IF($K565="Yes",IFERROR(AN545*(1+AN$59),0),AN545))</f>
        <v/>
      </c>
      <c r="AO565" s="245">
        <f>IF(AO$7="Actual","",IF($K565="Yes",IFERROR(AO545*(1+AO$59),0),AO545))</f>
        <v/>
      </c>
      <c r="AP565" s="245">
        <f>IF(AP$7="Actual","",IF($K565="Yes",IFERROR(AP545*(1+AP$59),0),AP545))</f>
        <v/>
      </c>
      <c r="AQ565" s="245">
        <f>IF(AQ$7="Actual","",IF($K565="Yes",IFERROR(AQ545*(1+AQ$59),0),AQ545))</f>
        <v/>
      </c>
      <c r="AR565" s="245">
        <f>IF(AR$7="Actual","",IF($K565="Yes",IFERROR(AR545*(1+AR$59),0),AR545))</f>
        <v/>
      </c>
      <c r="AS565" s="245">
        <f>IF(AS$7="Actual","",IF($K565="Yes",IFERROR(AS545*(1+AS$59),0),AS545))</f>
        <v/>
      </c>
      <c r="AT565" s="245">
        <f>IF(AT$7="Actual","",IF($K565="Yes",IFERROR(AT545*(1+AT$59),0),AT545))</f>
        <v/>
      </c>
      <c r="AU565" s="245">
        <f>IF(AU$7="Actual","",IF($K565="Yes",IFERROR(AU545*(1+AU$59),0),AU545))</f>
        <v/>
      </c>
      <c r="AV565" s="245">
        <f>IF(AV$7="Actual","",IF($K565="Yes",IFERROR(AV545*(1+AV$59),0),AV545))</f>
        <v/>
      </c>
      <c r="AW565" s="245">
        <f>IF(AW$7="Actual","",IF($K565="Yes",IFERROR(AW545*(1+AW$59),0),AW545))</f>
        <v/>
      </c>
      <c r="AX565" s="245">
        <f>IF(AX$7="Actual","",IF($K565="Yes",IFERROR(AX545*(1+AX$59),0),AX545))</f>
        <v/>
      </c>
      <c r="AY565" s="245">
        <f>IF(AY$7="Actual","",IF($K565="Yes",IFERROR(AY545*(1+AY$59),0),AY545))</f>
        <v/>
      </c>
      <c r="AZ565" s="245">
        <f>IF(AZ$7="Actual","",IF($K565="Yes",IFERROR(AZ545*(1+AZ$59),0),AZ545))</f>
        <v/>
      </c>
      <c r="BA565" s="245">
        <f>IF(BA$7="Actual","",IF($K565="Yes",IFERROR(BA545*(1+BA$59),0),BA545))</f>
        <v/>
      </c>
      <c r="BB565" s="245">
        <f>IF(BB$7="Actual","",IF($K565="Yes",IFERROR(BB545*(1+BB$59),0),BB545))</f>
        <v/>
      </c>
      <c r="BC565" s="245">
        <f>IF(BC$7="Actual","",IF($K565="Yes",IFERROR(BC545*(1+BC$59),0),BC545))</f>
        <v/>
      </c>
      <c r="BD565" s="245">
        <f>IF(BD$7="Actual","",IF($K565="Yes",IFERROR(BD545*(1+BD$59),0),BD545))</f>
        <v/>
      </c>
      <c r="BE565" s="245">
        <f>IF(BE$7="Actual","",IF($K565="Yes",IFERROR(BE545*(1+BE$59),0),BE545))</f>
        <v/>
      </c>
      <c r="BF565" s="245">
        <f>IF(BF$7="Actual","",IF($K565="Yes",IFERROR(BF545*(1+BF$59),0),BF545))</f>
        <v/>
      </c>
      <c r="BG565" s="245">
        <f>IF(BG$7="Actual","",IF($K565="Yes",IFERROR(BG545*(1+BG$59),0),BG545))</f>
        <v/>
      </c>
      <c r="BH565" s="245">
        <f>IF(BH$7="Actual","",IF($K565="Yes",IFERROR(BH545*(1+BH$59),0),BH545))</f>
        <v/>
      </c>
      <c r="BI565" s="245">
        <f>IF(BI$7="Actual","",IF($K565="Yes",IFERROR(BI545*(1+BI$59),0),BI545))</f>
        <v/>
      </c>
      <c r="BJ565" s="245">
        <f>IF(BJ$7="Actual","",IF($K565="Yes",IFERROR(BJ545*(1+BJ$59),0),BJ545))</f>
        <v/>
      </c>
      <c r="BK565" s="245">
        <f>IF(BK$7="Actual","",IF($K565="Yes",IFERROR(BK545*(1+BK$59),0),BK545))</f>
        <v/>
      </c>
      <c r="BL565" s="245">
        <f>IF(BL$7="Actual","",IF($K565="Yes",IFERROR(BL545*(1+BL$59),0),BL545))</f>
        <v/>
      </c>
      <c r="BM565" s="245">
        <f>IF(BM$7="Actual","",IF($K565="Yes",IFERROR(BM545*(1+BM$59),0),BM545))</f>
        <v/>
      </c>
      <c r="BN565" s="245">
        <f>IF(BN$7="Actual","",IF($K565="Yes",IFERROR(BN545*(1+BN$59),0),BN545))</f>
        <v/>
      </c>
      <c r="BO565" s="245">
        <f>IF(BO$7="Actual","",IF($K565="Yes",IFERROR(BO545*(1+BO$59),0),BO545))</f>
        <v/>
      </c>
      <c r="BP565" s="245">
        <f>IF(BP$7="Actual","",IF($K565="Yes",IFERROR(BP545*(1+BP$59),0),BP545))</f>
        <v/>
      </c>
      <c r="BQ565" s="245">
        <f>IF(BQ$7="Actual","",IF($K565="Yes",IFERROR(BQ545*(1+BQ$59),0),BQ545))</f>
        <v/>
      </c>
      <c r="BR565" s="245">
        <f>IF(BR$7="Actual","",IF($K565="Yes",IFERROR(BR545*(1+BR$59),0),BR545))</f>
        <v/>
      </c>
      <c r="BS565" s="245">
        <f>IF(BS$7="Actual","",IF($K565="Yes",IFERROR(BS545*(1+BS$59),0),BS545))</f>
        <v/>
      </c>
      <c r="BT565" s="245">
        <f>IF(BT$7="Actual","",IF($K565="Yes",IFERROR(BT545*(1+BT$59),0),BT545))</f>
        <v/>
      </c>
      <c r="BU565" s="245">
        <f>IF(BU$7="Actual","",IF($K565="Yes",IFERROR(BU545*(1+BU$59),0),BU545))</f>
        <v/>
      </c>
      <c r="BV565" s="245">
        <f>IF(BV$7="Actual","",IF($K565="Yes",IFERROR(BV545*(1+BV$59),0),BV545))</f>
        <v/>
      </c>
      <c r="BW565" s="245">
        <f>IF(BW$7="Actual","",IF($K565="Yes",IFERROR(BW545*(1+BW$59),0),BW545))</f>
        <v/>
      </c>
      <c r="BX565" s="245">
        <f>IF(BX$7="Actual","",IF($K565="Yes",IFERROR(BX545*(1+BX$59),0),BX545))</f>
        <v/>
      </c>
      <c r="BY565" s="245">
        <f>IF(BY$7="Actual","",IF($K565="Yes",IFERROR(BY545*(1+BY$59),0),BY545))</f>
        <v/>
      </c>
      <c r="BZ565" s="245">
        <f>IF(BZ$7="Actual","",IF($K565="Yes",IFERROR(BZ545*(1+BZ$59),0),BZ545))</f>
        <v/>
      </c>
      <c r="CA565" s="245">
        <f>IF(CA$7="Actual","",IF($K565="Yes",IFERROR(CA545*(1+CA$59),0),CA545))</f>
        <v/>
      </c>
    </row>
    <row r="566" ht="12" customHeight="1" s="227">
      <c r="A566" s="244" t="n"/>
      <c r="B566" s="244" t="n"/>
      <c r="C566" s="244" t="n"/>
      <c r="H566" s="4">
        <f>H546</f>
        <v/>
      </c>
      <c r="I566" s="27">
        <f>i_Setup!$M$16</f>
        <v/>
      </c>
      <c r="K566" s="259">
        <f>i_Setup!P110</f>
        <v/>
      </c>
      <c r="M566" s="245">
        <f>SUMIF($T$4:$CA$4,M$4,$T566:$CA566)</f>
        <v/>
      </c>
      <c r="N566" s="245">
        <f>SUMIF($T$4:$CA$4,N$4,$T566:$CA566)</f>
        <v/>
      </c>
      <c r="O566" s="245">
        <f>SUMIF($T$4:$CA$4,O$4,$T566:$CA566)</f>
        <v/>
      </c>
      <c r="P566" s="245">
        <f>SUMIF($T$4:$CA$4,P$4,$T566:$CA566)</f>
        <v/>
      </c>
      <c r="Q566" s="245">
        <f>SUMIF($T$4:$CA$4,Q$4,$T566:$CA566)</f>
        <v/>
      </c>
      <c r="T566" s="245">
        <f>IF(T$7="Actual","",IF($K566="Yes",IFERROR(T546*(1+T$59),0),T546))</f>
        <v/>
      </c>
      <c r="U566" s="245">
        <f>IF(U$7="Actual","",IF($K566="Yes",IFERROR(U546*(1+U$59),0),U546))</f>
        <v/>
      </c>
      <c r="V566" s="245">
        <f>IF(V$7="Actual","",IF($K566="Yes",IFERROR(V546*(1+V$59),0),V546))</f>
        <v/>
      </c>
      <c r="W566" s="245">
        <f>IF(W$7="Actual","",IF($K566="Yes",IFERROR(W546*(1+W$59),0),W546))</f>
        <v/>
      </c>
      <c r="X566" s="245">
        <f>IF(X$7="Actual","",IF($K566="Yes",IFERROR(X546*(1+X$59),0),X546))</f>
        <v/>
      </c>
      <c r="Y566" s="245">
        <f>IF(Y$7="Actual","",IF($K566="Yes",IFERROR(Y546*(1+Y$59),0),Y546))</f>
        <v/>
      </c>
      <c r="Z566" s="245">
        <f>IF(Z$7="Actual","",IF($K566="Yes",IFERROR(Z546*(1+Z$59),0),Z546))</f>
        <v/>
      </c>
      <c r="AA566" s="245">
        <f>IF(AA$7="Actual","",IF($K566="Yes",IFERROR(AA546*(1+AA$59),0),AA546))</f>
        <v/>
      </c>
      <c r="AB566" s="245">
        <f>IF(AB$7="Actual","",IF($K566="Yes",IFERROR(AB546*(1+AB$59),0),AB546))</f>
        <v/>
      </c>
      <c r="AC566" s="245">
        <f>IF(AC$7="Actual","",IF($K566="Yes",IFERROR(AC546*(1+AC$59),0),AC546))</f>
        <v/>
      </c>
      <c r="AD566" s="245">
        <f>IF(AD$7="Actual","",IF($K566="Yes",IFERROR(AD546*(1+AD$59),0),AD546))</f>
        <v/>
      </c>
      <c r="AE566" s="245">
        <f>IF(AE$7="Actual","",IF($K566="Yes",IFERROR(AE546*(1+AE$59),0),AE546))</f>
        <v/>
      </c>
      <c r="AF566" s="245">
        <f>IF(AF$7="Actual","",IF($K566="Yes",IFERROR(AF546*(1+AF$59),0),AF546))</f>
        <v/>
      </c>
      <c r="AG566" s="245">
        <f>IF(AG$7="Actual","",IF($K566="Yes",IFERROR(AG546*(1+AG$59),0),AG546))</f>
        <v/>
      </c>
      <c r="AH566" s="245">
        <f>IF(AH$7="Actual","",IF($K566="Yes",IFERROR(AH546*(1+AH$59),0),AH546))</f>
        <v/>
      </c>
      <c r="AI566" s="245">
        <f>IF(AI$7="Actual","",IF($K566="Yes",IFERROR(AI546*(1+AI$59),0),AI546))</f>
        <v/>
      </c>
      <c r="AJ566" s="245">
        <f>IF(AJ$7="Actual","",IF($K566="Yes",IFERROR(AJ546*(1+AJ$59),0),AJ546))</f>
        <v/>
      </c>
      <c r="AK566" s="245">
        <f>IF(AK$7="Actual","",IF($K566="Yes",IFERROR(AK546*(1+AK$59),0),AK546))</f>
        <v/>
      </c>
      <c r="AL566" s="245">
        <f>IF(AL$7="Actual","",IF($K566="Yes",IFERROR(AL546*(1+AL$59),0),AL546))</f>
        <v/>
      </c>
      <c r="AM566" s="245">
        <f>IF(AM$7="Actual","",IF($K566="Yes",IFERROR(AM546*(1+AM$59),0),AM546))</f>
        <v/>
      </c>
      <c r="AN566" s="245">
        <f>IF(AN$7="Actual","",IF($K566="Yes",IFERROR(AN546*(1+AN$59),0),AN546))</f>
        <v/>
      </c>
      <c r="AO566" s="245">
        <f>IF(AO$7="Actual","",IF($K566="Yes",IFERROR(AO546*(1+AO$59),0),AO546))</f>
        <v/>
      </c>
      <c r="AP566" s="245">
        <f>IF(AP$7="Actual","",IF($K566="Yes",IFERROR(AP546*(1+AP$59),0),AP546))</f>
        <v/>
      </c>
      <c r="AQ566" s="245">
        <f>IF(AQ$7="Actual","",IF($K566="Yes",IFERROR(AQ546*(1+AQ$59),0),AQ546))</f>
        <v/>
      </c>
      <c r="AR566" s="245">
        <f>IF(AR$7="Actual","",IF($K566="Yes",IFERROR(AR546*(1+AR$59),0),AR546))</f>
        <v/>
      </c>
      <c r="AS566" s="245">
        <f>IF(AS$7="Actual","",IF($K566="Yes",IFERROR(AS546*(1+AS$59),0),AS546))</f>
        <v/>
      </c>
      <c r="AT566" s="245">
        <f>IF(AT$7="Actual","",IF($K566="Yes",IFERROR(AT546*(1+AT$59),0),AT546))</f>
        <v/>
      </c>
      <c r="AU566" s="245">
        <f>IF(AU$7="Actual","",IF($K566="Yes",IFERROR(AU546*(1+AU$59),0),AU546))</f>
        <v/>
      </c>
      <c r="AV566" s="245">
        <f>IF(AV$7="Actual","",IF($K566="Yes",IFERROR(AV546*(1+AV$59),0),AV546))</f>
        <v/>
      </c>
      <c r="AW566" s="245">
        <f>IF(AW$7="Actual","",IF($K566="Yes",IFERROR(AW546*(1+AW$59),0),AW546))</f>
        <v/>
      </c>
      <c r="AX566" s="245">
        <f>IF(AX$7="Actual","",IF($K566="Yes",IFERROR(AX546*(1+AX$59),0),AX546))</f>
        <v/>
      </c>
      <c r="AY566" s="245">
        <f>IF(AY$7="Actual","",IF($K566="Yes",IFERROR(AY546*(1+AY$59),0),AY546))</f>
        <v/>
      </c>
      <c r="AZ566" s="245">
        <f>IF(AZ$7="Actual","",IF($K566="Yes",IFERROR(AZ546*(1+AZ$59),0),AZ546))</f>
        <v/>
      </c>
      <c r="BA566" s="245">
        <f>IF(BA$7="Actual","",IF($K566="Yes",IFERROR(BA546*(1+BA$59),0),BA546))</f>
        <v/>
      </c>
      <c r="BB566" s="245">
        <f>IF(BB$7="Actual","",IF($K566="Yes",IFERROR(BB546*(1+BB$59),0),BB546))</f>
        <v/>
      </c>
      <c r="BC566" s="245">
        <f>IF(BC$7="Actual","",IF($K566="Yes",IFERROR(BC546*(1+BC$59),0),BC546))</f>
        <v/>
      </c>
      <c r="BD566" s="245">
        <f>IF(BD$7="Actual","",IF($K566="Yes",IFERROR(BD546*(1+BD$59),0),BD546))</f>
        <v/>
      </c>
      <c r="BE566" s="245">
        <f>IF(BE$7="Actual","",IF($K566="Yes",IFERROR(BE546*(1+BE$59),0),BE546))</f>
        <v/>
      </c>
      <c r="BF566" s="245">
        <f>IF(BF$7="Actual","",IF($K566="Yes",IFERROR(BF546*(1+BF$59),0),BF546))</f>
        <v/>
      </c>
      <c r="BG566" s="245">
        <f>IF(BG$7="Actual","",IF($K566="Yes",IFERROR(BG546*(1+BG$59),0),BG546))</f>
        <v/>
      </c>
      <c r="BH566" s="245">
        <f>IF(BH$7="Actual","",IF($K566="Yes",IFERROR(BH546*(1+BH$59),0),BH546))</f>
        <v/>
      </c>
      <c r="BI566" s="245">
        <f>IF(BI$7="Actual","",IF($K566="Yes",IFERROR(BI546*(1+BI$59),0),BI546))</f>
        <v/>
      </c>
      <c r="BJ566" s="245">
        <f>IF(BJ$7="Actual","",IF($K566="Yes",IFERROR(BJ546*(1+BJ$59),0),BJ546))</f>
        <v/>
      </c>
      <c r="BK566" s="245">
        <f>IF(BK$7="Actual","",IF($K566="Yes",IFERROR(BK546*(1+BK$59),0),BK546))</f>
        <v/>
      </c>
      <c r="BL566" s="245">
        <f>IF(BL$7="Actual","",IF($K566="Yes",IFERROR(BL546*(1+BL$59),0),BL546))</f>
        <v/>
      </c>
      <c r="BM566" s="245">
        <f>IF(BM$7="Actual","",IF($K566="Yes",IFERROR(BM546*(1+BM$59),0),BM546))</f>
        <v/>
      </c>
      <c r="BN566" s="245">
        <f>IF(BN$7="Actual","",IF($K566="Yes",IFERROR(BN546*(1+BN$59),0),BN546))</f>
        <v/>
      </c>
      <c r="BO566" s="245">
        <f>IF(BO$7="Actual","",IF($K566="Yes",IFERROR(BO546*(1+BO$59),0),BO546))</f>
        <v/>
      </c>
      <c r="BP566" s="245">
        <f>IF(BP$7="Actual","",IF($K566="Yes",IFERROR(BP546*(1+BP$59),0),BP546))</f>
        <v/>
      </c>
      <c r="BQ566" s="245">
        <f>IF(BQ$7="Actual","",IF($K566="Yes",IFERROR(BQ546*(1+BQ$59),0),BQ546))</f>
        <v/>
      </c>
      <c r="BR566" s="245">
        <f>IF(BR$7="Actual","",IF($K566="Yes",IFERROR(BR546*(1+BR$59),0),BR546))</f>
        <v/>
      </c>
      <c r="BS566" s="245">
        <f>IF(BS$7="Actual","",IF($K566="Yes",IFERROR(BS546*(1+BS$59),0),BS546))</f>
        <v/>
      </c>
      <c r="BT566" s="245">
        <f>IF(BT$7="Actual","",IF($K566="Yes",IFERROR(BT546*(1+BT$59),0),BT546))</f>
        <v/>
      </c>
      <c r="BU566" s="245">
        <f>IF(BU$7="Actual","",IF($K566="Yes",IFERROR(BU546*(1+BU$59),0),BU546))</f>
        <v/>
      </c>
      <c r="BV566" s="245">
        <f>IF(BV$7="Actual","",IF($K566="Yes",IFERROR(BV546*(1+BV$59),0),BV546))</f>
        <v/>
      </c>
      <c r="BW566" s="245">
        <f>IF(BW$7="Actual","",IF($K566="Yes",IFERROR(BW546*(1+BW$59),0),BW546))</f>
        <v/>
      </c>
      <c r="BX566" s="245">
        <f>IF(BX$7="Actual","",IF($K566="Yes",IFERROR(BX546*(1+BX$59),0),BX546))</f>
        <v/>
      </c>
      <c r="BY566" s="245">
        <f>IF(BY$7="Actual","",IF($K566="Yes",IFERROR(BY546*(1+BY$59),0),BY546))</f>
        <v/>
      </c>
      <c r="BZ566" s="245">
        <f>IF(BZ$7="Actual","",IF($K566="Yes",IFERROR(BZ546*(1+BZ$59),0),BZ546))</f>
        <v/>
      </c>
      <c r="CA566" s="245">
        <f>IF(CA$7="Actual","",IF($K566="Yes",IFERROR(CA546*(1+CA$59),0),CA546))</f>
        <v/>
      </c>
    </row>
    <row r="567" ht="12" customHeight="1" s="227" thickBot="1">
      <c r="A567" s="244" t="n"/>
      <c r="B567" s="244" t="n"/>
      <c r="C567" s="244" t="n"/>
      <c r="H567" s="42" t="inlineStr">
        <is>
          <t>Total Other Expenses</t>
        </is>
      </c>
      <c r="I567" s="43">
        <f>i_Setup!$M$16</f>
        <v/>
      </c>
      <c r="K567" s="6" t="n"/>
      <c r="M567" s="264">
        <f>SUMIF($T$4:$CA$4,M$4,$T567:$CA567)</f>
        <v/>
      </c>
      <c r="N567" s="264">
        <f>SUMIF($T$4:$CA$4,N$4,$T567:$CA567)</f>
        <v/>
      </c>
      <c r="O567" s="264">
        <f>SUMIF($T$4:$CA$4,O$4,$T567:$CA567)</f>
        <v/>
      </c>
      <c r="P567" s="264">
        <f>SUMIF($T$4:$CA$4,P$4,$T567:$CA567)</f>
        <v/>
      </c>
      <c r="Q567" s="264">
        <f>SUMIF($T$4:$CA$4,Q$4,$T567:$CA567)</f>
        <v/>
      </c>
      <c r="T567" s="264">
        <f>IF(T$7&lt;&gt;"",SUM(T552:T566),"")</f>
        <v/>
      </c>
      <c r="U567" s="264">
        <f>IF(U$7&lt;&gt;"",SUM(U552:U566),"")</f>
        <v/>
      </c>
      <c r="V567" s="264">
        <f>IF(V$7&lt;&gt;"",SUM(V552:V566),"")</f>
        <v/>
      </c>
      <c r="W567" s="264">
        <f>IF(W$7&lt;&gt;"",SUM(W552:W566),"")</f>
        <v/>
      </c>
      <c r="X567" s="264">
        <f>IF(X$7&lt;&gt;"",SUM(X552:X566),"")</f>
        <v/>
      </c>
      <c r="Y567" s="264">
        <f>IF(Y$7&lt;&gt;"",SUM(Y552:Y566),"")</f>
        <v/>
      </c>
      <c r="Z567" s="264">
        <f>IF(Z$7&lt;&gt;"",SUM(Z552:Z566),"")</f>
        <v/>
      </c>
      <c r="AA567" s="264">
        <f>IF(AA$7&lt;&gt;"",SUM(AA552:AA566),"")</f>
        <v/>
      </c>
      <c r="AB567" s="264">
        <f>IF(AB$7&lt;&gt;"",SUM(AB552:AB566),"")</f>
        <v/>
      </c>
      <c r="AC567" s="264">
        <f>IF(AC$7&lt;&gt;"",SUM(AC552:AC566),"")</f>
        <v/>
      </c>
      <c r="AD567" s="264">
        <f>IF(AD$7&lt;&gt;"",SUM(AD552:AD566),"")</f>
        <v/>
      </c>
      <c r="AE567" s="264">
        <f>IF(AE$7&lt;&gt;"",SUM(AE552:AE566),"")</f>
        <v/>
      </c>
      <c r="AF567" s="264">
        <f>IF(AF$7&lt;&gt;"",SUM(AF552:AF566),"")</f>
        <v/>
      </c>
      <c r="AG567" s="264">
        <f>IF(AG$7&lt;&gt;"",SUM(AG552:AG566),"")</f>
        <v/>
      </c>
      <c r="AH567" s="264">
        <f>IF(AH$7&lt;&gt;"",SUM(AH552:AH566),"")</f>
        <v/>
      </c>
      <c r="AI567" s="264">
        <f>IF(AI$7&lt;&gt;"",SUM(AI552:AI566),"")</f>
        <v/>
      </c>
      <c r="AJ567" s="264">
        <f>IF(AJ$7&lt;&gt;"",SUM(AJ552:AJ566),"")</f>
        <v/>
      </c>
      <c r="AK567" s="264">
        <f>IF(AK$7&lt;&gt;"",SUM(AK552:AK566),"")</f>
        <v/>
      </c>
      <c r="AL567" s="264">
        <f>IF(AL$7&lt;&gt;"",SUM(AL552:AL566),"")</f>
        <v/>
      </c>
      <c r="AM567" s="264">
        <f>IF(AM$7&lt;&gt;"",SUM(AM552:AM566),"")</f>
        <v/>
      </c>
      <c r="AN567" s="264">
        <f>IF(AN$7&lt;&gt;"",SUM(AN552:AN566),"")</f>
        <v/>
      </c>
      <c r="AO567" s="264">
        <f>IF(AO$7&lt;&gt;"",SUM(AO552:AO566),"")</f>
        <v/>
      </c>
      <c r="AP567" s="264">
        <f>IF(AP$7&lt;&gt;"",SUM(AP552:AP566),"")</f>
        <v/>
      </c>
      <c r="AQ567" s="264">
        <f>IF(AQ$7&lt;&gt;"",SUM(AQ552:AQ566),"")</f>
        <v/>
      </c>
      <c r="AR567" s="264">
        <f>IF(AR$7&lt;&gt;"",SUM(AR552:AR566),"")</f>
        <v/>
      </c>
      <c r="AS567" s="264">
        <f>IF(AS$7&lt;&gt;"",SUM(AS552:AS566),"")</f>
        <v/>
      </c>
      <c r="AT567" s="264">
        <f>IF(AT$7&lt;&gt;"",SUM(AT552:AT566),"")</f>
        <v/>
      </c>
      <c r="AU567" s="264">
        <f>IF(AU$7&lt;&gt;"",SUM(AU552:AU566),"")</f>
        <v/>
      </c>
      <c r="AV567" s="264">
        <f>IF(AV$7&lt;&gt;"",SUM(AV552:AV566),"")</f>
        <v/>
      </c>
      <c r="AW567" s="264">
        <f>IF(AW$7&lt;&gt;"",SUM(AW552:AW566),"")</f>
        <v/>
      </c>
      <c r="AX567" s="264">
        <f>IF(AX$7&lt;&gt;"",SUM(AX552:AX566),"")</f>
        <v/>
      </c>
      <c r="AY567" s="264">
        <f>IF(AY$7&lt;&gt;"",SUM(AY552:AY566),"")</f>
        <v/>
      </c>
      <c r="AZ567" s="264">
        <f>IF(AZ$7&lt;&gt;"",SUM(AZ552:AZ566),"")</f>
        <v/>
      </c>
      <c r="BA567" s="264">
        <f>IF(BA$7&lt;&gt;"",SUM(BA552:BA566),"")</f>
        <v/>
      </c>
      <c r="BB567" s="264">
        <f>IF(BB$7&lt;&gt;"",SUM(BB552:BB566),"")</f>
        <v/>
      </c>
      <c r="BC567" s="264">
        <f>IF(BC$7&lt;&gt;"",SUM(BC552:BC566),"")</f>
        <v/>
      </c>
      <c r="BD567" s="264">
        <f>IF(BD$7&lt;&gt;"",SUM(BD552:BD566),"")</f>
        <v/>
      </c>
      <c r="BE567" s="264">
        <f>IF(BE$7&lt;&gt;"",SUM(BE552:BE566),"")</f>
        <v/>
      </c>
      <c r="BF567" s="264">
        <f>IF(BF$7&lt;&gt;"",SUM(BF552:BF566),"")</f>
        <v/>
      </c>
      <c r="BG567" s="264">
        <f>IF(BG$7&lt;&gt;"",SUM(BG552:BG566),"")</f>
        <v/>
      </c>
      <c r="BH567" s="264">
        <f>IF(BH$7&lt;&gt;"",SUM(BH552:BH566),"")</f>
        <v/>
      </c>
      <c r="BI567" s="264">
        <f>IF(BI$7&lt;&gt;"",SUM(BI552:BI566),"")</f>
        <v/>
      </c>
      <c r="BJ567" s="264">
        <f>IF(BJ$7&lt;&gt;"",SUM(BJ552:BJ566),"")</f>
        <v/>
      </c>
      <c r="BK567" s="264">
        <f>IF(BK$7&lt;&gt;"",SUM(BK552:BK566),"")</f>
        <v/>
      </c>
      <c r="BL567" s="264">
        <f>IF(BL$7&lt;&gt;"",SUM(BL552:BL566),"")</f>
        <v/>
      </c>
      <c r="BM567" s="264">
        <f>IF(BM$7&lt;&gt;"",SUM(BM552:BM566),"")</f>
        <v/>
      </c>
      <c r="BN567" s="264">
        <f>IF(BN$7&lt;&gt;"",SUM(BN552:BN566),"")</f>
        <v/>
      </c>
      <c r="BO567" s="264">
        <f>IF(BO$7&lt;&gt;"",SUM(BO552:BO566),"")</f>
        <v/>
      </c>
      <c r="BP567" s="264">
        <f>IF(BP$7&lt;&gt;"",SUM(BP552:BP566),"")</f>
        <v/>
      </c>
      <c r="BQ567" s="264">
        <f>IF(BQ$7&lt;&gt;"",SUM(BQ552:BQ566),"")</f>
        <v/>
      </c>
      <c r="BR567" s="264">
        <f>IF(BR$7&lt;&gt;"",SUM(BR552:BR566),"")</f>
        <v/>
      </c>
      <c r="BS567" s="264">
        <f>IF(BS$7&lt;&gt;"",SUM(BS552:BS566),"")</f>
        <v/>
      </c>
      <c r="BT567" s="264">
        <f>IF(BT$7&lt;&gt;"",SUM(BT552:BT566),"")</f>
        <v/>
      </c>
      <c r="BU567" s="264">
        <f>IF(BU$7&lt;&gt;"",SUM(BU552:BU566),"")</f>
        <v/>
      </c>
      <c r="BV567" s="264">
        <f>IF(BV$7&lt;&gt;"",SUM(BV552:BV566),"")</f>
        <v/>
      </c>
      <c r="BW567" s="264">
        <f>IF(BW$7&lt;&gt;"",SUM(BW552:BW566),"")</f>
        <v/>
      </c>
      <c r="BX567" s="264">
        <f>IF(BX$7&lt;&gt;"",SUM(BX552:BX566),"")</f>
        <v/>
      </c>
      <c r="BY567" s="264">
        <f>IF(BY$7&lt;&gt;"",SUM(BY552:BY566),"")</f>
        <v/>
      </c>
      <c r="BZ567" s="264">
        <f>IF(BZ$7&lt;&gt;"",SUM(BZ552:BZ566),"")</f>
        <v/>
      </c>
      <c r="CA567" s="264">
        <f>IF(CA$7&lt;&gt;"",SUM(CA552:CA566),"")</f>
        <v/>
      </c>
    </row>
    <row r="568" ht="12" customHeight="1" s="227">
      <c r="A568" s="244" t="n"/>
      <c r="B568" s="244" t="n"/>
      <c r="C568" s="244" t="n"/>
      <c r="K568" s="6" t="n"/>
    </row>
    <row r="569" ht="12" customHeight="1" s="227">
      <c r="A569" s="244" t="n"/>
      <c r="B569" s="244" t="n"/>
      <c r="C569" s="244" t="n"/>
      <c r="K569" s="6" t="n"/>
    </row>
    <row r="570" ht="12" customHeight="1" s="227">
      <c r="A570" s="244" t="n"/>
      <c r="B570" s="244" t="n"/>
      <c r="C570" s="244" t="n"/>
      <c r="K570" s="6" t="n"/>
    </row>
    <row r="571" ht="15.75" customFormat="1" customHeight="1" s="99">
      <c r="D571" s="99">
        <f>Heading1</f>
        <v/>
      </c>
      <c r="E571" s="99" t="inlineStr">
        <is>
          <t>Other Income Statement</t>
        </is>
      </c>
      <c r="K571" s="151" t="n"/>
    </row>
    <row r="572" ht="12" customHeight="1" s="227">
      <c r="A572" s="244" t="n"/>
      <c r="B572" s="244" t="n"/>
      <c r="C572" s="244" t="n"/>
      <c r="K572" s="6" t="n"/>
    </row>
    <row r="573" ht="13.5" customFormat="1" customHeight="1" s="223" thickBot="1">
      <c r="E573" s="223">
        <f>Heading2</f>
        <v/>
      </c>
      <c r="F573" s="223" t="inlineStr">
        <is>
          <t>Corporate Taxation</t>
        </is>
      </c>
      <c r="K573" s="135" t="n"/>
    </row>
    <row r="574" ht="12" customHeight="1" s="227">
      <c r="A574" s="244" t="n"/>
      <c r="B574" s="244" t="n"/>
      <c r="C574" s="244" t="n"/>
      <c r="K574" s="6" t="n"/>
    </row>
    <row r="575" ht="12" customHeight="1" s="227">
      <c r="A575" s="244" t="n"/>
      <c r="B575" s="244" t="n"/>
      <c r="C575" s="244" t="n"/>
      <c r="G575" s="222" t="inlineStr">
        <is>
          <t>Corporate Tax Expense</t>
        </is>
      </c>
      <c r="K575" s="6" t="n"/>
    </row>
    <row r="576" ht="12" customHeight="1" s="227">
      <c r="A576" s="244" t="n"/>
      <c r="B576" s="244" t="n"/>
      <c r="C576" s="244" t="n"/>
      <c r="K576" s="6" t="n"/>
    </row>
    <row r="577" ht="12" customHeight="1" s="227">
      <c r="A577" s="244" t="n"/>
      <c r="B577" s="244" t="n"/>
      <c r="C577" s="244" t="n"/>
      <c r="H577" s="4" t="inlineStr">
        <is>
          <t>Total Profit Before Tax</t>
        </is>
      </c>
      <c r="I577" s="27">
        <f>i_Setup!$M$16</f>
        <v/>
      </c>
      <c r="K577" s="6" t="n"/>
      <c r="M577" s="245">
        <f>SUMIF($T$4:$CA$4,M$4,$T577:$CA577)</f>
        <v/>
      </c>
      <c r="N577" s="245">
        <f>SUMIF($T$4:$CA$4,N$4,$T577:$CA577)</f>
        <v/>
      </c>
      <c r="O577" s="245">
        <f>SUMIF($T$4:$CA$4,O$4,$T577:$CA577)</f>
        <v/>
      </c>
      <c r="P577" s="245">
        <f>SUMIF($T$4:$CA$4,P$4,$T577:$CA577)</f>
        <v/>
      </c>
      <c r="Q577" s="245">
        <f>SUMIF($T$4:$CA$4,Q$4,$T577:$CA577)</f>
        <v/>
      </c>
      <c r="T577" s="257">
        <f>IF(T$7="Actual","",'o_Fin Stats'!T94)</f>
        <v/>
      </c>
      <c r="U577" s="257">
        <f>IF(U$7="Actual","",'o_Fin Stats'!U94)</f>
        <v/>
      </c>
      <c r="V577" s="257">
        <f>IF(V$7="Actual","",'o_Fin Stats'!V94)</f>
        <v/>
      </c>
      <c r="W577" s="257">
        <f>IF(W$7="Actual","",'o_Fin Stats'!W94)</f>
        <v/>
      </c>
      <c r="X577" s="257">
        <f>IF(X$7="Actual","",'o_Fin Stats'!X94)</f>
        <v/>
      </c>
      <c r="Y577" s="257">
        <f>IF(Y$7="Actual","",'o_Fin Stats'!Y94)</f>
        <v/>
      </c>
      <c r="Z577" s="257">
        <f>IF(Z$7="Actual","",'o_Fin Stats'!Z94)</f>
        <v/>
      </c>
      <c r="AA577" s="257">
        <f>IF(AA$7="Actual","",'o_Fin Stats'!AA94)</f>
        <v/>
      </c>
      <c r="AB577" s="257">
        <f>IF(AB$7="Actual","",'o_Fin Stats'!AB94)</f>
        <v/>
      </c>
      <c r="AC577" s="257">
        <f>IF(AC$7="Actual","",'o_Fin Stats'!AC94)</f>
        <v/>
      </c>
      <c r="AD577" s="257">
        <f>IF(AD$7="Actual","",'o_Fin Stats'!AD94)</f>
        <v/>
      </c>
      <c r="AE577" s="257">
        <f>IF(AE$7="Actual","",'o_Fin Stats'!AE94)</f>
        <v/>
      </c>
      <c r="AF577" s="257">
        <f>IF(AF$7="Actual","",'o_Fin Stats'!AF94)</f>
        <v/>
      </c>
      <c r="AG577" s="257">
        <f>IF(AG$7="Actual","",'o_Fin Stats'!AG94)</f>
        <v/>
      </c>
      <c r="AH577" s="257">
        <f>IF(AH$7="Actual","",'o_Fin Stats'!AH94)</f>
        <v/>
      </c>
      <c r="AI577" s="257">
        <f>IF(AI$7="Actual","",'o_Fin Stats'!AI94)</f>
        <v/>
      </c>
      <c r="AJ577" s="257">
        <f>IF(AJ$7="Actual","",'o_Fin Stats'!AJ94)</f>
        <v/>
      </c>
      <c r="AK577" s="257">
        <f>IF(AK$7="Actual","",'o_Fin Stats'!AK94)</f>
        <v/>
      </c>
      <c r="AL577" s="257">
        <f>IF(AL$7="Actual","",'o_Fin Stats'!AL94)</f>
        <v/>
      </c>
      <c r="AM577" s="257">
        <f>IF(AM$7="Actual","",'o_Fin Stats'!AM94)</f>
        <v/>
      </c>
      <c r="AN577" s="257">
        <f>IF(AN$7="Actual","",'o_Fin Stats'!AN94)</f>
        <v/>
      </c>
      <c r="AO577" s="257">
        <f>IF(AO$7="Actual","",'o_Fin Stats'!AO94)</f>
        <v/>
      </c>
      <c r="AP577" s="257">
        <f>IF(AP$7="Actual","",'o_Fin Stats'!AP94)</f>
        <v/>
      </c>
      <c r="AQ577" s="257">
        <f>IF(AQ$7="Actual","",'o_Fin Stats'!AQ94)</f>
        <v/>
      </c>
      <c r="AR577" s="257">
        <f>IF(AR$7="Actual","",'o_Fin Stats'!AR94)</f>
        <v/>
      </c>
      <c r="AS577" s="257">
        <f>IF(AS$7="Actual","",'o_Fin Stats'!AS94)</f>
        <v/>
      </c>
      <c r="AT577" s="257">
        <f>IF(AT$7="Actual","",'o_Fin Stats'!AT94)</f>
        <v/>
      </c>
      <c r="AU577" s="257">
        <f>IF(AU$7="Actual","",'o_Fin Stats'!AU94)</f>
        <v/>
      </c>
      <c r="AV577" s="257">
        <f>IF(AV$7="Actual","",'o_Fin Stats'!AV94)</f>
        <v/>
      </c>
      <c r="AW577" s="257">
        <f>IF(AW$7="Actual","",'o_Fin Stats'!AW94)</f>
        <v/>
      </c>
      <c r="AX577" s="257">
        <f>IF(AX$7="Actual","",'o_Fin Stats'!AX94)</f>
        <v/>
      </c>
      <c r="AY577" s="257">
        <f>IF(AY$7="Actual","",'o_Fin Stats'!AY94)</f>
        <v/>
      </c>
      <c r="AZ577" s="257">
        <f>IF(AZ$7="Actual","",'o_Fin Stats'!AZ94)</f>
        <v/>
      </c>
      <c r="BA577" s="257">
        <f>IF(BA$7="Actual","",'o_Fin Stats'!BA94)</f>
        <v/>
      </c>
      <c r="BB577" s="257">
        <f>IF(BB$7="Actual","",'o_Fin Stats'!BB94)</f>
        <v/>
      </c>
      <c r="BC577" s="257">
        <f>IF(BC$7="Actual","",'o_Fin Stats'!BC94)</f>
        <v/>
      </c>
      <c r="BD577" s="257">
        <f>IF(BD$7="Actual","",'o_Fin Stats'!BD94)</f>
        <v/>
      </c>
      <c r="BE577" s="257">
        <f>IF(BE$7="Actual","",'o_Fin Stats'!BE94)</f>
        <v/>
      </c>
      <c r="BF577" s="257">
        <f>IF(BF$7="Actual","",'o_Fin Stats'!BF94)</f>
        <v/>
      </c>
      <c r="BG577" s="257">
        <f>IF(BG$7="Actual","",'o_Fin Stats'!BG94)</f>
        <v/>
      </c>
      <c r="BH577" s="257">
        <f>IF(BH$7="Actual","",'o_Fin Stats'!BH94)</f>
        <v/>
      </c>
      <c r="BI577" s="257">
        <f>IF(BI$7="Actual","",'o_Fin Stats'!BI94)</f>
        <v/>
      </c>
      <c r="BJ577" s="257">
        <f>IF(BJ$7="Actual","",'o_Fin Stats'!BJ94)</f>
        <v/>
      </c>
      <c r="BK577" s="257">
        <f>IF(BK$7="Actual","",'o_Fin Stats'!BK94)</f>
        <v/>
      </c>
      <c r="BL577" s="257">
        <f>IF(BL$7="Actual","",'o_Fin Stats'!BL94)</f>
        <v/>
      </c>
      <c r="BM577" s="257">
        <f>IF(BM$7="Actual","",'o_Fin Stats'!BM94)</f>
        <v/>
      </c>
      <c r="BN577" s="257">
        <f>IF(BN$7="Actual","",'o_Fin Stats'!BN94)</f>
        <v/>
      </c>
      <c r="BO577" s="257">
        <f>IF(BO$7="Actual","",'o_Fin Stats'!BO94)</f>
        <v/>
      </c>
      <c r="BP577" s="257">
        <f>IF(BP$7="Actual","",'o_Fin Stats'!BP94)</f>
        <v/>
      </c>
      <c r="BQ577" s="257">
        <f>IF(BQ$7="Actual","",'o_Fin Stats'!BQ94)</f>
        <v/>
      </c>
      <c r="BR577" s="257">
        <f>IF(BR$7="Actual","",'o_Fin Stats'!BR94)</f>
        <v/>
      </c>
      <c r="BS577" s="257">
        <f>IF(BS$7="Actual","",'o_Fin Stats'!BS94)</f>
        <v/>
      </c>
      <c r="BT577" s="257">
        <f>IF(BT$7="Actual","",'o_Fin Stats'!BT94)</f>
        <v/>
      </c>
      <c r="BU577" s="257">
        <f>IF(BU$7="Actual","",'o_Fin Stats'!BU94)</f>
        <v/>
      </c>
      <c r="BV577" s="257">
        <f>IF(BV$7="Actual","",'o_Fin Stats'!BV94)</f>
        <v/>
      </c>
      <c r="BW577" s="257">
        <f>IF(BW$7="Actual","",'o_Fin Stats'!BW94)</f>
        <v/>
      </c>
      <c r="BX577" s="257">
        <f>IF(BX$7="Actual","",'o_Fin Stats'!BX94)</f>
        <v/>
      </c>
      <c r="BY577" s="257">
        <f>IF(BY$7="Actual","",'o_Fin Stats'!BY94)</f>
        <v/>
      </c>
      <c r="BZ577" s="257">
        <f>IF(BZ$7="Actual","",'o_Fin Stats'!BZ94)</f>
        <v/>
      </c>
      <c r="CA577" s="257">
        <f>IF(CA$7="Actual","",'o_Fin Stats'!CA94)</f>
        <v/>
      </c>
    </row>
    <row r="578" ht="12" customHeight="1" s="227">
      <c r="A578" s="244" t="n"/>
      <c r="B578" s="244" t="n"/>
      <c r="C578" s="244" t="n"/>
      <c r="K578" s="6" t="n"/>
    </row>
    <row r="579" ht="12" customHeight="1" s="227">
      <c r="A579" s="244" t="n"/>
      <c r="B579" s="244" t="n"/>
      <c r="C579" s="244" t="n"/>
      <c r="H579" s="0" t="inlineStr">
        <is>
          <t>Corporate Tax Rate</t>
        </is>
      </c>
      <c r="I579" s="27" t="inlineStr">
        <is>
          <t>%</t>
        </is>
      </c>
      <c r="K579" s="6" t="n"/>
      <c r="M579" s="265">
        <f>IF(M7="actual","",i_Assumptions!M604)</f>
        <v/>
      </c>
      <c r="N579" s="265">
        <f>IF(N7="actual","",i_Assumptions!N604)</f>
        <v/>
      </c>
      <c r="O579" s="265">
        <f>IF(O7="actual","",i_Assumptions!O604)</f>
        <v/>
      </c>
      <c r="P579" s="265">
        <f>IF(P7="actual","",i_Assumptions!P604)</f>
        <v/>
      </c>
      <c r="Q579" s="265">
        <f>IF(Q7="actual","",i_Assumptions!Q604)</f>
        <v/>
      </c>
      <c r="T579" s="265">
        <f>IF(T$7="Actual","",INDEX($M579:$Q579,,MATCH(T$4,$M$4:$Q$4,0)))</f>
        <v/>
      </c>
      <c r="U579" s="265">
        <f>IF(U$7="Actual","",INDEX($M579:$Q579,,MATCH(U$4,$M$4:$Q$4,0)))</f>
        <v/>
      </c>
      <c r="V579" s="265">
        <f>IF(V$7="Actual","",INDEX($M579:$Q579,,MATCH(V$4,$M$4:$Q$4,0)))</f>
        <v/>
      </c>
      <c r="W579" s="265">
        <f>IF(W$7="Actual","",INDEX($M579:$Q579,,MATCH(W$4,$M$4:$Q$4,0)))</f>
        <v/>
      </c>
      <c r="X579" s="265">
        <f>IF(X$7="Actual","",INDEX($M579:$Q579,,MATCH(X$4,$M$4:$Q$4,0)))</f>
        <v/>
      </c>
      <c r="Y579" s="265">
        <f>IF(Y$7="Actual","",INDEX($M579:$Q579,,MATCH(Y$4,$M$4:$Q$4,0)))</f>
        <v/>
      </c>
      <c r="Z579" s="265">
        <f>IF(Z$7="Actual","",INDEX($M579:$Q579,,MATCH(Z$4,$M$4:$Q$4,0)))</f>
        <v/>
      </c>
      <c r="AA579" s="265">
        <f>IF(AA$7="Actual","",INDEX($M579:$Q579,,MATCH(AA$4,$M$4:$Q$4,0)))</f>
        <v/>
      </c>
      <c r="AB579" s="265">
        <f>IF(AB$7="Actual","",INDEX($M579:$Q579,,MATCH(AB$4,$M$4:$Q$4,0)))</f>
        <v/>
      </c>
      <c r="AC579" s="265">
        <f>IF(AC$7="Actual","",INDEX($M579:$Q579,,MATCH(AC$4,$M$4:$Q$4,0)))</f>
        <v/>
      </c>
      <c r="AD579" s="265">
        <f>IF(AD$7="Actual","",INDEX($M579:$Q579,,MATCH(AD$4,$M$4:$Q$4,0)))</f>
        <v/>
      </c>
      <c r="AE579" s="265">
        <f>IF(AE$7="Actual","",INDEX($M579:$Q579,,MATCH(AE$4,$M$4:$Q$4,0)))</f>
        <v/>
      </c>
      <c r="AF579" s="265">
        <f>IF(AF$7="Actual","",INDEX($M579:$Q579,,MATCH(AF$4,$M$4:$Q$4,0)))</f>
        <v/>
      </c>
      <c r="AG579" s="265">
        <f>IF(AG$7="Actual","",INDEX($M579:$Q579,,MATCH(AG$4,$M$4:$Q$4,0)))</f>
        <v/>
      </c>
      <c r="AH579" s="265">
        <f>IF(AH$7="Actual","",INDEX($M579:$Q579,,MATCH(AH$4,$M$4:$Q$4,0)))</f>
        <v/>
      </c>
      <c r="AI579" s="265">
        <f>IF(AI$7="Actual","",INDEX($M579:$Q579,,MATCH(AI$4,$M$4:$Q$4,0)))</f>
        <v/>
      </c>
      <c r="AJ579" s="265">
        <f>IF(AJ$7="Actual","",INDEX($M579:$Q579,,MATCH(AJ$4,$M$4:$Q$4,0)))</f>
        <v/>
      </c>
      <c r="AK579" s="265">
        <f>IF(AK$7="Actual","",INDEX($M579:$Q579,,MATCH(AK$4,$M$4:$Q$4,0)))</f>
        <v/>
      </c>
      <c r="AL579" s="265">
        <f>IF(AL$7="Actual","",INDEX($M579:$Q579,,MATCH(AL$4,$M$4:$Q$4,0)))</f>
        <v/>
      </c>
      <c r="AM579" s="265">
        <f>IF(AM$7="Actual","",INDEX($M579:$Q579,,MATCH(AM$4,$M$4:$Q$4,0)))</f>
        <v/>
      </c>
      <c r="AN579" s="265">
        <f>IF(AN$7="Actual","",INDEX($M579:$Q579,,MATCH(AN$4,$M$4:$Q$4,0)))</f>
        <v/>
      </c>
      <c r="AO579" s="265">
        <f>IF(AO$7="Actual","",INDEX($M579:$Q579,,MATCH(AO$4,$M$4:$Q$4,0)))</f>
        <v/>
      </c>
      <c r="AP579" s="265">
        <f>IF(AP$7="Actual","",INDEX($M579:$Q579,,MATCH(AP$4,$M$4:$Q$4,0)))</f>
        <v/>
      </c>
      <c r="AQ579" s="265">
        <f>IF(AQ$7="Actual","",INDEX($M579:$Q579,,MATCH(AQ$4,$M$4:$Q$4,0)))</f>
        <v/>
      </c>
      <c r="AR579" s="265">
        <f>IF(AR$7="Actual","",INDEX($M579:$Q579,,MATCH(AR$4,$M$4:$Q$4,0)))</f>
        <v/>
      </c>
      <c r="AS579" s="265">
        <f>IF(AS$7="Actual","",INDEX($M579:$Q579,,MATCH(AS$4,$M$4:$Q$4,0)))</f>
        <v/>
      </c>
      <c r="AT579" s="265">
        <f>IF(AT$7="Actual","",INDEX($M579:$Q579,,MATCH(AT$4,$M$4:$Q$4,0)))</f>
        <v/>
      </c>
      <c r="AU579" s="265">
        <f>IF(AU$7="Actual","",INDEX($M579:$Q579,,MATCH(AU$4,$M$4:$Q$4,0)))</f>
        <v/>
      </c>
      <c r="AV579" s="265">
        <f>IF(AV$7="Actual","",INDEX($M579:$Q579,,MATCH(AV$4,$M$4:$Q$4,0)))</f>
        <v/>
      </c>
      <c r="AW579" s="265">
        <f>IF(AW$7="Actual","",INDEX($M579:$Q579,,MATCH(AW$4,$M$4:$Q$4,0)))</f>
        <v/>
      </c>
      <c r="AX579" s="265">
        <f>IF(AX$7="Actual","",INDEX($M579:$Q579,,MATCH(AX$4,$M$4:$Q$4,0)))</f>
        <v/>
      </c>
      <c r="AY579" s="265">
        <f>IF(AY$7="Actual","",INDEX($M579:$Q579,,MATCH(AY$4,$M$4:$Q$4,0)))</f>
        <v/>
      </c>
      <c r="AZ579" s="265">
        <f>IF(AZ$7="Actual","",INDEX($M579:$Q579,,MATCH(AZ$4,$M$4:$Q$4,0)))</f>
        <v/>
      </c>
      <c r="BA579" s="265">
        <f>IF(BA$7="Actual","",INDEX($M579:$Q579,,MATCH(BA$4,$M$4:$Q$4,0)))</f>
        <v/>
      </c>
      <c r="BB579" s="265">
        <f>IF(BB$7="Actual","",INDEX($M579:$Q579,,MATCH(BB$4,$M$4:$Q$4,0)))</f>
        <v/>
      </c>
      <c r="BC579" s="265">
        <f>IF(BC$7="Actual","",INDEX($M579:$Q579,,MATCH(BC$4,$M$4:$Q$4,0)))</f>
        <v/>
      </c>
      <c r="BD579" s="265">
        <f>IF(BD$7="Actual","",INDEX($M579:$Q579,,MATCH(BD$4,$M$4:$Q$4,0)))</f>
        <v/>
      </c>
      <c r="BE579" s="265">
        <f>IF(BE$7="Actual","",INDEX($M579:$Q579,,MATCH(BE$4,$M$4:$Q$4,0)))</f>
        <v/>
      </c>
      <c r="BF579" s="265">
        <f>IF(BF$7="Actual","",INDEX($M579:$Q579,,MATCH(BF$4,$M$4:$Q$4,0)))</f>
        <v/>
      </c>
      <c r="BG579" s="265">
        <f>IF(BG$7="Actual","",INDEX($M579:$Q579,,MATCH(BG$4,$M$4:$Q$4,0)))</f>
        <v/>
      </c>
      <c r="BH579" s="265">
        <f>IF(BH$7="Actual","",INDEX($M579:$Q579,,MATCH(BH$4,$M$4:$Q$4,0)))</f>
        <v/>
      </c>
      <c r="BI579" s="265">
        <f>IF(BI$7="Actual","",INDEX($M579:$Q579,,MATCH(BI$4,$M$4:$Q$4,0)))</f>
        <v/>
      </c>
      <c r="BJ579" s="265">
        <f>IF(BJ$7="Actual","",INDEX($M579:$Q579,,MATCH(BJ$4,$M$4:$Q$4,0)))</f>
        <v/>
      </c>
      <c r="BK579" s="265">
        <f>IF(BK$7="Actual","",INDEX($M579:$Q579,,MATCH(BK$4,$M$4:$Q$4,0)))</f>
        <v/>
      </c>
      <c r="BL579" s="265">
        <f>IF(BL$7="Actual","",INDEX($M579:$Q579,,MATCH(BL$4,$M$4:$Q$4,0)))</f>
        <v/>
      </c>
      <c r="BM579" s="265">
        <f>IF(BM$7="Actual","",INDEX($M579:$Q579,,MATCH(BM$4,$M$4:$Q$4,0)))</f>
        <v/>
      </c>
      <c r="BN579" s="265">
        <f>IF(BN$7="Actual","",INDEX($M579:$Q579,,MATCH(BN$4,$M$4:$Q$4,0)))</f>
        <v/>
      </c>
      <c r="BO579" s="265">
        <f>IF(BO$7="Actual","",INDEX($M579:$Q579,,MATCH(BO$4,$M$4:$Q$4,0)))</f>
        <v/>
      </c>
      <c r="BP579" s="265">
        <f>IF(BP$7="Actual","",INDEX($M579:$Q579,,MATCH(BP$4,$M$4:$Q$4,0)))</f>
        <v/>
      </c>
      <c r="BQ579" s="265">
        <f>IF(BQ$7="Actual","",INDEX($M579:$Q579,,MATCH(BQ$4,$M$4:$Q$4,0)))</f>
        <v/>
      </c>
      <c r="BR579" s="265">
        <f>IF(BR$7="Actual","",INDEX($M579:$Q579,,MATCH(BR$4,$M$4:$Q$4,0)))</f>
        <v/>
      </c>
      <c r="BS579" s="265">
        <f>IF(BS$7="Actual","",INDEX($M579:$Q579,,MATCH(BS$4,$M$4:$Q$4,0)))</f>
        <v/>
      </c>
      <c r="BT579" s="265">
        <f>IF(BT$7="Actual","",INDEX($M579:$Q579,,MATCH(BT$4,$M$4:$Q$4,0)))</f>
        <v/>
      </c>
      <c r="BU579" s="265">
        <f>IF(BU$7="Actual","",INDEX($M579:$Q579,,MATCH(BU$4,$M$4:$Q$4,0)))</f>
        <v/>
      </c>
      <c r="BV579" s="265">
        <f>IF(BV$7="Actual","",INDEX($M579:$Q579,,MATCH(BV$4,$M$4:$Q$4,0)))</f>
        <v/>
      </c>
      <c r="BW579" s="265">
        <f>IF(BW$7="Actual","",INDEX($M579:$Q579,,MATCH(BW$4,$M$4:$Q$4,0)))</f>
        <v/>
      </c>
      <c r="BX579" s="265">
        <f>IF(BX$7="Actual","",INDEX($M579:$Q579,,MATCH(BX$4,$M$4:$Q$4,0)))</f>
        <v/>
      </c>
      <c r="BY579" s="265">
        <f>IF(BY$7="Actual","",INDEX($M579:$Q579,,MATCH(BY$4,$M$4:$Q$4,0)))</f>
        <v/>
      </c>
      <c r="BZ579" s="265">
        <f>IF(BZ$7="Actual","",INDEX($M579:$Q579,,MATCH(BZ$4,$M$4:$Q$4,0)))</f>
        <v/>
      </c>
      <c r="CA579" s="265">
        <f>IF(CA$7="Actual","",INDEX($M579:$Q579,,MATCH(CA$4,$M$4:$Q$4,0)))</f>
        <v/>
      </c>
    </row>
    <row r="580" ht="12" customHeight="1" s="227">
      <c r="A580" s="244" t="n"/>
      <c r="B580" s="244" t="n"/>
      <c r="C580" s="244" t="n"/>
      <c r="K580" s="6" t="n"/>
    </row>
    <row r="581" ht="12" customHeight="1" s="227">
      <c r="A581" s="244" t="n"/>
      <c r="B581" s="244" t="n"/>
      <c r="C581" s="244" t="n"/>
      <c r="H581" s="39" t="inlineStr">
        <is>
          <t>Corporate Tax Charge</t>
        </is>
      </c>
      <c r="I581" s="41">
        <f>i_Setup!$M$16</f>
        <v/>
      </c>
      <c r="K581" s="6" t="n"/>
      <c r="M581" s="249">
        <f>SUMIF($T$4:$CA$4,M$4,$T581:$CA581)</f>
        <v/>
      </c>
      <c r="N581" s="249">
        <f>SUMIF($T$4:$CA$4,N$4,$T581:$CA581)</f>
        <v/>
      </c>
      <c r="O581" s="249">
        <f>SUMIF($T$4:$CA$4,O$4,$T581:$CA581)</f>
        <v/>
      </c>
      <c r="P581" s="249">
        <f>SUMIF($T$4:$CA$4,P$4,$T581:$CA581)</f>
        <v/>
      </c>
      <c r="Q581" s="249">
        <f>SUMIF($T$4:$CA$4,Q$4,$T581:$CA581)</f>
        <v/>
      </c>
      <c r="T581" s="249">
        <f>IF(T$7="Actual","",IFERROR(T577*-T579,0))</f>
        <v/>
      </c>
      <c r="U581" s="249">
        <f>IF(U$7="Actual","",IFERROR(U577*-U579,0))</f>
        <v/>
      </c>
      <c r="V581" s="249">
        <f>IF(V$7="Actual","",IFERROR(V577*-V579,0))</f>
        <v/>
      </c>
      <c r="W581" s="249">
        <f>IF(W$7="Actual","",IFERROR(W577*-W579,0))</f>
        <v/>
      </c>
      <c r="X581" s="249">
        <f>IF(X$7="Actual","",IFERROR(X577*-X579,0))</f>
        <v/>
      </c>
      <c r="Y581" s="249">
        <f>IF(Y$7="Actual","",IFERROR(Y577*-Y579,0))</f>
        <v/>
      </c>
      <c r="Z581" s="249">
        <f>IF(Z$7="Actual","",IFERROR(Z577*-Z579,0))</f>
        <v/>
      </c>
      <c r="AA581" s="249">
        <f>IF(AA$7="Actual","",IFERROR(AA577*-AA579,0))</f>
        <v/>
      </c>
      <c r="AB581" s="249">
        <f>IF(AB$7="Actual","",IFERROR(AB577*-AB579,0))</f>
        <v/>
      </c>
      <c r="AC581" s="249">
        <f>IF(AC$7="Actual","",IFERROR(AC577*-AC579,0))</f>
        <v/>
      </c>
      <c r="AD581" s="249">
        <f>IF(AD$7="Actual","",IFERROR(AD577*-AD579,0))</f>
        <v/>
      </c>
      <c r="AE581" s="249">
        <f>IF(AE$7="Actual","",IFERROR(AE577*-AE579,0))</f>
        <v/>
      </c>
      <c r="AF581" s="249">
        <f>IF(AF$7="Actual","",IFERROR(AF577*-AF579,0))</f>
        <v/>
      </c>
      <c r="AG581" s="249">
        <f>IF(AG$7="Actual","",IFERROR(AG577*-AG579,0))</f>
        <v/>
      </c>
      <c r="AH581" s="249">
        <f>IF(AH$7="Actual","",IFERROR(AH577*-AH579,0))</f>
        <v/>
      </c>
      <c r="AI581" s="249">
        <f>IF(AI$7="Actual","",IFERROR(AI577*-AI579,0))</f>
        <v/>
      </c>
      <c r="AJ581" s="249">
        <f>IF(AJ$7="Actual","",IFERROR(AJ577*-AJ579,0))</f>
        <v/>
      </c>
      <c r="AK581" s="249">
        <f>IF(AK$7="Actual","",IFERROR(AK577*-AK579,0))</f>
        <v/>
      </c>
      <c r="AL581" s="249">
        <f>IF(AL$7="Actual","",IFERROR(AL577*-AL579,0))</f>
        <v/>
      </c>
      <c r="AM581" s="249">
        <f>IF(AM$7="Actual","",IFERROR(AM577*-AM579,0))</f>
        <v/>
      </c>
      <c r="AN581" s="249">
        <f>IF(AN$7="Actual","",IFERROR(AN577*-AN579,0))</f>
        <v/>
      </c>
      <c r="AO581" s="249">
        <f>IF(AO$7="Actual","",IFERROR(AO577*-AO579,0))</f>
        <v/>
      </c>
      <c r="AP581" s="249">
        <f>IF(AP$7="Actual","",IFERROR(AP577*-AP579,0))</f>
        <v/>
      </c>
      <c r="AQ581" s="249">
        <f>IF(AQ$7="Actual","",IFERROR(AQ577*-AQ579,0))</f>
        <v/>
      </c>
      <c r="AR581" s="249">
        <f>IF(AR$7="Actual","",IFERROR(AR577*-AR579,0))</f>
        <v/>
      </c>
      <c r="AS581" s="249">
        <f>IF(AS$7="Actual","",IFERROR(AS577*-AS579,0))</f>
        <v/>
      </c>
      <c r="AT581" s="249">
        <f>IF(AT$7="Actual","",IFERROR(AT577*-AT579,0))</f>
        <v/>
      </c>
      <c r="AU581" s="249">
        <f>IF(AU$7="Actual","",IFERROR(AU577*-AU579,0))</f>
        <v/>
      </c>
      <c r="AV581" s="249">
        <f>IF(AV$7="Actual","",IFERROR(AV577*-AV579,0))</f>
        <v/>
      </c>
      <c r="AW581" s="249">
        <f>IF(AW$7="Actual","",IFERROR(AW577*-AW579,0))</f>
        <v/>
      </c>
      <c r="AX581" s="249">
        <f>IF(AX$7="Actual","",IFERROR(AX577*-AX579,0))</f>
        <v/>
      </c>
      <c r="AY581" s="249">
        <f>IF(AY$7="Actual","",IFERROR(AY577*-AY579,0))</f>
        <v/>
      </c>
      <c r="AZ581" s="249">
        <f>IF(AZ$7="Actual","",IFERROR(AZ577*-AZ579,0))</f>
        <v/>
      </c>
      <c r="BA581" s="249">
        <f>IF(BA$7="Actual","",IFERROR(BA577*-BA579,0))</f>
        <v/>
      </c>
      <c r="BB581" s="249">
        <f>IF(BB$7="Actual","",IFERROR(BB577*-BB579,0))</f>
        <v/>
      </c>
      <c r="BC581" s="249">
        <f>IF(BC$7="Actual","",IFERROR(BC577*-BC579,0))</f>
        <v/>
      </c>
      <c r="BD581" s="249">
        <f>IF(BD$7="Actual","",IFERROR(BD577*-BD579,0))</f>
        <v/>
      </c>
      <c r="BE581" s="249">
        <f>IF(BE$7="Actual","",IFERROR(BE577*-BE579,0))</f>
        <v/>
      </c>
      <c r="BF581" s="249">
        <f>IF(BF$7="Actual","",IFERROR(BF577*-BF579,0))</f>
        <v/>
      </c>
      <c r="BG581" s="249">
        <f>IF(BG$7="Actual","",IFERROR(BG577*-BG579,0))</f>
        <v/>
      </c>
      <c r="BH581" s="249">
        <f>IF(BH$7="Actual","",IFERROR(BH577*-BH579,0))</f>
        <v/>
      </c>
      <c r="BI581" s="249">
        <f>IF(BI$7="Actual","",IFERROR(BI577*-BI579,0))</f>
        <v/>
      </c>
      <c r="BJ581" s="249">
        <f>IF(BJ$7="Actual","",IFERROR(BJ577*-BJ579,0))</f>
        <v/>
      </c>
      <c r="BK581" s="249">
        <f>IF(BK$7="Actual","",IFERROR(BK577*-BK579,0))</f>
        <v/>
      </c>
      <c r="BL581" s="249">
        <f>IF(BL$7="Actual","",IFERROR(BL577*-BL579,0))</f>
        <v/>
      </c>
      <c r="BM581" s="249">
        <f>IF(BM$7="Actual","",IFERROR(BM577*-BM579,0))</f>
        <v/>
      </c>
      <c r="BN581" s="249">
        <f>IF(BN$7="Actual","",IFERROR(BN577*-BN579,0))</f>
        <v/>
      </c>
      <c r="BO581" s="249">
        <f>IF(BO$7="Actual","",IFERROR(BO577*-BO579,0))</f>
        <v/>
      </c>
      <c r="BP581" s="249">
        <f>IF(BP$7="Actual","",IFERROR(BP577*-BP579,0))</f>
        <v/>
      </c>
      <c r="BQ581" s="249">
        <f>IF(BQ$7="Actual","",IFERROR(BQ577*-BQ579,0))</f>
        <v/>
      </c>
      <c r="BR581" s="249">
        <f>IF(BR$7="Actual","",IFERROR(BR577*-BR579,0))</f>
        <v/>
      </c>
      <c r="BS581" s="249">
        <f>IF(BS$7="Actual","",IFERROR(BS577*-BS579,0))</f>
        <v/>
      </c>
      <c r="BT581" s="249">
        <f>IF(BT$7="Actual","",IFERROR(BT577*-BT579,0))</f>
        <v/>
      </c>
      <c r="BU581" s="249">
        <f>IF(BU$7="Actual","",IFERROR(BU577*-BU579,0))</f>
        <v/>
      </c>
      <c r="BV581" s="249">
        <f>IF(BV$7="Actual","",IFERROR(BV577*-BV579,0))</f>
        <v/>
      </c>
      <c r="BW581" s="249">
        <f>IF(BW$7="Actual","",IFERROR(BW577*-BW579,0))</f>
        <v/>
      </c>
      <c r="BX581" s="249">
        <f>IF(BX$7="Actual","",IFERROR(BX577*-BX579,0))</f>
        <v/>
      </c>
      <c r="BY581" s="249">
        <f>IF(BY$7="Actual","",IFERROR(BY577*-BY579,0))</f>
        <v/>
      </c>
      <c r="BZ581" s="249">
        <f>IF(BZ$7="Actual","",IFERROR(BZ577*-BZ579,0))</f>
        <v/>
      </c>
      <c r="CA581" s="249">
        <f>IF(CA$7="Actual","",IFERROR(CA577*-CA579,0))</f>
        <v/>
      </c>
    </row>
    <row r="582" ht="12" customHeight="1" s="227">
      <c r="A582" s="244" t="n"/>
      <c r="B582" s="244" t="n"/>
      <c r="C582" s="244" t="n"/>
      <c r="K582" s="6" t="n"/>
    </row>
    <row r="583" ht="12" customHeight="1" s="227">
      <c r="A583" s="244" t="n"/>
      <c r="B583" s="244" t="n"/>
      <c r="C583" s="244" t="n"/>
      <c r="K583" s="6" t="n"/>
    </row>
    <row r="584" ht="12" customHeight="1" s="227">
      <c r="A584" s="244" t="n"/>
      <c r="B584" s="244" t="n"/>
      <c r="C584" s="244" t="n"/>
      <c r="G584" s="222" t="inlineStr">
        <is>
          <t>Corporate Tax Asset</t>
        </is>
      </c>
      <c r="K584" s="6" t="n"/>
    </row>
    <row r="585" ht="12" customHeight="1" s="227">
      <c r="A585" s="244" t="n"/>
      <c r="B585" s="244" t="n"/>
      <c r="C585" s="244" t="n"/>
      <c r="K585" s="6" t="n"/>
    </row>
    <row r="586" ht="12" customHeight="1" s="227">
      <c r="A586" s="244" t="n"/>
      <c r="B586" s="244" t="n"/>
      <c r="C586" s="244" t="n"/>
      <c r="H586" s="50" t="inlineStr">
        <is>
          <t>Opening Balance</t>
        </is>
      </c>
      <c r="I586" s="27">
        <f>i_Setup!$M$16</f>
        <v/>
      </c>
      <c r="K586" s="6" t="n"/>
      <c r="M586" s="245">
        <f>SUMIF($T$1:$CA$1,M$1,$T586:$CA586)</f>
        <v/>
      </c>
      <c r="N586" s="245">
        <f>SUMIF($T$1:$CA$1,N$1,$T586:$CA586)</f>
        <v/>
      </c>
      <c r="O586" s="245">
        <f>SUMIF($T$1:$CA$1,O$1,$T586:$CA586)</f>
        <v/>
      </c>
      <c r="P586" s="245">
        <f>SUMIF($T$1:$CA$1,P$1,$T586:$CA586)</f>
        <v/>
      </c>
      <c r="Q586" s="245">
        <f>SUMIF($T$1:$CA$1,Q$1,$T586:$CA586)</f>
        <v/>
      </c>
      <c r="T586" s="245">
        <f>S589</f>
        <v/>
      </c>
      <c r="U586" s="245">
        <f>T589</f>
        <v/>
      </c>
      <c r="V586" s="245">
        <f>U589</f>
        <v/>
      </c>
      <c r="W586" s="245">
        <f>V589</f>
        <v/>
      </c>
      <c r="X586" s="245">
        <f>W589</f>
        <v/>
      </c>
      <c r="Y586" s="245">
        <f>X589</f>
        <v/>
      </c>
      <c r="Z586" s="245">
        <f>Y589</f>
        <v/>
      </c>
      <c r="AA586" s="245">
        <f>Z589</f>
        <v/>
      </c>
      <c r="AB586" s="245">
        <f>AA589</f>
        <v/>
      </c>
      <c r="AC586" s="245">
        <f>AB589</f>
        <v/>
      </c>
      <c r="AD586" s="245">
        <f>AC589</f>
        <v/>
      </c>
      <c r="AE586" s="245">
        <f>AD589</f>
        <v/>
      </c>
      <c r="AF586" s="245">
        <f>AE589</f>
        <v/>
      </c>
      <c r="AG586" s="245">
        <f>AF589</f>
        <v/>
      </c>
      <c r="AH586" s="245">
        <f>AG589</f>
        <v/>
      </c>
      <c r="AI586" s="245">
        <f>AH589</f>
        <v/>
      </c>
      <c r="AJ586" s="245">
        <f>AI589</f>
        <v/>
      </c>
      <c r="AK586" s="245">
        <f>AJ589</f>
        <v/>
      </c>
      <c r="AL586" s="245">
        <f>AK589</f>
        <v/>
      </c>
      <c r="AM586" s="245">
        <f>AL589</f>
        <v/>
      </c>
      <c r="AN586" s="245">
        <f>AM589</f>
        <v/>
      </c>
      <c r="AO586" s="245">
        <f>AN589</f>
        <v/>
      </c>
      <c r="AP586" s="245">
        <f>AO589</f>
        <v/>
      </c>
      <c r="AQ586" s="245">
        <f>AP589</f>
        <v/>
      </c>
      <c r="AR586" s="245">
        <f>AQ589</f>
        <v/>
      </c>
      <c r="AS586" s="245">
        <f>AR589</f>
        <v/>
      </c>
      <c r="AT586" s="245">
        <f>AS589</f>
        <v/>
      </c>
      <c r="AU586" s="245">
        <f>AT589</f>
        <v/>
      </c>
      <c r="AV586" s="245">
        <f>AU589</f>
        <v/>
      </c>
      <c r="AW586" s="245">
        <f>AV589</f>
        <v/>
      </c>
      <c r="AX586" s="245">
        <f>AW589</f>
        <v/>
      </c>
      <c r="AY586" s="245">
        <f>AX589</f>
        <v/>
      </c>
      <c r="AZ586" s="245">
        <f>AY589</f>
        <v/>
      </c>
      <c r="BA586" s="245">
        <f>AZ589</f>
        <v/>
      </c>
      <c r="BB586" s="245">
        <f>BA589</f>
        <v/>
      </c>
      <c r="BC586" s="245">
        <f>BB589</f>
        <v/>
      </c>
      <c r="BD586" s="245">
        <f>BC589</f>
        <v/>
      </c>
      <c r="BE586" s="245">
        <f>BD589</f>
        <v/>
      </c>
      <c r="BF586" s="245">
        <f>BE589</f>
        <v/>
      </c>
      <c r="BG586" s="245">
        <f>BF589</f>
        <v/>
      </c>
      <c r="BH586" s="245">
        <f>BG589</f>
        <v/>
      </c>
      <c r="BI586" s="245">
        <f>BH589</f>
        <v/>
      </c>
      <c r="BJ586" s="245">
        <f>BI589</f>
        <v/>
      </c>
      <c r="BK586" s="245">
        <f>BJ589</f>
        <v/>
      </c>
      <c r="BL586" s="245">
        <f>BK589</f>
        <v/>
      </c>
      <c r="BM586" s="245">
        <f>BL589</f>
        <v/>
      </c>
      <c r="BN586" s="245">
        <f>BM589</f>
        <v/>
      </c>
      <c r="BO586" s="245">
        <f>BN589</f>
        <v/>
      </c>
      <c r="BP586" s="245">
        <f>BO589</f>
        <v/>
      </c>
      <c r="BQ586" s="245">
        <f>BP589</f>
        <v/>
      </c>
      <c r="BR586" s="245">
        <f>BQ589</f>
        <v/>
      </c>
      <c r="BS586" s="245">
        <f>BR589</f>
        <v/>
      </c>
      <c r="BT586" s="245">
        <f>BS589</f>
        <v/>
      </c>
      <c r="BU586" s="245">
        <f>BT589</f>
        <v/>
      </c>
      <c r="BV586" s="245">
        <f>BU589</f>
        <v/>
      </c>
      <c r="BW586" s="245">
        <f>BV589</f>
        <v/>
      </c>
      <c r="BX586" s="245">
        <f>BW589</f>
        <v/>
      </c>
      <c r="BY586" s="245">
        <f>BX589</f>
        <v/>
      </c>
      <c r="BZ586" s="245">
        <f>BY589</f>
        <v/>
      </c>
      <c r="CA586" s="245">
        <f>BZ589</f>
        <v/>
      </c>
    </row>
    <row r="587" ht="12" customHeight="1" s="227">
      <c r="A587" s="244" t="n"/>
      <c r="B587" s="244" t="n"/>
      <c r="C587" s="244" t="n"/>
      <c r="H587" s="50" t="inlineStr">
        <is>
          <t>Additions</t>
        </is>
      </c>
      <c r="I587" s="27">
        <f>i_Setup!$M$16</f>
        <v/>
      </c>
      <c r="K587" s="6" t="n"/>
      <c r="M587" s="245">
        <f>SUMIF($T$4:$CA$4,M$4,$T587:$CA587)</f>
        <v/>
      </c>
      <c r="N587" s="245">
        <f>SUMIF($T$4:$CA$4,N$4,$T587:$CA587)</f>
        <v/>
      </c>
      <c r="O587" s="245">
        <f>SUMIF($T$4:$CA$4,O$4,$T587:$CA587)</f>
        <v/>
      </c>
      <c r="P587" s="245">
        <f>SUMIF($T$4:$CA$4,P$4,$T587:$CA587)</f>
        <v/>
      </c>
      <c r="Q587" s="245">
        <f>SUMIF($T$4:$CA$4,Q$4,$T587:$CA587)</f>
        <v/>
      </c>
      <c r="T587" s="245">
        <f>IF(T7="Actual","",IF(T581&gt;0,T581,0))</f>
        <v/>
      </c>
      <c r="U587" s="245">
        <f>IF(U7="Actual","",IF(U581&gt;0,U581,0))</f>
        <v/>
      </c>
      <c r="V587" s="245">
        <f>IF(V7="Actual","",IF(V581&gt;0,V581,0))</f>
        <v/>
      </c>
      <c r="W587" s="245">
        <f>IF(W7="Actual","",IF(W581&gt;0,W581,0))</f>
        <v/>
      </c>
      <c r="X587" s="245">
        <f>IF(X7="Actual","",IF(X581&gt;0,X581,0))</f>
        <v/>
      </c>
      <c r="Y587" s="245">
        <f>IF(Y7="Actual","",IF(Y581&gt;0,Y581,0))</f>
        <v/>
      </c>
      <c r="Z587" s="245">
        <f>IF(Z7="Actual","",IF(Z581&gt;0,Z581,0))</f>
        <v/>
      </c>
      <c r="AA587" s="245">
        <f>IF(AA7="Actual","",IF(AA581&gt;0,AA581,0))</f>
        <v/>
      </c>
      <c r="AB587" s="245">
        <f>IF(AB7="Actual","",IF(AB581&gt;0,AB581,0))</f>
        <v/>
      </c>
      <c r="AC587" s="245">
        <f>IF(AC7="Actual","",IF(AC581&gt;0,AC581,0))</f>
        <v/>
      </c>
      <c r="AD587" s="245">
        <f>IF(AD7="Actual","",IF(AD581&gt;0,AD581,0))</f>
        <v/>
      </c>
      <c r="AE587" s="245">
        <f>IF(AE7="Actual","",IF(AE581&gt;0,AE581,0))</f>
        <v/>
      </c>
      <c r="AF587" s="245">
        <f>IF(AF7="Actual","",IF(AF581&gt;0,AF581,0))</f>
        <v/>
      </c>
      <c r="AG587" s="245">
        <f>IF(AG7="Actual","",IF(AG581&gt;0,AG581,0))</f>
        <v/>
      </c>
      <c r="AH587" s="245">
        <f>IF(AH7="Actual","",IF(AH581&gt;0,AH581,0))</f>
        <v/>
      </c>
      <c r="AI587" s="245">
        <f>IF(AI7="Actual","",IF(AI581&gt;0,AI581,0))</f>
        <v/>
      </c>
      <c r="AJ587" s="245">
        <f>IF(AJ7="Actual","",IF(AJ581&gt;0,AJ581,0))</f>
        <v/>
      </c>
      <c r="AK587" s="245">
        <f>IF(AK7="Actual","",IF(AK581&gt;0,AK581,0))</f>
        <v/>
      </c>
      <c r="AL587" s="245">
        <f>IF(AL7="Actual","",IF(AL581&gt;0,AL581,0))</f>
        <v/>
      </c>
      <c r="AM587" s="245">
        <f>IF(AM7="Actual","",IF(AM581&gt;0,AM581,0))</f>
        <v/>
      </c>
      <c r="AN587" s="245">
        <f>IF(AN7="Actual","",IF(AN581&gt;0,AN581,0))</f>
        <v/>
      </c>
      <c r="AO587" s="245">
        <f>IF(AO7="Actual","",IF(AO581&gt;0,AO581,0))</f>
        <v/>
      </c>
      <c r="AP587" s="245">
        <f>IF(AP7="Actual","",IF(AP581&gt;0,AP581,0))</f>
        <v/>
      </c>
      <c r="AQ587" s="245">
        <f>IF(AQ7="Actual","",IF(AQ581&gt;0,AQ581,0))</f>
        <v/>
      </c>
      <c r="AR587" s="245">
        <f>IF(AR7="Actual","",IF(AR581&gt;0,AR581,0))</f>
        <v/>
      </c>
      <c r="AS587" s="245">
        <f>IF(AS7="Actual","",IF(AS581&gt;0,AS581,0))</f>
        <v/>
      </c>
      <c r="AT587" s="245">
        <f>IF(AT7="Actual","",IF(AT581&gt;0,AT581,0))</f>
        <v/>
      </c>
      <c r="AU587" s="245">
        <f>IF(AU7="Actual","",IF(AU581&gt;0,AU581,0))</f>
        <v/>
      </c>
      <c r="AV587" s="245">
        <f>IF(AV7="Actual","",IF(AV581&gt;0,AV581,0))</f>
        <v/>
      </c>
      <c r="AW587" s="245">
        <f>IF(AW7="Actual","",IF(AW581&gt;0,AW581,0))</f>
        <v/>
      </c>
      <c r="AX587" s="245">
        <f>IF(AX7="Actual","",IF(AX581&gt;0,AX581,0))</f>
        <v/>
      </c>
      <c r="AY587" s="245">
        <f>IF(AY7="Actual","",IF(AY581&gt;0,AY581,0))</f>
        <v/>
      </c>
      <c r="AZ587" s="245">
        <f>IF(AZ7="Actual","",IF(AZ581&gt;0,AZ581,0))</f>
        <v/>
      </c>
      <c r="BA587" s="245">
        <f>IF(BA7="Actual","",IF(BA581&gt;0,BA581,0))</f>
        <v/>
      </c>
      <c r="BB587" s="245">
        <f>IF(BB7="Actual","",IF(BB581&gt;0,BB581,0))</f>
        <v/>
      </c>
      <c r="BC587" s="245">
        <f>IF(BC7="Actual","",IF(BC581&gt;0,BC581,0))</f>
        <v/>
      </c>
      <c r="BD587" s="245">
        <f>IF(BD7="Actual","",IF(BD581&gt;0,BD581,0))</f>
        <v/>
      </c>
      <c r="BE587" s="245">
        <f>IF(BE7="Actual","",IF(BE581&gt;0,BE581,0))</f>
        <v/>
      </c>
      <c r="BF587" s="245">
        <f>IF(BF7="Actual","",IF(BF581&gt;0,BF581,0))</f>
        <v/>
      </c>
      <c r="BG587" s="245">
        <f>IF(BG7="Actual","",IF(BG581&gt;0,BG581,0))</f>
        <v/>
      </c>
      <c r="BH587" s="245">
        <f>IF(BH7="Actual","",IF(BH581&gt;0,BH581,0))</f>
        <v/>
      </c>
      <c r="BI587" s="245">
        <f>IF(BI7="Actual","",IF(BI581&gt;0,BI581,0))</f>
        <v/>
      </c>
      <c r="BJ587" s="245">
        <f>IF(BJ7="Actual","",IF(BJ581&gt;0,BJ581,0))</f>
        <v/>
      </c>
      <c r="BK587" s="245">
        <f>IF(BK7="Actual","",IF(BK581&gt;0,BK581,0))</f>
        <v/>
      </c>
      <c r="BL587" s="245">
        <f>IF(BL7="Actual","",IF(BL581&gt;0,BL581,0))</f>
        <v/>
      </c>
      <c r="BM587" s="245">
        <f>IF(BM7="Actual","",IF(BM581&gt;0,BM581,0))</f>
        <v/>
      </c>
      <c r="BN587" s="245">
        <f>IF(BN7="Actual","",IF(BN581&gt;0,BN581,0))</f>
        <v/>
      </c>
      <c r="BO587" s="245">
        <f>IF(BO7="Actual","",IF(BO581&gt;0,BO581,0))</f>
        <v/>
      </c>
      <c r="BP587" s="245">
        <f>IF(BP7="Actual","",IF(BP581&gt;0,BP581,0))</f>
        <v/>
      </c>
      <c r="BQ587" s="245">
        <f>IF(BQ7="Actual","",IF(BQ581&gt;0,BQ581,0))</f>
        <v/>
      </c>
      <c r="BR587" s="245">
        <f>IF(BR7="Actual","",IF(BR581&gt;0,BR581,0))</f>
        <v/>
      </c>
      <c r="BS587" s="245">
        <f>IF(BS7="Actual","",IF(BS581&gt;0,BS581,0))</f>
        <v/>
      </c>
      <c r="BT587" s="245">
        <f>IF(BT7="Actual","",IF(BT581&gt;0,BT581,0))</f>
        <v/>
      </c>
      <c r="BU587" s="245">
        <f>IF(BU7="Actual","",IF(BU581&gt;0,BU581,0))</f>
        <v/>
      </c>
      <c r="BV587" s="245">
        <f>IF(BV7="Actual","",IF(BV581&gt;0,BV581,0))</f>
        <v/>
      </c>
      <c r="BW587" s="245">
        <f>IF(BW7="Actual","",IF(BW581&gt;0,BW581,0))</f>
        <v/>
      </c>
      <c r="BX587" s="245">
        <f>IF(BX7="Actual","",IF(BX581&gt;0,BX581,0))</f>
        <v/>
      </c>
      <c r="BY587" s="245">
        <f>IF(BY7="Actual","",IF(BY581&gt;0,BY581,0))</f>
        <v/>
      </c>
      <c r="BZ587" s="245">
        <f>IF(BZ7="Actual","",IF(BZ581&gt;0,BZ581,0))</f>
        <v/>
      </c>
      <c r="CA587" s="245">
        <f>IF(CA7="Actual","",IF(CA581&gt;0,CA581,0))</f>
        <v/>
      </c>
    </row>
    <row r="588" ht="12" customHeight="1" s="227">
      <c r="A588" s="244" t="n"/>
      <c r="B588" s="244" t="n"/>
      <c r="C588" s="244" t="n"/>
      <c r="H588" s="50" t="inlineStr">
        <is>
          <t>Usage</t>
        </is>
      </c>
      <c r="I588" s="27">
        <f>i_Setup!$M$16</f>
        <v/>
      </c>
      <c r="K588" s="6" t="n"/>
      <c r="M588" s="245">
        <f>SUMIF($T$4:$CA$4,M$4,$T588:$CA588)</f>
        <v/>
      </c>
      <c r="N588" s="245">
        <f>SUMIF($T$4:$CA$4,N$4,$T588:$CA588)</f>
        <v/>
      </c>
      <c r="O588" s="245">
        <f>SUMIF($T$4:$CA$4,O$4,$T588:$CA588)</f>
        <v/>
      </c>
      <c r="P588" s="245">
        <f>SUMIF($T$4:$CA$4,P$4,$T588:$CA588)</f>
        <v/>
      </c>
      <c r="Q588" s="245">
        <f>SUMIF($T$4:$CA$4,Q$4,$T588:$CA588)</f>
        <v/>
      </c>
      <c r="T588" s="271">
        <f>IF(T$7="Actual","",IF(T581&lt;0,IF(T586&gt;-T581,T581,-T586),0))</f>
        <v/>
      </c>
      <c r="U588" s="271">
        <f>IF(U$7="Actual","",IF(U581&lt;0,IF(U586&gt;-U581,U581,-U586),0))</f>
        <v/>
      </c>
      <c r="V588" s="271">
        <f>IF(V$7="Actual","",IF(V581&lt;0,IF(V586&gt;-V581,V581,-V586),0))</f>
        <v/>
      </c>
      <c r="W588" s="271">
        <f>IF(W$7="Actual","",IF(W581&lt;0,IF(W586&gt;-W581,W581,-W586),0))</f>
        <v/>
      </c>
      <c r="X588" s="271">
        <f>IF(X$7="Actual","",IF(X581&lt;0,IF(X586&gt;-X581,X581,-X586),0))</f>
        <v/>
      </c>
      <c r="Y588" s="271">
        <f>IF(Y$7="Actual","",IF(Y581&lt;0,IF(Y586&gt;-Y581,Y581,-Y586),0))</f>
        <v/>
      </c>
      <c r="Z588" s="271">
        <f>IF(Z$7="Actual","",IF(Z581&lt;0,IF(Z586&gt;-Z581,Z581,-Z586),0))</f>
        <v/>
      </c>
      <c r="AA588" s="271">
        <f>IF(AA$7="Actual","",IF(AA581&lt;0,IF(AA586&gt;-AA581,AA581,-AA586),0))</f>
        <v/>
      </c>
      <c r="AB588" s="271">
        <f>IF(AB$7="Actual","",IF(AB581&lt;0,IF(AB586&gt;-AB581,AB581,-AB586),0))</f>
        <v/>
      </c>
      <c r="AC588" s="271">
        <f>IF(AC$7="Actual","",IF(AC581&lt;0,IF(AC586&gt;-AC581,AC581,-AC586),0))</f>
        <v/>
      </c>
      <c r="AD588" s="271">
        <f>IF(AD$7="Actual","",IF(AD581&lt;0,IF(AD586&gt;-AD581,AD581,-AD586),0))</f>
        <v/>
      </c>
      <c r="AE588" s="271">
        <f>IF(AE$7="Actual","",IF(AE581&lt;0,IF(AE586&gt;-AE581,AE581,-AE586),0))</f>
        <v/>
      </c>
      <c r="AF588" s="271">
        <f>IF(AF$7="Actual","",IF(AF581&lt;0,IF(AF586&gt;-AF581,AF581,-AF586),0))</f>
        <v/>
      </c>
      <c r="AG588" s="271">
        <f>IF(AG$7="Actual","",IF(AG581&lt;0,IF(AG586&gt;-AG581,AG581,-AG586),0))</f>
        <v/>
      </c>
      <c r="AH588" s="271">
        <f>IF(AH$7="Actual","",IF(AH581&lt;0,IF(AH586&gt;-AH581,AH581,-AH586),0))</f>
        <v/>
      </c>
      <c r="AI588" s="271">
        <f>IF(AI$7="Actual","",IF(AI581&lt;0,IF(AI586&gt;-AI581,AI581,-AI586),0))</f>
        <v/>
      </c>
      <c r="AJ588" s="271">
        <f>IF(AJ$7="Actual","",IF(AJ581&lt;0,IF(AJ586&gt;-AJ581,AJ581,-AJ586),0))</f>
        <v/>
      </c>
      <c r="AK588" s="271">
        <f>IF(AK$7="Actual","",IF(AK581&lt;0,IF(AK586&gt;-AK581,AK581,-AK586),0))</f>
        <v/>
      </c>
      <c r="AL588" s="271">
        <f>IF(AL$7="Actual","",IF(AL581&lt;0,IF(AL586&gt;-AL581,AL581,-AL586),0))</f>
        <v/>
      </c>
      <c r="AM588" s="271">
        <f>IF(AM$7="Actual","",IF(AM581&lt;0,IF(AM586&gt;-AM581,AM581,-AM586),0))</f>
        <v/>
      </c>
      <c r="AN588" s="271">
        <f>IF(AN$7="Actual","",IF(AN581&lt;0,IF(AN586&gt;-AN581,AN581,-AN586),0))</f>
        <v/>
      </c>
      <c r="AO588" s="271">
        <f>IF(AO$7="Actual","",IF(AO581&lt;0,IF(AO586&gt;-AO581,AO581,-AO586),0))</f>
        <v/>
      </c>
      <c r="AP588" s="271">
        <f>IF(AP$7="Actual","",IF(AP581&lt;0,IF(AP586&gt;-AP581,AP581,-AP586),0))</f>
        <v/>
      </c>
      <c r="AQ588" s="271">
        <f>IF(AQ$7="Actual","",IF(AQ581&lt;0,IF(AQ586&gt;-AQ581,AQ581,-AQ586),0))</f>
        <v/>
      </c>
      <c r="AR588" s="271">
        <f>IF(AR$7="Actual","",IF(AR581&lt;0,IF(AR586&gt;-AR581,AR581,-AR586),0))</f>
        <v/>
      </c>
      <c r="AS588" s="271">
        <f>IF(AS$7="Actual","",IF(AS581&lt;0,IF(AS586&gt;-AS581,AS581,-AS586),0))</f>
        <v/>
      </c>
      <c r="AT588" s="271">
        <f>IF(AT$7="Actual","",IF(AT581&lt;0,IF(AT586&gt;-AT581,AT581,-AT586),0))</f>
        <v/>
      </c>
      <c r="AU588" s="271">
        <f>IF(AU$7="Actual","",IF(AU581&lt;0,IF(AU586&gt;-AU581,AU581,-AU586),0))</f>
        <v/>
      </c>
      <c r="AV588" s="271">
        <f>IF(AV$7="Actual","",IF(AV581&lt;0,IF(AV586&gt;-AV581,AV581,-AV586),0))</f>
        <v/>
      </c>
      <c r="AW588" s="271">
        <f>IF(AW$7="Actual","",IF(AW581&lt;0,IF(AW586&gt;-AW581,AW581,-AW586),0))</f>
        <v/>
      </c>
      <c r="AX588" s="271">
        <f>IF(AX$7="Actual","",IF(AX581&lt;0,IF(AX586&gt;-AX581,AX581,-AX586),0))</f>
        <v/>
      </c>
      <c r="AY588" s="271">
        <f>IF(AY$7="Actual","",IF(AY581&lt;0,IF(AY586&gt;-AY581,AY581,-AY586),0))</f>
        <v/>
      </c>
      <c r="AZ588" s="271">
        <f>IF(AZ$7="Actual","",IF(AZ581&lt;0,IF(AZ586&gt;-AZ581,AZ581,-AZ586),0))</f>
        <v/>
      </c>
      <c r="BA588" s="271">
        <f>IF(BA$7="Actual","",IF(BA581&lt;0,IF(BA586&gt;-BA581,BA581,-BA586),0))</f>
        <v/>
      </c>
      <c r="BB588" s="271">
        <f>IF(BB$7="Actual","",IF(BB581&lt;0,IF(BB586&gt;-BB581,BB581,-BB586),0))</f>
        <v/>
      </c>
      <c r="BC588" s="271">
        <f>IF(BC$7="Actual","",IF(BC581&lt;0,IF(BC586&gt;-BC581,BC581,-BC586),0))</f>
        <v/>
      </c>
      <c r="BD588" s="271">
        <f>IF(BD$7="Actual","",IF(BD581&lt;0,IF(BD586&gt;-BD581,BD581,-BD586),0))</f>
        <v/>
      </c>
      <c r="BE588" s="271">
        <f>IF(BE$7="Actual","",IF(BE581&lt;0,IF(BE586&gt;-BE581,BE581,-BE586),0))</f>
        <v/>
      </c>
      <c r="BF588" s="271">
        <f>IF(BF$7="Actual","",IF(BF581&lt;0,IF(BF586&gt;-BF581,BF581,-BF586),0))</f>
        <v/>
      </c>
      <c r="BG588" s="271">
        <f>IF(BG$7="Actual","",IF(BG581&lt;0,IF(BG586&gt;-BG581,BG581,-BG586),0))</f>
        <v/>
      </c>
      <c r="BH588" s="271">
        <f>IF(BH$7="Actual","",IF(BH581&lt;0,IF(BH586&gt;-BH581,BH581,-BH586),0))</f>
        <v/>
      </c>
      <c r="BI588" s="271">
        <f>IF(BI$7="Actual","",IF(BI581&lt;0,IF(BI586&gt;-BI581,BI581,-BI586),0))</f>
        <v/>
      </c>
      <c r="BJ588" s="271">
        <f>IF(BJ$7="Actual","",IF(BJ581&lt;0,IF(BJ586&gt;-BJ581,BJ581,-BJ586),0))</f>
        <v/>
      </c>
      <c r="BK588" s="271">
        <f>IF(BK$7="Actual","",IF(BK581&lt;0,IF(BK586&gt;-BK581,BK581,-BK586),0))</f>
        <v/>
      </c>
      <c r="BL588" s="271">
        <f>IF(BL$7="Actual","",IF(BL581&lt;0,IF(BL586&gt;-BL581,BL581,-BL586),0))</f>
        <v/>
      </c>
      <c r="BM588" s="271">
        <f>IF(BM$7="Actual","",IF(BM581&lt;0,IF(BM586&gt;-BM581,BM581,-BM586),0))</f>
        <v/>
      </c>
      <c r="BN588" s="271">
        <f>IF(BN$7="Actual","",IF(BN581&lt;0,IF(BN586&gt;-BN581,BN581,-BN586),0))</f>
        <v/>
      </c>
      <c r="BO588" s="271">
        <f>IF(BO$7="Actual","",IF(BO581&lt;0,IF(BO586&gt;-BO581,BO581,-BO586),0))</f>
        <v/>
      </c>
      <c r="BP588" s="271">
        <f>IF(BP$7="Actual","",IF(BP581&lt;0,IF(BP586&gt;-BP581,BP581,-BP586),0))</f>
        <v/>
      </c>
      <c r="BQ588" s="271">
        <f>IF(BQ$7="Actual","",IF(BQ581&lt;0,IF(BQ586&gt;-BQ581,BQ581,-BQ586),0))</f>
        <v/>
      </c>
      <c r="BR588" s="271">
        <f>IF(BR$7="Actual","",IF(BR581&lt;0,IF(BR586&gt;-BR581,BR581,-BR586),0))</f>
        <v/>
      </c>
      <c r="BS588" s="271">
        <f>IF(BS$7="Actual","",IF(BS581&lt;0,IF(BS586&gt;-BS581,BS581,-BS586),0))</f>
        <v/>
      </c>
      <c r="BT588" s="271">
        <f>IF(BT$7="Actual","",IF(BT581&lt;0,IF(BT586&gt;-BT581,BT581,-BT586),0))</f>
        <v/>
      </c>
      <c r="BU588" s="271">
        <f>IF(BU$7="Actual","",IF(BU581&lt;0,IF(BU586&gt;-BU581,BU581,-BU586),0))</f>
        <v/>
      </c>
      <c r="BV588" s="271">
        <f>IF(BV$7="Actual","",IF(BV581&lt;0,IF(BV586&gt;-BV581,BV581,-BV586),0))</f>
        <v/>
      </c>
      <c r="BW588" s="271">
        <f>IF(BW$7="Actual","",IF(BW581&lt;0,IF(BW586&gt;-BW581,BW581,-BW586),0))</f>
        <v/>
      </c>
      <c r="BX588" s="271">
        <f>IF(BX$7="Actual","",IF(BX581&lt;0,IF(BX586&gt;-BX581,BX581,-BX586),0))</f>
        <v/>
      </c>
      <c r="BY588" s="271">
        <f>IF(BY$7="Actual","",IF(BY581&lt;0,IF(BY586&gt;-BY581,BY581,-BY586),0))</f>
        <v/>
      </c>
      <c r="BZ588" s="271">
        <f>IF(BZ$7="Actual","",IF(BZ581&lt;0,IF(BZ586&gt;-BZ581,BZ581,-BZ586),0))</f>
        <v/>
      </c>
      <c r="CA588" s="271">
        <f>IF(CA$7="Actual","",IF(CA581&lt;0,IF(CA586&gt;-CA581,CA581,-CA586),0))</f>
        <v/>
      </c>
    </row>
    <row r="589" ht="12" customHeight="1" s="227" thickBot="1">
      <c r="A589" s="244" t="n"/>
      <c r="B589" s="244" t="n"/>
      <c r="C589" s="244" t="n"/>
      <c r="H589" s="51" t="inlineStr">
        <is>
          <t>Closing Balance</t>
        </is>
      </c>
      <c r="I589" s="43">
        <f>i_Setup!$M$16</f>
        <v/>
      </c>
      <c r="K589" s="6" t="n"/>
      <c r="M589" s="264">
        <f>SUMIF($T$2:$CA$2,M$2,$T589:$CA589)</f>
        <v/>
      </c>
      <c r="N589" s="264">
        <f>SUMIF($T$2:$CA$2,N$2,$T589:$CA589)</f>
        <v/>
      </c>
      <c r="O589" s="264">
        <f>SUMIF($T$2:$CA$2,O$2,$T589:$CA589)</f>
        <v/>
      </c>
      <c r="P589" s="264">
        <f>SUMIF($T$2:$CA$2,P$2,$T589:$CA589)</f>
        <v/>
      </c>
      <c r="Q589" s="264">
        <f>SUMIF($T$2:$CA$2,Q$2,$T589:$CA589)</f>
        <v/>
      </c>
      <c r="T589" s="264">
        <f>IF(T$7="Actual",i_Actuals!T124,SUM(T586:T588))</f>
        <v/>
      </c>
      <c r="U589" s="264">
        <f>IF(U$7="Actual",i_Actuals!U124,SUM(U586:U588))</f>
        <v/>
      </c>
      <c r="V589" s="264">
        <f>IF(V$7="Actual",i_Actuals!V124,SUM(V586:V588))</f>
        <v/>
      </c>
      <c r="W589" s="264">
        <f>IF(W$7="Actual",i_Actuals!W124,SUM(W586:W588))</f>
        <v/>
      </c>
      <c r="X589" s="264">
        <f>IF(X$7="Actual",i_Actuals!X124,SUM(X586:X588))</f>
        <v/>
      </c>
      <c r="Y589" s="264">
        <f>IF(Y$7="Actual",i_Actuals!Y124,SUM(Y586:Y588))</f>
        <v/>
      </c>
      <c r="Z589" s="264">
        <f>IF(Z$7="Actual",i_Actuals!Z124,SUM(Z586:Z588))</f>
        <v/>
      </c>
      <c r="AA589" s="264">
        <f>IF(AA$7="Actual",i_Actuals!AA124,SUM(AA586:AA588))</f>
        <v/>
      </c>
      <c r="AB589" s="264">
        <f>IF(AB$7="Actual",i_Actuals!AB124,SUM(AB586:AB588))</f>
        <v/>
      </c>
      <c r="AC589" s="264">
        <f>IF(AC$7="Actual",i_Actuals!AC124,SUM(AC586:AC588))</f>
        <v/>
      </c>
      <c r="AD589" s="264">
        <f>IF(AD$7="Actual",i_Actuals!AD124,SUM(AD586:AD588))</f>
        <v/>
      </c>
      <c r="AE589" s="264">
        <f>IF(AE$7="Actual",i_Actuals!AE124,SUM(AE586:AE588))</f>
        <v/>
      </c>
      <c r="AF589" s="264">
        <f>IF(AF$7="Actual",i_Actuals!AF124,SUM(AF586:AF588))</f>
        <v/>
      </c>
      <c r="AG589" s="264">
        <f>IF(AG$7="Actual",i_Actuals!AG124,SUM(AG586:AG588))</f>
        <v/>
      </c>
      <c r="AH589" s="264">
        <f>IF(AH$7="Actual",i_Actuals!AH124,SUM(AH586:AH588))</f>
        <v/>
      </c>
      <c r="AI589" s="264">
        <f>IF(AI$7="Actual",i_Actuals!AI124,SUM(AI586:AI588))</f>
        <v/>
      </c>
      <c r="AJ589" s="264">
        <f>IF(AJ$7="Actual",i_Actuals!AJ124,SUM(AJ586:AJ588))</f>
        <v/>
      </c>
      <c r="AK589" s="264">
        <f>IF(AK$7="Actual",i_Actuals!AK124,SUM(AK586:AK588))</f>
        <v/>
      </c>
      <c r="AL589" s="264">
        <f>IF(AL$7="Actual",i_Actuals!AL124,SUM(AL586:AL588))</f>
        <v/>
      </c>
      <c r="AM589" s="264">
        <f>IF(AM$7="Actual",i_Actuals!AM124,SUM(AM586:AM588))</f>
        <v/>
      </c>
      <c r="AN589" s="264">
        <f>IF(AN$7="Actual",i_Actuals!AN124,SUM(AN586:AN588))</f>
        <v/>
      </c>
      <c r="AO589" s="264">
        <f>IF(AO$7="Actual",i_Actuals!AO124,SUM(AO586:AO588))</f>
        <v/>
      </c>
      <c r="AP589" s="264">
        <f>IF(AP$7="Actual",i_Actuals!AP124,SUM(AP586:AP588))</f>
        <v/>
      </c>
      <c r="AQ589" s="264">
        <f>IF(AQ$7="Actual",i_Actuals!AQ124,SUM(AQ586:AQ588))</f>
        <v/>
      </c>
      <c r="AR589" s="264">
        <f>IF(AR$7="Actual",i_Actuals!AR124,SUM(AR586:AR588))</f>
        <v/>
      </c>
      <c r="AS589" s="264">
        <f>IF(AS$7="Actual",i_Actuals!AS124,SUM(AS586:AS588))</f>
        <v/>
      </c>
      <c r="AT589" s="264">
        <f>IF(AT$7="Actual",i_Actuals!AT124,SUM(AT586:AT588))</f>
        <v/>
      </c>
      <c r="AU589" s="264">
        <f>IF(AU$7="Actual",i_Actuals!AU124,SUM(AU586:AU588))</f>
        <v/>
      </c>
      <c r="AV589" s="264">
        <f>IF(AV$7="Actual",i_Actuals!AV124,SUM(AV586:AV588))</f>
        <v/>
      </c>
      <c r="AW589" s="264">
        <f>IF(AW$7="Actual",i_Actuals!AW124,SUM(AW586:AW588))</f>
        <v/>
      </c>
      <c r="AX589" s="264">
        <f>IF(AX$7="Actual",i_Actuals!AX124,SUM(AX586:AX588))</f>
        <v/>
      </c>
      <c r="AY589" s="264">
        <f>IF(AY$7="Actual",i_Actuals!AY124,SUM(AY586:AY588))</f>
        <v/>
      </c>
      <c r="AZ589" s="264">
        <f>IF(AZ$7="Actual",i_Actuals!AZ124,SUM(AZ586:AZ588))</f>
        <v/>
      </c>
      <c r="BA589" s="264">
        <f>IF(BA$7="Actual",i_Actuals!BA124,SUM(BA586:BA588))</f>
        <v/>
      </c>
      <c r="BB589" s="264">
        <f>IF(BB$7="Actual",i_Actuals!BB124,SUM(BB586:BB588))</f>
        <v/>
      </c>
      <c r="BC589" s="264">
        <f>IF(BC$7="Actual",i_Actuals!BC124,SUM(BC586:BC588))</f>
        <v/>
      </c>
      <c r="BD589" s="264">
        <f>IF(BD$7="Actual",i_Actuals!BD124,SUM(BD586:BD588))</f>
        <v/>
      </c>
      <c r="BE589" s="264">
        <f>IF(BE$7="Actual",i_Actuals!BE124,SUM(BE586:BE588))</f>
        <v/>
      </c>
      <c r="BF589" s="264">
        <f>IF(BF$7="Actual",i_Actuals!BF124,SUM(BF586:BF588))</f>
        <v/>
      </c>
      <c r="BG589" s="264">
        <f>IF(BG$7="Actual",i_Actuals!BG124,SUM(BG586:BG588))</f>
        <v/>
      </c>
      <c r="BH589" s="264">
        <f>IF(BH$7="Actual",i_Actuals!BH124,SUM(BH586:BH588))</f>
        <v/>
      </c>
      <c r="BI589" s="264">
        <f>IF(BI$7="Actual",i_Actuals!BI124,SUM(BI586:BI588))</f>
        <v/>
      </c>
      <c r="BJ589" s="264">
        <f>IF(BJ$7="Actual",i_Actuals!BJ124,SUM(BJ586:BJ588))</f>
        <v/>
      </c>
      <c r="BK589" s="264">
        <f>IF(BK$7="Actual",i_Actuals!BK124,SUM(BK586:BK588))</f>
        <v/>
      </c>
      <c r="BL589" s="264">
        <f>IF(BL$7="Actual",i_Actuals!BL124,SUM(BL586:BL588))</f>
        <v/>
      </c>
      <c r="BM589" s="264">
        <f>IF(BM$7="Actual",i_Actuals!BM124,SUM(BM586:BM588))</f>
        <v/>
      </c>
      <c r="BN589" s="264">
        <f>IF(BN$7="Actual",i_Actuals!BN124,SUM(BN586:BN588))</f>
        <v/>
      </c>
      <c r="BO589" s="264">
        <f>IF(BO$7="Actual",i_Actuals!BO124,SUM(BO586:BO588))</f>
        <v/>
      </c>
      <c r="BP589" s="264">
        <f>IF(BP$7="Actual",i_Actuals!BP124,SUM(BP586:BP588))</f>
        <v/>
      </c>
      <c r="BQ589" s="264">
        <f>IF(BQ$7="Actual",i_Actuals!BQ124,SUM(BQ586:BQ588))</f>
        <v/>
      </c>
      <c r="BR589" s="264">
        <f>IF(BR$7="Actual",i_Actuals!BR124,SUM(BR586:BR588))</f>
        <v/>
      </c>
      <c r="BS589" s="264">
        <f>IF(BS$7="Actual",i_Actuals!BS124,SUM(BS586:BS588))</f>
        <v/>
      </c>
      <c r="BT589" s="264">
        <f>IF(BT$7="Actual",i_Actuals!BT124,SUM(BT586:BT588))</f>
        <v/>
      </c>
      <c r="BU589" s="264">
        <f>IF(BU$7="Actual",i_Actuals!BU124,SUM(BU586:BU588))</f>
        <v/>
      </c>
      <c r="BV589" s="264">
        <f>IF(BV$7="Actual",i_Actuals!BV124,SUM(BV586:BV588))</f>
        <v/>
      </c>
      <c r="BW589" s="264">
        <f>IF(BW$7="Actual",i_Actuals!BW124,SUM(BW586:BW588))</f>
        <v/>
      </c>
      <c r="BX589" s="264">
        <f>IF(BX$7="Actual",i_Actuals!BX124,SUM(BX586:BX588))</f>
        <v/>
      </c>
      <c r="BY589" s="264">
        <f>IF(BY$7="Actual",i_Actuals!BY124,SUM(BY586:BY588))</f>
        <v/>
      </c>
      <c r="BZ589" s="264">
        <f>IF(BZ$7="Actual",i_Actuals!BZ124,SUM(BZ586:BZ588))</f>
        <v/>
      </c>
      <c r="CA589" s="264">
        <f>IF(CA$7="Actual",i_Actuals!CA124,SUM(CA586:CA588))</f>
        <v/>
      </c>
    </row>
    <row r="590" ht="12" customHeight="1" s="227">
      <c r="A590" s="244" t="n"/>
      <c r="B590" s="244" t="n"/>
      <c r="C590" s="244" t="n"/>
      <c r="K590" s="6" t="n"/>
    </row>
    <row r="591" ht="12" customFormat="1" customHeight="1" s="8">
      <c r="A591" s="244" t="n"/>
      <c r="B591" s="244">
        <f>SUM(L591:CA591)</f>
        <v/>
      </c>
      <c r="D591" s="4" t="n"/>
      <c r="E591" s="4" t="n"/>
      <c r="F591" s="4" t="n"/>
      <c r="G591" s="4" t="n"/>
      <c r="H591" s="0" t="inlineStr">
        <is>
          <t>Signage Check</t>
        </is>
      </c>
      <c r="I591" s="4" t="n"/>
      <c r="J591" s="4" t="n"/>
      <c r="K591" s="6" t="n"/>
      <c r="L591" s="4" t="n"/>
      <c r="M591" s="244" t="n"/>
      <c r="N591" s="244" t="n"/>
      <c r="O591" s="244" t="n"/>
      <c r="P591" s="244" t="n"/>
      <c r="Q591" s="244" t="n"/>
      <c r="R591" s="244" t="n"/>
      <c r="S591" s="244" t="n"/>
      <c r="T591" s="244">
        <f>IF(T$7&lt;&gt;"",IF(T589&lt;0,1,0),"")</f>
        <v/>
      </c>
      <c r="U591" s="244">
        <f>IF(U$7&lt;&gt;"",IF(U589&lt;0,1,0),"")</f>
        <v/>
      </c>
      <c r="V591" s="244">
        <f>IF(V$7&lt;&gt;"",IF(V589&lt;0,1,0),"")</f>
        <v/>
      </c>
      <c r="W591" s="244">
        <f>IF(W$7&lt;&gt;"",IF(W589&lt;0,1,0),"")</f>
        <v/>
      </c>
      <c r="X591" s="244">
        <f>IF(X$7&lt;&gt;"",IF(X589&lt;0,1,0),"")</f>
        <v/>
      </c>
      <c r="Y591" s="244">
        <f>IF(Y$7&lt;&gt;"",IF(Y589&lt;0,1,0),"")</f>
        <v/>
      </c>
      <c r="Z591" s="244">
        <f>IF(Z$7&lt;&gt;"",IF(Z589&lt;0,1,0),"")</f>
        <v/>
      </c>
      <c r="AA591" s="244">
        <f>IF(AA$7&lt;&gt;"",IF(AA589&lt;0,1,0),"")</f>
        <v/>
      </c>
      <c r="AB591" s="244">
        <f>IF(AB$7&lt;&gt;"",IF(AB589&lt;0,1,0),"")</f>
        <v/>
      </c>
      <c r="AC591" s="244">
        <f>IF(AC$7&lt;&gt;"",IF(AC589&lt;0,1,0),"")</f>
        <v/>
      </c>
      <c r="AD591" s="244">
        <f>IF(AD$7&lt;&gt;"",IF(AD589&lt;0,1,0),"")</f>
        <v/>
      </c>
      <c r="AE591" s="244">
        <f>IF(AE$7&lt;&gt;"",IF(AE589&lt;0,1,0),"")</f>
        <v/>
      </c>
      <c r="AF591" s="244">
        <f>IF(AF$7&lt;&gt;"",IF(AF589&lt;0,1,0),"")</f>
        <v/>
      </c>
      <c r="AG591" s="244">
        <f>IF(AG$7&lt;&gt;"",IF(AG589&lt;0,1,0),"")</f>
        <v/>
      </c>
      <c r="AH591" s="244">
        <f>IF(AH$7&lt;&gt;"",IF(AH589&lt;0,1,0),"")</f>
        <v/>
      </c>
      <c r="AI591" s="244">
        <f>IF(AI$7&lt;&gt;"",IF(AI589&lt;0,1,0),"")</f>
        <v/>
      </c>
      <c r="AJ591" s="244">
        <f>IF(AJ$7&lt;&gt;"",IF(AJ589&lt;0,1,0),"")</f>
        <v/>
      </c>
      <c r="AK591" s="244">
        <f>IF(AK$7&lt;&gt;"",IF(AK589&lt;0,1,0),"")</f>
        <v/>
      </c>
      <c r="AL591" s="244">
        <f>IF(AL$7&lt;&gt;"",IF(AL589&lt;0,1,0),"")</f>
        <v/>
      </c>
      <c r="AM591" s="244">
        <f>IF(AM$7&lt;&gt;"",IF(AM589&lt;0,1,0),"")</f>
        <v/>
      </c>
      <c r="AN591" s="244">
        <f>IF(AN$7&lt;&gt;"",IF(AN589&lt;0,1,0),"")</f>
        <v/>
      </c>
      <c r="AO591" s="244">
        <f>IF(AO$7&lt;&gt;"",IF(AO589&lt;0,1,0),"")</f>
        <v/>
      </c>
      <c r="AP591" s="244">
        <f>IF(AP$7&lt;&gt;"",IF(AP589&lt;0,1,0),"")</f>
        <v/>
      </c>
      <c r="AQ591" s="244">
        <f>IF(AQ$7&lt;&gt;"",IF(AQ589&lt;0,1,0),"")</f>
        <v/>
      </c>
      <c r="AR591" s="244">
        <f>IF(AR$7&lt;&gt;"",IF(AR589&lt;0,1,0),"")</f>
        <v/>
      </c>
      <c r="AS591" s="244">
        <f>IF(AS$7&lt;&gt;"",IF(AS589&lt;0,1,0),"")</f>
        <v/>
      </c>
      <c r="AT591" s="244">
        <f>IF(AT$7&lt;&gt;"",IF(AT589&lt;0,1,0),"")</f>
        <v/>
      </c>
      <c r="AU591" s="244">
        <f>IF(AU$7&lt;&gt;"",IF(AU589&lt;0,1,0),"")</f>
        <v/>
      </c>
      <c r="AV591" s="244">
        <f>IF(AV$7&lt;&gt;"",IF(AV589&lt;0,1,0),"")</f>
        <v/>
      </c>
      <c r="AW591" s="244">
        <f>IF(AW$7&lt;&gt;"",IF(AW589&lt;0,1,0),"")</f>
        <v/>
      </c>
      <c r="AX591" s="244">
        <f>IF(AX$7&lt;&gt;"",IF(AX589&lt;0,1,0),"")</f>
        <v/>
      </c>
      <c r="AY591" s="244">
        <f>IF(AY$7&lt;&gt;"",IF(AY589&lt;0,1,0),"")</f>
        <v/>
      </c>
      <c r="AZ591" s="244">
        <f>IF(AZ$7&lt;&gt;"",IF(AZ589&lt;0,1,0),"")</f>
        <v/>
      </c>
      <c r="BA591" s="244">
        <f>IF(BA$7&lt;&gt;"",IF(BA589&lt;0,1,0),"")</f>
        <v/>
      </c>
      <c r="BB591" s="244">
        <f>IF(BB$7&lt;&gt;"",IF(BB589&lt;0,1,0),"")</f>
        <v/>
      </c>
      <c r="BC591" s="244">
        <f>IF(BC$7&lt;&gt;"",IF(BC589&lt;0,1,0),"")</f>
        <v/>
      </c>
      <c r="BD591" s="244">
        <f>IF(BD$7&lt;&gt;"",IF(BD589&lt;0,1,0),"")</f>
        <v/>
      </c>
      <c r="BE591" s="244">
        <f>IF(BE$7&lt;&gt;"",IF(BE589&lt;0,1,0),"")</f>
        <v/>
      </c>
      <c r="BF591" s="244">
        <f>IF(BF$7&lt;&gt;"",IF(BF589&lt;0,1,0),"")</f>
        <v/>
      </c>
      <c r="BG591" s="244">
        <f>IF(BG$7&lt;&gt;"",IF(BG589&lt;0,1,0),"")</f>
        <v/>
      </c>
      <c r="BH591" s="244">
        <f>IF(BH$7&lt;&gt;"",IF(BH589&lt;0,1,0),"")</f>
        <v/>
      </c>
      <c r="BI591" s="244">
        <f>IF(BI$7&lt;&gt;"",IF(BI589&lt;0,1,0),"")</f>
        <v/>
      </c>
      <c r="BJ591" s="244">
        <f>IF(BJ$7&lt;&gt;"",IF(BJ589&lt;0,1,0),"")</f>
        <v/>
      </c>
      <c r="BK591" s="244">
        <f>IF(BK$7&lt;&gt;"",IF(BK589&lt;0,1,0),"")</f>
        <v/>
      </c>
      <c r="BL591" s="244">
        <f>IF(BL$7&lt;&gt;"",IF(BL589&lt;0,1,0),"")</f>
        <v/>
      </c>
      <c r="BM591" s="244">
        <f>IF(BM$7&lt;&gt;"",IF(BM589&lt;0,1,0),"")</f>
        <v/>
      </c>
      <c r="BN591" s="244">
        <f>IF(BN$7&lt;&gt;"",IF(BN589&lt;0,1,0),"")</f>
        <v/>
      </c>
      <c r="BO591" s="244">
        <f>IF(BO$7&lt;&gt;"",IF(BO589&lt;0,1,0),"")</f>
        <v/>
      </c>
      <c r="BP591" s="244">
        <f>IF(BP$7&lt;&gt;"",IF(BP589&lt;0,1,0),"")</f>
        <v/>
      </c>
      <c r="BQ591" s="244">
        <f>IF(BQ$7&lt;&gt;"",IF(BQ589&lt;0,1,0),"")</f>
        <v/>
      </c>
      <c r="BR591" s="244">
        <f>IF(BR$7&lt;&gt;"",IF(BR589&lt;0,1,0),"")</f>
        <v/>
      </c>
      <c r="BS591" s="244">
        <f>IF(BS$7&lt;&gt;"",IF(BS589&lt;0,1,0),"")</f>
        <v/>
      </c>
      <c r="BT591" s="244">
        <f>IF(BT$7&lt;&gt;"",IF(BT589&lt;0,1,0),"")</f>
        <v/>
      </c>
      <c r="BU591" s="244">
        <f>IF(BU$7&lt;&gt;"",IF(BU589&lt;0,1,0),"")</f>
        <v/>
      </c>
      <c r="BV591" s="244">
        <f>IF(BV$7&lt;&gt;"",IF(BV589&lt;0,1,0),"")</f>
        <v/>
      </c>
      <c r="BW591" s="244">
        <f>IF(BW$7&lt;&gt;"",IF(BW589&lt;0,1,0),"")</f>
        <v/>
      </c>
      <c r="BX591" s="244">
        <f>IF(BX$7&lt;&gt;"",IF(BX589&lt;0,1,0),"")</f>
        <v/>
      </c>
      <c r="BY591" s="244">
        <f>IF(BY$7&lt;&gt;"",IF(BY589&lt;0,1,0),"")</f>
        <v/>
      </c>
      <c r="BZ591" s="244">
        <f>IF(BZ$7&lt;&gt;"",IF(BZ589&lt;0,1,0),"")</f>
        <v/>
      </c>
      <c r="CA591" s="244">
        <f>IF(CA$7&lt;&gt;"",IF(CA589&lt;0,1,0),"")</f>
        <v/>
      </c>
    </row>
    <row r="592" ht="12" customHeight="1" s="227">
      <c r="A592" s="244" t="n"/>
      <c r="B592" s="244" t="n"/>
      <c r="C592" s="244" t="n"/>
      <c r="K592" s="6" t="n"/>
    </row>
    <row r="593" ht="12" customHeight="1" s="227">
      <c r="A593" s="244" t="n"/>
      <c r="B593" s="244" t="n"/>
      <c r="C593" s="244" t="n"/>
      <c r="K593" s="6" t="n"/>
    </row>
    <row r="594" ht="12" customHeight="1" s="227">
      <c r="A594" s="244" t="n"/>
      <c r="B594" s="244" t="n"/>
      <c r="C594" s="244" t="n"/>
      <c r="G594" s="222" t="inlineStr">
        <is>
          <t>Corporate Tax Payments</t>
        </is>
      </c>
      <c r="K594" s="6" t="n"/>
    </row>
    <row r="595" ht="12" customHeight="1" s="227">
      <c r="A595" s="244" t="n"/>
      <c r="B595" s="244" t="n"/>
      <c r="C595" s="244" t="n"/>
      <c r="K595" s="6" t="n"/>
    </row>
    <row r="596" ht="12" customHeight="1" s="227">
      <c r="A596" s="244" t="n"/>
      <c r="B596" s="244" t="n"/>
      <c r="C596" s="244" t="n"/>
      <c r="H596" s="54" t="inlineStr">
        <is>
          <t>Tax Due - Quarterly</t>
        </is>
      </c>
      <c r="I596" s="27">
        <f>i_Setup!$M$16</f>
        <v/>
      </c>
      <c r="K596" s="6" t="n"/>
      <c r="T596" s="272">
        <f>IF(T$7="Actual","",IF(OR(T5=3,T5=6,T5=9,T5=12),IF((SUM(R581:T581)-SUM(R588:T588))&gt;0,0,SUM(R581:T581)-SUM(R588:T588)),0))</f>
        <v/>
      </c>
      <c r="U596" s="272">
        <f>IF(U$7="Actual","",IF(OR(U5=3,U5=6,U5=9,U5=12),IF((SUM(S581:U581)-SUM(S588:U588))&gt;0,0,SUM(S581:U581)-SUM(S588:U588)),0))</f>
        <v/>
      </c>
      <c r="V596" s="272">
        <f>IF(V$7="Actual","",IF(OR(V5=3,V5=6,V5=9,V5=12),IF((SUM(T581:V581)-SUM(T588:V588))&gt;0,0,SUM(T581:V581)-SUM(T588:V588)),0))</f>
        <v/>
      </c>
      <c r="W596" s="272">
        <f>IF(W$7="Actual","",IF(OR(W5=3,W5=6,W5=9,W5=12),IF((SUM(U581:W581)-SUM(U588:W588))&gt;0,0,SUM(U581:W581)-SUM(U588:W588)),0))</f>
        <v/>
      </c>
      <c r="X596" s="272">
        <f>IF(X$7="Actual","",IF(OR(X5=3,X5=6,X5=9,X5=12),IF((SUM(V581:X581)-SUM(V588:X588))&gt;0,0,SUM(V581:X581)-SUM(V588:X588)),0))</f>
        <v/>
      </c>
      <c r="Y596" s="272">
        <f>IF(Y$7="Actual","",IF(OR(Y5=3,Y5=6,Y5=9,Y5=12),IF((SUM(W581:Y581)-SUM(W588:Y588))&gt;0,0,SUM(W581:Y581)-SUM(W588:Y588)),0))</f>
        <v/>
      </c>
      <c r="Z596" s="272">
        <f>IF(Z$7="Actual","",IF(OR(Z5=3,Z5=6,Z5=9,Z5=12),IF((SUM(X581:Z581)-SUM(X588:Z588))&gt;0,0,SUM(X581:Z581)-SUM(X588:Z588)),0))</f>
        <v/>
      </c>
      <c r="AA596" s="272">
        <f>IF(AA$7="Actual","",IF(OR(AA5=3,AA5=6,AA5=9,AA5=12),IF((SUM(Y581:AA581)-SUM(Y588:AA588))&gt;0,0,SUM(Y581:AA581)-SUM(Y588:AA588)),0))</f>
        <v/>
      </c>
      <c r="AB596" s="272">
        <f>IF(AB$7="Actual","",IF(OR(AB5=3,AB5=6,AB5=9,AB5=12),IF((SUM(Z581:AB581)-SUM(Z588:AB588))&gt;0,0,SUM(Z581:AB581)-SUM(Z588:AB588)),0))</f>
        <v/>
      </c>
      <c r="AC596" s="272">
        <f>IF(AC$7="Actual","",IF(OR(AC5=3,AC5=6,AC5=9,AC5=12),IF((SUM(AA581:AC581)-SUM(AA588:AC588))&gt;0,0,SUM(AA581:AC581)-SUM(AA588:AC588)),0))</f>
        <v/>
      </c>
      <c r="AD596" s="272">
        <f>IF(AD$7="Actual","",IF(OR(AD5=3,AD5=6,AD5=9,AD5=12),IF((SUM(AB581:AD581)-SUM(AB588:AD588))&gt;0,0,SUM(AB581:AD581)-SUM(AB588:AD588)),0))</f>
        <v/>
      </c>
      <c r="AE596" s="272">
        <f>IF(AE$7="Actual","",IF(OR(AE5=3,AE5=6,AE5=9,AE5=12),IF((SUM(AC581:AE581)-SUM(AC588:AE588))&gt;0,0,SUM(AC581:AE581)-SUM(AC588:AE588)),0))</f>
        <v/>
      </c>
      <c r="AF596" s="272">
        <f>IF(AF$7="Actual","",IF(OR(AF5=3,AF5=6,AF5=9,AF5=12),IF((SUM(AD581:AF581)-SUM(AD588:AF588))&gt;0,0,SUM(AD581:AF581)-SUM(AD588:AF588)),0))</f>
        <v/>
      </c>
      <c r="AG596" s="272">
        <f>IF(AG$7="Actual","",IF(OR(AG5=3,AG5=6,AG5=9,AG5=12),IF((SUM(AE581:AG581)-SUM(AE588:AG588))&gt;0,0,SUM(AE581:AG581)-SUM(AE588:AG588)),0))</f>
        <v/>
      </c>
      <c r="AH596" s="272">
        <f>IF(AH$7="Actual","",IF(OR(AH5=3,AH5=6,AH5=9,AH5=12),IF((SUM(AF581:AH581)-SUM(AF588:AH588))&gt;0,0,SUM(AF581:AH581)-SUM(AF588:AH588)),0))</f>
        <v/>
      </c>
      <c r="AI596" s="272">
        <f>IF(AI$7="Actual","",IF(OR(AI5=3,AI5=6,AI5=9,AI5=12),IF((SUM(AG581:AI581)-SUM(AG588:AI588))&gt;0,0,SUM(AG581:AI581)-SUM(AG588:AI588)),0))</f>
        <v/>
      </c>
      <c r="AJ596" s="272">
        <f>IF(AJ$7="Actual","",IF(OR(AJ5=3,AJ5=6,AJ5=9,AJ5=12),IF((SUM(AH581:AJ581)-SUM(AH588:AJ588))&gt;0,0,SUM(AH581:AJ581)-SUM(AH588:AJ588)),0))</f>
        <v/>
      </c>
      <c r="AK596" s="272">
        <f>IF(AK$7="Actual","",IF(OR(AK5=3,AK5=6,AK5=9,AK5=12),IF((SUM(AI581:AK581)-SUM(AI588:AK588))&gt;0,0,SUM(AI581:AK581)-SUM(AI588:AK588)),0))</f>
        <v/>
      </c>
      <c r="AL596" s="272">
        <f>IF(AL$7="Actual","",IF(OR(AL5=3,AL5=6,AL5=9,AL5=12),IF((SUM(AJ581:AL581)-SUM(AJ588:AL588))&gt;0,0,SUM(AJ581:AL581)-SUM(AJ588:AL588)),0))</f>
        <v/>
      </c>
      <c r="AM596" s="272">
        <f>IF(AM$7="Actual","",IF(OR(AM5=3,AM5=6,AM5=9,AM5=12),IF((SUM(AK581:AM581)-SUM(AK588:AM588))&gt;0,0,SUM(AK581:AM581)-SUM(AK588:AM588)),0))</f>
        <v/>
      </c>
      <c r="AN596" s="272">
        <f>IF(AN$7="Actual","",IF(OR(AN5=3,AN5=6,AN5=9,AN5=12),IF((SUM(AL581:AN581)-SUM(AL588:AN588))&gt;0,0,SUM(AL581:AN581)-SUM(AL588:AN588)),0))</f>
        <v/>
      </c>
      <c r="AO596" s="272">
        <f>IF(AO$7="Actual","",IF(OR(AO5=3,AO5=6,AO5=9,AO5=12),IF((SUM(AM581:AO581)-SUM(AM588:AO588))&gt;0,0,SUM(AM581:AO581)-SUM(AM588:AO588)),0))</f>
        <v/>
      </c>
      <c r="AP596" s="272">
        <f>IF(AP$7="Actual","",IF(OR(AP5=3,AP5=6,AP5=9,AP5=12),IF((SUM(AN581:AP581)-SUM(AN588:AP588))&gt;0,0,SUM(AN581:AP581)-SUM(AN588:AP588)),0))</f>
        <v/>
      </c>
      <c r="AQ596" s="272">
        <f>IF(AQ$7="Actual","",IF(OR(AQ5=3,AQ5=6,AQ5=9,AQ5=12),IF((SUM(AO581:AQ581)-SUM(AO588:AQ588))&gt;0,0,SUM(AO581:AQ581)-SUM(AO588:AQ588)),0))</f>
        <v/>
      </c>
      <c r="AR596" s="272">
        <f>IF(AR$7="Actual","",IF(OR(AR5=3,AR5=6,AR5=9,AR5=12),IF((SUM(AP581:AR581)-SUM(AP588:AR588))&gt;0,0,SUM(AP581:AR581)-SUM(AP588:AR588)),0))</f>
        <v/>
      </c>
      <c r="AS596" s="272">
        <f>IF(AS$7="Actual","",IF(OR(AS5=3,AS5=6,AS5=9,AS5=12),IF((SUM(AQ581:AS581)-SUM(AQ588:AS588))&gt;0,0,SUM(AQ581:AS581)-SUM(AQ588:AS588)),0))</f>
        <v/>
      </c>
      <c r="AT596" s="272">
        <f>IF(AT$7="Actual","",IF(OR(AT5=3,AT5=6,AT5=9,AT5=12),IF((SUM(AR581:AT581)-SUM(AR588:AT588))&gt;0,0,SUM(AR581:AT581)-SUM(AR588:AT588)),0))</f>
        <v/>
      </c>
      <c r="AU596" s="272">
        <f>IF(AU$7="Actual","",IF(OR(AU5=3,AU5=6,AU5=9,AU5=12),IF((SUM(AS581:AU581)-SUM(AS588:AU588))&gt;0,0,SUM(AS581:AU581)-SUM(AS588:AU588)),0))</f>
        <v/>
      </c>
      <c r="AV596" s="272">
        <f>IF(AV$7="Actual","",IF(OR(AV5=3,AV5=6,AV5=9,AV5=12),IF((SUM(AT581:AV581)-SUM(AT588:AV588))&gt;0,0,SUM(AT581:AV581)-SUM(AT588:AV588)),0))</f>
        <v/>
      </c>
      <c r="AW596" s="272">
        <f>IF(AW$7="Actual","",IF(OR(AW5=3,AW5=6,AW5=9,AW5=12),IF((SUM(AU581:AW581)-SUM(AU588:AW588))&gt;0,0,SUM(AU581:AW581)-SUM(AU588:AW588)),0))</f>
        <v/>
      </c>
      <c r="AX596" s="272">
        <f>IF(AX$7="Actual","",IF(OR(AX5=3,AX5=6,AX5=9,AX5=12),IF((SUM(AV581:AX581)-SUM(AV588:AX588))&gt;0,0,SUM(AV581:AX581)-SUM(AV588:AX588)),0))</f>
        <v/>
      </c>
      <c r="AY596" s="272">
        <f>IF(AY$7="Actual","",IF(OR(AY5=3,AY5=6,AY5=9,AY5=12),IF((SUM(AW581:AY581)-SUM(AW588:AY588))&gt;0,0,SUM(AW581:AY581)-SUM(AW588:AY588)),0))</f>
        <v/>
      </c>
      <c r="AZ596" s="272">
        <f>IF(AZ$7="Actual","",IF(OR(AZ5=3,AZ5=6,AZ5=9,AZ5=12),IF((SUM(AX581:AZ581)-SUM(AX588:AZ588))&gt;0,0,SUM(AX581:AZ581)-SUM(AX588:AZ588)),0))</f>
        <v/>
      </c>
      <c r="BA596" s="272">
        <f>IF(BA$7="Actual","",IF(OR(BA5=3,BA5=6,BA5=9,BA5=12),IF((SUM(AY581:BA581)-SUM(AY588:BA588))&gt;0,0,SUM(AY581:BA581)-SUM(AY588:BA588)),0))</f>
        <v/>
      </c>
      <c r="BB596" s="272">
        <f>IF(BB$7="Actual","",IF(OR(BB5=3,BB5=6,BB5=9,BB5=12),IF((SUM(AZ581:BB581)-SUM(AZ588:BB588))&gt;0,0,SUM(AZ581:BB581)-SUM(AZ588:BB588)),0))</f>
        <v/>
      </c>
      <c r="BC596" s="272">
        <f>IF(BC$7="Actual","",IF(OR(BC5=3,BC5=6,BC5=9,BC5=12),IF((SUM(BA581:BC581)-SUM(BA588:BC588))&gt;0,0,SUM(BA581:BC581)-SUM(BA588:BC588)),0))</f>
        <v/>
      </c>
      <c r="BD596" s="272">
        <f>IF(BD$7="Actual","",IF(OR(BD5=3,BD5=6,BD5=9,BD5=12),IF((SUM(BB581:BD581)-SUM(BB588:BD588))&gt;0,0,SUM(BB581:BD581)-SUM(BB588:BD588)),0))</f>
        <v/>
      </c>
      <c r="BE596" s="272">
        <f>IF(BE$7="Actual","",IF(OR(BE5=3,BE5=6,BE5=9,BE5=12),IF((SUM(BC581:BE581)-SUM(BC588:BE588))&gt;0,0,SUM(BC581:BE581)-SUM(BC588:BE588)),0))</f>
        <v/>
      </c>
      <c r="BF596" s="272">
        <f>IF(BF$7="Actual","",IF(OR(BF5=3,BF5=6,BF5=9,BF5=12),IF((SUM(BD581:BF581)-SUM(BD588:BF588))&gt;0,0,SUM(BD581:BF581)-SUM(BD588:BF588)),0))</f>
        <v/>
      </c>
      <c r="BG596" s="272">
        <f>IF(BG$7="Actual","",IF(OR(BG5=3,BG5=6,BG5=9,BG5=12),IF((SUM(BE581:BG581)-SUM(BE588:BG588))&gt;0,0,SUM(BE581:BG581)-SUM(BE588:BG588)),0))</f>
        <v/>
      </c>
      <c r="BH596" s="272">
        <f>IF(BH$7="Actual","",IF(OR(BH5=3,BH5=6,BH5=9,BH5=12),IF((SUM(BF581:BH581)-SUM(BF588:BH588))&gt;0,0,SUM(BF581:BH581)-SUM(BF588:BH588)),0))</f>
        <v/>
      </c>
      <c r="BI596" s="272">
        <f>IF(BI$7="Actual","",IF(OR(BI5=3,BI5=6,BI5=9,BI5=12),IF((SUM(BG581:BI581)-SUM(BG588:BI588))&gt;0,0,SUM(BG581:BI581)-SUM(BG588:BI588)),0))</f>
        <v/>
      </c>
      <c r="BJ596" s="272">
        <f>IF(BJ$7="Actual","",IF(OR(BJ5=3,BJ5=6,BJ5=9,BJ5=12),IF((SUM(BH581:BJ581)-SUM(BH588:BJ588))&gt;0,0,SUM(BH581:BJ581)-SUM(BH588:BJ588)),0))</f>
        <v/>
      </c>
      <c r="BK596" s="272">
        <f>IF(BK$7="Actual","",IF(OR(BK5=3,BK5=6,BK5=9,BK5=12),IF((SUM(BI581:BK581)-SUM(BI588:BK588))&gt;0,0,SUM(BI581:BK581)-SUM(BI588:BK588)),0))</f>
        <v/>
      </c>
      <c r="BL596" s="272">
        <f>IF(BL$7="Actual","",IF(OR(BL5=3,BL5=6,BL5=9,BL5=12),IF((SUM(BJ581:BL581)-SUM(BJ588:BL588))&gt;0,0,SUM(BJ581:BL581)-SUM(BJ588:BL588)),0))</f>
        <v/>
      </c>
      <c r="BM596" s="272">
        <f>IF(BM$7="Actual","",IF(OR(BM5=3,BM5=6,BM5=9,BM5=12),IF((SUM(BK581:BM581)-SUM(BK588:BM588))&gt;0,0,SUM(BK581:BM581)-SUM(BK588:BM588)),0))</f>
        <v/>
      </c>
      <c r="BN596" s="272">
        <f>IF(BN$7="Actual","",IF(OR(BN5=3,BN5=6,BN5=9,BN5=12),IF((SUM(BL581:BN581)-SUM(BL588:BN588))&gt;0,0,SUM(BL581:BN581)-SUM(BL588:BN588)),0))</f>
        <v/>
      </c>
      <c r="BO596" s="272">
        <f>IF(BO$7="Actual","",IF(OR(BO5=3,BO5=6,BO5=9,BO5=12),IF((SUM(BM581:BO581)-SUM(BM588:BO588))&gt;0,0,SUM(BM581:BO581)-SUM(BM588:BO588)),0))</f>
        <v/>
      </c>
      <c r="BP596" s="272">
        <f>IF(BP$7="Actual","",IF(OR(BP5=3,BP5=6,BP5=9,BP5=12),IF((SUM(BN581:BP581)-SUM(BN588:BP588))&gt;0,0,SUM(BN581:BP581)-SUM(BN588:BP588)),0))</f>
        <v/>
      </c>
      <c r="BQ596" s="272">
        <f>IF(BQ$7="Actual","",IF(OR(BQ5=3,BQ5=6,BQ5=9,BQ5=12),IF((SUM(BO581:BQ581)-SUM(BO588:BQ588))&gt;0,0,SUM(BO581:BQ581)-SUM(BO588:BQ588)),0))</f>
        <v/>
      </c>
      <c r="BR596" s="272">
        <f>IF(BR$7="Actual","",IF(OR(BR5=3,BR5=6,BR5=9,BR5=12),IF((SUM(BP581:BR581)-SUM(BP588:BR588))&gt;0,0,SUM(BP581:BR581)-SUM(BP588:BR588)),0))</f>
        <v/>
      </c>
      <c r="BS596" s="272">
        <f>IF(BS$7="Actual","",IF(OR(BS5=3,BS5=6,BS5=9,BS5=12),IF((SUM(BQ581:BS581)-SUM(BQ588:BS588))&gt;0,0,SUM(BQ581:BS581)-SUM(BQ588:BS588)),0))</f>
        <v/>
      </c>
      <c r="BT596" s="272">
        <f>IF(BT$7="Actual","",IF(OR(BT5=3,BT5=6,BT5=9,BT5=12),IF((SUM(BR581:BT581)-SUM(BR588:BT588))&gt;0,0,SUM(BR581:BT581)-SUM(BR588:BT588)),0))</f>
        <v/>
      </c>
      <c r="BU596" s="272">
        <f>IF(BU$7="Actual","",IF(OR(BU5=3,BU5=6,BU5=9,BU5=12),IF((SUM(BS581:BU581)-SUM(BS588:BU588))&gt;0,0,SUM(BS581:BU581)-SUM(BS588:BU588)),0))</f>
        <v/>
      </c>
      <c r="BV596" s="272">
        <f>IF(BV$7="Actual","",IF(OR(BV5=3,BV5=6,BV5=9,BV5=12),IF((SUM(BT581:BV581)-SUM(BT588:BV588))&gt;0,0,SUM(BT581:BV581)-SUM(BT588:BV588)),0))</f>
        <v/>
      </c>
      <c r="BW596" s="272">
        <f>IF(BW$7="Actual","",IF(OR(BW5=3,BW5=6,BW5=9,BW5=12),IF((SUM(BU581:BW581)-SUM(BU588:BW588))&gt;0,0,SUM(BU581:BW581)-SUM(BU588:BW588)),0))</f>
        <v/>
      </c>
      <c r="BX596" s="272">
        <f>IF(BX$7="Actual","",IF(OR(BX5=3,BX5=6,BX5=9,BX5=12),IF((SUM(BV581:BX581)-SUM(BV588:BX588))&gt;0,0,SUM(BV581:BX581)-SUM(BV588:BX588)),0))</f>
        <v/>
      </c>
      <c r="BY596" s="272">
        <f>IF(BY$7="Actual","",IF(OR(BY5=3,BY5=6,BY5=9,BY5=12),IF((SUM(BW581:BY581)-SUM(BW588:BY588))&gt;0,0,SUM(BW581:BY581)-SUM(BW588:BY588)),0))</f>
        <v/>
      </c>
      <c r="BZ596" s="272">
        <f>IF(BZ$7="Actual","",IF(OR(BZ5=3,BZ5=6,BZ5=9,BZ5=12),IF((SUM(BX581:BZ581)-SUM(BX588:BZ588))&gt;0,0,SUM(BX581:BZ581)-SUM(BX588:BZ588)),0))</f>
        <v/>
      </c>
      <c r="CA596" s="272">
        <f>IF(CA$7="Actual","",IF(OR(CA5=3,CA5=6,CA5=9,CA5=12),IF((SUM(BY581:CA581)-SUM(BY588:CA588))&gt;0,0,SUM(BY581:CA581)-SUM(BY588:CA588)),0))</f>
        <v/>
      </c>
    </row>
    <row r="597" ht="12" customHeight="1" s="227">
      <c r="A597" s="244" t="n"/>
      <c r="B597" s="244" t="n"/>
      <c r="C597" s="244" t="n"/>
      <c r="H597" s="54" t="inlineStr">
        <is>
          <t>Tax Due - Yearly</t>
        </is>
      </c>
      <c r="I597" s="27">
        <f>i_Setup!$M$16</f>
        <v/>
      </c>
      <c r="K597" s="6" t="n"/>
      <c r="T597" s="272">
        <f>IF(T$7="Actual","",IF(T$5=12,IF((SUM(I581:T581)--SUM(I588:T588))&gt;0,0,SUM(I581:T581)-SUM(I588:T588)),0))</f>
        <v/>
      </c>
      <c r="U597" s="272">
        <f>IF(U$7="Actual","",IF(U$5=12,IF((SUM(J581:U581)--SUM(J588:U588))&gt;0,0,SUM(J581:U581)-SUM(J588:U588)),0))</f>
        <v/>
      </c>
      <c r="V597" s="272">
        <f>IF(V$7="Actual","",IF(V$5=12,IF((SUM(K581:V581)--SUM(K588:V588))&gt;0,0,SUM(K581:V581)-SUM(K588:V588)),0))</f>
        <v/>
      </c>
      <c r="W597" s="272">
        <f>IF(W$7="Actual","",IF(W$5=12,IF((SUM(L581:W581)--SUM(L588:W588))&gt;0,0,SUM(L581:W581)-SUM(L588:W588)),0))</f>
        <v/>
      </c>
      <c r="X597" s="272">
        <f>IF(X$7="Actual","",IF(X$5=12,IF((SUM(M581:X581)--SUM(M588:X588))&gt;0,0,SUM(M581:X581)-SUM(M588:X588)),0))</f>
        <v/>
      </c>
      <c r="Y597" s="272">
        <f>IF(Y$7="Actual","",IF(Y$5=12,IF((SUM(N581:Y581)--SUM(N588:Y588))&gt;0,0,SUM(N581:Y581)-SUM(N588:Y588)),0))</f>
        <v/>
      </c>
      <c r="Z597" s="272">
        <f>IF(Z$7="Actual","",IF(Z$5=12,IF((SUM(O581:Z581)--SUM(O588:Z588))&gt;0,0,SUM(O581:Z581)-SUM(O588:Z588)),0))</f>
        <v/>
      </c>
      <c r="AA597" s="272">
        <f>IF(AA$7="Actual","",IF(AA$5=12,IF((SUM(P581:AA581)--SUM(P588:AA588))&gt;0,0,SUM(P581:AA581)-SUM(P588:AA588)),0))</f>
        <v/>
      </c>
      <c r="AB597" s="272">
        <f>IF(AB$7="Actual","",IF(AB$5=12,IF((SUM(Q581:AB581)--SUM(Q588:AB588))&gt;0,0,SUM(Q581:AB581)-SUM(Q588:AB588)),0))</f>
        <v/>
      </c>
      <c r="AC597" s="272">
        <f>IF(AC$7="Actual","",IF(AC$5=12,IF((SUM(R581:AC581)--SUM(R588:AC588))&gt;0,0,SUM(R581:AC581)-SUM(R588:AC588)),0))</f>
        <v/>
      </c>
      <c r="AD597" s="272">
        <f>IF(AD$7="Actual","",IF(AD$5=12,IF((SUM(S581:AD581)--SUM(S588:AD588))&gt;0,0,SUM(S581:AD581)-SUM(S588:AD588)),0))</f>
        <v/>
      </c>
      <c r="AE597" s="272">
        <f>IF(AE$7="Actual","",IF(AE$5=12,IF((SUM(T581:AE581)--SUM(T588:AE588))&gt;0,0,SUM(T581:AE581)-SUM(T588:AE588)),0))</f>
        <v/>
      </c>
      <c r="AF597" s="272">
        <f>IF(AF$7="Actual","",IF(AF$5=12,IF((SUM(U581:AF581)--SUM(U588:AF588))&gt;0,0,SUM(U581:AF581)-SUM(U588:AF588)),0))</f>
        <v/>
      </c>
      <c r="AG597" s="272">
        <f>IF(AG$7="Actual","",IF(AG$5=12,IF((SUM(V581:AG581)--SUM(V588:AG588))&gt;0,0,SUM(V581:AG581)-SUM(V588:AG588)),0))</f>
        <v/>
      </c>
      <c r="AH597" s="272">
        <f>IF(AH$7="Actual","",IF(AH$5=12,IF((SUM(W581:AH581)--SUM(W588:AH588))&gt;0,0,SUM(W581:AH581)-SUM(W588:AH588)),0))</f>
        <v/>
      </c>
      <c r="AI597" s="272">
        <f>IF(AI$7="Actual","",IF(AI$5=12,IF((SUM(X581:AI581)--SUM(X588:AI588))&gt;0,0,SUM(X581:AI581)-SUM(X588:AI588)),0))</f>
        <v/>
      </c>
      <c r="AJ597" s="272">
        <f>IF(AJ$7="Actual","",IF(AJ$5=12,IF((SUM(Y581:AJ581)--SUM(Y588:AJ588))&gt;0,0,SUM(Y581:AJ581)-SUM(Y588:AJ588)),0))</f>
        <v/>
      </c>
      <c r="AK597" s="272">
        <f>IF(AK$7="Actual","",IF(AK$5=12,IF((SUM(Z581:AK581)--SUM(Z588:AK588))&gt;0,0,SUM(Z581:AK581)-SUM(Z588:AK588)),0))</f>
        <v/>
      </c>
      <c r="AL597" s="272">
        <f>IF(AL$7="Actual","",IF(AL$5=12,IF((SUM(AA581:AL581)--SUM(AA588:AL588))&gt;0,0,SUM(AA581:AL581)-SUM(AA588:AL588)),0))</f>
        <v/>
      </c>
      <c r="AM597" s="272">
        <f>IF(AM$7="Actual","",IF(AM$5=12,IF((SUM(AB581:AM581)--SUM(AB588:AM588))&gt;0,0,SUM(AB581:AM581)-SUM(AB588:AM588)),0))</f>
        <v/>
      </c>
      <c r="AN597" s="272">
        <f>IF(AN$7="Actual","",IF(AN$5=12,IF((SUM(AC581:AN581)--SUM(AC588:AN588))&gt;0,0,SUM(AC581:AN581)-SUM(AC588:AN588)),0))</f>
        <v/>
      </c>
      <c r="AO597" s="272">
        <f>IF(AO$7="Actual","",IF(AO$5=12,IF((SUM(AD581:AO581)--SUM(AD588:AO588))&gt;0,0,SUM(AD581:AO581)-SUM(AD588:AO588)),0))</f>
        <v/>
      </c>
      <c r="AP597" s="272">
        <f>IF(AP$7="Actual","",IF(AP$5=12,IF((SUM(AE581:AP581)--SUM(AE588:AP588))&gt;0,0,SUM(AE581:AP581)-SUM(AE588:AP588)),0))</f>
        <v/>
      </c>
      <c r="AQ597" s="272">
        <f>IF(AQ$7="Actual","",IF(AQ$5=12,IF((SUM(AF581:AQ581)--SUM(AF588:AQ588))&gt;0,0,SUM(AF581:AQ581)-SUM(AF588:AQ588)),0))</f>
        <v/>
      </c>
      <c r="AR597" s="272">
        <f>IF(AR$7="Actual","",IF(AR$5=12,IF((SUM(AG581:AR581)--SUM(AG588:AR588))&gt;0,0,SUM(AG581:AR581)-SUM(AG588:AR588)),0))</f>
        <v/>
      </c>
      <c r="AS597" s="272">
        <f>IF(AS$7="Actual","",IF(AS$5=12,IF((SUM(AH581:AS581)--SUM(AH588:AS588))&gt;0,0,SUM(AH581:AS581)-SUM(AH588:AS588)),0))</f>
        <v/>
      </c>
      <c r="AT597" s="272">
        <f>IF(AT$7="Actual","",IF(AT$5=12,IF((SUM(AI581:AT581)--SUM(AI588:AT588))&gt;0,0,SUM(AI581:AT581)-SUM(AI588:AT588)),0))</f>
        <v/>
      </c>
      <c r="AU597" s="272">
        <f>IF(AU$7="Actual","",IF(AU$5=12,IF((SUM(AJ581:AU581)--SUM(AJ588:AU588))&gt;0,0,SUM(AJ581:AU581)-SUM(AJ588:AU588)),0))</f>
        <v/>
      </c>
      <c r="AV597" s="272">
        <f>IF(AV$7="Actual","",IF(AV$5=12,IF((SUM(AK581:AV581)--SUM(AK588:AV588))&gt;0,0,SUM(AK581:AV581)-SUM(AK588:AV588)),0))</f>
        <v/>
      </c>
      <c r="AW597" s="272">
        <f>IF(AW$7="Actual","",IF(AW$5=12,IF((SUM(AL581:AW581)--SUM(AL588:AW588))&gt;0,0,SUM(AL581:AW581)-SUM(AL588:AW588)),0))</f>
        <v/>
      </c>
      <c r="AX597" s="272">
        <f>IF(AX$7="Actual","",IF(AX$5=12,IF((SUM(AM581:AX581)--SUM(AM588:AX588))&gt;0,0,SUM(AM581:AX581)-SUM(AM588:AX588)),0))</f>
        <v/>
      </c>
      <c r="AY597" s="272">
        <f>IF(AY$7="Actual","",IF(AY$5=12,IF((SUM(AN581:AY581)--SUM(AN588:AY588))&gt;0,0,SUM(AN581:AY581)-SUM(AN588:AY588)),0))</f>
        <v/>
      </c>
      <c r="AZ597" s="272">
        <f>IF(AZ$7="Actual","",IF(AZ$5=12,IF((SUM(AO581:AZ581)--SUM(AO588:AZ588))&gt;0,0,SUM(AO581:AZ581)-SUM(AO588:AZ588)),0))</f>
        <v/>
      </c>
      <c r="BA597" s="272">
        <f>IF(BA$7="Actual","",IF(BA$5=12,IF((SUM(AP581:BA581)--SUM(AP588:BA588))&gt;0,0,SUM(AP581:BA581)-SUM(AP588:BA588)),0))</f>
        <v/>
      </c>
      <c r="BB597" s="272">
        <f>IF(BB$7="Actual","",IF(BB$5=12,IF((SUM(AQ581:BB581)--SUM(AQ588:BB588))&gt;0,0,SUM(AQ581:BB581)-SUM(AQ588:BB588)),0))</f>
        <v/>
      </c>
      <c r="BC597" s="272">
        <f>IF(BC$7="Actual","",IF(BC$5=12,IF((SUM(AR581:BC581)--SUM(AR588:BC588))&gt;0,0,SUM(AR581:BC581)-SUM(AR588:BC588)),0))</f>
        <v/>
      </c>
      <c r="BD597" s="272">
        <f>IF(BD$7="Actual","",IF(BD$5=12,IF((SUM(AS581:BD581)--SUM(AS588:BD588))&gt;0,0,SUM(AS581:BD581)-SUM(AS588:BD588)),0))</f>
        <v/>
      </c>
      <c r="BE597" s="272">
        <f>IF(BE$7="Actual","",IF(BE$5=12,IF((SUM(AT581:BE581)--SUM(AT588:BE588))&gt;0,0,SUM(AT581:BE581)-SUM(AT588:BE588)),0))</f>
        <v/>
      </c>
      <c r="BF597" s="272">
        <f>IF(BF$7="Actual","",IF(BF$5=12,IF((SUM(AU581:BF581)--SUM(AU588:BF588))&gt;0,0,SUM(AU581:BF581)-SUM(AU588:BF588)),0))</f>
        <v/>
      </c>
      <c r="BG597" s="272">
        <f>IF(BG$7="Actual","",IF(BG$5=12,IF((SUM(AV581:BG581)--SUM(AV588:BG588))&gt;0,0,SUM(AV581:BG581)-SUM(AV588:BG588)),0))</f>
        <v/>
      </c>
      <c r="BH597" s="272">
        <f>IF(BH$7="Actual","",IF(BH$5=12,IF((SUM(AW581:BH581)--SUM(AW588:BH588))&gt;0,0,SUM(AW581:BH581)-SUM(AW588:BH588)),0))</f>
        <v/>
      </c>
      <c r="BI597" s="272">
        <f>IF(BI$7="Actual","",IF(BI$5=12,IF((SUM(AX581:BI581)--SUM(AX588:BI588))&gt;0,0,SUM(AX581:BI581)-SUM(AX588:BI588)),0))</f>
        <v/>
      </c>
      <c r="BJ597" s="272">
        <f>IF(BJ$7="Actual","",IF(BJ$5=12,IF((SUM(AY581:BJ581)--SUM(AY588:BJ588))&gt;0,0,SUM(AY581:BJ581)-SUM(AY588:BJ588)),0))</f>
        <v/>
      </c>
      <c r="BK597" s="272">
        <f>IF(BK$7="Actual","",IF(BK$5=12,IF((SUM(AZ581:BK581)--SUM(AZ588:BK588))&gt;0,0,SUM(AZ581:BK581)-SUM(AZ588:BK588)),0))</f>
        <v/>
      </c>
      <c r="BL597" s="272">
        <f>IF(BL$7="Actual","",IF(BL$5=12,IF((SUM(BA581:BL581)--SUM(BA588:BL588))&gt;0,0,SUM(BA581:BL581)-SUM(BA588:BL588)),0))</f>
        <v/>
      </c>
      <c r="BM597" s="272">
        <f>IF(BM$7="Actual","",IF(BM$5=12,IF((SUM(BB581:BM581)--SUM(BB588:BM588))&gt;0,0,SUM(BB581:BM581)-SUM(BB588:BM588)),0))</f>
        <v/>
      </c>
      <c r="BN597" s="272">
        <f>IF(BN$7="Actual","",IF(BN$5=12,IF((SUM(BC581:BN581)--SUM(BC588:BN588))&gt;0,0,SUM(BC581:BN581)-SUM(BC588:BN588)),0))</f>
        <v/>
      </c>
      <c r="BO597" s="272">
        <f>IF(BO$7="Actual","",IF(BO$5=12,IF((SUM(BD581:BO581)--SUM(BD588:BO588))&gt;0,0,SUM(BD581:BO581)-SUM(BD588:BO588)),0))</f>
        <v/>
      </c>
      <c r="BP597" s="272">
        <f>IF(BP$7="Actual","",IF(BP$5=12,IF((SUM(BE581:BP581)--SUM(BE588:BP588))&gt;0,0,SUM(BE581:BP581)-SUM(BE588:BP588)),0))</f>
        <v/>
      </c>
      <c r="BQ597" s="272">
        <f>IF(BQ$7="Actual","",IF(BQ$5=12,IF((SUM(BF581:BQ581)--SUM(BF588:BQ588))&gt;0,0,SUM(BF581:BQ581)-SUM(BF588:BQ588)),0))</f>
        <v/>
      </c>
      <c r="BR597" s="272">
        <f>IF(BR$7="Actual","",IF(BR$5=12,IF((SUM(BG581:BR581)--SUM(BG588:BR588))&gt;0,0,SUM(BG581:BR581)-SUM(BG588:BR588)),0))</f>
        <v/>
      </c>
      <c r="BS597" s="272">
        <f>IF(BS$7="Actual","",IF(BS$5=12,IF((SUM(BH581:BS581)--SUM(BH588:BS588))&gt;0,0,SUM(BH581:BS581)-SUM(BH588:BS588)),0))</f>
        <v/>
      </c>
      <c r="BT597" s="272">
        <f>IF(BT$7="Actual","",IF(BT$5=12,IF((SUM(BI581:BT581)--SUM(BI588:BT588))&gt;0,0,SUM(BI581:BT581)-SUM(BI588:BT588)),0))</f>
        <v/>
      </c>
      <c r="BU597" s="272">
        <f>IF(BU$7="Actual","",IF(BU$5=12,IF((SUM(BJ581:BU581)--SUM(BJ588:BU588))&gt;0,0,SUM(BJ581:BU581)-SUM(BJ588:BU588)),0))</f>
        <v/>
      </c>
      <c r="BV597" s="272">
        <f>IF(BV$7="Actual","",IF(BV$5=12,IF((SUM(BK581:BV581)--SUM(BK588:BV588))&gt;0,0,SUM(BK581:BV581)-SUM(BK588:BV588)),0))</f>
        <v/>
      </c>
      <c r="BW597" s="272">
        <f>IF(BW$7="Actual","",IF(BW$5=12,IF((SUM(BL581:BW581)--SUM(BL588:BW588))&gt;0,0,SUM(BL581:BW581)-SUM(BL588:BW588)),0))</f>
        <v/>
      </c>
      <c r="BX597" s="272">
        <f>IF(BX$7="Actual","",IF(BX$5=12,IF((SUM(BM581:BX581)--SUM(BM588:BX588))&gt;0,0,SUM(BM581:BX581)-SUM(BM588:BX588)),0))</f>
        <v/>
      </c>
      <c r="BY597" s="272">
        <f>IF(BY$7="Actual","",IF(BY$5=12,IF((SUM(BN581:BY581)--SUM(BN588:BY588))&gt;0,0,SUM(BN581:BY581)-SUM(BN588:BY588)),0))</f>
        <v/>
      </c>
      <c r="BZ597" s="272">
        <f>IF(BZ$7="Actual","",IF(BZ$5=12,IF((SUM(BO581:BZ581)--SUM(BO588:BZ588))&gt;0,0,SUM(BO581:BZ581)-SUM(BO588:BZ588)),0))</f>
        <v/>
      </c>
      <c r="CA597" s="272">
        <f>IF(CA$7="Actual","",IF(CA$5=12,IF((SUM(BP581:CA581)--SUM(BP588:CA588))&gt;0,0,SUM(BP581:CA581)-SUM(BP588:CA588)),0))</f>
        <v/>
      </c>
    </row>
    <row r="598" ht="12" customHeight="1" s="227">
      <c r="A598" s="244" t="n"/>
      <c r="B598" s="244" t="n"/>
      <c r="C598" s="244" t="n"/>
      <c r="H598" s="54" t="inlineStr">
        <is>
          <t>Tax Due</t>
        </is>
      </c>
      <c r="I598" s="27">
        <f>i_Setup!$M$16</f>
        <v/>
      </c>
      <c r="K598" s="152">
        <f>i_Assumptions!K606</f>
        <v/>
      </c>
      <c r="T598" s="272">
        <f>IF(T$7="Actual","",IF($K598="Quarterly",T596,T597))</f>
        <v/>
      </c>
      <c r="U598" s="272">
        <f>IF(U$7="Actual","",IF($K598="Quarterly",U596,U597))</f>
        <v/>
      </c>
      <c r="V598" s="272">
        <f>IF(V$7="Actual","",IF($K598="Quarterly",V596,V597))</f>
        <v/>
      </c>
      <c r="W598" s="272">
        <f>IF(W$7="Actual","",IF($K598="Quarterly",W596,W597))</f>
        <v/>
      </c>
      <c r="X598" s="272">
        <f>IF(X$7="Actual","",IF($K598="Quarterly",X596,X597))</f>
        <v/>
      </c>
      <c r="Y598" s="272">
        <f>IF(Y$7="Actual","",IF($K598="Quarterly",Y596,Y597))</f>
        <v/>
      </c>
      <c r="Z598" s="272">
        <f>IF(Z$7="Actual","",IF($K598="Quarterly",Z596,Z597))</f>
        <v/>
      </c>
      <c r="AA598" s="272">
        <f>IF(AA$7="Actual","",IF($K598="Quarterly",AA596,AA597))</f>
        <v/>
      </c>
      <c r="AB598" s="272">
        <f>IF(AB$7="Actual","",IF($K598="Quarterly",AB596,AB597))</f>
        <v/>
      </c>
      <c r="AC598" s="272">
        <f>IF(AC$7="Actual","",IF($K598="Quarterly",AC596,AC597))</f>
        <v/>
      </c>
      <c r="AD598" s="272">
        <f>IF(AD$7="Actual","",IF($K598="Quarterly",AD596,AD597))</f>
        <v/>
      </c>
      <c r="AE598" s="272">
        <f>IF(AE$7="Actual","",IF($K598="Quarterly",AE596,AE597))</f>
        <v/>
      </c>
      <c r="AF598" s="272">
        <f>IF(AF$7="Actual","",IF($K598="Quarterly",AF596,AF597))</f>
        <v/>
      </c>
      <c r="AG598" s="272">
        <f>IF(AG$7="Actual","",IF($K598="Quarterly",AG596,AG597))</f>
        <v/>
      </c>
      <c r="AH598" s="272">
        <f>IF(AH$7="Actual","",IF($K598="Quarterly",AH596,AH597))</f>
        <v/>
      </c>
      <c r="AI598" s="272">
        <f>IF(AI$7="Actual","",IF($K598="Quarterly",AI596,AI597))</f>
        <v/>
      </c>
      <c r="AJ598" s="272">
        <f>IF(AJ$7="Actual","",IF($K598="Quarterly",AJ596,AJ597))</f>
        <v/>
      </c>
      <c r="AK598" s="272">
        <f>IF(AK$7="Actual","",IF($K598="Quarterly",AK596,AK597))</f>
        <v/>
      </c>
      <c r="AL598" s="272">
        <f>IF(AL$7="Actual","",IF($K598="Quarterly",AL596,AL597))</f>
        <v/>
      </c>
      <c r="AM598" s="272">
        <f>IF(AM$7="Actual","",IF($K598="Quarterly",AM596,AM597))</f>
        <v/>
      </c>
      <c r="AN598" s="272">
        <f>IF(AN$7="Actual","",IF($K598="Quarterly",AN596,AN597))</f>
        <v/>
      </c>
      <c r="AO598" s="272">
        <f>IF(AO$7="Actual","",IF($K598="Quarterly",AO596,AO597))</f>
        <v/>
      </c>
      <c r="AP598" s="272">
        <f>IF(AP$7="Actual","",IF($K598="Quarterly",AP596,AP597))</f>
        <v/>
      </c>
      <c r="AQ598" s="272">
        <f>IF(AQ$7="Actual","",IF($K598="Quarterly",AQ596,AQ597))</f>
        <v/>
      </c>
      <c r="AR598" s="272">
        <f>IF(AR$7="Actual","",IF($K598="Quarterly",AR596,AR597))</f>
        <v/>
      </c>
      <c r="AS598" s="272">
        <f>IF(AS$7="Actual","",IF($K598="Quarterly",AS596,AS597))</f>
        <v/>
      </c>
      <c r="AT598" s="272">
        <f>IF(AT$7="Actual","",IF($K598="Quarterly",AT596,AT597))</f>
        <v/>
      </c>
      <c r="AU598" s="272">
        <f>IF(AU$7="Actual","",IF($K598="Quarterly",AU596,AU597))</f>
        <v/>
      </c>
      <c r="AV598" s="272">
        <f>IF(AV$7="Actual","",IF($K598="Quarterly",AV596,AV597))</f>
        <v/>
      </c>
      <c r="AW598" s="272">
        <f>IF(AW$7="Actual","",IF($K598="Quarterly",AW596,AW597))</f>
        <v/>
      </c>
      <c r="AX598" s="272">
        <f>IF(AX$7="Actual","",IF($K598="Quarterly",AX596,AX597))</f>
        <v/>
      </c>
      <c r="AY598" s="272">
        <f>IF(AY$7="Actual","",IF($K598="Quarterly",AY596,AY597))</f>
        <v/>
      </c>
      <c r="AZ598" s="272">
        <f>IF(AZ$7="Actual","",IF($K598="Quarterly",AZ596,AZ597))</f>
        <v/>
      </c>
      <c r="BA598" s="272">
        <f>IF(BA$7="Actual","",IF($K598="Quarterly",BA596,BA597))</f>
        <v/>
      </c>
      <c r="BB598" s="272">
        <f>IF(BB$7="Actual","",IF($K598="Quarterly",BB596,BB597))</f>
        <v/>
      </c>
      <c r="BC598" s="272">
        <f>IF(BC$7="Actual","",IF($K598="Quarterly",BC596,BC597))</f>
        <v/>
      </c>
      <c r="BD598" s="272">
        <f>IF(BD$7="Actual","",IF($K598="Quarterly",BD596,BD597))</f>
        <v/>
      </c>
      <c r="BE598" s="272">
        <f>IF(BE$7="Actual","",IF($K598="Quarterly",BE596,BE597))</f>
        <v/>
      </c>
      <c r="BF598" s="272">
        <f>IF(BF$7="Actual","",IF($K598="Quarterly",BF596,BF597))</f>
        <v/>
      </c>
      <c r="BG598" s="272">
        <f>IF(BG$7="Actual","",IF($K598="Quarterly",BG596,BG597))</f>
        <v/>
      </c>
      <c r="BH598" s="272">
        <f>IF(BH$7="Actual","",IF($K598="Quarterly",BH596,BH597))</f>
        <v/>
      </c>
      <c r="BI598" s="272">
        <f>IF(BI$7="Actual","",IF($K598="Quarterly",BI596,BI597))</f>
        <v/>
      </c>
      <c r="BJ598" s="272">
        <f>IF(BJ$7="Actual","",IF($K598="Quarterly",BJ596,BJ597))</f>
        <v/>
      </c>
      <c r="BK598" s="272">
        <f>IF(BK$7="Actual","",IF($K598="Quarterly",BK596,BK597))</f>
        <v/>
      </c>
      <c r="BL598" s="272">
        <f>IF(BL$7="Actual","",IF($K598="Quarterly",BL596,BL597))</f>
        <v/>
      </c>
      <c r="BM598" s="272">
        <f>IF(BM$7="Actual","",IF($K598="Quarterly",BM596,BM597))</f>
        <v/>
      </c>
      <c r="BN598" s="272">
        <f>IF(BN$7="Actual","",IF($K598="Quarterly",BN596,BN597))</f>
        <v/>
      </c>
      <c r="BO598" s="272">
        <f>IF(BO$7="Actual","",IF($K598="Quarterly",BO596,BO597))</f>
        <v/>
      </c>
      <c r="BP598" s="272">
        <f>IF(BP$7="Actual","",IF($K598="Quarterly",BP596,BP597))</f>
        <v/>
      </c>
      <c r="BQ598" s="272">
        <f>IF(BQ$7="Actual","",IF($K598="Quarterly",BQ596,BQ597))</f>
        <v/>
      </c>
      <c r="BR598" s="272">
        <f>IF(BR$7="Actual","",IF($K598="Quarterly",BR596,BR597))</f>
        <v/>
      </c>
      <c r="BS598" s="272">
        <f>IF(BS$7="Actual","",IF($K598="Quarterly",BS596,BS597))</f>
        <v/>
      </c>
      <c r="BT598" s="272">
        <f>IF(BT$7="Actual","",IF($K598="Quarterly",BT596,BT597))</f>
        <v/>
      </c>
      <c r="BU598" s="272">
        <f>IF(BU$7="Actual","",IF($K598="Quarterly",BU596,BU597))</f>
        <v/>
      </c>
      <c r="BV598" s="272">
        <f>IF(BV$7="Actual","",IF($K598="Quarterly",BV596,BV597))</f>
        <v/>
      </c>
      <c r="BW598" s="272">
        <f>IF(BW$7="Actual","",IF($K598="Quarterly",BW596,BW597))</f>
        <v/>
      </c>
      <c r="BX598" s="272">
        <f>IF(BX$7="Actual","",IF($K598="Quarterly",BX596,BX597))</f>
        <v/>
      </c>
      <c r="BY598" s="272">
        <f>IF(BY$7="Actual","",IF($K598="Quarterly",BY596,BY597))</f>
        <v/>
      </c>
      <c r="BZ598" s="272">
        <f>IF(BZ$7="Actual","",IF($K598="Quarterly",BZ596,BZ597))</f>
        <v/>
      </c>
      <c r="CA598" s="272">
        <f>IF(CA$7="Actual","",IF($K598="Quarterly",CA596,CA597))</f>
        <v/>
      </c>
    </row>
    <row r="599" ht="12" customHeight="1" s="227">
      <c r="A599" s="244" t="n"/>
      <c r="B599" s="244" t="n"/>
      <c r="C599" s="244" t="n"/>
      <c r="H599" s="54" t="n"/>
      <c r="I599" s="27" t="n"/>
      <c r="K599" s="6" t="n"/>
      <c r="T599" s="272" t="n"/>
    </row>
    <row r="600" ht="12" customHeight="1" s="227">
      <c r="A600" s="244" t="n"/>
      <c r="B600" s="244" t="n"/>
      <c r="C600" s="244" t="n"/>
      <c r="H600" s="0" t="inlineStr">
        <is>
          <t>Tax Payments</t>
        </is>
      </c>
      <c r="I600" s="27">
        <f>i_Setup!$M$16</f>
        <v/>
      </c>
      <c r="J600" s="0" t="n"/>
      <c r="K600" s="259">
        <f>i_Assumptions!K608</f>
        <v/>
      </c>
      <c r="T600" s="245">
        <f>IF(T$7="Actual","",OFFSET(T598,,-$K600,,))</f>
        <v/>
      </c>
      <c r="U600" s="245">
        <f>IF(U$7="Actual","",OFFSET(U598,,-$K600,,))</f>
        <v/>
      </c>
      <c r="V600" s="245">
        <f>IF(V$7="Actual","",OFFSET(V598,,-$K600,,))</f>
        <v/>
      </c>
      <c r="W600" s="245">
        <f>IF(W$7="Actual","",OFFSET(W598,,-$K600,,))</f>
        <v/>
      </c>
      <c r="X600" s="245">
        <f>IF(X$7="Actual","",OFFSET(X598,,-$K600,,))</f>
        <v/>
      </c>
      <c r="Y600" s="245">
        <f>IF(Y$7="Actual","",OFFSET(Y598,,-$K600,,))</f>
        <v/>
      </c>
      <c r="Z600" s="245">
        <f>IF(Z$7="Actual","",OFFSET(Z598,,-$K600,,))</f>
        <v/>
      </c>
      <c r="AA600" s="245">
        <f>IF(AA$7="Actual","",OFFSET(AA598,,-$K600,,))</f>
        <v/>
      </c>
      <c r="AB600" s="245">
        <f>IF(AB$7="Actual","",OFFSET(AB598,,-$K600,,))</f>
        <v/>
      </c>
      <c r="AC600" s="245">
        <f>IF(AC$7="Actual","",OFFSET(AC598,,-$K600,,))</f>
        <v/>
      </c>
      <c r="AD600" s="245">
        <f>IF(AD$7="Actual","",OFFSET(AD598,,-$K600,,))</f>
        <v/>
      </c>
      <c r="AE600" s="245">
        <f>IF(AE$7="Actual","",OFFSET(AE598,,-$K600,,))</f>
        <v/>
      </c>
      <c r="AF600" s="245">
        <f>IF(AF$7="Actual","",OFFSET(AF598,,-$K600,,))</f>
        <v/>
      </c>
      <c r="AG600" s="245">
        <f>IF(AG$7="Actual","",OFFSET(AG598,,-$K600,,))</f>
        <v/>
      </c>
      <c r="AH600" s="245">
        <f>IF(AH$7="Actual","",OFFSET(AH598,,-$K600,,))</f>
        <v/>
      </c>
      <c r="AI600" s="245">
        <f>IF(AI$7="Actual","",OFFSET(AI598,,-$K600,,))</f>
        <v/>
      </c>
      <c r="AJ600" s="245">
        <f>IF(AJ$7="Actual","",OFFSET(AJ598,,-$K600,,))</f>
        <v/>
      </c>
      <c r="AK600" s="245">
        <f>IF(AK$7="Actual","",OFFSET(AK598,,-$K600,,))</f>
        <v/>
      </c>
      <c r="AL600" s="245">
        <f>IF(AL$7="Actual","",OFFSET(AL598,,-$K600,,))</f>
        <v/>
      </c>
      <c r="AM600" s="245">
        <f>IF(AM$7="Actual","",OFFSET(AM598,,-$K600,,))</f>
        <v/>
      </c>
      <c r="AN600" s="245">
        <f>IF(AN$7="Actual","",OFFSET(AN598,,-$K600,,))</f>
        <v/>
      </c>
      <c r="AO600" s="245">
        <f>IF(AO$7="Actual","",OFFSET(AO598,,-$K600,,))</f>
        <v/>
      </c>
      <c r="AP600" s="245">
        <f>IF(AP$7="Actual","",OFFSET(AP598,,-$K600,,))</f>
        <v/>
      </c>
      <c r="AQ600" s="245">
        <f>IF(AQ$7="Actual","",OFFSET(AQ598,,-$K600,,))</f>
        <v/>
      </c>
      <c r="AR600" s="245">
        <f>IF(AR$7="Actual","",OFFSET(AR598,,-$K600,,))</f>
        <v/>
      </c>
      <c r="AS600" s="245">
        <f>IF(AS$7="Actual","",OFFSET(AS598,,-$K600,,))</f>
        <v/>
      </c>
      <c r="AT600" s="245">
        <f>IF(AT$7="Actual","",OFFSET(AT598,,-$K600,,))</f>
        <v/>
      </c>
      <c r="AU600" s="245">
        <f>IF(AU$7="Actual","",OFFSET(AU598,,-$K600,,))</f>
        <v/>
      </c>
      <c r="AV600" s="245">
        <f>IF(AV$7="Actual","",OFFSET(AV598,,-$K600,,))</f>
        <v/>
      </c>
      <c r="AW600" s="245">
        <f>IF(AW$7="Actual","",OFFSET(AW598,,-$K600,,))</f>
        <v/>
      </c>
      <c r="AX600" s="245">
        <f>IF(AX$7="Actual","",OFFSET(AX598,,-$K600,,))</f>
        <v/>
      </c>
      <c r="AY600" s="245">
        <f>IF(AY$7="Actual","",OFFSET(AY598,,-$K600,,))</f>
        <v/>
      </c>
      <c r="AZ600" s="245">
        <f>IF(AZ$7="Actual","",OFFSET(AZ598,,-$K600,,))</f>
        <v/>
      </c>
      <c r="BA600" s="245">
        <f>IF(BA$7="Actual","",OFFSET(BA598,,-$K600,,))</f>
        <v/>
      </c>
      <c r="BB600" s="245">
        <f>IF(BB$7="Actual","",OFFSET(BB598,,-$K600,,))</f>
        <v/>
      </c>
      <c r="BC600" s="245">
        <f>IF(BC$7="Actual","",OFFSET(BC598,,-$K600,,))</f>
        <v/>
      </c>
      <c r="BD600" s="245">
        <f>IF(BD$7="Actual","",OFFSET(BD598,,-$K600,,))</f>
        <v/>
      </c>
      <c r="BE600" s="245">
        <f>IF(BE$7="Actual","",OFFSET(BE598,,-$K600,,))</f>
        <v/>
      </c>
      <c r="BF600" s="245">
        <f>IF(BF$7="Actual","",OFFSET(BF598,,-$K600,,))</f>
        <v/>
      </c>
      <c r="BG600" s="245">
        <f>IF(BG$7="Actual","",OFFSET(BG598,,-$K600,,))</f>
        <v/>
      </c>
      <c r="BH600" s="245">
        <f>IF(BH$7="Actual","",OFFSET(BH598,,-$K600,,))</f>
        <v/>
      </c>
      <c r="BI600" s="245">
        <f>IF(BI$7="Actual","",OFFSET(BI598,,-$K600,,))</f>
        <v/>
      </c>
      <c r="BJ600" s="245">
        <f>IF(BJ$7="Actual","",OFFSET(BJ598,,-$K600,,))</f>
        <v/>
      </c>
      <c r="BK600" s="245">
        <f>IF(BK$7="Actual","",OFFSET(BK598,,-$K600,,))</f>
        <v/>
      </c>
      <c r="BL600" s="245">
        <f>IF(BL$7="Actual","",OFFSET(BL598,,-$K600,,))</f>
        <v/>
      </c>
      <c r="BM600" s="245">
        <f>IF(BM$7="Actual","",OFFSET(BM598,,-$K600,,))</f>
        <v/>
      </c>
      <c r="BN600" s="245">
        <f>IF(BN$7="Actual","",OFFSET(BN598,,-$K600,,))</f>
        <v/>
      </c>
      <c r="BO600" s="245">
        <f>IF(BO$7="Actual","",OFFSET(BO598,,-$K600,,))</f>
        <v/>
      </c>
      <c r="BP600" s="245">
        <f>IF(BP$7="Actual","",OFFSET(BP598,,-$K600,,))</f>
        <v/>
      </c>
      <c r="BQ600" s="245">
        <f>IF(BQ$7="Actual","",OFFSET(BQ598,,-$K600,,))</f>
        <v/>
      </c>
      <c r="BR600" s="245">
        <f>IF(BR$7="Actual","",OFFSET(BR598,,-$K600,,))</f>
        <v/>
      </c>
      <c r="BS600" s="245">
        <f>IF(BS$7="Actual","",OFFSET(BS598,,-$K600,,))</f>
        <v/>
      </c>
      <c r="BT600" s="245">
        <f>IF(BT$7="Actual","",OFFSET(BT598,,-$K600,,))</f>
        <v/>
      </c>
      <c r="BU600" s="245">
        <f>IF(BU$7="Actual","",OFFSET(BU598,,-$K600,,))</f>
        <v/>
      </c>
      <c r="BV600" s="245">
        <f>IF(BV$7="Actual","",OFFSET(BV598,,-$K600,,))</f>
        <v/>
      </c>
      <c r="BW600" s="245">
        <f>IF(BW$7="Actual","",OFFSET(BW598,,-$K600,,))</f>
        <v/>
      </c>
      <c r="BX600" s="245">
        <f>IF(BX$7="Actual","",OFFSET(BX598,,-$K600,,))</f>
        <v/>
      </c>
      <c r="BY600" s="245">
        <f>IF(BY$7="Actual","",OFFSET(BY598,,-$K600,,))</f>
        <v/>
      </c>
      <c r="BZ600" s="245">
        <f>IF(BZ$7="Actual","",OFFSET(BZ598,,-$K600,,))</f>
        <v/>
      </c>
      <c r="CA600" s="245">
        <f>IF(CA$7="Actual","",OFFSET(CA598,,-$K600,,))</f>
        <v/>
      </c>
    </row>
    <row r="601" ht="12" customHeight="1" s="227">
      <c r="A601" s="244" t="n"/>
      <c r="B601" s="244" t="n"/>
      <c r="C601" s="244" t="n"/>
      <c r="K601" s="6" t="n"/>
    </row>
    <row r="602" ht="12" customHeight="1" s="227">
      <c r="A602" s="244" t="n"/>
      <c r="B602" s="244" t="n"/>
      <c r="C602" s="244" t="n"/>
      <c r="K602" s="6" t="n"/>
    </row>
    <row r="603" ht="12" customHeight="1" s="227">
      <c r="A603" s="244" t="n"/>
      <c r="B603" s="244" t="n"/>
      <c r="C603" s="244" t="n"/>
      <c r="G603" s="222" t="inlineStr">
        <is>
          <t>Corporate Tax Liability</t>
        </is>
      </c>
      <c r="I603" s="27" t="n"/>
      <c r="K603" s="6" t="n"/>
    </row>
    <row r="604" ht="12" customHeight="1" s="227">
      <c r="A604" s="244" t="n"/>
      <c r="B604" s="244" t="n"/>
      <c r="C604" s="244" t="n"/>
      <c r="I604" s="27" t="n"/>
      <c r="K604" s="6" t="n"/>
    </row>
    <row r="605" ht="12" customHeight="1" s="227">
      <c r="A605" s="244" t="n"/>
      <c r="B605" s="244" t="n"/>
      <c r="C605" s="244" t="n"/>
      <c r="H605" s="0" t="inlineStr">
        <is>
          <t>Opening Balance</t>
        </is>
      </c>
      <c r="I605" s="27">
        <f>i_Setup!$M$16</f>
        <v/>
      </c>
      <c r="K605" s="259">
        <f>i_Actuals!K138</f>
        <v/>
      </c>
      <c r="T605" s="245">
        <f>IF(T$2=i_Setup!$U$26,-i_Actuals!T138,0)</f>
        <v/>
      </c>
      <c r="U605" s="245">
        <f>IF(U$2=i_Setup!$U$26,-i_Actuals!U138,0)</f>
        <v/>
      </c>
      <c r="V605" s="245">
        <f>IF(V$2=i_Setup!$U$26,-i_Actuals!V138,0)</f>
        <v/>
      </c>
      <c r="W605" s="245">
        <f>IF(W$2=i_Setup!$U$26,-i_Actuals!W138,0)</f>
        <v/>
      </c>
      <c r="X605" s="245">
        <f>IF(X$2=i_Setup!$U$26,-i_Actuals!X138,0)</f>
        <v/>
      </c>
      <c r="Y605" s="245">
        <f>IF(Y$2=i_Setup!$U$26,-i_Actuals!Y138,0)</f>
        <v/>
      </c>
      <c r="Z605" s="245">
        <f>IF(Z$2=i_Setup!$U$26,-i_Actuals!Z138,0)</f>
        <v/>
      </c>
      <c r="AA605" s="245">
        <f>IF(AA$2=i_Setup!$U$26,-i_Actuals!AA138,0)</f>
        <v/>
      </c>
      <c r="AB605" s="245">
        <f>IF(AB$2=i_Setup!$U$26,-i_Actuals!AB138,0)</f>
        <v/>
      </c>
      <c r="AC605" s="245">
        <f>IF(AC$2=i_Setup!$U$26,-i_Actuals!AC138,0)</f>
        <v/>
      </c>
      <c r="AD605" s="245">
        <f>IF(AD$2=i_Setup!$U$26,-i_Actuals!AD138,0)</f>
        <v/>
      </c>
      <c r="AE605" s="245">
        <f>IF(AE$2=i_Setup!$U$26,-i_Actuals!AE138,0)</f>
        <v/>
      </c>
      <c r="AF605" s="245">
        <f>IF(AF$2=i_Setup!$U$26,-i_Actuals!AF138,0)</f>
        <v/>
      </c>
      <c r="AG605" s="245">
        <f>IF(AG$2=i_Setup!$U$26,-i_Actuals!AG138,0)</f>
        <v/>
      </c>
      <c r="AH605" s="245">
        <f>IF(AH$2=i_Setup!$U$26,-i_Actuals!AH138,0)</f>
        <v/>
      </c>
      <c r="AI605" s="245">
        <f>IF(AI$2=i_Setup!$U$26,-i_Actuals!AI138,0)</f>
        <v/>
      </c>
      <c r="AJ605" s="245">
        <f>IF(AJ$2=i_Setup!$U$26,-i_Actuals!AJ138,0)</f>
        <v/>
      </c>
      <c r="AK605" s="245">
        <f>IF(AK$2=i_Setup!$U$26,-i_Actuals!AK138,0)</f>
        <v/>
      </c>
      <c r="AL605" s="245">
        <f>IF(AL$2=i_Setup!$U$26,-i_Actuals!AL138,0)</f>
        <v/>
      </c>
      <c r="AM605" s="245">
        <f>IF(AM$2=i_Setup!$U$26,-i_Actuals!AM138,0)</f>
        <v/>
      </c>
      <c r="AN605" s="245">
        <f>IF(AN$2=i_Setup!$U$26,-i_Actuals!AN138,0)</f>
        <v/>
      </c>
      <c r="AO605" s="245">
        <f>IF(AO$2=i_Setup!$U$26,-i_Actuals!AO138,0)</f>
        <v/>
      </c>
      <c r="AP605" s="245">
        <f>IF(AP$2=i_Setup!$U$26,-i_Actuals!AP138,0)</f>
        <v/>
      </c>
      <c r="AQ605" s="245">
        <f>IF(AQ$2=i_Setup!$U$26,-i_Actuals!AQ138,0)</f>
        <v/>
      </c>
      <c r="AR605" s="245">
        <f>IF(AR$2=i_Setup!$U$26,-i_Actuals!AR138,0)</f>
        <v/>
      </c>
      <c r="AS605" s="245">
        <f>IF(AS$2=i_Setup!$U$26,-i_Actuals!AS138,0)</f>
        <v/>
      </c>
      <c r="AT605" s="245">
        <f>IF(AT$2=i_Setup!$U$26,-i_Actuals!AT138,0)</f>
        <v/>
      </c>
      <c r="AU605" s="245">
        <f>IF(AU$2=i_Setup!$U$26,-i_Actuals!AU138,0)</f>
        <v/>
      </c>
      <c r="AV605" s="245">
        <f>IF(AV$2=i_Setup!$U$26,-i_Actuals!AV138,0)</f>
        <v/>
      </c>
      <c r="AW605" s="245">
        <f>IF(AW$2=i_Setup!$U$26,-i_Actuals!AW138,0)</f>
        <v/>
      </c>
      <c r="AX605" s="245">
        <f>IF(AX$2=i_Setup!$U$26,-i_Actuals!AX138,0)</f>
        <v/>
      </c>
      <c r="AY605" s="245">
        <f>IF(AY$2=i_Setup!$U$26,-i_Actuals!AY138,0)</f>
        <v/>
      </c>
      <c r="AZ605" s="245">
        <f>IF(AZ$2=i_Setup!$U$26,-i_Actuals!AZ138,0)</f>
        <v/>
      </c>
      <c r="BA605" s="245">
        <f>IF(BA$2=i_Setup!$U$26,-i_Actuals!BA138,0)</f>
        <v/>
      </c>
      <c r="BB605" s="245">
        <f>IF(BB$2=i_Setup!$U$26,-i_Actuals!BB138,0)</f>
        <v/>
      </c>
      <c r="BC605" s="245">
        <f>IF(BC$2=i_Setup!$U$26,-i_Actuals!BC138,0)</f>
        <v/>
      </c>
      <c r="BD605" s="245">
        <f>IF(BD$2=i_Setup!$U$26,-i_Actuals!BD138,0)</f>
        <v/>
      </c>
      <c r="BE605" s="245">
        <f>IF(BE$2=i_Setup!$U$26,-i_Actuals!BE138,0)</f>
        <v/>
      </c>
      <c r="BF605" s="245">
        <f>IF(BF$2=i_Setup!$U$26,-i_Actuals!BF138,0)</f>
        <v/>
      </c>
      <c r="BG605" s="245">
        <f>IF(BG$2=i_Setup!$U$26,-i_Actuals!BG138,0)</f>
        <v/>
      </c>
      <c r="BH605" s="245">
        <f>IF(BH$2=i_Setup!$U$26,-i_Actuals!BH138,0)</f>
        <v/>
      </c>
      <c r="BI605" s="245">
        <f>IF(BI$2=i_Setup!$U$26,-i_Actuals!BI138,0)</f>
        <v/>
      </c>
      <c r="BJ605" s="245">
        <f>IF(BJ$2=i_Setup!$U$26,-i_Actuals!BJ138,0)</f>
        <v/>
      </c>
      <c r="BK605" s="245">
        <f>IF(BK$2=i_Setup!$U$26,-i_Actuals!BK138,0)</f>
        <v/>
      </c>
      <c r="BL605" s="245">
        <f>IF(BL$2=i_Setup!$U$26,-i_Actuals!BL138,0)</f>
        <v/>
      </c>
      <c r="BM605" s="245">
        <f>IF(BM$2=i_Setup!$U$26,-i_Actuals!BM138,0)</f>
        <v/>
      </c>
      <c r="BN605" s="245">
        <f>IF(BN$2=i_Setup!$U$26,-i_Actuals!BN138,0)</f>
        <v/>
      </c>
      <c r="BO605" s="245">
        <f>IF(BO$2=i_Setup!$U$26,-i_Actuals!BO138,0)</f>
        <v/>
      </c>
      <c r="BP605" s="245">
        <f>IF(BP$2=i_Setup!$U$26,-i_Actuals!BP138,0)</f>
        <v/>
      </c>
      <c r="BQ605" s="245">
        <f>IF(BQ$2=i_Setup!$U$26,-i_Actuals!BQ138,0)</f>
        <v/>
      </c>
      <c r="BR605" s="245">
        <f>IF(BR$2=i_Setup!$U$26,-i_Actuals!BR138,0)</f>
        <v/>
      </c>
      <c r="BS605" s="245">
        <f>IF(BS$2=i_Setup!$U$26,-i_Actuals!BS138,0)</f>
        <v/>
      </c>
      <c r="BT605" s="245">
        <f>IF(BT$2=i_Setup!$U$26,-i_Actuals!BT138,0)</f>
        <v/>
      </c>
      <c r="BU605" s="245">
        <f>IF(BU$2=i_Setup!$U$26,-i_Actuals!BU138,0)</f>
        <v/>
      </c>
      <c r="BV605" s="245">
        <f>IF(BV$2=i_Setup!$U$26,-i_Actuals!BV138,0)</f>
        <v/>
      </c>
      <c r="BW605" s="245">
        <f>IF(BW$2=i_Setup!$U$26,-i_Actuals!BW138,0)</f>
        <v/>
      </c>
      <c r="BX605" s="245">
        <f>IF(BX$2=i_Setup!$U$26,-i_Actuals!BX138,0)</f>
        <v/>
      </c>
      <c r="BY605" s="245">
        <f>IF(BY$2=i_Setup!$U$26,-i_Actuals!BY138,0)</f>
        <v/>
      </c>
      <c r="BZ605" s="245">
        <f>IF(BZ$2=i_Setup!$U$26,-i_Actuals!BZ138,0)</f>
        <v/>
      </c>
      <c r="CA605" s="245">
        <f>IF(CA$2=i_Setup!$U$26,-i_Actuals!CA138,0)</f>
        <v/>
      </c>
    </row>
    <row r="606" ht="12" customHeight="1" s="227">
      <c r="A606" s="244" t="n"/>
      <c r="B606" s="244" t="n"/>
      <c r="C606" s="244" t="n"/>
      <c r="I606" s="27" t="n"/>
      <c r="K606" s="6" t="n"/>
    </row>
    <row r="607" ht="12" customHeight="1" s="227">
      <c r="A607" s="244" t="n"/>
      <c r="B607" s="244" t="n"/>
      <c r="C607" s="244" t="n"/>
      <c r="H607" s="0" t="inlineStr">
        <is>
          <t>Opening Balance</t>
        </is>
      </c>
      <c r="I607" s="27">
        <f>i_Setup!$M$16</f>
        <v/>
      </c>
      <c r="K607" s="6" t="n"/>
      <c r="M607" s="245">
        <f>SUMIF($T$1:$CA$1,M$1,$T607:$CA607)</f>
        <v/>
      </c>
      <c r="N607" s="245">
        <f>SUMIF($T$1:$CA$1,N$1,$T607:$CA607)</f>
        <v/>
      </c>
      <c r="O607" s="245">
        <f>SUMIF($T$1:$CA$1,O$1,$T607:$CA607)</f>
        <v/>
      </c>
      <c r="P607" s="245">
        <f>SUMIF($T$1:$CA$1,P$1,$T607:$CA607)</f>
        <v/>
      </c>
      <c r="Q607" s="245">
        <f>SUMIF($T$1:$CA$1,Q$1,$T607:$CA607)</f>
        <v/>
      </c>
      <c r="T607" s="245">
        <f>S612</f>
        <v/>
      </c>
      <c r="U607" s="245">
        <f>T612</f>
        <v/>
      </c>
      <c r="V607" s="245">
        <f>U612</f>
        <v/>
      </c>
      <c r="W607" s="245">
        <f>V612</f>
        <v/>
      </c>
      <c r="X607" s="245">
        <f>W612</f>
        <v/>
      </c>
      <c r="Y607" s="245">
        <f>X612</f>
        <v/>
      </c>
      <c r="Z607" s="245">
        <f>Y612</f>
        <v/>
      </c>
      <c r="AA607" s="245">
        <f>Z612</f>
        <v/>
      </c>
      <c r="AB607" s="245">
        <f>AA612</f>
        <v/>
      </c>
      <c r="AC607" s="245">
        <f>AB612</f>
        <v/>
      </c>
      <c r="AD607" s="245">
        <f>AC612</f>
        <v/>
      </c>
      <c r="AE607" s="245">
        <f>AD612</f>
        <v/>
      </c>
      <c r="AF607" s="245">
        <f>AE612</f>
        <v/>
      </c>
      <c r="AG607" s="245">
        <f>AF612</f>
        <v/>
      </c>
      <c r="AH607" s="245">
        <f>AG612</f>
        <v/>
      </c>
      <c r="AI607" s="245">
        <f>AH612</f>
        <v/>
      </c>
      <c r="AJ607" s="245">
        <f>AI612</f>
        <v/>
      </c>
      <c r="AK607" s="245">
        <f>AJ612</f>
        <v/>
      </c>
      <c r="AL607" s="245">
        <f>AK612</f>
        <v/>
      </c>
      <c r="AM607" s="245">
        <f>AL612</f>
        <v/>
      </c>
      <c r="AN607" s="245">
        <f>AM612</f>
        <v/>
      </c>
      <c r="AO607" s="245">
        <f>AN612</f>
        <v/>
      </c>
      <c r="AP607" s="245">
        <f>AO612</f>
        <v/>
      </c>
      <c r="AQ607" s="245">
        <f>AP612</f>
        <v/>
      </c>
      <c r="AR607" s="245">
        <f>AQ612</f>
        <v/>
      </c>
      <c r="AS607" s="245">
        <f>AR612</f>
        <v/>
      </c>
      <c r="AT607" s="245">
        <f>AS612</f>
        <v/>
      </c>
      <c r="AU607" s="245">
        <f>AT612</f>
        <v/>
      </c>
      <c r="AV607" s="245">
        <f>AU612</f>
        <v/>
      </c>
      <c r="AW607" s="245">
        <f>AV612</f>
        <v/>
      </c>
      <c r="AX607" s="245">
        <f>AW612</f>
        <v/>
      </c>
      <c r="AY607" s="245">
        <f>AX612</f>
        <v/>
      </c>
      <c r="AZ607" s="245">
        <f>AY612</f>
        <v/>
      </c>
      <c r="BA607" s="245">
        <f>AZ612</f>
        <v/>
      </c>
      <c r="BB607" s="245">
        <f>BA612</f>
        <v/>
      </c>
      <c r="BC607" s="245">
        <f>BB612</f>
        <v/>
      </c>
      <c r="BD607" s="245">
        <f>BC612</f>
        <v/>
      </c>
      <c r="BE607" s="245">
        <f>BD612</f>
        <v/>
      </c>
      <c r="BF607" s="245">
        <f>BE612</f>
        <v/>
      </c>
      <c r="BG607" s="245">
        <f>BF612</f>
        <v/>
      </c>
      <c r="BH607" s="245">
        <f>BG612</f>
        <v/>
      </c>
      <c r="BI607" s="245">
        <f>BH612</f>
        <v/>
      </c>
      <c r="BJ607" s="245">
        <f>BI612</f>
        <v/>
      </c>
      <c r="BK607" s="245">
        <f>BJ612</f>
        <v/>
      </c>
      <c r="BL607" s="245">
        <f>BK612</f>
        <v/>
      </c>
      <c r="BM607" s="245">
        <f>BL612</f>
        <v/>
      </c>
      <c r="BN607" s="245">
        <f>BM612</f>
        <v/>
      </c>
      <c r="BO607" s="245">
        <f>BN612</f>
        <v/>
      </c>
      <c r="BP607" s="245">
        <f>BO612</f>
        <v/>
      </c>
      <c r="BQ607" s="245">
        <f>BP612</f>
        <v/>
      </c>
      <c r="BR607" s="245">
        <f>BQ612</f>
        <v/>
      </c>
      <c r="BS607" s="245">
        <f>BR612</f>
        <v/>
      </c>
      <c r="BT607" s="245">
        <f>BS612</f>
        <v/>
      </c>
      <c r="BU607" s="245">
        <f>BT612</f>
        <v/>
      </c>
      <c r="BV607" s="245">
        <f>BU612</f>
        <v/>
      </c>
      <c r="BW607" s="245">
        <f>BV612</f>
        <v/>
      </c>
      <c r="BX607" s="245">
        <f>BW612</f>
        <v/>
      </c>
      <c r="BY607" s="245">
        <f>BX612</f>
        <v/>
      </c>
      <c r="BZ607" s="245">
        <f>BY612</f>
        <v/>
      </c>
      <c r="CA607" s="245">
        <f>BZ612</f>
        <v/>
      </c>
    </row>
    <row r="608" ht="12" customHeight="1" s="227">
      <c r="A608" s="244" t="n"/>
      <c r="B608" s="244" t="n"/>
      <c r="C608" s="244" t="n"/>
      <c r="H608" s="0" t="inlineStr">
        <is>
          <t>Tax Charge</t>
        </is>
      </c>
      <c r="I608" s="27">
        <f>i_Setup!$M$16</f>
        <v/>
      </c>
      <c r="K608" s="6" t="n"/>
      <c r="M608" s="245">
        <f>SUMIF($T$4:$CA$4,M$4,$T608:$CA608)</f>
        <v/>
      </c>
      <c r="N608" s="245">
        <f>SUMIF($T$4:$CA$4,N$4,$T608:$CA608)</f>
        <v/>
      </c>
      <c r="O608" s="245">
        <f>SUMIF($T$4:$CA$4,O$4,$T608:$CA608)</f>
        <v/>
      </c>
      <c r="P608" s="245">
        <f>SUMIF($T$4:$CA$4,P$4,$T608:$CA608)</f>
        <v/>
      </c>
      <c r="Q608" s="245">
        <f>SUMIF($T$4:$CA$4,Q$4,$T608:$CA608)</f>
        <v/>
      </c>
      <c r="T608" s="245">
        <f>IF(T$7="Actual","",T581)</f>
        <v/>
      </c>
      <c r="U608" s="245">
        <f>IF(U$7="Actual","",U581)</f>
        <v/>
      </c>
      <c r="V608" s="245">
        <f>IF(V$7="Actual","",V581)</f>
        <v/>
      </c>
      <c r="W608" s="245">
        <f>IF(W$7="Actual","",W581)</f>
        <v/>
      </c>
      <c r="X608" s="245">
        <f>IF(X$7="Actual","",X581)</f>
        <v/>
      </c>
      <c r="Y608" s="245">
        <f>IF(Y$7="Actual","",Y581)</f>
        <v/>
      </c>
      <c r="Z608" s="245">
        <f>IF(Z$7="Actual","",Z581)</f>
        <v/>
      </c>
      <c r="AA608" s="245">
        <f>IF(AA$7="Actual","",AA581)</f>
        <v/>
      </c>
      <c r="AB608" s="245">
        <f>IF(AB$7="Actual","",AB581)</f>
        <v/>
      </c>
      <c r="AC608" s="245">
        <f>IF(AC$7="Actual","",AC581)</f>
        <v/>
      </c>
      <c r="AD608" s="245">
        <f>IF(AD$7="Actual","",AD581)</f>
        <v/>
      </c>
      <c r="AE608" s="245">
        <f>IF(AE$7="Actual","",AE581)</f>
        <v/>
      </c>
      <c r="AF608" s="245">
        <f>IF(AF$7="Actual","",AF581)</f>
        <v/>
      </c>
      <c r="AG608" s="245">
        <f>IF(AG$7="Actual","",AG581)</f>
        <v/>
      </c>
      <c r="AH608" s="245">
        <f>IF(AH$7="Actual","",AH581)</f>
        <v/>
      </c>
      <c r="AI608" s="245">
        <f>IF(AI$7="Actual","",AI581)</f>
        <v/>
      </c>
      <c r="AJ608" s="245">
        <f>IF(AJ$7="Actual","",AJ581)</f>
        <v/>
      </c>
      <c r="AK608" s="245">
        <f>IF(AK$7="Actual","",AK581)</f>
        <v/>
      </c>
      <c r="AL608" s="245">
        <f>IF(AL$7="Actual","",AL581)</f>
        <v/>
      </c>
      <c r="AM608" s="245">
        <f>IF(AM$7="Actual","",AM581)</f>
        <v/>
      </c>
      <c r="AN608" s="245">
        <f>IF(AN$7="Actual","",AN581)</f>
        <v/>
      </c>
      <c r="AO608" s="245">
        <f>IF(AO$7="Actual","",AO581)</f>
        <v/>
      </c>
      <c r="AP608" s="245">
        <f>IF(AP$7="Actual","",AP581)</f>
        <v/>
      </c>
      <c r="AQ608" s="245">
        <f>IF(AQ$7="Actual","",AQ581)</f>
        <v/>
      </c>
      <c r="AR608" s="245">
        <f>IF(AR$7="Actual","",AR581)</f>
        <v/>
      </c>
      <c r="AS608" s="245">
        <f>IF(AS$7="Actual","",AS581)</f>
        <v/>
      </c>
      <c r="AT608" s="245">
        <f>IF(AT$7="Actual","",AT581)</f>
        <v/>
      </c>
      <c r="AU608" s="245">
        <f>IF(AU$7="Actual","",AU581)</f>
        <v/>
      </c>
      <c r="AV608" s="245">
        <f>IF(AV$7="Actual","",AV581)</f>
        <v/>
      </c>
      <c r="AW608" s="245">
        <f>IF(AW$7="Actual","",AW581)</f>
        <v/>
      </c>
      <c r="AX608" s="245">
        <f>IF(AX$7="Actual","",AX581)</f>
        <v/>
      </c>
      <c r="AY608" s="245">
        <f>IF(AY$7="Actual","",AY581)</f>
        <v/>
      </c>
      <c r="AZ608" s="245">
        <f>IF(AZ$7="Actual","",AZ581)</f>
        <v/>
      </c>
      <c r="BA608" s="245">
        <f>IF(BA$7="Actual","",BA581)</f>
        <v/>
      </c>
      <c r="BB608" s="245">
        <f>IF(BB$7="Actual","",BB581)</f>
        <v/>
      </c>
      <c r="BC608" s="245">
        <f>IF(BC$7="Actual","",BC581)</f>
        <v/>
      </c>
      <c r="BD608" s="245">
        <f>IF(BD$7="Actual","",BD581)</f>
        <v/>
      </c>
      <c r="BE608" s="245">
        <f>IF(BE$7="Actual","",BE581)</f>
        <v/>
      </c>
      <c r="BF608" s="245">
        <f>IF(BF$7="Actual","",BF581)</f>
        <v/>
      </c>
      <c r="BG608" s="245">
        <f>IF(BG$7="Actual","",BG581)</f>
        <v/>
      </c>
      <c r="BH608" s="245">
        <f>IF(BH$7="Actual","",BH581)</f>
        <v/>
      </c>
      <c r="BI608" s="245">
        <f>IF(BI$7="Actual","",BI581)</f>
        <v/>
      </c>
      <c r="BJ608" s="245">
        <f>IF(BJ$7="Actual","",BJ581)</f>
        <v/>
      </c>
      <c r="BK608" s="245">
        <f>IF(BK$7="Actual","",BK581)</f>
        <v/>
      </c>
      <c r="BL608" s="245">
        <f>IF(BL$7="Actual","",BL581)</f>
        <v/>
      </c>
      <c r="BM608" s="245">
        <f>IF(BM$7="Actual","",BM581)</f>
        <v/>
      </c>
      <c r="BN608" s="245">
        <f>IF(BN$7="Actual","",BN581)</f>
        <v/>
      </c>
      <c r="BO608" s="245">
        <f>IF(BO$7="Actual","",BO581)</f>
        <v/>
      </c>
      <c r="BP608" s="245">
        <f>IF(BP$7="Actual","",BP581)</f>
        <v/>
      </c>
      <c r="BQ608" s="245">
        <f>IF(BQ$7="Actual","",BQ581)</f>
        <v/>
      </c>
      <c r="BR608" s="245">
        <f>IF(BR$7="Actual","",BR581)</f>
        <v/>
      </c>
      <c r="BS608" s="245">
        <f>IF(BS$7="Actual","",BS581)</f>
        <v/>
      </c>
      <c r="BT608" s="245">
        <f>IF(BT$7="Actual","",BT581)</f>
        <v/>
      </c>
      <c r="BU608" s="245">
        <f>IF(BU$7="Actual","",BU581)</f>
        <v/>
      </c>
      <c r="BV608" s="245">
        <f>IF(BV$7="Actual","",BV581)</f>
        <v/>
      </c>
      <c r="BW608" s="245">
        <f>IF(BW$7="Actual","",BW581)</f>
        <v/>
      </c>
      <c r="BX608" s="245">
        <f>IF(BX$7="Actual","",BX581)</f>
        <v/>
      </c>
      <c r="BY608" s="245">
        <f>IF(BY$7="Actual","",BY581)</f>
        <v/>
      </c>
      <c r="BZ608" s="245">
        <f>IF(BZ$7="Actual","",BZ581)</f>
        <v/>
      </c>
      <c r="CA608" s="245">
        <f>IF(CA$7="Actual","",CA581)</f>
        <v/>
      </c>
    </row>
    <row r="609" ht="12" customHeight="1" s="227">
      <c r="A609" s="244" t="n"/>
      <c r="B609" s="244" t="n"/>
      <c r="C609" s="244" t="n"/>
      <c r="H609" s="0" t="inlineStr">
        <is>
          <t>Tax Credit Usage</t>
        </is>
      </c>
      <c r="I609" s="27">
        <f>i_Setup!$M$16</f>
        <v/>
      </c>
      <c r="K609" s="6" t="n"/>
      <c r="M609" s="245">
        <f>SUMIF($T$4:$CA$4,M$4,$T609:$CA609)</f>
        <v/>
      </c>
      <c r="N609" s="245">
        <f>SUMIF($T$4:$CA$4,N$4,$T609:$CA609)</f>
        <v/>
      </c>
      <c r="O609" s="245">
        <f>SUMIF($T$4:$CA$4,O$4,$T609:$CA609)</f>
        <v/>
      </c>
      <c r="P609" s="245">
        <f>SUMIF($T$4:$CA$4,P$4,$T609:$CA609)</f>
        <v/>
      </c>
      <c r="Q609" s="245">
        <f>SUMIF($T$4:$CA$4,Q$4,$T609:$CA609)</f>
        <v/>
      </c>
      <c r="T609" s="245">
        <f>IF(T$7="Actual","",-SUM(T587:T588))</f>
        <v/>
      </c>
      <c r="U609" s="245">
        <f>IF(U$7="Actual","",-SUM(U587:U588))</f>
        <v/>
      </c>
      <c r="V609" s="245">
        <f>IF(V$7="Actual","",-SUM(V587:V588))</f>
        <v/>
      </c>
      <c r="W609" s="245">
        <f>IF(W$7="Actual","",-SUM(W587:W588))</f>
        <v/>
      </c>
      <c r="X609" s="245">
        <f>IF(X$7="Actual","",-SUM(X587:X588))</f>
        <v/>
      </c>
      <c r="Y609" s="245">
        <f>IF(Y$7="Actual","",-SUM(Y587:Y588))</f>
        <v/>
      </c>
      <c r="Z609" s="245">
        <f>IF(Z$7="Actual","",-SUM(Z587:Z588))</f>
        <v/>
      </c>
      <c r="AA609" s="245">
        <f>IF(AA$7="Actual","",-SUM(AA587:AA588))</f>
        <v/>
      </c>
      <c r="AB609" s="245">
        <f>IF(AB$7="Actual","",-SUM(AB587:AB588))</f>
        <v/>
      </c>
      <c r="AC609" s="245">
        <f>IF(AC$7="Actual","",-SUM(AC587:AC588))</f>
        <v/>
      </c>
      <c r="AD609" s="245">
        <f>IF(AD$7="Actual","",-SUM(AD587:AD588))</f>
        <v/>
      </c>
      <c r="AE609" s="245">
        <f>IF(AE$7="Actual","",-SUM(AE587:AE588))</f>
        <v/>
      </c>
      <c r="AF609" s="245">
        <f>IF(AF$7="Actual","",-SUM(AF587:AF588))</f>
        <v/>
      </c>
      <c r="AG609" s="245">
        <f>IF(AG$7="Actual","",-SUM(AG587:AG588))</f>
        <v/>
      </c>
      <c r="AH609" s="245">
        <f>IF(AH$7="Actual","",-SUM(AH587:AH588))</f>
        <v/>
      </c>
      <c r="AI609" s="245">
        <f>IF(AI$7="Actual","",-SUM(AI587:AI588))</f>
        <v/>
      </c>
      <c r="AJ609" s="245">
        <f>IF(AJ$7="Actual","",-SUM(AJ587:AJ588))</f>
        <v/>
      </c>
      <c r="AK609" s="245">
        <f>IF(AK$7="Actual","",-SUM(AK587:AK588))</f>
        <v/>
      </c>
      <c r="AL609" s="245">
        <f>IF(AL$7="Actual","",-SUM(AL587:AL588))</f>
        <v/>
      </c>
      <c r="AM609" s="245">
        <f>IF(AM$7="Actual","",-SUM(AM587:AM588))</f>
        <v/>
      </c>
      <c r="AN609" s="245">
        <f>IF(AN$7="Actual","",-SUM(AN587:AN588))</f>
        <v/>
      </c>
      <c r="AO609" s="245">
        <f>IF(AO$7="Actual","",-SUM(AO587:AO588))</f>
        <v/>
      </c>
      <c r="AP609" s="245">
        <f>IF(AP$7="Actual","",-SUM(AP587:AP588))</f>
        <v/>
      </c>
      <c r="AQ609" s="245">
        <f>IF(AQ$7="Actual","",-SUM(AQ587:AQ588))</f>
        <v/>
      </c>
      <c r="AR609" s="245">
        <f>IF(AR$7="Actual","",-SUM(AR587:AR588))</f>
        <v/>
      </c>
      <c r="AS609" s="245">
        <f>IF(AS$7="Actual","",-SUM(AS587:AS588))</f>
        <v/>
      </c>
      <c r="AT609" s="245">
        <f>IF(AT$7="Actual","",-SUM(AT587:AT588))</f>
        <v/>
      </c>
      <c r="AU609" s="245">
        <f>IF(AU$7="Actual","",-SUM(AU587:AU588))</f>
        <v/>
      </c>
      <c r="AV609" s="245">
        <f>IF(AV$7="Actual","",-SUM(AV587:AV588))</f>
        <v/>
      </c>
      <c r="AW609" s="245">
        <f>IF(AW$7="Actual","",-SUM(AW587:AW588))</f>
        <v/>
      </c>
      <c r="AX609" s="245">
        <f>IF(AX$7="Actual","",-SUM(AX587:AX588))</f>
        <v/>
      </c>
      <c r="AY609" s="245">
        <f>IF(AY$7="Actual","",-SUM(AY587:AY588))</f>
        <v/>
      </c>
      <c r="AZ609" s="245">
        <f>IF(AZ$7="Actual","",-SUM(AZ587:AZ588))</f>
        <v/>
      </c>
      <c r="BA609" s="245">
        <f>IF(BA$7="Actual","",-SUM(BA587:BA588))</f>
        <v/>
      </c>
      <c r="BB609" s="245">
        <f>IF(BB$7="Actual","",-SUM(BB587:BB588))</f>
        <v/>
      </c>
      <c r="BC609" s="245">
        <f>IF(BC$7="Actual","",-SUM(BC587:BC588))</f>
        <v/>
      </c>
      <c r="BD609" s="245">
        <f>IF(BD$7="Actual","",-SUM(BD587:BD588))</f>
        <v/>
      </c>
      <c r="BE609" s="245">
        <f>IF(BE$7="Actual","",-SUM(BE587:BE588))</f>
        <v/>
      </c>
      <c r="BF609" s="245">
        <f>IF(BF$7="Actual","",-SUM(BF587:BF588))</f>
        <v/>
      </c>
      <c r="BG609" s="245">
        <f>IF(BG$7="Actual","",-SUM(BG587:BG588))</f>
        <v/>
      </c>
      <c r="BH609" s="245">
        <f>IF(BH$7="Actual","",-SUM(BH587:BH588))</f>
        <v/>
      </c>
      <c r="BI609" s="245">
        <f>IF(BI$7="Actual","",-SUM(BI587:BI588))</f>
        <v/>
      </c>
      <c r="BJ609" s="245">
        <f>IF(BJ$7="Actual","",-SUM(BJ587:BJ588))</f>
        <v/>
      </c>
      <c r="BK609" s="245">
        <f>IF(BK$7="Actual","",-SUM(BK587:BK588))</f>
        <v/>
      </c>
      <c r="BL609" s="245">
        <f>IF(BL$7="Actual","",-SUM(BL587:BL588))</f>
        <v/>
      </c>
      <c r="BM609" s="245">
        <f>IF(BM$7="Actual","",-SUM(BM587:BM588))</f>
        <v/>
      </c>
      <c r="BN609" s="245">
        <f>IF(BN$7="Actual","",-SUM(BN587:BN588))</f>
        <v/>
      </c>
      <c r="BO609" s="245">
        <f>IF(BO$7="Actual","",-SUM(BO587:BO588))</f>
        <v/>
      </c>
      <c r="BP609" s="245">
        <f>IF(BP$7="Actual","",-SUM(BP587:BP588))</f>
        <v/>
      </c>
      <c r="BQ609" s="245">
        <f>IF(BQ$7="Actual","",-SUM(BQ587:BQ588))</f>
        <v/>
      </c>
      <c r="BR609" s="245">
        <f>IF(BR$7="Actual","",-SUM(BR587:BR588))</f>
        <v/>
      </c>
      <c r="BS609" s="245">
        <f>IF(BS$7="Actual","",-SUM(BS587:BS588))</f>
        <v/>
      </c>
      <c r="BT609" s="245">
        <f>IF(BT$7="Actual","",-SUM(BT587:BT588))</f>
        <v/>
      </c>
      <c r="BU609" s="245">
        <f>IF(BU$7="Actual","",-SUM(BU587:BU588))</f>
        <v/>
      </c>
      <c r="BV609" s="245">
        <f>IF(BV$7="Actual","",-SUM(BV587:BV588))</f>
        <v/>
      </c>
      <c r="BW609" s="245">
        <f>IF(BW$7="Actual","",-SUM(BW587:BW588))</f>
        <v/>
      </c>
      <c r="BX609" s="245">
        <f>IF(BX$7="Actual","",-SUM(BX587:BX588))</f>
        <v/>
      </c>
      <c r="BY609" s="245">
        <f>IF(BY$7="Actual","",-SUM(BY587:BY588))</f>
        <v/>
      </c>
      <c r="BZ609" s="245">
        <f>IF(BZ$7="Actual","",-SUM(BZ587:BZ588))</f>
        <v/>
      </c>
      <c r="CA609" s="245">
        <f>IF(CA$7="Actual","",-SUM(CA587:CA588))</f>
        <v/>
      </c>
    </row>
    <row r="610" ht="12" customHeight="1" s="227">
      <c r="A610" s="244" t="n"/>
      <c r="B610" s="244" t="n"/>
      <c r="C610" s="244" t="n"/>
      <c r="H610" s="0" t="inlineStr">
        <is>
          <t>Tax Payments - Opening Bal</t>
        </is>
      </c>
      <c r="I610" s="27">
        <f>i_Setup!$M$16</f>
        <v/>
      </c>
      <c r="K610" s="6" t="n"/>
      <c r="M610" s="245">
        <f>SUMIF($T$4:$CA$4,M$4,$T610:$CA610)</f>
        <v/>
      </c>
      <c r="N610" s="245">
        <f>SUMIF($T$4:$CA$4,N$4,$T610:$CA610)</f>
        <v/>
      </c>
      <c r="O610" s="245">
        <f>SUMIF($T$4:$CA$4,O$4,$T610:$CA610)</f>
        <v/>
      </c>
      <c r="P610" s="245">
        <f>SUMIF($T$4:$CA$4,P$4,$T610:$CA610)</f>
        <v/>
      </c>
      <c r="Q610" s="245">
        <f>SUMIF($T$4:$CA$4,Q$4,$T610:$CA610)</f>
        <v/>
      </c>
      <c r="T610" s="245">
        <f>IF(T$7="Actual","",OFFSET(T605,,-$K605,,))</f>
        <v/>
      </c>
      <c r="U610" s="245">
        <f>IF(U$7="Actual","",OFFSET(U605,,-$K605,,))</f>
        <v/>
      </c>
      <c r="V610" s="245">
        <f>IF(V$7="Actual","",OFFSET(V605,,-$K605,,))</f>
        <v/>
      </c>
      <c r="W610" s="245">
        <f>IF(W$7="Actual","",OFFSET(W605,,-$K605,,))</f>
        <v/>
      </c>
      <c r="X610" s="245">
        <f>IF(X$7="Actual","",OFFSET(X605,,-$K605,,))</f>
        <v/>
      </c>
      <c r="Y610" s="245">
        <f>IF(Y$7="Actual","",OFFSET(Y605,,-$K605,,))</f>
        <v/>
      </c>
      <c r="Z610" s="245">
        <f>IF(Z$7="Actual","",OFFSET(Z605,,-$K605,,))</f>
        <v/>
      </c>
      <c r="AA610" s="245">
        <f>IF(AA$7="Actual","",OFFSET(AA605,,-$K605,,))</f>
        <v/>
      </c>
      <c r="AB610" s="245">
        <f>IF(AB$7="Actual","",OFFSET(AB605,,-$K605,,))</f>
        <v/>
      </c>
      <c r="AC610" s="245">
        <f>IF(AC$7="Actual","",OFFSET(AC605,,-$K605,,))</f>
        <v/>
      </c>
      <c r="AD610" s="245">
        <f>IF(AD$7="Actual","",OFFSET(AD605,,-$K605,,))</f>
        <v/>
      </c>
      <c r="AE610" s="245">
        <f>IF(AE$7="Actual","",OFFSET(AE605,,-$K605,,))</f>
        <v/>
      </c>
      <c r="AF610" s="245">
        <f>IF(AF$7="Actual","",OFFSET(AF605,,-$K605,,))</f>
        <v/>
      </c>
      <c r="AG610" s="245">
        <f>IF(AG$7="Actual","",OFFSET(AG605,,-$K605,,))</f>
        <v/>
      </c>
      <c r="AH610" s="245">
        <f>IF(AH$7="Actual","",OFFSET(AH605,,-$K605,,))</f>
        <v/>
      </c>
      <c r="AI610" s="245">
        <f>IF(AI$7="Actual","",OFFSET(AI605,,-$K605,,))</f>
        <v/>
      </c>
      <c r="AJ610" s="245">
        <f>IF(AJ$7="Actual","",OFFSET(AJ605,,-$K605,,))</f>
        <v/>
      </c>
      <c r="AK610" s="245">
        <f>IF(AK$7="Actual","",OFFSET(AK605,,-$K605,,))</f>
        <v/>
      </c>
      <c r="AL610" s="245">
        <f>IF(AL$7="Actual","",OFFSET(AL605,,-$K605,,))</f>
        <v/>
      </c>
      <c r="AM610" s="245">
        <f>IF(AM$7="Actual","",OFFSET(AM605,,-$K605,,))</f>
        <v/>
      </c>
      <c r="AN610" s="245">
        <f>IF(AN$7="Actual","",OFFSET(AN605,,-$K605,,))</f>
        <v/>
      </c>
      <c r="AO610" s="245">
        <f>IF(AO$7="Actual","",OFFSET(AO605,,-$K605,,))</f>
        <v/>
      </c>
      <c r="AP610" s="245">
        <f>IF(AP$7="Actual","",OFFSET(AP605,,-$K605,,))</f>
        <v/>
      </c>
      <c r="AQ610" s="245">
        <f>IF(AQ$7="Actual","",OFFSET(AQ605,,-$K605,,))</f>
        <v/>
      </c>
      <c r="AR610" s="245">
        <f>IF(AR$7="Actual","",OFFSET(AR605,,-$K605,,))</f>
        <v/>
      </c>
      <c r="AS610" s="245">
        <f>IF(AS$7="Actual","",OFFSET(AS605,,-$K605,,))</f>
        <v/>
      </c>
      <c r="AT610" s="245">
        <f>IF(AT$7="Actual","",OFFSET(AT605,,-$K605,,))</f>
        <v/>
      </c>
      <c r="AU610" s="245">
        <f>IF(AU$7="Actual","",OFFSET(AU605,,-$K605,,))</f>
        <v/>
      </c>
      <c r="AV610" s="245">
        <f>IF(AV$7="Actual","",OFFSET(AV605,,-$K605,,))</f>
        <v/>
      </c>
      <c r="AW610" s="245">
        <f>IF(AW$7="Actual","",OFFSET(AW605,,-$K605,,))</f>
        <v/>
      </c>
      <c r="AX610" s="245">
        <f>IF(AX$7="Actual","",OFFSET(AX605,,-$K605,,))</f>
        <v/>
      </c>
      <c r="AY610" s="245">
        <f>IF(AY$7="Actual","",OFFSET(AY605,,-$K605,,))</f>
        <v/>
      </c>
      <c r="AZ610" s="245">
        <f>IF(AZ$7="Actual","",OFFSET(AZ605,,-$K605,,))</f>
        <v/>
      </c>
      <c r="BA610" s="245">
        <f>IF(BA$7="Actual","",OFFSET(BA605,,-$K605,,))</f>
        <v/>
      </c>
      <c r="BB610" s="245">
        <f>IF(BB$7="Actual","",OFFSET(BB605,,-$K605,,))</f>
        <v/>
      </c>
      <c r="BC610" s="245">
        <f>IF(BC$7="Actual","",OFFSET(BC605,,-$K605,,))</f>
        <v/>
      </c>
      <c r="BD610" s="245">
        <f>IF(BD$7="Actual","",OFFSET(BD605,,-$K605,,))</f>
        <v/>
      </c>
      <c r="BE610" s="245">
        <f>IF(BE$7="Actual","",OFFSET(BE605,,-$K605,,))</f>
        <v/>
      </c>
      <c r="BF610" s="245">
        <f>IF(BF$7="Actual","",OFFSET(BF605,,-$K605,,))</f>
        <v/>
      </c>
      <c r="BG610" s="245">
        <f>IF(BG$7="Actual","",OFFSET(BG605,,-$K605,,))</f>
        <v/>
      </c>
      <c r="BH610" s="245">
        <f>IF(BH$7="Actual","",OFFSET(BH605,,-$K605,,))</f>
        <v/>
      </c>
      <c r="BI610" s="245">
        <f>IF(BI$7="Actual","",OFFSET(BI605,,-$K605,,))</f>
        <v/>
      </c>
      <c r="BJ610" s="245">
        <f>IF(BJ$7="Actual","",OFFSET(BJ605,,-$K605,,))</f>
        <v/>
      </c>
      <c r="BK610" s="245">
        <f>IF(BK$7="Actual","",OFFSET(BK605,,-$K605,,))</f>
        <v/>
      </c>
      <c r="BL610" s="245">
        <f>IF(BL$7="Actual","",OFFSET(BL605,,-$K605,,))</f>
        <v/>
      </c>
      <c r="BM610" s="245">
        <f>IF(BM$7="Actual","",OFFSET(BM605,,-$K605,,))</f>
        <v/>
      </c>
      <c r="BN610" s="245">
        <f>IF(BN$7="Actual","",OFFSET(BN605,,-$K605,,))</f>
        <v/>
      </c>
      <c r="BO610" s="245">
        <f>IF(BO$7="Actual","",OFFSET(BO605,,-$K605,,))</f>
        <v/>
      </c>
      <c r="BP610" s="245">
        <f>IF(BP$7="Actual","",OFFSET(BP605,,-$K605,,))</f>
        <v/>
      </c>
      <c r="BQ610" s="245">
        <f>IF(BQ$7="Actual","",OFFSET(BQ605,,-$K605,,))</f>
        <v/>
      </c>
      <c r="BR610" s="245">
        <f>IF(BR$7="Actual","",OFFSET(BR605,,-$K605,,))</f>
        <v/>
      </c>
      <c r="BS610" s="245">
        <f>IF(BS$7="Actual","",OFFSET(BS605,,-$K605,,))</f>
        <v/>
      </c>
      <c r="BT610" s="245">
        <f>IF(BT$7="Actual","",OFFSET(BT605,,-$K605,,))</f>
        <v/>
      </c>
      <c r="BU610" s="245">
        <f>IF(BU$7="Actual","",OFFSET(BU605,,-$K605,,))</f>
        <v/>
      </c>
      <c r="BV610" s="245">
        <f>IF(BV$7="Actual","",OFFSET(BV605,,-$K605,,))</f>
        <v/>
      </c>
      <c r="BW610" s="245">
        <f>IF(BW$7="Actual","",OFFSET(BW605,,-$K605,,))</f>
        <v/>
      </c>
      <c r="BX610" s="245">
        <f>IF(BX$7="Actual","",OFFSET(BX605,,-$K605,,))</f>
        <v/>
      </c>
      <c r="BY610" s="245">
        <f>IF(BY$7="Actual","",OFFSET(BY605,,-$K605,,))</f>
        <v/>
      </c>
      <c r="BZ610" s="245">
        <f>IF(BZ$7="Actual","",OFFSET(BZ605,,-$K605,,))</f>
        <v/>
      </c>
      <c r="CA610" s="245">
        <f>IF(CA$7="Actual","",OFFSET(CA605,,-$K605,,))</f>
        <v/>
      </c>
    </row>
    <row r="611" ht="12" customHeight="1" s="227">
      <c r="A611" s="244" t="n"/>
      <c r="B611" s="244" t="n"/>
      <c r="C611" s="244" t="n"/>
      <c r="H611" s="0" t="inlineStr">
        <is>
          <t>Tax Payments - Forecast</t>
        </is>
      </c>
      <c r="I611" s="27">
        <f>i_Setup!$M$16</f>
        <v/>
      </c>
      <c r="K611" s="6" t="n"/>
      <c r="M611" s="245">
        <f>SUMIF($T$4:$CA$4,M$4,$T611:$CA611)</f>
        <v/>
      </c>
      <c r="N611" s="245">
        <f>SUMIF($T$4:$CA$4,N$4,$T611:$CA611)</f>
        <v/>
      </c>
      <c r="O611" s="245">
        <f>SUMIF($T$4:$CA$4,O$4,$T611:$CA611)</f>
        <v/>
      </c>
      <c r="P611" s="245">
        <f>SUMIF($T$4:$CA$4,P$4,$T611:$CA611)</f>
        <v/>
      </c>
      <c r="Q611" s="245">
        <f>SUMIF($T$4:$CA$4,Q$4,$T611:$CA611)</f>
        <v/>
      </c>
      <c r="T611" s="245">
        <f>IF(T$7="Actual","",IFERROR(-T600,0))</f>
        <v/>
      </c>
      <c r="U611" s="245">
        <f>IF(U$7="Actual","",IFERROR(-U600,0))</f>
        <v/>
      </c>
      <c r="V611" s="245">
        <f>IF(V$7="Actual","",IFERROR(-V600,0))</f>
        <v/>
      </c>
      <c r="W611" s="245">
        <f>IF(W$7="Actual","",IFERROR(-W600,0))</f>
        <v/>
      </c>
      <c r="X611" s="245">
        <f>IF(X$7="Actual","",IFERROR(-X600,0))</f>
        <v/>
      </c>
      <c r="Y611" s="245">
        <f>IF(Y$7="Actual","",IFERROR(-Y600,0))</f>
        <v/>
      </c>
      <c r="Z611" s="245">
        <f>IF(Z$7="Actual","",IFERROR(-Z600,0))</f>
        <v/>
      </c>
      <c r="AA611" s="245">
        <f>IF(AA$7="Actual","",IFERROR(-AA600,0))</f>
        <v/>
      </c>
      <c r="AB611" s="245">
        <f>IF(AB$7="Actual","",IFERROR(-AB600,0))</f>
        <v/>
      </c>
      <c r="AC611" s="245">
        <f>IF(AC$7="Actual","",IFERROR(-AC600,0))</f>
        <v/>
      </c>
      <c r="AD611" s="245">
        <f>IF(AD$7="Actual","",IFERROR(-AD600,0))</f>
        <v/>
      </c>
      <c r="AE611" s="245">
        <f>IF(AE$7="Actual","",IFERROR(-AE600,0))</f>
        <v/>
      </c>
      <c r="AF611" s="245">
        <f>IF(AF$7="Actual","",IFERROR(-AF600,0))</f>
        <v/>
      </c>
      <c r="AG611" s="245">
        <f>IF(AG$7="Actual","",IFERROR(-AG600,0))</f>
        <v/>
      </c>
      <c r="AH611" s="245">
        <f>IF(AH$7="Actual","",IFERROR(-AH600,0))</f>
        <v/>
      </c>
      <c r="AI611" s="245">
        <f>IF(AI$7="Actual","",IFERROR(-AI600,0))</f>
        <v/>
      </c>
      <c r="AJ611" s="245">
        <f>IF(AJ$7="Actual","",IFERROR(-AJ600,0))</f>
        <v/>
      </c>
      <c r="AK611" s="245">
        <f>IF(AK$7="Actual","",IFERROR(-AK600,0))</f>
        <v/>
      </c>
      <c r="AL611" s="245">
        <f>IF(AL$7="Actual","",IFERROR(-AL600,0))</f>
        <v/>
      </c>
      <c r="AM611" s="245">
        <f>IF(AM$7="Actual","",IFERROR(-AM600,0))</f>
        <v/>
      </c>
      <c r="AN611" s="245">
        <f>IF(AN$7="Actual","",IFERROR(-AN600,0))</f>
        <v/>
      </c>
      <c r="AO611" s="245">
        <f>IF(AO$7="Actual","",IFERROR(-AO600,0))</f>
        <v/>
      </c>
      <c r="AP611" s="245">
        <f>IF(AP$7="Actual","",IFERROR(-AP600,0))</f>
        <v/>
      </c>
      <c r="AQ611" s="245">
        <f>IF(AQ$7="Actual","",IFERROR(-AQ600,0))</f>
        <v/>
      </c>
      <c r="AR611" s="245">
        <f>IF(AR$7="Actual","",IFERROR(-AR600,0))</f>
        <v/>
      </c>
      <c r="AS611" s="245">
        <f>IF(AS$7="Actual","",IFERROR(-AS600,0))</f>
        <v/>
      </c>
      <c r="AT611" s="245">
        <f>IF(AT$7="Actual","",IFERROR(-AT600,0))</f>
        <v/>
      </c>
      <c r="AU611" s="245">
        <f>IF(AU$7="Actual","",IFERROR(-AU600,0))</f>
        <v/>
      </c>
      <c r="AV611" s="245">
        <f>IF(AV$7="Actual","",IFERROR(-AV600,0))</f>
        <v/>
      </c>
      <c r="AW611" s="245">
        <f>IF(AW$7="Actual","",IFERROR(-AW600,0))</f>
        <v/>
      </c>
      <c r="AX611" s="245">
        <f>IF(AX$7="Actual","",IFERROR(-AX600,0))</f>
        <v/>
      </c>
      <c r="AY611" s="245">
        <f>IF(AY$7="Actual","",IFERROR(-AY600,0))</f>
        <v/>
      </c>
      <c r="AZ611" s="245">
        <f>IF(AZ$7="Actual","",IFERROR(-AZ600,0))</f>
        <v/>
      </c>
      <c r="BA611" s="245">
        <f>IF(BA$7="Actual","",IFERROR(-BA600,0))</f>
        <v/>
      </c>
      <c r="BB611" s="245">
        <f>IF(BB$7="Actual","",IFERROR(-BB600,0))</f>
        <v/>
      </c>
      <c r="BC611" s="245">
        <f>IF(BC$7="Actual","",IFERROR(-BC600,0))</f>
        <v/>
      </c>
      <c r="BD611" s="245">
        <f>IF(BD$7="Actual","",IFERROR(-BD600,0))</f>
        <v/>
      </c>
      <c r="BE611" s="245">
        <f>IF(BE$7="Actual","",IFERROR(-BE600,0))</f>
        <v/>
      </c>
      <c r="BF611" s="245">
        <f>IF(BF$7="Actual","",IFERROR(-BF600,0))</f>
        <v/>
      </c>
      <c r="BG611" s="245">
        <f>IF(BG$7="Actual","",IFERROR(-BG600,0))</f>
        <v/>
      </c>
      <c r="BH611" s="245">
        <f>IF(BH$7="Actual","",IFERROR(-BH600,0))</f>
        <v/>
      </c>
      <c r="BI611" s="245">
        <f>IF(BI$7="Actual","",IFERROR(-BI600,0))</f>
        <v/>
      </c>
      <c r="BJ611" s="245">
        <f>IF(BJ$7="Actual","",IFERROR(-BJ600,0))</f>
        <v/>
      </c>
      <c r="BK611" s="245">
        <f>IF(BK$7="Actual","",IFERROR(-BK600,0))</f>
        <v/>
      </c>
      <c r="BL611" s="245">
        <f>IF(BL$7="Actual","",IFERROR(-BL600,0))</f>
        <v/>
      </c>
      <c r="BM611" s="245">
        <f>IF(BM$7="Actual","",IFERROR(-BM600,0))</f>
        <v/>
      </c>
      <c r="BN611" s="245">
        <f>IF(BN$7="Actual","",IFERROR(-BN600,0))</f>
        <v/>
      </c>
      <c r="BO611" s="245">
        <f>IF(BO$7="Actual","",IFERROR(-BO600,0))</f>
        <v/>
      </c>
      <c r="BP611" s="245">
        <f>IF(BP$7="Actual","",IFERROR(-BP600,0))</f>
        <v/>
      </c>
      <c r="BQ611" s="245">
        <f>IF(BQ$7="Actual","",IFERROR(-BQ600,0))</f>
        <v/>
      </c>
      <c r="BR611" s="245">
        <f>IF(BR$7="Actual","",IFERROR(-BR600,0))</f>
        <v/>
      </c>
      <c r="BS611" s="245">
        <f>IF(BS$7="Actual","",IFERROR(-BS600,0))</f>
        <v/>
      </c>
      <c r="BT611" s="245">
        <f>IF(BT$7="Actual","",IFERROR(-BT600,0))</f>
        <v/>
      </c>
      <c r="BU611" s="245">
        <f>IF(BU$7="Actual","",IFERROR(-BU600,0))</f>
        <v/>
      </c>
      <c r="BV611" s="245">
        <f>IF(BV$7="Actual","",IFERROR(-BV600,0))</f>
        <v/>
      </c>
      <c r="BW611" s="245">
        <f>IF(BW$7="Actual","",IFERROR(-BW600,0))</f>
        <v/>
      </c>
      <c r="BX611" s="245">
        <f>IF(BX$7="Actual","",IFERROR(-BX600,0))</f>
        <v/>
      </c>
      <c r="BY611" s="245">
        <f>IF(BY$7="Actual","",IFERROR(-BY600,0))</f>
        <v/>
      </c>
      <c r="BZ611" s="245">
        <f>IF(BZ$7="Actual","",IFERROR(-BZ600,0))</f>
        <v/>
      </c>
      <c r="CA611" s="245">
        <f>IF(CA$7="Actual","",IFERROR(-CA600,0))</f>
        <v/>
      </c>
    </row>
    <row r="612" ht="12" customHeight="1" s="227" thickBot="1">
      <c r="A612" s="244" t="n"/>
      <c r="B612" s="244" t="n"/>
      <c r="C612" s="244" t="n"/>
      <c r="H612" s="42" t="inlineStr">
        <is>
          <t>Closing Balance</t>
        </is>
      </c>
      <c r="I612" s="43">
        <f>i_Setup!$M$16</f>
        <v/>
      </c>
      <c r="K612" s="6" t="n"/>
      <c r="M612" s="264">
        <f>SUMIF($T$2:$CA$2,M$2,$T612:$CA612)</f>
        <v/>
      </c>
      <c r="N612" s="264">
        <f>SUMIF($T$2:$CA$2,N$2,$T612:$CA612)</f>
        <v/>
      </c>
      <c r="O612" s="264">
        <f>SUMIF($T$2:$CA$2,O$2,$T612:$CA612)</f>
        <v/>
      </c>
      <c r="P612" s="264">
        <f>SUMIF($T$2:$CA$2,P$2,$T612:$CA612)</f>
        <v/>
      </c>
      <c r="Q612" s="264">
        <f>SUMIF($T$2:$CA$2,Q$2,$T612:$CA612)</f>
        <v/>
      </c>
      <c r="T612" s="264">
        <f>IF(T$7="Actual",i_Actuals!T138,SUM(T607:T611))</f>
        <v/>
      </c>
      <c r="U612" s="264">
        <f>IF(U$7="Actual",i_Actuals!U138,SUM(U607:U611))</f>
        <v/>
      </c>
      <c r="V612" s="264">
        <f>IF(V$7="Actual",i_Actuals!V138,SUM(V607:V611))</f>
        <v/>
      </c>
      <c r="W612" s="264">
        <f>IF(W$7="Actual",i_Actuals!W138,SUM(W607:W611))</f>
        <v/>
      </c>
      <c r="X612" s="264">
        <f>IF(X$7="Actual",i_Actuals!X138,SUM(X607:X611))</f>
        <v/>
      </c>
      <c r="Y612" s="264">
        <f>IF(Y$7="Actual",i_Actuals!Y138,SUM(Y607:Y611))</f>
        <v/>
      </c>
      <c r="Z612" s="264">
        <f>IF(Z$7="Actual",i_Actuals!Z138,SUM(Z607:Z611))</f>
        <v/>
      </c>
      <c r="AA612" s="264">
        <f>IF(AA$7="Actual",i_Actuals!AA138,SUM(AA607:AA611))</f>
        <v/>
      </c>
      <c r="AB612" s="264">
        <f>IF(AB$7="Actual",i_Actuals!AB138,SUM(AB607:AB611))</f>
        <v/>
      </c>
      <c r="AC612" s="264">
        <f>IF(AC$7="Actual",i_Actuals!AC138,SUM(AC607:AC611))</f>
        <v/>
      </c>
      <c r="AD612" s="264">
        <f>IF(AD$7="Actual",i_Actuals!AD138,SUM(AD607:AD611))</f>
        <v/>
      </c>
      <c r="AE612" s="264">
        <f>IF(AE$7="Actual",i_Actuals!AE138,SUM(AE607:AE611))</f>
        <v/>
      </c>
      <c r="AF612" s="264">
        <f>IF(AF$7="Actual",i_Actuals!AF138,SUM(AF607:AF611))</f>
        <v/>
      </c>
      <c r="AG612" s="264">
        <f>IF(AG$7="Actual",i_Actuals!AG138,SUM(AG607:AG611))</f>
        <v/>
      </c>
      <c r="AH612" s="264">
        <f>IF(AH$7="Actual",i_Actuals!AH138,SUM(AH607:AH611))</f>
        <v/>
      </c>
      <c r="AI612" s="264">
        <f>IF(AI$7="Actual",i_Actuals!AI138,SUM(AI607:AI611))</f>
        <v/>
      </c>
      <c r="AJ612" s="264">
        <f>IF(AJ$7="Actual",i_Actuals!AJ138,SUM(AJ607:AJ611))</f>
        <v/>
      </c>
      <c r="AK612" s="264">
        <f>IF(AK$7="Actual",i_Actuals!AK138,SUM(AK607:AK611))</f>
        <v/>
      </c>
      <c r="AL612" s="264">
        <f>IF(AL$7="Actual",i_Actuals!AL138,SUM(AL607:AL611))</f>
        <v/>
      </c>
      <c r="AM612" s="264">
        <f>IF(AM$7="Actual",i_Actuals!AM138,SUM(AM607:AM611))</f>
        <v/>
      </c>
      <c r="AN612" s="264">
        <f>IF(AN$7="Actual",i_Actuals!AN138,SUM(AN607:AN611))</f>
        <v/>
      </c>
      <c r="AO612" s="264">
        <f>IF(AO$7="Actual",i_Actuals!AO138,SUM(AO607:AO611))</f>
        <v/>
      </c>
      <c r="AP612" s="264">
        <f>IF(AP$7="Actual",i_Actuals!AP138,SUM(AP607:AP611))</f>
        <v/>
      </c>
      <c r="AQ612" s="264">
        <f>IF(AQ$7="Actual",i_Actuals!AQ138,SUM(AQ607:AQ611))</f>
        <v/>
      </c>
      <c r="AR612" s="264">
        <f>IF(AR$7="Actual",i_Actuals!AR138,SUM(AR607:AR611))</f>
        <v/>
      </c>
      <c r="AS612" s="264">
        <f>IF(AS$7="Actual",i_Actuals!AS138,SUM(AS607:AS611))</f>
        <v/>
      </c>
      <c r="AT612" s="264">
        <f>IF(AT$7="Actual",i_Actuals!AT138,SUM(AT607:AT611))</f>
        <v/>
      </c>
      <c r="AU612" s="264">
        <f>IF(AU$7="Actual",i_Actuals!AU138,SUM(AU607:AU611))</f>
        <v/>
      </c>
      <c r="AV612" s="264">
        <f>IF(AV$7="Actual",i_Actuals!AV138,SUM(AV607:AV611))</f>
        <v/>
      </c>
      <c r="AW612" s="264">
        <f>IF(AW$7="Actual",i_Actuals!AW138,SUM(AW607:AW611))</f>
        <v/>
      </c>
      <c r="AX612" s="264">
        <f>IF(AX$7="Actual",i_Actuals!AX138,SUM(AX607:AX611))</f>
        <v/>
      </c>
      <c r="AY612" s="264">
        <f>IF(AY$7="Actual",i_Actuals!AY138,SUM(AY607:AY611))</f>
        <v/>
      </c>
      <c r="AZ612" s="264">
        <f>IF(AZ$7="Actual",i_Actuals!AZ138,SUM(AZ607:AZ611))</f>
        <v/>
      </c>
      <c r="BA612" s="264">
        <f>IF(BA$7="Actual",i_Actuals!BA138,SUM(BA607:BA611))</f>
        <v/>
      </c>
      <c r="BB612" s="264">
        <f>IF(BB$7="Actual",i_Actuals!BB138,SUM(BB607:BB611))</f>
        <v/>
      </c>
      <c r="BC612" s="264">
        <f>IF(BC$7="Actual",i_Actuals!BC138,SUM(BC607:BC611))</f>
        <v/>
      </c>
      <c r="BD612" s="264">
        <f>IF(BD$7="Actual",i_Actuals!BD138,SUM(BD607:BD611))</f>
        <v/>
      </c>
      <c r="BE612" s="264">
        <f>IF(BE$7="Actual",i_Actuals!BE138,SUM(BE607:BE611))</f>
        <v/>
      </c>
      <c r="BF612" s="264">
        <f>IF(BF$7="Actual",i_Actuals!BF138,SUM(BF607:BF611))</f>
        <v/>
      </c>
      <c r="BG612" s="264">
        <f>IF(BG$7="Actual",i_Actuals!BG138,SUM(BG607:BG611))</f>
        <v/>
      </c>
      <c r="BH612" s="264">
        <f>IF(BH$7="Actual",i_Actuals!BH138,SUM(BH607:BH611))</f>
        <v/>
      </c>
      <c r="BI612" s="264">
        <f>IF(BI$7="Actual",i_Actuals!BI138,SUM(BI607:BI611))</f>
        <v/>
      </c>
      <c r="BJ612" s="264">
        <f>IF(BJ$7="Actual",i_Actuals!BJ138,SUM(BJ607:BJ611))</f>
        <v/>
      </c>
      <c r="BK612" s="264">
        <f>IF(BK$7="Actual",i_Actuals!BK138,SUM(BK607:BK611))</f>
        <v/>
      </c>
      <c r="BL612" s="264">
        <f>IF(BL$7="Actual",i_Actuals!BL138,SUM(BL607:BL611))</f>
        <v/>
      </c>
      <c r="BM612" s="264">
        <f>IF(BM$7="Actual",i_Actuals!BM138,SUM(BM607:BM611))</f>
        <v/>
      </c>
      <c r="BN612" s="264">
        <f>IF(BN$7="Actual",i_Actuals!BN138,SUM(BN607:BN611))</f>
        <v/>
      </c>
      <c r="BO612" s="264">
        <f>IF(BO$7="Actual",i_Actuals!BO138,SUM(BO607:BO611))</f>
        <v/>
      </c>
      <c r="BP612" s="264">
        <f>IF(BP$7="Actual",i_Actuals!BP138,SUM(BP607:BP611))</f>
        <v/>
      </c>
      <c r="BQ612" s="264">
        <f>IF(BQ$7="Actual",i_Actuals!BQ138,SUM(BQ607:BQ611))</f>
        <v/>
      </c>
      <c r="BR612" s="264">
        <f>IF(BR$7="Actual",i_Actuals!BR138,SUM(BR607:BR611))</f>
        <v/>
      </c>
      <c r="BS612" s="264">
        <f>IF(BS$7="Actual",i_Actuals!BS138,SUM(BS607:BS611))</f>
        <v/>
      </c>
      <c r="BT612" s="264">
        <f>IF(BT$7="Actual",i_Actuals!BT138,SUM(BT607:BT611))</f>
        <v/>
      </c>
      <c r="BU612" s="264">
        <f>IF(BU$7="Actual",i_Actuals!BU138,SUM(BU607:BU611))</f>
        <v/>
      </c>
      <c r="BV612" s="264">
        <f>IF(BV$7="Actual",i_Actuals!BV138,SUM(BV607:BV611))</f>
        <v/>
      </c>
      <c r="BW612" s="264">
        <f>IF(BW$7="Actual",i_Actuals!BW138,SUM(BW607:BW611))</f>
        <v/>
      </c>
      <c r="BX612" s="264">
        <f>IF(BX$7="Actual",i_Actuals!BX138,SUM(BX607:BX611))</f>
        <v/>
      </c>
      <c r="BY612" s="264">
        <f>IF(BY$7="Actual",i_Actuals!BY138,SUM(BY607:BY611))</f>
        <v/>
      </c>
      <c r="BZ612" s="264">
        <f>IF(BZ$7="Actual",i_Actuals!BZ138,SUM(BZ607:BZ611))</f>
        <v/>
      </c>
      <c r="CA612" s="264">
        <f>IF(CA$7="Actual",i_Actuals!CA138,SUM(CA607:CA611))</f>
        <v/>
      </c>
    </row>
    <row r="613" ht="12" customHeight="1" s="227">
      <c r="A613" s="244" t="n"/>
      <c r="B613" s="244" t="n"/>
      <c r="C613" s="244" t="n"/>
      <c r="K613" s="6" t="n"/>
    </row>
    <row r="614" ht="12" customHeight="1" s="227">
      <c r="A614" s="244" t="n"/>
      <c r="B614" s="244" t="n"/>
      <c r="C614" s="244" t="n"/>
      <c r="K614" s="6" t="n"/>
    </row>
    <row r="615" ht="12" customHeight="1" s="227">
      <c r="A615" s="244" t="n"/>
      <c r="B615" s="244" t="n"/>
      <c r="C615" s="244" t="n"/>
      <c r="K615" s="6" t="n"/>
    </row>
    <row r="616" ht="13.5" customFormat="1" customHeight="1" s="223" thickBot="1">
      <c r="E616" s="223">
        <f>Heading2</f>
        <v/>
      </c>
      <c r="F616" s="223" t="inlineStr">
        <is>
          <t>Dividends</t>
        </is>
      </c>
      <c r="K616" s="135" t="n"/>
    </row>
    <row r="617" ht="12" customHeight="1" s="227">
      <c r="A617" s="244" t="n"/>
      <c r="B617" s="244" t="n"/>
      <c r="C617" s="244" t="n"/>
      <c r="K617" s="6" t="n"/>
    </row>
    <row r="618" ht="12" customHeight="1" s="227">
      <c r="A618" s="244" t="n"/>
      <c r="B618" s="244" t="n"/>
      <c r="C618" s="244" t="n"/>
      <c r="G618" s="222" t="inlineStr">
        <is>
          <t>Available Resources</t>
        </is>
      </c>
      <c r="K618" s="6" t="n"/>
    </row>
    <row r="619" ht="12" customHeight="1" s="227">
      <c r="A619" s="244" t="n"/>
      <c r="B619" s="244" t="n"/>
      <c r="C619" s="244" t="n"/>
      <c r="H619" s="8" t="n"/>
      <c r="I619" s="8" t="n"/>
      <c r="K619" s="6" t="n"/>
    </row>
    <row r="620" ht="12" customHeight="1" s="227">
      <c r="A620" s="244" t="n"/>
      <c r="B620" s="244" t="n"/>
      <c r="C620" s="244" t="n"/>
      <c r="H620" s="0" t="inlineStr">
        <is>
          <t>Opening Cash Balance</t>
        </is>
      </c>
      <c r="I620" s="27">
        <f>i_Setup!$M$16</f>
        <v/>
      </c>
      <c r="K620" s="6" t="n"/>
      <c r="T620" s="257">
        <f>IF(T7="Actual","",'o_Fin Stats'!T191)</f>
        <v/>
      </c>
      <c r="U620" s="257">
        <f>IF(U7="Actual","",'o_Fin Stats'!U191)</f>
        <v/>
      </c>
      <c r="V620" s="257">
        <f>IF(V7="Actual","",'o_Fin Stats'!V191)</f>
        <v/>
      </c>
      <c r="W620" s="257">
        <f>IF(W7="Actual","",'o_Fin Stats'!W191)</f>
        <v/>
      </c>
      <c r="X620" s="257">
        <f>IF(X7="Actual","",'o_Fin Stats'!X191)</f>
        <v/>
      </c>
      <c r="Y620" s="257">
        <f>IF(Y7="Actual","",'o_Fin Stats'!Y191)</f>
        <v/>
      </c>
      <c r="Z620" s="257">
        <f>IF(Z7="Actual","",'o_Fin Stats'!Z191)</f>
        <v/>
      </c>
      <c r="AA620" s="257">
        <f>IF(AA7="Actual","",'o_Fin Stats'!AA191)</f>
        <v/>
      </c>
      <c r="AB620" s="257">
        <f>IF(AB7="Actual","",'o_Fin Stats'!AB191)</f>
        <v/>
      </c>
      <c r="AC620" s="257">
        <f>IF(AC7="Actual","",'o_Fin Stats'!AC191)</f>
        <v/>
      </c>
      <c r="AD620" s="257">
        <f>IF(AD7="Actual","",'o_Fin Stats'!AD191)</f>
        <v/>
      </c>
      <c r="AE620" s="257">
        <f>IF(AE7="Actual","",'o_Fin Stats'!AE191)</f>
        <v/>
      </c>
      <c r="AF620" s="257">
        <f>IF(AF7="Actual","",'o_Fin Stats'!AF191)</f>
        <v/>
      </c>
      <c r="AG620" s="257">
        <f>IF(AG7="Actual","",'o_Fin Stats'!AG191)</f>
        <v/>
      </c>
      <c r="AH620" s="257">
        <f>IF(AH7="Actual","",'o_Fin Stats'!AH191)</f>
        <v/>
      </c>
      <c r="AI620" s="257">
        <f>IF(AI7="Actual","",'o_Fin Stats'!AI191)</f>
        <v/>
      </c>
      <c r="AJ620" s="257">
        <f>IF(AJ7="Actual","",'o_Fin Stats'!AJ191)</f>
        <v/>
      </c>
      <c r="AK620" s="257">
        <f>IF(AK7="Actual","",'o_Fin Stats'!AK191)</f>
        <v/>
      </c>
      <c r="AL620" s="257">
        <f>IF(AL7="Actual","",'o_Fin Stats'!AL191)</f>
        <v/>
      </c>
      <c r="AM620" s="257">
        <f>IF(AM7="Actual","",'o_Fin Stats'!AM191)</f>
        <v/>
      </c>
      <c r="AN620" s="257">
        <f>IF(AN7="Actual","",'o_Fin Stats'!AN191)</f>
        <v/>
      </c>
      <c r="AO620" s="257">
        <f>IF(AO7="Actual","",'o_Fin Stats'!AO191)</f>
        <v/>
      </c>
      <c r="AP620" s="257">
        <f>IF(AP7="Actual","",'o_Fin Stats'!AP191)</f>
        <v/>
      </c>
      <c r="AQ620" s="257">
        <f>IF(AQ7="Actual","",'o_Fin Stats'!AQ191)</f>
        <v/>
      </c>
      <c r="AR620" s="257">
        <f>IF(AR7="Actual","",'o_Fin Stats'!AR191)</f>
        <v/>
      </c>
      <c r="AS620" s="257">
        <f>IF(AS7="Actual","",'o_Fin Stats'!AS191)</f>
        <v/>
      </c>
      <c r="AT620" s="257">
        <f>IF(AT7="Actual","",'o_Fin Stats'!AT191)</f>
        <v/>
      </c>
      <c r="AU620" s="257">
        <f>IF(AU7="Actual","",'o_Fin Stats'!AU191)</f>
        <v/>
      </c>
      <c r="AV620" s="257">
        <f>IF(AV7="Actual","",'o_Fin Stats'!AV191)</f>
        <v/>
      </c>
      <c r="AW620" s="257">
        <f>IF(AW7="Actual","",'o_Fin Stats'!AW191)</f>
        <v/>
      </c>
      <c r="AX620" s="257">
        <f>IF(AX7="Actual","",'o_Fin Stats'!AX191)</f>
        <v/>
      </c>
      <c r="AY620" s="257">
        <f>IF(AY7="Actual","",'o_Fin Stats'!AY191)</f>
        <v/>
      </c>
      <c r="AZ620" s="257">
        <f>IF(AZ7="Actual","",'o_Fin Stats'!AZ191)</f>
        <v/>
      </c>
      <c r="BA620" s="257">
        <f>IF(BA7="Actual","",'o_Fin Stats'!BA191)</f>
        <v/>
      </c>
      <c r="BB620" s="257">
        <f>IF(BB7="Actual","",'o_Fin Stats'!BB191)</f>
        <v/>
      </c>
      <c r="BC620" s="257">
        <f>IF(BC7="Actual","",'o_Fin Stats'!BC191)</f>
        <v/>
      </c>
      <c r="BD620" s="257">
        <f>IF(BD7="Actual","",'o_Fin Stats'!BD191)</f>
        <v/>
      </c>
      <c r="BE620" s="257">
        <f>IF(BE7="Actual","",'o_Fin Stats'!BE191)</f>
        <v/>
      </c>
      <c r="BF620" s="257">
        <f>IF(BF7="Actual","",'o_Fin Stats'!BF191)</f>
        <v/>
      </c>
      <c r="BG620" s="257">
        <f>IF(BG7="Actual","",'o_Fin Stats'!BG191)</f>
        <v/>
      </c>
      <c r="BH620" s="257">
        <f>IF(BH7="Actual","",'o_Fin Stats'!BH191)</f>
        <v/>
      </c>
      <c r="BI620" s="257">
        <f>IF(BI7="Actual","",'o_Fin Stats'!BI191)</f>
        <v/>
      </c>
      <c r="BJ620" s="257">
        <f>IF(BJ7="Actual","",'o_Fin Stats'!BJ191)</f>
        <v/>
      </c>
      <c r="BK620" s="257">
        <f>IF(BK7="Actual","",'o_Fin Stats'!BK191)</f>
        <v/>
      </c>
      <c r="BL620" s="257">
        <f>IF(BL7="Actual","",'o_Fin Stats'!BL191)</f>
        <v/>
      </c>
      <c r="BM620" s="257">
        <f>IF(BM7="Actual","",'o_Fin Stats'!BM191)</f>
        <v/>
      </c>
      <c r="BN620" s="257">
        <f>IF(BN7="Actual","",'o_Fin Stats'!BN191)</f>
        <v/>
      </c>
      <c r="BO620" s="257">
        <f>IF(BO7="Actual","",'o_Fin Stats'!BO191)</f>
        <v/>
      </c>
      <c r="BP620" s="257">
        <f>IF(BP7="Actual","",'o_Fin Stats'!BP191)</f>
        <v/>
      </c>
      <c r="BQ620" s="257">
        <f>IF(BQ7="Actual","",'o_Fin Stats'!BQ191)</f>
        <v/>
      </c>
      <c r="BR620" s="257">
        <f>IF(BR7="Actual","",'o_Fin Stats'!BR191)</f>
        <v/>
      </c>
      <c r="BS620" s="257">
        <f>IF(BS7="Actual","",'o_Fin Stats'!BS191)</f>
        <v/>
      </c>
      <c r="BT620" s="257">
        <f>IF(BT7="Actual","",'o_Fin Stats'!BT191)</f>
        <v/>
      </c>
      <c r="BU620" s="257">
        <f>IF(BU7="Actual","",'o_Fin Stats'!BU191)</f>
        <v/>
      </c>
      <c r="BV620" s="257">
        <f>IF(BV7="Actual","",'o_Fin Stats'!BV191)</f>
        <v/>
      </c>
      <c r="BW620" s="257">
        <f>IF(BW7="Actual","",'o_Fin Stats'!BW191)</f>
        <v/>
      </c>
      <c r="BX620" s="257">
        <f>IF(BX7="Actual","",'o_Fin Stats'!BX191)</f>
        <v/>
      </c>
      <c r="BY620" s="257">
        <f>IF(BY7="Actual","",'o_Fin Stats'!BY191)</f>
        <v/>
      </c>
      <c r="BZ620" s="257">
        <f>IF(BZ7="Actual","",'o_Fin Stats'!BZ191)</f>
        <v/>
      </c>
      <c r="CA620" s="257">
        <f>IF(CA7="Actual","",'o_Fin Stats'!CA191)</f>
        <v/>
      </c>
    </row>
    <row r="621" ht="12" customHeight="1" s="227">
      <c r="A621" s="244" t="n"/>
      <c r="B621" s="244" t="n"/>
      <c r="C621" s="244" t="n"/>
      <c r="H621" s="0" t="inlineStr">
        <is>
          <t>Distributable Reserves</t>
        </is>
      </c>
      <c r="I621" s="27">
        <f>i_Setup!$M$16</f>
        <v/>
      </c>
      <c r="K621" s="6" t="n"/>
      <c r="T621" s="257">
        <f>IF(T$7="Actual","",-(T1003+T1004))</f>
        <v/>
      </c>
      <c r="U621" s="257">
        <f>IF(U$7="Actual","",-(U1003+U1004))</f>
        <v/>
      </c>
      <c r="V621" s="257">
        <f>IF(V$7="Actual","",-(V1003+V1004))</f>
        <v/>
      </c>
      <c r="W621" s="257">
        <f>IF(W$7="Actual","",-(W1003+W1004))</f>
        <v/>
      </c>
      <c r="X621" s="257">
        <f>IF(X$7="Actual","",-(X1003+X1004))</f>
        <v/>
      </c>
      <c r="Y621" s="257">
        <f>IF(Y$7="Actual","",-(Y1003+Y1004))</f>
        <v/>
      </c>
      <c r="Z621" s="257">
        <f>IF(Z$7="Actual","",-(Z1003+Z1004))</f>
        <v/>
      </c>
      <c r="AA621" s="257">
        <f>IF(AA$7="Actual","",-(AA1003+AA1004))</f>
        <v/>
      </c>
      <c r="AB621" s="257">
        <f>IF(AB$7="Actual","",-(AB1003+AB1004))</f>
        <v/>
      </c>
      <c r="AC621" s="257">
        <f>IF(AC$7="Actual","",-(AC1003+AC1004))</f>
        <v/>
      </c>
      <c r="AD621" s="257">
        <f>IF(AD$7="Actual","",-(AD1003+AD1004))</f>
        <v/>
      </c>
      <c r="AE621" s="257">
        <f>IF(AE$7="Actual","",-(AE1003+AE1004))</f>
        <v/>
      </c>
      <c r="AF621" s="257">
        <f>IF(AF$7="Actual","",-(AF1003+AF1004))</f>
        <v/>
      </c>
      <c r="AG621" s="257">
        <f>IF(AG$7="Actual","",-(AG1003+AG1004))</f>
        <v/>
      </c>
      <c r="AH621" s="257">
        <f>IF(AH$7="Actual","",-(AH1003+AH1004))</f>
        <v/>
      </c>
      <c r="AI621" s="257">
        <f>IF(AI$7="Actual","",-(AI1003+AI1004))</f>
        <v/>
      </c>
      <c r="AJ621" s="257">
        <f>IF(AJ$7="Actual","",-(AJ1003+AJ1004))</f>
        <v/>
      </c>
      <c r="AK621" s="257">
        <f>IF(AK$7="Actual","",-(AK1003+AK1004))</f>
        <v/>
      </c>
      <c r="AL621" s="257">
        <f>IF(AL$7="Actual","",-(AL1003+AL1004))</f>
        <v/>
      </c>
      <c r="AM621" s="257">
        <f>IF(AM$7="Actual","",-(AM1003+AM1004))</f>
        <v/>
      </c>
      <c r="AN621" s="257">
        <f>IF(AN$7="Actual","",-(AN1003+AN1004))</f>
        <v/>
      </c>
      <c r="AO621" s="257">
        <f>IF(AO$7="Actual","",-(AO1003+AO1004))</f>
        <v/>
      </c>
      <c r="AP621" s="257">
        <f>IF(AP$7="Actual","",-(AP1003+AP1004))</f>
        <v/>
      </c>
      <c r="AQ621" s="257">
        <f>IF(AQ$7="Actual","",-(AQ1003+AQ1004))</f>
        <v/>
      </c>
      <c r="AR621" s="257">
        <f>IF(AR$7="Actual","",-(AR1003+AR1004))</f>
        <v/>
      </c>
      <c r="AS621" s="257">
        <f>IF(AS$7="Actual","",-(AS1003+AS1004))</f>
        <v/>
      </c>
      <c r="AT621" s="257">
        <f>IF(AT$7="Actual","",-(AT1003+AT1004))</f>
        <v/>
      </c>
      <c r="AU621" s="257">
        <f>IF(AU$7="Actual","",-(AU1003+AU1004))</f>
        <v/>
      </c>
      <c r="AV621" s="257">
        <f>IF(AV$7="Actual","",-(AV1003+AV1004))</f>
        <v/>
      </c>
      <c r="AW621" s="257">
        <f>IF(AW$7="Actual","",-(AW1003+AW1004))</f>
        <v/>
      </c>
      <c r="AX621" s="257">
        <f>IF(AX$7="Actual","",-(AX1003+AX1004))</f>
        <v/>
      </c>
      <c r="AY621" s="257">
        <f>IF(AY$7="Actual","",-(AY1003+AY1004))</f>
        <v/>
      </c>
      <c r="AZ621" s="257">
        <f>IF(AZ$7="Actual","",-(AZ1003+AZ1004))</f>
        <v/>
      </c>
      <c r="BA621" s="257">
        <f>IF(BA$7="Actual","",-(BA1003+BA1004))</f>
        <v/>
      </c>
      <c r="BB621" s="257">
        <f>IF(BB$7="Actual","",-(BB1003+BB1004))</f>
        <v/>
      </c>
      <c r="BC621" s="257">
        <f>IF(BC$7="Actual","",-(BC1003+BC1004))</f>
        <v/>
      </c>
      <c r="BD621" s="257">
        <f>IF(BD$7="Actual","",-(BD1003+BD1004))</f>
        <v/>
      </c>
      <c r="BE621" s="257">
        <f>IF(BE$7="Actual","",-(BE1003+BE1004))</f>
        <v/>
      </c>
      <c r="BF621" s="257">
        <f>IF(BF$7="Actual","",-(BF1003+BF1004))</f>
        <v/>
      </c>
      <c r="BG621" s="257">
        <f>IF(BG$7="Actual","",-(BG1003+BG1004))</f>
        <v/>
      </c>
      <c r="BH621" s="257">
        <f>IF(BH$7="Actual","",-(BH1003+BH1004))</f>
        <v/>
      </c>
      <c r="BI621" s="257">
        <f>IF(BI$7="Actual","",-(BI1003+BI1004))</f>
        <v/>
      </c>
      <c r="BJ621" s="257">
        <f>IF(BJ$7="Actual","",-(BJ1003+BJ1004))</f>
        <v/>
      </c>
      <c r="BK621" s="257">
        <f>IF(BK$7="Actual","",-(BK1003+BK1004))</f>
        <v/>
      </c>
      <c r="BL621" s="257">
        <f>IF(BL$7="Actual","",-(BL1003+BL1004))</f>
        <v/>
      </c>
      <c r="BM621" s="257">
        <f>IF(BM$7="Actual","",-(BM1003+BM1004))</f>
        <v/>
      </c>
      <c r="BN621" s="257">
        <f>IF(BN$7="Actual","",-(BN1003+BN1004))</f>
        <v/>
      </c>
      <c r="BO621" s="257">
        <f>IF(BO$7="Actual","",-(BO1003+BO1004))</f>
        <v/>
      </c>
      <c r="BP621" s="257">
        <f>IF(BP$7="Actual","",-(BP1003+BP1004))</f>
        <v/>
      </c>
      <c r="BQ621" s="257">
        <f>IF(BQ$7="Actual","",-(BQ1003+BQ1004))</f>
        <v/>
      </c>
      <c r="BR621" s="257">
        <f>IF(BR$7="Actual","",-(BR1003+BR1004))</f>
        <v/>
      </c>
      <c r="BS621" s="257">
        <f>IF(BS$7="Actual","",-(BS1003+BS1004))</f>
        <v/>
      </c>
      <c r="BT621" s="257">
        <f>IF(BT$7="Actual","",-(BT1003+BT1004))</f>
        <v/>
      </c>
      <c r="BU621" s="257">
        <f>IF(BU$7="Actual","",-(BU1003+BU1004))</f>
        <v/>
      </c>
      <c r="BV621" s="257">
        <f>IF(BV$7="Actual","",-(BV1003+BV1004))</f>
        <v/>
      </c>
      <c r="BW621" s="257">
        <f>IF(BW$7="Actual","",-(BW1003+BW1004))</f>
        <v/>
      </c>
      <c r="BX621" s="257">
        <f>IF(BX$7="Actual","",-(BX1003+BX1004))</f>
        <v/>
      </c>
      <c r="BY621" s="257">
        <f>IF(BY$7="Actual","",-(BY1003+BY1004))</f>
        <v/>
      </c>
      <c r="BZ621" s="257">
        <f>IF(BZ$7="Actual","",-(BZ1003+BZ1004))</f>
        <v/>
      </c>
      <c r="CA621" s="257">
        <f>IF(CA$7="Actual","",-(CA1003+CA1004))</f>
        <v/>
      </c>
    </row>
    <row r="622" ht="12" customHeight="1" s="227">
      <c r="A622" s="244" t="n"/>
      <c r="B622" s="244" t="n"/>
      <c r="C622" s="244" t="n"/>
      <c r="H622" s="8" t="n"/>
      <c r="I622" s="8" t="n"/>
      <c r="K622" s="6" t="n"/>
    </row>
    <row r="623" ht="12" customHeight="1" s="227">
      <c r="A623" s="244" t="n"/>
      <c r="B623" s="244" t="n"/>
      <c r="C623" s="244" t="n"/>
      <c r="H623" s="8" t="n"/>
      <c r="I623" s="8" t="n"/>
      <c r="K623" s="6" t="n"/>
    </row>
    <row r="624" ht="12" customHeight="1" s="227">
      <c r="A624" s="244" t="n"/>
      <c r="B624" s="244" t="n"/>
      <c r="C624" s="244" t="n"/>
      <c r="G624" s="222" t="inlineStr">
        <is>
          <t>Dividend Amount - Monthly Input</t>
        </is>
      </c>
      <c r="H624" s="8" t="n"/>
      <c r="I624" s="8" t="n"/>
      <c r="K624" s="6" t="n"/>
    </row>
    <row r="625" ht="12" customHeight="1" s="227">
      <c r="A625" s="244" t="n"/>
      <c r="B625" s="244" t="n"/>
      <c r="C625" s="244" t="n"/>
      <c r="H625" s="8" t="n"/>
      <c r="I625" s="8" t="n"/>
      <c r="K625" s="6" t="n"/>
    </row>
    <row r="626" ht="12" customHeight="1" s="227">
      <c r="A626" s="244" t="n"/>
      <c r="B626" s="244" t="n"/>
      <c r="C626" s="244" t="n"/>
      <c r="H626" s="0" t="inlineStr">
        <is>
          <t>Proposed Dividend</t>
        </is>
      </c>
      <c r="I626" s="27">
        <f>i_Setup!$M$16</f>
        <v/>
      </c>
      <c r="K626" s="6" t="n"/>
      <c r="T626" s="257">
        <f>IF(T$7="Actual","",i_Assumptions!T628)</f>
        <v/>
      </c>
      <c r="U626" s="257">
        <f>IF(U$7="Actual","",i_Assumptions!U628)</f>
        <v/>
      </c>
      <c r="V626" s="257">
        <f>IF(V$7="Actual","",i_Assumptions!V628)</f>
        <v/>
      </c>
      <c r="W626" s="257">
        <f>IF(W$7="Actual","",i_Assumptions!W628)</f>
        <v/>
      </c>
      <c r="X626" s="257">
        <f>IF(X$7="Actual","",i_Assumptions!X628)</f>
        <v/>
      </c>
      <c r="Y626" s="257">
        <f>IF(Y$7="Actual","",i_Assumptions!Y628)</f>
        <v/>
      </c>
      <c r="Z626" s="257">
        <f>IF(Z$7="Actual","",i_Assumptions!Z628)</f>
        <v/>
      </c>
      <c r="AA626" s="257">
        <f>IF(AA$7="Actual","",i_Assumptions!AA628)</f>
        <v/>
      </c>
      <c r="AB626" s="257">
        <f>IF(AB$7="Actual","",i_Assumptions!AB628)</f>
        <v/>
      </c>
      <c r="AC626" s="257">
        <f>IF(AC$7="Actual","",i_Assumptions!AC628)</f>
        <v/>
      </c>
      <c r="AD626" s="257">
        <f>IF(AD$7="Actual","",i_Assumptions!AD628)</f>
        <v/>
      </c>
      <c r="AE626" s="257">
        <f>IF(AE$7="Actual","",i_Assumptions!AE628)</f>
        <v/>
      </c>
      <c r="AF626" s="257">
        <f>IF(AF$7="Actual","",i_Assumptions!AF628)</f>
        <v/>
      </c>
      <c r="AG626" s="257">
        <f>IF(AG$7="Actual","",i_Assumptions!AG628)</f>
        <v/>
      </c>
      <c r="AH626" s="257">
        <f>IF(AH$7="Actual","",i_Assumptions!AH628)</f>
        <v/>
      </c>
      <c r="AI626" s="257">
        <f>IF(AI$7="Actual","",i_Assumptions!AI628)</f>
        <v/>
      </c>
      <c r="AJ626" s="257">
        <f>IF(AJ$7="Actual","",i_Assumptions!AJ628)</f>
        <v/>
      </c>
      <c r="AK626" s="257">
        <f>IF(AK$7="Actual","",i_Assumptions!AK628)</f>
        <v/>
      </c>
      <c r="AL626" s="257">
        <f>IF(AL$7="Actual","",i_Assumptions!AL628)</f>
        <v/>
      </c>
      <c r="AM626" s="257">
        <f>IF(AM$7="Actual","",i_Assumptions!AM628)</f>
        <v/>
      </c>
      <c r="AN626" s="257">
        <f>IF(AN$7="Actual","",i_Assumptions!AN628)</f>
        <v/>
      </c>
      <c r="AO626" s="257">
        <f>IF(AO$7="Actual","",i_Assumptions!AO628)</f>
        <v/>
      </c>
      <c r="AP626" s="257">
        <f>IF(AP$7="Actual","",i_Assumptions!AP628)</f>
        <v/>
      </c>
      <c r="AQ626" s="257">
        <f>IF(AQ$7="Actual","",i_Assumptions!AQ628)</f>
        <v/>
      </c>
      <c r="AR626" s="257">
        <f>IF(AR$7="Actual","",i_Assumptions!AR628)</f>
        <v/>
      </c>
      <c r="AS626" s="257">
        <f>IF(AS$7="Actual","",i_Assumptions!AS628)</f>
        <v/>
      </c>
      <c r="AT626" s="257">
        <f>IF(AT$7="Actual","",i_Assumptions!AT628)</f>
        <v/>
      </c>
      <c r="AU626" s="257">
        <f>IF(AU$7="Actual","",i_Assumptions!AU628)</f>
        <v/>
      </c>
      <c r="AV626" s="257">
        <f>IF(AV$7="Actual","",i_Assumptions!AV628)</f>
        <v/>
      </c>
      <c r="AW626" s="257">
        <f>IF(AW$7="Actual","",i_Assumptions!AW628)</f>
        <v/>
      </c>
      <c r="AX626" s="257">
        <f>IF(AX$7="Actual","",i_Assumptions!AX628)</f>
        <v/>
      </c>
      <c r="AY626" s="257">
        <f>IF(AY$7="Actual","",i_Assumptions!AY628)</f>
        <v/>
      </c>
      <c r="AZ626" s="257">
        <f>IF(AZ$7="Actual","",i_Assumptions!AZ628)</f>
        <v/>
      </c>
      <c r="BA626" s="257">
        <f>IF(BA$7="Actual","",i_Assumptions!BA628)</f>
        <v/>
      </c>
      <c r="BB626" s="257">
        <f>IF(BB$7="Actual","",i_Assumptions!BB628)</f>
        <v/>
      </c>
      <c r="BC626" s="257">
        <f>IF(BC$7="Actual","",i_Assumptions!BC628)</f>
        <v/>
      </c>
      <c r="BD626" s="257">
        <f>IF(BD$7="Actual","",i_Assumptions!BD628)</f>
        <v/>
      </c>
      <c r="BE626" s="257">
        <f>IF(BE$7="Actual","",i_Assumptions!BE628)</f>
        <v/>
      </c>
      <c r="BF626" s="257">
        <f>IF(BF$7="Actual","",i_Assumptions!BF628)</f>
        <v/>
      </c>
      <c r="BG626" s="257">
        <f>IF(BG$7="Actual","",i_Assumptions!BG628)</f>
        <v/>
      </c>
      <c r="BH626" s="257">
        <f>IF(BH$7="Actual","",i_Assumptions!BH628)</f>
        <v/>
      </c>
      <c r="BI626" s="257">
        <f>IF(BI$7="Actual","",i_Assumptions!BI628)</f>
        <v/>
      </c>
      <c r="BJ626" s="257">
        <f>IF(BJ$7="Actual","",i_Assumptions!BJ628)</f>
        <v/>
      </c>
      <c r="BK626" s="257">
        <f>IF(BK$7="Actual","",i_Assumptions!BK628)</f>
        <v/>
      </c>
      <c r="BL626" s="257">
        <f>IF(BL$7="Actual","",i_Assumptions!BL628)</f>
        <v/>
      </c>
      <c r="BM626" s="257">
        <f>IF(BM$7="Actual","",i_Assumptions!BM628)</f>
        <v/>
      </c>
      <c r="BN626" s="257">
        <f>IF(BN$7="Actual","",i_Assumptions!BN628)</f>
        <v/>
      </c>
      <c r="BO626" s="257">
        <f>IF(BO$7="Actual","",i_Assumptions!BO628)</f>
        <v/>
      </c>
      <c r="BP626" s="257">
        <f>IF(BP$7="Actual","",i_Assumptions!BP628)</f>
        <v/>
      </c>
      <c r="BQ626" s="257">
        <f>IF(BQ$7="Actual","",i_Assumptions!BQ628)</f>
        <v/>
      </c>
      <c r="BR626" s="257">
        <f>IF(BR$7="Actual","",i_Assumptions!BR628)</f>
        <v/>
      </c>
      <c r="BS626" s="257">
        <f>IF(BS$7="Actual","",i_Assumptions!BS628)</f>
        <v/>
      </c>
      <c r="BT626" s="257">
        <f>IF(BT$7="Actual","",i_Assumptions!BT628)</f>
        <v/>
      </c>
      <c r="BU626" s="257">
        <f>IF(BU$7="Actual","",i_Assumptions!BU628)</f>
        <v/>
      </c>
      <c r="BV626" s="257">
        <f>IF(BV$7="Actual","",i_Assumptions!BV628)</f>
        <v/>
      </c>
      <c r="BW626" s="257">
        <f>IF(BW$7="Actual","",i_Assumptions!BW628)</f>
        <v/>
      </c>
      <c r="BX626" s="257">
        <f>IF(BX$7="Actual","",i_Assumptions!BX628)</f>
        <v/>
      </c>
      <c r="BY626" s="257">
        <f>IF(BY$7="Actual","",i_Assumptions!BY628)</f>
        <v/>
      </c>
      <c r="BZ626" s="257">
        <f>IF(BZ$7="Actual","",i_Assumptions!BZ628)</f>
        <v/>
      </c>
      <c r="CA626" s="257">
        <f>IF(CA$7="Actual","",i_Assumptions!CA628)</f>
        <v/>
      </c>
    </row>
    <row r="627" ht="12" customHeight="1" s="227">
      <c r="A627" s="244" t="n"/>
      <c r="B627" s="244" t="n"/>
      <c r="C627" s="244" t="n"/>
      <c r="H627" s="0" t="inlineStr">
        <is>
          <t>Paid Dividend</t>
        </is>
      </c>
      <c r="I627" s="27">
        <f>i_Setup!$M$16</f>
        <v/>
      </c>
      <c r="K627" s="6" t="n"/>
      <c r="T627" s="245">
        <f>IF(T$7="Actual","",IF(AND(T626&lt;&gt;0,T620&gt;0,T621&gt;0),MIN(T626,T620,T621),0))</f>
        <v/>
      </c>
      <c r="U627" s="245">
        <f>IF(U$7="Actual","",IF(AND(U626&lt;&gt;0,U620&gt;0,U621&gt;0),MIN(U626,U620,U621),0))</f>
        <v/>
      </c>
      <c r="V627" s="245">
        <f>IF(V$7="Actual","",IF(AND(V626&lt;&gt;0,V620&gt;0,V621&gt;0),MIN(V626,V620,V621),0))</f>
        <v/>
      </c>
      <c r="W627" s="245">
        <f>IF(W$7="Actual","",IF(AND(W626&lt;&gt;0,W620&gt;0,W621&gt;0),MIN(W626,W620,W621),0))</f>
        <v/>
      </c>
      <c r="X627" s="245">
        <f>IF(X$7="Actual","",IF(AND(X626&lt;&gt;0,X620&gt;0,X621&gt;0),MIN(X626,X620,X621),0))</f>
        <v/>
      </c>
      <c r="Y627" s="245">
        <f>IF(Y$7="Actual","",IF(AND(Y626&lt;&gt;0,Y620&gt;0,Y621&gt;0),MIN(Y626,Y620,Y621),0))</f>
        <v/>
      </c>
      <c r="Z627" s="245">
        <f>IF(Z$7="Actual","",IF(AND(Z626&lt;&gt;0,Z620&gt;0,Z621&gt;0),MIN(Z626,Z620,Z621),0))</f>
        <v/>
      </c>
      <c r="AA627" s="245">
        <f>IF(AA$7="Actual","",IF(AND(AA626&lt;&gt;0,AA620&gt;0,AA621&gt;0),MIN(AA626,AA620,AA621),0))</f>
        <v/>
      </c>
      <c r="AB627" s="245">
        <f>IF(AB$7="Actual","",IF(AND(AB626&lt;&gt;0,AB620&gt;0,AB621&gt;0),MIN(AB626,AB620,AB621),0))</f>
        <v/>
      </c>
      <c r="AC627" s="245">
        <f>IF(AC$7="Actual","",IF(AND(AC626&lt;&gt;0,AC620&gt;0,AC621&gt;0),MIN(AC626,AC620,AC621),0))</f>
        <v/>
      </c>
      <c r="AD627" s="245">
        <f>IF(AD$7="Actual","",IF(AND(AD626&lt;&gt;0,AD620&gt;0,AD621&gt;0),MIN(AD626,AD620,AD621),0))</f>
        <v/>
      </c>
      <c r="AE627" s="245">
        <f>IF(AE$7="Actual","",IF(AND(AE626&lt;&gt;0,AE620&gt;0,AE621&gt;0),MIN(AE626,AE620,AE621),0))</f>
        <v/>
      </c>
      <c r="AF627" s="245">
        <f>IF(AF$7="Actual","",IF(AND(AF626&lt;&gt;0,AF620&gt;0,AF621&gt;0),MIN(AF626,AF620,AF621),0))</f>
        <v/>
      </c>
      <c r="AG627" s="245">
        <f>IF(AG$7="Actual","",IF(AND(AG626&lt;&gt;0,AG620&gt;0,AG621&gt;0),MIN(AG626,AG620,AG621),0))</f>
        <v/>
      </c>
      <c r="AH627" s="245">
        <f>IF(AH$7="Actual","",IF(AND(AH626&lt;&gt;0,AH620&gt;0,AH621&gt;0),MIN(AH626,AH620,AH621),0))</f>
        <v/>
      </c>
      <c r="AI627" s="245">
        <f>IF(AI$7="Actual","",IF(AND(AI626&lt;&gt;0,AI620&gt;0,AI621&gt;0),MIN(AI626,AI620,AI621),0))</f>
        <v/>
      </c>
      <c r="AJ627" s="245">
        <f>IF(AJ$7="Actual","",IF(AND(AJ626&lt;&gt;0,AJ620&gt;0,AJ621&gt;0),MIN(AJ626,AJ620,AJ621),0))</f>
        <v/>
      </c>
      <c r="AK627" s="245">
        <f>IF(AK$7="Actual","",IF(AND(AK626&lt;&gt;0,AK620&gt;0,AK621&gt;0),MIN(AK626,AK620,AK621),0))</f>
        <v/>
      </c>
      <c r="AL627" s="245">
        <f>IF(AL$7="Actual","",IF(AND(AL626&lt;&gt;0,AL620&gt;0,AL621&gt;0),MIN(AL626,AL620,AL621),0))</f>
        <v/>
      </c>
      <c r="AM627" s="245">
        <f>IF(AM$7="Actual","",IF(AND(AM626&lt;&gt;0,AM620&gt;0,AM621&gt;0),MIN(AM626,AM620,AM621),0))</f>
        <v/>
      </c>
      <c r="AN627" s="245">
        <f>IF(AN$7="Actual","",IF(AND(AN626&lt;&gt;0,AN620&gt;0,AN621&gt;0),MIN(AN626,AN620,AN621),0))</f>
        <v/>
      </c>
      <c r="AO627" s="245">
        <f>IF(AO$7="Actual","",IF(AND(AO626&lt;&gt;0,AO620&gt;0,AO621&gt;0),MIN(AO626,AO620,AO621),0))</f>
        <v/>
      </c>
      <c r="AP627" s="245">
        <f>IF(AP$7="Actual","",IF(AND(AP626&lt;&gt;0,AP620&gt;0,AP621&gt;0),MIN(AP626,AP620,AP621),0))</f>
        <v/>
      </c>
      <c r="AQ627" s="245">
        <f>IF(AQ$7="Actual","",IF(AND(AQ626&lt;&gt;0,AQ620&gt;0,AQ621&gt;0),MIN(AQ626,AQ620,AQ621),0))</f>
        <v/>
      </c>
      <c r="AR627" s="245">
        <f>IF(AR$7="Actual","",IF(AND(AR626&lt;&gt;0,AR620&gt;0,AR621&gt;0),MIN(AR626,AR620,AR621),0))</f>
        <v/>
      </c>
      <c r="AS627" s="245">
        <f>IF(AS$7="Actual","",IF(AND(AS626&lt;&gt;0,AS620&gt;0,AS621&gt;0),MIN(AS626,AS620,AS621),0))</f>
        <v/>
      </c>
      <c r="AT627" s="245">
        <f>IF(AT$7="Actual","",IF(AND(AT626&lt;&gt;0,AT620&gt;0,AT621&gt;0),MIN(AT626,AT620,AT621),0))</f>
        <v/>
      </c>
      <c r="AU627" s="245">
        <f>IF(AU$7="Actual","",IF(AND(AU626&lt;&gt;0,AU620&gt;0,AU621&gt;0),MIN(AU626,AU620,AU621),0))</f>
        <v/>
      </c>
      <c r="AV627" s="245">
        <f>IF(AV$7="Actual","",IF(AND(AV626&lt;&gt;0,AV620&gt;0,AV621&gt;0),MIN(AV626,AV620,AV621),0))</f>
        <v/>
      </c>
      <c r="AW627" s="245">
        <f>IF(AW$7="Actual","",IF(AND(AW626&lt;&gt;0,AW620&gt;0,AW621&gt;0),MIN(AW626,AW620,AW621),0))</f>
        <v/>
      </c>
      <c r="AX627" s="245">
        <f>IF(AX$7="Actual","",IF(AND(AX626&lt;&gt;0,AX620&gt;0,AX621&gt;0),MIN(AX626,AX620,AX621),0))</f>
        <v/>
      </c>
      <c r="AY627" s="245">
        <f>IF(AY$7="Actual","",IF(AND(AY626&lt;&gt;0,AY620&gt;0,AY621&gt;0),MIN(AY626,AY620,AY621),0))</f>
        <v/>
      </c>
      <c r="AZ627" s="245">
        <f>IF(AZ$7="Actual","",IF(AND(AZ626&lt;&gt;0,AZ620&gt;0,AZ621&gt;0),MIN(AZ626,AZ620,AZ621),0))</f>
        <v/>
      </c>
      <c r="BA627" s="245">
        <f>IF(BA$7="Actual","",IF(AND(BA626&lt;&gt;0,BA620&gt;0,BA621&gt;0),MIN(BA626,BA620,BA621),0))</f>
        <v/>
      </c>
      <c r="BB627" s="245">
        <f>IF(BB$7="Actual","",IF(AND(BB626&lt;&gt;0,BB620&gt;0,BB621&gt;0),MIN(BB626,BB620,BB621),0))</f>
        <v/>
      </c>
      <c r="BC627" s="245">
        <f>IF(BC$7="Actual","",IF(AND(BC626&lt;&gt;0,BC620&gt;0,BC621&gt;0),MIN(BC626,BC620,BC621),0))</f>
        <v/>
      </c>
      <c r="BD627" s="245">
        <f>IF(BD$7="Actual","",IF(AND(BD626&lt;&gt;0,BD620&gt;0,BD621&gt;0),MIN(BD626,BD620,BD621),0))</f>
        <v/>
      </c>
      <c r="BE627" s="245">
        <f>IF(BE$7="Actual","",IF(AND(BE626&lt;&gt;0,BE620&gt;0,BE621&gt;0),MIN(BE626,BE620,BE621),0))</f>
        <v/>
      </c>
      <c r="BF627" s="245">
        <f>IF(BF$7="Actual","",IF(AND(BF626&lt;&gt;0,BF620&gt;0,BF621&gt;0),MIN(BF626,BF620,BF621),0))</f>
        <v/>
      </c>
      <c r="BG627" s="245">
        <f>IF(BG$7="Actual","",IF(AND(BG626&lt;&gt;0,BG620&gt;0,BG621&gt;0),MIN(BG626,BG620,BG621),0))</f>
        <v/>
      </c>
      <c r="BH627" s="245">
        <f>IF(BH$7="Actual","",IF(AND(BH626&lt;&gt;0,BH620&gt;0,BH621&gt;0),MIN(BH626,BH620,BH621),0))</f>
        <v/>
      </c>
      <c r="BI627" s="245">
        <f>IF(BI$7="Actual","",IF(AND(BI626&lt;&gt;0,BI620&gt;0,BI621&gt;0),MIN(BI626,BI620,BI621),0))</f>
        <v/>
      </c>
      <c r="BJ627" s="245">
        <f>IF(BJ$7="Actual","",IF(AND(BJ626&lt;&gt;0,BJ620&gt;0,BJ621&gt;0),MIN(BJ626,BJ620,BJ621),0))</f>
        <v/>
      </c>
      <c r="BK627" s="245">
        <f>IF(BK$7="Actual","",IF(AND(BK626&lt;&gt;0,BK620&gt;0,BK621&gt;0),MIN(BK626,BK620,BK621),0))</f>
        <v/>
      </c>
      <c r="BL627" s="245">
        <f>IF(BL$7="Actual","",IF(AND(BL626&lt;&gt;0,BL620&gt;0,BL621&gt;0),MIN(BL626,BL620,BL621),0))</f>
        <v/>
      </c>
      <c r="BM627" s="245">
        <f>IF(BM$7="Actual","",IF(AND(BM626&lt;&gt;0,BM620&gt;0,BM621&gt;0),MIN(BM626,BM620,BM621),0))</f>
        <v/>
      </c>
      <c r="BN627" s="245">
        <f>IF(BN$7="Actual","",IF(AND(BN626&lt;&gt;0,BN620&gt;0,BN621&gt;0),MIN(BN626,BN620,BN621),0))</f>
        <v/>
      </c>
      <c r="BO627" s="245">
        <f>IF(BO$7="Actual","",IF(AND(BO626&lt;&gt;0,BO620&gt;0,BO621&gt;0),MIN(BO626,BO620,BO621),0))</f>
        <v/>
      </c>
      <c r="BP627" s="245">
        <f>IF(BP$7="Actual","",IF(AND(BP626&lt;&gt;0,BP620&gt;0,BP621&gt;0),MIN(BP626,BP620,BP621),0))</f>
        <v/>
      </c>
      <c r="BQ627" s="245">
        <f>IF(BQ$7="Actual","",IF(AND(BQ626&lt;&gt;0,BQ620&gt;0,BQ621&gt;0),MIN(BQ626,BQ620,BQ621),0))</f>
        <v/>
      </c>
      <c r="BR627" s="245">
        <f>IF(BR$7="Actual","",IF(AND(BR626&lt;&gt;0,BR620&gt;0,BR621&gt;0),MIN(BR626,BR620,BR621),0))</f>
        <v/>
      </c>
      <c r="BS627" s="245">
        <f>IF(BS$7="Actual","",IF(AND(BS626&lt;&gt;0,BS620&gt;0,BS621&gt;0),MIN(BS626,BS620,BS621),0))</f>
        <v/>
      </c>
      <c r="BT627" s="245">
        <f>IF(BT$7="Actual","",IF(AND(BT626&lt;&gt;0,BT620&gt;0,BT621&gt;0),MIN(BT626,BT620,BT621),0))</f>
        <v/>
      </c>
      <c r="BU627" s="245">
        <f>IF(BU$7="Actual","",IF(AND(BU626&lt;&gt;0,BU620&gt;0,BU621&gt;0),MIN(BU626,BU620,BU621),0))</f>
        <v/>
      </c>
      <c r="BV627" s="245">
        <f>IF(BV$7="Actual","",IF(AND(BV626&lt;&gt;0,BV620&gt;0,BV621&gt;0),MIN(BV626,BV620,BV621),0))</f>
        <v/>
      </c>
      <c r="BW627" s="245">
        <f>IF(BW$7="Actual","",IF(AND(BW626&lt;&gt;0,BW620&gt;0,BW621&gt;0),MIN(BW626,BW620,BW621),0))</f>
        <v/>
      </c>
      <c r="BX627" s="245">
        <f>IF(BX$7="Actual","",IF(AND(BX626&lt;&gt;0,BX620&gt;0,BX621&gt;0),MIN(BX626,BX620,BX621),0))</f>
        <v/>
      </c>
      <c r="BY627" s="245">
        <f>IF(BY$7="Actual","",IF(AND(BY626&lt;&gt;0,BY620&gt;0,BY621&gt;0),MIN(BY626,BY620,BY621),0))</f>
        <v/>
      </c>
      <c r="BZ627" s="245">
        <f>IF(BZ$7="Actual","",IF(AND(BZ626&lt;&gt;0,BZ620&gt;0,BZ621&gt;0),MIN(BZ626,BZ620,BZ621),0))</f>
        <v/>
      </c>
      <c r="CA627" s="245">
        <f>IF(CA$7="Actual","",IF(AND(CA626&lt;&gt;0,CA620&gt;0,CA621&gt;0),MIN(CA626,CA620,CA621),0))</f>
        <v/>
      </c>
    </row>
    <row r="628" ht="12" customHeight="1" s="227">
      <c r="A628" s="244" t="n"/>
      <c r="B628" s="244" t="n"/>
      <c r="C628" s="244" t="n"/>
      <c r="H628" s="8" t="n"/>
      <c r="I628" s="8" t="n"/>
      <c r="K628" s="6" t="n"/>
    </row>
    <row r="629" ht="12" customHeight="1" s="227">
      <c r="A629" s="244" t="n"/>
      <c r="B629" s="244" t="n"/>
      <c r="C629" s="244" t="n"/>
      <c r="H629" s="8" t="n"/>
      <c r="I629" s="8" t="n"/>
      <c r="K629" s="6" t="n"/>
    </row>
    <row r="630" ht="12" customHeight="1" s="227">
      <c r="A630" s="244" t="n"/>
      <c r="B630" s="244" t="n"/>
      <c r="C630" s="244" t="n"/>
      <c r="G630" s="222" t="inlineStr">
        <is>
          <t>Dividend Amount - % of Retained Earnings</t>
        </is>
      </c>
      <c r="K630" s="6" t="n"/>
    </row>
    <row r="631" ht="12" customHeight="1" s="227">
      <c r="A631" s="244" t="n"/>
      <c r="B631" s="244" t="n"/>
      <c r="C631" s="244" t="n"/>
      <c r="K631" s="6" t="n"/>
    </row>
    <row r="632" ht="12" customHeight="1" s="227">
      <c r="A632" s="244" t="n"/>
      <c r="B632" s="244" t="n"/>
      <c r="C632" s="244" t="n"/>
      <c r="H632" s="0" t="inlineStr">
        <is>
          <t>Payment Flag</t>
        </is>
      </c>
      <c r="I632" s="27" t="inlineStr">
        <is>
          <t>no.</t>
        </is>
      </c>
      <c r="K632" s="152">
        <f>i_Assumptions!K623</f>
        <v/>
      </c>
      <c r="M632" s="245" t="n"/>
      <c r="N632" s="245" t="n"/>
      <c r="O632" s="245" t="n"/>
      <c r="P632" s="245" t="n"/>
      <c r="Q632" s="245" t="n"/>
      <c r="T632" s="245">
        <f>IF(T$7="Actual","",IF($K632="Semi-Annually",IF(OR(T$5=6,T$5=12),1,0),IF(T$5=12,1,0)))</f>
        <v/>
      </c>
      <c r="U632" s="245">
        <f>IF(U$7="Actual","",IF($K632="Semi-Annually",IF(OR(U$5=6,U$5=12),1,0),IF(U$5=12,1,0)))</f>
        <v/>
      </c>
      <c r="V632" s="245">
        <f>IF(V$7="Actual","",IF($K632="Semi-Annually",IF(OR(V$5=6,V$5=12),1,0),IF(V$5=12,1,0)))</f>
        <v/>
      </c>
      <c r="W632" s="245">
        <f>IF(W$7="Actual","",IF($K632="Semi-Annually",IF(OR(W$5=6,W$5=12),1,0),IF(W$5=12,1,0)))</f>
        <v/>
      </c>
      <c r="X632" s="245">
        <f>IF(X$7="Actual","",IF($K632="Semi-Annually",IF(OR(X$5=6,X$5=12),1,0),IF(X$5=12,1,0)))</f>
        <v/>
      </c>
      <c r="Y632" s="245">
        <f>IF(Y$7="Actual","",IF($K632="Semi-Annually",IF(OR(Y$5=6,Y$5=12),1,0),IF(Y$5=12,1,0)))</f>
        <v/>
      </c>
      <c r="Z632" s="245">
        <f>IF(Z$7="Actual","",IF($K632="Semi-Annually",IF(OR(Z$5=6,Z$5=12),1,0),IF(Z$5=12,1,0)))</f>
        <v/>
      </c>
      <c r="AA632" s="245">
        <f>IF(AA$7="Actual","",IF($K632="Semi-Annually",IF(OR(AA$5=6,AA$5=12),1,0),IF(AA$5=12,1,0)))</f>
        <v/>
      </c>
      <c r="AB632" s="245">
        <f>IF(AB$7="Actual","",IF($K632="Semi-Annually",IF(OR(AB$5=6,AB$5=12),1,0),IF(AB$5=12,1,0)))</f>
        <v/>
      </c>
      <c r="AC632" s="245">
        <f>IF(AC$7="Actual","",IF($K632="Semi-Annually",IF(OR(AC$5=6,AC$5=12),1,0),IF(AC$5=12,1,0)))</f>
        <v/>
      </c>
      <c r="AD632" s="245">
        <f>IF(AD$7="Actual","",IF($K632="Semi-Annually",IF(OR(AD$5=6,AD$5=12),1,0),IF(AD$5=12,1,0)))</f>
        <v/>
      </c>
      <c r="AE632" s="245">
        <f>IF(AE$7="Actual","",IF($K632="Semi-Annually",IF(OR(AE$5=6,AE$5=12),1,0),IF(AE$5=12,1,0)))</f>
        <v/>
      </c>
      <c r="AF632" s="245">
        <f>IF(AF$7="Actual","",IF($K632="Semi-Annually",IF(OR(AF$5=6,AF$5=12),1,0),IF(AF$5=12,1,0)))</f>
        <v/>
      </c>
      <c r="AG632" s="245">
        <f>IF(AG$7="Actual","",IF($K632="Semi-Annually",IF(OR(AG$5=6,AG$5=12),1,0),IF(AG$5=12,1,0)))</f>
        <v/>
      </c>
      <c r="AH632" s="245">
        <f>IF(AH$7="Actual","",IF($K632="Semi-Annually",IF(OR(AH$5=6,AH$5=12),1,0),IF(AH$5=12,1,0)))</f>
        <v/>
      </c>
      <c r="AI632" s="245">
        <f>IF(AI$7="Actual","",IF($K632="Semi-Annually",IF(OR(AI$5=6,AI$5=12),1,0),IF(AI$5=12,1,0)))</f>
        <v/>
      </c>
      <c r="AJ632" s="245">
        <f>IF(AJ$7="Actual","",IF($K632="Semi-Annually",IF(OR(AJ$5=6,AJ$5=12),1,0),IF(AJ$5=12,1,0)))</f>
        <v/>
      </c>
      <c r="AK632" s="245">
        <f>IF(AK$7="Actual","",IF($K632="Semi-Annually",IF(OR(AK$5=6,AK$5=12),1,0),IF(AK$5=12,1,0)))</f>
        <v/>
      </c>
      <c r="AL632" s="245">
        <f>IF(AL$7="Actual","",IF($K632="Semi-Annually",IF(OR(AL$5=6,AL$5=12),1,0),IF(AL$5=12,1,0)))</f>
        <v/>
      </c>
      <c r="AM632" s="245">
        <f>IF(AM$7="Actual","",IF($K632="Semi-Annually",IF(OR(AM$5=6,AM$5=12),1,0),IF(AM$5=12,1,0)))</f>
        <v/>
      </c>
      <c r="AN632" s="245">
        <f>IF(AN$7="Actual","",IF($K632="Semi-Annually",IF(OR(AN$5=6,AN$5=12),1,0),IF(AN$5=12,1,0)))</f>
        <v/>
      </c>
      <c r="AO632" s="245">
        <f>IF(AO$7="Actual","",IF($K632="Semi-Annually",IF(OR(AO$5=6,AO$5=12),1,0),IF(AO$5=12,1,0)))</f>
        <v/>
      </c>
      <c r="AP632" s="245">
        <f>IF(AP$7="Actual","",IF($K632="Semi-Annually",IF(OR(AP$5=6,AP$5=12),1,0),IF(AP$5=12,1,0)))</f>
        <v/>
      </c>
      <c r="AQ632" s="245">
        <f>IF(AQ$7="Actual","",IF($K632="Semi-Annually",IF(OR(AQ$5=6,AQ$5=12),1,0),IF(AQ$5=12,1,0)))</f>
        <v/>
      </c>
      <c r="AR632" s="245">
        <f>IF(AR$7="Actual","",IF($K632="Semi-Annually",IF(OR(AR$5=6,AR$5=12),1,0),IF(AR$5=12,1,0)))</f>
        <v/>
      </c>
      <c r="AS632" s="245">
        <f>IF(AS$7="Actual","",IF($K632="Semi-Annually",IF(OR(AS$5=6,AS$5=12),1,0),IF(AS$5=12,1,0)))</f>
        <v/>
      </c>
      <c r="AT632" s="245">
        <f>IF(AT$7="Actual","",IF($K632="Semi-Annually",IF(OR(AT$5=6,AT$5=12),1,0),IF(AT$5=12,1,0)))</f>
        <v/>
      </c>
      <c r="AU632" s="245">
        <f>IF(AU$7="Actual","",IF($K632="Semi-Annually",IF(OR(AU$5=6,AU$5=12),1,0),IF(AU$5=12,1,0)))</f>
        <v/>
      </c>
      <c r="AV632" s="245">
        <f>IF(AV$7="Actual","",IF($K632="Semi-Annually",IF(OR(AV$5=6,AV$5=12),1,0),IF(AV$5=12,1,0)))</f>
        <v/>
      </c>
      <c r="AW632" s="245">
        <f>IF(AW$7="Actual","",IF($K632="Semi-Annually",IF(OR(AW$5=6,AW$5=12),1,0),IF(AW$5=12,1,0)))</f>
        <v/>
      </c>
      <c r="AX632" s="245">
        <f>IF(AX$7="Actual","",IF($K632="Semi-Annually",IF(OR(AX$5=6,AX$5=12),1,0),IF(AX$5=12,1,0)))</f>
        <v/>
      </c>
      <c r="AY632" s="245">
        <f>IF(AY$7="Actual","",IF($K632="Semi-Annually",IF(OR(AY$5=6,AY$5=12),1,0),IF(AY$5=12,1,0)))</f>
        <v/>
      </c>
      <c r="AZ632" s="245">
        <f>IF(AZ$7="Actual","",IF($K632="Semi-Annually",IF(OR(AZ$5=6,AZ$5=12),1,0),IF(AZ$5=12,1,0)))</f>
        <v/>
      </c>
      <c r="BA632" s="245">
        <f>IF(BA$7="Actual","",IF($K632="Semi-Annually",IF(OR(BA$5=6,BA$5=12),1,0),IF(BA$5=12,1,0)))</f>
        <v/>
      </c>
      <c r="BB632" s="245">
        <f>IF(BB$7="Actual","",IF($K632="Semi-Annually",IF(OR(BB$5=6,BB$5=12),1,0),IF(BB$5=12,1,0)))</f>
        <v/>
      </c>
      <c r="BC632" s="245">
        <f>IF(BC$7="Actual","",IF($K632="Semi-Annually",IF(OR(BC$5=6,BC$5=12),1,0),IF(BC$5=12,1,0)))</f>
        <v/>
      </c>
      <c r="BD632" s="245">
        <f>IF(BD$7="Actual","",IF($K632="Semi-Annually",IF(OR(BD$5=6,BD$5=12),1,0),IF(BD$5=12,1,0)))</f>
        <v/>
      </c>
      <c r="BE632" s="245">
        <f>IF(BE$7="Actual","",IF($K632="Semi-Annually",IF(OR(BE$5=6,BE$5=12),1,0),IF(BE$5=12,1,0)))</f>
        <v/>
      </c>
      <c r="BF632" s="245">
        <f>IF(BF$7="Actual","",IF($K632="Semi-Annually",IF(OR(BF$5=6,BF$5=12),1,0),IF(BF$5=12,1,0)))</f>
        <v/>
      </c>
      <c r="BG632" s="245">
        <f>IF(BG$7="Actual","",IF($K632="Semi-Annually",IF(OR(BG$5=6,BG$5=12),1,0),IF(BG$5=12,1,0)))</f>
        <v/>
      </c>
      <c r="BH632" s="245">
        <f>IF(BH$7="Actual","",IF($K632="Semi-Annually",IF(OR(BH$5=6,BH$5=12),1,0),IF(BH$5=12,1,0)))</f>
        <v/>
      </c>
      <c r="BI632" s="245">
        <f>IF(BI$7="Actual","",IF($K632="Semi-Annually",IF(OR(BI$5=6,BI$5=12),1,0),IF(BI$5=12,1,0)))</f>
        <v/>
      </c>
      <c r="BJ632" s="245">
        <f>IF(BJ$7="Actual","",IF($K632="Semi-Annually",IF(OR(BJ$5=6,BJ$5=12),1,0),IF(BJ$5=12,1,0)))</f>
        <v/>
      </c>
      <c r="BK632" s="245">
        <f>IF(BK$7="Actual","",IF($K632="Semi-Annually",IF(OR(BK$5=6,BK$5=12),1,0),IF(BK$5=12,1,0)))</f>
        <v/>
      </c>
      <c r="BL632" s="245">
        <f>IF(BL$7="Actual","",IF($K632="Semi-Annually",IF(OR(BL$5=6,BL$5=12),1,0),IF(BL$5=12,1,0)))</f>
        <v/>
      </c>
      <c r="BM632" s="245">
        <f>IF(BM$7="Actual","",IF($K632="Semi-Annually",IF(OR(BM$5=6,BM$5=12),1,0),IF(BM$5=12,1,0)))</f>
        <v/>
      </c>
      <c r="BN632" s="245">
        <f>IF(BN$7="Actual","",IF($K632="Semi-Annually",IF(OR(BN$5=6,BN$5=12),1,0),IF(BN$5=12,1,0)))</f>
        <v/>
      </c>
      <c r="BO632" s="245">
        <f>IF(BO$7="Actual","",IF($K632="Semi-Annually",IF(OR(BO$5=6,BO$5=12),1,0),IF(BO$5=12,1,0)))</f>
        <v/>
      </c>
      <c r="BP632" s="245">
        <f>IF(BP$7="Actual","",IF($K632="Semi-Annually",IF(OR(BP$5=6,BP$5=12),1,0),IF(BP$5=12,1,0)))</f>
        <v/>
      </c>
      <c r="BQ632" s="245">
        <f>IF(BQ$7="Actual","",IF($K632="Semi-Annually",IF(OR(BQ$5=6,BQ$5=12),1,0),IF(BQ$5=12,1,0)))</f>
        <v/>
      </c>
      <c r="BR632" s="245">
        <f>IF(BR$7="Actual","",IF($K632="Semi-Annually",IF(OR(BR$5=6,BR$5=12),1,0),IF(BR$5=12,1,0)))</f>
        <v/>
      </c>
      <c r="BS632" s="245">
        <f>IF(BS$7="Actual","",IF($K632="Semi-Annually",IF(OR(BS$5=6,BS$5=12),1,0),IF(BS$5=12,1,0)))</f>
        <v/>
      </c>
      <c r="BT632" s="245">
        <f>IF(BT$7="Actual","",IF($K632="Semi-Annually",IF(OR(BT$5=6,BT$5=12),1,0),IF(BT$5=12,1,0)))</f>
        <v/>
      </c>
      <c r="BU632" s="245">
        <f>IF(BU$7="Actual","",IF($K632="Semi-Annually",IF(OR(BU$5=6,BU$5=12),1,0),IF(BU$5=12,1,0)))</f>
        <v/>
      </c>
      <c r="BV632" s="245">
        <f>IF(BV$7="Actual","",IF($K632="Semi-Annually",IF(OR(BV$5=6,BV$5=12),1,0),IF(BV$5=12,1,0)))</f>
        <v/>
      </c>
      <c r="BW632" s="245">
        <f>IF(BW$7="Actual","",IF($K632="Semi-Annually",IF(OR(BW$5=6,BW$5=12),1,0),IF(BW$5=12,1,0)))</f>
        <v/>
      </c>
      <c r="BX632" s="245">
        <f>IF(BX$7="Actual","",IF($K632="Semi-Annually",IF(OR(BX$5=6,BX$5=12),1,0),IF(BX$5=12,1,0)))</f>
        <v/>
      </c>
      <c r="BY632" s="245">
        <f>IF(BY$7="Actual","",IF($K632="Semi-Annually",IF(OR(BY$5=6,BY$5=12),1,0),IF(BY$5=12,1,0)))</f>
        <v/>
      </c>
      <c r="BZ632" s="245">
        <f>IF(BZ$7="Actual","",IF($K632="Semi-Annually",IF(OR(BZ$5=6,BZ$5=12),1,0),IF(BZ$5=12,1,0)))</f>
        <v/>
      </c>
      <c r="CA632" s="245">
        <f>IF(CA$7="Actual","",IF($K632="Semi-Annually",IF(OR(CA$5=6,CA$5=12),1,0),IF(CA$5=12,1,0)))</f>
        <v/>
      </c>
    </row>
    <row r="633" ht="12" customHeight="1" s="227">
      <c r="A633" s="244" t="n"/>
      <c r="B633" s="244" t="n"/>
      <c r="C633" s="244" t="n"/>
      <c r="H633" s="0" t="inlineStr">
        <is>
          <t>Percentage of Retained Earnings</t>
        </is>
      </c>
      <c r="I633" s="27">
        <f>i_Setup!$M$16</f>
        <v/>
      </c>
      <c r="K633" s="6" t="n"/>
      <c r="M633" s="265">
        <f>IF(M7="Actual","",i_Assumptions!M621)</f>
        <v/>
      </c>
      <c r="N633" s="265">
        <f>IF(N7="Actual","",i_Assumptions!N621)</f>
        <v/>
      </c>
      <c r="O633" s="265">
        <f>IF(O7="Actual","",i_Assumptions!O621)</f>
        <v/>
      </c>
      <c r="P633" s="265">
        <f>IF(P7="Actual","",i_Assumptions!P621)</f>
        <v/>
      </c>
      <c r="Q633" s="265">
        <f>IF(Q7="Actual","",i_Assumptions!Q621)</f>
        <v/>
      </c>
      <c r="T633" s="265">
        <f>IF(T7="Actual","",INDEX($M$633:$Q$633,,MATCH(T$4,$M$4:$Q$4,0)))</f>
        <v/>
      </c>
      <c r="U633" s="265">
        <f>IF(U7="Actual","",INDEX($M$633:$Q$633,,MATCH(U$4,$M$4:$Q$4,0)))</f>
        <v/>
      </c>
      <c r="V633" s="265">
        <f>IF(V7="Actual","",INDEX($M$633:$Q$633,,MATCH(V$4,$M$4:$Q$4,0)))</f>
        <v/>
      </c>
      <c r="W633" s="265">
        <f>IF(W7="Actual","",INDEX($M$633:$Q$633,,MATCH(W$4,$M$4:$Q$4,0)))</f>
        <v/>
      </c>
      <c r="X633" s="265">
        <f>IF(X7="Actual","",INDEX($M$633:$Q$633,,MATCH(X$4,$M$4:$Q$4,0)))</f>
        <v/>
      </c>
      <c r="Y633" s="265">
        <f>IF(Y7="Actual","",INDEX($M$633:$Q$633,,MATCH(Y$4,$M$4:$Q$4,0)))</f>
        <v/>
      </c>
      <c r="Z633" s="265">
        <f>IF(Z7="Actual","",INDEX($M$633:$Q$633,,MATCH(Z$4,$M$4:$Q$4,0)))</f>
        <v/>
      </c>
      <c r="AA633" s="265">
        <f>IF(AA7="Actual","",INDEX($M$633:$Q$633,,MATCH(AA$4,$M$4:$Q$4,0)))</f>
        <v/>
      </c>
      <c r="AB633" s="265">
        <f>IF(AB7="Actual","",INDEX($M$633:$Q$633,,MATCH(AB$4,$M$4:$Q$4,0)))</f>
        <v/>
      </c>
      <c r="AC633" s="265">
        <f>IF(AC7="Actual","",INDEX($M$633:$Q$633,,MATCH(AC$4,$M$4:$Q$4,0)))</f>
        <v/>
      </c>
      <c r="AD633" s="265">
        <f>IF(AD7="Actual","",INDEX($M$633:$Q$633,,MATCH(AD$4,$M$4:$Q$4,0)))</f>
        <v/>
      </c>
      <c r="AE633" s="265">
        <f>IF(AE7="Actual","",INDEX($M$633:$Q$633,,MATCH(AE$4,$M$4:$Q$4,0)))</f>
        <v/>
      </c>
      <c r="AF633" s="265">
        <f>IF(AF7="Actual","",INDEX($M$633:$Q$633,,MATCH(AF$4,$M$4:$Q$4,0)))</f>
        <v/>
      </c>
      <c r="AG633" s="265">
        <f>IF(AG7="Actual","",INDEX($M$633:$Q$633,,MATCH(AG$4,$M$4:$Q$4,0)))</f>
        <v/>
      </c>
      <c r="AH633" s="265">
        <f>IF(AH7="Actual","",INDEX($M$633:$Q$633,,MATCH(AH$4,$M$4:$Q$4,0)))</f>
        <v/>
      </c>
      <c r="AI633" s="265">
        <f>IF(AI7="Actual","",INDEX($M$633:$Q$633,,MATCH(AI$4,$M$4:$Q$4,0)))</f>
        <v/>
      </c>
      <c r="AJ633" s="265">
        <f>IF(AJ7="Actual","",INDEX($M$633:$Q$633,,MATCH(AJ$4,$M$4:$Q$4,0)))</f>
        <v/>
      </c>
      <c r="AK633" s="265">
        <f>IF(AK7="Actual","",INDEX($M$633:$Q$633,,MATCH(AK$4,$M$4:$Q$4,0)))</f>
        <v/>
      </c>
      <c r="AL633" s="265">
        <f>IF(AL7="Actual","",INDEX($M$633:$Q$633,,MATCH(AL$4,$M$4:$Q$4,0)))</f>
        <v/>
      </c>
      <c r="AM633" s="265">
        <f>IF(AM7="Actual","",INDEX($M$633:$Q$633,,MATCH(AM$4,$M$4:$Q$4,0)))</f>
        <v/>
      </c>
      <c r="AN633" s="265">
        <f>IF(AN7="Actual","",INDEX($M$633:$Q$633,,MATCH(AN$4,$M$4:$Q$4,0)))</f>
        <v/>
      </c>
      <c r="AO633" s="265">
        <f>IF(AO7="Actual","",INDEX($M$633:$Q$633,,MATCH(AO$4,$M$4:$Q$4,0)))</f>
        <v/>
      </c>
      <c r="AP633" s="265">
        <f>IF(AP7="Actual","",INDEX($M$633:$Q$633,,MATCH(AP$4,$M$4:$Q$4,0)))</f>
        <v/>
      </c>
      <c r="AQ633" s="265">
        <f>IF(AQ7="Actual","",INDEX($M$633:$Q$633,,MATCH(AQ$4,$M$4:$Q$4,0)))</f>
        <v/>
      </c>
      <c r="AR633" s="265">
        <f>IF(AR7="Actual","",INDEX($M$633:$Q$633,,MATCH(AR$4,$M$4:$Q$4,0)))</f>
        <v/>
      </c>
      <c r="AS633" s="265">
        <f>IF(AS7="Actual","",INDEX($M$633:$Q$633,,MATCH(AS$4,$M$4:$Q$4,0)))</f>
        <v/>
      </c>
      <c r="AT633" s="265">
        <f>IF(AT7="Actual","",INDEX($M$633:$Q$633,,MATCH(AT$4,$M$4:$Q$4,0)))</f>
        <v/>
      </c>
      <c r="AU633" s="265">
        <f>IF(AU7="Actual","",INDEX($M$633:$Q$633,,MATCH(AU$4,$M$4:$Q$4,0)))</f>
        <v/>
      </c>
      <c r="AV633" s="265">
        <f>IF(AV7="Actual","",INDEX($M$633:$Q$633,,MATCH(AV$4,$M$4:$Q$4,0)))</f>
        <v/>
      </c>
      <c r="AW633" s="265">
        <f>IF(AW7="Actual","",INDEX($M$633:$Q$633,,MATCH(AW$4,$M$4:$Q$4,0)))</f>
        <v/>
      </c>
      <c r="AX633" s="265">
        <f>IF(AX7="Actual","",INDEX($M$633:$Q$633,,MATCH(AX$4,$M$4:$Q$4,0)))</f>
        <v/>
      </c>
      <c r="AY633" s="265">
        <f>IF(AY7="Actual","",INDEX($M$633:$Q$633,,MATCH(AY$4,$M$4:$Q$4,0)))</f>
        <v/>
      </c>
      <c r="AZ633" s="265">
        <f>IF(AZ7="Actual","",INDEX($M$633:$Q$633,,MATCH(AZ$4,$M$4:$Q$4,0)))</f>
        <v/>
      </c>
      <c r="BA633" s="265">
        <f>IF(BA7="Actual","",INDEX($M$633:$Q$633,,MATCH(BA$4,$M$4:$Q$4,0)))</f>
        <v/>
      </c>
      <c r="BB633" s="265">
        <f>IF(BB7="Actual","",INDEX($M$633:$Q$633,,MATCH(BB$4,$M$4:$Q$4,0)))</f>
        <v/>
      </c>
      <c r="BC633" s="265">
        <f>IF(BC7="Actual","",INDEX($M$633:$Q$633,,MATCH(BC$4,$M$4:$Q$4,0)))</f>
        <v/>
      </c>
      <c r="BD633" s="265">
        <f>IF(BD7="Actual","",INDEX($M$633:$Q$633,,MATCH(BD$4,$M$4:$Q$4,0)))</f>
        <v/>
      </c>
      <c r="BE633" s="265">
        <f>IF(BE7="Actual","",INDEX($M$633:$Q$633,,MATCH(BE$4,$M$4:$Q$4,0)))</f>
        <v/>
      </c>
      <c r="BF633" s="265">
        <f>IF(BF7="Actual","",INDEX($M$633:$Q$633,,MATCH(BF$4,$M$4:$Q$4,0)))</f>
        <v/>
      </c>
      <c r="BG633" s="265">
        <f>IF(BG7="Actual","",INDEX($M$633:$Q$633,,MATCH(BG$4,$M$4:$Q$4,0)))</f>
        <v/>
      </c>
      <c r="BH633" s="265">
        <f>IF(BH7="Actual","",INDEX($M$633:$Q$633,,MATCH(BH$4,$M$4:$Q$4,0)))</f>
        <v/>
      </c>
      <c r="BI633" s="265">
        <f>IF(BI7="Actual","",INDEX($M$633:$Q$633,,MATCH(BI$4,$M$4:$Q$4,0)))</f>
        <v/>
      </c>
      <c r="BJ633" s="265">
        <f>IF(BJ7="Actual","",INDEX($M$633:$Q$633,,MATCH(BJ$4,$M$4:$Q$4,0)))</f>
        <v/>
      </c>
      <c r="BK633" s="265">
        <f>IF(BK7="Actual","",INDEX($M$633:$Q$633,,MATCH(BK$4,$M$4:$Q$4,0)))</f>
        <v/>
      </c>
      <c r="BL633" s="265">
        <f>IF(BL7="Actual","",INDEX($M$633:$Q$633,,MATCH(BL$4,$M$4:$Q$4,0)))</f>
        <v/>
      </c>
      <c r="BM633" s="265">
        <f>IF(BM7="Actual","",INDEX($M$633:$Q$633,,MATCH(BM$4,$M$4:$Q$4,0)))</f>
        <v/>
      </c>
      <c r="BN633" s="265">
        <f>IF(BN7="Actual","",INDEX($M$633:$Q$633,,MATCH(BN$4,$M$4:$Q$4,0)))</f>
        <v/>
      </c>
      <c r="BO633" s="265">
        <f>IF(BO7="Actual","",INDEX($M$633:$Q$633,,MATCH(BO$4,$M$4:$Q$4,0)))</f>
        <v/>
      </c>
      <c r="BP633" s="265">
        <f>IF(BP7="Actual","",INDEX($M$633:$Q$633,,MATCH(BP$4,$M$4:$Q$4,0)))</f>
        <v/>
      </c>
      <c r="BQ633" s="265">
        <f>IF(BQ7="Actual","",INDEX($M$633:$Q$633,,MATCH(BQ$4,$M$4:$Q$4,0)))</f>
        <v/>
      </c>
      <c r="BR633" s="265">
        <f>IF(BR7="Actual","",INDEX($M$633:$Q$633,,MATCH(BR$4,$M$4:$Q$4,0)))</f>
        <v/>
      </c>
      <c r="BS633" s="265">
        <f>IF(BS7="Actual","",INDEX($M$633:$Q$633,,MATCH(BS$4,$M$4:$Q$4,0)))</f>
        <v/>
      </c>
      <c r="BT633" s="265">
        <f>IF(BT7="Actual","",INDEX($M$633:$Q$633,,MATCH(BT$4,$M$4:$Q$4,0)))</f>
        <v/>
      </c>
      <c r="BU633" s="265">
        <f>IF(BU7="Actual","",INDEX($M$633:$Q$633,,MATCH(BU$4,$M$4:$Q$4,0)))</f>
        <v/>
      </c>
      <c r="BV633" s="265">
        <f>IF(BV7="Actual","",INDEX($M$633:$Q$633,,MATCH(BV$4,$M$4:$Q$4,0)))</f>
        <v/>
      </c>
      <c r="BW633" s="265">
        <f>IF(BW7="Actual","",INDEX($M$633:$Q$633,,MATCH(BW$4,$M$4:$Q$4,0)))</f>
        <v/>
      </c>
      <c r="BX633" s="265">
        <f>IF(BX7="Actual","",INDEX($M$633:$Q$633,,MATCH(BX$4,$M$4:$Q$4,0)))</f>
        <v/>
      </c>
      <c r="BY633" s="265">
        <f>IF(BY7="Actual","",INDEX($M$633:$Q$633,,MATCH(BY$4,$M$4:$Q$4,0)))</f>
        <v/>
      </c>
      <c r="BZ633" s="265">
        <f>IF(BZ7="Actual","",INDEX($M$633:$Q$633,,MATCH(BZ$4,$M$4:$Q$4,0)))</f>
        <v/>
      </c>
      <c r="CA633" s="265">
        <f>IF(CA7="Actual","",INDEX($M$633:$Q$633,,MATCH(CA$4,$M$4:$Q$4,0)))</f>
        <v/>
      </c>
    </row>
    <row r="634" ht="12" customHeight="1" s="227">
      <c r="A634" s="244" t="n"/>
      <c r="B634" s="244" t="n"/>
      <c r="C634" s="244" t="n"/>
      <c r="H634" s="0" t="inlineStr">
        <is>
          <t>Proposed Dividend</t>
        </is>
      </c>
      <c r="I634" s="27">
        <f>i_Setup!$M$16</f>
        <v/>
      </c>
      <c r="K634" s="6" t="n"/>
      <c r="T634" s="245">
        <f>IF(T$7="Actual","",IF(T632=1,IF(T621&gt;0,IFERROR(T621*T633,0),0),0))</f>
        <v/>
      </c>
      <c r="U634" s="245">
        <f>IF(U$7="Actual","",IF(U632=1,IF(U621&gt;0,IFERROR(U621*U633,0),0),0))</f>
        <v/>
      </c>
      <c r="V634" s="245">
        <f>IF(V$7="Actual","",IF(V632=1,IF(V621&gt;0,IFERROR(V621*V633,0),0),0))</f>
        <v/>
      </c>
      <c r="W634" s="245">
        <f>IF(W$7="Actual","",IF(W632=1,IF(W621&gt;0,IFERROR(W621*W633,0),0),0))</f>
        <v/>
      </c>
      <c r="X634" s="245">
        <f>IF(X$7="Actual","",IF(X632=1,IF(X621&gt;0,IFERROR(X621*X633,0),0),0))</f>
        <v/>
      </c>
      <c r="Y634" s="245">
        <f>IF(Y$7="Actual","",IF(Y632=1,IF(Y621&gt;0,IFERROR(Y621*Y633,0),0),0))</f>
        <v/>
      </c>
      <c r="Z634" s="245">
        <f>IF(Z$7="Actual","",IF(Z632=1,IF(Z621&gt;0,IFERROR(Z621*Z633,0),0),0))</f>
        <v/>
      </c>
      <c r="AA634" s="245">
        <f>IF(AA$7="Actual","",IF(AA632=1,IF(AA621&gt;0,IFERROR(AA621*AA633,0),0),0))</f>
        <v/>
      </c>
      <c r="AB634" s="245">
        <f>IF(AB$7="Actual","",IF(AB632=1,IF(AB621&gt;0,IFERROR(AB621*AB633,0),0),0))</f>
        <v/>
      </c>
      <c r="AC634" s="245">
        <f>IF(AC$7="Actual","",IF(AC632=1,IF(AC621&gt;0,IFERROR(AC621*AC633,0),0),0))</f>
        <v/>
      </c>
      <c r="AD634" s="245">
        <f>IF(AD$7="Actual","",IF(AD632=1,IF(AD621&gt;0,IFERROR(AD621*AD633,0),0),0))</f>
        <v/>
      </c>
      <c r="AE634" s="245">
        <f>IF(AE$7="Actual","",IF(AE632=1,IF(AE621&gt;0,IFERROR(AE621*AE633,0),0),0))</f>
        <v/>
      </c>
      <c r="AF634" s="245">
        <f>IF(AF$7="Actual","",IF(AF632=1,IF(AF621&gt;0,IFERROR(AF621*AF633,0),0),0))</f>
        <v/>
      </c>
      <c r="AG634" s="245">
        <f>IF(AG$7="Actual","",IF(AG632=1,IF(AG621&gt;0,IFERROR(AG621*AG633,0),0),0))</f>
        <v/>
      </c>
      <c r="AH634" s="245">
        <f>IF(AH$7="Actual","",IF(AH632=1,IF(AH621&gt;0,IFERROR(AH621*AH633,0),0),0))</f>
        <v/>
      </c>
      <c r="AI634" s="245">
        <f>IF(AI$7="Actual","",IF(AI632=1,IF(AI621&gt;0,IFERROR(AI621*AI633,0),0),0))</f>
        <v/>
      </c>
      <c r="AJ634" s="245">
        <f>IF(AJ$7="Actual","",IF(AJ632=1,IF(AJ621&gt;0,IFERROR(AJ621*AJ633,0),0),0))</f>
        <v/>
      </c>
      <c r="AK634" s="245">
        <f>IF(AK$7="Actual","",IF(AK632=1,IF(AK621&gt;0,IFERROR(AK621*AK633,0),0),0))</f>
        <v/>
      </c>
      <c r="AL634" s="245">
        <f>IF(AL$7="Actual","",IF(AL632=1,IF(AL621&gt;0,IFERROR(AL621*AL633,0),0),0))</f>
        <v/>
      </c>
      <c r="AM634" s="245">
        <f>IF(AM$7="Actual","",IF(AM632=1,IF(AM621&gt;0,IFERROR(AM621*AM633,0),0),0))</f>
        <v/>
      </c>
      <c r="AN634" s="245">
        <f>IF(AN$7="Actual","",IF(AN632=1,IF(AN621&gt;0,IFERROR(AN621*AN633,0),0),0))</f>
        <v/>
      </c>
      <c r="AO634" s="245">
        <f>IF(AO$7="Actual","",IF(AO632=1,IF(AO621&gt;0,IFERROR(AO621*AO633,0),0),0))</f>
        <v/>
      </c>
      <c r="AP634" s="245">
        <f>IF(AP$7="Actual","",IF(AP632=1,IF(AP621&gt;0,IFERROR(AP621*AP633,0),0),0))</f>
        <v/>
      </c>
      <c r="AQ634" s="245">
        <f>IF(AQ$7="Actual","",IF(AQ632=1,IF(AQ621&gt;0,IFERROR(AQ621*AQ633,0),0),0))</f>
        <v/>
      </c>
      <c r="AR634" s="245">
        <f>IF(AR$7="Actual","",IF(AR632=1,IF(AR621&gt;0,IFERROR(AR621*AR633,0),0),0))</f>
        <v/>
      </c>
      <c r="AS634" s="245">
        <f>IF(AS$7="Actual","",IF(AS632=1,IF(AS621&gt;0,IFERROR(AS621*AS633,0),0),0))</f>
        <v/>
      </c>
      <c r="AT634" s="245">
        <f>IF(AT$7="Actual","",IF(AT632=1,IF(AT621&gt;0,IFERROR(AT621*AT633,0),0),0))</f>
        <v/>
      </c>
      <c r="AU634" s="245">
        <f>IF(AU$7="Actual","",IF(AU632=1,IF(AU621&gt;0,IFERROR(AU621*AU633,0),0),0))</f>
        <v/>
      </c>
      <c r="AV634" s="245">
        <f>IF(AV$7="Actual","",IF(AV632=1,IF(AV621&gt;0,IFERROR(AV621*AV633,0),0),0))</f>
        <v/>
      </c>
      <c r="AW634" s="245">
        <f>IF(AW$7="Actual","",IF(AW632=1,IF(AW621&gt;0,IFERROR(AW621*AW633,0),0),0))</f>
        <v/>
      </c>
      <c r="AX634" s="245">
        <f>IF(AX$7="Actual","",IF(AX632=1,IF(AX621&gt;0,IFERROR(AX621*AX633,0),0),0))</f>
        <v/>
      </c>
      <c r="AY634" s="245">
        <f>IF(AY$7="Actual","",IF(AY632=1,IF(AY621&gt;0,IFERROR(AY621*AY633,0),0),0))</f>
        <v/>
      </c>
      <c r="AZ634" s="245">
        <f>IF(AZ$7="Actual","",IF(AZ632=1,IF(AZ621&gt;0,IFERROR(AZ621*AZ633,0),0),0))</f>
        <v/>
      </c>
      <c r="BA634" s="245">
        <f>IF(BA$7="Actual","",IF(BA632=1,IF(BA621&gt;0,IFERROR(BA621*BA633,0),0),0))</f>
        <v/>
      </c>
      <c r="BB634" s="245">
        <f>IF(BB$7="Actual","",IF(BB632=1,IF(BB621&gt;0,IFERROR(BB621*BB633,0),0),0))</f>
        <v/>
      </c>
      <c r="BC634" s="245">
        <f>IF(BC$7="Actual","",IF(BC632=1,IF(BC621&gt;0,IFERROR(BC621*BC633,0),0),0))</f>
        <v/>
      </c>
      <c r="BD634" s="245">
        <f>IF(BD$7="Actual","",IF(BD632=1,IF(BD621&gt;0,IFERROR(BD621*BD633,0),0),0))</f>
        <v/>
      </c>
      <c r="BE634" s="245">
        <f>IF(BE$7="Actual","",IF(BE632=1,IF(BE621&gt;0,IFERROR(BE621*BE633,0),0),0))</f>
        <v/>
      </c>
      <c r="BF634" s="245">
        <f>IF(BF$7="Actual","",IF(BF632=1,IF(BF621&gt;0,IFERROR(BF621*BF633,0),0),0))</f>
        <v/>
      </c>
      <c r="BG634" s="245">
        <f>IF(BG$7="Actual","",IF(BG632=1,IF(BG621&gt;0,IFERROR(BG621*BG633,0),0),0))</f>
        <v/>
      </c>
      <c r="BH634" s="245">
        <f>IF(BH$7="Actual","",IF(BH632=1,IF(BH621&gt;0,IFERROR(BH621*BH633,0),0),0))</f>
        <v/>
      </c>
      <c r="BI634" s="245">
        <f>IF(BI$7="Actual","",IF(BI632=1,IF(BI621&gt;0,IFERROR(BI621*BI633,0),0),0))</f>
        <v/>
      </c>
      <c r="BJ634" s="245">
        <f>IF(BJ$7="Actual","",IF(BJ632=1,IF(BJ621&gt;0,IFERROR(BJ621*BJ633,0),0),0))</f>
        <v/>
      </c>
      <c r="BK634" s="245">
        <f>IF(BK$7="Actual","",IF(BK632=1,IF(BK621&gt;0,IFERROR(BK621*BK633,0),0),0))</f>
        <v/>
      </c>
      <c r="BL634" s="245">
        <f>IF(BL$7="Actual","",IF(BL632=1,IF(BL621&gt;0,IFERROR(BL621*BL633,0),0),0))</f>
        <v/>
      </c>
      <c r="BM634" s="245">
        <f>IF(BM$7="Actual","",IF(BM632=1,IF(BM621&gt;0,IFERROR(BM621*BM633,0),0),0))</f>
        <v/>
      </c>
      <c r="BN634" s="245">
        <f>IF(BN$7="Actual","",IF(BN632=1,IF(BN621&gt;0,IFERROR(BN621*BN633,0),0),0))</f>
        <v/>
      </c>
      <c r="BO634" s="245">
        <f>IF(BO$7="Actual","",IF(BO632=1,IF(BO621&gt;0,IFERROR(BO621*BO633,0),0),0))</f>
        <v/>
      </c>
      <c r="BP634" s="245">
        <f>IF(BP$7="Actual","",IF(BP632=1,IF(BP621&gt;0,IFERROR(BP621*BP633,0),0),0))</f>
        <v/>
      </c>
      <c r="BQ634" s="245">
        <f>IF(BQ$7="Actual","",IF(BQ632=1,IF(BQ621&gt;0,IFERROR(BQ621*BQ633,0),0),0))</f>
        <v/>
      </c>
      <c r="BR634" s="245">
        <f>IF(BR$7="Actual","",IF(BR632=1,IF(BR621&gt;0,IFERROR(BR621*BR633,0),0),0))</f>
        <v/>
      </c>
      <c r="BS634" s="245">
        <f>IF(BS$7="Actual","",IF(BS632=1,IF(BS621&gt;0,IFERROR(BS621*BS633,0),0),0))</f>
        <v/>
      </c>
      <c r="BT634" s="245">
        <f>IF(BT$7="Actual","",IF(BT632=1,IF(BT621&gt;0,IFERROR(BT621*BT633,0),0),0))</f>
        <v/>
      </c>
      <c r="BU634" s="245">
        <f>IF(BU$7="Actual","",IF(BU632=1,IF(BU621&gt;0,IFERROR(BU621*BU633,0),0),0))</f>
        <v/>
      </c>
      <c r="BV634" s="245">
        <f>IF(BV$7="Actual","",IF(BV632=1,IF(BV621&gt;0,IFERROR(BV621*BV633,0),0),0))</f>
        <v/>
      </c>
      <c r="BW634" s="245">
        <f>IF(BW$7="Actual","",IF(BW632=1,IF(BW621&gt;0,IFERROR(BW621*BW633,0),0),0))</f>
        <v/>
      </c>
      <c r="BX634" s="245">
        <f>IF(BX$7="Actual","",IF(BX632=1,IF(BX621&gt;0,IFERROR(BX621*BX633,0),0),0))</f>
        <v/>
      </c>
      <c r="BY634" s="245">
        <f>IF(BY$7="Actual","",IF(BY632=1,IF(BY621&gt;0,IFERROR(BY621*BY633,0),0),0))</f>
        <v/>
      </c>
      <c r="BZ634" s="245">
        <f>IF(BZ$7="Actual","",IF(BZ632=1,IF(BZ621&gt;0,IFERROR(BZ621*BZ633,0),0),0))</f>
        <v/>
      </c>
      <c r="CA634" s="245">
        <f>IF(CA$7="Actual","",IF(CA632=1,IF(CA621&gt;0,IFERROR(CA621*CA633,0),0),0))</f>
        <v/>
      </c>
    </row>
    <row r="635" ht="12" customHeight="1" s="227">
      <c r="A635" s="244" t="n"/>
      <c r="B635" s="244" t="n"/>
      <c r="C635" s="244" t="n"/>
      <c r="H635" s="0" t="inlineStr">
        <is>
          <t>Paid Dividend</t>
        </is>
      </c>
      <c r="I635" s="27">
        <f>i_Setup!$M$16</f>
        <v/>
      </c>
      <c r="K635" s="6" t="n"/>
      <c r="T635" s="245">
        <f>IF(T$7="Actual","",IF(AND(T634&lt;&gt;0,T620&gt;0),MIN(T634,T620),0))</f>
        <v/>
      </c>
      <c r="U635" s="245">
        <f>IF(U$7="Actual","",IF(AND(U634&lt;&gt;0,U620&gt;0),MIN(U634,U620),0))</f>
        <v/>
      </c>
      <c r="V635" s="245">
        <f>IF(V$7="Actual","",IF(AND(V634&lt;&gt;0,V620&gt;0),MIN(V634,V620),0))</f>
        <v/>
      </c>
      <c r="W635" s="245">
        <f>IF(W$7="Actual","",IF(AND(W634&lt;&gt;0,W620&gt;0),MIN(W634,W620),0))</f>
        <v/>
      </c>
      <c r="X635" s="245">
        <f>IF(X$7="Actual","",IF(AND(X634&lt;&gt;0,X620&gt;0),MIN(X634,X620),0))</f>
        <v/>
      </c>
      <c r="Y635" s="245">
        <f>IF(Y$7="Actual","",IF(AND(Y634&lt;&gt;0,Y620&gt;0),MIN(Y634,Y620),0))</f>
        <v/>
      </c>
      <c r="Z635" s="245">
        <f>IF(Z$7="Actual","",IF(AND(Z634&lt;&gt;0,Z620&gt;0),MIN(Z634,Z620),0))</f>
        <v/>
      </c>
      <c r="AA635" s="245">
        <f>IF(AA$7="Actual","",IF(AND(AA634&lt;&gt;0,AA620&gt;0),MIN(AA634,AA620),0))</f>
        <v/>
      </c>
      <c r="AB635" s="245">
        <f>IF(AB$7="Actual","",IF(AND(AB634&lt;&gt;0,AB620&gt;0),MIN(AB634,AB620),0))</f>
        <v/>
      </c>
      <c r="AC635" s="245">
        <f>IF(AC$7="Actual","",IF(AND(AC634&lt;&gt;0,AC620&gt;0),MIN(AC634,AC620),0))</f>
        <v/>
      </c>
      <c r="AD635" s="245">
        <f>IF(AD$7="Actual","",IF(AND(AD634&lt;&gt;0,AD620&gt;0),MIN(AD634,AD620),0))</f>
        <v/>
      </c>
      <c r="AE635" s="245">
        <f>IF(AE$7="Actual","",IF(AND(AE634&lt;&gt;0,AE620&gt;0),MIN(AE634,AE620),0))</f>
        <v/>
      </c>
      <c r="AF635" s="245">
        <f>IF(AF$7="Actual","",IF(AND(AF634&lt;&gt;0,AF620&gt;0),MIN(AF634,AF620),0))</f>
        <v/>
      </c>
      <c r="AG635" s="245">
        <f>IF(AG$7="Actual","",IF(AND(AG634&lt;&gt;0,AG620&gt;0),MIN(AG634,AG620),0))</f>
        <v/>
      </c>
      <c r="AH635" s="245">
        <f>IF(AH$7="Actual","",IF(AND(AH634&lt;&gt;0,AH620&gt;0),MIN(AH634,AH620),0))</f>
        <v/>
      </c>
      <c r="AI635" s="245">
        <f>IF(AI$7="Actual","",IF(AND(AI634&lt;&gt;0,AI620&gt;0),MIN(AI634,AI620),0))</f>
        <v/>
      </c>
      <c r="AJ635" s="245">
        <f>IF(AJ$7="Actual","",IF(AND(AJ634&lt;&gt;0,AJ620&gt;0),MIN(AJ634,AJ620),0))</f>
        <v/>
      </c>
      <c r="AK635" s="245">
        <f>IF(AK$7="Actual","",IF(AND(AK634&lt;&gt;0,AK620&gt;0),MIN(AK634,AK620),0))</f>
        <v/>
      </c>
      <c r="AL635" s="245">
        <f>IF(AL$7="Actual","",IF(AND(AL634&lt;&gt;0,AL620&gt;0),MIN(AL634,AL620),0))</f>
        <v/>
      </c>
      <c r="AM635" s="245">
        <f>IF(AM$7="Actual","",IF(AND(AM634&lt;&gt;0,AM620&gt;0),MIN(AM634,AM620),0))</f>
        <v/>
      </c>
      <c r="AN635" s="245">
        <f>IF(AN$7="Actual","",IF(AND(AN634&lt;&gt;0,AN620&gt;0),MIN(AN634,AN620),0))</f>
        <v/>
      </c>
      <c r="AO635" s="245">
        <f>IF(AO$7="Actual","",IF(AND(AO634&lt;&gt;0,AO620&gt;0),MIN(AO634,AO620),0))</f>
        <v/>
      </c>
      <c r="AP635" s="245">
        <f>IF(AP$7="Actual","",IF(AND(AP634&lt;&gt;0,AP620&gt;0),MIN(AP634,AP620),0))</f>
        <v/>
      </c>
      <c r="AQ635" s="245">
        <f>IF(AQ$7="Actual","",IF(AND(AQ634&lt;&gt;0,AQ620&gt;0),MIN(AQ634,AQ620),0))</f>
        <v/>
      </c>
      <c r="AR635" s="245">
        <f>IF(AR$7="Actual","",IF(AND(AR634&lt;&gt;0,AR620&gt;0),MIN(AR634,AR620),0))</f>
        <v/>
      </c>
      <c r="AS635" s="245">
        <f>IF(AS$7="Actual","",IF(AND(AS634&lt;&gt;0,AS620&gt;0),MIN(AS634,AS620),0))</f>
        <v/>
      </c>
      <c r="AT635" s="245">
        <f>IF(AT$7="Actual","",IF(AND(AT634&lt;&gt;0,AT620&gt;0),MIN(AT634,AT620),0))</f>
        <v/>
      </c>
      <c r="AU635" s="245">
        <f>IF(AU$7="Actual","",IF(AND(AU634&lt;&gt;0,AU620&gt;0),MIN(AU634,AU620),0))</f>
        <v/>
      </c>
      <c r="AV635" s="245">
        <f>IF(AV$7="Actual","",IF(AND(AV634&lt;&gt;0,AV620&gt;0),MIN(AV634,AV620),0))</f>
        <v/>
      </c>
      <c r="AW635" s="245">
        <f>IF(AW$7="Actual","",IF(AND(AW634&lt;&gt;0,AW620&gt;0),MIN(AW634,AW620),0))</f>
        <v/>
      </c>
      <c r="AX635" s="245">
        <f>IF(AX$7="Actual","",IF(AND(AX634&lt;&gt;0,AX620&gt;0),MIN(AX634,AX620),0))</f>
        <v/>
      </c>
      <c r="AY635" s="245">
        <f>IF(AY$7="Actual","",IF(AND(AY634&lt;&gt;0,AY620&gt;0),MIN(AY634,AY620),0))</f>
        <v/>
      </c>
      <c r="AZ635" s="245">
        <f>IF(AZ$7="Actual","",IF(AND(AZ634&lt;&gt;0,AZ620&gt;0),MIN(AZ634,AZ620),0))</f>
        <v/>
      </c>
      <c r="BA635" s="245">
        <f>IF(BA$7="Actual","",IF(AND(BA634&lt;&gt;0,BA620&gt;0),MIN(BA634,BA620),0))</f>
        <v/>
      </c>
      <c r="BB635" s="245">
        <f>IF(BB$7="Actual","",IF(AND(BB634&lt;&gt;0,BB620&gt;0),MIN(BB634,BB620),0))</f>
        <v/>
      </c>
      <c r="BC635" s="245">
        <f>IF(BC$7="Actual","",IF(AND(BC634&lt;&gt;0,BC620&gt;0),MIN(BC634,BC620),0))</f>
        <v/>
      </c>
      <c r="BD635" s="245">
        <f>IF(BD$7="Actual","",IF(AND(BD634&lt;&gt;0,BD620&gt;0),MIN(BD634,BD620),0))</f>
        <v/>
      </c>
      <c r="BE635" s="245">
        <f>IF(BE$7="Actual","",IF(AND(BE634&lt;&gt;0,BE620&gt;0),MIN(BE634,BE620),0))</f>
        <v/>
      </c>
      <c r="BF635" s="245">
        <f>IF(BF$7="Actual","",IF(AND(BF634&lt;&gt;0,BF620&gt;0),MIN(BF634,BF620),0))</f>
        <v/>
      </c>
      <c r="BG635" s="245">
        <f>IF(BG$7="Actual","",IF(AND(BG634&lt;&gt;0,BG620&gt;0),MIN(BG634,BG620),0))</f>
        <v/>
      </c>
      <c r="BH635" s="245">
        <f>IF(BH$7="Actual","",IF(AND(BH634&lt;&gt;0,BH620&gt;0),MIN(BH634,BH620),0))</f>
        <v/>
      </c>
      <c r="BI635" s="245">
        <f>IF(BI$7="Actual","",IF(AND(BI634&lt;&gt;0,BI620&gt;0),MIN(BI634,BI620),0))</f>
        <v/>
      </c>
      <c r="BJ635" s="245">
        <f>IF(BJ$7="Actual","",IF(AND(BJ634&lt;&gt;0,BJ620&gt;0),MIN(BJ634,BJ620),0))</f>
        <v/>
      </c>
      <c r="BK635" s="245">
        <f>IF(BK$7="Actual","",IF(AND(BK634&lt;&gt;0,BK620&gt;0),MIN(BK634,BK620),0))</f>
        <v/>
      </c>
      <c r="BL635" s="245">
        <f>IF(BL$7="Actual","",IF(AND(BL634&lt;&gt;0,BL620&gt;0),MIN(BL634,BL620),0))</f>
        <v/>
      </c>
      <c r="BM635" s="245">
        <f>IF(BM$7="Actual","",IF(AND(BM634&lt;&gt;0,BM620&gt;0),MIN(BM634,BM620),0))</f>
        <v/>
      </c>
      <c r="BN635" s="245">
        <f>IF(BN$7="Actual","",IF(AND(BN634&lt;&gt;0,BN620&gt;0),MIN(BN634,BN620),0))</f>
        <v/>
      </c>
      <c r="BO635" s="245">
        <f>IF(BO$7="Actual","",IF(AND(BO634&lt;&gt;0,BO620&gt;0),MIN(BO634,BO620),0))</f>
        <v/>
      </c>
      <c r="BP635" s="245">
        <f>IF(BP$7="Actual","",IF(AND(BP634&lt;&gt;0,BP620&gt;0),MIN(BP634,BP620),0))</f>
        <v/>
      </c>
      <c r="BQ635" s="245">
        <f>IF(BQ$7="Actual","",IF(AND(BQ634&lt;&gt;0,BQ620&gt;0),MIN(BQ634,BQ620),0))</f>
        <v/>
      </c>
      <c r="BR635" s="245">
        <f>IF(BR$7="Actual","",IF(AND(BR634&lt;&gt;0,BR620&gt;0),MIN(BR634,BR620),0))</f>
        <v/>
      </c>
      <c r="BS635" s="245">
        <f>IF(BS$7="Actual","",IF(AND(BS634&lt;&gt;0,BS620&gt;0),MIN(BS634,BS620),0))</f>
        <v/>
      </c>
      <c r="BT635" s="245">
        <f>IF(BT$7="Actual","",IF(AND(BT634&lt;&gt;0,BT620&gt;0),MIN(BT634,BT620),0))</f>
        <v/>
      </c>
      <c r="BU635" s="245">
        <f>IF(BU$7="Actual","",IF(AND(BU634&lt;&gt;0,BU620&gt;0),MIN(BU634,BU620),0))</f>
        <v/>
      </c>
      <c r="BV635" s="245">
        <f>IF(BV$7="Actual","",IF(AND(BV634&lt;&gt;0,BV620&gt;0),MIN(BV634,BV620),0))</f>
        <v/>
      </c>
      <c r="BW635" s="245">
        <f>IF(BW$7="Actual","",IF(AND(BW634&lt;&gt;0,BW620&gt;0),MIN(BW634,BW620),0))</f>
        <v/>
      </c>
      <c r="BX635" s="245">
        <f>IF(BX$7="Actual","",IF(AND(BX634&lt;&gt;0,BX620&gt;0),MIN(BX634,BX620),0))</f>
        <v/>
      </c>
      <c r="BY635" s="245">
        <f>IF(BY$7="Actual","",IF(AND(BY634&lt;&gt;0,BY620&gt;0),MIN(BY634,BY620),0))</f>
        <v/>
      </c>
      <c r="BZ635" s="245">
        <f>IF(BZ$7="Actual","",IF(AND(BZ634&lt;&gt;0,BZ620&gt;0),MIN(BZ634,BZ620),0))</f>
        <v/>
      </c>
      <c r="CA635" s="245">
        <f>IF(CA$7="Actual","",IF(AND(CA634&lt;&gt;0,CA620&gt;0),MIN(CA634,CA620),0))</f>
        <v/>
      </c>
    </row>
    <row r="636" ht="12" customHeight="1" s="227">
      <c r="A636" s="244" t="n"/>
      <c r="B636" s="244" t="n"/>
      <c r="C636" s="244" t="n"/>
      <c r="H636" s="0" t="n"/>
      <c r="I636" s="27" t="n"/>
      <c r="K636" s="6" t="n"/>
      <c r="T636" s="245" t="n"/>
      <c r="U636" s="245" t="n"/>
      <c r="V636" s="245" t="n"/>
      <c r="W636" s="245" t="n"/>
      <c r="X636" s="245" t="n"/>
      <c r="Y636" s="245" t="n"/>
      <c r="Z636" s="245" t="n"/>
      <c r="AA636" s="245" t="n"/>
      <c r="AB636" s="245" t="n"/>
      <c r="AC636" s="245" t="n"/>
      <c r="AD636" s="245" t="n"/>
      <c r="AE636" s="245" t="n"/>
      <c r="AF636" s="245" t="n"/>
      <c r="AG636" s="245" t="n"/>
      <c r="AH636" s="245" t="n"/>
      <c r="AI636" s="245" t="n"/>
      <c r="AJ636" s="245" t="n"/>
      <c r="AK636" s="245" t="n"/>
      <c r="AL636" s="245" t="n"/>
      <c r="AM636" s="245" t="n"/>
      <c r="AN636" s="245" t="n"/>
      <c r="AO636" s="245" t="n"/>
      <c r="AP636" s="245" t="n"/>
      <c r="AQ636" s="245" t="n"/>
      <c r="AR636" s="245" t="n"/>
      <c r="AS636" s="245" t="n"/>
      <c r="AT636" s="245" t="n"/>
      <c r="AU636" s="245" t="n"/>
      <c r="AV636" s="245" t="n"/>
      <c r="AW636" s="245" t="n"/>
      <c r="AX636" s="245" t="n"/>
      <c r="AY636" s="245" t="n"/>
      <c r="AZ636" s="245" t="n"/>
      <c r="BA636" s="245" t="n"/>
      <c r="BB636" s="245" t="n"/>
      <c r="BC636" s="245" t="n"/>
      <c r="BD636" s="245" t="n"/>
      <c r="BE636" s="245" t="n"/>
      <c r="BF636" s="245" t="n"/>
      <c r="BG636" s="245" t="n"/>
      <c r="BH636" s="245" t="n"/>
      <c r="BI636" s="245" t="n"/>
      <c r="BJ636" s="245" t="n"/>
      <c r="BK636" s="245" t="n"/>
      <c r="BL636" s="245" t="n"/>
      <c r="BM636" s="245" t="n"/>
      <c r="BN636" s="245" t="n"/>
      <c r="BO636" s="245" t="n"/>
      <c r="BP636" s="245" t="n"/>
      <c r="BQ636" s="245" t="n"/>
      <c r="BR636" s="245" t="n"/>
      <c r="BS636" s="245" t="n"/>
      <c r="BT636" s="245" t="n"/>
      <c r="BU636" s="245" t="n"/>
      <c r="BV636" s="245" t="n"/>
      <c r="BW636" s="245" t="n"/>
      <c r="BX636" s="245" t="n"/>
      <c r="BY636" s="245" t="n"/>
      <c r="BZ636" s="245" t="n"/>
      <c r="CA636" s="245" t="n"/>
    </row>
    <row r="637" ht="12" customHeight="1" s="227">
      <c r="A637" s="244" t="n"/>
      <c r="B637" s="244" t="n"/>
      <c r="C637" s="244" t="n"/>
      <c r="H637" s="0" t="n"/>
      <c r="I637" s="27" t="n"/>
      <c r="K637" s="6" t="n"/>
      <c r="T637" s="245" t="n"/>
      <c r="U637" s="245" t="n"/>
      <c r="V637" s="245" t="n"/>
      <c r="W637" s="245" t="n"/>
      <c r="X637" s="245" t="n"/>
      <c r="Y637" s="245" t="n"/>
      <c r="Z637" s="245" t="n"/>
      <c r="AA637" s="245" t="n"/>
      <c r="AB637" s="245" t="n"/>
      <c r="AC637" s="245" t="n"/>
      <c r="AD637" s="245" t="n"/>
      <c r="AE637" s="245" t="n"/>
      <c r="AF637" s="245" t="n"/>
      <c r="AG637" s="245" t="n"/>
      <c r="AH637" s="245" t="n"/>
      <c r="AI637" s="245" t="n"/>
      <c r="AJ637" s="245" t="n"/>
      <c r="AK637" s="245" t="n"/>
      <c r="AL637" s="245" t="n"/>
      <c r="AM637" s="245" t="n"/>
      <c r="AN637" s="245" t="n"/>
      <c r="AO637" s="245" t="n"/>
      <c r="AP637" s="245" t="n"/>
      <c r="AQ637" s="245" t="n"/>
      <c r="AR637" s="245" t="n"/>
      <c r="AS637" s="245" t="n"/>
      <c r="AT637" s="245" t="n"/>
      <c r="AU637" s="245" t="n"/>
      <c r="AV637" s="245" t="n"/>
      <c r="AW637" s="245" t="n"/>
      <c r="AX637" s="245" t="n"/>
      <c r="AY637" s="245" t="n"/>
      <c r="AZ637" s="245" t="n"/>
      <c r="BA637" s="245" t="n"/>
      <c r="BB637" s="245" t="n"/>
      <c r="BC637" s="245" t="n"/>
      <c r="BD637" s="245" t="n"/>
      <c r="BE637" s="245" t="n"/>
      <c r="BF637" s="245" t="n"/>
      <c r="BG637" s="245" t="n"/>
      <c r="BH637" s="245" t="n"/>
      <c r="BI637" s="245" t="n"/>
      <c r="BJ637" s="245" t="n"/>
      <c r="BK637" s="245" t="n"/>
      <c r="BL637" s="245" t="n"/>
      <c r="BM637" s="245" t="n"/>
      <c r="BN637" s="245" t="n"/>
      <c r="BO637" s="245" t="n"/>
      <c r="BP637" s="245" t="n"/>
      <c r="BQ637" s="245" t="n"/>
      <c r="BR637" s="245" t="n"/>
      <c r="BS637" s="245" t="n"/>
      <c r="BT637" s="245" t="n"/>
      <c r="BU637" s="245" t="n"/>
      <c r="BV637" s="245" t="n"/>
      <c r="BW637" s="245" t="n"/>
      <c r="BX637" s="245" t="n"/>
      <c r="BY637" s="245" t="n"/>
      <c r="BZ637" s="245" t="n"/>
      <c r="CA637" s="245" t="n"/>
    </row>
    <row r="638" ht="12" customHeight="1" s="227">
      <c r="A638" s="244" t="n"/>
      <c r="B638" s="244" t="n"/>
      <c r="C638" s="244" t="n"/>
      <c r="G638" s="222" t="inlineStr">
        <is>
          <t>Selected Calculation</t>
        </is>
      </c>
      <c r="H638" s="0" t="n"/>
      <c r="I638" s="27" t="n"/>
      <c r="K638" s="6" t="n"/>
      <c r="T638" s="245" t="n"/>
      <c r="U638" s="245" t="n"/>
      <c r="V638" s="245" t="n"/>
      <c r="W638" s="245" t="n"/>
      <c r="X638" s="245" t="n"/>
      <c r="Y638" s="245" t="n"/>
      <c r="Z638" s="245" t="n"/>
      <c r="AA638" s="245" t="n"/>
      <c r="AB638" s="245" t="n"/>
      <c r="AC638" s="245" t="n"/>
      <c r="AD638" s="245" t="n"/>
      <c r="AE638" s="245" t="n"/>
      <c r="AF638" s="245" t="n"/>
      <c r="AG638" s="245" t="n"/>
      <c r="AH638" s="245" t="n"/>
      <c r="AI638" s="245" t="n"/>
      <c r="AJ638" s="245" t="n"/>
      <c r="AK638" s="245" t="n"/>
      <c r="AL638" s="245" t="n"/>
      <c r="AM638" s="245" t="n"/>
      <c r="AN638" s="245" t="n"/>
      <c r="AO638" s="245" t="n"/>
      <c r="AP638" s="245" t="n"/>
      <c r="AQ638" s="245" t="n"/>
      <c r="AR638" s="245" t="n"/>
      <c r="AS638" s="245" t="n"/>
      <c r="AT638" s="245" t="n"/>
      <c r="AU638" s="245" t="n"/>
      <c r="AV638" s="245" t="n"/>
      <c r="AW638" s="245" t="n"/>
      <c r="AX638" s="245" t="n"/>
      <c r="AY638" s="245" t="n"/>
      <c r="AZ638" s="245" t="n"/>
      <c r="BA638" s="245" t="n"/>
      <c r="BB638" s="245" t="n"/>
      <c r="BC638" s="245" t="n"/>
      <c r="BD638" s="245" t="n"/>
      <c r="BE638" s="245" t="n"/>
      <c r="BF638" s="245" t="n"/>
      <c r="BG638" s="245" t="n"/>
      <c r="BH638" s="245" t="n"/>
      <c r="BI638" s="245" t="n"/>
      <c r="BJ638" s="245" t="n"/>
      <c r="BK638" s="245" t="n"/>
      <c r="BL638" s="245" t="n"/>
      <c r="BM638" s="245" t="n"/>
      <c r="BN638" s="245" t="n"/>
      <c r="BO638" s="245" t="n"/>
      <c r="BP638" s="245" t="n"/>
      <c r="BQ638" s="245" t="n"/>
      <c r="BR638" s="245" t="n"/>
      <c r="BS638" s="245" t="n"/>
      <c r="BT638" s="245" t="n"/>
      <c r="BU638" s="245" t="n"/>
      <c r="BV638" s="245" t="n"/>
      <c r="BW638" s="245" t="n"/>
      <c r="BX638" s="245" t="n"/>
      <c r="BY638" s="245" t="n"/>
      <c r="BZ638" s="245" t="n"/>
      <c r="CA638" s="245" t="n"/>
    </row>
    <row r="639" ht="12" customHeight="1" s="227">
      <c r="A639" s="244" t="n"/>
      <c r="B639" s="244" t="n"/>
      <c r="C639" s="244" t="n"/>
      <c r="H639" s="0" t="n"/>
      <c r="I639" s="27" t="n"/>
      <c r="K639" s="6" t="n"/>
      <c r="T639" s="245" t="n"/>
      <c r="U639" s="245" t="n"/>
      <c r="V639" s="245" t="n"/>
      <c r="W639" s="245" t="n"/>
      <c r="X639" s="245" t="n"/>
      <c r="Y639" s="245" t="n"/>
      <c r="Z639" s="245" t="n"/>
      <c r="AA639" s="245" t="n"/>
      <c r="AB639" s="245" t="n"/>
      <c r="AC639" s="245" t="n"/>
      <c r="AD639" s="245" t="n"/>
      <c r="AE639" s="245" t="n"/>
      <c r="AF639" s="245" t="n"/>
      <c r="AG639" s="245" t="n"/>
      <c r="AH639" s="245" t="n"/>
      <c r="AI639" s="245" t="n"/>
      <c r="AJ639" s="245" t="n"/>
      <c r="AK639" s="245" t="n"/>
      <c r="AL639" s="245" t="n"/>
      <c r="AM639" s="245" t="n"/>
      <c r="AN639" s="245" t="n"/>
      <c r="AO639" s="245" t="n"/>
      <c r="AP639" s="245" t="n"/>
      <c r="AQ639" s="245" t="n"/>
      <c r="AR639" s="245" t="n"/>
      <c r="AS639" s="245" t="n"/>
      <c r="AT639" s="245" t="n"/>
      <c r="AU639" s="245" t="n"/>
      <c r="AV639" s="245" t="n"/>
      <c r="AW639" s="245" t="n"/>
      <c r="AX639" s="245" t="n"/>
      <c r="AY639" s="245" t="n"/>
      <c r="AZ639" s="245" t="n"/>
      <c r="BA639" s="245" t="n"/>
      <c r="BB639" s="245" t="n"/>
      <c r="BC639" s="245" t="n"/>
      <c r="BD639" s="245" t="n"/>
      <c r="BE639" s="245" t="n"/>
      <c r="BF639" s="245" t="n"/>
      <c r="BG639" s="245" t="n"/>
      <c r="BH639" s="245" t="n"/>
      <c r="BI639" s="245" t="n"/>
      <c r="BJ639" s="245" t="n"/>
      <c r="BK639" s="245" t="n"/>
      <c r="BL639" s="245" t="n"/>
      <c r="BM639" s="245" t="n"/>
      <c r="BN639" s="245" t="n"/>
      <c r="BO639" s="245" t="n"/>
      <c r="BP639" s="245" t="n"/>
      <c r="BQ639" s="245" t="n"/>
      <c r="BR639" s="245" t="n"/>
      <c r="BS639" s="245" t="n"/>
      <c r="BT639" s="245" t="n"/>
      <c r="BU639" s="245" t="n"/>
      <c r="BV639" s="245" t="n"/>
      <c r="BW639" s="245" t="n"/>
      <c r="BX639" s="245" t="n"/>
      <c r="BY639" s="245" t="n"/>
      <c r="BZ639" s="245" t="n"/>
      <c r="CA639" s="245" t="n"/>
    </row>
    <row r="640" ht="12" customHeight="1" s="227">
      <c r="A640" s="244" t="n"/>
      <c r="B640" s="244" t="n"/>
      <c r="C640" s="244" t="n"/>
      <c r="H640" s="8" t="inlineStr">
        <is>
          <t>Paid Dividend</t>
        </is>
      </c>
      <c r="I640" s="27">
        <f>i_Setup!$M$16</f>
        <v/>
      </c>
      <c r="K640" s="191">
        <f>i_Assumptions!K616</f>
        <v/>
      </c>
      <c r="M640" s="245">
        <f>SUMIF($T$4:$CA$4,M$4,$T640:$CA640)</f>
        <v/>
      </c>
      <c r="N640" s="245">
        <f>SUMIF($T$4:$CA$4,N$4,$T640:$CA640)</f>
        <v/>
      </c>
      <c r="O640" s="245">
        <f>SUMIF($T$4:$CA$4,O$4,$T640:$CA640)</f>
        <v/>
      </c>
      <c r="P640" s="245">
        <f>SUMIF($T$4:$CA$4,P$4,$T640:$CA640)</f>
        <v/>
      </c>
      <c r="Q640" s="245">
        <f>SUMIF($T$4:$CA$4,Q$4,$T640:$CA640)</f>
        <v/>
      </c>
      <c r="T640" s="245">
        <f>IF(T$7="Actual","",IF($K640="Monthly Input",T627,T635))</f>
        <v/>
      </c>
      <c r="U640" s="245">
        <f>IF(U$7="Actual","",IF($K640="Monthly Input",U627,U635))</f>
        <v/>
      </c>
      <c r="V640" s="245">
        <f>IF(V$7="Actual","",IF($K640="Monthly Input",V627,V635))</f>
        <v/>
      </c>
      <c r="W640" s="245">
        <f>IF(W$7="Actual","",IF($K640="Monthly Input",W627,W635))</f>
        <v/>
      </c>
      <c r="X640" s="245">
        <f>IF(X$7="Actual","",IF($K640="Monthly Input",X627,X635))</f>
        <v/>
      </c>
      <c r="Y640" s="245">
        <f>IF(Y$7="Actual","",IF($K640="Monthly Input",Y627,Y635))</f>
        <v/>
      </c>
      <c r="Z640" s="245">
        <f>IF(Z$7="Actual","",IF($K640="Monthly Input",Z627,Z635))</f>
        <v/>
      </c>
      <c r="AA640" s="245">
        <f>IF(AA$7="Actual","",IF($K640="Monthly Input",AA627,AA635))</f>
        <v/>
      </c>
      <c r="AB640" s="245">
        <f>IF(AB$7="Actual","",IF($K640="Monthly Input",AB627,AB635))</f>
        <v/>
      </c>
      <c r="AC640" s="245">
        <f>IF(AC$7="Actual","",IF($K640="Monthly Input",AC627,AC635))</f>
        <v/>
      </c>
      <c r="AD640" s="245">
        <f>IF(AD$7="Actual","",IF($K640="Monthly Input",AD627,AD635))</f>
        <v/>
      </c>
      <c r="AE640" s="245">
        <f>IF(AE$7="Actual","",IF($K640="Monthly Input",AE627,AE635))</f>
        <v/>
      </c>
      <c r="AF640" s="245">
        <f>IF(AF$7="Actual","",IF($K640="Monthly Input",AF627,AF635))</f>
        <v/>
      </c>
      <c r="AG640" s="245">
        <f>IF(AG$7="Actual","",IF($K640="Monthly Input",AG627,AG635))</f>
        <v/>
      </c>
      <c r="AH640" s="245">
        <f>IF(AH$7="Actual","",IF($K640="Monthly Input",AH627,AH635))</f>
        <v/>
      </c>
      <c r="AI640" s="245">
        <f>IF(AI$7="Actual","",IF($K640="Monthly Input",AI627,AI635))</f>
        <v/>
      </c>
      <c r="AJ640" s="245">
        <f>IF(AJ$7="Actual","",IF($K640="Monthly Input",AJ627,AJ635))</f>
        <v/>
      </c>
      <c r="AK640" s="245">
        <f>IF(AK$7="Actual","",IF($K640="Monthly Input",AK627,AK635))</f>
        <v/>
      </c>
      <c r="AL640" s="245">
        <f>IF(AL$7="Actual","",IF($K640="Monthly Input",AL627,AL635))</f>
        <v/>
      </c>
      <c r="AM640" s="245">
        <f>IF(AM$7="Actual","",IF($K640="Monthly Input",AM627,AM635))</f>
        <v/>
      </c>
      <c r="AN640" s="245">
        <f>IF(AN$7="Actual","",IF($K640="Monthly Input",AN627,AN635))</f>
        <v/>
      </c>
      <c r="AO640" s="245">
        <f>IF(AO$7="Actual","",IF($K640="Monthly Input",AO627,AO635))</f>
        <v/>
      </c>
      <c r="AP640" s="245">
        <f>IF(AP$7="Actual","",IF($K640="Monthly Input",AP627,AP635))</f>
        <v/>
      </c>
      <c r="AQ640" s="245">
        <f>IF(AQ$7="Actual","",IF($K640="Monthly Input",AQ627,AQ635))</f>
        <v/>
      </c>
      <c r="AR640" s="245">
        <f>IF(AR$7="Actual","",IF($K640="Monthly Input",AR627,AR635))</f>
        <v/>
      </c>
      <c r="AS640" s="245">
        <f>IF(AS$7="Actual","",IF($K640="Monthly Input",AS627,AS635))</f>
        <v/>
      </c>
      <c r="AT640" s="245">
        <f>IF(AT$7="Actual","",IF($K640="Monthly Input",AT627,AT635))</f>
        <v/>
      </c>
      <c r="AU640" s="245">
        <f>IF(AU$7="Actual","",IF($K640="Monthly Input",AU627,AU635))</f>
        <v/>
      </c>
      <c r="AV640" s="245">
        <f>IF(AV$7="Actual","",IF($K640="Monthly Input",AV627,AV635))</f>
        <v/>
      </c>
      <c r="AW640" s="245">
        <f>IF(AW$7="Actual","",IF($K640="Monthly Input",AW627,AW635))</f>
        <v/>
      </c>
      <c r="AX640" s="245">
        <f>IF(AX$7="Actual","",IF($K640="Monthly Input",AX627,AX635))</f>
        <v/>
      </c>
      <c r="AY640" s="245">
        <f>IF(AY$7="Actual","",IF($K640="Monthly Input",AY627,AY635))</f>
        <v/>
      </c>
      <c r="AZ640" s="245">
        <f>IF(AZ$7="Actual","",IF($K640="Monthly Input",AZ627,AZ635))</f>
        <v/>
      </c>
      <c r="BA640" s="245">
        <f>IF(BA$7="Actual","",IF($K640="Monthly Input",BA627,BA635))</f>
        <v/>
      </c>
      <c r="BB640" s="245">
        <f>IF(BB$7="Actual","",IF($K640="Monthly Input",BB627,BB635))</f>
        <v/>
      </c>
      <c r="BC640" s="245">
        <f>IF(BC$7="Actual","",IF($K640="Monthly Input",BC627,BC635))</f>
        <v/>
      </c>
      <c r="BD640" s="245">
        <f>IF(BD$7="Actual","",IF($K640="Monthly Input",BD627,BD635))</f>
        <v/>
      </c>
      <c r="BE640" s="245">
        <f>IF(BE$7="Actual","",IF($K640="Monthly Input",BE627,BE635))</f>
        <v/>
      </c>
      <c r="BF640" s="245">
        <f>IF(BF$7="Actual","",IF($K640="Monthly Input",BF627,BF635))</f>
        <v/>
      </c>
      <c r="BG640" s="245">
        <f>IF(BG$7="Actual","",IF($K640="Monthly Input",BG627,BG635))</f>
        <v/>
      </c>
      <c r="BH640" s="245">
        <f>IF(BH$7="Actual","",IF($K640="Monthly Input",BH627,BH635))</f>
        <v/>
      </c>
      <c r="BI640" s="245">
        <f>IF(BI$7="Actual","",IF($K640="Monthly Input",BI627,BI635))</f>
        <v/>
      </c>
      <c r="BJ640" s="245">
        <f>IF(BJ$7="Actual","",IF($K640="Monthly Input",BJ627,BJ635))</f>
        <v/>
      </c>
      <c r="BK640" s="245">
        <f>IF(BK$7="Actual","",IF($K640="Monthly Input",BK627,BK635))</f>
        <v/>
      </c>
      <c r="BL640" s="245">
        <f>IF(BL$7="Actual","",IF($K640="Monthly Input",BL627,BL635))</f>
        <v/>
      </c>
      <c r="BM640" s="245">
        <f>IF(BM$7="Actual","",IF($K640="Monthly Input",BM627,BM635))</f>
        <v/>
      </c>
      <c r="BN640" s="245">
        <f>IF(BN$7="Actual","",IF($K640="Monthly Input",BN627,BN635))</f>
        <v/>
      </c>
      <c r="BO640" s="245">
        <f>IF(BO$7="Actual","",IF($K640="Monthly Input",BO627,BO635))</f>
        <v/>
      </c>
      <c r="BP640" s="245">
        <f>IF(BP$7="Actual","",IF($K640="Monthly Input",BP627,BP635))</f>
        <v/>
      </c>
      <c r="BQ640" s="245">
        <f>IF(BQ$7="Actual","",IF($K640="Monthly Input",BQ627,BQ635))</f>
        <v/>
      </c>
      <c r="BR640" s="245">
        <f>IF(BR$7="Actual","",IF($K640="Monthly Input",BR627,BR635))</f>
        <v/>
      </c>
      <c r="BS640" s="245">
        <f>IF(BS$7="Actual","",IF($K640="Monthly Input",BS627,BS635))</f>
        <v/>
      </c>
      <c r="BT640" s="245">
        <f>IF(BT$7="Actual","",IF($K640="Monthly Input",BT627,BT635))</f>
        <v/>
      </c>
      <c r="BU640" s="245">
        <f>IF(BU$7="Actual","",IF($K640="Monthly Input",BU627,BU635))</f>
        <v/>
      </c>
      <c r="BV640" s="245">
        <f>IF(BV$7="Actual","",IF($K640="Monthly Input",BV627,BV635))</f>
        <v/>
      </c>
      <c r="BW640" s="245">
        <f>IF(BW$7="Actual","",IF($K640="Monthly Input",BW627,BW635))</f>
        <v/>
      </c>
      <c r="BX640" s="245">
        <f>IF(BX$7="Actual","",IF($K640="Monthly Input",BX627,BX635))</f>
        <v/>
      </c>
      <c r="BY640" s="245">
        <f>IF(BY$7="Actual","",IF($K640="Monthly Input",BY627,BY635))</f>
        <v/>
      </c>
      <c r="BZ640" s="245">
        <f>IF(BZ$7="Actual","",IF($K640="Monthly Input",BZ627,BZ635))</f>
        <v/>
      </c>
      <c r="CA640" s="245">
        <f>IF(CA$7="Actual","",IF($K640="Monthly Input",CA627,CA635))</f>
        <v/>
      </c>
    </row>
    <row r="641" ht="12" customHeight="1" s="227">
      <c r="A641" s="244" t="n"/>
      <c r="B641" s="244" t="n"/>
      <c r="C641" s="244" t="n"/>
      <c r="H641" s="8" t="n"/>
      <c r="I641" s="8" t="n"/>
      <c r="K641" s="6" t="n"/>
    </row>
    <row r="642" ht="12" customHeight="1" s="227">
      <c r="A642" s="244" t="n"/>
      <c r="B642" s="244" t="n"/>
      <c r="C642" s="244" t="n"/>
      <c r="K642" s="6" t="n"/>
    </row>
    <row r="643" ht="12" customHeight="1" s="227">
      <c r="A643" s="244" t="n"/>
      <c r="B643" s="244" t="n"/>
      <c r="C643" s="244" t="n"/>
      <c r="K643" s="6" t="n"/>
    </row>
    <row r="644" ht="15.75" customFormat="1" customHeight="1" s="99">
      <c r="D644" s="99">
        <f>Heading1</f>
        <v/>
      </c>
      <c r="E644" s="99" t="inlineStr">
        <is>
          <t>Balance Sheet</t>
        </is>
      </c>
      <c r="K644" s="151" t="n"/>
    </row>
    <row r="645" ht="12" customHeight="1" s="227">
      <c r="A645" s="244" t="n"/>
      <c r="B645" s="244" t="n"/>
      <c r="C645" s="244" t="n"/>
      <c r="K645" s="6" t="n"/>
    </row>
    <row r="646" ht="13.5" customFormat="1" customHeight="1" s="223" thickBot="1">
      <c r="E646" s="223">
        <f>Heading2</f>
        <v/>
      </c>
      <c r="F646" s="223" t="inlineStr">
        <is>
          <t>Fixed Assets</t>
        </is>
      </c>
      <c r="K646" s="135" t="n"/>
    </row>
    <row r="647" ht="12" customHeight="1" s="227">
      <c r="A647" s="244" t="n"/>
      <c r="B647" s="244" t="n"/>
      <c r="C647" s="244" t="n"/>
      <c r="K647" s="6" t="n"/>
    </row>
    <row r="648" ht="12" customHeight="1" s="227">
      <c r="A648" s="244" t="n"/>
      <c r="B648" s="244" t="n"/>
      <c r="C648" s="244" t="n"/>
      <c r="G648" s="222" t="inlineStr">
        <is>
          <t>Addition Amounts (Excl. Sales Tax)</t>
        </is>
      </c>
      <c r="K648" s="6" t="n"/>
    </row>
    <row r="649" ht="12" customHeight="1" s="227">
      <c r="A649" s="244" t="n"/>
      <c r="B649" s="244" t="n"/>
      <c r="C649" s="244" t="n"/>
      <c r="K649" s="6" t="n"/>
    </row>
    <row r="650" ht="12" customHeight="1" s="227">
      <c r="A650" s="244" t="n"/>
      <c r="B650" s="244" t="n"/>
      <c r="C650" s="244" t="n"/>
      <c r="H650" s="4">
        <f>i_Setup!U68</f>
        <v/>
      </c>
      <c r="I650" s="27">
        <f>i_Setup!$M$16</f>
        <v/>
      </c>
      <c r="K650" s="6" t="n"/>
      <c r="M650" s="245">
        <f>SUMIF($T$4:$CA$4,M$4,$T650:$CA650)</f>
        <v/>
      </c>
      <c r="N650" s="245">
        <f>SUMIF($T$4:$CA$4,N$4,$T650:$CA650)</f>
        <v/>
      </c>
      <c r="O650" s="245">
        <f>SUMIF($T$4:$CA$4,O$4,$T650:$CA650)</f>
        <v/>
      </c>
      <c r="P650" s="245">
        <f>SUMIF($T$4:$CA$4,P$4,$T650:$CA650)</f>
        <v/>
      </c>
      <c r="Q650" s="245">
        <f>SUMIF($T$4:$CA$4,Q$4,$T650:$CA650)</f>
        <v/>
      </c>
      <c r="T650" s="257">
        <f>IF(T$7="Actual","",SUM(i_Assumptions!T66,i_Assumptions!T106,i_Assumptions!T146,i_Assumptions!T186,i_Assumptions!T226,i_Assumptions!T266,i_Assumptions!T306,i_Assumptions!T346,i_Assumptions!T386,i_Assumptions!T426))</f>
        <v/>
      </c>
      <c r="U650" s="257">
        <f>IF(U$7="Actual","",SUM(i_Assumptions!U66,i_Assumptions!U106,i_Assumptions!U146,i_Assumptions!U186,i_Assumptions!U226,i_Assumptions!U266,i_Assumptions!U306,i_Assumptions!U346,i_Assumptions!U386,i_Assumptions!U426))</f>
        <v/>
      </c>
      <c r="V650" s="257">
        <f>IF(V$7="Actual","",SUM(i_Assumptions!V66,i_Assumptions!V106,i_Assumptions!V146,i_Assumptions!V186,i_Assumptions!V226,i_Assumptions!V266,i_Assumptions!V306,i_Assumptions!V346,i_Assumptions!V386,i_Assumptions!V426))</f>
        <v/>
      </c>
      <c r="W650" s="257">
        <f>IF(W$7="Actual","",SUM(i_Assumptions!W66,i_Assumptions!W106,i_Assumptions!W146,i_Assumptions!W186,i_Assumptions!W226,i_Assumptions!W266,i_Assumptions!W306,i_Assumptions!W346,i_Assumptions!W386,i_Assumptions!W426))</f>
        <v/>
      </c>
      <c r="X650" s="257">
        <f>IF(X$7="Actual","",SUM(i_Assumptions!X66,i_Assumptions!X106,i_Assumptions!X146,i_Assumptions!X186,i_Assumptions!X226,i_Assumptions!X266,i_Assumptions!X306,i_Assumptions!X346,i_Assumptions!X386,i_Assumptions!X426))</f>
        <v/>
      </c>
      <c r="Y650" s="257">
        <f>IF(Y$7="Actual","",SUM(i_Assumptions!Y66,i_Assumptions!Y106,i_Assumptions!Y146,i_Assumptions!Y186,i_Assumptions!Y226,i_Assumptions!Y266,i_Assumptions!Y306,i_Assumptions!Y346,i_Assumptions!Y386,i_Assumptions!Y426))</f>
        <v/>
      </c>
      <c r="Z650" s="257">
        <f>IF(Z$7="Actual","",SUM(i_Assumptions!Z66,i_Assumptions!Z106,i_Assumptions!Z146,i_Assumptions!Z186,i_Assumptions!Z226,i_Assumptions!Z266,i_Assumptions!Z306,i_Assumptions!Z346,i_Assumptions!Z386,i_Assumptions!Z426))</f>
        <v/>
      </c>
      <c r="AA650" s="257">
        <f>IF(AA$7="Actual","",SUM(i_Assumptions!AA66,i_Assumptions!AA106,i_Assumptions!AA146,i_Assumptions!AA186,i_Assumptions!AA226,i_Assumptions!AA266,i_Assumptions!AA306,i_Assumptions!AA346,i_Assumptions!AA386,i_Assumptions!AA426))</f>
        <v/>
      </c>
      <c r="AB650" s="257">
        <f>IF(AB$7="Actual","",SUM(i_Assumptions!AB66,i_Assumptions!AB106,i_Assumptions!AB146,i_Assumptions!AB186,i_Assumptions!AB226,i_Assumptions!AB266,i_Assumptions!AB306,i_Assumptions!AB346,i_Assumptions!AB386,i_Assumptions!AB426))</f>
        <v/>
      </c>
      <c r="AC650" s="257">
        <f>IF(AC$7="Actual","",SUM(i_Assumptions!AC66,i_Assumptions!AC106,i_Assumptions!AC146,i_Assumptions!AC186,i_Assumptions!AC226,i_Assumptions!AC266,i_Assumptions!AC306,i_Assumptions!AC346,i_Assumptions!AC386,i_Assumptions!AC426))</f>
        <v/>
      </c>
      <c r="AD650" s="257">
        <f>IF(AD$7="Actual","",SUM(i_Assumptions!AD66,i_Assumptions!AD106,i_Assumptions!AD146,i_Assumptions!AD186,i_Assumptions!AD226,i_Assumptions!AD266,i_Assumptions!AD306,i_Assumptions!AD346,i_Assumptions!AD386,i_Assumptions!AD426))</f>
        <v/>
      </c>
      <c r="AE650" s="257">
        <f>IF(AE$7="Actual","",SUM(i_Assumptions!AE66,i_Assumptions!AE106,i_Assumptions!AE146,i_Assumptions!AE186,i_Assumptions!AE226,i_Assumptions!AE266,i_Assumptions!AE306,i_Assumptions!AE346,i_Assumptions!AE386,i_Assumptions!AE426))</f>
        <v/>
      </c>
      <c r="AF650" s="257">
        <f>IF(AF$7="Actual","",SUM(i_Assumptions!AF66,i_Assumptions!AF106,i_Assumptions!AF146,i_Assumptions!AF186,i_Assumptions!AF226,i_Assumptions!AF266,i_Assumptions!AF306,i_Assumptions!AF346,i_Assumptions!AF386,i_Assumptions!AF426))</f>
        <v/>
      </c>
      <c r="AG650" s="257">
        <f>IF(AG$7="Actual","",SUM(i_Assumptions!AG66,i_Assumptions!AG106,i_Assumptions!AG146,i_Assumptions!AG186,i_Assumptions!AG226,i_Assumptions!AG266,i_Assumptions!AG306,i_Assumptions!AG346,i_Assumptions!AG386,i_Assumptions!AG426))</f>
        <v/>
      </c>
      <c r="AH650" s="257">
        <f>IF(AH$7="Actual","",SUM(i_Assumptions!AH66,i_Assumptions!AH106,i_Assumptions!AH146,i_Assumptions!AH186,i_Assumptions!AH226,i_Assumptions!AH266,i_Assumptions!AH306,i_Assumptions!AH346,i_Assumptions!AH386,i_Assumptions!AH426))</f>
        <v/>
      </c>
      <c r="AI650" s="257">
        <f>IF(AI$7="Actual","",SUM(i_Assumptions!AI66,i_Assumptions!AI106,i_Assumptions!AI146,i_Assumptions!AI186,i_Assumptions!AI226,i_Assumptions!AI266,i_Assumptions!AI306,i_Assumptions!AI346,i_Assumptions!AI386,i_Assumptions!AI426))</f>
        <v/>
      </c>
      <c r="AJ650" s="257">
        <f>IF(AJ$7="Actual","",SUM(i_Assumptions!AJ66,i_Assumptions!AJ106,i_Assumptions!AJ146,i_Assumptions!AJ186,i_Assumptions!AJ226,i_Assumptions!AJ266,i_Assumptions!AJ306,i_Assumptions!AJ346,i_Assumptions!AJ386,i_Assumptions!AJ426))</f>
        <v/>
      </c>
      <c r="AK650" s="257">
        <f>IF(AK$7="Actual","",SUM(i_Assumptions!AK66,i_Assumptions!AK106,i_Assumptions!AK146,i_Assumptions!AK186,i_Assumptions!AK226,i_Assumptions!AK266,i_Assumptions!AK306,i_Assumptions!AK346,i_Assumptions!AK386,i_Assumptions!AK426))</f>
        <v/>
      </c>
      <c r="AL650" s="257">
        <f>IF(AL$7="Actual","",SUM(i_Assumptions!AL66,i_Assumptions!AL106,i_Assumptions!AL146,i_Assumptions!AL186,i_Assumptions!AL226,i_Assumptions!AL266,i_Assumptions!AL306,i_Assumptions!AL346,i_Assumptions!AL386,i_Assumptions!AL426))</f>
        <v/>
      </c>
      <c r="AM650" s="257">
        <f>IF(AM$7="Actual","",SUM(i_Assumptions!AM66,i_Assumptions!AM106,i_Assumptions!AM146,i_Assumptions!AM186,i_Assumptions!AM226,i_Assumptions!AM266,i_Assumptions!AM306,i_Assumptions!AM346,i_Assumptions!AM386,i_Assumptions!AM426))</f>
        <v/>
      </c>
      <c r="AN650" s="257">
        <f>IF(AN$7="Actual","",SUM(i_Assumptions!AN66,i_Assumptions!AN106,i_Assumptions!AN146,i_Assumptions!AN186,i_Assumptions!AN226,i_Assumptions!AN266,i_Assumptions!AN306,i_Assumptions!AN346,i_Assumptions!AN386,i_Assumptions!AN426))</f>
        <v/>
      </c>
      <c r="AO650" s="257">
        <f>IF(AO$7="Actual","",SUM(i_Assumptions!AO66,i_Assumptions!AO106,i_Assumptions!AO146,i_Assumptions!AO186,i_Assumptions!AO226,i_Assumptions!AO266,i_Assumptions!AO306,i_Assumptions!AO346,i_Assumptions!AO386,i_Assumptions!AO426))</f>
        <v/>
      </c>
      <c r="AP650" s="257">
        <f>IF(AP$7="Actual","",SUM(i_Assumptions!AP66,i_Assumptions!AP106,i_Assumptions!AP146,i_Assumptions!AP186,i_Assumptions!AP226,i_Assumptions!AP266,i_Assumptions!AP306,i_Assumptions!AP346,i_Assumptions!AP386,i_Assumptions!AP426))</f>
        <v/>
      </c>
      <c r="AQ650" s="257">
        <f>IF(AQ$7="Actual","",SUM(i_Assumptions!AQ66,i_Assumptions!AQ106,i_Assumptions!AQ146,i_Assumptions!AQ186,i_Assumptions!AQ226,i_Assumptions!AQ266,i_Assumptions!AQ306,i_Assumptions!AQ346,i_Assumptions!AQ386,i_Assumptions!AQ426))</f>
        <v/>
      </c>
      <c r="AR650" s="257">
        <f>IF(AR$7="Actual","",SUM(i_Assumptions!AR66,i_Assumptions!AR106,i_Assumptions!AR146,i_Assumptions!AR186,i_Assumptions!AR226,i_Assumptions!AR266,i_Assumptions!AR306,i_Assumptions!AR346,i_Assumptions!AR386,i_Assumptions!AR426))</f>
        <v/>
      </c>
      <c r="AS650" s="257">
        <f>IF(AS$7="Actual","",SUM(i_Assumptions!AS66,i_Assumptions!AS106,i_Assumptions!AS146,i_Assumptions!AS186,i_Assumptions!AS226,i_Assumptions!AS266,i_Assumptions!AS306,i_Assumptions!AS346,i_Assumptions!AS386,i_Assumptions!AS426))</f>
        <v/>
      </c>
      <c r="AT650" s="257">
        <f>IF(AT$7="Actual","",SUM(i_Assumptions!AT66,i_Assumptions!AT106,i_Assumptions!AT146,i_Assumptions!AT186,i_Assumptions!AT226,i_Assumptions!AT266,i_Assumptions!AT306,i_Assumptions!AT346,i_Assumptions!AT386,i_Assumptions!AT426))</f>
        <v/>
      </c>
      <c r="AU650" s="257">
        <f>IF(AU$7="Actual","",SUM(i_Assumptions!AU66,i_Assumptions!AU106,i_Assumptions!AU146,i_Assumptions!AU186,i_Assumptions!AU226,i_Assumptions!AU266,i_Assumptions!AU306,i_Assumptions!AU346,i_Assumptions!AU386,i_Assumptions!AU426))</f>
        <v/>
      </c>
      <c r="AV650" s="257">
        <f>IF(AV$7="Actual","",SUM(i_Assumptions!AV66,i_Assumptions!AV106,i_Assumptions!AV146,i_Assumptions!AV186,i_Assumptions!AV226,i_Assumptions!AV266,i_Assumptions!AV306,i_Assumptions!AV346,i_Assumptions!AV386,i_Assumptions!AV426))</f>
        <v/>
      </c>
      <c r="AW650" s="257">
        <f>IF(AW$7="Actual","",SUM(i_Assumptions!AW66,i_Assumptions!AW106,i_Assumptions!AW146,i_Assumptions!AW186,i_Assumptions!AW226,i_Assumptions!AW266,i_Assumptions!AW306,i_Assumptions!AW346,i_Assumptions!AW386,i_Assumptions!AW426))</f>
        <v/>
      </c>
      <c r="AX650" s="257">
        <f>IF(AX$7="Actual","",SUM(i_Assumptions!AX66,i_Assumptions!AX106,i_Assumptions!AX146,i_Assumptions!AX186,i_Assumptions!AX226,i_Assumptions!AX266,i_Assumptions!AX306,i_Assumptions!AX346,i_Assumptions!AX386,i_Assumptions!AX426))</f>
        <v/>
      </c>
      <c r="AY650" s="257">
        <f>IF(AY$7="Actual","",SUM(i_Assumptions!AY66,i_Assumptions!AY106,i_Assumptions!AY146,i_Assumptions!AY186,i_Assumptions!AY226,i_Assumptions!AY266,i_Assumptions!AY306,i_Assumptions!AY346,i_Assumptions!AY386,i_Assumptions!AY426))</f>
        <v/>
      </c>
      <c r="AZ650" s="257">
        <f>IF(AZ$7="Actual","",SUM(i_Assumptions!AZ66,i_Assumptions!AZ106,i_Assumptions!AZ146,i_Assumptions!AZ186,i_Assumptions!AZ226,i_Assumptions!AZ266,i_Assumptions!AZ306,i_Assumptions!AZ346,i_Assumptions!AZ386,i_Assumptions!AZ426))</f>
        <v/>
      </c>
      <c r="BA650" s="257">
        <f>IF(BA$7="Actual","",SUM(i_Assumptions!BA66,i_Assumptions!BA106,i_Assumptions!BA146,i_Assumptions!BA186,i_Assumptions!BA226,i_Assumptions!BA266,i_Assumptions!BA306,i_Assumptions!BA346,i_Assumptions!BA386,i_Assumptions!BA426))</f>
        <v/>
      </c>
      <c r="BB650" s="257">
        <f>IF(BB$7="Actual","",SUM(i_Assumptions!BB66,i_Assumptions!BB106,i_Assumptions!BB146,i_Assumptions!BB186,i_Assumptions!BB226,i_Assumptions!BB266,i_Assumptions!BB306,i_Assumptions!BB346,i_Assumptions!BB386,i_Assumptions!BB426))</f>
        <v/>
      </c>
      <c r="BC650" s="257">
        <f>IF(BC$7="Actual","",SUM(i_Assumptions!BC66,i_Assumptions!BC106,i_Assumptions!BC146,i_Assumptions!BC186,i_Assumptions!BC226,i_Assumptions!BC266,i_Assumptions!BC306,i_Assumptions!BC346,i_Assumptions!BC386,i_Assumptions!BC426))</f>
        <v/>
      </c>
      <c r="BD650" s="257">
        <f>IF(BD$7="Actual","",SUM(i_Assumptions!BD66,i_Assumptions!BD106,i_Assumptions!BD146,i_Assumptions!BD186,i_Assumptions!BD226,i_Assumptions!BD266,i_Assumptions!BD306,i_Assumptions!BD346,i_Assumptions!BD386,i_Assumptions!BD426))</f>
        <v/>
      </c>
      <c r="BE650" s="257">
        <f>IF(BE$7="Actual","",SUM(i_Assumptions!BE66,i_Assumptions!BE106,i_Assumptions!BE146,i_Assumptions!BE186,i_Assumptions!BE226,i_Assumptions!BE266,i_Assumptions!BE306,i_Assumptions!BE346,i_Assumptions!BE386,i_Assumptions!BE426))</f>
        <v/>
      </c>
      <c r="BF650" s="257">
        <f>IF(BF$7="Actual","",SUM(i_Assumptions!BF66,i_Assumptions!BF106,i_Assumptions!BF146,i_Assumptions!BF186,i_Assumptions!BF226,i_Assumptions!BF266,i_Assumptions!BF306,i_Assumptions!BF346,i_Assumptions!BF386,i_Assumptions!BF426))</f>
        <v/>
      </c>
      <c r="BG650" s="257">
        <f>IF(BG$7="Actual","",SUM(i_Assumptions!BG66,i_Assumptions!BG106,i_Assumptions!BG146,i_Assumptions!BG186,i_Assumptions!BG226,i_Assumptions!BG266,i_Assumptions!BG306,i_Assumptions!BG346,i_Assumptions!BG386,i_Assumptions!BG426))</f>
        <v/>
      </c>
      <c r="BH650" s="257">
        <f>IF(BH$7="Actual","",SUM(i_Assumptions!BH66,i_Assumptions!BH106,i_Assumptions!BH146,i_Assumptions!BH186,i_Assumptions!BH226,i_Assumptions!BH266,i_Assumptions!BH306,i_Assumptions!BH346,i_Assumptions!BH386,i_Assumptions!BH426))</f>
        <v/>
      </c>
      <c r="BI650" s="257">
        <f>IF(BI$7="Actual","",SUM(i_Assumptions!BI66,i_Assumptions!BI106,i_Assumptions!BI146,i_Assumptions!BI186,i_Assumptions!BI226,i_Assumptions!BI266,i_Assumptions!BI306,i_Assumptions!BI346,i_Assumptions!BI386,i_Assumptions!BI426))</f>
        <v/>
      </c>
      <c r="BJ650" s="257">
        <f>IF(BJ$7="Actual","",SUM(i_Assumptions!BJ66,i_Assumptions!BJ106,i_Assumptions!BJ146,i_Assumptions!BJ186,i_Assumptions!BJ226,i_Assumptions!BJ266,i_Assumptions!BJ306,i_Assumptions!BJ346,i_Assumptions!BJ386,i_Assumptions!BJ426))</f>
        <v/>
      </c>
      <c r="BK650" s="257">
        <f>IF(BK$7="Actual","",SUM(i_Assumptions!BK66,i_Assumptions!BK106,i_Assumptions!BK146,i_Assumptions!BK186,i_Assumptions!BK226,i_Assumptions!BK266,i_Assumptions!BK306,i_Assumptions!BK346,i_Assumptions!BK386,i_Assumptions!BK426))</f>
        <v/>
      </c>
      <c r="BL650" s="257">
        <f>IF(BL$7="Actual","",SUM(i_Assumptions!BL66,i_Assumptions!BL106,i_Assumptions!BL146,i_Assumptions!BL186,i_Assumptions!BL226,i_Assumptions!BL266,i_Assumptions!BL306,i_Assumptions!BL346,i_Assumptions!BL386,i_Assumptions!BL426))</f>
        <v/>
      </c>
      <c r="BM650" s="257">
        <f>IF(BM$7="Actual","",SUM(i_Assumptions!BM66,i_Assumptions!BM106,i_Assumptions!BM146,i_Assumptions!BM186,i_Assumptions!BM226,i_Assumptions!BM266,i_Assumptions!BM306,i_Assumptions!BM346,i_Assumptions!BM386,i_Assumptions!BM426))</f>
        <v/>
      </c>
      <c r="BN650" s="257">
        <f>IF(BN$7="Actual","",SUM(i_Assumptions!BN66,i_Assumptions!BN106,i_Assumptions!BN146,i_Assumptions!BN186,i_Assumptions!BN226,i_Assumptions!BN266,i_Assumptions!BN306,i_Assumptions!BN346,i_Assumptions!BN386,i_Assumptions!BN426))</f>
        <v/>
      </c>
      <c r="BO650" s="257">
        <f>IF(BO$7="Actual","",SUM(i_Assumptions!BO66,i_Assumptions!BO106,i_Assumptions!BO146,i_Assumptions!BO186,i_Assumptions!BO226,i_Assumptions!BO266,i_Assumptions!BO306,i_Assumptions!BO346,i_Assumptions!BO386,i_Assumptions!BO426))</f>
        <v/>
      </c>
      <c r="BP650" s="257">
        <f>IF(BP$7="Actual","",SUM(i_Assumptions!BP66,i_Assumptions!BP106,i_Assumptions!BP146,i_Assumptions!BP186,i_Assumptions!BP226,i_Assumptions!BP266,i_Assumptions!BP306,i_Assumptions!BP346,i_Assumptions!BP386,i_Assumptions!BP426))</f>
        <v/>
      </c>
      <c r="BQ650" s="257">
        <f>IF(BQ$7="Actual","",SUM(i_Assumptions!BQ66,i_Assumptions!BQ106,i_Assumptions!BQ146,i_Assumptions!BQ186,i_Assumptions!BQ226,i_Assumptions!BQ266,i_Assumptions!BQ306,i_Assumptions!BQ346,i_Assumptions!BQ386,i_Assumptions!BQ426))</f>
        <v/>
      </c>
      <c r="BR650" s="257">
        <f>IF(BR$7="Actual","",SUM(i_Assumptions!BR66,i_Assumptions!BR106,i_Assumptions!BR146,i_Assumptions!BR186,i_Assumptions!BR226,i_Assumptions!BR266,i_Assumptions!BR306,i_Assumptions!BR346,i_Assumptions!BR386,i_Assumptions!BR426))</f>
        <v/>
      </c>
      <c r="BS650" s="257">
        <f>IF(BS$7="Actual","",SUM(i_Assumptions!BS66,i_Assumptions!BS106,i_Assumptions!BS146,i_Assumptions!BS186,i_Assumptions!BS226,i_Assumptions!BS266,i_Assumptions!BS306,i_Assumptions!BS346,i_Assumptions!BS386,i_Assumptions!BS426))</f>
        <v/>
      </c>
      <c r="BT650" s="257">
        <f>IF(BT$7="Actual","",SUM(i_Assumptions!BT66,i_Assumptions!BT106,i_Assumptions!BT146,i_Assumptions!BT186,i_Assumptions!BT226,i_Assumptions!BT266,i_Assumptions!BT306,i_Assumptions!BT346,i_Assumptions!BT386,i_Assumptions!BT426))</f>
        <v/>
      </c>
      <c r="BU650" s="257">
        <f>IF(BU$7="Actual","",SUM(i_Assumptions!BU66,i_Assumptions!BU106,i_Assumptions!BU146,i_Assumptions!BU186,i_Assumptions!BU226,i_Assumptions!BU266,i_Assumptions!BU306,i_Assumptions!BU346,i_Assumptions!BU386,i_Assumptions!BU426))</f>
        <v/>
      </c>
      <c r="BV650" s="257">
        <f>IF(BV$7="Actual","",SUM(i_Assumptions!BV66,i_Assumptions!BV106,i_Assumptions!BV146,i_Assumptions!BV186,i_Assumptions!BV226,i_Assumptions!BV266,i_Assumptions!BV306,i_Assumptions!BV346,i_Assumptions!BV386,i_Assumptions!BV426))</f>
        <v/>
      </c>
      <c r="BW650" s="257">
        <f>IF(BW$7="Actual","",SUM(i_Assumptions!BW66,i_Assumptions!BW106,i_Assumptions!BW146,i_Assumptions!BW186,i_Assumptions!BW226,i_Assumptions!BW266,i_Assumptions!BW306,i_Assumptions!BW346,i_Assumptions!BW386,i_Assumptions!BW426))</f>
        <v/>
      </c>
      <c r="BX650" s="257">
        <f>IF(BX$7="Actual","",SUM(i_Assumptions!BX66,i_Assumptions!BX106,i_Assumptions!BX146,i_Assumptions!BX186,i_Assumptions!BX226,i_Assumptions!BX266,i_Assumptions!BX306,i_Assumptions!BX346,i_Assumptions!BX386,i_Assumptions!BX426))</f>
        <v/>
      </c>
      <c r="BY650" s="257">
        <f>IF(BY$7="Actual","",SUM(i_Assumptions!BY66,i_Assumptions!BY106,i_Assumptions!BY146,i_Assumptions!BY186,i_Assumptions!BY226,i_Assumptions!BY266,i_Assumptions!BY306,i_Assumptions!BY346,i_Assumptions!BY386,i_Assumptions!BY426))</f>
        <v/>
      </c>
      <c r="BZ650" s="257">
        <f>IF(BZ$7="Actual","",SUM(i_Assumptions!BZ66,i_Assumptions!BZ106,i_Assumptions!BZ146,i_Assumptions!BZ186,i_Assumptions!BZ226,i_Assumptions!BZ266,i_Assumptions!BZ306,i_Assumptions!BZ346,i_Assumptions!BZ386,i_Assumptions!BZ426))</f>
        <v/>
      </c>
      <c r="CA650" s="257">
        <f>IF(CA$7="Actual","",SUM(i_Assumptions!CA66,i_Assumptions!CA106,i_Assumptions!CA146,i_Assumptions!CA186,i_Assumptions!CA226,i_Assumptions!CA266,i_Assumptions!CA306,i_Assumptions!CA346,i_Assumptions!CA386,i_Assumptions!CA426))</f>
        <v/>
      </c>
    </row>
    <row r="651" ht="12" customHeight="1" s="227">
      <c r="A651" s="244" t="n"/>
      <c r="B651" s="244" t="n"/>
      <c r="C651" s="244" t="n"/>
      <c r="H651" s="4">
        <f>i_Setup!U69</f>
        <v/>
      </c>
      <c r="I651" s="27">
        <f>i_Setup!$M$16</f>
        <v/>
      </c>
      <c r="K651" s="6" t="n"/>
      <c r="M651" s="245">
        <f>SUMIF($T$4:$CA$4,M$4,$T651:$CA651)</f>
        <v/>
      </c>
      <c r="N651" s="245">
        <f>SUMIF($T$4:$CA$4,N$4,$T651:$CA651)</f>
        <v/>
      </c>
      <c r="O651" s="245">
        <f>SUMIF($T$4:$CA$4,O$4,$T651:$CA651)</f>
        <v/>
      </c>
      <c r="P651" s="245">
        <f>SUMIF($T$4:$CA$4,P$4,$T651:$CA651)</f>
        <v/>
      </c>
      <c r="Q651" s="245">
        <f>SUMIF($T$4:$CA$4,Q$4,$T651:$CA651)</f>
        <v/>
      </c>
      <c r="T651" s="257">
        <f>IF(T$7="Actual","",SUM(i_Assumptions!T67,i_Assumptions!T107,i_Assumptions!T147,i_Assumptions!T187,i_Assumptions!T227,i_Assumptions!T267,i_Assumptions!T307,i_Assumptions!T347,i_Assumptions!T387,i_Assumptions!T427))</f>
        <v/>
      </c>
      <c r="U651" s="257">
        <f>IF(U$7="Actual","",SUM(i_Assumptions!U67,i_Assumptions!U107,i_Assumptions!U147,i_Assumptions!U187,i_Assumptions!U227,i_Assumptions!U267,i_Assumptions!U307,i_Assumptions!U347,i_Assumptions!U387,i_Assumptions!U427))</f>
        <v/>
      </c>
      <c r="V651" s="257">
        <f>IF(V$7="Actual","",SUM(i_Assumptions!V67,i_Assumptions!V107,i_Assumptions!V147,i_Assumptions!V187,i_Assumptions!V227,i_Assumptions!V267,i_Assumptions!V307,i_Assumptions!V347,i_Assumptions!V387,i_Assumptions!V427))</f>
        <v/>
      </c>
      <c r="W651" s="257">
        <f>IF(W$7="Actual","",SUM(i_Assumptions!W67,i_Assumptions!W107,i_Assumptions!W147,i_Assumptions!W187,i_Assumptions!W227,i_Assumptions!W267,i_Assumptions!W307,i_Assumptions!W347,i_Assumptions!W387,i_Assumptions!W427))</f>
        <v/>
      </c>
      <c r="X651" s="257">
        <f>IF(X$7="Actual","",SUM(i_Assumptions!X67,i_Assumptions!X107,i_Assumptions!X147,i_Assumptions!X187,i_Assumptions!X227,i_Assumptions!X267,i_Assumptions!X307,i_Assumptions!X347,i_Assumptions!X387,i_Assumptions!X427))</f>
        <v/>
      </c>
      <c r="Y651" s="257">
        <f>IF(Y$7="Actual","",SUM(i_Assumptions!Y67,i_Assumptions!Y107,i_Assumptions!Y147,i_Assumptions!Y187,i_Assumptions!Y227,i_Assumptions!Y267,i_Assumptions!Y307,i_Assumptions!Y347,i_Assumptions!Y387,i_Assumptions!Y427))</f>
        <v/>
      </c>
      <c r="Z651" s="257">
        <f>IF(Z$7="Actual","",SUM(i_Assumptions!Z67,i_Assumptions!Z107,i_Assumptions!Z147,i_Assumptions!Z187,i_Assumptions!Z227,i_Assumptions!Z267,i_Assumptions!Z307,i_Assumptions!Z347,i_Assumptions!Z387,i_Assumptions!Z427))</f>
        <v/>
      </c>
      <c r="AA651" s="257">
        <f>IF(AA$7="Actual","",SUM(i_Assumptions!AA67,i_Assumptions!AA107,i_Assumptions!AA147,i_Assumptions!AA187,i_Assumptions!AA227,i_Assumptions!AA267,i_Assumptions!AA307,i_Assumptions!AA347,i_Assumptions!AA387,i_Assumptions!AA427))</f>
        <v/>
      </c>
      <c r="AB651" s="257">
        <f>IF(AB$7="Actual","",SUM(i_Assumptions!AB67,i_Assumptions!AB107,i_Assumptions!AB147,i_Assumptions!AB187,i_Assumptions!AB227,i_Assumptions!AB267,i_Assumptions!AB307,i_Assumptions!AB347,i_Assumptions!AB387,i_Assumptions!AB427))</f>
        <v/>
      </c>
      <c r="AC651" s="257">
        <f>IF(AC$7="Actual","",SUM(i_Assumptions!AC67,i_Assumptions!AC107,i_Assumptions!AC147,i_Assumptions!AC187,i_Assumptions!AC227,i_Assumptions!AC267,i_Assumptions!AC307,i_Assumptions!AC347,i_Assumptions!AC387,i_Assumptions!AC427))</f>
        <v/>
      </c>
      <c r="AD651" s="257">
        <f>IF(AD$7="Actual","",SUM(i_Assumptions!AD67,i_Assumptions!AD107,i_Assumptions!AD147,i_Assumptions!AD187,i_Assumptions!AD227,i_Assumptions!AD267,i_Assumptions!AD307,i_Assumptions!AD347,i_Assumptions!AD387,i_Assumptions!AD427))</f>
        <v/>
      </c>
      <c r="AE651" s="257">
        <f>IF(AE$7="Actual","",SUM(i_Assumptions!AE67,i_Assumptions!AE107,i_Assumptions!AE147,i_Assumptions!AE187,i_Assumptions!AE227,i_Assumptions!AE267,i_Assumptions!AE307,i_Assumptions!AE347,i_Assumptions!AE387,i_Assumptions!AE427))</f>
        <v/>
      </c>
      <c r="AF651" s="257">
        <f>IF(AF$7="Actual","",SUM(i_Assumptions!AF67,i_Assumptions!AF107,i_Assumptions!AF147,i_Assumptions!AF187,i_Assumptions!AF227,i_Assumptions!AF267,i_Assumptions!AF307,i_Assumptions!AF347,i_Assumptions!AF387,i_Assumptions!AF427))</f>
        <v/>
      </c>
      <c r="AG651" s="257">
        <f>IF(AG$7="Actual","",SUM(i_Assumptions!AG67,i_Assumptions!AG107,i_Assumptions!AG147,i_Assumptions!AG187,i_Assumptions!AG227,i_Assumptions!AG267,i_Assumptions!AG307,i_Assumptions!AG347,i_Assumptions!AG387,i_Assumptions!AG427))</f>
        <v/>
      </c>
      <c r="AH651" s="257">
        <f>IF(AH$7="Actual","",SUM(i_Assumptions!AH67,i_Assumptions!AH107,i_Assumptions!AH147,i_Assumptions!AH187,i_Assumptions!AH227,i_Assumptions!AH267,i_Assumptions!AH307,i_Assumptions!AH347,i_Assumptions!AH387,i_Assumptions!AH427))</f>
        <v/>
      </c>
      <c r="AI651" s="257">
        <f>IF(AI$7="Actual","",SUM(i_Assumptions!AI67,i_Assumptions!AI107,i_Assumptions!AI147,i_Assumptions!AI187,i_Assumptions!AI227,i_Assumptions!AI267,i_Assumptions!AI307,i_Assumptions!AI347,i_Assumptions!AI387,i_Assumptions!AI427))</f>
        <v/>
      </c>
      <c r="AJ651" s="257">
        <f>IF(AJ$7="Actual","",SUM(i_Assumptions!AJ67,i_Assumptions!AJ107,i_Assumptions!AJ147,i_Assumptions!AJ187,i_Assumptions!AJ227,i_Assumptions!AJ267,i_Assumptions!AJ307,i_Assumptions!AJ347,i_Assumptions!AJ387,i_Assumptions!AJ427))</f>
        <v/>
      </c>
      <c r="AK651" s="257">
        <f>IF(AK$7="Actual","",SUM(i_Assumptions!AK67,i_Assumptions!AK107,i_Assumptions!AK147,i_Assumptions!AK187,i_Assumptions!AK227,i_Assumptions!AK267,i_Assumptions!AK307,i_Assumptions!AK347,i_Assumptions!AK387,i_Assumptions!AK427))</f>
        <v/>
      </c>
      <c r="AL651" s="257">
        <f>IF(AL$7="Actual","",SUM(i_Assumptions!AL67,i_Assumptions!AL107,i_Assumptions!AL147,i_Assumptions!AL187,i_Assumptions!AL227,i_Assumptions!AL267,i_Assumptions!AL307,i_Assumptions!AL347,i_Assumptions!AL387,i_Assumptions!AL427))</f>
        <v/>
      </c>
      <c r="AM651" s="257">
        <f>IF(AM$7="Actual","",SUM(i_Assumptions!AM67,i_Assumptions!AM107,i_Assumptions!AM147,i_Assumptions!AM187,i_Assumptions!AM227,i_Assumptions!AM267,i_Assumptions!AM307,i_Assumptions!AM347,i_Assumptions!AM387,i_Assumptions!AM427))</f>
        <v/>
      </c>
      <c r="AN651" s="257">
        <f>IF(AN$7="Actual","",SUM(i_Assumptions!AN67,i_Assumptions!AN107,i_Assumptions!AN147,i_Assumptions!AN187,i_Assumptions!AN227,i_Assumptions!AN267,i_Assumptions!AN307,i_Assumptions!AN347,i_Assumptions!AN387,i_Assumptions!AN427))</f>
        <v/>
      </c>
      <c r="AO651" s="257">
        <f>IF(AO$7="Actual","",SUM(i_Assumptions!AO67,i_Assumptions!AO107,i_Assumptions!AO147,i_Assumptions!AO187,i_Assumptions!AO227,i_Assumptions!AO267,i_Assumptions!AO307,i_Assumptions!AO347,i_Assumptions!AO387,i_Assumptions!AO427))</f>
        <v/>
      </c>
      <c r="AP651" s="257">
        <f>IF(AP$7="Actual","",SUM(i_Assumptions!AP67,i_Assumptions!AP107,i_Assumptions!AP147,i_Assumptions!AP187,i_Assumptions!AP227,i_Assumptions!AP267,i_Assumptions!AP307,i_Assumptions!AP347,i_Assumptions!AP387,i_Assumptions!AP427))</f>
        <v/>
      </c>
      <c r="AQ651" s="257">
        <f>IF(AQ$7="Actual","",SUM(i_Assumptions!AQ67,i_Assumptions!AQ107,i_Assumptions!AQ147,i_Assumptions!AQ187,i_Assumptions!AQ227,i_Assumptions!AQ267,i_Assumptions!AQ307,i_Assumptions!AQ347,i_Assumptions!AQ387,i_Assumptions!AQ427))</f>
        <v/>
      </c>
      <c r="AR651" s="257">
        <f>IF(AR$7="Actual","",SUM(i_Assumptions!AR67,i_Assumptions!AR107,i_Assumptions!AR147,i_Assumptions!AR187,i_Assumptions!AR227,i_Assumptions!AR267,i_Assumptions!AR307,i_Assumptions!AR347,i_Assumptions!AR387,i_Assumptions!AR427))</f>
        <v/>
      </c>
      <c r="AS651" s="257">
        <f>IF(AS$7="Actual","",SUM(i_Assumptions!AS67,i_Assumptions!AS107,i_Assumptions!AS147,i_Assumptions!AS187,i_Assumptions!AS227,i_Assumptions!AS267,i_Assumptions!AS307,i_Assumptions!AS347,i_Assumptions!AS387,i_Assumptions!AS427))</f>
        <v/>
      </c>
      <c r="AT651" s="257">
        <f>IF(AT$7="Actual","",SUM(i_Assumptions!AT67,i_Assumptions!AT107,i_Assumptions!AT147,i_Assumptions!AT187,i_Assumptions!AT227,i_Assumptions!AT267,i_Assumptions!AT307,i_Assumptions!AT347,i_Assumptions!AT387,i_Assumptions!AT427))</f>
        <v/>
      </c>
      <c r="AU651" s="257">
        <f>IF(AU$7="Actual","",SUM(i_Assumptions!AU67,i_Assumptions!AU107,i_Assumptions!AU147,i_Assumptions!AU187,i_Assumptions!AU227,i_Assumptions!AU267,i_Assumptions!AU307,i_Assumptions!AU347,i_Assumptions!AU387,i_Assumptions!AU427))</f>
        <v/>
      </c>
      <c r="AV651" s="257">
        <f>IF(AV$7="Actual","",SUM(i_Assumptions!AV67,i_Assumptions!AV107,i_Assumptions!AV147,i_Assumptions!AV187,i_Assumptions!AV227,i_Assumptions!AV267,i_Assumptions!AV307,i_Assumptions!AV347,i_Assumptions!AV387,i_Assumptions!AV427))</f>
        <v/>
      </c>
      <c r="AW651" s="257">
        <f>IF(AW$7="Actual","",SUM(i_Assumptions!AW67,i_Assumptions!AW107,i_Assumptions!AW147,i_Assumptions!AW187,i_Assumptions!AW227,i_Assumptions!AW267,i_Assumptions!AW307,i_Assumptions!AW347,i_Assumptions!AW387,i_Assumptions!AW427))</f>
        <v/>
      </c>
      <c r="AX651" s="257">
        <f>IF(AX$7="Actual","",SUM(i_Assumptions!AX67,i_Assumptions!AX107,i_Assumptions!AX147,i_Assumptions!AX187,i_Assumptions!AX227,i_Assumptions!AX267,i_Assumptions!AX307,i_Assumptions!AX347,i_Assumptions!AX387,i_Assumptions!AX427))</f>
        <v/>
      </c>
      <c r="AY651" s="257">
        <f>IF(AY$7="Actual","",SUM(i_Assumptions!AY67,i_Assumptions!AY107,i_Assumptions!AY147,i_Assumptions!AY187,i_Assumptions!AY227,i_Assumptions!AY267,i_Assumptions!AY307,i_Assumptions!AY347,i_Assumptions!AY387,i_Assumptions!AY427))</f>
        <v/>
      </c>
      <c r="AZ651" s="257">
        <f>IF(AZ$7="Actual","",SUM(i_Assumptions!AZ67,i_Assumptions!AZ107,i_Assumptions!AZ147,i_Assumptions!AZ187,i_Assumptions!AZ227,i_Assumptions!AZ267,i_Assumptions!AZ307,i_Assumptions!AZ347,i_Assumptions!AZ387,i_Assumptions!AZ427))</f>
        <v/>
      </c>
      <c r="BA651" s="257">
        <f>IF(BA$7="Actual","",SUM(i_Assumptions!BA67,i_Assumptions!BA107,i_Assumptions!BA147,i_Assumptions!BA187,i_Assumptions!BA227,i_Assumptions!BA267,i_Assumptions!BA307,i_Assumptions!BA347,i_Assumptions!BA387,i_Assumptions!BA427))</f>
        <v/>
      </c>
      <c r="BB651" s="257">
        <f>IF(BB$7="Actual","",SUM(i_Assumptions!BB67,i_Assumptions!BB107,i_Assumptions!BB147,i_Assumptions!BB187,i_Assumptions!BB227,i_Assumptions!BB267,i_Assumptions!BB307,i_Assumptions!BB347,i_Assumptions!BB387,i_Assumptions!BB427))</f>
        <v/>
      </c>
      <c r="BC651" s="257">
        <f>IF(BC$7="Actual","",SUM(i_Assumptions!BC67,i_Assumptions!BC107,i_Assumptions!BC147,i_Assumptions!BC187,i_Assumptions!BC227,i_Assumptions!BC267,i_Assumptions!BC307,i_Assumptions!BC347,i_Assumptions!BC387,i_Assumptions!BC427))</f>
        <v/>
      </c>
      <c r="BD651" s="257">
        <f>IF(BD$7="Actual","",SUM(i_Assumptions!BD67,i_Assumptions!BD107,i_Assumptions!BD147,i_Assumptions!BD187,i_Assumptions!BD227,i_Assumptions!BD267,i_Assumptions!BD307,i_Assumptions!BD347,i_Assumptions!BD387,i_Assumptions!BD427))</f>
        <v/>
      </c>
      <c r="BE651" s="257">
        <f>IF(BE$7="Actual","",SUM(i_Assumptions!BE67,i_Assumptions!BE107,i_Assumptions!BE147,i_Assumptions!BE187,i_Assumptions!BE227,i_Assumptions!BE267,i_Assumptions!BE307,i_Assumptions!BE347,i_Assumptions!BE387,i_Assumptions!BE427))</f>
        <v/>
      </c>
      <c r="BF651" s="257">
        <f>IF(BF$7="Actual","",SUM(i_Assumptions!BF67,i_Assumptions!BF107,i_Assumptions!BF147,i_Assumptions!BF187,i_Assumptions!BF227,i_Assumptions!BF267,i_Assumptions!BF307,i_Assumptions!BF347,i_Assumptions!BF387,i_Assumptions!BF427))</f>
        <v/>
      </c>
      <c r="BG651" s="257">
        <f>IF(BG$7="Actual","",SUM(i_Assumptions!BG67,i_Assumptions!BG107,i_Assumptions!BG147,i_Assumptions!BG187,i_Assumptions!BG227,i_Assumptions!BG267,i_Assumptions!BG307,i_Assumptions!BG347,i_Assumptions!BG387,i_Assumptions!BG427))</f>
        <v/>
      </c>
      <c r="BH651" s="257">
        <f>IF(BH$7="Actual","",SUM(i_Assumptions!BH67,i_Assumptions!BH107,i_Assumptions!BH147,i_Assumptions!BH187,i_Assumptions!BH227,i_Assumptions!BH267,i_Assumptions!BH307,i_Assumptions!BH347,i_Assumptions!BH387,i_Assumptions!BH427))</f>
        <v/>
      </c>
      <c r="BI651" s="257">
        <f>IF(BI$7="Actual","",SUM(i_Assumptions!BI67,i_Assumptions!BI107,i_Assumptions!BI147,i_Assumptions!BI187,i_Assumptions!BI227,i_Assumptions!BI267,i_Assumptions!BI307,i_Assumptions!BI347,i_Assumptions!BI387,i_Assumptions!BI427))</f>
        <v/>
      </c>
      <c r="BJ651" s="257">
        <f>IF(BJ$7="Actual","",SUM(i_Assumptions!BJ67,i_Assumptions!BJ107,i_Assumptions!BJ147,i_Assumptions!BJ187,i_Assumptions!BJ227,i_Assumptions!BJ267,i_Assumptions!BJ307,i_Assumptions!BJ347,i_Assumptions!BJ387,i_Assumptions!BJ427))</f>
        <v/>
      </c>
      <c r="BK651" s="257">
        <f>IF(BK$7="Actual","",SUM(i_Assumptions!BK67,i_Assumptions!BK107,i_Assumptions!BK147,i_Assumptions!BK187,i_Assumptions!BK227,i_Assumptions!BK267,i_Assumptions!BK307,i_Assumptions!BK347,i_Assumptions!BK387,i_Assumptions!BK427))</f>
        <v/>
      </c>
      <c r="BL651" s="257">
        <f>IF(BL$7="Actual","",SUM(i_Assumptions!BL67,i_Assumptions!BL107,i_Assumptions!BL147,i_Assumptions!BL187,i_Assumptions!BL227,i_Assumptions!BL267,i_Assumptions!BL307,i_Assumptions!BL347,i_Assumptions!BL387,i_Assumptions!BL427))</f>
        <v/>
      </c>
      <c r="BM651" s="257">
        <f>IF(BM$7="Actual","",SUM(i_Assumptions!BM67,i_Assumptions!BM107,i_Assumptions!BM147,i_Assumptions!BM187,i_Assumptions!BM227,i_Assumptions!BM267,i_Assumptions!BM307,i_Assumptions!BM347,i_Assumptions!BM387,i_Assumptions!BM427))</f>
        <v/>
      </c>
      <c r="BN651" s="257">
        <f>IF(BN$7="Actual","",SUM(i_Assumptions!BN67,i_Assumptions!BN107,i_Assumptions!BN147,i_Assumptions!BN187,i_Assumptions!BN227,i_Assumptions!BN267,i_Assumptions!BN307,i_Assumptions!BN347,i_Assumptions!BN387,i_Assumptions!BN427))</f>
        <v/>
      </c>
      <c r="BO651" s="257">
        <f>IF(BO$7="Actual","",SUM(i_Assumptions!BO67,i_Assumptions!BO107,i_Assumptions!BO147,i_Assumptions!BO187,i_Assumptions!BO227,i_Assumptions!BO267,i_Assumptions!BO307,i_Assumptions!BO347,i_Assumptions!BO387,i_Assumptions!BO427))</f>
        <v/>
      </c>
      <c r="BP651" s="257">
        <f>IF(BP$7="Actual","",SUM(i_Assumptions!BP67,i_Assumptions!BP107,i_Assumptions!BP147,i_Assumptions!BP187,i_Assumptions!BP227,i_Assumptions!BP267,i_Assumptions!BP307,i_Assumptions!BP347,i_Assumptions!BP387,i_Assumptions!BP427))</f>
        <v/>
      </c>
      <c r="BQ651" s="257">
        <f>IF(BQ$7="Actual","",SUM(i_Assumptions!BQ67,i_Assumptions!BQ107,i_Assumptions!BQ147,i_Assumptions!BQ187,i_Assumptions!BQ227,i_Assumptions!BQ267,i_Assumptions!BQ307,i_Assumptions!BQ347,i_Assumptions!BQ387,i_Assumptions!BQ427))</f>
        <v/>
      </c>
      <c r="BR651" s="257">
        <f>IF(BR$7="Actual","",SUM(i_Assumptions!BR67,i_Assumptions!BR107,i_Assumptions!BR147,i_Assumptions!BR187,i_Assumptions!BR227,i_Assumptions!BR267,i_Assumptions!BR307,i_Assumptions!BR347,i_Assumptions!BR387,i_Assumptions!BR427))</f>
        <v/>
      </c>
      <c r="BS651" s="257">
        <f>IF(BS$7="Actual","",SUM(i_Assumptions!BS67,i_Assumptions!BS107,i_Assumptions!BS147,i_Assumptions!BS187,i_Assumptions!BS227,i_Assumptions!BS267,i_Assumptions!BS307,i_Assumptions!BS347,i_Assumptions!BS387,i_Assumptions!BS427))</f>
        <v/>
      </c>
      <c r="BT651" s="257">
        <f>IF(BT$7="Actual","",SUM(i_Assumptions!BT67,i_Assumptions!BT107,i_Assumptions!BT147,i_Assumptions!BT187,i_Assumptions!BT227,i_Assumptions!BT267,i_Assumptions!BT307,i_Assumptions!BT347,i_Assumptions!BT387,i_Assumptions!BT427))</f>
        <v/>
      </c>
      <c r="BU651" s="257">
        <f>IF(BU$7="Actual","",SUM(i_Assumptions!BU67,i_Assumptions!BU107,i_Assumptions!BU147,i_Assumptions!BU187,i_Assumptions!BU227,i_Assumptions!BU267,i_Assumptions!BU307,i_Assumptions!BU347,i_Assumptions!BU387,i_Assumptions!BU427))</f>
        <v/>
      </c>
      <c r="BV651" s="257">
        <f>IF(BV$7="Actual","",SUM(i_Assumptions!BV67,i_Assumptions!BV107,i_Assumptions!BV147,i_Assumptions!BV187,i_Assumptions!BV227,i_Assumptions!BV267,i_Assumptions!BV307,i_Assumptions!BV347,i_Assumptions!BV387,i_Assumptions!BV427))</f>
        <v/>
      </c>
      <c r="BW651" s="257">
        <f>IF(BW$7="Actual","",SUM(i_Assumptions!BW67,i_Assumptions!BW107,i_Assumptions!BW147,i_Assumptions!BW187,i_Assumptions!BW227,i_Assumptions!BW267,i_Assumptions!BW307,i_Assumptions!BW347,i_Assumptions!BW387,i_Assumptions!BW427))</f>
        <v/>
      </c>
      <c r="BX651" s="257">
        <f>IF(BX$7="Actual","",SUM(i_Assumptions!BX67,i_Assumptions!BX107,i_Assumptions!BX147,i_Assumptions!BX187,i_Assumptions!BX227,i_Assumptions!BX267,i_Assumptions!BX307,i_Assumptions!BX347,i_Assumptions!BX387,i_Assumptions!BX427))</f>
        <v/>
      </c>
      <c r="BY651" s="257">
        <f>IF(BY$7="Actual","",SUM(i_Assumptions!BY67,i_Assumptions!BY107,i_Assumptions!BY147,i_Assumptions!BY187,i_Assumptions!BY227,i_Assumptions!BY267,i_Assumptions!BY307,i_Assumptions!BY347,i_Assumptions!BY387,i_Assumptions!BY427))</f>
        <v/>
      </c>
      <c r="BZ651" s="257">
        <f>IF(BZ$7="Actual","",SUM(i_Assumptions!BZ67,i_Assumptions!BZ107,i_Assumptions!BZ147,i_Assumptions!BZ187,i_Assumptions!BZ227,i_Assumptions!BZ267,i_Assumptions!BZ307,i_Assumptions!BZ347,i_Assumptions!BZ387,i_Assumptions!BZ427))</f>
        <v/>
      </c>
      <c r="CA651" s="257">
        <f>IF(CA$7="Actual","",SUM(i_Assumptions!CA67,i_Assumptions!CA107,i_Assumptions!CA147,i_Assumptions!CA187,i_Assumptions!CA227,i_Assumptions!CA267,i_Assumptions!CA307,i_Assumptions!CA347,i_Assumptions!CA387,i_Assumptions!CA427))</f>
        <v/>
      </c>
    </row>
    <row r="652" ht="12" customHeight="1" s="227">
      <c r="A652" s="244" t="n"/>
      <c r="B652" s="244" t="n"/>
      <c r="C652" s="244" t="n"/>
      <c r="H652" s="4">
        <f>i_Setup!U70</f>
        <v/>
      </c>
      <c r="I652" s="27">
        <f>i_Setup!$M$16</f>
        <v/>
      </c>
      <c r="K652" s="6" t="n"/>
      <c r="M652" s="245">
        <f>SUMIF($T$4:$CA$4,M$4,$T652:$CA652)</f>
        <v/>
      </c>
      <c r="N652" s="245">
        <f>SUMIF($T$4:$CA$4,N$4,$T652:$CA652)</f>
        <v/>
      </c>
      <c r="O652" s="245">
        <f>SUMIF($T$4:$CA$4,O$4,$T652:$CA652)</f>
        <v/>
      </c>
      <c r="P652" s="245">
        <f>SUMIF($T$4:$CA$4,P$4,$T652:$CA652)</f>
        <v/>
      </c>
      <c r="Q652" s="245">
        <f>SUMIF($T$4:$CA$4,Q$4,$T652:$CA652)</f>
        <v/>
      </c>
      <c r="T652" s="257">
        <f>IF(T$7="Actual","",SUM(i_Assumptions!T68,i_Assumptions!T108,i_Assumptions!T148,i_Assumptions!T188,i_Assumptions!T228,i_Assumptions!T268,i_Assumptions!T308,i_Assumptions!T348,i_Assumptions!T388,i_Assumptions!T428))</f>
        <v/>
      </c>
      <c r="U652" s="257">
        <f>IF(U$7="Actual","",SUM(i_Assumptions!U68,i_Assumptions!U108,i_Assumptions!U148,i_Assumptions!U188,i_Assumptions!U228,i_Assumptions!U268,i_Assumptions!U308,i_Assumptions!U348,i_Assumptions!U388,i_Assumptions!U428))</f>
        <v/>
      </c>
      <c r="V652" s="257">
        <f>IF(V$7="Actual","",SUM(i_Assumptions!V68,i_Assumptions!V108,i_Assumptions!V148,i_Assumptions!V188,i_Assumptions!V228,i_Assumptions!V268,i_Assumptions!V308,i_Assumptions!V348,i_Assumptions!V388,i_Assumptions!V428))</f>
        <v/>
      </c>
      <c r="W652" s="257">
        <f>IF(W$7="Actual","",SUM(i_Assumptions!W68,i_Assumptions!W108,i_Assumptions!W148,i_Assumptions!W188,i_Assumptions!W228,i_Assumptions!W268,i_Assumptions!W308,i_Assumptions!W348,i_Assumptions!W388,i_Assumptions!W428))</f>
        <v/>
      </c>
      <c r="X652" s="257">
        <f>IF(X$7="Actual","",SUM(i_Assumptions!X68,i_Assumptions!X108,i_Assumptions!X148,i_Assumptions!X188,i_Assumptions!X228,i_Assumptions!X268,i_Assumptions!X308,i_Assumptions!X348,i_Assumptions!X388,i_Assumptions!X428))</f>
        <v/>
      </c>
      <c r="Y652" s="257">
        <f>IF(Y$7="Actual","",SUM(i_Assumptions!Y68,i_Assumptions!Y108,i_Assumptions!Y148,i_Assumptions!Y188,i_Assumptions!Y228,i_Assumptions!Y268,i_Assumptions!Y308,i_Assumptions!Y348,i_Assumptions!Y388,i_Assumptions!Y428))</f>
        <v/>
      </c>
      <c r="Z652" s="257">
        <f>IF(Z$7="Actual","",SUM(i_Assumptions!Z68,i_Assumptions!Z108,i_Assumptions!Z148,i_Assumptions!Z188,i_Assumptions!Z228,i_Assumptions!Z268,i_Assumptions!Z308,i_Assumptions!Z348,i_Assumptions!Z388,i_Assumptions!Z428))</f>
        <v/>
      </c>
      <c r="AA652" s="257">
        <f>IF(AA$7="Actual","",SUM(i_Assumptions!AA68,i_Assumptions!AA108,i_Assumptions!AA148,i_Assumptions!AA188,i_Assumptions!AA228,i_Assumptions!AA268,i_Assumptions!AA308,i_Assumptions!AA348,i_Assumptions!AA388,i_Assumptions!AA428))</f>
        <v/>
      </c>
      <c r="AB652" s="257">
        <f>IF(AB$7="Actual","",SUM(i_Assumptions!AB68,i_Assumptions!AB108,i_Assumptions!AB148,i_Assumptions!AB188,i_Assumptions!AB228,i_Assumptions!AB268,i_Assumptions!AB308,i_Assumptions!AB348,i_Assumptions!AB388,i_Assumptions!AB428))</f>
        <v/>
      </c>
      <c r="AC652" s="257">
        <f>IF(AC$7="Actual","",SUM(i_Assumptions!AC68,i_Assumptions!AC108,i_Assumptions!AC148,i_Assumptions!AC188,i_Assumptions!AC228,i_Assumptions!AC268,i_Assumptions!AC308,i_Assumptions!AC348,i_Assumptions!AC388,i_Assumptions!AC428))</f>
        <v/>
      </c>
      <c r="AD652" s="257">
        <f>IF(AD$7="Actual","",SUM(i_Assumptions!AD68,i_Assumptions!AD108,i_Assumptions!AD148,i_Assumptions!AD188,i_Assumptions!AD228,i_Assumptions!AD268,i_Assumptions!AD308,i_Assumptions!AD348,i_Assumptions!AD388,i_Assumptions!AD428))</f>
        <v/>
      </c>
      <c r="AE652" s="257">
        <f>IF(AE$7="Actual","",SUM(i_Assumptions!AE68,i_Assumptions!AE108,i_Assumptions!AE148,i_Assumptions!AE188,i_Assumptions!AE228,i_Assumptions!AE268,i_Assumptions!AE308,i_Assumptions!AE348,i_Assumptions!AE388,i_Assumptions!AE428))</f>
        <v/>
      </c>
      <c r="AF652" s="257">
        <f>IF(AF$7="Actual","",SUM(i_Assumptions!AF68,i_Assumptions!AF108,i_Assumptions!AF148,i_Assumptions!AF188,i_Assumptions!AF228,i_Assumptions!AF268,i_Assumptions!AF308,i_Assumptions!AF348,i_Assumptions!AF388,i_Assumptions!AF428))</f>
        <v/>
      </c>
      <c r="AG652" s="257">
        <f>IF(AG$7="Actual","",SUM(i_Assumptions!AG68,i_Assumptions!AG108,i_Assumptions!AG148,i_Assumptions!AG188,i_Assumptions!AG228,i_Assumptions!AG268,i_Assumptions!AG308,i_Assumptions!AG348,i_Assumptions!AG388,i_Assumptions!AG428))</f>
        <v/>
      </c>
      <c r="AH652" s="257">
        <f>IF(AH$7="Actual","",SUM(i_Assumptions!AH68,i_Assumptions!AH108,i_Assumptions!AH148,i_Assumptions!AH188,i_Assumptions!AH228,i_Assumptions!AH268,i_Assumptions!AH308,i_Assumptions!AH348,i_Assumptions!AH388,i_Assumptions!AH428))</f>
        <v/>
      </c>
      <c r="AI652" s="257">
        <f>IF(AI$7="Actual","",SUM(i_Assumptions!AI68,i_Assumptions!AI108,i_Assumptions!AI148,i_Assumptions!AI188,i_Assumptions!AI228,i_Assumptions!AI268,i_Assumptions!AI308,i_Assumptions!AI348,i_Assumptions!AI388,i_Assumptions!AI428))</f>
        <v/>
      </c>
      <c r="AJ652" s="257">
        <f>IF(AJ$7="Actual","",SUM(i_Assumptions!AJ68,i_Assumptions!AJ108,i_Assumptions!AJ148,i_Assumptions!AJ188,i_Assumptions!AJ228,i_Assumptions!AJ268,i_Assumptions!AJ308,i_Assumptions!AJ348,i_Assumptions!AJ388,i_Assumptions!AJ428))</f>
        <v/>
      </c>
      <c r="AK652" s="257">
        <f>IF(AK$7="Actual","",SUM(i_Assumptions!AK68,i_Assumptions!AK108,i_Assumptions!AK148,i_Assumptions!AK188,i_Assumptions!AK228,i_Assumptions!AK268,i_Assumptions!AK308,i_Assumptions!AK348,i_Assumptions!AK388,i_Assumptions!AK428))</f>
        <v/>
      </c>
      <c r="AL652" s="257">
        <f>IF(AL$7="Actual","",SUM(i_Assumptions!AL68,i_Assumptions!AL108,i_Assumptions!AL148,i_Assumptions!AL188,i_Assumptions!AL228,i_Assumptions!AL268,i_Assumptions!AL308,i_Assumptions!AL348,i_Assumptions!AL388,i_Assumptions!AL428))</f>
        <v/>
      </c>
      <c r="AM652" s="257">
        <f>IF(AM$7="Actual","",SUM(i_Assumptions!AM68,i_Assumptions!AM108,i_Assumptions!AM148,i_Assumptions!AM188,i_Assumptions!AM228,i_Assumptions!AM268,i_Assumptions!AM308,i_Assumptions!AM348,i_Assumptions!AM388,i_Assumptions!AM428))</f>
        <v/>
      </c>
      <c r="AN652" s="257">
        <f>IF(AN$7="Actual","",SUM(i_Assumptions!AN68,i_Assumptions!AN108,i_Assumptions!AN148,i_Assumptions!AN188,i_Assumptions!AN228,i_Assumptions!AN268,i_Assumptions!AN308,i_Assumptions!AN348,i_Assumptions!AN388,i_Assumptions!AN428))</f>
        <v/>
      </c>
      <c r="AO652" s="257">
        <f>IF(AO$7="Actual","",SUM(i_Assumptions!AO68,i_Assumptions!AO108,i_Assumptions!AO148,i_Assumptions!AO188,i_Assumptions!AO228,i_Assumptions!AO268,i_Assumptions!AO308,i_Assumptions!AO348,i_Assumptions!AO388,i_Assumptions!AO428))</f>
        <v/>
      </c>
      <c r="AP652" s="257">
        <f>IF(AP$7="Actual","",SUM(i_Assumptions!AP68,i_Assumptions!AP108,i_Assumptions!AP148,i_Assumptions!AP188,i_Assumptions!AP228,i_Assumptions!AP268,i_Assumptions!AP308,i_Assumptions!AP348,i_Assumptions!AP388,i_Assumptions!AP428))</f>
        <v/>
      </c>
      <c r="AQ652" s="257">
        <f>IF(AQ$7="Actual","",SUM(i_Assumptions!AQ68,i_Assumptions!AQ108,i_Assumptions!AQ148,i_Assumptions!AQ188,i_Assumptions!AQ228,i_Assumptions!AQ268,i_Assumptions!AQ308,i_Assumptions!AQ348,i_Assumptions!AQ388,i_Assumptions!AQ428))</f>
        <v/>
      </c>
      <c r="AR652" s="257">
        <f>IF(AR$7="Actual","",SUM(i_Assumptions!AR68,i_Assumptions!AR108,i_Assumptions!AR148,i_Assumptions!AR188,i_Assumptions!AR228,i_Assumptions!AR268,i_Assumptions!AR308,i_Assumptions!AR348,i_Assumptions!AR388,i_Assumptions!AR428))</f>
        <v/>
      </c>
      <c r="AS652" s="257">
        <f>IF(AS$7="Actual","",SUM(i_Assumptions!AS68,i_Assumptions!AS108,i_Assumptions!AS148,i_Assumptions!AS188,i_Assumptions!AS228,i_Assumptions!AS268,i_Assumptions!AS308,i_Assumptions!AS348,i_Assumptions!AS388,i_Assumptions!AS428))</f>
        <v/>
      </c>
      <c r="AT652" s="257">
        <f>IF(AT$7="Actual","",SUM(i_Assumptions!AT68,i_Assumptions!AT108,i_Assumptions!AT148,i_Assumptions!AT188,i_Assumptions!AT228,i_Assumptions!AT268,i_Assumptions!AT308,i_Assumptions!AT348,i_Assumptions!AT388,i_Assumptions!AT428))</f>
        <v/>
      </c>
      <c r="AU652" s="257">
        <f>IF(AU$7="Actual","",SUM(i_Assumptions!AU68,i_Assumptions!AU108,i_Assumptions!AU148,i_Assumptions!AU188,i_Assumptions!AU228,i_Assumptions!AU268,i_Assumptions!AU308,i_Assumptions!AU348,i_Assumptions!AU388,i_Assumptions!AU428))</f>
        <v/>
      </c>
      <c r="AV652" s="257">
        <f>IF(AV$7="Actual","",SUM(i_Assumptions!AV68,i_Assumptions!AV108,i_Assumptions!AV148,i_Assumptions!AV188,i_Assumptions!AV228,i_Assumptions!AV268,i_Assumptions!AV308,i_Assumptions!AV348,i_Assumptions!AV388,i_Assumptions!AV428))</f>
        <v/>
      </c>
      <c r="AW652" s="257">
        <f>IF(AW$7="Actual","",SUM(i_Assumptions!AW68,i_Assumptions!AW108,i_Assumptions!AW148,i_Assumptions!AW188,i_Assumptions!AW228,i_Assumptions!AW268,i_Assumptions!AW308,i_Assumptions!AW348,i_Assumptions!AW388,i_Assumptions!AW428))</f>
        <v/>
      </c>
      <c r="AX652" s="257">
        <f>IF(AX$7="Actual","",SUM(i_Assumptions!AX68,i_Assumptions!AX108,i_Assumptions!AX148,i_Assumptions!AX188,i_Assumptions!AX228,i_Assumptions!AX268,i_Assumptions!AX308,i_Assumptions!AX348,i_Assumptions!AX388,i_Assumptions!AX428))</f>
        <v/>
      </c>
      <c r="AY652" s="257">
        <f>IF(AY$7="Actual","",SUM(i_Assumptions!AY68,i_Assumptions!AY108,i_Assumptions!AY148,i_Assumptions!AY188,i_Assumptions!AY228,i_Assumptions!AY268,i_Assumptions!AY308,i_Assumptions!AY348,i_Assumptions!AY388,i_Assumptions!AY428))</f>
        <v/>
      </c>
      <c r="AZ652" s="257">
        <f>IF(AZ$7="Actual","",SUM(i_Assumptions!AZ68,i_Assumptions!AZ108,i_Assumptions!AZ148,i_Assumptions!AZ188,i_Assumptions!AZ228,i_Assumptions!AZ268,i_Assumptions!AZ308,i_Assumptions!AZ348,i_Assumptions!AZ388,i_Assumptions!AZ428))</f>
        <v/>
      </c>
      <c r="BA652" s="257">
        <f>IF(BA$7="Actual","",SUM(i_Assumptions!BA68,i_Assumptions!BA108,i_Assumptions!BA148,i_Assumptions!BA188,i_Assumptions!BA228,i_Assumptions!BA268,i_Assumptions!BA308,i_Assumptions!BA348,i_Assumptions!BA388,i_Assumptions!BA428))</f>
        <v/>
      </c>
      <c r="BB652" s="257">
        <f>IF(BB$7="Actual","",SUM(i_Assumptions!BB68,i_Assumptions!BB108,i_Assumptions!BB148,i_Assumptions!BB188,i_Assumptions!BB228,i_Assumptions!BB268,i_Assumptions!BB308,i_Assumptions!BB348,i_Assumptions!BB388,i_Assumptions!BB428))</f>
        <v/>
      </c>
      <c r="BC652" s="257">
        <f>IF(BC$7="Actual","",SUM(i_Assumptions!BC68,i_Assumptions!BC108,i_Assumptions!BC148,i_Assumptions!BC188,i_Assumptions!BC228,i_Assumptions!BC268,i_Assumptions!BC308,i_Assumptions!BC348,i_Assumptions!BC388,i_Assumptions!BC428))</f>
        <v/>
      </c>
      <c r="BD652" s="257">
        <f>IF(BD$7="Actual","",SUM(i_Assumptions!BD68,i_Assumptions!BD108,i_Assumptions!BD148,i_Assumptions!BD188,i_Assumptions!BD228,i_Assumptions!BD268,i_Assumptions!BD308,i_Assumptions!BD348,i_Assumptions!BD388,i_Assumptions!BD428))</f>
        <v/>
      </c>
      <c r="BE652" s="257">
        <f>IF(BE$7="Actual","",SUM(i_Assumptions!BE68,i_Assumptions!BE108,i_Assumptions!BE148,i_Assumptions!BE188,i_Assumptions!BE228,i_Assumptions!BE268,i_Assumptions!BE308,i_Assumptions!BE348,i_Assumptions!BE388,i_Assumptions!BE428))</f>
        <v/>
      </c>
      <c r="BF652" s="257">
        <f>IF(BF$7="Actual","",SUM(i_Assumptions!BF68,i_Assumptions!BF108,i_Assumptions!BF148,i_Assumptions!BF188,i_Assumptions!BF228,i_Assumptions!BF268,i_Assumptions!BF308,i_Assumptions!BF348,i_Assumptions!BF388,i_Assumptions!BF428))</f>
        <v/>
      </c>
      <c r="BG652" s="257">
        <f>IF(BG$7="Actual","",SUM(i_Assumptions!BG68,i_Assumptions!BG108,i_Assumptions!BG148,i_Assumptions!BG188,i_Assumptions!BG228,i_Assumptions!BG268,i_Assumptions!BG308,i_Assumptions!BG348,i_Assumptions!BG388,i_Assumptions!BG428))</f>
        <v/>
      </c>
      <c r="BH652" s="257">
        <f>IF(BH$7="Actual","",SUM(i_Assumptions!BH68,i_Assumptions!BH108,i_Assumptions!BH148,i_Assumptions!BH188,i_Assumptions!BH228,i_Assumptions!BH268,i_Assumptions!BH308,i_Assumptions!BH348,i_Assumptions!BH388,i_Assumptions!BH428))</f>
        <v/>
      </c>
      <c r="BI652" s="257">
        <f>IF(BI$7="Actual","",SUM(i_Assumptions!BI68,i_Assumptions!BI108,i_Assumptions!BI148,i_Assumptions!BI188,i_Assumptions!BI228,i_Assumptions!BI268,i_Assumptions!BI308,i_Assumptions!BI348,i_Assumptions!BI388,i_Assumptions!BI428))</f>
        <v/>
      </c>
      <c r="BJ652" s="257">
        <f>IF(BJ$7="Actual","",SUM(i_Assumptions!BJ68,i_Assumptions!BJ108,i_Assumptions!BJ148,i_Assumptions!BJ188,i_Assumptions!BJ228,i_Assumptions!BJ268,i_Assumptions!BJ308,i_Assumptions!BJ348,i_Assumptions!BJ388,i_Assumptions!BJ428))</f>
        <v/>
      </c>
      <c r="BK652" s="257">
        <f>IF(BK$7="Actual","",SUM(i_Assumptions!BK68,i_Assumptions!BK108,i_Assumptions!BK148,i_Assumptions!BK188,i_Assumptions!BK228,i_Assumptions!BK268,i_Assumptions!BK308,i_Assumptions!BK348,i_Assumptions!BK388,i_Assumptions!BK428))</f>
        <v/>
      </c>
      <c r="BL652" s="257">
        <f>IF(BL$7="Actual","",SUM(i_Assumptions!BL68,i_Assumptions!BL108,i_Assumptions!BL148,i_Assumptions!BL188,i_Assumptions!BL228,i_Assumptions!BL268,i_Assumptions!BL308,i_Assumptions!BL348,i_Assumptions!BL388,i_Assumptions!BL428))</f>
        <v/>
      </c>
      <c r="BM652" s="257">
        <f>IF(BM$7="Actual","",SUM(i_Assumptions!BM68,i_Assumptions!BM108,i_Assumptions!BM148,i_Assumptions!BM188,i_Assumptions!BM228,i_Assumptions!BM268,i_Assumptions!BM308,i_Assumptions!BM348,i_Assumptions!BM388,i_Assumptions!BM428))</f>
        <v/>
      </c>
      <c r="BN652" s="257">
        <f>IF(BN$7="Actual","",SUM(i_Assumptions!BN68,i_Assumptions!BN108,i_Assumptions!BN148,i_Assumptions!BN188,i_Assumptions!BN228,i_Assumptions!BN268,i_Assumptions!BN308,i_Assumptions!BN348,i_Assumptions!BN388,i_Assumptions!BN428))</f>
        <v/>
      </c>
      <c r="BO652" s="257">
        <f>IF(BO$7="Actual","",SUM(i_Assumptions!BO68,i_Assumptions!BO108,i_Assumptions!BO148,i_Assumptions!BO188,i_Assumptions!BO228,i_Assumptions!BO268,i_Assumptions!BO308,i_Assumptions!BO348,i_Assumptions!BO388,i_Assumptions!BO428))</f>
        <v/>
      </c>
      <c r="BP652" s="257">
        <f>IF(BP$7="Actual","",SUM(i_Assumptions!BP68,i_Assumptions!BP108,i_Assumptions!BP148,i_Assumptions!BP188,i_Assumptions!BP228,i_Assumptions!BP268,i_Assumptions!BP308,i_Assumptions!BP348,i_Assumptions!BP388,i_Assumptions!BP428))</f>
        <v/>
      </c>
      <c r="BQ652" s="257">
        <f>IF(BQ$7="Actual","",SUM(i_Assumptions!BQ68,i_Assumptions!BQ108,i_Assumptions!BQ148,i_Assumptions!BQ188,i_Assumptions!BQ228,i_Assumptions!BQ268,i_Assumptions!BQ308,i_Assumptions!BQ348,i_Assumptions!BQ388,i_Assumptions!BQ428))</f>
        <v/>
      </c>
      <c r="BR652" s="257">
        <f>IF(BR$7="Actual","",SUM(i_Assumptions!BR68,i_Assumptions!BR108,i_Assumptions!BR148,i_Assumptions!BR188,i_Assumptions!BR228,i_Assumptions!BR268,i_Assumptions!BR308,i_Assumptions!BR348,i_Assumptions!BR388,i_Assumptions!BR428))</f>
        <v/>
      </c>
      <c r="BS652" s="257">
        <f>IF(BS$7="Actual","",SUM(i_Assumptions!BS68,i_Assumptions!BS108,i_Assumptions!BS148,i_Assumptions!BS188,i_Assumptions!BS228,i_Assumptions!BS268,i_Assumptions!BS308,i_Assumptions!BS348,i_Assumptions!BS388,i_Assumptions!BS428))</f>
        <v/>
      </c>
      <c r="BT652" s="257">
        <f>IF(BT$7="Actual","",SUM(i_Assumptions!BT68,i_Assumptions!BT108,i_Assumptions!BT148,i_Assumptions!BT188,i_Assumptions!BT228,i_Assumptions!BT268,i_Assumptions!BT308,i_Assumptions!BT348,i_Assumptions!BT388,i_Assumptions!BT428))</f>
        <v/>
      </c>
      <c r="BU652" s="257">
        <f>IF(BU$7="Actual","",SUM(i_Assumptions!BU68,i_Assumptions!BU108,i_Assumptions!BU148,i_Assumptions!BU188,i_Assumptions!BU228,i_Assumptions!BU268,i_Assumptions!BU308,i_Assumptions!BU348,i_Assumptions!BU388,i_Assumptions!BU428))</f>
        <v/>
      </c>
      <c r="BV652" s="257">
        <f>IF(BV$7="Actual","",SUM(i_Assumptions!BV68,i_Assumptions!BV108,i_Assumptions!BV148,i_Assumptions!BV188,i_Assumptions!BV228,i_Assumptions!BV268,i_Assumptions!BV308,i_Assumptions!BV348,i_Assumptions!BV388,i_Assumptions!BV428))</f>
        <v/>
      </c>
      <c r="BW652" s="257">
        <f>IF(BW$7="Actual","",SUM(i_Assumptions!BW68,i_Assumptions!BW108,i_Assumptions!BW148,i_Assumptions!BW188,i_Assumptions!BW228,i_Assumptions!BW268,i_Assumptions!BW308,i_Assumptions!BW348,i_Assumptions!BW388,i_Assumptions!BW428))</f>
        <v/>
      </c>
      <c r="BX652" s="257">
        <f>IF(BX$7="Actual","",SUM(i_Assumptions!BX68,i_Assumptions!BX108,i_Assumptions!BX148,i_Assumptions!BX188,i_Assumptions!BX228,i_Assumptions!BX268,i_Assumptions!BX308,i_Assumptions!BX348,i_Assumptions!BX388,i_Assumptions!BX428))</f>
        <v/>
      </c>
      <c r="BY652" s="257">
        <f>IF(BY$7="Actual","",SUM(i_Assumptions!BY68,i_Assumptions!BY108,i_Assumptions!BY148,i_Assumptions!BY188,i_Assumptions!BY228,i_Assumptions!BY268,i_Assumptions!BY308,i_Assumptions!BY348,i_Assumptions!BY388,i_Assumptions!BY428))</f>
        <v/>
      </c>
      <c r="BZ652" s="257">
        <f>IF(BZ$7="Actual","",SUM(i_Assumptions!BZ68,i_Assumptions!BZ108,i_Assumptions!BZ148,i_Assumptions!BZ188,i_Assumptions!BZ228,i_Assumptions!BZ268,i_Assumptions!BZ308,i_Assumptions!BZ348,i_Assumptions!BZ388,i_Assumptions!BZ428))</f>
        <v/>
      </c>
      <c r="CA652" s="257">
        <f>IF(CA$7="Actual","",SUM(i_Assumptions!CA68,i_Assumptions!CA108,i_Assumptions!CA148,i_Assumptions!CA188,i_Assumptions!CA228,i_Assumptions!CA268,i_Assumptions!CA308,i_Assumptions!CA348,i_Assumptions!CA388,i_Assumptions!CA428))</f>
        <v/>
      </c>
    </row>
    <row r="653" ht="12" customHeight="1" s="227">
      <c r="A653" s="244" t="n"/>
      <c r="B653" s="244" t="n"/>
      <c r="C653" s="244" t="n"/>
      <c r="H653" s="4">
        <f>i_Setup!U71</f>
        <v/>
      </c>
      <c r="I653" s="27">
        <f>i_Setup!$M$16</f>
        <v/>
      </c>
      <c r="K653" s="6" t="n"/>
      <c r="M653" s="245">
        <f>SUMIF($T$4:$CA$4,M$4,$T653:$CA653)</f>
        <v/>
      </c>
      <c r="N653" s="245">
        <f>SUMIF($T$4:$CA$4,N$4,$T653:$CA653)</f>
        <v/>
      </c>
      <c r="O653" s="245">
        <f>SUMIF($T$4:$CA$4,O$4,$T653:$CA653)</f>
        <v/>
      </c>
      <c r="P653" s="245">
        <f>SUMIF($T$4:$CA$4,P$4,$T653:$CA653)</f>
        <v/>
      </c>
      <c r="Q653" s="245">
        <f>SUMIF($T$4:$CA$4,Q$4,$T653:$CA653)</f>
        <v/>
      </c>
      <c r="T653" s="257">
        <f>IF(T$7="Actual","",SUM(i_Assumptions!T69,i_Assumptions!T109,i_Assumptions!T149,i_Assumptions!T189,i_Assumptions!T229,i_Assumptions!T269,i_Assumptions!T309,i_Assumptions!T349,i_Assumptions!T389,i_Assumptions!T429))</f>
        <v/>
      </c>
      <c r="U653" s="257">
        <f>IF(U$7="Actual","",SUM(i_Assumptions!U69,i_Assumptions!U109,i_Assumptions!U149,i_Assumptions!U189,i_Assumptions!U229,i_Assumptions!U269,i_Assumptions!U309,i_Assumptions!U349,i_Assumptions!U389,i_Assumptions!U429))</f>
        <v/>
      </c>
      <c r="V653" s="257">
        <f>IF(V$7="Actual","",SUM(i_Assumptions!V69,i_Assumptions!V109,i_Assumptions!V149,i_Assumptions!V189,i_Assumptions!V229,i_Assumptions!V269,i_Assumptions!V309,i_Assumptions!V349,i_Assumptions!V389,i_Assumptions!V429))</f>
        <v/>
      </c>
      <c r="W653" s="257">
        <f>IF(W$7="Actual","",SUM(i_Assumptions!W69,i_Assumptions!W109,i_Assumptions!W149,i_Assumptions!W189,i_Assumptions!W229,i_Assumptions!W269,i_Assumptions!W309,i_Assumptions!W349,i_Assumptions!W389,i_Assumptions!W429))</f>
        <v/>
      </c>
      <c r="X653" s="257">
        <f>IF(X$7="Actual","",SUM(i_Assumptions!X69,i_Assumptions!X109,i_Assumptions!X149,i_Assumptions!X189,i_Assumptions!X229,i_Assumptions!X269,i_Assumptions!X309,i_Assumptions!X349,i_Assumptions!X389,i_Assumptions!X429))</f>
        <v/>
      </c>
      <c r="Y653" s="257">
        <f>IF(Y$7="Actual","",SUM(i_Assumptions!Y69,i_Assumptions!Y109,i_Assumptions!Y149,i_Assumptions!Y189,i_Assumptions!Y229,i_Assumptions!Y269,i_Assumptions!Y309,i_Assumptions!Y349,i_Assumptions!Y389,i_Assumptions!Y429))</f>
        <v/>
      </c>
      <c r="Z653" s="257">
        <f>IF(Z$7="Actual","",SUM(i_Assumptions!Z69,i_Assumptions!Z109,i_Assumptions!Z149,i_Assumptions!Z189,i_Assumptions!Z229,i_Assumptions!Z269,i_Assumptions!Z309,i_Assumptions!Z349,i_Assumptions!Z389,i_Assumptions!Z429))</f>
        <v/>
      </c>
      <c r="AA653" s="257">
        <f>IF(AA$7="Actual","",SUM(i_Assumptions!AA69,i_Assumptions!AA109,i_Assumptions!AA149,i_Assumptions!AA189,i_Assumptions!AA229,i_Assumptions!AA269,i_Assumptions!AA309,i_Assumptions!AA349,i_Assumptions!AA389,i_Assumptions!AA429))</f>
        <v/>
      </c>
      <c r="AB653" s="257">
        <f>IF(AB$7="Actual","",SUM(i_Assumptions!AB69,i_Assumptions!AB109,i_Assumptions!AB149,i_Assumptions!AB189,i_Assumptions!AB229,i_Assumptions!AB269,i_Assumptions!AB309,i_Assumptions!AB349,i_Assumptions!AB389,i_Assumptions!AB429))</f>
        <v/>
      </c>
      <c r="AC653" s="257">
        <f>IF(AC$7="Actual","",SUM(i_Assumptions!AC69,i_Assumptions!AC109,i_Assumptions!AC149,i_Assumptions!AC189,i_Assumptions!AC229,i_Assumptions!AC269,i_Assumptions!AC309,i_Assumptions!AC349,i_Assumptions!AC389,i_Assumptions!AC429))</f>
        <v/>
      </c>
      <c r="AD653" s="257">
        <f>IF(AD$7="Actual","",SUM(i_Assumptions!AD69,i_Assumptions!AD109,i_Assumptions!AD149,i_Assumptions!AD189,i_Assumptions!AD229,i_Assumptions!AD269,i_Assumptions!AD309,i_Assumptions!AD349,i_Assumptions!AD389,i_Assumptions!AD429))</f>
        <v/>
      </c>
      <c r="AE653" s="257">
        <f>IF(AE$7="Actual","",SUM(i_Assumptions!AE69,i_Assumptions!AE109,i_Assumptions!AE149,i_Assumptions!AE189,i_Assumptions!AE229,i_Assumptions!AE269,i_Assumptions!AE309,i_Assumptions!AE349,i_Assumptions!AE389,i_Assumptions!AE429))</f>
        <v/>
      </c>
      <c r="AF653" s="257">
        <f>IF(AF$7="Actual","",SUM(i_Assumptions!AF69,i_Assumptions!AF109,i_Assumptions!AF149,i_Assumptions!AF189,i_Assumptions!AF229,i_Assumptions!AF269,i_Assumptions!AF309,i_Assumptions!AF349,i_Assumptions!AF389,i_Assumptions!AF429))</f>
        <v/>
      </c>
      <c r="AG653" s="257">
        <f>IF(AG$7="Actual","",SUM(i_Assumptions!AG69,i_Assumptions!AG109,i_Assumptions!AG149,i_Assumptions!AG189,i_Assumptions!AG229,i_Assumptions!AG269,i_Assumptions!AG309,i_Assumptions!AG349,i_Assumptions!AG389,i_Assumptions!AG429))</f>
        <v/>
      </c>
      <c r="AH653" s="257">
        <f>IF(AH$7="Actual","",SUM(i_Assumptions!AH69,i_Assumptions!AH109,i_Assumptions!AH149,i_Assumptions!AH189,i_Assumptions!AH229,i_Assumptions!AH269,i_Assumptions!AH309,i_Assumptions!AH349,i_Assumptions!AH389,i_Assumptions!AH429))</f>
        <v/>
      </c>
      <c r="AI653" s="257">
        <f>IF(AI$7="Actual","",SUM(i_Assumptions!AI69,i_Assumptions!AI109,i_Assumptions!AI149,i_Assumptions!AI189,i_Assumptions!AI229,i_Assumptions!AI269,i_Assumptions!AI309,i_Assumptions!AI349,i_Assumptions!AI389,i_Assumptions!AI429))</f>
        <v/>
      </c>
      <c r="AJ653" s="257">
        <f>IF(AJ$7="Actual","",SUM(i_Assumptions!AJ69,i_Assumptions!AJ109,i_Assumptions!AJ149,i_Assumptions!AJ189,i_Assumptions!AJ229,i_Assumptions!AJ269,i_Assumptions!AJ309,i_Assumptions!AJ349,i_Assumptions!AJ389,i_Assumptions!AJ429))</f>
        <v/>
      </c>
      <c r="AK653" s="257">
        <f>IF(AK$7="Actual","",SUM(i_Assumptions!AK69,i_Assumptions!AK109,i_Assumptions!AK149,i_Assumptions!AK189,i_Assumptions!AK229,i_Assumptions!AK269,i_Assumptions!AK309,i_Assumptions!AK349,i_Assumptions!AK389,i_Assumptions!AK429))</f>
        <v/>
      </c>
      <c r="AL653" s="257">
        <f>IF(AL$7="Actual","",SUM(i_Assumptions!AL69,i_Assumptions!AL109,i_Assumptions!AL149,i_Assumptions!AL189,i_Assumptions!AL229,i_Assumptions!AL269,i_Assumptions!AL309,i_Assumptions!AL349,i_Assumptions!AL389,i_Assumptions!AL429))</f>
        <v/>
      </c>
      <c r="AM653" s="257">
        <f>IF(AM$7="Actual","",SUM(i_Assumptions!AM69,i_Assumptions!AM109,i_Assumptions!AM149,i_Assumptions!AM189,i_Assumptions!AM229,i_Assumptions!AM269,i_Assumptions!AM309,i_Assumptions!AM349,i_Assumptions!AM389,i_Assumptions!AM429))</f>
        <v/>
      </c>
      <c r="AN653" s="257">
        <f>IF(AN$7="Actual","",SUM(i_Assumptions!AN69,i_Assumptions!AN109,i_Assumptions!AN149,i_Assumptions!AN189,i_Assumptions!AN229,i_Assumptions!AN269,i_Assumptions!AN309,i_Assumptions!AN349,i_Assumptions!AN389,i_Assumptions!AN429))</f>
        <v/>
      </c>
      <c r="AO653" s="257">
        <f>IF(AO$7="Actual","",SUM(i_Assumptions!AO69,i_Assumptions!AO109,i_Assumptions!AO149,i_Assumptions!AO189,i_Assumptions!AO229,i_Assumptions!AO269,i_Assumptions!AO309,i_Assumptions!AO349,i_Assumptions!AO389,i_Assumptions!AO429))</f>
        <v/>
      </c>
      <c r="AP653" s="257">
        <f>IF(AP$7="Actual","",SUM(i_Assumptions!AP69,i_Assumptions!AP109,i_Assumptions!AP149,i_Assumptions!AP189,i_Assumptions!AP229,i_Assumptions!AP269,i_Assumptions!AP309,i_Assumptions!AP349,i_Assumptions!AP389,i_Assumptions!AP429))</f>
        <v/>
      </c>
      <c r="AQ653" s="257">
        <f>IF(AQ$7="Actual","",SUM(i_Assumptions!AQ69,i_Assumptions!AQ109,i_Assumptions!AQ149,i_Assumptions!AQ189,i_Assumptions!AQ229,i_Assumptions!AQ269,i_Assumptions!AQ309,i_Assumptions!AQ349,i_Assumptions!AQ389,i_Assumptions!AQ429))</f>
        <v/>
      </c>
      <c r="AR653" s="257">
        <f>IF(AR$7="Actual","",SUM(i_Assumptions!AR69,i_Assumptions!AR109,i_Assumptions!AR149,i_Assumptions!AR189,i_Assumptions!AR229,i_Assumptions!AR269,i_Assumptions!AR309,i_Assumptions!AR349,i_Assumptions!AR389,i_Assumptions!AR429))</f>
        <v/>
      </c>
      <c r="AS653" s="257">
        <f>IF(AS$7="Actual","",SUM(i_Assumptions!AS69,i_Assumptions!AS109,i_Assumptions!AS149,i_Assumptions!AS189,i_Assumptions!AS229,i_Assumptions!AS269,i_Assumptions!AS309,i_Assumptions!AS349,i_Assumptions!AS389,i_Assumptions!AS429))</f>
        <v/>
      </c>
      <c r="AT653" s="257">
        <f>IF(AT$7="Actual","",SUM(i_Assumptions!AT69,i_Assumptions!AT109,i_Assumptions!AT149,i_Assumptions!AT189,i_Assumptions!AT229,i_Assumptions!AT269,i_Assumptions!AT309,i_Assumptions!AT349,i_Assumptions!AT389,i_Assumptions!AT429))</f>
        <v/>
      </c>
      <c r="AU653" s="257">
        <f>IF(AU$7="Actual","",SUM(i_Assumptions!AU69,i_Assumptions!AU109,i_Assumptions!AU149,i_Assumptions!AU189,i_Assumptions!AU229,i_Assumptions!AU269,i_Assumptions!AU309,i_Assumptions!AU349,i_Assumptions!AU389,i_Assumptions!AU429))</f>
        <v/>
      </c>
      <c r="AV653" s="257">
        <f>IF(AV$7="Actual","",SUM(i_Assumptions!AV69,i_Assumptions!AV109,i_Assumptions!AV149,i_Assumptions!AV189,i_Assumptions!AV229,i_Assumptions!AV269,i_Assumptions!AV309,i_Assumptions!AV349,i_Assumptions!AV389,i_Assumptions!AV429))</f>
        <v/>
      </c>
      <c r="AW653" s="257">
        <f>IF(AW$7="Actual","",SUM(i_Assumptions!AW69,i_Assumptions!AW109,i_Assumptions!AW149,i_Assumptions!AW189,i_Assumptions!AW229,i_Assumptions!AW269,i_Assumptions!AW309,i_Assumptions!AW349,i_Assumptions!AW389,i_Assumptions!AW429))</f>
        <v/>
      </c>
      <c r="AX653" s="257">
        <f>IF(AX$7="Actual","",SUM(i_Assumptions!AX69,i_Assumptions!AX109,i_Assumptions!AX149,i_Assumptions!AX189,i_Assumptions!AX229,i_Assumptions!AX269,i_Assumptions!AX309,i_Assumptions!AX349,i_Assumptions!AX389,i_Assumptions!AX429))</f>
        <v/>
      </c>
      <c r="AY653" s="257">
        <f>IF(AY$7="Actual","",SUM(i_Assumptions!AY69,i_Assumptions!AY109,i_Assumptions!AY149,i_Assumptions!AY189,i_Assumptions!AY229,i_Assumptions!AY269,i_Assumptions!AY309,i_Assumptions!AY349,i_Assumptions!AY389,i_Assumptions!AY429))</f>
        <v/>
      </c>
      <c r="AZ653" s="257">
        <f>IF(AZ$7="Actual","",SUM(i_Assumptions!AZ69,i_Assumptions!AZ109,i_Assumptions!AZ149,i_Assumptions!AZ189,i_Assumptions!AZ229,i_Assumptions!AZ269,i_Assumptions!AZ309,i_Assumptions!AZ349,i_Assumptions!AZ389,i_Assumptions!AZ429))</f>
        <v/>
      </c>
      <c r="BA653" s="257">
        <f>IF(BA$7="Actual","",SUM(i_Assumptions!BA69,i_Assumptions!BA109,i_Assumptions!BA149,i_Assumptions!BA189,i_Assumptions!BA229,i_Assumptions!BA269,i_Assumptions!BA309,i_Assumptions!BA349,i_Assumptions!BA389,i_Assumptions!BA429))</f>
        <v/>
      </c>
      <c r="BB653" s="257">
        <f>IF(BB$7="Actual","",SUM(i_Assumptions!BB69,i_Assumptions!BB109,i_Assumptions!BB149,i_Assumptions!BB189,i_Assumptions!BB229,i_Assumptions!BB269,i_Assumptions!BB309,i_Assumptions!BB349,i_Assumptions!BB389,i_Assumptions!BB429))</f>
        <v/>
      </c>
      <c r="BC653" s="257">
        <f>IF(BC$7="Actual","",SUM(i_Assumptions!BC69,i_Assumptions!BC109,i_Assumptions!BC149,i_Assumptions!BC189,i_Assumptions!BC229,i_Assumptions!BC269,i_Assumptions!BC309,i_Assumptions!BC349,i_Assumptions!BC389,i_Assumptions!BC429))</f>
        <v/>
      </c>
      <c r="BD653" s="257">
        <f>IF(BD$7="Actual","",SUM(i_Assumptions!BD69,i_Assumptions!BD109,i_Assumptions!BD149,i_Assumptions!BD189,i_Assumptions!BD229,i_Assumptions!BD269,i_Assumptions!BD309,i_Assumptions!BD349,i_Assumptions!BD389,i_Assumptions!BD429))</f>
        <v/>
      </c>
      <c r="BE653" s="257">
        <f>IF(BE$7="Actual","",SUM(i_Assumptions!BE69,i_Assumptions!BE109,i_Assumptions!BE149,i_Assumptions!BE189,i_Assumptions!BE229,i_Assumptions!BE269,i_Assumptions!BE309,i_Assumptions!BE349,i_Assumptions!BE389,i_Assumptions!BE429))</f>
        <v/>
      </c>
      <c r="BF653" s="257">
        <f>IF(BF$7="Actual","",SUM(i_Assumptions!BF69,i_Assumptions!BF109,i_Assumptions!BF149,i_Assumptions!BF189,i_Assumptions!BF229,i_Assumptions!BF269,i_Assumptions!BF309,i_Assumptions!BF349,i_Assumptions!BF389,i_Assumptions!BF429))</f>
        <v/>
      </c>
      <c r="BG653" s="257">
        <f>IF(BG$7="Actual","",SUM(i_Assumptions!BG69,i_Assumptions!BG109,i_Assumptions!BG149,i_Assumptions!BG189,i_Assumptions!BG229,i_Assumptions!BG269,i_Assumptions!BG309,i_Assumptions!BG349,i_Assumptions!BG389,i_Assumptions!BG429))</f>
        <v/>
      </c>
      <c r="BH653" s="257">
        <f>IF(BH$7="Actual","",SUM(i_Assumptions!BH69,i_Assumptions!BH109,i_Assumptions!BH149,i_Assumptions!BH189,i_Assumptions!BH229,i_Assumptions!BH269,i_Assumptions!BH309,i_Assumptions!BH349,i_Assumptions!BH389,i_Assumptions!BH429))</f>
        <v/>
      </c>
      <c r="BI653" s="257">
        <f>IF(BI$7="Actual","",SUM(i_Assumptions!BI69,i_Assumptions!BI109,i_Assumptions!BI149,i_Assumptions!BI189,i_Assumptions!BI229,i_Assumptions!BI269,i_Assumptions!BI309,i_Assumptions!BI349,i_Assumptions!BI389,i_Assumptions!BI429))</f>
        <v/>
      </c>
      <c r="BJ653" s="257">
        <f>IF(BJ$7="Actual","",SUM(i_Assumptions!BJ69,i_Assumptions!BJ109,i_Assumptions!BJ149,i_Assumptions!BJ189,i_Assumptions!BJ229,i_Assumptions!BJ269,i_Assumptions!BJ309,i_Assumptions!BJ349,i_Assumptions!BJ389,i_Assumptions!BJ429))</f>
        <v/>
      </c>
      <c r="BK653" s="257">
        <f>IF(BK$7="Actual","",SUM(i_Assumptions!BK69,i_Assumptions!BK109,i_Assumptions!BK149,i_Assumptions!BK189,i_Assumptions!BK229,i_Assumptions!BK269,i_Assumptions!BK309,i_Assumptions!BK349,i_Assumptions!BK389,i_Assumptions!BK429))</f>
        <v/>
      </c>
      <c r="BL653" s="257">
        <f>IF(BL$7="Actual","",SUM(i_Assumptions!BL69,i_Assumptions!BL109,i_Assumptions!BL149,i_Assumptions!BL189,i_Assumptions!BL229,i_Assumptions!BL269,i_Assumptions!BL309,i_Assumptions!BL349,i_Assumptions!BL389,i_Assumptions!BL429))</f>
        <v/>
      </c>
      <c r="BM653" s="257">
        <f>IF(BM$7="Actual","",SUM(i_Assumptions!BM69,i_Assumptions!BM109,i_Assumptions!BM149,i_Assumptions!BM189,i_Assumptions!BM229,i_Assumptions!BM269,i_Assumptions!BM309,i_Assumptions!BM349,i_Assumptions!BM389,i_Assumptions!BM429))</f>
        <v/>
      </c>
      <c r="BN653" s="257">
        <f>IF(BN$7="Actual","",SUM(i_Assumptions!BN69,i_Assumptions!BN109,i_Assumptions!BN149,i_Assumptions!BN189,i_Assumptions!BN229,i_Assumptions!BN269,i_Assumptions!BN309,i_Assumptions!BN349,i_Assumptions!BN389,i_Assumptions!BN429))</f>
        <v/>
      </c>
      <c r="BO653" s="257">
        <f>IF(BO$7="Actual","",SUM(i_Assumptions!BO69,i_Assumptions!BO109,i_Assumptions!BO149,i_Assumptions!BO189,i_Assumptions!BO229,i_Assumptions!BO269,i_Assumptions!BO309,i_Assumptions!BO349,i_Assumptions!BO389,i_Assumptions!BO429))</f>
        <v/>
      </c>
      <c r="BP653" s="257">
        <f>IF(BP$7="Actual","",SUM(i_Assumptions!BP69,i_Assumptions!BP109,i_Assumptions!BP149,i_Assumptions!BP189,i_Assumptions!BP229,i_Assumptions!BP269,i_Assumptions!BP309,i_Assumptions!BP349,i_Assumptions!BP389,i_Assumptions!BP429))</f>
        <v/>
      </c>
      <c r="BQ653" s="257">
        <f>IF(BQ$7="Actual","",SUM(i_Assumptions!BQ69,i_Assumptions!BQ109,i_Assumptions!BQ149,i_Assumptions!BQ189,i_Assumptions!BQ229,i_Assumptions!BQ269,i_Assumptions!BQ309,i_Assumptions!BQ349,i_Assumptions!BQ389,i_Assumptions!BQ429))</f>
        <v/>
      </c>
      <c r="BR653" s="257">
        <f>IF(BR$7="Actual","",SUM(i_Assumptions!BR69,i_Assumptions!BR109,i_Assumptions!BR149,i_Assumptions!BR189,i_Assumptions!BR229,i_Assumptions!BR269,i_Assumptions!BR309,i_Assumptions!BR349,i_Assumptions!BR389,i_Assumptions!BR429))</f>
        <v/>
      </c>
      <c r="BS653" s="257">
        <f>IF(BS$7="Actual","",SUM(i_Assumptions!BS69,i_Assumptions!BS109,i_Assumptions!BS149,i_Assumptions!BS189,i_Assumptions!BS229,i_Assumptions!BS269,i_Assumptions!BS309,i_Assumptions!BS349,i_Assumptions!BS389,i_Assumptions!BS429))</f>
        <v/>
      </c>
      <c r="BT653" s="257">
        <f>IF(BT$7="Actual","",SUM(i_Assumptions!BT69,i_Assumptions!BT109,i_Assumptions!BT149,i_Assumptions!BT189,i_Assumptions!BT229,i_Assumptions!BT269,i_Assumptions!BT309,i_Assumptions!BT349,i_Assumptions!BT389,i_Assumptions!BT429))</f>
        <v/>
      </c>
      <c r="BU653" s="257">
        <f>IF(BU$7="Actual","",SUM(i_Assumptions!BU69,i_Assumptions!BU109,i_Assumptions!BU149,i_Assumptions!BU189,i_Assumptions!BU229,i_Assumptions!BU269,i_Assumptions!BU309,i_Assumptions!BU349,i_Assumptions!BU389,i_Assumptions!BU429))</f>
        <v/>
      </c>
      <c r="BV653" s="257">
        <f>IF(BV$7="Actual","",SUM(i_Assumptions!BV69,i_Assumptions!BV109,i_Assumptions!BV149,i_Assumptions!BV189,i_Assumptions!BV229,i_Assumptions!BV269,i_Assumptions!BV309,i_Assumptions!BV349,i_Assumptions!BV389,i_Assumptions!BV429))</f>
        <v/>
      </c>
      <c r="BW653" s="257">
        <f>IF(BW$7="Actual","",SUM(i_Assumptions!BW69,i_Assumptions!BW109,i_Assumptions!BW149,i_Assumptions!BW189,i_Assumptions!BW229,i_Assumptions!BW269,i_Assumptions!BW309,i_Assumptions!BW349,i_Assumptions!BW389,i_Assumptions!BW429))</f>
        <v/>
      </c>
      <c r="BX653" s="257">
        <f>IF(BX$7="Actual","",SUM(i_Assumptions!BX69,i_Assumptions!BX109,i_Assumptions!BX149,i_Assumptions!BX189,i_Assumptions!BX229,i_Assumptions!BX269,i_Assumptions!BX309,i_Assumptions!BX349,i_Assumptions!BX389,i_Assumptions!BX429))</f>
        <v/>
      </c>
      <c r="BY653" s="257">
        <f>IF(BY$7="Actual","",SUM(i_Assumptions!BY69,i_Assumptions!BY109,i_Assumptions!BY149,i_Assumptions!BY189,i_Assumptions!BY229,i_Assumptions!BY269,i_Assumptions!BY309,i_Assumptions!BY349,i_Assumptions!BY389,i_Assumptions!BY429))</f>
        <v/>
      </c>
      <c r="BZ653" s="257">
        <f>IF(BZ$7="Actual","",SUM(i_Assumptions!BZ69,i_Assumptions!BZ109,i_Assumptions!BZ149,i_Assumptions!BZ189,i_Assumptions!BZ229,i_Assumptions!BZ269,i_Assumptions!BZ309,i_Assumptions!BZ349,i_Assumptions!BZ389,i_Assumptions!BZ429))</f>
        <v/>
      </c>
      <c r="CA653" s="257">
        <f>IF(CA$7="Actual","",SUM(i_Assumptions!CA69,i_Assumptions!CA109,i_Assumptions!CA149,i_Assumptions!CA189,i_Assumptions!CA229,i_Assumptions!CA269,i_Assumptions!CA309,i_Assumptions!CA349,i_Assumptions!CA389,i_Assumptions!CA429))</f>
        <v/>
      </c>
    </row>
    <row r="654" ht="12" customHeight="1" s="227">
      <c r="A654" s="244" t="n"/>
      <c r="B654" s="244" t="n"/>
      <c r="C654" s="244" t="n"/>
      <c r="H654" s="4">
        <f>i_Setup!U72</f>
        <v/>
      </c>
      <c r="I654" s="27">
        <f>i_Setup!$M$16</f>
        <v/>
      </c>
      <c r="K654" s="6" t="n"/>
      <c r="M654" s="245">
        <f>SUMIF($T$4:$CA$4,M$4,$T654:$CA654)</f>
        <v/>
      </c>
      <c r="N654" s="245">
        <f>SUMIF($T$4:$CA$4,N$4,$T654:$CA654)</f>
        <v/>
      </c>
      <c r="O654" s="245">
        <f>SUMIF($T$4:$CA$4,O$4,$T654:$CA654)</f>
        <v/>
      </c>
      <c r="P654" s="245">
        <f>SUMIF($T$4:$CA$4,P$4,$T654:$CA654)</f>
        <v/>
      </c>
      <c r="Q654" s="245">
        <f>SUMIF($T$4:$CA$4,Q$4,$T654:$CA654)</f>
        <v/>
      </c>
      <c r="T654" s="257">
        <f>IF(T$7="Actual","",SUM(i_Assumptions!T70,i_Assumptions!T110,i_Assumptions!T150,i_Assumptions!T190,i_Assumptions!T230,i_Assumptions!T270,i_Assumptions!T310,i_Assumptions!T350,i_Assumptions!T390,i_Assumptions!T430))</f>
        <v/>
      </c>
      <c r="U654" s="257">
        <f>IF(U$7="Actual","",SUM(i_Assumptions!U70,i_Assumptions!U110,i_Assumptions!U150,i_Assumptions!U190,i_Assumptions!U230,i_Assumptions!U270,i_Assumptions!U310,i_Assumptions!U350,i_Assumptions!U390,i_Assumptions!U430))</f>
        <v/>
      </c>
      <c r="V654" s="257">
        <f>IF(V$7="Actual","",SUM(i_Assumptions!V70,i_Assumptions!V110,i_Assumptions!V150,i_Assumptions!V190,i_Assumptions!V230,i_Assumptions!V270,i_Assumptions!V310,i_Assumptions!V350,i_Assumptions!V390,i_Assumptions!V430))</f>
        <v/>
      </c>
      <c r="W654" s="257">
        <f>IF(W$7="Actual","",SUM(i_Assumptions!W70,i_Assumptions!W110,i_Assumptions!W150,i_Assumptions!W190,i_Assumptions!W230,i_Assumptions!W270,i_Assumptions!W310,i_Assumptions!W350,i_Assumptions!W390,i_Assumptions!W430))</f>
        <v/>
      </c>
      <c r="X654" s="257">
        <f>IF(X$7="Actual","",SUM(i_Assumptions!X70,i_Assumptions!X110,i_Assumptions!X150,i_Assumptions!X190,i_Assumptions!X230,i_Assumptions!X270,i_Assumptions!X310,i_Assumptions!X350,i_Assumptions!X390,i_Assumptions!X430))</f>
        <v/>
      </c>
      <c r="Y654" s="257">
        <f>IF(Y$7="Actual","",SUM(i_Assumptions!Y70,i_Assumptions!Y110,i_Assumptions!Y150,i_Assumptions!Y190,i_Assumptions!Y230,i_Assumptions!Y270,i_Assumptions!Y310,i_Assumptions!Y350,i_Assumptions!Y390,i_Assumptions!Y430))</f>
        <v/>
      </c>
      <c r="Z654" s="257">
        <f>IF(Z$7="Actual","",SUM(i_Assumptions!Z70,i_Assumptions!Z110,i_Assumptions!Z150,i_Assumptions!Z190,i_Assumptions!Z230,i_Assumptions!Z270,i_Assumptions!Z310,i_Assumptions!Z350,i_Assumptions!Z390,i_Assumptions!Z430))</f>
        <v/>
      </c>
      <c r="AA654" s="257">
        <f>IF(AA$7="Actual","",SUM(i_Assumptions!AA70,i_Assumptions!AA110,i_Assumptions!AA150,i_Assumptions!AA190,i_Assumptions!AA230,i_Assumptions!AA270,i_Assumptions!AA310,i_Assumptions!AA350,i_Assumptions!AA390,i_Assumptions!AA430))</f>
        <v/>
      </c>
      <c r="AB654" s="257">
        <f>IF(AB$7="Actual","",SUM(i_Assumptions!AB70,i_Assumptions!AB110,i_Assumptions!AB150,i_Assumptions!AB190,i_Assumptions!AB230,i_Assumptions!AB270,i_Assumptions!AB310,i_Assumptions!AB350,i_Assumptions!AB390,i_Assumptions!AB430))</f>
        <v/>
      </c>
      <c r="AC654" s="257">
        <f>IF(AC$7="Actual","",SUM(i_Assumptions!AC70,i_Assumptions!AC110,i_Assumptions!AC150,i_Assumptions!AC190,i_Assumptions!AC230,i_Assumptions!AC270,i_Assumptions!AC310,i_Assumptions!AC350,i_Assumptions!AC390,i_Assumptions!AC430))</f>
        <v/>
      </c>
      <c r="AD654" s="257">
        <f>IF(AD$7="Actual","",SUM(i_Assumptions!AD70,i_Assumptions!AD110,i_Assumptions!AD150,i_Assumptions!AD190,i_Assumptions!AD230,i_Assumptions!AD270,i_Assumptions!AD310,i_Assumptions!AD350,i_Assumptions!AD390,i_Assumptions!AD430))</f>
        <v/>
      </c>
      <c r="AE654" s="257">
        <f>IF(AE$7="Actual","",SUM(i_Assumptions!AE70,i_Assumptions!AE110,i_Assumptions!AE150,i_Assumptions!AE190,i_Assumptions!AE230,i_Assumptions!AE270,i_Assumptions!AE310,i_Assumptions!AE350,i_Assumptions!AE390,i_Assumptions!AE430))</f>
        <v/>
      </c>
      <c r="AF654" s="257">
        <f>IF(AF$7="Actual","",SUM(i_Assumptions!AF70,i_Assumptions!AF110,i_Assumptions!AF150,i_Assumptions!AF190,i_Assumptions!AF230,i_Assumptions!AF270,i_Assumptions!AF310,i_Assumptions!AF350,i_Assumptions!AF390,i_Assumptions!AF430))</f>
        <v/>
      </c>
      <c r="AG654" s="257">
        <f>IF(AG$7="Actual","",SUM(i_Assumptions!AG70,i_Assumptions!AG110,i_Assumptions!AG150,i_Assumptions!AG190,i_Assumptions!AG230,i_Assumptions!AG270,i_Assumptions!AG310,i_Assumptions!AG350,i_Assumptions!AG390,i_Assumptions!AG430))</f>
        <v/>
      </c>
      <c r="AH654" s="257">
        <f>IF(AH$7="Actual","",SUM(i_Assumptions!AH70,i_Assumptions!AH110,i_Assumptions!AH150,i_Assumptions!AH190,i_Assumptions!AH230,i_Assumptions!AH270,i_Assumptions!AH310,i_Assumptions!AH350,i_Assumptions!AH390,i_Assumptions!AH430))</f>
        <v/>
      </c>
      <c r="AI654" s="257">
        <f>IF(AI$7="Actual","",SUM(i_Assumptions!AI70,i_Assumptions!AI110,i_Assumptions!AI150,i_Assumptions!AI190,i_Assumptions!AI230,i_Assumptions!AI270,i_Assumptions!AI310,i_Assumptions!AI350,i_Assumptions!AI390,i_Assumptions!AI430))</f>
        <v/>
      </c>
      <c r="AJ654" s="257">
        <f>IF(AJ$7="Actual","",SUM(i_Assumptions!AJ70,i_Assumptions!AJ110,i_Assumptions!AJ150,i_Assumptions!AJ190,i_Assumptions!AJ230,i_Assumptions!AJ270,i_Assumptions!AJ310,i_Assumptions!AJ350,i_Assumptions!AJ390,i_Assumptions!AJ430))</f>
        <v/>
      </c>
      <c r="AK654" s="257">
        <f>IF(AK$7="Actual","",SUM(i_Assumptions!AK70,i_Assumptions!AK110,i_Assumptions!AK150,i_Assumptions!AK190,i_Assumptions!AK230,i_Assumptions!AK270,i_Assumptions!AK310,i_Assumptions!AK350,i_Assumptions!AK390,i_Assumptions!AK430))</f>
        <v/>
      </c>
      <c r="AL654" s="257">
        <f>IF(AL$7="Actual","",SUM(i_Assumptions!AL70,i_Assumptions!AL110,i_Assumptions!AL150,i_Assumptions!AL190,i_Assumptions!AL230,i_Assumptions!AL270,i_Assumptions!AL310,i_Assumptions!AL350,i_Assumptions!AL390,i_Assumptions!AL430))</f>
        <v/>
      </c>
      <c r="AM654" s="257">
        <f>IF(AM$7="Actual","",SUM(i_Assumptions!AM70,i_Assumptions!AM110,i_Assumptions!AM150,i_Assumptions!AM190,i_Assumptions!AM230,i_Assumptions!AM270,i_Assumptions!AM310,i_Assumptions!AM350,i_Assumptions!AM390,i_Assumptions!AM430))</f>
        <v/>
      </c>
      <c r="AN654" s="257">
        <f>IF(AN$7="Actual","",SUM(i_Assumptions!AN70,i_Assumptions!AN110,i_Assumptions!AN150,i_Assumptions!AN190,i_Assumptions!AN230,i_Assumptions!AN270,i_Assumptions!AN310,i_Assumptions!AN350,i_Assumptions!AN390,i_Assumptions!AN430))</f>
        <v/>
      </c>
      <c r="AO654" s="257">
        <f>IF(AO$7="Actual","",SUM(i_Assumptions!AO70,i_Assumptions!AO110,i_Assumptions!AO150,i_Assumptions!AO190,i_Assumptions!AO230,i_Assumptions!AO270,i_Assumptions!AO310,i_Assumptions!AO350,i_Assumptions!AO390,i_Assumptions!AO430))</f>
        <v/>
      </c>
      <c r="AP654" s="257">
        <f>IF(AP$7="Actual","",SUM(i_Assumptions!AP70,i_Assumptions!AP110,i_Assumptions!AP150,i_Assumptions!AP190,i_Assumptions!AP230,i_Assumptions!AP270,i_Assumptions!AP310,i_Assumptions!AP350,i_Assumptions!AP390,i_Assumptions!AP430))</f>
        <v/>
      </c>
      <c r="AQ654" s="257">
        <f>IF(AQ$7="Actual","",SUM(i_Assumptions!AQ70,i_Assumptions!AQ110,i_Assumptions!AQ150,i_Assumptions!AQ190,i_Assumptions!AQ230,i_Assumptions!AQ270,i_Assumptions!AQ310,i_Assumptions!AQ350,i_Assumptions!AQ390,i_Assumptions!AQ430))</f>
        <v/>
      </c>
      <c r="AR654" s="257">
        <f>IF(AR$7="Actual","",SUM(i_Assumptions!AR70,i_Assumptions!AR110,i_Assumptions!AR150,i_Assumptions!AR190,i_Assumptions!AR230,i_Assumptions!AR270,i_Assumptions!AR310,i_Assumptions!AR350,i_Assumptions!AR390,i_Assumptions!AR430))</f>
        <v/>
      </c>
      <c r="AS654" s="257">
        <f>IF(AS$7="Actual","",SUM(i_Assumptions!AS70,i_Assumptions!AS110,i_Assumptions!AS150,i_Assumptions!AS190,i_Assumptions!AS230,i_Assumptions!AS270,i_Assumptions!AS310,i_Assumptions!AS350,i_Assumptions!AS390,i_Assumptions!AS430))</f>
        <v/>
      </c>
      <c r="AT654" s="257">
        <f>IF(AT$7="Actual","",SUM(i_Assumptions!AT70,i_Assumptions!AT110,i_Assumptions!AT150,i_Assumptions!AT190,i_Assumptions!AT230,i_Assumptions!AT270,i_Assumptions!AT310,i_Assumptions!AT350,i_Assumptions!AT390,i_Assumptions!AT430))</f>
        <v/>
      </c>
      <c r="AU654" s="257">
        <f>IF(AU$7="Actual","",SUM(i_Assumptions!AU70,i_Assumptions!AU110,i_Assumptions!AU150,i_Assumptions!AU190,i_Assumptions!AU230,i_Assumptions!AU270,i_Assumptions!AU310,i_Assumptions!AU350,i_Assumptions!AU390,i_Assumptions!AU430))</f>
        <v/>
      </c>
      <c r="AV654" s="257">
        <f>IF(AV$7="Actual","",SUM(i_Assumptions!AV70,i_Assumptions!AV110,i_Assumptions!AV150,i_Assumptions!AV190,i_Assumptions!AV230,i_Assumptions!AV270,i_Assumptions!AV310,i_Assumptions!AV350,i_Assumptions!AV390,i_Assumptions!AV430))</f>
        <v/>
      </c>
      <c r="AW654" s="257">
        <f>IF(AW$7="Actual","",SUM(i_Assumptions!AW70,i_Assumptions!AW110,i_Assumptions!AW150,i_Assumptions!AW190,i_Assumptions!AW230,i_Assumptions!AW270,i_Assumptions!AW310,i_Assumptions!AW350,i_Assumptions!AW390,i_Assumptions!AW430))</f>
        <v/>
      </c>
      <c r="AX654" s="257">
        <f>IF(AX$7="Actual","",SUM(i_Assumptions!AX70,i_Assumptions!AX110,i_Assumptions!AX150,i_Assumptions!AX190,i_Assumptions!AX230,i_Assumptions!AX270,i_Assumptions!AX310,i_Assumptions!AX350,i_Assumptions!AX390,i_Assumptions!AX430))</f>
        <v/>
      </c>
      <c r="AY654" s="257">
        <f>IF(AY$7="Actual","",SUM(i_Assumptions!AY70,i_Assumptions!AY110,i_Assumptions!AY150,i_Assumptions!AY190,i_Assumptions!AY230,i_Assumptions!AY270,i_Assumptions!AY310,i_Assumptions!AY350,i_Assumptions!AY390,i_Assumptions!AY430))</f>
        <v/>
      </c>
      <c r="AZ654" s="257">
        <f>IF(AZ$7="Actual","",SUM(i_Assumptions!AZ70,i_Assumptions!AZ110,i_Assumptions!AZ150,i_Assumptions!AZ190,i_Assumptions!AZ230,i_Assumptions!AZ270,i_Assumptions!AZ310,i_Assumptions!AZ350,i_Assumptions!AZ390,i_Assumptions!AZ430))</f>
        <v/>
      </c>
      <c r="BA654" s="257">
        <f>IF(BA$7="Actual","",SUM(i_Assumptions!BA70,i_Assumptions!BA110,i_Assumptions!BA150,i_Assumptions!BA190,i_Assumptions!BA230,i_Assumptions!BA270,i_Assumptions!BA310,i_Assumptions!BA350,i_Assumptions!BA390,i_Assumptions!BA430))</f>
        <v/>
      </c>
      <c r="BB654" s="257">
        <f>IF(BB$7="Actual","",SUM(i_Assumptions!BB70,i_Assumptions!BB110,i_Assumptions!BB150,i_Assumptions!BB190,i_Assumptions!BB230,i_Assumptions!BB270,i_Assumptions!BB310,i_Assumptions!BB350,i_Assumptions!BB390,i_Assumptions!BB430))</f>
        <v/>
      </c>
      <c r="BC654" s="257">
        <f>IF(BC$7="Actual","",SUM(i_Assumptions!BC70,i_Assumptions!BC110,i_Assumptions!BC150,i_Assumptions!BC190,i_Assumptions!BC230,i_Assumptions!BC270,i_Assumptions!BC310,i_Assumptions!BC350,i_Assumptions!BC390,i_Assumptions!BC430))</f>
        <v/>
      </c>
      <c r="BD654" s="257">
        <f>IF(BD$7="Actual","",SUM(i_Assumptions!BD70,i_Assumptions!BD110,i_Assumptions!BD150,i_Assumptions!BD190,i_Assumptions!BD230,i_Assumptions!BD270,i_Assumptions!BD310,i_Assumptions!BD350,i_Assumptions!BD390,i_Assumptions!BD430))</f>
        <v/>
      </c>
      <c r="BE654" s="257">
        <f>IF(BE$7="Actual","",SUM(i_Assumptions!BE70,i_Assumptions!BE110,i_Assumptions!BE150,i_Assumptions!BE190,i_Assumptions!BE230,i_Assumptions!BE270,i_Assumptions!BE310,i_Assumptions!BE350,i_Assumptions!BE390,i_Assumptions!BE430))</f>
        <v/>
      </c>
      <c r="BF654" s="257">
        <f>IF(BF$7="Actual","",SUM(i_Assumptions!BF70,i_Assumptions!BF110,i_Assumptions!BF150,i_Assumptions!BF190,i_Assumptions!BF230,i_Assumptions!BF270,i_Assumptions!BF310,i_Assumptions!BF350,i_Assumptions!BF390,i_Assumptions!BF430))</f>
        <v/>
      </c>
      <c r="BG654" s="257">
        <f>IF(BG$7="Actual","",SUM(i_Assumptions!BG70,i_Assumptions!BG110,i_Assumptions!BG150,i_Assumptions!BG190,i_Assumptions!BG230,i_Assumptions!BG270,i_Assumptions!BG310,i_Assumptions!BG350,i_Assumptions!BG390,i_Assumptions!BG430))</f>
        <v/>
      </c>
      <c r="BH654" s="257">
        <f>IF(BH$7="Actual","",SUM(i_Assumptions!BH70,i_Assumptions!BH110,i_Assumptions!BH150,i_Assumptions!BH190,i_Assumptions!BH230,i_Assumptions!BH270,i_Assumptions!BH310,i_Assumptions!BH350,i_Assumptions!BH390,i_Assumptions!BH430))</f>
        <v/>
      </c>
      <c r="BI654" s="257">
        <f>IF(BI$7="Actual","",SUM(i_Assumptions!BI70,i_Assumptions!BI110,i_Assumptions!BI150,i_Assumptions!BI190,i_Assumptions!BI230,i_Assumptions!BI270,i_Assumptions!BI310,i_Assumptions!BI350,i_Assumptions!BI390,i_Assumptions!BI430))</f>
        <v/>
      </c>
      <c r="BJ654" s="257">
        <f>IF(BJ$7="Actual","",SUM(i_Assumptions!BJ70,i_Assumptions!BJ110,i_Assumptions!BJ150,i_Assumptions!BJ190,i_Assumptions!BJ230,i_Assumptions!BJ270,i_Assumptions!BJ310,i_Assumptions!BJ350,i_Assumptions!BJ390,i_Assumptions!BJ430))</f>
        <v/>
      </c>
      <c r="BK654" s="257">
        <f>IF(BK$7="Actual","",SUM(i_Assumptions!BK70,i_Assumptions!BK110,i_Assumptions!BK150,i_Assumptions!BK190,i_Assumptions!BK230,i_Assumptions!BK270,i_Assumptions!BK310,i_Assumptions!BK350,i_Assumptions!BK390,i_Assumptions!BK430))</f>
        <v/>
      </c>
      <c r="BL654" s="257">
        <f>IF(BL$7="Actual","",SUM(i_Assumptions!BL70,i_Assumptions!BL110,i_Assumptions!BL150,i_Assumptions!BL190,i_Assumptions!BL230,i_Assumptions!BL270,i_Assumptions!BL310,i_Assumptions!BL350,i_Assumptions!BL390,i_Assumptions!BL430))</f>
        <v/>
      </c>
      <c r="BM654" s="257">
        <f>IF(BM$7="Actual","",SUM(i_Assumptions!BM70,i_Assumptions!BM110,i_Assumptions!BM150,i_Assumptions!BM190,i_Assumptions!BM230,i_Assumptions!BM270,i_Assumptions!BM310,i_Assumptions!BM350,i_Assumptions!BM390,i_Assumptions!BM430))</f>
        <v/>
      </c>
      <c r="BN654" s="257">
        <f>IF(BN$7="Actual","",SUM(i_Assumptions!BN70,i_Assumptions!BN110,i_Assumptions!BN150,i_Assumptions!BN190,i_Assumptions!BN230,i_Assumptions!BN270,i_Assumptions!BN310,i_Assumptions!BN350,i_Assumptions!BN390,i_Assumptions!BN430))</f>
        <v/>
      </c>
      <c r="BO654" s="257">
        <f>IF(BO$7="Actual","",SUM(i_Assumptions!BO70,i_Assumptions!BO110,i_Assumptions!BO150,i_Assumptions!BO190,i_Assumptions!BO230,i_Assumptions!BO270,i_Assumptions!BO310,i_Assumptions!BO350,i_Assumptions!BO390,i_Assumptions!BO430))</f>
        <v/>
      </c>
      <c r="BP654" s="257">
        <f>IF(BP$7="Actual","",SUM(i_Assumptions!BP70,i_Assumptions!BP110,i_Assumptions!BP150,i_Assumptions!BP190,i_Assumptions!BP230,i_Assumptions!BP270,i_Assumptions!BP310,i_Assumptions!BP350,i_Assumptions!BP390,i_Assumptions!BP430))</f>
        <v/>
      </c>
      <c r="BQ654" s="257">
        <f>IF(BQ$7="Actual","",SUM(i_Assumptions!BQ70,i_Assumptions!BQ110,i_Assumptions!BQ150,i_Assumptions!BQ190,i_Assumptions!BQ230,i_Assumptions!BQ270,i_Assumptions!BQ310,i_Assumptions!BQ350,i_Assumptions!BQ390,i_Assumptions!BQ430))</f>
        <v/>
      </c>
      <c r="BR654" s="257">
        <f>IF(BR$7="Actual","",SUM(i_Assumptions!BR70,i_Assumptions!BR110,i_Assumptions!BR150,i_Assumptions!BR190,i_Assumptions!BR230,i_Assumptions!BR270,i_Assumptions!BR310,i_Assumptions!BR350,i_Assumptions!BR390,i_Assumptions!BR430))</f>
        <v/>
      </c>
      <c r="BS654" s="257">
        <f>IF(BS$7="Actual","",SUM(i_Assumptions!BS70,i_Assumptions!BS110,i_Assumptions!BS150,i_Assumptions!BS190,i_Assumptions!BS230,i_Assumptions!BS270,i_Assumptions!BS310,i_Assumptions!BS350,i_Assumptions!BS390,i_Assumptions!BS430))</f>
        <v/>
      </c>
      <c r="BT654" s="257">
        <f>IF(BT$7="Actual","",SUM(i_Assumptions!BT70,i_Assumptions!BT110,i_Assumptions!BT150,i_Assumptions!BT190,i_Assumptions!BT230,i_Assumptions!BT270,i_Assumptions!BT310,i_Assumptions!BT350,i_Assumptions!BT390,i_Assumptions!BT430))</f>
        <v/>
      </c>
      <c r="BU654" s="257">
        <f>IF(BU$7="Actual","",SUM(i_Assumptions!BU70,i_Assumptions!BU110,i_Assumptions!BU150,i_Assumptions!BU190,i_Assumptions!BU230,i_Assumptions!BU270,i_Assumptions!BU310,i_Assumptions!BU350,i_Assumptions!BU390,i_Assumptions!BU430))</f>
        <v/>
      </c>
      <c r="BV654" s="257">
        <f>IF(BV$7="Actual","",SUM(i_Assumptions!BV70,i_Assumptions!BV110,i_Assumptions!BV150,i_Assumptions!BV190,i_Assumptions!BV230,i_Assumptions!BV270,i_Assumptions!BV310,i_Assumptions!BV350,i_Assumptions!BV390,i_Assumptions!BV430))</f>
        <v/>
      </c>
      <c r="BW654" s="257">
        <f>IF(BW$7="Actual","",SUM(i_Assumptions!BW70,i_Assumptions!BW110,i_Assumptions!BW150,i_Assumptions!BW190,i_Assumptions!BW230,i_Assumptions!BW270,i_Assumptions!BW310,i_Assumptions!BW350,i_Assumptions!BW390,i_Assumptions!BW430))</f>
        <v/>
      </c>
      <c r="BX654" s="257">
        <f>IF(BX$7="Actual","",SUM(i_Assumptions!BX70,i_Assumptions!BX110,i_Assumptions!BX150,i_Assumptions!BX190,i_Assumptions!BX230,i_Assumptions!BX270,i_Assumptions!BX310,i_Assumptions!BX350,i_Assumptions!BX390,i_Assumptions!BX430))</f>
        <v/>
      </c>
      <c r="BY654" s="257">
        <f>IF(BY$7="Actual","",SUM(i_Assumptions!BY70,i_Assumptions!BY110,i_Assumptions!BY150,i_Assumptions!BY190,i_Assumptions!BY230,i_Assumptions!BY270,i_Assumptions!BY310,i_Assumptions!BY350,i_Assumptions!BY390,i_Assumptions!BY430))</f>
        <v/>
      </c>
      <c r="BZ654" s="257">
        <f>IF(BZ$7="Actual","",SUM(i_Assumptions!BZ70,i_Assumptions!BZ110,i_Assumptions!BZ150,i_Assumptions!BZ190,i_Assumptions!BZ230,i_Assumptions!BZ270,i_Assumptions!BZ310,i_Assumptions!BZ350,i_Assumptions!BZ390,i_Assumptions!BZ430))</f>
        <v/>
      </c>
      <c r="CA654" s="257">
        <f>IF(CA$7="Actual","",SUM(i_Assumptions!CA70,i_Assumptions!CA110,i_Assumptions!CA150,i_Assumptions!CA190,i_Assumptions!CA230,i_Assumptions!CA270,i_Assumptions!CA310,i_Assumptions!CA350,i_Assumptions!CA390,i_Assumptions!CA430))</f>
        <v/>
      </c>
    </row>
    <row r="655" ht="12" customHeight="1" s="227">
      <c r="A655" s="244" t="n"/>
      <c r="B655" s="244" t="n"/>
      <c r="C655" s="244" t="n"/>
      <c r="K655" s="6" t="n"/>
    </row>
    <row r="656" ht="12" customHeight="1" s="227">
      <c r="A656" s="244" t="n"/>
      <c r="B656" s="244" t="n"/>
      <c r="C656" s="244" t="n"/>
      <c r="H656" s="4">
        <f>i_Setup!U115</f>
        <v/>
      </c>
      <c r="I656" s="27">
        <f>i_Setup!$M$16</f>
        <v/>
      </c>
      <c r="K656" s="6" t="n"/>
      <c r="M656" s="245">
        <f>SUMIF($T$4:$CA$4,M$4,$T656:$CA656)</f>
        <v/>
      </c>
      <c r="N656" s="245">
        <f>SUMIF($T$4:$CA$4,N$4,$T656:$CA656)</f>
        <v/>
      </c>
      <c r="O656" s="245">
        <f>SUMIF($T$4:$CA$4,O$4,$T656:$CA656)</f>
        <v/>
      </c>
      <c r="P656" s="245">
        <f>SUMIF($T$4:$CA$4,P$4,$T656:$CA656)</f>
        <v/>
      </c>
      <c r="Q656" s="245">
        <f>SUMIF($T$4:$CA$4,Q$4,$T656:$CA656)</f>
        <v/>
      </c>
      <c r="T656" s="257">
        <f>IF(T$7="Actual","",i_Assumptions!T638)</f>
        <v/>
      </c>
      <c r="U656" s="257">
        <f>IF(U$7="Actual","",i_Assumptions!U638)</f>
        <v/>
      </c>
      <c r="V656" s="257">
        <f>IF(V$7="Actual","",i_Assumptions!V638)</f>
        <v/>
      </c>
      <c r="W656" s="257">
        <f>IF(W$7="Actual","",i_Assumptions!W638)</f>
        <v/>
      </c>
      <c r="X656" s="257">
        <f>IF(X$7="Actual","",i_Assumptions!X638)</f>
        <v/>
      </c>
      <c r="Y656" s="257">
        <f>IF(Y$7="Actual","",i_Assumptions!Y638)</f>
        <v/>
      </c>
      <c r="Z656" s="257">
        <f>IF(Z$7="Actual","",i_Assumptions!Z638)</f>
        <v/>
      </c>
      <c r="AA656" s="257">
        <f>IF(AA$7="Actual","",i_Assumptions!AA638)</f>
        <v/>
      </c>
      <c r="AB656" s="257">
        <f>IF(AB$7="Actual","",i_Assumptions!AB638)</f>
        <v/>
      </c>
      <c r="AC656" s="257">
        <f>IF(AC$7="Actual","",i_Assumptions!AC638)</f>
        <v/>
      </c>
      <c r="AD656" s="257">
        <f>IF(AD$7="Actual","",i_Assumptions!AD638)</f>
        <v/>
      </c>
      <c r="AE656" s="257">
        <f>IF(AE$7="Actual","",i_Assumptions!AE638)</f>
        <v/>
      </c>
      <c r="AF656" s="257">
        <f>IF(AF$7="Actual","",i_Assumptions!AF638)</f>
        <v/>
      </c>
      <c r="AG656" s="257">
        <f>IF(AG$7="Actual","",i_Assumptions!AG638)</f>
        <v/>
      </c>
      <c r="AH656" s="257">
        <f>IF(AH$7="Actual","",i_Assumptions!AH638)</f>
        <v/>
      </c>
      <c r="AI656" s="257">
        <f>IF(AI$7="Actual","",i_Assumptions!AI638)</f>
        <v/>
      </c>
      <c r="AJ656" s="257">
        <f>IF(AJ$7="Actual","",i_Assumptions!AJ638)</f>
        <v/>
      </c>
      <c r="AK656" s="257">
        <f>IF(AK$7="Actual","",i_Assumptions!AK638)</f>
        <v/>
      </c>
      <c r="AL656" s="257">
        <f>IF(AL$7="Actual","",i_Assumptions!AL638)</f>
        <v/>
      </c>
      <c r="AM656" s="257">
        <f>IF(AM$7="Actual","",i_Assumptions!AM638)</f>
        <v/>
      </c>
      <c r="AN656" s="257">
        <f>IF(AN$7="Actual","",i_Assumptions!AN638)</f>
        <v/>
      </c>
      <c r="AO656" s="257">
        <f>IF(AO$7="Actual","",i_Assumptions!AO638)</f>
        <v/>
      </c>
      <c r="AP656" s="257">
        <f>IF(AP$7="Actual","",i_Assumptions!AP638)</f>
        <v/>
      </c>
      <c r="AQ656" s="257">
        <f>IF(AQ$7="Actual","",i_Assumptions!AQ638)</f>
        <v/>
      </c>
      <c r="AR656" s="257">
        <f>IF(AR$7="Actual","",i_Assumptions!AR638)</f>
        <v/>
      </c>
      <c r="AS656" s="257">
        <f>IF(AS$7="Actual","",i_Assumptions!AS638)</f>
        <v/>
      </c>
      <c r="AT656" s="257">
        <f>IF(AT$7="Actual","",i_Assumptions!AT638)</f>
        <v/>
      </c>
      <c r="AU656" s="257">
        <f>IF(AU$7="Actual","",i_Assumptions!AU638)</f>
        <v/>
      </c>
      <c r="AV656" s="257">
        <f>IF(AV$7="Actual","",i_Assumptions!AV638)</f>
        <v/>
      </c>
      <c r="AW656" s="257">
        <f>IF(AW$7="Actual","",i_Assumptions!AW638)</f>
        <v/>
      </c>
      <c r="AX656" s="257">
        <f>IF(AX$7="Actual","",i_Assumptions!AX638)</f>
        <v/>
      </c>
      <c r="AY656" s="257">
        <f>IF(AY$7="Actual","",i_Assumptions!AY638)</f>
        <v/>
      </c>
      <c r="AZ656" s="257">
        <f>IF(AZ$7="Actual","",i_Assumptions!AZ638)</f>
        <v/>
      </c>
      <c r="BA656" s="257">
        <f>IF(BA$7="Actual","",i_Assumptions!BA638)</f>
        <v/>
      </c>
      <c r="BB656" s="257">
        <f>IF(BB$7="Actual","",i_Assumptions!BB638)</f>
        <v/>
      </c>
      <c r="BC656" s="257">
        <f>IF(BC$7="Actual","",i_Assumptions!BC638)</f>
        <v/>
      </c>
      <c r="BD656" s="257">
        <f>IF(BD$7="Actual","",i_Assumptions!BD638)</f>
        <v/>
      </c>
      <c r="BE656" s="257">
        <f>IF(BE$7="Actual","",i_Assumptions!BE638)</f>
        <v/>
      </c>
      <c r="BF656" s="257">
        <f>IF(BF$7="Actual","",i_Assumptions!BF638)</f>
        <v/>
      </c>
      <c r="BG656" s="257">
        <f>IF(BG$7="Actual","",i_Assumptions!BG638)</f>
        <v/>
      </c>
      <c r="BH656" s="257">
        <f>IF(BH$7="Actual","",i_Assumptions!BH638)</f>
        <v/>
      </c>
      <c r="BI656" s="257">
        <f>IF(BI$7="Actual","",i_Assumptions!BI638)</f>
        <v/>
      </c>
      <c r="BJ656" s="257">
        <f>IF(BJ$7="Actual","",i_Assumptions!BJ638)</f>
        <v/>
      </c>
      <c r="BK656" s="257">
        <f>IF(BK$7="Actual","",i_Assumptions!BK638)</f>
        <v/>
      </c>
      <c r="BL656" s="257">
        <f>IF(BL$7="Actual","",i_Assumptions!BL638)</f>
        <v/>
      </c>
      <c r="BM656" s="257">
        <f>IF(BM$7="Actual","",i_Assumptions!BM638)</f>
        <v/>
      </c>
      <c r="BN656" s="257">
        <f>IF(BN$7="Actual","",i_Assumptions!BN638)</f>
        <v/>
      </c>
      <c r="BO656" s="257">
        <f>IF(BO$7="Actual","",i_Assumptions!BO638)</f>
        <v/>
      </c>
      <c r="BP656" s="257">
        <f>IF(BP$7="Actual","",i_Assumptions!BP638)</f>
        <v/>
      </c>
      <c r="BQ656" s="257">
        <f>IF(BQ$7="Actual","",i_Assumptions!BQ638)</f>
        <v/>
      </c>
      <c r="BR656" s="257">
        <f>IF(BR$7="Actual","",i_Assumptions!BR638)</f>
        <v/>
      </c>
      <c r="BS656" s="257">
        <f>IF(BS$7="Actual","",i_Assumptions!BS638)</f>
        <v/>
      </c>
      <c r="BT656" s="257">
        <f>IF(BT$7="Actual","",i_Assumptions!BT638)</f>
        <v/>
      </c>
      <c r="BU656" s="257">
        <f>IF(BU$7="Actual","",i_Assumptions!BU638)</f>
        <v/>
      </c>
      <c r="BV656" s="257">
        <f>IF(BV$7="Actual","",i_Assumptions!BV638)</f>
        <v/>
      </c>
      <c r="BW656" s="257">
        <f>IF(BW$7="Actual","",i_Assumptions!BW638)</f>
        <v/>
      </c>
      <c r="BX656" s="257">
        <f>IF(BX$7="Actual","",i_Assumptions!BX638)</f>
        <v/>
      </c>
      <c r="BY656" s="257">
        <f>IF(BY$7="Actual","",i_Assumptions!BY638)</f>
        <v/>
      </c>
      <c r="BZ656" s="257">
        <f>IF(BZ$7="Actual","",i_Assumptions!BZ638)</f>
        <v/>
      </c>
      <c r="CA656" s="257">
        <f>IF(CA$7="Actual","",i_Assumptions!CA638)</f>
        <v/>
      </c>
    </row>
    <row r="657" ht="12" customHeight="1" s="227">
      <c r="A657" s="244" t="n"/>
      <c r="B657" s="244" t="n"/>
      <c r="C657" s="244" t="n"/>
      <c r="H657" s="4">
        <f>i_Setup!U116</f>
        <v/>
      </c>
      <c r="I657" s="27">
        <f>i_Setup!$M$16</f>
        <v/>
      </c>
      <c r="K657" s="6" t="n"/>
      <c r="M657" s="245">
        <f>SUMIF($T$4:$CA$4,M$4,$T657:$CA657)</f>
        <v/>
      </c>
      <c r="N657" s="245">
        <f>SUMIF($T$4:$CA$4,N$4,$T657:$CA657)</f>
        <v/>
      </c>
      <c r="O657" s="245">
        <f>SUMIF($T$4:$CA$4,O$4,$T657:$CA657)</f>
        <v/>
      </c>
      <c r="P657" s="245">
        <f>SUMIF($T$4:$CA$4,P$4,$T657:$CA657)</f>
        <v/>
      </c>
      <c r="Q657" s="245">
        <f>SUMIF($T$4:$CA$4,Q$4,$T657:$CA657)</f>
        <v/>
      </c>
      <c r="T657" s="257">
        <f>IF(T$7="Actual","",i_Assumptions!T639)</f>
        <v/>
      </c>
      <c r="U657" s="257">
        <f>IF(U$7="Actual","",i_Assumptions!U639)</f>
        <v/>
      </c>
      <c r="V657" s="257">
        <f>IF(V$7="Actual","",i_Assumptions!V639)</f>
        <v/>
      </c>
      <c r="W657" s="257">
        <f>IF(W$7="Actual","",i_Assumptions!W639)</f>
        <v/>
      </c>
      <c r="X657" s="257">
        <f>IF(X$7="Actual","",i_Assumptions!X639)</f>
        <v/>
      </c>
      <c r="Y657" s="257">
        <f>IF(Y$7="Actual","",i_Assumptions!Y639)</f>
        <v/>
      </c>
      <c r="Z657" s="257">
        <f>IF(Z$7="Actual","",i_Assumptions!Z639)</f>
        <v/>
      </c>
      <c r="AA657" s="257">
        <f>IF(AA$7="Actual","",i_Assumptions!AA639)</f>
        <v/>
      </c>
      <c r="AB657" s="257">
        <f>IF(AB$7="Actual","",i_Assumptions!AB639)</f>
        <v/>
      </c>
      <c r="AC657" s="257">
        <f>IF(AC$7="Actual","",i_Assumptions!AC639)</f>
        <v/>
      </c>
      <c r="AD657" s="257">
        <f>IF(AD$7="Actual","",i_Assumptions!AD639)</f>
        <v/>
      </c>
      <c r="AE657" s="257">
        <f>IF(AE$7="Actual","",i_Assumptions!AE639)</f>
        <v/>
      </c>
      <c r="AF657" s="257">
        <f>IF(AF$7="Actual","",i_Assumptions!AF639)</f>
        <v/>
      </c>
      <c r="AG657" s="257">
        <f>IF(AG$7="Actual","",i_Assumptions!AG639)</f>
        <v/>
      </c>
      <c r="AH657" s="257">
        <f>IF(AH$7="Actual","",i_Assumptions!AH639)</f>
        <v/>
      </c>
      <c r="AI657" s="257">
        <f>IF(AI$7="Actual","",i_Assumptions!AI639)</f>
        <v/>
      </c>
      <c r="AJ657" s="257">
        <f>IF(AJ$7="Actual","",i_Assumptions!AJ639)</f>
        <v/>
      </c>
      <c r="AK657" s="257">
        <f>IF(AK$7="Actual","",i_Assumptions!AK639)</f>
        <v/>
      </c>
      <c r="AL657" s="257">
        <f>IF(AL$7="Actual","",i_Assumptions!AL639)</f>
        <v/>
      </c>
      <c r="AM657" s="257">
        <f>IF(AM$7="Actual","",i_Assumptions!AM639)</f>
        <v/>
      </c>
      <c r="AN657" s="257">
        <f>IF(AN$7="Actual","",i_Assumptions!AN639)</f>
        <v/>
      </c>
      <c r="AO657" s="257">
        <f>IF(AO$7="Actual","",i_Assumptions!AO639)</f>
        <v/>
      </c>
      <c r="AP657" s="257">
        <f>IF(AP$7="Actual","",i_Assumptions!AP639)</f>
        <v/>
      </c>
      <c r="AQ657" s="257">
        <f>IF(AQ$7="Actual","",i_Assumptions!AQ639)</f>
        <v/>
      </c>
      <c r="AR657" s="257">
        <f>IF(AR$7="Actual","",i_Assumptions!AR639)</f>
        <v/>
      </c>
      <c r="AS657" s="257">
        <f>IF(AS$7="Actual","",i_Assumptions!AS639)</f>
        <v/>
      </c>
      <c r="AT657" s="257">
        <f>IF(AT$7="Actual","",i_Assumptions!AT639)</f>
        <v/>
      </c>
      <c r="AU657" s="257">
        <f>IF(AU$7="Actual","",i_Assumptions!AU639)</f>
        <v/>
      </c>
      <c r="AV657" s="257">
        <f>IF(AV$7="Actual","",i_Assumptions!AV639)</f>
        <v/>
      </c>
      <c r="AW657" s="257">
        <f>IF(AW$7="Actual","",i_Assumptions!AW639)</f>
        <v/>
      </c>
      <c r="AX657" s="257">
        <f>IF(AX$7="Actual","",i_Assumptions!AX639)</f>
        <v/>
      </c>
      <c r="AY657" s="257">
        <f>IF(AY$7="Actual","",i_Assumptions!AY639)</f>
        <v/>
      </c>
      <c r="AZ657" s="257">
        <f>IF(AZ$7="Actual","",i_Assumptions!AZ639)</f>
        <v/>
      </c>
      <c r="BA657" s="257">
        <f>IF(BA$7="Actual","",i_Assumptions!BA639)</f>
        <v/>
      </c>
      <c r="BB657" s="257">
        <f>IF(BB$7="Actual","",i_Assumptions!BB639)</f>
        <v/>
      </c>
      <c r="BC657" s="257">
        <f>IF(BC$7="Actual","",i_Assumptions!BC639)</f>
        <v/>
      </c>
      <c r="BD657" s="257">
        <f>IF(BD$7="Actual","",i_Assumptions!BD639)</f>
        <v/>
      </c>
      <c r="BE657" s="257">
        <f>IF(BE$7="Actual","",i_Assumptions!BE639)</f>
        <v/>
      </c>
      <c r="BF657" s="257">
        <f>IF(BF$7="Actual","",i_Assumptions!BF639)</f>
        <v/>
      </c>
      <c r="BG657" s="257">
        <f>IF(BG$7="Actual","",i_Assumptions!BG639)</f>
        <v/>
      </c>
      <c r="BH657" s="257">
        <f>IF(BH$7="Actual","",i_Assumptions!BH639)</f>
        <v/>
      </c>
      <c r="BI657" s="257">
        <f>IF(BI$7="Actual","",i_Assumptions!BI639)</f>
        <v/>
      </c>
      <c r="BJ657" s="257">
        <f>IF(BJ$7="Actual","",i_Assumptions!BJ639)</f>
        <v/>
      </c>
      <c r="BK657" s="257">
        <f>IF(BK$7="Actual","",i_Assumptions!BK639)</f>
        <v/>
      </c>
      <c r="BL657" s="257">
        <f>IF(BL$7="Actual","",i_Assumptions!BL639)</f>
        <v/>
      </c>
      <c r="BM657" s="257">
        <f>IF(BM$7="Actual","",i_Assumptions!BM639)</f>
        <v/>
      </c>
      <c r="BN657" s="257">
        <f>IF(BN$7="Actual","",i_Assumptions!BN639)</f>
        <v/>
      </c>
      <c r="BO657" s="257">
        <f>IF(BO$7="Actual","",i_Assumptions!BO639)</f>
        <v/>
      </c>
      <c r="BP657" s="257">
        <f>IF(BP$7="Actual","",i_Assumptions!BP639)</f>
        <v/>
      </c>
      <c r="BQ657" s="257">
        <f>IF(BQ$7="Actual","",i_Assumptions!BQ639)</f>
        <v/>
      </c>
      <c r="BR657" s="257">
        <f>IF(BR$7="Actual","",i_Assumptions!BR639)</f>
        <v/>
      </c>
      <c r="BS657" s="257">
        <f>IF(BS$7="Actual","",i_Assumptions!BS639)</f>
        <v/>
      </c>
      <c r="BT657" s="257">
        <f>IF(BT$7="Actual","",i_Assumptions!BT639)</f>
        <v/>
      </c>
      <c r="BU657" s="257">
        <f>IF(BU$7="Actual","",i_Assumptions!BU639)</f>
        <v/>
      </c>
      <c r="BV657" s="257">
        <f>IF(BV$7="Actual","",i_Assumptions!BV639)</f>
        <v/>
      </c>
      <c r="BW657" s="257">
        <f>IF(BW$7="Actual","",i_Assumptions!BW639)</f>
        <v/>
      </c>
      <c r="BX657" s="257">
        <f>IF(BX$7="Actual","",i_Assumptions!BX639)</f>
        <v/>
      </c>
      <c r="BY657" s="257">
        <f>IF(BY$7="Actual","",i_Assumptions!BY639)</f>
        <v/>
      </c>
      <c r="BZ657" s="257">
        <f>IF(BZ$7="Actual","",i_Assumptions!BZ639)</f>
        <v/>
      </c>
      <c r="CA657" s="257">
        <f>IF(CA$7="Actual","",i_Assumptions!CA639)</f>
        <v/>
      </c>
    </row>
    <row r="658" ht="12" customHeight="1" s="227">
      <c r="A658" s="244" t="n"/>
      <c r="B658" s="244" t="n"/>
      <c r="C658" s="244" t="n"/>
      <c r="H658" s="4">
        <f>i_Setup!U117</f>
        <v/>
      </c>
      <c r="I658" s="27">
        <f>i_Setup!$M$16</f>
        <v/>
      </c>
      <c r="K658" s="6" t="n"/>
      <c r="M658" s="245">
        <f>SUMIF($T$4:$CA$4,M$4,$T658:$CA658)</f>
        <v/>
      </c>
      <c r="N658" s="245">
        <f>SUMIF($T$4:$CA$4,N$4,$T658:$CA658)</f>
        <v/>
      </c>
      <c r="O658" s="245">
        <f>SUMIF($T$4:$CA$4,O$4,$T658:$CA658)</f>
        <v/>
      </c>
      <c r="P658" s="245">
        <f>SUMIF($T$4:$CA$4,P$4,$T658:$CA658)</f>
        <v/>
      </c>
      <c r="Q658" s="245">
        <f>SUMIF($T$4:$CA$4,Q$4,$T658:$CA658)</f>
        <v/>
      </c>
      <c r="T658" s="257">
        <f>IF(T$7="Actual","",i_Assumptions!T640)</f>
        <v/>
      </c>
      <c r="U658" s="257">
        <f>IF(U$7="Actual","",i_Assumptions!U640)</f>
        <v/>
      </c>
      <c r="V658" s="257">
        <f>IF(V$7="Actual","",i_Assumptions!V640)</f>
        <v/>
      </c>
      <c r="W658" s="257">
        <f>IF(W$7="Actual","",i_Assumptions!W640)</f>
        <v/>
      </c>
      <c r="X658" s="257">
        <f>IF(X$7="Actual","",i_Assumptions!X640)</f>
        <v/>
      </c>
      <c r="Y658" s="257">
        <f>IF(Y$7="Actual","",i_Assumptions!Y640)</f>
        <v/>
      </c>
      <c r="Z658" s="257">
        <f>IF(Z$7="Actual","",i_Assumptions!Z640)</f>
        <v/>
      </c>
      <c r="AA658" s="257">
        <f>IF(AA$7="Actual","",i_Assumptions!AA640)</f>
        <v/>
      </c>
      <c r="AB658" s="257">
        <f>IF(AB$7="Actual","",i_Assumptions!AB640)</f>
        <v/>
      </c>
      <c r="AC658" s="257">
        <f>IF(AC$7="Actual","",i_Assumptions!AC640)</f>
        <v/>
      </c>
      <c r="AD658" s="257">
        <f>IF(AD$7="Actual","",i_Assumptions!AD640)</f>
        <v/>
      </c>
      <c r="AE658" s="257">
        <f>IF(AE$7="Actual","",i_Assumptions!AE640)</f>
        <v/>
      </c>
      <c r="AF658" s="257">
        <f>IF(AF$7="Actual","",i_Assumptions!AF640)</f>
        <v/>
      </c>
      <c r="AG658" s="257">
        <f>IF(AG$7="Actual","",i_Assumptions!AG640)</f>
        <v/>
      </c>
      <c r="AH658" s="257">
        <f>IF(AH$7="Actual","",i_Assumptions!AH640)</f>
        <v/>
      </c>
      <c r="AI658" s="257">
        <f>IF(AI$7="Actual","",i_Assumptions!AI640)</f>
        <v/>
      </c>
      <c r="AJ658" s="257">
        <f>IF(AJ$7="Actual","",i_Assumptions!AJ640)</f>
        <v/>
      </c>
      <c r="AK658" s="257">
        <f>IF(AK$7="Actual","",i_Assumptions!AK640)</f>
        <v/>
      </c>
      <c r="AL658" s="257">
        <f>IF(AL$7="Actual","",i_Assumptions!AL640)</f>
        <v/>
      </c>
      <c r="AM658" s="257">
        <f>IF(AM$7="Actual","",i_Assumptions!AM640)</f>
        <v/>
      </c>
      <c r="AN658" s="257">
        <f>IF(AN$7="Actual","",i_Assumptions!AN640)</f>
        <v/>
      </c>
      <c r="AO658" s="257">
        <f>IF(AO$7="Actual","",i_Assumptions!AO640)</f>
        <v/>
      </c>
      <c r="AP658" s="257">
        <f>IF(AP$7="Actual","",i_Assumptions!AP640)</f>
        <v/>
      </c>
      <c r="AQ658" s="257">
        <f>IF(AQ$7="Actual","",i_Assumptions!AQ640)</f>
        <v/>
      </c>
      <c r="AR658" s="257">
        <f>IF(AR$7="Actual","",i_Assumptions!AR640)</f>
        <v/>
      </c>
      <c r="AS658" s="257">
        <f>IF(AS$7="Actual","",i_Assumptions!AS640)</f>
        <v/>
      </c>
      <c r="AT658" s="257">
        <f>IF(AT$7="Actual","",i_Assumptions!AT640)</f>
        <v/>
      </c>
      <c r="AU658" s="257">
        <f>IF(AU$7="Actual","",i_Assumptions!AU640)</f>
        <v/>
      </c>
      <c r="AV658" s="257">
        <f>IF(AV$7="Actual","",i_Assumptions!AV640)</f>
        <v/>
      </c>
      <c r="AW658" s="257">
        <f>IF(AW$7="Actual","",i_Assumptions!AW640)</f>
        <v/>
      </c>
      <c r="AX658" s="257">
        <f>IF(AX$7="Actual","",i_Assumptions!AX640)</f>
        <v/>
      </c>
      <c r="AY658" s="257">
        <f>IF(AY$7="Actual","",i_Assumptions!AY640)</f>
        <v/>
      </c>
      <c r="AZ658" s="257">
        <f>IF(AZ$7="Actual","",i_Assumptions!AZ640)</f>
        <v/>
      </c>
      <c r="BA658" s="257">
        <f>IF(BA$7="Actual","",i_Assumptions!BA640)</f>
        <v/>
      </c>
      <c r="BB658" s="257">
        <f>IF(BB$7="Actual","",i_Assumptions!BB640)</f>
        <v/>
      </c>
      <c r="BC658" s="257">
        <f>IF(BC$7="Actual","",i_Assumptions!BC640)</f>
        <v/>
      </c>
      <c r="BD658" s="257">
        <f>IF(BD$7="Actual","",i_Assumptions!BD640)</f>
        <v/>
      </c>
      <c r="BE658" s="257">
        <f>IF(BE$7="Actual","",i_Assumptions!BE640)</f>
        <v/>
      </c>
      <c r="BF658" s="257">
        <f>IF(BF$7="Actual","",i_Assumptions!BF640)</f>
        <v/>
      </c>
      <c r="BG658" s="257">
        <f>IF(BG$7="Actual","",i_Assumptions!BG640)</f>
        <v/>
      </c>
      <c r="BH658" s="257">
        <f>IF(BH$7="Actual","",i_Assumptions!BH640)</f>
        <v/>
      </c>
      <c r="BI658" s="257">
        <f>IF(BI$7="Actual","",i_Assumptions!BI640)</f>
        <v/>
      </c>
      <c r="BJ658" s="257">
        <f>IF(BJ$7="Actual","",i_Assumptions!BJ640)</f>
        <v/>
      </c>
      <c r="BK658" s="257">
        <f>IF(BK$7="Actual","",i_Assumptions!BK640)</f>
        <v/>
      </c>
      <c r="BL658" s="257">
        <f>IF(BL$7="Actual","",i_Assumptions!BL640)</f>
        <v/>
      </c>
      <c r="BM658" s="257">
        <f>IF(BM$7="Actual","",i_Assumptions!BM640)</f>
        <v/>
      </c>
      <c r="BN658" s="257">
        <f>IF(BN$7="Actual","",i_Assumptions!BN640)</f>
        <v/>
      </c>
      <c r="BO658" s="257">
        <f>IF(BO$7="Actual","",i_Assumptions!BO640)</f>
        <v/>
      </c>
      <c r="BP658" s="257">
        <f>IF(BP$7="Actual","",i_Assumptions!BP640)</f>
        <v/>
      </c>
      <c r="BQ658" s="257">
        <f>IF(BQ$7="Actual","",i_Assumptions!BQ640)</f>
        <v/>
      </c>
      <c r="BR658" s="257">
        <f>IF(BR$7="Actual","",i_Assumptions!BR640)</f>
        <v/>
      </c>
      <c r="BS658" s="257">
        <f>IF(BS$7="Actual","",i_Assumptions!BS640)</f>
        <v/>
      </c>
      <c r="BT658" s="257">
        <f>IF(BT$7="Actual","",i_Assumptions!BT640)</f>
        <v/>
      </c>
      <c r="BU658" s="257">
        <f>IF(BU$7="Actual","",i_Assumptions!BU640)</f>
        <v/>
      </c>
      <c r="BV658" s="257">
        <f>IF(BV$7="Actual","",i_Assumptions!BV640)</f>
        <v/>
      </c>
      <c r="BW658" s="257">
        <f>IF(BW$7="Actual","",i_Assumptions!BW640)</f>
        <v/>
      </c>
      <c r="BX658" s="257">
        <f>IF(BX$7="Actual","",i_Assumptions!BX640)</f>
        <v/>
      </c>
      <c r="BY658" s="257">
        <f>IF(BY$7="Actual","",i_Assumptions!BY640)</f>
        <v/>
      </c>
      <c r="BZ658" s="257">
        <f>IF(BZ$7="Actual","",i_Assumptions!BZ640)</f>
        <v/>
      </c>
      <c r="CA658" s="257">
        <f>IF(CA$7="Actual","",i_Assumptions!CA640)</f>
        <v/>
      </c>
    </row>
    <row r="659" ht="12" customHeight="1" s="227">
      <c r="A659" s="244" t="n"/>
      <c r="B659" s="244" t="n"/>
      <c r="C659" s="244" t="n"/>
      <c r="H659" s="4">
        <f>i_Setup!U118</f>
        <v/>
      </c>
      <c r="I659" s="27">
        <f>i_Setup!$M$16</f>
        <v/>
      </c>
      <c r="K659" s="6" t="n"/>
      <c r="M659" s="245">
        <f>SUMIF($T$4:$CA$4,M$4,$T659:$CA659)</f>
        <v/>
      </c>
      <c r="N659" s="245">
        <f>SUMIF($T$4:$CA$4,N$4,$T659:$CA659)</f>
        <v/>
      </c>
      <c r="O659" s="245">
        <f>SUMIF($T$4:$CA$4,O$4,$T659:$CA659)</f>
        <v/>
      </c>
      <c r="P659" s="245">
        <f>SUMIF($T$4:$CA$4,P$4,$T659:$CA659)</f>
        <v/>
      </c>
      <c r="Q659" s="245">
        <f>SUMIF($T$4:$CA$4,Q$4,$T659:$CA659)</f>
        <v/>
      </c>
      <c r="T659" s="257">
        <f>IF(T$7="Actual","",i_Assumptions!T641)</f>
        <v/>
      </c>
      <c r="U659" s="257">
        <f>IF(U$7="Actual","",i_Assumptions!U641)</f>
        <v/>
      </c>
      <c r="V659" s="257">
        <f>IF(V$7="Actual","",i_Assumptions!V641)</f>
        <v/>
      </c>
      <c r="W659" s="257">
        <f>IF(W$7="Actual","",i_Assumptions!W641)</f>
        <v/>
      </c>
      <c r="X659" s="257">
        <f>IF(X$7="Actual","",i_Assumptions!X641)</f>
        <v/>
      </c>
      <c r="Y659" s="257">
        <f>IF(Y$7="Actual","",i_Assumptions!Y641)</f>
        <v/>
      </c>
      <c r="Z659" s="257">
        <f>IF(Z$7="Actual","",i_Assumptions!Z641)</f>
        <v/>
      </c>
      <c r="AA659" s="257">
        <f>IF(AA$7="Actual","",i_Assumptions!AA641)</f>
        <v/>
      </c>
      <c r="AB659" s="257">
        <f>IF(AB$7="Actual","",i_Assumptions!AB641)</f>
        <v/>
      </c>
      <c r="AC659" s="257">
        <f>IF(AC$7="Actual","",i_Assumptions!AC641)</f>
        <v/>
      </c>
      <c r="AD659" s="257">
        <f>IF(AD$7="Actual","",i_Assumptions!AD641)</f>
        <v/>
      </c>
      <c r="AE659" s="257">
        <f>IF(AE$7="Actual","",i_Assumptions!AE641)</f>
        <v/>
      </c>
      <c r="AF659" s="257">
        <f>IF(AF$7="Actual","",i_Assumptions!AF641)</f>
        <v/>
      </c>
      <c r="AG659" s="257">
        <f>IF(AG$7="Actual","",i_Assumptions!AG641)</f>
        <v/>
      </c>
      <c r="AH659" s="257">
        <f>IF(AH$7="Actual","",i_Assumptions!AH641)</f>
        <v/>
      </c>
      <c r="AI659" s="257">
        <f>IF(AI$7="Actual","",i_Assumptions!AI641)</f>
        <v/>
      </c>
      <c r="AJ659" s="257">
        <f>IF(AJ$7="Actual","",i_Assumptions!AJ641)</f>
        <v/>
      </c>
      <c r="AK659" s="257">
        <f>IF(AK$7="Actual","",i_Assumptions!AK641)</f>
        <v/>
      </c>
      <c r="AL659" s="257">
        <f>IF(AL$7="Actual","",i_Assumptions!AL641)</f>
        <v/>
      </c>
      <c r="AM659" s="257">
        <f>IF(AM$7="Actual","",i_Assumptions!AM641)</f>
        <v/>
      </c>
      <c r="AN659" s="257">
        <f>IF(AN$7="Actual","",i_Assumptions!AN641)</f>
        <v/>
      </c>
      <c r="AO659" s="257">
        <f>IF(AO$7="Actual","",i_Assumptions!AO641)</f>
        <v/>
      </c>
      <c r="AP659" s="257">
        <f>IF(AP$7="Actual","",i_Assumptions!AP641)</f>
        <v/>
      </c>
      <c r="AQ659" s="257">
        <f>IF(AQ$7="Actual","",i_Assumptions!AQ641)</f>
        <v/>
      </c>
      <c r="AR659" s="257">
        <f>IF(AR$7="Actual","",i_Assumptions!AR641)</f>
        <v/>
      </c>
      <c r="AS659" s="257">
        <f>IF(AS$7="Actual","",i_Assumptions!AS641)</f>
        <v/>
      </c>
      <c r="AT659" s="257">
        <f>IF(AT$7="Actual","",i_Assumptions!AT641)</f>
        <v/>
      </c>
      <c r="AU659" s="257">
        <f>IF(AU$7="Actual","",i_Assumptions!AU641)</f>
        <v/>
      </c>
      <c r="AV659" s="257">
        <f>IF(AV$7="Actual","",i_Assumptions!AV641)</f>
        <v/>
      </c>
      <c r="AW659" s="257">
        <f>IF(AW$7="Actual","",i_Assumptions!AW641)</f>
        <v/>
      </c>
      <c r="AX659" s="257">
        <f>IF(AX$7="Actual","",i_Assumptions!AX641)</f>
        <v/>
      </c>
      <c r="AY659" s="257">
        <f>IF(AY$7="Actual","",i_Assumptions!AY641)</f>
        <v/>
      </c>
      <c r="AZ659" s="257">
        <f>IF(AZ$7="Actual","",i_Assumptions!AZ641)</f>
        <v/>
      </c>
      <c r="BA659" s="257">
        <f>IF(BA$7="Actual","",i_Assumptions!BA641)</f>
        <v/>
      </c>
      <c r="BB659" s="257">
        <f>IF(BB$7="Actual","",i_Assumptions!BB641)</f>
        <v/>
      </c>
      <c r="BC659" s="257">
        <f>IF(BC$7="Actual","",i_Assumptions!BC641)</f>
        <v/>
      </c>
      <c r="BD659" s="257">
        <f>IF(BD$7="Actual","",i_Assumptions!BD641)</f>
        <v/>
      </c>
      <c r="BE659" s="257">
        <f>IF(BE$7="Actual","",i_Assumptions!BE641)</f>
        <v/>
      </c>
      <c r="BF659" s="257">
        <f>IF(BF$7="Actual","",i_Assumptions!BF641)</f>
        <v/>
      </c>
      <c r="BG659" s="257">
        <f>IF(BG$7="Actual","",i_Assumptions!BG641)</f>
        <v/>
      </c>
      <c r="BH659" s="257">
        <f>IF(BH$7="Actual","",i_Assumptions!BH641)</f>
        <v/>
      </c>
      <c r="BI659" s="257">
        <f>IF(BI$7="Actual","",i_Assumptions!BI641)</f>
        <v/>
      </c>
      <c r="BJ659" s="257">
        <f>IF(BJ$7="Actual","",i_Assumptions!BJ641)</f>
        <v/>
      </c>
      <c r="BK659" s="257">
        <f>IF(BK$7="Actual","",i_Assumptions!BK641)</f>
        <v/>
      </c>
      <c r="BL659" s="257">
        <f>IF(BL$7="Actual","",i_Assumptions!BL641)</f>
        <v/>
      </c>
      <c r="BM659" s="257">
        <f>IF(BM$7="Actual","",i_Assumptions!BM641)</f>
        <v/>
      </c>
      <c r="BN659" s="257">
        <f>IF(BN$7="Actual","",i_Assumptions!BN641)</f>
        <v/>
      </c>
      <c r="BO659" s="257">
        <f>IF(BO$7="Actual","",i_Assumptions!BO641)</f>
        <v/>
      </c>
      <c r="BP659" s="257">
        <f>IF(BP$7="Actual","",i_Assumptions!BP641)</f>
        <v/>
      </c>
      <c r="BQ659" s="257">
        <f>IF(BQ$7="Actual","",i_Assumptions!BQ641)</f>
        <v/>
      </c>
      <c r="BR659" s="257">
        <f>IF(BR$7="Actual","",i_Assumptions!BR641)</f>
        <v/>
      </c>
      <c r="BS659" s="257">
        <f>IF(BS$7="Actual","",i_Assumptions!BS641)</f>
        <v/>
      </c>
      <c r="BT659" s="257">
        <f>IF(BT$7="Actual","",i_Assumptions!BT641)</f>
        <v/>
      </c>
      <c r="BU659" s="257">
        <f>IF(BU$7="Actual","",i_Assumptions!BU641)</f>
        <v/>
      </c>
      <c r="BV659" s="257">
        <f>IF(BV$7="Actual","",i_Assumptions!BV641)</f>
        <v/>
      </c>
      <c r="BW659" s="257">
        <f>IF(BW$7="Actual","",i_Assumptions!BW641)</f>
        <v/>
      </c>
      <c r="BX659" s="257">
        <f>IF(BX$7="Actual","",i_Assumptions!BX641)</f>
        <v/>
      </c>
      <c r="BY659" s="257">
        <f>IF(BY$7="Actual","",i_Assumptions!BY641)</f>
        <v/>
      </c>
      <c r="BZ659" s="257">
        <f>IF(BZ$7="Actual","",i_Assumptions!BZ641)</f>
        <v/>
      </c>
      <c r="CA659" s="257">
        <f>IF(CA$7="Actual","",i_Assumptions!CA641)</f>
        <v/>
      </c>
    </row>
    <row r="660" ht="12" customHeight="1" s="227">
      <c r="A660" s="244" t="n"/>
      <c r="B660" s="244" t="n"/>
      <c r="C660" s="244" t="n"/>
      <c r="H660" s="4">
        <f>i_Setup!U119</f>
        <v/>
      </c>
      <c r="I660" s="27">
        <f>i_Setup!$M$16</f>
        <v/>
      </c>
      <c r="K660" s="6" t="n"/>
      <c r="M660" s="245">
        <f>SUMIF($T$4:$CA$4,M$4,$T660:$CA660)</f>
        <v/>
      </c>
      <c r="N660" s="245">
        <f>SUMIF($T$4:$CA$4,N$4,$T660:$CA660)</f>
        <v/>
      </c>
      <c r="O660" s="245">
        <f>SUMIF($T$4:$CA$4,O$4,$T660:$CA660)</f>
        <v/>
      </c>
      <c r="P660" s="245">
        <f>SUMIF($T$4:$CA$4,P$4,$T660:$CA660)</f>
        <v/>
      </c>
      <c r="Q660" s="245">
        <f>SUMIF($T$4:$CA$4,Q$4,$T660:$CA660)</f>
        <v/>
      </c>
      <c r="T660" s="257">
        <f>IF(T$7="Actual","",i_Assumptions!T642)</f>
        <v/>
      </c>
      <c r="U660" s="257">
        <f>IF(U$7="Actual","",i_Assumptions!U642)</f>
        <v/>
      </c>
      <c r="V660" s="257">
        <f>IF(V$7="Actual","",i_Assumptions!V642)</f>
        <v/>
      </c>
      <c r="W660" s="257">
        <f>IF(W$7="Actual","",i_Assumptions!W642)</f>
        <v/>
      </c>
      <c r="X660" s="257">
        <f>IF(X$7="Actual","",i_Assumptions!X642)</f>
        <v/>
      </c>
      <c r="Y660" s="257">
        <f>IF(Y$7="Actual","",i_Assumptions!Y642)</f>
        <v/>
      </c>
      <c r="Z660" s="257">
        <f>IF(Z$7="Actual","",i_Assumptions!Z642)</f>
        <v/>
      </c>
      <c r="AA660" s="257">
        <f>IF(AA$7="Actual","",i_Assumptions!AA642)</f>
        <v/>
      </c>
      <c r="AB660" s="257">
        <f>IF(AB$7="Actual","",i_Assumptions!AB642)</f>
        <v/>
      </c>
      <c r="AC660" s="257">
        <f>IF(AC$7="Actual","",i_Assumptions!AC642)</f>
        <v/>
      </c>
      <c r="AD660" s="257">
        <f>IF(AD$7="Actual","",i_Assumptions!AD642)</f>
        <v/>
      </c>
      <c r="AE660" s="257">
        <f>IF(AE$7="Actual","",i_Assumptions!AE642)</f>
        <v/>
      </c>
      <c r="AF660" s="257">
        <f>IF(AF$7="Actual","",i_Assumptions!AF642)</f>
        <v/>
      </c>
      <c r="AG660" s="257">
        <f>IF(AG$7="Actual","",i_Assumptions!AG642)</f>
        <v/>
      </c>
      <c r="AH660" s="257">
        <f>IF(AH$7="Actual","",i_Assumptions!AH642)</f>
        <v/>
      </c>
      <c r="AI660" s="257">
        <f>IF(AI$7="Actual","",i_Assumptions!AI642)</f>
        <v/>
      </c>
      <c r="AJ660" s="257">
        <f>IF(AJ$7="Actual","",i_Assumptions!AJ642)</f>
        <v/>
      </c>
      <c r="AK660" s="257">
        <f>IF(AK$7="Actual","",i_Assumptions!AK642)</f>
        <v/>
      </c>
      <c r="AL660" s="257">
        <f>IF(AL$7="Actual","",i_Assumptions!AL642)</f>
        <v/>
      </c>
      <c r="AM660" s="257">
        <f>IF(AM$7="Actual","",i_Assumptions!AM642)</f>
        <v/>
      </c>
      <c r="AN660" s="257">
        <f>IF(AN$7="Actual","",i_Assumptions!AN642)</f>
        <v/>
      </c>
      <c r="AO660" s="257">
        <f>IF(AO$7="Actual","",i_Assumptions!AO642)</f>
        <v/>
      </c>
      <c r="AP660" s="257">
        <f>IF(AP$7="Actual","",i_Assumptions!AP642)</f>
        <v/>
      </c>
      <c r="AQ660" s="257">
        <f>IF(AQ$7="Actual","",i_Assumptions!AQ642)</f>
        <v/>
      </c>
      <c r="AR660" s="257">
        <f>IF(AR$7="Actual","",i_Assumptions!AR642)</f>
        <v/>
      </c>
      <c r="AS660" s="257">
        <f>IF(AS$7="Actual","",i_Assumptions!AS642)</f>
        <v/>
      </c>
      <c r="AT660" s="257">
        <f>IF(AT$7="Actual","",i_Assumptions!AT642)</f>
        <v/>
      </c>
      <c r="AU660" s="257">
        <f>IF(AU$7="Actual","",i_Assumptions!AU642)</f>
        <v/>
      </c>
      <c r="AV660" s="257">
        <f>IF(AV$7="Actual","",i_Assumptions!AV642)</f>
        <v/>
      </c>
      <c r="AW660" s="257">
        <f>IF(AW$7="Actual","",i_Assumptions!AW642)</f>
        <v/>
      </c>
      <c r="AX660" s="257">
        <f>IF(AX$7="Actual","",i_Assumptions!AX642)</f>
        <v/>
      </c>
      <c r="AY660" s="257">
        <f>IF(AY$7="Actual","",i_Assumptions!AY642)</f>
        <v/>
      </c>
      <c r="AZ660" s="257">
        <f>IF(AZ$7="Actual","",i_Assumptions!AZ642)</f>
        <v/>
      </c>
      <c r="BA660" s="257">
        <f>IF(BA$7="Actual","",i_Assumptions!BA642)</f>
        <v/>
      </c>
      <c r="BB660" s="257">
        <f>IF(BB$7="Actual","",i_Assumptions!BB642)</f>
        <v/>
      </c>
      <c r="BC660" s="257">
        <f>IF(BC$7="Actual","",i_Assumptions!BC642)</f>
        <v/>
      </c>
      <c r="BD660" s="257">
        <f>IF(BD$7="Actual","",i_Assumptions!BD642)</f>
        <v/>
      </c>
      <c r="BE660" s="257">
        <f>IF(BE$7="Actual","",i_Assumptions!BE642)</f>
        <v/>
      </c>
      <c r="BF660" s="257">
        <f>IF(BF$7="Actual","",i_Assumptions!BF642)</f>
        <v/>
      </c>
      <c r="BG660" s="257">
        <f>IF(BG$7="Actual","",i_Assumptions!BG642)</f>
        <v/>
      </c>
      <c r="BH660" s="257">
        <f>IF(BH$7="Actual","",i_Assumptions!BH642)</f>
        <v/>
      </c>
      <c r="BI660" s="257">
        <f>IF(BI$7="Actual","",i_Assumptions!BI642)</f>
        <v/>
      </c>
      <c r="BJ660" s="257">
        <f>IF(BJ$7="Actual","",i_Assumptions!BJ642)</f>
        <v/>
      </c>
      <c r="BK660" s="257">
        <f>IF(BK$7="Actual","",i_Assumptions!BK642)</f>
        <v/>
      </c>
      <c r="BL660" s="257">
        <f>IF(BL$7="Actual","",i_Assumptions!BL642)</f>
        <v/>
      </c>
      <c r="BM660" s="257">
        <f>IF(BM$7="Actual","",i_Assumptions!BM642)</f>
        <v/>
      </c>
      <c r="BN660" s="257">
        <f>IF(BN$7="Actual","",i_Assumptions!BN642)</f>
        <v/>
      </c>
      <c r="BO660" s="257">
        <f>IF(BO$7="Actual","",i_Assumptions!BO642)</f>
        <v/>
      </c>
      <c r="BP660" s="257">
        <f>IF(BP$7="Actual","",i_Assumptions!BP642)</f>
        <v/>
      </c>
      <c r="BQ660" s="257">
        <f>IF(BQ$7="Actual","",i_Assumptions!BQ642)</f>
        <v/>
      </c>
      <c r="BR660" s="257">
        <f>IF(BR$7="Actual","",i_Assumptions!BR642)</f>
        <v/>
      </c>
      <c r="BS660" s="257">
        <f>IF(BS$7="Actual","",i_Assumptions!BS642)</f>
        <v/>
      </c>
      <c r="BT660" s="257">
        <f>IF(BT$7="Actual","",i_Assumptions!BT642)</f>
        <v/>
      </c>
      <c r="BU660" s="257">
        <f>IF(BU$7="Actual","",i_Assumptions!BU642)</f>
        <v/>
      </c>
      <c r="BV660" s="257">
        <f>IF(BV$7="Actual","",i_Assumptions!BV642)</f>
        <v/>
      </c>
      <c r="BW660" s="257">
        <f>IF(BW$7="Actual","",i_Assumptions!BW642)</f>
        <v/>
      </c>
      <c r="BX660" s="257">
        <f>IF(BX$7="Actual","",i_Assumptions!BX642)</f>
        <v/>
      </c>
      <c r="BY660" s="257">
        <f>IF(BY$7="Actual","",i_Assumptions!BY642)</f>
        <v/>
      </c>
      <c r="BZ660" s="257">
        <f>IF(BZ$7="Actual","",i_Assumptions!BZ642)</f>
        <v/>
      </c>
      <c r="CA660" s="257">
        <f>IF(CA$7="Actual","",i_Assumptions!CA642)</f>
        <v/>
      </c>
    </row>
    <row r="661" ht="12" customHeight="1" s="227" thickBot="1">
      <c r="A661" s="244" t="n"/>
      <c r="B661" s="244" t="n"/>
      <c r="C661" s="244" t="n"/>
      <c r="H661" s="42" t="inlineStr">
        <is>
          <t>Total Additions Excl Tax</t>
        </is>
      </c>
      <c r="I661" s="43">
        <f>i_Setup!$M$16</f>
        <v/>
      </c>
      <c r="K661" s="6" t="n"/>
      <c r="M661" s="264">
        <f>SUM(M650:M660)</f>
        <v/>
      </c>
      <c r="N661" s="264">
        <f>SUM(N650:N660)</f>
        <v/>
      </c>
      <c r="O661" s="264">
        <f>SUM(O650:O660)</f>
        <v/>
      </c>
      <c r="P661" s="264">
        <f>SUM(P650:P660)</f>
        <v/>
      </c>
      <c r="Q661" s="264">
        <f>SUM(Q650:Q660)</f>
        <v/>
      </c>
      <c r="T661" s="264">
        <f>SUM(T650:T660)</f>
        <v/>
      </c>
      <c r="U661" s="264">
        <f>SUM(U650:U660)</f>
        <v/>
      </c>
      <c r="V661" s="264">
        <f>SUM(V650:V660)</f>
        <v/>
      </c>
      <c r="W661" s="264">
        <f>SUM(W650:W660)</f>
        <v/>
      </c>
      <c r="X661" s="264">
        <f>SUM(X650:X660)</f>
        <v/>
      </c>
      <c r="Y661" s="264">
        <f>SUM(Y650:Y660)</f>
        <v/>
      </c>
      <c r="Z661" s="264">
        <f>SUM(Z650:Z660)</f>
        <v/>
      </c>
      <c r="AA661" s="264">
        <f>SUM(AA650:AA660)</f>
        <v/>
      </c>
      <c r="AB661" s="264">
        <f>SUM(AB650:AB660)</f>
        <v/>
      </c>
      <c r="AC661" s="264">
        <f>SUM(AC650:AC660)</f>
        <v/>
      </c>
      <c r="AD661" s="264">
        <f>SUM(AD650:AD660)</f>
        <v/>
      </c>
      <c r="AE661" s="264">
        <f>SUM(AE650:AE660)</f>
        <v/>
      </c>
      <c r="AF661" s="264">
        <f>SUM(AF650:AF660)</f>
        <v/>
      </c>
      <c r="AG661" s="264">
        <f>SUM(AG650:AG660)</f>
        <v/>
      </c>
      <c r="AH661" s="264">
        <f>SUM(AH650:AH660)</f>
        <v/>
      </c>
      <c r="AI661" s="264">
        <f>SUM(AI650:AI660)</f>
        <v/>
      </c>
      <c r="AJ661" s="264">
        <f>SUM(AJ650:AJ660)</f>
        <v/>
      </c>
      <c r="AK661" s="264">
        <f>SUM(AK650:AK660)</f>
        <v/>
      </c>
      <c r="AL661" s="264">
        <f>SUM(AL650:AL660)</f>
        <v/>
      </c>
      <c r="AM661" s="264">
        <f>SUM(AM650:AM660)</f>
        <v/>
      </c>
      <c r="AN661" s="264">
        <f>SUM(AN650:AN660)</f>
        <v/>
      </c>
      <c r="AO661" s="264">
        <f>SUM(AO650:AO660)</f>
        <v/>
      </c>
      <c r="AP661" s="264">
        <f>SUM(AP650:AP660)</f>
        <v/>
      </c>
      <c r="AQ661" s="264">
        <f>SUM(AQ650:AQ660)</f>
        <v/>
      </c>
      <c r="AR661" s="264">
        <f>SUM(AR650:AR660)</f>
        <v/>
      </c>
      <c r="AS661" s="264">
        <f>SUM(AS650:AS660)</f>
        <v/>
      </c>
      <c r="AT661" s="264">
        <f>SUM(AT650:AT660)</f>
        <v/>
      </c>
      <c r="AU661" s="264">
        <f>SUM(AU650:AU660)</f>
        <v/>
      </c>
      <c r="AV661" s="264">
        <f>SUM(AV650:AV660)</f>
        <v/>
      </c>
      <c r="AW661" s="264">
        <f>SUM(AW650:AW660)</f>
        <v/>
      </c>
      <c r="AX661" s="264">
        <f>SUM(AX650:AX660)</f>
        <v/>
      </c>
      <c r="AY661" s="264">
        <f>SUM(AY650:AY660)</f>
        <v/>
      </c>
      <c r="AZ661" s="264">
        <f>SUM(AZ650:AZ660)</f>
        <v/>
      </c>
      <c r="BA661" s="264">
        <f>SUM(BA650:BA660)</f>
        <v/>
      </c>
      <c r="BB661" s="264">
        <f>SUM(BB650:BB660)</f>
        <v/>
      </c>
      <c r="BC661" s="264">
        <f>SUM(BC650:BC660)</f>
        <v/>
      </c>
      <c r="BD661" s="264">
        <f>SUM(BD650:BD660)</f>
        <v/>
      </c>
      <c r="BE661" s="264">
        <f>SUM(BE650:BE660)</f>
        <v/>
      </c>
      <c r="BF661" s="264">
        <f>SUM(BF650:BF660)</f>
        <v/>
      </c>
      <c r="BG661" s="264">
        <f>SUM(BG650:BG660)</f>
        <v/>
      </c>
      <c r="BH661" s="264">
        <f>SUM(BH650:BH660)</f>
        <v/>
      </c>
      <c r="BI661" s="264">
        <f>SUM(BI650:BI660)</f>
        <v/>
      </c>
      <c r="BJ661" s="264">
        <f>SUM(BJ650:BJ660)</f>
        <v/>
      </c>
      <c r="BK661" s="264">
        <f>SUM(BK650:BK660)</f>
        <v/>
      </c>
      <c r="BL661" s="264">
        <f>SUM(BL650:BL660)</f>
        <v/>
      </c>
      <c r="BM661" s="264">
        <f>SUM(BM650:BM660)</f>
        <v/>
      </c>
      <c r="BN661" s="264">
        <f>SUM(BN650:BN660)</f>
        <v/>
      </c>
      <c r="BO661" s="264">
        <f>SUM(BO650:BO660)</f>
        <v/>
      </c>
      <c r="BP661" s="264">
        <f>SUM(BP650:BP660)</f>
        <v/>
      </c>
      <c r="BQ661" s="264">
        <f>SUM(BQ650:BQ660)</f>
        <v/>
      </c>
      <c r="BR661" s="264">
        <f>SUM(BR650:BR660)</f>
        <v/>
      </c>
      <c r="BS661" s="264">
        <f>SUM(BS650:BS660)</f>
        <v/>
      </c>
      <c r="BT661" s="264">
        <f>SUM(BT650:BT660)</f>
        <v/>
      </c>
      <c r="BU661" s="264">
        <f>SUM(BU650:BU660)</f>
        <v/>
      </c>
      <c r="BV661" s="264">
        <f>SUM(BV650:BV660)</f>
        <v/>
      </c>
      <c r="BW661" s="264">
        <f>SUM(BW650:BW660)</f>
        <v/>
      </c>
      <c r="BX661" s="264">
        <f>SUM(BX650:BX660)</f>
        <v/>
      </c>
      <c r="BY661" s="264">
        <f>SUM(BY650:BY660)</f>
        <v/>
      </c>
      <c r="BZ661" s="264">
        <f>SUM(BZ650:BZ660)</f>
        <v/>
      </c>
      <c r="CA661" s="264">
        <f>SUM(CA650:CA660)</f>
        <v/>
      </c>
    </row>
    <row r="662" ht="12" customHeight="1" s="227">
      <c r="A662" s="244" t="n"/>
      <c r="B662" s="244" t="n"/>
      <c r="C662" s="244" t="n"/>
      <c r="K662" s="6" t="n"/>
    </row>
    <row r="663" ht="12" customHeight="1" s="227">
      <c r="A663" s="244" t="n"/>
      <c r="B663" s="244" t="n"/>
      <c r="C663" s="244" t="n"/>
      <c r="K663" s="6" t="n"/>
    </row>
    <row r="664" ht="12" customHeight="1" s="227">
      <c r="A664" s="244" t="n"/>
      <c r="B664" s="244" t="n"/>
      <c r="C664" s="244" t="n"/>
      <c r="G664" s="222" t="inlineStr">
        <is>
          <t>Addition Amounts (Incl. Sales Tax)</t>
        </is>
      </c>
      <c r="K664" s="6" t="n"/>
    </row>
    <row r="665" ht="12" customHeight="1" s="227">
      <c r="A665" s="244" t="n"/>
      <c r="B665" s="244" t="n"/>
      <c r="C665" s="244" t="n"/>
      <c r="K665" s="6" t="n"/>
    </row>
    <row r="666" ht="12" customHeight="1" s="227">
      <c r="A666" s="244" t="n"/>
      <c r="B666" s="244" t="n"/>
      <c r="C666" s="244" t="n"/>
      <c r="H666" s="4">
        <f>H650</f>
        <v/>
      </c>
      <c r="I666" s="27">
        <f>i_Setup!$M$16</f>
        <v/>
      </c>
      <c r="K666" s="259">
        <f>i_Setup!P68</f>
        <v/>
      </c>
      <c r="M666" s="245">
        <f>SUMIF($T$4:$CA$4,M$4,$T666:$CA666)</f>
        <v/>
      </c>
      <c r="N666" s="245">
        <f>SUMIF($T$4:$CA$4,N$4,$T666:$CA666)</f>
        <v/>
      </c>
      <c r="O666" s="245">
        <f>SUMIF($T$4:$CA$4,O$4,$T666:$CA666)</f>
        <v/>
      </c>
      <c r="P666" s="245">
        <f>SUMIF($T$4:$CA$4,P$4,$T666:$CA666)</f>
        <v/>
      </c>
      <c r="Q666" s="245">
        <f>SUMIF($T$4:$CA$4,Q$4,$T666:$CA666)</f>
        <v/>
      </c>
      <c r="T666" s="245">
        <f>IF(T$7="Actual","",IF($K666="Yes",IFERROR(T650*(1+T$59),0),T650))</f>
        <v/>
      </c>
      <c r="U666" s="245">
        <f>IF(U$7="Actual","",IF($K666="Yes",IFERROR(U650*(1+U$59),0),U650))</f>
        <v/>
      </c>
      <c r="V666" s="245">
        <f>IF(V$7="Actual","",IF($K666="Yes",IFERROR(V650*(1+V$59),0),V650))</f>
        <v/>
      </c>
      <c r="W666" s="245">
        <f>IF(W$7="Actual","",IF($K666="Yes",IFERROR(W650*(1+W$59),0),W650))</f>
        <v/>
      </c>
      <c r="X666" s="245">
        <f>IF(X$7="Actual","",IF($K666="Yes",IFERROR(X650*(1+X$59),0),X650))</f>
        <v/>
      </c>
      <c r="Y666" s="245">
        <f>IF(Y$7="Actual","",IF($K666="Yes",IFERROR(Y650*(1+Y$59),0),Y650))</f>
        <v/>
      </c>
      <c r="Z666" s="245">
        <f>IF(Z$7="Actual","",IF($K666="Yes",IFERROR(Z650*(1+Z$59),0),Z650))</f>
        <v/>
      </c>
      <c r="AA666" s="245">
        <f>IF(AA$7="Actual","",IF($K666="Yes",IFERROR(AA650*(1+AA$59),0),AA650))</f>
        <v/>
      </c>
      <c r="AB666" s="245">
        <f>IF(AB$7="Actual","",IF($K666="Yes",IFERROR(AB650*(1+AB$59),0),AB650))</f>
        <v/>
      </c>
      <c r="AC666" s="245">
        <f>IF(AC$7="Actual","",IF($K666="Yes",IFERROR(AC650*(1+AC$59),0),AC650))</f>
        <v/>
      </c>
      <c r="AD666" s="245">
        <f>IF(AD$7="Actual","",IF($K666="Yes",IFERROR(AD650*(1+AD$59),0),AD650))</f>
        <v/>
      </c>
      <c r="AE666" s="245">
        <f>IF(AE$7="Actual","",IF($K666="Yes",IFERROR(AE650*(1+AE$59),0),AE650))</f>
        <v/>
      </c>
      <c r="AF666" s="245">
        <f>IF(AF$7="Actual","",IF($K666="Yes",IFERROR(AF650*(1+AF$59),0),AF650))</f>
        <v/>
      </c>
      <c r="AG666" s="245">
        <f>IF(AG$7="Actual","",IF($K666="Yes",IFERROR(AG650*(1+AG$59),0),AG650))</f>
        <v/>
      </c>
      <c r="AH666" s="245">
        <f>IF(AH$7="Actual","",IF($K666="Yes",IFERROR(AH650*(1+AH$59),0),AH650))</f>
        <v/>
      </c>
      <c r="AI666" s="245">
        <f>IF(AI$7="Actual","",IF($K666="Yes",IFERROR(AI650*(1+AI$59),0),AI650))</f>
        <v/>
      </c>
      <c r="AJ666" s="245">
        <f>IF(AJ$7="Actual","",IF($K666="Yes",IFERROR(AJ650*(1+AJ$59),0),AJ650))</f>
        <v/>
      </c>
      <c r="AK666" s="245">
        <f>IF(AK$7="Actual","",IF($K666="Yes",IFERROR(AK650*(1+AK$59),0),AK650))</f>
        <v/>
      </c>
      <c r="AL666" s="245">
        <f>IF(AL$7="Actual","",IF($K666="Yes",IFERROR(AL650*(1+AL$59),0),AL650))</f>
        <v/>
      </c>
      <c r="AM666" s="245">
        <f>IF(AM$7="Actual","",IF($K666="Yes",IFERROR(AM650*(1+AM$59),0),AM650))</f>
        <v/>
      </c>
      <c r="AN666" s="245">
        <f>IF(AN$7="Actual","",IF($K666="Yes",IFERROR(AN650*(1+AN$59),0),AN650))</f>
        <v/>
      </c>
      <c r="AO666" s="245">
        <f>IF(AO$7="Actual","",IF($K666="Yes",IFERROR(AO650*(1+AO$59),0),AO650))</f>
        <v/>
      </c>
      <c r="AP666" s="245">
        <f>IF(AP$7="Actual","",IF($K666="Yes",IFERROR(AP650*(1+AP$59),0),AP650))</f>
        <v/>
      </c>
      <c r="AQ666" s="245">
        <f>IF(AQ$7="Actual","",IF($K666="Yes",IFERROR(AQ650*(1+AQ$59),0),AQ650))</f>
        <v/>
      </c>
      <c r="AR666" s="245">
        <f>IF(AR$7="Actual","",IF($K666="Yes",IFERROR(AR650*(1+AR$59),0),AR650))</f>
        <v/>
      </c>
      <c r="AS666" s="245">
        <f>IF(AS$7="Actual","",IF($K666="Yes",IFERROR(AS650*(1+AS$59),0),AS650))</f>
        <v/>
      </c>
      <c r="AT666" s="245">
        <f>IF(AT$7="Actual","",IF($K666="Yes",IFERROR(AT650*(1+AT$59),0),AT650))</f>
        <v/>
      </c>
      <c r="AU666" s="245">
        <f>IF(AU$7="Actual","",IF($K666="Yes",IFERROR(AU650*(1+AU$59),0),AU650))</f>
        <v/>
      </c>
      <c r="AV666" s="245">
        <f>IF(AV$7="Actual","",IF($K666="Yes",IFERROR(AV650*(1+AV$59),0),AV650))</f>
        <v/>
      </c>
      <c r="AW666" s="245">
        <f>IF(AW$7="Actual","",IF($K666="Yes",IFERROR(AW650*(1+AW$59),0),AW650))</f>
        <v/>
      </c>
      <c r="AX666" s="245">
        <f>IF(AX$7="Actual","",IF($K666="Yes",IFERROR(AX650*(1+AX$59),0),AX650))</f>
        <v/>
      </c>
      <c r="AY666" s="245">
        <f>IF(AY$7="Actual","",IF($K666="Yes",IFERROR(AY650*(1+AY$59),0),AY650))</f>
        <v/>
      </c>
      <c r="AZ666" s="245">
        <f>IF(AZ$7="Actual","",IF($K666="Yes",IFERROR(AZ650*(1+AZ$59),0),AZ650))</f>
        <v/>
      </c>
      <c r="BA666" s="245">
        <f>IF(BA$7="Actual","",IF($K666="Yes",IFERROR(BA650*(1+BA$59),0),BA650))</f>
        <v/>
      </c>
      <c r="BB666" s="245">
        <f>IF(BB$7="Actual","",IF($K666="Yes",IFERROR(BB650*(1+BB$59),0),BB650))</f>
        <v/>
      </c>
      <c r="BC666" s="245">
        <f>IF(BC$7="Actual","",IF($K666="Yes",IFERROR(BC650*(1+BC$59),0),BC650))</f>
        <v/>
      </c>
      <c r="BD666" s="245">
        <f>IF(BD$7="Actual","",IF($K666="Yes",IFERROR(BD650*(1+BD$59),0),BD650))</f>
        <v/>
      </c>
      <c r="BE666" s="245">
        <f>IF(BE$7="Actual","",IF($K666="Yes",IFERROR(BE650*(1+BE$59),0),BE650))</f>
        <v/>
      </c>
      <c r="BF666" s="245">
        <f>IF(BF$7="Actual","",IF($K666="Yes",IFERROR(BF650*(1+BF$59),0),BF650))</f>
        <v/>
      </c>
      <c r="BG666" s="245">
        <f>IF(BG$7="Actual","",IF($K666="Yes",IFERROR(BG650*(1+BG$59),0),BG650))</f>
        <v/>
      </c>
      <c r="BH666" s="245">
        <f>IF(BH$7="Actual","",IF($K666="Yes",IFERROR(BH650*(1+BH$59),0),BH650))</f>
        <v/>
      </c>
      <c r="BI666" s="245">
        <f>IF(BI$7="Actual","",IF($K666="Yes",IFERROR(BI650*(1+BI$59),0),BI650))</f>
        <v/>
      </c>
      <c r="BJ666" s="245">
        <f>IF(BJ$7="Actual","",IF($K666="Yes",IFERROR(BJ650*(1+BJ$59),0),BJ650))</f>
        <v/>
      </c>
      <c r="BK666" s="245">
        <f>IF(BK$7="Actual","",IF($K666="Yes",IFERROR(BK650*(1+BK$59),0),BK650))</f>
        <v/>
      </c>
      <c r="BL666" s="245">
        <f>IF(BL$7="Actual","",IF($K666="Yes",IFERROR(BL650*(1+BL$59),0),BL650))</f>
        <v/>
      </c>
      <c r="BM666" s="245">
        <f>IF(BM$7="Actual","",IF($K666="Yes",IFERROR(BM650*(1+BM$59),0),BM650))</f>
        <v/>
      </c>
      <c r="BN666" s="245">
        <f>IF(BN$7="Actual","",IF($K666="Yes",IFERROR(BN650*(1+BN$59),0),BN650))</f>
        <v/>
      </c>
      <c r="BO666" s="245">
        <f>IF(BO$7="Actual","",IF($K666="Yes",IFERROR(BO650*(1+BO$59),0),BO650))</f>
        <v/>
      </c>
      <c r="BP666" s="245">
        <f>IF(BP$7="Actual","",IF($K666="Yes",IFERROR(BP650*(1+BP$59),0),BP650))</f>
        <v/>
      </c>
      <c r="BQ666" s="245">
        <f>IF(BQ$7="Actual","",IF($K666="Yes",IFERROR(BQ650*(1+BQ$59),0),BQ650))</f>
        <v/>
      </c>
      <c r="BR666" s="245">
        <f>IF(BR$7="Actual","",IF($K666="Yes",IFERROR(BR650*(1+BR$59),0),BR650))</f>
        <v/>
      </c>
      <c r="BS666" s="245">
        <f>IF(BS$7="Actual","",IF($K666="Yes",IFERROR(BS650*(1+BS$59),0),BS650))</f>
        <v/>
      </c>
      <c r="BT666" s="245">
        <f>IF(BT$7="Actual","",IF($K666="Yes",IFERROR(BT650*(1+BT$59),0),BT650))</f>
        <v/>
      </c>
      <c r="BU666" s="245">
        <f>IF(BU$7="Actual","",IF($K666="Yes",IFERROR(BU650*(1+BU$59),0),BU650))</f>
        <v/>
      </c>
      <c r="BV666" s="245">
        <f>IF(BV$7="Actual","",IF($K666="Yes",IFERROR(BV650*(1+BV$59),0),BV650))</f>
        <v/>
      </c>
      <c r="BW666" s="245">
        <f>IF(BW$7="Actual","",IF($K666="Yes",IFERROR(BW650*(1+BW$59),0),BW650))</f>
        <v/>
      </c>
      <c r="BX666" s="245">
        <f>IF(BX$7="Actual","",IF($K666="Yes",IFERROR(BX650*(1+BX$59),0),BX650))</f>
        <v/>
      </c>
      <c r="BY666" s="245">
        <f>IF(BY$7="Actual","",IF($K666="Yes",IFERROR(BY650*(1+BY$59),0),BY650))</f>
        <v/>
      </c>
      <c r="BZ666" s="245">
        <f>IF(BZ$7="Actual","",IF($K666="Yes",IFERROR(BZ650*(1+BZ$59),0),BZ650))</f>
        <v/>
      </c>
      <c r="CA666" s="245">
        <f>IF(CA$7="Actual","",IF($K666="Yes",IFERROR(CA650*(1+CA$59),0),CA650))</f>
        <v/>
      </c>
    </row>
    <row r="667" ht="12" customHeight="1" s="227">
      <c r="A667" s="244" t="n"/>
      <c r="B667" s="244" t="n"/>
      <c r="C667" s="244" t="n"/>
      <c r="H667" s="4">
        <f>H651</f>
        <v/>
      </c>
      <c r="I667" s="27">
        <f>i_Setup!$M$16</f>
        <v/>
      </c>
      <c r="K667" s="259">
        <f>i_Setup!P69</f>
        <v/>
      </c>
      <c r="M667" s="245">
        <f>SUMIF($T$4:$CA$4,M$4,$T667:$CA667)</f>
        <v/>
      </c>
      <c r="N667" s="245">
        <f>SUMIF($T$4:$CA$4,N$4,$T667:$CA667)</f>
        <v/>
      </c>
      <c r="O667" s="245">
        <f>SUMIF($T$4:$CA$4,O$4,$T667:$CA667)</f>
        <v/>
      </c>
      <c r="P667" s="245">
        <f>SUMIF($T$4:$CA$4,P$4,$T667:$CA667)</f>
        <v/>
      </c>
      <c r="Q667" s="245">
        <f>SUMIF($T$4:$CA$4,Q$4,$T667:$CA667)</f>
        <v/>
      </c>
      <c r="T667" s="245">
        <f>IF(T$7="Actual","",IF($K667="Yes",IFERROR(T651*(1+T$59),0),T651))</f>
        <v/>
      </c>
      <c r="U667" s="245">
        <f>IF(U$7="Actual","",IF($K667="Yes",IFERROR(U651*(1+U$59),0),U651))</f>
        <v/>
      </c>
      <c r="V667" s="245">
        <f>IF(V$7="Actual","",IF($K667="Yes",IFERROR(V651*(1+V$59),0),V651))</f>
        <v/>
      </c>
      <c r="W667" s="245">
        <f>IF(W$7="Actual","",IF($K667="Yes",IFERROR(W651*(1+W$59),0),W651))</f>
        <v/>
      </c>
      <c r="X667" s="245">
        <f>IF(X$7="Actual","",IF($K667="Yes",IFERROR(X651*(1+X$59),0),X651))</f>
        <v/>
      </c>
      <c r="Y667" s="245">
        <f>IF(Y$7="Actual","",IF($K667="Yes",IFERROR(Y651*(1+Y$59),0),Y651))</f>
        <v/>
      </c>
      <c r="Z667" s="245">
        <f>IF(Z$7="Actual","",IF($K667="Yes",IFERROR(Z651*(1+Z$59),0),Z651))</f>
        <v/>
      </c>
      <c r="AA667" s="245">
        <f>IF(AA$7="Actual","",IF($K667="Yes",IFERROR(AA651*(1+AA$59),0),AA651))</f>
        <v/>
      </c>
      <c r="AB667" s="245">
        <f>IF(AB$7="Actual","",IF($K667="Yes",IFERROR(AB651*(1+AB$59),0),AB651))</f>
        <v/>
      </c>
      <c r="AC667" s="245">
        <f>IF(AC$7="Actual","",IF($K667="Yes",IFERROR(AC651*(1+AC$59),0),AC651))</f>
        <v/>
      </c>
      <c r="AD667" s="245">
        <f>IF(AD$7="Actual","",IF($K667="Yes",IFERROR(AD651*(1+AD$59),0),AD651))</f>
        <v/>
      </c>
      <c r="AE667" s="245">
        <f>IF(AE$7="Actual","",IF($K667="Yes",IFERROR(AE651*(1+AE$59),0),AE651))</f>
        <v/>
      </c>
      <c r="AF667" s="245">
        <f>IF(AF$7="Actual","",IF($K667="Yes",IFERROR(AF651*(1+AF$59),0),AF651))</f>
        <v/>
      </c>
      <c r="AG667" s="245">
        <f>IF(AG$7="Actual","",IF($K667="Yes",IFERROR(AG651*(1+AG$59),0),AG651))</f>
        <v/>
      </c>
      <c r="AH667" s="245">
        <f>IF(AH$7="Actual","",IF($K667="Yes",IFERROR(AH651*(1+AH$59),0),AH651))</f>
        <v/>
      </c>
      <c r="AI667" s="245">
        <f>IF(AI$7="Actual","",IF($K667="Yes",IFERROR(AI651*(1+AI$59),0),AI651))</f>
        <v/>
      </c>
      <c r="AJ667" s="245">
        <f>IF(AJ$7="Actual","",IF($K667="Yes",IFERROR(AJ651*(1+AJ$59),0),AJ651))</f>
        <v/>
      </c>
      <c r="AK667" s="245">
        <f>IF(AK$7="Actual","",IF($K667="Yes",IFERROR(AK651*(1+AK$59),0),AK651))</f>
        <v/>
      </c>
      <c r="AL667" s="245">
        <f>IF(AL$7="Actual","",IF($K667="Yes",IFERROR(AL651*(1+AL$59),0),AL651))</f>
        <v/>
      </c>
      <c r="AM667" s="245">
        <f>IF(AM$7="Actual","",IF($K667="Yes",IFERROR(AM651*(1+AM$59),0),AM651))</f>
        <v/>
      </c>
      <c r="AN667" s="245">
        <f>IF(AN$7="Actual","",IF($K667="Yes",IFERROR(AN651*(1+AN$59),0),AN651))</f>
        <v/>
      </c>
      <c r="AO667" s="245">
        <f>IF(AO$7="Actual","",IF($K667="Yes",IFERROR(AO651*(1+AO$59),0),AO651))</f>
        <v/>
      </c>
      <c r="AP667" s="245">
        <f>IF(AP$7="Actual","",IF($K667="Yes",IFERROR(AP651*(1+AP$59),0),AP651))</f>
        <v/>
      </c>
      <c r="AQ667" s="245">
        <f>IF(AQ$7="Actual","",IF($K667="Yes",IFERROR(AQ651*(1+AQ$59),0),AQ651))</f>
        <v/>
      </c>
      <c r="AR667" s="245">
        <f>IF(AR$7="Actual","",IF($K667="Yes",IFERROR(AR651*(1+AR$59),0),AR651))</f>
        <v/>
      </c>
      <c r="AS667" s="245">
        <f>IF(AS$7="Actual","",IF($K667="Yes",IFERROR(AS651*(1+AS$59),0),AS651))</f>
        <v/>
      </c>
      <c r="AT667" s="245">
        <f>IF(AT$7="Actual","",IF($K667="Yes",IFERROR(AT651*(1+AT$59),0),AT651))</f>
        <v/>
      </c>
      <c r="AU667" s="245">
        <f>IF(AU$7="Actual","",IF($K667="Yes",IFERROR(AU651*(1+AU$59),0),AU651))</f>
        <v/>
      </c>
      <c r="AV667" s="245">
        <f>IF(AV$7="Actual","",IF($K667="Yes",IFERROR(AV651*(1+AV$59),0),AV651))</f>
        <v/>
      </c>
      <c r="AW667" s="245">
        <f>IF(AW$7="Actual","",IF($K667="Yes",IFERROR(AW651*(1+AW$59),0),AW651))</f>
        <v/>
      </c>
      <c r="AX667" s="245">
        <f>IF(AX$7="Actual","",IF($K667="Yes",IFERROR(AX651*(1+AX$59),0),AX651))</f>
        <v/>
      </c>
      <c r="AY667" s="245">
        <f>IF(AY$7="Actual","",IF($K667="Yes",IFERROR(AY651*(1+AY$59),0),AY651))</f>
        <v/>
      </c>
      <c r="AZ667" s="245">
        <f>IF(AZ$7="Actual","",IF($K667="Yes",IFERROR(AZ651*(1+AZ$59),0),AZ651))</f>
        <v/>
      </c>
      <c r="BA667" s="245">
        <f>IF(BA$7="Actual","",IF($K667="Yes",IFERROR(BA651*(1+BA$59),0),BA651))</f>
        <v/>
      </c>
      <c r="BB667" s="245">
        <f>IF(BB$7="Actual","",IF($K667="Yes",IFERROR(BB651*(1+BB$59),0),BB651))</f>
        <v/>
      </c>
      <c r="BC667" s="245">
        <f>IF(BC$7="Actual","",IF($K667="Yes",IFERROR(BC651*(1+BC$59),0),BC651))</f>
        <v/>
      </c>
      <c r="BD667" s="245">
        <f>IF(BD$7="Actual","",IF($K667="Yes",IFERROR(BD651*(1+BD$59),0),BD651))</f>
        <v/>
      </c>
      <c r="BE667" s="245">
        <f>IF(BE$7="Actual","",IF($K667="Yes",IFERROR(BE651*(1+BE$59),0),BE651))</f>
        <v/>
      </c>
      <c r="BF667" s="245">
        <f>IF(BF$7="Actual","",IF($K667="Yes",IFERROR(BF651*(1+BF$59),0),BF651))</f>
        <v/>
      </c>
      <c r="BG667" s="245">
        <f>IF(BG$7="Actual","",IF($K667="Yes",IFERROR(BG651*(1+BG$59),0),BG651))</f>
        <v/>
      </c>
      <c r="BH667" s="245">
        <f>IF(BH$7="Actual","",IF($K667="Yes",IFERROR(BH651*(1+BH$59),0),BH651))</f>
        <v/>
      </c>
      <c r="BI667" s="245">
        <f>IF(BI$7="Actual","",IF($K667="Yes",IFERROR(BI651*(1+BI$59),0),BI651))</f>
        <v/>
      </c>
      <c r="BJ667" s="245">
        <f>IF(BJ$7="Actual","",IF($K667="Yes",IFERROR(BJ651*(1+BJ$59),0),BJ651))</f>
        <v/>
      </c>
      <c r="BK667" s="245">
        <f>IF(BK$7="Actual","",IF($K667="Yes",IFERROR(BK651*(1+BK$59),0),BK651))</f>
        <v/>
      </c>
      <c r="BL667" s="245">
        <f>IF(BL$7="Actual","",IF($K667="Yes",IFERROR(BL651*(1+BL$59),0),BL651))</f>
        <v/>
      </c>
      <c r="BM667" s="245">
        <f>IF(BM$7="Actual","",IF($K667="Yes",IFERROR(BM651*(1+BM$59),0),BM651))</f>
        <v/>
      </c>
      <c r="BN667" s="245">
        <f>IF(BN$7="Actual","",IF($K667="Yes",IFERROR(BN651*(1+BN$59),0),BN651))</f>
        <v/>
      </c>
      <c r="BO667" s="245">
        <f>IF(BO$7="Actual","",IF($K667="Yes",IFERROR(BO651*(1+BO$59),0),BO651))</f>
        <v/>
      </c>
      <c r="BP667" s="245">
        <f>IF(BP$7="Actual","",IF($K667="Yes",IFERROR(BP651*(1+BP$59),0),BP651))</f>
        <v/>
      </c>
      <c r="BQ667" s="245">
        <f>IF(BQ$7="Actual","",IF($K667="Yes",IFERROR(BQ651*(1+BQ$59),0),BQ651))</f>
        <v/>
      </c>
      <c r="BR667" s="245">
        <f>IF(BR$7="Actual","",IF($K667="Yes",IFERROR(BR651*(1+BR$59),0),BR651))</f>
        <v/>
      </c>
      <c r="BS667" s="245">
        <f>IF(BS$7="Actual","",IF($K667="Yes",IFERROR(BS651*(1+BS$59),0),BS651))</f>
        <v/>
      </c>
      <c r="BT667" s="245">
        <f>IF(BT$7="Actual","",IF($K667="Yes",IFERROR(BT651*(1+BT$59),0),BT651))</f>
        <v/>
      </c>
      <c r="BU667" s="245">
        <f>IF(BU$7="Actual","",IF($K667="Yes",IFERROR(BU651*(1+BU$59),0),BU651))</f>
        <v/>
      </c>
      <c r="BV667" s="245">
        <f>IF(BV$7="Actual","",IF($K667="Yes",IFERROR(BV651*(1+BV$59),0),BV651))</f>
        <v/>
      </c>
      <c r="BW667" s="245">
        <f>IF(BW$7="Actual","",IF($K667="Yes",IFERROR(BW651*(1+BW$59),0),BW651))</f>
        <v/>
      </c>
      <c r="BX667" s="245">
        <f>IF(BX$7="Actual","",IF($K667="Yes",IFERROR(BX651*(1+BX$59),0),BX651))</f>
        <v/>
      </c>
      <c r="BY667" s="245">
        <f>IF(BY$7="Actual","",IF($K667="Yes",IFERROR(BY651*(1+BY$59),0),BY651))</f>
        <v/>
      </c>
      <c r="BZ667" s="245">
        <f>IF(BZ$7="Actual","",IF($K667="Yes",IFERROR(BZ651*(1+BZ$59),0),BZ651))</f>
        <v/>
      </c>
      <c r="CA667" s="245">
        <f>IF(CA$7="Actual","",IF($K667="Yes",IFERROR(CA651*(1+CA$59),0),CA651))</f>
        <v/>
      </c>
    </row>
    <row r="668" ht="12" customHeight="1" s="227">
      <c r="A668" s="244" t="n"/>
      <c r="B668" s="244" t="n"/>
      <c r="C668" s="244" t="n"/>
      <c r="H668" s="4">
        <f>H652</f>
        <v/>
      </c>
      <c r="I668" s="27">
        <f>i_Setup!$M$16</f>
        <v/>
      </c>
      <c r="K668" s="259">
        <f>i_Setup!P70</f>
        <v/>
      </c>
      <c r="M668" s="245">
        <f>SUMIF($T$4:$CA$4,M$4,$T668:$CA668)</f>
        <v/>
      </c>
      <c r="N668" s="245">
        <f>SUMIF($T$4:$CA$4,N$4,$T668:$CA668)</f>
        <v/>
      </c>
      <c r="O668" s="245">
        <f>SUMIF($T$4:$CA$4,O$4,$T668:$CA668)</f>
        <v/>
      </c>
      <c r="P668" s="245">
        <f>SUMIF($T$4:$CA$4,P$4,$T668:$CA668)</f>
        <v/>
      </c>
      <c r="Q668" s="245">
        <f>SUMIF($T$4:$CA$4,Q$4,$T668:$CA668)</f>
        <v/>
      </c>
      <c r="T668" s="245">
        <f>IF(T$7="Actual","",IF($K668="Yes",IFERROR(T652*(1+T$59),0),T652))</f>
        <v/>
      </c>
      <c r="U668" s="245">
        <f>IF(U$7="Actual","",IF($K668="Yes",IFERROR(U652*(1+U$59),0),U652))</f>
        <v/>
      </c>
      <c r="V668" s="245">
        <f>IF(V$7="Actual","",IF($K668="Yes",IFERROR(V652*(1+V$59),0),V652))</f>
        <v/>
      </c>
      <c r="W668" s="245">
        <f>IF(W$7="Actual","",IF($K668="Yes",IFERROR(W652*(1+W$59),0),W652))</f>
        <v/>
      </c>
      <c r="X668" s="245">
        <f>IF(X$7="Actual","",IF($K668="Yes",IFERROR(X652*(1+X$59),0),X652))</f>
        <v/>
      </c>
      <c r="Y668" s="245">
        <f>IF(Y$7="Actual","",IF($K668="Yes",IFERROR(Y652*(1+Y$59),0),Y652))</f>
        <v/>
      </c>
      <c r="Z668" s="245">
        <f>IF(Z$7="Actual","",IF($K668="Yes",IFERROR(Z652*(1+Z$59),0),Z652))</f>
        <v/>
      </c>
      <c r="AA668" s="245">
        <f>IF(AA$7="Actual","",IF($K668="Yes",IFERROR(AA652*(1+AA$59),0),AA652))</f>
        <v/>
      </c>
      <c r="AB668" s="245">
        <f>IF(AB$7="Actual","",IF($K668="Yes",IFERROR(AB652*(1+AB$59),0),AB652))</f>
        <v/>
      </c>
      <c r="AC668" s="245">
        <f>IF(AC$7="Actual","",IF($K668="Yes",IFERROR(AC652*(1+AC$59),0),AC652))</f>
        <v/>
      </c>
      <c r="AD668" s="245">
        <f>IF(AD$7="Actual","",IF($K668="Yes",IFERROR(AD652*(1+AD$59),0),AD652))</f>
        <v/>
      </c>
      <c r="AE668" s="245">
        <f>IF(AE$7="Actual","",IF($K668="Yes",IFERROR(AE652*(1+AE$59),0),AE652))</f>
        <v/>
      </c>
      <c r="AF668" s="245">
        <f>IF(AF$7="Actual","",IF($K668="Yes",IFERROR(AF652*(1+AF$59),0),AF652))</f>
        <v/>
      </c>
      <c r="AG668" s="245">
        <f>IF(AG$7="Actual","",IF($K668="Yes",IFERROR(AG652*(1+AG$59),0),AG652))</f>
        <v/>
      </c>
      <c r="AH668" s="245">
        <f>IF(AH$7="Actual","",IF($K668="Yes",IFERROR(AH652*(1+AH$59),0),AH652))</f>
        <v/>
      </c>
      <c r="AI668" s="245">
        <f>IF(AI$7="Actual","",IF($K668="Yes",IFERROR(AI652*(1+AI$59),0),AI652))</f>
        <v/>
      </c>
      <c r="AJ668" s="245">
        <f>IF(AJ$7="Actual","",IF($K668="Yes",IFERROR(AJ652*(1+AJ$59),0),AJ652))</f>
        <v/>
      </c>
      <c r="AK668" s="245">
        <f>IF(AK$7="Actual","",IF($K668="Yes",IFERROR(AK652*(1+AK$59),0),AK652))</f>
        <v/>
      </c>
      <c r="AL668" s="245">
        <f>IF(AL$7="Actual","",IF($K668="Yes",IFERROR(AL652*(1+AL$59),0),AL652))</f>
        <v/>
      </c>
      <c r="AM668" s="245">
        <f>IF(AM$7="Actual","",IF($K668="Yes",IFERROR(AM652*(1+AM$59),0),AM652))</f>
        <v/>
      </c>
      <c r="AN668" s="245">
        <f>IF(AN$7="Actual","",IF($K668="Yes",IFERROR(AN652*(1+AN$59),0),AN652))</f>
        <v/>
      </c>
      <c r="AO668" s="245">
        <f>IF(AO$7="Actual","",IF($K668="Yes",IFERROR(AO652*(1+AO$59),0),AO652))</f>
        <v/>
      </c>
      <c r="AP668" s="245">
        <f>IF(AP$7="Actual","",IF($K668="Yes",IFERROR(AP652*(1+AP$59),0),AP652))</f>
        <v/>
      </c>
      <c r="AQ668" s="245">
        <f>IF(AQ$7="Actual","",IF($K668="Yes",IFERROR(AQ652*(1+AQ$59),0),AQ652))</f>
        <v/>
      </c>
      <c r="AR668" s="245">
        <f>IF(AR$7="Actual","",IF($K668="Yes",IFERROR(AR652*(1+AR$59),0),AR652))</f>
        <v/>
      </c>
      <c r="AS668" s="245">
        <f>IF(AS$7="Actual","",IF($K668="Yes",IFERROR(AS652*(1+AS$59),0),AS652))</f>
        <v/>
      </c>
      <c r="AT668" s="245">
        <f>IF(AT$7="Actual","",IF($K668="Yes",IFERROR(AT652*(1+AT$59),0),AT652))</f>
        <v/>
      </c>
      <c r="AU668" s="245">
        <f>IF(AU$7="Actual","",IF($K668="Yes",IFERROR(AU652*(1+AU$59),0),AU652))</f>
        <v/>
      </c>
      <c r="AV668" s="245">
        <f>IF(AV$7="Actual","",IF($K668="Yes",IFERROR(AV652*(1+AV$59),0),AV652))</f>
        <v/>
      </c>
      <c r="AW668" s="245">
        <f>IF(AW$7="Actual","",IF($K668="Yes",IFERROR(AW652*(1+AW$59),0),AW652))</f>
        <v/>
      </c>
      <c r="AX668" s="245">
        <f>IF(AX$7="Actual","",IF($K668="Yes",IFERROR(AX652*(1+AX$59),0),AX652))</f>
        <v/>
      </c>
      <c r="AY668" s="245">
        <f>IF(AY$7="Actual","",IF($K668="Yes",IFERROR(AY652*(1+AY$59),0),AY652))</f>
        <v/>
      </c>
      <c r="AZ668" s="245">
        <f>IF(AZ$7="Actual","",IF($K668="Yes",IFERROR(AZ652*(1+AZ$59),0),AZ652))</f>
        <v/>
      </c>
      <c r="BA668" s="245">
        <f>IF(BA$7="Actual","",IF($K668="Yes",IFERROR(BA652*(1+BA$59),0),BA652))</f>
        <v/>
      </c>
      <c r="BB668" s="245">
        <f>IF(BB$7="Actual","",IF($K668="Yes",IFERROR(BB652*(1+BB$59),0),BB652))</f>
        <v/>
      </c>
      <c r="BC668" s="245">
        <f>IF(BC$7="Actual","",IF($K668="Yes",IFERROR(BC652*(1+BC$59),0),BC652))</f>
        <v/>
      </c>
      <c r="BD668" s="245">
        <f>IF(BD$7="Actual","",IF($K668="Yes",IFERROR(BD652*(1+BD$59),0),BD652))</f>
        <v/>
      </c>
      <c r="BE668" s="245">
        <f>IF(BE$7="Actual","",IF($K668="Yes",IFERROR(BE652*(1+BE$59),0),BE652))</f>
        <v/>
      </c>
      <c r="BF668" s="245">
        <f>IF(BF$7="Actual","",IF($K668="Yes",IFERROR(BF652*(1+BF$59),0),BF652))</f>
        <v/>
      </c>
      <c r="BG668" s="245">
        <f>IF(BG$7="Actual","",IF($K668="Yes",IFERROR(BG652*(1+BG$59),0),BG652))</f>
        <v/>
      </c>
      <c r="BH668" s="245">
        <f>IF(BH$7="Actual","",IF($K668="Yes",IFERROR(BH652*(1+BH$59),0),BH652))</f>
        <v/>
      </c>
      <c r="BI668" s="245">
        <f>IF(BI$7="Actual","",IF($K668="Yes",IFERROR(BI652*(1+BI$59),0),BI652))</f>
        <v/>
      </c>
      <c r="BJ668" s="245">
        <f>IF(BJ$7="Actual","",IF($K668="Yes",IFERROR(BJ652*(1+BJ$59),0),BJ652))</f>
        <v/>
      </c>
      <c r="BK668" s="245">
        <f>IF(BK$7="Actual","",IF($K668="Yes",IFERROR(BK652*(1+BK$59),0),BK652))</f>
        <v/>
      </c>
      <c r="BL668" s="245">
        <f>IF(BL$7="Actual","",IF($K668="Yes",IFERROR(BL652*(1+BL$59),0),BL652))</f>
        <v/>
      </c>
      <c r="BM668" s="245">
        <f>IF(BM$7="Actual","",IF($K668="Yes",IFERROR(BM652*(1+BM$59),0),BM652))</f>
        <v/>
      </c>
      <c r="BN668" s="245">
        <f>IF(BN$7="Actual","",IF($K668="Yes",IFERROR(BN652*(1+BN$59),0),BN652))</f>
        <v/>
      </c>
      <c r="BO668" s="245">
        <f>IF(BO$7="Actual","",IF($K668="Yes",IFERROR(BO652*(1+BO$59),0),BO652))</f>
        <v/>
      </c>
      <c r="BP668" s="245">
        <f>IF(BP$7="Actual","",IF($K668="Yes",IFERROR(BP652*(1+BP$59),0),BP652))</f>
        <v/>
      </c>
      <c r="BQ668" s="245">
        <f>IF(BQ$7="Actual","",IF($K668="Yes",IFERROR(BQ652*(1+BQ$59),0),BQ652))</f>
        <v/>
      </c>
      <c r="BR668" s="245">
        <f>IF(BR$7="Actual","",IF($K668="Yes",IFERROR(BR652*(1+BR$59),0),BR652))</f>
        <v/>
      </c>
      <c r="BS668" s="245">
        <f>IF(BS$7="Actual","",IF($K668="Yes",IFERROR(BS652*(1+BS$59),0),BS652))</f>
        <v/>
      </c>
      <c r="BT668" s="245">
        <f>IF(BT$7="Actual","",IF($K668="Yes",IFERROR(BT652*(1+BT$59),0),BT652))</f>
        <v/>
      </c>
      <c r="BU668" s="245">
        <f>IF(BU$7="Actual","",IF($K668="Yes",IFERROR(BU652*(1+BU$59),0),BU652))</f>
        <v/>
      </c>
      <c r="BV668" s="245">
        <f>IF(BV$7="Actual","",IF($K668="Yes",IFERROR(BV652*(1+BV$59),0),BV652))</f>
        <v/>
      </c>
      <c r="BW668" s="245">
        <f>IF(BW$7="Actual","",IF($K668="Yes",IFERROR(BW652*(1+BW$59),0),BW652))</f>
        <v/>
      </c>
      <c r="BX668" s="245">
        <f>IF(BX$7="Actual","",IF($K668="Yes",IFERROR(BX652*(1+BX$59),0),BX652))</f>
        <v/>
      </c>
      <c r="BY668" s="245">
        <f>IF(BY$7="Actual","",IF($K668="Yes",IFERROR(BY652*(1+BY$59),0),BY652))</f>
        <v/>
      </c>
      <c r="BZ668" s="245">
        <f>IF(BZ$7="Actual","",IF($K668="Yes",IFERROR(BZ652*(1+BZ$59),0),BZ652))</f>
        <v/>
      </c>
      <c r="CA668" s="245">
        <f>IF(CA$7="Actual","",IF($K668="Yes",IFERROR(CA652*(1+CA$59),0),CA652))</f>
        <v/>
      </c>
    </row>
    <row r="669" ht="12" customHeight="1" s="227">
      <c r="A669" s="244" t="n"/>
      <c r="B669" s="244" t="n"/>
      <c r="C669" s="244" t="n"/>
      <c r="H669" s="4">
        <f>H653</f>
        <v/>
      </c>
      <c r="I669" s="27">
        <f>i_Setup!$M$16</f>
        <v/>
      </c>
      <c r="K669" s="259">
        <f>i_Setup!P71</f>
        <v/>
      </c>
      <c r="M669" s="245">
        <f>SUMIF($T$4:$CA$4,M$4,$T669:$CA669)</f>
        <v/>
      </c>
      <c r="N669" s="245">
        <f>SUMIF($T$4:$CA$4,N$4,$T669:$CA669)</f>
        <v/>
      </c>
      <c r="O669" s="245">
        <f>SUMIF($T$4:$CA$4,O$4,$T669:$CA669)</f>
        <v/>
      </c>
      <c r="P669" s="245">
        <f>SUMIF($T$4:$CA$4,P$4,$T669:$CA669)</f>
        <v/>
      </c>
      <c r="Q669" s="245">
        <f>SUMIF($T$4:$CA$4,Q$4,$T669:$CA669)</f>
        <v/>
      </c>
      <c r="T669" s="245">
        <f>IF(T$7="Actual","",IF($K669="Yes",IFERROR(T653*(1+T$59),0),T653))</f>
        <v/>
      </c>
      <c r="U669" s="245">
        <f>IF(U$7="Actual","",IF($K669="Yes",IFERROR(U653*(1+U$59),0),U653))</f>
        <v/>
      </c>
      <c r="V669" s="245">
        <f>IF(V$7="Actual","",IF($K669="Yes",IFERROR(V653*(1+V$59),0),V653))</f>
        <v/>
      </c>
      <c r="W669" s="245">
        <f>IF(W$7="Actual","",IF($K669="Yes",IFERROR(W653*(1+W$59),0),W653))</f>
        <v/>
      </c>
      <c r="X669" s="245">
        <f>IF(X$7="Actual","",IF($K669="Yes",IFERROR(X653*(1+X$59),0),X653))</f>
        <v/>
      </c>
      <c r="Y669" s="245">
        <f>IF(Y$7="Actual","",IF($K669="Yes",IFERROR(Y653*(1+Y$59),0),Y653))</f>
        <v/>
      </c>
      <c r="Z669" s="245">
        <f>IF(Z$7="Actual","",IF($K669="Yes",IFERROR(Z653*(1+Z$59),0),Z653))</f>
        <v/>
      </c>
      <c r="AA669" s="245">
        <f>IF(AA$7="Actual","",IF($K669="Yes",IFERROR(AA653*(1+AA$59),0),AA653))</f>
        <v/>
      </c>
      <c r="AB669" s="245">
        <f>IF(AB$7="Actual","",IF($K669="Yes",IFERROR(AB653*(1+AB$59),0),AB653))</f>
        <v/>
      </c>
      <c r="AC669" s="245">
        <f>IF(AC$7="Actual","",IF($K669="Yes",IFERROR(AC653*(1+AC$59),0),AC653))</f>
        <v/>
      </c>
      <c r="AD669" s="245">
        <f>IF(AD$7="Actual","",IF($K669="Yes",IFERROR(AD653*(1+AD$59),0),AD653))</f>
        <v/>
      </c>
      <c r="AE669" s="245">
        <f>IF(AE$7="Actual","",IF($K669="Yes",IFERROR(AE653*(1+AE$59),0),AE653))</f>
        <v/>
      </c>
      <c r="AF669" s="245">
        <f>IF(AF$7="Actual","",IF($K669="Yes",IFERROR(AF653*(1+AF$59),0),AF653))</f>
        <v/>
      </c>
      <c r="AG669" s="245">
        <f>IF(AG$7="Actual","",IF($K669="Yes",IFERROR(AG653*(1+AG$59),0),AG653))</f>
        <v/>
      </c>
      <c r="AH669" s="245">
        <f>IF(AH$7="Actual","",IF($K669="Yes",IFERROR(AH653*(1+AH$59),0),AH653))</f>
        <v/>
      </c>
      <c r="AI669" s="245">
        <f>IF(AI$7="Actual","",IF($K669="Yes",IFERROR(AI653*(1+AI$59),0),AI653))</f>
        <v/>
      </c>
      <c r="AJ669" s="245">
        <f>IF(AJ$7="Actual","",IF($K669="Yes",IFERROR(AJ653*(1+AJ$59),0),AJ653))</f>
        <v/>
      </c>
      <c r="AK669" s="245">
        <f>IF(AK$7="Actual","",IF($K669="Yes",IFERROR(AK653*(1+AK$59),0),AK653))</f>
        <v/>
      </c>
      <c r="AL669" s="245">
        <f>IF(AL$7="Actual","",IF($K669="Yes",IFERROR(AL653*(1+AL$59),0),AL653))</f>
        <v/>
      </c>
      <c r="AM669" s="245">
        <f>IF(AM$7="Actual","",IF($K669="Yes",IFERROR(AM653*(1+AM$59),0),AM653))</f>
        <v/>
      </c>
      <c r="AN669" s="245">
        <f>IF(AN$7="Actual","",IF($K669="Yes",IFERROR(AN653*(1+AN$59),0),AN653))</f>
        <v/>
      </c>
      <c r="AO669" s="245">
        <f>IF(AO$7="Actual","",IF($K669="Yes",IFERROR(AO653*(1+AO$59),0),AO653))</f>
        <v/>
      </c>
      <c r="AP669" s="245">
        <f>IF(AP$7="Actual","",IF($K669="Yes",IFERROR(AP653*(1+AP$59),0),AP653))</f>
        <v/>
      </c>
      <c r="AQ669" s="245">
        <f>IF(AQ$7="Actual","",IF($K669="Yes",IFERROR(AQ653*(1+AQ$59),0),AQ653))</f>
        <v/>
      </c>
      <c r="AR669" s="245">
        <f>IF(AR$7="Actual","",IF($K669="Yes",IFERROR(AR653*(1+AR$59),0),AR653))</f>
        <v/>
      </c>
      <c r="AS669" s="245">
        <f>IF(AS$7="Actual","",IF($K669="Yes",IFERROR(AS653*(1+AS$59),0),AS653))</f>
        <v/>
      </c>
      <c r="AT669" s="245">
        <f>IF(AT$7="Actual","",IF($K669="Yes",IFERROR(AT653*(1+AT$59),0),AT653))</f>
        <v/>
      </c>
      <c r="AU669" s="245">
        <f>IF(AU$7="Actual","",IF($K669="Yes",IFERROR(AU653*(1+AU$59),0),AU653))</f>
        <v/>
      </c>
      <c r="AV669" s="245">
        <f>IF(AV$7="Actual","",IF($K669="Yes",IFERROR(AV653*(1+AV$59),0),AV653))</f>
        <v/>
      </c>
      <c r="AW669" s="245">
        <f>IF(AW$7="Actual","",IF($K669="Yes",IFERROR(AW653*(1+AW$59),0),AW653))</f>
        <v/>
      </c>
      <c r="AX669" s="245">
        <f>IF(AX$7="Actual","",IF($K669="Yes",IFERROR(AX653*(1+AX$59),0),AX653))</f>
        <v/>
      </c>
      <c r="AY669" s="245">
        <f>IF(AY$7="Actual","",IF($K669="Yes",IFERROR(AY653*(1+AY$59),0),AY653))</f>
        <v/>
      </c>
      <c r="AZ669" s="245">
        <f>IF(AZ$7="Actual","",IF($K669="Yes",IFERROR(AZ653*(1+AZ$59),0),AZ653))</f>
        <v/>
      </c>
      <c r="BA669" s="245">
        <f>IF(BA$7="Actual","",IF($K669="Yes",IFERROR(BA653*(1+BA$59),0),BA653))</f>
        <v/>
      </c>
      <c r="BB669" s="245">
        <f>IF(BB$7="Actual","",IF($K669="Yes",IFERROR(BB653*(1+BB$59),0),BB653))</f>
        <v/>
      </c>
      <c r="BC669" s="245">
        <f>IF(BC$7="Actual","",IF($K669="Yes",IFERROR(BC653*(1+BC$59),0),BC653))</f>
        <v/>
      </c>
      <c r="BD669" s="245">
        <f>IF(BD$7="Actual","",IF($K669="Yes",IFERROR(BD653*(1+BD$59),0),BD653))</f>
        <v/>
      </c>
      <c r="BE669" s="245">
        <f>IF(BE$7="Actual","",IF($K669="Yes",IFERROR(BE653*(1+BE$59),0),BE653))</f>
        <v/>
      </c>
      <c r="BF669" s="245">
        <f>IF(BF$7="Actual","",IF($K669="Yes",IFERROR(BF653*(1+BF$59),0),BF653))</f>
        <v/>
      </c>
      <c r="BG669" s="245">
        <f>IF(BG$7="Actual","",IF($K669="Yes",IFERROR(BG653*(1+BG$59),0),BG653))</f>
        <v/>
      </c>
      <c r="BH669" s="245">
        <f>IF(BH$7="Actual","",IF($K669="Yes",IFERROR(BH653*(1+BH$59),0),BH653))</f>
        <v/>
      </c>
      <c r="BI669" s="245">
        <f>IF(BI$7="Actual","",IF($K669="Yes",IFERROR(BI653*(1+BI$59),0),BI653))</f>
        <v/>
      </c>
      <c r="BJ669" s="245">
        <f>IF(BJ$7="Actual","",IF($K669="Yes",IFERROR(BJ653*(1+BJ$59),0),BJ653))</f>
        <v/>
      </c>
      <c r="BK669" s="245">
        <f>IF(BK$7="Actual","",IF($K669="Yes",IFERROR(BK653*(1+BK$59),0),BK653))</f>
        <v/>
      </c>
      <c r="BL669" s="245">
        <f>IF(BL$7="Actual","",IF($K669="Yes",IFERROR(BL653*(1+BL$59),0),BL653))</f>
        <v/>
      </c>
      <c r="BM669" s="245">
        <f>IF(BM$7="Actual","",IF($K669="Yes",IFERROR(BM653*(1+BM$59),0),BM653))</f>
        <v/>
      </c>
      <c r="BN669" s="245">
        <f>IF(BN$7="Actual","",IF($K669="Yes",IFERROR(BN653*(1+BN$59),0),BN653))</f>
        <v/>
      </c>
      <c r="BO669" s="245">
        <f>IF(BO$7="Actual","",IF($K669="Yes",IFERROR(BO653*(1+BO$59),0),BO653))</f>
        <v/>
      </c>
      <c r="BP669" s="245">
        <f>IF(BP$7="Actual","",IF($K669="Yes",IFERROR(BP653*(1+BP$59),0),BP653))</f>
        <v/>
      </c>
      <c r="BQ669" s="245">
        <f>IF(BQ$7="Actual","",IF($K669="Yes",IFERROR(BQ653*(1+BQ$59),0),BQ653))</f>
        <v/>
      </c>
      <c r="BR669" s="245">
        <f>IF(BR$7="Actual","",IF($K669="Yes",IFERROR(BR653*(1+BR$59),0),BR653))</f>
        <v/>
      </c>
      <c r="BS669" s="245">
        <f>IF(BS$7="Actual","",IF($K669="Yes",IFERROR(BS653*(1+BS$59),0),BS653))</f>
        <v/>
      </c>
      <c r="BT669" s="245">
        <f>IF(BT$7="Actual","",IF($K669="Yes",IFERROR(BT653*(1+BT$59),0),BT653))</f>
        <v/>
      </c>
      <c r="BU669" s="245">
        <f>IF(BU$7="Actual","",IF($K669="Yes",IFERROR(BU653*(1+BU$59),0),BU653))</f>
        <v/>
      </c>
      <c r="BV669" s="245">
        <f>IF(BV$7="Actual","",IF($K669="Yes",IFERROR(BV653*(1+BV$59),0),BV653))</f>
        <v/>
      </c>
      <c r="BW669" s="245">
        <f>IF(BW$7="Actual","",IF($K669="Yes",IFERROR(BW653*(1+BW$59),0),BW653))</f>
        <v/>
      </c>
      <c r="BX669" s="245">
        <f>IF(BX$7="Actual","",IF($K669="Yes",IFERROR(BX653*(1+BX$59),0),BX653))</f>
        <v/>
      </c>
      <c r="BY669" s="245">
        <f>IF(BY$7="Actual","",IF($K669="Yes",IFERROR(BY653*(1+BY$59),0),BY653))</f>
        <v/>
      </c>
      <c r="BZ669" s="245">
        <f>IF(BZ$7="Actual","",IF($K669="Yes",IFERROR(BZ653*(1+BZ$59),0),BZ653))</f>
        <v/>
      </c>
      <c r="CA669" s="245">
        <f>IF(CA$7="Actual","",IF($K669="Yes",IFERROR(CA653*(1+CA$59),0),CA653))</f>
        <v/>
      </c>
    </row>
    <row r="670" ht="12" customHeight="1" s="227">
      <c r="A670" s="244" t="n"/>
      <c r="B670" s="244" t="n"/>
      <c r="C670" s="244" t="n"/>
      <c r="H670" s="4">
        <f>H654</f>
        <v/>
      </c>
      <c r="I670" s="27">
        <f>i_Setup!$M$16</f>
        <v/>
      </c>
      <c r="K670" s="259">
        <f>i_Setup!P72</f>
        <v/>
      </c>
      <c r="M670" s="245">
        <f>SUMIF($T$4:$CA$4,M$4,$T670:$CA670)</f>
        <v/>
      </c>
      <c r="N670" s="245">
        <f>SUMIF($T$4:$CA$4,N$4,$T670:$CA670)</f>
        <v/>
      </c>
      <c r="O670" s="245">
        <f>SUMIF($T$4:$CA$4,O$4,$T670:$CA670)</f>
        <v/>
      </c>
      <c r="P670" s="245">
        <f>SUMIF($T$4:$CA$4,P$4,$T670:$CA670)</f>
        <v/>
      </c>
      <c r="Q670" s="245">
        <f>SUMIF($T$4:$CA$4,Q$4,$T670:$CA670)</f>
        <v/>
      </c>
      <c r="T670" s="245">
        <f>IF(T$7="Actual","",IF($K670="Yes",IFERROR(T654*(1+T$59),0),T654))</f>
        <v/>
      </c>
      <c r="U670" s="245">
        <f>IF(U$7="Actual","",IF($K670="Yes",IFERROR(U654*(1+U$59),0),U654))</f>
        <v/>
      </c>
      <c r="V670" s="245">
        <f>IF(V$7="Actual","",IF($K670="Yes",IFERROR(V654*(1+V$59),0),V654))</f>
        <v/>
      </c>
      <c r="W670" s="245">
        <f>IF(W$7="Actual","",IF($K670="Yes",IFERROR(W654*(1+W$59),0),W654))</f>
        <v/>
      </c>
      <c r="X670" s="245">
        <f>IF(X$7="Actual","",IF($K670="Yes",IFERROR(X654*(1+X$59),0),X654))</f>
        <v/>
      </c>
      <c r="Y670" s="245">
        <f>IF(Y$7="Actual","",IF($K670="Yes",IFERROR(Y654*(1+Y$59),0),Y654))</f>
        <v/>
      </c>
      <c r="Z670" s="245">
        <f>IF(Z$7="Actual","",IF($K670="Yes",IFERROR(Z654*(1+Z$59),0),Z654))</f>
        <v/>
      </c>
      <c r="AA670" s="245">
        <f>IF(AA$7="Actual","",IF($K670="Yes",IFERROR(AA654*(1+AA$59),0),AA654))</f>
        <v/>
      </c>
      <c r="AB670" s="245">
        <f>IF(AB$7="Actual","",IF($K670="Yes",IFERROR(AB654*(1+AB$59),0),AB654))</f>
        <v/>
      </c>
      <c r="AC670" s="245">
        <f>IF(AC$7="Actual","",IF($K670="Yes",IFERROR(AC654*(1+AC$59),0),AC654))</f>
        <v/>
      </c>
      <c r="AD670" s="245">
        <f>IF(AD$7="Actual","",IF($K670="Yes",IFERROR(AD654*(1+AD$59),0),AD654))</f>
        <v/>
      </c>
      <c r="AE670" s="245">
        <f>IF(AE$7="Actual","",IF($K670="Yes",IFERROR(AE654*(1+AE$59),0),AE654))</f>
        <v/>
      </c>
      <c r="AF670" s="245">
        <f>IF(AF$7="Actual","",IF($K670="Yes",IFERROR(AF654*(1+AF$59),0),AF654))</f>
        <v/>
      </c>
      <c r="AG670" s="245">
        <f>IF(AG$7="Actual","",IF($K670="Yes",IFERROR(AG654*(1+AG$59),0),AG654))</f>
        <v/>
      </c>
      <c r="AH670" s="245">
        <f>IF(AH$7="Actual","",IF($K670="Yes",IFERROR(AH654*(1+AH$59),0),AH654))</f>
        <v/>
      </c>
      <c r="AI670" s="245">
        <f>IF(AI$7="Actual","",IF($K670="Yes",IFERROR(AI654*(1+AI$59),0),AI654))</f>
        <v/>
      </c>
      <c r="AJ670" s="245">
        <f>IF(AJ$7="Actual","",IF($K670="Yes",IFERROR(AJ654*(1+AJ$59),0),AJ654))</f>
        <v/>
      </c>
      <c r="AK670" s="245">
        <f>IF(AK$7="Actual","",IF($K670="Yes",IFERROR(AK654*(1+AK$59),0),AK654))</f>
        <v/>
      </c>
      <c r="AL670" s="245">
        <f>IF(AL$7="Actual","",IF($K670="Yes",IFERROR(AL654*(1+AL$59),0),AL654))</f>
        <v/>
      </c>
      <c r="AM670" s="245">
        <f>IF(AM$7="Actual","",IF($K670="Yes",IFERROR(AM654*(1+AM$59),0),AM654))</f>
        <v/>
      </c>
      <c r="AN670" s="245">
        <f>IF(AN$7="Actual","",IF($K670="Yes",IFERROR(AN654*(1+AN$59),0),AN654))</f>
        <v/>
      </c>
      <c r="AO670" s="245">
        <f>IF(AO$7="Actual","",IF($K670="Yes",IFERROR(AO654*(1+AO$59),0),AO654))</f>
        <v/>
      </c>
      <c r="AP670" s="245">
        <f>IF(AP$7="Actual","",IF($K670="Yes",IFERROR(AP654*(1+AP$59),0),AP654))</f>
        <v/>
      </c>
      <c r="AQ670" s="245">
        <f>IF(AQ$7="Actual","",IF($K670="Yes",IFERROR(AQ654*(1+AQ$59),0),AQ654))</f>
        <v/>
      </c>
      <c r="AR670" s="245">
        <f>IF(AR$7="Actual","",IF($K670="Yes",IFERROR(AR654*(1+AR$59),0),AR654))</f>
        <v/>
      </c>
      <c r="AS670" s="245">
        <f>IF(AS$7="Actual","",IF($K670="Yes",IFERROR(AS654*(1+AS$59),0),AS654))</f>
        <v/>
      </c>
      <c r="AT670" s="245">
        <f>IF(AT$7="Actual","",IF($K670="Yes",IFERROR(AT654*(1+AT$59),0),AT654))</f>
        <v/>
      </c>
      <c r="AU670" s="245">
        <f>IF(AU$7="Actual","",IF($K670="Yes",IFERROR(AU654*(1+AU$59),0),AU654))</f>
        <v/>
      </c>
      <c r="AV670" s="245">
        <f>IF(AV$7="Actual","",IF($K670="Yes",IFERROR(AV654*(1+AV$59),0),AV654))</f>
        <v/>
      </c>
      <c r="AW670" s="245">
        <f>IF(AW$7="Actual","",IF($K670="Yes",IFERROR(AW654*(1+AW$59),0),AW654))</f>
        <v/>
      </c>
      <c r="AX670" s="245">
        <f>IF(AX$7="Actual","",IF($K670="Yes",IFERROR(AX654*(1+AX$59),0),AX654))</f>
        <v/>
      </c>
      <c r="AY670" s="245">
        <f>IF(AY$7="Actual","",IF($K670="Yes",IFERROR(AY654*(1+AY$59),0),AY654))</f>
        <v/>
      </c>
      <c r="AZ670" s="245">
        <f>IF(AZ$7="Actual","",IF($K670="Yes",IFERROR(AZ654*(1+AZ$59),0),AZ654))</f>
        <v/>
      </c>
      <c r="BA670" s="245">
        <f>IF(BA$7="Actual","",IF($K670="Yes",IFERROR(BA654*(1+BA$59),0),BA654))</f>
        <v/>
      </c>
      <c r="BB670" s="245">
        <f>IF(BB$7="Actual","",IF($K670="Yes",IFERROR(BB654*(1+BB$59),0),BB654))</f>
        <v/>
      </c>
      <c r="BC670" s="245">
        <f>IF(BC$7="Actual","",IF($K670="Yes",IFERROR(BC654*(1+BC$59),0),BC654))</f>
        <v/>
      </c>
      <c r="BD670" s="245">
        <f>IF(BD$7="Actual","",IF($K670="Yes",IFERROR(BD654*(1+BD$59),0),BD654))</f>
        <v/>
      </c>
      <c r="BE670" s="245">
        <f>IF(BE$7="Actual","",IF($K670="Yes",IFERROR(BE654*(1+BE$59),0),BE654))</f>
        <v/>
      </c>
      <c r="BF670" s="245">
        <f>IF(BF$7="Actual","",IF($K670="Yes",IFERROR(BF654*(1+BF$59),0),BF654))</f>
        <v/>
      </c>
      <c r="BG670" s="245">
        <f>IF(BG$7="Actual","",IF($K670="Yes",IFERROR(BG654*(1+BG$59),0),BG654))</f>
        <v/>
      </c>
      <c r="BH670" s="245">
        <f>IF(BH$7="Actual","",IF($K670="Yes",IFERROR(BH654*(1+BH$59),0),BH654))</f>
        <v/>
      </c>
      <c r="BI670" s="245">
        <f>IF(BI$7="Actual","",IF($K670="Yes",IFERROR(BI654*(1+BI$59),0),BI654))</f>
        <v/>
      </c>
      <c r="BJ670" s="245">
        <f>IF(BJ$7="Actual","",IF($K670="Yes",IFERROR(BJ654*(1+BJ$59),0),BJ654))</f>
        <v/>
      </c>
      <c r="BK670" s="245">
        <f>IF(BK$7="Actual","",IF($K670="Yes",IFERROR(BK654*(1+BK$59),0),BK654))</f>
        <v/>
      </c>
      <c r="BL670" s="245">
        <f>IF(BL$7="Actual","",IF($K670="Yes",IFERROR(BL654*(1+BL$59),0),BL654))</f>
        <v/>
      </c>
      <c r="BM670" s="245">
        <f>IF(BM$7="Actual","",IF($K670="Yes",IFERROR(BM654*(1+BM$59),0),BM654))</f>
        <v/>
      </c>
      <c r="BN670" s="245">
        <f>IF(BN$7="Actual","",IF($K670="Yes",IFERROR(BN654*(1+BN$59),0),BN654))</f>
        <v/>
      </c>
      <c r="BO670" s="245">
        <f>IF(BO$7="Actual","",IF($K670="Yes",IFERROR(BO654*(1+BO$59),0),BO654))</f>
        <v/>
      </c>
      <c r="BP670" s="245">
        <f>IF(BP$7="Actual","",IF($K670="Yes",IFERROR(BP654*(1+BP$59),0),BP654))</f>
        <v/>
      </c>
      <c r="BQ670" s="245">
        <f>IF(BQ$7="Actual","",IF($K670="Yes",IFERROR(BQ654*(1+BQ$59),0),BQ654))</f>
        <v/>
      </c>
      <c r="BR670" s="245">
        <f>IF(BR$7="Actual","",IF($K670="Yes",IFERROR(BR654*(1+BR$59),0),BR654))</f>
        <v/>
      </c>
      <c r="BS670" s="245">
        <f>IF(BS$7="Actual","",IF($K670="Yes",IFERROR(BS654*(1+BS$59),0),BS654))</f>
        <v/>
      </c>
      <c r="BT670" s="245">
        <f>IF(BT$7="Actual","",IF($K670="Yes",IFERROR(BT654*(1+BT$59),0),BT654))</f>
        <v/>
      </c>
      <c r="BU670" s="245">
        <f>IF(BU$7="Actual","",IF($K670="Yes",IFERROR(BU654*(1+BU$59),0),BU654))</f>
        <v/>
      </c>
      <c r="BV670" s="245">
        <f>IF(BV$7="Actual","",IF($K670="Yes",IFERROR(BV654*(1+BV$59),0),BV654))</f>
        <v/>
      </c>
      <c r="BW670" s="245">
        <f>IF(BW$7="Actual","",IF($K670="Yes",IFERROR(BW654*(1+BW$59),0),BW654))</f>
        <v/>
      </c>
      <c r="BX670" s="245">
        <f>IF(BX$7="Actual","",IF($K670="Yes",IFERROR(BX654*(1+BX$59),0),BX654))</f>
        <v/>
      </c>
      <c r="BY670" s="245">
        <f>IF(BY$7="Actual","",IF($K670="Yes",IFERROR(BY654*(1+BY$59),0),BY654))</f>
        <v/>
      </c>
      <c r="BZ670" s="245">
        <f>IF(BZ$7="Actual","",IF($K670="Yes",IFERROR(BZ654*(1+BZ$59),0),BZ654))</f>
        <v/>
      </c>
      <c r="CA670" s="245">
        <f>IF(CA$7="Actual","",IF($K670="Yes",IFERROR(CA654*(1+CA$59),0),CA654))</f>
        <v/>
      </c>
    </row>
    <row r="671" ht="12" customHeight="1" s="227">
      <c r="A671" s="244" t="n"/>
      <c r="B671" s="244" t="n"/>
      <c r="C671" s="244" t="n"/>
      <c r="K671" s="6" t="n"/>
    </row>
    <row r="672" ht="12" customHeight="1" s="227">
      <c r="A672" s="244" t="n"/>
      <c r="B672" s="244" t="n"/>
      <c r="C672" s="244" t="n"/>
      <c r="H672" s="4">
        <f>H656</f>
        <v/>
      </c>
      <c r="I672" s="27">
        <f>i_Setup!$M$16</f>
        <v/>
      </c>
      <c r="K672" s="259">
        <f>i_Setup!P115</f>
        <v/>
      </c>
      <c r="M672" s="245">
        <f>SUMIF($T$4:$CA$4,M$4,$T672:$CA672)</f>
        <v/>
      </c>
      <c r="N672" s="245">
        <f>SUMIF($T$4:$CA$4,N$4,$T672:$CA672)</f>
        <v/>
      </c>
      <c r="O672" s="245">
        <f>SUMIF($T$4:$CA$4,O$4,$T672:$CA672)</f>
        <v/>
      </c>
      <c r="P672" s="245">
        <f>SUMIF($T$4:$CA$4,P$4,$T672:$CA672)</f>
        <v/>
      </c>
      <c r="Q672" s="245">
        <f>SUMIF($T$4:$CA$4,Q$4,$T672:$CA672)</f>
        <v/>
      </c>
      <c r="T672" s="245">
        <f>IF(T$7="Actual","",IF($K672="Yes",IFERROR(T656*(1+T$59),0),T656))</f>
        <v/>
      </c>
      <c r="U672" s="245">
        <f>IF(U$7="Actual","",IF($K672="Yes",IFERROR(U656*(1+U$59),0),U656))</f>
        <v/>
      </c>
      <c r="V672" s="245">
        <f>IF(V$7="Actual","",IF($K672="Yes",IFERROR(V656*(1+V$59),0),V656))</f>
        <v/>
      </c>
      <c r="W672" s="245">
        <f>IF(W$7="Actual","",IF($K672="Yes",IFERROR(W656*(1+W$59),0),W656))</f>
        <v/>
      </c>
      <c r="X672" s="245">
        <f>IF(X$7="Actual","",IF($K672="Yes",IFERROR(X656*(1+X$59),0),X656))</f>
        <v/>
      </c>
      <c r="Y672" s="245">
        <f>IF(Y$7="Actual","",IF($K672="Yes",IFERROR(Y656*(1+Y$59),0),Y656))</f>
        <v/>
      </c>
      <c r="Z672" s="245">
        <f>IF(Z$7="Actual","",IF($K672="Yes",IFERROR(Z656*(1+Z$59),0),Z656))</f>
        <v/>
      </c>
      <c r="AA672" s="245">
        <f>IF(AA$7="Actual","",IF($K672="Yes",IFERROR(AA656*(1+AA$59),0),AA656))</f>
        <v/>
      </c>
      <c r="AB672" s="245">
        <f>IF(AB$7="Actual","",IF($K672="Yes",IFERROR(AB656*(1+AB$59),0),AB656))</f>
        <v/>
      </c>
      <c r="AC672" s="245">
        <f>IF(AC$7="Actual","",IF($K672="Yes",IFERROR(AC656*(1+AC$59),0),AC656))</f>
        <v/>
      </c>
      <c r="AD672" s="245">
        <f>IF(AD$7="Actual","",IF($K672="Yes",IFERROR(AD656*(1+AD$59),0),AD656))</f>
        <v/>
      </c>
      <c r="AE672" s="245">
        <f>IF(AE$7="Actual","",IF($K672="Yes",IFERROR(AE656*(1+AE$59),0),AE656))</f>
        <v/>
      </c>
      <c r="AF672" s="245">
        <f>IF(AF$7="Actual","",IF($K672="Yes",IFERROR(AF656*(1+AF$59),0),AF656))</f>
        <v/>
      </c>
      <c r="AG672" s="245">
        <f>IF(AG$7="Actual","",IF($K672="Yes",IFERROR(AG656*(1+AG$59),0),AG656))</f>
        <v/>
      </c>
      <c r="AH672" s="245">
        <f>IF(AH$7="Actual","",IF($K672="Yes",IFERROR(AH656*(1+AH$59),0),AH656))</f>
        <v/>
      </c>
      <c r="AI672" s="245">
        <f>IF(AI$7="Actual","",IF($K672="Yes",IFERROR(AI656*(1+AI$59),0),AI656))</f>
        <v/>
      </c>
      <c r="AJ672" s="245">
        <f>IF(AJ$7="Actual","",IF($K672="Yes",IFERROR(AJ656*(1+AJ$59),0),AJ656))</f>
        <v/>
      </c>
      <c r="AK672" s="245">
        <f>IF(AK$7="Actual","",IF($K672="Yes",IFERROR(AK656*(1+AK$59),0),AK656))</f>
        <v/>
      </c>
      <c r="AL672" s="245">
        <f>IF(AL$7="Actual","",IF($K672="Yes",IFERROR(AL656*(1+AL$59),0),AL656))</f>
        <v/>
      </c>
      <c r="AM672" s="245">
        <f>IF(AM$7="Actual","",IF($K672="Yes",IFERROR(AM656*(1+AM$59),0),AM656))</f>
        <v/>
      </c>
      <c r="AN672" s="245">
        <f>IF(AN$7="Actual","",IF($K672="Yes",IFERROR(AN656*(1+AN$59),0),AN656))</f>
        <v/>
      </c>
      <c r="AO672" s="245">
        <f>IF(AO$7="Actual","",IF($K672="Yes",IFERROR(AO656*(1+AO$59),0),AO656))</f>
        <v/>
      </c>
      <c r="AP672" s="245">
        <f>IF(AP$7="Actual","",IF($K672="Yes",IFERROR(AP656*(1+AP$59),0),AP656))</f>
        <v/>
      </c>
      <c r="AQ672" s="245">
        <f>IF(AQ$7="Actual","",IF($K672="Yes",IFERROR(AQ656*(1+AQ$59),0),AQ656))</f>
        <v/>
      </c>
      <c r="AR672" s="245">
        <f>IF(AR$7="Actual","",IF($K672="Yes",IFERROR(AR656*(1+AR$59),0),AR656))</f>
        <v/>
      </c>
      <c r="AS672" s="245">
        <f>IF(AS$7="Actual","",IF($K672="Yes",IFERROR(AS656*(1+AS$59),0),AS656))</f>
        <v/>
      </c>
      <c r="AT672" s="245">
        <f>IF(AT$7="Actual","",IF($K672="Yes",IFERROR(AT656*(1+AT$59),0),AT656))</f>
        <v/>
      </c>
      <c r="AU672" s="245">
        <f>IF(AU$7="Actual","",IF($K672="Yes",IFERROR(AU656*(1+AU$59),0),AU656))</f>
        <v/>
      </c>
      <c r="AV672" s="245">
        <f>IF(AV$7="Actual","",IF($K672="Yes",IFERROR(AV656*(1+AV$59),0),AV656))</f>
        <v/>
      </c>
      <c r="AW672" s="245">
        <f>IF(AW$7="Actual","",IF($K672="Yes",IFERROR(AW656*(1+AW$59),0),AW656))</f>
        <v/>
      </c>
      <c r="AX672" s="245">
        <f>IF(AX$7="Actual","",IF($K672="Yes",IFERROR(AX656*(1+AX$59),0),AX656))</f>
        <v/>
      </c>
      <c r="AY672" s="245">
        <f>IF(AY$7="Actual","",IF($K672="Yes",IFERROR(AY656*(1+AY$59),0),AY656))</f>
        <v/>
      </c>
      <c r="AZ672" s="245">
        <f>IF(AZ$7="Actual","",IF($K672="Yes",IFERROR(AZ656*(1+AZ$59),0),AZ656))</f>
        <v/>
      </c>
      <c r="BA672" s="245">
        <f>IF(BA$7="Actual","",IF($K672="Yes",IFERROR(BA656*(1+BA$59),0),BA656))</f>
        <v/>
      </c>
      <c r="BB672" s="245">
        <f>IF(BB$7="Actual","",IF($K672="Yes",IFERROR(BB656*(1+BB$59),0),BB656))</f>
        <v/>
      </c>
      <c r="BC672" s="245">
        <f>IF(BC$7="Actual","",IF($K672="Yes",IFERROR(BC656*(1+BC$59),0),BC656))</f>
        <v/>
      </c>
      <c r="BD672" s="245">
        <f>IF(BD$7="Actual","",IF($K672="Yes",IFERROR(BD656*(1+BD$59),0),BD656))</f>
        <v/>
      </c>
      <c r="BE672" s="245">
        <f>IF(BE$7="Actual","",IF($K672="Yes",IFERROR(BE656*(1+BE$59),0),BE656))</f>
        <v/>
      </c>
      <c r="BF672" s="245">
        <f>IF(BF$7="Actual","",IF($K672="Yes",IFERROR(BF656*(1+BF$59),0),BF656))</f>
        <v/>
      </c>
      <c r="BG672" s="245">
        <f>IF(BG$7="Actual","",IF($K672="Yes",IFERROR(BG656*(1+BG$59),0),BG656))</f>
        <v/>
      </c>
      <c r="BH672" s="245">
        <f>IF(BH$7="Actual","",IF($K672="Yes",IFERROR(BH656*(1+BH$59),0),BH656))</f>
        <v/>
      </c>
      <c r="BI672" s="245">
        <f>IF(BI$7="Actual","",IF($K672="Yes",IFERROR(BI656*(1+BI$59),0),BI656))</f>
        <v/>
      </c>
      <c r="BJ672" s="245">
        <f>IF(BJ$7="Actual","",IF($K672="Yes",IFERROR(BJ656*(1+BJ$59),0),BJ656))</f>
        <v/>
      </c>
      <c r="BK672" s="245">
        <f>IF(BK$7="Actual","",IF($K672="Yes",IFERROR(BK656*(1+BK$59),0),BK656))</f>
        <v/>
      </c>
      <c r="BL672" s="245">
        <f>IF(BL$7="Actual","",IF($K672="Yes",IFERROR(BL656*(1+BL$59),0),BL656))</f>
        <v/>
      </c>
      <c r="BM672" s="245">
        <f>IF(BM$7="Actual","",IF($K672="Yes",IFERROR(BM656*(1+BM$59),0),BM656))</f>
        <v/>
      </c>
      <c r="BN672" s="245">
        <f>IF(BN$7="Actual","",IF($K672="Yes",IFERROR(BN656*(1+BN$59),0),BN656))</f>
        <v/>
      </c>
      <c r="BO672" s="245">
        <f>IF(BO$7="Actual","",IF($K672="Yes",IFERROR(BO656*(1+BO$59),0),BO656))</f>
        <v/>
      </c>
      <c r="BP672" s="245">
        <f>IF(BP$7="Actual","",IF($K672="Yes",IFERROR(BP656*(1+BP$59),0),BP656))</f>
        <v/>
      </c>
      <c r="BQ672" s="245">
        <f>IF(BQ$7="Actual","",IF($K672="Yes",IFERROR(BQ656*(1+BQ$59),0),BQ656))</f>
        <v/>
      </c>
      <c r="BR672" s="245">
        <f>IF(BR$7="Actual","",IF($K672="Yes",IFERROR(BR656*(1+BR$59),0),BR656))</f>
        <v/>
      </c>
      <c r="BS672" s="245">
        <f>IF(BS$7="Actual","",IF($K672="Yes",IFERROR(BS656*(1+BS$59),0),BS656))</f>
        <v/>
      </c>
      <c r="BT672" s="245">
        <f>IF(BT$7="Actual","",IF($K672="Yes",IFERROR(BT656*(1+BT$59),0),BT656))</f>
        <v/>
      </c>
      <c r="BU672" s="245">
        <f>IF(BU$7="Actual","",IF($K672="Yes",IFERROR(BU656*(1+BU$59),0),BU656))</f>
        <v/>
      </c>
      <c r="BV672" s="245">
        <f>IF(BV$7="Actual","",IF($K672="Yes",IFERROR(BV656*(1+BV$59),0),BV656))</f>
        <v/>
      </c>
      <c r="BW672" s="245">
        <f>IF(BW$7="Actual","",IF($K672="Yes",IFERROR(BW656*(1+BW$59),0),BW656))</f>
        <v/>
      </c>
      <c r="BX672" s="245">
        <f>IF(BX$7="Actual","",IF($K672="Yes",IFERROR(BX656*(1+BX$59),0),BX656))</f>
        <v/>
      </c>
      <c r="BY672" s="245">
        <f>IF(BY$7="Actual","",IF($K672="Yes",IFERROR(BY656*(1+BY$59),0),BY656))</f>
        <v/>
      </c>
      <c r="BZ672" s="245">
        <f>IF(BZ$7="Actual","",IF($K672="Yes",IFERROR(BZ656*(1+BZ$59),0),BZ656))</f>
        <v/>
      </c>
      <c r="CA672" s="245">
        <f>IF(CA$7="Actual","",IF($K672="Yes",IFERROR(CA656*(1+CA$59),0),CA656))</f>
        <v/>
      </c>
    </row>
    <row r="673" ht="12" customHeight="1" s="227">
      <c r="A673" s="244" t="n"/>
      <c r="B673" s="244" t="n"/>
      <c r="C673" s="244" t="n"/>
      <c r="H673" s="4">
        <f>H657</f>
        <v/>
      </c>
      <c r="I673" s="27">
        <f>i_Setup!$M$16</f>
        <v/>
      </c>
      <c r="K673" s="259">
        <f>i_Setup!P116</f>
        <v/>
      </c>
      <c r="M673" s="245">
        <f>SUMIF($T$4:$CA$4,M$4,$T673:$CA673)</f>
        <v/>
      </c>
      <c r="N673" s="245">
        <f>SUMIF($T$4:$CA$4,N$4,$T673:$CA673)</f>
        <v/>
      </c>
      <c r="O673" s="245">
        <f>SUMIF($T$4:$CA$4,O$4,$T673:$CA673)</f>
        <v/>
      </c>
      <c r="P673" s="245">
        <f>SUMIF($T$4:$CA$4,P$4,$T673:$CA673)</f>
        <v/>
      </c>
      <c r="Q673" s="245">
        <f>SUMIF($T$4:$CA$4,Q$4,$T673:$CA673)</f>
        <v/>
      </c>
      <c r="T673" s="245">
        <f>IF(T$7="Actual","",IF($K673="Yes",IFERROR(T657*(1+T$59),0),T657))</f>
        <v/>
      </c>
      <c r="U673" s="245">
        <f>IF(U$7="Actual","",IF($K673="Yes",IFERROR(U657*(1+U$59),0),U657))</f>
        <v/>
      </c>
      <c r="V673" s="245">
        <f>IF(V$7="Actual","",IF($K673="Yes",IFERROR(V657*(1+V$59),0),V657))</f>
        <v/>
      </c>
      <c r="W673" s="245">
        <f>IF(W$7="Actual","",IF($K673="Yes",IFERROR(W657*(1+W$59),0),W657))</f>
        <v/>
      </c>
      <c r="X673" s="245">
        <f>IF(X$7="Actual","",IF($K673="Yes",IFERROR(X657*(1+X$59),0),X657))</f>
        <v/>
      </c>
      <c r="Y673" s="245">
        <f>IF(Y$7="Actual","",IF($K673="Yes",IFERROR(Y657*(1+Y$59),0),Y657))</f>
        <v/>
      </c>
      <c r="Z673" s="245">
        <f>IF(Z$7="Actual","",IF($K673="Yes",IFERROR(Z657*(1+Z$59),0),Z657))</f>
        <v/>
      </c>
      <c r="AA673" s="245">
        <f>IF(AA$7="Actual","",IF($K673="Yes",IFERROR(AA657*(1+AA$59),0),AA657))</f>
        <v/>
      </c>
      <c r="AB673" s="245">
        <f>IF(AB$7="Actual","",IF($K673="Yes",IFERROR(AB657*(1+AB$59),0),AB657))</f>
        <v/>
      </c>
      <c r="AC673" s="245">
        <f>IF(AC$7="Actual","",IF($K673="Yes",IFERROR(AC657*(1+AC$59),0),AC657))</f>
        <v/>
      </c>
      <c r="AD673" s="245">
        <f>IF(AD$7="Actual","",IF($K673="Yes",IFERROR(AD657*(1+AD$59),0),AD657))</f>
        <v/>
      </c>
      <c r="AE673" s="245">
        <f>IF(AE$7="Actual","",IF($K673="Yes",IFERROR(AE657*(1+AE$59),0),AE657))</f>
        <v/>
      </c>
      <c r="AF673" s="245">
        <f>IF(AF$7="Actual","",IF($K673="Yes",IFERROR(AF657*(1+AF$59),0),AF657))</f>
        <v/>
      </c>
      <c r="AG673" s="245">
        <f>IF(AG$7="Actual","",IF($K673="Yes",IFERROR(AG657*(1+AG$59),0),AG657))</f>
        <v/>
      </c>
      <c r="AH673" s="245">
        <f>IF(AH$7="Actual","",IF($K673="Yes",IFERROR(AH657*(1+AH$59),0),AH657))</f>
        <v/>
      </c>
      <c r="AI673" s="245">
        <f>IF(AI$7="Actual","",IF($K673="Yes",IFERROR(AI657*(1+AI$59),0),AI657))</f>
        <v/>
      </c>
      <c r="AJ673" s="245">
        <f>IF(AJ$7="Actual","",IF($K673="Yes",IFERROR(AJ657*(1+AJ$59),0),AJ657))</f>
        <v/>
      </c>
      <c r="AK673" s="245">
        <f>IF(AK$7="Actual","",IF($K673="Yes",IFERROR(AK657*(1+AK$59),0),AK657))</f>
        <v/>
      </c>
      <c r="AL673" s="245">
        <f>IF(AL$7="Actual","",IF($K673="Yes",IFERROR(AL657*(1+AL$59),0),AL657))</f>
        <v/>
      </c>
      <c r="AM673" s="245">
        <f>IF(AM$7="Actual","",IF($K673="Yes",IFERROR(AM657*(1+AM$59),0),AM657))</f>
        <v/>
      </c>
      <c r="AN673" s="245">
        <f>IF(AN$7="Actual","",IF($K673="Yes",IFERROR(AN657*(1+AN$59),0),AN657))</f>
        <v/>
      </c>
      <c r="AO673" s="245">
        <f>IF(AO$7="Actual","",IF($K673="Yes",IFERROR(AO657*(1+AO$59),0),AO657))</f>
        <v/>
      </c>
      <c r="AP673" s="245">
        <f>IF(AP$7="Actual","",IF($K673="Yes",IFERROR(AP657*(1+AP$59),0),AP657))</f>
        <v/>
      </c>
      <c r="AQ673" s="245">
        <f>IF(AQ$7="Actual","",IF($K673="Yes",IFERROR(AQ657*(1+AQ$59),0),AQ657))</f>
        <v/>
      </c>
      <c r="AR673" s="245">
        <f>IF(AR$7="Actual","",IF($K673="Yes",IFERROR(AR657*(1+AR$59),0),AR657))</f>
        <v/>
      </c>
      <c r="AS673" s="245">
        <f>IF(AS$7="Actual","",IF($K673="Yes",IFERROR(AS657*(1+AS$59),0),AS657))</f>
        <v/>
      </c>
      <c r="AT673" s="245">
        <f>IF(AT$7="Actual","",IF($K673="Yes",IFERROR(AT657*(1+AT$59),0),AT657))</f>
        <v/>
      </c>
      <c r="AU673" s="245">
        <f>IF(AU$7="Actual","",IF($K673="Yes",IFERROR(AU657*(1+AU$59),0),AU657))</f>
        <v/>
      </c>
      <c r="AV673" s="245">
        <f>IF(AV$7="Actual","",IF($K673="Yes",IFERROR(AV657*(1+AV$59),0),AV657))</f>
        <v/>
      </c>
      <c r="AW673" s="245">
        <f>IF(AW$7="Actual","",IF($K673="Yes",IFERROR(AW657*(1+AW$59),0),AW657))</f>
        <v/>
      </c>
      <c r="AX673" s="245">
        <f>IF(AX$7="Actual","",IF($K673="Yes",IFERROR(AX657*(1+AX$59),0),AX657))</f>
        <v/>
      </c>
      <c r="AY673" s="245">
        <f>IF(AY$7="Actual","",IF($K673="Yes",IFERROR(AY657*(1+AY$59),0),AY657))</f>
        <v/>
      </c>
      <c r="AZ673" s="245">
        <f>IF(AZ$7="Actual","",IF($K673="Yes",IFERROR(AZ657*(1+AZ$59),0),AZ657))</f>
        <v/>
      </c>
      <c r="BA673" s="245">
        <f>IF(BA$7="Actual","",IF($K673="Yes",IFERROR(BA657*(1+BA$59),0),BA657))</f>
        <v/>
      </c>
      <c r="BB673" s="245">
        <f>IF(BB$7="Actual","",IF($K673="Yes",IFERROR(BB657*(1+BB$59),0),BB657))</f>
        <v/>
      </c>
      <c r="BC673" s="245">
        <f>IF(BC$7="Actual","",IF($K673="Yes",IFERROR(BC657*(1+BC$59),0),BC657))</f>
        <v/>
      </c>
      <c r="BD673" s="245">
        <f>IF(BD$7="Actual","",IF($K673="Yes",IFERROR(BD657*(1+BD$59),0),BD657))</f>
        <v/>
      </c>
      <c r="BE673" s="245">
        <f>IF(BE$7="Actual","",IF($K673="Yes",IFERROR(BE657*(1+BE$59),0),BE657))</f>
        <v/>
      </c>
      <c r="BF673" s="245">
        <f>IF(BF$7="Actual","",IF($K673="Yes",IFERROR(BF657*(1+BF$59),0),BF657))</f>
        <v/>
      </c>
      <c r="BG673" s="245">
        <f>IF(BG$7="Actual","",IF($K673="Yes",IFERROR(BG657*(1+BG$59),0),BG657))</f>
        <v/>
      </c>
      <c r="BH673" s="245">
        <f>IF(BH$7="Actual","",IF($K673="Yes",IFERROR(BH657*(1+BH$59),0),BH657))</f>
        <v/>
      </c>
      <c r="BI673" s="245">
        <f>IF(BI$7="Actual","",IF($K673="Yes",IFERROR(BI657*(1+BI$59),0),BI657))</f>
        <v/>
      </c>
      <c r="BJ673" s="245">
        <f>IF(BJ$7="Actual","",IF($K673="Yes",IFERROR(BJ657*(1+BJ$59),0),BJ657))</f>
        <v/>
      </c>
      <c r="BK673" s="245">
        <f>IF(BK$7="Actual","",IF($K673="Yes",IFERROR(BK657*(1+BK$59),0),BK657))</f>
        <v/>
      </c>
      <c r="BL673" s="245">
        <f>IF(BL$7="Actual","",IF($K673="Yes",IFERROR(BL657*(1+BL$59),0),BL657))</f>
        <v/>
      </c>
      <c r="BM673" s="245">
        <f>IF(BM$7="Actual","",IF($K673="Yes",IFERROR(BM657*(1+BM$59),0),BM657))</f>
        <v/>
      </c>
      <c r="BN673" s="245">
        <f>IF(BN$7="Actual","",IF($K673="Yes",IFERROR(BN657*(1+BN$59),0),BN657))</f>
        <v/>
      </c>
      <c r="BO673" s="245">
        <f>IF(BO$7="Actual","",IF($K673="Yes",IFERROR(BO657*(1+BO$59),0),BO657))</f>
        <v/>
      </c>
      <c r="BP673" s="245">
        <f>IF(BP$7="Actual","",IF($K673="Yes",IFERROR(BP657*(1+BP$59),0),BP657))</f>
        <v/>
      </c>
      <c r="BQ673" s="245">
        <f>IF(BQ$7="Actual","",IF($K673="Yes",IFERROR(BQ657*(1+BQ$59),0),BQ657))</f>
        <v/>
      </c>
      <c r="BR673" s="245">
        <f>IF(BR$7="Actual","",IF($K673="Yes",IFERROR(BR657*(1+BR$59),0),BR657))</f>
        <v/>
      </c>
      <c r="BS673" s="245">
        <f>IF(BS$7="Actual","",IF($K673="Yes",IFERROR(BS657*(1+BS$59),0),BS657))</f>
        <v/>
      </c>
      <c r="BT673" s="245">
        <f>IF(BT$7="Actual","",IF($K673="Yes",IFERROR(BT657*(1+BT$59),0),BT657))</f>
        <v/>
      </c>
      <c r="BU673" s="245">
        <f>IF(BU$7="Actual","",IF($K673="Yes",IFERROR(BU657*(1+BU$59),0),BU657))</f>
        <v/>
      </c>
      <c r="BV673" s="245">
        <f>IF(BV$7="Actual","",IF($K673="Yes",IFERROR(BV657*(1+BV$59),0),BV657))</f>
        <v/>
      </c>
      <c r="BW673" s="245">
        <f>IF(BW$7="Actual","",IF($K673="Yes",IFERROR(BW657*(1+BW$59),0),BW657))</f>
        <v/>
      </c>
      <c r="BX673" s="245">
        <f>IF(BX$7="Actual","",IF($K673="Yes",IFERROR(BX657*(1+BX$59),0),BX657))</f>
        <v/>
      </c>
      <c r="BY673" s="245">
        <f>IF(BY$7="Actual","",IF($K673="Yes",IFERROR(BY657*(1+BY$59),0),BY657))</f>
        <v/>
      </c>
      <c r="BZ673" s="245">
        <f>IF(BZ$7="Actual","",IF($K673="Yes",IFERROR(BZ657*(1+BZ$59),0),BZ657))</f>
        <v/>
      </c>
      <c r="CA673" s="245">
        <f>IF(CA$7="Actual","",IF($K673="Yes",IFERROR(CA657*(1+CA$59),0),CA657))</f>
        <v/>
      </c>
    </row>
    <row r="674" ht="12" customHeight="1" s="227">
      <c r="A674" s="244" t="n"/>
      <c r="B674" s="244" t="n"/>
      <c r="C674" s="244" t="n"/>
      <c r="H674" s="4">
        <f>H658</f>
        <v/>
      </c>
      <c r="I674" s="27">
        <f>i_Setup!$M$16</f>
        <v/>
      </c>
      <c r="K674" s="259">
        <f>i_Setup!P117</f>
        <v/>
      </c>
      <c r="M674" s="245">
        <f>SUMIF($T$4:$CA$4,M$4,$T674:$CA674)</f>
        <v/>
      </c>
      <c r="N674" s="245">
        <f>SUMIF($T$4:$CA$4,N$4,$T674:$CA674)</f>
        <v/>
      </c>
      <c r="O674" s="245">
        <f>SUMIF($T$4:$CA$4,O$4,$T674:$CA674)</f>
        <v/>
      </c>
      <c r="P674" s="245">
        <f>SUMIF($T$4:$CA$4,P$4,$T674:$CA674)</f>
        <v/>
      </c>
      <c r="Q674" s="245">
        <f>SUMIF($T$4:$CA$4,Q$4,$T674:$CA674)</f>
        <v/>
      </c>
      <c r="T674" s="245">
        <f>IF(T$7="Actual","",IF($K674="Yes",IFERROR(T658*(1+T$59),0),T658))</f>
        <v/>
      </c>
      <c r="U674" s="245">
        <f>IF(U$7="Actual","",IF($K674="Yes",IFERROR(U658*(1+U$59),0),U658))</f>
        <v/>
      </c>
      <c r="V674" s="245">
        <f>IF(V$7="Actual","",IF($K674="Yes",IFERROR(V658*(1+V$59),0),V658))</f>
        <v/>
      </c>
      <c r="W674" s="245">
        <f>IF(W$7="Actual","",IF($K674="Yes",IFERROR(W658*(1+W$59),0),W658))</f>
        <v/>
      </c>
      <c r="X674" s="245">
        <f>IF(X$7="Actual","",IF($K674="Yes",IFERROR(X658*(1+X$59),0),X658))</f>
        <v/>
      </c>
      <c r="Y674" s="245">
        <f>IF(Y$7="Actual","",IF($K674="Yes",IFERROR(Y658*(1+Y$59),0),Y658))</f>
        <v/>
      </c>
      <c r="Z674" s="245">
        <f>IF(Z$7="Actual","",IF($K674="Yes",IFERROR(Z658*(1+Z$59),0),Z658))</f>
        <v/>
      </c>
      <c r="AA674" s="245">
        <f>IF(AA$7="Actual","",IF($K674="Yes",IFERROR(AA658*(1+AA$59),0),AA658))</f>
        <v/>
      </c>
      <c r="AB674" s="245">
        <f>IF(AB$7="Actual","",IF($K674="Yes",IFERROR(AB658*(1+AB$59),0),AB658))</f>
        <v/>
      </c>
      <c r="AC674" s="245">
        <f>IF(AC$7="Actual","",IF($K674="Yes",IFERROR(AC658*(1+AC$59),0),AC658))</f>
        <v/>
      </c>
      <c r="AD674" s="245">
        <f>IF(AD$7="Actual","",IF($K674="Yes",IFERROR(AD658*(1+AD$59),0),AD658))</f>
        <v/>
      </c>
      <c r="AE674" s="245">
        <f>IF(AE$7="Actual","",IF($K674="Yes",IFERROR(AE658*(1+AE$59),0),AE658))</f>
        <v/>
      </c>
      <c r="AF674" s="245">
        <f>IF(AF$7="Actual","",IF($K674="Yes",IFERROR(AF658*(1+AF$59),0),AF658))</f>
        <v/>
      </c>
      <c r="AG674" s="245">
        <f>IF(AG$7="Actual","",IF($K674="Yes",IFERROR(AG658*(1+AG$59),0),AG658))</f>
        <v/>
      </c>
      <c r="AH674" s="245">
        <f>IF(AH$7="Actual","",IF($K674="Yes",IFERROR(AH658*(1+AH$59),0),AH658))</f>
        <v/>
      </c>
      <c r="AI674" s="245">
        <f>IF(AI$7="Actual","",IF($K674="Yes",IFERROR(AI658*(1+AI$59),0),AI658))</f>
        <v/>
      </c>
      <c r="AJ674" s="245">
        <f>IF(AJ$7="Actual","",IF($K674="Yes",IFERROR(AJ658*(1+AJ$59),0),AJ658))</f>
        <v/>
      </c>
      <c r="AK674" s="245">
        <f>IF(AK$7="Actual","",IF($K674="Yes",IFERROR(AK658*(1+AK$59),0),AK658))</f>
        <v/>
      </c>
      <c r="AL674" s="245">
        <f>IF(AL$7="Actual","",IF($K674="Yes",IFERROR(AL658*(1+AL$59),0),AL658))</f>
        <v/>
      </c>
      <c r="AM674" s="245">
        <f>IF(AM$7="Actual","",IF($K674="Yes",IFERROR(AM658*(1+AM$59),0),AM658))</f>
        <v/>
      </c>
      <c r="AN674" s="245">
        <f>IF(AN$7="Actual","",IF($K674="Yes",IFERROR(AN658*(1+AN$59),0),AN658))</f>
        <v/>
      </c>
      <c r="AO674" s="245">
        <f>IF(AO$7="Actual","",IF($K674="Yes",IFERROR(AO658*(1+AO$59),0),AO658))</f>
        <v/>
      </c>
      <c r="AP674" s="245">
        <f>IF(AP$7="Actual","",IF($K674="Yes",IFERROR(AP658*(1+AP$59),0),AP658))</f>
        <v/>
      </c>
      <c r="AQ674" s="245">
        <f>IF(AQ$7="Actual","",IF($K674="Yes",IFERROR(AQ658*(1+AQ$59),0),AQ658))</f>
        <v/>
      </c>
      <c r="AR674" s="245">
        <f>IF(AR$7="Actual","",IF($K674="Yes",IFERROR(AR658*(1+AR$59),0),AR658))</f>
        <v/>
      </c>
      <c r="AS674" s="245">
        <f>IF(AS$7="Actual","",IF($K674="Yes",IFERROR(AS658*(1+AS$59),0),AS658))</f>
        <v/>
      </c>
      <c r="AT674" s="245">
        <f>IF(AT$7="Actual","",IF($K674="Yes",IFERROR(AT658*(1+AT$59),0),AT658))</f>
        <v/>
      </c>
      <c r="AU674" s="245">
        <f>IF(AU$7="Actual","",IF($K674="Yes",IFERROR(AU658*(1+AU$59),0),AU658))</f>
        <v/>
      </c>
      <c r="AV674" s="245">
        <f>IF(AV$7="Actual","",IF($K674="Yes",IFERROR(AV658*(1+AV$59),0),AV658))</f>
        <v/>
      </c>
      <c r="AW674" s="245">
        <f>IF(AW$7="Actual","",IF($K674="Yes",IFERROR(AW658*(1+AW$59),0),AW658))</f>
        <v/>
      </c>
      <c r="AX674" s="245">
        <f>IF(AX$7="Actual","",IF($K674="Yes",IFERROR(AX658*(1+AX$59),0),AX658))</f>
        <v/>
      </c>
      <c r="AY674" s="245">
        <f>IF(AY$7="Actual","",IF($K674="Yes",IFERROR(AY658*(1+AY$59),0),AY658))</f>
        <v/>
      </c>
      <c r="AZ674" s="245">
        <f>IF(AZ$7="Actual","",IF($K674="Yes",IFERROR(AZ658*(1+AZ$59),0),AZ658))</f>
        <v/>
      </c>
      <c r="BA674" s="245">
        <f>IF(BA$7="Actual","",IF($K674="Yes",IFERROR(BA658*(1+BA$59),0),BA658))</f>
        <v/>
      </c>
      <c r="BB674" s="245">
        <f>IF(BB$7="Actual","",IF($K674="Yes",IFERROR(BB658*(1+BB$59),0),BB658))</f>
        <v/>
      </c>
      <c r="BC674" s="245">
        <f>IF(BC$7="Actual","",IF($K674="Yes",IFERROR(BC658*(1+BC$59),0),BC658))</f>
        <v/>
      </c>
      <c r="BD674" s="245">
        <f>IF(BD$7="Actual","",IF($K674="Yes",IFERROR(BD658*(1+BD$59),0),BD658))</f>
        <v/>
      </c>
      <c r="BE674" s="245">
        <f>IF(BE$7="Actual","",IF($K674="Yes",IFERROR(BE658*(1+BE$59),0),BE658))</f>
        <v/>
      </c>
      <c r="BF674" s="245">
        <f>IF(BF$7="Actual","",IF($K674="Yes",IFERROR(BF658*(1+BF$59),0),BF658))</f>
        <v/>
      </c>
      <c r="BG674" s="245">
        <f>IF(BG$7="Actual","",IF($K674="Yes",IFERROR(BG658*(1+BG$59),0),BG658))</f>
        <v/>
      </c>
      <c r="BH674" s="245">
        <f>IF(BH$7="Actual","",IF($K674="Yes",IFERROR(BH658*(1+BH$59),0),BH658))</f>
        <v/>
      </c>
      <c r="BI674" s="245">
        <f>IF(BI$7="Actual","",IF($K674="Yes",IFERROR(BI658*(1+BI$59),0),BI658))</f>
        <v/>
      </c>
      <c r="BJ674" s="245">
        <f>IF(BJ$7="Actual","",IF($K674="Yes",IFERROR(BJ658*(1+BJ$59),0),BJ658))</f>
        <v/>
      </c>
      <c r="BK674" s="245">
        <f>IF(BK$7="Actual","",IF($K674="Yes",IFERROR(BK658*(1+BK$59),0),BK658))</f>
        <v/>
      </c>
      <c r="BL674" s="245">
        <f>IF(BL$7="Actual","",IF($K674="Yes",IFERROR(BL658*(1+BL$59),0),BL658))</f>
        <v/>
      </c>
      <c r="BM674" s="245">
        <f>IF(BM$7="Actual","",IF($K674="Yes",IFERROR(BM658*(1+BM$59),0),BM658))</f>
        <v/>
      </c>
      <c r="BN674" s="245">
        <f>IF(BN$7="Actual","",IF($K674="Yes",IFERROR(BN658*(1+BN$59),0),BN658))</f>
        <v/>
      </c>
      <c r="BO674" s="245">
        <f>IF(BO$7="Actual","",IF($K674="Yes",IFERROR(BO658*(1+BO$59),0),BO658))</f>
        <v/>
      </c>
      <c r="BP674" s="245">
        <f>IF(BP$7="Actual","",IF($K674="Yes",IFERROR(BP658*(1+BP$59),0),BP658))</f>
        <v/>
      </c>
      <c r="BQ674" s="245">
        <f>IF(BQ$7="Actual","",IF($K674="Yes",IFERROR(BQ658*(1+BQ$59),0),BQ658))</f>
        <v/>
      </c>
      <c r="BR674" s="245">
        <f>IF(BR$7="Actual","",IF($K674="Yes",IFERROR(BR658*(1+BR$59),0),BR658))</f>
        <v/>
      </c>
      <c r="BS674" s="245">
        <f>IF(BS$7="Actual","",IF($K674="Yes",IFERROR(BS658*(1+BS$59),0),BS658))</f>
        <v/>
      </c>
      <c r="BT674" s="245">
        <f>IF(BT$7="Actual","",IF($K674="Yes",IFERROR(BT658*(1+BT$59),0),BT658))</f>
        <v/>
      </c>
      <c r="BU674" s="245">
        <f>IF(BU$7="Actual","",IF($K674="Yes",IFERROR(BU658*(1+BU$59),0),BU658))</f>
        <v/>
      </c>
      <c r="BV674" s="245">
        <f>IF(BV$7="Actual","",IF($K674="Yes",IFERROR(BV658*(1+BV$59),0),BV658))</f>
        <v/>
      </c>
      <c r="BW674" s="245">
        <f>IF(BW$7="Actual","",IF($K674="Yes",IFERROR(BW658*(1+BW$59),0),BW658))</f>
        <v/>
      </c>
      <c r="BX674" s="245">
        <f>IF(BX$7="Actual","",IF($K674="Yes",IFERROR(BX658*(1+BX$59),0),BX658))</f>
        <v/>
      </c>
      <c r="BY674" s="245">
        <f>IF(BY$7="Actual","",IF($K674="Yes",IFERROR(BY658*(1+BY$59),0),BY658))</f>
        <v/>
      </c>
      <c r="BZ674" s="245">
        <f>IF(BZ$7="Actual","",IF($K674="Yes",IFERROR(BZ658*(1+BZ$59),0),BZ658))</f>
        <v/>
      </c>
      <c r="CA674" s="245">
        <f>IF(CA$7="Actual","",IF($K674="Yes",IFERROR(CA658*(1+CA$59),0),CA658))</f>
        <v/>
      </c>
    </row>
    <row r="675" ht="12" customHeight="1" s="227">
      <c r="A675" s="244" t="n"/>
      <c r="B675" s="244" t="n"/>
      <c r="C675" s="244" t="n"/>
      <c r="H675" s="4">
        <f>H659</f>
        <v/>
      </c>
      <c r="I675" s="27">
        <f>i_Setup!$M$16</f>
        <v/>
      </c>
      <c r="K675" s="259">
        <f>i_Setup!P118</f>
        <v/>
      </c>
      <c r="M675" s="245">
        <f>SUMIF($T$4:$CA$4,M$4,$T675:$CA675)</f>
        <v/>
      </c>
      <c r="N675" s="245">
        <f>SUMIF($T$4:$CA$4,N$4,$T675:$CA675)</f>
        <v/>
      </c>
      <c r="O675" s="245">
        <f>SUMIF($T$4:$CA$4,O$4,$T675:$CA675)</f>
        <v/>
      </c>
      <c r="P675" s="245">
        <f>SUMIF($T$4:$CA$4,P$4,$T675:$CA675)</f>
        <v/>
      </c>
      <c r="Q675" s="245">
        <f>SUMIF($T$4:$CA$4,Q$4,$T675:$CA675)</f>
        <v/>
      </c>
      <c r="T675" s="245">
        <f>IF(T$7="Actual","",IF($K675="Yes",IFERROR(T659*(1+T$59),0),T659))</f>
        <v/>
      </c>
      <c r="U675" s="245">
        <f>IF(U$7="Actual","",IF($K675="Yes",IFERROR(U659*(1+U$59),0),U659))</f>
        <v/>
      </c>
      <c r="V675" s="245">
        <f>IF(V$7="Actual","",IF($K675="Yes",IFERROR(V659*(1+V$59),0),V659))</f>
        <v/>
      </c>
      <c r="W675" s="245">
        <f>IF(W$7="Actual","",IF($K675="Yes",IFERROR(W659*(1+W$59),0),W659))</f>
        <v/>
      </c>
      <c r="X675" s="245">
        <f>IF(X$7="Actual","",IF($K675="Yes",IFERROR(X659*(1+X$59),0),X659))</f>
        <v/>
      </c>
      <c r="Y675" s="245">
        <f>IF(Y$7="Actual","",IF($K675="Yes",IFERROR(Y659*(1+Y$59),0),Y659))</f>
        <v/>
      </c>
      <c r="Z675" s="245">
        <f>IF(Z$7="Actual","",IF($K675="Yes",IFERROR(Z659*(1+Z$59),0),Z659))</f>
        <v/>
      </c>
      <c r="AA675" s="245">
        <f>IF(AA$7="Actual","",IF($K675="Yes",IFERROR(AA659*(1+AA$59),0),AA659))</f>
        <v/>
      </c>
      <c r="AB675" s="245">
        <f>IF(AB$7="Actual","",IF($K675="Yes",IFERROR(AB659*(1+AB$59),0),AB659))</f>
        <v/>
      </c>
      <c r="AC675" s="245">
        <f>IF(AC$7="Actual","",IF($K675="Yes",IFERROR(AC659*(1+AC$59),0),AC659))</f>
        <v/>
      </c>
      <c r="AD675" s="245">
        <f>IF(AD$7="Actual","",IF($K675="Yes",IFERROR(AD659*(1+AD$59),0),AD659))</f>
        <v/>
      </c>
      <c r="AE675" s="245">
        <f>IF(AE$7="Actual","",IF($K675="Yes",IFERROR(AE659*(1+AE$59),0),AE659))</f>
        <v/>
      </c>
      <c r="AF675" s="245">
        <f>IF(AF$7="Actual","",IF($K675="Yes",IFERROR(AF659*(1+AF$59),0),AF659))</f>
        <v/>
      </c>
      <c r="AG675" s="245">
        <f>IF(AG$7="Actual","",IF($K675="Yes",IFERROR(AG659*(1+AG$59),0),AG659))</f>
        <v/>
      </c>
      <c r="AH675" s="245">
        <f>IF(AH$7="Actual","",IF($K675="Yes",IFERROR(AH659*(1+AH$59),0),AH659))</f>
        <v/>
      </c>
      <c r="AI675" s="245">
        <f>IF(AI$7="Actual","",IF($K675="Yes",IFERROR(AI659*(1+AI$59),0),AI659))</f>
        <v/>
      </c>
      <c r="AJ675" s="245">
        <f>IF(AJ$7="Actual","",IF($K675="Yes",IFERROR(AJ659*(1+AJ$59),0),AJ659))</f>
        <v/>
      </c>
      <c r="AK675" s="245">
        <f>IF(AK$7="Actual","",IF($K675="Yes",IFERROR(AK659*(1+AK$59),0),AK659))</f>
        <v/>
      </c>
      <c r="AL675" s="245">
        <f>IF(AL$7="Actual","",IF($K675="Yes",IFERROR(AL659*(1+AL$59),0),AL659))</f>
        <v/>
      </c>
      <c r="AM675" s="245">
        <f>IF(AM$7="Actual","",IF($K675="Yes",IFERROR(AM659*(1+AM$59),0),AM659))</f>
        <v/>
      </c>
      <c r="AN675" s="245">
        <f>IF(AN$7="Actual","",IF($K675="Yes",IFERROR(AN659*(1+AN$59),0),AN659))</f>
        <v/>
      </c>
      <c r="AO675" s="245">
        <f>IF(AO$7="Actual","",IF($K675="Yes",IFERROR(AO659*(1+AO$59),0),AO659))</f>
        <v/>
      </c>
      <c r="AP675" s="245">
        <f>IF(AP$7="Actual","",IF($K675="Yes",IFERROR(AP659*(1+AP$59),0),AP659))</f>
        <v/>
      </c>
      <c r="AQ675" s="245">
        <f>IF(AQ$7="Actual","",IF($K675="Yes",IFERROR(AQ659*(1+AQ$59),0),AQ659))</f>
        <v/>
      </c>
      <c r="AR675" s="245">
        <f>IF(AR$7="Actual","",IF($K675="Yes",IFERROR(AR659*(1+AR$59),0),AR659))</f>
        <v/>
      </c>
      <c r="AS675" s="245">
        <f>IF(AS$7="Actual","",IF($K675="Yes",IFERROR(AS659*(1+AS$59),0),AS659))</f>
        <v/>
      </c>
      <c r="AT675" s="245">
        <f>IF(AT$7="Actual","",IF($K675="Yes",IFERROR(AT659*(1+AT$59),0),AT659))</f>
        <v/>
      </c>
      <c r="AU675" s="245">
        <f>IF(AU$7="Actual","",IF($K675="Yes",IFERROR(AU659*(1+AU$59),0),AU659))</f>
        <v/>
      </c>
      <c r="AV675" s="245">
        <f>IF(AV$7="Actual","",IF($K675="Yes",IFERROR(AV659*(1+AV$59),0),AV659))</f>
        <v/>
      </c>
      <c r="AW675" s="245">
        <f>IF(AW$7="Actual","",IF($K675="Yes",IFERROR(AW659*(1+AW$59),0),AW659))</f>
        <v/>
      </c>
      <c r="AX675" s="245">
        <f>IF(AX$7="Actual","",IF($K675="Yes",IFERROR(AX659*(1+AX$59),0),AX659))</f>
        <v/>
      </c>
      <c r="AY675" s="245">
        <f>IF(AY$7="Actual","",IF($K675="Yes",IFERROR(AY659*(1+AY$59),0),AY659))</f>
        <v/>
      </c>
      <c r="AZ675" s="245">
        <f>IF(AZ$7="Actual","",IF($K675="Yes",IFERROR(AZ659*(1+AZ$59),0),AZ659))</f>
        <v/>
      </c>
      <c r="BA675" s="245">
        <f>IF(BA$7="Actual","",IF($K675="Yes",IFERROR(BA659*(1+BA$59),0),BA659))</f>
        <v/>
      </c>
      <c r="BB675" s="245">
        <f>IF(BB$7="Actual","",IF($K675="Yes",IFERROR(BB659*(1+BB$59),0),BB659))</f>
        <v/>
      </c>
      <c r="BC675" s="245">
        <f>IF(BC$7="Actual","",IF($K675="Yes",IFERROR(BC659*(1+BC$59),0),BC659))</f>
        <v/>
      </c>
      <c r="BD675" s="245">
        <f>IF(BD$7="Actual","",IF($K675="Yes",IFERROR(BD659*(1+BD$59),0),BD659))</f>
        <v/>
      </c>
      <c r="BE675" s="245">
        <f>IF(BE$7="Actual","",IF($K675="Yes",IFERROR(BE659*(1+BE$59),0),BE659))</f>
        <v/>
      </c>
      <c r="BF675" s="245">
        <f>IF(BF$7="Actual","",IF($K675="Yes",IFERROR(BF659*(1+BF$59),0),BF659))</f>
        <v/>
      </c>
      <c r="BG675" s="245">
        <f>IF(BG$7="Actual","",IF($K675="Yes",IFERROR(BG659*(1+BG$59),0),BG659))</f>
        <v/>
      </c>
      <c r="BH675" s="245">
        <f>IF(BH$7="Actual","",IF($K675="Yes",IFERROR(BH659*(1+BH$59),0),BH659))</f>
        <v/>
      </c>
      <c r="BI675" s="245">
        <f>IF(BI$7="Actual","",IF($K675="Yes",IFERROR(BI659*(1+BI$59),0),BI659))</f>
        <v/>
      </c>
      <c r="BJ675" s="245">
        <f>IF(BJ$7="Actual","",IF($K675="Yes",IFERROR(BJ659*(1+BJ$59),0),BJ659))</f>
        <v/>
      </c>
      <c r="BK675" s="245">
        <f>IF(BK$7="Actual","",IF($K675="Yes",IFERROR(BK659*(1+BK$59),0),BK659))</f>
        <v/>
      </c>
      <c r="BL675" s="245">
        <f>IF(BL$7="Actual","",IF($K675="Yes",IFERROR(BL659*(1+BL$59),0),BL659))</f>
        <v/>
      </c>
      <c r="BM675" s="245">
        <f>IF(BM$7="Actual","",IF($K675="Yes",IFERROR(BM659*(1+BM$59),0),BM659))</f>
        <v/>
      </c>
      <c r="BN675" s="245">
        <f>IF(BN$7="Actual","",IF($K675="Yes",IFERROR(BN659*(1+BN$59),0),BN659))</f>
        <v/>
      </c>
      <c r="BO675" s="245">
        <f>IF(BO$7="Actual","",IF($K675="Yes",IFERROR(BO659*(1+BO$59),0),BO659))</f>
        <v/>
      </c>
      <c r="BP675" s="245">
        <f>IF(BP$7="Actual","",IF($K675="Yes",IFERROR(BP659*(1+BP$59),0),BP659))</f>
        <v/>
      </c>
      <c r="BQ675" s="245">
        <f>IF(BQ$7="Actual","",IF($K675="Yes",IFERROR(BQ659*(1+BQ$59),0),BQ659))</f>
        <v/>
      </c>
      <c r="BR675" s="245">
        <f>IF(BR$7="Actual","",IF($K675="Yes",IFERROR(BR659*(1+BR$59),0),BR659))</f>
        <v/>
      </c>
      <c r="BS675" s="245">
        <f>IF(BS$7="Actual","",IF($K675="Yes",IFERROR(BS659*(1+BS$59),0),BS659))</f>
        <v/>
      </c>
      <c r="BT675" s="245">
        <f>IF(BT$7="Actual","",IF($K675="Yes",IFERROR(BT659*(1+BT$59),0),BT659))</f>
        <v/>
      </c>
      <c r="BU675" s="245">
        <f>IF(BU$7="Actual","",IF($K675="Yes",IFERROR(BU659*(1+BU$59),0),BU659))</f>
        <v/>
      </c>
      <c r="BV675" s="245">
        <f>IF(BV$7="Actual","",IF($K675="Yes",IFERROR(BV659*(1+BV$59),0),BV659))</f>
        <v/>
      </c>
      <c r="BW675" s="245">
        <f>IF(BW$7="Actual","",IF($K675="Yes",IFERROR(BW659*(1+BW$59),0),BW659))</f>
        <v/>
      </c>
      <c r="BX675" s="245">
        <f>IF(BX$7="Actual","",IF($K675="Yes",IFERROR(BX659*(1+BX$59),0),BX659))</f>
        <v/>
      </c>
      <c r="BY675" s="245">
        <f>IF(BY$7="Actual","",IF($K675="Yes",IFERROR(BY659*(1+BY$59),0),BY659))</f>
        <v/>
      </c>
      <c r="BZ675" s="245">
        <f>IF(BZ$7="Actual","",IF($K675="Yes",IFERROR(BZ659*(1+BZ$59),0),BZ659))</f>
        <v/>
      </c>
      <c r="CA675" s="245">
        <f>IF(CA$7="Actual","",IF($K675="Yes",IFERROR(CA659*(1+CA$59),0),CA659))</f>
        <v/>
      </c>
    </row>
    <row r="676" ht="12" customHeight="1" s="227">
      <c r="A676" s="244" t="n"/>
      <c r="B676" s="244" t="n"/>
      <c r="C676" s="244" t="n"/>
      <c r="H676" s="4">
        <f>H660</f>
        <v/>
      </c>
      <c r="I676" s="27">
        <f>i_Setup!$M$16</f>
        <v/>
      </c>
      <c r="K676" s="259">
        <f>i_Setup!P119</f>
        <v/>
      </c>
      <c r="M676" s="245">
        <f>SUMIF($T$4:$CA$4,M$4,$T676:$CA676)</f>
        <v/>
      </c>
      <c r="N676" s="245">
        <f>SUMIF($T$4:$CA$4,N$4,$T676:$CA676)</f>
        <v/>
      </c>
      <c r="O676" s="245">
        <f>SUMIF($T$4:$CA$4,O$4,$T676:$CA676)</f>
        <v/>
      </c>
      <c r="P676" s="245">
        <f>SUMIF($T$4:$CA$4,P$4,$T676:$CA676)</f>
        <v/>
      </c>
      <c r="Q676" s="245">
        <f>SUMIF($T$4:$CA$4,Q$4,$T676:$CA676)</f>
        <v/>
      </c>
      <c r="T676" s="245">
        <f>IF(T$7="Actual","",IF($K676="Yes",IFERROR(T660*(1+T$59),0),T660))</f>
        <v/>
      </c>
      <c r="U676" s="245">
        <f>IF(U$7="Actual","",IF($K676="Yes",IFERROR(U660*(1+U$59),0),U660))</f>
        <v/>
      </c>
      <c r="V676" s="245">
        <f>IF(V$7="Actual","",IF($K676="Yes",IFERROR(V660*(1+V$59),0),V660))</f>
        <v/>
      </c>
      <c r="W676" s="245">
        <f>IF(W$7="Actual","",IF($K676="Yes",IFERROR(W660*(1+W$59),0),W660))</f>
        <v/>
      </c>
      <c r="X676" s="245">
        <f>IF(X$7="Actual","",IF($K676="Yes",IFERROR(X660*(1+X$59),0),X660))</f>
        <v/>
      </c>
      <c r="Y676" s="245">
        <f>IF(Y$7="Actual","",IF($K676="Yes",IFERROR(Y660*(1+Y$59),0),Y660))</f>
        <v/>
      </c>
      <c r="Z676" s="245">
        <f>IF(Z$7="Actual","",IF($K676="Yes",IFERROR(Z660*(1+Z$59),0),Z660))</f>
        <v/>
      </c>
      <c r="AA676" s="245">
        <f>IF(AA$7="Actual","",IF($K676="Yes",IFERROR(AA660*(1+AA$59),0),AA660))</f>
        <v/>
      </c>
      <c r="AB676" s="245">
        <f>IF(AB$7="Actual","",IF($K676="Yes",IFERROR(AB660*(1+AB$59),0),AB660))</f>
        <v/>
      </c>
      <c r="AC676" s="245">
        <f>IF(AC$7="Actual","",IF($K676="Yes",IFERROR(AC660*(1+AC$59),0),AC660))</f>
        <v/>
      </c>
      <c r="AD676" s="245">
        <f>IF(AD$7="Actual","",IF($K676="Yes",IFERROR(AD660*(1+AD$59),0),AD660))</f>
        <v/>
      </c>
      <c r="AE676" s="245">
        <f>IF(AE$7="Actual","",IF($K676="Yes",IFERROR(AE660*(1+AE$59),0),AE660))</f>
        <v/>
      </c>
      <c r="AF676" s="245">
        <f>IF(AF$7="Actual","",IF($K676="Yes",IFERROR(AF660*(1+AF$59),0),AF660))</f>
        <v/>
      </c>
      <c r="AG676" s="245">
        <f>IF(AG$7="Actual","",IF($K676="Yes",IFERROR(AG660*(1+AG$59),0),AG660))</f>
        <v/>
      </c>
      <c r="AH676" s="245">
        <f>IF(AH$7="Actual","",IF($K676="Yes",IFERROR(AH660*(1+AH$59),0),AH660))</f>
        <v/>
      </c>
      <c r="AI676" s="245">
        <f>IF(AI$7="Actual","",IF($K676="Yes",IFERROR(AI660*(1+AI$59),0),AI660))</f>
        <v/>
      </c>
      <c r="AJ676" s="245">
        <f>IF(AJ$7="Actual","",IF($K676="Yes",IFERROR(AJ660*(1+AJ$59),0),AJ660))</f>
        <v/>
      </c>
      <c r="AK676" s="245">
        <f>IF(AK$7="Actual","",IF($K676="Yes",IFERROR(AK660*(1+AK$59),0),AK660))</f>
        <v/>
      </c>
      <c r="AL676" s="245">
        <f>IF(AL$7="Actual","",IF($K676="Yes",IFERROR(AL660*(1+AL$59),0),AL660))</f>
        <v/>
      </c>
      <c r="AM676" s="245">
        <f>IF(AM$7="Actual","",IF($K676="Yes",IFERROR(AM660*(1+AM$59),0),AM660))</f>
        <v/>
      </c>
      <c r="AN676" s="245">
        <f>IF(AN$7="Actual","",IF($K676="Yes",IFERROR(AN660*(1+AN$59),0),AN660))</f>
        <v/>
      </c>
      <c r="AO676" s="245">
        <f>IF(AO$7="Actual","",IF($K676="Yes",IFERROR(AO660*(1+AO$59),0),AO660))</f>
        <v/>
      </c>
      <c r="AP676" s="245">
        <f>IF(AP$7="Actual","",IF($K676="Yes",IFERROR(AP660*(1+AP$59),0),AP660))</f>
        <v/>
      </c>
      <c r="AQ676" s="245">
        <f>IF(AQ$7="Actual","",IF($K676="Yes",IFERROR(AQ660*(1+AQ$59),0),AQ660))</f>
        <v/>
      </c>
      <c r="AR676" s="245">
        <f>IF(AR$7="Actual","",IF($K676="Yes",IFERROR(AR660*(1+AR$59),0),AR660))</f>
        <v/>
      </c>
      <c r="AS676" s="245">
        <f>IF(AS$7="Actual","",IF($K676="Yes",IFERROR(AS660*(1+AS$59),0),AS660))</f>
        <v/>
      </c>
      <c r="AT676" s="245">
        <f>IF(AT$7="Actual","",IF($K676="Yes",IFERROR(AT660*(1+AT$59),0),AT660))</f>
        <v/>
      </c>
      <c r="AU676" s="245">
        <f>IF(AU$7="Actual","",IF($K676="Yes",IFERROR(AU660*(1+AU$59),0),AU660))</f>
        <v/>
      </c>
      <c r="AV676" s="245">
        <f>IF(AV$7="Actual","",IF($K676="Yes",IFERROR(AV660*(1+AV$59),0),AV660))</f>
        <v/>
      </c>
      <c r="AW676" s="245">
        <f>IF(AW$7="Actual","",IF($K676="Yes",IFERROR(AW660*(1+AW$59),0),AW660))</f>
        <v/>
      </c>
      <c r="AX676" s="245">
        <f>IF(AX$7="Actual","",IF($K676="Yes",IFERROR(AX660*(1+AX$59),0),AX660))</f>
        <v/>
      </c>
      <c r="AY676" s="245">
        <f>IF(AY$7="Actual","",IF($K676="Yes",IFERROR(AY660*(1+AY$59),0),AY660))</f>
        <v/>
      </c>
      <c r="AZ676" s="245">
        <f>IF(AZ$7="Actual","",IF($K676="Yes",IFERROR(AZ660*(1+AZ$59),0),AZ660))</f>
        <v/>
      </c>
      <c r="BA676" s="245">
        <f>IF(BA$7="Actual","",IF($K676="Yes",IFERROR(BA660*(1+BA$59),0),BA660))</f>
        <v/>
      </c>
      <c r="BB676" s="245">
        <f>IF(BB$7="Actual","",IF($K676="Yes",IFERROR(BB660*(1+BB$59),0),BB660))</f>
        <v/>
      </c>
      <c r="BC676" s="245">
        <f>IF(BC$7="Actual","",IF($K676="Yes",IFERROR(BC660*(1+BC$59),0),BC660))</f>
        <v/>
      </c>
      <c r="BD676" s="245">
        <f>IF(BD$7="Actual","",IF($K676="Yes",IFERROR(BD660*(1+BD$59),0),BD660))</f>
        <v/>
      </c>
      <c r="BE676" s="245">
        <f>IF(BE$7="Actual","",IF($K676="Yes",IFERROR(BE660*(1+BE$59),0),BE660))</f>
        <v/>
      </c>
      <c r="BF676" s="245">
        <f>IF(BF$7="Actual","",IF($K676="Yes",IFERROR(BF660*(1+BF$59),0),BF660))</f>
        <v/>
      </c>
      <c r="BG676" s="245">
        <f>IF(BG$7="Actual","",IF($K676="Yes",IFERROR(BG660*(1+BG$59),0),BG660))</f>
        <v/>
      </c>
      <c r="BH676" s="245">
        <f>IF(BH$7="Actual","",IF($K676="Yes",IFERROR(BH660*(1+BH$59),0),BH660))</f>
        <v/>
      </c>
      <c r="BI676" s="245">
        <f>IF(BI$7="Actual","",IF($K676="Yes",IFERROR(BI660*(1+BI$59),0),BI660))</f>
        <v/>
      </c>
      <c r="BJ676" s="245">
        <f>IF(BJ$7="Actual","",IF($K676="Yes",IFERROR(BJ660*(1+BJ$59),0),BJ660))</f>
        <v/>
      </c>
      <c r="BK676" s="245">
        <f>IF(BK$7="Actual","",IF($K676="Yes",IFERROR(BK660*(1+BK$59),0),BK660))</f>
        <v/>
      </c>
      <c r="BL676" s="245">
        <f>IF(BL$7="Actual","",IF($K676="Yes",IFERROR(BL660*(1+BL$59),0),BL660))</f>
        <v/>
      </c>
      <c r="BM676" s="245">
        <f>IF(BM$7="Actual","",IF($K676="Yes",IFERROR(BM660*(1+BM$59),0),BM660))</f>
        <v/>
      </c>
      <c r="BN676" s="245">
        <f>IF(BN$7="Actual","",IF($K676="Yes",IFERROR(BN660*(1+BN$59),0),BN660))</f>
        <v/>
      </c>
      <c r="BO676" s="245">
        <f>IF(BO$7="Actual","",IF($K676="Yes",IFERROR(BO660*(1+BO$59),0),BO660))</f>
        <v/>
      </c>
      <c r="BP676" s="245">
        <f>IF(BP$7="Actual","",IF($K676="Yes",IFERROR(BP660*(1+BP$59),0),BP660))</f>
        <v/>
      </c>
      <c r="BQ676" s="245">
        <f>IF(BQ$7="Actual","",IF($K676="Yes",IFERROR(BQ660*(1+BQ$59),0),BQ660))</f>
        <v/>
      </c>
      <c r="BR676" s="245">
        <f>IF(BR$7="Actual","",IF($K676="Yes",IFERROR(BR660*(1+BR$59),0),BR660))</f>
        <v/>
      </c>
      <c r="BS676" s="245">
        <f>IF(BS$7="Actual","",IF($K676="Yes",IFERROR(BS660*(1+BS$59),0),BS660))</f>
        <v/>
      </c>
      <c r="BT676" s="245">
        <f>IF(BT$7="Actual","",IF($K676="Yes",IFERROR(BT660*(1+BT$59),0),BT660))</f>
        <v/>
      </c>
      <c r="BU676" s="245">
        <f>IF(BU$7="Actual","",IF($K676="Yes",IFERROR(BU660*(1+BU$59),0),BU660))</f>
        <v/>
      </c>
      <c r="BV676" s="245">
        <f>IF(BV$7="Actual","",IF($K676="Yes",IFERROR(BV660*(1+BV$59),0),BV660))</f>
        <v/>
      </c>
      <c r="BW676" s="245">
        <f>IF(BW$7="Actual","",IF($K676="Yes",IFERROR(BW660*(1+BW$59),0),BW660))</f>
        <v/>
      </c>
      <c r="BX676" s="245">
        <f>IF(BX$7="Actual","",IF($K676="Yes",IFERROR(BX660*(1+BX$59),0),BX660))</f>
        <v/>
      </c>
      <c r="BY676" s="245">
        <f>IF(BY$7="Actual","",IF($K676="Yes",IFERROR(BY660*(1+BY$59),0),BY660))</f>
        <v/>
      </c>
      <c r="BZ676" s="245">
        <f>IF(BZ$7="Actual","",IF($K676="Yes",IFERROR(BZ660*(1+BZ$59),0),BZ660))</f>
        <v/>
      </c>
      <c r="CA676" s="245">
        <f>IF(CA$7="Actual","",IF($K676="Yes",IFERROR(CA660*(1+CA$59),0),CA660))</f>
        <v/>
      </c>
    </row>
    <row r="677" ht="12" customHeight="1" s="227" thickBot="1">
      <c r="A677" s="244" t="n"/>
      <c r="B677" s="244" t="n"/>
      <c r="C677" s="244" t="n"/>
      <c r="H677" s="42" t="inlineStr">
        <is>
          <t>Total Additions Incl Tax</t>
        </is>
      </c>
      <c r="I677" s="43">
        <f>i_Setup!$M$16</f>
        <v/>
      </c>
      <c r="K677" s="6" t="n"/>
      <c r="M677" s="264">
        <f>SUM(M666:M676)</f>
        <v/>
      </c>
      <c r="N677" s="264">
        <f>SUM(N666:N676)</f>
        <v/>
      </c>
      <c r="O677" s="264">
        <f>SUM(O666:O676)</f>
        <v/>
      </c>
      <c r="P677" s="264">
        <f>SUM(P666:P676)</f>
        <v/>
      </c>
      <c r="Q677" s="264">
        <f>SUM(Q666:Q676)</f>
        <v/>
      </c>
      <c r="T677" s="264">
        <f>SUM(T666:T676)</f>
        <v/>
      </c>
      <c r="U677" s="264">
        <f>SUM(U666:U676)</f>
        <v/>
      </c>
      <c r="V677" s="264">
        <f>SUM(V666:V676)</f>
        <v/>
      </c>
      <c r="W677" s="264">
        <f>SUM(W666:W676)</f>
        <v/>
      </c>
      <c r="X677" s="264">
        <f>SUM(X666:X676)</f>
        <v/>
      </c>
      <c r="Y677" s="264">
        <f>SUM(Y666:Y676)</f>
        <v/>
      </c>
      <c r="Z677" s="264">
        <f>SUM(Z666:Z676)</f>
        <v/>
      </c>
      <c r="AA677" s="264">
        <f>SUM(AA666:AA676)</f>
        <v/>
      </c>
      <c r="AB677" s="264">
        <f>SUM(AB666:AB676)</f>
        <v/>
      </c>
      <c r="AC677" s="264">
        <f>SUM(AC666:AC676)</f>
        <v/>
      </c>
      <c r="AD677" s="264">
        <f>SUM(AD666:AD676)</f>
        <v/>
      </c>
      <c r="AE677" s="264">
        <f>SUM(AE666:AE676)</f>
        <v/>
      </c>
      <c r="AF677" s="264">
        <f>SUM(AF666:AF676)</f>
        <v/>
      </c>
      <c r="AG677" s="264">
        <f>SUM(AG666:AG676)</f>
        <v/>
      </c>
      <c r="AH677" s="264">
        <f>SUM(AH666:AH676)</f>
        <v/>
      </c>
      <c r="AI677" s="264">
        <f>SUM(AI666:AI676)</f>
        <v/>
      </c>
      <c r="AJ677" s="264">
        <f>SUM(AJ666:AJ676)</f>
        <v/>
      </c>
      <c r="AK677" s="264">
        <f>SUM(AK666:AK676)</f>
        <v/>
      </c>
      <c r="AL677" s="264">
        <f>SUM(AL666:AL676)</f>
        <v/>
      </c>
      <c r="AM677" s="264">
        <f>SUM(AM666:AM676)</f>
        <v/>
      </c>
      <c r="AN677" s="264">
        <f>SUM(AN666:AN676)</f>
        <v/>
      </c>
      <c r="AO677" s="264">
        <f>SUM(AO666:AO676)</f>
        <v/>
      </c>
      <c r="AP677" s="264">
        <f>SUM(AP666:AP676)</f>
        <v/>
      </c>
      <c r="AQ677" s="264">
        <f>SUM(AQ666:AQ676)</f>
        <v/>
      </c>
      <c r="AR677" s="264">
        <f>SUM(AR666:AR676)</f>
        <v/>
      </c>
      <c r="AS677" s="264">
        <f>SUM(AS666:AS676)</f>
        <v/>
      </c>
      <c r="AT677" s="264">
        <f>SUM(AT666:AT676)</f>
        <v/>
      </c>
      <c r="AU677" s="264">
        <f>SUM(AU666:AU676)</f>
        <v/>
      </c>
      <c r="AV677" s="264">
        <f>SUM(AV666:AV676)</f>
        <v/>
      </c>
      <c r="AW677" s="264">
        <f>SUM(AW666:AW676)</f>
        <v/>
      </c>
      <c r="AX677" s="264">
        <f>SUM(AX666:AX676)</f>
        <v/>
      </c>
      <c r="AY677" s="264">
        <f>SUM(AY666:AY676)</f>
        <v/>
      </c>
      <c r="AZ677" s="264">
        <f>SUM(AZ666:AZ676)</f>
        <v/>
      </c>
      <c r="BA677" s="264">
        <f>SUM(BA666:BA676)</f>
        <v/>
      </c>
      <c r="BB677" s="264">
        <f>SUM(BB666:BB676)</f>
        <v/>
      </c>
      <c r="BC677" s="264">
        <f>SUM(BC666:BC676)</f>
        <v/>
      </c>
      <c r="BD677" s="264">
        <f>SUM(BD666:BD676)</f>
        <v/>
      </c>
      <c r="BE677" s="264">
        <f>SUM(BE666:BE676)</f>
        <v/>
      </c>
      <c r="BF677" s="264">
        <f>SUM(BF666:BF676)</f>
        <v/>
      </c>
      <c r="BG677" s="264">
        <f>SUM(BG666:BG676)</f>
        <v/>
      </c>
      <c r="BH677" s="264">
        <f>SUM(BH666:BH676)</f>
        <v/>
      </c>
      <c r="BI677" s="264">
        <f>SUM(BI666:BI676)</f>
        <v/>
      </c>
      <c r="BJ677" s="264">
        <f>SUM(BJ666:BJ676)</f>
        <v/>
      </c>
      <c r="BK677" s="264">
        <f>SUM(BK666:BK676)</f>
        <v/>
      </c>
      <c r="BL677" s="264">
        <f>SUM(BL666:BL676)</f>
        <v/>
      </c>
      <c r="BM677" s="264">
        <f>SUM(BM666:BM676)</f>
        <v/>
      </c>
      <c r="BN677" s="264">
        <f>SUM(BN666:BN676)</f>
        <v/>
      </c>
      <c r="BO677" s="264">
        <f>SUM(BO666:BO676)</f>
        <v/>
      </c>
      <c r="BP677" s="264">
        <f>SUM(BP666:BP676)</f>
        <v/>
      </c>
      <c r="BQ677" s="264">
        <f>SUM(BQ666:BQ676)</f>
        <v/>
      </c>
      <c r="BR677" s="264">
        <f>SUM(BR666:BR676)</f>
        <v/>
      </c>
      <c r="BS677" s="264">
        <f>SUM(BS666:BS676)</f>
        <v/>
      </c>
      <c r="BT677" s="264">
        <f>SUM(BT666:BT676)</f>
        <v/>
      </c>
      <c r="BU677" s="264">
        <f>SUM(BU666:BU676)</f>
        <v/>
      </c>
      <c r="BV677" s="264">
        <f>SUM(BV666:BV676)</f>
        <v/>
      </c>
      <c r="BW677" s="264">
        <f>SUM(BW666:BW676)</f>
        <v/>
      </c>
      <c r="BX677" s="264">
        <f>SUM(BX666:BX676)</f>
        <v/>
      </c>
      <c r="BY677" s="264">
        <f>SUM(BY666:BY676)</f>
        <v/>
      </c>
      <c r="BZ677" s="264">
        <f>SUM(BZ666:BZ676)</f>
        <v/>
      </c>
      <c r="CA677" s="264">
        <f>SUM(CA666:CA676)</f>
        <v/>
      </c>
    </row>
    <row r="678" ht="12" customHeight="1" s="227">
      <c r="A678" s="244" t="n"/>
      <c r="B678" s="244" t="n"/>
      <c r="C678" s="244" t="n"/>
      <c r="K678" s="6" t="n"/>
    </row>
    <row r="679" ht="12" customHeight="1" s="227">
      <c r="A679" s="244" t="n"/>
      <c r="B679" s="244" t="n"/>
      <c r="C679" s="244" t="n"/>
      <c r="K679" s="6" t="n"/>
    </row>
    <row r="680" ht="12" customHeight="1" s="227">
      <c r="A680" s="244" t="n"/>
      <c r="B680" s="244" t="n"/>
      <c r="C680" s="244" t="n"/>
      <c r="G680" s="222">
        <f>H666</f>
        <v/>
      </c>
      <c r="K680" s="6" t="n"/>
    </row>
    <row r="681" ht="12" customHeight="1" s="227">
      <c r="A681" s="244" t="n"/>
      <c r="B681" s="244" t="n"/>
      <c r="C681" s="244" t="n"/>
      <c r="K681" s="6" t="n"/>
    </row>
    <row r="682" ht="12" customHeight="1" s="227">
      <c r="A682" s="244" t="n"/>
      <c r="B682" s="244" t="n"/>
      <c r="C682" s="244" t="n"/>
      <c r="H682" s="0" t="inlineStr">
        <is>
          <t>Useful Life - Opening Bal</t>
        </is>
      </c>
      <c r="I682" s="27" t="inlineStr">
        <is>
          <t>Months</t>
        </is>
      </c>
      <c r="K682" s="259">
        <f>i_Actuals!K110*12</f>
        <v/>
      </c>
    </row>
    <row r="683" ht="12" customHeight="1" s="227">
      <c r="A683" s="244" t="n"/>
      <c r="B683" s="244" t="n"/>
      <c r="C683" s="244" t="n"/>
      <c r="H683" s="0" t="inlineStr">
        <is>
          <t>Useful Life - Additions</t>
        </is>
      </c>
      <c r="I683" s="27" t="inlineStr">
        <is>
          <t>Months</t>
        </is>
      </c>
      <c r="K683" s="259">
        <f>i_Setup!R68*12</f>
        <v/>
      </c>
    </row>
    <row r="684" ht="12" customHeight="1" s="227">
      <c r="A684" s="244" t="n"/>
      <c r="B684" s="244" t="n"/>
      <c r="C684" s="244" t="n"/>
      <c r="H684" s="0" t="n"/>
      <c r="I684" s="27" t="n"/>
      <c r="K684" s="6" t="n"/>
    </row>
    <row r="685" ht="12" customHeight="1" s="227">
      <c r="A685" s="244" t="n"/>
      <c r="B685" s="244" t="n"/>
      <c r="C685" s="244" t="n"/>
      <c r="H685" s="0" t="inlineStr">
        <is>
          <t>Opening Balance</t>
        </is>
      </c>
      <c r="I685" s="27">
        <f>i_Setup!$M$16</f>
        <v/>
      </c>
      <c r="K685" s="6" t="n"/>
      <c r="M685" s="245">
        <f>SUMIF($T$1:$CA$1,M$1,$T685:$CA685)</f>
        <v/>
      </c>
      <c r="N685" s="245">
        <f>SUMIF($T$1:$CA$1,N$1,$T685:$CA685)</f>
        <v/>
      </c>
      <c r="O685" s="245">
        <f>SUMIF($T$1:$CA$1,O$1,$T685:$CA685)</f>
        <v/>
      </c>
      <c r="P685" s="245">
        <f>SUMIF($T$1:$CA$1,P$1,$T685:$CA685)</f>
        <v/>
      </c>
      <c r="Q685" s="245">
        <f>SUMIF($T$1:$CA$1,Q$1,$T685:$CA685)</f>
        <v/>
      </c>
      <c r="T685" s="245">
        <f>IF(T$2=i_Setup!$U$26,i_Actuals!T110,0)</f>
        <v/>
      </c>
      <c r="U685" s="245">
        <f>IF(U$2=i_Setup!$U$26,i_Actuals!U110,0)</f>
        <v/>
      </c>
      <c r="V685" s="245">
        <f>IF(V$2=i_Setup!$U$26,i_Actuals!V110,0)</f>
        <v/>
      </c>
      <c r="W685" s="245">
        <f>IF(W$2=i_Setup!$U$26,i_Actuals!W110,0)</f>
        <v/>
      </c>
      <c r="X685" s="245">
        <f>IF(X$2=i_Setup!$U$26,i_Actuals!X110,0)</f>
        <v/>
      </c>
      <c r="Y685" s="245">
        <f>IF(Y$2=i_Setup!$U$26,i_Actuals!Y110,0)</f>
        <v/>
      </c>
      <c r="Z685" s="245">
        <f>IF(Z$2=i_Setup!$U$26,i_Actuals!Z110,0)</f>
        <v/>
      </c>
      <c r="AA685" s="245">
        <f>IF(AA$2=i_Setup!$U$26,i_Actuals!AA110,0)</f>
        <v/>
      </c>
      <c r="AB685" s="245">
        <f>IF(AB$2=i_Setup!$U$26,i_Actuals!AB110,0)</f>
        <v/>
      </c>
      <c r="AC685" s="245">
        <f>IF(AC$2=i_Setup!$U$26,i_Actuals!AC110,0)</f>
        <v/>
      </c>
      <c r="AD685" s="245">
        <f>IF(AD$2=i_Setup!$U$26,i_Actuals!AD110,0)</f>
        <v/>
      </c>
      <c r="AE685" s="245">
        <f>IF(AE$2=i_Setup!$U$26,i_Actuals!AE110,0)</f>
        <v/>
      </c>
      <c r="AF685" s="245">
        <f>IF(AF$2=i_Setup!$U$26,i_Actuals!AF110,0)</f>
        <v/>
      </c>
      <c r="AG685" s="245">
        <f>IF(AG$2=i_Setup!$U$26,i_Actuals!AG110,0)</f>
        <v/>
      </c>
      <c r="AH685" s="245">
        <f>IF(AH$2=i_Setup!$U$26,i_Actuals!AH110,0)</f>
        <v/>
      </c>
      <c r="AI685" s="245">
        <f>IF(AI$2=i_Setup!$U$26,i_Actuals!AI110,0)</f>
        <v/>
      </c>
      <c r="AJ685" s="245">
        <f>IF(AJ$2=i_Setup!$U$26,i_Actuals!AJ110,0)</f>
        <v/>
      </c>
      <c r="AK685" s="245">
        <f>IF(AK$2=i_Setup!$U$26,i_Actuals!AK110,0)</f>
        <v/>
      </c>
      <c r="AL685" s="245">
        <f>IF(AL$2=i_Setup!$U$26,i_Actuals!AL110,0)</f>
        <v/>
      </c>
      <c r="AM685" s="245">
        <f>IF(AM$2=i_Setup!$U$26,i_Actuals!AM110,0)</f>
        <v/>
      </c>
      <c r="AN685" s="245">
        <f>IF(AN$2=i_Setup!$U$26,i_Actuals!AN110,0)</f>
        <v/>
      </c>
      <c r="AO685" s="245">
        <f>IF(AO$2=i_Setup!$U$26,i_Actuals!AO110,0)</f>
        <v/>
      </c>
      <c r="AP685" s="245">
        <f>IF(AP$2=i_Setup!$U$26,i_Actuals!AP110,0)</f>
        <v/>
      </c>
      <c r="AQ685" s="245">
        <f>IF(AQ$2=i_Setup!$U$26,i_Actuals!AQ110,0)</f>
        <v/>
      </c>
      <c r="AR685" s="245">
        <f>IF(AR$2=i_Setup!$U$26,i_Actuals!AR110,0)</f>
        <v/>
      </c>
      <c r="AS685" s="245">
        <f>IF(AS$2=i_Setup!$U$26,i_Actuals!AS110,0)</f>
        <v/>
      </c>
      <c r="AT685" s="245">
        <f>IF(AT$2=i_Setup!$U$26,i_Actuals!AT110,0)</f>
        <v/>
      </c>
      <c r="AU685" s="245">
        <f>IF(AU$2=i_Setup!$U$26,i_Actuals!AU110,0)</f>
        <v/>
      </c>
      <c r="AV685" s="245">
        <f>IF(AV$2=i_Setup!$U$26,i_Actuals!AV110,0)</f>
        <v/>
      </c>
      <c r="AW685" s="245">
        <f>IF(AW$2=i_Setup!$U$26,i_Actuals!AW110,0)</f>
        <v/>
      </c>
      <c r="AX685" s="245">
        <f>IF(AX$2=i_Setup!$U$26,i_Actuals!AX110,0)</f>
        <v/>
      </c>
      <c r="AY685" s="245">
        <f>IF(AY$2=i_Setup!$U$26,i_Actuals!AY110,0)</f>
        <v/>
      </c>
      <c r="AZ685" s="245">
        <f>IF(AZ$2=i_Setup!$U$26,i_Actuals!AZ110,0)</f>
        <v/>
      </c>
      <c r="BA685" s="245">
        <f>IF(BA$2=i_Setup!$U$26,i_Actuals!BA110,0)</f>
        <v/>
      </c>
      <c r="BB685" s="245">
        <f>IF(BB$2=i_Setup!$U$26,i_Actuals!BB110,0)</f>
        <v/>
      </c>
      <c r="BC685" s="245">
        <f>IF(BC$2=i_Setup!$U$26,i_Actuals!BC110,0)</f>
        <v/>
      </c>
      <c r="BD685" s="245">
        <f>IF(BD$2=i_Setup!$U$26,i_Actuals!BD110,0)</f>
        <v/>
      </c>
      <c r="BE685" s="245">
        <f>IF(BE$2=i_Setup!$U$26,i_Actuals!BE110,0)</f>
        <v/>
      </c>
      <c r="BF685" s="245">
        <f>IF(BF$2=i_Setup!$U$26,i_Actuals!BF110,0)</f>
        <v/>
      </c>
      <c r="BG685" s="245">
        <f>IF(BG$2=i_Setup!$U$26,i_Actuals!BG110,0)</f>
        <v/>
      </c>
      <c r="BH685" s="245">
        <f>IF(BH$2=i_Setup!$U$26,i_Actuals!BH110,0)</f>
        <v/>
      </c>
      <c r="BI685" s="245">
        <f>IF(BI$2=i_Setup!$U$26,i_Actuals!BI110,0)</f>
        <v/>
      </c>
      <c r="BJ685" s="245">
        <f>IF(BJ$2=i_Setup!$U$26,i_Actuals!BJ110,0)</f>
        <v/>
      </c>
      <c r="BK685" s="245">
        <f>IF(BK$2=i_Setup!$U$26,i_Actuals!BK110,0)</f>
        <v/>
      </c>
      <c r="BL685" s="245">
        <f>IF(BL$2=i_Setup!$U$26,i_Actuals!BL110,0)</f>
        <v/>
      </c>
      <c r="BM685" s="245">
        <f>IF(BM$2=i_Setup!$U$26,i_Actuals!BM110,0)</f>
        <v/>
      </c>
      <c r="BN685" s="245">
        <f>IF(BN$2=i_Setup!$U$26,i_Actuals!BN110,0)</f>
        <v/>
      </c>
      <c r="BO685" s="245">
        <f>IF(BO$2=i_Setup!$U$26,i_Actuals!BO110,0)</f>
        <v/>
      </c>
      <c r="BP685" s="245">
        <f>IF(BP$2=i_Setup!$U$26,i_Actuals!BP110,0)</f>
        <v/>
      </c>
      <c r="BQ685" s="245">
        <f>IF(BQ$2=i_Setup!$U$26,i_Actuals!BQ110,0)</f>
        <v/>
      </c>
      <c r="BR685" s="245">
        <f>IF(BR$2=i_Setup!$U$26,i_Actuals!BR110,0)</f>
        <v/>
      </c>
      <c r="BS685" s="245">
        <f>IF(BS$2=i_Setup!$U$26,i_Actuals!BS110,0)</f>
        <v/>
      </c>
      <c r="BT685" s="245">
        <f>IF(BT$2=i_Setup!$U$26,i_Actuals!BT110,0)</f>
        <v/>
      </c>
      <c r="BU685" s="245">
        <f>IF(BU$2=i_Setup!$U$26,i_Actuals!BU110,0)</f>
        <v/>
      </c>
      <c r="BV685" s="245">
        <f>IF(BV$2=i_Setup!$U$26,i_Actuals!BV110,0)</f>
        <v/>
      </c>
      <c r="BW685" s="245">
        <f>IF(BW$2=i_Setup!$U$26,i_Actuals!BW110,0)</f>
        <v/>
      </c>
      <c r="BX685" s="245">
        <f>IF(BX$2=i_Setup!$U$26,i_Actuals!BX110,0)</f>
        <v/>
      </c>
      <c r="BY685" s="245">
        <f>IF(BY$2=i_Setup!$U$26,i_Actuals!BY110,0)</f>
        <v/>
      </c>
      <c r="BZ685" s="245">
        <f>IF(BZ$2=i_Setup!$U$26,i_Actuals!BZ110,0)</f>
        <v/>
      </c>
      <c r="CA685" s="245">
        <f>IF(CA$2=i_Setup!$U$26,i_Actuals!CA110,0)</f>
        <v/>
      </c>
    </row>
    <row r="686" ht="12" customHeight="1" s="227">
      <c r="A686" s="244" t="n"/>
      <c r="B686" s="244" t="n"/>
      <c r="C686" s="244" t="n"/>
      <c r="H686" s="0" t="n"/>
      <c r="I686" s="27" t="n"/>
      <c r="K686" s="6" t="n"/>
    </row>
    <row r="687" ht="12" customHeight="1" s="227">
      <c r="A687" s="244" t="n"/>
      <c r="B687" s="244" t="n"/>
      <c r="C687" s="244" t="n"/>
      <c r="H687" s="0" t="inlineStr">
        <is>
          <t>Opening Balance</t>
        </is>
      </c>
      <c r="I687" s="27">
        <f>i_Setup!$M$16</f>
        <v/>
      </c>
      <c r="K687" s="6" t="n"/>
      <c r="M687" s="245">
        <f>SUMIF($T$1:$CA$1,M$1,$T687:$CA687)</f>
        <v/>
      </c>
      <c r="N687" s="245">
        <f>SUMIF($T$1:$CA$1,N$1,$T687:$CA687)</f>
        <v/>
      </c>
      <c r="O687" s="245">
        <f>SUMIF($T$1:$CA$1,O$1,$T687:$CA687)</f>
        <v/>
      </c>
      <c r="P687" s="245">
        <f>SUMIF($T$1:$CA$1,P$1,$T687:$CA687)</f>
        <v/>
      </c>
      <c r="Q687" s="245">
        <f>SUMIF($T$1:$CA$1,Q$1,$T687:$CA687)</f>
        <v/>
      </c>
      <c r="T687" s="245">
        <f>S691</f>
        <v/>
      </c>
      <c r="U687" s="245">
        <f>T691</f>
        <v/>
      </c>
      <c r="V687" s="245">
        <f>U691</f>
        <v/>
      </c>
      <c r="W687" s="245">
        <f>V691</f>
        <v/>
      </c>
      <c r="X687" s="245">
        <f>W691</f>
        <v/>
      </c>
      <c r="Y687" s="245">
        <f>X691</f>
        <v/>
      </c>
      <c r="Z687" s="245">
        <f>Y691</f>
        <v/>
      </c>
      <c r="AA687" s="245">
        <f>Z691</f>
        <v/>
      </c>
      <c r="AB687" s="245">
        <f>AA691</f>
        <v/>
      </c>
      <c r="AC687" s="245">
        <f>AB691</f>
        <v/>
      </c>
      <c r="AD687" s="245">
        <f>AC691</f>
        <v/>
      </c>
      <c r="AE687" s="245">
        <f>AD691</f>
        <v/>
      </c>
      <c r="AF687" s="245">
        <f>AE691</f>
        <v/>
      </c>
      <c r="AG687" s="245">
        <f>AF691</f>
        <v/>
      </c>
      <c r="AH687" s="245">
        <f>AG691</f>
        <v/>
      </c>
      <c r="AI687" s="245">
        <f>AH691</f>
        <v/>
      </c>
      <c r="AJ687" s="245">
        <f>AI691</f>
        <v/>
      </c>
      <c r="AK687" s="245">
        <f>AJ691</f>
        <v/>
      </c>
      <c r="AL687" s="245">
        <f>AK691</f>
        <v/>
      </c>
      <c r="AM687" s="245">
        <f>AL691</f>
        <v/>
      </c>
      <c r="AN687" s="245">
        <f>AM691</f>
        <v/>
      </c>
      <c r="AO687" s="245">
        <f>AN691</f>
        <v/>
      </c>
      <c r="AP687" s="245">
        <f>AO691</f>
        <v/>
      </c>
      <c r="AQ687" s="245">
        <f>AP691</f>
        <v/>
      </c>
      <c r="AR687" s="245">
        <f>AQ691</f>
        <v/>
      </c>
      <c r="AS687" s="245">
        <f>AR691</f>
        <v/>
      </c>
      <c r="AT687" s="245">
        <f>AS691</f>
        <v/>
      </c>
      <c r="AU687" s="245">
        <f>AT691</f>
        <v/>
      </c>
      <c r="AV687" s="245">
        <f>AU691</f>
        <v/>
      </c>
      <c r="AW687" s="245">
        <f>AV691</f>
        <v/>
      </c>
      <c r="AX687" s="245">
        <f>AW691</f>
        <v/>
      </c>
      <c r="AY687" s="245">
        <f>AX691</f>
        <v/>
      </c>
      <c r="AZ687" s="245">
        <f>AY691</f>
        <v/>
      </c>
      <c r="BA687" s="245">
        <f>AZ691</f>
        <v/>
      </c>
      <c r="BB687" s="245">
        <f>BA691</f>
        <v/>
      </c>
      <c r="BC687" s="245">
        <f>BB691</f>
        <v/>
      </c>
      <c r="BD687" s="245">
        <f>BC691</f>
        <v/>
      </c>
      <c r="BE687" s="245">
        <f>BD691</f>
        <v/>
      </c>
      <c r="BF687" s="245">
        <f>BE691</f>
        <v/>
      </c>
      <c r="BG687" s="245">
        <f>BF691</f>
        <v/>
      </c>
      <c r="BH687" s="245">
        <f>BG691</f>
        <v/>
      </c>
      <c r="BI687" s="245">
        <f>BH691</f>
        <v/>
      </c>
      <c r="BJ687" s="245">
        <f>BI691</f>
        <v/>
      </c>
      <c r="BK687" s="245">
        <f>BJ691</f>
        <v/>
      </c>
      <c r="BL687" s="245">
        <f>BK691</f>
        <v/>
      </c>
      <c r="BM687" s="245">
        <f>BL691</f>
        <v/>
      </c>
      <c r="BN687" s="245">
        <f>BM691</f>
        <v/>
      </c>
      <c r="BO687" s="245">
        <f>BN691</f>
        <v/>
      </c>
      <c r="BP687" s="245">
        <f>BO691</f>
        <v/>
      </c>
      <c r="BQ687" s="245">
        <f>BP691</f>
        <v/>
      </c>
      <c r="BR687" s="245">
        <f>BQ691</f>
        <v/>
      </c>
      <c r="BS687" s="245">
        <f>BR691</f>
        <v/>
      </c>
      <c r="BT687" s="245">
        <f>BS691</f>
        <v/>
      </c>
      <c r="BU687" s="245">
        <f>BT691</f>
        <v/>
      </c>
      <c r="BV687" s="245">
        <f>BU691</f>
        <v/>
      </c>
      <c r="BW687" s="245">
        <f>BV691</f>
        <v/>
      </c>
      <c r="BX687" s="245">
        <f>BW691</f>
        <v/>
      </c>
      <c r="BY687" s="245">
        <f>BX691</f>
        <v/>
      </c>
      <c r="BZ687" s="245">
        <f>BY691</f>
        <v/>
      </c>
      <c r="CA687" s="245">
        <f>BZ691</f>
        <v/>
      </c>
    </row>
    <row r="688" ht="12" customHeight="1" s="227">
      <c r="A688" s="244" t="n"/>
      <c r="B688" s="244" t="n"/>
      <c r="C688" s="244" t="n"/>
      <c r="H688" s="0" t="inlineStr">
        <is>
          <t>Addition Amounts</t>
        </is>
      </c>
      <c r="I688" s="27">
        <f>i_Setup!$M$16</f>
        <v/>
      </c>
      <c r="K688" s="6" t="n"/>
      <c r="M688" s="245">
        <f>SUMIF($T$4:$CA$4,M$4,$T688:$CA688)</f>
        <v/>
      </c>
      <c r="N688" s="245">
        <f>SUMIF($T$4:$CA$4,N$4,$T688:$CA688)</f>
        <v/>
      </c>
      <c r="O688" s="245">
        <f>SUMIF($T$4:$CA$4,O$4,$T688:$CA688)</f>
        <v/>
      </c>
      <c r="P688" s="245">
        <f>SUMIF($T$4:$CA$4,P$4,$T688:$CA688)</f>
        <v/>
      </c>
      <c r="Q688" s="245">
        <f>SUMIF($T$4:$CA$4,Q$4,$T688:$CA688)</f>
        <v/>
      </c>
      <c r="T688" s="257">
        <f>IF(T$7="Actual","",T650)</f>
        <v/>
      </c>
      <c r="U688" s="257">
        <f>IF(U$7="Actual","",U650)</f>
        <v/>
      </c>
      <c r="V688" s="257">
        <f>IF(V$7="Actual","",V650)</f>
        <v/>
      </c>
      <c r="W688" s="257">
        <f>IF(W$7="Actual","",W650)</f>
        <v/>
      </c>
      <c r="X688" s="257">
        <f>IF(X$7="Actual","",X650)</f>
        <v/>
      </c>
      <c r="Y688" s="257">
        <f>IF(Y$7="Actual","",Y650)</f>
        <v/>
      </c>
      <c r="Z688" s="257">
        <f>IF(Z$7="Actual","",Z650)</f>
        <v/>
      </c>
      <c r="AA688" s="257">
        <f>IF(AA$7="Actual","",AA650)</f>
        <v/>
      </c>
      <c r="AB688" s="257">
        <f>IF(AB$7="Actual","",AB650)</f>
        <v/>
      </c>
      <c r="AC688" s="257">
        <f>IF(AC$7="Actual","",AC650)</f>
        <v/>
      </c>
      <c r="AD688" s="257">
        <f>IF(AD$7="Actual","",AD650)</f>
        <v/>
      </c>
      <c r="AE688" s="257">
        <f>IF(AE$7="Actual","",AE650)</f>
        <v/>
      </c>
      <c r="AF688" s="257">
        <f>IF(AF$7="Actual","",AF650)</f>
        <v/>
      </c>
      <c r="AG688" s="257">
        <f>IF(AG$7="Actual","",AG650)</f>
        <v/>
      </c>
      <c r="AH688" s="257">
        <f>IF(AH$7="Actual","",AH650)</f>
        <v/>
      </c>
      <c r="AI688" s="257">
        <f>IF(AI$7="Actual","",AI650)</f>
        <v/>
      </c>
      <c r="AJ688" s="257">
        <f>IF(AJ$7="Actual","",AJ650)</f>
        <v/>
      </c>
      <c r="AK688" s="257">
        <f>IF(AK$7="Actual","",AK650)</f>
        <v/>
      </c>
      <c r="AL688" s="257">
        <f>IF(AL$7="Actual","",AL650)</f>
        <v/>
      </c>
      <c r="AM688" s="257">
        <f>IF(AM$7="Actual","",AM650)</f>
        <v/>
      </c>
      <c r="AN688" s="257">
        <f>IF(AN$7="Actual","",AN650)</f>
        <v/>
      </c>
      <c r="AO688" s="257">
        <f>IF(AO$7="Actual","",AO650)</f>
        <v/>
      </c>
      <c r="AP688" s="257">
        <f>IF(AP$7="Actual","",AP650)</f>
        <v/>
      </c>
      <c r="AQ688" s="257">
        <f>IF(AQ$7="Actual","",AQ650)</f>
        <v/>
      </c>
      <c r="AR688" s="257">
        <f>IF(AR$7="Actual","",AR650)</f>
        <v/>
      </c>
      <c r="AS688" s="257">
        <f>IF(AS$7="Actual","",AS650)</f>
        <v/>
      </c>
      <c r="AT688" s="257">
        <f>IF(AT$7="Actual","",AT650)</f>
        <v/>
      </c>
      <c r="AU688" s="257">
        <f>IF(AU$7="Actual","",AU650)</f>
        <v/>
      </c>
      <c r="AV688" s="257">
        <f>IF(AV$7="Actual","",AV650)</f>
        <v/>
      </c>
      <c r="AW688" s="257">
        <f>IF(AW$7="Actual","",AW650)</f>
        <v/>
      </c>
      <c r="AX688" s="257">
        <f>IF(AX$7="Actual","",AX650)</f>
        <v/>
      </c>
      <c r="AY688" s="257">
        <f>IF(AY$7="Actual","",AY650)</f>
        <v/>
      </c>
      <c r="AZ688" s="257">
        <f>IF(AZ$7="Actual","",AZ650)</f>
        <v/>
      </c>
      <c r="BA688" s="257">
        <f>IF(BA$7="Actual","",BA650)</f>
        <v/>
      </c>
      <c r="BB688" s="257">
        <f>IF(BB$7="Actual","",BB650)</f>
        <v/>
      </c>
      <c r="BC688" s="257">
        <f>IF(BC$7="Actual","",BC650)</f>
        <v/>
      </c>
      <c r="BD688" s="257">
        <f>IF(BD$7="Actual","",BD650)</f>
        <v/>
      </c>
      <c r="BE688" s="257">
        <f>IF(BE$7="Actual","",BE650)</f>
        <v/>
      </c>
      <c r="BF688" s="257">
        <f>IF(BF$7="Actual","",BF650)</f>
        <v/>
      </c>
      <c r="BG688" s="257">
        <f>IF(BG$7="Actual","",BG650)</f>
        <v/>
      </c>
      <c r="BH688" s="257">
        <f>IF(BH$7="Actual","",BH650)</f>
        <v/>
      </c>
      <c r="BI688" s="257">
        <f>IF(BI$7="Actual","",BI650)</f>
        <v/>
      </c>
      <c r="BJ688" s="257">
        <f>IF(BJ$7="Actual","",BJ650)</f>
        <v/>
      </c>
      <c r="BK688" s="257">
        <f>IF(BK$7="Actual","",BK650)</f>
        <v/>
      </c>
      <c r="BL688" s="257">
        <f>IF(BL$7="Actual","",BL650)</f>
        <v/>
      </c>
      <c r="BM688" s="257">
        <f>IF(BM$7="Actual","",BM650)</f>
        <v/>
      </c>
      <c r="BN688" s="257">
        <f>IF(BN$7="Actual","",BN650)</f>
        <v/>
      </c>
      <c r="BO688" s="257">
        <f>IF(BO$7="Actual","",BO650)</f>
        <v/>
      </c>
      <c r="BP688" s="257">
        <f>IF(BP$7="Actual","",BP650)</f>
        <v/>
      </c>
      <c r="BQ688" s="257">
        <f>IF(BQ$7="Actual","",BQ650)</f>
        <v/>
      </c>
      <c r="BR688" s="257">
        <f>IF(BR$7="Actual","",BR650)</f>
        <v/>
      </c>
      <c r="BS688" s="257">
        <f>IF(BS$7="Actual","",BS650)</f>
        <v/>
      </c>
      <c r="BT688" s="257">
        <f>IF(BT$7="Actual","",BT650)</f>
        <v/>
      </c>
      <c r="BU688" s="257">
        <f>IF(BU$7="Actual","",BU650)</f>
        <v/>
      </c>
      <c r="BV688" s="257">
        <f>IF(BV$7="Actual","",BV650)</f>
        <v/>
      </c>
      <c r="BW688" s="257">
        <f>IF(BW$7="Actual","",BW650)</f>
        <v/>
      </c>
      <c r="BX688" s="257">
        <f>IF(BX$7="Actual","",BX650)</f>
        <v/>
      </c>
      <c r="BY688" s="257">
        <f>IF(BY$7="Actual","",BY650)</f>
        <v/>
      </c>
      <c r="BZ688" s="257">
        <f>IF(BZ$7="Actual","",BZ650)</f>
        <v/>
      </c>
      <c r="CA688" s="257">
        <f>IF(CA$7="Actual","",CA650)</f>
        <v/>
      </c>
    </row>
    <row r="689" ht="12" customHeight="1" s="227">
      <c r="A689" s="244" t="n"/>
      <c r="B689" s="244" t="n"/>
      <c r="C689" s="244" t="n"/>
      <c r="H689" s="0" t="inlineStr">
        <is>
          <t xml:space="preserve"> Depreciation - Opening Bal</t>
        </is>
      </c>
      <c r="I689" s="27">
        <f>i_Setup!$M$16</f>
        <v/>
      </c>
      <c r="K689" s="6" t="n"/>
      <c r="M689" s="245">
        <f>SUMIF($T$4:$CA$4,M$4,$T689:$CA689)</f>
        <v/>
      </c>
      <c r="N689" s="245">
        <f>SUMIF($T$4:$CA$4,N$4,$T689:$CA689)</f>
        <v/>
      </c>
      <c r="O689" s="245">
        <f>SUMIF($T$4:$CA$4,O$4,$T689:$CA689)</f>
        <v/>
      </c>
      <c r="P689" s="245">
        <f>SUMIF($T$4:$CA$4,P$4,$T689:$CA689)</f>
        <v/>
      </c>
      <c r="Q689" s="245">
        <f>SUMIF($T$4:$CA$4,Q$4,$T689:$CA689)</f>
        <v/>
      </c>
      <c r="T689" s="245">
        <f>IF(T$7="Actual","",IFERROR(-SUM(OFFSET(S685,0,0,1,-MIN(T$6,$K$682)))/$K$682,0))</f>
        <v/>
      </c>
      <c r="U689" s="245">
        <f>IF(U$7="Actual","",IFERROR(-SUM(OFFSET(T685,0,0,1,-MIN(U$6,$K$682)))/$K$682,0))</f>
        <v/>
      </c>
      <c r="V689" s="245">
        <f>IF(V$7="Actual","",IFERROR(-SUM(OFFSET(U685,0,0,1,-MIN(V$6,$K$682)))/$K$682,0))</f>
        <v/>
      </c>
      <c r="W689" s="245">
        <f>IF(W$7="Actual","",IFERROR(-SUM(OFFSET(V685,0,0,1,-MIN(W$6,$K$682)))/$K$682,0))</f>
        <v/>
      </c>
      <c r="X689" s="245">
        <f>IF(X$7="Actual","",IFERROR(-SUM(OFFSET(W685,0,0,1,-MIN(X$6,$K$682)))/$K$682,0))</f>
        <v/>
      </c>
      <c r="Y689" s="245">
        <f>IF(Y$7="Actual","",IFERROR(-SUM(OFFSET(X685,0,0,1,-MIN(Y$6,$K$682)))/$K$682,0))</f>
        <v/>
      </c>
      <c r="Z689" s="245">
        <f>IF(Z$7="Actual","",IFERROR(-SUM(OFFSET(Y685,0,0,1,-MIN(Z$6,$K$682)))/$K$682,0))</f>
        <v/>
      </c>
      <c r="AA689" s="245">
        <f>IF(AA$7="Actual","",IFERROR(-SUM(OFFSET(Z685,0,0,1,-MIN(AA$6,$K$682)))/$K$682,0))</f>
        <v/>
      </c>
      <c r="AB689" s="245">
        <f>IF(AB$7="Actual","",IFERROR(-SUM(OFFSET(AA685,0,0,1,-MIN(AB$6,$K$682)))/$K$682,0))</f>
        <v/>
      </c>
      <c r="AC689" s="245">
        <f>IF(AC$7="Actual","",IFERROR(-SUM(OFFSET(AB685,0,0,1,-MIN(AC$6,$K$682)))/$K$682,0))</f>
        <v/>
      </c>
      <c r="AD689" s="245">
        <f>IF(AD$7="Actual","",IFERROR(-SUM(OFFSET(AC685,0,0,1,-MIN(AD$6,$K$682)))/$K$682,0))</f>
        <v/>
      </c>
      <c r="AE689" s="245">
        <f>IF(AE$7="Actual","",IFERROR(-SUM(OFFSET(AD685,0,0,1,-MIN(AE$6,$K$682)))/$K$682,0))</f>
        <v/>
      </c>
      <c r="AF689" s="245">
        <f>IF(AF$7="Actual","",IFERROR(-SUM(OFFSET(AE685,0,0,1,-MIN(AF$6,$K$682)))/$K$682,0))</f>
        <v/>
      </c>
      <c r="AG689" s="245">
        <f>IF(AG$7="Actual","",IFERROR(-SUM(OFFSET(AF685,0,0,1,-MIN(AG$6,$K$682)))/$K$682,0))</f>
        <v/>
      </c>
      <c r="AH689" s="245">
        <f>IF(AH$7="Actual","",IFERROR(-SUM(OFFSET(AG685,0,0,1,-MIN(AH$6,$K$682)))/$K$682,0))</f>
        <v/>
      </c>
      <c r="AI689" s="245">
        <f>IF(AI$7="Actual","",IFERROR(-SUM(OFFSET(AH685,0,0,1,-MIN(AI$6,$K$682)))/$K$682,0))</f>
        <v/>
      </c>
      <c r="AJ689" s="245">
        <f>IF(AJ$7="Actual","",IFERROR(-SUM(OFFSET(AI685,0,0,1,-MIN(AJ$6,$K$682)))/$K$682,0))</f>
        <v/>
      </c>
      <c r="AK689" s="245">
        <f>IF(AK$7="Actual","",IFERROR(-SUM(OFFSET(AJ685,0,0,1,-MIN(AK$6,$K$682)))/$K$682,0))</f>
        <v/>
      </c>
      <c r="AL689" s="245">
        <f>IF(AL$7="Actual","",IFERROR(-SUM(OFFSET(AK685,0,0,1,-MIN(AL$6,$K$682)))/$K$682,0))</f>
        <v/>
      </c>
      <c r="AM689" s="245">
        <f>IF(AM$7="Actual","",IFERROR(-SUM(OFFSET(AL685,0,0,1,-MIN(AM$6,$K$682)))/$K$682,0))</f>
        <v/>
      </c>
      <c r="AN689" s="245">
        <f>IF(AN$7="Actual","",IFERROR(-SUM(OFFSET(AM685,0,0,1,-MIN(AN$6,$K$682)))/$K$682,0))</f>
        <v/>
      </c>
      <c r="AO689" s="245">
        <f>IF(AO$7="Actual","",IFERROR(-SUM(OFFSET(AN685,0,0,1,-MIN(AO$6,$K$682)))/$K$682,0))</f>
        <v/>
      </c>
      <c r="AP689" s="245">
        <f>IF(AP$7="Actual","",IFERROR(-SUM(OFFSET(AO685,0,0,1,-MIN(AP$6,$K$682)))/$K$682,0))</f>
        <v/>
      </c>
      <c r="AQ689" s="245">
        <f>IF(AQ$7="Actual","",IFERROR(-SUM(OFFSET(AP685,0,0,1,-MIN(AQ$6,$K$682)))/$K$682,0))</f>
        <v/>
      </c>
      <c r="AR689" s="245">
        <f>IF(AR$7="Actual","",IFERROR(-SUM(OFFSET(AQ685,0,0,1,-MIN(AR$6,$K$682)))/$K$682,0))</f>
        <v/>
      </c>
      <c r="AS689" s="245">
        <f>IF(AS$7="Actual","",IFERROR(-SUM(OFFSET(AR685,0,0,1,-MIN(AS$6,$K$682)))/$K$682,0))</f>
        <v/>
      </c>
      <c r="AT689" s="245">
        <f>IF(AT$7="Actual","",IFERROR(-SUM(OFFSET(AS685,0,0,1,-MIN(AT$6,$K$682)))/$K$682,0))</f>
        <v/>
      </c>
      <c r="AU689" s="245">
        <f>IF(AU$7="Actual","",IFERROR(-SUM(OFFSET(AT685,0,0,1,-MIN(AU$6,$K$682)))/$K$682,0))</f>
        <v/>
      </c>
      <c r="AV689" s="245">
        <f>IF(AV$7="Actual","",IFERROR(-SUM(OFFSET(AU685,0,0,1,-MIN(AV$6,$K$682)))/$K$682,0))</f>
        <v/>
      </c>
      <c r="AW689" s="245">
        <f>IF(AW$7="Actual","",IFERROR(-SUM(OFFSET(AV685,0,0,1,-MIN(AW$6,$K$682)))/$K$682,0))</f>
        <v/>
      </c>
      <c r="AX689" s="245">
        <f>IF(AX$7="Actual","",IFERROR(-SUM(OFFSET(AW685,0,0,1,-MIN(AX$6,$K$682)))/$K$682,0))</f>
        <v/>
      </c>
      <c r="AY689" s="245">
        <f>IF(AY$7="Actual","",IFERROR(-SUM(OFFSET(AX685,0,0,1,-MIN(AY$6,$K$682)))/$K$682,0))</f>
        <v/>
      </c>
      <c r="AZ689" s="245">
        <f>IF(AZ$7="Actual","",IFERROR(-SUM(OFFSET(AY685,0,0,1,-MIN(AZ$6,$K$682)))/$K$682,0))</f>
        <v/>
      </c>
      <c r="BA689" s="245">
        <f>IF(BA$7="Actual","",IFERROR(-SUM(OFFSET(AZ685,0,0,1,-MIN(BA$6,$K$682)))/$K$682,0))</f>
        <v/>
      </c>
      <c r="BB689" s="245">
        <f>IF(BB$7="Actual","",IFERROR(-SUM(OFFSET(BA685,0,0,1,-MIN(BB$6,$K$682)))/$K$682,0))</f>
        <v/>
      </c>
      <c r="BC689" s="245">
        <f>IF(BC$7="Actual","",IFERROR(-SUM(OFFSET(BB685,0,0,1,-MIN(BC$6,$K$682)))/$K$682,0))</f>
        <v/>
      </c>
      <c r="BD689" s="245">
        <f>IF(BD$7="Actual","",IFERROR(-SUM(OFFSET(BC685,0,0,1,-MIN(BD$6,$K$682)))/$K$682,0))</f>
        <v/>
      </c>
      <c r="BE689" s="245">
        <f>IF(BE$7="Actual","",IFERROR(-SUM(OFFSET(BD685,0,0,1,-MIN(BE$6,$K$682)))/$K$682,0))</f>
        <v/>
      </c>
      <c r="BF689" s="245">
        <f>IF(BF$7="Actual","",IFERROR(-SUM(OFFSET(BE685,0,0,1,-MIN(BF$6,$K$682)))/$K$682,0))</f>
        <v/>
      </c>
      <c r="BG689" s="245">
        <f>IF(BG$7="Actual","",IFERROR(-SUM(OFFSET(BF685,0,0,1,-MIN(BG$6,$K$682)))/$K$682,0))</f>
        <v/>
      </c>
      <c r="BH689" s="245">
        <f>IF(BH$7="Actual","",IFERROR(-SUM(OFFSET(BG685,0,0,1,-MIN(BH$6,$K$682)))/$K$682,0))</f>
        <v/>
      </c>
      <c r="BI689" s="245">
        <f>IF(BI$7="Actual","",IFERROR(-SUM(OFFSET(BH685,0,0,1,-MIN(BI$6,$K$682)))/$K$682,0))</f>
        <v/>
      </c>
      <c r="BJ689" s="245">
        <f>IF(BJ$7="Actual","",IFERROR(-SUM(OFFSET(BI685,0,0,1,-MIN(BJ$6,$K$682)))/$K$682,0))</f>
        <v/>
      </c>
      <c r="BK689" s="245">
        <f>IF(BK$7="Actual","",IFERROR(-SUM(OFFSET(BJ685,0,0,1,-MIN(BK$6,$K$682)))/$K$682,0))</f>
        <v/>
      </c>
      <c r="BL689" s="245">
        <f>IF(BL$7="Actual","",IFERROR(-SUM(OFFSET(BK685,0,0,1,-MIN(BL$6,$K$682)))/$K$682,0))</f>
        <v/>
      </c>
      <c r="BM689" s="245">
        <f>IF(BM$7="Actual","",IFERROR(-SUM(OFFSET(BL685,0,0,1,-MIN(BM$6,$K$682)))/$K$682,0))</f>
        <v/>
      </c>
      <c r="BN689" s="245">
        <f>IF(BN$7="Actual","",IFERROR(-SUM(OFFSET(BM685,0,0,1,-MIN(BN$6,$K$682)))/$K$682,0))</f>
        <v/>
      </c>
      <c r="BO689" s="245">
        <f>IF(BO$7="Actual","",IFERROR(-SUM(OFFSET(BN685,0,0,1,-MIN(BO$6,$K$682)))/$K$682,0))</f>
        <v/>
      </c>
      <c r="BP689" s="245">
        <f>IF(BP$7="Actual","",IFERROR(-SUM(OFFSET(BO685,0,0,1,-MIN(BP$6,$K$682)))/$K$682,0))</f>
        <v/>
      </c>
      <c r="BQ689" s="245">
        <f>IF(BQ$7="Actual","",IFERROR(-SUM(OFFSET(BP685,0,0,1,-MIN(BQ$6,$K$682)))/$K$682,0))</f>
        <v/>
      </c>
      <c r="BR689" s="245">
        <f>IF(BR$7="Actual","",IFERROR(-SUM(OFFSET(BQ685,0,0,1,-MIN(BR$6,$K$682)))/$K$682,0))</f>
        <v/>
      </c>
      <c r="BS689" s="245">
        <f>IF(BS$7="Actual","",IFERROR(-SUM(OFFSET(BR685,0,0,1,-MIN(BS$6,$K$682)))/$K$682,0))</f>
        <v/>
      </c>
      <c r="BT689" s="245">
        <f>IF(BT$7="Actual","",IFERROR(-SUM(OFFSET(BS685,0,0,1,-MIN(BT$6,$K$682)))/$K$682,0))</f>
        <v/>
      </c>
      <c r="BU689" s="245">
        <f>IF(BU$7="Actual","",IFERROR(-SUM(OFFSET(BT685,0,0,1,-MIN(BU$6,$K$682)))/$K$682,0))</f>
        <v/>
      </c>
      <c r="BV689" s="245">
        <f>IF(BV$7="Actual","",IFERROR(-SUM(OFFSET(BU685,0,0,1,-MIN(BV$6,$K$682)))/$K$682,0))</f>
        <v/>
      </c>
      <c r="BW689" s="245">
        <f>IF(BW$7="Actual","",IFERROR(-SUM(OFFSET(BV685,0,0,1,-MIN(BW$6,$K$682)))/$K$682,0))</f>
        <v/>
      </c>
      <c r="BX689" s="245">
        <f>IF(BX$7="Actual","",IFERROR(-SUM(OFFSET(BW685,0,0,1,-MIN(BX$6,$K$682)))/$K$682,0))</f>
        <v/>
      </c>
      <c r="BY689" s="245">
        <f>IF(BY$7="Actual","",IFERROR(-SUM(OFFSET(BX685,0,0,1,-MIN(BY$6,$K$682)))/$K$682,0))</f>
        <v/>
      </c>
      <c r="BZ689" s="245">
        <f>IF(BZ$7="Actual","",IFERROR(-SUM(OFFSET(BY685,0,0,1,-MIN(BZ$6,$K$682)))/$K$682,0))</f>
        <v/>
      </c>
      <c r="CA689" s="245">
        <f>IF(CA$7="Actual","",IFERROR(-SUM(OFFSET(BZ685,0,0,1,-MIN(CA$6,$K$682)))/$K$682,0))</f>
        <v/>
      </c>
    </row>
    <row r="690" ht="12" customHeight="1" s="227">
      <c r="A690" s="244" t="n"/>
      <c r="B690" s="244" t="n"/>
      <c r="C690" s="244" t="n"/>
      <c r="H690" s="0" t="inlineStr">
        <is>
          <t xml:space="preserve"> Depreciation - Additions</t>
        </is>
      </c>
      <c r="I690" s="27">
        <f>i_Setup!$M$16</f>
        <v/>
      </c>
      <c r="K690" s="6" t="n"/>
      <c r="M690" s="245">
        <f>SUMIF($T$4:$CA$4,M$4,$T690:$CA690)</f>
        <v/>
      </c>
      <c r="N690" s="245">
        <f>SUMIF($T$4:$CA$4,N$4,$T690:$CA690)</f>
        <v/>
      </c>
      <c r="O690" s="245">
        <f>SUMIF($T$4:$CA$4,O$4,$T690:$CA690)</f>
        <v/>
      </c>
      <c r="P690" s="245">
        <f>SUMIF($T$4:$CA$4,P$4,$T690:$CA690)</f>
        <v/>
      </c>
      <c r="Q690" s="245">
        <f>SUMIF($T$4:$CA$4,Q$4,$T690:$CA690)</f>
        <v/>
      </c>
      <c r="T690" s="245">
        <f>IF(T$7="Actual","",IFERROR(-SUM(OFFSET(S688,0,0,1,-MIN(T$6,$K$683)))/$K$683,0))</f>
        <v/>
      </c>
      <c r="U690" s="245">
        <f>IF(U$7="Actual","",IFERROR(-SUM(OFFSET(T688,0,0,1,-MIN(U$6,$K$683)))/$K$683,0))</f>
        <v/>
      </c>
      <c r="V690" s="245">
        <f>IF(V$7="Actual","",IFERROR(-SUM(OFFSET(U688,0,0,1,-MIN(V$6,$K$683)))/$K$683,0))</f>
        <v/>
      </c>
      <c r="W690" s="245">
        <f>IF(W$7="Actual","",IFERROR(-SUM(OFFSET(V688,0,0,1,-MIN(W$6,$K$683)))/$K$683,0))</f>
        <v/>
      </c>
      <c r="X690" s="245">
        <f>IF(X$7="Actual","",IFERROR(-SUM(OFFSET(W688,0,0,1,-MIN(X$6,$K$683)))/$K$683,0))</f>
        <v/>
      </c>
      <c r="Y690" s="245">
        <f>IF(Y$7="Actual","",IFERROR(-SUM(OFFSET(X688,0,0,1,-MIN(Y$6,$K$683)))/$K$683,0))</f>
        <v/>
      </c>
      <c r="Z690" s="245">
        <f>IF(Z$7="Actual","",IFERROR(-SUM(OFFSET(Y688,0,0,1,-MIN(Z$6,$K$683)))/$K$683,0))</f>
        <v/>
      </c>
      <c r="AA690" s="245">
        <f>IF(AA$7="Actual","",IFERROR(-SUM(OFFSET(Z688,0,0,1,-MIN(AA$6,$K$683)))/$K$683,0))</f>
        <v/>
      </c>
      <c r="AB690" s="245">
        <f>IF(AB$7="Actual","",IFERROR(-SUM(OFFSET(AA688,0,0,1,-MIN(AB$6,$K$683)))/$K$683,0))</f>
        <v/>
      </c>
      <c r="AC690" s="245">
        <f>IF(AC$7="Actual","",IFERROR(-SUM(OFFSET(AB688,0,0,1,-MIN(AC$6,$K$683)))/$K$683,0))</f>
        <v/>
      </c>
      <c r="AD690" s="245">
        <f>IF(AD$7="Actual","",IFERROR(-SUM(OFFSET(AC688,0,0,1,-MIN(AD$6,$K$683)))/$K$683,0))</f>
        <v/>
      </c>
      <c r="AE690" s="245">
        <f>IF(AE$7="Actual","",IFERROR(-SUM(OFFSET(AD688,0,0,1,-MIN(AE$6,$K$683)))/$K$683,0))</f>
        <v/>
      </c>
      <c r="AF690" s="245">
        <f>IF(AF$7="Actual","",IFERROR(-SUM(OFFSET(AE688,0,0,1,-MIN(AF$6,$K$683)))/$K$683,0))</f>
        <v/>
      </c>
      <c r="AG690" s="245">
        <f>IF(AG$7="Actual","",IFERROR(-SUM(OFFSET(AF688,0,0,1,-MIN(AG$6,$K$683)))/$K$683,0))</f>
        <v/>
      </c>
      <c r="AH690" s="245">
        <f>IF(AH$7="Actual","",IFERROR(-SUM(OFFSET(AG688,0,0,1,-MIN(AH$6,$K$683)))/$K$683,0))</f>
        <v/>
      </c>
      <c r="AI690" s="245">
        <f>IF(AI$7="Actual","",IFERROR(-SUM(OFFSET(AH688,0,0,1,-MIN(AI$6,$K$683)))/$K$683,0))</f>
        <v/>
      </c>
      <c r="AJ690" s="245">
        <f>IF(AJ$7="Actual","",IFERROR(-SUM(OFFSET(AI688,0,0,1,-MIN(AJ$6,$K$683)))/$K$683,0))</f>
        <v/>
      </c>
      <c r="AK690" s="245">
        <f>IF(AK$7="Actual","",IFERROR(-SUM(OFFSET(AJ688,0,0,1,-MIN(AK$6,$K$683)))/$K$683,0))</f>
        <v/>
      </c>
      <c r="AL690" s="245">
        <f>IF(AL$7="Actual","",IFERROR(-SUM(OFFSET(AK688,0,0,1,-MIN(AL$6,$K$683)))/$K$683,0))</f>
        <v/>
      </c>
      <c r="AM690" s="245">
        <f>IF(AM$7="Actual","",IFERROR(-SUM(OFFSET(AL688,0,0,1,-MIN(AM$6,$K$683)))/$K$683,0))</f>
        <v/>
      </c>
      <c r="AN690" s="245">
        <f>IF(AN$7="Actual","",IFERROR(-SUM(OFFSET(AM688,0,0,1,-MIN(AN$6,$K$683)))/$K$683,0))</f>
        <v/>
      </c>
      <c r="AO690" s="245">
        <f>IF(AO$7="Actual","",IFERROR(-SUM(OFFSET(AN688,0,0,1,-MIN(AO$6,$K$683)))/$K$683,0))</f>
        <v/>
      </c>
      <c r="AP690" s="245">
        <f>IF(AP$7="Actual","",IFERROR(-SUM(OFFSET(AO688,0,0,1,-MIN(AP$6,$K$683)))/$K$683,0))</f>
        <v/>
      </c>
      <c r="AQ690" s="245">
        <f>IF(AQ$7="Actual","",IFERROR(-SUM(OFFSET(AP688,0,0,1,-MIN(AQ$6,$K$683)))/$K$683,0))</f>
        <v/>
      </c>
      <c r="AR690" s="245">
        <f>IF(AR$7="Actual","",IFERROR(-SUM(OFFSET(AQ688,0,0,1,-MIN(AR$6,$K$683)))/$K$683,0))</f>
        <v/>
      </c>
      <c r="AS690" s="245">
        <f>IF(AS$7="Actual","",IFERROR(-SUM(OFFSET(AR688,0,0,1,-MIN(AS$6,$K$683)))/$K$683,0))</f>
        <v/>
      </c>
      <c r="AT690" s="245">
        <f>IF(AT$7="Actual","",IFERROR(-SUM(OFFSET(AS688,0,0,1,-MIN(AT$6,$K$683)))/$K$683,0))</f>
        <v/>
      </c>
      <c r="AU690" s="245">
        <f>IF(AU$7="Actual","",IFERROR(-SUM(OFFSET(AT688,0,0,1,-MIN(AU$6,$K$683)))/$K$683,0))</f>
        <v/>
      </c>
      <c r="AV690" s="245">
        <f>IF(AV$7="Actual","",IFERROR(-SUM(OFFSET(AU688,0,0,1,-MIN(AV$6,$K$683)))/$K$683,0))</f>
        <v/>
      </c>
      <c r="AW690" s="245">
        <f>IF(AW$7="Actual","",IFERROR(-SUM(OFFSET(AV688,0,0,1,-MIN(AW$6,$K$683)))/$K$683,0))</f>
        <v/>
      </c>
      <c r="AX690" s="245">
        <f>IF(AX$7="Actual","",IFERROR(-SUM(OFFSET(AW688,0,0,1,-MIN(AX$6,$K$683)))/$K$683,0))</f>
        <v/>
      </c>
      <c r="AY690" s="245">
        <f>IF(AY$7="Actual","",IFERROR(-SUM(OFFSET(AX688,0,0,1,-MIN(AY$6,$K$683)))/$K$683,0))</f>
        <v/>
      </c>
      <c r="AZ690" s="245">
        <f>IF(AZ$7="Actual","",IFERROR(-SUM(OFFSET(AY688,0,0,1,-MIN(AZ$6,$K$683)))/$K$683,0))</f>
        <v/>
      </c>
      <c r="BA690" s="245">
        <f>IF(BA$7="Actual","",IFERROR(-SUM(OFFSET(AZ688,0,0,1,-MIN(BA$6,$K$683)))/$K$683,0))</f>
        <v/>
      </c>
      <c r="BB690" s="245">
        <f>IF(BB$7="Actual","",IFERROR(-SUM(OFFSET(BA688,0,0,1,-MIN(BB$6,$K$683)))/$K$683,0))</f>
        <v/>
      </c>
      <c r="BC690" s="245">
        <f>IF(BC$7="Actual","",IFERROR(-SUM(OFFSET(BB688,0,0,1,-MIN(BC$6,$K$683)))/$K$683,0))</f>
        <v/>
      </c>
      <c r="BD690" s="245">
        <f>IF(BD$7="Actual","",IFERROR(-SUM(OFFSET(BC688,0,0,1,-MIN(BD$6,$K$683)))/$K$683,0))</f>
        <v/>
      </c>
      <c r="BE690" s="245">
        <f>IF(BE$7="Actual","",IFERROR(-SUM(OFFSET(BD688,0,0,1,-MIN(BE$6,$K$683)))/$K$683,0))</f>
        <v/>
      </c>
      <c r="BF690" s="245">
        <f>IF(BF$7="Actual","",IFERROR(-SUM(OFFSET(BE688,0,0,1,-MIN(BF$6,$K$683)))/$K$683,0))</f>
        <v/>
      </c>
      <c r="BG690" s="245">
        <f>IF(BG$7="Actual","",IFERROR(-SUM(OFFSET(BF688,0,0,1,-MIN(BG$6,$K$683)))/$K$683,0))</f>
        <v/>
      </c>
      <c r="BH690" s="245">
        <f>IF(BH$7="Actual","",IFERROR(-SUM(OFFSET(BG688,0,0,1,-MIN(BH$6,$K$683)))/$K$683,0))</f>
        <v/>
      </c>
      <c r="BI690" s="245">
        <f>IF(BI$7="Actual","",IFERROR(-SUM(OFFSET(BH688,0,0,1,-MIN(BI$6,$K$683)))/$K$683,0))</f>
        <v/>
      </c>
      <c r="BJ690" s="245">
        <f>IF(BJ$7="Actual","",IFERROR(-SUM(OFFSET(BI688,0,0,1,-MIN(BJ$6,$K$683)))/$K$683,0))</f>
        <v/>
      </c>
      <c r="BK690" s="245">
        <f>IF(BK$7="Actual","",IFERROR(-SUM(OFFSET(BJ688,0,0,1,-MIN(BK$6,$K$683)))/$K$683,0))</f>
        <v/>
      </c>
      <c r="BL690" s="245">
        <f>IF(BL$7="Actual","",IFERROR(-SUM(OFFSET(BK688,0,0,1,-MIN(BL$6,$K$683)))/$K$683,0))</f>
        <v/>
      </c>
      <c r="BM690" s="245">
        <f>IF(BM$7="Actual","",IFERROR(-SUM(OFFSET(BL688,0,0,1,-MIN(BM$6,$K$683)))/$K$683,0))</f>
        <v/>
      </c>
      <c r="BN690" s="245">
        <f>IF(BN$7="Actual","",IFERROR(-SUM(OFFSET(BM688,0,0,1,-MIN(BN$6,$K$683)))/$K$683,0))</f>
        <v/>
      </c>
      <c r="BO690" s="245">
        <f>IF(BO$7="Actual","",IFERROR(-SUM(OFFSET(BN688,0,0,1,-MIN(BO$6,$K$683)))/$K$683,0))</f>
        <v/>
      </c>
      <c r="BP690" s="245">
        <f>IF(BP$7="Actual","",IFERROR(-SUM(OFFSET(BO688,0,0,1,-MIN(BP$6,$K$683)))/$K$683,0))</f>
        <v/>
      </c>
      <c r="BQ690" s="245">
        <f>IF(BQ$7="Actual","",IFERROR(-SUM(OFFSET(BP688,0,0,1,-MIN(BQ$6,$K$683)))/$K$683,0))</f>
        <v/>
      </c>
      <c r="BR690" s="245">
        <f>IF(BR$7="Actual","",IFERROR(-SUM(OFFSET(BQ688,0,0,1,-MIN(BR$6,$K$683)))/$K$683,0))</f>
        <v/>
      </c>
      <c r="BS690" s="245">
        <f>IF(BS$7="Actual","",IFERROR(-SUM(OFFSET(BR688,0,0,1,-MIN(BS$6,$K$683)))/$K$683,0))</f>
        <v/>
      </c>
      <c r="BT690" s="245">
        <f>IF(BT$7="Actual","",IFERROR(-SUM(OFFSET(BS688,0,0,1,-MIN(BT$6,$K$683)))/$K$683,0))</f>
        <v/>
      </c>
      <c r="BU690" s="245">
        <f>IF(BU$7="Actual","",IFERROR(-SUM(OFFSET(BT688,0,0,1,-MIN(BU$6,$K$683)))/$K$683,0))</f>
        <v/>
      </c>
      <c r="BV690" s="245">
        <f>IF(BV$7="Actual","",IFERROR(-SUM(OFFSET(BU688,0,0,1,-MIN(BV$6,$K$683)))/$K$683,0))</f>
        <v/>
      </c>
      <c r="BW690" s="245">
        <f>IF(BW$7="Actual","",IFERROR(-SUM(OFFSET(BV688,0,0,1,-MIN(BW$6,$K$683)))/$K$683,0))</f>
        <v/>
      </c>
      <c r="BX690" s="245">
        <f>IF(BX$7="Actual","",IFERROR(-SUM(OFFSET(BW688,0,0,1,-MIN(BX$6,$K$683)))/$K$683,0))</f>
        <v/>
      </c>
      <c r="BY690" s="245">
        <f>IF(BY$7="Actual","",IFERROR(-SUM(OFFSET(BX688,0,0,1,-MIN(BY$6,$K$683)))/$K$683,0))</f>
        <v/>
      </c>
      <c r="BZ690" s="245">
        <f>IF(BZ$7="Actual","",IFERROR(-SUM(OFFSET(BY688,0,0,1,-MIN(BZ$6,$K$683)))/$K$683,0))</f>
        <v/>
      </c>
      <c r="CA690" s="245">
        <f>IF(CA$7="Actual","",IFERROR(-SUM(OFFSET(BZ688,0,0,1,-MIN(CA$6,$K$683)))/$K$683,0))</f>
        <v/>
      </c>
    </row>
    <row r="691" ht="12" customHeight="1" s="227" thickBot="1">
      <c r="A691" s="244" t="n"/>
      <c r="B691" s="244" t="n"/>
      <c r="C691" s="244" t="n"/>
      <c r="H691" s="42" t="inlineStr">
        <is>
          <t>Closing Balance</t>
        </is>
      </c>
      <c r="I691" s="43">
        <f>i_Setup!$M$16</f>
        <v/>
      </c>
      <c r="K691" s="6" t="n"/>
      <c r="M691" s="264">
        <f>SUMIF($T$2:$CA$2,M$2,$T691:$CA691)</f>
        <v/>
      </c>
      <c r="N691" s="264">
        <f>SUMIF($T$2:$CA$2,N$2,$T691:$CA691)</f>
        <v/>
      </c>
      <c r="O691" s="264">
        <f>SUMIF($T$2:$CA$2,O$2,$T691:$CA691)</f>
        <v/>
      </c>
      <c r="P691" s="264">
        <f>SUMIF($T$2:$CA$2,P$2,$T691:$CA691)</f>
        <v/>
      </c>
      <c r="Q691" s="264">
        <f>SUMIF($T$2:$CA$2,Q$2,$T691:$CA691)</f>
        <v/>
      </c>
      <c r="T691" s="264">
        <f>IF(T$7="Actual",i_Actuals!T110,SUM(T687:T690))</f>
        <v/>
      </c>
      <c r="U691" s="264">
        <f>IF(U$7="Actual",i_Actuals!U110,SUM(U687:U690))</f>
        <v/>
      </c>
      <c r="V691" s="264">
        <f>IF(V$7="Actual",i_Actuals!V110,SUM(V687:V690))</f>
        <v/>
      </c>
      <c r="W691" s="264">
        <f>IF(W$7="Actual",i_Actuals!W110,SUM(W687:W690))</f>
        <v/>
      </c>
      <c r="X691" s="264">
        <f>IF(X$7="Actual",i_Actuals!X110,SUM(X687:X690))</f>
        <v/>
      </c>
      <c r="Y691" s="264">
        <f>IF(Y$7="Actual",i_Actuals!Y110,SUM(Y687:Y690))</f>
        <v/>
      </c>
      <c r="Z691" s="264">
        <f>IF(Z$7="Actual",i_Actuals!Z110,SUM(Z687:Z690))</f>
        <v/>
      </c>
      <c r="AA691" s="264">
        <f>IF(AA$7="Actual",i_Actuals!AA110,SUM(AA687:AA690))</f>
        <v/>
      </c>
      <c r="AB691" s="264">
        <f>IF(AB$7="Actual",i_Actuals!AB110,SUM(AB687:AB690))</f>
        <v/>
      </c>
      <c r="AC691" s="264">
        <f>IF(AC$7="Actual",i_Actuals!AC110,SUM(AC687:AC690))</f>
        <v/>
      </c>
      <c r="AD691" s="264">
        <f>IF(AD$7="Actual",i_Actuals!AD110,SUM(AD687:AD690))</f>
        <v/>
      </c>
      <c r="AE691" s="264">
        <f>IF(AE$7="Actual",i_Actuals!AE110,SUM(AE687:AE690))</f>
        <v/>
      </c>
      <c r="AF691" s="264">
        <f>IF(AF$7="Actual",i_Actuals!AF110,SUM(AF687:AF690))</f>
        <v/>
      </c>
      <c r="AG691" s="264">
        <f>IF(AG$7="Actual",i_Actuals!AG110,SUM(AG687:AG690))</f>
        <v/>
      </c>
      <c r="AH691" s="264">
        <f>IF(AH$7="Actual",i_Actuals!AH110,SUM(AH687:AH690))</f>
        <v/>
      </c>
      <c r="AI691" s="264">
        <f>IF(AI$7="Actual",i_Actuals!AI110,SUM(AI687:AI690))</f>
        <v/>
      </c>
      <c r="AJ691" s="264">
        <f>IF(AJ$7="Actual",i_Actuals!AJ110,SUM(AJ687:AJ690))</f>
        <v/>
      </c>
      <c r="AK691" s="264">
        <f>IF(AK$7="Actual",i_Actuals!AK110,SUM(AK687:AK690))</f>
        <v/>
      </c>
      <c r="AL691" s="264">
        <f>IF(AL$7="Actual",i_Actuals!AL110,SUM(AL687:AL690))</f>
        <v/>
      </c>
      <c r="AM691" s="264">
        <f>IF(AM$7="Actual",i_Actuals!AM110,SUM(AM687:AM690))</f>
        <v/>
      </c>
      <c r="AN691" s="264">
        <f>IF(AN$7="Actual",i_Actuals!AN110,SUM(AN687:AN690))</f>
        <v/>
      </c>
      <c r="AO691" s="264">
        <f>IF(AO$7="Actual",i_Actuals!AO110,SUM(AO687:AO690))</f>
        <v/>
      </c>
      <c r="AP691" s="264">
        <f>IF(AP$7="Actual",i_Actuals!AP110,SUM(AP687:AP690))</f>
        <v/>
      </c>
      <c r="AQ691" s="264">
        <f>IF(AQ$7="Actual",i_Actuals!AQ110,SUM(AQ687:AQ690))</f>
        <v/>
      </c>
      <c r="AR691" s="264">
        <f>IF(AR$7="Actual",i_Actuals!AR110,SUM(AR687:AR690))</f>
        <v/>
      </c>
      <c r="AS691" s="264">
        <f>IF(AS$7="Actual",i_Actuals!AS110,SUM(AS687:AS690))</f>
        <v/>
      </c>
      <c r="AT691" s="264">
        <f>IF(AT$7="Actual",i_Actuals!AT110,SUM(AT687:AT690))</f>
        <v/>
      </c>
      <c r="AU691" s="264">
        <f>IF(AU$7="Actual",i_Actuals!AU110,SUM(AU687:AU690))</f>
        <v/>
      </c>
      <c r="AV691" s="264">
        <f>IF(AV$7="Actual",i_Actuals!AV110,SUM(AV687:AV690))</f>
        <v/>
      </c>
      <c r="AW691" s="264">
        <f>IF(AW$7="Actual",i_Actuals!AW110,SUM(AW687:AW690))</f>
        <v/>
      </c>
      <c r="AX691" s="264">
        <f>IF(AX$7="Actual",i_Actuals!AX110,SUM(AX687:AX690))</f>
        <v/>
      </c>
      <c r="AY691" s="264">
        <f>IF(AY$7="Actual",i_Actuals!AY110,SUM(AY687:AY690))</f>
        <v/>
      </c>
      <c r="AZ691" s="264">
        <f>IF(AZ$7="Actual",i_Actuals!AZ110,SUM(AZ687:AZ690))</f>
        <v/>
      </c>
      <c r="BA691" s="264">
        <f>IF(BA$7="Actual",i_Actuals!BA110,SUM(BA687:BA690))</f>
        <v/>
      </c>
      <c r="BB691" s="264">
        <f>IF(BB$7="Actual",i_Actuals!BB110,SUM(BB687:BB690))</f>
        <v/>
      </c>
      <c r="BC691" s="264">
        <f>IF(BC$7="Actual",i_Actuals!BC110,SUM(BC687:BC690))</f>
        <v/>
      </c>
      <c r="BD691" s="264">
        <f>IF(BD$7="Actual",i_Actuals!BD110,SUM(BD687:BD690))</f>
        <v/>
      </c>
      <c r="BE691" s="264">
        <f>IF(BE$7="Actual",i_Actuals!BE110,SUM(BE687:BE690))</f>
        <v/>
      </c>
      <c r="BF691" s="264">
        <f>IF(BF$7="Actual",i_Actuals!BF110,SUM(BF687:BF690))</f>
        <v/>
      </c>
      <c r="BG691" s="264">
        <f>IF(BG$7="Actual",i_Actuals!BG110,SUM(BG687:BG690))</f>
        <v/>
      </c>
      <c r="BH691" s="264">
        <f>IF(BH$7="Actual",i_Actuals!BH110,SUM(BH687:BH690))</f>
        <v/>
      </c>
      <c r="BI691" s="264">
        <f>IF(BI$7="Actual",i_Actuals!BI110,SUM(BI687:BI690))</f>
        <v/>
      </c>
      <c r="BJ691" s="264">
        <f>IF(BJ$7="Actual",i_Actuals!BJ110,SUM(BJ687:BJ690))</f>
        <v/>
      </c>
      <c r="BK691" s="264">
        <f>IF(BK$7="Actual",i_Actuals!BK110,SUM(BK687:BK690))</f>
        <v/>
      </c>
      <c r="BL691" s="264">
        <f>IF(BL$7="Actual",i_Actuals!BL110,SUM(BL687:BL690))</f>
        <v/>
      </c>
      <c r="BM691" s="264">
        <f>IF(BM$7="Actual",i_Actuals!BM110,SUM(BM687:BM690))</f>
        <v/>
      </c>
      <c r="BN691" s="264">
        <f>IF(BN$7="Actual",i_Actuals!BN110,SUM(BN687:BN690))</f>
        <v/>
      </c>
      <c r="BO691" s="264">
        <f>IF(BO$7="Actual",i_Actuals!BO110,SUM(BO687:BO690))</f>
        <v/>
      </c>
      <c r="BP691" s="264">
        <f>IF(BP$7="Actual",i_Actuals!BP110,SUM(BP687:BP690))</f>
        <v/>
      </c>
      <c r="BQ691" s="264">
        <f>IF(BQ$7="Actual",i_Actuals!BQ110,SUM(BQ687:BQ690))</f>
        <v/>
      </c>
      <c r="BR691" s="264">
        <f>IF(BR$7="Actual",i_Actuals!BR110,SUM(BR687:BR690))</f>
        <v/>
      </c>
      <c r="BS691" s="264">
        <f>IF(BS$7="Actual",i_Actuals!BS110,SUM(BS687:BS690))</f>
        <v/>
      </c>
      <c r="BT691" s="264">
        <f>IF(BT$7="Actual",i_Actuals!BT110,SUM(BT687:BT690))</f>
        <v/>
      </c>
      <c r="BU691" s="264">
        <f>IF(BU$7="Actual",i_Actuals!BU110,SUM(BU687:BU690))</f>
        <v/>
      </c>
      <c r="BV691" s="264">
        <f>IF(BV$7="Actual",i_Actuals!BV110,SUM(BV687:BV690))</f>
        <v/>
      </c>
      <c r="BW691" s="264">
        <f>IF(BW$7="Actual",i_Actuals!BW110,SUM(BW687:BW690))</f>
        <v/>
      </c>
      <c r="BX691" s="264">
        <f>IF(BX$7="Actual",i_Actuals!BX110,SUM(BX687:BX690))</f>
        <v/>
      </c>
      <c r="BY691" s="264">
        <f>IF(BY$7="Actual",i_Actuals!BY110,SUM(BY687:BY690))</f>
        <v/>
      </c>
      <c r="BZ691" s="264">
        <f>IF(BZ$7="Actual",i_Actuals!BZ110,SUM(BZ687:BZ690))</f>
        <v/>
      </c>
      <c r="CA691" s="264">
        <f>IF(CA$7="Actual",i_Actuals!CA110,SUM(CA687:CA690))</f>
        <v/>
      </c>
    </row>
    <row r="692" ht="12" customHeight="1" s="227">
      <c r="A692" s="244" t="n"/>
      <c r="B692" s="244" t="n"/>
      <c r="C692" s="244" t="n"/>
      <c r="K692" s="6" t="n"/>
    </row>
    <row r="693" ht="12" customFormat="1" customHeight="1" s="8">
      <c r="A693" s="244" t="n"/>
      <c r="B693" s="244">
        <f>SUM(L693:CA693)</f>
        <v/>
      </c>
      <c r="D693" s="4" t="n"/>
      <c r="E693" s="4" t="n"/>
      <c r="F693" s="4" t="n"/>
      <c r="G693" s="4" t="n"/>
      <c r="H693" s="0" t="inlineStr">
        <is>
          <t>Signage Check</t>
        </is>
      </c>
      <c r="I693" s="4" t="n"/>
      <c r="J693" s="4" t="n"/>
      <c r="K693" s="6" t="n"/>
      <c r="L693" s="4" t="n"/>
      <c r="M693" s="244">
        <f>IF(M$7&lt;&gt;"",IF(ROUND(M691,0)&lt;0,1,0),"")</f>
        <v/>
      </c>
      <c r="N693" s="244">
        <f>IF(N$7&lt;&gt;"",IF(ROUND(N691,0)&lt;0,1,0),"")</f>
        <v/>
      </c>
      <c r="O693" s="244">
        <f>IF(O$7&lt;&gt;"",IF(ROUND(O691,0)&lt;0,1,0),"")</f>
        <v/>
      </c>
      <c r="P693" s="244">
        <f>IF(P$7&lt;&gt;"",IF(ROUND(P691,0)&lt;0,1,0),"")</f>
        <v/>
      </c>
      <c r="Q693" s="244">
        <f>IF(Q$7&lt;&gt;"",IF(ROUND(Q691,0)&lt;0,1,0),"")</f>
        <v/>
      </c>
      <c r="R693" s="244" t="n"/>
      <c r="S693" s="244" t="n"/>
      <c r="T693" s="244">
        <f>IF(T$7&lt;&gt;"",IF(ROUND(T691,0)&lt;0,1,0),"")</f>
        <v/>
      </c>
      <c r="U693" s="244">
        <f>IF(U$7&lt;&gt;"",IF(ROUND(U691,0)&lt;0,1,0),"")</f>
        <v/>
      </c>
      <c r="V693" s="244">
        <f>IF(V$7&lt;&gt;"",IF(ROUND(V691,0)&lt;0,1,0),"")</f>
        <v/>
      </c>
      <c r="W693" s="244">
        <f>IF(W$7&lt;&gt;"",IF(ROUND(W691,0)&lt;0,1,0),"")</f>
        <v/>
      </c>
      <c r="X693" s="244">
        <f>IF(X$7&lt;&gt;"",IF(ROUND(X691,0)&lt;0,1,0),"")</f>
        <v/>
      </c>
      <c r="Y693" s="244">
        <f>IF(Y$7&lt;&gt;"",IF(ROUND(Y691,0)&lt;0,1,0),"")</f>
        <v/>
      </c>
      <c r="Z693" s="244">
        <f>IF(Z$7&lt;&gt;"",IF(ROUND(Z691,0)&lt;0,1,0),"")</f>
        <v/>
      </c>
      <c r="AA693" s="244">
        <f>IF(AA$7&lt;&gt;"",IF(ROUND(AA691,0)&lt;0,1,0),"")</f>
        <v/>
      </c>
      <c r="AB693" s="244">
        <f>IF(AB$7&lt;&gt;"",IF(ROUND(AB691,0)&lt;0,1,0),"")</f>
        <v/>
      </c>
      <c r="AC693" s="244">
        <f>IF(AC$7&lt;&gt;"",IF(ROUND(AC691,0)&lt;0,1,0),"")</f>
        <v/>
      </c>
      <c r="AD693" s="244">
        <f>IF(AD$7&lt;&gt;"",IF(ROUND(AD691,0)&lt;0,1,0),"")</f>
        <v/>
      </c>
      <c r="AE693" s="244">
        <f>IF(AE$7&lt;&gt;"",IF(ROUND(AE691,0)&lt;0,1,0),"")</f>
        <v/>
      </c>
      <c r="AF693" s="244">
        <f>IF(AF$7&lt;&gt;"",IF(ROUND(AF691,0)&lt;0,1,0),"")</f>
        <v/>
      </c>
      <c r="AG693" s="244">
        <f>IF(AG$7&lt;&gt;"",IF(ROUND(AG691,0)&lt;0,1,0),"")</f>
        <v/>
      </c>
      <c r="AH693" s="244">
        <f>IF(AH$7&lt;&gt;"",IF(ROUND(AH691,0)&lt;0,1,0),"")</f>
        <v/>
      </c>
      <c r="AI693" s="244">
        <f>IF(AI$7&lt;&gt;"",IF(ROUND(AI691,0)&lt;0,1,0),"")</f>
        <v/>
      </c>
      <c r="AJ693" s="244">
        <f>IF(AJ$7&lt;&gt;"",IF(ROUND(AJ691,0)&lt;0,1,0),"")</f>
        <v/>
      </c>
      <c r="AK693" s="244">
        <f>IF(AK$7&lt;&gt;"",IF(ROUND(AK691,0)&lt;0,1,0),"")</f>
        <v/>
      </c>
      <c r="AL693" s="244">
        <f>IF(AL$7&lt;&gt;"",IF(ROUND(AL691,0)&lt;0,1,0),"")</f>
        <v/>
      </c>
      <c r="AM693" s="244">
        <f>IF(AM$7&lt;&gt;"",IF(ROUND(AM691,0)&lt;0,1,0),"")</f>
        <v/>
      </c>
      <c r="AN693" s="244">
        <f>IF(AN$7&lt;&gt;"",IF(ROUND(AN691,0)&lt;0,1,0),"")</f>
        <v/>
      </c>
      <c r="AO693" s="244">
        <f>IF(AO$7&lt;&gt;"",IF(ROUND(AO691,0)&lt;0,1,0),"")</f>
        <v/>
      </c>
      <c r="AP693" s="244">
        <f>IF(AP$7&lt;&gt;"",IF(ROUND(AP691,0)&lt;0,1,0),"")</f>
        <v/>
      </c>
      <c r="AQ693" s="244">
        <f>IF(AQ$7&lt;&gt;"",IF(ROUND(AQ691,0)&lt;0,1,0),"")</f>
        <v/>
      </c>
      <c r="AR693" s="244">
        <f>IF(AR$7&lt;&gt;"",IF(ROUND(AR691,0)&lt;0,1,0),"")</f>
        <v/>
      </c>
      <c r="AS693" s="244">
        <f>IF(AS$7&lt;&gt;"",IF(ROUND(AS691,0)&lt;0,1,0),"")</f>
        <v/>
      </c>
      <c r="AT693" s="244">
        <f>IF(AT$7&lt;&gt;"",IF(ROUND(AT691,0)&lt;0,1,0),"")</f>
        <v/>
      </c>
      <c r="AU693" s="244">
        <f>IF(AU$7&lt;&gt;"",IF(ROUND(AU691,0)&lt;0,1,0),"")</f>
        <v/>
      </c>
      <c r="AV693" s="244">
        <f>IF(AV$7&lt;&gt;"",IF(ROUND(AV691,0)&lt;0,1,0),"")</f>
        <v/>
      </c>
      <c r="AW693" s="244">
        <f>IF(AW$7&lt;&gt;"",IF(ROUND(AW691,0)&lt;0,1,0),"")</f>
        <v/>
      </c>
      <c r="AX693" s="244">
        <f>IF(AX$7&lt;&gt;"",IF(ROUND(AX691,0)&lt;0,1,0),"")</f>
        <v/>
      </c>
      <c r="AY693" s="244">
        <f>IF(AY$7&lt;&gt;"",IF(ROUND(AY691,0)&lt;0,1,0),"")</f>
        <v/>
      </c>
      <c r="AZ693" s="244">
        <f>IF(AZ$7&lt;&gt;"",IF(ROUND(AZ691,0)&lt;0,1,0),"")</f>
        <v/>
      </c>
      <c r="BA693" s="244">
        <f>IF(BA$7&lt;&gt;"",IF(ROUND(BA691,0)&lt;0,1,0),"")</f>
        <v/>
      </c>
      <c r="BB693" s="244">
        <f>IF(BB$7&lt;&gt;"",IF(ROUND(BB691,0)&lt;0,1,0),"")</f>
        <v/>
      </c>
      <c r="BC693" s="244">
        <f>IF(BC$7&lt;&gt;"",IF(ROUND(BC691,0)&lt;0,1,0),"")</f>
        <v/>
      </c>
      <c r="BD693" s="244">
        <f>IF(BD$7&lt;&gt;"",IF(ROUND(BD691,0)&lt;0,1,0),"")</f>
        <v/>
      </c>
      <c r="BE693" s="244">
        <f>IF(BE$7&lt;&gt;"",IF(ROUND(BE691,0)&lt;0,1,0),"")</f>
        <v/>
      </c>
      <c r="BF693" s="244">
        <f>IF(BF$7&lt;&gt;"",IF(ROUND(BF691,0)&lt;0,1,0),"")</f>
        <v/>
      </c>
      <c r="BG693" s="244">
        <f>IF(BG$7&lt;&gt;"",IF(ROUND(BG691,0)&lt;0,1,0),"")</f>
        <v/>
      </c>
      <c r="BH693" s="244">
        <f>IF(BH$7&lt;&gt;"",IF(ROUND(BH691,0)&lt;0,1,0),"")</f>
        <v/>
      </c>
      <c r="BI693" s="244">
        <f>IF(BI$7&lt;&gt;"",IF(ROUND(BI691,0)&lt;0,1,0),"")</f>
        <v/>
      </c>
      <c r="BJ693" s="244">
        <f>IF(BJ$7&lt;&gt;"",IF(ROUND(BJ691,0)&lt;0,1,0),"")</f>
        <v/>
      </c>
      <c r="BK693" s="244">
        <f>IF(BK$7&lt;&gt;"",IF(ROUND(BK691,0)&lt;0,1,0),"")</f>
        <v/>
      </c>
      <c r="BL693" s="244">
        <f>IF(BL$7&lt;&gt;"",IF(ROUND(BL691,0)&lt;0,1,0),"")</f>
        <v/>
      </c>
      <c r="BM693" s="244">
        <f>IF(BM$7&lt;&gt;"",IF(ROUND(BM691,0)&lt;0,1,0),"")</f>
        <v/>
      </c>
      <c r="BN693" s="244">
        <f>IF(BN$7&lt;&gt;"",IF(ROUND(BN691,0)&lt;0,1,0),"")</f>
        <v/>
      </c>
      <c r="BO693" s="244">
        <f>IF(BO$7&lt;&gt;"",IF(ROUND(BO691,0)&lt;0,1,0),"")</f>
        <v/>
      </c>
      <c r="BP693" s="244">
        <f>IF(BP$7&lt;&gt;"",IF(ROUND(BP691,0)&lt;0,1,0),"")</f>
        <v/>
      </c>
      <c r="BQ693" s="244">
        <f>IF(BQ$7&lt;&gt;"",IF(ROUND(BQ691,0)&lt;0,1,0),"")</f>
        <v/>
      </c>
      <c r="BR693" s="244">
        <f>IF(BR$7&lt;&gt;"",IF(ROUND(BR691,0)&lt;0,1,0),"")</f>
        <v/>
      </c>
      <c r="BS693" s="244">
        <f>IF(BS$7&lt;&gt;"",IF(ROUND(BS691,0)&lt;0,1,0),"")</f>
        <v/>
      </c>
      <c r="BT693" s="244">
        <f>IF(BT$7&lt;&gt;"",IF(ROUND(BT691,0)&lt;0,1,0),"")</f>
        <v/>
      </c>
      <c r="BU693" s="244">
        <f>IF(BU$7&lt;&gt;"",IF(ROUND(BU691,0)&lt;0,1,0),"")</f>
        <v/>
      </c>
      <c r="BV693" s="244">
        <f>IF(BV$7&lt;&gt;"",IF(ROUND(BV691,0)&lt;0,1,0),"")</f>
        <v/>
      </c>
      <c r="BW693" s="244">
        <f>IF(BW$7&lt;&gt;"",IF(ROUND(BW691,0)&lt;0,1,0),"")</f>
        <v/>
      </c>
      <c r="BX693" s="244">
        <f>IF(BX$7&lt;&gt;"",IF(ROUND(BX691,0)&lt;0,1,0),"")</f>
        <v/>
      </c>
      <c r="BY693" s="244">
        <f>IF(BY$7&lt;&gt;"",IF(ROUND(BY691,0)&lt;0,1,0),"")</f>
        <v/>
      </c>
      <c r="BZ693" s="244">
        <f>IF(BZ$7&lt;&gt;"",IF(ROUND(BZ691,0)&lt;0,1,0),"")</f>
        <v/>
      </c>
      <c r="CA693" s="244">
        <f>IF(CA$7&lt;&gt;"",IF(ROUND(CA691,0)&lt;0,1,0),"")</f>
        <v/>
      </c>
    </row>
    <row r="694" ht="12" customHeight="1" s="227">
      <c r="A694" s="244" t="n"/>
      <c r="B694" s="244" t="n"/>
      <c r="C694" s="244" t="n"/>
      <c r="K694" s="6" t="n"/>
    </row>
    <row r="695" ht="12" customHeight="1" s="227">
      <c r="A695" s="244" t="n"/>
      <c r="B695" s="244" t="n"/>
      <c r="C695" s="244" t="n"/>
      <c r="K695" s="6" t="n"/>
    </row>
    <row r="696" ht="12" customHeight="1" s="227">
      <c r="A696" s="244" t="n"/>
      <c r="B696" s="244" t="n"/>
      <c r="C696" s="244" t="n"/>
      <c r="G696" s="222">
        <f>H667</f>
        <v/>
      </c>
      <c r="K696" s="6" t="n"/>
    </row>
    <row r="697" ht="12" customHeight="1" s="227">
      <c r="A697" s="244" t="n"/>
      <c r="B697" s="244" t="n"/>
      <c r="C697" s="244" t="n"/>
      <c r="K697" s="6" t="n"/>
    </row>
    <row r="698" ht="12" customHeight="1" s="227">
      <c r="A698" s="244" t="n"/>
      <c r="B698" s="244" t="n"/>
      <c r="C698" s="244" t="n"/>
      <c r="H698" s="0" t="inlineStr">
        <is>
          <t>Useful Life - Opening Bal</t>
        </is>
      </c>
      <c r="I698" s="27" t="inlineStr">
        <is>
          <t>Months</t>
        </is>
      </c>
      <c r="K698" s="259">
        <f>i_Actuals!K111*12</f>
        <v/>
      </c>
    </row>
    <row r="699" ht="12" customHeight="1" s="227">
      <c r="A699" s="244" t="n"/>
      <c r="B699" s="244" t="n"/>
      <c r="C699" s="244" t="n"/>
      <c r="H699" s="0" t="inlineStr">
        <is>
          <t>Useful Life - Additions</t>
        </is>
      </c>
      <c r="I699" s="27" t="inlineStr">
        <is>
          <t>Months</t>
        </is>
      </c>
      <c r="K699" s="259">
        <f>i_Setup!R69*12</f>
        <v/>
      </c>
    </row>
    <row r="700" ht="12" customHeight="1" s="227">
      <c r="A700" s="244" t="n"/>
      <c r="B700" s="244" t="n"/>
      <c r="C700" s="244" t="n"/>
      <c r="H700" s="0" t="n"/>
      <c r="I700" s="27" t="n"/>
      <c r="K700" s="6" t="n"/>
    </row>
    <row r="701" ht="12" customHeight="1" s="227">
      <c r="A701" s="244" t="n"/>
      <c r="B701" s="244" t="n"/>
      <c r="C701" s="244" t="n"/>
      <c r="H701" s="0" t="inlineStr">
        <is>
          <t>Opening Balance</t>
        </is>
      </c>
      <c r="I701" s="27">
        <f>i_Setup!$M$16</f>
        <v/>
      </c>
      <c r="K701" s="6" t="n"/>
      <c r="M701" s="245">
        <f>SUMIF($T$1:$CA$1,M$1,$T701:$CA701)</f>
        <v/>
      </c>
      <c r="N701" s="245">
        <f>SUMIF($T$1:$CA$1,N$1,$T701:$CA701)</f>
        <v/>
      </c>
      <c r="O701" s="245">
        <f>SUMIF($T$1:$CA$1,O$1,$T701:$CA701)</f>
        <v/>
      </c>
      <c r="P701" s="245">
        <f>SUMIF($T$1:$CA$1,P$1,$T701:$CA701)</f>
        <v/>
      </c>
      <c r="Q701" s="245">
        <f>SUMIF($T$1:$CA$1,Q$1,$T701:$CA701)</f>
        <v/>
      </c>
      <c r="T701" s="245">
        <f>IF(T$2=i_Setup!$U$26,i_Actuals!T111,0)</f>
        <v/>
      </c>
      <c r="U701" s="245">
        <f>IF(U$2=i_Setup!$U$26,i_Actuals!U111,0)</f>
        <v/>
      </c>
      <c r="V701" s="245">
        <f>IF(V$2=i_Setup!$U$26,i_Actuals!V111,0)</f>
        <v/>
      </c>
      <c r="W701" s="245">
        <f>IF(W$2=i_Setup!$U$26,i_Actuals!W111,0)</f>
        <v/>
      </c>
      <c r="X701" s="245">
        <f>IF(X$2=i_Setup!$U$26,i_Actuals!X111,0)</f>
        <v/>
      </c>
      <c r="Y701" s="245">
        <f>IF(Y$2=i_Setup!$U$26,i_Actuals!Y111,0)</f>
        <v/>
      </c>
      <c r="Z701" s="245">
        <f>IF(Z$2=i_Setup!$U$26,i_Actuals!Z111,0)</f>
        <v/>
      </c>
      <c r="AA701" s="245">
        <f>IF(AA$2=i_Setup!$U$26,i_Actuals!AA111,0)</f>
        <v/>
      </c>
      <c r="AB701" s="245">
        <f>IF(AB$2=i_Setup!$U$26,i_Actuals!AB111,0)</f>
        <v/>
      </c>
      <c r="AC701" s="245">
        <f>IF(AC$2=i_Setup!$U$26,i_Actuals!AC111,0)</f>
        <v/>
      </c>
      <c r="AD701" s="245">
        <f>IF(AD$2=i_Setup!$U$26,i_Actuals!AD111,0)</f>
        <v/>
      </c>
      <c r="AE701" s="245">
        <f>IF(AE$2=i_Setup!$U$26,i_Actuals!AE111,0)</f>
        <v/>
      </c>
      <c r="AF701" s="245">
        <f>IF(AF$2=i_Setup!$U$26,i_Actuals!AF111,0)</f>
        <v/>
      </c>
      <c r="AG701" s="245">
        <f>IF(AG$2=i_Setup!$U$26,i_Actuals!AG111,0)</f>
        <v/>
      </c>
      <c r="AH701" s="245">
        <f>IF(AH$2=i_Setup!$U$26,i_Actuals!AH111,0)</f>
        <v/>
      </c>
      <c r="AI701" s="245">
        <f>IF(AI$2=i_Setup!$U$26,i_Actuals!AI111,0)</f>
        <v/>
      </c>
      <c r="AJ701" s="245">
        <f>IF(AJ$2=i_Setup!$U$26,i_Actuals!AJ111,0)</f>
        <v/>
      </c>
      <c r="AK701" s="245">
        <f>IF(AK$2=i_Setup!$U$26,i_Actuals!AK111,0)</f>
        <v/>
      </c>
      <c r="AL701" s="245">
        <f>IF(AL$2=i_Setup!$U$26,i_Actuals!AL111,0)</f>
        <v/>
      </c>
      <c r="AM701" s="245">
        <f>IF(AM$2=i_Setup!$U$26,i_Actuals!AM111,0)</f>
        <v/>
      </c>
      <c r="AN701" s="245">
        <f>IF(AN$2=i_Setup!$U$26,i_Actuals!AN111,0)</f>
        <v/>
      </c>
      <c r="AO701" s="245">
        <f>IF(AO$2=i_Setup!$U$26,i_Actuals!AO111,0)</f>
        <v/>
      </c>
      <c r="AP701" s="245">
        <f>IF(AP$2=i_Setup!$U$26,i_Actuals!AP111,0)</f>
        <v/>
      </c>
      <c r="AQ701" s="245">
        <f>IF(AQ$2=i_Setup!$U$26,i_Actuals!AQ111,0)</f>
        <v/>
      </c>
      <c r="AR701" s="245">
        <f>IF(AR$2=i_Setup!$U$26,i_Actuals!AR111,0)</f>
        <v/>
      </c>
      <c r="AS701" s="245">
        <f>IF(AS$2=i_Setup!$U$26,i_Actuals!AS111,0)</f>
        <v/>
      </c>
      <c r="AT701" s="245">
        <f>IF(AT$2=i_Setup!$U$26,i_Actuals!AT111,0)</f>
        <v/>
      </c>
      <c r="AU701" s="245">
        <f>IF(AU$2=i_Setup!$U$26,i_Actuals!AU111,0)</f>
        <v/>
      </c>
      <c r="AV701" s="245">
        <f>IF(AV$2=i_Setup!$U$26,i_Actuals!AV111,0)</f>
        <v/>
      </c>
      <c r="AW701" s="245">
        <f>IF(AW$2=i_Setup!$U$26,i_Actuals!AW111,0)</f>
        <v/>
      </c>
      <c r="AX701" s="245">
        <f>IF(AX$2=i_Setup!$U$26,i_Actuals!AX111,0)</f>
        <v/>
      </c>
      <c r="AY701" s="245">
        <f>IF(AY$2=i_Setup!$U$26,i_Actuals!AY111,0)</f>
        <v/>
      </c>
      <c r="AZ701" s="245">
        <f>IF(AZ$2=i_Setup!$U$26,i_Actuals!AZ111,0)</f>
        <v/>
      </c>
      <c r="BA701" s="245">
        <f>IF(BA$2=i_Setup!$U$26,i_Actuals!BA111,0)</f>
        <v/>
      </c>
      <c r="BB701" s="245">
        <f>IF(BB$2=i_Setup!$U$26,i_Actuals!BB111,0)</f>
        <v/>
      </c>
      <c r="BC701" s="245">
        <f>IF(BC$2=i_Setup!$U$26,i_Actuals!BC111,0)</f>
        <v/>
      </c>
      <c r="BD701" s="245">
        <f>IF(BD$2=i_Setup!$U$26,i_Actuals!BD111,0)</f>
        <v/>
      </c>
      <c r="BE701" s="245">
        <f>IF(BE$2=i_Setup!$U$26,i_Actuals!BE111,0)</f>
        <v/>
      </c>
      <c r="BF701" s="245">
        <f>IF(BF$2=i_Setup!$U$26,i_Actuals!BF111,0)</f>
        <v/>
      </c>
      <c r="BG701" s="245">
        <f>IF(BG$2=i_Setup!$U$26,i_Actuals!BG111,0)</f>
        <v/>
      </c>
      <c r="BH701" s="245">
        <f>IF(BH$2=i_Setup!$U$26,i_Actuals!BH111,0)</f>
        <v/>
      </c>
      <c r="BI701" s="245">
        <f>IF(BI$2=i_Setup!$U$26,i_Actuals!BI111,0)</f>
        <v/>
      </c>
      <c r="BJ701" s="245">
        <f>IF(BJ$2=i_Setup!$U$26,i_Actuals!BJ111,0)</f>
        <v/>
      </c>
      <c r="BK701" s="245">
        <f>IF(BK$2=i_Setup!$U$26,i_Actuals!BK111,0)</f>
        <v/>
      </c>
      <c r="BL701" s="245">
        <f>IF(BL$2=i_Setup!$U$26,i_Actuals!BL111,0)</f>
        <v/>
      </c>
      <c r="BM701" s="245">
        <f>IF(BM$2=i_Setup!$U$26,i_Actuals!BM111,0)</f>
        <v/>
      </c>
      <c r="BN701" s="245">
        <f>IF(BN$2=i_Setup!$U$26,i_Actuals!BN111,0)</f>
        <v/>
      </c>
      <c r="BO701" s="245">
        <f>IF(BO$2=i_Setup!$U$26,i_Actuals!BO111,0)</f>
        <v/>
      </c>
      <c r="BP701" s="245">
        <f>IF(BP$2=i_Setup!$U$26,i_Actuals!BP111,0)</f>
        <v/>
      </c>
      <c r="BQ701" s="245">
        <f>IF(BQ$2=i_Setup!$U$26,i_Actuals!BQ111,0)</f>
        <v/>
      </c>
      <c r="BR701" s="245">
        <f>IF(BR$2=i_Setup!$U$26,i_Actuals!BR111,0)</f>
        <v/>
      </c>
      <c r="BS701" s="245">
        <f>IF(BS$2=i_Setup!$U$26,i_Actuals!BS111,0)</f>
        <v/>
      </c>
      <c r="BT701" s="245">
        <f>IF(BT$2=i_Setup!$U$26,i_Actuals!BT111,0)</f>
        <v/>
      </c>
      <c r="BU701" s="245">
        <f>IF(BU$2=i_Setup!$U$26,i_Actuals!BU111,0)</f>
        <v/>
      </c>
      <c r="BV701" s="245">
        <f>IF(BV$2=i_Setup!$U$26,i_Actuals!BV111,0)</f>
        <v/>
      </c>
      <c r="BW701" s="245">
        <f>IF(BW$2=i_Setup!$U$26,i_Actuals!BW111,0)</f>
        <v/>
      </c>
      <c r="BX701" s="245">
        <f>IF(BX$2=i_Setup!$U$26,i_Actuals!BX111,0)</f>
        <v/>
      </c>
      <c r="BY701" s="245">
        <f>IF(BY$2=i_Setup!$U$26,i_Actuals!BY111,0)</f>
        <v/>
      </c>
      <c r="BZ701" s="245">
        <f>IF(BZ$2=i_Setup!$U$26,i_Actuals!BZ111,0)</f>
        <v/>
      </c>
      <c r="CA701" s="245">
        <f>IF(CA$2=i_Setup!$U$26,i_Actuals!CA111,0)</f>
        <v/>
      </c>
    </row>
    <row r="702" ht="12" customHeight="1" s="227">
      <c r="A702" s="244" t="n"/>
      <c r="B702" s="244" t="n"/>
      <c r="C702" s="244" t="n"/>
      <c r="H702" s="0" t="n"/>
      <c r="I702" s="27" t="n"/>
      <c r="K702" s="6" t="n"/>
    </row>
    <row r="703" ht="12" customHeight="1" s="227">
      <c r="A703" s="244" t="n"/>
      <c r="B703" s="244" t="n"/>
      <c r="C703" s="244" t="n"/>
      <c r="H703" s="0" t="inlineStr">
        <is>
          <t>Opening Balance</t>
        </is>
      </c>
      <c r="I703" s="27">
        <f>i_Setup!$M$16</f>
        <v/>
      </c>
      <c r="K703" s="6" t="n"/>
      <c r="M703" s="245">
        <f>SUMIF($T$1:$CA$1,M$1,$T703:$CA703)</f>
        <v/>
      </c>
      <c r="N703" s="245">
        <f>SUMIF($T$1:$CA$1,N$1,$T703:$CA703)</f>
        <v/>
      </c>
      <c r="O703" s="245">
        <f>SUMIF($T$1:$CA$1,O$1,$T703:$CA703)</f>
        <v/>
      </c>
      <c r="P703" s="245">
        <f>SUMIF($T$1:$CA$1,P$1,$T703:$CA703)</f>
        <v/>
      </c>
      <c r="Q703" s="245">
        <f>SUMIF($T$1:$CA$1,Q$1,$T703:$CA703)</f>
        <v/>
      </c>
      <c r="T703" s="245">
        <f>S707</f>
        <v/>
      </c>
      <c r="U703" s="245">
        <f>T707</f>
        <v/>
      </c>
      <c r="V703" s="245">
        <f>U707</f>
        <v/>
      </c>
      <c r="W703" s="245">
        <f>V707</f>
        <v/>
      </c>
      <c r="X703" s="245">
        <f>W707</f>
        <v/>
      </c>
      <c r="Y703" s="245">
        <f>X707</f>
        <v/>
      </c>
      <c r="Z703" s="245">
        <f>Y707</f>
        <v/>
      </c>
      <c r="AA703" s="245">
        <f>Z707</f>
        <v/>
      </c>
      <c r="AB703" s="245">
        <f>AA707</f>
        <v/>
      </c>
      <c r="AC703" s="245">
        <f>AB707</f>
        <v/>
      </c>
      <c r="AD703" s="245">
        <f>AC707</f>
        <v/>
      </c>
      <c r="AE703" s="245">
        <f>AD707</f>
        <v/>
      </c>
      <c r="AF703" s="245">
        <f>AE707</f>
        <v/>
      </c>
      <c r="AG703" s="245">
        <f>AF707</f>
        <v/>
      </c>
      <c r="AH703" s="245">
        <f>AG707</f>
        <v/>
      </c>
      <c r="AI703" s="245">
        <f>AH707</f>
        <v/>
      </c>
      <c r="AJ703" s="245">
        <f>AI707</f>
        <v/>
      </c>
      <c r="AK703" s="245">
        <f>AJ707</f>
        <v/>
      </c>
      <c r="AL703" s="245">
        <f>AK707</f>
        <v/>
      </c>
      <c r="AM703" s="245">
        <f>AL707</f>
        <v/>
      </c>
      <c r="AN703" s="245">
        <f>AM707</f>
        <v/>
      </c>
      <c r="AO703" s="245">
        <f>AN707</f>
        <v/>
      </c>
      <c r="AP703" s="245">
        <f>AO707</f>
        <v/>
      </c>
      <c r="AQ703" s="245">
        <f>AP707</f>
        <v/>
      </c>
      <c r="AR703" s="245">
        <f>AQ707</f>
        <v/>
      </c>
      <c r="AS703" s="245">
        <f>AR707</f>
        <v/>
      </c>
      <c r="AT703" s="245">
        <f>AS707</f>
        <v/>
      </c>
      <c r="AU703" s="245">
        <f>AT707</f>
        <v/>
      </c>
      <c r="AV703" s="245">
        <f>AU707</f>
        <v/>
      </c>
      <c r="AW703" s="245">
        <f>AV707</f>
        <v/>
      </c>
      <c r="AX703" s="245">
        <f>AW707</f>
        <v/>
      </c>
      <c r="AY703" s="245">
        <f>AX707</f>
        <v/>
      </c>
      <c r="AZ703" s="245">
        <f>AY707</f>
        <v/>
      </c>
      <c r="BA703" s="245">
        <f>AZ707</f>
        <v/>
      </c>
      <c r="BB703" s="245">
        <f>BA707</f>
        <v/>
      </c>
      <c r="BC703" s="245">
        <f>BB707</f>
        <v/>
      </c>
      <c r="BD703" s="245">
        <f>BC707</f>
        <v/>
      </c>
      <c r="BE703" s="245">
        <f>BD707</f>
        <v/>
      </c>
      <c r="BF703" s="245">
        <f>BE707</f>
        <v/>
      </c>
      <c r="BG703" s="245">
        <f>BF707</f>
        <v/>
      </c>
      <c r="BH703" s="245">
        <f>BG707</f>
        <v/>
      </c>
      <c r="BI703" s="245">
        <f>BH707</f>
        <v/>
      </c>
      <c r="BJ703" s="245">
        <f>BI707</f>
        <v/>
      </c>
      <c r="BK703" s="245">
        <f>BJ707</f>
        <v/>
      </c>
      <c r="BL703" s="245">
        <f>BK707</f>
        <v/>
      </c>
      <c r="BM703" s="245">
        <f>BL707</f>
        <v/>
      </c>
      <c r="BN703" s="245">
        <f>BM707</f>
        <v/>
      </c>
      <c r="BO703" s="245">
        <f>BN707</f>
        <v/>
      </c>
      <c r="BP703" s="245">
        <f>BO707</f>
        <v/>
      </c>
      <c r="BQ703" s="245">
        <f>BP707</f>
        <v/>
      </c>
      <c r="BR703" s="245">
        <f>BQ707</f>
        <v/>
      </c>
      <c r="BS703" s="245">
        <f>BR707</f>
        <v/>
      </c>
      <c r="BT703" s="245">
        <f>BS707</f>
        <v/>
      </c>
      <c r="BU703" s="245">
        <f>BT707</f>
        <v/>
      </c>
      <c r="BV703" s="245">
        <f>BU707</f>
        <v/>
      </c>
      <c r="BW703" s="245">
        <f>BV707</f>
        <v/>
      </c>
      <c r="BX703" s="245">
        <f>BW707</f>
        <v/>
      </c>
      <c r="BY703" s="245">
        <f>BX707</f>
        <v/>
      </c>
      <c r="BZ703" s="245">
        <f>BY707</f>
        <v/>
      </c>
      <c r="CA703" s="245">
        <f>BZ707</f>
        <v/>
      </c>
    </row>
    <row r="704" ht="12" customHeight="1" s="227">
      <c r="A704" s="244" t="n"/>
      <c r="B704" s="244" t="n"/>
      <c r="C704" s="244" t="n"/>
      <c r="H704" s="0" t="inlineStr">
        <is>
          <t>Addition Amounts</t>
        </is>
      </c>
      <c r="I704" s="27">
        <f>i_Setup!$M$16</f>
        <v/>
      </c>
      <c r="K704" s="6" t="n"/>
      <c r="M704" s="245">
        <f>SUMIF($T$4:$CA$4,M$4,$T704:$CA704)</f>
        <v/>
      </c>
      <c r="N704" s="245">
        <f>SUMIF($T$4:$CA$4,N$4,$T704:$CA704)</f>
        <v/>
      </c>
      <c r="O704" s="245">
        <f>SUMIF($T$4:$CA$4,O$4,$T704:$CA704)</f>
        <v/>
      </c>
      <c r="P704" s="245">
        <f>SUMIF($T$4:$CA$4,P$4,$T704:$CA704)</f>
        <v/>
      </c>
      <c r="Q704" s="245">
        <f>SUMIF($T$4:$CA$4,Q$4,$T704:$CA704)</f>
        <v/>
      </c>
      <c r="T704" s="257">
        <f>IF(T$7="Actual","",T651)</f>
        <v/>
      </c>
      <c r="U704" s="257">
        <f>IF(U$7="Actual","",U651)</f>
        <v/>
      </c>
      <c r="V704" s="257">
        <f>IF(V$7="Actual","",V651)</f>
        <v/>
      </c>
      <c r="W704" s="257">
        <f>IF(W$7="Actual","",W651)</f>
        <v/>
      </c>
      <c r="X704" s="257">
        <f>IF(X$7="Actual","",X651)</f>
        <v/>
      </c>
      <c r="Y704" s="257">
        <f>IF(Y$7="Actual","",Y651)</f>
        <v/>
      </c>
      <c r="Z704" s="257">
        <f>IF(Z$7="Actual","",Z651)</f>
        <v/>
      </c>
      <c r="AA704" s="257">
        <f>IF(AA$7="Actual","",AA651)</f>
        <v/>
      </c>
      <c r="AB704" s="257">
        <f>IF(AB$7="Actual","",AB651)</f>
        <v/>
      </c>
      <c r="AC704" s="257">
        <f>IF(AC$7="Actual","",AC651)</f>
        <v/>
      </c>
      <c r="AD704" s="257">
        <f>IF(AD$7="Actual","",AD651)</f>
        <v/>
      </c>
      <c r="AE704" s="257">
        <f>IF(AE$7="Actual","",AE651)</f>
        <v/>
      </c>
      <c r="AF704" s="257">
        <f>IF(AF$7="Actual","",AF651)</f>
        <v/>
      </c>
      <c r="AG704" s="257">
        <f>IF(AG$7="Actual","",AG651)</f>
        <v/>
      </c>
      <c r="AH704" s="257">
        <f>IF(AH$7="Actual","",AH651)</f>
        <v/>
      </c>
      <c r="AI704" s="257">
        <f>IF(AI$7="Actual","",AI651)</f>
        <v/>
      </c>
      <c r="AJ704" s="257">
        <f>IF(AJ$7="Actual","",AJ651)</f>
        <v/>
      </c>
      <c r="AK704" s="257">
        <f>IF(AK$7="Actual","",AK651)</f>
        <v/>
      </c>
      <c r="AL704" s="257">
        <f>IF(AL$7="Actual","",AL651)</f>
        <v/>
      </c>
      <c r="AM704" s="257">
        <f>IF(AM$7="Actual","",AM651)</f>
        <v/>
      </c>
      <c r="AN704" s="257">
        <f>IF(AN$7="Actual","",AN651)</f>
        <v/>
      </c>
      <c r="AO704" s="257">
        <f>IF(AO$7="Actual","",AO651)</f>
        <v/>
      </c>
      <c r="AP704" s="257">
        <f>IF(AP$7="Actual","",AP651)</f>
        <v/>
      </c>
      <c r="AQ704" s="257">
        <f>IF(AQ$7="Actual","",AQ651)</f>
        <v/>
      </c>
      <c r="AR704" s="257">
        <f>IF(AR$7="Actual","",AR651)</f>
        <v/>
      </c>
      <c r="AS704" s="257">
        <f>IF(AS$7="Actual","",AS651)</f>
        <v/>
      </c>
      <c r="AT704" s="257">
        <f>IF(AT$7="Actual","",AT651)</f>
        <v/>
      </c>
      <c r="AU704" s="257">
        <f>IF(AU$7="Actual","",AU651)</f>
        <v/>
      </c>
      <c r="AV704" s="257">
        <f>IF(AV$7="Actual","",AV651)</f>
        <v/>
      </c>
      <c r="AW704" s="257">
        <f>IF(AW$7="Actual","",AW651)</f>
        <v/>
      </c>
      <c r="AX704" s="257">
        <f>IF(AX$7="Actual","",AX651)</f>
        <v/>
      </c>
      <c r="AY704" s="257">
        <f>IF(AY$7="Actual","",AY651)</f>
        <v/>
      </c>
      <c r="AZ704" s="257">
        <f>IF(AZ$7="Actual","",AZ651)</f>
        <v/>
      </c>
      <c r="BA704" s="257">
        <f>IF(BA$7="Actual","",BA651)</f>
        <v/>
      </c>
      <c r="BB704" s="257">
        <f>IF(BB$7="Actual","",BB651)</f>
        <v/>
      </c>
      <c r="BC704" s="257">
        <f>IF(BC$7="Actual","",BC651)</f>
        <v/>
      </c>
      <c r="BD704" s="257">
        <f>IF(BD$7="Actual","",BD651)</f>
        <v/>
      </c>
      <c r="BE704" s="257">
        <f>IF(BE$7="Actual","",BE651)</f>
        <v/>
      </c>
      <c r="BF704" s="257">
        <f>IF(BF$7="Actual","",BF651)</f>
        <v/>
      </c>
      <c r="BG704" s="257">
        <f>IF(BG$7="Actual","",BG651)</f>
        <v/>
      </c>
      <c r="BH704" s="257">
        <f>IF(BH$7="Actual","",BH651)</f>
        <v/>
      </c>
      <c r="BI704" s="257">
        <f>IF(BI$7="Actual","",BI651)</f>
        <v/>
      </c>
      <c r="BJ704" s="257">
        <f>IF(BJ$7="Actual","",BJ651)</f>
        <v/>
      </c>
      <c r="BK704" s="257">
        <f>IF(BK$7="Actual","",BK651)</f>
        <v/>
      </c>
      <c r="BL704" s="257">
        <f>IF(BL$7="Actual","",BL651)</f>
        <v/>
      </c>
      <c r="BM704" s="257">
        <f>IF(BM$7="Actual","",BM651)</f>
        <v/>
      </c>
      <c r="BN704" s="257">
        <f>IF(BN$7="Actual","",BN651)</f>
        <v/>
      </c>
      <c r="BO704" s="257">
        <f>IF(BO$7="Actual","",BO651)</f>
        <v/>
      </c>
      <c r="BP704" s="257">
        <f>IF(BP$7="Actual","",BP651)</f>
        <v/>
      </c>
      <c r="BQ704" s="257">
        <f>IF(BQ$7="Actual","",BQ651)</f>
        <v/>
      </c>
      <c r="BR704" s="257">
        <f>IF(BR$7="Actual","",BR651)</f>
        <v/>
      </c>
      <c r="BS704" s="257">
        <f>IF(BS$7="Actual","",BS651)</f>
        <v/>
      </c>
      <c r="BT704" s="257">
        <f>IF(BT$7="Actual","",BT651)</f>
        <v/>
      </c>
      <c r="BU704" s="257">
        <f>IF(BU$7="Actual","",BU651)</f>
        <v/>
      </c>
      <c r="BV704" s="257">
        <f>IF(BV$7="Actual","",BV651)</f>
        <v/>
      </c>
      <c r="BW704" s="257">
        <f>IF(BW$7="Actual","",BW651)</f>
        <v/>
      </c>
      <c r="BX704" s="257">
        <f>IF(BX$7="Actual","",BX651)</f>
        <v/>
      </c>
      <c r="BY704" s="257">
        <f>IF(BY$7="Actual","",BY651)</f>
        <v/>
      </c>
      <c r="BZ704" s="257">
        <f>IF(BZ$7="Actual","",BZ651)</f>
        <v/>
      </c>
      <c r="CA704" s="257">
        <f>IF(CA$7="Actual","",CA651)</f>
        <v/>
      </c>
    </row>
    <row r="705" ht="12" customHeight="1" s="227">
      <c r="A705" s="244" t="n"/>
      <c r="B705" s="244" t="n"/>
      <c r="C705" s="244" t="n"/>
      <c r="H705" s="0" t="inlineStr">
        <is>
          <t xml:space="preserve"> Depreciation - Opening Bal</t>
        </is>
      </c>
      <c r="I705" s="27">
        <f>i_Setup!$M$16</f>
        <v/>
      </c>
      <c r="K705" s="6" t="n"/>
      <c r="M705" s="245">
        <f>SUMIF($T$4:$CA$4,M$4,$T705:$CA705)</f>
        <v/>
      </c>
      <c r="N705" s="245">
        <f>SUMIF($T$4:$CA$4,N$4,$T705:$CA705)</f>
        <v/>
      </c>
      <c r="O705" s="245">
        <f>SUMIF($T$4:$CA$4,O$4,$T705:$CA705)</f>
        <v/>
      </c>
      <c r="P705" s="245">
        <f>SUMIF($T$4:$CA$4,P$4,$T705:$CA705)</f>
        <v/>
      </c>
      <c r="Q705" s="245">
        <f>SUMIF($T$4:$CA$4,Q$4,$T705:$CA705)</f>
        <v/>
      </c>
      <c r="T705" s="245">
        <f>IF(T$7="Actual","",IFERROR(-SUM(OFFSET(S701,0,0,1,-MIN(T$6,$K$698)))/$K$698,0))</f>
        <v/>
      </c>
      <c r="U705" s="245">
        <f>IF(U$7="Actual","",IFERROR(-SUM(OFFSET(T701,0,0,1,-MIN(U$6,$K$698)))/$K$698,0))</f>
        <v/>
      </c>
      <c r="V705" s="245">
        <f>IF(V$7="Actual","",IFERROR(-SUM(OFFSET(U701,0,0,1,-MIN(V$6,$K$698)))/$K$698,0))</f>
        <v/>
      </c>
      <c r="W705" s="245">
        <f>IF(W$7="Actual","",IFERROR(-SUM(OFFSET(V701,0,0,1,-MIN(W$6,$K$698)))/$K$698,0))</f>
        <v/>
      </c>
      <c r="X705" s="245">
        <f>IF(X$7="Actual","",IFERROR(-SUM(OFFSET(W701,0,0,1,-MIN(X$6,$K$698)))/$K$698,0))</f>
        <v/>
      </c>
      <c r="Y705" s="245">
        <f>IF(Y$7="Actual","",IFERROR(-SUM(OFFSET(X701,0,0,1,-MIN(Y$6,$K$698)))/$K$698,0))</f>
        <v/>
      </c>
      <c r="Z705" s="245">
        <f>IF(Z$7="Actual","",IFERROR(-SUM(OFFSET(Y701,0,0,1,-MIN(Z$6,$K$698)))/$K$698,0))</f>
        <v/>
      </c>
      <c r="AA705" s="245">
        <f>IF(AA$7="Actual","",IFERROR(-SUM(OFFSET(Z701,0,0,1,-MIN(AA$6,$K$698)))/$K$698,0))</f>
        <v/>
      </c>
      <c r="AB705" s="245">
        <f>IF(AB$7="Actual","",IFERROR(-SUM(OFFSET(AA701,0,0,1,-MIN(AB$6,$K$698)))/$K$698,0))</f>
        <v/>
      </c>
      <c r="AC705" s="245">
        <f>IF(AC$7="Actual","",IFERROR(-SUM(OFFSET(AB701,0,0,1,-MIN(AC$6,$K$698)))/$K$698,0))</f>
        <v/>
      </c>
      <c r="AD705" s="245">
        <f>IF(AD$7="Actual","",IFERROR(-SUM(OFFSET(AC701,0,0,1,-MIN(AD$6,$K$698)))/$K$698,0))</f>
        <v/>
      </c>
      <c r="AE705" s="245">
        <f>IF(AE$7="Actual","",IFERROR(-SUM(OFFSET(AD701,0,0,1,-MIN(AE$6,$K$698)))/$K$698,0))</f>
        <v/>
      </c>
      <c r="AF705" s="245">
        <f>IF(AF$7="Actual","",IFERROR(-SUM(OFFSET(AE701,0,0,1,-MIN(AF$6,$K$698)))/$K$698,0))</f>
        <v/>
      </c>
      <c r="AG705" s="245">
        <f>IF(AG$7="Actual","",IFERROR(-SUM(OFFSET(AF701,0,0,1,-MIN(AG$6,$K$698)))/$K$698,0))</f>
        <v/>
      </c>
      <c r="AH705" s="245">
        <f>IF(AH$7="Actual","",IFERROR(-SUM(OFFSET(AG701,0,0,1,-MIN(AH$6,$K$698)))/$K$698,0))</f>
        <v/>
      </c>
      <c r="AI705" s="245">
        <f>IF(AI$7="Actual","",IFERROR(-SUM(OFFSET(AH701,0,0,1,-MIN(AI$6,$K$698)))/$K$698,0))</f>
        <v/>
      </c>
      <c r="AJ705" s="245">
        <f>IF(AJ$7="Actual","",IFERROR(-SUM(OFFSET(AI701,0,0,1,-MIN(AJ$6,$K$698)))/$K$698,0))</f>
        <v/>
      </c>
      <c r="AK705" s="245">
        <f>IF(AK$7="Actual","",IFERROR(-SUM(OFFSET(AJ701,0,0,1,-MIN(AK$6,$K$698)))/$K$698,0))</f>
        <v/>
      </c>
      <c r="AL705" s="245">
        <f>IF(AL$7="Actual","",IFERROR(-SUM(OFFSET(AK701,0,0,1,-MIN(AL$6,$K$698)))/$K$698,0))</f>
        <v/>
      </c>
      <c r="AM705" s="245">
        <f>IF(AM$7="Actual","",IFERROR(-SUM(OFFSET(AL701,0,0,1,-MIN(AM$6,$K$698)))/$K$698,0))</f>
        <v/>
      </c>
      <c r="AN705" s="245">
        <f>IF(AN$7="Actual","",IFERROR(-SUM(OFFSET(AM701,0,0,1,-MIN(AN$6,$K$698)))/$K$698,0))</f>
        <v/>
      </c>
      <c r="AO705" s="245">
        <f>IF(AO$7="Actual","",IFERROR(-SUM(OFFSET(AN701,0,0,1,-MIN(AO$6,$K$698)))/$K$698,0))</f>
        <v/>
      </c>
      <c r="AP705" s="245">
        <f>IF(AP$7="Actual","",IFERROR(-SUM(OFFSET(AO701,0,0,1,-MIN(AP$6,$K$698)))/$K$698,0))</f>
        <v/>
      </c>
      <c r="AQ705" s="245">
        <f>IF(AQ$7="Actual","",IFERROR(-SUM(OFFSET(AP701,0,0,1,-MIN(AQ$6,$K$698)))/$K$698,0))</f>
        <v/>
      </c>
      <c r="AR705" s="245">
        <f>IF(AR$7="Actual","",IFERROR(-SUM(OFFSET(AQ701,0,0,1,-MIN(AR$6,$K$698)))/$K$698,0))</f>
        <v/>
      </c>
      <c r="AS705" s="245">
        <f>IF(AS$7="Actual","",IFERROR(-SUM(OFFSET(AR701,0,0,1,-MIN(AS$6,$K$698)))/$K$698,0))</f>
        <v/>
      </c>
      <c r="AT705" s="245">
        <f>IF(AT$7="Actual","",IFERROR(-SUM(OFFSET(AS701,0,0,1,-MIN(AT$6,$K$698)))/$K$698,0))</f>
        <v/>
      </c>
      <c r="AU705" s="245">
        <f>IF(AU$7="Actual","",IFERROR(-SUM(OFFSET(AT701,0,0,1,-MIN(AU$6,$K$698)))/$K$698,0))</f>
        <v/>
      </c>
      <c r="AV705" s="245">
        <f>IF(AV$7="Actual","",IFERROR(-SUM(OFFSET(AU701,0,0,1,-MIN(AV$6,$K$698)))/$K$698,0))</f>
        <v/>
      </c>
      <c r="AW705" s="245">
        <f>IF(AW$7="Actual","",IFERROR(-SUM(OFFSET(AV701,0,0,1,-MIN(AW$6,$K$698)))/$K$698,0))</f>
        <v/>
      </c>
      <c r="AX705" s="245">
        <f>IF(AX$7="Actual","",IFERROR(-SUM(OFFSET(AW701,0,0,1,-MIN(AX$6,$K$698)))/$K$698,0))</f>
        <v/>
      </c>
      <c r="AY705" s="245">
        <f>IF(AY$7="Actual","",IFERROR(-SUM(OFFSET(AX701,0,0,1,-MIN(AY$6,$K$698)))/$K$698,0))</f>
        <v/>
      </c>
      <c r="AZ705" s="245">
        <f>IF(AZ$7="Actual","",IFERROR(-SUM(OFFSET(AY701,0,0,1,-MIN(AZ$6,$K$698)))/$K$698,0))</f>
        <v/>
      </c>
      <c r="BA705" s="245">
        <f>IF(BA$7="Actual","",IFERROR(-SUM(OFFSET(AZ701,0,0,1,-MIN(BA$6,$K$698)))/$K$698,0))</f>
        <v/>
      </c>
      <c r="BB705" s="245">
        <f>IF(BB$7="Actual","",IFERROR(-SUM(OFFSET(BA701,0,0,1,-MIN(BB$6,$K$698)))/$K$698,0))</f>
        <v/>
      </c>
      <c r="BC705" s="245">
        <f>IF(BC$7="Actual","",IFERROR(-SUM(OFFSET(BB701,0,0,1,-MIN(BC$6,$K$698)))/$K$698,0))</f>
        <v/>
      </c>
      <c r="BD705" s="245">
        <f>IF(BD$7="Actual","",IFERROR(-SUM(OFFSET(BC701,0,0,1,-MIN(BD$6,$K$698)))/$K$698,0))</f>
        <v/>
      </c>
      <c r="BE705" s="245">
        <f>IF(BE$7="Actual","",IFERROR(-SUM(OFFSET(BD701,0,0,1,-MIN(BE$6,$K$698)))/$K$698,0))</f>
        <v/>
      </c>
      <c r="BF705" s="245">
        <f>IF(BF$7="Actual","",IFERROR(-SUM(OFFSET(BE701,0,0,1,-MIN(BF$6,$K$698)))/$K$698,0))</f>
        <v/>
      </c>
      <c r="BG705" s="245">
        <f>IF(BG$7="Actual","",IFERROR(-SUM(OFFSET(BF701,0,0,1,-MIN(BG$6,$K$698)))/$K$698,0))</f>
        <v/>
      </c>
      <c r="BH705" s="245">
        <f>IF(BH$7="Actual","",IFERROR(-SUM(OFFSET(BG701,0,0,1,-MIN(BH$6,$K$698)))/$K$698,0))</f>
        <v/>
      </c>
      <c r="BI705" s="245">
        <f>IF(BI$7="Actual","",IFERROR(-SUM(OFFSET(BH701,0,0,1,-MIN(BI$6,$K$698)))/$K$698,0))</f>
        <v/>
      </c>
      <c r="BJ705" s="245">
        <f>IF(BJ$7="Actual","",IFERROR(-SUM(OFFSET(BI701,0,0,1,-MIN(BJ$6,$K$698)))/$K$698,0))</f>
        <v/>
      </c>
      <c r="BK705" s="245">
        <f>IF(BK$7="Actual","",IFERROR(-SUM(OFFSET(BJ701,0,0,1,-MIN(BK$6,$K$698)))/$K$698,0))</f>
        <v/>
      </c>
      <c r="BL705" s="245">
        <f>IF(BL$7="Actual","",IFERROR(-SUM(OFFSET(BK701,0,0,1,-MIN(BL$6,$K$698)))/$K$698,0))</f>
        <v/>
      </c>
      <c r="BM705" s="245">
        <f>IF(BM$7="Actual","",IFERROR(-SUM(OFFSET(BL701,0,0,1,-MIN(BM$6,$K$698)))/$K$698,0))</f>
        <v/>
      </c>
      <c r="BN705" s="245">
        <f>IF(BN$7="Actual","",IFERROR(-SUM(OFFSET(BM701,0,0,1,-MIN(BN$6,$K$698)))/$K$698,0))</f>
        <v/>
      </c>
      <c r="BO705" s="245">
        <f>IF(BO$7="Actual","",IFERROR(-SUM(OFFSET(BN701,0,0,1,-MIN(BO$6,$K$698)))/$K$698,0))</f>
        <v/>
      </c>
      <c r="BP705" s="245">
        <f>IF(BP$7="Actual","",IFERROR(-SUM(OFFSET(BO701,0,0,1,-MIN(BP$6,$K$698)))/$K$698,0))</f>
        <v/>
      </c>
      <c r="BQ705" s="245">
        <f>IF(BQ$7="Actual","",IFERROR(-SUM(OFFSET(BP701,0,0,1,-MIN(BQ$6,$K$698)))/$K$698,0))</f>
        <v/>
      </c>
      <c r="BR705" s="245">
        <f>IF(BR$7="Actual","",IFERROR(-SUM(OFFSET(BQ701,0,0,1,-MIN(BR$6,$K$698)))/$K$698,0))</f>
        <v/>
      </c>
      <c r="BS705" s="245">
        <f>IF(BS$7="Actual","",IFERROR(-SUM(OFFSET(BR701,0,0,1,-MIN(BS$6,$K$698)))/$K$698,0))</f>
        <v/>
      </c>
      <c r="BT705" s="245">
        <f>IF(BT$7="Actual","",IFERROR(-SUM(OFFSET(BS701,0,0,1,-MIN(BT$6,$K$698)))/$K$698,0))</f>
        <v/>
      </c>
      <c r="BU705" s="245">
        <f>IF(BU$7="Actual","",IFERROR(-SUM(OFFSET(BT701,0,0,1,-MIN(BU$6,$K$698)))/$K$698,0))</f>
        <v/>
      </c>
      <c r="BV705" s="245">
        <f>IF(BV$7="Actual","",IFERROR(-SUM(OFFSET(BU701,0,0,1,-MIN(BV$6,$K$698)))/$K$698,0))</f>
        <v/>
      </c>
      <c r="BW705" s="245">
        <f>IF(BW$7="Actual","",IFERROR(-SUM(OFFSET(BV701,0,0,1,-MIN(BW$6,$K$698)))/$K$698,0))</f>
        <v/>
      </c>
      <c r="BX705" s="245">
        <f>IF(BX$7="Actual","",IFERROR(-SUM(OFFSET(BW701,0,0,1,-MIN(BX$6,$K$698)))/$K$698,0))</f>
        <v/>
      </c>
      <c r="BY705" s="245">
        <f>IF(BY$7="Actual","",IFERROR(-SUM(OFFSET(BX701,0,0,1,-MIN(BY$6,$K$698)))/$K$698,0))</f>
        <v/>
      </c>
      <c r="BZ705" s="245">
        <f>IF(BZ$7="Actual","",IFERROR(-SUM(OFFSET(BY701,0,0,1,-MIN(BZ$6,$K$698)))/$K$698,0))</f>
        <v/>
      </c>
      <c r="CA705" s="245">
        <f>IF(CA$7="Actual","",IFERROR(-SUM(OFFSET(BZ701,0,0,1,-MIN(CA$6,$K$698)))/$K$698,0))</f>
        <v/>
      </c>
    </row>
    <row r="706" ht="12" customHeight="1" s="227">
      <c r="A706" s="244" t="n"/>
      <c r="B706" s="244" t="n"/>
      <c r="C706" s="244" t="n"/>
      <c r="H706" s="0" t="inlineStr">
        <is>
          <t xml:space="preserve"> Depreciation - Additions</t>
        </is>
      </c>
      <c r="I706" s="27">
        <f>i_Setup!$M$16</f>
        <v/>
      </c>
      <c r="K706" s="6" t="n"/>
      <c r="M706" s="245">
        <f>SUMIF($T$4:$CA$4,M$4,$T706:$CA706)</f>
        <v/>
      </c>
      <c r="N706" s="245">
        <f>SUMIF($T$4:$CA$4,N$4,$T706:$CA706)</f>
        <v/>
      </c>
      <c r="O706" s="245">
        <f>SUMIF($T$4:$CA$4,O$4,$T706:$CA706)</f>
        <v/>
      </c>
      <c r="P706" s="245">
        <f>SUMIF($T$4:$CA$4,P$4,$T706:$CA706)</f>
        <v/>
      </c>
      <c r="Q706" s="245">
        <f>SUMIF($T$4:$CA$4,Q$4,$T706:$CA706)</f>
        <v/>
      </c>
      <c r="T706" s="245">
        <f>IF(T$7="Actual","",IFERROR(-SUM(OFFSET(S704,0,0,1,-MIN(T$6,$K$699)))/$K$699,0))</f>
        <v/>
      </c>
      <c r="U706" s="245">
        <f>IF(U$7="Actual","",IFERROR(-SUM(OFFSET(T704,0,0,1,-MIN(U$6,$K$699)))/$K$699,0))</f>
        <v/>
      </c>
      <c r="V706" s="245">
        <f>IF(V$7="Actual","",IFERROR(-SUM(OFFSET(U704,0,0,1,-MIN(V$6,$K$699)))/$K$699,0))</f>
        <v/>
      </c>
      <c r="W706" s="245">
        <f>IF(W$7="Actual","",IFERROR(-SUM(OFFSET(V704,0,0,1,-MIN(W$6,$K$699)))/$K$699,0))</f>
        <v/>
      </c>
      <c r="X706" s="245">
        <f>IF(X$7="Actual","",IFERROR(-SUM(OFFSET(W704,0,0,1,-MIN(X$6,$K$699)))/$K$699,0))</f>
        <v/>
      </c>
      <c r="Y706" s="245">
        <f>IF(Y$7="Actual","",IFERROR(-SUM(OFFSET(X704,0,0,1,-MIN(Y$6,$K$699)))/$K$699,0))</f>
        <v/>
      </c>
      <c r="Z706" s="245">
        <f>IF(Z$7="Actual","",IFERROR(-SUM(OFFSET(Y704,0,0,1,-MIN(Z$6,$K$699)))/$K$699,0))</f>
        <v/>
      </c>
      <c r="AA706" s="245">
        <f>IF(AA$7="Actual","",IFERROR(-SUM(OFFSET(Z704,0,0,1,-MIN(AA$6,$K$699)))/$K$699,0))</f>
        <v/>
      </c>
      <c r="AB706" s="245">
        <f>IF(AB$7="Actual","",IFERROR(-SUM(OFFSET(AA704,0,0,1,-MIN(AB$6,$K$699)))/$K$699,0))</f>
        <v/>
      </c>
      <c r="AC706" s="245">
        <f>IF(AC$7="Actual","",IFERROR(-SUM(OFFSET(AB704,0,0,1,-MIN(AC$6,$K$699)))/$K$699,0))</f>
        <v/>
      </c>
      <c r="AD706" s="245">
        <f>IF(AD$7="Actual","",IFERROR(-SUM(OFFSET(AC704,0,0,1,-MIN(AD$6,$K$699)))/$K$699,0))</f>
        <v/>
      </c>
      <c r="AE706" s="245">
        <f>IF(AE$7="Actual","",IFERROR(-SUM(OFFSET(AD704,0,0,1,-MIN(AE$6,$K$699)))/$K$699,0))</f>
        <v/>
      </c>
      <c r="AF706" s="245">
        <f>IF(AF$7="Actual","",IFERROR(-SUM(OFFSET(AE704,0,0,1,-MIN(AF$6,$K$699)))/$K$699,0))</f>
        <v/>
      </c>
      <c r="AG706" s="245">
        <f>IF(AG$7="Actual","",IFERROR(-SUM(OFFSET(AF704,0,0,1,-MIN(AG$6,$K$699)))/$K$699,0))</f>
        <v/>
      </c>
      <c r="AH706" s="245">
        <f>IF(AH$7="Actual","",IFERROR(-SUM(OFFSET(AG704,0,0,1,-MIN(AH$6,$K$699)))/$K$699,0))</f>
        <v/>
      </c>
      <c r="AI706" s="245">
        <f>IF(AI$7="Actual","",IFERROR(-SUM(OFFSET(AH704,0,0,1,-MIN(AI$6,$K$699)))/$K$699,0))</f>
        <v/>
      </c>
      <c r="AJ706" s="245">
        <f>IF(AJ$7="Actual","",IFERROR(-SUM(OFFSET(AI704,0,0,1,-MIN(AJ$6,$K$699)))/$K$699,0))</f>
        <v/>
      </c>
      <c r="AK706" s="245">
        <f>IF(AK$7="Actual","",IFERROR(-SUM(OFFSET(AJ704,0,0,1,-MIN(AK$6,$K$699)))/$K$699,0))</f>
        <v/>
      </c>
      <c r="AL706" s="245">
        <f>IF(AL$7="Actual","",IFERROR(-SUM(OFFSET(AK704,0,0,1,-MIN(AL$6,$K$699)))/$K$699,0))</f>
        <v/>
      </c>
      <c r="AM706" s="245">
        <f>IF(AM$7="Actual","",IFERROR(-SUM(OFFSET(AL704,0,0,1,-MIN(AM$6,$K$699)))/$K$699,0))</f>
        <v/>
      </c>
      <c r="AN706" s="245">
        <f>IF(AN$7="Actual","",IFERROR(-SUM(OFFSET(AM704,0,0,1,-MIN(AN$6,$K$699)))/$K$699,0))</f>
        <v/>
      </c>
      <c r="AO706" s="245">
        <f>IF(AO$7="Actual","",IFERROR(-SUM(OFFSET(AN704,0,0,1,-MIN(AO$6,$K$699)))/$K$699,0))</f>
        <v/>
      </c>
      <c r="AP706" s="245">
        <f>IF(AP$7="Actual","",IFERROR(-SUM(OFFSET(AO704,0,0,1,-MIN(AP$6,$K$699)))/$K$699,0))</f>
        <v/>
      </c>
      <c r="AQ706" s="245">
        <f>IF(AQ$7="Actual","",IFERROR(-SUM(OFFSET(AP704,0,0,1,-MIN(AQ$6,$K$699)))/$K$699,0))</f>
        <v/>
      </c>
      <c r="AR706" s="245">
        <f>IF(AR$7="Actual","",IFERROR(-SUM(OFFSET(AQ704,0,0,1,-MIN(AR$6,$K$699)))/$K$699,0))</f>
        <v/>
      </c>
      <c r="AS706" s="245">
        <f>IF(AS$7="Actual","",IFERROR(-SUM(OFFSET(AR704,0,0,1,-MIN(AS$6,$K$699)))/$K$699,0))</f>
        <v/>
      </c>
      <c r="AT706" s="245">
        <f>IF(AT$7="Actual","",IFERROR(-SUM(OFFSET(AS704,0,0,1,-MIN(AT$6,$K$699)))/$K$699,0))</f>
        <v/>
      </c>
      <c r="AU706" s="245">
        <f>IF(AU$7="Actual","",IFERROR(-SUM(OFFSET(AT704,0,0,1,-MIN(AU$6,$K$699)))/$K$699,0))</f>
        <v/>
      </c>
      <c r="AV706" s="245">
        <f>IF(AV$7="Actual","",IFERROR(-SUM(OFFSET(AU704,0,0,1,-MIN(AV$6,$K$699)))/$K$699,0))</f>
        <v/>
      </c>
      <c r="AW706" s="245">
        <f>IF(AW$7="Actual","",IFERROR(-SUM(OFFSET(AV704,0,0,1,-MIN(AW$6,$K$699)))/$K$699,0))</f>
        <v/>
      </c>
      <c r="AX706" s="245">
        <f>IF(AX$7="Actual","",IFERROR(-SUM(OFFSET(AW704,0,0,1,-MIN(AX$6,$K$699)))/$K$699,0))</f>
        <v/>
      </c>
      <c r="AY706" s="245">
        <f>IF(AY$7="Actual","",IFERROR(-SUM(OFFSET(AX704,0,0,1,-MIN(AY$6,$K$699)))/$K$699,0))</f>
        <v/>
      </c>
      <c r="AZ706" s="245">
        <f>IF(AZ$7="Actual","",IFERROR(-SUM(OFFSET(AY704,0,0,1,-MIN(AZ$6,$K$699)))/$K$699,0))</f>
        <v/>
      </c>
      <c r="BA706" s="245">
        <f>IF(BA$7="Actual","",IFERROR(-SUM(OFFSET(AZ704,0,0,1,-MIN(BA$6,$K$699)))/$K$699,0))</f>
        <v/>
      </c>
      <c r="BB706" s="245">
        <f>IF(BB$7="Actual","",IFERROR(-SUM(OFFSET(BA704,0,0,1,-MIN(BB$6,$K$699)))/$K$699,0))</f>
        <v/>
      </c>
      <c r="BC706" s="245">
        <f>IF(BC$7="Actual","",IFERROR(-SUM(OFFSET(BB704,0,0,1,-MIN(BC$6,$K$699)))/$K$699,0))</f>
        <v/>
      </c>
      <c r="BD706" s="245">
        <f>IF(BD$7="Actual","",IFERROR(-SUM(OFFSET(BC704,0,0,1,-MIN(BD$6,$K$699)))/$K$699,0))</f>
        <v/>
      </c>
      <c r="BE706" s="245">
        <f>IF(BE$7="Actual","",IFERROR(-SUM(OFFSET(BD704,0,0,1,-MIN(BE$6,$K$699)))/$K$699,0))</f>
        <v/>
      </c>
      <c r="BF706" s="245">
        <f>IF(BF$7="Actual","",IFERROR(-SUM(OFFSET(BE704,0,0,1,-MIN(BF$6,$K$699)))/$K$699,0))</f>
        <v/>
      </c>
      <c r="BG706" s="245">
        <f>IF(BG$7="Actual","",IFERROR(-SUM(OFFSET(BF704,0,0,1,-MIN(BG$6,$K$699)))/$K$699,0))</f>
        <v/>
      </c>
      <c r="BH706" s="245">
        <f>IF(BH$7="Actual","",IFERROR(-SUM(OFFSET(BG704,0,0,1,-MIN(BH$6,$K$699)))/$K$699,0))</f>
        <v/>
      </c>
      <c r="BI706" s="245">
        <f>IF(BI$7="Actual","",IFERROR(-SUM(OFFSET(BH704,0,0,1,-MIN(BI$6,$K$699)))/$K$699,0))</f>
        <v/>
      </c>
      <c r="BJ706" s="245">
        <f>IF(BJ$7="Actual","",IFERROR(-SUM(OFFSET(BI704,0,0,1,-MIN(BJ$6,$K$699)))/$K$699,0))</f>
        <v/>
      </c>
      <c r="BK706" s="245">
        <f>IF(BK$7="Actual","",IFERROR(-SUM(OFFSET(BJ704,0,0,1,-MIN(BK$6,$K$699)))/$K$699,0))</f>
        <v/>
      </c>
      <c r="BL706" s="245">
        <f>IF(BL$7="Actual","",IFERROR(-SUM(OFFSET(BK704,0,0,1,-MIN(BL$6,$K$699)))/$K$699,0))</f>
        <v/>
      </c>
      <c r="BM706" s="245">
        <f>IF(BM$7="Actual","",IFERROR(-SUM(OFFSET(BL704,0,0,1,-MIN(BM$6,$K$699)))/$K$699,0))</f>
        <v/>
      </c>
      <c r="BN706" s="245">
        <f>IF(BN$7="Actual","",IFERROR(-SUM(OFFSET(BM704,0,0,1,-MIN(BN$6,$K$699)))/$K$699,0))</f>
        <v/>
      </c>
      <c r="BO706" s="245">
        <f>IF(BO$7="Actual","",IFERROR(-SUM(OFFSET(BN704,0,0,1,-MIN(BO$6,$K$699)))/$K$699,0))</f>
        <v/>
      </c>
      <c r="BP706" s="245">
        <f>IF(BP$7="Actual","",IFERROR(-SUM(OFFSET(BO704,0,0,1,-MIN(BP$6,$K$699)))/$K$699,0))</f>
        <v/>
      </c>
      <c r="BQ706" s="245">
        <f>IF(BQ$7="Actual","",IFERROR(-SUM(OFFSET(BP704,0,0,1,-MIN(BQ$6,$K$699)))/$K$699,0))</f>
        <v/>
      </c>
      <c r="BR706" s="245">
        <f>IF(BR$7="Actual","",IFERROR(-SUM(OFFSET(BQ704,0,0,1,-MIN(BR$6,$K$699)))/$K$699,0))</f>
        <v/>
      </c>
      <c r="BS706" s="245">
        <f>IF(BS$7="Actual","",IFERROR(-SUM(OFFSET(BR704,0,0,1,-MIN(BS$6,$K$699)))/$K$699,0))</f>
        <v/>
      </c>
      <c r="BT706" s="245">
        <f>IF(BT$7="Actual","",IFERROR(-SUM(OFFSET(BS704,0,0,1,-MIN(BT$6,$K$699)))/$K$699,0))</f>
        <v/>
      </c>
      <c r="BU706" s="245">
        <f>IF(BU$7="Actual","",IFERROR(-SUM(OFFSET(BT704,0,0,1,-MIN(BU$6,$K$699)))/$K$699,0))</f>
        <v/>
      </c>
      <c r="BV706" s="245">
        <f>IF(BV$7="Actual","",IFERROR(-SUM(OFFSET(BU704,0,0,1,-MIN(BV$6,$K$699)))/$K$699,0))</f>
        <v/>
      </c>
      <c r="BW706" s="245">
        <f>IF(BW$7="Actual","",IFERROR(-SUM(OFFSET(BV704,0,0,1,-MIN(BW$6,$K$699)))/$K$699,0))</f>
        <v/>
      </c>
      <c r="BX706" s="245">
        <f>IF(BX$7="Actual","",IFERROR(-SUM(OFFSET(BW704,0,0,1,-MIN(BX$6,$K$699)))/$K$699,0))</f>
        <v/>
      </c>
      <c r="BY706" s="245">
        <f>IF(BY$7="Actual","",IFERROR(-SUM(OFFSET(BX704,0,0,1,-MIN(BY$6,$K$699)))/$K$699,0))</f>
        <v/>
      </c>
      <c r="BZ706" s="245">
        <f>IF(BZ$7="Actual","",IFERROR(-SUM(OFFSET(BY704,0,0,1,-MIN(BZ$6,$K$699)))/$K$699,0))</f>
        <v/>
      </c>
      <c r="CA706" s="245">
        <f>IF(CA$7="Actual","",IFERROR(-SUM(OFFSET(BZ704,0,0,1,-MIN(CA$6,$K$699)))/$K$699,0))</f>
        <v/>
      </c>
    </row>
    <row r="707" ht="12" customHeight="1" s="227" thickBot="1">
      <c r="A707" s="244" t="n"/>
      <c r="B707" s="244" t="n"/>
      <c r="C707" s="244" t="n"/>
      <c r="H707" s="42" t="inlineStr">
        <is>
          <t>Closing Balance</t>
        </is>
      </c>
      <c r="I707" s="43">
        <f>i_Setup!$M$16</f>
        <v/>
      </c>
      <c r="K707" s="6" t="n"/>
      <c r="M707" s="264">
        <f>SUMIF($T$2:$CA$2,M$2,$T707:$CA707)</f>
        <v/>
      </c>
      <c r="N707" s="264">
        <f>SUMIF($T$2:$CA$2,N$2,$T707:$CA707)</f>
        <v/>
      </c>
      <c r="O707" s="264">
        <f>SUMIF($T$2:$CA$2,O$2,$T707:$CA707)</f>
        <v/>
      </c>
      <c r="P707" s="264">
        <f>SUMIF($T$2:$CA$2,P$2,$T707:$CA707)</f>
        <v/>
      </c>
      <c r="Q707" s="264">
        <f>SUMIF($T$2:$CA$2,Q$2,$T707:$CA707)</f>
        <v/>
      </c>
      <c r="T707" s="264">
        <f>IF(T$7="Actual",i_Actuals!T111,SUM(T703:T706))</f>
        <v/>
      </c>
      <c r="U707" s="264">
        <f>IF(U$7="Actual",i_Actuals!U111,SUM(U703:U706))</f>
        <v/>
      </c>
      <c r="V707" s="264">
        <f>IF(V$7="Actual",i_Actuals!V111,SUM(V703:V706))</f>
        <v/>
      </c>
      <c r="W707" s="264">
        <f>IF(W$7="Actual",i_Actuals!W111,SUM(W703:W706))</f>
        <v/>
      </c>
      <c r="X707" s="264">
        <f>IF(X$7="Actual",i_Actuals!X111,SUM(X703:X706))</f>
        <v/>
      </c>
      <c r="Y707" s="264">
        <f>IF(Y$7="Actual",i_Actuals!Y111,SUM(Y703:Y706))</f>
        <v/>
      </c>
      <c r="Z707" s="264">
        <f>IF(Z$7="Actual",i_Actuals!Z111,SUM(Z703:Z706))</f>
        <v/>
      </c>
      <c r="AA707" s="264">
        <f>IF(AA$7="Actual",i_Actuals!AA111,SUM(AA703:AA706))</f>
        <v/>
      </c>
      <c r="AB707" s="264">
        <f>IF(AB$7="Actual",i_Actuals!AB111,SUM(AB703:AB706))</f>
        <v/>
      </c>
      <c r="AC707" s="264">
        <f>IF(AC$7="Actual",i_Actuals!AC111,SUM(AC703:AC706))</f>
        <v/>
      </c>
      <c r="AD707" s="264">
        <f>IF(AD$7="Actual",i_Actuals!AD111,SUM(AD703:AD706))</f>
        <v/>
      </c>
      <c r="AE707" s="264">
        <f>IF(AE$7="Actual",i_Actuals!AE111,SUM(AE703:AE706))</f>
        <v/>
      </c>
      <c r="AF707" s="264">
        <f>IF(AF$7="Actual",i_Actuals!AF111,SUM(AF703:AF706))</f>
        <v/>
      </c>
      <c r="AG707" s="264">
        <f>IF(AG$7="Actual",i_Actuals!AG111,SUM(AG703:AG706))</f>
        <v/>
      </c>
      <c r="AH707" s="264">
        <f>IF(AH$7="Actual",i_Actuals!AH111,SUM(AH703:AH706))</f>
        <v/>
      </c>
      <c r="AI707" s="264">
        <f>IF(AI$7="Actual",i_Actuals!AI111,SUM(AI703:AI706))</f>
        <v/>
      </c>
      <c r="AJ707" s="264">
        <f>IF(AJ$7="Actual",i_Actuals!AJ111,SUM(AJ703:AJ706))</f>
        <v/>
      </c>
      <c r="AK707" s="264">
        <f>IF(AK$7="Actual",i_Actuals!AK111,SUM(AK703:AK706))</f>
        <v/>
      </c>
      <c r="AL707" s="264">
        <f>IF(AL$7="Actual",i_Actuals!AL111,SUM(AL703:AL706))</f>
        <v/>
      </c>
      <c r="AM707" s="264">
        <f>IF(AM$7="Actual",i_Actuals!AM111,SUM(AM703:AM706))</f>
        <v/>
      </c>
      <c r="AN707" s="264">
        <f>IF(AN$7="Actual",i_Actuals!AN111,SUM(AN703:AN706))</f>
        <v/>
      </c>
      <c r="AO707" s="264">
        <f>IF(AO$7="Actual",i_Actuals!AO111,SUM(AO703:AO706))</f>
        <v/>
      </c>
      <c r="AP707" s="264">
        <f>IF(AP$7="Actual",i_Actuals!AP111,SUM(AP703:AP706))</f>
        <v/>
      </c>
      <c r="AQ707" s="264">
        <f>IF(AQ$7="Actual",i_Actuals!AQ111,SUM(AQ703:AQ706))</f>
        <v/>
      </c>
      <c r="AR707" s="264">
        <f>IF(AR$7="Actual",i_Actuals!AR111,SUM(AR703:AR706))</f>
        <v/>
      </c>
      <c r="AS707" s="264">
        <f>IF(AS$7="Actual",i_Actuals!AS111,SUM(AS703:AS706))</f>
        <v/>
      </c>
      <c r="AT707" s="264">
        <f>IF(AT$7="Actual",i_Actuals!AT111,SUM(AT703:AT706))</f>
        <v/>
      </c>
      <c r="AU707" s="264">
        <f>IF(AU$7="Actual",i_Actuals!AU111,SUM(AU703:AU706))</f>
        <v/>
      </c>
      <c r="AV707" s="264">
        <f>IF(AV$7="Actual",i_Actuals!AV111,SUM(AV703:AV706))</f>
        <v/>
      </c>
      <c r="AW707" s="264">
        <f>IF(AW$7="Actual",i_Actuals!AW111,SUM(AW703:AW706))</f>
        <v/>
      </c>
      <c r="AX707" s="264">
        <f>IF(AX$7="Actual",i_Actuals!AX111,SUM(AX703:AX706))</f>
        <v/>
      </c>
      <c r="AY707" s="264">
        <f>IF(AY$7="Actual",i_Actuals!AY111,SUM(AY703:AY706))</f>
        <v/>
      </c>
      <c r="AZ707" s="264">
        <f>IF(AZ$7="Actual",i_Actuals!AZ111,SUM(AZ703:AZ706))</f>
        <v/>
      </c>
      <c r="BA707" s="264">
        <f>IF(BA$7="Actual",i_Actuals!BA111,SUM(BA703:BA706))</f>
        <v/>
      </c>
      <c r="BB707" s="264">
        <f>IF(BB$7="Actual",i_Actuals!BB111,SUM(BB703:BB706))</f>
        <v/>
      </c>
      <c r="BC707" s="264">
        <f>IF(BC$7="Actual",i_Actuals!BC111,SUM(BC703:BC706))</f>
        <v/>
      </c>
      <c r="BD707" s="264">
        <f>IF(BD$7="Actual",i_Actuals!BD111,SUM(BD703:BD706))</f>
        <v/>
      </c>
      <c r="BE707" s="264">
        <f>IF(BE$7="Actual",i_Actuals!BE111,SUM(BE703:BE706))</f>
        <v/>
      </c>
      <c r="BF707" s="264">
        <f>IF(BF$7="Actual",i_Actuals!BF111,SUM(BF703:BF706))</f>
        <v/>
      </c>
      <c r="BG707" s="264">
        <f>IF(BG$7="Actual",i_Actuals!BG111,SUM(BG703:BG706))</f>
        <v/>
      </c>
      <c r="BH707" s="264">
        <f>IF(BH$7="Actual",i_Actuals!BH111,SUM(BH703:BH706))</f>
        <v/>
      </c>
      <c r="BI707" s="264">
        <f>IF(BI$7="Actual",i_Actuals!BI111,SUM(BI703:BI706))</f>
        <v/>
      </c>
      <c r="BJ707" s="264">
        <f>IF(BJ$7="Actual",i_Actuals!BJ111,SUM(BJ703:BJ706))</f>
        <v/>
      </c>
      <c r="BK707" s="264">
        <f>IF(BK$7="Actual",i_Actuals!BK111,SUM(BK703:BK706))</f>
        <v/>
      </c>
      <c r="BL707" s="264">
        <f>IF(BL$7="Actual",i_Actuals!BL111,SUM(BL703:BL706))</f>
        <v/>
      </c>
      <c r="BM707" s="264">
        <f>IF(BM$7="Actual",i_Actuals!BM111,SUM(BM703:BM706))</f>
        <v/>
      </c>
      <c r="BN707" s="264">
        <f>IF(BN$7="Actual",i_Actuals!BN111,SUM(BN703:BN706))</f>
        <v/>
      </c>
      <c r="BO707" s="264">
        <f>IF(BO$7="Actual",i_Actuals!BO111,SUM(BO703:BO706))</f>
        <v/>
      </c>
      <c r="BP707" s="264">
        <f>IF(BP$7="Actual",i_Actuals!BP111,SUM(BP703:BP706))</f>
        <v/>
      </c>
      <c r="BQ707" s="264">
        <f>IF(BQ$7="Actual",i_Actuals!BQ111,SUM(BQ703:BQ706))</f>
        <v/>
      </c>
      <c r="BR707" s="264">
        <f>IF(BR$7="Actual",i_Actuals!BR111,SUM(BR703:BR706))</f>
        <v/>
      </c>
      <c r="BS707" s="264">
        <f>IF(BS$7="Actual",i_Actuals!BS111,SUM(BS703:BS706))</f>
        <v/>
      </c>
      <c r="BT707" s="264">
        <f>IF(BT$7="Actual",i_Actuals!BT111,SUM(BT703:BT706))</f>
        <v/>
      </c>
      <c r="BU707" s="264">
        <f>IF(BU$7="Actual",i_Actuals!BU111,SUM(BU703:BU706))</f>
        <v/>
      </c>
      <c r="BV707" s="264">
        <f>IF(BV$7="Actual",i_Actuals!BV111,SUM(BV703:BV706))</f>
        <v/>
      </c>
      <c r="BW707" s="264">
        <f>IF(BW$7="Actual",i_Actuals!BW111,SUM(BW703:BW706))</f>
        <v/>
      </c>
      <c r="BX707" s="264">
        <f>IF(BX$7="Actual",i_Actuals!BX111,SUM(BX703:BX706))</f>
        <v/>
      </c>
      <c r="BY707" s="264">
        <f>IF(BY$7="Actual",i_Actuals!BY111,SUM(BY703:BY706))</f>
        <v/>
      </c>
      <c r="BZ707" s="264">
        <f>IF(BZ$7="Actual",i_Actuals!BZ111,SUM(BZ703:BZ706))</f>
        <v/>
      </c>
      <c r="CA707" s="264">
        <f>IF(CA$7="Actual",i_Actuals!CA111,SUM(CA703:CA706))</f>
        <v/>
      </c>
    </row>
    <row r="708" ht="12" customHeight="1" s="227">
      <c r="A708" s="244" t="n"/>
      <c r="B708" s="244" t="n"/>
      <c r="C708" s="244" t="n"/>
      <c r="K708" s="6" t="n"/>
    </row>
    <row r="709" ht="12" customFormat="1" customHeight="1" s="8">
      <c r="A709" s="244" t="n"/>
      <c r="B709" s="244">
        <f>SUM(L709:CA709)</f>
        <v/>
      </c>
      <c r="D709" s="4" t="n"/>
      <c r="E709" s="4" t="n"/>
      <c r="F709" s="4" t="n"/>
      <c r="G709" s="4" t="n"/>
      <c r="H709" s="0" t="inlineStr">
        <is>
          <t>Signage Check</t>
        </is>
      </c>
      <c r="I709" s="4" t="n"/>
      <c r="J709" s="4" t="n"/>
      <c r="K709" s="6" t="n"/>
      <c r="L709" s="4" t="n"/>
      <c r="M709" s="244">
        <f>IF(M$7&lt;&gt;"",IF(ROUND(M707,0)&lt;0,1,0),"")</f>
        <v/>
      </c>
      <c r="N709" s="244">
        <f>IF(N$7&lt;&gt;"",IF(ROUND(N707,0)&lt;0,1,0),"")</f>
        <v/>
      </c>
      <c r="O709" s="244">
        <f>IF(O$7&lt;&gt;"",IF(ROUND(O707,0)&lt;0,1,0),"")</f>
        <v/>
      </c>
      <c r="P709" s="244">
        <f>IF(P$7&lt;&gt;"",IF(ROUND(P707,0)&lt;0,1,0),"")</f>
        <v/>
      </c>
      <c r="Q709" s="244">
        <f>IF(Q$7&lt;&gt;"",IF(ROUND(Q707,0)&lt;0,1,0),"")</f>
        <v/>
      </c>
      <c r="R709" s="244" t="n"/>
      <c r="S709" s="244" t="n"/>
      <c r="T709" s="244">
        <f>IF(T$7&lt;&gt;"",IF(ROUND(T707,0)&lt;0,1,0),"")</f>
        <v/>
      </c>
      <c r="U709" s="244">
        <f>IF(U$7&lt;&gt;"",IF(ROUND(U707,0)&lt;0,1,0),"")</f>
        <v/>
      </c>
      <c r="V709" s="244">
        <f>IF(V$7&lt;&gt;"",IF(ROUND(V707,0)&lt;0,1,0),"")</f>
        <v/>
      </c>
      <c r="W709" s="244">
        <f>IF(W$7&lt;&gt;"",IF(ROUND(W707,0)&lt;0,1,0),"")</f>
        <v/>
      </c>
      <c r="X709" s="244">
        <f>IF(X$7&lt;&gt;"",IF(ROUND(X707,0)&lt;0,1,0),"")</f>
        <v/>
      </c>
      <c r="Y709" s="244">
        <f>IF(Y$7&lt;&gt;"",IF(ROUND(Y707,0)&lt;0,1,0),"")</f>
        <v/>
      </c>
      <c r="Z709" s="244">
        <f>IF(Z$7&lt;&gt;"",IF(ROUND(Z707,0)&lt;0,1,0),"")</f>
        <v/>
      </c>
      <c r="AA709" s="244">
        <f>IF(AA$7&lt;&gt;"",IF(ROUND(AA707,0)&lt;0,1,0),"")</f>
        <v/>
      </c>
      <c r="AB709" s="244">
        <f>IF(AB$7&lt;&gt;"",IF(ROUND(AB707,0)&lt;0,1,0),"")</f>
        <v/>
      </c>
      <c r="AC709" s="244">
        <f>IF(AC$7&lt;&gt;"",IF(ROUND(AC707,0)&lt;0,1,0),"")</f>
        <v/>
      </c>
      <c r="AD709" s="244">
        <f>IF(AD$7&lt;&gt;"",IF(ROUND(AD707,0)&lt;0,1,0),"")</f>
        <v/>
      </c>
      <c r="AE709" s="244">
        <f>IF(AE$7&lt;&gt;"",IF(ROUND(AE707,0)&lt;0,1,0),"")</f>
        <v/>
      </c>
      <c r="AF709" s="244">
        <f>IF(AF$7&lt;&gt;"",IF(ROUND(AF707,0)&lt;0,1,0),"")</f>
        <v/>
      </c>
      <c r="AG709" s="244">
        <f>IF(AG$7&lt;&gt;"",IF(ROUND(AG707,0)&lt;0,1,0),"")</f>
        <v/>
      </c>
      <c r="AH709" s="244">
        <f>IF(AH$7&lt;&gt;"",IF(ROUND(AH707,0)&lt;0,1,0),"")</f>
        <v/>
      </c>
      <c r="AI709" s="244">
        <f>IF(AI$7&lt;&gt;"",IF(ROUND(AI707,0)&lt;0,1,0),"")</f>
        <v/>
      </c>
      <c r="AJ709" s="244">
        <f>IF(AJ$7&lt;&gt;"",IF(ROUND(AJ707,0)&lt;0,1,0),"")</f>
        <v/>
      </c>
      <c r="AK709" s="244">
        <f>IF(AK$7&lt;&gt;"",IF(ROUND(AK707,0)&lt;0,1,0),"")</f>
        <v/>
      </c>
      <c r="AL709" s="244">
        <f>IF(AL$7&lt;&gt;"",IF(ROUND(AL707,0)&lt;0,1,0),"")</f>
        <v/>
      </c>
      <c r="AM709" s="244">
        <f>IF(AM$7&lt;&gt;"",IF(ROUND(AM707,0)&lt;0,1,0),"")</f>
        <v/>
      </c>
      <c r="AN709" s="244">
        <f>IF(AN$7&lt;&gt;"",IF(ROUND(AN707,0)&lt;0,1,0),"")</f>
        <v/>
      </c>
      <c r="AO709" s="244">
        <f>IF(AO$7&lt;&gt;"",IF(ROUND(AO707,0)&lt;0,1,0),"")</f>
        <v/>
      </c>
      <c r="AP709" s="244">
        <f>IF(AP$7&lt;&gt;"",IF(ROUND(AP707,0)&lt;0,1,0),"")</f>
        <v/>
      </c>
      <c r="AQ709" s="244">
        <f>IF(AQ$7&lt;&gt;"",IF(ROUND(AQ707,0)&lt;0,1,0),"")</f>
        <v/>
      </c>
      <c r="AR709" s="244">
        <f>IF(AR$7&lt;&gt;"",IF(ROUND(AR707,0)&lt;0,1,0),"")</f>
        <v/>
      </c>
      <c r="AS709" s="244">
        <f>IF(AS$7&lt;&gt;"",IF(ROUND(AS707,0)&lt;0,1,0),"")</f>
        <v/>
      </c>
      <c r="AT709" s="244">
        <f>IF(AT$7&lt;&gt;"",IF(ROUND(AT707,0)&lt;0,1,0),"")</f>
        <v/>
      </c>
      <c r="AU709" s="244">
        <f>IF(AU$7&lt;&gt;"",IF(ROUND(AU707,0)&lt;0,1,0),"")</f>
        <v/>
      </c>
      <c r="AV709" s="244">
        <f>IF(AV$7&lt;&gt;"",IF(ROUND(AV707,0)&lt;0,1,0),"")</f>
        <v/>
      </c>
      <c r="AW709" s="244">
        <f>IF(AW$7&lt;&gt;"",IF(ROUND(AW707,0)&lt;0,1,0),"")</f>
        <v/>
      </c>
      <c r="AX709" s="244">
        <f>IF(AX$7&lt;&gt;"",IF(ROUND(AX707,0)&lt;0,1,0),"")</f>
        <v/>
      </c>
      <c r="AY709" s="244">
        <f>IF(AY$7&lt;&gt;"",IF(ROUND(AY707,0)&lt;0,1,0),"")</f>
        <v/>
      </c>
      <c r="AZ709" s="244">
        <f>IF(AZ$7&lt;&gt;"",IF(ROUND(AZ707,0)&lt;0,1,0),"")</f>
        <v/>
      </c>
      <c r="BA709" s="244">
        <f>IF(BA$7&lt;&gt;"",IF(ROUND(BA707,0)&lt;0,1,0),"")</f>
        <v/>
      </c>
      <c r="BB709" s="244">
        <f>IF(BB$7&lt;&gt;"",IF(ROUND(BB707,0)&lt;0,1,0),"")</f>
        <v/>
      </c>
      <c r="BC709" s="244">
        <f>IF(BC$7&lt;&gt;"",IF(ROUND(BC707,0)&lt;0,1,0),"")</f>
        <v/>
      </c>
      <c r="BD709" s="244">
        <f>IF(BD$7&lt;&gt;"",IF(ROUND(BD707,0)&lt;0,1,0),"")</f>
        <v/>
      </c>
      <c r="BE709" s="244">
        <f>IF(BE$7&lt;&gt;"",IF(ROUND(BE707,0)&lt;0,1,0),"")</f>
        <v/>
      </c>
      <c r="BF709" s="244">
        <f>IF(BF$7&lt;&gt;"",IF(ROUND(BF707,0)&lt;0,1,0),"")</f>
        <v/>
      </c>
      <c r="BG709" s="244">
        <f>IF(BG$7&lt;&gt;"",IF(ROUND(BG707,0)&lt;0,1,0),"")</f>
        <v/>
      </c>
      <c r="BH709" s="244">
        <f>IF(BH$7&lt;&gt;"",IF(ROUND(BH707,0)&lt;0,1,0),"")</f>
        <v/>
      </c>
      <c r="BI709" s="244">
        <f>IF(BI$7&lt;&gt;"",IF(ROUND(BI707,0)&lt;0,1,0),"")</f>
        <v/>
      </c>
      <c r="BJ709" s="244">
        <f>IF(BJ$7&lt;&gt;"",IF(ROUND(BJ707,0)&lt;0,1,0),"")</f>
        <v/>
      </c>
      <c r="BK709" s="244">
        <f>IF(BK$7&lt;&gt;"",IF(ROUND(BK707,0)&lt;0,1,0),"")</f>
        <v/>
      </c>
      <c r="BL709" s="244">
        <f>IF(BL$7&lt;&gt;"",IF(ROUND(BL707,0)&lt;0,1,0),"")</f>
        <v/>
      </c>
      <c r="BM709" s="244">
        <f>IF(BM$7&lt;&gt;"",IF(ROUND(BM707,0)&lt;0,1,0),"")</f>
        <v/>
      </c>
      <c r="BN709" s="244">
        <f>IF(BN$7&lt;&gt;"",IF(ROUND(BN707,0)&lt;0,1,0),"")</f>
        <v/>
      </c>
      <c r="BO709" s="244">
        <f>IF(BO$7&lt;&gt;"",IF(ROUND(BO707,0)&lt;0,1,0),"")</f>
        <v/>
      </c>
      <c r="BP709" s="244">
        <f>IF(BP$7&lt;&gt;"",IF(ROUND(BP707,0)&lt;0,1,0),"")</f>
        <v/>
      </c>
      <c r="BQ709" s="244">
        <f>IF(BQ$7&lt;&gt;"",IF(ROUND(BQ707,0)&lt;0,1,0),"")</f>
        <v/>
      </c>
      <c r="BR709" s="244">
        <f>IF(BR$7&lt;&gt;"",IF(ROUND(BR707,0)&lt;0,1,0),"")</f>
        <v/>
      </c>
      <c r="BS709" s="244">
        <f>IF(BS$7&lt;&gt;"",IF(ROUND(BS707,0)&lt;0,1,0),"")</f>
        <v/>
      </c>
      <c r="BT709" s="244">
        <f>IF(BT$7&lt;&gt;"",IF(ROUND(BT707,0)&lt;0,1,0),"")</f>
        <v/>
      </c>
      <c r="BU709" s="244">
        <f>IF(BU$7&lt;&gt;"",IF(ROUND(BU707,0)&lt;0,1,0),"")</f>
        <v/>
      </c>
      <c r="BV709" s="244">
        <f>IF(BV$7&lt;&gt;"",IF(ROUND(BV707,0)&lt;0,1,0),"")</f>
        <v/>
      </c>
      <c r="BW709" s="244">
        <f>IF(BW$7&lt;&gt;"",IF(ROUND(BW707,0)&lt;0,1,0),"")</f>
        <v/>
      </c>
      <c r="BX709" s="244">
        <f>IF(BX$7&lt;&gt;"",IF(ROUND(BX707,0)&lt;0,1,0),"")</f>
        <v/>
      </c>
      <c r="BY709" s="244">
        <f>IF(BY$7&lt;&gt;"",IF(ROUND(BY707,0)&lt;0,1,0),"")</f>
        <v/>
      </c>
      <c r="BZ709" s="244">
        <f>IF(BZ$7&lt;&gt;"",IF(ROUND(BZ707,0)&lt;0,1,0),"")</f>
        <v/>
      </c>
      <c r="CA709" s="244">
        <f>IF(CA$7&lt;&gt;"",IF(ROUND(CA707,0)&lt;0,1,0),"")</f>
        <v/>
      </c>
    </row>
    <row r="710" ht="12" customHeight="1" s="227">
      <c r="A710" s="244" t="n"/>
      <c r="B710" s="244" t="n"/>
      <c r="C710" s="244" t="n"/>
      <c r="K710" s="6" t="n"/>
    </row>
    <row r="711" ht="12" customHeight="1" s="227">
      <c r="A711" s="244" t="n"/>
      <c r="B711" s="244" t="n"/>
      <c r="C711" s="244" t="n"/>
      <c r="K711" s="6" t="n"/>
    </row>
    <row r="712" ht="12" customHeight="1" s="227">
      <c r="A712" s="244" t="n"/>
      <c r="B712" s="244" t="n"/>
      <c r="C712" s="244" t="n"/>
      <c r="G712" s="222">
        <f>H668</f>
        <v/>
      </c>
      <c r="K712" s="6" t="n"/>
    </row>
    <row r="713" ht="12" customHeight="1" s="227">
      <c r="A713" s="244" t="n"/>
      <c r="B713" s="244" t="n"/>
      <c r="C713" s="244" t="n"/>
      <c r="K713" s="6" t="n"/>
    </row>
    <row r="714" ht="12" customHeight="1" s="227">
      <c r="A714" s="244" t="n"/>
      <c r="B714" s="244" t="n"/>
      <c r="C714" s="244" t="n"/>
      <c r="H714" s="0" t="inlineStr">
        <is>
          <t>Useful Life - Opening Bal</t>
        </is>
      </c>
      <c r="I714" s="27" t="inlineStr">
        <is>
          <t>Months</t>
        </is>
      </c>
      <c r="K714" s="259">
        <f>i_Actuals!K112*12</f>
        <v/>
      </c>
    </row>
    <row r="715" ht="12" customHeight="1" s="227">
      <c r="A715" s="244" t="n"/>
      <c r="B715" s="244" t="n"/>
      <c r="C715" s="244" t="n"/>
      <c r="H715" s="0" t="inlineStr">
        <is>
          <t>Useful Life - Additions</t>
        </is>
      </c>
      <c r="I715" s="27" t="inlineStr">
        <is>
          <t>Months</t>
        </is>
      </c>
      <c r="K715" s="259">
        <f>i_Setup!R70*12</f>
        <v/>
      </c>
    </row>
    <row r="716" ht="12" customHeight="1" s="227">
      <c r="A716" s="244" t="n"/>
      <c r="B716" s="244" t="n"/>
      <c r="C716" s="244" t="n"/>
      <c r="H716" s="0" t="n"/>
      <c r="I716" s="27" t="n"/>
      <c r="K716" s="6" t="n"/>
    </row>
    <row r="717" ht="12" customHeight="1" s="227">
      <c r="A717" s="244" t="n"/>
      <c r="B717" s="244" t="n"/>
      <c r="C717" s="244" t="n"/>
      <c r="H717" s="0" t="inlineStr">
        <is>
          <t>Opening Balance</t>
        </is>
      </c>
      <c r="I717" s="27">
        <f>i_Setup!$M$16</f>
        <v/>
      </c>
      <c r="K717" s="6" t="n"/>
      <c r="M717" s="245">
        <f>SUMIF($T$1:$CA$1,M$1,$T717:$CA717)</f>
        <v/>
      </c>
      <c r="N717" s="245">
        <f>SUMIF($T$1:$CA$1,N$1,$T717:$CA717)</f>
        <v/>
      </c>
      <c r="O717" s="245">
        <f>SUMIF($T$1:$CA$1,O$1,$T717:$CA717)</f>
        <v/>
      </c>
      <c r="P717" s="245">
        <f>SUMIF($T$1:$CA$1,P$1,$T717:$CA717)</f>
        <v/>
      </c>
      <c r="Q717" s="245">
        <f>SUMIF($T$1:$CA$1,Q$1,$T717:$CA717)</f>
        <v/>
      </c>
      <c r="T717" s="245">
        <f>IF(T$2=i_Setup!$U$26,i_Actuals!T112,0)</f>
        <v/>
      </c>
      <c r="U717" s="245">
        <f>IF(U$2=i_Setup!$U$26,i_Actuals!U112,0)</f>
        <v/>
      </c>
      <c r="V717" s="245">
        <f>IF(V$2=i_Setup!$U$26,i_Actuals!V112,0)</f>
        <v/>
      </c>
      <c r="W717" s="245">
        <f>IF(W$2=i_Setup!$U$26,i_Actuals!W112,0)</f>
        <v/>
      </c>
      <c r="X717" s="245">
        <f>IF(X$2=i_Setup!$U$26,i_Actuals!X112,0)</f>
        <v/>
      </c>
      <c r="Y717" s="245">
        <f>IF(Y$2=i_Setup!$U$26,i_Actuals!Y112,0)</f>
        <v/>
      </c>
      <c r="Z717" s="245">
        <f>IF(Z$2=i_Setup!$U$26,i_Actuals!Z112,0)</f>
        <v/>
      </c>
      <c r="AA717" s="245">
        <f>IF(AA$2=i_Setup!$U$26,i_Actuals!AA112,0)</f>
        <v/>
      </c>
      <c r="AB717" s="245">
        <f>IF(AB$2=i_Setup!$U$26,i_Actuals!AB112,0)</f>
        <v/>
      </c>
      <c r="AC717" s="245">
        <f>IF(AC$2=i_Setup!$U$26,i_Actuals!AC112,0)</f>
        <v/>
      </c>
      <c r="AD717" s="245">
        <f>IF(AD$2=i_Setup!$U$26,i_Actuals!AD112,0)</f>
        <v/>
      </c>
      <c r="AE717" s="245">
        <f>IF(AE$2=i_Setup!$U$26,i_Actuals!AE112,0)</f>
        <v/>
      </c>
      <c r="AF717" s="245">
        <f>IF(AF$2=i_Setup!$U$26,i_Actuals!AF112,0)</f>
        <v/>
      </c>
      <c r="AG717" s="245">
        <f>IF(AG$2=i_Setup!$U$26,i_Actuals!AG112,0)</f>
        <v/>
      </c>
      <c r="AH717" s="245">
        <f>IF(AH$2=i_Setup!$U$26,i_Actuals!AH112,0)</f>
        <v/>
      </c>
      <c r="AI717" s="245">
        <f>IF(AI$2=i_Setup!$U$26,i_Actuals!AI112,0)</f>
        <v/>
      </c>
      <c r="AJ717" s="245">
        <f>IF(AJ$2=i_Setup!$U$26,i_Actuals!AJ112,0)</f>
        <v/>
      </c>
      <c r="AK717" s="245">
        <f>IF(AK$2=i_Setup!$U$26,i_Actuals!AK112,0)</f>
        <v/>
      </c>
      <c r="AL717" s="245">
        <f>IF(AL$2=i_Setup!$U$26,i_Actuals!AL112,0)</f>
        <v/>
      </c>
      <c r="AM717" s="245">
        <f>IF(AM$2=i_Setup!$U$26,i_Actuals!AM112,0)</f>
        <v/>
      </c>
      <c r="AN717" s="245">
        <f>IF(AN$2=i_Setup!$U$26,i_Actuals!AN112,0)</f>
        <v/>
      </c>
      <c r="AO717" s="245">
        <f>IF(AO$2=i_Setup!$U$26,i_Actuals!AO112,0)</f>
        <v/>
      </c>
      <c r="AP717" s="245">
        <f>IF(AP$2=i_Setup!$U$26,i_Actuals!AP112,0)</f>
        <v/>
      </c>
      <c r="AQ717" s="245">
        <f>IF(AQ$2=i_Setup!$U$26,i_Actuals!AQ112,0)</f>
        <v/>
      </c>
      <c r="AR717" s="245">
        <f>IF(AR$2=i_Setup!$U$26,i_Actuals!AR112,0)</f>
        <v/>
      </c>
      <c r="AS717" s="245">
        <f>IF(AS$2=i_Setup!$U$26,i_Actuals!AS112,0)</f>
        <v/>
      </c>
      <c r="AT717" s="245">
        <f>IF(AT$2=i_Setup!$U$26,i_Actuals!AT112,0)</f>
        <v/>
      </c>
      <c r="AU717" s="245">
        <f>IF(AU$2=i_Setup!$U$26,i_Actuals!AU112,0)</f>
        <v/>
      </c>
      <c r="AV717" s="245">
        <f>IF(AV$2=i_Setup!$U$26,i_Actuals!AV112,0)</f>
        <v/>
      </c>
      <c r="AW717" s="245">
        <f>IF(AW$2=i_Setup!$U$26,i_Actuals!AW112,0)</f>
        <v/>
      </c>
      <c r="AX717" s="245">
        <f>IF(AX$2=i_Setup!$U$26,i_Actuals!AX112,0)</f>
        <v/>
      </c>
      <c r="AY717" s="245">
        <f>IF(AY$2=i_Setup!$U$26,i_Actuals!AY112,0)</f>
        <v/>
      </c>
      <c r="AZ717" s="245">
        <f>IF(AZ$2=i_Setup!$U$26,i_Actuals!AZ112,0)</f>
        <v/>
      </c>
      <c r="BA717" s="245">
        <f>IF(BA$2=i_Setup!$U$26,i_Actuals!BA112,0)</f>
        <v/>
      </c>
      <c r="BB717" s="245">
        <f>IF(BB$2=i_Setup!$U$26,i_Actuals!BB112,0)</f>
        <v/>
      </c>
      <c r="BC717" s="245">
        <f>IF(BC$2=i_Setup!$U$26,i_Actuals!BC112,0)</f>
        <v/>
      </c>
      <c r="BD717" s="245">
        <f>IF(BD$2=i_Setup!$U$26,i_Actuals!BD112,0)</f>
        <v/>
      </c>
      <c r="BE717" s="245">
        <f>IF(BE$2=i_Setup!$U$26,i_Actuals!BE112,0)</f>
        <v/>
      </c>
      <c r="BF717" s="245">
        <f>IF(BF$2=i_Setup!$U$26,i_Actuals!BF112,0)</f>
        <v/>
      </c>
      <c r="BG717" s="245">
        <f>IF(BG$2=i_Setup!$U$26,i_Actuals!BG112,0)</f>
        <v/>
      </c>
      <c r="BH717" s="245">
        <f>IF(BH$2=i_Setup!$U$26,i_Actuals!BH112,0)</f>
        <v/>
      </c>
      <c r="BI717" s="245">
        <f>IF(BI$2=i_Setup!$U$26,i_Actuals!BI112,0)</f>
        <v/>
      </c>
      <c r="BJ717" s="245">
        <f>IF(BJ$2=i_Setup!$U$26,i_Actuals!BJ112,0)</f>
        <v/>
      </c>
      <c r="BK717" s="245">
        <f>IF(BK$2=i_Setup!$U$26,i_Actuals!BK112,0)</f>
        <v/>
      </c>
      <c r="BL717" s="245">
        <f>IF(BL$2=i_Setup!$U$26,i_Actuals!BL112,0)</f>
        <v/>
      </c>
      <c r="BM717" s="245">
        <f>IF(BM$2=i_Setup!$U$26,i_Actuals!BM112,0)</f>
        <v/>
      </c>
      <c r="BN717" s="245">
        <f>IF(BN$2=i_Setup!$U$26,i_Actuals!BN112,0)</f>
        <v/>
      </c>
      <c r="BO717" s="245">
        <f>IF(BO$2=i_Setup!$U$26,i_Actuals!BO112,0)</f>
        <v/>
      </c>
      <c r="BP717" s="245">
        <f>IF(BP$2=i_Setup!$U$26,i_Actuals!BP112,0)</f>
        <v/>
      </c>
      <c r="BQ717" s="245">
        <f>IF(BQ$2=i_Setup!$U$26,i_Actuals!BQ112,0)</f>
        <v/>
      </c>
      <c r="BR717" s="245">
        <f>IF(BR$2=i_Setup!$U$26,i_Actuals!BR112,0)</f>
        <v/>
      </c>
      <c r="BS717" s="245">
        <f>IF(BS$2=i_Setup!$U$26,i_Actuals!BS112,0)</f>
        <v/>
      </c>
      <c r="BT717" s="245">
        <f>IF(BT$2=i_Setup!$U$26,i_Actuals!BT112,0)</f>
        <v/>
      </c>
      <c r="BU717" s="245">
        <f>IF(BU$2=i_Setup!$U$26,i_Actuals!BU112,0)</f>
        <v/>
      </c>
      <c r="BV717" s="245">
        <f>IF(BV$2=i_Setup!$U$26,i_Actuals!BV112,0)</f>
        <v/>
      </c>
      <c r="BW717" s="245">
        <f>IF(BW$2=i_Setup!$U$26,i_Actuals!BW112,0)</f>
        <v/>
      </c>
      <c r="BX717" s="245">
        <f>IF(BX$2=i_Setup!$U$26,i_Actuals!BX112,0)</f>
        <v/>
      </c>
      <c r="BY717" s="245">
        <f>IF(BY$2=i_Setup!$U$26,i_Actuals!BY112,0)</f>
        <v/>
      </c>
      <c r="BZ717" s="245">
        <f>IF(BZ$2=i_Setup!$U$26,i_Actuals!BZ112,0)</f>
        <v/>
      </c>
      <c r="CA717" s="245">
        <f>IF(CA$2=i_Setup!$U$26,i_Actuals!CA112,0)</f>
        <v/>
      </c>
    </row>
    <row r="718" ht="12" customHeight="1" s="227">
      <c r="A718" s="244" t="n"/>
      <c r="B718" s="244" t="n"/>
      <c r="C718" s="244" t="n"/>
      <c r="H718" s="0" t="n"/>
      <c r="I718" s="27" t="n"/>
      <c r="K718" s="6" t="n"/>
    </row>
    <row r="719" ht="12" customHeight="1" s="227">
      <c r="A719" s="244" t="n"/>
      <c r="B719" s="244" t="n"/>
      <c r="C719" s="244" t="n"/>
      <c r="H719" s="0" t="inlineStr">
        <is>
          <t>Opening Balance</t>
        </is>
      </c>
      <c r="I719" s="27">
        <f>i_Setup!$M$16</f>
        <v/>
      </c>
      <c r="K719" s="6" t="n"/>
      <c r="M719" s="245">
        <f>SUMIF($T$1:$CA$1,M$1,$T719:$CA719)</f>
        <v/>
      </c>
      <c r="N719" s="245">
        <f>SUMIF($T$1:$CA$1,N$1,$T719:$CA719)</f>
        <v/>
      </c>
      <c r="O719" s="245">
        <f>SUMIF($T$1:$CA$1,O$1,$T719:$CA719)</f>
        <v/>
      </c>
      <c r="P719" s="245">
        <f>SUMIF($T$1:$CA$1,P$1,$T719:$CA719)</f>
        <v/>
      </c>
      <c r="Q719" s="245">
        <f>SUMIF($T$1:$CA$1,Q$1,$T719:$CA719)</f>
        <v/>
      </c>
      <c r="T719" s="245">
        <f>S723</f>
        <v/>
      </c>
      <c r="U719" s="245">
        <f>T723</f>
        <v/>
      </c>
      <c r="V719" s="245">
        <f>U723</f>
        <v/>
      </c>
      <c r="W719" s="245">
        <f>V723</f>
        <v/>
      </c>
      <c r="X719" s="245">
        <f>W723</f>
        <v/>
      </c>
      <c r="Y719" s="245">
        <f>X723</f>
        <v/>
      </c>
      <c r="Z719" s="245">
        <f>Y723</f>
        <v/>
      </c>
      <c r="AA719" s="245">
        <f>Z723</f>
        <v/>
      </c>
      <c r="AB719" s="245">
        <f>AA723</f>
        <v/>
      </c>
      <c r="AC719" s="245">
        <f>AB723</f>
        <v/>
      </c>
      <c r="AD719" s="245">
        <f>AC723</f>
        <v/>
      </c>
      <c r="AE719" s="245">
        <f>AD723</f>
        <v/>
      </c>
      <c r="AF719" s="245">
        <f>AE723</f>
        <v/>
      </c>
      <c r="AG719" s="245">
        <f>AF723</f>
        <v/>
      </c>
      <c r="AH719" s="245">
        <f>AG723</f>
        <v/>
      </c>
      <c r="AI719" s="245">
        <f>AH723</f>
        <v/>
      </c>
      <c r="AJ719" s="245">
        <f>AI723</f>
        <v/>
      </c>
      <c r="AK719" s="245">
        <f>AJ723</f>
        <v/>
      </c>
      <c r="AL719" s="245">
        <f>AK723</f>
        <v/>
      </c>
      <c r="AM719" s="245">
        <f>AL723</f>
        <v/>
      </c>
      <c r="AN719" s="245">
        <f>AM723</f>
        <v/>
      </c>
      <c r="AO719" s="245">
        <f>AN723</f>
        <v/>
      </c>
      <c r="AP719" s="245">
        <f>AO723</f>
        <v/>
      </c>
      <c r="AQ719" s="245">
        <f>AP723</f>
        <v/>
      </c>
      <c r="AR719" s="245">
        <f>AQ723</f>
        <v/>
      </c>
      <c r="AS719" s="245">
        <f>AR723</f>
        <v/>
      </c>
      <c r="AT719" s="245">
        <f>AS723</f>
        <v/>
      </c>
      <c r="AU719" s="245">
        <f>AT723</f>
        <v/>
      </c>
      <c r="AV719" s="245">
        <f>AU723</f>
        <v/>
      </c>
      <c r="AW719" s="245">
        <f>AV723</f>
        <v/>
      </c>
      <c r="AX719" s="245">
        <f>AW723</f>
        <v/>
      </c>
      <c r="AY719" s="245">
        <f>AX723</f>
        <v/>
      </c>
      <c r="AZ719" s="245">
        <f>AY723</f>
        <v/>
      </c>
      <c r="BA719" s="245">
        <f>AZ723</f>
        <v/>
      </c>
      <c r="BB719" s="245">
        <f>BA723</f>
        <v/>
      </c>
      <c r="BC719" s="245">
        <f>BB723</f>
        <v/>
      </c>
      <c r="BD719" s="245">
        <f>BC723</f>
        <v/>
      </c>
      <c r="BE719" s="245">
        <f>BD723</f>
        <v/>
      </c>
      <c r="BF719" s="245">
        <f>BE723</f>
        <v/>
      </c>
      <c r="BG719" s="245">
        <f>BF723</f>
        <v/>
      </c>
      <c r="BH719" s="245">
        <f>BG723</f>
        <v/>
      </c>
      <c r="BI719" s="245">
        <f>BH723</f>
        <v/>
      </c>
      <c r="BJ719" s="245">
        <f>BI723</f>
        <v/>
      </c>
      <c r="BK719" s="245">
        <f>BJ723</f>
        <v/>
      </c>
      <c r="BL719" s="245">
        <f>BK723</f>
        <v/>
      </c>
      <c r="BM719" s="245">
        <f>BL723</f>
        <v/>
      </c>
      <c r="BN719" s="245">
        <f>BM723</f>
        <v/>
      </c>
      <c r="BO719" s="245">
        <f>BN723</f>
        <v/>
      </c>
      <c r="BP719" s="245">
        <f>BO723</f>
        <v/>
      </c>
      <c r="BQ719" s="245">
        <f>BP723</f>
        <v/>
      </c>
      <c r="BR719" s="245">
        <f>BQ723</f>
        <v/>
      </c>
      <c r="BS719" s="245">
        <f>BR723</f>
        <v/>
      </c>
      <c r="BT719" s="245">
        <f>BS723</f>
        <v/>
      </c>
      <c r="BU719" s="245">
        <f>BT723</f>
        <v/>
      </c>
      <c r="BV719" s="245">
        <f>BU723</f>
        <v/>
      </c>
      <c r="BW719" s="245">
        <f>BV723</f>
        <v/>
      </c>
      <c r="BX719" s="245">
        <f>BW723</f>
        <v/>
      </c>
      <c r="BY719" s="245">
        <f>BX723</f>
        <v/>
      </c>
      <c r="BZ719" s="245">
        <f>BY723</f>
        <v/>
      </c>
      <c r="CA719" s="245">
        <f>BZ723</f>
        <v/>
      </c>
    </row>
    <row r="720" ht="12" customHeight="1" s="227">
      <c r="A720" s="244" t="n"/>
      <c r="B720" s="244" t="n"/>
      <c r="C720" s="244" t="n"/>
      <c r="H720" s="0" t="inlineStr">
        <is>
          <t>Addition Amounts</t>
        </is>
      </c>
      <c r="I720" s="27">
        <f>i_Setup!$M$16</f>
        <v/>
      </c>
      <c r="K720" s="6" t="n"/>
      <c r="M720" s="245">
        <f>SUMIF($T$4:$CA$4,M$4,$T720:$CA720)</f>
        <v/>
      </c>
      <c r="N720" s="245">
        <f>SUMIF($T$4:$CA$4,N$4,$T720:$CA720)</f>
        <v/>
      </c>
      <c r="O720" s="245">
        <f>SUMIF($T$4:$CA$4,O$4,$T720:$CA720)</f>
        <v/>
      </c>
      <c r="P720" s="245">
        <f>SUMIF($T$4:$CA$4,P$4,$T720:$CA720)</f>
        <v/>
      </c>
      <c r="Q720" s="245">
        <f>SUMIF($T$4:$CA$4,Q$4,$T720:$CA720)</f>
        <v/>
      </c>
      <c r="T720" s="257">
        <f>IF(T$7="Actual","",T652)</f>
        <v/>
      </c>
      <c r="U720" s="257">
        <f>IF(U$7="Actual","",U652)</f>
        <v/>
      </c>
      <c r="V720" s="257">
        <f>IF(V$7="Actual","",V652)</f>
        <v/>
      </c>
      <c r="W720" s="257">
        <f>IF(W$7="Actual","",W652)</f>
        <v/>
      </c>
      <c r="X720" s="257">
        <f>IF(X$7="Actual","",X652)</f>
        <v/>
      </c>
      <c r="Y720" s="257">
        <f>IF(Y$7="Actual","",Y652)</f>
        <v/>
      </c>
      <c r="Z720" s="257">
        <f>IF(Z$7="Actual","",Z652)</f>
        <v/>
      </c>
      <c r="AA720" s="257">
        <f>IF(AA$7="Actual","",AA652)</f>
        <v/>
      </c>
      <c r="AB720" s="257">
        <f>IF(AB$7="Actual","",AB652)</f>
        <v/>
      </c>
      <c r="AC720" s="257">
        <f>IF(AC$7="Actual","",AC652)</f>
        <v/>
      </c>
      <c r="AD720" s="257">
        <f>IF(AD$7="Actual","",AD652)</f>
        <v/>
      </c>
      <c r="AE720" s="257">
        <f>IF(AE$7="Actual","",AE652)</f>
        <v/>
      </c>
      <c r="AF720" s="257">
        <f>IF(AF$7="Actual","",AF652)</f>
        <v/>
      </c>
      <c r="AG720" s="257">
        <f>IF(AG$7="Actual","",AG652)</f>
        <v/>
      </c>
      <c r="AH720" s="257">
        <f>IF(AH$7="Actual","",AH652)</f>
        <v/>
      </c>
      <c r="AI720" s="257">
        <f>IF(AI$7="Actual","",AI652)</f>
        <v/>
      </c>
      <c r="AJ720" s="257">
        <f>IF(AJ$7="Actual","",AJ652)</f>
        <v/>
      </c>
      <c r="AK720" s="257">
        <f>IF(AK$7="Actual","",AK652)</f>
        <v/>
      </c>
      <c r="AL720" s="257">
        <f>IF(AL$7="Actual","",AL652)</f>
        <v/>
      </c>
      <c r="AM720" s="257">
        <f>IF(AM$7="Actual","",AM652)</f>
        <v/>
      </c>
      <c r="AN720" s="257">
        <f>IF(AN$7="Actual","",AN652)</f>
        <v/>
      </c>
      <c r="AO720" s="257">
        <f>IF(AO$7="Actual","",AO652)</f>
        <v/>
      </c>
      <c r="AP720" s="257">
        <f>IF(AP$7="Actual","",AP652)</f>
        <v/>
      </c>
      <c r="AQ720" s="257">
        <f>IF(AQ$7="Actual","",AQ652)</f>
        <v/>
      </c>
      <c r="AR720" s="257">
        <f>IF(AR$7="Actual","",AR652)</f>
        <v/>
      </c>
      <c r="AS720" s="257">
        <f>IF(AS$7="Actual","",AS652)</f>
        <v/>
      </c>
      <c r="AT720" s="257">
        <f>IF(AT$7="Actual","",AT652)</f>
        <v/>
      </c>
      <c r="AU720" s="257">
        <f>IF(AU$7="Actual","",AU652)</f>
        <v/>
      </c>
      <c r="AV720" s="257">
        <f>IF(AV$7="Actual","",AV652)</f>
        <v/>
      </c>
      <c r="AW720" s="257">
        <f>IF(AW$7="Actual","",AW652)</f>
        <v/>
      </c>
      <c r="AX720" s="257">
        <f>IF(AX$7="Actual","",AX652)</f>
        <v/>
      </c>
      <c r="AY720" s="257">
        <f>IF(AY$7="Actual","",AY652)</f>
        <v/>
      </c>
      <c r="AZ720" s="257">
        <f>IF(AZ$7="Actual","",AZ652)</f>
        <v/>
      </c>
      <c r="BA720" s="257">
        <f>IF(BA$7="Actual","",BA652)</f>
        <v/>
      </c>
      <c r="BB720" s="257">
        <f>IF(BB$7="Actual","",BB652)</f>
        <v/>
      </c>
      <c r="BC720" s="257">
        <f>IF(BC$7="Actual","",BC652)</f>
        <v/>
      </c>
      <c r="BD720" s="257">
        <f>IF(BD$7="Actual","",BD652)</f>
        <v/>
      </c>
      <c r="BE720" s="257">
        <f>IF(BE$7="Actual","",BE652)</f>
        <v/>
      </c>
      <c r="BF720" s="257">
        <f>IF(BF$7="Actual","",BF652)</f>
        <v/>
      </c>
      <c r="BG720" s="257">
        <f>IF(BG$7="Actual","",BG652)</f>
        <v/>
      </c>
      <c r="BH720" s="257">
        <f>IF(BH$7="Actual","",BH652)</f>
        <v/>
      </c>
      <c r="BI720" s="257">
        <f>IF(BI$7="Actual","",BI652)</f>
        <v/>
      </c>
      <c r="BJ720" s="257">
        <f>IF(BJ$7="Actual","",BJ652)</f>
        <v/>
      </c>
      <c r="BK720" s="257">
        <f>IF(BK$7="Actual","",BK652)</f>
        <v/>
      </c>
      <c r="BL720" s="257">
        <f>IF(BL$7="Actual","",BL652)</f>
        <v/>
      </c>
      <c r="BM720" s="257">
        <f>IF(BM$7="Actual","",BM652)</f>
        <v/>
      </c>
      <c r="BN720" s="257">
        <f>IF(BN$7="Actual","",BN652)</f>
        <v/>
      </c>
      <c r="BO720" s="257">
        <f>IF(BO$7="Actual","",BO652)</f>
        <v/>
      </c>
      <c r="BP720" s="257">
        <f>IF(BP$7="Actual","",BP652)</f>
        <v/>
      </c>
      <c r="BQ720" s="257">
        <f>IF(BQ$7="Actual","",BQ652)</f>
        <v/>
      </c>
      <c r="BR720" s="257">
        <f>IF(BR$7="Actual","",BR652)</f>
        <v/>
      </c>
      <c r="BS720" s="257">
        <f>IF(BS$7="Actual","",BS652)</f>
        <v/>
      </c>
      <c r="BT720" s="257">
        <f>IF(BT$7="Actual","",BT652)</f>
        <v/>
      </c>
      <c r="BU720" s="257">
        <f>IF(BU$7="Actual","",BU652)</f>
        <v/>
      </c>
      <c r="BV720" s="257">
        <f>IF(BV$7="Actual","",BV652)</f>
        <v/>
      </c>
      <c r="BW720" s="257">
        <f>IF(BW$7="Actual","",BW652)</f>
        <v/>
      </c>
      <c r="BX720" s="257">
        <f>IF(BX$7="Actual","",BX652)</f>
        <v/>
      </c>
      <c r="BY720" s="257">
        <f>IF(BY$7="Actual","",BY652)</f>
        <v/>
      </c>
      <c r="BZ720" s="257">
        <f>IF(BZ$7="Actual","",BZ652)</f>
        <v/>
      </c>
      <c r="CA720" s="257">
        <f>IF(CA$7="Actual","",CA652)</f>
        <v/>
      </c>
    </row>
    <row r="721" ht="12" customHeight="1" s="227">
      <c r="A721" s="244" t="n"/>
      <c r="B721" s="244" t="n"/>
      <c r="C721" s="244" t="n"/>
      <c r="H721" s="0" t="inlineStr">
        <is>
          <t xml:space="preserve"> Depreciation - Opening Bal</t>
        </is>
      </c>
      <c r="I721" s="27">
        <f>i_Setup!$M$16</f>
        <v/>
      </c>
      <c r="K721" s="6" t="n"/>
      <c r="M721" s="245">
        <f>SUMIF($T$4:$CA$4,M$4,$T721:$CA721)</f>
        <v/>
      </c>
      <c r="N721" s="245">
        <f>SUMIF($T$4:$CA$4,N$4,$T721:$CA721)</f>
        <v/>
      </c>
      <c r="O721" s="245">
        <f>SUMIF($T$4:$CA$4,O$4,$T721:$CA721)</f>
        <v/>
      </c>
      <c r="P721" s="245">
        <f>SUMIF($T$4:$CA$4,P$4,$T721:$CA721)</f>
        <v/>
      </c>
      <c r="Q721" s="245">
        <f>SUMIF($T$4:$CA$4,Q$4,$T721:$CA721)</f>
        <v/>
      </c>
      <c r="T721" s="245">
        <f>IF(T$7="Actual","",IFERROR(-SUM(OFFSET(S717,0,0,1,-MIN(T$6,$K$714)))/$K$714,0))</f>
        <v/>
      </c>
      <c r="U721" s="245">
        <f>IF(U$7="Actual","",IFERROR(-SUM(OFFSET(T717,0,0,1,-MIN(U$6,$K$714)))/$K$714,0))</f>
        <v/>
      </c>
      <c r="V721" s="245">
        <f>IF(V$7="Actual","",IFERROR(-SUM(OFFSET(U717,0,0,1,-MIN(V$6,$K$714)))/$K$714,0))</f>
        <v/>
      </c>
      <c r="W721" s="245">
        <f>IF(W$7="Actual","",IFERROR(-SUM(OFFSET(V717,0,0,1,-MIN(W$6,$K$714)))/$K$714,0))</f>
        <v/>
      </c>
      <c r="X721" s="245">
        <f>IF(X$7="Actual","",IFERROR(-SUM(OFFSET(W717,0,0,1,-MIN(X$6,$K$714)))/$K$714,0))</f>
        <v/>
      </c>
      <c r="Y721" s="245">
        <f>IF(Y$7="Actual","",IFERROR(-SUM(OFFSET(X717,0,0,1,-MIN(Y$6,$K$714)))/$K$714,0))</f>
        <v/>
      </c>
      <c r="Z721" s="245">
        <f>IF(Z$7="Actual","",IFERROR(-SUM(OFFSET(Y717,0,0,1,-MIN(Z$6,$K$714)))/$K$714,0))</f>
        <v/>
      </c>
      <c r="AA721" s="245">
        <f>IF(AA$7="Actual","",IFERROR(-SUM(OFFSET(Z717,0,0,1,-MIN(AA$6,$K$714)))/$K$714,0))</f>
        <v/>
      </c>
      <c r="AB721" s="245">
        <f>IF(AB$7="Actual","",IFERROR(-SUM(OFFSET(AA717,0,0,1,-MIN(AB$6,$K$714)))/$K$714,0))</f>
        <v/>
      </c>
      <c r="AC721" s="245">
        <f>IF(AC$7="Actual","",IFERROR(-SUM(OFFSET(AB717,0,0,1,-MIN(AC$6,$K$714)))/$K$714,0))</f>
        <v/>
      </c>
      <c r="AD721" s="245">
        <f>IF(AD$7="Actual","",IFERROR(-SUM(OFFSET(AC717,0,0,1,-MIN(AD$6,$K$714)))/$K$714,0))</f>
        <v/>
      </c>
      <c r="AE721" s="245">
        <f>IF(AE$7="Actual","",IFERROR(-SUM(OFFSET(AD717,0,0,1,-MIN(AE$6,$K$714)))/$K$714,0))</f>
        <v/>
      </c>
      <c r="AF721" s="245">
        <f>IF(AF$7="Actual","",IFERROR(-SUM(OFFSET(AE717,0,0,1,-MIN(AF$6,$K$714)))/$K$714,0))</f>
        <v/>
      </c>
      <c r="AG721" s="245">
        <f>IF(AG$7="Actual","",IFERROR(-SUM(OFFSET(AF717,0,0,1,-MIN(AG$6,$K$714)))/$K$714,0))</f>
        <v/>
      </c>
      <c r="AH721" s="245">
        <f>IF(AH$7="Actual","",IFERROR(-SUM(OFFSET(AG717,0,0,1,-MIN(AH$6,$K$714)))/$K$714,0))</f>
        <v/>
      </c>
      <c r="AI721" s="245">
        <f>IF(AI$7="Actual","",IFERROR(-SUM(OFFSET(AH717,0,0,1,-MIN(AI$6,$K$714)))/$K$714,0))</f>
        <v/>
      </c>
      <c r="AJ721" s="245">
        <f>IF(AJ$7="Actual","",IFERROR(-SUM(OFFSET(AI717,0,0,1,-MIN(AJ$6,$K$714)))/$K$714,0))</f>
        <v/>
      </c>
      <c r="AK721" s="245">
        <f>IF(AK$7="Actual","",IFERROR(-SUM(OFFSET(AJ717,0,0,1,-MIN(AK$6,$K$714)))/$K$714,0))</f>
        <v/>
      </c>
      <c r="AL721" s="245">
        <f>IF(AL$7="Actual","",IFERROR(-SUM(OFFSET(AK717,0,0,1,-MIN(AL$6,$K$714)))/$K$714,0))</f>
        <v/>
      </c>
      <c r="AM721" s="245">
        <f>IF(AM$7="Actual","",IFERROR(-SUM(OFFSET(AL717,0,0,1,-MIN(AM$6,$K$714)))/$K$714,0))</f>
        <v/>
      </c>
      <c r="AN721" s="245">
        <f>IF(AN$7="Actual","",IFERROR(-SUM(OFFSET(AM717,0,0,1,-MIN(AN$6,$K$714)))/$K$714,0))</f>
        <v/>
      </c>
      <c r="AO721" s="245">
        <f>IF(AO$7="Actual","",IFERROR(-SUM(OFFSET(AN717,0,0,1,-MIN(AO$6,$K$714)))/$K$714,0))</f>
        <v/>
      </c>
      <c r="AP721" s="245">
        <f>IF(AP$7="Actual","",IFERROR(-SUM(OFFSET(AO717,0,0,1,-MIN(AP$6,$K$714)))/$K$714,0))</f>
        <v/>
      </c>
      <c r="AQ721" s="245">
        <f>IF(AQ$7="Actual","",IFERROR(-SUM(OFFSET(AP717,0,0,1,-MIN(AQ$6,$K$714)))/$K$714,0))</f>
        <v/>
      </c>
      <c r="AR721" s="245">
        <f>IF(AR$7="Actual","",IFERROR(-SUM(OFFSET(AQ717,0,0,1,-MIN(AR$6,$K$714)))/$K$714,0))</f>
        <v/>
      </c>
      <c r="AS721" s="245">
        <f>IF(AS$7="Actual","",IFERROR(-SUM(OFFSET(AR717,0,0,1,-MIN(AS$6,$K$714)))/$K$714,0))</f>
        <v/>
      </c>
      <c r="AT721" s="245">
        <f>IF(AT$7="Actual","",IFERROR(-SUM(OFFSET(AS717,0,0,1,-MIN(AT$6,$K$714)))/$K$714,0))</f>
        <v/>
      </c>
      <c r="AU721" s="245">
        <f>IF(AU$7="Actual","",IFERROR(-SUM(OFFSET(AT717,0,0,1,-MIN(AU$6,$K$714)))/$K$714,0))</f>
        <v/>
      </c>
      <c r="AV721" s="245">
        <f>IF(AV$7="Actual","",IFERROR(-SUM(OFFSET(AU717,0,0,1,-MIN(AV$6,$K$714)))/$K$714,0))</f>
        <v/>
      </c>
      <c r="AW721" s="245">
        <f>IF(AW$7="Actual","",IFERROR(-SUM(OFFSET(AV717,0,0,1,-MIN(AW$6,$K$714)))/$K$714,0))</f>
        <v/>
      </c>
      <c r="AX721" s="245">
        <f>IF(AX$7="Actual","",IFERROR(-SUM(OFFSET(AW717,0,0,1,-MIN(AX$6,$K$714)))/$K$714,0))</f>
        <v/>
      </c>
      <c r="AY721" s="245">
        <f>IF(AY$7="Actual","",IFERROR(-SUM(OFFSET(AX717,0,0,1,-MIN(AY$6,$K$714)))/$K$714,0))</f>
        <v/>
      </c>
      <c r="AZ721" s="245">
        <f>IF(AZ$7="Actual","",IFERROR(-SUM(OFFSET(AY717,0,0,1,-MIN(AZ$6,$K$714)))/$K$714,0))</f>
        <v/>
      </c>
      <c r="BA721" s="245">
        <f>IF(BA$7="Actual","",IFERROR(-SUM(OFFSET(AZ717,0,0,1,-MIN(BA$6,$K$714)))/$K$714,0))</f>
        <v/>
      </c>
      <c r="BB721" s="245">
        <f>IF(BB$7="Actual","",IFERROR(-SUM(OFFSET(BA717,0,0,1,-MIN(BB$6,$K$714)))/$K$714,0))</f>
        <v/>
      </c>
      <c r="BC721" s="245">
        <f>IF(BC$7="Actual","",IFERROR(-SUM(OFFSET(BB717,0,0,1,-MIN(BC$6,$K$714)))/$K$714,0))</f>
        <v/>
      </c>
      <c r="BD721" s="245">
        <f>IF(BD$7="Actual","",IFERROR(-SUM(OFFSET(BC717,0,0,1,-MIN(BD$6,$K$714)))/$K$714,0))</f>
        <v/>
      </c>
      <c r="BE721" s="245">
        <f>IF(BE$7="Actual","",IFERROR(-SUM(OFFSET(BD717,0,0,1,-MIN(BE$6,$K$714)))/$K$714,0))</f>
        <v/>
      </c>
      <c r="BF721" s="245">
        <f>IF(BF$7="Actual","",IFERROR(-SUM(OFFSET(BE717,0,0,1,-MIN(BF$6,$K$714)))/$K$714,0))</f>
        <v/>
      </c>
      <c r="BG721" s="245">
        <f>IF(BG$7="Actual","",IFERROR(-SUM(OFFSET(BF717,0,0,1,-MIN(BG$6,$K$714)))/$K$714,0))</f>
        <v/>
      </c>
      <c r="BH721" s="245">
        <f>IF(BH$7="Actual","",IFERROR(-SUM(OFFSET(BG717,0,0,1,-MIN(BH$6,$K$714)))/$K$714,0))</f>
        <v/>
      </c>
      <c r="BI721" s="245">
        <f>IF(BI$7="Actual","",IFERROR(-SUM(OFFSET(BH717,0,0,1,-MIN(BI$6,$K$714)))/$K$714,0))</f>
        <v/>
      </c>
      <c r="BJ721" s="245">
        <f>IF(BJ$7="Actual","",IFERROR(-SUM(OFFSET(BI717,0,0,1,-MIN(BJ$6,$K$714)))/$K$714,0))</f>
        <v/>
      </c>
      <c r="BK721" s="245">
        <f>IF(BK$7="Actual","",IFERROR(-SUM(OFFSET(BJ717,0,0,1,-MIN(BK$6,$K$714)))/$K$714,0))</f>
        <v/>
      </c>
      <c r="BL721" s="245">
        <f>IF(BL$7="Actual","",IFERROR(-SUM(OFFSET(BK717,0,0,1,-MIN(BL$6,$K$714)))/$K$714,0))</f>
        <v/>
      </c>
      <c r="BM721" s="245">
        <f>IF(BM$7="Actual","",IFERROR(-SUM(OFFSET(BL717,0,0,1,-MIN(BM$6,$K$714)))/$K$714,0))</f>
        <v/>
      </c>
      <c r="BN721" s="245">
        <f>IF(BN$7="Actual","",IFERROR(-SUM(OFFSET(BM717,0,0,1,-MIN(BN$6,$K$714)))/$K$714,0))</f>
        <v/>
      </c>
      <c r="BO721" s="245">
        <f>IF(BO$7="Actual","",IFERROR(-SUM(OFFSET(BN717,0,0,1,-MIN(BO$6,$K$714)))/$K$714,0))</f>
        <v/>
      </c>
      <c r="BP721" s="245">
        <f>IF(BP$7="Actual","",IFERROR(-SUM(OFFSET(BO717,0,0,1,-MIN(BP$6,$K$714)))/$K$714,0))</f>
        <v/>
      </c>
      <c r="BQ721" s="245">
        <f>IF(BQ$7="Actual","",IFERROR(-SUM(OFFSET(BP717,0,0,1,-MIN(BQ$6,$K$714)))/$K$714,0))</f>
        <v/>
      </c>
      <c r="BR721" s="245">
        <f>IF(BR$7="Actual","",IFERROR(-SUM(OFFSET(BQ717,0,0,1,-MIN(BR$6,$K$714)))/$K$714,0))</f>
        <v/>
      </c>
      <c r="BS721" s="245">
        <f>IF(BS$7="Actual","",IFERROR(-SUM(OFFSET(BR717,0,0,1,-MIN(BS$6,$K$714)))/$K$714,0))</f>
        <v/>
      </c>
      <c r="BT721" s="245">
        <f>IF(BT$7="Actual","",IFERROR(-SUM(OFFSET(BS717,0,0,1,-MIN(BT$6,$K$714)))/$K$714,0))</f>
        <v/>
      </c>
      <c r="BU721" s="245">
        <f>IF(BU$7="Actual","",IFERROR(-SUM(OFFSET(BT717,0,0,1,-MIN(BU$6,$K$714)))/$K$714,0))</f>
        <v/>
      </c>
      <c r="BV721" s="245">
        <f>IF(BV$7="Actual","",IFERROR(-SUM(OFFSET(BU717,0,0,1,-MIN(BV$6,$K$714)))/$K$714,0))</f>
        <v/>
      </c>
      <c r="BW721" s="245">
        <f>IF(BW$7="Actual","",IFERROR(-SUM(OFFSET(BV717,0,0,1,-MIN(BW$6,$K$714)))/$K$714,0))</f>
        <v/>
      </c>
      <c r="BX721" s="245">
        <f>IF(BX$7="Actual","",IFERROR(-SUM(OFFSET(BW717,0,0,1,-MIN(BX$6,$K$714)))/$K$714,0))</f>
        <v/>
      </c>
      <c r="BY721" s="245">
        <f>IF(BY$7="Actual","",IFERROR(-SUM(OFFSET(BX717,0,0,1,-MIN(BY$6,$K$714)))/$K$714,0))</f>
        <v/>
      </c>
      <c r="BZ721" s="245">
        <f>IF(BZ$7="Actual","",IFERROR(-SUM(OFFSET(BY717,0,0,1,-MIN(BZ$6,$K$714)))/$K$714,0))</f>
        <v/>
      </c>
      <c r="CA721" s="245">
        <f>IF(CA$7="Actual","",IFERROR(-SUM(OFFSET(BZ717,0,0,1,-MIN(CA$6,$K$714)))/$K$714,0))</f>
        <v/>
      </c>
    </row>
    <row r="722" ht="12" customHeight="1" s="227">
      <c r="A722" s="244" t="n"/>
      <c r="B722" s="244" t="n"/>
      <c r="C722" s="244" t="n"/>
      <c r="H722" s="0" t="inlineStr">
        <is>
          <t xml:space="preserve"> Depreciation - Additions</t>
        </is>
      </c>
      <c r="I722" s="27">
        <f>i_Setup!$M$16</f>
        <v/>
      </c>
      <c r="K722" s="6" t="n"/>
      <c r="M722" s="245">
        <f>SUMIF($T$4:$CA$4,M$4,$T722:$CA722)</f>
        <v/>
      </c>
      <c r="N722" s="245">
        <f>SUMIF($T$4:$CA$4,N$4,$T722:$CA722)</f>
        <v/>
      </c>
      <c r="O722" s="245">
        <f>SUMIF($T$4:$CA$4,O$4,$T722:$CA722)</f>
        <v/>
      </c>
      <c r="P722" s="245">
        <f>SUMIF($T$4:$CA$4,P$4,$T722:$CA722)</f>
        <v/>
      </c>
      <c r="Q722" s="245">
        <f>SUMIF($T$4:$CA$4,Q$4,$T722:$CA722)</f>
        <v/>
      </c>
      <c r="T722" s="245">
        <f>IF(T$7="Actual","",IFERROR(-SUM(OFFSET(S720,0,0,1,-MIN(T$6,$K$715)))/$K$715,0))</f>
        <v/>
      </c>
      <c r="U722" s="245">
        <f>IF(U$7="Actual","",IFERROR(-SUM(OFFSET(T720,0,0,1,-MIN(U$6,$K$715)))/$K$715,0))</f>
        <v/>
      </c>
      <c r="V722" s="245">
        <f>IF(V$7="Actual","",IFERROR(-SUM(OFFSET(U720,0,0,1,-MIN(V$6,$K$715)))/$K$715,0))</f>
        <v/>
      </c>
      <c r="W722" s="245">
        <f>IF(W$7="Actual","",IFERROR(-SUM(OFFSET(V720,0,0,1,-MIN(W$6,$K$715)))/$K$715,0))</f>
        <v/>
      </c>
      <c r="X722" s="245">
        <f>IF(X$7="Actual","",IFERROR(-SUM(OFFSET(W720,0,0,1,-MIN(X$6,$K$715)))/$K$715,0))</f>
        <v/>
      </c>
      <c r="Y722" s="245">
        <f>IF(Y$7="Actual","",IFERROR(-SUM(OFFSET(X720,0,0,1,-MIN(Y$6,$K$715)))/$K$715,0))</f>
        <v/>
      </c>
      <c r="Z722" s="245">
        <f>IF(Z$7="Actual","",IFERROR(-SUM(OFFSET(Y720,0,0,1,-MIN(Z$6,$K$715)))/$K$715,0))</f>
        <v/>
      </c>
      <c r="AA722" s="245">
        <f>IF(AA$7="Actual","",IFERROR(-SUM(OFFSET(Z720,0,0,1,-MIN(AA$6,$K$715)))/$K$715,0))</f>
        <v/>
      </c>
      <c r="AB722" s="245">
        <f>IF(AB$7="Actual","",IFERROR(-SUM(OFFSET(AA720,0,0,1,-MIN(AB$6,$K$715)))/$K$715,0))</f>
        <v/>
      </c>
      <c r="AC722" s="245">
        <f>IF(AC$7="Actual","",IFERROR(-SUM(OFFSET(AB720,0,0,1,-MIN(AC$6,$K$715)))/$K$715,0))</f>
        <v/>
      </c>
      <c r="AD722" s="245">
        <f>IF(AD$7="Actual","",IFERROR(-SUM(OFFSET(AC720,0,0,1,-MIN(AD$6,$K$715)))/$K$715,0))</f>
        <v/>
      </c>
      <c r="AE722" s="245">
        <f>IF(AE$7="Actual","",IFERROR(-SUM(OFFSET(AD720,0,0,1,-MIN(AE$6,$K$715)))/$K$715,0))</f>
        <v/>
      </c>
      <c r="AF722" s="245">
        <f>IF(AF$7="Actual","",IFERROR(-SUM(OFFSET(AE720,0,0,1,-MIN(AF$6,$K$715)))/$K$715,0))</f>
        <v/>
      </c>
      <c r="AG722" s="245">
        <f>IF(AG$7="Actual","",IFERROR(-SUM(OFFSET(AF720,0,0,1,-MIN(AG$6,$K$715)))/$K$715,0))</f>
        <v/>
      </c>
      <c r="AH722" s="245">
        <f>IF(AH$7="Actual","",IFERROR(-SUM(OFFSET(AG720,0,0,1,-MIN(AH$6,$K$715)))/$K$715,0))</f>
        <v/>
      </c>
      <c r="AI722" s="245">
        <f>IF(AI$7="Actual","",IFERROR(-SUM(OFFSET(AH720,0,0,1,-MIN(AI$6,$K$715)))/$K$715,0))</f>
        <v/>
      </c>
      <c r="AJ722" s="245">
        <f>IF(AJ$7="Actual","",IFERROR(-SUM(OFFSET(AI720,0,0,1,-MIN(AJ$6,$K$715)))/$K$715,0))</f>
        <v/>
      </c>
      <c r="AK722" s="245">
        <f>IF(AK$7="Actual","",IFERROR(-SUM(OFFSET(AJ720,0,0,1,-MIN(AK$6,$K$715)))/$K$715,0))</f>
        <v/>
      </c>
      <c r="AL722" s="245">
        <f>IF(AL$7="Actual","",IFERROR(-SUM(OFFSET(AK720,0,0,1,-MIN(AL$6,$K$715)))/$K$715,0))</f>
        <v/>
      </c>
      <c r="AM722" s="245">
        <f>IF(AM$7="Actual","",IFERROR(-SUM(OFFSET(AL720,0,0,1,-MIN(AM$6,$K$715)))/$K$715,0))</f>
        <v/>
      </c>
      <c r="AN722" s="245">
        <f>IF(AN$7="Actual","",IFERROR(-SUM(OFFSET(AM720,0,0,1,-MIN(AN$6,$K$715)))/$K$715,0))</f>
        <v/>
      </c>
      <c r="AO722" s="245">
        <f>IF(AO$7="Actual","",IFERROR(-SUM(OFFSET(AN720,0,0,1,-MIN(AO$6,$K$715)))/$K$715,0))</f>
        <v/>
      </c>
      <c r="AP722" s="245">
        <f>IF(AP$7="Actual","",IFERROR(-SUM(OFFSET(AO720,0,0,1,-MIN(AP$6,$K$715)))/$K$715,0))</f>
        <v/>
      </c>
      <c r="AQ722" s="245">
        <f>IF(AQ$7="Actual","",IFERROR(-SUM(OFFSET(AP720,0,0,1,-MIN(AQ$6,$K$715)))/$K$715,0))</f>
        <v/>
      </c>
      <c r="AR722" s="245">
        <f>IF(AR$7="Actual","",IFERROR(-SUM(OFFSET(AQ720,0,0,1,-MIN(AR$6,$K$715)))/$K$715,0))</f>
        <v/>
      </c>
      <c r="AS722" s="245">
        <f>IF(AS$7="Actual","",IFERROR(-SUM(OFFSET(AR720,0,0,1,-MIN(AS$6,$K$715)))/$K$715,0))</f>
        <v/>
      </c>
      <c r="AT722" s="245">
        <f>IF(AT$7="Actual","",IFERROR(-SUM(OFFSET(AS720,0,0,1,-MIN(AT$6,$K$715)))/$K$715,0))</f>
        <v/>
      </c>
      <c r="AU722" s="245">
        <f>IF(AU$7="Actual","",IFERROR(-SUM(OFFSET(AT720,0,0,1,-MIN(AU$6,$K$715)))/$K$715,0))</f>
        <v/>
      </c>
      <c r="AV722" s="245">
        <f>IF(AV$7="Actual","",IFERROR(-SUM(OFFSET(AU720,0,0,1,-MIN(AV$6,$K$715)))/$K$715,0))</f>
        <v/>
      </c>
      <c r="AW722" s="245">
        <f>IF(AW$7="Actual","",IFERROR(-SUM(OFFSET(AV720,0,0,1,-MIN(AW$6,$K$715)))/$K$715,0))</f>
        <v/>
      </c>
      <c r="AX722" s="245">
        <f>IF(AX$7="Actual","",IFERROR(-SUM(OFFSET(AW720,0,0,1,-MIN(AX$6,$K$715)))/$K$715,0))</f>
        <v/>
      </c>
      <c r="AY722" s="245">
        <f>IF(AY$7="Actual","",IFERROR(-SUM(OFFSET(AX720,0,0,1,-MIN(AY$6,$K$715)))/$K$715,0))</f>
        <v/>
      </c>
      <c r="AZ722" s="245">
        <f>IF(AZ$7="Actual","",IFERROR(-SUM(OFFSET(AY720,0,0,1,-MIN(AZ$6,$K$715)))/$K$715,0))</f>
        <v/>
      </c>
      <c r="BA722" s="245">
        <f>IF(BA$7="Actual","",IFERROR(-SUM(OFFSET(AZ720,0,0,1,-MIN(BA$6,$K$715)))/$K$715,0))</f>
        <v/>
      </c>
      <c r="BB722" s="245">
        <f>IF(BB$7="Actual","",IFERROR(-SUM(OFFSET(BA720,0,0,1,-MIN(BB$6,$K$715)))/$K$715,0))</f>
        <v/>
      </c>
      <c r="BC722" s="245">
        <f>IF(BC$7="Actual","",IFERROR(-SUM(OFFSET(BB720,0,0,1,-MIN(BC$6,$K$715)))/$K$715,0))</f>
        <v/>
      </c>
      <c r="BD722" s="245">
        <f>IF(BD$7="Actual","",IFERROR(-SUM(OFFSET(BC720,0,0,1,-MIN(BD$6,$K$715)))/$K$715,0))</f>
        <v/>
      </c>
      <c r="BE722" s="245">
        <f>IF(BE$7="Actual","",IFERROR(-SUM(OFFSET(BD720,0,0,1,-MIN(BE$6,$K$715)))/$K$715,0))</f>
        <v/>
      </c>
      <c r="BF722" s="245">
        <f>IF(BF$7="Actual","",IFERROR(-SUM(OFFSET(BE720,0,0,1,-MIN(BF$6,$K$715)))/$K$715,0))</f>
        <v/>
      </c>
      <c r="BG722" s="245">
        <f>IF(BG$7="Actual","",IFERROR(-SUM(OFFSET(BF720,0,0,1,-MIN(BG$6,$K$715)))/$K$715,0))</f>
        <v/>
      </c>
      <c r="BH722" s="245">
        <f>IF(BH$7="Actual","",IFERROR(-SUM(OFFSET(BG720,0,0,1,-MIN(BH$6,$K$715)))/$K$715,0))</f>
        <v/>
      </c>
      <c r="BI722" s="245">
        <f>IF(BI$7="Actual","",IFERROR(-SUM(OFFSET(BH720,0,0,1,-MIN(BI$6,$K$715)))/$K$715,0))</f>
        <v/>
      </c>
      <c r="BJ722" s="245">
        <f>IF(BJ$7="Actual","",IFERROR(-SUM(OFFSET(BI720,0,0,1,-MIN(BJ$6,$K$715)))/$K$715,0))</f>
        <v/>
      </c>
      <c r="BK722" s="245">
        <f>IF(BK$7="Actual","",IFERROR(-SUM(OFFSET(BJ720,0,0,1,-MIN(BK$6,$K$715)))/$K$715,0))</f>
        <v/>
      </c>
      <c r="BL722" s="245">
        <f>IF(BL$7="Actual","",IFERROR(-SUM(OFFSET(BK720,0,0,1,-MIN(BL$6,$K$715)))/$K$715,0))</f>
        <v/>
      </c>
      <c r="BM722" s="245">
        <f>IF(BM$7="Actual","",IFERROR(-SUM(OFFSET(BL720,0,0,1,-MIN(BM$6,$K$715)))/$K$715,0))</f>
        <v/>
      </c>
      <c r="BN722" s="245">
        <f>IF(BN$7="Actual","",IFERROR(-SUM(OFFSET(BM720,0,0,1,-MIN(BN$6,$K$715)))/$K$715,0))</f>
        <v/>
      </c>
      <c r="BO722" s="245">
        <f>IF(BO$7="Actual","",IFERROR(-SUM(OFFSET(BN720,0,0,1,-MIN(BO$6,$K$715)))/$K$715,0))</f>
        <v/>
      </c>
      <c r="BP722" s="245">
        <f>IF(BP$7="Actual","",IFERROR(-SUM(OFFSET(BO720,0,0,1,-MIN(BP$6,$K$715)))/$K$715,0))</f>
        <v/>
      </c>
      <c r="BQ722" s="245">
        <f>IF(BQ$7="Actual","",IFERROR(-SUM(OFFSET(BP720,0,0,1,-MIN(BQ$6,$K$715)))/$K$715,0))</f>
        <v/>
      </c>
      <c r="BR722" s="245">
        <f>IF(BR$7="Actual","",IFERROR(-SUM(OFFSET(BQ720,0,0,1,-MIN(BR$6,$K$715)))/$K$715,0))</f>
        <v/>
      </c>
      <c r="BS722" s="245">
        <f>IF(BS$7="Actual","",IFERROR(-SUM(OFFSET(BR720,0,0,1,-MIN(BS$6,$K$715)))/$K$715,0))</f>
        <v/>
      </c>
      <c r="BT722" s="245">
        <f>IF(BT$7="Actual","",IFERROR(-SUM(OFFSET(BS720,0,0,1,-MIN(BT$6,$K$715)))/$K$715,0))</f>
        <v/>
      </c>
      <c r="BU722" s="245">
        <f>IF(BU$7="Actual","",IFERROR(-SUM(OFFSET(BT720,0,0,1,-MIN(BU$6,$K$715)))/$K$715,0))</f>
        <v/>
      </c>
      <c r="BV722" s="245">
        <f>IF(BV$7="Actual","",IFERROR(-SUM(OFFSET(BU720,0,0,1,-MIN(BV$6,$K$715)))/$K$715,0))</f>
        <v/>
      </c>
      <c r="BW722" s="245">
        <f>IF(BW$7="Actual","",IFERROR(-SUM(OFFSET(BV720,0,0,1,-MIN(BW$6,$K$715)))/$K$715,0))</f>
        <v/>
      </c>
      <c r="BX722" s="245">
        <f>IF(BX$7="Actual","",IFERROR(-SUM(OFFSET(BW720,0,0,1,-MIN(BX$6,$K$715)))/$K$715,0))</f>
        <v/>
      </c>
      <c r="BY722" s="245">
        <f>IF(BY$7="Actual","",IFERROR(-SUM(OFFSET(BX720,0,0,1,-MIN(BY$6,$K$715)))/$K$715,0))</f>
        <v/>
      </c>
      <c r="BZ722" s="245">
        <f>IF(BZ$7="Actual","",IFERROR(-SUM(OFFSET(BY720,0,0,1,-MIN(BZ$6,$K$715)))/$K$715,0))</f>
        <v/>
      </c>
      <c r="CA722" s="245">
        <f>IF(CA$7="Actual","",IFERROR(-SUM(OFFSET(BZ720,0,0,1,-MIN(CA$6,$K$715)))/$K$715,0))</f>
        <v/>
      </c>
    </row>
    <row r="723" ht="12" customHeight="1" s="227" thickBot="1">
      <c r="A723" s="244" t="n"/>
      <c r="B723" s="244" t="n"/>
      <c r="C723" s="244" t="n"/>
      <c r="H723" s="42" t="inlineStr">
        <is>
          <t>Closing Balance</t>
        </is>
      </c>
      <c r="I723" s="43">
        <f>i_Setup!$M$16</f>
        <v/>
      </c>
      <c r="K723" s="6" t="n"/>
      <c r="M723" s="264">
        <f>SUMIF($T$2:$CA$2,M$2,$T723:$CA723)</f>
        <v/>
      </c>
      <c r="N723" s="264">
        <f>SUMIF($T$2:$CA$2,N$2,$T723:$CA723)</f>
        <v/>
      </c>
      <c r="O723" s="264">
        <f>SUMIF($T$2:$CA$2,O$2,$T723:$CA723)</f>
        <v/>
      </c>
      <c r="P723" s="264">
        <f>SUMIF($T$2:$CA$2,P$2,$T723:$CA723)</f>
        <v/>
      </c>
      <c r="Q723" s="264">
        <f>SUMIF($T$2:$CA$2,Q$2,$T723:$CA723)</f>
        <v/>
      </c>
      <c r="T723" s="264">
        <f>IF(T$7="Actual",i_Actuals!T112,SUM(T719:T722))</f>
        <v/>
      </c>
      <c r="U723" s="264">
        <f>IF(U$7="Actual",i_Actuals!U112,SUM(U719:U722))</f>
        <v/>
      </c>
      <c r="V723" s="264">
        <f>IF(V$7="Actual",i_Actuals!V112,SUM(V719:V722))</f>
        <v/>
      </c>
      <c r="W723" s="264">
        <f>IF(W$7="Actual",i_Actuals!W112,SUM(W719:W722))</f>
        <v/>
      </c>
      <c r="X723" s="264">
        <f>IF(X$7="Actual",i_Actuals!X112,SUM(X719:X722))</f>
        <v/>
      </c>
      <c r="Y723" s="264">
        <f>IF(Y$7="Actual",i_Actuals!Y112,SUM(Y719:Y722))</f>
        <v/>
      </c>
      <c r="Z723" s="264">
        <f>IF(Z$7="Actual",i_Actuals!Z112,SUM(Z719:Z722))</f>
        <v/>
      </c>
      <c r="AA723" s="264">
        <f>IF(AA$7="Actual",i_Actuals!AA112,SUM(AA719:AA722))</f>
        <v/>
      </c>
      <c r="AB723" s="264">
        <f>IF(AB$7="Actual",i_Actuals!AB112,SUM(AB719:AB722))</f>
        <v/>
      </c>
      <c r="AC723" s="264">
        <f>IF(AC$7="Actual",i_Actuals!AC112,SUM(AC719:AC722))</f>
        <v/>
      </c>
      <c r="AD723" s="264">
        <f>IF(AD$7="Actual",i_Actuals!AD112,SUM(AD719:AD722))</f>
        <v/>
      </c>
      <c r="AE723" s="264">
        <f>IF(AE$7="Actual",i_Actuals!AE112,SUM(AE719:AE722))</f>
        <v/>
      </c>
      <c r="AF723" s="264">
        <f>IF(AF$7="Actual",i_Actuals!AF112,SUM(AF719:AF722))</f>
        <v/>
      </c>
      <c r="AG723" s="264">
        <f>IF(AG$7="Actual",i_Actuals!AG112,SUM(AG719:AG722))</f>
        <v/>
      </c>
      <c r="AH723" s="264">
        <f>IF(AH$7="Actual",i_Actuals!AH112,SUM(AH719:AH722))</f>
        <v/>
      </c>
      <c r="AI723" s="264">
        <f>IF(AI$7="Actual",i_Actuals!AI112,SUM(AI719:AI722))</f>
        <v/>
      </c>
      <c r="AJ723" s="264">
        <f>IF(AJ$7="Actual",i_Actuals!AJ112,SUM(AJ719:AJ722))</f>
        <v/>
      </c>
      <c r="AK723" s="264">
        <f>IF(AK$7="Actual",i_Actuals!AK112,SUM(AK719:AK722))</f>
        <v/>
      </c>
      <c r="AL723" s="264">
        <f>IF(AL$7="Actual",i_Actuals!AL112,SUM(AL719:AL722))</f>
        <v/>
      </c>
      <c r="AM723" s="264">
        <f>IF(AM$7="Actual",i_Actuals!AM112,SUM(AM719:AM722))</f>
        <v/>
      </c>
      <c r="AN723" s="264">
        <f>IF(AN$7="Actual",i_Actuals!AN112,SUM(AN719:AN722))</f>
        <v/>
      </c>
      <c r="AO723" s="264">
        <f>IF(AO$7="Actual",i_Actuals!AO112,SUM(AO719:AO722))</f>
        <v/>
      </c>
      <c r="AP723" s="264">
        <f>IF(AP$7="Actual",i_Actuals!AP112,SUM(AP719:AP722))</f>
        <v/>
      </c>
      <c r="AQ723" s="264">
        <f>IF(AQ$7="Actual",i_Actuals!AQ112,SUM(AQ719:AQ722))</f>
        <v/>
      </c>
      <c r="AR723" s="264">
        <f>IF(AR$7="Actual",i_Actuals!AR112,SUM(AR719:AR722))</f>
        <v/>
      </c>
      <c r="AS723" s="264">
        <f>IF(AS$7="Actual",i_Actuals!AS112,SUM(AS719:AS722))</f>
        <v/>
      </c>
      <c r="AT723" s="264">
        <f>IF(AT$7="Actual",i_Actuals!AT112,SUM(AT719:AT722))</f>
        <v/>
      </c>
      <c r="AU723" s="264">
        <f>IF(AU$7="Actual",i_Actuals!AU112,SUM(AU719:AU722))</f>
        <v/>
      </c>
      <c r="AV723" s="264">
        <f>IF(AV$7="Actual",i_Actuals!AV112,SUM(AV719:AV722))</f>
        <v/>
      </c>
      <c r="AW723" s="264">
        <f>IF(AW$7="Actual",i_Actuals!AW112,SUM(AW719:AW722))</f>
        <v/>
      </c>
      <c r="AX723" s="264">
        <f>IF(AX$7="Actual",i_Actuals!AX112,SUM(AX719:AX722))</f>
        <v/>
      </c>
      <c r="AY723" s="264">
        <f>IF(AY$7="Actual",i_Actuals!AY112,SUM(AY719:AY722))</f>
        <v/>
      </c>
      <c r="AZ723" s="264">
        <f>IF(AZ$7="Actual",i_Actuals!AZ112,SUM(AZ719:AZ722))</f>
        <v/>
      </c>
      <c r="BA723" s="264">
        <f>IF(BA$7="Actual",i_Actuals!BA112,SUM(BA719:BA722))</f>
        <v/>
      </c>
      <c r="BB723" s="264">
        <f>IF(BB$7="Actual",i_Actuals!BB112,SUM(BB719:BB722))</f>
        <v/>
      </c>
      <c r="BC723" s="264">
        <f>IF(BC$7="Actual",i_Actuals!BC112,SUM(BC719:BC722))</f>
        <v/>
      </c>
      <c r="BD723" s="264">
        <f>IF(BD$7="Actual",i_Actuals!BD112,SUM(BD719:BD722))</f>
        <v/>
      </c>
      <c r="BE723" s="264">
        <f>IF(BE$7="Actual",i_Actuals!BE112,SUM(BE719:BE722))</f>
        <v/>
      </c>
      <c r="BF723" s="264">
        <f>IF(BF$7="Actual",i_Actuals!BF112,SUM(BF719:BF722))</f>
        <v/>
      </c>
      <c r="BG723" s="264">
        <f>IF(BG$7="Actual",i_Actuals!BG112,SUM(BG719:BG722))</f>
        <v/>
      </c>
      <c r="BH723" s="264">
        <f>IF(BH$7="Actual",i_Actuals!BH112,SUM(BH719:BH722))</f>
        <v/>
      </c>
      <c r="BI723" s="264">
        <f>IF(BI$7="Actual",i_Actuals!BI112,SUM(BI719:BI722))</f>
        <v/>
      </c>
      <c r="BJ723" s="264">
        <f>IF(BJ$7="Actual",i_Actuals!BJ112,SUM(BJ719:BJ722))</f>
        <v/>
      </c>
      <c r="BK723" s="264">
        <f>IF(BK$7="Actual",i_Actuals!BK112,SUM(BK719:BK722))</f>
        <v/>
      </c>
      <c r="BL723" s="264">
        <f>IF(BL$7="Actual",i_Actuals!BL112,SUM(BL719:BL722))</f>
        <v/>
      </c>
      <c r="BM723" s="264">
        <f>IF(BM$7="Actual",i_Actuals!BM112,SUM(BM719:BM722))</f>
        <v/>
      </c>
      <c r="BN723" s="264">
        <f>IF(BN$7="Actual",i_Actuals!BN112,SUM(BN719:BN722))</f>
        <v/>
      </c>
      <c r="BO723" s="264">
        <f>IF(BO$7="Actual",i_Actuals!BO112,SUM(BO719:BO722))</f>
        <v/>
      </c>
      <c r="BP723" s="264">
        <f>IF(BP$7="Actual",i_Actuals!BP112,SUM(BP719:BP722))</f>
        <v/>
      </c>
      <c r="BQ723" s="264">
        <f>IF(BQ$7="Actual",i_Actuals!BQ112,SUM(BQ719:BQ722))</f>
        <v/>
      </c>
      <c r="BR723" s="264">
        <f>IF(BR$7="Actual",i_Actuals!BR112,SUM(BR719:BR722))</f>
        <v/>
      </c>
      <c r="BS723" s="264">
        <f>IF(BS$7="Actual",i_Actuals!BS112,SUM(BS719:BS722))</f>
        <v/>
      </c>
      <c r="BT723" s="264">
        <f>IF(BT$7="Actual",i_Actuals!BT112,SUM(BT719:BT722))</f>
        <v/>
      </c>
      <c r="BU723" s="264">
        <f>IF(BU$7="Actual",i_Actuals!BU112,SUM(BU719:BU722))</f>
        <v/>
      </c>
      <c r="BV723" s="264">
        <f>IF(BV$7="Actual",i_Actuals!BV112,SUM(BV719:BV722))</f>
        <v/>
      </c>
      <c r="BW723" s="264">
        <f>IF(BW$7="Actual",i_Actuals!BW112,SUM(BW719:BW722))</f>
        <v/>
      </c>
      <c r="BX723" s="264">
        <f>IF(BX$7="Actual",i_Actuals!BX112,SUM(BX719:BX722))</f>
        <v/>
      </c>
      <c r="BY723" s="264">
        <f>IF(BY$7="Actual",i_Actuals!BY112,SUM(BY719:BY722))</f>
        <v/>
      </c>
      <c r="BZ723" s="264">
        <f>IF(BZ$7="Actual",i_Actuals!BZ112,SUM(BZ719:BZ722))</f>
        <v/>
      </c>
      <c r="CA723" s="264">
        <f>IF(CA$7="Actual",i_Actuals!CA112,SUM(CA719:CA722))</f>
        <v/>
      </c>
    </row>
    <row r="724" ht="12" customHeight="1" s="227">
      <c r="A724" s="244" t="n"/>
      <c r="B724" s="244" t="n"/>
      <c r="C724" s="244" t="n"/>
      <c r="K724" s="6" t="n"/>
    </row>
    <row r="725" ht="12" customFormat="1" customHeight="1" s="8">
      <c r="A725" s="244" t="n"/>
      <c r="B725" s="244">
        <f>SUM(L725:CA725)</f>
        <v/>
      </c>
      <c r="D725" s="4" t="n"/>
      <c r="E725" s="4" t="n"/>
      <c r="F725" s="4" t="n"/>
      <c r="G725" s="4" t="n"/>
      <c r="H725" s="0" t="inlineStr">
        <is>
          <t>Signage Check</t>
        </is>
      </c>
      <c r="I725" s="4" t="n"/>
      <c r="J725" s="4" t="n"/>
      <c r="K725" s="6" t="n"/>
      <c r="L725" s="4" t="n"/>
      <c r="M725" s="244">
        <f>IF(M$7&lt;&gt;"",IF(ROUND(M723,0)&lt;0,1,0),"")</f>
        <v/>
      </c>
      <c r="N725" s="244">
        <f>IF(N$7&lt;&gt;"",IF(ROUND(N723,0)&lt;0,1,0),"")</f>
        <v/>
      </c>
      <c r="O725" s="244">
        <f>IF(O$7&lt;&gt;"",IF(ROUND(O723,0)&lt;0,1,0),"")</f>
        <v/>
      </c>
      <c r="P725" s="244">
        <f>IF(P$7&lt;&gt;"",IF(ROUND(P723,0)&lt;0,1,0),"")</f>
        <v/>
      </c>
      <c r="Q725" s="244">
        <f>IF(Q$7&lt;&gt;"",IF(ROUND(Q723,0)&lt;0,1,0),"")</f>
        <v/>
      </c>
      <c r="R725" s="244" t="n"/>
      <c r="S725" s="244" t="n"/>
      <c r="T725" s="244">
        <f>IF(T$7&lt;&gt;"",IF(ROUND(T723,0)&lt;0,1,0),"")</f>
        <v/>
      </c>
      <c r="U725" s="244">
        <f>IF(U$7&lt;&gt;"",IF(ROUND(U723,0)&lt;0,1,0),"")</f>
        <v/>
      </c>
      <c r="V725" s="244">
        <f>IF(V$7&lt;&gt;"",IF(ROUND(V723,0)&lt;0,1,0),"")</f>
        <v/>
      </c>
      <c r="W725" s="244">
        <f>IF(W$7&lt;&gt;"",IF(ROUND(W723,0)&lt;0,1,0),"")</f>
        <v/>
      </c>
      <c r="X725" s="244">
        <f>IF(X$7&lt;&gt;"",IF(ROUND(X723,0)&lt;0,1,0),"")</f>
        <v/>
      </c>
      <c r="Y725" s="244">
        <f>IF(Y$7&lt;&gt;"",IF(ROUND(Y723,0)&lt;0,1,0),"")</f>
        <v/>
      </c>
      <c r="Z725" s="244">
        <f>IF(Z$7&lt;&gt;"",IF(ROUND(Z723,0)&lt;0,1,0),"")</f>
        <v/>
      </c>
      <c r="AA725" s="244">
        <f>IF(AA$7&lt;&gt;"",IF(ROUND(AA723,0)&lt;0,1,0),"")</f>
        <v/>
      </c>
      <c r="AB725" s="244">
        <f>IF(AB$7&lt;&gt;"",IF(ROUND(AB723,0)&lt;0,1,0),"")</f>
        <v/>
      </c>
      <c r="AC725" s="244">
        <f>IF(AC$7&lt;&gt;"",IF(ROUND(AC723,0)&lt;0,1,0),"")</f>
        <v/>
      </c>
      <c r="AD725" s="244">
        <f>IF(AD$7&lt;&gt;"",IF(ROUND(AD723,0)&lt;0,1,0),"")</f>
        <v/>
      </c>
      <c r="AE725" s="244">
        <f>IF(AE$7&lt;&gt;"",IF(ROUND(AE723,0)&lt;0,1,0),"")</f>
        <v/>
      </c>
      <c r="AF725" s="244">
        <f>IF(AF$7&lt;&gt;"",IF(ROUND(AF723,0)&lt;0,1,0),"")</f>
        <v/>
      </c>
      <c r="AG725" s="244">
        <f>IF(AG$7&lt;&gt;"",IF(ROUND(AG723,0)&lt;0,1,0),"")</f>
        <v/>
      </c>
      <c r="AH725" s="244">
        <f>IF(AH$7&lt;&gt;"",IF(ROUND(AH723,0)&lt;0,1,0),"")</f>
        <v/>
      </c>
      <c r="AI725" s="244">
        <f>IF(AI$7&lt;&gt;"",IF(ROUND(AI723,0)&lt;0,1,0),"")</f>
        <v/>
      </c>
      <c r="AJ725" s="244">
        <f>IF(AJ$7&lt;&gt;"",IF(ROUND(AJ723,0)&lt;0,1,0),"")</f>
        <v/>
      </c>
      <c r="AK725" s="244">
        <f>IF(AK$7&lt;&gt;"",IF(ROUND(AK723,0)&lt;0,1,0),"")</f>
        <v/>
      </c>
      <c r="AL725" s="244">
        <f>IF(AL$7&lt;&gt;"",IF(ROUND(AL723,0)&lt;0,1,0),"")</f>
        <v/>
      </c>
      <c r="AM725" s="244">
        <f>IF(AM$7&lt;&gt;"",IF(ROUND(AM723,0)&lt;0,1,0),"")</f>
        <v/>
      </c>
      <c r="AN725" s="244">
        <f>IF(AN$7&lt;&gt;"",IF(ROUND(AN723,0)&lt;0,1,0),"")</f>
        <v/>
      </c>
      <c r="AO725" s="244">
        <f>IF(AO$7&lt;&gt;"",IF(ROUND(AO723,0)&lt;0,1,0),"")</f>
        <v/>
      </c>
      <c r="AP725" s="244">
        <f>IF(AP$7&lt;&gt;"",IF(ROUND(AP723,0)&lt;0,1,0),"")</f>
        <v/>
      </c>
      <c r="AQ725" s="244">
        <f>IF(AQ$7&lt;&gt;"",IF(ROUND(AQ723,0)&lt;0,1,0),"")</f>
        <v/>
      </c>
      <c r="AR725" s="244">
        <f>IF(AR$7&lt;&gt;"",IF(ROUND(AR723,0)&lt;0,1,0),"")</f>
        <v/>
      </c>
      <c r="AS725" s="244">
        <f>IF(AS$7&lt;&gt;"",IF(ROUND(AS723,0)&lt;0,1,0),"")</f>
        <v/>
      </c>
      <c r="AT725" s="244">
        <f>IF(AT$7&lt;&gt;"",IF(ROUND(AT723,0)&lt;0,1,0),"")</f>
        <v/>
      </c>
      <c r="AU725" s="244">
        <f>IF(AU$7&lt;&gt;"",IF(ROUND(AU723,0)&lt;0,1,0),"")</f>
        <v/>
      </c>
      <c r="AV725" s="244">
        <f>IF(AV$7&lt;&gt;"",IF(ROUND(AV723,0)&lt;0,1,0),"")</f>
        <v/>
      </c>
      <c r="AW725" s="244">
        <f>IF(AW$7&lt;&gt;"",IF(ROUND(AW723,0)&lt;0,1,0),"")</f>
        <v/>
      </c>
      <c r="AX725" s="244">
        <f>IF(AX$7&lt;&gt;"",IF(ROUND(AX723,0)&lt;0,1,0),"")</f>
        <v/>
      </c>
      <c r="AY725" s="244">
        <f>IF(AY$7&lt;&gt;"",IF(ROUND(AY723,0)&lt;0,1,0),"")</f>
        <v/>
      </c>
      <c r="AZ725" s="244">
        <f>IF(AZ$7&lt;&gt;"",IF(ROUND(AZ723,0)&lt;0,1,0),"")</f>
        <v/>
      </c>
      <c r="BA725" s="244">
        <f>IF(BA$7&lt;&gt;"",IF(ROUND(BA723,0)&lt;0,1,0),"")</f>
        <v/>
      </c>
      <c r="BB725" s="244">
        <f>IF(BB$7&lt;&gt;"",IF(ROUND(BB723,0)&lt;0,1,0),"")</f>
        <v/>
      </c>
      <c r="BC725" s="244">
        <f>IF(BC$7&lt;&gt;"",IF(ROUND(BC723,0)&lt;0,1,0),"")</f>
        <v/>
      </c>
      <c r="BD725" s="244">
        <f>IF(BD$7&lt;&gt;"",IF(ROUND(BD723,0)&lt;0,1,0),"")</f>
        <v/>
      </c>
      <c r="BE725" s="244">
        <f>IF(BE$7&lt;&gt;"",IF(ROUND(BE723,0)&lt;0,1,0),"")</f>
        <v/>
      </c>
      <c r="BF725" s="244">
        <f>IF(BF$7&lt;&gt;"",IF(ROUND(BF723,0)&lt;0,1,0),"")</f>
        <v/>
      </c>
      <c r="BG725" s="244">
        <f>IF(BG$7&lt;&gt;"",IF(ROUND(BG723,0)&lt;0,1,0),"")</f>
        <v/>
      </c>
      <c r="BH725" s="244">
        <f>IF(BH$7&lt;&gt;"",IF(ROUND(BH723,0)&lt;0,1,0),"")</f>
        <v/>
      </c>
      <c r="BI725" s="244">
        <f>IF(BI$7&lt;&gt;"",IF(ROUND(BI723,0)&lt;0,1,0),"")</f>
        <v/>
      </c>
      <c r="BJ725" s="244">
        <f>IF(BJ$7&lt;&gt;"",IF(ROUND(BJ723,0)&lt;0,1,0),"")</f>
        <v/>
      </c>
      <c r="BK725" s="244">
        <f>IF(BK$7&lt;&gt;"",IF(ROUND(BK723,0)&lt;0,1,0),"")</f>
        <v/>
      </c>
      <c r="BL725" s="244">
        <f>IF(BL$7&lt;&gt;"",IF(ROUND(BL723,0)&lt;0,1,0),"")</f>
        <v/>
      </c>
      <c r="BM725" s="244">
        <f>IF(BM$7&lt;&gt;"",IF(ROUND(BM723,0)&lt;0,1,0),"")</f>
        <v/>
      </c>
      <c r="BN725" s="244">
        <f>IF(BN$7&lt;&gt;"",IF(ROUND(BN723,0)&lt;0,1,0),"")</f>
        <v/>
      </c>
      <c r="BO725" s="244">
        <f>IF(BO$7&lt;&gt;"",IF(ROUND(BO723,0)&lt;0,1,0),"")</f>
        <v/>
      </c>
      <c r="BP725" s="244">
        <f>IF(BP$7&lt;&gt;"",IF(ROUND(BP723,0)&lt;0,1,0),"")</f>
        <v/>
      </c>
      <c r="BQ725" s="244">
        <f>IF(BQ$7&lt;&gt;"",IF(ROUND(BQ723,0)&lt;0,1,0),"")</f>
        <v/>
      </c>
      <c r="BR725" s="244">
        <f>IF(BR$7&lt;&gt;"",IF(ROUND(BR723,0)&lt;0,1,0),"")</f>
        <v/>
      </c>
      <c r="BS725" s="244">
        <f>IF(BS$7&lt;&gt;"",IF(ROUND(BS723,0)&lt;0,1,0),"")</f>
        <v/>
      </c>
      <c r="BT725" s="244">
        <f>IF(BT$7&lt;&gt;"",IF(ROUND(BT723,0)&lt;0,1,0),"")</f>
        <v/>
      </c>
      <c r="BU725" s="244">
        <f>IF(BU$7&lt;&gt;"",IF(ROUND(BU723,0)&lt;0,1,0),"")</f>
        <v/>
      </c>
      <c r="BV725" s="244">
        <f>IF(BV$7&lt;&gt;"",IF(ROUND(BV723,0)&lt;0,1,0),"")</f>
        <v/>
      </c>
      <c r="BW725" s="244">
        <f>IF(BW$7&lt;&gt;"",IF(ROUND(BW723,0)&lt;0,1,0),"")</f>
        <v/>
      </c>
      <c r="BX725" s="244">
        <f>IF(BX$7&lt;&gt;"",IF(ROUND(BX723,0)&lt;0,1,0),"")</f>
        <v/>
      </c>
      <c r="BY725" s="244">
        <f>IF(BY$7&lt;&gt;"",IF(ROUND(BY723,0)&lt;0,1,0),"")</f>
        <v/>
      </c>
      <c r="BZ725" s="244">
        <f>IF(BZ$7&lt;&gt;"",IF(ROUND(BZ723,0)&lt;0,1,0),"")</f>
        <v/>
      </c>
      <c r="CA725" s="244">
        <f>IF(CA$7&lt;&gt;"",IF(ROUND(CA723,0)&lt;0,1,0),"")</f>
        <v/>
      </c>
    </row>
    <row r="726" ht="12" customHeight="1" s="227">
      <c r="A726" s="244" t="n"/>
      <c r="B726" s="244" t="n"/>
      <c r="C726" s="244" t="n"/>
      <c r="K726" s="6" t="n"/>
    </row>
    <row r="727" ht="12" customHeight="1" s="227">
      <c r="A727" s="244" t="n"/>
      <c r="B727" s="244" t="n"/>
      <c r="C727" s="244" t="n"/>
      <c r="K727" s="6" t="n"/>
    </row>
    <row r="728" ht="12" customHeight="1" s="227">
      <c r="A728" s="244" t="n"/>
      <c r="B728" s="244" t="n"/>
      <c r="C728" s="244" t="n"/>
      <c r="G728" s="222">
        <f>H669</f>
        <v/>
      </c>
      <c r="K728" s="6" t="n"/>
    </row>
    <row r="729" ht="12" customHeight="1" s="227">
      <c r="A729" s="244" t="n"/>
      <c r="B729" s="244" t="n"/>
      <c r="C729" s="244" t="n"/>
      <c r="K729" s="6" t="n"/>
    </row>
    <row r="730" ht="12" customHeight="1" s="227">
      <c r="A730" s="244" t="n"/>
      <c r="B730" s="244" t="n"/>
      <c r="C730" s="244" t="n"/>
      <c r="H730" s="0" t="inlineStr">
        <is>
          <t>Useful Life - Opening Bal</t>
        </is>
      </c>
      <c r="I730" s="27" t="inlineStr">
        <is>
          <t>Months</t>
        </is>
      </c>
      <c r="K730" s="259">
        <f>i_Actuals!K113*12</f>
        <v/>
      </c>
    </row>
    <row r="731" ht="12" customHeight="1" s="227">
      <c r="A731" s="244" t="n"/>
      <c r="B731" s="244" t="n"/>
      <c r="C731" s="244" t="n"/>
      <c r="H731" s="0" t="inlineStr">
        <is>
          <t>Useful Life - Additions</t>
        </is>
      </c>
      <c r="I731" s="27" t="inlineStr">
        <is>
          <t>Months</t>
        </is>
      </c>
      <c r="K731" s="259">
        <f>i_Setup!R71*12</f>
        <v/>
      </c>
    </row>
    <row r="732" ht="12" customHeight="1" s="227">
      <c r="A732" s="244" t="n"/>
      <c r="B732" s="244" t="n"/>
      <c r="C732" s="244" t="n"/>
      <c r="H732" s="0" t="n"/>
      <c r="I732" s="27" t="n"/>
      <c r="K732" s="6" t="n"/>
    </row>
    <row r="733" ht="12" customHeight="1" s="227">
      <c r="A733" s="244" t="n"/>
      <c r="B733" s="244" t="n"/>
      <c r="C733" s="244" t="n"/>
      <c r="H733" s="0" t="inlineStr">
        <is>
          <t>Opening Balance</t>
        </is>
      </c>
      <c r="I733" s="27">
        <f>i_Setup!$M$16</f>
        <v/>
      </c>
      <c r="K733" s="6" t="n"/>
      <c r="M733" s="245">
        <f>SUMIF($T$1:$CA$1,M$1,$T733:$CA733)</f>
        <v/>
      </c>
      <c r="N733" s="245">
        <f>SUMIF($T$1:$CA$1,N$1,$T733:$CA733)</f>
        <v/>
      </c>
      <c r="O733" s="245">
        <f>SUMIF($T$1:$CA$1,O$1,$T733:$CA733)</f>
        <v/>
      </c>
      <c r="P733" s="245">
        <f>SUMIF($T$1:$CA$1,P$1,$T733:$CA733)</f>
        <v/>
      </c>
      <c r="Q733" s="245">
        <f>SUMIF($T$1:$CA$1,Q$1,$T733:$CA733)</f>
        <v/>
      </c>
      <c r="T733" s="245">
        <f>IF(T$2=i_Setup!$U$26,i_Actuals!T113,0)</f>
        <v/>
      </c>
      <c r="U733" s="245">
        <f>IF(U$2=i_Setup!$U$26,i_Actuals!U113,0)</f>
        <v/>
      </c>
      <c r="V733" s="245">
        <f>IF(V$2=i_Setup!$U$26,i_Actuals!V113,0)</f>
        <v/>
      </c>
      <c r="W733" s="245">
        <f>IF(W$2=i_Setup!$U$26,i_Actuals!W113,0)</f>
        <v/>
      </c>
      <c r="X733" s="245">
        <f>IF(X$2=i_Setup!$U$26,i_Actuals!X113,0)</f>
        <v/>
      </c>
      <c r="Y733" s="245">
        <f>IF(Y$2=i_Setup!$U$26,i_Actuals!Y113,0)</f>
        <v/>
      </c>
      <c r="Z733" s="245">
        <f>IF(Z$2=i_Setup!$U$26,i_Actuals!Z113,0)</f>
        <v/>
      </c>
      <c r="AA733" s="245">
        <f>IF(AA$2=i_Setup!$U$26,i_Actuals!AA113,0)</f>
        <v/>
      </c>
      <c r="AB733" s="245">
        <f>IF(AB$2=i_Setup!$U$26,i_Actuals!AB113,0)</f>
        <v/>
      </c>
      <c r="AC733" s="245">
        <f>IF(AC$2=i_Setup!$U$26,i_Actuals!AC113,0)</f>
        <v/>
      </c>
      <c r="AD733" s="245">
        <f>IF(AD$2=i_Setup!$U$26,i_Actuals!AD113,0)</f>
        <v/>
      </c>
      <c r="AE733" s="245">
        <f>IF(AE$2=i_Setup!$U$26,i_Actuals!AE113,0)</f>
        <v/>
      </c>
      <c r="AF733" s="245">
        <f>IF(AF$2=i_Setup!$U$26,i_Actuals!AF113,0)</f>
        <v/>
      </c>
      <c r="AG733" s="245">
        <f>IF(AG$2=i_Setup!$U$26,i_Actuals!AG113,0)</f>
        <v/>
      </c>
      <c r="AH733" s="245">
        <f>IF(AH$2=i_Setup!$U$26,i_Actuals!AH113,0)</f>
        <v/>
      </c>
      <c r="AI733" s="245">
        <f>IF(AI$2=i_Setup!$U$26,i_Actuals!AI113,0)</f>
        <v/>
      </c>
      <c r="AJ733" s="245">
        <f>IF(AJ$2=i_Setup!$U$26,i_Actuals!AJ113,0)</f>
        <v/>
      </c>
      <c r="AK733" s="245">
        <f>IF(AK$2=i_Setup!$U$26,i_Actuals!AK113,0)</f>
        <v/>
      </c>
      <c r="AL733" s="245">
        <f>IF(AL$2=i_Setup!$U$26,i_Actuals!AL113,0)</f>
        <v/>
      </c>
      <c r="AM733" s="245">
        <f>IF(AM$2=i_Setup!$U$26,i_Actuals!AM113,0)</f>
        <v/>
      </c>
      <c r="AN733" s="245">
        <f>IF(AN$2=i_Setup!$U$26,i_Actuals!AN113,0)</f>
        <v/>
      </c>
      <c r="AO733" s="245">
        <f>IF(AO$2=i_Setup!$U$26,i_Actuals!AO113,0)</f>
        <v/>
      </c>
      <c r="AP733" s="245">
        <f>IF(AP$2=i_Setup!$U$26,i_Actuals!AP113,0)</f>
        <v/>
      </c>
      <c r="AQ733" s="245">
        <f>IF(AQ$2=i_Setup!$U$26,i_Actuals!AQ113,0)</f>
        <v/>
      </c>
      <c r="AR733" s="245">
        <f>IF(AR$2=i_Setup!$U$26,i_Actuals!AR113,0)</f>
        <v/>
      </c>
      <c r="AS733" s="245">
        <f>IF(AS$2=i_Setup!$U$26,i_Actuals!AS113,0)</f>
        <v/>
      </c>
      <c r="AT733" s="245">
        <f>IF(AT$2=i_Setup!$U$26,i_Actuals!AT113,0)</f>
        <v/>
      </c>
      <c r="AU733" s="245">
        <f>IF(AU$2=i_Setup!$U$26,i_Actuals!AU113,0)</f>
        <v/>
      </c>
      <c r="AV733" s="245">
        <f>IF(AV$2=i_Setup!$U$26,i_Actuals!AV113,0)</f>
        <v/>
      </c>
      <c r="AW733" s="245">
        <f>IF(AW$2=i_Setup!$U$26,i_Actuals!AW113,0)</f>
        <v/>
      </c>
      <c r="AX733" s="245">
        <f>IF(AX$2=i_Setup!$U$26,i_Actuals!AX113,0)</f>
        <v/>
      </c>
      <c r="AY733" s="245">
        <f>IF(AY$2=i_Setup!$U$26,i_Actuals!AY113,0)</f>
        <v/>
      </c>
      <c r="AZ733" s="245">
        <f>IF(AZ$2=i_Setup!$U$26,i_Actuals!AZ113,0)</f>
        <v/>
      </c>
      <c r="BA733" s="245">
        <f>IF(BA$2=i_Setup!$U$26,i_Actuals!BA113,0)</f>
        <v/>
      </c>
      <c r="BB733" s="245">
        <f>IF(BB$2=i_Setup!$U$26,i_Actuals!BB113,0)</f>
        <v/>
      </c>
      <c r="BC733" s="245">
        <f>IF(BC$2=i_Setup!$U$26,i_Actuals!BC113,0)</f>
        <v/>
      </c>
      <c r="BD733" s="245">
        <f>IF(BD$2=i_Setup!$U$26,i_Actuals!BD113,0)</f>
        <v/>
      </c>
      <c r="BE733" s="245">
        <f>IF(BE$2=i_Setup!$U$26,i_Actuals!BE113,0)</f>
        <v/>
      </c>
      <c r="BF733" s="245">
        <f>IF(BF$2=i_Setup!$U$26,i_Actuals!BF113,0)</f>
        <v/>
      </c>
      <c r="BG733" s="245">
        <f>IF(BG$2=i_Setup!$U$26,i_Actuals!BG113,0)</f>
        <v/>
      </c>
      <c r="BH733" s="245">
        <f>IF(BH$2=i_Setup!$U$26,i_Actuals!BH113,0)</f>
        <v/>
      </c>
      <c r="BI733" s="245">
        <f>IF(BI$2=i_Setup!$U$26,i_Actuals!BI113,0)</f>
        <v/>
      </c>
      <c r="BJ733" s="245">
        <f>IF(BJ$2=i_Setup!$U$26,i_Actuals!BJ113,0)</f>
        <v/>
      </c>
      <c r="BK733" s="245">
        <f>IF(BK$2=i_Setup!$U$26,i_Actuals!BK113,0)</f>
        <v/>
      </c>
      <c r="BL733" s="245">
        <f>IF(BL$2=i_Setup!$U$26,i_Actuals!BL113,0)</f>
        <v/>
      </c>
      <c r="BM733" s="245">
        <f>IF(BM$2=i_Setup!$U$26,i_Actuals!BM113,0)</f>
        <v/>
      </c>
      <c r="BN733" s="245">
        <f>IF(BN$2=i_Setup!$U$26,i_Actuals!BN113,0)</f>
        <v/>
      </c>
      <c r="BO733" s="245">
        <f>IF(BO$2=i_Setup!$U$26,i_Actuals!BO113,0)</f>
        <v/>
      </c>
      <c r="BP733" s="245">
        <f>IF(BP$2=i_Setup!$U$26,i_Actuals!BP113,0)</f>
        <v/>
      </c>
      <c r="BQ733" s="245">
        <f>IF(BQ$2=i_Setup!$U$26,i_Actuals!BQ113,0)</f>
        <v/>
      </c>
      <c r="BR733" s="245">
        <f>IF(BR$2=i_Setup!$U$26,i_Actuals!BR113,0)</f>
        <v/>
      </c>
      <c r="BS733" s="245">
        <f>IF(BS$2=i_Setup!$U$26,i_Actuals!BS113,0)</f>
        <v/>
      </c>
      <c r="BT733" s="245">
        <f>IF(BT$2=i_Setup!$U$26,i_Actuals!BT113,0)</f>
        <v/>
      </c>
      <c r="BU733" s="245">
        <f>IF(BU$2=i_Setup!$U$26,i_Actuals!BU113,0)</f>
        <v/>
      </c>
      <c r="BV733" s="245">
        <f>IF(BV$2=i_Setup!$U$26,i_Actuals!BV113,0)</f>
        <v/>
      </c>
      <c r="BW733" s="245">
        <f>IF(BW$2=i_Setup!$U$26,i_Actuals!BW113,0)</f>
        <v/>
      </c>
      <c r="BX733" s="245">
        <f>IF(BX$2=i_Setup!$U$26,i_Actuals!BX113,0)</f>
        <v/>
      </c>
      <c r="BY733" s="245">
        <f>IF(BY$2=i_Setup!$U$26,i_Actuals!BY113,0)</f>
        <v/>
      </c>
      <c r="BZ733" s="245">
        <f>IF(BZ$2=i_Setup!$U$26,i_Actuals!BZ113,0)</f>
        <v/>
      </c>
      <c r="CA733" s="245">
        <f>IF(CA$2=i_Setup!$U$26,i_Actuals!CA113,0)</f>
        <v/>
      </c>
    </row>
    <row r="734" ht="12" customHeight="1" s="227">
      <c r="A734" s="244" t="n"/>
      <c r="B734" s="244" t="n"/>
      <c r="C734" s="244" t="n"/>
      <c r="H734" s="0" t="n"/>
      <c r="I734" s="27" t="n"/>
      <c r="K734" s="6" t="n"/>
    </row>
    <row r="735" ht="12" customHeight="1" s="227">
      <c r="A735" s="244" t="n"/>
      <c r="B735" s="244" t="n"/>
      <c r="C735" s="244" t="n"/>
      <c r="H735" s="0" t="inlineStr">
        <is>
          <t>Opening Balance</t>
        </is>
      </c>
      <c r="I735" s="27">
        <f>i_Setup!$M$16</f>
        <v/>
      </c>
      <c r="K735" s="6" t="n"/>
      <c r="M735" s="245">
        <f>SUMIF($T$1:$CA$1,M$1,$T735:$CA735)</f>
        <v/>
      </c>
      <c r="N735" s="245">
        <f>SUMIF($T$1:$CA$1,N$1,$T735:$CA735)</f>
        <v/>
      </c>
      <c r="O735" s="245">
        <f>SUMIF($T$1:$CA$1,O$1,$T735:$CA735)</f>
        <v/>
      </c>
      <c r="P735" s="245">
        <f>SUMIF($T$1:$CA$1,P$1,$T735:$CA735)</f>
        <v/>
      </c>
      <c r="Q735" s="245">
        <f>SUMIF($T$1:$CA$1,Q$1,$T735:$CA735)</f>
        <v/>
      </c>
      <c r="T735" s="245">
        <f>S739</f>
        <v/>
      </c>
      <c r="U735" s="245">
        <f>T739</f>
        <v/>
      </c>
      <c r="V735" s="245">
        <f>U739</f>
        <v/>
      </c>
      <c r="W735" s="245">
        <f>V739</f>
        <v/>
      </c>
      <c r="X735" s="245">
        <f>W739</f>
        <v/>
      </c>
      <c r="Y735" s="245">
        <f>X739</f>
        <v/>
      </c>
      <c r="Z735" s="245">
        <f>Y739</f>
        <v/>
      </c>
      <c r="AA735" s="245">
        <f>Z739</f>
        <v/>
      </c>
      <c r="AB735" s="245">
        <f>AA739</f>
        <v/>
      </c>
      <c r="AC735" s="245">
        <f>AB739</f>
        <v/>
      </c>
      <c r="AD735" s="245">
        <f>AC739</f>
        <v/>
      </c>
      <c r="AE735" s="245">
        <f>AD739</f>
        <v/>
      </c>
      <c r="AF735" s="245">
        <f>AE739</f>
        <v/>
      </c>
      <c r="AG735" s="245">
        <f>AF739</f>
        <v/>
      </c>
      <c r="AH735" s="245">
        <f>AG739</f>
        <v/>
      </c>
      <c r="AI735" s="245">
        <f>AH739</f>
        <v/>
      </c>
      <c r="AJ735" s="245">
        <f>AI739</f>
        <v/>
      </c>
      <c r="AK735" s="245">
        <f>AJ739</f>
        <v/>
      </c>
      <c r="AL735" s="245">
        <f>AK739</f>
        <v/>
      </c>
      <c r="AM735" s="245">
        <f>AL739</f>
        <v/>
      </c>
      <c r="AN735" s="245">
        <f>AM739</f>
        <v/>
      </c>
      <c r="AO735" s="245">
        <f>AN739</f>
        <v/>
      </c>
      <c r="AP735" s="245">
        <f>AO739</f>
        <v/>
      </c>
      <c r="AQ735" s="245">
        <f>AP739</f>
        <v/>
      </c>
      <c r="AR735" s="245">
        <f>AQ739</f>
        <v/>
      </c>
      <c r="AS735" s="245">
        <f>AR739</f>
        <v/>
      </c>
      <c r="AT735" s="245">
        <f>AS739</f>
        <v/>
      </c>
      <c r="AU735" s="245">
        <f>AT739</f>
        <v/>
      </c>
      <c r="AV735" s="245">
        <f>AU739</f>
        <v/>
      </c>
      <c r="AW735" s="245">
        <f>AV739</f>
        <v/>
      </c>
      <c r="AX735" s="245">
        <f>AW739</f>
        <v/>
      </c>
      <c r="AY735" s="245">
        <f>AX739</f>
        <v/>
      </c>
      <c r="AZ735" s="245">
        <f>AY739</f>
        <v/>
      </c>
      <c r="BA735" s="245">
        <f>AZ739</f>
        <v/>
      </c>
      <c r="BB735" s="245">
        <f>BA739</f>
        <v/>
      </c>
      <c r="BC735" s="245">
        <f>BB739</f>
        <v/>
      </c>
      <c r="BD735" s="245">
        <f>BC739</f>
        <v/>
      </c>
      <c r="BE735" s="245">
        <f>BD739</f>
        <v/>
      </c>
      <c r="BF735" s="245">
        <f>BE739</f>
        <v/>
      </c>
      <c r="BG735" s="245">
        <f>BF739</f>
        <v/>
      </c>
      <c r="BH735" s="245">
        <f>BG739</f>
        <v/>
      </c>
      <c r="BI735" s="245">
        <f>BH739</f>
        <v/>
      </c>
      <c r="BJ735" s="245">
        <f>BI739</f>
        <v/>
      </c>
      <c r="BK735" s="245">
        <f>BJ739</f>
        <v/>
      </c>
      <c r="BL735" s="245">
        <f>BK739</f>
        <v/>
      </c>
      <c r="BM735" s="245">
        <f>BL739</f>
        <v/>
      </c>
      <c r="BN735" s="245">
        <f>BM739</f>
        <v/>
      </c>
      <c r="BO735" s="245">
        <f>BN739</f>
        <v/>
      </c>
      <c r="BP735" s="245">
        <f>BO739</f>
        <v/>
      </c>
      <c r="BQ735" s="245">
        <f>BP739</f>
        <v/>
      </c>
      <c r="BR735" s="245">
        <f>BQ739</f>
        <v/>
      </c>
      <c r="BS735" s="245">
        <f>BR739</f>
        <v/>
      </c>
      <c r="BT735" s="245">
        <f>BS739</f>
        <v/>
      </c>
      <c r="BU735" s="245">
        <f>BT739</f>
        <v/>
      </c>
      <c r="BV735" s="245">
        <f>BU739</f>
        <v/>
      </c>
      <c r="BW735" s="245">
        <f>BV739</f>
        <v/>
      </c>
      <c r="BX735" s="245">
        <f>BW739</f>
        <v/>
      </c>
      <c r="BY735" s="245">
        <f>BX739</f>
        <v/>
      </c>
      <c r="BZ735" s="245">
        <f>BY739</f>
        <v/>
      </c>
      <c r="CA735" s="245">
        <f>BZ739</f>
        <v/>
      </c>
    </row>
    <row r="736" ht="12" customHeight="1" s="227">
      <c r="A736" s="244" t="n"/>
      <c r="B736" s="244" t="n"/>
      <c r="C736" s="244" t="n"/>
      <c r="H736" s="0" t="inlineStr">
        <is>
          <t>Addition Amounts</t>
        </is>
      </c>
      <c r="I736" s="27">
        <f>i_Setup!$M$16</f>
        <v/>
      </c>
      <c r="K736" s="6" t="n"/>
      <c r="M736" s="245">
        <f>SUMIF($T$4:$CA$4,M$4,$T736:$CA736)</f>
        <v/>
      </c>
      <c r="N736" s="245">
        <f>SUMIF($T$4:$CA$4,N$4,$T736:$CA736)</f>
        <v/>
      </c>
      <c r="O736" s="245">
        <f>SUMIF($T$4:$CA$4,O$4,$T736:$CA736)</f>
        <v/>
      </c>
      <c r="P736" s="245">
        <f>SUMIF($T$4:$CA$4,P$4,$T736:$CA736)</f>
        <v/>
      </c>
      <c r="Q736" s="245">
        <f>SUMIF($T$4:$CA$4,Q$4,$T736:$CA736)</f>
        <v/>
      </c>
      <c r="T736" s="257">
        <f>IF(T$7="Actual","",T653)</f>
        <v/>
      </c>
      <c r="U736" s="257">
        <f>IF(U$7="Actual","",U653)</f>
        <v/>
      </c>
      <c r="V736" s="257">
        <f>IF(V$7="Actual","",V653)</f>
        <v/>
      </c>
      <c r="W736" s="257">
        <f>IF(W$7="Actual","",W653)</f>
        <v/>
      </c>
      <c r="X736" s="257">
        <f>IF(X$7="Actual","",X653)</f>
        <v/>
      </c>
      <c r="Y736" s="257">
        <f>IF(Y$7="Actual","",Y653)</f>
        <v/>
      </c>
      <c r="Z736" s="257">
        <f>IF(Z$7="Actual","",Z653)</f>
        <v/>
      </c>
      <c r="AA736" s="257">
        <f>IF(AA$7="Actual","",AA653)</f>
        <v/>
      </c>
      <c r="AB736" s="257">
        <f>IF(AB$7="Actual","",AB653)</f>
        <v/>
      </c>
      <c r="AC736" s="257">
        <f>IF(AC$7="Actual","",AC653)</f>
        <v/>
      </c>
      <c r="AD736" s="257">
        <f>IF(AD$7="Actual","",AD653)</f>
        <v/>
      </c>
      <c r="AE736" s="257">
        <f>IF(AE$7="Actual","",AE653)</f>
        <v/>
      </c>
      <c r="AF736" s="257">
        <f>IF(AF$7="Actual","",AF653)</f>
        <v/>
      </c>
      <c r="AG736" s="257">
        <f>IF(AG$7="Actual","",AG653)</f>
        <v/>
      </c>
      <c r="AH736" s="257">
        <f>IF(AH$7="Actual","",AH653)</f>
        <v/>
      </c>
      <c r="AI736" s="257">
        <f>IF(AI$7="Actual","",AI653)</f>
        <v/>
      </c>
      <c r="AJ736" s="257">
        <f>IF(AJ$7="Actual","",AJ653)</f>
        <v/>
      </c>
      <c r="AK736" s="257">
        <f>IF(AK$7="Actual","",AK653)</f>
        <v/>
      </c>
      <c r="AL736" s="257">
        <f>IF(AL$7="Actual","",AL653)</f>
        <v/>
      </c>
      <c r="AM736" s="257">
        <f>IF(AM$7="Actual","",AM653)</f>
        <v/>
      </c>
      <c r="AN736" s="257">
        <f>IF(AN$7="Actual","",AN653)</f>
        <v/>
      </c>
      <c r="AO736" s="257">
        <f>IF(AO$7="Actual","",AO653)</f>
        <v/>
      </c>
      <c r="AP736" s="257">
        <f>IF(AP$7="Actual","",AP653)</f>
        <v/>
      </c>
      <c r="AQ736" s="257">
        <f>IF(AQ$7="Actual","",AQ653)</f>
        <v/>
      </c>
      <c r="AR736" s="257">
        <f>IF(AR$7="Actual","",AR653)</f>
        <v/>
      </c>
      <c r="AS736" s="257">
        <f>IF(AS$7="Actual","",AS653)</f>
        <v/>
      </c>
      <c r="AT736" s="257">
        <f>IF(AT$7="Actual","",AT653)</f>
        <v/>
      </c>
      <c r="AU736" s="257">
        <f>IF(AU$7="Actual","",AU653)</f>
        <v/>
      </c>
      <c r="AV736" s="257">
        <f>IF(AV$7="Actual","",AV653)</f>
        <v/>
      </c>
      <c r="AW736" s="257">
        <f>IF(AW$7="Actual","",AW653)</f>
        <v/>
      </c>
      <c r="AX736" s="257">
        <f>IF(AX$7="Actual","",AX653)</f>
        <v/>
      </c>
      <c r="AY736" s="257">
        <f>IF(AY$7="Actual","",AY653)</f>
        <v/>
      </c>
      <c r="AZ736" s="257">
        <f>IF(AZ$7="Actual","",AZ653)</f>
        <v/>
      </c>
      <c r="BA736" s="257">
        <f>IF(BA$7="Actual","",BA653)</f>
        <v/>
      </c>
      <c r="BB736" s="257">
        <f>IF(BB$7="Actual","",BB653)</f>
        <v/>
      </c>
      <c r="BC736" s="257">
        <f>IF(BC$7="Actual","",BC653)</f>
        <v/>
      </c>
      <c r="BD736" s="257">
        <f>IF(BD$7="Actual","",BD653)</f>
        <v/>
      </c>
      <c r="BE736" s="257">
        <f>IF(BE$7="Actual","",BE653)</f>
        <v/>
      </c>
      <c r="BF736" s="257">
        <f>IF(BF$7="Actual","",BF653)</f>
        <v/>
      </c>
      <c r="BG736" s="257">
        <f>IF(BG$7="Actual","",BG653)</f>
        <v/>
      </c>
      <c r="BH736" s="257">
        <f>IF(BH$7="Actual","",BH653)</f>
        <v/>
      </c>
      <c r="BI736" s="257">
        <f>IF(BI$7="Actual","",BI653)</f>
        <v/>
      </c>
      <c r="BJ736" s="257">
        <f>IF(BJ$7="Actual","",BJ653)</f>
        <v/>
      </c>
      <c r="BK736" s="257">
        <f>IF(BK$7="Actual","",BK653)</f>
        <v/>
      </c>
      <c r="BL736" s="257">
        <f>IF(BL$7="Actual","",BL653)</f>
        <v/>
      </c>
      <c r="BM736" s="257">
        <f>IF(BM$7="Actual","",BM653)</f>
        <v/>
      </c>
      <c r="BN736" s="257">
        <f>IF(BN$7="Actual","",BN653)</f>
        <v/>
      </c>
      <c r="BO736" s="257">
        <f>IF(BO$7="Actual","",BO653)</f>
        <v/>
      </c>
      <c r="BP736" s="257">
        <f>IF(BP$7="Actual","",BP653)</f>
        <v/>
      </c>
      <c r="BQ736" s="257">
        <f>IF(BQ$7="Actual","",BQ653)</f>
        <v/>
      </c>
      <c r="BR736" s="257">
        <f>IF(BR$7="Actual","",BR653)</f>
        <v/>
      </c>
      <c r="BS736" s="257">
        <f>IF(BS$7="Actual","",BS653)</f>
        <v/>
      </c>
      <c r="BT736" s="257">
        <f>IF(BT$7="Actual","",BT653)</f>
        <v/>
      </c>
      <c r="BU736" s="257">
        <f>IF(BU$7="Actual","",BU653)</f>
        <v/>
      </c>
      <c r="BV736" s="257">
        <f>IF(BV$7="Actual","",BV653)</f>
        <v/>
      </c>
      <c r="BW736" s="257">
        <f>IF(BW$7="Actual","",BW653)</f>
        <v/>
      </c>
      <c r="BX736" s="257">
        <f>IF(BX$7="Actual","",BX653)</f>
        <v/>
      </c>
      <c r="BY736" s="257">
        <f>IF(BY$7="Actual","",BY653)</f>
        <v/>
      </c>
      <c r="BZ736" s="257">
        <f>IF(BZ$7="Actual","",BZ653)</f>
        <v/>
      </c>
      <c r="CA736" s="257">
        <f>IF(CA$7="Actual","",CA653)</f>
        <v/>
      </c>
    </row>
    <row r="737" ht="12" customHeight="1" s="227">
      <c r="A737" s="244" t="n"/>
      <c r="B737" s="244" t="n"/>
      <c r="C737" s="244" t="n"/>
      <c r="H737" s="0" t="inlineStr">
        <is>
          <t xml:space="preserve"> Depreciation - Opening Bal</t>
        </is>
      </c>
      <c r="I737" s="27">
        <f>i_Setup!$M$16</f>
        <v/>
      </c>
      <c r="K737" s="6" t="n"/>
      <c r="M737" s="245">
        <f>SUMIF($T$4:$CA$4,M$4,$T737:$CA737)</f>
        <v/>
      </c>
      <c r="N737" s="245">
        <f>SUMIF($T$4:$CA$4,N$4,$T737:$CA737)</f>
        <v/>
      </c>
      <c r="O737" s="245">
        <f>SUMIF($T$4:$CA$4,O$4,$T737:$CA737)</f>
        <v/>
      </c>
      <c r="P737" s="245">
        <f>SUMIF($T$4:$CA$4,P$4,$T737:$CA737)</f>
        <v/>
      </c>
      <c r="Q737" s="245">
        <f>SUMIF($T$4:$CA$4,Q$4,$T737:$CA737)</f>
        <v/>
      </c>
      <c r="T737" s="245">
        <f>IF(T$7="Actual","",IFERROR(-SUM(OFFSET(S733,0,0,1,-MIN(T$6,$K$730)))/$K$730,0))</f>
        <v/>
      </c>
      <c r="U737" s="245">
        <f>IF(U$7="Actual","",IFERROR(-SUM(OFFSET(T733,0,0,1,-MIN(U$6,$K$730)))/$K$730,0))</f>
        <v/>
      </c>
      <c r="V737" s="245">
        <f>IF(V$7="Actual","",IFERROR(-SUM(OFFSET(U733,0,0,1,-MIN(V$6,$K$730)))/$K$730,0))</f>
        <v/>
      </c>
      <c r="W737" s="245">
        <f>IF(W$7="Actual","",IFERROR(-SUM(OFFSET(V733,0,0,1,-MIN(W$6,$K$730)))/$K$730,0))</f>
        <v/>
      </c>
      <c r="X737" s="245">
        <f>IF(X$7="Actual","",IFERROR(-SUM(OFFSET(W733,0,0,1,-MIN(X$6,$K$730)))/$K$730,0))</f>
        <v/>
      </c>
      <c r="Y737" s="245">
        <f>IF(Y$7="Actual","",IFERROR(-SUM(OFFSET(X733,0,0,1,-MIN(Y$6,$K$730)))/$K$730,0))</f>
        <v/>
      </c>
      <c r="Z737" s="245">
        <f>IF(Z$7="Actual","",IFERROR(-SUM(OFFSET(Y733,0,0,1,-MIN(Z$6,$K$730)))/$K$730,0))</f>
        <v/>
      </c>
      <c r="AA737" s="245">
        <f>IF(AA$7="Actual","",IFERROR(-SUM(OFFSET(Z733,0,0,1,-MIN(AA$6,$K$730)))/$K$730,0))</f>
        <v/>
      </c>
      <c r="AB737" s="245">
        <f>IF(AB$7="Actual","",IFERROR(-SUM(OFFSET(AA733,0,0,1,-MIN(AB$6,$K$730)))/$K$730,0))</f>
        <v/>
      </c>
      <c r="AC737" s="245">
        <f>IF(AC$7="Actual","",IFERROR(-SUM(OFFSET(AB733,0,0,1,-MIN(AC$6,$K$730)))/$K$730,0))</f>
        <v/>
      </c>
      <c r="AD737" s="245">
        <f>IF(AD$7="Actual","",IFERROR(-SUM(OFFSET(AC733,0,0,1,-MIN(AD$6,$K$730)))/$K$730,0))</f>
        <v/>
      </c>
      <c r="AE737" s="245">
        <f>IF(AE$7="Actual","",IFERROR(-SUM(OFFSET(AD733,0,0,1,-MIN(AE$6,$K$730)))/$K$730,0))</f>
        <v/>
      </c>
      <c r="AF737" s="245">
        <f>IF(AF$7="Actual","",IFERROR(-SUM(OFFSET(AE733,0,0,1,-MIN(AF$6,$K$730)))/$K$730,0))</f>
        <v/>
      </c>
      <c r="AG737" s="245">
        <f>IF(AG$7="Actual","",IFERROR(-SUM(OFFSET(AF733,0,0,1,-MIN(AG$6,$K$730)))/$K$730,0))</f>
        <v/>
      </c>
      <c r="AH737" s="245">
        <f>IF(AH$7="Actual","",IFERROR(-SUM(OFFSET(AG733,0,0,1,-MIN(AH$6,$K$730)))/$K$730,0))</f>
        <v/>
      </c>
      <c r="AI737" s="245">
        <f>IF(AI$7="Actual","",IFERROR(-SUM(OFFSET(AH733,0,0,1,-MIN(AI$6,$K$730)))/$K$730,0))</f>
        <v/>
      </c>
      <c r="AJ737" s="245">
        <f>IF(AJ$7="Actual","",IFERROR(-SUM(OFFSET(AI733,0,0,1,-MIN(AJ$6,$K$730)))/$K$730,0))</f>
        <v/>
      </c>
      <c r="AK737" s="245">
        <f>IF(AK$7="Actual","",IFERROR(-SUM(OFFSET(AJ733,0,0,1,-MIN(AK$6,$K$730)))/$K$730,0))</f>
        <v/>
      </c>
      <c r="AL737" s="245">
        <f>IF(AL$7="Actual","",IFERROR(-SUM(OFFSET(AK733,0,0,1,-MIN(AL$6,$K$730)))/$K$730,0))</f>
        <v/>
      </c>
      <c r="AM737" s="245">
        <f>IF(AM$7="Actual","",IFERROR(-SUM(OFFSET(AL733,0,0,1,-MIN(AM$6,$K$730)))/$K$730,0))</f>
        <v/>
      </c>
      <c r="AN737" s="245">
        <f>IF(AN$7="Actual","",IFERROR(-SUM(OFFSET(AM733,0,0,1,-MIN(AN$6,$K$730)))/$K$730,0))</f>
        <v/>
      </c>
      <c r="AO737" s="245">
        <f>IF(AO$7="Actual","",IFERROR(-SUM(OFFSET(AN733,0,0,1,-MIN(AO$6,$K$730)))/$K$730,0))</f>
        <v/>
      </c>
      <c r="AP737" s="245">
        <f>IF(AP$7="Actual","",IFERROR(-SUM(OFFSET(AO733,0,0,1,-MIN(AP$6,$K$730)))/$K$730,0))</f>
        <v/>
      </c>
      <c r="AQ737" s="245">
        <f>IF(AQ$7="Actual","",IFERROR(-SUM(OFFSET(AP733,0,0,1,-MIN(AQ$6,$K$730)))/$K$730,0))</f>
        <v/>
      </c>
      <c r="AR737" s="245">
        <f>IF(AR$7="Actual","",IFERROR(-SUM(OFFSET(AQ733,0,0,1,-MIN(AR$6,$K$730)))/$K$730,0))</f>
        <v/>
      </c>
      <c r="AS737" s="245">
        <f>IF(AS$7="Actual","",IFERROR(-SUM(OFFSET(AR733,0,0,1,-MIN(AS$6,$K$730)))/$K$730,0))</f>
        <v/>
      </c>
      <c r="AT737" s="245">
        <f>IF(AT$7="Actual","",IFERROR(-SUM(OFFSET(AS733,0,0,1,-MIN(AT$6,$K$730)))/$K$730,0))</f>
        <v/>
      </c>
      <c r="AU737" s="245">
        <f>IF(AU$7="Actual","",IFERROR(-SUM(OFFSET(AT733,0,0,1,-MIN(AU$6,$K$730)))/$K$730,0))</f>
        <v/>
      </c>
      <c r="AV737" s="245">
        <f>IF(AV$7="Actual","",IFERROR(-SUM(OFFSET(AU733,0,0,1,-MIN(AV$6,$K$730)))/$K$730,0))</f>
        <v/>
      </c>
      <c r="AW737" s="245">
        <f>IF(AW$7="Actual","",IFERROR(-SUM(OFFSET(AV733,0,0,1,-MIN(AW$6,$K$730)))/$K$730,0))</f>
        <v/>
      </c>
      <c r="AX737" s="245">
        <f>IF(AX$7="Actual","",IFERROR(-SUM(OFFSET(AW733,0,0,1,-MIN(AX$6,$K$730)))/$K$730,0))</f>
        <v/>
      </c>
      <c r="AY737" s="245">
        <f>IF(AY$7="Actual","",IFERROR(-SUM(OFFSET(AX733,0,0,1,-MIN(AY$6,$K$730)))/$K$730,0))</f>
        <v/>
      </c>
      <c r="AZ737" s="245">
        <f>IF(AZ$7="Actual","",IFERROR(-SUM(OFFSET(AY733,0,0,1,-MIN(AZ$6,$K$730)))/$K$730,0))</f>
        <v/>
      </c>
      <c r="BA737" s="245">
        <f>IF(BA$7="Actual","",IFERROR(-SUM(OFFSET(AZ733,0,0,1,-MIN(BA$6,$K$730)))/$K$730,0))</f>
        <v/>
      </c>
      <c r="BB737" s="245">
        <f>IF(BB$7="Actual","",IFERROR(-SUM(OFFSET(BA733,0,0,1,-MIN(BB$6,$K$730)))/$K$730,0))</f>
        <v/>
      </c>
      <c r="BC737" s="245">
        <f>IF(BC$7="Actual","",IFERROR(-SUM(OFFSET(BB733,0,0,1,-MIN(BC$6,$K$730)))/$K$730,0))</f>
        <v/>
      </c>
      <c r="BD737" s="245">
        <f>IF(BD$7="Actual","",IFERROR(-SUM(OFFSET(BC733,0,0,1,-MIN(BD$6,$K$730)))/$K$730,0))</f>
        <v/>
      </c>
      <c r="BE737" s="245">
        <f>IF(BE$7="Actual","",IFERROR(-SUM(OFFSET(BD733,0,0,1,-MIN(BE$6,$K$730)))/$K$730,0))</f>
        <v/>
      </c>
      <c r="BF737" s="245">
        <f>IF(BF$7="Actual","",IFERROR(-SUM(OFFSET(BE733,0,0,1,-MIN(BF$6,$K$730)))/$K$730,0))</f>
        <v/>
      </c>
      <c r="BG737" s="245">
        <f>IF(BG$7="Actual","",IFERROR(-SUM(OFFSET(BF733,0,0,1,-MIN(BG$6,$K$730)))/$K$730,0))</f>
        <v/>
      </c>
      <c r="BH737" s="245">
        <f>IF(BH$7="Actual","",IFERROR(-SUM(OFFSET(BG733,0,0,1,-MIN(BH$6,$K$730)))/$K$730,0))</f>
        <v/>
      </c>
      <c r="BI737" s="245">
        <f>IF(BI$7="Actual","",IFERROR(-SUM(OFFSET(BH733,0,0,1,-MIN(BI$6,$K$730)))/$K$730,0))</f>
        <v/>
      </c>
      <c r="BJ737" s="245">
        <f>IF(BJ$7="Actual","",IFERROR(-SUM(OFFSET(BI733,0,0,1,-MIN(BJ$6,$K$730)))/$K$730,0))</f>
        <v/>
      </c>
      <c r="BK737" s="245">
        <f>IF(BK$7="Actual","",IFERROR(-SUM(OFFSET(BJ733,0,0,1,-MIN(BK$6,$K$730)))/$K$730,0))</f>
        <v/>
      </c>
      <c r="BL737" s="245">
        <f>IF(BL$7="Actual","",IFERROR(-SUM(OFFSET(BK733,0,0,1,-MIN(BL$6,$K$730)))/$K$730,0))</f>
        <v/>
      </c>
      <c r="BM737" s="245">
        <f>IF(BM$7="Actual","",IFERROR(-SUM(OFFSET(BL733,0,0,1,-MIN(BM$6,$K$730)))/$K$730,0))</f>
        <v/>
      </c>
      <c r="BN737" s="245">
        <f>IF(BN$7="Actual","",IFERROR(-SUM(OFFSET(BM733,0,0,1,-MIN(BN$6,$K$730)))/$K$730,0))</f>
        <v/>
      </c>
      <c r="BO737" s="245">
        <f>IF(BO$7="Actual","",IFERROR(-SUM(OFFSET(BN733,0,0,1,-MIN(BO$6,$K$730)))/$K$730,0))</f>
        <v/>
      </c>
      <c r="BP737" s="245">
        <f>IF(BP$7="Actual","",IFERROR(-SUM(OFFSET(BO733,0,0,1,-MIN(BP$6,$K$730)))/$K$730,0))</f>
        <v/>
      </c>
      <c r="BQ737" s="245">
        <f>IF(BQ$7="Actual","",IFERROR(-SUM(OFFSET(BP733,0,0,1,-MIN(BQ$6,$K$730)))/$K$730,0))</f>
        <v/>
      </c>
      <c r="BR737" s="245">
        <f>IF(BR$7="Actual","",IFERROR(-SUM(OFFSET(BQ733,0,0,1,-MIN(BR$6,$K$730)))/$K$730,0))</f>
        <v/>
      </c>
      <c r="BS737" s="245">
        <f>IF(BS$7="Actual","",IFERROR(-SUM(OFFSET(BR733,0,0,1,-MIN(BS$6,$K$730)))/$K$730,0))</f>
        <v/>
      </c>
      <c r="BT737" s="245">
        <f>IF(BT$7="Actual","",IFERROR(-SUM(OFFSET(BS733,0,0,1,-MIN(BT$6,$K$730)))/$K$730,0))</f>
        <v/>
      </c>
      <c r="BU737" s="245">
        <f>IF(BU$7="Actual","",IFERROR(-SUM(OFFSET(BT733,0,0,1,-MIN(BU$6,$K$730)))/$K$730,0))</f>
        <v/>
      </c>
      <c r="BV737" s="245">
        <f>IF(BV$7="Actual","",IFERROR(-SUM(OFFSET(BU733,0,0,1,-MIN(BV$6,$K$730)))/$K$730,0))</f>
        <v/>
      </c>
      <c r="BW737" s="245">
        <f>IF(BW$7="Actual","",IFERROR(-SUM(OFFSET(BV733,0,0,1,-MIN(BW$6,$K$730)))/$K$730,0))</f>
        <v/>
      </c>
      <c r="BX737" s="245">
        <f>IF(BX$7="Actual","",IFERROR(-SUM(OFFSET(BW733,0,0,1,-MIN(BX$6,$K$730)))/$K$730,0))</f>
        <v/>
      </c>
      <c r="BY737" s="245">
        <f>IF(BY$7="Actual","",IFERROR(-SUM(OFFSET(BX733,0,0,1,-MIN(BY$6,$K$730)))/$K$730,0))</f>
        <v/>
      </c>
      <c r="BZ737" s="245">
        <f>IF(BZ$7="Actual","",IFERROR(-SUM(OFFSET(BY733,0,0,1,-MIN(BZ$6,$K$730)))/$K$730,0))</f>
        <v/>
      </c>
      <c r="CA737" s="245">
        <f>IF(CA$7="Actual","",IFERROR(-SUM(OFFSET(BZ733,0,0,1,-MIN(CA$6,$K$730)))/$K$730,0))</f>
        <v/>
      </c>
    </row>
    <row r="738" ht="12" customHeight="1" s="227">
      <c r="A738" s="244" t="n"/>
      <c r="B738" s="244" t="n"/>
      <c r="C738" s="244" t="n"/>
      <c r="H738" s="0" t="inlineStr">
        <is>
          <t xml:space="preserve"> Depreciation - Additions</t>
        </is>
      </c>
      <c r="I738" s="27">
        <f>i_Setup!$M$16</f>
        <v/>
      </c>
      <c r="K738" s="6" t="n"/>
      <c r="M738" s="245">
        <f>SUMIF($T$4:$CA$4,M$4,$T738:$CA738)</f>
        <v/>
      </c>
      <c r="N738" s="245">
        <f>SUMIF($T$4:$CA$4,N$4,$T738:$CA738)</f>
        <v/>
      </c>
      <c r="O738" s="245">
        <f>SUMIF($T$4:$CA$4,O$4,$T738:$CA738)</f>
        <v/>
      </c>
      <c r="P738" s="245">
        <f>SUMIF($T$4:$CA$4,P$4,$T738:$CA738)</f>
        <v/>
      </c>
      <c r="Q738" s="245">
        <f>SUMIF($T$4:$CA$4,Q$4,$T738:$CA738)</f>
        <v/>
      </c>
      <c r="T738" s="245">
        <f>IF(T$7="Actual","",IFERROR(-SUM(OFFSET(S736,0,0,1,-MIN(T$6,$K$731)))/$K$731,0))</f>
        <v/>
      </c>
      <c r="U738" s="245">
        <f>IF(U$7="Actual","",IFERROR(-SUM(OFFSET(T736,0,0,1,-MIN(U$6,$K$731)))/$K$731,0))</f>
        <v/>
      </c>
      <c r="V738" s="245">
        <f>IF(V$7="Actual","",IFERROR(-SUM(OFFSET(U736,0,0,1,-MIN(V$6,$K$731)))/$K$731,0))</f>
        <v/>
      </c>
      <c r="W738" s="245">
        <f>IF(W$7="Actual","",IFERROR(-SUM(OFFSET(V736,0,0,1,-MIN(W$6,$K$731)))/$K$731,0))</f>
        <v/>
      </c>
      <c r="X738" s="245">
        <f>IF(X$7="Actual","",IFERROR(-SUM(OFFSET(W736,0,0,1,-MIN(X$6,$K$731)))/$K$731,0))</f>
        <v/>
      </c>
      <c r="Y738" s="245">
        <f>IF(Y$7="Actual","",IFERROR(-SUM(OFFSET(X736,0,0,1,-MIN(Y$6,$K$731)))/$K$731,0))</f>
        <v/>
      </c>
      <c r="Z738" s="245">
        <f>IF(Z$7="Actual","",IFERROR(-SUM(OFFSET(Y736,0,0,1,-MIN(Z$6,$K$731)))/$K$731,0))</f>
        <v/>
      </c>
      <c r="AA738" s="245">
        <f>IF(AA$7="Actual","",IFERROR(-SUM(OFFSET(Z736,0,0,1,-MIN(AA$6,$K$731)))/$K$731,0))</f>
        <v/>
      </c>
      <c r="AB738" s="245">
        <f>IF(AB$7="Actual","",IFERROR(-SUM(OFFSET(AA736,0,0,1,-MIN(AB$6,$K$731)))/$K$731,0))</f>
        <v/>
      </c>
      <c r="AC738" s="245">
        <f>IF(AC$7="Actual","",IFERROR(-SUM(OFFSET(AB736,0,0,1,-MIN(AC$6,$K$731)))/$K$731,0))</f>
        <v/>
      </c>
      <c r="AD738" s="245">
        <f>IF(AD$7="Actual","",IFERROR(-SUM(OFFSET(AC736,0,0,1,-MIN(AD$6,$K$731)))/$K$731,0))</f>
        <v/>
      </c>
      <c r="AE738" s="245">
        <f>IF(AE$7="Actual","",IFERROR(-SUM(OFFSET(AD736,0,0,1,-MIN(AE$6,$K$731)))/$K$731,0))</f>
        <v/>
      </c>
      <c r="AF738" s="245">
        <f>IF(AF$7="Actual","",IFERROR(-SUM(OFFSET(AE736,0,0,1,-MIN(AF$6,$K$731)))/$K$731,0))</f>
        <v/>
      </c>
      <c r="AG738" s="245">
        <f>IF(AG$7="Actual","",IFERROR(-SUM(OFFSET(AF736,0,0,1,-MIN(AG$6,$K$731)))/$K$731,0))</f>
        <v/>
      </c>
      <c r="AH738" s="245">
        <f>IF(AH$7="Actual","",IFERROR(-SUM(OFFSET(AG736,0,0,1,-MIN(AH$6,$K$731)))/$K$731,0))</f>
        <v/>
      </c>
      <c r="AI738" s="245">
        <f>IF(AI$7="Actual","",IFERROR(-SUM(OFFSET(AH736,0,0,1,-MIN(AI$6,$K$731)))/$K$731,0))</f>
        <v/>
      </c>
      <c r="AJ738" s="245">
        <f>IF(AJ$7="Actual","",IFERROR(-SUM(OFFSET(AI736,0,0,1,-MIN(AJ$6,$K$731)))/$K$731,0))</f>
        <v/>
      </c>
      <c r="AK738" s="245">
        <f>IF(AK$7="Actual","",IFERROR(-SUM(OFFSET(AJ736,0,0,1,-MIN(AK$6,$K$731)))/$K$731,0))</f>
        <v/>
      </c>
      <c r="AL738" s="245">
        <f>IF(AL$7="Actual","",IFERROR(-SUM(OFFSET(AK736,0,0,1,-MIN(AL$6,$K$731)))/$K$731,0))</f>
        <v/>
      </c>
      <c r="AM738" s="245">
        <f>IF(AM$7="Actual","",IFERROR(-SUM(OFFSET(AL736,0,0,1,-MIN(AM$6,$K$731)))/$K$731,0))</f>
        <v/>
      </c>
      <c r="AN738" s="245">
        <f>IF(AN$7="Actual","",IFERROR(-SUM(OFFSET(AM736,0,0,1,-MIN(AN$6,$K$731)))/$K$731,0))</f>
        <v/>
      </c>
      <c r="AO738" s="245">
        <f>IF(AO$7="Actual","",IFERROR(-SUM(OFFSET(AN736,0,0,1,-MIN(AO$6,$K$731)))/$K$731,0))</f>
        <v/>
      </c>
      <c r="AP738" s="245">
        <f>IF(AP$7="Actual","",IFERROR(-SUM(OFFSET(AO736,0,0,1,-MIN(AP$6,$K$731)))/$K$731,0))</f>
        <v/>
      </c>
      <c r="AQ738" s="245">
        <f>IF(AQ$7="Actual","",IFERROR(-SUM(OFFSET(AP736,0,0,1,-MIN(AQ$6,$K$731)))/$K$731,0))</f>
        <v/>
      </c>
      <c r="AR738" s="245">
        <f>IF(AR$7="Actual","",IFERROR(-SUM(OFFSET(AQ736,0,0,1,-MIN(AR$6,$K$731)))/$K$731,0))</f>
        <v/>
      </c>
      <c r="AS738" s="245">
        <f>IF(AS$7="Actual","",IFERROR(-SUM(OFFSET(AR736,0,0,1,-MIN(AS$6,$K$731)))/$K$731,0))</f>
        <v/>
      </c>
      <c r="AT738" s="245">
        <f>IF(AT$7="Actual","",IFERROR(-SUM(OFFSET(AS736,0,0,1,-MIN(AT$6,$K$731)))/$K$731,0))</f>
        <v/>
      </c>
      <c r="AU738" s="245">
        <f>IF(AU$7="Actual","",IFERROR(-SUM(OFFSET(AT736,0,0,1,-MIN(AU$6,$K$731)))/$K$731,0))</f>
        <v/>
      </c>
      <c r="AV738" s="245">
        <f>IF(AV$7="Actual","",IFERROR(-SUM(OFFSET(AU736,0,0,1,-MIN(AV$6,$K$731)))/$K$731,0))</f>
        <v/>
      </c>
      <c r="AW738" s="245">
        <f>IF(AW$7="Actual","",IFERROR(-SUM(OFFSET(AV736,0,0,1,-MIN(AW$6,$K$731)))/$K$731,0))</f>
        <v/>
      </c>
      <c r="AX738" s="245">
        <f>IF(AX$7="Actual","",IFERROR(-SUM(OFFSET(AW736,0,0,1,-MIN(AX$6,$K$731)))/$K$731,0))</f>
        <v/>
      </c>
      <c r="AY738" s="245">
        <f>IF(AY$7="Actual","",IFERROR(-SUM(OFFSET(AX736,0,0,1,-MIN(AY$6,$K$731)))/$K$731,0))</f>
        <v/>
      </c>
      <c r="AZ738" s="245">
        <f>IF(AZ$7="Actual","",IFERROR(-SUM(OFFSET(AY736,0,0,1,-MIN(AZ$6,$K$731)))/$K$731,0))</f>
        <v/>
      </c>
      <c r="BA738" s="245">
        <f>IF(BA$7="Actual","",IFERROR(-SUM(OFFSET(AZ736,0,0,1,-MIN(BA$6,$K$731)))/$K$731,0))</f>
        <v/>
      </c>
      <c r="BB738" s="245">
        <f>IF(BB$7="Actual","",IFERROR(-SUM(OFFSET(BA736,0,0,1,-MIN(BB$6,$K$731)))/$K$731,0))</f>
        <v/>
      </c>
      <c r="BC738" s="245">
        <f>IF(BC$7="Actual","",IFERROR(-SUM(OFFSET(BB736,0,0,1,-MIN(BC$6,$K$731)))/$K$731,0))</f>
        <v/>
      </c>
      <c r="BD738" s="245">
        <f>IF(BD$7="Actual","",IFERROR(-SUM(OFFSET(BC736,0,0,1,-MIN(BD$6,$K$731)))/$K$731,0))</f>
        <v/>
      </c>
      <c r="BE738" s="245">
        <f>IF(BE$7="Actual","",IFERROR(-SUM(OFFSET(BD736,0,0,1,-MIN(BE$6,$K$731)))/$K$731,0))</f>
        <v/>
      </c>
      <c r="BF738" s="245">
        <f>IF(BF$7="Actual","",IFERROR(-SUM(OFFSET(BE736,0,0,1,-MIN(BF$6,$K$731)))/$K$731,0))</f>
        <v/>
      </c>
      <c r="BG738" s="245">
        <f>IF(BG$7="Actual","",IFERROR(-SUM(OFFSET(BF736,0,0,1,-MIN(BG$6,$K$731)))/$K$731,0))</f>
        <v/>
      </c>
      <c r="BH738" s="245">
        <f>IF(BH$7="Actual","",IFERROR(-SUM(OFFSET(BG736,0,0,1,-MIN(BH$6,$K$731)))/$K$731,0))</f>
        <v/>
      </c>
      <c r="BI738" s="245">
        <f>IF(BI$7="Actual","",IFERROR(-SUM(OFFSET(BH736,0,0,1,-MIN(BI$6,$K$731)))/$K$731,0))</f>
        <v/>
      </c>
      <c r="BJ738" s="245">
        <f>IF(BJ$7="Actual","",IFERROR(-SUM(OFFSET(BI736,0,0,1,-MIN(BJ$6,$K$731)))/$K$731,0))</f>
        <v/>
      </c>
      <c r="BK738" s="245">
        <f>IF(BK$7="Actual","",IFERROR(-SUM(OFFSET(BJ736,0,0,1,-MIN(BK$6,$K$731)))/$K$731,0))</f>
        <v/>
      </c>
      <c r="BL738" s="245">
        <f>IF(BL$7="Actual","",IFERROR(-SUM(OFFSET(BK736,0,0,1,-MIN(BL$6,$K$731)))/$K$731,0))</f>
        <v/>
      </c>
      <c r="BM738" s="245">
        <f>IF(BM$7="Actual","",IFERROR(-SUM(OFFSET(BL736,0,0,1,-MIN(BM$6,$K$731)))/$K$731,0))</f>
        <v/>
      </c>
      <c r="BN738" s="245">
        <f>IF(BN$7="Actual","",IFERROR(-SUM(OFFSET(BM736,0,0,1,-MIN(BN$6,$K$731)))/$K$731,0))</f>
        <v/>
      </c>
      <c r="BO738" s="245">
        <f>IF(BO$7="Actual","",IFERROR(-SUM(OFFSET(BN736,0,0,1,-MIN(BO$6,$K$731)))/$K$731,0))</f>
        <v/>
      </c>
      <c r="BP738" s="245">
        <f>IF(BP$7="Actual","",IFERROR(-SUM(OFFSET(BO736,0,0,1,-MIN(BP$6,$K$731)))/$K$731,0))</f>
        <v/>
      </c>
      <c r="BQ738" s="245">
        <f>IF(BQ$7="Actual","",IFERROR(-SUM(OFFSET(BP736,0,0,1,-MIN(BQ$6,$K$731)))/$K$731,0))</f>
        <v/>
      </c>
      <c r="BR738" s="245">
        <f>IF(BR$7="Actual","",IFERROR(-SUM(OFFSET(BQ736,0,0,1,-MIN(BR$6,$K$731)))/$K$731,0))</f>
        <v/>
      </c>
      <c r="BS738" s="245">
        <f>IF(BS$7="Actual","",IFERROR(-SUM(OFFSET(BR736,0,0,1,-MIN(BS$6,$K$731)))/$K$731,0))</f>
        <v/>
      </c>
      <c r="BT738" s="245">
        <f>IF(BT$7="Actual","",IFERROR(-SUM(OFFSET(BS736,0,0,1,-MIN(BT$6,$K$731)))/$K$731,0))</f>
        <v/>
      </c>
      <c r="BU738" s="245">
        <f>IF(BU$7="Actual","",IFERROR(-SUM(OFFSET(BT736,0,0,1,-MIN(BU$6,$K$731)))/$K$731,0))</f>
        <v/>
      </c>
      <c r="BV738" s="245">
        <f>IF(BV$7="Actual","",IFERROR(-SUM(OFFSET(BU736,0,0,1,-MIN(BV$6,$K$731)))/$K$731,0))</f>
        <v/>
      </c>
      <c r="BW738" s="245">
        <f>IF(BW$7="Actual","",IFERROR(-SUM(OFFSET(BV736,0,0,1,-MIN(BW$6,$K$731)))/$K$731,0))</f>
        <v/>
      </c>
      <c r="BX738" s="245">
        <f>IF(BX$7="Actual","",IFERROR(-SUM(OFFSET(BW736,0,0,1,-MIN(BX$6,$K$731)))/$K$731,0))</f>
        <v/>
      </c>
      <c r="BY738" s="245">
        <f>IF(BY$7="Actual","",IFERROR(-SUM(OFFSET(BX736,0,0,1,-MIN(BY$6,$K$731)))/$K$731,0))</f>
        <v/>
      </c>
      <c r="BZ738" s="245">
        <f>IF(BZ$7="Actual","",IFERROR(-SUM(OFFSET(BY736,0,0,1,-MIN(BZ$6,$K$731)))/$K$731,0))</f>
        <v/>
      </c>
      <c r="CA738" s="245">
        <f>IF(CA$7="Actual","",IFERROR(-SUM(OFFSET(BZ736,0,0,1,-MIN(CA$6,$K$731)))/$K$731,0))</f>
        <v/>
      </c>
    </row>
    <row r="739" ht="12" customHeight="1" s="227" thickBot="1">
      <c r="A739" s="244" t="n"/>
      <c r="B739" s="244" t="n"/>
      <c r="C739" s="244" t="n"/>
      <c r="H739" s="42" t="inlineStr">
        <is>
          <t>Closing Balance</t>
        </is>
      </c>
      <c r="I739" s="43">
        <f>i_Setup!$M$16</f>
        <v/>
      </c>
      <c r="K739" s="6" t="n"/>
      <c r="M739" s="264">
        <f>SUMIF($T$2:$CA$2,M$2,$T739:$CA739)</f>
        <v/>
      </c>
      <c r="N739" s="264">
        <f>SUMIF($T$2:$CA$2,N$2,$T739:$CA739)</f>
        <v/>
      </c>
      <c r="O739" s="264">
        <f>SUMIF($T$2:$CA$2,O$2,$T739:$CA739)</f>
        <v/>
      </c>
      <c r="P739" s="264">
        <f>SUMIF($T$2:$CA$2,P$2,$T739:$CA739)</f>
        <v/>
      </c>
      <c r="Q739" s="264">
        <f>SUMIF($T$2:$CA$2,Q$2,$T739:$CA739)</f>
        <v/>
      </c>
      <c r="T739" s="264">
        <f>IF(T$7="Actual",i_Actuals!T113,SUM(T735:T738))</f>
        <v/>
      </c>
      <c r="U739" s="264">
        <f>IF(U$7="Actual",i_Actuals!U113,SUM(U735:U738))</f>
        <v/>
      </c>
      <c r="V739" s="264">
        <f>IF(V$7="Actual",i_Actuals!V113,SUM(V735:V738))</f>
        <v/>
      </c>
      <c r="W739" s="264">
        <f>IF(W$7="Actual",i_Actuals!W113,SUM(W735:W738))</f>
        <v/>
      </c>
      <c r="X739" s="264">
        <f>IF(X$7="Actual",i_Actuals!X113,SUM(X735:X738))</f>
        <v/>
      </c>
      <c r="Y739" s="264">
        <f>IF(Y$7="Actual",i_Actuals!Y113,SUM(Y735:Y738))</f>
        <v/>
      </c>
      <c r="Z739" s="264">
        <f>IF(Z$7="Actual",i_Actuals!Z113,SUM(Z735:Z738))</f>
        <v/>
      </c>
      <c r="AA739" s="264">
        <f>IF(AA$7="Actual",i_Actuals!AA113,SUM(AA735:AA738))</f>
        <v/>
      </c>
      <c r="AB739" s="264">
        <f>IF(AB$7="Actual",i_Actuals!AB113,SUM(AB735:AB738))</f>
        <v/>
      </c>
      <c r="AC739" s="264">
        <f>IF(AC$7="Actual",i_Actuals!AC113,SUM(AC735:AC738))</f>
        <v/>
      </c>
      <c r="AD739" s="264">
        <f>IF(AD$7="Actual",i_Actuals!AD113,SUM(AD735:AD738))</f>
        <v/>
      </c>
      <c r="AE739" s="264">
        <f>IF(AE$7="Actual",i_Actuals!AE113,SUM(AE735:AE738))</f>
        <v/>
      </c>
      <c r="AF739" s="264">
        <f>IF(AF$7="Actual",i_Actuals!AF113,SUM(AF735:AF738))</f>
        <v/>
      </c>
      <c r="AG739" s="264">
        <f>IF(AG$7="Actual",i_Actuals!AG113,SUM(AG735:AG738))</f>
        <v/>
      </c>
      <c r="AH739" s="264">
        <f>IF(AH$7="Actual",i_Actuals!AH113,SUM(AH735:AH738))</f>
        <v/>
      </c>
      <c r="AI739" s="264">
        <f>IF(AI$7="Actual",i_Actuals!AI113,SUM(AI735:AI738))</f>
        <v/>
      </c>
      <c r="AJ739" s="264">
        <f>IF(AJ$7="Actual",i_Actuals!AJ113,SUM(AJ735:AJ738))</f>
        <v/>
      </c>
      <c r="AK739" s="264">
        <f>IF(AK$7="Actual",i_Actuals!AK113,SUM(AK735:AK738))</f>
        <v/>
      </c>
      <c r="AL739" s="264">
        <f>IF(AL$7="Actual",i_Actuals!AL113,SUM(AL735:AL738))</f>
        <v/>
      </c>
      <c r="AM739" s="264">
        <f>IF(AM$7="Actual",i_Actuals!AM113,SUM(AM735:AM738))</f>
        <v/>
      </c>
      <c r="AN739" s="264">
        <f>IF(AN$7="Actual",i_Actuals!AN113,SUM(AN735:AN738))</f>
        <v/>
      </c>
      <c r="AO739" s="264">
        <f>IF(AO$7="Actual",i_Actuals!AO113,SUM(AO735:AO738))</f>
        <v/>
      </c>
      <c r="AP739" s="264">
        <f>IF(AP$7="Actual",i_Actuals!AP113,SUM(AP735:AP738))</f>
        <v/>
      </c>
      <c r="AQ739" s="264">
        <f>IF(AQ$7="Actual",i_Actuals!AQ113,SUM(AQ735:AQ738))</f>
        <v/>
      </c>
      <c r="AR739" s="264">
        <f>IF(AR$7="Actual",i_Actuals!AR113,SUM(AR735:AR738))</f>
        <v/>
      </c>
      <c r="AS739" s="264">
        <f>IF(AS$7="Actual",i_Actuals!AS113,SUM(AS735:AS738))</f>
        <v/>
      </c>
      <c r="AT739" s="264">
        <f>IF(AT$7="Actual",i_Actuals!AT113,SUM(AT735:AT738))</f>
        <v/>
      </c>
      <c r="AU739" s="264">
        <f>IF(AU$7="Actual",i_Actuals!AU113,SUM(AU735:AU738))</f>
        <v/>
      </c>
      <c r="AV739" s="264">
        <f>IF(AV$7="Actual",i_Actuals!AV113,SUM(AV735:AV738))</f>
        <v/>
      </c>
      <c r="AW739" s="264">
        <f>IF(AW$7="Actual",i_Actuals!AW113,SUM(AW735:AW738))</f>
        <v/>
      </c>
      <c r="AX739" s="264">
        <f>IF(AX$7="Actual",i_Actuals!AX113,SUM(AX735:AX738))</f>
        <v/>
      </c>
      <c r="AY739" s="264">
        <f>IF(AY$7="Actual",i_Actuals!AY113,SUM(AY735:AY738))</f>
        <v/>
      </c>
      <c r="AZ739" s="264">
        <f>IF(AZ$7="Actual",i_Actuals!AZ113,SUM(AZ735:AZ738))</f>
        <v/>
      </c>
      <c r="BA739" s="264">
        <f>IF(BA$7="Actual",i_Actuals!BA113,SUM(BA735:BA738))</f>
        <v/>
      </c>
      <c r="BB739" s="264">
        <f>IF(BB$7="Actual",i_Actuals!BB113,SUM(BB735:BB738))</f>
        <v/>
      </c>
      <c r="BC739" s="264">
        <f>IF(BC$7="Actual",i_Actuals!BC113,SUM(BC735:BC738))</f>
        <v/>
      </c>
      <c r="BD739" s="264">
        <f>IF(BD$7="Actual",i_Actuals!BD113,SUM(BD735:BD738))</f>
        <v/>
      </c>
      <c r="BE739" s="264">
        <f>IF(BE$7="Actual",i_Actuals!BE113,SUM(BE735:BE738))</f>
        <v/>
      </c>
      <c r="BF739" s="264">
        <f>IF(BF$7="Actual",i_Actuals!BF113,SUM(BF735:BF738))</f>
        <v/>
      </c>
      <c r="BG739" s="264">
        <f>IF(BG$7="Actual",i_Actuals!BG113,SUM(BG735:BG738))</f>
        <v/>
      </c>
      <c r="BH739" s="264">
        <f>IF(BH$7="Actual",i_Actuals!BH113,SUM(BH735:BH738))</f>
        <v/>
      </c>
      <c r="BI739" s="264">
        <f>IF(BI$7="Actual",i_Actuals!BI113,SUM(BI735:BI738))</f>
        <v/>
      </c>
      <c r="BJ739" s="264">
        <f>IF(BJ$7="Actual",i_Actuals!BJ113,SUM(BJ735:BJ738))</f>
        <v/>
      </c>
      <c r="BK739" s="264">
        <f>IF(BK$7="Actual",i_Actuals!BK113,SUM(BK735:BK738))</f>
        <v/>
      </c>
      <c r="BL739" s="264">
        <f>IF(BL$7="Actual",i_Actuals!BL113,SUM(BL735:BL738))</f>
        <v/>
      </c>
      <c r="BM739" s="264">
        <f>IF(BM$7="Actual",i_Actuals!BM113,SUM(BM735:BM738))</f>
        <v/>
      </c>
      <c r="BN739" s="264">
        <f>IF(BN$7="Actual",i_Actuals!BN113,SUM(BN735:BN738))</f>
        <v/>
      </c>
      <c r="BO739" s="264">
        <f>IF(BO$7="Actual",i_Actuals!BO113,SUM(BO735:BO738))</f>
        <v/>
      </c>
      <c r="BP739" s="264">
        <f>IF(BP$7="Actual",i_Actuals!BP113,SUM(BP735:BP738))</f>
        <v/>
      </c>
      <c r="BQ739" s="264">
        <f>IF(BQ$7="Actual",i_Actuals!BQ113,SUM(BQ735:BQ738))</f>
        <v/>
      </c>
      <c r="BR739" s="264">
        <f>IF(BR$7="Actual",i_Actuals!BR113,SUM(BR735:BR738))</f>
        <v/>
      </c>
      <c r="BS739" s="264">
        <f>IF(BS$7="Actual",i_Actuals!BS113,SUM(BS735:BS738))</f>
        <v/>
      </c>
      <c r="BT739" s="264">
        <f>IF(BT$7="Actual",i_Actuals!BT113,SUM(BT735:BT738))</f>
        <v/>
      </c>
      <c r="BU739" s="264">
        <f>IF(BU$7="Actual",i_Actuals!BU113,SUM(BU735:BU738))</f>
        <v/>
      </c>
      <c r="BV739" s="264">
        <f>IF(BV$7="Actual",i_Actuals!BV113,SUM(BV735:BV738))</f>
        <v/>
      </c>
      <c r="BW739" s="264">
        <f>IF(BW$7="Actual",i_Actuals!BW113,SUM(BW735:BW738))</f>
        <v/>
      </c>
      <c r="BX739" s="264">
        <f>IF(BX$7="Actual",i_Actuals!BX113,SUM(BX735:BX738))</f>
        <v/>
      </c>
      <c r="BY739" s="264">
        <f>IF(BY$7="Actual",i_Actuals!BY113,SUM(BY735:BY738))</f>
        <v/>
      </c>
      <c r="BZ739" s="264">
        <f>IF(BZ$7="Actual",i_Actuals!BZ113,SUM(BZ735:BZ738))</f>
        <v/>
      </c>
      <c r="CA739" s="264">
        <f>IF(CA$7="Actual",i_Actuals!CA113,SUM(CA735:CA738))</f>
        <v/>
      </c>
    </row>
    <row r="740" ht="12" customHeight="1" s="227">
      <c r="A740" s="244" t="n"/>
      <c r="B740" s="244" t="n"/>
      <c r="C740" s="244" t="n"/>
      <c r="K740" s="6" t="n"/>
    </row>
    <row r="741" ht="12" customFormat="1" customHeight="1" s="8">
      <c r="A741" s="244" t="n"/>
      <c r="B741" s="244">
        <f>SUM(L741:CA741)</f>
        <v/>
      </c>
      <c r="D741" s="4" t="n"/>
      <c r="E741" s="4" t="n"/>
      <c r="F741" s="4" t="n"/>
      <c r="G741" s="4" t="n"/>
      <c r="H741" s="0" t="inlineStr">
        <is>
          <t>Signage Check</t>
        </is>
      </c>
      <c r="I741" s="4" t="n"/>
      <c r="J741" s="4" t="n"/>
      <c r="K741" s="6" t="n"/>
      <c r="L741" s="4" t="n"/>
      <c r="M741" s="244">
        <f>IF(M$7&lt;&gt;"",IF(ROUND(M739,0)&lt;0,1,0),"")</f>
        <v/>
      </c>
      <c r="N741" s="244">
        <f>IF(N$7&lt;&gt;"",IF(ROUND(N739,0)&lt;0,1,0),"")</f>
        <v/>
      </c>
      <c r="O741" s="244">
        <f>IF(O$7&lt;&gt;"",IF(ROUND(O739,0)&lt;0,1,0),"")</f>
        <v/>
      </c>
      <c r="P741" s="244">
        <f>IF(P$7&lt;&gt;"",IF(ROUND(P739,0)&lt;0,1,0),"")</f>
        <v/>
      </c>
      <c r="Q741" s="244">
        <f>IF(Q$7&lt;&gt;"",IF(ROUND(Q739,0)&lt;0,1,0),"")</f>
        <v/>
      </c>
      <c r="R741" s="244" t="n"/>
      <c r="S741" s="244" t="n"/>
      <c r="T741" s="244">
        <f>IF(T$7&lt;&gt;"",IF(ROUND(T739,0)&lt;0,1,0),"")</f>
        <v/>
      </c>
      <c r="U741" s="244">
        <f>IF(U$7&lt;&gt;"",IF(ROUND(U739,0)&lt;0,1,0),"")</f>
        <v/>
      </c>
      <c r="V741" s="244">
        <f>IF(V$7&lt;&gt;"",IF(ROUND(V739,0)&lt;0,1,0),"")</f>
        <v/>
      </c>
      <c r="W741" s="244">
        <f>IF(W$7&lt;&gt;"",IF(ROUND(W739,0)&lt;0,1,0),"")</f>
        <v/>
      </c>
      <c r="X741" s="244">
        <f>IF(X$7&lt;&gt;"",IF(ROUND(X739,0)&lt;0,1,0),"")</f>
        <v/>
      </c>
      <c r="Y741" s="244">
        <f>IF(Y$7&lt;&gt;"",IF(ROUND(Y739,0)&lt;0,1,0),"")</f>
        <v/>
      </c>
      <c r="Z741" s="244">
        <f>IF(Z$7&lt;&gt;"",IF(ROUND(Z739,0)&lt;0,1,0),"")</f>
        <v/>
      </c>
      <c r="AA741" s="244">
        <f>IF(AA$7&lt;&gt;"",IF(ROUND(AA739,0)&lt;0,1,0),"")</f>
        <v/>
      </c>
      <c r="AB741" s="244">
        <f>IF(AB$7&lt;&gt;"",IF(ROUND(AB739,0)&lt;0,1,0),"")</f>
        <v/>
      </c>
      <c r="AC741" s="244">
        <f>IF(AC$7&lt;&gt;"",IF(ROUND(AC739,0)&lt;0,1,0),"")</f>
        <v/>
      </c>
      <c r="AD741" s="244">
        <f>IF(AD$7&lt;&gt;"",IF(ROUND(AD739,0)&lt;0,1,0),"")</f>
        <v/>
      </c>
      <c r="AE741" s="244">
        <f>IF(AE$7&lt;&gt;"",IF(ROUND(AE739,0)&lt;0,1,0),"")</f>
        <v/>
      </c>
      <c r="AF741" s="244">
        <f>IF(AF$7&lt;&gt;"",IF(ROUND(AF739,0)&lt;0,1,0),"")</f>
        <v/>
      </c>
      <c r="AG741" s="244">
        <f>IF(AG$7&lt;&gt;"",IF(ROUND(AG739,0)&lt;0,1,0),"")</f>
        <v/>
      </c>
      <c r="AH741" s="244">
        <f>IF(AH$7&lt;&gt;"",IF(ROUND(AH739,0)&lt;0,1,0),"")</f>
        <v/>
      </c>
      <c r="AI741" s="244">
        <f>IF(AI$7&lt;&gt;"",IF(ROUND(AI739,0)&lt;0,1,0),"")</f>
        <v/>
      </c>
      <c r="AJ741" s="244">
        <f>IF(AJ$7&lt;&gt;"",IF(ROUND(AJ739,0)&lt;0,1,0),"")</f>
        <v/>
      </c>
      <c r="AK741" s="244">
        <f>IF(AK$7&lt;&gt;"",IF(ROUND(AK739,0)&lt;0,1,0),"")</f>
        <v/>
      </c>
      <c r="AL741" s="244">
        <f>IF(AL$7&lt;&gt;"",IF(ROUND(AL739,0)&lt;0,1,0),"")</f>
        <v/>
      </c>
      <c r="AM741" s="244">
        <f>IF(AM$7&lt;&gt;"",IF(ROUND(AM739,0)&lt;0,1,0),"")</f>
        <v/>
      </c>
      <c r="AN741" s="244">
        <f>IF(AN$7&lt;&gt;"",IF(ROUND(AN739,0)&lt;0,1,0),"")</f>
        <v/>
      </c>
      <c r="AO741" s="244">
        <f>IF(AO$7&lt;&gt;"",IF(ROUND(AO739,0)&lt;0,1,0),"")</f>
        <v/>
      </c>
      <c r="AP741" s="244">
        <f>IF(AP$7&lt;&gt;"",IF(ROUND(AP739,0)&lt;0,1,0),"")</f>
        <v/>
      </c>
      <c r="AQ741" s="244">
        <f>IF(AQ$7&lt;&gt;"",IF(ROUND(AQ739,0)&lt;0,1,0),"")</f>
        <v/>
      </c>
      <c r="AR741" s="244">
        <f>IF(AR$7&lt;&gt;"",IF(ROUND(AR739,0)&lt;0,1,0),"")</f>
        <v/>
      </c>
      <c r="AS741" s="244">
        <f>IF(AS$7&lt;&gt;"",IF(ROUND(AS739,0)&lt;0,1,0),"")</f>
        <v/>
      </c>
      <c r="AT741" s="244">
        <f>IF(AT$7&lt;&gt;"",IF(ROUND(AT739,0)&lt;0,1,0),"")</f>
        <v/>
      </c>
      <c r="AU741" s="244">
        <f>IF(AU$7&lt;&gt;"",IF(ROUND(AU739,0)&lt;0,1,0),"")</f>
        <v/>
      </c>
      <c r="AV741" s="244">
        <f>IF(AV$7&lt;&gt;"",IF(ROUND(AV739,0)&lt;0,1,0),"")</f>
        <v/>
      </c>
      <c r="AW741" s="244">
        <f>IF(AW$7&lt;&gt;"",IF(ROUND(AW739,0)&lt;0,1,0),"")</f>
        <v/>
      </c>
      <c r="AX741" s="244">
        <f>IF(AX$7&lt;&gt;"",IF(ROUND(AX739,0)&lt;0,1,0),"")</f>
        <v/>
      </c>
      <c r="AY741" s="244">
        <f>IF(AY$7&lt;&gt;"",IF(ROUND(AY739,0)&lt;0,1,0),"")</f>
        <v/>
      </c>
      <c r="AZ741" s="244">
        <f>IF(AZ$7&lt;&gt;"",IF(ROUND(AZ739,0)&lt;0,1,0),"")</f>
        <v/>
      </c>
      <c r="BA741" s="244">
        <f>IF(BA$7&lt;&gt;"",IF(ROUND(BA739,0)&lt;0,1,0),"")</f>
        <v/>
      </c>
      <c r="BB741" s="244">
        <f>IF(BB$7&lt;&gt;"",IF(ROUND(BB739,0)&lt;0,1,0),"")</f>
        <v/>
      </c>
      <c r="BC741" s="244">
        <f>IF(BC$7&lt;&gt;"",IF(ROUND(BC739,0)&lt;0,1,0),"")</f>
        <v/>
      </c>
      <c r="BD741" s="244">
        <f>IF(BD$7&lt;&gt;"",IF(ROUND(BD739,0)&lt;0,1,0),"")</f>
        <v/>
      </c>
      <c r="BE741" s="244">
        <f>IF(BE$7&lt;&gt;"",IF(ROUND(BE739,0)&lt;0,1,0),"")</f>
        <v/>
      </c>
      <c r="BF741" s="244">
        <f>IF(BF$7&lt;&gt;"",IF(ROUND(BF739,0)&lt;0,1,0),"")</f>
        <v/>
      </c>
      <c r="BG741" s="244">
        <f>IF(BG$7&lt;&gt;"",IF(ROUND(BG739,0)&lt;0,1,0),"")</f>
        <v/>
      </c>
      <c r="BH741" s="244">
        <f>IF(BH$7&lt;&gt;"",IF(ROUND(BH739,0)&lt;0,1,0),"")</f>
        <v/>
      </c>
      <c r="BI741" s="244">
        <f>IF(BI$7&lt;&gt;"",IF(ROUND(BI739,0)&lt;0,1,0),"")</f>
        <v/>
      </c>
      <c r="BJ741" s="244">
        <f>IF(BJ$7&lt;&gt;"",IF(ROUND(BJ739,0)&lt;0,1,0),"")</f>
        <v/>
      </c>
      <c r="BK741" s="244">
        <f>IF(BK$7&lt;&gt;"",IF(ROUND(BK739,0)&lt;0,1,0),"")</f>
        <v/>
      </c>
      <c r="BL741" s="244">
        <f>IF(BL$7&lt;&gt;"",IF(ROUND(BL739,0)&lt;0,1,0),"")</f>
        <v/>
      </c>
      <c r="BM741" s="244">
        <f>IF(BM$7&lt;&gt;"",IF(ROUND(BM739,0)&lt;0,1,0),"")</f>
        <v/>
      </c>
      <c r="BN741" s="244">
        <f>IF(BN$7&lt;&gt;"",IF(ROUND(BN739,0)&lt;0,1,0),"")</f>
        <v/>
      </c>
      <c r="BO741" s="244">
        <f>IF(BO$7&lt;&gt;"",IF(ROUND(BO739,0)&lt;0,1,0),"")</f>
        <v/>
      </c>
      <c r="BP741" s="244">
        <f>IF(BP$7&lt;&gt;"",IF(ROUND(BP739,0)&lt;0,1,0),"")</f>
        <v/>
      </c>
      <c r="BQ741" s="244">
        <f>IF(BQ$7&lt;&gt;"",IF(ROUND(BQ739,0)&lt;0,1,0),"")</f>
        <v/>
      </c>
      <c r="BR741" s="244">
        <f>IF(BR$7&lt;&gt;"",IF(ROUND(BR739,0)&lt;0,1,0),"")</f>
        <v/>
      </c>
      <c r="BS741" s="244">
        <f>IF(BS$7&lt;&gt;"",IF(ROUND(BS739,0)&lt;0,1,0),"")</f>
        <v/>
      </c>
      <c r="BT741" s="244">
        <f>IF(BT$7&lt;&gt;"",IF(ROUND(BT739,0)&lt;0,1,0),"")</f>
        <v/>
      </c>
      <c r="BU741" s="244">
        <f>IF(BU$7&lt;&gt;"",IF(ROUND(BU739,0)&lt;0,1,0),"")</f>
        <v/>
      </c>
      <c r="BV741" s="244">
        <f>IF(BV$7&lt;&gt;"",IF(ROUND(BV739,0)&lt;0,1,0),"")</f>
        <v/>
      </c>
      <c r="BW741" s="244">
        <f>IF(BW$7&lt;&gt;"",IF(ROUND(BW739,0)&lt;0,1,0),"")</f>
        <v/>
      </c>
      <c r="BX741" s="244">
        <f>IF(BX$7&lt;&gt;"",IF(ROUND(BX739,0)&lt;0,1,0),"")</f>
        <v/>
      </c>
      <c r="BY741" s="244">
        <f>IF(BY$7&lt;&gt;"",IF(ROUND(BY739,0)&lt;0,1,0),"")</f>
        <v/>
      </c>
      <c r="BZ741" s="244">
        <f>IF(BZ$7&lt;&gt;"",IF(ROUND(BZ739,0)&lt;0,1,0),"")</f>
        <v/>
      </c>
      <c r="CA741" s="244">
        <f>IF(CA$7&lt;&gt;"",IF(ROUND(CA739,0)&lt;0,1,0),"")</f>
        <v/>
      </c>
    </row>
    <row r="742" ht="12" customHeight="1" s="227">
      <c r="A742" s="244" t="n"/>
      <c r="B742" s="244" t="n"/>
      <c r="C742" s="244" t="n"/>
      <c r="K742" s="6" t="n"/>
    </row>
    <row r="743" ht="12" customHeight="1" s="227">
      <c r="A743" s="244" t="n"/>
      <c r="B743" s="244" t="n"/>
      <c r="C743" s="244" t="n"/>
      <c r="K743" s="6" t="n"/>
    </row>
    <row r="744" ht="12" customHeight="1" s="227">
      <c r="A744" s="244" t="n"/>
      <c r="B744" s="244" t="n"/>
      <c r="C744" s="244" t="n"/>
      <c r="G744" s="222">
        <f>H670</f>
        <v/>
      </c>
      <c r="K744" s="6" t="n"/>
    </row>
    <row r="745" ht="12" customHeight="1" s="227">
      <c r="A745" s="244" t="n"/>
      <c r="B745" s="244" t="n"/>
      <c r="C745" s="244" t="n"/>
      <c r="K745" s="6" t="n"/>
    </row>
    <row r="746" ht="12" customHeight="1" s="227">
      <c r="A746" s="244" t="n"/>
      <c r="B746" s="244" t="n"/>
      <c r="C746" s="244" t="n"/>
      <c r="H746" s="0" t="inlineStr">
        <is>
          <t>Useful Life - Opening Bal</t>
        </is>
      </c>
      <c r="I746" s="27" t="inlineStr">
        <is>
          <t>Months</t>
        </is>
      </c>
      <c r="K746" s="259">
        <f>i_Actuals!K114*12</f>
        <v/>
      </c>
    </row>
    <row r="747" ht="12" customHeight="1" s="227">
      <c r="A747" s="244" t="n"/>
      <c r="B747" s="244" t="n"/>
      <c r="C747" s="244" t="n"/>
      <c r="H747" s="0" t="inlineStr">
        <is>
          <t>Useful Life - Additions</t>
        </is>
      </c>
      <c r="I747" s="27" t="inlineStr">
        <is>
          <t>Months</t>
        </is>
      </c>
      <c r="K747" s="259">
        <f>i_Setup!R72*12</f>
        <v/>
      </c>
    </row>
    <row r="748" ht="12" customHeight="1" s="227">
      <c r="A748" s="244" t="n"/>
      <c r="B748" s="244" t="n"/>
      <c r="C748" s="244" t="n"/>
      <c r="H748" s="0" t="n"/>
      <c r="I748" s="27" t="n"/>
      <c r="K748" s="6" t="n"/>
    </row>
    <row r="749" ht="12" customHeight="1" s="227">
      <c r="A749" s="244" t="n"/>
      <c r="B749" s="244" t="n"/>
      <c r="C749" s="244" t="n"/>
      <c r="H749" s="0" t="inlineStr">
        <is>
          <t>Opening Balance</t>
        </is>
      </c>
      <c r="I749" s="27">
        <f>i_Setup!$M$16</f>
        <v/>
      </c>
      <c r="K749" s="6" t="n"/>
      <c r="M749" s="245">
        <f>SUMIF($T$1:$CA$1,M$1,$T749:$CA749)</f>
        <v/>
      </c>
      <c r="N749" s="245">
        <f>SUMIF($T$1:$CA$1,N$1,$T749:$CA749)</f>
        <v/>
      </c>
      <c r="O749" s="245">
        <f>SUMIF($T$1:$CA$1,O$1,$T749:$CA749)</f>
        <v/>
      </c>
      <c r="P749" s="245">
        <f>SUMIF($T$1:$CA$1,P$1,$T749:$CA749)</f>
        <v/>
      </c>
      <c r="Q749" s="245">
        <f>SUMIF($T$1:$CA$1,Q$1,$T749:$CA749)</f>
        <v/>
      </c>
      <c r="T749" s="245">
        <f>IF(T$2=i_Setup!$U$26,i_Actuals!T114,0)</f>
        <v/>
      </c>
      <c r="U749" s="245">
        <f>IF(U$2=i_Setup!$U$26,i_Actuals!U114,0)</f>
        <v/>
      </c>
      <c r="V749" s="245">
        <f>IF(V$2=i_Setup!$U$26,i_Actuals!V114,0)</f>
        <v/>
      </c>
      <c r="W749" s="245">
        <f>IF(W$2=i_Setup!$U$26,i_Actuals!W114,0)</f>
        <v/>
      </c>
      <c r="X749" s="245">
        <f>IF(X$2=i_Setup!$U$26,i_Actuals!X114,0)</f>
        <v/>
      </c>
      <c r="Y749" s="245">
        <f>IF(Y$2=i_Setup!$U$26,i_Actuals!Y114,0)</f>
        <v/>
      </c>
      <c r="Z749" s="245">
        <f>IF(Z$2=i_Setup!$U$26,i_Actuals!Z114,0)</f>
        <v/>
      </c>
      <c r="AA749" s="245">
        <f>IF(AA$2=i_Setup!$U$26,i_Actuals!AA114,0)</f>
        <v/>
      </c>
      <c r="AB749" s="245">
        <f>IF(AB$2=i_Setup!$U$26,i_Actuals!AB114,0)</f>
        <v/>
      </c>
      <c r="AC749" s="245">
        <f>IF(AC$2=i_Setup!$U$26,i_Actuals!AC114,0)</f>
        <v/>
      </c>
      <c r="AD749" s="245">
        <f>IF(AD$2=i_Setup!$U$26,i_Actuals!AD114,0)</f>
        <v/>
      </c>
      <c r="AE749" s="245">
        <f>IF(AE$2=i_Setup!$U$26,i_Actuals!AE114,0)</f>
        <v/>
      </c>
      <c r="AF749" s="245">
        <f>IF(AF$2=i_Setup!$U$26,i_Actuals!AF114,0)</f>
        <v/>
      </c>
      <c r="AG749" s="245">
        <f>IF(AG$2=i_Setup!$U$26,i_Actuals!AG114,0)</f>
        <v/>
      </c>
      <c r="AH749" s="245">
        <f>IF(AH$2=i_Setup!$U$26,i_Actuals!AH114,0)</f>
        <v/>
      </c>
      <c r="AI749" s="245">
        <f>IF(AI$2=i_Setup!$U$26,i_Actuals!AI114,0)</f>
        <v/>
      </c>
      <c r="AJ749" s="245">
        <f>IF(AJ$2=i_Setup!$U$26,i_Actuals!AJ114,0)</f>
        <v/>
      </c>
      <c r="AK749" s="245">
        <f>IF(AK$2=i_Setup!$U$26,i_Actuals!AK114,0)</f>
        <v/>
      </c>
      <c r="AL749" s="245">
        <f>IF(AL$2=i_Setup!$U$26,i_Actuals!AL114,0)</f>
        <v/>
      </c>
      <c r="AM749" s="245">
        <f>IF(AM$2=i_Setup!$U$26,i_Actuals!AM114,0)</f>
        <v/>
      </c>
      <c r="AN749" s="245">
        <f>IF(AN$2=i_Setup!$U$26,i_Actuals!AN114,0)</f>
        <v/>
      </c>
      <c r="AO749" s="245">
        <f>IF(AO$2=i_Setup!$U$26,i_Actuals!AO114,0)</f>
        <v/>
      </c>
      <c r="AP749" s="245">
        <f>IF(AP$2=i_Setup!$U$26,i_Actuals!AP114,0)</f>
        <v/>
      </c>
      <c r="AQ749" s="245">
        <f>IF(AQ$2=i_Setup!$U$26,i_Actuals!AQ114,0)</f>
        <v/>
      </c>
      <c r="AR749" s="245">
        <f>IF(AR$2=i_Setup!$U$26,i_Actuals!AR114,0)</f>
        <v/>
      </c>
      <c r="AS749" s="245">
        <f>IF(AS$2=i_Setup!$U$26,i_Actuals!AS114,0)</f>
        <v/>
      </c>
      <c r="AT749" s="245">
        <f>IF(AT$2=i_Setup!$U$26,i_Actuals!AT114,0)</f>
        <v/>
      </c>
      <c r="AU749" s="245">
        <f>IF(AU$2=i_Setup!$U$26,i_Actuals!AU114,0)</f>
        <v/>
      </c>
      <c r="AV749" s="245">
        <f>IF(AV$2=i_Setup!$U$26,i_Actuals!AV114,0)</f>
        <v/>
      </c>
      <c r="AW749" s="245">
        <f>IF(AW$2=i_Setup!$U$26,i_Actuals!AW114,0)</f>
        <v/>
      </c>
      <c r="AX749" s="245">
        <f>IF(AX$2=i_Setup!$U$26,i_Actuals!AX114,0)</f>
        <v/>
      </c>
      <c r="AY749" s="245">
        <f>IF(AY$2=i_Setup!$U$26,i_Actuals!AY114,0)</f>
        <v/>
      </c>
      <c r="AZ749" s="245">
        <f>IF(AZ$2=i_Setup!$U$26,i_Actuals!AZ114,0)</f>
        <v/>
      </c>
      <c r="BA749" s="245">
        <f>IF(BA$2=i_Setup!$U$26,i_Actuals!BA114,0)</f>
        <v/>
      </c>
      <c r="BB749" s="245">
        <f>IF(BB$2=i_Setup!$U$26,i_Actuals!BB114,0)</f>
        <v/>
      </c>
      <c r="BC749" s="245">
        <f>IF(BC$2=i_Setup!$U$26,i_Actuals!BC114,0)</f>
        <v/>
      </c>
      <c r="BD749" s="245">
        <f>IF(BD$2=i_Setup!$U$26,i_Actuals!BD114,0)</f>
        <v/>
      </c>
      <c r="BE749" s="245">
        <f>IF(BE$2=i_Setup!$U$26,i_Actuals!BE114,0)</f>
        <v/>
      </c>
      <c r="BF749" s="245">
        <f>IF(BF$2=i_Setup!$U$26,i_Actuals!BF114,0)</f>
        <v/>
      </c>
      <c r="BG749" s="245">
        <f>IF(BG$2=i_Setup!$U$26,i_Actuals!BG114,0)</f>
        <v/>
      </c>
      <c r="BH749" s="245">
        <f>IF(BH$2=i_Setup!$U$26,i_Actuals!BH114,0)</f>
        <v/>
      </c>
      <c r="BI749" s="245">
        <f>IF(BI$2=i_Setup!$U$26,i_Actuals!BI114,0)</f>
        <v/>
      </c>
      <c r="BJ749" s="245">
        <f>IF(BJ$2=i_Setup!$U$26,i_Actuals!BJ114,0)</f>
        <v/>
      </c>
      <c r="BK749" s="245">
        <f>IF(BK$2=i_Setup!$U$26,i_Actuals!BK114,0)</f>
        <v/>
      </c>
      <c r="BL749" s="245">
        <f>IF(BL$2=i_Setup!$U$26,i_Actuals!BL114,0)</f>
        <v/>
      </c>
      <c r="BM749" s="245">
        <f>IF(BM$2=i_Setup!$U$26,i_Actuals!BM114,0)</f>
        <v/>
      </c>
      <c r="BN749" s="245">
        <f>IF(BN$2=i_Setup!$U$26,i_Actuals!BN114,0)</f>
        <v/>
      </c>
      <c r="BO749" s="245">
        <f>IF(BO$2=i_Setup!$U$26,i_Actuals!BO114,0)</f>
        <v/>
      </c>
      <c r="BP749" s="245">
        <f>IF(BP$2=i_Setup!$U$26,i_Actuals!BP114,0)</f>
        <v/>
      </c>
      <c r="BQ749" s="245">
        <f>IF(BQ$2=i_Setup!$U$26,i_Actuals!BQ114,0)</f>
        <v/>
      </c>
      <c r="BR749" s="245">
        <f>IF(BR$2=i_Setup!$U$26,i_Actuals!BR114,0)</f>
        <v/>
      </c>
      <c r="BS749" s="245">
        <f>IF(BS$2=i_Setup!$U$26,i_Actuals!BS114,0)</f>
        <v/>
      </c>
      <c r="BT749" s="245">
        <f>IF(BT$2=i_Setup!$U$26,i_Actuals!BT114,0)</f>
        <v/>
      </c>
      <c r="BU749" s="245">
        <f>IF(BU$2=i_Setup!$U$26,i_Actuals!BU114,0)</f>
        <v/>
      </c>
      <c r="BV749" s="245">
        <f>IF(BV$2=i_Setup!$U$26,i_Actuals!BV114,0)</f>
        <v/>
      </c>
      <c r="BW749" s="245">
        <f>IF(BW$2=i_Setup!$U$26,i_Actuals!BW114,0)</f>
        <v/>
      </c>
      <c r="BX749" s="245">
        <f>IF(BX$2=i_Setup!$U$26,i_Actuals!BX114,0)</f>
        <v/>
      </c>
      <c r="BY749" s="245">
        <f>IF(BY$2=i_Setup!$U$26,i_Actuals!BY114,0)</f>
        <v/>
      </c>
      <c r="BZ749" s="245">
        <f>IF(BZ$2=i_Setup!$U$26,i_Actuals!BZ114,0)</f>
        <v/>
      </c>
      <c r="CA749" s="245">
        <f>IF(CA$2=i_Setup!$U$26,i_Actuals!CA114,0)</f>
        <v/>
      </c>
    </row>
    <row r="750" ht="12" customHeight="1" s="227">
      <c r="A750" s="244" t="n"/>
      <c r="B750" s="244" t="n"/>
      <c r="C750" s="244" t="n"/>
      <c r="H750" s="0" t="n"/>
      <c r="I750" s="27" t="n"/>
      <c r="K750" s="6" t="n"/>
    </row>
    <row r="751" ht="12" customHeight="1" s="227">
      <c r="A751" s="244" t="n"/>
      <c r="B751" s="244" t="n"/>
      <c r="C751" s="244" t="n"/>
      <c r="H751" s="0" t="inlineStr">
        <is>
          <t>Opening Balance</t>
        </is>
      </c>
      <c r="I751" s="27">
        <f>i_Setup!$M$16</f>
        <v/>
      </c>
      <c r="K751" s="6" t="n"/>
      <c r="M751" s="245">
        <f>SUMIF($T$1:$CA$1,M$1,$T751:$CA751)</f>
        <v/>
      </c>
      <c r="N751" s="245">
        <f>SUMIF($T$1:$CA$1,N$1,$T751:$CA751)</f>
        <v/>
      </c>
      <c r="O751" s="245">
        <f>SUMIF($T$1:$CA$1,O$1,$T751:$CA751)</f>
        <v/>
      </c>
      <c r="P751" s="245">
        <f>SUMIF($T$1:$CA$1,P$1,$T751:$CA751)</f>
        <v/>
      </c>
      <c r="Q751" s="245">
        <f>SUMIF($T$1:$CA$1,Q$1,$T751:$CA751)</f>
        <v/>
      </c>
      <c r="T751" s="245">
        <f>S755</f>
        <v/>
      </c>
      <c r="U751" s="245">
        <f>T755</f>
        <v/>
      </c>
      <c r="V751" s="245">
        <f>U755</f>
        <v/>
      </c>
      <c r="W751" s="245">
        <f>V755</f>
        <v/>
      </c>
      <c r="X751" s="245">
        <f>W755</f>
        <v/>
      </c>
      <c r="Y751" s="245">
        <f>X755</f>
        <v/>
      </c>
      <c r="Z751" s="245">
        <f>Y755</f>
        <v/>
      </c>
      <c r="AA751" s="245">
        <f>Z755</f>
        <v/>
      </c>
      <c r="AB751" s="245">
        <f>AA755</f>
        <v/>
      </c>
      <c r="AC751" s="245">
        <f>AB755</f>
        <v/>
      </c>
      <c r="AD751" s="245">
        <f>AC755</f>
        <v/>
      </c>
      <c r="AE751" s="245">
        <f>AD755</f>
        <v/>
      </c>
      <c r="AF751" s="245">
        <f>AE755</f>
        <v/>
      </c>
      <c r="AG751" s="245">
        <f>AF755</f>
        <v/>
      </c>
      <c r="AH751" s="245">
        <f>AG755</f>
        <v/>
      </c>
      <c r="AI751" s="245">
        <f>AH755</f>
        <v/>
      </c>
      <c r="AJ751" s="245">
        <f>AI755</f>
        <v/>
      </c>
      <c r="AK751" s="245">
        <f>AJ755</f>
        <v/>
      </c>
      <c r="AL751" s="245">
        <f>AK755</f>
        <v/>
      </c>
      <c r="AM751" s="245">
        <f>AL755</f>
        <v/>
      </c>
      <c r="AN751" s="245">
        <f>AM755</f>
        <v/>
      </c>
      <c r="AO751" s="245">
        <f>AN755</f>
        <v/>
      </c>
      <c r="AP751" s="245">
        <f>AO755</f>
        <v/>
      </c>
      <c r="AQ751" s="245">
        <f>AP755</f>
        <v/>
      </c>
      <c r="AR751" s="245">
        <f>AQ755</f>
        <v/>
      </c>
      <c r="AS751" s="245">
        <f>AR755</f>
        <v/>
      </c>
      <c r="AT751" s="245">
        <f>AS755</f>
        <v/>
      </c>
      <c r="AU751" s="245">
        <f>AT755</f>
        <v/>
      </c>
      <c r="AV751" s="245">
        <f>AU755</f>
        <v/>
      </c>
      <c r="AW751" s="245">
        <f>AV755</f>
        <v/>
      </c>
      <c r="AX751" s="245">
        <f>AW755</f>
        <v/>
      </c>
      <c r="AY751" s="245">
        <f>AX755</f>
        <v/>
      </c>
      <c r="AZ751" s="245">
        <f>AY755</f>
        <v/>
      </c>
      <c r="BA751" s="245">
        <f>AZ755</f>
        <v/>
      </c>
      <c r="BB751" s="245">
        <f>BA755</f>
        <v/>
      </c>
      <c r="BC751" s="245">
        <f>BB755</f>
        <v/>
      </c>
      <c r="BD751" s="245">
        <f>BC755</f>
        <v/>
      </c>
      <c r="BE751" s="245">
        <f>BD755</f>
        <v/>
      </c>
      <c r="BF751" s="245">
        <f>BE755</f>
        <v/>
      </c>
      <c r="BG751" s="245">
        <f>BF755</f>
        <v/>
      </c>
      <c r="BH751" s="245">
        <f>BG755</f>
        <v/>
      </c>
      <c r="BI751" s="245">
        <f>BH755</f>
        <v/>
      </c>
      <c r="BJ751" s="245">
        <f>BI755</f>
        <v/>
      </c>
      <c r="BK751" s="245">
        <f>BJ755</f>
        <v/>
      </c>
      <c r="BL751" s="245">
        <f>BK755</f>
        <v/>
      </c>
      <c r="BM751" s="245">
        <f>BL755</f>
        <v/>
      </c>
      <c r="BN751" s="245">
        <f>BM755</f>
        <v/>
      </c>
      <c r="BO751" s="245">
        <f>BN755</f>
        <v/>
      </c>
      <c r="BP751" s="245">
        <f>BO755</f>
        <v/>
      </c>
      <c r="BQ751" s="245">
        <f>BP755</f>
        <v/>
      </c>
      <c r="BR751" s="245">
        <f>BQ755</f>
        <v/>
      </c>
      <c r="BS751" s="245">
        <f>BR755</f>
        <v/>
      </c>
      <c r="BT751" s="245">
        <f>BS755</f>
        <v/>
      </c>
      <c r="BU751" s="245">
        <f>BT755</f>
        <v/>
      </c>
      <c r="BV751" s="245">
        <f>BU755</f>
        <v/>
      </c>
      <c r="BW751" s="245">
        <f>BV755</f>
        <v/>
      </c>
      <c r="BX751" s="245">
        <f>BW755</f>
        <v/>
      </c>
      <c r="BY751" s="245">
        <f>BX755</f>
        <v/>
      </c>
      <c r="BZ751" s="245">
        <f>BY755</f>
        <v/>
      </c>
      <c r="CA751" s="245">
        <f>BZ755</f>
        <v/>
      </c>
    </row>
    <row r="752" ht="12" customHeight="1" s="227">
      <c r="A752" s="244" t="n"/>
      <c r="B752" s="244" t="n"/>
      <c r="C752" s="244" t="n"/>
      <c r="H752" s="0" t="inlineStr">
        <is>
          <t>Addition Amounts</t>
        </is>
      </c>
      <c r="I752" s="27">
        <f>i_Setup!$M$16</f>
        <v/>
      </c>
      <c r="K752" s="6" t="n"/>
      <c r="M752" s="245">
        <f>SUMIF($T$4:$CA$4,M$4,$T752:$CA752)</f>
        <v/>
      </c>
      <c r="N752" s="245">
        <f>SUMIF($T$4:$CA$4,N$4,$T752:$CA752)</f>
        <v/>
      </c>
      <c r="O752" s="245">
        <f>SUMIF($T$4:$CA$4,O$4,$T752:$CA752)</f>
        <v/>
      </c>
      <c r="P752" s="245">
        <f>SUMIF($T$4:$CA$4,P$4,$T752:$CA752)</f>
        <v/>
      </c>
      <c r="Q752" s="245">
        <f>SUMIF($T$4:$CA$4,Q$4,$T752:$CA752)</f>
        <v/>
      </c>
      <c r="T752" s="257">
        <f>IF(T$7="Actual","",T654)</f>
        <v/>
      </c>
      <c r="U752" s="257">
        <f>IF(U$7="Actual","",U654)</f>
        <v/>
      </c>
      <c r="V752" s="257">
        <f>IF(V$7="Actual","",V654)</f>
        <v/>
      </c>
      <c r="W752" s="257">
        <f>IF(W$7="Actual","",W654)</f>
        <v/>
      </c>
      <c r="X752" s="257">
        <f>IF(X$7="Actual","",X654)</f>
        <v/>
      </c>
      <c r="Y752" s="257">
        <f>IF(Y$7="Actual","",Y654)</f>
        <v/>
      </c>
      <c r="Z752" s="257">
        <f>IF(Z$7="Actual","",Z654)</f>
        <v/>
      </c>
      <c r="AA752" s="257">
        <f>IF(AA$7="Actual","",AA654)</f>
        <v/>
      </c>
      <c r="AB752" s="257">
        <f>IF(AB$7="Actual","",AB654)</f>
        <v/>
      </c>
      <c r="AC752" s="257">
        <f>IF(AC$7="Actual","",AC654)</f>
        <v/>
      </c>
      <c r="AD752" s="257">
        <f>IF(AD$7="Actual","",AD654)</f>
        <v/>
      </c>
      <c r="AE752" s="257">
        <f>IF(AE$7="Actual","",AE654)</f>
        <v/>
      </c>
      <c r="AF752" s="257">
        <f>IF(AF$7="Actual","",AF654)</f>
        <v/>
      </c>
      <c r="AG752" s="257">
        <f>IF(AG$7="Actual","",AG654)</f>
        <v/>
      </c>
      <c r="AH752" s="257">
        <f>IF(AH$7="Actual","",AH654)</f>
        <v/>
      </c>
      <c r="AI752" s="257">
        <f>IF(AI$7="Actual","",AI654)</f>
        <v/>
      </c>
      <c r="AJ752" s="257">
        <f>IF(AJ$7="Actual","",AJ654)</f>
        <v/>
      </c>
      <c r="AK752" s="257">
        <f>IF(AK$7="Actual","",AK654)</f>
        <v/>
      </c>
      <c r="AL752" s="257">
        <f>IF(AL$7="Actual","",AL654)</f>
        <v/>
      </c>
      <c r="AM752" s="257">
        <f>IF(AM$7="Actual","",AM654)</f>
        <v/>
      </c>
      <c r="AN752" s="257">
        <f>IF(AN$7="Actual","",AN654)</f>
        <v/>
      </c>
      <c r="AO752" s="257">
        <f>IF(AO$7="Actual","",AO654)</f>
        <v/>
      </c>
      <c r="AP752" s="257">
        <f>IF(AP$7="Actual","",AP654)</f>
        <v/>
      </c>
      <c r="AQ752" s="257">
        <f>IF(AQ$7="Actual","",AQ654)</f>
        <v/>
      </c>
      <c r="AR752" s="257">
        <f>IF(AR$7="Actual","",AR654)</f>
        <v/>
      </c>
      <c r="AS752" s="257">
        <f>IF(AS$7="Actual","",AS654)</f>
        <v/>
      </c>
      <c r="AT752" s="257">
        <f>IF(AT$7="Actual","",AT654)</f>
        <v/>
      </c>
      <c r="AU752" s="257">
        <f>IF(AU$7="Actual","",AU654)</f>
        <v/>
      </c>
      <c r="AV752" s="257">
        <f>IF(AV$7="Actual","",AV654)</f>
        <v/>
      </c>
      <c r="AW752" s="257">
        <f>IF(AW$7="Actual","",AW654)</f>
        <v/>
      </c>
      <c r="AX752" s="257">
        <f>IF(AX$7="Actual","",AX654)</f>
        <v/>
      </c>
      <c r="AY752" s="257">
        <f>IF(AY$7="Actual","",AY654)</f>
        <v/>
      </c>
      <c r="AZ752" s="257">
        <f>IF(AZ$7="Actual","",AZ654)</f>
        <v/>
      </c>
      <c r="BA752" s="257">
        <f>IF(BA$7="Actual","",BA654)</f>
        <v/>
      </c>
      <c r="BB752" s="257">
        <f>IF(BB$7="Actual","",BB654)</f>
        <v/>
      </c>
      <c r="BC752" s="257">
        <f>IF(BC$7="Actual","",BC654)</f>
        <v/>
      </c>
      <c r="BD752" s="257">
        <f>IF(BD$7="Actual","",BD654)</f>
        <v/>
      </c>
      <c r="BE752" s="257">
        <f>IF(BE$7="Actual","",BE654)</f>
        <v/>
      </c>
      <c r="BF752" s="257">
        <f>IF(BF$7="Actual","",BF654)</f>
        <v/>
      </c>
      <c r="BG752" s="257">
        <f>IF(BG$7="Actual","",BG654)</f>
        <v/>
      </c>
      <c r="BH752" s="257">
        <f>IF(BH$7="Actual","",BH654)</f>
        <v/>
      </c>
      <c r="BI752" s="257">
        <f>IF(BI$7="Actual","",BI654)</f>
        <v/>
      </c>
      <c r="BJ752" s="257">
        <f>IF(BJ$7="Actual","",BJ654)</f>
        <v/>
      </c>
      <c r="BK752" s="257">
        <f>IF(BK$7="Actual","",BK654)</f>
        <v/>
      </c>
      <c r="BL752" s="257">
        <f>IF(BL$7="Actual","",BL654)</f>
        <v/>
      </c>
      <c r="BM752" s="257">
        <f>IF(BM$7="Actual","",BM654)</f>
        <v/>
      </c>
      <c r="BN752" s="257">
        <f>IF(BN$7="Actual","",BN654)</f>
        <v/>
      </c>
      <c r="BO752" s="257">
        <f>IF(BO$7="Actual","",BO654)</f>
        <v/>
      </c>
      <c r="BP752" s="257">
        <f>IF(BP$7="Actual","",BP654)</f>
        <v/>
      </c>
      <c r="BQ752" s="257">
        <f>IF(BQ$7="Actual","",BQ654)</f>
        <v/>
      </c>
      <c r="BR752" s="257">
        <f>IF(BR$7="Actual","",BR654)</f>
        <v/>
      </c>
      <c r="BS752" s="257">
        <f>IF(BS$7="Actual","",BS654)</f>
        <v/>
      </c>
      <c r="BT752" s="257">
        <f>IF(BT$7="Actual","",BT654)</f>
        <v/>
      </c>
      <c r="BU752" s="257">
        <f>IF(BU$7="Actual","",BU654)</f>
        <v/>
      </c>
      <c r="BV752" s="257">
        <f>IF(BV$7="Actual","",BV654)</f>
        <v/>
      </c>
      <c r="BW752" s="257">
        <f>IF(BW$7="Actual","",BW654)</f>
        <v/>
      </c>
      <c r="BX752" s="257">
        <f>IF(BX$7="Actual","",BX654)</f>
        <v/>
      </c>
      <c r="BY752" s="257">
        <f>IF(BY$7="Actual","",BY654)</f>
        <v/>
      </c>
      <c r="BZ752" s="257">
        <f>IF(BZ$7="Actual","",BZ654)</f>
        <v/>
      </c>
      <c r="CA752" s="257">
        <f>IF(CA$7="Actual","",CA654)</f>
        <v/>
      </c>
    </row>
    <row r="753" ht="12" customHeight="1" s="227">
      <c r="A753" s="244" t="n"/>
      <c r="B753" s="244" t="n"/>
      <c r="C753" s="244" t="n"/>
      <c r="H753" s="0" t="inlineStr">
        <is>
          <t xml:space="preserve"> Depreciation - Opening Bal</t>
        </is>
      </c>
      <c r="I753" s="27">
        <f>i_Setup!$M$16</f>
        <v/>
      </c>
      <c r="K753" s="6" t="n"/>
      <c r="M753" s="245">
        <f>SUMIF($T$4:$CA$4,M$4,$T753:$CA753)</f>
        <v/>
      </c>
      <c r="N753" s="245">
        <f>SUMIF($T$4:$CA$4,N$4,$T753:$CA753)</f>
        <v/>
      </c>
      <c r="O753" s="245">
        <f>SUMIF($T$4:$CA$4,O$4,$T753:$CA753)</f>
        <v/>
      </c>
      <c r="P753" s="245">
        <f>SUMIF($T$4:$CA$4,P$4,$T753:$CA753)</f>
        <v/>
      </c>
      <c r="Q753" s="245">
        <f>SUMIF($T$4:$CA$4,Q$4,$T753:$CA753)</f>
        <v/>
      </c>
      <c r="T753" s="245">
        <f>IF(T$7="Actual","",IFERROR(-SUM(OFFSET(S749,0,0,1,-MIN(T$6,$K$746)))/$K$746,0))</f>
        <v/>
      </c>
      <c r="U753" s="245">
        <f>IF(U$7="Actual","",IFERROR(-SUM(OFFSET(T749,0,0,1,-MIN(U$6,$K$746)))/$K$746,0))</f>
        <v/>
      </c>
      <c r="V753" s="245">
        <f>IF(V$7="Actual","",IFERROR(-SUM(OFFSET(U749,0,0,1,-MIN(V$6,$K$746)))/$K$746,0))</f>
        <v/>
      </c>
      <c r="W753" s="245">
        <f>IF(W$7="Actual","",IFERROR(-SUM(OFFSET(V749,0,0,1,-MIN(W$6,$K$746)))/$K$746,0))</f>
        <v/>
      </c>
      <c r="X753" s="245">
        <f>IF(X$7="Actual","",IFERROR(-SUM(OFFSET(W749,0,0,1,-MIN(X$6,$K$746)))/$K$746,0))</f>
        <v/>
      </c>
      <c r="Y753" s="245">
        <f>IF(Y$7="Actual","",IFERROR(-SUM(OFFSET(X749,0,0,1,-MIN(Y$6,$K$746)))/$K$746,0))</f>
        <v/>
      </c>
      <c r="Z753" s="245">
        <f>IF(Z$7="Actual","",IFERROR(-SUM(OFFSET(Y749,0,0,1,-MIN(Z$6,$K$746)))/$K$746,0))</f>
        <v/>
      </c>
      <c r="AA753" s="245">
        <f>IF(AA$7="Actual","",IFERROR(-SUM(OFFSET(Z749,0,0,1,-MIN(AA$6,$K$746)))/$K$746,0))</f>
        <v/>
      </c>
      <c r="AB753" s="245">
        <f>IF(AB$7="Actual","",IFERROR(-SUM(OFFSET(AA749,0,0,1,-MIN(AB$6,$K$746)))/$K$746,0))</f>
        <v/>
      </c>
      <c r="AC753" s="245">
        <f>IF(AC$7="Actual","",IFERROR(-SUM(OFFSET(AB749,0,0,1,-MIN(AC$6,$K$746)))/$K$746,0))</f>
        <v/>
      </c>
      <c r="AD753" s="245">
        <f>IF(AD$7="Actual","",IFERROR(-SUM(OFFSET(AC749,0,0,1,-MIN(AD$6,$K$746)))/$K$746,0))</f>
        <v/>
      </c>
      <c r="AE753" s="245">
        <f>IF(AE$7="Actual","",IFERROR(-SUM(OFFSET(AD749,0,0,1,-MIN(AE$6,$K$746)))/$K$746,0))</f>
        <v/>
      </c>
      <c r="AF753" s="245">
        <f>IF(AF$7="Actual","",IFERROR(-SUM(OFFSET(AE749,0,0,1,-MIN(AF$6,$K$746)))/$K$746,0))</f>
        <v/>
      </c>
      <c r="AG753" s="245">
        <f>IF(AG$7="Actual","",IFERROR(-SUM(OFFSET(AF749,0,0,1,-MIN(AG$6,$K$746)))/$K$746,0))</f>
        <v/>
      </c>
      <c r="AH753" s="245">
        <f>IF(AH$7="Actual","",IFERROR(-SUM(OFFSET(AG749,0,0,1,-MIN(AH$6,$K$746)))/$K$746,0))</f>
        <v/>
      </c>
      <c r="AI753" s="245">
        <f>IF(AI$7="Actual","",IFERROR(-SUM(OFFSET(AH749,0,0,1,-MIN(AI$6,$K$746)))/$K$746,0))</f>
        <v/>
      </c>
      <c r="AJ753" s="245">
        <f>IF(AJ$7="Actual","",IFERROR(-SUM(OFFSET(AI749,0,0,1,-MIN(AJ$6,$K$746)))/$K$746,0))</f>
        <v/>
      </c>
      <c r="AK753" s="245">
        <f>IF(AK$7="Actual","",IFERROR(-SUM(OFFSET(AJ749,0,0,1,-MIN(AK$6,$K$746)))/$K$746,0))</f>
        <v/>
      </c>
      <c r="AL753" s="245">
        <f>IF(AL$7="Actual","",IFERROR(-SUM(OFFSET(AK749,0,0,1,-MIN(AL$6,$K$746)))/$K$746,0))</f>
        <v/>
      </c>
      <c r="AM753" s="245">
        <f>IF(AM$7="Actual","",IFERROR(-SUM(OFFSET(AL749,0,0,1,-MIN(AM$6,$K$746)))/$K$746,0))</f>
        <v/>
      </c>
      <c r="AN753" s="245">
        <f>IF(AN$7="Actual","",IFERROR(-SUM(OFFSET(AM749,0,0,1,-MIN(AN$6,$K$746)))/$K$746,0))</f>
        <v/>
      </c>
      <c r="AO753" s="245">
        <f>IF(AO$7="Actual","",IFERROR(-SUM(OFFSET(AN749,0,0,1,-MIN(AO$6,$K$746)))/$K$746,0))</f>
        <v/>
      </c>
      <c r="AP753" s="245">
        <f>IF(AP$7="Actual","",IFERROR(-SUM(OFFSET(AO749,0,0,1,-MIN(AP$6,$K$746)))/$K$746,0))</f>
        <v/>
      </c>
      <c r="AQ753" s="245">
        <f>IF(AQ$7="Actual","",IFERROR(-SUM(OFFSET(AP749,0,0,1,-MIN(AQ$6,$K$746)))/$K$746,0))</f>
        <v/>
      </c>
      <c r="AR753" s="245">
        <f>IF(AR$7="Actual","",IFERROR(-SUM(OFFSET(AQ749,0,0,1,-MIN(AR$6,$K$746)))/$K$746,0))</f>
        <v/>
      </c>
      <c r="AS753" s="245">
        <f>IF(AS$7="Actual","",IFERROR(-SUM(OFFSET(AR749,0,0,1,-MIN(AS$6,$K$746)))/$K$746,0))</f>
        <v/>
      </c>
      <c r="AT753" s="245">
        <f>IF(AT$7="Actual","",IFERROR(-SUM(OFFSET(AS749,0,0,1,-MIN(AT$6,$K$746)))/$K$746,0))</f>
        <v/>
      </c>
      <c r="AU753" s="245">
        <f>IF(AU$7="Actual","",IFERROR(-SUM(OFFSET(AT749,0,0,1,-MIN(AU$6,$K$746)))/$K$746,0))</f>
        <v/>
      </c>
      <c r="AV753" s="245">
        <f>IF(AV$7="Actual","",IFERROR(-SUM(OFFSET(AU749,0,0,1,-MIN(AV$6,$K$746)))/$K$746,0))</f>
        <v/>
      </c>
      <c r="AW753" s="245">
        <f>IF(AW$7="Actual","",IFERROR(-SUM(OFFSET(AV749,0,0,1,-MIN(AW$6,$K$746)))/$K$746,0))</f>
        <v/>
      </c>
      <c r="AX753" s="245">
        <f>IF(AX$7="Actual","",IFERROR(-SUM(OFFSET(AW749,0,0,1,-MIN(AX$6,$K$746)))/$K$746,0))</f>
        <v/>
      </c>
      <c r="AY753" s="245">
        <f>IF(AY$7="Actual","",IFERROR(-SUM(OFFSET(AX749,0,0,1,-MIN(AY$6,$K$746)))/$K$746,0))</f>
        <v/>
      </c>
      <c r="AZ753" s="245">
        <f>IF(AZ$7="Actual","",IFERROR(-SUM(OFFSET(AY749,0,0,1,-MIN(AZ$6,$K$746)))/$K$746,0))</f>
        <v/>
      </c>
      <c r="BA753" s="245">
        <f>IF(BA$7="Actual","",IFERROR(-SUM(OFFSET(AZ749,0,0,1,-MIN(BA$6,$K$746)))/$K$746,0))</f>
        <v/>
      </c>
      <c r="BB753" s="245">
        <f>IF(BB$7="Actual","",IFERROR(-SUM(OFFSET(BA749,0,0,1,-MIN(BB$6,$K$746)))/$K$746,0))</f>
        <v/>
      </c>
      <c r="BC753" s="245">
        <f>IF(BC$7="Actual","",IFERROR(-SUM(OFFSET(BB749,0,0,1,-MIN(BC$6,$K$746)))/$K$746,0))</f>
        <v/>
      </c>
      <c r="BD753" s="245">
        <f>IF(BD$7="Actual","",IFERROR(-SUM(OFFSET(BC749,0,0,1,-MIN(BD$6,$K$746)))/$K$746,0))</f>
        <v/>
      </c>
      <c r="BE753" s="245">
        <f>IF(BE$7="Actual","",IFERROR(-SUM(OFFSET(BD749,0,0,1,-MIN(BE$6,$K$746)))/$K$746,0))</f>
        <v/>
      </c>
      <c r="BF753" s="245">
        <f>IF(BF$7="Actual","",IFERROR(-SUM(OFFSET(BE749,0,0,1,-MIN(BF$6,$K$746)))/$K$746,0))</f>
        <v/>
      </c>
      <c r="BG753" s="245">
        <f>IF(BG$7="Actual","",IFERROR(-SUM(OFFSET(BF749,0,0,1,-MIN(BG$6,$K$746)))/$K$746,0))</f>
        <v/>
      </c>
      <c r="BH753" s="245">
        <f>IF(BH$7="Actual","",IFERROR(-SUM(OFFSET(BG749,0,0,1,-MIN(BH$6,$K$746)))/$K$746,0))</f>
        <v/>
      </c>
      <c r="BI753" s="245">
        <f>IF(BI$7="Actual","",IFERROR(-SUM(OFFSET(BH749,0,0,1,-MIN(BI$6,$K$746)))/$K$746,0))</f>
        <v/>
      </c>
      <c r="BJ753" s="245">
        <f>IF(BJ$7="Actual","",IFERROR(-SUM(OFFSET(BI749,0,0,1,-MIN(BJ$6,$K$746)))/$K$746,0))</f>
        <v/>
      </c>
      <c r="BK753" s="245">
        <f>IF(BK$7="Actual","",IFERROR(-SUM(OFFSET(BJ749,0,0,1,-MIN(BK$6,$K$746)))/$K$746,0))</f>
        <v/>
      </c>
      <c r="BL753" s="245">
        <f>IF(BL$7="Actual","",IFERROR(-SUM(OFFSET(BK749,0,0,1,-MIN(BL$6,$K$746)))/$K$746,0))</f>
        <v/>
      </c>
      <c r="BM753" s="245">
        <f>IF(BM$7="Actual","",IFERROR(-SUM(OFFSET(BL749,0,0,1,-MIN(BM$6,$K$746)))/$K$746,0))</f>
        <v/>
      </c>
      <c r="BN753" s="245">
        <f>IF(BN$7="Actual","",IFERROR(-SUM(OFFSET(BM749,0,0,1,-MIN(BN$6,$K$746)))/$K$746,0))</f>
        <v/>
      </c>
      <c r="BO753" s="245">
        <f>IF(BO$7="Actual","",IFERROR(-SUM(OFFSET(BN749,0,0,1,-MIN(BO$6,$K$746)))/$K$746,0))</f>
        <v/>
      </c>
      <c r="BP753" s="245">
        <f>IF(BP$7="Actual","",IFERROR(-SUM(OFFSET(BO749,0,0,1,-MIN(BP$6,$K$746)))/$K$746,0))</f>
        <v/>
      </c>
      <c r="BQ753" s="245">
        <f>IF(BQ$7="Actual","",IFERROR(-SUM(OFFSET(BP749,0,0,1,-MIN(BQ$6,$K$746)))/$K$746,0))</f>
        <v/>
      </c>
      <c r="BR753" s="245">
        <f>IF(BR$7="Actual","",IFERROR(-SUM(OFFSET(BQ749,0,0,1,-MIN(BR$6,$K$746)))/$K$746,0))</f>
        <v/>
      </c>
      <c r="BS753" s="245">
        <f>IF(BS$7="Actual","",IFERROR(-SUM(OFFSET(BR749,0,0,1,-MIN(BS$6,$K$746)))/$K$746,0))</f>
        <v/>
      </c>
      <c r="BT753" s="245">
        <f>IF(BT$7="Actual","",IFERROR(-SUM(OFFSET(BS749,0,0,1,-MIN(BT$6,$K$746)))/$K$746,0))</f>
        <v/>
      </c>
      <c r="BU753" s="245">
        <f>IF(BU$7="Actual","",IFERROR(-SUM(OFFSET(BT749,0,0,1,-MIN(BU$6,$K$746)))/$K$746,0))</f>
        <v/>
      </c>
      <c r="BV753" s="245">
        <f>IF(BV$7="Actual","",IFERROR(-SUM(OFFSET(BU749,0,0,1,-MIN(BV$6,$K$746)))/$K$746,0))</f>
        <v/>
      </c>
      <c r="BW753" s="245">
        <f>IF(BW$7="Actual","",IFERROR(-SUM(OFFSET(BV749,0,0,1,-MIN(BW$6,$K$746)))/$K$746,0))</f>
        <v/>
      </c>
      <c r="BX753" s="245">
        <f>IF(BX$7="Actual","",IFERROR(-SUM(OFFSET(BW749,0,0,1,-MIN(BX$6,$K$746)))/$K$746,0))</f>
        <v/>
      </c>
      <c r="BY753" s="245">
        <f>IF(BY$7="Actual","",IFERROR(-SUM(OFFSET(BX749,0,0,1,-MIN(BY$6,$K$746)))/$K$746,0))</f>
        <v/>
      </c>
      <c r="BZ753" s="245">
        <f>IF(BZ$7="Actual","",IFERROR(-SUM(OFFSET(BY749,0,0,1,-MIN(BZ$6,$K$746)))/$K$746,0))</f>
        <v/>
      </c>
      <c r="CA753" s="245">
        <f>IF(CA$7="Actual","",IFERROR(-SUM(OFFSET(BZ749,0,0,1,-MIN(CA$6,$K$746)))/$K$746,0))</f>
        <v/>
      </c>
    </row>
    <row r="754" ht="12" customHeight="1" s="227">
      <c r="A754" s="244" t="n"/>
      <c r="B754" s="244" t="n"/>
      <c r="C754" s="244" t="n"/>
      <c r="H754" s="0" t="inlineStr">
        <is>
          <t xml:space="preserve"> Depreciation - Additions</t>
        </is>
      </c>
      <c r="I754" s="27">
        <f>i_Setup!$M$16</f>
        <v/>
      </c>
      <c r="K754" s="6" t="n"/>
      <c r="M754" s="245">
        <f>SUMIF($T$4:$CA$4,M$4,$T754:$CA754)</f>
        <v/>
      </c>
      <c r="N754" s="245">
        <f>SUMIF($T$4:$CA$4,N$4,$T754:$CA754)</f>
        <v/>
      </c>
      <c r="O754" s="245">
        <f>SUMIF($T$4:$CA$4,O$4,$T754:$CA754)</f>
        <v/>
      </c>
      <c r="P754" s="245">
        <f>SUMIF($T$4:$CA$4,P$4,$T754:$CA754)</f>
        <v/>
      </c>
      <c r="Q754" s="245">
        <f>SUMIF($T$4:$CA$4,Q$4,$T754:$CA754)</f>
        <v/>
      </c>
      <c r="T754" s="245">
        <f>IF(T$7="Actual","",IFERROR(-SUM(OFFSET(S752,0,0,1,-MIN(T$6,$K$747)))/$K$747,0))</f>
        <v/>
      </c>
      <c r="U754" s="245">
        <f>IF(U$7="Actual","",IFERROR(-SUM(OFFSET(T752,0,0,1,-MIN(U$6,$K$747)))/$K$747,0))</f>
        <v/>
      </c>
      <c r="V754" s="245">
        <f>IF(V$7="Actual","",IFERROR(-SUM(OFFSET(U752,0,0,1,-MIN(V$6,$K$747)))/$K$747,0))</f>
        <v/>
      </c>
      <c r="W754" s="245">
        <f>IF(W$7="Actual","",IFERROR(-SUM(OFFSET(V752,0,0,1,-MIN(W$6,$K$747)))/$K$747,0))</f>
        <v/>
      </c>
      <c r="X754" s="245">
        <f>IF(X$7="Actual","",IFERROR(-SUM(OFFSET(W752,0,0,1,-MIN(X$6,$K$747)))/$K$747,0))</f>
        <v/>
      </c>
      <c r="Y754" s="245">
        <f>IF(Y$7="Actual","",IFERROR(-SUM(OFFSET(X752,0,0,1,-MIN(Y$6,$K$747)))/$K$747,0))</f>
        <v/>
      </c>
      <c r="Z754" s="245">
        <f>IF(Z$7="Actual","",IFERROR(-SUM(OFFSET(Y752,0,0,1,-MIN(Z$6,$K$747)))/$K$747,0))</f>
        <v/>
      </c>
      <c r="AA754" s="245">
        <f>IF(AA$7="Actual","",IFERROR(-SUM(OFFSET(Z752,0,0,1,-MIN(AA$6,$K$747)))/$K$747,0))</f>
        <v/>
      </c>
      <c r="AB754" s="245">
        <f>IF(AB$7="Actual","",IFERROR(-SUM(OFFSET(AA752,0,0,1,-MIN(AB$6,$K$747)))/$K$747,0))</f>
        <v/>
      </c>
      <c r="AC754" s="245">
        <f>IF(AC$7="Actual","",IFERROR(-SUM(OFFSET(AB752,0,0,1,-MIN(AC$6,$K$747)))/$K$747,0))</f>
        <v/>
      </c>
      <c r="AD754" s="245">
        <f>IF(AD$7="Actual","",IFERROR(-SUM(OFFSET(AC752,0,0,1,-MIN(AD$6,$K$747)))/$K$747,0))</f>
        <v/>
      </c>
      <c r="AE754" s="245">
        <f>IF(AE$7="Actual","",IFERROR(-SUM(OFFSET(AD752,0,0,1,-MIN(AE$6,$K$747)))/$K$747,0))</f>
        <v/>
      </c>
      <c r="AF754" s="245">
        <f>IF(AF$7="Actual","",IFERROR(-SUM(OFFSET(AE752,0,0,1,-MIN(AF$6,$K$747)))/$K$747,0))</f>
        <v/>
      </c>
      <c r="AG754" s="245">
        <f>IF(AG$7="Actual","",IFERROR(-SUM(OFFSET(AF752,0,0,1,-MIN(AG$6,$K$747)))/$K$747,0))</f>
        <v/>
      </c>
      <c r="AH754" s="245">
        <f>IF(AH$7="Actual","",IFERROR(-SUM(OFFSET(AG752,0,0,1,-MIN(AH$6,$K$747)))/$K$747,0))</f>
        <v/>
      </c>
      <c r="AI754" s="245">
        <f>IF(AI$7="Actual","",IFERROR(-SUM(OFFSET(AH752,0,0,1,-MIN(AI$6,$K$747)))/$K$747,0))</f>
        <v/>
      </c>
      <c r="AJ754" s="245">
        <f>IF(AJ$7="Actual","",IFERROR(-SUM(OFFSET(AI752,0,0,1,-MIN(AJ$6,$K$747)))/$K$747,0))</f>
        <v/>
      </c>
      <c r="AK754" s="245">
        <f>IF(AK$7="Actual","",IFERROR(-SUM(OFFSET(AJ752,0,0,1,-MIN(AK$6,$K$747)))/$K$747,0))</f>
        <v/>
      </c>
      <c r="AL754" s="245">
        <f>IF(AL$7="Actual","",IFERROR(-SUM(OFFSET(AK752,0,0,1,-MIN(AL$6,$K$747)))/$K$747,0))</f>
        <v/>
      </c>
      <c r="AM754" s="245">
        <f>IF(AM$7="Actual","",IFERROR(-SUM(OFFSET(AL752,0,0,1,-MIN(AM$6,$K$747)))/$K$747,0))</f>
        <v/>
      </c>
      <c r="AN754" s="245">
        <f>IF(AN$7="Actual","",IFERROR(-SUM(OFFSET(AM752,0,0,1,-MIN(AN$6,$K$747)))/$K$747,0))</f>
        <v/>
      </c>
      <c r="AO754" s="245">
        <f>IF(AO$7="Actual","",IFERROR(-SUM(OFFSET(AN752,0,0,1,-MIN(AO$6,$K$747)))/$K$747,0))</f>
        <v/>
      </c>
      <c r="AP754" s="245">
        <f>IF(AP$7="Actual","",IFERROR(-SUM(OFFSET(AO752,0,0,1,-MIN(AP$6,$K$747)))/$K$747,0))</f>
        <v/>
      </c>
      <c r="AQ754" s="245">
        <f>IF(AQ$7="Actual","",IFERROR(-SUM(OFFSET(AP752,0,0,1,-MIN(AQ$6,$K$747)))/$K$747,0))</f>
        <v/>
      </c>
      <c r="AR754" s="245">
        <f>IF(AR$7="Actual","",IFERROR(-SUM(OFFSET(AQ752,0,0,1,-MIN(AR$6,$K$747)))/$K$747,0))</f>
        <v/>
      </c>
      <c r="AS754" s="245">
        <f>IF(AS$7="Actual","",IFERROR(-SUM(OFFSET(AR752,0,0,1,-MIN(AS$6,$K$747)))/$K$747,0))</f>
        <v/>
      </c>
      <c r="AT754" s="245">
        <f>IF(AT$7="Actual","",IFERROR(-SUM(OFFSET(AS752,0,0,1,-MIN(AT$6,$K$747)))/$K$747,0))</f>
        <v/>
      </c>
      <c r="AU754" s="245">
        <f>IF(AU$7="Actual","",IFERROR(-SUM(OFFSET(AT752,0,0,1,-MIN(AU$6,$K$747)))/$K$747,0))</f>
        <v/>
      </c>
      <c r="AV754" s="245">
        <f>IF(AV$7="Actual","",IFERROR(-SUM(OFFSET(AU752,0,0,1,-MIN(AV$6,$K$747)))/$K$747,0))</f>
        <v/>
      </c>
      <c r="AW754" s="245">
        <f>IF(AW$7="Actual","",IFERROR(-SUM(OFFSET(AV752,0,0,1,-MIN(AW$6,$K$747)))/$K$747,0))</f>
        <v/>
      </c>
      <c r="AX754" s="245">
        <f>IF(AX$7="Actual","",IFERROR(-SUM(OFFSET(AW752,0,0,1,-MIN(AX$6,$K$747)))/$K$747,0))</f>
        <v/>
      </c>
      <c r="AY754" s="245">
        <f>IF(AY$7="Actual","",IFERROR(-SUM(OFFSET(AX752,0,0,1,-MIN(AY$6,$K$747)))/$K$747,0))</f>
        <v/>
      </c>
      <c r="AZ754" s="245">
        <f>IF(AZ$7="Actual","",IFERROR(-SUM(OFFSET(AY752,0,0,1,-MIN(AZ$6,$K$747)))/$K$747,0))</f>
        <v/>
      </c>
      <c r="BA754" s="245">
        <f>IF(BA$7="Actual","",IFERROR(-SUM(OFFSET(AZ752,0,0,1,-MIN(BA$6,$K$747)))/$K$747,0))</f>
        <v/>
      </c>
      <c r="BB754" s="245">
        <f>IF(BB$7="Actual","",IFERROR(-SUM(OFFSET(BA752,0,0,1,-MIN(BB$6,$K$747)))/$K$747,0))</f>
        <v/>
      </c>
      <c r="BC754" s="245">
        <f>IF(BC$7="Actual","",IFERROR(-SUM(OFFSET(BB752,0,0,1,-MIN(BC$6,$K$747)))/$K$747,0))</f>
        <v/>
      </c>
      <c r="BD754" s="245">
        <f>IF(BD$7="Actual","",IFERROR(-SUM(OFFSET(BC752,0,0,1,-MIN(BD$6,$K$747)))/$K$747,0))</f>
        <v/>
      </c>
      <c r="BE754" s="245">
        <f>IF(BE$7="Actual","",IFERROR(-SUM(OFFSET(BD752,0,0,1,-MIN(BE$6,$K$747)))/$K$747,0))</f>
        <v/>
      </c>
      <c r="BF754" s="245">
        <f>IF(BF$7="Actual","",IFERROR(-SUM(OFFSET(BE752,0,0,1,-MIN(BF$6,$K$747)))/$K$747,0))</f>
        <v/>
      </c>
      <c r="BG754" s="245">
        <f>IF(BG$7="Actual","",IFERROR(-SUM(OFFSET(BF752,0,0,1,-MIN(BG$6,$K$747)))/$K$747,0))</f>
        <v/>
      </c>
      <c r="BH754" s="245">
        <f>IF(BH$7="Actual","",IFERROR(-SUM(OFFSET(BG752,0,0,1,-MIN(BH$6,$K$747)))/$K$747,0))</f>
        <v/>
      </c>
      <c r="BI754" s="245">
        <f>IF(BI$7="Actual","",IFERROR(-SUM(OFFSET(BH752,0,0,1,-MIN(BI$6,$K$747)))/$K$747,0))</f>
        <v/>
      </c>
      <c r="BJ754" s="245">
        <f>IF(BJ$7="Actual","",IFERROR(-SUM(OFFSET(BI752,0,0,1,-MIN(BJ$6,$K$747)))/$K$747,0))</f>
        <v/>
      </c>
      <c r="BK754" s="245">
        <f>IF(BK$7="Actual","",IFERROR(-SUM(OFFSET(BJ752,0,0,1,-MIN(BK$6,$K$747)))/$K$747,0))</f>
        <v/>
      </c>
      <c r="BL754" s="245">
        <f>IF(BL$7="Actual","",IFERROR(-SUM(OFFSET(BK752,0,0,1,-MIN(BL$6,$K$747)))/$K$747,0))</f>
        <v/>
      </c>
      <c r="BM754" s="245">
        <f>IF(BM$7="Actual","",IFERROR(-SUM(OFFSET(BL752,0,0,1,-MIN(BM$6,$K$747)))/$K$747,0))</f>
        <v/>
      </c>
      <c r="BN754" s="245">
        <f>IF(BN$7="Actual","",IFERROR(-SUM(OFFSET(BM752,0,0,1,-MIN(BN$6,$K$747)))/$K$747,0))</f>
        <v/>
      </c>
      <c r="BO754" s="245">
        <f>IF(BO$7="Actual","",IFERROR(-SUM(OFFSET(BN752,0,0,1,-MIN(BO$6,$K$747)))/$K$747,0))</f>
        <v/>
      </c>
      <c r="BP754" s="245">
        <f>IF(BP$7="Actual","",IFERROR(-SUM(OFFSET(BO752,0,0,1,-MIN(BP$6,$K$747)))/$K$747,0))</f>
        <v/>
      </c>
      <c r="BQ754" s="245">
        <f>IF(BQ$7="Actual","",IFERROR(-SUM(OFFSET(BP752,0,0,1,-MIN(BQ$6,$K$747)))/$K$747,0))</f>
        <v/>
      </c>
      <c r="BR754" s="245">
        <f>IF(BR$7="Actual","",IFERROR(-SUM(OFFSET(BQ752,0,0,1,-MIN(BR$6,$K$747)))/$K$747,0))</f>
        <v/>
      </c>
      <c r="BS754" s="245">
        <f>IF(BS$7="Actual","",IFERROR(-SUM(OFFSET(BR752,0,0,1,-MIN(BS$6,$K$747)))/$K$747,0))</f>
        <v/>
      </c>
      <c r="BT754" s="245">
        <f>IF(BT$7="Actual","",IFERROR(-SUM(OFFSET(BS752,0,0,1,-MIN(BT$6,$K$747)))/$K$747,0))</f>
        <v/>
      </c>
      <c r="BU754" s="245">
        <f>IF(BU$7="Actual","",IFERROR(-SUM(OFFSET(BT752,0,0,1,-MIN(BU$6,$K$747)))/$K$747,0))</f>
        <v/>
      </c>
      <c r="BV754" s="245">
        <f>IF(BV$7="Actual","",IFERROR(-SUM(OFFSET(BU752,0,0,1,-MIN(BV$6,$K$747)))/$K$747,0))</f>
        <v/>
      </c>
      <c r="BW754" s="245">
        <f>IF(BW$7="Actual","",IFERROR(-SUM(OFFSET(BV752,0,0,1,-MIN(BW$6,$K$747)))/$K$747,0))</f>
        <v/>
      </c>
      <c r="BX754" s="245">
        <f>IF(BX$7="Actual","",IFERROR(-SUM(OFFSET(BW752,0,0,1,-MIN(BX$6,$K$747)))/$K$747,0))</f>
        <v/>
      </c>
      <c r="BY754" s="245">
        <f>IF(BY$7="Actual","",IFERROR(-SUM(OFFSET(BX752,0,0,1,-MIN(BY$6,$K$747)))/$K$747,0))</f>
        <v/>
      </c>
      <c r="BZ754" s="245">
        <f>IF(BZ$7="Actual","",IFERROR(-SUM(OFFSET(BY752,0,0,1,-MIN(BZ$6,$K$747)))/$K$747,0))</f>
        <v/>
      </c>
      <c r="CA754" s="245">
        <f>IF(CA$7="Actual","",IFERROR(-SUM(OFFSET(BZ752,0,0,1,-MIN(CA$6,$K$747)))/$K$747,0))</f>
        <v/>
      </c>
    </row>
    <row r="755" ht="12" customHeight="1" s="227" thickBot="1">
      <c r="A755" s="244" t="n"/>
      <c r="B755" s="244" t="n"/>
      <c r="C755" s="244" t="n"/>
      <c r="H755" s="42" t="inlineStr">
        <is>
          <t>Closing Balance</t>
        </is>
      </c>
      <c r="I755" s="43">
        <f>i_Setup!$M$16</f>
        <v/>
      </c>
      <c r="K755" s="6" t="n"/>
      <c r="M755" s="264">
        <f>SUMIF($T$2:$CA$2,M$2,$T755:$CA755)</f>
        <v/>
      </c>
      <c r="N755" s="264">
        <f>SUMIF($T$2:$CA$2,N$2,$T755:$CA755)</f>
        <v/>
      </c>
      <c r="O755" s="264">
        <f>SUMIF($T$2:$CA$2,O$2,$T755:$CA755)</f>
        <v/>
      </c>
      <c r="P755" s="264">
        <f>SUMIF($T$2:$CA$2,P$2,$T755:$CA755)</f>
        <v/>
      </c>
      <c r="Q755" s="264">
        <f>SUMIF($T$2:$CA$2,Q$2,$T755:$CA755)</f>
        <v/>
      </c>
      <c r="T755" s="264">
        <f>IF(T$7="Actual",i_Actuals!T114,SUM(T751:T754))</f>
        <v/>
      </c>
      <c r="U755" s="264">
        <f>IF(U$7="Actual",i_Actuals!U114,SUM(U751:U754))</f>
        <v/>
      </c>
      <c r="V755" s="264">
        <f>IF(V$7="Actual",i_Actuals!V114,SUM(V751:V754))</f>
        <v/>
      </c>
      <c r="W755" s="264">
        <f>IF(W$7="Actual",i_Actuals!W114,SUM(W751:W754))</f>
        <v/>
      </c>
      <c r="X755" s="264">
        <f>IF(X$7="Actual",i_Actuals!X114,SUM(X751:X754))</f>
        <v/>
      </c>
      <c r="Y755" s="264">
        <f>IF(Y$7="Actual",i_Actuals!Y114,SUM(Y751:Y754))</f>
        <v/>
      </c>
      <c r="Z755" s="264">
        <f>IF(Z$7="Actual",i_Actuals!Z114,SUM(Z751:Z754))</f>
        <v/>
      </c>
      <c r="AA755" s="264">
        <f>IF(AA$7="Actual",i_Actuals!AA114,SUM(AA751:AA754))</f>
        <v/>
      </c>
      <c r="AB755" s="264">
        <f>IF(AB$7="Actual",i_Actuals!AB114,SUM(AB751:AB754))</f>
        <v/>
      </c>
      <c r="AC755" s="264">
        <f>IF(AC$7="Actual",i_Actuals!AC114,SUM(AC751:AC754))</f>
        <v/>
      </c>
      <c r="AD755" s="264">
        <f>IF(AD$7="Actual",i_Actuals!AD114,SUM(AD751:AD754))</f>
        <v/>
      </c>
      <c r="AE755" s="264">
        <f>IF(AE$7="Actual",i_Actuals!AE114,SUM(AE751:AE754))</f>
        <v/>
      </c>
      <c r="AF755" s="264">
        <f>IF(AF$7="Actual",i_Actuals!AF114,SUM(AF751:AF754))</f>
        <v/>
      </c>
      <c r="AG755" s="264">
        <f>IF(AG$7="Actual",i_Actuals!AG114,SUM(AG751:AG754))</f>
        <v/>
      </c>
      <c r="AH755" s="264">
        <f>IF(AH$7="Actual",i_Actuals!AH114,SUM(AH751:AH754))</f>
        <v/>
      </c>
      <c r="AI755" s="264">
        <f>IF(AI$7="Actual",i_Actuals!AI114,SUM(AI751:AI754))</f>
        <v/>
      </c>
      <c r="AJ755" s="264">
        <f>IF(AJ$7="Actual",i_Actuals!AJ114,SUM(AJ751:AJ754))</f>
        <v/>
      </c>
      <c r="AK755" s="264">
        <f>IF(AK$7="Actual",i_Actuals!AK114,SUM(AK751:AK754))</f>
        <v/>
      </c>
      <c r="AL755" s="264">
        <f>IF(AL$7="Actual",i_Actuals!AL114,SUM(AL751:AL754))</f>
        <v/>
      </c>
      <c r="AM755" s="264">
        <f>IF(AM$7="Actual",i_Actuals!AM114,SUM(AM751:AM754))</f>
        <v/>
      </c>
      <c r="AN755" s="264">
        <f>IF(AN$7="Actual",i_Actuals!AN114,SUM(AN751:AN754))</f>
        <v/>
      </c>
      <c r="AO755" s="264">
        <f>IF(AO$7="Actual",i_Actuals!AO114,SUM(AO751:AO754))</f>
        <v/>
      </c>
      <c r="AP755" s="264">
        <f>IF(AP$7="Actual",i_Actuals!AP114,SUM(AP751:AP754))</f>
        <v/>
      </c>
      <c r="AQ755" s="264">
        <f>IF(AQ$7="Actual",i_Actuals!AQ114,SUM(AQ751:AQ754))</f>
        <v/>
      </c>
      <c r="AR755" s="264">
        <f>IF(AR$7="Actual",i_Actuals!AR114,SUM(AR751:AR754))</f>
        <v/>
      </c>
      <c r="AS755" s="264">
        <f>IF(AS$7="Actual",i_Actuals!AS114,SUM(AS751:AS754))</f>
        <v/>
      </c>
      <c r="AT755" s="264">
        <f>IF(AT$7="Actual",i_Actuals!AT114,SUM(AT751:AT754))</f>
        <v/>
      </c>
      <c r="AU755" s="264">
        <f>IF(AU$7="Actual",i_Actuals!AU114,SUM(AU751:AU754))</f>
        <v/>
      </c>
      <c r="AV755" s="264">
        <f>IF(AV$7="Actual",i_Actuals!AV114,SUM(AV751:AV754))</f>
        <v/>
      </c>
      <c r="AW755" s="264">
        <f>IF(AW$7="Actual",i_Actuals!AW114,SUM(AW751:AW754))</f>
        <v/>
      </c>
      <c r="AX755" s="264">
        <f>IF(AX$7="Actual",i_Actuals!AX114,SUM(AX751:AX754))</f>
        <v/>
      </c>
      <c r="AY755" s="264">
        <f>IF(AY$7="Actual",i_Actuals!AY114,SUM(AY751:AY754))</f>
        <v/>
      </c>
      <c r="AZ755" s="264">
        <f>IF(AZ$7="Actual",i_Actuals!AZ114,SUM(AZ751:AZ754))</f>
        <v/>
      </c>
      <c r="BA755" s="264">
        <f>IF(BA$7="Actual",i_Actuals!BA114,SUM(BA751:BA754))</f>
        <v/>
      </c>
      <c r="BB755" s="264">
        <f>IF(BB$7="Actual",i_Actuals!BB114,SUM(BB751:BB754))</f>
        <v/>
      </c>
      <c r="BC755" s="264">
        <f>IF(BC$7="Actual",i_Actuals!BC114,SUM(BC751:BC754))</f>
        <v/>
      </c>
      <c r="BD755" s="264">
        <f>IF(BD$7="Actual",i_Actuals!BD114,SUM(BD751:BD754))</f>
        <v/>
      </c>
      <c r="BE755" s="264">
        <f>IF(BE$7="Actual",i_Actuals!BE114,SUM(BE751:BE754))</f>
        <v/>
      </c>
      <c r="BF755" s="264">
        <f>IF(BF$7="Actual",i_Actuals!BF114,SUM(BF751:BF754))</f>
        <v/>
      </c>
      <c r="BG755" s="264">
        <f>IF(BG$7="Actual",i_Actuals!BG114,SUM(BG751:BG754))</f>
        <v/>
      </c>
      <c r="BH755" s="264">
        <f>IF(BH$7="Actual",i_Actuals!BH114,SUM(BH751:BH754))</f>
        <v/>
      </c>
      <c r="BI755" s="264">
        <f>IF(BI$7="Actual",i_Actuals!BI114,SUM(BI751:BI754))</f>
        <v/>
      </c>
      <c r="BJ755" s="264">
        <f>IF(BJ$7="Actual",i_Actuals!BJ114,SUM(BJ751:BJ754))</f>
        <v/>
      </c>
      <c r="BK755" s="264">
        <f>IF(BK$7="Actual",i_Actuals!BK114,SUM(BK751:BK754))</f>
        <v/>
      </c>
      <c r="BL755" s="264">
        <f>IF(BL$7="Actual",i_Actuals!BL114,SUM(BL751:BL754))</f>
        <v/>
      </c>
      <c r="BM755" s="264">
        <f>IF(BM$7="Actual",i_Actuals!BM114,SUM(BM751:BM754))</f>
        <v/>
      </c>
      <c r="BN755" s="264">
        <f>IF(BN$7="Actual",i_Actuals!BN114,SUM(BN751:BN754))</f>
        <v/>
      </c>
      <c r="BO755" s="264">
        <f>IF(BO$7="Actual",i_Actuals!BO114,SUM(BO751:BO754))</f>
        <v/>
      </c>
      <c r="BP755" s="264">
        <f>IF(BP$7="Actual",i_Actuals!BP114,SUM(BP751:BP754))</f>
        <v/>
      </c>
      <c r="BQ755" s="264">
        <f>IF(BQ$7="Actual",i_Actuals!BQ114,SUM(BQ751:BQ754))</f>
        <v/>
      </c>
      <c r="BR755" s="264">
        <f>IF(BR$7="Actual",i_Actuals!BR114,SUM(BR751:BR754))</f>
        <v/>
      </c>
      <c r="BS755" s="264">
        <f>IF(BS$7="Actual",i_Actuals!BS114,SUM(BS751:BS754))</f>
        <v/>
      </c>
      <c r="BT755" s="264">
        <f>IF(BT$7="Actual",i_Actuals!BT114,SUM(BT751:BT754))</f>
        <v/>
      </c>
      <c r="BU755" s="264">
        <f>IF(BU$7="Actual",i_Actuals!BU114,SUM(BU751:BU754))</f>
        <v/>
      </c>
      <c r="BV755" s="264">
        <f>IF(BV$7="Actual",i_Actuals!BV114,SUM(BV751:BV754))</f>
        <v/>
      </c>
      <c r="BW755" s="264">
        <f>IF(BW$7="Actual",i_Actuals!BW114,SUM(BW751:BW754))</f>
        <v/>
      </c>
      <c r="BX755" s="264">
        <f>IF(BX$7="Actual",i_Actuals!BX114,SUM(BX751:BX754))</f>
        <v/>
      </c>
      <c r="BY755" s="264">
        <f>IF(BY$7="Actual",i_Actuals!BY114,SUM(BY751:BY754))</f>
        <v/>
      </c>
      <c r="BZ755" s="264">
        <f>IF(BZ$7="Actual",i_Actuals!BZ114,SUM(BZ751:BZ754))</f>
        <v/>
      </c>
      <c r="CA755" s="264">
        <f>IF(CA$7="Actual",i_Actuals!CA114,SUM(CA751:CA754))</f>
        <v/>
      </c>
    </row>
    <row r="756" ht="12" customHeight="1" s="227">
      <c r="A756" s="244" t="n"/>
      <c r="B756" s="244" t="n"/>
      <c r="C756" s="244" t="n"/>
      <c r="K756" s="6" t="n"/>
    </row>
    <row r="757" ht="12" customFormat="1" customHeight="1" s="8">
      <c r="A757" s="244" t="n"/>
      <c r="B757" s="244">
        <f>SUM(L757:CA757)</f>
        <v/>
      </c>
      <c r="D757" s="4" t="n"/>
      <c r="E757" s="4" t="n"/>
      <c r="F757" s="4" t="n"/>
      <c r="G757" s="4" t="n"/>
      <c r="H757" s="0" t="inlineStr">
        <is>
          <t>Signage Check</t>
        </is>
      </c>
      <c r="I757" s="4" t="n"/>
      <c r="J757" s="4" t="n"/>
      <c r="K757" s="6" t="n"/>
      <c r="L757" s="4" t="n"/>
      <c r="M757" s="244">
        <f>IF(M$7&lt;&gt;"",IF(ROUND(M755,0)&lt;0,1,0),"")</f>
        <v/>
      </c>
      <c r="N757" s="244">
        <f>IF(N$7&lt;&gt;"",IF(ROUND(N755,0)&lt;0,1,0),"")</f>
        <v/>
      </c>
      <c r="O757" s="244">
        <f>IF(O$7&lt;&gt;"",IF(ROUND(O755,0)&lt;0,1,0),"")</f>
        <v/>
      </c>
      <c r="P757" s="244">
        <f>IF(P$7&lt;&gt;"",IF(ROUND(P755,0)&lt;0,1,0),"")</f>
        <v/>
      </c>
      <c r="Q757" s="244">
        <f>IF(Q$7&lt;&gt;"",IF(ROUND(Q755,0)&lt;0,1,0),"")</f>
        <v/>
      </c>
      <c r="R757" s="244" t="n"/>
      <c r="S757" s="244" t="n"/>
      <c r="T757" s="244">
        <f>IF(T$7&lt;&gt;"",IF(ROUND(T755,0)&lt;0,1,0),"")</f>
        <v/>
      </c>
      <c r="U757" s="244">
        <f>IF(U$7&lt;&gt;"",IF(ROUND(U755,0)&lt;0,1,0),"")</f>
        <v/>
      </c>
      <c r="V757" s="244">
        <f>IF(V$7&lt;&gt;"",IF(ROUND(V755,0)&lt;0,1,0),"")</f>
        <v/>
      </c>
      <c r="W757" s="244">
        <f>IF(W$7&lt;&gt;"",IF(ROUND(W755,0)&lt;0,1,0),"")</f>
        <v/>
      </c>
      <c r="X757" s="244">
        <f>IF(X$7&lt;&gt;"",IF(ROUND(X755,0)&lt;0,1,0),"")</f>
        <v/>
      </c>
      <c r="Y757" s="244">
        <f>IF(Y$7&lt;&gt;"",IF(ROUND(Y755,0)&lt;0,1,0),"")</f>
        <v/>
      </c>
      <c r="Z757" s="244">
        <f>IF(Z$7&lt;&gt;"",IF(ROUND(Z755,0)&lt;0,1,0),"")</f>
        <v/>
      </c>
      <c r="AA757" s="244">
        <f>IF(AA$7&lt;&gt;"",IF(ROUND(AA755,0)&lt;0,1,0),"")</f>
        <v/>
      </c>
      <c r="AB757" s="244">
        <f>IF(AB$7&lt;&gt;"",IF(ROUND(AB755,0)&lt;0,1,0),"")</f>
        <v/>
      </c>
      <c r="AC757" s="244">
        <f>IF(AC$7&lt;&gt;"",IF(ROUND(AC755,0)&lt;0,1,0),"")</f>
        <v/>
      </c>
      <c r="AD757" s="244">
        <f>IF(AD$7&lt;&gt;"",IF(ROUND(AD755,0)&lt;0,1,0),"")</f>
        <v/>
      </c>
      <c r="AE757" s="244">
        <f>IF(AE$7&lt;&gt;"",IF(ROUND(AE755,0)&lt;0,1,0),"")</f>
        <v/>
      </c>
      <c r="AF757" s="244">
        <f>IF(AF$7&lt;&gt;"",IF(ROUND(AF755,0)&lt;0,1,0),"")</f>
        <v/>
      </c>
      <c r="AG757" s="244">
        <f>IF(AG$7&lt;&gt;"",IF(ROUND(AG755,0)&lt;0,1,0),"")</f>
        <v/>
      </c>
      <c r="AH757" s="244">
        <f>IF(AH$7&lt;&gt;"",IF(ROUND(AH755,0)&lt;0,1,0),"")</f>
        <v/>
      </c>
      <c r="AI757" s="244">
        <f>IF(AI$7&lt;&gt;"",IF(ROUND(AI755,0)&lt;0,1,0),"")</f>
        <v/>
      </c>
      <c r="AJ757" s="244">
        <f>IF(AJ$7&lt;&gt;"",IF(ROUND(AJ755,0)&lt;0,1,0),"")</f>
        <v/>
      </c>
      <c r="AK757" s="244">
        <f>IF(AK$7&lt;&gt;"",IF(ROUND(AK755,0)&lt;0,1,0),"")</f>
        <v/>
      </c>
      <c r="AL757" s="244">
        <f>IF(AL$7&lt;&gt;"",IF(ROUND(AL755,0)&lt;0,1,0),"")</f>
        <v/>
      </c>
      <c r="AM757" s="244">
        <f>IF(AM$7&lt;&gt;"",IF(ROUND(AM755,0)&lt;0,1,0),"")</f>
        <v/>
      </c>
      <c r="AN757" s="244">
        <f>IF(AN$7&lt;&gt;"",IF(ROUND(AN755,0)&lt;0,1,0),"")</f>
        <v/>
      </c>
      <c r="AO757" s="244">
        <f>IF(AO$7&lt;&gt;"",IF(ROUND(AO755,0)&lt;0,1,0),"")</f>
        <v/>
      </c>
      <c r="AP757" s="244">
        <f>IF(AP$7&lt;&gt;"",IF(ROUND(AP755,0)&lt;0,1,0),"")</f>
        <v/>
      </c>
      <c r="AQ757" s="244">
        <f>IF(AQ$7&lt;&gt;"",IF(ROUND(AQ755,0)&lt;0,1,0),"")</f>
        <v/>
      </c>
      <c r="AR757" s="244">
        <f>IF(AR$7&lt;&gt;"",IF(ROUND(AR755,0)&lt;0,1,0),"")</f>
        <v/>
      </c>
      <c r="AS757" s="244">
        <f>IF(AS$7&lt;&gt;"",IF(ROUND(AS755,0)&lt;0,1,0),"")</f>
        <v/>
      </c>
      <c r="AT757" s="244">
        <f>IF(AT$7&lt;&gt;"",IF(ROUND(AT755,0)&lt;0,1,0),"")</f>
        <v/>
      </c>
      <c r="AU757" s="244">
        <f>IF(AU$7&lt;&gt;"",IF(ROUND(AU755,0)&lt;0,1,0),"")</f>
        <v/>
      </c>
      <c r="AV757" s="244">
        <f>IF(AV$7&lt;&gt;"",IF(ROUND(AV755,0)&lt;0,1,0),"")</f>
        <v/>
      </c>
      <c r="AW757" s="244">
        <f>IF(AW$7&lt;&gt;"",IF(ROUND(AW755,0)&lt;0,1,0),"")</f>
        <v/>
      </c>
      <c r="AX757" s="244">
        <f>IF(AX$7&lt;&gt;"",IF(ROUND(AX755,0)&lt;0,1,0),"")</f>
        <v/>
      </c>
      <c r="AY757" s="244">
        <f>IF(AY$7&lt;&gt;"",IF(ROUND(AY755,0)&lt;0,1,0),"")</f>
        <v/>
      </c>
      <c r="AZ757" s="244">
        <f>IF(AZ$7&lt;&gt;"",IF(ROUND(AZ755,0)&lt;0,1,0),"")</f>
        <v/>
      </c>
      <c r="BA757" s="244">
        <f>IF(BA$7&lt;&gt;"",IF(ROUND(BA755,0)&lt;0,1,0),"")</f>
        <v/>
      </c>
      <c r="BB757" s="244">
        <f>IF(BB$7&lt;&gt;"",IF(ROUND(BB755,0)&lt;0,1,0),"")</f>
        <v/>
      </c>
      <c r="BC757" s="244">
        <f>IF(BC$7&lt;&gt;"",IF(ROUND(BC755,0)&lt;0,1,0),"")</f>
        <v/>
      </c>
      <c r="BD757" s="244">
        <f>IF(BD$7&lt;&gt;"",IF(ROUND(BD755,0)&lt;0,1,0),"")</f>
        <v/>
      </c>
      <c r="BE757" s="244">
        <f>IF(BE$7&lt;&gt;"",IF(ROUND(BE755,0)&lt;0,1,0),"")</f>
        <v/>
      </c>
      <c r="BF757" s="244">
        <f>IF(BF$7&lt;&gt;"",IF(ROUND(BF755,0)&lt;0,1,0),"")</f>
        <v/>
      </c>
      <c r="BG757" s="244">
        <f>IF(BG$7&lt;&gt;"",IF(ROUND(BG755,0)&lt;0,1,0),"")</f>
        <v/>
      </c>
      <c r="BH757" s="244">
        <f>IF(BH$7&lt;&gt;"",IF(ROUND(BH755,0)&lt;0,1,0),"")</f>
        <v/>
      </c>
      <c r="BI757" s="244">
        <f>IF(BI$7&lt;&gt;"",IF(ROUND(BI755,0)&lt;0,1,0),"")</f>
        <v/>
      </c>
      <c r="BJ757" s="244">
        <f>IF(BJ$7&lt;&gt;"",IF(ROUND(BJ755,0)&lt;0,1,0),"")</f>
        <v/>
      </c>
      <c r="BK757" s="244">
        <f>IF(BK$7&lt;&gt;"",IF(ROUND(BK755,0)&lt;0,1,0),"")</f>
        <v/>
      </c>
      <c r="BL757" s="244">
        <f>IF(BL$7&lt;&gt;"",IF(ROUND(BL755,0)&lt;0,1,0),"")</f>
        <v/>
      </c>
      <c r="BM757" s="244">
        <f>IF(BM$7&lt;&gt;"",IF(ROUND(BM755,0)&lt;0,1,0),"")</f>
        <v/>
      </c>
      <c r="BN757" s="244">
        <f>IF(BN$7&lt;&gt;"",IF(ROUND(BN755,0)&lt;0,1,0),"")</f>
        <v/>
      </c>
      <c r="BO757" s="244">
        <f>IF(BO$7&lt;&gt;"",IF(ROUND(BO755,0)&lt;0,1,0),"")</f>
        <v/>
      </c>
      <c r="BP757" s="244">
        <f>IF(BP$7&lt;&gt;"",IF(ROUND(BP755,0)&lt;0,1,0),"")</f>
        <v/>
      </c>
      <c r="BQ757" s="244">
        <f>IF(BQ$7&lt;&gt;"",IF(ROUND(BQ755,0)&lt;0,1,0),"")</f>
        <v/>
      </c>
      <c r="BR757" s="244">
        <f>IF(BR$7&lt;&gt;"",IF(ROUND(BR755,0)&lt;0,1,0),"")</f>
        <v/>
      </c>
      <c r="BS757" s="244">
        <f>IF(BS$7&lt;&gt;"",IF(ROUND(BS755,0)&lt;0,1,0),"")</f>
        <v/>
      </c>
      <c r="BT757" s="244">
        <f>IF(BT$7&lt;&gt;"",IF(ROUND(BT755,0)&lt;0,1,0),"")</f>
        <v/>
      </c>
      <c r="BU757" s="244">
        <f>IF(BU$7&lt;&gt;"",IF(ROUND(BU755,0)&lt;0,1,0),"")</f>
        <v/>
      </c>
      <c r="BV757" s="244">
        <f>IF(BV$7&lt;&gt;"",IF(ROUND(BV755,0)&lt;0,1,0),"")</f>
        <v/>
      </c>
      <c r="BW757" s="244">
        <f>IF(BW$7&lt;&gt;"",IF(ROUND(BW755,0)&lt;0,1,0),"")</f>
        <v/>
      </c>
      <c r="BX757" s="244">
        <f>IF(BX$7&lt;&gt;"",IF(ROUND(BX755,0)&lt;0,1,0),"")</f>
        <v/>
      </c>
      <c r="BY757" s="244">
        <f>IF(BY$7&lt;&gt;"",IF(ROUND(BY755,0)&lt;0,1,0),"")</f>
        <v/>
      </c>
      <c r="BZ757" s="244">
        <f>IF(BZ$7&lt;&gt;"",IF(ROUND(BZ755,0)&lt;0,1,0),"")</f>
        <v/>
      </c>
      <c r="CA757" s="244">
        <f>IF(CA$7&lt;&gt;"",IF(ROUND(CA755,0)&lt;0,1,0),"")</f>
        <v/>
      </c>
    </row>
    <row r="758" ht="12" customHeight="1" s="227">
      <c r="A758" s="244" t="n"/>
      <c r="B758" s="244" t="n"/>
      <c r="C758" s="244" t="n"/>
      <c r="K758" s="6" t="n"/>
    </row>
    <row r="759" ht="12" customHeight="1" s="227">
      <c r="A759" s="244" t="n"/>
      <c r="B759" s="244" t="n"/>
      <c r="C759" s="244" t="n"/>
      <c r="K759" s="6" t="n"/>
    </row>
    <row r="760" ht="12" customHeight="1" s="227">
      <c r="A760" s="244" t="n"/>
      <c r="B760" s="244" t="n"/>
      <c r="C760" s="244" t="n"/>
      <c r="G760" s="222">
        <f>i_Setup!U115</f>
        <v/>
      </c>
      <c r="K760" s="6" t="n"/>
    </row>
    <row r="761" ht="12" customHeight="1" s="227">
      <c r="A761" s="244" t="n"/>
      <c r="B761" s="244" t="n"/>
      <c r="C761" s="244" t="n"/>
      <c r="K761" s="6" t="n"/>
    </row>
    <row r="762" ht="12" customHeight="1" s="227">
      <c r="A762" s="244" t="n"/>
      <c r="B762" s="244" t="n"/>
      <c r="C762" s="244" t="n"/>
      <c r="H762" s="0" t="inlineStr">
        <is>
          <t>Useful Life - Opening Bal</t>
        </is>
      </c>
      <c r="I762" s="27" t="inlineStr">
        <is>
          <t>Months</t>
        </is>
      </c>
      <c r="K762" s="259">
        <f>i_Actuals!K116*12</f>
        <v/>
      </c>
    </row>
    <row r="763" ht="12" customHeight="1" s="227">
      <c r="A763" s="244" t="n"/>
      <c r="B763" s="244" t="n"/>
      <c r="C763" s="244" t="n"/>
      <c r="H763" s="0" t="inlineStr">
        <is>
          <t>Useful Life - Additions</t>
        </is>
      </c>
      <c r="I763" s="27" t="inlineStr">
        <is>
          <t>Months</t>
        </is>
      </c>
      <c r="K763" s="259">
        <f>i_Assumptions!K647*12</f>
        <v/>
      </c>
    </row>
    <row r="764" ht="12" customHeight="1" s="227">
      <c r="A764" s="244" t="n"/>
      <c r="B764" s="244" t="n"/>
      <c r="C764" s="244" t="n"/>
      <c r="H764" s="0" t="n"/>
      <c r="I764" s="27" t="n"/>
      <c r="K764" s="6" t="n"/>
    </row>
    <row r="765" ht="12" customHeight="1" s="227">
      <c r="A765" s="244" t="n"/>
      <c r="B765" s="244" t="n"/>
      <c r="C765" s="244" t="n"/>
      <c r="H765" s="0" t="inlineStr">
        <is>
          <t>Opening Balance</t>
        </is>
      </c>
      <c r="I765" s="27">
        <f>i_Setup!$M$16</f>
        <v/>
      </c>
      <c r="K765" s="6" t="n"/>
      <c r="M765" s="245">
        <f>SUMIF($T$1:$CA$1,M$1,$T765:$CA765)</f>
        <v/>
      </c>
      <c r="N765" s="245">
        <f>SUMIF($T$1:$CA$1,N$1,$T765:$CA765)</f>
        <v/>
      </c>
      <c r="O765" s="245">
        <f>SUMIF($T$1:$CA$1,O$1,$T765:$CA765)</f>
        <v/>
      </c>
      <c r="P765" s="245">
        <f>SUMIF($T$1:$CA$1,P$1,$T765:$CA765)</f>
        <v/>
      </c>
      <c r="Q765" s="245">
        <f>SUMIF($T$1:$CA$1,Q$1,$T765:$CA765)</f>
        <v/>
      </c>
      <c r="T765" s="245">
        <f>IF(T$2=i_Setup!$U$26,i_Actuals!T116,0)</f>
        <v/>
      </c>
      <c r="U765" s="245">
        <f>IF(U$2=i_Setup!$U$26,i_Actuals!U116,0)</f>
        <v/>
      </c>
      <c r="V765" s="245">
        <f>IF(V$2=i_Setup!$U$26,i_Actuals!V116,0)</f>
        <v/>
      </c>
      <c r="W765" s="245">
        <f>IF(W$2=i_Setup!$U$26,i_Actuals!W116,0)</f>
        <v/>
      </c>
      <c r="X765" s="245">
        <f>IF(X$2=i_Setup!$U$26,i_Actuals!X116,0)</f>
        <v/>
      </c>
      <c r="Y765" s="245">
        <f>IF(Y$2=i_Setup!$U$26,i_Actuals!Y116,0)</f>
        <v/>
      </c>
      <c r="Z765" s="245">
        <f>IF(Z$2=i_Setup!$U$26,i_Actuals!Z116,0)</f>
        <v/>
      </c>
      <c r="AA765" s="245">
        <f>IF(AA$2=i_Setup!$U$26,i_Actuals!AA116,0)</f>
        <v/>
      </c>
      <c r="AB765" s="245">
        <f>IF(AB$2=i_Setup!$U$26,i_Actuals!AB116,0)</f>
        <v/>
      </c>
      <c r="AC765" s="245">
        <f>IF(AC$2=i_Setup!$U$26,i_Actuals!AC116,0)</f>
        <v/>
      </c>
      <c r="AD765" s="245">
        <f>IF(AD$2=i_Setup!$U$26,i_Actuals!AD116,0)</f>
        <v/>
      </c>
      <c r="AE765" s="245">
        <f>IF(AE$2=i_Setup!$U$26,i_Actuals!AE116,0)</f>
        <v/>
      </c>
      <c r="AF765" s="245">
        <f>IF(AF$2=i_Setup!$U$26,i_Actuals!AF116,0)</f>
        <v/>
      </c>
      <c r="AG765" s="245">
        <f>IF(AG$2=i_Setup!$U$26,i_Actuals!AG116,0)</f>
        <v/>
      </c>
      <c r="AH765" s="245">
        <f>IF(AH$2=i_Setup!$U$26,i_Actuals!AH116,0)</f>
        <v/>
      </c>
      <c r="AI765" s="245">
        <f>IF(AI$2=i_Setup!$U$26,i_Actuals!AI116,0)</f>
        <v/>
      </c>
      <c r="AJ765" s="245">
        <f>IF(AJ$2=i_Setup!$U$26,i_Actuals!AJ116,0)</f>
        <v/>
      </c>
      <c r="AK765" s="245">
        <f>IF(AK$2=i_Setup!$U$26,i_Actuals!AK116,0)</f>
        <v/>
      </c>
      <c r="AL765" s="245">
        <f>IF(AL$2=i_Setup!$U$26,i_Actuals!AL116,0)</f>
        <v/>
      </c>
      <c r="AM765" s="245">
        <f>IF(AM$2=i_Setup!$U$26,i_Actuals!AM116,0)</f>
        <v/>
      </c>
      <c r="AN765" s="245">
        <f>IF(AN$2=i_Setup!$U$26,i_Actuals!AN116,0)</f>
        <v/>
      </c>
      <c r="AO765" s="245">
        <f>IF(AO$2=i_Setup!$U$26,i_Actuals!AO116,0)</f>
        <v/>
      </c>
      <c r="AP765" s="245">
        <f>IF(AP$2=i_Setup!$U$26,i_Actuals!AP116,0)</f>
        <v/>
      </c>
      <c r="AQ765" s="245">
        <f>IF(AQ$2=i_Setup!$U$26,i_Actuals!AQ116,0)</f>
        <v/>
      </c>
      <c r="AR765" s="245">
        <f>IF(AR$2=i_Setup!$U$26,i_Actuals!AR116,0)</f>
        <v/>
      </c>
      <c r="AS765" s="245">
        <f>IF(AS$2=i_Setup!$U$26,i_Actuals!AS116,0)</f>
        <v/>
      </c>
      <c r="AT765" s="245">
        <f>IF(AT$2=i_Setup!$U$26,i_Actuals!AT116,0)</f>
        <v/>
      </c>
      <c r="AU765" s="245">
        <f>IF(AU$2=i_Setup!$U$26,i_Actuals!AU116,0)</f>
        <v/>
      </c>
      <c r="AV765" s="245">
        <f>IF(AV$2=i_Setup!$U$26,i_Actuals!AV116,0)</f>
        <v/>
      </c>
      <c r="AW765" s="245">
        <f>IF(AW$2=i_Setup!$U$26,i_Actuals!AW116,0)</f>
        <v/>
      </c>
      <c r="AX765" s="245">
        <f>IF(AX$2=i_Setup!$U$26,i_Actuals!AX116,0)</f>
        <v/>
      </c>
      <c r="AY765" s="245">
        <f>IF(AY$2=i_Setup!$U$26,i_Actuals!AY116,0)</f>
        <v/>
      </c>
      <c r="AZ765" s="245">
        <f>IF(AZ$2=i_Setup!$U$26,i_Actuals!AZ116,0)</f>
        <v/>
      </c>
      <c r="BA765" s="245">
        <f>IF(BA$2=i_Setup!$U$26,i_Actuals!BA116,0)</f>
        <v/>
      </c>
      <c r="BB765" s="245">
        <f>IF(BB$2=i_Setup!$U$26,i_Actuals!BB116,0)</f>
        <v/>
      </c>
      <c r="BC765" s="245">
        <f>IF(BC$2=i_Setup!$U$26,i_Actuals!BC116,0)</f>
        <v/>
      </c>
      <c r="BD765" s="245">
        <f>IF(BD$2=i_Setup!$U$26,i_Actuals!BD116,0)</f>
        <v/>
      </c>
      <c r="BE765" s="245">
        <f>IF(BE$2=i_Setup!$U$26,i_Actuals!BE116,0)</f>
        <v/>
      </c>
      <c r="BF765" s="245">
        <f>IF(BF$2=i_Setup!$U$26,i_Actuals!BF116,0)</f>
        <v/>
      </c>
      <c r="BG765" s="245">
        <f>IF(BG$2=i_Setup!$U$26,i_Actuals!BG116,0)</f>
        <v/>
      </c>
      <c r="BH765" s="245">
        <f>IF(BH$2=i_Setup!$U$26,i_Actuals!BH116,0)</f>
        <v/>
      </c>
      <c r="BI765" s="245">
        <f>IF(BI$2=i_Setup!$U$26,i_Actuals!BI116,0)</f>
        <v/>
      </c>
      <c r="BJ765" s="245">
        <f>IF(BJ$2=i_Setup!$U$26,i_Actuals!BJ116,0)</f>
        <v/>
      </c>
      <c r="BK765" s="245">
        <f>IF(BK$2=i_Setup!$U$26,i_Actuals!BK116,0)</f>
        <v/>
      </c>
      <c r="BL765" s="245">
        <f>IF(BL$2=i_Setup!$U$26,i_Actuals!BL116,0)</f>
        <v/>
      </c>
      <c r="BM765" s="245">
        <f>IF(BM$2=i_Setup!$U$26,i_Actuals!BM116,0)</f>
        <v/>
      </c>
      <c r="BN765" s="245">
        <f>IF(BN$2=i_Setup!$U$26,i_Actuals!BN116,0)</f>
        <v/>
      </c>
      <c r="BO765" s="245">
        <f>IF(BO$2=i_Setup!$U$26,i_Actuals!BO116,0)</f>
        <v/>
      </c>
      <c r="BP765" s="245">
        <f>IF(BP$2=i_Setup!$U$26,i_Actuals!BP116,0)</f>
        <v/>
      </c>
      <c r="BQ765" s="245">
        <f>IF(BQ$2=i_Setup!$U$26,i_Actuals!BQ116,0)</f>
        <v/>
      </c>
      <c r="BR765" s="245">
        <f>IF(BR$2=i_Setup!$U$26,i_Actuals!BR116,0)</f>
        <v/>
      </c>
      <c r="BS765" s="245">
        <f>IF(BS$2=i_Setup!$U$26,i_Actuals!BS116,0)</f>
        <v/>
      </c>
      <c r="BT765" s="245">
        <f>IF(BT$2=i_Setup!$U$26,i_Actuals!BT116,0)</f>
        <v/>
      </c>
      <c r="BU765" s="245">
        <f>IF(BU$2=i_Setup!$U$26,i_Actuals!BU116,0)</f>
        <v/>
      </c>
      <c r="BV765" s="245">
        <f>IF(BV$2=i_Setup!$U$26,i_Actuals!BV116,0)</f>
        <v/>
      </c>
      <c r="BW765" s="245">
        <f>IF(BW$2=i_Setup!$U$26,i_Actuals!BW116,0)</f>
        <v/>
      </c>
      <c r="BX765" s="245">
        <f>IF(BX$2=i_Setup!$U$26,i_Actuals!BX116,0)</f>
        <v/>
      </c>
      <c r="BY765" s="245">
        <f>IF(BY$2=i_Setup!$U$26,i_Actuals!BY116,0)</f>
        <v/>
      </c>
      <c r="BZ765" s="245">
        <f>IF(BZ$2=i_Setup!$U$26,i_Actuals!BZ116,0)</f>
        <v/>
      </c>
      <c r="CA765" s="245">
        <f>IF(CA$2=i_Setup!$U$26,i_Actuals!CA116,0)</f>
        <v/>
      </c>
    </row>
    <row r="766" ht="12" customHeight="1" s="227">
      <c r="A766" s="244" t="n"/>
      <c r="B766" s="244" t="n"/>
      <c r="C766" s="244" t="n"/>
      <c r="H766" s="0" t="n"/>
      <c r="I766" s="27" t="n"/>
      <c r="K766" s="6" t="n"/>
    </row>
    <row r="767" ht="12" customHeight="1" s="227">
      <c r="A767" s="244" t="n"/>
      <c r="B767" s="244" t="n"/>
      <c r="C767" s="244" t="n"/>
      <c r="H767" s="0" t="inlineStr">
        <is>
          <t>Opening Balance</t>
        </is>
      </c>
      <c r="I767" s="27">
        <f>i_Setup!$M$16</f>
        <v/>
      </c>
      <c r="K767" s="6" t="n"/>
      <c r="M767" s="245">
        <f>SUMIF($T$1:$CA$1,M$1,$T767:$CA767)</f>
        <v/>
      </c>
      <c r="N767" s="245">
        <f>SUMIF($T$1:$CA$1,N$1,$T767:$CA767)</f>
        <v/>
      </c>
      <c r="O767" s="245">
        <f>SUMIF($T$1:$CA$1,O$1,$T767:$CA767)</f>
        <v/>
      </c>
      <c r="P767" s="245">
        <f>SUMIF($T$1:$CA$1,P$1,$T767:$CA767)</f>
        <v/>
      </c>
      <c r="Q767" s="245">
        <f>SUMIF($T$1:$CA$1,Q$1,$T767:$CA767)</f>
        <v/>
      </c>
      <c r="T767" s="245">
        <f>S771</f>
        <v/>
      </c>
      <c r="U767" s="245">
        <f>T771</f>
        <v/>
      </c>
      <c r="V767" s="245">
        <f>U771</f>
        <v/>
      </c>
      <c r="W767" s="245">
        <f>V771</f>
        <v/>
      </c>
      <c r="X767" s="245">
        <f>W771</f>
        <v/>
      </c>
      <c r="Y767" s="245">
        <f>X771</f>
        <v/>
      </c>
      <c r="Z767" s="245">
        <f>Y771</f>
        <v/>
      </c>
      <c r="AA767" s="245">
        <f>Z771</f>
        <v/>
      </c>
      <c r="AB767" s="245">
        <f>AA771</f>
        <v/>
      </c>
      <c r="AC767" s="245">
        <f>AB771</f>
        <v/>
      </c>
      <c r="AD767" s="245">
        <f>AC771</f>
        <v/>
      </c>
      <c r="AE767" s="245">
        <f>AD771</f>
        <v/>
      </c>
      <c r="AF767" s="245">
        <f>AE771</f>
        <v/>
      </c>
      <c r="AG767" s="245">
        <f>AF771</f>
        <v/>
      </c>
      <c r="AH767" s="245">
        <f>AG771</f>
        <v/>
      </c>
      <c r="AI767" s="245">
        <f>AH771</f>
        <v/>
      </c>
      <c r="AJ767" s="245">
        <f>AI771</f>
        <v/>
      </c>
      <c r="AK767" s="245">
        <f>AJ771</f>
        <v/>
      </c>
      <c r="AL767" s="245">
        <f>AK771</f>
        <v/>
      </c>
      <c r="AM767" s="245">
        <f>AL771</f>
        <v/>
      </c>
      <c r="AN767" s="245">
        <f>AM771</f>
        <v/>
      </c>
      <c r="AO767" s="245">
        <f>AN771</f>
        <v/>
      </c>
      <c r="AP767" s="245">
        <f>AO771</f>
        <v/>
      </c>
      <c r="AQ767" s="245">
        <f>AP771</f>
        <v/>
      </c>
      <c r="AR767" s="245">
        <f>AQ771</f>
        <v/>
      </c>
      <c r="AS767" s="245">
        <f>AR771</f>
        <v/>
      </c>
      <c r="AT767" s="245">
        <f>AS771</f>
        <v/>
      </c>
      <c r="AU767" s="245">
        <f>AT771</f>
        <v/>
      </c>
      <c r="AV767" s="245">
        <f>AU771</f>
        <v/>
      </c>
      <c r="AW767" s="245">
        <f>AV771</f>
        <v/>
      </c>
      <c r="AX767" s="245">
        <f>AW771</f>
        <v/>
      </c>
      <c r="AY767" s="245">
        <f>AX771</f>
        <v/>
      </c>
      <c r="AZ767" s="245">
        <f>AY771</f>
        <v/>
      </c>
      <c r="BA767" s="245">
        <f>AZ771</f>
        <v/>
      </c>
      <c r="BB767" s="245">
        <f>BA771</f>
        <v/>
      </c>
      <c r="BC767" s="245">
        <f>BB771</f>
        <v/>
      </c>
      <c r="BD767" s="245">
        <f>BC771</f>
        <v/>
      </c>
      <c r="BE767" s="245">
        <f>BD771</f>
        <v/>
      </c>
      <c r="BF767" s="245">
        <f>BE771</f>
        <v/>
      </c>
      <c r="BG767" s="245">
        <f>BF771</f>
        <v/>
      </c>
      <c r="BH767" s="245">
        <f>BG771</f>
        <v/>
      </c>
      <c r="BI767" s="245">
        <f>BH771</f>
        <v/>
      </c>
      <c r="BJ767" s="245">
        <f>BI771</f>
        <v/>
      </c>
      <c r="BK767" s="245">
        <f>BJ771</f>
        <v/>
      </c>
      <c r="BL767" s="245">
        <f>BK771</f>
        <v/>
      </c>
      <c r="BM767" s="245">
        <f>BL771</f>
        <v/>
      </c>
      <c r="BN767" s="245">
        <f>BM771</f>
        <v/>
      </c>
      <c r="BO767" s="245">
        <f>BN771</f>
        <v/>
      </c>
      <c r="BP767" s="245">
        <f>BO771</f>
        <v/>
      </c>
      <c r="BQ767" s="245">
        <f>BP771</f>
        <v/>
      </c>
      <c r="BR767" s="245">
        <f>BQ771</f>
        <v/>
      </c>
      <c r="BS767" s="245">
        <f>BR771</f>
        <v/>
      </c>
      <c r="BT767" s="245">
        <f>BS771</f>
        <v/>
      </c>
      <c r="BU767" s="245">
        <f>BT771</f>
        <v/>
      </c>
      <c r="BV767" s="245">
        <f>BU771</f>
        <v/>
      </c>
      <c r="BW767" s="245">
        <f>BV771</f>
        <v/>
      </c>
      <c r="BX767" s="245">
        <f>BW771</f>
        <v/>
      </c>
      <c r="BY767" s="245">
        <f>BX771</f>
        <v/>
      </c>
      <c r="BZ767" s="245">
        <f>BY771</f>
        <v/>
      </c>
      <c r="CA767" s="245">
        <f>BZ771</f>
        <v/>
      </c>
    </row>
    <row r="768" ht="12" customHeight="1" s="227">
      <c r="A768" s="244" t="n"/>
      <c r="B768" s="244" t="n"/>
      <c r="C768" s="244" t="n"/>
      <c r="H768" s="0" t="inlineStr">
        <is>
          <t>Addition Amounts</t>
        </is>
      </c>
      <c r="I768" s="27">
        <f>i_Setup!$M$16</f>
        <v/>
      </c>
      <c r="K768" s="6" t="n"/>
      <c r="M768" s="245">
        <f>SUMIF($T$4:$CA$4,M$4,$T768:$CA768)</f>
        <v/>
      </c>
      <c r="N768" s="245">
        <f>SUMIF($T$4:$CA$4,N$4,$T768:$CA768)</f>
        <v/>
      </c>
      <c r="O768" s="245">
        <f>SUMIF($T$4:$CA$4,O$4,$T768:$CA768)</f>
        <v/>
      </c>
      <c r="P768" s="245">
        <f>SUMIF($T$4:$CA$4,P$4,$T768:$CA768)</f>
        <v/>
      </c>
      <c r="Q768" s="245">
        <f>SUMIF($T$4:$CA$4,Q$4,$T768:$CA768)</f>
        <v/>
      </c>
      <c r="T768" s="257">
        <f>IF(T$7="Actual","",T656)</f>
        <v/>
      </c>
      <c r="U768" s="257">
        <f>IF(U$7="Actual","",U656)</f>
        <v/>
      </c>
      <c r="V768" s="257">
        <f>IF(V$7="Actual","",V656)</f>
        <v/>
      </c>
      <c r="W768" s="257">
        <f>IF(W$7="Actual","",W656)</f>
        <v/>
      </c>
      <c r="X768" s="257">
        <f>IF(X$7="Actual","",X656)</f>
        <v/>
      </c>
      <c r="Y768" s="257">
        <f>IF(Y$7="Actual","",Y656)</f>
        <v/>
      </c>
      <c r="Z768" s="257">
        <f>IF(Z$7="Actual","",Z656)</f>
        <v/>
      </c>
      <c r="AA768" s="257">
        <f>IF(AA$7="Actual","",AA656)</f>
        <v/>
      </c>
      <c r="AB768" s="257">
        <f>IF(AB$7="Actual","",AB656)</f>
        <v/>
      </c>
      <c r="AC768" s="257">
        <f>IF(AC$7="Actual","",AC656)</f>
        <v/>
      </c>
      <c r="AD768" s="257">
        <f>IF(AD$7="Actual","",AD656)</f>
        <v/>
      </c>
      <c r="AE768" s="257">
        <f>IF(AE$7="Actual","",AE656)</f>
        <v/>
      </c>
      <c r="AF768" s="257">
        <f>IF(AF$7="Actual","",AF656)</f>
        <v/>
      </c>
      <c r="AG768" s="257">
        <f>IF(AG$7="Actual","",AG656)</f>
        <v/>
      </c>
      <c r="AH768" s="257">
        <f>IF(AH$7="Actual","",AH656)</f>
        <v/>
      </c>
      <c r="AI768" s="257">
        <f>IF(AI$7="Actual","",AI656)</f>
        <v/>
      </c>
      <c r="AJ768" s="257">
        <f>IF(AJ$7="Actual","",AJ656)</f>
        <v/>
      </c>
      <c r="AK768" s="257">
        <f>IF(AK$7="Actual","",AK656)</f>
        <v/>
      </c>
      <c r="AL768" s="257">
        <f>IF(AL$7="Actual","",AL656)</f>
        <v/>
      </c>
      <c r="AM768" s="257">
        <f>IF(AM$7="Actual","",AM656)</f>
        <v/>
      </c>
      <c r="AN768" s="257">
        <f>IF(AN$7="Actual","",AN656)</f>
        <v/>
      </c>
      <c r="AO768" s="257">
        <f>IF(AO$7="Actual","",AO656)</f>
        <v/>
      </c>
      <c r="AP768" s="257">
        <f>IF(AP$7="Actual","",AP656)</f>
        <v/>
      </c>
      <c r="AQ768" s="257">
        <f>IF(AQ$7="Actual","",AQ656)</f>
        <v/>
      </c>
      <c r="AR768" s="257">
        <f>IF(AR$7="Actual","",AR656)</f>
        <v/>
      </c>
      <c r="AS768" s="257">
        <f>IF(AS$7="Actual","",AS656)</f>
        <v/>
      </c>
      <c r="AT768" s="257">
        <f>IF(AT$7="Actual","",AT656)</f>
        <v/>
      </c>
      <c r="AU768" s="257">
        <f>IF(AU$7="Actual","",AU656)</f>
        <v/>
      </c>
      <c r="AV768" s="257">
        <f>IF(AV$7="Actual","",AV656)</f>
        <v/>
      </c>
      <c r="AW768" s="257">
        <f>IF(AW$7="Actual","",AW656)</f>
        <v/>
      </c>
      <c r="AX768" s="257">
        <f>IF(AX$7="Actual","",AX656)</f>
        <v/>
      </c>
      <c r="AY768" s="257">
        <f>IF(AY$7="Actual","",AY656)</f>
        <v/>
      </c>
      <c r="AZ768" s="257">
        <f>IF(AZ$7="Actual","",AZ656)</f>
        <v/>
      </c>
      <c r="BA768" s="257">
        <f>IF(BA$7="Actual","",BA656)</f>
        <v/>
      </c>
      <c r="BB768" s="257">
        <f>IF(BB$7="Actual","",BB656)</f>
        <v/>
      </c>
      <c r="BC768" s="257">
        <f>IF(BC$7="Actual","",BC656)</f>
        <v/>
      </c>
      <c r="BD768" s="257">
        <f>IF(BD$7="Actual","",BD656)</f>
        <v/>
      </c>
      <c r="BE768" s="257">
        <f>IF(BE$7="Actual","",BE656)</f>
        <v/>
      </c>
      <c r="BF768" s="257">
        <f>IF(BF$7="Actual","",BF656)</f>
        <v/>
      </c>
      <c r="BG768" s="257">
        <f>IF(BG$7="Actual","",BG656)</f>
        <v/>
      </c>
      <c r="BH768" s="257">
        <f>IF(BH$7="Actual","",BH656)</f>
        <v/>
      </c>
      <c r="BI768" s="257">
        <f>IF(BI$7="Actual","",BI656)</f>
        <v/>
      </c>
      <c r="BJ768" s="257">
        <f>IF(BJ$7="Actual","",BJ656)</f>
        <v/>
      </c>
      <c r="BK768" s="257">
        <f>IF(BK$7="Actual","",BK656)</f>
        <v/>
      </c>
      <c r="BL768" s="257">
        <f>IF(BL$7="Actual","",BL656)</f>
        <v/>
      </c>
      <c r="BM768" s="257">
        <f>IF(BM$7="Actual","",BM656)</f>
        <v/>
      </c>
      <c r="BN768" s="257">
        <f>IF(BN$7="Actual","",BN656)</f>
        <v/>
      </c>
      <c r="BO768" s="257">
        <f>IF(BO$7="Actual","",BO656)</f>
        <v/>
      </c>
      <c r="BP768" s="257">
        <f>IF(BP$7="Actual","",BP656)</f>
        <v/>
      </c>
      <c r="BQ768" s="257">
        <f>IF(BQ$7="Actual","",BQ656)</f>
        <v/>
      </c>
      <c r="BR768" s="257">
        <f>IF(BR$7="Actual","",BR656)</f>
        <v/>
      </c>
      <c r="BS768" s="257">
        <f>IF(BS$7="Actual","",BS656)</f>
        <v/>
      </c>
      <c r="BT768" s="257">
        <f>IF(BT$7="Actual","",BT656)</f>
        <v/>
      </c>
      <c r="BU768" s="257">
        <f>IF(BU$7="Actual","",BU656)</f>
        <v/>
      </c>
      <c r="BV768" s="257">
        <f>IF(BV$7="Actual","",BV656)</f>
        <v/>
      </c>
      <c r="BW768" s="257">
        <f>IF(BW$7="Actual","",BW656)</f>
        <v/>
      </c>
      <c r="BX768" s="257">
        <f>IF(BX$7="Actual","",BX656)</f>
        <v/>
      </c>
      <c r="BY768" s="257">
        <f>IF(BY$7="Actual","",BY656)</f>
        <v/>
      </c>
      <c r="BZ768" s="257">
        <f>IF(BZ$7="Actual","",BZ656)</f>
        <v/>
      </c>
      <c r="CA768" s="257">
        <f>IF(CA$7="Actual","",CA656)</f>
        <v/>
      </c>
    </row>
    <row r="769" ht="12" customHeight="1" s="227">
      <c r="A769" s="244" t="n"/>
      <c r="B769" s="244" t="n"/>
      <c r="C769" s="244" t="n"/>
      <c r="H769" s="0" t="inlineStr">
        <is>
          <t xml:space="preserve"> Depreciation - Opening Bal</t>
        </is>
      </c>
      <c r="I769" s="27">
        <f>i_Setup!$M$16</f>
        <v/>
      </c>
      <c r="K769" s="6" t="n"/>
      <c r="M769" s="245">
        <f>SUMIF($T$4:$CA$4,M$4,$T769:$CA769)</f>
        <v/>
      </c>
      <c r="N769" s="245">
        <f>SUMIF($T$4:$CA$4,N$4,$T769:$CA769)</f>
        <v/>
      </c>
      <c r="O769" s="245">
        <f>SUMIF($T$4:$CA$4,O$4,$T769:$CA769)</f>
        <v/>
      </c>
      <c r="P769" s="245">
        <f>SUMIF($T$4:$CA$4,P$4,$T769:$CA769)</f>
        <v/>
      </c>
      <c r="Q769" s="245">
        <f>SUMIF($T$4:$CA$4,Q$4,$T769:$CA769)</f>
        <v/>
      </c>
      <c r="T769" s="245">
        <f>IF(T$7="Actual","",IFERROR(-SUM(OFFSET(S765,0,0,1,-MIN(T$6,$K$762)))/$K$762,0))</f>
        <v/>
      </c>
      <c r="U769" s="245">
        <f>IF(U$7="Actual","",IFERROR(-SUM(OFFSET(T765,0,0,1,-MIN(U$6,$K$762)))/$K$762,0))</f>
        <v/>
      </c>
      <c r="V769" s="245">
        <f>IF(V$7="Actual","",IFERROR(-SUM(OFFSET(U765,0,0,1,-MIN(V$6,$K$762)))/$K$762,0))</f>
        <v/>
      </c>
      <c r="W769" s="245">
        <f>IF(W$7="Actual","",IFERROR(-SUM(OFFSET(V765,0,0,1,-MIN(W$6,$K$762)))/$K$762,0))</f>
        <v/>
      </c>
      <c r="X769" s="245">
        <f>IF(X$7="Actual","",IFERROR(-SUM(OFFSET(W765,0,0,1,-MIN(X$6,$K$762)))/$K$762,0))</f>
        <v/>
      </c>
      <c r="Y769" s="245">
        <f>IF(Y$7="Actual","",IFERROR(-SUM(OFFSET(X765,0,0,1,-MIN(Y$6,$K$762)))/$K$762,0))</f>
        <v/>
      </c>
      <c r="Z769" s="245">
        <f>IF(Z$7="Actual","",IFERROR(-SUM(OFFSET(Y765,0,0,1,-MIN(Z$6,$K$762)))/$K$762,0))</f>
        <v/>
      </c>
      <c r="AA769" s="245">
        <f>IF(AA$7="Actual","",IFERROR(-SUM(OFFSET(Z765,0,0,1,-MIN(AA$6,$K$762)))/$K$762,0))</f>
        <v/>
      </c>
      <c r="AB769" s="245">
        <f>IF(AB$7="Actual","",IFERROR(-SUM(OFFSET(AA765,0,0,1,-MIN(AB$6,$K$762)))/$K$762,0))</f>
        <v/>
      </c>
      <c r="AC769" s="245">
        <f>IF(AC$7="Actual","",IFERROR(-SUM(OFFSET(AB765,0,0,1,-MIN(AC$6,$K$762)))/$K$762,0))</f>
        <v/>
      </c>
      <c r="AD769" s="245">
        <f>IF(AD$7="Actual","",IFERROR(-SUM(OFFSET(AC765,0,0,1,-MIN(AD$6,$K$762)))/$K$762,0))</f>
        <v/>
      </c>
      <c r="AE769" s="245">
        <f>IF(AE$7="Actual","",IFERROR(-SUM(OFFSET(AD765,0,0,1,-MIN(AE$6,$K$762)))/$K$762,0))</f>
        <v/>
      </c>
      <c r="AF769" s="245">
        <f>IF(AF$7="Actual","",IFERROR(-SUM(OFFSET(AE765,0,0,1,-MIN(AF$6,$K$762)))/$K$762,0))</f>
        <v/>
      </c>
      <c r="AG769" s="245">
        <f>IF(AG$7="Actual","",IFERROR(-SUM(OFFSET(AF765,0,0,1,-MIN(AG$6,$K$762)))/$K$762,0))</f>
        <v/>
      </c>
      <c r="AH769" s="245">
        <f>IF(AH$7="Actual","",IFERROR(-SUM(OFFSET(AG765,0,0,1,-MIN(AH$6,$K$762)))/$K$762,0))</f>
        <v/>
      </c>
      <c r="AI769" s="245">
        <f>IF(AI$7="Actual","",IFERROR(-SUM(OFFSET(AH765,0,0,1,-MIN(AI$6,$K$762)))/$K$762,0))</f>
        <v/>
      </c>
      <c r="AJ769" s="245">
        <f>IF(AJ$7="Actual","",IFERROR(-SUM(OFFSET(AI765,0,0,1,-MIN(AJ$6,$K$762)))/$K$762,0))</f>
        <v/>
      </c>
      <c r="AK769" s="245">
        <f>IF(AK$7="Actual","",IFERROR(-SUM(OFFSET(AJ765,0,0,1,-MIN(AK$6,$K$762)))/$K$762,0))</f>
        <v/>
      </c>
      <c r="AL769" s="245">
        <f>IF(AL$7="Actual","",IFERROR(-SUM(OFFSET(AK765,0,0,1,-MIN(AL$6,$K$762)))/$K$762,0))</f>
        <v/>
      </c>
      <c r="AM769" s="245">
        <f>IF(AM$7="Actual","",IFERROR(-SUM(OFFSET(AL765,0,0,1,-MIN(AM$6,$K$762)))/$K$762,0))</f>
        <v/>
      </c>
      <c r="AN769" s="245">
        <f>IF(AN$7="Actual","",IFERROR(-SUM(OFFSET(AM765,0,0,1,-MIN(AN$6,$K$762)))/$K$762,0))</f>
        <v/>
      </c>
      <c r="AO769" s="245">
        <f>IF(AO$7="Actual","",IFERROR(-SUM(OFFSET(AN765,0,0,1,-MIN(AO$6,$K$762)))/$K$762,0))</f>
        <v/>
      </c>
      <c r="AP769" s="245">
        <f>IF(AP$7="Actual","",IFERROR(-SUM(OFFSET(AO765,0,0,1,-MIN(AP$6,$K$762)))/$K$762,0))</f>
        <v/>
      </c>
      <c r="AQ769" s="245">
        <f>IF(AQ$7="Actual","",IFERROR(-SUM(OFFSET(AP765,0,0,1,-MIN(AQ$6,$K$762)))/$K$762,0))</f>
        <v/>
      </c>
      <c r="AR769" s="245">
        <f>IF(AR$7="Actual","",IFERROR(-SUM(OFFSET(AQ765,0,0,1,-MIN(AR$6,$K$762)))/$K$762,0))</f>
        <v/>
      </c>
      <c r="AS769" s="245">
        <f>IF(AS$7="Actual","",IFERROR(-SUM(OFFSET(AR765,0,0,1,-MIN(AS$6,$K$762)))/$K$762,0))</f>
        <v/>
      </c>
      <c r="AT769" s="245">
        <f>IF(AT$7="Actual","",IFERROR(-SUM(OFFSET(AS765,0,0,1,-MIN(AT$6,$K$762)))/$K$762,0))</f>
        <v/>
      </c>
      <c r="AU769" s="245">
        <f>IF(AU$7="Actual","",IFERROR(-SUM(OFFSET(AT765,0,0,1,-MIN(AU$6,$K$762)))/$K$762,0))</f>
        <v/>
      </c>
      <c r="AV769" s="245">
        <f>IF(AV$7="Actual","",IFERROR(-SUM(OFFSET(AU765,0,0,1,-MIN(AV$6,$K$762)))/$K$762,0))</f>
        <v/>
      </c>
      <c r="AW769" s="245">
        <f>IF(AW$7="Actual","",IFERROR(-SUM(OFFSET(AV765,0,0,1,-MIN(AW$6,$K$762)))/$K$762,0))</f>
        <v/>
      </c>
      <c r="AX769" s="245">
        <f>IF(AX$7="Actual","",IFERROR(-SUM(OFFSET(AW765,0,0,1,-MIN(AX$6,$K$762)))/$K$762,0))</f>
        <v/>
      </c>
      <c r="AY769" s="245">
        <f>IF(AY$7="Actual","",IFERROR(-SUM(OFFSET(AX765,0,0,1,-MIN(AY$6,$K$762)))/$K$762,0))</f>
        <v/>
      </c>
      <c r="AZ769" s="245">
        <f>IF(AZ$7="Actual","",IFERROR(-SUM(OFFSET(AY765,0,0,1,-MIN(AZ$6,$K$762)))/$K$762,0))</f>
        <v/>
      </c>
      <c r="BA769" s="245">
        <f>IF(BA$7="Actual","",IFERROR(-SUM(OFFSET(AZ765,0,0,1,-MIN(BA$6,$K$762)))/$K$762,0))</f>
        <v/>
      </c>
      <c r="BB769" s="245">
        <f>IF(BB$7="Actual","",IFERROR(-SUM(OFFSET(BA765,0,0,1,-MIN(BB$6,$K$762)))/$K$762,0))</f>
        <v/>
      </c>
      <c r="BC769" s="245">
        <f>IF(BC$7="Actual","",IFERROR(-SUM(OFFSET(BB765,0,0,1,-MIN(BC$6,$K$762)))/$K$762,0))</f>
        <v/>
      </c>
      <c r="BD769" s="245">
        <f>IF(BD$7="Actual","",IFERROR(-SUM(OFFSET(BC765,0,0,1,-MIN(BD$6,$K$762)))/$K$762,0))</f>
        <v/>
      </c>
      <c r="BE769" s="245">
        <f>IF(BE$7="Actual","",IFERROR(-SUM(OFFSET(BD765,0,0,1,-MIN(BE$6,$K$762)))/$K$762,0))</f>
        <v/>
      </c>
      <c r="BF769" s="245">
        <f>IF(BF$7="Actual","",IFERROR(-SUM(OFFSET(BE765,0,0,1,-MIN(BF$6,$K$762)))/$K$762,0))</f>
        <v/>
      </c>
      <c r="BG769" s="245">
        <f>IF(BG$7="Actual","",IFERROR(-SUM(OFFSET(BF765,0,0,1,-MIN(BG$6,$K$762)))/$K$762,0))</f>
        <v/>
      </c>
      <c r="BH769" s="245">
        <f>IF(BH$7="Actual","",IFERROR(-SUM(OFFSET(BG765,0,0,1,-MIN(BH$6,$K$762)))/$K$762,0))</f>
        <v/>
      </c>
      <c r="BI769" s="245">
        <f>IF(BI$7="Actual","",IFERROR(-SUM(OFFSET(BH765,0,0,1,-MIN(BI$6,$K$762)))/$K$762,0))</f>
        <v/>
      </c>
      <c r="BJ769" s="245">
        <f>IF(BJ$7="Actual","",IFERROR(-SUM(OFFSET(BI765,0,0,1,-MIN(BJ$6,$K$762)))/$K$762,0))</f>
        <v/>
      </c>
      <c r="BK769" s="245">
        <f>IF(BK$7="Actual","",IFERROR(-SUM(OFFSET(BJ765,0,0,1,-MIN(BK$6,$K$762)))/$K$762,0))</f>
        <v/>
      </c>
      <c r="BL769" s="245">
        <f>IF(BL$7="Actual","",IFERROR(-SUM(OFFSET(BK765,0,0,1,-MIN(BL$6,$K$762)))/$K$762,0))</f>
        <v/>
      </c>
      <c r="BM769" s="245">
        <f>IF(BM$7="Actual","",IFERROR(-SUM(OFFSET(BL765,0,0,1,-MIN(BM$6,$K$762)))/$K$762,0))</f>
        <v/>
      </c>
      <c r="BN769" s="245">
        <f>IF(BN$7="Actual","",IFERROR(-SUM(OFFSET(BM765,0,0,1,-MIN(BN$6,$K$762)))/$K$762,0))</f>
        <v/>
      </c>
      <c r="BO769" s="245">
        <f>IF(BO$7="Actual","",IFERROR(-SUM(OFFSET(BN765,0,0,1,-MIN(BO$6,$K$762)))/$K$762,0))</f>
        <v/>
      </c>
      <c r="BP769" s="245">
        <f>IF(BP$7="Actual","",IFERROR(-SUM(OFFSET(BO765,0,0,1,-MIN(BP$6,$K$762)))/$K$762,0))</f>
        <v/>
      </c>
      <c r="BQ769" s="245">
        <f>IF(BQ$7="Actual","",IFERROR(-SUM(OFFSET(BP765,0,0,1,-MIN(BQ$6,$K$762)))/$K$762,0))</f>
        <v/>
      </c>
      <c r="BR769" s="245">
        <f>IF(BR$7="Actual","",IFERROR(-SUM(OFFSET(BQ765,0,0,1,-MIN(BR$6,$K$762)))/$K$762,0))</f>
        <v/>
      </c>
      <c r="BS769" s="245">
        <f>IF(BS$7="Actual","",IFERROR(-SUM(OFFSET(BR765,0,0,1,-MIN(BS$6,$K$762)))/$K$762,0))</f>
        <v/>
      </c>
      <c r="BT769" s="245">
        <f>IF(BT$7="Actual","",IFERROR(-SUM(OFFSET(BS765,0,0,1,-MIN(BT$6,$K$762)))/$K$762,0))</f>
        <v/>
      </c>
      <c r="BU769" s="245">
        <f>IF(BU$7="Actual","",IFERROR(-SUM(OFFSET(BT765,0,0,1,-MIN(BU$6,$K$762)))/$K$762,0))</f>
        <v/>
      </c>
      <c r="BV769" s="245">
        <f>IF(BV$7="Actual","",IFERROR(-SUM(OFFSET(BU765,0,0,1,-MIN(BV$6,$K$762)))/$K$762,0))</f>
        <v/>
      </c>
      <c r="BW769" s="245">
        <f>IF(BW$7="Actual","",IFERROR(-SUM(OFFSET(BV765,0,0,1,-MIN(BW$6,$K$762)))/$K$762,0))</f>
        <v/>
      </c>
      <c r="BX769" s="245">
        <f>IF(BX$7="Actual","",IFERROR(-SUM(OFFSET(BW765,0,0,1,-MIN(BX$6,$K$762)))/$K$762,0))</f>
        <v/>
      </c>
      <c r="BY769" s="245">
        <f>IF(BY$7="Actual","",IFERROR(-SUM(OFFSET(BX765,0,0,1,-MIN(BY$6,$K$762)))/$K$762,0))</f>
        <v/>
      </c>
      <c r="BZ769" s="245">
        <f>IF(BZ$7="Actual","",IFERROR(-SUM(OFFSET(BY765,0,0,1,-MIN(BZ$6,$K$762)))/$K$762,0))</f>
        <v/>
      </c>
      <c r="CA769" s="245">
        <f>IF(CA$7="Actual","",IFERROR(-SUM(OFFSET(BZ765,0,0,1,-MIN(CA$6,$K$762)))/$K$762,0))</f>
        <v/>
      </c>
    </row>
    <row r="770" ht="12" customHeight="1" s="227">
      <c r="A770" s="244" t="n"/>
      <c r="B770" s="244" t="n"/>
      <c r="C770" s="244" t="n"/>
      <c r="H770" s="0" t="inlineStr">
        <is>
          <t xml:space="preserve"> Depreciation - Additions</t>
        </is>
      </c>
      <c r="I770" s="27">
        <f>i_Setup!$M$16</f>
        <v/>
      </c>
      <c r="K770" s="6" t="n"/>
      <c r="M770" s="245">
        <f>SUMIF($T$4:$CA$4,M$4,$T770:$CA770)</f>
        <v/>
      </c>
      <c r="N770" s="245">
        <f>SUMIF($T$4:$CA$4,N$4,$T770:$CA770)</f>
        <v/>
      </c>
      <c r="O770" s="245">
        <f>SUMIF($T$4:$CA$4,O$4,$T770:$CA770)</f>
        <v/>
      </c>
      <c r="P770" s="245">
        <f>SUMIF($T$4:$CA$4,P$4,$T770:$CA770)</f>
        <v/>
      </c>
      <c r="Q770" s="245">
        <f>SUMIF($T$4:$CA$4,Q$4,$T770:$CA770)</f>
        <v/>
      </c>
      <c r="T770" s="245">
        <f>IF(T$7="Actual","",IFERROR(-SUM(OFFSET(S768,0,0,1,-MIN(T$6,$K$763)))/$K$763,0))</f>
        <v/>
      </c>
      <c r="U770" s="245">
        <f>IF(U$7="Actual","",IFERROR(-SUM(OFFSET(T768,0,0,1,-MIN(U$6,$K$763)))/$K$763,0))</f>
        <v/>
      </c>
      <c r="V770" s="245">
        <f>IF(V$7="Actual","",IFERROR(-SUM(OFFSET(U768,0,0,1,-MIN(V$6,$K$763)))/$K$763,0))</f>
        <v/>
      </c>
      <c r="W770" s="245">
        <f>IF(W$7="Actual","",IFERROR(-SUM(OFFSET(V768,0,0,1,-MIN(W$6,$K$763)))/$K$763,0))</f>
        <v/>
      </c>
      <c r="X770" s="245">
        <f>IF(X$7="Actual","",IFERROR(-SUM(OFFSET(W768,0,0,1,-MIN(X$6,$K$763)))/$K$763,0))</f>
        <v/>
      </c>
      <c r="Y770" s="245">
        <f>IF(Y$7="Actual","",IFERROR(-SUM(OFFSET(X768,0,0,1,-MIN(Y$6,$K$763)))/$K$763,0))</f>
        <v/>
      </c>
      <c r="Z770" s="245">
        <f>IF(Z$7="Actual","",IFERROR(-SUM(OFFSET(Y768,0,0,1,-MIN(Z$6,$K$763)))/$K$763,0))</f>
        <v/>
      </c>
      <c r="AA770" s="245">
        <f>IF(AA$7="Actual","",IFERROR(-SUM(OFFSET(Z768,0,0,1,-MIN(AA$6,$K$763)))/$K$763,0))</f>
        <v/>
      </c>
      <c r="AB770" s="245">
        <f>IF(AB$7="Actual","",IFERROR(-SUM(OFFSET(AA768,0,0,1,-MIN(AB$6,$K$763)))/$K$763,0))</f>
        <v/>
      </c>
      <c r="AC770" s="245">
        <f>IF(AC$7="Actual","",IFERROR(-SUM(OFFSET(AB768,0,0,1,-MIN(AC$6,$K$763)))/$K$763,0))</f>
        <v/>
      </c>
      <c r="AD770" s="245">
        <f>IF(AD$7="Actual","",IFERROR(-SUM(OFFSET(AC768,0,0,1,-MIN(AD$6,$K$763)))/$K$763,0))</f>
        <v/>
      </c>
      <c r="AE770" s="245">
        <f>IF(AE$7="Actual","",IFERROR(-SUM(OFFSET(AD768,0,0,1,-MIN(AE$6,$K$763)))/$K$763,0))</f>
        <v/>
      </c>
      <c r="AF770" s="245">
        <f>IF(AF$7="Actual","",IFERROR(-SUM(OFFSET(AE768,0,0,1,-MIN(AF$6,$K$763)))/$K$763,0))</f>
        <v/>
      </c>
      <c r="AG770" s="245">
        <f>IF(AG$7="Actual","",IFERROR(-SUM(OFFSET(AF768,0,0,1,-MIN(AG$6,$K$763)))/$K$763,0))</f>
        <v/>
      </c>
      <c r="AH770" s="245">
        <f>IF(AH$7="Actual","",IFERROR(-SUM(OFFSET(AG768,0,0,1,-MIN(AH$6,$K$763)))/$K$763,0))</f>
        <v/>
      </c>
      <c r="AI770" s="245">
        <f>IF(AI$7="Actual","",IFERROR(-SUM(OFFSET(AH768,0,0,1,-MIN(AI$6,$K$763)))/$K$763,0))</f>
        <v/>
      </c>
      <c r="AJ770" s="245">
        <f>IF(AJ$7="Actual","",IFERROR(-SUM(OFFSET(AI768,0,0,1,-MIN(AJ$6,$K$763)))/$K$763,0))</f>
        <v/>
      </c>
      <c r="AK770" s="245">
        <f>IF(AK$7="Actual","",IFERROR(-SUM(OFFSET(AJ768,0,0,1,-MIN(AK$6,$K$763)))/$K$763,0))</f>
        <v/>
      </c>
      <c r="AL770" s="245">
        <f>IF(AL$7="Actual","",IFERROR(-SUM(OFFSET(AK768,0,0,1,-MIN(AL$6,$K$763)))/$K$763,0))</f>
        <v/>
      </c>
      <c r="AM770" s="245">
        <f>IF(AM$7="Actual","",IFERROR(-SUM(OFFSET(AL768,0,0,1,-MIN(AM$6,$K$763)))/$K$763,0))</f>
        <v/>
      </c>
      <c r="AN770" s="245">
        <f>IF(AN$7="Actual","",IFERROR(-SUM(OFFSET(AM768,0,0,1,-MIN(AN$6,$K$763)))/$K$763,0))</f>
        <v/>
      </c>
      <c r="AO770" s="245">
        <f>IF(AO$7="Actual","",IFERROR(-SUM(OFFSET(AN768,0,0,1,-MIN(AO$6,$K$763)))/$K$763,0))</f>
        <v/>
      </c>
      <c r="AP770" s="245">
        <f>IF(AP$7="Actual","",IFERROR(-SUM(OFFSET(AO768,0,0,1,-MIN(AP$6,$K$763)))/$K$763,0))</f>
        <v/>
      </c>
      <c r="AQ770" s="245">
        <f>IF(AQ$7="Actual","",IFERROR(-SUM(OFFSET(AP768,0,0,1,-MIN(AQ$6,$K$763)))/$K$763,0))</f>
        <v/>
      </c>
      <c r="AR770" s="245">
        <f>IF(AR$7="Actual","",IFERROR(-SUM(OFFSET(AQ768,0,0,1,-MIN(AR$6,$K$763)))/$K$763,0))</f>
        <v/>
      </c>
      <c r="AS770" s="245">
        <f>IF(AS$7="Actual","",IFERROR(-SUM(OFFSET(AR768,0,0,1,-MIN(AS$6,$K$763)))/$K$763,0))</f>
        <v/>
      </c>
      <c r="AT770" s="245">
        <f>IF(AT$7="Actual","",IFERROR(-SUM(OFFSET(AS768,0,0,1,-MIN(AT$6,$K$763)))/$K$763,0))</f>
        <v/>
      </c>
      <c r="AU770" s="245">
        <f>IF(AU$7="Actual","",IFERROR(-SUM(OFFSET(AT768,0,0,1,-MIN(AU$6,$K$763)))/$K$763,0))</f>
        <v/>
      </c>
      <c r="AV770" s="245">
        <f>IF(AV$7="Actual","",IFERROR(-SUM(OFFSET(AU768,0,0,1,-MIN(AV$6,$K$763)))/$K$763,0))</f>
        <v/>
      </c>
      <c r="AW770" s="245">
        <f>IF(AW$7="Actual","",IFERROR(-SUM(OFFSET(AV768,0,0,1,-MIN(AW$6,$K$763)))/$K$763,0))</f>
        <v/>
      </c>
      <c r="AX770" s="245">
        <f>IF(AX$7="Actual","",IFERROR(-SUM(OFFSET(AW768,0,0,1,-MIN(AX$6,$K$763)))/$K$763,0))</f>
        <v/>
      </c>
      <c r="AY770" s="245">
        <f>IF(AY$7="Actual","",IFERROR(-SUM(OFFSET(AX768,0,0,1,-MIN(AY$6,$K$763)))/$K$763,0))</f>
        <v/>
      </c>
      <c r="AZ770" s="245">
        <f>IF(AZ$7="Actual","",IFERROR(-SUM(OFFSET(AY768,0,0,1,-MIN(AZ$6,$K$763)))/$K$763,0))</f>
        <v/>
      </c>
      <c r="BA770" s="245">
        <f>IF(BA$7="Actual","",IFERROR(-SUM(OFFSET(AZ768,0,0,1,-MIN(BA$6,$K$763)))/$K$763,0))</f>
        <v/>
      </c>
      <c r="BB770" s="245">
        <f>IF(BB$7="Actual","",IFERROR(-SUM(OFFSET(BA768,0,0,1,-MIN(BB$6,$K$763)))/$K$763,0))</f>
        <v/>
      </c>
      <c r="BC770" s="245">
        <f>IF(BC$7="Actual","",IFERROR(-SUM(OFFSET(BB768,0,0,1,-MIN(BC$6,$K$763)))/$K$763,0))</f>
        <v/>
      </c>
      <c r="BD770" s="245">
        <f>IF(BD$7="Actual","",IFERROR(-SUM(OFFSET(BC768,0,0,1,-MIN(BD$6,$K$763)))/$K$763,0))</f>
        <v/>
      </c>
      <c r="BE770" s="245">
        <f>IF(BE$7="Actual","",IFERROR(-SUM(OFFSET(BD768,0,0,1,-MIN(BE$6,$K$763)))/$K$763,0))</f>
        <v/>
      </c>
      <c r="BF770" s="245">
        <f>IF(BF$7="Actual","",IFERROR(-SUM(OFFSET(BE768,0,0,1,-MIN(BF$6,$K$763)))/$K$763,0))</f>
        <v/>
      </c>
      <c r="BG770" s="245">
        <f>IF(BG$7="Actual","",IFERROR(-SUM(OFFSET(BF768,0,0,1,-MIN(BG$6,$K$763)))/$K$763,0))</f>
        <v/>
      </c>
      <c r="BH770" s="245">
        <f>IF(BH$7="Actual","",IFERROR(-SUM(OFFSET(BG768,0,0,1,-MIN(BH$6,$K$763)))/$K$763,0))</f>
        <v/>
      </c>
      <c r="BI770" s="245">
        <f>IF(BI$7="Actual","",IFERROR(-SUM(OFFSET(BH768,0,0,1,-MIN(BI$6,$K$763)))/$K$763,0))</f>
        <v/>
      </c>
      <c r="BJ770" s="245">
        <f>IF(BJ$7="Actual","",IFERROR(-SUM(OFFSET(BI768,0,0,1,-MIN(BJ$6,$K$763)))/$K$763,0))</f>
        <v/>
      </c>
      <c r="BK770" s="245">
        <f>IF(BK$7="Actual","",IFERROR(-SUM(OFFSET(BJ768,0,0,1,-MIN(BK$6,$K$763)))/$K$763,0))</f>
        <v/>
      </c>
      <c r="BL770" s="245">
        <f>IF(BL$7="Actual","",IFERROR(-SUM(OFFSET(BK768,0,0,1,-MIN(BL$6,$K$763)))/$K$763,0))</f>
        <v/>
      </c>
      <c r="BM770" s="245">
        <f>IF(BM$7="Actual","",IFERROR(-SUM(OFFSET(BL768,0,0,1,-MIN(BM$6,$K$763)))/$K$763,0))</f>
        <v/>
      </c>
      <c r="BN770" s="245">
        <f>IF(BN$7="Actual","",IFERROR(-SUM(OFFSET(BM768,0,0,1,-MIN(BN$6,$K$763)))/$K$763,0))</f>
        <v/>
      </c>
      <c r="BO770" s="245">
        <f>IF(BO$7="Actual","",IFERROR(-SUM(OFFSET(BN768,0,0,1,-MIN(BO$6,$K$763)))/$K$763,0))</f>
        <v/>
      </c>
      <c r="BP770" s="245">
        <f>IF(BP$7="Actual","",IFERROR(-SUM(OFFSET(BO768,0,0,1,-MIN(BP$6,$K$763)))/$K$763,0))</f>
        <v/>
      </c>
      <c r="BQ770" s="245">
        <f>IF(BQ$7="Actual","",IFERROR(-SUM(OFFSET(BP768,0,0,1,-MIN(BQ$6,$K$763)))/$K$763,0))</f>
        <v/>
      </c>
      <c r="BR770" s="245">
        <f>IF(BR$7="Actual","",IFERROR(-SUM(OFFSET(BQ768,0,0,1,-MIN(BR$6,$K$763)))/$K$763,0))</f>
        <v/>
      </c>
      <c r="BS770" s="245">
        <f>IF(BS$7="Actual","",IFERROR(-SUM(OFFSET(BR768,0,0,1,-MIN(BS$6,$K$763)))/$K$763,0))</f>
        <v/>
      </c>
      <c r="BT770" s="245">
        <f>IF(BT$7="Actual","",IFERROR(-SUM(OFFSET(BS768,0,0,1,-MIN(BT$6,$K$763)))/$K$763,0))</f>
        <v/>
      </c>
      <c r="BU770" s="245">
        <f>IF(BU$7="Actual","",IFERROR(-SUM(OFFSET(BT768,0,0,1,-MIN(BU$6,$K$763)))/$K$763,0))</f>
        <v/>
      </c>
      <c r="BV770" s="245">
        <f>IF(BV$7="Actual","",IFERROR(-SUM(OFFSET(BU768,0,0,1,-MIN(BV$6,$K$763)))/$K$763,0))</f>
        <v/>
      </c>
      <c r="BW770" s="245">
        <f>IF(BW$7="Actual","",IFERROR(-SUM(OFFSET(BV768,0,0,1,-MIN(BW$6,$K$763)))/$K$763,0))</f>
        <v/>
      </c>
      <c r="BX770" s="245">
        <f>IF(BX$7="Actual","",IFERROR(-SUM(OFFSET(BW768,0,0,1,-MIN(BX$6,$K$763)))/$K$763,0))</f>
        <v/>
      </c>
      <c r="BY770" s="245">
        <f>IF(BY$7="Actual","",IFERROR(-SUM(OFFSET(BX768,0,0,1,-MIN(BY$6,$K$763)))/$K$763,0))</f>
        <v/>
      </c>
      <c r="BZ770" s="245">
        <f>IF(BZ$7="Actual","",IFERROR(-SUM(OFFSET(BY768,0,0,1,-MIN(BZ$6,$K$763)))/$K$763,0))</f>
        <v/>
      </c>
      <c r="CA770" s="245">
        <f>IF(CA$7="Actual","",IFERROR(-SUM(OFFSET(BZ768,0,0,1,-MIN(CA$6,$K$763)))/$K$763,0))</f>
        <v/>
      </c>
    </row>
    <row r="771" ht="12" customHeight="1" s="227" thickBot="1">
      <c r="A771" s="244" t="n"/>
      <c r="B771" s="244" t="n"/>
      <c r="C771" s="244" t="n"/>
      <c r="H771" s="42" t="inlineStr">
        <is>
          <t>Closing Balance</t>
        </is>
      </c>
      <c r="I771" s="43">
        <f>i_Setup!$M$16</f>
        <v/>
      </c>
      <c r="K771" s="6" t="n"/>
      <c r="M771" s="264">
        <f>SUMIF($T$2:$CA$2,M$2,$T771:$CA771)</f>
        <v/>
      </c>
      <c r="N771" s="264">
        <f>SUMIF($T$2:$CA$2,N$2,$T771:$CA771)</f>
        <v/>
      </c>
      <c r="O771" s="264">
        <f>SUMIF($T$2:$CA$2,O$2,$T771:$CA771)</f>
        <v/>
      </c>
      <c r="P771" s="264">
        <f>SUMIF($T$2:$CA$2,P$2,$T771:$CA771)</f>
        <v/>
      </c>
      <c r="Q771" s="264">
        <f>SUMIF($T$2:$CA$2,Q$2,$T771:$CA771)</f>
        <v/>
      </c>
      <c r="T771" s="264">
        <f>IF(T$7="Actual",i_Actuals!T116,SUM(T767:T770))</f>
        <v/>
      </c>
      <c r="U771" s="264">
        <f>IF(U$7="Actual",i_Actuals!U116,SUM(U767:U770))</f>
        <v/>
      </c>
      <c r="V771" s="264">
        <f>IF(V$7="Actual",i_Actuals!V116,SUM(V767:V770))</f>
        <v/>
      </c>
      <c r="W771" s="264">
        <f>IF(W$7="Actual",i_Actuals!W116,SUM(W767:W770))</f>
        <v/>
      </c>
      <c r="X771" s="264">
        <f>IF(X$7="Actual",i_Actuals!X116,SUM(X767:X770))</f>
        <v/>
      </c>
      <c r="Y771" s="264">
        <f>IF(Y$7="Actual",i_Actuals!Y116,SUM(Y767:Y770))</f>
        <v/>
      </c>
      <c r="Z771" s="264">
        <f>IF(Z$7="Actual",i_Actuals!Z116,SUM(Z767:Z770))</f>
        <v/>
      </c>
      <c r="AA771" s="264">
        <f>IF(AA$7="Actual",i_Actuals!AA116,SUM(AA767:AA770))</f>
        <v/>
      </c>
      <c r="AB771" s="264">
        <f>IF(AB$7="Actual",i_Actuals!AB116,SUM(AB767:AB770))</f>
        <v/>
      </c>
      <c r="AC771" s="264">
        <f>IF(AC$7="Actual",i_Actuals!AC116,SUM(AC767:AC770))</f>
        <v/>
      </c>
      <c r="AD771" s="264">
        <f>IF(AD$7="Actual",i_Actuals!AD116,SUM(AD767:AD770))</f>
        <v/>
      </c>
      <c r="AE771" s="264">
        <f>IF(AE$7="Actual",i_Actuals!AE116,SUM(AE767:AE770))</f>
        <v/>
      </c>
      <c r="AF771" s="264">
        <f>IF(AF$7="Actual",i_Actuals!AF116,SUM(AF767:AF770))</f>
        <v/>
      </c>
      <c r="AG771" s="264">
        <f>IF(AG$7="Actual",i_Actuals!AG116,SUM(AG767:AG770))</f>
        <v/>
      </c>
      <c r="AH771" s="264">
        <f>IF(AH$7="Actual",i_Actuals!AH116,SUM(AH767:AH770))</f>
        <v/>
      </c>
      <c r="AI771" s="264">
        <f>IF(AI$7="Actual",i_Actuals!AI116,SUM(AI767:AI770))</f>
        <v/>
      </c>
      <c r="AJ771" s="264">
        <f>IF(AJ$7="Actual",i_Actuals!AJ116,SUM(AJ767:AJ770))</f>
        <v/>
      </c>
      <c r="AK771" s="264">
        <f>IF(AK$7="Actual",i_Actuals!AK116,SUM(AK767:AK770))</f>
        <v/>
      </c>
      <c r="AL771" s="264">
        <f>IF(AL$7="Actual",i_Actuals!AL116,SUM(AL767:AL770))</f>
        <v/>
      </c>
      <c r="AM771" s="264">
        <f>IF(AM$7="Actual",i_Actuals!AM116,SUM(AM767:AM770))</f>
        <v/>
      </c>
      <c r="AN771" s="264">
        <f>IF(AN$7="Actual",i_Actuals!AN116,SUM(AN767:AN770))</f>
        <v/>
      </c>
      <c r="AO771" s="264">
        <f>IF(AO$7="Actual",i_Actuals!AO116,SUM(AO767:AO770))</f>
        <v/>
      </c>
      <c r="AP771" s="264">
        <f>IF(AP$7="Actual",i_Actuals!AP116,SUM(AP767:AP770))</f>
        <v/>
      </c>
      <c r="AQ771" s="264">
        <f>IF(AQ$7="Actual",i_Actuals!AQ116,SUM(AQ767:AQ770))</f>
        <v/>
      </c>
      <c r="AR771" s="264">
        <f>IF(AR$7="Actual",i_Actuals!AR116,SUM(AR767:AR770))</f>
        <v/>
      </c>
      <c r="AS771" s="264">
        <f>IF(AS$7="Actual",i_Actuals!AS116,SUM(AS767:AS770))</f>
        <v/>
      </c>
      <c r="AT771" s="264">
        <f>IF(AT$7="Actual",i_Actuals!AT116,SUM(AT767:AT770))</f>
        <v/>
      </c>
      <c r="AU771" s="264">
        <f>IF(AU$7="Actual",i_Actuals!AU116,SUM(AU767:AU770))</f>
        <v/>
      </c>
      <c r="AV771" s="264">
        <f>IF(AV$7="Actual",i_Actuals!AV116,SUM(AV767:AV770))</f>
        <v/>
      </c>
      <c r="AW771" s="264">
        <f>IF(AW$7="Actual",i_Actuals!AW116,SUM(AW767:AW770))</f>
        <v/>
      </c>
      <c r="AX771" s="264">
        <f>IF(AX$7="Actual",i_Actuals!AX116,SUM(AX767:AX770))</f>
        <v/>
      </c>
      <c r="AY771" s="264">
        <f>IF(AY$7="Actual",i_Actuals!AY116,SUM(AY767:AY770))</f>
        <v/>
      </c>
      <c r="AZ771" s="264">
        <f>IF(AZ$7="Actual",i_Actuals!AZ116,SUM(AZ767:AZ770))</f>
        <v/>
      </c>
      <c r="BA771" s="264">
        <f>IF(BA$7="Actual",i_Actuals!BA116,SUM(BA767:BA770))</f>
        <v/>
      </c>
      <c r="BB771" s="264">
        <f>IF(BB$7="Actual",i_Actuals!BB116,SUM(BB767:BB770))</f>
        <v/>
      </c>
      <c r="BC771" s="264">
        <f>IF(BC$7="Actual",i_Actuals!BC116,SUM(BC767:BC770))</f>
        <v/>
      </c>
      <c r="BD771" s="264">
        <f>IF(BD$7="Actual",i_Actuals!BD116,SUM(BD767:BD770))</f>
        <v/>
      </c>
      <c r="BE771" s="264">
        <f>IF(BE$7="Actual",i_Actuals!BE116,SUM(BE767:BE770))</f>
        <v/>
      </c>
      <c r="BF771" s="264">
        <f>IF(BF$7="Actual",i_Actuals!BF116,SUM(BF767:BF770))</f>
        <v/>
      </c>
      <c r="BG771" s="264">
        <f>IF(BG$7="Actual",i_Actuals!BG116,SUM(BG767:BG770))</f>
        <v/>
      </c>
      <c r="BH771" s="264">
        <f>IF(BH$7="Actual",i_Actuals!BH116,SUM(BH767:BH770))</f>
        <v/>
      </c>
      <c r="BI771" s="264">
        <f>IF(BI$7="Actual",i_Actuals!BI116,SUM(BI767:BI770))</f>
        <v/>
      </c>
      <c r="BJ771" s="264">
        <f>IF(BJ$7="Actual",i_Actuals!BJ116,SUM(BJ767:BJ770))</f>
        <v/>
      </c>
      <c r="BK771" s="264">
        <f>IF(BK$7="Actual",i_Actuals!BK116,SUM(BK767:BK770))</f>
        <v/>
      </c>
      <c r="BL771" s="264">
        <f>IF(BL$7="Actual",i_Actuals!BL116,SUM(BL767:BL770))</f>
        <v/>
      </c>
      <c r="BM771" s="264">
        <f>IF(BM$7="Actual",i_Actuals!BM116,SUM(BM767:BM770))</f>
        <v/>
      </c>
      <c r="BN771" s="264">
        <f>IF(BN$7="Actual",i_Actuals!BN116,SUM(BN767:BN770))</f>
        <v/>
      </c>
      <c r="BO771" s="264">
        <f>IF(BO$7="Actual",i_Actuals!BO116,SUM(BO767:BO770))</f>
        <v/>
      </c>
      <c r="BP771" s="264">
        <f>IF(BP$7="Actual",i_Actuals!BP116,SUM(BP767:BP770))</f>
        <v/>
      </c>
      <c r="BQ771" s="264">
        <f>IF(BQ$7="Actual",i_Actuals!BQ116,SUM(BQ767:BQ770))</f>
        <v/>
      </c>
      <c r="BR771" s="264">
        <f>IF(BR$7="Actual",i_Actuals!BR116,SUM(BR767:BR770))</f>
        <v/>
      </c>
      <c r="BS771" s="264">
        <f>IF(BS$7="Actual",i_Actuals!BS116,SUM(BS767:BS770))</f>
        <v/>
      </c>
      <c r="BT771" s="264">
        <f>IF(BT$7="Actual",i_Actuals!BT116,SUM(BT767:BT770))</f>
        <v/>
      </c>
      <c r="BU771" s="264">
        <f>IF(BU$7="Actual",i_Actuals!BU116,SUM(BU767:BU770))</f>
        <v/>
      </c>
      <c r="BV771" s="264">
        <f>IF(BV$7="Actual",i_Actuals!BV116,SUM(BV767:BV770))</f>
        <v/>
      </c>
      <c r="BW771" s="264">
        <f>IF(BW$7="Actual",i_Actuals!BW116,SUM(BW767:BW770))</f>
        <v/>
      </c>
      <c r="BX771" s="264">
        <f>IF(BX$7="Actual",i_Actuals!BX116,SUM(BX767:BX770))</f>
        <v/>
      </c>
      <c r="BY771" s="264">
        <f>IF(BY$7="Actual",i_Actuals!BY116,SUM(BY767:BY770))</f>
        <v/>
      </c>
      <c r="BZ771" s="264">
        <f>IF(BZ$7="Actual",i_Actuals!BZ116,SUM(BZ767:BZ770))</f>
        <v/>
      </c>
      <c r="CA771" s="264">
        <f>IF(CA$7="Actual",i_Actuals!CA116,SUM(CA767:CA770))</f>
        <v/>
      </c>
    </row>
    <row r="772" ht="12" customHeight="1" s="227">
      <c r="A772" s="244" t="n"/>
      <c r="B772" s="244" t="n"/>
      <c r="C772" s="244" t="n"/>
      <c r="K772" s="6" t="n"/>
    </row>
    <row r="773" ht="12" customFormat="1" customHeight="1" s="8">
      <c r="A773" s="244" t="n"/>
      <c r="B773" s="244">
        <f>SUM(L773:CA773)</f>
        <v/>
      </c>
      <c r="D773" s="4" t="n"/>
      <c r="E773" s="4" t="n"/>
      <c r="F773" s="4" t="n"/>
      <c r="G773" s="4" t="n"/>
      <c r="H773" s="0" t="inlineStr">
        <is>
          <t>Signage Check</t>
        </is>
      </c>
      <c r="I773" s="4" t="n"/>
      <c r="J773" s="4" t="n"/>
      <c r="K773" s="6" t="n"/>
      <c r="L773" s="4" t="n"/>
      <c r="M773" s="244">
        <f>IF(M$7&lt;&gt;"",IF(ROUND(M771,0)&lt;0,1,0),"")</f>
        <v/>
      </c>
      <c r="N773" s="244">
        <f>IF(N$7&lt;&gt;"",IF(ROUND(N771,0)&lt;0,1,0),"")</f>
        <v/>
      </c>
      <c r="O773" s="244">
        <f>IF(O$7&lt;&gt;"",IF(ROUND(O771,0)&lt;0,1,0),"")</f>
        <v/>
      </c>
      <c r="P773" s="244">
        <f>IF(P$7&lt;&gt;"",IF(ROUND(P771,0)&lt;0,1,0),"")</f>
        <v/>
      </c>
      <c r="Q773" s="244">
        <f>IF(Q$7&lt;&gt;"",IF(ROUND(Q771,0)&lt;0,1,0),"")</f>
        <v/>
      </c>
      <c r="R773" s="244" t="n"/>
      <c r="S773" s="244" t="n"/>
      <c r="T773" s="244">
        <f>IF(T$7&lt;&gt;"",IF(ROUND(T771,0)&lt;0,1,0),"")</f>
        <v/>
      </c>
      <c r="U773" s="244">
        <f>IF(U$7&lt;&gt;"",IF(ROUND(U771,0)&lt;0,1,0),"")</f>
        <v/>
      </c>
      <c r="V773" s="244">
        <f>IF(V$7&lt;&gt;"",IF(ROUND(V771,0)&lt;0,1,0),"")</f>
        <v/>
      </c>
      <c r="W773" s="244">
        <f>IF(W$7&lt;&gt;"",IF(ROUND(W771,0)&lt;0,1,0),"")</f>
        <v/>
      </c>
      <c r="X773" s="244">
        <f>IF(X$7&lt;&gt;"",IF(ROUND(X771,0)&lt;0,1,0),"")</f>
        <v/>
      </c>
      <c r="Y773" s="244">
        <f>IF(Y$7&lt;&gt;"",IF(ROUND(Y771,0)&lt;0,1,0),"")</f>
        <v/>
      </c>
      <c r="Z773" s="244">
        <f>IF(Z$7&lt;&gt;"",IF(ROUND(Z771,0)&lt;0,1,0),"")</f>
        <v/>
      </c>
      <c r="AA773" s="244">
        <f>IF(AA$7&lt;&gt;"",IF(ROUND(AA771,0)&lt;0,1,0),"")</f>
        <v/>
      </c>
      <c r="AB773" s="244">
        <f>IF(AB$7&lt;&gt;"",IF(ROUND(AB771,0)&lt;0,1,0),"")</f>
        <v/>
      </c>
      <c r="AC773" s="244">
        <f>IF(AC$7&lt;&gt;"",IF(ROUND(AC771,0)&lt;0,1,0),"")</f>
        <v/>
      </c>
      <c r="AD773" s="244">
        <f>IF(AD$7&lt;&gt;"",IF(ROUND(AD771,0)&lt;0,1,0),"")</f>
        <v/>
      </c>
      <c r="AE773" s="244">
        <f>IF(AE$7&lt;&gt;"",IF(ROUND(AE771,0)&lt;0,1,0),"")</f>
        <v/>
      </c>
      <c r="AF773" s="244">
        <f>IF(AF$7&lt;&gt;"",IF(ROUND(AF771,0)&lt;0,1,0),"")</f>
        <v/>
      </c>
      <c r="AG773" s="244">
        <f>IF(AG$7&lt;&gt;"",IF(ROUND(AG771,0)&lt;0,1,0),"")</f>
        <v/>
      </c>
      <c r="AH773" s="244">
        <f>IF(AH$7&lt;&gt;"",IF(ROUND(AH771,0)&lt;0,1,0),"")</f>
        <v/>
      </c>
      <c r="AI773" s="244">
        <f>IF(AI$7&lt;&gt;"",IF(ROUND(AI771,0)&lt;0,1,0),"")</f>
        <v/>
      </c>
      <c r="AJ773" s="244">
        <f>IF(AJ$7&lt;&gt;"",IF(ROUND(AJ771,0)&lt;0,1,0),"")</f>
        <v/>
      </c>
      <c r="AK773" s="244">
        <f>IF(AK$7&lt;&gt;"",IF(ROUND(AK771,0)&lt;0,1,0),"")</f>
        <v/>
      </c>
      <c r="AL773" s="244">
        <f>IF(AL$7&lt;&gt;"",IF(ROUND(AL771,0)&lt;0,1,0),"")</f>
        <v/>
      </c>
      <c r="AM773" s="244">
        <f>IF(AM$7&lt;&gt;"",IF(ROUND(AM771,0)&lt;0,1,0),"")</f>
        <v/>
      </c>
      <c r="AN773" s="244">
        <f>IF(AN$7&lt;&gt;"",IF(ROUND(AN771,0)&lt;0,1,0),"")</f>
        <v/>
      </c>
      <c r="AO773" s="244">
        <f>IF(AO$7&lt;&gt;"",IF(ROUND(AO771,0)&lt;0,1,0),"")</f>
        <v/>
      </c>
      <c r="AP773" s="244">
        <f>IF(AP$7&lt;&gt;"",IF(ROUND(AP771,0)&lt;0,1,0),"")</f>
        <v/>
      </c>
      <c r="AQ773" s="244">
        <f>IF(AQ$7&lt;&gt;"",IF(ROUND(AQ771,0)&lt;0,1,0),"")</f>
        <v/>
      </c>
      <c r="AR773" s="244">
        <f>IF(AR$7&lt;&gt;"",IF(ROUND(AR771,0)&lt;0,1,0),"")</f>
        <v/>
      </c>
      <c r="AS773" s="244">
        <f>IF(AS$7&lt;&gt;"",IF(ROUND(AS771,0)&lt;0,1,0),"")</f>
        <v/>
      </c>
      <c r="AT773" s="244">
        <f>IF(AT$7&lt;&gt;"",IF(ROUND(AT771,0)&lt;0,1,0),"")</f>
        <v/>
      </c>
      <c r="AU773" s="244">
        <f>IF(AU$7&lt;&gt;"",IF(ROUND(AU771,0)&lt;0,1,0),"")</f>
        <v/>
      </c>
      <c r="AV773" s="244">
        <f>IF(AV$7&lt;&gt;"",IF(ROUND(AV771,0)&lt;0,1,0),"")</f>
        <v/>
      </c>
      <c r="AW773" s="244">
        <f>IF(AW$7&lt;&gt;"",IF(ROUND(AW771,0)&lt;0,1,0),"")</f>
        <v/>
      </c>
      <c r="AX773" s="244">
        <f>IF(AX$7&lt;&gt;"",IF(ROUND(AX771,0)&lt;0,1,0),"")</f>
        <v/>
      </c>
      <c r="AY773" s="244">
        <f>IF(AY$7&lt;&gt;"",IF(ROUND(AY771,0)&lt;0,1,0),"")</f>
        <v/>
      </c>
      <c r="AZ773" s="244">
        <f>IF(AZ$7&lt;&gt;"",IF(ROUND(AZ771,0)&lt;0,1,0),"")</f>
        <v/>
      </c>
      <c r="BA773" s="244">
        <f>IF(BA$7&lt;&gt;"",IF(ROUND(BA771,0)&lt;0,1,0),"")</f>
        <v/>
      </c>
      <c r="BB773" s="244">
        <f>IF(BB$7&lt;&gt;"",IF(ROUND(BB771,0)&lt;0,1,0),"")</f>
        <v/>
      </c>
      <c r="BC773" s="244">
        <f>IF(BC$7&lt;&gt;"",IF(ROUND(BC771,0)&lt;0,1,0),"")</f>
        <v/>
      </c>
      <c r="BD773" s="244">
        <f>IF(BD$7&lt;&gt;"",IF(ROUND(BD771,0)&lt;0,1,0),"")</f>
        <v/>
      </c>
      <c r="BE773" s="244">
        <f>IF(BE$7&lt;&gt;"",IF(ROUND(BE771,0)&lt;0,1,0),"")</f>
        <v/>
      </c>
      <c r="BF773" s="244">
        <f>IF(BF$7&lt;&gt;"",IF(ROUND(BF771,0)&lt;0,1,0),"")</f>
        <v/>
      </c>
      <c r="BG773" s="244">
        <f>IF(BG$7&lt;&gt;"",IF(ROUND(BG771,0)&lt;0,1,0),"")</f>
        <v/>
      </c>
      <c r="BH773" s="244">
        <f>IF(BH$7&lt;&gt;"",IF(ROUND(BH771,0)&lt;0,1,0),"")</f>
        <v/>
      </c>
      <c r="BI773" s="244">
        <f>IF(BI$7&lt;&gt;"",IF(ROUND(BI771,0)&lt;0,1,0),"")</f>
        <v/>
      </c>
      <c r="BJ773" s="244">
        <f>IF(BJ$7&lt;&gt;"",IF(ROUND(BJ771,0)&lt;0,1,0),"")</f>
        <v/>
      </c>
      <c r="BK773" s="244">
        <f>IF(BK$7&lt;&gt;"",IF(ROUND(BK771,0)&lt;0,1,0),"")</f>
        <v/>
      </c>
      <c r="BL773" s="244">
        <f>IF(BL$7&lt;&gt;"",IF(ROUND(BL771,0)&lt;0,1,0),"")</f>
        <v/>
      </c>
      <c r="BM773" s="244">
        <f>IF(BM$7&lt;&gt;"",IF(ROUND(BM771,0)&lt;0,1,0),"")</f>
        <v/>
      </c>
      <c r="BN773" s="244">
        <f>IF(BN$7&lt;&gt;"",IF(ROUND(BN771,0)&lt;0,1,0),"")</f>
        <v/>
      </c>
      <c r="BO773" s="244">
        <f>IF(BO$7&lt;&gt;"",IF(ROUND(BO771,0)&lt;0,1,0),"")</f>
        <v/>
      </c>
      <c r="BP773" s="244">
        <f>IF(BP$7&lt;&gt;"",IF(ROUND(BP771,0)&lt;0,1,0),"")</f>
        <v/>
      </c>
      <c r="BQ773" s="244">
        <f>IF(BQ$7&lt;&gt;"",IF(ROUND(BQ771,0)&lt;0,1,0),"")</f>
        <v/>
      </c>
      <c r="BR773" s="244">
        <f>IF(BR$7&lt;&gt;"",IF(ROUND(BR771,0)&lt;0,1,0),"")</f>
        <v/>
      </c>
      <c r="BS773" s="244">
        <f>IF(BS$7&lt;&gt;"",IF(ROUND(BS771,0)&lt;0,1,0),"")</f>
        <v/>
      </c>
      <c r="BT773" s="244">
        <f>IF(BT$7&lt;&gt;"",IF(ROUND(BT771,0)&lt;0,1,0),"")</f>
        <v/>
      </c>
      <c r="BU773" s="244">
        <f>IF(BU$7&lt;&gt;"",IF(ROUND(BU771,0)&lt;0,1,0),"")</f>
        <v/>
      </c>
      <c r="BV773" s="244">
        <f>IF(BV$7&lt;&gt;"",IF(ROUND(BV771,0)&lt;0,1,0),"")</f>
        <v/>
      </c>
      <c r="BW773" s="244">
        <f>IF(BW$7&lt;&gt;"",IF(ROUND(BW771,0)&lt;0,1,0),"")</f>
        <v/>
      </c>
      <c r="BX773" s="244">
        <f>IF(BX$7&lt;&gt;"",IF(ROUND(BX771,0)&lt;0,1,0),"")</f>
        <v/>
      </c>
      <c r="BY773" s="244">
        <f>IF(BY$7&lt;&gt;"",IF(ROUND(BY771,0)&lt;0,1,0),"")</f>
        <v/>
      </c>
      <c r="BZ773" s="244">
        <f>IF(BZ$7&lt;&gt;"",IF(ROUND(BZ771,0)&lt;0,1,0),"")</f>
        <v/>
      </c>
      <c r="CA773" s="244">
        <f>IF(CA$7&lt;&gt;"",IF(ROUND(CA771,0)&lt;0,1,0),"")</f>
        <v/>
      </c>
    </row>
    <row r="774" ht="12" customHeight="1" s="227">
      <c r="A774" s="244" t="n"/>
      <c r="B774" s="244" t="n"/>
      <c r="C774" s="244" t="n"/>
      <c r="K774" s="6" t="n"/>
    </row>
    <row r="775" ht="12" customHeight="1" s="227">
      <c r="A775" s="244" t="n"/>
      <c r="B775" s="244" t="n"/>
      <c r="C775" s="244" t="n"/>
      <c r="K775" s="6" t="n"/>
    </row>
    <row r="776" ht="12" customHeight="1" s="227">
      <c r="A776" s="244" t="n"/>
      <c r="B776" s="244" t="n"/>
      <c r="C776" s="244" t="n"/>
      <c r="G776" s="222">
        <f>i_Setup!U116</f>
        <v/>
      </c>
      <c r="K776" s="6" t="n"/>
    </row>
    <row r="777" ht="12" customHeight="1" s="227">
      <c r="A777" s="244" t="n"/>
      <c r="B777" s="244" t="n"/>
      <c r="C777" s="244" t="n"/>
      <c r="K777" s="6" t="n"/>
    </row>
    <row r="778" ht="12" customHeight="1" s="227">
      <c r="A778" s="244" t="n"/>
      <c r="B778" s="244" t="n"/>
      <c r="C778" s="244" t="n"/>
      <c r="H778" s="0" t="inlineStr">
        <is>
          <t>Useful Life - Opening Bal</t>
        </is>
      </c>
      <c r="I778" s="27" t="inlineStr">
        <is>
          <t>Months</t>
        </is>
      </c>
      <c r="K778" s="259">
        <f>i_Actuals!K117*12</f>
        <v/>
      </c>
    </row>
    <row r="779" ht="12" customHeight="1" s="227">
      <c r="A779" s="244" t="n"/>
      <c r="B779" s="244" t="n"/>
      <c r="C779" s="244" t="n"/>
      <c r="H779" s="0" t="inlineStr">
        <is>
          <t>Useful Life - Additions</t>
        </is>
      </c>
      <c r="I779" s="27" t="inlineStr">
        <is>
          <t>Months</t>
        </is>
      </c>
      <c r="K779" s="259">
        <f>i_Assumptions!K648*12</f>
        <v/>
      </c>
    </row>
    <row r="780" ht="12" customHeight="1" s="227">
      <c r="A780" s="244" t="n"/>
      <c r="B780" s="244" t="n"/>
      <c r="C780" s="244" t="n"/>
      <c r="H780" s="0" t="n"/>
      <c r="I780" s="27" t="n"/>
      <c r="K780" s="6" t="n"/>
    </row>
    <row r="781" ht="12" customHeight="1" s="227">
      <c r="A781" s="244" t="n"/>
      <c r="B781" s="244" t="n"/>
      <c r="C781" s="244" t="n"/>
      <c r="H781" s="0" t="inlineStr">
        <is>
          <t>Opening Balance</t>
        </is>
      </c>
      <c r="I781" s="27">
        <f>i_Setup!$M$16</f>
        <v/>
      </c>
      <c r="K781" s="6" t="n"/>
      <c r="M781" s="245">
        <f>SUMIF($T$1:$CA$1,M$1,$T781:$CA781)</f>
        <v/>
      </c>
      <c r="N781" s="245">
        <f>SUMIF($T$1:$CA$1,N$1,$T781:$CA781)</f>
        <v/>
      </c>
      <c r="O781" s="245">
        <f>SUMIF($T$1:$CA$1,O$1,$T781:$CA781)</f>
        <v/>
      </c>
      <c r="P781" s="245">
        <f>SUMIF($T$1:$CA$1,P$1,$T781:$CA781)</f>
        <v/>
      </c>
      <c r="Q781" s="245">
        <f>SUMIF($T$1:$CA$1,Q$1,$T781:$CA781)</f>
        <v/>
      </c>
      <c r="T781" s="245">
        <f>IF(T$2=i_Setup!$U$26,i_Actuals!T117,0)</f>
        <v/>
      </c>
      <c r="U781" s="245">
        <f>IF(U$2=i_Setup!$U$26,i_Actuals!U117,0)</f>
        <v/>
      </c>
      <c r="V781" s="245">
        <f>IF(V$2=i_Setup!$U$26,i_Actuals!V117,0)</f>
        <v/>
      </c>
      <c r="W781" s="245">
        <f>IF(W$2=i_Setup!$U$26,i_Actuals!W117,0)</f>
        <v/>
      </c>
      <c r="X781" s="245">
        <f>IF(X$2=i_Setup!$U$26,i_Actuals!X117,0)</f>
        <v/>
      </c>
      <c r="Y781" s="245">
        <f>IF(Y$2=i_Setup!$U$26,i_Actuals!Y117,0)</f>
        <v/>
      </c>
      <c r="Z781" s="245">
        <f>IF(Z$2=i_Setup!$U$26,i_Actuals!Z117,0)</f>
        <v/>
      </c>
      <c r="AA781" s="245">
        <f>IF(AA$2=i_Setup!$U$26,i_Actuals!AA117,0)</f>
        <v/>
      </c>
      <c r="AB781" s="245">
        <f>IF(AB$2=i_Setup!$U$26,i_Actuals!AB117,0)</f>
        <v/>
      </c>
      <c r="AC781" s="245">
        <f>IF(AC$2=i_Setup!$U$26,i_Actuals!AC117,0)</f>
        <v/>
      </c>
      <c r="AD781" s="245">
        <f>IF(AD$2=i_Setup!$U$26,i_Actuals!AD117,0)</f>
        <v/>
      </c>
      <c r="AE781" s="245">
        <f>IF(AE$2=i_Setup!$U$26,i_Actuals!AE117,0)</f>
        <v/>
      </c>
      <c r="AF781" s="245">
        <f>IF(AF$2=i_Setup!$U$26,i_Actuals!AF117,0)</f>
        <v/>
      </c>
      <c r="AG781" s="245">
        <f>IF(AG$2=i_Setup!$U$26,i_Actuals!AG117,0)</f>
        <v/>
      </c>
      <c r="AH781" s="245">
        <f>IF(AH$2=i_Setup!$U$26,i_Actuals!AH117,0)</f>
        <v/>
      </c>
      <c r="AI781" s="245">
        <f>IF(AI$2=i_Setup!$U$26,i_Actuals!AI117,0)</f>
        <v/>
      </c>
      <c r="AJ781" s="245">
        <f>IF(AJ$2=i_Setup!$U$26,i_Actuals!AJ117,0)</f>
        <v/>
      </c>
      <c r="AK781" s="245">
        <f>IF(AK$2=i_Setup!$U$26,i_Actuals!AK117,0)</f>
        <v/>
      </c>
      <c r="AL781" s="245">
        <f>IF(AL$2=i_Setup!$U$26,i_Actuals!AL117,0)</f>
        <v/>
      </c>
      <c r="AM781" s="245">
        <f>IF(AM$2=i_Setup!$U$26,i_Actuals!AM117,0)</f>
        <v/>
      </c>
      <c r="AN781" s="245">
        <f>IF(AN$2=i_Setup!$U$26,i_Actuals!AN117,0)</f>
        <v/>
      </c>
      <c r="AO781" s="245">
        <f>IF(AO$2=i_Setup!$U$26,i_Actuals!AO117,0)</f>
        <v/>
      </c>
      <c r="AP781" s="245">
        <f>IF(AP$2=i_Setup!$U$26,i_Actuals!AP117,0)</f>
        <v/>
      </c>
      <c r="AQ781" s="245">
        <f>IF(AQ$2=i_Setup!$U$26,i_Actuals!AQ117,0)</f>
        <v/>
      </c>
      <c r="AR781" s="245">
        <f>IF(AR$2=i_Setup!$U$26,i_Actuals!AR117,0)</f>
        <v/>
      </c>
      <c r="AS781" s="245">
        <f>IF(AS$2=i_Setup!$U$26,i_Actuals!AS117,0)</f>
        <v/>
      </c>
      <c r="AT781" s="245">
        <f>IF(AT$2=i_Setup!$U$26,i_Actuals!AT117,0)</f>
        <v/>
      </c>
      <c r="AU781" s="245">
        <f>IF(AU$2=i_Setup!$U$26,i_Actuals!AU117,0)</f>
        <v/>
      </c>
      <c r="AV781" s="245">
        <f>IF(AV$2=i_Setup!$U$26,i_Actuals!AV117,0)</f>
        <v/>
      </c>
      <c r="AW781" s="245">
        <f>IF(AW$2=i_Setup!$U$26,i_Actuals!AW117,0)</f>
        <v/>
      </c>
      <c r="AX781" s="245">
        <f>IF(AX$2=i_Setup!$U$26,i_Actuals!AX117,0)</f>
        <v/>
      </c>
      <c r="AY781" s="245">
        <f>IF(AY$2=i_Setup!$U$26,i_Actuals!AY117,0)</f>
        <v/>
      </c>
      <c r="AZ781" s="245">
        <f>IF(AZ$2=i_Setup!$U$26,i_Actuals!AZ117,0)</f>
        <v/>
      </c>
      <c r="BA781" s="245">
        <f>IF(BA$2=i_Setup!$U$26,i_Actuals!BA117,0)</f>
        <v/>
      </c>
      <c r="BB781" s="245">
        <f>IF(BB$2=i_Setup!$U$26,i_Actuals!BB117,0)</f>
        <v/>
      </c>
      <c r="BC781" s="245">
        <f>IF(BC$2=i_Setup!$U$26,i_Actuals!BC117,0)</f>
        <v/>
      </c>
      <c r="BD781" s="245">
        <f>IF(BD$2=i_Setup!$U$26,i_Actuals!BD117,0)</f>
        <v/>
      </c>
      <c r="BE781" s="245">
        <f>IF(BE$2=i_Setup!$U$26,i_Actuals!BE117,0)</f>
        <v/>
      </c>
      <c r="BF781" s="245">
        <f>IF(BF$2=i_Setup!$U$26,i_Actuals!BF117,0)</f>
        <v/>
      </c>
      <c r="BG781" s="245">
        <f>IF(BG$2=i_Setup!$U$26,i_Actuals!BG117,0)</f>
        <v/>
      </c>
      <c r="BH781" s="245">
        <f>IF(BH$2=i_Setup!$U$26,i_Actuals!BH117,0)</f>
        <v/>
      </c>
      <c r="BI781" s="245">
        <f>IF(BI$2=i_Setup!$U$26,i_Actuals!BI117,0)</f>
        <v/>
      </c>
      <c r="BJ781" s="245">
        <f>IF(BJ$2=i_Setup!$U$26,i_Actuals!BJ117,0)</f>
        <v/>
      </c>
      <c r="BK781" s="245">
        <f>IF(BK$2=i_Setup!$U$26,i_Actuals!BK117,0)</f>
        <v/>
      </c>
      <c r="BL781" s="245">
        <f>IF(BL$2=i_Setup!$U$26,i_Actuals!BL117,0)</f>
        <v/>
      </c>
      <c r="BM781" s="245">
        <f>IF(BM$2=i_Setup!$U$26,i_Actuals!BM117,0)</f>
        <v/>
      </c>
      <c r="BN781" s="245">
        <f>IF(BN$2=i_Setup!$U$26,i_Actuals!BN117,0)</f>
        <v/>
      </c>
      <c r="BO781" s="245">
        <f>IF(BO$2=i_Setup!$U$26,i_Actuals!BO117,0)</f>
        <v/>
      </c>
      <c r="BP781" s="245">
        <f>IF(BP$2=i_Setup!$U$26,i_Actuals!BP117,0)</f>
        <v/>
      </c>
      <c r="BQ781" s="245">
        <f>IF(BQ$2=i_Setup!$U$26,i_Actuals!BQ117,0)</f>
        <v/>
      </c>
      <c r="BR781" s="245">
        <f>IF(BR$2=i_Setup!$U$26,i_Actuals!BR117,0)</f>
        <v/>
      </c>
      <c r="BS781" s="245">
        <f>IF(BS$2=i_Setup!$U$26,i_Actuals!BS117,0)</f>
        <v/>
      </c>
      <c r="BT781" s="245">
        <f>IF(BT$2=i_Setup!$U$26,i_Actuals!BT117,0)</f>
        <v/>
      </c>
      <c r="BU781" s="245">
        <f>IF(BU$2=i_Setup!$U$26,i_Actuals!BU117,0)</f>
        <v/>
      </c>
      <c r="BV781" s="245">
        <f>IF(BV$2=i_Setup!$U$26,i_Actuals!BV117,0)</f>
        <v/>
      </c>
      <c r="BW781" s="245">
        <f>IF(BW$2=i_Setup!$U$26,i_Actuals!BW117,0)</f>
        <v/>
      </c>
      <c r="BX781" s="245">
        <f>IF(BX$2=i_Setup!$U$26,i_Actuals!BX117,0)</f>
        <v/>
      </c>
      <c r="BY781" s="245">
        <f>IF(BY$2=i_Setup!$U$26,i_Actuals!BY117,0)</f>
        <v/>
      </c>
      <c r="BZ781" s="245">
        <f>IF(BZ$2=i_Setup!$U$26,i_Actuals!BZ117,0)</f>
        <v/>
      </c>
      <c r="CA781" s="245">
        <f>IF(CA$2=i_Setup!$U$26,i_Actuals!CA117,0)</f>
        <v/>
      </c>
    </row>
    <row r="782" ht="12" customHeight="1" s="227">
      <c r="A782" s="244" t="n"/>
      <c r="B782" s="244" t="n"/>
      <c r="C782" s="244" t="n"/>
      <c r="H782" s="0" t="n"/>
      <c r="I782" s="27" t="n"/>
      <c r="K782" s="6" t="n"/>
    </row>
    <row r="783" ht="12" customHeight="1" s="227">
      <c r="A783" s="244" t="n"/>
      <c r="B783" s="244" t="n"/>
      <c r="C783" s="244" t="n"/>
      <c r="H783" s="0" t="inlineStr">
        <is>
          <t>Opening Balance</t>
        </is>
      </c>
      <c r="I783" s="27">
        <f>i_Setup!$M$16</f>
        <v/>
      </c>
      <c r="K783" s="6" t="n"/>
      <c r="M783" s="245">
        <f>SUMIF($T$1:$CA$1,M$1,$T783:$CA783)</f>
        <v/>
      </c>
      <c r="N783" s="245">
        <f>SUMIF($T$1:$CA$1,N$1,$T783:$CA783)</f>
        <v/>
      </c>
      <c r="O783" s="245">
        <f>SUMIF($T$1:$CA$1,O$1,$T783:$CA783)</f>
        <v/>
      </c>
      <c r="P783" s="245">
        <f>SUMIF($T$1:$CA$1,P$1,$T783:$CA783)</f>
        <v/>
      </c>
      <c r="Q783" s="245">
        <f>SUMIF($T$1:$CA$1,Q$1,$T783:$CA783)</f>
        <v/>
      </c>
      <c r="T783" s="245">
        <f>S787</f>
        <v/>
      </c>
      <c r="U783" s="245">
        <f>T787</f>
        <v/>
      </c>
      <c r="V783" s="245">
        <f>U787</f>
        <v/>
      </c>
      <c r="W783" s="245">
        <f>V787</f>
        <v/>
      </c>
      <c r="X783" s="245">
        <f>W787</f>
        <v/>
      </c>
      <c r="Y783" s="245">
        <f>X787</f>
        <v/>
      </c>
      <c r="Z783" s="245">
        <f>Y787</f>
        <v/>
      </c>
      <c r="AA783" s="245">
        <f>Z787</f>
        <v/>
      </c>
      <c r="AB783" s="245">
        <f>AA787</f>
        <v/>
      </c>
      <c r="AC783" s="245">
        <f>AB787</f>
        <v/>
      </c>
      <c r="AD783" s="245">
        <f>AC787</f>
        <v/>
      </c>
      <c r="AE783" s="245">
        <f>AD787</f>
        <v/>
      </c>
      <c r="AF783" s="245">
        <f>AE787</f>
        <v/>
      </c>
      <c r="AG783" s="245">
        <f>AF787</f>
        <v/>
      </c>
      <c r="AH783" s="245">
        <f>AG787</f>
        <v/>
      </c>
      <c r="AI783" s="245">
        <f>AH787</f>
        <v/>
      </c>
      <c r="AJ783" s="245">
        <f>AI787</f>
        <v/>
      </c>
      <c r="AK783" s="245">
        <f>AJ787</f>
        <v/>
      </c>
      <c r="AL783" s="245">
        <f>AK787</f>
        <v/>
      </c>
      <c r="AM783" s="245">
        <f>AL787</f>
        <v/>
      </c>
      <c r="AN783" s="245">
        <f>AM787</f>
        <v/>
      </c>
      <c r="AO783" s="245">
        <f>AN787</f>
        <v/>
      </c>
      <c r="AP783" s="245">
        <f>AO787</f>
        <v/>
      </c>
      <c r="AQ783" s="245">
        <f>AP787</f>
        <v/>
      </c>
      <c r="AR783" s="245">
        <f>AQ787</f>
        <v/>
      </c>
      <c r="AS783" s="245">
        <f>AR787</f>
        <v/>
      </c>
      <c r="AT783" s="245">
        <f>AS787</f>
        <v/>
      </c>
      <c r="AU783" s="245">
        <f>AT787</f>
        <v/>
      </c>
      <c r="AV783" s="245">
        <f>AU787</f>
        <v/>
      </c>
      <c r="AW783" s="245">
        <f>AV787</f>
        <v/>
      </c>
      <c r="AX783" s="245">
        <f>AW787</f>
        <v/>
      </c>
      <c r="AY783" s="245">
        <f>AX787</f>
        <v/>
      </c>
      <c r="AZ783" s="245">
        <f>AY787</f>
        <v/>
      </c>
      <c r="BA783" s="245">
        <f>AZ787</f>
        <v/>
      </c>
      <c r="BB783" s="245">
        <f>BA787</f>
        <v/>
      </c>
      <c r="BC783" s="245">
        <f>BB787</f>
        <v/>
      </c>
      <c r="BD783" s="245">
        <f>BC787</f>
        <v/>
      </c>
      <c r="BE783" s="245">
        <f>BD787</f>
        <v/>
      </c>
      <c r="BF783" s="245">
        <f>BE787</f>
        <v/>
      </c>
      <c r="BG783" s="245">
        <f>BF787</f>
        <v/>
      </c>
      <c r="BH783" s="245">
        <f>BG787</f>
        <v/>
      </c>
      <c r="BI783" s="245">
        <f>BH787</f>
        <v/>
      </c>
      <c r="BJ783" s="245">
        <f>BI787</f>
        <v/>
      </c>
      <c r="BK783" s="245">
        <f>BJ787</f>
        <v/>
      </c>
      <c r="BL783" s="245">
        <f>BK787</f>
        <v/>
      </c>
      <c r="BM783" s="245">
        <f>BL787</f>
        <v/>
      </c>
      <c r="BN783" s="245">
        <f>BM787</f>
        <v/>
      </c>
      <c r="BO783" s="245">
        <f>BN787</f>
        <v/>
      </c>
      <c r="BP783" s="245">
        <f>BO787</f>
        <v/>
      </c>
      <c r="BQ783" s="245">
        <f>BP787</f>
        <v/>
      </c>
      <c r="BR783" s="245">
        <f>BQ787</f>
        <v/>
      </c>
      <c r="BS783" s="245">
        <f>BR787</f>
        <v/>
      </c>
      <c r="BT783" s="245">
        <f>BS787</f>
        <v/>
      </c>
      <c r="BU783" s="245">
        <f>BT787</f>
        <v/>
      </c>
      <c r="BV783" s="245">
        <f>BU787</f>
        <v/>
      </c>
      <c r="BW783" s="245">
        <f>BV787</f>
        <v/>
      </c>
      <c r="BX783" s="245">
        <f>BW787</f>
        <v/>
      </c>
      <c r="BY783" s="245">
        <f>BX787</f>
        <v/>
      </c>
      <c r="BZ783" s="245">
        <f>BY787</f>
        <v/>
      </c>
      <c r="CA783" s="245">
        <f>BZ787</f>
        <v/>
      </c>
    </row>
    <row r="784" ht="12" customHeight="1" s="227">
      <c r="A784" s="244" t="n"/>
      <c r="B784" s="244" t="n"/>
      <c r="C784" s="244" t="n"/>
      <c r="H784" s="0" t="inlineStr">
        <is>
          <t>Addition Amounts</t>
        </is>
      </c>
      <c r="I784" s="27">
        <f>i_Setup!$M$16</f>
        <v/>
      </c>
      <c r="K784" s="6" t="n"/>
      <c r="M784" s="245">
        <f>SUMIF($T$4:$CA$4,M$4,$T784:$CA784)</f>
        <v/>
      </c>
      <c r="N784" s="245">
        <f>SUMIF($T$4:$CA$4,N$4,$T784:$CA784)</f>
        <v/>
      </c>
      <c r="O784" s="245">
        <f>SUMIF($T$4:$CA$4,O$4,$T784:$CA784)</f>
        <v/>
      </c>
      <c r="P784" s="245">
        <f>SUMIF($T$4:$CA$4,P$4,$T784:$CA784)</f>
        <v/>
      </c>
      <c r="Q784" s="245">
        <f>SUMIF($T$4:$CA$4,Q$4,$T784:$CA784)</f>
        <v/>
      </c>
      <c r="T784" s="257">
        <f>IF(T$7="Actual","",T657)</f>
        <v/>
      </c>
      <c r="U784" s="257">
        <f>IF(U$7="Actual","",U657)</f>
        <v/>
      </c>
      <c r="V784" s="257">
        <f>IF(V$7="Actual","",V657)</f>
        <v/>
      </c>
      <c r="W784" s="257">
        <f>IF(W$7="Actual","",W657)</f>
        <v/>
      </c>
      <c r="X784" s="257">
        <f>IF(X$7="Actual","",X657)</f>
        <v/>
      </c>
      <c r="Y784" s="257">
        <f>IF(Y$7="Actual","",Y657)</f>
        <v/>
      </c>
      <c r="Z784" s="257">
        <f>IF(Z$7="Actual","",Z657)</f>
        <v/>
      </c>
      <c r="AA784" s="257">
        <f>IF(AA$7="Actual","",AA657)</f>
        <v/>
      </c>
      <c r="AB784" s="257">
        <f>IF(AB$7="Actual","",AB657)</f>
        <v/>
      </c>
      <c r="AC784" s="257">
        <f>IF(AC$7="Actual","",AC657)</f>
        <v/>
      </c>
      <c r="AD784" s="257">
        <f>IF(AD$7="Actual","",AD657)</f>
        <v/>
      </c>
      <c r="AE784" s="257">
        <f>IF(AE$7="Actual","",AE657)</f>
        <v/>
      </c>
      <c r="AF784" s="257">
        <f>IF(AF$7="Actual","",AF657)</f>
        <v/>
      </c>
      <c r="AG784" s="257">
        <f>IF(AG$7="Actual","",AG657)</f>
        <v/>
      </c>
      <c r="AH784" s="257">
        <f>IF(AH$7="Actual","",AH657)</f>
        <v/>
      </c>
      <c r="AI784" s="257">
        <f>IF(AI$7="Actual","",AI657)</f>
        <v/>
      </c>
      <c r="AJ784" s="257">
        <f>IF(AJ$7="Actual","",AJ657)</f>
        <v/>
      </c>
      <c r="AK784" s="257">
        <f>IF(AK$7="Actual","",AK657)</f>
        <v/>
      </c>
      <c r="AL784" s="257">
        <f>IF(AL$7="Actual","",AL657)</f>
        <v/>
      </c>
      <c r="AM784" s="257">
        <f>IF(AM$7="Actual","",AM657)</f>
        <v/>
      </c>
      <c r="AN784" s="257">
        <f>IF(AN$7="Actual","",AN657)</f>
        <v/>
      </c>
      <c r="AO784" s="257">
        <f>IF(AO$7="Actual","",AO657)</f>
        <v/>
      </c>
      <c r="AP784" s="257">
        <f>IF(AP$7="Actual","",AP657)</f>
        <v/>
      </c>
      <c r="AQ784" s="257">
        <f>IF(AQ$7="Actual","",AQ657)</f>
        <v/>
      </c>
      <c r="AR784" s="257">
        <f>IF(AR$7="Actual","",AR657)</f>
        <v/>
      </c>
      <c r="AS784" s="257">
        <f>IF(AS$7="Actual","",AS657)</f>
        <v/>
      </c>
      <c r="AT784" s="257">
        <f>IF(AT$7="Actual","",AT657)</f>
        <v/>
      </c>
      <c r="AU784" s="257">
        <f>IF(AU$7="Actual","",AU657)</f>
        <v/>
      </c>
      <c r="AV784" s="257">
        <f>IF(AV$7="Actual","",AV657)</f>
        <v/>
      </c>
      <c r="AW784" s="257">
        <f>IF(AW$7="Actual","",AW657)</f>
        <v/>
      </c>
      <c r="AX784" s="257">
        <f>IF(AX$7="Actual","",AX657)</f>
        <v/>
      </c>
      <c r="AY784" s="257">
        <f>IF(AY$7="Actual","",AY657)</f>
        <v/>
      </c>
      <c r="AZ784" s="257">
        <f>IF(AZ$7="Actual","",AZ657)</f>
        <v/>
      </c>
      <c r="BA784" s="257">
        <f>IF(BA$7="Actual","",BA657)</f>
        <v/>
      </c>
      <c r="BB784" s="257">
        <f>IF(BB$7="Actual","",BB657)</f>
        <v/>
      </c>
      <c r="BC784" s="257">
        <f>IF(BC$7="Actual","",BC657)</f>
        <v/>
      </c>
      <c r="BD784" s="257">
        <f>IF(BD$7="Actual","",BD657)</f>
        <v/>
      </c>
      <c r="BE784" s="257">
        <f>IF(BE$7="Actual","",BE657)</f>
        <v/>
      </c>
      <c r="BF784" s="257">
        <f>IF(BF$7="Actual","",BF657)</f>
        <v/>
      </c>
      <c r="BG784" s="257">
        <f>IF(BG$7="Actual","",BG657)</f>
        <v/>
      </c>
      <c r="BH784" s="257">
        <f>IF(BH$7="Actual","",BH657)</f>
        <v/>
      </c>
      <c r="BI784" s="257">
        <f>IF(BI$7="Actual","",BI657)</f>
        <v/>
      </c>
      <c r="BJ784" s="257">
        <f>IF(BJ$7="Actual","",BJ657)</f>
        <v/>
      </c>
      <c r="BK784" s="257">
        <f>IF(BK$7="Actual","",BK657)</f>
        <v/>
      </c>
      <c r="BL784" s="257">
        <f>IF(BL$7="Actual","",BL657)</f>
        <v/>
      </c>
      <c r="BM784" s="257">
        <f>IF(BM$7="Actual","",BM657)</f>
        <v/>
      </c>
      <c r="BN784" s="257">
        <f>IF(BN$7="Actual","",BN657)</f>
        <v/>
      </c>
      <c r="BO784" s="257">
        <f>IF(BO$7="Actual","",BO657)</f>
        <v/>
      </c>
      <c r="BP784" s="257">
        <f>IF(BP$7="Actual","",BP657)</f>
        <v/>
      </c>
      <c r="BQ784" s="257">
        <f>IF(BQ$7="Actual","",BQ657)</f>
        <v/>
      </c>
      <c r="BR784" s="257">
        <f>IF(BR$7="Actual","",BR657)</f>
        <v/>
      </c>
      <c r="BS784" s="257">
        <f>IF(BS$7="Actual","",BS657)</f>
        <v/>
      </c>
      <c r="BT784" s="257">
        <f>IF(BT$7="Actual","",BT657)</f>
        <v/>
      </c>
      <c r="BU784" s="257">
        <f>IF(BU$7="Actual","",BU657)</f>
        <v/>
      </c>
      <c r="BV784" s="257">
        <f>IF(BV$7="Actual","",BV657)</f>
        <v/>
      </c>
      <c r="BW784" s="257">
        <f>IF(BW$7="Actual","",BW657)</f>
        <v/>
      </c>
      <c r="BX784" s="257">
        <f>IF(BX$7="Actual","",BX657)</f>
        <v/>
      </c>
      <c r="BY784" s="257">
        <f>IF(BY$7="Actual","",BY657)</f>
        <v/>
      </c>
      <c r="BZ784" s="257">
        <f>IF(BZ$7="Actual","",BZ657)</f>
        <v/>
      </c>
      <c r="CA784" s="257">
        <f>IF(CA$7="Actual","",CA657)</f>
        <v/>
      </c>
    </row>
    <row r="785" ht="12" customHeight="1" s="227">
      <c r="A785" s="244" t="n"/>
      <c r="B785" s="244" t="n"/>
      <c r="C785" s="244" t="n"/>
      <c r="H785" s="0" t="inlineStr">
        <is>
          <t xml:space="preserve"> Depreciation - Opening Bal</t>
        </is>
      </c>
      <c r="I785" s="27">
        <f>i_Setup!$M$16</f>
        <v/>
      </c>
      <c r="K785" s="6" t="n"/>
      <c r="M785" s="245">
        <f>SUMIF($T$4:$CA$4,M$4,$T785:$CA785)</f>
        <v/>
      </c>
      <c r="N785" s="245">
        <f>SUMIF($T$4:$CA$4,N$4,$T785:$CA785)</f>
        <v/>
      </c>
      <c r="O785" s="245">
        <f>SUMIF($T$4:$CA$4,O$4,$T785:$CA785)</f>
        <v/>
      </c>
      <c r="P785" s="245">
        <f>SUMIF($T$4:$CA$4,P$4,$T785:$CA785)</f>
        <v/>
      </c>
      <c r="Q785" s="245">
        <f>SUMIF($T$4:$CA$4,Q$4,$T785:$CA785)</f>
        <v/>
      </c>
      <c r="T785" s="245">
        <f>IF(T$7="Actual","",IFERROR(-SUM(OFFSET(S781,0,0,1,-MIN(T$6,$K$778)))/$K$778,0))</f>
        <v/>
      </c>
      <c r="U785" s="245">
        <f>IF(U$7="Actual","",IFERROR(-SUM(OFFSET(T781,0,0,1,-MIN(U$6,$K$778)))/$K$778,0))</f>
        <v/>
      </c>
      <c r="V785" s="245">
        <f>IF(V$7="Actual","",IFERROR(-SUM(OFFSET(U781,0,0,1,-MIN(V$6,$K$778)))/$K$778,0))</f>
        <v/>
      </c>
      <c r="W785" s="245">
        <f>IF(W$7="Actual","",IFERROR(-SUM(OFFSET(V781,0,0,1,-MIN(W$6,$K$778)))/$K$778,0))</f>
        <v/>
      </c>
      <c r="X785" s="245">
        <f>IF(X$7="Actual","",IFERROR(-SUM(OFFSET(W781,0,0,1,-MIN(X$6,$K$778)))/$K$778,0))</f>
        <v/>
      </c>
      <c r="Y785" s="245">
        <f>IF(Y$7="Actual","",IFERROR(-SUM(OFFSET(X781,0,0,1,-MIN(Y$6,$K$778)))/$K$778,0))</f>
        <v/>
      </c>
      <c r="Z785" s="245">
        <f>IF(Z$7="Actual","",IFERROR(-SUM(OFFSET(Y781,0,0,1,-MIN(Z$6,$K$778)))/$K$778,0))</f>
        <v/>
      </c>
      <c r="AA785" s="245">
        <f>IF(AA$7="Actual","",IFERROR(-SUM(OFFSET(Z781,0,0,1,-MIN(AA$6,$K$778)))/$K$778,0))</f>
        <v/>
      </c>
      <c r="AB785" s="245">
        <f>IF(AB$7="Actual","",IFERROR(-SUM(OFFSET(AA781,0,0,1,-MIN(AB$6,$K$778)))/$K$778,0))</f>
        <v/>
      </c>
      <c r="AC785" s="245">
        <f>IF(AC$7="Actual","",IFERROR(-SUM(OFFSET(AB781,0,0,1,-MIN(AC$6,$K$778)))/$K$778,0))</f>
        <v/>
      </c>
      <c r="AD785" s="245">
        <f>IF(AD$7="Actual","",IFERROR(-SUM(OFFSET(AC781,0,0,1,-MIN(AD$6,$K$778)))/$K$778,0))</f>
        <v/>
      </c>
      <c r="AE785" s="245">
        <f>IF(AE$7="Actual","",IFERROR(-SUM(OFFSET(AD781,0,0,1,-MIN(AE$6,$K$778)))/$K$778,0))</f>
        <v/>
      </c>
      <c r="AF785" s="245">
        <f>IF(AF$7="Actual","",IFERROR(-SUM(OFFSET(AE781,0,0,1,-MIN(AF$6,$K$778)))/$K$778,0))</f>
        <v/>
      </c>
      <c r="AG785" s="245">
        <f>IF(AG$7="Actual","",IFERROR(-SUM(OFFSET(AF781,0,0,1,-MIN(AG$6,$K$778)))/$K$778,0))</f>
        <v/>
      </c>
      <c r="AH785" s="245">
        <f>IF(AH$7="Actual","",IFERROR(-SUM(OFFSET(AG781,0,0,1,-MIN(AH$6,$K$778)))/$K$778,0))</f>
        <v/>
      </c>
      <c r="AI785" s="245">
        <f>IF(AI$7="Actual","",IFERROR(-SUM(OFFSET(AH781,0,0,1,-MIN(AI$6,$K$778)))/$K$778,0))</f>
        <v/>
      </c>
      <c r="AJ785" s="245">
        <f>IF(AJ$7="Actual","",IFERROR(-SUM(OFFSET(AI781,0,0,1,-MIN(AJ$6,$K$778)))/$K$778,0))</f>
        <v/>
      </c>
      <c r="AK785" s="245">
        <f>IF(AK$7="Actual","",IFERROR(-SUM(OFFSET(AJ781,0,0,1,-MIN(AK$6,$K$778)))/$K$778,0))</f>
        <v/>
      </c>
      <c r="AL785" s="245">
        <f>IF(AL$7="Actual","",IFERROR(-SUM(OFFSET(AK781,0,0,1,-MIN(AL$6,$K$778)))/$K$778,0))</f>
        <v/>
      </c>
      <c r="AM785" s="245">
        <f>IF(AM$7="Actual","",IFERROR(-SUM(OFFSET(AL781,0,0,1,-MIN(AM$6,$K$778)))/$K$778,0))</f>
        <v/>
      </c>
      <c r="AN785" s="245">
        <f>IF(AN$7="Actual","",IFERROR(-SUM(OFFSET(AM781,0,0,1,-MIN(AN$6,$K$778)))/$K$778,0))</f>
        <v/>
      </c>
      <c r="AO785" s="245">
        <f>IF(AO$7="Actual","",IFERROR(-SUM(OFFSET(AN781,0,0,1,-MIN(AO$6,$K$778)))/$K$778,0))</f>
        <v/>
      </c>
      <c r="AP785" s="245">
        <f>IF(AP$7="Actual","",IFERROR(-SUM(OFFSET(AO781,0,0,1,-MIN(AP$6,$K$778)))/$K$778,0))</f>
        <v/>
      </c>
      <c r="AQ785" s="245">
        <f>IF(AQ$7="Actual","",IFERROR(-SUM(OFFSET(AP781,0,0,1,-MIN(AQ$6,$K$778)))/$K$778,0))</f>
        <v/>
      </c>
      <c r="AR785" s="245">
        <f>IF(AR$7="Actual","",IFERROR(-SUM(OFFSET(AQ781,0,0,1,-MIN(AR$6,$K$778)))/$K$778,0))</f>
        <v/>
      </c>
      <c r="AS785" s="245">
        <f>IF(AS$7="Actual","",IFERROR(-SUM(OFFSET(AR781,0,0,1,-MIN(AS$6,$K$778)))/$K$778,0))</f>
        <v/>
      </c>
      <c r="AT785" s="245">
        <f>IF(AT$7="Actual","",IFERROR(-SUM(OFFSET(AS781,0,0,1,-MIN(AT$6,$K$778)))/$K$778,0))</f>
        <v/>
      </c>
      <c r="AU785" s="245">
        <f>IF(AU$7="Actual","",IFERROR(-SUM(OFFSET(AT781,0,0,1,-MIN(AU$6,$K$778)))/$K$778,0))</f>
        <v/>
      </c>
      <c r="AV785" s="245">
        <f>IF(AV$7="Actual","",IFERROR(-SUM(OFFSET(AU781,0,0,1,-MIN(AV$6,$K$778)))/$K$778,0))</f>
        <v/>
      </c>
      <c r="AW785" s="245">
        <f>IF(AW$7="Actual","",IFERROR(-SUM(OFFSET(AV781,0,0,1,-MIN(AW$6,$K$778)))/$K$778,0))</f>
        <v/>
      </c>
      <c r="AX785" s="245">
        <f>IF(AX$7="Actual","",IFERROR(-SUM(OFFSET(AW781,0,0,1,-MIN(AX$6,$K$778)))/$K$778,0))</f>
        <v/>
      </c>
      <c r="AY785" s="245">
        <f>IF(AY$7="Actual","",IFERROR(-SUM(OFFSET(AX781,0,0,1,-MIN(AY$6,$K$778)))/$K$778,0))</f>
        <v/>
      </c>
      <c r="AZ785" s="245">
        <f>IF(AZ$7="Actual","",IFERROR(-SUM(OFFSET(AY781,0,0,1,-MIN(AZ$6,$K$778)))/$K$778,0))</f>
        <v/>
      </c>
      <c r="BA785" s="245">
        <f>IF(BA$7="Actual","",IFERROR(-SUM(OFFSET(AZ781,0,0,1,-MIN(BA$6,$K$778)))/$K$778,0))</f>
        <v/>
      </c>
      <c r="BB785" s="245">
        <f>IF(BB$7="Actual","",IFERROR(-SUM(OFFSET(BA781,0,0,1,-MIN(BB$6,$K$778)))/$K$778,0))</f>
        <v/>
      </c>
      <c r="BC785" s="245">
        <f>IF(BC$7="Actual","",IFERROR(-SUM(OFFSET(BB781,0,0,1,-MIN(BC$6,$K$778)))/$K$778,0))</f>
        <v/>
      </c>
      <c r="BD785" s="245">
        <f>IF(BD$7="Actual","",IFERROR(-SUM(OFFSET(BC781,0,0,1,-MIN(BD$6,$K$778)))/$K$778,0))</f>
        <v/>
      </c>
      <c r="BE785" s="245">
        <f>IF(BE$7="Actual","",IFERROR(-SUM(OFFSET(BD781,0,0,1,-MIN(BE$6,$K$778)))/$K$778,0))</f>
        <v/>
      </c>
      <c r="BF785" s="245">
        <f>IF(BF$7="Actual","",IFERROR(-SUM(OFFSET(BE781,0,0,1,-MIN(BF$6,$K$778)))/$K$778,0))</f>
        <v/>
      </c>
      <c r="BG785" s="245">
        <f>IF(BG$7="Actual","",IFERROR(-SUM(OFFSET(BF781,0,0,1,-MIN(BG$6,$K$778)))/$K$778,0))</f>
        <v/>
      </c>
      <c r="BH785" s="245">
        <f>IF(BH$7="Actual","",IFERROR(-SUM(OFFSET(BG781,0,0,1,-MIN(BH$6,$K$778)))/$K$778,0))</f>
        <v/>
      </c>
      <c r="BI785" s="245">
        <f>IF(BI$7="Actual","",IFERROR(-SUM(OFFSET(BH781,0,0,1,-MIN(BI$6,$K$778)))/$K$778,0))</f>
        <v/>
      </c>
      <c r="BJ785" s="245">
        <f>IF(BJ$7="Actual","",IFERROR(-SUM(OFFSET(BI781,0,0,1,-MIN(BJ$6,$K$778)))/$K$778,0))</f>
        <v/>
      </c>
      <c r="BK785" s="245">
        <f>IF(BK$7="Actual","",IFERROR(-SUM(OFFSET(BJ781,0,0,1,-MIN(BK$6,$K$778)))/$K$778,0))</f>
        <v/>
      </c>
      <c r="BL785" s="245">
        <f>IF(BL$7="Actual","",IFERROR(-SUM(OFFSET(BK781,0,0,1,-MIN(BL$6,$K$778)))/$K$778,0))</f>
        <v/>
      </c>
      <c r="BM785" s="245">
        <f>IF(BM$7="Actual","",IFERROR(-SUM(OFFSET(BL781,0,0,1,-MIN(BM$6,$K$778)))/$K$778,0))</f>
        <v/>
      </c>
      <c r="BN785" s="245">
        <f>IF(BN$7="Actual","",IFERROR(-SUM(OFFSET(BM781,0,0,1,-MIN(BN$6,$K$778)))/$K$778,0))</f>
        <v/>
      </c>
      <c r="BO785" s="245">
        <f>IF(BO$7="Actual","",IFERROR(-SUM(OFFSET(BN781,0,0,1,-MIN(BO$6,$K$778)))/$K$778,0))</f>
        <v/>
      </c>
      <c r="BP785" s="245">
        <f>IF(BP$7="Actual","",IFERROR(-SUM(OFFSET(BO781,0,0,1,-MIN(BP$6,$K$778)))/$K$778,0))</f>
        <v/>
      </c>
      <c r="BQ785" s="245">
        <f>IF(BQ$7="Actual","",IFERROR(-SUM(OFFSET(BP781,0,0,1,-MIN(BQ$6,$K$778)))/$K$778,0))</f>
        <v/>
      </c>
      <c r="BR785" s="245">
        <f>IF(BR$7="Actual","",IFERROR(-SUM(OFFSET(BQ781,0,0,1,-MIN(BR$6,$K$778)))/$K$778,0))</f>
        <v/>
      </c>
      <c r="BS785" s="245">
        <f>IF(BS$7="Actual","",IFERROR(-SUM(OFFSET(BR781,0,0,1,-MIN(BS$6,$K$778)))/$K$778,0))</f>
        <v/>
      </c>
      <c r="BT785" s="245">
        <f>IF(BT$7="Actual","",IFERROR(-SUM(OFFSET(BS781,0,0,1,-MIN(BT$6,$K$778)))/$K$778,0))</f>
        <v/>
      </c>
      <c r="BU785" s="245">
        <f>IF(BU$7="Actual","",IFERROR(-SUM(OFFSET(BT781,0,0,1,-MIN(BU$6,$K$778)))/$K$778,0))</f>
        <v/>
      </c>
      <c r="BV785" s="245">
        <f>IF(BV$7="Actual","",IFERROR(-SUM(OFFSET(BU781,0,0,1,-MIN(BV$6,$K$778)))/$K$778,0))</f>
        <v/>
      </c>
      <c r="BW785" s="245">
        <f>IF(BW$7="Actual","",IFERROR(-SUM(OFFSET(BV781,0,0,1,-MIN(BW$6,$K$778)))/$K$778,0))</f>
        <v/>
      </c>
      <c r="BX785" s="245">
        <f>IF(BX$7="Actual","",IFERROR(-SUM(OFFSET(BW781,0,0,1,-MIN(BX$6,$K$778)))/$K$778,0))</f>
        <v/>
      </c>
      <c r="BY785" s="245">
        <f>IF(BY$7="Actual","",IFERROR(-SUM(OFFSET(BX781,0,0,1,-MIN(BY$6,$K$778)))/$K$778,0))</f>
        <v/>
      </c>
      <c r="BZ785" s="245">
        <f>IF(BZ$7="Actual","",IFERROR(-SUM(OFFSET(BY781,0,0,1,-MIN(BZ$6,$K$778)))/$K$778,0))</f>
        <v/>
      </c>
      <c r="CA785" s="245">
        <f>IF(CA$7="Actual","",IFERROR(-SUM(OFFSET(BZ781,0,0,1,-MIN(CA$6,$K$778)))/$K$778,0))</f>
        <v/>
      </c>
    </row>
    <row r="786" ht="12" customHeight="1" s="227">
      <c r="A786" s="244" t="n"/>
      <c r="B786" s="244" t="n"/>
      <c r="C786" s="244" t="n"/>
      <c r="H786" s="0" t="inlineStr">
        <is>
          <t xml:space="preserve"> Depreciation - Additions</t>
        </is>
      </c>
      <c r="I786" s="27">
        <f>i_Setup!$M$16</f>
        <v/>
      </c>
      <c r="K786" s="6" t="n"/>
      <c r="M786" s="245">
        <f>SUMIF($T$4:$CA$4,M$4,$T786:$CA786)</f>
        <v/>
      </c>
      <c r="N786" s="245">
        <f>SUMIF($T$4:$CA$4,N$4,$T786:$CA786)</f>
        <v/>
      </c>
      <c r="O786" s="245">
        <f>SUMIF($T$4:$CA$4,O$4,$T786:$CA786)</f>
        <v/>
      </c>
      <c r="P786" s="245">
        <f>SUMIF($T$4:$CA$4,P$4,$T786:$CA786)</f>
        <v/>
      </c>
      <c r="Q786" s="245">
        <f>SUMIF($T$4:$CA$4,Q$4,$T786:$CA786)</f>
        <v/>
      </c>
      <c r="T786" s="245">
        <f>IF(T$7="Actual","",IFERROR(-SUM(OFFSET(S784,0,0,1,-MIN(T$6,$K$779)))/$K$779,0))</f>
        <v/>
      </c>
      <c r="U786" s="245">
        <f>IF(U$7="Actual","",IFERROR(-SUM(OFFSET(T784,0,0,1,-MIN(U$6,$K$779)))/$K$779,0))</f>
        <v/>
      </c>
      <c r="V786" s="245">
        <f>IF(V$7="Actual","",IFERROR(-SUM(OFFSET(U784,0,0,1,-MIN(V$6,$K$779)))/$K$779,0))</f>
        <v/>
      </c>
      <c r="W786" s="245">
        <f>IF(W$7="Actual","",IFERROR(-SUM(OFFSET(V784,0,0,1,-MIN(W$6,$K$779)))/$K$779,0))</f>
        <v/>
      </c>
      <c r="X786" s="245">
        <f>IF(X$7="Actual","",IFERROR(-SUM(OFFSET(W784,0,0,1,-MIN(X$6,$K$779)))/$K$779,0))</f>
        <v/>
      </c>
      <c r="Y786" s="245">
        <f>IF(Y$7="Actual","",IFERROR(-SUM(OFFSET(X784,0,0,1,-MIN(Y$6,$K$779)))/$K$779,0))</f>
        <v/>
      </c>
      <c r="Z786" s="245">
        <f>IF(Z$7="Actual","",IFERROR(-SUM(OFFSET(Y784,0,0,1,-MIN(Z$6,$K$779)))/$K$779,0))</f>
        <v/>
      </c>
      <c r="AA786" s="245">
        <f>IF(AA$7="Actual","",IFERROR(-SUM(OFFSET(Z784,0,0,1,-MIN(AA$6,$K$779)))/$K$779,0))</f>
        <v/>
      </c>
      <c r="AB786" s="245">
        <f>IF(AB$7="Actual","",IFERROR(-SUM(OFFSET(AA784,0,0,1,-MIN(AB$6,$K$779)))/$K$779,0))</f>
        <v/>
      </c>
      <c r="AC786" s="245">
        <f>IF(AC$7="Actual","",IFERROR(-SUM(OFFSET(AB784,0,0,1,-MIN(AC$6,$K$779)))/$K$779,0))</f>
        <v/>
      </c>
      <c r="AD786" s="245">
        <f>IF(AD$7="Actual","",IFERROR(-SUM(OFFSET(AC784,0,0,1,-MIN(AD$6,$K$779)))/$K$779,0))</f>
        <v/>
      </c>
      <c r="AE786" s="245">
        <f>IF(AE$7="Actual","",IFERROR(-SUM(OFFSET(AD784,0,0,1,-MIN(AE$6,$K$779)))/$K$779,0))</f>
        <v/>
      </c>
      <c r="AF786" s="245">
        <f>IF(AF$7="Actual","",IFERROR(-SUM(OFFSET(AE784,0,0,1,-MIN(AF$6,$K$779)))/$K$779,0))</f>
        <v/>
      </c>
      <c r="AG786" s="245">
        <f>IF(AG$7="Actual","",IFERROR(-SUM(OFFSET(AF784,0,0,1,-MIN(AG$6,$K$779)))/$K$779,0))</f>
        <v/>
      </c>
      <c r="AH786" s="245">
        <f>IF(AH$7="Actual","",IFERROR(-SUM(OFFSET(AG784,0,0,1,-MIN(AH$6,$K$779)))/$K$779,0))</f>
        <v/>
      </c>
      <c r="AI786" s="245">
        <f>IF(AI$7="Actual","",IFERROR(-SUM(OFFSET(AH784,0,0,1,-MIN(AI$6,$K$779)))/$K$779,0))</f>
        <v/>
      </c>
      <c r="AJ786" s="245">
        <f>IF(AJ$7="Actual","",IFERROR(-SUM(OFFSET(AI784,0,0,1,-MIN(AJ$6,$K$779)))/$K$779,0))</f>
        <v/>
      </c>
      <c r="AK786" s="245">
        <f>IF(AK$7="Actual","",IFERROR(-SUM(OFFSET(AJ784,0,0,1,-MIN(AK$6,$K$779)))/$K$779,0))</f>
        <v/>
      </c>
      <c r="AL786" s="245">
        <f>IF(AL$7="Actual","",IFERROR(-SUM(OFFSET(AK784,0,0,1,-MIN(AL$6,$K$779)))/$K$779,0))</f>
        <v/>
      </c>
      <c r="AM786" s="245">
        <f>IF(AM$7="Actual","",IFERROR(-SUM(OFFSET(AL784,0,0,1,-MIN(AM$6,$K$779)))/$K$779,0))</f>
        <v/>
      </c>
      <c r="AN786" s="245">
        <f>IF(AN$7="Actual","",IFERROR(-SUM(OFFSET(AM784,0,0,1,-MIN(AN$6,$K$779)))/$K$779,0))</f>
        <v/>
      </c>
      <c r="AO786" s="245">
        <f>IF(AO$7="Actual","",IFERROR(-SUM(OFFSET(AN784,0,0,1,-MIN(AO$6,$K$779)))/$K$779,0))</f>
        <v/>
      </c>
      <c r="AP786" s="245">
        <f>IF(AP$7="Actual","",IFERROR(-SUM(OFFSET(AO784,0,0,1,-MIN(AP$6,$K$779)))/$K$779,0))</f>
        <v/>
      </c>
      <c r="AQ786" s="245">
        <f>IF(AQ$7="Actual","",IFERROR(-SUM(OFFSET(AP784,0,0,1,-MIN(AQ$6,$K$779)))/$K$779,0))</f>
        <v/>
      </c>
      <c r="AR786" s="245">
        <f>IF(AR$7="Actual","",IFERROR(-SUM(OFFSET(AQ784,0,0,1,-MIN(AR$6,$K$779)))/$K$779,0))</f>
        <v/>
      </c>
      <c r="AS786" s="245">
        <f>IF(AS$7="Actual","",IFERROR(-SUM(OFFSET(AR784,0,0,1,-MIN(AS$6,$K$779)))/$K$779,0))</f>
        <v/>
      </c>
      <c r="AT786" s="245">
        <f>IF(AT$7="Actual","",IFERROR(-SUM(OFFSET(AS784,0,0,1,-MIN(AT$6,$K$779)))/$K$779,0))</f>
        <v/>
      </c>
      <c r="AU786" s="245">
        <f>IF(AU$7="Actual","",IFERROR(-SUM(OFFSET(AT784,0,0,1,-MIN(AU$6,$K$779)))/$K$779,0))</f>
        <v/>
      </c>
      <c r="AV786" s="245">
        <f>IF(AV$7="Actual","",IFERROR(-SUM(OFFSET(AU784,0,0,1,-MIN(AV$6,$K$779)))/$K$779,0))</f>
        <v/>
      </c>
      <c r="AW786" s="245">
        <f>IF(AW$7="Actual","",IFERROR(-SUM(OFFSET(AV784,0,0,1,-MIN(AW$6,$K$779)))/$K$779,0))</f>
        <v/>
      </c>
      <c r="AX786" s="245">
        <f>IF(AX$7="Actual","",IFERROR(-SUM(OFFSET(AW784,0,0,1,-MIN(AX$6,$K$779)))/$K$779,0))</f>
        <v/>
      </c>
      <c r="AY786" s="245">
        <f>IF(AY$7="Actual","",IFERROR(-SUM(OFFSET(AX784,0,0,1,-MIN(AY$6,$K$779)))/$K$779,0))</f>
        <v/>
      </c>
      <c r="AZ786" s="245">
        <f>IF(AZ$7="Actual","",IFERROR(-SUM(OFFSET(AY784,0,0,1,-MIN(AZ$6,$K$779)))/$K$779,0))</f>
        <v/>
      </c>
      <c r="BA786" s="245">
        <f>IF(BA$7="Actual","",IFERROR(-SUM(OFFSET(AZ784,0,0,1,-MIN(BA$6,$K$779)))/$K$779,0))</f>
        <v/>
      </c>
      <c r="BB786" s="245">
        <f>IF(BB$7="Actual","",IFERROR(-SUM(OFFSET(BA784,0,0,1,-MIN(BB$6,$K$779)))/$K$779,0))</f>
        <v/>
      </c>
      <c r="BC786" s="245">
        <f>IF(BC$7="Actual","",IFERROR(-SUM(OFFSET(BB784,0,0,1,-MIN(BC$6,$K$779)))/$K$779,0))</f>
        <v/>
      </c>
      <c r="BD786" s="245">
        <f>IF(BD$7="Actual","",IFERROR(-SUM(OFFSET(BC784,0,0,1,-MIN(BD$6,$K$779)))/$K$779,0))</f>
        <v/>
      </c>
      <c r="BE786" s="245">
        <f>IF(BE$7="Actual","",IFERROR(-SUM(OFFSET(BD784,0,0,1,-MIN(BE$6,$K$779)))/$K$779,0))</f>
        <v/>
      </c>
      <c r="BF786" s="245">
        <f>IF(BF$7="Actual","",IFERROR(-SUM(OFFSET(BE784,0,0,1,-MIN(BF$6,$K$779)))/$K$779,0))</f>
        <v/>
      </c>
      <c r="BG786" s="245">
        <f>IF(BG$7="Actual","",IFERROR(-SUM(OFFSET(BF784,0,0,1,-MIN(BG$6,$K$779)))/$K$779,0))</f>
        <v/>
      </c>
      <c r="BH786" s="245">
        <f>IF(BH$7="Actual","",IFERROR(-SUM(OFFSET(BG784,0,0,1,-MIN(BH$6,$K$779)))/$K$779,0))</f>
        <v/>
      </c>
      <c r="BI786" s="245">
        <f>IF(BI$7="Actual","",IFERROR(-SUM(OFFSET(BH784,0,0,1,-MIN(BI$6,$K$779)))/$K$779,0))</f>
        <v/>
      </c>
      <c r="BJ786" s="245">
        <f>IF(BJ$7="Actual","",IFERROR(-SUM(OFFSET(BI784,0,0,1,-MIN(BJ$6,$K$779)))/$K$779,0))</f>
        <v/>
      </c>
      <c r="BK786" s="245">
        <f>IF(BK$7="Actual","",IFERROR(-SUM(OFFSET(BJ784,0,0,1,-MIN(BK$6,$K$779)))/$K$779,0))</f>
        <v/>
      </c>
      <c r="BL786" s="245">
        <f>IF(BL$7="Actual","",IFERROR(-SUM(OFFSET(BK784,0,0,1,-MIN(BL$6,$K$779)))/$K$779,0))</f>
        <v/>
      </c>
      <c r="BM786" s="245">
        <f>IF(BM$7="Actual","",IFERROR(-SUM(OFFSET(BL784,0,0,1,-MIN(BM$6,$K$779)))/$K$779,0))</f>
        <v/>
      </c>
      <c r="BN786" s="245">
        <f>IF(BN$7="Actual","",IFERROR(-SUM(OFFSET(BM784,0,0,1,-MIN(BN$6,$K$779)))/$K$779,0))</f>
        <v/>
      </c>
      <c r="BO786" s="245">
        <f>IF(BO$7="Actual","",IFERROR(-SUM(OFFSET(BN784,0,0,1,-MIN(BO$6,$K$779)))/$K$779,0))</f>
        <v/>
      </c>
      <c r="BP786" s="245">
        <f>IF(BP$7="Actual","",IFERROR(-SUM(OFFSET(BO784,0,0,1,-MIN(BP$6,$K$779)))/$K$779,0))</f>
        <v/>
      </c>
      <c r="BQ786" s="245">
        <f>IF(BQ$7="Actual","",IFERROR(-SUM(OFFSET(BP784,0,0,1,-MIN(BQ$6,$K$779)))/$K$779,0))</f>
        <v/>
      </c>
      <c r="BR786" s="245">
        <f>IF(BR$7="Actual","",IFERROR(-SUM(OFFSET(BQ784,0,0,1,-MIN(BR$6,$K$779)))/$K$779,0))</f>
        <v/>
      </c>
      <c r="BS786" s="245">
        <f>IF(BS$7="Actual","",IFERROR(-SUM(OFFSET(BR784,0,0,1,-MIN(BS$6,$K$779)))/$K$779,0))</f>
        <v/>
      </c>
      <c r="BT786" s="245">
        <f>IF(BT$7="Actual","",IFERROR(-SUM(OFFSET(BS784,0,0,1,-MIN(BT$6,$K$779)))/$K$779,0))</f>
        <v/>
      </c>
      <c r="BU786" s="245">
        <f>IF(BU$7="Actual","",IFERROR(-SUM(OFFSET(BT784,0,0,1,-MIN(BU$6,$K$779)))/$K$779,0))</f>
        <v/>
      </c>
      <c r="BV786" s="245">
        <f>IF(BV$7="Actual","",IFERROR(-SUM(OFFSET(BU784,0,0,1,-MIN(BV$6,$K$779)))/$K$779,0))</f>
        <v/>
      </c>
      <c r="BW786" s="245">
        <f>IF(BW$7="Actual","",IFERROR(-SUM(OFFSET(BV784,0,0,1,-MIN(BW$6,$K$779)))/$K$779,0))</f>
        <v/>
      </c>
      <c r="BX786" s="245">
        <f>IF(BX$7="Actual","",IFERROR(-SUM(OFFSET(BW784,0,0,1,-MIN(BX$6,$K$779)))/$K$779,0))</f>
        <v/>
      </c>
      <c r="BY786" s="245">
        <f>IF(BY$7="Actual","",IFERROR(-SUM(OFFSET(BX784,0,0,1,-MIN(BY$6,$K$779)))/$K$779,0))</f>
        <v/>
      </c>
      <c r="BZ786" s="245">
        <f>IF(BZ$7="Actual","",IFERROR(-SUM(OFFSET(BY784,0,0,1,-MIN(BZ$6,$K$779)))/$K$779,0))</f>
        <v/>
      </c>
      <c r="CA786" s="245">
        <f>IF(CA$7="Actual","",IFERROR(-SUM(OFFSET(BZ784,0,0,1,-MIN(CA$6,$K$779)))/$K$779,0))</f>
        <v/>
      </c>
    </row>
    <row r="787" ht="12" customHeight="1" s="227" thickBot="1">
      <c r="A787" s="244" t="n"/>
      <c r="B787" s="244" t="n"/>
      <c r="C787" s="244" t="n"/>
      <c r="H787" s="42" t="inlineStr">
        <is>
          <t>Closing Balance</t>
        </is>
      </c>
      <c r="I787" s="43">
        <f>i_Setup!$M$16</f>
        <v/>
      </c>
      <c r="K787" s="6" t="n"/>
      <c r="M787" s="264">
        <f>SUMIF($T$2:$CA$2,M$2,$T787:$CA787)</f>
        <v/>
      </c>
      <c r="N787" s="264">
        <f>SUMIF($T$2:$CA$2,N$2,$T787:$CA787)</f>
        <v/>
      </c>
      <c r="O787" s="264">
        <f>SUMIF($T$2:$CA$2,O$2,$T787:$CA787)</f>
        <v/>
      </c>
      <c r="P787" s="264">
        <f>SUMIF($T$2:$CA$2,P$2,$T787:$CA787)</f>
        <v/>
      </c>
      <c r="Q787" s="264">
        <f>SUMIF($T$2:$CA$2,Q$2,$T787:$CA787)</f>
        <v/>
      </c>
      <c r="T787" s="264">
        <f>IF(T$7="Actual",i_Actuals!T117,SUM(T783:T786))</f>
        <v/>
      </c>
      <c r="U787" s="264">
        <f>IF(U$7="Actual",i_Actuals!U117,SUM(U783:U786))</f>
        <v/>
      </c>
      <c r="V787" s="264">
        <f>IF(V$7="Actual",i_Actuals!V117,SUM(V783:V786))</f>
        <v/>
      </c>
      <c r="W787" s="264">
        <f>IF(W$7="Actual",i_Actuals!W117,SUM(W783:W786))</f>
        <v/>
      </c>
      <c r="X787" s="264">
        <f>IF(X$7="Actual",i_Actuals!X117,SUM(X783:X786))</f>
        <v/>
      </c>
      <c r="Y787" s="264">
        <f>IF(Y$7="Actual",i_Actuals!Y117,SUM(Y783:Y786))</f>
        <v/>
      </c>
      <c r="Z787" s="264">
        <f>IF(Z$7="Actual",i_Actuals!Z117,SUM(Z783:Z786))</f>
        <v/>
      </c>
      <c r="AA787" s="264">
        <f>IF(AA$7="Actual",i_Actuals!AA117,SUM(AA783:AA786))</f>
        <v/>
      </c>
      <c r="AB787" s="264">
        <f>IF(AB$7="Actual",i_Actuals!AB117,SUM(AB783:AB786))</f>
        <v/>
      </c>
      <c r="AC787" s="264">
        <f>IF(AC$7="Actual",i_Actuals!AC117,SUM(AC783:AC786))</f>
        <v/>
      </c>
      <c r="AD787" s="264">
        <f>IF(AD$7="Actual",i_Actuals!AD117,SUM(AD783:AD786))</f>
        <v/>
      </c>
      <c r="AE787" s="264">
        <f>IF(AE$7="Actual",i_Actuals!AE117,SUM(AE783:AE786))</f>
        <v/>
      </c>
      <c r="AF787" s="264">
        <f>IF(AF$7="Actual",i_Actuals!AF117,SUM(AF783:AF786))</f>
        <v/>
      </c>
      <c r="AG787" s="264">
        <f>IF(AG$7="Actual",i_Actuals!AG117,SUM(AG783:AG786))</f>
        <v/>
      </c>
      <c r="AH787" s="264">
        <f>IF(AH$7="Actual",i_Actuals!AH117,SUM(AH783:AH786))</f>
        <v/>
      </c>
      <c r="AI787" s="264">
        <f>IF(AI$7="Actual",i_Actuals!AI117,SUM(AI783:AI786))</f>
        <v/>
      </c>
      <c r="AJ787" s="264">
        <f>IF(AJ$7="Actual",i_Actuals!AJ117,SUM(AJ783:AJ786))</f>
        <v/>
      </c>
      <c r="AK787" s="264">
        <f>IF(AK$7="Actual",i_Actuals!AK117,SUM(AK783:AK786))</f>
        <v/>
      </c>
      <c r="AL787" s="264">
        <f>IF(AL$7="Actual",i_Actuals!AL117,SUM(AL783:AL786))</f>
        <v/>
      </c>
      <c r="AM787" s="264">
        <f>IF(AM$7="Actual",i_Actuals!AM117,SUM(AM783:AM786))</f>
        <v/>
      </c>
      <c r="AN787" s="264">
        <f>IF(AN$7="Actual",i_Actuals!AN117,SUM(AN783:AN786))</f>
        <v/>
      </c>
      <c r="AO787" s="264">
        <f>IF(AO$7="Actual",i_Actuals!AO117,SUM(AO783:AO786))</f>
        <v/>
      </c>
      <c r="AP787" s="264">
        <f>IF(AP$7="Actual",i_Actuals!AP117,SUM(AP783:AP786))</f>
        <v/>
      </c>
      <c r="AQ787" s="264">
        <f>IF(AQ$7="Actual",i_Actuals!AQ117,SUM(AQ783:AQ786))</f>
        <v/>
      </c>
      <c r="AR787" s="264">
        <f>IF(AR$7="Actual",i_Actuals!AR117,SUM(AR783:AR786))</f>
        <v/>
      </c>
      <c r="AS787" s="264">
        <f>IF(AS$7="Actual",i_Actuals!AS117,SUM(AS783:AS786))</f>
        <v/>
      </c>
      <c r="AT787" s="264">
        <f>IF(AT$7="Actual",i_Actuals!AT117,SUM(AT783:AT786))</f>
        <v/>
      </c>
      <c r="AU787" s="264">
        <f>IF(AU$7="Actual",i_Actuals!AU117,SUM(AU783:AU786))</f>
        <v/>
      </c>
      <c r="AV787" s="264">
        <f>IF(AV$7="Actual",i_Actuals!AV117,SUM(AV783:AV786))</f>
        <v/>
      </c>
      <c r="AW787" s="264">
        <f>IF(AW$7="Actual",i_Actuals!AW117,SUM(AW783:AW786))</f>
        <v/>
      </c>
      <c r="AX787" s="264">
        <f>IF(AX$7="Actual",i_Actuals!AX117,SUM(AX783:AX786))</f>
        <v/>
      </c>
      <c r="AY787" s="264">
        <f>IF(AY$7="Actual",i_Actuals!AY117,SUM(AY783:AY786))</f>
        <v/>
      </c>
      <c r="AZ787" s="264">
        <f>IF(AZ$7="Actual",i_Actuals!AZ117,SUM(AZ783:AZ786))</f>
        <v/>
      </c>
      <c r="BA787" s="264">
        <f>IF(BA$7="Actual",i_Actuals!BA117,SUM(BA783:BA786))</f>
        <v/>
      </c>
      <c r="BB787" s="264">
        <f>IF(BB$7="Actual",i_Actuals!BB117,SUM(BB783:BB786))</f>
        <v/>
      </c>
      <c r="BC787" s="264">
        <f>IF(BC$7="Actual",i_Actuals!BC117,SUM(BC783:BC786))</f>
        <v/>
      </c>
      <c r="BD787" s="264">
        <f>IF(BD$7="Actual",i_Actuals!BD117,SUM(BD783:BD786))</f>
        <v/>
      </c>
      <c r="BE787" s="264">
        <f>IF(BE$7="Actual",i_Actuals!BE117,SUM(BE783:BE786))</f>
        <v/>
      </c>
      <c r="BF787" s="264">
        <f>IF(BF$7="Actual",i_Actuals!BF117,SUM(BF783:BF786))</f>
        <v/>
      </c>
      <c r="BG787" s="264">
        <f>IF(BG$7="Actual",i_Actuals!BG117,SUM(BG783:BG786))</f>
        <v/>
      </c>
      <c r="BH787" s="264">
        <f>IF(BH$7="Actual",i_Actuals!BH117,SUM(BH783:BH786))</f>
        <v/>
      </c>
      <c r="BI787" s="264">
        <f>IF(BI$7="Actual",i_Actuals!BI117,SUM(BI783:BI786))</f>
        <v/>
      </c>
      <c r="BJ787" s="264">
        <f>IF(BJ$7="Actual",i_Actuals!BJ117,SUM(BJ783:BJ786))</f>
        <v/>
      </c>
      <c r="BK787" s="264">
        <f>IF(BK$7="Actual",i_Actuals!BK117,SUM(BK783:BK786))</f>
        <v/>
      </c>
      <c r="BL787" s="264">
        <f>IF(BL$7="Actual",i_Actuals!BL117,SUM(BL783:BL786))</f>
        <v/>
      </c>
      <c r="BM787" s="264">
        <f>IF(BM$7="Actual",i_Actuals!BM117,SUM(BM783:BM786))</f>
        <v/>
      </c>
      <c r="BN787" s="264">
        <f>IF(BN$7="Actual",i_Actuals!BN117,SUM(BN783:BN786))</f>
        <v/>
      </c>
      <c r="BO787" s="264">
        <f>IF(BO$7="Actual",i_Actuals!BO117,SUM(BO783:BO786))</f>
        <v/>
      </c>
      <c r="BP787" s="264">
        <f>IF(BP$7="Actual",i_Actuals!BP117,SUM(BP783:BP786))</f>
        <v/>
      </c>
      <c r="BQ787" s="264">
        <f>IF(BQ$7="Actual",i_Actuals!BQ117,SUM(BQ783:BQ786))</f>
        <v/>
      </c>
      <c r="BR787" s="264">
        <f>IF(BR$7="Actual",i_Actuals!BR117,SUM(BR783:BR786))</f>
        <v/>
      </c>
      <c r="BS787" s="264">
        <f>IF(BS$7="Actual",i_Actuals!BS117,SUM(BS783:BS786))</f>
        <v/>
      </c>
      <c r="BT787" s="264">
        <f>IF(BT$7="Actual",i_Actuals!BT117,SUM(BT783:BT786))</f>
        <v/>
      </c>
      <c r="BU787" s="264">
        <f>IF(BU$7="Actual",i_Actuals!BU117,SUM(BU783:BU786))</f>
        <v/>
      </c>
      <c r="BV787" s="264">
        <f>IF(BV$7="Actual",i_Actuals!BV117,SUM(BV783:BV786))</f>
        <v/>
      </c>
      <c r="BW787" s="264">
        <f>IF(BW$7="Actual",i_Actuals!BW117,SUM(BW783:BW786))</f>
        <v/>
      </c>
      <c r="BX787" s="264">
        <f>IF(BX$7="Actual",i_Actuals!BX117,SUM(BX783:BX786))</f>
        <v/>
      </c>
      <c r="BY787" s="264">
        <f>IF(BY$7="Actual",i_Actuals!BY117,SUM(BY783:BY786))</f>
        <v/>
      </c>
      <c r="BZ787" s="264">
        <f>IF(BZ$7="Actual",i_Actuals!BZ117,SUM(BZ783:BZ786))</f>
        <v/>
      </c>
      <c r="CA787" s="264">
        <f>IF(CA$7="Actual",i_Actuals!CA117,SUM(CA783:CA786))</f>
        <v/>
      </c>
    </row>
    <row r="788" ht="12" customHeight="1" s="227">
      <c r="A788" s="244" t="n"/>
      <c r="B788" s="244" t="n"/>
      <c r="C788" s="244" t="n"/>
      <c r="K788" s="6" t="n"/>
    </row>
    <row r="789" ht="12" customFormat="1" customHeight="1" s="8">
      <c r="A789" s="244" t="n"/>
      <c r="B789" s="244">
        <f>SUM(L789:CA789)</f>
        <v/>
      </c>
      <c r="D789" s="4" t="n"/>
      <c r="E789" s="4" t="n"/>
      <c r="F789" s="4" t="n"/>
      <c r="G789" s="4" t="n"/>
      <c r="H789" s="0" t="inlineStr">
        <is>
          <t>Signage Check</t>
        </is>
      </c>
      <c r="I789" s="4" t="n"/>
      <c r="J789" s="4" t="n"/>
      <c r="K789" s="6" t="n"/>
      <c r="L789" s="4" t="n"/>
      <c r="M789" s="244">
        <f>IF(M$7&lt;&gt;"",IF(ROUND(M787,0)&lt;0,1,0),"")</f>
        <v/>
      </c>
      <c r="N789" s="244">
        <f>IF(N$7&lt;&gt;"",IF(ROUND(N787,0)&lt;0,1,0),"")</f>
        <v/>
      </c>
      <c r="O789" s="244">
        <f>IF(O$7&lt;&gt;"",IF(ROUND(O787,0)&lt;0,1,0),"")</f>
        <v/>
      </c>
      <c r="P789" s="244">
        <f>IF(P$7&lt;&gt;"",IF(ROUND(P787,0)&lt;0,1,0),"")</f>
        <v/>
      </c>
      <c r="Q789" s="244">
        <f>IF(Q$7&lt;&gt;"",IF(ROUND(Q787,0)&lt;0,1,0),"")</f>
        <v/>
      </c>
      <c r="R789" s="244" t="n"/>
      <c r="S789" s="244" t="n"/>
      <c r="T789" s="244">
        <f>IF(T$7&lt;&gt;"",IF(ROUND(T787,0)&lt;0,1,0),"")</f>
        <v/>
      </c>
      <c r="U789" s="244">
        <f>IF(U$7&lt;&gt;"",IF(ROUND(U787,0)&lt;0,1,0),"")</f>
        <v/>
      </c>
      <c r="V789" s="244">
        <f>IF(V$7&lt;&gt;"",IF(ROUND(V787,0)&lt;0,1,0),"")</f>
        <v/>
      </c>
      <c r="W789" s="244">
        <f>IF(W$7&lt;&gt;"",IF(ROUND(W787,0)&lt;0,1,0),"")</f>
        <v/>
      </c>
      <c r="X789" s="244">
        <f>IF(X$7&lt;&gt;"",IF(ROUND(X787,0)&lt;0,1,0),"")</f>
        <v/>
      </c>
      <c r="Y789" s="244">
        <f>IF(Y$7&lt;&gt;"",IF(ROUND(Y787,0)&lt;0,1,0),"")</f>
        <v/>
      </c>
      <c r="Z789" s="244">
        <f>IF(Z$7&lt;&gt;"",IF(ROUND(Z787,0)&lt;0,1,0),"")</f>
        <v/>
      </c>
      <c r="AA789" s="244">
        <f>IF(AA$7&lt;&gt;"",IF(ROUND(AA787,0)&lt;0,1,0),"")</f>
        <v/>
      </c>
      <c r="AB789" s="244">
        <f>IF(AB$7&lt;&gt;"",IF(ROUND(AB787,0)&lt;0,1,0),"")</f>
        <v/>
      </c>
      <c r="AC789" s="244">
        <f>IF(AC$7&lt;&gt;"",IF(ROUND(AC787,0)&lt;0,1,0),"")</f>
        <v/>
      </c>
      <c r="AD789" s="244">
        <f>IF(AD$7&lt;&gt;"",IF(ROUND(AD787,0)&lt;0,1,0),"")</f>
        <v/>
      </c>
      <c r="AE789" s="244">
        <f>IF(AE$7&lt;&gt;"",IF(ROUND(AE787,0)&lt;0,1,0),"")</f>
        <v/>
      </c>
      <c r="AF789" s="244">
        <f>IF(AF$7&lt;&gt;"",IF(ROUND(AF787,0)&lt;0,1,0),"")</f>
        <v/>
      </c>
      <c r="AG789" s="244">
        <f>IF(AG$7&lt;&gt;"",IF(ROUND(AG787,0)&lt;0,1,0),"")</f>
        <v/>
      </c>
      <c r="AH789" s="244">
        <f>IF(AH$7&lt;&gt;"",IF(ROUND(AH787,0)&lt;0,1,0),"")</f>
        <v/>
      </c>
      <c r="AI789" s="244">
        <f>IF(AI$7&lt;&gt;"",IF(ROUND(AI787,0)&lt;0,1,0),"")</f>
        <v/>
      </c>
      <c r="AJ789" s="244">
        <f>IF(AJ$7&lt;&gt;"",IF(ROUND(AJ787,0)&lt;0,1,0),"")</f>
        <v/>
      </c>
      <c r="AK789" s="244">
        <f>IF(AK$7&lt;&gt;"",IF(ROUND(AK787,0)&lt;0,1,0),"")</f>
        <v/>
      </c>
      <c r="AL789" s="244">
        <f>IF(AL$7&lt;&gt;"",IF(ROUND(AL787,0)&lt;0,1,0),"")</f>
        <v/>
      </c>
      <c r="AM789" s="244">
        <f>IF(AM$7&lt;&gt;"",IF(ROUND(AM787,0)&lt;0,1,0),"")</f>
        <v/>
      </c>
      <c r="AN789" s="244">
        <f>IF(AN$7&lt;&gt;"",IF(ROUND(AN787,0)&lt;0,1,0),"")</f>
        <v/>
      </c>
      <c r="AO789" s="244">
        <f>IF(AO$7&lt;&gt;"",IF(ROUND(AO787,0)&lt;0,1,0),"")</f>
        <v/>
      </c>
      <c r="AP789" s="244">
        <f>IF(AP$7&lt;&gt;"",IF(ROUND(AP787,0)&lt;0,1,0),"")</f>
        <v/>
      </c>
      <c r="AQ789" s="244">
        <f>IF(AQ$7&lt;&gt;"",IF(ROUND(AQ787,0)&lt;0,1,0),"")</f>
        <v/>
      </c>
      <c r="AR789" s="244">
        <f>IF(AR$7&lt;&gt;"",IF(ROUND(AR787,0)&lt;0,1,0),"")</f>
        <v/>
      </c>
      <c r="AS789" s="244">
        <f>IF(AS$7&lt;&gt;"",IF(ROUND(AS787,0)&lt;0,1,0),"")</f>
        <v/>
      </c>
      <c r="AT789" s="244">
        <f>IF(AT$7&lt;&gt;"",IF(ROUND(AT787,0)&lt;0,1,0),"")</f>
        <v/>
      </c>
      <c r="AU789" s="244">
        <f>IF(AU$7&lt;&gt;"",IF(ROUND(AU787,0)&lt;0,1,0),"")</f>
        <v/>
      </c>
      <c r="AV789" s="244">
        <f>IF(AV$7&lt;&gt;"",IF(ROUND(AV787,0)&lt;0,1,0),"")</f>
        <v/>
      </c>
      <c r="AW789" s="244">
        <f>IF(AW$7&lt;&gt;"",IF(ROUND(AW787,0)&lt;0,1,0),"")</f>
        <v/>
      </c>
      <c r="AX789" s="244">
        <f>IF(AX$7&lt;&gt;"",IF(ROUND(AX787,0)&lt;0,1,0),"")</f>
        <v/>
      </c>
      <c r="AY789" s="244">
        <f>IF(AY$7&lt;&gt;"",IF(ROUND(AY787,0)&lt;0,1,0),"")</f>
        <v/>
      </c>
      <c r="AZ789" s="244">
        <f>IF(AZ$7&lt;&gt;"",IF(ROUND(AZ787,0)&lt;0,1,0),"")</f>
        <v/>
      </c>
      <c r="BA789" s="244">
        <f>IF(BA$7&lt;&gt;"",IF(ROUND(BA787,0)&lt;0,1,0),"")</f>
        <v/>
      </c>
      <c r="BB789" s="244">
        <f>IF(BB$7&lt;&gt;"",IF(ROUND(BB787,0)&lt;0,1,0),"")</f>
        <v/>
      </c>
      <c r="BC789" s="244">
        <f>IF(BC$7&lt;&gt;"",IF(ROUND(BC787,0)&lt;0,1,0),"")</f>
        <v/>
      </c>
      <c r="BD789" s="244">
        <f>IF(BD$7&lt;&gt;"",IF(ROUND(BD787,0)&lt;0,1,0),"")</f>
        <v/>
      </c>
      <c r="BE789" s="244">
        <f>IF(BE$7&lt;&gt;"",IF(ROUND(BE787,0)&lt;0,1,0),"")</f>
        <v/>
      </c>
      <c r="BF789" s="244">
        <f>IF(BF$7&lt;&gt;"",IF(ROUND(BF787,0)&lt;0,1,0),"")</f>
        <v/>
      </c>
      <c r="BG789" s="244">
        <f>IF(BG$7&lt;&gt;"",IF(ROUND(BG787,0)&lt;0,1,0),"")</f>
        <v/>
      </c>
      <c r="BH789" s="244">
        <f>IF(BH$7&lt;&gt;"",IF(ROUND(BH787,0)&lt;0,1,0),"")</f>
        <v/>
      </c>
      <c r="BI789" s="244">
        <f>IF(BI$7&lt;&gt;"",IF(ROUND(BI787,0)&lt;0,1,0),"")</f>
        <v/>
      </c>
      <c r="BJ789" s="244">
        <f>IF(BJ$7&lt;&gt;"",IF(ROUND(BJ787,0)&lt;0,1,0),"")</f>
        <v/>
      </c>
      <c r="BK789" s="244">
        <f>IF(BK$7&lt;&gt;"",IF(ROUND(BK787,0)&lt;0,1,0),"")</f>
        <v/>
      </c>
      <c r="BL789" s="244">
        <f>IF(BL$7&lt;&gt;"",IF(ROUND(BL787,0)&lt;0,1,0),"")</f>
        <v/>
      </c>
      <c r="BM789" s="244">
        <f>IF(BM$7&lt;&gt;"",IF(ROUND(BM787,0)&lt;0,1,0),"")</f>
        <v/>
      </c>
      <c r="BN789" s="244">
        <f>IF(BN$7&lt;&gt;"",IF(ROUND(BN787,0)&lt;0,1,0),"")</f>
        <v/>
      </c>
      <c r="BO789" s="244">
        <f>IF(BO$7&lt;&gt;"",IF(ROUND(BO787,0)&lt;0,1,0),"")</f>
        <v/>
      </c>
      <c r="BP789" s="244">
        <f>IF(BP$7&lt;&gt;"",IF(ROUND(BP787,0)&lt;0,1,0),"")</f>
        <v/>
      </c>
      <c r="BQ789" s="244">
        <f>IF(BQ$7&lt;&gt;"",IF(ROUND(BQ787,0)&lt;0,1,0),"")</f>
        <v/>
      </c>
      <c r="BR789" s="244">
        <f>IF(BR$7&lt;&gt;"",IF(ROUND(BR787,0)&lt;0,1,0),"")</f>
        <v/>
      </c>
      <c r="BS789" s="244">
        <f>IF(BS$7&lt;&gt;"",IF(ROUND(BS787,0)&lt;0,1,0),"")</f>
        <v/>
      </c>
      <c r="BT789" s="244">
        <f>IF(BT$7&lt;&gt;"",IF(ROUND(BT787,0)&lt;0,1,0),"")</f>
        <v/>
      </c>
      <c r="BU789" s="244">
        <f>IF(BU$7&lt;&gt;"",IF(ROUND(BU787,0)&lt;0,1,0),"")</f>
        <v/>
      </c>
      <c r="BV789" s="244">
        <f>IF(BV$7&lt;&gt;"",IF(ROUND(BV787,0)&lt;0,1,0),"")</f>
        <v/>
      </c>
      <c r="BW789" s="244">
        <f>IF(BW$7&lt;&gt;"",IF(ROUND(BW787,0)&lt;0,1,0),"")</f>
        <v/>
      </c>
      <c r="BX789" s="244">
        <f>IF(BX$7&lt;&gt;"",IF(ROUND(BX787,0)&lt;0,1,0),"")</f>
        <v/>
      </c>
      <c r="BY789" s="244">
        <f>IF(BY$7&lt;&gt;"",IF(ROUND(BY787,0)&lt;0,1,0),"")</f>
        <v/>
      </c>
      <c r="BZ789" s="244">
        <f>IF(BZ$7&lt;&gt;"",IF(ROUND(BZ787,0)&lt;0,1,0),"")</f>
        <v/>
      </c>
      <c r="CA789" s="244">
        <f>IF(CA$7&lt;&gt;"",IF(ROUND(CA787,0)&lt;0,1,0),"")</f>
        <v/>
      </c>
    </row>
    <row r="790" ht="12" customHeight="1" s="227">
      <c r="A790" s="244" t="n"/>
      <c r="B790" s="244" t="n"/>
      <c r="C790" s="244" t="n"/>
      <c r="K790" s="6" t="n"/>
    </row>
    <row r="791" ht="12" customHeight="1" s="227">
      <c r="A791" s="244" t="n"/>
      <c r="B791" s="244" t="n"/>
      <c r="C791" s="244" t="n"/>
      <c r="K791" s="6" t="n"/>
    </row>
    <row r="792" ht="12" customHeight="1" s="227">
      <c r="A792" s="244" t="n"/>
      <c r="B792" s="244" t="n"/>
      <c r="C792" s="244" t="n"/>
      <c r="G792" s="222">
        <f>i_Setup!U117</f>
        <v/>
      </c>
      <c r="K792" s="6" t="n"/>
    </row>
    <row r="793" ht="12" customHeight="1" s="227">
      <c r="A793" s="244" t="n"/>
      <c r="B793" s="244" t="n"/>
      <c r="C793" s="244" t="n"/>
      <c r="K793" s="6" t="n"/>
    </row>
    <row r="794" ht="12" customHeight="1" s="227">
      <c r="A794" s="244" t="n"/>
      <c r="B794" s="244" t="n"/>
      <c r="C794" s="244" t="n"/>
      <c r="H794" s="0" t="inlineStr">
        <is>
          <t>Useful Life - Opening Bal</t>
        </is>
      </c>
      <c r="I794" s="27" t="inlineStr">
        <is>
          <t>Months</t>
        </is>
      </c>
      <c r="K794" s="259">
        <f>i_Actuals!K118*12</f>
        <v/>
      </c>
    </row>
    <row r="795" ht="12" customHeight="1" s="227">
      <c r="A795" s="244" t="n"/>
      <c r="B795" s="244" t="n"/>
      <c r="C795" s="244" t="n"/>
      <c r="H795" s="0" t="inlineStr">
        <is>
          <t>Useful Life - Additions</t>
        </is>
      </c>
      <c r="I795" s="27" t="inlineStr">
        <is>
          <t>Months</t>
        </is>
      </c>
      <c r="K795" s="259">
        <f>i_Assumptions!K649*12</f>
        <v/>
      </c>
    </row>
    <row r="796" ht="12" customHeight="1" s="227">
      <c r="A796" s="244" t="n"/>
      <c r="B796" s="244" t="n"/>
      <c r="C796" s="244" t="n"/>
      <c r="H796" s="0" t="n"/>
      <c r="I796" s="27" t="n"/>
      <c r="K796" s="6" t="n"/>
    </row>
    <row r="797" ht="12" customHeight="1" s="227">
      <c r="A797" s="244" t="n"/>
      <c r="B797" s="244" t="n"/>
      <c r="C797" s="244" t="n"/>
      <c r="H797" s="0" t="inlineStr">
        <is>
          <t>Opening Balance</t>
        </is>
      </c>
      <c r="I797" s="27">
        <f>i_Setup!$M$16</f>
        <v/>
      </c>
      <c r="K797" s="6" t="n"/>
      <c r="M797" s="245">
        <f>SUMIF($T$1:$CA$1,M$1,$T797:$CA797)</f>
        <v/>
      </c>
      <c r="N797" s="245">
        <f>SUMIF($T$1:$CA$1,N$1,$T797:$CA797)</f>
        <v/>
      </c>
      <c r="O797" s="245">
        <f>SUMIF($T$1:$CA$1,O$1,$T797:$CA797)</f>
        <v/>
      </c>
      <c r="P797" s="245">
        <f>SUMIF($T$1:$CA$1,P$1,$T797:$CA797)</f>
        <v/>
      </c>
      <c r="Q797" s="245">
        <f>SUMIF($T$1:$CA$1,Q$1,$T797:$CA797)</f>
        <v/>
      </c>
      <c r="T797" s="245">
        <f>IF(T$2=i_Setup!$U$26,i_Actuals!T118,0)</f>
        <v/>
      </c>
      <c r="U797" s="245">
        <f>IF(U$2=i_Setup!$U$26,i_Actuals!U118,0)</f>
        <v/>
      </c>
      <c r="V797" s="245">
        <f>IF(V$2=i_Setup!$U$26,i_Actuals!V118,0)</f>
        <v/>
      </c>
      <c r="W797" s="245">
        <f>IF(W$2=i_Setup!$U$26,i_Actuals!W118,0)</f>
        <v/>
      </c>
      <c r="X797" s="245">
        <f>IF(X$2=i_Setup!$U$26,i_Actuals!X118,0)</f>
        <v/>
      </c>
      <c r="Y797" s="245">
        <f>IF(Y$2=i_Setup!$U$26,i_Actuals!Y118,0)</f>
        <v/>
      </c>
      <c r="Z797" s="245">
        <f>IF(Z$2=i_Setup!$U$26,i_Actuals!Z118,0)</f>
        <v/>
      </c>
      <c r="AA797" s="245">
        <f>IF(AA$2=i_Setup!$U$26,i_Actuals!AA118,0)</f>
        <v/>
      </c>
      <c r="AB797" s="245">
        <f>IF(AB$2=i_Setup!$U$26,i_Actuals!AB118,0)</f>
        <v/>
      </c>
      <c r="AC797" s="245">
        <f>IF(AC$2=i_Setup!$U$26,i_Actuals!AC118,0)</f>
        <v/>
      </c>
      <c r="AD797" s="245">
        <f>IF(AD$2=i_Setup!$U$26,i_Actuals!AD118,0)</f>
        <v/>
      </c>
      <c r="AE797" s="245">
        <f>IF(AE$2=i_Setup!$U$26,i_Actuals!AE118,0)</f>
        <v/>
      </c>
      <c r="AF797" s="245">
        <f>IF(AF$2=i_Setup!$U$26,i_Actuals!AF118,0)</f>
        <v/>
      </c>
      <c r="AG797" s="245">
        <f>IF(AG$2=i_Setup!$U$26,i_Actuals!AG118,0)</f>
        <v/>
      </c>
      <c r="AH797" s="245">
        <f>IF(AH$2=i_Setup!$U$26,i_Actuals!AH118,0)</f>
        <v/>
      </c>
      <c r="AI797" s="245">
        <f>IF(AI$2=i_Setup!$U$26,i_Actuals!AI118,0)</f>
        <v/>
      </c>
      <c r="AJ797" s="245">
        <f>IF(AJ$2=i_Setup!$U$26,i_Actuals!AJ118,0)</f>
        <v/>
      </c>
      <c r="AK797" s="245">
        <f>IF(AK$2=i_Setup!$U$26,i_Actuals!AK118,0)</f>
        <v/>
      </c>
      <c r="AL797" s="245">
        <f>IF(AL$2=i_Setup!$U$26,i_Actuals!AL118,0)</f>
        <v/>
      </c>
      <c r="AM797" s="245">
        <f>IF(AM$2=i_Setup!$U$26,i_Actuals!AM118,0)</f>
        <v/>
      </c>
      <c r="AN797" s="245">
        <f>IF(AN$2=i_Setup!$U$26,i_Actuals!AN118,0)</f>
        <v/>
      </c>
      <c r="AO797" s="245">
        <f>IF(AO$2=i_Setup!$U$26,i_Actuals!AO118,0)</f>
        <v/>
      </c>
      <c r="AP797" s="245">
        <f>IF(AP$2=i_Setup!$U$26,i_Actuals!AP118,0)</f>
        <v/>
      </c>
      <c r="AQ797" s="245">
        <f>IF(AQ$2=i_Setup!$U$26,i_Actuals!AQ118,0)</f>
        <v/>
      </c>
      <c r="AR797" s="245">
        <f>IF(AR$2=i_Setup!$U$26,i_Actuals!AR118,0)</f>
        <v/>
      </c>
      <c r="AS797" s="245">
        <f>IF(AS$2=i_Setup!$U$26,i_Actuals!AS118,0)</f>
        <v/>
      </c>
      <c r="AT797" s="245">
        <f>IF(AT$2=i_Setup!$U$26,i_Actuals!AT118,0)</f>
        <v/>
      </c>
      <c r="AU797" s="245">
        <f>IF(AU$2=i_Setup!$U$26,i_Actuals!AU118,0)</f>
        <v/>
      </c>
      <c r="AV797" s="245">
        <f>IF(AV$2=i_Setup!$U$26,i_Actuals!AV118,0)</f>
        <v/>
      </c>
      <c r="AW797" s="245">
        <f>IF(AW$2=i_Setup!$U$26,i_Actuals!AW118,0)</f>
        <v/>
      </c>
      <c r="AX797" s="245">
        <f>IF(AX$2=i_Setup!$U$26,i_Actuals!AX118,0)</f>
        <v/>
      </c>
      <c r="AY797" s="245">
        <f>IF(AY$2=i_Setup!$U$26,i_Actuals!AY118,0)</f>
        <v/>
      </c>
      <c r="AZ797" s="245">
        <f>IF(AZ$2=i_Setup!$U$26,i_Actuals!AZ118,0)</f>
        <v/>
      </c>
      <c r="BA797" s="245">
        <f>IF(BA$2=i_Setup!$U$26,i_Actuals!BA118,0)</f>
        <v/>
      </c>
      <c r="BB797" s="245">
        <f>IF(BB$2=i_Setup!$U$26,i_Actuals!BB118,0)</f>
        <v/>
      </c>
      <c r="BC797" s="245">
        <f>IF(BC$2=i_Setup!$U$26,i_Actuals!BC118,0)</f>
        <v/>
      </c>
      <c r="BD797" s="245">
        <f>IF(BD$2=i_Setup!$U$26,i_Actuals!BD118,0)</f>
        <v/>
      </c>
      <c r="BE797" s="245">
        <f>IF(BE$2=i_Setup!$U$26,i_Actuals!BE118,0)</f>
        <v/>
      </c>
      <c r="BF797" s="245">
        <f>IF(BF$2=i_Setup!$U$26,i_Actuals!BF118,0)</f>
        <v/>
      </c>
      <c r="BG797" s="245">
        <f>IF(BG$2=i_Setup!$U$26,i_Actuals!BG118,0)</f>
        <v/>
      </c>
      <c r="BH797" s="245">
        <f>IF(BH$2=i_Setup!$U$26,i_Actuals!BH118,0)</f>
        <v/>
      </c>
      <c r="BI797" s="245">
        <f>IF(BI$2=i_Setup!$U$26,i_Actuals!BI118,0)</f>
        <v/>
      </c>
      <c r="BJ797" s="245">
        <f>IF(BJ$2=i_Setup!$U$26,i_Actuals!BJ118,0)</f>
        <v/>
      </c>
      <c r="BK797" s="245">
        <f>IF(BK$2=i_Setup!$U$26,i_Actuals!BK118,0)</f>
        <v/>
      </c>
      <c r="BL797" s="245">
        <f>IF(BL$2=i_Setup!$U$26,i_Actuals!BL118,0)</f>
        <v/>
      </c>
      <c r="BM797" s="245">
        <f>IF(BM$2=i_Setup!$U$26,i_Actuals!BM118,0)</f>
        <v/>
      </c>
      <c r="BN797" s="245">
        <f>IF(BN$2=i_Setup!$U$26,i_Actuals!BN118,0)</f>
        <v/>
      </c>
      <c r="BO797" s="245">
        <f>IF(BO$2=i_Setup!$U$26,i_Actuals!BO118,0)</f>
        <v/>
      </c>
      <c r="BP797" s="245">
        <f>IF(BP$2=i_Setup!$U$26,i_Actuals!BP118,0)</f>
        <v/>
      </c>
      <c r="BQ797" s="245">
        <f>IF(BQ$2=i_Setup!$U$26,i_Actuals!BQ118,0)</f>
        <v/>
      </c>
      <c r="BR797" s="245">
        <f>IF(BR$2=i_Setup!$U$26,i_Actuals!BR118,0)</f>
        <v/>
      </c>
      <c r="BS797" s="245">
        <f>IF(BS$2=i_Setup!$U$26,i_Actuals!BS118,0)</f>
        <v/>
      </c>
      <c r="BT797" s="245">
        <f>IF(BT$2=i_Setup!$U$26,i_Actuals!BT118,0)</f>
        <v/>
      </c>
      <c r="BU797" s="245">
        <f>IF(BU$2=i_Setup!$U$26,i_Actuals!BU118,0)</f>
        <v/>
      </c>
      <c r="BV797" s="245">
        <f>IF(BV$2=i_Setup!$U$26,i_Actuals!BV118,0)</f>
        <v/>
      </c>
      <c r="BW797" s="245">
        <f>IF(BW$2=i_Setup!$U$26,i_Actuals!BW118,0)</f>
        <v/>
      </c>
      <c r="BX797" s="245">
        <f>IF(BX$2=i_Setup!$U$26,i_Actuals!BX118,0)</f>
        <v/>
      </c>
      <c r="BY797" s="245">
        <f>IF(BY$2=i_Setup!$U$26,i_Actuals!BY118,0)</f>
        <v/>
      </c>
      <c r="BZ797" s="245">
        <f>IF(BZ$2=i_Setup!$U$26,i_Actuals!BZ118,0)</f>
        <v/>
      </c>
      <c r="CA797" s="245">
        <f>IF(CA$2=i_Setup!$U$26,i_Actuals!CA118,0)</f>
        <v/>
      </c>
    </row>
    <row r="798" ht="12" customHeight="1" s="227">
      <c r="A798" s="244" t="n"/>
      <c r="B798" s="244" t="n"/>
      <c r="C798" s="244" t="n"/>
      <c r="H798" s="0" t="n"/>
      <c r="I798" s="27" t="n"/>
      <c r="K798" s="6" t="n"/>
    </row>
    <row r="799" ht="12" customHeight="1" s="227">
      <c r="A799" s="244" t="n"/>
      <c r="B799" s="244" t="n"/>
      <c r="C799" s="244" t="n"/>
      <c r="H799" s="0" t="inlineStr">
        <is>
          <t>Opening Balance</t>
        </is>
      </c>
      <c r="I799" s="27">
        <f>i_Setup!$M$16</f>
        <v/>
      </c>
      <c r="K799" s="6" t="n"/>
      <c r="M799" s="245">
        <f>SUMIF($T$1:$CA$1,M$1,$T799:$CA799)</f>
        <v/>
      </c>
      <c r="N799" s="245">
        <f>SUMIF($T$1:$CA$1,N$1,$T799:$CA799)</f>
        <v/>
      </c>
      <c r="O799" s="245">
        <f>SUMIF($T$1:$CA$1,O$1,$T799:$CA799)</f>
        <v/>
      </c>
      <c r="P799" s="245">
        <f>SUMIF($T$1:$CA$1,P$1,$T799:$CA799)</f>
        <v/>
      </c>
      <c r="Q799" s="245">
        <f>SUMIF($T$1:$CA$1,Q$1,$T799:$CA799)</f>
        <v/>
      </c>
      <c r="T799" s="245">
        <f>S803</f>
        <v/>
      </c>
      <c r="U799" s="245">
        <f>T803</f>
        <v/>
      </c>
      <c r="V799" s="245">
        <f>U803</f>
        <v/>
      </c>
      <c r="W799" s="245">
        <f>V803</f>
        <v/>
      </c>
      <c r="X799" s="245">
        <f>W803</f>
        <v/>
      </c>
      <c r="Y799" s="245">
        <f>X803</f>
        <v/>
      </c>
      <c r="Z799" s="245">
        <f>Y803</f>
        <v/>
      </c>
      <c r="AA799" s="245">
        <f>Z803</f>
        <v/>
      </c>
      <c r="AB799" s="245">
        <f>AA803</f>
        <v/>
      </c>
      <c r="AC799" s="245">
        <f>AB803</f>
        <v/>
      </c>
      <c r="AD799" s="245">
        <f>AC803</f>
        <v/>
      </c>
      <c r="AE799" s="245">
        <f>AD803</f>
        <v/>
      </c>
      <c r="AF799" s="245">
        <f>AE803</f>
        <v/>
      </c>
      <c r="AG799" s="245">
        <f>AF803</f>
        <v/>
      </c>
      <c r="AH799" s="245">
        <f>AG803</f>
        <v/>
      </c>
      <c r="AI799" s="245">
        <f>AH803</f>
        <v/>
      </c>
      <c r="AJ799" s="245">
        <f>AI803</f>
        <v/>
      </c>
      <c r="AK799" s="245">
        <f>AJ803</f>
        <v/>
      </c>
      <c r="AL799" s="245">
        <f>AK803</f>
        <v/>
      </c>
      <c r="AM799" s="245">
        <f>AL803</f>
        <v/>
      </c>
      <c r="AN799" s="245">
        <f>AM803</f>
        <v/>
      </c>
      <c r="AO799" s="245">
        <f>AN803</f>
        <v/>
      </c>
      <c r="AP799" s="245">
        <f>AO803</f>
        <v/>
      </c>
      <c r="AQ799" s="245">
        <f>AP803</f>
        <v/>
      </c>
      <c r="AR799" s="245">
        <f>AQ803</f>
        <v/>
      </c>
      <c r="AS799" s="245">
        <f>AR803</f>
        <v/>
      </c>
      <c r="AT799" s="245">
        <f>AS803</f>
        <v/>
      </c>
      <c r="AU799" s="245">
        <f>AT803</f>
        <v/>
      </c>
      <c r="AV799" s="245">
        <f>AU803</f>
        <v/>
      </c>
      <c r="AW799" s="245">
        <f>AV803</f>
        <v/>
      </c>
      <c r="AX799" s="245">
        <f>AW803</f>
        <v/>
      </c>
      <c r="AY799" s="245">
        <f>AX803</f>
        <v/>
      </c>
      <c r="AZ799" s="245">
        <f>AY803</f>
        <v/>
      </c>
      <c r="BA799" s="245">
        <f>AZ803</f>
        <v/>
      </c>
      <c r="BB799" s="245">
        <f>BA803</f>
        <v/>
      </c>
      <c r="BC799" s="245">
        <f>BB803</f>
        <v/>
      </c>
      <c r="BD799" s="245">
        <f>BC803</f>
        <v/>
      </c>
      <c r="BE799" s="245">
        <f>BD803</f>
        <v/>
      </c>
      <c r="BF799" s="245">
        <f>BE803</f>
        <v/>
      </c>
      <c r="BG799" s="245">
        <f>BF803</f>
        <v/>
      </c>
      <c r="BH799" s="245">
        <f>BG803</f>
        <v/>
      </c>
      <c r="BI799" s="245">
        <f>BH803</f>
        <v/>
      </c>
      <c r="BJ799" s="245">
        <f>BI803</f>
        <v/>
      </c>
      <c r="BK799" s="245">
        <f>BJ803</f>
        <v/>
      </c>
      <c r="BL799" s="245">
        <f>BK803</f>
        <v/>
      </c>
      <c r="BM799" s="245">
        <f>BL803</f>
        <v/>
      </c>
      <c r="BN799" s="245">
        <f>BM803</f>
        <v/>
      </c>
      <c r="BO799" s="245">
        <f>BN803</f>
        <v/>
      </c>
      <c r="BP799" s="245">
        <f>BO803</f>
        <v/>
      </c>
      <c r="BQ799" s="245">
        <f>BP803</f>
        <v/>
      </c>
      <c r="BR799" s="245">
        <f>BQ803</f>
        <v/>
      </c>
      <c r="BS799" s="245">
        <f>BR803</f>
        <v/>
      </c>
      <c r="BT799" s="245">
        <f>BS803</f>
        <v/>
      </c>
      <c r="BU799" s="245">
        <f>BT803</f>
        <v/>
      </c>
      <c r="BV799" s="245">
        <f>BU803</f>
        <v/>
      </c>
      <c r="BW799" s="245">
        <f>BV803</f>
        <v/>
      </c>
      <c r="BX799" s="245">
        <f>BW803</f>
        <v/>
      </c>
      <c r="BY799" s="245">
        <f>BX803</f>
        <v/>
      </c>
      <c r="BZ799" s="245">
        <f>BY803</f>
        <v/>
      </c>
      <c r="CA799" s="245">
        <f>BZ803</f>
        <v/>
      </c>
    </row>
    <row r="800" ht="12" customHeight="1" s="227">
      <c r="A800" s="244" t="n"/>
      <c r="B800" s="244" t="n"/>
      <c r="C800" s="244" t="n"/>
      <c r="H800" s="0" t="inlineStr">
        <is>
          <t>Addition Amounts</t>
        </is>
      </c>
      <c r="I800" s="27">
        <f>i_Setup!$M$16</f>
        <v/>
      </c>
      <c r="K800" s="6" t="n"/>
      <c r="M800" s="245">
        <f>SUMIF($T$4:$CA$4,M$4,$T800:$CA800)</f>
        <v/>
      </c>
      <c r="N800" s="245">
        <f>SUMIF($T$4:$CA$4,N$4,$T800:$CA800)</f>
        <v/>
      </c>
      <c r="O800" s="245">
        <f>SUMIF($T$4:$CA$4,O$4,$T800:$CA800)</f>
        <v/>
      </c>
      <c r="P800" s="245">
        <f>SUMIF($T$4:$CA$4,P$4,$T800:$CA800)</f>
        <v/>
      </c>
      <c r="Q800" s="245">
        <f>SUMIF($T$4:$CA$4,Q$4,$T800:$CA800)</f>
        <v/>
      </c>
      <c r="T800" s="257">
        <f>IF(T$7="Actual","",T658)</f>
        <v/>
      </c>
      <c r="U800" s="257">
        <f>IF(U$7="Actual","",U658)</f>
        <v/>
      </c>
      <c r="V800" s="257">
        <f>IF(V$7="Actual","",V658)</f>
        <v/>
      </c>
      <c r="W800" s="257">
        <f>IF(W$7="Actual","",W658)</f>
        <v/>
      </c>
      <c r="X800" s="257">
        <f>IF(X$7="Actual","",X658)</f>
        <v/>
      </c>
      <c r="Y800" s="257">
        <f>IF(Y$7="Actual","",Y658)</f>
        <v/>
      </c>
      <c r="Z800" s="257">
        <f>IF(Z$7="Actual","",Z658)</f>
        <v/>
      </c>
      <c r="AA800" s="257">
        <f>IF(AA$7="Actual","",AA658)</f>
        <v/>
      </c>
      <c r="AB800" s="257">
        <f>IF(AB$7="Actual","",AB658)</f>
        <v/>
      </c>
      <c r="AC800" s="257">
        <f>IF(AC$7="Actual","",AC658)</f>
        <v/>
      </c>
      <c r="AD800" s="257">
        <f>IF(AD$7="Actual","",AD658)</f>
        <v/>
      </c>
      <c r="AE800" s="257">
        <f>IF(AE$7="Actual","",AE658)</f>
        <v/>
      </c>
      <c r="AF800" s="257">
        <f>IF(AF$7="Actual","",AF658)</f>
        <v/>
      </c>
      <c r="AG800" s="257">
        <f>IF(AG$7="Actual","",AG658)</f>
        <v/>
      </c>
      <c r="AH800" s="257">
        <f>IF(AH$7="Actual","",AH658)</f>
        <v/>
      </c>
      <c r="AI800" s="257">
        <f>IF(AI$7="Actual","",AI658)</f>
        <v/>
      </c>
      <c r="AJ800" s="257">
        <f>IF(AJ$7="Actual","",AJ658)</f>
        <v/>
      </c>
      <c r="AK800" s="257">
        <f>IF(AK$7="Actual","",AK658)</f>
        <v/>
      </c>
      <c r="AL800" s="257">
        <f>IF(AL$7="Actual","",AL658)</f>
        <v/>
      </c>
      <c r="AM800" s="257">
        <f>IF(AM$7="Actual","",AM658)</f>
        <v/>
      </c>
      <c r="AN800" s="257">
        <f>IF(AN$7="Actual","",AN658)</f>
        <v/>
      </c>
      <c r="AO800" s="257">
        <f>IF(AO$7="Actual","",AO658)</f>
        <v/>
      </c>
      <c r="AP800" s="257">
        <f>IF(AP$7="Actual","",AP658)</f>
        <v/>
      </c>
      <c r="AQ800" s="257">
        <f>IF(AQ$7="Actual","",AQ658)</f>
        <v/>
      </c>
      <c r="AR800" s="257">
        <f>IF(AR$7="Actual","",AR658)</f>
        <v/>
      </c>
      <c r="AS800" s="257">
        <f>IF(AS$7="Actual","",AS658)</f>
        <v/>
      </c>
      <c r="AT800" s="257">
        <f>IF(AT$7="Actual","",AT658)</f>
        <v/>
      </c>
      <c r="AU800" s="257">
        <f>IF(AU$7="Actual","",AU658)</f>
        <v/>
      </c>
      <c r="AV800" s="257">
        <f>IF(AV$7="Actual","",AV658)</f>
        <v/>
      </c>
      <c r="AW800" s="257">
        <f>IF(AW$7="Actual","",AW658)</f>
        <v/>
      </c>
      <c r="AX800" s="257">
        <f>IF(AX$7="Actual","",AX658)</f>
        <v/>
      </c>
      <c r="AY800" s="257">
        <f>IF(AY$7="Actual","",AY658)</f>
        <v/>
      </c>
      <c r="AZ800" s="257">
        <f>IF(AZ$7="Actual","",AZ658)</f>
        <v/>
      </c>
      <c r="BA800" s="257">
        <f>IF(BA$7="Actual","",BA658)</f>
        <v/>
      </c>
      <c r="BB800" s="257">
        <f>IF(BB$7="Actual","",BB658)</f>
        <v/>
      </c>
      <c r="BC800" s="257">
        <f>IF(BC$7="Actual","",BC658)</f>
        <v/>
      </c>
      <c r="BD800" s="257">
        <f>IF(BD$7="Actual","",BD658)</f>
        <v/>
      </c>
      <c r="BE800" s="257">
        <f>IF(BE$7="Actual","",BE658)</f>
        <v/>
      </c>
      <c r="BF800" s="257">
        <f>IF(BF$7="Actual","",BF658)</f>
        <v/>
      </c>
      <c r="BG800" s="257">
        <f>IF(BG$7="Actual","",BG658)</f>
        <v/>
      </c>
      <c r="BH800" s="257">
        <f>IF(BH$7="Actual","",BH658)</f>
        <v/>
      </c>
      <c r="BI800" s="257">
        <f>IF(BI$7="Actual","",BI658)</f>
        <v/>
      </c>
      <c r="BJ800" s="257">
        <f>IF(BJ$7="Actual","",BJ658)</f>
        <v/>
      </c>
      <c r="BK800" s="257">
        <f>IF(BK$7="Actual","",BK658)</f>
        <v/>
      </c>
      <c r="BL800" s="257">
        <f>IF(BL$7="Actual","",BL658)</f>
        <v/>
      </c>
      <c r="BM800" s="257">
        <f>IF(BM$7="Actual","",BM658)</f>
        <v/>
      </c>
      <c r="BN800" s="257">
        <f>IF(BN$7="Actual","",BN658)</f>
        <v/>
      </c>
      <c r="BO800" s="257">
        <f>IF(BO$7="Actual","",BO658)</f>
        <v/>
      </c>
      <c r="BP800" s="257">
        <f>IF(BP$7="Actual","",BP658)</f>
        <v/>
      </c>
      <c r="BQ800" s="257">
        <f>IF(BQ$7="Actual","",BQ658)</f>
        <v/>
      </c>
      <c r="BR800" s="257">
        <f>IF(BR$7="Actual","",BR658)</f>
        <v/>
      </c>
      <c r="BS800" s="257">
        <f>IF(BS$7="Actual","",BS658)</f>
        <v/>
      </c>
      <c r="BT800" s="257">
        <f>IF(BT$7="Actual","",BT658)</f>
        <v/>
      </c>
      <c r="BU800" s="257">
        <f>IF(BU$7="Actual","",BU658)</f>
        <v/>
      </c>
      <c r="BV800" s="257">
        <f>IF(BV$7="Actual","",BV658)</f>
        <v/>
      </c>
      <c r="BW800" s="257">
        <f>IF(BW$7="Actual","",BW658)</f>
        <v/>
      </c>
      <c r="BX800" s="257">
        <f>IF(BX$7="Actual","",BX658)</f>
        <v/>
      </c>
      <c r="BY800" s="257">
        <f>IF(BY$7="Actual","",BY658)</f>
        <v/>
      </c>
      <c r="BZ800" s="257">
        <f>IF(BZ$7="Actual","",BZ658)</f>
        <v/>
      </c>
      <c r="CA800" s="257">
        <f>IF(CA$7="Actual","",CA658)</f>
        <v/>
      </c>
    </row>
    <row r="801" ht="12" customHeight="1" s="227">
      <c r="A801" s="244" t="n"/>
      <c r="B801" s="244" t="n"/>
      <c r="C801" s="244" t="n"/>
      <c r="H801" s="0" t="inlineStr">
        <is>
          <t xml:space="preserve"> Depreciation - Opening Bal</t>
        </is>
      </c>
      <c r="I801" s="27">
        <f>i_Setup!$M$16</f>
        <v/>
      </c>
      <c r="K801" s="6" t="n"/>
      <c r="M801" s="245">
        <f>SUMIF($T$4:$CA$4,M$4,$T801:$CA801)</f>
        <v/>
      </c>
      <c r="N801" s="245">
        <f>SUMIF($T$4:$CA$4,N$4,$T801:$CA801)</f>
        <v/>
      </c>
      <c r="O801" s="245">
        <f>SUMIF($T$4:$CA$4,O$4,$T801:$CA801)</f>
        <v/>
      </c>
      <c r="P801" s="245">
        <f>SUMIF($T$4:$CA$4,P$4,$T801:$CA801)</f>
        <v/>
      </c>
      <c r="Q801" s="245">
        <f>SUMIF($T$4:$CA$4,Q$4,$T801:$CA801)</f>
        <v/>
      </c>
      <c r="T801" s="245">
        <f>IF(T$7="Actual","",IFERROR(-SUM(OFFSET(S797,0,0,1,-MIN(T$6,$K$794)))/$K$794,0))</f>
        <v/>
      </c>
      <c r="U801" s="245">
        <f>IF(U$7="Actual","",IFERROR(-SUM(OFFSET(T797,0,0,1,-MIN(U$6,$K$794)))/$K$794,0))</f>
        <v/>
      </c>
      <c r="V801" s="245">
        <f>IF(V$7="Actual","",IFERROR(-SUM(OFFSET(U797,0,0,1,-MIN(V$6,$K$794)))/$K$794,0))</f>
        <v/>
      </c>
      <c r="W801" s="245">
        <f>IF(W$7="Actual","",IFERROR(-SUM(OFFSET(V797,0,0,1,-MIN(W$6,$K$794)))/$K$794,0))</f>
        <v/>
      </c>
      <c r="X801" s="245">
        <f>IF(X$7="Actual","",IFERROR(-SUM(OFFSET(W797,0,0,1,-MIN(X$6,$K$794)))/$K$794,0))</f>
        <v/>
      </c>
      <c r="Y801" s="245">
        <f>IF(Y$7="Actual","",IFERROR(-SUM(OFFSET(X797,0,0,1,-MIN(Y$6,$K$794)))/$K$794,0))</f>
        <v/>
      </c>
      <c r="Z801" s="245">
        <f>IF(Z$7="Actual","",IFERROR(-SUM(OFFSET(Y797,0,0,1,-MIN(Z$6,$K$794)))/$K$794,0))</f>
        <v/>
      </c>
      <c r="AA801" s="245">
        <f>IF(AA$7="Actual","",IFERROR(-SUM(OFFSET(Z797,0,0,1,-MIN(AA$6,$K$794)))/$K$794,0))</f>
        <v/>
      </c>
      <c r="AB801" s="245">
        <f>IF(AB$7="Actual","",IFERROR(-SUM(OFFSET(AA797,0,0,1,-MIN(AB$6,$K$794)))/$K$794,0))</f>
        <v/>
      </c>
      <c r="AC801" s="245">
        <f>IF(AC$7="Actual","",IFERROR(-SUM(OFFSET(AB797,0,0,1,-MIN(AC$6,$K$794)))/$K$794,0))</f>
        <v/>
      </c>
      <c r="AD801" s="245">
        <f>IF(AD$7="Actual","",IFERROR(-SUM(OFFSET(AC797,0,0,1,-MIN(AD$6,$K$794)))/$K$794,0))</f>
        <v/>
      </c>
      <c r="AE801" s="245">
        <f>IF(AE$7="Actual","",IFERROR(-SUM(OFFSET(AD797,0,0,1,-MIN(AE$6,$K$794)))/$K$794,0))</f>
        <v/>
      </c>
      <c r="AF801" s="245">
        <f>IF(AF$7="Actual","",IFERROR(-SUM(OFFSET(AE797,0,0,1,-MIN(AF$6,$K$794)))/$K$794,0))</f>
        <v/>
      </c>
      <c r="AG801" s="245">
        <f>IF(AG$7="Actual","",IFERROR(-SUM(OFFSET(AF797,0,0,1,-MIN(AG$6,$K$794)))/$K$794,0))</f>
        <v/>
      </c>
      <c r="AH801" s="245">
        <f>IF(AH$7="Actual","",IFERROR(-SUM(OFFSET(AG797,0,0,1,-MIN(AH$6,$K$794)))/$K$794,0))</f>
        <v/>
      </c>
      <c r="AI801" s="245">
        <f>IF(AI$7="Actual","",IFERROR(-SUM(OFFSET(AH797,0,0,1,-MIN(AI$6,$K$794)))/$K$794,0))</f>
        <v/>
      </c>
      <c r="AJ801" s="245">
        <f>IF(AJ$7="Actual","",IFERROR(-SUM(OFFSET(AI797,0,0,1,-MIN(AJ$6,$K$794)))/$K$794,0))</f>
        <v/>
      </c>
      <c r="AK801" s="245">
        <f>IF(AK$7="Actual","",IFERROR(-SUM(OFFSET(AJ797,0,0,1,-MIN(AK$6,$K$794)))/$K$794,0))</f>
        <v/>
      </c>
      <c r="AL801" s="245">
        <f>IF(AL$7="Actual","",IFERROR(-SUM(OFFSET(AK797,0,0,1,-MIN(AL$6,$K$794)))/$K$794,0))</f>
        <v/>
      </c>
      <c r="AM801" s="245">
        <f>IF(AM$7="Actual","",IFERROR(-SUM(OFFSET(AL797,0,0,1,-MIN(AM$6,$K$794)))/$K$794,0))</f>
        <v/>
      </c>
      <c r="AN801" s="245">
        <f>IF(AN$7="Actual","",IFERROR(-SUM(OFFSET(AM797,0,0,1,-MIN(AN$6,$K$794)))/$K$794,0))</f>
        <v/>
      </c>
      <c r="AO801" s="245">
        <f>IF(AO$7="Actual","",IFERROR(-SUM(OFFSET(AN797,0,0,1,-MIN(AO$6,$K$794)))/$K$794,0))</f>
        <v/>
      </c>
      <c r="AP801" s="245">
        <f>IF(AP$7="Actual","",IFERROR(-SUM(OFFSET(AO797,0,0,1,-MIN(AP$6,$K$794)))/$K$794,0))</f>
        <v/>
      </c>
      <c r="AQ801" s="245">
        <f>IF(AQ$7="Actual","",IFERROR(-SUM(OFFSET(AP797,0,0,1,-MIN(AQ$6,$K$794)))/$K$794,0))</f>
        <v/>
      </c>
      <c r="AR801" s="245">
        <f>IF(AR$7="Actual","",IFERROR(-SUM(OFFSET(AQ797,0,0,1,-MIN(AR$6,$K$794)))/$K$794,0))</f>
        <v/>
      </c>
      <c r="AS801" s="245">
        <f>IF(AS$7="Actual","",IFERROR(-SUM(OFFSET(AR797,0,0,1,-MIN(AS$6,$K$794)))/$K$794,0))</f>
        <v/>
      </c>
      <c r="AT801" s="245">
        <f>IF(AT$7="Actual","",IFERROR(-SUM(OFFSET(AS797,0,0,1,-MIN(AT$6,$K$794)))/$K$794,0))</f>
        <v/>
      </c>
      <c r="AU801" s="245">
        <f>IF(AU$7="Actual","",IFERROR(-SUM(OFFSET(AT797,0,0,1,-MIN(AU$6,$K$794)))/$K$794,0))</f>
        <v/>
      </c>
      <c r="AV801" s="245">
        <f>IF(AV$7="Actual","",IFERROR(-SUM(OFFSET(AU797,0,0,1,-MIN(AV$6,$K$794)))/$K$794,0))</f>
        <v/>
      </c>
      <c r="AW801" s="245">
        <f>IF(AW$7="Actual","",IFERROR(-SUM(OFFSET(AV797,0,0,1,-MIN(AW$6,$K$794)))/$K$794,0))</f>
        <v/>
      </c>
      <c r="AX801" s="245">
        <f>IF(AX$7="Actual","",IFERROR(-SUM(OFFSET(AW797,0,0,1,-MIN(AX$6,$K$794)))/$K$794,0))</f>
        <v/>
      </c>
      <c r="AY801" s="245">
        <f>IF(AY$7="Actual","",IFERROR(-SUM(OFFSET(AX797,0,0,1,-MIN(AY$6,$K$794)))/$K$794,0))</f>
        <v/>
      </c>
      <c r="AZ801" s="245">
        <f>IF(AZ$7="Actual","",IFERROR(-SUM(OFFSET(AY797,0,0,1,-MIN(AZ$6,$K$794)))/$K$794,0))</f>
        <v/>
      </c>
      <c r="BA801" s="245">
        <f>IF(BA$7="Actual","",IFERROR(-SUM(OFFSET(AZ797,0,0,1,-MIN(BA$6,$K$794)))/$K$794,0))</f>
        <v/>
      </c>
      <c r="BB801" s="245">
        <f>IF(BB$7="Actual","",IFERROR(-SUM(OFFSET(BA797,0,0,1,-MIN(BB$6,$K$794)))/$K$794,0))</f>
        <v/>
      </c>
      <c r="BC801" s="245">
        <f>IF(BC$7="Actual","",IFERROR(-SUM(OFFSET(BB797,0,0,1,-MIN(BC$6,$K$794)))/$K$794,0))</f>
        <v/>
      </c>
      <c r="BD801" s="245">
        <f>IF(BD$7="Actual","",IFERROR(-SUM(OFFSET(BC797,0,0,1,-MIN(BD$6,$K$794)))/$K$794,0))</f>
        <v/>
      </c>
      <c r="BE801" s="245">
        <f>IF(BE$7="Actual","",IFERROR(-SUM(OFFSET(BD797,0,0,1,-MIN(BE$6,$K$794)))/$K$794,0))</f>
        <v/>
      </c>
      <c r="BF801" s="245">
        <f>IF(BF$7="Actual","",IFERROR(-SUM(OFFSET(BE797,0,0,1,-MIN(BF$6,$K$794)))/$K$794,0))</f>
        <v/>
      </c>
      <c r="BG801" s="245">
        <f>IF(BG$7="Actual","",IFERROR(-SUM(OFFSET(BF797,0,0,1,-MIN(BG$6,$K$794)))/$K$794,0))</f>
        <v/>
      </c>
      <c r="BH801" s="245">
        <f>IF(BH$7="Actual","",IFERROR(-SUM(OFFSET(BG797,0,0,1,-MIN(BH$6,$K$794)))/$K$794,0))</f>
        <v/>
      </c>
      <c r="BI801" s="245">
        <f>IF(BI$7="Actual","",IFERROR(-SUM(OFFSET(BH797,0,0,1,-MIN(BI$6,$K$794)))/$K$794,0))</f>
        <v/>
      </c>
      <c r="BJ801" s="245">
        <f>IF(BJ$7="Actual","",IFERROR(-SUM(OFFSET(BI797,0,0,1,-MIN(BJ$6,$K$794)))/$K$794,0))</f>
        <v/>
      </c>
      <c r="BK801" s="245">
        <f>IF(BK$7="Actual","",IFERROR(-SUM(OFFSET(BJ797,0,0,1,-MIN(BK$6,$K$794)))/$K$794,0))</f>
        <v/>
      </c>
      <c r="BL801" s="245">
        <f>IF(BL$7="Actual","",IFERROR(-SUM(OFFSET(BK797,0,0,1,-MIN(BL$6,$K$794)))/$K$794,0))</f>
        <v/>
      </c>
      <c r="BM801" s="245">
        <f>IF(BM$7="Actual","",IFERROR(-SUM(OFFSET(BL797,0,0,1,-MIN(BM$6,$K$794)))/$K$794,0))</f>
        <v/>
      </c>
      <c r="BN801" s="245">
        <f>IF(BN$7="Actual","",IFERROR(-SUM(OFFSET(BM797,0,0,1,-MIN(BN$6,$K$794)))/$K$794,0))</f>
        <v/>
      </c>
      <c r="BO801" s="245">
        <f>IF(BO$7="Actual","",IFERROR(-SUM(OFFSET(BN797,0,0,1,-MIN(BO$6,$K$794)))/$K$794,0))</f>
        <v/>
      </c>
      <c r="BP801" s="245">
        <f>IF(BP$7="Actual","",IFERROR(-SUM(OFFSET(BO797,0,0,1,-MIN(BP$6,$K$794)))/$K$794,0))</f>
        <v/>
      </c>
      <c r="BQ801" s="245">
        <f>IF(BQ$7="Actual","",IFERROR(-SUM(OFFSET(BP797,0,0,1,-MIN(BQ$6,$K$794)))/$K$794,0))</f>
        <v/>
      </c>
      <c r="BR801" s="245">
        <f>IF(BR$7="Actual","",IFERROR(-SUM(OFFSET(BQ797,0,0,1,-MIN(BR$6,$K$794)))/$K$794,0))</f>
        <v/>
      </c>
      <c r="BS801" s="245">
        <f>IF(BS$7="Actual","",IFERROR(-SUM(OFFSET(BR797,0,0,1,-MIN(BS$6,$K$794)))/$K$794,0))</f>
        <v/>
      </c>
      <c r="BT801" s="245">
        <f>IF(BT$7="Actual","",IFERROR(-SUM(OFFSET(BS797,0,0,1,-MIN(BT$6,$K$794)))/$K$794,0))</f>
        <v/>
      </c>
      <c r="BU801" s="245">
        <f>IF(BU$7="Actual","",IFERROR(-SUM(OFFSET(BT797,0,0,1,-MIN(BU$6,$K$794)))/$K$794,0))</f>
        <v/>
      </c>
      <c r="BV801" s="245">
        <f>IF(BV$7="Actual","",IFERROR(-SUM(OFFSET(BU797,0,0,1,-MIN(BV$6,$K$794)))/$K$794,0))</f>
        <v/>
      </c>
      <c r="BW801" s="245">
        <f>IF(BW$7="Actual","",IFERROR(-SUM(OFFSET(BV797,0,0,1,-MIN(BW$6,$K$794)))/$K$794,0))</f>
        <v/>
      </c>
      <c r="BX801" s="245">
        <f>IF(BX$7="Actual","",IFERROR(-SUM(OFFSET(BW797,0,0,1,-MIN(BX$6,$K$794)))/$K$794,0))</f>
        <v/>
      </c>
      <c r="BY801" s="245">
        <f>IF(BY$7="Actual","",IFERROR(-SUM(OFFSET(BX797,0,0,1,-MIN(BY$6,$K$794)))/$K$794,0))</f>
        <v/>
      </c>
      <c r="BZ801" s="245">
        <f>IF(BZ$7="Actual","",IFERROR(-SUM(OFFSET(BY797,0,0,1,-MIN(BZ$6,$K$794)))/$K$794,0))</f>
        <v/>
      </c>
      <c r="CA801" s="245">
        <f>IF(CA$7="Actual","",IFERROR(-SUM(OFFSET(BZ797,0,0,1,-MIN(CA$6,$K$794)))/$K$794,0))</f>
        <v/>
      </c>
    </row>
    <row r="802" ht="12" customHeight="1" s="227">
      <c r="A802" s="244" t="n"/>
      <c r="B802" s="244" t="n"/>
      <c r="C802" s="244" t="n"/>
      <c r="H802" s="0" t="inlineStr">
        <is>
          <t xml:space="preserve"> Depreciation - Additions</t>
        </is>
      </c>
      <c r="I802" s="27">
        <f>i_Setup!$M$16</f>
        <v/>
      </c>
      <c r="K802" s="6" t="n"/>
      <c r="M802" s="245">
        <f>SUMIF($T$4:$CA$4,M$4,$T802:$CA802)</f>
        <v/>
      </c>
      <c r="N802" s="245">
        <f>SUMIF($T$4:$CA$4,N$4,$T802:$CA802)</f>
        <v/>
      </c>
      <c r="O802" s="245">
        <f>SUMIF($T$4:$CA$4,O$4,$T802:$CA802)</f>
        <v/>
      </c>
      <c r="P802" s="245">
        <f>SUMIF($T$4:$CA$4,P$4,$T802:$CA802)</f>
        <v/>
      </c>
      <c r="Q802" s="245">
        <f>SUMIF($T$4:$CA$4,Q$4,$T802:$CA802)</f>
        <v/>
      </c>
      <c r="T802" s="245">
        <f>IF(T$7="Actual","",IFERROR(-SUM(OFFSET(S800,0,0,1,-MIN(T$6,$K$795)))/$K$795,0))</f>
        <v/>
      </c>
      <c r="U802" s="245">
        <f>IF(U$7="Actual","",IFERROR(-SUM(OFFSET(T800,0,0,1,-MIN(U$6,$K$795)))/$K$795,0))</f>
        <v/>
      </c>
      <c r="V802" s="245">
        <f>IF(V$7="Actual","",IFERROR(-SUM(OFFSET(U800,0,0,1,-MIN(V$6,$K$795)))/$K$795,0))</f>
        <v/>
      </c>
      <c r="W802" s="245">
        <f>IF(W$7="Actual","",IFERROR(-SUM(OFFSET(V800,0,0,1,-MIN(W$6,$K$795)))/$K$795,0))</f>
        <v/>
      </c>
      <c r="X802" s="245">
        <f>IF(X$7="Actual","",IFERROR(-SUM(OFFSET(W800,0,0,1,-MIN(X$6,$K$795)))/$K$795,0))</f>
        <v/>
      </c>
      <c r="Y802" s="245">
        <f>IF(Y$7="Actual","",IFERROR(-SUM(OFFSET(X800,0,0,1,-MIN(Y$6,$K$795)))/$K$795,0))</f>
        <v/>
      </c>
      <c r="Z802" s="245">
        <f>IF(Z$7="Actual","",IFERROR(-SUM(OFFSET(Y800,0,0,1,-MIN(Z$6,$K$795)))/$K$795,0))</f>
        <v/>
      </c>
      <c r="AA802" s="245">
        <f>IF(AA$7="Actual","",IFERROR(-SUM(OFFSET(Z800,0,0,1,-MIN(AA$6,$K$795)))/$K$795,0))</f>
        <v/>
      </c>
      <c r="AB802" s="245">
        <f>IF(AB$7="Actual","",IFERROR(-SUM(OFFSET(AA800,0,0,1,-MIN(AB$6,$K$795)))/$K$795,0))</f>
        <v/>
      </c>
      <c r="AC802" s="245">
        <f>IF(AC$7="Actual","",IFERROR(-SUM(OFFSET(AB800,0,0,1,-MIN(AC$6,$K$795)))/$K$795,0))</f>
        <v/>
      </c>
      <c r="AD802" s="245">
        <f>IF(AD$7="Actual","",IFERROR(-SUM(OFFSET(AC800,0,0,1,-MIN(AD$6,$K$795)))/$K$795,0))</f>
        <v/>
      </c>
      <c r="AE802" s="245">
        <f>IF(AE$7="Actual","",IFERROR(-SUM(OFFSET(AD800,0,0,1,-MIN(AE$6,$K$795)))/$K$795,0))</f>
        <v/>
      </c>
      <c r="AF802" s="245">
        <f>IF(AF$7="Actual","",IFERROR(-SUM(OFFSET(AE800,0,0,1,-MIN(AF$6,$K$795)))/$K$795,0))</f>
        <v/>
      </c>
      <c r="AG802" s="245">
        <f>IF(AG$7="Actual","",IFERROR(-SUM(OFFSET(AF800,0,0,1,-MIN(AG$6,$K$795)))/$K$795,0))</f>
        <v/>
      </c>
      <c r="AH802" s="245">
        <f>IF(AH$7="Actual","",IFERROR(-SUM(OFFSET(AG800,0,0,1,-MIN(AH$6,$K$795)))/$K$795,0))</f>
        <v/>
      </c>
      <c r="AI802" s="245">
        <f>IF(AI$7="Actual","",IFERROR(-SUM(OFFSET(AH800,0,0,1,-MIN(AI$6,$K$795)))/$K$795,0))</f>
        <v/>
      </c>
      <c r="AJ802" s="245">
        <f>IF(AJ$7="Actual","",IFERROR(-SUM(OFFSET(AI800,0,0,1,-MIN(AJ$6,$K$795)))/$K$795,0))</f>
        <v/>
      </c>
      <c r="AK802" s="245">
        <f>IF(AK$7="Actual","",IFERROR(-SUM(OFFSET(AJ800,0,0,1,-MIN(AK$6,$K$795)))/$K$795,0))</f>
        <v/>
      </c>
      <c r="AL802" s="245">
        <f>IF(AL$7="Actual","",IFERROR(-SUM(OFFSET(AK800,0,0,1,-MIN(AL$6,$K$795)))/$K$795,0))</f>
        <v/>
      </c>
      <c r="AM802" s="245">
        <f>IF(AM$7="Actual","",IFERROR(-SUM(OFFSET(AL800,0,0,1,-MIN(AM$6,$K$795)))/$K$795,0))</f>
        <v/>
      </c>
      <c r="AN802" s="245">
        <f>IF(AN$7="Actual","",IFERROR(-SUM(OFFSET(AM800,0,0,1,-MIN(AN$6,$K$795)))/$K$795,0))</f>
        <v/>
      </c>
      <c r="AO802" s="245">
        <f>IF(AO$7="Actual","",IFERROR(-SUM(OFFSET(AN800,0,0,1,-MIN(AO$6,$K$795)))/$K$795,0))</f>
        <v/>
      </c>
      <c r="AP802" s="245">
        <f>IF(AP$7="Actual","",IFERROR(-SUM(OFFSET(AO800,0,0,1,-MIN(AP$6,$K$795)))/$K$795,0))</f>
        <v/>
      </c>
      <c r="AQ802" s="245">
        <f>IF(AQ$7="Actual","",IFERROR(-SUM(OFFSET(AP800,0,0,1,-MIN(AQ$6,$K$795)))/$K$795,0))</f>
        <v/>
      </c>
      <c r="AR802" s="245">
        <f>IF(AR$7="Actual","",IFERROR(-SUM(OFFSET(AQ800,0,0,1,-MIN(AR$6,$K$795)))/$K$795,0))</f>
        <v/>
      </c>
      <c r="AS802" s="245">
        <f>IF(AS$7="Actual","",IFERROR(-SUM(OFFSET(AR800,0,0,1,-MIN(AS$6,$K$795)))/$K$795,0))</f>
        <v/>
      </c>
      <c r="AT802" s="245">
        <f>IF(AT$7="Actual","",IFERROR(-SUM(OFFSET(AS800,0,0,1,-MIN(AT$6,$K$795)))/$K$795,0))</f>
        <v/>
      </c>
      <c r="AU802" s="245">
        <f>IF(AU$7="Actual","",IFERROR(-SUM(OFFSET(AT800,0,0,1,-MIN(AU$6,$K$795)))/$K$795,0))</f>
        <v/>
      </c>
      <c r="AV802" s="245">
        <f>IF(AV$7="Actual","",IFERROR(-SUM(OFFSET(AU800,0,0,1,-MIN(AV$6,$K$795)))/$K$795,0))</f>
        <v/>
      </c>
      <c r="AW802" s="245">
        <f>IF(AW$7="Actual","",IFERROR(-SUM(OFFSET(AV800,0,0,1,-MIN(AW$6,$K$795)))/$K$795,0))</f>
        <v/>
      </c>
      <c r="AX802" s="245">
        <f>IF(AX$7="Actual","",IFERROR(-SUM(OFFSET(AW800,0,0,1,-MIN(AX$6,$K$795)))/$K$795,0))</f>
        <v/>
      </c>
      <c r="AY802" s="245">
        <f>IF(AY$7="Actual","",IFERROR(-SUM(OFFSET(AX800,0,0,1,-MIN(AY$6,$K$795)))/$K$795,0))</f>
        <v/>
      </c>
      <c r="AZ802" s="245">
        <f>IF(AZ$7="Actual","",IFERROR(-SUM(OFFSET(AY800,0,0,1,-MIN(AZ$6,$K$795)))/$K$795,0))</f>
        <v/>
      </c>
      <c r="BA802" s="245">
        <f>IF(BA$7="Actual","",IFERROR(-SUM(OFFSET(AZ800,0,0,1,-MIN(BA$6,$K$795)))/$K$795,0))</f>
        <v/>
      </c>
      <c r="BB802" s="245">
        <f>IF(BB$7="Actual","",IFERROR(-SUM(OFFSET(BA800,0,0,1,-MIN(BB$6,$K$795)))/$K$795,0))</f>
        <v/>
      </c>
      <c r="BC802" s="245">
        <f>IF(BC$7="Actual","",IFERROR(-SUM(OFFSET(BB800,0,0,1,-MIN(BC$6,$K$795)))/$K$795,0))</f>
        <v/>
      </c>
      <c r="BD802" s="245">
        <f>IF(BD$7="Actual","",IFERROR(-SUM(OFFSET(BC800,0,0,1,-MIN(BD$6,$K$795)))/$K$795,0))</f>
        <v/>
      </c>
      <c r="BE802" s="245">
        <f>IF(BE$7="Actual","",IFERROR(-SUM(OFFSET(BD800,0,0,1,-MIN(BE$6,$K$795)))/$K$795,0))</f>
        <v/>
      </c>
      <c r="BF802" s="245">
        <f>IF(BF$7="Actual","",IFERROR(-SUM(OFFSET(BE800,0,0,1,-MIN(BF$6,$K$795)))/$K$795,0))</f>
        <v/>
      </c>
      <c r="BG802" s="245">
        <f>IF(BG$7="Actual","",IFERROR(-SUM(OFFSET(BF800,0,0,1,-MIN(BG$6,$K$795)))/$K$795,0))</f>
        <v/>
      </c>
      <c r="BH802" s="245">
        <f>IF(BH$7="Actual","",IFERROR(-SUM(OFFSET(BG800,0,0,1,-MIN(BH$6,$K$795)))/$K$795,0))</f>
        <v/>
      </c>
      <c r="BI802" s="245">
        <f>IF(BI$7="Actual","",IFERROR(-SUM(OFFSET(BH800,0,0,1,-MIN(BI$6,$K$795)))/$K$795,0))</f>
        <v/>
      </c>
      <c r="BJ802" s="245">
        <f>IF(BJ$7="Actual","",IFERROR(-SUM(OFFSET(BI800,0,0,1,-MIN(BJ$6,$K$795)))/$K$795,0))</f>
        <v/>
      </c>
      <c r="BK802" s="245">
        <f>IF(BK$7="Actual","",IFERROR(-SUM(OFFSET(BJ800,0,0,1,-MIN(BK$6,$K$795)))/$K$795,0))</f>
        <v/>
      </c>
      <c r="BL802" s="245">
        <f>IF(BL$7="Actual","",IFERROR(-SUM(OFFSET(BK800,0,0,1,-MIN(BL$6,$K$795)))/$K$795,0))</f>
        <v/>
      </c>
      <c r="BM802" s="245">
        <f>IF(BM$7="Actual","",IFERROR(-SUM(OFFSET(BL800,0,0,1,-MIN(BM$6,$K$795)))/$K$795,0))</f>
        <v/>
      </c>
      <c r="BN802" s="245">
        <f>IF(BN$7="Actual","",IFERROR(-SUM(OFFSET(BM800,0,0,1,-MIN(BN$6,$K$795)))/$K$795,0))</f>
        <v/>
      </c>
      <c r="BO802" s="245">
        <f>IF(BO$7="Actual","",IFERROR(-SUM(OFFSET(BN800,0,0,1,-MIN(BO$6,$K$795)))/$K$795,0))</f>
        <v/>
      </c>
      <c r="BP802" s="245">
        <f>IF(BP$7="Actual","",IFERROR(-SUM(OFFSET(BO800,0,0,1,-MIN(BP$6,$K$795)))/$K$795,0))</f>
        <v/>
      </c>
      <c r="BQ802" s="245">
        <f>IF(BQ$7="Actual","",IFERROR(-SUM(OFFSET(BP800,0,0,1,-MIN(BQ$6,$K$795)))/$K$795,0))</f>
        <v/>
      </c>
      <c r="BR802" s="245">
        <f>IF(BR$7="Actual","",IFERROR(-SUM(OFFSET(BQ800,0,0,1,-MIN(BR$6,$K$795)))/$K$795,0))</f>
        <v/>
      </c>
      <c r="BS802" s="245">
        <f>IF(BS$7="Actual","",IFERROR(-SUM(OFFSET(BR800,0,0,1,-MIN(BS$6,$K$795)))/$K$795,0))</f>
        <v/>
      </c>
      <c r="BT802" s="245">
        <f>IF(BT$7="Actual","",IFERROR(-SUM(OFFSET(BS800,0,0,1,-MIN(BT$6,$K$795)))/$K$795,0))</f>
        <v/>
      </c>
      <c r="BU802" s="245">
        <f>IF(BU$7="Actual","",IFERROR(-SUM(OFFSET(BT800,0,0,1,-MIN(BU$6,$K$795)))/$K$795,0))</f>
        <v/>
      </c>
      <c r="BV802" s="245">
        <f>IF(BV$7="Actual","",IFERROR(-SUM(OFFSET(BU800,0,0,1,-MIN(BV$6,$K$795)))/$K$795,0))</f>
        <v/>
      </c>
      <c r="BW802" s="245">
        <f>IF(BW$7="Actual","",IFERROR(-SUM(OFFSET(BV800,0,0,1,-MIN(BW$6,$K$795)))/$K$795,0))</f>
        <v/>
      </c>
      <c r="BX802" s="245">
        <f>IF(BX$7="Actual","",IFERROR(-SUM(OFFSET(BW800,0,0,1,-MIN(BX$6,$K$795)))/$K$795,0))</f>
        <v/>
      </c>
      <c r="BY802" s="245">
        <f>IF(BY$7="Actual","",IFERROR(-SUM(OFFSET(BX800,0,0,1,-MIN(BY$6,$K$795)))/$K$795,0))</f>
        <v/>
      </c>
      <c r="BZ802" s="245">
        <f>IF(BZ$7="Actual","",IFERROR(-SUM(OFFSET(BY800,0,0,1,-MIN(BZ$6,$K$795)))/$K$795,0))</f>
        <v/>
      </c>
      <c r="CA802" s="245">
        <f>IF(CA$7="Actual","",IFERROR(-SUM(OFFSET(BZ800,0,0,1,-MIN(CA$6,$K$795)))/$K$795,0))</f>
        <v/>
      </c>
    </row>
    <row r="803" ht="12" customHeight="1" s="227" thickBot="1">
      <c r="A803" s="244" t="n"/>
      <c r="B803" s="244" t="n"/>
      <c r="C803" s="244" t="n"/>
      <c r="H803" s="42" t="inlineStr">
        <is>
          <t>Closing Balance</t>
        </is>
      </c>
      <c r="I803" s="43">
        <f>i_Setup!$M$16</f>
        <v/>
      </c>
      <c r="K803" s="6" t="n"/>
      <c r="M803" s="264">
        <f>SUMIF($T$2:$CA$2,M$2,$T803:$CA803)</f>
        <v/>
      </c>
      <c r="N803" s="264">
        <f>SUMIF($T$2:$CA$2,N$2,$T803:$CA803)</f>
        <v/>
      </c>
      <c r="O803" s="264">
        <f>SUMIF($T$2:$CA$2,O$2,$T803:$CA803)</f>
        <v/>
      </c>
      <c r="P803" s="264">
        <f>SUMIF($T$2:$CA$2,P$2,$T803:$CA803)</f>
        <v/>
      </c>
      <c r="Q803" s="264">
        <f>SUMIF($T$2:$CA$2,Q$2,$T803:$CA803)</f>
        <v/>
      </c>
      <c r="T803" s="264">
        <f>IF(T$7="Actual",i_Actuals!T118,SUM(T799:T802))</f>
        <v/>
      </c>
      <c r="U803" s="264">
        <f>IF(U$7="Actual",i_Actuals!U118,SUM(U799:U802))</f>
        <v/>
      </c>
      <c r="V803" s="264">
        <f>IF(V$7="Actual",i_Actuals!V118,SUM(V799:V802))</f>
        <v/>
      </c>
      <c r="W803" s="264">
        <f>IF(W$7="Actual",i_Actuals!W118,SUM(W799:W802))</f>
        <v/>
      </c>
      <c r="X803" s="264">
        <f>IF(X$7="Actual",i_Actuals!X118,SUM(X799:X802))</f>
        <v/>
      </c>
      <c r="Y803" s="264">
        <f>IF(Y$7="Actual",i_Actuals!Y118,SUM(Y799:Y802))</f>
        <v/>
      </c>
      <c r="Z803" s="264">
        <f>IF(Z$7="Actual",i_Actuals!Z118,SUM(Z799:Z802))</f>
        <v/>
      </c>
      <c r="AA803" s="264">
        <f>IF(AA$7="Actual",i_Actuals!AA118,SUM(AA799:AA802))</f>
        <v/>
      </c>
      <c r="AB803" s="264">
        <f>IF(AB$7="Actual",i_Actuals!AB118,SUM(AB799:AB802))</f>
        <v/>
      </c>
      <c r="AC803" s="264">
        <f>IF(AC$7="Actual",i_Actuals!AC118,SUM(AC799:AC802))</f>
        <v/>
      </c>
      <c r="AD803" s="264">
        <f>IF(AD$7="Actual",i_Actuals!AD118,SUM(AD799:AD802))</f>
        <v/>
      </c>
      <c r="AE803" s="264">
        <f>IF(AE$7="Actual",i_Actuals!AE118,SUM(AE799:AE802))</f>
        <v/>
      </c>
      <c r="AF803" s="264">
        <f>IF(AF$7="Actual",i_Actuals!AF118,SUM(AF799:AF802))</f>
        <v/>
      </c>
      <c r="AG803" s="264">
        <f>IF(AG$7="Actual",i_Actuals!AG118,SUM(AG799:AG802))</f>
        <v/>
      </c>
      <c r="AH803" s="264">
        <f>IF(AH$7="Actual",i_Actuals!AH118,SUM(AH799:AH802))</f>
        <v/>
      </c>
      <c r="AI803" s="264">
        <f>IF(AI$7="Actual",i_Actuals!AI118,SUM(AI799:AI802))</f>
        <v/>
      </c>
      <c r="AJ803" s="264">
        <f>IF(AJ$7="Actual",i_Actuals!AJ118,SUM(AJ799:AJ802))</f>
        <v/>
      </c>
      <c r="AK803" s="264">
        <f>IF(AK$7="Actual",i_Actuals!AK118,SUM(AK799:AK802))</f>
        <v/>
      </c>
      <c r="AL803" s="264">
        <f>IF(AL$7="Actual",i_Actuals!AL118,SUM(AL799:AL802))</f>
        <v/>
      </c>
      <c r="AM803" s="264">
        <f>IF(AM$7="Actual",i_Actuals!AM118,SUM(AM799:AM802))</f>
        <v/>
      </c>
      <c r="AN803" s="264">
        <f>IF(AN$7="Actual",i_Actuals!AN118,SUM(AN799:AN802))</f>
        <v/>
      </c>
      <c r="AO803" s="264">
        <f>IF(AO$7="Actual",i_Actuals!AO118,SUM(AO799:AO802))</f>
        <v/>
      </c>
      <c r="AP803" s="264">
        <f>IF(AP$7="Actual",i_Actuals!AP118,SUM(AP799:AP802))</f>
        <v/>
      </c>
      <c r="AQ803" s="264">
        <f>IF(AQ$7="Actual",i_Actuals!AQ118,SUM(AQ799:AQ802))</f>
        <v/>
      </c>
      <c r="AR803" s="264">
        <f>IF(AR$7="Actual",i_Actuals!AR118,SUM(AR799:AR802))</f>
        <v/>
      </c>
      <c r="AS803" s="264">
        <f>IF(AS$7="Actual",i_Actuals!AS118,SUM(AS799:AS802))</f>
        <v/>
      </c>
      <c r="AT803" s="264">
        <f>IF(AT$7="Actual",i_Actuals!AT118,SUM(AT799:AT802))</f>
        <v/>
      </c>
      <c r="AU803" s="264">
        <f>IF(AU$7="Actual",i_Actuals!AU118,SUM(AU799:AU802))</f>
        <v/>
      </c>
      <c r="AV803" s="264">
        <f>IF(AV$7="Actual",i_Actuals!AV118,SUM(AV799:AV802))</f>
        <v/>
      </c>
      <c r="AW803" s="264">
        <f>IF(AW$7="Actual",i_Actuals!AW118,SUM(AW799:AW802))</f>
        <v/>
      </c>
      <c r="AX803" s="264">
        <f>IF(AX$7="Actual",i_Actuals!AX118,SUM(AX799:AX802))</f>
        <v/>
      </c>
      <c r="AY803" s="264">
        <f>IF(AY$7="Actual",i_Actuals!AY118,SUM(AY799:AY802))</f>
        <v/>
      </c>
      <c r="AZ803" s="264">
        <f>IF(AZ$7="Actual",i_Actuals!AZ118,SUM(AZ799:AZ802))</f>
        <v/>
      </c>
      <c r="BA803" s="264">
        <f>IF(BA$7="Actual",i_Actuals!BA118,SUM(BA799:BA802))</f>
        <v/>
      </c>
      <c r="BB803" s="264">
        <f>IF(BB$7="Actual",i_Actuals!BB118,SUM(BB799:BB802))</f>
        <v/>
      </c>
      <c r="BC803" s="264">
        <f>IF(BC$7="Actual",i_Actuals!BC118,SUM(BC799:BC802))</f>
        <v/>
      </c>
      <c r="BD803" s="264">
        <f>IF(BD$7="Actual",i_Actuals!BD118,SUM(BD799:BD802))</f>
        <v/>
      </c>
      <c r="BE803" s="264">
        <f>IF(BE$7="Actual",i_Actuals!BE118,SUM(BE799:BE802))</f>
        <v/>
      </c>
      <c r="BF803" s="264">
        <f>IF(BF$7="Actual",i_Actuals!BF118,SUM(BF799:BF802))</f>
        <v/>
      </c>
      <c r="BG803" s="264">
        <f>IF(BG$7="Actual",i_Actuals!BG118,SUM(BG799:BG802))</f>
        <v/>
      </c>
      <c r="BH803" s="264">
        <f>IF(BH$7="Actual",i_Actuals!BH118,SUM(BH799:BH802))</f>
        <v/>
      </c>
      <c r="BI803" s="264">
        <f>IF(BI$7="Actual",i_Actuals!BI118,SUM(BI799:BI802))</f>
        <v/>
      </c>
      <c r="BJ803" s="264">
        <f>IF(BJ$7="Actual",i_Actuals!BJ118,SUM(BJ799:BJ802))</f>
        <v/>
      </c>
      <c r="BK803" s="264">
        <f>IF(BK$7="Actual",i_Actuals!BK118,SUM(BK799:BK802))</f>
        <v/>
      </c>
      <c r="BL803" s="264">
        <f>IF(BL$7="Actual",i_Actuals!BL118,SUM(BL799:BL802))</f>
        <v/>
      </c>
      <c r="BM803" s="264">
        <f>IF(BM$7="Actual",i_Actuals!BM118,SUM(BM799:BM802))</f>
        <v/>
      </c>
      <c r="BN803" s="264">
        <f>IF(BN$7="Actual",i_Actuals!BN118,SUM(BN799:BN802))</f>
        <v/>
      </c>
      <c r="BO803" s="264">
        <f>IF(BO$7="Actual",i_Actuals!BO118,SUM(BO799:BO802))</f>
        <v/>
      </c>
      <c r="BP803" s="264">
        <f>IF(BP$7="Actual",i_Actuals!BP118,SUM(BP799:BP802))</f>
        <v/>
      </c>
      <c r="BQ803" s="264">
        <f>IF(BQ$7="Actual",i_Actuals!BQ118,SUM(BQ799:BQ802))</f>
        <v/>
      </c>
      <c r="BR803" s="264">
        <f>IF(BR$7="Actual",i_Actuals!BR118,SUM(BR799:BR802))</f>
        <v/>
      </c>
      <c r="BS803" s="264">
        <f>IF(BS$7="Actual",i_Actuals!BS118,SUM(BS799:BS802))</f>
        <v/>
      </c>
      <c r="BT803" s="264">
        <f>IF(BT$7="Actual",i_Actuals!BT118,SUM(BT799:BT802))</f>
        <v/>
      </c>
      <c r="BU803" s="264">
        <f>IF(BU$7="Actual",i_Actuals!BU118,SUM(BU799:BU802))</f>
        <v/>
      </c>
      <c r="BV803" s="264">
        <f>IF(BV$7="Actual",i_Actuals!BV118,SUM(BV799:BV802))</f>
        <v/>
      </c>
      <c r="BW803" s="264">
        <f>IF(BW$7="Actual",i_Actuals!BW118,SUM(BW799:BW802))</f>
        <v/>
      </c>
      <c r="BX803" s="264">
        <f>IF(BX$7="Actual",i_Actuals!BX118,SUM(BX799:BX802))</f>
        <v/>
      </c>
      <c r="BY803" s="264">
        <f>IF(BY$7="Actual",i_Actuals!BY118,SUM(BY799:BY802))</f>
        <v/>
      </c>
      <c r="BZ803" s="264">
        <f>IF(BZ$7="Actual",i_Actuals!BZ118,SUM(BZ799:BZ802))</f>
        <v/>
      </c>
      <c r="CA803" s="264">
        <f>IF(CA$7="Actual",i_Actuals!CA118,SUM(CA799:CA802))</f>
        <v/>
      </c>
    </row>
    <row r="804" ht="12" customHeight="1" s="227">
      <c r="A804" s="244" t="n"/>
      <c r="B804" s="244" t="n"/>
      <c r="C804" s="244" t="n"/>
      <c r="K804" s="6" t="n"/>
    </row>
    <row r="805" ht="12" customFormat="1" customHeight="1" s="8">
      <c r="A805" s="244" t="n"/>
      <c r="B805" s="244">
        <f>SUM(L805:CA805)</f>
        <v/>
      </c>
      <c r="D805" s="4" t="n"/>
      <c r="E805" s="4" t="n"/>
      <c r="F805" s="4" t="n"/>
      <c r="G805" s="4" t="n"/>
      <c r="H805" s="0" t="inlineStr">
        <is>
          <t>Signage Check</t>
        </is>
      </c>
      <c r="I805" s="4" t="n"/>
      <c r="J805" s="4" t="n"/>
      <c r="K805" s="6" t="n"/>
      <c r="L805" s="4" t="n"/>
      <c r="M805" s="244">
        <f>IF(M$7&lt;&gt;"",IF(ROUND(M803,0)&lt;0,1,0),"")</f>
        <v/>
      </c>
      <c r="N805" s="244">
        <f>IF(N$7&lt;&gt;"",IF(ROUND(N803,0)&lt;0,1,0),"")</f>
        <v/>
      </c>
      <c r="O805" s="244">
        <f>IF(O$7&lt;&gt;"",IF(ROUND(O803,0)&lt;0,1,0),"")</f>
        <v/>
      </c>
      <c r="P805" s="244">
        <f>IF(P$7&lt;&gt;"",IF(ROUND(P803,0)&lt;0,1,0),"")</f>
        <v/>
      </c>
      <c r="Q805" s="244">
        <f>IF(Q$7&lt;&gt;"",IF(ROUND(Q803,0)&lt;0,1,0),"")</f>
        <v/>
      </c>
      <c r="R805" s="244" t="n"/>
      <c r="S805" s="244" t="n"/>
      <c r="T805" s="244">
        <f>IF(T$7&lt;&gt;"",IF(ROUND(T803,0)&lt;0,1,0),"")</f>
        <v/>
      </c>
      <c r="U805" s="244">
        <f>IF(U$7&lt;&gt;"",IF(ROUND(U803,0)&lt;0,1,0),"")</f>
        <v/>
      </c>
      <c r="V805" s="244">
        <f>IF(V$7&lt;&gt;"",IF(ROUND(V803,0)&lt;0,1,0),"")</f>
        <v/>
      </c>
      <c r="W805" s="244">
        <f>IF(W$7&lt;&gt;"",IF(ROUND(W803,0)&lt;0,1,0),"")</f>
        <v/>
      </c>
      <c r="X805" s="244">
        <f>IF(X$7&lt;&gt;"",IF(ROUND(X803,0)&lt;0,1,0),"")</f>
        <v/>
      </c>
      <c r="Y805" s="244">
        <f>IF(Y$7&lt;&gt;"",IF(ROUND(Y803,0)&lt;0,1,0),"")</f>
        <v/>
      </c>
      <c r="Z805" s="244">
        <f>IF(Z$7&lt;&gt;"",IF(ROUND(Z803,0)&lt;0,1,0),"")</f>
        <v/>
      </c>
      <c r="AA805" s="244">
        <f>IF(AA$7&lt;&gt;"",IF(ROUND(AA803,0)&lt;0,1,0),"")</f>
        <v/>
      </c>
      <c r="AB805" s="244">
        <f>IF(AB$7&lt;&gt;"",IF(ROUND(AB803,0)&lt;0,1,0),"")</f>
        <v/>
      </c>
      <c r="AC805" s="244">
        <f>IF(AC$7&lt;&gt;"",IF(ROUND(AC803,0)&lt;0,1,0),"")</f>
        <v/>
      </c>
      <c r="AD805" s="244">
        <f>IF(AD$7&lt;&gt;"",IF(ROUND(AD803,0)&lt;0,1,0),"")</f>
        <v/>
      </c>
      <c r="AE805" s="244">
        <f>IF(AE$7&lt;&gt;"",IF(ROUND(AE803,0)&lt;0,1,0),"")</f>
        <v/>
      </c>
      <c r="AF805" s="244">
        <f>IF(AF$7&lt;&gt;"",IF(ROUND(AF803,0)&lt;0,1,0),"")</f>
        <v/>
      </c>
      <c r="AG805" s="244">
        <f>IF(AG$7&lt;&gt;"",IF(ROUND(AG803,0)&lt;0,1,0),"")</f>
        <v/>
      </c>
      <c r="AH805" s="244">
        <f>IF(AH$7&lt;&gt;"",IF(ROUND(AH803,0)&lt;0,1,0),"")</f>
        <v/>
      </c>
      <c r="AI805" s="244">
        <f>IF(AI$7&lt;&gt;"",IF(ROUND(AI803,0)&lt;0,1,0),"")</f>
        <v/>
      </c>
      <c r="AJ805" s="244">
        <f>IF(AJ$7&lt;&gt;"",IF(ROUND(AJ803,0)&lt;0,1,0),"")</f>
        <v/>
      </c>
      <c r="AK805" s="244">
        <f>IF(AK$7&lt;&gt;"",IF(ROUND(AK803,0)&lt;0,1,0),"")</f>
        <v/>
      </c>
      <c r="AL805" s="244">
        <f>IF(AL$7&lt;&gt;"",IF(ROUND(AL803,0)&lt;0,1,0),"")</f>
        <v/>
      </c>
      <c r="AM805" s="244">
        <f>IF(AM$7&lt;&gt;"",IF(ROUND(AM803,0)&lt;0,1,0),"")</f>
        <v/>
      </c>
      <c r="AN805" s="244">
        <f>IF(AN$7&lt;&gt;"",IF(ROUND(AN803,0)&lt;0,1,0),"")</f>
        <v/>
      </c>
      <c r="AO805" s="244">
        <f>IF(AO$7&lt;&gt;"",IF(ROUND(AO803,0)&lt;0,1,0),"")</f>
        <v/>
      </c>
      <c r="AP805" s="244">
        <f>IF(AP$7&lt;&gt;"",IF(ROUND(AP803,0)&lt;0,1,0),"")</f>
        <v/>
      </c>
      <c r="AQ805" s="244">
        <f>IF(AQ$7&lt;&gt;"",IF(ROUND(AQ803,0)&lt;0,1,0),"")</f>
        <v/>
      </c>
      <c r="AR805" s="244">
        <f>IF(AR$7&lt;&gt;"",IF(ROUND(AR803,0)&lt;0,1,0),"")</f>
        <v/>
      </c>
      <c r="AS805" s="244">
        <f>IF(AS$7&lt;&gt;"",IF(ROUND(AS803,0)&lt;0,1,0),"")</f>
        <v/>
      </c>
      <c r="AT805" s="244">
        <f>IF(AT$7&lt;&gt;"",IF(ROUND(AT803,0)&lt;0,1,0),"")</f>
        <v/>
      </c>
      <c r="AU805" s="244">
        <f>IF(AU$7&lt;&gt;"",IF(ROUND(AU803,0)&lt;0,1,0),"")</f>
        <v/>
      </c>
      <c r="AV805" s="244">
        <f>IF(AV$7&lt;&gt;"",IF(ROUND(AV803,0)&lt;0,1,0),"")</f>
        <v/>
      </c>
      <c r="AW805" s="244">
        <f>IF(AW$7&lt;&gt;"",IF(ROUND(AW803,0)&lt;0,1,0),"")</f>
        <v/>
      </c>
      <c r="AX805" s="244">
        <f>IF(AX$7&lt;&gt;"",IF(ROUND(AX803,0)&lt;0,1,0),"")</f>
        <v/>
      </c>
      <c r="AY805" s="244">
        <f>IF(AY$7&lt;&gt;"",IF(ROUND(AY803,0)&lt;0,1,0),"")</f>
        <v/>
      </c>
      <c r="AZ805" s="244">
        <f>IF(AZ$7&lt;&gt;"",IF(ROUND(AZ803,0)&lt;0,1,0),"")</f>
        <v/>
      </c>
      <c r="BA805" s="244">
        <f>IF(BA$7&lt;&gt;"",IF(ROUND(BA803,0)&lt;0,1,0),"")</f>
        <v/>
      </c>
      <c r="BB805" s="244">
        <f>IF(BB$7&lt;&gt;"",IF(ROUND(BB803,0)&lt;0,1,0),"")</f>
        <v/>
      </c>
      <c r="BC805" s="244">
        <f>IF(BC$7&lt;&gt;"",IF(ROUND(BC803,0)&lt;0,1,0),"")</f>
        <v/>
      </c>
      <c r="BD805" s="244">
        <f>IF(BD$7&lt;&gt;"",IF(ROUND(BD803,0)&lt;0,1,0),"")</f>
        <v/>
      </c>
      <c r="BE805" s="244">
        <f>IF(BE$7&lt;&gt;"",IF(ROUND(BE803,0)&lt;0,1,0),"")</f>
        <v/>
      </c>
      <c r="BF805" s="244">
        <f>IF(BF$7&lt;&gt;"",IF(ROUND(BF803,0)&lt;0,1,0),"")</f>
        <v/>
      </c>
      <c r="BG805" s="244">
        <f>IF(BG$7&lt;&gt;"",IF(ROUND(BG803,0)&lt;0,1,0),"")</f>
        <v/>
      </c>
      <c r="BH805" s="244">
        <f>IF(BH$7&lt;&gt;"",IF(ROUND(BH803,0)&lt;0,1,0),"")</f>
        <v/>
      </c>
      <c r="BI805" s="244">
        <f>IF(BI$7&lt;&gt;"",IF(ROUND(BI803,0)&lt;0,1,0),"")</f>
        <v/>
      </c>
      <c r="BJ805" s="244">
        <f>IF(BJ$7&lt;&gt;"",IF(ROUND(BJ803,0)&lt;0,1,0),"")</f>
        <v/>
      </c>
      <c r="BK805" s="244">
        <f>IF(BK$7&lt;&gt;"",IF(ROUND(BK803,0)&lt;0,1,0),"")</f>
        <v/>
      </c>
      <c r="BL805" s="244">
        <f>IF(BL$7&lt;&gt;"",IF(ROUND(BL803,0)&lt;0,1,0),"")</f>
        <v/>
      </c>
      <c r="BM805" s="244">
        <f>IF(BM$7&lt;&gt;"",IF(ROUND(BM803,0)&lt;0,1,0),"")</f>
        <v/>
      </c>
      <c r="BN805" s="244">
        <f>IF(BN$7&lt;&gt;"",IF(ROUND(BN803,0)&lt;0,1,0),"")</f>
        <v/>
      </c>
      <c r="BO805" s="244">
        <f>IF(BO$7&lt;&gt;"",IF(ROUND(BO803,0)&lt;0,1,0),"")</f>
        <v/>
      </c>
      <c r="BP805" s="244">
        <f>IF(BP$7&lt;&gt;"",IF(ROUND(BP803,0)&lt;0,1,0),"")</f>
        <v/>
      </c>
      <c r="BQ805" s="244">
        <f>IF(BQ$7&lt;&gt;"",IF(ROUND(BQ803,0)&lt;0,1,0),"")</f>
        <v/>
      </c>
      <c r="BR805" s="244">
        <f>IF(BR$7&lt;&gt;"",IF(ROUND(BR803,0)&lt;0,1,0),"")</f>
        <v/>
      </c>
      <c r="BS805" s="244">
        <f>IF(BS$7&lt;&gt;"",IF(ROUND(BS803,0)&lt;0,1,0),"")</f>
        <v/>
      </c>
      <c r="BT805" s="244">
        <f>IF(BT$7&lt;&gt;"",IF(ROUND(BT803,0)&lt;0,1,0),"")</f>
        <v/>
      </c>
      <c r="BU805" s="244">
        <f>IF(BU$7&lt;&gt;"",IF(ROUND(BU803,0)&lt;0,1,0),"")</f>
        <v/>
      </c>
      <c r="BV805" s="244">
        <f>IF(BV$7&lt;&gt;"",IF(ROUND(BV803,0)&lt;0,1,0),"")</f>
        <v/>
      </c>
      <c r="BW805" s="244">
        <f>IF(BW$7&lt;&gt;"",IF(ROUND(BW803,0)&lt;0,1,0),"")</f>
        <v/>
      </c>
      <c r="BX805" s="244">
        <f>IF(BX$7&lt;&gt;"",IF(ROUND(BX803,0)&lt;0,1,0),"")</f>
        <v/>
      </c>
      <c r="BY805" s="244">
        <f>IF(BY$7&lt;&gt;"",IF(ROUND(BY803,0)&lt;0,1,0),"")</f>
        <v/>
      </c>
      <c r="BZ805" s="244">
        <f>IF(BZ$7&lt;&gt;"",IF(ROUND(BZ803,0)&lt;0,1,0),"")</f>
        <v/>
      </c>
      <c r="CA805" s="244">
        <f>IF(CA$7&lt;&gt;"",IF(ROUND(CA803,0)&lt;0,1,0),"")</f>
        <v/>
      </c>
    </row>
    <row r="806" ht="12" customHeight="1" s="227">
      <c r="A806" s="244" t="n"/>
      <c r="B806" s="244" t="n"/>
      <c r="C806" s="244" t="n"/>
      <c r="K806" s="6" t="n"/>
    </row>
    <row r="807" ht="12" customHeight="1" s="227">
      <c r="A807" s="244" t="n"/>
      <c r="B807" s="244" t="n"/>
      <c r="C807" s="244" t="n"/>
      <c r="K807" s="6" t="n"/>
    </row>
    <row r="808" ht="12" customHeight="1" s="227">
      <c r="A808" s="244" t="n"/>
      <c r="B808" s="244" t="n"/>
      <c r="C808" s="244" t="n"/>
      <c r="G808" s="222">
        <f>i_Setup!U118</f>
        <v/>
      </c>
      <c r="K808" s="6" t="n"/>
    </row>
    <row r="809" ht="12" customHeight="1" s="227">
      <c r="A809" s="244" t="n"/>
      <c r="B809" s="244" t="n"/>
      <c r="C809" s="244" t="n"/>
      <c r="K809" s="6" t="n"/>
    </row>
    <row r="810" ht="12" customHeight="1" s="227">
      <c r="A810" s="244" t="n"/>
      <c r="B810" s="244" t="n"/>
      <c r="C810" s="244" t="n"/>
      <c r="H810" s="0" t="inlineStr">
        <is>
          <t>Useful Life - Opening Bal</t>
        </is>
      </c>
      <c r="I810" s="27" t="inlineStr">
        <is>
          <t>Months</t>
        </is>
      </c>
      <c r="K810" s="259">
        <f>i_Actuals!K119*12</f>
        <v/>
      </c>
    </row>
    <row r="811" ht="12" customHeight="1" s="227">
      <c r="A811" s="244" t="n"/>
      <c r="B811" s="244" t="n"/>
      <c r="C811" s="244" t="n"/>
      <c r="H811" s="0" t="inlineStr">
        <is>
          <t>Useful Life - Additions</t>
        </is>
      </c>
      <c r="I811" s="27" t="inlineStr">
        <is>
          <t>Months</t>
        </is>
      </c>
      <c r="K811" s="259">
        <f>i_Assumptions!K650*12</f>
        <v/>
      </c>
    </row>
    <row r="812" ht="12" customHeight="1" s="227">
      <c r="A812" s="244" t="n"/>
      <c r="B812" s="244" t="n"/>
      <c r="C812" s="244" t="n"/>
      <c r="H812" s="0" t="n"/>
      <c r="I812" s="27" t="n"/>
      <c r="K812" s="6" t="n"/>
    </row>
    <row r="813" ht="12" customHeight="1" s="227">
      <c r="A813" s="244" t="n"/>
      <c r="B813" s="244" t="n"/>
      <c r="C813" s="244" t="n"/>
      <c r="H813" s="0" t="inlineStr">
        <is>
          <t>Opening Balance</t>
        </is>
      </c>
      <c r="I813" s="27">
        <f>i_Setup!$M$16</f>
        <v/>
      </c>
      <c r="K813" s="6" t="n"/>
      <c r="M813" s="245">
        <f>SUMIF($T$1:$CA$1,M$1,$T813:$CA813)</f>
        <v/>
      </c>
      <c r="N813" s="245">
        <f>SUMIF($T$1:$CA$1,N$1,$T813:$CA813)</f>
        <v/>
      </c>
      <c r="O813" s="245">
        <f>SUMIF($T$1:$CA$1,O$1,$T813:$CA813)</f>
        <v/>
      </c>
      <c r="P813" s="245">
        <f>SUMIF($T$1:$CA$1,P$1,$T813:$CA813)</f>
        <v/>
      </c>
      <c r="Q813" s="245">
        <f>SUMIF($T$1:$CA$1,Q$1,$T813:$CA813)</f>
        <v/>
      </c>
      <c r="T813" s="245">
        <f>IF(T$2=i_Setup!$U$26,i_Actuals!T119,0)</f>
        <v/>
      </c>
      <c r="U813" s="245">
        <f>IF(U$2=i_Setup!$U$26,i_Actuals!U119,0)</f>
        <v/>
      </c>
      <c r="V813" s="245">
        <f>IF(V$2=i_Setup!$U$26,i_Actuals!V119,0)</f>
        <v/>
      </c>
      <c r="W813" s="245">
        <f>IF(W$2=i_Setup!$U$26,i_Actuals!W119,0)</f>
        <v/>
      </c>
      <c r="X813" s="245">
        <f>IF(X$2=i_Setup!$U$26,i_Actuals!X119,0)</f>
        <v/>
      </c>
      <c r="Y813" s="245">
        <f>IF(Y$2=i_Setup!$U$26,i_Actuals!Y119,0)</f>
        <v/>
      </c>
      <c r="Z813" s="245">
        <f>IF(Z$2=i_Setup!$U$26,i_Actuals!Z119,0)</f>
        <v/>
      </c>
      <c r="AA813" s="245">
        <f>IF(AA$2=i_Setup!$U$26,i_Actuals!AA119,0)</f>
        <v/>
      </c>
      <c r="AB813" s="245">
        <f>IF(AB$2=i_Setup!$U$26,i_Actuals!AB119,0)</f>
        <v/>
      </c>
      <c r="AC813" s="245">
        <f>IF(AC$2=i_Setup!$U$26,i_Actuals!AC119,0)</f>
        <v/>
      </c>
      <c r="AD813" s="245">
        <f>IF(AD$2=i_Setup!$U$26,i_Actuals!AD119,0)</f>
        <v/>
      </c>
      <c r="AE813" s="245">
        <f>IF(AE$2=i_Setup!$U$26,i_Actuals!AE119,0)</f>
        <v/>
      </c>
      <c r="AF813" s="245">
        <f>IF(AF$2=i_Setup!$U$26,i_Actuals!AF119,0)</f>
        <v/>
      </c>
      <c r="AG813" s="245">
        <f>IF(AG$2=i_Setup!$U$26,i_Actuals!AG119,0)</f>
        <v/>
      </c>
      <c r="AH813" s="245">
        <f>IF(AH$2=i_Setup!$U$26,i_Actuals!AH119,0)</f>
        <v/>
      </c>
      <c r="AI813" s="245">
        <f>IF(AI$2=i_Setup!$U$26,i_Actuals!AI119,0)</f>
        <v/>
      </c>
      <c r="AJ813" s="245">
        <f>IF(AJ$2=i_Setup!$U$26,i_Actuals!AJ119,0)</f>
        <v/>
      </c>
      <c r="AK813" s="245">
        <f>IF(AK$2=i_Setup!$U$26,i_Actuals!AK119,0)</f>
        <v/>
      </c>
      <c r="AL813" s="245">
        <f>IF(AL$2=i_Setup!$U$26,i_Actuals!AL119,0)</f>
        <v/>
      </c>
      <c r="AM813" s="245">
        <f>IF(AM$2=i_Setup!$U$26,i_Actuals!AM119,0)</f>
        <v/>
      </c>
      <c r="AN813" s="245">
        <f>IF(AN$2=i_Setup!$U$26,i_Actuals!AN119,0)</f>
        <v/>
      </c>
      <c r="AO813" s="245">
        <f>IF(AO$2=i_Setup!$U$26,i_Actuals!AO119,0)</f>
        <v/>
      </c>
      <c r="AP813" s="245">
        <f>IF(AP$2=i_Setup!$U$26,i_Actuals!AP119,0)</f>
        <v/>
      </c>
      <c r="AQ813" s="245">
        <f>IF(AQ$2=i_Setup!$U$26,i_Actuals!AQ119,0)</f>
        <v/>
      </c>
      <c r="AR813" s="245">
        <f>IF(AR$2=i_Setup!$U$26,i_Actuals!AR119,0)</f>
        <v/>
      </c>
      <c r="AS813" s="245">
        <f>IF(AS$2=i_Setup!$U$26,i_Actuals!AS119,0)</f>
        <v/>
      </c>
      <c r="AT813" s="245">
        <f>IF(AT$2=i_Setup!$U$26,i_Actuals!AT119,0)</f>
        <v/>
      </c>
      <c r="AU813" s="245">
        <f>IF(AU$2=i_Setup!$U$26,i_Actuals!AU119,0)</f>
        <v/>
      </c>
      <c r="AV813" s="245">
        <f>IF(AV$2=i_Setup!$U$26,i_Actuals!AV119,0)</f>
        <v/>
      </c>
      <c r="AW813" s="245">
        <f>IF(AW$2=i_Setup!$U$26,i_Actuals!AW119,0)</f>
        <v/>
      </c>
      <c r="AX813" s="245">
        <f>IF(AX$2=i_Setup!$U$26,i_Actuals!AX119,0)</f>
        <v/>
      </c>
      <c r="AY813" s="245">
        <f>IF(AY$2=i_Setup!$U$26,i_Actuals!AY119,0)</f>
        <v/>
      </c>
      <c r="AZ813" s="245">
        <f>IF(AZ$2=i_Setup!$U$26,i_Actuals!AZ119,0)</f>
        <v/>
      </c>
      <c r="BA813" s="245">
        <f>IF(BA$2=i_Setup!$U$26,i_Actuals!BA119,0)</f>
        <v/>
      </c>
      <c r="BB813" s="245">
        <f>IF(BB$2=i_Setup!$U$26,i_Actuals!BB119,0)</f>
        <v/>
      </c>
      <c r="BC813" s="245">
        <f>IF(BC$2=i_Setup!$U$26,i_Actuals!BC119,0)</f>
        <v/>
      </c>
      <c r="BD813" s="245">
        <f>IF(BD$2=i_Setup!$U$26,i_Actuals!BD119,0)</f>
        <v/>
      </c>
      <c r="BE813" s="245">
        <f>IF(BE$2=i_Setup!$U$26,i_Actuals!BE119,0)</f>
        <v/>
      </c>
      <c r="BF813" s="245">
        <f>IF(BF$2=i_Setup!$U$26,i_Actuals!BF119,0)</f>
        <v/>
      </c>
      <c r="BG813" s="245">
        <f>IF(BG$2=i_Setup!$U$26,i_Actuals!BG119,0)</f>
        <v/>
      </c>
      <c r="BH813" s="245">
        <f>IF(BH$2=i_Setup!$U$26,i_Actuals!BH119,0)</f>
        <v/>
      </c>
      <c r="BI813" s="245">
        <f>IF(BI$2=i_Setup!$U$26,i_Actuals!BI119,0)</f>
        <v/>
      </c>
      <c r="BJ813" s="245">
        <f>IF(BJ$2=i_Setup!$U$26,i_Actuals!BJ119,0)</f>
        <v/>
      </c>
      <c r="BK813" s="245">
        <f>IF(BK$2=i_Setup!$U$26,i_Actuals!BK119,0)</f>
        <v/>
      </c>
      <c r="BL813" s="245">
        <f>IF(BL$2=i_Setup!$U$26,i_Actuals!BL119,0)</f>
        <v/>
      </c>
      <c r="BM813" s="245">
        <f>IF(BM$2=i_Setup!$U$26,i_Actuals!BM119,0)</f>
        <v/>
      </c>
      <c r="BN813" s="245">
        <f>IF(BN$2=i_Setup!$U$26,i_Actuals!BN119,0)</f>
        <v/>
      </c>
      <c r="BO813" s="245">
        <f>IF(BO$2=i_Setup!$U$26,i_Actuals!BO119,0)</f>
        <v/>
      </c>
      <c r="BP813" s="245">
        <f>IF(BP$2=i_Setup!$U$26,i_Actuals!BP119,0)</f>
        <v/>
      </c>
      <c r="BQ813" s="245">
        <f>IF(BQ$2=i_Setup!$U$26,i_Actuals!BQ119,0)</f>
        <v/>
      </c>
      <c r="BR813" s="245">
        <f>IF(BR$2=i_Setup!$U$26,i_Actuals!BR119,0)</f>
        <v/>
      </c>
      <c r="BS813" s="245">
        <f>IF(BS$2=i_Setup!$U$26,i_Actuals!BS119,0)</f>
        <v/>
      </c>
      <c r="BT813" s="245">
        <f>IF(BT$2=i_Setup!$U$26,i_Actuals!BT119,0)</f>
        <v/>
      </c>
      <c r="BU813" s="245">
        <f>IF(BU$2=i_Setup!$U$26,i_Actuals!BU119,0)</f>
        <v/>
      </c>
      <c r="BV813" s="245">
        <f>IF(BV$2=i_Setup!$U$26,i_Actuals!BV119,0)</f>
        <v/>
      </c>
      <c r="BW813" s="245">
        <f>IF(BW$2=i_Setup!$U$26,i_Actuals!BW119,0)</f>
        <v/>
      </c>
      <c r="BX813" s="245">
        <f>IF(BX$2=i_Setup!$U$26,i_Actuals!BX119,0)</f>
        <v/>
      </c>
      <c r="BY813" s="245">
        <f>IF(BY$2=i_Setup!$U$26,i_Actuals!BY119,0)</f>
        <v/>
      </c>
      <c r="BZ813" s="245">
        <f>IF(BZ$2=i_Setup!$U$26,i_Actuals!BZ119,0)</f>
        <v/>
      </c>
      <c r="CA813" s="245">
        <f>IF(CA$2=i_Setup!$U$26,i_Actuals!CA119,0)</f>
        <v/>
      </c>
    </row>
    <row r="814" ht="12" customHeight="1" s="227">
      <c r="A814" s="244" t="n"/>
      <c r="B814" s="244" t="n"/>
      <c r="C814" s="244" t="n"/>
      <c r="H814" s="0" t="n"/>
      <c r="I814" s="27" t="n"/>
      <c r="K814" s="6" t="n"/>
    </row>
    <row r="815" ht="12" customHeight="1" s="227">
      <c r="A815" s="244" t="n"/>
      <c r="B815" s="244" t="n"/>
      <c r="C815" s="244" t="n"/>
      <c r="H815" s="0" t="inlineStr">
        <is>
          <t>Opening Balance</t>
        </is>
      </c>
      <c r="I815" s="27">
        <f>i_Setup!$M$16</f>
        <v/>
      </c>
      <c r="K815" s="6" t="n"/>
      <c r="M815" s="245">
        <f>SUMIF($T$1:$CA$1,M$1,$T815:$CA815)</f>
        <v/>
      </c>
      <c r="N815" s="245">
        <f>SUMIF($T$1:$CA$1,N$1,$T815:$CA815)</f>
        <v/>
      </c>
      <c r="O815" s="245">
        <f>SUMIF($T$1:$CA$1,O$1,$T815:$CA815)</f>
        <v/>
      </c>
      <c r="P815" s="245">
        <f>SUMIF($T$1:$CA$1,P$1,$T815:$CA815)</f>
        <v/>
      </c>
      <c r="Q815" s="245">
        <f>SUMIF($T$1:$CA$1,Q$1,$T815:$CA815)</f>
        <v/>
      </c>
      <c r="T815" s="245">
        <f>S819</f>
        <v/>
      </c>
      <c r="U815" s="245">
        <f>T819</f>
        <v/>
      </c>
      <c r="V815" s="245">
        <f>U819</f>
        <v/>
      </c>
      <c r="W815" s="245">
        <f>V819</f>
        <v/>
      </c>
      <c r="X815" s="245">
        <f>W819</f>
        <v/>
      </c>
      <c r="Y815" s="245">
        <f>X819</f>
        <v/>
      </c>
      <c r="Z815" s="245">
        <f>Y819</f>
        <v/>
      </c>
      <c r="AA815" s="245">
        <f>Z819</f>
        <v/>
      </c>
      <c r="AB815" s="245">
        <f>AA819</f>
        <v/>
      </c>
      <c r="AC815" s="245">
        <f>AB819</f>
        <v/>
      </c>
      <c r="AD815" s="245">
        <f>AC819</f>
        <v/>
      </c>
      <c r="AE815" s="245">
        <f>AD819</f>
        <v/>
      </c>
      <c r="AF815" s="245">
        <f>AE819</f>
        <v/>
      </c>
      <c r="AG815" s="245">
        <f>AF819</f>
        <v/>
      </c>
      <c r="AH815" s="245">
        <f>AG819</f>
        <v/>
      </c>
      <c r="AI815" s="245">
        <f>AH819</f>
        <v/>
      </c>
      <c r="AJ815" s="245">
        <f>AI819</f>
        <v/>
      </c>
      <c r="AK815" s="245">
        <f>AJ819</f>
        <v/>
      </c>
      <c r="AL815" s="245">
        <f>AK819</f>
        <v/>
      </c>
      <c r="AM815" s="245">
        <f>AL819</f>
        <v/>
      </c>
      <c r="AN815" s="245">
        <f>AM819</f>
        <v/>
      </c>
      <c r="AO815" s="245">
        <f>AN819</f>
        <v/>
      </c>
      <c r="AP815" s="245">
        <f>AO819</f>
        <v/>
      </c>
      <c r="AQ815" s="245">
        <f>AP819</f>
        <v/>
      </c>
      <c r="AR815" s="245">
        <f>AQ819</f>
        <v/>
      </c>
      <c r="AS815" s="245">
        <f>AR819</f>
        <v/>
      </c>
      <c r="AT815" s="245">
        <f>AS819</f>
        <v/>
      </c>
      <c r="AU815" s="245">
        <f>AT819</f>
        <v/>
      </c>
      <c r="AV815" s="245">
        <f>AU819</f>
        <v/>
      </c>
      <c r="AW815" s="245">
        <f>AV819</f>
        <v/>
      </c>
      <c r="AX815" s="245">
        <f>AW819</f>
        <v/>
      </c>
      <c r="AY815" s="245">
        <f>AX819</f>
        <v/>
      </c>
      <c r="AZ815" s="245">
        <f>AY819</f>
        <v/>
      </c>
      <c r="BA815" s="245">
        <f>AZ819</f>
        <v/>
      </c>
      <c r="BB815" s="245">
        <f>BA819</f>
        <v/>
      </c>
      <c r="BC815" s="245">
        <f>BB819</f>
        <v/>
      </c>
      <c r="BD815" s="245">
        <f>BC819</f>
        <v/>
      </c>
      <c r="BE815" s="245">
        <f>BD819</f>
        <v/>
      </c>
      <c r="BF815" s="245">
        <f>BE819</f>
        <v/>
      </c>
      <c r="BG815" s="245">
        <f>BF819</f>
        <v/>
      </c>
      <c r="BH815" s="245">
        <f>BG819</f>
        <v/>
      </c>
      <c r="BI815" s="245">
        <f>BH819</f>
        <v/>
      </c>
      <c r="BJ815" s="245">
        <f>BI819</f>
        <v/>
      </c>
      <c r="BK815" s="245">
        <f>BJ819</f>
        <v/>
      </c>
      <c r="BL815" s="245">
        <f>BK819</f>
        <v/>
      </c>
      <c r="BM815" s="245">
        <f>BL819</f>
        <v/>
      </c>
      <c r="BN815" s="245">
        <f>BM819</f>
        <v/>
      </c>
      <c r="BO815" s="245">
        <f>BN819</f>
        <v/>
      </c>
      <c r="BP815" s="245">
        <f>BO819</f>
        <v/>
      </c>
      <c r="BQ815" s="245">
        <f>BP819</f>
        <v/>
      </c>
      <c r="BR815" s="245">
        <f>BQ819</f>
        <v/>
      </c>
      <c r="BS815" s="245">
        <f>BR819</f>
        <v/>
      </c>
      <c r="BT815" s="245">
        <f>BS819</f>
        <v/>
      </c>
      <c r="BU815" s="245">
        <f>BT819</f>
        <v/>
      </c>
      <c r="BV815" s="245">
        <f>BU819</f>
        <v/>
      </c>
      <c r="BW815" s="245">
        <f>BV819</f>
        <v/>
      </c>
      <c r="BX815" s="245">
        <f>BW819</f>
        <v/>
      </c>
      <c r="BY815" s="245">
        <f>BX819</f>
        <v/>
      </c>
      <c r="BZ815" s="245">
        <f>BY819</f>
        <v/>
      </c>
      <c r="CA815" s="245">
        <f>BZ819</f>
        <v/>
      </c>
    </row>
    <row r="816" ht="12" customHeight="1" s="227">
      <c r="A816" s="244" t="n"/>
      <c r="B816" s="244" t="n"/>
      <c r="C816" s="244" t="n"/>
      <c r="H816" s="0" t="inlineStr">
        <is>
          <t>Addition Amounts</t>
        </is>
      </c>
      <c r="I816" s="27">
        <f>i_Setup!$M$16</f>
        <v/>
      </c>
      <c r="K816" s="6" t="n"/>
      <c r="M816" s="245">
        <f>SUMIF($T$4:$CA$4,M$4,$T816:$CA816)</f>
        <v/>
      </c>
      <c r="N816" s="245">
        <f>SUMIF($T$4:$CA$4,N$4,$T816:$CA816)</f>
        <v/>
      </c>
      <c r="O816" s="245">
        <f>SUMIF($T$4:$CA$4,O$4,$T816:$CA816)</f>
        <v/>
      </c>
      <c r="P816" s="245">
        <f>SUMIF($T$4:$CA$4,P$4,$T816:$CA816)</f>
        <v/>
      </c>
      <c r="Q816" s="245">
        <f>SUMIF($T$4:$CA$4,Q$4,$T816:$CA816)</f>
        <v/>
      </c>
      <c r="T816" s="257">
        <f>IF(T$7="Actual","",T659)</f>
        <v/>
      </c>
      <c r="U816" s="257">
        <f>IF(U$7="Actual","",U659)</f>
        <v/>
      </c>
      <c r="V816" s="257">
        <f>IF(V$7="Actual","",V659)</f>
        <v/>
      </c>
      <c r="W816" s="257">
        <f>IF(W$7="Actual","",W659)</f>
        <v/>
      </c>
      <c r="X816" s="257">
        <f>IF(X$7="Actual","",X659)</f>
        <v/>
      </c>
      <c r="Y816" s="257">
        <f>IF(Y$7="Actual","",Y659)</f>
        <v/>
      </c>
      <c r="Z816" s="257">
        <f>IF(Z$7="Actual","",Z659)</f>
        <v/>
      </c>
      <c r="AA816" s="257">
        <f>IF(AA$7="Actual","",AA659)</f>
        <v/>
      </c>
      <c r="AB816" s="257">
        <f>IF(AB$7="Actual","",AB659)</f>
        <v/>
      </c>
      <c r="AC816" s="257">
        <f>IF(AC$7="Actual","",AC659)</f>
        <v/>
      </c>
      <c r="AD816" s="257">
        <f>IF(AD$7="Actual","",AD659)</f>
        <v/>
      </c>
      <c r="AE816" s="257">
        <f>IF(AE$7="Actual","",AE659)</f>
        <v/>
      </c>
      <c r="AF816" s="257">
        <f>IF(AF$7="Actual","",AF659)</f>
        <v/>
      </c>
      <c r="AG816" s="257">
        <f>IF(AG$7="Actual","",AG659)</f>
        <v/>
      </c>
      <c r="AH816" s="257">
        <f>IF(AH$7="Actual","",AH659)</f>
        <v/>
      </c>
      <c r="AI816" s="257">
        <f>IF(AI$7="Actual","",AI659)</f>
        <v/>
      </c>
      <c r="AJ816" s="257">
        <f>IF(AJ$7="Actual","",AJ659)</f>
        <v/>
      </c>
      <c r="AK816" s="257">
        <f>IF(AK$7="Actual","",AK659)</f>
        <v/>
      </c>
      <c r="AL816" s="257">
        <f>IF(AL$7="Actual","",AL659)</f>
        <v/>
      </c>
      <c r="AM816" s="257">
        <f>IF(AM$7="Actual","",AM659)</f>
        <v/>
      </c>
      <c r="AN816" s="257">
        <f>IF(AN$7="Actual","",AN659)</f>
        <v/>
      </c>
      <c r="AO816" s="257">
        <f>IF(AO$7="Actual","",AO659)</f>
        <v/>
      </c>
      <c r="AP816" s="257">
        <f>IF(AP$7="Actual","",AP659)</f>
        <v/>
      </c>
      <c r="AQ816" s="257">
        <f>IF(AQ$7="Actual","",AQ659)</f>
        <v/>
      </c>
      <c r="AR816" s="257">
        <f>IF(AR$7="Actual","",AR659)</f>
        <v/>
      </c>
      <c r="AS816" s="257">
        <f>IF(AS$7="Actual","",AS659)</f>
        <v/>
      </c>
      <c r="AT816" s="257">
        <f>IF(AT$7="Actual","",AT659)</f>
        <v/>
      </c>
      <c r="AU816" s="257">
        <f>IF(AU$7="Actual","",AU659)</f>
        <v/>
      </c>
      <c r="AV816" s="257">
        <f>IF(AV$7="Actual","",AV659)</f>
        <v/>
      </c>
      <c r="AW816" s="257">
        <f>IF(AW$7="Actual","",AW659)</f>
        <v/>
      </c>
      <c r="AX816" s="257">
        <f>IF(AX$7="Actual","",AX659)</f>
        <v/>
      </c>
      <c r="AY816" s="257">
        <f>IF(AY$7="Actual","",AY659)</f>
        <v/>
      </c>
      <c r="AZ816" s="257">
        <f>IF(AZ$7="Actual","",AZ659)</f>
        <v/>
      </c>
      <c r="BA816" s="257">
        <f>IF(BA$7="Actual","",BA659)</f>
        <v/>
      </c>
      <c r="BB816" s="257">
        <f>IF(BB$7="Actual","",BB659)</f>
        <v/>
      </c>
      <c r="BC816" s="257">
        <f>IF(BC$7="Actual","",BC659)</f>
        <v/>
      </c>
      <c r="BD816" s="257">
        <f>IF(BD$7="Actual","",BD659)</f>
        <v/>
      </c>
      <c r="BE816" s="257">
        <f>IF(BE$7="Actual","",BE659)</f>
        <v/>
      </c>
      <c r="BF816" s="257">
        <f>IF(BF$7="Actual","",BF659)</f>
        <v/>
      </c>
      <c r="BG816" s="257">
        <f>IF(BG$7="Actual","",BG659)</f>
        <v/>
      </c>
      <c r="BH816" s="257">
        <f>IF(BH$7="Actual","",BH659)</f>
        <v/>
      </c>
      <c r="BI816" s="257">
        <f>IF(BI$7="Actual","",BI659)</f>
        <v/>
      </c>
      <c r="BJ816" s="257">
        <f>IF(BJ$7="Actual","",BJ659)</f>
        <v/>
      </c>
      <c r="BK816" s="257">
        <f>IF(BK$7="Actual","",BK659)</f>
        <v/>
      </c>
      <c r="BL816" s="257">
        <f>IF(BL$7="Actual","",BL659)</f>
        <v/>
      </c>
      <c r="BM816" s="257">
        <f>IF(BM$7="Actual","",BM659)</f>
        <v/>
      </c>
      <c r="BN816" s="257">
        <f>IF(BN$7="Actual","",BN659)</f>
        <v/>
      </c>
      <c r="BO816" s="257">
        <f>IF(BO$7="Actual","",BO659)</f>
        <v/>
      </c>
      <c r="BP816" s="257">
        <f>IF(BP$7="Actual","",BP659)</f>
        <v/>
      </c>
      <c r="BQ816" s="257">
        <f>IF(BQ$7="Actual","",BQ659)</f>
        <v/>
      </c>
      <c r="BR816" s="257">
        <f>IF(BR$7="Actual","",BR659)</f>
        <v/>
      </c>
      <c r="BS816" s="257">
        <f>IF(BS$7="Actual","",BS659)</f>
        <v/>
      </c>
      <c r="BT816" s="257">
        <f>IF(BT$7="Actual","",BT659)</f>
        <v/>
      </c>
      <c r="BU816" s="257">
        <f>IF(BU$7="Actual","",BU659)</f>
        <v/>
      </c>
      <c r="BV816" s="257">
        <f>IF(BV$7="Actual","",BV659)</f>
        <v/>
      </c>
      <c r="BW816" s="257">
        <f>IF(BW$7="Actual","",BW659)</f>
        <v/>
      </c>
      <c r="BX816" s="257">
        <f>IF(BX$7="Actual","",BX659)</f>
        <v/>
      </c>
      <c r="BY816" s="257">
        <f>IF(BY$7="Actual","",BY659)</f>
        <v/>
      </c>
      <c r="BZ816" s="257">
        <f>IF(BZ$7="Actual","",BZ659)</f>
        <v/>
      </c>
      <c r="CA816" s="257">
        <f>IF(CA$7="Actual","",CA659)</f>
        <v/>
      </c>
    </row>
    <row r="817" ht="12" customHeight="1" s="227">
      <c r="A817" s="244" t="n"/>
      <c r="B817" s="244" t="n"/>
      <c r="C817" s="244" t="n"/>
      <c r="H817" s="0" t="inlineStr">
        <is>
          <t xml:space="preserve"> Depreciation - Opening Bal</t>
        </is>
      </c>
      <c r="I817" s="27">
        <f>i_Setup!$M$16</f>
        <v/>
      </c>
      <c r="K817" s="6" t="n"/>
      <c r="M817" s="245">
        <f>SUMIF($T$4:$CA$4,M$4,$T817:$CA817)</f>
        <v/>
      </c>
      <c r="N817" s="245">
        <f>SUMIF($T$4:$CA$4,N$4,$T817:$CA817)</f>
        <v/>
      </c>
      <c r="O817" s="245">
        <f>SUMIF($T$4:$CA$4,O$4,$T817:$CA817)</f>
        <v/>
      </c>
      <c r="P817" s="245">
        <f>SUMIF($T$4:$CA$4,P$4,$T817:$CA817)</f>
        <v/>
      </c>
      <c r="Q817" s="245">
        <f>SUMIF($T$4:$CA$4,Q$4,$T817:$CA817)</f>
        <v/>
      </c>
      <c r="T817" s="245">
        <f>IF(T$7="Actual","",IFERROR(-SUM(OFFSET(S813,0,0,1,-MIN(T$6,$K$810)))/$K$810,0))</f>
        <v/>
      </c>
      <c r="U817" s="245">
        <f>IF(U$7="Actual","",IFERROR(-SUM(OFFSET(T813,0,0,1,-MIN(U$6,$K$810)))/$K$810,0))</f>
        <v/>
      </c>
      <c r="V817" s="245">
        <f>IF(V$7="Actual","",IFERROR(-SUM(OFFSET(U813,0,0,1,-MIN(V$6,$K$810)))/$K$810,0))</f>
        <v/>
      </c>
      <c r="W817" s="245">
        <f>IF(W$7="Actual","",IFERROR(-SUM(OFFSET(V813,0,0,1,-MIN(W$6,$K$810)))/$K$810,0))</f>
        <v/>
      </c>
      <c r="X817" s="245">
        <f>IF(X$7="Actual","",IFERROR(-SUM(OFFSET(W813,0,0,1,-MIN(X$6,$K$810)))/$K$810,0))</f>
        <v/>
      </c>
      <c r="Y817" s="245">
        <f>IF(Y$7="Actual","",IFERROR(-SUM(OFFSET(X813,0,0,1,-MIN(Y$6,$K$810)))/$K$810,0))</f>
        <v/>
      </c>
      <c r="Z817" s="245">
        <f>IF(Z$7="Actual","",IFERROR(-SUM(OFFSET(Y813,0,0,1,-MIN(Z$6,$K$810)))/$K$810,0))</f>
        <v/>
      </c>
      <c r="AA817" s="245">
        <f>IF(AA$7="Actual","",IFERROR(-SUM(OFFSET(Z813,0,0,1,-MIN(AA$6,$K$810)))/$K$810,0))</f>
        <v/>
      </c>
      <c r="AB817" s="245">
        <f>IF(AB$7="Actual","",IFERROR(-SUM(OFFSET(AA813,0,0,1,-MIN(AB$6,$K$810)))/$K$810,0))</f>
        <v/>
      </c>
      <c r="AC817" s="245">
        <f>IF(AC$7="Actual","",IFERROR(-SUM(OFFSET(AB813,0,0,1,-MIN(AC$6,$K$810)))/$K$810,0))</f>
        <v/>
      </c>
      <c r="AD817" s="245">
        <f>IF(AD$7="Actual","",IFERROR(-SUM(OFFSET(AC813,0,0,1,-MIN(AD$6,$K$810)))/$K$810,0))</f>
        <v/>
      </c>
      <c r="AE817" s="245">
        <f>IF(AE$7="Actual","",IFERROR(-SUM(OFFSET(AD813,0,0,1,-MIN(AE$6,$K$810)))/$K$810,0))</f>
        <v/>
      </c>
      <c r="AF817" s="245">
        <f>IF(AF$7="Actual","",IFERROR(-SUM(OFFSET(AE813,0,0,1,-MIN(AF$6,$K$810)))/$K$810,0))</f>
        <v/>
      </c>
      <c r="AG817" s="245">
        <f>IF(AG$7="Actual","",IFERROR(-SUM(OFFSET(AF813,0,0,1,-MIN(AG$6,$K$810)))/$K$810,0))</f>
        <v/>
      </c>
      <c r="AH817" s="245">
        <f>IF(AH$7="Actual","",IFERROR(-SUM(OFFSET(AG813,0,0,1,-MIN(AH$6,$K$810)))/$K$810,0))</f>
        <v/>
      </c>
      <c r="AI817" s="245">
        <f>IF(AI$7="Actual","",IFERROR(-SUM(OFFSET(AH813,0,0,1,-MIN(AI$6,$K$810)))/$K$810,0))</f>
        <v/>
      </c>
      <c r="AJ817" s="245">
        <f>IF(AJ$7="Actual","",IFERROR(-SUM(OFFSET(AI813,0,0,1,-MIN(AJ$6,$K$810)))/$K$810,0))</f>
        <v/>
      </c>
      <c r="AK817" s="245">
        <f>IF(AK$7="Actual","",IFERROR(-SUM(OFFSET(AJ813,0,0,1,-MIN(AK$6,$K$810)))/$K$810,0))</f>
        <v/>
      </c>
      <c r="AL817" s="245">
        <f>IF(AL$7="Actual","",IFERROR(-SUM(OFFSET(AK813,0,0,1,-MIN(AL$6,$K$810)))/$K$810,0))</f>
        <v/>
      </c>
      <c r="AM817" s="245">
        <f>IF(AM$7="Actual","",IFERROR(-SUM(OFFSET(AL813,0,0,1,-MIN(AM$6,$K$810)))/$K$810,0))</f>
        <v/>
      </c>
      <c r="AN817" s="245">
        <f>IF(AN$7="Actual","",IFERROR(-SUM(OFFSET(AM813,0,0,1,-MIN(AN$6,$K$810)))/$K$810,0))</f>
        <v/>
      </c>
      <c r="AO817" s="245">
        <f>IF(AO$7="Actual","",IFERROR(-SUM(OFFSET(AN813,0,0,1,-MIN(AO$6,$K$810)))/$K$810,0))</f>
        <v/>
      </c>
      <c r="AP817" s="245">
        <f>IF(AP$7="Actual","",IFERROR(-SUM(OFFSET(AO813,0,0,1,-MIN(AP$6,$K$810)))/$K$810,0))</f>
        <v/>
      </c>
      <c r="AQ817" s="245">
        <f>IF(AQ$7="Actual","",IFERROR(-SUM(OFFSET(AP813,0,0,1,-MIN(AQ$6,$K$810)))/$K$810,0))</f>
        <v/>
      </c>
      <c r="AR817" s="245">
        <f>IF(AR$7="Actual","",IFERROR(-SUM(OFFSET(AQ813,0,0,1,-MIN(AR$6,$K$810)))/$K$810,0))</f>
        <v/>
      </c>
      <c r="AS817" s="245">
        <f>IF(AS$7="Actual","",IFERROR(-SUM(OFFSET(AR813,0,0,1,-MIN(AS$6,$K$810)))/$K$810,0))</f>
        <v/>
      </c>
      <c r="AT817" s="245">
        <f>IF(AT$7="Actual","",IFERROR(-SUM(OFFSET(AS813,0,0,1,-MIN(AT$6,$K$810)))/$K$810,0))</f>
        <v/>
      </c>
      <c r="AU817" s="245">
        <f>IF(AU$7="Actual","",IFERROR(-SUM(OFFSET(AT813,0,0,1,-MIN(AU$6,$K$810)))/$K$810,0))</f>
        <v/>
      </c>
      <c r="AV817" s="245">
        <f>IF(AV$7="Actual","",IFERROR(-SUM(OFFSET(AU813,0,0,1,-MIN(AV$6,$K$810)))/$K$810,0))</f>
        <v/>
      </c>
      <c r="AW817" s="245">
        <f>IF(AW$7="Actual","",IFERROR(-SUM(OFFSET(AV813,0,0,1,-MIN(AW$6,$K$810)))/$K$810,0))</f>
        <v/>
      </c>
      <c r="AX817" s="245">
        <f>IF(AX$7="Actual","",IFERROR(-SUM(OFFSET(AW813,0,0,1,-MIN(AX$6,$K$810)))/$K$810,0))</f>
        <v/>
      </c>
      <c r="AY817" s="245">
        <f>IF(AY$7="Actual","",IFERROR(-SUM(OFFSET(AX813,0,0,1,-MIN(AY$6,$K$810)))/$K$810,0))</f>
        <v/>
      </c>
      <c r="AZ817" s="245">
        <f>IF(AZ$7="Actual","",IFERROR(-SUM(OFFSET(AY813,0,0,1,-MIN(AZ$6,$K$810)))/$K$810,0))</f>
        <v/>
      </c>
      <c r="BA817" s="245">
        <f>IF(BA$7="Actual","",IFERROR(-SUM(OFFSET(AZ813,0,0,1,-MIN(BA$6,$K$810)))/$K$810,0))</f>
        <v/>
      </c>
      <c r="BB817" s="245">
        <f>IF(BB$7="Actual","",IFERROR(-SUM(OFFSET(BA813,0,0,1,-MIN(BB$6,$K$810)))/$K$810,0))</f>
        <v/>
      </c>
      <c r="BC817" s="245">
        <f>IF(BC$7="Actual","",IFERROR(-SUM(OFFSET(BB813,0,0,1,-MIN(BC$6,$K$810)))/$K$810,0))</f>
        <v/>
      </c>
      <c r="BD817" s="245">
        <f>IF(BD$7="Actual","",IFERROR(-SUM(OFFSET(BC813,0,0,1,-MIN(BD$6,$K$810)))/$K$810,0))</f>
        <v/>
      </c>
      <c r="BE817" s="245">
        <f>IF(BE$7="Actual","",IFERROR(-SUM(OFFSET(BD813,0,0,1,-MIN(BE$6,$K$810)))/$K$810,0))</f>
        <v/>
      </c>
      <c r="BF817" s="245">
        <f>IF(BF$7="Actual","",IFERROR(-SUM(OFFSET(BE813,0,0,1,-MIN(BF$6,$K$810)))/$K$810,0))</f>
        <v/>
      </c>
      <c r="BG817" s="245">
        <f>IF(BG$7="Actual","",IFERROR(-SUM(OFFSET(BF813,0,0,1,-MIN(BG$6,$K$810)))/$K$810,0))</f>
        <v/>
      </c>
      <c r="BH817" s="245">
        <f>IF(BH$7="Actual","",IFERROR(-SUM(OFFSET(BG813,0,0,1,-MIN(BH$6,$K$810)))/$K$810,0))</f>
        <v/>
      </c>
      <c r="BI817" s="245">
        <f>IF(BI$7="Actual","",IFERROR(-SUM(OFFSET(BH813,0,0,1,-MIN(BI$6,$K$810)))/$K$810,0))</f>
        <v/>
      </c>
      <c r="BJ817" s="245">
        <f>IF(BJ$7="Actual","",IFERROR(-SUM(OFFSET(BI813,0,0,1,-MIN(BJ$6,$K$810)))/$K$810,0))</f>
        <v/>
      </c>
      <c r="BK817" s="245">
        <f>IF(BK$7="Actual","",IFERROR(-SUM(OFFSET(BJ813,0,0,1,-MIN(BK$6,$K$810)))/$K$810,0))</f>
        <v/>
      </c>
      <c r="BL817" s="245">
        <f>IF(BL$7="Actual","",IFERROR(-SUM(OFFSET(BK813,0,0,1,-MIN(BL$6,$K$810)))/$K$810,0))</f>
        <v/>
      </c>
      <c r="BM817" s="245">
        <f>IF(BM$7="Actual","",IFERROR(-SUM(OFFSET(BL813,0,0,1,-MIN(BM$6,$K$810)))/$K$810,0))</f>
        <v/>
      </c>
      <c r="BN817" s="245">
        <f>IF(BN$7="Actual","",IFERROR(-SUM(OFFSET(BM813,0,0,1,-MIN(BN$6,$K$810)))/$K$810,0))</f>
        <v/>
      </c>
      <c r="BO817" s="245">
        <f>IF(BO$7="Actual","",IFERROR(-SUM(OFFSET(BN813,0,0,1,-MIN(BO$6,$K$810)))/$K$810,0))</f>
        <v/>
      </c>
      <c r="BP817" s="245">
        <f>IF(BP$7="Actual","",IFERROR(-SUM(OFFSET(BO813,0,0,1,-MIN(BP$6,$K$810)))/$K$810,0))</f>
        <v/>
      </c>
      <c r="BQ817" s="245">
        <f>IF(BQ$7="Actual","",IFERROR(-SUM(OFFSET(BP813,0,0,1,-MIN(BQ$6,$K$810)))/$K$810,0))</f>
        <v/>
      </c>
      <c r="BR817" s="245">
        <f>IF(BR$7="Actual","",IFERROR(-SUM(OFFSET(BQ813,0,0,1,-MIN(BR$6,$K$810)))/$K$810,0))</f>
        <v/>
      </c>
      <c r="BS817" s="245">
        <f>IF(BS$7="Actual","",IFERROR(-SUM(OFFSET(BR813,0,0,1,-MIN(BS$6,$K$810)))/$K$810,0))</f>
        <v/>
      </c>
      <c r="BT817" s="245">
        <f>IF(BT$7="Actual","",IFERROR(-SUM(OFFSET(BS813,0,0,1,-MIN(BT$6,$K$810)))/$K$810,0))</f>
        <v/>
      </c>
      <c r="BU817" s="245">
        <f>IF(BU$7="Actual","",IFERROR(-SUM(OFFSET(BT813,0,0,1,-MIN(BU$6,$K$810)))/$K$810,0))</f>
        <v/>
      </c>
      <c r="BV817" s="245">
        <f>IF(BV$7="Actual","",IFERROR(-SUM(OFFSET(BU813,0,0,1,-MIN(BV$6,$K$810)))/$K$810,0))</f>
        <v/>
      </c>
      <c r="BW817" s="245">
        <f>IF(BW$7="Actual","",IFERROR(-SUM(OFFSET(BV813,0,0,1,-MIN(BW$6,$K$810)))/$K$810,0))</f>
        <v/>
      </c>
      <c r="BX817" s="245">
        <f>IF(BX$7="Actual","",IFERROR(-SUM(OFFSET(BW813,0,0,1,-MIN(BX$6,$K$810)))/$K$810,0))</f>
        <v/>
      </c>
      <c r="BY817" s="245">
        <f>IF(BY$7="Actual","",IFERROR(-SUM(OFFSET(BX813,0,0,1,-MIN(BY$6,$K$810)))/$K$810,0))</f>
        <v/>
      </c>
      <c r="BZ817" s="245">
        <f>IF(BZ$7="Actual","",IFERROR(-SUM(OFFSET(BY813,0,0,1,-MIN(BZ$6,$K$810)))/$K$810,0))</f>
        <v/>
      </c>
      <c r="CA817" s="245">
        <f>IF(CA$7="Actual","",IFERROR(-SUM(OFFSET(BZ813,0,0,1,-MIN(CA$6,$K$810)))/$K$810,0))</f>
        <v/>
      </c>
    </row>
    <row r="818" ht="12" customHeight="1" s="227">
      <c r="A818" s="244" t="n"/>
      <c r="B818" s="244" t="n"/>
      <c r="C818" s="244" t="n"/>
      <c r="H818" s="0" t="inlineStr">
        <is>
          <t xml:space="preserve"> Depreciation - Additions</t>
        </is>
      </c>
      <c r="I818" s="27">
        <f>i_Setup!$M$16</f>
        <v/>
      </c>
      <c r="K818" s="6" t="n"/>
      <c r="M818" s="245">
        <f>SUMIF($T$4:$CA$4,M$4,$T818:$CA818)</f>
        <v/>
      </c>
      <c r="N818" s="245">
        <f>SUMIF($T$4:$CA$4,N$4,$T818:$CA818)</f>
        <v/>
      </c>
      <c r="O818" s="245">
        <f>SUMIF($T$4:$CA$4,O$4,$T818:$CA818)</f>
        <v/>
      </c>
      <c r="P818" s="245">
        <f>SUMIF($T$4:$CA$4,P$4,$T818:$CA818)</f>
        <v/>
      </c>
      <c r="Q818" s="245">
        <f>SUMIF($T$4:$CA$4,Q$4,$T818:$CA818)</f>
        <v/>
      </c>
      <c r="T818" s="245">
        <f>IF(T$7="Actual","",IFERROR(-SUM(OFFSET(S816,0,0,1,-MIN(T$6,$K$811)))/$K$811,0))</f>
        <v/>
      </c>
      <c r="U818" s="245">
        <f>IF(U$7="Actual","",IFERROR(-SUM(OFFSET(T816,0,0,1,-MIN(U$6,$K$811)))/$K$811,0))</f>
        <v/>
      </c>
      <c r="V818" s="245">
        <f>IF(V$7="Actual","",IFERROR(-SUM(OFFSET(U816,0,0,1,-MIN(V$6,$K$811)))/$K$811,0))</f>
        <v/>
      </c>
      <c r="W818" s="245">
        <f>IF(W$7="Actual","",IFERROR(-SUM(OFFSET(V816,0,0,1,-MIN(W$6,$K$811)))/$K$811,0))</f>
        <v/>
      </c>
      <c r="X818" s="245">
        <f>IF(X$7="Actual","",IFERROR(-SUM(OFFSET(W816,0,0,1,-MIN(X$6,$K$811)))/$K$811,0))</f>
        <v/>
      </c>
      <c r="Y818" s="245">
        <f>IF(Y$7="Actual","",IFERROR(-SUM(OFFSET(X816,0,0,1,-MIN(Y$6,$K$811)))/$K$811,0))</f>
        <v/>
      </c>
      <c r="Z818" s="245">
        <f>IF(Z$7="Actual","",IFERROR(-SUM(OFFSET(Y816,0,0,1,-MIN(Z$6,$K$811)))/$K$811,0))</f>
        <v/>
      </c>
      <c r="AA818" s="245">
        <f>IF(AA$7="Actual","",IFERROR(-SUM(OFFSET(Z816,0,0,1,-MIN(AA$6,$K$811)))/$K$811,0))</f>
        <v/>
      </c>
      <c r="AB818" s="245">
        <f>IF(AB$7="Actual","",IFERROR(-SUM(OFFSET(AA816,0,0,1,-MIN(AB$6,$K$811)))/$K$811,0))</f>
        <v/>
      </c>
      <c r="AC818" s="245">
        <f>IF(AC$7="Actual","",IFERROR(-SUM(OFFSET(AB816,0,0,1,-MIN(AC$6,$K$811)))/$K$811,0))</f>
        <v/>
      </c>
      <c r="AD818" s="245">
        <f>IF(AD$7="Actual","",IFERROR(-SUM(OFFSET(AC816,0,0,1,-MIN(AD$6,$K$811)))/$K$811,0))</f>
        <v/>
      </c>
      <c r="AE818" s="245">
        <f>IF(AE$7="Actual","",IFERROR(-SUM(OFFSET(AD816,0,0,1,-MIN(AE$6,$K$811)))/$K$811,0))</f>
        <v/>
      </c>
      <c r="AF818" s="245">
        <f>IF(AF$7="Actual","",IFERROR(-SUM(OFFSET(AE816,0,0,1,-MIN(AF$6,$K$811)))/$K$811,0))</f>
        <v/>
      </c>
      <c r="AG818" s="245">
        <f>IF(AG$7="Actual","",IFERROR(-SUM(OFFSET(AF816,0,0,1,-MIN(AG$6,$K$811)))/$K$811,0))</f>
        <v/>
      </c>
      <c r="AH818" s="245">
        <f>IF(AH$7="Actual","",IFERROR(-SUM(OFFSET(AG816,0,0,1,-MIN(AH$6,$K$811)))/$K$811,0))</f>
        <v/>
      </c>
      <c r="AI818" s="245">
        <f>IF(AI$7="Actual","",IFERROR(-SUM(OFFSET(AH816,0,0,1,-MIN(AI$6,$K$811)))/$K$811,0))</f>
        <v/>
      </c>
      <c r="AJ818" s="245">
        <f>IF(AJ$7="Actual","",IFERROR(-SUM(OFFSET(AI816,0,0,1,-MIN(AJ$6,$K$811)))/$K$811,0))</f>
        <v/>
      </c>
      <c r="AK818" s="245">
        <f>IF(AK$7="Actual","",IFERROR(-SUM(OFFSET(AJ816,0,0,1,-MIN(AK$6,$K$811)))/$K$811,0))</f>
        <v/>
      </c>
      <c r="AL818" s="245">
        <f>IF(AL$7="Actual","",IFERROR(-SUM(OFFSET(AK816,0,0,1,-MIN(AL$6,$K$811)))/$K$811,0))</f>
        <v/>
      </c>
      <c r="AM818" s="245">
        <f>IF(AM$7="Actual","",IFERROR(-SUM(OFFSET(AL816,0,0,1,-MIN(AM$6,$K$811)))/$K$811,0))</f>
        <v/>
      </c>
      <c r="AN818" s="245">
        <f>IF(AN$7="Actual","",IFERROR(-SUM(OFFSET(AM816,0,0,1,-MIN(AN$6,$K$811)))/$K$811,0))</f>
        <v/>
      </c>
      <c r="AO818" s="245">
        <f>IF(AO$7="Actual","",IFERROR(-SUM(OFFSET(AN816,0,0,1,-MIN(AO$6,$K$811)))/$K$811,0))</f>
        <v/>
      </c>
      <c r="AP818" s="245">
        <f>IF(AP$7="Actual","",IFERROR(-SUM(OFFSET(AO816,0,0,1,-MIN(AP$6,$K$811)))/$K$811,0))</f>
        <v/>
      </c>
      <c r="AQ818" s="245">
        <f>IF(AQ$7="Actual","",IFERROR(-SUM(OFFSET(AP816,0,0,1,-MIN(AQ$6,$K$811)))/$K$811,0))</f>
        <v/>
      </c>
      <c r="AR818" s="245">
        <f>IF(AR$7="Actual","",IFERROR(-SUM(OFFSET(AQ816,0,0,1,-MIN(AR$6,$K$811)))/$K$811,0))</f>
        <v/>
      </c>
      <c r="AS818" s="245">
        <f>IF(AS$7="Actual","",IFERROR(-SUM(OFFSET(AR816,0,0,1,-MIN(AS$6,$K$811)))/$K$811,0))</f>
        <v/>
      </c>
      <c r="AT818" s="245">
        <f>IF(AT$7="Actual","",IFERROR(-SUM(OFFSET(AS816,0,0,1,-MIN(AT$6,$K$811)))/$K$811,0))</f>
        <v/>
      </c>
      <c r="AU818" s="245">
        <f>IF(AU$7="Actual","",IFERROR(-SUM(OFFSET(AT816,0,0,1,-MIN(AU$6,$K$811)))/$K$811,0))</f>
        <v/>
      </c>
      <c r="AV818" s="245">
        <f>IF(AV$7="Actual","",IFERROR(-SUM(OFFSET(AU816,0,0,1,-MIN(AV$6,$K$811)))/$K$811,0))</f>
        <v/>
      </c>
      <c r="AW818" s="245">
        <f>IF(AW$7="Actual","",IFERROR(-SUM(OFFSET(AV816,0,0,1,-MIN(AW$6,$K$811)))/$K$811,0))</f>
        <v/>
      </c>
      <c r="AX818" s="245">
        <f>IF(AX$7="Actual","",IFERROR(-SUM(OFFSET(AW816,0,0,1,-MIN(AX$6,$K$811)))/$K$811,0))</f>
        <v/>
      </c>
      <c r="AY818" s="245">
        <f>IF(AY$7="Actual","",IFERROR(-SUM(OFFSET(AX816,0,0,1,-MIN(AY$6,$K$811)))/$K$811,0))</f>
        <v/>
      </c>
      <c r="AZ818" s="245">
        <f>IF(AZ$7="Actual","",IFERROR(-SUM(OFFSET(AY816,0,0,1,-MIN(AZ$6,$K$811)))/$K$811,0))</f>
        <v/>
      </c>
      <c r="BA818" s="245">
        <f>IF(BA$7="Actual","",IFERROR(-SUM(OFFSET(AZ816,0,0,1,-MIN(BA$6,$K$811)))/$K$811,0))</f>
        <v/>
      </c>
      <c r="BB818" s="245">
        <f>IF(BB$7="Actual","",IFERROR(-SUM(OFFSET(BA816,0,0,1,-MIN(BB$6,$K$811)))/$K$811,0))</f>
        <v/>
      </c>
      <c r="BC818" s="245">
        <f>IF(BC$7="Actual","",IFERROR(-SUM(OFFSET(BB816,0,0,1,-MIN(BC$6,$K$811)))/$K$811,0))</f>
        <v/>
      </c>
      <c r="BD818" s="245">
        <f>IF(BD$7="Actual","",IFERROR(-SUM(OFFSET(BC816,0,0,1,-MIN(BD$6,$K$811)))/$K$811,0))</f>
        <v/>
      </c>
      <c r="BE818" s="245">
        <f>IF(BE$7="Actual","",IFERROR(-SUM(OFFSET(BD816,0,0,1,-MIN(BE$6,$K$811)))/$K$811,0))</f>
        <v/>
      </c>
      <c r="BF818" s="245">
        <f>IF(BF$7="Actual","",IFERROR(-SUM(OFFSET(BE816,0,0,1,-MIN(BF$6,$K$811)))/$K$811,0))</f>
        <v/>
      </c>
      <c r="BG818" s="245">
        <f>IF(BG$7="Actual","",IFERROR(-SUM(OFFSET(BF816,0,0,1,-MIN(BG$6,$K$811)))/$K$811,0))</f>
        <v/>
      </c>
      <c r="BH818" s="245">
        <f>IF(BH$7="Actual","",IFERROR(-SUM(OFFSET(BG816,0,0,1,-MIN(BH$6,$K$811)))/$K$811,0))</f>
        <v/>
      </c>
      <c r="BI818" s="245">
        <f>IF(BI$7="Actual","",IFERROR(-SUM(OFFSET(BH816,0,0,1,-MIN(BI$6,$K$811)))/$K$811,0))</f>
        <v/>
      </c>
      <c r="BJ818" s="245">
        <f>IF(BJ$7="Actual","",IFERROR(-SUM(OFFSET(BI816,0,0,1,-MIN(BJ$6,$K$811)))/$K$811,0))</f>
        <v/>
      </c>
      <c r="BK818" s="245">
        <f>IF(BK$7="Actual","",IFERROR(-SUM(OFFSET(BJ816,0,0,1,-MIN(BK$6,$K$811)))/$K$811,0))</f>
        <v/>
      </c>
      <c r="BL818" s="245">
        <f>IF(BL$7="Actual","",IFERROR(-SUM(OFFSET(BK816,0,0,1,-MIN(BL$6,$K$811)))/$K$811,0))</f>
        <v/>
      </c>
      <c r="BM818" s="245">
        <f>IF(BM$7="Actual","",IFERROR(-SUM(OFFSET(BL816,0,0,1,-MIN(BM$6,$K$811)))/$K$811,0))</f>
        <v/>
      </c>
      <c r="BN818" s="245">
        <f>IF(BN$7="Actual","",IFERROR(-SUM(OFFSET(BM816,0,0,1,-MIN(BN$6,$K$811)))/$K$811,0))</f>
        <v/>
      </c>
      <c r="BO818" s="245">
        <f>IF(BO$7="Actual","",IFERROR(-SUM(OFFSET(BN816,0,0,1,-MIN(BO$6,$K$811)))/$K$811,0))</f>
        <v/>
      </c>
      <c r="BP818" s="245">
        <f>IF(BP$7="Actual","",IFERROR(-SUM(OFFSET(BO816,0,0,1,-MIN(BP$6,$K$811)))/$K$811,0))</f>
        <v/>
      </c>
      <c r="BQ818" s="245">
        <f>IF(BQ$7="Actual","",IFERROR(-SUM(OFFSET(BP816,0,0,1,-MIN(BQ$6,$K$811)))/$K$811,0))</f>
        <v/>
      </c>
      <c r="BR818" s="245">
        <f>IF(BR$7="Actual","",IFERROR(-SUM(OFFSET(BQ816,0,0,1,-MIN(BR$6,$K$811)))/$K$811,0))</f>
        <v/>
      </c>
      <c r="BS818" s="245">
        <f>IF(BS$7="Actual","",IFERROR(-SUM(OFFSET(BR816,0,0,1,-MIN(BS$6,$K$811)))/$K$811,0))</f>
        <v/>
      </c>
      <c r="BT818" s="245">
        <f>IF(BT$7="Actual","",IFERROR(-SUM(OFFSET(BS816,0,0,1,-MIN(BT$6,$K$811)))/$K$811,0))</f>
        <v/>
      </c>
      <c r="BU818" s="245">
        <f>IF(BU$7="Actual","",IFERROR(-SUM(OFFSET(BT816,0,0,1,-MIN(BU$6,$K$811)))/$K$811,0))</f>
        <v/>
      </c>
      <c r="BV818" s="245">
        <f>IF(BV$7="Actual","",IFERROR(-SUM(OFFSET(BU816,0,0,1,-MIN(BV$6,$K$811)))/$K$811,0))</f>
        <v/>
      </c>
      <c r="BW818" s="245">
        <f>IF(BW$7="Actual","",IFERROR(-SUM(OFFSET(BV816,0,0,1,-MIN(BW$6,$K$811)))/$K$811,0))</f>
        <v/>
      </c>
      <c r="BX818" s="245">
        <f>IF(BX$7="Actual","",IFERROR(-SUM(OFFSET(BW816,0,0,1,-MIN(BX$6,$K$811)))/$K$811,0))</f>
        <v/>
      </c>
      <c r="BY818" s="245">
        <f>IF(BY$7="Actual","",IFERROR(-SUM(OFFSET(BX816,0,0,1,-MIN(BY$6,$K$811)))/$K$811,0))</f>
        <v/>
      </c>
      <c r="BZ818" s="245">
        <f>IF(BZ$7="Actual","",IFERROR(-SUM(OFFSET(BY816,0,0,1,-MIN(BZ$6,$K$811)))/$K$811,0))</f>
        <v/>
      </c>
      <c r="CA818" s="245">
        <f>IF(CA$7="Actual","",IFERROR(-SUM(OFFSET(BZ816,0,0,1,-MIN(CA$6,$K$811)))/$K$811,0))</f>
        <v/>
      </c>
    </row>
    <row r="819" ht="12" customHeight="1" s="227" thickBot="1">
      <c r="A819" s="244" t="n"/>
      <c r="B819" s="244" t="n"/>
      <c r="C819" s="244" t="n"/>
      <c r="H819" s="42" t="inlineStr">
        <is>
          <t>Closing Balance</t>
        </is>
      </c>
      <c r="I819" s="43">
        <f>i_Setup!$M$16</f>
        <v/>
      </c>
      <c r="K819" s="6" t="n"/>
      <c r="M819" s="264">
        <f>SUMIF($T$2:$CA$2,M$2,$T819:$CA819)</f>
        <v/>
      </c>
      <c r="N819" s="264">
        <f>SUMIF($T$2:$CA$2,N$2,$T819:$CA819)</f>
        <v/>
      </c>
      <c r="O819" s="264">
        <f>SUMIF($T$2:$CA$2,O$2,$T819:$CA819)</f>
        <v/>
      </c>
      <c r="P819" s="264">
        <f>SUMIF($T$2:$CA$2,P$2,$T819:$CA819)</f>
        <v/>
      </c>
      <c r="Q819" s="264">
        <f>SUMIF($T$2:$CA$2,Q$2,$T819:$CA819)</f>
        <v/>
      </c>
      <c r="T819" s="264">
        <f>IF(T$7="Actual",i_Actuals!T119,SUM(T815:T818))</f>
        <v/>
      </c>
      <c r="U819" s="264">
        <f>IF(U$7="Actual",i_Actuals!U119,SUM(U815:U818))</f>
        <v/>
      </c>
      <c r="V819" s="264">
        <f>IF(V$7="Actual",i_Actuals!V119,SUM(V815:V818))</f>
        <v/>
      </c>
      <c r="W819" s="264">
        <f>IF(W$7="Actual",i_Actuals!W119,SUM(W815:W818))</f>
        <v/>
      </c>
      <c r="X819" s="264">
        <f>IF(X$7="Actual",i_Actuals!X119,SUM(X815:X818))</f>
        <v/>
      </c>
      <c r="Y819" s="264">
        <f>IF(Y$7="Actual",i_Actuals!Y119,SUM(Y815:Y818))</f>
        <v/>
      </c>
      <c r="Z819" s="264">
        <f>IF(Z$7="Actual",i_Actuals!Z119,SUM(Z815:Z818))</f>
        <v/>
      </c>
      <c r="AA819" s="264">
        <f>IF(AA$7="Actual",i_Actuals!AA119,SUM(AA815:AA818))</f>
        <v/>
      </c>
      <c r="AB819" s="264">
        <f>IF(AB$7="Actual",i_Actuals!AB119,SUM(AB815:AB818))</f>
        <v/>
      </c>
      <c r="AC819" s="264">
        <f>IF(AC$7="Actual",i_Actuals!AC119,SUM(AC815:AC818))</f>
        <v/>
      </c>
      <c r="AD819" s="264">
        <f>IF(AD$7="Actual",i_Actuals!AD119,SUM(AD815:AD818))</f>
        <v/>
      </c>
      <c r="AE819" s="264">
        <f>IF(AE$7="Actual",i_Actuals!AE119,SUM(AE815:AE818))</f>
        <v/>
      </c>
      <c r="AF819" s="264">
        <f>IF(AF$7="Actual",i_Actuals!AF119,SUM(AF815:AF818))</f>
        <v/>
      </c>
      <c r="AG819" s="264">
        <f>IF(AG$7="Actual",i_Actuals!AG119,SUM(AG815:AG818))</f>
        <v/>
      </c>
      <c r="AH819" s="264">
        <f>IF(AH$7="Actual",i_Actuals!AH119,SUM(AH815:AH818))</f>
        <v/>
      </c>
      <c r="AI819" s="264">
        <f>IF(AI$7="Actual",i_Actuals!AI119,SUM(AI815:AI818))</f>
        <v/>
      </c>
      <c r="AJ819" s="264">
        <f>IF(AJ$7="Actual",i_Actuals!AJ119,SUM(AJ815:AJ818))</f>
        <v/>
      </c>
      <c r="AK819" s="264">
        <f>IF(AK$7="Actual",i_Actuals!AK119,SUM(AK815:AK818))</f>
        <v/>
      </c>
      <c r="AL819" s="264">
        <f>IF(AL$7="Actual",i_Actuals!AL119,SUM(AL815:AL818))</f>
        <v/>
      </c>
      <c r="AM819" s="264">
        <f>IF(AM$7="Actual",i_Actuals!AM119,SUM(AM815:AM818))</f>
        <v/>
      </c>
      <c r="AN819" s="264">
        <f>IF(AN$7="Actual",i_Actuals!AN119,SUM(AN815:AN818))</f>
        <v/>
      </c>
      <c r="AO819" s="264">
        <f>IF(AO$7="Actual",i_Actuals!AO119,SUM(AO815:AO818))</f>
        <v/>
      </c>
      <c r="AP819" s="264">
        <f>IF(AP$7="Actual",i_Actuals!AP119,SUM(AP815:AP818))</f>
        <v/>
      </c>
      <c r="AQ819" s="264">
        <f>IF(AQ$7="Actual",i_Actuals!AQ119,SUM(AQ815:AQ818))</f>
        <v/>
      </c>
      <c r="AR819" s="264">
        <f>IF(AR$7="Actual",i_Actuals!AR119,SUM(AR815:AR818))</f>
        <v/>
      </c>
      <c r="AS819" s="264">
        <f>IF(AS$7="Actual",i_Actuals!AS119,SUM(AS815:AS818))</f>
        <v/>
      </c>
      <c r="AT819" s="264">
        <f>IF(AT$7="Actual",i_Actuals!AT119,SUM(AT815:AT818))</f>
        <v/>
      </c>
      <c r="AU819" s="264">
        <f>IF(AU$7="Actual",i_Actuals!AU119,SUM(AU815:AU818))</f>
        <v/>
      </c>
      <c r="AV819" s="264">
        <f>IF(AV$7="Actual",i_Actuals!AV119,SUM(AV815:AV818))</f>
        <v/>
      </c>
      <c r="AW819" s="264">
        <f>IF(AW$7="Actual",i_Actuals!AW119,SUM(AW815:AW818))</f>
        <v/>
      </c>
      <c r="AX819" s="264">
        <f>IF(AX$7="Actual",i_Actuals!AX119,SUM(AX815:AX818))</f>
        <v/>
      </c>
      <c r="AY819" s="264">
        <f>IF(AY$7="Actual",i_Actuals!AY119,SUM(AY815:AY818))</f>
        <v/>
      </c>
      <c r="AZ819" s="264">
        <f>IF(AZ$7="Actual",i_Actuals!AZ119,SUM(AZ815:AZ818))</f>
        <v/>
      </c>
      <c r="BA819" s="264">
        <f>IF(BA$7="Actual",i_Actuals!BA119,SUM(BA815:BA818))</f>
        <v/>
      </c>
      <c r="BB819" s="264">
        <f>IF(BB$7="Actual",i_Actuals!BB119,SUM(BB815:BB818))</f>
        <v/>
      </c>
      <c r="BC819" s="264">
        <f>IF(BC$7="Actual",i_Actuals!BC119,SUM(BC815:BC818))</f>
        <v/>
      </c>
      <c r="BD819" s="264">
        <f>IF(BD$7="Actual",i_Actuals!BD119,SUM(BD815:BD818))</f>
        <v/>
      </c>
      <c r="BE819" s="264">
        <f>IF(BE$7="Actual",i_Actuals!BE119,SUM(BE815:BE818))</f>
        <v/>
      </c>
      <c r="BF819" s="264">
        <f>IF(BF$7="Actual",i_Actuals!BF119,SUM(BF815:BF818))</f>
        <v/>
      </c>
      <c r="BG819" s="264">
        <f>IF(BG$7="Actual",i_Actuals!BG119,SUM(BG815:BG818))</f>
        <v/>
      </c>
      <c r="BH819" s="264">
        <f>IF(BH$7="Actual",i_Actuals!BH119,SUM(BH815:BH818))</f>
        <v/>
      </c>
      <c r="BI819" s="264">
        <f>IF(BI$7="Actual",i_Actuals!BI119,SUM(BI815:BI818))</f>
        <v/>
      </c>
      <c r="BJ819" s="264">
        <f>IF(BJ$7="Actual",i_Actuals!BJ119,SUM(BJ815:BJ818))</f>
        <v/>
      </c>
      <c r="BK819" s="264">
        <f>IF(BK$7="Actual",i_Actuals!BK119,SUM(BK815:BK818))</f>
        <v/>
      </c>
      <c r="BL819" s="264">
        <f>IF(BL$7="Actual",i_Actuals!BL119,SUM(BL815:BL818))</f>
        <v/>
      </c>
      <c r="BM819" s="264">
        <f>IF(BM$7="Actual",i_Actuals!BM119,SUM(BM815:BM818))</f>
        <v/>
      </c>
      <c r="BN819" s="264">
        <f>IF(BN$7="Actual",i_Actuals!BN119,SUM(BN815:BN818))</f>
        <v/>
      </c>
      <c r="BO819" s="264">
        <f>IF(BO$7="Actual",i_Actuals!BO119,SUM(BO815:BO818))</f>
        <v/>
      </c>
      <c r="BP819" s="264">
        <f>IF(BP$7="Actual",i_Actuals!BP119,SUM(BP815:BP818))</f>
        <v/>
      </c>
      <c r="BQ819" s="264">
        <f>IF(BQ$7="Actual",i_Actuals!BQ119,SUM(BQ815:BQ818))</f>
        <v/>
      </c>
      <c r="BR819" s="264">
        <f>IF(BR$7="Actual",i_Actuals!BR119,SUM(BR815:BR818))</f>
        <v/>
      </c>
      <c r="BS819" s="264">
        <f>IF(BS$7="Actual",i_Actuals!BS119,SUM(BS815:BS818))</f>
        <v/>
      </c>
      <c r="BT819" s="264">
        <f>IF(BT$7="Actual",i_Actuals!BT119,SUM(BT815:BT818))</f>
        <v/>
      </c>
      <c r="BU819" s="264">
        <f>IF(BU$7="Actual",i_Actuals!BU119,SUM(BU815:BU818))</f>
        <v/>
      </c>
      <c r="BV819" s="264">
        <f>IF(BV$7="Actual",i_Actuals!BV119,SUM(BV815:BV818))</f>
        <v/>
      </c>
      <c r="BW819" s="264">
        <f>IF(BW$7="Actual",i_Actuals!BW119,SUM(BW815:BW818))</f>
        <v/>
      </c>
      <c r="BX819" s="264">
        <f>IF(BX$7="Actual",i_Actuals!BX119,SUM(BX815:BX818))</f>
        <v/>
      </c>
      <c r="BY819" s="264">
        <f>IF(BY$7="Actual",i_Actuals!BY119,SUM(BY815:BY818))</f>
        <v/>
      </c>
      <c r="BZ819" s="264">
        <f>IF(BZ$7="Actual",i_Actuals!BZ119,SUM(BZ815:BZ818))</f>
        <v/>
      </c>
      <c r="CA819" s="264">
        <f>IF(CA$7="Actual",i_Actuals!CA119,SUM(CA815:CA818))</f>
        <v/>
      </c>
    </row>
    <row r="820" ht="12" customHeight="1" s="227">
      <c r="A820" s="244" t="n"/>
      <c r="B820" s="244" t="n"/>
      <c r="C820" s="244" t="n"/>
      <c r="K820" s="6" t="n"/>
    </row>
    <row r="821" ht="12" customFormat="1" customHeight="1" s="8">
      <c r="A821" s="244" t="n"/>
      <c r="B821" s="244">
        <f>SUM(L821:CA821)</f>
        <v/>
      </c>
      <c r="D821" s="4" t="n"/>
      <c r="E821" s="4" t="n"/>
      <c r="F821" s="4" t="n"/>
      <c r="G821" s="4" t="n"/>
      <c r="H821" s="0" t="inlineStr">
        <is>
          <t>Signage Check</t>
        </is>
      </c>
      <c r="I821" s="4" t="n"/>
      <c r="J821" s="4" t="n"/>
      <c r="K821" s="6" t="n"/>
      <c r="L821" s="4" t="n"/>
      <c r="M821" s="244">
        <f>IF(M$7&lt;&gt;"",IF(ROUND(M819,0)&lt;0,1,0),"")</f>
        <v/>
      </c>
      <c r="N821" s="244">
        <f>IF(N$7&lt;&gt;"",IF(ROUND(N819,0)&lt;0,1,0),"")</f>
        <v/>
      </c>
      <c r="O821" s="244">
        <f>IF(O$7&lt;&gt;"",IF(ROUND(O819,0)&lt;0,1,0),"")</f>
        <v/>
      </c>
      <c r="P821" s="244">
        <f>IF(P$7&lt;&gt;"",IF(ROUND(P819,0)&lt;0,1,0),"")</f>
        <v/>
      </c>
      <c r="Q821" s="244">
        <f>IF(Q$7&lt;&gt;"",IF(ROUND(Q819,0)&lt;0,1,0),"")</f>
        <v/>
      </c>
      <c r="R821" s="244" t="n"/>
      <c r="S821" s="244" t="n"/>
      <c r="T821" s="244">
        <f>IF(T$7&lt;&gt;"",IF(ROUND(T819,0)&lt;0,1,0),"")</f>
        <v/>
      </c>
      <c r="U821" s="244">
        <f>IF(U$7&lt;&gt;"",IF(ROUND(U819,0)&lt;0,1,0),"")</f>
        <v/>
      </c>
      <c r="V821" s="244">
        <f>IF(V$7&lt;&gt;"",IF(ROUND(V819,0)&lt;0,1,0),"")</f>
        <v/>
      </c>
      <c r="W821" s="244">
        <f>IF(W$7&lt;&gt;"",IF(ROUND(W819,0)&lt;0,1,0),"")</f>
        <v/>
      </c>
      <c r="X821" s="244">
        <f>IF(X$7&lt;&gt;"",IF(ROUND(X819,0)&lt;0,1,0),"")</f>
        <v/>
      </c>
      <c r="Y821" s="244">
        <f>IF(Y$7&lt;&gt;"",IF(ROUND(Y819,0)&lt;0,1,0),"")</f>
        <v/>
      </c>
      <c r="Z821" s="244">
        <f>IF(Z$7&lt;&gt;"",IF(ROUND(Z819,0)&lt;0,1,0),"")</f>
        <v/>
      </c>
      <c r="AA821" s="244">
        <f>IF(AA$7&lt;&gt;"",IF(ROUND(AA819,0)&lt;0,1,0),"")</f>
        <v/>
      </c>
      <c r="AB821" s="244">
        <f>IF(AB$7&lt;&gt;"",IF(ROUND(AB819,0)&lt;0,1,0),"")</f>
        <v/>
      </c>
      <c r="AC821" s="244">
        <f>IF(AC$7&lt;&gt;"",IF(ROUND(AC819,0)&lt;0,1,0),"")</f>
        <v/>
      </c>
      <c r="AD821" s="244">
        <f>IF(AD$7&lt;&gt;"",IF(ROUND(AD819,0)&lt;0,1,0),"")</f>
        <v/>
      </c>
      <c r="AE821" s="244">
        <f>IF(AE$7&lt;&gt;"",IF(ROUND(AE819,0)&lt;0,1,0),"")</f>
        <v/>
      </c>
      <c r="AF821" s="244">
        <f>IF(AF$7&lt;&gt;"",IF(ROUND(AF819,0)&lt;0,1,0),"")</f>
        <v/>
      </c>
      <c r="AG821" s="244">
        <f>IF(AG$7&lt;&gt;"",IF(ROUND(AG819,0)&lt;0,1,0),"")</f>
        <v/>
      </c>
      <c r="AH821" s="244">
        <f>IF(AH$7&lt;&gt;"",IF(ROUND(AH819,0)&lt;0,1,0),"")</f>
        <v/>
      </c>
      <c r="AI821" s="244">
        <f>IF(AI$7&lt;&gt;"",IF(ROUND(AI819,0)&lt;0,1,0),"")</f>
        <v/>
      </c>
      <c r="AJ821" s="244">
        <f>IF(AJ$7&lt;&gt;"",IF(ROUND(AJ819,0)&lt;0,1,0),"")</f>
        <v/>
      </c>
      <c r="AK821" s="244">
        <f>IF(AK$7&lt;&gt;"",IF(ROUND(AK819,0)&lt;0,1,0),"")</f>
        <v/>
      </c>
      <c r="AL821" s="244">
        <f>IF(AL$7&lt;&gt;"",IF(ROUND(AL819,0)&lt;0,1,0),"")</f>
        <v/>
      </c>
      <c r="AM821" s="244">
        <f>IF(AM$7&lt;&gt;"",IF(ROUND(AM819,0)&lt;0,1,0),"")</f>
        <v/>
      </c>
      <c r="AN821" s="244">
        <f>IF(AN$7&lt;&gt;"",IF(ROUND(AN819,0)&lt;0,1,0),"")</f>
        <v/>
      </c>
      <c r="AO821" s="244">
        <f>IF(AO$7&lt;&gt;"",IF(ROUND(AO819,0)&lt;0,1,0),"")</f>
        <v/>
      </c>
      <c r="AP821" s="244">
        <f>IF(AP$7&lt;&gt;"",IF(ROUND(AP819,0)&lt;0,1,0),"")</f>
        <v/>
      </c>
      <c r="AQ821" s="244">
        <f>IF(AQ$7&lt;&gt;"",IF(ROUND(AQ819,0)&lt;0,1,0),"")</f>
        <v/>
      </c>
      <c r="AR821" s="244">
        <f>IF(AR$7&lt;&gt;"",IF(ROUND(AR819,0)&lt;0,1,0),"")</f>
        <v/>
      </c>
      <c r="AS821" s="244">
        <f>IF(AS$7&lt;&gt;"",IF(ROUND(AS819,0)&lt;0,1,0),"")</f>
        <v/>
      </c>
      <c r="AT821" s="244">
        <f>IF(AT$7&lt;&gt;"",IF(ROUND(AT819,0)&lt;0,1,0),"")</f>
        <v/>
      </c>
      <c r="AU821" s="244">
        <f>IF(AU$7&lt;&gt;"",IF(ROUND(AU819,0)&lt;0,1,0),"")</f>
        <v/>
      </c>
      <c r="AV821" s="244">
        <f>IF(AV$7&lt;&gt;"",IF(ROUND(AV819,0)&lt;0,1,0),"")</f>
        <v/>
      </c>
      <c r="AW821" s="244">
        <f>IF(AW$7&lt;&gt;"",IF(ROUND(AW819,0)&lt;0,1,0),"")</f>
        <v/>
      </c>
      <c r="AX821" s="244">
        <f>IF(AX$7&lt;&gt;"",IF(ROUND(AX819,0)&lt;0,1,0),"")</f>
        <v/>
      </c>
      <c r="AY821" s="244">
        <f>IF(AY$7&lt;&gt;"",IF(ROUND(AY819,0)&lt;0,1,0),"")</f>
        <v/>
      </c>
      <c r="AZ821" s="244">
        <f>IF(AZ$7&lt;&gt;"",IF(ROUND(AZ819,0)&lt;0,1,0),"")</f>
        <v/>
      </c>
      <c r="BA821" s="244">
        <f>IF(BA$7&lt;&gt;"",IF(ROUND(BA819,0)&lt;0,1,0),"")</f>
        <v/>
      </c>
      <c r="BB821" s="244">
        <f>IF(BB$7&lt;&gt;"",IF(ROUND(BB819,0)&lt;0,1,0),"")</f>
        <v/>
      </c>
      <c r="BC821" s="244">
        <f>IF(BC$7&lt;&gt;"",IF(ROUND(BC819,0)&lt;0,1,0),"")</f>
        <v/>
      </c>
      <c r="BD821" s="244">
        <f>IF(BD$7&lt;&gt;"",IF(ROUND(BD819,0)&lt;0,1,0),"")</f>
        <v/>
      </c>
      <c r="BE821" s="244">
        <f>IF(BE$7&lt;&gt;"",IF(ROUND(BE819,0)&lt;0,1,0),"")</f>
        <v/>
      </c>
      <c r="BF821" s="244">
        <f>IF(BF$7&lt;&gt;"",IF(ROUND(BF819,0)&lt;0,1,0),"")</f>
        <v/>
      </c>
      <c r="BG821" s="244">
        <f>IF(BG$7&lt;&gt;"",IF(ROUND(BG819,0)&lt;0,1,0),"")</f>
        <v/>
      </c>
      <c r="BH821" s="244">
        <f>IF(BH$7&lt;&gt;"",IF(ROUND(BH819,0)&lt;0,1,0),"")</f>
        <v/>
      </c>
      <c r="BI821" s="244">
        <f>IF(BI$7&lt;&gt;"",IF(ROUND(BI819,0)&lt;0,1,0),"")</f>
        <v/>
      </c>
      <c r="BJ821" s="244">
        <f>IF(BJ$7&lt;&gt;"",IF(ROUND(BJ819,0)&lt;0,1,0),"")</f>
        <v/>
      </c>
      <c r="BK821" s="244">
        <f>IF(BK$7&lt;&gt;"",IF(ROUND(BK819,0)&lt;0,1,0),"")</f>
        <v/>
      </c>
      <c r="BL821" s="244">
        <f>IF(BL$7&lt;&gt;"",IF(ROUND(BL819,0)&lt;0,1,0),"")</f>
        <v/>
      </c>
      <c r="BM821" s="244">
        <f>IF(BM$7&lt;&gt;"",IF(ROUND(BM819,0)&lt;0,1,0),"")</f>
        <v/>
      </c>
      <c r="BN821" s="244">
        <f>IF(BN$7&lt;&gt;"",IF(ROUND(BN819,0)&lt;0,1,0),"")</f>
        <v/>
      </c>
      <c r="BO821" s="244">
        <f>IF(BO$7&lt;&gt;"",IF(ROUND(BO819,0)&lt;0,1,0),"")</f>
        <v/>
      </c>
      <c r="BP821" s="244">
        <f>IF(BP$7&lt;&gt;"",IF(ROUND(BP819,0)&lt;0,1,0),"")</f>
        <v/>
      </c>
      <c r="BQ821" s="244">
        <f>IF(BQ$7&lt;&gt;"",IF(ROUND(BQ819,0)&lt;0,1,0),"")</f>
        <v/>
      </c>
      <c r="BR821" s="244">
        <f>IF(BR$7&lt;&gt;"",IF(ROUND(BR819,0)&lt;0,1,0),"")</f>
        <v/>
      </c>
      <c r="BS821" s="244">
        <f>IF(BS$7&lt;&gt;"",IF(ROUND(BS819,0)&lt;0,1,0),"")</f>
        <v/>
      </c>
      <c r="BT821" s="244">
        <f>IF(BT$7&lt;&gt;"",IF(ROUND(BT819,0)&lt;0,1,0),"")</f>
        <v/>
      </c>
      <c r="BU821" s="244">
        <f>IF(BU$7&lt;&gt;"",IF(ROUND(BU819,0)&lt;0,1,0),"")</f>
        <v/>
      </c>
      <c r="BV821" s="244">
        <f>IF(BV$7&lt;&gt;"",IF(ROUND(BV819,0)&lt;0,1,0),"")</f>
        <v/>
      </c>
      <c r="BW821" s="244">
        <f>IF(BW$7&lt;&gt;"",IF(ROUND(BW819,0)&lt;0,1,0),"")</f>
        <v/>
      </c>
      <c r="BX821" s="244">
        <f>IF(BX$7&lt;&gt;"",IF(ROUND(BX819,0)&lt;0,1,0),"")</f>
        <v/>
      </c>
      <c r="BY821" s="244">
        <f>IF(BY$7&lt;&gt;"",IF(ROUND(BY819,0)&lt;0,1,0),"")</f>
        <v/>
      </c>
      <c r="BZ821" s="244">
        <f>IF(BZ$7&lt;&gt;"",IF(ROUND(BZ819,0)&lt;0,1,0),"")</f>
        <v/>
      </c>
      <c r="CA821" s="244">
        <f>IF(CA$7&lt;&gt;"",IF(ROUND(CA819,0)&lt;0,1,0),"")</f>
        <v/>
      </c>
    </row>
    <row r="822" ht="12" customHeight="1" s="227">
      <c r="A822" s="244" t="n"/>
      <c r="B822" s="244" t="n"/>
      <c r="C822" s="244" t="n"/>
      <c r="K822" s="6" t="n"/>
    </row>
    <row r="823" ht="12" customHeight="1" s="227">
      <c r="A823" s="244" t="n"/>
      <c r="B823" s="244" t="n"/>
      <c r="C823" s="244" t="n"/>
      <c r="K823" s="6" t="n"/>
    </row>
    <row r="824" ht="12" customHeight="1" s="227">
      <c r="A824" s="244" t="n"/>
      <c r="B824" s="244" t="n"/>
      <c r="C824" s="244" t="n"/>
      <c r="G824" s="222">
        <f>i_Setup!U119</f>
        <v/>
      </c>
      <c r="K824" s="6" t="n"/>
    </row>
    <row r="825" ht="12" customHeight="1" s="227">
      <c r="A825" s="244" t="n"/>
      <c r="B825" s="244" t="n"/>
      <c r="C825" s="244" t="n"/>
      <c r="K825" s="6" t="n"/>
    </row>
    <row r="826" ht="12" customHeight="1" s="227">
      <c r="A826" s="244" t="n"/>
      <c r="B826" s="244" t="n"/>
      <c r="C826" s="244" t="n"/>
      <c r="H826" s="0" t="inlineStr">
        <is>
          <t>Useful Life - Opening Bal</t>
        </is>
      </c>
      <c r="I826" s="27" t="inlineStr">
        <is>
          <t>Months</t>
        </is>
      </c>
      <c r="K826" s="259">
        <f>i_Actuals!K120*12</f>
        <v/>
      </c>
    </row>
    <row r="827" ht="12" customHeight="1" s="227">
      <c r="A827" s="244" t="n"/>
      <c r="B827" s="244" t="n"/>
      <c r="C827" s="244" t="n"/>
      <c r="H827" s="0" t="inlineStr">
        <is>
          <t>Useful Life - Additions</t>
        </is>
      </c>
      <c r="I827" s="27" t="inlineStr">
        <is>
          <t>Months</t>
        </is>
      </c>
      <c r="K827" s="259">
        <f>i_Assumptions!K651*12</f>
        <v/>
      </c>
    </row>
    <row r="828" ht="12" customHeight="1" s="227">
      <c r="A828" s="244" t="n"/>
      <c r="B828" s="244" t="n"/>
      <c r="C828" s="244" t="n"/>
      <c r="H828" s="0" t="n"/>
      <c r="I828" s="27" t="n"/>
      <c r="K828" s="6" t="n"/>
    </row>
    <row r="829" ht="12" customHeight="1" s="227">
      <c r="A829" s="244" t="n"/>
      <c r="B829" s="244" t="n"/>
      <c r="C829" s="244" t="n"/>
      <c r="H829" s="0" t="inlineStr">
        <is>
          <t>Opening Balance</t>
        </is>
      </c>
      <c r="I829" s="27">
        <f>i_Setup!$M$16</f>
        <v/>
      </c>
      <c r="K829" s="6" t="n"/>
      <c r="M829" s="245">
        <f>SUMIF($T$1:$CA$1,M$1,$T829:$CA829)</f>
        <v/>
      </c>
      <c r="N829" s="245">
        <f>SUMIF($T$1:$CA$1,N$1,$T829:$CA829)</f>
        <v/>
      </c>
      <c r="O829" s="245">
        <f>SUMIF($T$1:$CA$1,O$1,$T829:$CA829)</f>
        <v/>
      </c>
      <c r="P829" s="245">
        <f>SUMIF($T$1:$CA$1,P$1,$T829:$CA829)</f>
        <v/>
      </c>
      <c r="Q829" s="245">
        <f>SUMIF($T$1:$CA$1,Q$1,$T829:$CA829)</f>
        <v/>
      </c>
      <c r="T829" s="245">
        <f>IF(T$2=i_Setup!$U$26,i_Actuals!T120,0)</f>
        <v/>
      </c>
      <c r="U829" s="245">
        <f>IF(U$2=i_Setup!$U$26,i_Actuals!U120,0)</f>
        <v/>
      </c>
      <c r="V829" s="245">
        <f>IF(V$2=i_Setup!$U$26,i_Actuals!V120,0)</f>
        <v/>
      </c>
      <c r="W829" s="245">
        <f>IF(W$2=i_Setup!$U$26,i_Actuals!W120,0)</f>
        <v/>
      </c>
      <c r="X829" s="245">
        <f>IF(X$2=i_Setup!$U$26,i_Actuals!X120,0)</f>
        <v/>
      </c>
      <c r="Y829" s="245">
        <f>IF(Y$2=i_Setup!$U$26,i_Actuals!Y120,0)</f>
        <v/>
      </c>
      <c r="Z829" s="245">
        <f>IF(Z$2=i_Setup!$U$26,i_Actuals!Z120,0)</f>
        <v/>
      </c>
      <c r="AA829" s="245">
        <f>IF(AA$2=i_Setup!$U$26,i_Actuals!AA120,0)</f>
        <v/>
      </c>
      <c r="AB829" s="245">
        <f>IF(AB$2=i_Setup!$U$26,i_Actuals!AB120,0)</f>
        <v/>
      </c>
      <c r="AC829" s="245">
        <f>IF(AC$2=i_Setup!$U$26,i_Actuals!AC120,0)</f>
        <v/>
      </c>
      <c r="AD829" s="245">
        <f>IF(AD$2=i_Setup!$U$26,i_Actuals!AD120,0)</f>
        <v/>
      </c>
      <c r="AE829" s="245">
        <f>IF(AE$2=i_Setup!$U$26,i_Actuals!AE120,0)</f>
        <v/>
      </c>
      <c r="AF829" s="245">
        <f>IF(AF$2=i_Setup!$U$26,i_Actuals!AF120,0)</f>
        <v/>
      </c>
      <c r="AG829" s="245">
        <f>IF(AG$2=i_Setup!$U$26,i_Actuals!AG120,0)</f>
        <v/>
      </c>
      <c r="AH829" s="245">
        <f>IF(AH$2=i_Setup!$U$26,i_Actuals!AH120,0)</f>
        <v/>
      </c>
      <c r="AI829" s="245">
        <f>IF(AI$2=i_Setup!$U$26,i_Actuals!AI120,0)</f>
        <v/>
      </c>
      <c r="AJ829" s="245">
        <f>IF(AJ$2=i_Setup!$U$26,i_Actuals!AJ120,0)</f>
        <v/>
      </c>
      <c r="AK829" s="245">
        <f>IF(AK$2=i_Setup!$U$26,i_Actuals!AK120,0)</f>
        <v/>
      </c>
      <c r="AL829" s="245">
        <f>IF(AL$2=i_Setup!$U$26,i_Actuals!AL120,0)</f>
        <v/>
      </c>
      <c r="AM829" s="245">
        <f>IF(AM$2=i_Setup!$U$26,i_Actuals!AM120,0)</f>
        <v/>
      </c>
      <c r="AN829" s="245">
        <f>IF(AN$2=i_Setup!$U$26,i_Actuals!AN120,0)</f>
        <v/>
      </c>
      <c r="AO829" s="245">
        <f>IF(AO$2=i_Setup!$U$26,i_Actuals!AO120,0)</f>
        <v/>
      </c>
      <c r="AP829" s="245">
        <f>IF(AP$2=i_Setup!$U$26,i_Actuals!AP120,0)</f>
        <v/>
      </c>
      <c r="AQ829" s="245">
        <f>IF(AQ$2=i_Setup!$U$26,i_Actuals!AQ120,0)</f>
        <v/>
      </c>
      <c r="AR829" s="245">
        <f>IF(AR$2=i_Setup!$U$26,i_Actuals!AR120,0)</f>
        <v/>
      </c>
      <c r="AS829" s="245">
        <f>IF(AS$2=i_Setup!$U$26,i_Actuals!AS120,0)</f>
        <v/>
      </c>
      <c r="AT829" s="245">
        <f>IF(AT$2=i_Setup!$U$26,i_Actuals!AT120,0)</f>
        <v/>
      </c>
      <c r="AU829" s="245">
        <f>IF(AU$2=i_Setup!$U$26,i_Actuals!AU120,0)</f>
        <v/>
      </c>
      <c r="AV829" s="245">
        <f>IF(AV$2=i_Setup!$U$26,i_Actuals!AV120,0)</f>
        <v/>
      </c>
      <c r="AW829" s="245">
        <f>IF(AW$2=i_Setup!$U$26,i_Actuals!AW120,0)</f>
        <v/>
      </c>
      <c r="AX829" s="245">
        <f>IF(AX$2=i_Setup!$U$26,i_Actuals!AX120,0)</f>
        <v/>
      </c>
      <c r="AY829" s="245">
        <f>IF(AY$2=i_Setup!$U$26,i_Actuals!AY120,0)</f>
        <v/>
      </c>
      <c r="AZ829" s="245">
        <f>IF(AZ$2=i_Setup!$U$26,i_Actuals!AZ120,0)</f>
        <v/>
      </c>
      <c r="BA829" s="245">
        <f>IF(BA$2=i_Setup!$U$26,i_Actuals!BA120,0)</f>
        <v/>
      </c>
      <c r="BB829" s="245">
        <f>IF(BB$2=i_Setup!$U$26,i_Actuals!BB120,0)</f>
        <v/>
      </c>
      <c r="BC829" s="245">
        <f>IF(BC$2=i_Setup!$U$26,i_Actuals!BC120,0)</f>
        <v/>
      </c>
      <c r="BD829" s="245">
        <f>IF(BD$2=i_Setup!$U$26,i_Actuals!BD120,0)</f>
        <v/>
      </c>
      <c r="BE829" s="245">
        <f>IF(BE$2=i_Setup!$U$26,i_Actuals!BE120,0)</f>
        <v/>
      </c>
      <c r="BF829" s="245">
        <f>IF(BF$2=i_Setup!$U$26,i_Actuals!BF120,0)</f>
        <v/>
      </c>
      <c r="BG829" s="245">
        <f>IF(BG$2=i_Setup!$U$26,i_Actuals!BG120,0)</f>
        <v/>
      </c>
      <c r="BH829" s="245">
        <f>IF(BH$2=i_Setup!$U$26,i_Actuals!BH120,0)</f>
        <v/>
      </c>
      <c r="BI829" s="245">
        <f>IF(BI$2=i_Setup!$U$26,i_Actuals!BI120,0)</f>
        <v/>
      </c>
      <c r="BJ829" s="245">
        <f>IF(BJ$2=i_Setup!$U$26,i_Actuals!BJ120,0)</f>
        <v/>
      </c>
      <c r="BK829" s="245">
        <f>IF(BK$2=i_Setup!$U$26,i_Actuals!BK120,0)</f>
        <v/>
      </c>
      <c r="BL829" s="245">
        <f>IF(BL$2=i_Setup!$U$26,i_Actuals!BL120,0)</f>
        <v/>
      </c>
      <c r="BM829" s="245">
        <f>IF(BM$2=i_Setup!$U$26,i_Actuals!BM120,0)</f>
        <v/>
      </c>
      <c r="BN829" s="245">
        <f>IF(BN$2=i_Setup!$U$26,i_Actuals!BN120,0)</f>
        <v/>
      </c>
      <c r="BO829" s="245">
        <f>IF(BO$2=i_Setup!$U$26,i_Actuals!BO120,0)</f>
        <v/>
      </c>
      <c r="BP829" s="245">
        <f>IF(BP$2=i_Setup!$U$26,i_Actuals!BP120,0)</f>
        <v/>
      </c>
      <c r="BQ829" s="245">
        <f>IF(BQ$2=i_Setup!$U$26,i_Actuals!BQ120,0)</f>
        <v/>
      </c>
      <c r="BR829" s="245">
        <f>IF(BR$2=i_Setup!$U$26,i_Actuals!BR120,0)</f>
        <v/>
      </c>
      <c r="BS829" s="245">
        <f>IF(BS$2=i_Setup!$U$26,i_Actuals!BS120,0)</f>
        <v/>
      </c>
      <c r="BT829" s="245">
        <f>IF(BT$2=i_Setup!$U$26,i_Actuals!BT120,0)</f>
        <v/>
      </c>
      <c r="BU829" s="245">
        <f>IF(BU$2=i_Setup!$U$26,i_Actuals!BU120,0)</f>
        <v/>
      </c>
      <c r="BV829" s="245">
        <f>IF(BV$2=i_Setup!$U$26,i_Actuals!BV120,0)</f>
        <v/>
      </c>
      <c r="BW829" s="245">
        <f>IF(BW$2=i_Setup!$U$26,i_Actuals!BW120,0)</f>
        <v/>
      </c>
      <c r="BX829" s="245">
        <f>IF(BX$2=i_Setup!$U$26,i_Actuals!BX120,0)</f>
        <v/>
      </c>
      <c r="BY829" s="245">
        <f>IF(BY$2=i_Setup!$U$26,i_Actuals!BY120,0)</f>
        <v/>
      </c>
      <c r="BZ829" s="245">
        <f>IF(BZ$2=i_Setup!$U$26,i_Actuals!BZ120,0)</f>
        <v/>
      </c>
      <c r="CA829" s="245">
        <f>IF(CA$2=i_Setup!$U$26,i_Actuals!CA120,0)</f>
        <v/>
      </c>
    </row>
    <row r="830" ht="12" customHeight="1" s="227">
      <c r="A830" s="244" t="n"/>
      <c r="B830" s="244" t="n"/>
      <c r="C830" s="244" t="n"/>
      <c r="H830" s="0" t="n"/>
      <c r="I830" s="27" t="n"/>
      <c r="K830" s="6" t="n"/>
    </row>
    <row r="831" ht="12" customHeight="1" s="227">
      <c r="A831" s="244" t="n"/>
      <c r="B831" s="244" t="n"/>
      <c r="C831" s="244" t="n"/>
      <c r="H831" s="0" t="inlineStr">
        <is>
          <t>Opening Balance</t>
        </is>
      </c>
      <c r="I831" s="27">
        <f>i_Setup!$M$16</f>
        <v/>
      </c>
      <c r="K831" s="6" t="n"/>
      <c r="M831" s="245">
        <f>SUMIF($T$1:$CA$1,M$1,$T831:$CA831)</f>
        <v/>
      </c>
      <c r="N831" s="245">
        <f>SUMIF($T$1:$CA$1,N$1,$T831:$CA831)</f>
        <v/>
      </c>
      <c r="O831" s="245">
        <f>SUMIF($T$1:$CA$1,O$1,$T831:$CA831)</f>
        <v/>
      </c>
      <c r="P831" s="245">
        <f>SUMIF($T$1:$CA$1,P$1,$T831:$CA831)</f>
        <v/>
      </c>
      <c r="Q831" s="245">
        <f>SUMIF($T$1:$CA$1,Q$1,$T831:$CA831)</f>
        <v/>
      </c>
      <c r="T831" s="245">
        <f>S835</f>
        <v/>
      </c>
      <c r="U831" s="245">
        <f>T835</f>
        <v/>
      </c>
      <c r="V831" s="245">
        <f>U835</f>
        <v/>
      </c>
      <c r="W831" s="245">
        <f>V835</f>
        <v/>
      </c>
      <c r="X831" s="245">
        <f>W835</f>
        <v/>
      </c>
      <c r="Y831" s="245">
        <f>X835</f>
        <v/>
      </c>
      <c r="Z831" s="245">
        <f>Y835</f>
        <v/>
      </c>
      <c r="AA831" s="245">
        <f>Z835</f>
        <v/>
      </c>
      <c r="AB831" s="245">
        <f>AA835</f>
        <v/>
      </c>
      <c r="AC831" s="245">
        <f>AB835</f>
        <v/>
      </c>
      <c r="AD831" s="245">
        <f>AC835</f>
        <v/>
      </c>
      <c r="AE831" s="245">
        <f>AD835</f>
        <v/>
      </c>
      <c r="AF831" s="245">
        <f>AE835</f>
        <v/>
      </c>
      <c r="AG831" s="245">
        <f>AF835</f>
        <v/>
      </c>
      <c r="AH831" s="245">
        <f>AG835</f>
        <v/>
      </c>
      <c r="AI831" s="245">
        <f>AH835</f>
        <v/>
      </c>
      <c r="AJ831" s="245">
        <f>AI835</f>
        <v/>
      </c>
      <c r="AK831" s="245">
        <f>AJ835</f>
        <v/>
      </c>
      <c r="AL831" s="245">
        <f>AK835</f>
        <v/>
      </c>
      <c r="AM831" s="245">
        <f>AL835</f>
        <v/>
      </c>
      <c r="AN831" s="245">
        <f>AM835</f>
        <v/>
      </c>
      <c r="AO831" s="245">
        <f>AN835</f>
        <v/>
      </c>
      <c r="AP831" s="245">
        <f>AO835</f>
        <v/>
      </c>
      <c r="AQ831" s="245">
        <f>AP835</f>
        <v/>
      </c>
      <c r="AR831" s="245">
        <f>AQ835</f>
        <v/>
      </c>
      <c r="AS831" s="245">
        <f>AR835</f>
        <v/>
      </c>
      <c r="AT831" s="245">
        <f>AS835</f>
        <v/>
      </c>
      <c r="AU831" s="245">
        <f>AT835</f>
        <v/>
      </c>
      <c r="AV831" s="245">
        <f>AU835</f>
        <v/>
      </c>
      <c r="AW831" s="245">
        <f>AV835</f>
        <v/>
      </c>
      <c r="AX831" s="245">
        <f>AW835</f>
        <v/>
      </c>
      <c r="AY831" s="245">
        <f>AX835</f>
        <v/>
      </c>
      <c r="AZ831" s="245">
        <f>AY835</f>
        <v/>
      </c>
      <c r="BA831" s="245">
        <f>AZ835</f>
        <v/>
      </c>
      <c r="BB831" s="245">
        <f>BA835</f>
        <v/>
      </c>
      <c r="BC831" s="245">
        <f>BB835</f>
        <v/>
      </c>
      <c r="BD831" s="245">
        <f>BC835</f>
        <v/>
      </c>
      <c r="BE831" s="245">
        <f>BD835</f>
        <v/>
      </c>
      <c r="BF831" s="245">
        <f>BE835</f>
        <v/>
      </c>
      <c r="BG831" s="245">
        <f>BF835</f>
        <v/>
      </c>
      <c r="BH831" s="245">
        <f>BG835</f>
        <v/>
      </c>
      <c r="BI831" s="245">
        <f>BH835</f>
        <v/>
      </c>
      <c r="BJ831" s="245">
        <f>BI835</f>
        <v/>
      </c>
      <c r="BK831" s="245">
        <f>BJ835</f>
        <v/>
      </c>
      <c r="BL831" s="245">
        <f>BK835</f>
        <v/>
      </c>
      <c r="BM831" s="245">
        <f>BL835</f>
        <v/>
      </c>
      <c r="BN831" s="245">
        <f>BM835</f>
        <v/>
      </c>
      <c r="BO831" s="245">
        <f>BN835</f>
        <v/>
      </c>
      <c r="BP831" s="245">
        <f>BO835</f>
        <v/>
      </c>
      <c r="BQ831" s="245">
        <f>BP835</f>
        <v/>
      </c>
      <c r="BR831" s="245">
        <f>BQ835</f>
        <v/>
      </c>
      <c r="BS831" s="245">
        <f>BR835</f>
        <v/>
      </c>
      <c r="BT831" s="245">
        <f>BS835</f>
        <v/>
      </c>
      <c r="BU831" s="245">
        <f>BT835</f>
        <v/>
      </c>
      <c r="BV831" s="245">
        <f>BU835</f>
        <v/>
      </c>
      <c r="BW831" s="245">
        <f>BV835</f>
        <v/>
      </c>
      <c r="BX831" s="245">
        <f>BW835</f>
        <v/>
      </c>
      <c r="BY831" s="245">
        <f>BX835</f>
        <v/>
      </c>
      <c r="BZ831" s="245">
        <f>BY835</f>
        <v/>
      </c>
      <c r="CA831" s="245">
        <f>BZ835</f>
        <v/>
      </c>
    </row>
    <row r="832" ht="12" customHeight="1" s="227">
      <c r="A832" s="244" t="n"/>
      <c r="B832" s="244" t="n"/>
      <c r="C832" s="244" t="n"/>
      <c r="H832" s="0" t="inlineStr">
        <is>
          <t>Addition Amounts</t>
        </is>
      </c>
      <c r="I832" s="27">
        <f>i_Setup!$M$16</f>
        <v/>
      </c>
      <c r="K832" s="6" t="n"/>
      <c r="M832" s="245">
        <f>SUMIF($T$4:$CA$4,M$4,$T832:$CA832)</f>
        <v/>
      </c>
      <c r="N832" s="245">
        <f>SUMIF($T$4:$CA$4,N$4,$T832:$CA832)</f>
        <v/>
      </c>
      <c r="O832" s="245">
        <f>SUMIF($T$4:$CA$4,O$4,$T832:$CA832)</f>
        <v/>
      </c>
      <c r="P832" s="245">
        <f>SUMIF($T$4:$CA$4,P$4,$T832:$CA832)</f>
        <v/>
      </c>
      <c r="Q832" s="245">
        <f>SUMIF($T$4:$CA$4,Q$4,$T832:$CA832)</f>
        <v/>
      </c>
      <c r="T832" s="257">
        <f>IF(T$7="Actual","",T660)</f>
        <v/>
      </c>
      <c r="U832" s="257">
        <f>IF(U$7="Actual","",U660)</f>
        <v/>
      </c>
      <c r="V832" s="257">
        <f>IF(V$7="Actual","",V660)</f>
        <v/>
      </c>
      <c r="W832" s="257">
        <f>IF(W$7="Actual","",W660)</f>
        <v/>
      </c>
      <c r="X832" s="257">
        <f>IF(X$7="Actual","",X660)</f>
        <v/>
      </c>
      <c r="Y832" s="257">
        <f>IF(Y$7="Actual","",Y660)</f>
        <v/>
      </c>
      <c r="Z832" s="257">
        <f>IF(Z$7="Actual","",Z660)</f>
        <v/>
      </c>
      <c r="AA832" s="257">
        <f>IF(AA$7="Actual","",AA660)</f>
        <v/>
      </c>
      <c r="AB832" s="257">
        <f>IF(AB$7="Actual","",AB660)</f>
        <v/>
      </c>
      <c r="AC832" s="257">
        <f>IF(AC$7="Actual","",AC660)</f>
        <v/>
      </c>
      <c r="AD832" s="257">
        <f>IF(AD$7="Actual","",AD660)</f>
        <v/>
      </c>
      <c r="AE832" s="257">
        <f>IF(AE$7="Actual","",AE660)</f>
        <v/>
      </c>
      <c r="AF832" s="257">
        <f>IF(AF$7="Actual","",AF660)</f>
        <v/>
      </c>
      <c r="AG832" s="257">
        <f>IF(AG$7="Actual","",AG660)</f>
        <v/>
      </c>
      <c r="AH832" s="257">
        <f>IF(AH$7="Actual","",AH660)</f>
        <v/>
      </c>
      <c r="AI832" s="257">
        <f>IF(AI$7="Actual","",AI660)</f>
        <v/>
      </c>
      <c r="AJ832" s="257">
        <f>IF(AJ$7="Actual","",AJ660)</f>
        <v/>
      </c>
      <c r="AK832" s="257">
        <f>IF(AK$7="Actual","",AK660)</f>
        <v/>
      </c>
      <c r="AL832" s="257">
        <f>IF(AL$7="Actual","",AL660)</f>
        <v/>
      </c>
      <c r="AM832" s="257">
        <f>IF(AM$7="Actual","",AM660)</f>
        <v/>
      </c>
      <c r="AN832" s="257">
        <f>IF(AN$7="Actual","",AN660)</f>
        <v/>
      </c>
      <c r="AO832" s="257">
        <f>IF(AO$7="Actual","",AO660)</f>
        <v/>
      </c>
      <c r="AP832" s="257">
        <f>IF(AP$7="Actual","",AP660)</f>
        <v/>
      </c>
      <c r="AQ832" s="257">
        <f>IF(AQ$7="Actual","",AQ660)</f>
        <v/>
      </c>
      <c r="AR832" s="257">
        <f>IF(AR$7="Actual","",AR660)</f>
        <v/>
      </c>
      <c r="AS832" s="257">
        <f>IF(AS$7="Actual","",AS660)</f>
        <v/>
      </c>
      <c r="AT832" s="257">
        <f>IF(AT$7="Actual","",AT660)</f>
        <v/>
      </c>
      <c r="AU832" s="257">
        <f>IF(AU$7="Actual","",AU660)</f>
        <v/>
      </c>
      <c r="AV832" s="257">
        <f>IF(AV$7="Actual","",AV660)</f>
        <v/>
      </c>
      <c r="AW832" s="257">
        <f>IF(AW$7="Actual","",AW660)</f>
        <v/>
      </c>
      <c r="AX832" s="257">
        <f>IF(AX$7="Actual","",AX660)</f>
        <v/>
      </c>
      <c r="AY832" s="257">
        <f>IF(AY$7="Actual","",AY660)</f>
        <v/>
      </c>
      <c r="AZ832" s="257">
        <f>IF(AZ$7="Actual","",AZ660)</f>
        <v/>
      </c>
      <c r="BA832" s="257">
        <f>IF(BA$7="Actual","",BA660)</f>
        <v/>
      </c>
      <c r="BB832" s="257">
        <f>IF(BB$7="Actual","",BB660)</f>
        <v/>
      </c>
      <c r="BC832" s="257">
        <f>IF(BC$7="Actual","",BC660)</f>
        <v/>
      </c>
      <c r="BD832" s="257">
        <f>IF(BD$7="Actual","",BD660)</f>
        <v/>
      </c>
      <c r="BE832" s="257">
        <f>IF(BE$7="Actual","",BE660)</f>
        <v/>
      </c>
      <c r="BF832" s="257">
        <f>IF(BF$7="Actual","",BF660)</f>
        <v/>
      </c>
      <c r="BG832" s="257">
        <f>IF(BG$7="Actual","",BG660)</f>
        <v/>
      </c>
      <c r="BH832" s="257">
        <f>IF(BH$7="Actual","",BH660)</f>
        <v/>
      </c>
      <c r="BI832" s="257">
        <f>IF(BI$7="Actual","",BI660)</f>
        <v/>
      </c>
      <c r="BJ832" s="257">
        <f>IF(BJ$7="Actual","",BJ660)</f>
        <v/>
      </c>
      <c r="BK832" s="257">
        <f>IF(BK$7="Actual","",BK660)</f>
        <v/>
      </c>
      <c r="BL832" s="257">
        <f>IF(BL$7="Actual","",BL660)</f>
        <v/>
      </c>
      <c r="BM832" s="257">
        <f>IF(BM$7="Actual","",BM660)</f>
        <v/>
      </c>
      <c r="BN832" s="257">
        <f>IF(BN$7="Actual","",BN660)</f>
        <v/>
      </c>
      <c r="BO832" s="257">
        <f>IF(BO$7="Actual","",BO660)</f>
        <v/>
      </c>
      <c r="BP832" s="257">
        <f>IF(BP$7="Actual","",BP660)</f>
        <v/>
      </c>
      <c r="BQ832" s="257">
        <f>IF(BQ$7="Actual","",BQ660)</f>
        <v/>
      </c>
      <c r="BR832" s="257">
        <f>IF(BR$7="Actual","",BR660)</f>
        <v/>
      </c>
      <c r="BS832" s="257">
        <f>IF(BS$7="Actual","",BS660)</f>
        <v/>
      </c>
      <c r="BT832" s="257">
        <f>IF(BT$7="Actual","",BT660)</f>
        <v/>
      </c>
      <c r="BU832" s="257">
        <f>IF(BU$7="Actual","",BU660)</f>
        <v/>
      </c>
      <c r="BV832" s="257">
        <f>IF(BV$7="Actual","",BV660)</f>
        <v/>
      </c>
      <c r="BW832" s="257">
        <f>IF(BW$7="Actual","",BW660)</f>
        <v/>
      </c>
      <c r="BX832" s="257">
        <f>IF(BX$7="Actual","",BX660)</f>
        <v/>
      </c>
      <c r="BY832" s="257">
        <f>IF(BY$7="Actual","",BY660)</f>
        <v/>
      </c>
      <c r="BZ832" s="257">
        <f>IF(BZ$7="Actual","",BZ660)</f>
        <v/>
      </c>
      <c r="CA832" s="257">
        <f>IF(CA$7="Actual","",CA660)</f>
        <v/>
      </c>
    </row>
    <row r="833" ht="12" customHeight="1" s="227">
      <c r="A833" s="244" t="n"/>
      <c r="B833" s="244" t="n"/>
      <c r="C833" s="244" t="n"/>
      <c r="H833" s="0" t="inlineStr">
        <is>
          <t xml:space="preserve"> Depreciation - Opening Bal</t>
        </is>
      </c>
      <c r="I833" s="27">
        <f>i_Setup!$M$16</f>
        <v/>
      </c>
      <c r="K833" s="6" t="n"/>
      <c r="M833" s="245">
        <f>SUMIF($T$4:$CA$4,M$4,$T833:$CA833)</f>
        <v/>
      </c>
      <c r="N833" s="245">
        <f>SUMIF($T$4:$CA$4,N$4,$T833:$CA833)</f>
        <v/>
      </c>
      <c r="O833" s="245">
        <f>SUMIF($T$4:$CA$4,O$4,$T833:$CA833)</f>
        <v/>
      </c>
      <c r="P833" s="245">
        <f>SUMIF($T$4:$CA$4,P$4,$T833:$CA833)</f>
        <v/>
      </c>
      <c r="Q833" s="245">
        <f>SUMIF($T$4:$CA$4,Q$4,$T833:$CA833)</f>
        <v/>
      </c>
      <c r="T833" s="245">
        <f>IF(T$7="Actual","",IFERROR(-SUM(OFFSET(S829,0,0,1,-MIN(T$6,$K$826)))/$K$826,0))</f>
        <v/>
      </c>
      <c r="U833" s="245">
        <f>IF(U$7="Actual","",IFERROR(-SUM(OFFSET(T829,0,0,1,-MIN(U$6,$K$826)))/$K$826,0))</f>
        <v/>
      </c>
      <c r="V833" s="245">
        <f>IF(V$7="Actual","",IFERROR(-SUM(OFFSET(U829,0,0,1,-MIN(V$6,$K$826)))/$K$826,0))</f>
        <v/>
      </c>
      <c r="W833" s="245">
        <f>IF(W$7="Actual","",IFERROR(-SUM(OFFSET(V829,0,0,1,-MIN(W$6,$K$826)))/$K$826,0))</f>
        <v/>
      </c>
      <c r="X833" s="245">
        <f>IF(X$7="Actual","",IFERROR(-SUM(OFFSET(W829,0,0,1,-MIN(X$6,$K$826)))/$K$826,0))</f>
        <v/>
      </c>
      <c r="Y833" s="245">
        <f>IF(Y$7="Actual","",IFERROR(-SUM(OFFSET(X829,0,0,1,-MIN(Y$6,$K$826)))/$K$826,0))</f>
        <v/>
      </c>
      <c r="Z833" s="245">
        <f>IF(Z$7="Actual","",IFERROR(-SUM(OFFSET(Y829,0,0,1,-MIN(Z$6,$K$826)))/$K$826,0))</f>
        <v/>
      </c>
      <c r="AA833" s="245">
        <f>IF(AA$7="Actual","",IFERROR(-SUM(OFFSET(Z829,0,0,1,-MIN(AA$6,$K$826)))/$K$826,0))</f>
        <v/>
      </c>
      <c r="AB833" s="245">
        <f>IF(AB$7="Actual","",IFERROR(-SUM(OFFSET(AA829,0,0,1,-MIN(AB$6,$K$826)))/$K$826,0))</f>
        <v/>
      </c>
      <c r="AC833" s="245">
        <f>IF(AC$7="Actual","",IFERROR(-SUM(OFFSET(AB829,0,0,1,-MIN(AC$6,$K$826)))/$K$826,0))</f>
        <v/>
      </c>
      <c r="AD833" s="245">
        <f>IF(AD$7="Actual","",IFERROR(-SUM(OFFSET(AC829,0,0,1,-MIN(AD$6,$K$826)))/$K$826,0))</f>
        <v/>
      </c>
      <c r="AE833" s="245">
        <f>IF(AE$7="Actual","",IFERROR(-SUM(OFFSET(AD829,0,0,1,-MIN(AE$6,$K$826)))/$K$826,0))</f>
        <v/>
      </c>
      <c r="AF833" s="245">
        <f>IF(AF$7="Actual","",IFERROR(-SUM(OFFSET(AE829,0,0,1,-MIN(AF$6,$K$826)))/$K$826,0))</f>
        <v/>
      </c>
      <c r="AG833" s="245">
        <f>IF(AG$7="Actual","",IFERROR(-SUM(OFFSET(AF829,0,0,1,-MIN(AG$6,$K$826)))/$K$826,0))</f>
        <v/>
      </c>
      <c r="AH833" s="245">
        <f>IF(AH$7="Actual","",IFERROR(-SUM(OFFSET(AG829,0,0,1,-MIN(AH$6,$K$826)))/$K$826,0))</f>
        <v/>
      </c>
      <c r="AI833" s="245">
        <f>IF(AI$7="Actual","",IFERROR(-SUM(OFFSET(AH829,0,0,1,-MIN(AI$6,$K$826)))/$K$826,0))</f>
        <v/>
      </c>
      <c r="AJ833" s="245">
        <f>IF(AJ$7="Actual","",IFERROR(-SUM(OFFSET(AI829,0,0,1,-MIN(AJ$6,$K$826)))/$K$826,0))</f>
        <v/>
      </c>
      <c r="AK833" s="245">
        <f>IF(AK$7="Actual","",IFERROR(-SUM(OFFSET(AJ829,0,0,1,-MIN(AK$6,$K$826)))/$K$826,0))</f>
        <v/>
      </c>
      <c r="AL833" s="245">
        <f>IF(AL$7="Actual","",IFERROR(-SUM(OFFSET(AK829,0,0,1,-MIN(AL$6,$K$826)))/$K$826,0))</f>
        <v/>
      </c>
      <c r="AM833" s="245">
        <f>IF(AM$7="Actual","",IFERROR(-SUM(OFFSET(AL829,0,0,1,-MIN(AM$6,$K$826)))/$K$826,0))</f>
        <v/>
      </c>
      <c r="AN833" s="245">
        <f>IF(AN$7="Actual","",IFERROR(-SUM(OFFSET(AM829,0,0,1,-MIN(AN$6,$K$826)))/$K$826,0))</f>
        <v/>
      </c>
      <c r="AO833" s="245">
        <f>IF(AO$7="Actual","",IFERROR(-SUM(OFFSET(AN829,0,0,1,-MIN(AO$6,$K$826)))/$K$826,0))</f>
        <v/>
      </c>
      <c r="AP833" s="245">
        <f>IF(AP$7="Actual","",IFERROR(-SUM(OFFSET(AO829,0,0,1,-MIN(AP$6,$K$826)))/$K$826,0))</f>
        <v/>
      </c>
      <c r="AQ833" s="245">
        <f>IF(AQ$7="Actual","",IFERROR(-SUM(OFFSET(AP829,0,0,1,-MIN(AQ$6,$K$826)))/$K$826,0))</f>
        <v/>
      </c>
      <c r="AR833" s="245">
        <f>IF(AR$7="Actual","",IFERROR(-SUM(OFFSET(AQ829,0,0,1,-MIN(AR$6,$K$826)))/$K$826,0))</f>
        <v/>
      </c>
      <c r="AS833" s="245">
        <f>IF(AS$7="Actual","",IFERROR(-SUM(OFFSET(AR829,0,0,1,-MIN(AS$6,$K$826)))/$K$826,0))</f>
        <v/>
      </c>
      <c r="AT833" s="245">
        <f>IF(AT$7="Actual","",IFERROR(-SUM(OFFSET(AS829,0,0,1,-MIN(AT$6,$K$826)))/$K$826,0))</f>
        <v/>
      </c>
      <c r="AU833" s="245">
        <f>IF(AU$7="Actual","",IFERROR(-SUM(OFFSET(AT829,0,0,1,-MIN(AU$6,$K$826)))/$K$826,0))</f>
        <v/>
      </c>
      <c r="AV833" s="245">
        <f>IF(AV$7="Actual","",IFERROR(-SUM(OFFSET(AU829,0,0,1,-MIN(AV$6,$K$826)))/$K$826,0))</f>
        <v/>
      </c>
      <c r="AW833" s="245">
        <f>IF(AW$7="Actual","",IFERROR(-SUM(OFFSET(AV829,0,0,1,-MIN(AW$6,$K$826)))/$K$826,0))</f>
        <v/>
      </c>
      <c r="AX833" s="245">
        <f>IF(AX$7="Actual","",IFERROR(-SUM(OFFSET(AW829,0,0,1,-MIN(AX$6,$K$826)))/$K$826,0))</f>
        <v/>
      </c>
      <c r="AY833" s="245">
        <f>IF(AY$7="Actual","",IFERROR(-SUM(OFFSET(AX829,0,0,1,-MIN(AY$6,$K$826)))/$K$826,0))</f>
        <v/>
      </c>
      <c r="AZ833" s="245">
        <f>IF(AZ$7="Actual","",IFERROR(-SUM(OFFSET(AY829,0,0,1,-MIN(AZ$6,$K$826)))/$K$826,0))</f>
        <v/>
      </c>
      <c r="BA833" s="245">
        <f>IF(BA$7="Actual","",IFERROR(-SUM(OFFSET(AZ829,0,0,1,-MIN(BA$6,$K$826)))/$K$826,0))</f>
        <v/>
      </c>
      <c r="BB833" s="245">
        <f>IF(BB$7="Actual","",IFERROR(-SUM(OFFSET(BA829,0,0,1,-MIN(BB$6,$K$826)))/$K$826,0))</f>
        <v/>
      </c>
      <c r="BC833" s="245">
        <f>IF(BC$7="Actual","",IFERROR(-SUM(OFFSET(BB829,0,0,1,-MIN(BC$6,$K$826)))/$K$826,0))</f>
        <v/>
      </c>
      <c r="BD833" s="245">
        <f>IF(BD$7="Actual","",IFERROR(-SUM(OFFSET(BC829,0,0,1,-MIN(BD$6,$K$826)))/$K$826,0))</f>
        <v/>
      </c>
      <c r="BE833" s="245">
        <f>IF(BE$7="Actual","",IFERROR(-SUM(OFFSET(BD829,0,0,1,-MIN(BE$6,$K$826)))/$K$826,0))</f>
        <v/>
      </c>
      <c r="BF833" s="245">
        <f>IF(BF$7="Actual","",IFERROR(-SUM(OFFSET(BE829,0,0,1,-MIN(BF$6,$K$826)))/$K$826,0))</f>
        <v/>
      </c>
      <c r="BG833" s="245">
        <f>IF(BG$7="Actual","",IFERROR(-SUM(OFFSET(BF829,0,0,1,-MIN(BG$6,$K$826)))/$K$826,0))</f>
        <v/>
      </c>
      <c r="BH833" s="245">
        <f>IF(BH$7="Actual","",IFERROR(-SUM(OFFSET(BG829,0,0,1,-MIN(BH$6,$K$826)))/$K$826,0))</f>
        <v/>
      </c>
      <c r="BI833" s="245">
        <f>IF(BI$7="Actual","",IFERROR(-SUM(OFFSET(BH829,0,0,1,-MIN(BI$6,$K$826)))/$K$826,0))</f>
        <v/>
      </c>
      <c r="BJ833" s="245">
        <f>IF(BJ$7="Actual","",IFERROR(-SUM(OFFSET(BI829,0,0,1,-MIN(BJ$6,$K$826)))/$K$826,0))</f>
        <v/>
      </c>
      <c r="BK833" s="245">
        <f>IF(BK$7="Actual","",IFERROR(-SUM(OFFSET(BJ829,0,0,1,-MIN(BK$6,$K$826)))/$K$826,0))</f>
        <v/>
      </c>
      <c r="BL833" s="245">
        <f>IF(BL$7="Actual","",IFERROR(-SUM(OFFSET(BK829,0,0,1,-MIN(BL$6,$K$826)))/$K$826,0))</f>
        <v/>
      </c>
      <c r="BM833" s="245">
        <f>IF(BM$7="Actual","",IFERROR(-SUM(OFFSET(BL829,0,0,1,-MIN(BM$6,$K$826)))/$K$826,0))</f>
        <v/>
      </c>
      <c r="BN833" s="245">
        <f>IF(BN$7="Actual","",IFERROR(-SUM(OFFSET(BM829,0,0,1,-MIN(BN$6,$K$826)))/$K$826,0))</f>
        <v/>
      </c>
      <c r="BO833" s="245">
        <f>IF(BO$7="Actual","",IFERROR(-SUM(OFFSET(BN829,0,0,1,-MIN(BO$6,$K$826)))/$K$826,0))</f>
        <v/>
      </c>
      <c r="BP833" s="245">
        <f>IF(BP$7="Actual","",IFERROR(-SUM(OFFSET(BO829,0,0,1,-MIN(BP$6,$K$826)))/$K$826,0))</f>
        <v/>
      </c>
      <c r="BQ833" s="245">
        <f>IF(BQ$7="Actual","",IFERROR(-SUM(OFFSET(BP829,0,0,1,-MIN(BQ$6,$K$826)))/$K$826,0))</f>
        <v/>
      </c>
      <c r="BR833" s="245">
        <f>IF(BR$7="Actual","",IFERROR(-SUM(OFFSET(BQ829,0,0,1,-MIN(BR$6,$K$826)))/$K$826,0))</f>
        <v/>
      </c>
      <c r="BS833" s="245">
        <f>IF(BS$7="Actual","",IFERROR(-SUM(OFFSET(BR829,0,0,1,-MIN(BS$6,$K$826)))/$K$826,0))</f>
        <v/>
      </c>
      <c r="BT833" s="245">
        <f>IF(BT$7="Actual","",IFERROR(-SUM(OFFSET(BS829,0,0,1,-MIN(BT$6,$K$826)))/$K$826,0))</f>
        <v/>
      </c>
      <c r="BU833" s="245">
        <f>IF(BU$7="Actual","",IFERROR(-SUM(OFFSET(BT829,0,0,1,-MIN(BU$6,$K$826)))/$K$826,0))</f>
        <v/>
      </c>
      <c r="BV833" s="245">
        <f>IF(BV$7="Actual","",IFERROR(-SUM(OFFSET(BU829,0,0,1,-MIN(BV$6,$K$826)))/$K$826,0))</f>
        <v/>
      </c>
      <c r="BW833" s="245">
        <f>IF(BW$7="Actual","",IFERROR(-SUM(OFFSET(BV829,0,0,1,-MIN(BW$6,$K$826)))/$K$826,0))</f>
        <v/>
      </c>
      <c r="BX833" s="245">
        <f>IF(BX$7="Actual","",IFERROR(-SUM(OFFSET(BW829,0,0,1,-MIN(BX$6,$K$826)))/$K$826,0))</f>
        <v/>
      </c>
      <c r="BY833" s="245">
        <f>IF(BY$7="Actual","",IFERROR(-SUM(OFFSET(BX829,0,0,1,-MIN(BY$6,$K$826)))/$K$826,0))</f>
        <v/>
      </c>
      <c r="BZ833" s="245">
        <f>IF(BZ$7="Actual","",IFERROR(-SUM(OFFSET(BY829,0,0,1,-MIN(BZ$6,$K$826)))/$K$826,0))</f>
        <v/>
      </c>
      <c r="CA833" s="245">
        <f>IF(CA$7="Actual","",IFERROR(-SUM(OFFSET(BZ829,0,0,1,-MIN(CA$6,$K$826)))/$K$826,0))</f>
        <v/>
      </c>
    </row>
    <row r="834" ht="12" customHeight="1" s="227">
      <c r="A834" s="244" t="n"/>
      <c r="B834" s="244" t="n"/>
      <c r="C834" s="244" t="n"/>
      <c r="H834" s="0" t="inlineStr">
        <is>
          <t xml:space="preserve"> Depreciation - Additions</t>
        </is>
      </c>
      <c r="I834" s="27">
        <f>i_Setup!$M$16</f>
        <v/>
      </c>
      <c r="K834" s="6" t="n"/>
      <c r="M834" s="245">
        <f>SUMIF($T$4:$CA$4,M$4,$T834:$CA834)</f>
        <v/>
      </c>
      <c r="N834" s="245">
        <f>SUMIF($T$4:$CA$4,N$4,$T834:$CA834)</f>
        <v/>
      </c>
      <c r="O834" s="245">
        <f>SUMIF($T$4:$CA$4,O$4,$T834:$CA834)</f>
        <v/>
      </c>
      <c r="P834" s="245">
        <f>SUMIF($T$4:$CA$4,P$4,$T834:$CA834)</f>
        <v/>
      </c>
      <c r="Q834" s="245">
        <f>SUMIF($T$4:$CA$4,Q$4,$T834:$CA834)</f>
        <v/>
      </c>
      <c r="T834" s="245">
        <f>IF(T$7="Actual","",IFERROR(-SUM(OFFSET(S832,0,0,1,-MIN(T$6,$K$827)))/$K$827,0))</f>
        <v/>
      </c>
      <c r="U834" s="245">
        <f>IF(U$7="Actual","",IFERROR(-SUM(OFFSET(T832,0,0,1,-MIN(U$6,$K$827)))/$K$827,0))</f>
        <v/>
      </c>
      <c r="V834" s="245">
        <f>IF(V$7="Actual","",IFERROR(-SUM(OFFSET(U832,0,0,1,-MIN(V$6,$K$827)))/$K$827,0))</f>
        <v/>
      </c>
      <c r="W834" s="245">
        <f>IF(W$7="Actual","",IFERROR(-SUM(OFFSET(V832,0,0,1,-MIN(W$6,$K$827)))/$K$827,0))</f>
        <v/>
      </c>
      <c r="X834" s="245">
        <f>IF(X$7="Actual","",IFERROR(-SUM(OFFSET(W832,0,0,1,-MIN(X$6,$K$827)))/$K$827,0))</f>
        <v/>
      </c>
      <c r="Y834" s="245">
        <f>IF(Y$7="Actual","",IFERROR(-SUM(OFFSET(X832,0,0,1,-MIN(Y$6,$K$827)))/$K$827,0))</f>
        <v/>
      </c>
      <c r="Z834" s="245">
        <f>IF(Z$7="Actual","",IFERROR(-SUM(OFFSET(Y832,0,0,1,-MIN(Z$6,$K$827)))/$K$827,0))</f>
        <v/>
      </c>
      <c r="AA834" s="245">
        <f>IF(AA$7="Actual","",IFERROR(-SUM(OFFSET(Z832,0,0,1,-MIN(AA$6,$K$827)))/$K$827,0))</f>
        <v/>
      </c>
      <c r="AB834" s="245">
        <f>IF(AB$7="Actual","",IFERROR(-SUM(OFFSET(AA832,0,0,1,-MIN(AB$6,$K$827)))/$K$827,0))</f>
        <v/>
      </c>
      <c r="AC834" s="245">
        <f>IF(AC$7="Actual","",IFERROR(-SUM(OFFSET(AB832,0,0,1,-MIN(AC$6,$K$827)))/$K$827,0))</f>
        <v/>
      </c>
      <c r="AD834" s="245">
        <f>IF(AD$7="Actual","",IFERROR(-SUM(OFFSET(AC832,0,0,1,-MIN(AD$6,$K$827)))/$K$827,0))</f>
        <v/>
      </c>
      <c r="AE834" s="245">
        <f>IF(AE$7="Actual","",IFERROR(-SUM(OFFSET(AD832,0,0,1,-MIN(AE$6,$K$827)))/$K$827,0))</f>
        <v/>
      </c>
      <c r="AF834" s="245">
        <f>IF(AF$7="Actual","",IFERROR(-SUM(OFFSET(AE832,0,0,1,-MIN(AF$6,$K$827)))/$K$827,0))</f>
        <v/>
      </c>
      <c r="AG834" s="245">
        <f>IF(AG$7="Actual","",IFERROR(-SUM(OFFSET(AF832,0,0,1,-MIN(AG$6,$K$827)))/$K$827,0))</f>
        <v/>
      </c>
      <c r="AH834" s="245">
        <f>IF(AH$7="Actual","",IFERROR(-SUM(OFFSET(AG832,0,0,1,-MIN(AH$6,$K$827)))/$K$827,0))</f>
        <v/>
      </c>
      <c r="AI834" s="245">
        <f>IF(AI$7="Actual","",IFERROR(-SUM(OFFSET(AH832,0,0,1,-MIN(AI$6,$K$827)))/$K$827,0))</f>
        <v/>
      </c>
      <c r="AJ834" s="245">
        <f>IF(AJ$7="Actual","",IFERROR(-SUM(OFFSET(AI832,0,0,1,-MIN(AJ$6,$K$827)))/$K$827,0))</f>
        <v/>
      </c>
      <c r="AK834" s="245">
        <f>IF(AK$7="Actual","",IFERROR(-SUM(OFFSET(AJ832,0,0,1,-MIN(AK$6,$K$827)))/$K$827,0))</f>
        <v/>
      </c>
      <c r="AL834" s="245">
        <f>IF(AL$7="Actual","",IFERROR(-SUM(OFFSET(AK832,0,0,1,-MIN(AL$6,$K$827)))/$K$827,0))</f>
        <v/>
      </c>
      <c r="AM834" s="245">
        <f>IF(AM$7="Actual","",IFERROR(-SUM(OFFSET(AL832,0,0,1,-MIN(AM$6,$K$827)))/$K$827,0))</f>
        <v/>
      </c>
      <c r="AN834" s="245">
        <f>IF(AN$7="Actual","",IFERROR(-SUM(OFFSET(AM832,0,0,1,-MIN(AN$6,$K$827)))/$K$827,0))</f>
        <v/>
      </c>
      <c r="AO834" s="245">
        <f>IF(AO$7="Actual","",IFERROR(-SUM(OFFSET(AN832,0,0,1,-MIN(AO$6,$K$827)))/$K$827,0))</f>
        <v/>
      </c>
      <c r="AP834" s="245">
        <f>IF(AP$7="Actual","",IFERROR(-SUM(OFFSET(AO832,0,0,1,-MIN(AP$6,$K$827)))/$K$827,0))</f>
        <v/>
      </c>
      <c r="AQ834" s="245">
        <f>IF(AQ$7="Actual","",IFERROR(-SUM(OFFSET(AP832,0,0,1,-MIN(AQ$6,$K$827)))/$K$827,0))</f>
        <v/>
      </c>
      <c r="AR834" s="245">
        <f>IF(AR$7="Actual","",IFERROR(-SUM(OFFSET(AQ832,0,0,1,-MIN(AR$6,$K$827)))/$K$827,0))</f>
        <v/>
      </c>
      <c r="AS834" s="245">
        <f>IF(AS$7="Actual","",IFERROR(-SUM(OFFSET(AR832,0,0,1,-MIN(AS$6,$K$827)))/$K$827,0))</f>
        <v/>
      </c>
      <c r="AT834" s="245">
        <f>IF(AT$7="Actual","",IFERROR(-SUM(OFFSET(AS832,0,0,1,-MIN(AT$6,$K$827)))/$K$827,0))</f>
        <v/>
      </c>
      <c r="AU834" s="245">
        <f>IF(AU$7="Actual","",IFERROR(-SUM(OFFSET(AT832,0,0,1,-MIN(AU$6,$K$827)))/$K$827,0))</f>
        <v/>
      </c>
      <c r="AV834" s="245">
        <f>IF(AV$7="Actual","",IFERROR(-SUM(OFFSET(AU832,0,0,1,-MIN(AV$6,$K$827)))/$K$827,0))</f>
        <v/>
      </c>
      <c r="AW834" s="245">
        <f>IF(AW$7="Actual","",IFERROR(-SUM(OFFSET(AV832,0,0,1,-MIN(AW$6,$K$827)))/$K$827,0))</f>
        <v/>
      </c>
      <c r="AX834" s="245">
        <f>IF(AX$7="Actual","",IFERROR(-SUM(OFFSET(AW832,0,0,1,-MIN(AX$6,$K$827)))/$K$827,0))</f>
        <v/>
      </c>
      <c r="AY834" s="245">
        <f>IF(AY$7="Actual","",IFERROR(-SUM(OFFSET(AX832,0,0,1,-MIN(AY$6,$K$827)))/$K$827,0))</f>
        <v/>
      </c>
      <c r="AZ834" s="245">
        <f>IF(AZ$7="Actual","",IFERROR(-SUM(OFFSET(AY832,0,0,1,-MIN(AZ$6,$K$827)))/$K$827,0))</f>
        <v/>
      </c>
      <c r="BA834" s="245">
        <f>IF(BA$7="Actual","",IFERROR(-SUM(OFFSET(AZ832,0,0,1,-MIN(BA$6,$K$827)))/$K$827,0))</f>
        <v/>
      </c>
      <c r="BB834" s="245">
        <f>IF(BB$7="Actual","",IFERROR(-SUM(OFFSET(BA832,0,0,1,-MIN(BB$6,$K$827)))/$K$827,0))</f>
        <v/>
      </c>
      <c r="BC834" s="245">
        <f>IF(BC$7="Actual","",IFERROR(-SUM(OFFSET(BB832,0,0,1,-MIN(BC$6,$K$827)))/$K$827,0))</f>
        <v/>
      </c>
      <c r="BD834" s="245">
        <f>IF(BD$7="Actual","",IFERROR(-SUM(OFFSET(BC832,0,0,1,-MIN(BD$6,$K$827)))/$K$827,0))</f>
        <v/>
      </c>
      <c r="BE834" s="245">
        <f>IF(BE$7="Actual","",IFERROR(-SUM(OFFSET(BD832,0,0,1,-MIN(BE$6,$K$827)))/$K$827,0))</f>
        <v/>
      </c>
      <c r="BF834" s="245">
        <f>IF(BF$7="Actual","",IFERROR(-SUM(OFFSET(BE832,0,0,1,-MIN(BF$6,$K$827)))/$K$827,0))</f>
        <v/>
      </c>
      <c r="BG834" s="245">
        <f>IF(BG$7="Actual","",IFERROR(-SUM(OFFSET(BF832,0,0,1,-MIN(BG$6,$K$827)))/$K$827,0))</f>
        <v/>
      </c>
      <c r="BH834" s="245">
        <f>IF(BH$7="Actual","",IFERROR(-SUM(OFFSET(BG832,0,0,1,-MIN(BH$6,$K$827)))/$K$827,0))</f>
        <v/>
      </c>
      <c r="BI834" s="245">
        <f>IF(BI$7="Actual","",IFERROR(-SUM(OFFSET(BH832,0,0,1,-MIN(BI$6,$K$827)))/$K$827,0))</f>
        <v/>
      </c>
      <c r="BJ834" s="245">
        <f>IF(BJ$7="Actual","",IFERROR(-SUM(OFFSET(BI832,0,0,1,-MIN(BJ$6,$K$827)))/$K$827,0))</f>
        <v/>
      </c>
      <c r="BK834" s="245">
        <f>IF(BK$7="Actual","",IFERROR(-SUM(OFFSET(BJ832,0,0,1,-MIN(BK$6,$K$827)))/$K$827,0))</f>
        <v/>
      </c>
      <c r="BL834" s="245">
        <f>IF(BL$7="Actual","",IFERROR(-SUM(OFFSET(BK832,0,0,1,-MIN(BL$6,$K$827)))/$K$827,0))</f>
        <v/>
      </c>
      <c r="BM834" s="245">
        <f>IF(BM$7="Actual","",IFERROR(-SUM(OFFSET(BL832,0,0,1,-MIN(BM$6,$K$827)))/$K$827,0))</f>
        <v/>
      </c>
      <c r="BN834" s="245">
        <f>IF(BN$7="Actual","",IFERROR(-SUM(OFFSET(BM832,0,0,1,-MIN(BN$6,$K$827)))/$K$827,0))</f>
        <v/>
      </c>
      <c r="BO834" s="245">
        <f>IF(BO$7="Actual","",IFERROR(-SUM(OFFSET(BN832,0,0,1,-MIN(BO$6,$K$827)))/$K$827,0))</f>
        <v/>
      </c>
      <c r="BP834" s="245">
        <f>IF(BP$7="Actual","",IFERROR(-SUM(OFFSET(BO832,0,0,1,-MIN(BP$6,$K$827)))/$K$827,0))</f>
        <v/>
      </c>
      <c r="BQ834" s="245">
        <f>IF(BQ$7="Actual","",IFERROR(-SUM(OFFSET(BP832,0,0,1,-MIN(BQ$6,$K$827)))/$K$827,0))</f>
        <v/>
      </c>
      <c r="BR834" s="245">
        <f>IF(BR$7="Actual","",IFERROR(-SUM(OFFSET(BQ832,0,0,1,-MIN(BR$6,$K$827)))/$K$827,0))</f>
        <v/>
      </c>
      <c r="BS834" s="245">
        <f>IF(BS$7="Actual","",IFERROR(-SUM(OFFSET(BR832,0,0,1,-MIN(BS$6,$K$827)))/$K$827,0))</f>
        <v/>
      </c>
      <c r="BT834" s="245">
        <f>IF(BT$7="Actual","",IFERROR(-SUM(OFFSET(BS832,0,0,1,-MIN(BT$6,$K$827)))/$K$827,0))</f>
        <v/>
      </c>
      <c r="BU834" s="245">
        <f>IF(BU$7="Actual","",IFERROR(-SUM(OFFSET(BT832,0,0,1,-MIN(BU$6,$K$827)))/$K$827,0))</f>
        <v/>
      </c>
      <c r="BV834" s="245">
        <f>IF(BV$7="Actual","",IFERROR(-SUM(OFFSET(BU832,0,0,1,-MIN(BV$6,$K$827)))/$K$827,0))</f>
        <v/>
      </c>
      <c r="BW834" s="245">
        <f>IF(BW$7="Actual","",IFERROR(-SUM(OFFSET(BV832,0,0,1,-MIN(BW$6,$K$827)))/$K$827,0))</f>
        <v/>
      </c>
      <c r="BX834" s="245">
        <f>IF(BX$7="Actual","",IFERROR(-SUM(OFFSET(BW832,0,0,1,-MIN(BX$6,$K$827)))/$K$827,0))</f>
        <v/>
      </c>
      <c r="BY834" s="245">
        <f>IF(BY$7="Actual","",IFERROR(-SUM(OFFSET(BX832,0,0,1,-MIN(BY$6,$K$827)))/$K$827,0))</f>
        <v/>
      </c>
      <c r="BZ834" s="245">
        <f>IF(BZ$7="Actual","",IFERROR(-SUM(OFFSET(BY832,0,0,1,-MIN(BZ$6,$K$827)))/$K$827,0))</f>
        <v/>
      </c>
      <c r="CA834" s="245">
        <f>IF(CA$7="Actual","",IFERROR(-SUM(OFFSET(BZ832,0,0,1,-MIN(CA$6,$K$827)))/$K$827,0))</f>
        <v/>
      </c>
    </row>
    <row r="835" ht="12" customHeight="1" s="227" thickBot="1">
      <c r="A835" s="244" t="n"/>
      <c r="B835" s="244" t="n"/>
      <c r="C835" s="244" t="n"/>
      <c r="H835" s="42" t="inlineStr">
        <is>
          <t>Closing Balance</t>
        </is>
      </c>
      <c r="I835" s="43">
        <f>i_Setup!$M$16</f>
        <v/>
      </c>
      <c r="K835" s="6" t="n"/>
      <c r="M835" s="264">
        <f>SUMIF($T$2:$CA$2,M$2,$T835:$CA835)</f>
        <v/>
      </c>
      <c r="N835" s="264">
        <f>SUMIF($T$2:$CA$2,N$2,$T835:$CA835)</f>
        <v/>
      </c>
      <c r="O835" s="264">
        <f>SUMIF($T$2:$CA$2,O$2,$T835:$CA835)</f>
        <v/>
      </c>
      <c r="P835" s="264">
        <f>SUMIF($T$2:$CA$2,P$2,$T835:$CA835)</f>
        <v/>
      </c>
      <c r="Q835" s="264">
        <f>SUMIF($T$2:$CA$2,Q$2,$T835:$CA835)</f>
        <v/>
      </c>
      <c r="T835" s="264">
        <f>IF(T$7="Actual",i_Actuals!T120,SUM(T831:T834))</f>
        <v/>
      </c>
      <c r="U835" s="264">
        <f>IF(U$7="Actual",i_Actuals!U120,SUM(U831:U834))</f>
        <v/>
      </c>
      <c r="V835" s="264">
        <f>IF(V$7="Actual",i_Actuals!V120,SUM(V831:V834))</f>
        <v/>
      </c>
      <c r="W835" s="264">
        <f>IF(W$7="Actual",i_Actuals!W120,SUM(W831:W834))</f>
        <v/>
      </c>
      <c r="X835" s="264">
        <f>IF(X$7="Actual",i_Actuals!X120,SUM(X831:X834))</f>
        <v/>
      </c>
      <c r="Y835" s="264">
        <f>IF(Y$7="Actual",i_Actuals!Y120,SUM(Y831:Y834))</f>
        <v/>
      </c>
      <c r="Z835" s="264">
        <f>IF(Z$7="Actual",i_Actuals!Z120,SUM(Z831:Z834))</f>
        <v/>
      </c>
      <c r="AA835" s="264">
        <f>IF(AA$7="Actual",i_Actuals!AA120,SUM(AA831:AA834))</f>
        <v/>
      </c>
      <c r="AB835" s="264">
        <f>IF(AB$7="Actual",i_Actuals!AB120,SUM(AB831:AB834))</f>
        <v/>
      </c>
      <c r="AC835" s="264">
        <f>IF(AC$7="Actual",i_Actuals!AC120,SUM(AC831:AC834))</f>
        <v/>
      </c>
      <c r="AD835" s="264">
        <f>IF(AD$7="Actual",i_Actuals!AD120,SUM(AD831:AD834))</f>
        <v/>
      </c>
      <c r="AE835" s="264">
        <f>IF(AE$7="Actual",i_Actuals!AE120,SUM(AE831:AE834))</f>
        <v/>
      </c>
      <c r="AF835" s="264">
        <f>IF(AF$7="Actual",i_Actuals!AF120,SUM(AF831:AF834))</f>
        <v/>
      </c>
      <c r="AG835" s="264">
        <f>IF(AG$7="Actual",i_Actuals!AG120,SUM(AG831:AG834))</f>
        <v/>
      </c>
      <c r="AH835" s="264">
        <f>IF(AH$7="Actual",i_Actuals!AH120,SUM(AH831:AH834))</f>
        <v/>
      </c>
      <c r="AI835" s="264">
        <f>IF(AI$7="Actual",i_Actuals!AI120,SUM(AI831:AI834))</f>
        <v/>
      </c>
      <c r="AJ835" s="264">
        <f>IF(AJ$7="Actual",i_Actuals!AJ120,SUM(AJ831:AJ834))</f>
        <v/>
      </c>
      <c r="AK835" s="264">
        <f>IF(AK$7="Actual",i_Actuals!AK120,SUM(AK831:AK834))</f>
        <v/>
      </c>
      <c r="AL835" s="264">
        <f>IF(AL$7="Actual",i_Actuals!AL120,SUM(AL831:AL834))</f>
        <v/>
      </c>
      <c r="AM835" s="264">
        <f>IF(AM$7="Actual",i_Actuals!AM120,SUM(AM831:AM834))</f>
        <v/>
      </c>
      <c r="AN835" s="264">
        <f>IF(AN$7="Actual",i_Actuals!AN120,SUM(AN831:AN834))</f>
        <v/>
      </c>
      <c r="AO835" s="264">
        <f>IF(AO$7="Actual",i_Actuals!AO120,SUM(AO831:AO834))</f>
        <v/>
      </c>
      <c r="AP835" s="264">
        <f>IF(AP$7="Actual",i_Actuals!AP120,SUM(AP831:AP834))</f>
        <v/>
      </c>
      <c r="AQ835" s="264">
        <f>IF(AQ$7="Actual",i_Actuals!AQ120,SUM(AQ831:AQ834))</f>
        <v/>
      </c>
      <c r="AR835" s="264">
        <f>IF(AR$7="Actual",i_Actuals!AR120,SUM(AR831:AR834))</f>
        <v/>
      </c>
      <c r="AS835" s="264">
        <f>IF(AS$7="Actual",i_Actuals!AS120,SUM(AS831:AS834))</f>
        <v/>
      </c>
      <c r="AT835" s="264">
        <f>IF(AT$7="Actual",i_Actuals!AT120,SUM(AT831:AT834))</f>
        <v/>
      </c>
      <c r="AU835" s="264">
        <f>IF(AU$7="Actual",i_Actuals!AU120,SUM(AU831:AU834))</f>
        <v/>
      </c>
      <c r="AV835" s="264">
        <f>IF(AV$7="Actual",i_Actuals!AV120,SUM(AV831:AV834))</f>
        <v/>
      </c>
      <c r="AW835" s="264">
        <f>IF(AW$7="Actual",i_Actuals!AW120,SUM(AW831:AW834))</f>
        <v/>
      </c>
      <c r="AX835" s="264">
        <f>IF(AX$7="Actual",i_Actuals!AX120,SUM(AX831:AX834))</f>
        <v/>
      </c>
      <c r="AY835" s="264">
        <f>IF(AY$7="Actual",i_Actuals!AY120,SUM(AY831:AY834))</f>
        <v/>
      </c>
      <c r="AZ835" s="264">
        <f>IF(AZ$7="Actual",i_Actuals!AZ120,SUM(AZ831:AZ834))</f>
        <v/>
      </c>
      <c r="BA835" s="264">
        <f>IF(BA$7="Actual",i_Actuals!BA120,SUM(BA831:BA834))</f>
        <v/>
      </c>
      <c r="BB835" s="264">
        <f>IF(BB$7="Actual",i_Actuals!BB120,SUM(BB831:BB834))</f>
        <v/>
      </c>
      <c r="BC835" s="264">
        <f>IF(BC$7="Actual",i_Actuals!BC120,SUM(BC831:BC834))</f>
        <v/>
      </c>
      <c r="BD835" s="264">
        <f>IF(BD$7="Actual",i_Actuals!BD120,SUM(BD831:BD834))</f>
        <v/>
      </c>
      <c r="BE835" s="264">
        <f>IF(BE$7="Actual",i_Actuals!BE120,SUM(BE831:BE834))</f>
        <v/>
      </c>
      <c r="BF835" s="264">
        <f>IF(BF$7="Actual",i_Actuals!BF120,SUM(BF831:BF834))</f>
        <v/>
      </c>
      <c r="BG835" s="264">
        <f>IF(BG$7="Actual",i_Actuals!BG120,SUM(BG831:BG834))</f>
        <v/>
      </c>
      <c r="BH835" s="264">
        <f>IF(BH$7="Actual",i_Actuals!BH120,SUM(BH831:BH834))</f>
        <v/>
      </c>
      <c r="BI835" s="264">
        <f>IF(BI$7="Actual",i_Actuals!BI120,SUM(BI831:BI834))</f>
        <v/>
      </c>
      <c r="BJ835" s="264">
        <f>IF(BJ$7="Actual",i_Actuals!BJ120,SUM(BJ831:BJ834))</f>
        <v/>
      </c>
      <c r="BK835" s="264">
        <f>IF(BK$7="Actual",i_Actuals!BK120,SUM(BK831:BK834))</f>
        <v/>
      </c>
      <c r="BL835" s="264">
        <f>IF(BL$7="Actual",i_Actuals!BL120,SUM(BL831:BL834))</f>
        <v/>
      </c>
      <c r="BM835" s="264">
        <f>IF(BM$7="Actual",i_Actuals!BM120,SUM(BM831:BM834))</f>
        <v/>
      </c>
      <c r="BN835" s="264">
        <f>IF(BN$7="Actual",i_Actuals!BN120,SUM(BN831:BN834))</f>
        <v/>
      </c>
      <c r="BO835" s="264">
        <f>IF(BO$7="Actual",i_Actuals!BO120,SUM(BO831:BO834))</f>
        <v/>
      </c>
      <c r="BP835" s="264">
        <f>IF(BP$7="Actual",i_Actuals!BP120,SUM(BP831:BP834))</f>
        <v/>
      </c>
      <c r="BQ835" s="264">
        <f>IF(BQ$7="Actual",i_Actuals!BQ120,SUM(BQ831:BQ834))</f>
        <v/>
      </c>
      <c r="BR835" s="264">
        <f>IF(BR$7="Actual",i_Actuals!BR120,SUM(BR831:BR834))</f>
        <v/>
      </c>
      <c r="BS835" s="264">
        <f>IF(BS$7="Actual",i_Actuals!BS120,SUM(BS831:BS834))</f>
        <v/>
      </c>
      <c r="BT835" s="264">
        <f>IF(BT$7="Actual",i_Actuals!BT120,SUM(BT831:BT834))</f>
        <v/>
      </c>
      <c r="BU835" s="264">
        <f>IF(BU$7="Actual",i_Actuals!BU120,SUM(BU831:BU834))</f>
        <v/>
      </c>
      <c r="BV835" s="264">
        <f>IF(BV$7="Actual",i_Actuals!BV120,SUM(BV831:BV834))</f>
        <v/>
      </c>
      <c r="BW835" s="264">
        <f>IF(BW$7="Actual",i_Actuals!BW120,SUM(BW831:BW834))</f>
        <v/>
      </c>
      <c r="BX835" s="264">
        <f>IF(BX$7="Actual",i_Actuals!BX120,SUM(BX831:BX834))</f>
        <v/>
      </c>
      <c r="BY835" s="264">
        <f>IF(BY$7="Actual",i_Actuals!BY120,SUM(BY831:BY834))</f>
        <v/>
      </c>
      <c r="BZ835" s="264">
        <f>IF(BZ$7="Actual",i_Actuals!BZ120,SUM(BZ831:BZ834))</f>
        <v/>
      </c>
      <c r="CA835" s="264">
        <f>IF(CA$7="Actual",i_Actuals!CA120,SUM(CA831:CA834))</f>
        <v/>
      </c>
    </row>
    <row r="836" ht="12" customHeight="1" s="227">
      <c r="A836" s="244" t="n"/>
      <c r="B836" s="244" t="n"/>
      <c r="C836" s="244" t="n"/>
      <c r="K836" s="6" t="n"/>
    </row>
    <row r="837" ht="12" customFormat="1" customHeight="1" s="8">
      <c r="A837" s="244" t="n"/>
      <c r="B837" s="244">
        <f>SUM(L837:CA837)</f>
        <v/>
      </c>
      <c r="D837" s="4" t="n"/>
      <c r="E837" s="4" t="n"/>
      <c r="F837" s="4" t="n"/>
      <c r="G837" s="4" t="n"/>
      <c r="H837" s="0" t="inlineStr">
        <is>
          <t>Signage Check</t>
        </is>
      </c>
      <c r="I837" s="4" t="n"/>
      <c r="J837" s="4" t="n"/>
      <c r="K837" s="6" t="n"/>
      <c r="L837" s="4" t="n"/>
      <c r="M837" s="244">
        <f>IF(M$7&lt;&gt;"",IF(ROUND(M835,0)&lt;0,1,0),"")</f>
        <v/>
      </c>
      <c r="N837" s="244">
        <f>IF(N$7&lt;&gt;"",IF(ROUND(N835,0)&lt;0,1,0),"")</f>
        <v/>
      </c>
      <c r="O837" s="244">
        <f>IF(O$7&lt;&gt;"",IF(ROUND(O835,0)&lt;0,1,0),"")</f>
        <v/>
      </c>
      <c r="P837" s="244">
        <f>IF(P$7&lt;&gt;"",IF(ROUND(P835,0)&lt;0,1,0),"")</f>
        <v/>
      </c>
      <c r="Q837" s="244">
        <f>IF(Q$7&lt;&gt;"",IF(ROUND(Q835,0)&lt;0,1,0),"")</f>
        <v/>
      </c>
      <c r="R837" s="244" t="n"/>
      <c r="S837" s="244" t="n"/>
      <c r="T837" s="244">
        <f>IF(T$7&lt;&gt;"",IF(ROUND(T835,0)&lt;0,1,0),"")</f>
        <v/>
      </c>
      <c r="U837" s="244">
        <f>IF(U$7&lt;&gt;"",IF(ROUND(U835,0)&lt;0,1,0),"")</f>
        <v/>
      </c>
      <c r="V837" s="244">
        <f>IF(V$7&lt;&gt;"",IF(ROUND(V835,0)&lt;0,1,0),"")</f>
        <v/>
      </c>
      <c r="W837" s="244">
        <f>IF(W$7&lt;&gt;"",IF(ROUND(W835,0)&lt;0,1,0),"")</f>
        <v/>
      </c>
      <c r="X837" s="244">
        <f>IF(X$7&lt;&gt;"",IF(ROUND(X835,0)&lt;0,1,0),"")</f>
        <v/>
      </c>
      <c r="Y837" s="244">
        <f>IF(Y$7&lt;&gt;"",IF(ROUND(Y835,0)&lt;0,1,0),"")</f>
        <v/>
      </c>
      <c r="Z837" s="244">
        <f>IF(Z$7&lt;&gt;"",IF(ROUND(Z835,0)&lt;0,1,0),"")</f>
        <v/>
      </c>
      <c r="AA837" s="244">
        <f>IF(AA$7&lt;&gt;"",IF(ROUND(AA835,0)&lt;0,1,0),"")</f>
        <v/>
      </c>
      <c r="AB837" s="244">
        <f>IF(AB$7&lt;&gt;"",IF(ROUND(AB835,0)&lt;0,1,0),"")</f>
        <v/>
      </c>
      <c r="AC837" s="244">
        <f>IF(AC$7&lt;&gt;"",IF(ROUND(AC835,0)&lt;0,1,0),"")</f>
        <v/>
      </c>
      <c r="AD837" s="244">
        <f>IF(AD$7&lt;&gt;"",IF(ROUND(AD835,0)&lt;0,1,0),"")</f>
        <v/>
      </c>
      <c r="AE837" s="244">
        <f>IF(AE$7&lt;&gt;"",IF(ROUND(AE835,0)&lt;0,1,0),"")</f>
        <v/>
      </c>
      <c r="AF837" s="244">
        <f>IF(AF$7&lt;&gt;"",IF(ROUND(AF835,0)&lt;0,1,0),"")</f>
        <v/>
      </c>
      <c r="AG837" s="244">
        <f>IF(AG$7&lt;&gt;"",IF(ROUND(AG835,0)&lt;0,1,0),"")</f>
        <v/>
      </c>
      <c r="AH837" s="244">
        <f>IF(AH$7&lt;&gt;"",IF(ROUND(AH835,0)&lt;0,1,0),"")</f>
        <v/>
      </c>
      <c r="AI837" s="244">
        <f>IF(AI$7&lt;&gt;"",IF(ROUND(AI835,0)&lt;0,1,0),"")</f>
        <v/>
      </c>
      <c r="AJ837" s="244">
        <f>IF(AJ$7&lt;&gt;"",IF(ROUND(AJ835,0)&lt;0,1,0),"")</f>
        <v/>
      </c>
      <c r="AK837" s="244">
        <f>IF(AK$7&lt;&gt;"",IF(ROUND(AK835,0)&lt;0,1,0),"")</f>
        <v/>
      </c>
      <c r="AL837" s="244">
        <f>IF(AL$7&lt;&gt;"",IF(ROUND(AL835,0)&lt;0,1,0),"")</f>
        <v/>
      </c>
      <c r="AM837" s="244">
        <f>IF(AM$7&lt;&gt;"",IF(ROUND(AM835,0)&lt;0,1,0),"")</f>
        <v/>
      </c>
      <c r="AN837" s="244">
        <f>IF(AN$7&lt;&gt;"",IF(ROUND(AN835,0)&lt;0,1,0),"")</f>
        <v/>
      </c>
      <c r="AO837" s="244">
        <f>IF(AO$7&lt;&gt;"",IF(ROUND(AO835,0)&lt;0,1,0),"")</f>
        <v/>
      </c>
      <c r="AP837" s="244">
        <f>IF(AP$7&lt;&gt;"",IF(ROUND(AP835,0)&lt;0,1,0),"")</f>
        <v/>
      </c>
      <c r="AQ837" s="244">
        <f>IF(AQ$7&lt;&gt;"",IF(ROUND(AQ835,0)&lt;0,1,0),"")</f>
        <v/>
      </c>
      <c r="AR837" s="244">
        <f>IF(AR$7&lt;&gt;"",IF(ROUND(AR835,0)&lt;0,1,0),"")</f>
        <v/>
      </c>
      <c r="AS837" s="244">
        <f>IF(AS$7&lt;&gt;"",IF(ROUND(AS835,0)&lt;0,1,0),"")</f>
        <v/>
      </c>
      <c r="AT837" s="244">
        <f>IF(AT$7&lt;&gt;"",IF(ROUND(AT835,0)&lt;0,1,0),"")</f>
        <v/>
      </c>
      <c r="AU837" s="244">
        <f>IF(AU$7&lt;&gt;"",IF(ROUND(AU835,0)&lt;0,1,0),"")</f>
        <v/>
      </c>
      <c r="AV837" s="244">
        <f>IF(AV$7&lt;&gt;"",IF(ROUND(AV835,0)&lt;0,1,0),"")</f>
        <v/>
      </c>
      <c r="AW837" s="244">
        <f>IF(AW$7&lt;&gt;"",IF(ROUND(AW835,0)&lt;0,1,0),"")</f>
        <v/>
      </c>
      <c r="AX837" s="244">
        <f>IF(AX$7&lt;&gt;"",IF(ROUND(AX835,0)&lt;0,1,0),"")</f>
        <v/>
      </c>
      <c r="AY837" s="244">
        <f>IF(AY$7&lt;&gt;"",IF(ROUND(AY835,0)&lt;0,1,0),"")</f>
        <v/>
      </c>
      <c r="AZ837" s="244">
        <f>IF(AZ$7&lt;&gt;"",IF(ROUND(AZ835,0)&lt;0,1,0),"")</f>
        <v/>
      </c>
      <c r="BA837" s="244">
        <f>IF(BA$7&lt;&gt;"",IF(ROUND(BA835,0)&lt;0,1,0),"")</f>
        <v/>
      </c>
      <c r="BB837" s="244">
        <f>IF(BB$7&lt;&gt;"",IF(ROUND(BB835,0)&lt;0,1,0),"")</f>
        <v/>
      </c>
      <c r="BC837" s="244">
        <f>IF(BC$7&lt;&gt;"",IF(ROUND(BC835,0)&lt;0,1,0),"")</f>
        <v/>
      </c>
      <c r="BD837" s="244">
        <f>IF(BD$7&lt;&gt;"",IF(ROUND(BD835,0)&lt;0,1,0),"")</f>
        <v/>
      </c>
      <c r="BE837" s="244">
        <f>IF(BE$7&lt;&gt;"",IF(ROUND(BE835,0)&lt;0,1,0),"")</f>
        <v/>
      </c>
      <c r="BF837" s="244">
        <f>IF(BF$7&lt;&gt;"",IF(ROUND(BF835,0)&lt;0,1,0),"")</f>
        <v/>
      </c>
      <c r="BG837" s="244">
        <f>IF(BG$7&lt;&gt;"",IF(ROUND(BG835,0)&lt;0,1,0),"")</f>
        <v/>
      </c>
      <c r="BH837" s="244">
        <f>IF(BH$7&lt;&gt;"",IF(ROUND(BH835,0)&lt;0,1,0),"")</f>
        <v/>
      </c>
      <c r="BI837" s="244">
        <f>IF(BI$7&lt;&gt;"",IF(ROUND(BI835,0)&lt;0,1,0),"")</f>
        <v/>
      </c>
      <c r="BJ837" s="244">
        <f>IF(BJ$7&lt;&gt;"",IF(ROUND(BJ835,0)&lt;0,1,0),"")</f>
        <v/>
      </c>
      <c r="BK837" s="244">
        <f>IF(BK$7&lt;&gt;"",IF(ROUND(BK835,0)&lt;0,1,0),"")</f>
        <v/>
      </c>
      <c r="BL837" s="244">
        <f>IF(BL$7&lt;&gt;"",IF(ROUND(BL835,0)&lt;0,1,0),"")</f>
        <v/>
      </c>
      <c r="BM837" s="244">
        <f>IF(BM$7&lt;&gt;"",IF(ROUND(BM835,0)&lt;0,1,0),"")</f>
        <v/>
      </c>
      <c r="BN837" s="244">
        <f>IF(BN$7&lt;&gt;"",IF(ROUND(BN835,0)&lt;0,1,0),"")</f>
        <v/>
      </c>
      <c r="BO837" s="244">
        <f>IF(BO$7&lt;&gt;"",IF(ROUND(BO835,0)&lt;0,1,0),"")</f>
        <v/>
      </c>
      <c r="BP837" s="244">
        <f>IF(BP$7&lt;&gt;"",IF(ROUND(BP835,0)&lt;0,1,0),"")</f>
        <v/>
      </c>
      <c r="BQ837" s="244">
        <f>IF(BQ$7&lt;&gt;"",IF(ROUND(BQ835,0)&lt;0,1,0),"")</f>
        <v/>
      </c>
      <c r="BR837" s="244">
        <f>IF(BR$7&lt;&gt;"",IF(ROUND(BR835,0)&lt;0,1,0),"")</f>
        <v/>
      </c>
      <c r="BS837" s="244">
        <f>IF(BS$7&lt;&gt;"",IF(ROUND(BS835,0)&lt;0,1,0),"")</f>
        <v/>
      </c>
      <c r="BT837" s="244">
        <f>IF(BT$7&lt;&gt;"",IF(ROUND(BT835,0)&lt;0,1,0),"")</f>
        <v/>
      </c>
      <c r="BU837" s="244">
        <f>IF(BU$7&lt;&gt;"",IF(ROUND(BU835,0)&lt;0,1,0),"")</f>
        <v/>
      </c>
      <c r="BV837" s="244">
        <f>IF(BV$7&lt;&gt;"",IF(ROUND(BV835,0)&lt;0,1,0),"")</f>
        <v/>
      </c>
      <c r="BW837" s="244">
        <f>IF(BW$7&lt;&gt;"",IF(ROUND(BW835,0)&lt;0,1,0),"")</f>
        <v/>
      </c>
      <c r="BX837" s="244">
        <f>IF(BX$7&lt;&gt;"",IF(ROUND(BX835,0)&lt;0,1,0),"")</f>
        <v/>
      </c>
      <c r="BY837" s="244">
        <f>IF(BY$7&lt;&gt;"",IF(ROUND(BY835,0)&lt;0,1,0),"")</f>
        <v/>
      </c>
      <c r="BZ837" s="244">
        <f>IF(BZ$7&lt;&gt;"",IF(ROUND(BZ835,0)&lt;0,1,0),"")</f>
        <v/>
      </c>
      <c r="CA837" s="244">
        <f>IF(CA$7&lt;&gt;"",IF(ROUND(CA835,0)&lt;0,1,0),"")</f>
        <v/>
      </c>
    </row>
    <row r="838" ht="12" customHeight="1" s="227">
      <c r="A838" s="244" t="n"/>
      <c r="B838" s="244" t="n"/>
      <c r="C838" s="244" t="n"/>
      <c r="K838" s="6" t="n"/>
    </row>
    <row r="839" ht="12" customHeight="1" s="227">
      <c r="A839" s="244" t="n"/>
      <c r="B839" s="244" t="n"/>
      <c r="C839" s="244" t="n"/>
      <c r="K839" s="6" t="n"/>
    </row>
    <row r="840" ht="12" customHeight="1" s="227">
      <c r="A840" s="244" t="n"/>
      <c r="B840" s="244" t="n"/>
      <c r="C840" s="244" t="n"/>
      <c r="K840" s="6" t="n"/>
    </row>
    <row r="841" ht="13.5" customFormat="1" customHeight="1" s="223" thickBot="1">
      <c r="E841" s="223">
        <f>Heading2</f>
        <v/>
      </c>
      <c r="F841" s="223" t="inlineStr">
        <is>
          <t>Sales Tax</t>
        </is>
      </c>
      <c r="K841" s="135" t="n"/>
    </row>
    <row r="842" ht="12" customHeight="1" s="227">
      <c r="A842" s="244" t="n"/>
      <c r="B842" s="244" t="n"/>
      <c r="C842" s="244" t="n"/>
      <c r="K842" s="6" t="n"/>
    </row>
    <row r="843" ht="12" customHeight="1" s="227">
      <c r="A843" s="244" t="n"/>
      <c r="B843" s="244" t="n"/>
      <c r="C843" s="244" t="n"/>
      <c r="G843" s="222" t="inlineStr">
        <is>
          <t>Sales Tax on Revenues &amp; Costs</t>
        </is>
      </c>
      <c r="K843" s="6" t="n"/>
    </row>
    <row r="844" ht="12" customHeight="1" s="227">
      <c r="A844" s="244" t="n"/>
      <c r="B844" s="244" t="n"/>
      <c r="C844" s="244" t="n"/>
      <c r="K844" s="6" t="n"/>
    </row>
    <row r="845" ht="12" customHeight="1" s="227">
      <c r="A845" s="244" t="n"/>
      <c r="B845" s="244">
        <f>IF(K845&lt;&gt;"Yes",IF(SUM(M845:O845)&lt;&gt;0,1,0),0)</f>
        <v/>
      </c>
      <c r="C845" s="244" t="n"/>
      <c r="H845" s="4">
        <f>i_Setup!U32</f>
        <v/>
      </c>
      <c r="I845" s="27">
        <f>i_Setup!$M$16</f>
        <v/>
      </c>
      <c r="K845" s="259">
        <f>i_Setup!P32</f>
        <v/>
      </c>
      <c r="M845" s="245">
        <f>SUMIF($T$4:$CA$4,M$4,$T845:$CA845)</f>
        <v/>
      </c>
      <c r="N845" s="245">
        <f>SUMIF($T$4:$CA$4,N$4,$T845:$CA845)</f>
        <v/>
      </c>
      <c r="O845" s="245">
        <f>SUMIF($T$4:$CA$4,O$4,$T845:$CA845)</f>
        <v/>
      </c>
      <c r="P845" s="245">
        <f>SUMIF($T$4:$CA$4,P$4,$T845:$CA845)</f>
        <v/>
      </c>
      <c r="Q845" s="245">
        <f>SUMIF($T$4:$CA$4,Q$4,$T845:$CA845)</f>
        <v/>
      </c>
      <c r="T845" s="245">
        <f>IF(T$7="Actual","",IFERROR(-T61+T44,0))</f>
        <v/>
      </c>
      <c r="U845" s="245">
        <f>IF(U$7="Actual","",IFERROR(-U61+U44,0))</f>
        <v/>
      </c>
      <c r="V845" s="245">
        <f>IF(V$7="Actual","",IFERROR(-V61+V44,0))</f>
        <v/>
      </c>
      <c r="W845" s="245">
        <f>IF(W$7="Actual","",IFERROR(-W61+W44,0))</f>
        <v/>
      </c>
      <c r="X845" s="245">
        <f>IF(X$7="Actual","",IFERROR(-X61+X44,0))</f>
        <v/>
      </c>
      <c r="Y845" s="245">
        <f>IF(Y$7="Actual","",IFERROR(-Y61+Y44,0))</f>
        <v/>
      </c>
      <c r="Z845" s="245">
        <f>IF(Z$7="Actual","",IFERROR(-Z61+Z44,0))</f>
        <v/>
      </c>
      <c r="AA845" s="245">
        <f>IF(AA$7="Actual","",IFERROR(-AA61+AA44,0))</f>
        <v/>
      </c>
      <c r="AB845" s="245">
        <f>IF(AB$7="Actual","",IFERROR(-AB61+AB44,0))</f>
        <v/>
      </c>
      <c r="AC845" s="245">
        <f>IF(AC$7="Actual","",IFERROR(-AC61+AC44,0))</f>
        <v/>
      </c>
      <c r="AD845" s="245">
        <f>IF(AD$7="Actual","",IFERROR(-AD61+AD44,0))</f>
        <v/>
      </c>
      <c r="AE845" s="245">
        <f>IF(AE$7="Actual","",IFERROR(-AE61+AE44,0))</f>
        <v/>
      </c>
      <c r="AF845" s="245">
        <f>IF(AF$7="Actual","",IFERROR(-AF61+AF44,0))</f>
        <v/>
      </c>
      <c r="AG845" s="245">
        <f>IF(AG$7="Actual","",IFERROR(-AG61+AG44,0))</f>
        <v/>
      </c>
      <c r="AH845" s="245">
        <f>IF(AH$7="Actual","",IFERROR(-AH61+AH44,0))</f>
        <v/>
      </c>
      <c r="AI845" s="245">
        <f>IF(AI$7="Actual","",IFERROR(-AI61+AI44,0))</f>
        <v/>
      </c>
      <c r="AJ845" s="245">
        <f>IF(AJ$7="Actual","",IFERROR(-AJ61+AJ44,0))</f>
        <v/>
      </c>
      <c r="AK845" s="245">
        <f>IF(AK$7="Actual","",IFERROR(-AK61+AK44,0))</f>
        <v/>
      </c>
      <c r="AL845" s="245">
        <f>IF(AL$7="Actual","",IFERROR(-AL61+AL44,0))</f>
        <v/>
      </c>
      <c r="AM845" s="245">
        <f>IF(AM$7="Actual","",IFERROR(-AM61+AM44,0))</f>
        <v/>
      </c>
      <c r="AN845" s="245">
        <f>IF(AN$7="Actual","",IFERROR(-AN61+AN44,0))</f>
        <v/>
      </c>
      <c r="AO845" s="245">
        <f>IF(AO$7="Actual","",IFERROR(-AO61+AO44,0))</f>
        <v/>
      </c>
      <c r="AP845" s="245">
        <f>IF(AP$7="Actual","",IFERROR(-AP61+AP44,0))</f>
        <v/>
      </c>
      <c r="AQ845" s="245">
        <f>IF(AQ$7="Actual","",IFERROR(-AQ61+AQ44,0))</f>
        <v/>
      </c>
      <c r="AR845" s="245">
        <f>IF(AR$7="Actual","",IFERROR(-AR61+AR44,0))</f>
        <v/>
      </c>
      <c r="AS845" s="245">
        <f>IF(AS$7="Actual","",IFERROR(-AS61+AS44,0))</f>
        <v/>
      </c>
      <c r="AT845" s="245">
        <f>IF(AT$7="Actual","",IFERROR(-AT61+AT44,0))</f>
        <v/>
      </c>
      <c r="AU845" s="245">
        <f>IF(AU$7="Actual","",IFERROR(-AU61+AU44,0))</f>
        <v/>
      </c>
      <c r="AV845" s="245">
        <f>IF(AV$7="Actual","",IFERROR(-AV61+AV44,0))</f>
        <v/>
      </c>
      <c r="AW845" s="245">
        <f>IF(AW$7="Actual","",IFERROR(-AW61+AW44,0))</f>
        <v/>
      </c>
      <c r="AX845" s="245">
        <f>IF(AX$7="Actual","",IFERROR(-AX61+AX44,0))</f>
        <v/>
      </c>
      <c r="AY845" s="245">
        <f>IF(AY$7="Actual","",IFERROR(-AY61+AY44,0))</f>
        <v/>
      </c>
      <c r="AZ845" s="245">
        <f>IF(AZ$7="Actual","",IFERROR(-AZ61+AZ44,0))</f>
        <v/>
      </c>
      <c r="BA845" s="245">
        <f>IF(BA$7="Actual","",IFERROR(-BA61+BA44,0))</f>
        <v/>
      </c>
      <c r="BB845" s="245">
        <f>IF(BB$7="Actual","",IFERROR(-BB61+BB44,0))</f>
        <v/>
      </c>
      <c r="BC845" s="245">
        <f>IF(BC$7="Actual","",IFERROR(-BC61+BC44,0))</f>
        <v/>
      </c>
      <c r="BD845" s="245">
        <f>IF(BD$7="Actual","",IFERROR(-BD61+BD44,0))</f>
        <v/>
      </c>
      <c r="BE845" s="245">
        <f>IF(BE$7="Actual","",IFERROR(-BE61+BE44,0))</f>
        <v/>
      </c>
      <c r="BF845" s="245">
        <f>IF(BF$7="Actual","",IFERROR(-BF61+BF44,0))</f>
        <v/>
      </c>
      <c r="BG845" s="245">
        <f>IF(BG$7="Actual","",IFERROR(-BG61+BG44,0))</f>
        <v/>
      </c>
      <c r="BH845" s="245">
        <f>IF(BH$7="Actual","",IFERROR(-BH61+BH44,0))</f>
        <v/>
      </c>
      <c r="BI845" s="245">
        <f>IF(BI$7="Actual","",IFERROR(-BI61+BI44,0))</f>
        <v/>
      </c>
      <c r="BJ845" s="245">
        <f>IF(BJ$7="Actual","",IFERROR(-BJ61+BJ44,0))</f>
        <v/>
      </c>
      <c r="BK845" s="245">
        <f>IF(BK$7="Actual","",IFERROR(-BK61+BK44,0))</f>
        <v/>
      </c>
      <c r="BL845" s="245">
        <f>IF(BL$7="Actual","",IFERROR(-BL61+BL44,0))</f>
        <v/>
      </c>
      <c r="BM845" s="245">
        <f>IF(BM$7="Actual","",IFERROR(-BM61+BM44,0))</f>
        <v/>
      </c>
      <c r="BN845" s="245">
        <f>IF(BN$7="Actual","",IFERROR(-BN61+BN44,0))</f>
        <v/>
      </c>
      <c r="BO845" s="245">
        <f>IF(BO$7="Actual","",IFERROR(-BO61+BO44,0))</f>
        <v/>
      </c>
      <c r="BP845" s="245">
        <f>IF(BP$7="Actual","",IFERROR(-BP61+BP44,0))</f>
        <v/>
      </c>
      <c r="BQ845" s="245">
        <f>IF(BQ$7="Actual","",IFERROR(-BQ61+BQ44,0))</f>
        <v/>
      </c>
      <c r="BR845" s="245">
        <f>IF(BR$7="Actual","",IFERROR(-BR61+BR44,0))</f>
        <v/>
      </c>
      <c r="BS845" s="245">
        <f>IF(BS$7="Actual","",IFERROR(-BS61+BS44,0))</f>
        <v/>
      </c>
      <c r="BT845" s="245">
        <f>IF(BT$7="Actual","",IFERROR(-BT61+BT44,0))</f>
        <v/>
      </c>
      <c r="BU845" s="245">
        <f>IF(BU$7="Actual","",IFERROR(-BU61+BU44,0))</f>
        <v/>
      </c>
      <c r="BV845" s="245">
        <f>IF(BV$7="Actual","",IFERROR(-BV61+BV44,0))</f>
        <v/>
      </c>
      <c r="BW845" s="245">
        <f>IF(BW$7="Actual","",IFERROR(-BW61+BW44,0))</f>
        <v/>
      </c>
      <c r="BX845" s="245">
        <f>IF(BX$7="Actual","",IFERROR(-BX61+BX44,0))</f>
        <v/>
      </c>
      <c r="BY845" s="245">
        <f>IF(BY$7="Actual","",IFERROR(-BY61+BY44,0))</f>
        <v/>
      </c>
      <c r="BZ845" s="245">
        <f>IF(BZ$7="Actual","",IFERROR(-BZ61+BZ44,0))</f>
        <v/>
      </c>
      <c r="CA845" s="245">
        <f>IF(CA$7="Actual","",IFERROR(-CA61+CA44,0))</f>
        <v/>
      </c>
    </row>
    <row r="846" ht="12" customHeight="1" s="227">
      <c r="A846" s="244" t="n"/>
      <c r="B846" s="244">
        <f>IF(K846&lt;&gt;"Yes",IF(SUM(M846:O846)&lt;&gt;0,1,0),0)</f>
        <v/>
      </c>
      <c r="C846" s="244" t="n"/>
      <c r="H846" s="4">
        <f>i_Setup!U33</f>
        <v/>
      </c>
      <c r="I846" s="27">
        <f>i_Setup!$M$16</f>
        <v/>
      </c>
      <c r="K846" s="259">
        <f>i_Setup!P33</f>
        <v/>
      </c>
      <c r="M846" s="245">
        <f>SUMIF($T$4:$CA$4,M$4,$T846:$CA846)</f>
        <v/>
      </c>
      <c r="N846" s="245">
        <f>SUMIF($T$4:$CA$4,N$4,$T846:$CA846)</f>
        <v/>
      </c>
      <c r="O846" s="245">
        <f>SUMIF($T$4:$CA$4,O$4,$T846:$CA846)</f>
        <v/>
      </c>
      <c r="P846" s="245">
        <f>SUMIF($T$4:$CA$4,P$4,$T846:$CA846)</f>
        <v/>
      </c>
      <c r="Q846" s="245">
        <f>SUMIF($T$4:$CA$4,Q$4,$T846:$CA846)</f>
        <v/>
      </c>
      <c r="T846" s="245">
        <f>IF(T$7="Actual","",IFERROR(-T62+T45,0))</f>
        <v/>
      </c>
      <c r="U846" s="245">
        <f>IF(U$7="Actual","",IFERROR(-U62+U45,0))</f>
        <v/>
      </c>
      <c r="V846" s="245">
        <f>IF(V$7="Actual","",IFERROR(-V62+V45,0))</f>
        <v/>
      </c>
      <c r="W846" s="245">
        <f>IF(W$7="Actual","",IFERROR(-W62+W45,0))</f>
        <v/>
      </c>
      <c r="X846" s="245">
        <f>IF(X$7="Actual","",IFERROR(-X62+X45,0))</f>
        <v/>
      </c>
      <c r="Y846" s="245">
        <f>IF(Y$7="Actual","",IFERROR(-Y62+Y45,0))</f>
        <v/>
      </c>
      <c r="Z846" s="245">
        <f>IF(Z$7="Actual","",IFERROR(-Z62+Z45,0))</f>
        <v/>
      </c>
      <c r="AA846" s="245">
        <f>IF(AA$7="Actual","",IFERROR(-AA62+AA45,0))</f>
        <v/>
      </c>
      <c r="AB846" s="245">
        <f>IF(AB$7="Actual","",IFERROR(-AB62+AB45,0))</f>
        <v/>
      </c>
      <c r="AC846" s="245">
        <f>IF(AC$7="Actual","",IFERROR(-AC62+AC45,0))</f>
        <v/>
      </c>
      <c r="AD846" s="245">
        <f>IF(AD$7="Actual","",IFERROR(-AD62+AD45,0))</f>
        <v/>
      </c>
      <c r="AE846" s="245">
        <f>IF(AE$7="Actual","",IFERROR(-AE62+AE45,0))</f>
        <v/>
      </c>
      <c r="AF846" s="245">
        <f>IF(AF$7="Actual","",IFERROR(-AF62+AF45,0))</f>
        <v/>
      </c>
      <c r="AG846" s="245">
        <f>IF(AG$7="Actual","",IFERROR(-AG62+AG45,0))</f>
        <v/>
      </c>
      <c r="AH846" s="245">
        <f>IF(AH$7="Actual","",IFERROR(-AH62+AH45,0))</f>
        <v/>
      </c>
      <c r="AI846" s="245">
        <f>IF(AI$7="Actual","",IFERROR(-AI62+AI45,0))</f>
        <v/>
      </c>
      <c r="AJ846" s="245">
        <f>IF(AJ$7="Actual","",IFERROR(-AJ62+AJ45,0))</f>
        <v/>
      </c>
      <c r="AK846" s="245">
        <f>IF(AK$7="Actual","",IFERROR(-AK62+AK45,0))</f>
        <v/>
      </c>
      <c r="AL846" s="245">
        <f>IF(AL$7="Actual","",IFERROR(-AL62+AL45,0))</f>
        <v/>
      </c>
      <c r="AM846" s="245">
        <f>IF(AM$7="Actual","",IFERROR(-AM62+AM45,0))</f>
        <v/>
      </c>
      <c r="AN846" s="245">
        <f>IF(AN$7="Actual","",IFERROR(-AN62+AN45,0))</f>
        <v/>
      </c>
      <c r="AO846" s="245">
        <f>IF(AO$7="Actual","",IFERROR(-AO62+AO45,0))</f>
        <v/>
      </c>
      <c r="AP846" s="245">
        <f>IF(AP$7="Actual","",IFERROR(-AP62+AP45,0))</f>
        <v/>
      </c>
      <c r="AQ846" s="245">
        <f>IF(AQ$7="Actual","",IFERROR(-AQ62+AQ45,0))</f>
        <v/>
      </c>
      <c r="AR846" s="245">
        <f>IF(AR$7="Actual","",IFERROR(-AR62+AR45,0))</f>
        <v/>
      </c>
      <c r="AS846" s="245">
        <f>IF(AS$7="Actual","",IFERROR(-AS62+AS45,0))</f>
        <v/>
      </c>
      <c r="AT846" s="245">
        <f>IF(AT$7="Actual","",IFERROR(-AT62+AT45,0))</f>
        <v/>
      </c>
      <c r="AU846" s="245">
        <f>IF(AU$7="Actual","",IFERROR(-AU62+AU45,0))</f>
        <v/>
      </c>
      <c r="AV846" s="245">
        <f>IF(AV$7="Actual","",IFERROR(-AV62+AV45,0))</f>
        <v/>
      </c>
      <c r="AW846" s="245">
        <f>IF(AW$7="Actual","",IFERROR(-AW62+AW45,0))</f>
        <v/>
      </c>
      <c r="AX846" s="245">
        <f>IF(AX$7="Actual","",IFERROR(-AX62+AX45,0))</f>
        <v/>
      </c>
      <c r="AY846" s="245">
        <f>IF(AY$7="Actual","",IFERROR(-AY62+AY45,0))</f>
        <v/>
      </c>
      <c r="AZ846" s="245">
        <f>IF(AZ$7="Actual","",IFERROR(-AZ62+AZ45,0))</f>
        <v/>
      </c>
      <c r="BA846" s="245">
        <f>IF(BA$7="Actual","",IFERROR(-BA62+BA45,0))</f>
        <v/>
      </c>
      <c r="BB846" s="245">
        <f>IF(BB$7="Actual","",IFERROR(-BB62+BB45,0))</f>
        <v/>
      </c>
      <c r="BC846" s="245">
        <f>IF(BC$7="Actual","",IFERROR(-BC62+BC45,0))</f>
        <v/>
      </c>
      <c r="BD846" s="245">
        <f>IF(BD$7="Actual","",IFERROR(-BD62+BD45,0))</f>
        <v/>
      </c>
      <c r="BE846" s="245">
        <f>IF(BE$7="Actual","",IFERROR(-BE62+BE45,0))</f>
        <v/>
      </c>
      <c r="BF846" s="245">
        <f>IF(BF$7="Actual","",IFERROR(-BF62+BF45,0))</f>
        <v/>
      </c>
      <c r="BG846" s="245">
        <f>IF(BG$7="Actual","",IFERROR(-BG62+BG45,0))</f>
        <v/>
      </c>
      <c r="BH846" s="245">
        <f>IF(BH$7="Actual","",IFERROR(-BH62+BH45,0))</f>
        <v/>
      </c>
      <c r="BI846" s="245">
        <f>IF(BI$7="Actual","",IFERROR(-BI62+BI45,0))</f>
        <v/>
      </c>
      <c r="BJ846" s="245">
        <f>IF(BJ$7="Actual","",IFERROR(-BJ62+BJ45,0))</f>
        <v/>
      </c>
      <c r="BK846" s="245">
        <f>IF(BK$7="Actual","",IFERROR(-BK62+BK45,0))</f>
        <v/>
      </c>
      <c r="BL846" s="245">
        <f>IF(BL$7="Actual","",IFERROR(-BL62+BL45,0))</f>
        <v/>
      </c>
      <c r="BM846" s="245">
        <f>IF(BM$7="Actual","",IFERROR(-BM62+BM45,0))</f>
        <v/>
      </c>
      <c r="BN846" s="245">
        <f>IF(BN$7="Actual","",IFERROR(-BN62+BN45,0))</f>
        <v/>
      </c>
      <c r="BO846" s="245">
        <f>IF(BO$7="Actual","",IFERROR(-BO62+BO45,0))</f>
        <v/>
      </c>
      <c r="BP846" s="245">
        <f>IF(BP$7="Actual","",IFERROR(-BP62+BP45,0))</f>
        <v/>
      </c>
      <c r="BQ846" s="245">
        <f>IF(BQ$7="Actual","",IFERROR(-BQ62+BQ45,0))</f>
        <v/>
      </c>
      <c r="BR846" s="245">
        <f>IF(BR$7="Actual","",IFERROR(-BR62+BR45,0))</f>
        <v/>
      </c>
      <c r="BS846" s="245">
        <f>IF(BS$7="Actual","",IFERROR(-BS62+BS45,0))</f>
        <v/>
      </c>
      <c r="BT846" s="245">
        <f>IF(BT$7="Actual","",IFERROR(-BT62+BT45,0))</f>
        <v/>
      </c>
      <c r="BU846" s="245">
        <f>IF(BU$7="Actual","",IFERROR(-BU62+BU45,0))</f>
        <v/>
      </c>
      <c r="BV846" s="245">
        <f>IF(BV$7="Actual","",IFERROR(-BV62+BV45,0))</f>
        <v/>
      </c>
      <c r="BW846" s="245">
        <f>IF(BW$7="Actual","",IFERROR(-BW62+BW45,0))</f>
        <v/>
      </c>
      <c r="BX846" s="245">
        <f>IF(BX$7="Actual","",IFERROR(-BX62+BX45,0))</f>
        <v/>
      </c>
      <c r="BY846" s="245">
        <f>IF(BY$7="Actual","",IFERROR(-BY62+BY45,0))</f>
        <v/>
      </c>
      <c r="BZ846" s="245">
        <f>IF(BZ$7="Actual","",IFERROR(-BZ62+BZ45,0))</f>
        <v/>
      </c>
      <c r="CA846" s="245">
        <f>IF(CA$7="Actual","",IFERROR(-CA62+CA45,0))</f>
        <v/>
      </c>
    </row>
    <row r="847" ht="12" customHeight="1" s="227">
      <c r="A847" s="244" t="n"/>
      <c r="B847" s="244">
        <f>IF(K847&lt;&gt;"Yes",IF(SUM(M847:O847)&lt;&gt;0,1,0),0)</f>
        <v/>
      </c>
      <c r="C847" s="244" t="n"/>
      <c r="H847" s="4">
        <f>i_Setup!U34</f>
        <v/>
      </c>
      <c r="I847" s="27">
        <f>i_Setup!$M$16</f>
        <v/>
      </c>
      <c r="K847" s="259">
        <f>i_Setup!P34</f>
        <v/>
      </c>
      <c r="M847" s="245">
        <f>SUMIF($T$4:$CA$4,M$4,$T847:$CA847)</f>
        <v/>
      </c>
      <c r="N847" s="245">
        <f>SUMIF($T$4:$CA$4,N$4,$T847:$CA847)</f>
        <v/>
      </c>
      <c r="O847" s="245">
        <f>SUMIF($T$4:$CA$4,O$4,$T847:$CA847)</f>
        <v/>
      </c>
      <c r="P847" s="245">
        <f>SUMIF($T$4:$CA$4,P$4,$T847:$CA847)</f>
        <v/>
      </c>
      <c r="Q847" s="245">
        <f>SUMIF($T$4:$CA$4,Q$4,$T847:$CA847)</f>
        <v/>
      </c>
      <c r="T847" s="245">
        <f>IF(T$7="Actual","",IFERROR(-T63+T46,0))</f>
        <v/>
      </c>
      <c r="U847" s="245">
        <f>IF(U$7="Actual","",IFERROR(-U63+U46,0))</f>
        <v/>
      </c>
      <c r="V847" s="245">
        <f>IF(V$7="Actual","",IFERROR(-V63+V46,0))</f>
        <v/>
      </c>
      <c r="W847" s="245">
        <f>IF(W$7="Actual","",IFERROR(-W63+W46,0))</f>
        <v/>
      </c>
      <c r="X847" s="245">
        <f>IF(X$7="Actual","",IFERROR(-X63+X46,0))</f>
        <v/>
      </c>
      <c r="Y847" s="245">
        <f>IF(Y$7="Actual","",IFERROR(-Y63+Y46,0))</f>
        <v/>
      </c>
      <c r="Z847" s="245">
        <f>IF(Z$7="Actual","",IFERROR(-Z63+Z46,0))</f>
        <v/>
      </c>
      <c r="AA847" s="245">
        <f>IF(AA$7="Actual","",IFERROR(-AA63+AA46,0))</f>
        <v/>
      </c>
      <c r="AB847" s="245">
        <f>IF(AB$7="Actual","",IFERROR(-AB63+AB46,0))</f>
        <v/>
      </c>
      <c r="AC847" s="245">
        <f>IF(AC$7="Actual","",IFERROR(-AC63+AC46,0))</f>
        <v/>
      </c>
      <c r="AD847" s="245">
        <f>IF(AD$7="Actual","",IFERROR(-AD63+AD46,0))</f>
        <v/>
      </c>
      <c r="AE847" s="245">
        <f>IF(AE$7="Actual","",IFERROR(-AE63+AE46,0))</f>
        <v/>
      </c>
      <c r="AF847" s="245">
        <f>IF(AF$7="Actual","",IFERROR(-AF63+AF46,0))</f>
        <v/>
      </c>
      <c r="AG847" s="245">
        <f>IF(AG$7="Actual","",IFERROR(-AG63+AG46,0))</f>
        <v/>
      </c>
      <c r="AH847" s="245">
        <f>IF(AH$7="Actual","",IFERROR(-AH63+AH46,0))</f>
        <v/>
      </c>
      <c r="AI847" s="245">
        <f>IF(AI$7="Actual","",IFERROR(-AI63+AI46,0))</f>
        <v/>
      </c>
      <c r="AJ847" s="245">
        <f>IF(AJ$7="Actual","",IFERROR(-AJ63+AJ46,0))</f>
        <v/>
      </c>
      <c r="AK847" s="245">
        <f>IF(AK$7="Actual","",IFERROR(-AK63+AK46,0))</f>
        <v/>
      </c>
      <c r="AL847" s="245">
        <f>IF(AL$7="Actual","",IFERROR(-AL63+AL46,0))</f>
        <v/>
      </c>
      <c r="AM847" s="245">
        <f>IF(AM$7="Actual","",IFERROR(-AM63+AM46,0))</f>
        <v/>
      </c>
      <c r="AN847" s="245">
        <f>IF(AN$7="Actual","",IFERROR(-AN63+AN46,0))</f>
        <v/>
      </c>
      <c r="AO847" s="245">
        <f>IF(AO$7="Actual","",IFERROR(-AO63+AO46,0))</f>
        <v/>
      </c>
      <c r="AP847" s="245">
        <f>IF(AP$7="Actual","",IFERROR(-AP63+AP46,0))</f>
        <v/>
      </c>
      <c r="AQ847" s="245">
        <f>IF(AQ$7="Actual","",IFERROR(-AQ63+AQ46,0))</f>
        <v/>
      </c>
      <c r="AR847" s="245">
        <f>IF(AR$7="Actual","",IFERROR(-AR63+AR46,0))</f>
        <v/>
      </c>
      <c r="AS847" s="245">
        <f>IF(AS$7="Actual","",IFERROR(-AS63+AS46,0))</f>
        <v/>
      </c>
      <c r="AT847" s="245">
        <f>IF(AT$7="Actual","",IFERROR(-AT63+AT46,0))</f>
        <v/>
      </c>
      <c r="AU847" s="245">
        <f>IF(AU$7="Actual","",IFERROR(-AU63+AU46,0))</f>
        <v/>
      </c>
      <c r="AV847" s="245">
        <f>IF(AV$7="Actual","",IFERROR(-AV63+AV46,0))</f>
        <v/>
      </c>
      <c r="AW847" s="245">
        <f>IF(AW$7="Actual","",IFERROR(-AW63+AW46,0))</f>
        <v/>
      </c>
      <c r="AX847" s="245">
        <f>IF(AX$7="Actual","",IFERROR(-AX63+AX46,0))</f>
        <v/>
      </c>
      <c r="AY847" s="245">
        <f>IF(AY$7="Actual","",IFERROR(-AY63+AY46,0))</f>
        <v/>
      </c>
      <c r="AZ847" s="245">
        <f>IF(AZ$7="Actual","",IFERROR(-AZ63+AZ46,0))</f>
        <v/>
      </c>
      <c r="BA847" s="245">
        <f>IF(BA$7="Actual","",IFERROR(-BA63+BA46,0))</f>
        <v/>
      </c>
      <c r="BB847" s="245">
        <f>IF(BB$7="Actual","",IFERROR(-BB63+BB46,0))</f>
        <v/>
      </c>
      <c r="BC847" s="245">
        <f>IF(BC$7="Actual","",IFERROR(-BC63+BC46,0))</f>
        <v/>
      </c>
      <c r="BD847" s="245">
        <f>IF(BD$7="Actual","",IFERROR(-BD63+BD46,0))</f>
        <v/>
      </c>
      <c r="BE847" s="245">
        <f>IF(BE$7="Actual","",IFERROR(-BE63+BE46,0))</f>
        <v/>
      </c>
      <c r="BF847" s="245">
        <f>IF(BF$7="Actual","",IFERROR(-BF63+BF46,0))</f>
        <v/>
      </c>
      <c r="BG847" s="245">
        <f>IF(BG$7="Actual","",IFERROR(-BG63+BG46,0))</f>
        <v/>
      </c>
      <c r="BH847" s="245">
        <f>IF(BH$7="Actual","",IFERROR(-BH63+BH46,0))</f>
        <v/>
      </c>
      <c r="BI847" s="245">
        <f>IF(BI$7="Actual","",IFERROR(-BI63+BI46,0))</f>
        <v/>
      </c>
      <c r="BJ847" s="245">
        <f>IF(BJ$7="Actual","",IFERROR(-BJ63+BJ46,0))</f>
        <v/>
      </c>
      <c r="BK847" s="245">
        <f>IF(BK$7="Actual","",IFERROR(-BK63+BK46,0))</f>
        <v/>
      </c>
      <c r="BL847" s="245">
        <f>IF(BL$7="Actual","",IFERROR(-BL63+BL46,0))</f>
        <v/>
      </c>
      <c r="BM847" s="245">
        <f>IF(BM$7="Actual","",IFERROR(-BM63+BM46,0))</f>
        <v/>
      </c>
      <c r="BN847" s="245">
        <f>IF(BN$7="Actual","",IFERROR(-BN63+BN46,0))</f>
        <v/>
      </c>
      <c r="BO847" s="245">
        <f>IF(BO$7="Actual","",IFERROR(-BO63+BO46,0))</f>
        <v/>
      </c>
      <c r="BP847" s="245">
        <f>IF(BP$7="Actual","",IFERROR(-BP63+BP46,0))</f>
        <v/>
      </c>
      <c r="BQ847" s="245">
        <f>IF(BQ$7="Actual","",IFERROR(-BQ63+BQ46,0))</f>
        <v/>
      </c>
      <c r="BR847" s="245">
        <f>IF(BR$7="Actual","",IFERROR(-BR63+BR46,0))</f>
        <v/>
      </c>
      <c r="BS847" s="245">
        <f>IF(BS$7="Actual","",IFERROR(-BS63+BS46,0))</f>
        <v/>
      </c>
      <c r="BT847" s="245">
        <f>IF(BT$7="Actual","",IFERROR(-BT63+BT46,0))</f>
        <v/>
      </c>
      <c r="BU847" s="245">
        <f>IF(BU$7="Actual","",IFERROR(-BU63+BU46,0))</f>
        <v/>
      </c>
      <c r="BV847" s="245">
        <f>IF(BV$7="Actual","",IFERROR(-BV63+BV46,0))</f>
        <v/>
      </c>
      <c r="BW847" s="245">
        <f>IF(BW$7="Actual","",IFERROR(-BW63+BW46,0))</f>
        <v/>
      </c>
      <c r="BX847" s="245">
        <f>IF(BX$7="Actual","",IFERROR(-BX63+BX46,0))</f>
        <v/>
      </c>
      <c r="BY847" s="245">
        <f>IF(BY$7="Actual","",IFERROR(-BY63+BY46,0))</f>
        <v/>
      </c>
      <c r="BZ847" s="245">
        <f>IF(BZ$7="Actual","",IFERROR(-BZ63+BZ46,0))</f>
        <v/>
      </c>
      <c r="CA847" s="245">
        <f>IF(CA$7="Actual","",IFERROR(-CA63+CA46,0))</f>
        <v/>
      </c>
    </row>
    <row r="848" ht="12" customHeight="1" s="227">
      <c r="A848" s="244" t="n"/>
      <c r="B848" s="244">
        <f>IF(K848&lt;&gt;"Yes",IF(SUM(M848:O848)&lt;&gt;0,1,0),0)</f>
        <v/>
      </c>
      <c r="C848" s="244" t="n"/>
      <c r="H848" s="4">
        <f>i_Setup!U35</f>
        <v/>
      </c>
      <c r="I848" s="27">
        <f>i_Setup!$M$16</f>
        <v/>
      </c>
      <c r="K848" s="259">
        <f>i_Setup!P35</f>
        <v/>
      </c>
      <c r="M848" s="245">
        <f>SUMIF($T$4:$CA$4,M$4,$T848:$CA848)</f>
        <v/>
      </c>
      <c r="N848" s="245">
        <f>SUMIF($T$4:$CA$4,N$4,$T848:$CA848)</f>
        <v/>
      </c>
      <c r="O848" s="245">
        <f>SUMIF($T$4:$CA$4,O$4,$T848:$CA848)</f>
        <v/>
      </c>
      <c r="P848" s="245">
        <f>SUMIF($T$4:$CA$4,P$4,$T848:$CA848)</f>
        <v/>
      </c>
      <c r="Q848" s="245">
        <f>SUMIF($T$4:$CA$4,Q$4,$T848:$CA848)</f>
        <v/>
      </c>
      <c r="T848" s="245">
        <f>IF(T$7="Actual","",IFERROR(-T64+T47,0))</f>
        <v/>
      </c>
      <c r="U848" s="245">
        <f>IF(U$7="Actual","",IFERROR(-U64+U47,0))</f>
        <v/>
      </c>
      <c r="V848" s="245">
        <f>IF(V$7="Actual","",IFERROR(-V64+V47,0))</f>
        <v/>
      </c>
      <c r="W848" s="245">
        <f>IF(W$7="Actual","",IFERROR(-W64+W47,0))</f>
        <v/>
      </c>
      <c r="X848" s="245">
        <f>IF(X$7="Actual","",IFERROR(-X64+X47,0))</f>
        <v/>
      </c>
      <c r="Y848" s="245">
        <f>IF(Y$7="Actual","",IFERROR(-Y64+Y47,0))</f>
        <v/>
      </c>
      <c r="Z848" s="245">
        <f>IF(Z$7="Actual","",IFERROR(-Z64+Z47,0))</f>
        <v/>
      </c>
      <c r="AA848" s="245">
        <f>IF(AA$7="Actual","",IFERROR(-AA64+AA47,0))</f>
        <v/>
      </c>
      <c r="AB848" s="245">
        <f>IF(AB$7="Actual","",IFERROR(-AB64+AB47,0))</f>
        <v/>
      </c>
      <c r="AC848" s="245">
        <f>IF(AC$7="Actual","",IFERROR(-AC64+AC47,0))</f>
        <v/>
      </c>
      <c r="AD848" s="245">
        <f>IF(AD$7="Actual","",IFERROR(-AD64+AD47,0))</f>
        <v/>
      </c>
      <c r="AE848" s="245">
        <f>IF(AE$7="Actual","",IFERROR(-AE64+AE47,0))</f>
        <v/>
      </c>
      <c r="AF848" s="245">
        <f>IF(AF$7="Actual","",IFERROR(-AF64+AF47,0))</f>
        <v/>
      </c>
      <c r="AG848" s="245">
        <f>IF(AG$7="Actual","",IFERROR(-AG64+AG47,0))</f>
        <v/>
      </c>
      <c r="AH848" s="245">
        <f>IF(AH$7="Actual","",IFERROR(-AH64+AH47,0))</f>
        <v/>
      </c>
      <c r="AI848" s="245">
        <f>IF(AI$7="Actual","",IFERROR(-AI64+AI47,0))</f>
        <v/>
      </c>
      <c r="AJ848" s="245">
        <f>IF(AJ$7="Actual","",IFERROR(-AJ64+AJ47,0))</f>
        <v/>
      </c>
      <c r="AK848" s="245">
        <f>IF(AK$7="Actual","",IFERROR(-AK64+AK47,0))</f>
        <v/>
      </c>
      <c r="AL848" s="245">
        <f>IF(AL$7="Actual","",IFERROR(-AL64+AL47,0))</f>
        <v/>
      </c>
      <c r="AM848" s="245">
        <f>IF(AM$7="Actual","",IFERROR(-AM64+AM47,0))</f>
        <v/>
      </c>
      <c r="AN848" s="245">
        <f>IF(AN$7="Actual","",IFERROR(-AN64+AN47,0))</f>
        <v/>
      </c>
      <c r="AO848" s="245">
        <f>IF(AO$7="Actual","",IFERROR(-AO64+AO47,0))</f>
        <v/>
      </c>
      <c r="AP848" s="245">
        <f>IF(AP$7="Actual","",IFERROR(-AP64+AP47,0))</f>
        <v/>
      </c>
      <c r="AQ848" s="245">
        <f>IF(AQ$7="Actual","",IFERROR(-AQ64+AQ47,0))</f>
        <v/>
      </c>
      <c r="AR848" s="245">
        <f>IF(AR$7="Actual","",IFERROR(-AR64+AR47,0))</f>
        <v/>
      </c>
      <c r="AS848" s="245">
        <f>IF(AS$7="Actual","",IFERROR(-AS64+AS47,0))</f>
        <v/>
      </c>
      <c r="AT848" s="245">
        <f>IF(AT$7="Actual","",IFERROR(-AT64+AT47,0))</f>
        <v/>
      </c>
      <c r="AU848" s="245">
        <f>IF(AU$7="Actual","",IFERROR(-AU64+AU47,0))</f>
        <v/>
      </c>
      <c r="AV848" s="245">
        <f>IF(AV$7="Actual","",IFERROR(-AV64+AV47,0))</f>
        <v/>
      </c>
      <c r="AW848" s="245">
        <f>IF(AW$7="Actual","",IFERROR(-AW64+AW47,0))</f>
        <v/>
      </c>
      <c r="AX848" s="245">
        <f>IF(AX$7="Actual","",IFERROR(-AX64+AX47,0))</f>
        <v/>
      </c>
      <c r="AY848" s="245">
        <f>IF(AY$7="Actual","",IFERROR(-AY64+AY47,0))</f>
        <v/>
      </c>
      <c r="AZ848" s="245">
        <f>IF(AZ$7="Actual","",IFERROR(-AZ64+AZ47,0))</f>
        <v/>
      </c>
      <c r="BA848" s="245">
        <f>IF(BA$7="Actual","",IFERROR(-BA64+BA47,0))</f>
        <v/>
      </c>
      <c r="BB848" s="245">
        <f>IF(BB$7="Actual","",IFERROR(-BB64+BB47,0))</f>
        <v/>
      </c>
      <c r="BC848" s="245">
        <f>IF(BC$7="Actual","",IFERROR(-BC64+BC47,0))</f>
        <v/>
      </c>
      <c r="BD848" s="245">
        <f>IF(BD$7="Actual","",IFERROR(-BD64+BD47,0))</f>
        <v/>
      </c>
      <c r="BE848" s="245">
        <f>IF(BE$7="Actual","",IFERROR(-BE64+BE47,0))</f>
        <v/>
      </c>
      <c r="BF848" s="245">
        <f>IF(BF$7="Actual","",IFERROR(-BF64+BF47,0))</f>
        <v/>
      </c>
      <c r="BG848" s="245">
        <f>IF(BG$7="Actual","",IFERROR(-BG64+BG47,0))</f>
        <v/>
      </c>
      <c r="BH848" s="245">
        <f>IF(BH$7="Actual","",IFERROR(-BH64+BH47,0))</f>
        <v/>
      </c>
      <c r="BI848" s="245">
        <f>IF(BI$7="Actual","",IFERROR(-BI64+BI47,0))</f>
        <v/>
      </c>
      <c r="BJ848" s="245">
        <f>IF(BJ$7="Actual","",IFERROR(-BJ64+BJ47,0))</f>
        <v/>
      </c>
      <c r="BK848" s="245">
        <f>IF(BK$7="Actual","",IFERROR(-BK64+BK47,0))</f>
        <v/>
      </c>
      <c r="BL848" s="245">
        <f>IF(BL$7="Actual","",IFERROR(-BL64+BL47,0))</f>
        <v/>
      </c>
      <c r="BM848" s="245">
        <f>IF(BM$7="Actual","",IFERROR(-BM64+BM47,0))</f>
        <v/>
      </c>
      <c r="BN848" s="245">
        <f>IF(BN$7="Actual","",IFERROR(-BN64+BN47,0))</f>
        <v/>
      </c>
      <c r="BO848" s="245">
        <f>IF(BO$7="Actual","",IFERROR(-BO64+BO47,0))</f>
        <v/>
      </c>
      <c r="BP848" s="245">
        <f>IF(BP$7="Actual","",IFERROR(-BP64+BP47,0))</f>
        <v/>
      </c>
      <c r="BQ848" s="245">
        <f>IF(BQ$7="Actual","",IFERROR(-BQ64+BQ47,0))</f>
        <v/>
      </c>
      <c r="BR848" s="245">
        <f>IF(BR$7="Actual","",IFERROR(-BR64+BR47,0))</f>
        <v/>
      </c>
      <c r="BS848" s="245">
        <f>IF(BS$7="Actual","",IFERROR(-BS64+BS47,0))</f>
        <v/>
      </c>
      <c r="BT848" s="245">
        <f>IF(BT$7="Actual","",IFERROR(-BT64+BT47,0))</f>
        <v/>
      </c>
      <c r="BU848" s="245">
        <f>IF(BU$7="Actual","",IFERROR(-BU64+BU47,0))</f>
        <v/>
      </c>
      <c r="BV848" s="245">
        <f>IF(BV$7="Actual","",IFERROR(-BV64+BV47,0))</f>
        <v/>
      </c>
      <c r="BW848" s="245">
        <f>IF(BW$7="Actual","",IFERROR(-BW64+BW47,0))</f>
        <v/>
      </c>
      <c r="BX848" s="245">
        <f>IF(BX$7="Actual","",IFERROR(-BX64+BX47,0))</f>
        <v/>
      </c>
      <c r="BY848" s="245">
        <f>IF(BY$7="Actual","",IFERROR(-BY64+BY47,0))</f>
        <v/>
      </c>
      <c r="BZ848" s="245">
        <f>IF(BZ$7="Actual","",IFERROR(-BZ64+BZ47,0))</f>
        <v/>
      </c>
      <c r="CA848" s="245">
        <f>IF(CA$7="Actual","",IFERROR(-CA64+CA47,0))</f>
        <v/>
      </c>
    </row>
    <row r="849" ht="12" customHeight="1" s="227">
      <c r="A849" s="244" t="n"/>
      <c r="B849" s="244">
        <f>IF(K849&lt;&gt;"Yes",IF(SUM(M849:O849)&lt;&gt;0,1,0),0)</f>
        <v/>
      </c>
      <c r="C849" s="244" t="n"/>
      <c r="H849" s="4">
        <f>i_Setup!U36</f>
        <v/>
      </c>
      <c r="I849" s="27">
        <f>i_Setup!$M$16</f>
        <v/>
      </c>
      <c r="K849" s="259">
        <f>i_Setup!P36</f>
        <v/>
      </c>
      <c r="M849" s="245">
        <f>SUMIF($T$4:$CA$4,M$4,$T849:$CA849)</f>
        <v/>
      </c>
      <c r="N849" s="245">
        <f>SUMIF($T$4:$CA$4,N$4,$T849:$CA849)</f>
        <v/>
      </c>
      <c r="O849" s="245">
        <f>SUMIF($T$4:$CA$4,O$4,$T849:$CA849)</f>
        <v/>
      </c>
      <c r="P849" s="245">
        <f>SUMIF($T$4:$CA$4,P$4,$T849:$CA849)</f>
        <v/>
      </c>
      <c r="Q849" s="245">
        <f>SUMIF($T$4:$CA$4,Q$4,$T849:$CA849)</f>
        <v/>
      </c>
      <c r="T849" s="245">
        <f>IF(T$7="Actual","",IFERROR(-T65+T48,0))</f>
        <v/>
      </c>
      <c r="U849" s="245">
        <f>IF(U$7="Actual","",IFERROR(-U65+U48,0))</f>
        <v/>
      </c>
      <c r="V849" s="245">
        <f>IF(V$7="Actual","",IFERROR(-V65+V48,0))</f>
        <v/>
      </c>
      <c r="W849" s="245">
        <f>IF(W$7="Actual","",IFERROR(-W65+W48,0))</f>
        <v/>
      </c>
      <c r="X849" s="245">
        <f>IF(X$7="Actual","",IFERROR(-X65+X48,0))</f>
        <v/>
      </c>
      <c r="Y849" s="245">
        <f>IF(Y$7="Actual","",IFERROR(-Y65+Y48,0))</f>
        <v/>
      </c>
      <c r="Z849" s="245">
        <f>IF(Z$7="Actual","",IFERROR(-Z65+Z48,0))</f>
        <v/>
      </c>
      <c r="AA849" s="245">
        <f>IF(AA$7="Actual","",IFERROR(-AA65+AA48,0))</f>
        <v/>
      </c>
      <c r="AB849" s="245">
        <f>IF(AB$7="Actual","",IFERROR(-AB65+AB48,0))</f>
        <v/>
      </c>
      <c r="AC849" s="245">
        <f>IF(AC$7="Actual","",IFERROR(-AC65+AC48,0))</f>
        <v/>
      </c>
      <c r="AD849" s="245">
        <f>IF(AD$7="Actual","",IFERROR(-AD65+AD48,0))</f>
        <v/>
      </c>
      <c r="AE849" s="245">
        <f>IF(AE$7="Actual","",IFERROR(-AE65+AE48,0))</f>
        <v/>
      </c>
      <c r="AF849" s="245">
        <f>IF(AF$7="Actual","",IFERROR(-AF65+AF48,0))</f>
        <v/>
      </c>
      <c r="AG849" s="245">
        <f>IF(AG$7="Actual","",IFERROR(-AG65+AG48,0))</f>
        <v/>
      </c>
      <c r="AH849" s="245">
        <f>IF(AH$7="Actual","",IFERROR(-AH65+AH48,0))</f>
        <v/>
      </c>
      <c r="AI849" s="245">
        <f>IF(AI$7="Actual","",IFERROR(-AI65+AI48,0))</f>
        <v/>
      </c>
      <c r="AJ849" s="245">
        <f>IF(AJ$7="Actual","",IFERROR(-AJ65+AJ48,0))</f>
        <v/>
      </c>
      <c r="AK849" s="245">
        <f>IF(AK$7="Actual","",IFERROR(-AK65+AK48,0))</f>
        <v/>
      </c>
      <c r="AL849" s="245">
        <f>IF(AL$7="Actual","",IFERROR(-AL65+AL48,0))</f>
        <v/>
      </c>
      <c r="AM849" s="245">
        <f>IF(AM$7="Actual","",IFERROR(-AM65+AM48,0))</f>
        <v/>
      </c>
      <c r="AN849" s="245">
        <f>IF(AN$7="Actual","",IFERROR(-AN65+AN48,0))</f>
        <v/>
      </c>
      <c r="AO849" s="245">
        <f>IF(AO$7="Actual","",IFERROR(-AO65+AO48,0))</f>
        <v/>
      </c>
      <c r="AP849" s="245">
        <f>IF(AP$7="Actual","",IFERROR(-AP65+AP48,0))</f>
        <v/>
      </c>
      <c r="AQ849" s="245">
        <f>IF(AQ$7="Actual","",IFERROR(-AQ65+AQ48,0))</f>
        <v/>
      </c>
      <c r="AR849" s="245">
        <f>IF(AR$7="Actual","",IFERROR(-AR65+AR48,0))</f>
        <v/>
      </c>
      <c r="AS849" s="245">
        <f>IF(AS$7="Actual","",IFERROR(-AS65+AS48,0))</f>
        <v/>
      </c>
      <c r="AT849" s="245">
        <f>IF(AT$7="Actual","",IFERROR(-AT65+AT48,0))</f>
        <v/>
      </c>
      <c r="AU849" s="245">
        <f>IF(AU$7="Actual","",IFERROR(-AU65+AU48,0))</f>
        <v/>
      </c>
      <c r="AV849" s="245">
        <f>IF(AV$7="Actual","",IFERROR(-AV65+AV48,0))</f>
        <v/>
      </c>
      <c r="AW849" s="245">
        <f>IF(AW$7="Actual","",IFERROR(-AW65+AW48,0))</f>
        <v/>
      </c>
      <c r="AX849" s="245">
        <f>IF(AX$7="Actual","",IFERROR(-AX65+AX48,0))</f>
        <v/>
      </c>
      <c r="AY849" s="245">
        <f>IF(AY$7="Actual","",IFERROR(-AY65+AY48,0))</f>
        <v/>
      </c>
      <c r="AZ849" s="245">
        <f>IF(AZ$7="Actual","",IFERROR(-AZ65+AZ48,0))</f>
        <v/>
      </c>
      <c r="BA849" s="245">
        <f>IF(BA$7="Actual","",IFERROR(-BA65+BA48,0))</f>
        <v/>
      </c>
      <c r="BB849" s="245">
        <f>IF(BB$7="Actual","",IFERROR(-BB65+BB48,0))</f>
        <v/>
      </c>
      <c r="BC849" s="245">
        <f>IF(BC$7="Actual","",IFERROR(-BC65+BC48,0))</f>
        <v/>
      </c>
      <c r="BD849" s="245">
        <f>IF(BD$7="Actual","",IFERROR(-BD65+BD48,0))</f>
        <v/>
      </c>
      <c r="BE849" s="245">
        <f>IF(BE$7="Actual","",IFERROR(-BE65+BE48,0))</f>
        <v/>
      </c>
      <c r="BF849" s="245">
        <f>IF(BF$7="Actual","",IFERROR(-BF65+BF48,0))</f>
        <v/>
      </c>
      <c r="BG849" s="245">
        <f>IF(BG$7="Actual","",IFERROR(-BG65+BG48,0))</f>
        <v/>
      </c>
      <c r="BH849" s="245">
        <f>IF(BH$7="Actual","",IFERROR(-BH65+BH48,0))</f>
        <v/>
      </c>
      <c r="BI849" s="245">
        <f>IF(BI$7="Actual","",IFERROR(-BI65+BI48,0))</f>
        <v/>
      </c>
      <c r="BJ849" s="245">
        <f>IF(BJ$7="Actual","",IFERROR(-BJ65+BJ48,0))</f>
        <v/>
      </c>
      <c r="BK849" s="245">
        <f>IF(BK$7="Actual","",IFERROR(-BK65+BK48,0))</f>
        <v/>
      </c>
      <c r="BL849" s="245">
        <f>IF(BL$7="Actual","",IFERROR(-BL65+BL48,0))</f>
        <v/>
      </c>
      <c r="BM849" s="245">
        <f>IF(BM$7="Actual","",IFERROR(-BM65+BM48,0))</f>
        <v/>
      </c>
      <c r="BN849" s="245">
        <f>IF(BN$7="Actual","",IFERROR(-BN65+BN48,0))</f>
        <v/>
      </c>
      <c r="BO849" s="245">
        <f>IF(BO$7="Actual","",IFERROR(-BO65+BO48,0))</f>
        <v/>
      </c>
      <c r="BP849" s="245">
        <f>IF(BP$7="Actual","",IFERROR(-BP65+BP48,0))</f>
        <v/>
      </c>
      <c r="BQ849" s="245">
        <f>IF(BQ$7="Actual","",IFERROR(-BQ65+BQ48,0))</f>
        <v/>
      </c>
      <c r="BR849" s="245">
        <f>IF(BR$7="Actual","",IFERROR(-BR65+BR48,0))</f>
        <v/>
      </c>
      <c r="BS849" s="245">
        <f>IF(BS$7="Actual","",IFERROR(-BS65+BS48,0))</f>
        <v/>
      </c>
      <c r="BT849" s="245">
        <f>IF(BT$7="Actual","",IFERROR(-BT65+BT48,0))</f>
        <v/>
      </c>
      <c r="BU849" s="245">
        <f>IF(BU$7="Actual","",IFERROR(-BU65+BU48,0))</f>
        <v/>
      </c>
      <c r="BV849" s="245">
        <f>IF(BV$7="Actual","",IFERROR(-BV65+BV48,0))</f>
        <v/>
      </c>
      <c r="BW849" s="245">
        <f>IF(BW$7="Actual","",IFERROR(-BW65+BW48,0))</f>
        <v/>
      </c>
      <c r="BX849" s="245">
        <f>IF(BX$7="Actual","",IFERROR(-BX65+BX48,0))</f>
        <v/>
      </c>
      <c r="BY849" s="245">
        <f>IF(BY$7="Actual","",IFERROR(-BY65+BY48,0))</f>
        <v/>
      </c>
      <c r="BZ849" s="245">
        <f>IF(BZ$7="Actual","",IFERROR(-BZ65+BZ48,0))</f>
        <v/>
      </c>
      <c r="CA849" s="245">
        <f>IF(CA$7="Actual","",IFERROR(-CA65+CA48,0))</f>
        <v/>
      </c>
    </row>
    <row r="850" ht="12" customHeight="1" s="227">
      <c r="A850" s="244" t="n"/>
      <c r="B850" s="244">
        <f>IF(K850&lt;&gt;"Yes",IF(SUM(M850:O850)&lt;&gt;0,1,0),0)</f>
        <v/>
      </c>
      <c r="C850" s="244" t="n"/>
      <c r="H850" s="4">
        <f>i_Setup!U37</f>
        <v/>
      </c>
      <c r="I850" s="27">
        <f>i_Setup!$M$16</f>
        <v/>
      </c>
      <c r="K850" s="259">
        <f>i_Setup!P37</f>
        <v/>
      </c>
      <c r="M850" s="245">
        <f>SUMIF($T$4:$CA$4,M$4,$T850:$CA850)</f>
        <v/>
      </c>
      <c r="N850" s="245">
        <f>SUMIF($T$4:$CA$4,N$4,$T850:$CA850)</f>
        <v/>
      </c>
      <c r="O850" s="245">
        <f>SUMIF($T$4:$CA$4,O$4,$T850:$CA850)</f>
        <v/>
      </c>
      <c r="P850" s="245">
        <f>SUMIF($T$4:$CA$4,P$4,$T850:$CA850)</f>
        <v/>
      </c>
      <c r="Q850" s="245">
        <f>SUMIF($T$4:$CA$4,Q$4,$T850:$CA850)</f>
        <v/>
      </c>
      <c r="T850" s="245">
        <f>IF(T$7="Actual","",IFERROR(-T66+T49,0))</f>
        <v/>
      </c>
      <c r="U850" s="245">
        <f>IF(U$7="Actual","",IFERROR(-U66+U49,0))</f>
        <v/>
      </c>
      <c r="V850" s="245">
        <f>IF(V$7="Actual","",IFERROR(-V66+V49,0))</f>
        <v/>
      </c>
      <c r="W850" s="245">
        <f>IF(W$7="Actual","",IFERROR(-W66+W49,0))</f>
        <v/>
      </c>
      <c r="X850" s="245">
        <f>IF(X$7="Actual","",IFERROR(-X66+X49,0))</f>
        <v/>
      </c>
      <c r="Y850" s="245">
        <f>IF(Y$7="Actual","",IFERROR(-Y66+Y49,0))</f>
        <v/>
      </c>
      <c r="Z850" s="245">
        <f>IF(Z$7="Actual","",IFERROR(-Z66+Z49,0))</f>
        <v/>
      </c>
      <c r="AA850" s="245">
        <f>IF(AA$7="Actual","",IFERROR(-AA66+AA49,0))</f>
        <v/>
      </c>
      <c r="AB850" s="245">
        <f>IF(AB$7="Actual","",IFERROR(-AB66+AB49,0))</f>
        <v/>
      </c>
      <c r="AC850" s="245">
        <f>IF(AC$7="Actual","",IFERROR(-AC66+AC49,0))</f>
        <v/>
      </c>
      <c r="AD850" s="245">
        <f>IF(AD$7="Actual","",IFERROR(-AD66+AD49,0))</f>
        <v/>
      </c>
      <c r="AE850" s="245">
        <f>IF(AE$7="Actual","",IFERROR(-AE66+AE49,0))</f>
        <v/>
      </c>
      <c r="AF850" s="245">
        <f>IF(AF$7="Actual","",IFERROR(-AF66+AF49,0))</f>
        <v/>
      </c>
      <c r="AG850" s="245">
        <f>IF(AG$7="Actual","",IFERROR(-AG66+AG49,0))</f>
        <v/>
      </c>
      <c r="AH850" s="245">
        <f>IF(AH$7="Actual","",IFERROR(-AH66+AH49,0))</f>
        <v/>
      </c>
      <c r="AI850" s="245">
        <f>IF(AI$7="Actual","",IFERROR(-AI66+AI49,0))</f>
        <v/>
      </c>
      <c r="AJ850" s="245">
        <f>IF(AJ$7="Actual","",IFERROR(-AJ66+AJ49,0))</f>
        <v/>
      </c>
      <c r="AK850" s="245">
        <f>IF(AK$7="Actual","",IFERROR(-AK66+AK49,0))</f>
        <v/>
      </c>
      <c r="AL850" s="245">
        <f>IF(AL$7="Actual","",IFERROR(-AL66+AL49,0))</f>
        <v/>
      </c>
      <c r="AM850" s="245">
        <f>IF(AM$7="Actual","",IFERROR(-AM66+AM49,0))</f>
        <v/>
      </c>
      <c r="AN850" s="245">
        <f>IF(AN$7="Actual","",IFERROR(-AN66+AN49,0))</f>
        <v/>
      </c>
      <c r="AO850" s="245">
        <f>IF(AO$7="Actual","",IFERROR(-AO66+AO49,0))</f>
        <v/>
      </c>
      <c r="AP850" s="245">
        <f>IF(AP$7="Actual","",IFERROR(-AP66+AP49,0))</f>
        <v/>
      </c>
      <c r="AQ850" s="245">
        <f>IF(AQ$7="Actual","",IFERROR(-AQ66+AQ49,0))</f>
        <v/>
      </c>
      <c r="AR850" s="245">
        <f>IF(AR$7="Actual","",IFERROR(-AR66+AR49,0))</f>
        <v/>
      </c>
      <c r="AS850" s="245">
        <f>IF(AS$7="Actual","",IFERROR(-AS66+AS49,0))</f>
        <v/>
      </c>
      <c r="AT850" s="245">
        <f>IF(AT$7="Actual","",IFERROR(-AT66+AT49,0))</f>
        <v/>
      </c>
      <c r="AU850" s="245">
        <f>IF(AU$7="Actual","",IFERROR(-AU66+AU49,0))</f>
        <v/>
      </c>
      <c r="AV850" s="245">
        <f>IF(AV$7="Actual","",IFERROR(-AV66+AV49,0))</f>
        <v/>
      </c>
      <c r="AW850" s="245">
        <f>IF(AW$7="Actual","",IFERROR(-AW66+AW49,0))</f>
        <v/>
      </c>
      <c r="AX850" s="245">
        <f>IF(AX$7="Actual","",IFERROR(-AX66+AX49,0))</f>
        <v/>
      </c>
      <c r="AY850" s="245">
        <f>IF(AY$7="Actual","",IFERROR(-AY66+AY49,0))</f>
        <v/>
      </c>
      <c r="AZ850" s="245">
        <f>IF(AZ$7="Actual","",IFERROR(-AZ66+AZ49,0))</f>
        <v/>
      </c>
      <c r="BA850" s="245">
        <f>IF(BA$7="Actual","",IFERROR(-BA66+BA49,0))</f>
        <v/>
      </c>
      <c r="BB850" s="245">
        <f>IF(BB$7="Actual","",IFERROR(-BB66+BB49,0))</f>
        <v/>
      </c>
      <c r="BC850" s="245">
        <f>IF(BC$7="Actual","",IFERROR(-BC66+BC49,0))</f>
        <v/>
      </c>
      <c r="BD850" s="245">
        <f>IF(BD$7="Actual","",IFERROR(-BD66+BD49,0))</f>
        <v/>
      </c>
      <c r="BE850" s="245">
        <f>IF(BE$7="Actual","",IFERROR(-BE66+BE49,0))</f>
        <v/>
      </c>
      <c r="BF850" s="245">
        <f>IF(BF$7="Actual","",IFERROR(-BF66+BF49,0))</f>
        <v/>
      </c>
      <c r="BG850" s="245">
        <f>IF(BG$7="Actual","",IFERROR(-BG66+BG49,0))</f>
        <v/>
      </c>
      <c r="BH850" s="245">
        <f>IF(BH$7="Actual","",IFERROR(-BH66+BH49,0))</f>
        <v/>
      </c>
      <c r="BI850" s="245">
        <f>IF(BI$7="Actual","",IFERROR(-BI66+BI49,0))</f>
        <v/>
      </c>
      <c r="BJ850" s="245">
        <f>IF(BJ$7="Actual","",IFERROR(-BJ66+BJ49,0))</f>
        <v/>
      </c>
      <c r="BK850" s="245">
        <f>IF(BK$7="Actual","",IFERROR(-BK66+BK49,0))</f>
        <v/>
      </c>
      <c r="BL850" s="245">
        <f>IF(BL$7="Actual","",IFERROR(-BL66+BL49,0))</f>
        <v/>
      </c>
      <c r="BM850" s="245">
        <f>IF(BM$7="Actual","",IFERROR(-BM66+BM49,0))</f>
        <v/>
      </c>
      <c r="BN850" s="245">
        <f>IF(BN$7="Actual","",IFERROR(-BN66+BN49,0))</f>
        <v/>
      </c>
      <c r="BO850" s="245">
        <f>IF(BO$7="Actual","",IFERROR(-BO66+BO49,0))</f>
        <v/>
      </c>
      <c r="BP850" s="245">
        <f>IF(BP$7="Actual","",IFERROR(-BP66+BP49,0))</f>
        <v/>
      </c>
      <c r="BQ850" s="245">
        <f>IF(BQ$7="Actual","",IFERROR(-BQ66+BQ49,0))</f>
        <v/>
      </c>
      <c r="BR850" s="245">
        <f>IF(BR$7="Actual","",IFERROR(-BR66+BR49,0))</f>
        <v/>
      </c>
      <c r="BS850" s="245">
        <f>IF(BS$7="Actual","",IFERROR(-BS66+BS49,0))</f>
        <v/>
      </c>
      <c r="BT850" s="245">
        <f>IF(BT$7="Actual","",IFERROR(-BT66+BT49,0))</f>
        <v/>
      </c>
      <c r="BU850" s="245">
        <f>IF(BU$7="Actual","",IFERROR(-BU66+BU49,0))</f>
        <v/>
      </c>
      <c r="BV850" s="245">
        <f>IF(BV$7="Actual","",IFERROR(-BV66+BV49,0))</f>
        <v/>
      </c>
      <c r="BW850" s="245">
        <f>IF(BW$7="Actual","",IFERROR(-BW66+BW49,0))</f>
        <v/>
      </c>
      <c r="BX850" s="245">
        <f>IF(BX$7="Actual","",IFERROR(-BX66+BX49,0))</f>
        <v/>
      </c>
      <c r="BY850" s="245">
        <f>IF(BY$7="Actual","",IFERROR(-BY66+BY49,0))</f>
        <v/>
      </c>
      <c r="BZ850" s="245">
        <f>IF(BZ$7="Actual","",IFERROR(-BZ66+BZ49,0))</f>
        <v/>
      </c>
      <c r="CA850" s="245">
        <f>IF(CA$7="Actual","",IFERROR(-CA66+CA49,0))</f>
        <v/>
      </c>
    </row>
    <row r="851" ht="12" customHeight="1" s="227">
      <c r="A851" s="244" t="n"/>
      <c r="B851" s="244">
        <f>IF(K851&lt;&gt;"Yes",IF(SUM(M851:O851)&lt;&gt;0,1,0),0)</f>
        <v/>
      </c>
      <c r="C851" s="244" t="n"/>
      <c r="H851" s="4">
        <f>i_Setup!U38</f>
        <v/>
      </c>
      <c r="I851" s="27">
        <f>i_Setup!$M$16</f>
        <v/>
      </c>
      <c r="K851" s="259">
        <f>i_Setup!P38</f>
        <v/>
      </c>
      <c r="M851" s="245">
        <f>SUMIF($T$4:$CA$4,M$4,$T851:$CA851)</f>
        <v/>
      </c>
      <c r="N851" s="245">
        <f>SUMIF($T$4:$CA$4,N$4,$T851:$CA851)</f>
        <v/>
      </c>
      <c r="O851" s="245">
        <f>SUMIF($T$4:$CA$4,O$4,$T851:$CA851)</f>
        <v/>
      </c>
      <c r="P851" s="245">
        <f>SUMIF($T$4:$CA$4,P$4,$T851:$CA851)</f>
        <v/>
      </c>
      <c r="Q851" s="245">
        <f>SUMIF($T$4:$CA$4,Q$4,$T851:$CA851)</f>
        <v/>
      </c>
      <c r="T851" s="245">
        <f>IF(T$7="Actual","",IFERROR(-T67+T50,0))</f>
        <v/>
      </c>
      <c r="U851" s="245">
        <f>IF(U$7="Actual","",IFERROR(-U67+U50,0))</f>
        <v/>
      </c>
      <c r="V851" s="245">
        <f>IF(V$7="Actual","",IFERROR(-V67+V50,0))</f>
        <v/>
      </c>
      <c r="W851" s="245">
        <f>IF(W$7="Actual","",IFERROR(-W67+W50,0))</f>
        <v/>
      </c>
      <c r="X851" s="245">
        <f>IF(X$7="Actual","",IFERROR(-X67+X50,0))</f>
        <v/>
      </c>
      <c r="Y851" s="245">
        <f>IF(Y$7="Actual","",IFERROR(-Y67+Y50,0))</f>
        <v/>
      </c>
      <c r="Z851" s="245">
        <f>IF(Z$7="Actual","",IFERROR(-Z67+Z50,0))</f>
        <v/>
      </c>
      <c r="AA851" s="245">
        <f>IF(AA$7="Actual","",IFERROR(-AA67+AA50,0))</f>
        <v/>
      </c>
      <c r="AB851" s="245">
        <f>IF(AB$7="Actual","",IFERROR(-AB67+AB50,0))</f>
        <v/>
      </c>
      <c r="AC851" s="245">
        <f>IF(AC$7="Actual","",IFERROR(-AC67+AC50,0))</f>
        <v/>
      </c>
      <c r="AD851" s="245">
        <f>IF(AD$7="Actual","",IFERROR(-AD67+AD50,0))</f>
        <v/>
      </c>
      <c r="AE851" s="245">
        <f>IF(AE$7="Actual","",IFERROR(-AE67+AE50,0))</f>
        <v/>
      </c>
      <c r="AF851" s="245">
        <f>IF(AF$7="Actual","",IFERROR(-AF67+AF50,0))</f>
        <v/>
      </c>
      <c r="AG851" s="245">
        <f>IF(AG$7="Actual","",IFERROR(-AG67+AG50,0))</f>
        <v/>
      </c>
      <c r="AH851" s="245">
        <f>IF(AH$7="Actual","",IFERROR(-AH67+AH50,0))</f>
        <v/>
      </c>
      <c r="AI851" s="245">
        <f>IF(AI$7="Actual","",IFERROR(-AI67+AI50,0))</f>
        <v/>
      </c>
      <c r="AJ851" s="245">
        <f>IF(AJ$7="Actual","",IFERROR(-AJ67+AJ50,0))</f>
        <v/>
      </c>
      <c r="AK851" s="245">
        <f>IF(AK$7="Actual","",IFERROR(-AK67+AK50,0))</f>
        <v/>
      </c>
      <c r="AL851" s="245">
        <f>IF(AL$7="Actual","",IFERROR(-AL67+AL50,0))</f>
        <v/>
      </c>
      <c r="AM851" s="245">
        <f>IF(AM$7="Actual","",IFERROR(-AM67+AM50,0))</f>
        <v/>
      </c>
      <c r="AN851" s="245">
        <f>IF(AN$7="Actual","",IFERROR(-AN67+AN50,0))</f>
        <v/>
      </c>
      <c r="AO851" s="245">
        <f>IF(AO$7="Actual","",IFERROR(-AO67+AO50,0))</f>
        <v/>
      </c>
      <c r="AP851" s="245">
        <f>IF(AP$7="Actual","",IFERROR(-AP67+AP50,0))</f>
        <v/>
      </c>
      <c r="AQ851" s="245">
        <f>IF(AQ$7="Actual","",IFERROR(-AQ67+AQ50,0))</f>
        <v/>
      </c>
      <c r="AR851" s="245">
        <f>IF(AR$7="Actual","",IFERROR(-AR67+AR50,0))</f>
        <v/>
      </c>
      <c r="AS851" s="245">
        <f>IF(AS$7="Actual","",IFERROR(-AS67+AS50,0))</f>
        <v/>
      </c>
      <c r="AT851" s="245">
        <f>IF(AT$7="Actual","",IFERROR(-AT67+AT50,0))</f>
        <v/>
      </c>
      <c r="AU851" s="245">
        <f>IF(AU$7="Actual","",IFERROR(-AU67+AU50,0))</f>
        <v/>
      </c>
      <c r="AV851" s="245">
        <f>IF(AV$7="Actual","",IFERROR(-AV67+AV50,0))</f>
        <v/>
      </c>
      <c r="AW851" s="245">
        <f>IF(AW$7="Actual","",IFERROR(-AW67+AW50,0))</f>
        <v/>
      </c>
      <c r="AX851" s="245">
        <f>IF(AX$7="Actual","",IFERROR(-AX67+AX50,0))</f>
        <v/>
      </c>
      <c r="AY851" s="245">
        <f>IF(AY$7="Actual","",IFERROR(-AY67+AY50,0))</f>
        <v/>
      </c>
      <c r="AZ851" s="245">
        <f>IF(AZ$7="Actual","",IFERROR(-AZ67+AZ50,0))</f>
        <v/>
      </c>
      <c r="BA851" s="245">
        <f>IF(BA$7="Actual","",IFERROR(-BA67+BA50,0))</f>
        <v/>
      </c>
      <c r="BB851" s="245">
        <f>IF(BB$7="Actual","",IFERROR(-BB67+BB50,0))</f>
        <v/>
      </c>
      <c r="BC851" s="245">
        <f>IF(BC$7="Actual","",IFERROR(-BC67+BC50,0))</f>
        <v/>
      </c>
      <c r="BD851" s="245">
        <f>IF(BD$7="Actual","",IFERROR(-BD67+BD50,0))</f>
        <v/>
      </c>
      <c r="BE851" s="245">
        <f>IF(BE$7="Actual","",IFERROR(-BE67+BE50,0))</f>
        <v/>
      </c>
      <c r="BF851" s="245">
        <f>IF(BF$7="Actual","",IFERROR(-BF67+BF50,0))</f>
        <v/>
      </c>
      <c r="BG851" s="245">
        <f>IF(BG$7="Actual","",IFERROR(-BG67+BG50,0))</f>
        <v/>
      </c>
      <c r="BH851" s="245">
        <f>IF(BH$7="Actual","",IFERROR(-BH67+BH50,0))</f>
        <v/>
      </c>
      <c r="BI851" s="245">
        <f>IF(BI$7="Actual","",IFERROR(-BI67+BI50,0))</f>
        <v/>
      </c>
      <c r="BJ851" s="245">
        <f>IF(BJ$7="Actual","",IFERROR(-BJ67+BJ50,0))</f>
        <v/>
      </c>
      <c r="BK851" s="245">
        <f>IF(BK$7="Actual","",IFERROR(-BK67+BK50,0))</f>
        <v/>
      </c>
      <c r="BL851" s="245">
        <f>IF(BL$7="Actual","",IFERROR(-BL67+BL50,0))</f>
        <v/>
      </c>
      <c r="BM851" s="245">
        <f>IF(BM$7="Actual","",IFERROR(-BM67+BM50,0))</f>
        <v/>
      </c>
      <c r="BN851" s="245">
        <f>IF(BN$7="Actual","",IFERROR(-BN67+BN50,0))</f>
        <v/>
      </c>
      <c r="BO851" s="245">
        <f>IF(BO$7="Actual","",IFERROR(-BO67+BO50,0))</f>
        <v/>
      </c>
      <c r="BP851" s="245">
        <f>IF(BP$7="Actual","",IFERROR(-BP67+BP50,0))</f>
        <v/>
      </c>
      <c r="BQ851" s="245">
        <f>IF(BQ$7="Actual","",IFERROR(-BQ67+BQ50,0))</f>
        <v/>
      </c>
      <c r="BR851" s="245">
        <f>IF(BR$7="Actual","",IFERROR(-BR67+BR50,0))</f>
        <v/>
      </c>
      <c r="BS851" s="245">
        <f>IF(BS$7="Actual","",IFERROR(-BS67+BS50,0))</f>
        <v/>
      </c>
      <c r="BT851" s="245">
        <f>IF(BT$7="Actual","",IFERROR(-BT67+BT50,0))</f>
        <v/>
      </c>
      <c r="BU851" s="245">
        <f>IF(BU$7="Actual","",IFERROR(-BU67+BU50,0))</f>
        <v/>
      </c>
      <c r="BV851" s="245">
        <f>IF(BV$7="Actual","",IFERROR(-BV67+BV50,0))</f>
        <v/>
      </c>
      <c r="BW851" s="245">
        <f>IF(BW$7="Actual","",IFERROR(-BW67+BW50,0))</f>
        <v/>
      </c>
      <c r="BX851" s="245">
        <f>IF(BX$7="Actual","",IFERROR(-BX67+BX50,0))</f>
        <v/>
      </c>
      <c r="BY851" s="245">
        <f>IF(BY$7="Actual","",IFERROR(-BY67+BY50,0))</f>
        <v/>
      </c>
      <c r="BZ851" s="245">
        <f>IF(BZ$7="Actual","",IFERROR(-BZ67+BZ50,0))</f>
        <v/>
      </c>
      <c r="CA851" s="245">
        <f>IF(CA$7="Actual","",IFERROR(-CA67+CA50,0))</f>
        <v/>
      </c>
    </row>
    <row r="852" ht="12" customHeight="1" s="227">
      <c r="A852" s="244" t="n"/>
      <c r="B852" s="244">
        <f>IF(K852&lt;&gt;"Yes",IF(SUM(M852:O852)&lt;&gt;0,1,0),0)</f>
        <v/>
      </c>
      <c r="C852" s="244" t="n"/>
      <c r="H852" s="4">
        <f>i_Setup!U39</f>
        <v/>
      </c>
      <c r="I852" s="27">
        <f>i_Setup!$M$16</f>
        <v/>
      </c>
      <c r="K852" s="259">
        <f>i_Setup!P39</f>
        <v/>
      </c>
      <c r="M852" s="245">
        <f>SUMIF($T$4:$CA$4,M$4,$T852:$CA852)</f>
        <v/>
      </c>
      <c r="N852" s="245">
        <f>SUMIF($T$4:$CA$4,N$4,$T852:$CA852)</f>
        <v/>
      </c>
      <c r="O852" s="245">
        <f>SUMIF($T$4:$CA$4,O$4,$T852:$CA852)</f>
        <v/>
      </c>
      <c r="P852" s="245">
        <f>SUMIF($T$4:$CA$4,P$4,$T852:$CA852)</f>
        <v/>
      </c>
      <c r="Q852" s="245">
        <f>SUMIF($T$4:$CA$4,Q$4,$T852:$CA852)</f>
        <v/>
      </c>
      <c r="T852" s="245">
        <f>IF(T$7="Actual","",IFERROR(-T68+T51,0))</f>
        <v/>
      </c>
      <c r="U852" s="245">
        <f>IF(U$7="Actual","",IFERROR(-U68+U51,0))</f>
        <v/>
      </c>
      <c r="V852" s="245">
        <f>IF(V$7="Actual","",IFERROR(-V68+V51,0))</f>
        <v/>
      </c>
      <c r="W852" s="245">
        <f>IF(W$7="Actual","",IFERROR(-W68+W51,0))</f>
        <v/>
      </c>
      <c r="X852" s="245">
        <f>IF(X$7="Actual","",IFERROR(-X68+X51,0))</f>
        <v/>
      </c>
      <c r="Y852" s="245">
        <f>IF(Y$7="Actual","",IFERROR(-Y68+Y51,0))</f>
        <v/>
      </c>
      <c r="Z852" s="245">
        <f>IF(Z$7="Actual","",IFERROR(-Z68+Z51,0))</f>
        <v/>
      </c>
      <c r="AA852" s="245">
        <f>IF(AA$7="Actual","",IFERROR(-AA68+AA51,0))</f>
        <v/>
      </c>
      <c r="AB852" s="245">
        <f>IF(AB$7="Actual","",IFERROR(-AB68+AB51,0))</f>
        <v/>
      </c>
      <c r="AC852" s="245">
        <f>IF(AC$7="Actual","",IFERROR(-AC68+AC51,0))</f>
        <v/>
      </c>
      <c r="AD852" s="245">
        <f>IF(AD$7="Actual","",IFERROR(-AD68+AD51,0))</f>
        <v/>
      </c>
      <c r="AE852" s="245">
        <f>IF(AE$7="Actual","",IFERROR(-AE68+AE51,0))</f>
        <v/>
      </c>
      <c r="AF852" s="245">
        <f>IF(AF$7="Actual","",IFERROR(-AF68+AF51,0))</f>
        <v/>
      </c>
      <c r="AG852" s="245">
        <f>IF(AG$7="Actual","",IFERROR(-AG68+AG51,0))</f>
        <v/>
      </c>
      <c r="AH852" s="245">
        <f>IF(AH$7="Actual","",IFERROR(-AH68+AH51,0))</f>
        <v/>
      </c>
      <c r="AI852" s="245">
        <f>IF(AI$7="Actual","",IFERROR(-AI68+AI51,0))</f>
        <v/>
      </c>
      <c r="AJ852" s="245">
        <f>IF(AJ$7="Actual","",IFERROR(-AJ68+AJ51,0))</f>
        <v/>
      </c>
      <c r="AK852" s="245">
        <f>IF(AK$7="Actual","",IFERROR(-AK68+AK51,0))</f>
        <v/>
      </c>
      <c r="AL852" s="245">
        <f>IF(AL$7="Actual","",IFERROR(-AL68+AL51,0))</f>
        <v/>
      </c>
      <c r="AM852" s="245">
        <f>IF(AM$7="Actual","",IFERROR(-AM68+AM51,0))</f>
        <v/>
      </c>
      <c r="AN852" s="245">
        <f>IF(AN$7="Actual","",IFERROR(-AN68+AN51,0))</f>
        <v/>
      </c>
      <c r="AO852" s="245">
        <f>IF(AO$7="Actual","",IFERROR(-AO68+AO51,0))</f>
        <v/>
      </c>
      <c r="AP852" s="245">
        <f>IF(AP$7="Actual","",IFERROR(-AP68+AP51,0))</f>
        <v/>
      </c>
      <c r="AQ852" s="245">
        <f>IF(AQ$7="Actual","",IFERROR(-AQ68+AQ51,0))</f>
        <v/>
      </c>
      <c r="AR852" s="245">
        <f>IF(AR$7="Actual","",IFERROR(-AR68+AR51,0))</f>
        <v/>
      </c>
      <c r="AS852" s="245">
        <f>IF(AS$7="Actual","",IFERROR(-AS68+AS51,0))</f>
        <v/>
      </c>
      <c r="AT852" s="245">
        <f>IF(AT$7="Actual","",IFERROR(-AT68+AT51,0))</f>
        <v/>
      </c>
      <c r="AU852" s="245">
        <f>IF(AU$7="Actual","",IFERROR(-AU68+AU51,0))</f>
        <v/>
      </c>
      <c r="AV852" s="245">
        <f>IF(AV$7="Actual","",IFERROR(-AV68+AV51,0))</f>
        <v/>
      </c>
      <c r="AW852" s="245">
        <f>IF(AW$7="Actual","",IFERROR(-AW68+AW51,0))</f>
        <v/>
      </c>
      <c r="AX852" s="245">
        <f>IF(AX$7="Actual","",IFERROR(-AX68+AX51,0))</f>
        <v/>
      </c>
      <c r="AY852" s="245">
        <f>IF(AY$7="Actual","",IFERROR(-AY68+AY51,0))</f>
        <v/>
      </c>
      <c r="AZ852" s="245">
        <f>IF(AZ$7="Actual","",IFERROR(-AZ68+AZ51,0))</f>
        <v/>
      </c>
      <c r="BA852" s="245">
        <f>IF(BA$7="Actual","",IFERROR(-BA68+BA51,0))</f>
        <v/>
      </c>
      <c r="BB852" s="245">
        <f>IF(BB$7="Actual","",IFERROR(-BB68+BB51,0))</f>
        <v/>
      </c>
      <c r="BC852" s="245">
        <f>IF(BC$7="Actual","",IFERROR(-BC68+BC51,0))</f>
        <v/>
      </c>
      <c r="BD852" s="245">
        <f>IF(BD$7="Actual","",IFERROR(-BD68+BD51,0))</f>
        <v/>
      </c>
      <c r="BE852" s="245">
        <f>IF(BE$7="Actual","",IFERROR(-BE68+BE51,0))</f>
        <v/>
      </c>
      <c r="BF852" s="245">
        <f>IF(BF$7="Actual","",IFERROR(-BF68+BF51,0))</f>
        <v/>
      </c>
      <c r="BG852" s="245">
        <f>IF(BG$7="Actual","",IFERROR(-BG68+BG51,0))</f>
        <v/>
      </c>
      <c r="BH852" s="245">
        <f>IF(BH$7="Actual","",IFERROR(-BH68+BH51,0))</f>
        <v/>
      </c>
      <c r="BI852" s="245">
        <f>IF(BI$7="Actual","",IFERROR(-BI68+BI51,0))</f>
        <v/>
      </c>
      <c r="BJ852" s="245">
        <f>IF(BJ$7="Actual","",IFERROR(-BJ68+BJ51,0))</f>
        <v/>
      </c>
      <c r="BK852" s="245">
        <f>IF(BK$7="Actual","",IFERROR(-BK68+BK51,0))</f>
        <v/>
      </c>
      <c r="BL852" s="245">
        <f>IF(BL$7="Actual","",IFERROR(-BL68+BL51,0))</f>
        <v/>
      </c>
      <c r="BM852" s="245">
        <f>IF(BM$7="Actual","",IFERROR(-BM68+BM51,0))</f>
        <v/>
      </c>
      <c r="BN852" s="245">
        <f>IF(BN$7="Actual","",IFERROR(-BN68+BN51,0))</f>
        <v/>
      </c>
      <c r="BO852" s="245">
        <f>IF(BO$7="Actual","",IFERROR(-BO68+BO51,0))</f>
        <v/>
      </c>
      <c r="BP852" s="245">
        <f>IF(BP$7="Actual","",IFERROR(-BP68+BP51,0))</f>
        <v/>
      </c>
      <c r="BQ852" s="245">
        <f>IF(BQ$7="Actual","",IFERROR(-BQ68+BQ51,0))</f>
        <v/>
      </c>
      <c r="BR852" s="245">
        <f>IF(BR$7="Actual","",IFERROR(-BR68+BR51,0))</f>
        <v/>
      </c>
      <c r="BS852" s="245">
        <f>IF(BS$7="Actual","",IFERROR(-BS68+BS51,0))</f>
        <v/>
      </c>
      <c r="BT852" s="245">
        <f>IF(BT$7="Actual","",IFERROR(-BT68+BT51,0))</f>
        <v/>
      </c>
      <c r="BU852" s="245">
        <f>IF(BU$7="Actual","",IFERROR(-BU68+BU51,0))</f>
        <v/>
      </c>
      <c r="BV852" s="245">
        <f>IF(BV$7="Actual","",IFERROR(-BV68+BV51,0))</f>
        <v/>
      </c>
      <c r="BW852" s="245">
        <f>IF(BW$7="Actual","",IFERROR(-BW68+BW51,0))</f>
        <v/>
      </c>
      <c r="BX852" s="245">
        <f>IF(BX$7="Actual","",IFERROR(-BX68+BX51,0))</f>
        <v/>
      </c>
      <c r="BY852" s="245">
        <f>IF(BY$7="Actual","",IFERROR(-BY68+BY51,0))</f>
        <v/>
      </c>
      <c r="BZ852" s="245">
        <f>IF(BZ$7="Actual","",IFERROR(-BZ68+BZ51,0))</f>
        <v/>
      </c>
      <c r="CA852" s="245">
        <f>IF(CA$7="Actual","",IFERROR(-CA68+CA51,0))</f>
        <v/>
      </c>
    </row>
    <row r="853" ht="12" customHeight="1" s="227">
      <c r="A853" s="244" t="n"/>
      <c r="B853" s="244">
        <f>IF(K853&lt;&gt;"Yes",IF(SUM(M853:O853)&lt;&gt;0,1,0),0)</f>
        <v/>
      </c>
      <c r="C853" s="244" t="n"/>
      <c r="H853" s="4">
        <f>i_Setup!U40</f>
        <v/>
      </c>
      <c r="I853" s="27">
        <f>i_Setup!$M$16</f>
        <v/>
      </c>
      <c r="K853" s="259">
        <f>i_Setup!P40</f>
        <v/>
      </c>
      <c r="M853" s="245">
        <f>SUMIF($T$4:$CA$4,M$4,$T853:$CA853)</f>
        <v/>
      </c>
      <c r="N853" s="245">
        <f>SUMIF($T$4:$CA$4,N$4,$T853:$CA853)</f>
        <v/>
      </c>
      <c r="O853" s="245">
        <f>SUMIF($T$4:$CA$4,O$4,$T853:$CA853)</f>
        <v/>
      </c>
      <c r="P853" s="245">
        <f>SUMIF($T$4:$CA$4,P$4,$T853:$CA853)</f>
        <v/>
      </c>
      <c r="Q853" s="245">
        <f>SUMIF($T$4:$CA$4,Q$4,$T853:$CA853)</f>
        <v/>
      </c>
      <c r="T853" s="245">
        <f>IF(T$7="Actual","",IFERROR(-T69+T52,0))</f>
        <v/>
      </c>
      <c r="U853" s="245">
        <f>IF(U$7="Actual","",IFERROR(-U69+U52,0))</f>
        <v/>
      </c>
      <c r="V853" s="245">
        <f>IF(V$7="Actual","",IFERROR(-V69+V52,0))</f>
        <v/>
      </c>
      <c r="W853" s="245">
        <f>IF(W$7="Actual","",IFERROR(-W69+W52,0))</f>
        <v/>
      </c>
      <c r="X853" s="245">
        <f>IF(X$7="Actual","",IFERROR(-X69+X52,0))</f>
        <v/>
      </c>
      <c r="Y853" s="245">
        <f>IF(Y$7="Actual","",IFERROR(-Y69+Y52,0))</f>
        <v/>
      </c>
      <c r="Z853" s="245">
        <f>IF(Z$7="Actual","",IFERROR(-Z69+Z52,0))</f>
        <v/>
      </c>
      <c r="AA853" s="245">
        <f>IF(AA$7="Actual","",IFERROR(-AA69+AA52,0))</f>
        <v/>
      </c>
      <c r="AB853" s="245">
        <f>IF(AB$7="Actual","",IFERROR(-AB69+AB52,0))</f>
        <v/>
      </c>
      <c r="AC853" s="245">
        <f>IF(AC$7="Actual","",IFERROR(-AC69+AC52,0))</f>
        <v/>
      </c>
      <c r="AD853" s="245">
        <f>IF(AD$7="Actual","",IFERROR(-AD69+AD52,0))</f>
        <v/>
      </c>
      <c r="AE853" s="245">
        <f>IF(AE$7="Actual","",IFERROR(-AE69+AE52,0))</f>
        <v/>
      </c>
      <c r="AF853" s="245">
        <f>IF(AF$7="Actual","",IFERROR(-AF69+AF52,0))</f>
        <v/>
      </c>
      <c r="AG853" s="245">
        <f>IF(AG$7="Actual","",IFERROR(-AG69+AG52,0))</f>
        <v/>
      </c>
      <c r="AH853" s="245">
        <f>IF(AH$7="Actual","",IFERROR(-AH69+AH52,0))</f>
        <v/>
      </c>
      <c r="AI853" s="245">
        <f>IF(AI$7="Actual","",IFERROR(-AI69+AI52,0))</f>
        <v/>
      </c>
      <c r="AJ853" s="245">
        <f>IF(AJ$7="Actual","",IFERROR(-AJ69+AJ52,0))</f>
        <v/>
      </c>
      <c r="AK853" s="245">
        <f>IF(AK$7="Actual","",IFERROR(-AK69+AK52,0))</f>
        <v/>
      </c>
      <c r="AL853" s="245">
        <f>IF(AL$7="Actual","",IFERROR(-AL69+AL52,0))</f>
        <v/>
      </c>
      <c r="AM853" s="245">
        <f>IF(AM$7="Actual","",IFERROR(-AM69+AM52,0))</f>
        <v/>
      </c>
      <c r="AN853" s="245">
        <f>IF(AN$7="Actual","",IFERROR(-AN69+AN52,0))</f>
        <v/>
      </c>
      <c r="AO853" s="245">
        <f>IF(AO$7="Actual","",IFERROR(-AO69+AO52,0))</f>
        <v/>
      </c>
      <c r="AP853" s="245">
        <f>IF(AP$7="Actual","",IFERROR(-AP69+AP52,0))</f>
        <v/>
      </c>
      <c r="AQ853" s="245">
        <f>IF(AQ$7="Actual","",IFERROR(-AQ69+AQ52,0))</f>
        <v/>
      </c>
      <c r="AR853" s="245">
        <f>IF(AR$7="Actual","",IFERROR(-AR69+AR52,0))</f>
        <v/>
      </c>
      <c r="AS853" s="245">
        <f>IF(AS$7="Actual","",IFERROR(-AS69+AS52,0))</f>
        <v/>
      </c>
      <c r="AT853" s="245">
        <f>IF(AT$7="Actual","",IFERROR(-AT69+AT52,0))</f>
        <v/>
      </c>
      <c r="AU853" s="245">
        <f>IF(AU$7="Actual","",IFERROR(-AU69+AU52,0))</f>
        <v/>
      </c>
      <c r="AV853" s="245">
        <f>IF(AV$7="Actual","",IFERROR(-AV69+AV52,0))</f>
        <v/>
      </c>
      <c r="AW853" s="245">
        <f>IF(AW$7="Actual","",IFERROR(-AW69+AW52,0))</f>
        <v/>
      </c>
      <c r="AX853" s="245">
        <f>IF(AX$7="Actual","",IFERROR(-AX69+AX52,0))</f>
        <v/>
      </c>
      <c r="AY853" s="245">
        <f>IF(AY$7="Actual","",IFERROR(-AY69+AY52,0))</f>
        <v/>
      </c>
      <c r="AZ853" s="245">
        <f>IF(AZ$7="Actual","",IFERROR(-AZ69+AZ52,0))</f>
        <v/>
      </c>
      <c r="BA853" s="245">
        <f>IF(BA$7="Actual","",IFERROR(-BA69+BA52,0))</f>
        <v/>
      </c>
      <c r="BB853" s="245">
        <f>IF(BB$7="Actual","",IFERROR(-BB69+BB52,0))</f>
        <v/>
      </c>
      <c r="BC853" s="245">
        <f>IF(BC$7="Actual","",IFERROR(-BC69+BC52,0))</f>
        <v/>
      </c>
      <c r="BD853" s="245">
        <f>IF(BD$7="Actual","",IFERROR(-BD69+BD52,0))</f>
        <v/>
      </c>
      <c r="BE853" s="245">
        <f>IF(BE$7="Actual","",IFERROR(-BE69+BE52,0))</f>
        <v/>
      </c>
      <c r="BF853" s="245">
        <f>IF(BF$7="Actual","",IFERROR(-BF69+BF52,0))</f>
        <v/>
      </c>
      <c r="BG853" s="245">
        <f>IF(BG$7="Actual","",IFERROR(-BG69+BG52,0))</f>
        <v/>
      </c>
      <c r="BH853" s="245">
        <f>IF(BH$7="Actual","",IFERROR(-BH69+BH52,0))</f>
        <v/>
      </c>
      <c r="BI853" s="245">
        <f>IF(BI$7="Actual","",IFERROR(-BI69+BI52,0))</f>
        <v/>
      </c>
      <c r="BJ853" s="245">
        <f>IF(BJ$7="Actual","",IFERROR(-BJ69+BJ52,0))</f>
        <v/>
      </c>
      <c r="BK853" s="245">
        <f>IF(BK$7="Actual","",IFERROR(-BK69+BK52,0))</f>
        <v/>
      </c>
      <c r="BL853" s="245">
        <f>IF(BL$7="Actual","",IFERROR(-BL69+BL52,0))</f>
        <v/>
      </c>
      <c r="BM853" s="245">
        <f>IF(BM$7="Actual","",IFERROR(-BM69+BM52,0))</f>
        <v/>
      </c>
      <c r="BN853" s="245">
        <f>IF(BN$7="Actual","",IFERROR(-BN69+BN52,0))</f>
        <v/>
      </c>
      <c r="BO853" s="245">
        <f>IF(BO$7="Actual","",IFERROR(-BO69+BO52,0))</f>
        <v/>
      </c>
      <c r="BP853" s="245">
        <f>IF(BP$7="Actual","",IFERROR(-BP69+BP52,0))</f>
        <v/>
      </c>
      <c r="BQ853" s="245">
        <f>IF(BQ$7="Actual","",IFERROR(-BQ69+BQ52,0))</f>
        <v/>
      </c>
      <c r="BR853" s="245">
        <f>IF(BR$7="Actual","",IFERROR(-BR69+BR52,0))</f>
        <v/>
      </c>
      <c r="BS853" s="245">
        <f>IF(BS$7="Actual","",IFERROR(-BS69+BS52,0))</f>
        <v/>
      </c>
      <c r="BT853" s="245">
        <f>IF(BT$7="Actual","",IFERROR(-BT69+BT52,0))</f>
        <v/>
      </c>
      <c r="BU853" s="245">
        <f>IF(BU$7="Actual","",IFERROR(-BU69+BU52,0))</f>
        <v/>
      </c>
      <c r="BV853" s="245">
        <f>IF(BV$7="Actual","",IFERROR(-BV69+BV52,0))</f>
        <v/>
      </c>
      <c r="BW853" s="245">
        <f>IF(BW$7="Actual","",IFERROR(-BW69+BW52,0))</f>
        <v/>
      </c>
      <c r="BX853" s="245">
        <f>IF(BX$7="Actual","",IFERROR(-BX69+BX52,0))</f>
        <v/>
      </c>
      <c r="BY853" s="245">
        <f>IF(BY$7="Actual","",IFERROR(-BY69+BY52,0))</f>
        <v/>
      </c>
      <c r="BZ853" s="245">
        <f>IF(BZ$7="Actual","",IFERROR(-BZ69+BZ52,0))</f>
        <v/>
      </c>
      <c r="CA853" s="245">
        <f>IF(CA$7="Actual","",IFERROR(-CA69+CA52,0))</f>
        <v/>
      </c>
    </row>
    <row r="854" ht="12" customHeight="1" s="227">
      <c r="A854" s="244" t="n"/>
      <c r="B854" s="244">
        <f>IF(K854&lt;&gt;"Yes",IF(SUM(M854:O854)&lt;&gt;0,1,0),0)</f>
        <v/>
      </c>
      <c r="C854" s="244" t="n"/>
      <c r="H854" s="4">
        <f>i_Setup!U41</f>
        <v/>
      </c>
      <c r="I854" s="27">
        <f>i_Setup!$M$16</f>
        <v/>
      </c>
      <c r="K854" s="259">
        <f>i_Setup!P41</f>
        <v/>
      </c>
      <c r="M854" s="245">
        <f>SUMIF($T$4:$CA$4,M$4,$T854:$CA854)</f>
        <v/>
      </c>
      <c r="N854" s="245">
        <f>SUMIF($T$4:$CA$4,N$4,$T854:$CA854)</f>
        <v/>
      </c>
      <c r="O854" s="245">
        <f>SUMIF($T$4:$CA$4,O$4,$T854:$CA854)</f>
        <v/>
      </c>
      <c r="P854" s="245">
        <f>SUMIF($T$4:$CA$4,P$4,$T854:$CA854)</f>
        <v/>
      </c>
      <c r="Q854" s="245">
        <f>SUMIF($T$4:$CA$4,Q$4,$T854:$CA854)</f>
        <v/>
      </c>
      <c r="T854" s="245">
        <f>IF(T$7="Actual","",IFERROR(-T70+T53,0))</f>
        <v/>
      </c>
      <c r="U854" s="245">
        <f>IF(U$7="Actual","",IFERROR(-U70+U53,0))</f>
        <v/>
      </c>
      <c r="V854" s="245">
        <f>IF(V$7="Actual","",IFERROR(-V70+V53,0))</f>
        <v/>
      </c>
      <c r="W854" s="245">
        <f>IF(W$7="Actual","",IFERROR(-W70+W53,0))</f>
        <v/>
      </c>
      <c r="X854" s="245">
        <f>IF(X$7="Actual","",IFERROR(-X70+X53,0))</f>
        <v/>
      </c>
      <c r="Y854" s="245">
        <f>IF(Y$7="Actual","",IFERROR(-Y70+Y53,0))</f>
        <v/>
      </c>
      <c r="Z854" s="245">
        <f>IF(Z$7="Actual","",IFERROR(-Z70+Z53,0))</f>
        <v/>
      </c>
      <c r="AA854" s="245">
        <f>IF(AA$7="Actual","",IFERROR(-AA70+AA53,0))</f>
        <v/>
      </c>
      <c r="AB854" s="245">
        <f>IF(AB$7="Actual","",IFERROR(-AB70+AB53,0))</f>
        <v/>
      </c>
      <c r="AC854" s="245">
        <f>IF(AC$7="Actual","",IFERROR(-AC70+AC53,0))</f>
        <v/>
      </c>
      <c r="AD854" s="245">
        <f>IF(AD$7="Actual","",IFERROR(-AD70+AD53,0))</f>
        <v/>
      </c>
      <c r="AE854" s="245">
        <f>IF(AE$7="Actual","",IFERROR(-AE70+AE53,0))</f>
        <v/>
      </c>
      <c r="AF854" s="245">
        <f>IF(AF$7="Actual","",IFERROR(-AF70+AF53,0))</f>
        <v/>
      </c>
      <c r="AG854" s="245">
        <f>IF(AG$7="Actual","",IFERROR(-AG70+AG53,0))</f>
        <v/>
      </c>
      <c r="AH854" s="245">
        <f>IF(AH$7="Actual","",IFERROR(-AH70+AH53,0))</f>
        <v/>
      </c>
      <c r="AI854" s="245">
        <f>IF(AI$7="Actual","",IFERROR(-AI70+AI53,0))</f>
        <v/>
      </c>
      <c r="AJ854" s="245">
        <f>IF(AJ$7="Actual","",IFERROR(-AJ70+AJ53,0))</f>
        <v/>
      </c>
      <c r="AK854" s="245">
        <f>IF(AK$7="Actual","",IFERROR(-AK70+AK53,0))</f>
        <v/>
      </c>
      <c r="AL854" s="245">
        <f>IF(AL$7="Actual","",IFERROR(-AL70+AL53,0))</f>
        <v/>
      </c>
      <c r="AM854" s="245">
        <f>IF(AM$7="Actual","",IFERROR(-AM70+AM53,0))</f>
        <v/>
      </c>
      <c r="AN854" s="245">
        <f>IF(AN$7="Actual","",IFERROR(-AN70+AN53,0))</f>
        <v/>
      </c>
      <c r="AO854" s="245">
        <f>IF(AO$7="Actual","",IFERROR(-AO70+AO53,0))</f>
        <v/>
      </c>
      <c r="AP854" s="245">
        <f>IF(AP$7="Actual","",IFERROR(-AP70+AP53,0))</f>
        <v/>
      </c>
      <c r="AQ854" s="245">
        <f>IF(AQ$7="Actual","",IFERROR(-AQ70+AQ53,0))</f>
        <v/>
      </c>
      <c r="AR854" s="245">
        <f>IF(AR$7="Actual","",IFERROR(-AR70+AR53,0))</f>
        <v/>
      </c>
      <c r="AS854" s="245">
        <f>IF(AS$7="Actual","",IFERROR(-AS70+AS53,0))</f>
        <v/>
      </c>
      <c r="AT854" s="245">
        <f>IF(AT$7="Actual","",IFERROR(-AT70+AT53,0))</f>
        <v/>
      </c>
      <c r="AU854" s="245">
        <f>IF(AU$7="Actual","",IFERROR(-AU70+AU53,0))</f>
        <v/>
      </c>
      <c r="AV854" s="245">
        <f>IF(AV$7="Actual","",IFERROR(-AV70+AV53,0))</f>
        <v/>
      </c>
      <c r="AW854" s="245">
        <f>IF(AW$7="Actual","",IFERROR(-AW70+AW53,0))</f>
        <v/>
      </c>
      <c r="AX854" s="245">
        <f>IF(AX$7="Actual","",IFERROR(-AX70+AX53,0))</f>
        <v/>
      </c>
      <c r="AY854" s="245">
        <f>IF(AY$7="Actual","",IFERROR(-AY70+AY53,0))</f>
        <v/>
      </c>
      <c r="AZ854" s="245">
        <f>IF(AZ$7="Actual","",IFERROR(-AZ70+AZ53,0))</f>
        <v/>
      </c>
      <c r="BA854" s="245">
        <f>IF(BA$7="Actual","",IFERROR(-BA70+BA53,0))</f>
        <v/>
      </c>
      <c r="BB854" s="245">
        <f>IF(BB$7="Actual","",IFERROR(-BB70+BB53,0))</f>
        <v/>
      </c>
      <c r="BC854" s="245">
        <f>IF(BC$7="Actual","",IFERROR(-BC70+BC53,0))</f>
        <v/>
      </c>
      <c r="BD854" s="245">
        <f>IF(BD$7="Actual","",IFERROR(-BD70+BD53,0))</f>
        <v/>
      </c>
      <c r="BE854" s="245">
        <f>IF(BE$7="Actual","",IFERROR(-BE70+BE53,0))</f>
        <v/>
      </c>
      <c r="BF854" s="245">
        <f>IF(BF$7="Actual","",IFERROR(-BF70+BF53,0))</f>
        <v/>
      </c>
      <c r="BG854" s="245">
        <f>IF(BG$7="Actual","",IFERROR(-BG70+BG53,0))</f>
        <v/>
      </c>
      <c r="BH854" s="245">
        <f>IF(BH$7="Actual","",IFERROR(-BH70+BH53,0))</f>
        <v/>
      </c>
      <c r="BI854" s="245">
        <f>IF(BI$7="Actual","",IFERROR(-BI70+BI53,0))</f>
        <v/>
      </c>
      <c r="BJ854" s="245">
        <f>IF(BJ$7="Actual","",IFERROR(-BJ70+BJ53,0))</f>
        <v/>
      </c>
      <c r="BK854" s="245">
        <f>IF(BK$7="Actual","",IFERROR(-BK70+BK53,0))</f>
        <v/>
      </c>
      <c r="BL854" s="245">
        <f>IF(BL$7="Actual","",IFERROR(-BL70+BL53,0))</f>
        <v/>
      </c>
      <c r="BM854" s="245">
        <f>IF(BM$7="Actual","",IFERROR(-BM70+BM53,0))</f>
        <v/>
      </c>
      <c r="BN854" s="245">
        <f>IF(BN$7="Actual","",IFERROR(-BN70+BN53,0))</f>
        <v/>
      </c>
      <c r="BO854" s="245">
        <f>IF(BO$7="Actual","",IFERROR(-BO70+BO53,0))</f>
        <v/>
      </c>
      <c r="BP854" s="245">
        <f>IF(BP$7="Actual","",IFERROR(-BP70+BP53,0))</f>
        <v/>
      </c>
      <c r="BQ854" s="245">
        <f>IF(BQ$7="Actual","",IFERROR(-BQ70+BQ53,0))</f>
        <v/>
      </c>
      <c r="BR854" s="245">
        <f>IF(BR$7="Actual","",IFERROR(-BR70+BR53,0))</f>
        <v/>
      </c>
      <c r="BS854" s="245">
        <f>IF(BS$7="Actual","",IFERROR(-BS70+BS53,0))</f>
        <v/>
      </c>
      <c r="BT854" s="245">
        <f>IF(BT$7="Actual","",IFERROR(-BT70+BT53,0))</f>
        <v/>
      </c>
      <c r="BU854" s="245">
        <f>IF(BU$7="Actual","",IFERROR(-BU70+BU53,0))</f>
        <v/>
      </c>
      <c r="BV854" s="245">
        <f>IF(BV$7="Actual","",IFERROR(-BV70+BV53,0))</f>
        <v/>
      </c>
      <c r="BW854" s="245">
        <f>IF(BW$7="Actual","",IFERROR(-BW70+BW53,0))</f>
        <v/>
      </c>
      <c r="BX854" s="245">
        <f>IF(BX$7="Actual","",IFERROR(-BX70+BX53,0))</f>
        <v/>
      </c>
      <c r="BY854" s="245">
        <f>IF(BY$7="Actual","",IFERROR(-BY70+BY53,0))</f>
        <v/>
      </c>
      <c r="BZ854" s="245">
        <f>IF(BZ$7="Actual","",IFERROR(-BZ70+BZ53,0))</f>
        <v/>
      </c>
      <c r="CA854" s="245">
        <f>IF(CA$7="Actual","",IFERROR(-CA70+CA53,0))</f>
        <v/>
      </c>
    </row>
    <row r="855" ht="12" customHeight="1" s="227">
      <c r="A855" s="244" t="n"/>
      <c r="B855" s="244" t="n"/>
      <c r="C855" s="244" t="n"/>
      <c r="K855" s="6" t="n"/>
    </row>
    <row r="856" ht="12" customHeight="1" s="227">
      <c r="A856" s="244" t="n"/>
      <c r="B856" s="244">
        <f>IF(K856&lt;&gt;"Yes",IF(SUM(M856:O856)&lt;&gt;0,1,0),0)</f>
        <v/>
      </c>
      <c r="C856" s="244" t="n"/>
      <c r="H856" s="4">
        <f>i_Setup!U75</f>
        <v/>
      </c>
      <c r="I856" s="27">
        <f>i_Setup!$M$16</f>
        <v/>
      </c>
      <c r="K856" s="259">
        <f>i_Setup!P75</f>
        <v/>
      </c>
      <c r="M856" s="245">
        <f>SUMIF($T$4:$CA$4,M$4,$T856:$CA856)</f>
        <v/>
      </c>
      <c r="N856" s="245">
        <f>SUMIF($T$4:$CA$4,N$4,$T856:$CA856)</f>
        <v/>
      </c>
      <c r="O856" s="245">
        <f>SUMIF($T$4:$CA$4,O$4,$T856:$CA856)</f>
        <v/>
      </c>
      <c r="P856" s="245">
        <f>SUMIF($T$4:$CA$4,P$4,$T856:$CA856)</f>
        <v/>
      </c>
      <c r="Q856" s="245">
        <f>SUMIF($T$4:$CA$4,Q$4,$T856:$CA856)</f>
        <v/>
      </c>
      <c r="T856" s="245">
        <f>IF(T$7="Actual","",IFERROR(-T227+T214,0))</f>
        <v/>
      </c>
      <c r="U856" s="245">
        <f>IF(U$7="Actual","",IFERROR(-U227+U214,0))</f>
        <v/>
      </c>
      <c r="V856" s="245">
        <f>IF(V$7="Actual","",IFERROR(-V227+V214,0))</f>
        <v/>
      </c>
      <c r="W856" s="245">
        <f>IF(W$7="Actual","",IFERROR(-W227+W214,0))</f>
        <v/>
      </c>
      <c r="X856" s="245">
        <f>IF(X$7="Actual","",IFERROR(-X227+X214,0))</f>
        <v/>
      </c>
      <c r="Y856" s="245">
        <f>IF(Y$7="Actual","",IFERROR(-Y227+Y214,0))</f>
        <v/>
      </c>
      <c r="Z856" s="245">
        <f>IF(Z$7="Actual","",IFERROR(-Z227+Z214,0))</f>
        <v/>
      </c>
      <c r="AA856" s="245">
        <f>IF(AA$7="Actual","",IFERROR(-AA227+AA214,0))</f>
        <v/>
      </c>
      <c r="AB856" s="245">
        <f>IF(AB$7="Actual","",IFERROR(-AB227+AB214,0))</f>
        <v/>
      </c>
      <c r="AC856" s="245">
        <f>IF(AC$7="Actual","",IFERROR(-AC227+AC214,0))</f>
        <v/>
      </c>
      <c r="AD856" s="245">
        <f>IF(AD$7="Actual","",IFERROR(-AD227+AD214,0))</f>
        <v/>
      </c>
      <c r="AE856" s="245">
        <f>IF(AE$7="Actual","",IFERROR(-AE227+AE214,0))</f>
        <v/>
      </c>
      <c r="AF856" s="245">
        <f>IF(AF$7="Actual","",IFERROR(-AF227+AF214,0))</f>
        <v/>
      </c>
      <c r="AG856" s="245">
        <f>IF(AG$7="Actual","",IFERROR(-AG227+AG214,0))</f>
        <v/>
      </c>
      <c r="AH856" s="245">
        <f>IF(AH$7="Actual","",IFERROR(-AH227+AH214,0))</f>
        <v/>
      </c>
      <c r="AI856" s="245">
        <f>IF(AI$7="Actual","",IFERROR(-AI227+AI214,0))</f>
        <v/>
      </c>
      <c r="AJ856" s="245">
        <f>IF(AJ$7="Actual","",IFERROR(-AJ227+AJ214,0))</f>
        <v/>
      </c>
      <c r="AK856" s="245">
        <f>IF(AK$7="Actual","",IFERROR(-AK227+AK214,0))</f>
        <v/>
      </c>
      <c r="AL856" s="245">
        <f>IF(AL$7="Actual","",IFERROR(-AL227+AL214,0))</f>
        <v/>
      </c>
      <c r="AM856" s="245">
        <f>IF(AM$7="Actual","",IFERROR(-AM227+AM214,0))</f>
        <v/>
      </c>
      <c r="AN856" s="245">
        <f>IF(AN$7="Actual","",IFERROR(-AN227+AN214,0))</f>
        <v/>
      </c>
      <c r="AO856" s="245">
        <f>IF(AO$7="Actual","",IFERROR(-AO227+AO214,0))</f>
        <v/>
      </c>
      <c r="AP856" s="245">
        <f>IF(AP$7="Actual","",IFERROR(-AP227+AP214,0))</f>
        <v/>
      </c>
      <c r="AQ856" s="245">
        <f>IF(AQ$7="Actual","",IFERROR(-AQ227+AQ214,0))</f>
        <v/>
      </c>
      <c r="AR856" s="245">
        <f>IF(AR$7="Actual","",IFERROR(-AR227+AR214,0))</f>
        <v/>
      </c>
      <c r="AS856" s="245">
        <f>IF(AS$7="Actual","",IFERROR(-AS227+AS214,0))</f>
        <v/>
      </c>
      <c r="AT856" s="245">
        <f>IF(AT$7="Actual","",IFERROR(-AT227+AT214,0))</f>
        <v/>
      </c>
      <c r="AU856" s="245">
        <f>IF(AU$7="Actual","",IFERROR(-AU227+AU214,0))</f>
        <v/>
      </c>
      <c r="AV856" s="245">
        <f>IF(AV$7="Actual","",IFERROR(-AV227+AV214,0))</f>
        <v/>
      </c>
      <c r="AW856" s="245">
        <f>IF(AW$7="Actual","",IFERROR(-AW227+AW214,0))</f>
        <v/>
      </c>
      <c r="AX856" s="245">
        <f>IF(AX$7="Actual","",IFERROR(-AX227+AX214,0))</f>
        <v/>
      </c>
      <c r="AY856" s="245">
        <f>IF(AY$7="Actual","",IFERROR(-AY227+AY214,0))</f>
        <v/>
      </c>
      <c r="AZ856" s="245">
        <f>IF(AZ$7="Actual","",IFERROR(-AZ227+AZ214,0))</f>
        <v/>
      </c>
      <c r="BA856" s="245">
        <f>IF(BA$7="Actual","",IFERROR(-BA227+BA214,0))</f>
        <v/>
      </c>
      <c r="BB856" s="245">
        <f>IF(BB$7="Actual","",IFERROR(-BB227+BB214,0))</f>
        <v/>
      </c>
      <c r="BC856" s="245">
        <f>IF(BC$7="Actual","",IFERROR(-BC227+BC214,0))</f>
        <v/>
      </c>
      <c r="BD856" s="245">
        <f>IF(BD$7="Actual","",IFERROR(-BD227+BD214,0))</f>
        <v/>
      </c>
      <c r="BE856" s="245">
        <f>IF(BE$7="Actual","",IFERROR(-BE227+BE214,0))</f>
        <v/>
      </c>
      <c r="BF856" s="245">
        <f>IF(BF$7="Actual","",IFERROR(-BF227+BF214,0))</f>
        <v/>
      </c>
      <c r="BG856" s="245">
        <f>IF(BG$7="Actual","",IFERROR(-BG227+BG214,0))</f>
        <v/>
      </c>
      <c r="BH856" s="245">
        <f>IF(BH$7="Actual","",IFERROR(-BH227+BH214,0))</f>
        <v/>
      </c>
      <c r="BI856" s="245">
        <f>IF(BI$7="Actual","",IFERROR(-BI227+BI214,0))</f>
        <v/>
      </c>
      <c r="BJ856" s="245">
        <f>IF(BJ$7="Actual","",IFERROR(-BJ227+BJ214,0))</f>
        <v/>
      </c>
      <c r="BK856" s="245">
        <f>IF(BK$7="Actual","",IFERROR(-BK227+BK214,0))</f>
        <v/>
      </c>
      <c r="BL856" s="245">
        <f>IF(BL$7="Actual","",IFERROR(-BL227+BL214,0))</f>
        <v/>
      </c>
      <c r="BM856" s="245">
        <f>IF(BM$7="Actual","",IFERROR(-BM227+BM214,0))</f>
        <v/>
      </c>
      <c r="BN856" s="245">
        <f>IF(BN$7="Actual","",IFERROR(-BN227+BN214,0))</f>
        <v/>
      </c>
      <c r="BO856" s="245">
        <f>IF(BO$7="Actual","",IFERROR(-BO227+BO214,0))</f>
        <v/>
      </c>
      <c r="BP856" s="245">
        <f>IF(BP$7="Actual","",IFERROR(-BP227+BP214,0))</f>
        <v/>
      </c>
      <c r="BQ856" s="245">
        <f>IF(BQ$7="Actual","",IFERROR(-BQ227+BQ214,0))</f>
        <v/>
      </c>
      <c r="BR856" s="245">
        <f>IF(BR$7="Actual","",IFERROR(-BR227+BR214,0))</f>
        <v/>
      </c>
      <c r="BS856" s="245">
        <f>IF(BS$7="Actual","",IFERROR(-BS227+BS214,0))</f>
        <v/>
      </c>
      <c r="BT856" s="245">
        <f>IF(BT$7="Actual","",IFERROR(-BT227+BT214,0))</f>
        <v/>
      </c>
      <c r="BU856" s="245">
        <f>IF(BU$7="Actual","",IFERROR(-BU227+BU214,0))</f>
        <v/>
      </c>
      <c r="BV856" s="245">
        <f>IF(BV$7="Actual","",IFERROR(-BV227+BV214,0))</f>
        <v/>
      </c>
      <c r="BW856" s="245">
        <f>IF(BW$7="Actual","",IFERROR(-BW227+BW214,0))</f>
        <v/>
      </c>
      <c r="BX856" s="245">
        <f>IF(BX$7="Actual","",IFERROR(-BX227+BX214,0))</f>
        <v/>
      </c>
      <c r="BY856" s="245">
        <f>IF(BY$7="Actual","",IFERROR(-BY227+BY214,0))</f>
        <v/>
      </c>
      <c r="BZ856" s="245">
        <f>IF(BZ$7="Actual","",IFERROR(-BZ227+BZ214,0))</f>
        <v/>
      </c>
      <c r="CA856" s="245">
        <f>IF(CA$7="Actual","",IFERROR(-CA227+CA214,0))</f>
        <v/>
      </c>
    </row>
    <row r="857" ht="12" customHeight="1" s="227">
      <c r="A857" s="244" t="n"/>
      <c r="B857" s="244">
        <f>IF(K857&lt;&gt;"Yes",IF(SUM(M857:O857)&lt;&gt;0,1,0),0)</f>
        <v/>
      </c>
      <c r="C857" s="244" t="n"/>
      <c r="H857" s="4">
        <f>i_Setup!U76</f>
        <v/>
      </c>
      <c r="I857" s="27">
        <f>i_Setup!$M$16</f>
        <v/>
      </c>
      <c r="K857" s="259">
        <f>i_Setup!P76</f>
        <v/>
      </c>
      <c r="M857" s="245">
        <f>SUMIF($T$4:$CA$4,M$4,$T857:$CA857)</f>
        <v/>
      </c>
      <c r="N857" s="245">
        <f>SUMIF($T$4:$CA$4,N$4,$T857:$CA857)</f>
        <v/>
      </c>
      <c r="O857" s="245">
        <f>SUMIF($T$4:$CA$4,O$4,$T857:$CA857)</f>
        <v/>
      </c>
      <c r="P857" s="245">
        <f>SUMIF($T$4:$CA$4,P$4,$T857:$CA857)</f>
        <v/>
      </c>
      <c r="Q857" s="245">
        <f>SUMIF($T$4:$CA$4,Q$4,$T857:$CA857)</f>
        <v/>
      </c>
      <c r="T857" s="245">
        <f>IF(T$7="Actual","",IFERROR(-T228+T215,0))</f>
        <v/>
      </c>
      <c r="U857" s="245">
        <f>IF(U$7="Actual","",IFERROR(-U228+U215,0))</f>
        <v/>
      </c>
      <c r="V857" s="245">
        <f>IF(V$7="Actual","",IFERROR(-V228+V215,0))</f>
        <v/>
      </c>
      <c r="W857" s="245">
        <f>IF(W$7="Actual","",IFERROR(-W228+W215,0))</f>
        <v/>
      </c>
      <c r="X857" s="245">
        <f>IF(X$7="Actual","",IFERROR(-X228+X215,0))</f>
        <v/>
      </c>
      <c r="Y857" s="245">
        <f>IF(Y$7="Actual","",IFERROR(-Y228+Y215,0))</f>
        <v/>
      </c>
      <c r="Z857" s="245">
        <f>IF(Z$7="Actual","",IFERROR(-Z228+Z215,0))</f>
        <v/>
      </c>
      <c r="AA857" s="245">
        <f>IF(AA$7="Actual","",IFERROR(-AA228+AA215,0))</f>
        <v/>
      </c>
      <c r="AB857" s="245">
        <f>IF(AB$7="Actual","",IFERROR(-AB228+AB215,0))</f>
        <v/>
      </c>
      <c r="AC857" s="245">
        <f>IF(AC$7="Actual","",IFERROR(-AC228+AC215,0))</f>
        <v/>
      </c>
      <c r="AD857" s="245">
        <f>IF(AD$7="Actual","",IFERROR(-AD228+AD215,0))</f>
        <v/>
      </c>
      <c r="AE857" s="245">
        <f>IF(AE$7="Actual","",IFERROR(-AE228+AE215,0))</f>
        <v/>
      </c>
      <c r="AF857" s="245">
        <f>IF(AF$7="Actual","",IFERROR(-AF228+AF215,0))</f>
        <v/>
      </c>
      <c r="AG857" s="245">
        <f>IF(AG$7="Actual","",IFERROR(-AG228+AG215,0))</f>
        <v/>
      </c>
      <c r="AH857" s="245">
        <f>IF(AH$7="Actual","",IFERROR(-AH228+AH215,0))</f>
        <v/>
      </c>
      <c r="AI857" s="245">
        <f>IF(AI$7="Actual","",IFERROR(-AI228+AI215,0))</f>
        <v/>
      </c>
      <c r="AJ857" s="245">
        <f>IF(AJ$7="Actual","",IFERROR(-AJ228+AJ215,0))</f>
        <v/>
      </c>
      <c r="AK857" s="245">
        <f>IF(AK$7="Actual","",IFERROR(-AK228+AK215,0))</f>
        <v/>
      </c>
      <c r="AL857" s="245">
        <f>IF(AL$7="Actual","",IFERROR(-AL228+AL215,0))</f>
        <v/>
      </c>
      <c r="AM857" s="245">
        <f>IF(AM$7="Actual","",IFERROR(-AM228+AM215,0))</f>
        <v/>
      </c>
      <c r="AN857" s="245">
        <f>IF(AN$7="Actual","",IFERROR(-AN228+AN215,0))</f>
        <v/>
      </c>
      <c r="AO857" s="245">
        <f>IF(AO$7="Actual","",IFERROR(-AO228+AO215,0))</f>
        <v/>
      </c>
      <c r="AP857" s="245">
        <f>IF(AP$7="Actual","",IFERROR(-AP228+AP215,0))</f>
        <v/>
      </c>
      <c r="AQ857" s="245">
        <f>IF(AQ$7="Actual","",IFERROR(-AQ228+AQ215,0))</f>
        <v/>
      </c>
      <c r="AR857" s="245">
        <f>IF(AR$7="Actual","",IFERROR(-AR228+AR215,0))</f>
        <v/>
      </c>
      <c r="AS857" s="245">
        <f>IF(AS$7="Actual","",IFERROR(-AS228+AS215,0))</f>
        <v/>
      </c>
      <c r="AT857" s="245">
        <f>IF(AT$7="Actual","",IFERROR(-AT228+AT215,0))</f>
        <v/>
      </c>
      <c r="AU857" s="245">
        <f>IF(AU$7="Actual","",IFERROR(-AU228+AU215,0))</f>
        <v/>
      </c>
      <c r="AV857" s="245">
        <f>IF(AV$7="Actual","",IFERROR(-AV228+AV215,0))</f>
        <v/>
      </c>
      <c r="AW857" s="245">
        <f>IF(AW$7="Actual","",IFERROR(-AW228+AW215,0))</f>
        <v/>
      </c>
      <c r="AX857" s="245">
        <f>IF(AX$7="Actual","",IFERROR(-AX228+AX215,0))</f>
        <v/>
      </c>
      <c r="AY857" s="245">
        <f>IF(AY$7="Actual","",IFERROR(-AY228+AY215,0))</f>
        <v/>
      </c>
      <c r="AZ857" s="245">
        <f>IF(AZ$7="Actual","",IFERROR(-AZ228+AZ215,0))</f>
        <v/>
      </c>
      <c r="BA857" s="245">
        <f>IF(BA$7="Actual","",IFERROR(-BA228+BA215,0))</f>
        <v/>
      </c>
      <c r="BB857" s="245">
        <f>IF(BB$7="Actual","",IFERROR(-BB228+BB215,0))</f>
        <v/>
      </c>
      <c r="BC857" s="245">
        <f>IF(BC$7="Actual","",IFERROR(-BC228+BC215,0))</f>
        <v/>
      </c>
      <c r="BD857" s="245">
        <f>IF(BD$7="Actual","",IFERROR(-BD228+BD215,0))</f>
        <v/>
      </c>
      <c r="BE857" s="245">
        <f>IF(BE$7="Actual","",IFERROR(-BE228+BE215,0))</f>
        <v/>
      </c>
      <c r="BF857" s="245">
        <f>IF(BF$7="Actual","",IFERROR(-BF228+BF215,0))</f>
        <v/>
      </c>
      <c r="BG857" s="245">
        <f>IF(BG$7="Actual","",IFERROR(-BG228+BG215,0))</f>
        <v/>
      </c>
      <c r="BH857" s="245">
        <f>IF(BH$7="Actual","",IFERROR(-BH228+BH215,0))</f>
        <v/>
      </c>
      <c r="BI857" s="245">
        <f>IF(BI$7="Actual","",IFERROR(-BI228+BI215,0))</f>
        <v/>
      </c>
      <c r="BJ857" s="245">
        <f>IF(BJ$7="Actual","",IFERROR(-BJ228+BJ215,0))</f>
        <v/>
      </c>
      <c r="BK857" s="245">
        <f>IF(BK$7="Actual","",IFERROR(-BK228+BK215,0))</f>
        <v/>
      </c>
      <c r="BL857" s="245">
        <f>IF(BL$7="Actual","",IFERROR(-BL228+BL215,0))</f>
        <v/>
      </c>
      <c r="BM857" s="245">
        <f>IF(BM$7="Actual","",IFERROR(-BM228+BM215,0))</f>
        <v/>
      </c>
      <c r="BN857" s="245">
        <f>IF(BN$7="Actual","",IFERROR(-BN228+BN215,0))</f>
        <v/>
      </c>
      <c r="BO857" s="245">
        <f>IF(BO$7="Actual","",IFERROR(-BO228+BO215,0))</f>
        <v/>
      </c>
      <c r="BP857" s="245">
        <f>IF(BP$7="Actual","",IFERROR(-BP228+BP215,0))</f>
        <v/>
      </c>
      <c r="BQ857" s="245">
        <f>IF(BQ$7="Actual","",IFERROR(-BQ228+BQ215,0))</f>
        <v/>
      </c>
      <c r="BR857" s="245">
        <f>IF(BR$7="Actual","",IFERROR(-BR228+BR215,0))</f>
        <v/>
      </c>
      <c r="BS857" s="245">
        <f>IF(BS$7="Actual","",IFERROR(-BS228+BS215,0))</f>
        <v/>
      </c>
      <c r="BT857" s="245">
        <f>IF(BT$7="Actual","",IFERROR(-BT228+BT215,0))</f>
        <v/>
      </c>
      <c r="BU857" s="245">
        <f>IF(BU$7="Actual","",IFERROR(-BU228+BU215,0))</f>
        <v/>
      </c>
      <c r="BV857" s="245">
        <f>IF(BV$7="Actual","",IFERROR(-BV228+BV215,0))</f>
        <v/>
      </c>
      <c r="BW857" s="245">
        <f>IF(BW$7="Actual","",IFERROR(-BW228+BW215,0))</f>
        <v/>
      </c>
      <c r="BX857" s="245">
        <f>IF(BX$7="Actual","",IFERROR(-BX228+BX215,0))</f>
        <v/>
      </c>
      <c r="BY857" s="245">
        <f>IF(BY$7="Actual","",IFERROR(-BY228+BY215,0))</f>
        <v/>
      </c>
      <c r="BZ857" s="245">
        <f>IF(BZ$7="Actual","",IFERROR(-BZ228+BZ215,0))</f>
        <v/>
      </c>
      <c r="CA857" s="245">
        <f>IF(CA$7="Actual","",IFERROR(-CA228+CA215,0))</f>
        <v/>
      </c>
    </row>
    <row r="858" ht="12" customHeight="1" s="227">
      <c r="A858" s="244" t="n"/>
      <c r="B858" s="244">
        <f>IF(K858&lt;&gt;"Yes",IF(SUM(M858:O858)&lt;&gt;0,1,0),0)</f>
        <v/>
      </c>
      <c r="C858" s="244" t="n"/>
      <c r="H858" s="4">
        <f>i_Setup!U77</f>
        <v/>
      </c>
      <c r="I858" s="27">
        <f>i_Setup!$M$16</f>
        <v/>
      </c>
      <c r="K858" s="259">
        <f>i_Setup!P77</f>
        <v/>
      </c>
      <c r="M858" s="245">
        <f>SUMIF($T$4:$CA$4,M$4,$T858:$CA858)</f>
        <v/>
      </c>
      <c r="N858" s="245">
        <f>SUMIF($T$4:$CA$4,N$4,$T858:$CA858)</f>
        <v/>
      </c>
      <c r="O858" s="245">
        <f>SUMIF($T$4:$CA$4,O$4,$T858:$CA858)</f>
        <v/>
      </c>
      <c r="P858" s="245">
        <f>SUMIF($T$4:$CA$4,P$4,$T858:$CA858)</f>
        <v/>
      </c>
      <c r="Q858" s="245">
        <f>SUMIF($T$4:$CA$4,Q$4,$T858:$CA858)</f>
        <v/>
      </c>
      <c r="T858" s="245">
        <f>IF(T$7="Actual","",IFERROR(-T229+T216,0))</f>
        <v/>
      </c>
      <c r="U858" s="245">
        <f>IF(U$7="Actual","",IFERROR(-U229+U216,0))</f>
        <v/>
      </c>
      <c r="V858" s="245">
        <f>IF(V$7="Actual","",IFERROR(-V229+V216,0))</f>
        <v/>
      </c>
      <c r="W858" s="245">
        <f>IF(W$7="Actual","",IFERROR(-W229+W216,0))</f>
        <v/>
      </c>
      <c r="X858" s="245">
        <f>IF(X$7="Actual","",IFERROR(-X229+X216,0))</f>
        <v/>
      </c>
      <c r="Y858" s="245">
        <f>IF(Y$7="Actual","",IFERROR(-Y229+Y216,0))</f>
        <v/>
      </c>
      <c r="Z858" s="245">
        <f>IF(Z$7="Actual","",IFERROR(-Z229+Z216,0))</f>
        <v/>
      </c>
      <c r="AA858" s="245">
        <f>IF(AA$7="Actual","",IFERROR(-AA229+AA216,0))</f>
        <v/>
      </c>
      <c r="AB858" s="245">
        <f>IF(AB$7="Actual","",IFERROR(-AB229+AB216,0))</f>
        <v/>
      </c>
      <c r="AC858" s="245">
        <f>IF(AC$7="Actual","",IFERROR(-AC229+AC216,0))</f>
        <v/>
      </c>
      <c r="AD858" s="245">
        <f>IF(AD$7="Actual","",IFERROR(-AD229+AD216,0))</f>
        <v/>
      </c>
      <c r="AE858" s="245">
        <f>IF(AE$7="Actual","",IFERROR(-AE229+AE216,0))</f>
        <v/>
      </c>
      <c r="AF858" s="245">
        <f>IF(AF$7="Actual","",IFERROR(-AF229+AF216,0))</f>
        <v/>
      </c>
      <c r="AG858" s="245">
        <f>IF(AG$7="Actual","",IFERROR(-AG229+AG216,0))</f>
        <v/>
      </c>
      <c r="AH858" s="245">
        <f>IF(AH$7="Actual","",IFERROR(-AH229+AH216,0))</f>
        <v/>
      </c>
      <c r="AI858" s="245">
        <f>IF(AI$7="Actual","",IFERROR(-AI229+AI216,0))</f>
        <v/>
      </c>
      <c r="AJ858" s="245">
        <f>IF(AJ$7="Actual","",IFERROR(-AJ229+AJ216,0))</f>
        <v/>
      </c>
      <c r="AK858" s="245">
        <f>IF(AK$7="Actual","",IFERROR(-AK229+AK216,0))</f>
        <v/>
      </c>
      <c r="AL858" s="245">
        <f>IF(AL$7="Actual","",IFERROR(-AL229+AL216,0))</f>
        <v/>
      </c>
      <c r="AM858" s="245">
        <f>IF(AM$7="Actual","",IFERROR(-AM229+AM216,0))</f>
        <v/>
      </c>
      <c r="AN858" s="245">
        <f>IF(AN$7="Actual","",IFERROR(-AN229+AN216,0))</f>
        <v/>
      </c>
      <c r="AO858" s="245">
        <f>IF(AO$7="Actual","",IFERROR(-AO229+AO216,0))</f>
        <v/>
      </c>
      <c r="AP858" s="245">
        <f>IF(AP$7="Actual","",IFERROR(-AP229+AP216,0))</f>
        <v/>
      </c>
      <c r="AQ858" s="245">
        <f>IF(AQ$7="Actual","",IFERROR(-AQ229+AQ216,0))</f>
        <v/>
      </c>
      <c r="AR858" s="245">
        <f>IF(AR$7="Actual","",IFERROR(-AR229+AR216,0))</f>
        <v/>
      </c>
      <c r="AS858" s="245">
        <f>IF(AS$7="Actual","",IFERROR(-AS229+AS216,0))</f>
        <v/>
      </c>
      <c r="AT858" s="245">
        <f>IF(AT$7="Actual","",IFERROR(-AT229+AT216,0))</f>
        <v/>
      </c>
      <c r="AU858" s="245">
        <f>IF(AU$7="Actual","",IFERROR(-AU229+AU216,0))</f>
        <v/>
      </c>
      <c r="AV858" s="245">
        <f>IF(AV$7="Actual","",IFERROR(-AV229+AV216,0))</f>
        <v/>
      </c>
      <c r="AW858" s="245">
        <f>IF(AW$7="Actual","",IFERROR(-AW229+AW216,0))</f>
        <v/>
      </c>
      <c r="AX858" s="245">
        <f>IF(AX$7="Actual","",IFERROR(-AX229+AX216,0))</f>
        <v/>
      </c>
      <c r="AY858" s="245">
        <f>IF(AY$7="Actual","",IFERROR(-AY229+AY216,0))</f>
        <v/>
      </c>
      <c r="AZ858" s="245">
        <f>IF(AZ$7="Actual","",IFERROR(-AZ229+AZ216,0))</f>
        <v/>
      </c>
      <c r="BA858" s="245">
        <f>IF(BA$7="Actual","",IFERROR(-BA229+BA216,0))</f>
        <v/>
      </c>
      <c r="BB858" s="245">
        <f>IF(BB$7="Actual","",IFERROR(-BB229+BB216,0))</f>
        <v/>
      </c>
      <c r="BC858" s="245">
        <f>IF(BC$7="Actual","",IFERROR(-BC229+BC216,0))</f>
        <v/>
      </c>
      <c r="BD858" s="245">
        <f>IF(BD$7="Actual","",IFERROR(-BD229+BD216,0))</f>
        <v/>
      </c>
      <c r="BE858" s="245">
        <f>IF(BE$7="Actual","",IFERROR(-BE229+BE216,0))</f>
        <v/>
      </c>
      <c r="BF858" s="245">
        <f>IF(BF$7="Actual","",IFERROR(-BF229+BF216,0))</f>
        <v/>
      </c>
      <c r="BG858" s="245">
        <f>IF(BG$7="Actual","",IFERROR(-BG229+BG216,0))</f>
        <v/>
      </c>
      <c r="BH858" s="245">
        <f>IF(BH$7="Actual","",IFERROR(-BH229+BH216,0))</f>
        <v/>
      </c>
      <c r="BI858" s="245">
        <f>IF(BI$7="Actual","",IFERROR(-BI229+BI216,0))</f>
        <v/>
      </c>
      <c r="BJ858" s="245">
        <f>IF(BJ$7="Actual","",IFERROR(-BJ229+BJ216,0))</f>
        <v/>
      </c>
      <c r="BK858" s="245">
        <f>IF(BK$7="Actual","",IFERROR(-BK229+BK216,0))</f>
        <v/>
      </c>
      <c r="BL858" s="245">
        <f>IF(BL$7="Actual","",IFERROR(-BL229+BL216,0))</f>
        <v/>
      </c>
      <c r="BM858" s="245">
        <f>IF(BM$7="Actual","",IFERROR(-BM229+BM216,0))</f>
        <v/>
      </c>
      <c r="BN858" s="245">
        <f>IF(BN$7="Actual","",IFERROR(-BN229+BN216,0))</f>
        <v/>
      </c>
      <c r="BO858" s="245">
        <f>IF(BO$7="Actual","",IFERROR(-BO229+BO216,0))</f>
        <v/>
      </c>
      <c r="BP858" s="245">
        <f>IF(BP$7="Actual","",IFERROR(-BP229+BP216,0))</f>
        <v/>
      </c>
      <c r="BQ858" s="245">
        <f>IF(BQ$7="Actual","",IFERROR(-BQ229+BQ216,0))</f>
        <v/>
      </c>
      <c r="BR858" s="245">
        <f>IF(BR$7="Actual","",IFERROR(-BR229+BR216,0))</f>
        <v/>
      </c>
      <c r="BS858" s="245">
        <f>IF(BS$7="Actual","",IFERROR(-BS229+BS216,0))</f>
        <v/>
      </c>
      <c r="BT858" s="245">
        <f>IF(BT$7="Actual","",IFERROR(-BT229+BT216,0))</f>
        <v/>
      </c>
      <c r="BU858" s="245">
        <f>IF(BU$7="Actual","",IFERROR(-BU229+BU216,0))</f>
        <v/>
      </c>
      <c r="BV858" s="245">
        <f>IF(BV$7="Actual","",IFERROR(-BV229+BV216,0))</f>
        <v/>
      </c>
      <c r="BW858" s="245">
        <f>IF(BW$7="Actual","",IFERROR(-BW229+BW216,0))</f>
        <v/>
      </c>
      <c r="BX858" s="245">
        <f>IF(BX$7="Actual","",IFERROR(-BX229+BX216,0))</f>
        <v/>
      </c>
      <c r="BY858" s="245">
        <f>IF(BY$7="Actual","",IFERROR(-BY229+BY216,0))</f>
        <v/>
      </c>
      <c r="BZ858" s="245">
        <f>IF(BZ$7="Actual","",IFERROR(-BZ229+BZ216,0))</f>
        <v/>
      </c>
      <c r="CA858" s="245">
        <f>IF(CA$7="Actual","",IFERROR(-CA229+CA216,0))</f>
        <v/>
      </c>
    </row>
    <row r="859" ht="12" customHeight="1" s="227">
      <c r="A859" s="244" t="n"/>
      <c r="B859" s="244">
        <f>IF(K859&lt;&gt;"Yes",IF(SUM(M859:O859)&lt;&gt;0,1,0),0)</f>
        <v/>
      </c>
      <c r="C859" s="244" t="n"/>
      <c r="H859" s="4">
        <f>i_Setup!U78</f>
        <v/>
      </c>
      <c r="I859" s="27">
        <f>i_Setup!$M$16</f>
        <v/>
      </c>
      <c r="K859" s="259">
        <f>i_Setup!P78</f>
        <v/>
      </c>
      <c r="M859" s="245">
        <f>SUMIF($T$4:$CA$4,M$4,$T859:$CA859)</f>
        <v/>
      </c>
      <c r="N859" s="245">
        <f>SUMIF($T$4:$CA$4,N$4,$T859:$CA859)</f>
        <v/>
      </c>
      <c r="O859" s="245">
        <f>SUMIF($T$4:$CA$4,O$4,$T859:$CA859)</f>
        <v/>
      </c>
      <c r="P859" s="245">
        <f>SUMIF($T$4:$CA$4,P$4,$T859:$CA859)</f>
        <v/>
      </c>
      <c r="Q859" s="245">
        <f>SUMIF($T$4:$CA$4,Q$4,$T859:$CA859)</f>
        <v/>
      </c>
      <c r="T859" s="245">
        <f>IF(T$7="Actual","",IFERROR(-T230+T217,0))</f>
        <v/>
      </c>
      <c r="U859" s="245">
        <f>IF(U$7="Actual","",IFERROR(-U230+U217,0))</f>
        <v/>
      </c>
      <c r="V859" s="245">
        <f>IF(V$7="Actual","",IFERROR(-V230+V217,0))</f>
        <v/>
      </c>
      <c r="W859" s="245">
        <f>IF(W$7="Actual","",IFERROR(-W230+W217,0))</f>
        <v/>
      </c>
      <c r="X859" s="245">
        <f>IF(X$7="Actual","",IFERROR(-X230+X217,0))</f>
        <v/>
      </c>
      <c r="Y859" s="245">
        <f>IF(Y$7="Actual","",IFERROR(-Y230+Y217,0))</f>
        <v/>
      </c>
      <c r="Z859" s="245">
        <f>IF(Z$7="Actual","",IFERROR(-Z230+Z217,0))</f>
        <v/>
      </c>
      <c r="AA859" s="245">
        <f>IF(AA$7="Actual","",IFERROR(-AA230+AA217,0))</f>
        <v/>
      </c>
      <c r="AB859" s="245">
        <f>IF(AB$7="Actual","",IFERROR(-AB230+AB217,0))</f>
        <v/>
      </c>
      <c r="AC859" s="245">
        <f>IF(AC$7="Actual","",IFERROR(-AC230+AC217,0))</f>
        <v/>
      </c>
      <c r="AD859" s="245">
        <f>IF(AD$7="Actual","",IFERROR(-AD230+AD217,0))</f>
        <v/>
      </c>
      <c r="AE859" s="245">
        <f>IF(AE$7="Actual","",IFERROR(-AE230+AE217,0))</f>
        <v/>
      </c>
      <c r="AF859" s="245">
        <f>IF(AF$7="Actual","",IFERROR(-AF230+AF217,0))</f>
        <v/>
      </c>
      <c r="AG859" s="245">
        <f>IF(AG$7="Actual","",IFERROR(-AG230+AG217,0))</f>
        <v/>
      </c>
      <c r="AH859" s="245">
        <f>IF(AH$7="Actual","",IFERROR(-AH230+AH217,0))</f>
        <v/>
      </c>
      <c r="AI859" s="245">
        <f>IF(AI$7="Actual","",IFERROR(-AI230+AI217,0))</f>
        <v/>
      </c>
      <c r="AJ859" s="245">
        <f>IF(AJ$7="Actual","",IFERROR(-AJ230+AJ217,0))</f>
        <v/>
      </c>
      <c r="AK859" s="245">
        <f>IF(AK$7="Actual","",IFERROR(-AK230+AK217,0))</f>
        <v/>
      </c>
      <c r="AL859" s="245">
        <f>IF(AL$7="Actual","",IFERROR(-AL230+AL217,0))</f>
        <v/>
      </c>
      <c r="AM859" s="245">
        <f>IF(AM$7="Actual","",IFERROR(-AM230+AM217,0))</f>
        <v/>
      </c>
      <c r="AN859" s="245">
        <f>IF(AN$7="Actual","",IFERROR(-AN230+AN217,0))</f>
        <v/>
      </c>
      <c r="AO859" s="245">
        <f>IF(AO$7="Actual","",IFERROR(-AO230+AO217,0))</f>
        <v/>
      </c>
      <c r="AP859" s="245">
        <f>IF(AP$7="Actual","",IFERROR(-AP230+AP217,0))</f>
        <v/>
      </c>
      <c r="AQ859" s="245">
        <f>IF(AQ$7="Actual","",IFERROR(-AQ230+AQ217,0))</f>
        <v/>
      </c>
      <c r="AR859" s="245">
        <f>IF(AR$7="Actual","",IFERROR(-AR230+AR217,0))</f>
        <v/>
      </c>
      <c r="AS859" s="245">
        <f>IF(AS$7="Actual","",IFERROR(-AS230+AS217,0))</f>
        <v/>
      </c>
      <c r="AT859" s="245">
        <f>IF(AT$7="Actual","",IFERROR(-AT230+AT217,0))</f>
        <v/>
      </c>
      <c r="AU859" s="245">
        <f>IF(AU$7="Actual","",IFERROR(-AU230+AU217,0))</f>
        <v/>
      </c>
      <c r="AV859" s="245">
        <f>IF(AV$7="Actual","",IFERROR(-AV230+AV217,0))</f>
        <v/>
      </c>
      <c r="AW859" s="245">
        <f>IF(AW$7="Actual","",IFERROR(-AW230+AW217,0))</f>
        <v/>
      </c>
      <c r="AX859" s="245">
        <f>IF(AX$7="Actual","",IFERROR(-AX230+AX217,0))</f>
        <v/>
      </c>
      <c r="AY859" s="245">
        <f>IF(AY$7="Actual","",IFERROR(-AY230+AY217,0))</f>
        <v/>
      </c>
      <c r="AZ859" s="245">
        <f>IF(AZ$7="Actual","",IFERROR(-AZ230+AZ217,0))</f>
        <v/>
      </c>
      <c r="BA859" s="245">
        <f>IF(BA$7="Actual","",IFERROR(-BA230+BA217,0))</f>
        <v/>
      </c>
      <c r="BB859" s="245">
        <f>IF(BB$7="Actual","",IFERROR(-BB230+BB217,0))</f>
        <v/>
      </c>
      <c r="BC859" s="245">
        <f>IF(BC$7="Actual","",IFERROR(-BC230+BC217,0))</f>
        <v/>
      </c>
      <c r="BD859" s="245">
        <f>IF(BD$7="Actual","",IFERROR(-BD230+BD217,0))</f>
        <v/>
      </c>
      <c r="BE859" s="245">
        <f>IF(BE$7="Actual","",IFERROR(-BE230+BE217,0))</f>
        <v/>
      </c>
      <c r="BF859" s="245">
        <f>IF(BF$7="Actual","",IFERROR(-BF230+BF217,0))</f>
        <v/>
      </c>
      <c r="BG859" s="245">
        <f>IF(BG$7="Actual","",IFERROR(-BG230+BG217,0))</f>
        <v/>
      </c>
      <c r="BH859" s="245">
        <f>IF(BH$7="Actual","",IFERROR(-BH230+BH217,0))</f>
        <v/>
      </c>
      <c r="BI859" s="245">
        <f>IF(BI$7="Actual","",IFERROR(-BI230+BI217,0))</f>
        <v/>
      </c>
      <c r="BJ859" s="245">
        <f>IF(BJ$7="Actual","",IFERROR(-BJ230+BJ217,0))</f>
        <v/>
      </c>
      <c r="BK859" s="245">
        <f>IF(BK$7="Actual","",IFERROR(-BK230+BK217,0))</f>
        <v/>
      </c>
      <c r="BL859" s="245">
        <f>IF(BL$7="Actual","",IFERROR(-BL230+BL217,0))</f>
        <v/>
      </c>
      <c r="BM859" s="245">
        <f>IF(BM$7="Actual","",IFERROR(-BM230+BM217,0))</f>
        <v/>
      </c>
      <c r="BN859" s="245">
        <f>IF(BN$7="Actual","",IFERROR(-BN230+BN217,0))</f>
        <v/>
      </c>
      <c r="BO859" s="245">
        <f>IF(BO$7="Actual","",IFERROR(-BO230+BO217,0))</f>
        <v/>
      </c>
      <c r="BP859" s="245">
        <f>IF(BP$7="Actual","",IFERROR(-BP230+BP217,0))</f>
        <v/>
      </c>
      <c r="BQ859" s="245">
        <f>IF(BQ$7="Actual","",IFERROR(-BQ230+BQ217,0))</f>
        <v/>
      </c>
      <c r="BR859" s="245">
        <f>IF(BR$7="Actual","",IFERROR(-BR230+BR217,0))</f>
        <v/>
      </c>
      <c r="BS859" s="245">
        <f>IF(BS$7="Actual","",IFERROR(-BS230+BS217,0))</f>
        <v/>
      </c>
      <c r="BT859" s="245">
        <f>IF(BT$7="Actual","",IFERROR(-BT230+BT217,0))</f>
        <v/>
      </c>
      <c r="BU859" s="245">
        <f>IF(BU$7="Actual","",IFERROR(-BU230+BU217,0))</f>
        <v/>
      </c>
      <c r="BV859" s="245">
        <f>IF(BV$7="Actual","",IFERROR(-BV230+BV217,0))</f>
        <v/>
      </c>
      <c r="BW859" s="245">
        <f>IF(BW$7="Actual","",IFERROR(-BW230+BW217,0))</f>
        <v/>
      </c>
      <c r="BX859" s="245">
        <f>IF(BX$7="Actual","",IFERROR(-BX230+BX217,0))</f>
        <v/>
      </c>
      <c r="BY859" s="245">
        <f>IF(BY$7="Actual","",IFERROR(-BY230+BY217,0))</f>
        <v/>
      </c>
      <c r="BZ859" s="245">
        <f>IF(BZ$7="Actual","",IFERROR(-BZ230+BZ217,0))</f>
        <v/>
      </c>
      <c r="CA859" s="245">
        <f>IF(CA$7="Actual","",IFERROR(-CA230+CA217,0))</f>
        <v/>
      </c>
    </row>
    <row r="860" ht="12" customHeight="1" s="227">
      <c r="A860" s="244" t="n"/>
      <c r="B860" s="244">
        <f>IF(K860&lt;&gt;"Yes",IF(SUM(M860:O860)&lt;&gt;0,1,0),0)</f>
        <v/>
      </c>
      <c r="C860" s="244" t="n"/>
      <c r="H860" s="4">
        <f>i_Setup!U79</f>
        <v/>
      </c>
      <c r="I860" s="27">
        <f>i_Setup!$M$16</f>
        <v/>
      </c>
      <c r="K860" s="259">
        <f>i_Setup!P79</f>
        <v/>
      </c>
      <c r="M860" s="245">
        <f>SUMIF($T$4:$CA$4,M$4,$T860:$CA860)</f>
        <v/>
      </c>
      <c r="N860" s="245">
        <f>SUMIF($T$4:$CA$4,N$4,$T860:$CA860)</f>
        <v/>
      </c>
      <c r="O860" s="245">
        <f>SUMIF($T$4:$CA$4,O$4,$T860:$CA860)</f>
        <v/>
      </c>
      <c r="P860" s="245">
        <f>SUMIF($T$4:$CA$4,P$4,$T860:$CA860)</f>
        <v/>
      </c>
      <c r="Q860" s="245">
        <f>SUMIF($T$4:$CA$4,Q$4,$T860:$CA860)</f>
        <v/>
      </c>
      <c r="T860" s="245">
        <f>IF(T$7="Actual","",IFERROR(-T231+T218,0))</f>
        <v/>
      </c>
      <c r="U860" s="245">
        <f>IF(U$7="Actual","",IFERROR(-U231+U218,0))</f>
        <v/>
      </c>
      <c r="V860" s="245">
        <f>IF(V$7="Actual","",IFERROR(-V231+V218,0))</f>
        <v/>
      </c>
      <c r="W860" s="245">
        <f>IF(W$7="Actual","",IFERROR(-W231+W218,0))</f>
        <v/>
      </c>
      <c r="X860" s="245">
        <f>IF(X$7="Actual","",IFERROR(-X231+X218,0))</f>
        <v/>
      </c>
      <c r="Y860" s="245">
        <f>IF(Y$7="Actual","",IFERROR(-Y231+Y218,0))</f>
        <v/>
      </c>
      <c r="Z860" s="245">
        <f>IF(Z$7="Actual","",IFERROR(-Z231+Z218,0))</f>
        <v/>
      </c>
      <c r="AA860" s="245">
        <f>IF(AA$7="Actual","",IFERROR(-AA231+AA218,0))</f>
        <v/>
      </c>
      <c r="AB860" s="245">
        <f>IF(AB$7="Actual","",IFERROR(-AB231+AB218,0))</f>
        <v/>
      </c>
      <c r="AC860" s="245">
        <f>IF(AC$7="Actual","",IFERROR(-AC231+AC218,0))</f>
        <v/>
      </c>
      <c r="AD860" s="245">
        <f>IF(AD$7="Actual","",IFERROR(-AD231+AD218,0))</f>
        <v/>
      </c>
      <c r="AE860" s="245">
        <f>IF(AE$7="Actual","",IFERROR(-AE231+AE218,0))</f>
        <v/>
      </c>
      <c r="AF860" s="245">
        <f>IF(AF$7="Actual","",IFERROR(-AF231+AF218,0))</f>
        <v/>
      </c>
      <c r="AG860" s="245">
        <f>IF(AG$7="Actual","",IFERROR(-AG231+AG218,0))</f>
        <v/>
      </c>
      <c r="AH860" s="245">
        <f>IF(AH$7="Actual","",IFERROR(-AH231+AH218,0))</f>
        <v/>
      </c>
      <c r="AI860" s="245">
        <f>IF(AI$7="Actual","",IFERROR(-AI231+AI218,0))</f>
        <v/>
      </c>
      <c r="AJ860" s="245">
        <f>IF(AJ$7="Actual","",IFERROR(-AJ231+AJ218,0))</f>
        <v/>
      </c>
      <c r="AK860" s="245">
        <f>IF(AK$7="Actual","",IFERROR(-AK231+AK218,0))</f>
        <v/>
      </c>
      <c r="AL860" s="245">
        <f>IF(AL$7="Actual","",IFERROR(-AL231+AL218,0))</f>
        <v/>
      </c>
      <c r="AM860" s="245">
        <f>IF(AM$7="Actual","",IFERROR(-AM231+AM218,0))</f>
        <v/>
      </c>
      <c r="AN860" s="245">
        <f>IF(AN$7="Actual","",IFERROR(-AN231+AN218,0))</f>
        <v/>
      </c>
      <c r="AO860" s="245">
        <f>IF(AO$7="Actual","",IFERROR(-AO231+AO218,0))</f>
        <v/>
      </c>
      <c r="AP860" s="245">
        <f>IF(AP$7="Actual","",IFERROR(-AP231+AP218,0))</f>
        <v/>
      </c>
      <c r="AQ860" s="245">
        <f>IF(AQ$7="Actual","",IFERROR(-AQ231+AQ218,0))</f>
        <v/>
      </c>
      <c r="AR860" s="245">
        <f>IF(AR$7="Actual","",IFERROR(-AR231+AR218,0))</f>
        <v/>
      </c>
      <c r="AS860" s="245">
        <f>IF(AS$7="Actual","",IFERROR(-AS231+AS218,0))</f>
        <v/>
      </c>
      <c r="AT860" s="245">
        <f>IF(AT$7="Actual","",IFERROR(-AT231+AT218,0))</f>
        <v/>
      </c>
      <c r="AU860" s="245">
        <f>IF(AU$7="Actual","",IFERROR(-AU231+AU218,0))</f>
        <v/>
      </c>
      <c r="AV860" s="245">
        <f>IF(AV$7="Actual","",IFERROR(-AV231+AV218,0))</f>
        <v/>
      </c>
      <c r="AW860" s="245">
        <f>IF(AW$7="Actual","",IFERROR(-AW231+AW218,0))</f>
        <v/>
      </c>
      <c r="AX860" s="245">
        <f>IF(AX$7="Actual","",IFERROR(-AX231+AX218,0))</f>
        <v/>
      </c>
      <c r="AY860" s="245">
        <f>IF(AY$7="Actual","",IFERROR(-AY231+AY218,0))</f>
        <v/>
      </c>
      <c r="AZ860" s="245">
        <f>IF(AZ$7="Actual","",IFERROR(-AZ231+AZ218,0))</f>
        <v/>
      </c>
      <c r="BA860" s="245">
        <f>IF(BA$7="Actual","",IFERROR(-BA231+BA218,0))</f>
        <v/>
      </c>
      <c r="BB860" s="245">
        <f>IF(BB$7="Actual","",IFERROR(-BB231+BB218,0))</f>
        <v/>
      </c>
      <c r="BC860" s="245">
        <f>IF(BC$7="Actual","",IFERROR(-BC231+BC218,0))</f>
        <v/>
      </c>
      <c r="BD860" s="245">
        <f>IF(BD$7="Actual","",IFERROR(-BD231+BD218,0))</f>
        <v/>
      </c>
      <c r="BE860" s="245">
        <f>IF(BE$7="Actual","",IFERROR(-BE231+BE218,0))</f>
        <v/>
      </c>
      <c r="BF860" s="245">
        <f>IF(BF$7="Actual","",IFERROR(-BF231+BF218,0))</f>
        <v/>
      </c>
      <c r="BG860" s="245">
        <f>IF(BG$7="Actual","",IFERROR(-BG231+BG218,0))</f>
        <v/>
      </c>
      <c r="BH860" s="245">
        <f>IF(BH$7="Actual","",IFERROR(-BH231+BH218,0))</f>
        <v/>
      </c>
      <c r="BI860" s="245">
        <f>IF(BI$7="Actual","",IFERROR(-BI231+BI218,0))</f>
        <v/>
      </c>
      <c r="BJ860" s="245">
        <f>IF(BJ$7="Actual","",IFERROR(-BJ231+BJ218,0))</f>
        <v/>
      </c>
      <c r="BK860" s="245">
        <f>IF(BK$7="Actual","",IFERROR(-BK231+BK218,0))</f>
        <v/>
      </c>
      <c r="BL860" s="245">
        <f>IF(BL$7="Actual","",IFERROR(-BL231+BL218,0))</f>
        <v/>
      </c>
      <c r="BM860" s="245">
        <f>IF(BM$7="Actual","",IFERROR(-BM231+BM218,0))</f>
        <v/>
      </c>
      <c r="BN860" s="245">
        <f>IF(BN$7="Actual","",IFERROR(-BN231+BN218,0))</f>
        <v/>
      </c>
      <c r="BO860" s="245">
        <f>IF(BO$7="Actual","",IFERROR(-BO231+BO218,0))</f>
        <v/>
      </c>
      <c r="BP860" s="245">
        <f>IF(BP$7="Actual","",IFERROR(-BP231+BP218,0))</f>
        <v/>
      </c>
      <c r="BQ860" s="245">
        <f>IF(BQ$7="Actual","",IFERROR(-BQ231+BQ218,0))</f>
        <v/>
      </c>
      <c r="BR860" s="245">
        <f>IF(BR$7="Actual","",IFERROR(-BR231+BR218,0))</f>
        <v/>
      </c>
      <c r="BS860" s="245">
        <f>IF(BS$7="Actual","",IFERROR(-BS231+BS218,0))</f>
        <v/>
      </c>
      <c r="BT860" s="245">
        <f>IF(BT$7="Actual","",IFERROR(-BT231+BT218,0))</f>
        <v/>
      </c>
      <c r="BU860" s="245">
        <f>IF(BU$7="Actual","",IFERROR(-BU231+BU218,0))</f>
        <v/>
      </c>
      <c r="BV860" s="245">
        <f>IF(BV$7="Actual","",IFERROR(-BV231+BV218,0))</f>
        <v/>
      </c>
      <c r="BW860" s="245">
        <f>IF(BW$7="Actual","",IFERROR(-BW231+BW218,0))</f>
        <v/>
      </c>
      <c r="BX860" s="245">
        <f>IF(BX$7="Actual","",IFERROR(-BX231+BX218,0))</f>
        <v/>
      </c>
      <c r="BY860" s="245">
        <f>IF(BY$7="Actual","",IFERROR(-BY231+BY218,0))</f>
        <v/>
      </c>
      <c r="BZ860" s="245">
        <f>IF(BZ$7="Actual","",IFERROR(-BZ231+BZ218,0))</f>
        <v/>
      </c>
      <c r="CA860" s="245">
        <f>IF(CA$7="Actual","",IFERROR(-CA231+CA218,0))</f>
        <v/>
      </c>
    </row>
    <row r="861" ht="12" customHeight="1" s="227">
      <c r="A861" s="244" t="n"/>
      <c r="B861" s="244">
        <f>IF(K861&lt;&gt;"Yes",IF(SUM(M861:O861)&lt;&gt;0,1,0),0)</f>
        <v/>
      </c>
      <c r="C861" s="244" t="n"/>
      <c r="H861" s="4">
        <f>i_Setup!U80</f>
        <v/>
      </c>
      <c r="I861" s="27">
        <f>i_Setup!$M$16</f>
        <v/>
      </c>
      <c r="K861" s="259">
        <f>i_Setup!P80</f>
        <v/>
      </c>
      <c r="M861" s="245">
        <f>SUMIF($T$4:$CA$4,M$4,$T861:$CA861)</f>
        <v/>
      </c>
      <c r="N861" s="245">
        <f>SUMIF($T$4:$CA$4,N$4,$T861:$CA861)</f>
        <v/>
      </c>
      <c r="O861" s="245">
        <f>SUMIF($T$4:$CA$4,O$4,$T861:$CA861)</f>
        <v/>
      </c>
      <c r="P861" s="245">
        <f>SUMIF($T$4:$CA$4,P$4,$T861:$CA861)</f>
        <v/>
      </c>
      <c r="Q861" s="245">
        <f>SUMIF($T$4:$CA$4,Q$4,$T861:$CA861)</f>
        <v/>
      </c>
      <c r="T861" s="245">
        <f>IF(T$7="Actual","",IFERROR(-T232+T219,0))</f>
        <v/>
      </c>
      <c r="U861" s="245">
        <f>IF(U$7="Actual","",IFERROR(-U232+U219,0))</f>
        <v/>
      </c>
      <c r="V861" s="245">
        <f>IF(V$7="Actual","",IFERROR(-V232+V219,0))</f>
        <v/>
      </c>
      <c r="W861" s="245">
        <f>IF(W$7="Actual","",IFERROR(-W232+W219,0))</f>
        <v/>
      </c>
      <c r="X861" s="245">
        <f>IF(X$7="Actual","",IFERROR(-X232+X219,0))</f>
        <v/>
      </c>
      <c r="Y861" s="245">
        <f>IF(Y$7="Actual","",IFERROR(-Y232+Y219,0))</f>
        <v/>
      </c>
      <c r="Z861" s="245">
        <f>IF(Z$7="Actual","",IFERROR(-Z232+Z219,0))</f>
        <v/>
      </c>
      <c r="AA861" s="245">
        <f>IF(AA$7="Actual","",IFERROR(-AA232+AA219,0))</f>
        <v/>
      </c>
      <c r="AB861" s="245">
        <f>IF(AB$7="Actual","",IFERROR(-AB232+AB219,0))</f>
        <v/>
      </c>
      <c r="AC861" s="245">
        <f>IF(AC$7="Actual","",IFERROR(-AC232+AC219,0))</f>
        <v/>
      </c>
      <c r="AD861" s="245">
        <f>IF(AD$7="Actual","",IFERROR(-AD232+AD219,0))</f>
        <v/>
      </c>
      <c r="AE861" s="245">
        <f>IF(AE$7="Actual","",IFERROR(-AE232+AE219,0))</f>
        <v/>
      </c>
      <c r="AF861" s="245">
        <f>IF(AF$7="Actual","",IFERROR(-AF232+AF219,0))</f>
        <v/>
      </c>
      <c r="AG861" s="245">
        <f>IF(AG$7="Actual","",IFERROR(-AG232+AG219,0))</f>
        <v/>
      </c>
      <c r="AH861" s="245">
        <f>IF(AH$7="Actual","",IFERROR(-AH232+AH219,0))</f>
        <v/>
      </c>
      <c r="AI861" s="245">
        <f>IF(AI$7="Actual","",IFERROR(-AI232+AI219,0))</f>
        <v/>
      </c>
      <c r="AJ861" s="245">
        <f>IF(AJ$7="Actual","",IFERROR(-AJ232+AJ219,0))</f>
        <v/>
      </c>
      <c r="AK861" s="245">
        <f>IF(AK$7="Actual","",IFERROR(-AK232+AK219,0))</f>
        <v/>
      </c>
      <c r="AL861" s="245">
        <f>IF(AL$7="Actual","",IFERROR(-AL232+AL219,0))</f>
        <v/>
      </c>
      <c r="AM861" s="245">
        <f>IF(AM$7="Actual","",IFERROR(-AM232+AM219,0))</f>
        <v/>
      </c>
      <c r="AN861" s="245">
        <f>IF(AN$7="Actual","",IFERROR(-AN232+AN219,0))</f>
        <v/>
      </c>
      <c r="AO861" s="245">
        <f>IF(AO$7="Actual","",IFERROR(-AO232+AO219,0))</f>
        <v/>
      </c>
      <c r="AP861" s="245">
        <f>IF(AP$7="Actual","",IFERROR(-AP232+AP219,0))</f>
        <v/>
      </c>
      <c r="AQ861" s="245">
        <f>IF(AQ$7="Actual","",IFERROR(-AQ232+AQ219,0))</f>
        <v/>
      </c>
      <c r="AR861" s="245">
        <f>IF(AR$7="Actual","",IFERROR(-AR232+AR219,0))</f>
        <v/>
      </c>
      <c r="AS861" s="245">
        <f>IF(AS$7="Actual","",IFERROR(-AS232+AS219,0))</f>
        <v/>
      </c>
      <c r="AT861" s="245">
        <f>IF(AT$7="Actual","",IFERROR(-AT232+AT219,0))</f>
        <v/>
      </c>
      <c r="AU861" s="245">
        <f>IF(AU$7="Actual","",IFERROR(-AU232+AU219,0))</f>
        <v/>
      </c>
      <c r="AV861" s="245">
        <f>IF(AV$7="Actual","",IFERROR(-AV232+AV219,0))</f>
        <v/>
      </c>
      <c r="AW861" s="245">
        <f>IF(AW$7="Actual","",IFERROR(-AW232+AW219,0))</f>
        <v/>
      </c>
      <c r="AX861" s="245">
        <f>IF(AX$7="Actual","",IFERROR(-AX232+AX219,0))</f>
        <v/>
      </c>
      <c r="AY861" s="245">
        <f>IF(AY$7="Actual","",IFERROR(-AY232+AY219,0))</f>
        <v/>
      </c>
      <c r="AZ861" s="245">
        <f>IF(AZ$7="Actual","",IFERROR(-AZ232+AZ219,0))</f>
        <v/>
      </c>
      <c r="BA861" s="245">
        <f>IF(BA$7="Actual","",IFERROR(-BA232+BA219,0))</f>
        <v/>
      </c>
      <c r="BB861" s="245">
        <f>IF(BB$7="Actual","",IFERROR(-BB232+BB219,0))</f>
        <v/>
      </c>
      <c r="BC861" s="245">
        <f>IF(BC$7="Actual","",IFERROR(-BC232+BC219,0))</f>
        <v/>
      </c>
      <c r="BD861" s="245">
        <f>IF(BD$7="Actual","",IFERROR(-BD232+BD219,0))</f>
        <v/>
      </c>
      <c r="BE861" s="245">
        <f>IF(BE$7="Actual","",IFERROR(-BE232+BE219,0))</f>
        <v/>
      </c>
      <c r="BF861" s="245">
        <f>IF(BF$7="Actual","",IFERROR(-BF232+BF219,0))</f>
        <v/>
      </c>
      <c r="BG861" s="245">
        <f>IF(BG$7="Actual","",IFERROR(-BG232+BG219,0))</f>
        <v/>
      </c>
      <c r="BH861" s="245">
        <f>IF(BH$7="Actual","",IFERROR(-BH232+BH219,0))</f>
        <v/>
      </c>
      <c r="BI861" s="245">
        <f>IF(BI$7="Actual","",IFERROR(-BI232+BI219,0))</f>
        <v/>
      </c>
      <c r="BJ861" s="245">
        <f>IF(BJ$7="Actual","",IFERROR(-BJ232+BJ219,0))</f>
        <v/>
      </c>
      <c r="BK861" s="245">
        <f>IF(BK$7="Actual","",IFERROR(-BK232+BK219,0))</f>
        <v/>
      </c>
      <c r="BL861" s="245">
        <f>IF(BL$7="Actual","",IFERROR(-BL232+BL219,0))</f>
        <v/>
      </c>
      <c r="BM861" s="245">
        <f>IF(BM$7="Actual","",IFERROR(-BM232+BM219,0))</f>
        <v/>
      </c>
      <c r="BN861" s="245">
        <f>IF(BN$7="Actual","",IFERROR(-BN232+BN219,0))</f>
        <v/>
      </c>
      <c r="BO861" s="245">
        <f>IF(BO$7="Actual","",IFERROR(-BO232+BO219,0))</f>
        <v/>
      </c>
      <c r="BP861" s="245">
        <f>IF(BP$7="Actual","",IFERROR(-BP232+BP219,0))</f>
        <v/>
      </c>
      <c r="BQ861" s="245">
        <f>IF(BQ$7="Actual","",IFERROR(-BQ232+BQ219,0))</f>
        <v/>
      </c>
      <c r="BR861" s="245">
        <f>IF(BR$7="Actual","",IFERROR(-BR232+BR219,0))</f>
        <v/>
      </c>
      <c r="BS861" s="245">
        <f>IF(BS$7="Actual","",IFERROR(-BS232+BS219,0))</f>
        <v/>
      </c>
      <c r="BT861" s="245">
        <f>IF(BT$7="Actual","",IFERROR(-BT232+BT219,0))</f>
        <v/>
      </c>
      <c r="BU861" s="245">
        <f>IF(BU$7="Actual","",IFERROR(-BU232+BU219,0))</f>
        <v/>
      </c>
      <c r="BV861" s="245">
        <f>IF(BV$7="Actual","",IFERROR(-BV232+BV219,0))</f>
        <v/>
      </c>
      <c r="BW861" s="245">
        <f>IF(BW$7="Actual","",IFERROR(-BW232+BW219,0))</f>
        <v/>
      </c>
      <c r="BX861" s="245">
        <f>IF(BX$7="Actual","",IFERROR(-BX232+BX219,0))</f>
        <v/>
      </c>
      <c r="BY861" s="245">
        <f>IF(BY$7="Actual","",IFERROR(-BY232+BY219,0))</f>
        <v/>
      </c>
      <c r="BZ861" s="245">
        <f>IF(BZ$7="Actual","",IFERROR(-BZ232+BZ219,0))</f>
        <v/>
      </c>
      <c r="CA861" s="245">
        <f>IF(CA$7="Actual","",IFERROR(-CA232+CA219,0))</f>
        <v/>
      </c>
    </row>
    <row r="862" ht="12" customHeight="1" s="227">
      <c r="A862" s="244" t="n"/>
      <c r="B862" s="244">
        <f>IF(K862&lt;&gt;"Yes",IF(SUM(M862:O862)&lt;&gt;0,1,0),0)</f>
        <v/>
      </c>
      <c r="C862" s="244" t="n"/>
      <c r="H862" s="4">
        <f>i_Setup!U81</f>
        <v/>
      </c>
      <c r="I862" s="27">
        <f>i_Setup!$M$16</f>
        <v/>
      </c>
      <c r="K862" s="259">
        <f>i_Setup!P81</f>
        <v/>
      </c>
      <c r="M862" s="245">
        <f>SUMIF($T$4:$CA$4,M$4,$T862:$CA862)</f>
        <v/>
      </c>
      <c r="N862" s="245">
        <f>SUMIF($T$4:$CA$4,N$4,$T862:$CA862)</f>
        <v/>
      </c>
      <c r="O862" s="245">
        <f>SUMIF($T$4:$CA$4,O$4,$T862:$CA862)</f>
        <v/>
      </c>
      <c r="P862" s="245">
        <f>SUMIF($T$4:$CA$4,P$4,$T862:$CA862)</f>
        <v/>
      </c>
      <c r="Q862" s="245">
        <f>SUMIF($T$4:$CA$4,Q$4,$T862:$CA862)</f>
        <v/>
      </c>
      <c r="T862" s="245">
        <f>IF(T$7="Actual","",IFERROR(-T233+T220,0))</f>
        <v/>
      </c>
      <c r="U862" s="245">
        <f>IF(U$7="Actual","",IFERROR(-U233+U220,0))</f>
        <v/>
      </c>
      <c r="V862" s="245">
        <f>IF(V$7="Actual","",IFERROR(-V233+V220,0))</f>
        <v/>
      </c>
      <c r="W862" s="245">
        <f>IF(W$7="Actual","",IFERROR(-W233+W220,0))</f>
        <v/>
      </c>
      <c r="X862" s="245">
        <f>IF(X$7="Actual","",IFERROR(-X233+X220,0))</f>
        <v/>
      </c>
      <c r="Y862" s="245">
        <f>IF(Y$7="Actual","",IFERROR(-Y233+Y220,0))</f>
        <v/>
      </c>
      <c r="Z862" s="245">
        <f>IF(Z$7="Actual","",IFERROR(-Z233+Z220,0))</f>
        <v/>
      </c>
      <c r="AA862" s="245">
        <f>IF(AA$7="Actual","",IFERROR(-AA233+AA220,0))</f>
        <v/>
      </c>
      <c r="AB862" s="245">
        <f>IF(AB$7="Actual","",IFERROR(-AB233+AB220,0))</f>
        <v/>
      </c>
      <c r="AC862" s="245">
        <f>IF(AC$7="Actual","",IFERROR(-AC233+AC220,0))</f>
        <v/>
      </c>
      <c r="AD862" s="245">
        <f>IF(AD$7="Actual","",IFERROR(-AD233+AD220,0))</f>
        <v/>
      </c>
      <c r="AE862" s="245">
        <f>IF(AE$7="Actual","",IFERROR(-AE233+AE220,0))</f>
        <v/>
      </c>
      <c r="AF862" s="245">
        <f>IF(AF$7="Actual","",IFERROR(-AF233+AF220,0))</f>
        <v/>
      </c>
      <c r="AG862" s="245">
        <f>IF(AG$7="Actual","",IFERROR(-AG233+AG220,0))</f>
        <v/>
      </c>
      <c r="AH862" s="245">
        <f>IF(AH$7="Actual","",IFERROR(-AH233+AH220,0))</f>
        <v/>
      </c>
      <c r="AI862" s="245">
        <f>IF(AI$7="Actual","",IFERROR(-AI233+AI220,0))</f>
        <v/>
      </c>
      <c r="AJ862" s="245">
        <f>IF(AJ$7="Actual","",IFERROR(-AJ233+AJ220,0))</f>
        <v/>
      </c>
      <c r="AK862" s="245">
        <f>IF(AK$7="Actual","",IFERROR(-AK233+AK220,0))</f>
        <v/>
      </c>
      <c r="AL862" s="245">
        <f>IF(AL$7="Actual","",IFERROR(-AL233+AL220,0))</f>
        <v/>
      </c>
      <c r="AM862" s="245">
        <f>IF(AM$7="Actual","",IFERROR(-AM233+AM220,0))</f>
        <v/>
      </c>
      <c r="AN862" s="245">
        <f>IF(AN$7="Actual","",IFERROR(-AN233+AN220,0))</f>
        <v/>
      </c>
      <c r="AO862" s="245">
        <f>IF(AO$7="Actual","",IFERROR(-AO233+AO220,0))</f>
        <v/>
      </c>
      <c r="AP862" s="245">
        <f>IF(AP$7="Actual","",IFERROR(-AP233+AP220,0))</f>
        <v/>
      </c>
      <c r="AQ862" s="245">
        <f>IF(AQ$7="Actual","",IFERROR(-AQ233+AQ220,0))</f>
        <v/>
      </c>
      <c r="AR862" s="245">
        <f>IF(AR$7="Actual","",IFERROR(-AR233+AR220,0))</f>
        <v/>
      </c>
      <c r="AS862" s="245">
        <f>IF(AS$7="Actual","",IFERROR(-AS233+AS220,0))</f>
        <v/>
      </c>
      <c r="AT862" s="245">
        <f>IF(AT$7="Actual","",IFERROR(-AT233+AT220,0))</f>
        <v/>
      </c>
      <c r="AU862" s="245">
        <f>IF(AU$7="Actual","",IFERROR(-AU233+AU220,0))</f>
        <v/>
      </c>
      <c r="AV862" s="245">
        <f>IF(AV$7="Actual","",IFERROR(-AV233+AV220,0))</f>
        <v/>
      </c>
      <c r="AW862" s="245">
        <f>IF(AW$7="Actual","",IFERROR(-AW233+AW220,0))</f>
        <v/>
      </c>
      <c r="AX862" s="245">
        <f>IF(AX$7="Actual","",IFERROR(-AX233+AX220,0))</f>
        <v/>
      </c>
      <c r="AY862" s="245">
        <f>IF(AY$7="Actual","",IFERROR(-AY233+AY220,0))</f>
        <v/>
      </c>
      <c r="AZ862" s="245">
        <f>IF(AZ$7="Actual","",IFERROR(-AZ233+AZ220,0))</f>
        <v/>
      </c>
      <c r="BA862" s="245">
        <f>IF(BA$7="Actual","",IFERROR(-BA233+BA220,0))</f>
        <v/>
      </c>
      <c r="BB862" s="245">
        <f>IF(BB$7="Actual","",IFERROR(-BB233+BB220,0))</f>
        <v/>
      </c>
      <c r="BC862" s="245">
        <f>IF(BC$7="Actual","",IFERROR(-BC233+BC220,0))</f>
        <v/>
      </c>
      <c r="BD862" s="245">
        <f>IF(BD$7="Actual","",IFERROR(-BD233+BD220,0))</f>
        <v/>
      </c>
      <c r="BE862" s="245">
        <f>IF(BE$7="Actual","",IFERROR(-BE233+BE220,0))</f>
        <v/>
      </c>
      <c r="BF862" s="245">
        <f>IF(BF$7="Actual","",IFERROR(-BF233+BF220,0))</f>
        <v/>
      </c>
      <c r="BG862" s="245">
        <f>IF(BG$7="Actual","",IFERROR(-BG233+BG220,0))</f>
        <v/>
      </c>
      <c r="BH862" s="245">
        <f>IF(BH$7="Actual","",IFERROR(-BH233+BH220,0))</f>
        <v/>
      </c>
      <c r="BI862" s="245">
        <f>IF(BI$7="Actual","",IFERROR(-BI233+BI220,0))</f>
        <v/>
      </c>
      <c r="BJ862" s="245">
        <f>IF(BJ$7="Actual","",IFERROR(-BJ233+BJ220,0))</f>
        <v/>
      </c>
      <c r="BK862" s="245">
        <f>IF(BK$7="Actual","",IFERROR(-BK233+BK220,0))</f>
        <v/>
      </c>
      <c r="BL862" s="245">
        <f>IF(BL$7="Actual","",IFERROR(-BL233+BL220,0))</f>
        <v/>
      </c>
      <c r="BM862" s="245">
        <f>IF(BM$7="Actual","",IFERROR(-BM233+BM220,0))</f>
        <v/>
      </c>
      <c r="BN862" s="245">
        <f>IF(BN$7="Actual","",IFERROR(-BN233+BN220,0))</f>
        <v/>
      </c>
      <c r="BO862" s="245">
        <f>IF(BO$7="Actual","",IFERROR(-BO233+BO220,0))</f>
        <v/>
      </c>
      <c r="BP862" s="245">
        <f>IF(BP$7="Actual","",IFERROR(-BP233+BP220,0))</f>
        <v/>
      </c>
      <c r="BQ862" s="245">
        <f>IF(BQ$7="Actual","",IFERROR(-BQ233+BQ220,0))</f>
        <v/>
      </c>
      <c r="BR862" s="245">
        <f>IF(BR$7="Actual","",IFERROR(-BR233+BR220,0))</f>
        <v/>
      </c>
      <c r="BS862" s="245">
        <f>IF(BS$7="Actual","",IFERROR(-BS233+BS220,0))</f>
        <v/>
      </c>
      <c r="BT862" s="245">
        <f>IF(BT$7="Actual","",IFERROR(-BT233+BT220,0))</f>
        <v/>
      </c>
      <c r="BU862" s="245">
        <f>IF(BU$7="Actual","",IFERROR(-BU233+BU220,0))</f>
        <v/>
      </c>
      <c r="BV862" s="245">
        <f>IF(BV$7="Actual","",IFERROR(-BV233+BV220,0))</f>
        <v/>
      </c>
      <c r="BW862" s="245">
        <f>IF(BW$7="Actual","",IFERROR(-BW233+BW220,0))</f>
        <v/>
      </c>
      <c r="BX862" s="245">
        <f>IF(BX$7="Actual","",IFERROR(-BX233+BX220,0))</f>
        <v/>
      </c>
      <c r="BY862" s="245">
        <f>IF(BY$7="Actual","",IFERROR(-BY233+BY220,0))</f>
        <v/>
      </c>
      <c r="BZ862" s="245">
        <f>IF(BZ$7="Actual","",IFERROR(-BZ233+BZ220,0))</f>
        <v/>
      </c>
      <c r="CA862" s="245">
        <f>IF(CA$7="Actual","",IFERROR(-CA233+CA220,0))</f>
        <v/>
      </c>
    </row>
    <row r="863" ht="12" customHeight="1" s="227">
      <c r="A863" s="244" t="n"/>
      <c r="B863" s="244">
        <f>IF(K863&lt;&gt;"Yes",IF(SUM(M863:O863)&lt;&gt;0,1,0),0)</f>
        <v/>
      </c>
      <c r="C863" s="244" t="n"/>
      <c r="H863" s="4">
        <f>i_Setup!U82</f>
        <v/>
      </c>
      <c r="I863" s="27">
        <f>i_Setup!$M$16</f>
        <v/>
      </c>
      <c r="K863" s="259">
        <f>i_Setup!P82</f>
        <v/>
      </c>
      <c r="M863" s="245">
        <f>SUMIF($T$4:$CA$4,M$4,$T863:$CA863)</f>
        <v/>
      </c>
      <c r="N863" s="245">
        <f>SUMIF($T$4:$CA$4,N$4,$T863:$CA863)</f>
        <v/>
      </c>
      <c r="O863" s="245">
        <f>SUMIF($T$4:$CA$4,O$4,$T863:$CA863)</f>
        <v/>
      </c>
      <c r="P863" s="245">
        <f>SUMIF($T$4:$CA$4,P$4,$T863:$CA863)</f>
        <v/>
      </c>
      <c r="Q863" s="245">
        <f>SUMIF($T$4:$CA$4,Q$4,$T863:$CA863)</f>
        <v/>
      </c>
      <c r="T863" s="245">
        <f>IF(T$7="Actual","",IFERROR(-T234+T221,0))</f>
        <v/>
      </c>
      <c r="U863" s="245">
        <f>IF(U$7="Actual","",IFERROR(-U234+U221,0))</f>
        <v/>
      </c>
      <c r="V863" s="245">
        <f>IF(V$7="Actual","",IFERROR(-V234+V221,0))</f>
        <v/>
      </c>
      <c r="W863" s="245">
        <f>IF(W$7="Actual","",IFERROR(-W234+W221,0))</f>
        <v/>
      </c>
      <c r="X863" s="245">
        <f>IF(X$7="Actual","",IFERROR(-X234+X221,0))</f>
        <v/>
      </c>
      <c r="Y863" s="245">
        <f>IF(Y$7="Actual","",IFERROR(-Y234+Y221,0))</f>
        <v/>
      </c>
      <c r="Z863" s="245">
        <f>IF(Z$7="Actual","",IFERROR(-Z234+Z221,0))</f>
        <v/>
      </c>
      <c r="AA863" s="245">
        <f>IF(AA$7="Actual","",IFERROR(-AA234+AA221,0))</f>
        <v/>
      </c>
      <c r="AB863" s="245">
        <f>IF(AB$7="Actual","",IFERROR(-AB234+AB221,0))</f>
        <v/>
      </c>
      <c r="AC863" s="245">
        <f>IF(AC$7="Actual","",IFERROR(-AC234+AC221,0))</f>
        <v/>
      </c>
      <c r="AD863" s="245">
        <f>IF(AD$7="Actual","",IFERROR(-AD234+AD221,0))</f>
        <v/>
      </c>
      <c r="AE863" s="245">
        <f>IF(AE$7="Actual","",IFERROR(-AE234+AE221,0))</f>
        <v/>
      </c>
      <c r="AF863" s="245">
        <f>IF(AF$7="Actual","",IFERROR(-AF234+AF221,0))</f>
        <v/>
      </c>
      <c r="AG863" s="245">
        <f>IF(AG$7="Actual","",IFERROR(-AG234+AG221,0))</f>
        <v/>
      </c>
      <c r="AH863" s="245">
        <f>IF(AH$7="Actual","",IFERROR(-AH234+AH221,0))</f>
        <v/>
      </c>
      <c r="AI863" s="245">
        <f>IF(AI$7="Actual","",IFERROR(-AI234+AI221,0))</f>
        <v/>
      </c>
      <c r="AJ863" s="245">
        <f>IF(AJ$7="Actual","",IFERROR(-AJ234+AJ221,0))</f>
        <v/>
      </c>
      <c r="AK863" s="245">
        <f>IF(AK$7="Actual","",IFERROR(-AK234+AK221,0))</f>
        <v/>
      </c>
      <c r="AL863" s="245">
        <f>IF(AL$7="Actual","",IFERROR(-AL234+AL221,0))</f>
        <v/>
      </c>
      <c r="AM863" s="245">
        <f>IF(AM$7="Actual","",IFERROR(-AM234+AM221,0))</f>
        <v/>
      </c>
      <c r="AN863" s="245">
        <f>IF(AN$7="Actual","",IFERROR(-AN234+AN221,0))</f>
        <v/>
      </c>
      <c r="AO863" s="245">
        <f>IF(AO$7="Actual","",IFERROR(-AO234+AO221,0))</f>
        <v/>
      </c>
      <c r="AP863" s="245">
        <f>IF(AP$7="Actual","",IFERROR(-AP234+AP221,0))</f>
        <v/>
      </c>
      <c r="AQ863" s="245">
        <f>IF(AQ$7="Actual","",IFERROR(-AQ234+AQ221,0))</f>
        <v/>
      </c>
      <c r="AR863" s="245">
        <f>IF(AR$7="Actual","",IFERROR(-AR234+AR221,0))</f>
        <v/>
      </c>
      <c r="AS863" s="245">
        <f>IF(AS$7="Actual","",IFERROR(-AS234+AS221,0))</f>
        <v/>
      </c>
      <c r="AT863" s="245">
        <f>IF(AT$7="Actual","",IFERROR(-AT234+AT221,0))</f>
        <v/>
      </c>
      <c r="AU863" s="245">
        <f>IF(AU$7="Actual","",IFERROR(-AU234+AU221,0))</f>
        <v/>
      </c>
      <c r="AV863" s="245">
        <f>IF(AV$7="Actual","",IFERROR(-AV234+AV221,0))</f>
        <v/>
      </c>
      <c r="AW863" s="245">
        <f>IF(AW$7="Actual","",IFERROR(-AW234+AW221,0))</f>
        <v/>
      </c>
      <c r="AX863" s="245">
        <f>IF(AX$7="Actual","",IFERROR(-AX234+AX221,0))</f>
        <v/>
      </c>
      <c r="AY863" s="245">
        <f>IF(AY$7="Actual","",IFERROR(-AY234+AY221,0))</f>
        <v/>
      </c>
      <c r="AZ863" s="245">
        <f>IF(AZ$7="Actual","",IFERROR(-AZ234+AZ221,0))</f>
        <v/>
      </c>
      <c r="BA863" s="245">
        <f>IF(BA$7="Actual","",IFERROR(-BA234+BA221,0))</f>
        <v/>
      </c>
      <c r="BB863" s="245">
        <f>IF(BB$7="Actual","",IFERROR(-BB234+BB221,0))</f>
        <v/>
      </c>
      <c r="BC863" s="245">
        <f>IF(BC$7="Actual","",IFERROR(-BC234+BC221,0))</f>
        <v/>
      </c>
      <c r="BD863" s="245">
        <f>IF(BD$7="Actual","",IFERROR(-BD234+BD221,0))</f>
        <v/>
      </c>
      <c r="BE863" s="245">
        <f>IF(BE$7="Actual","",IFERROR(-BE234+BE221,0))</f>
        <v/>
      </c>
      <c r="BF863" s="245">
        <f>IF(BF$7="Actual","",IFERROR(-BF234+BF221,0))</f>
        <v/>
      </c>
      <c r="BG863" s="245">
        <f>IF(BG$7="Actual","",IFERROR(-BG234+BG221,0))</f>
        <v/>
      </c>
      <c r="BH863" s="245">
        <f>IF(BH$7="Actual","",IFERROR(-BH234+BH221,0))</f>
        <v/>
      </c>
      <c r="BI863" s="245">
        <f>IF(BI$7="Actual","",IFERROR(-BI234+BI221,0))</f>
        <v/>
      </c>
      <c r="BJ863" s="245">
        <f>IF(BJ$7="Actual","",IFERROR(-BJ234+BJ221,0))</f>
        <v/>
      </c>
      <c r="BK863" s="245">
        <f>IF(BK$7="Actual","",IFERROR(-BK234+BK221,0))</f>
        <v/>
      </c>
      <c r="BL863" s="245">
        <f>IF(BL$7="Actual","",IFERROR(-BL234+BL221,0))</f>
        <v/>
      </c>
      <c r="BM863" s="245">
        <f>IF(BM$7="Actual","",IFERROR(-BM234+BM221,0))</f>
        <v/>
      </c>
      <c r="BN863" s="245">
        <f>IF(BN$7="Actual","",IFERROR(-BN234+BN221,0))</f>
        <v/>
      </c>
      <c r="BO863" s="245">
        <f>IF(BO$7="Actual","",IFERROR(-BO234+BO221,0))</f>
        <v/>
      </c>
      <c r="BP863" s="245">
        <f>IF(BP$7="Actual","",IFERROR(-BP234+BP221,0))</f>
        <v/>
      </c>
      <c r="BQ863" s="245">
        <f>IF(BQ$7="Actual","",IFERROR(-BQ234+BQ221,0))</f>
        <v/>
      </c>
      <c r="BR863" s="245">
        <f>IF(BR$7="Actual","",IFERROR(-BR234+BR221,0))</f>
        <v/>
      </c>
      <c r="BS863" s="245">
        <f>IF(BS$7="Actual","",IFERROR(-BS234+BS221,0))</f>
        <v/>
      </c>
      <c r="BT863" s="245">
        <f>IF(BT$7="Actual","",IFERROR(-BT234+BT221,0))</f>
        <v/>
      </c>
      <c r="BU863" s="245">
        <f>IF(BU$7="Actual","",IFERROR(-BU234+BU221,0))</f>
        <v/>
      </c>
      <c r="BV863" s="245">
        <f>IF(BV$7="Actual","",IFERROR(-BV234+BV221,0))</f>
        <v/>
      </c>
      <c r="BW863" s="245">
        <f>IF(BW$7="Actual","",IFERROR(-BW234+BW221,0))</f>
        <v/>
      </c>
      <c r="BX863" s="245">
        <f>IF(BX$7="Actual","",IFERROR(-BX234+BX221,0))</f>
        <v/>
      </c>
      <c r="BY863" s="245">
        <f>IF(BY$7="Actual","",IFERROR(-BY234+BY221,0))</f>
        <v/>
      </c>
      <c r="BZ863" s="245">
        <f>IF(BZ$7="Actual","",IFERROR(-BZ234+BZ221,0))</f>
        <v/>
      </c>
      <c r="CA863" s="245">
        <f>IF(CA$7="Actual","",IFERROR(-CA234+CA221,0))</f>
        <v/>
      </c>
    </row>
    <row r="864" ht="12" customHeight="1" s="227">
      <c r="A864" s="244" t="n"/>
      <c r="B864" s="244" t="n"/>
      <c r="C864" s="244" t="n"/>
      <c r="K864" s="6" t="n"/>
    </row>
    <row r="865" ht="12" customHeight="1" s="227">
      <c r="A865" s="244" t="n"/>
      <c r="B865" s="244">
        <f>IF(K865&lt;&gt;"Yes",IF(SUM(M865:O865)&lt;&gt;0,1,0),0)</f>
        <v/>
      </c>
      <c r="C865" s="244" t="n"/>
      <c r="H865" s="4">
        <f>i_Setup!U87</f>
        <v/>
      </c>
      <c r="I865" s="27">
        <f>i_Setup!$M$16</f>
        <v/>
      </c>
      <c r="K865" s="259">
        <f>i_Setup!P87</f>
        <v/>
      </c>
      <c r="M865" s="245">
        <f>SUMIF($T$4:$CA$4,M$4,$T865:$CA865)</f>
        <v/>
      </c>
      <c r="N865" s="245">
        <f>SUMIF($T$4:$CA$4,N$4,$T865:$CA865)</f>
        <v/>
      </c>
      <c r="O865" s="245">
        <f>SUMIF($T$4:$CA$4,O$4,$T865:$CA865)</f>
        <v/>
      </c>
      <c r="P865" s="245">
        <f>SUMIF($T$4:$CA$4,P$4,$T865:$CA865)</f>
        <v/>
      </c>
      <c r="Q865" s="245">
        <f>SUMIF($T$4:$CA$4,Q$4,$T865:$CA865)</f>
        <v/>
      </c>
      <c r="T865" s="245">
        <f>IF(T$7="Actual","",IFERROR(-T520+T510,0))</f>
        <v/>
      </c>
      <c r="U865" s="245">
        <f>IF(U$7="Actual","",IFERROR(-U520+U510,0))</f>
        <v/>
      </c>
      <c r="V865" s="245">
        <f>IF(V$7="Actual","",IFERROR(-V520+V510,0))</f>
        <v/>
      </c>
      <c r="W865" s="245">
        <f>IF(W$7="Actual","",IFERROR(-W520+W510,0))</f>
        <v/>
      </c>
      <c r="X865" s="245">
        <f>IF(X$7="Actual","",IFERROR(-X520+X510,0))</f>
        <v/>
      </c>
      <c r="Y865" s="245">
        <f>IF(Y$7="Actual","",IFERROR(-Y520+Y510,0))</f>
        <v/>
      </c>
      <c r="Z865" s="245">
        <f>IF(Z$7="Actual","",IFERROR(-Z520+Z510,0))</f>
        <v/>
      </c>
      <c r="AA865" s="245">
        <f>IF(AA$7="Actual","",IFERROR(-AA520+AA510,0))</f>
        <v/>
      </c>
      <c r="AB865" s="245">
        <f>IF(AB$7="Actual","",IFERROR(-AB520+AB510,0))</f>
        <v/>
      </c>
      <c r="AC865" s="245">
        <f>IF(AC$7="Actual","",IFERROR(-AC520+AC510,0))</f>
        <v/>
      </c>
      <c r="AD865" s="245">
        <f>IF(AD$7="Actual","",IFERROR(-AD520+AD510,0))</f>
        <v/>
      </c>
      <c r="AE865" s="245">
        <f>IF(AE$7="Actual","",IFERROR(-AE520+AE510,0))</f>
        <v/>
      </c>
      <c r="AF865" s="245">
        <f>IF(AF$7="Actual","",IFERROR(-AF520+AF510,0))</f>
        <v/>
      </c>
      <c r="AG865" s="245">
        <f>IF(AG$7="Actual","",IFERROR(-AG520+AG510,0))</f>
        <v/>
      </c>
      <c r="AH865" s="245">
        <f>IF(AH$7="Actual","",IFERROR(-AH520+AH510,0))</f>
        <v/>
      </c>
      <c r="AI865" s="245">
        <f>IF(AI$7="Actual","",IFERROR(-AI520+AI510,0))</f>
        <v/>
      </c>
      <c r="AJ865" s="245">
        <f>IF(AJ$7="Actual","",IFERROR(-AJ520+AJ510,0))</f>
        <v/>
      </c>
      <c r="AK865" s="245">
        <f>IF(AK$7="Actual","",IFERROR(-AK520+AK510,0))</f>
        <v/>
      </c>
      <c r="AL865" s="245">
        <f>IF(AL$7="Actual","",IFERROR(-AL520+AL510,0))</f>
        <v/>
      </c>
      <c r="AM865" s="245">
        <f>IF(AM$7="Actual","",IFERROR(-AM520+AM510,0))</f>
        <v/>
      </c>
      <c r="AN865" s="245">
        <f>IF(AN$7="Actual","",IFERROR(-AN520+AN510,0))</f>
        <v/>
      </c>
      <c r="AO865" s="245">
        <f>IF(AO$7="Actual","",IFERROR(-AO520+AO510,0))</f>
        <v/>
      </c>
      <c r="AP865" s="245">
        <f>IF(AP$7="Actual","",IFERROR(-AP520+AP510,0))</f>
        <v/>
      </c>
      <c r="AQ865" s="245">
        <f>IF(AQ$7="Actual","",IFERROR(-AQ520+AQ510,0))</f>
        <v/>
      </c>
      <c r="AR865" s="245">
        <f>IF(AR$7="Actual","",IFERROR(-AR520+AR510,0))</f>
        <v/>
      </c>
      <c r="AS865" s="245">
        <f>IF(AS$7="Actual","",IFERROR(-AS520+AS510,0))</f>
        <v/>
      </c>
      <c r="AT865" s="245">
        <f>IF(AT$7="Actual","",IFERROR(-AT520+AT510,0))</f>
        <v/>
      </c>
      <c r="AU865" s="245">
        <f>IF(AU$7="Actual","",IFERROR(-AU520+AU510,0))</f>
        <v/>
      </c>
      <c r="AV865" s="245">
        <f>IF(AV$7="Actual","",IFERROR(-AV520+AV510,0))</f>
        <v/>
      </c>
      <c r="AW865" s="245">
        <f>IF(AW$7="Actual","",IFERROR(-AW520+AW510,0))</f>
        <v/>
      </c>
      <c r="AX865" s="245">
        <f>IF(AX$7="Actual","",IFERROR(-AX520+AX510,0))</f>
        <v/>
      </c>
      <c r="AY865" s="245">
        <f>IF(AY$7="Actual","",IFERROR(-AY520+AY510,0))</f>
        <v/>
      </c>
      <c r="AZ865" s="245">
        <f>IF(AZ$7="Actual","",IFERROR(-AZ520+AZ510,0))</f>
        <v/>
      </c>
      <c r="BA865" s="245">
        <f>IF(BA$7="Actual","",IFERROR(-BA520+BA510,0))</f>
        <v/>
      </c>
      <c r="BB865" s="245">
        <f>IF(BB$7="Actual","",IFERROR(-BB520+BB510,0))</f>
        <v/>
      </c>
      <c r="BC865" s="245">
        <f>IF(BC$7="Actual","",IFERROR(-BC520+BC510,0))</f>
        <v/>
      </c>
      <c r="BD865" s="245">
        <f>IF(BD$7="Actual","",IFERROR(-BD520+BD510,0))</f>
        <v/>
      </c>
      <c r="BE865" s="245">
        <f>IF(BE$7="Actual","",IFERROR(-BE520+BE510,0))</f>
        <v/>
      </c>
      <c r="BF865" s="245">
        <f>IF(BF$7="Actual","",IFERROR(-BF520+BF510,0))</f>
        <v/>
      </c>
      <c r="BG865" s="245">
        <f>IF(BG$7="Actual","",IFERROR(-BG520+BG510,0))</f>
        <v/>
      </c>
      <c r="BH865" s="245">
        <f>IF(BH$7="Actual","",IFERROR(-BH520+BH510,0))</f>
        <v/>
      </c>
      <c r="BI865" s="245">
        <f>IF(BI$7="Actual","",IFERROR(-BI520+BI510,0))</f>
        <v/>
      </c>
      <c r="BJ865" s="245">
        <f>IF(BJ$7="Actual","",IFERROR(-BJ520+BJ510,0))</f>
        <v/>
      </c>
      <c r="BK865" s="245">
        <f>IF(BK$7="Actual","",IFERROR(-BK520+BK510,0))</f>
        <v/>
      </c>
      <c r="BL865" s="245">
        <f>IF(BL$7="Actual","",IFERROR(-BL520+BL510,0))</f>
        <v/>
      </c>
      <c r="BM865" s="245">
        <f>IF(BM$7="Actual","",IFERROR(-BM520+BM510,0))</f>
        <v/>
      </c>
      <c r="BN865" s="245">
        <f>IF(BN$7="Actual","",IFERROR(-BN520+BN510,0))</f>
        <v/>
      </c>
      <c r="BO865" s="245">
        <f>IF(BO$7="Actual","",IFERROR(-BO520+BO510,0))</f>
        <v/>
      </c>
      <c r="BP865" s="245">
        <f>IF(BP$7="Actual","",IFERROR(-BP520+BP510,0))</f>
        <v/>
      </c>
      <c r="BQ865" s="245">
        <f>IF(BQ$7="Actual","",IFERROR(-BQ520+BQ510,0))</f>
        <v/>
      </c>
      <c r="BR865" s="245">
        <f>IF(BR$7="Actual","",IFERROR(-BR520+BR510,0))</f>
        <v/>
      </c>
      <c r="BS865" s="245">
        <f>IF(BS$7="Actual","",IFERROR(-BS520+BS510,0))</f>
        <v/>
      </c>
      <c r="BT865" s="245">
        <f>IF(BT$7="Actual","",IFERROR(-BT520+BT510,0))</f>
        <v/>
      </c>
      <c r="BU865" s="245">
        <f>IF(BU$7="Actual","",IFERROR(-BU520+BU510,0))</f>
        <v/>
      </c>
      <c r="BV865" s="245">
        <f>IF(BV$7="Actual","",IFERROR(-BV520+BV510,0))</f>
        <v/>
      </c>
      <c r="BW865" s="245">
        <f>IF(BW$7="Actual","",IFERROR(-BW520+BW510,0))</f>
        <v/>
      </c>
      <c r="BX865" s="245">
        <f>IF(BX$7="Actual","",IFERROR(-BX520+BX510,0))</f>
        <v/>
      </c>
      <c r="BY865" s="245">
        <f>IF(BY$7="Actual","",IFERROR(-BY520+BY510,0))</f>
        <v/>
      </c>
      <c r="BZ865" s="245">
        <f>IF(BZ$7="Actual","",IFERROR(-BZ520+BZ510,0))</f>
        <v/>
      </c>
      <c r="CA865" s="245">
        <f>IF(CA$7="Actual","",IFERROR(-CA520+CA510,0))</f>
        <v/>
      </c>
    </row>
    <row r="866" ht="12" customHeight="1" s="227">
      <c r="A866" s="244" t="n"/>
      <c r="B866" s="244">
        <f>IF(K866&lt;&gt;"Yes",IF(SUM(M866:O866)&lt;&gt;0,1,0),0)</f>
        <v/>
      </c>
      <c r="C866" s="244" t="n"/>
      <c r="H866" s="4">
        <f>i_Setup!U88</f>
        <v/>
      </c>
      <c r="I866" s="27">
        <f>i_Setup!$M$16</f>
        <v/>
      </c>
      <c r="K866" s="259">
        <f>i_Setup!P88</f>
        <v/>
      </c>
      <c r="M866" s="245">
        <f>SUMIF($T$4:$CA$4,M$4,$T866:$CA866)</f>
        <v/>
      </c>
      <c r="N866" s="245">
        <f>SUMIF($T$4:$CA$4,N$4,$T866:$CA866)</f>
        <v/>
      </c>
      <c r="O866" s="245">
        <f>SUMIF($T$4:$CA$4,O$4,$T866:$CA866)</f>
        <v/>
      </c>
      <c r="P866" s="245">
        <f>SUMIF($T$4:$CA$4,P$4,$T866:$CA866)</f>
        <v/>
      </c>
      <c r="Q866" s="245">
        <f>SUMIF($T$4:$CA$4,Q$4,$T866:$CA866)</f>
        <v/>
      </c>
      <c r="T866" s="245">
        <f>IF(T$7="Actual","",IFERROR(-T521+T511,0))</f>
        <v/>
      </c>
      <c r="U866" s="245">
        <f>IF(U$7="Actual","",IFERROR(-U521+U511,0))</f>
        <v/>
      </c>
      <c r="V866" s="245">
        <f>IF(V$7="Actual","",IFERROR(-V521+V511,0))</f>
        <v/>
      </c>
      <c r="W866" s="245">
        <f>IF(W$7="Actual","",IFERROR(-W521+W511,0))</f>
        <v/>
      </c>
      <c r="X866" s="245">
        <f>IF(X$7="Actual","",IFERROR(-X521+X511,0))</f>
        <v/>
      </c>
      <c r="Y866" s="245">
        <f>IF(Y$7="Actual","",IFERROR(-Y521+Y511,0))</f>
        <v/>
      </c>
      <c r="Z866" s="245">
        <f>IF(Z$7="Actual","",IFERROR(-Z521+Z511,0))</f>
        <v/>
      </c>
      <c r="AA866" s="245">
        <f>IF(AA$7="Actual","",IFERROR(-AA521+AA511,0))</f>
        <v/>
      </c>
      <c r="AB866" s="245">
        <f>IF(AB$7="Actual","",IFERROR(-AB521+AB511,0))</f>
        <v/>
      </c>
      <c r="AC866" s="245">
        <f>IF(AC$7="Actual","",IFERROR(-AC521+AC511,0))</f>
        <v/>
      </c>
      <c r="AD866" s="245">
        <f>IF(AD$7="Actual","",IFERROR(-AD521+AD511,0))</f>
        <v/>
      </c>
      <c r="AE866" s="245">
        <f>IF(AE$7="Actual","",IFERROR(-AE521+AE511,0))</f>
        <v/>
      </c>
      <c r="AF866" s="245">
        <f>IF(AF$7="Actual","",IFERROR(-AF521+AF511,0))</f>
        <v/>
      </c>
      <c r="AG866" s="245">
        <f>IF(AG$7="Actual","",IFERROR(-AG521+AG511,0))</f>
        <v/>
      </c>
      <c r="AH866" s="245">
        <f>IF(AH$7="Actual","",IFERROR(-AH521+AH511,0))</f>
        <v/>
      </c>
      <c r="AI866" s="245">
        <f>IF(AI$7="Actual","",IFERROR(-AI521+AI511,0))</f>
        <v/>
      </c>
      <c r="AJ866" s="245">
        <f>IF(AJ$7="Actual","",IFERROR(-AJ521+AJ511,0))</f>
        <v/>
      </c>
      <c r="AK866" s="245">
        <f>IF(AK$7="Actual","",IFERROR(-AK521+AK511,0))</f>
        <v/>
      </c>
      <c r="AL866" s="245">
        <f>IF(AL$7="Actual","",IFERROR(-AL521+AL511,0))</f>
        <v/>
      </c>
      <c r="AM866" s="245">
        <f>IF(AM$7="Actual","",IFERROR(-AM521+AM511,0))</f>
        <v/>
      </c>
      <c r="AN866" s="245">
        <f>IF(AN$7="Actual","",IFERROR(-AN521+AN511,0))</f>
        <v/>
      </c>
      <c r="AO866" s="245">
        <f>IF(AO$7="Actual","",IFERROR(-AO521+AO511,0))</f>
        <v/>
      </c>
      <c r="AP866" s="245">
        <f>IF(AP$7="Actual","",IFERROR(-AP521+AP511,0))</f>
        <v/>
      </c>
      <c r="AQ866" s="245">
        <f>IF(AQ$7="Actual","",IFERROR(-AQ521+AQ511,0))</f>
        <v/>
      </c>
      <c r="AR866" s="245">
        <f>IF(AR$7="Actual","",IFERROR(-AR521+AR511,0))</f>
        <v/>
      </c>
      <c r="AS866" s="245">
        <f>IF(AS$7="Actual","",IFERROR(-AS521+AS511,0))</f>
        <v/>
      </c>
      <c r="AT866" s="245">
        <f>IF(AT$7="Actual","",IFERROR(-AT521+AT511,0))</f>
        <v/>
      </c>
      <c r="AU866" s="245">
        <f>IF(AU$7="Actual","",IFERROR(-AU521+AU511,0))</f>
        <v/>
      </c>
      <c r="AV866" s="245">
        <f>IF(AV$7="Actual","",IFERROR(-AV521+AV511,0))</f>
        <v/>
      </c>
      <c r="AW866" s="245">
        <f>IF(AW$7="Actual","",IFERROR(-AW521+AW511,0))</f>
        <v/>
      </c>
      <c r="AX866" s="245">
        <f>IF(AX$7="Actual","",IFERROR(-AX521+AX511,0))</f>
        <v/>
      </c>
      <c r="AY866" s="245">
        <f>IF(AY$7="Actual","",IFERROR(-AY521+AY511,0))</f>
        <v/>
      </c>
      <c r="AZ866" s="245">
        <f>IF(AZ$7="Actual","",IFERROR(-AZ521+AZ511,0))</f>
        <v/>
      </c>
      <c r="BA866" s="245">
        <f>IF(BA$7="Actual","",IFERROR(-BA521+BA511,0))</f>
        <v/>
      </c>
      <c r="BB866" s="245">
        <f>IF(BB$7="Actual","",IFERROR(-BB521+BB511,0))</f>
        <v/>
      </c>
      <c r="BC866" s="245">
        <f>IF(BC$7="Actual","",IFERROR(-BC521+BC511,0))</f>
        <v/>
      </c>
      <c r="BD866" s="245">
        <f>IF(BD$7="Actual","",IFERROR(-BD521+BD511,0))</f>
        <v/>
      </c>
      <c r="BE866" s="245">
        <f>IF(BE$7="Actual","",IFERROR(-BE521+BE511,0))</f>
        <v/>
      </c>
      <c r="BF866" s="245">
        <f>IF(BF$7="Actual","",IFERROR(-BF521+BF511,0))</f>
        <v/>
      </c>
      <c r="BG866" s="245">
        <f>IF(BG$7="Actual","",IFERROR(-BG521+BG511,0))</f>
        <v/>
      </c>
      <c r="BH866" s="245">
        <f>IF(BH$7="Actual","",IFERROR(-BH521+BH511,0))</f>
        <v/>
      </c>
      <c r="BI866" s="245">
        <f>IF(BI$7="Actual","",IFERROR(-BI521+BI511,0))</f>
        <v/>
      </c>
      <c r="BJ866" s="245">
        <f>IF(BJ$7="Actual","",IFERROR(-BJ521+BJ511,0))</f>
        <v/>
      </c>
      <c r="BK866" s="245">
        <f>IF(BK$7="Actual","",IFERROR(-BK521+BK511,0))</f>
        <v/>
      </c>
      <c r="BL866" s="245">
        <f>IF(BL$7="Actual","",IFERROR(-BL521+BL511,0))</f>
        <v/>
      </c>
      <c r="BM866" s="245">
        <f>IF(BM$7="Actual","",IFERROR(-BM521+BM511,0))</f>
        <v/>
      </c>
      <c r="BN866" s="245">
        <f>IF(BN$7="Actual","",IFERROR(-BN521+BN511,0))</f>
        <v/>
      </c>
      <c r="BO866" s="245">
        <f>IF(BO$7="Actual","",IFERROR(-BO521+BO511,0))</f>
        <v/>
      </c>
      <c r="BP866" s="245">
        <f>IF(BP$7="Actual","",IFERROR(-BP521+BP511,0))</f>
        <v/>
      </c>
      <c r="BQ866" s="245">
        <f>IF(BQ$7="Actual","",IFERROR(-BQ521+BQ511,0))</f>
        <v/>
      </c>
      <c r="BR866" s="245">
        <f>IF(BR$7="Actual","",IFERROR(-BR521+BR511,0))</f>
        <v/>
      </c>
      <c r="BS866" s="245">
        <f>IF(BS$7="Actual","",IFERROR(-BS521+BS511,0))</f>
        <v/>
      </c>
      <c r="BT866" s="245">
        <f>IF(BT$7="Actual","",IFERROR(-BT521+BT511,0))</f>
        <v/>
      </c>
      <c r="BU866" s="245">
        <f>IF(BU$7="Actual","",IFERROR(-BU521+BU511,0))</f>
        <v/>
      </c>
      <c r="BV866" s="245">
        <f>IF(BV$7="Actual","",IFERROR(-BV521+BV511,0))</f>
        <v/>
      </c>
      <c r="BW866" s="245">
        <f>IF(BW$7="Actual","",IFERROR(-BW521+BW511,0))</f>
        <v/>
      </c>
      <c r="BX866" s="245">
        <f>IF(BX$7="Actual","",IFERROR(-BX521+BX511,0))</f>
        <v/>
      </c>
      <c r="BY866" s="245">
        <f>IF(BY$7="Actual","",IFERROR(-BY521+BY511,0))</f>
        <v/>
      </c>
      <c r="BZ866" s="245">
        <f>IF(BZ$7="Actual","",IFERROR(-BZ521+BZ511,0))</f>
        <v/>
      </c>
      <c r="CA866" s="245">
        <f>IF(CA$7="Actual","",IFERROR(-CA521+CA511,0))</f>
        <v/>
      </c>
    </row>
    <row r="867" ht="12" customHeight="1" s="227">
      <c r="A867" s="244" t="n"/>
      <c r="B867" s="244">
        <f>IF(K867&lt;&gt;"Yes",IF(SUM(M867:O867)&lt;&gt;0,1,0),0)</f>
        <v/>
      </c>
      <c r="C867" s="244" t="n"/>
      <c r="H867" s="4">
        <f>i_Setup!U89</f>
        <v/>
      </c>
      <c r="I867" s="27">
        <f>i_Setup!$M$16</f>
        <v/>
      </c>
      <c r="K867" s="259">
        <f>i_Setup!P89</f>
        <v/>
      </c>
      <c r="M867" s="245">
        <f>SUMIF($T$4:$CA$4,M$4,$T867:$CA867)</f>
        <v/>
      </c>
      <c r="N867" s="245">
        <f>SUMIF($T$4:$CA$4,N$4,$T867:$CA867)</f>
        <v/>
      </c>
      <c r="O867" s="245">
        <f>SUMIF($T$4:$CA$4,O$4,$T867:$CA867)</f>
        <v/>
      </c>
      <c r="P867" s="245">
        <f>SUMIF($T$4:$CA$4,P$4,$T867:$CA867)</f>
        <v/>
      </c>
      <c r="Q867" s="245">
        <f>SUMIF($T$4:$CA$4,Q$4,$T867:$CA867)</f>
        <v/>
      </c>
      <c r="T867" s="245">
        <f>IF(T$7="Actual","",IFERROR(-T522+T512,0))</f>
        <v/>
      </c>
      <c r="U867" s="245">
        <f>IF(U$7="Actual","",IFERROR(-U522+U512,0))</f>
        <v/>
      </c>
      <c r="V867" s="245">
        <f>IF(V$7="Actual","",IFERROR(-V522+V512,0))</f>
        <v/>
      </c>
      <c r="W867" s="245">
        <f>IF(W$7="Actual","",IFERROR(-W522+W512,0))</f>
        <v/>
      </c>
      <c r="X867" s="245">
        <f>IF(X$7="Actual","",IFERROR(-X522+X512,0))</f>
        <v/>
      </c>
      <c r="Y867" s="245">
        <f>IF(Y$7="Actual","",IFERROR(-Y522+Y512,0))</f>
        <v/>
      </c>
      <c r="Z867" s="245">
        <f>IF(Z$7="Actual","",IFERROR(-Z522+Z512,0))</f>
        <v/>
      </c>
      <c r="AA867" s="245">
        <f>IF(AA$7="Actual","",IFERROR(-AA522+AA512,0))</f>
        <v/>
      </c>
      <c r="AB867" s="245">
        <f>IF(AB$7="Actual","",IFERROR(-AB522+AB512,0))</f>
        <v/>
      </c>
      <c r="AC867" s="245">
        <f>IF(AC$7="Actual","",IFERROR(-AC522+AC512,0))</f>
        <v/>
      </c>
      <c r="AD867" s="245">
        <f>IF(AD$7="Actual","",IFERROR(-AD522+AD512,0))</f>
        <v/>
      </c>
      <c r="AE867" s="245">
        <f>IF(AE$7="Actual","",IFERROR(-AE522+AE512,0))</f>
        <v/>
      </c>
      <c r="AF867" s="245">
        <f>IF(AF$7="Actual","",IFERROR(-AF522+AF512,0))</f>
        <v/>
      </c>
      <c r="AG867" s="245">
        <f>IF(AG$7="Actual","",IFERROR(-AG522+AG512,0))</f>
        <v/>
      </c>
      <c r="AH867" s="245">
        <f>IF(AH$7="Actual","",IFERROR(-AH522+AH512,0))</f>
        <v/>
      </c>
      <c r="AI867" s="245">
        <f>IF(AI$7="Actual","",IFERROR(-AI522+AI512,0))</f>
        <v/>
      </c>
      <c r="AJ867" s="245">
        <f>IF(AJ$7="Actual","",IFERROR(-AJ522+AJ512,0))</f>
        <v/>
      </c>
      <c r="AK867" s="245">
        <f>IF(AK$7="Actual","",IFERROR(-AK522+AK512,0))</f>
        <v/>
      </c>
      <c r="AL867" s="245">
        <f>IF(AL$7="Actual","",IFERROR(-AL522+AL512,0))</f>
        <v/>
      </c>
      <c r="AM867" s="245">
        <f>IF(AM$7="Actual","",IFERROR(-AM522+AM512,0))</f>
        <v/>
      </c>
      <c r="AN867" s="245">
        <f>IF(AN$7="Actual","",IFERROR(-AN522+AN512,0))</f>
        <v/>
      </c>
      <c r="AO867" s="245">
        <f>IF(AO$7="Actual","",IFERROR(-AO522+AO512,0))</f>
        <v/>
      </c>
      <c r="AP867" s="245">
        <f>IF(AP$7="Actual","",IFERROR(-AP522+AP512,0))</f>
        <v/>
      </c>
      <c r="AQ867" s="245">
        <f>IF(AQ$7="Actual","",IFERROR(-AQ522+AQ512,0))</f>
        <v/>
      </c>
      <c r="AR867" s="245">
        <f>IF(AR$7="Actual","",IFERROR(-AR522+AR512,0))</f>
        <v/>
      </c>
      <c r="AS867" s="245">
        <f>IF(AS$7="Actual","",IFERROR(-AS522+AS512,0))</f>
        <v/>
      </c>
      <c r="AT867" s="245">
        <f>IF(AT$7="Actual","",IFERROR(-AT522+AT512,0))</f>
        <v/>
      </c>
      <c r="AU867" s="245">
        <f>IF(AU$7="Actual","",IFERROR(-AU522+AU512,0))</f>
        <v/>
      </c>
      <c r="AV867" s="245">
        <f>IF(AV$7="Actual","",IFERROR(-AV522+AV512,0))</f>
        <v/>
      </c>
      <c r="AW867" s="245">
        <f>IF(AW$7="Actual","",IFERROR(-AW522+AW512,0))</f>
        <v/>
      </c>
      <c r="AX867" s="245">
        <f>IF(AX$7="Actual","",IFERROR(-AX522+AX512,0))</f>
        <v/>
      </c>
      <c r="AY867" s="245">
        <f>IF(AY$7="Actual","",IFERROR(-AY522+AY512,0))</f>
        <v/>
      </c>
      <c r="AZ867" s="245">
        <f>IF(AZ$7="Actual","",IFERROR(-AZ522+AZ512,0))</f>
        <v/>
      </c>
      <c r="BA867" s="245">
        <f>IF(BA$7="Actual","",IFERROR(-BA522+BA512,0))</f>
        <v/>
      </c>
      <c r="BB867" s="245">
        <f>IF(BB$7="Actual","",IFERROR(-BB522+BB512,0))</f>
        <v/>
      </c>
      <c r="BC867" s="245">
        <f>IF(BC$7="Actual","",IFERROR(-BC522+BC512,0))</f>
        <v/>
      </c>
      <c r="BD867" s="245">
        <f>IF(BD$7="Actual","",IFERROR(-BD522+BD512,0))</f>
        <v/>
      </c>
      <c r="BE867" s="245">
        <f>IF(BE$7="Actual","",IFERROR(-BE522+BE512,0))</f>
        <v/>
      </c>
      <c r="BF867" s="245">
        <f>IF(BF$7="Actual","",IFERROR(-BF522+BF512,0))</f>
        <v/>
      </c>
      <c r="BG867" s="245">
        <f>IF(BG$7="Actual","",IFERROR(-BG522+BG512,0))</f>
        <v/>
      </c>
      <c r="BH867" s="245">
        <f>IF(BH$7="Actual","",IFERROR(-BH522+BH512,0))</f>
        <v/>
      </c>
      <c r="BI867" s="245">
        <f>IF(BI$7="Actual","",IFERROR(-BI522+BI512,0))</f>
        <v/>
      </c>
      <c r="BJ867" s="245">
        <f>IF(BJ$7="Actual","",IFERROR(-BJ522+BJ512,0))</f>
        <v/>
      </c>
      <c r="BK867" s="245">
        <f>IF(BK$7="Actual","",IFERROR(-BK522+BK512,0))</f>
        <v/>
      </c>
      <c r="BL867" s="245">
        <f>IF(BL$7="Actual","",IFERROR(-BL522+BL512,0))</f>
        <v/>
      </c>
      <c r="BM867" s="245">
        <f>IF(BM$7="Actual","",IFERROR(-BM522+BM512,0))</f>
        <v/>
      </c>
      <c r="BN867" s="245">
        <f>IF(BN$7="Actual","",IFERROR(-BN522+BN512,0))</f>
        <v/>
      </c>
      <c r="BO867" s="245">
        <f>IF(BO$7="Actual","",IFERROR(-BO522+BO512,0))</f>
        <v/>
      </c>
      <c r="BP867" s="245">
        <f>IF(BP$7="Actual","",IFERROR(-BP522+BP512,0))</f>
        <v/>
      </c>
      <c r="BQ867" s="245">
        <f>IF(BQ$7="Actual","",IFERROR(-BQ522+BQ512,0))</f>
        <v/>
      </c>
      <c r="BR867" s="245">
        <f>IF(BR$7="Actual","",IFERROR(-BR522+BR512,0))</f>
        <v/>
      </c>
      <c r="BS867" s="245">
        <f>IF(BS$7="Actual","",IFERROR(-BS522+BS512,0))</f>
        <v/>
      </c>
      <c r="BT867" s="245">
        <f>IF(BT$7="Actual","",IFERROR(-BT522+BT512,0))</f>
        <v/>
      </c>
      <c r="BU867" s="245">
        <f>IF(BU$7="Actual","",IFERROR(-BU522+BU512,0))</f>
        <v/>
      </c>
      <c r="BV867" s="245">
        <f>IF(BV$7="Actual","",IFERROR(-BV522+BV512,0))</f>
        <v/>
      </c>
      <c r="BW867" s="245">
        <f>IF(BW$7="Actual","",IFERROR(-BW522+BW512,0))</f>
        <v/>
      </c>
      <c r="BX867" s="245">
        <f>IF(BX$7="Actual","",IFERROR(-BX522+BX512,0))</f>
        <v/>
      </c>
      <c r="BY867" s="245">
        <f>IF(BY$7="Actual","",IFERROR(-BY522+BY512,0))</f>
        <v/>
      </c>
      <c r="BZ867" s="245">
        <f>IF(BZ$7="Actual","",IFERROR(-BZ522+BZ512,0))</f>
        <v/>
      </c>
      <c r="CA867" s="245">
        <f>IF(CA$7="Actual","",IFERROR(-CA522+CA512,0))</f>
        <v/>
      </c>
    </row>
    <row r="868" ht="12" customHeight="1" s="227">
      <c r="A868" s="244" t="n"/>
      <c r="B868" s="244">
        <f>IF(K868&lt;&gt;"Yes",IF(SUM(M868:O868)&lt;&gt;0,1,0),0)</f>
        <v/>
      </c>
      <c r="C868" s="244" t="n"/>
      <c r="H868" s="4">
        <f>i_Setup!U90</f>
        <v/>
      </c>
      <c r="I868" s="27">
        <f>i_Setup!$M$16</f>
        <v/>
      </c>
      <c r="K868" s="259">
        <f>i_Setup!P90</f>
        <v/>
      </c>
      <c r="M868" s="245">
        <f>SUMIF($T$4:$CA$4,M$4,$T868:$CA868)</f>
        <v/>
      </c>
      <c r="N868" s="245">
        <f>SUMIF($T$4:$CA$4,N$4,$T868:$CA868)</f>
        <v/>
      </c>
      <c r="O868" s="245">
        <f>SUMIF($T$4:$CA$4,O$4,$T868:$CA868)</f>
        <v/>
      </c>
      <c r="P868" s="245">
        <f>SUMIF($T$4:$CA$4,P$4,$T868:$CA868)</f>
        <v/>
      </c>
      <c r="Q868" s="245">
        <f>SUMIF($T$4:$CA$4,Q$4,$T868:$CA868)</f>
        <v/>
      </c>
      <c r="T868" s="245">
        <f>IF(T$7="Actual","",IFERROR(-T523+T513,0))</f>
        <v/>
      </c>
      <c r="U868" s="245">
        <f>IF(U$7="Actual","",IFERROR(-U523+U513,0))</f>
        <v/>
      </c>
      <c r="V868" s="245">
        <f>IF(V$7="Actual","",IFERROR(-V523+V513,0))</f>
        <v/>
      </c>
      <c r="W868" s="245">
        <f>IF(W$7="Actual","",IFERROR(-W523+W513,0))</f>
        <v/>
      </c>
      <c r="X868" s="245">
        <f>IF(X$7="Actual","",IFERROR(-X523+X513,0))</f>
        <v/>
      </c>
      <c r="Y868" s="245">
        <f>IF(Y$7="Actual","",IFERROR(-Y523+Y513,0))</f>
        <v/>
      </c>
      <c r="Z868" s="245">
        <f>IF(Z$7="Actual","",IFERROR(-Z523+Z513,0))</f>
        <v/>
      </c>
      <c r="AA868" s="245">
        <f>IF(AA$7="Actual","",IFERROR(-AA523+AA513,0))</f>
        <v/>
      </c>
      <c r="AB868" s="245">
        <f>IF(AB$7="Actual","",IFERROR(-AB523+AB513,0))</f>
        <v/>
      </c>
      <c r="AC868" s="245">
        <f>IF(AC$7="Actual","",IFERROR(-AC523+AC513,0))</f>
        <v/>
      </c>
      <c r="AD868" s="245">
        <f>IF(AD$7="Actual","",IFERROR(-AD523+AD513,0))</f>
        <v/>
      </c>
      <c r="AE868" s="245">
        <f>IF(AE$7="Actual","",IFERROR(-AE523+AE513,0))</f>
        <v/>
      </c>
      <c r="AF868" s="245">
        <f>IF(AF$7="Actual","",IFERROR(-AF523+AF513,0))</f>
        <v/>
      </c>
      <c r="AG868" s="245">
        <f>IF(AG$7="Actual","",IFERROR(-AG523+AG513,0))</f>
        <v/>
      </c>
      <c r="AH868" s="245">
        <f>IF(AH$7="Actual","",IFERROR(-AH523+AH513,0))</f>
        <v/>
      </c>
      <c r="AI868" s="245">
        <f>IF(AI$7="Actual","",IFERROR(-AI523+AI513,0))</f>
        <v/>
      </c>
      <c r="AJ868" s="245">
        <f>IF(AJ$7="Actual","",IFERROR(-AJ523+AJ513,0))</f>
        <v/>
      </c>
      <c r="AK868" s="245">
        <f>IF(AK$7="Actual","",IFERROR(-AK523+AK513,0))</f>
        <v/>
      </c>
      <c r="AL868" s="245">
        <f>IF(AL$7="Actual","",IFERROR(-AL523+AL513,0))</f>
        <v/>
      </c>
      <c r="AM868" s="245">
        <f>IF(AM$7="Actual","",IFERROR(-AM523+AM513,0))</f>
        <v/>
      </c>
      <c r="AN868" s="245">
        <f>IF(AN$7="Actual","",IFERROR(-AN523+AN513,0))</f>
        <v/>
      </c>
      <c r="AO868" s="245">
        <f>IF(AO$7="Actual","",IFERROR(-AO523+AO513,0))</f>
        <v/>
      </c>
      <c r="AP868" s="245">
        <f>IF(AP$7="Actual","",IFERROR(-AP523+AP513,0))</f>
        <v/>
      </c>
      <c r="AQ868" s="245">
        <f>IF(AQ$7="Actual","",IFERROR(-AQ523+AQ513,0))</f>
        <v/>
      </c>
      <c r="AR868" s="245">
        <f>IF(AR$7="Actual","",IFERROR(-AR523+AR513,0))</f>
        <v/>
      </c>
      <c r="AS868" s="245">
        <f>IF(AS$7="Actual","",IFERROR(-AS523+AS513,0))</f>
        <v/>
      </c>
      <c r="AT868" s="245">
        <f>IF(AT$7="Actual","",IFERROR(-AT523+AT513,0))</f>
        <v/>
      </c>
      <c r="AU868" s="245">
        <f>IF(AU$7="Actual","",IFERROR(-AU523+AU513,0))</f>
        <v/>
      </c>
      <c r="AV868" s="245">
        <f>IF(AV$7="Actual","",IFERROR(-AV523+AV513,0))</f>
        <v/>
      </c>
      <c r="AW868" s="245">
        <f>IF(AW$7="Actual","",IFERROR(-AW523+AW513,0))</f>
        <v/>
      </c>
      <c r="AX868" s="245">
        <f>IF(AX$7="Actual","",IFERROR(-AX523+AX513,0))</f>
        <v/>
      </c>
      <c r="AY868" s="245">
        <f>IF(AY$7="Actual","",IFERROR(-AY523+AY513,0))</f>
        <v/>
      </c>
      <c r="AZ868" s="245">
        <f>IF(AZ$7="Actual","",IFERROR(-AZ523+AZ513,0))</f>
        <v/>
      </c>
      <c r="BA868" s="245">
        <f>IF(BA$7="Actual","",IFERROR(-BA523+BA513,0))</f>
        <v/>
      </c>
      <c r="BB868" s="245">
        <f>IF(BB$7="Actual","",IFERROR(-BB523+BB513,0))</f>
        <v/>
      </c>
      <c r="BC868" s="245">
        <f>IF(BC$7="Actual","",IFERROR(-BC523+BC513,0))</f>
        <v/>
      </c>
      <c r="BD868" s="245">
        <f>IF(BD$7="Actual","",IFERROR(-BD523+BD513,0))</f>
        <v/>
      </c>
      <c r="BE868" s="245">
        <f>IF(BE$7="Actual","",IFERROR(-BE523+BE513,0))</f>
        <v/>
      </c>
      <c r="BF868" s="245">
        <f>IF(BF$7="Actual","",IFERROR(-BF523+BF513,0))</f>
        <v/>
      </c>
      <c r="BG868" s="245">
        <f>IF(BG$7="Actual","",IFERROR(-BG523+BG513,0))</f>
        <v/>
      </c>
      <c r="BH868" s="245">
        <f>IF(BH$7="Actual","",IFERROR(-BH523+BH513,0))</f>
        <v/>
      </c>
      <c r="BI868" s="245">
        <f>IF(BI$7="Actual","",IFERROR(-BI523+BI513,0))</f>
        <v/>
      </c>
      <c r="BJ868" s="245">
        <f>IF(BJ$7="Actual","",IFERROR(-BJ523+BJ513,0))</f>
        <v/>
      </c>
      <c r="BK868" s="245">
        <f>IF(BK$7="Actual","",IFERROR(-BK523+BK513,0))</f>
        <v/>
      </c>
      <c r="BL868" s="245">
        <f>IF(BL$7="Actual","",IFERROR(-BL523+BL513,0))</f>
        <v/>
      </c>
      <c r="BM868" s="245">
        <f>IF(BM$7="Actual","",IFERROR(-BM523+BM513,0))</f>
        <v/>
      </c>
      <c r="BN868" s="245">
        <f>IF(BN$7="Actual","",IFERROR(-BN523+BN513,0))</f>
        <v/>
      </c>
      <c r="BO868" s="245">
        <f>IF(BO$7="Actual","",IFERROR(-BO523+BO513,0))</f>
        <v/>
      </c>
      <c r="BP868" s="245">
        <f>IF(BP$7="Actual","",IFERROR(-BP523+BP513,0))</f>
        <v/>
      </c>
      <c r="BQ868" s="245">
        <f>IF(BQ$7="Actual","",IFERROR(-BQ523+BQ513,0))</f>
        <v/>
      </c>
      <c r="BR868" s="245">
        <f>IF(BR$7="Actual","",IFERROR(-BR523+BR513,0))</f>
        <v/>
      </c>
      <c r="BS868" s="245">
        <f>IF(BS$7="Actual","",IFERROR(-BS523+BS513,0))</f>
        <v/>
      </c>
      <c r="BT868" s="245">
        <f>IF(BT$7="Actual","",IFERROR(-BT523+BT513,0))</f>
        <v/>
      </c>
      <c r="BU868" s="245">
        <f>IF(BU$7="Actual","",IFERROR(-BU523+BU513,0))</f>
        <v/>
      </c>
      <c r="BV868" s="245">
        <f>IF(BV$7="Actual","",IFERROR(-BV523+BV513,0))</f>
        <v/>
      </c>
      <c r="BW868" s="245">
        <f>IF(BW$7="Actual","",IFERROR(-BW523+BW513,0))</f>
        <v/>
      </c>
      <c r="BX868" s="245">
        <f>IF(BX$7="Actual","",IFERROR(-BX523+BX513,0))</f>
        <v/>
      </c>
      <c r="BY868" s="245">
        <f>IF(BY$7="Actual","",IFERROR(-BY523+BY513,0))</f>
        <v/>
      </c>
      <c r="BZ868" s="245">
        <f>IF(BZ$7="Actual","",IFERROR(-BZ523+BZ513,0))</f>
        <v/>
      </c>
      <c r="CA868" s="245">
        <f>IF(CA$7="Actual","",IFERROR(-CA523+CA513,0))</f>
        <v/>
      </c>
    </row>
    <row r="869" ht="12" customHeight="1" s="227">
      <c r="A869" s="244" t="n"/>
      <c r="B869" s="244">
        <f>IF(K869&lt;&gt;"Yes",IF(SUM(M869:O869)&lt;&gt;0,1,0),0)</f>
        <v/>
      </c>
      <c r="C869" s="244" t="n"/>
      <c r="H869" s="4">
        <f>i_Setup!U91</f>
        <v/>
      </c>
      <c r="I869" s="27">
        <f>i_Setup!$M$16</f>
        <v/>
      </c>
      <c r="K869" s="259">
        <f>i_Setup!P91</f>
        <v/>
      </c>
      <c r="M869" s="245">
        <f>SUMIF($T$4:$CA$4,M$4,$T869:$CA869)</f>
        <v/>
      </c>
      <c r="N869" s="245">
        <f>SUMIF($T$4:$CA$4,N$4,$T869:$CA869)</f>
        <v/>
      </c>
      <c r="O869" s="245">
        <f>SUMIF($T$4:$CA$4,O$4,$T869:$CA869)</f>
        <v/>
      </c>
      <c r="P869" s="245">
        <f>SUMIF($T$4:$CA$4,P$4,$T869:$CA869)</f>
        <v/>
      </c>
      <c r="Q869" s="245">
        <f>SUMIF($T$4:$CA$4,Q$4,$T869:$CA869)</f>
        <v/>
      </c>
      <c r="T869" s="245">
        <f>IF(T$7="Actual","",IFERROR(-T524+T514,0))</f>
        <v/>
      </c>
      <c r="U869" s="245">
        <f>IF(U$7="Actual","",IFERROR(-U524+U514,0))</f>
        <v/>
      </c>
      <c r="V869" s="245">
        <f>IF(V$7="Actual","",IFERROR(-V524+V514,0))</f>
        <v/>
      </c>
      <c r="W869" s="245">
        <f>IF(W$7="Actual","",IFERROR(-W524+W514,0))</f>
        <v/>
      </c>
      <c r="X869" s="245">
        <f>IF(X$7="Actual","",IFERROR(-X524+X514,0))</f>
        <v/>
      </c>
      <c r="Y869" s="245">
        <f>IF(Y$7="Actual","",IFERROR(-Y524+Y514,0))</f>
        <v/>
      </c>
      <c r="Z869" s="245">
        <f>IF(Z$7="Actual","",IFERROR(-Z524+Z514,0))</f>
        <v/>
      </c>
      <c r="AA869" s="245">
        <f>IF(AA$7="Actual","",IFERROR(-AA524+AA514,0))</f>
        <v/>
      </c>
      <c r="AB869" s="245">
        <f>IF(AB$7="Actual","",IFERROR(-AB524+AB514,0))</f>
        <v/>
      </c>
      <c r="AC869" s="245">
        <f>IF(AC$7="Actual","",IFERROR(-AC524+AC514,0))</f>
        <v/>
      </c>
      <c r="AD869" s="245">
        <f>IF(AD$7="Actual","",IFERROR(-AD524+AD514,0))</f>
        <v/>
      </c>
      <c r="AE869" s="245">
        <f>IF(AE$7="Actual","",IFERROR(-AE524+AE514,0))</f>
        <v/>
      </c>
      <c r="AF869" s="245">
        <f>IF(AF$7="Actual","",IFERROR(-AF524+AF514,0))</f>
        <v/>
      </c>
      <c r="AG869" s="245">
        <f>IF(AG$7="Actual","",IFERROR(-AG524+AG514,0))</f>
        <v/>
      </c>
      <c r="AH869" s="245">
        <f>IF(AH$7="Actual","",IFERROR(-AH524+AH514,0))</f>
        <v/>
      </c>
      <c r="AI869" s="245">
        <f>IF(AI$7="Actual","",IFERROR(-AI524+AI514,0))</f>
        <v/>
      </c>
      <c r="AJ869" s="245">
        <f>IF(AJ$7="Actual","",IFERROR(-AJ524+AJ514,0))</f>
        <v/>
      </c>
      <c r="AK869" s="245">
        <f>IF(AK$7="Actual","",IFERROR(-AK524+AK514,0))</f>
        <v/>
      </c>
      <c r="AL869" s="245">
        <f>IF(AL$7="Actual","",IFERROR(-AL524+AL514,0))</f>
        <v/>
      </c>
      <c r="AM869" s="245">
        <f>IF(AM$7="Actual","",IFERROR(-AM524+AM514,0))</f>
        <v/>
      </c>
      <c r="AN869" s="245">
        <f>IF(AN$7="Actual","",IFERROR(-AN524+AN514,0))</f>
        <v/>
      </c>
      <c r="AO869" s="245">
        <f>IF(AO$7="Actual","",IFERROR(-AO524+AO514,0))</f>
        <v/>
      </c>
      <c r="AP869" s="245">
        <f>IF(AP$7="Actual","",IFERROR(-AP524+AP514,0))</f>
        <v/>
      </c>
      <c r="AQ869" s="245">
        <f>IF(AQ$7="Actual","",IFERROR(-AQ524+AQ514,0))</f>
        <v/>
      </c>
      <c r="AR869" s="245">
        <f>IF(AR$7="Actual","",IFERROR(-AR524+AR514,0))</f>
        <v/>
      </c>
      <c r="AS869" s="245">
        <f>IF(AS$7="Actual","",IFERROR(-AS524+AS514,0))</f>
        <v/>
      </c>
      <c r="AT869" s="245">
        <f>IF(AT$7="Actual","",IFERROR(-AT524+AT514,0))</f>
        <v/>
      </c>
      <c r="AU869" s="245">
        <f>IF(AU$7="Actual","",IFERROR(-AU524+AU514,0))</f>
        <v/>
      </c>
      <c r="AV869" s="245">
        <f>IF(AV$7="Actual","",IFERROR(-AV524+AV514,0))</f>
        <v/>
      </c>
      <c r="AW869" s="245">
        <f>IF(AW$7="Actual","",IFERROR(-AW524+AW514,0))</f>
        <v/>
      </c>
      <c r="AX869" s="245">
        <f>IF(AX$7="Actual","",IFERROR(-AX524+AX514,0))</f>
        <v/>
      </c>
      <c r="AY869" s="245">
        <f>IF(AY$7="Actual","",IFERROR(-AY524+AY514,0))</f>
        <v/>
      </c>
      <c r="AZ869" s="245">
        <f>IF(AZ$7="Actual","",IFERROR(-AZ524+AZ514,0))</f>
        <v/>
      </c>
      <c r="BA869" s="245">
        <f>IF(BA$7="Actual","",IFERROR(-BA524+BA514,0))</f>
        <v/>
      </c>
      <c r="BB869" s="245">
        <f>IF(BB$7="Actual","",IFERROR(-BB524+BB514,0))</f>
        <v/>
      </c>
      <c r="BC869" s="245">
        <f>IF(BC$7="Actual","",IFERROR(-BC524+BC514,0))</f>
        <v/>
      </c>
      <c r="BD869" s="245">
        <f>IF(BD$7="Actual","",IFERROR(-BD524+BD514,0))</f>
        <v/>
      </c>
      <c r="BE869" s="245">
        <f>IF(BE$7="Actual","",IFERROR(-BE524+BE514,0))</f>
        <v/>
      </c>
      <c r="BF869" s="245">
        <f>IF(BF$7="Actual","",IFERROR(-BF524+BF514,0))</f>
        <v/>
      </c>
      <c r="BG869" s="245">
        <f>IF(BG$7="Actual","",IFERROR(-BG524+BG514,0))</f>
        <v/>
      </c>
      <c r="BH869" s="245">
        <f>IF(BH$7="Actual","",IFERROR(-BH524+BH514,0))</f>
        <v/>
      </c>
      <c r="BI869" s="245">
        <f>IF(BI$7="Actual","",IFERROR(-BI524+BI514,0))</f>
        <v/>
      </c>
      <c r="BJ869" s="245">
        <f>IF(BJ$7="Actual","",IFERROR(-BJ524+BJ514,0))</f>
        <v/>
      </c>
      <c r="BK869" s="245">
        <f>IF(BK$7="Actual","",IFERROR(-BK524+BK514,0))</f>
        <v/>
      </c>
      <c r="BL869" s="245">
        <f>IF(BL$7="Actual","",IFERROR(-BL524+BL514,0))</f>
        <v/>
      </c>
      <c r="BM869" s="245">
        <f>IF(BM$7="Actual","",IFERROR(-BM524+BM514,0))</f>
        <v/>
      </c>
      <c r="BN869" s="245">
        <f>IF(BN$7="Actual","",IFERROR(-BN524+BN514,0))</f>
        <v/>
      </c>
      <c r="BO869" s="245">
        <f>IF(BO$7="Actual","",IFERROR(-BO524+BO514,0))</f>
        <v/>
      </c>
      <c r="BP869" s="245">
        <f>IF(BP$7="Actual","",IFERROR(-BP524+BP514,0))</f>
        <v/>
      </c>
      <c r="BQ869" s="245">
        <f>IF(BQ$7="Actual","",IFERROR(-BQ524+BQ514,0))</f>
        <v/>
      </c>
      <c r="BR869" s="245">
        <f>IF(BR$7="Actual","",IFERROR(-BR524+BR514,0))</f>
        <v/>
      </c>
      <c r="BS869" s="245">
        <f>IF(BS$7="Actual","",IFERROR(-BS524+BS514,0))</f>
        <v/>
      </c>
      <c r="BT869" s="245">
        <f>IF(BT$7="Actual","",IFERROR(-BT524+BT514,0))</f>
        <v/>
      </c>
      <c r="BU869" s="245">
        <f>IF(BU$7="Actual","",IFERROR(-BU524+BU514,0))</f>
        <v/>
      </c>
      <c r="BV869" s="245">
        <f>IF(BV$7="Actual","",IFERROR(-BV524+BV514,0))</f>
        <v/>
      </c>
      <c r="BW869" s="245">
        <f>IF(BW$7="Actual","",IFERROR(-BW524+BW514,0))</f>
        <v/>
      </c>
      <c r="BX869" s="245">
        <f>IF(BX$7="Actual","",IFERROR(-BX524+BX514,0))</f>
        <v/>
      </c>
      <c r="BY869" s="245">
        <f>IF(BY$7="Actual","",IFERROR(-BY524+BY514,0))</f>
        <v/>
      </c>
      <c r="BZ869" s="245">
        <f>IF(BZ$7="Actual","",IFERROR(-BZ524+BZ514,0))</f>
        <v/>
      </c>
      <c r="CA869" s="245">
        <f>IF(CA$7="Actual","",IFERROR(-CA524+CA514,0))</f>
        <v/>
      </c>
    </row>
    <row r="870" ht="12" customHeight="1" s="227">
      <c r="A870" s="244" t="n"/>
      <c r="B870" s="244" t="n"/>
      <c r="C870" s="244" t="n"/>
      <c r="K870" s="6" t="n"/>
    </row>
    <row r="871" ht="12" customHeight="1" s="227">
      <c r="A871" s="244" t="n"/>
      <c r="B871" s="244">
        <f>IF(K871&lt;&gt;"Yes",IF(SUM(M871:O871)&lt;&gt;0,1,0),0)</f>
        <v/>
      </c>
      <c r="C871" s="244" t="n"/>
      <c r="H871" s="4">
        <f>i_Setup!U96</f>
        <v/>
      </c>
      <c r="I871" s="27">
        <f>i_Setup!$M$16</f>
        <v/>
      </c>
      <c r="K871" s="259">
        <f>i_Setup!P96</f>
        <v/>
      </c>
      <c r="M871" s="245">
        <f>SUMIF($T$4:$CA$4,M$4,$T871:$CA871)</f>
        <v/>
      </c>
      <c r="N871" s="245">
        <f>SUMIF($T$4:$CA$4,N$4,$T871:$CA871)</f>
        <v/>
      </c>
      <c r="O871" s="245">
        <f>SUMIF($T$4:$CA$4,O$4,$T871:$CA871)</f>
        <v/>
      </c>
      <c r="P871" s="245">
        <f>SUMIF($T$4:$CA$4,P$4,$T871:$CA871)</f>
        <v/>
      </c>
      <c r="Q871" s="245">
        <f>SUMIF($T$4:$CA$4,Q$4,$T871:$CA871)</f>
        <v/>
      </c>
      <c r="T871" s="245">
        <f>IF(T$7="Actual","",IFERROR(-T552+T532,0))</f>
        <v/>
      </c>
      <c r="U871" s="245">
        <f>IF(U$7="Actual","",IFERROR(-U552+U532,0))</f>
        <v/>
      </c>
      <c r="V871" s="245">
        <f>IF(V$7="Actual","",IFERROR(-V552+V532,0))</f>
        <v/>
      </c>
      <c r="W871" s="245">
        <f>IF(W$7="Actual","",IFERROR(-W552+W532,0))</f>
        <v/>
      </c>
      <c r="X871" s="245">
        <f>IF(X$7="Actual","",IFERROR(-X552+X532,0))</f>
        <v/>
      </c>
      <c r="Y871" s="245">
        <f>IF(Y$7="Actual","",IFERROR(-Y552+Y532,0))</f>
        <v/>
      </c>
      <c r="Z871" s="245">
        <f>IF(Z$7="Actual","",IFERROR(-Z552+Z532,0))</f>
        <v/>
      </c>
      <c r="AA871" s="245">
        <f>IF(AA$7="Actual","",IFERROR(-AA552+AA532,0))</f>
        <v/>
      </c>
      <c r="AB871" s="245">
        <f>IF(AB$7="Actual","",IFERROR(-AB552+AB532,0))</f>
        <v/>
      </c>
      <c r="AC871" s="245">
        <f>IF(AC$7="Actual","",IFERROR(-AC552+AC532,0))</f>
        <v/>
      </c>
      <c r="AD871" s="245">
        <f>IF(AD$7="Actual","",IFERROR(-AD552+AD532,0))</f>
        <v/>
      </c>
      <c r="AE871" s="245">
        <f>IF(AE$7="Actual","",IFERROR(-AE552+AE532,0))</f>
        <v/>
      </c>
      <c r="AF871" s="245">
        <f>IF(AF$7="Actual","",IFERROR(-AF552+AF532,0))</f>
        <v/>
      </c>
      <c r="AG871" s="245">
        <f>IF(AG$7="Actual","",IFERROR(-AG552+AG532,0))</f>
        <v/>
      </c>
      <c r="AH871" s="245">
        <f>IF(AH$7="Actual","",IFERROR(-AH552+AH532,0))</f>
        <v/>
      </c>
      <c r="AI871" s="245">
        <f>IF(AI$7="Actual","",IFERROR(-AI552+AI532,0))</f>
        <v/>
      </c>
      <c r="AJ871" s="245">
        <f>IF(AJ$7="Actual","",IFERROR(-AJ552+AJ532,0))</f>
        <v/>
      </c>
      <c r="AK871" s="245">
        <f>IF(AK$7="Actual","",IFERROR(-AK552+AK532,0))</f>
        <v/>
      </c>
      <c r="AL871" s="245">
        <f>IF(AL$7="Actual","",IFERROR(-AL552+AL532,0))</f>
        <v/>
      </c>
      <c r="AM871" s="245">
        <f>IF(AM$7="Actual","",IFERROR(-AM552+AM532,0))</f>
        <v/>
      </c>
      <c r="AN871" s="245">
        <f>IF(AN$7="Actual","",IFERROR(-AN552+AN532,0))</f>
        <v/>
      </c>
      <c r="AO871" s="245">
        <f>IF(AO$7="Actual","",IFERROR(-AO552+AO532,0))</f>
        <v/>
      </c>
      <c r="AP871" s="245">
        <f>IF(AP$7="Actual","",IFERROR(-AP552+AP532,0))</f>
        <v/>
      </c>
      <c r="AQ871" s="245">
        <f>IF(AQ$7="Actual","",IFERROR(-AQ552+AQ532,0))</f>
        <v/>
      </c>
      <c r="AR871" s="245">
        <f>IF(AR$7="Actual","",IFERROR(-AR552+AR532,0))</f>
        <v/>
      </c>
      <c r="AS871" s="245">
        <f>IF(AS$7="Actual","",IFERROR(-AS552+AS532,0))</f>
        <v/>
      </c>
      <c r="AT871" s="245">
        <f>IF(AT$7="Actual","",IFERROR(-AT552+AT532,0))</f>
        <v/>
      </c>
      <c r="AU871" s="245">
        <f>IF(AU$7="Actual","",IFERROR(-AU552+AU532,0))</f>
        <v/>
      </c>
      <c r="AV871" s="245">
        <f>IF(AV$7="Actual","",IFERROR(-AV552+AV532,0))</f>
        <v/>
      </c>
      <c r="AW871" s="245">
        <f>IF(AW$7="Actual","",IFERROR(-AW552+AW532,0))</f>
        <v/>
      </c>
      <c r="AX871" s="245">
        <f>IF(AX$7="Actual","",IFERROR(-AX552+AX532,0))</f>
        <v/>
      </c>
      <c r="AY871" s="245">
        <f>IF(AY$7="Actual","",IFERROR(-AY552+AY532,0))</f>
        <v/>
      </c>
      <c r="AZ871" s="245">
        <f>IF(AZ$7="Actual","",IFERROR(-AZ552+AZ532,0))</f>
        <v/>
      </c>
      <c r="BA871" s="245">
        <f>IF(BA$7="Actual","",IFERROR(-BA552+BA532,0))</f>
        <v/>
      </c>
      <c r="BB871" s="245">
        <f>IF(BB$7="Actual","",IFERROR(-BB552+BB532,0))</f>
        <v/>
      </c>
      <c r="BC871" s="245">
        <f>IF(BC$7="Actual","",IFERROR(-BC552+BC532,0))</f>
        <v/>
      </c>
      <c r="BD871" s="245">
        <f>IF(BD$7="Actual","",IFERROR(-BD552+BD532,0))</f>
        <v/>
      </c>
      <c r="BE871" s="245">
        <f>IF(BE$7="Actual","",IFERROR(-BE552+BE532,0))</f>
        <v/>
      </c>
      <c r="BF871" s="245">
        <f>IF(BF$7="Actual","",IFERROR(-BF552+BF532,0))</f>
        <v/>
      </c>
      <c r="BG871" s="245">
        <f>IF(BG$7="Actual","",IFERROR(-BG552+BG532,0))</f>
        <v/>
      </c>
      <c r="BH871" s="245">
        <f>IF(BH$7="Actual","",IFERROR(-BH552+BH532,0))</f>
        <v/>
      </c>
      <c r="BI871" s="245">
        <f>IF(BI$7="Actual","",IFERROR(-BI552+BI532,0))</f>
        <v/>
      </c>
      <c r="BJ871" s="245">
        <f>IF(BJ$7="Actual","",IFERROR(-BJ552+BJ532,0))</f>
        <v/>
      </c>
      <c r="BK871" s="245">
        <f>IF(BK$7="Actual","",IFERROR(-BK552+BK532,0))</f>
        <v/>
      </c>
      <c r="BL871" s="245">
        <f>IF(BL$7="Actual","",IFERROR(-BL552+BL532,0))</f>
        <v/>
      </c>
      <c r="BM871" s="245">
        <f>IF(BM$7="Actual","",IFERROR(-BM552+BM532,0))</f>
        <v/>
      </c>
      <c r="BN871" s="245">
        <f>IF(BN$7="Actual","",IFERROR(-BN552+BN532,0))</f>
        <v/>
      </c>
      <c r="BO871" s="245">
        <f>IF(BO$7="Actual","",IFERROR(-BO552+BO532,0))</f>
        <v/>
      </c>
      <c r="BP871" s="245">
        <f>IF(BP$7="Actual","",IFERROR(-BP552+BP532,0))</f>
        <v/>
      </c>
      <c r="BQ871" s="245">
        <f>IF(BQ$7="Actual","",IFERROR(-BQ552+BQ532,0))</f>
        <v/>
      </c>
      <c r="BR871" s="245">
        <f>IF(BR$7="Actual","",IFERROR(-BR552+BR532,0))</f>
        <v/>
      </c>
      <c r="BS871" s="245">
        <f>IF(BS$7="Actual","",IFERROR(-BS552+BS532,0))</f>
        <v/>
      </c>
      <c r="BT871" s="245">
        <f>IF(BT$7="Actual","",IFERROR(-BT552+BT532,0))</f>
        <v/>
      </c>
      <c r="BU871" s="245">
        <f>IF(BU$7="Actual","",IFERROR(-BU552+BU532,0))</f>
        <v/>
      </c>
      <c r="BV871" s="245">
        <f>IF(BV$7="Actual","",IFERROR(-BV552+BV532,0))</f>
        <v/>
      </c>
      <c r="BW871" s="245">
        <f>IF(BW$7="Actual","",IFERROR(-BW552+BW532,0))</f>
        <v/>
      </c>
      <c r="BX871" s="245">
        <f>IF(BX$7="Actual","",IFERROR(-BX552+BX532,0))</f>
        <v/>
      </c>
      <c r="BY871" s="245">
        <f>IF(BY$7="Actual","",IFERROR(-BY552+BY532,0))</f>
        <v/>
      </c>
      <c r="BZ871" s="245">
        <f>IF(BZ$7="Actual","",IFERROR(-BZ552+BZ532,0))</f>
        <v/>
      </c>
      <c r="CA871" s="245">
        <f>IF(CA$7="Actual","",IFERROR(-CA552+CA532,0))</f>
        <v/>
      </c>
    </row>
    <row r="872" ht="12" customHeight="1" s="227">
      <c r="A872" s="244" t="n"/>
      <c r="B872" s="244">
        <f>IF(K872&lt;&gt;"Yes",IF(SUM(M872:O872)&lt;&gt;0,1,0),0)</f>
        <v/>
      </c>
      <c r="C872" s="244" t="n"/>
      <c r="H872" s="4">
        <f>i_Setup!U97</f>
        <v/>
      </c>
      <c r="I872" s="27">
        <f>i_Setup!$M$16</f>
        <v/>
      </c>
      <c r="K872" s="259">
        <f>i_Setup!P97</f>
        <v/>
      </c>
      <c r="M872" s="245">
        <f>SUMIF($T$4:$CA$4,M$4,$T872:$CA872)</f>
        <v/>
      </c>
      <c r="N872" s="245">
        <f>SUMIF($T$4:$CA$4,N$4,$T872:$CA872)</f>
        <v/>
      </c>
      <c r="O872" s="245">
        <f>SUMIF($T$4:$CA$4,O$4,$T872:$CA872)</f>
        <v/>
      </c>
      <c r="P872" s="245">
        <f>SUMIF($T$4:$CA$4,P$4,$T872:$CA872)</f>
        <v/>
      </c>
      <c r="Q872" s="245">
        <f>SUMIF($T$4:$CA$4,Q$4,$T872:$CA872)</f>
        <v/>
      </c>
      <c r="T872" s="245">
        <f>IF(T$7="Actual","",IFERROR(-T553+T533,0))</f>
        <v/>
      </c>
      <c r="U872" s="245">
        <f>IF(U$7="Actual","",IFERROR(-U553+U533,0))</f>
        <v/>
      </c>
      <c r="V872" s="245">
        <f>IF(V$7="Actual","",IFERROR(-V553+V533,0))</f>
        <v/>
      </c>
      <c r="W872" s="245">
        <f>IF(W$7="Actual","",IFERROR(-W553+W533,0))</f>
        <v/>
      </c>
      <c r="X872" s="245">
        <f>IF(X$7="Actual","",IFERROR(-X553+X533,0))</f>
        <v/>
      </c>
      <c r="Y872" s="245">
        <f>IF(Y$7="Actual","",IFERROR(-Y553+Y533,0))</f>
        <v/>
      </c>
      <c r="Z872" s="245">
        <f>IF(Z$7="Actual","",IFERROR(-Z553+Z533,0))</f>
        <v/>
      </c>
      <c r="AA872" s="245">
        <f>IF(AA$7="Actual","",IFERROR(-AA553+AA533,0))</f>
        <v/>
      </c>
      <c r="AB872" s="245">
        <f>IF(AB$7="Actual","",IFERROR(-AB553+AB533,0))</f>
        <v/>
      </c>
      <c r="AC872" s="245">
        <f>IF(AC$7="Actual","",IFERROR(-AC553+AC533,0))</f>
        <v/>
      </c>
      <c r="AD872" s="245">
        <f>IF(AD$7="Actual","",IFERROR(-AD553+AD533,0))</f>
        <v/>
      </c>
      <c r="AE872" s="245">
        <f>IF(AE$7="Actual","",IFERROR(-AE553+AE533,0))</f>
        <v/>
      </c>
      <c r="AF872" s="245">
        <f>IF(AF$7="Actual","",IFERROR(-AF553+AF533,0))</f>
        <v/>
      </c>
      <c r="AG872" s="245">
        <f>IF(AG$7="Actual","",IFERROR(-AG553+AG533,0))</f>
        <v/>
      </c>
      <c r="AH872" s="245">
        <f>IF(AH$7="Actual","",IFERROR(-AH553+AH533,0))</f>
        <v/>
      </c>
      <c r="AI872" s="245">
        <f>IF(AI$7="Actual","",IFERROR(-AI553+AI533,0))</f>
        <v/>
      </c>
      <c r="AJ872" s="245">
        <f>IF(AJ$7="Actual","",IFERROR(-AJ553+AJ533,0))</f>
        <v/>
      </c>
      <c r="AK872" s="245">
        <f>IF(AK$7="Actual","",IFERROR(-AK553+AK533,0))</f>
        <v/>
      </c>
      <c r="AL872" s="245">
        <f>IF(AL$7="Actual","",IFERROR(-AL553+AL533,0))</f>
        <v/>
      </c>
      <c r="AM872" s="245">
        <f>IF(AM$7="Actual","",IFERROR(-AM553+AM533,0))</f>
        <v/>
      </c>
      <c r="AN872" s="245">
        <f>IF(AN$7="Actual","",IFERROR(-AN553+AN533,0))</f>
        <v/>
      </c>
      <c r="AO872" s="245">
        <f>IF(AO$7="Actual","",IFERROR(-AO553+AO533,0))</f>
        <v/>
      </c>
      <c r="AP872" s="245">
        <f>IF(AP$7="Actual","",IFERROR(-AP553+AP533,0))</f>
        <v/>
      </c>
      <c r="AQ872" s="245">
        <f>IF(AQ$7="Actual","",IFERROR(-AQ553+AQ533,0))</f>
        <v/>
      </c>
      <c r="AR872" s="245">
        <f>IF(AR$7="Actual","",IFERROR(-AR553+AR533,0))</f>
        <v/>
      </c>
      <c r="AS872" s="245">
        <f>IF(AS$7="Actual","",IFERROR(-AS553+AS533,0))</f>
        <v/>
      </c>
      <c r="AT872" s="245">
        <f>IF(AT$7="Actual","",IFERROR(-AT553+AT533,0))</f>
        <v/>
      </c>
      <c r="AU872" s="245">
        <f>IF(AU$7="Actual","",IFERROR(-AU553+AU533,0))</f>
        <v/>
      </c>
      <c r="AV872" s="245">
        <f>IF(AV$7="Actual","",IFERROR(-AV553+AV533,0))</f>
        <v/>
      </c>
      <c r="AW872" s="245">
        <f>IF(AW$7="Actual","",IFERROR(-AW553+AW533,0))</f>
        <v/>
      </c>
      <c r="AX872" s="245">
        <f>IF(AX$7="Actual","",IFERROR(-AX553+AX533,0))</f>
        <v/>
      </c>
      <c r="AY872" s="245">
        <f>IF(AY$7="Actual","",IFERROR(-AY553+AY533,0))</f>
        <v/>
      </c>
      <c r="AZ872" s="245">
        <f>IF(AZ$7="Actual","",IFERROR(-AZ553+AZ533,0))</f>
        <v/>
      </c>
      <c r="BA872" s="245">
        <f>IF(BA$7="Actual","",IFERROR(-BA553+BA533,0))</f>
        <v/>
      </c>
      <c r="BB872" s="245">
        <f>IF(BB$7="Actual","",IFERROR(-BB553+BB533,0))</f>
        <v/>
      </c>
      <c r="BC872" s="245">
        <f>IF(BC$7="Actual","",IFERROR(-BC553+BC533,0))</f>
        <v/>
      </c>
      <c r="BD872" s="245">
        <f>IF(BD$7="Actual","",IFERROR(-BD553+BD533,0))</f>
        <v/>
      </c>
      <c r="BE872" s="245">
        <f>IF(BE$7="Actual","",IFERROR(-BE553+BE533,0))</f>
        <v/>
      </c>
      <c r="BF872" s="245">
        <f>IF(BF$7="Actual","",IFERROR(-BF553+BF533,0))</f>
        <v/>
      </c>
      <c r="BG872" s="245">
        <f>IF(BG$7="Actual","",IFERROR(-BG553+BG533,0))</f>
        <v/>
      </c>
      <c r="BH872" s="245">
        <f>IF(BH$7="Actual","",IFERROR(-BH553+BH533,0))</f>
        <v/>
      </c>
      <c r="BI872" s="245">
        <f>IF(BI$7="Actual","",IFERROR(-BI553+BI533,0))</f>
        <v/>
      </c>
      <c r="BJ872" s="245">
        <f>IF(BJ$7="Actual","",IFERROR(-BJ553+BJ533,0))</f>
        <v/>
      </c>
      <c r="BK872" s="245">
        <f>IF(BK$7="Actual","",IFERROR(-BK553+BK533,0))</f>
        <v/>
      </c>
      <c r="BL872" s="245">
        <f>IF(BL$7="Actual","",IFERROR(-BL553+BL533,0))</f>
        <v/>
      </c>
      <c r="BM872" s="245">
        <f>IF(BM$7="Actual","",IFERROR(-BM553+BM533,0))</f>
        <v/>
      </c>
      <c r="BN872" s="245">
        <f>IF(BN$7="Actual","",IFERROR(-BN553+BN533,0))</f>
        <v/>
      </c>
      <c r="BO872" s="245">
        <f>IF(BO$7="Actual","",IFERROR(-BO553+BO533,0))</f>
        <v/>
      </c>
      <c r="BP872" s="245">
        <f>IF(BP$7="Actual","",IFERROR(-BP553+BP533,0))</f>
        <v/>
      </c>
      <c r="BQ872" s="245">
        <f>IF(BQ$7="Actual","",IFERROR(-BQ553+BQ533,0))</f>
        <v/>
      </c>
      <c r="BR872" s="245">
        <f>IF(BR$7="Actual","",IFERROR(-BR553+BR533,0))</f>
        <v/>
      </c>
      <c r="BS872" s="245">
        <f>IF(BS$7="Actual","",IFERROR(-BS553+BS533,0))</f>
        <v/>
      </c>
      <c r="BT872" s="245">
        <f>IF(BT$7="Actual","",IFERROR(-BT553+BT533,0))</f>
        <v/>
      </c>
      <c r="BU872" s="245">
        <f>IF(BU$7="Actual","",IFERROR(-BU553+BU533,0))</f>
        <v/>
      </c>
      <c r="BV872" s="245">
        <f>IF(BV$7="Actual","",IFERROR(-BV553+BV533,0))</f>
        <v/>
      </c>
      <c r="BW872" s="245">
        <f>IF(BW$7="Actual","",IFERROR(-BW553+BW533,0))</f>
        <v/>
      </c>
      <c r="BX872" s="245">
        <f>IF(BX$7="Actual","",IFERROR(-BX553+BX533,0))</f>
        <v/>
      </c>
      <c r="BY872" s="245">
        <f>IF(BY$7="Actual","",IFERROR(-BY553+BY533,0))</f>
        <v/>
      </c>
      <c r="BZ872" s="245">
        <f>IF(BZ$7="Actual","",IFERROR(-BZ553+BZ533,0))</f>
        <v/>
      </c>
      <c r="CA872" s="245">
        <f>IF(CA$7="Actual","",IFERROR(-CA553+CA533,0))</f>
        <v/>
      </c>
    </row>
    <row r="873" ht="12" customHeight="1" s="227">
      <c r="A873" s="244" t="n"/>
      <c r="B873" s="244">
        <f>IF(K873&lt;&gt;"Yes",IF(SUM(M873:O873)&lt;&gt;0,1,0),0)</f>
        <v/>
      </c>
      <c r="C873" s="244" t="n"/>
      <c r="H873" s="4">
        <f>i_Setup!U98</f>
        <v/>
      </c>
      <c r="I873" s="27">
        <f>i_Setup!$M$16</f>
        <v/>
      </c>
      <c r="K873" s="259">
        <f>i_Setup!P98</f>
        <v/>
      </c>
      <c r="M873" s="245">
        <f>SUMIF($T$4:$CA$4,M$4,$T873:$CA873)</f>
        <v/>
      </c>
      <c r="N873" s="245">
        <f>SUMIF($T$4:$CA$4,N$4,$T873:$CA873)</f>
        <v/>
      </c>
      <c r="O873" s="245">
        <f>SUMIF($T$4:$CA$4,O$4,$T873:$CA873)</f>
        <v/>
      </c>
      <c r="P873" s="245">
        <f>SUMIF($T$4:$CA$4,P$4,$T873:$CA873)</f>
        <v/>
      </c>
      <c r="Q873" s="245">
        <f>SUMIF($T$4:$CA$4,Q$4,$T873:$CA873)</f>
        <v/>
      </c>
      <c r="T873" s="245">
        <f>IF(T$7="Actual","",IFERROR(-T554+T534,0))</f>
        <v/>
      </c>
      <c r="U873" s="245">
        <f>IF(U$7="Actual","",IFERROR(-U554+U534,0))</f>
        <v/>
      </c>
      <c r="V873" s="245">
        <f>IF(V$7="Actual","",IFERROR(-V554+V534,0))</f>
        <v/>
      </c>
      <c r="W873" s="245">
        <f>IF(W$7="Actual","",IFERROR(-W554+W534,0))</f>
        <v/>
      </c>
      <c r="X873" s="245">
        <f>IF(X$7="Actual","",IFERROR(-X554+X534,0))</f>
        <v/>
      </c>
      <c r="Y873" s="245">
        <f>IF(Y$7="Actual","",IFERROR(-Y554+Y534,0))</f>
        <v/>
      </c>
      <c r="Z873" s="245">
        <f>IF(Z$7="Actual","",IFERROR(-Z554+Z534,0))</f>
        <v/>
      </c>
      <c r="AA873" s="245">
        <f>IF(AA$7="Actual","",IFERROR(-AA554+AA534,0))</f>
        <v/>
      </c>
      <c r="AB873" s="245">
        <f>IF(AB$7="Actual","",IFERROR(-AB554+AB534,0))</f>
        <v/>
      </c>
      <c r="AC873" s="245">
        <f>IF(AC$7="Actual","",IFERROR(-AC554+AC534,0))</f>
        <v/>
      </c>
      <c r="AD873" s="245">
        <f>IF(AD$7="Actual","",IFERROR(-AD554+AD534,0))</f>
        <v/>
      </c>
      <c r="AE873" s="245">
        <f>IF(AE$7="Actual","",IFERROR(-AE554+AE534,0))</f>
        <v/>
      </c>
      <c r="AF873" s="245">
        <f>IF(AF$7="Actual","",IFERROR(-AF554+AF534,0))</f>
        <v/>
      </c>
      <c r="AG873" s="245">
        <f>IF(AG$7="Actual","",IFERROR(-AG554+AG534,0))</f>
        <v/>
      </c>
      <c r="AH873" s="245">
        <f>IF(AH$7="Actual","",IFERROR(-AH554+AH534,0))</f>
        <v/>
      </c>
      <c r="AI873" s="245">
        <f>IF(AI$7="Actual","",IFERROR(-AI554+AI534,0))</f>
        <v/>
      </c>
      <c r="AJ873" s="245">
        <f>IF(AJ$7="Actual","",IFERROR(-AJ554+AJ534,0))</f>
        <v/>
      </c>
      <c r="AK873" s="245">
        <f>IF(AK$7="Actual","",IFERROR(-AK554+AK534,0))</f>
        <v/>
      </c>
      <c r="AL873" s="245">
        <f>IF(AL$7="Actual","",IFERROR(-AL554+AL534,0))</f>
        <v/>
      </c>
      <c r="AM873" s="245">
        <f>IF(AM$7="Actual","",IFERROR(-AM554+AM534,0))</f>
        <v/>
      </c>
      <c r="AN873" s="245">
        <f>IF(AN$7="Actual","",IFERROR(-AN554+AN534,0))</f>
        <v/>
      </c>
      <c r="AO873" s="245">
        <f>IF(AO$7="Actual","",IFERROR(-AO554+AO534,0))</f>
        <v/>
      </c>
      <c r="AP873" s="245">
        <f>IF(AP$7="Actual","",IFERROR(-AP554+AP534,0))</f>
        <v/>
      </c>
      <c r="AQ873" s="245">
        <f>IF(AQ$7="Actual","",IFERROR(-AQ554+AQ534,0))</f>
        <v/>
      </c>
      <c r="AR873" s="245">
        <f>IF(AR$7="Actual","",IFERROR(-AR554+AR534,0))</f>
        <v/>
      </c>
      <c r="AS873" s="245">
        <f>IF(AS$7="Actual","",IFERROR(-AS554+AS534,0))</f>
        <v/>
      </c>
      <c r="AT873" s="245">
        <f>IF(AT$7="Actual","",IFERROR(-AT554+AT534,0))</f>
        <v/>
      </c>
      <c r="AU873" s="245">
        <f>IF(AU$7="Actual","",IFERROR(-AU554+AU534,0))</f>
        <v/>
      </c>
      <c r="AV873" s="245">
        <f>IF(AV$7="Actual","",IFERROR(-AV554+AV534,0))</f>
        <v/>
      </c>
      <c r="AW873" s="245">
        <f>IF(AW$7="Actual","",IFERROR(-AW554+AW534,0))</f>
        <v/>
      </c>
      <c r="AX873" s="245">
        <f>IF(AX$7="Actual","",IFERROR(-AX554+AX534,0))</f>
        <v/>
      </c>
      <c r="AY873" s="245">
        <f>IF(AY$7="Actual","",IFERROR(-AY554+AY534,0))</f>
        <v/>
      </c>
      <c r="AZ873" s="245">
        <f>IF(AZ$7="Actual","",IFERROR(-AZ554+AZ534,0))</f>
        <v/>
      </c>
      <c r="BA873" s="245">
        <f>IF(BA$7="Actual","",IFERROR(-BA554+BA534,0))</f>
        <v/>
      </c>
      <c r="BB873" s="245">
        <f>IF(BB$7="Actual","",IFERROR(-BB554+BB534,0))</f>
        <v/>
      </c>
      <c r="BC873" s="245">
        <f>IF(BC$7="Actual","",IFERROR(-BC554+BC534,0))</f>
        <v/>
      </c>
      <c r="BD873" s="245">
        <f>IF(BD$7="Actual","",IFERROR(-BD554+BD534,0))</f>
        <v/>
      </c>
      <c r="BE873" s="245">
        <f>IF(BE$7="Actual","",IFERROR(-BE554+BE534,0))</f>
        <v/>
      </c>
      <c r="BF873" s="245">
        <f>IF(BF$7="Actual","",IFERROR(-BF554+BF534,0))</f>
        <v/>
      </c>
      <c r="BG873" s="245">
        <f>IF(BG$7="Actual","",IFERROR(-BG554+BG534,0))</f>
        <v/>
      </c>
      <c r="BH873" s="245">
        <f>IF(BH$7="Actual","",IFERROR(-BH554+BH534,0))</f>
        <v/>
      </c>
      <c r="BI873" s="245">
        <f>IF(BI$7="Actual","",IFERROR(-BI554+BI534,0))</f>
        <v/>
      </c>
      <c r="BJ873" s="245">
        <f>IF(BJ$7="Actual","",IFERROR(-BJ554+BJ534,0))</f>
        <v/>
      </c>
      <c r="BK873" s="245">
        <f>IF(BK$7="Actual","",IFERROR(-BK554+BK534,0))</f>
        <v/>
      </c>
      <c r="BL873" s="245">
        <f>IF(BL$7="Actual","",IFERROR(-BL554+BL534,0))</f>
        <v/>
      </c>
      <c r="BM873" s="245">
        <f>IF(BM$7="Actual","",IFERROR(-BM554+BM534,0))</f>
        <v/>
      </c>
      <c r="BN873" s="245">
        <f>IF(BN$7="Actual","",IFERROR(-BN554+BN534,0))</f>
        <v/>
      </c>
      <c r="BO873" s="245">
        <f>IF(BO$7="Actual","",IFERROR(-BO554+BO534,0))</f>
        <v/>
      </c>
      <c r="BP873" s="245">
        <f>IF(BP$7="Actual","",IFERROR(-BP554+BP534,0))</f>
        <v/>
      </c>
      <c r="BQ873" s="245">
        <f>IF(BQ$7="Actual","",IFERROR(-BQ554+BQ534,0))</f>
        <v/>
      </c>
      <c r="BR873" s="245">
        <f>IF(BR$7="Actual","",IFERROR(-BR554+BR534,0))</f>
        <v/>
      </c>
      <c r="BS873" s="245">
        <f>IF(BS$7="Actual","",IFERROR(-BS554+BS534,0))</f>
        <v/>
      </c>
      <c r="BT873" s="245">
        <f>IF(BT$7="Actual","",IFERROR(-BT554+BT534,0))</f>
        <v/>
      </c>
      <c r="BU873" s="245">
        <f>IF(BU$7="Actual","",IFERROR(-BU554+BU534,0))</f>
        <v/>
      </c>
      <c r="BV873" s="245">
        <f>IF(BV$7="Actual","",IFERROR(-BV554+BV534,0))</f>
        <v/>
      </c>
      <c r="BW873" s="245">
        <f>IF(BW$7="Actual","",IFERROR(-BW554+BW534,0))</f>
        <v/>
      </c>
      <c r="BX873" s="245">
        <f>IF(BX$7="Actual","",IFERROR(-BX554+BX534,0))</f>
        <v/>
      </c>
      <c r="BY873" s="245">
        <f>IF(BY$7="Actual","",IFERROR(-BY554+BY534,0))</f>
        <v/>
      </c>
      <c r="BZ873" s="245">
        <f>IF(BZ$7="Actual","",IFERROR(-BZ554+BZ534,0))</f>
        <v/>
      </c>
      <c r="CA873" s="245">
        <f>IF(CA$7="Actual","",IFERROR(-CA554+CA534,0))</f>
        <v/>
      </c>
    </row>
    <row r="874" ht="12" customHeight="1" s="227">
      <c r="A874" s="244" t="n"/>
      <c r="B874" s="244">
        <f>IF(K874&lt;&gt;"Yes",IF(SUM(M874:O874)&lt;&gt;0,1,0),0)</f>
        <v/>
      </c>
      <c r="C874" s="244" t="n"/>
      <c r="H874" s="4">
        <f>i_Setup!U99</f>
        <v/>
      </c>
      <c r="I874" s="27">
        <f>i_Setup!$M$16</f>
        <v/>
      </c>
      <c r="K874" s="259">
        <f>i_Setup!P99</f>
        <v/>
      </c>
      <c r="M874" s="245">
        <f>SUMIF($T$4:$CA$4,M$4,$T874:$CA874)</f>
        <v/>
      </c>
      <c r="N874" s="245">
        <f>SUMIF($T$4:$CA$4,N$4,$T874:$CA874)</f>
        <v/>
      </c>
      <c r="O874" s="245">
        <f>SUMIF($T$4:$CA$4,O$4,$T874:$CA874)</f>
        <v/>
      </c>
      <c r="P874" s="245">
        <f>SUMIF($T$4:$CA$4,P$4,$T874:$CA874)</f>
        <v/>
      </c>
      <c r="Q874" s="245">
        <f>SUMIF($T$4:$CA$4,Q$4,$T874:$CA874)</f>
        <v/>
      </c>
      <c r="T874" s="245">
        <f>IF(T$7="Actual","",IFERROR(-T555+T535,0))</f>
        <v/>
      </c>
      <c r="U874" s="245">
        <f>IF(U$7="Actual","",IFERROR(-U555+U535,0))</f>
        <v/>
      </c>
      <c r="V874" s="245">
        <f>IF(V$7="Actual","",IFERROR(-V555+V535,0))</f>
        <v/>
      </c>
      <c r="W874" s="245">
        <f>IF(W$7="Actual","",IFERROR(-W555+W535,0))</f>
        <v/>
      </c>
      <c r="X874" s="245">
        <f>IF(X$7="Actual","",IFERROR(-X555+X535,0))</f>
        <v/>
      </c>
      <c r="Y874" s="245">
        <f>IF(Y$7="Actual","",IFERROR(-Y555+Y535,0))</f>
        <v/>
      </c>
      <c r="Z874" s="245">
        <f>IF(Z$7="Actual","",IFERROR(-Z555+Z535,0))</f>
        <v/>
      </c>
      <c r="AA874" s="245">
        <f>IF(AA$7="Actual","",IFERROR(-AA555+AA535,0))</f>
        <v/>
      </c>
      <c r="AB874" s="245">
        <f>IF(AB$7="Actual","",IFERROR(-AB555+AB535,0))</f>
        <v/>
      </c>
      <c r="AC874" s="245">
        <f>IF(AC$7="Actual","",IFERROR(-AC555+AC535,0))</f>
        <v/>
      </c>
      <c r="AD874" s="245">
        <f>IF(AD$7="Actual","",IFERROR(-AD555+AD535,0))</f>
        <v/>
      </c>
      <c r="AE874" s="245">
        <f>IF(AE$7="Actual","",IFERROR(-AE555+AE535,0))</f>
        <v/>
      </c>
      <c r="AF874" s="245">
        <f>IF(AF$7="Actual","",IFERROR(-AF555+AF535,0))</f>
        <v/>
      </c>
      <c r="AG874" s="245">
        <f>IF(AG$7="Actual","",IFERROR(-AG555+AG535,0))</f>
        <v/>
      </c>
      <c r="AH874" s="245">
        <f>IF(AH$7="Actual","",IFERROR(-AH555+AH535,0))</f>
        <v/>
      </c>
      <c r="AI874" s="245">
        <f>IF(AI$7="Actual","",IFERROR(-AI555+AI535,0))</f>
        <v/>
      </c>
      <c r="AJ874" s="245">
        <f>IF(AJ$7="Actual","",IFERROR(-AJ555+AJ535,0))</f>
        <v/>
      </c>
      <c r="AK874" s="245">
        <f>IF(AK$7="Actual","",IFERROR(-AK555+AK535,0))</f>
        <v/>
      </c>
      <c r="AL874" s="245">
        <f>IF(AL$7="Actual","",IFERROR(-AL555+AL535,0))</f>
        <v/>
      </c>
      <c r="AM874" s="245">
        <f>IF(AM$7="Actual","",IFERROR(-AM555+AM535,0))</f>
        <v/>
      </c>
      <c r="AN874" s="245">
        <f>IF(AN$7="Actual","",IFERROR(-AN555+AN535,0))</f>
        <v/>
      </c>
      <c r="AO874" s="245">
        <f>IF(AO$7="Actual","",IFERROR(-AO555+AO535,0))</f>
        <v/>
      </c>
      <c r="AP874" s="245">
        <f>IF(AP$7="Actual","",IFERROR(-AP555+AP535,0))</f>
        <v/>
      </c>
      <c r="AQ874" s="245">
        <f>IF(AQ$7="Actual","",IFERROR(-AQ555+AQ535,0))</f>
        <v/>
      </c>
      <c r="AR874" s="245">
        <f>IF(AR$7="Actual","",IFERROR(-AR555+AR535,0))</f>
        <v/>
      </c>
      <c r="AS874" s="245">
        <f>IF(AS$7="Actual","",IFERROR(-AS555+AS535,0))</f>
        <v/>
      </c>
      <c r="AT874" s="245">
        <f>IF(AT$7="Actual","",IFERROR(-AT555+AT535,0))</f>
        <v/>
      </c>
      <c r="AU874" s="245">
        <f>IF(AU$7="Actual","",IFERROR(-AU555+AU535,0))</f>
        <v/>
      </c>
      <c r="AV874" s="245">
        <f>IF(AV$7="Actual","",IFERROR(-AV555+AV535,0))</f>
        <v/>
      </c>
      <c r="AW874" s="245">
        <f>IF(AW$7="Actual","",IFERROR(-AW555+AW535,0))</f>
        <v/>
      </c>
      <c r="AX874" s="245">
        <f>IF(AX$7="Actual","",IFERROR(-AX555+AX535,0))</f>
        <v/>
      </c>
      <c r="AY874" s="245">
        <f>IF(AY$7="Actual","",IFERROR(-AY555+AY535,0))</f>
        <v/>
      </c>
      <c r="AZ874" s="245">
        <f>IF(AZ$7="Actual","",IFERROR(-AZ555+AZ535,0))</f>
        <v/>
      </c>
      <c r="BA874" s="245">
        <f>IF(BA$7="Actual","",IFERROR(-BA555+BA535,0))</f>
        <v/>
      </c>
      <c r="BB874" s="245">
        <f>IF(BB$7="Actual","",IFERROR(-BB555+BB535,0))</f>
        <v/>
      </c>
      <c r="BC874" s="245">
        <f>IF(BC$7="Actual","",IFERROR(-BC555+BC535,0))</f>
        <v/>
      </c>
      <c r="BD874" s="245">
        <f>IF(BD$7="Actual","",IFERROR(-BD555+BD535,0))</f>
        <v/>
      </c>
      <c r="BE874" s="245">
        <f>IF(BE$7="Actual","",IFERROR(-BE555+BE535,0))</f>
        <v/>
      </c>
      <c r="BF874" s="245">
        <f>IF(BF$7="Actual","",IFERROR(-BF555+BF535,0))</f>
        <v/>
      </c>
      <c r="BG874" s="245">
        <f>IF(BG$7="Actual","",IFERROR(-BG555+BG535,0))</f>
        <v/>
      </c>
      <c r="BH874" s="245">
        <f>IF(BH$7="Actual","",IFERROR(-BH555+BH535,0))</f>
        <v/>
      </c>
      <c r="BI874" s="245">
        <f>IF(BI$7="Actual","",IFERROR(-BI555+BI535,0))</f>
        <v/>
      </c>
      <c r="BJ874" s="245">
        <f>IF(BJ$7="Actual","",IFERROR(-BJ555+BJ535,0))</f>
        <v/>
      </c>
      <c r="BK874" s="245">
        <f>IF(BK$7="Actual","",IFERROR(-BK555+BK535,0))</f>
        <v/>
      </c>
      <c r="BL874" s="245">
        <f>IF(BL$7="Actual","",IFERROR(-BL555+BL535,0))</f>
        <v/>
      </c>
      <c r="BM874" s="245">
        <f>IF(BM$7="Actual","",IFERROR(-BM555+BM535,0))</f>
        <v/>
      </c>
      <c r="BN874" s="245">
        <f>IF(BN$7="Actual","",IFERROR(-BN555+BN535,0))</f>
        <v/>
      </c>
      <c r="BO874" s="245">
        <f>IF(BO$7="Actual","",IFERROR(-BO555+BO535,0))</f>
        <v/>
      </c>
      <c r="BP874" s="245">
        <f>IF(BP$7="Actual","",IFERROR(-BP555+BP535,0))</f>
        <v/>
      </c>
      <c r="BQ874" s="245">
        <f>IF(BQ$7="Actual","",IFERROR(-BQ555+BQ535,0))</f>
        <v/>
      </c>
      <c r="BR874" s="245">
        <f>IF(BR$7="Actual","",IFERROR(-BR555+BR535,0))</f>
        <v/>
      </c>
      <c r="BS874" s="245">
        <f>IF(BS$7="Actual","",IFERROR(-BS555+BS535,0))</f>
        <v/>
      </c>
      <c r="BT874" s="245">
        <f>IF(BT$7="Actual","",IFERROR(-BT555+BT535,0))</f>
        <v/>
      </c>
      <c r="BU874" s="245">
        <f>IF(BU$7="Actual","",IFERROR(-BU555+BU535,0))</f>
        <v/>
      </c>
      <c r="BV874" s="245">
        <f>IF(BV$7="Actual","",IFERROR(-BV555+BV535,0))</f>
        <v/>
      </c>
      <c r="BW874" s="245">
        <f>IF(BW$7="Actual","",IFERROR(-BW555+BW535,0))</f>
        <v/>
      </c>
      <c r="BX874" s="245">
        <f>IF(BX$7="Actual","",IFERROR(-BX555+BX535,0))</f>
        <v/>
      </c>
      <c r="BY874" s="245">
        <f>IF(BY$7="Actual","",IFERROR(-BY555+BY535,0))</f>
        <v/>
      </c>
      <c r="BZ874" s="245">
        <f>IF(BZ$7="Actual","",IFERROR(-BZ555+BZ535,0))</f>
        <v/>
      </c>
      <c r="CA874" s="245">
        <f>IF(CA$7="Actual","",IFERROR(-CA555+CA535,0))</f>
        <v/>
      </c>
    </row>
    <row r="875" ht="12" customHeight="1" s="227">
      <c r="A875" s="244" t="n"/>
      <c r="B875" s="244">
        <f>IF(K875&lt;&gt;"Yes",IF(SUM(M875:O875)&lt;&gt;0,1,0),0)</f>
        <v/>
      </c>
      <c r="C875" s="244" t="n"/>
      <c r="H875" s="4">
        <f>i_Setup!U100</f>
        <v/>
      </c>
      <c r="I875" s="27">
        <f>i_Setup!$M$16</f>
        <v/>
      </c>
      <c r="K875" s="259">
        <f>i_Setup!P100</f>
        <v/>
      </c>
      <c r="M875" s="245">
        <f>SUMIF($T$4:$CA$4,M$4,$T875:$CA875)</f>
        <v/>
      </c>
      <c r="N875" s="245">
        <f>SUMIF($T$4:$CA$4,N$4,$T875:$CA875)</f>
        <v/>
      </c>
      <c r="O875" s="245">
        <f>SUMIF($T$4:$CA$4,O$4,$T875:$CA875)</f>
        <v/>
      </c>
      <c r="P875" s="245">
        <f>SUMIF($T$4:$CA$4,P$4,$T875:$CA875)</f>
        <v/>
      </c>
      <c r="Q875" s="245">
        <f>SUMIF($T$4:$CA$4,Q$4,$T875:$CA875)</f>
        <v/>
      </c>
      <c r="T875" s="245">
        <f>IF(T$7="Actual","",IFERROR(-T556+T536,0))</f>
        <v/>
      </c>
      <c r="U875" s="245">
        <f>IF(U$7="Actual","",IFERROR(-U556+U536,0))</f>
        <v/>
      </c>
      <c r="V875" s="245">
        <f>IF(V$7="Actual","",IFERROR(-V556+V536,0))</f>
        <v/>
      </c>
      <c r="W875" s="245">
        <f>IF(W$7="Actual","",IFERROR(-W556+W536,0))</f>
        <v/>
      </c>
      <c r="X875" s="245">
        <f>IF(X$7="Actual","",IFERROR(-X556+X536,0))</f>
        <v/>
      </c>
      <c r="Y875" s="245">
        <f>IF(Y$7="Actual","",IFERROR(-Y556+Y536,0))</f>
        <v/>
      </c>
      <c r="Z875" s="245">
        <f>IF(Z$7="Actual","",IFERROR(-Z556+Z536,0))</f>
        <v/>
      </c>
      <c r="AA875" s="245">
        <f>IF(AA$7="Actual","",IFERROR(-AA556+AA536,0))</f>
        <v/>
      </c>
      <c r="AB875" s="245">
        <f>IF(AB$7="Actual","",IFERROR(-AB556+AB536,0))</f>
        <v/>
      </c>
      <c r="AC875" s="245">
        <f>IF(AC$7="Actual","",IFERROR(-AC556+AC536,0))</f>
        <v/>
      </c>
      <c r="AD875" s="245">
        <f>IF(AD$7="Actual","",IFERROR(-AD556+AD536,0))</f>
        <v/>
      </c>
      <c r="AE875" s="245">
        <f>IF(AE$7="Actual","",IFERROR(-AE556+AE536,0))</f>
        <v/>
      </c>
      <c r="AF875" s="245">
        <f>IF(AF$7="Actual","",IFERROR(-AF556+AF536,0))</f>
        <v/>
      </c>
      <c r="AG875" s="245">
        <f>IF(AG$7="Actual","",IFERROR(-AG556+AG536,0))</f>
        <v/>
      </c>
      <c r="AH875" s="245">
        <f>IF(AH$7="Actual","",IFERROR(-AH556+AH536,0))</f>
        <v/>
      </c>
      <c r="AI875" s="245">
        <f>IF(AI$7="Actual","",IFERROR(-AI556+AI536,0))</f>
        <v/>
      </c>
      <c r="AJ875" s="245">
        <f>IF(AJ$7="Actual","",IFERROR(-AJ556+AJ536,0))</f>
        <v/>
      </c>
      <c r="AK875" s="245">
        <f>IF(AK$7="Actual","",IFERROR(-AK556+AK536,0))</f>
        <v/>
      </c>
      <c r="AL875" s="245">
        <f>IF(AL$7="Actual","",IFERROR(-AL556+AL536,0))</f>
        <v/>
      </c>
      <c r="AM875" s="245">
        <f>IF(AM$7="Actual","",IFERROR(-AM556+AM536,0))</f>
        <v/>
      </c>
      <c r="AN875" s="245">
        <f>IF(AN$7="Actual","",IFERROR(-AN556+AN536,0))</f>
        <v/>
      </c>
      <c r="AO875" s="245">
        <f>IF(AO$7="Actual","",IFERROR(-AO556+AO536,0))</f>
        <v/>
      </c>
      <c r="AP875" s="245">
        <f>IF(AP$7="Actual","",IFERROR(-AP556+AP536,0))</f>
        <v/>
      </c>
      <c r="AQ875" s="245">
        <f>IF(AQ$7="Actual","",IFERROR(-AQ556+AQ536,0))</f>
        <v/>
      </c>
      <c r="AR875" s="245">
        <f>IF(AR$7="Actual","",IFERROR(-AR556+AR536,0))</f>
        <v/>
      </c>
      <c r="AS875" s="245">
        <f>IF(AS$7="Actual","",IFERROR(-AS556+AS536,0))</f>
        <v/>
      </c>
      <c r="AT875" s="245">
        <f>IF(AT$7="Actual","",IFERROR(-AT556+AT536,0))</f>
        <v/>
      </c>
      <c r="AU875" s="245">
        <f>IF(AU$7="Actual","",IFERROR(-AU556+AU536,0))</f>
        <v/>
      </c>
      <c r="AV875" s="245">
        <f>IF(AV$7="Actual","",IFERROR(-AV556+AV536,0))</f>
        <v/>
      </c>
      <c r="AW875" s="245">
        <f>IF(AW$7="Actual","",IFERROR(-AW556+AW536,0))</f>
        <v/>
      </c>
      <c r="AX875" s="245">
        <f>IF(AX$7="Actual","",IFERROR(-AX556+AX536,0))</f>
        <v/>
      </c>
      <c r="AY875" s="245">
        <f>IF(AY$7="Actual","",IFERROR(-AY556+AY536,0))</f>
        <v/>
      </c>
      <c r="AZ875" s="245">
        <f>IF(AZ$7="Actual","",IFERROR(-AZ556+AZ536,0))</f>
        <v/>
      </c>
      <c r="BA875" s="245">
        <f>IF(BA$7="Actual","",IFERROR(-BA556+BA536,0))</f>
        <v/>
      </c>
      <c r="BB875" s="245">
        <f>IF(BB$7="Actual","",IFERROR(-BB556+BB536,0))</f>
        <v/>
      </c>
      <c r="BC875" s="245">
        <f>IF(BC$7="Actual","",IFERROR(-BC556+BC536,0))</f>
        <v/>
      </c>
      <c r="BD875" s="245">
        <f>IF(BD$7="Actual","",IFERROR(-BD556+BD536,0))</f>
        <v/>
      </c>
      <c r="BE875" s="245">
        <f>IF(BE$7="Actual","",IFERROR(-BE556+BE536,0))</f>
        <v/>
      </c>
      <c r="BF875" s="245">
        <f>IF(BF$7="Actual","",IFERROR(-BF556+BF536,0))</f>
        <v/>
      </c>
      <c r="BG875" s="245">
        <f>IF(BG$7="Actual","",IFERROR(-BG556+BG536,0))</f>
        <v/>
      </c>
      <c r="BH875" s="245">
        <f>IF(BH$7="Actual","",IFERROR(-BH556+BH536,0))</f>
        <v/>
      </c>
      <c r="BI875" s="245">
        <f>IF(BI$7="Actual","",IFERROR(-BI556+BI536,0))</f>
        <v/>
      </c>
      <c r="BJ875" s="245">
        <f>IF(BJ$7="Actual","",IFERROR(-BJ556+BJ536,0))</f>
        <v/>
      </c>
      <c r="BK875" s="245">
        <f>IF(BK$7="Actual","",IFERROR(-BK556+BK536,0))</f>
        <v/>
      </c>
      <c r="BL875" s="245">
        <f>IF(BL$7="Actual","",IFERROR(-BL556+BL536,0))</f>
        <v/>
      </c>
      <c r="BM875" s="245">
        <f>IF(BM$7="Actual","",IFERROR(-BM556+BM536,0))</f>
        <v/>
      </c>
      <c r="BN875" s="245">
        <f>IF(BN$7="Actual","",IFERROR(-BN556+BN536,0))</f>
        <v/>
      </c>
      <c r="BO875" s="245">
        <f>IF(BO$7="Actual","",IFERROR(-BO556+BO536,0))</f>
        <v/>
      </c>
      <c r="BP875" s="245">
        <f>IF(BP$7="Actual","",IFERROR(-BP556+BP536,0))</f>
        <v/>
      </c>
      <c r="BQ875" s="245">
        <f>IF(BQ$7="Actual","",IFERROR(-BQ556+BQ536,0))</f>
        <v/>
      </c>
      <c r="BR875" s="245">
        <f>IF(BR$7="Actual","",IFERROR(-BR556+BR536,0))</f>
        <v/>
      </c>
      <c r="BS875" s="245">
        <f>IF(BS$7="Actual","",IFERROR(-BS556+BS536,0))</f>
        <v/>
      </c>
      <c r="BT875" s="245">
        <f>IF(BT$7="Actual","",IFERROR(-BT556+BT536,0))</f>
        <v/>
      </c>
      <c r="BU875" s="245">
        <f>IF(BU$7="Actual","",IFERROR(-BU556+BU536,0))</f>
        <v/>
      </c>
      <c r="BV875" s="245">
        <f>IF(BV$7="Actual","",IFERROR(-BV556+BV536,0))</f>
        <v/>
      </c>
      <c r="BW875" s="245">
        <f>IF(BW$7="Actual","",IFERROR(-BW556+BW536,0))</f>
        <v/>
      </c>
      <c r="BX875" s="245">
        <f>IF(BX$7="Actual","",IFERROR(-BX556+BX536,0))</f>
        <v/>
      </c>
      <c r="BY875" s="245">
        <f>IF(BY$7="Actual","",IFERROR(-BY556+BY536,0))</f>
        <v/>
      </c>
      <c r="BZ875" s="245">
        <f>IF(BZ$7="Actual","",IFERROR(-BZ556+BZ536,0))</f>
        <v/>
      </c>
      <c r="CA875" s="245">
        <f>IF(CA$7="Actual","",IFERROR(-CA556+CA536,0))</f>
        <v/>
      </c>
    </row>
    <row r="876" ht="12" customHeight="1" s="227">
      <c r="A876" s="244" t="n"/>
      <c r="B876" s="244">
        <f>IF(K876&lt;&gt;"Yes",IF(SUM(M876:O876)&lt;&gt;0,1,0),0)</f>
        <v/>
      </c>
      <c r="C876" s="244" t="n"/>
      <c r="H876" s="4">
        <f>i_Setup!U101</f>
        <v/>
      </c>
      <c r="I876" s="27">
        <f>i_Setup!$M$16</f>
        <v/>
      </c>
      <c r="K876" s="259">
        <f>i_Setup!P101</f>
        <v/>
      </c>
      <c r="M876" s="245">
        <f>SUMIF($T$4:$CA$4,M$4,$T876:$CA876)</f>
        <v/>
      </c>
      <c r="N876" s="245">
        <f>SUMIF($T$4:$CA$4,N$4,$T876:$CA876)</f>
        <v/>
      </c>
      <c r="O876" s="245">
        <f>SUMIF($T$4:$CA$4,O$4,$T876:$CA876)</f>
        <v/>
      </c>
      <c r="P876" s="245">
        <f>SUMIF($T$4:$CA$4,P$4,$T876:$CA876)</f>
        <v/>
      </c>
      <c r="Q876" s="245">
        <f>SUMIF($T$4:$CA$4,Q$4,$T876:$CA876)</f>
        <v/>
      </c>
      <c r="T876" s="245">
        <f>IF(T$7="Actual","",IFERROR(-T557+T537,0))</f>
        <v/>
      </c>
      <c r="U876" s="245">
        <f>IF(U$7="Actual","",IFERROR(-U557+U537,0))</f>
        <v/>
      </c>
      <c r="V876" s="245">
        <f>IF(V$7="Actual","",IFERROR(-V557+V537,0))</f>
        <v/>
      </c>
      <c r="W876" s="245">
        <f>IF(W$7="Actual","",IFERROR(-W557+W537,0))</f>
        <v/>
      </c>
      <c r="X876" s="245">
        <f>IF(X$7="Actual","",IFERROR(-X557+X537,0))</f>
        <v/>
      </c>
      <c r="Y876" s="245">
        <f>IF(Y$7="Actual","",IFERROR(-Y557+Y537,0))</f>
        <v/>
      </c>
      <c r="Z876" s="245">
        <f>IF(Z$7="Actual","",IFERROR(-Z557+Z537,0))</f>
        <v/>
      </c>
      <c r="AA876" s="245">
        <f>IF(AA$7="Actual","",IFERROR(-AA557+AA537,0))</f>
        <v/>
      </c>
      <c r="AB876" s="245">
        <f>IF(AB$7="Actual","",IFERROR(-AB557+AB537,0))</f>
        <v/>
      </c>
      <c r="AC876" s="245">
        <f>IF(AC$7="Actual","",IFERROR(-AC557+AC537,0))</f>
        <v/>
      </c>
      <c r="AD876" s="245">
        <f>IF(AD$7="Actual","",IFERROR(-AD557+AD537,0))</f>
        <v/>
      </c>
      <c r="AE876" s="245">
        <f>IF(AE$7="Actual","",IFERROR(-AE557+AE537,0))</f>
        <v/>
      </c>
      <c r="AF876" s="245">
        <f>IF(AF$7="Actual","",IFERROR(-AF557+AF537,0))</f>
        <v/>
      </c>
      <c r="AG876" s="245">
        <f>IF(AG$7="Actual","",IFERROR(-AG557+AG537,0))</f>
        <v/>
      </c>
      <c r="AH876" s="245">
        <f>IF(AH$7="Actual","",IFERROR(-AH557+AH537,0))</f>
        <v/>
      </c>
      <c r="AI876" s="245">
        <f>IF(AI$7="Actual","",IFERROR(-AI557+AI537,0))</f>
        <v/>
      </c>
      <c r="AJ876" s="245">
        <f>IF(AJ$7="Actual","",IFERROR(-AJ557+AJ537,0))</f>
        <v/>
      </c>
      <c r="AK876" s="245">
        <f>IF(AK$7="Actual","",IFERROR(-AK557+AK537,0))</f>
        <v/>
      </c>
      <c r="AL876" s="245">
        <f>IF(AL$7="Actual","",IFERROR(-AL557+AL537,0))</f>
        <v/>
      </c>
      <c r="AM876" s="245">
        <f>IF(AM$7="Actual","",IFERROR(-AM557+AM537,0))</f>
        <v/>
      </c>
      <c r="AN876" s="245">
        <f>IF(AN$7="Actual","",IFERROR(-AN557+AN537,0))</f>
        <v/>
      </c>
      <c r="AO876" s="245">
        <f>IF(AO$7="Actual","",IFERROR(-AO557+AO537,0))</f>
        <v/>
      </c>
      <c r="AP876" s="245">
        <f>IF(AP$7="Actual","",IFERROR(-AP557+AP537,0))</f>
        <v/>
      </c>
      <c r="AQ876" s="245">
        <f>IF(AQ$7="Actual","",IFERROR(-AQ557+AQ537,0))</f>
        <v/>
      </c>
      <c r="AR876" s="245">
        <f>IF(AR$7="Actual","",IFERROR(-AR557+AR537,0))</f>
        <v/>
      </c>
      <c r="AS876" s="245">
        <f>IF(AS$7="Actual","",IFERROR(-AS557+AS537,0))</f>
        <v/>
      </c>
      <c r="AT876" s="245">
        <f>IF(AT$7="Actual","",IFERROR(-AT557+AT537,0))</f>
        <v/>
      </c>
      <c r="AU876" s="245">
        <f>IF(AU$7="Actual","",IFERROR(-AU557+AU537,0))</f>
        <v/>
      </c>
      <c r="AV876" s="245">
        <f>IF(AV$7="Actual","",IFERROR(-AV557+AV537,0))</f>
        <v/>
      </c>
      <c r="AW876" s="245">
        <f>IF(AW$7="Actual","",IFERROR(-AW557+AW537,0))</f>
        <v/>
      </c>
      <c r="AX876" s="245">
        <f>IF(AX$7="Actual","",IFERROR(-AX557+AX537,0))</f>
        <v/>
      </c>
      <c r="AY876" s="245">
        <f>IF(AY$7="Actual","",IFERROR(-AY557+AY537,0))</f>
        <v/>
      </c>
      <c r="AZ876" s="245">
        <f>IF(AZ$7="Actual","",IFERROR(-AZ557+AZ537,0))</f>
        <v/>
      </c>
      <c r="BA876" s="245">
        <f>IF(BA$7="Actual","",IFERROR(-BA557+BA537,0))</f>
        <v/>
      </c>
      <c r="BB876" s="245">
        <f>IF(BB$7="Actual","",IFERROR(-BB557+BB537,0))</f>
        <v/>
      </c>
      <c r="BC876" s="245">
        <f>IF(BC$7="Actual","",IFERROR(-BC557+BC537,0))</f>
        <v/>
      </c>
      <c r="BD876" s="245">
        <f>IF(BD$7="Actual","",IFERROR(-BD557+BD537,0))</f>
        <v/>
      </c>
      <c r="BE876" s="245">
        <f>IF(BE$7="Actual","",IFERROR(-BE557+BE537,0))</f>
        <v/>
      </c>
      <c r="BF876" s="245">
        <f>IF(BF$7="Actual","",IFERROR(-BF557+BF537,0))</f>
        <v/>
      </c>
      <c r="BG876" s="245">
        <f>IF(BG$7="Actual","",IFERROR(-BG557+BG537,0))</f>
        <v/>
      </c>
      <c r="BH876" s="245">
        <f>IF(BH$7="Actual","",IFERROR(-BH557+BH537,0))</f>
        <v/>
      </c>
      <c r="BI876" s="245">
        <f>IF(BI$7="Actual","",IFERROR(-BI557+BI537,0))</f>
        <v/>
      </c>
      <c r="BJ876" s="245">
        <f>IF(BJ$7="Actual","",IFERROR(-BJ557+BJ537,0))</f>
        <v/>
      </c>
      <c r="BK876" s="245">
        <f>IF(BK$7="Actual","",IFERROR(-BK557+BK537,0))</f>
        <v/>
      </c>
      <c r="BL876" s="245">
        <f>IF(BL$7="Actual","",IFERROR(-BL557+BL537,0))</f>
        <v/>
      </c>
      <c r="BM876" s="245">
        <f>IF(BM$7="Actual","",IFERROR(-BM557+BM537,0))</f>
        <v/>
      </c>
      <c r="BN876" s="245">
        <f>IF(BN$7="Actual","",IFERROR(-BN557+BN537,0))</f>
        <v/>
      </c>
      <c r="BO876" s="245">
        <f>IF(BO$7="Actual","",IFERROR(-BO557+BO537,0))</f>
        <v/>
      </c>
      <c r="BP876" s="245">
        <f>IF(BP$7="Actual","",IFERROR(-BP557+BP537,0))</f>
        <v/>
      </c>
      <c r="BQ876" s="245">
        <f>IF(BQ$7="Actual","",IFERROR(-BQ557+BQ537,0))</f>
        <v/>
      </c>
      <c r="BR876" s="245">
        <f>IF(BR$7="Actual","",IFERROR(-BR557+BR537,0))</f>
        <v/>
      </c>
      <c r="BS876" s="245">
        <f>IF(BS$7="Actual","",IFERROR(-BS557+BS537,0))</f>
        <v/>
      </c>
      <c r="BT876" s="245">
        <f>IF(BT$7="Actual","",IFERROR(-BT557+BT537,0))</f>
        <v/>
      </c>
      <c r="BU876" s="245">
        <f>IF(BU$7="Actual","",IFERROR(-BU557+BU537,0))</f>
        <v/>
      </c>
      <c r="BV876" s="245">
        <f>IF(BV$7="Actual","",IFERROR(-BV557+BV537,0))</f>
        <v/>
      </c>
      <c r="BW876" s="245">
        <f>IF(BW$7="Actual","",IFERROR(-BW557+BW537,0))</f>
        <v/>
      </c>
      <c r="BX876" s="245">
        <f>IF(BX$7="Actual","",IFERROR(-BX557+BX537,0))</f>
        <v/>
      </c>
      <c r="BY876" s="245">
        <f>IF(BY$7="Actual","",IFERROR(-BY557+BY537,0))</f>
        <v/>
      </c>
      <c r="BZ876" s="245">
        <f>IF(BZ$7="Actual","",IFERROR(-BZ557+BZ537,0))</f>
        <v/>
      </c>
      <c r="CA876" s="245">
        <f>IF(CA$7="Actual","",IFERROR(-CA557+CA537,0))</f>
        <v/>
      </c>
    </row>
    <row r="877" ht="12" customHeight="1" s="227">
      <c r="A877" s="244" t="n"/>
      <c r="B877" s="244">
        <f>IF(K877&lt;&gt;"Yes",IF(SUM(M877:O877)&lt;&gt;0,1,0),0)</f>
        <v/>
      </c>
      <c r="C877" s="244" t="n"/>
      <c r="H877" s="4">
        <f>i_Setup!U102</f>
        <v/>
      </c>
      <c r="I877" s="27">
        <f>i_Setup!$M$16</f>
        <v/>
      </c>
      <c r="K877" s="259">
        <f>i_Setup!P102</f>
        <v/>
      </c>
      <c r="M877" s="245">
        <f>SUMIF($T$4:$CA$4,M$4,$T877:$CA877)</f>
        <v/>
      </c>
      <c r="N877" s="245">
        <f>SUMIF($T$4:$CA$4,N$4,$T877:$CA877)</f>
        <v/>
      </c>
      <c r="O877" s="245">
        <f>SUMIF($T$4:$CA$4,O$4,$T877:$CA877)</f>
        <v/>
      </c>
      <c r="P877" s="245">
        <f>SUMIF($T$4:$CA$4,P$4,$T877:$CA877)</f>
        <v/>
      </c>
      <c r="Q877" s="245">
        <f>SUMIF($T$4:$CA$4,Q$4,$T877:$CA877)</f>
        <v/>
      </c>
      <c r="T877" s="245">
        <f>IF(T$7="Actual","",IFERROR(-T558+T538,0))</f>
        <v/>
      </c>
      <c r="U877" s="245">
        <f>IF(U$7="Actual","",IFERROR(-U558+U538,0))</f>
        <v/>
      </c>
      <c r="V877" s="245">
        <f>IF(V$7="Actual","",IFERROR(-V558+V538,0))</f>
        <v/>
      </c>
      <c r="W877" s="245">
        <f>IF(W$7="Actual","",IFERROR(-W558+W538,0))</f>
        <v/>
      </c>
      <c r="X877" s="245">
        <f>IF(X$7="Actual","",IFERROR(-X558+X538,0))</f>
        <v/>
      </c>
      <c r="Y877" s="245">
        <f>IF(Y$7="Actual","",IFERROR(-Y558+Y538,0))</f>
        <v/>
      </c>
      <c r="Z877" s="245">
        <f>IF(Z$7="Actual","",IFERROR(-Z558+Z538,0))</f>
        <v/>
      </c>
      <c r="AA877" s="245">
        <f>IF(AA$7="Actual","",IFERROR(-AA558+AA538,0))</f>
        <v/>
      </c>
      <c r="AB877" s="245">
        <f>IF(AB$7="Actual","",IFERROR(-AB558+AB538,0))</f>
        <v/>
      </c>
      <c r="AC877" s="245">
        <f>IF(AC$7="Actual","",IFERROR(-AC558+AC538,0))</f>
        <v/>
      </c>
      <c r="AD877" s="245">
        <f>IF(AD$7="Actual","",IFERROR(-AD558+AD538,0))</f>
        <v/>
      </c>
      <c r="AE877" s="245">
        <f>IF(AE$7="Actual","",IFERROR(-AE558+AE538,0))</f>
        <v/>
      </c>
      <c r="AF877" s="245">
        <f>IF(AF$7="Actual","",IFERROR(-AF558+AF538,0))</f>
        <v/>
      </c>
      <c r="AG877" s="245">
        <f>IF(AG$7="Actual","",IFERROR(-AG558+AG538,0))</f>
        <v/>
      </c>
      <c r="AH877" s="245">
        <f>IF(AH$7="Actual","",IFERROR(-AH558+AH538,0))</f>
        <v/>
      </c>
      <c r="AI877" s="245">
        <f>IF(AI$7="Actual","",IFERROR(-AI558+AI538,0))</f>
        <v/>
      </c>
      <c r="AJ877" s="245">
        <f>IF(AJ$7="Actual","",IFERROR(-AJ558+AJ538,0))</f>
        <v/>
      </c>
      <c r="AK877" s="245">
        <f>IF(AK$7="Actual","",IFERROR(-AK558+AK538,0))</f>
        <v/>
      </c>
      <c r="AL877" s="245">
        <f>IF(AL$7="Actual","",IFERROR(-AL558+AL538,0))</f>
        <v/>
      </c>
      <c r="AM877" s="245">
        <f>IF(AM$7="Actual","",IFERROR(-AM558+AM538,0))</f>
        <v/>
      </c>
      <c r="AN877" s="245">
        <f>IF(AN$7="Actual","",IFERROR(-AN558+AN538,0))</f>
        <v/>
      </c>
      <c r="AO877" s="245">
        <f>IF(AO$7="Actual","",IFERROR(-AO558+AO538,0))</f>
        <v/>
      </c>
      <c r="AP877" s="245">
        <f>IF(AP$7="Actual","",IFERROR(-AP558+AP538,0))</f>
        <v/>
      </c>
      <c r="AQ877" s="245">
        <f>IF(AQ$7="Actual","",IFERROR(-AQ558+AQ538,0))</f>
        <v/>
      </c>
      <c r="AR877" s="245">
        <f>IF(AR$7="Actual","",IFERROR(-AR558+AR538,0))</f>
        <v/>
      </c>
      <c r="AS877" s="245">
        <f>IF(AS$7="Actual","",IFERROR(-AS558+AS538,0))</f>
        <v/>
      </c>
      <c r="AT877" s="245">
        <f>IF(AT$7="Actual","",IFERROR(-AT558+AT538,0))</f>
        <v/>
      </c>
      <c r="AU877" s="245">
        <f>IF(AU$7="Actual","",IFERROR(-AU558+AU538,0))</f>
        <v/>
      </c>
      <c r="AV877" s="245">
        <f>IF(AV$7="Actual","",IFERROR(-AV558+AV538,0))</f>
        <v/>
      </c>
      <c r="AW877" s="245">
        <f>IF(AW$7="Actual","",IFERROR(-AW558+AW538,0))</f>
        <v/>
      </c>
      <c r="AX877" s="245">
        <f>IF(AX$7="Actual","",IFERROR(-AX558+AX538,0))</f>
        <v/>
      </c>
      <c r="AY877" s="245">
        <f>IF(AY$7="Actual","",IFERROR(-AY558+AY538,0))</f>
        <v/>
      </c>
      <c r="AZ877" s="245">
        <f>IF(AZ$7="Actual","",IFERROR(-AZ558+AZ538,0))</f>
        <v/>
      </c>
      <c r="BA877" s="245">
        <f>IF(BA$7="Actual","",IFERROR(-BA558+BA538,0))</f>
        <v/>
      </c>
      <c r="BB877" s="245">
        <f>IF(BB$7="Actual","",IFERROR(-BB558+BB538,0))</f>
        <v/>
      </c>
      <c r="BC877" s="245">
        <f>IF(BC$7="Actual","",IFERROR(-BC558+BC538,0))</f>
        <v/>
      </c>
      <c r="BD877" s="245">
        <f>IF(BD$7="Actual","",IFERROR(-BD558+BD538,0))</f>
        <v/>
      </c>
      <c r="BE877" s="245">
        <f>IF(BE$7="Actual","",IFERROR(-BE558+BE538,0))</f>
        <v/>
      </c>
      <c r="BF877" s="245">
        <f>IF(BF$7="Actual","",IFERROR(-BF558+BF538,0))</f>
        <v/>
      </c>
      <c r="BG877" s="245">
        <f>IF(BG$7="Actual","",IFERROR(-BG558+BG538,0))</f>
        <v/>
      </c>
      <c r="BH877" s="245">
        <f>IF(BH$7="Actual","",IFERROR(-BH558+BH538,0))</f>
        <v/>
      </c>
      <c r="BI877" s="245">
        <f>IF(BI$7="Actual","",IFERROR(-BI558+BI538,0))</f>
        <v/>
      </c>
      <c r="BJ877" s="245">
        <f>IF(BJ$7="Actual","",IFERROR(-BJ558+BJ538,0))</f>
        <v/>
      </c>
      <c r="BK877" s="245">
        <f>IF(BK$7="Actual","",IFERROR(-BK558+BK538,0))</f>
        <v/>
      </c>
      <c r="BL877" s="245">
        <f>IF(BL$7="Actual","",IFERROR(-BL558+BL538,0))</f>
        <v/>
      </c>
      <c r="BM877" s="245">
        <f>IF(BM$7="Actual","",IFERROR(-BM558+BM538,0))</f>
        <v/>
      </c>
      <c r="BN877" s="245">
        <f>IF(BN$7="Actual","",IFERROR(-BN558+BN538,0))</f>
        <v/>
      </c>
      <c r="BO877" s="245">
        <f>IF(BO$7="Actual","",IFERROR(-BO558+BO538,0))</f>
        <v/>
      </c>
      <c r="BP877" s="245">
        <f>IF(BP$7="Actual","",IFERROR(-BP558+BP538,0))</f>
        <v/>
      </c>
      <c r="BQ877" s="245">
        <f>IF(BQ$7="Actual","",IFERROR(-BQ558+BQ538,0))</f>
        <v/>
      </c>
      <c r="BR877" s="245">
        <f>IF(BR$7="Actual","",IFERROR(-BR558+BR538,0))</f>
        <v/>
      </c>
      <c r="BS877" s="245">
        <f>IF(BS$7="Actual","",IFERROR(-BS558+BS538,0))</f>
        <v/>
      </c>
      <c r="BT877" s="245">
        <f>IF(BT$7="Actual","",IFERROR(-BT558+BT538,0))</f>
        <v/>
      </c>
      <c r="BU877" s="245">
        <f>IF(BU$7="Actual","",IFERROR(-BU558+BU538,0))</f>
        <v/>
      </c>
      <c r="BV877" s="245">
        <f>IF(BV$7="Actual","",IFERROR(-BV558+BV538,0))</f>
        <v/>
      </c>
      <c r="BW877" s="245">
        <f>IF(BW$7="Actual","",IFERROR(-BW558+BW538,0))</f>
        <v/>
      </c>
      <c r="BX877" s="245">
        <f>IF(BX$7="Actual","",IFERROR(-BX558+BX538,0))</f>
        <v/>
      </c>
      <c r="BY877" s="245">
        <f>IF(BY$7="Actual","",IFERROR(-BY558+BY538,0))</f>
        <v/>
      </c>
      <c r="BZ877" s="245">
        <f>IF(BZ$7="Actual","",IFERROR(-BZ558+BZ538,0))</f>
        <v/>
      </c>
      <c r="CA877" s="245">
        <f>IF(CA$7="Actual","",IFERROR(-CA558+CA538,0))</f>
        <v/>
      </c>
    </row>
    <row r="878" ht="12" customHeight="1" s="227">
      <c r="A878" s="244" t="n"/>
      <c r="B878" s="244">
        <f>IF(K878&lt;&gt;"Yes",IF(SUM(M878:O878)&lt;&gt;0,1,0),0)</f>
        <v/>
      </c>
      <c r="C878" s="244" t="n"/>
      <c r="H878" s="4">
        <f>i_Setup!U103</f>
        <v/>
      </c>
      <c r="I878" s="27">
        <f>i_Setup!$M$16</f>
        <v/>
      </c>
      <c r="K878" s="259">
        <f>i_Setup!P103</f>
        <v/>
      </c>
      <c r="M878" s="245">
        <f>SUMIF($T$4:$CA$4,M$4,$T878:$CA878)</f>
        <v/>
      </c>
      <c r="N878" s="245">
        <f>SUMIF($T$4:$CA$4,N$4,$T878:$CA878)</f>
        <v/>
      </c>
      <c r="O878" s="245">
        <f>SUMIF($T$4:$CA$4,O$4,$T878:$CA878)</f>
        <v/>
      </c>
      <c r="P878" s="245">
        <f>SUMIF($T$4:$CA$4,P$4,$T878:$CA878)</f>
        <v/>
      </c>
      <c r="Q878" s="245">
        <f>SUMIF($T$4:$CA$4,Q$4,$T878:$CA878)</f>
        <v/>
      </c>
      <c r="T878" s="245">
        <f>IF(T$7="Actual","",IFERROR(-T559+T539,0))</f>
        <v/>
      </c>
      <c r="U878" s="245">
        <f>IF(U$7="Actual","",IFERROR(-U559+U539,0))</f>
        <v/>
      </c>
      <c r="V878" s="245">
        <f>IF(V$7="Actual","",IFERROR(-V559+V539,0))</f>
        <v/>
      </c>
      <c r="W878" s="245">
        <f>IF(W$7="Actual","",IFERROR(-W559+W539,0))</f>
        <v/>
      </c>
      <c r="X878" s="245">
        <f>IF(X$7="Actual","",IFERROR(-X559+X539,0))</f>
        <v/>
      </c>
      <c r="Y878" s="245">
        <f>IF(Y$7="Actual","",IFERROR(-Y559+Y539,0))</f>
        <v/>
      </c>
      <c r="Z878" s="245">
        <f>IF(Z$7="Actual","",IFERROR(-Z559+Z539,0))</f>
        <v/>
      </c>
      <c r="AA878" s="245">
        <f>IF(AA$7="Actual","",IFERROR(-AA559+AA539,0))</f>
        <v/>
      </c>
      <c r="AB878" s="245">
        <f>IF(AB$7="Actual","",IFERROR(-AB559+AB539,0))</f>
        <v/>
      </c>
      <c r="AC878" s="245">
        <f>IF(AC$7="Actual","",IFERROR(-AC559+AC539,0))</f>
        <v/>
      </c>
      <c r="AD878" s="245">
        <f>IF(AD$7="Actual","",IFERROR(-AD559+AD539,0))</f>
        <v/>
      </c>
      <c r="AE878" s="245">
        <f>IF(AE$7="Actual","",IFERROR(-AE559+AE539,0))</f>
        <v/>
      </c>
      <c r="AF878" s="245">
        <f>IF(AF$7="Actual","",IFERROR(-AF559+AF539,0))</f>
        <v/>
      </c>
      <c r="AG878" s="245">
        <f>IF(AG$7="Actual","",IFERROR(-AG559+AG539,0))</f>
        <v/>
      </c>
      <c r="AH878" s="245">
        <f>IF(AH$7="Actual","",IFERROR(-AH559+AH539,0))</f>
        <v/>
      </c>
      <c r="AI878" s="245">
        <f>IF(AI$7="Actual","",IFERROR(-AI559+AI539,0))</f>
        <v/>
      </c>
      <c r="AJ878" s="245">
        <f>IF(AJ$7="Actual","",IFERROR(-AJ559+AJ539,0))</f>
        <v/>
      </c>
      <c r="AK878" s="245">
        <f>IF(AK$7="Actual","",IFERROR(-AK559+AK539,0))</f>
        <v/>
      </c>
      <c r="AL878" s="245">
        <f>IF(AL$7="Actual","",IFERROR(-AL559+AL539,0))</f>
        <v/>
      </c>
      <c r="AM878" s="245">
        <f>IF(AM$7="Actual","",IFERROR(-AM559+AM539,0))</f>
        <v/>
      </c>
      <c r="AN878" s="245">
        <f>IF(AN$7="Actual","",IFERROR(-AN559+AN539,0))</f>
        <v/>
      </c>
      <c r="AO878" s="245">
        <f>IF(AO$7="Actual","",IFERROR(-AO559+AO539,0))</f>
        <v/>
      </c>
      <c r="AP878" s="245">
        <f>IF(AP$7="Actual","",IFERROR(-AP559+AP539,0))</f>
        <v/>
      </c>
      <c r="AQ878" s="245">
        <f>IF(AQ$7="Actual","",IFERROR(-AQ559+AQ539,0))</f>
        <v/>
      </c>
      <c r="AR878" s="245">
        <f>IF(AR$7="Actual","",IFERROR(-AR559+AR539,0))</f>
        <v/>
      </c>
      <c r="AS878" s="245">
        <f>IF(AS$7="Actual","",IFERROR(-AS559+AS539,0))</f>
        <v/>
      </c>
      <c r="AT878" s="245">
        <f>IF(AT$7="Actual","",IFERROR(-AT559+AT539,0))</f>
        <v/>
      </c>
      <c r="AU878" s="245">
        <f>IF(AU$7="Actual","",IFERROR(-AU559+AU539,0))</f>
        <v/>
      </c>
      <c r="AV878" s="245">
        <f>IF(AV$7="Actual","",IFERROR(-AV559+AV539,0))</f>
        <v/>
      </c>
      <c r="AW878" s="245">
        <f>IF(AW$7="Actual","",IFERROR(-AW559+AW539,0))</f>
        <v/>
      </c>
      <c r="AX878" s="245">
        <f>IF(AX$7="Actual","",IFERROR(-AX559+AX539,0))</f>
        <v/>
      </c>
      <c r="AY878" s="245">
        <f>IF(AY$7="Actual","",IFERROR(-AY559+AY539,0))</f>
        <v/>
      </c>
      <c r="AZ878" s="245">
        <f>IF(AZ$7="Actual","",IFERROR(-AZ559+AZ539,0))</f>
        <v/>
      </c>
      <c r="BA878" s="245">
        <f>IF(BA$7="Actual","",IFERROR(-BA559+BA539,0))</f>
        <v/>
      </c>
      <c r="BB878" s="245">
        <f>IF(BB$7="Actual","",IFERROR(-BB559+BB539,0))</f>
        <v/>
      </c>
      <c r="BC878" s="245">
        <f>IF(BC$7="Actual","",IFERROR(-BC559+BC539,0))</f>
        <v/>
      </c>
      <c r="BD878" s="245">
        <f>IF(BD$7="Actual","",IFERROR(-BD559+BD539,0))</f>
        <v/>
      </c>
      <c r="BE878" s="245">
        <f>IF(BE$7="Actual","",IFERROR(-BE559+BE539,0))</f>
        <v/>
      </c>
      <c r="BF878" s="245">
        <f>IF(BF$7="Actual","",IFERROR(-BF559+BF539,0))</f>
        <v/>
      </c>
      <c r="BG878" s="245">
        <f>IF(BG$7="Actual","",IFERROR(-BG559+BG539,0))</f>
        <v/>
      </c>
      <c r="BH878" s="245">
        <f>IF(BH$7="Actual","",IFERROR(-BH559+BH539,0))</f>
        <v/>
      </c>
      <c r="BI878" s="245">
        <f>IF(BI$7="Actual","",IFERROR(-BI559+BI539,0))</f>
        <v/>
      </c>
      <c r="BJ878" s="245">
        <f>IF(BJ$7="Actual","",IFERROR(-BJ559+BJ539,0))</f>
        <v/>
      </c>
      <c r="BK878" s="245">
        <f>IF(BK$7="Actual","",IFERROR(-BK559+BK539,0))</f>
        <v/>
      </c>
      <c r="BL878" s="245">
        <f>IF(BL$7="Actual","",IFERROR(-BL559+BL539,0))</f>
        <v/>
      </c>
      <c r="BM878" s="245">
        <f>IF(BM$7="Actual","",IFERROR(-BM559+BM539,0))</f>
        <v/>
      </c>
      <c r="BN878" s="245">
        <f>IF(BN$7="Actual","",IFERROR(-BN559+BN539,0))</f>
        <v/>
      </c>
      <c r="BO878" s="245">
        <f>IF(BO$7="Actual","",IFERROR(-BO559+BO539,0))</f>
        <v/>
      </c>
      <c r="BP878" s="245">
        <f>IF(BP$7="Actual","",IFERROR(-BP559+BP539,0))</f>
        <v/>
      </c>
      <c r="BQ878" s="245">
        <f>IF(BQ$7="Actual","",IFERROR(-BQ559+BQ539,0))</f>
        <v/>
      </c>
      <c r="BR878" s="245">
        <f>IF(BR$7="Actual","",IFERROR(-BR559+BR539,0))</f>
        <v/>
      </c>
      <c r="BS878" s="245">
        <f>IF(BS$7="Actual","",IFERROR(-BS559+BS539,0))</f>
        <v/>
      </c>
      <c r="BT878" s="245">
        <f>IF(BT$7="Actual","",IFERROR(-BT559+BT539,0))</f>
        <v/>
      </c>
      <c r="BU878" s="245">
        <f>IF(BU$7="Actual","",IFERROR(-BU559+BU539,0))</f>
        <v/>
      </c>
      <c r="BV878" s="245">
        <f>IF(BV$7="Actual","",IFERROR(-BV559+BV539,0))</f>
        <v/>
      </c>
      <c r="BW878" s="245">
        <f>IF(BW$7="Actual","",IFERROR(-BW559+BW539,0))</f>
        <v/>
      </c>
      <c r="BX878" s="245">
        <f>IF(BX$7="Actual","",IFERROR(-BX559+BX539,0))</f>
        <v/>
      </c>
      <c r="BY878" s="245">
        <f>IF(BY$7="Actual","",IFERROR(-BY559+BY539,0))</f>
        <v/>
      </c>
      <c r="BZ878" s="245">
        <f>IF(BZ$7="Actual","",IFERROR(-BZ559+BZ539,0))</f>
        <v/>
      </c>
      <c r="CA878" s="245">
        <f>IF(CA$7="Actual","",IFERROR(-CA559+CA539,0))</f>
        <v/>
      </c>
    </row>
    <row r="879" ht="12" customHeight="1" s="227">
      <c r="A879" s="244" t="n"/>
      <c r="B879" s="244">
        <f>IF(K879&lt;&gt;"Yes",IF(SUM(M879:O879)&lt;&gt;0,1,0),0)</f>
        <v/>
      </c>
      <c r="C879" s="244" t="n"/>
      <c r="H879" s="4">
        <f>i_Setup!U104</f>
        <v/>
      </c>
      <c r="I879" s="27">
        <f>i_Setup!$M$16</f>
        <v/>
      </c>
      <c r="K879" s="259">
        <f>i_Setup!P104</f>
        <v/>
      </c>
      <c r="M879" s="245">
        <f>SUMIF($T$4:$CA$4,M$4,$T879:$CA879)</f>
        <v/>
      </c>
      <c r="N879" s="245">
        <f>SUMIF($T$4:$CA$4,N$4,$T879:$CA879)</f>
        <v/>
      </c>
      <c r="O879" s="245">
        <f>SUMIF($T$4:$CA$4,O$4,$T879:$CA879)</f>
        <v/>
      </c>
      <c r="P879" s="245">
        <f>SUMIF($T$4:$CA$4,P$4,$T879:$CA879)</f>
        <v/>
      </c>
      <c r="Q879" s="245">
        <f>SUMIF($T$4:$CA$4,Q$4,$T879:$CA879)</f>
        <v/>
      </c>
      <c r="T879" s="245">
        <f>IF(T$7="Actual","",IFERROR(-T560+T540,0))</f>
        <v/>
      </c>
      <c r="U879" s="245">
        <f>IF(U$7="Actual","",IFERROR(-U560+U540,0))</f>
        <v/>
      </c>
      <c r="V879" s="245">
        <f>IF(V$7="Actual","",IFERROR(-V560+V540,0))</f>
        <v/>
      </c>
      <c r="W879" s="245">
        <f>IF(W$7="Actual","",IFERROR(-W560+W540,0))</f>
        <v/>
      </c>
      <c r="X879" s="245">
        <f>IF(X$7="Actual","",IFERROR(-X560+X540,0))</f>
        <v/>
      </c>
      <c r="Y879" s="245">
        <f>IF(Y$7="Actual","",IFERROR(-Y560+Y540,0))</f>
        <v/>
      </c>
      <c r="Z879" s="245">
        <f>IF(Z$7="Actual","",IFERROR(-Z560+Z540,0))</f>
        <v/>
      </c>
      <c r="AA879" s="245">
        <f>IF(AA$7="Actual","",IFERROR(-AA560+AA540,0))</f>
        <v/>
      </c>
      <c r="AB879" s="245">
        <f>IF(AB$7="Actual","",IFERROR(-AB560+AB540,0))</f>
        <v/>
      </c>
      <c r="AC879" s="245">
        <f>IF(AC$7="Actual","",IFERROR(-AC560+AC540,0))</f>
        <v/>
      </c>
      <c r="AD879" s="245">
        <f>IF(AD$7="Actual","",IFERROR(-AD560+AD540,0))</f>
        <v/>
      </c>
      <c r="AE879" s="245">
        <f>IF(AE$7="Actual","",IFERROR(-AE560+AE540,0))</f>
        <v/>
      </c>
      <c r="AF879" s="245">
        <f>IF(AF$7="Actual","",IFERROR(-AF560+AF540,0))</f>
        <v/>
      </c>
      <c r="AG879" s="245">
        <f>IF(AG$7="Actual","",IFERROR(-AG560+AG540,0))</f>
        <v/>
      </c>
      <c r="AH879" s="245">
        <f>IF(AH$7="Actual","",IFERROR(-AH560+AH540,0))</f>
        <v/>
      </c>
      <c r="AI879" s="245">
        <f>IF(AI$7="Actual","",IFERROR(-AI560+AI540,0))</f>
        <v/>
      </c>
      <c r="AJ879" s="245">
        <f>IF(AJ$7="Actual","",IFERROR(-AJ560+AJ540,0))</f>
        <v/>
      </c>
      <c r="AK879" s="245">
        <f>IF(AK$7="Actual","",IFERROR(-AK560+AK540,0))</f>
        <v/>
      </c>
      <c r="AL879" s="245">
        <f>IF(AL$7="Actual","",IFERROR(-AL560+AL540,0))</f>
        <v/>
      </c>
      <c r="AM879" s="245">
        <f>IF(AM$7="Actual","",IFERROR(-AM560+AM540,0))</f>
        <v/>
      </c>
      <c r="AN879" s="245">
        <f>IF(AN$7="Actual","",IFERROR(-AN560+AN540,0))</f>
        <v/>
      </c>
      <c r="AO879" s="245">
        <f>IF(AO$7="Actual","",IFERROR(-AO560+AO540,0))</f>
        <v/>
      </c>
      <c r="AP879" s="245">
        <f>IF(AP$7="Actual","",IFERROR(-AP560+AP540,0))</f>
        <v/>
      </c>
      <c r="AQ879" s="245">
        <f>IF(AQ$7="Actual","",IFERROR(-AQ560+AQ540,0))</f>
        <v/>
      </c>
      <c r="AR879" s="245">
        <f>IF(AR$7="Actual","",IFERROR(-AR560+AR540,0))</f>
        <v/>
      </c>
      <c r="AS879" s="245">
        <f>IF(AS$7="Actual","",IFERROR(-AS560+AS540,0))</f>
        <v/>
      </c>
      <c r="AT879" s="245">
        <f>IF(AT$7="Actual","",IFERROR(-AT560+AT540,0))</f>
        <v/>
      </c>
      <c r="AU879" s="245">
        <f>IF(AU$7="Actual","",IFERROR(-AU560+AU540,0))</f>
        <v/>
      </c>
      <c r="AV879" s="245">
        <f>IF(AV$7="Actual","",IFERROR(-AV560+AV540,0))</f>
        <v/>
      </c>
      <c r="AW879" s="245">
        <f>IF(AW$7="Actual","",IFERROR(-AW560+AW540,0))</f>
        <v/>
      </c>
      <c r="AX879" s="245">
        <f>IF(AX$7="Actual","",IFERROR(-AX560+AX540,0))</f>
        <v/>
      </c>
      <c r="AY879" s="245">
        <f>IF(AY$7="Actual","",IFERROR(-AY560+AY540,0))</f>
        <v/>
      </c>
      <c r="AZ879" s="245">
        <f>IF(AZ$7="Actual","",IFERROR(-AZ560+AZ540,0))</f>
        <v/>
      </c>
      <c r="BA879" s="245">
        <f>IF(BA$7="Actual","",IFERROR(-BA560+BA540,0))</f>
        <v/>
      </c>
      <c r="BB879" s="245">
        <f>IF(BB$7="Actual","",IFERROR(-BB560+BB540,0))</f>
        <v/>
      </c>
      <c r="BC879" s="245">
        <f>IF(BC$7="Actual","",IFERROR(-BC560+BC540,0))</f>
        <v/>
      </c>
      <c r="BD879" s="245">
        <f>IF(BD$7="Actual","",IFERROR(-BD560+BD540,0))</f>
        <v/>
      </c>
      <c r="BE879" s="245">
        <f>IF(BE$7="Actual","",IFERROR(-BE560+BE540,0))</f>
        <v/>
      </c>
      <c r="BF879" s="245">
        <f>IF(BF$7="Actual","",IFERROR(-BF560+BF540,0))</f>
        <v/>
      </c>
      <c r="BG879" s="245">
        <f>IF(BG$7="Actual","",IFERROR(-BG560+BG540,0))</f>
        <v/>
      </c>
      <c r="BH879" s="245">
        <f>IF(BH$7="Actual","",IFERROR(-BH560+BH540,0))</f>
        <v/>
      </c>
      <c r="BI879" s="245">
        <f>IF(BI$7="Actual","",IFERROR(-BI560+BI540,0))</f>
        <v/>
      </c>
      <c r="BJ879" s="245">
        <f>IF(BJ$7="Actual","",IFERROR(-BJ560+BJ540,0))</f>
        <v/>
      </c>
      <c r="BK879" s="245">
        <f>IF(BK$7="Actual","",IFERROR(-BK560+BK540,0))</f>
        <v/>
      </c>
      <c r="BL879" s="245">
        <f>IF(BL$7="Actual","",IFERROR(-BL560+BL540,0))</f>
        <v/>
      </c>
      <c r="BM879" s="245">
        <f>IF(BM$7="Actual","",IFERROR(-BM560+BM540,0))</f>
        <v/>
      </c>
      <c r="BN879" s="245">
        <f>IF(BN$7="Actual","",IFERROR(-BN560+BN540,0))</f>
        <v/>
      </c>
      <c r="BO879" s="245">
        <f>IF(BO$7="Actual","",IFERROR(-BO560+BO540,0))</f>
        <v/>
      </c>
      <c r="BP879" s="245">
        <f>IF(BP$7="Actual","",IFERROR(-BP560+BP540,0))</f>
        <v/>
      </c>
      <c r="BQ879" s="245">
        <f>IF(BQ$7="Actual","",IFERROR(-BQ560+BQ540,0))</f>
        <v/>
      </c>
      <c r="BR879" s="245">
        <f>IF(BR$7="Actual","",IFERROR(-BR560+BR540,0))</f>
        <v/>
      </c>
      <c r="BS879" s="245">
        <f>IF(BS$7="Actual","",IFERROR(-BS560+BS540,0))</f>
        <v/>
      </c>
      <c r="BT879" s="245">
        <f>IF(BT$7="Actual","",IFERROR(-BT560+BT540,0))</f>
        <v/>
      </c>
      <c r="BU879" s="245">
        <f>IF(BU$7="Actual","",IFERROR(-BU560+BU540,0))</f>
        <v/>
      </c>
      <c r="BV879" s="245">
        <f>IF(BV$7="Actual","",IFERROR(-BV560+BV540,0))</f>
        <v/>
      </c>
      <c r="BW879" s="245">
        <f>IF(BW$7="Actual","",IFERROR(-BW560+BW540,0))</f>
        <v/>
      </c>
      <c r="BX879" s="245">
        <f>IF(BX$7="Actual","",IFERROR(-BX560+BX540,0))</f>
        <v/>
      </c>
      <c r="BY879" s="245">
        <f>IF(BY$7="Actual","",IFERROR(-BY560+BY540,0))</f>
        <v/>
      </c>
      <c r="BZ879" s="245">
        <f>IF(BZ$7="Actual","",IFERROR(-BZ560+BZ540,0))</f>
        <v/>
      </c>
      <c r="CA879" s="245">
        <f>IF(CA$7="Actual","",IFERROR(-CA560+CA540,0))</f>
        <v/>
      </c>
    </row>
    <row r="880" ht="12" customHeight="1" s="227">
      <c r="A880" s="244" t="n"/>
      <c r="B880" s="244">
        <f>IF(K880&lt;&gt;"Yes",IF(SUM(M880:O880)&lt;&gt;0,1,0),0)</f>
        <v/>
      </c>
      <c r="C880" s="244" t="n"/>
      <c r="H880" s="4">
        <f>i_Setup!U105</f>
        <v/>
      </c>
      <c r="I880" s="27">
        <f>i_Setup!$M$16</f>
        <v/>
      </c>
      <c r="K880" s="259">
        <f>i_Setup!P105</f>
        <v/>
      </c>
      <c r="M880" s="245">
        <f>SUMIF($T$4:$CA$4,M$4,$T880:$CA880)</f>
        <v/>
      </c>
      <c r="N880" s="245">
        <f>SUMIF($T$4:$CA$4,N$4,$T880:$CA880)</f>
        <v/>
      </c>
      <c r="O880" s="245">
        <f>SUMIF($T$4:$CA$4,O$4,$T880:$CA880)</f>
        <v/>
      </c>
      <c r="P880" s="245">
        <f>SUMIF($T$4:$CA$4,P$4,$T880:$CA880)</f>
        <v/>
      </c>
      <c r="Q880" s="245">
        <f>SUMIF($T$4:$CA$4,Q$4,$T880:$CA880)</f>
        <v/>
      </c>
      <c r="T880" s="245">
        <f>IF(T$7="Actual","",IFERROR(-T561+T541,0))</f>
        <v/>
      </c>
      <c r="U880" s="245">
        <f>IF(U$7="Actual","",IFERROR(-U561+U541,0))</f>
        <v/>
      </c>
      <c r="V880" s="245">
        <f>IF(V$7="Actual","",IFERROR(-V561+V541,0))</f>
        <v/>
      </c>
      <c r="W880" s="245">
        <f>IF(W$7="Actual","",IFERROR(-W561+W541,0))</f>
        <v/>
      </c>
      <c r="X880" s="245">
        <f>IF(X$7="Actual","",IFERROR(-X561+X541,0))</f>
        <v/>
      </c>
      <c r="Y880" s="245">
        <f>IF(Y$7="Actual","",IFERROR(-Y561+Y541,0))</f>
        <v/>
      </c>
      <c r="Z880" s="245">
        <f>IF(Z$7="Actual","",IFERROR(-Z561+Z541,0))</f>
        <v/>
      </c>
      <c r="AA880" s="245">
        <f>IF(AA$7="Actual","",IFERROR(-AA561+AA541,0))</f>
        <v/>
      </c>
      <c r="AB880" s="245">
        <f>IF(AB$7="Actual","",IFERROR(-AB561+AB541,0))</f>
        <v/>
      </c>
      <c r="AC880" s="245">
        <f>IF(AC$7="Actual","",IFERROR(-AC561+AC541,0))</f>
        <v/>
      </c>
      <c r="AD880" s="245">
        <f>IF(AD$7="Actual","",IFERROR(-AD561+AD541,0))</f>
        <v/>
      </c>
      <c r="AE880" s="245">
        <f>IF(AE$7="Actual","",IFERROR(-AE561+AE541,0))</f>
        <v/>
      </c>
      <c r="AF880" s="245">
        <f>IF(AF$7="Actual","",IFERROR(-AF561+AF541,0))</f>
        <v/>
      </c>
      <c r="AG880" s="245">
        <f>IF(AG$7="Actual","",IFERROR(-AG561+AG541,0))</f>
        <v/>
      </c>
      <c r="AH880" s="245">
        <f>IF(AH$7="Actual","",IFERROR(-AH561+AH541,0))</f>
        <v/>
      </c>
      <c r="AI880" s="245">
        <f>IF(AI$7="Actual","",IFERROR(-AI561+AI541,0))</f>
        <v/>
      </c>
      <c r="AJ880" s="245">
        <f>IF(AJ$7="Actual","",IFERROR(-AJ561+AJ541,0))</f>
        <v/>
      </c>
      <c r="AK880" s="245">
        <f>IF(AK$7="Actual","",IFERROR(-AK561+AK541,0))</f>
        <v/>
      </c>
      <c r="AL880" s="245">
        <f>IF(AL$7="Actual","",IFERROR(-AL561+AL541,0))</f>
        <v/>
      </c>
      <c r="AM880" s="245">
        <f>IF(AM$7="Actual","",IFERROR(-AM561+AM541,0))</f>
        <v/>
      </c>
      <c r="AN880" s="245">
        <f>IF(AN$7="Actual","",IFERROR(-AN561+AN541,0))</f>
        <v/>
      </c>
      <c r="AO880" s="245">
        <f>IF(AO$7="Actual","",IFERROR(-AO561+AO541,0))</f>
        <v/>
      </c>
      <c r="AP880" s="245">
        <f>IF(AP$7="Actual","",IFERROR(-AP561+AP541,0))</f>
        <v/>
      </c>
      <c r="AQ880" s="245">
        <f>IF(AQ$7="Actual","",IFERROR(-AQ561+AQ541,0))</f>
        <v/>
      </c>
      <c r="AR880" s="245">
        <f>IF(AR$7="Actual","",IFERROR(-AR561+AR541,0))</f>
        <v/>
      </c>
      <c r="AS880" s="245">
        <f>IF(AS$7="Actual","",IFERROR(-AS561+AS541,0))</f>
        <v/>
      </c>
      <c r="AT880" s="245">
        <f>IF(AT$7="Actual","",IFERROR(-AT561+AT541,0))</f>
        <v/>
      </c>
      <c r="AU880" s="245">
        <f>IF(AU$7="Actual","",IFERROR(-AU561+AU541,0))</f>
        <v/>
      </c>
      <c r="AV880" s="245">
        <f>IF(AV$7="Actual","",IFERROR(-AV561+AV541,0))</f>
        <v/>
      </c>
      <c r="AW880" s="245">
        <f>IF(AW$7="Actual","",IFERROR(-AW561+AW541,0))</f>
        <v/>
      </c>
      <c r="AX880" s="245">
        <f>IF(AX$7="Actual","",IFERROR(-AX561+AX541,0))</f>
        <v/>
      </c>
      <c r="AY880" s="245">
        <f>IF(AY$7="Actual","",IFERROR(-AY561+AY541,0))</f>
        <v/>
      </c>
      <c r="AZ880" s="245">
        <f>IF(AZ$7="Actual","",IFERROR(-AZ561+AZ541,0))</f>
        <v/>
      </c>
      <c r="BA880" s="245">
        <f>IF(BA$7="Actual","",IFERROR(-BA561+BA541,0))</f>
        <v/>
      </c>
      <c r="BB880" s="245">
        <f>IF(BB$7="Actual","",IFERROR(-BB561+BB541,0))</f>
        <v/>
      </c>
      <c r="BC880" s="245">
        <f>IF(BC$7="Actual","",IFERROR(-BC561+BC541,0))</f>
        <v/>
      </c>
      <c r="BD880" s="245">
        <f>IF(BD$7="Actual","",IFERROR(-BD561+BD541,0))</f>
        <v/>
      </c>
      <c r="BE880" s="245">
        <f>IF(BE$7="Actual","",IFERROR(-BE561+BE541,0))</f>
        <v/>
      </c>
      <c r="BF880" s="245">
        <f>IF(BF$7="Actual","",IFERROR(-BF561+BF541,0))</f>
        <v/>
      </c>
      <c r="BG880" s="245">
        <f>IF(BG$7="Actual","",IFERROR(-BG561+BG541,0))</f>
        <v/>
      </c>
      <c r="BH880" s="245">
        <f>IF(BH$7="Actual","",IFERROR(-BH561+BH541,0))</f>
        <v/>
      </c>
      <c r="BI880" s="245">
        <f>IF(BI$7="Actual","",IFERROR(-BI561+BI541,0))</f>
        <v/>
      </c>
      <c r="BJ880" s="245">
        <f>IF(BJ$7="Actual","",IFERROR(-BJ561+BJ541,0))</f>
        <v/>
      </c>
      <c r="BK880" s="245">
        <f>IF(BK$7="Actual","",IFERROR(-BK561+BK541,0))</f>
        <v/>
      </c>
      <c r="BL880" s="245">
        <f>IF(BL$7="Actual","",IFERROR(-BL561+BL541,0))</f>
        <v/>
      </c>
      <c r="BM880" s="245">
        <f>IF(BM$7="Actual","",IFERROR(-BM561+BM541,0))</f>
        <v/>
      </c>
      <c r="BN880" s="245">
        <f>IF(BN$7="Actual","",IFERROR(-BN561+BN541,0))</f>
        <v/>
      </c>
      <c r="BO880" s="245">
        <f>IF(BO$7="Actual","",IFERROR(-BO561+BO541,0))</f>
        <v/>
      </c>
      <c r="BP880" s="245">
        <f>IF(BP$7="Actual","",IFERROR(-BP561+BP541,0))</f>
        <v/>
      </c>
      <c r="BQ880" s="245">
        <f>IF(BQ$7="Actual","",IFERROR(-BQ561+BQ541,0))</f>
        <v/>
      </c>
      <c r="BR880" s="245">
        <f>IF(BR$7="Actual","",IFERROR(-BR561+BR541,0))</f>
        <v/>
      </c>
      <c r="BS880" s="245">
        <f>IF(BS$7="Actual","",IFERROR(-BS561+BS541,0))</f>
        <v/>
      </c>
      <c r="BT880" s="245">
        <f>IF(BT$7="Actual","",IFERROR(-BT561+BT541,0))</f>
        <v/>
      </c>
      <c r="BU880" s="245">
        <f>IF(BU$7="Actual","",IFERROR(-BU561+BU541,0))</f>
        <v/>
      </c>
      <c r="BV880" s="245">
        <f>IF(BV$7="Actual","",IFERROR(-BV561+BV541,0))</f>
        <v/>
      </c>
      <c r="BW880" s="245">
        <f>IF(BW$7="Actual","",IFERROR(-BW561+BW541,0))</f>
        <v/>
      </c>
      <c r="BX880" s="245">
        <f>IF(BX$7="Actual","",IFERROR(-BX561+BX541,0))</f>
        <v/>
      </c>
      <c r="BY880" s="245">
        <f>IF(BY$7="Actual","",IFERROR(-BY561+BY541,0))</f>
        <v/>
      </c>
      <c r="BZ880" s="245">
        <f>IF(BZ$7="Actual","",IFERROR(-BZ561+BZ541,0))</f>
        <v/>
      </c>
      <c r="CA880" s="245">
        <f>IF(CA$7="Actual","",IFERROR(-CA561+CA541,0))</f>
        <v/>
      </c>
    </row>
    <row r="881" ht="12" customHeight="1" s="227">
      <c r="A881" s="244" t="n"/>
      <c r="B881" s="244">
        <f>IF(K881&lt;&gt;"Yes",IF(SUM(M881:O881)&lt;&gt;0,1,0),0)</f>
        <v/>
      </c>
      <c r="C881" s="244" t="n"/>
      <c r="H881" s="4">
        <f>i_Setup!U106</f>
        <v/>
      </c>
      <c r="I881" s="27">
        <f>i_Setup!$M$16</f>
        <v/>
      </c>
      <c r="K881" s="259">
        <f>i_Setup!P106</f>
        <v/>
      </c>
      <c r="M881" s="245">
        <f>SUMIF($T$4:$CA$4,M$4,$T881:$CA881)</f>
        <v/>
      </c>
      <c r="N881" s="245">
        <f>SUMIF($T$4:$CA$4,N$4,$T881:$CA881)</f>
        <v/>
      </c>
      <c r="O881" s="245">
        <f>SUMIF($T$4:$CA$4,O$4,$T881:$CA881)</f>
        <v/>
      </c>
      <c r="P881" s="245">
        <f>SUMIF($T$4:$CA$4,P$4,$T881:$CA881)</f>
        <v/>
      </c>
      <c r="Q881" s="245">
        <f>SUMIF($T$4:$CA$4,Q$4,$T881:$CA881)</f>
        <v/>
      </c>
      <c r="T881" s="245">
        <f>IF(T$7="Actual","",IFERROR(-T562+T542,0))</f>
        <v/>
      </c>
      <c r="U881" s="245">
        <f>IF(U$7="Actual","",IFERROR(-U562+U542,0))</f>
        <v/>
      </c>
      <c r="V881" s="245">
        <f>IF(V$7="Actual","",IFERROR(-V562+V542,0))</f>
        <v/>
      </c>
      <c r="W881" s="245">
        <f>IF(W$7="Actual","",IFERROR(-W562+W542,0))</f>
        <v/>
      </c>
      <c r="X881" s="245">
        <f>IF(X$7="Actual","",IFERROR(-X562+X542,0))</f>
        <v/>
      </c>
      <c r="Y881" s="245">
        <f>IF(Y$7="Actual","",IFERROR(-Y562+Y542,0))</f>
        <v/>
      </c>
      <c r="Z881" s="245">
        <f>IF(Z$7="Actual","",IFERROR(-Z562+Z542,0))</f>
        <v/>
      </c>
      <c r="AA881" s="245">
        <f>IF(AA$7="Actual","",IFERROR(-AA562+AA542,0))</f>
        <v/>
      </c>
      <c r="AB881" s="245">
        <f>IF(AB$7="Actual","",IFERROR(-AB562+AB542,0))</f>
        <v/>
      </c>
      <c r="AC881" s="245">
        <f>IF(AC$7="Actual","",IFERROR(-AC562+AC542,0))</f>
        <v/>
      </c>
      <c r="AD881" s="245">
        <f>IF(AD$7="Actual","",IFERROR(-AD562+AD542,0))</f>
        <v/>
      </c>
      <c r="AE881" s="245">
        <f>IF(AE$7="Actual","",IFERROR(-AE562+AE542,0))</f>
        <v/>
      </c>
      <c r="AF881" s="245">
        <f>IF(AF$7="Actual","",IFERROR(-AF562+AF542,0))</f>
        <v/>
      </c>
      <c r="AG881" s="245">
        <f>IF(AG$7="Actual","",IFERROR(-AG562+AG542,0))</f>
        <v/>
      </c>
      <c r="AH881" s="245">
        <f>IF(AH$7="Actual","",IFERROR(-AH562+AH542,0))</f>
        <v/>
      </c>
      <c r="AI881" s="245">
        <f>IF(AI$7="Actual","",IFERROR(-AI562+AI542,0))</f>
        <v/>
      </c>
      <c r="AJ881" s="245">
        <f>IF(AJ$7="Actual","",IFERROR(-AJ562+AJ542,0))</f>
        <v/>
      </c>
      <c r="AK881" s="245">
        <f>IF(AK$7="Actual","",IFERROR(-AK562+AK542,0))</f>
        <v/>
      </c>
      <c r="AL881" s="245">
        <f>IF(AL$7="Actual","",IFERROR(-AL562+AL542,0))</f>
        <v/>
      </c>
      <c r="AM881" s="245">
        <f>IF(AM$7="Actual","",IFERROR(-AM562+AM542,0))</f>
        <v/>
      </c>
      <c r="AN881" s="245">
        <f>IF(AN$7="Actual","",IFERROR(-AN562+AN542,0))</f>
        <v/>
      </c>
      <c r="AO881" s="245">
        <f>IF(AO$7="Actual","",IFERROR(-AO562+AO542,0))</f>
        <v/>
      </c>
      <c r="AP881" s="245">
        <f>IF(AP$7="Actual","",IFERROR(-AP562+AP542,0))</f>
        <v/>
      </c>
      <c r="AQ881" s="245">
        <f>IF(AQ$7="Actual","",IFERROR(-AQ562+AQ542,0))</f>
        <v/>
      </c>
      <c r="AR881" s="245">
        <f>IF(AR$7="Actual","",IFERROR(-AR562+AR542,0))</f>
        <v/>
      </c>
      <c r="AS881" s="245">
        <f>IF(AS$7="Actual","",IFERROR(-AS562+AS542,0))</f>
        <v/>
      </c>
      <c r="AT881" s="245">
        <f>IF(AT$7="Actual","",IFERROR(-AT562+AT542,0))</f>
        <v/>
      </c>
      <c r="AU881" s="245">
        <f>IF(AU$7="Actual","",IFERROR(-AU562+AU542,0))</f>
        <v/>
      </c>
      <c r="AV881" s="245">
        <f>IF(AV$7="Actual","",IFERROR(-AV562+AV542,0))</f>
        <v/>
      </c>
      <c r="AW881" s="245">
        <f>IF(AW$7="Actual","",IFERROR(-AW562+AW542,0))</f>
        <v/>
      </c>
      <c r="AX881" s="245">
        <f>IF(AX$7="Actual","",IFERROR(-AX562+AX542,0))</f>
        <v/>
      </c>
      <c r="AY881" s="245">
        <f>IF(AY$7="Actual","",IFERROR(-AY562+AY542,0))</f>
        <v/>
      </c>
      <c r="AZ881" s="245">
        <f>IF(AZ$7="Actual","",IFERROR(-AZ562+AZ542,0))</f>
        <v/>
      </c>
      <c r="BA881" s="245">
        <f>IF(BA$7="Actual","",IFERROR(-BA562+BA542,0))</f>
        <v/>
      </c>
      <c r="BB881" s="245">
        <f>IF(BB$7="Actual","",IFERROR(-BB562+BB542,0))</f>
        <v/>
      </c>
      <c r="BC881" s="245">
        <f>IF(BC$7="Actual","",IFERROR(-BC562+BC542,0))</f>
        <v/>
      </c>
      <c r="BD881" s="245">
        <f>IF(BD$7="Actual","",IFERROR(-BD562+BD542,0))</f>
        <v/>
      </c>
      <c r="BE881" s="245">
        <f>IF(BE$7="Actual","",IFERROR(-BE562+BE542,0))</f>
        <v/>
      </c>
      <c r="BF881" s="245">
        <f>IF(BF$7="Actual","",IFERROR(-BF562+BF542,0))</f>
        <v/>
      </c>
      <c r="BG881" s="245">
        <f>IF(BG$7="Actual","",IFERROR(-BG562+BG542,0))</f>
        <v/>
      </c>
      <c r="BH881" s="245">
        <f>IF(BH$7="Actual","",IFERROR(-BH562+BH542,0))</f>
        <v/>
      </c>
      <c r="BI881" s="245">
        <f>IF(BI$7="Actual","",IFERROR(-BI562+BI542,0))</f>
        <v/>
      </c>
      <c r="BJ881" s="245">
        <f>IF(BJ$7="Actual","",IFERROR(-BJ562+BJ542,0))</f>
        <v/>
      </c>
      <c r="BK881" s="245">
        <f>IF(BK$7="Actual","",IFERROR(-BK562+BK542,0))</f>
        <v/>
      </c>
      <c r="BL881" s="245">
        <f>IF(BL$7="Actual","",IFERROR(-BL562+BL542,0))</f>
        <v/>
      </c>
      <c r="BM881" s="245">
        <f>IF(BM$7="Actual","",IFERROR(-BM562+BM542,0))</f>
        <v/>
      </c>
      <c r="BN881" s="245">
        <f>IF(BN$7="Actual","",IFERROR(-BN562+BN542,0))</f>
        <v/>
      </c>
      <c r="BO881" s="245">
        <f>IF(BO$7="Actual","",IFERROR(-BO562+BO542,0))</f>
        <v/>
      </c>
      <c r="BP881" s="245">
        <f>IF(BP$7="Actual","",IFERROR(-BP562+BP542,0))</f>
        <v/>
      </c>
      <c r="BQ881" s="245">
        <f>IF(BQ$7="Actual","",IFERROR(-BQ562+BQ542,0))</f>
        <v/>
      </c>
      <c r="BR881" s="245">
        <f>IF(BR$7="Actual","",IFERROR(-BR562+BR542,0))</f>
        <v/>
      </c>
      <c r="BS881" s="245">
        <f>IF(BS$7="Actual","",IFERROR(-BS562+BS542,0))</f>
        <v/>
      </c>
      <c r="BT881" s="245">
        <f>IF(BT$7="Actual","",IFERROR(-BT562+BT542,0))</f>
        <v/>
      </c>
      <c r="BU881" s="245">
        <f>IF(BU$7="Actual","",IFERROR(-BU562+BU542,0))</f>
        <v/>
      </c>
      <c r="BV881" s="245">
        <f>IF(BV$7="Actual","",IFERROR(-BV562+BV542,0))</f>
        <v/>
      </c>
      <c r="BW881" s="245">
        <f>IF(BW$7="Actual","",IFERROR(-BW562+BW542,0))</f>
        <v/>
      </c>
      <c r="BX881" s="245">
        <f>IF(BX$7="Actual","",IFERROR(-BX562+BX542,0))</f>
        <v/>
      </c>
      <c r="BY881" s="245">
        <f>IF(BY$7="Actual","",IFERROR(-BY562+BY542,0))</f>
        <v/>
      </c>
      <c r="BZ881" s="245">
        <f>IF(BZ$7="Actual","",IFERROR(-BZ562+BZ542,0))</f>
        <v/>
      </c>
      <c r="CA881" s="245">
        <f>IF(CA$7="Actual","",IFERROR(-CA562+CA542,0))</f>
        <v/>
      </c>
    </row>
    <row r="882" ht="12" customHeight="1" s="227">
      <c r="A882" s="244" t="n"/>
      <c r="B882" s="244">
        <f>IF(K882&lt;&gt;"Yes",IF(SUM(M882:O882)&lt;&gt;0,1,0),0)</f>
        <v/>
      </c>
      <c r="C882" s="244" t="n"/>
      <c r="H882" s="4">
        <f>i_Setup!U107</f>
        <v/>
      </c>
      <c r="I882" s="27">
        <f>i_Setup!$M$16</f>
        <v/>
      </c>
      <c r="K882" s="259">
        <f>i_Setup!P107</f>
        <v/>
      </c>
      <c r="M882" s="245">
        <f>SUMIF($T$4:$CA$4,M$4,$T882:$CA882)</f>
        <v/>
      </c>
      <c r="N882" s="245">
        <f>SUMIF($T$4:$CA$4,N$4,$T882:$CA882)</f>
        <v/>
      </c>
      <c r="O882" s="245">
        <f>SUMIF($T$4:$CA$4,O$4,$T882:$CA882)</f>
        <v/>
      </c>
      <c r="P882" s="245">
        <f>SUMIF($T$4:$CA$4,P$4,$T882:$CA882)</f>
        <v/>
      </c>
      <c r="Q882" s="245">
        <f>SUMIF($T$4:$CA$4,Q$4,$T882:$CA882)</f>
        <v/>
      </c>
      <c r="T882" s="245">
        <f>IF(T$7="Actual","",IFERROR(-T563+T543,0))</f>
        <v/>
      </c>
      <c r="U882" s="245">
        <f>IF(U$7="Actual","",IFERROR(-U563+U543,0))</f>
        <v/>
      </c>
      <c r="V882" s="245">
        <f>IF(V$7="Actual","",IFERROR(-V563+V543,0))</f>
        <v/>
      </c>
      <c r="W882" s="245">
        <f>IF(W$7="Actual","",IFERROR(-W563+W543,0))</f>
        <v/>
      </c>
      <c r="X882" s="245">
        <f>IF(X$7="Actual","",IFERROR(-X563+X543,0))</f>
        <v/>
      </c>
      <c r="Y882" s="245">
        <f>IF(Y$7="Actual","",IFERROR(-Y563+Y543,0))</f>
        <v/>
      </c>
      <c r="Z882" s="245">
        <f>IF(Z$7="Actual","",IFERROR(-Z563+Z543,0))</f>
        <v/>
      </c>
      <c r="AA882" s="245">
        <f>IF(AA$7="Actual","",IFERROR(-AA563+AA543,0))</f>
        <v/>
      </c>
      <c r="AB882" s="245">
        <f>IF(AB$7="Actual","",IFERROR(-AB563+AB543,0))</f>
        <v/>
      </c>
      <c r="AC882" s="245">
        <f>IF(AC$7="Actual","",IFERROR(-AC563+AC543,0))</f>
        <v/>
      </c>
      <c r="AD882" s="245">
        <f>IF(AD$7="Actual","",IFERROR(-AD563+AD543,0))</f>
        <v/>
      </c>
      <c r="AE882" s="245">
        <f>IF(AE$7="Actual","",IFERROR(-AE563+AE543,0))</f>
        <v/>
      </c>
      <c r="AF882" s="245">
        <f>IF(AF$7="Actual","",IFERROR(-AF563+AF543,0))</f>
        <v/>
      </c>
      <c r="AG882" s="245">
        <f>IF(AG$7="Actual","",IFERROR(-AG563+AG543,0))</f>
        <v/>
      </c>
      <c r="AH882" s="245">
        <f>IF(AH$7="Actual","",IFERROR(-AH563+AH543,0))</f>
        <v/>
      </c>
      <c r="AI882" s="245">
        <f>IF(AI$7="Actual","",IFERROR(-AI563+AI543,0))</f>
        <v/>
      </c>
      <c r="AJ882" s="245">
        <f>IF(AJ$7="Actual","",IFERROR(-AJ563+AJ543,0))</f>
        <v/>
      </c>
      <c r="AK882" s="245">
        <f>IF(AK$7="Actual","",IFERROR(-AK563+AK543,0))</f>
        <v/>
      </c>
      <c r="AL882" s="245">
        <f>IF(AL$7="Actual","",IFERROR(-AL563+AL543,0))</f>
        <v/>
      </c>
      <c r="AM882" s="245">
        <f>IF(AM$7="Actual","",IFERROR(-AM563+AM543,0))</f>
        <v/>
      </c>
      <c r="AN882" s="245">
        <f>IF(AN$7="Actual","",IFERROR(-AN563+AN543,0))</f>
        <v/>
      </c>
      <c r="AO882" s="245">
        <f>IF(AO$7="Actual","",IFERROR(-AO563+AO543,0))</f>
        <v/>
      </c>
      <c r="AP882" s="245">
        <f>IF(AP$7="Actual","",IFERROR(-AP563+AP543,0))</f>
        <v/>
      </c>
      <c r="AQ882" s="245">
        <f>IF(AQ$7="Actual","",IFERROR(-AQ563+AQ543,0))</f>
        <v/>
      </c>
      <c r="AR882" s="245">
        <f>IF(AR$7="Actual","",IFERROR(-AR563+AR543,0))</f>
        <v/>
      </c>
      <c r="AS882" s="245">
        <f>IF(AS$7="Actual","",IFERROR(-AS563+AS543,0))</f>
        <v/>
      </c>
      <c r="AT882" s="245">
        <f>IF(AT$7="Actual","",IFERROR(-AT563+AT543,0))</f>
        <v/>
      </c>
      <c r="AU882" s="245">
        <f>IF(AU$7="Actual","",IFERROR(-AU563+AU543,0))</f>
        <v/>
      </c>
      <c r="AV882" s="245">
        <f>IF(AV$7="Actual","",IFERROR(-AV563+AV543,0))</f>
        <v/>
      </c>
      <c r="AW882" s="245">
        <f>IF(AW$7="Actual","",IFERROR(-AW563+AW543,0))</f>
        <v/>
      </c>
      <c r="AX882" s="245">
        <f>IF(AX$7="Actual","",IFERROR(-AX563+AX543,0))</f>
        <v/>
      </c>
      <c r="AY882" s="245">
        <f>IF(AY$7="Actual","",IFERROR(-AY563+AY543,0))</f>
        <v/>
      </c>
      <c r="AZ882" s="245">
        <f>IF(AZ$7="Actual","",IFERROR(-AZ563+AZ543,0))</f>
        <v/>
      </c>
      <c r="BA882" s="245">
        <f>IF(BA$7="Actual","",IFERROR(-BA563+BA543,0))</f>
        <v/>
      </c>
      <c r="BB882" s="245">
        <f>IF(BB$7="Actual","",IFERROR(-BB563+BB543,0))</f>
        <v/>
      </c>
      <c r="BC882" s="245">
        <f>IF(BC$7="Actual","",IFERROR(-BC563+BC543,0))</f>
        <v/>
      </c>
      <c r="BD882" s="245">
        <f>IF(BD$7="Actual","",IFERROR(-BD563+BD543,0))</f>
        <v/>
      </c>
      <c r="BE882" s="245">
        <f>IF(BE$7="Actual","",IFERROR(-BE563+BE543,0))</f>
        <v/>
      </c>
      <c r="BF882" s="245">
        <f>IF(BF$7="Actual","",IFERROR(-BF563+BF543,0))</f>
        <v/>
      </c>
      <c r="BG882" s="245">
        <f>IF(BG$7="Actual","",IFERROR(-BG563+BG543,0))</f>
        <v/>
      </c>
      <c r="BH882" s="245">
        <f>IF(BH$7="Actual","",IFERROR(-BH563+BH543,0))</f>
        <v/>
      </c>
      <c r="BI882" s="245">
        <f>IF(BI$7="Actual","",IFERROR(-BI563+BI543,0))</f>
        <v/>
      </c>
      <c r="BJ882" s="245">
        <f>IF(BJ$7="Actual","",IFERROR(-BJ563+BJ543,0))</f>
        <v/>
      </c>
      <c r="BK882" s="245">
        <f>IF(BK$7="Actual","",IFERROR(-BK563+BK543,0))</f>
        <v/>
      </c>
      <c r="BL882" s="245">
        <f>IF(BL$7="Actual","",IFERROR(-BL563+BL543,0))</f>
        <v/>
      </c>
      <c r="BM882" s="245">
        <f>IF(BM$7="Actual","",IFERROR(-BM563+BM543,0))</f>
        <v/>
      </c>
      <c r="BN882" s="245">
        <f>IF(BN$7="Actual","",IFERROR(-BN563+BN543,0))</f>
        <v/>
      </c>
      <c r="BO882" s="245">
        <f>IF(BO$7="Actual","",IFERROR(-BO563+BO543,0))</f>
        <v/>
      </c>
      <c r="BP882" s="245">
        <f>IF(BP$7="Actual","",IFERROR(-BP563+BP543,0))</f>
        <v/>
      </c>
      <c r="BQ882" s="245">
        <f>IF(BQ$7="Actual","",IFERROR(-BQ563+BQ543,0))</f>
        <v/>
      </c>
      <c r="BR882" s="245">
        <f>IF(BR$7="Actual","",IFERROR(-BR563+BR543,0))</f>
        <v/>
      </c>
      <c r="BS882" s="245">
        <f>IF(BS$7="Actual","",IFERROR(-BS563+BS543,0))</f>
        <v/>
      </c>
      <c r="BT882" s="245">
        <f>IF(BT$7="Actual","",IFERROR(-BT563+BT543,0))</f>
        <v/>
      </c>
      <c r="BU882" s="245">
        <f>IF(BU$7="Actual","",IFERROR(-BU563+BU543,0))</f>
        <v/>
      </c>
      <c r="BV882" s="245">
        <f>IF(BV$7="Actual","",IFERROR(-BV563+BV543,0))</f>
        <v/>
      </c>
      <c r="BW882" s="245">
        <f>IF(BW$7="Actual","",IFERROR(-BW563+BW543,0))</f>
        <v/>
      </c>
      <c r="BX882" s="245">
        <f>IF(BX$7="Actual","",IFERROR(-BX563+BX543,0))</f>
        <v/>
      </c>
      <c r="BY882" s="245">
        <f>IF(BY$7="Actual","",IFERROR(-BY563+BY543,0))</f>
        <v/>
      </c>
      <c r="BZ882" s="245">
        <f>IF(BZ$7="Actual","",IFERROR(-BZ563+BZ543,0))</f>
        <v/>
      </c>
      <c r="CA882" s="245">
        <f>IF(CA$7="Actual","",IFERROR(-CA563+CA543,0))</f>
        <v/>
      </c>
    </row>
    <row r="883" ht="12" customHeight="1" s="227">
      <c r="A883" s="244" t="n"/>
      <c r="B883" s="244">
        <f>IF(K883&lt;&gt;"Yes",IF(SUM(M883:O883)&lt;&gt;0,1,0),0)</f>
        <v/>
      </c>
      <c r="C883" s="244" t="n"/>
      <c r="H883" s="4">
        <f>i_Setup!U108</f>
        <v/>
      </c>
      <c r="I883" s="27">
        <f>i_Setup!$M$16</f>
        <v/>
      </c>
      <c r="K883" s="259">
        <f>i_Setup!P108</f>
        <v/>
      </c>
      <c r="M883" s="245">
        <f>SUMIF($T$4:$CA$4,M$4,$T883:$CA883)</f>
        <v/>
      </c>
      <c r="N883" s="245">
        <f>SUMIF($T$4:$CA$4,N$4,$T883:$CA883)</f>
        <v/>
      </c>
      <c r="O883" s="245">
        <f>SUMIF($T$4:$CA$4,O$4,$T883:$CA883)</f>
        <v/>
      </c>
      <c r="P883" s="245">
        <f>SUMIF($T$4:$CA$4,P$4,$T883:$CA883)</f>
        <v/>
      </c>
      <c r="Q883" s="245">
        <f>SUMIF($T$4:$CA$4,Q$4,$T883:$CA883)</f>
        <v/>
      </c>
      <c r="T883" s="245">
        <f>IF(T$7="Actual","",IFERROR(-T564+T544,0))</f>
        <v/>
      </c>
      <c r="U883" s="245">
        <f>IF(U$7="Actual","",IFERROR(-U564+U544,0))</f>
        <v/>
      </c>
      <c r="V883" s="245">
        <f>IF(V$7="Actual","",IFERROR(-V564+V544,0))</f>
        <v/>
      </c>
      <c r="W883" s="245">
        <f>IF(W$7="Actual","",IFERROR(-W564+W544,0))</f>
        <v/>
      </c>
      <c r="X883" s="245">
        <f>IF(X$7="Actual","",IFERROR(-X564+X544,0))</f>
        <v/>
      </c>
      <c r="Y883" s="245">
        <f>IF(Y$7="Actual","",IFERROR(-Y564+Y544,0))</f>
        <v/>
      </c>
      <c r="Z883" s="245">
        <f>IF(Z$7="Actual","",IFERROR(-Z564+Z544,0))</f>
        <v/>
      </c>
      <c r="AA883" s="245">
        <f>IF(AA$7="Actual","",IFERROR(-AA564+AA544,0))</f>
        <v/>
      </c>
      <c r="AB883" s="245">
        <f>IF(AB$7="Actual","",IFERROR(-AB564+AB544,0))</f>
        <v/>
      </c>
      <c r="AC883" s="245">
        <f>IF(AC$7="Actual","",IFERROR(-AC564+AC544,0))</f>
        <v/>
      </c>
      <c r="AD883" s="245">
        <f>IF(AD$7="Actual","",IFERROR(-AD564+AD544,0))</f>
        <v/>
      </c>
      <c r="AE883" s="245">
        <f>IF(AE$7="Actual","",IFERROR(-AE564+AE544,0))</f>
        <v/>
      </c>
      <c r="AF883" s="245">
        <f>IF(AF$7="Actual","",IFERROR(-AF564+AF544,0))</f>
        <v/>
      </c>
      <c r="AG883" s="245">
        <f>IF(AG$7="Actual","",IFERROR(-AG564+AG544,0))</f>
        <v/>
      </c>
      <c r="AH883" s="245">
        <f>IF(AH$7="Actual","",IFERROR(-AH564+AH544,0))</f>
        <v/>
      </c>
      <c r="AI883" s="245">
        <f>IF(AI$7="Actual","",IFERROR(-AI564+AI544,0))</f>
        <v/>
      </c>
      <c r="AJ883" s="245">
        <f>IF(AJ$7="Actual","",IFERROR(-AJ564+AJ544,0))</f>
        <v/>
      </c>
      <c r="AK883" s="245">
        <f>IF(AK$7="Actual","",IFERROR(-AK564+AK544,0))</f>
        <v/>
      </c>
      <c r="AL883" s="245">
        <f>IF(AL$7="Actual","",IFERROR(-AL564+AL544,0))</f>
        <v/>
      </c>
      <c r="AM883" s="245">
        <f>IF(AM$7="Actual","",IFERROR(-AM564+AM544,0))</f>
        <v/>
      </c>
      <c r="AN883" s="245">
        <f>IF(AN$7="Actual","",IFERROR(-AN564+AN544,0))</f>
        <v/>
      </c>
      <c r="AO883" s="245">
        <f>IF(AO$7="Actual","",IFERROR(-AO564+AO544,0))</f>
        <v/>
      </c>
      <c r="AP883" s="245">
        <f>IF(AP$7="Actual","",IFERROR(-AP564+AP544,0))</f>
        <v/>
      </c>
      <c r="AQ883" s="245">
        <f>IF(AQ$7="Actual","",IFERROR(-AQ564+AQ544,0))</f>
        <v/>
      </c>
      <c r="AR883" s="245">
        <f>IF(AR$7="Actual","",IFERROR(-AR564+AR544,0))</f>
        <v/>
      </c>
      <c r="AS883" s="245">
        <f>IF(AS$7="Actual","",IFERROR(-AS564+AS544,0))</f>
        <v/>
      </c>
      <c r="AT883" s="245">
        <f>IF(AT$7="Actual","",IFERROR(-AT564+AT544,0))</f>
        <v/>
      </c>
      <c r="AU883" s="245">
        <f>IF(AU$7="Actual","",IFERROR(-AU564+AU544,0))</f>
        <v/>
      </c>
      <c r="AV883" s="245">
        <f>IF(AV$7="Actual","",IFERROR(-AV564+AV544,0))</f>
        <v/>
      </c>
      <c r="AW883" s="245">
        <f>IF(AW$7="Actual","",IFERROR(-AW564+AW544,0))</f>
        <v/>
      </c>
      <c r="AX883" s="245">
        <f>IF(AX$7="Actual","",IFERROR(-AX564+AX544,0))</f>
        <v/>
      </c>
      <c r="AY883" s="245">
        <f>IF(AY$7="Actual","",IFERROR(-AY564+AY544,0))</f>
        <v/>
      </c>
      <c r="AZ883" s="245">
        <f>IF(AZ$7="Actual","",IFERROR(-AZ564+AZ544,0))</f>
        <v/>
      </c>
      <c r="BA883" s="245">
        <f>IF(BA$7="Actual","",IFERROR(-BA564+BA544,0))</f>
        <v/>
      </c>
      <c r="BB883" s="245">
        <f>IF(BB$7="Actual","",IFERROR(-BB564+BB544,0))</f>
        <v/>
      </c>
      <c r="BC883" s="245">
        <f>IF(BC$7="Actual","",IFERROR(-BC564+BC544,0))</f>
        <v/>
      </c>
      <c r="BD883" s="245">
        <f>IF(BD$7="Actual","",IFERROR(-BD564+BD544,0))</f>
        <v/>
      </c>
      <c r="BE883" s="245">
        <f>IF(BE$7="Actual","",IFERROR(-BE564+BE544,0))</f>
        <v/>
      </c>
      <c r="BF883" s="245">
        <f>IF(BF$7="Actual","",IFERROR(-BF564+BF544,0))</f>
        <v/>
      </c>
      <c r="BG883" s="245">
        <f>IF(BG$7="Actual","",IFERROR(-BG564+BG544,0))</f>
        <v/>
      </c>
      <c r="BH883" s="245">
        <f>IF(BH$7="Actual","",IFERROR(-BH564+BH544,0))</f>
        <v/>
      </c>
      <c r="BI883" s="245">
        <f>IF(BI$7="Actual","",IFERROR(-BI564+BI544,0))</f>
        <v/>
      </c>
      <c r="BJ883" s="245">
        <f>IF(BJ$7="Actual","",IFERROR(-BJ564+BJ544,0))</f>
        <v/>
      </c>
      <c r="BK883" s="245">
        <f>IF(BK$7="Actual","",IFERROR(-BK564+BK544,0))</f>
        <v/>
      </c>
      <c r="BL883" s="245">
        <f>IF(BL$7="Actual","",IFERROR(-BL564+BL544,0))</f>
        <v/>
      </c>
      <c r="BM883" s="245">
        <f>IF(BM$7="Actual","",IFERROR(-BM564+BM544,0))</f>
        <v/>
      </c>
      <c r="BN883" s="245">
        <f>IF(BN$7="Actual","",IFERROR(-BN564+BN544,0))</f>
        <v/>
      </c>
      <c r="BO883" s="245">
        <f>IF(BO$7="Actual","",IFERROR(-BO564+BO544,0))</f>
        <v/>
      </c>
      <c r="BP883" s="245">
        <f>IF(BP$7="Actual","",IFERROR(-BP564+BP544,0))</f>
        <v/>
      </c>
      <c r="BQ883" s="245">
        <f>IF(BQ$7="Actual","",IFERROR(-BQ564+BQ544,0))</f>
        <v/>
      </c>
      <c r="BR883" s="245">
        <f>IF(BR$7="Actual","",IFERROR(-BR564+BR544,0))</f>
        <v/>
      </c>
      <c r="BS883" s="245">
        <f>IF(BS$7="Actual","",IFERROR(-BS564+BS544,0))</f>
        <v/>
      </c>
      <c r="BT883" s="245">
        <f>IF(BT$7="Actual","",IFERROR(-BT564+BT544,0))</f>
        <v/>
      </c>
      <c r="BU883" s="245">
        <f>IF(BU$7="Actual","",IFERROR(-BU564+BU544,0))</f>
        <v/>
      </c>
      <c r="BV883" s="245">
        <f>IF(BV$7="Actual","",IFERROR(-BV564+BV544,0))</f>
        <v/>
      </c>
      <c r="BW883" s="245">
        <f>IF(BW$7="Actual","",IFERROR(-BW564+BW544,0))</f>
        <v/>
      </c>
      <c r="BX883" s="245">
        <f>IF(BX$7="Actual","",IFERROR(-BX564+BX544,0))</f>
        <v/>
      </c>
      <c r="BY883" s="245">
        <f>IF(BY$7="Actual","",IFERROR(-BY564+BY544,0))</f>
        <v/>
      </c>
      <c r="BZ883" s="245">
        <f>IF(BZ$7="Actual","",IFERROR(-BZ564+BZ544,0))</f>
        <v/>
      </c>
      <c r="CA883" s="245">
        <f>IF(CA$7="Actual","",IFERROR(-CA564+CA544,0))</f>
        <v/>
      </c>
    </row>
    <row r="884" ht="12" customHeight="1" s="227">
      <c r="A884" s="244" t="n"/>
      <c r="B884" s="244">
        <f>IF(K884&lt;&gt;"Yes",IF(SUM(M884:O884)&lt;&gt;0,1,0),0)</f>
        <v/>
      </c>
      <c r="C884" s="244" t="n"/>
      <c r="H884" s="4">
        <f>i_Setup!U109</f>
        <v/>
      </c>
      <c r="I884" s="27">
        <f>i_Setup!$M$16</f>
        <v/>
      </c>
      <c r="K884" s="259">
        <f>i_Setup!P109</f>
        <v/>
      </c>
      <c r="M884" s="245">
        <f>SUMIF($T$4:$CA$4,M$4,$T884:$CA884)</f>
        <v/>
      </c>
      <c r="N884" s="245">
        <f>SUMIF($T$4:$CA$4,N$4,$T884:$CA884)</f>
        <v/>
      </c>
      <c r="O884" s="245">
        <f>SUMIF($T$4:$CA$4,O$4,$T884:$CA884)</f>
        <v/>
      </c>
      <c r="P884" s="245">
        <f>SUMIF($T$4:$CA$4,P$4,$T884:$CA884)</f>
        <v/>
      </c>
      <c r="Q884" s="245">
        <f>SUMIF($T$4:$CA$4,Q$4,$T884:$CA884)</f>
        <v/>
      </c>
      <c r="T884" s="245">
        <f>IF(T$7="Actual","",IFERROR(-T565+T545,0))</f>
        <v/>
      </c>
      <c r="U884" s="245">
        <f>IF(U$7="Actual","",IFERROR(-U565+U545,0))</f>
        <v/>
      </c>
      <c r="V884" s="245">
        <f>IF(V$7="Actual","",IFERROR(-V565+V545,0))</f>
        <v/>
      </c>
      <c r="W884" s="245">
        <f>IF(W$7="Actual","",IFERROR(-W565+W545,0))</f>
        <v/>
      </c>
      <c r="X884" s="245">
        <f>IF(X$7="Actual","",IFERROR(-X565+X545,0))</f>
        <v/>
      </c>
      <c r="Y884" s="245">
        <f>IF(Y$7="Actual","",IFERROR(-Y565+Y545,0))</f>
        <v/>
      </c>
      <c r="Z884" s="245">
        <f>IF(Z$7="Actual","",IFERROR(-Z565+Z545,0))</f>
        <v/>
      </c>
      <c r="AA884" s="245">
        <f>IF(AA$7="Actual","",IFERROR(-AA565+AA545,0))</f>
        <v/>
      </c>
      <c r="AB884" s="245">
        <f>IF(AB$7="Actual","",IFERROR(-AB565+AB545,0))</f>
        <v/>
      </c>
      <c r="AC884" s="245">
        <f>IF(AC$7="Actual","",IFERROR(-AC565+AC545,0))</f>
        <v/>
      </c>
      <c r="AD884" s="245">
        <f>IF(AD$7="Actual","",IFERROR(-AD565+AD545,0))</f>
        <v/>
      </c>
      <c r="AE884" s="245">
        <f>IF(AE$7="Actual","",IFERROR(-AE565+AE545,0))</f>
        <v/>
      </c>
      <c r="AF884" s="245">
        <f>IF(AF$7="Actual","",IFERROR(-AF565+AF545,0))</f>
        <v/>
      </c>
      <c r="AG884" s="245">
        <f>IF(AG$7="Actual","",IFERROR(-AG565+AG545,0))</f>
        <v/>
      </c>
      <c r="AH884" s="245">
        <f>IF(AH$7="Actual","",IFERROR(-AH565+AH545,0))</f>
        <v/>
      </c>
      <c r="AI884" s="245">
        <f>IF(AI$7="Actual","",IFERROR(-AI565+AI545,0))</f>
        <v/>
      </c>
      <c r="AJ884" s="245">
        <f>IF(AJ$7="Actual","",IFERROR(-AJ565+AJ545,0))</f>
        <v/>
      </c>
      <c r="AK884" s="245">
        <f>IF(AK$7="Actual","",IFERROR(-AK565+AK545,0))</f>
        <v/>
      </c>
      <c r="AL884" s="245">
        <f>IF(AL$7="Actual","",IFERROR(-AL565+AL545,0))</f>
        <v/>
      </c>
      <c r="AM884" s="245">
        <f>IF(AM$7="Actual","",IFERROR(-AM565+AM545,0))</f>
        <v/>
      </c>
      <c r="AN884" s="245">
        <f>IF(AN$7="Actual","",IFERROR(-AN565+AN545,0))</f>
        <v/>
      </c>
      <c r="AO884" s="245">
        <f>IF(AO$7="Actual","",IFERROR(-AO565+AO545,0))</f>
        <v/>
      </c>
      <c r="AP884" s="245">
        <f>IF(AP$7="Actual","",IFERROR(-AP565+AP545,0))</f>
        <v/>
      </c>
      <c r="AQ884" s="245">
        <f>IF(AQ$7="Actual","",IFERROR(-AQ565+AQ545,0))</f>
        <v/>
      </c>
      <c r="AR884" s="245">
        <f>IF(AR$7="Actual","",IFERROR(-AR565+AR545,0))</f>
        <v/>
      </c>
      <c r="AS884" s="245">
        <f>IF(AS$7="Actual","",IFERROR(-AS565+AS545,0))</f>
        <v/>
      </c>
      <c r="AT884" s="245">
        <f>IF(AT$7="Actual","",IFERROR(-AT565+AT545,0))</f>
        <v/>
      </c>
      <c r="AU884" s="245">
        <f>IF(AU$7="Actual","",IFERROR(-AU565+AU545,0))</f>
        <v/>
      </c>
      <c r="AV884" s="245">
        <f>IF(AV$7="Actual","",IFERROR(-AV565+AV545,0))</f>
        <v/>
      </c>
      <c r="AW884" s="245">
        <f>IF(AW$7="Actual","",IFERROR(-AW565+AW545,0))</f>
        <v/>
      </c>
      <c r="AX884" s="245">
        <f>IF(AX$7="Actual","",IFERROR(-AX565+AX545,0))</f>
        <v/>
      </c>
      <c r="AY884" s="245">
        <f>IF(AY$7="Actual","",IFERROR(-AY565+AY545,0))</f>
        <v/>
      </c>
      <c r="AZ884" s="245">
        <f>IF(AZ$7="Actual","",IFERROR(-AZ565+AZ545,0))</f>
        <v/>
      </c>
      <c r="BA884" s="245">
        <f>IF(BA$7="Actual","",IFERROR(-BA565+BA545,0))</f>
        <v/>
      </c>
      <c r="BB884" s="245">
        <f>IF(BB$7="Actual","",IFERROR(-BB565+BB545,0))</f>
        <v/>
      </c>
      <c r="BC884" s="245">
        <f>IF(BC$7="Actual","",IFERROR(-BC565+BC545,0))</f>
        <v/>
      </c>
      <c r="BD884" s="245">
        <f>IF(BD$7="Actual","",IFERROR(-BD565+BD545,0))</f>
        <v/>
      </c>
      <c r="BE884" s="245">
        <f>IF(BE$7="Actual","",IFERROR(-BE565+BE545,0))</f>
        <v/>
      </c>
      <c r="BF884" s="245">
        <f>IF(BF$7="Actual","",IFERROR(-BF565+BF545,0))</f>
        <v/>
      </c>
      <c r="BG884" s="245">
        <f>IF(BG$7="Actual","",IFERROR(-BG565+BG545,0))</f>
        <v/>
      </c>
      <c r="BH884" s="245">
        <f>IF(BH$7="Actual","",IFERROR(-BH565+BH545,0))</f>
        <v/>
      </c>
      <c r="BI884" s="245">
        <f>IF(BI$7="Actual","",IFERROR(-BI565+BI545,0))</f>
        <v/>
      </c>
      <c r="BJ884" s="245">
        <f>IF(BJ$7="Actual","",IFERROR(-BJ565+BJ545,0))</f>
        <v/>
      </c>
      <c r="BK884" s="245">
        <f>IF(BK$7="Actual","",IFERROR(-BK565+BK545,0))</f>
        <v/>
      </c>
      <c r="BL884" s="245">
        <f>IF(BL$7="Actual","",IFERROR(-BL565+BL545,0))</f>
        <v/>
      </c>
      <c r="BM884" s="245">
        <f>IF(BM$7="Actual","",IFERROR(-BM565+BM545,0))</f>
        <v/>
      </c>
      <c r="BN884" s="245">
        <f>IF(BN$7="Actual","",IFERROR(-BN565+BN545,0))</f>
        <v/>
      </c>
      <c r="BO884" s="245">
        <f>IF(BO$7="Actual","",IFERROR(-BO565+BO545,0))</f>
        <v/>
      </c>
      <c r="BP884" s="245">
        <f>IF(BP$7="Actual","",IFERROR(-BP565+BP545,0))</f>
        <v/>
      </c>
      <c r="BQ884" s="245">
        <f>IF(BQ$7="Actual","",IFERROR(-BQ565+BQ545,0))</f>
        <v/>
      </c>
      <c r="BR884" s="245">
        <f>IF(BR$7="Actual","",IFERROR(-BR565+BR545,0))</f>
        <v/>
      </c>
      <c r="BS884" s="245">
        <f>IF(BS$7="Actual","",IFERROR(-BS565+BS545,0))</f>
        <v/>
      </c>
      <c r="BT884" s="245">
        <f>IF(BT$7="Actual","",IFERROR(-BT565+BT545,0))</f>
        <v/>
      </c>
      <c r="BU884" s="245">
        <f>IF(BU$7="Actual","",IFERROR(-BU565+BU545,0))</f>
        <v/>
      </c>
      <c r="BV884" s="245">
        <f>IF(BV$7="Actual","",IFERROR(-BV565+BV545,0))</f>
        <v/>
      </c>
      <c r="BW884" s="245">
        <f>IF(BW$7="Actual","",IFERROR(-BW565+BW545,0))</f>
        <v/>
      </c>
      <c r="BX884" s="245">
        <f>IF(BX$7="Actual","",IFERROR(-BX565+BX545,0))</f>
        <v/>
      </c>
      <c r="BY884" s="245">
        <f>IF(BY$7="Actual","",IFERROR(-BY565+BY545,0))</f>
        <v/>
      </c>
      <c r="BZ884" s="245">
        <f>IF(BZ$7="Actual","",IFERROR(-BZ565+BZ545,0))</f>
        <v/>
      </c>
      <c r="CA884" s="245">
        <f>IF(CA$7="Actual","",IFERROR(-CA565+CA545,0))</f>
        <v/>
      </c>
    </row>
    <row r="885" ht="12" customHeight="1" s="227">
      <c r="A885" s="244" t="n"/>
      <c r="B885" s="244">
        <f>IF(K885&lt;&gt;"Yes",IF(SUM(M885:O885)&lt;&gt;0,1,0),0)</f>
        <v/>
      </c>
      <c r="C885" s="244" t="n"/>
      <c r="H885" s="4">
        <f>i_Setup!U110</f>
        <v/>
      </c>
      <c r="I885" s="27">
        <f>i_Setup!$M$16</f>
        <v/>
      </c>
      <c r="K885" s="259">
        <f>i_Setup!P110</f>
        <v/>
      </c>
      <c r="M885" s="245">
        <f>SUMIF($T$4:$CA$4,M$4,$T885:$CA885)</f>
        <v/>
      </c>
      <c r="N885" s="245">
        <f>SUMIF($T$4:$CA$4,N$4,$T885:$CA885)</f>
        <v/>
      </c>
      <c r="O885" s="245">
        <f>SUMIF($T$4:$CA$4,O$4,$T885:$CA885)</f>
        <v/>
      </c>
      <c r="P885" s="245">
        <f>SUMIF($T$4:$CA$4,P$4,$T885:$CA885)</f>
        <v/>
      </c>
      <c r="Q885" s="245">
        <f>SUMIF($T$4:$CA$4,Q$4,$T885:$CA885)</f>
        <v/>
      </c>
      <c r="T885" s="245">
        <f>IF(T$7="Actual","",IFERROR(-T566+T546,0))</f>
        <v/>
      </c>
      <c r="U885" s="245">
        <f>IF(U$7="Actual","",IFERROR(-U566+U546,0))</f>
        <v/>
      </c>
      <c r="V885" s="245">
        <f>IF(V$7="Actual","",IFERROR(-V566+V546,0))</f>
        <v/>
      </c>
      <c r="W885" s="245">
        <f>IF(W$7="Actual","",IFERROR(-W566+W546,0))</f>
        <v/>
      </c>
      <c r="X885" s="245">
        <f>IF(X$7="Actual","",IFERROR(-X566+X546,0))</f>
        <v/>
      </c>
      <c r="Y885" s="245">
        <f>IF(Y$7="Actual","",IFERROR(-Y566+Y546,0))</f>
        <v/>
      </c>
      <c r="Z885" s="245">
        <f>IF(Z$7="Actual","",IFERROR(-Z566+Z546,0))</f>
        <v/>
      </c>
      <c r="AA885" s="245">
        <f>IF(AA$7="Actual","",IFERROR(-AA566+AA546,0))</f>
        <v/>
      </c>
      <c r="AB885" s="245">
        <f>IF(AB$7="Actual","",IFERROR(-AB566+AB546,0))</f>
        <v/>
      </c>
      <c r="AC885" s="245">
        <f>IF(AC$7="Actual","",IFERROR(-AC566+AC546,0))</f>
        <v/>
      </c>
      <c r="AD885" s="245">
        <f>IF(AD$7="Actual","",IFERROR(-AD566+AD546,0))</f>
        <v/>
      </c>
      <c r="AE885" s="245">
        <f>IF(AE$7="Actual","",IFERROR(-AE566+AE546,0))</f>
        <v/>
      </c>
      <c r="AF885" s="245">
        <f>IF(AF$7="Actual","",IFERROR(-AF566+AF546,0))</f>
        <v/>
      </c>
      <c r="AG885" s="245">
        <f>IF(AG$7="Actual","",IFERROR(-AG566+AG546,0))</f>
        <v/>
      </c>
      <c r="AH885" s="245">
        <f>IF(AH$7="Actual","",IFERROR(-AH566+AH546,0))</f>
        <v/>
      </c>
      <c r="AI885" s="245">
        <f>IF(AI$7="Actual","",IFERROR(-AI566+AI546,0))</f>
        <v/>
      </c>
      <c r="AJ885" s="245">
        <f>IF(AJ$7="Actual","",IFERROR(-AJ566+AJ546,0))</f>
        <v/>
      </c>
      <c r="AK885" s="245">
        <f>IF(AK$7="Actual","",IFERROR(-AK566+AK546,0))</f>
        <v/>
      </c>
      <c r="AL885" s="245">
        <f>IF(AL$7="Actual","",IFERROR(-AL566+AL546,0))</f>
        <v/>
      </c>
      <c r="AM885" s="245">
        <f>IF(AM$7="Actual","",IFERROR(-AM566+AM546,0))</f>
        <v/>
      </c>
      <c r="AN885" s="245">
        <f>IF(AN$7="Actual","",IFERROR(-AN566+AN546,0))</f>
        <v/>
      </c>
      <c r="AO885" s="245">
        <f>IF(AO$7="Actual","",IFERROR(-AO566+AO546,0))</f>
        <v/>
      </c>
      <c r="AP885" s="245">
        <f>IF(AP$7="Actual","",IFERROR(-AP566+AP546,0))</f>
        <v/>
      </c>
      <c r="AQ885" s="245">
        <f>IF(AQ$7="Actual","",IFERROR(-AQ566+AQ546,0))</f>
        <v/>
      </c>
      <c r="AR885" s="245">
        <f>IF(AR$7="Actual","",IFERROR(-AR566+AR546,0))</f>
        <v/>
      </c>
      <c r="AS885" s="245">
        <f>IF(AS$7="Actual","",IFERROR(-AS566+AS546,0))</f>
        <v/>
      </c>
      <c r="AT885" s="245">
        <f>IF(AT$7="Actual","",IFERROR(-AT566+AT546,0))</f>
        <v/>
      </c>
      <c r="AU885" s="245">
        <f>IF(AU$7="Actual","",IFERROR(-AU566+AU546,0))</f>
        <v/>
      </c>
      <c r="AV885" s="245">
        <f>IF(AV$7="Actual","",IFERROR(-AV566+AV546,0))</f>
        <v/>
      </c>
      <c r="AW885" s="245">
        <f>IF(AW$7="Actual","",IFERROR(-AW566+AW546,0))</f>
        <v/>
      </c>
      <c r="AX885" s="245">
        <f>IF(AX$7="Actual","",IFERROR(-AX566+AX546,0))</f>
        <v/>
      </c>
      <c r="AY885" s="245">
        <f>IF(AY$7="Actual","",IFERROR(-AY566+AY546,0))</f>
        <v/>
      </c>
      <c r="AZ885" s="245">
        <f>IF(AZ$7="Actual","",IFERROR(-AZ566+AZ546,0))</f>
        <v/>
      </c>
      <c r="BA885" s="245">
        <f>IF(BA$7="Actual","",IFERROR(-BA566+BA546,0))</f>
        <v/>
      </c>
      <c r="BB885" s="245">
        <f>IF(BB$7="Actual","",IFERROR(-BB566+BB546,0))</f>
        <v/>
      </c>
      <c r="BC885" s="245">
        <f>IF(BC$7="Actual","",IFERROR(-BC566+BC546,0))</f>
        <v/>
      </c>
      <c r="BD885" s="245">
        <f>IF(BD$7="Actual","",IFERROR(-BD566+BD546,0))</f>
        <v/>
      </c>
      <c r="BE885" s="245">
        <f>IF(BE$7="Actual","",IFERROR(-BE566+BE546,0))</f>
        <v/>
      </c>
      <c r="BF885" s="245">
        <f>IF(BF$7="Actual","",IFERROR(-BF566+BF546,0))</f>
        <v/>
      </c>
      <c r="BG885" s="245">
        <f>IF(BG$7="Actual","",IFERROR(-BG566+BG546,0))</f>
        <v/>
      </c>
      <c r="BH885" s="245">
        <f>IF(BH$7="Actual","",IFERROR(-BH566+BH546,0))</f>
        <v/>
      </c>
      <c r="BI885" s="245">
        <f>IF(BI$7="Actual","",IFERROR(-BI566+BI546,0))</f>
        <v/>
      </c>
      <c r="BJ885" s="245">
        <f>IF(BJ$7="Actual","",IFERROR(-BJ566+BJ546,0))</f>
        <v/>
      </c>
      <c r="BK885" s="245">
        <f>IF(BK$7="Actual","",IFERROR(-BK566+BK546,0))</f>
        <v/>
      </c>
      <c r="BL885" s="245">
        <f>IF(BL$7="Actual","",IFERROR(-BL566+BL546,0))</f>
        <v/>
      </c>
      <c r="BM885" s="245">
        <f>IF(BM$7="Actual","",IFERROR(-BM566+BM546,0))</f>
        <v/>
      </c>
      <c r="BN885" s="245">
        <f>IF(BN$7="Actual","",IFERROR(-BN566+BN546,0))</f>
        <v/>
      </c>
      <c r="BO885" s="245">
        <f>IF(BO$7="Actual","",IFERROR(-BO566+BO546,0))</f>
        <v/>
      </c>
      <c r="BP885" s="245">
        <f>IF(BP$7="Actual","",IFERROR(-BP566+BP546,0))</f>
        <v/>
      </c>
      <c r="BQ885" s="245">
        <f>IF(BQ$7="Actual","",IFERROR(-BQ566+BQ546,0))</f>
        <v/>
      </c>
      <c r="BR885" s="245">
        <f>IF(BR$7="Actual","",IFERROR(-BR566+BR546,0))</f>
        <v/>
      </c>
      <c r="BS885" s="245">
        <f>IF(BS$7="Actual","",IFERROR(-BS566+BS546,0))</f>
        <v/>
      </c>
      <c r="BT885" s="245">
        <f>IF(BT$7="Actual","",IFERROR(-BT566+BT546,0))</f>
        <v/>
      </c>
      <c r="BU885" s="245">
        <f>IF(BU$7="Actual","",IFERROR(-BU566+BU546,0))</f>
        <v/>
      </c>
      <c r="BV885" s="245">
        <f>IF(BV$7="Actual","",IFERROR(-BV566+BV546,0))</f>
        <v/>
      </c>
      <c r="BW885" s="245">
        <f>IF(BW$7="Actual","",IFERROR(-BW566+BW546,0))</f>
        <v/>
      </c>
      <c r="BX885" s="245">
        <f>IF(BX$7="Actual","",IFERROR(-BX566+BX546,0))</f>
        <v/>
      </c>
      <c r="BY885" s="245">
        <f>IF(BY$7="Actual","",IFERROR(-BY566+BY546,0))</f>
        <v/>
      </c>
      <c r="BZ885" s="245">
        <f>IF(BZ$7="Actual","",IFERROR(-BZ566+BZ546,0))</f>
        <v/>
      </c>
      <c r="CA885" s="245">
        <f>IF(CA$7="Actual","",IFERROR(-CA566+CA546,0))</f>
        <v/>
      </c>
    </row>
    <row r="886" ht="12" customHeight="1" s="227">
      <c r="A886" s="244" t="n"/>
      <c r="B886" s="244" t="n"/>
      <c r="C886" s="244" t="n"/>
      <c r="K886" s="6" t="n"/>
      <c r="T886" s="245" t="n"/>
      <c r="U886" s="245" t="n"/>
      <c r="V886" s="245" t="n"/>
      <c r="W886" s="245" t="n"/>
      <c r="X886" s="245" t="n"/>
      <c r="Y886" s="245" t="n"/>
      <c r="Z886" s="245" t="n"/>
      <c r="AA886" s="245" t="n"/>
      <c r="AB886" s="245" t="n"/>
      <c r="AC886" s="245" t="n"/>
      <c r="AD886" s="245" t="n"/>
      <c r="AE886" s="245" t="n"/>
      <c r="AF886" s="245" t="n"/>
      <c r="AG886" s="245" t="n"/>
      <c r="AH886" s="245" t="n"/>
      <c r="AI886" s="245" t="n"/>
      <c r="AJ886" s="245" t="n"/>
      <c r="AK886" s="245" t="n"/>
      <c r="AL886" s="245" t="n"/>
      <c r="AM886" s="245" t="n"/>
      <c r="AN886" s="245" t="n"/>
      <c r="AO886" s="245" t="n"/>
      <c r="AP886" s="245" t="n"/>
      <c r="AQ886" s="245" t="n"/>
      <c r="AR886" s="245" t="n"/>
      <c r="AS886" s="245" t="n"/>
      <c r="AT886" s="245" t="n"/>
      <c r="AU886" s="245" t="n"/>
      <c r="AV886" s="245" t="n"/>
      <c r="AW886" s="245" t="n"/>
      <c r="AX886" s="245" t="n"/>
      <c r="AY886" s="245" t="n"/>
      <c r="AZ886" s="245" t="n"/>
      <c r="BA886" s="245" t="n"/>
      <c r="BB886" s="245" t="n"/>
      <c r="BC886" s="245" t="n"/>
      <c r="BD886" s="245" t="n"/>
      <c r="BE886" s="245" t="n"/>
      <c r="BF886" s="245" t="n"/>
      <c r="BG886" s="245" t="n"/>
      <c r="BH886" s="245" t="n"/>
      <c r="BI886" s="245" t="n"/>
      <c r="BJ886" s="245" t="n"/>
      <c r="BK886" s="245" t="n"/>
      <c r="BL886" s="245" t="n"/>
      <c r="BM886" s="245" t="n"/>
      <c r="BN886" s="245" t="n"/>
      <c r="BO886" s="245" t="n"/>
      <c r="BP886" s="245" t="n"/>
      <c r="BQ886" s="245" t="n"/>
      <c r="BR886" s="245" t="n"/>
      <c r="BS886" s="245" t="n"/>
      <c r="BT886" s="245" t="n"/>
      <c r="BU886" s="245" t="n"/>
      <c r="BV886" s="245" t="n"/>
      <c r="BW886" s="245" t="n"/>
      <c r="BX886" s="245" t="n"/>
      <c r="BY886" s="245" t="n"/>
      <c r="BZ886" s="245" t="n"/>
      <c r="CA886" s="245" t="n"/>
    </row>
    <row r="887" ht="12" customHeight="1" s="227">
      <c r="A887" s="244" t="n"/>
      <c r="B887" s="244">
        <f>IF(K887&lt;&gt;"Yes",IF(SUM(M887:O887)&lt;&gt;0,1,0),0)</f>
        <v/>
      </c>
      <c r="C887" s="244" t="n"/>
      <c r="H887" s="4">
        <f>i_Setup!U68</f>
        <v/>
      </c>
      <c r="I887" s="27">
        <f>i_Setup!$M$16</f>
        <v/>
      </c>
      <c r="K887" s="259">
        <f>i_Setup!P68</f>
        <v/>
      </c>
      <c r="M887" s="245">
        <f>SUMIF($T$4:$CA$4,M$4,$T887:$CA887)</f>
        <v/>
      </c>
      <c r="N887" s="245">
        <f>SUMIF($T$4:$CA$4,N$4,$T887:$CA887)</f>
        <v/>
      </c>
      <c r="O887" s="245">
        <f>SUMIF($T$4:$CA$4,O$4,$T887:$CA887)</f>
        <v/>
      </c>
      <c r="P887" s="245">
        <f>SUMIF($T$4:$CA$4,P$4,$T887:$CA887)</f>
        <v/>
      </c>
      <c r="Q887" s="245">
        <f>SUMIF($T$4:$CA$4,Q$4,$T887:$CA887)</f>
        <v/>
      </c>
      <c r="T887" s="245">
        <f>IF(T$7="Actual","",IFERROR(T666-T650,0))</f>
        <v/>
      </c>
      <c r="U887" s="245">
        <f>IF(U$7="Actual","",IFERROR(U666-U650,0))</f>
        <v/>
      </c>
      <c r="V887" s="245">
        <f>IF(V$7="Actual","",IFERROR(V666-V650,0))</f>
        <v/>
      </c>
      <c r="W887" s="245">
        <f>IF(W$7="Actual","",IFERROR(W666-W650,0))</f>
        <v/>
      </c>
      <c r="X887" s="245">
        <f>IF(X$7="Actual","",IFERROR(X666-X650,0))</f>
        <v/>
      </c>
      <c r="Y887" s="245">
        <f>IF(Y$7="Actual","",IFERROR(Y666-Y650,0))</f>
        <v/>
      </c>
      <c r="Z887" s="245">
        <f>IF(Z$7="Actual","",IFERROR(Z666-Z650,0))</f>
        <v/>
      </c>
      <c r="AA887" s="245">
        <f>IF(AA$7="Actual","",IFERROR(AA666-AA650,0))</f>
        <v/>
      </c>
      <c r="AB887" s="245">
        <f>IF(AB$7="Actual","",IFERROR(AB666-AB650,0))</f>
        <v/>
      </c>
      <c r="AC887" s="245">
        <f>IF(AC$7="Actual","",IFERROR(AC666-AC650,0))</f>
        <v/>
      </c>
      <c r="AD887" s="245">
        <f>IF(AD$7="Actual","",IFERROR(AD666-AD650,0))</f>
        <v/>
      </c>
      <c r="AE887" s="245">
        <f>IF(AE$7="Actual","",IFERROR(AE666-AE650,0))</f>
        <v/>
      </c>
      <c r="AF887" s="245">
        <f>IF(AF$7="Actual","",IFERROR(AF666-AF650,0))</f>
        <v/>
      </c>
      <c r="AG887" s="245">
        <f>IF(AG$7="Actual","",IFERROR(AG666-AG650,0))</f>
        <v/>
      </c>
      <c r="AH887" s="245">
        <f>IF(AH$7="Actual","",IFERROR(AH666-AH650,0))</f>
        <v/>
      </c>
      <c r="AI887" s="245">
        <f>IF(AI$7="Actual","",IFERROR(AI666-AI650,0))</f>
        <v/>
      </c>
      <c r="AJ887" s="245">
        <f>IF(AJ$7="Actual","",IFERROR(AJ666-AJ650,0))</f>
        <v/>
      </c>
      <c r="AK887" s="245">
        <f>IF(AK$7="Actual","",IFERROR(AK666-AK650,0))</f>
        <v/>
      </c>
      <c r="AL887" s="245">
        <f>IF(AL$7="Actual","",IFERROR(AL666-AL650,0))</f>
        <v/>
      </c>
      <c r="AM887" s="245">
        <f>IF(AM$7="Actual","",IFERROR(AM666-AM650,0))</f>
        <v/>
      </c>
      <c r="AN887" s="245">
        <f>IF(AN$7="Actual","",IFERROR(AN666-AN650,0))</f>
        <v/>
      </c>
      <c r="AO887" s="245">
        <f>IF(AO$7="Actual","",IFERROR(AO666-AO650,0))</f>
        <v/>
      </c>
      <c r="AP887" s="245">
        <f>IF(AP$7="Actual","",IFERROR(AP666-AP650,0))</f>
        <v/>
      </c>
      <c r="AQ887" s="245">
        <f>IF(AQ$7="Actual","",IFERROR(AQ666-AQ650,0))</f>
        <v/>
      </c>
      <c r="AR887" s="245">
        <f>IF(AR$7="Actual","",IFERROR(AR666-AR650,0))</f>
        <v/>
      </c>
      <c r="AS887" s="245">
        <f>IF(AS$7="Actual","",IFERROR(AS666-AS650,0))</f>
        <v/>
      </c>
      <c r="AT887" s="245">
        <f>IF(AT$7="Actual","",IFERROR(AT666-AT650,0))</f>
        <v/>
      </c>
      <c r="AU887" s="245">
        <f>IF(AU$7="Actual","",IFERROR(AU666-AU650,0))</f>
        <v/>
      </c>
      <c r="AV887" s="245">
        <f>IF(AV$7="Actual","",IFERROR(AV666-AV650,0))</f>
        <v/>
      </c>
      <c r="AW887" s="245">
        <f>IF(AW$7="Actual","",IFERROR(AW666-AW650,0))</f>
        <v/>
      </c>
      <c r="AX887" s="245">
        <f>IF(AX$7="Actual","",IFERROR(AX666-AX650,0))</f>
        <v/>
      </c>
      <c r="AY887" s="245">
        <f>IF(AY$7="Actual","",IFERROR(AY666-AY650,0))</f>
        <v/>
      </c>
      <c r="AZ887" s="245">
        <f>IF(AZ$7="Actual","",IFERROR(AZ666-AZ650,0))</f>
        <v/>
      </c>
      <c r="BA887" s="245">
        <f>IF(BA$7="Actual","",IFERROR(BA666-BA650,0))</f>
        <v/>
      </c>
      <c r="BB887" s="245">
        <f>IF(BB$7="Actual","",IFERROR(BB666-BB650,0))</f>
        <v/>
      </c>
      <c r="BC887" s="245">
        <f>IF(BC$7="Actual","",IFERROR(BC666-BC650,0))</f>
        <v/>
      </c>
      <c r="BD887" s="245">
        <f>IF(BD$7="Actual","",IFERROR(BD666-BD650,0))</f>
        <v/>
      </c>
      <c r="BE887" s="245">
        <f>IF(BE$7="Actual","",IFERROR(BE666-BE650,0))</f>
        <v/>
      </c>
      <c r="BF887" s="245">
        <f>IF(BF$7="Actual","",IFERROR(BF666-BF650,0))</f>
        <v/>
      </c>
      <c r="BG887" s="245">
        <f>IF(BG$7="Actual","",IFERROR(BG666-BG650,0))</f>
        <v/>
      </c>
      <c r="BH887" s="245">
        <f>IF(BH$7="Actual","",IFERROR(BH666-BH650,0))</f>
        <v/>
      </c>
      <c r="BI887" s="245">
        <f>IF(BI$7="Actual","",IFERROR(BI666-BI650,0))</f>
        <v/>
      </c>
      <c r="BJ887" s="245">
        <f>IF(BJ$7="Actual","",IFERROR(BJ666-BJ650,0))</f>
        <v/>
      </c>
      <c r="BK887" s="245">
        <f>IF(BK$7="Actual","",IFERROR(BK666-BK650,0))</f>
        <v/>
      </c>
      <c r="BL887" s="245">
        <f>IF(BL$7="Actual","",IFERROR(BL666-BL650,0))</f>
        <v/>
      </c>
      <c r="BM887" s="245">
        <f>IF(BM$7="Actual","",IFERROR(BM666-BM650,0))</f>
        <v/>
      </c>
      <c r="BN887" s="245">
        <f>IF(BN$7="Actual","",IFERROR(BN666-BN650,0))</f>
        <v/>
      </c>
      <c r="BO887" s="245">
        <f>IF(BO$7="Actual","",IFERROR(BO666-BO650,0))</f>
        <v/>
      </c>
      <c r="BP887" s="245">
        <f>IF(BP$7="Actual","",IFERROR(BP666-BP650,0))</f>
        <v/>
      </c>
      <c r="BQ887" s="245">
        <f>IF(BQ$7="Actual","",IFERROR(BQ666-BQ650,0))</f>
        <v/>
      </c>
      <c r="BR887" s="245">
        <f>IF(BR$7="Actual","",IFERROR(BR666-BR650,0))</f>
        <v/>
      </c>
      <c r="BS887" s="245">
        <f>IF(BS$7="Actual","",IFERROR(BS666-BS650,0))</f>
        <v/>
      </c>
      <c r="BT887" s="245">
        <f>IF(BT$7="Actual","",IFERROR(BT666-BT650,0))</f>
        <v/>
      </c>
      <c r="BU887" s="245">
        <f>IF(BU$7="Actual","",IFERROR(BU666-BU650,0))</f>
        <v/>
      </c>
      <c r="BV887" s="245">
        <f>IF(BV$7="Actual","",IFERROR(BV666-BV650,0))</f>
        <v/>
      </c>
      <c r="BW887" s="245">
        <f>IF(BW$7="Actual","",IFERROR(BW666-BW650,0))</f>
        <v/>
      </c>
      <c r="BX887" s="245">
        <f>IF(BX$7="Actual","",IFERROR(BX666-BX650,0))</f>
        <v/>
      </c>
      <c r="BY887" s="245">
        <f>IF(BY$7="Actual","",IFERROR(BY666-BY650,0))</f>
        <v/>
      </c>
      <c r="BZ887" s="245">
        <f>IF(BZ$7="Actual","",IFERROR(BZ666-BZ650,0))</f>
        <v/>
      </c>
      <c r="CA887" s="245">
        <f>IF(CA$7="Actual","",IFERROR(CA666-CA650,0))</f>
        <v/>
      </c>
    </row>
    <row r="888" ht="12" customHeight="1" s="227">
      <c r="A888" s="244" t="n"/>
      <c r="B888" s="244">
        <f>IF(K888&lt;&gt;"Yes",IF(SUM(M888:O888)&lt;&gt;0,1,0),0)</f>
        <v/>
      </c>
      <c r="C888" s="244" t="n"/>
      <c r="H888" s="4">
        <f>i_Setup!U69</f>
        <v/>
      </c>
      <c r="I888" s="27">
        <f>i_Setup!$M$16</f>
        <v/>
      </c>
      <c r="K888" s="259">
        <f>i_Setup!P69</f>
        <v/>
      </c>
      <c r="M888" s="245">
        <f>SUMIF($T$4:$CA$4,M$4,$T888:$CA888)</f>
        <v/>
      </c>
      <c r="N888" s="245">
        <f>SUMIF($T$4:$CA$4,N$4,$T888:$CA888)</f>
        <v/>
      </c>
      <c r="O888" s="245">
        <f>SUMIF($T$4:$CA$4,O$4,$T888:$CA888)</f>
        <v/>
      </c>
      <c r="P888" s="245">
        <f>SUMIF($T$4:$CA$4,P$4,$T888:$CA888)</f>
        <v/>
      </c>
      <c r="Q888" s="245">
        <f>SUMIF($T$4:$CA$4,Q$4,$T888:$CA888)</f>
        <v/>
      </c>
      <c r="T888" s="245">
        <f>IF(T$7="Actual","",IFERROR(T667-T651,0))</f>
        <v/>
      </c>
      <c r="U888" s="245">
        <f>IF(U$7="Actual","",IFERROR(U667-U651,0))</f>
        <v/>
      </c>
      <c r="V888" s="245">
        <f>IF(V$7="Actual","",IFERROR(V667-V651,0))</f>
        <v/>
      </c>
      <c r="W888" s="245">
        <f>IF(W$7="Actual","",IFERROR(W667-W651,0))</f>
        <v/>
      </c>
      <c r="X888" s="245">
        <f>IF(X$7="Actual","",IFERROR(X667-X651,0))</f>
        <v/>
      </c>
      <c r="Y888" s="245">
        <f>IF(Y$7="Actual","",IFERROR(Y667-Y651,0))</f>
        <v/>
      </c>
      <c r="Z888" s="245">
        <f>IF(Z$7="Actual","",IFERROR(Z667-Z651,0))</f>
        <v/>
      </c>
      <c r="AA888" s="245">
        <f>IF(AA$7="Actual","",IFERROR(AA667-AA651,0))</f>
        <v/>
      </c>
      <c r="AB888" s="245">
        <f>IF(AB$7="Actual","",IFERROR(AB667-AB651,0))</f>
        <v/>
      </c>
      <c r="AC888" s="245">
        <f>IF(AC$7="Actual","",IFERROR(AC667-AC651,0))</f>
        <v/>
      </c>
      <c r="AD888" s="245">
        <f>IF(AD$7="Actual","",IFERROR(AD667-AD651,0))</f>
        <v/>
      </c>
      <c r="AE888" s="245">
        <f>IF(AE$7="Actual","",IFERROR(AE667-AE651,0))</f>
        <v/>
      </c>
      <c r="AF888" s="245">
        <f>IF(AF$7="Actual","",IFERROR(AF667-AF651,0))</f>
        <v/>
      </c>
      <c r="AG888" s="245">
        <f>IF(AG$7="Actual","",IFERROR(AG667-AG651,0))</f>
        <v/>
      </c>
      <c r="AH888" s="245">
        <f>IF(AH$7="Actual","",IFERROR(AH667-AH651,0))</f>
        <v/>
      </c>
      <c r="AI888" s="245">
        <f>IF(AI$7="Actual","",IFERROR(AI667-AI651,0))</f>
        <v/>
      </c>
      <c r="AJ888" s="245">
        <f>IF(AJ$7="Actual","",IFERROR(AJ667-AJ651,0))</f>
        <v/>
      </c>
      <c r="AK888" s="245">
        <f>IF(AK$7="Actual","",IFERROR(AK667-AK651,0))</f>
        <v/>
      </c>
      <c r="AL888" s="245">
        <f>IF(AL$7="Actual","",IFERROR(AL667-AL651,0))</f>
        <v/>
      </c>
      <c r="AM888" s="245">
        <f>IF(AM$7="Actual","",IFERROR(AM667-AM651,0))</f>
        <v/>
      </c>
      <c r="AN888" s="245">
        <f>IF(AN$7="Actual","",IFERROR(AN667-AN651,0))</f>
        <v/>
      </c>
      <c r="AO888" s="245">
        <f>IF(AO$7="Actual","",IFERROR(AO667-AO651,0))</f>
        <v/>
      </c>
      <c r="AP888" s="245">
        <f>IF(AP$7="Actual","",IFERROR(AP667-AP651,0))</f>
        <v/>
      </c>
      <c r="AQ888" s="245">
        <f>IF(AQ$7="Actual","",IFERROR(AQ667-AQ651,0))</f>
        <v/>
      </c>
      <c r="AR888" s="245">
        <f>IF(AR$7="Actual","",IFERROR(AR667-AR651,0))</f>
        <v/>
      </c>
      <c r="AS888" s="245">
        <f>IF(AS$7="Actual","",IFERROR(AS667-AS651,0))</f>
        <v/>
      </c>
      <c r="AT888" s="245">
        <f>IF(AT$7="Actual","",IFERROR(AT667-AT651,0))</f>
        <v/>
      </c>
      <c r="AU888" s="245">
        <f>IF(AU$7="Actual","",IFERROR(AU667-AU651,0))</f>
        <v/>
      </c>
      <c r="AV888" s="245">
        <f>IF(AV$7="Actual","",IFERROR(AV667-AV651,0))</f>
        <v/>
      </c>
      <c r="AW888" s="245">
        <f>IF(AW$7="Actual","",IFERROR(AW667-AW651,0))</f>
        <v/>
      </c>
      <c r="AX888" s="245">
        <f>IF(AX$7="Actual","",IFERROR(AX667-AX651,0))</f>
        <v/>
      </c>
      <c r="AY888" s="245">
        <f>IF(AY$7="Actual","",IFERROR(AY667-AY651,0))</f>
        <v/>
      </c>
      <c r="AZ888" s="245">
        <f>IF(AZ$7="Actual","",IFERROR(AZ667-AZ651,0))</f>
        <v/>
      </c>
      <c r="BA888" s="245">
        <f>IF(BA$7="Actual","",IFERROR(BA667-BA651,0))</f>
        <v/>
      </c>
      <c r="BB888" s="245">
        <f>IF(BB$7="Actual","",IFERROR(BB667-BB651,0))</f>
        <v/>
      </c>
      <c r="BC888" s="245">
        <f>IF(BC$7="Actual","",IFERROR(BC667-BC651,0))</f>
        <v/>
      </c>
      <c r="BD888" s="245">
        <f>IF(BD$7="Actual","",IFERROR(BD667-BD651,0))</f>
        <v/>
      </c>
      <c r="BE888" s="245">
        <f>IF(BE$7="Actual","",IFERROR(BE667-BE651,0))</f>
        <v/>
      </c>
      <c r="BF888" s="245">
        <f>IF(BF$7="Actual","",IFERROR(BF667-BF651,0))</f>
        <v/>
      </c>
      <c r="BG888" s="245">
        <f>IF(BG$7="Actual","",IFERROR(BG667-BG651,0))</f>
        <v/>
      </c>
      <c r="BH888" s="245">
        <f>IF(BH$7="Actual","",IFERROR(BH667-BH651,0))</f>
        <v/>
      </c>
      <c r="BI888" s="245">
        <f>IF(BI$7="Actual","",IFERROR(BI667-BI651,0))</f>
        <v/>
      </c>
      <c r="BJ888" s="245">
        <f>IF(BJ$7="Actual","",IFERROR(BJ667-BJ651,0))</f>
        <v/>
      </c>
      <c r="BK888" s="245">
        <f>IF(BK$7="Actual","",IFERROR(BK667-BK651,0))</f>
        <v/>
      </c>
      <c r="BL888" s="245">
        <f>IF(BL$7="Actual","",IFERROR(BL667-BL651,0))</f>
        <v/>
      </c>
      <c r="BM888" s="245">
        <f>IF(BM$7="Actual","",IFERROR(BM667-BM651,0))</f>
        <v/>
      </c>
      <c r="BN888" s="245">
        <f>IF(BN$7="Actual","",IFERROR(BN667-BN651,0))</f>
        <v/>
      </c>
      <c r="BO888" s="245">
        <f>IF(BO$7="Actual","",IFERROR(BO667-BO651,0))</f>
        <v/>
      </c>
      <c r="BP888" s="245">
        <f>IF(BP$7="Actual","",IFERROR(BP667-BP651,0))</f>
        <v/>
      </c>
      <c r="BQ888" s="245">
        <f>IF(BQ$7="Actual","",IFERROR(BQ667-BQ651,0))</f>
        <v/>
      </c>
      <c r="BR888" s="245">
        <f>IF(BR$7="Actual","",IFERROR(BR667-BR651,0))</f>
        <v/>
      </c>
      <c r="BS888" s="245">
        <f>IF(BS$7="Actual","",IFERROR(BS667-BS651,0))</f>
        <v/>
      </c>
      <c r="BT888" s="245">
        <f>IF(BT$7="Actual","",IFERROR(BT667-BT651,0))</f>
        <v/>
      </c>
      <c r="BU888" s="245">
        <f>IF(BU$7="Actual","",IFERROR(BU667-BU651,0))</f>
        <v/>
      </c>
      <c r="BV888" s="245">
        <f>IF(BV$7="Actual","",IFERROR(BV667-BV651,0))</f>
        <v/>
      </c>
      <c r="BW888" s="245">
        <f>IF(BW$7="Actual","",IFERROR(BW667-BW651,0))</f>
        <v/>
      </c>
      <c r="BX888" s="245">
        <f>IF(BX$7="Actual","",IFERROR(BX667-BX651,0))</f>
        <v/>
      </c>
      <c r="BY888" s="245">
        <f>IF(BY$7="Actual","",IFERROR(BY667-BY651,0))</f>
        <v/>
      </c>
      <c r="BZ888" s="245">
        <f>IF(BZ$7="Actual","",IFERROR(BZ667-BZ651,0))</f>
        <v/>
      </c>
      <c r="CA888" s="245">
        <f>IF(CA$7="Actual","",IFERROR(CA667-CA651,0))</f>
        <v/>
      </c>
    </row>
    <row r="889" ht="12" customHeight="1" s="227">
      <c r="A889" s="244" t="n"/>
      <c r="B889" s="244">
        <f>IF(K889&lt;&gt;"Yes",IF(SUM(M889:O889)&lt;&gt;0,1,0),0)</f>
        <v/>
      </c>
      <c r="C889" s="244" t="n"/>
      <c r="H889" s="4">
        <f>i_Setup!U70</f>
        <v/>
      </c>
      <c r="I889" s="27">
        <f>i_Setup!$M$16</f>
        <v/>
      </c>
      <c r="K889" s="259">
        <f>i_Setup!P70</f>
        <v/>
      </c>
      <c r="M889" s="245">
        <f>SUMIF($T$4:$CA$4,M$4,$T889:$CA889)</f>
        <v/>
      </c>
      <c r="N889" s="245">
        <f>SUMIF($T$4:$CA$4,N$4,$T889:$CA889)</f>
        <v/>
      </c>
      <c r="O889" s="245">
        <f>SUMIF($T$4:$CA$4,O$4,$T889:$CA889)</f>
        <v/>
      </c>
      <c r="P889" s="245">
        <f>SUMIF($T$4:$CA$4,P$4,$T889:$CA889)</f>
        <v/>
      </c>
      <c r="Q889" s="245">
        <f>SUMIF($T$4:$CA$4,Q$4,$T889:$CA889)</f>
        <v/>
      </c>
      <c r="T889" s="245">
        <f>IF(T$7="Actual","",IFERROR(T668-T652,0))</f>
        <v/>
      </c>
      <c r="U889" s="245">
        <f>IF(U$7="Actual","",IFERROR(U668-U652,0))</f>
        <v/>
      </c>
      <c r="V889" s="245">
        <f>IF(V$7="Actual","",IFERROR(V668-V652,0))</f>
        <v/>
      </c>
      <c r="W889" s="245">
        <f>IF(W$7="Actual","",IFERROR(W668-W652,0))</f>
        <v/>
      </c>
      <c r="X889" s="245">
        <f>IF(X$7="Actual","",IFERROR(X668-X652,0))</f>
        <v/>
      </c>
      <c r="Y889" s="245">
        <f>IF(Y$7="Actual","",IFERROR(Y668-Y652,0))</f>
        <v/>
      </c>
      <c r="Z889" s="245">
        <f>IF(Z$7="Actual","",IFERROR(Z668-Z652,0))</f>
        <v/>
      </c>
      <c r="AA889" s="245">
        <f>IF(AA$7="Actual","",IFERROR(AA668-AA652,0))</f>
        <v/>
      </c>
      <c r="AB889" s="245">
        <f>IF(AB$7="Actual","",IFERROR(AB668-AB652,0))</f>
        <v/>
      </c>
      <c r="AC889" s="245">
        <f>IF(AC$7="Actual","",IFERROR(AC668-AC652,0))</f>
        <v/>
      </c>
      <c r="AD889" s="245">
        <f>IF(AD$7="Actual","",IFERROR(AD668-AD652,0))</f>
        <v/>
      </c>
      <c r="AE889" s="245">
        <f>IF(AE$7="Actual","",IFERROR(AE668-AE652,0))</f>
        <v/>
      </c>
      <c r="AF889" s="245">
        <f>IF(AF$7="Actual","",IFERROR(AF668-AF652,0))</f>
        <v/>
      </c>
      <c r="AG889" s="245">
        <f>IF(AG$7="Actual","",IFERROR(AG668-AG652,0))</f>
        <v/>
      </c>
      <c r="AH889" s="245">
        <f>IF(AH$7="Actual","",IFERROR(AH668-AH652,0))</f>
        <v/>
      </c>
      <c r="AI889" s="245">
        <f>IF(AI$7="Actual","",IFERROR(AI668-AI652,0))</f>
        <v/>
      </c>
      <c r="AJ889" s="245">
        <f>IF(AJ$7="Actual","",IFERROR(AJ668-AJ652,0))</f>
        <v/>
      </c>
      <c r="AK889" s="245">
        <f>IF(AK$7="Actual","",IFERROR(AK668-AK652,0))</f>
        <v/>
      </c>
      <c r="AL889" s="245">
        <f>IF(AL$7="Actual","",IFERROR(AL668-AL652,0))</f>
        <v/>
      </c>
      <c r="AM889" s="245">
        <f>IF(AM$7="Actual","",IFERROR(AM668-AM652,0))</f>
        <v/>
      </c>
      <c r="AN889" s="245">
        <f>IF(AN$7="Actual","",IFERROR(AN668-AN652,0))</f>
        <v/>
      </c>
      <c r="AO889" s="245">
        <f>IF(AO$7="Actual","",IFERROR(AO668-AO652,0))</f>
        <v/>
      </c>
      <c r="AP889" s="245">
        <f>IF(AP$7="Actual","",IFERROR(AP668-AP652,0))</f>
        <v/>
      </c>
      <c r="AQ889" s="245">
        <f>IF(AQ$7="Actual","",IFERROR(AQ668-AQ652,0))</f>
        <v/>
      </c>
      <c r="AR889" s="245">
        <f>IF(AR$7="Actual","",IFERROR(AR668-AR652,0))</f>
        <v/>
      </c>
      <c r="AS889" s="245">
        <f>IF(AS$7="Actual","",IFERROR(AS668-AS652,0))</f>
        <v/>
      </c>
      <c r="AT889" s="245">
        <f>IF(AT$7="Actual","",IFERROR(AT668-AT652,0))</f>
        <v/>
      </c>
      <c r="AU889" s="245">
        <f>IF(AU$7="Actual","",IFERROR(AU668-AU652,0))</f>
        <v/>
      </c>
      <c r="AV889" s="245">
        <f>IF(AV$7="Actual","",IFERROR(AV668-AV652,0))</f>
        <v/>
      </c>
      <c r="AW889" s="245">
        <f>IF(AW$7="Actual","",IFERROR(AW668-AW652,0))</f>
        <v/>
      </c>
      <c r="AX889" s="245">
        <f>IF(AX$7="Actual","",IFERROR(AX668-AX652,0))</f>
        <v/>
      </c>
      <c r="AY889" s="245">
        <f>IF(AY$7="Actual","",IFERROR(AY668-AY652,0))</f>
        <v/>
      </c>
      <c r="AZ889" s="245">
        <f>IF(AZ$7="Actual","",IFERROR(AZ668-AZ652,0))</f>
        <v/>
      </c>
      <c r="BA889" s="245">
        <f>IF(BA$7="Actual","",IFERROR(BA668-BA652,0))</f>
        <v/>
      </c>
      <c r="BB889" s="245">
        <f>IF(BB$7="Actual","",IFERROR(BB668-BB652,0))</f>
        <v/>
      </c>
      <c r="BC889" s="245">
        <f>IF(BC$7="Actual","",IFERROR(BC668-BC652,0))</f>
        <v/>
      </c>
      <c r="BD889" s="245">
        <f>IF(BD$7="Actual","",IFERROR(BD668-BD652,0))</f>
        <v/>
      </c>
      <c r="BE889" s="245">
        <f>IF(BE$7="Actual","",IFERROR(BE668-BE652,0))</f>
        <v/>
      </c>
      <c r="BF889" s="245">
        <f>IF(BF$7="Actual","",IFERROR(BF668-BF652,0))</f>
        <v/>
      </c>
      <c r="BG889" s="245">
        <f>IF(BG$7="Actual","",IFERROR(BG668-BG652,0))</f>
        <v/>
      </c>
      <c r="BH889" s="245">
        <f>IF(BH$7="Actual","",IFERROR(BH668-BH652,0))</f>
        <v/>
      </c>
      <c r="BI889" s="245">
        <f>IF(BI$7="Actual","",IFERROR(BI668-BI652,0))</f>
        <v/>
      </c>
      <c r="BJ889" s="245">
        <f>IF(BJ$7="Actual","",IFERROR(BJ668-BJ652,0))</f>
        <v/>
      </c>
      <c r="BK889" s="245">
        <f>IF(BK$7="Actual","",IFERROR(BK668-BK652,0))</f>
        <v/>
      </c>
      <c r="BL889" s="245">
        <f>IF(BL$7="Actual","",IFERROR(BL668-BL652,0))</f>
        <v/>
      </c>
      <c r="BM889" s="245">
        <f>IF(BM$7="Actual","",IFERROR(BM668-BM652,0))</f>
        <v/>
      </c>
      <c r="BN889" s="245">
        <f>IF(BN$7="Actual","",IFERROR(BN668-BN652,0))</f>
        <v/>
      </c>
      <c r="BO889" s="245">
        <f>IF(BO$7="Actual","",IFERROR(BO668-BO652,0))</f>
        <v/>
      </c>
      <c r="BP889" s="245">
        <f>IF(BP$7="Actual","",IFERROR(BP668-BP652,0))</f>
        <v/>
      </c>
      <c r="BQ889" s="245">
        <f>IF(BQ$7="Actual","",IFERROR(BQ668-BQ652,0))</f>
        <v/>
      </c>
      <c r="BR889" s="245">
        <f>IF(BR$7="Actual","",IFERROR(BR668-BR652,0))</f>
        <v/>
      </c>
      <c r="BS889" s="245">
        <f>IF(BS$7="Actual","",IFERROR(BS668-BS652,0))</f>
        <v/>
      </c>
      <c r="BT889" s="245">
        <f>IF(BT$7="Actual","",IFERROR(BT668-BT652,0))</f>
        <v/>
      </c>
      <c r="BU889" s="245">
        <f>IF(BU$7="Actual","",IFERROR(BU668-BU652,0))</f>
        <v/>
      </c>
      <c r="BV889" s="245">
        <f>IF(BV$7="Actual","",IFERROR(BV668-BV652,0))</f>
        <v/>
      </c>
      <c r="BW889" s="245">
        <f>IF(BW$7="Actual","",IFERROR(BW668-BW652,0))</f>
        <v/>
      </c>
      <c r="BX889" s="245">
        <f>IF(BX$7="Actual","",IFERROR(BX668-BX652,0))</f>
        <v/>
      </c>
      <c r="BY889" s="245">
        <f>IF(BY$7="Actual","",IFERROR(BY668-BY652,0))</f>
        <v/>
      </c>
      <c r="BZ889" s="245">
        <f>IF(BZ$7="Actual","",IFERROR(BZ668-BZ652,0))</f>
        <v/>
      </c>
      <c r="CA889" s="245">
        <f>IF(CA$7="Actual","",IFERROR(CA668-CA652,0))</f>
        <v/>
      </c>
    </row>
    <row r="890" ht="12" customHeight="1" s="227">
      <c r="A890" s="244" t="n"/>
      <c r="B890" s="244">
        <f>IF(K890&lt;&gt;"Yes",IF(SUM(M890:O890)&lt;&gt;0,1,0),0)</f>
        <v/>
      </c>
      <c r="C890" s="244" t="n"/>
      <c r="H890" s="4">
        <f>i_Setup!U71</f>
        <v/>
      </c>
      <c r="I890" s="27">
        <f>i_Setup!$M$16</f>
        <v/>
      </c>
      <c r="K890" s="259">
        <f>i_Setup!P71</f>
        <v/>
      </c>
      <c r="M890" s="245">
        <f>SUMIF($T$4:$CA$4,M$4,$T890:$CA890)</f>
        <v/>
      </c>
      <c r="N890" s="245">
        <f>SUMIF($T$4:$CA$4,N$4,$T890:$CA890)</f>
        <v/>
      </c>
      <c r="O890" s="245">
        <f>SUMIF($T$4:$CA$4,O$4,$T890:$CA890)</f>
        <v/>
      </c>
      <c r="P890" s="245">
        <f>SUMIF($T$4:$CA$4,P$4,$T890:$CA890)</f>
        <v/>
      </c>
      <c r="Q890" s="245">
        <f>SUMIF($T$4:$CA$4,Q$4,$T890:$CA890)</f>
        <v/>
      </c>
      <c r="T890" s="245">
        <f>IF(T$7="Actual","",IFERROR(T669-T653,0))</f>
        <v/>
      </c>
      <c r="U890" s="245">
        <f>IF(U$7="Actual","",IFERROR(U669-U653,0))</f>
        <v/>
      </c>
      <c r="V890" s="245">
        <f>IF(V$7="Actual","",IFERROR(V669-V653,0))</f>
        <v/>
      </c>
      <c r="W890" s="245">
        <f>IF(W$7="Actual","",IFERROR(W669-W653,0))</f>
        <v/>
      </c>
      <c r="X890" s="245">
        <f>IF(X$7="Actual","",IFERROR(X669-X653,0))</f>
        <v/>
      </c>
      <c r="Y890" s="245">
        <f>IF(Y$7="Actual","",IFERROR(Y669-Y653,0))</f>
        <v/>
      </c>
      <c r="Z890" s="245">
        <f>IF(Z$7="Actual","",IFERROR(Z669-Z653,0))</f>
        <v/>
      </c>
      <c r="AA890" s="245">
        <f>IF(AA$7="Actual","",IFERROR(AA669-AA653,0))</f>
        <v/>
      </c>
      <c r="AB890" s="245">
        <f>IF(AB$7="Actual","",IFERROR(AB669-AB653,0))</f>
        <v/>
      </c>
      <c r="AC890" s="245">
        <f>IF(AC$7="Actual","",IFERROR(AC669-AC653,0))</f>
        <v/>
      </c>
      <c r="AD890" s="245">
        <f>IF(AD$7="Actual","",IFERROR(AD669-AD653,0))</f>
        <v/>
      </c>
      <c r="AE890" s="245">
        <f>IF(AE$7="Actual","",IFERROR(AE669-AE653,0))</f>
        <v/>
      </c>
      <c r="AF890" s="245">
        <f>IF(AF$7="Actual","",IFERROR(AF669-AF653,0))</f>
        <v/>
      </c>
      <c r="AG890" s="245">
        <f>IF(AG$7="Actual","",IFERROR(AG669-AG653,0))</f>
        <v/>
      </c>
      <c r="AH890" s="245">
        <f>IF(AH$7="Actual","",IFERROR(AH669-AH653,0))</f>
        <v/>
      </c>
      <c r="AI890" s="245">
        <f>IF(AI$7="Actual","",IFERROR(AI669-AI653,0))</f>
        <v/>
      </c>
      <c r="AJ890" s="245">
        <f>IF(AJ$7="Actual","",IFERROR(AJ669-AJ653,0))</f>
        <v/>
      </c>
      <c r="AK890" s="245">
        <f>IF(AK$7="Actual","",IFERROR(AK669-AK653,0))</f>
        <v/>
      </c>
      <c r="AL890" s="245">
        <f>IF(AL$7="Actual","",IFERROR(AL669-AL653,0))</f>
        <v/>
      </c>
      <c r="AM890" s="245">
        <f>IF(AM$7="Actual","",IFERROR(AM669-AM653,0))</f>
        <v/>
      </c>
      <c r="AN890" s="245">
        <f>IF(AN$7="Actual","",IFERROR(AN669-AN653,0))</f>
        <v/>
      </c>
      <c r="AO890" s="245">
        <f>IF(AO$7="Actual","",IFERROR(AO669-AO653,0))</f>
        <v/>
      </c>
      <c r="AP890" s="245">
        <f>IF(AP$7="Actual","",IFERROR(AP669-AP653,0))</f>
        <v/>
      </c>
      <c r="AQ890" s="245">
        <f>IF(AQ$7="Actual","",IFERROR(AQ669-AQ653,0))</f>
        <v/>
      </c>
      <c r="AR890" s="245">
        <f>IF(AR$7="Actual","",IFERROR(AR669-AR653,0))</f>
        <v/>
      </c>
      <c r="AS890" s="245">
        <f>IF(AS$7="Actual","",IFERROR(AS669-AS653,0))</f>
        <v/>
      </c>
      <c r="AT890" s="245">
        <f>IF(AT$7="Actual","",IFERROR(AT669-AT653,0))</f>
        <v/>
      </c>
      <c r="AU890" s="245">
        <f>IF(AU$7="Actual","",IFERROR(AU669-AU653,0))</f>
        <v/>
      </c>
      <c r="AV890" s="245">
        <f>IF(AV$7="Actual","",IFERROR(AV669-AV653,0))</f>
        <v/>
      </c>
      <c r="AW890" s="245">
        <f>IF(AW$7="Actual","",IFERROR(AW669-AW653,0))</f>
        <v/>
      </c>
      <c r="AX890" s="245">
        <f>IF(AX$7="Actual","",IFERROR(AX669-AX653,0))</f>
        <v/>
      </c>
      <c r="AY890" s="245">
        <f>IF(AY$7="Actual","",IFERROR(AY669-AY653,0))</f>
        <v/>
      </c>
      <c r="AZ890" s="245">
        <f>IF(AZ$7="Actual","",IFERROR(AZ669-AZ653,0))</f>
        <v/>
      </c>
      <c r="BA890" s="245">
        <f>IF(BA$7="Actual","",IFERROR(BA669-BA653,0))</f>
        <v/>
      </c>
      <c r="BB890" s="245">
        <f>IF(BB$7="Actual","",IFERROR(BB669-BB653,0))</f>
        <v/>
      </c>
      <c r="BC890" s="245">
        <f>IF(BC$7="Actual","",IFERROR(BC669-BC653,0))</f>
        <v/>
      </c>
      <c r="BD890" s="245">
        <f>IF(BD$7="Actual","",IFERROR(BD669-BD653,0))</f>
        <v/>
      </c>
      <c r="BE890" s="245">
        <f>IF(BE$7="Actual","",IFERROR(BE669-BE653,0))</f>
        <v/>
      </c>
      <c r="BF890" s="245">
        <f>IF(BF$7="Actual","",IFERROR(BF669-BF653,0))</f>
        <v/>
      </c>
      <c r="BG890" s="245">
        <f>IF(BG$7="Actual","",IFERROR(BG669-BG653,0))</f>
        <v/>
      </c>
      <c r="BH890" s="245">
        <f>IF(BH$7="Actual","",IFERROR(BH669-BH653,0))</f>
        <v/>
      </c>
      <c r="BI890" s="245">
        <f>IF(BI$7="Actual","",IFERROR(BI669-BI653,0))</f>
        <v/>
      </c>
      <c r="BJ890" s="245">
        <f>IF(BJ$7="Actual","",IFERROR(BJ669-BJ653,0))</f>
        <v/>
      </c>
      <c r="BK890" s="245">
        <f>IF(BK$7="Actual","",IFERROR(BK669-BK653,0))</f>
        <v/>
      </c>
      <c r="BL890" s="245">
        <f>IF(BL$7="Actual","",IFERROR(BL669-BL653,0))</f>
        <v/>
      </c>
      <c r="BM890" s="245">
        <f>IF(BM$7="Actual","",IFERROR(BM669-BM653,0))</f>
        <v/>
      </c>
      <c r="BN890" s="245">
        <f>IF(BN$7="Actual","",IFERROR(BN669-BN653,0))</f>
        <v/>
      </c>
      <c r="BO890" s="245">
        <f>IF(BO$7="Actual","",IFERROR(BO669-BO653,0))</f>
        <v/>
      </c>
      <c r="BP890" s="245">
        <f>IF(BP$7="Actual","",IFERROR(BP669-BP653,0))</f>
        <v/>
      </c>
      <c r="BQ890" s="245">
        <f>IF(BQ$7="Actual","",IFERROR(BQ669-BQ653,0))</f>
        <v/>
      </c>
      <c r="BR890" s="245">
        <f>IF(BR$7="Actual","",IFERROR(BR669-BR653,0))</f>
        <v/>
      </c>
      <c r="BS890" s="245">
        <f>IF(BS$7="Actual","",IFERROR(BS669-BS653,0))</f>
        <v/>
      </c>
      <c r="BT890" s="245">
        <f>IF(BT$7="Actual","",IFERROR(BT669-BT653,0))</f>
        <v/>
      </c>
      <c r="BU890" s="245">
        <f>IF(BU$7="Actual","",IFERROR(BU669-BU653,0))</f>
        <v/>
      </c>
      <c r="BV890" s="245">
        <f>IF(BV$7="Actual","",IFERROR(BV669-BV653,0))</f>
        <v/>
      </c>
      <c r="BW890" s="245">
        <f>IF(BW$7="Actual","",IFERROR(BW669-BW653,0))</f>
        <v/>
      </c>
      <c r="BX890" s="245">
        <f>IF(BX$7="Actual","",IFERROR(BX669-BX653,0))</f>
        <v/>
      </c>
      <c r="BY890" s="245">
        <f>IF(BY$7="Actual","",IFERROR(BY669-BY653,0))</f>
        <v/>
      </c>
      <c r="BZ890" s="245">
        <f>IF(BZ$7="Actual","",IFERROR(BZ669-BZ653,0))</f>
        <v/>
      </c>
      <c r="CA890" s="245">
        <f>IF(CA$7="Actual","",IFERROR(CA669-CA653,0))</f>
        <v/>
      </c>
    </row>
    <row r="891" ht="12" customHeight="1" s="227">
      <c r="A891" s="244" t="n"/>
      <c r="B891" s="244">
        <f>IF(K891&lt;&gt;"Yes",IF(SUM(M891:O891)&lt;&gt;0,1,0),0)</f>
        <v/>
      </c>
      <c r="C891" s="244" t="n"/>
      <c r="H891" s="4">
        <f>i_Setup!U72</f>
        <v/>
      </c>
      <c r="I891" s="27">
        <f>i_Setup!$M$16</f>
        <v/>
      </c>
      <c r="K891" s="259">
        <f>i_Setup!P72</f>
        <v/>
      </c>
      <c r="M891" s="245">
        <f>SUMIF($T$4:$CA$4,M$4,$T891:$CA891)</f>
        <v/>
      </c>
      <c r="N891" s="245">
        <f>SUMIF($T$4:$CA$4,N$4,$T891:$CA891)</f>
        <v/>
      </c>
      <c r="O891" s="245">
        <f>SUMIF($T$4:$CA$4,O$4,$T891:$CA891)</f>
        <v/>
      </c>
      <c r="P891" s="245">
        <f>SUMIF($T$4:$CA$4,P$4,$T891:$CA891)</f>
        <v/>
      </c>
      <c r="Q891" s="245">
        <f>SUMIF($T$4:$CA$4,Q$4,$T891:$CA891)</f>
        <v/>
      </c>
      <c r="T891" s="245">
        <f>IF(T$7="Actual","",IFERROR(T670-T654,0))</f>
        <v/>
      </c>
      <c r="U891" s="245">
        <f>IF(U$7="Actual","",IFERROR(U670-U654,0))</f>
        <v/>
      </c>
      <c r="V891" s="245">
        <f>IF(V$7="Actual","",IFERROR(V670-V654,0))</f>
        <v/>
      </c>
      <c r="W891" s="245">
        <f>IF(W$7="Actual","",IFERROR(W670-W654,0))</f>
        <v/>
      </c>
      <c r="X891" s="245">
        <f>IF(X$7="Actual","",IFERROR(X670-X654,0))</f>
        <v/>
      </c>
      <c r="Y891" s="245">
        <f>IF(Y$7="Actual","",IFERROR(Y670-Y654,0))</f>
        <v/>
      </c>
      <c r="Z891" s="245">
        <f>IF(Z$7="Actual","",IFERROR(Z670-Z654,0))</f>
        <v/>
      </c>
      <c r="AA891" s="245">
        <f>IF(AA$7="Actual","",IFERROR(AA670-AA654,0))</f>
        <v/>
      </c>
      <c r="AB891" s="245">
        <f>IF(AB$7="Actual","",IFERROR(AB670-AB654,0))</f>
        <v/>
      </c>
      <c r="AC891" s="245">
        <f>IF(AC$7="Actual","",IFERROR(AC670-AC654,0))</f>
        <v/>
      </c>
      <c r="AD891" s="245">
        <f>IF(AD$7="Actual","",IFERROR(AD670-AD654,0))</f>
        <v/>
      </c>
      <c r="AE891" s="245">
        <f>IF(AE$7="Actual","",IFERROR(AE670-AE654,0))</f>
        <v/>
      </c>
      <c r="AF891" s="245">
        <f>IF(AF$7="Actual","",IFERROR(AF670-AF654,0))</f>
        <v/>
      </c>
      <c r="AG891" s="245">
        <f>IF(AG$7="Actual","",IFERROR(AG670-AG654,0))</f>
        <v/>
      </c>
      <c r="AH891" s="245">
        <f>IF(AH$7="Actual","",IFERROR(AH670-AH654,0))</f>
        <v/>
      </c>
      <c r="AI891" s="245">
        <f>IF(AI$7="Actual","",IFERROR(AI670-AI654,0))</f>
        <v/>
      </c>
      <c r="AJ891" s="245">
        <f>IF(AJ$7="Actual","",IFERROR(AJ670-AJ654,0))</f>
        <v/>
      </c>
      <c r="AK891" s="245">
        <f>IF(AK$7="Actual","",IFERROR(AK670-AK654,0))</f>
        <v/>
      </c>
      <c r="AL891" s="245">
        <f>IF(AL$7="Actual","",IFERROR(AL670-AL654,0))</f>
        <v/>
      </c>
      <c r="AM891" s="245">
        <f>IF(AM$7="Actual","",IFERROR(AM670-AM654,0))</f>
        <v/>
      </c>
      <c r="AN891" s="245">
        <f>IF(AN$7="Actual","",IFERROR(AN670-AN654,0))</f>
        <v/>
      </c>
      <c r="AO891" s="245">
        <f>IF(AO$7="Actual","",IFERROR(AO670-AO654,0))</f>
        <v/>
      </c>
      <c r="AP891" s="245">
        <f>IF(AP$7="Actual","",IFERROR(AP670-AP654,0))</f>
        <v/>
      </c>
      <c r="AQ891" s="245">
        <f>IF(AQ$7="Actual","",IFERROR(AQ670-AQ654,0))</f>
        <v/>
      </c>
      <c r="AR891" s="245">
        <f>IF(AR$7="Actual","",IFERROR(AR670-AR654,0))</f>
        <v/>
      </c>
      <c r="AS891" s="245">
        <f>IF(AS$7="Actual","",IFERROR(AS670-AS654,0))</f>
        <v/>
      </c>
      <c r="AT891" s="245">
        <f>IF(AT$7="Actual","",IFERROR(AT670-AT654,0))</f>
        <v/>
      </c>
      <c r="AU891" s="245">
        <f>IF(AU$7="Actual","",IFERROR(AU670-AU654,0))</f>
        <v/>
      </c>
      <c r="AV891" s="245">
        <f>IF(AV$7="Actual","",IFERROR(AV670-AV654,0))</f>
        <v/>
      </c>
      <c r="AW891" s="245">
        <f>IF(AW$7="Actual","",IFERROR(AW670-AW654,0))</f>
        <v/>
      </c>
      <c r="AX891" s="245">
        <f>IF(AX$7="Actual","",IFERROR(AX670-AX654,0))</f>
        <v/>
      </c>
      <c r="AY891" s="245">
        <f>IF(AY$7="Actual","",IFERROR(AY670-AY654,0))</f>
        <v/>
      </c>
      <c r="AZ891" s="245">
        <f>IF(AZ$7="Actual","",IFERROR(AZ670-AZ654,0))</f>
        <v/>
      </c>
      <c r="BA891" s="245">
        <f>IF(BA$7="Actual","",IFERROR(BA670-BA654,0))</f>
        <v/>
      </c>
      <c r="BB891" s="245">
        <f>IF(BB$7="Actual","",IFERROR(BB670-BB654,0))</f>
        <v/>
      </c>
      <c r="BC891" s="245">
        <f>IF(BC$7="Actual","",IFERROR(BC670-BC654,0))</f>
        <v/>
      </c>
      <c r="BD891" s="245">
        <f>IF(BD$7="Actual","",IFERROR(BD670-BD654,0))</f>
        <v/>
      </c>
      <c r="BE891" s="245">
        <f>IF(BE$7="Actual","",IFERROR(BE670-BE654,0))</f>
        <v/>
      </c>
      <c r="BF891" s="245">
        <f>IF(BF$7="Actual","",IFERROR(BF670-BF654,0))</f>
        <v/>
      </c>
      <c r="BG891" s="245">
        <f>IF(BG$7="Actual","",IFERROR(BG670-BG654,0))</f>
        <v/>
      </c>
      <c r="BH891" s="245">
        <f>IF(BH$7="Actual","",IFERROR(BH670-BH654,0))</f>
        <v/>
      </c>
      <c r="BI891" s="245">
        <f>IF(BI$7="Actual","",IFERROR(BI670-BI654,0))</f>
        <v/>
      </c>
      <c r="BJ891" s="245">
        <f>IF(BJ$7="Actual","",IFERROR(BJ670-BJ654,0))</f>
        <v/>
      </c>
      <c r="BK891" s="245">
        <f>IF(BK$7="Actual","",IFERROR(BK670-BK654,0))</f>
        <v/>
      </c>
      <c r="BL891" s="245">
        <f>IF(BL$7="Actual","",IFERROR(BL670-BL654,0))</f>
        <v/>
      </c>
      <c r="BM891" s="245">
        <f>IF(BM$7="Actual","",IFERROR(BM670-BM654,0))</f>
        <v/>
      </c>
      <c r="BN891" s="245">
        <f>IF(BN$7="Actual","",IFERROR(BN670-BN654,0))</f>
        <v/>
      </c>
      <c r="BO891" s="245">
        <f>IF(BO$7="Actual","",IFERROR(BO670-BO654,0))</f>
        <v/>
      </c>
      <c r="BP891" s="245">
        <f>IF(BP$7="Actual","",IFERROR(BP670-BP654,0))</f>
        <v/>
      </c>
      <c r="BQ891" s="245">
        <f>IF(BQ$7="Actual","",IFERROR(BQ670-BQ654,0))</f>
        <v/>
      </c>
      <c r="BR891" s="245">
        <f>IF(BR$7="Actual","",IFERROR(BR670-BR654,0))</f>
        <v/>
      </c>
      <c r="BS891" s="245">
        <f>IF(BS$7="Actual","",IFERROR(BS670-BS654,0))</f>
        <v/>
      </c>
      <c r="BT891" s="245">
        <f>IF(BT$7="Actual","",IFERROR(BT670-BT654,0))</f>
        <v/>
      </c>
      <c r="BU891" s="245">
        <f>IF(BU$7="Actual","",IFERROR(BU670-BU654,0))</f>
        <v/>
      </c>
      <c r="BV891" s="245">
        <f>IF(BV$7="Actual","",IFERROR(BV670-BV654,0))</f>
        <v/>
      </c>
      <c r="BW891" s="245">
        <f>IF(BW$7="Actual","",IFERROR(BW670-BW654,0))</f>
        <v/>
      </c>
      <c r="BX891" s="245">
        <f>IF(BX$7="Actual","",IFERROR(BX670-BX654,0))</f>
        <v/>
      </c>
      <c r="BY891" s="245">
        <f>IF(BY$7="Actual","",IFERROR(BY670-BY654,0))</f>
        <v/>
      </c>
      <c r="BZ891" s="245">
        <f>IF(BZ$7="Actual","",IFERROR(BZ670-BZ654,0))</f>
        <v/>
      </c>
      <c r="CA891" s="245">
        <f>IF(CA$7="Actual","",IFERROR(CA670-CA654,0))</f>
        <v/>
      </c>
    </row>
    <row r="892" ht="12" customHeight="1" s="227">
      <c r="A892" s="244" t="n"/>
      <c r="B892" s="244" t="n"/>
      <c r="C892" s="244" t="n"/>
      <c r="K892" s="6" t="n"/>
    </row>
    <row r="893" ht="12" customHeight="1" s="227">
      <c r="A893" s="244" t="n"/>
      <c r="B893" s="244">
        <f>IF(K893&lt;&gt;"Yes",IF(SUM(M893:O893)&lt;&gt;0,1,0),0)</f>
        <v/>
      </c>
      <c r="C893" s="244" t="n"/>
      <c r="H893" s="4">
        <f>i_Setup!U115</f>
        <v/>
      </c>
      <c r="I893" s="27">
        <f>i_Setup!$M$16</f>
        <v/>
      </c>
      <c r="K893" s="259">
        <f>i_Setup!P115</f>
        <v/>
      </c>
      <c r="M893" s="245">
        <f>SUMIF($T$4:$CA$4,M$4,$T893:$CA893)</f>
        <v/>
      </c>
      <c r="N893" s="245">
        <f>SUMIF($T$4:$CA$4,N$4,$T893:$CA893)</f>
        <v/>
      </c>
      <c r="O893" s="245">
        <f>SUMIF($T$4:$CA$4,O$4,$T893:$CA893)</f>
        <v/>
      </c>
      <c r="P893" s="245">
        <f>SUMIF($T$4:$CA$4,P$4,$T893:$CA893)</f>
        <v/>
      </c>
      <c r="Q893" s="245">
        <f>SUMIF($T$4:$CA$4,Q$4,$T893:$CA893)</f>
        <v/>
      </c>
      <c r="T893" s="245">
        <f>IF(T$7="Actual","",IFERROR(T672-T656,0))</f>
        <v/>
      </c>
      <c r="U893" s="245">
        <f>IF(U$7="Actual","",IFERROR(U672-U656,0))</f>
        <v/>
      </c>
      <c r="V893" s="245">
        <f>IF(V$7="Actual","",IFERROR(V672-V656,0))</f>
        <v/>
      </c>
      <c r="W893" s="245">
        <f>IF(W$7="Actual","",IFERROR(W672-W656,0))</f>
        <v/>
      </c>
      <c r="X893" s="245">
        <f>IF(X$7="Actual","",IFERROR(X672-X656,0))</f>
        <v/>
      </c>
      <c r="Y893" s="245">
        <f>IF(Y$7="Actual","",IFERROR(Y672-Y656,0))</f>
        <v/>
      </c>
      <c r="Z893" s="245">
        <f>IF(Z$7="Actual","",IFERROR(Z672-Z656,0))</f>
        <v/>
      </c>
      <c r="AA893" s="245">
        <f>IF(AA$7="Actual","",IFERROR(AA672-AA656,0))</f>
        <v/>
      </c>
      <c r="AB893" s="245">
        <f>IF(AB$7="Actual","",IFERROR(AB672-AB656,0))</f>
        <v/>
      </c>
      <c r="AC893" s="245">
        <f>IF(AC$7="Actual","",IFERROR(AC672-AC656,0))</f>
        <v/>
      </c>
      <c r="AD893" s="245">
        <f>IF(AD$7="Actual","",IFERROR(AD672-AD656,0))</f>
        <v/>
      </c>
      <c r="AE893" s="245">
        <f>IF(AE$7="Actual","",IFERROR(AE672-AE656,0))</f>
        <v/>
      </c>
      <c r="AF893" s="245">
        <f>IF(AF$7="Actual","",IFERROR(AF672-AF656,0))</f>
        <v/>
      </c>
      <c r="AG893" s="245">
        <f>IF(AG$7="Actual","",IFERROR(AG672-AG656,0))</f>
        <v/>
      </c>
      <c r="AH893" s="245">
        <f>IF(AH$7="Actual","",IFERROR(AH672-AH656,0))</f>
        <v/>
      </c>
      <c r="AI893" s="245">
        <f>IF(AI$7="Actual","",IFERROR(AI672-AI656,0))</f>
        <v/>
      </c>
      <c r="AJ893" s="245">
        <f>IF(AJ$7="Actual","",IFERROR(AJ672-AJ656,0))</f>
        <v/>
      </c>
      <c r="AK893" s="245">
        <f>IF(AK$7="Actual","",IFERROR(AK672-AK656,0))</f>
        <v/>
      </c>
      <c r="AL893" s="245">
        <f>IF(AL$7="Actual","",IFERROR(AL672-AL656,0))</f>
        <v/>
      </c>
      <c r="AM893" s="245">
        <f>IF(AM$7="Actual","",IFERROR(AM672-AM656,0))</f>
        <v/>
      </c>
      <c r="AN893" s="245">
        <f>IF(AN$7="Actual","",IFERROR(AN672-AN656,0))</f>
        <v/>
      </c>
      <c r="AO893" s="245">
        <f>IF(AO$7="Actual","",IFERROR(AO672-AO656,0))</f>
        <v/>
      </c>
      <c r="AP893" s="245">
        <f>IF(AP$7="Actual","",IFERROR(AP672-AP656,0))</f>
        <v/>
      </c>
      <c r="AQ893" s="245">
        <f>IF(AQ$7="Actual","",IFERROR(AQ672-AQ656,0))</f>
        <v/>
      </c>
      <c r="AR893" s="245">
        <f>IF(AR$7="Actual","",IFERROR(AR672-AR656,0))</f>
        <v/>
      </c>
      <c r="AS893" s="245">
        <f>IF(AS$7="Actual","",IFERROR(AS672-AS656,0))</f>
        <v/>
      </c>
      <c r="AT893" s="245">
        <f>IF(AT$7="Actual","",IFERROR(AT672-AT656,0))</f>
        <v/>
      </c>
      <c r="AU893" s="245">
        <f>IF(AU$7="Actual","",IFERROR(AU672-AU656,0))</f>
        <v/>
      </c>
      <c r="AV893" s="245">
        <f>IF(AV$7="Actual","",IFERROR(AV672-AV656,0))</f>
        <v/>
      </c>
      <c r="AW893" s="245">
        <f>IF(AW$7="Actual","",IFERROR(AW672-AW656,0))</f>
        <v/>
      </c>
      <c r="AX893" s="245">
        <f>IF(AX$7="Actual","",IFERROR(AX672-AX656,0))</f>
        <v/>
      </c>
      <c r="AY893" s="245">
        <f>IF(AY$7="Actual","",IFERROR(AY672-AY656,0))</f>
        <v/>
      </c>
      <c r="AZ893" s="245">
        <f>IF(AZ$7="Actual","",IFERROR(AZ672-AZ656,0))</f>
        <v/>
      </c>
      <c r="BA893" s="245">
        <f>IF(BA$7="Actual","",IFERROR(BA672-BA656,0))</f>
        <v/>
      </c>
      <c r="BB893" s="245">
        <f>IF(BB$7="Actual","",IFERROR(BB672-BB656,0))</f>
        <v/>
      </c>
      <c r="BC893" s="245">
        <f>IF(BC$7="Actual","",IFERROR(BC672-BC656,0))</f>
        <v/>
      </c>
      <c r="BD893" s="245">
        <f>IF(BD$7="Actual","",IFERROR(BD672-BD656,0))</f>
        <v/>
      </c>
      <c r="BE893" s="245">
        <f>IF(BE$7="Actual","",IFERROR(BE672-BE656,0))</f>
        <v/>
      </c>
      <c r="BF893" s="245">
        <f>IF(BF$7="Actual","",IFERROR(BF672-BF656,0))</f>
        <v/>
      </c>
      <c r="BG893" s="245">
        <f>IF(BG$7="Actual","",IFERROR(BG672-BG656,0))</f>
        <v/>
      </c>
      <c r="BH893" s="245">
        <f>IF(BH$7="Actual","",IFERROR(BH672-BH656,0))</f>
        <v/>
      </c>
      <c r="BI893" s="245">
        <f>IF(BI$7="Actual","",IFERROR(BI672-BI656,0))</f>
        <v/>
      </c>
      <c r="BJ893" s="245">
        <f>IF(BJ$7="Actual","",IFERROR(BJ672-BJ656,0))</f>
        <v/>
      </c>
      <c r="BK893" s="245">
        <f>IF(BK$7="Actual","",IFERROR(BK672-BK656,0))</f>
        <v/>
      </c>
      <c r="BL893" s="245">
        <f>IF(BL$7="Actual","",IFERROR(BL672-BL656,0))</f>
        <v/>
      </c>
      <c r="BM893" s="245">
        <f>IF(BM$7="Actual","",IFERROR(BM672-BM656,0))</f>
        <v/>
      </c>
      <c r="BN893" s="245">
        <f>IF(BN$7="Actual","",IFERROR(BN672-BN656,0))</f>
        <v/>
      </c>
      <c r="BO893" s="245">
        <f>IF(BO$7="Actual","",IFERROR(BO672-BO656,0))</f>
        <v/>
      </c>
      <c r="BP893" s="245">
        <f>IF(BP$7="Actual","",IFERROR(BP672-BP656,0))</f>
        <v/>
      </c>
      <c r="BQ893" s="245">
        <f>IF(BQ$7="Actual","",IFERROR(BQ672-BQ656,0))</f>
        <v/>
      </c>
      <c r="BR893" s="245">
        <f>IF(BR$7="Actual","",IFERROR(BR672-BR656,0))</f>
        <v/>
      </c>
      <c r="BS893" s="245">
        <f>IF(BS$7="Actual","",IFERROR(BS672-BS656,0))</f>
        <v/>
      </c>
      <c r="BT893" s="245">
        <f>IF(BT$7="Actual","",IFERROR(BT672-BT656,0))</f>
        <v/>
      </c>
      <c r="BU893" s="245">
        <f>IF(BU$7="Actual","",IFERROR(BU672-BU656,0))</f>
        <v/>
      </c>
      <c r="BV893" s="245">
        <f>IF(BV$7="Actual","",IFERROR(BV672-BV656,0))</f>
        <v/>
      </c>
      <c r="BW893" s="245">
        <f>IF(BW$7="Actual","",IFERROR(BW672-BW656,0))</f>
        <v/>
      </c>
      <c r="BX893" s="245">
        <f>IF(BX$7="Actual","",IFERROR(BX672-BX656,0))</f>
        <v/>
      </c>
      <c r="BY893" s="245">
        <f>IF(BY$7="Actual","",IFERROR(BY672-BY656,0))</f>
        <v/>
      </c>
      <c r="BZ893" s="245">
        <f>IF(BZ$7="Actual","",IFERROR(BZ672-BZ656,0))</f>
        <v/>
      </c>
      <c r="CA893" s="245">
        <f>IF(CA$7="Actual","",IFERROR(CA672-CA656,0))</f>
        <v/>
      </c>
    </row>
    <row r="894" ht="12" customHeight="1" s="227">
      <c r="A894" s="244" t="n"/>
      <c r="B894" s="244">
        <f>IF(K894&lt;&gt;"Yes",IF(SUM(M894:O894)&lt;&gt;0,1,0),0)</f>
        <v/>
      </c>
      <c r="C894" s="244" t="n"/>
      <c r="H894" s="4">
        <f>i_Setup!U116</f>
        <v/>
      </c>
      <c r="I894" s="27">
        <f>i_Setup!$M$16</f>
        <v/>
      </c>
      <c r="K894" s="259">
        <f>i_Setup!P116</f>
        <v/>
      </c>
      <c r="M894" s="245">
        <f>SUMIF($T$4:$CA$4,M$4,$T894:$CA894)</f>
        <v/>
      </c>
      <c r="N894" s="245">
        <f>SUMIF($T$4:$CA$4,N$4,$T894:$CA894)</f>
        <v/>
      </c>
      <c r="O894" s="245">
        <f>SUMIF($T$4:$CA$4,O$4,$T894:$CA894)</f>
        <v/>
      </c>
      <c r="P894" s="245">
        <f>SUMIF($T$4:$CA$4,P$4,$T894:$CA894)</f>
        <v/>
      </c>
      <c r="Q894" s="245">
        <f>SUMIF($T$4:$CA$4,Q$4,$T894:$CA894)</f>
        <v/>
      </c>
      <c r="T894" s="245">
        <f>IF(T$7="Actual","",IFERROR(T673-T657,0))</f>
        <v/>
      </c>
      <c r="U894" s="245">
        <f>IF(U$7="Actual","",IFERROR(U673-U657,0))</f>
        <v/>
      </c>
      <c r="V894" s="245">
        <f>IF(V$7="Actual","",IFERROR(V673-V657,0))</f>
        <v/>
      </c>
      <c r="W894" s="245">
        <f>IF(W$7="Actual","",IFERROR(W673-W657,0))</f>
        <v/>
      </c>
      <c r="X894" s="245">
        <f>IF(X$7="Actual","",IFERROR(X673-X657,0))</f>
        <v/>
      </c>
      <c r="Y894" s="245">
        <f>IF(Y$7="Actual","",IFERROR(Y673-Y657,0))</f>
        <v/>
      </c>
      <c r="Z894" s="245">
        <f>IF(Z$7="Actual","",IFERROR(Z673-Z657,0))</f>
        <v/>
      </c>
      <c r="AA894" s="245">
        <f>IF(AA$7="Actual","",IFERROR(AA673-AA657,0))</f>
        <v/>
      </c>
      <c r="AB894" s="245">
        <f>IF(AB$7="Actual","",IFERROR(AB673-AB657,0))</f>
        <v/>
      </c>
      <c r="AC894" s="245">
        <f>IF(AC$7="Actual","",IFERROR(AC673-AC657,0))</f>
        <v/>
      </c>
      <c r="AD894" s="245">
        <f>IF(AD$7="Actual","",IFERROR(AD673-AD657,0))</f>
        <v/>
      </c>
      <c r="AE894" s="245">
        <f>IF(AE$7="Actual","",IFERROR(AE673-AE657,0))</f>
        <v/>
      </c>
      <c r="AF894" s="245">
        <f>IF(AF$7="Actual","",IFERROR(AF673-AF657,0))</f>
        <v/>
      </c>
      <c r="AG894" s="245">
        <f>IF(AG$7="Actual","",IFERROR(AG673-AG657,0))</f>
        <v/>
      </c>
      <c r="AH894" s="245">
        <f>IF(AH$7="Actual","",IFERROR(AH673-AH657,0))</f>
        <v/>
      </c>
      <c r="AI894" s="245">
        <f>IF(AI$7="Actual","",IFERROR(AI673-AI657,0))</f>
        <v/>
      </c>
      <c r="AJ894" s="245">
        <f>IF(AJ$7="Actual","",IFERROR(AJ673-AJ657,0))</f>
        <v/>
      </c>
      <c r="AK894" s="245">
        <f>IF(AK$7="Actual","",IFERROR(AK673-AK657,0))</f>
        <v/>
      </c>
      <c r="AL894" s="245">
        <f>IF(AL$7="Actual","",IFERROR(AL673-AL657,0))</f>
        <v/>
      </c>
      <c r="AM894" s="245">
        <f>IF(AM$7="Actual","",IFERROR(AM673-AM657,0))</f>
        <v/>
      </c>
      <c r="AN894" s="245">
        <f>IF(AN$7="Actual","",IFERROR(AN673-AN657,0))</f>
        <v/>
      </c>
      <c r="AO894" s="245">
        <f>IF(AO$7="Actual","",IFERROR(AO673-AO657,0))</f>
        <v/>
      </c>
      <c r="AP894" s="245">
        <f>IF(AP$7="Actual","",IFERROR(AP673-AP657,0))</f>
        <v/>
      </c>
      <c r="AQ894" s="245">
        <f>IF(AQ$7="Actual","",IFERROR(AQ673-AQ657,0))</f>
        <v/>
      </c>
      <c r="AR894" s="245">
        <f>IF(AR$7="Actual","",IFERROR(AR673-AR657,0))</f>
        <v/>
      </c>
      <c r="AS894" s="245">
        <f>IF(AS$7="Actual","",IFERROR(AS673-AS657,0))</f>
        <v/>
      </c>
      <c r="AT894" s="245">
        <f>IF(AT$7="Actual","",IFERROR(AT673-AT657,0))</f>
        <v/>
      </c>
      <c r="AU894" s="245">
        <f>IF(AU$7="Actual","",IFERROR(AU673-AU657,0))</f>
        <v/>
      </c>
      <c r="AV894" s="245">
        <f>IF(AV$7="Actual","",IFERROR(AV673-AV657,0))</f>
        <v/>
      </c>
      <c r="AW894" s="245">
        <f>IF(AW$7="Actual","",IFERROR(AW673-AW657,0))</f>
        <v/>
      </c>
      <c r="AX894" s="245">
        <f>IF(AX$7="Actual","",IFERROR(AX673-AX657,0))</f>
        <v/>
      </c>
      <c r="AY894" s="245">
        <f>IF(AY$7="Actual","",IFERROR(AY673-AY657,0))</f>
        <v/>
      </c>
      <c r="AZ894" s="245">
        <f>IF(AZ$7="Actual","",IFERROR(AZ673-AZ657,0))</f>
        <v/>
      </c>
      <c r="BA894" s="245">
        <f>IF(BA$7="Actual","",IFERROR(BA673-BA657,0))</f>
        <v/>
      </c>
      <c r="BB894" s="245">
        <f>IF(BB$7="Actual","",IFERROR(BB673-BB657,0))</f>
        <v/>
      </c>
      <c r="BC894" s="245">
        <f>IF(BC$7="Actual","",IFERROR(BC673-BC657,0))</f>
        <v/>
      </c>
      <c r="BD894" s="245">
        <f>IF(BD$7="Actual","",IFERROR(BD673-BD657,0))</f>
        <v/>
      </c>
      <c r="BE894" s="245">
        <f>IF(BE$7="Actual","",IFERROR(BE673-BE657,0))</f>
        <v/>
      </c>
      <c r="BF894" s="245">
        <f>IF(BF$7="Actual","",IFERROR(BF673-BF657,0))</f>
        <v/>
      </c>
      <c r="BG894" s="245">
        <f>IF(BG$7="Actual","",IFERROR(BG673-BG657,0))</f>
        <v/>
      </c>
      <c r="BH894" s="245">
        <f>IF(BH$7="Actual","",IFERROR(BH673-BH657,0))</f>
        <v/>
      </c>
      <c r="BI894" s="245">
        <f>IF(BI$7="Actual","",IFERROR(BI673-BI657,0))</f>
        <v/>
      </c>
      <c r="BJ894" s="245">
        <f>IF(BJ$7="Actual","",IFERROR(BJ673-BJ657,0))</f>
        <v/>
      </c>
      <c r="BK894" s="245">
        <f>IF(BK$7="Actual","",IFERROR(BK673-BK657,0))</f>
        <v/>
      </c>
      <c r="BL894" s="245">
        <f>IF(BL$7="Actual","",IFERROR(BL673-BL657,0))</f>
        <v/>
      </c>
      <c r="BM894" s="245">
        <f>IF(BM$7="Actual","",IFERROR(BM673-BM657,0))</f>
        <v/>
      </c>
      <c r="BN894" s="245">
        <f>IF(BN$7="Actual","",IFERROR(BN673-BN657,0))</f>
        <v/>
      </c>
      <c r="BO894" s="245">
        <f>IF(BO$7="Actual","",IFERROR(BO673-BO657,0))</f>
        <v/>
      </c>
      <c r="BP894" s="245">
        <f>IF(BP$7="Actual","",IFERROR(BP673-BP657,0))</f>
        <v/>
      </c>
      <c r="BQ894" s="245">
        <f>IF(BQ$7="Actual","",IFERROR(BQ673-BQ657,0))</f>
        <v/>
      </c>
      <c r="BR894" s="245">
        <f>IF(BR$7="Actual","",IFERROR(BR673-BR657,0))</f>
        <v/>
      </c>
      <c r="BS894" s="245">
        <f>IF(BS$7="Actual","",IFERROR(BS673-BS657,0))</f>
        <v/>
      </c>
      <c r="BT894" s="245">
        <f>IF(BT$7="Actual","",IFERROR(BT673-BT657,0))</f>
        <v/>
      </c>
      <c r="BU894" s="245">
        <f>IF(BU$7="Actual","",IFERROR(BU673-BU657,0))</f>
        <v/>
      </c>
      <c r="BV894" s="245">
        <f>IF(BV$7="Actual","",IFERROR(BV673-BV657,0))</f>
        <v/>
      </c>
      <c r="BW894" s="245">
        <f>IF(BW$7="Actual","",IFERROR(BW673-BW657,0))</f>
        <v/>
      </c>
      <c r="BX894" s="245">
        <f>IF(BX$7="Actual","",IFERROR(BX673-BX657,0))</f>
        <v/>
      </c>
      <c r="BY894" s="245">
        <f>IF(BY$7="Actual","",IFERROR(BY673-BY657,0))</f>
        <v/>
      </c>
      <c r="BZ894" s="245">
        <f>IF(BZ$7="Actual","",IFERROR(BZ673-BZ657,0))</f>
        <v/>
      </c>
      <c r="CA894" s="245">
        <f>IF(CA$7="Actual","",IFERROR(CA673-CA657,0))</f>
        <v/>
      </c>
    </row>
    <row r="895" ht="12" customHeight="1" s="227">
      <c r="A895" s="244" t="n"/>
      <c r="B895" s="244">
        <f>IF(K895&lt;&gt;"Yes",IF(SUM(M895:O895)&lt;&gt;0,1,0),0)</f>
        <v/>
      </c>
      <c r="C895" s="244" t="n"/>
      <c r="H895" s="4">
        <f>i_Setup!U117</f>
        <v/>
      </c>
      <c r="I895" s="27">
        <f>i_Setup!$M$16</f>
        <v/>
      </c>
      <c r="K895" s="259">
        <f>i_Setup!P117</f>
        <v/>
      </c>
      <c r="M895" s="245">
        <f>SUMIF($T$4:$CA$4,M$4,$T895:$CA895)</f>
        <v/>
      </c>
      <c r="N895" s="245">
        <f>SUMIF($T$4:$CA$4,N$4,$T895:$CA895)</f>
        <v/>
      </c>
      <c r="O895" s="245">
        <f>SUMIF($T$4:$CA$4,O$4,$T895:$CA895)</f>
        <v/>
      </c>
      <c r="P895" s="245">
        <f>SUMIF($T$4:$CA$4,P$4,$T895:$CA895)</f>
        <v/>
      </c>
      <c r="Q895" s="245">
        <f>SUMIF($T$4:$CA$4,Q$4,$T895:$CA895)</f>
        <v/>
      </c>
      <c r="T895" s="245">
        <f>IF(T$7="Actual","",IFERROR(T674-T658,0))</f>
        <v/>
      </c>
      <c r="U895" s="245">
        <f>IF(U$7="Actual","",IFERROR(U674-U658,0))</f>
        <v/>
      </c>
      <c r="V895" s="245">
        <f>IF(V$7="Actual","",IFERROR(V674-V658,0))</f>
        <v/>
      </c>
      <c r="W895" s="245">
        <f>IF(W$7="Actual","",IFERROR(W674-W658,0))</f>
        <v/>
      </c>
      <c r="X895" s="245">
        <f>IF(X$7="Actual","",IFERROR(X674-X658,0))</f>
        <v/>
      </c>
      <c r="Y895" s="245">
        <f>IF(Y$7="Actual","",IFERROR(Y674-Y658,0))</f>
        <v/>
      </c>
      <c r="Z895" s="245">
        <f>IF(Z$7="Actual","",IFERROR(Z674-Z658,0))</f>
        <v/>
      </c>
      <c r="AA895" s="245">
        <f>IF(AA$7="Actual","",IFERROR(AA674-AA658,0))</f>
        <v/>
      </c>
      <c r="AB895" s="245">
        <f>IF(AB$7="Actual","",IFERROR(AB674-AB658,0))</f>
        <v/>
      </c>
      <c r="AC895" s="245">
        <f>IF(AC$7="Actual","",IFERROR(AC674-AC658,0))</f>
        <v/>
      </c>
      <c r="AD895" s="245">
        <f>IF(AD$7="Actual","",IFERROR(AD674-AD658,0))</f>
        <v/>
      </c>
      <c r="AE895" s="245">
        <f>IF(AE$7="Actual","",IFERROR(AE674-AE658,0))</f>
        <v/>
      </c>
      <c r="AF895" s="245">
        <f>IF(AF$7="Actual","",IFERROR(AF674-AF658,0))</f>
        <v/>
      </c>
      <c r="AG895" s="245">
        <f>IF(AG$7="Actual","",IFERROR(AG674-AG658,0))</f>
        <v/>
      </c>
      <c r="AH895" s="245">
        <f>IF(AH$7="Actual","",IFERROR(AH674-AH658,0))</f>
        <v/>
      </c>
      <c r="AI895" s="245">
        <f>IF(AI$7="Actual","",IFERROR(AI674-AI658,0))</f>
        <v/>
      </c>
      <c r="AJ895" s="245">
        <f>IF(AJ$7="Actual","",IFERROR(AJ674-AJ658,0))</f>
        <v/>
      </c>
      <c r="AK895" s="245">
        <f>IF(AK$7="Actual","",IFERROR(AK674-AK658,0))</f>
        <v/>
      </c>
      <c r="AL895" s="245">
        <f>IF(AL$7="Actual","",IFERROR(AL674-AL658,0))</f>
        <v/>
      </c>
      <c r="AM895" s="245">
        <f>IF(AM$7="Actual","",IFERROR(AM674-AM658,0))</f>
        <v/>
      </c>
      <c r="AN895" s="245">
        <f>IF(AN$7="Actual","",IFERROR(AN674-AN658,0))</f>
        <v/>
      </c>
      <c r="AO895" s="245">
        <f>IF(AO$7="Actual","",IFERROR(AO674-AO658,0))</f>
        <v/>
      </c>
      <c r="AP895" s="245">
        <f>IF(AP$7="Actual","",IFERROR(AP674-AP658,0))</f>
        <v/>
      </c>
      <c r="AQ895" s="245">
        <f>IF(AQ$7="Actual","",IFERROR(AQ674-AQ658,0))</f>
        <v/>
      </c>
      <c r="AR895" s="245">
        <f>IF(AR$7="Actual","",IFERROR(AR674-AR658,0))</f>
        <v/>
      </c>
      <c r="AS895" s="245">
        <f>IF(AS$7="Actual","",IFERROR(AS674-AS658,0))</f>
        <v/>
      </c>
      <c r="AT895" s="245">
        <f>IF(AT$7="Actual","",IFERROR(AT674-AT658,0))</f>
        <v/>
      </c>
      <c r="AU895" s="245">
        <f>IF(AU$7="Actual","",IFERROR(AU674-AU658,0))</f>
        <v/>
      </c>
      <c r="AV895" s="245">
        <f>IF(AV$7="Actual","",IFERROR(AV674-AV658,0))</f>
        <v/>
      </c>
      <c r="AW895" s="245">
        <f>IF(AW$7="Actual","",IFERROR(AW674-AW658,0))</f>
        <v/>
      </c>
      <c r="AX895" s="245">
        <f>IF(AX$7="Actual","",IFERROR(AX674-AX658,0))</f>
        <v/>
      </c>
      <c r="AY895" s="245">
        <f>IF(AY$7="Actual","",IFERROR(AY674-AY658,0))</f>
        <v/>
      </c>
      <c r="AZ895" s="245">
        <f>IF(AZ$7="Actual","",IFERROR(AZ674-AZ658,0))</f>
        <v/>
      </c>
      <c r="BA895" s="245">
        <f>IF(BA$7="Actual","",IFERROR(BA674-BA658,0))</f>
        <v/>
      </c>
      <c r="BB895" s="245">
        <f>IF(BB$7="Actual","",IFERROR(BB674-BB658,0))</f>
        <v/>
      </c>
      <c r="BC895" s="245">
        <f>IF(BC$7="Actual","",IFERROR(BC674-BC658,0))</f>
        <v/>
      </c>
      <c r="BD895" s="245">
        <f>IF(BD$7="Actual","",IFERROR(BD674-BD658,0))</f>
        <v/>
      </c>
      <c r="BE895" s="245">
        <f>IF(BE$7="Actual","",IFERROR(BE674-BE658,0))</f>
        <v/>
      </c>
      <c r="BF895" s="245">
        <f>IF(BF$7="Actual","",IFERROR(BF674-BF658,0))</f>
        <v/>
      </c>
      <c r="BG895" s="245">
        <f>IF(BG$7="Actual","",IFERROR(BG674-BG658,0))</f>
        <v/>
      </c>
      <c r="BH895" s="245">
        <f>IF(BH$7="Actual","",IFERROR(BH674-BH658,0))</f>
        <v/>
      </c>
      <c r="BI895" s="245">
        <f>IF(BI$7="Actual","",IFERROR(BI674-BI658,0))</f>
        <v/>
      </c>
      <c r="BJ895" s="245">
        <f>IF(BJ$7="Actual","",IFERROR(BJ674-BJ658,0))</f>
        <v/>
      </c>
      <c r="BK895" s="245">
        <f>IF(BK$7="Actual","",IFERROR(BK674-BK658,0))</f>
        <v/>
      </c>
      <c r="BL895" s="245">
        <f>IF(BL$7="Actual","",IFERROR(BL674-BL658,0))</f>
        <v/>
      </c>
      <c r="BM895" s="245">
        <f>IF(BM$7="Actual","",IFERROR(BM674-BM658,0))</f>
        <v/>
      </c>
      <c r="BN895" s="245">
        <f>IF(BN$7="Actual","",IFERROR(BN674-BN658,0))</f>
        <v/>
      </c>
      <c r="BO895" s="245">
        <f>IF(BO$7="Actual","",IFERROR(BO674-BO658,0))</f>
        <v/>
      </c>
      <c r="BP895" s="245">
        <f>IF(BP$7="Actual","",IFERROR(BP674-BP658,0))</f>
        <v/>
      </c>
      <c r="BQ895" s="245">
        <f>IF(BQ$7="Actual","",IFERROR(BQ674-BQ658,0))</f>
        <v/>
      </c>
      <c r="BR895" s="245">
        <f>IF(BR$7="Actual","",IFERROR(BR674-BR658,0))</f>
        <v/>
      </c>
      <c r="BS895" s="245">
        <f>IF(BS$7="Actual","",IFERROR(BS674-BS658,0))</f>
        <v/>
      </c>
      <c r="BT895" s="245">
        <f>IF(BT$7="Actual","",IFERROR(BT674-BT658,0))</f>
        <v/>
      </c>
      <c r="BU895" s="245">
        <f>IF(BU$7="Actual","",IFERROR(BU674-BU658,0))</f>
        <v/>
      </c>
      <c r="BV895" s="245">
        <f>IF(BV$7="Actual","",IFERROR(BV674-BV658,0))</f>
        <v/>
      </c>
      <c r="BW895" s="245">
        <f>IF(BW$7="Actual","",IFERROR(BW674-BW658,0))</f>
        <v/>
      </c>
      <c r="BX895" s="245">
        <f>IF(BX$7="Actual","",IFERROR(BX674-BX658,0))</f>
        <v/>
      </c>
      <c r="BY895" s="245">
        <f>IF(BY$7="Actual","",IFERROR(BY674-BY658,0))</f>
        <v/>
      </c>
      <c r="BZ895" s="245">
        <f>IF(BZ$7="Actual","",IFERROR(BZ674-BZ658,0))</f>
        <v/>
      </c>
      <c r="CA895" s="245">
        <f>IF(CA$7="Actual","",IFERROR(CA674-CA658,0))</f>
        <v/>
      </c>
    </row>
    <row r="896" ht="12" customHeight="1" s="227">
      <c r="A896" s="244" t="n"/>
      <c r="B896" s="244">
        <f>IF(K896&lt;&gt;"Yes",IF(SUM(M896:O896)&lt;&gt;0,1,0),0)</f>
        <v/>
      </c>
      <c r="C896" s="244" t="n"/>
      <c r="H896" s="4">
        <f>i_Setup!U118</f>
        <v/>
      </c>
      <c r="I896" s="27">
        <f>i_Setup!$M$16</f>
        <v/>
      </c>
      <c r="K896" s="259">
        <f>i_Setup!P118</f>
        <v/>
      </c>
      <c r="M896" s="245">
        <f>SUMIF($T$4:$CA$4,M$4,$T896:$CA896)</f>
        <v/>
      </c>
      <c r="N896" s="245">
        <f>SUMIF($T$4:$CA$4,N$4,$T896:$CA896)</f>
        <v/>
      </c>
      <c r="O896" s="245">
        <f>SUMIF($T$4:$CA$4,O$4,$T896:$CA896)</f>
        <v/>
      </c>
      <c r="P896" s="245">
        <f>SUMIF($T$4:$CA$4,P$4,$T896:$CA896)</f>
        <v/>
      </c>
      <c r="Q896" s="245">
        <f>SUMIF($T$4:$CA$4,Q$4,$T896:$CA896)</f>
        <v/>
      </c>
      <c r="T896" s="245">
        <f>IF(T$7="Actual","",IFERROR(T675-T659,0))</f>
        <v/>
      </c>
      <c r="U896" s="245">
        <f>IF(U$7="Actual","",IFERROR(U675-U659,0))</f>
        <v/>
      </c>
      <c r="V896" s="245">
        <f>IF(V$7="Actual","",IFERROR(V675-V659,0))</f>
        <v/>
      </c>
      <c r="W896" s="245">
        <f>IF(W$7="Actual","",IFERROR(W675-W659,0))</f>
        <v/>
      </c>
      <c r="X896" s="245">
        <f>IF(X$7="Actual","",IFERROR(X675-X659,0))</f>
        <v/>
      </c>
      <c r="Y896" s="245">
        <f>IF(Y$7="Actual","",IFERROR(Y675-Y659,0))</f>
        <v/>
      </c>
      <c r="Z896" s="245">
        <f>IF(Z$7="Actual","",IFERROR(Z675-Z659,0))</f>
        <v/>
      </c>
      <c r="AA896" s="245">
        <f>IF(AA$7="Actual","",IFERROR(AA675-AA659,0))</f>
        <v/>
      </c>
      <c r="AB896" s="245">
        <f>IF(AB$7="Actual","",IFERROR(AB675-AB659,0))</f>
        <v/>
      </c>
      <c r="AC896" s="245">
        <f>IF(AC$7="Actual","",IFERROR(AC675-AC659,0))</f>
        <v/>
      </c>
      <c r="AD896" s="245">
        <f>IF(AD$7="Actual","",IFERROR(AD675-AD659,0))</f>
        <v/>
      </c>
      <c r="AE896" s="245">
        <f>IF(AE$7="Actual","",IFERROR(AE675-AE659,0))</f>
        <v/>
      </c>
      <c r="AF896" s="245">
        <f>IF(AF$7="Actual","",IFERROR(AF675-AF659,0))</f>
        <v/>
      </c>
      <c r="AG896" s="245">
        <f>IF(AG$7="Actual","",IFERROR(AG675-AG659,0))</f>
        <v/>
      </c>
      <c r="AH896" s="245">
        <f>IF(AH$7="Actual","",IFERROR(AH675-AH659,0))</f>
        <v/>
      </c>
      <c r="AI896" s="245">
        <f>IF(AI$7="Actual","",IFERROR(AI675-AI659,0))</f>
        <v/>
      </c>
      <c r="AJ896" s="245">
        <f>IF(AJ$7="Actual","",IFERROR(AJ675-AJ659,0))</f>
        <v/>
      </c>
      <c r="AK896" s="245">
        <f>IF(AK$7="Actual","",IFERROR(AK675-AK659,0))</f>
        <v/>
      </c>
      <c r="AL896" s="245">
        <f>IF(AL$7="Actual","",IFERROR(AL675-AL659,0))</f>
        <v/>
      </c>
      <c r="AM896" s="245">
        <f>IF(AM$7="Actual","",IFERROR(AM675-AM659,0))</f>
        <v/>
      </c>
      <c r="AN896" s="245">
        <f>IF(AN$7="Actual","",IFERROR(AN675-AN659,0))</f>
        <v/>
      </c>
      <c r="AO896" s="245">
        <f>IF(AO$7="Actual","",IFERROR(AO675-AO659,0))</f>
        <v/>
      </c>
      <c r="AP896" s="245">
        <f>IF(AP$7="Actual","",IFERROR(AP675-AP659,0))</f>
        <v/>
      </c>
      <c r="AQ896" s="245">
        <f>IF(AQ$7="Actual","",IFERROR(AQ675-AQ659,0))</f>
        <v/>
      </c>
      <c r="AR896" s="245">
        <f>IF(AR$7="Actual","",IFERROR(AR675-AR659,0))</f>
        <v/>
      </c>
      <c r="AS896" s="245">
        <f>IF(AS$7="Actual","",IFERROR(AS675-AS659,0))</f>
        <v/>
      </c>
      <c r="AT896" s="245">
        <f>IF(AT$7="Actual","",IFERROR(AT675-AT659,0))</f>
        <v/>
      </c>
      <c r="AU896" s="245">
        <f>IF(AU$7="Actual","",IFERROR(AU675-AU659,0))</f>
        <v/>
      </c>
      <c r="AV896" s="245">
        <f>IF(AV$7="Actual","",IFERROR(AV675-AV659,0))</f>
        <v/>
      </c>
      <c r="AW896" s="245">
        <f>IF(AW$7="Actual","",IFERROR(AW675-AW659,0))</f>
        <v/>
      </c>
      <c r="AX896" s="245">
        <f>IF(AX$7="Actual","",IFERROR(AX675-AX659,0))</f>
        <v/>
      </c>
      <c r="AY896" s="245">
        <f>IF(AY$7="Actual","",IFERROR(AY675-AY659,0))</f>
        <v/>
      </c>
      <c r="AZ896" s="245">
        <f>IF(AZ$7="Actual","",IFERROR(AZ675-AZ659,0))</f>
        <v/>
      </c>
      <c r="BA896" s="245">
        <f>IF(BA$7="Actual","",IFERROR(BA675-BA659,0))</f>
        <v/>
      </c>
      <c r="BB896" s="245">
        <f>IF(BB$7="Actual","",IFERROR(BB675-BB659,0))</f>
        <v/>
      </c>
      <c r="BC896" s="245">
        <f>IF(BC$7="Actual","",IFERROR(BC675-BC659,0))</f>
        <v/>
      </c>
      <c r="BD896" s="245">
        <f>IF(BD$7="Actual","",IFERROR(BD675-BD659,0))</f>
        <v/>
      </c>
      <c r="BE896" s="245">
        <f>IF(BE$7="Actual","",IFERROR(BE675-BE659,0))</f>
        <v/>
      </c>
      <c r="BF896" s="245">
        <f>IF(BF$7="Actual","",IFERROR(BF675-BF659,0))</f>
        <v/>
      </c>
      <c r="BG896" s="245">
        <f>IF(BG$7="Actual","",IFERROR(BG675-BG659,0))</f>
        <v/>
      </c>
      <c r="BH896" s="245">
        <f>IF(BH$7="Actual","",IFERROR(BH675-BH659,0))</f>
        <v/>
      </c>
      <c r="BI896" s="245">
        <f>IF(BI$7="Actual","",IFERROR(BI675-BI659,0))</f>
        <v/>
      </c>
      <c r="BJ896" s="245">
        <f>IF(BJ$7="Actual","",IFERROR(BJ675-BJ659,0))</f>
        <v/>
      </c>
      <c r="BK896" s="245">
        <f>IF(BK$7="Actual","",IFERROR(BK675-BK659,0))</f>
        <v/>
      </c>
      <c r="BL896" s="245">
        <f>IF(BL$7="Actual","",IFERROR(BL675-BL659,0))</f>
        <v/>
      </c>
      <c r="BM896" s="245">
        <f>IF(BM$7="Actual","",IFERROR(BM675-BM659,0))</f>
        <v/>
      </c>
      <c r="BN896" s="245">
        <f>IF(BN$7="Actual","",IFERROR(BN675-BN659,0))</f>
        <v/>
      </c>
      <c r="BO896" s="245">
        <f>IF(BO$7="Actual","",IFERROR(BO675-BO659,0))</f>
        <v/>
      </c>
      <c r="BP896" s="245">
        <f>IF(BP$7="Actual","",IFERROR(BP675-BP659,0))</f>
        <v/>
      </c>
      <c r="BQ896" s="245">
        <f>IF(BQ$7="Actual","",IFERROR(BQ675-BQ659,0))</f>
        <v/>
      </c>
      <c r="BR896" s="245">
        <f>IF(BR$7="Actual","",IFERROR(BR675-BR659,0))</f>
        <v/>
      </c>
      <c r="BS896" s="245">
        <f>IF(BS$7="Actual","",IFERROR(BS675-BS659,0))</f>
        <v/>
      </c>
      <c r="BT896" s="245">
        <f>IF(BT$7="Actual","",IFERROR(BT675-BT659,0))</f>
        <v/>
      </c>
      <c r="BU896" s="245">
        <f>IF(BU$7="Actual","",IFERROR(BU675-BU659,0))</f>
        <v/>
      </c>
      <c r="BV896" s="245">
        <f>IF(BV$7="Actual","",IFERROR(BV675-BV659,0))</f>
        <v/>
      </c>
      <c r="BW896" s="245">
        <f>IF(BW$7="Actual","",IFERROR(BW675-BW659,0))</f>
        <v/>
      </c>
      <c r="BX896" s="245">
        <f>IF(BX$7="Actual","",IFERROR(BX675-BX659,0))</f>
        <v/>
      </c>
      <c r="BY896" s="245">
        <f>IF(BY$7="Actual","",IFERROR(BY675-BY659,0))</f>
        <v/>
      </c>
      <c r="BZ896" s="245">
        <f>IF(BZ$7="Actual","",IFERROR(BZ675-BZ659,0))</f>
        <v/>
      </c>
      <c r="CA896" s="245">
        <f>IF(CA$7="Actual","",IFERROR(CA675-CA659,0))</f>
        <v/>
      </c>
    </row>
    <row r="897" ht="12" customHeight="1" s="227">
      <c r="A897" s="244" t="n"/>
      <c r="B897" s="244">
        <f>IF(K897&lt;&gt;"Yes",IF(SUM(M897:O897)&lt;&gt;0,1,0),0)</f>
        <v/>
      </c>
      <c r="C897" s="244" t="n"/>
      <c r="H897" s="4">
        <f>i_Setup!U119</f>
        <v/>
      </c>
      <c r="I897" s="27">
        <f>i_Setup!$M$16</f>
        <v/>
      </c>
      <c r="K897" s="259">
        <f>i_Setup!P119</f>
        <v/>
      </c>
      <c r="M897" s="245">
        <f>SUMIF($T$4:$CA$4,M$4,$T897:$CA897)</f>
        <v/>
      </c>
      <c r="N897" s="245">
        <f>SUMIF($T$4:$CA$4,N$4,$T897:$CA897)</f>
        <v/>
      </c>
      <c r="O897" s="245">
        <f>SUMIF($T$4:$CA$4,O$4,$T897:$CA897)</f>
        <v/>
      </c>
      <c r="P897" s="245">
        <f>SUMIF($T$4:$CA$4,P$4,$T897:$CA897)</f>
        <v/>
      </c>
      <c r="Q897" s="245">
        <f>SUMIF($T$4:$CA$4,Q$4,$T897:$CA897)</f>
        <v/>
      </c>
      <c r="T897" s="245">
        <f>IF(T$7="Actual","",IFERROR(T676-T660,0))</f>
        <v/>
      </c>
      <c r="U897" s="245">
        <f>IF(U$7="Actual","",IFERROR(U676-U660,0))</f>
        <v/>
      </c>
      <c r="V897" s="245">
        <f>IF(V$7="Actual","",IFERROR(V676-V660,0))</f>
        <v/>
      </c>
      <c r="W897" s="245">
        <f>IF(W$7="Actual","",IFERROR(W676-W660,0))</f>
        <v/>
      </c>
      <c r="X897" s="245">
        <f>IF(X$7="Actual","",IFERROR(X676-X660,0))</f>
        <v/>
      </c>
      <c r="Y897" s="245">
        <f>IF(Y$7="Actual","",IFERROR(Y676-Y660,0))</f>
        <v/>
      </c>
      <c r="Z897" s="245">
        <f>IF(Z$7="Actual","",IFERROR(Z676-Z660,0))</f>
        <v/>
      </c>
      <c r="AA897" s="245">
        <f>IF(AA$7="Actual","",IFERROR(AA676-AA660,0))</f>
        <v/>
      </c>
      <c r="AB897" s="245">
        <f>IF(AB$7="Actual","",IFERROR(AB676-AB660,0))</f>
        <v/>
      </c>
      <c r="AC897" s="245">
        <f>IF(AC$7="Actual","",IFERROR(AC676-AC660,0))</f>
        <v/>
      </c>
      <c r="AD897" s="245">
        <f>IF(AD$7="Actual","",IFERROR(AD676-AD660,0))</f>
        <v/>
      </c>
      <c r="AE897" s="245">
        <f>IF(AE$7="Actual","",IFERROR(AE676-AE660,0))</f>
        <v/>
      </c>
      <c r="AF897" s="245">
        <f>IF(AF$7="Actual","",IFERROR(AF676-AF660,0))</f>
        <v/>
      </c>
      <c r="AG897" s="245">
        <f>IF(AG$7="Actual","",IFERROR(AG676-AG660,0))</f>
        <v/>
      </c>
      <c r="AH897" s="245">
        <f>IF(AH$7="Actual","",IFERROR(AH676-AH660,0))</f>
        <v/>
      </c>
      <c r="AI897" s="245">
        <f>IF(AI$7="Actual","",IFERROR(AI676-AI660,0))</f>
        <v/>
      </c>
      <c r="AJ897" s="245">
        <f>IF(AJ$7="Actual","",IFERROR(AJ676-AJ660,0))</f>
        <v/>
      </c>
      <c r="AK897" s="245">
        <f>IF(AK$7="Actual","",IFERROR(AK676-AK660,0))</f>
        <v/>
      </c>
      <c r="AL897" s="245">
        <f>IF(AL$7="Actual","",IFERROR(AL676-AL660,0))</f>
        <v/>
      </c>
      <c r="AM897" s="245">
        <f>IF(AM$7="Actual","",IFERROR(AM676-AM660,0))</f>
        <v/>
      </c>
      <c r="AN897" s="245">
        <f>IF(AN$7="Actual","",IFERROR(AN676-AN660,0))</f>
        <v/>
      </c>
      <c r="AO897" s="245">
        <f>IF(AO$7="Actual","",IFERROR(AO676-AO660,0))</f>
        <v/>
      </c>
      <c r="AP897" s="245">
        <f>IF(AP$7="Actual","",IFERROR(AP676-AP660,0))</f>
        <v/>
      </c>
      <c r="AQ897" s="245">
        <f>IF(AQ$7="Actual","",IFERROR(AQ676-AQ660,0))</f>
        <v/>
      </c>
      <c r="AR897" s="245">
        <f>IF(AR$7="Actual","",IFERROR(AR676-AR660,0))</f>
        <v/>
      </c>
      <c r="AS897" s="245">
        <f>IF(AS$7="Actual","",IFERROR(AS676-AS660,0))</f>
        <v/>
      </c>
      <c r="AT897" s="245">
        <f>IF(AT$7="Actual","",IFERROR(AT676-AT660,0))</f>
        <v/>
      </c>
      <c r="AU897" s="245">
        <f>IF(AU$7="Actual","",IFERROR(AU676-AU660,0))</f>
        <v/>
      </c>
      <c r="AV897" s="245">
        <f>IF(AV$7="Actual","",IFERROR(AV676-AV660,0))</f>
        <v/>
      </c>
      <c r="AW897" s="245">
        <f>IF(AW$7="Actual","",IFERROR(AW676-AW660,0))</f>
        <v/>
      </c>
      <c r="AX897" s="245">
        <f>IF(AX$7="Actual","",IFERROR(AX676-AX660,0))</f>
        <v/>
      </c>
      <c r="AY897" s="245">
        <f>IF(AY$7="Actual","",IFERROR(AY676-AY660,0))</f>
        <v/>
      </c>
      <c r="AZ897" s="245">
        <f>IF(AZ$7="Actual","",IFERROR(AZ676-AZ660,0))</f>
        <v/>
      </c>
      <c r="BA897" s="245">
        <f>IF(BA$7="Actual","",IFERROR(BA676-BA660,0))</f>
        <v/>
      </c>
      <c r="BB897" s="245">
        <f>IF(BB$7="Actual","",IFERROR(BB676-BB660,0))</f>
        <v/>
      </c>
      <c r="BC897" s="245">
        <f>IF(BC$7="Actual","",IFERROR(BC676-BC660,0))</f>
        <v/>
      </c>
      <c r="BD897" s="245">
        <f>IF(BD$7="Actual","",IFERROR(BD676-BD660,0))</f>
        <v/>
      </c>
      <c r="BE897" s="245">
        <f>IF(BE$7="Actual","",IFERROR(BE676-BE660,0))</f>
        <v/>
      </c>
      <c r="BF897" s="245">
        <f>IF(BF$7="Actual","",IFERROR(BF676-BF660,0))</f>
        <v/>
      </c>
      <c r="BG897" s="245">
        <f>IF(BG$7="Actual","",IFERROR(BG676-BG660,0))</f>
        <v/>
      </c>
      <c r="BH897" s="245">
        <f>IF(BH$7="Actual","",IFERROR(BH676-BH660,0))</f>
        <v/>
      </c>
      <c r="BI897" s="245">
        <f>IF(BI$7="Actual","",IFERROR(BI676-BI660,0))</f>
        <v/>
      </c>
      <c r="BJ897" s="245">
        <f>IF(BJ$7="Actual","",IFERROR(BJ676-BJ660,0))</f>
        <v/>
      </c>
      <c r="BK897" s="245">
        <f>IF(BK$7="Actual","",IFERROR(BK676-BK660,0))</f>
        <v/>
      </c>
      <c r="BL897" s="245">
        <f>IF(BL$7="Actual","",IFERROR(BL676-BL660,0))</f>
        <v/>
      </c>
      <c r="BM897" s="245">
        <f>IF(BM$7="Actual","",IFERROR(BM676-BM660,0))</f>
        <v/>
      </c>
      <c r="BN897" s="245">
        <f>IF(BN$7="Actual","",IFERROR(BN676-BN660,0))</f>
        <v/>
      </c>
      <c r="BO897" s="245">
        <f>IF(BO$7="Actual","",IFERROR(BO676-BO660,0))</f>
        <v/>
      </c>
      <c r="BP897" s="245">
        <f>IF(BP$7="Actual","",IFERROR(BP676-BP660,0))</f>
        <v/>
      </c>
      <c r="BQ897" s="245">
        <f>IF(BQ$7="Actual","",IFERROR(BQ676-BQ660,0))</f>
        <v/>
      </c>
      <c r="BR897" s="245">
        <f>IF(BR$7="Actual","",IFERROR(BR676-BR660,0))</f>
        <v/>
      </c>
      <c r="BS897" s="245">
        <f>IF(BS$7="Actual","",IFERROR(BS676-BS660,0))</f>
        <v/>
      </c>
      <c r="BT897" s="245">
        <f>IF(BT$7="Actual","",IFERROR(BT676-BT660,0))</f>
        <v/>
      </c>
      <c r="BU897" s="245">
        <f>IF(BU$7="Actual","",IFERROR(BU676-BU660,0))</f>
        <v/>
      </c>
      <c r="BV897" s="245">
        <f>IF(BV$7="Actual","",IFERROR(BV676-BV660,0))</f>
        <v/>
      </c>
      <c r="BW897" s="245">
        <f>IF(BW$7="Actual","",IFERROR(BW676-BW660,0))</f>
        <v/>
      </c>
      <c r="BX897" s="245">
        <f>IF(BX$7="Actual","",IFERROR(BX676-BX660,0))</f>
        <v/>
      </c>
      <c r="BY897" s="245">
        <f>IF(BY$7="Actual","",IFERROR(BY676-BY660,0))</f>
        <v/>
      </c>
      <c r="BZ897" s="245">
        <f>IF(BZ$7="Actual","",IFERROR(BZ676-BZ660,0))</f>
        <v/>
      </c>
      <c r="CA897" s="245">
        <f>IF(CA$7="Actual","",IFERROR(CA676-CA660,0))</f>
        <v/>
      </c>
    </row>
    <row r="898" ht="12" customHeight="1" s="227">
      <c r="A898" s="244" t="n"/>
      <c r="B898" s="244" t="n"/>
      <c r="C898" s="244" t="n"/>
      <c r="K898" s="6" t="n"/>
    </row>
    <row r="899" ht="12" customHeight="1" s="227" thickBot="1">
      <c r="A899" s="244" t="n"/>
      <c r="B899" s="244" t="n"/>
      <c r="C899" s="244" t="n"/>
      <c r="H899" s="42" t="inlineStr">
        <is>
          <t>Net Sales Tax (Due) / Recoverable</t>
        </is>
      </c>
      <c r="I899" s="43">
        <f>i_Setup!$M$16</f>
        <v/>
      </c>
      <c r="K899" s="6" t="n"/>
      <c r="M899" s="264">
        <f>SUM(M845:M898)</f>
        <v/>
      </c>
      <c r="N899" s="264">
        <f>SUM(N845:N898)</f>
        <v/>
      </c>
      <c r="O899" s="264">
        <f>SUM(O845:O898)</f>
        <v/>
      </c>
      <c r="P899" s="264">
        <f>SUM(P845:P898)</f>
        <v/>
      </c>
      <c r="Q899" s="264">
        <f>SUM(Q845:Q898)</f>
        <v/>
      </c>
      <c r="T899" s="264">
        <f>SUM(T845:T898)</f>
        <v/>
      </c>
      <c r="U899" s="264">
        <f>SUM(U845:U898)</f>
        <v/>
      </c>
      <c r="V899" s="264">
        <f>SUM(V845:V898)</f>
        <v/>
      </c>
      <c r="W899" s="264">
        <f>SUM(W845:W898)</f>
        <v/>
      </c>
      <c r="X899" s="264">
        <f>SUM(X845:X898)</f>
        <v/>
      </c>
      <c r="Y899" s="264">
        <f>SUM(Y845:Y898)</f>
        <v/>
      </c>
      <c r="Z899" s="264">
        <f>SUM(Z845:Z898)</f>
        <v/>
      </c>
      <c r="AA899" s="264">
        <f>SUM(AA845:AA898)</f>
        <v/>
      </c>
      <c r="AB899" s="264">
        <f>SUM(AB845:AB898)</f>
        <v/>
      </c>
      <c r="AC899" s="264">
        <f>SUM(AC845:AC898)</f>
        <v/>
      </c>
      <c r="AD899" s="264">
        <f>SUM(AD845:AD898)</f>
        <v/>
      </c>
      <c r="AE899" s="264">
        <f>SUM(AE845:AE898)</f>
        <v/>
      </c>
      <c r="AF899" s="264">
        <f>SUM(AF845:AF898)</f>
        <v/>
      </c>
      <c r="AG899" s="264">
        <f>SUM(AG845:AG898)</f>
        <v/>
      </c>
      <c r="AH899" s="264">
        <f>SUM(AH845:AH898)</f>
        <v/>
      </c>
      <c r="AI899" s="264">
        <f>SUM(AI845:AI898)</f>
        <v/>
      </c>
      <c r="AJ899" s="264">
        <f>SUM(AJ845:AJ898)</f>
        <v/>
      </c>
      <c r="AK899" s="264">
        <f>SUM(AK845:AK898)</f>
        <v/>
      </c>
      <c r="AL899" s="264">
        <f>SUM(AL845:AL898)</f>
        <v/>
      </c>
      <c r="AM899" s="264">
        <f>SUM(AM845:AM898)</f>
        <v/>
      </c>
      <c r="AN899" s="264">
        <f>SUM(AN845:AN898)</f>
        <v/>
      </c>
      <c r="AO899" s="264">
        <f>SUM(AO845:AO898)</f>
        <v/>
      </c>
      <c r="AP899" s="264">
        <f>SUM(AP845:AP898)</f>
        <v/>
      </c>
      <c r="AQ899" s="264">
        <f>SUM(AQ845:AQ898)</f>
        <v/>
      </c>
      <c r="AR899" s="264">
        <f>SUM(AR845:AR898)</f>
        <v/>
      </c>
      <c r="AS899" s="264">
        <f>SUM(AS845:AS898)</f>
        <v/>
      </c>
      <c r="AT899" s="264">
        <f>SUM(AT845:AT898)</f>
        <v/>
      </c>
      <c r="AU899" s="264">
        <f>SUM(AU845:AU898)</f>
        <v/>
      </c>
      <c r="AV899" s="264">
        <f>SUM(AV845:AV898)</f>
        <v/>
      </c>
      <c r="AW899" s="264">
        <f>SUM(AW845:AW898)</f>
        <v/>
      </c>
      <c r="AX899" s="264">
        <f>SUM(AX845:AX898)</f>
        <v/>
      </c>
      <c r="AY899" s="264">
        <f>SUM(AY845:AY898)</f>
        <v/>
      </c>
      <c r="AZ899" s="264">
        <f>SUM(AZ845:AZ898)</f>
        <v/>
      </c>
      <c r="BA899" s="264">
        <f>SUM(BA845:BA898)</f>
        <v/>
      </c>
      <c r="BB899" s="264">
        <f>SUM(BB845:BB898)</f>
        <v/>
      </c>
      <c r="BC899" s="264">
        <f>SUM(BC845:BC898)</f>
        <v/>
      </c>
      <c r="BD899" s="264">
        <f>SUM(BD845:BD898)</f>
        <v/>
      </c>
      <c r="BE899" s="264">
        <f>SUM(BE845:BE898)</f>
        <v/>
      </c>
      <c r="BF899" s="264">
        <f>SUM(BF845:BF898)</f>
        <v/>
      </c>
      <c r="BG899" s="264">
        <f>SUM(BG845:BG898)</f>
        <v/>
      </c>
      <c r="BH899" s="264">
        <f>SUM(BH845:BH898)</f>
        <v/>
      </c>
      <c r="BI899" s="264">
        <f>SUM(BI845:BI898)</f>
        <v/>
      </c>
      <c r="BJ899" s="264">
        <f>SUM(BJ845:BJ898)</f>
        <v/>
      </c>
      <c r="BK899" s="264">
        <f>SUM(BK845:BK898)</f>
        <v/>
      </c>
      <c r="BL899" s="264">
        <f>SUM(BL845:BL898)</f>
        <v/>
      </c>
      <c r="BM899" s="264">
        <f>SUM(BM845:BM898)</f>
        <v/>
      </c>
      <c r="BN899" s="264">
        <f>SUM(BN845:BN898)</f>
        <v/>
      </c>
      <c r="BO899" s="264">
        <f>SUM(BO845:BO898)</f>
        <v/>
      </c>
      <c r="BP899" s="264">
        <f>SUM(BP845:BP898)</f>
        <v/>
      </c>
      <c r="BQ899" s="264">
        <f>SUM(BQ845:BQ898)</f>
        <v/>
      </c>
      <c r="BR899" s="264">
        <f>SUM(BR845:BR898)</f>
        <v/>
      </c>
      <c r="BS899" s="264">
        <f>SUM(BS845:BS898)</f>
        <v/>
      </c>
      <c r="BT899" s="264">
        <f>SUM(BT845:BT898)</f>
        <v/>
      </c>
      <c r="BU899" s="264">
        <f>SUM(BU845:BU898)</f>
        <v/>
      </c>
      <c r="BV899" s="264">
        <f>SUM(BV845:BV898)</f>
        <v/>
      </c>
      <c r="BW899" s="264">
        <f>SUM(BW845:BW898)</f>
        <v/>
      </c>
      <c r="BX899" s="264">
        <f>SUM(BX845:BX898)</f>
        <v/>
      </c>
      <c r="BY899" s="264">
        <f>SUM(BY845:BY898)</f>
        <v/>
      </c>
      <c r="BZ899" s="264">
        <f>SUM(BZ845:BZ898)</f>
        <v/>
      </c>
      <c r="CA899" s="264">
        <f>SUM(CA845:CA898)</f>
        <v/>
      </c>
    </row>
    <row r="900" ht="12" customHeight="1" s="227">
      <c r="A900" s="244" t="n"/>
      <c r="B900" s="244" t="n"/>
      <c r="C900" s="244" t="n"/>
      <c r="K900" s="6" t="n"/>
    </row>
    <row r="901" ht="12" customHeight="1" s="227">
      <c r="A901" s="244" t="n"/>
      <c r="B901" s="244" t="n"/>
      <c r="C901" s="244" t="n"/>
      <c r="K901" s="6" t="n"/>
    </row>
    <row r="902" ht="12" customHeight="1" s="227">
      <c r="A902" s="244" t="n"/>
      <c r="B902" s="244" t="n"/>
      <c r="C902" s="244" t="n"/>
      <c r="G902" s="222" t="inlineStr">
        <is>
          <t>Sales Tax Payments / Receipts</t>
        </is>
      </c>
      <c r="K902" s="6" t="n"/>
    </row>
    <row r="903" ht="12" customHeight="1" s="227">
      <c r="A903" s="244" t="n"/>
      <c r="B903" s="244" t="n"/>
      <c r="C903" s="244" t="n"/>
      <c r="K903" s="6" t="n"/>
    </row>
    <row r="904" ht="12" customHeight="1" s="227">
      <c r="A904" s="244" t="n"/>
      <c r="B904" s="244" t="n"/>
      <c r="C904" s="244" t="n"/>
      <c r="H904" s="4" t="inlineStr">
        <is>
          <t>Payment/Refund Flag</t>
        </is>
      </c>
      <c r="I904" s="27" t="inlineStr">
        <is>
          <t>no.</t>
        </is>
      </c>
      <c r="K904" s="6" t="n"/>
      <c r="T904" s="245">
        <f>IF(T$7="Actual","",IF(OR(T5=3,T5=6,T5=9,T5=12),1,0))</f>
        <v/>
      </c>
      <c r="U904" s="245">
        <f>IF(U$7="Actual","",IF(OR(U5=3,U5=6,U5=9,U5=12),1,0))</f>
        <v/>
      </c>
      <c r="V904" s="245">
        <f>IF(V$7="Actual","",IF(OR(V5=3,V5=6,V5=9,V5=12),1,0))</f>
        <v/>
      </c>
      <c r="W904" s="245">
        <f>IF(W$7="Actual","",IF(OR(W5=3,W5=6,W5=9,W5=12),1,0))</f>
        <v/>
      </c>
      <c r="X904" s="245">
        <f>IF(X$7="Actual","",IF(OR(X5=3,X5=6,X5=9,X5=12),1,0))</f>
        <v/>
      </c>
      <c r="Y904" s="245">
        <f>IF(Y$7="Actual","",IF(OR(Y5=3,Y5=6,Y5=9,Y5=12),1,0))</f>
        <v/>
      </c>
      <c r="Z904" s="245">
        <f>IF(Z$7="Actual","",IF(OR(Z5=3,Z5=6,Z5=9,Z5=12),1,0))</f>
        <v/>
      </c>
      <c r="AA904" s="245">
        <f>IF(AA$7="Actual","",IF(OR(AA5=3,AA5=6,AA5=9,AA5=12),1,0))</f>
        <v/>
      </c>
      <c r="AB904" s="245">
        <f>IF(AB$7="Actual","",IF(OR(AB5=3,AB5=6,AB5=9,AB5=12),1,0))</f>
        <v/>
      </c>
      <c r="AC904" s="245">
        <f>IF(AC$7="Actual","",IF(OR(AC5=3,AC5=6,AC5=9,AC5=12),1,0))</f>
        <v/>
      </c>
      <c r="AD904" s="245">
        <f>IF(AD$7="Actual","",IF(OR(AD5=3,AD5=6,AD5=9,AD5=12),1,0))</f>
        <v/>
      </c>
      <c r="AE904" s="245">
        <f>IF(AE$7="Actual","",IF(OR(AE5=3,AE5=6,AE5=9,AE5=12),1,0))</f>
        <v/>
      </c>
      <c r="AF904" s="245">
        <f>IF(AF$7="Actual","",IF(OR(AF5=3,AF5=6,AF5=9,AF5=12),1,0))</f>
        <v/>
      </c>
      <c r="AG904" s="245">
        <f>IF(AG$7="Actual","",IF(OR(AG5=3,AG5=6,AG5=9,AG5=12),1,0))</f>
        <v/>
      </c>
      <c r="AH904" s="245">
        <f>IF(AH$7="Actual","",IF(OR(AH5=3,AH5=6,AH5=9,AH5=12),1,0))</f>
        <v/>
      </c>
      <c r="AI904" s="245">
        <f>IF(AI$7="Actual","",IF(OR(AI5=3,AI5=6,AI5=9,AI5=12),1,0))</f>
        <v/>
      </c>
      <c r="AJ904" s="245">
        <f>IF(AJ$7="Actual","",IF(OR(AJ5=3,AJ5=6,AJ5=9,AJ5=12),1,0))</f>
        <v/>
      </c>
      <c r="AK904" s="245">
        <f>IF(AK$7="Actual","",IF(OR(AK5=3,AK5=6,AK5=9,AK5=12),1,0))</f>
        <v/>
      </c>
      <c r="AL904" s="245">
        <f>IF(AL$7="Actual","",IF(OR(AL5=3,AL5=6,AL5=9,AL5=12),1,0))</f>
        <v/>
      </c>
      <c r="AM904" s="245">
        <f>IF(AM$7="Actual","",IF(OR(AM5=3,AM5=6,AM5=9,AM5=12),1,0))</f>
        <v/>
      </c>
      <c r="AN904" s="245">
        <f>IF(AN$7="Actual","",IF(OR(AN5=3,AN5=6,AN5=9,AN5=12),1,0))</f>
        <v/>
      </c>
      <c r="AO904" s="245">
        <f>IF(AO$7="Actual","",IF(OR(AO5=3,AO5=6,AO5=9,AO5=12),1,0))</f>
        <v/>
      </c>
      <c r="AP904" s="245">
        <f>IF(AP$7="Actual","",IF(OR(AP5=3,AP5=6,AP5=9,AP5=12),1,0))</f>
        <v/>
      </c>
      <c r="AQ904" s="245">
        <f>IF(AQ$7="Actual","",IF(OR(AQ5=3,AQ5=6,AQ5=9,AQ5=12),1,0))</f>
        <v/>
      </c>
      <c r="AR904" s="245">
        <f>IF(AR$7="Actual","",IF(OR(AR5=3,AR5=6,AR5=9,AR5=12),1,0))</f>
        <v/>
      </c>
      <c r="AS904" s="245">
        <f>IF(AS$7="Actual","",IF(OR(AS5=3,AS5=6,AS5=9,AS5=12),1,0))</f>
        <v/>
      </c>
      <c r="AT904" s="245">
        <f>IF(AT$7="Actual","",IF(OR(AT5=3,AT5=6,AT5=9,AT5=12),1,0))</f>
        <v/>
      </c>
      <c r="AU904" s="245">
        <f>IF(AU$7="Actual","",IF(OR(AU5=3,AU5=6,AU5=9,AU5=12),1,0))</f>
        <v/>
      </c>
      <c r="AV904" s="245">
        <f>IF(AV$7="Actual","",IF(OR(AV5=3,AV5=6,AV5=9,AV5=12),1,0))</f>
        <v/>
      </c>
      <c r="AW904" s="245">
        <f>IF(AW$7="Actual","",IF(OR(AW5=3,AW5=6,AW5=9,AW5=12),1,0))</f>
        <v/>
      </c>
      <c r="AX904" s="245">
        <f>IF(AX$7="Actual","",IF(OR(AX5=3,AX5=6,AX5=9,AX5=12),1,0))</f>
        <v/>
      </c>
      <c r="AY904" s="245">
        <f>IF(AY$7="Actual","",IF(OR(AY5=3,AY5=6,AY5=9,AY5=12),1,0))</f>
        <v/>
      </c>
      <c r="AZ904" s="245">
        <f>IF(AZ$7="Actual","",IF(OR(AZ5=3,AZ5=6,AZ5=9,AZ5=12),1,0))</f>
        <v/>
      </c>
      <c r="BA904" s="245">
        <f>IF(BA$7="Actual","",IF(OR(BA5=3,BA5=6,BA5=9,BA5=12),1,0))</f>
        <v/>
      </c>
      <c r="BB904" s="245">
        <f>IF(BB$7="Actual","",IF(OR(BB5=3,BB5=6,BB5=9,BB5=12),1,0))</f>
        <v/>
      </c>
      <c r="BC904" s="245">
        <f>IF(BC$7="Actual","",IF(OR(BC5=3,BC5=6,BC5=9,BC5=12),1,0))</f>
        <v/>
      </c>
      <c r="BD904" s="245">
        <f>IF(BD$7="Actual","",IF(OR(BD5=3,BD5=6,BD5=9,BD5=12),1,0))</f>
        <v/>
      </c>
      <c r="BE904" s="245">
        <f>IF(BE$7="Actual","",IF(OR(BE5=3,BE5=6,BE5=9,BE5=12),1,0))</f>
        <v/>
      </c>
      <c r="BF904" s="245">
        <f>IF(BF$7="Actual","",IF(OR(BF5=3,BF5=6,BF5=9,BF5=12),1,0))</f>
        <v/>
      </c>
      <c r="BG904" s="245">
        <f>IF(BG$7="Actual","",IF(OR(BG5=3,BG5=6,BG5=9,BG5=12),1,0))</f>
        <v/>
      </c>
      <c r="BH904" s="245">
        <f>IF(BH$7="Actual","",IF(OR(BH5=3,BH5=6,BH5=9,BH5=12),1,0))</f>
        <v/>
      </c>
      <c r="BI904" s="245">
        <f>IF(BI$7="Actual","",IF(OR(BI5=3,BI5=6,BI5=9,BI5=12),1,0))</f>
        <v/>
      </c>
      <c r="BJ904" s="245">
        <f>IF(BJ$7="Actual","",IF(OR(BJ5=3,BJ5=6,BJ5=9,BJ5=12),1,0))</f>
        <v/>
      </c>
      <c r="BK904" s="245">
        <f>IF(BK$7="Actual","",IF(OR(BK5=3,BK5=6,BK5=9,BK5=12),1,0))</f>
        <v/>
      </c>
      <c r="BL904" s="245">
        <f>IF(BL$7="Actual","",IF(OR(BL5=3,BL5=6,BL5=9,BL5=12),1,0))</f>
        <v/>
      </c>
      <c r="BM904" s="245">
        <f>IF(BM$7="Actual","",IF(OR(BM5=3,BM5=6,BM5=9,BM5=12),1,0))</f>
        <v/>
      </c>
      <c r="BN904" s="245">
        <f>IF(BN$7="Actual","",IF(OR(BN5=3,BN5=6,BN5=9,BN5=12),1,0))</f>
        <v/>
      </c>
      <c r="BO904" s="245">
        <f>IF(BO$7="Actual","",IF(OR(BO5=3,BO5=6,BO5=9,BO5=12),1,0))</f>
        <v/>
      </c>
      <c r="BP904" s="245">
        <f>IF(BP$7="Actual","",IF(OR(BP5=3,BP5=6,BP5=9,BP5=12),1,0))</f>
        <v/>
      </c>
      <c r="BQ904" s="245">
        <f>IF(BQ$7="Actual","",IF(OR(BQ5=3,BQ5=6,BQ5=9,BQ5=12),1,0))</f>
        <v/>
      </c>
      <c r="BR904" s="245">
        <f>IF(BR$7="Actual","",IF(OR(BR5=3,BR5=6,BR5=9,BR5=12),1,0))</f>
        <v/>
      </c>
      <c r="BS904" s="245">
        <f>IF(BS$7="Actual","",IF(OR(BS5=3,BS5=6,BS5=9,BS5=12),1,0))</f>
        <v/>
      </c>
      <c r="BT904" s="245">
        <f>IF(BT$7="Actual","",IF(OR(BT5=3,BT5=6,BT5=9,BT5=12),1,0))</f>
        <v/>
      </c>
      <c r="BU904" s="245">
        <f>IF(BU$7="Actual","",IF(OR(BU5=3,BU5=6,BU5=9,BU5=12),1,0))</f>
        <v/>
      </c>
      <c r="BV904" s="245">
        <f>IF(BV$7="Actual","",IF(OR(BV5=3,BV5=6,BV5=9,BV5=12),1,0))</f>
        <v/>
      </c>
      <c r="BW904" s="245">
        <f>IF(BW$7="Actual","",IF(OR(BW5=3,BW5=6,BW5=9,BW5=12),1,0))</f>
        <v/>
      </c>
      <c r="BX904" s="245">
        <f>IF(BX$7="Actual","",IF(OR(BX5=3,BX5=6,BX5=9,BX5=12),1,0))</f>
        <v/>
      </c>
      <c r="BY904" s="245">
        <f>IF(BY$7="Actual","",IF(OR(BY5=3,BY5=6,BY5=9,BY5=12),1,0))</f>
        <v/>
      </c>
      <c r="BZ904" s="245">
        <f>IF(BZ$7="Actual","",IF(OR(BZ5=3,BZ5=6,BZ5=9,BZ5=12),1,0))</f>
        <v/>
      </c>
      <c r="CA904" s="245">
        <f>IF(CA$7="Actual","",IF(OR(CA5=3,CA5=6,CA5=9,CA5=12),1,0))</f>
        <v/>
      </c>
    </row>
    <row r="905" ht="12" customHeight="1" s="227">
      <c r="A905" s="244" t="n"/>
      <c r="B905" s="244" t="n"/>
      <c r="C905" s="244" t="n"/>
      <c r="K905" s="6" t="n"/>
    </row>
    <row r="906" ht="12" customHeight="1" s="227">
      <c r="A906" s="244" t="n"/>
      <c r="B906" s="244" t="n"/>
      <c r="C906" s="244" t="n"/>
      <c r="H906" s="4" t="inlineStr">
        <is>
          <t>Sales tax (due) / recoverable</t>
        </is>
      </c>
      <c r="I906" s="27">
        <f>i_Setup!$M$16</f>
        <v/>
      </c>
      <c r="K906" s="6" t="n"/>
      <c r="T906" s="245">
        <f>IF(T$7="Actual","",IF(T904=1,SUM(R899:T899),0))</f>
        <v/>
      </c>
      <c r="U906" s="245">
        <f>IF(U$7="Actual","",IF(U904=1,SUM(S899:U899),0))</f>
        <v/>
      </c>
      <c r="V906" s="245">
        <f>IF(V$7="Actual","",IF(V904=1,SUM(T899:V899),0))</f>
        <v/>
      </c>
      <c r="W906" s="245">
        <f>IF(W$7="Actual","",IF(W904=1,SUM(U899:W899),0))</f>
        <v/>
      </c>
      <c r="X906" s="245">
        <f>IF(X$7="Actual","",IF(X904=1,SUM(V899:X899),0))</f>
        <v/>
      </c>
      <c r="Y906" s="245">
        <f>IF(Y$7="Actual","",IF(Y904=1,SUM(W899:Y899),0))</f>
        <v/>
      </c>
      <c r="Z906" s="245">
        <f>IF(Z$7="Actual","",IF(Z904=1,SUM(X899:Z899),0))</f>
        <v/>
      </c>
      <c r="AA906" s="245">
        <f>IF(AA$7="Actual","",IF(AA904=1,SUM(Y899:AA899),0))</f>
        <v/>
      </c>
      <c r="AB906" s="245">
        <f>IF(AB$7="Actual","",IF(AB904=1,SUM(Z899:AB899),0))</f>
        <v/>
      </c>
      <c r="AC906" s="245">
        <f>IF(AC$7="Actual","",IF(AC904=1,SUM(AA899:AC899),0))</f>
        <v/>
      </c>
      <c r="AD906" s="245">
        <f>IF(AD$7="Actual","",IF(AD904=1,SUM(AB899:AD899),0))</f>
        <v/>
      </c>
      <c r="AE906" s="245">
        <f>IF(AE$7="Actual","",IF(AE904=1,SUM(AC899:AE899),0))</f>
        <v/>
      </c>
      <c r="AF906" s="245">
        <f>IF(AF$7="Actual","",IF(AF904=1,SUM(AD899:AF899),0))</f>
        <v/>
      </c>
      <c r="AG906" s="245">
        <f>IF(AG$7="Actual","",IF(AG904=1,SUM(AE899:AG899),0))</f>
        <v/>
      </c>
      <c r="AH906" s="245">
        <f>IF(AH$7="Actual","",IF(AH904=1,SUM(AF899:AH899),0))</f>
        <v/>
      </c>
      <c r="AI906" s="245">
        <f>IF(AI$7="Actual","",IF(AI904=1,SUM(AG899:AI899),0))</f>
        <v/>
      </c>
      <c r="AJ906" s="245">
        <f>IF(AJ$7="Actual","",IF(AJ904=1,SUM(AH899:AJ899),0))</f>
        <v/>
      </c>
      <c r="AK906" s="245">
        <f>IF(AK$7="Actual","",IF(AK904=1,SUM(AI899:AK899),0))</f>
        <v/>
      </c>
      <c r="AL906" s="245">
        <f>IF(AL$7="Actual","",IF(AL904=1,SUM(AJ899:AL899),0))</f>
        <v/>
      </c>
      <c r="AM906" s="245">
        <f>IF(AM$7="Actual","",IF(AM904=1,SUM(AK899:AM899),0))</f>
        <v/>
      </c>
      <c r="AN906" s="245">
        <f>IF(AN$7="Actual","",IF(AN904=1,SUM(AL899:AN899),0))</f>
        <v/>
      </c>
      <c r="AO906" s="245">
        <f>IF(AO$7="Actual","",IF(AO904=1,SUM(AM899:AO899),0))</f>
        <v/>
      </c>
      <c r="AP906" s="245">
        <f>IF(AP$7="Actual","",IF(AP904=1,SUM(AN899:AP899),0))</f>
        <v/>
      </c>
      <c r="AQ906" s="245">
        <f>IF(AQ$7="Actual","",IF(AQ904=1,SUM(AO899:AQ899),0))</f>
        <v/>
      </c>
      <c r="AR906" s="245">
        <f>IF(AR$7="Actual","",IF(AR904=1,SUM(AP899:AR899),0))</f>
        <v/>
      </c>
      <c r="AS906" s="245">
        <f>IF(AS$7="Actual","",IF(AS904=1,SUM(AQ899:AS899),0))</f>
        <v/>
      </c>
      <c r="AT906" s="245">
        <f>IF(AT$7="Actual","",IF(AT904=1,SUM(AR899:AT899),0))</f>
        <v/>
      </c>
      <c r="AU906" s="245">
        <f>IF(AU$7="Actual","",IF(AU904=1,SUM(AS899:AU899),0))</f>
        <v/>
      </c>
      <c r="AV906" s="245">
        <f>IF(AV$7="Actual","",IF(AV904=1,SUM(AT899:AV899),0))</f>
        <v/>
      </c>
      <c r="AW906" s="245">
        <f>IF(AW$7="Actual","",IF(AW904=1,SUM(AU899:AW899),0))</f>
        <v/>
      </c>
      <c r="AX906" s="245">
        <f>IF(AX$7="Actual","",IF(AX904=1,SUM(AV899:AX899),0))</f>
        <v/>
      </c>
      <c r="AY906" s="245">
        <f>IF(AY$7="Actual","",IF(AY904=1,SUM(AW899:AY899),0))</f>
        <v/>
      </c>
      <c r="AZ906" s="245">
        <f>IF(AZ$7="Actual","",IF(AZ904=1,SUM(AX899:AZ899),0))</f>
        <v/>
      </c>
      <c r="BA906" s="245">
        <f>IF(BA$7="Actual","",IF(BA904=1,SUM(AY899:BA899),0))</f>
        <v/>
      </c>
      <c r="BB906" s="245">
        <f>IF(BB$7="Actual","",IF(BB904=1,SUM(AZ899:BB899),0))</f>
        <v/>
      </c>
      <c r="BC906" s="245">
        <f>IF(BC$7="Actual","",IF(BC904=1,SUM(BA899:BC899),0))</f>
        <v/>
      </c>
      <c r="BD906" s="245">
        <f>IF(BD$7="Actual","",IF(BD904=1,SUM(BB899:BD899),0))</f>
        <v/>
      </c>
      <c r="BE906" s="245">
        <f>IF(BE$7="Actual","",IF(BE904=1,SUM(BC899:BE899),0))</f>
        <v/>
      </c>
      <c r="BF906" s="245">
        <f>IF(BF$7="Actual","",IF(BF904=1,SUM(BD899:BF899),0))</f>
        <v/>
      </c>
      <c r="BG906" s="245">
        <f>IF(BG$7="Actual","",IF(BG904=1,SUM(BE899:BG899),0))</f>
        <v/>
      </c>
      <c r="BH906" s="245">
        <f>IF(BH$7="Actual","",IF(BH904=1,SUM(BF899:BH899),0))</f>
        <v/>
      </c>
      <c r="BI906" s="245">
        <f>IF(BI$7="Actual","",IF(BI904=1,SUM(BG899:BI899),0))</f>
        <v/>
      </c>
      <c r="BJ906" s="245">
        <f>IF(BJ$7="Actual","",IF(BJ904=1,SUM(BH899:BJ899),0))</f>
        <v/>
      </c>
      <c r="BK906" s="245">
        <f>IF(BK$7="Actual","",IF(BK904=1,SUM(BI899:BK899),0))</f>
        <v/>
      </c>
      <c r="BL906" s="245">
        <f>IF(BL$7="Actual","",IF(BL904=1,SUM(BJ899:BL899),0))</f>
        <v/>
      </c>
      <c r="BM906" s="245">
        <f>IF(BM$7="Actual","",IF(BM904=1,SUM(BK899:BM899),0))</f>
        <v/>
      </c>
      <c r="BN906" s="245">
        <f>IF(BN$7="Actual","",IF(BN904=1,SUM(BL899:BN899),0))</f>
        <v/>
      </c>
      <c r="BO906" s="245">
        <f>IF(BO$7="Actual","",IF(BO904=1,SUM(BM899:BO899),0))</f>
        <v/>
      </c>
      <c r="BP906" s="245">
        <f>IF(BP$7="Actual","",IF(BP904=1,SUM(BN899:BP899),0))</f>
        <v/>
      </c>
      <c r="BQ906" s="245">
        <f>IF(BQ$7="Actual","",IF(BQ904=1,SUM(BO899:BQ899),0))</f>
        <v/>
      </c>
      <c r="BR906" s="245">
        <f>IF(BR$7="Actual","",IF(BR904=1,SUM(BP899:BR899),0))</f>
        <v/>
      </c>
      <c r="BS906" s="245">
        <f>IF(BS$7="Actual","",IF(BS904=1,SUM(BQ899:BS899),0))</f>
        <v/>
      </c>
      <c r="BT906" s="245">
        <f>IF(BT$7="Actual","",IF(BT904=1,SUM(BR899:BT899),0))</f>
        <v/>
      </c>
      <c r="BU906" s="245">
        <f>IF(BU$7="Actual","",IF(BU904=1,SUM(BS899:BU899),0))</f>
        <v/>
      </c>
      <c r="BV906" s="245">
        <f>IF(BV$7="Actual","",IF(BV904=1,SUM(BT899:BV899),0))</f>
        <v/>
      </c>
      <c r="BW906" s="245">
        <f>IF(BW$7="Actual","",IF(BW904=1,SUM(BU899:BW899),0))</f>
        <v/>
      </c>
      <c r="BX906" s="245">
        <f>IF(BX$7="Actual","",IF(BX904=1,SUM(BV899:BX899),0))</f>
        <v/>
      </c>
      <c r="BY906" s="245">
        <f>IF(BY$7="Actual","",IF(BY904=1,SUM(BW899:BY899),0))</f>
        <v/>
      </c>
      <c r="BZ906" s="245">
        <f>IF(BZ$7="Actual","",IF(BZ904=1,SUM(BX899:BZ899),0))</f>
        <v/>
      </c>
      <c r="CA906" s="245">
        <f>IF(CA$7="Actual","",IF(CA904=1,SUM(BY899:CA899),0))</f>
        <v/>
      </c>
    </row>
    <row r="907" ht="12" customHeight="1" s="227">
      <c r="A907" s="244" t="n"/>
      <c r="B907" s="244" t="n"/>
      <c r="C907" s="244" t="n"/>
      <c r="K907" s="6" t="n"/>
    </row>
    <row r="908" ht="12" customHeight="1" s="227">
      <c r="A908" s="244" t="n"/>
      <c r="B908" s="244" t="n"/>
      <c r="C908" s="244" t="n"/>
      <c r="H908" s="4" t="inlineStr">
        <is>
          <t>Sales Tax Payment / (refund) made</t>
        </is>
      </c>
      <c r="I908" s="27">
        <f>i_Setup!$M$16</f>
        <v/>
      </c>
      <c r="K908" s="259">
        <f>i_Assumptions!K598</f>
        <v/>
      </c>
      <c r="T908" s="245">
        <f>IF(T$7="Actual","",OFFSET(T906,,-$K908,,))</f>
        <v/>
      </c>
      <c r="U908" s="245">
        <f>IF(U$7="Actual","",OFFSET(U906,,-$K908,,))</f>
        <v/>
      </c>
      <c r="V908" s="245">
        <f>IF(V$7="Actual","",OFFSET(V906,,-$K908,,))</f>
        <v/>
      </c>
      <c r="W908" s="245">
        <f>IF(W$7="Actual","",OFFSET(W906,,-$K908,,))</f>
        <v/>
      </c>
      <c r="X908" s="245">
        <f>IF(X$7="Actual","",OFFSET(X906,,-$K908,,))</f>
        <v/>
      </c>
      <c r="Y908" s="245">
        <f>IF(Y$7="Actual","",OFFSET(Y906,,-$K908,,))</f>
        <v/>
      </c>
      <c r="Z908" s="245">
        <f>IF(Z$7="Actual","",OFFSET(Z906,,-$K908,,))</f>
        <v/>
      </c>
      <c r="AA908" s="245">
        <f>IF(AA$7="Actual","",OFFSET(AA906,,-$K908,,))</f>
        <v/>
      </c>
      <c r="AB908" s="245">
        <f>IF(AB$7="Actual","",OFFSET(AB906,,-$K908,,))</f>
        <v/>
      </c>
      <c r="AC908" s="245">
        <f>IF(AC$7="Actual","",OFFSET(AC906,,-$K908,,))</f>
        <v/>
      </c>
      <c r="AD908" s="245">
        <f>IF(AD$7="Actual","",OFFSET(AD906,,-$K908,,))</f>
        <v/>
      </c>
      <c r="AE908" s="245">
        <f>IF(AE$7="Actual","",OFFSET(AE906,,-$K908,,))</f>
        <v/>
      </c>
      <c r="AF908" s="245">
        <f>IF(AF$7="Actual","",OFFSET(AF906,,-$K908,,))</f>
        <v/>
      </c>
      <c r="AG908" s="245">
        <f>IF(AG$7="Actual","",OFFSET(AG906,,-$K908,,))</f>
        <v/>
      </c>
      <c r="AH908" s="245">
        <f>IF(AH$7="Actual","",OFFSET(AH906,,-$K908,,))</f>
        <v/>
      </c>
      <c r="AI908" s="245">
        <f>IF(AI$7="Actual","",OFFSET(AI906,,-$K908,,))</f>
        <v/>
      </c>
      <c r="AJ908" s="245">
        <f>IF(AJ$7="Actual","",OFFSET(AJ906,,-$K908,,))</f>
        <v/>
      </c>
      <c r="AK908" s="245">
        <f>IF(AK$7="Actual","",OFFSET(AK906,,-$K908,,))</f>
        <v/>
      </c>
      <c r="AL908" s="245">
        <f>IF(AL$7="Actual","",OFFSET(AL906,,-$K908,,))</f>
        <v/>
      </c>
      <c r="AM908" s="245">
        <f>IF(AM$7="Actual","",OFFSET(AM906,,-$K908,,))</f>
        <v/>
      </c>
      <c r="AN908" s="245">
        <f>IF(AN$7="Actual","",OFFSET(AN906,,-$K908,,))</f>
        <v/>
      </c>
      <c r="AO908" s="245">
        <f>IF(AO$7="Actual","",OFFSET(AO906,,-$K908,,))</f>
        <v/>
      </c>
      <c r="AP908" s="245">
        <f>IF(AP$7="Actual","",OFFSET(AP906,,-$K908,,))</f>
        <v/>
      </c>
      <c r="AQ908" s="245">
        <f>IF(AQ$7="Actual","",OFFSET(AQ906,,-$K908,,))</f>
        <v/>
      </c>
      <c r="AR908" s="245">
        <f>IF(AR$7="Actual","",OFFSET(AR906,,-$K908,,))</f>
        <v/>
      </c>
      <c r="AS908" s="245">
        <f>IF(AS$7="Actual","",OFFSET(AS906,,-$K908,,))</f>
        <v/>
      </c>
      <c r="AT908" s="245">
        <f>IF(AT$7="Actual","",OFFSET(AT906,,-$K908,,))</f>
        <v/>
      </c>
      <c r="AU908" s="245">
        <f>IF(AU$7="Actual","",OFFSET(AU906,,-$K908,,))</f>
        <v/>
      </c>
      <c r="AV908" s="245">
        <f>IF(AV$7="Actual","",OFFSET(AV906,,-$K908,,))</f>
        <v/>
      </c>
      <c r="AW908" s="245">
        <f>IF(AW$7="Actual","",OFFSET(AW906,,-$K908,,))</f>
        <v/>
      </c>
      <c r="AX908" s="245">
        <f>IF(AX$7="Actual","",OFFSET(AX906,,-$K908,,))</f>
        <v/>
      </c>
      <c r="AY908" s="245">
        <f>IF(AY$7="Actual","",OFFSET(AY906,,-$K908,,))</f>
        <v/>
      </c>
      <c r="AZ908" s="245">
        <f>IF(AZ$7="Actual","",OFFSET(AZ906,,-$K908,,))</f>
        <v/>
      </c>
      <c r="BA908" s="245">
        <f>IF(BA$7="Actual","",OFFSET(BA906,,-$K908,,))</f>
        <v/>
      </c>
      <c r="BB908" s="245">
        <f>IF(BB$7="Actual","",OFFSET(BB906,,-$K908,,))</f>
        <v/>
      </c>
      <c r="BC908" s="245">
        <f>IF(BC$7="Actual","",OFFSET(BC906,,-$K908,,))</f>
        <v/>
      </c>
      <c r="BD908" s="245">
        <f>IF(BD$7="Actual","",OFFSET(BD906,,-$K908,,))</f>
        <v/>
      </c>
      <c r="BE908" s="245">
        <f>IF(BE$7="Actual","",OFFSET(BE906,,-$K908,,))</f>
        <v/>
      </c>
      <c r="BF908" s="245">
        <f>IF(BF$7="Actual","",OFFSET(BF906,,-$K908,,))</f>
        <v/>
      </c>
      <c r="BG908" s="245">
        <f>IF(BG$7="Actual","",OFFSET(BG906,,-$K908,,))</f>
        <v/>
      </c>
      <c r="BH908" s="245">
        <f>IF(BH$7="Actual","",OFFSET(BH906,,-$K908,,))</f>
        <v/>
      </c>
      <c r="BI908" s="245">
        <f>IF(BI$7="Actual","",OFFSET(BI906,,-$K908,,))</f>
        <v/>
      </c>
      <c r="BJ908" s="245">
        <f>IF(BJ$7="Actual","",OFFSET(BJ906,,-$K908,,))</f>
        <v/>
      </c>
      <c r="BK908" s="245">
        <f>IF(BK$7="Actual","",OFFSET(BK906,,-$K908,,))</f>
        <v/>
      </c>
      <c r="BL908" s="245">
        <f>IF(BL$7="Actual","",OFFSET(BL906,,-$K908,,))</f>
        <v/>
      </c>
      <c r="BM908" s="245">
        <f>IF(BM$7="Actual","",OFFSET(BM906,,-$K908,,))</f>
        <v/>
      </c>
      <c r="BN908" s="245">
        <f>IF(BN$7="Actual","",OFFSET(BN906,,-$K908,,))</f>
        <v/>
      </c>
      <c r="BO908" s="245">
        <f>IF(BO$7="Actual","",OFFSET(BO906,,-$K908,,))</f>
        <v/>
      </c>
      <c r="BP908" s="245">
        <f>IF(BP$7="Actual","",OFFSET(BP906,,-$K908,,))</f>
        <v/>
      </c>
      <c r="BQ908" s="245">
        <f>IF(BQ$7="Actual","",OFFSET(BQ906,,-$K908,,))</f>
        <v/>
      </c>
      <c r="BR908" s="245">
        <f>IF(BR$7="Actual","",OFFSET(BR906,,-$K908,,))</f>
        <v/>
      </c>
      <c r="BS908" s="245">
        <f>IF(BS$7="Actual","",OFFSET(BS906,,-$K908,,))</f>
        <v/>
      </c>
      <c r="BT908" s="245">
        <f>IF(BT$7="Actual","",OFFSET(BT906,,-$K908,,))</f>
        <v/>
      </c>
      <c r="BU908" s="245">
        <f>IF(BU$7="Actual","",OFFSET(BU906,,-$K908,,))</f>
        <v/>
      </c>
      <c r="BV908" s="245">
        <f>IF(BV$7="Actual","",OFFSET(BV906,,-$K908,,))</f>
        <v/>
      </c>
      <c r="BW908" s="245">
        <f>IF(BW$7="Actual","",OFFSET(BW906,,-$K908,,))</f>
        <v/>
      </c>
      <c r="BX908" s="245">
        <f>IF(BX$7="Actual","",OFFSET(BX906,,-$K908,,))</f>
        <v/>
      </c>
      <c r="BY908" s="245">
        <f>IF(BY$7="Actual","",OFFSET(BY906,,-$K908,,))</f>
        <v/>
      </c>
      <c r="BZ908" s="245">
        <f>IF(BZ$7="Actual","",OFFSET(BZ906,,-$K908,,))</f>
        <v/>
      </c>
      <c r="CA908" s="245">
        <f>IF(CA$7="Actual","",OFFSET(CA906,,-$K908,,))</f>
        <v/>
      </c>
    </row>
    <row r="909" ht="12" customHeight="1" s="227">
      <c r="A909" s="244" t="n"/>
      <c r="B909" s="244" t="n"/>
      <c r="C909" s="244" t="n"/>
      <c r="K909" s="6" t="n"/>
    </row>
    <row r="910" ht="12" customHeight="1" s="227">
      <c r="A910" s="244" t="n"/>
      <c r="B910" s="244" t="n"/>
      <c r="C910" s="244" t="n"/>
      <c r="K910" s="6" t="n"/>
    </row>
    <row r="911" ht="12" customHeight="1" s="227">
      <c r="A911" s="244" t="n"/>
      <c r="B911" s="244" t="n"/>
      <c r="C911" s="244" t="n"/>
      <c r="G911" s="222" t="inlineStr">
        <is>
          <t>Sales Tax Control Account</t>
        </is>
      </c>
      <c r="K911" s="6" t="n"/>
    </row>
    <row r="912" ht="12" customHeight="1" s="227">
      <c r="A912" s="244" t="n"/>
      <c r="B912" s="244" t="n"/>
      <c r="C912" s="244" t="n"/>
      <c r="K912" s="6" t="n"/>
    </row>
    <row r="913" ht="12" customHeight="1" s="227">
      <c r="A913" s="244" t="n"/>
      <c r="B913" s="244" t="n"/>
      <c r="C913" s="244" t="n"/>
      <c r="H913" s="0" t="inlineStr">
        <is>
          <t>Opening Balance</t>
        </is>
      </c>
      <c r="I913" s="27">
        <f>i_Setup!$M$16</f>
        <v/>
      </c>
      <c r="K913" s="259">
        <f>i_Actuals!K137</f>
        <v/>
      </c>
      <c r="T913" s="245">
        <f>IF(T$2=i_Setup!$U$26,-i_Actuals!T137,0)</f>
        <v/>
      </c>
      <c r="U913" s="245">
        <f>IF(U$2=i_Setup!$U$26,-i_Actuals!U137,0)</f>
        <v/>
      </c>
      <c r="V913" s="245">
        <f>IF(V$2=i_Setup!$U$26,-i_Actuals!V137,0)</f>
        <v/>
      </c>
      <c r="W913" s="245">
        <f>IF(W$2=i_Setup!$U$26,-i_Actuals!W137,0)</f>
        <v/>
      </c>
      <c r="X913" s="245">
        <f>IF(X$2=i_Setup!$U$26,-i_Actuals!X137,0)</f>
        <v/>
      </c>
      <c r="Y913" s="245">
        <f>IF(Y$2=i_Setup!$U$26,-i_Actuals!Y137,0)</f>
        <v/>
      </c>
      <c r="Z913" s="245">
        <f>IF(Z$2=i_Setup!$U$26,-i_Actuals!Z137,0)</f>
        <v/>
      </c>
      <c r="AA913" s="245">
        <f>IF(AA$2=i_Setup!$U$26,-i_Actuals!AA137,0)</f>
        <v/>
      </c>
      <c r="AB913" s="245">
        <f>IF(AB$2=i_Setup!$U$26,-i_Actuals!AB137,0)</f>
        <v/>
      </c>
      <c r="AC913" s="245">
        <f>IF(AC$2=i_Setup!$U$26,-i_Actuals!AC137,0)</f>
        <v/>
      </c>
      <c r="AD913" s="245">
        <f>IF(AD$2=i_Setup!$U$26,-i_Actuals!AD137,0)</f>
        <v/>
      </c>
      <c r="AE913" s="245">
        <f>IF(AE$2=i_Setup!$U$26,-i_Actuals!AE137,0)</f>
        <v/>
      </c>
      <c r="AF913" s="245">
        <f>IF(AF$2=i_Setup!$U$26,-i_Actuals!AF137,0)</f>
        <v/>
      </c>
      <c r="AG913" s="245">
        <f>IF(AG$2=i_Setup!$U$26,-i_Actuals!AG137,0)</f>
        <v/>
      </c>
      <c r="AH913" s="245">
        <f>IF(AH$2=i_Setup!$U$26,-i_Actuals!AH137,0)</f>
        <v/>
      </c>
      <c r="AI913" s="245">
        <f>IF(AI$2=i_Setup!$U$26,-i_Actuals!AI137,0)</f>
        <v/>
      </c>
      <c r="AJ913" s="245">
        <f>IF(AJ$2=i_Setup!$U$26,-i_Actuals!AJ137,0)</f>
        <v/>
      </c>
      <c r="AK913" s="245">
        <f>IF(AK$2=i_Setup!$U$26,-i_Actuals!AK137,0)</f>
        <v/>
      </c>
      <c r="AL913" s="245">
        <f>IF(AL$2=i_Setup!$U$26,-i_Actuals!AL137,0)</f>
        <v/>
      </c>
      <c r="AM913" s="245">
        <f>IF(AM$2=i_Setup!$U$26,-i_Actuals!AM137,0)</f>
        <v/>
      </c>
      <c r="AN913" s="245">
        <f>IF(AN$2=i_Setup!$U$26,-i_Actuals!AN137,0)</f>
        <v/>
      </c>
      <c r="AO913" s="245">
        <f>IF(AO$2=i_Setup!$U$26,-i_Actuals!AO137,0)</f>
        <v/>
      </c>
      <c r="AP913" s="245">
        <f>IF(AP$2=i_Setup!$U$26,-i_Actuals!AP137,0)</f>
        <v/>
      </c>
      <c r="AQ913" s="245">
        <f>IF(AQ$2=i_Setup!$U$26,-i_Actuals!AQ137,0)</f>
        <v/>
      </c>
      <c r="AR913" s="245">
        <f>IF(AR$2=i_Setup!$U$26,-i_Actuals!AR137,0)</f>
        <v/>
      </c>
      <c r="AS913" s="245">
        <f>IF(AS$2=i_Setup!$U$26,-i_Actuals!AS137,0)</f>
        <v/>
      </c>
      <c r="AT913" s="245">
        <f>IF(AT$2=i_Setup!$U$26,-i_Actuals!AT137,0)</f>
        <v/>
      </c>
      <c r="AU913" s="245">
        <f>IF(AU$2=i_Setup!$U$26,-i_Actuals!AU137,0)</f>
        <v/>
      </c>
      <c r="AV913" s="245">
        <f>IF(AV$2=i_Setup!$U$26,-i_Actuals!AV137,0)</f>
        <v/>
      </c>
      <c r="AW913" s="245">
        <f>IF(AW$2=i_Setup!$U$26,-i_Actuals!AW137,0)</f>
        <v/>
      </c>
      <c r="AX913" s="245">
        <f>IF(AX$2=i_Setup!$U$26,-i_Actuals!AX137,0)</f>
        <v/>
      </c>
      <c r="AY913" s="245">
        <f>IF(AY$2=i_Setup!$U$26,-i_Actuals!AY137,0)</f>
        <v/>
      </c>
      <c r="AZ913" s="245">
        <f>IF(AZ$2=i_Setup!$U$26,-i_Actuals!AZ137,0)</f>
        <v/>
      </c>
      <c r="BA913" s="245">
        <f>IF(BA$2=i_Setup!$U$26,-i_Actuals!BA137,0)</f>
        <v/>
      </c>
      <c r="BB913" s="245">
        <f>IF(BB$2=i_Setup!$U$26,-i_Actuals!BB137,0)</f>
        <v/>
      </c>
      <c r="BC913" s="245">
        <f>IF(BC$2=i_Setup!$U$26,-i_Actuals!BC137,0)</f>
        <v/>
      </c>
      <c r="BD913" s="245">
        <f>IF(BD$2=i_Setup!$U$26,-i_Actuals!BD137,0)</f>
        <v/>
      </c>
      <c r="BE913" s="245">
        <f>IF(BE$2=i_Setup!$U$26,-i_Actuals!BE137,0)</f>
        <v/>
      </c>
      <c r="BF913" s="245">
        <f>IF(BF$2=i_Setup!$U$26,-i_Actuals!BF137,0)</f>
        <v/>
      </c>
      <c r="BG913" s="245">
        <f>IF(BG$2=i_Setup!$U$26,-i_Actuals!BG137,0)</f>
        <v/>
      </c>
      <c r="BH913" s="245">
        <f>IF(BH$2=i_Setup!$U$26,-i_Actuals!BH137,0)</f>
        <v/>
      </c>
      <c r="BI913" s="245">
        <f>IF(BI$2=i_Setup!$U$26,-i_Actuals!BI137,0)</f>
        <v/>
      </c>
      <c r="BJ913" s="245">
        <f>IF(BJ$2=i_Setup!$U$26,-i_Actuals!BJ137,0)</f>
        <v/>
      </c>
      <c r="BK913" s="245">
        <f>IF(BK$2=i_Setup!$U$26,-i_Actuals!BK137,0)</f>
        <v/>
      </c>
      <c r="BL913" s="245">
        <f>IF(BL$2=i_Setup!$U$26,-i_Actuals!BL137,0)</f>
        <v/>
      </c>
      <c r="BM913" s="245">
        <f>IF(BM$2=i_Setup!$U$26,-i_Actuals!BM137,0)</f>
        <v/>
      </c>
      <c r="BN913" s="245">
        <f>IF(BN$2=i_Setup!$U$26,-i_Actuals!BN137,0)</f>
        <v/>
      </c>
      <c r="BO913" s="245">
        <f>IF(BO$2=i_Setup!$U$26,-i_Actuals!BO137,0)</f>
        <v/>
      </c>
      <c r="BP913" s="245">
        <f>IF(BP$2=i_Setup!$U$26,-i_Actuals!BP137,0)</f>
        <v/>
      </c>
      <c r="BQ913" s="245">
        <f>IF(BQ$2=i_Setup!$U$26,-i_Actuals!BQ137,0)</f>
        <v/>
      </c>
      <c r="BR913" s="245">
        <f>IF(BR$2=i_Setup!$U$26,-i_Actuals!BR137,0)</f>
        <v/>
      </c>
      <c r="BS913" s="245">
        <f>IF(BS$2=i_Setup!$U$26,-i_Actuals!BS137,0)</f>
        <v/>
      </c>
      <c r="BT913" s="245">
        <f>IF(BT$2=i_Setup!$U$26,-i_Actuals!BT137,0)</f>
        <v/>
      </c>
      <c r="BU913" s="245">
        <f>IF(BU$2=i_Setup!$U$26,-i_Actuals!BU137,0)</f>
        <v/>
      </c>
      <c r="BV913" s="245">
        <f>IF(BV$2=i_Setup!$U$26,-i_Actuals!BV137,0)</f>
        <v/>
      </c>
      <c r="BW913" s="245">
        <f>IF(BW$2=i_Setup!$U$26,-i_Actuals!BW137,0)</f>
        <v/>
      </c>
      <c r="BX913" s="245">
        <f>IF(BX$2=i_Setup!$U$26,-i_Actuals!BX137,0)</f>
        <v/>
      </c>
      <c r="BY913" s="245">
        <f>IF(BY$2=i_Setup!$U$26,-i_Actuals!BY137,0)</f>
        <v/>
      </c>
      <c r="BZ913" s="245">
        <f>IF(BZ$2=i_Setup!$U$26,-i_Actuals!BZ137,0)</f>
        <v/>
      </c>
      <c r="CA913" s="245">
        <f>IF(CA$2=i_Setup!$U$26,-i_Actuals!CA137,0)</f>
        <v/>
      </c>
    </row>
    <row r="914" ht="12" customHeight="1" s="227">
      <c r="A914" s="244" t="n"/>
      <c r="B914" s="244" t="n"/>
      <c r="C914" s="244" t="n"/>
      <c r="K914" s="6" t="n"/>
    </row>
    <row r="915" ht="12" customHeight="1" s="227">
      <c r="A915" s="244" t="n"/>
      <c r="B915" s="244" t="n"/>
      <c r="C915" s="244" t="n"/>
      <c r="H915" s="0" t="inlineStr">
        <is>
          <t>Opening Balance</t>
        </is>
      </c>
      <c r="I915" s="27">
        <f>i_Setup!$M$16</f>
        <v/>
      </c>
      <c r="K915" s="6" t="n"/>
      <c r="M915" s="245">
        <f>SUMIF($T$1:$CA$1,M$1,$T915:$CA915)</f>
        <v/>
      </c>
      <c r="N915" s="245">
        <f>SUMIF($T$1:$CA$1,N$1,$T915:$CA915)</f>
        <v/>
      </c>
      <c r="O915" s="245">
        <f>SUMIF($T$1:$CA$1,O$1,$T915:$CA915)</f>
        <v/>
      </c>
      <c r="P915" s="245">
        <f>SUMIF($T$1:$CA$1,P$1,$T915:$CA915)</f>
        <v/>
      </c>
      <c r="Q915" s="245">
        <f>SUMIF($T$1:$CA$1,Q$1,$T915:$CA915)</f>
        <v/>
      </c>
      <c r="T915" s="245">
        <f>S919</f>
        <v/>
      </c>
      <c r="U915" s="245">
        <f>T919</f>
        <v/>
      </c>
      <c r="V915" s="245">
        <f>U919</f>
        <v/>
      </c>
      <c r="W915" s="245">
        <f>V919</f>
        <v/>
      </c>
      <c r="X915" s="245">
        <f>W919</f>
        <v/>
      </c>
      <c r="Y915" s="245">
        <f>X919</f>
        <v/>
      </c>
      <c r="Z915" s="245">
        <f>Y919</f>
        <v/>
      </c>
      <c r="AA915" s="245">
        <f>Z919</f>
        <v/>
      </c>
      <c r="AB915" s="245">
        <f>AA919</f>
        <v/>
      </c>
      <c r="AC915" s="245">
        <f>AB919</f>
        <v/>
      </c>
      <c r="AD915" s="245">
        <f>AC919</f>
        <v/>
      </c>
      <c r="AE915" s="245">
        <f>AD919</f>
        <v/>
      </c>
      <c r="AF915" s="245">
        <f>AE919</f>
        <v/>
      </c>
      <c r="AG915" s="245">
        <f>AF919</f>
        <v/>
      </c>
      <c r="AH915" s="245">
        <f>AG919</f>
        <v/>
      </c>
      <c r="AI915" s="245">
        <f>AH919</f>
        <v/>
      </c>
      <c r="AJ915" s="245">
        <f>AI919</f>
        <v/>
      </c>
      <c r="AK915" s="245">
        <f>AJ919</f>
        <v/>
      </c>
      <c r="AL915" s="245">
        <f>AK919</f>
        <v/>
      </c>
      <c r="AM915" s="245">
        <f>AL919</f>
        <v/>
      </c>
      <c r="AN915" s="245">
        <f>AM919</f>
        <v/>
      </c>
      <c r="AO915" s="245">
        <f>AN919</f>
        <v/>
      </c>
      <c r="AP915" s="245">
        <f>AO919</f>
        <v/>
      </c>
      <c r="AQ915" s="245">
        <f>AP919</f>
        <v/>
      </c>
      <c r="AR915" s="245">
        <f>AQ919</f>
        <v/>
      </c>
      <c r="AS915" s="245">
        <f>AR919</f>
        <v/>
      </c>
      <c r="AT915" s="245">
        <f>AS919</f>
        <v/>
      </c>
      <c r="AU915" s="245">
        <f>AT919</f>
        <v/>
      </c>
      <c r="AV915" s="245">
        <f>AU919</f>
        <v/>
      </c>
      <c r="AW915" s="245">
        <f>AV919</f>
        <v/>
      </c>
      <c r="AX915" s="245">
        <f>AW919</f>
        <v/>
      </c>
      <c r="AY915" s="245">
        <f>AX919</f>
        <v/>
      </c>
      <c r="AZ915" s="245">
        <f>AY919</f>
        <v/>
      </c>
      <c r="BA915" s="245">
        <f>AZ919</f>
        <v/>
      </c>
      <c r="BB915" s="245">
        <f>BA919</f>
        <v/>
      </c>
      <c r="BC915" s="245">
        <f>BB919</f>
        <v/>
      </c>
      <c r="BD915" s="245">
        <f>BC919</f>
        <v/>
      </c>
      <c r="BE915" s="245">
        <f>BD919</f>
        <v/>
      </c>
      <c r="BF915" s="245">
        <f>BE919</f>
        <v/>
      </c>
      <c r="BG915" s="245">
        <f>BF919</f>
        <v/>
      </c>
      <c r="BH915" s="245">
        <f>BG919</f>
        <v/>
      </c>
      <c r="BI915" s="245">
        <f>BH919</f>
        <v/>
      </c>
      <c r="BJ915" s="245">
        <f>BI919</f>
        <v/>
      </c>
      <c r="BK915" s="245">
        <f>BJ919</f>
        <v/>
      </c>
      <c r="BL915" s="245">
        <f>BK919</f>
        <v/>
      </c>
      <c r="BM915" s="245">
        <f>BL919</f>
        <v/>
      </c>
      <c r="BN915" s="245">
        <f>BM919</f>
        <v/>
      </c>
      <c r="BO915" s="245">
        <f>BN919</f>
        <v/>
      </c>
      <c r="BP915" s="245">
        <f>BO919</f>
        <v/>
      </c>
      <c r="BQ915" s="245">
        <f>BP919</f>
        <v/>
      </c>
      <c r="BR915" s="245">
        <f>BQ919</f>
        <v/>
      </c>
      <c r="BS915" s="245">
        <f>BR919</f>
        <v/>
      </c>
      <c r="BT915" s="245">
        <f>BS919</f>
        <v/>
      </c>
      <c r="BU915" s="245">
        <f>BT919</f>
        <v/>
      </c>
      <c r="BV915" s="245">
        <f>BU919</f>
        <v/>
      </c>
      <c r="BW915" s="245">
        <f>BV919</f>
        <v/>
      </c>
      <c r="BX915" s="245">
        <f>BW919</f>
        <v/>
      </c>
      <c r="BY915" s="245">
        <f>BX919</f>
        <v/>
      </c>
      <c r="BZ915" s="245">
        <f>BY919</f>
        <v/>
      </c>
      <c r="CA915" s="245">
        <f>BZ919</f>
        <v/>
      </c>
    </row>
    <row r="916" ht="12" customHeight="1" s="227">
      <c r="A916" s="244" t="n"/>
      <c r="B916" s="244" t="n"/>
      <c r="C916" s="244" t="n"/>
      <c r="H916" s="0" t="inlineStr">
        <is>
          <t>Sales Tax on Revenues &amp; Costs</t>
        </is>
      </c>
      <c r="I916" s="27">
        <f>i_Setup!$M$16</f>
        <v/>
      </c>
      <c r="K916" s="6" t="n"/>
      <c r="M916" s="245">
        <f>SUMIF($T$4:$CA$4,M$4,$T916:$CA916)</f>
        <v/>
      </c>
      <c r="N916" s="245">
        <f>SUMIF($T$4:$CA$4,N$4,$T916:$CA916)</f>
        <v/>
      </c>
      <c r="O916" s="245">
        <f>SUMIF($T$4:$CA$4,O$4,$T916:$CA916)</f>
        <v/>
      </c>
      <c r="P916" s="245">
        <f>SUMIF($T$4:$CA$4,P$4,$T916:$CA916)</f>
        <v/>
      </c>
      <c r="Q916" s="245">
        <f>SUMIF($T$4:$CA$4,Q$4,$T916:$CA916)</f>
        <v/>
      </c>
      <c r="T916" s="245">
        <f>IF(T$7="Actual","",T899)</f>
        <v/>
      </c>
      <c r="U916" s="245">
        <f>IF(U$7="Actual","",U899)</f>
        <v/>
      </c>
      <c r="V916" s="245">
        <f>IF(V$7="Actual","",V899)</f>
        <v/>
      </c>
      <c r="W916" s="245">
        <f>IF(W$7="Actual","",W899)</f>
        <v/>
      </c>
      <c r="X916" s="245">
        <f>IF(X$7="Actual","",X899)</f>
        <v/>
      </c>
      <c r="Y916" s="245">
        <f>IF(Y$7="Actual","",Y899)</f>
        <v/>
      </c>
      <c r="Z916" s="245">
        <f>IF(Z$7="Actual","",Z899)</f>
        <v/>
      </c>
      <c r="AA916" s="245">
        <f>IF(AA$7="Actual","",AA899)</f>
        <v/>
      </c>
      <c r="AB916" s="245">
        <f>IF(AB$7="Actual","",AB899)</f>
        <v/>
      </c>
      <c r="AC916" s="245">
        <f>IF(AC$7="Actual","",AC899)</f>
        <v/>
      </c>
      <c r="AD916" s="245">
        <f>IF(AD$7="Actual","",AD899)</f>
        <v/>
      </c>
      <c r="AE916" s="245">
        <f>IF(AE$7="Actual","",AE899)</f>
        <v/>
      </c>
      <c r="AF916" s="245">
        <f>IF(AF$7="Actual","",AF899)</f>
        <v/>
      </c>
      <c r="AG916" s="245">
        <f>IF(AG$7="Actual","",AG899)</f>
        <v/>
      </c>
      <c r="AH916" s="245">
        <f>IF(AH$7="Actual","",AH899)</f>
        <v/>
      </c>
      <c r="AI916" s="245">
        <f>IF(AI$7="Actual","",AI899)</f>
        <v/>
      </c>
      <c r="AJ916" s="245">
        <f>IF(AJ$7="Actual","",AJ899)</f>
        <v/>
      </c>
      <c r="AK916" s="245">
        <f>IF(AK$7="Actual","",AK899)</f>
        <v/>
      </c>
      <c r="AL916" s="245">
        <f>IF(AL$7="Actual","",AL899)</f>
        <v/>
      </c>
      <c r="AM916" s="245">
        <f>IF(AM$7="Actual","",AM899)</f>
        <v/>
      </c>
      <c r="AN916" s="245">
        <f>IF(AN$7="Actual","",AN899)</f>
        <v/>
      </c>
      <c r="AO916" s="245">
        <f>IF(AO$7="Actual","",AO899)</f>
        <v/>
      </c>
      <c r="AP916" s="245">
        <f>IF(AP$7="Actual","",AP899)</f>
        <v/>
      </c>
      <c r="AQ916" s="245">
        <f>IF(AQ$7="Actual","",AQ899)</f>
        <v/>
      </c>
      <c r="AR916" s="245">
        <f>IF(AR$7="Actual","",AR899)</f>
        <v/>
      </c>
      <c r="AS916" s="245">
        <f>IF(AS$7="Actual","",AS899)</f>
        <v/>
      </c>
      <c r="AT916" s="245">
        <f>IF(AT$7="Actual","",AT899)</f>
        <v/>
      </c>
      <c r="AU916" s="245">
        <f>IF(AU$7="Actual","",AU899)</f>
        <v/>
      </c>
      <c r="AV916" s="245">
        <f>IF(AV$7="Actual","",AV899)</f>
        <v/>
      </c>
      <c r="AW916" s="245">
        <f>IF(AW$7="Actual","",AW899)</f>
        <v/>
      </c>
      <c r="AX916" s="245">
        <f>IF(AX$7="Actual","",AX899)</f>
        <v/>
      </c>
      <c r="AY916" s="245">
        <f>IF(AY$7="Actual","",AY899)</f>
        <v/>
      </c>
      <c r="AZ916" s="245">
        <f>IF(AZ$7="Actual","",AZ899)</f>
        <v/>
      </c>
      <c r="BA916" s="245">
        <f>IF(BA$7="Actual","",BA899)</f>
        <v/>
      </c>
      <c r="BB916" s="245">
        <f>IF(BB$7="Actual","",BB899)</f>
        <v/>
      </c>
      <c r="BC916" s="245">
        <f>IF(BC$7="Actual","",BC899)</f>
        <v/>
      </c>
      <c r="BD916" s="245">
        <f>IF(BD$7="Actual","",BD899)</f>
        <v/>
      </c>
      <c r="BE916" s="245">
        <f>IF(BE$7="Actual","",BE899)</f>
        <v/>
      </c>
      <c r="BF916" s="245">
        <f>IF(BF$7="Actual","",BF899)</f>
        <v/>
      </c>
      <c r="BG916" s="245">
        <f>IF(BG$7="Actual","",BG899)</f>
        <v/>
      </c>
      <c r="BH916" s="245">
        <f>IF(BH$7="Actual","",BH899)</f>
        <v/>
      </c>
      <c r="BI916" s="245">
        <f>IF(BI$7="Actual","",BI899)</f>
        <v/>
      </c>
      <c r="BJ916" s="245">
        <f>IF(BJ$7="Actual","",BJ899)</f>
        <v/>
      </c>
      <c r="BK916" s="245">
        <f>IF(BK$7="Actual","",BK899)</f>
        <v/>
      </c>
      <c r="BL916" s="245">
        <f>IF(BL$7="Actual","",BL899)</f>
        <v/>
      </c>
      <c r="BM916" s="245">
        <f>IF(BM$7="Actual","",BM899)</f>
        <v/>
      </c>
      <c r="BN916" s="245">
        <f>IF(BN$7="Actual","",BN899)</f>
        <v/>
      </c>
      <c r="BO916" s="245">
        <f>IF(BO$7="Actual","",BO899)</f>
        <v/>
      </c>
      <c r="BP916" s="245">
        <f>IF(BP$7="Actual","",BP899)</f>
        <v/>
      </c>
      <c r="BQ916" s="245">
        <f>IF(BQ$7="Actual","",BQ899)</f>
        <v/>
      </c>
      <c r="BR916" s="245">
        <f>IF(BR$7="Actual","",BR899)</f>
        <v/>
      </c>
      <c r="BS916" s="245">
        <f>IF(BS$7="Actual","",BS899)</f>
        <v/>
      </c>
      <c r="BT916" s="245">
        <f>IF(BT$7="Actual","",BT899)</f>
        <v/>
      </c>
      <c r="BU916" s="245">
        <f>IF(BU$7="Actual","",BU899)</f>
        <v/>
      </c>
      <c r="BV916" s="245">
        <f>IF(BV$7="Actual","",BV899)</f>
        <v/>
      </c>
      <c r="BW916" s="245">
        <f>IF(BW$7="Actual","",BW899)</f>
        <v/>
      </c>
      <c r="BX916" s="245">
        <f>IF(BX$7="Actual","",BX899)</f>
        <v/>
      </c>
      <c r="BY916" s="245">
        <f>IF(BY$7="Actual","",BY899)</f>
        <v/>
      </c>
      <c r="BZ916" s="245">
        <f>IF(BZ$7="Actual","",BZ899)</f>
        <v/>
      </c>
      <c r="CA916" s="245">
        <f>IF(CA$7="Actual","",CA899)</f>
        <v/>
      </c>
    </row>
    <row r="917" ht="12" customHeight="1" s="227">
      <c r="A917" s="244" t="n"/>
      <c r="B917" s="244" t="n"/>
      <c r="C917" s="244" t="n"/>
      <c r="H917" s="0" t="inlineStr">
        <is>
          <t>Payments/(Receipts) - Opening Bal</t>
        </is>
      </c>
      <c r="I917" s="27">
        <f>i_Setup!$M$16</f>
        <v/>
      </c>
      <c r="K917" s="6" t="n"/>
      <c r="M917" s="245">
        <f>SUMIF($T$4:$CA$4,M$4,$T917:$CA917)</f>
        <v/>
      </c>
      <c r="N917" s="245">
        <f>SUMIF($T$4:$CA$4,N$4,$T917:$CA917)</f>
        <v/>
      </c>
      <c r="O917" s="245">
        <f>SUMIF($T$4:$CA$4,O$4,$T917:$CA917)</f>
        <v/>
      </c>
      <c r="P917" s="245">
        <f>SUMIF($T$4:$CA$4,P$4,$T917:$CA917)</f>
        <v/>
      </c>
      <c r="Q917" s="245">
        <f>SUMIF($T$4:$CA$4,Q$4,$T917:$CA917)</f>
        <v/>
      </c>
      <c r="T917" s="245">
        <f>IF(T$7="Actual","",OFFSET(T913,,-$K913,,))</f>
        <v/>
      </c>
      <c r="U917" s="245">
        <f>IF(U$7="Actual","",OFFSET(U913,,-$K913,,))</f>
        <v/>
      </c>
      <c r="V917" s="245">
        <f>IF(V$7="Actual","",OFFSET(V913,,-$K913,,))</f>
        <v/>
      </c>
      <c r="W917" s="245">
        <f>IF(W$7="Actual","",OFFSET(W913,,-$K913,,))</f>
        <v/>
      </c>
      <c r="X917" s="245">
        <f>IF(X$7="Actual","",OFFSET(X913,,-$K913,,))</f>
        <v/>
      </c>
      <c r="Y917" s="245">
        <f>IF(Y$7="Actual","",OFFSET(Y913,,-$K913,,))</f>
        <v/>
      </c>
      <c r="Z917" s="245">
        <f>IF(Z$7="Actual","",OFFSET(Z913,,-$K913,,))</f>
        <v/>
      </c>
      <c r="AA917" s="245">
        <f>IF(AA$7="Actual","",OFFSET(AA913,,-$K913,,))</f>
        <v/>
      </c>
      <c r="AB917" s="245">
        <f>IF(AB$7="Actual","",OFFSET(AB913,,-$K913,,))</f>
        <v/>
      </c>
      <c r="AC917" s="245">
        <f>IF(AC$7="Actual","",OFFSET(AC913,,-$K913,,))</f>
        <v/>
      </c>
      <c r="AD917" s="245">
        <f>IF(AD$7="Actual","",OFFSET(AD913,,-$K913,,))</f>
        <v/>
      </c>
      <c r="AE917" s="245">
        <f>IF(AE$7="Actual","",OFFSET(AE913,,-$K913,,))</f>
        <v/>
      </c>
      <c r="AF917" s="245">
        <f>IF(AF$7="Actual","",OFFSET(AF913,,-$K913,,))</f>
        <v/>
      </c>
      <c r="AG917" s="245">
        <f>IF(AG$7="Actual","",OFFSET(AG913,,-$K913,,))</f>
        <v/>
      </c>
      <c r="AH917" s="245">
        <f>IF(AH$7="Actual","",OFFSET(AH913,,-$K913,,))</f>
        <v/>
      </c>
      <c r="AI917" s="245">
        <f>IF(AI$7="Actual","",OFFSET(AI913,,-$K913,,))</f>
        <v/>
      </c>
      <c r="AJ917" s="245">
        <f>IF(AJ$7="Actual","",OFFSET(AJ913,,-$K913,,))</f>
        <v/>
      </c>
      <c r="AK917" s="245">
        <f>IF(AK$7="Actual","",OFFSET(AK913,,-$K913,,))</f>
        <v/>
      </c>
      <c r="AL917" s="245">
        <f>IF(AL$7="Actual","",OFFSET(AL913,,-$K913,,))</f>
        <v/>
      </c>
      <c r="AM917" s="245">
        <f>IF(AM$7="Actual","",OFFSET(AM913,,-$K913,,))</f>
        <v/>
      </c>
      <c r="AN917" s="245">
        <f>IF(AN$7="Actual","",OFFSET(AN913,,-$K913,,))</f>
        <v/>
      </c>
      <c r="AO917" s="245">
        <f>IF(AO$7="Actual","",OFFSET(AO913,,-$K913,,))</f>
        <v/>
      </c>
      <c r="AP917" s="245">
        <f>IF(AP$7="Actual","",OFFSET(AP913,,-$K913,,))</f>
        <v/>
      </c>
      <c r="AQ917" s="245">
        <f>IF(AQ$7="Actual","",OFFSET(AQ913,,-$K913,,))</f>
        <v/>
      </c>
      <c r="AR917" s="245">
        <f>IF(AR$7="Actual","",OFFSET(AR913,,-$K913,,))</f>
        <v/>
      </c>
      <c r="AS917" s="245">
        <f>IF(AS$7="Actual","",OFFSET(AS913,,-$K913,,))</f>
        <v/>
      </c>
      <c r="AT917" s="245">
        <f>IF(AT$7="Actual","",OFFSET(AT913,,-$K913,,))</f>
        <v/>
      </c>
      <c r="AU917" s="245">
        <f>IF(AU$7="Actual","",OFFSET(AU913,,-$K913,,))</f>
        <v/>
      </c>
      <c r="AV917" s="245">
        <f>IF(AV$7="Actual","",OFFSET(AV913,,-$K913,,))</f>
        <v/>
      </c>
      <c r="AW917" s="245">
        <f>IF(AW$7="Actual","",OFFSET(AW913,,-$K913,,))</f>
        <v/>
      </c>
      <c r="AX917" s="245">
        <f>IF(AX$7="Actual","",OFFSET(AX913,,-$K913,,))</f>
        <v/>
      </c>
      <c r="AY917" s="245">
        <f>IF(AY$7="Actual","",OFFSET(AY913,,-$K913,,))</f>
        <v/>
      </c>
      <c r="AZ917" s="245">
        <f>IF(AZ$7="Actual","",OFFSET(AZ913,,-$K913,,))</f>
        <v/>
      </c>
      <c r="BA917" s="245">
        <f>IF(BA$7="Actual","",OFFSET(BA913,,-$K913,,))</f>
        <v/>
      </c>
      <c r="BB917" s="245">
        <f>IF(BB$7="Actual","",OFFSET(BB913,,-$K913,,))</f>
        <v/>
      </c>
      <c r="BC917" s="245">
        <f>IF(BC$7="Actual","",OFFSET(BC913,,-$K913,,))</f>
        <v/>
      </c>
      <c r="BD917" s="245">
        <f>IF(BD$7="Actual","",OFFSET(BD913,,-$K913,,))</f>
        <v/>
      </c>
      <c r="BE917" s="245">
        <f>IF(BE$7="Actual","",OFFSET(BE913,,-$K913,,))</f>
        <v/>
      </c>
      <c r="BF917" s="245">
        <f>IF(BF$7="Actual","",OFFSET(BF913,,-$K913,,))</f>
        <v/>
      </c>
      <c r="BG917" s="245">
        <f>IF(BG$7="Actual","",OFFSET(BG913,,-$K913,,))</f>
        <v/>
      </c>
      <c r="BH917" s="245">
        <f>IF(BH$7="Actual","",OFFSET(BH913,,-$K913,,))</f>
        <v/>
      </c>
      <c r="BI917" s="245">
        <f>IF(BI$7="Actual","",OFFSET(BI913,,-$K913,,))</f>
        <v/>
      </c>
      <c r="BJ917" s="245">
        <f>IF(BJ$7="Actual","",OFFSET(BJ913,,-$K913,,))</f>
        <v/>
      </c>
      <c r="BK917" s="245">
        <f>IF(BK$7="Actual","",OFFSET(BK913,,-$K913,,))</f>
        <v/>
      </c>
      <c r="BL917" s="245">
        <f>IF(BL$7="Actual","",OFFSET(BL913,,-$K913,,))</f>
        <v/>
      </c>
      <c r="BM917" s="245">
        <f>IF(BM$7="Actual","",OFFSET(BM913,,-$K913,,))</f>
        <v/>
      </c>
      <c r="BN917" s="245">
        <f>IF(BN$7="Actual","",OFFSET(BN913,,-$K913,,))</f>
        <v/>
      </c>
      <c r="BO917" s="245">
        <f>IF(BO$7="Actual","",OFFSET(BO913,,-$K913,,))</f>
        <v/>
      </c>
      <c r="BP917" s="245">
        <f>IF(BP$7="Actual","",OFFSET(BP913,,-$K913,,))</f>
        <v/>
      </c>
      <c r="BQ917" s="245">
        <f>IF(BQ$7="Actual","",OFFSET(BQ913,,-$K913,,))</f>
        <v/>
      </c>
      <c r="BR917" s="245">
        <f>IF(BR$7="Actual","",OFFSET(BR913,,-$K913,,))</f>
        <v/>
      </c>
      <c r="BS917" s="245">
        <f>IF(BS$7="Actual","",OFFSET(BS913,,-$K913,,))</f>
        <v/>
      </c>
      <c r="BT917" s="245">
        <f>IF(BT$7="Actual","",OFFSET(BT913,,-$K913,,))</f>
        <v/>
      </c>
      <c r="BU917" s="245">
        <f>IF(BU$7="Actual","",OFFSET(BU913,,-$K913,,))</f>
        <v/>
      </c>
      <c r="BV917" s="245">
        <f>IF(BV$7="Actual","",OFFSET(BV913,,-$K913,,))</f>
        <v/>
      </c>
      <c r="BW917" s="245">
        <f>IF(BW$7="Actual","",OFFSET(BW913,,-$K913,,))</f>
        <v/>
      </c>
      <c r="BX917" s="245">
        <f>IF(BX$7="Actual","",OFFSET(BX913,,-$K913,,))</f>
        <v/>
      </c>
      <c r="BY917" s="245">
        <f>IF(BY$7="Actual","",OFFSET(BY913,,-$K913,,))</f>
        <v/>
      </c>
      <c r="BZ917" s="245">
        <f>IF(BZ$7="Actual","",OFFSET(BZ913,,-$K913,,))</f>
        <v/>
      </c>
      <c r="CA917" s="245">
        <f>IF(CA$7="Actual","",OFFSET(CA913,,-$K913,,))</f>
        <v/>
      </c>
    </row>
    <row r="918" ht="12" customHeight="1" s="227">
      <c r="A918" s="244" t="n"/>
      <c r="B918" s="244" t="n"/>
      <c r="C918" s="244" t="n"/>
      <c r="H918" s="0" t="inlineStr">
        <is>
          <t>Payments/(Receipts) - Forecast</t>
        </is>
      </c>
      <c r="I918" s="27">
        <f>i_Setup!$M$16</f>
        <v/>
      </c>
      <c r="K918" s="6" t="n"/>
      <c r="M918" s="245">
        <f>SUMIF($T$4:$CA$4,M$4,$T918:$CA918)</f>
        <v/>
      </c>
      <c r="N918" s="245">
        <f>SUMIF($T$4:$CA$4,N$4,$T918:$CA918)</f>
        <v/>
      </c>
      <c r="O918" s="245">
        <f>SUMIF($T$4:$CA$4,O$4,$T918:$CA918)</f>
        <v/>
      </c>
      <c r="P918" s="245">
        <f>SUMIF($T$4:$CA$4,P$4,$T918:$CA918)</f>
        <v/>
      </c>
      <c r="Q918" s="245">
        <f>SUMIF($T$4:$CA$4,Q$4,$T918:$CA918)</f>
        <v/>
      </c>
      <c r="T918" s="245">
        <f>IF(T$7="Actual","",IFERROR(-T908,0))</f>
        <v/>
      </c>
      <c r="U918" s="245">
        <f>IF(U$7="Actual","",IFERROR(-U908,0))</f>
        <v/>
      </c>
      <c r="V918" s="245">
        <f>IF(V$7="Actual","",IFERROR(-V908,0))</f>
        <v/>
      </c>
      <c r="W918" s="245">
        <f>IF(W$7="Actual","",IFERROR(-W908,0))</f>
        <v/>
      </c>
      <c r="X918" s="245">
        <f>IF(X$7="Actual","",IFERROR(-X908,0))</f>
        <v/>
      </c>
      <c r="Y918" s="245">
        <f>IF(Y$7="Actual","",IFERROR(-Y908,0))</f>
        <v/>
      </c>
      <c r="Z918" s="245">
        <f>IF(Z$7="Actual","",IFERROR(-Z908,0))</f>
        <v/>
      </c>
      <c r="AA918" s="245">
        <f>IF(AA$7="Actual","",IFERROR(-AA908,0))</f>
        <v/>
      </c>
      <c r="AB918" s="245">
        <f>IF(AB$7="Actual","",IFERROR(-AB908,0))</f>
        <v/>
      </c>
      <c r="AC918" s="245">
        <f>IF(AC$7="Actual","",IFERROR(-AC908,0))</f>
        <v/>
      </c>
      <c r="AD918" s="245">
        <f>IF(AD$7="Actual","",IFERROR(-AD908,0))</f>
        <v/>
      </c>
      <c r="AE918" s="245">
        <f>IF(AE$7="Actual","",IFERROR(-AE908,0))</f>
        <v/>
      </c>
      <c r="AF918" s="245">
        <f>IF(AF$7="Actual","",IFERROR(-AF908,0))</f>
        <v/>
      </c>
      <c r="AG918" s="245">
        <f>IF(AG$7="Actual","",IFERROR(-AG908,0))</f>
        <v/>
      </c>
      <c r="AH918" s="245">
        <f>IF(AH$7="Actual","",IFERROR(-AH908,0))</f>
        <v/>
      </c>
      <c r="AI918" s="245">
        <f>IF(AI$7="Actual","",IFERROR(-AI908,0))</f>
        <v/>
      </c>
      <c r="AJ918" s="245">
        <f>IF(AJ$7="Actual","",IFERROR(-AJ908,0))</f>
        <v/>
      </c>
      <c r="AK918" s="245">
        <f>IF(AK$7="Actual","",IFERROR(-AK908,0))</f>
        <v/>
      </c>
      <c r="AL918" s="245">
        <f>IF(AL$7="Actual","",IFERROR(-AL908,0))</f>
        <v/>
      </c>
      <c r="AM918" s="245">
        <f>IF(AM$7="Actual","",IFERROR(-AM908,0))</f>
        <v/>
      </c>
      <c r="AN918" s="245">
        <f>IF(AN$7="Actual","",IFERROR(-AN908,0))</f>
        <v/>
      </c>
      <c r="AO918" s="245">
        <f>IF(AO$7="Actual","",IFERROR(-AO908,0))</f>
        <v/>
      </c>
      <c r="AP918" s="245">
        <f>IF(AP$7="Actual","",IFERROR(-AP908,0))</f>
        <v/>
      </c>
      <c r="AQ918" s="245">
        <f>IF(AQ$7="Actual","",IFERROR(-AQ908,0))</f>
        <v/>
      </c>
      <c r="AR918" s="245">
        <f>IF(AR$7="Actual","",IFERROR(-AR908,0))</f>
        <v/>
      </c>
      <c r="AS918" s="245">
        <f>IF(AS$7="Actual","",IFERROR(-AS908,0))</f>
        <v/>
      </c>
      <c r="AT918" s="245">
        <f>IF(AT$7="Actual","",IFERROR(-AT908,0))</f>
        <v/>
      </c>
      <c r="AU918" s="245">
        <f>IF(AU$7="Actual","",IFERROR(-AU908,0))</f>
        <v/>
      </c>
      <c r="AV918" s="245">
        <f>IF(AV$7="Actual","",IFERROR(-AV908,0))</f>
        <v/>
      </c>
      <c r="AW918" s="245">
        <f>IF(AW$7="Actual","",IFERROR(-AW908,0))</f>
        <v/>
      </c>
      <c r="AX918" s="245">
        <f>IF(AX$7="Actual","",IFERROR(-AX908,0))</f>
        <v/>
      </c>
      <c r="AY918" s="245">
        <f>IF(AY$7="Actual","",IFERROR(-AY908,0))</f>
        <v/>
      </c>
      <c r="AZ918" s="245">
        <f>IF(AZ$7="Actual","",IFERROR(-AZ908,0))</f>
        <v/>
      </c>
      <c r="BA918" s="245">
        <f>IF(BA$7="Actual","",IFERROR(-BA908,0))</f>
        <v/>
      </c>
      <c r="BB918" s="245">
        <f>IF(BB$7="Actual","",IFERROR(-BB908,0))</f>
        <v/>
      </c>
      <c r="BC918" s="245">
        <f>IF(BC$7="Actual","",IFERROR(-BC908,0))</f>
        <v/>
      </c>
      <c r="BD918" s="245">
        <f>IF(BD$7="Actual","",IFERROR(-BD908,0))</f>
        <v/>
      </c>
      <c r="BE918" s="245">
        <f>IF(BE$7="Actual","",IFERROR(-BE908,0))</f>
        <v/>
      </c>
      <c r="BF918" s="245">
        <f>IF(BF$7="Actual","",IFERROR(-BF908,0))</f>
        <v/>
      </c>
      <c r="BG918" s="245">
        <f>IF(BG$7="Actual","",IFERROR(-BG908,0))</f>
        <v/>
      </c>
      <c r="BH918" s="245">
        <f>IF(BH$7="Actual","",IFERROR(-BH908,0))</f>
        <v/>
      </c>
      <c r="BI918" s="245">
        <f>IF(BI$7="Actual","",IFERROR(-BI908,0))</f>
        <v/>
      </c>
      <c r="BJ918" s="245">
        <f>IF(BJ$7="Actual","",IFERROR(-BJ908,0))</f>
        <v/>
      </c>
      <c r="BK918" s="245">
        <f>IF(BK$7="Actual","",IFERROR(-BK908,0))</f>
        <v/>
      </c>
      <c r="BL918" s="245">
        <f>IF(BL$7="Actual","",IFERROR(-BL908,0))</f>
        <v/>
      </c>
      <c r="BM918" s="245">
        <f>IF(BM$7="Actual","",IFERROR(-BM908,0))</f>
        <v/>
      </c>
      <c r="BN918" s="245">
        <f>IF(BN$7="Actual","",IFERROR(-BN908,0))</f>
        <v/>
      </c>
      <c r="BO918" s="245">
        <f>IF(BO$7="Actual","",IFERROR(-BO908,0))</f>
        <v/>
      </c>
      <c r="BP918" s="245">
        <f>IF(BP$7="Actual","",IFERROR(-BP908,0))</f>
        <v/>
      </c>
      <c r="BQ918" s="245">
        <f>IF(BQ$7="Actual","",IFERROR(-BQ908,0))</f>
        <v/>
      </c>
      <c r="BR918" s="245">
        <f>IF(BR$7="Actual","",IFERROR(-BR908,0))</f>
        <v/>
      </c>
      <c r="BS918" s="245">
        <f>IF(BS$7="Actual","",IFERROR(-BS908,0))</f>
        <v/>
      </c>
      <c r="BT918" s="245">
        <f>IF(BT$7="Actual","",IFERROR(-BT908,0))</f>
        <v/>
      </c>
      <c r="BU918" s="245">
        <f>IF(BU$7="Actual","",IFERROR(-BU908,0))</f>
        <v/>
      </c>
      <c r="BV918" s="245">
        <f>IF(BV$7="Actual","",IFERROR(-BV908,0))</f>
        <v/>
      </c>
      <c r="BW918" s="245">
        <f>IF(BW$7="Actual","",IFERROR(-BW908,0))</f>
        <v/>
      </c>
      <c r="BX918" s="245">
        <f>IF(BX$7="Actual","",IFERROR(-BX908,0))</f>
        <v/>
      </c>
      <c r="BY918" s="245">
        <f>IF(BY$7="Actual","",IFERROR(-BY908,0))</f>
        <v/>
      </c>
      <c r="BZ918" s="245">
        <f>IF(BZ$7="Actual","",IFERROR(-BZ908,0))</f>
        <v/>
      </c>
      <c r="CA918" s="245">
        <f>IF(CA$7="Actual","",IFERROR(-CA908,0))</f>
        <v/>
      </c>
    </row>
    <row r="919" ht="12" customHeight="1" s="227" thickBot="1">
      <c r="A919" s="244" t="n"/>
      <c r="B919" s="244" t="n"/>
      <c r="C919" s="244" t="n"/>
      <c r="H919" s="42" t="inlineStr">
        <is>
          <t>Closing Balance</t>
        </is>
      </c>
      <c r="I919" s="43">
        <f>i_Setup!$M$16</f>
        <v/>
      </c>
      <c r="K919" s="6" t="n"/>
      <c r="M919" s="264">
        <f>SUMIF($T$2:$CA$2,M$2,$T919:$CA919)</f>
        <v/>
      </c>
      <c r="N919" s="264">
        <f>SUMIF($T$2:$CA$2,N$2,$T919:$CA919)</f>
        <v/>
      </c>
      <c r="O919" s="264">
        <f>SUMIF($T$2:$CA$2,O$2,$T919:$CA919)</f>
        <v/>
      </c>
      <c r="P919" s="264">
        <f>SUMIF($T$2:$CA$2,P$2,$T919:$CA919)</f>
        <v/>
      </c>
      <c r="Q919" s="264">
        <f>SUMIF($T$2:$CA$2,Q$2,$T919:$CA919)</f>
        <v/>
      </c>
      <c r="T919" s="264">
        <f>IF(T$7="Actual",i_Actuals!T137,SUM(T915:T918))</f>
        <v/>
      </c>
      <c r="U919" s="264">
        <f>IF(U$7="Actual",i_Actuals!U137,SUM(U915:U918))</f>
        <v/>
      </c>
      <c r="V919" s="264">
        <f>IF(V$7="Actual",i_Actuals!V137,SUM(V915:V918))</f>
        <v/>
      </c>
      <c r="W919" s="264">
        <f>IF(W$7="Actual",i_Actuals!W137,SUM(W915:W918))</f>
        <v/>
      </c>
      <c r="X919" s="264">
        <f>IF(X$7="Actual",i_Actuals!X137,SUM(X915:X918))</f>
        <v/>
      </c>
      <c r="Y919" s="264">
        <f>IF(Y$7="Actual",i_Actuals!Y137,SUM(Y915:Y918))</f>
        <v/>
      </c>
      <c r="Z919" s="264">
        <f>IF(Z$7="Actual",i_Actuals!Z137,SUM(Z915:Z918))</f>
        <v/>
      </c>
      <c r="AA919" s="264">
        <f>IF(AA$7="Actual",i_Actuals!AA137,SUM(AA915:AA918))</f>
        <v/>
      </c>
      <c r="AB919" s="264">
        <f>IF(AB$7="Actual",i_Actuals!AB137,SUM(AB915:AB918))</f>
        <v/>
      </c>
      <c r="AC919" s="264">
        <f>IF(AC$7="Actual",i_Actuals!AC137,SUM(AC915:AC918))</f>
        <v/>
      </c>
      <c r="AD919" s="264">
        <f>IF(AD$7="Actual",i_Actuals!AD137,SUM(AD915:AD918))</f>
        <v/>
      </c>
      <c r="AE919" s="264">
        <f>IF(AE$7="Actual",i_Actuals!AE137,SUM(AE915:AE918))</f>
        <v/>
      </c>
      <c r="AF919" s="264">
        <f>IF(AF$7="Actual",i_Actuals!AF137,SUM(AF915:AF918))</f>
        <v/>
      </c>
      <c r="AG919" s="264">
        <f>IF(AG$7="Actual",i_Actuals!AG137,SUM(AG915:AG918))</f>
        <v/>
      </c>
      <c r="AH919" s="264">
        <f>IF(AH$7="Actual",i_Actuals!AH137,SUM(AH915:AH918))</f>
        <v/>
      </c>
      <c r="AI919" s="264">
        <f>IF(AI$7="Actual",i_Actuals!AI137,SUM(AI915:AI918))</f>
        <v/>
      </c>
      <c r="AJ919" s="264">
        <f>IF(AJ$7="Actual",i_Actuals!AJ137,SUM(AJ915:AJ918))</f>
        <v/>
      </c>
      <c r="AK919" s="264">
        <f>IF(AK$7="Actual",i_Actuals!AK137,SUM(AK915:AK918))</f>
        <v/>
      </c>
      <c r="AL919" s="264">
        <f>IF(AL$7="Actual",i_Actuals!AL137,SUM(AL915:AL918))</f>
        <v/>
      </c>
      <c r="AM919" s="264">
        <f>IF(AM$7="Actual",i_Actuals!AM137,SUM(AM915:AM918))</f>
        <v/>
      </c>
      <c r="AN919" s="264">
        <f>IF(AN$7="Actual",i_Actuals!AN137,SUM(AN915:AN918))</f>
        <v/>
      </c>
      <c r="AO919" s="264">
        <f>IF(AO$7="Actual",i_Actuals!AO137,SUM(AO915:AO918))</f>
        <v/>
      </c>
      <c r="AP919" s="264">
        <f>IF(AP$7="Actual",i_Actuals!AP137,SUM(AP915:AP918))</f>
        <v/>
      </c>
      <c r="AQ919" s="264">
        <f>IF(AQ$7="Actual",i_Actuals!AQ137,SUM(AQ915:AQ918))</f>
        <v/>
      </c>
      <c r="AR919" s="264">
        <f>IF(AR$7="Actual",i_Actuals!AR137,SUM(AR915:AR918))</f>
        <v/>
      </c>
      <c r="AS919" s="264">
        <f>IF(AS$7="Actual",i_Actuals!AS137,SUM(AS915:AS918))</f>
        <v/>
      </c>
      <c r="AT919" s="264">
        <f>IF(AT$7="Actual",i_Actuals!AT137,SUM(AT915:AT918))</f>
        <v/>
      </c>
      <c r="AU919" s="264">
        <f>IF(AU$7="Actual",i_Actuals!AU137,SUM(AU915:AU918))</f>
        <v/>
      </c>
      <c r="AV919" s="264">
        <f>IF(AV$7="Actual",i_Actuals!AV137,SUM(AV915:AV918))</f>
        <v/>
      </c>
      <c r="AW919" s="264">
        <f>IF(AW$7="Actual",i_Actuals!AW137,SUM(AW915:AW918))</f>
        <v/>
      </c>
      <c r="AX919" s="264">
        <f>IF(AX$7="Actual",i_Actuals!AX137,SUM(AX915:AX918))</f>
        <v/>
      </c>
      <c r="AY919" s="264">
        <f>IF(AY$7="Actual",i_Actuals!AY137,SUM(AY915:AY918))</f>
        <v/>
      </c>
      <c r="AZ919" s="264">
        <f>IF(AZ$7="Actual",i_Actuals!AZ137,SUM(AZ915:AZ918))</f>
        <v/>
      </c>
      <c r="BA919" s="264">
        <f>IF(BA$7="Actual",i_Actuals!BA137,SUM(BA915:BA918))</f>
        <v/>
      </c>
      <c r="BB919" s="264">
        <f>IF(BB$7="Actual",i_Actuals!BB137,SUM(BB915:BB918))</f>
        <v/>
      </c>
      <c r="BC919" s="264">
        <f>IF(BC$7="Actual",i_Actuals!BC137,SUM(BC915:BC918))</f>
        <v/>
      </c>
      <c r="BD919" s="264">
        <f>IF(BD$7="Actual",i_Actuals!BD137,SUM(BD915:BD918))</f>
        <v/>
      </c>
      <c r="BE919" s="264">
        <f>IF(BE$7="Actual",i_Actuals!BE137,SUM(BE915:BE918))</f>
        <v/>
      </c>
      <c r="BF919" s="264">
        <f>IF(BF$7="Actual",i_Actuals!BF137,SUM(BF915:BF918))</f>
        <v/>
      </c>
      <c r="BG919" s="264">
        <f>IF(BG$7="Actual",i_Actuals!BG137,SUM(BG915:BG918))</f>
        <v/>
      </c>
      <c r="BH919" s="264">
        <f>IF(BH$7="Actual",i_Actuals!BH137,SUM(BH915:BH918))</f>
        <v/>
      </c>
      <c r="BI919" s="264">
        <f>IF(BI$7="Actual",i_Actuals!BI137,SUM(BI915:BI918))</f>
        <v/>
      </c>
      <c r="BJ919" s="264">
        <f>IF(BJ$7="Actual",i_Actuals!BJ137,SUM(BJ915:BJ918))</f>
        <v/>
      </c>
      <c r="BK919" s="264">
        <f>IF(BK$7="Actual",i_Actuals!BK137,SUM(BK915:BK918))</f>
        <v/>
      </c>
      <c r="BL919" s="264">
        <f>IF(BL$7="Actual",i_Actuals!BL137,SUM(BL915:BL918))</f>
        <v/>
      </c>
      <c r="BM919" s="264">
        <f>IF(BM$7="Actual",i_Actuals!BM137,SUM(BM915:BM918))</f>
        <v/>
      </c>
      <c r="BN919" s="264">
        <f>IF(BN$7="Actual",i_Actuals!BN137,SUM(BN915:BN918))</f>
        <v/>
      </c>
      <c r="BO919" s="264">
        <f>IF(BO$7="Actual",i_Actuals!BO137,SUM(BO915:BO918))</f>
        <v/>
      </c>
      <c r="BP919" s="264">
        <f>IF(BP$7="Actual",i_Actuals!BP137,SUM(BP915:BP918))</f>
        <v/>
      </c>
      <c r="BQ919" s="264">
        <f>IF(BQ$7="Actual",i_Actuals!BQ137,SUM(BQ915:BQ918))</f>
        <v/>
      </c>
      <c r="BR919" s="264">
        <f>IF(BR$7="Actual",i_Actuals!BR137,SUM(BR915:BR918))</f>
        <v/>
      </c>
      <c r="BS919" s="264">
        <f>IF(BS$7="Actual",i_Actuals!BS137,SUM(BS915:BS918))</f>
        <v/>
      </c>
      <c r="BT919" s="264">
        <f>IF(BT$7="Actual",i_Actuals!BT137,SUM(BT915:BT918))</f>
        <v/>
      </c>
      <c r="BU919" s="264">
        <f>IF(BU$7="Actual",i_Actuals!BU137,SUM(BU915:BU918))</f>
        <v/>
      </c>
      <c r="BV919" s="264">
        <f>IF(BV$7="Actual",i_Actuals!BV137,SUM(BV915:BV918))</f>
        <v/>
      </c>
      <c r="BW919" s="264">
        <f>IF(BW$7="Actual",i_Actuals!BW137,SUM(BW915:BW918))</f>
        <v/>
      </c>
      <c r="BX919" s="264">
        <f>IF(BX$7="Actual",i_Actuals!BX137,SUM(BX915:BX918))</f>
        <v/>
      </c>
      <c r="BY919" s="264">
        <f>IF(BY$7="Actual",i_Actuals!BY137,SUM(BY915:BY918))</f>
        <v/>
      </c>
      <c r="BZ919" s="264">
        <f>IF(BZ$7="Actual",i_Actuals!BZ137,SUM(BZ915:BZ918))</f>
        <v/>
      </c>
      <c r="CA919" s="264">
        <f>IF(CA$7="Actual",i_Actuals!CA137,SUM(CA915:CA918))</f>
        <v/>
      </c>
    </row>
    <row r="920" ht="12" customHeight="1" s="227">
      <c r="A920" s="244" t="n"/>
      <c r="B920" s="244" t="n"/>
      <c r="C920" s="244" t="n"/>
      <c r="K920" s="6" t="n"/>
    </row>
    <row r="921" ht="12" customHeight="1" s="227">
      <c r="A921" s="244" t="n"/>
      <c r="B921" s="244" t="n"/>
      <c r="C921" s="244" t="n"/>
      <c r="K921" s="6" t="n"/>
    </row>
    <row r="922" ht="13.5" customFormat="1" customHeight="1" s="223" thickBot="1">
      <c r="E922" s="223">
        <f>Heading2</f>
        <v/>
      </c>
      <c r="F922" s="223" t="inlineStr">
        <is>
          <t>Borrowings</t>
        </is>
      </c>
      <c r="K922" s="135" t="n"/>
    </row>
    <row r="923" ht="12" customHeight="1" s="227">
      <c r="A923" s="244" t="n"/>
      <c r="B923" s="244" t="n"/>
      <c r="C923" s="244" t="n"/>
      <c r="K923" s="6" t="n"/>
    </row>
    <row r="924" ht="12" customHeight="1" s="227">
      <c r="A924" s="244" t="n"/>
      <c r="B924" s="244" t="n"/>
      <c r="C924" s="244" t="n"/>
      <c r="G924" s="222">
        <f>i_Setup!U124</f>
        <v/>
      </c>
      <c r="K924" s="6" t="n"/>
    </row>
    <row r="925" ht="12" customHeight="1" s="227">
      <c r="A925" s="244" t="n"/>
      <c r="B925" s="244" t="n"/>
      <c r="C925" s="244" t="n"/>
      <c r="K925" s="6" t="n"/>
    </row>
    <row r="926" ht="12" customHeight="1" s="227">
      <c r="A926" s="244" t="n"/>
      <c r="B926" s="244" t="n"/>
      <c r="C926" s="244" t="n"/>
      <c r="H926" s="0" t="inlineStr">
        <is>
          <t>Start Year</t>
        </is>
      </c>
      <c r="I926" s="27" t="inlineStr">
        <is>
          <t>Date</t>
        </is>
      </c>
      <c r="K926" s="201">
        <f>i_Setup!$U$25</f>
        <v/>
      </c>
      <c r="T926" s="245">
        <f>IF(T$2&lt;$K926,0,1)</f>
        <v/>
      </c>
      <c r="U926" s="245">
        <f>IF(U$2&lt;$K926,0,1)</f>
        <v/>
      </c>
      <c r="V926" s="245">
        <f>IF(V$2&lt;$K926,0,1)</f>
        <v/>
      </c>
      <c r="W926" s="245">
        <f>IF(W$2&lt;$K926,0,1)</f>
        <v/>
      </c>
      <c r="X926" s="245">
        <f>IF(X$2&lt;$K926,0,1)</f>
        <v/>
      </c>
      <c r="Y926" s="245">
        <f>IF(Y$2&lt;$K926,0,1)</f>
        <v/>
      </c>
      <c r="Z926" s="245">
        <f>IF(Z$2&lt;$K926,0,1)</f>
        <v/>
      </c>
      <c r="AA926" s="245">
        <f>IF(AA$2&lt;$K926,0,1)</f>
        <v/>
      </c>
      <c r="AB926" s="245">
        <f>IF(AB$2&lt;$K926,0,1)</f>
        <v/>
      </c>
      <c r="AC926" s="245">
        <f>IF(AC$2&lt;$K926,0,1)</f>
        <v/>
      </c>
      <c r="AD926" s="245">
        <f>IF(AD$2&lt;$K926,0,1)</f>
        <v/>
      </c>
      <c r="AE926" s="245">
        <f>IF(AE$2&lt;$K926,0,1)</f>
        <v/>
      </c>
      <c r="AF926" s="245">
        <f>IF(AF$2&lt;$K926,0,1)</f>
        <v/>
      </c>
      <c r="AG926" s="245">
        <f>IF(AG$2&lt;$K926,0,1)</f>
        <v/>
      </c>
      <c r="AH926" s="245">
        <f>IF(AH$2&lt;$K926,0,1)</f>
        <v/>
      </c>
      <c r="AI926" s="245">
        <f>IF(AI$2&lt;$K926,0,1)</f>
        <v/>
      </c>
      <c r="AJ926" s="245">
        <f>IF(AJ$2&lt;$K926,0,1)</f>
        <v/>
      </c>
      <c r="AK926" s="245">
        <f>IF(AK$2&lt;$K926,0,1)</f>
        <v/>
      </c>
      <c r="AL926" s="245">
        <f>IF(AL$2&lt;$K926,0,1)</f>
        <v/>
      </c>
      <c r="AM926" s="245">
        <f>IF(AM$2&lt;$K926,0,1)</f>
        <v/>
      </c>
      <c r="AN926" s="245">
        <f>IF(AN$2&lt;$K926,0,1)</f>
        <v/>
      </c>
      <c r="AO926" s="245">
        <f>IF(AO$2&lt;$K926,0,1)</f>
        <v/>
      </c>
      <c r="AP926" s="245">
        <f>IF(AP$2&lt;$K926,0,1)</f>
        <v/>
      </c>
      <c r="AQ926" s="245">
        <f>IF(AQ$2&lt;$K926,0,1)</f>
        <v/>
      </c>
      <c r="AR926" s="245">
        <f>IF(AR$2&lt;$K926,0,1)</f>
        <v/>
      </c>
      <c r="AS926" s="245">
        <f>IF(AS$2&lt;$K926,0,1)</f>
        <v/>
      </c>
      <c r="AT926" s="245">
        <f>IF(AT$2&lt;$K926,0,1)</f>
        <v/>
      </c>
      <c r="AU926" s="245">
        <f>IF(AU$2&lt;$K926,0,1)</f>
        <v/>
      </c>
      <c r="AV926" s="245">
        <f>IF(AV$2&lt;$K926,0,1)</f>
        <v/>
      </c>
      <c r="AW926" s="245">
        <f>IF(AW$2&lt;$K926,0,1)</f>
        <v/>
      </c>
      <c r="AX926" s="245">
        <f>IF(AX$2&lt;$K926,0,1)</f>
        <v/>
      </c>
      <c r="AY926" s="245">
        <f>IF(AY$2&lt;$K926,0,1)</f>
        <v/>
      </c>
      <c r="AZ926" s="245">
        <f>IF(AZ$2&lt;$K926,0,1)</f>
        <v/>
      </c>
      <c r="BA926" s="245">
        <f>IF(BA$2&lt;$K926,0,1)</f>
        <v/>
      </c>
      <c r="BB926" s="245">
        <f>IF(BB$2&lt;$K926,0,1)</f>
        <v/>
      </c>
      <c r="BC926" s="245">
        <f>IF(BC$2&lt;$K926,0,1)</f>
        <v/>
      </c>
      <c r="BD926" s="245">
        <f>IF(BD$2&lt;$K926,0,1)</f>
        <v/>
      </c>
      <c r="BE926" s="245">
        <f>IF(BE$2&lt;$K926,0,1)</f>
        <v/>
      </c>
      <c r="BF926" s="245">
        <f>IF(BF$2&lt;$K926,0,1)</f>
        <v/>
      </c>
      <c r="BG926" s="245">
        <f>IF(BG$2&lt;$K926,0,1)</f>
        <v/>
      </c>
      <c r="BH926" s="245">
        <f>IF(BH$2&lt;$K926,0,1)</f>
        <v/>
      </c>
      <c r="BI926" s="245">
        <f>IF(BI$2&lt;$K926,0,1)</f>
        <v/>
      </c>
      <c r="BJ926" s="245">
        <f>IF(BJ$2&lt;$K926,0,1)</f>
        <v/>
      </c>
      <c r="BK926" s="245">
        <f>IF(BK$2&lt;$K926,0,1)</f>
        <v/>
      </c>
      <c r="BL926" s="245">
        <f>IF(BL$2&lt;$K926,0,1)</f>
        <v/>
      </c>
      <c r="BM926" s="245">
        <f>IF(BM$2&lt;$K926,0,1)</f>
        <v/>
      </c>
      <c r="BN926" s="245">
        <f>IF(BN$2&lt;$K926,0,1)</f>
        <v/>
      </c>
      <c r="BO926" s="245">
        <f>IF(BO$2&lt;$K926,0,1)</f>
        <v/>
      </c>
      <c r="BP926" s="245">
        <f>IF(BP$2&lt;$K926,0,1)</f>
        <v/>
      </c>
      <c r="BQ926" s="245">
        <f>IF(BQ$2&lt;$K926,0,1)</f>
        <v/>
      </c>
      <c r="BR926" s="245">
        <f>IF(BR$2&lt;$K926,0,1)</f>
        <v/>
      </c>
      <c r="BS926" s="245">
        <f>IF(BS$2&lt;$K926,0,1)</f>
        <v/>
      </c>
      <c r="BT926" s="245">
        <f>IF(BT$2&lt;$K926,0,1)</f>
        <v/>
      </c>
      <c r="BU926" s="245">
        <f>IF(BU$2&lt;$K926,0,1)</f>
        <v/>
      </c>
      <c r="BV926" s="245">
        <f>IF(BV$2&lt;$K926,0,1)</f>
        <v/>
      </c>
      <c r="BW926" s="245">
        <f>IF(BW$2&lt;$K926,0,1)</f>
        <v/>
      </c>
      <c r="BX926" s="245">
        <f>IF(BX$2&lt;$K926,0,1)</f>
        <v/>
      </c>
      <c r="BY926" s="245">
        <f>IF(BY$2&lt;$K926,0,1)</f>
        <v/>
      </c>
      <c r="BZ926" s="245">
        <f>IF(BZ$2&lt;$K926,0,1)</f>
        <v/>
      </c>
      <c r="CA926" s="245">
        <f>IF(CA$2&lt;$K926,0,1)</f>
        <v/>
      </c>
      <c r="CB926" s="245">
        <f>IF(CB$2&lt;$K926,0,1)</f>
        <v/>
      </c>
      <c r="CC926" s="245">
        <f>IF(CC$2&lt;$K926,0,1)</f>
        <v/>
      </c>
      <c r="CD926" s="245">
        <f>IF(CD$2&lt;$K926,0,1)</f>
        <v/>
      </c>
      <c r="CE926" s="245">
        <f>IF(CE$2&lt;$K926,0,1)</f>
        <v/>
      </c>
      <c r="CF926" s="245">
        <f>IF(CF$2&lt;$K926,0,1)</f>
        <v/>
      </c>
      <c r="CG926" s="245">
        <f>IF(CG$2&lt;$K926,0,1)</f>
        <v/>
      </c>
      <c r="CH926" s="245">
        <f>IF(CH$2&lt;$K926,0,1)</f>
        <v/>
      </c>
      <c r="CI926" s="245">
        <f>IF(CI$2&lt;$K926,0,1)</f>
        <v/>
      </c>
      <c r="CJ926" s="245">
        <f>IF(CJ$2&lt;$K926,0,1)</f>
        <v/>
      </c>
      <c r="CK926" s="245">
        <f>IF(CK$2&lt;$K926,0,1)</f>
        <v/>
      </c>
      <c r="CL926" s="245">
        <f>IF(CL$2&lt;$K926,0,1)</f>
        <v/>
      </c>
      <c r="CM926" s="245">
        <f>IF(CM$2&lt;$K926,0,1)</f>
        <v/>
      </c>
      <c r="CN926" s="245">
        <f>IF(CN$2&lt;$K926,0,1)</f>
        <v/>
      </c>
      <c r="CO926" s="245">
        <f>IF(CO$2&lt;$K926,0,1)</f>
        <v/>
      </c>
      <c r="CP926" s="245">
        <f>IF(CP$2&lt;$K926,0,1)</f>
        <v/>
      </c>
      <c r="CQ926" s="245">
        <f>IF(CQ$2&lt;$K926,0,1)</f>
        <v/>
      </c>
      <c r="CR926" s="245">
        <f>IF(CR$2&lt;$K926,0,1)</f>
        <v/>
      </c>
      <c r="CS926" s="245">
        <f>IF(CS$2&lt;$K926,0,1)</f>
        <v/>
      </c>
      <c r="CT926" s="245">
        <f>IF(CT$2&lt;$K926,0,1)</f>
        <v/>
      </c>
      <c r="CU926" s="245">
        <f>IF(CU$2&lt;$K926,0,1)</f>
        <v/>
      </c>
      <c r="CV926" s="245">
        <f>IF(CV$2&lt;$K926,0,1)</f>
        <v/>
      </c>
      <c r="CW926" s="245">
        <f>IF(CW$2&lt;$K926,0,1)</f>
        <v/>
      </c>
      <c r="CX926" s="245">
        <f>IF(CX$2&lt;$K926,0,1)</f>
        <v/>
      </c>
      <c r="CY926" s="245">
        <f>IF(CY$2&lt;$K926,0,1)</f>
        <v/>
      </c>
      <c r="CZ926" s="245">
        <f>IF(CZ$2&lt;$K926,0,1)</f>
        <v/>
      </c>
      <c r="DA926" s="245">
        <f>IF(DA$2&lt;$K926,0,1)</f>
        <v/>
      </c>
      <c r="DB926" s="245">
        <f>IF(DB$2&lt;$K926,0,1)</f>
        <v/>
      </c>
      <c r="DC926" s="245">
        <f>IF(DC$2&lt;$K926,0,1)</f>
        <v/>
      </c>
      <c r="DD926" s="245">
        <f>IF(DD$2&lt;$K926,0,1)</f>
        <v/>
      </c>
      <c r="DE926" s="245">
        <f>IF(DE$2&lt;$K926,0,1)</f>
        <v/>
      </c>
      <c r="DF926" s="245">
        <f>IF(DF$2&lt;$K926,0,1)</f>
        <v/>
      </c>
      <c r="DG926" s="245">
        <f>IF(DG$2&lt;$K926,0,1)</f>
        <v/>
      </c>
      <c r="DH926" s="245">
        <f>IF(DH$2&lt;$K926,0,1)</f>
        <v/>
      </c>
      <c r="DI926" s="245">
        <f>IF(DI$2&lt;$K926,0,1)</f>
        <v/>
      </c>
      <c r="DJ926" s="245">
        <f>IF(DJ$2&lt;$K926,0,1)</f>
        <v/>
      </c>
      <c r="DK926" s="245">
        <f>IF(DK$2&lt;$K926,0,1)</f>
        <v/>
      </c>
      <c r="DL926" s="245">
        <f>IF(DL$2&lt;$K926,0,1)</f>
        <v/>
      </c>
      <c r="DM926" s="245">
        <f>IF(DM$2&lt;$K926,0,1)</f>
        <v/>
      </c>
      <c r="DN926" s="245">
        <f>IF(DN$2&lt;$K926,0,1)</f>
        <v/>
      </c>
      <c r="DO926" s="245">
        <f>IF(DO$2&lt;$K926,0,1)</f>
        <v/>
      </c>
      <c r="DP926" s="245">
        <f>IF(DP$2&lt;$K926,0,1)</f>
        <v/>
      </c>
      <c r="DQ926" s="245">
        <f>IF(DQ$2&lt;$K926,0,1)</f>
        <v/>
      </c>
      <c r="DR926" s="245">
        <f>IF(DR$2&lt;$K926,0,1)</f>
        <v/>
      </c>
      <c r="DS926" s="245">
        <f>IF(DS$2&lt;$K926,0,1)</f>
        <v/>
      </c>
      <c r="DT926" s="245">
        <f>IF(DT$2&lt;$K926,0,1)</f>
        <v/>
      </c>
      <c r="DU926" s="245">
        <f>IF(DU$2&lt;$K926,0,1)</f>
        <v/>
      </c>
      <c r="DV926" s="245">
        <f>IF(DV$2&lt;$K926,0,1)</f>
        <v/>
      </c>
      <c r="DW926" s="245">
        <f>IF(DW$2&lt;$K926,0,1)</f>
        <v/>
      </c>
      <c r="DX926" s="245">
        <f>IF(DX$2&lt;$K926,0,1)</f>
        <v/>
      </c>
      <c r="DY926" s="245">
        <f>IF(DY$2&lt;$K926,0,1)</f>
        <v/>
      </c>
      <c r="DZ926" s="245">
        <f>IF(DZ$2&lt;$K926,0,1)</f>
        <v/>
      </c>
      <c r="EA926" s="245">
        <f>IF(EA$2&lt;$K926,0,1)</f>
        <v/>
      </c>
      <c r="EB926" s="245">
        <f>IF(EB$2&lt;$K926,0,1)</f>
        <v/>
      </c>
      <c r="EC926" s="245">
        <f>IF(EC$2&lt;$K926,0,1)</f>
        <v/>
      </c>
      <c r="ED926" s="245">
        <f>IF(ED$2&lt;$K926,0,1)</f>
        <v/>
      </c>
      <c r="EE926" s="245">
        <f>IF(EE$2&lt;$K926,0,1)</f>
        <v/>
      </c>
      <c r="EF926" s="245">
        <f>IF(EF$2&lt;$K926,0,1)</f>
        <v/>
      </c>
      <c r="EG926" s="245">
        <f>IF(EG$2&lt;$K926,0,1)</f>
        <v/>
      </c>
      <c r="EH926" s="245">
        <f>IF(EH$2&lt;$K926,0,1)</f>
        <v/>
      </c>
      <c r="EI926" s="245">
        <f>IF(EI$2&lt;$K926,0,1)</f>
        <v/>
      </c>
      <c r="EJ926" s="245">
        <f>IF(EJ$2&lt;$K926,0,1)</f>
        <v/>
      </c>
      <c r="EK926" s="245">
        <f>IF(EK$2&lt;$K926,0,1)</f>
        <v/>
      </c>
      <c r="EL926" s="245">
        <f>IF(EL$2&lt;$K926,0,1)</f>
        <v/>
      </c>
      <c r="EM926" s="245">
        <f>IF(EM$2&lt;$K926,0,1)</f>
        <v/>
      </c>
      <c r="EN926" s="245">
        <f>IF(EN$2&lt;$K926,0,1)</f>
        <v/>
      </c>
      <c r="EO926" s="245">
        <f>IF(EO$2&lt;$K926,0,1)</f>
        <v/>
      </c>
      <c r="EP926" s="245">
        <f>IF(EP$2&lt;$K926,0,1)</f>
        <v/>
      </c>
      <c r="EQ926" s="245">
        <f>IF(EQ$2&lt;$K926,0,1)</f>
        <v/>
      </c>
      <c r="ER926" s="245">
        <f>IF(ER$2&lt;$K926,0,1)</f>
        <v/>
      </c>
      <c r="ES926" s="245">
        <f>IF(ES$2&lt;$K926,0,1)</f>
        <v/>
      </c>
      <c r="ET926" s="245">
        <f>IF(ET$2&lt;$K926,0,1)</f>
        <v/>
      </c>
      <c r="EU926" s="245">
        <f>IF(EU$2&lt;$K926,0,1)</f>
        <v/>
      </c>
      <c r="EV926" s="245">
        <f>IF(EV$2&lt;$K926,0,1)</f>
        <v/>
      </c>
      <c r="EW926" s="245">
        <f>IF(EW$2&lt;$K926,0,1)</f>
        <v/>
      </c>
      <c r="EX926" s="245">
        <f>IF(EX$2&lt;$K926,0,1)</f>
        <v/>
      </c>
      <c r="EY926" s="245">
        <f>IF(EY$2&lt;$K926,0,1)</f>
        <v/>
      </c>
      <c r="EZ926" s="245">
        <f>IF(EZ$2&lt;$K926,0,1)</f>
        <v/>
      </c>
      <c r="FA926" s="245">
        <f>IF(FA$2&lt;$K926,0,1)</f>
        <v/>
      </c>
      <c r="FB926" s="245">
        <f>IF(FB$2&lt;$K926,0,1)</f>
        <v/>
      </c>
      <c r="FC926" s="245">
        <f>IF(FC$2&lt;$K926,0,1)</f>
        <v/>
      </c>
      <c r="FD926" s="245">
        <f>IF(FD$2&lt;$K926,0,1)</f>
        <v/>
      </c>
      <c r="FE926" s="245">
        <f>IF(FE$2&lt;$K926,0,1)</f>
        <v/>
      </c>
      <c r="FF926" s="245">
        <f>IF(FF$2&lt;$K926,0,1)</f>
        <v/>
      </c>
      <c r="FG926" s="245">
        <f>IF(FG$2&lt;$K926,0,1)</f>
        <v/>
      </c>
      <c r="FH926" s="245">
        <f>IF(FH$2&lt;$K926,0,1)</f>
        <v/>
      </c>
      <c r="FI926" s="245">
        <f>IF(FI$2&lt;$K926,0,1)</f>
        <v/>
      </c>
      <c r="FJ926" s="245">
        <f>IF(FJ$2&lt;$K926,0,1)</f>
        <v/>
      </c>
      <c r="FK926" s="245">
        <f>IF(FK$2&lt;$K926,0,1)</f>
        <v/>
      </c>
      <c r="FL926" s="245">
        <f>IF(FL$2&lt;$K926,0,1)</f>
        <v/>
      </c>
      <c r="FM926" s="245">
        <f>IF(FM$2&lt;$K926,0,1)</f>
        <v/>
      </c>
      <c r="FN926" s="245">
        <f>IF(FN$2&lt;$K926,0,1)</f>
        <v/>
      </c>
      <c r="FO926" s="245">
        <f>IF(FO$2&lt;$K926,0,1)</f>
        <v/>
      </c>
      <c r="FP926" s="245">
        <f>IF(FP$2&lt;$K926,0,1)</f>
        <v/>
      </c>
      <c r="FQ926" s="245">
        <f>IF(FQ$2&lt;$K926,0,1)</f>
        <v/>
      </c>
      <c r="FR926" s="245">
        <f>IF(FR$2&lt;$K926,0,1)</f>
        <v/>
      </c>
      <c r="FS926" s="245">
        <f>IF(FS$2&lt;$K926,0,1)</f>
        <v/>
      </c>
      <c r="FT926" s="245">
        <f>IF(FT$2&lt;$K926,0,1)</f>
        <v/>
      </c>
      <c r="FU926" s="245">
        <f>IF(FU$2&lt;$K926,0,1)</f>
        <v/>
      </c>
      <c r="FV926" s="245">
        <f>IF(FV$2&lt;$K926,0,1)</f>
        <v/>
      </c>
      <c r="FW926" s="245">
        <f>IF(FW$2&lt;$K926,0,1)</f>
        <v/>
      </c>
      <c r="FX926" s="245">
        <f>IF(FX$2&lt;$K926,0,1)</f>
        <v/>
      </c>
      <c r="FY926" s="245">
        <f>IF(FY$2&lt;$K926,0,1)</f>
        <v/>
      </c>
      <c r="FZ926" s="245">
        <f>IF(FZ$2&lt;$K926,0,1)</f>
        <v/>
      </c>
      <c r="GA926" s="245">
        <f>IF(GA$2&lt;$K926,0,1)</f>
        <v/>
      </c>
      <c r="GB926" s="245">
        <f>IF(GB$2&lt;$K926,0,1)</f>
        <v/>
      </c>
      <c r="GC926" s="245">
        <f>IF(GC$2&lt;$K926,0,1)</f>
        <v/>
      </c>
      <c r="GD926" s="245">
        <f>IF(GD$2&lt;$K926,0,1)</f>
        <v/>
      </c>
      <c r="GE926" s="245">
        <f>IF(GE$2&lt;$K926,0,1)</f>
        <v/>
      </c>
      <c r="GF926" s="245">
        <f>IF(GF$2&lt;$K926,0,1)</f>
        <v/>
      </c>
      <c r="GG926" s="245">
        <f>IF(GG$2&lt;$K926,0,1)</f>
        <v/>
      </c>
      <c r="GH926" s="245">
        <f>IF(GH$2&lt;$K926,0,1)</f>
        <v/>
      </c>
      <c r="GI926" s="245">
        <f>IF(GI$2&lt;$K926,0,1)</f>
        <v/>
      </c>
      <c r="GJ926" s="245">
        <f>IF(GJ$2&lt;$K926,0,1)</f>
        <v/>
      </c>
      <c r="GK926" s="245">
        <f>IF(GK$2&lt;$K926,0,1)</f>
        <v/>
      </c>
      <c r="GL926" s="245">
        <f>IF(GL$2&lt;$K926,0,1)</f>
        <v/>
      </c>
      <c r="GM926" s="245">
        <f>IF(GM$2&lt;$K926,0,1)</f>
        <v/>
      </c>
      <c r="GN926" s="245">
        <f>IF(GN$2&lt;$K926,0,1)</f>
        <v/>
      </c>
      <c r="GO926" s="245">
        <f>IF(GO$2&lt;$K926,0,1)</f>
        <v/>
      </c>
      <c r="GP926" s="245">
        <f>IF(GP$2&lt;$K926,0,1)</f>
        <v/>
      </c>
      <c r="GQ926" s="245">
        <f>IF(GQ$2&lt;$K926,0,1)</f>
        <v/>
      </c>
      <c r="GR926" s="245" t="n"/>
      <c r="GS926" s="245" t="n"/>
      <c r="GT926" s="245" t="n"/>
      <c r="GU926" s="245" t="n"/>
      <c r="GV926" s="245" t="n"/>
      <c r="GW926" s="245" t="n"/>
      <c r="GX926" s="245" t="n"/>
      <c r="GY926" s="245" t="n"/>
      <c r="GZ926" s="245" t="n"/>
      <c r="HA926" s="245" t="n"/>
      <c r="HB926" s="245" t="n"/>
      <c r="HC926" s="245" t="n"/>
    </row>
    <row r="927" ht="12" customHeight="1" s="227">
      <c r="A927" s="244" t="n"/>
      <c r="B927" s="244" t="n"/>
      <c r="C927" s="244" t="n"/>
      <c r="H927" s="0" t="inlineStr">
        <is>
          <t>Maturity Year</t>
        </is>
      </c>
      <c r="I927" s="27" t="inlineStr">
        <is>
          <t>Date</t>
        </is>
      </c>
      <c r="K927" s="201">
        <f t="array" ref="K927">IFERROR(INDEX(i_Assumptions!$M$658:$M$660,MATCH(c_Calculations!G924,i_Assumptions!$H$658:$H$660,0),),"")</f>
        <v/>
      </c>
      <c r="T927" s="245">
        <f>IF(T$2&gt;$K927,0,1)</f>
        <v/>
      </c>
      <c r="U927" s="245">
        <f>IF(U$2&gt;$K927,0,1)</f>
        <v/>
      </c>
      <c r="V927" s="245">
        <f>IF(V$2&gt;$K927,0,1)</f>
        <v/>
      </c>
      <c r="W927" s="245">
        <f>IF(W$2&gt;$K927,0,1)</f>
        <v/>
      </c>
      <c r="X927" s="245">
        <f>IF(X$2&gt;$K927,0,1)</f>
        <v/>
      </c>
      <c r="Y927" s="245">
        <f>IF(Y$2&gt;$K927,0,1)</f>
        <v/>
      </c>
      <c r="Z927" s="245">
        <f>IF(Z$2&gt;$K927,0,1)</f>
        <v/>
      </c>
      <c r="AA927" s="245">
        <f>IF(AA$2&gt;$K927,0,1)</f>
        <v/>
      </c>
      <c r="AB927" s="245">
        <f>IF(AB$2&gt;$K927,0,1)</f>
        <v/>
      </c>
      <c r="AC927" s="245">
        <f>IF(AC$2&gt;$K927,0,1)</f>
        <v/>
      </c>
      <c r="AD927" s="245">
        <f>IF(AD$2&gt;$K927,0,1)</f>
        <v/>
      </c>
      <c r="AE927" s="245">
        <f>IF(AE$2&gt;$K927,0,1)</f>
        <v/>
      </c>
      <c r="AF927" s="245">
        <f>IF(AF$2&gt;$K927,0,1)</f>
        <v/>
      </c>
      <c r="AG927" s="245">
        <f>IF(AG$2&gt;$K927,0,1)</f>
        <v/>
      </c>
      <c r="AH927" s="245">
        <f>IF(AH$2&gt;$K927,0,1)</f>
        <v/>
      </c>
      <c r="AI927" s="245">
        <f>IF(AI$2&gt;$K927,0,1)</f>
        <v/>
      </c>
      <c r="AJ927" s="245">
        <f>IF(AJ$2&gt;$K927,0,1)</f>
        <v/>
      </c>
      <c r="AK927" s="245">
        <f>IF(AK$2&gt;$K927,0,1)</f>
        <v/>
      </c>
      <c r="AL927" s="245">
        <f>IF(AL$2&gt;$K927,0,1)</f>
        <v/>
      </c>
      <c r="AM927" s="245">
        <f>IF(AM$2&gt;$K927,0,1)</f>
        <v/>
      </c>
      <c r="AN927" s="245">
        <f>IF(AN$2&gt;$K927,0,1)</f>
        <v/>
      </c>
      <c r="AO927" s="245">
        <f>IF(AO$2&gt;$K927,0,1)</f>
        <v/>
      </c>
      <c r="AP927" s="245">
        <f>IF(AP$2&gt;$K927,0,1)</f>
        <v/>
      </c>
      <c r="AQ927" s="245">
        <f>IF(AQ$2&gt;$K927,0,1)</f>
        <v/>
      </c>
      <c r="AR927" s="245">
        <f>IF(AR$2&gt;$K927,0,1)</f>
        <v/>
      </c>
      <c r="AS927" s="245">
        <f>IF(AS$2&gt;$K927,0,1)</f>
        <v/>
      </c>
      <c r="AT927" s="245">
        <f>IF(AT$2&gt;$K927,0,1)</f>
        <v/>
      </c>
      <c r="AU927" s="245">
        <f>IF(AU$2&gt;$K927,0,1)</f>
        <v/>
      </c>
      <c r="AV927" s="245">
        <f>IF(AV$2&gt;$K927,0,1)</f>
        <v/>
      </c>
      <c r="AW927" s="245">
        <f>IF(AW$2&gt;$K927,0,1)</f>
        <v/>
      </c>
      <c r="AX927" s="245">
        <f>IF(AX$2&gt;$K927,0,1)</f>
        <v/>
      </c>
      <c r="AY927" s="245">
        <f>IF(AY$2&gt;$K927,0,1)</f>
        <v/>
      </c>
      <c r="AZ927" s="245">
        <f>IF(AZ$2&gt;$K927,0,1)</f>
        <v/>
      </c>
      <c r="BA927" s="245">
        <f>IF(BA$2&gt;$K927,0,1)</f>
        <v/>
      </c>
      <c r="BB927" s="245">
        <f>IF(BB$2&gt;$K927,0,1)</f>
        <v/>
      </c>
      <c r="BC927" s="245">
        <f>IF(BC$2&gt;$K927,0,1)</f>
        <v/>
      </c>
      <c r="BD927" s="245">
        <f>IF(BD$2&gt;$K927,0,1)</f>
        <v/>
      </c>
      <c r="BE927" s="245">
        <f>IF(BE$2&gt;$K927,0,1)</f>
        <v/>
      </c>
      <c r="BF927" s="245">
        <f>IF(BF$2&gt;$K927,0,1)</f>
        <v/>
      </c>
      <c r="BG927" s="245">
        <f>IF(BG$2&gt;$K927,0,1)</f>
        <v/>
      </c>
      <c r="BH927" s="245">
        <f>IF(BH$2&gt;$K927,0,1)</f>
        <v/>
      </c>
      <c r="BI927" s="245">
        <f>IF(BI$2&gt;$K927,0,1)</f>
        <v/>
      </c>
      <c r="BJ927" s="245">
        <f>IF(BJ$2&gt;$K927,0,1)</f>
        <v/>
      </c>
      <c r="BK927" s="245">
        <f>IF(BK$2&gt;$K927,0,1)</f>
        <v/>
      </c>
      <c r="BL927" s="245">
        <f>IF(BL$2&gt;$K927,0,1)</f>
        <v/>
      </c>
      <c r="BM927" s="245">
        <f>IF(BM$2&gt;$K927,0,1)</f>
        <v/>
      </c>
      <c r="BN927" s="245">
        <f>IF(BN$2&gt;$K927,0,1)</f>
        <v/>
      </c>
      <c r="BO927" s="245">
        <f>IF(BO$2&gt;$K927,0,1)</f>
        <v/>
      </c>
      <c r="BP927" s="245">
        <f>IF(BP$2&gt;$K927,0,1)</f>
        <v/>
      </c>
      <c r="BQ927" s="245">
        <f>IF(BQ$2&gt;$K927,0,1)</f>
        <v/>
      </c>
      <c r="BR927" s="245">
        <f>IF(BR$2&gt;$K927,0,1)</f>
        <v/>
      </c>
      <c r="BS927" s="245">
        <f>IF(BS$2&gt;$K927,0,1)</f>
        <v/>
      </c>
      <c r="BT927" s="245">
        <f>IF(BT$2&gt;$K927,0,1)</f>
        <v/>
      </c>
      <c r="BU927" s="245">
        <f>IF(BU$2&gt;$K927,0,1)</f>
        <v/>
      </c>
      <c r="BV927" s="245">
        <f>IF(BV$2&gt;$K927,0,1)</f>
        <v/>
      </c>
      <c r="BW927" s="245">
        <f>IF(BW$2&gt;$K927,0,1)</f>
        <v/>
      </c>
      <c r="BX927" s="245">
        <f>IF(BX$2&gt;$K927,0,1)</f>
        <v/>
      </c>
      <c r="BY927" s="245">
        <f>IF(BY$2&gt;$K927,0,1)</f>
        <v/>
      </c>
      <c r="BZ927" s="245">
        <f>IF(BZ$2&gt;$K927,0,1)</f>
        <v/>
      </c>
      <c r="CA927" s="245">
        <f>IF(CA$2&gt;$K927,0,1)</f>
        <v/>
      </c>
      <c r="CB927" s="245">
        <f>IF(CB$2&gt;$K927,0,1)</f>
        <v/>
      </c>
      <c r="CC927" s="245">
        <f>IF(CC$2&gt;$K927,0,1)</f>
        <v/>
      </c>
      <c r="CD927" s="245">
        <f>IF(CD$2&gt;$K927,0,1)</f>
        <v/>
      </c>
      <c r="CE927" s="245">
        <f>IF(CE$2&gt;$K927,0,1)</f>
        <v/>
      </c>
      <c r="CF927" s="245">
        <f>IF(CF$2&gt;$K927,0,1)</f>
        <v/>
      </c>
      <c r="CG927" s="245">
        <f>IF(CG$2&gt;$K927,0,1)</f>
        <v/>
      </c>
      <c r="CH927" s="245">
        <f>IF(CH$2&gt;$K927,0,1)</f>
        <v/>
      </c>
      <c r="CI927" s="245">
        <f>IF(CI$2&gt;$K927,0,1)</f>
        <v/>
      </c>
      <c r="CJ927" s="245">
        <f>IF(CJ$2&gt;$K927,0,1)</f>
        <v/>
      </c>
      <c r="CK927" s="245">
        <f>IF(CK$2&gt;$K927,0,1)</f>
        <v/>
      </c>
      <c r="CL927" s="245">
        <f>IF(CL$2&gt;$K927,0,1)</f>
        <v/>
      </c>
      <c r="CM927" s="245">
        <f>IF(CM$2&gt;$K927,0,1)</f>
        <v/>
      </c>
      <c r="CN927" s="245">
        <f>IF(CN$2&gt;$K927,0,1)</f>
        <v/>
      </c>
      <c r="CO927" s="245">
        <f>IF(CO$2&gt;$K927,0,1)</f>
        <v/>
      </c>
      <c r="CP927" s="245">
        <f>IF(CP$2&gt;$K927,0,1)</f>
        <v/>
      </c>
      <c r="CQ927" s="245">
        <f>IF(CQ$2&gt;$K927,0,1)</f>
        <v/>
      </c>
      <c r="CR927" s="245">
        <f>IF(CR$2&gt;$K927,0,1)</f>
        <v/>
      </c>
      <c r="CS927" s="245">
        <f>IF(CS$2&gt;$K927,0,1)</f>
        <v/>
      </c>
      <c r="CT927" s="245">
        <f>IF(CT$2&gt;$K927,0,1)</f>
        <v/>
      </c>
      <c r="CU927" s="245">
        <f>IF(CU$2&gt;$K927,0,1)</f>
        <v/>
      </c>
      <c r="CV927" s="245">
        <f>IF(CV$2&gt;$K927,0,1)</f>
        <v/>
      </c>
      <c r="CW927" s="245">
        <f>IF(CW$2&gt;$K927,0,1)</f>
        <v/>
      </c>
      <c r="CX927" s="245">
        <f>IF(CX$2&gt;$K927,0,1)</f>
        <v/>
      </c>
      <c r="CY927" s="245">
        <f>IF(CY$2&gt;$K927,0,1)</f>
        <v/>
      </c>
      <c r="CZ927" s="245">
        <f>IF(CZ$2&gt;$K927,0,1)</f>
        <v/>
      </c>
      <c r="DA927" s="245">
        <f>IF(DA$2&gt;$K927,0,1)</f>
        <v/>
      </c>
      <c r="DB927" s="245">
        <f>IF(DB$2&gt;$K927,0,1)</f>
        <v/>
      </c>
      <c r="DC927" s="245">
        <f>IF(DC$2&gt;$K927,0,1)</f>
        <v/>
      </c>
      <c r="DD927" s="245">
        <f>IF(DD$2&gt;$K927,0,1)</f>
        <v/>
      </c>
      <c r="DE927" s="245">
        <f>IF(DE$2&gt;$K927,0,1)</f>
        <v/>
      </c>
      <c r="DF927" s="245">
        <f>IF(DF$2&gt;$K927,0,1)</f>
        <v/>
      </c>
      <c r="DG927" s="245">
        <f>IF(DG$2&gt;$K927,0,1)</f>
        <v/>
      </c>
      <c r="DH927" s="245">
        <f>IF(DH$2&gt;$K927,0,1)</f>
        <v/>
      </c>
      <c r="DI927" s="245">
        <f>IF(DI$2&gt;$K927,0,1)</f>
        <v/>
      </c>
      <c r="DJ927" s="245">
        <f>IF(DJ$2&gt;$K927,0,1)</f>
        <v/>
      </c>
      <c r="DK927" s="245">
        <f>IF(DK$2&gt;$K927,0,1)</f>
        <v/>
      </c>
      <c r="DL927" s="245">
        <f>IF(DL$2&gt;$K927,0,1)</f>
        <v/>
      </c>
      <c r="DM927" s="245">
        <f>IF(DM$2&gt;$K927,0,1)</f>
        <v/>
      </c>
      <c r="DN927" s="245">
        <f>IF(DN$2&gt;$K927,0,1)</f>
        <v/>
      </c>
      <c r="DO927" s="245">
        <f>IF(DO$2&gt;$K927,0,1)</f>
        <v/>
      </c>
      <c r="DP927" s="245">
        <f>IF(DP$2&gt;$K927,0,1)</f>
        <v/>
      </c>
      <c r="DQ927" s="245">
        <f>IF(DQ$2&gt;$K927,0,1)</f>
        <v/>
      </c>
      <c r="DR927" s="245">
        <f>IF(DR$2&gt;$K927,0,1)</f>
        <v/>
      </c>
      <c r="DS927" s="245">
        <f>IF(DS$2&gt;$K927,0,1)</f>
        <v/>
      </c>
      <c r="DT927" s="245">
        <f>IF(DT$2&gt;$K927,0,1)</f>
        <v/>
      </c>
      <c r="DU927" s="245">
        <f>IF(DU$2&gt;$K927,0,1)</f>
        <v/>
      </c>
      <c r="DV927" s="245">
        <f>IF(DV$2&gt;$K927,0,1)</f>
        <v/>
      </c>
      <c r="DW927" s="245">
        <f>IF(DW$2&gt;$K927,0,1)</f>
        <v/>
      </c>
      <c r="DX927" s="245">
        <f>IF(DX$2&gt;$K927,0,1)</f>
        <v/>
      </c>
      <c r="DY927" s="245">
        <f>IF(DY$2&gt;$K927,0,1)</f>
        <v/>
      </c>
      <c r="DZ927" s="245">
        <f>IF(DZ$2&gt;$K927,0,1)</f>
        <v/>
      </c>
      <c r="EA927" s="245">
        <f>IF(EA$2&gt;$K927,0,1)</f>
        <v/>
      </c>
      <c r="EB927" s="245">
        <f>IF(EB$2&gt;$K927,0,1)</f>
        <v/>
      </c>
      <c r="EC927" s="245">
        <f>IF(EC$2&gt;$K927,0,1)</f>
        <v/>
      </c>
      <c r="ED927" s="245">
        <f>IF(ED$2&gt;$K927,0,1)</f>
        <v/>
      </c>
      <c r="EE927" s="245">
        <f>IF(EE$2&gt;$K927,0,1)</f>
        <v/>
      </c>
      <c r="EF927" s="245">
        <f>IF(EF$2&gt;$K927,0,1)</f>
        <v/>
      </c>
      <c r="EG927" s="245">
        <f>IF(EG$2&gt;$K927,0,1)</f>
        <v/>
      </c>
      <c r="EH927" s="245">
        <f>IF(EH$2&gt;$K927,0,1)</f>
        <v/>
      </c>
      <c r="EI927" s="245">
        <f>IF(EI$2&gt;$K927,0,1)</f>
        <v/>
      </c>
      <c r="EJ927" s="245">
        <f>IF(EJ$2&gt;$K927,0,1)</f>
        <v/>
      </c>
      <c r="EK927" s="245">
        <f>IF(EK$2&gt;$K927,0,1)</f>
        <v/>
      </c>
      <c r="EL927" s="245">
        <f>IF(EL$2&gt;$K927,0,1)</f>
        <v/>
      </c>
      <c r="EM927" s="245">
        <f>IF(EM$2&gt;$K927,0,1)</f>
        <v/>
      </c>
      <c r="EN927" s="245">
        <f>IF(EN$2&gt;$K927,0,1)</f>
        <v/>
      </c>
      <c r="EO927" s="245">
        <f>IF(EO$2&gt;$K927,0,1)</f>
        <v/>
      </c>
      <c r="EP927" s="245">
        <f>IF(EP$2&gt;$K927,0,1)</f>
        <v/>
      </c>
      <c r="EQ927" s="245">
        <f>IF(EQ$2&gt;$K927,0,1)</f>
        <v/>
      </c>
      <c r="ER927" s="245">
        <f>IF(ER$2&gt;$K927,0,1)</f>
        <v/>
      </c>
      <c r="ES927" s="245">
        <f>IF(ES$2&gt;$K927,0,1)</f>
        <v/>
      </c>
      <c r="ET927" s="245">
        <f>IF(ET$2&gt;$K927,0,1)</f>
        <v/>
      </c>
      <c r="EU927" s="245">
        <f>IF(EU$2&gt;$K927,0,1)</f>
        <v/>
      </c>
      <c r="EV927" s="245">
        <f>IF(EV$2&gt;$K927,0,1)</f>
        <v/>
      </c>
      <c r="EW927" s="245">
        <f>IF(EW$2&gt;$K927,0,1)</f>
        <v/>
      </c>
      <c r="EX927" s="245">
        <f>IF(EX$2&gt;$K927,0,1)</f>
        <v/>
      </c>
      <c r="EY927" s="245">
        <f>IF(EY$2&gt;$K927,0,1)</f>
        <v/>
      </c>
      <c r="EZ927" s="245">
        <f>IF(EZ$2&gt;$K927,0,1)</f>
        <v/>
      </c>
      <c r="FA927" s="245">
        <f>IF(FA$2&gt;$K927,0,1)</f>
        <v/>
      </c>
      <c r="FB927" s="245">
        <f>IF(FB$2&gt;$K927,0,1)</f>
        <v/>
      </c>
      <c r="FC927" s="245">
        <f>IF(FC$2&gt;$K927,0,1)</f>
        <v/>
      </c>
      <c r="FD927" s="245">
        <f>IF(FD$2&gt;$K927,0,1)</f>
        <v/>
      </c>
      <c r="FE927" s="245">
        <f>IF(FE$2&gt;$K927,0,1)</f>
        <v/>
      </c>
      <c r="FF927" s="245">
        <f>IF(FF$2&gt;$K927,0,1)</f>
        <v/>
      </c>
      <c r="FG927" s="245">
        <f>IF(FG$2&gt;$K927,0,1)</f>
        <v/>
      </c>
      <c r="FH927" s="245">
        <f>IF(FH$2&gt;$K927,0,1)</f>
        <v/>
      </c>
      <c r="FI927" s="245">
        <f>IF(FI$2&gt;$K927,0,1)</f>
        <v/>
      </c>
      <c r="FJ927" s="245">
        <f>IF(FJ$2&gt;$K927,0,1)</f>
        <v/>
      </c>
      <c r="FK927" s="245">
        <f>IF(FK$2&gt;$K927,0,1)</f>
        <v/>
      </c>
      <c r="FL927" s="245">
        <f>IF(FL$2&gt;$K927,0,1)</f>
        <v/>
      </c>
      <c r="FM927" s="245">
        <f>IF(FM$2&gt;$K927,0,1)</f>
        <v/>
      </c>
      <c r="FN927" s="245">
        <f>IF(FN$2&gt;$K927,0,1)</f>
        <v/>
      </c>
      <c r="FO927" s="245">
        <f>IF(FO$2&gt;$K927,0,1)</f>
        <v/>
      </c>
      <c r="FP927" s="245">
        <f>IF(FP$2&gt;$K927,0,1)</f>
        <v/>
      </c>
      <c r="FQ927" s="245">
        <f>IF(FQ$2&gt;$K927,0,1)</f>
        <v/>
      </c>
      <c r="FR927" s="245">
        <f>IF(FR$2&gt;$K927,0,1)</f>
        <v/>
      </c>
      <c r="FS927" s="245">
        <f>IF(FS$2&gt;$K927,0,1)</f>
        <v/>
      </c>
      <c r="FT927" s="245">
        <f>IF(FT$2&gt;$K927,0,1)</f>
        <v/>
      </c>
      <c r="FU927" s="245">
        <f>IF(FU$2&gt;$K927,0,1)</f>
        <v/>
      </c>
      <c r="FV927" s="245">
        <f>IF(FV$2&gt;$K927,0,1)</f>
        <v/>
      </c>
      <c r="FW927" s="245">
        <f>IF(FW$2&gt;$K927,0,1)</f>
        <v/>
      </c>
      <c r="FX927" s="245">
        <f>IF(FX$2&gt;$K927,0,1)</f>
        <v/>
      </c>
      <c r="FY927" s="245">
        <f>IF(FY$2&gt;$K927,0,1)</f>
        <v/>
      </c>
      <c r="FZ927" s="245">
        <f>IF(FZ$2&gt;$K927,0,1)</f>
        <v/>
      </c>
      <c r="GA927" s="245">
        <f>IF(GA$2&gt;$K927,0,1)</f>
        <v/>
      </c>
      <c r="GB927" s="245">
        <f>IF(GB$2&gt;$K927,0,1)</f>
        <v/>
      </c>
      <c r="GC927" s="245">
        <f>IF(GC$2&gt;$K927,0,1)</f>
        <v/>
      </c>
      <c r="GD927" s="245">
        <f>IF(GD$2&gt;$K927,0,1)</f>
        <v/>
      </c>
      <c r="GE927" s="245">
        <f>IF(GE$2&gt;$K927,0,1)</f>
        <v/>
      </c>
      <c r="GF927" s="245">
        <f>IF(GF$2&gt;$K927,0,1)</f>
        <v/>
      </c>
      <c r="GG927" s="245">
        <f>IF(GG$2&gt;$K927,0,1)</f>
        <v/>
      </c>
      <c r="GH927" s="245">
        <f>IF(GH$2&gt;$K927,0,1)</f>
        <v/>
      </c>
      <c r="GI927" s="245">
        <f>IF(GI$2&gt;$K927,0,1)</f>
        <v/>
      </c>
      <c r="GJ927" s="245">
        <f>IF(GJ$2&gt;$K927,0,1)</f>
        <v/>
      </c>
      <c r="GK927" s="245">
        <f>IF(GK$2&gt;$K927,0,1)</f>
        <v/>
      </c>
      <c r="GL927" s="245">
        <f>IF(GL$2&gt;$K927,0,1)</f>
        <v/>
      </c>
      <c r="GM927" s="245">
        <f>IF(GM$2&gt;$K927,0,1)</f>
        <v/>
      </c>
      <c r="GN927" s="245">
        <f>IF(GN$2&gt;$K927,0,1)</f>
        <v/>
      </c>
      <c r="GO927" s="245">
        <f>IF(GO$2&gt;$K927,0,1)</f>
        <v/>
      </c>
      <c r="GP927" s="245">
        <f>IF(GP$2&gt;$K927,0,1)</f>
        <v/>
      </c>
      <c r="GQ927" s="245">
        <f>IF(GQ$2&gt;$K927,0,1)</f>
        <v/>
      </c>
      <c r="GR927" s="245" t="n"/>
      <c r="GS927" s="245" t="n"/>
      <c r="GT927" s="245" t="n"/>
      <c r="GU927" s="245" t="n"/>
      <c r="GV927" s="245" t="n"/>
      <c r="GW927" s="245" t="n"/>
      <c r="GX927" s="245" t="n"/>
      <c r="GY927" s="245" t="n"/>
      <c r="GZ927" s="245" t="n"/>
      <c r="HA927" s="245" t="n"/>
      <c r="HB927" s="245" t="n"/>
      <c r="HC927" s="245" t="n"/>
    </row>
    <row r="928" ht="12" customHeight="1" s="227">
      <c r="A928" s="244" t="n"/>
      <c r="B928" s="244" t="n"/>
      <c r="C928" s="244" t="n"/>
      <c r="H928" s="0" t="inlineStr">
        <is>
          <t>Combined Flag</t>
        </is>
      </c>
      <c r="I928" s="27" t="inlineStr">
        <is>
          <t>No</t>
        </is>
      </c>
      <c r="T928" s="245">
        <f>MIN(T926:T927)</f>
        <v/>
      </c>
      <c r="U928" s="245">
        <f>MIN(U926:U927)</f>
        <v/>
      </c>
      <c r="V928" s="245">
        <f>MIN(V926:V927)</f>
        <v/>
      </c>
      <c r="W928" s="245">
        <f>MIN(W926:W927)</f>
        <v/>
      </c>
      <c r="X928" s="245">
        <f>MIN(X926:X927)</f>
        <v/>
      </c>
      <c r="Y928" s="245">
        <f>MIN(Y926:Y927)</f>
        <v/>
      </c>
      <c r="Z928" s="245">
        <f>MIN(Z926:Z927)</f>
        <v/>
      </c>
      <c r="AA928" s="245">
        <f>MIN(AA926:AA927)</f>
        <v/>
      </c>
      <c r="AB928" s="245">
        <f>MIN(AB926:AB927)</f>
        <v/>
      </c>
      <c r="AC928" s="245">
        <f>MIN(AC926:AC927)</f>
        <v/>
      </c>
      <c r="AD928" s="245">
        <f>MIN(AD926:AD927)</f>
        <v/>
      </c>
      <c r="AE928" s="245">
        <f>MIN(AE926:AE927)</f>
        <v/>
      </c>
      <c r="AF928" s="245">
        <f>MIN(AF926:AF927)</f>
        <v/>
      </c>
      <c r="AG928" s="245">
        <f>MIN(AG926:AG927)</f>
        <v/>
      </c>
      <c r="AH928" s="245">
        <f>MIN(AH926:AH927)</f>
        <v/>
      </c>
      <c r="AI928" s="245">
        <f>MIN(AI926:AI927)</f>
        <v/>
      </c>
      <c r="AJ928" s="245">
        <f>MIN(AJ926:AJ927)</f>
        <v/>
      </c>
      <c r="AK928" s="245">
        <f>MIN(AK926:AK927)</f>
        <v/>
      </c>
      <c r="AL928" s="245">
        <f>MIN(AL926:AL927)</f>
        <v/>
      </c>
      <c r="AM928" s="245">
        <f>MIN(AM926:AM927)</f>
        <v/>
      </c>
      <c r="AN928" s="245">
        <f>MIN(AN926:AN927)</f>
        <v/>
      </c>
      <c r="AO928" s="245">
        <f>MIN(AO926:AO927)</f>
        <v/>
      </c>
      <c r="AP928" s="245">
        <f>MIN(AP926:AP927)</f>
        <v/>
      </c>
      <c r="AQ928" s="245">
        <f>MIN(AQ926:AQ927)</f>
        <v/>
      </c>
      <c r="AR928" s="245">
        <f>MIN(AR926:AR927)</f>
        <v/>
      </c>
      <c r="AS928" s="245">
        <f>MIN(AS926:AS927)</f>
        <v/>
      </c>
      <c r="AT928" s="245">
        <f>MIN(AT926:AT927)</f>
        <v/>
      </c>
      <c r="AU928" s="245">
        <f>MIN(AU926:AU927)</f>
        <v/>
      </c>
      <c r="AV928" s="245">
        <f>MIN(AV926:AV927)</f>
        <v/>
      </c>
      <c r="AW928" s="245">
        <f>MIN(AW926:AW927)</f>
        <v/>
      </c>
      <c r="AX928" s="245">
        <f>MIN(AX926:AX927)</f>
        <v/>
      </c>
      <c r="AY928" s="245">
        <f>MIN(AY926:AY927)</f>
        <v/>
      </c>
      <c r="AZ928" s="245">
        <f>MIN(AZ926:AZ927)</f>
        <v/>
      </c>
      <c r="BA928" s="245">
        <f>MIN(BA926:BA927)</f>
        <v/>
      </c>
      <c r="BB928" s="245">
        <f>MIN(BB926:BB927)</f>
        <v/>
      </c>
      <c r="BC928" s="245">
        <f>MIN(BC926:BC927)</f>
        <v/>
      </c>
      <c r="BD928" s="245">
        <f>MIN(BD926:BD927)</f>
        <v/>
      </c>
      <c r="BE928" s="245">
        <f>MIN(BE926:BE927)</f>
        <v/>
      </c>
      <c r="BF928" s="245">
        <f>MIN(BF926:BF927)</f>
        <v/>
      </c>
      <c r="BG928" s="245">
        <f>MIN(BG926:BG927)</f>
        <v/>
      </c>
      <c r="BH928" s="245">
        <f>MIN(BH926:BH927)</f>
        <v/>
      </c>
      <c r="BI928" s="245">
        <f>MIN(BI926:BI927)</f>
        <v/>
      </c>
      <c r="BJ928" s="245">
        <f>MIN(BJ926:BJ927)</f>
        <v/>
      </c>
      <c r="BK928" s="245">
        <f>MIN(BK926:BK927)</f>
        <v/>
      </c>
      <c r="BL928" s="245">
        <f>MIN(BL926:BL927)</f>
        <v/>
      </c>
      <c r="BM928" s="245">
        <f>MIN(BM926:BM927)</f>
        <v/>
      </c>
      <c r="BN928" s="245">
        <f>MIN(BN926:BN927)</f>
        <v/>
      </c>
      <c r="BO928" s="245">
        <f>MIN(BO926:BO927)</f>
        <v/>
      </c>
      <c r="BP928" s="245">
        <f>MIN(BP926:BP927)</f>
        <v/>
      </c>
      <c r="BQ928" s="245">
        <f>MIN(BQ926:BQ927)</f>
        <v/>
      </c>
      <c r="BR928" s="245">
        <f>MIN(BR926:BR927)</f>
        <v/>
      </c>
      <c r="BS928" s="245">
        <f>MIN(BS926:BS927)</f>
        <v/>
      </c>
      <c r="BT928" s="245">
        <f>MIN(BT926:BT927)</f>
        <v/>
      </c>
      <c r="BU928" s="245">
        <f>MIN(BU926:BU927)</f>
        <v/>
      </c>
      <c r="BV928" s="245">
        <f>MIN(BV926:BV927)</f>
        <v/>
      </c>
      <c r="BW928" s="245">
        <f>MIN(BW926:BW927)</f>
        <v/>
      </c>
      <c r="BX928" s="245">
        <f>MIN(BX926:BX927)</f>
        <v/>
      </c>
      <c r="BY928" s="245">
        <f>MIN(BY926:BY927)</f>
        <v/>
      </c>
      <c r="BZ928" s="245">
        <f>MIN(BZ926:BZ927)</f>
        <v/>
      </c>
      <c r="CA928" s="245">
        <f>MIN(CA926:CA927)</f>
        <v/>
      </c>
      <c r="CB928" s="245">
        <f>MIN(CB926:CB927)</f>
        <v/>
      </c>
      <c r="CC928" s="245">
        <f>MIN(CC926:CC927)</f>
        <v/>
      </c>
      <c r="CD928" s="245">
        <f>MIN(CD926:CD927)</f>
        <v/>
      </c>
      <c r="CE928" s="245">
        <f>MIN(CE926:CE927)</f>
        <v/>
      </c>
      <c r="CF928" s="245">
        <f>MIN(CF926:CF927)</f>
        <v/>
      </c>
      <c r="CG928" s="245">
        <f>MIN(CG926:CG927)</f>
        <v/>
      </c>
      <c r="CH928" s="245">
        <f>MIN(CH926:CH927)</f>
        <v/>
      </c>
      <c r="CI928" s="245">
        <f>MIN(CI926:CI927)</f>
        <v/>
      </c>
      <c r="CJ928" s="245">
        <f>MIN(CJ926:CJ927)</f>
        <v/>
      </c>
      <c r="CK928" s="245">
        <f>MIN(CK926:CK927)</f>
        <v/>
      </c>
      <c r="CL928" s="245">
        <f>MIN(CL926:CL927)</f>
        <v/>
      </c>
      <c r="CM928" s="245">
        <f>MIN(CM926:CM927)</f>
        <v/>
      </c>
      <c r="CN928" s="245">
        <f>MIN(CN926:CN927)</f>
        <v/>
      </c>
      <c r="CO928" s="245">
        <f>MIN(CO926:CO927)</f>
        <v/>
      </c>
      <c r="CP928" s="245">
        <f>MIN(CP926:CP927)</f>
        <v/>
      </c>
      <c r="CQ928" s="245">
        <f>MIN(CQ926:CQ927)</f>
        <v/>
      </c>
      <c r="CR928" s="245">
        <f>MIN(CR926:CR927)</f>
        <v/>
      </c>
      <c r="CS928" s="245">
        <f>MIN(CS926:CS927)</f>
        <v/>
      </c>
      <c r="CT928" s="245">
        <f>MIN(CT926:CT927)</f>
        <v/>
      </c>
      <c r="CU928" s="245">
        <f>MIN(CU926:CU927)</f>
        <v/>
      </c>
      <c r="CV928" s="245">
        <f>MIN(CV926:CV927)</f>
        <v/>
      </c>
      <c r="CW928" s="245">
        <f>MIN(CW926:CW927)</f>
        <v/>
      </c>
      <c r="CX928" s="245">
        <f>MIN(CX926:CX927)</f>
        <v/>
      </c>
      <c r="CY928" s="245">
        <f>MIN(CY926:CY927)</f>
        <v/>
      </c>
      <c r="CZ928" s="245">
        <f>MIN(CZ926:CZ927)</f>
        <v/>
      </c>
      <c r="DA928" s="245">
        <f>MIN(DA926:DA927)</f>
        <v/>
      </c>
      <c r="DB928" s="245">
        <f>MIN(DB926:DB927)</f>
        <v/>
      </c>
      <c r="DC928" s="245">
        <f>MIN(DC926:DC927)</f>
        <v/>
      </c>
      <c r="DD928" s="245">
        <f>MIN(DD926:DD927)</f>
        <v/>
      </c>
      <c r="DE928" s="245">
        <f>MIN(DE926:DE927)</f>
        <v/>
      </c>
      <c r="DF928" s="245">
        <f>MIN(DF926:DF927)</f>
        <v/>
      </c>
      <c r="DG928" s="245">
        <f>MIN(DG926:DG927)</f>
        <v/>
      </c>
      <c r="DH928" s="245">
        <f>MIN(DH926:DH927)</f>
        <v/>
      </c>
      <c r="DI928" s="245">
        <f>MIN(DI926:DI927)</f>
        <v/>
      </c>
      <c r="DJ928" s="245">
        <f>MIN(DJ926:DJ927)</f>
        <v/>
      </c>
      <c r="DK928" s="245">
        <f>MIN(DK926:DK927)</f>
        <v/>
      </c>
      <c r="DL928" s="245">
        <f>MIN(DL926:DL927)</f>
        <v/>
      </c>
      <c r="DM928" s="245">
        <f>MIN(DM926:DM927)</f>
        <v/>
      </c>
      <c r="DN928" s="245">
        <f>MIN(DN926:DN927)</f>
        <v/>
      </c>
      <c r="DO928" s="245">
        <f>MIN(DO926:DO927)</f>
        <v/>
      </c>
      <c r="DP928" s="245">
        <f>MIN(DP926:DP927)</f>
        <v/>
      </c>
      <c r="DQ928" s="245">
        <f>MIN(DQ926:DQ927)</f>
        <v/>
      </c>
      <c r="DR928" s="245">
        <f>MIN(DR926:DR927)</f>
        <v/>
      </c>
      <c r="DS928" s="245">
        <f>MIN(DS926:DS927)</f>
        <v/>
      </c>
      <c r="DT928" s="245">
        <f>MIN(DT926:DT927)</f>
        <v/>
      </c>
      <c r="DU928" s="245">
        <f>MIN(DU926:DU927)</f>
        <v/>
      </c>
      <c r="DV928" s="245">
        <f>MIN(DV926:DV927)</f>
        <v/>
      </c>
      <c r="DW928" s="245">
        <f>MIN(DW926:DW927)</f>
        <v/>
      </c>
      <c r="DX928" s="245">
        <f>MIN(DX926:DX927)</f>
        <v/>
      </c>
      <c r="DY928" s="245">
        <f>MIN(DY926:DY927)</f>
        <v/>
      </c>
      <c r="DZ928" s="245">
        <f>MIN(DZ926:DZ927)</f>
        <v/>
      </c>
      <c r="EA928" s="245">
        <f>MIN(EA926:EA927)</f>
        <v/>
      </c>
      <c r="EB928" s="245">
        <f>MIN(EB926:EB927)</f>
        <v/>
      </c>
      <c r="EC928" s="245">
        <f>MIN(EC926:EC927)</f>
        <v/>
      </c>
      <c r="ED928" s="245">
        <f>MIN(ED926:ED927)</f>
        <v/>
      </c>
      <c r="EE928" s="245">
        <f>MIN(EE926:EE927)</f>
        <v/>
      </c>
      <c r="EF928" s="245">
        <f>MIN(EF926:EF927)</f>
        <v/>
      </c>
      <c r="EG928" s="245">
        <f>MIN(EG926:EG927)</f>
        <v/>
      </c>
      <c r="EH928" s="245">
        <f>MIN(EH926:EH927)</f>
        <v/>
      </c>
      <c r="EI928" s="245">
        <f>MIN(EI926:EI927)</f>
        <v/>
      </c>
      <c r="EJ928" s="245">
        <f>MIN(EJ926:EJ927)</f>
        <v/>
      </c>
      <c r="EK928" s="245">
        <f>MIN(EK926:EK927)</f>
        <v/>
      </c>
      <c r="EL928" s="245">
        <f>MIN(EL926:EL927)</f>
        <v/>
      </c>
      <c r="EM928" s="245">
        <f>MIN(EM926:EM927)</f>
        <v/>
      </c>
      <c r="EN928" s="245">
        <f>MIN(EN926:EN927)</f>
        <v/>
      </c>
      <c r="EO928" s="245">
        <f>MIN(EO926:EO927)</f>
        <v/>
      </c>
      <c r="EP928" s="245">
        <f>MIN(EP926:EP927)</f>
        <v/>
      </c>
      <c r="EQ928" s="245">
        <f>MIN(EQ926:EQ927)</f>
        <v/>
      </c>
      <c r="ER928" s="245">
        <f>MIN(ER926:ER927)</f>
        <v/>
      </c>
      <c r="ES928" s="245">
        <f>MIN(ES926:ES927)</f>
        <v/>
      </c>
      <c r="ET928" s="245">
        <f>MIN(ET926:ET927)</f>
        <v/>
      </c>
      <c r="EU928" s="245">
        <f>MIN(EU926:EU927)</f>
        <v/>
      </c>
      <c r="EV928" s="245">
        <f>MIN(EV926:EV927)</f>
        <v/>
      </c>
      <c r="EW928" s="245">
        <f>MIN(EW926:EW927)</f>
        <v/>
      </c>
      <c r="EX928" s="245">
        <f>MIN(EX926:EX927)</f>
        <v/>
      </c>
      <c r="EY928" s="245">
        <f>MIN(EY926:EY927)</f>
        <v/>
      </c>
      <c r="EZ928" s="245">
        <f>MIN(EZ926:EZ927)</f>
        <v/>
      </c>
      <c r="FA928" s="245">
        <f>MIN(FA926:FA927)</f>
        <v/>
      </c>
      <c r="FB928" s="245">
        <f>MIN(FB926:FB927)</f>
        <v/>
      </c>
      <c r="FC928" s="245">
        <f>MIN(FC926:FC927)</f>
        <v/>
      </c>
      <c r="FD928" s="245">
        <f>MIN(FD926:FD927)</f>
        <v/>
      </c>
      <c r="FE928" s="245">
        <f>MIN(FE926:FE927)</f>
        <v/>
      </c>
      <c r="FF928" s="245">
        <f>MIN(FF926:FF927)</f>
        <v/>
      </c>
      <c r="FG928" s="245">
        <f>MIN(FG926:FG927)</f>
        <v/>
      </c>
      <c r="FH928" s="245">
        <f>MIN(FH926:FH927)</f>
        <v/>
      </c>
      <c r="FI928" s="245">
        <f>MIN(FI926:FI927)</f>
        <v/>
      </c>
      <c r="FJ928" s="245">
        <f>MIN(FJ926:FJ927)</f>
        <v/>
      </c>
      <c r="FK928" s="245">
        <f>MIN(FK926:FK927)</f>
        <v/>
      </c>
      <c r="FL928" s="245">
        <f>MIN(FL926:FL927)</f>
        <v/>
      </c>
      <c r="FM928" s="245">
        <f>MIN(FM926:FM927)</f>
        <v/>
      </c>
      <c r="FN928" s="245">
        <f>MIN(FN926:FN927)</f>
        <v/>
      </c>
      <c r="FO928" s="245">
        <f>MIN(FO926:FO927)</f>
        <v/>
      </c>
      <c r="FP928" s="245">
        <f>MIN(FP926:FP927)</f>
        <v/>
      </c>
      <c r="FQ928" s="245">
        <f>MIN(FQ926:FQ927)</f>
        <v/>
      </c>
      <c r="FR928" s="245">
        <f>MIN(FR926:FR927)</f>
        <v/>
      </c>
      <c r="FS928" s="245">
        <f>MIN(FS926:FS927)</f>
        <v/>
      </c>
      <c r="FT928" s="245">
        <f>MIN(FT926:FT927)</f>
        <v/>
      </c>
      <c r="FU928" s="245">
        <f>MIN(FU926:FU927)</f>
        <v/>
      </c>
      <c r="FV928" s="245">
        <f>MIN(FV926:FV927)</f>
        <v/>
      </c>
      <c r="FW928" s="245">
        <f>MIN(FW926:FW927)</f>
        <v/>
      </c>
      <c r="FX928" s="245">
        <f>MIN(FX926:FX927)</f>
        <v/>
      </c>
      <c r="FY928" s="245">
        <f>MIN(FY926:FY927)</f>
        <v/>
      </c>
      <c r="FZ928" s="245">
        <f>MIN(FZ926:FZ927)</f>
        <v/>
      </c>
      <c r="GA928" s="245">
        <f>MIN(GA926:GA927)</f>
        <v/>
      </c>
      <c r="GB928" s="245">
        <f>MIN(GB926:GB927)</f>
        <v/>
      </c>
      <c r="GC928" s="245">
        <f>MIN(GC926:GC927)</f>
        <v/>
      </c>
      <c r="GD928" s="245">
        <f>MIN(GD926:GD927)</f>
        <v/>
      </c>
      <c r="GE928" s="245">
        <f>MIN(GE926:GE927)</f>
        <v/>
      </c>
      <c r="GF928" s="245">
        <f>MIN(GF926:GF927)</f>
        <v/>
      </c>
      <c r="GG928" s="245">
        <f>MIN(GG926:GG927)</f>
        <v/>
      </c>
      <c r="GH928" s="245">
        <f>MIN(GH926:GH927)</f>
        <v/>
      </c>
      <c r="GI928" s="245">
        <f>MIN(GI926:GI927)</f>
        <v/>
      </c>
      <c r="GJ928" s="245">
        <f>MIN(GJ926:GJ927)</f>
        <v/>
      </c>
      <c r="GK928" s="245">
        <f>MIN(GK926:GK927)</f>
        <v/>
      </c>
      <c r="GL928" s="245">
        <f>MIN(GL926:GL927)</f>
        <v/>
      </c>
      <c r="GM928" s="245">
        <f>MIN(GM926:GM927)</f>
        <v/>
      </c>
      <c r="GN928" s="245">
        <f>MIN(GN926:GN927)</f>
        <v/>
      </c>
      <c r="GO928" s="245">
        <f>MIN(GO926:GO927)</f>
        <v/>
      </c>
      <c r="GP928" s="245">
        <f>MIN(GP926:GP927)</f>
        <v/>
      </c>
      <c r="GQ928" s="245">
        <f>MIN(GQ926:GQ927)</f>
        <v/>
      </c>
      <c r="GR928" s="245" t="n"/>
      <c r="GS928" s="245" t="n"/>
      <c r="GT928" s="245" t="n"/>
      <c r="GU928" s="245" t="n"/>
      <c r="GV928" s="245" t="n"/>
      <c r="GW928" s="245" t="n"/>
      <c r="GX928" s="245" t="n"/>
      <c r="GY928" s="245" t="n"/>
      <c r="GZ928" s="245" t="n"/>
      <c r="HA928" s="245" t="n"/>
      <c r="HB928" s="245" t="n"/>
      <c r="HC928" s="245" t="n"/>
    </row>
    <row r="929" ht="12" customHeight="1" s="227">
      <c r="A929" s="244" t="n"/>
      <c r="B929" s="244" t="n"/>
      <c r="C929" s="244" t="n"/>
      <c r="H929" s="0" t="n"/>
      <c r="I929" s="27" t="n"/>
      <c r="T929" s="245" t="n"/>
      <c r="U929" s="245" t="n"/>
      <c r="V929" s="245" t="n"/>
      <c r="W929" s="245" t="n"/>
      <c r="X929" s="245" t="n"/>
      <c r="Y929" s="245" t="n"/>
      <c r="Z929" s="245" t="n"/>
      <c r="AA929" s="245" t="n"/>
      <c r="AB929" s="245" t="n"/>
      <c r="AC929" s="245" t="n"/>
      <c r="AD929" s="245" t="n"/>
      <c r="AE929" s="245" t="n"/>
      <c r="AF929" s="245" t="n"/>
      <c r="AG929" s="245" t="n"/>
      <c r="AH929" s="245" t="n"/>
      <c r="AI929" s="245" t="n"/>
      <c r="AJ929" s="245" t="n"/>
      <c r="AK929" s="245" t="n"/>
      <c r="AL929" s="245" t="n"/>
      <c r="AM929" s="245" t="n"/>
      <c r="AN929" s="245" t="n"/>
      <c r="AO929" s="245" t="n"/>
      <c r="AP929" s="245" t="n"/>
      <c r="AQ929" s="245" t="n"/>
      <c r="AR929" s="245" t="n"/>
      <c r="AS929" s="245" t="n"/>
      <c r="AT929" s="245" t="n"/>
      <c r="AU929" s="245" t="n"/>
      <c r="AV929" s="245" t="n"/>
      <c r="AW929" s="245" t="n"/>
      <c r="AX929" s="245" t="n"/>
      <c r="AY929" s="245" t="n"/>
      <c r="AZ929" s="245" t="n"/>
      <c r="BA929" s="245" t="n"/>
      <c r="BB929" s="245" t="n"/>
      <c r="BC929" s="245" t="n"/>
      <c r="BD929" s="245" t="n"/>
      <c r="BE929" s="245" t="n"/>
      <c r="BF929" s="245" t="n"/>
      <c r="BG929" s="245" t="n"/>
      <c r="BH929" s="245" t="n"/>
      <c r="BI929" s="245" t="n"/>
      <c r="BJ929" s="245" t="n"/>
      <c r="BK929" s="245" t="n"/>
      <c r="BL929" s="245" t="n"/>
      <c r="BM929" s="245" t="n"/>
      <c r="BN929" s="245" t="n"/>
      <c r="BO929" s="245" t="n"/>
      <c r="BP929" s="245" t="n"/>
      <c r="BQ929" s="245" t="n"/>
      <c r="BR929" s="245" t="n"/>
      <c r="BS929" s="245" t="n"/>
      <c r="BT929" s="245" t="n"/>
      <c r="BU929" s="245" t="n"/>
      <c r="BV929" s="245" t="n"/>
      <c r="BW929" s="245" t="n"/>
      <c r="BX929" s="245" t="n"/>
      <c r="BY929" s="245" t="n"/>
      <c r="BZ929" s="245" t="n"/>
      <c r="CA929" s="245" t="n"/>
    </row>
    <row r="930" ht="12" customHeight="1" s="227">
      <c r="A930" s="244" t="n"/>
      <c r="B930" s="244" t="n"/>
      <c r="C930" s="244" t="n"/>
      <c r="I930" s="202" t="n"/>
      <c r="K930" s="6" t="n"/>
    </row>
    <row r="931" ht="12" customHeight="1" s="227">
      <c r="A931" s="244" t="n"/>
      <c r="B931" s="244" t="n"/>
      <c r="C931" s="244" t="n"/>
      <c r="H931" s="0" t="inlineStr">
        <is>
          <t>Interest Rate</t>
        </is>
      </c>
      <c r="I931" s="27" t="inlineStr">
        <is>
          <t>%</t>
        </is>
      </c>
      <c r="K931" s="273">
        <f>(1+INDEX(i_Assumptions!$N$658:$N$660,MATCH(c_Calculations!G924,i_Assumptions!$H$658:$H$660,0),))^(1/12)-1</f>
        <v/>
      </c>
      <c r="T931" s="274">
        <f>IF(T928=0,0,$K931)</f>
        <v/>
      </c>
      <c r="U931" s="274">
        <f>IF(U928=0,0,$K931)</f>
        <v/>
      </c>
      <c r="V931" s="274">
        <f>IF(V928=0,0,$K931)</f>
        <v/>
      </c>
      <c r="W931" s="274">
        <f>IF(W928=0,0,$K931)</f>
        <v/>
      </c>
      <c r="X931" s="274">
        <f>IF(X928=0,0,$K931)</f>
        <v/>
      </c>
      <c r="Y931" s="274">
        <f>IF(Y928=0,0,$K931)</f>
        <v/>
      </c>
      <c r="Z931" s="274">
        <f>IF(Z928=0,0,$K931)</f>
        <v/>
      </c>
      <c r="AA931" s="274">
        <f>IF(AA928=0,0,$K931)</f>
        <v/>
      </c>
      <c r="AB931" s="274">
        <f>IF(AB928=0,0,$K931)</f>
        <v/>
      </c>
      <c r="AC931" s="274">
        <f>IF(AC928=0,0,$K931)</f>
        <v/>
      </c>
      <c r="AD931" s="274">
        <f>IF(AD928=0,0,$K931)</f>
        <v/>
      </c>
      <c r="AE931" s="274">
        <f>IF(AE928=0,0,$K931)</f>
        <v/>
      </c>
      <c r="AF931" s="274">
        <f>IF(AF928=0,0,$K931)</f>
        <v/>
      </c>
      <c r="AG931" s="274">
        <f>IF(AG928=0,0,$K931)</f>
        <v/>
      </c>
      <c r="AH931" s="274">
        <f>IF(AH928=0,0,$K931)</f>
        <v/>
      </c>
      <c r="AI931" s="274">
        <f>IF(AI928=0,0,$K931)</f>
        <v/>
      </c>
      <c r="AJ931" s="274">
        <f>IF(AJ928=0,0,$K931)</f>
        <v/>
      </c>
      <c r="AK931" s="274">
        <f>IF(AK928=0,0,$K931)</f>
        <v/>
      </c>
      <c r="AL931" s="274">
        <f>IF(AL928=0,0,$K931)</f>
        <v/>
      </c>
      <c r="AM931" s="274">
        <f>IF(AM928=0,0,$K931)</f>
        <v/>
      </c>
      <c r="AN931" s="274">
        <f>IF(AN928=0,0,$K931)</f>
        <v/>
      </c>
      <c r="AO931" s="274">
        <f>IF(AO928=0,0,$K931)</f>
        <v/>
      </c>
      <c r="AP931" s="274">
        <f>IF(AP928=0,0,$K931)</f>
        <v/>
      </c>
      <c r="AQ931" s="274">
        <f>IF(AQ928=0,0,$K931)</f>
        <v/>
      </c>
      <c r="AR931" s="274">
        <f>IF(AR928=0,0,$K931)</f>
        <v/>
      </c>
      <c r="AS931" s="274">
        <f>IF(AS928=0,0,$K931)</f>
        <v/>
      </c>
      <c r="AT931" s="274">
        <f>IF(AT928=0,0,$K931)</f>
        <v/>
      </c>
      <c r="AU931" s="274">
        <f>IF(AU928=0,0,$K931)</f>
        <v/>
      </c>
      <c r="AV931" s="274">
        <f>IF(AV928=0,0,$K931)</f>
        <v/>
      </c>
      <c r="AW931" s="274">
        <f>IF(AW928=0,0,$K931)</f>
        <v/>
      </c>
      <c r="AX931" s="274">
        <f>IF(AX928=0,0,$K931)</f>
        <v/>
      </c>
      <c r="AY931" s="274">
        <f>IF(AY928=0,0,$K931)</f>
        <v/>
      </c>
      <c r="AZ931" s="274">
        <f>IF(AZ928=0,0,$K931)</f>
        <v/>
      </c>
      <c r="BA931" s="274">
        <f>IF(BA928=0,0,$K931)</f>
        <v/>
      </c>
      <c r="BB931" s="274">
        <f>IF(BB928=0,0,$K931)</f>
        <v/>
      </c>
      <c r="BC931" s="274">
        <f>IF(BC928=0,0,$K931)</f>
        <v/>
      </c>
      <c r="BD931" s="274">
        <f>IF(BD928=0,0,$K931)</f>
        <v/>
      </c>
      <c r="BE931" s="274">
        <f>IF(BE928=0,0,$K931)</f>
        <v/>
      </c>
      <c r="BF931" s="274">
        <f>IF(BF928=0,0,$K931)</f>
        <v/>
      </c>
      <c r="BG931" s="274">
        <f>IF(BG928=0,0,$K931)</f>
        <v/>
      </c>
      <c r="BH931" s="274">
        <f>IF(BH928=0,0,$K931)</f>
        <v/>
      </c>
      <c r="BI931" s="274">
        <f>IF(BI928=0,0,$K931)</f>
        <v/>
      </c>
      <c r="BJ931" s="274">
        <f>IF(BJ928=0,0,$K931)</f>
        <v/>
      </c>
      <c r="BK931" s="274">
        <f>IF(BK928=0,0,$K931)</f>
        <v/>
      </c>
      <c r="BL931" s="274">
        <f>IF(BL928=0,0,$K931)</f>
        <v/>
      </c>
      <c r="BM931" s="274">
        <f>IF(BM928=0,0,$K931)</f>
        <v/>
      </c>
      <c r="BN931" s="274">
        <f>IF(BN928=0,0,$K931)</f>
        <v/>
      </c>
      <c r="BO931" s="274">
        <f>IF(BO928=0,0,$K931)</f>
        <v/>
      </c>
      <c r="BP931" s="274">
        <f>IF(BP928=0,0,$K931)</f>
        <v/>
      </c>
      <c r="BQ931" s="274">
        <f>IF(BQ928=0,0,$K931)</f>
        <v/>
      </c>
      <c r="BR931" s="274">
        <f>IF(BR928=0,0,$K931)</f>
        <v/>
      </c>
      <c r="BS931" s="274">
        <f>IF(BS928=0,0,$K931)</f>
        <v/>
      </c>
      <c r="BT931" s="274">
        <f>IF(BT928=0,0,$K931)</f>
        <v/>
      </c>
      <c r="BU931" s="274">
        <f>IF(BU928=0,0,$K931)</f>
        <v/>
      </c>
      <c r="BV931" s="274">
        <f>IF(BV928=0,0,$K931)</f>
        <v/>
      </c>
      <c r="BW931" s="274">
        <f>IF(BW928=0,0,$K931)</f>
        <v/>
      </c>
      <c r="BX931" s="274">
        <f>IF(BX928=0,0,$K931)</f>
        <v/>
      </c>
      <c r="BY931" s="274">
        <f>IF(BY928=0,0,$K931)</f>
        <v/>
      </c>
      <c r="BZ931" s="274">
        <f>IF(BZ928=0,0,$K931)</f>
        <v/>
      </c>
      <c r="CA931" s="274">
        <f>IF(CA928=0,0,$K931)</f>
        <v/>
      </c>
    </row>
    <row r="932" ht="12" customHeight="1" s="227">
      <c r="A932" s="244" t="n"/>
      <c r="B932" s="244" t="n"/>
      <c r="C932" s="244" t="n"/>
      <c r="K932" s="6" t="n"/>
    </row>
    <row r="933" ht="12" customHeight="1" s="227">
      <c r="A933" s="244" t="n"/>
      <c r="B933" s="244" t="n"/>
      <c r="C933" s="244" t="n"/>
      <c r="H933" s="0" t="inlineStr">
        <is>
          <t>NPER</t>
        </is>
      </c>
      <c r="I933" s="27" t="inlineStr">
        <is>
          <t>No</t>
        </is>
      </c>
      <c r="K933" s="6" t="n"/>
      <c r="T933" s="270">
        <f>IF(T928=0,0,SUM(T928:$GQ928))</f>
        <v/>
      </c>
      <c r="U933" s="270">
        <f>IF(U928=0,0,SUM(U928:$GQ928))</f>
        <v/>
      </c>
      <c r="V933" s="270">
        <f>IF(V928=0,0,SUM(V928:$GQ928))</f>
        <v/>
      </c>
      <c r="W933" s="270">
        <f>IF(W928=0,0,SUM(W928:$GQ928))</f>
        <v/>
      </c>
      <c r="X933" s="270">
        <f>IF(X928=0,0,SUM(X928:$GQ928))</f>
        <v/>
      </c>
      <c r="Y933" s="270">
        <f>IF(Y928=0,0,SUM(Y928:$GQ928))</f>
        <v/>
      </c>
      <c r="Z933" s="270">
        <f>IF(Z928=0,0,SUM(Z928:$GQ928))</f>
        <v/>
      </c>
      <c r="AA933" s="270">
        <f>IF(AA928=0,0,SUM(AA928:$GQ928))</f>
        <v/>
      </c>
      <c r="AB933" s="270">
        <f>IF(AB928=0,0,SUM(AB928:$GQ928))</f>
        <v/>
      </c>
      <c r="AC933" s="270">
        <f>IF(AC928=0,0,SUM(AC928:$GQ928))</f>
        <v/>
      </c>
      <c r="AD933" s="270">
        <f>IF(AD928=0,0,SUM(AD928:$GQ928))</f>
        <v/>
      </c>
      <c r="AE933" s="270">
        <f>IF(AE928=0,0,SUM(AE928:$GQ928))</f>
        <v/>
      </c>
      <c r="AF933" s="270">
        <f>IF(AF928=0,0,SUM(AF928:$GQ928))</f>
        <v/>
      </c>
      <c r="AG933" s="270">
        <f>IF(AG928=0,0,SUM(AG928:$GQ928))</f>
        <v/>
      </c>
      <c r="AH933" s="270">
        <f>IF(AH928=0,0,SUM(AH928:$GQ928))</f>
        <v/>
      </c>
      <c r="AI933" s="270">
        <f>IF(AI928=0,0,SUM(AI928:$GQ928))</f>
        <v/>
      </c>
      <c r="AJ933" s="270">
        <f>IF(AJ928=0,0,SUM(AJ928:$GQ928))</f>
        <v/>
      </c>
      <c r="AK933" s="270">
        <f>IF(AK928=0,0,SUM(AK928:$GQ928))</f>
        <v/>
      </c>
      <c r="AL933" s="270">
        <f>IF(AL928=0,0,SUM(AL928:$GQ928))</f>
        <v/>
      </c>
      <c r="AM933" s="270">
        <f>IF(AM928=0,0,SUM(AM928:$GQ928))</f>
        <v/>
      </c>
      <c r="AN933" s="270">
        <f>IF(AN928=0,0,SUM(AN928:$GQ928))</f>
        <v/>
      </c>
      <c r="AO933" s="270">
        <f>IF(AO928=0,0,SUM(AO928:$GQ928))</f>
        <v/>
      </c>
      <c r="AP933" s="270">
        <f>IF(AP928=0,0,SUM(AP928:$GQ928))</f>
        <v/>
      </c>
      <c r="AQ933" s="270">
        <f>IF(AQ928=0,0,SUM(AQ928:$GQ928))</f>
        <v/>
      </c>
      <c r="AR933" s="270">
        <f>IF(AR928=0,0,SUM(AR928:$GQ928))</f>
        <v/>
      </c>
      <c r="AS933" s="270">
        <f>IF(AS928=0,0,SUM(AS928:$GQ928))</f>
        <v/>
      </c>
      <c r="AT933" s="270">
        <f>IF(AT928=0,0,SUM(AT928:$GQ928))</f>
        <v/>
      </c>
      <c r="AU933" s="270">
        <f>IF(AU928=0,0,SUM(AU928:$GQ928))</f>
        <v/>
      </c>
      <c r="AV933" s="270">
        <f>IF(AV928=0,0,SUM(AV928:$GQ928))</f>
        <v/>
      </c>
      <c r="AW933" s="270">
        <f>IF(AW928=0,0,SUM(AW928:$GQ928))</f>
        <v/>
      </c>
      <c r="AX933" s="270">
        <f>IF(AX928=0,0,SUM(AX928:$GQ928))</f>
        <v/>
      </c>
      <c r="AY933" s="270">
        <f>IF(AY928=0,0,SUM(AY928:$GQ928))</f>
        <v/>
      </c>
      <c r="AZ933" s="270">
        <f>IF(AZ928=0,0,SUM(AZ928:$GQ928))</f>
        <v/>
      </c>
      <c r="BA933" s="270">
        <f>IF(BA928=0,0,SUM(BA928:$GQ928))</f>
        <v/>
      </c>
      <c r="BB933" s="270">
        <f>IF(BB928=0,0,SUM(BB928:$GQ928))</f>
        <v/>
      </c>
      <c r="BC933" s="270">
        <f>IF(BC928=0,0,SUM(BC928:$GQ928))</f>
        <v/>
      </c>
      <c r="BD933" s="270">
        <f>IF(BD928=0,0,SUM(BD928:$GQ928))</f>
        <v/>
      </c>
      <c r="BE933" s="270">
        <f>IF(BE928=0,0,SUM(BE928:$GQ928))</f>
        <v/>
      </c>
      <c r="BF933" s="270">
        <f>IF(BF928=0,0,SUM(BF928:$GQ928))</f>
        <v/>
      </c>
      <c r="BG933" s="270">
        <f>IF(BG928=0,0,SUM(BG928:$GQ928))</f>
        <v/>
      </c>
      <c r="BH933" s="270">
        <f>IF(BH928=0,0,SUM(BH928:$GQ928))</f>
        <v/>
      </c>
      <c r="BI933" s="270">
        <f>IF(BI928=0,0,SUM(BI928:$GQ928))</f>
        <v/>
      </c>
      <c r="BJ933" s="270">
        <f>IF(BJ928=0,0,SUM(BJ928:$GQ928))</f>
        <v/>
      </c>
      <c r="BK933" s="270">
        <f>IF(BK928=0,0,SUM(BK928:$GQ928))</f>
        <v/>
      </c>
      <c r="BL933" s="270">
        <f>IF(BL928=0,0,SUM(BL928:$GQ928))</f>
        <v/>
      </c>
      <c r="BM933" s="270">
        <f>IF(BM928=0,0,SUM(BM928:$GQ928))</f>
        <v/>
      </c>
      <c r="BN933" s="270">
        <f>IF(BN928=0,0,SUM(BN928:$GQ928))</f>
        <v/>
      </c>
      <c r="BO933" s="270">
        <f>IF(BO928=0,0,SUM(BO928:$GQ928))</f>
        <v/>
      </c>
      <c r="BP933" s="270">
        <f>IF(BP928=0,0,SUM(BP928:$GQ928))</f>
        <v/>
      </c>
      <c r="BQ933" s="270">
        <f>IF(BQ928=0,0,SUM(BQ928:$GQ928))</f>
        <v/>
      </c>
      <c r="BR933" s="270">
        <f>IF(BR928=0,0,SUM(BR928:$GQ928))</f>
        <v/>
      </c>
      <c r="BS933" s="270">
        <f>IF(BS928=0,0,SUM(BS928:$GQ928))</f>
        <v/>
      </c>
      <c r="BT933" s="270">
        <f>IF(BT928=0,0,SUM(BT928:$GQ928))</f>
        <v/>
      </c>
      <c r="BU933" s="270">
        <f>IF(BU928=0,0,SUM(BU928:$GQ928))</f>
        <v/>
      </c>
      <c r="BV933" s="270">
        <f>IF(BV928=0,0,SUM(BV928:$GQ928))</f>
        <v/>
      </c>
      <c r="BW933" s="270">
        <f>IF(BW928=0,0,SUM(BW928:$GQ928))</f>
        <v/>
      </c>
      <c r="BX933" s="270">
        <f>IF(BX928=0,0,SUM(BX928:$GQ928))</f>
        <v/>
      </c>
      <c r="BY933" s="270">
        <f>IF(BY928=0,0,SUM(BY928:$GQ928))</f>
        <v/>
      </c>
      <c r="BZ933" s="270">
        <f>IF(BZ928=0,0,SUM(BZ928:$GQ928))</f>
        <v/>
      </c>
      <c r="CA933" s="270">
        <f>IF(CA928=0,0,SUM(CA928:$GQ928))</f>
        <v/>
      </c>
      <c r="CB933" s="270">
        <f>IF(CB928=0,0,SUM(CB928:$GQ928))</f>
        <v/>
      </c>
      <c r="CC933" s="270">
        <f>IF(CC928=0,0,SUM(CC928:$GQ928))</f>
        <v/>
      </c>
      <c r="CD933" s="270">
        <f>IF(CD928=0,0,SUM(CD928:$GQ928))</f>
        <v/>
      </c>
      <c r="CE933" s="270">
        <f>IF(CE928=0,0,SUM(CE928:$GQ928))</f>
        <v/>
      </c>
      <c r="CF933" s="270">
        <f>IF(CF928=0,0,SUM(CF928:$GQ928))</f>
        <v/>
      </c>
      <c r="CG933" s="270">
        <f>IF(CG928=0,0,SUM(CG928:$GQ928))</f>
        <v/>
      </c>
      <c r="CH933" s="270">
        <f>IF(CH928=0,0,SUM(CH928:$GQ928))</f>
        <v/>
      </c>
      <c r="CI933" s="270">
        <f>IF(CI928=0,0,SUM(CI928:$GQ928))</f>
        <v/>
      </c>
      <c r="CJ933" s="270">
        <f>IF(CJ928=0,0,SUM(CJ928:$GQ928))</f>
        <v/>
      </c>
      <c r="CK933" s="270">
        <f>IF(CK928=0,0,SUM(CK928:$GQ928))</f>
        <v/>
      </c>
      <c r="CL933" s="270">
        <f>IF(CL928=0,0,SUM(CL928:$GQ928))</f>
        <v/>
      </c>
      <c r="CM933" s="270">
        <f>IF(CM928=0,0,SUM(CM928:$GQ928))</f>
        <v/>
      </c>
      <c r="CN933" s="270">
        <f>IF(CN928=0,0,SUM(CN928:$GQ928))</f>
        <v/>
      </c>
      <c r="CO933" s="270">
        <f>IF(CO928=0,0,SUM(CO928:$GQ928))</f>
        <v/>
      </c>
      <c r="CP933" s="270">
        <f>IF(CP928=0,0,SUM(CP928:$GQ928))</f>
        <v/>
      </c>
      <c r="CQ933" s="270">
        <f>IF(CQ928=0,0,SUM(CQ928:$GQ928))</f>
        <v/>
      </c>
      <c r="CR933" s="270">
        <f>IF(CR928=0,0,SUM(CR928:$GQ928))</f>
        <v/>
      </c>
      <c r="CS933" s="270">
        <f>IF(CS928=0,0,SUM(CS928:$GQ928))</f>
        <v/>
      </c>
      <c r="CT933" s="270">
        <f>IF(CT928=0,0,SUM(CT928:$GQ928))</f>
        <v/>
      </c>
      <c r="CU933" s="270">
        <f>IF(CU928=0,0,SUM(CU928:$GQ928))</f>
        <v/>
      </c>
      <c r="CV933" s="270">
        <f>IF(CV928=0,0,SUM(CV928:$GQ928))</f>
        <v/>
      </c>
      <c r="CW933" s="270">
        <f>IF(CW928=0,0,SUM(CW928:$GQ928))</f>
        <v/>
      </c>
      <c r="CX933" s="270">
        <f>IF(CX928=0,0,SUM(CX928:$GQ928))</f>
        <v/>
      </c>
      <c r="CY933" s="270">
        <f>IF(CY928=0,0,SUM(CY928:$GQ928))</f>
        <v/>
      </c>
      <c r="CZ933" s="270">
        <f>IF(CZ928=0,0,SUM(CZ928:$GQ928))</f>
        <v/>
      </c>
      <c r="DA933" s="270">
        <f>IF(DA928=0,0,SUM(DA928:$GQ928))</f>
        <v/>
      </c>
      <c r="DB933" s="270">
        <f>IF(DB928=0,0,SUM(DB928:$GQ928))</f>
        <v/>
      </c>
      <c r="DC933" s="270">
        <f>IF(DC928=0,0,SUM(DC928:$GQ928))</f>
        <v/>
      </c>
      <c r="DD933" s="270">
        <f>IF(DD928=0,0,SUM(DD928:$GQ928))</f>
        <v/>
      </c>
      <c r="DE933" s="270">
        <f>IF(DE928=0,0,SUM(DE928:$GQ928))</f>
        <v/>
      </c>
      <c r="DF933" s="270">
        <f>IF(DF928=0,0,SUM(DF928:$GQ928))</f>
        <v/>
      </c>
      <c r="DG933" s="270">
        <f>IF(DG928=0,0,SUM(DG928:$GQ928))</f>
        <v/>
      </c>
      <c r="DH933" s="270">
        <f>IF(DH928=0,0,SUM(DH928:$GQ928))</f>
        <v/>
      </c>
      <c r="DI933" s="270">
        <f>IF(DI928=0,0,SUM(DI928:$GQ928))</f>
        <v/>
      </c>
      <c r="DJ933" s="270">
        <f>IF(DJ928=0,0,SUM(DJ928:$GQ928))</f>
        <v/>
      </c>
      <c r="DK933" s="270">
        <f>IF(DK928=0,0,SUM(DK928:$GQ928))</f>
        <v/>
      </c>
      <c r="DL933" s="270">
        <f>IF(DL928=0,0,SUM(DL928:$GQ928))</f>
        <v/>
      </c>
      <c r="DM933" s="270">
        <f>IF(DM928=0,0,SUM(DM928:$GQ928))</f>
        <v/>
      </c>
      <c r="DN933" s="270">
        <f>IF(DN928=0,0,SUM(DN928:$GQ928))</f>
        <v/>
      </c>
      <c r="DO933" s="270">
        <f>IF(DO928=0,0,SUM(DO928:$GQ928))</f>
        <v/>
      </c>
      <c r="DP933" s="270">
        <f>IF(DP928=0,0,SUM(DP928:$GQ928))</f>
        <v/>
      </c>
      <c r="DQ933" s="270">
        <f>IF(DQ928=0,0,SUM(DQ928:$GQ928))</f>
        <v/>
      </c>
      <c r="DR933" s="270">
        <f>IF(DR928=0,0,SUM(DR928:$GQ928))</f>
        <v/>
      </c>
      <c r="DS933" s="270">
        <f>IF(DS928=0,0,SUM(DS928:$GQ928))</f>
        <v/>
      </c>
      <c r="DT933" s="270">
        <f>IF(DT928=0,0,SUM(DT928:$GQ928))</f>
        <v/>
      </c>
      <c r="DU933" s="270">
        <f>IF(DU928=0,0,SUM(DU928:$GQ928))</f>
        <v/>
      </c>
      <c r="DV933" s="270">
        <f>IF(DV928=0,0,SUM(DV928:$GQ928))</f>
        <v/>
      </c>
      <c r="DW933" s="270">
        <f>IF(DW928=0,0,SUM(DW928:$GQ928))</f>
        <v/>
      </c>
      <c r="DX933" s="270">
        <f>IF(DX928=0,0,SUM(DX928:$GQ928))</f>
        <v/>
      </c>
      <c r="DY933" s="270">
        <f>IF(DY928=0,0,SUM(DY928:$GQ928))</f>
        <v/>
      </c>
      <c r="DZ933" s="270">
        <f>IF(DZ928=0,0,SUM(DZ928:$GQ928))</f>
        <v/>
      </c>
      <c r="EA933" s="270">
        <f>IF(EA928=0,0,SUM(EA928:$GQ928))</f>
        <v/>
      </c>
      <c r="EB933" s="270">
        <f>IF(EB928=0,0,SUM(EB928:$GQ928))</f>
        <v/>
      </c>
      <c r="EC933" s="270">
        <f>IF(EC928=0,0,SUM(EC928:$GQ928))</f>
        <v/>
      </c>
      <c r="ED933" s="270">
        <f>IF(ED928=0,0,SUM(ED928:$GQ928))</f>
        <v/>
      </c>
      <c r="EE933" s="270">
        <f>IF(EE928=0,0,SUM(EE928:$GQ928))</f>
        <v/>
      </c>
      <c r="EF933" s="270">
        <f>IF(EF928=0,0,SUM(EF928:$GQ928))</f>
        <v/>
      </c>
      <c r="EG933" s="270">
        <f>IF(EG928=0,0,SUM(EG928:$GQ928))</f>
        <v/>
      </c>
      <c r="EH933" s="270">
        <f>IF(EH928=0,0,SUM(EH928:$GQ928))</f>
        <v/>
      </c>
      <c r="EI933" s="270">
        <f>IF(EI928=0,0,SUM(EI928:$GQ928))</f>
        <v/>
      </c>
      <c r="EJ933" s="270">
        <f>IF(EJ928=0,0,SUM(EJ928:$GQ928))</f>
        <v/>
      </c>
      <c r="EK933" s="270">
        <f>IF(EK928=0,0,SUM(EK928:$GQ928))</f>
        <v/>
      </c>
      <c r="EL933" s="270">
        <f>IF(EL928=0,0,SUM(EL928:$GQ928))</f>
        <v/>
      </c>
      <c r="EM933" s="270">
        <f>IF(EM928=0,0,SUM(EM928:$GQ928))</f>
        <v/>
      </c>
      <c r="EN933" s="270">
        <f>IF(EN928=0,0,SUM(EN928:$GQ928))</f>
        <v/>
      </c>
      <c r="EO933" s="270">
        <f>IF(EO928=0,0,SUM(EO928:$GQ928))</f>
        <v/>
      </c>
      <c r="EP933" s="270">
        <f>IF(EP928=0,0,SUM(EP928:$GQ928))</f>
        <v/>
      </c>
      <c r="EQ933" s="270">
        <f>IF(EQ928=0,0,SUM(EQ928:$GQ928))</f>
        <v/>
      </c>
      <c r="ER933" s="270">
        <f>IF(ER928=0,0,SUM(ER928:$GQ928))</f>
        <v/>
      </c>
      <c r="ES933" s="270">
        <f>IF(ES928=0,0,SUM(ES928:$GQ928))</f>
        <v/>
      </c>
      <c r="ET933" s="270">
        <f>IF(ET928=0,0,SUM(ET928:$GQ928))</f>
        <v/>
      </c>
      <c r="EU933" s="270">
        <f>IF(EU928=0,0,SUM(EU928:$GQ928))</f>
        <v/>
      </c>
      <c r="EV933" s="270">
        <f>IF(EV928=0,0,SUM(EV928:$GQ928))</f>
        <v/>
      </c>
      <c r="EW933" s="270">
        <f>IF(EW928=0,0,SUM(EW928:$GQ928))</f>
        <v/>
      </c>
      <c r="EX933" s="270">
        <f>IF(EX928=0,0,SUM(EX928:$GQ928))</f>
        <v/>
      </c>
      <c r="EY933" s="270">
        <f>IF(EY928=0,0,SUM(EY928:$GQ928))</f>
        <v/>
      </c>
      <c r="EZ933" s="270">
        <f>IF(EZ928=0,0,SUM(EZ928:$GQ928))</f>
        <v/>
      </c>
      <c r="FA933" s="270">
        <f>IF(FA928=0,0,SUM(FA928:$GQ928))</f>
        <v/>
      </c>
      <c r="FB933" s="270">
        <f>IF(FB928=0,0,SUM(FB928:$GQ928))</f>
        <v/>
      </c>
      <c r="FC933" s="270">
        <f>IF(FC928=0,0,SUM(FC928:$GQ928))</f>
        <v/>
      </c>
      <c r="FD933" s="270">
        <f>IF(FD928=0,0,SUM(FD928:$GQ928))</f>
        <v/>
      </c>
      <c r="FE933" s="270">
        <f>IF(FE928=0,0,SUM(FE928:$GQ928))</f>
        <v/>
      </c>
      <c r="FF933" s="270">
        <f>IF(FF928=0,0,SUM(FF928:$GQ928))</f>
        <v/>
      </c>
      <c r="FG933" s="270">
        <f>IF(FG928=0,0,SUM(FG928:$GQ928))</f>
        <v/>
      </c>
      <c r="FH933" s="270">
        <f>IF(FH928=0,0,SUM(FH928:$GQ928))</f>
        <v/>
      </c>
      <c r="FI933" s="270">
        <f>IF(FI928=0,0,SUM(FI928:$GQ928))</f>
        <v/>
      </c>
      <c r="FJ933" s="270">
        <f>IF(FJ928=0,0,SUM(FJ928:$GQ928))</f>
        <v/>
      </c>
      <c r="FK933" s="270">
        <f>IF(FK928=0,0,SUM(FK928:$GQ928))</f>
        <v/>
      </c>
      <c r="FL933" s="270">
        <f>IF(FL928=0,0,SUM(FL928:$GQ928))</f>
        <v/>
      </c>
      <c r="FM933" s="270">
        <f>IF(FM928=0,0,SUM(FM928:$GQ928))</f>
        <v/>
      </c>
      <c r="FN933" s="270">
        <f>IF(FN928=0,0,SUM(FN928:$GQ928))</f>
        <v/>
      </c>
      <c r="FO933" s="270">
        <f>IF(FO928=0,0,SUM(FO928:$GQ928))</f>
        <v/>
      </c>
      <c r="FP933" s="270">
        <f>IF(FP928=0,0,SUM(FP928:$GQ928))</f>
        <v/>
      </c>
      <c r="FQ933" s="270">
        <f>IF(FQ928=0,0,SUM(FQ928:$GQ928))</f>
        <v/>
      </c>
      <c r="FR933" s="270">
        <f>IF(FR928=0,0,SUM(FR928:$GQ928))</f>
        <v/>
      </c>
      <c r="FS933" s="270">
        <f>IF(FS928=0,0,SUM(FS928:$GQ928))</f>
        <v/>
      </c>
      <c r="FT933" s="270">
        <f>IF(FT928=0,0,SUM(FT928:$GQ928))</f>
        <v/>
      </c>
      <c r="FU933" s="270">
        <f>IF(FU928=0,0,SUM(FU928:$GQ928))</f>
        <v/>
      </c>
      <c r="FV933" s="270">
        <f>IF(FV928=0,0,SUM(FV928:$GQ928))</f>
        <v/>
      </c>
      <c r="FW933" s="270">
        <f>IF(FW928=0,0,SUM(FW928:$GQ928))</f>
        <v/>
      </c>
      <c r="FX933" s="270">
        <f>IF(FX928=0,0,SUM(FX928:$GQ928))</f>
        <v/>
      </c>
      <c r="FY933" s="270">
        <f>IF(FY928=0,0,SUM(FY928:$GQ928))</f>
        <v/>
      </c>
      <c r="FZ933" s="270">
        <f>IF(FZ928=0,0,SUM(FZ928:$GQ928))</f>
        <v/>
      </c>
      <c r="GA933" s="270">
        <f>IF(GA928=0,0,SUM(GA928:$GQ928))</f>
        <v/>
      </c>
      <c r="GB933" s="270">
        <f>IF(GB928=0,0,SUM(GB928:$GQ928))</f>
        <v/>
      </c>
      <c r="GC933" s="270">
        <f>IF(GC928=0,0,SUM(GC928:$GQ928))</f>
        <v/>
      </c>
      <c r="GD933" s="270">
        <f>IF(GD928=0,0,SUM(GD928:$GQ928))</f>
        <v/>
      </c>
      <c r="GE933" s="270">
        <f>IF(GE928=0,0,SUM(GE928:$GQ928))</f>
        <v/>
      </c>
      <c r="GF933" s="270">
        <f>IF(GF928=0,0,SUM(GF928:$GQ928))</f>
        <v/>
      </c>
      <c r="GG933" s="270">
        <f>IF(GG928=0,0,SUM(GG928:$GQ928))</f>
        <v/>
      </c>
      <c r="GH933" s="270">
        <f>IF(GH928=0,0,SUM(GH928:$GQ928))</f>
        <v/>
      </c>
      <c r="GI933" s="270">
        <f>IF(GI928=0,0,SUM(GI928:$GQ928))</f>
        <v/>
      </c>
      <c r="GJ933" s="270">
        <f>IF(GJ928=0,0,SUM(GJ928:$GQ928))</f>
        <v/>
      </c>
      <c r="GK933" s="270">
        <f>IF(GK928=0,0,SUM(GK928:$GQ928))</f>
        <v/>
      </c>
      <c r="GL933" s="270">
        <f>IF(GL928=0,0,SUM(GL928:$GQ928))</f>
        <v/>
      </c>
      <c r="GM933" s="270">
        <f>IF(GM928=0,0,SUM(GM928:$GQ928))</f>
        <v/>
      </c>
      <c r="GN933" s="270">
        <f>IF(GN928=0,0,SUM(GN928:$GQ928))</f>
        <v/>
      </c>
      <c r="GO933" s="270">
        <f>IF(GO928=0,0,SUM(GO928:$GQ928))</f>
        <v/>
      </c>
      <c r="GP933" s="270">
        <f>IF(GP928=0,0,SUM(GP928:$GQ928))</f>
        <v/>
      </c>
      <c r="GQ933" s="270">
        <f>IF(GQ928=0,0,SUM(GQ928:$GQ928))</f>
        <v/>
      </c>
      <c r="GR933" s="270" t="n"/>
      <c r="GS933" s="270" t="n"/>
      <c r="GT933" s="270" t="n"/>
      <c r="GU933" s="270" t="n"/>
      <c r="GV933" s="270" t="n"/>
      <c r="GW933" s="270" t="n"/>
      <c r="GX933" s="270" t="n"/>
      <c r="GY933" s="270" t="n"/>
      <c r="GZ933" s="270" t="n"/>
      <c r="HA933" s="270" t="n"/>
      <c r="HB933" s="270" t="n"/>
      <c r="HC933" s="270" t="n"/>
    </row>
    <row r="934" ht="12" customHeight="1" s="227">
      <c r="A934" s="244" t="n"/>
      <c r="B934" s="244" t="n"/>
      <c r="C934" s="244" t="n"/>
      <c r="K934" s="6" t="n"/>
    </row>
    <row r="935" ht="12" customHeight="1" s="227">
      <c r="A935" s="244" t="n"/>
      <c r="B935" s="244" t="n"/>
      <c r="C935" s="244" t="n"/>
      <c r="H935" s="0" t="inlineStr">
        <is>
          <t>Opening Balance</t>
        </is>
      </c>
      <c r="I935" s="27">
        <f>i_Setup!$M$16</f>
        <v/>
      </c>
      <c r="K935" s="6" t="n"/>
      <c r="M935" s="245">
        <f>SUMIF($T$1:$CA$1,M$1,$T935:$CA935)</f>
        <v/>
      </c>
      <c r="N935" s="245">
        <f>SUMIF($T$1:$CA$1,N$1,$T935:$CA935)</f>
        <v/>
      </c>
      <c r="O935" s="245">
        <f>SUMIF($T$1:$CA$1,O$1,$T935:$CA935)</f>
        <v/>
      </c>
      <c r="P935" s="245">
        <f>SUMIF($T$1:$CA$1,P$1,$T935:$CA935)</f>
        <v/>
      </c>
      <c r="Q935" s="245">
        <f>SUMIF($T$1:$CA$1,Q$1,$T935:$CA935)</f>
        <v/>
      </c>
      <c r="T935" s="270">
        <f>S941</f>
        <v/>
      </c>
      <c r="U935" s="270">
        <f>T941</f>
        <v/>
      </c>
      <c r="V935" s="270">
        <f>U941</f>
        <v/>
      </c>
      <c r="W935" s="270">
        <f>V941</f>
        <v/>
      </c>
      <c r="X935" s="270">
        <f>W941</f>
        <v/>
      </c>
      <c r="Y935" s="270">
        <f>X941</f>
        <v/>
      </c>
      <c r="Z935" s="270">
        <f>Y941</f>
        <v/>
      </c>
      <c r="AA935" s="270">
        <f>Z941</f>
        <v/>
      </c>
      <c r="AB935" s="270">
        <f>AA941</f>
        <v/>
      </c>
      <c r="AC935" s="270">
        <f>AB941</f>
        <v/>
      </c>
      <c r="AD935" s="270">
        <f>AC941</f>
        <v/>
      </c>
      <c r="AE935" s="270">
        <f>AD941</f>
        <v/>
      </c>
      <c r="AF935" s="270">
        <f>AE941</f>
        <v/>
      </c>
      <c r="AG935" s="270">
        <f>AF941</f>
        <v/>
      </c>
      <c r="AH935" s="270">
        <f>AG941</f>
        <v/>
      </c>
      <c r="AI935" s="270">
        <f>AH941</f>
        <v/>
      </c>
      <c r="AJ935" s="270">
        <f>AI941</f>
        <v/>
      </c>
      <c r="AK935" s="270">
        <f>AJ941</f>
        <v/>
      </c>
      <c r="AL935" s="270">
        <f>AK941</f>
        <v/>
      </c>
      <c r="AM935" s="270">
        <f>AL941</f>
        <v/>
      </c>
      <c r="AN935" s="270">
        <f>AM941</f>
        <v/>
      </c>
      <c r="AO935" s="270">
        <f>AN941</f>
        <v/>
      </c>
      <c r="AP935" s="270">
        <f>AO941</f>
        <v/>
      </c>
      <c r="AQ935" s="270">
        <f>AP941</f>
        <v/>
      </c>
      <c r="AR935" s="270">
        <f>AQ941</f>
        <v/>
      </c>
      <c r="AS935" s="270">
        <f>AR941</f>
        <v/>
      </c>
      <c r="AT935" s="270">
        <f>AS941</f>
        <v/>
      </c>
      <c r="AU935" s="270">
        <f>AT941</f>
        <v/>
      </c>
      <c r="AV935" s="270">
        <f>AU941</f>
        <v/>
      </c>
      <c r="AW935" s="270">
        <f>AV941</f>
        <v/>
      </c>
      <c r="AX935" s="270">
        <f>AW941</f>
        <v/>
      </c>
      <c r="AY935" s="270">
        <f>AX941</f>
        <v/>
      </c>
      <c r="AZ935" s="270">
        <f>AY941</f>
        <v/>
      </c>
      <c r="BA935" s="270">
        <f>AZ941</f>
        <v/>
      </c>
      <c r="BB935" s="270">
        <f>BA941</f>
        <v/>
      </c>
      <c r="BC935" s="270">
        <f>BB941</f>
        <v/>
      </c>
      <c r="BD935" s="270">
        <f>BC941</f>
        <v/>
      </c>
      <c r="BE935" s="270">
        <f>BD941</f>
        <v/>
      </c>
      <c r="BF935" s="270">
        <f>BE941</f>
        <v/>
      </c>
      <c r="BG935" s="270">
        <f>BF941</f>
        <v/>
      </c>
      <c r="BH935" s="270">
        <f>BG941</f>
        <v/>
      </c>
      <c r="BI935" s="270">
        <f>BH941</f>
        <v/>
      </c>
      <c r="BJ935" s="270">
        <f>BI941</f>
        <v/>
      </c>
      <c r="BK935" s="270">
        <f>BJ941</f>
        <v/>
      </c>
      <c r="BL935" s="270">
        <f>BK941</f>
        <v/>
      </c>
      <c r="BM935" s="270">
        <f>BL941</f>
        <v/>
      </c>
      <c r="BN935" s="270">
        <f>BM941</f>
        <v/>
      </c>
      <c r="BO935" s="270">
        <f>BN941</f>
        <v/>
      </c>
      <c r="BP935" s="270">
        <f>BO941</f>
        <v/>
      </c>
      <c r="BQ935" s="270">
        <f>BP941</f>
        <v/>
      </c>
      <c r="BR935" s="270">
        <f>BQ941</f>
        <v/>
      </c>
      <c r="BS935" s="270">
        <f>BR941</f>
        <v/>
      </c>
      <c r="BT935" s="270">
        <f>BS941</f>
        <v/>
      </c>
      <c r="BU935" s="270">
        <f>BT941</f>
        <v/>
      </c>
      <c r="BV935" s="270">
        <f>BU941</f>
        <v/>
      </c>
      <c r="BW935" s="270">
        <f>BV941</f>
        <v/>
      </c>
      <c r="BX935" s="270">
        <f>BW941</f>
        <v/>
      </c>
      <c r="BY935" s="270">
        <f>BX941</f>
        <v/>
      </c>
      <c r="BZ935" s="270">
        <f>BY941</f>
        <v/>
      </c>
      <c r="CA935" s="270">
        <f>BZ941</f>
        <v/>
      </c>
    </row>
    <row r="936" ht="12" customHeight="1" s="227">
      <c r="A936" s="244" t="n"/>
      <c r="B936" s="244" t="n"/>
      <c r="C936" s="244" t="n"/>
      <c r="H936" s="0" t="inlineStr">
        <is>
          <t>Interest Charged</t>
        </is>
      </c>
      <c r="I936" s="27">
        <f>i_Setup!$M$16</f>
        <v/>
      </c>
      <c r="K936" s="6" t="n"/>
      <c r="M936" s="245">
        <f>SUMIF($T$4:$CA$4,M$4,$T936:$CA936)</f>
        <v/>
      </c>
      <c r="N936" s="245">
        <f>SUMIF($T$4:$CA$4,N$4,$T936:$CA936)</f>
        <v/>
      </c>
      <c r="O936" s="245">
        <f>SUMIF($T$4:$CA$4,O$4,$T936:$CA936)</f>
        <v/>
      </c>
      <c r="P936" s="245">
        <f>SUMIF($T$4:$CA$4,P$4,$T936:$CA936)</f>
        <v/>
      </c>
      <c r="Q936" s="245">
        <f>SUMIF($T$4:$CA$4,Q$4,$T936:$CA936)</f>
        <v/>
      </c>
      <c r="T936" s="245">
        <f>IF(T$7="Actual",0,IF(T928=1,SUM(T935:T935)*(T931),0))</f>
        <v/>
      </c>
      <c r="U936" s="245">
        <f>IF(U$7="Actual",0,IF(U928=1,SUM(U935:U935)*(U931),0))</f>
        <v/>
      </c>
      <c r="V936" s="245">
        <f>IF(V$7="Actual",0,IF(V928=1,SUM(V935:V935)*(V931),0))</f>
        <v/>
      </c>
      <c r="W936" s="245">
        <f>IF(W$7="Actual",0,IF(W928=1,SUM(W935:W935)*(W931),0))</f>
        <v/>
      </c>
      <c r="X936" s="245">
        <f>IF(X$7="Actual",0,IF(X928=1,SUM(X935:X935)*(X931),0))</f>
        <v/>
      </c>
      <c r="Y936" s="245">
        <f>IF(Y$7="Actual",0,IF(Y928=1,SUM(Y935:Y935)*(Y931),0))</f>
        <v/>
      </c>
      <c r="Z936" s="245">
        <f>IF(Z$7="Actual",0,IF(Z928=1,SUM(Z935:Z935)*(Z931),0))</f>
        <v/>
      </c>
      <c r="AA936" s="245">
        <f>IF(AA$7="Actual",0,IF(AA928=1,SUM(AA935:AA935)*(AA931),0))</f>
        <v/>
      </c>
      <c r="AB936" s="245">
        <f>IF(AB$7="Actual",0,IF(AB928=1,SUM(AB935:AB935)*(AB931),0))</f>
        <v/>
      </c>
      <c r="AC936" s="245">
        <f>IF(AC$7="Actual",0,IF(AC928=1,SUM(AC935:AC935)*(AC931),0))</f>
        <v/>
      </c>
      <c r="AD936" s="245">
        <f>IF(AD$7="Actual",0,IF(AD928=1,SUM(AD935:AD935)*(AD931),0))</f>
        <v/>
      </c>
      <c r="AE936" s="245">
        <f>IF(AE$7="Actual",0,IF(AE928=1,SUM(AE935:AE935)*(AE931),0))</f>
        <v/>
      </c>
      <c r="AF936" s="245">
        <f>IF(AF$7="Actual",0,IF(AF928=1,SUM(AF935:AF935)*(AF931),0))</f>
        <v/>
      </c>
      <c r="AG936" s="245">
        <f>IF(AG$7="Actual",0,IF(AG928=1,SUM(AG935:AG935)*(AG931),0))</f>
        <v/>
      </c>
      <c r="AH936" s="245">
        <f>IF(AH$7="Actual",0,IF(AH928=1,SUM(AH935:AH935)*(AH931),0))</f>
        <v/>
      </c>
      <c r="AI936" s="245">
        <f>IF(AI$7="Actual",0,IF(AI928=1,SUM(AI935:AI935)*(AI931),0))</f>
        <v/>
      </c>
      <c r="AJ936" s="245">
        <f>IF(AJ$7="Actual",0,IF(AJ928=1,SUM(AJ935:AJ935)*(AJ931),0))</f>
        <v/>
      </c>
      <c r="AK936" s="245">
        <f>IF(AK$7="Actual",0,IF(AK928=1,SUM(AK935:AK935)*(AK931),0))</f>
        <v/>
      </c>
      <c r="AL936" s="245">
        <f>IF(AL$7="Actual",0,IF(AL928=1,SUM(AL935:AL935)*(AL931),0))</f>
        <v/>
      </c>
      <c r="AM936" s="245">
        <f>IF(AM$7="Actual",0,IF(AM928=1,SUM(AM935:AM935)*(AM931),0))</f>
        <v/>
      </c>
      <c r="AN936" s="245">
        <f>IF(AN$7="Actual",0,IF(AN928=1,SUM(AN935:AN935)*(AN931),0))</f>
        <v/>
      </c>
      <c r="AO936" s="245">
        <f>IF(AO$7="Actual",0,IF(AO928=1,SUM(AO935:AO935)*(AO931),0))</f>
        <v/>
      </c>
      <c r="AP936" s="245">
        <f>IF(AP$7="Actual",0,IF(AP928=1,SUM(AP935:AP935)*(AP931),0))</f>
        <v/>
      </c>
      <c r="AQ936" s="245">
        <f>IF(AQ$7="Actual",0,IF(AQ928=1,SUM(AQ935:AQ935)*(AQ931),0))</f>
        <v/>
      </c>
      <c r="AR936" s="245">
        <f>IF(AR$7="Actual",0,IF(AR928=1,SUM(AR935:AR935)*(AR931),0))</f>
        <v/>
      </c>
      <c r="AS936" s="245">
        <f>IF(AS$7="Actual",0,IF(AS928=1,SUM(AS935:AS935)*(AS931),0))</f>
        <v/>
      </c>
      <c r="AT936" s="245">
        <f>IF(AT$7="Actual",0,IF(AT928=1,SUM(AT935:AT935)*(AT931),0))</f>
        <v/>
      </c>
      <c r="AU936" s="245">
        <f>IF(AU$7="Actual",0,IF(AU928=1,SUM(AU935:AU935)*(AU931),0))</f>
        <v/>
      </c>
      <c r="AV936" s="245">
        <f>IF(AV$7="Actual",0,IF(AV928=1,SUM(AV935:AV935)*(AV931),0))</f>
        <v/>
      </c>
      <c r="AW936" s="245">
        <f>IF(AW$7="Actual",0,IF(AW928=1,SUM(AW935:AW935)*(AW931),0))</f>
        <v/>
      </c>
      <c r="AX936" s="245">
        <f>IF(AX$7="Actual",0,IF(AX928=1,SUM(AX935:AX935)*(AX931),0))</f>
        <v/>
      </c>
      <c r="AY936" s="245">
        <f>IF(AY$7="Actual",0,IF(AY928=1,SUM(AY935:AY935)*(AY931),0))</f>
        <v/>
      </c>
      <c r="AZ936" s="245">
        <f>IF(AZ$7="Actual",0,IF(AZ928=1,SUM(AZ935:AZ935)*(AZ931),0))</f>
        <v/>
      </c>
      <c r="BA936" s="245">
        <f>IF(BA$7="Actual",0,IF(BA928=1,SUM(BA935:BA935)*(BA931),0))</f>
        <v/>
      </c>
      <c r="BB936" s="245">
        <f>IF(BB$7="Actual",0,IF(BB928=1,SUM(BB935:BB935)*(BB931),0))</f>
        <v/>
      </c>
      <c r="BC936" s="245">
        <f>IF(BC$7="Actual",0,IF(BC928=1,SUM(BC935:BC935)*(BC931),0))</f>
        <v/>
      </c>
      <c r="BD936" s="245">
        <f>IF(BD$7="Actual",0,IF(BD928=1,SUM(BD935:BD935)*(BD931),0))</f>
        <v/>
      </c>
      <c r="BE936" s="245">
        <f>IF(BE$7="Actual",0,IF(BE928=1,SUM(BE935:BE935)*(BE931),0))</f>
        <v/>
      </c>
      <c r="BF936" s="245">
        <f>IF(BF$7="Actual",0,IF(BF928=1,SUM(BF935:BF935)*(BF931),0))</f>
        <v/>
      </c>
      <c r="BG936" s="245">
        <f>IF(BG$7="Actual",0,IF(BG928=1,SUM(BG935:BG935)*(BG931),0))</f>
        <v/>
      </c>
      <c r="BH936" s="245">
        <f>IF(BH$7="Actual",0,IF(BH928=1,SUM(BH935:BH935)*(BH931),0))</f>
        <v/>
      </c>
      <c r="BI936" s="245">
        <f>IF(BI$7="Actual",0,IF(BI928=1,SUM(BI935:BI935)*(BI931),0))</f>
        <v/>
      </c>
      <c r="BJ936" s="245">
        <f>IF(BJ$7="Actual",0,IF(BJ928=1,SUM(BJ935:BJ935)*(BJ931),0))</f>
        <v/>
      </c>
      <c r="BK936" s="245">
        <f>IF(BK$7="Actual",0,IF(BK928=1,SUM(BK935:BK935)*(BK931),0))</f>
        <v/>
      </c>
      <c r="BL936" s="245">
        <f>IF(BL$7="Actual",0,IF(BL928=1,SUM(BL935:BL935)*(BL931),0))</f>
        <v/>
      </c>
      <c r="BM936" s="245">
        <f>IF(BM$7="Actual",0,IF(BM928=1,SUM(BM935:BM935)*(BM931),0))</f>
        <v/>
      </c>
      <c r="BN936" s="245">
        <f>IF(BN$7="Actual",0,IF(BN928=1,SUM(BN935:BN935)*(BN931),0))</f>
        <v/>
      </c>
      <c r="BO936" s="245">
        <f>IF(BO$7="Actual",0,IF(BO928=1,SUM(BO935:BO935)*(BO931),0))</f>
        <v/>
      </c>
      <c r="BP936" s="245">
        <f>IF(BP$7="Actual",0,IF(BP928=1,SUM(BP935:BP935)*(BP931),0))</f>
        <v/>
      </c>
      <c r="BQ936" s="245">
        <f>IF(BQ$7="Actual",0,IF(BQ928=1,SUM(BQ935:BQ935)*(BQ931),0))</f>
        <v/>
      </c>
      <c r="BR936" s="245">
        <f>IF(BR$7="Actual",0,IF(BR928=1,SUM(BR935:BR935)*(BR931),0))</f>
        <v/>
      </c>
      <c r="BS936" s="245">
        <f>IF(BS$7="Actual",0,IF(BS928=1,SUM(BS935:BS935)*(BS931),0))</f>
        <v/>
      </c>
      <c r="BT936" s="245">
        <f>IF(BT$7="Actual",0,IF(BT928=1,SUM(BT935:BT935)*(BT931),0))</f>
        <v/>
      </c>
      <c r="BU936" s="245">
        <f>IF(BU$7="Actual",0,IF(BU928=1,SUM(BU935:BU935)*(BU931),0))</f>
        <v/>
      </c>
      <c r="BV936" s="245">
        <f>IF(BV$7="Actual",0,IF(BV928=1,SUM(BV935:BV935)*(BV931),0))</f>
        <v/>
      </c>
      <c r="BW936" s="245">
        <f>IF(BW$7="Actual",0,IF(BW928=1,SUM(BW935:BW935)*(BW931),0))</f>
        <v/>
      </c>
      <c r="BX936" s="245">
        <f>IF(BX$7="Actual",0,IF(BX928=1,SUM(BX935:BX935)*(BX931),0))</f>
        <v/>
      </c>
      <c r="BY936" s="245">
        <f>IF(BY$7="Actual",0,IF(BY928=1,SUM(BY935:BY935)*(BY931),0))</f>
        <v/>
      </c>
      <c r="BZ936" s="245">
        <f>IF(BZ$7="Actual",0,IF(BZ928=1,SUM(BZ935:BZ935)*(BZ931),0))</f>
        <v/>
      </c>
      <c r="CA936" s="245">
        <f>IF(CA$7="Actual",0,IF(CA928=1,SUM(CA935:CA935)*(CA931),0))</f>
        <v/>
      </c>
    </row>
    <row r="937" ht="12" customHeight="1" s="227">
      <c r="A937" s="244" t="n"/>
      <c r="B937" s="244" t="n"/>
      <c r="C937" s="244" t="n"/>
      <c r="H937" s="0" t="inlineStr">
        <is>
          <t>Interest Payments</t>
        </is>
      </c>
      <c r="I937" s="27">
        <f>i_Setup!$M$16</f>
        <v/>
      </c>
      <c r="K937" s="6" t="n"/>
      <c r="M937" s="245">
        <f>SUMIF($T$4:$CA$4,M$4,$T937:$CA937)</f>
        <v/>
      </c>
      <c r="N937" s="245">
        <f>SUMIF($T$4:$CA$4,N$4,$T937:$CA937)</f>
        <v/>
      </c>
      <c r="O937" s="245">
        <f>SUMIF($T$4:$CA$4,O$4,$T937:$CA937)</f>
        <v/>
      </c>
      <c r="P937" s="245">
        <f>SUMIF($T$4:$CA$4,P$4,$T937:$CA937)</f>
        <v/>
      </c>
      <c r="Q937" s="245">
        <f>SUMIF($T$4:$CA$4,Q$4,$T937:$CA937)</f>
        <v/>
      </c>
      <c r="T937" s="275">
        <f>IF(T$7="Actual",0,IF(T928&lt;&gt;0,IPMT(T931,1,T933,SUM(T935:T935),0,0),0))</f>
        <v/>
      </c>
      <c r="U937" s="275">
        <f>IF(U$7="Actual",0,IF(U928&lt;&gt;0,IPMT(U931,1,U933,SUM(U935:U935),0,0),0))</f>
        <v/>
      </c>
      <c r="V937" s="275">
        <f>IF(V$7="Actual",0,IF(V928&lt;&gt;0,IPMT(V931,1,V933,SUM(V935:V935),0,0),0))</f>
        <v/>
      </c>
      <c r="W937" s="275">
        <f>IF(W$7="Actual",0,IF(W928&lt;&gt;0,IPMT(W931,1,W933,SUM(W935:W935),0,0),0))</f>
        <v/>
      </c>
      <c r="X937" s="275">
        <f>IF(X$7="Actual",0,IF(X928&lt;&gt;0,IPMT(X931,1,X933,SUM(X935:X935),0,0),0))</f>
        <v/>
      </c>
      <c r="Y937" s="275">
        <f>IF(Y$7="Actual",0,IF(Y928&lt;&gt;0,IPMT(Y931,1,Y933,SUM(Y935:Y935),0,0),0))</f>
        <v/>
      </c>
      <c r="Z937" s="275">
        <f>IF(Z$7="Actual",0,IF(Z928&lt;&gt;0,IPMT(Z931,1,Z933,SUM(Z935:Z935),0,0),0))</f>
        <v/>
      </c>
      <c r="AA937" s="275">
        <f>IF(AA$7="Actual",0,IF(AA928&lt;&gt;0,IPMT(AA931,1,AA933,SUM(AA935:AA935),0,0),0))</f>
        <v/>
      </c>
      <c r="AB937" s="275">
        <f>IF(AB$7="Actual",0,IF(AB928&lt;&gt;0,IPMT(AB931,1,AB933,SUM(AB935:AB935),0,0),0))</f>
        <v/>
      </c>
      <c r="AC937" s="275">
        <f>IF(AC$7="Actual",0,IF(AC928&lt;&gt;0,IPMT(AC931,1,AC933,SUM(AC935:AC935),0,0),0))</f>
        <v/>
      </c>
      <c r="AD937" s="275">
        <f>IF(AD$7="Actual",0,IF(AD928&lt;&gt;0,IPMT(AD931,1,AD933,SUM(AD935:AD935),0,0),0))</f>
        <v/>
      </c>
      <c r="AE937" s="275">
        <f>IF(AE$7="Actual",0,IF(AE928&lt;&gt;0,IPMT(AE931,1,AE933,SUM(AE935:AE935),0,0),0))</f>
        <v/>
      </c>
      <c r="AF937" s="275">
        <f>IF(AF$7="Actual",0,IF(AF928&lt;&gt;0,IPMT(AF931,1,AF933,SUM(AF935:AF935),0,0),0))</f>
        <v/>
      </c>
      <c r="AG937" s="275">
        <f>IF(AG$7="Actual",0,IF(AG928&lt;&gt;0,IPMT(AG931,1,AG933,SUM(AG935:AG935),0,0),0))</f>
        <v/>
      </c>
      <c r="AH937" s="275">
        <f>IF(AH$7="Actual",0,IF(AH928&lt;&gt;0,IPMT(AH931,1,AH933,SUM(AH935:AH935),0,0),0))</f>
        <v/>
      </c>
      <c r="AI937" s="275">
        <f>IF(AI$7="Actual",0,IF(AI928&lt;&gt;0,IPMT(AI931,1,AI933,SUM(AI935:AI935),0,0),0))</f>
        <v/>
      </c>
      <c r="AJ937" s="275">
        <f>IF(AJ$7="Actual",0,IF(AJ928&lt;&gt;0,IPMT(AJ931,1,AJ933,SUM(AJ935:AJ935),0,0),0))</f>
        <v/>
      </c>
      <c r="AK937" s="275">
        <f>IF(AK$7="Actual",0,IF(AK928&lt;&gt;0,IPMT(AK931,1,AK933,SUM(AK935:AK935),0,0),0))</f>
        <v/>
      </c>
      <c r="AL937" s="275">
        <f>IF(AL$7="Actual",0,IF(AL928&lt;&gt;0,IPMT(AL931,1,AL933,SUM(AL935:AL935),0,0),0))</f>
        <v/>
      </c>
      <c r="AM937" s="275">
        <f>IF(AM$7="Actual",0,IF(AM928&lt;&gt;0,IPMT(AM931,1,AM933,SUM(AM935:AM935),0,0),0))</f>
        <v/>
      </c>
      <c r="AN937" s="275">
        <f>IF(AN$7="Actual",0,IF(AN928&lt;&gt;0,IPMT(AN931,1,AN933,SUM(AN935:AN935),0,0),0))</f>
        <v/>
      </c>
      <c r="AO937" s="275">
        <f>IF(AO$7="Actual",0,IF(AO928&lt;&gt;0,IPMT(AO931,1,AO933,SUM(AO935:AO935),0,0),0))</f>
        <v/>
      </c>
      <c r="AP937" s="275">
        <f>IF(AP$7="Actual",0,IF(AP928&lt;&gt;0,IPMT(AP931,1,AP933,SUM(AP935:AP935),0,0),0))</f>
        <v/>
      </c>
      <c r="AQ937" s="275">
        <f>IF(AQ$7="Actual",0,IF(AQ928&lt;&gt;0,IPMT(AQ931,1,AQ933,SUM(AQ935:AQ935),0,0),0))</f>
        <v/>
      </c>
      <c r="AR937" s="275">
        <f>IF(AR$7="Actual",0,IF(AR928&lt;&gt;0,IPMT(AR931,1,AR933,SUM(AR935:AR935),0,0),0))</f>
        <v/>
      </c>
      <c r="AS937" s="275">
        <f>IF(AS$7="Actual",0,IF(AS928&lt;&gt;0,IPMT(AS931,1,AS933,SUM(AS935:AS935),0,0),0))</f>
        <v/>
      </c>
      <c r="AT937" s="275">
        <f>IF(AT$7="Actual",0,IF(AT928&lt;&gt;0,IPMT(AT931,1,AT933,SUM(AT935:AT935),0,0),0))</f>
        <v/>
      </c>
      <c r="AU937" s="275">
        <f>IF(AU$7="Actual",0,IF(AU928&lt;&gt;0,IPMT(AU931,1,AU933,SUM(AU935:AU935),0,0),0))</f>
        <v/>
      </c>
      <c r="AV937" s="275">
        <f>IF(AV$7="Actual",0,IF(AV928&lt;&gt;0,IPMT(AV931,1,AV933,SUM(AV935:AV935),0,0),0))</f>
        <v/>
      </c>
      <c r="AW937" s="275">
        <f>IF(AW$7="Actual",0,IF(AW928&lt;&gt;0,IPMT(AW931,1,AW933,SUM(AW935:AW935),0,0),0))</f>
        <v/>
      </c>
      <c r="AX937" s="275">
        <f>IF(AX$7="Actual",0,IF(AX928&lt;&gt;0,IPMT(AX931,1,AX933,SUM(AX935:AX935),0,0),0))</f>
        <v/>
      </c>
      <c r="AY937" s="275">
        <f>IF(AY$7="Actual",0,IF(AY928&lt;&gt;0,IPMT(AY931,1,AY933,SUM(AY935:AY935),0,0),0))</f>
        <v/>
      </c>
      <c r="AZ937" s="275">
        <f>IF(AZ$7="Actual",0,IF(AZ928&lt;&gt;0,IPMT(AZ931,1,AZ933,SUM(AZ935:AZ935),0,0),0))</f>
        <v/>
      </c>
      <c r="BA937" s="275">
        <f>IF(BA$7="Actual",0,IF(BA928&lt;&gt;0,IPMT(BA931,1,BA933,SUM(BA935:BA935),0,0),0))</f>
        <v/>
      </c>
      <c r="BB937" s="275">
        <f>IF(BB$7="Actual",0,IF(BB928&lt;&gt;0,IPMT(BB931,1,BB933,SUM(BB935:BB935),0,0),0))</f>
        <v/>
      </c>
      <c r="BC937" s="275">
        <f>IF(BC$7="Actual",0,IF(BC928&lt;&gt;0,IPMT(BC931,1,BC933,SUM(BC935:BC935),0,0),0))</f>
        <v/>
      </c>
      <c r="BD937" s="275">
        <f>IF(BD$7="Actual",0,IF(BD928&lt;&gt;0,IPMT(BD931,1,BD933,SUM(BD935:BD935),0,0),0))</f>
        <v/>
      </c>
      <c r="BE937" s="275">
        <f>IF(BE$7="Actual",0,IF(BE928&lt;&gt;0,IPMT(BE931,1,BE933,SUM(BE935:BE935),0,0),0))</f>
        <v/>
      </c>
      <c r="BF937" s="275">
        <f>IF(BF$7="Actual",0,IF(BF928&lt;&gt;0,IPMT(BF931,1,BF933,SUM(BF935:BF935),0,0),0))</f>
        <v/>
      </c>
      <c r="BG937" s="275">
        <f>IF(BG$7="Actual",0,IF(BG928&lt;&gt;0,IPMT(BG931,1,BG933,SUM(BG935:BG935),0,0),0))</f>
        <v/>
      </c>
      <c r="BH937" s="275">
        <f>IF(BH$7="Actual",0,IF(BH928&lt;&gt;0,IPMT(BH931,1,BH933,SUM(BH935:BH935),0,0),0))</f>
        <v/>
      </c>
      <c r="BI937" s="275">
        <f>IF(BI$7="Actual",0,IF(BI928&lt;&gt;0,IPMT(BI931,1,BI933,SUM(BI935:BI935),0,0),0))</f>
        <v/>
      </c>
      <c r="BJ937" s="275">
        <f>IF(BJ$7="Actual",0,IF(BJ928&lt;&gt;0,IPMT(BJ931,1,BJ933,SUM(BJ935:BJ935),0,0),0))</f>
        <v/>
      </c>
      <c r="BK937" s="275">
        <f>IF(BK$7="Actual",0,IF(BK928&lt;&gt;0,IPMT(BK931,1,BK933,SUM(BK935:BK935),0,0),0))</f>
        <v/>
      </c>
      <c r="BL937" s="275">
        <f>IF(BL$7="Actual",0,IF(BL928&lt;&gt;0,IPMT(BL931,1,BL933,SUM(BL935:BL935),0,0),0))</f>
        <v/>
      </c>
      <c r="BM937" s="275">
        <f>IF(BM$7="Actual",0,IF(BM928&lt;&gt;0,IPMT(BM931,1,BM933,SUM(BM935:BM935),0,0),0))</f>
        <v/>
      </c>
      <c r="BN937" s="275">
        <f>IF(BN$7="Actual",0,IF(BN928&lt;&gt;0,IPMT(BN931,1,BN933,SUM(BN935:BN935),0,0),0))</f>
        <v/>
      </c>
      <c r="BO937" s="275">
        <f>IF(BO$7="Actual",0,IF(BO928&lt;&gt;0,IPMT(BO931,1,BO933,SUM(BO935:BO935),0,0),0))</f>
        <v/>
      </c>
      <c r="BP937" s="275">
        <f>IF(BP$7="Actual",0,IF(BP928&lt;&gt;0,IPMT(BP931,1,BP933,SUM(BP935:BP935),0,0),0))</f>
        <v/>
      </c>
      <c r="BQ937" s="275">
        <f>IF(BQ$7="Actual",0,IF(BQ928&lt;&gt;0,IPMT(BQ931,1,BQ933,SUM(BQ935:BQ935),0,0),0))</f>
        <v/>
      </c>
      <c r="BR937" s="275">
        <f>IF(BR$7="Actual",0,IF(BR928&lt;&gt;0,IPMT(BR931,1,BR933,SUM(BR935:BR935),0,0),0))</f>
        <v/>
      </c>
      <c r="BS937" s="275">
        <f>IF(BS$7="Actual",0,IF(BS928&lt;&gt;0,IPMT(BS931,1,BS933,SUM(BS935:BS935),0,0),0))</f>
        <v/>
      </c>
      <c r="BT937" s="275">
        <f>IF(BT$7="Actual",0,IF(BT928&lt;&gt;0,IPMT(BT931,1,BT933,SUM(BT935:BT935),0,0),0))</f>
        <v/>
      </c>
      <c r="BU937" s="275">
        <f>IF(BU$7="Actual",0,IF(BU928&lt;&gt;0,IPMT(BU931,1,BU933,SUM(BU935:BU935),0,0),0))</f>
        <v/>
      </c>
      <c r="BV937" s="275">
        <f>IF(BV$7="Actual",0,IF(BV928&lt;&gt;0,IPMT(BV931,1,BV933,SUM(BV935:BV935),0,0),0))</f>
        <v/>
      </c>
      <c r="BW937" s="275">
        <f>IF(BW$7="Actual",0,IF(BW928&lt;&gt;0,IPMT(BW931,1,BW933,SUM(BW935:BW935),0,0),0))</f>
        <v/>
      </c>
      <c r="BX937" s="275">
        <f>IF(BX$7="Actual",0,IF(BX928&lt;&gt;0,IPMT(BX931,1,BX933,SUM(BX935:BX935),0,0),0))</f>
        <v/>
      </c>
      <c r="BY937" s="275">
        <f>IF(BY$7="Actual",0,IF(BY928&lt;&gt;0,IPMT(BY931,1,BY933,SUM(BY935:BY935),0,0),0))</f>
        <v/>
      </c>
      <c r="BZ937" s="275">
        <f>IF(BZ$7="Actual",0,IF(BZ928&lt;&gt;0,IPMT(BZ931,1,BZ933,SUM(BZ935:BZ935),0,0),0))</f>
        <v/>
      </c>
      <c r="CA937" s="275">
        <f>IF(CA$7="Actual",0,IF(CA928&lt;&gt;0,IPMT(CA931,1,CA933,SUM(CA935:CA935),0,0),0))</f>
        <v/>
      </c>
    </row>
    <row r="938" ht="12" customHeight="1" s="227">
      <c r="A938" s="244" t="n"/>
      <c r="B938" s="244" t="n"/>
      <c r="C938" s="244" t="n"/>
      <c r="H938" s="0" t="inlineStr">
        <is>
          <t>Principal Payment</t>
        </is>
      </c>
      <c r="I938" s="27">
        <f>i_Setup!$M$16</f>
        <v/>
      </c>
      <c r="K938" s="6" t="n"/>
      <c r="M938" s="245">
        <f>SUMIF($T$4:$CA$4,M$4,$T938:$CA938)</f>
        <v/>
      </c>
      <c r="N938" s="245">
        <f>SUMIF($T$4:$CA$4,N$4,$T938:$CA938)</f>
        <v/>
      </c>
      <c r="O938" s="245">
        <f>SUMIF($T$4:$CA$4,O$4,$T938:$CA938)</f>
        <v/>
      </c>
      <c r="P938" s="245">
        <f>SUMIF($T$4:$CA$4,P$4,$T938:$CA938)</f>
        <v/>
      </c>
      <c r="Q938" s="245">
        <f>SUMIF($T$4:$CA$4,Q$4,$T938:$CA938)</f>
        <v/>
      </c>
      <c r="T938" s="275">
        <f>IF(T$7="Actual",0,IF(T928&lt;&gt;0,PPMT(T931,1,T933,SUM(T935:T935),0,0),0))</f>
        <v/>
      </c>
      <c r="U938" s="275">
        <f>IF(U$7="Actual",0,IF(U928&lt;&gt;0,PPMT(U931,1,U933,SUM(U935:U935),0,0),0))</f>
        <v/>
      </c>
      <c r="V938" s="275">
        <f>IF(V$7="Actual",0,IF(V928&lt;&gt;0,PPMT(V931,1,V933,SUM(V935:V935),0,0),0))</f>
        <v/>
      </c>
      <c r="W938" s="275">
        <f>IF(W$7="Actual",0,IF(W928&lt;&gt;0,PPMT(W931,1,W933,SUM(W935:W935),0,0),0))</f>
        <v/>
      </c>
      <c r="X938" s="275">
        <f>IF(X$7="Actual",0,IF(X928&lt;&gt;0,PPMT(X931,1,X933,SUM(X935:X935),0,0),0))</f>
        <v/>
      </c>
      <c r="Y938" s="275">
        <f>IF(Y$7="Actual",0,IF(Y928&lt;&gt;0,PPMT(Y931,1,Y933,SUM(Y935:Y935),0,0),0))</f>
        <v/>
      </c>
      <c r="Z938" s="275">
        <f>IF(Z$7="Actual",0,IF(Z928&lt;&gt;0,PPMT(Z931,1,Z933,SUM(Z935:Z935),0,0),0))</f>
        <v/>
      </c>
      <c r="AA938" s="275">
        <f>IF(AA$7="Actual",0,IF(AA928&lt;&gt;0,PPMT(AA931,1,AA933,SUM(AA935:AA935),0,0),0))</f>
        <v/>
      </c>
      <c r="AB938" s="275">
        <f>IF(AB$7="Actual",0,IF(AB928&lt;&gt;0,PPMT(AB931,1,AB933,SUM(AB935:AB935),0,0),0))</f>
        <v/>
      </c>
      <c r="AC938" s="275">
        <f>IF(AC$7="Actual",0,IF(AC928&lt;&gt;0,PPMT(AC931,1,AC933,SUM(AC935:AC935),0,0),0))</f>
        <v/>
      </c>
      <c r="AD938" s="275">
        <f>IF(AD$7="Actual",0,IF(AD928&lt;&gt;0,PPMT(AD931,1,AD933,SUM(AD935:AD935),0,0),0))</f>
        <v/>
      </c>
      <c r="AE938" s="275">
        <f>IF(AE$7="Actual",0,IF(AE928&lt;&gt;0,PPMT(AE931,1,AE933,SUM(AE935:AE935),0,0),0))</f>
        <v/>
      </c>
      <c r="AF938" s="275">
        <f>IF(AF$7="Actual",0,IF(AF928&lt;&gt;0,PPMT(AF931,1,AF933,SUM(AF935:AF935),0,0),0))</f>
        <v/>
      </c>
      <c r="AG938" s="275">
        <f>IF(AG$7="Actual",0,IF(AG928&lt;&gt;0,PPMT(AG931,1,AG933,SUM(AG935:AG935),0,0),0))</f>
        <v/>
      </c>
      <c r="AH938" s="275">
        <f>IF(AH$7="Actual",0,IF(AH928&lt;&gt;0,PPMT(AH931,1,AH933,SUM(AH935:AH935),0,0),0))</f>
        <v/>
      </c>
      <c r="AI938" s="275">
        <f>IF(AI$7="Actual",0,IF(AI928&lt;&gt;0,PPMT(AI931,1,AI933,SUM(AI935:AI935),0,0),0))</f>
        <v/>
      </c>
      <c r="AJ938" s="275">
        <f>IF(AJ$7="Actual",0,IF(AJ928&lt;&gt;0,PPMT(AJ931,1,AJ933,SUM(AJ935:AJ935),0,0),0))</f>
        <v/>
      </c>
      <c r="AK938" s="275">
        <f>IF(AK$7="Actual",0,IF(AK928&lt;&gt;0,PPMT(AK931,1,AK933,SUM(AK935:AK935),0,0),0))</f>
        <v/>
      </c>
      <c r="AL938" s="275">
        <f>IF(AL$7="Actual",0,IF(AL928&lt;&gt;0,PPMT(AL931,1,AL933,SUM(AL935:AL935),0,0),0))</f>
        <v/>
      </c>
      <c r="AM938" s="275">
        <f>IF(AM$7="Actual",0,IF(AM928&lt;&gt;0,PPMT(AM931,1,AM933,SUM(AM935:AM935),0,0),0))</f>
        <v/>
      </c>
      <c r="AN938" s="275">
        <f>IF(AN$7="Actual",0,IF(AN928&lt;&gt;0,PPMT(AN931,1,AN933,SUM(AN935:AN935),0,0),0))</f>
        <v/>
      </c>
      <c r="AO938" s="275">
        <f>IF(AO$7="Actual",0,IF(AO928&lt;&gt;0,PPMT(AO931,1,AO933,SUM(AO935:AO935),0,0),0))</f>
        <v/>
      </c>
      <c r="AP938" s="275">
        <f>IF(AP$7="Actual",0,IF(AP928&lt;&gt;0,PPMT(AP931,1,AP933,SUM(AP935:AP935),0,0),0))</f>
        <v/>
      </c>
      <c r="AQ938" s="275">
        <f>IF(AQ$7="Actual",0,IF(AQ928&lt;&gt;0,PPMT(AQ931,1,AQ933,SUM(AQ935:AQ935),0,0),0))</f>
        <v/>
      </c>
      <c r="AR938" s="275">
        <f>IF(AR$7="Actual",0,IF(AR928&lt;&gt;0,PPMT(AR931,1,AR933,SUM(AR935:AR935),0,0),0))</f>
        <v/>
      </c>
      <c r="AS938" s="275">
        <f>IF(AS$7="Actual",0,IF(AS928&lt;&gt;0,PPMT(AS931,1,AS933,SUM(AS935:AS935),0,0),0))</f>
        <v/>
      </c>
      <c r="AT938" s="275">
        <f>IF(AT$7="Actual",0,IF(AT928&lt;&gt;0,PPMT(AT931,1,AT933,SUM(AT935:AT935),0,0),0))</f>
        <v/>
      </c>
      <c r="AU938" s="275">
        <f>IF(AU$7="Actual",0,IF(AU928&lt;&gt;0,PPMT(AU931,1,AU933,SUM(AU935:AU935),0,0),0))</f>
        <v/>
      </c>
      <c r="AV938" s="275">
        <f>IF(AV$7="Actual",0,IF(AV928&lt;&gt;0,PPMT(AV931,1,AV933,SUM(AV935:AV935),0,0),0))</f>
        <v/>
      </c>
      <c r="AW938" s="275">
        <f>IF(AW$7="Actual",0,IF(AW928&lt;&gt;0,PPMT(AW931,1,AW933,SUM(AW935:AW935),0,0),0))</f>
        <v/>
      </c>
      <c r="AX938" s="275">
        <f>IF(AX$7="Actual",0,IF(AX928&lt;&gt;0,PPMT(AX931,1,AX933,SUM(AX935:AX935),0,0),0))</f>
        <v/>
      </c>
      <c r="AY938" s="275">
        <f>IF(AY$7="Actual",0,IF(AY928&lt;&gt;0,PPMT(AY931,1,AY933,SUM(AY935:AY935),0,0),0))</f>
        <v/>
      </c>
      <c r="AZ938" s="275">
        <f>IF(AZ$7="Actual",0,IF(AZ928&lt;&gt;0,PPMT(AZ931,1,AZ933,SUM(AZ935:AZ935),0,0),0))</f>
        <v/>
      </c>
      <c r="BA938" s="275">
        <f>IF(BA$7="Actual",0,IF(BA928&lt;&gt;0,PPMT(BA931,1,BA933,SUM(BA935:BA935),0,0),0))</f>
        <v/>
      </c>
      <c r="BB938" s="275">
        <f>IF(BB$7="Actual",0,IF(BB928&lt;&gt;0,PPMT(BB931,1,BB933,SUM(BB935:BB935),0,0),0))</f>
        <v/>
      </c>
      <c r="BC938" s="275">
        <f>IF(BC$7="Actual",0,IF(BC928&lt;&gt;0,PPMT(BC931,1,BC933,SUM(BC935:BC935),0,0),0))</f>
        <v/>
      </c>
      <c r="BD938" s="275">
        <f>IF(BD$7="Actual",0,IF(BD928&lt;&gt;0,PPMT(BD931,1,BD933,SUM(BD935:BD935),0,0),0))</f>
        <v/>
      </c>
      <c r="BE938" s="275">
        <f>IF(BE$7="Actual",0,IF(BE928&lt;&gt;0,PPMT(BE931,1,BE933,SUM(BE935:BE935),0,0),0))</f>
        <v/>
      </c>
      <c r="BF938" s="275">
        <f>IF(BF$7="Actual",0,IF(BF928&lt;&gt;0,PPMT(BF931,1,BF933,SUM(BF935:BF935),0,0),0))</f>
        <v/>
      </c>
      <c r="BG938" s="275">
        <f>IF(BG$7="Actual",0,IF(BG928&lt;&gt;0,PPMT(BG931,1,BG933,SUM(BG935:BG935),0,0),0))</f>
        <v/>
      </c>
      <c r="BH938" s="275">
        <f>IF(BH$7="Actual",0,IF(BH928&lt;&gt;0,PPMT(BH931,1,BH933,SUM(BH935:BH935),0,0),0))</f>
        <v/>
      </c>
      <c r="BI938" s="275">
        <f>IF(BI$7="Actual",0,IF(BI928&lt;&gt;0,PPMT(BI931,1,BI933,SUM(BI935:BI935),0,0),0))</f>
        <v/>
      </c>
      <c r="BJ938" s="275">
        <f>IF(BJ$7="Actual",0,IF(BJ928&lt;&gt;0,PPMT(BJ931,1,BJ933,SUM(BJ935:BJ935),0,0),0))</f>
        <v/>
      </c>
      <c r="BK938" s="275">
        <f>IF(BK$7="Actual",0,IF(BK928&lt;&gt;0,PPMT(BK931,1,BK933,SUM(BK935:BK935),0,0),0))</f>
        <v/>
      </c>
      <c r="BL938" s="275">
        <f>IF(BL$7="Actual",0,IF(BL928&lt;&gt;0,PPMT(BL931,1,BL933,SUM(BL935:BL935),0,0),0))</f>
        <v/>
      </c>
      <c r="BM938" s="275">
        <f>IF(BM$7="Actual",0,IF(BM928&lt;&gt;0,PPMT(BM931,1,BM933,SUM(BM935:BM935),0,0),0))</f>
        <v/>
      </c>
      <c r="BN938" s="275">
        <f>IF(BN$7="Actual",0,IF(BN928&lt;&gt;0,PPMT(BN931,1,BN933,SUM(BN935:BN935),0,0),0))</f>
        <v/>
      </c>
      <c r="BO938" s="275">
        <f>IF(BO$7="Actual",0,IF(BO928&lt;&gt;0,PPMT(BO931,1,BO933,SUM(BO935:BO935),0,0),0))</f>
        <v/>
      </c>
      <c r="BP938" s="275">
        <f>IF(BP$7="Actual",0,IF(BP928&lt;&gt;0,PPMT(BP931,1,BP933,SUM(BP935:BP935),0,0),0))</f>
        <v/>
      </c>
      <c r="BQ938" s="275">
        <f>IF(BQ$7="Actual",0,IF(BQ928&lt;&gt;0,PPMT(BQ931,1,BQ933,SUM(BQ935:BQ935),0,0),0))</f>
        <v/>
      </c>
      <c r="BR938" s="275">
        <f>IF(BR$7="Actual",0,IF(BR928&lt;&gt;0,PPMT(BR931,1,BR933,SUM(BR935:BR935),0,0),0))</f>
        <v/>
      </c>
      <c r="BS938" s="275">
        <f>IF(BS$7="Actual",0,IF(BS928&lt;&gt;0,PPMT(BS931,1,BS933,SUM(BS935:BS935),0,0),0))</f>
        <v/>
      </c>
      <c r="BT938" s="275">
        <f>IF(BT$7="Actual",0,IF(BT928&lt;&gt;0,PPMT(BT931,1,BT933,SUM(BT935:BT935),0,0),0))</f>
        <v/>
      </c>
      <c r="BU938" s="275">
        <f>IF(BU$7="Actual",0,IF(BU928&lt;&gt;0,PPMT(BU931,1,BU933,SUM(BU935:BU935),0,0),0))</f>
        <v/>
      </c>
      <c r="BV938" s="275">
        <f>IF(BV$7="Actual",0,IF(BV928&lt;&gt;0,PPMT(BV931,1,BV933,SUM(BV935:BV935),0,0),0))</f>
        <v/>
      </c>
      <c r="BW938" s="275">
        <f>IF(BW$7="Actual",0,IF(BW928&lt;&gt;0,PPMT(BW931,1,BW933,SUM(BW935:BW935),0,0),0))</f>
        <v/>
      </c>
      <c r="BX938" s="275">
        <f>IF(BX$7="Actual",0,IF(BX928&lt;&gt;0,PPMT(BX931,1,BX933,SUM(BX935:BX935),0,0),0))</f>
        <v/>
      </c>
      <c r="BY938" s="275">
        <f>IF(BY$7="Actual",0,IF(BY928&lt;&gt;0,PPMT(BY931,1,BY933,SUM(BY935:BY935),0,0),0))</f>
        <v/>
      </c>
      <c r="BZ938" s="275">
        <f>IF(BZ$7="Actual",0,IF(BZ928&lt;&gt;0,PPMT(BZ931,1,BZ933,SUM(BZ935:BZ935),0,0),0))</f>
        <v/>
      </c>
      <c r="CA938" s="275">
        <f>IF(CA$7="Actual",0,IF(CA928&lt;&gt;0,PPMT(CA931,1,CA933,SUM(CA935:CA935),0,0),0))</f>
        <v/>
      </c>
    </row>
    <row r="939" ht="12" customHeight="1" s="227">
      <c r="A939" s="244" t="n"/>
      <c r="B939" s="244" t="n"/>
      <c r="C939" s="244" t="n"/>
      <c r="H939" s="0" t="inlineStr">
        <is>
          <t>Drawings/(Repayments)</t>
        </is>
      </c>
      <c r="I939" s="27">
        <f>i_Setup!$M$16</f>
        <v/>
      </c>
      <c r="K939" s="6" t="n"/>
      <c r="M939" s="245">
        <f>SUMIF($T$4:$CA$4,M$4,$T939:$CA939)</f>
        <v/>
      </c>
      <c r="N939" s="245">
        <f>SUMIF($T$4:$CA$4,N$4,$T939:$CA939)</f>
        <v/>
      </c>
      <c r="O939" s="245">
        <f>SUMIF($T$4:$CA$4,O$4,$T939:$CA939)</f>
        <v/>
      </c>
      <c r="P939" s="245">
        <f>SUMIF($T$4:$CA$4,P$4,$T939:$CA939)</f>
        <v/>
      </c>
      <c r="Q939" s="245">
        <f>SUMIF($T$4:$CA$4,Q$4,$T939:$CA939)</f>
        <v/>
      </c>
      <c r="T939" s="257">
        <f>IF(T$7="Actual",0,IF(OR(i_Assumptions!T665=0,T928=0),0,MAX(-SUM(T935:T938),i_Assumptions!T665)))</f>
        <v/>
      </c>
      <c r="U939" s="257">
        <f>IF(U$7="Actual",0,IF(OR(i_Assumptions!U665=0,U928=0),0,MAX(-SUM(U935:U938),i_Assumptions!U665)))</f>
        <v/>
      </c>
      <c r="V939" s="257">
        <f>IF(V$7="Actual",0,IF(OR(i_Assumptions!V665=0,V928=0),0,MAX(-SUM(V935:V938),i_Assumptions!V665)))</f>
        <v/>
      </c>
      <c r="W939" s="257">
        <f>IF(W$7="Actual",0,IF(OR(i_Assumptions!W665=0,W928=0),0,MAX(-SUM(W935:W938),i_Assumptions!W665)))</f>
        <v/>
      </c>
      <c r="X939" s="257">
        <f>IF(X$7="Actual",0,IF(OR(i_Assumptions!X665=0,X928=0),0,MAX(-SUM(X935:X938),i_Assumptions!X665)))</f>
        <v/>
      </c>
      <c r="Y939" s="257">
        <f>IF(Y$7="Actual",0,IF(OR(i_Assumptions!Y665=0,Y928=0),0,MAX(-SUM(Y935:Y938),i_Assumptions!Y665)))</f>
        <v/>
      </c>
      <c r="Z939" s="257">
        <f>IF(Z$7="Actual",0,IF(OR(i_Assumptions!Z665=0,Z928=0),0,MAX(-SUM(Z935:Z938),i_Assumptions!Z665)))</f>
        <v/>
      </c>
      <c r="AA939" s="257">
        <f>IF(AA$7="Actual",0,IF(OR(i_Assumptions!AA665=0,AA928=0),0,MAX(-SUM(AA935:AA938),i_Assumptions!AA665)))</f>
        <v/>
      </c>
      <c r="AB939" s="257">
        <f>IF(AB$7="Actual",0,IF(OR(i_Assumptions!AB665=0,AB928=0),0,MAX(-SUM(AB935:AB938),i_Assumptions!AB665)))</f>
        <v/>
      </c>
      <c r="AC939" s="257">
        <f>IF(AC$7="Actual",0,IF(OR(i_Assumptions!AC665=0,AC928=0),0,MAX(-SUM(AC935:AC938),i_Assumptions!AC665)))</f>
        <v/>
      </c>
      <c r="AD939" s="257">
        <f>IF(AD$7="Actual",0,IF(OR(i_Assumptions!AD665=0,AD928=0),0,MAX(-SUM(AD935:AD938),i_Assumptions!AD665)))</f>
        <v/>
      </c>
      <c r="AE939" s="257">
        <f>IF(AE$7="Actual",0,IF(OR(i_Assumptions!AE665=0,AE928=0),0,MAX(-SUM(AE935:AE938),i_Assumptions!AE665)))</f>
        <v/>
      </c>
      <c r="AF939" s="257">
        <f>IF(AF$7="Actual",0,IF(OR(i_Assumptions!AF665=0,AF928=0),0,MAX(-SUM(AF935:AF938),i_Assumptions!AF665)))</f>
        <v/>
      </c>
      <c r="AG939" s="257">
        <f>IF(AG$7="Actual",0,IF(OR(i_Assumptions!AG665=0,AG928=0),0,MAX(-SUM(AG935:AG938),i_Assumptions!AG665)))</f>
        <v/>
      </c>
      <c r="AH939" s="257">
        <f>IF(AH$7="Actual",0,IF(OR(i_Assumptions!AH665=0,AH928=0),0,MAX(-SUM(AH935:AH938),i_Assumptions!AH665)))</f>
        <v/>
      </c>
      <c r="AI939" s="257">
        <f>IF(AI$7="Actual",0,IF(OR(i_Assumptions!AI665=0,AI928=0),0,MAX(-SUM(AI935:AI938),i_Assumptions!AI665)))</f>
        <v/>
      </c>
      <c r="AJ939" s="257">
        <f>IF(AJ$7="Actual",0,IF(OR(i_Assumptions!AJ665=0,AJ928=0),0,MAX(-SUM(AJ935:AJ938),i_Assumptions!AJ665)))</f>
        <v/>
      </c>
      <c r="AK939" s="257">
        <f>IF(AK$7="Actual",0,IF(OR(i_Assumptions!AK665=0,AK928=0),0,MAX(-SUM(AK935:AK938),i_Assumptions!AK665)))</f>
        <v/>
      </c>
      <c r="AL939" s="257">
        <f>IF(AL$7="Actual",0,IF(OR(i_Assumptions!AL665=0,AL928=0),0,MAX(-SUM(AL935:AL938),i_Assumptions!AL665)))</f>
        <v/>
      </c>
      <c r="AM939" s="257">
        <f>IF(AM$7="Actual",0,IF(OR(i_Assumptions!AM665=0,AM928=0),0,MAX(-SUM(AM935:AM938),i_Assumptions!AM665)))</f>
        <v/>
      </c>
      <c r="AN939" s="257">
        <f>IF(AN$7="Actual",0,IF(OR(i_Assumptions!AN665=0,AN928=0),0,MAX(-SUM(AN935:AN938),i_Assumptions!AN665)))</f>
        <v/>
      </c>
      <c r="AO939" s="257">
        <f>IF(AO$7="Actual",0,IF(OR(i_Assumptions!AO665=0,AO928=0),0,MAX(-SUM(AO935:AO938),i_Assumptions!AO665)))</f>
        <v/>
      </c>
      <c r="AP939" s="257">
        <f>IF(AP$7="Actual",0,IF(OR(i_Assumptions!AP665=0,AP928=0),0,MAX(-SUM(AP935:AP938),i_Assumptions!AP665)))</f>
        <v/>
      </c>
      <c r="AQ939" s="257">
        <f>IF(AQ$7="Actual",0,IF(OR(i_Assumptions!AQ665=0,AQ928=0),0,MAX(-SUM(AQ935:AQ938),i_Assumptions!AQ665)))</f>
        <v/>
      </c>
      <c r="AR939" s="257">
        <f>IF(AR$7="Actual",0,IF(OR(i_Assumptions!AR665=0,AR928=0),0,MAX(-SUM(AR935:AR938),i_Assumptions!AR665)))</f>
        <v/>
      </c>
      <c r="AS939" s="257">
        <f>IF(AS$7="Actual",0,IF(OR(i_Assumptions!AS665=0,AS928=0),0,MAX(-SUM(AS935:AS938),i_Assumptions!AS665)))</f>
        <v/>
      </c>
      <c r="AT939" s="257">
        <f>IF(AT$7="Actual",0,IF(OR(i_Assumptions!AT665=0,AT928=0),0,MAX(-SUM(AT935:AT938),i_Assumptions!AT665)))</f>
        <v/>
      </c>
      <c r="AU939" s="257">
        <f>IF(AU$7="Actual",0,IF(OR(i_Assumptions!AU665=0,AU928=0),0,MAX(-SUM(AU935:AU938),i_Assumptions!AU665)))</f>
        <v/>
      </c>
      <c r="AV939" s="257">
        <f>IF(AV$7="Actual",0,IF(OR(i_Assumptions!AV665=0,AV928=0),0,MAX(-SUM(AV935:AV938),i_Assumptions!AV665)))</f>
        <v/>
      </c>
      <c r="AW939" s="257">
        <f>IF(AW$7="Actual",0,IF(OR(i_Assumptions!AW665=0,AW928=0),0,MAX(-SUM(AW935:AW938),i_Assumptions!AW665)))</f>
        <v/>
      </c>
      <c r="AX939" s="257">
        <f>IF(AX$7="Actual",0,IF(OR(i_Assumptions!AX665=0,AX928=0),0,MAX(-SUM(AX935:AX938),i_Assumptions!AX665)))</f>
        <v/>
      </c>
      <c r="AY939" s="257">
        <f>IF(AY$7="Actual",0,IF(OR(i_Assumptions!AY665=0,AY928=0),0,MAX(-SUM(AY935:AY938),i_Assumptions!AY665)))</f>
        <v/>
      </c>
      <c r="AZ939" s="257">
        <f>IF(AZ$7="Actual",0,IF(OR(i_Assumptions!AZ665=0,AZ928=0),0,MAX(-SUM(AZ935:AZ938),i_Assumptions!AZ665)))</f>
        <v/>
      </c>
      <c r="BA939" s="257">
        <f>IF(BA$7="Actual",0,IF(OR(i_Assumptions!BA665=0,BA928=0),0,MAX(-SUM(BA935:BA938),i_Assumptions!BA665)))</f>
        <v/>
      </c>
      <c r="BB939" s="257">
        <f>IF(BB$7="Actual",0,IF(OR(i_Assumptions!BB665=0,BB928=0),0,MAX(-SUM(BB935:BB938),i_Assumptions!BB665)))</f>
        <v/>
      </c>
      <c r="BC939" s="257">
        <f>IF(BC$7="Actual",0,IF(OR(i_Assumptions!BC665=0,BC928=0),0,MAX(-SUM(BC935:BC938),i_Assumptions!BC665)))</f>
        <v/>
      </c>
      <c r="BD939" s="257">
        <f>IF(BD$7="Actual",0,IF(OR(i_Assumptions!BD665=0,BD928=0),0,MAX(-SUM(BD935:BD938),i_Assumptions!BD665)))</f>
        <v/>
      </c>
      <c r="BE939" s="257">
        <f>IF(BE$7="Actual",0,IF(OR(i_Assumptions!BE665=0,BE928=0),0,MAX(-SUM(BE935:BE938),i_Assumptions!BE665)))</f>
        <v/>
      </c>
      <c r="BF939" s="257">
        <f>IF(BF$7="Actual",0,IF(OR(i_Assumptions!BF665=0,BF928=0),0,MAX(-SUM(BF935:BF938),i_Assumptions!BF665)))</f>
        <v/>
      </c>
      <c r="BG939" s="257">
        <f>IF(BG$7="Actual",0,IF(OR(i_Assumptions!BG665=0,BG928=0),0,MAX(-SUM(BG935:BG938),i_Assumptions!BG665)))</f>
        <v/>
      </c>
      <c r="BH939" s="257">
        <f>IF(BH$7="Actual",0,IF(OR(i_Assumptions!BH665=0,BH928=0),0,MAX(-SUM(BH935:BH938),i_Assumptions!BH665)))</f>
        <v/>
      </c>
      <c r="BI939" s="257">
        <f>IF(BI$7="Actual",0,IF(OR(i_Assumptions!BI665=0,BI928=0),0,MAX(-SUM(BI935:BI938),i_Assumptions!BI665)))</f>
        <v/>
      </c>
      <c r="BJ939" s="257">
        <f>IF(BJ$7="Actual",0,IF(OR(i_Assumptions!BJ665=0,BJ928=0),0,MAX(-SUM(BJ935:BJ938),i_Assumptions!BJ665)))</f>
        <v/>
      </c>
      <c r="BK939" s="257">
        <f>IF(BK$7="Actual",0,IF(OR(i_Assumptions!BK665=0,BK928=0),0,MAX(-SUM(BK935:BK938),i_Assumptions!BK665)))</f>
        <v/>
      </c>
      <c r="BL939" s="257">
        <f>IF(BL$7="Actual",0,IF(OR(i_Assumptions!BL665=0,BL928=0),0,MAX(-SUM(BL935:BL938),i_Assumptions!BL665)))</f>
        <v/>
      </c>
      <c r="BM939" s="257">
        <f>IF(BM$7="Actual",0,IF(OR(i_Assumptions!BM665=0,BM928=0),0,MAX(-SUM(BM935:BM938),i_Assumptions!BM665)))</f>
        <v/>
      </c>
      <c r="BN939" s="257">
        <f>IF(BN$7="Actual",0,IF(OR(i_Assumptions!BN665=0,BN928=0),0,MAX(-SUM(BN935:BN938),i_Assumptions!BN665)))</f>
        <v/>
      </c>
      <c r="BO939" s="257">
        <f>IF(BO$7="Actual",0,IF(OR(i_Assumptions!BO665=0,BO928=0),0,MAX(-SUM(BO935:BO938),i_Assumptions!BO665)))</f>
        <v/>
      </c>
      <c r="BP939" s="257">
        <f>IF(BP$7="Actual",0,IF(OR(i_Assumptions!BP665=0,BP928=0),0,MAX(-SUM(BP935:BP938),i_Assumptions!BP665)))</f>
        <v/>
      </c>
      <c r="BQ939" s="257">
        <f>IF(BQ$7="Actual",0,IF(OR(i_Assumptions!BQ665=0,BQ928=0),0,MAX(-SUM(BQ935:BQ938),i_Assumptions!BQ665)))</f>
        <v/>
      </c>
      <c r="BR939" s="257">
        <f>IF(BR$7="Actual",0,IF(OR(i_Assumptions!BR665=0,BR928=0),0,MAX(-SUM(BR935:BR938),i_Assumptions!BR665)))</f>
        <v/>
      </c>
      <c r="BS939" s="257">
        <f>IF(BS$7="Actual",0,IF(OR(i_Assumptions!BS665=0,BS928=0),0,MAX(-SUM(BS935:BS938),i_Assumptions!BS665)))</f>
        <v/>
      </c>
      <c r="BT939" s="257">
        <f>IF(BT$7="Actual",0,IF(OR(i_Assumptions!BT665=0,BT928=0),0,MAX(-SUM(BT935:BT938),i_Assumptions!BT665)))</f>
        <v/>
      </c>
      <c r="BU939" s="257">
        <f>IF(BU$7="Actual",0,IF(OR(i_Assumptions!BU665=0,BU928=0),0,MAX(-SUM(BU935:BU938),i_Assumptions!BU665)))</f>
        <v/>
      </c>
      <c r="BV939" s="257">
        <f>IF(BV$7="Actual",0,IF(OR(i_Assumptions!BV665=0,BV928=0),0,MAX(-SUM(BV935:BV938),i_Assumptions!BV665)))</f>
        <v/>
      </c>
      <c r="BW939" s="257">
        <f>IF(BW$7="Actual",0,IF(OR(i_Assumptions!BW665=0,BW928=0),0,MAX(-SUM(BW935:BW938),i_Assumptions!BW665)))</f>
        <v/>
      </c>
      <c r="BX939" s="257">
        <f>IF(BX$7="Actual",0,IF(OR(i_Assumptions!BX665=0,BX928=0),0,MAX(-SUM(BX935:BX938),i_Assumptions!BX665)))</f>
        <v/>
      </c>
      <c r="BY939" s="257">
        <f>IF(BY$7="Actual",0,IF(OR(i_Assumptions!BY665=0,BY928=0),0,MAX(-SUM(BY935:BY938),i_Assumptions!BY665)))</f>
        <v/>
      </c>
      <c r="BZ939" s="257">
        <f>IF(BZ$7="Actual",0,IF(OR(i_Assumptions!BZ665=0,BZ928=0),0,MAX(-SUM(BZ935:BZ938),i_Assumptions!BZ665)))</f>
        <v/>
      </c>
      <c r="CA939" s="257">
        <f>IF(CA$7="Actual",0,IF(OR(i_Assumptions!CA665=0,CA928=0),0,MAX(-SUM(CA935:CA938),i_Assumptions!CA665)))</f>
        <v/>
      </c>
    </row>
    <row r="940" ht="12" customHeight="1" s="227">
      <c r="A940" s="244" t="n"/>
      <c r="B940" s="244" t="n"/>
      <c r="C940" s="244" t="n"/>
      <c r="H940" s="0" t="inlineStr">
        <is>
          <t>Repayment Final</t>
        </is>
      </c>
      <c r="I940" s="27">
        <f>i_Setup!$M$16</f>
        <v/>
      </c>
      <c r="K940" s="6" t="n"/>
      <c r="M940" s="245">
        <f>SUMIF($T$4:$CA$4,M$4,$T940:$CA940)</f>
        <v/>
      </c>
      <c r="N940" s="245">
        <f>SUMIF($T$4:$CA$4,N$4,$T940:$CA940)</f>
        <v/>
      </c>
      <c r="O940" s="245">
        <f>SUMIF($T$4:$CA$4,O$4,$T940:$CA940)</f>
        <v/>
      </c>
      <c r="P940" s="245">
        <f>SUMIF($T$4:$CA$4,P$4,$T940:$CA940)</f>
        <v/>
      </c>
      <c r="Q940" s="245">
        <f>SUMIF($T$4:$CA$4,Q$4,$T940:$CA940)</f>
        <v/>
      </c>
      <c r="T940" s="245">
        <f>IF(T$7="Actual",0,IF(AND(U928=0,T928=1),-SUM(T935:T939),0))</f>
        <v/>
      </c>
      <c r="U940" s="245">
        <f>IF(U$7="Actual",0,IF(AND(V928=0,U928=1),-SUM(U935:U939),0))</f>
        <v/>
      </c>
      <c r="V940" s="245">
        <f>IF(V$7="Actual",0,IF(AND(W928=0,V928=1),-SUM(V935:V939),0))</f>
        <v/>
      </c>
      <c r="W940" s="245">
        <f>IF(W$7="Actual",0,IF(AND(X928=0,W928=1),-SUM(W935:W939),0))</f>
        <v/>
      </c>
      <c r="X940" s="245">
        <f>IF(X$7="Actual",0,IF(AND(Y928=0,X928=1),-SUM(X935:X939),0))</f>
        <v/>
      </c>
      <c r="Y940" s="245">
        <f>IF(Y$7="Actual",0,IF(AND(Z928=0,Y928=1),-SUM(Y935:Y939),0))</f>
        <v/>
      </c>
      <c r="Z940" s="245">
        <f>IF(Z$7="Actual",0,IF(AND(AA928=0,Z928=1),-SUM(Z935:Z939),0))</f>
        <v/>
      </c>
      <c r="AA940" s="245">
        <f>IF(AA$7="Actual",0,IF(AND(AB928=0,AA928=1),-SUM(AA935:AA939),0))</f>
        <v/>
      </c>
      <c r="AB940" s="245">
        <f>IF(AB$7="Actual",0,IF(AND(AC928=0,AB928=1),-SUM(AB935:AB939),0))</f>
        <v/>
      </c>
      <c r="AC940" s="245">
        <f>IF(AC$7="Actual",0,IF(AND(AD928=0,AC928=1),-SUM(AC935:AC939),0))</f>
        <v/>
      </c>
      <c r="AD940" s="245">
        <f>IF(AD$7="Actual",0,IF(AND(AE928=0,AD928=1),-SUM(AD935:AD939),0))</f>
        <v/>
      </c>
      <c r="AE940" s="245">
        <f>IF(AE$7="Actual",0,IF(AND(AF928=0,AE928=1),-SUM(AE935:AE939),0))</f>
        <v/>
      </c>
      <c r="AF940" s="245">
        <f>IF(AF$7="Actual",0,IF(AND(AG928=0,AF928=1),-SUM(AF935:AF939),0))</f>
        <v/>
      </c>
      <c r="AG940" s="245">
        <f>IF(AG$7="Actual",0,IF(AND(AH928=0,AG928=1),-SUM(AG935:AG939),0))</f>
        <v/>
      </c>
      <c r="AH940" s="245">
        <f>IF(AH$7="Actual",0,IF(AND(AI928=0,AH928=1),-SUM(AH935:AH939),0))</f>
        <v/>
      </c>
      <c r="AI940" s="245">
        <f>IF(AI$7="Actual",0,IF(AND(AJ928=0,AI928=1),-SUM(AI935:AI939),0))</f>
        <v/>
      </c>
      <c r="AJ940" s="245">
        <f>IF(AJ$7="Actual",0,IF(AND(AK928=0,AJ928=1),-SUM(AJ935:AJ939),0))</f>
        <v/>
      </c>
      <c r="AK940" s="245">
        <f>IF(AK$7="Actual",0,IF(AND(AL928=0,AK928=1),-SUM(AK935:AK939),0))</f>
        <v/>
      </c>
      <c r="AL940" s="245">
        <f>IF(AL$7="Actual",0,IF(AND(AM928=0,AL928=1),-SUM(AL935:AL939),0))</f>
        <v/>
      </c>
      <c r="AM940" s="245">
        <f>IF(AM$7="Actual",0,IF(AND(AN928=0,AM928=1),-SUM(AM935:AM939),0))</f>
        <v/>
      </c>
      <c r="AN940" s="245">
        <f>IF(AN$7="Actual",0,IF(AND(AO928=0,AN928=1),-SUM(AN935:AN939),0))</f>
        <v/>
      </c>
      <c r="AO940" s="245">
        <f>IF(AO$7="Actual",0,IF(AND(AP928=0,AO928=1),-SUM(AO935:AO939),0))</f>
        <v/>
      </c>
      <c r="AP940" s="245">
        <f>IF(AP$7="Actual",0,IF(AND(AQ928=0,AP928=1),-SUM(AP935:AP939),0))</f>
        <v/>
      </c>
      <c r="AQ940" s="245">
        <f>IF(AQ$7="Actual",0,IF(AND(AR928=0,AQ928=1),-SUM(AQ935:AQ939),0))</f>
        <v/>
      </c>
      <c r="AR940" s="245">
        <f>IF(AR$7="Actual",0,IF(AND(AS928=0,AR928=1),-SUM(AR935:AR939),0))</f>
        <v/>
      </c>
      <c r="AS940" s="245">
        <f>IF(AS$7="Actual",0,IF(AND(AT928=0,AS928=1),-SUM(AS935:AS939),0))</f>
        <v/>
      </c>
      <c r="AT940" s="245">
        <f>IF(AT$7="Actual",0,IF(AND(AU928=0,AT928=1),-SUM(AT935:AT939),0))</f>
        <v/>
      </c>
      <c r="AU940" s="245">
        <f>IF(AU$7="Actual",0,IF(AND(AV928=0,AU928=1),-SUM(AU935:AU939),0))</f>
        <v/>
      </c>
      <c r="AV940" s="245">
        <f>IF(AV$7="Actual",0,IF(AND(AW928=0,AV928=1),-SUM(AV935:AV939),0))</f>
        <v/>
      </c>
      <c r="AW940" s="245">
        <f>IF(AW$7="Actual",0,IF(AND(AX928=0,AW928=1),-SUM(AW935:AW939),0))</f>
        <v/>
      </c>
      <c r="AX940" s="245">
        <f>IF(AX$7="Actual",0,IF(AND(AY928=0,AX928=1),-SUM(AX935:AX939),0))</f>
        <v/>
      </c>
      <c r="AY940" s="245">
        <f>IF(AY$7="Actual",0,IF(AND(AZ928=0,AY928=1),-SUM(AY935:AY939),0))</f>
        <v/>
      </c>
      <c r="AZ940" s="245">
        <f>IF(AZ$7="Actual",0,IF(AND(BA928=0,AZ928=1),-SUM(AZ935:AZ939),0))</f>
        <v/>
      </c>
      <c r="BA940" s="245">
        <f>IF(BA$7="Actual",0,IF(AND(BB928=0,BA928=1),-SUM(BA935:BA939),0))</f>
        <v/>
      </c>
      <c r="BB940" s="245">
        <f>IF(BB$7="Actual",0,IF(AND(BC928=0,BB928=1),-SUM(BB935:BB939),0))</f>
        <v/>
      </c>
      <c r="BC940" s="245">
        <f>IF(BC$7="Actual",0,IF(AND(BD928=0,BC928=1),-SUM(BC935:BC939),0))</f>
        <v/>
      </c>
      <c r="BD940" s="245">
        <f>IF(BD$7="Actual",0,IF(AND(BE928=0,BD928=1),-SUM(BD935:BD939),0))</f>
        <v/>
      </c>
      <c r="BE940" s="245">
        <f>IF(BE$7="Actual",0,IF(AND(BF928=0,BE928=1),-SUM(BE935:BE939),0))</f>
        <v/>
      </c>
      <c r="BF940" s="245">
        <f>IF(BF$7="Actual",0,IF(AND(BG928=0,BF928=1),-SUM(BF935:BF939),0))</f>
        <v/>
      </c>
      <c r="BG940" s="245">
        <f>IF(BG$7="Actual",0,IF(AND(BH928=0,BG928=1),-SUM(BG935:BG939),0))</f>
        <v/>
      </c>
      <c r="BH940" s="245">
        <f>IF(BH$7="Actual",0,IF(AND(BI928=0,BH928=1),-SUM(BH935:BH939),0))</f>
        <v/>
      </c>
      <c r="BI940" s="245">
        <f>IF(BI$7="Actual",0,IF(AND(BJ928=0,BI928=1),-SUM(BI935:BI939),0))</f>
        <v/>
      </c>
      <c r="BJ940" s="245">
        <f>IF(BJ$7="Actual",0,IF(AND(BK928=0,BJ928=1),-SUM(BJ935:BJ939),0))</f>
        <v/>
      </c>
      <c r="BK940" s="245">
        <f>IF(BK$7="Actual",0,IF(AND(BL928=0,BK928=1),-SUM(BK935:BK939),0))</f>
        <v/>
      </c>
      <c r="BL940" s="245">
        <f>IF(BL$7="Actual",0,IF(AND(BM928=0,BL928=1),-SUM(BL935:BL939),0))</f>
        <v/>
      </c>
      <c r="BM940" s="245">
        <f>IF(BM$7="Actual",0,IF(AND(BN928=0,BM928=1),-SUM(BM935:BM939),0))</f>
        <v/>
      </c>
      <c r="BN940" s="245">
        <f>IF(BN$7="Actual",0,IF(AND(BO928=0,BN928=1),-SUM(BN935:BN939),0))</f>
        <v/>
      </c>
      <c r="BO940" s="245">
        <f>IF(BO$7="Actual",0,IF(AND(BP928=0,BO928=1),-SUM(BO935:BO939),0))</f>
        <v/>
      </c>
      <c r="BP940" s="245">
        <f>IF(BP$7="Actual",0,IF(AND(BQ928=0,BP928=1),-SUM(BP935:BP939),0))</f>
        <v/>
      </c>
      <c r="BQ940" s="245">
        <f>IF(BQ$7="Actual",0,IF(AND(BR928=0,BQ928=1),-SUM(BQ935:BQ939),0))</f>
        <v/>
      </c>
      <c r="BR940" s="245">
        <f>IF(BR$7="Actual",0,IF(AND(BS928=0,BR928=1),-SUM(BR935:BR939),0))</f>
        <v/>
      </c>
      <c r="BS940" s="245">
        <f>IF(BS$7="Actual",0,IF(AND(BT928=0,BS928=1),-SUM(BS935:BS939),0))</f>
        <v/>
      </c>
      <c r="BT940" s="245">
        <f>IF(BT$7="Actual",0,IF(AND(BU928=0,BT928=1),-SUM(BT935:BT939),0))</f>
        <v/>
      </c>
      <c r="BU940" s="245">
        <f>IF(BU$7="Actual",0,IF(AND(BV928=0,BU928=1),-SUM(BU935:BU939),0))</f>
        <v/>
      </c>
      <c r="BV940" s="245">
        <f>IF(BV$7="Actual",0,IF(AND(BW928=0,BV928=1),-SUM(BV935:BV939),0))</f>
        <v/>
      </c>
      <c r="BW940" s="245">
        <f>IF(BW$7="Actual",0,IF(AND(BX928=0,BW928=1),-SUM(BW935:BW939),0))</f>
        <v/>
      </c>
      <c r="BX940" s="245">
        <f>IF(BX$7="Actual",0,IF(AND(BY928=0,BX928=1),-SUM(BX935:BX939),0))</f>
        <v/>
      </c>
      <c r="BY940" s="245">
        <f>IF(BY$7="Actual",0,IF(AND(BZ928=0,BY928=1),-SUM(BY935:BY939),0))</f>
        <v/>
      </c>
      <c r="BZ940" s="245">
        <f>IF(BZ$7="Actual",0,IF(AND(CA928=0,BZ928=1),-SUM(BZ935:BZ939),0))</f>
        <v/>
      </c>
      <c r="CA940" s="245">
        <f>IF(CA$7="Actual",0,IF(AND(CB928=0,CA928=1),-SUM(CA935:CA939),0))</f>
        <v/>
      </c>
    </row>
    <row r="941" ht="12" customHeight="1" s="227" thickBot="1">
      <c r="A941" s="244" t="n"/>
      <c r="B941" s="244" t="n"/>
      <c r="C941" s="244" t="n"/>
      <c r="H941" s="42" t="inlineStr">
        <is>
          <t>Closing Balance</t>
        </is>
      </c>
      <c r="I941" s="43">
        <f>i_Setup!$M$16</f>
        <v/>
      </c>
      <c r="K941" s="6" t="n"/>
      <c r="M941" s="264">
        <f>SUMIF($T$2:$CA$2,M$2,$T941:$CA941)</f>
        <v/>
      </c>
      <c r="N941" s="264">
        <f>SUMIF($T$2:$CA$2,N$2,$T941:$CA941)</f>
        <v/>
      </c>
      <c r="O941" s="264">
        <f>SUMIF($T$2:$CA$2,O$2,$T941:$CA941)</f>
        <v/>
      </c>
      <c r="P941" s="264">
        <f>SUMIF($T$2:$CA$2,P$2,$T941:$CA941)</f>
        <v/>
      </c>
      <c r="Q941" s="264">
        <f>SUMIF($T$2:$CA$2,Q$2,$T941:$CA941)</f>
        <v/>
      </c>
      <c r="T941" s="264">
        <f>IF(T$7="Actual",-i_Actuals!T133,SUM(T935:T940))</f>
        <v/>
      </c>
      <c r="U941" s="264">
        <f>IF(U$7="Actual",-i_Actuals!U133,SUM(U935:U940))</f>
        <v/>
      </c>
      <c r="V941" s="264">
        <f>IF(V$7="Actual",-i_Actuals!V133,SUM(V935:V940))</f>
        <v/>
      </c>
      <c r="W941" s="264">
        <f>IF(W$7="Actual",-i_Actuals!W133,SUM(W935:W940))</f>
        <v/>
      </c>
      <c r="X941" s="264">
        <f>IF(X$7="Actual",-i_Actuals!X133,SUM(X935:X940))</f>
        <v/>
      </c>
      <c r="Y941" s="264">
        <f>IF(Y$7="Actual",-i_Actuals!Y133,SUM(Y935:Y940))</f>
        <v/>
      </c>
      <c r="Z941" s="264">
        <f>IF(Z$7="Actual",-i_Actuals!Z133,SUM(Z935:Z940))</f>
        <v/>
      </c>
      <c r="AA941" s="264">
        <f>IF(AA$7="Actual",-i_Actuals!AA133,SUM(AA935:AA940))</f>
        <v/>
      </c>
      <c r="AB941" s="264">
        <f>IF(AB$7="Actual",-i_Actuals!AB133,SUM(AB935:AB940))</f>
        <v/>
      </c>
      <c r="AC941" s="264">
        <f>IF(AC$7="Actual",-i_Actuals!AC133,SUM(AC935:AC940))</f>
        <v/>
      </c>
      <c r="AD941" s="264">
        <f>IF(AD$7="Actual",-i_Actuals!AD133,SUM(AD935:AD940))</f>
        <v/>
      </c>
      <c r="AE941" s="264">
        <f>IF(AE$7="Actual",-i_Actuals!AE133,SUM(AE935:AE940))</f>
        <v/>
      </c>
      <c r="AF941" s="264">
        <f>IF(AF$7="Actual",-i_Actuals!AF133,SUM(AF935:AF940))</f>
        <v/>
      </c>
      <c r="AG941" s="264">
        <f>IF(AG$7="Actual",-i_Actuals!AG133,SUM(AG935:AG940))</f>
        <v/>
      </c>
      <c r="AH941" s="264">
        <f>IF(AH$7="Actual",-i_Actuals!AH133,SUM(AH935:AH940))</f>
        <v/>
      </c>
      <c r="AI941" s="264">
        <f>IF(AI$7="Actual",-i_Actuals!AI133,SUM(AI935:AI940))</f>
        <v/>
      </c>
      <c r="AJ941" s="264">
        <f>IF(AJ$7="Actual",-i_Actuals!AJ133,SUM(AJ935:AJ940))</f>
        <v/>
      </c>
      <c r="AK941" s="264">
        <f>IF(AK$7="Actual",-i_Actuals!AK133,SUM(AK935:AK940))</f>
        <v/>
      </c>
      <c r="AL941" s="264">
        <f>IF(AL$7="Actual",-i_Actuals!AL133,SUM(AL935:AL940))</f>
        <v/>
      </c>
      <c r="AM941" s="264">
        <f>IF(AM$7="Actual",-i_Actuals!AM133,SUM(AM935:AM940))</f>
        <v/>
      </c>
      <c r="AN941" s="264">
        <f>IF(AN$7="Actual",-i_Actuals!AN133,SUM(AN935:AN940))</f>
        <v/>
      </c>
      <c r="AO941" s="264">
        <f>IF(AO$7="Actual",-i_Actuals!AO133,SUM(AO935:AO940))</f>
        <v/>
      </c>
      <c r="AP941" s="264">
        <f>IF(AP$7="Actual",-i_Actuals!AP133,SUM(AP935:AP940))</f>
        <v/>
      </c>
      <c r="AQ941" s="264">
        <f>IF(AQ$7="Actual",-i_Actuals!AQ133,SUM(AQ935:AQ940))</f>
        <v/>
      </c>
      <c r="AR941" s="264">
        <f>IF(AR$7="Actual",-i_Actuals!AR133,SUM(AR935:AR940))</f>
        <v/>
      </c>
      <c r="AS941" s="264">
        <f>IF(AS$7="Actual",-i_Actuals!AS133,SUM(AS935:AS940))</f>
        <v/>
      </c>
      <c r="AT941" s="264">
        <f>IF(AT$7="Actual",-i_Actuals!AT133,SUM(AT935:AT940))</f>
        <v/>
      </c>
      <c r="AU941" s="264">
        <f>IF(AU$7="Actual",-i_Actuals!AU133,SUM(AU935:AU940))</f>
        <v/>
      </c>
      <c r="AV941" s="264">
        <f>IF(AV$7="Actual",-i_Actuals!AV133,SUM(AV935:AV940))</f>
        <v/>
      </c>
      <c r="AW941" s="264">
        <f>IF(AW$7="Actual",-i_Actuals!AW133,SUM(AW935:AW940))</f>
        <v/>
      </c>
      <c r="AX941" s="264">
        <f>IF(AX$7="Actual",-i_Actuals!AX133,SUM(AX935:AX940))</f>
        <v/>
      </c>
      <c r="AY941" s="264">
        <f>IF(AY$7="Actual",-i_Actuals!AY133,SUM(AY935:AY940))</f>
        <v/>
      </c>
      <c r="AZ941" s="264">
        <f>IF(AZ$7="Actual",-i_Actuals!AZ133,SUM(AZ935:AZ940))</f>
        <v/>
      </c>
      <c r="BA941" s="264">
        <f>IF(BA$7="Actual",-i_Actuals!BA133,SUM(BA935:BA940))</f>
        <v/>
      </c>
      <c r="BB941" s="264">
        <f>IF(BB$7="Actual",-i_Actuals!BB133,SUM(BB935:BB940))</f>
        <v/>
      </c>
      <c r="BC941" s="264">
        <f>IF(BC$7="Actual",-i_Actuals!BC133,SUM(BC935:BC940))</f>
        <v/>
      </c>
      <c r="BD941" s="264">
        <f>IF(BD$7="Actual",-i_Actuals!BD133,SUM(BD935:BD940))</f>
        <v/>
      </c>
      <c r="BE941" s="264">
        <f>IF(BE$7="Actual",-i_Actuals!BE133,SUM(BE935:BE940))</f>
        <v/>
      </c>
      <c r="BF941" s="264">
        <f>IF(BF$7="Actual",-i_Actuals!BF133,SUM(BF935:BF940))</f>
        <v/>
      </c>
      <c r="BG941" s="264">
        <f>IF(BG$7="Actual",-i_Actuals!BG133,SUM(BG935:BG940))</f>
        <v/>
      </c>
      <c r="BH941" s="264">
        <f>IF(BH$7="Actual",-i_Actuals!BH133,SUM(BH935:BH940))</f>
        <v/>
      </c>
      <c r="BI941" s="264">
        <f>IF(BI$7="Actual",-i_Actuals!BI133,SUM(BI935:BI940))</f>
        <v/>
      </c>
      <c r="BJ941" s="264">
        <f>IF(BJ$7="Actual",-i_Actuals!BJ133,SUM(BJ935:BJ940))</f>
        <v/>
      </c>
      <c r="BK941" s="264">
        <f>IF(BK$7="Actual",-i_Actuals!BK133,SUM(BK935:BK940))</f>
        <v/>
      </c>
      <c r="BL941" s="264">
        <f>IF(BL$7="Actual",-i_Actuals!BL133,SUM(BL935:BL940))</f>
        <v/>
      </c>
      <c r="BM941" s="264">
        <f>IF(BM$7="Actual",-i_Actuals!BM133,SUM(BM935:BM940))</f>
        <v/>
      </c>
      <c r="BN941" s="264">
        <f>IF(BN$7="Actual",-i_Actuals!BN133,SUM(BN935:BN940))</f>
        <v/>
      </c>
      <c r="BO941" s="264">
        <f>IF(BO$7="Actual",-i_Actuals!BO133,SUM(BO935:BO940))</f>
        <v/>
      </c>
      <c r="BP941" s="264">
        <f>IF(BP$7="Actual",-i_Actuals!BP133,SUM(BP935:BP940))</f>
        <v/>
      </c>
      <c r="BQ941" s="264">
        <f>IF(BQ$7="Actual",-i_Actuals!BQ133,SUM(BQ935:BQ940))</f>
        <v/>
      </c>
      <c r="BR941" s="264">
        <f>IF(BR$7="Actual",-i_Actuals!BR133,SUM(BR935:BR940))</f>
        <v/>
      </c>
      <c r="BS941" s="264">
        <f>IF(BS$7="Actual",-i_Actuals!BS133,SUM(BS935:BS940))</f>
        <v/>
      </c>
      <c r="BT941" s="264">
        <f>IF(BT$7="Actual",-i_Actuals!BT133,SUM(BT935:BT940))</f>
        <v/>
      </c>
      <c r="BU941" s="264">
        <f>IF(BU$7="Actual",-i_Actuals!BU133,SUM(BU935:BU940))</f>
        <v/>
      </c>
      <c r="BV941" s="264">
        <f>IF(BV$7="Actual",-i_Actuals!BV133,SUM(BV935:BV940))</f>
        <v/>
      </c>
      <c r="BW941" s="264">
        <f>IF(BW$7="Actual",-i_Actuals!BW133,SUM(BW935:BW940))</f>
        <v/>
      </c>
      <c r="BX941" s="264">
        <f>IF(BX$7="Actual",-i_Actuals!BX133,SUM(BX935:BX940))</f>
        <v/>
      </c>
      <c r="BY941" s="264">
        <f>IF(BY$7="Actual",-i_Actuals!BY133,SUM(BY935:BY940))</f>
        <v/>
      </c>
      <c r="BZ941" s="264">
        <f>IF(BZ$7="Actual",-i_Actuals!BZ133,SUM(BZ935:BZ940))</f>
        <v/>
      </c>
      <c r="CA941" s="264">
        <f>IF(CA$7="Actual",-i_Actuals!CA133,SUM(CA935:CA940))</f>
        <v/>
      </c>
    </row>
    <row r="942" ht="12" customHeight="1" s="227">
      <c r="A942" s="244" t="n"/>
      <c r="B942" s="244" t="n"/>
      <c r="C942" s="244" t="n"/>
      <c r="K942" s="6" t="n"/>
    </row>
    <row r="943" ht="12" customHeight="1" s="227">
      <c r="A943" s="244" t="n"/>
      <c r="B943" s="244">
        <f>SUM(L943:CA943)</f>
        <v/>
      </c>
      <c r="C943" s="8" t="n"/>
      <c r="H943" s="0" t="inlineStr">
        <is>
          <t>Signage Check</t>
        </is>
      </c>
      <c r="K943" s="6" t="n"/>
      <c r="T943" s="244">
        <f>IF(T$7&lt;&gt;"",IF(T941&lt;0,1,0),"")</f>
        <v/>
      </c>
      <c r="U943" s="244">
        <f>IF(U$7&lt;&gt;"",IF(U941&lt;0,1,0),"")</f>
        <v/>
      </c>
      <c r="V943" s="244">
        <f>IF(V$7&lt;&gt;"",IF(V941&lt;0,1,0),"")</f>
        <v/>
      </c>
      <c r="W943" s="244">
        <f>IF(W$7&lt;&gt;"",IF(W941&lt;0,1,0),"")</f>
        <v/>
      </c>
      <c r="X943" s="244">
        <f>IF(X$7&lt;&gt;"",IF(X941&lt;0,1,0),"")</f>
        <v/>
      </c>
      <c r="Y943" s="244">
        <f>IF(Y$7&lt;&gt;"",IF(Y941&lt;0,1,0),"")</f>
        <v/>
      </c>
      <c r="Z943" s="244">
        <f>IF(Z$7&lt;&gt;"",IF(Z941&lt;0,1,0),"")</f>
        <v/>
      </c>
      <c r="AA943" s="244">
        <f>IF(AA$7&lt;&gt;"",IF(AA941&lt;0,1,0),"")</f>
        <v/>
      </c>
      <c r="AB943" s="244">
        <f>IF(AB$7&lt;&gt;"",IF(AB941&lt;0,1,0),"")</f>
        <v/>
      </c>
      <c r="AC943" s="244">
        <f>IF(AC$7&lt;&gt;"",IF(AC941&lt;0,1,0),"")</f>
        <v/>
      </c>
      <c r="AD943" s="244">
        <f>IF(AD$7&lt;&gt;"",IF(AD941&lt;0,1,0),"")</f>
        <v/>
      </c>
      <c r="AE943" s="244">
        <f>IF(AE$7&lt;&gt;"",IF(AE941&lt;0,1,0),"")</f>
        <v/>
      </c>
      <c r="AF943" s="244">
        <f>IF(AF$7&lt;&gt;"",IF(AF941&lt;0,1,0),"")</f>
        <v/>
      </c>
      <c r="AG943" s="244">
        <f>IF(AG$7&lt;&gt;"",IF(AG941&lt;0,1,0),"")</f>
        <v/>
      </c>
      <c r="AH943" s="244">
        <f>IF(AH$7&lt;&gt;"",IF(AH941&lt;0,1,0),"")</f>
        <v/>
      </c>
      <c r="AI943" s="244">
        <f>IF(AI$7&lt;&gt;"",IF(AI941&lt;0,1,0),"")</f>
        <v/>
      </c>
      <c r="AJ943" s="244">
        <f>IF(AJ$7&lt;&gt;"",IF(AJ941&lt;0,1,0),"")</f>
        <v/>
      </c>
      <c r="AK943" s="244">
        <f>IF(AK$7&lt;&gt;"",IF(AK941&lt;0,1,0),"")</f>
        <v/>
      </c>
      <c r="AL943" s="244">
        <f>IF(AL$7&lt;&gt;"",IF(AL941&lt;0,1,0),"")</f>
        <v/>
      </c>
      <c r="AM943" s="244">
        <f>IF(AM$7&lt;&gt;"",IF(AM941&lt;0,1,0),"")</f>
        <v/>
      </c>
      <c r="AN943" s="244">
        <f>IF(AN$7&lt;&gt;"",IF(AN941&lt;0,1,0),"")</f>
        <v/>
      </c>
      <c r="AO943" s="244">
        <f>IF(AO$7&lt;&gt;"",IF(AO941&lt;0,1,0),"")</f>
        <v/>
      </c>
      <c r="AP943" s="244">
        <f>IF(AP$7&lt;&gt;"",IF(AP941&lt;0,1,0),"")</f>
        <v/>
      </c>
      <c r="AQ943" s="244">
        <f>IF(AQ$7&lt;&gt;"",IF(AQ941&lt;0,1,0),"")</f>
        <v/>
      </c>
      <c r="AR943" s="244">
        <f>IF(AR$7&lt;&gt;"",IF(AR941&lt;0,1,0),"")</f>
        <v/>
      </c>
      <c r="AS943" s="244">
        <f>IF(AS$7&lt;&gt;"",IF(AS941&lt;0,1,0),"")</f>
        <v/>
      </c>
      <c r="AT943" s="244">
        <f>IF(AT$7&lt;&gt;"",IF(AT941&lt;0,1,0),"")</f>
        <v/>
      </c>
      <c r="AU943" s="244">
        <f>IF(AU$7&lt;&gt;"",IF(AU941&lt;0,1,0),"")</f>
        <v/>
      </c>
      <c r="AV943" s="244">
        <f>IF(AV$7&lt;&gt;"",IF(AV941&lt;0,1,0),"")</f>
        <v/>
      </c>
      <c r="AW943" s="244">
        <f>IF(AW$7&lt;&gt;"",IF(AW941&lt;0,1,0),"")</f>
        <v/>
      </c>
      <c r="AX943" s="244">
        <f>IF(AX$7&lt;&gt;"",IF(AX941&lt;0,1,0),"")</f>
        <v/>
      </c>
      <c r="AY943" s="244">
        <f>IF(AY$7&lt;&gt;"",IF(AY941&lt;0,1,0),"")</f>
        <v/>
      </c>
      <c r="AZ943" s="244">
        <f>IF(AZ$7&lt;&gt;"",IF(AZ941&lt;0,1,0),"")</f>
        <v/>
      </c>
      <c r="BA943" s="244">
        <f>IF(BA$7&lt;&gt;"",IF(BA941&lt;0,1,0),"")</f>
        <v/>
      </c>
      <c r="BB943" s="244">
        <f>IF(BB$7&lt;&gt;"",IF(BB941&lt;0,1,0),"")</f>
        <v/>
      </c>
      <c r="BC943" s="244">
        <f>IF(BC$7&lt;&gt;"",IF(BC941&lt;0,1,0),"")</f>
        <v/>
      </c>
      <c r="BD943" s="244">
        <f>IF(BD$7&lt;&gt;"",IF(BD941&lt;0,1,0),"")</f>
        <v/>
      </c>
      <c r="BE943" s="244">
        <f>IF(BE$7&lt;&gt;"",IF(BE941&lt;0,1,0),"")</f>
        <v/>
      </c>
      <c r="BF943" s="244">
        <f>IF(BF$7&lt;&gt;"",IF(BF941&lt;0,1,0),"")</f>
        <v/>
      </c>
      <c r="BG943" s="244">
        <f>IF(BG$7&lt;&gt;"",IF(BG941&lt;0,1,0),"")</f>
        <v/>
      </c>
      <c r="BH943" s="244">
        <f>IF(BH$7&lt;&gt;"",IF(BH941&lt;0,1,0),"")</f>
        <v/>
      </c>
      <c r="BI943" s="244">
        <f>IF(BI$7&lt;&gt;"",IF(BI941&lt;0,1,0),"")</f>
        <v/>
      </c>
      <c r="BJ943" s="244">
        <f>IF(BJ$7&lt;&gt;"",IF(BJ941&lt;0,1,0),"")</f>
        <v/>
      </c>
      <c r="BK943" s="244">
        <f>IF(BK$7&lt;&gt;"",IF(BK941&lt;0,1,0),"")</f>
        <v/>
      </c>
      <c r="BL943" s="244">
        <f>IF(BL$7&lt;&gt;"",IF(BL941&lt;0,1,0),"")</f>
        <v/>
      </c>
      <c r="BM943" s="244">
        <f>IF(BM$7&lt;&gt;"",IF(BM941&lt;0,1,0),"")</f>
        <v/>
      </c>
      <c r="BN943" s="244">
        <f>IF(BN$7&lt;&gt;"",IF(BN941&lt;0,1,0),"")</f>
        <v/>
      </c>
      <c r="BO943" s="244">
        <f>IF(BO$7&lt;&gt;"",IF(BO941&lt;0,1,0),"")</f>
        <v/>
      </c>
      <c r="BP943" s="244">
        <f>IF(BP$7&lt;&gt;"",IF(BP941&lt;0,1,0),"")</f>
        <v/>
      </c>
      <c r="BQ943" s="244">
        <f>IF(BQ$7&lt;&gt;"",IF(BQ941&lt;0,1,0),"")</f>
        <v/>
      </c>
      <c r="BR943" s="244">
        <f>IF(BR$7&lt;&gt;"",IF(BR941&lt;0,1,0),"")</f>
        <v/>
      </c>
      <c r="BS943" s="244">
        <f>IF(BS$7&lt;&gt;"",IF(BS941&lt;0,1,0),"")</f>
        <v/>
      </c>
      <c r="BT943" s="244">
        <f>IF(BT$7&lt;&gt;"",IF(BT941&lt;0,1,0),"")</f>
        <v/>
      </c>
      <c r="BU943" s="244">
        <f>IF(BU$7&lt;&gt;"",IF(BU941&lt;0,1,0),"")</f>
        <v/>
      </c>
      <c r="BV943" s="244">
        <f>IF(BV$7&lt;&gt;"",IF(BV941&lt;0,1,0),"")</f>
        <v/>
      </c>
      <c r="BW943" s="244">
        <f>IF(BW$7&lt;&gt;"",IF(BW941&lt;0,1,0),"")</f>
        <v/>
      </c>
      <c r="BX943" s="244">
        <f>IF(BX$7&lt;&gt;"",IF(BX941&lt;0,1,0),"")</f>
        <v/>
      </c>
      <c r="BY943" s="244">
        <f>IF(BY$7&lt;&gt;"",IF(BY941&lt;0,1,0),"")</f>
        <v/>
      </c>
      <c r="BZ943" s="244">
        <f>IF(BZ$7&lt;&gt;"",IF(BZ941&lt;0,1,0),"")</f>
        <v/>
      </c>
      <c r="CA943" s="244">
        <f>IF(CA$7&lt;&gt;"",IF(CA941&lt;0,1,0),"")</f>
        <v/>
      </c>
    </row>
    <row r="944" ht="12" customHeight="1" s="227">
      <c r="A944" s="244" t="n"/>
      <c r="B944" s="244" t="n"/>
      <c r="C944" s="244" t="n"/>
      <c r="K944" s="6" t="n"/>
    </row>
    <row r="945" ht="12" customHeight="1" s="227">
      <c r="A945" s="244" t="n"/>
      <c r="B945" s="244" t="n"/>
      <c r="C945" s="244" t="n"/>
      <c r="K945" s="6" t="n"/>
    </row>
    <row r="946" ht="12" customHeight="1" s="227">
      <c r="A946" s="244" t="n"/>
      <c r="B946" s="244" t="n"/>
      <c r="C946" s="244" t="n"/>
      <c r="G946" s="222">
        <f>i_Setup!U125</f>
        <v/>
      </c>
      <c r="K946" s="6" t="n"/>
    </row>
    <row r="947" ht="12" customHeight="1" s="227">
      <c r="A947" s="244" t="n"/>
      <c r="B947" s="244" t="n"/>
      <c r="C947" s="244" t="n"/>
      <c r="K947" s="6" t="n"/>
    </row>
    <row r="948" ht="12" customHeight="1" s="227">
      <c r="A948" s="244" t="n"/>
      <c r="B948" s="244" t="n"/>
      <c r="C948" s="244" t="n"/>
      <c r="H948" s="0" t="inlineStr">
        <is>
          <t>Start Year</t>
        </is>
      </c>
      <c r="I948" s="27" t="inlineStr">
        <is>
          <t>Date</t>
        </is>
      </c>
      <c r="K948" s="201">
        <f>i_Setup!$U$25</f>
        <v/>
      </c>
      <c r="T948" s="245">
        <f>IF(T$2&lt;$K948,0,1)</f>
        <v/>
      </c>
      <c r="U948" s="245">
        <f>IF(U$2&lt;$K948,0,1)</f>
        <v/>
      </c>
      <c r="V948" s="245">
        <f>IF(V$2&lt;$K948,0,1)</f>
        <v/>
      </c>
      <c r="W948" s="245">
        <f>IF(W$2&lt;$K948,0,1)</f>
        <v/>
      </c>
      <c r="X948" s="245">
        <f>IF(X$2&lt;$K948,0,1)</f>
        <v/>
      </c>
      <c r="Y948" s="245">
        <f>IF(Y$2&lt;$K948,0,1)</f>
        <v/>
      </c>
      <c r="Z948" s="245">
        <f>IF(Z$2&lt;$K948,0,1)</f>
        <v/>
      </c>
      <c r="AA948" s="245">
        <f>IF(AA$2&lt;$K948,0,1)</f>
        <v/>
      </c>
      <c r="AB948" s="245">
        <f>IF(AB$2&lt;$K948,0,1)</f>
        <v/>
      </c>
      <c r="AC948" s="245">
        <f>IF(AC$2&lt;$K948,0,1)</f>
        <v/>
      </c>
      <c r="AD948" s="245">
        <f>IF(AD$2&lt;$K948,0,1)</f>
        <v/>
      </c>
      <c r="AE948" s="245">
        <f>IF(AE$2&lt;$K948,0,1)</f>
        <v/>
      </c>
      <c r="AF948" s="245">
        <f>IF(AF$2&lt;$K948,0,1)</f>
        <v/>
      </c>
      <c r="AG948" s="245">
        <f>IF(AG$2&lt;$K948,0,1)</f>
        <v/>
      </c>
      <c r="AH948" s="245">
        <f>IF(AH$2&lt;$K948,0,1)</f>
        <v/>
      </c>
      <c r="AI948" s="245">
        <f>IF(AI$2&lt;$K948,0,1)</f>
        <v/>
      </c>
      <c r="AJ948" s="245">
        <f>IF(AJ$2&lt;$K948,0,1)</f>
        <v/>
      </c>
      <c r="AK948" s="245">
        <f>IF(AK$2&lt;$K948,0,1)</f>
        <v/>
      </c>
      <c r="AL948" s="245">
        <f>IF(AL$2&lt;$K948,0,1)</f>
        <v/>
      </c>
      <c r="AM948" s="245">
        <f>IF(AM$2&lt;$K948,0,1)</f>
        <v/>
      </c>
      <c r="AN948" s="245">
        <f>IF(AN$2&lt;$K948,0,1)</f>
        <v/>
      </c>
      <c r="AO948" s="245">
        <f>IF(AO$2&lt;$K948,0,1)</f>
        <v/>
      </c>
      <c r="AP948" s="245">
        <f>IF(AP$2&lt;$K948,0,1)</f>
        <v/>
      </c>
      <c r="AQ948" s="245">
        <f>IF(AQ$2&lt;$K948,0,1)</f>
        <v/>
      </c>
      <c r="AR948" s="245">
        <f>IF(AR$2&lt;$K948,0,1)</f>
        <v/>
      </c>
      <c r="AS948" s="245">
        <f>IF(AS$2&lt;$K948,0,1)</f>
        <v/>
      </c>
      <c r="AT948" s="245">
        <f>IF(AT$2&lt;$K948,0,1)</f>
        <v/>
      </c>
      <c r="AU948" s="245">
        <f>IF(AU$2&lt;$K948,0,1)</f>
        <v/>
      </c>
      <c r="AV948" s="245">
        <f>IF(AV$2&lt;$K948,0,1)</f>
        <v/>
      </c>
      <c r="AW948" s="245">
        <f>IF(AW$2&lt;$K948,0,1)</f>
        <v/>
      </c>
      <c r="AX948" s="245">
        <f>IF(AX$2&lt;$K948,0,1)</f>
        <v/>
      </c>
      <c r="AY948" s="245">
        <f>IF(AY$2&lt;$K948,0,1)</f>
        <v/>
      </c>
      <c r="AZ948" s="245">
        <f>IF(AZ$2&lt;$K948,0,1)</f>
        <v/>
      </c>
      <c r="BA948" s="245">
        <f>IF(BA$2&lt;$K948,0,1)</f>
        <v/>
      </c>
      <c r="BB948" s="245">
        <f>IF(BB$2&lt;$K948,0,1)</f>
        <v/>
      </c>
      <c r="BC948" s="245">
        <f>IF(BC$2&lt;$K948,0,1)</f>
        <v/>
      </c>
      <c r="BD948" s="245">
        <f>IF(BD$2&lt;$K948,0,1)</f>
        <v/>
      </c>
      <c r="BE948" s="245">
        <f>IF(BE$2&lt;$K948,0,1)</f>
        <v/>
      </c>
      <c r="BF948" s="245">
        <f>IF(BF$2&lt;$K948,0,1)</f>
        <v/>
      </c>
      <c r="BG948" s="245">
        <f>IF(BG$2&lt;$K948,0,1)</f>
        <v/>
      </c>
      <c r="BH948" s="245">
        <f>IF(BH$2&lt;$K948,0,1)</f>
        <v/>
      </c>
      <c r="BI948" s="245">
        <f>IF(BI$2&lt;$K948,0,1)</f>
        <v/>
      </c>
      <c r="BJ948" s="245">
        <f>IF(BJ$2&lt;$K948,0,1)</f>
        <v/>
      </c>
      <c r="BK948" s="245">
        <f>IF(BK$2&lt;$K948,0,1)</f>
        <v/>
      </c>
      <c r="BL948" s="245">
        <f>IF(BL$2&lt;$K948,0,1)</f>
        <v/>
      </c>
      <c r="BM948" s="245">
        <f>IF(BM$2&lt;$K948,0,1)</f>
        <v/>
      </c>
      <c r="BN948" s="245">
        <f>IF(BN$2&lt;$K948,0,1)</f>
        <v/>
      </c>
      <c r="BO948" s="245">
        <f>IF(BO$2&lt;$K948,0,1)</f>
        <v/>
      </c>
      <c r="BP948" s="245">
        <f>IF(BP$2&lt;$K948,0,1)</f>
        <v/>
      </c>
      <c r="BQ948" s="245">
        <f>IF(BQ$2&lt;$K948,0,1)</f>
        <v/>
      </c>
      <c r="BR948" s="245">
        <f>IF(BR$2&lt;$K948,0,1)</f>
        <v/>
      </c>
      <c r="BS948" s="245">
        <f>IF(BS$2&lt;$K948,0,1)</f>
        <v/>
      </c>
      <c r="BT948" s="245">
        <f>IF(BT$2&lt;$K948,0,1)</f>
        <v/>
      </c>
      <c r="BU948" s="245">
        <f>IF(BU$2&lt;$K948,0,1)</f>
        <v/>
      </c>
      <c r="BV948" s="245">
        <f>IF(BV$2&lt;$K948,0,1)</f>
        <v/>
      </c>
      <c r="BW948" s="245">
        <f>IF(BW$2&lt;$K948,0,1)</f>
        <v/>
      </c>
      <c r="BX948" s="245">
        <f>IF(BX$2&lt;$K948,0,1)</f>
        <v/>
      </c>
      <c r="BY948" s="245">
        <f>IF(BY$2&lt;$K948,0,1)</f>
        <v/>
      </c>
      <c r="BZ948" s="245">
        <f>IF(BZ$2&lt;$K948,0,1)</f>
        <v/>
      </c>
      <c r="CA948" s="245">
        <f>IF(CA$2&lt;$K948,0,1)</f>
        <v/>
      </c>
      <c r="CB948" s="245">
        <f>IF(CB$2&lt;$K948,0,1)</f>
        <v/>
      </c>
      <c r="CC948" s="245">
        <f>IF(CC$2&lt;$K948,0,1)</f>
        <v/>
      </c>
      <c r="CD948" s="245">
        <f>IF(CD$2&lt;$K948,0,1)</f>
        <v/>
      </c>
      <c r="CE948" s="245">
        <f>IF(CE$2&lt;$K948,0,1)</f>
        <v/>
      </c>
      <c r="CF948" s="245">
        <f>IF(CF$2&lt;$K948,0,1)</f>
        <v/>
      </c>
      <c r="CG948" s="245">
        <f>IF(CG$2&lt;$K948,0,1)</f>
        <v/>
      </c>
      <c r="CH948" s="245">
        <f>IF(CH$2&lt;$K948,0,1)</f>
        <v/>
      </c>
      <c r="CI948" s="245">
        <f>IF(CI$2&lt;$K948,0,1)</f>
        <v/>
      </c>
      <c r="CJ948" s="245">
        <f>IF(CJ$2&lt;$K948,0,1)</f>
        <v/>
      </c>
      <c r="CK948" s="245">
        <f>IF(CK$2&lt;$K948,0,1)</f>
        <v/>
      </c>
      <c r="CL948" s="245">
        <f>IF(CL$2&lt;$K948,0,1)</f>
        <v/>
      </c>
      <c r="CM948" s="245">
        <f>IF(CM$2&lt;$K948,0,1)</f>
        <v/>
      </c>
      <c r="CN948" s="245">
        <f>IF(CN$2&lt;$K948,0,1)</f>
        <v/>
      </c>
      <c r="CO948" s="245">
        <f>IF(CO$2&lt;$K948,0,1)</f>
        <v/>
      </c>
      <c r="CP948" s="245">
        <f>IF(CP$2&lt;$K948,0,1)</f>
        <v/>
      </c>
      <c r="CQ948" s="245">
        <f>IF(CQ$2&lt;$K948,0,1)</f>
        <v/>
      </c>
      <c r="CR948" s="245">
        <f>IF(CR$2&lt;$K948,0,1)</f>
        <v/>
      </c>
      <c r="CS948" s="245">
        <f>IF(CS$2&lt;$K948,0,1)</f>
        <v/>
      </c>
      <c r="CT948" s="245">
        <f>IF(CT$2&lt;$K948,0,1)</f>
        <v/>
      </c>
      <c r="CU948" s="245">
        <f>IF(CU$2&lt;$K948,0,1)</f>
        <v/>
      </c>
      <c r="CV948" s="245">
        <f>IF(CV$2&lt;$K948,0,1)</f>
        <v/>
      </c>
      <c r="CW948" s="245">
        <f>IF(CW$2&lt;$K948,0,1)</f>
        <v/>
      </c>
      <c r="CX948" s="245">
        <f>IF(CX$2&lt;$K948,0,1)</f>
        <v/>
      </c>
      <c r="CY948" s="245">
        <f>IF(CY$2&lt;$K948,0,1)</f>
        <v/>
      </c>
      <c r="CZ948" s="245">
        <f>IF(CZ$2&lt;$K948,0,1)</f>
        <v/>
      </c>
      <c r="DA948" s="245">
        <f>IF(DA$2&lt;$K948,0,1)</f>
        <v/>
      </c>
      <c r="DB948" s="245">
        <f>IF(DB$2&lt;$K948,0,1)</f>
        <v/>
      </c>
      <c r="DC948" s="245">
        <f>IF(DC$2&lt;$K948,0,1)</f>
        <v/>
      </c>
      <c r="DD948" s="245">
        <f>IF(DD$2&lt;$K948,0,1)</f>
        <v/>
      </c>
      <c r="DE948" s="245">
        <f>IF(DE$2&lt;$K948,0,1)</f>
        <v/>
      </c>
      <c r="DF948" s="245">
        <f>IF(DF$2&lt;$K948,0,1)</f>
        <v/>
      </c>
      <c r="DG948" s="245">
        <f>IF(DG$2&lt;$K948,0,1)</f>
        <v/>
      </c>
      <c r="DH948" s="245">
        <f>IF(DH$2&lt;$K948,0,1)</f>
        <v/>
      </c>
      <c r="DI948" s="245">
        <f>IF(DI$2&lt;$K948,0,1)</f>
        <v/>
      </c>
      <c r="DJ948" s="245">
        <f>IF(DJ$2&lt;$K948,0,1)</f>
        <v/>
      </c>
      <c r="DK948" s="245">
        <f>IF(DK$2&lt;$K948,0,1)</f>
        <v/>
      </c>
      <c r="DL948" s="245">
        <f>IF(DL$2&lt;$K948,0,1)</f>
        <v/>
      </c>
      <c r="DM948" s="245">
        <f>IF(DM$2&lt;$K948,0,1)</f>
        <v/>
      </c>
      <c r="DN948" s="245">
        <f>IF(DN$2&lt;$K948,0,1)</f>
        <v/>
      </c>
      <c r="DO948" s="245">
        <f>IF(DO$2&lt;$K948,0,1)</f>
        <v/>
      </c>
      <c r="DP948" s="245">
        <f>IF(DP$2&lt;$K948,0,1)</f>
        <v/>
      </c>
      <c r="DQ948" s="245">
        <f>IF(DQ$2&lt;$K948,0,1)</f>
        <v/>
      </c>
      <c r="DR948" s="245">
        <f>IF(DR$2&lt;$K948,0,1)</f>
        <v/>
      </c>
      <c r="DS948" s="245">
        <f>IF(DS$2&lt;$K948,0,1)</f>
        <v/>
      </c>
      <c r="DT948" s="245">
        <f>IF(DT$2&lt;$K948,0,1)</f>
        <v/>
      </c>
      <c r="DU948" s="245">
        <f>IF(DU$2&lt;$K948,0,1)</f>
        <v/>
      </c>
      <c r="DV948" s="245">
        <f>IF(DV$2&lt;$K948,0,1)</f>
        <v/>
      </c>
      <c r="DW948" s="245">
        <f>IF(DW$2&lt;$K948,0,1)</f>
        <v/>
      </c>
      <c r="DX948" s="245">
        <f>IF(DX$2&lt;$K948,0,1)</f>
        <v/>
      </c>
      <c r="DY948" s="245">
        <f>IF(DY$2&lt;$K948,0,1)</f>
        <v/>
      </c>
      <c r="DZ948" s="245">
        <f>IF(DZ$2&lt;$K948,0,1)</f>
        <v/>
      </c>
      <c r="EA948" s="245">
        <f>IF(EA$2&lt;$K948,0,1)</f>
        <v/>
      </c>
      <c r="EB948" s="245">
        <f>IF(EB$2&lt;$K948,0,1)</f>
        <v/>
      </c>
      <c r="EC948" s="245">
        <f>IF(EC$2&lt;$K948,0,1)</f>
        <v/>
      </c>
      <c r="ED948" s="245">
        <f>IF(ED$2&lt;$K948,0,1)</f>
        <v/>
      </c>
      <c r="EE948" s="245">
        <f>IF(EE$2&lt;$K948,0,1)</f>
        <v/>
      </c>
      <c r="EF948" s="245">
        <f>IF(EF$2&lt;$K948,0,1)</f>
        <v/>
      </c>
      <c r="EG948" s="245">
        <f>IF(EG$2&lt;$K948,0,1)</f>
        <v/>
      </c>
      <c r="EH948" s="245">
        <f>IF(EH$2&lt;$K948,0,1)</f>
        <v/>
      </c>
      <c r="EI948" s="245">
        <f>IF(EI$2&lt;$K948,0,1)</f>
        <v/>
      </c>
      <c r="EJ948" s="245">
        <f>IF(EJ$2&lt;$K948,0,1)</f>
        <v/>
      </c>
      <c r="EK948" s="245">
        <f>IF(EK$2&lt;$K948,0,1)</f>
        <v/>
      </c>
      <c r="EL948" s="245">
        <f>IF(EL$2&lt;$K948,0,1)</f>
        <v/>
      </c>
      <c r="EM948" s="245">
        <f>IF(EM$2&lt;$K948,0,1)</f>
        <v/>
      </c>
      <c r="EN948" s="245">
        <f>IF(EN$2&lt;$K948,0,1)</f>
        <v/>
      </c>
      <c r="EO948" s="245">
        <f>IF(EO$2&lt;$K948,0,1)</f>
        <v/>
      </c>
      <c r="EP948" s="245">
        <f>IF(EP$2&lt;$K948,0,1)</f>
        <v/>
      </c>
      <c r="EQ948" s="245">
        <f>IF(EQ$2&lt;$K948,0,1)</f>
        <v/>
      </c>
      <c r="ER948" s="245">
        <f>IF(ER$2&lt;$K948,0,1)</f>
        <v/>
      </c>
      <c r="ES948" s="245">
        <f>IF(ES$2&lt;$K948,0,1)</f>
        <v/>
      </c>
      <c r="ET948" s="245">
        <f>IF(ET$2&lt;$K948,0,1)</f>
        <v/>
      </c>
      <c r="EU948" s="245">
        <f>IF(EU$2&lt;$K948,0,1)</f>
        <v/>
      </c>
      <c r="EV948" s="245">
        <f>IF(EV$2&lt;$K948,0,1)</f>
        <v/>
      </c>
      <c r="EW948" s="245">
        <f>IF(EW$2&lt;$K948,0,1)</f>
        <v/>
      </c>
      <c r="EX948" s="245">
        <f>IF(EX$2&lt;$K948,0,1)</f>
        <v/>
      </c>
      <c r="EY948" s="245">
        <f>IF(EY$2&lt;$K948,0,1)</f>
        <v/>
      </c>
      <c r="EZ948" s="245">
        <f>IF(EZ$2&lt;$K948,0,1)</f>
        <v/>
      </c>
      <c r="FA948" s="245">
        <f>IF(FA$2&lt;$K948,0,1)</f>
        <v/>
      </c>
      <c r="FB948" s="245">
        <f>IF(FB$2&lt;$K948,0,1)</f>
        <v/>
      </c>
      <c r="FC948" s="245">
        <f>IF(FC$2&lt;$K948,0,1)</f>
        <v/>
      </c>
      <c r="FD948" s="245">
        <f>IF(FD$2&lt;$K948,0,1)</f>
        <v/>
      </c>
      <c r="FE948" s="245">
        <f>IF(FE$2&lt;$K948,0,1)</f>
        <v/>
      </c>
      <c r="FF948" s="245">
        <f>IF(FF$2&lt;$K948,0,1)</f>
        <v/>
      </c>
      <c r="FG948" s="245">
        <f>IF(FG$2&lt;$K948,0,1)</f>
        <v/>
      </c>
      <c r="FH948" s="245">
        <f>IF(FH$2&lt;$K948,0,1)</f>
        <v/>
      </c>
      <c r="FI948" s="245">
        <f>IF(FI$2&lt;$K948,0,1)</f>
        <v/>
      </c>
      <c r="FJ948" s="245">
        <f>IF(FJ$2&lt;$K948,0,1)</f>
        <v/>
      </c>
      <c r="FK948" s="245">
        <f>IF(FK$2&lt;$K948,0,1)</f>
        <v/>
      </c>
      <c r="FL948" s="245">
        <f>IF(FL$2&lt;$K948,0,1)</f>
        <v/>
      </c>
      <c r="FM948" s="245">
        <f>IF(FM$2&lt;$K948,0,1)</f>
        <v/>
      </c>
      <c r="FN948" s="245">
        <f>IF(FN$2&lt;$K948,0,1)</f>
        <v/>
      </c>
      <c r="FO948" s="245">
        <f>IF(FO$2&lt;$K948,0,1)</f>
        <v/>
      </c>
      <c r="FP948" s="245">
        <f>IF(FP$2&lt;$K948,0,1)</f>
        <v/>
      </c>
      <c r="FQ948" s="245">
        <f>IF(FQ$2&lt;$K948,0,1)</f>
        <v/>
      </c>
      <c r="FR948" s="245">
        <f>IF(FR$2&lt;$K948,0,1)</f>
        <v/>
      </c>
      <c r="FS948" s="245">
        <f>IF(FS$2&lt;$K948,0,1)</f>
        <v/>
      </c>
      <c r="FT948" s="245">
        <f>IF(FT$2&lt;$K948,0,1)</f>
        <v/>
      </c>
      <c r="FU948" s="245">
        <f>IF(FU$2&lt;$K948,0,1)</f>
        <v/>
      </c>
      <c r="FV948" s="245">
        <f>IF(FV$2&lt;$K948,0,1)</f>
        <v/>
      </c>
      <c r="FW948" s="245">
        <f>IF(FW$2&lt;$K948,0,1)</f>
        <v/>
      </c>
      <c r="FX948" s="245">
        <f>IF(FX$2&lt;$K948,0,1)</f>
        <v/>
      </c>
      <c r="FY948" s="245">
        <f>IF(FY$2&lt;$K948,0,1)</f>
        <v/>
      </c>
      <c r="FZ948" s="245">
        <f>IF(FZ$2&lt;$K948,0,1)</f>
        <v/>
      </c>
      <c r="GA948" s="245">
        <f>IF(GA$2&lt;$K948,0,1)</f>
        <v/>
      </c>
      <c r="GB948" s="245">
        <f>IF(GB$2&lt;$K948,0,1)</f>
        <v/>
      </c>
      <c r="GC948" s="245">
        <f>IF(GC$2&lt;$K948,0,1)</f>
        <v/>
      </c>
      <c r="GD948" s="245">
        <f>IF(GD$2&lt;$K948,0,1)</f>
        <v/>
      </c>
      <c r="GE948" s="245">
        <f>IF(GE$2&lt;$K948,0,1)</f>
        <v/>
      </c>
      <c r="GF948" s="245">
        <f>IF(GF$2&lt;$K948,0,1)</f>
        <v/>
      </c>
      <c r="GG948" s="245">
        <f>IF(GG$2&lt;$K948,0,1)</f>
        <v/>
      </c>
      <c r="GH948" s="245">
        <f>IF(GH$2&lt;$K948,0,1)</f>
        <v/>
      </c>
      <c r="GI948" s="245">
        <f>IF(GI$2&lt;$K948,0,1)</f>
        <v/>
      </c>
      <c r="GJ948" s="245">
        <f>IF(GJ$2&lt;$K948,0,1)</f>
        <v/>
      </c>
      <c r="GK948" s="245">
        <f>IF(GK$2&lt;$K948,0,1)</f>
        <v/>
      </c>
      <c r="GL948" s="245">
        <f>IF(GL$2&lt;$K948,0,1)</f>
        <v/>
      </c>
      <c r="GM948" s="245">
        <f>IF(GM$2&lt;$K948,0,1)</f>
        <v/>
      </c>
      <c r="GN948" s="245">
        <f>IF(GN$2&lt;$K948,0,1)</f>
        <v/>
      </c>
      <c r="GO948" s="245">
        <f>IF(GO$2&lt;$K948,0,1)</f>
        <v/>
      </c>
      <c r="GP948" s="245">
        <f>IF(GP$2&lt;$K948,0,1)</f>
        <v/>
      </c>
      <c r="GQ948" s="245">
        <f>IF(GQ$2&lt;$K948,0,1)</f>
        <v/>
      </c>
      <c r="GR948" s="245" t="n"/>
      <c r="GS948" s="245" t="n"/>
      <c r="GT948" s="245" t="n"/>
      <c r="GU948" s="245" t="n"/>
      <c r="GV948" s="245" t="n"/>
      <c r="GW948" s="245" t="n"/>
      <c r="GX948" s="245" t="n"/>
      <c r="GY948" s="245" t="n"/>
      <c r="GZ948" s="245" t="n"/>
      <c r="HA948" s="245" t="n"/>
      <c r="HB948" s="245" t="n"/>
      <c r="HC948" s="245" t="n"/>
    </row>
    <row r="949" ht="12" customHeight="1" s="227">
      <c r="A949" s="244" t="n"/>
      <c r="B949" s="244" t="n"/>
      <c r="C949" s="244" t="n"/>
      <c r="H949" s="0" t="inlineStr">
        <is>
          <t>Maturity Year</t>
        </is>
      </c>
      <c r="I949" s="27" t="inlineStr">
        <is>
          <t>Date</t>
        </is>
      </c>
      <c r="K949" s="201">
        <f t="array" ref="K949">IFERROR(INDEX(i_Assumptions!$M$658:$M$660,MATCH(c_Calculations!G946,i_Assumptions!$H$658:$H$660,0),),"")</f>
        <v/>
      </c>
      <c r="T949" s="245">
        <f>IF(T$2&gt;$K949,0,1)</f>
        <v/>
      </c>
      <c r="U949" s="245">
        <f>IF(U$2&gt;$K949,0,1)</f>
        <v/>
      </c>
      <c r="V949" s="245">
        <f>IF(V$2&gt;$K949,0,1)</f>
        <v/>
      </c>
      <c r="W949" s="245">
        <f>IF(W$2&gt;$K949,0,1)</f>
        <v/>
      </c>
      <c r="X949" s="245">
        <f>IF(X$2&gt;$K949,0,1)</f>
        <v/>
      </c>
      <c r="Y949" s="245">
        <f>IF(Y$2&gt;$K949,0,1)</f>
        <v/>
      </c>
      <c r="Z949" s="245">
        <f>IF(Z$2&gt;$K949,0,1)</f>
        <v/>
      </c>
      <c r="AA949" s="245">
        <f>IF(AA$2&gt;$K949,0,1)</f>
        <v/>
      </c>
      <c r="AB949" s="245">
        <f>IF(AB$2&gt;$K949,0,1)</f>
        <v/>
      </c>
      <c r="AC949" s="245">
        <f>IF(AC$2&gt;$K949,0,1)</f>
        <v/>
      </c>
      <c r="AD949" s="245">
        <f>IF(AD$2&gt;$K949,0,1)</f>
        <v/>
      </c>
      <c r="AE949" s="245">
        <f>IF(AE$2&gt;$K949,0,1)</f>
        <v/>
      </c>
      <c r="AF949" s="245">
        <f>IF(AF$2&gt;$K949,0,1)</f>
        <v/>
      </c>
      <c r="AG949" s="245">
        <f>IF(AG$2&gt;$K949,0,1)</f>
        <v/>
      </c>
      <c r="AH949" s="245">
        <f>IF(AH$2&gt;$K949,0,1)</f>
        <v/>
      </c>
      <c r="AI949" s="245">
        <f>IF(AI$2&gt;$K949,0,1)</f>
        <v/>
      </c>
      <c r="AJ949" s="245">
        <f>IF(AJ$2&gt;$K949,0,1)</f>
        <v/>
      </c>
      <c r="AK949" s="245">
        <f>IF(AK$2&gt;$K949,0,1)</f>
        <v/>
      </c>
      <c r="AL949" s="245">
        <f>IF(AL$2&gt;$K949,0,1)</f>
        <v/>
      </c>
      <c r="AM949" s="245">
        <f>IF(AM$2&gt;$K949,0,1)</f>
        <v/>
      </c>
      <c r="AN949" s="245">
        <f>IF(AN$2&gt;$K949,0,1)</f>
        <v/>
      </c>
      <c r="AO949" s="245">
        <f>IF(AO$2&gt;$K949,0,1)</f>
        <v/>
      </c>
      <c r="AP949" s="245">
        <f>IF(AP$2&gt;$K949,0,1)</f>
        <v/>
      </c>
      <c r="AQ949" s="245">
        <f>IF(AQ$2&gt;$K949,0,1)</f>
        <v/>
      </c>
      <c r="AR949" s="245">
        <f>IF(AR$2&gt;$K949,0,1)</f>
        <v/>
      </c>
      <c r="AS949" s="245">
        <f>IF(AS$2&gt;$K949,0,1)</f>
        <v/>
      </c>
      <c r="AT949" s="245">
        <f>IF(AT$2&gt;$K949,0,1)</f>
        <v/>
      </c>
      <c r="AU949" s="245">
        <f>IF(AU$2&gt;$K949,0,1)</f>
        <v/>
      </c>
      <c r="AV949" s="245">
        <f>IF(AV$2&gt;$K949,0,1)</f>
        <v/>
      </c>
      <c r="AW949" s="245">
        <f>IF(AW$2&gt;$K949,0,1)</f>
        <v/>
      </c>
      <c r="AX949" s="245">
        <f>IF(AX$2&gt;$K949,0,1)</f>
        <v/>
      </c>
      <c r="AY949" s="245">
        <f>IF(AY$2&gt;$K949,0,1)</f>
        <v/>
      </c>
      <c r="AZ949" s="245">
        <f>IF(AZ$2&gt;$K949,0,1)</f>
        <v/>
      </c>
      <c r="BA949" s="245">
        <f>IF(BA$2&gt;$K949,0,1)</f>
        <v/>
      </c>
      <c r="BB949" s="245">
        <f>IF(BB$2&gt;$K949,0,1)</f>
        <v/>
      </c>
      <c r="BC949" s="245">
        <f>IF(BC$2&gt;$K949,0,1)</f>
        <v/>
      </c>
      <c r="BD949" s="245">
        <f>IF(BD$2&gt;$K949,0,1)</f>
        <v/>
      </c>
      <c r="BE949" s="245">
        <f>IF(BE$2&gt;$K949,0,1)</f>
        <v/>
      </c>
      <c r="BF949" s="245">
        <f>IF(BF$2&gt;$K949,0,1)</f>
        <v/>
      </c>
      <c r="BG949" s="245">
        <f>IF(BG$2&gt;$K949,0,1)</f>
        <v/>
      </c>
      <c r="BH949" s="245">
        <f>IF(BH$2&gt;$K949,0,1)</f>
        <v/>
      </c>
      <c r="BI949" s="245">
        <f>IF(BI$2&gt;$K949,0,1)</f>
        <v/>
      </c>
      <c r="BJ949" s="245">
        <f>IF(BJ$2&gt;$K949,0,1)</f>
        <v/>
      </c>
      <c r="BK949" s="245">
        <f>IF(BK$2&gt;$K949,0,1)</f>
        <v/>
      </c>
      <c r="BL949" s="245">
        <f>IF(BL$2&gt;$K949,0,1)</f>
        <v/>
      </c>
      <c r="BM949" s="245">
        <f>IF(BM$2&gt;$K949,0,1)</f>
        <v/>
      </c>
      <c r="BN949" s="245">
        <f>IF(BN$2&gt;$K949,0,1)</f>
        <v/>
      </c>
      <c r="BO949" s="245">
        <f>IF(BO$2&gt;$K949,0,1)</f>
        <v/>
      </c>
      <c r="BP949" s="245">
        <f>IF(BP$2&gt;$K949,0,1)</f>
        <v/>
      </c>
      <c r="BQ949" s="245">
        <f>IF(BQ$2&gt;$K949,0,1)</f>
        <v/>
      </c>
      <c r="BR949" s="245">
        <f>IF(BR$2&gt;$K949,0,1)</f>
        <v/>
      </c>
      <c r="BS949" s="245">
        <f>IF(BS$2&gt;$K949,0,1)</f>
        <v/>
      </c>
      <c r="BT949" s="245">
        <f>IF(BT$2&gt;$K949,0,1)</f>
        <v/>
      </c>
      <c r="BU949" s="245">
        <f>IF(BU$2&gt;$K949,0,1)</f>
        <v/>
      </c>
      <c r="BV949" s="245">
        <f>IF(BV$2&gt;$K949,0,1)</f>
        <v/>
      </c>
      <c r="BW949" s="245">
        <f>IF(BW$2&gt;$K949,0,1)</f>
        <v/>
      </c>
      <c r="BX949" s="245">
        <f>IF(BX$2&gt;$K949,0,1)</f>
        <v/>
      </c>
      <c r="BY949" s="245">
        <f>IF(BY$2&gt;$K949,0,1)</f>
        <v/>
      </c>
      <c r="BZ949" s="245">
        <f>IF(BZ$2&gt;$K949,0,1)</f>
        <v/>
      </c>
      <c r="CA949" s="245">
        <f>IF(CA$2&gt;$K949,0,1)</f>
        <v/>
      </c>
      <c r="CB949" s="245">
        <f>IF(CB$2&gt;$K949,0,1)</f>
        <v/>
      </c>
      <c r="CC949" s="245">
        <f>IF(CC$2&gt;$K949,0,1)</f>
        <v/>
      </c>
      <c r="CD949" s="245">
        <f>IF(CD$2&gt;$K949,0,1)</f>
        <v/>
      </c>
      <c r="CE949" s="245">
        <f>IF(CE$2&gt;$K949,0,1)</f>
        <v/>
      </c>
      <c r="CF949" s="245">
        <f>IF(CF$2&gt;$K949,0,1)</f>
        <v/>
      </c>
      <c r="CG949" s="245">
        <f>IF(CG$2&gt;$K949,0,1)</f>
        <v/>
      </c>
      <c r="CH949" s="245">
        <f>IF(CH$2&gt;$K949,0,1)</f>
        <v/>
      </c>
      <c r="CI949" s="245">
        <f>IF(CI$2&gt;$K949,0,1)</f>
        <v/>
      </c>
      <c r="CJ949" s="245">
        <f>IF(CJ$2&gt;$K949,0,1)</f>
        <v/>
      </c>
      <c r="CK949" s="245">
        <f>IF(CK$2&gt;$K949,0,1)</f>
        <v/>
      </c>
      <c r="CL949" s="245">
        <f>IF(CL$2&gt;$K949,0,1)</f>
        <v/>
      </c>
      <c r="CM949" s="245">
        <f>IF(CM$2&gt;$K949,0,1)</f>
        <v/>
      </c>
      <c r="CN949" s="245">
        <f>IF(CN$2&gt;$K949,0,1)</f>
        <v/>
      </c>
      <c r="CO949" s="245">
        <f>IF(CO$2&gt;$K949,0,1)</f>
        <v/>
      </c>
      <c r="CP949" s="245">
        <f>IF(CP$2&gt;$K949,0,1)</f>
        <v/>
      </c>
      <c r="CQ949" s="245">
        <f>IF(CQ$2&gt;$K949,0,1)</f>
        <v/>
      </c>
      <c r="CR949" s="245">
        <f>IF(CR$2&gt;$K949,0,1)</f>
        <v/>
      </c>
      <c r="CS949" s="245">
        <f>IF(CS$2&gt;$K949,0,1)</f>
        <v/>
      </c>
      <c r="CT949" s="245">
        <f>IF(CT$2&gt;$K949,0,1)</f>
        <v/>
      </c>
      <c r="CU949" s="245">
        <f>IF(CU$2&gt;$K949,0,1)</f>
        <v/>
      </c>
      <c r="CV949" s="245">
        <f>IF(CV$2&gt;$K949,0,1)</f>
        <v/>
      </c>
      <c r="CW949" s="245">
        <f>IF(CW$2&gt;$K949,0,1)</f>
        <v/>
      </c>
      <c r="CX949" s="245">
        <f>IF(CX$2&gt;$K949,0,1)</f>
        <v/>
      </c>
      <c r="CY949" s="245">
        <f>IF(CY$2&gt;$K949,0,1)</f>
        <v/>
      </c>
      <c r="CZ949" s="245">
        <f>IF(CZ$2&gt;$K949,0,1)</f>
        <v/>
      </c>
      <c r="DA949" s="245">
        <f>IF(DA$2&gt;$K949,0,1)</f>
        <v/>
      </c>
      <c r="DB949" s="245">
        <f>IF(DB$2&gt;$K949,0,1)</f>
        <v/>
      </c>
      <c r="DC949" s="245">
        <f>IF(DC$2&gt;$K949,0,1)</f>
        <v/>
      </c>
      <c r="DD949" s="245">
        <f>IF(DD$2&gt;$K949,0,1)</f>
        <v/>
      </c>
      <c r="DE949" s="245">
        <f>IF(DE$2&gt;$K949,0,1)</f>
        <v/>
      </c>
      <c r="DF949" s="245">
        <f>IF(DF$2&gt;$K949,0,1)</f>
        <v/>
      </c>
      <c r="DG949" s="245">
        <f>IF(DG$2&gt;$K949,0,1)</f>
        <v/>
      </c>
      <c r="DH949" s="245">
        <f>IF(DH$2&gt;$K949,0,1)</f>
        <v/>
      </c>
      <c r="DI949" s="245">
        <f>IF(DI$2&gt;$K949,0,1)</f>
        <v/>
      </c>
      <c r="DJ949" s="245">
        <f>IF(DJ$2&gt;$K949,0,1)</f>
        <v/>
      </c>
      <c r="DK949" s="245">
        <f>IF(DK$2&gt;$K949,0,1)</f>
        <v/>
      </c>
      <c r="DL949" s="245">
        <f>IF(DL$2&gt;$K949,0,1)</f>
        <v/>
      </c>
      <c r="DM949" s="245">
        <f>IF(DM$2&gt;$K949,0,1)</f>
        <v/>
      </c>
      <c r="DN949" s="245">
        <f>IF(DN$2&gt;$K949,0,1)</f>
        <v/>
      </c>
      <c r="DO949" s="245">
        <f>IF(DO$2&gt;$K949,0,1)</f>
        <v/>
      </c>
      <c r="DP949" s="245">
        <f>IF(DP$2&gt;$K949,0,1)</f>
        <v/>
      </c>
      <c r="DQ949" s="245">
        <f>IF(DQ$2&gt;$K949,0,1)</f>
        <v/>
      </c>
      <c r="DR949" s="245">
        <f>IF(DR$2&gt;$K949,0,1)</f>
        <v/>
      </c>
      <c r="DS949" s="245">
        <f>IF(DS$2&gt;$K949,0,1)</f>
        <v/>
      </c>
      <c r="DT949" s="245">
        <f>IF(DT$2&gt;$K949,0,1)</f>
        <v/>
      </c>
      <c r="DU949" s="245">
        <f>IF(DU$2&gt;$K949,0,1)</f>
        <v/>
      </c>
      <c r="DV949" s="245">
        <f>IF(DV$2&gt;$K949,0,1)</f>
        <v/>
      </c>
      <c r="DW949" s="245">
        <f>IF(DW$2&gt;$K949,0,1)</f>
        <v/>
      </c>
      <c r="DX949" s="245">
        <f>IF(DX$2&gt;$K949,0,1)</f>
        <v/>
      </c>
      <c r="DY949" s="245">
        <f>IF(DY$2&gt;$K949,0,1)</f>
        <v/>
      </c>
      <c r="DZ949" s="245">
        <f>IF(DZ$2&gt;$K949,0,1)</f>
        <v/>
      </c>
      <c r="EA949" s="245">
        <f>IF(EA$2&gt;$K949,0,1)</f>
        <v/>
      </c>
      <c r="EB949" s="245">
        <f>IF(EB$2&gt;$K949,0,1)</f>
        <v/>
      </c>
      <c r="EC949" s="245">
        <f>IF(EC$2&gt;$K949,0,1)</f>
        <v/>
      </c>
      <c r="ED949" s="245">
        <f>IF(ED$2&gt;$K949,0,1)</f>
        <v/>
      </c>
      <c r="EE949" s="245">
        <f>IF(EE$2&gt;$K949,0,1)</f>
        <v/>
      </c>
      <c r="EF949" s="245">
        <f>IF(EF$2&gt;$K949,0,1)</f>
        <v/>
      </c>
      <c r="EG949" s="245">
        <f>IF(EG$2&gt;$K949,0,1)</f>
        <v/>
      </c>
      <c r="EH949" s="245">
        <f>IF(EH$2&gt;$K949,0,1)</f>
        <v/>
      </c>
      <c r="EI949" s="245">
        <f>IF(EI$2&gt;$K949,0,1)</f>
        <v/>
      </c>
      <c r="EJ949" s="245">
        <f>IF(EJ$2&gt;$K949,0,1)</f>
        <v/>
      </c>
      <c r="EK949" s="245">
        <f>IF(EK$2&gt;$K949,0,1)</f>
        <v/>
      </c>
      <c r="EL949" s="245">
        <f>IF(EL$2&gt;$K949,0,1)</f>
        <v/>
      </c>
      <c r="EM949" s="245">
        <f>IF(EM$2&gt;$K949,0,1)</f>
        <v/>
      </c>
      <c r="EN949" s="245">
        <f>IF(EN$2&gt;$K949,0,1)</f>
        <v/>
      </c>
      <c r="EO949" s="245">
        <f>IF(EO$2&gt;$K949,0,1)</f>
        <v/>
      </c>
      <c r="EP949" s="245">
        <f>IF(EP$2&gt;$K949,0,1)</f>
        <v/>
      </c>
      <c r="EQ949" s="245">
        <f>IF(EQ$2&gt;$K949,0,1)</f>
        <v/>
      </c>
      <c r="ER949" s="245">
        <f>IF(ER$2&gt;$K949,0,1)</f>
        <v/>
      </c>
      <c r="ES949" s="245">
        <f>IF(ES$2&gt;$K949,0,1)</f>
        <v/>
      </c>
      <c r="ET949" s="245">
        <f>IF(ET$2&gt;$K949,0,1)</f>
        <v/>
      </c>
      <c r="EU949" s="245">
        <f>IF(EU$2&gt;$K949,0,1)</f>
        <v/>
      </c>
      <c r="EV949" s="245">
        <f>IF(EV$2&gt;$K949,0,1)</f>
        <v/>
      </c>
      <c r="EW949" s="245">
        <f>IF(EW$2&gt;$K949,0,1)</f>
        <v/>
      </c>
      <c r="EX949" s="245">
        <f>IF(EX$2&gt;$K949,0,1)</f>
        <v/>
      </c>
      <c r="EY949" s="245">
        <f>IF(EY$2&gt;$K949,0,1)</f>
        <v/>
      </c>
      <c r="EZ949" s="245">
        <f>IF(EZ$2&gt;$K949,0,1)</f>
        <v/>
      </c>
      <c r="FA949" s="245">
        <f>IF(FA$2&gt;$K949,0,1)</f>
        <v/>
      </c>
      <c r="FB949" s="245">
        <f>IF(FB$2&gt;$K949,0,1)</f>
        <v/>
      </c>
      <c r="FC949" s="245">
        <f>IF(FC$2&gt;$K949,0,1)</f>
        <v/>
      </c>
      <c r="FD949" s="245">
        <f>IF(FD$2&gt;$K949,0,1)</f>
        <v/>
      </c>
      <c r="FE949" s="245">
        <f>IF(FE$2&gt;$K949,0,1)</f>
        <v/>
      </c>
      <c r="FF949" s="245">
        <f>IF(FF$2&gt;$K949,0,1)</f>
        <v/>
      </c>
      <c r="FG949" s="245">
        <f>IF(FG$2&gt;$K949,0,1)</f>
        <v/>
      </c>
      <c r="FH949" s="245">
        <f>IF(FH$2&gt;$K949,0,1)</f>
        <v/>
      </c>
      <c r="FI949" s="245">
        <f>IF(FI$2&gt;$K949,0,1)</f>
        <v/>
      </c>
      <c r="FJ949" s="245">
        <f>IF(FJ$2&gt;$K949,0,1)</f>
        <v/>
      </c>
      <c r="FK949" s="245">
        <f>IF(FK$2&gt;$K949,0,1)</f>
        <v/>
      </c>
      <c r="FL949" s="245">
        <f>IF(FL$2&gt;$K949,0,1)</f>
        <v/>
      </c>
      <c r="FM949" s="245">
        <f>IF(FM$2&gt;$K949,0,1)</f>
        <v/>
      </c>
      <c r="FN949" s="245">
        <f>IF(FN$2&gt;$K949,0,1)</f>
        <v/>
      </c>
      <c r="FO949" s="245">
        <f>IF(FO$2&gt;$K949,0,1)</f>
        <v/>
      </c>
      <c r="FP949" s="245">
        <f>IF(FP$2&gt;$K949,0,1)</f>
        <v/>
      </c>
      <c r="FQ949" s="245">
        <f>IF(FQ$2&gt;$K949,0,1)</f>
        <v/>
      </c>
      <c r="FR949" s="245">
        <f>IF(FR$2&gt;$K949,0,1)</f>
        <v/>
      </c>
      <c r="FS949" s="245">
        <f>IF(FS$2&gt;$K949,0,1)</f>
        <v/>
      </c>
      <c r="FT949" s="245">
        <f>IF(FT$2&gt;$K949,0,1)</f>
        <v/>
      </c>
      <c r="FU949" s="245">
        <f>IF(FU$2&gt;$K949,0,1)</f>
        <v/>
      </c>
      <c r="FV949" s="245">
        <f>IF(FV$2&gt;$K949,0,1)</f>
        <v/>
      </c>
      <c r="FW949" s="245">
        <f>IF(FW$2&gt;$K949,0,1)</f>
        <v/>
      </c>
      <c r="FX949" s="245">
        <f>IF(FX$2&gt;$K949,0,1)</f>
        <v/>
      </c>
      <c r="FY949" s="245">
        <f>IF(FY$2&gt;$K949,0,1)</f>
        <v/>
      </c>
      <c r="FZ949" s="245">
        <f>IF(FZ$2&gt;$K949,0,1)</f>
        <v/>
      </c>
      <c r="GA949" s="245">
        <f>IF(GA$2&gt;$K949,0,1)</f>
        <v/>
      </c>
      <c r="GB949" s="245">
        <f>IF(GB$2&gt;$K949,0,1)</f>
        <v/>
      </c>
      <c r="GC949" s="245">
        <f>IF(GC$2&gt;$K949,0,1)</f>
        <v/>
      </c>
      <c r="GD949" s="245">
        <f>IF(GD$2&gt;$K949,0,1)</f>
        <v/>
      </c>
      <c r="GE949" s="245">
        <f>IF(GE$2&gt;$K949,0,1)</f>
        <v/>
      </c>
      <c r="GF949" s="245">
        <f>IF(GF$2&gt;$K949,0,1)</f>
        <v/>
      </c>
      <c r="GG949" s="245">
        <f>IF(GG$2&gt;$K949,0,1)</f>
        <v/>
      </c>
      <c r="GH949" s="245">
        <f>IF(GH$2&gt;$K949,0,1)</f>
        <v/>
      </c>
      <c r="GI949" s="245">
        <f>IF(GI$2&gt;$K949,0,1)</f>
        <v/>
      </c>
      <c r="GJ949" s="245">
        <f>IF(GJ$2&gt;$K949,0,1)</f>
        <v/>
      </c>
      <c r="GK949" s="245">
        <f>IF(GK$2&gt;$K949,0,1)</f>
        <v/>
      </c>
      <c r="GL949" s="245">
        <f>IF(GL$2&gt;$K949,0,1)</f>
        <v/>
      </c>
      <c r="GM949" s="245">
        <f>IF(GM$2&gt;$K949,0,1)</f>
        <v/>
      </c>
      <c r="GN949" s="245">
        <f>IF(GN$2&gt;$K949,0,1)</f>
        <v/>
      </c>
      <c r="GO949" s="245">
        <f>IF(GO$2&gt;$K949,0,1)</f>
        <v/>
      </c>
      <c r="GP949" s="245">
        <f>IF(GP$2&gt;$K949,0,1)</f>
        <v/>
      </c>
      <c r="GQ949" s="245">
        <f>IF(GQ$2&gt;$K949,0,1)</f>
        <v/>
      </c>
      <c r="GR949" s="245" t="n"/>
      <c r="GS949" s="245" t="n"/>
      <c r="GT949" s="245" t="n"/>
      <c r="GU949" s="245" t="n"/>
      <c r="GV949" s="245" t="n"/>
      <c r="GW949" s="245" t="n"/>
      <c r="GX949" s="245" t="n"/>
      <c r="GY949" s="245" t="n"/>
      <c r="GZ949" s="245" t="n"/>
      <c r="HA949" s="245" t="n"/>
      <c r="HB949" s="245" t="n"/>
      <c r="HC949" s="245" t="n"/>
    </row>
    <row r="950" ht="12" customHeight="1" s="227">
      <c r="A950" s="244" t="n"/>
      <c r="B950" s="244" t="n"/>
      <c r="C950" s="244" t="n"/>
      <c r="H950" s="0" t="inlineStr">
        <is>
          <t>Combined Flag</t>
        </is>
      </c>
      <c r="I950" s="27" t="inlineStr">
        <is>
          <t>No</t>
        </is>
      </c>
      <c r="T950" s="245">
        <f>MIN(T948:T949)</f>
        <v/>
      </c>
      <c r="U950" s="245">
        <f>MIN(U948:U949)</f>
        <v/>
      </c>
      <c r="V950" s="245">
        <f>MIN(V948:V949)</f>
        <v/>
      </c>
      <c r="W950" s="245">
        <f>MIN(W948:W949)</f>
        <v/>
      </c>
      <c r="X950" s="245">
        <f>MIN(X948:X949)</f>
        <v/>
      </c>
      <c r="Y950" s="245">
        <f>MIN(Y948:Y949)</f>
        <v/>
      </c>
      <c r="Z950" s="245">
        <f>MIN(Z948:Z949)</f>
        <v/>
      </c>
      <c r="AA950" s="245">
        <f>MIN(AA948:AA949)</f>
        <v/>
      </c>
      <c r="AB950" s="245">
        <f>MIN(AB948:AB949)</f>
        <v/>
      </c>
      <c r="AC950" s="245">
        <f>MIN(AC948:AC949)</f>
        <v/>
      </c>
      <c r="AD950" s="245">
        <f>MIN(AD948:AD949)</f>
        <v/>
      </c>
      <c r="AE950" s="245">
        <f>MIN(AE948:AE949)</f>
        <v/>
      </c>
      <c r="AF950" s="245">
        <f>MIN(AF948:AF949)</f>
        <v/>
      </c>
      <c r="AG950" s="245">
        <f>MIN(AG948:AG949)</f>
        <v/>
      </c>
      <c r="AH950" s="245">
        <f>MIN(AH948:AH949)</f>
        <v/>
      </c>
      <c r="AI950" s="245">
        <f>MIN(AI948:AI949)</f>
        <v/>
      </c>
      <c r="AJ950" s="245">
        <f>MIN(AJ948:AJ949)</f>
        <v/>
      </c>
      <c r="AK950" s="245">
        <f>MIN(AK948:AK949)</f>
        <v/>
      </c>
      <c r="AL950" s="245">
        <f>MIN(AL948:AL949)</f>
        <v/>
      </c>
      <c r="AM950" s="245">
        <f>MIN(AM948:AM949)</f>
        <v/>
      </c>
      <c r="AN950" s="245">
        <f>MIN(AN948:AN949)</f>
        <v/>
      </c>
      <c r="AO950" s="245">
        <f>MIN(AO948:AO949)</f>
        <v/>
      </c>
      <c r="AP950" s="245">
        <f>MIN(AP948:AP949)</f>
        <v/>
      </c>
      <c r="AQ950" s="245">
        <f>MIN(AQ948:AQ949)</f>
        <v/>
      </c>
      <c r="AR950" s="245">
        <f>MIN(AR948:AR949)</f>
        <v/>
      </c>
      <c r="AS950" s="245">
        <f>MIN(AS948:AS949)</f>
        <v/>
      </c>
      <c r="AT950" s="245">
        <f>MIN(AT948:AT949)</f>
        <v/>
      </c>
      <c r="AU950" s="245">
        <f>MIN(AU948:AU949)</f>
        <v/>
      </c>
      <c r="AV950" s="245">
        <f>MIN(AV948:AV949)</f>
        <v/>
      </c>
      <c r="AW950" s="245">
        <f>MIN(AW948:AW949)</f>
        <v/>
      </c>
      <c r="AX950" s="245">
        <f>MIN(AX948:AX949)</f>
        <v/>
      </c>
      <c r="AY950" s="245">
        <f>MIN(AY948:AY949)</f>
        <v/>
      </c>
      <c r="AZ950" s="245">
        <f>MIN(AZ948:AZ949)</f>
        <v/>
      </c>
      <c r="BA950" s="245">
        <f>MIN(BA948:BA949)</f>
        <v/>
      </c>
      <c r="BB950" s="245">
        <f>MIN(BB948:BB949)</f>
        <v/>
      </c>
      <c r="BC950" s="245">
        <f>MIN(BC948:BC949)</f>
        <v/>
      </c>
      <c r="BD950" s="245">
        <f>MIN(BD948:BD949)</f>
        <v/>
      </c>
      <c r="BE950" s="245">
        <f>MIN(BE948:BE949)</f>
        <v/>
      </c>
      <c r="BF950" s="245">
        <f>MIN(BF948:BF949)</f>
        <v/>
      </c>
      <c r="BG950" s="245">
        <f>MIN(BG948:BG949)</f>
        <v/>
      </c>
      <c r="BH950" s="245">
        <f>MIN(BH948:BH949)</f>
        <v/>
      </c>
      <c r="BI950" s="245">
        <f>MIN(BI948:BI949)</f>
        <v/>
      </c>
      <c r="BJ950" s="245">
        <f>MIN(BJ948:BJ949)</f>
        <v/>
      </c>
      <c r="BK950" s="245">
        <f>MIN(BK948:BK949)</f>
        <v/>
      </c>
      <c r="BL950" s="245">
        <f>MIN(BL948:BL949)</f>
        <v/>
      </c>
      <c r="BM950" s="245">
        <f>MIN(BM948:BM949)</f>
        <v/>
      </c>
      <c r="BN950" s="245">
        <f>MIN(BN948:BN949)</f>
        <v/>
      </c>
      <c r="BO950" s="245">
        <f>MIN(BO948:BO949)</f>
        <v/>
      </c>
      <c r="BP950" s="245">
        <f>MIN(BP948:BP949)</f>
        <v/>
      </c>
      <c r="BQ950" s="245">
        <f>MIN(BQ948:BQ949)</f>
        <v/>
      </c>
      <c r="BR950" s="245">
        <f>MIN(BR948:BR949)</f>
        <v/>
      </c>
      <c r="BS950" s="245">
        <f>MIN(BS948:BS949)</f>
        <v/>
      </c>
      <c r="BT950" s="245">
        <f>MIN(BT948:BT949)</f>
        <v/>
      </c>
      <c r="BU950" s="245">
        <f>MIN(BU948:BU949)</f>
        <v/>
      </c>
      <c r="BV950" s="245">
        <f>MIN(BV948:BV949)</f>
        <v/>
      </c>
      <c r="BW950" s="245">
        <f>MIN(BW948:BW949)</f>
        <v/>
      </c>
      <c r="BX950" s="245">
        <f>MIN(BX948:BX949)</f>
        <v/>
      </c>
      <c r="BY950" s="245">
        <f>MIN(BY948:BY949)</f>
        <v/>
      </c>
      <c r="BZ950" s="245">
        <f>MIN(BZ948:BZ949)</f>
        <v/>
      </c>
      <c r="CA950" s="245">
        <f>MIN(CA948:CA949)</f>
        <v/>
      </c>
      <c r="CB950" s="245">
        <f>MIN(CB948:CB949)</f>
        <v/>
      </c>
      <c r="CC950" s="245">
        <f>MIN(CC948:CC949)</f>
        <v/>
      </c>
      <c r="CD950" s="245">
        <f>MIN(CD948:CD949)</f>
        <v/>
      </c>
      <c r="CE950" s="245">
        <f>MIN(CE948:CE949)</f>
        <v/>
      </c>
      <c r="CF950" s="245">
        <f>MIN(CF948:CF949)</f>
        <v/>
      </c>
      <c r="CG950" s="245">
        <f>MIN(CG948:CG949)</f>
        <v/>
      </c>
      <c r="CH950" s="245">
        <f>MIN(CH948:CH949)</f>
        <v/>
      </c>
      <c r="CI950" s="245">
        <f>MIN(CI948:CI949)</f>
        <v/>
      </c>
      <c r="CJ950" s="245">
        <f>MIN(CJ948:CJ949)</f>
        <v/>
      </c>
      <c r="CK950" s="245">
        <f>MIN(CK948:CK949)</f>
        <v/>
      </c>
      <c r="CL950" s="245">
        <f>MIN(CL948:CL949)</f>
        <v/>
      </c>
      <c r="CM950" s="245">
        <f>MIN(CM948:CM949)</f>
        <v/>
      </c>
      <c r="CN950" s="245">
        <f>MIN(CN948:CN949)</f>
        <v/>
      </c>
      <c r="CO950" s="245">
        <f>MIN(CO948:CO949)</f>
        <v/>
      </c>
      <c r="CP950" s="245">
        <f>MIN(CP948:CP949)</f>
        <v/>
      </c>
      <c r="CQ950" s="245">
        <f>MIN(CQ948:CQ949)</f>
        <v/>
      </c>
      <c r="CR950" s="245">
        <f>MIN(CR948:CR949)</f>
        <v/>
      </c>
      <c r="CS950" s="245">
        <f>MIN(CS948:CS949)</f>
        <v/>
      </c>
      <c r="CT950" s="245">
        <f>MIN(CT948:CT949)</f>
        <v/>
      </c>
      <c r="CU950" s="245">
        <f>MIN(CU948:CU949)</f>
        <v/>
      </c>
      <c r="CV950" s="245">
        <f>MIN(CV948:CV949)</f>
        <v/>
      </c>
      <c r="CW950" s="245">
        <f>MIN(CW948:CW949)</f>
        <v/>
      </c>
      <c r="CX950" s="245">
        <f>MIN(CX948:CX949)</f>
        <v/>
      </c>
      <c r="CY950" s="245">
        <f>MIN(CY948:CY949)</f>
        <v/>
      </c>
      <c r="CZ950" s="245">
        <f>MIN(CZ948:CZ949)</f>
        <v/>
      </c>
      <c r="DA950" s="245">
        <f>MIN(DA948:DA949)</f>
        <v/>
      </c>
      <c r="DB950" s="245">
        <f>MIN(DB948:DB949)</f>
        <v/>
      </c>
      <c r="DC950" s="245">
        <f>MIN(DC948:DC949)</f>
        <v/>
      </c>
      <c r="DD950" s="245">
        <f>MIN(DD948:DD949)</f>
        <v/>
      </c>
      <c r="DE950" s="245">
        <f>MIN(DE948:DE949)</f>
        <v/>
      </c>
      <c r="DF950" s="245">
        <f>MIN(DF948:DF949)</f>
        <v/>
      </c>
      <c r="DG950" s="245">
        <f>MIN(DG948:DG949)</f>
        <v/>
      </c>
      <c r="DH950" s="245">
        <f>MIN(DH948:DH949)</f>
        <v/>
      </c>
      <c r="DI950" s="245">
        <f>MIN(DI948:DI949)</f>
        <v/>
      </c>
      <c r="DJ950" s="245">
        <f>MIN(DJ948:DJ949)</f>
        <v/>
      </c>
      <c r="DK950" s="245">
        <f>MIN(DK948:DK949)</f>
        <v/>
      </c>
      <c r="DL950" s="245">
        <f>MIN(DL948:DL949)</f>
        <v/>
      </c>
      <c r="DM950" s="245">
        <f>MIN(DM948:DM949)</f>
        <v/>
      </c>
      <c r="DN950" s="245">
        <f>MIN(DN948:DN949)</f>
        <v/>
      </c>
      <c r="DO950" s="245">
        <f>MIN(DO948:DO949)</f>
        <v/>
      </c>
      <c r="DP950" s="245">
        <f>MIN(DP948:DP949)</f>
        <v/>
      </c>
      <c r="DQ950" s="245">
        <f>MIN(DQ948:DQ949)</f>
        <v/>
      </c>
      <c r="DR950" s="245">
        <f>MIN(DR948:DR949)</f>
        <v/>
      </c>
      <c r="DS950" s="245">
        <f>MIN(DS948:DS949)</f>
        <v/>
      </c>
      <c r="DT950" s="245">
        <f>MIN(DT948:DT949)</f>
        <v/>
      </c>
      <c r="DU950" s="245">
        <f>MIN(DU948:DU949)</f>
        <v/>
      </c>
      <c r="DV950" s="245">
        <f>MIN(DV948:DV949)</f>
        <v/>
      </c>
      <c r="DW950" s="245">
        <f>MIN(DW948:DW949)</f>
        <v/>
      </c>
      <c r="DX950" s="245">
        <f>MIN(DX948:DX949)</f>
        <v/>
      </c>
      <c r="DY950" s="245">
        <f>MIN(DY948:DY949)</f>
        <v/>
      </c>
      <c r="DZ950" s="245">
        <f>MIN(DZ948:DZ949)</f>
        <v/>
      </c>
      <c r="EA950" s="245">
        <f>MIN(EA948:EA949)</f>
        <v/>
      </c>
      <c r="EB950" s="245">
        <f>MIN(EB948:EB949)</f>
        <v/>
      </c>
      <c r="EC950" s="245">
        <f>MIN(EC948:EC949)</f>
        <v/>
      </c>
      <c r="ED950" s="245">
        <f>MIN(ED948:ED949)</f>
        <v/>
      </c>
      <c r="EE950" s="245">
        <f>MIN(EE948:EE949)</f>
        <v/>
      </c>
      <c r="EF950" s="245">
        <f>MIN(EF948:EF949)</f>
        <v/>
      </c>
      <c r="EG950" s="245">
        <f>MIN(EG948:EG949)</f>
        <v/>
      </c>
      <c r="EH950" s="245">
        <f>MIN(EH948:EH949)</f>
        <v/>
      </c>
      <c r="EI950" s="245">
        <f>MIN(EI948:EI949)</f>
        <v/>
      </c>
      <c r="EJ950" s="245">
        <f>MIN(EJ948:EJ949)</f>
        <v/>
      </c>
      <c r="EK950" s="245">
        <f>MIN(EK948:EK949)</f>
        <v/>
      </c>
      <c r="EL950" s="245">
        <f>MIN(EL948:EL949)</f>
        <v/>
      </c>
      <c r="EM950" s="245">
        <f>MIN(EM948:EM949)</f>
        <v/>
      </c>
      <c r="EN950" s="245">
        <f>MIN(EN948:EN949)</f>
        <v/>
      </c>
      <c r="EO950" s="245">
        <f>MIN(EO948:EO949)</f>
        <v/>
      </c>
      <c r="EP950" s="245">
        <f>MIN(EP948:EP949)</f>
        <v/>
      </c>
      <c r="EQ950" s="245">
        <f>MIN(EQ948:EQ949)</f>
        <v/>
      </c>
      <c r="ER950" s="245">
        <f>MIN(ER948:ER949)</f>
        <v/>
      </c>
      <c r="ES950" s="245">
        <f>MIN(ES948:ES949)</f>
        <v/>
      </c>
      <c r="ET950" s="245">
        <f>MIN(ET948:ET949)</f>
        <v/>
      </c>
      <c r="EU950" s="245">
        <f>MIN(EU948:EU949)</f>
        <v/>
      </c>
      <c r="EV950" s="245">
        <f>MIN(EV948:EV949)</f>
        <v/>
      </c>
      <c r="EW950" s="245">
        <f>MIN(EW948:EW949)</f>
        <v/>
      </c>
      <c r="EX950" s="245">
        <f>MIN(EX948:EX949)</f>
        <v/>
      </c>
      <c r="EY950" s="245">
        <f>MIN(EY948:EY949)</f>
        <v/>
      </c>
      <c r="EZ950" s="245">
        <f>MIN(EZ948:EZ949)</f>
        <v/>
      </c>
      <c r="FA950" s="245">
        <f>MIN(FA948:FA949)</f>
        <v/>
      </c>
      <c r="FB950" s="245">
        <f>MIN(FB948:FB949)</f>
        <v/>
      </c>
      <c r="FC950" s="245">
        <f>MIN(FC948:FC949)</f>
        <v/>
      </c>
      <c r="FD950" s="245">
        <f>MIN(FD948:FD949)</f>
        <v/>
      </c>
      <c r="FE950" s="245">
        <f>MIN(FE948:FE949)</f>
        <v/>
      </c>
      <c r="FF950" s="245">
        <f>MIN(FF948:FF949)</f>
        <v/>
      </c>
      <c r="FG950" s="245">
        <f>MIN(FG948:FG949)</f>
        <v/>
      </c>
      <c r="FH950" s="245">
        <f>MIN(FH948:FH949)</f>
        <v/>
      </c>
      <c r="FI950" s="245">
        <f>MIN(FI948:FI949)</f>
        <v/>
      </c>
      <c r="FJ950" s="245">
        <f>MIN(FJ948:FJ949)</f>
        <v/>
      </c>
      <c r="FK950" s="245">
        <f>MIN(FK948:FK949)</f>
        <v/>
      </c>
      <c r="FL950" s="245">
        <f>MIN(FL948:FL949)</f>
        <v/>
      </c>
      <c r="FM950" s="245">
        <f>MIN(FM948:FM949)</f>
        <v/>
      </c>
      <c r="FN950" s="245">
        <f>MIN(FN948:FN949)</f>
        <v/>
      </c>
      <c r="FO950" s="245">
        <f>MIN(FO948:FO949)</f>
        <v/>
      </c>
      <c r="FP950" s="245">
        <f>MIN(FP948:FP949)</f>
        <v/>
      </c>
      <c r="FQ950" s="245">
        <f>MIN(FQ948:FQ949)</f>
        <v/>
      </c>
      <c r="FR950" s="245">
        <f>MIN(FR948:FR949)</f>
        <v/>
      </c>
      <c r="FS950" s="245">
        <f>MIN(FS948:FS949)</f>
        <v/>
      </c>
      <c r="FT950" s="245">
        <f>MIN(FT948:FT949)</f>
        <v/>
      </c>
      <c r="FU950" s="245">
        <f>MIN(FU948:FU949)</f>
        <v/>
      </c>
      <c r="FV950" s="245">
        <f>MIN(FV948:FV949)</f>
        <v/>
      </c>
      <c r="FW950" s="245">
        <f>MIN(FW948:FW949)</f>
        <v/>
      </c>
      <c r="FX950" s="245">
        <f>MIN(FX948:FX949)</f>
        <v/>
      </c>
      <c r="FY950" s="245">
        <f>MIN(FY948:FY949)</f>
        <v/>
      </c>
      <c r="FZ950" s="245">
        <f>MIN(FZ948:FZ949)</f>
        <v/>
      </c>
      <c r="GA950" s="245">
        <f>MIN(GA948:GA949)</f>
        <v/>
      </c>
      <c r="GB950" s="245">
        <f>MIN(GB948:GB949)</f>
        <v/>
      </c>
      <c r="GC950" s="245">
        <f>MIN(GC948:GC949)</f>
        <v/>
      </c>
      <c r="GD950" s="245">
        <f>MIN(GD948:GD949)</f>
        <v/>
      </c>
      <c r="GE950" s="245">
        <f>MIN(GE948:GE949)</f>
        <v/>
      </c>
      <c r="GF950" s="245">
        <f>MIN(GF948:GF949)</f>
        <v/>
      </c>
      <c r="GG950" s="245">
        <f>MIN(GG948:GG949)</f>
        <v/>
      </c>
      <c r="GH950" s="245">
        <f>MIN(GH948:GH949)</f>
        <v/>
      </c>
      <c r="GI950" s="245">
        <f>MIN(GI948:GI949)</f>
        <v/>
      </c>
      <c r="GJ950" s="245">
        <f>MIN(GJ948:GJ949)</f>
        <v/>
      </c>
      <c r="GK950" s="245">
        <f>MIN(GK948:GK949)</f>
        <v/>
      </c>
      <c r="GL950" s="245">
        <f>MIN(GL948:GL949)</f>
        <v/>
      </c>
      <c r="GM950" s="245">
        <f>MIN(GM948:GM949)</f>
        <v/>
      </c>
      <c r="GN950" s="245">
        <f>MIN(GN948:GN949)</f>
        <v/>
      </c>
      <c r="GO950" s="245">
        <f>MIN(GO948:GO949)</f>
        <v/>
      </c>
      <c r="GP950" s="245">
        <f>MIN(GP948:GP949)</f>
        <v/>
      </c>
      <c r="GQ950" s="245">
        <f>MIN(GQ948:GQ949)</f>
        <v/>
      </c>
      <c r="GR950" s="245" t="n"/>
      <c r="GS950" s="245" t="n"/>
      <c r="GT950" s="245" t="n"/>
      <c r="GU950" s="245" t="n"/>
      <c r="GV950" s="245" t="n"/>
      <c r="GW950" s="245" t="n"/>
      <c r="GX950" s="245" t="n"/>
      <c r="GY950" s="245" t="n"/>
      <c r="GZ950" s="245" t="n"/>
      <c r="HA950" s="245" t="n"/>
      <c r="HB950" s="245" t="n"/>
      <c r="HC950" s="245" t="n"/>
    </row>
    <row r="951" ht="12" customHeight="1" s="227">
      <c r="A951" s="244" t="n"/>
      <c r="B951" s="244" t="n"/>
      <c r="C951" s="244" t="n"/>
      <c r="H951" s="0" t="n"/>
      <c r="I951" s="27" t="n"/>
      <c r="T951" s="245" t="n"/>
      <c r="U951" s="245" t="n"/>
      <c r="V951" s="245" t="n"/>
      <c r="W951" s="245" t="n"/>
      <c r="X951" s="245" t="n"/>
      <c r="Y951" s="245" t="n"/>
      <c r="Z951" s="245" t="n"/>
      <c r="AA951" s="245" t="n"/>
      <c r="AB951" s="245" t="n"/>
      <c r="AC951" s="245" t="n"/>
      <c r="AD951" s="245" t="n"/>
      <c r="AE951" s="245" t="n"/>
      <c r="AF951" s="245" t="n"/>
      <c r="AG951" s="245" t="n"/>
      <c r="AH951" s="245" t="n"/>
      <c r="AI951" s="245" t="n"/>
      <c r="AJ951" s="245" t="n"/>
      <c r="AK951" s="245" t="n"/>
      <c r="AL951" s="245" t="n"/>
      <c r="AM951" s="245" t="n"/>
      <c r="AN951" s="245" t="n"/>
      <c r="AO951" s="245" t="n"/>
      <c r="AP951" s="245" t="n"/>
      <c r="AQ951" s="245" t="n"/>
      <c r="AR951" s="245" t="n"/>
      <c r="AS951" s="245" t="n"/>
      <c r="AT951" s="245" t="n"/>
      <c r="AU951" s="245" t="n"/>
      <c r="AV951" s="245" t="n"/>
      <c r="AW951" s="245" t="n"/>
      <c r="AX951" s="245" t="n"/>
      <c r="AY951" s="245" t="n"/>
      <c r="AZ951" s="245" t="n"/>
      <c r="BA951" s="245" t="n"/>
      <c r="BB951" s="245" t="n"/>
      <c r="BC951" s="245" t="n"/>
      <c r="BD951" s="245" t="n"/>
      <c r="BE951" s="245" t="n"/>
      <c r="BF951" s="245" t="n"/>
      <c r="BG951" s="245" t="n"/>
      <c r="BH951" s="245" t="n"/>
      <c r="BI951" s="245" t="n"/>
      <c r="BJ951" s="245" t="n"/>
      <c r="BK951" s="245" t="n"/>
      <c r="BL951" s="245" t="n"/>
      <c r="BM951" s="245" t="n"/>
      <c r="BN951" s="245" t="n"/>
      <c r="BO951" s="245" t="n"/>
      <c r="BP951" s="245" t="n"/>
      <c r="BQ951" s="245" t="n"/>
      <c r="BR951" s="245" t="n"/>
      <c r="BS951" s="245" t="n"/>
      <c r="BT951" s="245" t="n"/>
      <c r="BU951" s="245" t="n"/>
      <c r="BV951" s="245" t="n"/>
      <c r="BW951" s="245" t="n"/>
      <c r="BX951" s="245" t="n"/>
      <c r="BY951" s="245" t="n"/>
      <c r="BZ951" s="245" t="n"/>
      <c r="CA951" s="245" t="n"/>
    </row>
    <row r="952" ht="12" customHeight="1" s="227">
      <c r="A952" s="244" t="n"/>
      <c r="B952" s="244" t="n"/>
      <c r="C952" s="244" t="n"/>
      <c r="I952" s="202" t="n"/>
      <c r="K952" s="6" t="n"/>
    </row>
    <row r="953" ht="12" customHeight="1" s="227">
      <c r="A953" s="244" t="n"/>
      <c r="B953" s="244" t="n"/>
      <c r="C953" s="244" t="n"/>
      <c r="H953" s="0" t="inlineStr">
        <is>
          <t>Interest Rate</t>
        </is>
      </c>
      <c r="I953" s="27" t="inlineStr">
        <is>
          <t>%</t>
        </is>
      </c>
      <c r="K953" s="273">
        <f>(1+INDEX(i_Assumptions!$N$658:$N$660,MATCH(c_Calculations!G946,i_Assumptions!$H$658:$H$660,0),))^(1/12)-1</f>
        <v/>
      </c>
      <c r="T953" s="274">
        <f>IF(T950=0,0,$K953)</f>
        <v/>
      </c>
      <c r="U953" s="274">
        <f>IF(U950=0,0,$K953)</f>
        <v/>
      </c>
      <c r="V953" s="274">
        <f>IF(V950=0,0,$K953)</f>
        <v/>
      </c>
      <c r="W953" s="274">
        <f>IF(W950=0,0,$K953)</f>
        <v/>
      </c>
      <c r="X953" s="274">
        <f>IF(X950=0,0,$K953)</f>
        <v/>
      </c>
      <c r="Y953" s="274">
        <f>IF(Y950=0,0,$K953)</f>
        <v/>
      </c>
      <c r="Z953" s="274">
        <f>IF(Z950=0,0,$K953)</f>
        <v/>
      </c>
      <c r="AA953" s="274">
        <f>IF(AA950=0,0,$K953)</f>
        <v/>
      </c>
      <c r="AB953" s="274">
        <f>IF(AB950=0,0,$K953)</f>
        <v/>
      </c>
      <c r="AC953" s="274">
        <f>IF(AC950=0,0,$K953)</f>
        <v/>
      </c>
      <c r="AD953" s="274">
        <f>IF(AD950=0,0,$K953)</f>
        <v/>
      </c>
      <c r="AE953" s="274">
        <f>IF(AE950=0,0,$K953)</f>
        <v/>
      </c>
      <c r="AF953" s="274">
        <f>IF(AF950=0,0,$K953)</f>
        <v/>
      </c>
      <c r="AG953" s="274">
        <f>IF(AG950=0,0,$K953)</f>
        <v/>
      </c>
      <c r="AH953" s="274">
        <f>IF(AH950=0,0,$K953)</f>
        <v/>
      </c>
      <c r="AI953" s="274">
        <f>IF(AI950=0,0,$K953)</f>
        <v/>
      </c>
      <c r="AJ953" s="274">
        <f>IF(AJ950=0,0,$K953)</f>
        <v/>
      </c>
      <c r="AK953" s="274">
        <f>IF(AK950=0,0,$K953)</f>
        <v/>
      </c>
      <c r="AL953" s="274">
        <f>IF(AL950=0,0,$K953)</f>
        <v/>
      </c>
      <c r="AM953" s="274">
        <f>IF(AM950=0,0,$K953)</f>
        <v/>
      </c>
      <c r="AN953" s="274">
        <f>IF(AN950=0,0,$K953)</f>
        <v/>
      </c>
      <c r="AO953" s="274">
        <f>IF(AO950=0,0,$K953)</f>
        <v/>
      </c>
      <c r="AP953" s="274">
        <f>IF(AP950=0,0,$K953)</f>
        <v/>
      </c>
      <c r="AQ953" s="274">
        <f>IF(AQ950=0,0,$K953)</f>
        <v/>
      </c>
      <c r="AR953" s="274">
        <f>IF(AR950=0,0,$K953)</f>
        <v/>
      </c>
      <c r="AS953" s="274">
        <f>IF(AS950=0,0,$K953)</f>
        <v/>
      </c>
      <c r="AT953" s="274">
        <f>IF(AT950=0,0,$K953)</f>
        <v/>
      </c>
      <c r="AU953" s="274">
        <f>IF(AU950=0,0,$K953)</f>
        <v/>
      </c>
      <c r="AV953" s="274">
        <f>IF(AV950=0,0,$K953)</f>
        <v/>
      </c>
      <c r="AW953" s="274">
        <f>IF(AW950=0,0,$K953)</f>
        <v/>
      </c>
      <c r="AX953" s="274">
        <f>IF(AX950=0,0,$K953)</f>
        <v/>
      </c>
      <c r="AY953" s="274">
        <f>IF(AY950=0,0,$K953)</f>
        <v/>
      </c>
      <c r="AZ953" s="274">
        <f>IF(AZ950=0,0,$K953)</f>
        <v/>
      </c>
      <c r="BA953" s="274">
        <f>IF(BA950=0,0,$K953)</f>
        <v/>
      </c>
      <c r="BB953" s="274">
        <f>IF(BB950=0,0,$K953)</f>
        <v/>
      </c>
      <c r="BC953" s="274">
        <f>IF(BC950=0,0,$K953)</f>
        <v/>
      </c>
      <c r="BD953" s="274">
        <f>IF(BD950=0,0,$K953)</f>
        <v/>
      </c>
      <c r="BE953" s="274">
        <f>IF(BE950=0,0,$K953)</f>
        <v/>
      </c>
      <c r="BF953" s="274">
        <f>IF(BF950=0,0,$K953)</f>
        <v/>
      </c>
      <c r="BG953" s="274">
        <f>IF(BG950=0,0,$K953)</f>
        <v/>
      </c>
      <c r="BH953" s="274">
        <f>IF(BH950=0,0,$K953)</f>
        <v/>
      </c>
      <c r="BI953" s="274">
        <f>IF(BI950=0,0,$K953)</f>
        <v/>
      </c>
      <c r="BJ953" s="274">
        <f>IF(BJ950=0,0,$K953)</f>
        <v/>
      </c>
      <c r="BK953" s="274">
        <f>IF(BK950=0,0,$K953)</f>
        <v/>
      </c>
      <c r="BL953" s="274">
        <f>IF(BL950=0,0,$K953)</f>
        <v/>
      </c>
      <c r="BM953" s="274">
        <f>IF(BM950=0,0,$K953)</f>
        <v/>
      </c>
      <c r="BN953" s="274">
        <f>IF(BN950=0,0,$K953)</f>
        <v/>
      </c>
      <c r="BO953" s="274">
        <f>IF(BO950=0,0,$K953)</f>
        <v/>
      </c>
      <c r="BP953" s="274">
        <f>IF(BP950=0,0,$K953)</f>
        <v/>
      </c>
      <c r="BQ953" s="274">
        <f>IF(BQ950=0,0,$K953)</f>
        <v/>
      </c>
      <c r="BR953" s="274">
        <f>IF(BR950=0,0,$K953)</f>
        <v/>
      </c>
      <c r="BS953" s="274">
        <f>IF(BS950=0,0,$K953)</f>
        <v/>
      </c>
      <c r="BT953" s="274">
        <f>IF(BT950=0,0,$K953)</f>
        <v/>
      </c>
      <c r="BU953" s="274">
        <f>IF(BU950=0,0,$K953)</f>
        <v/>
      </c>
      <c r="BV953" s="274">
        <f>IF(BV950=0,0,$K953)</f>
        <v/>
      </c>
      <c r="BW953" s="274">
        <f>IF(BW950=0,0,$K953)</f>
        <v/>
      </c>
      <c r="BX953" s="274">
        <f>IF(BX950=0,0,$K953)</f>
        <v/>
      </c>
      <c r="BY953" s="274">
        <f>IF(BY950=0,0,$K953)</f>
        <v/>
      </c>
      <c r="BZ953" s="274">
        <f>IF(BZ950=0,0,$K953)</f>
        <v/>
      </c>
      <c r="CA953" s="274">
        <f>IF(CA950=0,0,$K953)</f>
        <v/>
      </c>
    </row>
    <row r="954" ht="12" customHeight="1" s="227">
      <c r="A954" s="244" t="n"/>
      <c r="B954" s="244" t="n"/>
      <c r="C954" s="244" t="n"/>
      <c r="K954" s="6" t="n"/>
    </row>
    <row r="955" ht="12" customHeight="1" s="227">
      <c r="A955" s="244" t="n"/>
      <c r="B955" s="244" t="n"/>
      <c r="C955" s="244" t="n"/>
      <c r="H955" s="0" t="inlineStr">
        <is>
          <t>NPER</t>
        </is>
      </c>
      <c r="I955" s="27" t="inlineStr">
        <is>
          <t>No</t>
        </is>
      </c>
      <c r="K955" s="6" t="n"/>
      <c r="T955" s="270">
        <f>IF(T950=0,0,SUM(T950:$GQ950))</f>
        <v/>
      </c>
      <c r="U955" s="270">
        <f>IF(U950=0,0,SUM(U950:$GQ950))</f>
        <v/>
      </c>
      <c r="V955" s="270">
        <f>IF(V950=0,0,SUM(V950:$GQ950))</f>
        <v/>
      </c>
      <c r="W955" s="270">
        <f>IF(W950=0,0,SUM(W950:$GQ950))</f>
        <v/>
      </c>
      <c r="X955" s="270">
        <f>IF(X950=0,0,SUM(X950:$GQ950))</f>
        <v/>
      </c>
      <c r="Y955" s="270">
        <f>IF(Y950=0,0,SUM(Y950:$GQ950))</f>
        <v/>
      </c>
      <c r="Z955" s="270">
        <f>IF(Z950=0,0,SUM(Z950:$GQ950))</f>
        <v/>
      </c>
      <c r="AA955" s="270">
        <f>IF(AA950=0,0,SUM(AA950:$GQ950))</f>
        <v/>
      </c>
      <c r="AB955" s="270">
        <f>IF(AB950=0,0,SUM(AB950:$GQ950))</f>
        <v/>
      </c>
      <c r="AC955" s="270">
        <f>IF(AC950=0,0,SUM(AC950:$GQ950))</f>
        <v/>
      </c>
      <c r="AD955" s="270">
        <f>IF(AD950=0,0,SUM(AD950:$GQ950))</f>
        <v/>
      </c>
      <c r="AE955" s="270">
        <f>IF(AE950=0,0,SUM(AE950:$GQ950))</f>
        <v/>
      </c>
      <c r="AF955" s="270">
        <f>IF(AF950=0,0,SUM(AF950:$GQ950))</f>
        <v/>
      </c>
      <c r="AG955" s="270">
        <f>IF(AG950=0,0,SUM(AG950:$GQ950))</f>
        <v/>
      </c>
      <c r="AH955" s="270">
        <f>IF(AH950=0,0,SUM(AH950:$GQ950))</f>
        <v/>
      </c>
      <c r="AI955" s="270">
        <f>IF(AI950=0,0,SUM(AI950:$GQ950))</f>
        <v/>
      </c>
      <c r="AJ955" s="270">
        <f>IF(AJ950=0,0,SUM(AJ950:$GQ950))</f>
        <v/>
      </c>
      <c r="AK955" s="270">
        <f>IF(AK950=0,0,SUM(AK950:$GQ950))</f>
        <v/>
      </c>
      <c r="AL955" s="270">
        <f>IF(AL950=0,0,SUM(AL950:$GQ950))</f>
        <v/>
      </c>
      <c r="AM955" s="270">
        <f>IF(AM950=0,0,SUM(AM950:$GQ950))</f>
        <v/>
      </c>
      <c r="AN955" s="270">
        <f>IF(AN950=0,0,SUM(AN950:$GQ950))</f>
        <v/>
      </c>
      <c r="AO955" s="270">
        <f>IF(AO950=0,0,SUM(AO950:$GQ950))</f>
        <v/>
      </c>
      <c r="AP955" s="270">
        <f>IF(AP950=0,0,SUM(AP950:$GQ950))</f>
        <v/>
      </c>
      <c r="AQ955" s="270">
        <f>IF(AQ950=0,0,SUM(AQ950:$GQ950))</f>
        <v/>
      </c>
      <c r="AR955" s="270">
        <f>IF(AR950=0,0,SUM(AR950:$GQ950))</f>
        <v/>
      </c>
      <c r="AS955" s="270">
        <f>IF(AS950=0,0,SUM(AS950:$GQ950))</f>
        <v/>
      </c>
      <c r="AT955" s="270">
        <f>IF(AT950=0,0,SUM(AT950:$GQ950))</f>
        <v/>
      </c>
      <c r="AU955" s="270">
        <f>IF(AU950=0,0,SUM(AU950:$GQ950))</f>
        <v/>
      </c>
      <c r="AV955" s="270">
        <f>IF(AV950=0,0,SUM(AV950:$GQ950))</f>
        <v/>
      </c>
      <c r="AW955" s="270">
        <f>IF(AW950=0,0,SUM(AW950:$GQ950))</f>
        <v/>
      </c>
      <c r="AX955" s="270">
        <f>IF(AX950=0,0,SUM(AX950:$GQ950))</f>
        <v/>
      </c>
      <c r="AY955" s="270">
        <f>IF(AY950=0,0,SUM(AY950:$GQ950))</f>
        <v/>
      </c>
      <c r="AZ955" s="270">
        <f>IF(AZ950=0,0,SUM(AZ950:$GQ950))</f>
        <v/>
      </c>
      <c r="BA955" s="270">
        <f>IF(BA950=0,0,SUM(BA950:$GQ950))</f>
        <v/>
      </c>
      <c r="BB955" s="270">
        <f>IF(BB950=0,0,SUM(BB950:$GQ950))</f>
        <v/>
      </c>
      <c r="BC955" s="270">
        <f>IF(BC950=0,0,SUM(BC950:$GQ950))</f>
        <v/>
      </c>
      <c r="BD955" s="270">
        <f>IF(BD950=0,0,SUM(BD950:$GQ950))</f>
        <v/>
      </c>
      <c r="BE955" s="270">
        <f>IF(BE950=0,0,SUM(BE950:$GQ950))</f>
        <v/>
      </c>
      <c r="BF955" s="270">
        <f>IF(BF950=0,0,SUM(BF950:$GQ950))</f>
        <v/>
      </c>
      <c r="BG955" s="270">
        <f>IF(BG950=0,0,SUM(BG950:$GQ950))</f>
        <v/>
      </c>
      <c r="BH955" s="270">
        <f>IF(BH950=0,0,SUM(BH950:$GQ950))</f>
        <v/>
      </c>
      <c r="BI955" s="270">
        <f>IF(BI950=0,0,SUM(BI950:$GQ950))</f>
        <v/>
      </c>
      <c r="BJ955" s="270">
        <f>IF(BJ950=0,0,SUM(BJ950:$GQ950))</f>
        <v/>
      </c>
      <c r="BK955" s="270">
        <f>IF(BK950=0,0,SUM(BK950:$GQ950))</f>
        <v/>
      </c>
      <c r="BL955" s="270">
        <f>IF(BL950=0,0,SUM(BL950:$GQ950))</f>
        <v/>
      </c>
      <c r="BM955" s="270">
        <f>IF(BM950=0,0,SUM(BM950:$GQ950))</f>
        <v/>
      </c>
      <c r="BN955" s="270">
        <f>IF(BN950=0,0,SUM(BN950:$GQ950))</f>
        <v/>
      </c>
      <c r="BO955" s="270">
        <f>IF(BO950=0,0,SUM(BO950:$GQ950))</f>
        <v/>
      </c>
      <c r="BP955" s="270">
        <f>IF(BP950=0,0,SUM(BP950:$GQ950))</f>
        <v/>
      </c>
      <c r="BQ955" s="270">
        <f>IF(BQ950=0,0,SUM(BQ950:$GQ950))</f>
        <v/>
      </c>
      <c r="BR955" s="270">
        <f>IF(BR950=0,0,SUM(BR950:$GQ950))</f>
        <v/>
      </c>
      <c r="BS955" s="270">
        <f>IF(BS950=0,0,SUM(BS950:$GQ950))</f>
        <v/>
      </c>
      <c r="BT955" s="270">
        <f>IF(BT950=0,0,SUM(BT950:$GQ950))</f>
        <v/>
      </c>
      <c r="BU955" s="270">
        <f>IF(BU950=0,0,SUM(BU950:$GQ950))</f>
        <v/>
      </c>
      <c r="BV955" s="270">
        <f>IF(BV950=0,0,SUM(BV950:$GQ950))</f>
        <v/>
      </c>
      <c r="BW955" s="270">
        <f>IF(BW950=0,0,SUM(BW950:$GQ950))</f>
        <v/>
      </c>
      <c r="BX955" s="270">
        <f>IF(BX950=0,0,SUM(BX950:$GQ950))</f>
        <v/>
      </c>
      <c r="BY955" s="270">
        <f>IF(BY950=0,0,SUM(BY950:$GQ950))</f>
        <v/>
      </c>
      <c r="BZ955" s="270">
        <f>IF(BZ950=0,0,SUM(BZ950:$GQ950))</f>
        <v/>
      </c>
      <c r="CA955" s="270">
        <f>IF(CA950=0,0,SUM(CA950:$GQ950))</f>
        <v/>
      </c>
      <c r="CB955" s="270">
        <f>IF(CB950=0,0,SUM(CB950:$GQ950))</f>
        <v/>
      </c>
      <c r="CC955" s="270">
        <f>IF(CC950=0,0,SUM(CC950:$GQ950))</f>
        <v/>
      </c>
      <c r="CD955" s="270">
        <f>IF(CD950=0,0,SUM(CD950:$GQ950))</f>
        <v/>
      </c>
      <c r="CE955" s="270">
        <f>IF(CE950=0,0,SUM(CE950:$GQ950))</f>
        <v/>
      </c>
      <c r="CF955" s="270">
        <f>IF(CF950=0,0,SUM(CF950:$GQ950))</f>
        <v/>
      </c>
      <c r="CG955" s="270">
        <f>IF(CG950=0,0,SUM(CG950:$GQ950))</f>
        <v/>
      </c>
      <c r="CH955" s="270">
        <f>IF(CH950=0,0,SUM(CH950:$GQ950))</f>
        <v/>
      </c>
      <c r="CI955" s="270">
        <f>IF(CI950=0,0,SUM(CI950:$GQ950))</f>
        <v/>
      </c>
      <c r="CJ955" s="270">
        <f>IF(CJ950=0,0,SUM(CJ950:$GQ950))</f>
        <v/>
      </c>
      <c r="CK955" s="270">
        <f>IF(CK950=0,0,SUM(CK950:$GQ950))</f>
        <v/>
      </c>
      <c r="CL955" s="270">
        <f>IF(CL950=0,0,SUM(CL950:$GQ950))</f>
        <v/>
      </c>
      <c r="CM955" s="270">
        <f>IF(CM950=0,0,SUM(CM950:$GQ950))</f>
        <v/>
      </c>
      <c r="CN955" s="270">
        <f>IF(CN950=0,0,SUM(CN950:$GQ950))</f>
        <v/>
      </c>
      <c r="CO955" s="270">
        <f>IF(CO950=0,0,SUM(CO950:$GQ950))</f>
        <v/>
      </c>
      <c r="CP955" s="270">
        <f>IF(CP950=0,0,SUM(CP950:$GQ950))</f>
        <v/>
      </c>
      <c r="CQ955" s="270">
        <f>IF(CQ950=0,0,SUM(CQ950:$GQ950))</f>
        <v/>
      </c>
      <c r="CR955" s="270">
        <f>IF(CR950=0,0,SUM(CR950:$GQ950))</f>
        <v/>
      </c>
      <c r="CS955" s="270">
        <f>IF(CS950=0,0,SUM(CS950:$GQ950))</f>
        <v/>
      </c>
      <c r="CT955" s="270">
        <f>IF(CT950=0,0,SUM(CT950:$GQ950))</f>
        <v/>
      </c>
      <c r="CU955" s="270">
        <f>IF(CU950=0,0,SUM(CU950:$GQ950))</f>
        <v/>
      </c>
      <c r="CV955" s="270">
        <f>IF(CV950=0,0,SUM(CV950:$GQ950))</f>
        <v/>
      </c>
      <c r="CW955" s="270">
        <f>IF(CW950=0,0,SUM(CW950:$GQ950))</f>
        <v/>
      </c>
      <c r="CX955" s="270">
        <f>IF(CX950=0,0,SUM(CX950:$GQ950))</f>
        <v/>
      </c>
      <c r="CY955" s="270">
        <f>IF(CY950=0,0,SUM(CY950:$GQ950))</f>
        <v/>
      </c>
      <c r="CZ955" s="270">
        <f>IF(CZ950=0,0,SUM(CZ950:$GQ950))</f>
        <v/>
      </c>
      <c r="DA955" s="270">
        <f>IF(DA950=0,0,SUM(DA950:$GQ950))</f>
        <v/>
      </c>
      <c r="DB955" s="270">
        <f>IF(DB950=0,0,SUM(DB950:$GQ950))</f>
        <v/>
      </c>
      <c r="DC955" s="270">
        <f>IF(DC950=0,0,SUM(DC950:$GQ950))</f>
        <v/>
      </c>
      <c r="DD955" s="270">
        <f>IF(DD950=0,0,SUM(DD950:$GQ950))</f>
        <v/>
      </c>
      <c r="DE955" s="270">
        <f>IF(DE950=0,0,SUM(DE950:$GQ950))</f>
        <v/>
      </c>
      <c r="DF955" s="270">
        <f>IF(DF950=0,0,SUM(DF950:$GQ950))</f>
        <v/>
      </c>
      <c r="DG955" s="270">
        <f>IF(DG950=0,0,SUM(DG950:$GQ950))</f>
        <v/>
      </c>
      <c r="DH955" s="270">
        <f>IF(DH950=0,0,SUM(DH950:$GQ950))</f>
        <v/>
      </c>
      <c r="DI955" s="270">
        <f>IF(DI950=0,0,SUM(DI950:$GQ950))</f>
        <v/>
      </c>
      <c r="DJ955" s="270">
        <f>IF(DJ950=0,0,SUM(DJ950:$GQ950))</f>
        <v/>
      </c>
      <c r="DK955" s="270">
        <f>IF(DK950=0,0,SUM(DK950:$GQ950))</f>
        <v/>
      </c>
      <c r="DL955" s="270">
        <f>IF(DL950=0,0,SUM(DL950:$GQ950))</f>
        <v/>
      </c>
      <c r="DM955" s="270">
        <f>IF(DM950=0,0,SUM(DM950:$GQ950))</f>
        <v/>
      </c>
      <c r="DN955" s="270">
        <f>IF(DN950=0,0,SUM(DN950:$GQ950))</f>
        <v/>
      </c>
      <c r="DO955" s="270">
        <f>IF(DO950=0,0,SUM(DO950:$GQ950))</f>
        <v/>
      </c>
      <c r="DP955" s="270">
        <f>IF(DP950=0,0,SUM(DP950:$GQ950))</f>
        <v/>
      </c>
      <c r="DQ955" s="270">
        <f>IF(DQ950=0,0,SUM(DQ950:$GQ950))</f>
        <v/>
      </c>
      <c r="DR955" s="270">
        <f>IF(DR950=0,0,SUM(DR950:$GQ950))</f>
        <v/>
      </c>
      <c r="DS955" s="270">
        <f>IF(DS950=0,0,SUM(DS950:$GQ950))</f>
        <v/>
      </c>
      <c r="DT955" s="270">
        <f>IF(DT950=0,0,SUM(DT950:$GQ950))</f>
        <v/>
      </c>
      <c r="DU955" s="270">
        <f>IF(DU950=0,0,SUM(DU950:$GQ950))</f>
        <v/>
      </c>
      <c r="DV955" s="270">
        <f>IF(DV950=0,0,SUM(DV950:$GQ950))</f>
        <v/>
      </c>
      <c r="DW955" s="270">
        <f>IF(DW950=0,0,SUM(DW950:$GQ950))</f>
        <v/>
      </c>
      <c r="DX955" s="270">
        <f>IF(DX950=0,0,SUM(DX950:$GQ950))</f>
        <v/>
      </c>
      <c r="DY955" s="270">
        <f>IF(DY950=0,0,SUM(DY950:$GQ950))</f>
        <v/>
      </c>
      <c r="DZ955" s="270">
        <f>IF(DZ950=0,0,SUM(DZ950:$GQ950))</f>
        <v/>
      </c>
      <c r="EA955" s="270">
        <f>IF(EA950=0,0,SUM(EA950:$GQ950))</f>
        <v/>
      </c>
      <c r="EB955" s="270">
        <f>IF(EB950=0,0,SUM(EB950:$GQ950))</f>
        <v/>
      </c>
      <c r="EC955" s="270">
        <f>IF(EC950=0,0,SUM(EC950:$GQ950))</f>
        <v/>
      </c>
      <c r="ED955" s="270">
        <f>IF(ED950=0,0,SUM(ED950:$GQ950))</f>
        <v/>
      </c>
      <c r="EE955" s="270">
        <f>IF(EE950=0,0,SUM(EE950:$GQ950))</f>
        <v/>
      </c>
      <c r="EF955" s="270">
        <f>IF(EF950=0,0,SUM(EF950:$GQ950))</f>
        <v/>
      </c>
      <c r="EG955" s="270">
        <f>IF(EG950=0,0,SUM(EG950:$GQ950))</f>
        <v/>
      </c>
      <c r="EH955" s="270">
        <f>IF(EH950=0,0,SUM(EH950:$GQ950))</f>
        <v/>
      </c>
      <c r="EI955" s="270">
        <f>IF(EI950=0,0,SUM(EI950:$GQ950))</f>
        <v/>
      </c>
      <c r="EJ955" s="270">
        <f>IF(EJ950=0,0,SUM(EJ950:$GQ950))</f>
        <v/>
      </c>
      <c r="EK955" s="270">
        <f>IF(EK950=0,0,SUM(EK950:$GQ950))</f>
        <v/>
      </c>
      <c r="EL955" s="270">
        <f>IF(EL950=0,0,SUM(EL950:$GQ950))</f>
        <v/>
      </c>
      <c r="EM955" s="270">
        <f>IF(EM950=0,0,SUM(EM950:$GQ950))</f>
        <v/>
      </c>
      <c r="EN955" s="270">
        <f>IF(EN950=0,0,SUM(EN950:$GQ950))</f>
        <v/>
      </c>
      <c r="EO955" s="270">
        <f>IF(EO950=0,0,SUM(EO950:$GQ950))</f>
        <v/>
      </c>
      <c r="EP955" s="270">
        <f>IF(EP950=0,0,SUM(EP950:$GQ950))</f>
        <v/>
      </c>
      <c r="EQ955" s="270">
        <f>IF(EQ950=0,0,SUM(EQ950:$GQ950))</f>
        <v/>
      </c>
      <c r="ER955" s="270">
        <f>IF(ER950=0,0,SUM(ER950:$GQ950))</f>
        <v/>
      </c>
      <c r="ES955" s="270">
        <f>IF(ES950=0,0,SUM(ES950:$GQ950))</f>
        <v/>
      </c>
      <c r="ET955" s="270">
        <f>IF(ET950=0,0,SUM(ET950:$GQ950))</f>
        <v/>
      </c>
      <c r="EU955" s="270">
        <f>IF(EU950=0,0,SUM(EU950:$GQ950))</f>
        <v/>
      </c>
      <c r="EV955" s="270">
        <f>IF(EV950=0,0,SUM(EV950:$GQ950))</f>
        <v/>
      </c>
      <c r="EW955" s="270">
        <f>IF(EW950=0,0,SUM(EW950:$GQ950))</f>
        <v/>
      </c>
      <c r="EX955" s="270">
        <f>IF(EX950=0,0,SUM(EX950:$GQ950))</f>
        <v/>
      </c>
      <c r="EY955" s="270">
        <f>IF(EY950=0,0,SUM(EY950:$GQ950))</f>
        <v/>
      </c>
      <c r="EZ955" s="270">
        <f>IF(EZ950=0,0,SUM(EZ950:$GQ950))</f>
        <v/>
      </c>
      <c r="FA955" s="270">
        <f>IF(FA950=0,0,SUM(FA950:$GQ950))</f>
        <v/>
      </c>
      <c r="FB955" s="270">
        <f>IF(FB950=0,0,SUM(FB950:$GQ950))</f>
        <v/>
      </c>
      <c r="FC955" s="270">
        <f>IF(FC950=0,0,SUM(FC950:$GQ950))</f>
        <v/>
      </c>
      <c r="FD955" s="270">
        <f>IF(FD950=0,0,SUM(FD950:$GQ950))</f>
        <v/>
      </c>
      <c r="FE955" s="270">
        <f>IF(FE950=0,0,SUM(FE950:$GQ950))</f>
        <v/>
      </c>
      <c r="FF955" s="270">
        <f>IF(FF950=0,0,SUM(FF950:$GQ950))</f>
        <v/>
      </c>
      <c r="FG955" s="270">
        <f>IF(FG950=0,0,SUM(FG950:$GQ950))</f>
        <v/>
      </c>
      <c r="FH955" s="270">
        <f>IF(FH950=0,0,SUM(FH950:$GQ950))</f>
        <v/>
      </c>
      <c r="FI955" s="270">
        <f>IF(FI950=0,0,SUM(FI950:$GQ950))</f>
        <v/>
      </c>
      <c r="FJ955" s="270">
        <f>IF(FJ950=0,0,SUM(FJ950:$GQ950))</f>
        <v/>
      </c>
      <c r="FK955" s="270">
        <f>IF(FK950=0,0,SUM(FK950:$GQ950))</f>
        <v/>
      </c>
      <c r="FL955" s="270">
        <f>IF(FL950=0,0,SUM(FL950:$GQ950))</f>
        <v/>
      </c>
      <c r="FM955" s="270">
        <f>IF(FM950=0,0,SUM(FM950:$GQ950))</f>
        <v/>
      </c>
      <c r="FN955" s="270">
        <f>IF(FN950=0,0,SUM(FN950:$GQ950))</f>
        <v/>
      </c>
      <c r="FO955" s="270">
        <f>IF(FO950=0,0,SUM(FO950:$GQ950))</f>
        <v/>
      </c>
      <c r="FP955" s="270">
        <f>IF(FP950=0,0,SUM(FP950:$GQ950))</f>
        <v/>
      </c>
      <c r="FQ955" s="270">
        <f>IF(FQ950=0,0,SUM(FQ950:$GQ950))</f>
        <v/>
      </c>
      <c r="FR955" s="270">
        <f>IF(FR950=0,0,SUM(FR950:$GQ950))</f>
        <v/>
      </c>
      <c r="FS955" s="270">
        <f>IF(FS950=0,0,SUM(FS950:$GQ950))</f>
        <v/>
      </c>
      <c r="FT955" s="270">
        <f>IF(FT950=0,0,SUM(FT950:$GQ950))</f>
        <v/>
      </c>
      <c r="FU955" s="270">
        <f>IF(FU950=0,0,SUM(FU950:$GQ950))</f>
        <v/>
      </c>
      <c r="FV955" s="270">
        <f>IF(FV950=0,0,SUM(FV950:$GQ950))</f>
        <v/>
      </c>
      <c r="FW955" s="270">
        <f>IF(FW950=0,0,SUM(FW950:$GQ950))</f>
        <v/>
      </c>
      <c r="FX955" s="270">
        <f>IF(FX950=0,0,SUM(FX950:$GQ950))</f>
        <v/>
      </c>
      <c r="FY955" s="270">
        <f>IF(FY950=0,0,SUM(FY950:$GQ950))</f>
        <v/>
      </c>
      <c r="FZ955" s="270">
        <f>IF(FZ950=0,0,SUM(FZ950:$GQ950))</f>
        <v/>
      </c>
      <c r="GA955" s="270">
        <f>IF(GA950=0,0,SUM(GA950:$GQ950))</f>
        <v/>
      </c>
      <c r="GB955" s="270">
        <f>IF(GB950=0,0,SUM(GB950:$GQ950))</f>
        <v/>
      </c>
      <c r="GC955" s="270">
        <f>IF(GC950=0,0,SUM(GC950:$GQ950))</f>
        <v/>
      </c>
      <c r="GD955" s="270">
        <f>IF(GD950=0,0,SUM(GD950:$GQ950))</f>
        <v/>
      </c>
      <c r="GE955" s="270">
        <f>IF(GE950=0,0,SUM(GE950:$GQ950))</f>
        <v/>
      </c>
      <c r="GF955" s="270">
        <f>IF(GF950=0,0,SUM(GF950:$GQ950))</f>
        <v/>
      </c>
      <c r="GG955" s="270">
        <f>IF(GG950=0,0,SUM(GG950:$GQ950))</f>
        <v/>
      </c>
      <c r="GH955" s="270">
        <f>IF(GH950=0,0,SUM(GH950:$GQ950))</f>
        <v/>
      </c>
      <c r="GI955" s="270">
        <f>IF(GI950=0,0,SUM(GI950:$GQ950))</f>
        <v/>
      </c>
      <c r="GJ955" s="270">
        <f>IF(GJ950=0,0,SUM(GJ950:$GQ950))</f>
        <v/>
      </c>
      <c r="GK955" s="270">
        <f>IF(GK950=0,0,SUM(GK950:$GQ950))</f>
        <v/>
      </c>
      <c r="GL955" s="270">
        <f>IF(GL950=0,0,SUM(GL950:$GQ950))</f>
        <v/>
      </c>
      <c r="GM955" s="270">
        <f>IF(GM950=0,0,SUM(GM950:$GQ950))</f>
        <v/>
      </c>
      <c r="GN955" s="270">
        <f>IF(GN950=0,0,SUM(GN950:$GQ950))</f>
        <v/>
      </c>
      <c r="GO955" s="270">
        <f>IF(GO950=0,0,SUM(GO950:$GQ950))</f>
        <v/>
      </c>
      <c r="GP955" s="270">
        <f>IF(GP950=0,0,SUM(GP950:$GQ950))</f>
        <v/>
      </c>
      <c r="GQ955" s="270">
        <f>IF(GQ950=0,0,SUM(GQ950:$GQ950))</f>
        <v/>
      </c>
      <c r="GR955" s="270" t="n"/>
      <c r="GS955" s="270" t="n"/>
      <c r="GT955" s="270" t="n"/>
      <c r="GU955" s="270" t="n"/>
      <c r="GV955" s="270" t="n"/>
      <c r="GW955" s="270" t="n"/>
      <c r="GX955" s="270" t="n"/>
      <c r="GY955" s="270" t="n"/>
      <c r="GZ955" s="270" t="n"/>
      <c r="HA955" s="270" t="n"/>
      <c r="HB955" s="270" t="n"/>
      <c r="HC955" s="270" t="n"/>
    </row>
    <row r="956" ht="12" customHeight="1" s="227">
      <c r="A956" s="244" t="n"/>
      <c r="B956" s="244" t="n"/>
      <c r="C956" s="244" t="n"/>
      <c r="K956" s="6" t="n"/>
    </row>
    <row r="957" ht="12" customHeight="1" s="227">
      <c r="A957" s="244" t="n"/>
      <c r="B957" s="244" t="n"/>
      <c r="C957" s="244" t="n"/>
      <c r="H957" s="0" t="inlineStr">
        <is>
          <t>Opening Balance</t>
        </is>
      </c>
      <c r="I957" s="27">
        <f>i_Setup!$M$16</f>
        <v/>
      </c>
      <c r="K957" s="6" t="n"/>
      <c r="M957" s="245">
        <f>SUMIF($T$1:$CA$1,M$1,$T957:$CA957)</f>
        <v/>
      </c>
      <c r="N957" s="245">
        <f>SUMIF($T$1:$CA$1,N$1,$T957:$CA957)</f>
        <v/>
      </c>
      <c r="O957" s="245">
        <f>SUMIF($T$1:$CA$1,O$1,$T957:$CA957)</f>
        <v/>
      </c>
      <c r="P957" s="245">
        <f>SUMIF($T$1:$CA$1,P$1,$T957:$CA957)</f>
        <v/>
      </c>
      <c r="Q957" s="245">
        <f>SUMIF($T$1:$CA$1,Q$1,$T957:$CA957)</f>
        <v/>
      </c>
      <c r="T957" s="270">
        <f>S963</f>
        <v/>
      </c>
      <c r="U957" s="270">
        <f>T963</f>
        <v/>
      </c>
      <c r="V957" s="270">
        <f>U963</f>
        <v/>
      </c>
      <c r="W957" s="270">
        <f>V963</f>
        <v/>
      </c>
      <c r="X957" s="270">
        <f>W963</f>
        <v/>
      </c>
      <c r="Y957" s="270">
        <f>X963</f>
        <v/>
      </c>
      <c r="Z957" s="270">
        <f>Y963</f>
        <v/>
      </c>
      <c r="AA957" s="270">
        <f>Z963</f>
        <v/>
      </c>
      <c r="AB957" s="270">
        <f>AA963</f>
        <v/>
      </c>
      <c r="AC957" s="270">
        <f>AB963</f>
        <v/>
      </c>
      <c r="AD957" s="270">
        <f>AC963</f>
        <v/>
      </c>
      <c r="AE957" s="270">
        <f>AD963</f>
        <v/>
      </c>
      <c r="AF957" s="270">
        <f>AE963</f>
        <v/>
      </c>
      <c r="AG957" s="270">
        <f>AF963</f>
        <v/>
      </c>
      <c r="AH957" s="270">
        <f>AG963</f>
        <v/>
      </c>
      <c r="AI957" s="270">
        <f>AH963</f>
        <v/>
      </c>
      <c r="AJ957" s="270">
        <f>AI963</f>
        <v/>
      </c>
      <c r="AK957" s="270">
        <f>AJ963</f>
        <v/>
      </c>
      <c r="AL957" s="270">
        <f>AK963</f>
        <v/>
      </c>
      <c r="AM957" s="270">
        <f>AL963</f>
        <v/>
      </c>
      <c r="AN957" s="270">
        <f>AM963</f>
        <v/>
      </c>
      <c r="AO957" s="270">
        <f>AN963</f>
        <v/>
      </c>
      <c r="AP957" s="270">
        <f>AO963</f>
        <v/>
      </c>
      <c r="AQ957" s="270">
        <f>AP963</f>
        <v/>
      </c>
      <c r="AR957" s="270">
        <f>AQ963</f>
        <v/>
      </c>
      <c r="AS957" s="270">
        <f>AR963</f>
        <v/>
      </c>
      <c r="AT957" s="270">
        <f>AS963</f>
        <v/>
      </c>
      <c r="AU957" s="270">
        <f>AT963</f>
        <v/>
      </c>
      <c r="AV957" s="270">
        <f>AU963</f>
        <v/>
      </c>
      <c r="AW957" s="270">
        <f>AV963</f>
        <v/>
      </c>
      <c r="AX957" s="270">
        <f>AW963</f>
        <v/>
      </c>
      <c r="AY957" s="270">
        <f>AX963</f>
        <v/>
      </c>
      <c r="AZ957" s="270">
        <f>AY963</f>
        <v/>
      </c>
      <c r="BA957" s="270">
        <f>AZ963</f>
        <v/>
      </c>
      <c r="BB957" s="270">
        <f>BA963</f>
        <v/>
      </c>
      <c r="BC957" s="270">
        <f>BB963</f>
        <v/>
      </c>
      <c r="BD957" s="270">
        <f>BC963</f>
        <v/>
      </c>
      <c r="BE957" s="270">
        <f>BD963</f>
        <v/>
      </c>
      <c r="BF957" s="270">
        <f>BE963</f>
        <v/>
      </c>
      <c r="BG957" s="270">
        <f>BF963</f>
        <v/>
      </c>
      <c r="BH957" s="270">
        <f>BG963</f>
        <v/>
      </c>
      <c r="BI957" s="270">
        <f>BH963</f>
        <v/>
      </c>
      <c r="BJ957" s="270">
        <f>BI963</f>
        <v/>
      </c>
      <c r="BK957" s="270">
        <f>BJ963</f>
        <v/>
      </c>
      <c r="BL957" s="270">
        <f>BK963</f>
        <v/>
      </c>
      <c r="BM957" s="270">
        <f>BL963</f>
        <v/>
      </c>
      <c r="BN957" s="270">
        <f>BM963</f>
        <v/>
      </c>
      <c r="BO957" s="270">
        <f>BN963</f>
        <v/>
      </c>
      <c r="BP957" s="270">
        <f>BO963</f>
        <v/>
      </c>
      <c r="BQ957" s="270">
        <f>BP963</f>
        <v/>
      </c>
      <c r="BR957" s="270">
        <f>BQ963</f>
        <v/>
      </c>
      <c r="BS957" s="270">
        <f>BR963</f>
        <v/>
      </c>
      <c r="BT957" s="270">
        <f>BS963</f>
        <v/>
      </c>
      <c r="BU957" s="270">
        <f>BT963</f>
        <v/>
      </c>
      <c r="BV957" s="270">
        <f>BU963</f>
        <v/>
      </c>
      <c r="BW957" s="270">
        <f>BV963</f>
        <v/>
      </c>
      <c r="BX957" s="270">
        <f>BW963</f>
        <v/>
      </c>
      <c r="BY957" s="270">
        <f>BX963</f>
        <v/>
      </c>
      <c r="BZ957" s="270">
        <f>BY963</f>
        <v/>
      </c>
      <c r="CA957" s="270">
        <f>BZ963</f>
        <v/>
      </c>
    </row>
    <row r="958" ht="12" customHeight="1" s="227">
      <c r="A958" s="244" t="n"/>
      <c r="B958" s="244" t="n"/>
      <c r="C958" s="244" t="n"/>
      <c r="H958" s="0" t="inlineStr">
        <is>
          <t>Interest Charged</t>
        </is>
      </c>
      <c r="I958" s="27">
        <f>i_Setup!$M$16</f>
        <v/>
      </c>
      <c r="K958" s="6" t="n"/>
      <c r="M958" s="245">
        <f>SUMIF($T$4:$CA$4,M$4,$T958:$CA958)</f>
        <v/>
      </c>
      <c r="N958" s="245">
        <f>SUMIF($T$4:$CA$4,N$4,$T958:$CA958)</f>
        <v/>
      </c>
      <c r="O958" s="245">
        <f>SUMIF($T$4:$CA$4,O$4,$T958:$CA958)</f>
        <v/>
      </c>
      <c r="P958" s="245">
        <f>SUMIF($T$4:$CA$4,P$4,$T958:$CA958)</f>
        <v/>
      </c>
      <c r="Q958" s="245">
        <f>SUMIF($T$4:$CA$4,Q$4,$T958:$CA958)</f>
        <v/>
      </c>
      <c r="T958" s="245">
        <f>IF(T$7="Actual",0,IF(T950=1,SUM(T957:T957)*(T953),0))</f>
        <v/>
      </c>
      <c r="U958" s="245">
        <f>IF(U$7="Actual",0,IF(U950=1,SUM(U957:U957)*(U953),0))</f>
        <v/>
      </c>
      <c r="V958" s="245">
        <f>IF(V$7="Actual",0,IF(V950=1,SUM(V957:V957)*(V953),0))</f>
        <v/>
      </c>
      <c r="W958" s="245">
        <f>IF(W$7="Actual",0,IF(W950=1,SUM(W957:W957)*(W953),0))</f>
        <v/>
      </c>
      <c r="X958" s="245">
        <f>IF(X$7="Actual",0,IF(X950=1,SUM(X957:X957)*(X953),0))</f>
        <v/>
      </c>
      <c r="Y958" s="245">
        <f>IF(Y$7="Actual",0,IF(Y950=1,SUM(Y957:Y957)*(Y953),0))</f>
        <v/>
      </c>
      <c r="Z958" s="245">
        <f>IF(Z$7="Actual",0,IF(Z950=1,SUM(Z957:Z957)*(Z953),0))</f>
        <v/>
      </c>
      <c r="AA958" s="245">
        <f>IF(AA$7="Actual",0,IF(AA950=1,SUM(AA957:AA957)*(AA953),0))</f>
        <v/>
      </c>
      <c r="AB958" s="245">
        <f>IF(AB$7="Actual",0,IF(AB950=1,SUM(AB957:AB957)*(AB953),0))</f>
        <v/>
      </c>
      <c r="AC958" s="245">
        <f>IF(AC$7="Actual",0,IF(AC950=1,SUM(AC957:AC957)*(AC953),0))</f>
        <v/>
      </c>
      <c r="AD958" s="245">
        <f>IF(AD$7="Actual",0,IF(AD950=1,SUM(AD957:AD957)*(AD953),0))</f>
        <v/>
      </c>
      <c r="AE958" s="245">
        <f>IF(AE$7="Actual",0,IF(AE950=1,SUM(AE957:AE957)*(AE953),0))</f>
        <v/>
      </c>
      <c r="AF958" s="245">
        <f>IF(AF$7="Actual",0,IF(AF950=1,SUM(AF957:AF957)*(AF953),0))</f>
        <v/>
      </c>
      <c r="AG958" s="245">
        <f>IF(AG$7="Actual",0,IF(AG950=1,SUM(AG957:AG957)*(AG953),0))</f>
        <v/>
      </c>
      <c r="AH958" s="245">
        <f>IF(AH$7="Actual",0,IF(AH950=1,SUM(AH957:AH957)*(AH953),0))</f>
        <v/>
      </c>
      <c r="AI958" s="245">
        <f>IF(AI$7="Actual",0,IF(AI950=1,SUM(AI957:AI957)*(AI953),0))</f>
        <v/>
      </c>
      <c r="AJ958" s="245">
        <f>IF(AJ$7="Actual",0,IF(AJ950=1,SUM(AJ957:AJ957)*(AJ953),0))</f>
        <v/>
      </c>
      <c r="AK958" s="245">
        <f>IF(AK$7="Actual",0,IF(AK950=1,SUM(AK957:AK957)*(AK953),0))</f>
        <v/>
      </c>
      <c r="AL958" s="245">
        <f>IF(AL$7="Actual",0,IF(AL950=1,SUM(AL957:AL957)*(AL953),0))</f>
        <v/>
      </c>
      <c r="AM958" s="245">
        <f>IF(AM$7="Actual",0,IF(AM950=1,SUM(AM957:AM957)*(AM953),0))</f>
        <v/>
      </c>
      <c r="AN958" s="245">
        <f>IF(AN$7="Actual",0,IF(AN950=1,SUM(AN957:AN957)*(AN953),0))</f>
        <v/>
      </c>
      <c r="AO958" s="245">
        <f>IF(AO$7="Actual",0,IF(AO950=1,SUM(AO957:AO957)*(AO953),0))</f>
        <v/>
      </c>
      <c r="AP958" s="245">
        <f>IF(AP$7="Actual",0,IF(AP950=1,SUM(AP957:AP957)*(AP953),0))</f>
        <v/>
      </c>
      <c r="AQ958" s="245">
        <f>IF(AQ$7="Actual",0,IF(AQ950=1,SUM(AQ957:AQ957)*(AQ953),0))</f>
        <v/>
      </c>
      <c r="AR958" s="245">
        <f>IF(AR$7="Actual",0,IF(AR950=1,SUM(AR957:AR957)*(AR953),0))</f>
        <v/>
      </c>
      <c r="AS958" s="245">
        <f>IF(AS$7="Actual",0,IF(AS950=1,SUM(AS957:AS957)*(AS953),0))</f>
        <v/>
      </c>
      <c r="AT958" s="245">
        <f>IF(AT$7="Actual",0,IF(AT950=1,SUM(AT957:AT957)*(AT953),0))</f>
        <v/>
      </c>
      <c r="AU958" s="245">
        <f>IF(AU$7="Actual",0,IF(AU950=1,SUM(AU957:AU957)*(AU953),0))</f>
        <v/>
      </c>
      <c r="AV958" s="245">
        <f>IF(AV$7="Actual",0,IF(AV950=1,SUM(AV957:AV957)*(AV953),0))</f>
        <v/>
      </c>
      <c r="AW958" s="245">
        <f>IF(AW$7="Actual",0,IF(AW950=1,SUM(AW957:AW957)*(AW953),0))</f>
        <v/>
      </c>
      <c r="AX958" s="245">
        <f>IF(AX$7="Actual",0,IF(AX950=1,SUM(AX957:AX957)*(AX953),0))</f>
        <v/>
      </c>
      <c r="AY958" s="245">
        <f>IF(AY$7="Actual",0,IF(AY950=1,SUM(AY957:AY957)*(AY953),0))</f>
        <v/>
      </c>
      <c r="AZ958" s="245">
        <f>IF(AZ$7="Actual",0,IF(AZ950=1,SUM(AZ957:AZ957)*(AZ953),0))</f>
        <v/>
      </c>
      <c r="BA958" s="245">
        <f>IF(BA$7="Actual",0,IF(BA950=1,SUM(BA957:BA957)*(BA953),0))</f>
        <v/>
      </c>
      <c r="BB958" s="245">
        <f>IF(BB$7="Actual",0,IF(BB950=1,SUM(BB957:BB957)*(BB953),0))</f>
        <v/>
      </c>
      <c r="BC958" s="245">
        <f>IF(BC$7="Actual",0,IF(BC950=1,SUM(BC957:BC957)*(BC953),0))</f>
        <v/>
      </c>
      <c r="BD958" s="245">
        <f>IF(BD$7="Actual",0,IF(BD950=1,SUM(BD957:BD957)*(BD953),0))</f>
        <v/>
      </c>
      <c r="BE958" s="245">
        <f>IF(BE$7="Actual",0,IF(BE950=1,SUM(BE957:BE957)*(BE953),0))</f>
        <v/>
      </c>
      <c r="BF958" s="245">
        <f>IF(BF$7="Actual",0,IF(BF950=1,SUM(BF957:BF957)*(BF953),0))</f>
        <v/>
      </c>
      <c r="BG958" s="245">
        <f>IF(BG$7="Actual",0,IF(BG950=1,SUM(BG957:BG957)*(BG953),0))</f>
        <v/>
      </c>
      <c r="BH958" s="245">
        <f>IF(BH$7="Actual",0,IF(BH950=1,SUM(BH957:BH957)*(BH953),0))</f>
        <v/>
      </c>
      <c r="BI958" s="245">
        <f>IF(BI$7="Actual",0,IF(BI950=1,SUM(BI957:BI957)*(BI953),0))</f>
        <v/>
      </c>
      <c r="BJ958" s="245">
        <f>IF(BJ$7="Actual",0,IF(BJ950=1,SUM(BJ957:BJ957)*(BJ953),0))</f>
        <v/>
      </c>
      <c r="BK958" s="245">
        <f>IF(BK$7="Actual",0,IF(BK950=1,SUM(BK957:BK957)*(BK953),0))</f>
        <v/>
      </c>
      <c r="BL958" s="245">
        <f>IF(BL$7="Actual",0,IF(BL950=1,SUM(BL957:BL957)*(BL953),0))</f>
        <v/>
      </c>
      <c r="BM958" s="245">
        <f>IF(BM$7="Actual",0,IF(BM950=1,SUM(BM957:BM957)*(BM953),0))</f>
        <v/>
      </c>
      <c r="BN958" s="245">
        <f>IF(BN$7="Actual",0,IF(BN950=1,SUM(BN957:BN957)*(BN953),0))</f>
        <v/>
      </c>
      <c r="BO958" s="245">
        <f>IF(BO$7="Actual",0,IF(BO950=1,SUM(BO957:BO957)*(BO953),0))</f>
        <v/>
      </c>
      <c r="BP958" s="245">
        <f>IF(BP$7="Actual",0,IF(BP950=1,SUM(BP957:BP957)*(BP953),0))</f>
        <v/>
      </c>
      <c r="BQ958" s="245">
        <f>IF(BQ$7="Actual",0,IF(BQ950=1,SUM(BQ957:BQ957)*(BQ953),0))</f>
        <v/>
      </c>
      <c r="BR958" s="245">
        <f>IF(BR$7="Actual",0,IF(BR950=1,SUM(BR957:BR957)*(BR953),0))</f>
        <v/>
      </c>
      <c r="BS958" s="245">
        <f>IF(BS$7="Actual",0,IF(BS950=1,SUM(BS957:BS957)*(BS953),0))</f>
        <v/>
      </c>
      <c r="BT958" s="245">
        <f>IF(BT$7="Actual",0,IF(BT950=1,SUM(BT957:BT957)*(BT953),0))</f>
        <v/>
      </c>
      <c r="BU958" s="245">
        <f>IF(BU$7="Actual",0,IF(BU950=1,SUM(BU957:BU957)*(BU953),0))</f>
        <v/>
      </c>
      <c r="BV958" s="245">
        <f>IF(BV$7="Actual",0,IF(BV950=1,SUM(BV957:BV957)*(BV953),0))</f>
        <v/>
      </c>
      <c r="BW958" s="245">
        <f>IF(BW$7="Actual",0,IF(BW950=1,SUM(BW957:BW957)*(BW953),0))</f>
        <v/>
      </c>
      <c r="BX958" s="245">
        <f>IF(BX$7="Actual",0,IF(BX950=1,SUM(BX957:BX957)*(BX953),0))</f>
        <v/>
      </c>
      <c r="BY958" s="245">
        <f>IF(BY$7="Actual",0,IF(BY950=1,SUM(BY957:BY957)*(BY953),0))</f>
        <v/>
      </c>
      <c r="BZ958" s="245">
        <f>IF(BZ$7="Actual",0,IF(BZ950=1,SUM(BZ957:BZ957)*(BZ953),0))</f>
        <v/>
      </c>
      <c r="CA958" s="245">
        <f>IF(CA$7="Actual",0,IF(CA950=1,SUM(CA957:CA957)*(CA953),0))</f>
        <v/>
      </c>
    </row>
    <row r="959" ht="12" customHeight="1" s="227">
      <c r="A959" s="244" t="n"/>
      <c r="B959" s="244" t="n"/>
      <c r="C959" s="244" t="n"/>
      <c r="H959" s="0" t="inlineStr">
        <is>
          <t>Interest Payments</t>
        </is>
      </c>
      <c r="I959" s="27">
        <f>i_Setup!$M$16</f>
        <v/>
      </c>
      <c r="K959" s="6" t="n"/>
      <c r="M959" s="245">
        <f>SUMIF($T$4:$CA$4,M$4,$T959:$CA959)</f>
        <v/>
      </c>
      <c r="N959" s="245">
        <f>SUMIF($T$4:$CA$4,N$4,$T959:$CA959)</f>
        <v/>
      </c>
      <c r="O959" s="245">
        <f>SUMIF($T$4:$CA$4,O$4,$T959:$CA959)</f>
        <v/>
      </c>
      <c r="P959" s="245">
        <f>SUMIF($T$4:$CA$4,P$4,$T959:$CA959)</f>
        <v/>
      </c>
      <c r="Q959" s="245">
        <f>SUMIF($T$4:$CA$4,Q$4,$T959:$CA959)</f>
        <v/>
      </c>
      <c r="T959" s="275">
        <f>IF(T$7="Actual",0,IF(T950&lt;&gt;0,IPMT(T953,1,T955,SUM(T957:T957),0,0),0))</f>
        <v/>
      </c>
      <c r="U959" s="275">
        <f>IF(U$7="Actual",0,IF(U950&lt;&gt;0,IPMT(U953,1,U955,SUM(U957:U957),0,0),0))</f>
        <v/>
      </c>
      <c r="V959" s="275">
        <f>IF(V$7="Actual",0,IF(V950&lt;&gt;0,IPMT(V953,1,V955,SUM(V957:V957),0,0),0))</f>
        <v/>
      </c>
      <c r="W959" s="275">
        <f>IF(W$7="Actual",0,IF(W950&lt;&gt;0,IPMT(W953,1,W955,SUM(W957:W957),0,0),0))</f>
        <v/>
      </c>
      <c r="X959" s="275">
        <f>IF(X$7="Actual",0,IF(X950&lt;&gt;0,IPMT(X953,1,X955,SUM(X957:X957),0,0),0))</f>
        <v/>
      </c>
      <c r="Y959" s="275">
        <f>IF(Y$7="Actual",0,IF(Y950&lt;&gt;0,IPMT(Y953,1,Y955,SUM(Y957:Y957),0,0),0))</f>
        <v/>
      </c>
      <c r="Z959" s="275">
        <f>IF(Z$7="Actual",0,IF(Z950&lt;&gt;0,IPMT(Z953,1,Z955,SUM(Z957:Z957),0,0),0))</f>
        <v/>
      </c>
      <c r="AA959" s="275">
        <f>IF(AA$7="Actual",0,IF(AA950&lt;&gt;0,IPMT(AA953,1,AA955,SUM(AA957:AA957),0,0),0))</f>
        <v/>
      </c>
      <c r="AB959" s="275">
        <f>IF(AB$7="Actual",0,IF(AB950&lt;&gt;0,IPMT(AB953,1,AB955,SUM(AB957:AB957),0,0),0))</f>
        <v/>
      </c>
      <c r="AC959" s="275">
        <f>IF(AC$7="Actual",0,IF(AC950&lt;&gt;0,IPMT(AC953,1,AC955,SUM(AC957:AC957),0,0),0))</f>
        <v/>
      </c>
      <c r="AD959" s="275">
        <f>IF(AD$7="Actual",0,IF(AD950&lt;&gt;0,IPMT(AD953,1,AD955,SUM(AD957:AD957),0,0),0))</f>
        <v/>
      </c>
      <c r="AE959" s="275">
        <f>IF(AE$7="Actual",0,IF(AE950&lt;&gt;0,IPMT(AE953,1,AE955,SUM(AE957:AE957),0,0),0))</f>
        <v/>
      </c>
      <c r="AF959" s="275">
        <f>IF(AF$7="Actual",0,IF(AF950&lt;&gt;0,IPMT(AF953,1,AF955,SUM(AF957:AF957),0,0),0))</f>
        <v/>
      </c>
      <c r="AG959" s="275">
        <f>IF(AG$7="Actual",0,IF(AG950&lt;&gt;0,IPMT(AG953,1,AG955,SUM(AG957:AG957),0,0),0))</f>
        <v/>
      </c>
      <c r="AH959" s="275">
        <f>IF(AH$7="Actual",0,IF(AH950&lt;&gt;0,IPMT(AH953,1,AH955,SUM(AH957:AH957),0,0),0))</f>
        <v/>
      </c>
      <c r="AI959" s="275">
        <f>IF(AI$7="Actual",0,IF(AI950&lt;&gt;0,IPMT(AI953,1,AI955,SUM(AI957:AI957),0,0),0))</f>
        <v/>
      </c>
      <c r="AJ959" s="275">
        <f>IF(AJ$7="Actual",0,IF(AJ950&lt;&gt;0,IPMT(AJ953,1,AJ955,SUM(AJ957:AJ957),0,0),0))</f>
        <v/>
      </c>
      <c r="AK959" s="275">
        <f>IF(AK$7="Actual",0,IF(AK950&lt;&gt;0,IPMT(AK953,1,AK955,SUM(AK957:AK957),0,0),0))</f>
        <v/>
      </c>
      <c r="AL959" s="275">
        <f>IF(AL$7="Actual",0,IF(AL950&lt;&gt;0,IPMT(AL953,1,AL955,SUM(AL957:AL957),0,0),0))</f>
        <v/>
      </c>
      <c r="AM959" s="275">
        <f>IF(AM$7="Actual",0,IF(AM950&lt;&gt;0,IPMT(AM953,1,AM955,SUM(AM957:AM957),0,0),0))</f>
        <v/>
      </c>
      <c r="AN959" s="275">
        <f>IF(AN$7="Actual",0,IF(AN950&lt;&gt;0,IPMT(AN953,1,AN955,SUM(AN957:AN957),0,0),0))</f>
        <v/>
      </c>
      <c r="AO959" s="275">
        <f>IF(AO$7="Actual",0,IF(AO950&lt;&gt;0,IPMT(AO953,1,AO955,SUM(AO957:AO957),0,0),0))</f>
        <v/>
      </c>
      <c r="AP959" s="275">
        <f>IF(AP$7="Actual",0,IF(AP950&lt;&gt;0,IPMT(AP953,1,AP955,SUM(AP957:AP957),0,0),0))</f>
        <v/>
      </c>
      <c r="AQ959" s="275">
        <f>IF(AQ$7="Actual",0,IF(AQ950&lt;&gt;0,IPMT(AQ953,1,AQ955,SUM(AQ957:AQ957),0,0),0))</f>
        <v/>
      </c>
      <c r="AR959" s="275">
        <f>IF(AR$7="Actual",0,IF(AR950&lt;&gt;0,IPMT(AR953,1,AR955,SUM(AR957:AR957),0,0),0))</f>
        <v/>
      </c>
      <c r="AS959" s="275">
        <f>IF(AS$7="Actual",0,IF(AS950&lt;&gt;0,IPMT(AS953,1,AS955,SUM(AS957:AS957),0,0),0))</f>
        <v/>
      </c>
      <c r="AT959" s="275">
        <f>IF(AT$7="Actual",0,IF(AT950&lt;&gt;0,IPMT(AT953,1,AT955,SUM(AT957:AT957),0,0),0))</f>
        <v/>
      </c>
      <c r="AU959" s="275">
        <f>IF(AU$7="Actual",0,IF(AU950&lt;&gt;0,IPMT(AU953,1,AU955,SUM(AU957:AU957),0,0),0))</f>
        <v/>
      </c>
      <c r="AV959" s="275">
        <f>IF(AV$7="Actual",0,IF(AV950&lt;&gt;0,IPMT(AV953,1,AV955,SUM(AV957:AV957),0,0),0))</f>
        <v/>
      </c>
      <c r="AW959" s="275">
        <f>IF(AW$7="Actual",0,IF(AW950&lt;&gt;0,IPMT(AW953,1,AW955,SUM(AW957:AW957),0,0),0))</f>
        <v/>
      </c>
      <c r="AX959" s="275">
        <f>IF(AX$7="Actual",0,IF(AX950&lt;&gt;0,IPMT(AX953,1,AX955,SUM(AX957:AX957),0,0),0))</f>
        <v/>
      </c>
      <c r="AY959" s="275">
        <f>IF(AY$7="Actual",0,IF(AY950&lt;&gt;0,IPMT(AY953,1,AY955,SUM(AY957:AY957),0,0),0))</f>
        <v/>
      </c>
      <c r="AZ959" s="275">
        <f>IF(AZ$7="Actual",0,IF(AZ950&lt;&gt;0,IPMT(AZ953,1,AZ955,SUM(AZ957:AZ957),0,0),0))</f>
        <v/>
      </c>
      <c r="BA959" s="275">
        <f>IF(BA$7="Actual",0,IF(BA950&lt;&gt;0,IPMT(BA953,1,BA955,SUM(BA957:BA957),0,0),0))</f>
        <v/>
      </c>
      <c r="BB959" s="275">
        <f>IF(BB$7="Actual",0,IF(BB950&lt;&gt;0,IPMT(BB953,1,BB955,SUM(BB957:BB957),0,0),0))</f>
        <v/>
      </c>
      <c r="BC959" s="275">
        <f>IF(BC$7="Actual",0,IF(BC950&lt;&gt;0,IPMT(BC953,1,BC955,SUM(BC957:BC957),0,0),0))</f>
        <v/>
      </c>
      <c r="BD959" s="275">
        <f>IF(BD$7="Actual",0,IF(BD950&lt;&gt;0,IPMT(BD953,1,BD955,SUM(BD957:BD957),0,0),0))</f>
        <v/>
      </c>
      <c r="BE959" s="275">
        <f>IF(BE$7="Actual",0,IF(BE950&lt;&gt;0,IPMT(BE953,1,BE955,SUM(BE957:BE957),0,0),0))</f>
        <v/>
      </c>
      <c r="BF959" s="275">
        <f>IF(BF$7="Actual",0,IF(BF950&lt;&gt;0,IPMT(BF953,1,BF955,SUM(BF957:BF957),0,0),0))</f>
        <v/>
      </c>
      <c r="BG959" s="275">
        <f>IF(BG$7="Actual",0,IF(BG950&lt;&gt;0,IPMT(BG953,1,BG955,SUM(BG957:BG957),0,0),0))</f>
        <v/>
      </c>
      <c r="BH959" s="275">
        <f>IF(BH$7="Actual",0,IF(BH950&lt;&gt;0,IPMT(BH953,1,BH955,SUM(BH957:BH957),0,0),0))</f>
        <v/>
      </c>
      <c r="BI959" s="275">
        <f>IF(BI$7="Actual",0,IF(BI950&lt;&gt;0,IPMT(BI953,1,BI955,SUM(BI957:BI957),0,0),0))</f>
        <v/>
      </c>
      <c r="BJ959" s="275">
        <f>IF(BJ$7="Actual",0,IF(BJ950&lt;&gt;0,IPMT(BJ953,1,BJ955,SUM(BJ957:BJ957),0,0),0))</f>
        <v/>
      </c>
      <c r="BK959" s="275">
        <f>IF(BK$7="Actual",0,IF(BK950&lt;&gt;0,IPMT(BK953,1,BK955,SUM(BK957:BK957),0,0),0))</f>
        <v/>
      </c>
      <c r="BL959" s="275">
        <f>IF(BL$7="Actual",0,IF(BL950&lt;&gt;0,IPMT(BL953,1,BL955,SUM(BL957:BL957),0,0),0))</f>
        <v/>
      </c>
      <c r="BM959" s="275">
        <f>IF(BM$7="Actual",0,IF(BM950&lt;&gt;0,IPMT(BM953,1,BM955,SUM(BM957:BM957),0,0),0))</f>
        <v/>
      </c>
      <c r="BN959" s="275">
        <f>IF(BN$7="Actual",0,IF(BN950&lt;&gt;0,IPMT(BN953,1,BN955,SUM(BN957:BN957),0,0),0))</f>
        <v/>
      </c>
      <c r="BO959" s="275">
        <f>IF(BO$7="Actual",0,IF(BO950&lt;&gt;0,IPMT(BO953,1,BO955,SUM(BO957:BO957),0,0),0))</f>
        <v/>
      </c>
      <c r="BP959" s="275">
        <f>IF(BP$7="Actual",0,IF(BP950&lt;&gt;0,IPMT(BP953,1,BP955,SUM(BP957:BP957),0,0),0))</f>
        <v/>
      </c>
      <c r="BQ959" s="275">
        <f>IF(BQ$7="Actual",0,IF(BQ950&lt;&gt;0,IPMT(BQ953,1,BQ955,SUM(BQ957:BQ957),0,0),0))</f>
        <v/>
      </c>
      <c r="BR959" s="275">
        <f>IF(BR$7="Actual",0,IF(BR950&lt;&gt;0,IPMT(BR953,1,BR955,SUM(BR957:BR957),0,0),0))</f>
        <v/>
      </c>
      <c r="BS959" s="275">
        <f>IF(BS$7="Actual",0,IF(BS950&lt;&gt;0,IPMT(BS953,1,BS955,SUM(BS957:BS957),0,0),0))</f>
        <v/>
      </c>
      <c r="BT959" s="275">
        <f>IF(BT$7="Actual",0,IF(BT950&lt;&gt;0,IPMT(BT953,1,BT955,SUM(BT957:BT957),0,0),0))</f>
        <v/>
      </c>
      <c r="BU959" s="275">
        <f>IF(BU$7="Actual",0,IF(BU950&lt;&gt;0,IPMT(BU953,1,BU955,SUM(BU957:BU957),0,0),0))</f>
        <v/>
      </c>
      <c r="BV959" s="275">
        <f>IF(BV$7="Actual",0,IF(BV950&lt;&gt;0,IPMT(BV953,1,BV955,SUM(BV957:BV957),0,0),0))</f>
        <v/>
      </c>
      <c r="BW959" s="275">
        <f>IF(BW$7="Actual",0,IF(BW950&lt;&gt;0,IPMT(BW953,1,BW955,SUM(BW957:BW957),0,0),0))</f>
        <v/>
      </c>
      <c r="BX959" s="275">
        <f>IF(BX$7="Actual",0,IF(BX950&lt;&gt;0,IPMT(BX953,1,BX955,SUM(BX957:BX957),0,0),0))</f>
        <v/>
      </c>
      <c r="BY959" s="275">
        <f>IF(BY$7="Actual",0,IF(BY950&lt;&gt;0,IPMT(BY953,1,BY955,SUM(BY957:BY957),0,0),0))</f>
        <v/>
      </c>
      <c r="BZ959" s="275">
        <f>IF(BZ$7="Actual",0,IF(BZ950&lt;&gt;0,IPMT(BZ953,1,BZ955,SUM(BZ957:BZ957),0,0),0))</f>
        <v/>
      </c>
      <c r="CA959" s="275">
        <f>IF(CA$7="Actual",0,IF(CA950&lt;&gt;0,IPMT(CA953,1,CA955,SUM(CA957:CA957),0,0),0))</f>
        <v/>
      </c>
    </row>
    <row r="960" ht="12" customHeight="1" s="227">
      <c r="A960" s="244" t="n"/>
      <c r="B960" s="244" t="n"/>
      <c r="C960" s="244" t="n"/>
      <c r="H960" s="0" t="inlineStr">
        <is>
          <t>Principal Payment</t>
        </is>
      </c>
      <c r="I960" s="27">
        <f>i_Setup!$M$16</f>
        <v/>
      </c>
      <c r="K960" s="6" t="n"/>
      <c r="M960" s="245">
        <f>SUMIF($T$4:$CA$4,M$4,$T960:$CA960)</f>
        <v/>
      </c>
      <c r="N960" s="245">
        <f>SUMIF($T$4:$CA$4,N$4,$T960:$CA960)</f>
        <v/>
      </c>
      <c r="O960" s="245">
        <f>SUMIF($T$4:$CA$4,O$4,$T960:$CA960)</f>
        <v/>
      </c>
      <c r="P960" s="245">
        <f>SUMIF($T$4:$CA$4,P$4,$T960:$CA960)</f>
        <v/>
      </c>
      <c r="Q960" s="245">
        <f>SUMIF($T$4:$CA$4,Q$4,$T960:$CA960)</f>
        <v/>
      </c>
      <c r="T960" s="275">
        <f>IF(T$7="Actual",0,IF(T950&lt;&gt;0,PPMT(T953,1,T955,SUM(T957:T957),0,0),0))</f>
        <v/>
      </c>
      <c r="U960" s="275">
        <f>IF(U$7="Actual",0,IF(U950&lt;&gt;0,PPMT(U953,1,U955,SUM(U957:U957),0,0),0))</f>
        <v/>
      </c>
      <c r="V960" s="275">
        <f>IF(V$7="Actual",0,IF(V950&lt;&gt;0,PPMT(V953,1,V955,SUM(V957:V957),0,0),0))</f>
        <v/>
      </c>
      <c r="W960" s="275">
        <f>IF(W$7="Actual",0,IF(W950&lt;&gt;0,PPMT(W953,1,W955,SUM(W957:W957),0,0),0))</f>
        <v/>
      </c>
      <c r="X960" s="275">
        <f>IF(X$7="Actual",0,IF(X950&lt;&gt;0,PPMT(X953,1,X955,SUM(X957:X957),0,0),0))</f>
        <v/>
      </c>
      <c r="Y960" s="275">
        <f>IF(Y$7="Actual",0,IF(Y950&lt;&gt;0,PPMT(Y953,1,Y955,SUM(Y957:Y957),0,0),0))</f>
        <v/>
      </c>
      <c r="Z960" s="275">
        <f>IF(Z$7="Actual",0,IF(Z950&lt;&gt;0,PPMT(Z953,1,Z955,SUM(Z957:Z957),0,0),0))</f>
        <v/>
      </c>
      <c r="AA960" s="275">
        <f>IF(AA$7="Actual",0,IF(AA950&lt;&gt;0,PPMT(AA953,1,AA955,SUM(AA957:AA957),0,0),0))</f>
        <v/>
      </c>
      <c r="AB960" s="275">
        <f>IF(AB$7="Actual",0,IF(AB950&lt;&gt;0,PPMT(AB953,1,AB955,SUM(AB957:AB957),0,0),0))</f>
        <v/>
      </c>
      <c r="AC960" s="275">
        <f>IF(AC$7="Actual",0,IF(AC950&lt;&gt;0,PPMT(AC953,1,AC955,SUM(AC957:AC957),0,0),0))</f>
        <v/>
      </c>
      <c r="AD960" s="275">
        <f>IF(AD$7="Actual",0,IF(AD950&lt;&gt;0,PPMT(AD953,1,AD955,SUM(AD957:AD957),0,0),0))</f>
        <v/>
      </c>
      <c r="AE960" s="275">
        <f>IF(AE$7="Actual",0,IF(AE950&lt;&gt;0,PPMT(AE953,1,AE955,SUM(AE957:AE957),0,0),0))</f>
        <v/>
      </c>
      <c r="AF960" s="275">
        <f>IF(AF$7="Actual",0,IF(AF950&lt;&gt;0,PPMT(AF953,1,AF955,SUM(AF957:AF957),0,0),0))</f>
        <v/>
      </c>
      <c r="AG960" s="275">
        <f>IF(AG$7="Actual",0,IF(AG950&lt;&gt;0,PPMT(AG953,1,AG955,SUM(AG957:AG957),0,0),0))</f>
        <v/>
      </c>
      <c r="AH960" s="275">
        <f>IF(AH$7="Actual",0,IF(AH950&lt;&gt;0,PPMT(AH953,1,AH955,SUM(AH957:AH957),0,0),0))</f>
        <v/>
      </c>
      <c r="AI960" s="275">
        <f>IF(AI$7="Actual",0,IF(AI950&lt;&gt;0,PPMT(AI953,1,AI955,SUM(AI957:AI957),0,0),0))</f>
        <v/>
      </c>
      <c r="AJ960" s="275">
        <f>IF(AJ$7="Actual",0,IF(AJ950&lt;&gt;0,PPMT(AJ953,1,AJ955,SUM(AJ957:AJ957),0,0),0))</f>
        <v/>
      </c>
      <c r="AK960" s="275">
        <f>IF(AK$7="Actual",0,IF(AK950&lt;&gt;0,PPMT(AK953,1,AK955,SUM(AK957:AK957),0,0),0))</f>
        <v/>
      </c>
      <c r="AL960" s="275">
        <f>IF(AL$7="Actual",0,IF(AL950&lt;&gt;0,PPMT(AL953,1,AL955,SUM(AL957:AL957),0,0),0))</f>
        <v/>
      </c>
      <c r="AM960" s="275">
        <f>IF(AM$7="Actual",0,IF(AM950&lt;&gt;0,PPMT(AM953,1,AM955,SUM(AM957:AM957),0,0),0))</f>
        <v/>
      </c>
      <c r="AN960" s="275">
        <f>IF(AN$7="Actual",0,IF(AN950&lt;&gt;0,PPMT(AN953,1,AN955,SUM(AN957:AN957),0,0),0))</f>
        <v/>
      </c>
      <c r="AO960" s="275">
        <f>IF(AO$7="Actual",0,IF(AO950&lt;&gt;0,PPMT(AO953,1,AO955,SUM(AO957:AO957),0,0),0))</f>
        <v/>
      </c>
      <c r="AP960" s="275">
        <f>IF(AP$7="Actual",0,IF(AP950&lt;&gt;0,PPMT(AP953,1,AP955,SUM(AP957:AP957),0,0),0))</f>
        <v/>
      </c>
      <c r="AQ960" s="275">
        <f>IF(AQ$7="Actual",0,IF(AQ950&lt;&gt;0,PPMT(AQ953,1,AQ955,SUM(AQ957:AQ957),0,0),0))</f>
        <v/>
      </c>
      <c r="AR960" s="275">
        <f>IF(AR$7="Actual",0,IF(AR950&lt;&gt;0,PPMT(AR953,1,AR955,SUM(AR957:AR957),0,0),0))</f>
        <v/>
      </c>
      <c r="AS960" s="275">
        <f>IF(AS$7="Actual",0,IF(AS950&lt;&gt;0,PPMT(AS953,1,AS955,SUM(AS957:AS957),0,0),0))</f>
        <v/>
      </c>
      <c r="AT960" s="275">
        <f>IF(AT$7="Actual",0,IF(AT950&lt;&gt;0,PPMT(AT953,1,AT955,SUM(AT957:AT957),0,0),0))</f>
        <v/>
      </c>
      <c r="AU960" s="275">
        <f>IF(AU$7="Actual",0,IF(AU950&lt;&gt;0,PPMT(AU953,1,AU955,SUM(AU957:AU957),0,0),0))</f>
        <v/>
      </c>
      <c r="AV960" s="275">
        <f>IF(AV$7="Actual",0,IF(AV950&lt;&gt;0,PPMT(AV953,1,AV955,SUM(AV957:AV957),0,0),0))</f>
        <v/>
      </c>
      <c r="AW960" s="275">
        <f>IF(AW$7="Actual",0,IF(AW950&lt;&gt;0,PPMT(AW953,1,AW955,SUM(AW957:AW957),0,0),0))</f>
        <v/>
      </c>
      <c r="AX960" s="275">
        <f>IF(AX$7="Actual",0,IF(AX950&lt;&gt;0,PPMT(AX953,1,AX955,SUM(AX957:AX957),0,0),0))</f>
        <v/>
      </c>
      <c r="AY960" s="275">
        <f>IF(AY$7="Actual",0,IF(AY950&lt;&gt;0,PPMT(AY953,1,AY955,SUM(AY957:AY957),0,0),0))</f>
        <v/>
      </c>
      <c r="AZ960" s="275">
        <f>IF(AZ$7="Actual",0,IF(AZ950&lt;&gt;0,PPMT(AZ953,1,AZ955,SUM(AZ957:AZ957),0,0),0))</f>
        <v/>
      </c>
      <c r="BA960" s="275">
        <f>IF(BA$7="Actual",0,IF(BA950&lt;&gt;0,PPMT(BA953,1,BA955,SUM(BA957:BA957),0,0),0))</f>
        <v/>
      </c>
      <c r="BB960" s="275">
        <f>IF(BB$7="Actual",0,IF(BB950&lt;&gt;0,PPMT(BB953,1,BB955,SUM(BB957:BB957),0,0),0))</f>
        <v/>
      </c>
      <c r="BC960" s="275">
        <f>IF(BC$7="Actual",0,IF(BC950&lt;&gt;0,PPMT(BC953,1,BC955,SUM(BC957:BC957),0,0),0))</f>
        <v/>
      </c>
      <c r="BD960" s="275">
        <f>IF(BD$7="Actual",0,IF(BD950&lt;&gt;0,PPMT(BD953,1,BD955,SUM(BD957:BD957),0,0),0))</f>
        <v/>
      </c>
      <c r="BE960" s="275">
        <f>IF(BE$7="Actual",0,IF(BE950&lt;&gt;0,PPMT(BE953,1,BE955,SUM(BE957:BE957),0,0),0))</f>
        <v/>
      </c>
      <c r="BF960" s="275">
        <f>IF(BF$7="Actual",0,IF(BF950&lt;&gt;0,PPMT(BF953,1,BF955,SUM(BF957:BF957),0,0),0))</f>
        <v/>
      </c>
      <c r="BG960" s="275">
        <f>IF(BG$7="Actual",0,IF(BG950&lt;&gt;0,PPMT(BG953,1,BG955,SUM(BG957:BG957),0,0),0))</f>
        <v/>
      </c>
      <c r="BH960" s="275">
        <f>IF(BH$7="Actual",0,IF(BH950&lt;&gt;0,PPMT(BH953,1,BH955,SUM(BH957:BH957),0,0),0))</f>
        <v/>
      </c>
      <c r="BI960" s="275">
        <f>IF(BI$7="Actual",0,IF(BI950&lt;&gt;0,PPMT(BI953,1,BI955,SUM(BI957:BI957),0,0),0))</f>
        <v/>
      </c>
      <c r="BJ960" s="275">
        <f>IF(BJ$7="Actual",0,IF(BJ950&lt;&gt;0,PPMT(BJ953,1,BJ955,SUM(BJ957:BJ957),0,0),0))</f>
        <v/>
      </c>
      <c r="BK960" s="275">
        <f>IF(BK$7="Actual",0,IF(BK950&lt;&gt;0,PPMT(BK953,1,BK955,SUM(BK957:BK957),0,0),0))</f>
        <v/>
      </c>
      <c r="BL960" s="275">
        <f>IF(BL$7="Actual",0,IF(BL950&lt;&gt;0,PPMT(BL953,1,BL955,SUM(BL957:BL957),0,0),0))</f>
        <v/>
      </c>
      <c r="BM960" s="275">
        <f>IF(BM$7="Actual",0,IF(BM950&lt;&gt;0,PPMT(BM953,1,BM955,SUM(BM957:BM957),0,0),0))</f>
        <v/>
      </c>
      <c r="BN960" s="275">
        <f>IF(BN$7="Actual",0,IF(BN950&lt;&gt;0,PPMT(BN953,1,BN955,SUM(BN957:BN957),0,0),0))</f>
        <v/>
      </c>
      <c r="BO960" s="275">
        <f>IF(BO$7="Actual",0,IF(BO950&lt;&gt;0,PPMT(BO953,1,BO955,SUM(BO957:BO957),0,0),0))</f>
        <v/>
      </c>
      <c r="BP960" s="275">
        <f>IF(BP$7="Actual",0,IF(BP950&lt;&gt;0,PPMT(BP953,1,BP955,SUM(BP957:BP957),0,0),0))</f>
        <v/>
      </c>
      <c r="BQ960" s="275">
        <f>IF(BQ$7="Actual",0,IF(BQ950&lt;&gt;0,PPMT(BQ953,1,BQ955,SUM(BQ957:BQ957),0,0),0))</f>
        <v/>
      </c>
      <c r="BR960" s="275">
        <f>IF(BR$7="Actual",0,IF(BR950&lt;&gt;0,PPMT(BR953,1,BR955,SUM(BR957:BR957),0,0),0))</f>
        <v/>
      </c>
      <c r="BS960" s="275">
        <f>IF(BS$7="Actual",0,IF(BS950&lt;&gt;0,PPMT(BS953,1,BS955,SUM(BS957:BS957),0,0),0))</f>
        <v/>
      </c>
      <c r="BT960" s="275">
        <f>IF(BT$7="Actual",0,IF(BT950&lt;&gt;0,PPMT(BT953,1,BT955,SUM(BT957:BT957),0,0),0))</f>
        <v/>
      </c>
      <c r="BU960" s="275">
        <f>IF(BU$7="Actual",0,IF(BU950&lt;&gt;0,PPMT(BU953,1,BU955,SUM(BU957:BU957),0,0),0))</f>
        <v/>
      </c>
      <c r="BV960" s="275">
        <f>IF(BV$7="Actual",0,IF(BV950&lt;&gt;0,PPMT(BV953,1,BV955,SUM(BV957:BV957),0,0),0))</f>
        <v/>
      </c>
      <c r="BW960" s="275">
        <f>IF(BW$7="Actual",0,IF(BW950&lt;&gt;0,PPMT(BW953,1,BW955,SUM(BW957:BW957),0,0),0))</f>
        <v/>
      </c>
      <c r="BX960" s="275">
        <f>IF(BX$7="Actual",0,IF(BX950&lt;&gt;0,PPMT(BX953,1,BX955,SUM(BX957:BX957),0,0),0))</f>
        <v/>
      </c>
      <c r="BY960" s="275">
        <f>IF(BY$7="Actual",0,IF(BY950&lt;&gt;0,PPMT(BY953,1,BY955,SUM(BY957:BY957),0,0),0))</f>
        <v/>
      </c>
      <c r="BZ960" s="275">
        <f>IF(BZ$7="Actual",0,IF(BZ950&lt;&gt;0,PPMT(BZ953,1,BZ955,SUM(BZ957:BZ957),0,0),0))</f>
        <v/>
      </c>
      <c r="CA960" s="275">
        <f>IF(CA$7="Actual",0,IF(CA950&lt;&gt;0,PPMT(CA953,1,CA955,SUM(CA957:CA957),0,0),0))</f>
        <v/>
      </c>
    </row>
    <row r="961" ht="12" customHeight="1" s="227">
      <c r="A961" s="244" t="n"/>
      <c r="B961" s="244" t="n"/>
      <c r="C961" s="244" t="n"/>
      <c r="H961" s="0" t="inlineStr">
        <is>
          <t>Drawings/(Repayments)</t>
        </is>
      </c>
      <c r="I961" s="27">
        <f>i_Setup!$M$16</f>
        <v/>
      </c>
      <c r="K961" s="6" t="n"/>
      <c r="M961" s="245">
        <f>SUMIF($T$4:$CA$4,M$4,$T961:$CA961)</f>
        <v/>
      </c>
      <c r="N961" s="245">
        <f>SUMIF($T$4:$CA$4,N$4,$T961:$CA961)</f>
        <v/>
      </c>
      <c r="O961" s="245">
        <f>SUMIF($T$4:$CA$4,O$4,$T961:$CA961)</f>
        <v/>
      </c>
      <c r="P961" s="245">
        <f>SUMIF($T$4:$CA$4,P$4,$T961:$CA961)</f>
        <v/>
      </c>
      <c r="Q961" s="245">
        <f>SUMIF($T$4:$CA$4,Q$4,$T961:$CA961)</f>
        <v/>
      </c>
      <c r="T961" s="257">
        <f>IF(T$7="Actual",0,IF(OR(i_Assumptions!T666=0,T950=0),0,MAX(-SUM(T957:T960),i_Assumptions!T666)))</f>
        <v/>
      </c>
      <c r="U961" s="257">
        <f>IF(U$7="Actual",0,IF(OR(i_Assumptions!U666=0,U950=0),0,MAX(-SUM(U957:U960),i_Assumptions!U666)))</f>
        <v/>
      </c>
      <c r="V961" s="257">
        <f>IF(V$7="Actual",0,IF(OR(i_Assumptions!V666=0,V950=0),0,MAX(-SUM(V957:V960),i_Assumptions!V666)))</f>
        <v/>
      </c>
      <c r="W961" s="257">
        <f>IF(W$7="Actual",0,IF(OR(i_Assumptions!W666=0,W950=0),0,MAX(-SUM(W957:W960),i_Assumptions!W666)))</f>
        <v/>
      </c>
      <c r="X961" s="257">
        <f>IF(X$7="Actual",0,IF(OR(i_Assumptions!X666=0,X950=0),0,MAX(-SUM(X957:X960),i_Assumptions!X666)))</f>
        <v/>
      </c>
      <c r="Y961" s="257">
        <f>IF(Y$7="Actual",0,IF(OR(i_Assumptions!Y666=0,Y950=0),0,MAX(-SUM(Y957:Y960),i_Assumptions!Y666)))</f>
        <v/>
      </c>
      <c r="Z961" s="257">
        <f>IF(Z$7="Actual",0,IF(OR(i_Assumptions!Z666=0,Z950=0),0,MAX(-SUM(Z957:Z960),i_Assumptions!Z666)))</f>
        <v/>
      </c>
      <c r="AA961" s="257">
        <f>IF(AA$7="Actual",0,IF(OR(i_Assumptions!AA666=0,AA950=0),0,MAX(-SUM(AA957:AA960),i_Assumptions!AA666)))</f>
        <v/>
      </c>
      <c r="AB961" s="257">
        <f>IF(AB$7="Actual",0,IF(OR(i_Assumptions!AB666=0,AB950=0),0,MAX(-SUM(AB957:AB960),i_Assumptions!AB666)))</f>
        <v/>
      </c>
      <c r="AC961" s="257">
        <f>IF(AC$7="Actual",0,IF(OR(i_Assumptions!AC666=0,AC950=0),0,MAX(-SUM(AC957:AC960),i_Assumptions!AC666)))</f>
        <v/>
      </c>
      <c r="AD961" s="257">
        <f>IF(AD$7="Actual",0,IF(OR(i_Assumptions!AD666=0,AD950=0),0,MAX(-SUM(AD957:AD960),i_Assumptions!AD666)))</f>
        <v/>
      </c>
      <c r="AE961" s="257">
        <f>IF(AE$7="Actual",0,IF(OR(i_Assumptions!AE666=0,AE950=0),0,MAX(-SUM(AE957:AE960),i_Assumptions!AE666)))</f>
        <v/>
      </c>
      <c r="AF961" s="257">
        <f>IF(AF$7="Actual",0,IF(OR(i_Assumptions!AF666=0,AF950=0),0,MAX(-SUM(AF957:AF960),i_Assumptions!AF666)))</f>
        <v/>
      </c>
      <c r="AG961" s="257">
        <f>IF(AG$7="Actual",0,IF(OR(i_Assumptions!AG666=0,AG950=0),0,MAX(-SUM(AG957:AG960),i_Assumptions!AG666)))</f>
        <v/>
      </c>
      <c r="AH961" s="257">
        <f>IF(AH$7="Actual",0,IF(OR(i_Assumptions!AH666=0,AH950=0),0,MAX(-SUM(AH957:AH960),i_Assumptions!AH666)))</f>
        <v/>
      </c>
      <c r="AI961" s="257">
        <f>IF(AI$7="Actual",0,IF(OR(i_Assumptions!AI666=0,AI950=0),0,MAX(-SUM(AI957:AI960),i_Assumptions!AI666)))</f>
        <v/>
      </c>
      <c r="AJ961" s="257">
        <f>IF(AJ$7="Actual",0,IF(OR(i_Assumptions!AJ666=0,AJ950=0),0,MAX(-SUM(AJ957:AJ960),i_Assumptions!AJ666)))</f>
        <v/>
      </c>
      <c r="AK961" s="257">
        <f>IF(AK$7="Actual",0,IF(OR(i_Assumptions!AK666=0,AK950=0),0,MAX(-SUM(AK957:AK960),i_Assumptions!AK666)))</f>
        <v/>
      </c>
      <c r="AL961" s="257">
        <f>IF(AL$7="Actual",0,IF(OR(i_Assumptions!AL666=0,AL950=0),0,MAX(-SUM(AL957:AL960),i_Assumptions!AL666)))</f>
        <v/>
      </c>
      <c r="AM961" s="257">
        <f>IF(AM$7="Actual",0,IF(OR(i_Assumptions!AM666=0,AM950=0),0,MAX(-SUM(AM957:AM960),i_Assumptions!AM666)))</f>
        <v/>
      </c>
      <c r="AN961" s="257">
        <f>IF(AN$7="Actual",0,IF(OR(i_Assumptions!AN666=0,AN950=0),0,MAX(-SUM(AN957:AN960),i_Assumptions!AN666)))</f>
        <v/>
      </c>
      <c r="AO961" s="257">
        <f>IF(AO$7="Actual",0,IF(OR(i_Assumptions!AO666=0,AO950=0),0,MAX(-SUM(AO957:AO960),i_Assumptions!AO666)))</f>
        <v/>
      </c>
      <c r="AP961" s="257">
        <f>IF(AP$7="Actual",0,IF(OR(i_Assumptions!AP666=0,AP950=0),0,MAX(-SUM(AP957:AP960),i_Assumptions!AP666)))</f>
        <v/>
      </c>
      <c r="AQ961" s="257">
        <f>IF(AQ$7="Actual",0,IF(OR(i_Assumptions!AQ666=0,AQ950=0),0,MAX(-SUM(AQ957:AQ960),i_Assumptions!AQ666)))</f>
        <v/>
      </c>
      <c r="AR961" s="257">
        <f>IF(AR$7="Actual",0,IF(OR(i_Assumptions!AR666=0,AR950=0),0,MAX(-SUM(AR957:AR960),i_Assumptions!AR666)))</f>
        <v/>
      </c>
      <c r="AS961" s="257">
        <f>IF(AS$7="Actual",0,IF(OR(i_Assumptions!AS666=0,AS950=0),0,MAX(-SUM(AS957:AS960),i_Assumptions!AS666)))</f>
        <v/>
      </c>
      <c r="AT961" s="257">
        <f>IF(AT$7="Actual",0,IF(OR(i_Assumptions!AT666=0,AT950=0),0,MAX(-SUM(AT957:AT960),i_Assumptions!AT666)))</f>
        <v/>
      </c>
      <c r="AU961" s="257">
        <f>IF(AU$7="Actual",0,IF(OR(i_Assumptions!AU666=0,AU950=0),0,MAX(-SUM(AU957:AU960),i_Assumptions!AU666)))</f>
        <v/>
      </c>
      <c r="AV961" s="257">
        <f>IF(AV$7="Actual",0,IF(OR(i_Assumptions!AV666=0,AV950=0),0,MAX(-SUM(AV957:AV960),i_Assumptions!AV666)))</f>
        <v/>
      </c>
      <c r="AW961" s="257">
        <f>IF(AW$7="Actual",0,IF(OR(i_Assumptions!AW666=0,AW950=0),0,MAX(-SUM(AW957:AW960),i_Assumptions!AW666)))</f>
        <v/>
      </c>
      <c r="AX961" s="257">
        <f>IF(AX$7="Actual",0,IF(OR(i_Assumptions!AX666=0,AX950=0),0,MAX(-SUM(AX957:AX960),i_Assumptions!AX666)))</f>
        <v/>
      </c>
      <c r="AY961" s="257">
        <f>IF(AY$7="Actual",0,IF(OR(i_Assumptions!AY666=0,AY950=0),0,MAX(-SUM(AY957:AY960),i_Assumptions!AY666)))</f>
        <v/>
      </c>
      <c r="AZ961" s="257">
        <f>IF(AZ$7="Actual",0,IF(OR(i_Assumptions!AZ666=0,AZ950=0),0,MAX(-SUM(AZ957:AZ960),i_Assumptions!AZ666)))</f>
        <v/>
      </c>
      <c r="BA961" s="257">
        <f>IF(BA$7="Actual",0,IF(OR(i_Assumptions!BA666=0,BA950=0),0,MAX(-SUM(BA957:BA960),i_Assumptions!BA666)))</f>
        <v/>
      </c>
      <c r="BB961" s="257">
        <f>IF(BB$7="Actual",0,IF(OR(i_Assumptions!BB666=0,BB950=0),0,MAX(-SUM(BB957:BB960),i_Assumptions!BB666)))</f>
        <v/>
      </c>
      <c r="BC961" s="257">
        <f>IF(BC$7="Actual",0,IF(OR(i_Assumptions!BC666=0,BC950=0),0,MAX(-SUM(BC957:BC960),i_Assumptions!BC666)))</f>
        <v/>
      </c>
      <c r="BD961" s="257">
        <f>IF(BD$7="Actual",0,IF(OR(i_Assumptions!BD666=0,BD950=0),0,MAX(-SUM(BD957:BD960),i_Assumptions!BD666)))</f>
        <v/>
      </c>
      <c r="BE961" s="257">
        <f>IF(BE$7="Actual",0,IF(OR(i_Assumptions!BE666=0,BE950=0),0,MAX(-SUM(BE957:BE960),i_Assumptions!BE666)))</f>
        <v/>
      </c>
      <c r="BF961" s="257">
        <f>IF(BF$7="Actual",0,IF(OR(i_Assumptions!BF666=0,BF950=0),0,MAX(-SUM(BF957:BF960),i_Assumptions!BF666)))</f>
        <v/>
      </c>
      <c r="BG961" s="257">
        <f>IF(BG$7="Actual",0,IF(OR(i_Assumptions!BG666=0,BG950=0),0,MAX(-SUM(BG957:BG960),i_Assumptions!BG666)))</f>
        <v/>
      </c>
      <c r="BH961" s="257">
        <f>IF(BH$7="Actual",0,IF(OR(i_Assumptions!BH666=0,BH950=0),0,MAX(-SUM(BH957:BH960),i_Assumptions!BH666)))</f>
        <v/>
      </c>
      <c r="BI961" s="257">
        <f>IF(BI$7="Actual",0,IF(OR(i_Assumptions!BI666=0,BI950=0),0,MAX(-SUM(BI957:BI960),i_Assumptions!BI666)))</f>
        <v/>
      </c>
      <c r="BJ961" s="257">
        <f>IF(BJ$7="Actual",0,IF(OR(i_Assumptions!BJ666=0,BJ950=0),0,MAX(-SUM(BJ957:BJ960),i_Assumptions!BJ666)))</f>
        <v/>
      </c>
      <c r="BK961" s="257">
        <f>IF(BK$7="Actual",0,IF(OR(i_Assumptions!BK666=0,BK950=0),0,MAX(-SUM(BK957:BK960),i_Assumptions!BK666)))</f>
        <v/>
      </c>
      <c r="BL961" s="257">
        <f>IF(BL$7="Actual",0,IF(OR(i_Assumptions!BL666=0,BL950=0),0,MAX(-SUM(BL957:BL960),i_Assumptions!BL666)))</f>
        <v/>
      </c>
      <c r="BM961" s="257">
        <f>IF(BM$7="Actual",0,IF(OR(i_Assumptions!BM666=0,BM950=0),0,MAX(-SUM(BM957:BM960),i_Assumptions!BM666)))</f>
        <v/>
      </c>
      <c r="BN961" s="257">
        <f>IF(BN$7="Actual",0,IF(OR(i_Assumptions!BN666=0,BN950=0),0,MAX(-SUM(BN957:BN960),i_Assumptions!BN666)))</f>
        <v/>
      </c>
      <c r="BO961" s="257">
        <f>IF(BO$7="Actual",0,IF(OR(i_Assumptions!BO666=0,BO950=0),0,MAX(-SUM(BO957:BO960),i_Assumptions!BO666)))</f>
        <v/>
      </c>
      <c r="BP961" s="257">
        <f>IF(BP$7="Actual",0,IF(OR(i_Assumptions!BP666=0,BP950=0),0,MAX(-SUM(BP957:BP960),i_Assumptions!BP666)))</f>
        <v/>
      </c>
      <c r="BQ961" s="257">
        <f>IF(BQ$7="Actual",0,IF(OR(i_Assumptions!BQ666=0,BQ950=0),0,MAX(-SUM(BQ957:BQ960),i_Assumptions!BQ666)))</f>
        <v/>
      </c>
      <c r="BR961" s="257">
        <f>IF(BR$7="Actual",0,IF(OR(i_Assumptions!BR666=0,BR950=0),0,MAX(-SUM(BR957:BR960),i_Assumptions!BR666)))</f>
        <v/>
      </c>
      <c r="BS961" s="257">
        <f>IF(BS$7="Actual",0,IF(OR(i_Assumptions!BS666=0,BS950=0),0,MAX(-SUM(BS957:BS960),i_Assumptions!BS666)))</f>
        <v/>
      </c>
      <c r="BT961" s="257">
        <f>IF(BT$7="Actual",0,IF(OR(i_Assumptions!BT666=0,BT950=0),0,MAX(-SUM(BT957:BT960),i_Assumptions!BT666)))</f>
        <v/>
      </c>
      <c r="BU961" s="257">
        <f>IF(BU$7="Actual",0,IF(OR(i_Assumptions!BU666=0,BU950=0),0,MAX(-SUM(BU957:BU960),i_Assumptions!BU666)))</f>
        <v/>
      </c>
      <c r="BV961" s="257">
        <f>IF(BV$7="Actual",0,IF(OR(i_Assumptions!BV666=0,BV950=0),0,MAX(-SUM(BV957:BV960),i_Assumptions!BV666)))</f>
        <v/>
      </c>
      <c r="BW961" s="257">
        <f>IF(BW$7="Actual",0,IF(OR(i_Assumptions!BW666=0,BW950=0),0,MAX(-SUM(BW957:BW960),i_Assumptions!BW666)))</f>
        <v/>
      </c>
      <c r="BX961" s="257">
        <f>IF(BX$7="Actual",0,IF(OR(i_Assumptions!BX666=0,BX950=0),0,MAX(-SUM(BX957:BX960),i_Assumptions!BX666)))</f>
        <v/>
      </c>
      <c r="BY961" s="257">
        <f>IF(BY$7="Actual",0,IF(OR(i_Assumptions!BY666=0,BY950=0),0,MAX(-SUM(BY957:BY960),i_Assumptions!BY666)))</f>
        <v/>
      </c>
      <c r="BZ961" s="257">
        <f>IF(BZ$7="Actual",0,IF(OR(i_Assumptions!BZ666=0,BZ950=0),0,MAX(-SUM(BZ957:BZ960),i_Assumptions!BZ666)))</f>
        <v/>
      </c>
      <c r="CA961" s="257">
        <f>IF(CA$7="Actual",0,IF(OR(i_Assumptions!CA666=0,CA950=0),0,MAX(-SUM(CA957:CA960),i_Assumptions!CA666)))</f>
        <v/>
      </c>
    </row>
    <row r="962" ht="12" customHeight="1" s="227">
      <c r="A962" s="244" t="n"/>
      <c r="B962" s="244" t="n"/>
      <c r="C962" s="244" t="n"/>
      <c r="H962" s="0" t="inlineStr">
        <is>
          <t>Repayment Final</t>
        </is>
      </c>
      <c r="I962" s="27">
        <f>i_Setup!$M$16</f>
        <v/>
      </c>
      <c r="K962" s="6" t="n"/>
      <c r="M962" s="245">
        <f>SUMIF($T$4:$CA$4,M$4,$T962:$CA962)</f>
        <v/>
      </c>
      <c r="N962" s="245">
        <f>SUMIF($T$4:$CA$4,N$4,$T962:$CA962)</f>
        <v/>
      </c>
      <c r="O962" s="245">
        <f>SUMIF($T$4:$CA$4,O$4,$T962:$CA962)</f>
        <v/>
      </c>
      <c r="P962" s="245">
        <f>SUMIF($T$4:$CA$4,P$4,$T962:$CA962)</f>
        <v/>
      </c>
      <c r="Q962" s="245">
        <f>SUMIF($T$4:$CA$4,Q$4,$T962:$CA962)</f>
        <v/>
      </c>
      <c r="T962" s="245">
        <f>IF(T$7="Actual",0,IF(AND(U950=0,T950=1),-SUM(T957:T961),0))</f>
        <v/>
      </c>
      <c r="U962" s="245">
        <f>IF(U$7="Actual",0,IF(AND(V950=0,U950=1),-SUM(U957:U961),0))</f>
        <v/>
      </c>
      <c r="V962" s="245">
        <f>IF(V$7="Actual",0,IF(AND(W950=0,V950=1),-SUM(V957:V961),0))</f>
        <v/>
      </c>
      <c r="W962" s="245">
        <f>IF(W$7="Actual",0,IF(AND(X950=0,W950=1),-SUM(W957:W961),0))</f>
        <v/>
      </c>
      <c r="X962" s="245">
        <f>IF(X$7="Actual",0,IF(AND(Y950=0,X950=1),-SUM(X957:X961),0))</f>
        <v/>
      </c>
      <c r="Y962" s="245">
        <f>IF(Y$7="Actual",0,IF(AND(Z950=0,Y950=1),-SUM(Y957:Y961),0))</f>
        <v/>
      </c>
      <c r="Z962" s="245">
        <f>IF(Z$7="Actual",0,IF(AND(AA950=0,Z950=1),-SUM(Z957:Z961),0))</f>
        <v/>
      </c>
      <c r="AA962" s="245">
        <f>IF(AA$7="Actual",0,IF(AND(AB950=0,AA950=1),-SUM(AA957:AA961),0))</f>
        <v/>
      </c>
      <c r="AB962" s="245">
        <f>IF(AB$7="Actual",0,IF(AND(AC950=0,AB950=1),-SUM(AB957:AB961),0))</f>
        <v/>
      </c>
      <c r="AC962" s="245">
        <f>IF(AC$7="Actual",0,IF(AND(AD950=0,AC950=1),-SUM(AC957:AC961),0))</f>
        <v/>
      </c>
      <c r="AD962" s="245">
        <f>IF(AD$7="Actual",0,IF(AND(AE950=0,AD950=1),-SUM(AD957:AD961),0))</f>
        <v/>
      </c>
      <c r="AE962" s="245">
        <f>IF(AE$7="Actual",0,IF(AND(AF950=0,AE950=1),-SUM(AE957:AE961),0))</f>
        <v/>
      </c>
      <c r="AF962" s="245">
        <f>IF(AF$7="Actual",0,IF(AND(AG950=0,AF950=1),-SUM(AF957:AF961),0))</f>
        <v/>
      </c>
      <c r="AG962" s="245">
        <f>IF(AG$7="Actual",0,IF(AND(AH950=0,AG950=1),-SUM(AG957:AG961),0))</f>
        <v/>
      </c>
      <c r="AH962" s="245">
        <f>IF(AH$7="Actual",0,IF(AND(AI950=0,AH950=1),-SUM(AH957:AH961),0))</f>
        <v/>
      </c>
      <c r="AI962" s="245">
        <f>IF(AI$7="Actual",0,IF(AND(AJ950=0,AI950=1),-SUM(AI957:AI961),0))</f>
        <v/>
      </c>
      <c r="AJ962" s="245">
        <f>IF(AJ$7="Actual",0,IF(AND(AK950=0,AJ950=1),-SUM(AJ957:AJ961),0))</f>
        <v/>
      </c>
      <c r="AK962" s="245">
        <f>IF(AK$7="Actual",0,IF(AND(AL950=0,AK950=1),-SUM(AK957:AK961),0))</f>
        <v/>
      </c>
      <c r="AL962" s="245">
        <f>IF(AL$7="Actual",0,IF(AND(AM950=0,AL950=1),-SUM(AL957:AL961),0))</f>
        <v/>
      </c>
      <c r="AM962" s="245">
        <f>IF(AM$7="Actual",0,IF(AND(AN950=0,AM950=1),-SUM(AM957:AM961),0))</f>
        <v/>
      </c>
      <c r="AN962" s="245">
        <f>IF(AN$7="Actual",0,IF(AND(AO950=0,AN950=1),-SUM(AN957:AN961),0))</f>
        <v/>
      </c>
      <c r="AO962" s="245">
        <f>IF(AO$7="Actual",0,IF(AND(AP950=0,AO950=1),-SUM(AO957:AO961),0))</f>
        <v/>
      </c>
      <c r="AP962" s="245">
        <f>IF(AP$7="Actual",0,IF(AND(AQ950=0,AP950=1),-SUM(AP957:AP961),0))</f>
        <v/>
      </c>
      <c r="AQ962" s="245">
        <f>IF(AQ$7="Actual",0,IF(AND(AR950=0,AQ950=1),-SUM(AQ957:AQ961),0))</f>
        <v/>
      </c>
      <c r="AR962" s="245">
        <f>IF(AR$7="Actual",0,IF(AND(AS950=0,AR950=1),-SUM(AR957:AR961),0))</f>
        <v/>
      </c>
      <c r="AS962" s="245">
        <f>IF(AS$7="Actual",0,IF(AND(AT950=0,AS950=1),-SUM(AS957:AS961),0))</f>
        <v/>
      </c>
      <c r="AT962" s="245">
        <f>IF(AT$7="Actual",0,IF(AND(AU950=0,AT950=1),-SUM(AT957:AT961),0))</f>
        <v/>
      </c>
      <c r="AU962" s="245">
        <f>IF(AU$7="Actual",0,IF(AND(AV950=0,AU950=1),-SUM(AU957:AU961),0))</f>
        <v/>
      </c>
      <c r="AV962" s="245">
        <f>IF(AV$7="Actual",0,IF(AND(AW950=0,AV950=1),-SUM(AV957:AV961),0))</f>
        <v/>
      </c>
      <c r="AW962" s="245">
        <f>IF(AW$7="Actual",0,IF(AND(AX950=0,AW950=1),-SUM(AW957:AW961),0))</f>
        <v/>
      </c>
      <c r="AX962" s="245">
        <f>IF(AX$7="Actual",0,IF(AND(AY950=0,AX950=1),-SUM(AX957:AX961),0))</f>
        <v/>
      </c>
      <c r="AY962" s="245">
        <f>IF(AY$7="Actual",0,IF(AND(AZ950=0,AY950=1),-SUM(AY957:AY961),0))</f>
        <v/>
      </c>
      <c r="AZ962" s="245">
        <f>IF(AZ$7="Actual",0,IF(AND(BA950=0,AZ950=1),-SUM(AZ957:AZ961),0))</f>
        <v/>
      </c>
      <c r="BA962" s="245">
        <f>IF(BA$7="Actual",0,IF(AND(BB950=0,BA950=1),-SUM(BA957:BA961),0))</f>
        <v/>
      </c>
      <c r="BB962" s="245">
        <f>IF(BB$7="Actual",0,IF(AND(BC950=0,BB950=1),-SUM(BB957:BB961),0))</f>
        <v/>
      </c>
      <c r="BC962" s="245">
        <f>IF(BC$7="Actual",0,IF(AND(BD950=0,BC950=1),-SUM(BC957:BC961),0))</f>
        <v/>
      </c>
      <c r="BD962" s="245">
        <f>IF(BD$7="Actual",0,IF(AND(BE950=0,BD950=1),-SUM(BD957:BD961),0))</f>
        <v/>
      </c>
      <c r="BE962" s="245">
        <f>IF(BE$7="Actual",0,IF(AND(BF950=0,BE950=1),-SUM(BE957:BE961),0))</f>
        <v/>
      </c>
      <c r="BF962" s="245">
        <f>IF(BF$7="Actual",0,IF(AND(BG950=0,BF950=1),-SUM(BF957:BF961),0))</f>
        <v/>
      </c>
      <c r="BG962" s="245">
        <f>IF(BG$7="Actual",0,IF(AND(BH950=0,BG950=1),-SUM(BG957:BG961),0))</f>
        <v/>
      </c>
      <c r="BH962" s="245">
        <f>IF(BH$7="Actual",0,IF(AND(BI950=0,BH950=1),-SUM(BH957:BH961),0))</f>
        <v/>
      </c>
      <c r="BI962" s="245">
        <f>IF(BI$7="Actual",0,IF(AND(BJ950=0,BI950=1),-SUM(BI957:BI961),0))</f>
        <v/>
      </c>
      <c r="BJ962" s="245">
        <f>IF(BJ$7="Actual",0,IF(AND(BK950=0,BJ950=1),-SUM(BJ957:BJ961),0))</f>
        <v/>
      </c>
      <c r="BK962" s="245">
        <f>IF(BK$7="Actual",0,IF(AND(BL950=0,BK950=1),-SUM(BK957:BK961),0))</f>
        <v/>
      </c>
      <c r="BL962" s="245">
        <f>IF(BL$7="Actual",0,IF(AND(BM950=0,BL950=1),-SUM(BL957:BL961),0))</f>
        <v/>
      </c>
      <c r="BM962" s="245">
        <f>IF(BM$7="Actual",0,IF(AND(BN950=0,BM950=1),-SUM(BM957:BM961),0))</f>
        <v/>
      </c>
      <c r="BN962" s="245">
        <f>IF(BN$7="Actual",0,IF(AND(BO950=0,BN950=1),-SUM(BN957:BN961),0))</f>
        <v/>
      </c>
      <c r="BO962" s="245">
        <f>IF(BO$7="Actual",0,IF(AND(BP950=0,BO950=1),-SUM(BO957:BO961),0))</f>
        <v/>
      </c>
      <c r="BP962" s="245">
        <f>IF(BP$7="Actual",0,IF(AND(BQ950=0,BP950=1),-SUM(BP957:BP961),0))</f>
        <v/>
      </c>
      <c r="BQ962" s="245">
        <f>IF(BQ$7="Actual",0,IF(AND(BR950=0,BQ950=1),-SUM(BQ957:BQ961),0))</f>
        <v/>
      </c>
      <c r="BR962" s="245">
        <f>IF(BR$7="Actual",0,IF(AND(BS950=0,BR950=1),-SUM(BR957:BR961),0))</f>
        <v/>
      </c>
      <c r="BS962" s="245">
        <f>IF(BS$7="Actual",0,IF(AND(BT950=0,BS950=1),-SUM(BS957:BS961),0))</f>
        <v/>
      </c>
      <c r="BT962" s="245">
        <f>IF(BT$7="Actual",0,IF(AND(BU950=0,BT950=1),-SUM(BT957:BT961),0))</f>
        <v/>
      </c>
      <c r="BU962" s="245">
        <f>IF(BU$7="Actual",0,IF(AND(BV950=0,BU950=1),-SUM(BU957:BU961),0))</f>
        <v/>
      </c>
      <c r="BV962" s="245">
        <f>IF(BV$7="Actual",0,IF(AND(BW950=0,BV950=1),-SUM(BV957:BV961),0))</f>
        <v/>
      </c>
      <c r="BW962" s="245">
        <f>IF(BW$7="Actual",0,IF(AND(BX950=0,BW950=1),-SUM(BW957:BW961),0))</f>
        <v/>
      </c>
      <c r="BX962" s="245">
        <f>IF(BX$7="Actual",0,IF(AND(BY950=0,BX950=1),-SUM(BX957:BX961),0))</f>
        <v/>
      </c>
      <c r="BY962" s="245">
        <f>IF(BY$7="Actual",0,IF(AND(BZ950=0,BY950=1),-SUM(BY957:BY961),0))</f>
        <v/>
      </c>
      <c r="BZ962" s="245">
        <f>IF(BZ$7="Actual",0,IF(AND(CA950=0,BZ950=1),-SUM(BZ957:BZ961),0))</f>
        <v/>
      </c>
      <c r="CA962" s="245">
        <f>IF(CA$7="Actual",0,IF(AND(CB950=0,CA950=1),-SUM(CA957:CA961),0))</f>
        <v/>
      </c>
    </row>
    <row r="963" ht="12" customHeight="1" s="227" thickBot="1">
      <c r="A963" s="244" t="n"/>
      <c r="B963" s="244" t="n"/>
      <c r="C963" s="244" t="n"/>
      <c r="H963" s="42" t="inlineStr">
        <is>
          <t>Closing Balance</t>
        </is>
      </c>
      <c r="I963" s="43">
        <f>i_Setup!$M$16</f>
        <v/>
      </c>
      <c r="K963" s="6" t="n"/>
      <c r="M963" s="264">
        <f>SUMIF($T$2:$CA$2,M$2,$T963:$CA963)</f>
        <v/>
      </c>
      <c r="N963" s="264">
        <f>SUMIF($T$2:$CA$2,N$2,$T963:$CA963)</f>
        <v/>
      </c>
      <c r="O963" s="264">
        <f>SUMIF($T$2:$CA$2,O$2,$T963:$CA963)</f>
        <v/>
      </c>
      <c r="P963" s="264">
        <f>SUMIF($T$2:$CA$2,P$2,$T963:$CA963)</f>
        <v/>
      </c>
      <c r="Q963" s="264">
        <f>SUMIF($T$2:$CA$2,Q$2,$T963:$CA963)</f>
        <v/>
      </c>
      <c r="T963" s="264">
        <f>IF(T$7="Actual",-i_Actuals!T134,SUM(T957:T962))</f>
        <v/>
      </c>
      <c r="U963" s="264">
        <f>IF(U$7="Actual",-i_Actuals!U134,SUM(U957:U962))</f>
        <v/>
      </c>
      <c r="V963" s="264">
        <f>IF(V$7="Actual",-i_Actuals!V134,SUM(V957:V962))</f>
        <v/>
      </c>
      <c r="W963" s="264">
        <f>IF(W$7="Actual",-i_Actuals!W134,SUM(W957:W962))</f>
        <v/>
      </c>
      <c r="X963" s="264">
        <f>IF(X$7="Actual",-i_Actuals!X134,SUM(X957:X962))</f>
        <v/>
      </c>
      <c r="Y963" s="264">
        <f>IF(Y$7="Actual",-i_Actuals!Y134,SUM(Y957:Y962))</f>
        <v/>
      </c>
      <c r="Z963" s="264">
        <f>IF(Z$7="Actual",-i_Actuals!Z134,SUM(Z957:Z962))</f>
        <v/>
      </c>
      <c r="AA963" s="264">
        <f>IF(AA$7="Actual",-i_Actuals!AA134,SUM(AA957:AA962))</f>
        <v/>
      </c>
      <c r="AB963" s="264">
        <f>IF(AB$7="Actual",-i_Actuals!AB134,SUM(AB957:AB962))</f>
        <v/>
      </c>
      <c r="AC963" s="264">
        <f>IF(AC$7="Actual",-i_Actuals!AC134,SUM(AC957:AC962))</f>
        <v/>
      </c>
      <c r="AD963" s="264">
        <f>IF(AD$7="Actual",-i_Actuals!AD134,SUM(AD957:AD962))</f>
        <v/>
      </c>
      <c r="AE963" s="264">
        <f>IF(AE$7="Actual",-i_Actuals!AE134,SUM(AE957:AE962))</f>
        <v/>
      </c>
      <c r="AF963" s="264">
        <f>IF(AF$7="Actual",-i_Actuals!AF134,SUM(AF957:AF962))</f>
        <v/>
      </c>
      <c r="AG963" s="264">
        <f>IF(AG$7="Actual",-i_Actuals!AG134,SUM(AG957:AG962))</f>
        <v/>
      </c>
      <c r="AH963" s="264">
        <f>IF(AH$7="Actual",-i_Actuals!AH134,SUM(AH957:AH962))</f>
        <v/>
      </c>
      <c r="AI963" s="264">
        <f>IF(AI$7="Actual",-i_Actuals!AI134,SUM(AI957:AI962))</f>
        <v/>
      </c>
      <c r="AJ963" s="264">
        <f>IF(AJ$7="Actual",-i_Actuals!AJ134,SUM(AJ957:AJ962))</f>
        <v/>
      </c>
      <c r="AK963" s="264">
        <f>IF(AK$7="Actual",-i_Actuals!AK134,SUM(AK957:AK962))</f>
        <v/>
      </c>
      <c r="AL963" s="264">
        <f>IF(AL$7="Actual",-i_Actuals!AL134,SUM(AL957:AL962))</f>
        <v/>
      </c>
      <c r="AM963" s="264">
        <f>IF(AM$7="Actual",-i_Actuals!AM134,SUM(AM957:AM962))</f>
        <v/>
      </c>
      <c r="AN963" s="264">
        <f>IF(AN$7="Actual",-i_Actuals!AN134,SUM(AN957:AN962))</f>
        <v/>
      </c>
      <c r="AO963" s="264">
        <f>IF(AO$7="Actual",-i_Actuals!AO134,SUM(AO957:AO962))</f>
        <v/>
      </c>
      <c r="AP963" s="264">
        <f>IF(AP$7="Actual",-i_Actuals!AP134,SUM(AP957:AP962))</f>
        <v/>
      </c>
      <c r="AQ963" s="264">
        <f>IF(AQ$7="Actual",-i_Actuals!AQ134,SUM(AQ957:AQ962))</f>
        <v/>
      </c>
      <c r="AR963" s="264">
        <f>IF(AR$7="Actual",-i_Actuals!AR134,SUM(AR957:AR962))</f>
        <v/>
      </c>
      <c r="AS963" s="264">
        <f>IF(AS$7="Actual",-i_Actuals!AS134,SUM(AS957:AS962))</f>
        <v/>
      </c>
      <c r="AT963" s="264">
        <f>IF(AT$7="Actual",-i_Actuals!AT134,SUM(AT957:AT962))</f>
        <v/>
      </c>
      <c r="AU963" s="264">
        <f>IF(AU$7="Actual",-i_Actuals!AU134,SUM(AU957:AU962))</f>
        <v/>
      </c>
      <c r="AV963" s="264">
        <f>IF(AV$7="Actual",-i_Actuals!AV134,SUM(AV957:AV962))</f>
        <v/>
      </c>
      <c r="AW963" s="264">
        <f>IF(AW$7="Actual",-i_Actuals!AW134,SUM(AW957:AW962))</f>
        <v/>
      </c>
      <c r="AX963" s="264">
        <f>IF(AX$7="Actual",-i_Actuals!AX134,SUM(AX957:AX962))</f>
        <v/>
      </c>
      <c r="AY963" s="264">
        <f>IF(AY$7="Actual",-i_Actuals!AY134,SUM(AY957:AY962))</f>
        <v/>
      </c>
      <c r="AZ963" s="264">
        <f>IF(AZ$7="Actual",-i_Actuals!AZ134,SUM(AZ957:AZ962))</f>
        <v/>
      </c>
      <c r="BA963" s="264">
        <f>IF(BA$7="Actual",-i_Actuals!BA134,SUM(BA957:BA962))</f>
        <v/>
      </c>
      <c r="BB963" s="264">
        <f>IF(BB$7="Actual",-i_Actuals!BB134,SUM(BB957:BB962))</f>
        <v/>
      </c>
      <c r="BC963" s="264">
        <f>IF(BC$7="Actual",-i_Actuals!BC134,SUM(BC957:BC962))</f>
        <v/>
      </c>
      <c r="BD963" s="264">
        <f>IF(BD$7="Actual",-i_Actuals!BD134,SUM(BD957:BD962))</f>
        <v/>
      </c>
      <c r="BE963" s="264">
        <f>IF(BE$7="Actual",-i_Actuals!BE134,SUM(BE957:BE962))</f>
        <v/>
      </c>
      <c r="BF963" s="264">
        <f>IF(BF$7="Actual",-i_Actuals!BF134,SUM(BF957:BF962))</f>
        <v/>
      </c>
      <c r="BG963" s="264">
        <f>IF(BG$7="Actual",-i_Actuals!BG134,SUM(BG957:BG962))</f>
        <v/>
      </c>
      <c r="BH963" s="264">
        <f>IF(BH$7="Actual",-i_Actuals!BH134,SUM(BH957:BH962))</f>
        <v/>
      </c>
      <c r="BI963" s="264">
        <f>IF(BI$7="Actual",-i_Actuals!BI134,SUM(BI957:BI962))</f>
        <v/>
      </c>
      <c r="BJ963" s="264">
        <f>IF(BJ$7="Actual",-i_Actuals!BJ134,SUM(BJ957:BJ962))</f>
        <v/>
      </c>
      <c r="BK963" s="264">
        <f>IF(BK$7="Actual",-i_Actuals!BK134,SUM(BK957:BK962))</f>
        <v/>
      </c>
      <c r="BL963" s="264">
        <f>IF(BL$7="Actual",-i_Actuals!BL134,SUM(BL957:BL962))</f>
        <v/>
      </c>
      <c r="BM963" s="264">
        <f>IF(BM$7="Actual",-i_Actuals!BM134,SUM(BM957:BM962))</f>
        <v/>
      </c>
      <c r="BN963" s="264">
        <f>IF(BN$7="Actual",-i_Actuals!BN134,SUM(BN957:BN962))</f>
        <v/>
      </c>
      <c r="BO963" s="264">
        <f>IF(BO$7="Actual",-i_Actuals!BO134,SUM(BO957:BO962))</f>
        <v/>
      </c>
      <c r="BP963" s="264">
        <f>IF(BP$7="Actual",-i_Actuals!BP134,SUM(BP957:BP962))</f>
        <v/>
      </c>
      <c r="BQ963" s="264">
        <f>IF(BQ$7="Actual",-i_Actuals!BQ134,SUM(BQ957:BQ962))</f>
        <v/>
      </c>
      <c r="BR963" s="264">
        <f>IF(BR$7="Actual",-i_Actuals!BR134,SUM(BR957:BR962))</f>
        <v/>
      </c>
      <c r="BS963" s="264">
        <f>IF(BS$7="Actual",-i_Actuals!BS134,SUM(BS957:BS962))</f>
        <v/>
      </c>
      <c r="BT963" s="264">
        <f>IF(BT$7="Actual",-i_Actuals!BT134,SUM(BT957:BT962))</f>
        <v/>
      </c>
      <c r="BU963" s="264">
        <f>IF(BU$7="Actual",-i_Actuals!BU134,SUM(BU957:BU962))</f>
        <v/>
      </c>
      <c r="BV963" s="264">
        <f>IF(BV$7="Actual",-i_Actuals!BV134,SUM(BV957:BV962))</f>
        <v/>
      </c>
      <c r="BW963" s="264">
        <f>IF(BW$7="Actual",-i_Actuals!BW134,SUM(BW957:BW962))</f>
        <v/>
      </c>
      <c r="BX963" s="264">
        <f>IF(BX$7="Actual",-i_Actuals!BX134,SUM(BX957:BX962))</f>
        <v/>
      </c>
      <c r="BY963" s="264">
        <f>IF(BY$7="Actual",-i_Actuals!BY134,SUM(BY957:BY962))</f>
        <v/>
      </c>
      <c r="BZ963" s="264">
        <f>IF(BZ$7="Actual",-i_Actuals!BZ134,SUM(BZ957:BZ962))</f>
        <v/>
      </c>
      <c r="CA963" s="264">
        <f>IF(CA$7="Actual",-i_Actuals!CA134,SUM(CA957:CA962))</f>
        <v/>
      </c>
    </row>
    <row r="964" ht="12" customHeight="1" s="227">
      <c r="A964" s="244" t="n"/>
      <c r="B964" s="244" t="n"/>
      <c r="C964" s="244" t="n"/>
      <c r="K964" s="6" t="n"/>
    </row>
    <row r="965" ht="12" customHeight="1" s="227">
      <c r="A965" s="244" t="n"/>
      <c r="B965" s="244">
        <f>SUM(L965:CA965)</f>
        <v/>
      </c>
      <c r="C965" s="8" t="n"/>
      <c r="H965" s="0" t="inlineStr">
        <is>
          <t>Signage Check</t>
        </is>
      </c>
      <c r="K965" s="6" t="n"/>
      <c r="T965" s="244">
        <f>IF(T$7&lt;&gt;"",IF(T963&lt;0,1,0),"")</f>
        <v/>
      </c>
      <c r="U965" s="244">
        <f>IF(U$7&lt;&gt;"",IF(U963&lt;0,1,0),"")</f>
        <v/>
      </c>
      <c r="V965" s="244">
        <f>IF(V$7&lt;&gt;"",IF(V963&lt;0,1,0),"")</f>
        <v/>
      </c>
      <c r="W965" s="244">
        <f>IF(W$7&lt;&gt;"",IF(W963&lt;0,1,0),"")</f>
        <v/>
      </c>
      <c r="X965" s="244">
        <f>IF(X$7&lt;&gt;"",IF(X963&lt;0,1,0),"")</f>
        <v/>
      </c>
      <c r="Y965" s="244">
        <f>IF(Y$7&lt;&gt;"",IF(Y963&lt;0,1,0),"")</f>
        <v/>
      </c>
      <c r="Z965" s="244">
        <f>IF(Z$7&lt;&gt;"",IF(Z963&lt;0,1,0),"")</f>
        <v/>
      </c>
      <c r="AA965" s="244">
        <f>IF(AA$7&lt;&gt;"",IF(AA963&lt;0,1,0),"")</f>
        <v/>
      </c>
      <c r="AB965" s="244">
        <f>IF(AB$7&lt;&gt;"",IF(AB963&lt;0,1,0),"")</f>
        <v/>
      </c>
      <c r="AC965" s="244">
        <f>IF(AC$7&lt;&gt;"",IF(AC963&lt;0,1,0),"")</f>
        <v/>
      </c>
      <c r="AD965" s="244">
        <f>IF(AD$7&lt;&gt;"",IF(AD963&lt;0,1,0),"")</f>
        <v/>
      </c>
      <c r="AE965" s="244">
        <f>IF(AE$7&lt;&gt;"",IF(AE963&lt;0,1,0),"")</f>
        <v/>
      </c>
      <c r="AF965" s="244">
        <f>IF(AF$7&lt;&gt;"",IF(AF963&lt;0,1,0),"")</f>
        <v/>
      </c>
      <c r="AG965" s="244">
        <f>IF(AG$7&lt;&gt;"",IF(AG963&lt;0,1,0),"")</f>
        <v/>
      </c>
      <c r="AH965" s="244">
        <f>IF(AH$7&lt;&gt;"",IF(AH963&lt;0,1,0),"")</f>
        <v/>
      </c>
      <c r="AI965" s="244">
        <f>IF(AI$7&lt;&gt;"",IF(AI963&lt;0,1,0),"")</f>
        <v/>
      </c>
      <c r="AJ965" s="244">
        <f>IF(AJ$7&lt;&gt;"",IF(AJ963&lt;0,1,0),"")</f>
        <v/>
      </c>
      <c r="AK965" s="244">
        <f>IF(AK$7&lt;&gt;"",IF(AK963&lt;0,1,0),"")</f>
        <v/>
      </c>
      <c r="AL965" s="244">
        <f>IF(AL$7&lt;&gt;"",IF(AL963&lt;0,1,0),"")</f>
        <v/>
      </c>
      <c r="AM965" s="244">
        <f>IF(AM$7&lt;&gt;"",IF(AM963&lt;0,1,0),"")</f>
        <v/>
      </c>
      <c r="AN965" s="244">
        <f>IF(AN$7&lt;&gt;"",IF(AN963&lt;0,1,0),"")</f>
        <v/>
      </c>
      <c r="AO965" s="244">
        <f>IF(AO$7&lt;&gt;"",IF(AO963&lt;0,1,0),"")</f>
        <v/>
      </c>
      <c r="AP965" s="244">
        <f>IF(AP$7&lt;&gt;"",IF(AP963&lt;0,1,0),"")</f>
        <v/>
      </c>
      <c r="AQ965" s="244">
        <f>IF(AQ$7&lt;&gt;"",IF(AQ963&lt;0,1,0),"")</f>
        <v/>
      </c>
      <c r="AR965" s="244">
        <f>IF(AR$7&lt;&gt;"",IF(AR963&lt;0,1,0),"")</f>
        <v/>
      </c>
      <c r="AS965" s="244">
        <f>IF(AS$7&lt;&gt;"",IF(AS963&lt;0,1,0),"")</f>
        <v/>
      </c>
      <c r="AT965" s="244">
        <f>IF(AT$7&lt;&gt;"",IF(AT963&lt;0,1,0),"")</f>
        <v/>
      </c>
      <c r="AU965" s="244">
        <f>IF(AU$7&lt;&gt;"",IF(AU963&lt;0,1,0),"")</f>
        <v/>
      </c>
      <c r="AV965" s="244">
        <f>IF(AV$7&lt;&gt;"",IF(AV963&lt;0,1,0),"")</f>
        <v/>
      </c>
      <c r="AW965" s="244">
        <f>IF(AW$7&lt;&gt;"",IF(AW963&lt;0,1,0),"")</f>
        <v/>
      </c>
      <c r="AX965" s="244">
        <f>IF(AX$7&lt;&gt;"",IF(AX963&lt;0,1,0),"")</f>
        <v/>
      </c>
      <c r="AY965" s="244">
        <f>IF(AY$7&lt;&gt;"",IF(AY963&lt;0,1,0),"")</f>
        <v/>
      </c>
      <c r="AZ965" s="244">
        <f>IF(AZ$7&lt;&gt;"",IF(AZ963&lt;0,1,0),"")</f>
        <v/>
      </c>
      <c r="BA965" s="244">
        <f>IF(BA$7&lt;&gt;"",IF(BA963&lt;0,1,0),"")</f>
        <v/>
      </c>
      <c r="BB965" s="244">
        <f>IF(BB$7&lt;&gt;"",IF(BB963&lt;0,1,0),"")</f>
        <v/>
      </c>
      <c r="BC965" s="244">
        <f>IF(BC$7&lt;&gt;"",IF(BC963&lt;0,1,0),"")</f>
        <v/>
      </c>
      <c r="BD965" s="244">
        <f>IF(BD$7&lt;&gt;"",IF(BD963&lt;0,1,0),"")</f>
        <v/>
      </c>
      <c r="BE965" s="244">
        <f>IF(BE$7&lt;&gt;"",IF(BE963&lt;0,1,0),"")</f>
        <v/>
      </c>
      <c r="BF965" s="244">
        <f>IF(BF$7&lt;&gt;"",IF(BF963&lt;0,1,0),"")</f>
        <v/>
      </c>
      <c r="BG965" s="244">
        <f>IF(BG$7&lt;&gt;"",IF(BG963&lt;0,1,0),"")</f>
        <v/>
      </c>
      <c r="BH965" s="244">
        <f>IF(BH$7&lt;&gt;"",IF(BH963&lt;0,1,0),"")</f>
        <v/>
      </c>
      <c r="BI965" s="244">
        <f>IF(BI$7&lt;&gt;"",IF(BI963&lt;0,1,0),"")</f>
        <v/>
      </c>
      <c r="BJ965" s="244">
        <f>IF(BJ$7&lt;&gt;"",IF(BJ963&lt;0,1,0),"")</f>
        <v/>
      </c>
      <c r="BK965" s="244">
        <f>IF(BK$7&lt;&gt;"",IF(BK963&lt;0,1,0),"")</f>
        <v/>
      </c>
      <c r="BL965" s="244">
        <f>IF(BL$7&lt;&gt;"",IF(BL963&lt;0,1,0),"")</f>
        <v/>
      </c>
      <c r="BM965" s="244">
        <f>IF(BM$7&lt;&gt;"",IF(BM963&lt;0,1,0),"")</f>
        <v/>
      </c>
      <c r="BN965" s="244">
        <f>IF(BN$7&lt;&gt;"",IF(BN963&lt;0,1,0),"")</f>
        <v/>
      </c>
      <c r="BO965" s="244">
        <f>IF(BO$7&lt;&gt;"",IF(BO963&lt;0,1,0),"")</f>
        <v/>
      </c>
      <c r="BP965" s="244">
        <f>IF(BP$7&lt;&gt;"",IF(BP963&lt;0,1,0),"")</f>
        <v/>
      </c>
      <c r="BQ965" s="244">
        <f>IF(BQ$7&lt;&gt;"",IF(BQ963&lt;0,1,0),"")</f>
        <v/>
      </c>
      <c r="BR965" s="244">
        <f>IF(BR$7&lt;&gt;"",IF(BR963&lt;0,1,0),"")</f>
        <v/>
      </c>
      <c r="BS965" s="244">
        <f>IF(BS$7&lt;&gt;"",IF(BS963&lt;0,1,0),"")</f>
        <v/>
      </c>
      <c r="BT965" s="244">
        <f>IF(BT$7&lt;&gt;"",IF(BT963&lt;0,1,0),"")</f>
        <v/>
      </c>
      <c r="BU965" s="244">
        <f>IF(BU$7&lt;&gt;"",IF(BU963&lt;0,1,0),"")</f>
        <v/>
      </c>
      <c r="BV965" s="244">
        <f>IF(BV$7&lt;&gt;"",IF(BV963&lt;0,1,0),"")</f>
        <v/>
      </c>
      <c r="BW965" s="244">
        <f>IF(BW$7&lt;&gt;"",IF(BW963&lt;0,1,0),"")</f>
        <v/>
      </c>
      <c r="BX965" s="244">
        <f>IF(BX$7&lt;&gt;"",IF(BX963&lt;0,1,0),"")</f>
        <v/>
      </c>
      <c r="BY965" s="244">
        <f>IF(BY$7&lt;&gt;"",IF(BY963&lt;0,1,0),"")</f>
        <v/>
      </c>
      <c r="BZ965" s="244">
        <f>IF(BZ$7&lt;&gt;"",IF(BZ963&lt;0,1,0),"")</f>
        <v/>
      </c>
      <c r="CA965" s="244">
        <f>IF(CA$7&lt;&gt;"",IF(CA963&lt;0,1,0),"")</f>
        <v/>
      </c>
    </row>
    <row r="966" ht="12" customHeight="1" s="227">
      <c r="A966" s="244" t="n"/>
      <c r="B966" s="244" t="n"/>
      <c r="C966" s="244" t="n"/>
      <c r="K966" s="6" t="n"/>
    </row>
    <row r="967" ht="12" customHeight="1" s="227">
      <c r="A967" s="244" t="n"/>
      <c r="B967" s="244" t="n"/>
      <c r="C967" s="244" t="n"/>
      <c r="K967" s="6" t="n"/>
    </row>
    <row r="968" ht="12" customHeight="1" s="227">
      <c r="A968" s="244" t="n"/>
      <c r="B968" s="244" t="n"/>
      <c r="C968" s="244" t="n"/>
      <c r="G968" s="222">
        <f>i_Setup!U126</f>
        <v/>
      </c>
      <c r="K968" s="6" t="n"/>
    </row>
    <row r="969" ht="12" customHeight="1" s="227">
      <c r="A969" s="244" t="n"/>
      <c r="B969" s="244" t="n"/>
      <c r="C969" s="244" t="n"/>
      <c r="K969" s="6" t="n"/>
    </row>
    <row r="970" ht="12" customHeight="1" s="227">
      <c r="A970" s="244" t="n"/>
      <c r="B970" s="244" t="n"/>
      <c r="C970" s="244" t="n"/>
      <c r="H970" s="0" t="inlineStr">
        <is>
          <t>Start Year</t>
        </is>
      </c>
      <c r="I970" s="27" t="inlineStr">
        <is>
          <t>Date</t>
        </is>
      </c>
      <c r="K970" s="201">
        <f>i_Setup!$U$25</f>
        <v/>
      </c>
      <c r="T970" s="245">
        <f>IF(T$2&lt;$K970,0,1)</f>
        <v/>
      </c>
      <c r="U970" s="245">
        <f>IF(U$2&lt;$K970,0,1)</f>
        <v/>
      </c>
      <c r="V970" s="245">
        <f>IF(V$2&lt;$K970,0,1)</f>
        <v/>
      </c>
      <c r="W970" s="245">
        <f>IF(W$2&lt;$K970,0,1)</f>
        <v/>
      </c>
      <c r="X970" s="245">
        <f>IF(X$2&lt;$K970,0,1)</f>
        <v/>
      </c>
      <c r="Y970" s="245">
        <f>IF(Y$2&lt;$K970,0,1)</f>
        <v/>
      </c>
      <c r="Z970" s="245">
        <f>IF(Z$2&lt;$K970,0,1)</f>
        <v/>
      </c>
      <c r="AA970" s="245">
        <f>IF(AA$2&lt;$K970,0,1)</f>
        <v/>
      </c>
      <c r="AB970" s="245">
        <f>IF(AB$2&lt;$K970,0,1)</f>
        <v/>
      </c>
      <c r="AC970" s="245">
        <f>IF(AC$2&lt;$K970,0,1)</f>
        <v/>
      </c>
      <c r="AD970" s="245">
        <f>IF(AD$2&lt;$K970,0,1)</f>
        <v/>
      </c>
      <c r="AE970" s="245">
        <f>IF(AE$2&lt;$K970,0,1)</f>
        <v/>
      </c>
      <c r="AF970" s="245">
        <f>IF(AF$2&lt;$K970,0,1)</f>
        <v/>
      </c>
      <c r="AG970" s="245">
        <f>IF(AG$2&lt;$K970,0,1)</f>
        <v/>
      </c>
      <c r="AH970" s="245">
        <f>IF(AH$2&lt;$K970,0,1)</f>
        <v/>
      </c>
      <c r="AI970" s="245">
        <f>IF(AI$2&lt;$K970,0,1)</f>
        <v/>
      </c>
      <c r="AJ970" s="245">
        <f>IF(AJ$2&lt;$K970,0,1)</f>
        <v/>
      </c>
      <c r="AK970" s="245">
        <f>IF(AK$2&lt;$K970,0,1)</f>
        <v/>
      </c>
      <c r="AL970" s="245">
        <f>IF(AL$2&lt;$K970,0,1)</f>
        <v/>
      </c>
      <c r="AM970" s="245">
        <f>IF(AM$2&lt;$K970,0,1)</f>
        <v/>
      </c>
      <c r="AN970" s="245">
        <f>IF(AN$2&lt;$K970,0,1)</f>
        <v/>
      </c>
      <c r="AO970" s="245">
        <f>IF(AO$2&lt;$K970,0,1)</f>
        <v/>
      </c>
      <c r="AP970" s="245">
        <f>IF(AP$2&lt;$K970,0,1)</f>
        <v/>
      </c>
      <c r="AQ970" s="245">
        <f>IF(AQ$2&lt;$K970,0,1)</f>
        <v/>
      </c>
      <c r="AR970" s="245">
        <f>IF(AR$2&lt;$K970,0,1)</f>
        <v/>
      </c>
      <c r="AS970" s="245">
        <f>IF(AS$2&lt;$K970,0,1)</f>
        <v/>
      </c>
      <c r="AT970" s="245">
        <f>IF(AT$2&lt;$K970,0,1)</f>
        <v/>
      </c>
      <c r="AU970" s="245">
        <f>IF(AU$2&lt;$K970,0,1)</f>
        <v/>
      </c>
      <c r="AV970" s="245">
        <f>IF(AV$2&lt;$K970,0,1)</f>
        <v/>
      </c>
      <c r="AW970" s="245">
        <f>IF(AW$2&lt;$K970,0,1)</f>
        <v/>
      </c>
      <c r="AX970" s="245">
        <f>IF(AX$2&lt;$K970,0,1)</f>
        <v/>
      </c>
      <c r="AY970" s="245">
        <f>IF(AY$2&lt;$K970,0,1)</f>
        <v/>
      </c>
      <c r="AZ970" s="245">
        <f>IF(AZ$2&lt;$K970,0,1)</f>
        <v/>
      </c>
      <c r="BA970" s="245">
        <f>IF(BA$2&lt;$K970,0,1)</f>
        <v/>
      </c>
      <c r="BB970" s="245">
        <f>IF(BB$2&lt;$K970,0,1)</f>
        <v/>
      </c>
      <c r="BC970" s="245">
        <f>IF(BC$2&lt;$K970,0,1)</f>
        <v/>
      </c>
      <c r="BD970" s="245">
        <f>IF(BD$2&lt;$K970,0,1)</f>
        <v/>
      </c>
      <c r="BE970" s="245">
        <f>IF(BE$2&lt;$K970,0,1)</f>
        <v/>
      </c>
      <c r="BF970" s="245">
        <f>IF(BF$2&lt;$K970,0,1)</f>
        <v/>
      </c>
      <c r="BG970" s="245">
        <f>IF(BG$2&lt;$K970,0,1)</f>
        <v/>
      </c>
      <c r="BH970" s="245">
        <f>IF(BH$2&lt;$K970,0,1)</f>
        <v/>
      </c>
      <c r="BI970" s="245">
        <f>IF(BI$2&lt;$K970,0,1)</f>
        <v/>
      </c>
      <c r="BJ970" s="245">
        <f>IF(BJ$2&lt;$K970,0,1)</f>
        <v/>
      </c>
      <c r="BK970" s="245">
        <f>IF(BK$2&lt;$K970,0,1)</f>
        <v/>
      </c>
      <c r="BL970" s="245">
        <f>IF(BL$2&lt;$K970,0,1)</f>
        <v/>
      </c>
      <c r="BM970" s="245">
        <f>IF(BM$2&lt;$K970,0,1)</f>
        <v/>
      </c>
      <c r="BN970" s="245">
        <f>IF(BN$2&lt;$K970,0,1)</f>
        <v/>
      </c>
      <c r="BO970" s="245">
        <f>IF(BO$2&lt;$K970,0,1)</f>
        <v/>
      </c>
      <c r="BP970" s="245">
        <f>IF(BP$2&lt;$K970,0,1)</f>
        <v/>
      </c>
      <c r="BQ970" s="245">
        <f>IF(BQ$2&lt;$K970,0,1)</f>
        <v/>
      </c>
      <c r="BR970" s="245">
        <f>IF(BR$2&lt;$K970,0,1)</f>
        <v/>
      </c>
      <c r="BS970" s="245">
        <f>IF(BS$2&lt;$K970,0,1)</f>
        <v/>
      </c>
      <c r="BT970" s="245">
        <f>IF(BT$2&lt;$K970,0,1)</f>
        <v/>
      </c>
      <c r="BU970" s="245">
        <f>IF(BU$2&lt;$K970,0,1)</f>
        <v/>
      </c>
      <c r="BV970" s="245">
        <f>IF(BV$2&lt;$K970,0,1)</f>
        <v/>
      </c>
      <c r="BW970" s="245">
        <f>IF(BW$2&lt;$K970,0,1)</f>
        <v/>
      </c>
      <c r="BX970" s="245">
        <f>IF(BX$2&lt;$K970,0,1)</f>
        <v/>
      </c>
      <c r="BY970" s="245">
        <f>IF(BY$2&lt;$K970,0,1)</f>
        <v/>
      </c>
      <c r="BZ970" s="245">
        <f>IF(BZ$2&lt;$K970,0,1)</f>
        <v/>
      </c>
      <c r="CA970" s="245">
        <f>IF(CA$2&lt;$K970,0,1)</f>
        <v/>
      </c>
      <c r="CB970" s="245">
        <f>IF(CB$2&lt;$K970,0,1)</f>
        <v/>
      </c>
      <c r="CC970" s="245">
        <f>IF(CC$2&lt;$K970,0,1)</f>
        <v/>
      </c>
      <c r="CD970" s="245">
        <f>IF(CD$2&lt;$K970,0,1)</f>
        <v/>
      </c>
      <c r="CE970" s="245">
        <f>IF(CE$2&lt;$K970,0,1)</f>
        <v/>
      </c>
      <c r="CF970" s="245">
        <f>IF(CF$2&lt;$K970,0,1)</f>
        <v/>
      </c>
      <c r="CG970" s="245">
        <f>IF(CG$2&lt;$K970,0,1)</f>
        <v/>
      </c>
      <c r="CH970" s="245">
        <f>IF(CH$2&lt;$K970,0,1)</f>
        <v/>
      </c>
      <c r="CI970" s="245">
        <f>IF(CI$2&lt;$K970,0,1)</f>
        <v/>
      </c>
      <c r="CJ970" s="245">
        <f>IF(CJ$2&lt;$K970,0,1)</f>
        <v/>
      </c>
      <c r="CK970" s="245">
        <f>IF(CK$2&lt;$K970,0,1)</f>
        <v/>
      </c>
      <c r="CL970" s="245">
        <f>IF(CL$2&lt;$K970,0,1)</f>
        <v/>
      </c>
      <c r="CM970" s="245">
        <f>IF(CM$2&lt;$K970,0,1)</f>
        <v/>
      </c>
      <c r="CN970" s="245">
        <f>IF(CN$2&lt;$K970,0,1)</f>
        <v/>
      </c>
      <c r="CO970" s="245">
        <f>IF(CO$2&lt;$K970,0,1)</f>
        <v/>
      </c>
      <c r="CP970" s="245">
        <f>IF(CP$2&lt;$K970,0,1)</f>
        <v/>
      </c>
      <c r="CQ970" s="245">
        <f>IF(CQ$2&lt;$K970,0,1)</f>
        <v/>
      </c>
      <c r="CR970" s="245">
        <f>IF(CR$2&lt;$K970,0,1)</f>
        <v/>
      </c>
      <c r="CS970" s="245">
        <f>IF(CS$2&lt;$K970,0,1)</f>
        <v/>
      </c>
      <c r="CT970" s="245">
        <f>IF(CT$2&lt;$K970,0,1)</f>
        <v/>
      </c>
      <c r="CU970" s="245">
        <f>IF(CU$2&lt;$K970,0,1)</f>
        <v/>
      </c>
      <c r="CV970" s="245">
        <f>IF(CV$2&lt;$K970,0,1)</f>
        <v/>
      </c>
      <c r="CW970" s="245">
        <f>IF(CW$2&lt;$K970,0,1)</f>
        <v/>
      </c>
      <c r="CX970" s="245">
        <f>IF(CX$2&lt;$K970,0,1)</f>
        <v/>
      </c>
      <c r="CY970" s="245">
        <f>IF(CY$2&lt;$K970,0,1)</f>
        <v/>
      </c>
      <c r="CZ970" s="245">
        <f>IF(CZ$2&lt;$K970,0,1)</f>
        <v/>
      </c>
      <c r="DA970" s="245">
        <f>IF(DA$2&lt;$K970,0,1)</f>
        <v/>
      </c>
      <c r="DB970" s="245">
        <f>IF(DB$2&lt;$K970,0,1)</f>
        <v/>
      </c>
      <c r="DC970" s="245">
        <f>IF(DC$2&lt;$K970,0,1)</f>
        <v/>
      </c>
      <c r="DD970" s="245">
        <f>IF(DD$2&lt;$K970,0,1)</f>
        <v/>
      </c>
      <c r="DE970" s="245">
        <f>IF(DE$2&lt;$K970,0,1)</f>
        <v/>
      </c>
      <c r="DF970" s="245">
        <f>IF(DF$2&lt;$K970,0,1)</f>
        <v/>
      </c>
      <c r="DG970" s="245">
        <f>IF(DG$2&lt;$K970,0,1)</f>
        <v/>
      </c>
      <c r="DH970" s="245">
        <f>IF(DH$2&lt;$K970,0,1)</f>
        <v/>
      </c>
      <c r="DI970" s="245">
        <f>IF(DI$2&lt;$K970,0,1)</f>
        <v/>
      </c>
      <c r="DJ970" s="245">
        <f>IF(DJ$2&lt;$K970,0,1)</f>
        <v/>
      </c>
      <c r="DK970" s="245">
        <f>IF(DK$2&lt;$K970,0,1)</f>
        <v/>
      </c>
      <c r="DL970" s="245">
        <f>IF(DL$2&lt;$K970,0,1)</f>
        <v/>
      </c>
      <c r="DM970" s="245">
        <f>IF(DM$2&lt;$K970,0,1)</f>
        <v/>
      </c>
      <c r="DN970" s="245">
        <f>IF(DN$2&lt;$K970,0,1)</f>
        <v/>
      </c>
      <c r="DO970" s="245">
        <f>IF(DO$2&lt;$K970,0,1)</f>
        <v/>
      </c>
      <c r="DP970" s="245">
        <f>IF(DP$2&lt;$K970,0,1)</f>
        <v/>
      </c>
      <c r="DQ970" s="245">
        <f>IF(DQ$2&lt;$K970,0,1)</f>
        <v/>
      </c>
      <c r="DR970" s="245">
        <f>IF(DR$2&lt;$K970,0,1)</f>
        <v/>
      </c>
      <c r="DS970" s="245">
        <f>IF(DS$2&lt;$K970,0,1)</f>
        <v/>
      </c>
      <c r="DT970" s="245">
        <f>IF(DT$2&lt;$K970,0,1)</f>
        <v/>
      </c>
      <c r="DU970" s="245">
        <f>IF(DU$2&lt;$K970,0,1)</f>
        <v/>
      </c>
      <c r="DV970" s="245">
        <f>IF(DV$2&lt;$K970,0,1)</f>
        <v/>
      </c>
      <c r="DW970" s="245">
        <f>IF(DW$2&lt;$K970,0,1)</f>
        <v/>
      </c>
      <c r="DX970" s="245">
        <f>IF(DX$2&lt;$K970,0,1)</f>
        <v/>
      </c>
      <c r="DY970" s="245">
        <f>IF(DY$2&lt;$K970,0,1)</f>
        <v/>
      </c>
      <c r="DZ970" s="245">
        <f>IF(DZ$2&lt;$K970,0,1)</f>
        <v/>
      </c>
      <c r="EA970" s="245">
        <f>IF(EA$2&lt;$K970,0,1)</f>
        <v/>
      </c>
      <c r="EB970" s="245">
        <f>IF(EB$2&lt;$K970,0,1)</f>
        <v/>
      </c>
      <c r="EC970" s="245">
        <f>IF(EC$2&lt;$K970,0,1)</f>
        <v/>
      </c>
      <c r="ED970" s="245">
        <f>IF(ED$2&lt;$K970,0,1)</f>
        <v/>
      </c>
      <c r="EE970" s="245">
        <f>IF(EE$2&lt;$K970,0,1)</f>
        <v/>
      </c>
      <c r="EF970" s="245">
        <f>IF(EF$2&lt;$K970,0,1)</f>
        <v/>
      </c>
      <c r="EG970" s="245">
        <f>IF(EG$2&lt;$K970,0,1)</f>
        <v/>
      </c>
      <c r="EH970" s="245">
        <f>IF(EH$2&lt;$K970,0,1)</f>
        <v/>
      </c>
      <c r="EI970" s="245">
        <f>IF(EI$2&lt;$K970,0,1)</f>
        <v/>
      </c>
      <c r="EJ970" s="245">
        <f>IF(EJ$2&lt;$K970,0,1)</f>
        <v/>
      </c>
      <c r="EK970" s="245">
        <f>IF(EK$2&lt;$K970,0,1)</f>
        <v/>
      </c>
      <c r="EL970" s="245">
        <f>IF(EL$2&lt;$K970,0,1)</f>
        <v/>
      </c>
      <c r="EM970" s="245">
        <f>IF(EM$2&lt;$K970,0,1)</f>
        <v/>
      </c>
      <c r="EN970" s="245">
        <f>IF(EN$2&lt;$K970,0,1)</f>
        <v/>
      </c>
      <c r="EO970" s="245">
        <f>IF(EO$2&lt;$K970,0,1)</f>
        <v/>
      </c>
      <c r="EP970" s="245">
        <f>IF(EP$2&lt;$K970,0,1)</f>
        <v/>
      </c>
      <c r="EQ970" s="245">
        <f>IF(EQ$2&lt;$K970,0,1)</f>
        <v/>
      </c>
      <c r="ER970" s="245">
        <f>IF(ER$2&lt;$K970,0,1)</f>
        <v/>
      </c>
      <c r="ES970" s="245">
        <f>IF(ES$2&lt;$K970,0,1)</f>
        <v/>
      </c>
      <c r="ET970" s="245">
        <f>IF(ET$2&lt;$K970,0,1)</f>
        <v/>
      </c>
      <c r="EU970" s="245">
        <f>IF(EU$2&lt;$K970,0,1)</f>
        <v/>
      </c>
      <c r="EV970" s="245">
        <f>IF(EV$2&lt;$K970,0,1)</f>
        <v/>
      </c>
      <c r="EW970" s="245">
        <f>IF(EW$2&lt;$K970,0,1)</f>
        <v/>
      </c>
      <c r="EX970" s="245">
        <f>IF(EX$2&lt;$K970,0,1)</f>
        <v/>
      </c>
      <c r="EY970" s="245">
        <f>IF(EY$2&lt;$K970,0,1)</f>
        <v/>
      </c>
      <c r="EZ970" s="245">
        <f>IF(EZ$2&lt;$K970,0,1)</f>
        <v/>
      </c>
      <c r="FA970" s="245">
        <f>IF(FA$2&lt;$K970,0,1)</f>
        <v/>
      </c>
      <c r="FB970" s="245">
        <f>IF(FB$2&lt;$K970,0,1)</f>
        <v/>
      </c>
      <c r="FC970" s="245">
        <f>IF(FC$2&lt;$K970,0,1)</f>
        <v/>
      </c>
      <c r="FD970" s="245">
        <f>IF(FD$2&lt;$K970,0,1)</f>
        <v/>
      </c>
      <c r="FE970" s="245">
        <f>IF(FE$2&lt;$K970,0,1)</f>
        <v/>
      </c>
      <c r="FF970" s="245">
        <f>IF(FF$2&lt;$K970,0,1)</f>
        <v/>
      </c>
      <c r="FG970" s="245">
        <f>IF(FG$2&lt;$K970,0,1)</f>
        <v/>
      </c>
      <c r="FH970" s="245">
        <f>IF(FH$2&lt;$K970,0,1)</f>
        <v/>
      </c>
      <c r="FI970" s="245">
        <f>IF(FI$2&lt;$K970,0,1)</f>
        <v/>
      </c>
      <c r="FJ970" s="245">
        <f>IF(FJ$2&lt;$K970,0,1)</f>
        <v/>
      </c>
      <c r="FK970" s="245">
        <f>IF(FK$2&lt;$K970,0,1)</f>
        <v/>
      </c>
      <c r="FL970" s="245">
        <f>IF(FL$2&lt;$K970,0,1)</f>
        <v/>
      </c>
      <c r="FM970" s="245">
        <f>IF(FM$2&lt;$K970,0,1)</f>
        <v/>
      </c>
      <c r="FN970" s="245">
        <f>IF(FN$2&lt;$K970,0,1)</f>
        <v/>
      </c>
      <c r="FO970" s="245">
        <f>IF(FO$2&lt;$K970,0,1)</f>
        <v/>
      </c>
      <c r="FP970" s="245">
        <f>IF(FP$2&lt;$K970,0,1)</f>
        <v/>
      </c>
      <c r="FQ970" s="245">
        <f>IF(FQ$2&lt;$K970,0,1)</f>
        <v/>
      </c>
      <c r="FR970" s="245">
        <f>IF(FR$2&lt;$K970,0,1)</f>
        <v/>
      </c>
      <c r="FS970" s="245">
        <f>IF(FS$2&lt;$K970,0,1)</f>
        <v/>
      </c>
      <c r="FT970" s="245">
        <f>IF(FT$2&lt;$K970,0,1)</f>
        <v/>
      </c>
      <c r="FU970" s="245">
        <f>IF(FU$2&lt;$K970,0,1)</f>
        <v/>
      </c>
      <c r="FV970" s="245">
        <f>IF(FV$2&lt;$K970,0,1)</f>
        <v/>
      </c>
      <c r="FW970" s="245">
        <f>IF(FW$2&lt;$K970,0,1)</f>
        <v/>
      </c>
      <c r="FX970" s="245">
        <f>IF(FX$2&lt;$K970,0,1)</f>
        <v/>
      </c>
      <c r="FY970" s="245">
        <f>IF(FY$2&lt;$K970,0,1)</f>
        <v/>
      </c>
      <c r="FZ970" s="245">
        <f>IF(FZ$2&lt;$K970,0,1)</f>
        <v/>
      </c>
      <c r="GA970" s="245">
        <f>IF(GA$2&lt;$K970,0,1)</f>
        <v/>
      </c>
      <c r="GB970" s="245">
        <f>IF(GB$2&lt;$K970,0,1)</f>
        <v/>
      </c>
      <c r="GC970" s="245">
        <f>IF(GC$2&lt;$K970,0,1)</f>
        <v/>
      </c>
      <c r="GD970" s="245">
        <f>IF(GD$2&lt;$K970,0,1)</f>
        <v/>
      </c>
      <c r="GE970" s="245">
        <f>IF(GE$2&lt;$K970,0,1)</f>
        <v/>
      </c>
      <c r="GF970" s="245">
        <f>IF(GF$2&lt;$K970,0,1)</f>
        <v/>
      </c>
      <c r="GG970" s="245">
        <f>IF(GG$2&lt;$K970,0,1)</f>
        <v/>
      </c>
      <c r="GH970" s="245">
        <f>IF(GH$2&lt;$K970,0,1)</f>
        <v/>
      </c>
      <c r="GI970" s="245">
        <f>IF(GI$2&lt;$K970,0,1)</f>
        <v/>
      </c>
      <c r="GJ970" s="245">
        <f>IF(GJ$2&lt;$K970,0,1)</f>
        <v/>
      </c>
      <c r="GK970" s="245">
        <f>IF(GK$2&lt;$K970,0,1)</f>
        <v/>
      </c>
      <c r="GL970" s="245">
        <f>IF(GL$2&lt;$K970,0,1)</f>
        <v/>
      </c>
      <c r="GM970" s="245">
        <f>IF(GM$2&lt;$K970,0,1)</f>
        <v/>
      </c>
      <c r="GN970" s="245">
        <f>IF(GN$2&lt;$K970,0,1)</f>
        <v/>
      </c>
      <c r="GO970" s="245">
        <f>IF(GO$2&lt;$K970,0,1)</f>
        <v/>
      </c>
      <c r="GP970" s="245">
        <f>IF(GP$2&lt;$K970,0,1)</f>
        <v/>
      </c>
      <c r="GQ970" s="245">
        <f>IF(GQ$2&lt;$K970,0,1)</f>
        <v/>
      </c>
      <c r="GR970" s="245" t="n"/>
      <c r="GS970" s="245" t="n"/>
      <c r="GT970" s="245" t="n"/>
      <c r="GU970" s="245" t="n"/>
      <c r="GV970" s="245" t="n"/>
      <c r="GW970" s="245" t="n"/>
      <c r="GX970" s="245" t="n"/>
      <c r="GY970" s="245" t="n"/>
      <c r="GZ970" s="245" t="n"/>
      <c r="HA970" s="245" t="n"/>
      <c r="HB970" s="245" t="n"/>
      <c r="HC970" s="245" t="n"/>
    </row>
    <row r="971" ht="12" customHeight="1" s="227">
      <c r="A971" s="244" t="n"/>
      <c r="B971" s="244" t="n"/>
      <c r="C971" s="244" t="n"/>
      <c r="H971" s="0" t="inlineStr">
        <is>
          <t>Maturity Year</t>
        </is>
      </c>
      <c r="I971" s="27" t="inlineStr">
        <is>
          <t>Date</t>
        </is>
      </c>
      <c r="K971" s="201">
        <f t="array" ref="K971">IFERROR(INDEX(i_Assumptions!$M$658:$M$660,MATCH(c_Calculations!G968,i_Assumptions!$H$658:$H$660,0),),"")</f>
        <v/>
      </c>
      <c r="T971" s="245">
        <f>IF(T$2&gt;$K971,0,1)</f>
        <v/>
      </c>
      <c r="U971" s="245">
        <f>IF(U$2&gt;$K971,0,1)</f>
        <v/>
      </c>
      <c r="V971" s="245">
        <f>IF(V$2&gt;$K971,0,1)</f>
        <v/>
      </c>
      <c r="W971" s="245">
        <f>IF(W$2&gt;$K971,0,1)</f>
        <v/>
      </c>
      <c r="X971" s="245">
        <f>IF(X$2&gt;$K971,0,1)</f>
        <v/>
      </c>
      <c r="Y971" s="245">
        <f>IF(Y$2&gt;$K971,0,1)</f>
        <v/>
      </c>
      <c r="Z971" s="245">
        <f>IF(Z$2&gt;$K971,0,1)</f>
        <v/>
      </c>
      <c r="AA971" s="245">
        <f>IF(AA$2&gt;$K971,0,1)</f>
        <v/>
      </c>
      <c r="AB971" s="245">
        <f>IF(AB$2&gt;$K971,0,1)</f>
        <v/>
      </c>
      <c r="AC971" s="245">
        <f>IF(AC$2&gt;$K971,0,1)</f>
        <v/>
      </c>
      <c r="AD971" s="245">
        <f>IF(AD$2&gt;$K971,0,1)</f>
        <v/>
      </c>
      <c r="AE971" s="245">
        <f>IF(AE$2&gt;$K971,0,1)</f>
        <v/>
      </c>
      <c r="AF971" s="245">
        <f>IF(AF$2&gt;$K971,0,1)</f>
        <v/>
      </c>
      <c r="AG971" s="245">
        <f>IF(AG$2&gt;$K971,0,1)</f>
        <v/>
      </c>
      <c r="AH971" s="245">
        <f>IF(AH$2&gt;$K971,0,1)</f>
        <v/>
      </c>
      <c r="AI971" s="245">
        <f>IF(AI$2&gt;$K971,0,1)</f>
        <v/>
      </c>
      <c r="AJ971" s="245">
        <f>IF(AJ$2&gt;$K971,0,1)</f>
        <v/>
      </c>
      <c r="AK971" s="245">
        <f>IF(AK$2&gt;$K971,0,1)</f>
        <v/>
      </c>
      <c r="AL971" s="245">
        <f>IF(AL$2&gt;$K971,0,1)</f>
        <v/>
      </c>
      <c r="AM971" s="245">
        <f>IF(AM$2&gt;$K971,0,1)</f>
        <v/>
      </c>
      <c r="AN971" s="245">
        <f>IF(AN$2&gt;$K971,0,1)</f>
        <v/>
      </c>
      <c r="AO971" s="245">
        <f>IF(AO$2&gt;$K971,0,1)</f>
        <v/>
      </c>
      <c r="AP971" s="245">
        <f>IF(AP$2&gt;$K971,0,1)</f>
        <v/>
      </c>
      <c r="AQ971" s="245">
        <f>IF(AQ$2&gt;$K971,0,1)</f>
        <v/>
      </c>
      <c r="AR971" s="245">
        <f>IF(AR$2&gt;$K971,0,1)</f>
        <v/>
      </c>
      <c r="AS971" s="245">
        <f>IF(AS$2&gt;$K971,0,1)</f>
        <v/>
      </c>
      <c r="AT971" s="245">
        <f>IF(AT$2&gt;$K971,0,1)</f>
        <v/>
      </c>
      <c r="AU971" s="245">
        <f>IF(AU$2&gt;$K971,0,1)</f>
        <v/>
      </c>
      <c r="AV971" s="245">
        <f>IF(AV$2&gt;$K971,0,1)</f>
        <v/>
      </c>
      <c r="AW971" s="245">
        <f>IF(AW$2&gt;$K971,0,1)</f>
        <v/>
      </c>
      <c r="AX971" s="245">
        <f>IF(AX$2&gt;$K971,0,1)</f>
        <v/>
      </c>
      <c r="AY971" s="245">
        <f>IF(AY$2&gt;$K971,0,1)</f>
        <v/>
      </c>
      <c r="AZ971" s="245">
        <f>IF(AZ$2&gt;$K971,0,1)</f>
        <v/>
      </c>
      <c r="BA971" s="245">
        <f>IF(BA$2&gt;$K971,0,1)</f>
        <v/>
      </c>
      <c r="BB971" s="245">
        <f>IF(BB$2&gt;$K971,0,1)</f>
        <v/>
      </c>
      <c r="BC971" s="245">
        <f>IF(BC$2&gt;$K971,0,1)</f>
        <v/>
      </c>
      <c r="BD971" s="245">
        <f>IF(BD$2&gt;$K971,0,1)</f>
        <v/>
      </c>
      <c r="BE971" s="245">
        <f>IF(BE$2&gt;$K971,0,1)</f>
        <v/>
      </c>
      <c r="BF971" s="245">
        <f>IF(BF$2&gt;$K971,0,1)</f>
        <v/>
      </c>
      <c r="BG971" s="245">
        <f>IF(BG$2&gt;$K971,0,1)</f>
        <v/>
      </c>
      <c r="BH971" s="245">
        <f>IF(BH$2&gt;$K971,0,1)</f>
        <v/>
      </c>
      <c r="BI971" s="245">
        <f>IF(BI$2&gt;$K971,0,1)</f>
        <v/>
      </c>
      <c r="BJ971" s="245">
        <f>IF(BJ$2&gt;$K971,0,1)</f>
        <v/>
      </c>
      <c r="BK971" s="245">
        <f>IF(BK$2&gt;$K971,0,1)</f>
        <v/>
      </c>
      <c r="BL971" s="245">
        <f>IF(BL$2&gt;$K971,0,1)</f>
        <v/>
      </c>
      <c r="BM971" s="245">
        <f>IF(BM$2&gt;$K971,0,1)</f>
        <v/>
      </c>
      <c r="BN971" s="245">
        <f>IF(BN$2&gt;$K971,0,1)</f>
        <v/>
      </c>
      <c r="BO971" s="245">
        <f>IF(BO$2&gt;$K971,0,1)</f>
        <v/>
      </c>
      <c r="BP971" s="245">
        <f>IF(BP$2&gt;$K971,0,1)</f>
        <v/>
      </c>
      <c r="BQ971" s="245">
        <f>IF(BQ$2&gt;$K971,0,1)</f>
        <v/>
      </c>
      <c r="BR971" s="245">
        <f>IF(BR$2&gt;$K971,0,1)</f>
        <v/>
      </c>
      <c r="BS971" s="245">
        <f>IF(BS$2&gt;$K971,0,1)</f>
        <v/>
      </c>
      <c r="BT971" s="245">
        <f>IF(BT$2&gt;$K971,0,1)</f>
        <v/>
      </c>
      <c r="BU971" s="245">
        <f>IF(BU$2&gt;$K971,0,1)</f>
        <v/>
      </c>
      <c r="BV971" s="245">
        <f>IF(BV$2&gt;$K971,0,1)</f>
        <v/>
      </c>
      <c r="BW971" s="245">
        <f>IF(BW$2&gt;$K971,0,1)</f>
        <v/>
      </c>
      <c r="BX971" s="245">
        <f>IF(BX$2&gt;$K971,0,1)</f>
        <v/>
      </c>
      <c r="BY971" s="245">
        <f>IF(BY$2&gt;$K971,0,1)</f>
        <v/>
      </c>
      <c r="BZ971" s="245">
        <f>IF(BZ$2&gt;$K971,0,1)</f>
        <v/>
      </c>
      <c r="CA971" s="245">
        <f>IF(CA$2&gt;$K971,0,1)</f>
        <v/>
      </c>
      <c r="CB971" s="245">
        <f>IF(CB$2&gt;$K971,0,1)</f>
        <v/>
      </c>
      <c r="CC971" s="245">
        <f>IF(CC$2&gt;$K971,0,1)</f>
        <v/>
      </c>
      <c r="CD971" s="245">
        <f>IF(CD$2&gt;$K971,0,1)</f>
        <v/>
      </c>
      <c r="CE971" s="245">
        <f>IF(CE$2&gt;$K971,0,1)</f>
        <v/>
      </c>
      <c r="CF971" s="245">
        <f>IF(CF$2&gt;$K971,0,1)</f>
        <v/>
      </c>
      <c r="CG971" s="245">
        <f>IF(CG$2&gt;$K971,0,1)</f>
        <v/>
      </c>
      <c r="CH971" s="245">
        <f>IF(CH$2&gt;$K971,0,1)</f>
        <v/>
      </c>
      <c r="CI971" s="245">
        <f>IF(CI$2&gt;$K971,0,1)</f>
        <v/>
      </c>
      <c r="CJ971" s="245">
        <f>IF(CJ$2&gt;$K971,0,1)</f>
        <v/>
      </c>
      <c r="CK971" s="245">
        <f>IF(CK$2&gt;$K971,0,1)</f>
        <v/>
      </c>
      <c r="CL971" s="245">
        <f>IF(CL$2&gt;$K971,0,1)</f>
        <v/>
      </c>
      <c r="CM971" s="245">
        <f>IF(CM$2&gt;$K971,0,1)</f>
        <v/>
      </c>
      <c r="CN971" s="245">
        <f>IF(CN$2&gt;$K971,0,1)</f>
        <v/>
      </c>
      <c r="CO971" s="245">
        <f>IF(CO$2&gt;$K971,0,1)</f>
        <v/>
      </c>
      <c r="CP971" s="245">
        <f>IF(CP$2&gt;$K971,0,1)</f>
        <v/>
      </c>
      <c r="CQ971" s="245">
        <f>IF(CQ$2&gt;$K971,0,1)</f>
        <v/>
      </c>
      <c r="CR971" s="245">
        <f>IF(CR$2&gt;$K971,0,1)</f>
        <v/>
      </c>
      <c r="CS971" s="245">
        <f>IF(CS$2&gt;$K971,0,1)</f>
        <v/>
      </c>
      <c r="CT971" s="245">
        <f>IF(CT$2&gt;$K971,0,1)</f>
        <v/>
      </c>
      <c r="CU971" s="245">
        <f>IF(CU$2&gt;$K971,0,1)</f>
        <v/>
      </c>
      <c r="CV971" s="245">
        <f>IF(CV$2&gt;$K971,0,1)</f>
        <v/>
      </c>
      <c r="CW971" s="245">
        <f>IF(CW$2&gt;$K971,0,1)</f>
        <v/>
      </c>
      <c r="CX971" s="245">
        <f>IF(CX$2&gt;$K971,0,1)</f>
        <v/>
      </c>
      <c r="CY971" s="245">
        <f>IF(CY$2&gt;$K971,0,1)</f>
        <v/>
      </c>
      <c r="CZ971" s="245">
        <f>IF(CZ$2&gt;$K971,0,1)</f>
        <v/>
      </c>
      <c r="DA971" s="245">
        <f>IF(DA$2&gt;$K971,0,1)</f>
        <v/>
      </c>
      <c r="DB971" s="245">
        <f>IF(DB$2&gt;$K971,0,1)</f>
        <v/>
      </c>
      <c r="DC971" s="245">
        <f>IF(DC$2&gt;$K971,0,1)</f>
        <v/>
      </c>
      <c r="DD971" s="245">
        <f>IF(DD$2&gt;$K971,0,1)</f>
        <v/>
      </c>
      <c r="DE971" s="245">
        <f>IF(DE$2&gt;$K971,0,1)</f>
        <v/>
      </c>
      <c r="DF971" s="245">
        <f>IF(DF$2&gt;$K971,0,1)</f>
        <v/>
      </c>
      <c r="DG971" s="245">
        <f>IF(DG$2&gt;$K971,0,1)</f>
        <v/>
      </c>
      <c r="DH971" s="245">
        <f>IF(DH$2&gt;$K971,0,1)</f>
        <v/>
      </c>
      <c r="DI971" s="245">
        <f>IF(DI$2&gt;$K971,0,1)</f>
        <v/>
      </c>
      <c r="DJ971" s="245">
        <f>IF(DJ$2&gt;$K971,0,1)</f>
        <v/>
      </c>
      <c r="DK971" s="245">
        <f>IF(DK$2&gt;$K971,0,1)</f>
        <v/>
      </c>
      <c r="DL971" s="245">
        <f>IF(DL$2&gt;$K971,0,1)</f>
        <v/>
      </c>
      <c r="DM971" s="245">
        <f>IF(DM$2&gt;$K971,0,1)</f>
        <v/>
      </c>
      <c r="DN971" s="245">
        <f>IF(DN$2&gt;$K971,0,1)</f>
        <v/>
      </c>
      <c r="DO971" s="245">
        <f>IF(DO$2&gt;$K971,0,1)</f>
        <v/>
      </c>
      <c r="DP971" s="245">
        <f>IF(DP$2&gt;$K971,0,1)</f>
        <v/>
      </c>
      <c r="DQ971" s="245">
        <f>IF(DQ$2&gt;$K971,0,1)</f>
        <v/>
      </c>
      <c r="DR971" s="245">
        <f>IF(DR$2&gt;$K971,0,1)</f>
        <v/>
      </c>
      <c r="DS971" s="245">
        <f>IF(DS$2&gt;$K971,0,1)</f>
        <v/>
      </c>
      <c r="DT971" s="245">
        <f>IF(DT$2&gt;$K971,0,1)</f>
        <v/>
      </c>
      <c r="DU971" s="245">
        <f>IF(DU$2&gt;$K971,0,1)</f>
        <v/>
      </c>
      <c r="DV971" s="245">
        <f>IF(DV$2&gt;$K971,0,1)</f>
        <v/>
      </c>
      <c r="DW971" s="245">
        <f>IF(DW$2&gt;$K971,0,1)</f>
        <v/>
      </c>
      <c r="DX971" s="245">
        <f>IF(DX$2&gt;$K971,0,1)</f>
        <v/>
      </c>
      <c r="DY971" s="245">
        <f>IF(DY$2&gt;$K971,0,1)</f>
        <v/>
      </c>
      <c r="DZ971" s="245">
        <f>IF(DZ$2&gt;$K971,0,1)</f>
        <v/>
      </c>
      <c r="EA971" s="245">
        <f>IF(EA$2&gt;$K971,0,1)</f>
        <v/>
      </c>
      <c r="EB971" s="245">
        <f>IF(EB$2&gt;$K971,0,1)</f>
        <v/>
      </c>
      <c r="EC971" s="245">
        <f>IF(EC$2&gt;$K971,0,1)</f>
        <v/>
      </c>
      <c r="ED971" s="245">
        <f>IF(ED$2&gt;$K971,0,1)</f>
        <v/>
      </c>
      <c r="EE971" s="245">
        <f>IF(EE$2&gt;$K971,0,1)</f>
        <v/>
      </c>
      <c r="EF971" s="245">
        <f>IF(EF$2&gt;$K971,0,1)</f>
        <v/>
      </c>
      <c r="EG971" s="245">
        <f>IF(EG$2&gt;$K971,0,1)</f>
        <v/>
      </c>
      <c r="EH971" s="245">
        <f>IF(EH$2&gt;$K971,0,1)</f>
        <v/>
      </c>
      <c r="EI971" s="245">
        <f>IF(EI$2&gt;$K971,0,1)</f>
        <v/>
      </c>
      <c r="EJ971" s="245">
        <f>IF(EJ$2&gt;$K971,0,1)</f>
        <v/>
      </c>
      <c r="EK971" s="245">
        <f>IF(EK$2&gt;$K971,0,1)</f>
        <v/>
      </c>
      <c r="EL971" s="245">
        <f>IF(EL$2&gt;$K971,0,1)</f>
        <v/>
      </c>
      <c r="EM971" s="245">
        <f>IF(EM$2&gt;$K971,0,1)</f>
        <v/>
      </c>
      <c r="EN971" s="245">
        <f>IF(EN$2&gt;$K971,0,1)</f>
        <v/>
      </c>
      <c r="EO971" s="245">
        <f>IF(EO$2&gt;$K971,0,1)</f>
        <v/>
      </c>
      <c r="EP971" s="245">
        <f>IF(EP$2&gt;$K971,0,1)</f>
        <v/>
      </c>
      <c r="EQ971" s="245">
        <f>IF(EQ$2&gt;$K971,0,1)</f>
        <v/>
      </c>
      <c r="ER971" s="245">
        <f>IF(ER$2&gt;$K971,0,1)</f>
        <v/>
      </c>
      <c r="ES971" s="245">
        <f>IF(ES$2&gt;$K971,0,1)</f>
        <v/>
      </c>
      <c r="ET971" s="245">
        <f>IF(ET$2&gt;$K971,0,1)</f>
        <v/>
      </c>
      <c r="EU971" s="245">
        <f>IF(EU$2&gt;$K971,0,1)</f>
        <v/>
      </c>
      <c r="EV971" s="245">
        <f>IF(EV$2&gt;$K971,0,1)</f>
        <v/>
      </c>
      <c r="EW971" s="245">
        <f>IF(EW$2&gt;$K971,0,1)</f>
        <v/>
      </c>
      <c r="EX971" s="245">
        <f>IF(EX$2&gt;$K971,0,1)</f>
        <v/>
      </c>
      <c r="EY971" s="245">
        <f>IF(EY$2&gt;$K971,0,1)</f>
        <v/>
      </c>
      <c r="EZ971" s="245">
        <f>IF(EZ$2&gt;$K971,0,1)</f>
        <v/>
      </c>
      <c r="FA971" s="245">
        <f>IF(FA$2&gt;$K971,0,1)</f>
        <v/>
      </c>
      <c r="FB971" s="245">
        <f>IF(FB$2&gt;$K971,0,1)</f>
        <v/>
      </c>
      <c r="FC971" s="245">
        <f>IF(FC$2&gt;$K971,0,1)</f>
        <v/>
      </c>
      <c r="FD971" s="245">
        <f>IF(FD$2&gt;$K971,0,1)</f>
        <v/>
      </c>
      <c r="FE971" s="245">
        <f>IF(FE$2&gt;$K971,0,1)</f>
        <v/>
      </c>
      <c r="FF971" s="245">
        <f>IF(FF$2&gt;$K971,0,1)</f>
        <v/>
      </c>
      <c r="FG971" s="245">
        <f>IF(FG$2&gt;$K971,0,1)</f>
        <v/>
      </c>
      <c r="FH971" s="245">
        <f>IF(FH$2&gt;$K971,0,1)</f>
        <v/>
      </c>
      <c r="FI971" s="245">
        <f>IF(FI$2&gt;$K971,0,1)</f>
        <v/>
      </c>
      <c r="FJ971" s="245">
        <f>IF(FJ$2&gt;$K971,0,1)</f>
        <v/>
      </c>
      <c r="FK971" s="245">
        <f>IF(FK$2&gt;$K971,0,1)</f>
        <v/>
      </c>
      <c r="FL971" s="245">
        <f>IF(FL$2&gt;$K971,0,1)</f>
        <v/>
      </c>
      <c r="FM971" s="245">
        <f>IF(FM$2&gt;$K971,0,1)</f>
        <v/>
      </c>
      <c r="FN971" s="245">
        <f>IF(FN$2&gt;$K971,0,1)</f>
        <v/>
      </c>
      <c r="FO971" s="245">
        <f>IF(FO$2&gt;$K971,0,1)</f>
        <v/>
      </c>
      <c r="FP971" s="245">
        <f>IF(FP$2&gt;$K971,0,1)</f>
        <v/>
      </c>
      <c r="FQ971" s="245">
        <f>IF(FQ$2&gt;$K971,0,1)</f>
        <v/>
      </c>
      <c r="FR971" s="245">
        <f>IF(FR$2&gt;$K971,0,1)</f>
        <v/>
      </c>
      <c r="FS971" s="245">
        <f>IF(FS$2&gt;$K971,0,1)</f>
        <v/>
      </c>
      <c r="FT971" s="245">
        <f>IF(FT$2&gt;$K971,0,1)</f>
        <v/>
      </c>
      <c r="FU971" s="245">
        <f>IF(FU$2&gt;$K971,0,1)</f>
        <v/>
      </c>
      <c r="FV971" s="245">
        <f>IF(FV$2&gt;$K971,0,1)</f>
        <v/>
      </c>
      <c r="FW971" s="245">
        <f>IF(FW$2&gt;$K971,0,1)</f>
        <v/>
      </c>
      <c r="FX971" s="245">
        <f>IF(FX$2&gt;$K971,0,1)</f>
        <v/>
      </c>
      <c r="FY971" s="245">
        <f>IF(FY$2&gt;$K971,0,1)</f>
        <v/>
      </c>
      <c r="FZ971" s="245">
        <f>IF(FZ$2&gt;$K971,0,1)</f>
        <v/>
      </c>
      <c r="GA971" s="245">
        <f>IF(GA$2&gt;$K971,0,1)</f>
        <v/>
      </c>
      <c r="GB971" s="245">
        <f>IF(GB$2&gt;$K971,0,1)</f>
        <v/>
      </c>
      <c r="GC971" s="245">
        <f>IF(GC$2&gt;$K971,0,1)</f>
        <v/>
      </c>
      <c r="GD971" s="245">
        <f>IF(GD$2&gt;$K971,0,1)</f>
        <v/>
      </c>
      <c r="GE971" s="245">
        <f>IF(GE$2&gt;$K971,0,1)</f>
        <v/>
      </c>
      <c r="GF971" s="245">
        <f>IF(GF$2&gt;$K971,0,1)</f>
        <v/>
      </c>
      <c r="GG971" s="245">
        <f>IF(GG$2&gt;$K971,0,1)</f>
        <v/>
      </c>
      <c r="GH971" s="245">
        <f>IF(GH$2&gt;$K971,0,1)</f>
        <v/>
      </c>
      <c r="GI971" s="245">
        <f>IF(GI$2&gt;$K971,0,1)</f>
        <v/>
      </c>
      <c r="GJ971" s="245">
        <f>IF(GJ$2&gt;$K971,0,1)</f>
        <v/>
      </c>
      <c r="GK971" s="245">
        <f>IF(GK$2&gt;$K971,0,1)</f>
        <v/>
      </c>
      <c r="GL971" s="245">
        <f>IF(GL$2&gt;$K971,0,1)</f>
        <v/>
      </c>
      <c r="GM971" s="245">
        <f>IF(GM$2&gt;$K971,0,1)</f>
        <v/>
      </c>
      <c r="GN971" s="245">
        <f>IF(GN$2&gt;$K971,0,1)</f>
        <v/>
      </c>
      <c r="GO971" s="245">
        <f>IF(GO$2&gt;$K971,0,1)</f>
        <v/>
      </c>
      <c r="GP971" s="245">
        <f>IF(GP$2&gt;$K971,0,1)</f>
        <v/>
      </c>
      <c r="GQ971" s="245">
        <f>IF(GQ$2&gt;$K971,0,1)</f>
        <v/>
      </c>
      <c r="GR971" s="245" t="n"/>
      <c r="GS971" s="245" t="n"/>
      <c r="GT971" s="245" t="n"/>
      <c r="GU971" s="245" t="n"/>
      <c r="GV971" s="245" t="n"/>
      <c r="GW971" s="245" t="n"/>
      <c r="GX971" s="245" t="n"/>
      <c r="GY971" s="245" t="n"/>
      <c r="GZ971" s="245" t="n"/>
      <c r="HA971" s="245" t="n"/>
      <c r="HB971" s="245" t="n"/>
      <c r="HC971" s="245" t="n"/>
    </row>
    <row r="972" ht="12" customHeight="1" s="227">
      <c r="A972" s="244" t="n"/>
      <c r="B972" s="244" t="n"/>
      <c r="C972" s="244" t="n"/>
      <c r="H972" s="0" t="inlineStr">
        <is>
          <t>Combined Flag</t>
        </is>
      </c>
      <c r="I972" s="27" t="inlineStr">
        <is>
          <t>No</t>
        </is>
      </c>
      <c r="T972" s="245">
        <f>MIN(T970:T971)</f>
        <v/>
      </c>
      <c r="U972" s="245">
        <f>MIN(U970:U971)</f>
        <v/>
      </c>
      <c r="V972" s="245">
        <f>MIN(V970:V971)</f>
        <v/>
      </c>
      <c r="W972" s="245">
        <f>MIN(W970:W971)</f>
        <v/>
      </c>
      <c r="X972" s="245">
        <f>MIN(X970:X971)</f>
        <v/>
      </c>
      <c r="Y972" s="245">
        <f>MIN(Y970:Y971)</f>
        <v/>
      </c>
      <c r="Z972" s="245">
        <f>MIN(Z970:Z971)</f>
        <v/>
      </c>
      <c r="AA972" s="245">
        <f>MIN(AA970:AA971)</f>
        <v/>
      </c>
      <c r="AB972" s="245">
        <f>MIN(AB970:AB971)</f>
        <v/>
      </c>
      <c r="AC972" s="245">
        <f>MIN(AC970:AC971)</f>
        <v/>
      </c>
      <c r="AD972" s="245">
        <f>MIN(AD970:AD971)</f>
        <v/>
      </c>
      <c r="AE972" s="245">
        <f>MIN(AE970:AE971)</f>
        <v/>
      </c>
      <c r="AF972" s="245">
        <f>MIN(AF970:AF971)</f>
        <v/>
      </c>
      <c r="AG972" s="245">
        <f>MIN(AG970:AG971)</f>
        <v/>
      </c>
      <c r="AH972" s="245">
        <f>MIN(AH970:AH971)</f>
        <v/>
      </c>
      <c r="AI972" s="245">
        <f>MIN(AI970:AI971)</f>
        <v/>
      </c>
      <c r="AJ972" s="245">
        <f>MIN(AJ970:AJ971)</f>
        <v/>
      </c>
      <c r="AK972" s="245">
        <f>MIN(AK970:AK971)</f>
        <v/>
      </c>
      <c r="AL972" s="245">
        <f>MIN(AL970:AL971)</f>
        <v/>
      </c>
      <c r="AM972" s="245">
        <f>MIN(AM970:AM971)</f>
        <v/>
      </c>
      <c r="AN972" s="245">
        <f>MIN(AN970:AN971)</f>
        <v/>
      </c>
      <c r="AO972" s="245">
        <f>MIN(AO970:AO971)</f>
        <v/>
      </c>
      <c r="AP972" s="245">
        <f>MIN(AP970:AP971)</f>
        <v/>
      </c>
      <c r="AQ972" s="245">
        <f>MIN(AQ970:AQ971)</f>
        <v/>
      </c>
      <c r="AR972" s="245">
        <f>MIN(AR970:AR971)</f>
        <v/>
      </c>
      <c r="AS972" s="245">
        <f>MIN(AS970:AS971)</f>
        <v/>
      </c>
      <c r="AT972" s="245">
        <f>MIN(AT970:AT971)</f>
        <v/>
      </c>
      <c r="AU972" s="245">
        <f>MIN(AU970:AU971)</f>
        <v/>
      </c>
      <c r="AV972" s="245">
        <f>MIN(AV970:AV971)</f>
        <v/>
      </c>
      <c r="AW972" s="245">
        <f>MIN(AW970:AW971)</f>
        <v/>
      </c>
      <c r="AX972" s="245">
        <f>MIN(AX970:AX971)</f>
        <v/>
      </c>
      <c r="AY972" s="245">
        <f>MIN(AY970:AY971)</f>
        <v/>
      </c>
      <c r="AZ972" s="245">
        <f>MIN(AZ970:AZ971)</f>
        <v/>
      </c>
      <c r="BA972" s="245">
        <f>MIN(BA970:BA971)</f>
        <v/>
      </c>
      <c r="BB972" s="245">
        <f>MIN(BB970:BB971)</f>
        <v/>
      </c>
      <c r="BC972" s="245">
        <f>MIN(BC970:BC971)</f>
        <v/>
      </c>
      <c r="BD972" s="245">
        <f>MIN(BD970:BD971)</f>
        <v/>
      </c>
      <c r="BE972" s="245">
        <f>MIN(BE970:BE971)</f>
        <v/>
      </c>
      <c r="BF972" s="245">
        <f>MIN(BF970:BF971)</f>
        <v/>
      </c>
      <c r="BG972" s="245">
        <f>MIN(BG970:BG971)</f>
        <v/>
      </c>
      <c r="BH972" s="245">
        <f>MIN(BH970:BH971)</f>
        <v/>
      </c>
      <c r="BI972" s="245">
        <f>MIN(BI970:BI971)</f>
        <v/>
      </c>
      <c r="BJ972" s="245">
        <f>MIN(BJ970:BJ971)</f>
        <v/>
      </c>
      <c r="BK972" s="245">
        <f>MIN(BK970:BK971)</f>
        <v/>
      </c>
      <c r="BL972" s="245">
        <f>MIN(BL970:BL971)</f>
        <v/>
      </c>
      <c r="BM972" s="245">
        <f>MIN(BM970:BM971)</f>
        <v/>
      </c>
      <c r="BN972" s="245">
        <f>MIN(BN970:BN971)</f>
        <v/>
      </c>
      <c r="BO972" s="245">
        <f>MIN(BO970:BO971)</f>
        <v/>
      </c>
      <c r="BP972" s="245">
        <f>MIN(BP970:BP971)</f>
        <v/>
      </c>
      <c r="BQ972" s="245">
        <f>MIN(BQ970:BQ971)</f>
        <v/>
      </c>
      <c r="BR972" s="245">
        <f>MIN(BR970:BR971)</f>
        <v/>
      </c>
      <c r="BS972" s="245">
        <f>MIN(BS970:BS971)</f>
        <v/>
      </c>
      <c r="BT972" s="245">
        <f>MIN(BT970:BT971)</f>
        <v/>
      </c>
      <c r="BU972" s="245">
        <f>MIN(BU970:BU971)</f>
        <v/>
      </c>
      <c r="BV972" s="245">
        <f>MIN(BV970:BV971)</f>
        <v/>
      </c>
      <c r="BW972" s="245">
        <f>MIN(BW970:BW971)</f>
        <v/>
      </c>
      <c r="BX972" s="245">
        <f>MIN(BX970:BX971)</f>
        <v/>
      </c>
      <c r="BY972" s="245">
        <f>MIN(BY970:BY971)</f>
        <v/>
      </c>
      <c r="BZ972" s="245">
        <f>MIN(BZ970:BZ971)</f>
        <v/>
      </c>
      <c r="CA972" s="245">
        <f>MIN(CA970:CA971)</f>
        <v/>
      </c>
      <c r="CB972" s="245">
        <f>MIN(CB970:CB971)</f>
        <v/>
      </c>
      <c r="CC972" s="245">
        <f>MIN(CC970:CC971)</f>
        <v/>
      </c>
      <c r="CD972" s="245">
        <f>MIN(CD970:CD971)</f>
        <v/>
      </c>
      <c r="CE972" s="245">
        <f>MIN(CE970:CE971)</f>
        <v/>
      </c>
      <c r="CF972" s="245">
        <f>MIN(CF970:CF971)</f>
        <v/>
      </c>
      <c r="CG972" s="245">
        <f>MIN(CG970:CG971)</f>
        <v/>
      </c>
      <c r="CH972" s="245">
        <f>MIN(CH970:CH971)</f>
        <v/>
      </c>
      <c r="CI972" s="245">
        <f>MIN(CI970:CI971)</f>
        <v/>
      </c>
      <c r="CJ972" s="245">
        <f>MIN(CJ970:CJ971)</f>
        <v/>
      </c>
      <c r="CK972" s="245">
        <f>MIN(CK970:CK971)</f>
        <v/>
      </c>
      <c r="CL972" s="245">
        <f>MIN(CL970:CL971)</f>
        <v/>
      </c>
      <c r="CM972" s="245">
        <f>MIN(CM970:CM971)</f>
        <v/>
      </c>
      <c r="CN972" s="245">
        <f>MIN(CN970:CN971)</f>
        <v/>
      </c>
      <c r="CO972" s="245">
        <f>MIN(CO970:CO971)</f>
        <v/>
      </c>
      <c r="CP972" s="245">
        <f>MIN(CP970:CP971)</f>
        <v/>
      </c>
      <c r="CQ972" s="245">
        <f>MIN(CQ970:CQ971)</f>
        <v/>
      </c>
      <c r="CR972" s="245">
        <f>MIN(CR970:CR971)</f>
        <v/>
      </c>
      <c r="CS972" s="245">
        <f>MIN(CS970:CS971)</f>
        <v/>
      </c>
      <c r="CT972" s="245">
        <f>MIN(CT970:CT971)</f>
        <v/>
      </c>
      <c r="CU972" s="245">
        <f>MIN(CU970:CU971)</f>
        <v/>
      </c>
      <c r="CV972" s="245">
        <f>MIN(CV970:CV971)</f>
        <v/>
      </c>
      <c r="CW972" s="245">
        <f>MIN(CW970:CW971)</f>
        <v/>
      </c>
      <c r="CX972" s="245">
        <f>MIN(CX970:CX971)</f>
        <v/>
      </c>
      <c r="CY972" s="245">
        <f>MIN(CY970:CY971)</f>
        <v/>
      </c>
      <c r="CZ972" s="245">
        <f>MIN(CZ970:CZ971)</f>
        <v/>
      </c>
      <c r="DA972" s="245">
        <f>MIN(DA970:DA971)</f>
        <v/>
      </c>
      <c r="DB972" s="245">
        <f>MIN(DB970:DB971)</f>
        <v/>
      </c>
      <c r="DC972" s="245">
        <f>MIN(DC970:DC971)</f>
        <v/>
      </c>
      <c r="DD972" s="245">
        <f>MIN(DD970:DD971)</f>
        <v/>
      </c>
      <c r="DE972" s="245">
        <f>MIN(DE970:DE971)</f>
        <v/>
      </c>
      <c r="DF972" s="245">
        <f>MIN(DF970:DF971)</f>
        <v/>
      </c>
      <c r="DG972" s="245">
        <f>MIN(DG970:DG971)</f>
        <v/>
      </c>
      <c r="DH972" s="245">
        <f>MIN(DH970:DH971)</f>
        <v/>
      </c>
      <c r="DI972" s="245">
        <f>MIN(DI970:DI971)</f>
        <v/>
      </c>
      <c r="DJ972" s="245">
        <f>MIN(DJ970:DJ971)</f>
        <v/>
      </c>
      <c r="DK972" s="245">
        <f>MIN(DK970:DK971)</f>
        <v/>
      </c>
      <c r="DL972" s="245">
        <f>MIN(DL970:DL971)</f>
        <v/>
      </c>
      <c r="DM972" s="245">
        <f>MIN(DM970:DM971)</f>
        <v/>
      </c>
      <c r="DN972" s="245">
        <f>MIN(DN970:DN971)</f>
        <v/>
      </c>
      <c r="DO972" s="245">
        <f>MIN(DO970:DO971)</f>
        <v/>
      </c>
      <c r="DP972" s="245">
        <f>MIN(DP970:DP971)</f>
        <v/>
      </c>
      <c r="DQ972" s="245">
        <f>MIN(DQ970:DQ971)</f>
        <v/>
      </c>
      <c r="DR972" s="245">
        <f>MIN(DR970:DR971)</f>
        <v/>
      </c>
      <c r="DS972" s="245">
        <f>MIN(DS970:DS971)</f>
        <v/>
      </c>
      <c r="DT972" s="245">
        <f>MIN(DT970:DT971)</f>
        <v/>
      </c>
      <c r="DU972" s="245">
        <f>MIN(DU970:DU971)</f>
        <v/>
      </c>
      <c r="DV972" s="245">
        <f>MIN(DV970:DV971)</f>
        <v/>
      </c>
      <c r="DW972" s="245">
        <f>MIN(DW970:DW971)</f>
        <v/>
      </c>
      <c r="DX972" s="245">
        <f>MIN(DX970:DX971)</f>
        <v/>
      </c>
      <c r="DY972" s="245">
        <f>MIN(DY970:DY971)</f>
        <v/>
      </c>
      <c r="DZ972" s="245">
        <f>MIN(DZ970:DZ971)</f>
        <v/>
      </c>
      <c r="EA972" s="245">
        <f>MIN(EA970:EA971)</f>
        <v/>
      </c>
      <c r="EB972" s="245">
        <f>MIN(EB970:EB971)</f>
        <v/>
      </c>
      <c r="EC972" s="245">
        <f>MIN(EC970:EC971)</f>
        <v/>
      </c>
      <c r="ED972" s="245">
        <f>MIN(ED970:ED971)</f>
        <v/>
      </c>
      <c r="EE972" s="245">
        <f>MIN(EE970:EE971)</f>
        <v/>
      </c>
      <c r="EF972" s="245">
        <f>MIN(EF970:EF971)</f>
        <v/>
      </c>
      <c r="EG972" s="245">
        <f>MIN(EG970:EG971)</f>
        <v/>
      </c>
      <c r="EH972" s="245">
        <f>MIN(EH970:EH971)</f>
        <v/>
      </c>
      <c r="EI972" s="245">
        <f>MIN(EI970:EI971)</f>
        <v/>
      </c>
      <c r="EJ972" s="245">
        <f>MIN(EJ970:EJ971)</f>
        <v/>
      </c>
      <c r="EK972" s="245">
        <f>MIN(EK970:EK971)</f>
        <v/>
      </c>
      <c r="EL972" s="245">
        <f>MIN(EL970:EL971)</f>
        <v/>
      </c>
      <c r="EM972" s="245">
        <f>MIN(EM970:EM971)</f>
        <v/>
      </c>
      <c r="EN972" s="245">
        <f>MIN(EN970:EN971)</f>
        <v/>
      </c>
      <c r="EO972" s="245">
        <f>MIN(EO970:EO971)</f>
        <v/>
      </c>
      <c r="EP972" s="245">
        <f>MIN(EP970:EP971)</f>
        <v/>
      </c>
      <c r="EQ972" s="245">
        <f>MIN(EQ970:EQ971)</f>
        <v/>
      </c>
      <c r="ER972" s="245">
        <f>MIN(ER970:ER971)</f>
        <v/>
      </c>
      <c r="ES972" s="245">
        <f>MIN(ES970:ES971)</f>
        <v/>
      </c>
      <c r="ET972" s="245">
        <f>MIN(ET970:ET971)</f>
        <v/>
      </c>
      <c r="EU972" s="245">
        <f>MIN(EU970:EU971)</f>
        <v/>
      </c>
      <c r="EV972" s="245">
        <f>MIN(EV970:EV971)</f>
        <v/>
      </c>
      <c r="EW972" s="245">
        <f>MIN(EW970:EW971)</f>
        <v/>
      </c>
      <c r="EX972" s="245">
        <f>MIN(EX970:EX971)</f>
        <v/>
      </c>
      <c r="EY972" s="245">
        <f>MIN(EY970:EY971)</f>
        <v/>
      </c>
      <c r="EZ972" s="245">
        <f>MIN(EZ970:EZ971)</f>
        <v/>
      </c>
      <c r="FA972" s="245">
        <f>MIN(FA970:FA971)</f>
        <v/>
      </c>
      <c r="FB972" s="245">
        <f>MIN(FB970:FB971)</f>
        <v/>
      </c>
      <c r="FC972" s="245">
        <f>MIN(FC970:FC971)</f>
        <v/>
      </c>
      <c r="FD972" s="245">
        <f>MIN(FD970:FD971)</f>
        <v/>
      </c>
      <c r="FE972" s="245">
        <f>MIN(FE970:FE971)</f>
        <v/>
      </c>
      <c r="FF972" s="245">
        <f>MIN(FF970:FF971)</f>
        <v/>
      </c>
      <c r="FG972" s="245">
        <f>MIN(FG970:FG971)</f>
        <v/>
      </c>
      <c r="FH972" s="245">
        <f>MIN(FH970:FH971)</f>
        <v/>
      </c>
      <c r="FI972" s="245">
        <f>MIN(FI970:FI971)</f>
        <v/>
      </c>
      <c r="FJ972" s="245">
        <f>MIN(FJ970:FJ971)</f>
        <v/>
      </c>
      <c r="FK972" s="245">
        <f>MIN(FK970:FK971)</f>
        <v/>
      </c>
      <c r="FL972" s="245">
        <f>MIN(FL970:FL971)</f>
        <v/>
      </c>
      <c r="FM972" s="245">
        <f>MIN(FM970:FM971)</f>
        <v/>
      </c>
      <c r="FN972" s="245">
        <f>MIN(FN970:FN971)</f>
        <v/>
      </c>
      <c r="FO972" s="245">
        <f>MIN(FO970:FO971)</f>
        <v/>
      </c>
      <c r="FP972" s="245">
        <f>MIN(FP970:FP971)</f>
        <v/>
      </c>
      <c r="FQ972" s="245">
        <f>MIN(FQ970:FQ971)</f>
        <v/>
      </c>
      <c r="FR972" s="245">
        <f>MIN(FR970:FR971)</f>
        <v/>
      </c>
      <c r="FS972" s="245">
        <f>MIN(FS970:FS971)</f>
        <v/>
      </c>
      <c r="FT972" s="245">
        <f>MIN(FT970:FT971)</f>
        <v/>
      </c>
      <c r="FU972" s="245">
        <f>MIN(FU970:FU971)</f>
        <v/>
      </c>
      <c r="FV972" s="245">
        <f>MIN(FV970:FV971)</f>
        <v/>
      </c>
      <c r="FW972" s="245">
        <f>MIN(FW970:FW971)</f>
        <v/>
      </c>
      <c r="FX972" s="245">
        <f>MIN(FX970:FX971)</f>
        <v/>
      </c>
      <c r="FY972" s="245">
        <f>MIN(FY970:FY971)</f>
        <v/>
      </c>
      <c r="FZ972" s="245">
        <f>MIN(FZ970:FZ971)</f>
        <v/>
      </c>
      <c r="GA972" s="245">
        <f>MIN(GA970:GA971)</f>
        <v/>
      </c>
      <c r="GB972" s="245">
        <f>MIN(GB970:GB971)</f>
        <v/>
      </c>
      <c r="GC972" s="245">
        <f>MIN(GC970:GC971)</f>
        <v/>
      </c>
      <c r="GD972" s="245">
        <f>MIN(GD970:GD971)</f>
        <v/>
      </c>
      <c r="GE972" s="245">
        <f>MIN(GE970:GE971)</f>
        <v/>
      </c>
      <c r="GF972" s="245">
        <f>MIN(GF970:GF971)</f>
        <v/>
      </c>
      <c r="GG972" s="245">
        <f>MIN(GG970:GG971)</f>
        <v/>
      </c>
      <c r="GH972" s="245">
        <f>MIN(GH970:GH971)</f>
        <v/>
      </c>
      <c r="GI972" s="245">
        <f>MIN(GI970:GI971)</f>
        <v/>
      </c>
      <c r="GJ972" s="245">
        <f>MIN(GJ970:GJ971)</f>
        <v/>
      </c>
      <c r="GK972" s="245">
        <f>MIN(GK970:GK971)</f>
        <v/>
      </c>
      <c r="GL972" s="245">
        <f>MIN(GL970:GL971)</f>
        <v/>
      </c>
      <c r="GM972" s="245">
        <f>MIN(GM970:GM971)</f>
        <v/>
      </c>
      <c r="GN972" s="245">
        <f>MIN(GN970:GN971)</f>
        <v/>
      </c>
      <c r="GO972" s="245">
        <f>MIN(GO970:GO971)</f>
        <v/>
      </c>
      <c r="GP972" s="245">
        <f>MIN(GP970:GP971)</f>
        <v/>
      </c>
      <c r="GQ972" s="245">
        <f>MIN(GQ970:GQ971)</f>
        <v/>
      </c>
      <c r="GR972" s="245" t="n"/>
      <c r="GS972" s="245" t="n"/>
      <c r="GT972" s="245" t="n"/>
      <c r="GU972" s="245" t="n"/>
      <c r="GV972" s="245" t="n"/>
      <c r="GW972" s="245" t="n"/>
      <c r="GX972" s="245" t="n"/>
      <c r="GY972" s="245" t="n"/>
      <c r="GZ972" s="245" t="n"/>
      <c r="HA972" s="245" t="n"/>
      <c r="HB972" s="245" t="n"/>
      <c r="HC972" s="245" t="n"/>
    </row>
    <row r="973" ht="12" customHeight="1" s="227">
      <c r="A973" s="244" t="n"/>
      <c r="B973" s="244" t="n"/>
      <c r="C973" s="244" t="n"/>
      <c r="H973" s="0" t="n"/>
      <c r="I973" s="27" t="n"/>
      <c r="T973" s="245" t="n"/>
      <c r="U973" s="245" t="n"/>
      <c r="V973" s="245" t="n"/>
      <c r="W973" s="245" t="n"/>
      <c r="X973" s="245" t="n"/>
      <c r="Y973" s="245" t="n"/>
      <c r="Z973" s="245" t="n"/>
      <c r="AA973" s="245" t="n"/>
      <c r="AB973" s="245" t="n"/>
      <c r="AC973" s="245" t="n"/>
      <c r="AD973" s="245" t="n"/>
      <c r="AE973" s="245" t="n"/>
      <c r="AF973" s="245" t="n"/>
      <c r="AG973" s="245" t="n"/>
      <c r="AH973" s="245" t="n"/>
      <c r="AI973" s="245" t="n"/>
      <c r="AJ973" s="245" t="n"/>
      <c r="AK973" s="245" t="n"/>
      <c r="AL973" s="245" t="n"/>
      <c r="AM973" s="245" t="n"/>
      <c r="AN973" s="245" t="n"/>
      <c r="AO973" s="245" t="n"/>
      <c r="AP973" s="245" t="n"/>
      <c r="AQ973" s="245" t="n"/>
      <c r="AR973" s="245" t="n"/>
      <c r="AS973" s="245" t="n"/>
      <c r="AT973" s="245" t="n"/>
      <c r="AU973" s="245" t="n"/>
      <c r="AV973" s="245" t="n"/>
      <c r="AW973" s="245" t="n"/>
      <c r="AX973" s="245" t="n"/>
      <c r="AY973" s="245" t="n"/>
      <c r="AZ973" s="245" t="n"/>
      <c r="BA973" s="245" t="n"/>
      <c r="BB973" s="245" t="n"/>
      <c r="BC973" s="245" t="n"/>
      <c r="BD973" s="245" t="n"/>
      <c r="BE973" s="245" t="n"/>
      <c r="BF973" s="245" t="n"/>
      <c r="BG973" s="245" t="n"/>
      <c r="BH973" s="245" t="n"/>
      <c r="BI973" s="245" t="n"/>
      <c r="BJ973" s="245" t="n"/>
      <c r="BK973" s="245" t="n"/>
      <c r="BL973" s="245" t="n"/>
      <c r="BM973" s="245" t="n"/>
      <c r="BN973" s="245" t="n"/>
      <c r="BO973" s="245" t="n"/>
      <c r="BP973" s="245" t="n"/>
      <c r="BQ973" s="245" t="n"/>
      <c r="BR973" s="245" t="n"/>
      <c r="BS973" s="245" t="n"/>
      <c r="BT973" s="245" t="n"/>
      <c r="BU973" s="245" t="n"/>
      <c r="BV973" s="245" t="n"/>
      <c r="BW973" s="245" t="n"/>
      <c r="BX973" s="245" t="n"/>
      <c r="BY973" s="245" t="n"/>
      <c r="BZ973" s="245" t="n"/>
      <c r="CA973" s="245" t="n"/>
    </row>
    <row r="974" ht="12" customHeight="1" s="227">
      <c r="A974" s="244" t="n"/>
      <c r="B974" s="244" t="n"/>
      <c r="C974" s="244" t="n"/>
      <c r="I974" s="202" t="n"/>
      <c r="K974" s="6" t="n"/>
    </row>
    <row r="975" ht="12" customHeight="1" s="227">
      <c r="A975" s="244" t="n"/>
      <c r="B975" s="244" t="n"/>
      <c r="C975" s="244" t="n"/>
      <c r="H975" s="0" t="inlineStr">
        <is>
          <t>Interest Rate</t>
        </is>
      </c>
      <c r="I975" s="27" t="inlineStr">
        <is>
          <t>%</t>
        </is>
      </c>
      <c r="K975" s="273">
        <f>(1+INDEX(i_Assumptions!$N$658:$N$660,MATCH(c_Calculations!G968,i_Assumptions!$H$658:$H$660,0),))^(1/12)-1</f>
        <v/>
      </c>
      <c r="T975" s="274">
        <f>IF(T972=0,0,$K975)</f>
        <v/>
      </c>
      <c r="U975" s="274">
        <f>IF(U972=0,0,$K975)</f>
        <v/>
      </c>
      <c r="V975" s="274">
        <f>IF(V972=0,0,$K975)</f>
        <v/>
      </c>
      <c r="W975" s="274">
        <f>IF(W972=0,0,$K975)</f>
        <v/>
      </c>
      <c r="X975" s="274">
        <f>IF(X972=0,0,$K975)</f>
        <v/>
      </c>
      <c r="Y975" s="274">
        <f>IF(Y972=0,0,$K975)</f>
        <v/>
      </c>
      <c r="Z975" s="274">
        <f>IF(Z972=0,0,$K975)</f>
        <v/>
      </c>
      <c r="AA975" s="274">
        <f>IF(AA972=0,0,$K975)</f>
        <v/>
      </c>
      <c r="AB975" s="274">
        <f>IF(AB972=0,0,$K975)</f>
        <v/>
      </c>
      <c r="AC975" s="274">
        <f>IF(AC972=0,0,$K975)</f>
        <v/>
      </c>
      <c r="AD975" s="274">
        <f>IF(AD972=0,0,$K975)</f>
        <v/>
      </c>
      <c r="AE975" s="274">
        <f>IF(AE972=0,0,$K975)</f>
        <v/>
      </c>
      <c r="AF975" s="274">
        <f>IF(AF972=0,0,$K975)</f>
        <v/>
      </c>
      <c r="AG975" s="274">
        <f>IF(AG972=0,0,$K975)</f>
        <v/>
      </c>
      <c r="AH975" s="274">
        <f>IF(AH972=0,0,$K975)</f>
        <v/>
      </c>
      <c r="AI975" s="274">
        <f>IF(AI972=0,0,$K975)</f>
        <v/>
      </c>
      <c r="AJ975" s="274">
        <f>IF(AJ972=0,0,$K975)</f>
        <v/>
      </c>
      <c r="AK975" s="274">
        <f>IF(AK972=0,0,$K975)</f>
        <v/>
      </c>
      <c r="AL975" s="274">
        <f>IF(AL972=0,0,$K975)</f>
        <v/>
      </c>
      <c r="AM975" s="274">
        <f>IF(AM972=0,0,$K975)</f>
        <v/>
      </c>
      <c r="AN975" s="274">
        <f>IF(AN972=0,0,$K975)</f>
        <v/>
      </c>
      <c r="AO975" s="274">
        <f>IF(AO972=0,0,$K975)</f>
        <v/>
      </c>
      <c r="AP975" s="274">
        <f>IF(AP972=0,0,$K975)</f>
        <v/>
      </c>
      <c r="AQ975" s="274">
        <f>IF(AQ972=0,0,$K975)</f>
        <v/>
      </c>
      <c r="AR975" s="274">
        <f>IF(AR972=0,0,$K975)</f>
        <v/>
      </c>
      <c r="AS975" s="274">
        <f>IF(AS972=0,0,$K975)</f>
        <v/>
      </c>
      <c r="AT975" s="274">
        <f>IF(AT972=0,0,$K975)</f>
        <v/>
      </c>
      <c r="AU975" s="274">
        <f>IF(AU972=0,0,$K975)</f>
        <v/>
      </c>
      <c r="AV975" s="274">
        <f>IF(AV972=0,0,$K975)</f>
        <v/>
      </c>
      <c r="AW975" s="274">
        <f>IF(AW972=0,0,$K975)</f>
        <v/>
      </c>
      <c r="AX975" s="274">
        <f>IF(AX972=0,0,$K975)</f>
        <v/>
      </c>
      <c r="AY975" s="274">
        <f>IF(AY972=0,0,$K975)</f>
        <v/>
      </c>
      <c r="AZ975" s="274">
        <f>IF(AZ972=0,0,$K975)</f>
        <v/>
      </c>
      <c r="BA975" s="274">
        <f>IF(BA972=0,0,$K975)</f>
        <v/>
      </c>
      <c r="BB975" s="274">
        <f>IF(BB972=0,0,$K975)</f>
        <v/>
      </c>
      <c r="BC975" s="274">
        <f>IF(BC972=0,0,$K975)</f>
        <v/>
      </c>
      <c r="BD975" s="274">
        <f>IF(BD972=0,0,$K975)</f>
        <v/>
      </c>
      <c r="BE975" s="274">
        <f>IF(BE972=0,0,$K975)</f>
        <v/>
      </c>
      <c r="BF975" s="274">
        <f>IF(BF972=0,0,$K975)</f>
        <v/>
      </c>
      <c r="BG975" s="274">
        <f>IF(BG972=0,0,$K975)</f>
        <v/>
      </c>
      <c r="BH975" s="274">
        <f>IF(BH972=0,0,$K975)</f>
        <v/>
      </c>
      <c r="BI975" s="274">
        <f>IF(BI972=0,0,$K975)</f>
        <v/>
      </c>
      <c r="BJ975" s="274">
        <f>IF(BJ972=0,0,$K975)</f>
        <v/>
      </c>
      <c r="BK975" s="274">
        <f>IF(BK972=0,0,$K975)</f>
        <v/>
      </c>
      <c r="BL975" s="274">
        <f>IF(BL972=0,0,$K975)</f>
        <v/>
      </c>
      <c r="BM975" s="274">
        <f>IF(BM972=0,0,$K975)</f>
        <v/>
      </c>
      <c r="BN975" s="274">
        <f>IF(BN972=0,0,$K975)</f>
        <v/>
      </c>
      <c r="BO975" s="274">
        <f>IF(BO972=0,0,$K975)</f>
        <v/>
      </c>
      <c r="BP975" s="274">
        <f>IF(BP972=0,0,$K975)</f>
        <v/>
      </c>
      <c r="BQ975" s="274">
        <f>IF(BQ972=0,0,$K975)</f>
        <v/>
      </c>
      <c r="BR975" s="274">
        <f>IF(BR972=0,0,$K975)</f>
        <v/>
      </c>
      <c r="BS975" s="274">
        <f>IF(BS972=0,0,$K975)</f>
        <v/>
      </c>
      <c r="BT975" s="274">
        <f>IF(BT972=0,0,$K975)</f>
        <v/>
      </c>
      <c r="BU975" s="274">
        <f>IF(BU972=0,0,$K975)</f>
        <v/>
      </c>
      <c r="BV975" s="274">
        <f>IF(BV972=0,0,$K975)</f>
        <v/>
      </c>
      <c r="BW975" s="274">
        <f>IF(BW972=0,0,$K975)</f>
        <v/>
      </c>
      <c r="BX975" s="274">
        <f>IF(BX972=0,0,$K975)</f>
        <v/>
      </c>
      <c r="BY975" s="274">
        <f>IF(BY972=0,0,$K975)</f>
        <v/>
      </c>
      <c r="BZ975" s="274">
        <f>IF(BZ972=0,0,$K975)</f>
        <v/>
      </c>
      <c r="CA975" s="274">
        <f>IF(CA972=0,0,$K975)</f>
        <v/>
      </c>
    </row>
    <row r="976" ht="12" customHeight="1" s="227">
      <c r="A976" s="244" t="n"/>
      <c r="B976" s="244" t="n"/>
      <c r="C976" s="244" t="n"/>
      <c r="K976" s="6" t="n"/>
    </row>
    <row r="977" ht="12" customHeight="1" s="227">
      <c r="A977" s="244" t="n"/>
      <c r="B977" s="244" t="n"/>
      <c r="C977" s="244" t="n"/>
      <c r="H977" s="0" t="inlineStr">
        <is>
          <t>NPER</t>
        </is>
      </c>
      <c r="I977" s="27" t="inlineStr">
        <is>
          <t>No</t>
        </is>
      </c>
      <c r="K977" s="6" t="n"/>
      <c r="T977" s="270">
        <f>IF(T972=0,0,SUM(T972:$GQ972))</f>
        <v/>
      </c>
      <c r="U977" s="270">
        <f>IF(U972=0,0,SUM(U972:$GQ972))</f>
        <v/>
      </c>
      <c r="V977" s="270">
        <f>IF(V972=0,0,SUM(V972:$GQ972))</f>
        <v/>
      </c>
      <c r="W977" s="270">
        <f>IF(W972=0,0,SUM(W972:$GQ972))</f>
        <v/>
      </c>
      <c r="X977" s="270">
        <f>IF(X972=0,0,SUM(X972:$GQ972))</f>
        <v/>
      </c>
      <c r="Y977" s="270">
        <f>IF(Y972=0,0,SUM(Y972:$GQ972))</f>
        <v/>
      </c>
      <c r="Z977" s="270">
        <f>IF(Z972=0,0,SUM(Z972:$GQ972))</f>
        <v/>
      </c>
      <c r="AA977" s="270">
        <f>IF(AA972=0,0,SUM(AA972:$GQ972))</f>
        <v/>
      </c>
      <c r="AB977" s="270">
        <f>IF(AB972=0,0,SUM(AB972:$GQ972))</f>
        <v/>
      </c>
      <c r="AC977" s="270">
        <f>IF(AC972=0,0,SUM(AC972:$GQ972))</f>
        <v/>
      </c>
      <c r="AD977" s="270">
        <f>IF(AD972=0,0,SUM(AD972:$GQ972))</f>
        <v/>
      </c>
      <c r="AE977" s="270">
        <f>IF(AE972=0,0,SUM(AE972:$GQ972))</f>
        <v/>
      </c>
      <c r="AF977" s="270">
        <f>IF(AF972=0,0,SUM(AF972:$GQ972))</f>
        <v/>
      </c>
      <c r="AG977" s="270">
        <f>IF(AG972=0,0,SUM(AG972:$GQ972))</f>
        <v/>
      </c>
      <c r="AH977" s="270">
        <f>IF(AH972=0,0,SUM(AH972:$GQ972))</f>
        <v/>
      </c>
      <c r="AI977" s="270">
        <f>IF(AI972=0,0,SUM(AI972:$GQ972))</f>
        <v/>
      </c>
      <c r="AJ977" s="270">
        <f>IF(AJ972=0,0,SUM(AJ972:$GQ972))</f>
        <v/>
      </c>
      <c r="AK977" s="270">
        <f>IF(AK972=0,0,SUM(AK972:$GQ972))</f>
        <v/>
      </c>
      <c r="AL977" s="270">
        <f>IF(AL972=0,0,SUM(AL972:$GQ972))</f>
        <v/>
      </c>
      <c r="AM977" s="270">
        <f>IF(AM972=0,0,SUM(AM972:$GQ972))</f>
        <v/>
      </c>
      <c r="AN977" s="270">
        <f>IF(AN972=0,0,SUM(AN972:$GQ972))</f>
        <v/>
      </c>
      <c r="AO977" s="270">
        <f>IF(AO972=0,0,SUM(AO972:$GQ972))</f>
        <v/>
      </c>
      <c r="AP977" s="270">
        <f>IF(AP972=0,0,SUM(AP972:$GQ972))</f>
        <v/>
      </c>
      <c r="AQ977" s="270">
        <f>IF(AQ972=0,0,SUM(AQ972:$GQ972))</f>
        <v/>
      </c>
      <c r="AR977" s="270">
        <f>IF(AR972=0,0,SUM(AR972:$GQ972))</f>
        <v/>
      </c>
      <c r="AS977" s="270">
        <f>IF(AS972=0,0,SUM(AS972:$GQ972))</f>
        <v/>
      </c>
      <c r="AT977" s="270">
        <f>IF(AT972=0,0,SUM(AT972:$GQ972))</f>
        <v/>
      </c>
      <c r="AU977" s="270">
        <f>IF(AU972=0,0,SUM(AU972:$GQ972))</f>
        <v/>
      </c>
      <c r="AV977" s="270">
        <f>IF(AV972=0,0,SUM(AV972:$GQ972))</f>
        <v/>
      </c>
      <c r="AW977" s="270">
        <f>IF(AW972=0,0,SUM(AW972:$GQ972))</f>
        <v/>
      </c>
      <c r="AX977" s="270">
        <f>IF(AX972=0,0,SUM(AX972:$GQ972))</f>
        <v/>
      </c>
      <c r="AY977" s="270">
        <f>IF(AY972=0,0,SUM(AY972:$GQ972))</f>
        <v/>
      </c>
      <c r="AZ977" s="270">
        <f>IF(AZ972=0,0,SUM(AZ972:$GQ972))</f>
        <v/>
      </c>
      <c r="BA977" s="270">
        <f>IF(BA972=0,0,SUM(BA972:$GQ972))</f>
        <v/>
      </c>
      <c r="BB977" s="270">
        <f>IF(BB972=0,0,SUM(BB972:$GQ972))</f>
        <v/>
      </c>
      <c r="BC977" s="270">
        <f>IF(BC972=0,0,SUM(BC972:$GQ972))</f>
        <v/>
      </c>
      <c r="BD977" s="270">
        <f>IF(BD972=0,0,SUM(BD972:$GQ972))</f>
        <v/>
      </c>
      <c r="BE977" s="270">
        <f>IF(BE972=0,0,SUM(BE972:$GQ972))</f>
        <v/>
      </c>
      <c r="BF977" s="270">
        <f>IF(BF972=0,0,SUM(BF972:$GQ972))</f>
        <v/>
      </c>
      <c r="BG977" s="270">
        <f>IF(BG972=0,0,SUM(BG972:$GQ972))</f>
        <v/>
      </c>
      <c r="BH977" s="270">
        <f>IF(BH972=0,0,SUM(BH972:$GQ972))</f>
        <v/>
      </c>
      <c r="BI977" s="270">
        <f>IF(BI972=0,0,SUM(BI972:$GQ972))</f>
        <v/>
      </c>
      <c r="BJ977" s="270">
        <f>IF(BJ972=0,0,SUM(BJ972:$GQ972))</f>
        <v/>
      </c>
      <c r="BK977" s="270">
        <f>IF(BK972=0,0,SUM(BK972:$GQ972))</f>
        <v/>
      </c>
      <c r="BL977" s="270">
        <f>IF(BL972=0,0,SUM(BL972:$GQ972))</f>
        <v/>
      </c>
      <c r="BM977" s="270">
        <f>IF(BM972=0,0,SUM(BM972:$GQ972))</f>
        <v/>
      </c>
      <c r="BN977" s="270">
        <f>IF(BN972=0,0,SUM(BN972:$GQ972))</f>
        <v/>
      </c>
      <c r="BO977" s="270">
        <f>IF(BO972=0,0,SUM(BO972:$GQ972))</f>
        <v/>
      </c>
      <c r="BP977" s="270">
        <f>IF(BP972=0,0,SUM(BP972:$GQ972))</f>
        <v/>
      </c>
      <c r="BQ977" s="270">
        <f>IF(BQ972=0,0,SUM(BQ972:$GQ972))</f>
        <v/>
      </c>
      <c r="BR977" s="270">
        <f>IF(BR972=0,0,SUM(BR972:$GQ972))</f>
        <v/>
      </c>
      <c r="BS977" s="270">
        <f>IF(BS972=0,0,SUM(BS972:$GQ972))</f>
        <v/>
      </c>
      <c r="BT977" s="270">
        <f>IF(BT972=0,0,SUM(BT972:$GQ972))</f>
        <v/>
      </c>
      <c r="BU977" s="270">
        <f>IF(BU972=0,0,SUM(BU972:$GQ972))</f>
        <v/>
      </c>
      <c r="BV977" s="270">
        <f>IF(BV972=0,0,SUM(BV972:$GQ972))</f>
        <v/>
      </c>
      <c r="BW977" s="270">
        <f>IF(BW972=0,0,SUM(BW972:$GQ972))</f>
        <v/>
      </c>
      <c r="BX977" s="270">
        <f>IF(BX972=0,0,SUM(BX972:$GQ972))</f>
        <v/>
      </c>
      <c r="BY977" s="270">
        <f>IF(BY972=0,0,SUM(BY972:$GQ972))</f>
        <v/>
      </c>
      <c r="BZ977" s="270">
        <f>IF(BZ972=0,0,SUM(BZ972:$GQ972))</f>
        <v/>
      </c>
      <c r="CA977" s="270">
        <f>IF(CA972=0,0,SUM(CA972:$GQ972))</f>
        <v/>
      </c>
      <c r="CB977" s="270">
        <f>IF(CB972=0,0,SUM(CB972:$GQ972))</f>
        <v/>
      </c>
      <c r="CC977" s="270">
        <f>IF(CC972=0,0,SUM(CC972:$GQ972))</f>
        <v/>
      </c>
      <c r="CD977" s="270">
        <f>IF(CD972=0,0,SUM(CD972:$GQ972))</f>
        <v/>
      </c>
      <c r="CE977" s="270">
        <f>IF(CE972=0,0,SUM(CE972:$GQ972))</f>
        <v/>
      </c>
      <c r="CF977" s="270">
        <f>IF(CF972=0,0,SUM(CF972:$GQ972))</f>
        <v/>
      </c>
      <c r="CG977" s="270">
        <f>IF(CG972=0,0,SUM(CG972:$GQ972))</f>
        <v/>
      </c>
      <c r="CH977" s="270">
        <f>IF(CH972=0,0,SUM(CH972:$GQ972))</f>
        <v/>
      </c>
      <c r="CI977" s="270">
        <f>IF(CI972=0,0,SUM(CI972:$GQ972))</f>
        <v/>
      </c>
      <c r="CJ977" s="270">
        <f>IF(CJ972=0,0,SUM(CJ972:$GQ972))</f>
        <v/>
      </c>
      <c r="CK977" s="270">
        <f>IF(CK972=0,0,SUM(CK972:$GQ972))</f>
        <v/>
      </c>
      <c r="CL977" s="270">
        <f>IF(CL972=0,0,SUM(CL972:$GQ972))</f>
        <v/>
      </c>
      <c r="CM977" s="270">
        <f>IF(CM972=0,0,SUM(CM972:$GQ972))</f>
        <v/>
      </c>
      <c r="CN977" s="270">
        <f>IF(CN972=0,0,SUM(CN972:$GQ972))</f>
        <v/>
      </c>
      <c r="CO977" s="270">
        <f>IF(CO972=0,0,SUM(CO972:$GQ972))</f>
        <v/>
      </c>
      <c r="CP977" s="270">
        <f>IF(CP972=0,0,SUM(CP972:$GQ972))</f>
        <v/>
      </c>
      <c r="CQ977" s="270">
        <f>IF(CQ972=0,0,SUM(CQ972:$GQ972))</f>
        <v/>
      </c>
      <c r="CR977" s="270">
        <f>IF(CR972=0,0,SUM(CR972:$GQ972))</f>
        <v/>
      </c>
      <c r="CS977" s="270">
        <f>IF(CS972=0,0,SUM(CS972:$GQ972))</f>
        <v/>
      </c>
      <c r="CT977" s="270">
        <f>IF(CT972=0,0,SUM(CT972:$GQ972))</f>
        <v/>
      </c>
      <c r="CU977" s="270">
        <f>IF(CU972=0,0,SUM(CU972:$GQ972))</f>
        <v/>
      </c>
      <c r="CV977" s="270">
        <f>IF(CV972=0,0,SUM(CV972:$GQ972))</f>
        <v/>
      </c>
      <c r="CW977" s="270">
        <f>IF(CW972=0,0,SUM(CW972:$GQ972))</f>
        <v/>
      </c>
      <c r="CX977" s="270">
        <f>IF(CX972=0,0,SUM(CX972:$GQ972))</f>
        <v/>
      </c>
      <c r="CY977" s="270">
        <f>IF(CY972=0,0,SUM(CY972:$GQ972))</f>
        <v/>
      </c>
      <c r="CZ977" s="270">
        <f>IF(CZ972=0,0,SUM(CZ972:$GQ972))</f>
        <v/>
      </c>
      <c r="DA977" s="270">
        <f>IF(DA972=0,0,SUM(DA972:$GQ972))</f>
        <v/>
      </c>
      <c r="DB977" s="270">
        <f>IF(DB972=0,0,SUM(DB972:$GQ972))</f>
        <v/>
      </c>
      <c r="DC977" s="270">
        <f>IF(DC972=0,0,SUM(DC972:$GQ972))</f>
        <v/>
      </c>
      <c r="DD977" s="270">
        <f>IF(DD972=0,0,SUM(DD972:$GQ972))</f>
        <v/>
      </c>
      <c r="DE977" s="270">
        <f>IF(DE972=0,0,SUM(DE972:$GQ972))</f>
        <v/>
      </c>
      <c r="DF977" s="270">
        <f>IF(DF972=0,0,SUM(DF972:$GQ972))</f>
        <v/>
      </c>
      <c r="DG977" s="270">
        <f>IF(DG972=0,0,SUM(DG972:$GQ972))</f>
        <v/>
      </c>
      <c r="DH977" s="270">
        <f>IF(DH972=0,0,SUM(DH972:$GQ972))</f>
        <v/>
      </c>
      <c r="DI977" s="270">
        <f>IF(DI972=0,0,SUM(DI972:$GQ972))</f>
        <v/>
      </c>
      <c r="DJ977" s="270">
        <f>IF(DJ972=0,0,SUM(DJ972:$GQ972))</f>
        <v/>
      </c>
      <c r="DK977" s="270">
        <f>IF(DK972=0,0,SUM(DK972:$GQ972))</f>
        <v/>
      </c>
      <c r="DL977" s="270">
        <f>IF(DL972=0,0,SUM(DL972:$GQ972))</f>
        <v/>
      </c>
      <c r="DM977" s="270">
        <f>IF(DM972=0,0,SUM(DM972:$GQ972))</f>
        <v/>
      </c>
      <c r="DN977" s="270">
        <f>IF(DN972=0,0,SUM(DN972:$GQ972))</f>
        <v/>
      </c>
      <c r="DO977" s="270">
        <f>IF(DO972=0,0,SUM(DO972:$GQ972))</f>
        <v/>
      </c>
      <c r="DP977" s="270">
        <f>IF(DP972=0,0,SUM(DP972:$GQ972))</f>
        <v/>
      </c>
      <c r="DQ977" s="270">
        <f>IF(DQ972=0,0,SUM(DQ972:$GQ972))</f>
        <v/>
      </c>
      <c r="DR977" s="270">
        <f>IF(DR972=0,0,SUM(DR972:$GQ972))</f>
        <v/>
      </c>
      <c r="DS977" s="270">
        <f>IF(DS972=0,0,SUM(DS972:$GQ972))</f>
        <v/>
      </c>
      <c r="DT977" s="270">
        <f>IF(DT972=0,0,SUM(DT972:$GQ972))</f>
        <v/>
      </c>
      <c r="DU977" s="270">
        <f>IF(DU972=0,0,SUM(DU972:$GQ972))</f>
        <v/>
      </c>
      <c r="DV977" s="270">
        <f>IF(DV972=0,0,SUM(DV972:$GQ972))</f>
        <v/>
      </c>
      <c r="DW977" s="270">
        <f>IF(DW972=0,0,SUM(DW972:$GQ972))</f>
        <v/>
      </c>
      <c r="DX977" s="270">
        <f>IF(DX972=0,0,SUM(DX972:$GQ972))</f>
        <v/>
      </c>
      <c r="DY977" s="270">
        <f>IF(DY972=0,0,SUM(DY972:$GQ972))</f>
        <v/>
      </c>
      <c r="DZ977" s="270">
        <f>IF(DZ972=0,0,SUM(DZ972:$GQ972))</f>
        <v/>
      </c>
      <c r="EA977" s="270">
        <f>IF(EA972=0,0,SUM(EA972:$GQ972))</f>
        <v/>
      </c>
      <c r="EB977" s="270">
        <f>IF(EB972=0,0,SUM(EB972:$GQ972))</f>
        <v/>
      </c>
      <c r="EC977" s="270">
        <f>IF(EC972=0,0,SUM(EC972:$GQ972))</f>
        <v/>
      </c>
      <c r="ED977" s="270">
        <f>IF(ED972=0,0,SUM(ED972:$GQ972))</f>
        <v/>
      </c>
      <c r="EE977" s="270">
        <f>IF(EE972=0,0,SUM(EE972:$GQ972))</f>
        <v/>
      </c>
      <c r="EF977" s="270">
        <f>IF(EF972=0,0,SUM(EF972:$GQ972))</f>
        <v/>
      </c>
      <c r="EG977" s="270">
        <f>IF(EG972=0,0,SUM(EG972:$GQ972))</f>
        <v/>
      </c>
      <c r="EH977" s="270">
        <f>IF(EH972=0,0,SUM(EH972:$GQ972))</f>
        <v/>
      </c>
      <c r="EI977" s="270">
        <f>IF(EI972=0,0,SUM(EI972:$GQ972))</f>
        <v/>
      </c>
      <c r="EJ977" s="270">
        <f>IF(EJ972=0,0,SUM(EJ972:$GQ972))</f>
        <v/>
      </c>
      <c r="EK977" s="270">
        <f>IF(EK972=0,0,SUM(EK972:$GQ972))</f>
        <v/>
      </c>
      <c r="EL977" s="270">
        <f>IF(EL972=0,0,SUM(EL972:$GQ972))</f>
        <v/>
      </c>
      <c r="EM977" s="270">
        <f>IF(EM972=0,0,SUM(EM972:$GQ972))</f>
        <v/>
      </c>
      <c r="EN977" s="270">
        <f>IF(EN972=0,0,SUM(EN972:$GQ972))</f>
        <v/>
      </c>
      <c r="EO977" s="270">
        <f>IF(EO972=0,0,SUM(EO972:$GQ972))</f>
        <v/>
      </c>
      <c r="EP977" s="270">
        <f>IF(EP972=0,0,SUM(EP972:$GQ972))</f>
        <v/>
      </c>
      <c r="EQ977" s="270">
        <f>IF(EQ972=0,0,SUM(EQ972:$GQ972))</f>
        <v/>
      </c>
      <c r="ER977" s="270">
        <f>IF(ER972=0,0,SUM(ER972:$GQ972))</f>
        <v/>
      </c>
      <c r="ES977" s="270">
        <f>IF(ES972=0,0,SUM(ES972:$GQ972))</f>
        <v/>
      </c>
      <c r="ET977" s="270">
        <f>IF(ET972=0,0,SUM(ET972:$GQ972))</f>
        <v/>
      </c>
      <c r="EU977" s="270">
        <f>IF(EU972=0,0,SUM(EU972:$GQ972))</f>
        <v/>
      </c>
      <c r="EV977" s="270">
        <f>IF(EV972=0,0,SUM(EV972:$GQ972))</f>
        <v/>
      </c>
      <c r="EW977" s="270">
        <f>IF(EW972=0,0,SUM(EW972:$GQ972))</f>
        <v/>
      </c>
      <c r="EX977" s="270">
        <f>IF(EX972=0,0,SUM(EX972:$GQ972))</f>
        <v/>
      </c>
      <c r="EY977" s="270">
        <f>IF(EY972=0,0,SUM(EY972:$GQ972))</f>
        <v/>
      </c>
      <c r="EZ977" s="270">
        <f>IF(EZ972=0,0,SUM(EZ972:$GQ972))</f>
        <v/>
      </c>
      <c r="FA977" s="270">
        <f>IF(FA972=0,0,SUM(FA972:$GQ972))</f>
        <v/>
      </c>
      <c r="FB977" s="270">
        <f>IF(FB972=0,0,SUM(FB972:$GQ972))</f>
        <v/>
      </c>
      <c r="FC977" s="270">
        <f>IF(FC972=0,0,SUM(FC972:$GQ972))</f>
        <v/>
      </c>
      <c r="FD977" s="270">
        <f>IF(FD972=0,0,SUM(FD972:$GQ972))</f>
        <v/>
      </c>
      <c r="FE977" s="270">
        <f>IF(FE972=0,0,SUM(FE972:$GQ972))</f>
        <v/>
      </c>
      <c r="FF977" s="270">
        <f>IF(FF972=0,0,SUM(FF972:$GQ972))</f>
        <v/>
      </c>
      <c r="FG977" s="270">
        <f>IF(FG972=0,0,SUM(FG972:$GQ972))</f>
        <v/>
      </c>
      <c r="FH977" s="270">
        <f>IF(FH972=0,0,SUM(FH972:$GQ972))</f>
        <v/>
      </c>
      <c r="FI977" s="270">
        <f>IF(FI972=0,0,SUM(FI972:$GQ972))</f>
        <v/>
      </c>
      <c r="FJ977" s="270">
        <f>IF(FJ972=0,0,SUM(FJ972:$GQ972))</f>
        <v/>
      </c>
      <c r="FK977" s="270">
        <f>IF(FK972=0,0,SUM(FK972:$GQ972))</f>
        <v/>
      </c>
      <c r="FL977" s="270">
        <f>IF(FL972=0,0,SUM(FL972:$GQ972))</f>
        <v/>
      </c>
      <c r="FM977" s="270">
        <f>IF(FM972=0,0,SUM(FM972:$GQ972))</f>
        <v/>
      </c>
      <c r="FN977" s="270">
        <f>IF(FN972=0,0,SUM(FN972:$GQ972))</f>
        <v/>
      </c>
      <c r="FO977" s="270">
        <f>IF(FO972=0,0,SUM(FO972:$GQ972))</f>
        <v/>
      </c>
      <c r="FP977" s="270">
        <f>IF(FP972=0,0,SUM(FP972:$GQ972))</f>
        <v/>
      </c>
      <c r="FQ977" s="270">
        <f>IF(FQ972=0,0,SUM(FQ972:$GQ972))</f>
        <v/>
      </c>
      <c r="FR977" s="270">
        <f>IF(FR972=0,0,SUM(FR972:$GQ972))</f>
        <v/>
      </c>
      <c r="FS977" s="270">
        <f>IF(FS972=0,0,SUM(FS972:$GQ972))</f>
        <v/>
      </c>
      <c r="FT977" s="270">
        <f>IF(FT972=0,0,SUM(FT972:$GQ972))</f>
        <v/>
      </c>
      <c r="FU977" s="270">
        <f>IF(FU972=0,0,SUM(FU972:$GQ972))</f>
        <v/>
      </c>
      <c r="FV977" s="270">
        <f>IF(FV972=0,0,SUM(FV972:$GQ972))</f>
        <v/>
      </c>
      <c r="FW977" s="270">
        <f>IF(FW972=0,0,SUM(FW972:$GQ972))</f>
        <v/>
      </c>
      <c r="FX977" s="270">
        <f>IF(FX972=0,0,SUM(FX972:$GQ972))</f>
        <v/>
      </c>
      <c r="FY977" s="270">
        <f>IF(FY972=0,0,SUM(FY972:$GQ972))</f>
        <v/>
      </c>
      <c r="FZ977" s="270">
        <f>IF(FZ972=0,0,SUM(FZ972:$GQ972))</f>
        <v/>
      </c>
      <c r="GA977" s="270">
        <f>IF(GA972=0,0,SUM(GA972:$GQ972))</f>
        <v/>
      </c>
      <c r="GB977" s="270">
        <f>IF(GB972=0,0,SUM(GB972:$GQ972))</f>
        <v/>
      </c>
      <c r="GC977" s="270">
        <f>IF(GC972=0,0,SUM(GC972:$GQ972))</f>
        <v/>
      </c>
      <c r="GD977" s="270">
        <f>IF(GD972=0,0,SUM(GD972:$GQ972))</f>
        <v/>
      </c>
      <c r="GE977" s="270">
        <f>IF(GE972=0,0,SUM(GE972:$GQ972))</f>
        <v/>
      </c>
      <c r="GF977" s="270">
        <f>IF(GF972=0,0,SUM(GF972:$GQ972))</f>
        <v/>
      </c>
      <c r="GG977" s="270">
        <f>IF(GG972=0,0,SUM(GG972:$GQ972))</f>
        <v/>
      </c>
      <c r="GH977" s="270">
        <f>IF(GH972=0,0,SUM(GH972:$GQ972))</f>
        <v/>
      </c>
      <c r="GI977" s="270">
        <f>IF(GI972=0,0,SUM(GI972:$GQ972))</f>
        <v/>
      </c>
      <c r="GJ977" s="270">
        <f>IF(GJ972=0,0,SUM(GJ972:$GQ972))</f>
        <v/>
      </c>
      <c r="GK977" s="270">
        <f>IF(GK972=0,0,SUM(GK972:$GQ972))</f>
        <v/>
      </c>
      <c r="GL977" s="270">
        <f>IF(GL972=0,0,SUM(GL972:$GQ972))</f>
        <v/>
      </c>
      <c r="GM977" s="270">
        <f>IF(GM972=0,0,SUM(GM972:$GQ972))</f>
        <v/>
      </c>
      <c r="GN977" s="270">
        <f>IF(GN972=0,0,SUM(GN972:$GQ972))</f>
        <v/>
      </c>
      <c r="GO977" s="270">
        <f>IF(GO972=0,0,SUM(GO972:$GQ972))</f>
        <v/>
      </c>
      <c r="GP977" s="270">
        <f>IF(GP972=0,0,SUM(GP972:$GQ972))</f>
        <v/>
      </c>
      <c r="GQ977" s="270">
        <f>IF(GQ972=0,0,SUM(GQ972:$GQ972))</f>
        <v/>
      </c>
      <c r="GR977" s="270" t="n"/>
      <c r="GS977" s="270" t="n"/>
      <c r="GT977" s="270" t="n"/>
      <c r="GU977" s="270" t="n"/>
      <c r="GV977" s="270" t="n"/>
      <c r="GW977" s="270" t="n"/>
      <c r="GX977" s="270" t="n"/>
      <c r="GY977" s="270" t="n"/>
      <c r="GZ977" s="270" t="n"/>
      <c r="HA977" s="270" t="n"/>
      <c r="HB977" s="270" t="n"/>
      <c r="HC977" s="270" t="n"/>
    </row>
    <row r="978" ht="12" customHeight="1" s="227">
      <c r="A978" s="244" t="n"/>
      <c r="B978" s="244" t="n"/>
      <c r="C978" s="244" t="n"/>
      <c r="K978" s="6" t="n"/>
    </row>
    <row r="979" ht="12" customHeight="1" s="227">
      <c r="A979" s="244" t="n"/>
      <c r="B979" s="244" t="n"/>
      <c r="C979" s="244" t="n"/>
      <c r="H979" s="0" t="inlineStr">
        <is>
          <t>Opening Balance</t>
        </is>
      </c>
      <c r="I979" s="27">
        <f>i_Setup!$M$16</f>
        <v/>
      </c>
      <c r="K979" s="6" t="n"/>
      <c r="M979" s="245">
        <f>SUMIF($T$1:$CA$1,M$1,$T979:$CA979)</f>
        <v/>
      </c>
      <c r="N979" s="245">
        <f>SUMIF($T$1:$CA$1,N$1,$T979:$CA979)</f>
        <v/>
      </c>
      <c r="O979" s="245">
        <f>SUMIF($T$1:$CA$1,O$1,$T979:$CA979)</f>
        <v/>
      </c>
      <c r="P979" s="245">
        <f>SUMIF($T$1:$CA$1,P$1,$T979:$CA979)</f>
        <v/>
      </c>
      <c r="Q979" s="245">
        <f>SUMIF($T$1:$CA$1,Q$1,$T979:$CA979)</f>
        <v/>
      </c>
      <c r="T979" s="270">
        <f>S985</f>
        <v/>
      </c>
      <c r="U979" s="270">
        <f>T985</f>
        <v/>
      </c>
      <c r="V979" s="270">
        <f>U985</f>
        <v/>
      </c>
      <c r="W979" s="270">
        <f>V985</f>
        <v/>
      </c>
      <c r="X979" s="270">
        <f>W985</f>
        <v/>
      </c>
      <c r="Y979" s="270">
        <f>X985</f>
        <v/>
      </c>
      <c r="Z979" s="270">
        <f>Y985</f>
        <v/>
      </c>
      <c r="AA979" s="270">
        <f>Z985</f>
        <v/>
      </c>
      <c r="AB979" s="270">
        <f>AA985</f>
        <v/>
      </c>
      <c r="AC979" s="270">
        <f>AB985</f>
        <v/>
      </c>
      <c r="AD979" s="270">
        <f>AC985</f>
        <v/>
      </c>
      <c r="AE979" s="270">
        <f>AD985</f>
        <v/>
      </c>
      <c r="AF979" s="270">
        <f>AE985</f>
        <v/>
      </c>
      <c r="AG979" s="270">
        <f>AF985</f>
        <v/>
      </c>
      <c r="AH979" s="270">
        <f>AG985</f>
        <v/>
      </c>
      <c r="AI979" s="270">
        <f>AH985</f>
        <v/>
      </c>
      <c r="AJ979" s="270">
        <f>AI985</f>
        <v/>
      </c>
      <c r="AK979" s="270">
        <f>AJ985</f>
        <v/>
      </c>
      <c r="AL979" s="270">
        <f>AK985</f>
        <v/>
      </c>
      <c r="AM979" s="270">
        <f>AL985</f>
        <v/>
      </c>
      <c r="AN979" s="270">
        <f>AM985</f>
        <v/>
      </c>
      <c r="AO979" s="270">
        <f>AN985</f>
        <v/>
      </c>
      <c r="AP979" s="270">
        <f>AO985</f>
        <v/>
      </c>
      <c r="AQ979" s="270">
        <f>AP985</f>
        <v/>
      </c>
      <c r="AR979" s="270">
        <f>AQ985</f>
        <v/>
      </c>
      <c r="AS979" s="270">
        <f>AR985</f>
        <v/>
      </c>
      <c r="AT979" s="270">
        <f>AS985</f>
        <v/>
      </c>
      <c r="AU979" s="270">
        <f>AT985</f>
        <v/>
      </c>
      <c r="AV979" s="270">
        <f>AU985</f>
        <v/>
      </c>
      <c r="AW979" s="270">
        <f>AV985</f>
        <v/>
      </c>
      <c r="AX979" s="270">
        <f>AW985</f>
        <v/>
      </c>
      <c r="AY979" s="270">
        <f>AX985</f>
        <v/>
      </c>
      <c r="AZ979" s="270">
        <f>AY985</f>
        <v/>
      </c>
      <c r="BA979" s="270">
        <f>AZ985</f>
        <v/>
      </c>
      <c r="BB979" s="270">
        <f>BA985</f>
        <v/>
      </c>
      <c r="BC979" s="270">
        <f>BB985</f>
        <v/>
      </c>
      <c r="BD979" s="270">
        <f>BC985</f>
        <v/>
      </c>
      <c r="BE979" s="270">
        <f>BD985</f>
        <v/>
      </c>
      <c r="BF979" s="270">
        <f>BE985</f>
        <v/>
      </c>
      <c r="BG979" s="270">
        <f>BF985</f>
        <v/>
      </c>
      <c r="BH979" s="270">
        <f>BG985</f>
        <v/>
      </c>
      <c r="BI979" s="270">
        <f>BH985</f>
        <v/>
      </c>
      <c r="BJ979" s="270">
        <f>BI985</f>
        <v/>
      </c>
      <c r="BK979" s="270">
        <f>BJ985</f>
        <v/>
      </c>
      <c r="BL979" s="270">
        <f>BK985</f>
        <v/>
      </c>
      <c r="BM979" s="270">
        <f>BL985</f>
        <v/>
      </c>
      <c r="BN979" s="270">
        <f>BM985</f>
        <v/>
      </c>
      <c r="BO979" s="270">
        <f>BN985</f>
        <v/>
      </c>
      <c r="BP979" s="270">
        <f>BO985</f>
        <v/>
      </c>
      <c r="BQ979" s="270">
        <f>BP985</f>
        <v/>
      </c>
      <c r="BR979" s="270">
        <f>BQ985</f>
        <v/>
      </c>
      <c r="BS979" s="270">
        <f>BR985</f>
        <v/>
      </c>
      <c r="BT979" s="270">
        <f>BS985</f>
        <v/>
      </c>
      <c r="BU979" s="270">
        <f>BT985</f>
        <v/>
      </c>
      <c r="BV979" s="270">
        <f>BU985</f>
        <v/>
      </c>
      <c r="BW979" s="270">
        <f>BV985</f>
        <v/>
      </c>
      <c r="BX979" s="270">
        <f>BW985</f>
        <v/>
      </c>
      <c r="BY979" s="270">
        <f>BX985</f>
        <v/>
      </c>
      <c r="BZ979" s="270">
        <f>BY985</f>
        <v/>
      </c>
      <c r="CA979" s="270">
        <f>BZ985</f>
        <v/>
      </c>
    </row>
    <row r="980" ht="12" customHeight="1" s="227">
      <c r="A980" s="244" t="n"/>
      <c r="B980" s="244" t="n"/>
      <c r="C980" s="244" t="n"/>
      <c r="H980" s="0" t="inlineStr">
        <is>
          <t>Interest Charged</t>
        </is>
      </c>
      <c r="I980" s="27">
        <f>i_Setup!$M$16</f>
        <v/>
      </c>
      <c r="K980" s="6" t="n"/>
      <c r="M980" s="245">
        <f>SUMIF($T$4:$CA$4,M$4,$T980:$CA980)</f>
        <v/>
      </c>
      <c r="N980" s="245">
        <f>SUMIF($T$4:$CA$4,N$4,$T980:$CA980)</f>
        <v/>
      </c>
      <c r="O980" s="245">
        <f>SUMIF($T$4:$CA$4,O$4,$T980:$CA980)</f>
        <v/>
      </c>
      <c r="P980" s="245">
        <f>SUMIF($T$4:$CA$4,P$4,$T980:$CA980)</f>
        <v/>
      </c>
      <c r="Q980" s="245">
        <f>SUMIF($T$4:$CA$4,Q$4,$T980:$CA980)</f>
        <v/>
      </c>
      <c r="T980" s="245">
        <f>IF(T$7="Actual",0,IF(T972=1,SUM(T979:T979)*(T975),0))</f>
        <v/>
      </c>
      <c r="U980" s="245">
        <f>IF(U$7="Actual",0,IF(U972=1,SUM(U979:U979)*(U975),0))</f>
        <v/>
      </c>
      <c r="V980" s="245">
        <f>IF(V$7="Actual",0,IF(V972=1,SUM(V979:V979)*(V975),0))</f>
        <v/>
      </c>
      <c r="W980" s="245">
        <f>IF(W$7="Actual",0,IF(W972=1,SUM(W979:W979)*(W975),0))</f>
        <v/>
      </c>
      <c r="X980" s="245">
        <f>IF(X$7="Actual",0,IF(X972=1,SUM(X979:X979)*(X975),0))</f>
        <v/>
      </c>
      <c r="Y980" s="245">
        <f>IF(Y$7="Actual",0,IF(Y972=1,SUM(Y979:Y979)*(Y975),0))</f>
        <v/>
      </c>
      <c r="Z980" s="245">
        <f>IF(Z$7="Actual",0,IF(Z972=1,SUM(Z979:Z979)*(Z975),0))</f>
        <v/>
      </c>
      <c r="AA980" s="245">
        <f>IF(AA$7="Actual",0,IF(AA972=1,SUM(AA979:AA979)*(AA975),0))</f>
        <v/>
      </c>
      <c r="AB980" s="245">
        <f>IF(AB$7="Actual",0,IF(AB972=1,SUM(AB979:AB979)*(AB975),0))</f>
        <v/>
      </c>
      <c r="AC980" s="245">
        <f>IF(AC$7="Actual",0,IF(AC972=1,SUM(AC979:AC979)*(AC975),0))</f>
        <v/>
      </c>
      <c r="AD980" s="245">
        <f>IF(AD$7="Actual",0,IF(AD972=1,SUM(AD979:AD979)*(AD975),0))</f>
        <v/>
      </c>
      <c r="AE980" s="245">
        <f>IF(AE$7="Actual",0,IF(AE972=1,SUM(AE979:AE979)*(AE975),0))</f>
        <v/>
      </c>
      <c r="AF980" s="245">
        <f>IF(AF$7="Actual",0,IF(AF972=1,SUM(AF979:AF979)*(AF975),0))</f>
        <v/>
      </c>
      <c r="AG980" s="245">
        <f>IF(AG$7="Actual",0,IF(AG972=1,SUM(AG979:AG979)*(AG975),0))</f>
        <v/>
      </c>
      <c r="AH980" s="245">
        <f>IF(AH$7="Actual",0,IF(AH972=1,SUM(AH979:AH979)*(AH975),0))</f>
        <v/>
      </c>
      <c r="AI980" s="245">
        <f>IF(AI$7="Actual",0,IF(AI972=1,SUM(AI979:AI979)*(AI975),0))</f>
        <v/>
      </c>
      <c r="AJ980" s="245">
        <f>IF(AJ$7="Actual",0,IF(AJ972=1,SUM(AJ979:AJ979)*(AJ975),0))</f>
        <v/>
      </c>
      <c r="AK980" s="245">
        <f>IF(AK$7="Actual",0,IF(AK972=1,SUM(AK979:AK979)*(AK975),0))</f>
        <v/>
      </c>
      <c r="AL980" s="245">
        <f>IF(AL$7="Actual",0,IF(AL972=1,SUM(AL979:AL979)*(AL975),0))</f>
        <v/>
      </c>
      <c r="AM980" s="245">
        <f>IF(AM$7="Actual",0,IF(AM972=1,SUM(AM979:AM979)*(AM975),0))</f>
        <v/>
      </c>
      <c r="AN980" s="245">
        <f>IF(AN$7="Actual",0,IF(AN972=1,SUM(AN979:AN979)*(AN975),0))</f>
        <v/>
      </c>
      <c r="AO980" s="245">
        <f>IF(AO$7="Actual",0,IF(AO972=1,SUM(AO979:AO979)*(AO975),0))</f>
        <v/>
      </c>
      <c r="AP980" s="245">
        <f>IF(AP$7="Actual",0,IF(AP972=1,SUM(AP979:AP979)*(AP975),0))</f>
        <v/>
      </c>
      <c r="AQ980" s="245">
        <f>IF(AQ$7="Actual",0,IF(AQ972=1,SUM(AQ979:AQ979)*(AQ975),0))</f>
        <v/>
      </c>
      <c r="AR980" s="245">
        <f>IF(AR$7="Actual",0,IF(AR972=1,SUM(AR979:AR979)*(AR975),0))</f>
        <v/>
      </c>
      <c r="AS980" s="245">
        <f>IF(AS$7="Actual",0,IF(AS972=1,SUM(AS979:AS979)*(AS975),0))</f>
        <v/>
      </c>
      <c r="AT980" s="245">
        <f>IF(AT$7="Actual",0,IF(AT972=1,SUM(AT979:AT979)*(AT975),0))</f>
        <v/>
      </c>
      <c r="AU980" s="245">
        <f>IF(AU$7="Actual",0,IF(AU972=1,SUM(AU979:AU979)*(AU975),0))</f>
        <v/>
      </c>
      <c r="AV980" s="245">
        <f>IF(AV$7="Actual",0,IF(AV972=1,SUM(AV979:AV979)*(AV975),0))</f>
        <v/>
      </c>
      <c r="AW980" s="245">
        <f>IF(AW$7="Actual",0,IF(AW972=1,SUM(AW979:AW979)*(AW975),0))</f>
        <v/>
      </c>
      <c r="AX980" s="245">
        <f>IF(AX$7="Actual",0,IF(AX972=1,SUM(AX979:AX979)*(AX975),0))</f>
        <v/>
      </c>
      <c r="AY980" s="245">
        <f>IF(AY$7="Actual",0,IF(AY972=1,SUM(AY979:AY979)*(AY975),0))</f>
        <v/>
      </c>
      <c r="AZ980" s="245">
        <f>IF(AZ$7="Actual",0,IF(AZ972=1,SUM(AZ979:AZ979)*(AZ975),0))</f>
        <v/>
      </c>
      <c r="BA980" s="245">
        <f>IF(BA$7="Actual",0,IF(BA972=1,SUM(BA979:BA979)*(BA975),0))</f>
        <v/>
      </c>
      <c r="BB980" s="245">
        <f>IF(BB$7="Actual",0,IF(BB972=1,SUM(BB979:BB979)*(BB975),0))</f>
        <v/>
      </c>
      <c r="BC980" s="245">
        <f>IF(BC$7="Actual",0,IF(BC972=1,SUM(BC979:BC979)*(BC975),0))</f>
        <v/>
      </c>
      <c r="BD980" s="245">
        <f>IF(BD$7="Actual",0,IF(BD972=1,SUM(BD979:BD979)*(BD975),0))</f>
        <v/>
      </c>
      <c r="BE980" s="245">
        <f>IF(BE$7="Actual",0,IF(BE972=1,SUM(BE979:BE979)*(BE975),0))</f>
        <v/>
      </c>
      <c r="BF980" s="245">
        <f>IF(BF$7="Actual",0,IF(BF972=1,SUM(BF979:BF979)*(BF975),0))</f>
        <v/>
      </c>
      <c r="BG980" s="245">
        <f>IF(BG$7="Actual",0,IF(BG972=1,SUM(BG979:BG979)*(BG975),0))</f>
        <v/>
      </c>
      <c r="BH980" s="245">
        <f>IF(BH$7="Actual",0,IF(BH972=1,SUM(BH979:BH979)*(BH975),0))</f>
        <v/>
      </c>
      <c r="BI980" s="245">
        <f>IF(BI$7="Actual",0,IF(BI972=1,SUM(BI979:BI979)*(BI975),0))</f>
        <v/>
      </c>
      <c r="BJ980" s="245">
        <f>IF(BJ$7="Actual",0,IF(BJ972=1,SUM(BJ979:BJ979)*(BJ975),0))</f>
        <v/>
      </c>
      <c r="BK980" s="245">
        <f>IF(BK$7="Actual",0,IF(BK972=1,SUM(BK979:BK979)*(BK975),0))</f>
        <v/>
      </c>
      <c r="BL980" s="245">
        <f>IF(BL$7="Actual",0,IF(BL972=1,SUM(BL979:BL979)*(BL975),0))</f>
        <v/>
      </c>
      <c r="BM980" s="245">
        <f>IF(BM$7="Actual",0,IF(BM972=1,SUM(BM979:BM979)*(BM975),0))</f>
        <v/>
      </c>
      <c r="BN980" s="245">
        <f>IF(BN$7="Actual",0,IF(BN972=1,SUM(BN979:BN979)*(BN975),0))</f>
        <v/>
      </c>
      <c r="BO980" s="245">
        <f>IF(BO$7="Actual",0,IF(BO972=1,SUM(BO979:BO979)*(BO975),0))</f>
        <v/>
      </c>
      <c r="BP980" s="245">
        <f>IF(BP$7="Actual",0,IF(BP972=1,SUM(BP979:BP979)*(BP975),0))</f>
        <v/>
      </c>
      <c r="BQ980" s="245">
        <f>IF(BQ$7="Actual",0,IF(BQ972=1,SUM(BQ979:BQ979)*(BQ975),0))</f>
        <v/>
      </c>
      <c r="BR980" s="245">
        <f>IF(BR$7="Actual",0,IF(BR972=1,SUM(BR979:BR979)*(BR975),0))</f>
        <v/>
      </c>
      <c r="BS980" s="245">
        <f>IF(BS$7="Actual",0,IF(BS972=1,SUM(BS979:BS979)*(BS975),0))</f>
        <v/>
      </c>
      <c r="BT980" s="245">
        <f>IF(BT$7="Actual",0,IF(BT972=1,SUM(BT979:BT979)*(BT975),0))</f>
        <v/>
      </c>
      <c r="BU980" s="245">
        <f>IF(BU$7="Actual",0,IF(BU972=1,SUM(BU979:BU979)*(BU975),0))</f>
        <v/>
      </c>
      <c r="BV980" s="245">
        <f>IF(BV$7="Actual",0,IF(BV972=1,SUM(BV979:BV979)*(BV975),0))</f>
        <v/>
      </c>
      <c r="BW980" s="245">
        <f>IF(BW$7="Actual",0,IF(BW972=1,SUM(BW979:BW979)*(BW975),0))</f>
        <v/>
      </c>
      <c r="BX980" s="245">
        <f>IF(BX$7="Actual",0,IF(BX972=1,SUM(BX979:BX979)*(BX975),0))</f>
        <v/>
      </c>
      <c r="BY980" s="245">
        <f>IF(BY$7="Actual",0,IF(BY972=1,SUM(BY979:BY979)*(BY975),0))</f>
        <v/>
      </c>
      <c r="BZ980" s="245">
        <f>IF(BZ$7="Actual",0,IF(BZ972=1,SUM(BZ979:BZ979)*(BZ975),0))</f>
        <v/>
      </c>
      <c r="CA980" s="245">
        <f>IF(CA$7="Actual",0,IF(CA972=1,SUM(CA979:CA979)*(CA975),0))</f>
        <v/>
      </c>
    </row>
    <row r="981" ht="12" customHeight="1" s="227">
      <c r="A981" s="244" t="n"/>
      <c r="B981" s="244" t="n"/>
      <c r="C981" s="244" t="n"/>
      <c r="H981" s="0" t="inlineStr">
        <is>
          <t>Interest Payments</t>
        </is>
      </c>
      <c r="I981" s="27">
        <f>i_Setup!$M$16</f>
        <v/>
      </c>
      <c r="K981" s="6" t="n"/>
      <c r="M981" s="245">
        <f>SUMIF($T$4:$CA$4,M$4,$T981:$CA981)</f>
        <v/>
      </c>
      <c r="N981" s="245">
        <f>SUMIF($T$4:$CA$4,N$4,$T981:$CA981)</f>
        <v/>
      </c>
      <c r="O981" s="245">
        <f>SUMIF($T$4:$CA$4,O$4,$T981:$CA981)</f>
        <v/>
      </c>
      <c r="P981" s="245">
        <f>SUMIF($T$4:$CA$4,P$4,$T981:$CA981)</f>
        <v/>
      </c>
      <c r="Q981" s="245">
        <f>SUMIF($T$4:$CA$4,Q$4,$T981:$CA981)</f>
        <v/>
      </c>
      <c r="T981" s="275">
        <f>IF(T$7="Actual",0,IF(T972&lt;&gt;0,IPMT(T975,1,T977,SUM(T979:T979),0,0),0))</f>
        <v/>
      </c>
      <c r="U981" s="275">
        <f>IF(U$7="Actual",0,IF(U972&lt;&gt;0,IPMT(U975,1,U977,SUM(U979:U979),0,0),0))</f>
        <v/>
      </c>
      <c r="V981" s="275">
        <f>IF(V$7="Actual",0,IF(V972&lt;&gt;0,IPMT(V975,1,V977,SUM(V979:V979),0,0),0))</f>
        <v/>
      </c>
      <c r="W981" s="275">
        <f>IF(W$7="Actual",0,IF(W972&lt;&gt;0,IPMT(W975,1,W977,SUM(W979:W979),0,0),0))</f>
        <v/>
      </c>
      <c r="X981" s="275">
        <f>IF(X$7="Actual",0,IF(X972&lt;&gt;0,IPMT(X975,1,X977,SUM(X979:X979),0,0),0))</f>
        <v/>
      </c>
      <c r="Y981" s="275">
        <f>IF(Y$7="Actual",0,IF(Y972&lt;&gt;0,IPMT(Y975,1,Y977,SUM(Y979:Y979),0,0),0))</f>
        <v/>
      </c>
      <c r="Z981" s="275">
        <f>IF(Z$7="Actual",0,IF(Z972&lt;&gt;0,IPMT(Z975,1,Z977,SUM(Z979:Z979),0,0),0))</f>
        <v/>
      </c>
      <c r="AA981" s="275">
        <f>IF(AA$7="Actual",0,IF(AA972&lt;&gt;0,IPMT(AA975,1,AA977,SUM(AA979:AA979),0,0),0))</f>
        <v/>
      </c>
      <c r="AB981" s="275">
        <f>IF(AB$7="Actual",0,IF(AB972&lt;&gt;0,IPMT(AB975,1,AB977,SUM(AB979:AB979),0,0),0))</f>
        <v/>
      </c>
      <c r="AC981" s="275">
        <f>IF(AC$7="Actual",0,IF(AC972&lt;&gt;0,IPMT(AC975,1,AC977,SUM(AC979:AC979),0,0),0))</f>
        <v/>
      </c>
      <c r="AD981" s="275">
        <f>IF(AD$7="Actual",0,IF(AD972&lt;&gt;0,IPMT(AD975,1,AD977,SUM(AD979:AD979),0,0),0))</f>
        <v/>
      </c>
      <c r="AE981" s="275">
        <f>IF(AE$7="Actual",0,IF(AE972&lt;&gt;0,IPMT(AE975,1,AE977,SUM(AE979:AE979),0,0),0))</f>
        <v/>
      </c>
      <c r="AF981" s="275">
        <f>IF(AF$7="Actual",0,IF(AF972&lt;&gt;0,IPMT(AF975,1,AF977,SUM(AF979:AF979),0,0),0))</f>
        <v/>
      </c>
      <c r="AG981" s="275">
        <f>IF(AG$7="Actual",0,IF(AG972&lt;&gt;0,IPMT(AG975,1,AG977,SUM(AG979:AG979),0,0),0))</f>
        <v/>
      </c>
      <c r="AH981" s="275">
        <f>IF(AH$7="Actual",0,IF(AH972&lt;&gt;0,IPMT(AH975,1,AH977,SUM(AH979:AH979),0,0),0))</f>
        <v/>
      </c>
      <c r="AI981" s="275">
        <f>IF(AI$7="Actual",0,IF(AI972&lt;&gt;0,IPMT(AI975,1,AI977,SUM(AI979:AI979),0,0),0))</f>
        <v/>
      </c>
      <c r="AJ981" s="275">
        <f>IF(AJ$7="Actual",0,IF(AJ972&lt;&gt;0,IPMT(AJ975,1,AJ977,SUM(AJ979:AJ979),0,0),0))</f>
        <v/>
      </c>
      <c r="AK981" s="275">
        <f>IF(AK$7="Actual",0,IF(AK972&lt;&gt;0,IPMT(AK975,1,AK977,SUM(AK979:AK979),0,0),0))</f>
        <v/>
      </c>
      <c r="AL981" s="275">
        <f>IF(AL$7="Actual",0,IF(AL972&lt;&gt;0,IPMT(AL975,1,AL977,SUM(AL979:AL979),0,0),0))</f>
        <v/>
      </c>
      <c r="AM981" s="275">
        <f>IF(AM$7="Actual",0,IF(AM972&lt;&gt;0,IPMT(AM975,1,AM977,SUM(AM979:AM979),0,0),0))</f>
        <v/>
      </c>
      <c r="AN981" s="275">
        <f>IF(AN$7="Actual",0,IF(AN972&lt;&gt;0,IPMT(AN975,1,AN977,SUM(AN979:AN979),0,0),0))</f>
        <v/>
      </c>
      <c r="AO981" s="275">
        <f>IF(AO$7="Actual",0,IF(AO972&lt;&gt;0,IPMT(AO975,1,AO977,SUM(AO979:AO979),0,0),0))</f>
        <v/>
      </c>
      <c r="AP981" s="275">
        <f>IF(AP$7="Actual",0,IF(AP972&lt;&gt;0,IPMT(AP975,1,AP977,SUM(AP979:AP979),0,0),0))</f>
        <v/>
      </c>
      <c r="AQ981" s="275">
        <f>IF(AQ$7="Actual",0,IF(AQ972&lt;&gt;0,IPMT(AQ975,1,AQ977,SUM(AQ979:AQ979),0,0),0))</f>
        <v/>
      </c>
      <c r="AR981" s="275">
        <f>IF(AR$7="Actual",0,IF(AR972&lt;&gt;0,IPMT(AR975,1,AR977,SUM(AR979:AR979),0,0),0))</f>
        <v/>
      </c>
      <c r="AS981" s="275">
        <f>IF(AS$7="Actual",0,IF(AS972&lt;&gt;0,IPMT(AS975,1,AS977,SUM(AS979:AS979),0,0),0))</f>
        <v/>
      </c>
      <c r="AT981" s="275">
        <f>IF(AT$7="Actual",0,IF(AT972&lt;&gt;0,IPMT(AT975,1,AT977,SUM(AT979:AT979),0,0),0))</f>
        <v/>
      </c>
      <c r="AU981" s="275">
        <f>IF(AU$7="Actual",0,IF(AU972&lt;&gt;0,IPMT(AU975,1,AU977,SUM(AU979:AU979),0,0),0))</f>
        <v/>
      </c>
      <c r="AV981" s="275">
        <f>IF(AV$7="Actual",0,IF(AV972&lt;&gt;0,IPMT(AV975,1,AV977,SUM(AV979:AV979),0,0),0))</f>
        <v/>
      </c>
      <c r="AW981" s="275">
        <f>IF(AW$7="Actual",0,IF(AW972&lt;&gt;0,IPMT(AW975,1,AW977,SUM(AW979:AW979),0,0),0))</f>
        <v/>
      </c>
      <c r="AX981" s="275">
        <f>IF(AX$7="Actual",0,IF(AX972&lt;&gt;0,IPMT(AX975,1,AX977,SUM(AX979:AX979),0,0),0))</f>
        <v/>
      </c>
      <c r="AY981" s="275">
        <f>IF(AY$7="Actual",0,IF(AY972&lt;&gt;0,IPMT(AY975,1,AY977,SUM(AY979:AY979),0,0),0))</f>
        <v/>
      </c>
      <c r="AZ981" s="275">
        <f>IF(AZ$7="Actual",0,IF(AZ972&lt;&gt;0,IPMT(AZ975,1,AZ977,SUM(AZ979:AZ979),0,0),0))</f>
        <v/>
      </c>
      <c r="BA981" s="275">
        <f>IF(BA$7="Actual",0,IF(BA972&lt;&gt;0,IPMT(BA975,1,BA977,SUM(BA979:BA979),0,0),0))</f>
        <v/>
      </c>
      <c r="BB981" s="275">
        <f>IF(BB$7="Actual",0,IF(BB972&lt;&gt;0,IPMT(BB975,1,BB977,SUM(BB979:BB979),0,0),0))</f>
        <v/>
      </c>
      <c r="BC981" s="275">
        <f>IF(BC$7="Actual",0,IF(BC972&lt;&gt;0,IPMT(BC975,1,BC977,SUM(BC979:BC979),0,0),0))</f>
        <v/>
      </c>
      <c r="BD981" s="275">
        <f>IF(BD$7="Actual",0,IF(BD972&lt;&gt;0,IPMT(BD975,1,BD977,SUM(BD979:BD979),0,0),0))</f>
        <v/>
      </c>
      <c r="BE981" s="275">
        <f>IF(BE$7="Actual",0,IF(BE972&lt;&gt;0,IPMT(BE975,1,BE977,SUM(BE979:BE979),0,0),0))</f>
        <v/>
      </c>
      <c r="BF981" s="275">
        <f>IF(BF$7="Actual",0,IF(BF972&lt;&gt;0,IPMT(BF975,1,BF977,SUM(BF979:BF979),0,0),0))</f>
        <v/>
      </c>
      <c r="BG981" s="275">
        <f>IF(BG$7="Actual",0,IF(BG972&lt;&gt;0,IPMT(BG975,1,BG977,SUM(BG979:BG979),0,0),0))</f>
        <v/>
      </c>
      <c r="BH981" s="275">
        <f>IF(BH$7="Actual",0,IF(BH972&lt;&gt;0,IPMT(BH975,1,BH977,SUM(BH979:BH979),0,0),0))</f>
        <v/>
      </c>
      <c r="BI981" s="275">
        <f>IF(BI$7="Actual",0,IF(BI972&lt;&gt;0,IPMT(BI975,1,BI977,SUM(BI979:BI979),0,0),0))</f>
        <v/>
      </c>
      <c r="BJ981" s="275">
        <f>IF(BJ$7="Actual",0,IF(BJ972&lt;&gt;0,IPMT(BJ975,1,BJ977,SUM(BJ979:BJ979),0,0),0))</f>
        <v/>
      </c>
      <c r="BK981" s="275">
        <f>IF(BK$7="Actual",0,IF(BK972&lt;&gt;0,IPMT(BK975,1,BK977,SUM(BK979:BK979),0,0),0))</f>
        <v/>
      </c>
      <c r="BL981" s="275">
        <f>IF(BL$7="Actual",0,IF(BL972&lt;&gt;0,IPMT(BL975,1,BL977,SUM(BL979:BL979),0,0),0))</f>
        <v/>
      </c>
      <c r="BM981" s="275">
        <f>IF(BM$7="Actual",0,IF(BM972&lt;&gt;0,IPMT(BM975,1,BM977,SUM(BM979:BM979),0,0),0))</f>
        <v/>
      </c>
      <c r="BN981" s="275">
        <f>IF(BN$7="Actual",0,IF(BN972&lt;&gt;0,IPMT(BN975,1,BN977,SUM(BN979:BN979),0,0),0))</f>
        <v/>
      </c>
      <c r="BO981" s="275">
        <f>IF(BO$7="Actual",0,IF(BO972&lt;&gt;0,IPMT(BO975,1,BO977,SUM(BO979:BO979),0,0),0))</f>
        <v/>
      </c>
      <c r="BP981" s="275">
        <f>IF(BP$7="Actual",0,IF(BP972&lt;&gt;0,IPMT(BP975,1,BP977,SUM(BP979:BP979),0,0),0))</f>
        <v/>
      </c>
      <c r="BQ981" s="275">
        <f>IF(BQ$7="Actual",0,IF(BQ972&lt;&gt;0,IPMT(BQ975,1,BQ977,SUM(BQ979:BQ979),0,0),0))</f>
        <v/>
      </c>
      <c r="BR981" s="275">
        <f>IF(BR$7="Actual",0,IF(BR972&lt;&gt;0,IPMT(BR975,1,BR977,SUM(BR979:BR979),0,0),0))</f>
        <v/>
      </c>
      <c r="BS981" s="275">
        <f>IF(BS$7="Actual",0,IF(BS972&lt;&gt;0,IPMT(BS975,1,BS977,SUM(BS979:BS979),0,0),0))</f>
        <v/>
      </c>
      <c r="BT981" s="275">
        <f>IF(BT$7="Actual",0,IF(BT972&lt;&gt;0,IPMT(BT975,1,BT977,SUM(BT979:BT979),0,0),0))</f>
        <v/>
      </c>
      <c r="BU981" s="275">
        <f>IF(BU$7="Actual",0,IF(BU972&lt;&gt;0,IPMT(BU975,1,BU977,SUM(BU979:BU979),0,0),0))</f>
        <v/>
      </c>
      <c r="BV981" s="275">
        <f>IF(BV$7="Actual",0,IF(BV972&lt;&gt;0,IPMT(BV975,1,BV977,SUM(BV979:BV979),0,0),0))</f>
        <v/>
      </c>
      <c r="BW981" s="275">
        <f>IF(BW$7="Actual",0,IF(BW972&lt;&gt;0,IPMT(BW975,1,BW977,SUM(BW979:BW979),0,0),0))</f>
        <v/>
      </c>
      <c r="BX981" s="275">
        <f>IF(BX$7="Actual",0,IF(BX972&lt;&gt;0,IPMT(BX975,1,BX977,SUM(BX979:BX979),0,0),0))</f>
        <v/>
      </c>
      <c r="BY981" s="275">
        <f>IF(BY$7="Actual",0,IF(BY972&lt;&gt;0,IPMT(BY975,1,BY977,SUM(BY979:BY979),0,0),0))</f>
        <v/>
      </c>
      <c r="BZ981" s="275">
        <f>IF(BZ$7="Actual",0,IF(BZ972&lt;&gt;0,IPMT(BZ975,1,BZ977,SUM(BZ979:BZ979),0,0),0))</f>
        <v/>
      </c>
      <c r="CA981" s="275">
        <f>IF(CA$7="Actual",0,IF(CA972&lt;&gt;0,IPMT(CA975,1,CA977,SUM(CA979:CA979),0,0),0))</f>
        <v/>
      </c>
    </row>
    <row r="982" ht="12" customHeight="1" s="227">
      <c r="A982" s="244" t="n"/>
      <c r="B982" s="244" t="n"/>
      <c r="C982" s="244" t="n"/>
      <c r="H982" s="0" t="inlineStr">
        <is>
          <t>Principal Payment</t>
        </is>
      </c>
      <c r="I982" s="27">
        <f>i_Setup!$M$16</f>
        <v/>
      </c>
      <c r="K982" s="6" t="n"/>
      <c r="M982" s="245">
        <f>SUMIF($T$4:$CA$4,M$4,$T982:$CA982)</f>
        <v/>
      </c>
      <c r="N982" s="245">
        <f>SUMIF($T$4:$CA$4,N$4,$T982:$CA982)</f>
        <v/>
      </c>
      <c r="O982" s="245">
        <f>SUMIF($T$4:$CA$4,O$4,$T982:$CA982)</f>
        <v/>
      </c>
      <c r="P982" s="245">
        <f>SUMIF($T$4:$CA$4,P$4,$T982:$CA982)</f>
        <v/>
      </c>
      <c r="Q982" s="245">
        <f>SUMIF($T$4:$CA$4,Q$4,$T982:$CA982)</f>
        <v/>
      </c>
      <c r="T982" s="275">
        <f>IF(T$7="Actual",0,IF(T972&lt;&gt;0,PPMT(T975,1,T977,SUM(T979:T979),0,0),0))</f>
        <v/>
      </c>
      <c r="U982" s="275">
        <f>IF(U$7="Actual",0,IF(U972&lt;&gt;0,PPMT(U975,1,U977,SUM(U979:U979),0,0),0))</f>
        <v/>
      </c>
      <c r="V982" s="275">
        <f>IF(V$7="Actual",0,IF(V972&lt;&gt;0,PPMT(V975,1,V977,SUM(V979:V979),0,0),0))</f>
        <v/>
      </c>
      <c r="W982" s="275">
        <f>IF(W$7="Actual",0,IF(W972&lt;&gt;0,PPMT(W975,1,W977,SUM(W979:W979),0,0),0))</f>
        <v/>
      </c>
      <c r="X982" s="275">
        <f>IF(X$7="Actual",0,IF(X972&lt;&gt;0,PPMT(X975,1,X977,SUM(X979:X979),0,0),0))</f>
        <v/>
      </c>
      <c r="Y982" s="275">
        <f>IF(Y$7="Actual",0,IF(Y972&lt;&gt;0,PPMT(Y975,1,Y977,SUM(Y979:Y979),0,0),0))</f>
        <v/>
      </c>
      <c r="Z982" s="275">
        <f>IF(Z$7="Actual",0,IF(Z972&lt;&gt;0,PPMT(Z975,1,Z977,SUM(Z979:Z979),0,0),0))</f>
        <v/>
      </c>
      <c r="AA982" s="275">
        <f>IF(AA$7="Actual",0,IF(AA972&lt;&gt;0,PPMT(AA975,1,AA977,SUM(AA979:AA979),0,0),0))</f>
        <v/>
      </c>
      <c r="AB982" s="275">
        <f>IF(AB$7="Actual",0,IF(AB972&lt;&gt;0,PPMT(AB975,1,AB977,SUM(AB979:AB979),0,0),0))</f>
        <v/>
      </c>
      <c r="AC982" s="275">
        <f>IF(AC$7="Actual",0,IF(AC972&lt;&gt;0,PPMT(AC975,1,AC977,SUM(AC979:AC979),0,0),0))</f>
        <v/>
      </c>
      <c r="AD982" s="275">
        <f>IF(AD$7="Actual",0,IF(AD972&lt;&gt;0,PPMT(AD975,1,AD977,SUM(AD979:AD979),0,0),0))</f>
        <v/>
      </c>
      <c r="AE982" s="275">
        <f>IF(AE$7="Actual",0,IF(AE972&lt;&gt;0,PPMT(AE975,1,AE977,SUM(AE979:AE979),0,0),0))</f>
        <v/>
      </c>
      <c r="AF982" s="275">
        <f>IF(AF$7="Actual",0,IF(AF972&lt;&gt;0,PPMT(AF975,1,AF977,SUM(AF979:AF979),0,0),0))</f>
        <v/>
      </c>
      <c r="AG982" s="275">
        <f>IF(AG$7="Actual",0,IF(AG972&lt;&gt;0,PPMT(AG975,1,AG977,SUM(AG979:AG979),0,0),0))</f>
        <v/>
      </c>
      <c r="AH982" s="275">
        <f>IF(AH$7="Actual",0,IF(AH972&lt;&gt;0,PPMT(AH975,1,AH977,SUM(AH979:AH979),0,0),0))</f>
        <v/>
      </c>
      <c r="AI982" s="275">
        <f>IF(AI$7="Actual",0,IF(AI972&lt;&gt;0,PPMT(AI975,1,AI977,SUM(AI979:AI979),0,0),0))</f>
        <v/>
      </c>
      <c r="AJ982" s="275">
        <f>IF(AJ$7="Actual",0,IF(AJ972&lt;&gt;0,PPMT(AJ975,1,AJ977,SUM(AJ979:AJ979),0,0),0))</f>
        <v/>
      </c>
      <c r="AK982" s="275">
        <f>IF(AK$7="Actual",0,IF(AK972&lt;&gt;0,PPMT(AK975,1,AK977,SUM(AK979:AK979),0,0),0))</f>
        <v/>
      </c>
      <c r="AL982" s="275">
        <f>IF(AL$7="Actual",0,IF(AL972&lt;&gt;0,PPMT(AL975,1,AL977,SUM(AL979:AL979),0,0),0))</f>
        <v/>
      </c>
      <c r="AM982" s="275">
        <f>IF(AM$7="Actual",0,IF(AM972&lt;&gt;0,PPMT(AM975,1,AM977,SUM(AM979:AM979),0,0),0))</f>
        <v/>
      </c>
      <c r="AN982" s="275">
        <f>IF(AN$7="Actual",0,IF(AN972&lt;&gt;0,PPMT(AN975,1,AN977,SUM(AN979:AN979),0,0),0))</f>
        <v/>
      </c>
      <c r="AO982" s="275">
        <f>IF(AO$7="Actual",0,IF(AO972&lt;&gt;0,PPMT(AO975,1,AO977,SUM(AO979:AO979),0,0),0))</f>
        <v/>
      </c>
      <c r="AP982" s="275">
        <f>IF(AP$7="Actual",0,IF(AP972&lt;&gt;0,PPMT(AP975,1,AP977,SUM(AP979:AP979),0,0),0))</f>
        <v/>
      </c>
      <c r="AQ982" s="275">
        <f>IF(AQ$7="Actual",0,IF(AQ972&lt;&gt;0,PPMT(AQ975,1,AQ977,SUM(AQ979:AQ979),0,0),0))</f>
        <v/>
      </c>
      <c r="AR982" s="275">
        <f>IF(AR$7="Actual",0,IF(AR972&lt;&gt;0,PPMT(AR975,1,AR977,SUM(AR979:AR979),0,0),0))</f>
        <v/>
      </c>
      <c r="AS982" s="275">
        <f>IF(AS$7="Actual",0,IF(AS972&lt;&gt;0,PPMT(AS975,1,AS977,SUM(AS979:AS979),0,0),0))</f>
        <v/>
      </c>
      <c r="AT982" s="275">
        <f>IF(AT$7="Actual",0,IF(AT972&lt;&gt;0,PPMT(AT975,1,AT977,SUM(AT979:AT979),0,0),0))</f>
        <v/>
      </c>
      <c r="AU982" s="275">
        <f>IF(AU$7="Actual",0,IF(AU972&lt;&gt;0,PPMT(AU975,1,AU977,SUM(AU979:AU979),0,0),0))</f>
        <v/>
      </c>
      <c r="AV982" s="275">
        <f>IF(AV$7="Actual",0,IF(AV972&lt;&gt;0,PPMT(AV975,1,AV977,SUM(AV979:AV979),0,0),0))</f>
        <v/>
      </c>
      <c r="AW982" s="275">
        <f>IF(AW$7="Actual",0,IF(AW972&lt;&gt;0,PPMT(AW975,1,AW977,SUM(AW979:AW979),0,0),0))</f>
        <v/>
      </c>
      <c r="AX982" s="275">
        <f>IF(AX$7="Actual",0,IF(AX972&lt;&gt;0,PPMT(AX975,1,AX977,SUM(AX979:AX979),0,0),0))</f>
        <v/>
      </c>
      <c r="AY982" s="275">
        <f>IF(AY$7="Actual",0,IF(AY972&lt;&gt;0,PPMT(AY975,1,AY977,SUM(AY979:AY979),0,0),0))</f>
        <v/>
      </c>
      <c r="AZ982" s="275">
        <f>IF(AZ$7="Actual",0,IF(AZ972&lt;&gt;0,PPMT(AZ975,1,AZ977,SUM(AZ979:AZ979),0,0),0))</f>
        <v/>
      </c>
      <c r="BA982" s="275">
        <f>IF(BA$7="Actual",0,IF(BA972&lt;&gt;0,PPMT(BA975,1,BA977,SUM(BA979:BA979),0,0),0))</f>
        <v/>
      </c>
      <c r="BB982" s="275">
        <f>IF(BB$7="Actual",0,IF(BB972&lt;&gt;0,PPMT(BB975,1,BB977,SUM(BB979:BB979),0,0),0))</f>
        <v/>
      </c>
      <c r="BC982" s="275">
        <f>IF(BC$7="Actual",0,IF(BC972&lt;&gt;0,PPMT(BC975,1,BC977,SUM(BC979:BC979),0,0),0))</f>
        <v/>
      </c>
      <c r="BD982" s="275">
        <f>IF(BD$7="Actual",0,IF(BD972&lt;&gt;0,PPMT(BD975,1,BD977,SUM(BD979:BD979),0,0),0))</f>
        <v/>
      </c>
      <c r="BE982" s="275">
        <f>IF(BE$7="Actual",0,IF(BE972&lt;&gt;0,PPMT(BE975,1,BE977,SUM(BE979:BE979),0,0),0))</f>
        <v/>
      </c>
      <c r="BF982" s="275">
        <f>IF(BF$7="Actual",0,IF(BF972&lt;&gt;0,PPMT(BF975,1,BF977,SUM(BF979:BF979),0,0),0))</f>
        <v/>
      </c>
      <c r="BG982" s="275">
        <f>IF(BG$7="Actual",0,IF(BG972&lt;&gt;0,PPMT(BG975,1,BG977,SUM(BG979:BG979),0,0),0))</f>
        <v/>
      </c>
      <c r="BH982" s="275">
        <f>IF(BH$7="Actual",0,IF(BH972&lt;&gt;0,PPMT(BH975,1,BH977,SUM(BH979:BH979),0,0),0))</f>
        <v/>
      </c>
      <c r="BI982" s="275">
        <f>IF(BI$7="Actual",0,IF(BI972&lt;&gt;0,PPMT(BI975,1,BI977,SUM(BI979:BI979),0,0),0))</f>
        <v/>
      </c>
      <c r="BJ982" s="275">
        <f>IF(BJ$7="Actual",0,IF(BJ972&lt;&gt;0,PPMT(BJ975,1,BJ977,SUM(BJ979:BJ979),0,0),0))</f>
        <v/>
      </c>
      <c r="BK982" s="275">
        <f>IF(BK$7="Actual",0,IF(BK972&lt;&gt;0,PPMT(BK975,1,BK977,SUM(BK979:BK979),0,0),0))</f>
        <v/>
      </c>
      <c r="BL982" s="275">
        <f>IF(BL$7="Actual",0,IF(BL972&lt;&gt;0,PPMT(BL975,1,BL977,SUM(BL979:BL979),0,0),0))</f>
        <v/>
      </c>
      <c r="BM982" s="275">
        <f>IF(BM$7="Actual",0,IF(BM972&lt;&gt;0,PPMT(BM975,1,BM977,SUM(BM979:BM979),0,0),0))</f>
        <v/>
      </c>
      <c r="BN982" s="275">
        <f>IF(BN$7="Actual",0,IF(BN972&lt;&gt;0,PPMT(BN975,1,BN977,SUM(BN979:BN979),0,0),0))</f>
        <v/>
      </c>
      <c r="BO982" s="275">
        <f>IF(BO$7="Actual",0,IF(BO972&lt;&gt;0,PPMT(BO975,1,BO977,SUM(BO979:BO979),0,0),0))</f>
        <v/>
      </c>
      <c r="BP982" s="275">
        <f>IF(BP$7="Actual",0,IF(BP972&lt;&gt;0,PPMT(BP975,1,BP977,SUM(BP979:BP979),0,0),0))</f>
        <v/>
      </c>
      <c r="BQ982" s="275">
        <f>IF(BQ$7="Actual",0,IF(BQ972&lt;&gt;0,PPMT(BQ975,1,BQ977,SUM(BQ979:BQ979),0,0),0))</f>
        <v/>
      </c>
      <c r="BR982" s="275">
        <f>IF(BR$7="Actual",0,IF(BR972&lt;&gt;0,PPMT(BR975,1,BR977,SUM(BR979:BR979),0,0),0))</f>
        <v/>
      </c>
      <c r="BS982" s="275">
        <f>IF(BS$7="Actual",0,IF(BS972&lt;&gt;0,PPMT(BS975,1,BS977,SUM(BS979:BS979),0,0),0))</f>
        <v/>
      </c>
      <c r="BT982" s="275">
        <f>IF(BT$7="Actual",0,IF(BT972&lt;&gt;0,PPMT(BT975,1,BT977,SUM(BT979:BT979),0,0),0))</f>
        <v/>
      </c>
      <c r="BU982" s="275">
        <f>IF(BU$7="Actual",0,IF(BU972&lt;&gt;0,PPMT(BU975,1,BU977,SUM(BU979:BU979),0,0),0))</f>
        <v/>
      </c>
      <c r="BV982" s="275">
        <f>IF(BV$7="Actual",0,IF(BV972&lt;&gt;0,PPMT(BV975,1,BV977,SUM(BV979:BV979),0,0),0))</f>
        <v/>
      </c>
      <c r="BW982" s="275">
        <f>IF(BW$7="Actual",0,IF(BW972&lt;&gt;0,PPMT(BW975,1,BW977,SUM(BW979:BW979),0,0),0))</f>
        <v/>
      </c>
      <c r="BX982" s="275">
        <f>IF(BX$7="Actual",0,IF(BX972&lt;&gt;0,PPMT(BX975,1,BX977,SUM(BX979:BX979),0,0),0))</f>
        <v/>
      </c>
      <c r="BY982" s="275">
        <f>IF(BY$7="Actual",0,IF(BY972&lt;&gt;0,PPMT(BY975,1,BY977,SUM(BY979:BY979),0,0),0))</f>
        <v/>
      </c>
      <c r="BZ982" s="275">
        <f>IF(BZ$7="Actual",0,IF(BZ972&lt;&gt;0,PPMT(BZ975,1,BZ977,SUM(BZ979:BZ979),0,0),0))</f>
        <v/>
      </c>
      <c r="CA982" s="275">
        <f>IF(CA$7="Actual",0,IF(CA972&lt;&gt;0,PPMT(CA975,1,CA977,SUM(CA979:CA979),0,0),0))</f>
        <v/>
      </c>
    </row>
    <row r="983" ht="12" customHeight="1" s="227">
      <c r="A983" s="244" t="n"/>
      <c r="B983" s="244" t="n"/>
      <c r="C983" s="244" t="n"/>
      <c r="H983" s="0" t="inlineStr">
        <is>
          <t>Drawings/(Repayments)</t>
        </is>
      </c>
      <c r="I983" s="27">
        <f>i_Setup!$M$16</f>
        <v/>
      </c>
      <c r="K983" s="6" t="n"/>
      <c r="M983" s="245">
        <f>SUMIF($T$4:$CA$4,M$4,$T983:$CA983)</f>
        <v/>
      </c>
      <c r="N983" s="245">
        <f>SUMIF($T$4:$CA$4,N$4,$T983:$CA983)</f>
        <v/>
      </c>
      <c r="O983" s="245">
        <f>SUMIF($T$4:$CA$4,O$4,$T983:$CA983)</f>
        <v/>
      </c>
      <c r="P983" s="245">
        <f>SUMIF($T$4:$CA$4,P$4,$T983:$CA983)</f>
        <v/>
      </c>
      <c r="Q983" s="245">
        <f>SUMIF($T$4:$CA$4,Q$4,$T983:$CA983)</f>
        <v/>
      </c>
      <c r="T983" s="257">
        <f>IF(T$7="Actual",0,IF(OR(i_Assumptions!T667=0,T972=0),0,MAX(-SUM(T979:T982),i_Assumptions!T667)))</f>
        <v/>
      </c>
      <c r="U983" s="257">
        <f>IF(U$7="Actual",0,IF(OR(i_Assumptions!U667=0,U972=0),0,MAX(-SUM(U979:U982),i_Assumptions!U667)))</f>
        <v/>
      </c>
      <c r="V983" s="257">
        <f>IF(V$7="Actual",0,IF(OR(i_Assumptions!V667=0,V972=0),0,MAX(-SUM(V979:V982),i_Assumptions!V667)))</f>
        <v/>
      </c>
      <c r="W983" s="257">
        <f>IF(W$7="Actual",0,IF(OR(i_Assumptions!W667=0,W972=0),0,MAX(-SUM(W979:W982),i_Assumptions!W667)))</f>
        <v/>
      </c>
      <c r="X983" s="257">
        <f>IF(X$7="Actual",0,IF(OR(i_Assumptions!X667=0,X972=0),0,MAX(-SUM(X979:X982),i_Assumptions!X667)))</f>
        <v/>
      </c>
      <c r="Y983" s="257">
        <f>IF(Y$7="Actual",0,IF(OR(i_Assumptions!Y667=0,Y972=0),0,MAX(-SUM(Y979:Y982),i_Assumptions!Y667)))</f>
        <v/>
      </c>
      <c r="Z983" s="257">
        <f>IF(Z$7="Actual",0,IF(OR(i_Assumptions!Z667=0,Z972=0),0,MAX(-SUM(Z979:Z982),i_Assumptions!Z667)))</f>
        <v/>
      </c>
      <c r="AA983" s="257">
        <f>IF(AA$7="Actual",0,IF(OR(i_Assumptions!AA667=0,AA972=0),0,MAX(-SUM(AA979:AA982),i_Assumptions!AA667)))</f>
        <v/>
      </c>
      <c r="AB983" s="257">
        <f>IF(AB$7="Actual",0,IF(OR(i_Assumptions!AB667=0,AB972=0),0,MAX(-SUM(AB979:AB982),i_Assumptions!AB667)))</f>
        <v/>
      </c>
      <c r="AC983" s="257">
        <f>IF(AC$7="Actual",0,IF(OR(i_Assumptions!AC667=0,AC972=0),0,MAX(-SUM(AC979:AC982),i_Assumptions!AC667)))</f>
        <v/>
      </c>
      <c r="AD983" s="257">
        <f>IF(AD$7="Actual",0,IF(OR(i_Assumptions!AD667=0,AD972=0),0,MAX(-SUM(AD979:AD982),i_Assumptions!AD667)))</f>
        <v/>
      </c>
      <c r="AE983" s="257">
        <f>IF(AE$7="Actual",0,IF(OR(i_Assumptions!AE667=0,AE972=0),0,MAX(-SUM(AE979:AE982),i_Assumptions!AE667)))</f>
        <v/>
      </c>
      <c r="AF983" s="257">
        <f>IF(AF$7="Actual",0,IF(OR(i_Assumptions!AF667=0,AF972=0),0,MAX(-SUM(AF979:AF982),i_Assumptions!AF667)))</f>
        <v/>
      </c>
      <c r="AG983" s="257">
        <f>IF(AG$7="Actual",0,IF(OR(i_Assumptions!AG667=0,AG972=0),0,MAX(-SUM(AG979:AG982),i_Assumptions!AG667)))</f>
        <v/>
      </c>
      <c r="AH983" s="257">
        <f>IF(AH$7="Actual",0,IF(OR(i_Assumptions!AH667=0,AH972=0),0,MAX(-SUM(AH979:AH982),i_Assumptions!AH667)))</f>
        <v/>
      </c>
      <c r="AI983" s="257">
        <f>IF(AI$7="Actual",0,IF(OR(i_Assumptions!AI667=0,AI972=0),0,MAX(-SUM(AI979:AI982),i_Assumptions!AI667)))</f>
        <v/>
      </c>
      <c r="AJ983" s="257">
        <f>IF(AJ$7="Actual",0,IF(OR(i_Assumptions!AJ667=0,AJ972=0),0,MAX(-SUM(AJ979:AJ982),i_Assumptions!AJ667)))</f>
        <v/>
      </c>
      <c r="AK983" s="257">
        <f>IF(AK$7="Actual",0,IF(OR(i_Assumptions!AK667=0,AK972=0),0,MAX(-SUM(AK979:AK982),i_Assumptions!AK667)))</f>
        <v/>
      </c>
      <c r="AL983" s="257">
        <f>IF(AL$7="Actual",0,IF(OR(i_Assumptions!AL667=0,AL972=0),0,MAX(-SUM(AL979:AL982),i_Assumptions!AL667)))</f>
        <v/>
      </c>
      <c r="AM983" s="257">
        <f>IF(AM$7="Actual",0,IF(OR(i_Assumptions!AM667=0,AM972=0),0,MAX(-SUM(AM979:AM982),i_Assumptions!AM667)))</f>
        <v/>
      </c>
      <c r="AN983" s="257">
        <f>IF(AN$7="Actual",0,IF(OR(i_Assumptions!AN667=0,AN972=0),0,MAX(-SUM(AN979:AN982),i_Assumptions!AN667)))</f>
        <v/>
      </c>
      <c r="AO983" s="257">
        <f>IF(AO$7="Actual",0,IF(OR(i_Assumptions!AO667=0,AO972=0),0,MAX(-SUM(AO979:AO982),i_Assumptions!AO667)))</f>
        <v/>
      </c>
      <c r="AP983" s="257">
        <f>IF(AP$7="Actual",0,IF(OR(i_Assumptions!AP667=0,AP972=0),0,MAX(-SUM(AP979:AP982),i_Assumptions!AP667)))</f>
        <v/>
      </c>
      <c r="AQ983" s="257">
        <f>IF(AQ$7="Actual",0,IF(OR(i_Assumptions!AQ667=0,AQ972=0),0,MAX(-SUM(AQ979:AQ982),i_Assumptions!AQ667)))</f>
        <v/>
      </c>
      <c r="AR983" s="257">
        <f>IF(AR$7="Actual",0,IF(OR(i_Assumptions!AR667=0,AR972=0),0,MAX(-SUM(AR979:AR982),i_Assumptions!AR667)))</f>
        <v/>
      </c>
      <c r="AS983" s="257">
        <f>IF(AS$7="Actual",0,IF(OR(i_Assumptions!AS667=0,AS972=0),0,MAX(-SUM(AS979:AS982),i_Assumptions!AS667)))</f>
        <v/>
      </c>
      <c r="AT983" s="257">
        <f>IF(AT$7="Actual",0,IF(OR(i_Assumptions!AT667=0,AT972=0),0,MAX(-SUM(AT979:AT982),i_Assumptions!AT667)))</f>
        <v/>
      </c>
      <c r="AU983" s="257">
        <f>IF(AU$7="Actual",0,IF(OR(i_Assumptions!AU667=0,AU972=0),0,MAX(-SUM(AU979:AU982),i_Assumptions!AU667)))</f>
        <v/>
      </c>
      <c r="AV983" s="257">
        <f>IF(AV$7="Actual",0,IF(OR(i_Assumptions!AV667=0,AV972=0),0,MAX(-SUM(AV979:AV982),i_Assumptions!AV667)))</f>
        <v/>
      </c>
      <c r="AW983" s="257">
        <f>IF(AW$7="Actual",0,IF(OR(i_Assumptions!AW667=0,AW972=0),0,MAX(-SUM(AW979:AW982),i_Assumptions!AW667)))</f>
        <v/>
      </c>
      <c r="AX983" s="257">
        <f>IF(AX$7="Actual",0,IF(OR(i_Assumptions!AX667=0,AX972=0),0,MAX(-SUM(AX979:AX982),i_Assumptions!AX667)))</f>
        <v/>
      </c>
      <c r="AY983" s="257">
        <f>IF(AY$7="Actual",0,IF(OR(i_Assumptions!AY667=0,AY972=0),0,MAX(-SUM(AY979:AY982),i_Assumptions!AY667)))</f>
        <v/>
      </c>
      <c r="AZ983" s="257">
        <f>IF(AZ$7="Actual",0,IF(OR(i_Assumptions!AZ667=0,AZ972=0),0,MAX(-SUM(AZ979:AZ982),i_Assumptions!AZ667)))</f>
        <v/>
      </c>
      <c r="BA983" s="257">
        <f>IF(BA$7="Actual",0,IF(OR(i_Assumptions!BA667=0,BA972=0),0,MAX(-SUM(BA979:BA982),i_Assumptions!BA667)))</f>
        <v/>
      </c>
      <c r="BB983" s="257">
        <f>IF(BB$7="Actual",0,IF(OR(i_Assumptions!BB667=0,BB972=0),0,MAX(-SUM(BB979:BB982),i_Assumptions!BB667)))</f>
        <v/>
      </c>
      <c r="BC983" s="257">
        <f>IF(BC$7="Actual",0,IF(OR(i_Assumptions!BC667=0,BC972=0),0,MAX(-SUM(BC979:BC982),i_Assumptions!BC667)))</f>
        <v/>
      </c>
      <c r="BD983" s="257">
        <f>IF(BD$7="Actual",0,IF(OR(i_Assumptions!BD667=0,BD972=0),0,MAX(-SUM(BD979:BD982),i_Assumptions!BD667)))</f>
        <v/>
      </c>
      <c r="BE983" s="257">
        <f>IF(BE$7="Actual",0,IF(OR(i_Assumptions!BE667=0,BE972=0),0,MAX(-SUM(BE979:BE982),i_Assumptions!BE667)))</f>
        <v/>
      </c>
      <c r="BF983" s="257">
        <f>IF(BF$7="Actual",0,IF(OR(i_Assumptions!BF667=0,BF972=0),0,MAX(-SUM(BF979:BF982),i_Assumptions!BF667)))</f>
        <v/>
      </c>
      <c r="BG983" s="257">
        <f>IF(BG$7="Actual",0,IF(OR(i_Assumptions!BG667=0,BG972=0),0,MAX(-SUM(BG979:BG982),i_Assumptions!BG667)))</f>
        <v/>
      </c>
      <c r="BH983" s="257">
        <f>IF(BH$7="Actual",0,IF(OR(i_Assumptions!BH667=0,BH972=0),0,MAX(-SUM(BH979:BH982),i_Assumptions!BH667)))</f>
        <v/>
      </c>
      <c r="BI983" s="257">
        <f>IF(BI$7="Actual",0,IF(OR(i_Assumptions!BI667=0,BI972=0),0,MAX(-SUM(BI979:BI982),i_Assumptions!BI667)))</f>
        <v/>
      </c>
      <c r="BJ983" s="257">
        <f>IF(BJ$7="Actual",0,IF(OR(i_Assumptions!BJ667=0,BJ972=0),0,MAX(-SUM(BJ979:BJ982),i_Assumptions!BJ667)))</f>
        <v/>
      </c>
      <c r="BK983" s="257">
        <f>IF(BK$7="Actual",0,IF(OR(i_Assumptions!BK667=0,BK972=0),0,MAX(-SUM(BK979:BK982),i_Assumptions!BK667)))</f>
        <v/>
      </c>
      <c r="BL983" s="257">
        <f>IF(BL$7="Actual",0,IF(OR(i_Assumptions!BL667=0,BL972=0),0,MAX(-SUM(BL979:BL982),i_Assumptions!BL667)))</f>
        <v/>
      </c>
      <c r="BM983" s="257">
        <f>IF(BM$7="Actual",0,IF(OR(i_Assumptions!BM667=0,BM972=0),0,MAX(-SUM(BM979:BM982),i_Assumptions!BM667)))</f>
        <v/>
      </c>
      <c r="BN983" s="257">
        <f>IF(BN$7="Actual",0,IF(OR(i_Assumptions!BN667=0,BN972=0),0,MAX(-SUM(BN979:BN982),i_Assumptions!BN667)))</f>
        <v/>
      </c>
      <c r="BO983" s="257">
        <f>IF(BO$7="Actual",0,IF(OR(i_Assumptions!BO667=0,BO972=0),0,MAX(-SUM(BO979:BO982),i_Assumptions!BO667)))</f>
        <v/>
      </c>
      <c r="BP983" s="257">
        <f>IF(BP$7="Actual",0,IF(OR(i_Assumptions!BP667=0,BP972=0),0,MAX(-SUM(BP979:BP982),i_Assumptions!BP667)))</f>
        <v/>
      </c>
      <c r="BQ983" s="257">
        <f>IF(BQ$7="Actual",0,IF(OR(i_Assumptions!BQ667=0,BQ972=0),0,MAX(-SUM(BQ979:BQ982),i_Assumptions!BQ667)))</f>
        <v/>
      </c>
      <c r="BR983" s="257">
        <f>IF(BR$7="Actual",0,IF(OR(i_Assumptions!BR667=0,BR972=0),0,MAX(-SUM(BR979:BR982),i_Assumptions!BR667)))</f>
        <v/>
      </c>
      <c r="BS983" s="257">
        <f>IF(BS$7="Actual",0,IF(OR(i_Assumptions!BS667=0,BS972=0),0,MAX(-SUM(BS979:BS982),i_Assumptions!BS667)))</f>
        <v/>
      </c>
      <c r="BT983" s="257">
        <f>IF(BT$7="Actual",0,IF(OR(i_Assumptions!BT667=0,BT972=0),0,MAX(-SUM(BT979:BT982),i_Assumptions!BT667)))</f>
        <v/>
      </c>
      <c r="BU983" s="257">
        <f>IF(BU$7="Actual",0,IF(OR(i_Assumptions!BU667=0,BU972=0),0,MAX(-SUM(BU979:BU982),i_Assumptions!BU667)))</f>
        <v/>
      </c>
      <c r="BV983" s="257">
        <f>IF(BV$7="Actual",0,IF(OR(i_Assumptions!BV667=0,BV972=0),0,MAX(-SUM(BV979:BV982),i_Assumptions!BV667)))</f>
        <v/>
      </c>
      <c r="BW983" s="257">
        <f>IF(BW$7="Actual",0,IF(OR(i_Assumptions!BW667=0,BW972=0),0,MAX(-SUM(BW979:BW982),i_Assumptions!BW667)))</f>
        <v/>
      </c>
      <c r="BX983" s="257">
        <f>IF(BX$7="Actual",0,IF(OR(i_Assumptions!BX667=0,BX972=0),0,MAX(-SUM(BX979:BX982),i_Assumptions!BX667)))</f>
        <v/>
      </c>
      <c r="BY983" s="257">
        <f>IF(BY$7="Actual",0,IF(OR(i_Assumptions!BY667=0,BY972=0),0,MAX(-SUM(BY979:BY982),i_Assumptions!BY667)))</f>
        <v/>
      </c>
      <c r="BZ983" s="257">
        <f>IF(BZ$7="Actual",0,IF(OR(i_Assumptions!BZ667=0,BZ972=0),0,MAX(-SUM(BZ979:BZ982),i_Assumptions!BZ667)))</f>
        <v/>
      </c>
      <c r="CA983" s="257">
        <f>IF(CA$7="Actual",0,IF(OR(i_Assumptions!CA667=0,CA972=0),0,MAX(-SUM(CA979:CA982),i_Assumptions!CA667)))</f>
        <v/>
      </c>
    </row>
    <row r="984" ht="12" customHeight="1" s="227">
      <c r="A984" s="244" t="n"/>
      <c r="B984" s="244" t="n"/>
      <c r="C984" s="244" t="n"/>
      <c r="H984" s="0" t="inlineStr">
        <is>
          <t>Repayment Final</t>
        </is>
      </c>
      <c r="I984" s="27">
        <f>i_Setup!$M$16</f>
        <v/>
      </c>
      <c r="K984" s="6" t="n"/>
      <c r="M984" s="245">
        <f>SUMIF($T$4:$CA$4,M$4,$T984:$CA984)</f>
        <v/>
      </c>
      <c r="N984" s="245">
        <f>SUMIF($T$4:$CA$4,N$4,$T984:$CA984)</f>
        <v/>
      </c>
      <c r="O984" s="245">
        <f>SUMIF($T$4:$CA$4,O$4,$T984:$CA984)</f>
        <v/>
      </c>
      <c r="P984" s="245">
        <f>SUMIF($T$4:$CA$4,P$4,$T984:$CA984)</f>
        <v/>
      </c>
      <c r="Q984" s="245">
        <f>SUMIF($T$4:$CA$4,Q$4,$T984:$CA984)</f>
        <v/>
      </c>
      <c r="T984" s="245">
        <f>IF(T$7="Actual",0,IF(AND(U972=0,T972=1),-SUM(T979:T983),0))</f>
        <v/>
      </c>
      <c r="U984" s="245">
        <f>IF(U$7="Actual",0,IF(AND(V972=0,U972=1),-SUM(U979:U983),0))</f>
        <v/>
      </c>
      <c r="V984" s="245">
        <f>IF(V$7="Actual",0,IF(AND(W972=0,V972=1),-SUM(V979:V983),0))</f>
        <v/>
      </c>
      <c r="W984" s="245">
        <f>IF(W$7="Actual",0,IF(AND(X972=0,W972=1),-SUM(W979:W983),0))</f>
        <v/>
      </c>
      <c r="X984" s="245">
        <f>IF(X$7="Actual",0,IF(AND(Y972=0,X972=1),-SUM(X979:X983),0))</f>
        <v/>
      </c>
      <c r="Y984" s="245">
        <f>IF(Y$7="Actual",0,IF(AND(Z972=0,Y972=1),-SUM(Y979:Y983),0))</f>
        <v/>
      </c>
      <c r="Z984" s="245">
        <f>IF(Z$7="Actual",0,IF(AND(AA972=0,Z972=1),-SUM(Z979:Z983),0))</f>
        <v/>
      </c>
      <c r="AA984" s="245">
        <f>IF(AA$7="Actual",0,IF(AND(AB972=0,AA972=1),-SUM(AA979:AA983),0))</f>
        <v/>
      </c>
      <c r="AB984" s="245">
        <f>IF(AB$7="Actual",0,IF(AND(AC972=0,AB972=1),-SUM(AB979:AB983),0))</f>
        <v/>
      </c>
      <c r="AC984" s="245">
        <f>IF(AC$7="Actual",0,IF(AND(AD972=0,AC972=1),-SUM(AC979:AC983),0))</f>
        <v/>
      </c>
      <c r="AD984" s="245">
        <f>IF(AD$7="Actual",0,IF(AND(AE972=0,AD972=1),-SUM(AD979:AD983),0))</f>
        <v/>
      </c>
      <c r="AE984" s="245">
        <f>IF(AE$7="Actual",0,IF(AND(AF972=0,AE972=1),-SUM(AE979:AE983),0))</f>
        <v/>
      </c>
      <c r="AF984" s="245">
        <f>IF(AF$7="Actual",0,IF(AND(AG972=0,AF972=1),-SUM(AF979:AF983),0))</f>
        <v/>
      </c>
      <c r="AG984" s="245">
        <f>IF(AG$7="Actual",0,IF(AND(AH972=0,AG972=1),-SUM(AG979:AG983),0))</f>
        <v/>
      </c>
      <c r="AH984" s="245">
        <f>IF(AH$7="Actual",0,IF(AND(AI972=0,AH972=1),-SUM(AH979:AH983),0))</f>
        <v/>
      </c>
      <c r="AI984" s="245">
        <f>IF(AI$7="Actual",0,IF(AND(AJ972=0,AI972=1),-SUM(AI979:AI983),0))</f>
        <v/>
      </c>
      <c r="AJ984" s="245">
        <f>IF(AJ$7="Actual",0,IF(AND(AK972=0,AJ972=1),-SUM(AJ979:AJ983),0))</f>
        <v/>
      </c>
      <c r="AK984" s="245">
        <f>IF(AK$7="Actual",0,IF(AND(AL972=0,AK972=1),-SUM(AK979:AK983),0))</f>
        <v/>
      </c>
      <c r="AL984" s="245">
        <f>IF(AL$7="Actual",0,IF(AND(AM972=0,AL972=1),-SUM(AL979:AL983),0))</f>
        <v/>
      </c>
      <c r="AM984" s="245">
        <f>IF(AM$7="Actual",0,IF(AND(AN972=0,AM972=1),-SUM(AM979:AM983),0))</f>
        <v/>
      </c>
      <c r="AN984" s="245">
        <f>IF(AN$7="Actual",0,IF(AND(AO972=0,AN972=1),-SUM(AN979:AN983),0))</f>
        <v/>
      </c>
      <c r="AO984" s="245">
        <f>IF(AO$7="Actual",0,IF(AND(AP972=0,AO972=1),-SUM(AO979:AO983),0))</f>
        <v/>
      </c>
      <c r="AP984" s="245">
        <f>IF(AP$7="Actual",0,IF(AND(AQ972=0,AP972=1),-SUM(AP979:AP983),0))</f>
        <v/>
      </c>
      <c r="AQ984" s="245">
        <f>IF(AQ$7="Actual",0,IF(AND(AR972=0,AQ972=1),-SUM(AQ979:AQ983),0))</f>
        <v/>
      </c>
      <c r="AR984" s="245">
        <f>IF(AR$7="Actual",0,IF(AND(AS972=0,AR972=1),-SUM(AR979:AR983),0))</f>
        <v/>
      </c>
      <c r="AS984" s="245">
        <f>IF(AS$7="Actual",0,IF(AND(AT972=0,AS972=1),-SUM(AS979:AS983),0))</f>
        <v/>
      </c>
      <c r="AT984" s="245">
        <f>IF(AT$7="Actual",0,IF(AND(AU972=0,AT972=1),-SUM(AT979:AT983),0))</f>
        <v/>
      </c>
      <c r="AU984" s="245">
        <f>IF(AU$7="Actual",0,IF(AND(AV972=0,AU972=1),-SUM(AU979:AU983),0))</f>
        <v/>
      </c>
      <c r="AV984" s="245">
        <f>IF(AV$7="Actual",0,IF(AND(AW972=0,AV972=1),-SUM(AV979:AV983),0))</f>
        <v/>
      </c>
      <c r="AW984" s="245">
        <f>IF(AW$7="Actual",0,IF(AND(AX972=0,AW972=1),-SUM(AW979:AW983),0))</f>
        <v/>
      </c>
      <c r="AX984" s="245">
        <f>IF(AX$7="Actual",0,IF(AND(AY972=0,AX972=1),-SUM(AX979:AX983),0))</f>
        <v/>
      </c>
      <c r="AY984" s="245">
        <f>IF(AY$7="Actual",0,IF(AND(AZ972=0,AY972=1),-SUM(AY979:AY983),0))</f>
        <v/>
      </c>
      <c r="AZ984" s="245">
        <f>IF(AZ$7="Actual",0,IF(AND(BA972=0,AZ972=1),-SUM(AZ979:AZ983),0))</f>
        <v/>
      </c>
      <c r="BA984" s="245">
        <f>IF(BA$7="Actual",0,IF(AND(BB972=0,BA972=1),-SUM(BA979:BA983),0))</f>
        <v/>
      </c>
      <c r="BB984" s="245">
        <f>IF(BB$7="Actual",0,IF(AND(BC972=0,BB972=1),-SUM(BB979:BB983),0))</f>
        <v/>
      </c>
      <c r="BC984" s="245">
        <f>IF(BC$7="Actual",0,IF(AND(BD972=0,BC972=1),-SUM(BC979:BC983),0))</f>
        <v/>
      </c>
      <c r="BD984" s="245">
        <f>IF(BD$7="Actual",0,IF(AND(BE972=0,BD972=1),-SUM(BD979:BD983),0))</f>
        <v/>
      </c>
      <c r="BE984" s="245">
        <f>IF(BE$7="Actual",0,IF(AND(BF972=0,BE972=1),-SUM(BE979:BE983),0))</f>
        <v/>
      </c>
      <c r="BF984" s="245">
        <f>IF(BF$7="Actual",0,IF(AND(BG972=0,BF972=1),-SUM(BF979:BF983),0))</f>
        <v/>
      </c>
      <c r="BG984" s="245">
        <f>IF(BG$7="Actual",0,IF(AND(BH972=0,BG972=1),-SUM(BG979:BG983),0))</f>
        <v/>
      </c>
      <c r="BH984" s="245">
        <f>IF(BH$7="Actual",0,IF(AND(BI972=0,BH972=1),-SUM(BH979:BH983),0))</f>
        <v/>
      </c>
      <c r="BI984" s="245">
        <f>IF(BI$7="Actual",0,IF(AND(BJ972=0,BI972=1),-SUM(BI979:BI983),0))</f>
        <v/>
      </c>
      <c r="BJ984" s="245">
        <f>IF(BJ$7="Actual",0,IF(AND(BK972=0,BJ972=1),-SUM(BJ979:BJ983),0))</f>
        <v/>
      </c>
      <c r="BK984" s="245">
        <f>IF(BK$7="Actual",0,IF(AND(BL972=0,BK972=1),-SUM(BK979:BK983),0))</f>
        <v/>
      </c>
      <c r="BL984" s="245">
        <f>IF(BL$7="Actual",0,IF(AND(BM972=0,BL972=1),-SUM(BL979:BL983),0))</f>
        <v/>
      </c>
      <c r="BM984" s="245">
        <f>IF(BM$7="Actual",0,IF(AND(BN972=0,BM972=1),-SUM(BM979:BM983),0))</f>
        <v/>
      </c>
      <c r="BN984" s="245">
        <f>IF(BN$7="Actual",0,IF(AND(BO972=0,BN972=1),-SUM(BN979:BN983),0))</f>
        <v/>
      </c>
      <c r="BO984" s="245">
        <f>IF(BO$7="Actual",0,IF(AND(BP972=0,BO972=1),-SUM(BO979:BO983),0))</f>
        <v/>
      </c>
      <c r="BP984" s="245">
        <f>IF(BP$7="Actual",0,IF(AND(BQ972=0,BP972=1),-SUM(BP979:BP983),0))</f>
        <v/>
      </c>
      <c r="BQ984" s="245">
        <f>IF(BQ$7="Actual",0,IF(AND(BR972=0,BQ972=1),-SUM(BQ979:BQ983),0))</f>
        <v/>
      </c>
      <c r="BR984" s="245">
        <f>IF(BR$7="Actual",0,IF(AND(BS972=0,BR972=1),-SUM(BR979:BR983),0))</f>
        <v/>
      </c>
      <c r="BS984" s="245">
        <f>IF(BS$7="Actual",0,IF(AND(BT972=0,BS972=1),-SUM(BS979:BS983),0))</f>
        <v/>
      </c>
      <c r="BT984" s="245">
        <f>IF(BT$7="Actual",0,IF(AND(BU972=0,BT972=1),-SUM(BT979:BT983),0))</f>
        <v/>
      </c>
      <c r="BU984" s="245">
        <f>IF(BU$7="Actual",0,IF(AND(BV972=0,BU972=1),-SUM(BU979:BU983),0))</f>
        <v/>
      </c>
      <c r="BV984" s="245">
        <f>IF(BV$7="Actual",0,IF(AND(BW972=0,BV972=1),-SUM(BV979:BV983),0))</f>
        <v/>
      </c>
      <c r="BW984" s="245">
        <f>IF(BW$7="Actual",0,IF(AND(BX972=0,BW972=1),-SUM(BW979:BW983),0))</f>
        <v/>
      </c>
      <c r="BX984" s="245">
        <f>IF(BX$7="Actual",0,IF(AND(BY972=0,BX972=1),-SUM(BX979:BX983),0))</f>
        <v/>
      </c>
      <c r="BY984" s="245">
        <f>IF(BY$7="Actual",0,IF(AND(BZ972=0,BY972=1),-SUM(BY979:BY983),0))</f>
        <v/>
      </c>
      <c r="BZ984" s="245">
        <f>IF(BZ$7="Actual",0,IF(AND(CA972=0,BZ972=1),-SUM(BZ979:BZ983),0))</f>
        <v/>
      </c>
      <c r="CA984" s="245">
        <f>IF(CA$7="Actual",0,IF(AND(CB972=0,CA972=1),-SUM(CA979:CA983),0))</f>
        <v/>
      </c>
    </row>
    <row r="985" ht="12" customHeight="1" s="227" thickBot="1">
      <c r="A985" s="244" t="n"/>
      <c r="B985" s="244" t="n"/>
      <c r="C985" s="244" t="n"/>
      <c r="H985" s="42" t="inlineStr">
        <is>
          <t>Closing Balance</t>
        </is>
      </c>
      <c r="I985" s="43">
        <f>i_Setup!$M$16</f>
        <v/>
      </c>
      <c r="K985" s="6" t="n"/>
      <c r="M985" s="264">
        <f>SUMIF($T$2:$CA$2,M$2,$T985:$CA985)</f>
        <v/>
      </c>
      <c r="N985" s="264">
        <f>SUMIF($T$2:$CA$2,N$2,$T985:$CA985)</f>
        <v/>
      </c>
      <c r="O985" s="264">
        <f>SUMIF($T$2:$CA$2,O$2,$T985:$CA985)</f>
        <v/>
      </c>
      <c r="P985" s="264">
        <f>SUMIF($T$2:$CA$2,P$2,$T985:$CA985)</f>
        <v/>
      </c>
      <c r="Q985" s="264">
        <f>SUMIF($T$2:$CA$2,Q$2,$T985:$CA985)</f>
        <v/>
      </c>
      <c r="T985" s="264">
        <f>IF(T$7="Actual",-i_Actuals!T135,SUM(T979:T984))</f>
        <v/>
      </c>
      <c r="U985" s="264">
        <f>IF(U$7="Actual",-i_Actuals!U135,SUM(U979:U984))</f>
        <v/>
      </c>
      <c r="V985" s="264">
        <f>IF(V$7="Actual",-i_Actuals!V135,SUM(V979:V984))</f>
        <v/>
      </c>
      <c r="W985" s="264">
        <f>IF(W$7="Actual",-i_Actuals!W135,SUM(W979:W984))</f>
        <v/>
      </c>
      <c r="X985" s="264">
        <f>IF(X$7="Actual",-i_Actuals!X135,SUM(X979:X984))</f>
        <v/>
      </c>
      <c r="Y985" s="264">
        <f>IF(Y$7="Actual",-i_Actuals!Y135,SUM(Y979:Y984))</f>
        <v/>
      </c>
      <c r="Z985" s="264">
        <f>IF(Z$7="Actual",-i_Actuals!Z135,SUM(Z979:Z984))</f>
        <v/>
      </c>
      <c r="AA985" s="264">
        <f>IF(AA$7="Actual",-i_Actuals!AA135,SUM(AA979:AA984))</f>
        <v/>
      </c>
      <c r="AB985" s="264">
        <f>IF(AB$7="Actual",-i_Actuals!AB135,SUM(AB979:AB984))</f>
        <v/>
      </c>
      <c r="AC985" s="264">
        <f>IF(AC$7="Actual",-i_Actuals!AC135,SUM(AC979:AC984))</f>
        <v/>
      </c>
      <c r="AD985" s="264">
        <f>IF(AD$7="Actual",-i_Actuals!AD135,SUM(AD979:AD984))</f>
        <v/>
      </c>
      <c r="AE985" s="264">
        <f>IF(AE$7="Actual",-i_Actuals!AE135,SUM(AE979:AE984))</f>
        <v/>
      </c>
      <c r="AF985" s="264">
        <f>IF(AF$7="Actual",-i_Actuals!AF135,SUM(AF979:AF984))</f>
        <v/>
      </c>
      <c r="AG985" s="264">
        <f>IF(AG$7="Actual",-i_Actuals!AG135,SUM(AG979:AG984))</f>
        <v/>
      </c>
      <c r="AH985" s="264">
        <f>IF(AH$7="Actual",-i_Actuals!AH135,SUM(AH979:AH984))</f>
        <v/>
      </c>
      <c r="AI985" s="264">
        <f>IF(AI$7="Actual",-i_Actuals!AI135,SUM(AI979:AI984))</f>
        <v/>
      </c>
      <c r="AJ985" s="264">
        <f>IF(AJ$7="Actual",-i_Actuals!AJ135,SUM(AJ979:AJ984))</f>
        <v/>
      </c>
      <c r="AK985" s="264">
        <f>IF(AK$7="Actual",-i_Actuals!AK135,SUM(AK979:AK984))</f>
        <v/>
      </c>
      <c r="AL985" s="264">
        <f>IF(AL$7="Actual",-i_Actuals!AL135,SUM(AL979:AL984))</f>
        <v/>
      </c>
      <c r="AM985" s="264">
        <f>IF(AM$7="Actual",-i_Actuals!AM135,SUM(AM979:AM984))</f>
        <v/>
      </c>
      <c r="AN985" s="264">
        <f>IF(AN$7="Actual",-i_Actuals!AN135,SUM(AN979:AN984))</f>
        <v/>
      </c>
      <c r="AO985" s="264">
        <f>IF(AO$7="Actual",-i_Actuals!AO135,SUM(AO979:AO984))</f>
        <v/>
      </c>
      <c r="AP985" s="264">
        <f>IF(AP$7="Actual",-i_Actuals!AP135,SUM(AP979:AP984))</f>
        <v/>
      </c>
      <c r="AQ985" s="264">
        <f>IF(AQ$7="Actual",-i_Actuals!AQ135,SUM(AQ979:AQ984))</f>
        <v/>
      </c>
      <c r="AR985" s="264">
        <f>IF(AR$7="Actual",-i_Actuals!AR135,SUM(AR979:AR984))</f>
        <v/>
      </c>
      <c r="AS985" s="264">
        <f>IF(AS$7="Actual",-i_Actuals!AS135,SUM(AS979:AS984))</f>
        <v/>
      </c>
      <c r="AT985" s="264">
        <f>IF(AT$7="Actual",-i_Actuals!AT135,SUM(AT979:AT984))</f>
        <v/>
      </c>
      <c r="AU985" s="264">
        <f>IF(AU$7="Actual",-i_Actuals!AU135,SUM(AU979:AU984))</f>
        <v/>
      </c>
      <c r="AV985" s="264">
        <f>IF(AV$7="Actual",-i_Actuals!AV135,SUM(AV979:AV984))</f>
        <v/>
      </c>
      <c r="AW985" s="264">
        <f>IF(AW$7="Actual",-i_Actuals!AW135,SUM(AW979:AW984))</f>
        <v/>
      </c>
      <c r="AX985" s="264">
        <f>IF(AX$7="Actual",-i_Actuals!AX135,SUM(AX979:AX984))</f>
        <v/>
      </c>
      <c r="AY985" s="264">
        <f>IF(AY$7="Actual",-i_Actuals!AY135,SUM(AY979:AY984))</f>
        <v/>
      </c>
      <c r="AZ985" s="264">
        <f>IF(AZ$7="Actual",-i_Actuals!AZ135,SUM(AZ979:AZ984))</f>
        <v/>
      </c>
      <c r="BA985" s="264">
        <f>IF(BA$7="Actual",-i_Actuals!BA135,SUM(BA979:BA984))</f>
        <v/>
      </c>
      <c r="BB985" s="264">
        <f>IF(BB$7="Actual",-i_Actuals!BB135,SUM(BB979:BB984))</f>
        <v/>
      </c>
      <c r="BC985" s="264">
        <f>IF(BC$7="Actual",-i_Actuals!BC135,SUM(BC979:BC984))</f>
        <v/>
      </c>
      <c r="BD985" s="264">
        <f>IF(BD$7="Actual",-i_Actuals!BD135,SUM(BD979:BD984))</f>
        <v/>
      </c>
      <c r="BE985" s="264">
        <f>IF(BE$7="Actual",-i_Actuals!BE135,SUM(BE979:BE984))</f>
        <v/>
      </c>
      <c r="BF985" s="264">
        <f>IF(BF$7="Actual",-i_Actuals!BF135,SUM(BF979:BF984))</f>
        <v/>
      </c>
      <c r="BG985" s="264">
        <f>IF(BG$7="Actual",-i_Actuals!BG135,SUM(BG979:BG984))</f>
        <v/>
      </c>
      <c r="BH985" s="264">
        <f>IF(BH$7="Actual",-i_Actuals!BH135,SUM(BH979:BH984))</f>
        <v/>
      </c>
      <c r="BI985" s="264">
        <f>IF(BI$7="Actual",-i_Actuals!BI135,SUM(BI979:BI984))</f>
        <v/>
      </c>
      <c r="BJ985" s="264">
        <f>IF(BJ$7="Actual",-i_Actuals!BJ135,SUM(BJ979:BJ984))</f>
        <v/>
      </c>
      <c r="BK985" s="264">
        <f>IF(BK$7="Actual",-i_Actuals!BK135,SUM(BK979:BK984))</f>
        <v/>
      </c>
      <c r="BL985" s="264">
        <f>IF(BL$7="Actual",-i_Actuals!BL135,SUM(BL979:BL984))</f>
        <v/>
      </c>
      <c r="BM985" s="264">
        <f>IF(BM$7="Actual",-i_Actuals!BM135,SUM(BM979:BM984))</f>
        <v/>
      </c>
      <c r="BN985" s="264">
        <f>IF(BN$7="Actual",-i_Actuals!BN135,SUM(BN979:BN984))</f>
        <v/>
      </c>
      <c r="BO985" s="264">
        <f>IF(BO$7="Actual",-i_Actuals!BO135,SUM(BO979:BO984))</f>
        <v/>
      </c>
      <c r="BP985" s="264">
        <f>IF(BP$7="Actual",-i_Actuals!BP135,SUM(BP979:BP984))</f>
        <v/>
      </c>
      <c r="BQ985" s="264">
        <f>IF(BQ$7="Actual",-i_Actuals!BQ135,SUM(BQ979:BQ984))</f>
        <v/>
      </c>
      <c r="BR985" s="264">
        <f>IF(BR$7="Actual",-i_Actuals!BR135,SUM(BR979:BR984))</f>
        <v/>
      </c>
      <c r="BS985" s="264">
        <f>IF(BS$7="Actual",-i_Actuals!BS135,SUM(BS979:BS984))</f>
        <v/>
      </c>
      <c r="BT985" s="264">
        <f>IF(BT$7="Actual",-i_Actuals!BT135,SUM(BT979:BT984))</f>
        <v/>
      </c>
      <c r="BU985" s="264">
        <f>IF(BU$7="Actual",-i_Actuals!BU135,SUM(BU979:BU984))</f>
        <v/>
      </c>
      <c r="BV985" s="264">
        <f>IF(BV$7="Actual",-i_Actuals!BV135,SUM(BV979:BV984))</f>
        <v/>
      </c>
      <c r="BW985" s="264">
        <f>IF(BW$7="Actual",-i_Actuals!BW135,SUM(BW979:BW984))</f>
        <v/>
      </c>
      <c r="BX985" s="264">
        <f>IF(BX$7="Actual",-i_Actuals!BX135,SUM(BX979:BX984))</f>
        <v/>
      </c>
      <c r="BY985" s="264">
        <f>IF(BY$7="Actual",-i_Actuals!BY135,SUM(BY979:BY984))</f>
        <v/>
      </c>
      <c r="BZ985" s="264">
        <f>IF(BZ$7="Actual",-i_Actuals!BZ135,SUM(BZ979:BZ984))</f>
        <v/>
      </c>
      <c r="CA985" s="264">
        <f>IF(CA$7="Actual",-i_Actuals!CA135,SUM(CA979:CA984))</f>
        <v/>
      </c>
    </row>
    <row r="986" ht="12" customHeight="1" s="227">
      <c r="A986" s="244" t="n"/>
      <c r="B986" s="244" t="n"/>
      <c r="C986" s="244" t="n"/>
      <c r="K986" s="6" t="n"/>
    </row>
    <row r="987" ht="12" customHeight="1" s="227">
      <c r="A987" s="244" t="n"/>
      <c r="B987" s="244">
        <f>SUM(L987:CA987)</f>
        <v/>
      </c>
      <c r="C987" s="8" t="n"/>
      <c r="H987" s="0" t="inlineStr">
        <is>
          <t>Signage Check</t>
        </is>
      </c>
      <c r="K987" s="6" t="n"/>
      <c r="T987" s="244">
        <f>IF(T$7&lt;&gt;"",IF(T985&lt;0,1,0),"")</f>
        <v/>
      </c>
      <c r="U987" s="244">
        <f>IF(U$7&lt;&gt;"",IF(U985&lt;0,1,0),"")</f>
        <v/>
      </c>
      <c r="V987" s="244">
        <f>IF(V$7&lt;&gt;"",IF(V985&lt;0,1,0),"")</f>
        <v/>
      </c>
      <c r="W987" s="244">
        <f>IF(W$7&lt;&gt;"",IF(W985&lt;0,1,0),"")</f>
        <v/>
      </c>
      <c r="X987" s="244">
        <f>IF(X$7&lt;&gt;"",IF(X985&lt;0,1,0),"")</f>
        <v/>
      </c>
      <c r="Y987" s="244">
        <f>IF(Y$7&lt;&gt;"",IF(Y985&lt;0,1,0),"")</f>
        <v/>
      </c>
      <c r="Z987" s="244">
        <f>IF(Z$7&lt;&gt;"",IF(Z985&lt;0,1,0),"")</f>
        <v/>
      </c>
      <c r="AA987" s="244">
        <f>IF(AA$7&lt;&gt;"",IF(AA985&lt;0,1,0),"")</f>
        <v/>
      </c>
      <c r="AB987" s="244">
        <f>IF(AB$7&lt;&gt;"",IF(AB985&lt;0,1,0),"")</f>
        <v/>
      </c>
      <c r="AC987" s="244">
        <f>IF(AC$7&lt;&gt;"",IF(AC985&lt;0,1,0),"")</f>
        <v/>
      </c>
      <c r="AD987" s="244">
        <f>IF(AD$7&lt;&gt;"",IF(AD985&lt;0,1,0),"")</f>
        <v/>
      </c>
      <c r="AE987" s="244">
        <f>IF(AE$7&lt;&gt;"",IF(AE985&lt;0,1,0),"")</f>
        <v/>
      </c>
      <c r="AF987" s="244">
        <f>IF(AF$7&lt;&gt;"",IF(AF985&lt;0,1,0),"")</f>
        <v/>
      </c>
      <c r="AG987" s="244">
        <f>IF(AG$7&lt;&gt;"",IF(AG985&lt;0,1,0),"")</f>
        <v/>
      </c>
      <c r="AH987" s="244">
        <f>IF(AH$7&lt;&gt;"",IF(AH985&lt;0,1,0),"")</f>
        <v/>
      </c>
      <c r="AI987" s="244">
        <f>IF(AI$7&lt;&gt;"",IF(AI985&lt;0,1,0),"")</f>
        <v/>
      </c>
      <c r="AJ987" s="244">
        <f>IF(AJ$7&lt;&gt;"",IF(AJ985&lt;0,1,0),"")</f>
        <v/>
      </c>
      <c r="AK987" s="244">
        <f>IF(AK$7&lt;&gt;"",IF(AK985&lt;0,1,0),"")</f>
        <v/>
      </c>
      <c r="AL987" s="244">
        <f>IF(AL$7&lt;&gt;"",IF(AL985&lt;0,1,0),"")</f>
        <v/>
      </c>
      <c r="AM987" s="244">
        <f>IF(AM$7&lt;&gt;"",IF(AM985&lt;0,1,0),"")</f>
        <v/>
      </c>
      <c r="AN987" s="244">
        <f>IF(AN$7&lt;&gt;"",IF(AN985&lt;0,1,0),"")</f>
        <v/>
      </c>
      <c r="AO987" s="244">
        <f>IF(AO$7&lt;&gt;"",IF(AO985&lt;0,1,0),"")</f>
        <v/>
      </c>
      <c r="AP987" s="244">
        <f>IF(AP$7&lt;&gt;"",IF(AP985&lt;0,1,0),"")</f>
        <v/>
      </c>
      <c r="AQ987" s="244">
        <f>IF(AQ$7&lt;&gt;"",IF(AQ985&lt;0,1,0),"")</f>
        <v/>
      </c>
      <c r="AR987" s="244">
        <f>IF(AR$7&lt;&gt;"",IF(AR985&lt;0,1,0),"")</f>
        <v/>
      </c>
      <c r="AS987" s="244">
        <f>IF(AS$7&lt;&gt;"",IF(AS985&lt;0,1,0),"")</f>
        <v/>
      </c>
      <c r="AT987" s="244">
        <f>IF(AT$7&lt;&gt;"",IF(AT985&lt;0,1,0),"")</f>
        <v/>
      </c>
      <c r="AU987" s="244">
        <f>IF(AU$7&lt;&gt;"",IF(AU985&lt;0,1,0),"")</f>
        <v/>
      </c>
      <c r="AV987" s="244">
        <f>IF(AV$7&lt;&gt;"",IF(AV985&lt;0,1,0),"")</f>
        <v/>
      </c>
      <c r="AW987" s="244">
        <f>IF(AW$7&lt;&gt;"",IF(AW985&lt;0,1,0),"")</f>
        <v/>
      </c>
      <c r="AX987" s="244">
        <f>IF(AX$7&lt;&gt;"",IF(AX985&lt;0,1,0),"")</f>
        <v/>
      </c>
      <c r="AY987" s="244">
        <f>IF(AY$7&lt;&gt;"",IF(AY985&lt;0,1,0),"")</f>
        <v/>
      </c>
      <c r="AZ987" s="244">
        <f>IF(AZ$7&lt;&gt;"",IF(AZ985&lt;0,1,0),"")</f>
        <v/>
      </c>
      <c r="BA987" s="244">
        <f>IF(BA$7&lt;&gt;"",IF(BA985&lt;0,1,0),"")</f>
        <v/>
      </c>
      <c r="BB987" s="244">
        <f>IF(BB$7&lt;&gt;"",IF(BB985&lt;0,1,0),"")</f>
        <v/>
      </c>
      <c r="BC987" s="244">
        <f>IF(BC$7&lt;&gt;"",IF(BC985&lt;0,1,0),"")</f>
        <v/>
      </c>
      <c r="BD987" s="244">
        <f>IF(BD$7&lt;&gt;"",IF(BD985&lt;0,1,0),"")</f>
        <v/>
      </c>
      <c r="BE987" s="244">
        <f>IF(BE$7&lt;&gt;"",IF(BE985&lt;0,1,0),"")</f>
        <v/>
      </c>
      <c r="BF987" s="244">
        <f>IF(BF$7&lt;&gt;"",IF(BF985&lt;0,1,0),"")</f>
        <v/>
      </c>
      <c r="BG987" s="244">
        <f>IF(BG$7&lt;&gt;"",IF(BG985&lt;0,1,0),"")</f>
        <v/>
      </c>
      <c r="BH987" s="244">
        <f>IF(BH$7&lt;&gt;"",IF(BH985&lt;0,1,0),"")</f>
        <v/>
      </c>
      <c r="BI987" s="244">
        <f>IF(BI$7&lt;&gt;"",IF(BI985&lt;0,1,0),"")</f>
        <v/>
      </c>
      <c r="BJ987" s="244">
        <f>IF(BJ$7&lt;&gt;"",IF(BJ985&lt;0,1,0),"")</f>
        <v/>
      </c>
      <c r="BK987" s="244">
        <f>IF(BK$7&lt;&gt;"",IF(BK985&lt;0,1,0),"")</f>
        <v/>
      </c>
      <c r="BL987" s="244">
        <f>IF(BL$7&lt;&gt;"",IF(BL985&lt;0,1,0),"")</f>
        <v/>
      </c>
      <c r="BM987" s="244">
        <f>IF(BM$7&lt;&gt;"",IF(BM985&lt;0,1,0),"")</f>
        <v/>
      </c>
      <c r="BN987" s="244">
        <f>IF(BN$7&lt;&gt;"",IF(BN985&lt;0,1,0),"")</f>
        <v/>
      </c>
      <c r="BO987" s="244">
        <f>IF(BO$7&lt;&gt;"",IF(BO985&lt;0,1,0),"")</f>
        <v/>
      </c>
      <c r="BP987" s="244">
        <f>IF(BP$7&lt;&gt;"",IF(BP985&lt;0,1,0),"")</f>
        <v/>
      </c>
      <c r="BQ987" s="244">
        <f>IF(BQ$7&lt;&gt;"",IF(BQ985&lt;0,1,0),"")</f>
        <v/>
      </c>
      <c r="BR987" s="244">
        <f>IF(BR$7&lt;&gt;"",IF(BR985&lt;0,1,0),"")</f>
        <v/>
      </c>
      <c r="BS987" s="244">
        <f>IF(BS$7&lt;&gt;"",IF(BS985&lt;0,1,0),"")</f>
        <v/>
      </c>
      <c r="BT987" s="244">
        <f>IF(BT$7&lt;&gt;"",IF(BT985&lt;0,1,0),"")</f>
        <v/>
      </c>
      <c r="BU987" s="244">
        <f>IF(BU$7&lt;&gt;"",IF(BU985&lt;0,1,0),"")</f>
        <v/>
      </c>
      <c r="BV987" s="244">
        <f>IF(BV$7&lt;&gt;"",IF(BV985&lt;0,1,0),"")</f>
        <v/>
      </c>
      <c r="BW987" s="244">
        <f>IF(BW$7&lt;&gt;"",IF(BW985&lt;0,1,0),"")</f>
        <v/>
      </c>
      <c r="BX987" s="244">
        <f>IF(BX$7&lt;&gt;"",IF(BX985&lt;0,1,0),"")</f>
        <v/>
      </c>
      <c r="BY987" s="244">
        <f>IF(BY$7&lt;&gt;"",IF(BY985&lt;0,1,0),"")</f>
        <v/>
      </c>
      <c r="BZ987" s="244">
        <f>IF(BZ$7&lt;&gt;"",IF(BZ985&lt;0,1,0),"")</f>
        <v/>
      </c>
      <c r="CA987" s="244">
        <f>IF(CA$7&lt;&gt;"",IF(CA985&lt;0,1,0),"")</f>
        <v/>
      </c>
    </row>
    <row r="988" ht="12" customHeight="1" s="227">
      <c r="A988" s="244" t="n"/>
      <c r="B988" s="244" t="n"/>
      <c r="C988" s="244" t="n"/>
      <c r="K988" s="6" t="n"/>
    </row>
    <row r="989" ht="12" customHeight="1" s="227">
      <c r="A989" s="244" t="n"/>
      <c r="B989" s="244" t="n"/>
      <c r="C989" s="244" t="n"/>
      <c r="K989" s="6" t="n"/>
    </row>
    <row r="990" ht="13.5" customFormat="1" customHeight="1" s="223" thickBot="1">
      <c r="E990" s="223">
        <f>Heading2</f>
        <v/>
      </c>
      <c r="F990" s="223" t="inlineStr">
        <is>
          <t>Equity</t>
        </is>
      </c>
      <c r="K990" s="135" t="n"/>
    </row>
    <row r="991" ht="12" customHeight="1" s="227">
      <c r="A991" s="244" t="n"/>
      <c r="B991" s="244" t="n"/>
      <c r="C991" s="244" t="n"/>
      <c r="K991" s="6" t="n"/>
    </row>
    <row r="992" ht="12" customHeight="1" s="227">
      <c r="A992" s="244" t="n"/>
      <c r="B992" s="244" t="n"/>
      <c r="C992" s="244" t="n"/>
      <c r="G992" s="222" t="inlineStr">
        <is>
          <t>Share Capital</t>
        </is>
      </c>
      <c r="K992" s="6" t="n"/>
    </row>
    <row r="993" ht="12" customHeight="1" s="227">
      <c r="A993" s="244" t="n"/>
      <c r="B993" s="244" t="n"/>
      <c r="C993" s="244" t="n"/>
      <c r="G993" s="222" t="n"/>
      <c r="K993" s="6" t="n"/>
    </row>
    <row r="994" ht="12" customHeight="1" s="227">
      <c r="A994" s="244" t="n"/>
      <c r="B994" s="244" t="n"/>
      <c r="C994" s="244" t="n"/>
      <c r="G994" s="222" t="n"/>
      <c r="H994" s="0" t="inlineStr">
        <is>
          <t>Opening Balance</t>
        </is>
      </c>
      <c r="I994" s="27">
        <f> i_Setup!$M$16</f>
        <v/>
      </c>
      <c r="K994" s="6" t="n"/>
      <c r="M994" s="245">
        <f>SUMIF($T$1:$CA$1,M$1,$T994:$CA994)</f>
        <v/>
      </c>
      <c r="N994" s="245">
        <f>SUMIF($T$1:$CA$1,N$1,$T994:$CA994)</f>
        <v/>
      </c>
      <c r="O994" s="245">
        <f>SUMIF($T$1:$CA$1,O$1,$T994:$CA994)</f>
        <v/>
      </c>
      <c r="P994" s="245">
        <f>SUMIF($T$1:$CA$1,P$1,$T994:$CA994)</f>
        <v/>
      </c>
      <c r="Q994" s="245">
        <f>SUMIF($T$1:$CA$1,Q$1,$T994:$CA994)</f>
        <v/>
      </c>
      <c r="T994" s="245">
        <f>S996</f>
        <v/>
      </c>
      <c r="U994" s="245">
        <f>T996</f>
        <v/>
      </c>
      <c r="V994" s="245">
        <f>U996</f>
        <v/>
      </c>
      <c r="W994" s="245">
        <f>V996</f>
        <v/>
      </c>
      <c r="X994" s="245">
        <f>W996</f>
        <v/>
      </c>
      <c r="Y994" s="245">
        <f>X996</f>
        <v/>
      </c>
      <c r="Z994" s="245">
        <f>Y996</f>
        <v/>
      </c>
      <c r="AA994" s="245">
        <f>Z996</f>
        <v/>
      </c>
      <c r="AB994" s="245">
        <f>AA996</f>
        <v/>
      </c>
      <c r="AC994" s="245">
        <f>AB996</f>
        <v/>
      </c>
      <c r="AD994" s="245">
        <f>AC996</f>
        <v/>
      </c>
      <c r="AE994" s="245">
        <f>AD996</f>
        <v/>
      </c>
      <c r="AF994" s="245">
        <f>AE996</f>
        <v/>
      </c>
      <c r="AG994" s="245">
        <f>AF996</f>
        <v/>
      </c>
      <c r="AH994" s="245">
        <f>AG996</f>
        <v/>
      </c>
      <c r="AI994" s="245">
        <f>AH996</f>
        <v/>
      </c>
      <c r="AJ994" s="245">
        <f>AI996</f>
        <v/>
      </c>
      <c r="AK994" s="245">
        <f>AJ996</f>
        <v/>
      </c>
      <c r="AL994" s="245">
        <f>AK996</f>
        <v/>
      </c>
      <c r="AM994" s="245">
        <f>AL996</f>
        <v/>
      </c>
      <c r="AN994" s="245">
        <f>AM996</f>
        <v/>
      </c>
      <c r="AO994" s="245">
        <f>AN996</f>
        <v/>
      </c>
      <c r="AP994" s="245">
        <f>AO996</f>
        <v/>
      </c>
      <c r="AQ994" s="245">
        <f>AP996</f>
        <v/>
      </c>
      <c r="AR994" s="245">
        <f>AQ996</f>
        <v/>
      </c>
      <c r="AS994" s="245">
        <f>AR996</f>
        <v/>
      </c>
      <c r="AT994" s="245">
        <f>AS996</f>
        <v/>
      </c>
      <c r="AU994" s="245">
        <f>AT996</f>
        <v/>
      </c>
      <c r="AV994" s="245">
        <f>AU996</f>
        <v/>
      </c>
      <c r="AW994" s="245">
        <f>AV996</f>
        <v/>
      </c>
      <c r="AX994" s="245">
        <f>AW996</f>
        <v/>
      </c>
      <c r="AY994" s="245">
        <f>AX996</f>
        <v/>
      </c>
      <c r="AZ994" s="245">
        <f>AY996</f>
        <v/>
      </c>
      <c r="BA994" s="245">
        <f>AZ996</f>
        <v/>
      </c>
      <c r="BB994" s="245">
        <f>BA996</f>
        <v/>
      </c>
      <c r="BC994" s="245">
        <f>BB996</f>
        <v/>
      </c>
      <c r="BD994" s="245">
        <f>BC996</f>
        <v/>
      </c>
      <c r="BE994" s="245">
        <f>BD996</f>
        <v/>
      </c>
      <c r="BF994" s="245">
        <f>BE996</f>
        <v/>
      </c>
      <c r="BG994" s="245">
        <f>BF996</f>
        <v/>
      </c>
      <c r="BH994" s="245">
        <f>BG996</f>
        <v/>
      </c>
      <c r="BI994" s="245">
        <f>BH996</f>
        <v/>
      </c>
      <c r="BJ994" s="245">
        <f>BI996</f>
        <v/>
      </c>
      <c r="BK994" s="245">
        <f>BJ996</f>
        <v/>
      </c>
      <c r="BL994" s="245">
        <f>BK996</f>
        <v/>
      </c>
      <c r="BM994" s="245">
        <f>BL996</f>
        <v/>
      </c>
      <c r="BN994" s="245">
        <f>BM996</f>
        <v/>
      </c>
      <c r="BO994" s="245">
        <f>BN996</f>
        <v/>
      </c>
      <c r="BP994" s="245">
        <f>BO996</f>
        <v/>
      </c>
      <c r="BQ994" s="245">
        <f>BP996</f>
        <v/>
      </c>
      <c r="BR994" s="245">
        <f>BQ996</f>
        <v/>
      </c>
      <c r="BS994" s="245">
        <f>BR996</f>
        <v/>
      </c>
      <c r="BT994" s="245">
        <f>BS996</f>
        <v/>
      </c>
      <c r="BU994" s="245">
        <f>BT996</f>
        <v/>
      </c>
      <c r="BV994" s="245">
        <f>BU996</f>
        <v/>
      </c>
      <c r="BW994" s="245">
        <f>BV996</f>
        <v/>
      </c>
      <c r="BX994" s="245">
        <f>BW996</f>
        <v/>
      </c>
      <c r="BY994" s="245">
        <f>BX996</f>
        <v/>
      </c>
      <c r="BZ994" s="245">
        <f>BY996</f>
        <v/>
      </c>
      <c r="CA994" s="245">
        <f>BZ996</f>
        <v/>
      </c>
    </row>
    <row r="995" ht="12" customHeight="1" s="227">
      <c r="A995" s="244" t="n"/>
      <c r="B995" s="244" t="n"/>
      <c r="C995" s="244" t="n"/>
      <c r="G995" s="222" t="n"/>
      <c r="H995" s="0" t="inlineStr">
        <is>
          <t>Additions</t>
        </is>
      </c>
      <c r="I995" s="27">
        <f> i_Setup!$M$16</f>
        <v/>
      </c>
      <c r="K995" s="6" t="n"/>
      <c r="M995" s="245">
        <f>SUMIF($T$4:$CA$4,M$4,$T995:$CA995)</f>
        <v/>
      </c>
      <c r="N995" s="245">
        <f>SUMIF($T$4:$CA$4,N$4,$T995:$CA995)</f>
        <v/>
      </c>
      <c r="O995" s="245">
        <f>SUMIF($T$4:$CA$4,O$4,$T995:$CA995)</f>
        <v/>
      </c>
      <c r="P995" s="245">
        <f>SUMIF($T$4:$CA$4,P$4,$T995:$CA995)</f>
        <v/>
      </c>
      <c r="Q995" s="245">
        <f>SUMIF($T$4:$CA$4,Q$4,$T995:$CA995)</f>
        <v/>
      </c>
      <c r="T995" s="245">
        <f>IF(T$7="Actual","",-i_Assumptions!T674)</f>
        <v/>
      </c>
      <c r="U995" s="245">
        <f>IF(U$7="Actual","",-i_Assumptions!U674)</f>
        <v/>
      </c>
      <c r="V995" s="245">
        <f>IF(V$7="Actual","",-i_Assumptions!V674)</f>
        <v/>
      </c>
      <c r="W995" s="245">
        <f>IF(W$7="Actual","",-i_Assumptions!W674)</f>
        <v/>
      </c>
      <c r="X995" s="245">
        <f>IF(X$7="Actual","",-i_Assumptions!X674)</f>
        <v/>
      </c>
      <c r="Y995" s="245">
        <f>IF(Y$7="Actual","",-i_Assumptions!Y674)</f>
        <v/>
      </c>
      <c r="Z995" s="245">
        <f>IF(Z$7="Actual","",-i_Assumptions!Z674)</f>
        <v/>
      </c>
      <c r="AA995" s="245">
        <f>IF(AA$7="Actual","",-i_Assumptions!AA674)</f>
        <v/>
      </c>
      <c r="AB995" s="245">
        <f>IF(AB$7="Actual","",-i_Assumptions!AB674)</f>
        <v/>
      </c>
      <c r="AC995" s="245">
        <f>IF(AC$7="Actual","",-i_Assumptions!AC674)</f>
        <v/>
      </c>
      <c r="AD995" s="245">
        <f>IF(AD$7="Actual","",-i_Assumptions!AD674)</f>
        <v/>
      </c>
      <c r="AE995" s="245">
        <f>IF(AE$7="Actual","",-i_Assumptions!AE674)</f>
        <v/>
      </c>
      <c r="AF995" s="245">
        <f>IF(AF$7="Actual","",-i_Assumptions!AF674)</f>
        <v/>
      </c>
      <c r="AG995" s="245">
        <f>IF(AG$7="Actual","",-i_Assumptions!AG674)</f>
        <v/>
      </c>
      <c r="AH995" s="245">
        <f>IF(AH$7="Actual","",-i_Assumptions!AH674)</f>
        <v/>
      </c>
      <c r="AI995" s="245">
        <f>IF(AI$7="Actual","",-i_Assumptions!AI674)</f>
        <v/>
      </c>
      <c r="AJ995" s="245">
        <f>IF(AJ$7="Actual","",-i_Assumptions!AJ674)</f>
        <v/>
      </c>
      <c r="AK995" s="245">
        <f>IF(AK$7="Actual","",-i_Assumptions!AK674)</f>
        <v/>
      </c>
      <c r="AL995" s="245">
        <f>IF(AL$7="Actual","",-i_Assumptions!AL674)</f>
        <v/>
      </c>
      <c r="AM995" s="245">
        <f>IF(AM$7="Actual","",-i_Assumptions!AM674)</f>
        <v/>
      </c>
      <c r="AN995" s="245">
        <f>IF(AN$7="Actual","",-i_Assumptions!AN674)</f>
        <v/>
      </c>
      <c r="AO995" s="245">
        <f>IF(AO$7="Actual","",-i_Assumptions!AO674)</f>
        <v/>
      </c>
      <c r="AP995" s="245">
        <f>IF(AP$7="Actual","",-i_Assumptions!AP674)</f>
        <v/>
      </c>
      <c r="AQ995" s="245">
        <f>IF(AQ$7="Actual","",-i_Assumptions!AQ674)</f>
        <v/>
      </c>
      <c r="AR995" s="245">
        <f>IF(AR$7="Actual","",-i_Assumptions!AR674)</f>
        <v/>
      </c>
      <c r="AS995" s="245">
        <f>IF(AS$7="Actual","",-i_Assumptions!AS674)</f>
        <v/>
      </c>
      <c r="AT995" s="245">
        <f>IF(AT$7="Actual","",-i_Assumptions!AT674)</f>
        <v/>
      </c>
      <c r="AU995" s="245">
        <f>IF(AU$7="Actual","",-i_Assumptions!AU674)</f>
        <v/>
      </c>
      <c r="AV995" s="245">
        <f>IF(AV$7="Actual","",-i_Assumptions!AV674)</f>
        <v/>
      </c>
      <c r="AW995" s="245">
        <f>IF(AW$7="Actual","",-i_Assumptions!AW674)</f>
        <v/>
      </c>
      <c r="AX995" s="245">
        <f>IF(AX$7="Actual","",-i_Assumptions!AX674)</f>
        <v/>
      </c>
      <c r="AY995" s="245">
        <f>IF(AY$7="Actual","",-i_Assumptions!AY674)</f>
        <v/>
      </c>
      <c r="AZ995" s="245">
        <f>IF(AZ$7="Actual","",-i_Assumptions!AZ674)</f>
        <v/>
      </c>
      <c r="BA995" s="245">
        <f>IF(BA$7="Actual","",-i_Assumptions!BA674)</f>
        <v/>
      </c>
      <c r="BB995" s="245">
        <f>IF(BB$7="Actual","",-i_Assumptions!BB674)</f>
        <v/>
      </c>
      <c r="BC995" s="245">
        <f>IF(BC$7="Actual","",-i_Assumptions!BC674)</f>
        <v/>
      </c>
      <c r="BD995" s="245">
        <f>IF(BD$7="Actual","",-i_Assumptions!BD674)</f>
        <v/>
      </c>
      <c r="BE995" s="245">
        <f>IF(BE$7="Actual","",-i_Assumptions!BE674)</f>
        <v/>
      </c>
      <c r="BF995" s="245">
        <f>IF(BF$7="Actual","",-i_Assumptions!BF674)</f>
        <v/>
      </c>
      <c r="BG995" s="245">
        <f>IF(BG$7="Actual","",-i_Assumptions!BG674)</f>
        <v/>
      </c>
      <c r="BH995" s="245">
        <f>IF(BH$7="Actual","",-i_Assumptions!BH674)</f>
        <v/>
      </c>
      <c r="BI995" s="245">
        <f>IF(BI$7="Actual","",-i_Assumptions!BI674)</f>
        <v/>
      </c>
      <c r="BJ995" s="245">
        <f>IF(BJ$7="Actual","",-i_Assumptions!BJ674)</f>
        <v/>
      </c>
      <c r="BK995" s="245">
        <f>IF(BK$7="Actual","",-i_Assumptions!BK674)</f>
        <v/>
      </c>
      <c r="BL995" s="245">
        <f>IF(BL$7="Actual","",-i_Assumptions!BL674)</f>
        <v/>
      </c>
      <c r="BM995" s="245">
        <f>IF(BM$7="Actual","",-i_Assumptions!BM674)</f>
        <v/>
      </c>
      <c r="BN995" s="245">
        <f>IF(BN$7="Actual","",-i_Assumptions!BN674)</f>
        <v/>
      </c>
      <c r="BO995" s="245">
        <f>IF(BO$7="Actual","",-i_Assumptions!BO674)</f>
        <v/>
      </c>
      <c r="BP995" s="245">
        <f>IF(BP$7="Actual","",-i_Assumptions!BP674)</f>
        <v/>
      </c>
      <c r="BQ995" s="245">
        <f>IF(BQ$7="Actual","",-i_Assumptions!BQ674)</f>
        <v/>
      </c>
      <c r="BR995" s="245">
        <f>IF(BR$7="Actual","",-i_Assumptions!BR674)</f>
        <v/>
      </c>
      <c r="BS995" s="245">
        <f>IF(BS$7="Actual","",-i_Assumptions!BS674)</f>
        <v/>
      </c>
      <c r="BT995" s="245">
        <f>IF(BT$7="Actual","",-i_Assumptions!BT674)</f>
        <v/>
      </c>
      <c r="BU995" s="245">
        <f>IF(BU$7="Actual","",-i_Assumptions!BU674)</f>
        <v/>
      </c>
      <c r="BV995" s="245">
        <f>IF(BV$7="Actual","",-i_Assumptions!BV674)</f>
        <v/>
      </c>
      <c r="BW995" s="245">
        <f>IF(BW$7="Actual","",-i_Assumptions!BW674)</f>
        <v/>
      </c>
      <c r="BX995" s="245">
        <f>IF(BX$7="Actual","",-i_Assumptions!BX674)</f>
        <v/>
      </c>
      <c r="BY995" s="245">
        <f>IF(BY$7="Actual","",-i_Assumptions!BY674)</f>
        <v/>
      </c>
      <c r="BZ995" s="245">
        <f>IF(BZ$7="Actual","",-i_Assumptions!BZ674)</f>
        <v/>
      </c>
      <c r="CA995" s="245">
        <f>IF(CA$7="Actual","",-i_Assumptions!CA674)</f>
        <v/>
      </c>
    </row>
    <row r="996" ht="12" customHeight="1" s="227" thickBot="1">
      <c r="A996" s="244" t="n"/>
      <c r="B996" s="244" t="n"/>
      <c r="C996" s="244" t="n"/>
      <c r="G996" s="222" t="n"/>
      <c r="H996" s="42" t="inlineStr">
        <is>
          <t>Closing Balance</t>
        </is>
      </c>
      <c r="I996" s="43">
        <f> i_Setup!$M$16</f>
        <v/>
      </c>
      <c r="K996" s="6" t="n"/>
      <c r="M996" s="264">
        <f>SUMIF($T$2:$CA$2,M$2,$T996:$CA996)</f>
        <v/>
      </c>
      <c r="N996" s="264">
        <f>SUMIF($T$2:$CA$2,N$2,$T996:$CA996)</f>
        <v/>
      </c>
      <c r="O996" s="264">
        <f>SUMIF($T$2:$CA$2,O$2,$T996:$CA996)</f>
        <v/>
      </c>
      <c r="P996" s="264">
        <f>SUMIF($T$2:$CA$2,P$2,$T996:$CA996)</f>
        <v/>
      </c>
      <c r="Q996" s="264">
        <f>SUMIF($T$2:$CA$2,Q$2,$T996:$CA996)</f>
        <v/>
      </c>
      <c r="T996" s="264">
        <f>IF(T$7="Actual",i_Actuals!T147,SUM(T994:T995))</f>
        <v/>
      </c>
      <c r="U996" s="264">
        <f>IF(U$7="Actual",i_Actuals!U147,SUM(U994:U995))</f>
        <v/>
      </c>
      <c r="V996" s="264">
        <f>IF(V$7="Actual",i_Actuals!V147,SUM(V994:V995))</f>
        <v/>
      </c>
      <c r="W996" s="264">
        <f>IF(W$7="Actual",i_Actuals!W147,SUM(W994:W995))</f>
        <v/>
      </c>
      <c r="X996" s="264">
        <f>IF(X$7="Actual",i_Actuals!X147,SUM(X994:X995))</f>
        <v/>
      </c>
      <c r="Y996" s="264">
        <f>IF(Y$7="Actual",i_Actuals!Y147,SUM(Y994:Y995))</f>
        <v/>
      </c>
      <c r="Z996" s="264">
        <f>IF(Z$7="Actual",i_Actuals!Z147,SUM(Z994:Z995))</f>
        <v/>
      </c>
      <c r="AA996" s="264">
        <f>IF(AA$7="Actual",i_Actuals!AA147,SUM(AA994:AA995))</f>
        <v/>
      </c>
      <c r="AB996" s="264">
        <f>IF(AB$7="Actual",i_Actuals!AB147,SUM(AB994:AB995))</f>
        <v/>
      </c>
      <c r="AC996" s="264">
        <f>IF(AC$7="Actual",i_Actuals!AC147,SUM(AC994:AC995))</f>
        <v/>
      </c>
      <c r="AD996" s="264">
        <f>IF(AD$7="Actual",i_Actuals!AD147,SUM(AD994:AD995))</f>
        <v/>
      </c>
      <c r="AE996" s="264">
        <f>IF(AE$7="Actual",i_Actuals!AE147,SUM(AE994:AE995))</f>
        <v/>
      </c>
      <c r="AF996" s="264">
        <f>IF(AF$7="Actual",i_Actuals!AF147,SUM(AF994:AF995))</f>
        <v/>
      </c>
      <c r="AG996" s="264">
        <f>IF(AG$7="Actual",i_Actuals!AG147,SUM(AG994:AG995))</f>
        <v/>
      </c>
      <c r="AH996" s="264">
        <f>IF(AH$7="Actual",i_Actuals!AH147,SUM(AH994:AH995))</f>
        <v/>
      </c>
      <c r="AI996" s="264">
        <f>IF(AI$7="Actual",i_Actuals!AI147,SUM(AI994:AI995))</f>
        <v/>
      </c>
      <c r="AJ996" s="264">
        <f>IF(AJ$7="Actual",i_Actuals!AJ147,SUM(AJ994:AJ995))</f>
        <v/>
      </c>
      <c r="AK996" s="264">
        <f>IF(AK$7="Actual",i_Actuals!AK147,SUM(AK994:AK995))</f>
        <v/>
      </c>
      <c r="AL996" s="264">
        <f>IF(AL$7="Actual",i_Actuals!AL147,SUM(AL994:AL995))</f>
        <v/>
      </c>
      <c r="AM996" s="264">
        <f>IF(AM$7="Actual",i_Actuals!AM147,SUM(AM994:AM995))</f>
        <v/>
      </c>
      <c r="AN996" s="264">
        <f>IF(AN$7="Actual",i_Actuals!AN147,SUM(AN994:AN995))</f>
        <v/>
      </c>
      <c r="AO996" s="264">
        <f>IF(AO$7="Actual",i_Actuals!AO147,SUM(AO994:AO995))</f>
        <v/>
      </c>
      <c r="AP996" s="264">
        <f>IF(AP$7="Actual",i_Actuals!AP147,SUM(AP994:AP995))</f>
        <v/>
      </c>
      <c r="AQ996" s="264">
        <f>IF(AQ$7="Actual",i_Actuals!AQ147,SUM(AQ994:AQ995))</f>
        <v/>
      </c>
      <c r="AR996" s="264">
        <f>IF(AR$7="Actual",i_Actuals!AR147,SUM(AR994:AR995))</f>
        <v/>
      </c>
      <c r="AS996" s="264">
        <f>IF(AS$7="Actual",i_Actuals!AS147,SUM(AS994:AS995))</f>
        <v/>
      </c>
      <c r="AT996" s="264">
        <f>IF(AT$7="Actual",i_Actuals!AT147,SUM(AT994:AT995))</f>
        <v/>
      </c>
      <c r="AU996" s="264">
        <f>IF(AU$7="Actual",i_Actuals!AU147,SUM(AU994:AU995))</f>
        <v/>
      </c>
      <c r="AV996" s="264">
        <f>IF(AV$7="Actual",i_Actuals!AV147,SUM(AV994:AV995))</f>
        <v/>
      </c>
      <c r="AW996" s="264">
        <f>IF(AW$7="Actual",i_Actuals!AW147,SUM(AW994:AW995))</f>
        <v/>
      </c>
      <c r="AX996" s="264">
        <f>IF(AX$7="Actual",i_Actuals!AX147,SUM(AX994:AX995))</f>
        <v/>
      </c>
      <c r="AY996" s="264">
        <f>IF(AY$7="Actual",i_Actuals!AY147,SUM(AY994:AY995))</f>
        <v/>
      </c>
      <c r="AZ996" s="264">
        <f>IF(AZ$7="Actual",i_Actuals!AZ147,SUM(AZ994:AZ995))</f>
        <v/>
      </c>
      <c r="BA996" s="264">
        <f>IF(BA$7="Actual",i_Actuals!BA147,SUM(BA994:BA995))</f>
        <v/>
      </c>
      <c r="BB996" s="264">
        <f>IF(BB$7="Actual",i_Actuals!BB147,SUM(BB994:BB995))</f>
        <v/>
      </c>
      <c r="BC996" s="264">
        <f>IF(BC$7="Actual",i_Actuals!BC147,SUM(BC994:BC995))</f>
        <v/>
      </c>
      <c r="BD996" s="264">
        <f>IF(BD$7="Actual",i_Actuals!BD147,SUM(BD994:BD995))</f>
        <v/>
      </c>
      <c r="BE996" s="264">
        <f>IF(BE$7="Actual",i_Actuals!BE147,SUM(BE994:BE995))</f>
        <v/>
      </c>
      <c r="BF996" s="264">
        <f>IF(BF$7="Actual",i_Actuals!BF147,SUM(BF994:BF995))</f>
        <v/>
      </c>
      <c r="BG996" s="264">
        <f>IF(BG$7="Actual",i_Actuals!BG147,SUM(BG994:BG995))</f>
        <v/>
      </c>
      <c r="BH996" s="264">
        <f>IF(BH$7="Actual",i_Actuals!BH147,SUM(BH994:BH995))</f>
        <v/>
      </c>
      <c r="BI996" s="264">
        <f>IF(BI$7="Actual",i_Actuals!BI147,SUM(BI994:BI995))</f>
        <v/>
      </c>
      <c r="BJ996" s="264">
        <f>IF(BJ$7="Actual",i_Actuals!BJ147,SUM(BJ994:BJ995))</f>
        <v/>
      </c>
      <c r="BK996" s="264">
        <f>IF(BK$7="Actual",i_Actuals!BK147,SUM(BK994:BK995))</f>
        <v/>
      </c>
      <c r="BL996" s="264">
        <f>IF(BL$7="Actual",i_Actuals!BL147,SUM(BL994:BL995))</f>
        <v/>
      </c>
      <c r="BM996" s="264">
        <f>IF(BM$7="Actual",i_Actuals!BM147,SUM(BM994:BM995))</f>
        <v/>
      </c>
      <c r="BN996" s="264">
        <f>IF(BN$7="Actual",i_Actuals!BN147,SUM(BN994:BN995))</f>
        <v/>
      </c>
      <c r="BO996" s="264">
        <f>IF(BO$7="Actual",i_Actuals!BO147,SUM(BO994:BO995))</f>
        <v/>
      </c>
      <c r="BP996" s="264">
        <f>IF(BP$7="Actual",i_Actuals!BP147,SUM(BP994:BP995))</f>
        <v/>
      </c>
      <c r="BQ996" s="264">
        <f>IF(BQ$7="Actual",i_Actuals!BQ147,SUM(BQ994:BQ995))</f>
        <v/>
      </c>
      <c r="BR996" s="264">
        <f>IF(BR$7="Actual",i_Actuals!BR147,SUM(BR994:BR995))</f>
        <v/>
      </c>
      <c r="BS996" s="264">
        <f>IF(BS$7="Actual",i_Actuals!BS147,SUM(BS994:BS995))</f>
        <v/>
      </c>
      <c r="BT996" s="264">
        <f>IF(BT$7="Actual",i_Actuals!BT147,SUM(BT994:BT995))</f>
        <v/>
      </c>
      <c r="BU996" s="264">
        <f>IF(BU$7="Actual",i_Actuals!BU147,SUM(BU994:BU995))</f>
        <v/>
      </c>
      <c r="BV996" s="264">
        <f>IF(BV$7="Actual",i_Actuals!BV147,SUM(BV994:BV995))</f>
        <v/>
      </c>
      <c r="BW996" s="264">
        <f>IF(BW$7="Actual",i_Actuals!BW147,SUM(BW994:BW995))</f>
        <v/>
      </c>
      <c r="BX996" s="264">
        <f>IF(BX$7="Actual",i_Actuals!BX147,SUM(BX994:BX995))</f>
        <v/>
      </c>
      <c r="BY996" s="264">
        <f>IF(BY$7="Actual",i_Actuals!BY147,SUM(BY994:BY995))</f>
        <v/>
      </c>
      <c r="BZ996" s="264">
        <f>IF(BZ$7="Actual",i_Actuals!BZ147,SUM(BZ994:BZ995))</f>
        <v/>
      </c>
      <c r="CA996" s="264">
        <f>IF(CA$7="Actual",i_Actuals!CA147,SUM(CA994:CA995))</f>
        <v/>
      </c>
    </row>
    <row r="997" ht="12" customHeight="1" s="227">
      <c r="A997" s="244" t="n"/>
      <c r="B997" s="244" t="n"/>
      <c r="C997" s="244" t="n"/>
      <c r="K997" s="6" t="n"/>
    </row>
    <row r="998" ht="12" customFormat="1" customHeight="1" s="8">
      <c r="A998" s="244" t="n"/>
      <c r="B998" s="244">
        <f>SUM(L998:CA998)</f>
        <v/>
      </c>
      <c r="D998" s="4" t="n"/>
      <c r="E998" s="4" t="n"/>
      <c r="F998" s="4" t="n"/>
      <c r="G998" s="4" t="n"/>
      <c r="H998" s="0" t="inlineStr">
        <is>
          <t>Signage Check</t>
        </is>
      </c>
      <c r="I998" s="4" t="n"/>
      <c r="J998" s="4" t="n"/>
      <c r="K998" s="4" t="n"/>
      <c r="L998" s="4" t="n"/>
      <c r="M998" s="244" t="n"/>
      <c r="N998" s="244" t="n"/>
      <c r="O998" s="244" t="n"/>
      <c r="P998" s="244" t="n"/>
      <c r="Q998" s="244" t="n"/>
      <c r="R998" s="244" t="n"/>
      <c r="S998" s="244" t="n"/>
      <c r="T998" s="244">
        <f>IF(T$7&lt;&gt;"",IF(T996&gt;0,1,0),"")</f>
        <v/>
      </c>
      <c r="U998" s="244">
        <f>IF(U$7&lt;&gt;"",IF(U996&gt;0,1,0),"")</f>
        <v/>
      </c>
      <c r="V998" s="244">
        <f>IF(V$7&lt;&gt;"",IF(V996&gt;0,1,0),"")</f>
        <v/>
      </c>
      <c r="W998" s="244">
        <f>IF(W$7&lt;&gt;"",IF(W996&gt;0,1,0),"")</f>
        <v/>
      </c>
      <c r="X998" s="244">
        <f>IF(X$7&lt;&gt;"",IF(X996&gt;0,1,0),"")</f>
        <v/>
      </c>
      <c r="Y998" s="244">
        <f>IF(Y$7&lt;&gt;"",IF(Y996&gt;0,1,0),"")</f>
        <v/>
      </c>
      <c r="Z998" s="244">
        <f>IF(Z$7&lt;&gt;"",IF(Z996&gt;0,1,0),"")</f>
        <v/>
      </c>
      <c r="AA998" s="244">
        <f>IF(AA$7&lt;&gt;"",IF(AA996&gt;0,1,0),"")</f>
        <v/>
      </c>
      <c r="AB998" s="244">
        <f>IF(AB$7&lt;&gt;"",IF(AB996&gt;0,1,0),"")</f>
        <v/>
      </c>
      <c r="AC998" s="244">
        <f>IF(AC$7&lt;&gt;"",IF(AC996&gt;0,1,0),"")</f>
        <v/>
      </c>
      <c r="AD998" s="244">
        <f>IF(AD$7&lt;&gt;"",IF(AD996&gt;0,1,0),"")</f>
        <v/>
      </c>
      <c r="AE998" s="244">
        <f>IF(AE$7&lt;&gt;"",IF(AE996&gt;0,1,0),"")</f>
        <v/>
      </c>
      <c r="AF998" s="244">
        <f>IF(AF$7&lt;&gt;"",IF(AF996&gt;0,1,0),"")</f>
        <v/>
      </c>
      <c r="AG998" s="244">
        <f>IF(AG$7&lt;&gt;"",IF(AG996&gt;0,1,0),"")</f>
        <v/>
      </c>
      <c r="AH998" s="244">
        <f>IF(AH$7&lt;&gt;"",IF(AH996&gt;0,1,0),"")</f>
        <v/>
      </c>
      <c r="AI998" s="244">
        <f>IF(AI$7&lt;&gt;"",IF(AI996&gt;0,1,0),"")</f>
        <v/>
      </c>
      <c r="AJ998" s="244">
        <f>IF(AJ$7&lt;&gt;"",IF(AJ996&gt;0,1,0),"")</f>
        <v/>
      </c>
      <c r="AK998" s="244">
        <f>IF(AK$7&lt;&gt;"",IF(AK996&gt;0,1,0),"")</f>
        <v/>
      </c>
      <c r="AL998" s="244">
        <f>IF(AL$7&lt;&gt;"",IF(AL996&gt;0,1,0),"")</f>
        <v/>
      </c>
      <c r="AM998" s="244">
        <f>IF(AM$7&lt;&gt;"",IF(AM996&gt;0,1,0),"")</f>
        <v/>
      </c>
      <c r="AN998" s="244">
        <f>IF(AN$7&lt;&gt;"",IF(AN996&gt;0,1,0),"")</f>
        <v/>
      </c>
      <c r="AO998" s="244">
        <f>IF(AO$7&lt;&gt;"",IF(AO996&gt;0,1,0),"")</f>
        <v/>
      </c>
      <c r="AP998" s="244">
        <f>IF(AP$7&lt;&gt;"",IF(AP996&gt;0,1,0),"")</f>
        <v/>
      </c>
      <c r="AQ998" s="244">
        <f>IF(AQ$7&lt;&gt;"",IF(AQ996&gt;0,1,0),"")</f>
        <v/>
      </c>
      <c r="AR998" s="244">
        <f>IF(AR$7&lt;&gt;"",IF(AR996&gt;0,1,0),"")</f>
        <v/>
      </c>
      <c r="AS998" s="244">
        <f>IF(AS$7&lt;&gt;"",IF(AS996&gt;0,1,0),"")</f>
        <v/>
      </c>
      <c r="AT998" s="244">
        <f>IF(AT$7&lt;&gt;"",IF(AT996&gt;0,1,0),"")</f>
        <v/>
      </c>
      <c r="AU998" s="244">
        <f>IF(AU$7&lt;&gt;"",IF(AU996&gt;0,1,0),"")</f>
        <v/>
      </c>
      <c r="AV998" s="244">
        <f>IF(AV$7&lt;&gt;"",IF(AV996&gt;0,1,0),"")</f>
        <v/>
      </c>
      <c r="AW998" s="244">
        <f>IF(AW$7&lt;&gt;"",IF(AW996&gt;0,1,0),"")</f>
        <v/>
      </c>
      <c r="AX998" s="244">
        <f>IF(AX$7&lt;&gt;"",IF(AX996&gt;0,1,0),"")</f>
        <v/>
      </c>
      <c r="AY998" s="244">
        <f>IF(AY$7&lt;&gt;"",IF(AY996&gt;0,1,0),"")</f>
        <v/>
      </c>
      <c r="AZ998" s="244">
        <f>IF(AZ$7&lt;&gt;"",IF(AZ996&gt;0,1,0),"")</f>
        <v/>
      </c>
      <c r="BA998" s="244">
        <f>IF(BA$7&lt;&gt;"",IF(BA996&gt;0,1,0),"")</f>
        <v/>
      </c>
      <c r="BB998" s="244">
        <f>IF(BB$7&lt;&gt;"",IF(BB996&gt;0,1,0),"")</f>
        <v/>
      </c>
      <c r="BC998" s="244">
        <f>IF(BC$7&lt;&gt;"",IF(BC996&gt;0,1,0),"")</f>
        <v/>
      </c>
      <c r="BD998" s="244">
        <f>IF(BD$7&lt;&gt;"",IF(BD996&gt;0,1,0),"")</f>
        <v/>
      </c>
      <c r="BE998" s="244">
        <f>IF(BE$7&lt;&gt;"",IF(BE996&gt;0,1,0),"")</f>
        <v/>
      </c>
      <c r="BF998" s="244">
        <f>IF(BF$7&lt;&gt;"",IF(BF996&gt;0,1,0),"")</f>
        <v/>
      </c>
      <c r="BG998" s="244">
        <f>IF(BG$7&lt;&gt;"",IF(BG996&gt;0,1,0),"")</f>
        <v/>
      </c>
      <c r="BH998" s="244">
        <f>IF(BH$7&lt;&gt;"",IF(BH996&gt;0,1,0),"")</f>
        <v/>
      </c>
      <c r="BI998" s="244">
        <f>IF(BI$7&lt;&gt;"",IF(BI996&gt;0,1,0),"")</f>
        <v/>
      </c>
      <c r="BJ998" s="244">
        <f>IF(BJ$7&lt;&gt;"",IF(BJ996&gt;0,1,0),"")</f>
        <v/>
      </c>
      <c r="BK998" s="244">
        <f>IF(BK$7&lt;&gt;"",IF(BK996&gt;0,1,0),"")</f>
        <v/>
      </c>
      <c r="BL998" s="244">
        <f>IF(BL$7&lt;&gt;"",IF(BL996&gt;0,1,0),"")</f>
        <v/>
      </c>
      <c r="BM998" s="244">
        <f>IF(BM$7&lt;&gt;"",IF(BM996&gt;0,1,0),"")</f>
        <v/>
      </c>
      <c r="BN998" s="244">
        <f>IF(BN$7&lt;&gt;"",IF(BN996&gt;0,1,0),"")</f>
        <v/>
      </c>
      <c r="BO998" s="244">
        <f>IF(BO$7&lt;&gt;"",IF(BO996&gt;0,1,0),"")</f>
        <v/>
      </c>
      <c r="BP998" s="244">
        <f>IF(BP$7&lt;&gt;"",IF(BP996&gt;0,1,0),"")</f>
        <v/>
      </c>
      <c r="BQ998" s="244">
        <f>IF(BQ$7&lt;&gt;"",IF(BQ996&gt;0,1,0),"")</f>
        <v/>
      </c>
      <c r="BR998" s="244">
        <f>IF(BR$7&lt;&gt;"",IF(BR996&gt;0,1,0),"")</f>
        <v/>
      </c>
      <c r="BS998" s="244">
        <f>IF(BS$7&lt;&gt;"",IF(BS996&gt;0,1,0),"")</f>
        <v/>
      </c>
      <c r="BT998" s="244">
        <f>IF(BT$7&lt;&gt;"",IF(BT996&gt;0,1,0),"")</f>
        <v/>
      </c>
      <c r="BU998" s="244">
        <f>IF(BU$7&lt;&gt;"",IF(BU996&gt;0,1,0),"")</f>
        <v/>
      </c>
      <c r="BV998" s="244">
        <f>IF(BV$7&lt;&gt;"",IF(BV996&gt;0,1,0),"")</f>
        <v/>
      </c>
      <c r="BW998" s="244">
        <f>IF(BW$7&lt;&gt;"",IF(BW996&gt;0,1,0),"")</f>
        <v/>
      </c>
      <c r="BX998" s="244">
        <f>IF(BX$7&lt;&gt;"",IF(BX996&gt;0,1,0),"")</f>
        <v/>
      </c>
      <c r="BY998" s="244">
        <f>IF(BY$7&lt;&gt;"",IF(BY996&gt;0,1,0),"")</f>
        <v/>
      </c>
      <c r="BZ998" s="244">
        <f>IF(BZ$7&lt;&gt;"",IF(BZ996&gt;0,1,0),"")</f>
        <v/>
      </c>
      <c r="CA998" s="244">
        <f>IF(CA$7&lt;&gt;"",IF(CA996&gt;0,1,0),"")</f>
        <v/>
      </c>
    </row>
    <row r="999" ht="12" customHeight="1" s="227">
      <c r="A999" s="244" t="n"/>
      <c r="B999" s="244" t="n"/>
      <c r="C999" s="244" t="n"/>
      <c r="K999" s="6" t="n"/>
    </row>
    <row r="1000" ht="12" customHeight="1" s="227">
      <c r="A1000" s="244" t="n"/>
      <c r="B1000" s="244" t="n"/>
      <c r="C1000" s="244" t="n"/>
      <c r="K1000" s="6" t="n"/>
    </row>
    <row r="1001" ht="12" customHeight="1" s="227">
      <c r="A1001" s="244" t="n"/>
      <c r="B1001" s="244" t="n"/>
      <c r="C1001" s="244" t="n"/>
      <c r="G1001" s="222" t="inlineStr">
        <is>
          <t>Retained Earnings</t>
        </is>
      </c>
      <c r="K1001" s="6" t="n"/>
    </row>
    <row r="1002" ht="12" customHeight="1" s="227">
      <c r="A1002" s="244" t="n"/>
      <c r="B1002" s="244" t="n"/>
      <c r="C1002" s="244" t="n"/>
      <c r="K1002" s="6" t="n"/>
    </row>
    <row r="1003" ht="12" customHeight="1" s="227">
      <c r="A1003" s="244" t="n"/>
      <c r="B1003" s="244" t="n"/>
      <c r="C1003" s="244" t="n"/>
      <c r="H1003" s="0" t="inlineStr">
        <is>
          <t>Opening Balance</t>
        </is>
      </c>
      <c r="I1003" s="27">
        <f> i_Setup!$M$16</f>
        <v/>
      </c>
      <c r="K1003" s="6" t="n"/>
      <c r="M1003" s="245">
        <f>SUMIF($T$1:$CA$1,M$1,$T1003:$CA1003)</f>
        <v/>
      </c>
      <c r="N1003" s="245">
        <f>SUMIF($T$1:$CA$1,N$1,$T1003:$CA1003)</f>
        <v/>
      </c>
      <c r="O1003" s="245">
        <f>SUMIF($T$1:$CA$1,O$1,$T1003:$CA1003)</f>
        <v/>
      </c>
      <c r="P1003" s="245">
        <f>SUMIF($T$1:$CA$1,P$1,$T1003:$CA1003)</f>
        <v/>
      </c>
      <c r="Q1003" s="245">
        <f>SUMIF($T$1:$CA$1,Q$1,$T1003:$CA1003)</f>
        <v/>
      </c>
      <c r="T1003" s="245">
        <f>S1006</f>
        <v/>
      </c>
      <c r="U1003" s="245">
        <f>T1006</f>
        <v/>
      </c>
      <c r="V1003" s="245">
        <f>U1006</f>
        <v/>
      </c>
      <c r="W1003" s="245">
        <f>V1006</f>
        <v/>
      </c>
      <c r="X1003" s="245">
        <f>W1006</f>
        <v/>
      </c>
      <c r="Y1003" s="245">
        <f>X1006</f>
        <v/>
      </c>
      <c r="Z1003" s="245">
        <f>Y1006</f>
        <v/>
      </c>
      <c r="AA1003" s="245">
        <f>Z1006</f>
        <v/>
      </c>
      <c r="AB1003" s="245">
        <f>AA1006</f>
        <v/>
      </c>
      <c r="AC1003" s="245">
        <f>AB1006</f>
        <v/>
      </c>
      <c r="AD1003" s="245">
        <f>AC1006</f>
        <v/>
      </c>
      <c r="AE1003" s="245">
        <f>AD1006</f>
        <v/>
      </c>
      <c r="AF1003" s="245">
        <f>AE1006</f>
        <v/>
      </c>
      <c r="AG1003" s="245">
        <f>AF1006</f>
        <v/>
      </c>
      <c r="AH1003" s="245">
        <f>AG1006</f>
        <v/>
      </c>
      <c r="AI1003" s="245">
        <f>AH1006</f>
        <v/>
      </c>
      <c r="AJ1003" s="245">
        <f>AI1006</f>
        <v/>
      </c>
      <c r="AK1003" s="245">
        <f>AJ1006</f>
        <v/>
      </c>
      <c r="AL1003" s="245">
        <f>AK1006</f>
        <v/>
      </c>
      <c r="AM1003" s="245">
        <f>AL1006</f>
        <v/>
      </c>
      <c r="AN1003" s="245">
        <f>AM1006</f>
        <v/>
      </c>
      <c r="AO1003" s="245">
        <f>AN1006</f>
        <v/>
      </c>
      <c r="AP1003" s="245">
        <f>AO1006</f>
        <v/>
      </c>
      <c r="AQ1003" s="245">
        <f>AP1006</f>
        <v/>
      </c>
      <c r="AR1003" s="245">
        <f>AQ1006</f>
        <v/>
      </c>
      <c r="AS1003" s="245">
        <f>AR1006</f>
        <v/>
      </c>
      <c r="AT1003" s="245">
        <f>AS1006</f>
        <v/>
      </c>
      <c r="AU1003" s="245">
        <f>AT1006</f>
        <v/>
      </c>
      <c r="AV1003" s="245">
        <f>AU1006</f>
        <v/>
      </c>
      <c r="AW1003" s="245">
        <f>AV1006</f>
        <v/>
      </c>
      <c r="AX1003" s="245">
        <f>AW1006</f>
        <v/>
      </c>
      <c r="AY1003" s="245">
        <f>AX1006</f>
        <v/>
      </c>
      <c r="AZ1003" s="245">
        <f>AY1006</f>
        <v/>
      </c>
      <c r="BA1003" s="245">
        <f>AZ1006</f>
        <v/>
      </c>
      <c r="BB1003" s="245">
        <f>BA1006</f>
        <v/>
      </c>
      <c r="BC1003" s="245">
        <f>BB1006</f>
        <v/>
      </c>
      <c r="BD1003" s="245">
        <f>BC1006</f>
        <v/>
      </c>
      <c r="BE1003" s="245">
        <f>BD1006</f>
        <v/>
      </c>
      <c r="BF1003" s="245">
        <f>BE1006</f>
        <v/>
      </c>
      <c r="BG1003" s="245">
        <f>BF1006</f>
        <v/>
      </c>
      <c r="BH1003" s="245">
        <f>BG1006</f>
        <v/>
      </c>
      <c r="BI1003" s="245">
        <f>BH1006</f>
        <v/>
      </c>
      <c r="BJ1003" s="245">
        <f>BI1006</f>
        <v/>
      </c>
      <c r="BK1003" s="245">
        <f>BJ1006</f>
        <v/>
      </c>
      <c r="BL1003" s="245">
        <f>BK1006</f>
        <v/>
      </c>
      <c r="BM1003" s="245">
        <f>BL1006</f>
        <v/>
      </c>
      <c r="BN1003" s="245">
        <f>BM1006</f>
        <v/>
      </c>
      <c r="BO1003" s="245">
        <f>BN1006</f>
        <v/>
      </c>
      <c r="BP1003" s="245">
        <f>BO1006</f>
        <v/>
      </c>
      <c r="BQ1003" s="245">
        <f>BP1006</f>
        <v/>
      </c>
      <c r="BR1003" s="245">
        <f>BQ1006</f>
        <v/>
      </c>
      <c r="BS1003" s="245">
        <f>BR1006</f>
        <v/>
      </c>
      <c r="BT1003" s="245">
        <f>BS1006</f>
        <v/>
      </c>
      <c r="BU1003" s="245">
        <f>BT1006</f>
        <v/>
      </c>
      <c r="BV1003" s="245">
        <f>BU1006</f>
        <v/>
      </c>
      <c r="BW1003" s="245">
        <f>BV1006</f>
        <v/>
      </c>
      <c r="BX1003" s="245">
        <f>BW1006</f>
        <v/>
      </c>
      <c r="BY1003" s="245">
        <f>BX1006</f>
        <v/>
      </c>
      <c r="BZ1003" s="245">
        <f>BY1006</f>
        <v/>
      </c>
      <c r="CA1003" s="245">
        <f>BZ1006</f>
        <v/>
      </c>
    </row>
    <row r="1004" ht="12" customHeight="1" s="227">
      <c r="A1004" s="244" t="n"/>
      <c r="B1004" s="244" t="n"/>
      <c r="C1004" s="244" t="n"/>
      <c r="H1004" s="0" t="inlineStr">
        <is>
          <t>(Profit) / Loss for the period</t>
        </is>
      </c>
      <c r="I1004" s="27">
        <f> i_Setup!$M$16</f>
        <v/>
      </c>
      <c r="K1004" s="6" t="n"/>
      <c r="M1004" s="245">
        <f>SUMIF($T$4:$CA$4,M$4,$T1004:$CA1004)</f>
        <v/>
      </c>
      <c r="N1004" s="245">
        <f>SUMIF($T$4:$CA$4,N$4,$T1004:$CA1004)</f>
        <v/>
      </c>
      <c r="O1004" s="245">
        <f>SUMIF($T$4:$CA$4,O$4,$T1004:$CA1004)</f>
        <v/>
      </c>
      <c r="P1004" s="245">
        <f>SUMIF($T$4:$CA$4,P$4,$T1004:$CA1004)</f>
        <v/>
      </c>
      <c r="Q1004" s="245">
        <f>SUMIF($T$4:$CA$4,Q$4,$T1004:$CA1004)</f>
        <v/>
      </c>
      <c r="T1004" s="245">
        <f>IF(T$7="Actual","",-'o_Fin Stats'!T98)</f>
        <v/>
      </c>
      <c r="U1004" s="245">
        <f>IF(U$7="Actual","",-'o_Fin Stats'!U98)</f>
        <v/>
      </c>
      <c r="V1004" s="245">
        <f>IF(V$7="Actual","",-'o_Fin Stats'!V98)</f>
        <v/>
      </c>
      <c r="W1004" s="245">
        <f>IF(W$7="Actual","",-'o_Fin Stats'!W98)</f>
        <v/>
      </c>
      <c r="X1004" s="245">
        <f>IF(X$7="Actual","",-'o_Fin Stats'!X98)</f>
        <v/>
      </c>
      <c r="Y1004" s="245">
        <f>IF(Y$7="Actual","",-'o_Fin Stats'!Y98)</f>
        <v/>
      </c>
      <c r="Z1004" s="245">
        <f>IF(Z$7="Actual","",-'o_Fin Stats'!Z98)</f>
        <v/>
      </c>
      <c r="AA1004" s="245">
        <f>IF(AA$7="Actual","",-'o_Fin Stats'!AA98)</f>
        <v/>
      </c>
      <c r="AB1004" s="245">
        <f>IF(AB$7="Actual","",-'o_Fin Stats'!AB98)</f>
        <v/>
      </c>
      <c r="AC1004" s="245">
        <f>IF(AC$7="Actual","",-'o_Fin Stats'!AC98)</f>
        <v/>
      </c>
      <c r="AD1004" s="245">
        <f>IF(AD$7="Actual","",-'o_Fin Stats'!AD98)</f>
        <v/>
      </c>
      <c r="AE1004" s="245">
        <f>IF(AE$7="Actual","",-'o_Fin Stats'!AE98)</f>
        <v/>
      </c>
      <c r="AF1004" s="245">
        <f>IF(AF$7="Actual","",-'o_Fin Stats'!AF98)</f>
        <v/>
      </c>
      <c r="AG1004" s="245">
        <f>IF(AG$7="Actual","",-'o_Fin Stats'!AG98)</f>
        <v/>
      </c>
      <c r="AH1004" s="245">
        <f>IF(AH$7="Actual","",-'o_Fin Stats'!AH98)</f>
        <v/>
      </c>
      <c r="AI1004" s="245">
        <f>IF(AI$7="Actual","",-'o_Fin Stats'!AI98)</f>
        <v/>
      </c>
      <c r="AJ1004" s="245">
        <f>IF(AJ$7="Actual","",-'o_Fin Stats'!AJ98)</f>
        <v/>
      </c>
      <c r="AK1004" s="245">
        <f>IF(AK$7="Actual","",-'o_Fin Stats'!AK98)</f>
        <v/>
      </c>
      <c r="AL1004" s="245">
        <f>IF(AL$7="Actual","",-'o_Fin Stats'!AL98)</f>
        <v/>
      </c>
      <c r="AM1004" s="245">
        <f>IF(AM$7="Actual","",-'o_Fin Stats'!AM98)</f>
        <v/>
      </c>
      <c r="AN1004" s="245">
        <f>IF(AN$7="Actual","",-'o_Fin Stats'!AN98)</f>
        <v/>
      </c>
      <c r="AO1004" s="245">
        <f>IF(AO$7="Actual","",-'o_Fin Stats'!AO98)</f>
        <v/>
      </c>
      <c r="AP1004" s="245">
        <f>IF(AP$7="Actual","",-'o_Fin Stats'!AP98)</f>
        <v/>
      </c>
      <c r="AQ1004" s="245">
        <f>IF(AQ$7="Actual","",-'o_Fin Stats'!AQ98)</f>
        <v/>
      </c>
      <c r="AR1004" s="245">
        <f>IF(AR$7="Actual","",-'o_Fin Stats'!AR98)</f>
        <v/>
      </c>
      <c r="AS1004" s="245">
        <f>IF(AS$7="Actual","",-'o_Fin Stats'!AS98)</f>
        <v/>
      </c>
      <c r="AT1004" s="245">
        <f>IF(AT$7="Actual","",-'o_Fin Stats'!AT98)</f>
        <v/>
      </c>
      <c r="AU1004" s="245">
        <f>IF(AU$7="Actual","",-'o_Fin Stats'!AU98)</f>
        <v/>
      </c>
      <c r="AV1004" s="245">
        <f>IF(AV$7="Actual","",-'o_Fin Stats'!AV98)</f>
        <v/>
      </c>
      <c r="AW1004" s="245">
        <f>IF(AW$7="Actual","",-'o_Fin Stats'!AW98)</f>
        <v/>
      </c>
      <c r="AX1004" s="245">
        <f>IF(AX$7="Actual","",-'o_Fin Stats'!AX98)</f>
        <v/>
      </c>
      <c r="AY1004" s="245">
        <f>IF(AY$7="Actual","",-'o_Fin Stats'!AY98)</f>
        <v/>
      </c>
      <c r="AZ1004" s="245">
        <f>IF(AZ$7="Actual","",-'o_Fin Stats'!AZ98)</f>
        <v/>
      </c>
      <c r="BA1004" s="245">
        <f>IF(BA$7="Actual","",-'o_Fin Stats'!BA98)</f>
        <v/>
      </c>
      <c r="BB1004" s="245">
        <f>IF(BB$7="Actual","",-'o_Fin Stats'!BB98)</f>
        <v/>
      </c>
      <c r="BC1004" s="245">
        <f>IF(BC$7="Actual","",-'o_Fin Stats'!BC98)</f>
        <v/>
      </c>
      <c r="BD1004" s="245">
        <f>IF(BD$7="Actual","",-'o_Fin Stats'!BD98)</f>
        <v/>
      </c>
      <c r="BE1004" s="245">
        <f>IF(BE$7="Actual","",-'o_Fin Stats'!BE98)</f>
        <v/>
      </c>
      <c r="BF1004" s="245">
        <f>IF(BF$7="Actual","",-'o_Fin Stats'!BF98)</f>
        <v/>
      </c>
      <c r="BG1004" s="245">
        <f>IF(BG$7="Actual","",-'o_Fin Stats'!BG98)</f>
        <v/>
      </c>
      <c r="BH1004" s="245">
        <f>IF(BH$7="Actual","",-'o_Fin Stats'!BH98)</f>
        <v/>
      </c>
      <c r="BI1004" s="245">
        <f>IF(BI$7="Actual","",-'o_Fin Stats'!BI98)</f>
        <v/>
      </c>
      <c r="BJ1004" s="245">
        <f>IF(BJ$7="Actual","",-'o_Fin Stats'!BJ98)</f>
        <v/>
      </c>
      <c r="BK1004" s="245">
        <f>IF(BK$7="Actual","",-'o_Fin Stats'!BK98)</f>
        <v/>
      </c>
      <c r="BL1004" s="245">
        <f>IF(BL$7="Actual","",-'o_Fin Stats'!BL98)</f>
        <v/>
      </c>
      <c r="BM1004" s="245">
        <f>IF(BM$7="Actual","",-'o_Fin Stats'!BM98)</f>
        <v/>
      </c>
      <c r="BN1004" s="245">
        <f>IF(BN$7="Actual","",-'o_Fin Stats'!BN98)</f>
        <v/>
      </c>
      <c r="BO1004" s="245">
        <f>IF(BO$7="Actual","",-'o_Fin Stats'!BO98)</f>
        <v/>
      </c>
      <c r="BP1004" s="245">
        <f>IF(BP$7="Actual","",-'o_Fin Stats'!BP98)</f>
        <v/>
      </c>
      <c r="BQ1004" s="245">
        <f>IF(BQ$7="Actual","",-'o_Fin Stats'!BQ98)</f>
        <v/>
      </c>
      <c r="BR1004" s="245">
        <f>IF(BR$7="Actual","",-'o_Fin Stats'!BR98)</f>
        <v/>
      </c>
      <c r="BS1004" s="245">
        <f>IF(BS$7="Actual","",-'o_Fin Stats'!BS98)</f>
        <v/>
      </c>
      <c r="BT1004" s="245">
        <f>IF(BT$7="Actual","",-'o_Fin Stats'!BT98)</f>
        <v/>
      </c>
      <c r="BU1004" s="245">
        <f>IF(BU$7="Actual","",-'o_Fin Stats'!BU98)</f>
        <v/>
      </c>
      <c r="BV1004" s="245">
        <f>IF(BV$7="Actual","",-'o_Fin Stats'!BV98)</f>
        <v/>
      </c>
      <c r="BW1004" s="245">
        <f>IF(BW$7="Actual","",-'o_Fin Stats'!BW98)</f>
        <v/>
      </c>
      <c r="BX1004" s="245">
        <f>IF(BX$7="Actual","",-'o_Fin Stats'!BX98)</f>
        <v/>
      </c>
      <c r="BY1004" s="245">
        <f>IF(BY$7="Actual","",-'o_Fin Stats'!BY98)</f>
        <v/>
      </c>
      <c r="BZ1004" s="245">
        <f>IF(BZ$7="Actual","",-'o_Fin Stats'!BZ98)</f>
        <v/>
      </c>
      <c r="CA1004" s="245">
        <f>IF(CA$7="Actual","",-'o_Fin Stats'!CA98)</f>
        <v/>
      </c>
    </row>
    <row r="1005" ht="12" customHeight="1" s="227">
      <c r="A1005" s="244" t="n"/>
      <c r="B1005" s="244" t="n"/>
      <c r="C1005" s="244" t="n"/>
      <c r="H1005" s="0" t="inlineStr">
        <is>
          <t>Dividends Paid</t>
        </is>
      </c>
      <c r="I1005" s="27">
        <f> i_Setup!$M$16</f>
        <v/>
      </c>
      <c r="K1005" s="6" t="n"/>
      <c r="M1005" s="245">
        <f>SUMIF($T$4:$CA$4,M$4,$T1005:$CA1005)</f>
        <v/>
      </c>
      <c r="N1005" s="245">
        <f>SUMIF($T$4:$CA$4,N$4,$T1005:$CA1005)</f>
        <v/>
      </c>
      <c r="O1005" s="245">
        <f>SUMIF($T$4:$CA$4,O$4,$T1005:$CA1005)</f>
        <v/>
      </c>
      <c r="P1005" s="245">
        <f>SUMIF($T$4:$CA$4,P$4,$T1005:$CA1005)</f>
        <v/>
      </c>
      <c r="Q1005" s="245">
        <f>SUMIF($T$4:$CA$4,Q$4,$T1005:$CA1005)</f>
        <v/>
      </c>
      <c r="T1005" s="245">
        <f>IF(T7="Actual","",T640)</f>
        <v/>
      </c>
      <c r="U1005" s="245">
        <f>IF(U7="Actual","",U640)</f>
        <v/>
      </c>
      <c r="V1005" s="245">
        <f>IF(V7="Actual","",V640)</f>
        <v/>
      </c>
      <c r="W1005" s="245">
        <f>IF(W7="Actual","",W640)</f>
        <v/>
      </c>
      <c r="X1005" s="245">
        <f>IF(X7="Actual","",X640)</f>
        <v/>
      </c>
      <c r="Y1005" s="245">
        <f>IF(Y7="Actual","",Y640)</f>
        <v/>
      </c>
      <c r="Z1005" s="245">
        <f>IF(Z7="Actual","",Z640)</f>
        <v/>
      </c>
      <c r="AA1005" s="245">
        <f>IF(AA7="Actual","",AA640)</f>
        <v/>
      </c>
      <c r="AB1005" s="245">
        <f>IF(AB7="Actual","",AB640)</f>
        <v/>
      </c>
      <c r="AC1005" s="245">
        <f>IF(AC7="Actual","",AC640)</f>
        <v/>
      </c>
      <c r="AD1005" s="245">
        <f>IF(AD7="Actual","",AD640)</f>
        <v/>
      </c>
      <c r="AE1005" s="245">
        <f>IF(AE7="Actual","",AE640)</f>
        <v/>
      </c>
      <c r="AF1005" s="245">
        <f>IF(AF7="Actual","",AF640)</f>
        <v/>
      </c>
      <c r="AG1005" s="245">
        <f>IF(AG7="Actual","",AG640)</f>
        <v/>
      </c>
      <c r="AH1005" s="245">
        <f>IF(AH7="Actual","",AH640)</f>
        <v/>
      </c>
      <c r="AI1005" s="245">
        <f>IF(AI7="Actual","",AI640)</f>
        <v/>
      </c>
      <c r="AJ1005" s="245">
        <f>IF(AJ7="Actual","",AJ640)</f>
        <v/>
      </c>
      <c r="AK1005" s="245">
        <f>IF(AK7="Actual","",AK640)</f>
        <v/>
      </c>
      <c r="AL1005" s="245">
        <f>IF(AL7="Actual","",AL640)</f>
        <v/>
      </c>
      <c r="AM1005" s="245">
        <f>IF(AM7="Actual","",AM640)</f>
        <v/>
      </c>
      <c r="AN1005" s="245">
        <f>IF(AN7="Actual","",AN640)</f>
        <v/>
      </c>
      <c r="AO1005" s="245">
        <f>IF(AO7="Actual","",AO640)</f>
        <v/>
      </c>
      <c r="AP1005" s="245">
        <f>IF(AP7="Actual","",AP640)</f>
        <v/>
      </c>
      <c r="AQ1005" s="245">
        <f>IF(AQ7="Actual","",AQ640)</f>
        <v/>
      </c>
      <c r="AR1005" s="245">
        <f>IF(AR7="Actual","",AR640)</f>
        <v/>
      </c>
      <c r="AS1005" s="245">
        <f>IF(AS7="Actual","",AS640)</f>
        <v/>
      </c>
      <c r="AT1005" s="245">
        <f>IF(AT7="Actual","",AT640)</f>
        <v/>
      </c>
      <c r="AU1005" s="245">
        <f>IF(AU7="Actual","",AU640)</f>
        <v/>
      </c>
      <c r="AV1005" s="245">
        <f>IF(AV7="Actual","",AV640)</f>
        <v/>
      </c>
      <c r="AW1005" s="245">
        <f>IF(AW7="Actual","",AW640)</f>
        <v/>
      </c>
      <c r="AX1005" s="245">
        <f>IF(AX7="Actual","",AX640)</f>
        <v/>
      </c>
      <c r="AY1005" s="245">
        <f>IF(AY7="Actual","",AY640)</f>
        <v/>
      </c>
      <c r="AZ1005" s="245">
        <f>IF(AZ7="Actual","",AZ640)</f>
        <v/>
      </c>
      <c r="BA1005" s="245">
        <f>IF(BA7="Actual","",BA640)</f>
        <v/>
      </c>
      <c r="BB1005" s="245">
        <f>IF(BB7="Actual","",BB640)</f>
        <v/>
      </c>
      <c r="BC1005" s="245">
        <f>IF(BC7="Actual","",BC640)</f>
        <v/>
      </c>
      <c r="BD1005" s="245">
        <f>IF(BD7="Actual","",BD640)</f>
        <v/>
      </c>
      <c r="BE1005" s="245">
        <f>IF(BE7="Actual","",BE640)</f>
        <v/>
      </c>
      <c r="BF1005" s="245">
        <f>IF(BF7="Actual","",BF640)</f>
        <v/>
      </c>
      <c r="BG1005" s="245">
        <f>IF(BG7="Actual","",BG640)</f>
        <v/>
      </c>
      <c r="BH1005" s="245">
        <f>IF(BH7="Actual","",BH640)</f>
        <v/>
      </c>
      <c r="BI1005" s="245">
        <f>IF(BI7="Actual","",BI640)</f>
        <v/>
      </c>
      <c r="BJ1005" s="245">
        <f>IF(BJ7="Actual","",BJ640)</f>
        <v/>
      </c>
      <c r="BK1005" s="245">
        <f>IF(BK7="Actual","",BK640)</f>
        <v/>
      </c>
      <c r="BL1005" s="245">
        <f>IF(BL7="Actual","",BL640)</f>
        <v/>
      </c>
      <c r="BM1005" s="245">
        <f>IF(BM7="Actual","",BM640)</f>
        <v/>
      </c>
      <c r="BN1005" s="245">
        <f>IF(BN7="Actual","",BN640)</f>
        <v/>
      </c>
      <c r="BO1005" s="245">
        <f>IF(BO7="Actual","",BO640)</f>
        <v/>
      </c>
      <c r="BP1005" s="245">
        <f>IF(BP7="Actual","",BP640)</f>
        <v/>
      </c>
      <c r="BQ1005" s="245">
        <f>IF(BQ7="Actual","",BQ640)</f>
        <v/>
      </c>
      <c r="BR1005" s="245">
        <f>IF(BR7="Actual","",BR640)</f>
        <v/>
      </c>
      <c r="BS1005" s="245">
        <f>IF(BS7="Actual","",BS640)</f>
        <v/>
      </c>
      <c r="BT1005" s="245">
        <f>IF(BT7="Actual","",BT640)</f>
        <v/>
      </c>
      <c r="BU1005" s="245">
        <f>IF(BU7="Actual","",BU640)</f>
        <v/>
      </c>
      <c r="BV1005" s="245">
        <f>IF(BV7="Actual","",BV640)</f>
        <v/>
      </c>
      <c r="BW1005" s="245">
        <f>IF(BW7="Actual","",BW640)</f>
        <v/>
      </c>
      <c r="BX1005" s="245">
        <f>IF(BX7="Actual","",BX640)</f>
        <v/>
      </c>
      <c r="BY1005" s="245">
        <f>IF(BY7="Actual","",BY640)</f>
        <v/>
      </c>
      <c r="BZ1005" s="245">
        <f>IF(BZ7="Actual","",BZ640)</f>
        <v/>
      </c>
      <c r="CA1005" s="245">
        <f>IF(CA7="Actual","",CA640)</f>
        <v/>
      </c>
    </row>
    <row r="1006" ht="12" customHeight="1" s="227" thickBot="1">
      <c r="A1006" s="244" t="n"/>
      <c r="B1006" s="244" t="n"/>
      <c r="C1006" s="244" t="n"/>
      <c r="H1006" s="42" t="inlineStr">
        <is>
          <t>Closing Balance</t>
        </is>
      </c>
      <c r="I1006" s="43">
        <f> i_Setup!$M$16</f>
        <v/>
      </c>
      <c r="K1006" s="6" t="n"/>
      <c r="M1006" s="264">
        <f>SUMIF($T$2:$CA$2,M$2,$T1006:$CA1006)</f>
        <v/>
      </c>
      <c r="N1006" s="264">
        <f>SUMIF($T$2:$CA$2,N$2,$T1006:$CA1006)</f>
        <v/>
      </c>
      <c r="O1006" s="264">
        <f>SUMIF($T$2:$CA$2,O$2,$T1006:$CA1006)</f>
        <v/>
      </c>
      <c r="P1006" s="264">
        <f>SUMIF($T$2:$CA$2,P$2,$T1006:$CA1006)</f>
        <v/>
      </c>
      <c r="Q1006" s="264">
        <f>SUMIF($T$2:$CA$2,Q$2,$T1006:$CA1006)</f>
        <v/>
      </c>
      <c r="T1006" s="264">
        <f>IF(T$7="Actual",i_Actuals!T148,SUM(T1003:T1005))</f>
        <v/>
      </c>
      <c r="U1006" s="264">
        <f>IF(U$7="Actual",i_Actuals!U148,SUM(U1003:U1005))</f>
        <v/>
      </c>
      <c r="V1006" s="264">
        <f>IF(V$7="Actual",i_Actuals!V148,SUM(V1003:V1005))</f>
        <v/>
      </c>
      <c r="W1006" s="264">
        <f>IF(W$7="Actual",i_Actuals!W148,SUM(W1003:W1005))</f>
        <v/>
      </c>
      <c r="X1006" s="264">
        <f>IF(X$7="Actual",i_Actuals!X148,SUM(X1003:X1005))</f>
        <v/>
      </c>
      <c r="Y1006" s="264">
        <f>IF(Y$7="Actual",i_Actuals!Y148,SUM(Y1003:Y1005))</f>
        <v/>
      </c>
      <c r="Z1006" s="264">
        <f>IF(Z$7="Actual",i_Actuals!Z148,SUM(Z1003:Z1005))</f>
        <v/>
      </c>
      <c r="AA1006" s="264">
        <f>IF(AA$7="Actual",i_Actuals!AA148,SUM(AA1003:AA1005))</f>
        <v/>
      </c>
      <c r="AB1006" s="264">
        <f>IF(AB$7="Actual",i_Actuals!AB148,SUM(AB1003:AB1005))</f>
        <v/>
      </c>
      <c r="AC1006" s="264">
        <f>IF(AC$7="Actual",i_Actuals!AC148,SUM(AC1003:AC1005))</f>
        <v/>
      </c>
      <c r="AD1006" s="264">
        <f>IF(AD$7="Actual",i_Actuals!AD148,SUM(AD1003:AD1005))</f>
        <v/>
      </c>
      <c r="AE1006" s="264">
        <f>IF(AE$7="Actual",i_Actuals!AE148,SUM(AE1003:AE1005))</f>
        <v/>
      </c>
      <c r="AF1006" s="264">
        <f>IF(AF$7="Actual",i_Actuals!AF148,SUM(AF1003:AF1005))</f>
        <v/>
      </c>
      <c r="AG1006" s="264">
        <f>IF(AG$7="Actual",i_Actuals!AG148,SUM(AG1003:AG1005))</f>
        <v/>
      </c>
      <c r="AH1006" s="264">
        <f>IF(AH$7="Actual",i_Actuals!AH148,SUM(AH1003:AH1005))</f>
        <v/>
      </c>
      <c r="AI1006" s="264">
        <f>IF(AI$7="Actual",i_Actuals!AI148,SUM(AI1003:AI1005))</f>
        <v/>
      </c>
      <c r="AJ1006" s="264">
        <f>IF(AJ$7="Actual",i_Actuals!AJ148,SUM(AJ1003:AJ1005))</f>
        <v/>
      </c>
      <c r="AK1006" s="264">
        <f>IF(AK$7="Actual",i_Actuals!AK148,SUM(AK1003:AK1005))</f>
        <v/>
      </c>
      <c r="AL1006" s="264">
        <f>IF(AL$7="Actual",i_Actuals!AL148,SUM(AL1003:AL1005))</f>
        <v/>
      </c>
      <c r="AM1006" s="264">
        <f>IF(AM$7="Actual",i_Actuals!AM148,SUM(AM1003:AM1005))</f>
        <v/>
      </c>
      <c r="AN1006" s="264">
        <f>IF(AN$7="Actual",i_Actuals!AN148,SUM(AN1003:AN1005))</f>
        <v/>
      </c>
      <c r="AO1006" s="264">
        <f>IF(AO$7="Actual",i_Actuals!AO148,SUM(AO1003:AO1005))</f>
        <v/>
      </c>
      <c r="AP1006" s="264">
        <f>IF(AP$7="Actual",i_Actuals!AP148,SUM(AP1003:AP1005))</f>
        <v/>
      </c>
      <c r="AQ1006" s="264">
        <f>IF(AQ$7="Actual",i_Actuals!AQ148,SUM(AQ1003:AQ1005))</f>
        <v/>
      </c>
      <c r="AR1006" s="264">
        <f>IF(AR$7="Actual",i_Actuals!AR148,SUM(AR1003:AR1005))</f>
        <v/>
      </c>
      <c r="AS1006" s="264">
        <f>IF(AS$7="Actual",i_Actuals!AS148,SUM(AS1003:AS1005))</f>
        <v/>
      </c>
      <c r="AT1006" s="264">
        <f>IF(AT$7="Actual",i_Actuals!AT148,SUM(AT1003:AT1005))</f>
        <v/>
      </c>
      <c r="AU1006" s="264">
        <f>IF(AU$7="Actual",i_Actuals!AU148,SUM(AU1003:AU1005))</f>
        <v/>
      </c>
      <c r="AV1006" s="264">
        <f>IF(AV$7="Actual",i_Actuals!AV148,SUM(AV1003:AV1005))</f>
        <v/>
      </c>
      <c r="AW1006" s="264">
        <f>IF(AW$7="Actual",i_Actuals!AW148,SUM(AW1003:AW1005))</f>
        <v/>
      </c>
      <c r="AX1006" s="264">
        <f>IF(AX$7="Actual",i_Actuals!AX148,SUM(AX1003:AX1005))</f>
        <v/>
      </c>
      <c r="AY1006" s="264">
        <f>IF(AY$7="Actual",i_Actuals!AY148,SUM(AY1003:AY1005))</f>
        <v/>
      </c>
      <c r="AZ1006" s="264">
        <f>IF(AZ$7="Actual",i_Actuals!AZ148,SUM(AZ1003:AZ1005))</f>
        <v/>
      </c>
      <c r="BA1006" s="264">
        <f>IF(BA$7="Actual",i_Actuals!BA148,SUM(BA1003:BA1005))</f>
        <v/>
      </c>
      <c r="BB1006" s="264">
        <f>IF(BB$7="Actual",i_Actuals!BB148,SUM(BB1003:BB1005))</f>
        <v/>
      </c>
      <c r="BC1006" s="264">
        <f>IF(BC$7="Actual",i_Actuals!BC148,SUM(BC1003:BC1005))</f>
        <v/>
      </c>
      <c r="BD1006" s="264">
        <f>IF(BD$7="Actual",i_Actuals!BD148,SUM(BD1003:BD1005))</f>
        <v/>
      </c>
      <c r="BE1006" s="264">
        <f>IF(BE$7="Actual",i_Actuals!BE148,SUM(BE1003:BE1005))</f>
        <v/>
      </c>
      <c r="BF1006" s="264">
        <f>IF(BF$7="Actual",i_Actuals!BF148,SUM(BF1003:BF1005))</f>
        <v/>
      </c>
      <c r="BG1006" s="264">
        <f>IF(BG$7="Actual",i_Actuals!BG148,SUM(BG1003:BG1005))</f>
        <v/>
      </c>
      <c r="BH1006" s="264">
        <f>IF(BH$7="Actual",i_Actuals!BH148,SUM(BH1003:BH1005))</f>
        <v/>
      </c>
      <c r="BI1006" s="264">
        <f>IF(BI$7="Actual",i_Actuals!BI148,SUM(BI1003:BI1005))</f>
        <v/>
      </c>
      <c r="BJ1006" s="264">
        <f>IF(BJ$7="Actual",i_Actuals!BJ148,SUM(BJ1003:BJ1005))</f>
        <v/>
      </c>
      <c r="BK1006" s="264">
        <f>IF(BK$7="Actual",i_Actuals!BK148,SUM(BK1003:BK1005))</f>
        <v/>
      </c>
      <c r="BL1006" s="264">
        <f>IF(BL$7="Actual",i_Actuals!BL148,SUM(BL1003:BL1005))</f>
        <v/>
      </c>
      <c r="BM1006" s="264">
        <f>IF(BM$7="Actual",i_Actuals!BM148,SUM(BM1003:BM1005))</f>
        <v/>
      </c>
      <c r="BN1006" s="264">
        <f>IF(BN$7="Actual",i_Actuals!BN148,SUM(BN1003:BN1005))</f>
        <v/>
      </c>
      <c r="BO1006" s="264">
        <f>IF(BO$7="Actual",i_Actuals!BO148,SUM(BO1003:BO1005))</f>
        <v/>
      </c>
      <c r="BP1006" s="264">
        <f>IF(BP$7="Actual",i_Actuals!BP148,SUM(BP1003:BP1005))</f>
        <v/>
      </c>
      <c r="BQ1006" s="264">
        <f>IF(BQ$7="Actual",i_Actuals!BQ148,SUM(BQ1003:BQ1005))</f>
        <v/>
      </c>
      <c r="BR1006" s="264">
        <f>IF(BR$7="Actual",i_Actuals!BR148,SUM(BR1003:BR1005))</f>
        <v/>
      </c>
      <c r="BS1006" s="264">
        <f>IF(BS$7="Actual",i_Actuals!BS148,SUM(BS1003:BS1005))</f>
        <v/>
      </c>
      <c r="BT1006" s="264">
        <f>IF(BT$7="Actual",i_Actuals!BT148,SUM(BT1003:BT1005))</f>
        <v/>
      </c>
      <c r="BU1006" s="264">
        <f>IF(BU$7="Actual",i_Actuals!BU148,SUM(BU1003:BU1005))</f>
        <v/>
      </c>
      <c r="BV1006" s="264">
        <f>IF(BV$7="Actual",i_Actuals!BV148,SUM(BV1003:BV1005))</f>
        <v/>
      </c>
      <c r="BW1006" s="264">
        <f>IF(BW$7="Actual",i_Actuals!BW148,SUM(BW1003:BW1005))</f>
        <v/>
      </c>
      <c r="BX1006" s="264">
        <f>IF(BX$7="Actual",i_Actuals!BX148,SUM(BX1003:BX1005))</f>
        <v/>
      </c>
      <c r="BY1006" s="264">
        <f>IF(BY$7="Actual",i_Actuals!BY148,SUM(BY1003:BY1005))</f>
        <v/>
      </c>
      <c r="BZ1006" s="264">
        <f>IF(BZ$7="Actual",i_Actuals!BZ148,SUM(BZ1003:BZ1005))</f>
        <v/>
      </c>
      <c r="CA1006" s="264">
        <f>IF(CA$7="Actual",i_Actuals!CA148,SUM(CA1003:CA1005))</f>
        <v/>
      </c>
    </row>
    <row r="1007" ht="12" customHeight="1" s="227">
      <c r="A1007" s="244" t="n"/>
      <c r="B1007" s="244" t="n"/>
      <c r="C1007" s="244" t="n"/>
      <c r="K1007" s="6" t="n"/>
    </row>
    <row r="1008" ht="12" customHeight="1" s="227">
      <c r="A1008" s="244" t="n"/>
      <c r="B1008" s="244" t="n"/>
      <c r="C1008" s="244" t="n"/>
    </row>
    <row r="1009" ht="12" customHeight="1" s="227"/>
    <row r="1010" ht="15.75" customFormat="1" customHeight="1" s="99">
      <c r="D1010" s="99" t="inlineStr">
        <is>
          <t>END OF WORKSHEET</t>
        </is>
      </c>
    </row>
    <row r="1013" hidden="1" s="227">
      <c r="H1013" s="29" t="n"/>
    </row>
    <row r="1018" hidden="1" customFormat="1" s="6">
      <c r="C1018" s="4" t="n"/>
      <c r="D1018" s="4" t="n"/>
      <c r="E1018" s="4" t="n"/>
      <c r="F1018" s="4" t="n"/>
      <c r="G1018" s="4" t="n"/>
      <c r="H1018" s="4" t="n"/>
      <c r="I1018" s="4" t="n"/>
      <c r="J1018" s="4" t="n"/>
      <c r="K1018" s="4" t="n"/>
      <c r="L1018" s="4" t="n"/>
      <c r="M1018" s="4" t="n"/>
      <c r="N1018" s="4" t="n"/>
      <c r="O1018" s="4" t="n"/>
      <c r="P1018" s="4" t="n"/>
      <c r="Q1018" s="4" t="n"/>
      <c r="R1018" s="4" t="n"/>
      <c r="S1018" s="4" t="n"/>
      <c r="T1018" s="4" t="n"/>
      <c r="U1018" s="4" t="n"/>
      <c r="V1018" s="4" t="n"/>
      <c r="W1018" s="4" t="n"/>
      <c r="X1018" s="4" t="n"/>
      <c r="Y1018" s="4" t="n"/>
      <c r="Z1018" s="4" t="n"/>
      <c r="AA1018" s="4" t="n"/>
      <c r="AB1018" s="4" t="n"/>
      <c r="AC1018" s="4" t="n"/>
      <c r="AD1018" s="4" t="n"/>
      <c r="AE1018" s="4" t="n"/>
      <c r="AF1018" s="4" t="n"/>
      <c r="AG1018" s="4" t="n"/>
      <c r="AH1018" s="4" t="n"/>
      <c r="AI1018" s="4" t="n"/>
      <c r="AJ1018" s="4" t="n"/>
      <c r="AK1018" s="4" t="n"/>
      <c r="AL1018" s="4" t="n"/>
      <c r="AM1018" s="4" t="n"/>
      <c r="AN1018" s="4" t="n"/>
      <c r="AO1018" s="4" t="n"/>
      <c r="AP1018" s="4" t="n"/>
      <c r="AQ1018" s="4" t="n"/>
      <c r="AR1018" s="4" t="n"/>
      <c r="AS1018" s="4" t="n"/>
      <c r="AT1018" s="4" t="n"/>
      <c r="AU1018" s="4" t="n"/>
      <c r="AV1018" s="4" t="n"/>
      <c r="AW1018" s="4" t="n"/>
      <c r="AX1018" s="4" t="n"/>
      <c r="AY1018" s="4" t="n"/>
      <c r="AZ1018" s="4" t="n"/>
      <c r="BA1018" s="4" t="n"/>
      <c r="BB1018" s="4" t="n"/>
      <c r="BC1018" s="4" t="n"/>
      <c r="BD1018" s="4" t="n"/>
      <c r="BE1018" s="4" t="n"/>
      <c r="BF1018" s="4" t="n"/>
      <c r="BG1018" s="4" t="n"/>
      <c r="BH1018" s="4" t="n"/>
      <c r="BI1018" s="4" t="n"/>
      <c r="BJ1018" s="4" t="n"/>
      <c r="BK1018" s="4" t="n"/>
      <c r="BL1018" s="4" t="n"/>
      <c r="BM1018" s="4" t="n"/>
      <c r="BN1018" s="4" t="n"/>
      <c r="BO1018" s="4" t="n"/>
      <c r="BP1018" s="4" t="n"/>
      <c r="BQ1018" s="4" t="n"/>
      <c r="BR1018" s="4" t="n"/>
      <c r="BS1018" s="4" t="n"/>
      <c r="BT1018" s="4" t="n"/>
      <c r="BU1018" s="4" t="n"/>
      <c r="BV1018" s="4" t="n"/>
      <c r="BW1018" s="4" t="n"/>
      <c r="BX1018" s="4" t="n"/>
      <c r="BY1018" s="4" t="n"/>
      <c r="BZ1018" s="4" t="n"/>
      <c r="CA1018" s="4" t="n"/>
      <c r="CB1018" s="4" t="n"/>
      <c r="CC1018" s="4" t="n"/>
      <c r="CD1018" s="4" t="n"/>
      <c r="CE1018" s="4" t="n"/>
      <c r="CF1018" s="4" t="n"/>
      <c r="CG1018" s="4" t="n"/>
      <c r="CH1018" s="4" t="n"/>
      <c r="CI1018" s="4" t="n"/>
      <c r="CJ1018" s="4" t="n"/>
      <c r="CK1018" s="4" t="n"/>
      <c r="CL1018" s="4" t="n"/>
      <c r="CM1018" s="4" t="n"/>
      <c r="CN1018" s="4" t="n"/>
      <c r="CO1018" s="4" t="n"/>
      <c r="CP1018" s="4" t="n"/>
      <c r="CQ1018" s="4" t="n"/>
      <c r="CR1018" s="4" t="n"/>
      <c r="CS1018" s="4" t="n"/>
      <c r="CT1018" s="4" t="n"/>
      <c r="CU1018" s="4" t="n"/>
      <c r="CV1018" s="4" t="n"/>
      <c r="CW1018" s="4" t="n"/>
      <c r="CX1018" s="4" t="n"/>
      <c r="CY1018" s="4" t="n"/>
      <c r="CZ1018" s="4" t="n"/>
      <c r="DA1018" s="4" t="n"/>
      <c r="DB1018" s="4" t="n"/>
      <c r="DC1018" s="4" t="n"/>
      <c r="DD1018" s="4" t="n"/>
      <c r="DE1018" s="4" t="n"/>
      <c r="DF1018" s="4" t="n"/>
      <c r="DG1018" s="4" t="n"/>
      <c r="DH1018" s="4" t="n"/>
      <c r="DI1018" s="4" t="n"/>
      <c r="DJ1018" s="4" t="n"/>
      <c r="DK1018" s="4" t="n"/>
      <c r="DL1018" s="4" t="n"/>
      <c r="DM1018" s="4" t="n"/>
      <c r="DN1018" s="4" t="n"/>
      <c r="DO1018" s="4" t="n"/>
      <c r="DP1018" s="4" t="n"/>
      <c r="DQ1018" s="4" t="n"/>
      <c r="DR1018" s="4" t="n"/>
      <c r="DS1018" s="4" t="n"/>
      <c r="DT1018" s="4" t="n"/>
      <c r="DU1018" s="4" t="n"/>
      <c r="DV1018" s="4" t="n"/>
      <c r="DW1018" s="4" t="n"/>
      <c r="DX1018" s="4" t="n"/>
      <c r="DY1018" s="4" t="n"/>
      <c r="DZ1018" s="4" t="n"/>
      <c r="EA1018" s="4" t="n"/>
      <c r="EB1018" s="4" t="n"/>
      <c r="EC1018" s="4" t="n"/>
      <c r="ED1018" s="4" t="n"/>
      <c r="EE1018" s="4" t="n"/>
      <c r="EF1018" s="4" t="n"/>
      <c r="EG1018" s="4" t="n"/>
      <c r="EH1018" s="4" t="n"/>
      <c r="EI1018" s="4" t="n"/>
      <c r="EJ1018" s="4" t="n"/>
      <c r="EK1018" s="4" t="n"/>
      <c r="EL1018" s="4" t="n"/>
      <c r="EM1018" s="4" t="n"/>
    </row>
    <row r="1019" hidden="1" customFormat="1" s="6">
      <c r="C1019" s="4" t="n"/>
      <c r="D1019" s="4" t="n"/>
      <c r="E1019" s="4" t="n"/>
      <c r="F1019" s="4" t="n"/>
      <c r="G1019" s="4" t="n"/>
      <c r="H1019" s="4" t="n"/>
      <c r="I1019" s="4" t="n"/>
      <c r="J1019" s="4" t="n"/>
      <c r="K1019" s="4" t="n"/>
      <c r="L1019" s="4" t="n"/>
      <c r="M1019" s="4" t="n"/>
      <c r="N1019" s="4" t="n"/>
      <c r="O1019" s="4" t="n"/>
      <c r="P1019" s="4" t="n"/>
      <c r="Q1019" s="4" t="n"/>
      <c r="R1019" s="4" t="n"/>
      <c r="S1019" s="4" t="n"/>
      <c r="T1019" s="4" t="n"/>
      <c r="U1019" s="4" t="n"/>
      <c r="V1019" s="4" t="n"/>
      <c r="W1019" s="4" t="n"/>
      <c r="X1019" s="4" t="n"/>
      <c r="Y1019" s="4" t="n"/>
      <c r="Z1019" s="4" t="n"/>
      <c r="AA1019" s="4" t="n"/>
      <c r="AB1019" s="4" t="n"/>
      <c r="AC1019" s="4" t="n"/>
      <c r="AD1019" s="4" t="n"/>
      <c r="AE1019" s="4" t="n"/>
      <c r="AF1019" s="4" t="n"/>
      <c r="AG1019" s="4" t="n"/>
      <c r="AH1019" s="4" t="n"/>
      <c r="AI1019" s="4" t="n"/>
      <c r="AJ1019" s="4" t="n"/>
      <c r="AK1019" s="4" t="n"/>
      <c r="AL1019" s="4" t="n"/>
      <c r="AM1019" s="4" t="n"/>
      <c r="AN1019" s="4" t="n"/>
      <c r="AO1019" s="4" t="n"/>
      <c r="AP1019" s="4" t="n"/>
      <c r="AQ1019" s="4" t="n"/>
      <c r="AR1019" s="4" t="n"/>
      <c r="AS1019" s="4" t="n"/>
      <c r="AT1019" s="4" t="n"/>
      <c r="AU1019" s="4" t="n"/>
      <c r="AV1019" s="4" t="n"/>
      <c r="AW1019" s="4" t="n"/>
      <c r="AX1019" s="4" t="n"/>
      <c r="AY1019" s="4" t="n"/>
      <c r="AZ1019" s="4" t="n"/>
      <c r="BA1019" s="4" t="n"/>
      <c r="BB1019" s="4" t="n"/>
      <c r="BC1019" s="4" t="n"/>
      <c r="BD1019" s="4" t="n"/>
      <c r="BE1019" s="4" t="n"/>
      <c r="BF1019" s="4" t="n"/>
      <c r="BG1019" s="4" t="n"/>
      <c r="BH1019" s="4" t="n"/>
      <c r="BI1019" s="4" t="n"/>
      <c r="BJ1019" s="4" t="n"/>
      <c r="BK1019" s="4" t="n"/>
      <c r="BL1019" s="4" t="n"/>
      <c r="BM1019" s="4" t="n"/>
      <c r="BN1019" s="4" t="n"/>
      <c r="BO1019" s="4" t="n"/>
      <c r="BP1019" s="4" t="n"/>
      <c r="BQ1019" s="4" t="n"/>
      <c r="BR1019" s="4" t="n"/>
      <c r="BS1019" s="4" t="n"/>
      <c r="BT1019" s="4" t="n"/>
      <c r="BU1019" s="4" t="n"/>
      <c r="BV1019" s="4" t="n"/>
      <c r="BW1019" s="4" t="n"/>
      <c r="BX1019" s="4" t="n"/>
      <c r="BY1019" s="4" t="n"/>
      <c r="BZ1019" s="4" t="n"/>
      <c r="CA1019" s="4" t="n"/>
      <c r="CB1019" s="4" t="n"/>
      <c r="CC1019" s="4" t="n"/>
      <c r="CD1019" s="4" t="n"/>
      <c r="CE1019" s="4" t="n"/>
      <c r="CF1019" s="4" t="n"/>
      <c r="CG1019" s="4" t="n"/>
      <c r="CH1019" s="4" t="n"/>
      <c r="CI1019" s="4" t="n"/>
      <c r="CJ1019" s="4" t="n"/>
      <c r="CK1019" s="4" t="n"/>
      <c r="CL1019" s="4" t="n"/>
      <c r="CM1019" s="4" t="n"/>
      <c r="CN1019" s="4" t="n"/>
      <c r="CO1019" s="4" t="n"/>
      <c r="CP1019" s="4" t="n"/>
      <c r="CQ1019" s="4" t="n"/>
      <c r="CR1019" s="4" t="n"/>
      <c r="CS1019" s="4" t="n"/>
      <c r="CT1019" s="4" t="n"/>
      <c r="CU1019" s="4" t="n"/>
      <c r="CV1019" s="4" t="n"/>
      <c r="CW1019" s="4" t="n"/>
      <c r="CX1019" s="4" t="n"/>
      <c r="CY1019" s="4" t="n"/>
      <c r="CZ1019" s="4" t="n"/>
      <c r="DA1019" s="4" t="n"/>
      <c r="DB1019" s="4" t="n"/>
      <c r="DC1019" s="4" t="n"/>
      <c r="DD1019" s="4" t="n"/>
      <c r="DE1019" s="4" t="n"/>
      <c r="DF1019" s="4" t="n"/>
      <c r="DG1019" s="4" t="n"/>
      <c r="DH1019" s="4" t="n"/>
      <c r="DI1019" s="4" t="n"/>
      <c r="DJ1019" s="4" t="n"/>
      <c r="DK1019" s="4" t="n"/>
      <c r="DL1019" s="4" t="n"/>
      <c r="DM1019" s="4" t="n"/>
      <c r="DN1019" s="4" t="n"/>
      <c r="DO1019" s="4" t="n"/>
      <c r="DP1019" s="4" t="n"/>
      <c r="DQ1019" s="4" t="n"/>
      <c r="DR1019" s="4" t="n"/>
      <c r="DS1019" s="4" t="n"/>
      <c r="DT1019" s="4" t="n"/>
      <c r="DU1019" s="4" t="n"/>
      <c r="DV1019" s="4" t="n"/>
      <c r="DW1019" s="4" t="n"/>
      <c r="DX1019" s="4" t="n"/>
      <c r="DY1019" s="4" t="n"/>
      <c r="DZ1019" s="4" t="n"/>
      <c r="EA1019" s="4" t="n"/>
      <c r="EB1019" s="4" t="n"/>
      <c r="EC1019" s="4" t="n"/>
      <c r="ED1019" s="4" t="n"/>
      <c r="EE1019" s="4" t="n"/>
      <c r="EF1019" s="4" t="n"/>
      <c r="EG1019" s="4" t="n"/>
      <c r="EH1019" s="4" t="n"/>
      <c r="EI1019" s="4" t="n"/>
      <c r="EJ1019" s="4" t="n"/>
      <c r="EK1019" s="4" t="n"/>
      <c r="EL1019" s="4" t="n"/>
      <c r="EM1019" s="4" t="n"/>
    </row>
    <row r="1020" hidden="1" customFormat="1" s="6">
      <c r="C1020" s="4" t="n"/>
      <c r="D1020" s="4" t="n"/>
      <c r="E1020" s="4" t="n"/>
      <c r="F1020" s="4" t="n"/>
      <c r="G1020" s="4" t="n"/>
      <c r="H1020" s="4" t="n"/>
      <c r="I1020" s="4" t="n"/>
      <c r="J1020" s="4" t="n"/>
      <c r="K1020" s="4" t="n"/>
      <c r="L1020" s="4" t="n"/>
      <c r="M1020" s="4" t="n"/>
      <c r="N1020" s="4" t="n"/>
      <c r="O1020" s="4" t="n"/>
      <c r="P1020" s="4" t="n"/>
      <c r="Q1020" s="4" t="n"/>
      <c r="R1020" s="4" t="n"/>
      <c r="S1020" s="4" t="n"/>
      <c r="T1020" s="4" t="n"/>
      <c r="U1020" s="4" t="n"/>
      <c r="V1020" s="4" t="n"/>
      <c r="W1020" s="4" t="n"/>
      <c r="X1020" s="4" t="n"/>
      <c r="Y1020" s="4" t="n"/>
      <c r="Z1020" s="4" t="n"/>
      <c r="AA1020" s="4" t="n"/>
      <c r="AB1020" s="4" t="n"/>
      <c r="AC1020" s="4" t="n"/>
      <c r="AD1020" s="4" t="n"/>
      <c r="AE1020" s="4" t="n"/>
      <c r="AF1020" s="4" t="n"/>
      <c r="AG1020" s="4" t="n"/>
      <c r="AH1020" s="4" t="n"/>
      <c r="AI1020" s="4" t="n"/>
      <c r="AJ1020" s="4" t="n"/>
      <c r="AK1020" s="4" t="n"/>
      <c r="AL1020" s="4" t="n"/>
      <c r="AM1020" s="4" t="n"/>
      <c r="AN1020" s="4" t="n"/>
      <c r="AO1020" s="4" t="n"/>
      <c r="AP1020" s="4" t="n"/>
      <c r="AQ1020" s="4" t="n"/>
      <c r="AR1020" s="4" t="n"/>
      <c r="AS1020" s="4" t="n"/>
      <c r="AT1020" s="4" t="n"/>
      <c r="AU1020" s="4" t="n"/>
      <c r="AV1020" s="4" t="n"/>
      <c r="AW1020" s="4" t="n"/>
      <c r="AX1020" s="4" t="n"/>
      <c r="AY1020" s="4" t="n"/>
      <c r="AZ1020" s="4" t="n"/>
      <c r="BA1020" s="4" t="n"/>
      <c r="BB1020" s="4" t="n"/>
      <c r="BC1020" s="4" t="n"/>
      <c r="BD1020" s="4" t="n"/>
      <c r="BE1020" s="4" t="n"/>
      <c r="BF1020" s="4" t="n"/>
      <c r="BG1020" s="4" t="n"/>
      <c r="BH1020" s="4" t="n"/>
      <c r="BI1020" s="4" t="n"/>
      <c r="BJ1020" s="4" t="n"/>
      <c r="BK1020" s="4" t="n"/>
      <c r="BL1020" s="4" t="n"/>
      <c r="BM1020" s="4" t="n"/>
      <c r="BN1020" s="4" t="n"/>
      <c r="BO1020" s="4" t="n"/>
      <c r="BP1020" s="4" t="n"/>
      <c r="BQ1020" s="4" t="n"/>
      <c r="BR1020" s="4" t="n"/>
      <c r="BS1020" s="4" t="n"/>
      <c r="BT1020" s="4" t="n"/>
      <c r="BU1020" s="4" t="n"/>
      <c r="BV1020" s="4" t="n"/>
      <c r="BW1020" s="4" t="n"/>
      <c r="BX1020" s="4" t="n"/>
      <c r="BY1020" s="4" t="n"/>
      <c r="BZ1020" s="4" t="n"/>
      <c r="CA1020" s="4" t="n"/>
      <c r="CB1020" s="4" t="n"/>
      <c r="CC1020" s="4" t="n"/>
      <c r="CD1020" s="4" t="n"/>
      <c r="CE1020" s="4" t="n"/>
      <c r="CF1020" s="4" t="n"/>
      <c r="CG1020" s="4" t="n"/>
      <c r="CH1020" s="4" t="n"/>
      <c r="CI1020" s="4" t="n"/>
      <c r="CJ1020" s="4" t="n"/>
      <c r="CK1020" s="4" t="n"/>
      <c r="CL1020" s="4" t="n"/>
      <c r="CM1020" s="4" t="n"/>
      <c r="CN1020" s="4" t="n"/>
      <c r="CO1020" s="4" t="n"/>
      <c r="CP1020" s="4" t="n"/>
      <c r="CQ1020" s="4" t="n"/>
      <c r="CR1020" s="4" t="n"/>
      <c r="CS1020" s="4" t="n"/>
      <c r="CT1020" s="4" t="n"/>
      <c r="CU1020" s="4" t="n"/>
      <c r="CV1020" s="4" t="n"/>
      <c r="CW1020" s="4" t="n"/>
      <c r="CX1020" s="4" t="n"/>
      <c r="CY1020" s="4" t="n"/>
      <c r="CZ1020" s="4" t="n"/>
      <c r="DA1020" s="4" t="n"/>
      <c r="DB1020" s="4" t="n"/>
      <c r="DC1020" s="4" t="n"/>
      <c r="DD1020" s="4" t="n"/>
      <c r="DE1020" s="4" t="n"/>
      <c r="DF1020" s="4" t="n"/>
      <c r="DG1020" s="4" t="n"/>
      <c r="DH1020" s="4" t="n"/>
      <c r="DI1020" s="4" t="n"/>
      <c r="DJ1020" s="4" t="n"/>
      <c r="DK1020" s="4" t="n"/>
      <c r="DL1020" s="4" t="n"/>
      <c r="DM1020" s="4" t="n"/>
      <c r="DN1020" s="4" t="n"/>
      <c r="DO1020" s="4" t="n"/>
      <c r="DP1020" s="4" t="n"/>
      <c r="DQ1020" s="4" t="n"/>
      <c r="DR1020" s="4" t="n"/>
      <c r="DS1020" s="4" t="n"/>
      <c r="DT1020" s="4" t="n"/>
      <c r="DU1020" s="4" t="n"/>
      <c r="DV1020" s="4" t="n"/>
      <c r="DW1020" s="4" t="n"/>
      <c r="DX1020" s="4" t="n"/>
      <c r="DY1020" s="4" t="n"/>
      <c r="DZ1020" s="4" t="n"/>
      <c r="EA1020" s="4" t="n"/>
      <c r="EB1020" s="4" t="n"/>
      <c r="EC1020" s="4" t="n"/>
      <c r="ED1020" s="4" t="n"/>
      <c r="EE1020" s="4" t="n"/>
      <c r="EF1020" s="4" t="n"/>
      <c r="EG1020" s="4" t="n"/>
      <c r="EH1020" s="4" t="n"/>
      <c r="EI1020" s="4" t="n"/>
      <c r="EJ1020" s="4" t="n"/>
      <c r="EK1020" s="4" t="n"/>
      <c r="EL1020" s="4" t="n"/>
      <c r="EM1020" s="4" t="n"/>
    </row>
    <row r="1021" hidden="1" customFormat="1" s="6">
      <c r="C1021" s="4" t="n"/>
      <c r="D1021" s="4" t="n"/>
      <c r="E1021" s="4" t="n"/>
      <c r="F1021" s="4" t="n"/>
      <c r="G1021" s="4" t="n"/>
      <c r="H1021" s="4" t="n"/>
      <c r="I1021" s="4" t="n"/>
      <c r="J1021" s="4" t="n"/>
      <c r="K1021" s="4" t="n"/>
      <c r="L1021" s="4" t="n"/>
      <c r="M1021" s="4" t="n"/>
      <c r="N1021" s="4" t="n"/>
      <c r="O1021" s="4" t="n"/>
      <c r="P1021" s="4" t="n"/>
      <c r="Q1021" s="4" t="n"/>
      <c r="R1021" s="4" t="n"/>
      <c r="S1021" s="4" t="n"/>
      <c r="T1021" s="4" t="n"/>
      <c r="U1021" s="4" t="n"/>
      <c r="V1021" s="4" t="n"/>
      <c r="W1021" s="4" t="n"/>
      <c r="X1021" s="4" t="n"/>
      <c r="Y1021" s="4" t="n"/>
      <c r="Z1021" s="4" t="n"/>
      <c r="AA1021" s="4" t="n"/>
      <c r="AB1021" s="4" t="n"/>
      <c r="AC1021" s="4" t="n"/>
      <c r="AD1021" s="4" t="n"/>
      <c r="AE1021" s="4" t="n"/>
      <c r="AF1021" s="4" t="n"/>
      <c r="AG1021" s="4" t="n"/>
      <c r="AH1021" s="4" t="n"/>
      <c r="AI1021" s="4" t="n"/>
      <c r="AJ1021" s="4" t="n"/>
      <c r="AK1021" s="4" t="n"/>
      <c r="AL1021" s="4" t="n"/>
      <c r="AM1021" s="4" t="n"/>
      <c r="AN1021" s="4" t="n"/>
      <c r="AO1021" s="4" t="n"/>
      <c r="AP1021" s="4" t="n"/>
      <c r="AQ1021" s="4" t="n"/>
      <c r="AR1021" s="4" t="n"/>
      <c r="AS1021" s="4" t="n"/>
      <c r="AT1021" s="4" t="n"/>
      <c r="AU1021" s="4" t="n"/>
      <c r="AV1021" s="4" t="n"/>
      <c r="AW1021" s="4" t="n"/>
      <c r="AX1021" s="4" t="n"/>
      <c r="AY1021" s="4" t="n"/>
      <c r="AZ1021" s="4" t="n"/>
      <c r="BA1021" s="4" t="n"/>
      <c r="BB1021" s="4" t="n"/>
      <c r="BC1021" s="4" t="n"/>
      <c r="BD1021" s="4" t="n"/>
      <c r="BE1021" s="4" t="n"/>
      <c r="BF1021" s="4" t="n"/>
      <c r="BG1021" s="4" t="n"/>
      <c r="BH1021" s="4" t="n"/>
      <c r="BI1021" s="4" t="n"/>
      <c r="BJ1021" s="4" t="n"/>
      <c r="BK1021" s="4" t="n"/>
      <c r="BL1021" s="4" t="n"/>
      <c r="BM1021" s="4" t="n"/>
      <c r="BN1021" s="4" t="n"/>
      <c r="BO1021" s="4" t="n"/>
      <c r="BP1021" s="4" t="n"/>
      <c r="BQ1021" s="4" t="n"/>
      <c r="BR1021" s="4" t="n"/>
      <c r="BS1021" s="4" t="n"/>
      <c r="BT1021" s="4" t="n"/>
      <c r="BU1021" s="4" t="n"/>
      <c r="BV1021" s="4" t="n"/>
      <c r="BW1021" s="4" t="n"/>
      <c r="BX1021" s="4" t="n"/>
      <c r="BY1021" s="4" t="n"/>
      <c r="BZ1021" s="4" t="n"/>
      <c r="CA1021" s="4" t="n"/>
      <c r="CB1021" s="4" t="n"/>
      <c r="CC1021" s="4" t="n"/>
      <c r="CD1021" s="4" t="n"/>
      <c r="CE1021" s="4" t="n"/>
      <c r="CF1021" s="4" t="n"/>
      <c r="CG1021" s="4" t="n"/>
      <c r="CH1021" s="4" t="n"/>
      <c r="CI1021" s="4" t="n"/>
      <c r="CJ1021" s="4" t="n"/>
      <c r="CK1021" s="4" t="n"/>
      <c r="CL1021" s="4" t="n"/>
      <c r="CM1021" s="4" t="n"/>
      <c r="CN1021" s="4" t="n"/>
      <c r="CO1021" s="4" t="n"/>
      <c r="CP1021" s="4" t="n"/>
      <c r="CQ1021" s="4" t="n"/>
      <c r="CR1021" s="4" t="n"/>
      <c r="CS1021" s="4" t="n"/>
      <c r="CT1021" s="4" t="n"/>
      <c r="CU1021" s="4" t="n"/>
      <c r="CV1021" s="4" t="n"/>
      <c r="CW1021" s="4" t="n"/>
      <c r="CX1021" s="4" t="n"/>
      <c r="CY1021" s="4" t="n"/>
      <c r="CZ1021" s="4" t="n"/>
      <c r="DA1021" s="4" t="n"/>
      <c r="DB1021" s="4" t="n"/>
      <c r="DC1021" s="4" t="n"/>
      <c r="DD1021" s="4" t="n"/>
      <c r="DE1021" s="4" t="n"/>
      <c r="DF1021" s="4" t="n"/>
      <c r="DG1021" s="4" t="n"/>
      <c r="DH1021" s="4" t="n"/>
      <c r="DI1021" s="4" t="n"/>
      <c r="DJ1021" s="4" t="n"/>
      <c r="DK1021" s="4" t="n"/>
      <c r="DL1021" s="4" t="n"/>
      <c r="DM1021" s="4" t="n"/>
      <c r="DN1021" s="4" t="n"/>
      <c r="DO1021" s="4" t="n"/>
      <c r="DP1021" s="4" t="n"/>
      <c r="DQ1021" s="4" t="n"/>
      <c r="DR1021" s="4" t="n"/>
      <c r="DS1021" s="4" t="n"/>
      <c r="DT1021" s="4" t="n"/>
      <c r="DU1021" s="4" t="n"/>
      <c r="DV1021" s="4" t="n"/>
      <c r="DW1021" s="4" t="n"/>
      <c r="DX1021" s="4" t="n"/>
      <c r="DY1021" s="4" t="n"/>
      <c r="DZ1021" s="4" t="n"/>
      <c r="EA1021" s="4" t="n"/>
      <c r="EB1021" s="4" t="n"/>
      <c r="EC1021" s="4" t="n"/>
      <c r="ED1021" s="4" t="n"/>
      <c r="EE1021" s="4" t="n"/>
      <c r="EF1021" s="4" t="n"/>
      <c r="EG1021" s="4" t="n"/>
      <c r="EH1021" s="4" t="n"/>
      <c r="EI1021" s="4" t="n"/>
      <c r="EJ1021" s="4" t="n"/>
      <c r="EK1021" s="4" t="n"/>
      <c r="EL1021" s="4" t="n"/>
      <c r="EM1021" s="4" t="n"/>
    </row>
    <row r="1022" hidden="1" customFormat="1" s="6">
      <c r="C1022" s="4" t="n"/>
      <c r="D1022" s="4" t="n"/>
      <c r="E1022" s="4" t="n"/>
      <c r="F1022" s="4" t="n"/>
      <c r="G1022" s="4" t="n"/>
      <c r="H1022" s="4" t="n"/>
      <c r="I1022" s="4" t="n"/>
      <c r="J1022" s="4" t="n"/>
      <c r="K1022" s="4" t="n"/>
      <c r="L1022" s="4" t="n"/>
      <c r="M1022" s="4" t="n"/>
      <c r="N1022" s="4" t="n"/>
      <c r="O1022" s="4" t="n"/>
      <c r="P1022" s="4" t="n"/>
      <c r="Q1022" s="4" t="n"/>
      <c r="R1022" s="4" t="n"/>
      <c r="S1022" s="4" t="n"/>
      <c r="T1022" s="4" t="n"/>
      <c r="U1022" s="4" t="n"/>
      <c r="V1022" s="4" t="n"/>
      <c r="W1022" s="4" t="n"/>
      <c r="X1022" s="4" t="n"/>
      <c r="Y1022" s="4" t="n"/>
      <c r="Z1022" s="4" t="n"/>
      <c r="AA1022" s="4" t="n"/>
      <c r="AB1022" s="4" t="n"/>
      <c r="AC1022" s="4" t="n"/>
      <c r="AD1022" s="4" t="n"/>
      <c r="AE1022" s="4" t="n"/>
      <c r="AF1022" s="4" t="n"/>
      <c r="AG1022" s="4" t="n"/>
      <c r="AH1022" s="4" t="n"/>
      <c r="AI1022" s="4" t="n"/>
      <c r="AJ1022" s="4" t="n"/>
      <c r="AK1022" s="4" t="n"/>
      <c r="AL1022" s="4" t="n"/>
      <c r="AM1022" s="4" t="n"/>
      <c r="AN1022" s="4" t="n"/>
      <c r="AO1022" s="4" t="n"/>
      <c r="AP1022" s="4" t="n"/>
      <c r="AQ1022" s="4" t="n"/>
      <c r="AR1022" s="4" t="n"/>
      <c r="AS1022" s="4" t="n"/>
      <c r="AT1022" s="4" t="n"/>
      <c r="AU1022" s="4" t="n"/>
      <c r="AV1022" s="4" t="n"/>
      <c r="AW1022" s="4" t="n"/>
      <c r="AX1022" s="4" t="n"/>
      <c r="AY1022" s="4" t="n"/>
      <c r="AZ1022" s="4" t="n"/>
      <c r="BA1022" s="4" t="n"/>
      <c r="BB1022" s="4" t="n"/>
      <c r="BC1022" s="4" t="n"/>
      <c r="BD1022" s="4" t="n"/>
      <c r="BE1022" s="4" t="n"/>
      <c r="BF1022" s="4" t="n"/>
      <c r="BG1022" s="4" t="n"/>
      <c r="BH1022" s="4" t="n"/>
      <c r="BI1022" s="4" t="n"/>
      <c r="BJ1022" s="4" t="n"/>
      <c r="BK1022" s="4" t="n"/>
      <c r="BL1022" s="4" t="n"/>
      <c r="BM1022" s="4" t="n"/>
      <c r="BN1022" s="4" t="n"/>
      <c r="BO1022" s="4" t="n"/>
      <c r="BP1022" s="4" t="n"/>
      <c r="BQ1022" s="4" t="n"/>
      <c r="BR1022" s="4" t="n"/>
      <c r="BS1022" s="4" t="n"/>
      <c r="BT1022" s="4" t="n"/>
      <c r="BU1022" s="4" t="n"/>
      <c r="BV1022" s="4" t="n"/>
      <c r="BW1022" s="4" t="n"/>
      <c r="BX1022" s="4" t="n"/>
      <c r="BY1022" s="4" t="n"/>
      <c r="BZ1022" s="4" t="n"/>
      <c r="CA1022" s="4" t="n"/>
      <c r="CB1022" s="4" t="n"/>
      <c r="CC1022" s="4" t="n"/>
      <c r="CD1022" s="4" t="n"/>
      <c r="CE1022" s="4" t="n"/>
      <c r="CF1022" s="4" t="n"/>
      <c r="CG1022" s="4" t="n"/>
      <c r="CH1022" s="4" t="n"/>
      <c r="CI1022" s="4" t="n"/>
      <c r="CJ1022" s="4" t="n"/>
      <c r="CK1022" s="4" t="n"/>
      <c r="CL1022" s="4" t="n"/>
      <c r="CM1022" s="4" t="n"/>
      <c r="CN1022" s="4" t="n"/>
      <c r="CO1022" s="4" t="n"/>
      <c r="CP1022" s="4" t="n"/>
      <c r="CQ1022" s="4" t="n"/>
      <c r="CR1022" s="4" t="n"/>
      <c r="CS1022" s="4" t="n"/>
      <c r="CT1022" s="4" t="n"/>
      <c r="CU1022" s="4" t="n"/>
      <c r="CV1022" s="4" t="n"/>
      <c r="CW1022" s="4" t="n"/>
      <c r="CX1022" s="4" t="n"/>
      <c r="CY1022" s="4" t="n"/>
      <c r="CZ1022" s="4" t="n"/>
      <c r="DA1022" s="4" t="n"/>
      <c r="DB1022" s="4" t="n"/>
      <c r="DC1022" s="4" t="n"/>
      <c r="DD1022" s="4" t="n"/>
      <c r="DE1022" s="4" t="n"/>
      <c r="DF1022" s="4" t="n"/>
      <c r="DG1022" s="4" t="n"/>
      <c r="DH1022" s="4" t="n"/>
      <c r="DI1022" s="4" t="n"/>
      <c r="DJ1022" s="4" t="n"/>
      <c r="DK1022" s="4" t="n"/>
      <c r="DL1022" s="4" t="n"/>
      <c r="DM1022" s="4" t="n"/>
      <c r="DN1022" s="4" t="n"/>
      <c r="DO1022" s="4" t="n"/>
      <c r="DP1022" s="4" t="n"/>
      <c r="DQ1022" s="4" t="n"/>
      <c r="DR1022" s="4" t="n"/>
      <c r="DS1022" s="4" t="n"/>
      <c r="DT1022" s="4" t="n"/>
      <c r="DU1022" s="4" t="n"/>
      <c r="DV1022" s="4" t="n"/>
      <c r="DW1022" s="4" t="n"/>
      <c r="DX1022" s="4" t="n"/>
      <c r="DY1022" s="4" t="n"/>
      <c r="DZ1022" s="4" t="n"/>
      <c r="EA1022" s="4" t="n"/>
      <c r="EB1022" s="4" t="n"/>
      <c r="EC1022" s="4" t="n"/>
      <c r="ED1022" s="4" t="n"/>
      <c r="EE1022" s="4" t="n"/>
      <c r="EF1022" s="4" t="n"/>
      <c r="EG1022" s="4" t="n"/>
      <c r="EH1022" s="4" t="n"/>
      <c r="EI1022" s="4" t="n"/>
      <c r="EJ1022" s="4" t="n"/>
      <c r="EK1022" s="4" t="n"/>
      <c r="EL1022" s="4" t="n"/>
      <c r="EM1022" s="4" t="n"/>
    </row>
    <row r="1023" hidden="1" customFormat="1" s="6">
      <c r="C1023" s="4" t="n"/>
      <c r="D1023" s="4" t="n"/>
      <c r="E1023" s="4" t="n"/>
      <c r="F1023" s="4" t="n"/>
      <c r="G1023" s="4" t="n"/>
      <c r="H1023" s="4" t="n"/>
      <c r="I1023" s="4" t="n"/>
      <c r="J1023" s="4" t="n"/>
      <c r="K1023" s="4" t="n"/>
      <c r="L1023" s="4" t="n"/>
      <c r="M1023" s="4" t="n"/>
      <c r="N1023" s="4" t="n"/>
      <c r="O1023" s="4" t="n"/>
      <c r="P1023" s="4" t="n"/>
      <c r="Q1023" s="4" t="n"/>
      <c r="R1023" s="4" t="n"/>
      <c r="S1023" s="4" t="n"/>
      <c r="T1023" s="4" t="n"/>
      <c r="U1023" s="4" t="n"/>
      <c r="V1023" s="4" t="n"/>
      <c r="W1023" s="4" t="n"/>
      <c r="X1023" s="4" t="n"/>
      <c r="Y1023" s="4" t="n"/>
      <c r="Z1023" s="4" t="n"/>
      <c r="AA1023" s="4" t="n"/>
      <c r="AB1023" s="4" t="n"/>
      <c r="AC1023" s="4" t="n"/>
      <c r="AD1023" s="4" t="n"/>
      <c r="AE1023" s="4" t="n"/>
      <c r="AF1023" s="4" t="n"/>
      <c r="AG1023" s="4" t="n"/>
      <c r="AH1023" s="4" t="n"/>
      <c r="AI1023" s="4" t="n"/>
      <c r="AJ1023" s="4" t="n"/>
      <c r="AK1023" s="4" t="n"/>
      <c r="AL1023" s="4" t="n"/>
      <c r="AM1023" s="4" t="n"/>
      <c r="AN1023" s="4" t="n"/>
      <c r="AO1023" s="4" t="n"/>
      <c r="AP1023" s="4" t="n"/>
      <c r="AQ1023" s="4" t="n"/>
      <c r="AR1023" s="4" t="n"/>
      <c r="AS1023" s="4" t="n"/>
      <c r="AT1023" s="4" t="n"/>
      <c r="AU1023" s="4" t="n"/>
      <c r="AV1023" s="4" t="n"/>
      <c r="AW1023" s="4" t="n"/>
      <c r="AX1023" s="4" t="n"/>
      <c r="AY1023" s="4" t="n"/>
      <c r="AZ1023" s="4" t="n"/>
      <c r="BA1023" s="4" t="n"/>
      <c r="BB1023" s="4" t="n"/>
      <c r="BC1023" s="4" t="n"/>
      <c r="BD1023" s="4" t="n"/>
      <c r="BE1023" s="4" t="n"/>
      <c r="BF1023" s="4" t="n"/>
      <c r="BG1023" s="4" t="n"/>
      <c r="BH1023" s="4" t="n"/>
      <c r="BI1023" s="4" t="n"/>
      <c r="BJ1023" s="4" t="n"/>
      <c r="BK1023" s="4" t="n"/>
      <c r="BL1023" s="4" t="n"/>
      <c r="BM1023" s="4" t="n"/>
      <c r="BN1023" s="4" t="n"/>
      <c r="BO1023" s="4" t="n"/>
      <c r="BP1023" s="4" t="n"/>
      <c r="BQ1023" s="4" t="n"/>
      <c r="BR1023" s="4" t="n"/>
      <c r="BS1023" s="4" t="n"/>
      <c r="BT1023" s="4" t="n"/>
      <c r="BU1023" s="4" t="n"/>
      <c r="BV1023" s="4" t="n"/>
      <c r="BW1023" s="4" t="n"/>
      <c r="BX1023" s="4" t="n"/>
      <c r="BY1023" s="4" t="n"/>
      <c r="BZ1023" s="4" t="n"/>
      <c r="CA1023" s="4" t="n"/>
      <c r="CB1023" s="4" t="n"/>
      <c r="CC1023" s="4" t="n"/>
      <c r="CD1023" s="4" t="n"/>
      <c r="CE1023" s="4" t="n"/>
      <c r="CF1023" s="4" t="n"/>
      <c r="CG1023" s="4" t="n"/>
      <c r="CH1023" s="4" t="n"/>
      <c r="CI1023" s="4" t="n"/>
      <c r="CJ1023" s="4" t="n"/>
      <c r="CK1023" s="4" t="n"/>
      <c r="CL1023" s="4" t="n"/>
      <c r="CM1023" s="4" t="n"/>
      <c r="CN1023" s="4" t="n"/>
      <c r="CO1023" s="4" t="n"/>
      <c r="CP1023" s="4" t="n"/>
      <c r="CQ1023" s="4" t="n"/>
      <c r="CR1023" s="4" t="n"/>
      <c r="CS1023" s="4" t="n"/>
      <c r="CT1023" s="4" t="n"/>
      <c r="CU1023" s="4" t="n"/>
      <c r="CV1023" s="4" t="n"/>
      <c r="CW1023" s="4" t="n"/>
      <c r="CX1023" s="4" t="n"/>
      <c r="CY1023" s="4" t="n"/>
      <c r="CZ1023" s="4" t="n"/>
      <c r="DA1023" s="4" t="n"/>
      <c r="DB1023" s="4" t="n"/>
      <c r="DC1023" s="4" t="n"/>
      <c r="DD1023" s="4" t="n"/>
      <c r="DE1023" s="4" t="n"/>
      <c r="DF1023" s="4" t="n"/>
      <c r="DG1023" s="4" t="n"/>
      <c r="DH1023" s="4" t="n"/>
      <c r="DI1023" s="4" t="n"/>
      <c r="DJ1023" s="4" t="n"/>
      <c r="DK1023" s="4" t="n"/>
      <c r="DL1023" s="4" t="n"/>
      <c r="DM1023" s="4" t="n"/>
      <c r="DN1023" s="4" t="n"/>
      <c r="DO1023" s="4" t="n"/>
      <c r="DP1023" s="4" t="n"/>
      <c r="DQ1023" s="4" t="n"/>
      <c r="DR1023" s="4" t="n"/>
      <c r="DS1023" s="4" t="n"/>
      <c r="DT1023" s="4" t="n"/>
      <c r="DU1023" s="4" t="n"/>
      <c r="DV1023" s="4" t="n"/>
      <c r="DW1023" s="4" t="n"/>
      <c r="DX1023" s="4" t="n"/>
      <c r="DY1023" s="4" t="n"/>
      <c r="DZ1023" s="4" t="n"/>
      <c r="EA1023" s="4" t="n"/>
      <c r="EB1023" s="4" t="n"/>
      <c r="EC1023" s="4" t="n"/>
      <c r="ED1023" s="4" t="n"/>
      <c r="EE1023" s="4" t="n"/>
      <c r="EF1023" s="4" t="n"/>
      <c r="EG1023" s="4" t="n"/>
      <c r="EH1023" s="4" t="n"/>
      <c r="EI1023" s="4" t="n"/>
      <c r="EJ1023" s="4" t="n"/>
      <c r="EK1023" s="4" t="n"/>
      <c r="EL1023" s="4" t="n"/>
      <c r="EM1023" s="4" t="n"/>
    </row>
    <row r="1024" hidden="1" customFormat="1" s="6">
      <c r="C1024" s="4" t="n"/>
      <c r="D1024" s="4" t="n"/>
      <c r="E1024" s="4" t="n"/>
      <c r="F1024" s="4" t="n"/>
      <c r="G1024" s="4" t="n"/>
      <c r="H1024" s="4" t="n"/>
      <c r="I1024" s="4" t="n"/>
      <c r="J1024" s="4" t="n"/>
      <c r="K1024" s="4" t="n"/>
      <c r="L1024" s="4" t="n"/>
      <c r="M1024" s="4" t="n"/>
      <c r="N1024" s="4" t="n"/>
      <c r="O1024" s="4" t="n"/>
      <c r="P1024" s="4" t="n"/>
      <c r="Q1024" s="4" t="n"/>
      <c r="R1024" s="4" t="n"/>
      <c r="S1024" s="4" t="n"/>
      <c r="T1024" s="4" t="n"/>
      <c r="U1024" s="4" t="n"/>
      <c r="V1024" s="4" t="n"/>
      <c r="W1024" s="4" t="n"/>
      <c r="X1024" s="4" t="n"/>
      <c r="Y1024" s="4" t="n"/>
      <c r="Z1024" s="4" t="n"/>
      <c r="AA1024" s="4" t="n"/>
      <c r="AB1024" s="4" t="n"/>
      <c r="AC1024" s="4" t="n"/>
      <c r="AD1024" s="4" t="n"/>
      <c r="AE1024" s="4" t="n"/>
      <c r="AF1024" s="4" t="n"/>
      <c r="AG1024" s="4" t="n"/>
      <c r="AH1024" s="4" t="n"/>
      <c r="AI1024" s="4" t="n"/>
      <c r="AJ1024" s="4" t="n"/>
      <c r="AK1024" s="4" t="n"/>
      <c r="AL1024" s="4" t="n"/>
      <c r="AM1024" s="4" t="n"/>
      <c r="AN1024" s="4" t="n"/>
      <c r="AO1024" s="4" t="n"/>
      <c r="AP1024" s="4" t="n"/>
      <c r="AQ1024" s="4" t="n"/>
      <c r="AR1024" s="4" t="n"/>
      <c r="AS1024" s="4" t="n"/>
      <c r="AT1024" s="4" t="n"/>
      <c r="AU1024" s="4" t="n"/>
      <c r="AV1024" s="4" t="n"/>
      <c r="AW1024" s="4" t="n"/>
      <c r="AX1024" s="4" t="n"/>
      <c r="AY1024" s="4" t="n"/>
      <c r="AZ1024" s="4" t="n"/>
      <c r="BA1024" s="4" t="n"/>
      <c r="BB1024" s="4" t="n"/>
      <c r="BC1024" s="4" t="n"/>
      <c r="BD1024" s="4" t="n"/>
      <c r="BE1024" s="4" t="n"/>
      <c r="BF1024" s="4" t="n"/>
      <c r="BG1024" s="4" t="n"/>
      <c r="BH1024" s="4" t="n"/>
      <c r="BI1024" s="4" t="n"/>
      <c r="BJ1024" s="4" t="n"/>
      <c r="BK1024" s="4" t="n"/>
      <c r="BL1024" s="4" t="n"/>
      <c r="BM1024" s="4" t="n"/>
      <c r="BN1024" s="4" t="n"/>
      <c r="BO1024" s="4" t="n"/>
      <c r="BP1024" s="4" t="n"/>
      <c r="BQ1024" s="4" t="n"/>
      <c r="BR1024" s="4" t="n"/>
      <c r="BS1024" s="4" t="n"/>
      <c r="BT1024" s="4" t="n"/>
      <c r="BU1024" s="4" t="n"/>
      <c r="BV1024" s="4" t="n"/>
      <c r="BW1024" s="4" t="n"/>
      <c r="BX1024" s="4" t="n"/>
      <c r="BY1024" s="4" t="n"/>
      <c r="BZ1024" s="4" t="n"/>
      <c r="CA1024" s="4" t="n"/>
      <c r="CB1024" s="4" t="n"/>
      <c r="CC1024" s="4" t="n"/>
      <c r="CD1024" s="4" t="n"/>
      <c r="CE1024" s="4" t="n"/>
      <c r="CF1024" s="4" t="n"/>
      <c r="CG1024" s="4" t="n"/>
      <c r="CH1024" s="4" t="n"/>
      <c r="CI1024" s="4" t="n"/>
      <c r="CJ1024" s="4" t="n"/>
      <c r="CK1024" s="4" t="n"/>
      <c r="CL1024" s="4" t="n"/>
      <c r="CM1024" s="4" t="n"/>
      <c r="CN1024" s="4" t="n"/>
      <c r="CO1024" s="4" t="n"/>
      <c r="CP1024" s="4" t="n"/>
      <c r="CQ1024" s="4" t="n"/>
      <c r="CR1024" s="4" t="n"/>
      <c r="CS1024" s="4" t="n"/>
      <c r="CT1024" s="4" t="n"/>
      <c r="CU1024" s="4" t="n"/>
      <c r="CV1024" s="4" t="n"/>
      <c r="CW1024" s="4" t="n"/>
      <c r="CX1024" s="4" t="n"/>
      <c r="CY1024" s="4" t="n"/>
      <c r="CZ1024" s="4" t="n"/>
      <c r="DA1024" s="4" t="n"/>
      <c r="DB1024" s="4" t="n"/>
      <c r="DC1024" s="4" t="n"/>
      <c r="DD1024" s="4" t="n"/>
      <c r="DE1024" s="4" t="n"/>
      <c r="DF1024" s="4" t="n"/>
      <c r="DG1024" s="4" t="n"/>
      <c r="DH1024" s="4" t="n"/>
      <c r="DI1024" s="4" t="n"/>
      <c r="DJ1024" s="4" t="n"/>
      <c r="DK1024" s="4" t="n"/>
      <c r="DL1024" s="4" t="n"/>
      <c r="DM1024" s="4" t="n"/>
      <c r="DN1024" s="4" t="n"/>
      <c r="DO1024" s="4" t="n"/>
      <c r="DP1024" s="4" t="n"/>
      <c r="DQ1024" s="4" t="n"/>
      <c r="DR1024" s="4" t="n"/>
      <c r="DS1024" s="4" t="n"/>
      <c r="DT1024" s="4" t="n"/>
      <c r="DU1024" s="4" t="n"/>
      <c r="DV1024" s="4" t="n"/>
      <c r="DW1024" s="4" t="n"/>
      <c r="DX1024" s="4" t="n"/>
      <c r="DY1024" s="4" t="n"/>
      <c r="DZ1024" s="4" t="n"/>
      <c r="EA1024" s="4" t="n"/>
      <c r="EB1024" s="4" t="n"/>
      <c r="EC1024" s="4" t="n"/>
      <c r="ED1024" s="4" t="n"/>
      <c r="EE1024" s="4" t="n"/>
      <c r="EF1024" s="4" t="n"/>
      <c r="EG1024" s="4" t="n"/>
      <c r="EH1024" s="4" t="n"/>
      <c r="EI1024" s="4" t="n"/>
      <c r="EJ1024" s="4" t="n"/>
      <c r="EK1024" s="4" t="n"/>
      <c r="EL1024" s="4" t="n"/>
      <c r="EM1024" s="4" t="n"/>
    </row>
    <row r="1025" hidden="1" customFormat="1" s="6">
      <c r="C1025" s="4" t="n"/>
      <c r="D1025" s="4" t="n"/>
      <c r="E1025" s="4" t="n"/>
      <c r="F1025" s="4" t="n"/>
      <c r="G1025" s="4" t="n"/>
      <c r="H1025" s="4" t="n"/>
      <c r="I1025" s="4" t="n"/>
      <c r="J1025" s="4" t="n"/>
      <c r="K1025" s="4" t="n"/>
      <c r="L1025" s="4" t="n"/>
      <c r="M1025" s="4" t="n"/>
      <c r="N1025" s="4" t="n"/>
      <c r="O1025" s="4" t="n"/>
      <c r="P1025" s="4" t="n"/>
      <c r="Q1025" s="4" t="n"/>
      <c r="R1025" s="4" t="n"/>
      <c r="S1025" s="4" t="n"/>
      <c r="T1025" s="4" t="n"/>
      <c r="U1025" s="4" t="n"/>
      <c r="V1025" s="4" t="n"/>
      <c r="W1025" s="4" t="n"/>
      <c r="X1025" s="4" t="n"/>
      <c r="Y1025" s="4" t="n"/>
      <c r="Z1025" s="4" t="n"/>
      <c r="AA1025" s="4" t="n"/>
      <c r="AB1025" s="4" t="n"/>
      <c r="AC1025" s="4" t="n"/>
      <c r="AD1025" s="4" t="n"/>
      <c r="AE1025" s="4" t="n"/>
      <c r="AF1025" s="4" t="n"/>
      <c r="AG1025" s="4" t="n"/>
      <c r="AH1025" s="4" t="n"/>
      <c r="AI1025" s="4" t="n"/>
      <c r="AJ1025" s="4" t="n"/>
      <c r="AK1025" s="4" t="n"/>
      <c r="AL1025" s="4" t="n"/>
      <c r="AM1025" s="4" t="n"/>
      <c r="AN1025" s="4" t="n"/>
      <c r="AO1025" s="4" t="n"/>
      <c r="AP1025" s="4" t="n"/>
      <c r="AQ1025" s="4" t="n"/>
      <c r="AR1025" s="4" t="n"/>
      <c r="AS1025" s="4" t="n"/>
      <c r="AT1025" s="4" t="n"/>
      <c r="AU1025" s="4" t="n"/>
      <c r="AV1025" s="4" t="n"/>
      <c r="AW1025" s="4" t="n"/>
      <c r="AX1025" s="4" t="n"/>
      <c r="AY1025" s="4" t="n"/>
      <c r="AZ1025" s="4" t="n"/>
      <c r="BA1025" s="4" t="n"/>
      <c r="BB1025" s="4" t="n"/>
      <c r="BC1025" s="4" t="n"/>
      <c r="BD1025" s="4" t="n"/>
      <c r="BE1025" s="4" t="n"/>
      <c r="BF1025" s="4" t="n"/>
      <c r="BG1025" s="4" t="n"/>
      <c r="BH1025" s="4" t="n"/>
      <c r="BI1025" s="4" t="n"/>
      <c r="BJ1025" s="4" t="n"/>
      <c r="BK1025" s="4" t="n"/>
      <c r="BL1025" s="4" t="n"/>
      <c r="BM1025" s="4" t="n"/>
      <c r="BN1025" s="4" t="n"/>
      <c r="BO1025" s="4" t="n"/>
      <c r="BP1025" s="4" t="n"/>
      <c r="BQ1025" s="4" t="n"/>
      <c r="BR1025" s="4" t="n"/>
      <c r="BS1025" s="4" t="n"/>
      <c r="BT1025" s="4" t="n"/>
      <c r="BU1025" s="4" t="n"/>
      <c r="BV1025" s="4" t="n"/>
      <c r="BW1025" s="4" t="n"/>
      <c r="BX1025" s="4" t="n"/>
      <c r="BY1025" s="4" t="n"/>
      <c r="BZ1025" s="4" t="n"/>
      <c r="CA1025" s="4" t="n"/>
      <c r="CB1025" s="4" t="n"/>
      <c r="CC1025" s="4" t="n"/>
      <c r="CD1025" s="4" t="n"/>
      <c r="CE1025" s="4" t="n"/>
      <c r="CF1025" s="4" t="n"/>
      <c r="CG1025" s="4" t="n"/>
      <c r="CH1025" s="4" t="n"/>
      <c r="CI1025" s="4" t="n"/>
      <c r="CJ1025" s="4" t="n"/>
      <c r="CK1025" s="4" t="n"/>
      <c r="CL1025" s="4" t="n"/>
      <c r="CM1025" s="4" t="n"/>
      <c r="CN1025" s="4" t="n"/>
      <c r="CO1025" s="4" t="n"/>
      <c r="CP1025" s="4" t="n"/>
      <c r="CQ1025" s="4" t="n"/>
      <c r="CR1025" s="4" t="n"/>
      <c r="CS1025" s="4" t="n"/>
      <c r="CT1025" s="4" t="n"/>
      <c r="CU1025" s="4" t="n"/>
      <c r="CV1025" s="4" t="n"/>
      <c r="CW1025" s="4" t="n"/>
      <c r="CX1025" s="4" t="n"/>
      <c r="CY1025" s="4" t="n"/>
      <c r="CZ1025" s="4" t="n"/>
      <c r="DA1025" s="4" t="n"/>
      <c r="DB1025" s="4" t="n"/>
      <c r="DC1025" s="4" t="n"/>
      <c r="DD1025" s="4" t="n"/>
      <c r="DE1025" s="4" t="n"/>
      <c r="DF1025" s="4" t="n"/>
      <c r="DG1025" s="4" t="n"/>
      <c r="DH1025" s="4" t="n"/>
      <c r="DI1025" s="4" t="n"/>
      <c r="DJ1025" s="4" t="n"/>
      <c r="DK1025" s="4" t="n"/>
      <c r="DL1025" s="4" t="n"/>
      <c r="DM1025" s="4" t="n"/>
      <c r="DN1025" s="4" t="n"/>
      <c r="DO1025" s="4" t="n"/>
      <c r="DP1025" s="4" t="n"/>
      <c r="DQ1025" s="4" t="n"/>
      <c r="DR1025" s="4" t="n"/>
      <c r="DS1025" s="4" t="n"/>
      <c r="DT1025" s="4" t="n"/>
      <c r="DU1025" s="4" t="n"/>
      <c r="DV1025" s="4" t="n"/>
      <c r="DW1025" s="4" t="n"/>
      <c r="DX1025" s="4" t="n"/>
      <c r="DY1025" s="4" t="n"/>
      <c r="DZ1025" s="4" t="n"/>
      <c r="EA1025" s="4" t="n"/>
      <c r="EB1025" s="4" t="n"/>
      <c r="EC1025" s="4" t="n"/>
      <c r="ED1025" s="4" t="n"/>
      <c r="EE1025" s="4" t="n"/>
      <c r="EF1025" s="4" t="n"/>
      <c r="EG1025" s="4" t="n"/>
      <c r="EH1025" s="4" t="n"/>
      <c r="EI1025" s="4" t="n"/>
      <c r="EJ1025" s="4" t="n"/>
      <c r="EK1025" s="4" t="n"/>
      <c r="EL1025" s="4" t="n"/>
      <c r="EM1025" s="4" t="n"/>
    </row>
    <row r="1026" hidden="1" customFormat="1" s="6">
      <c r="C1026" s="4" t="n"/>
      <c r="D1026" s="4" t="n"/>
      <c r="E1026" s="4" t="n"/>
      <c r="F1026" s="4" t="n"/>
      <c r="G1026" s="4" t="n"/>
      <c r="H1026" s="4" t="n"/>
      <c r="I1026" s="4" t="n"/>
      <c r="J1026" s="4" t="n"/>
      <c r="K1026" s="4" t="n"/>
      <c r="L1026" s="4" t="n"/>
      <c r="M1026" s="4" t="n"/>
      <c r="N1026" s="4" t="n"/>
      <c r="O1026" s="4" t="n"/>
      <c r="P1026" s="4" t="n"/>
      <c r="Q1026" s="4" t="n"/>
      <c r="R1026" s="4" t="n"/>
      <c r="S1026" s="4" t="n"/>
      <c r="T1026" s="4" t="n"/>
      <c r="U1026" s="4" t="n"/>
      <c r="V1026" s="4" t="n"/>
      <c r="W1026" s="4" t="n"/>
      <c r="X1026" s="4" t="n"/>
      <c r="Y1026" s="4" t="n"/>
      <c r="Z1026" s="4" t="n"/>
      <c r="AA1026" s="4" t="n"/>
      <c r="AB1026" s="4" t="n"/>
      <c r="AC1026" s="4" t="n"/>
      <c r="AD1026" s="4" t="n"/>
      <c r="AE1026" s="4" t="n"/>
      <c r="AF1026" s="4" t="n"/>
      <c r="AG1026" s="4" t="n"/>
      <c r="AH1026" s="4" t="n"/>
      <c r="AI1026" s="4" t="n"/>
      <c r="AJ1026" s="4" t="n"/>
      <c r="AK1026" s="4" t="n"/>
      <c r="AL1026" s="4" t="n"/>
      <c r="AM1026" s="4" t="n"/>
      <c r="AN1026" s="4" t="n"/>
      <c r="AO1026" s="4" t="n"/>
      <c r="AP1026" s="4" t="n"/>
      <c r="AQ1026" s="4" t="n"/>
      <c r="AR1026" s="4" t="n"/>
      <c r="AS1026" s="4" t="n"/>
      <c r="AT1026" s="4" t="n"/>
      <c r="AU1026" s="4" t="n"/>
      <c r="AV1026" s="4" t="n"/>
      <c r="AW1026" s="4" t="n"/>
      <c r="AX1026" s="4" t="n"/>
      <c r="AY1026" s="4" t="n"/>
      <c r="AZ1026" s="4" t="n"/>
      <c r="BA1026" s="4" t="n"/>
      <c r="BB1026" s="4" t="n"/>
      <c r="BC1026" s="4" t="n"/>
      <c r="BD1026" s="4" t="n"/>
      <c r="BE1026" s="4" t="n"/>
      <c r="BF1026" s="4" t="n"/>
      <c r="BG1026" s="4" t="n"/>
      <c r="BH1026" s="4" t="n"/>
      <c r="BI1026" s="4" t="n"/>
      <c r="BJ1026" s="4" t="n"/>
      <c r="BK1026" s="4" t="n"/>
      <c r="BL1026" s="4" t="n"/>
      <c r="BM1026" s="4" t="n"/>
      <c r="BN1026" s="4" t="n"/>
      <c r="BO1026" s="4" t="n"/>
      <c r="BP1026" s="4" t="n"/>
      <c r="BQ1026" s="4" t="n"/>
      <c r="BR1026" s="4" t="n"/>
      <c r="BS1026" s="4" t="n"/>
      <c r="BT1026" s="4" t="n"/>
      <c r="BU1026" s="4" t="n"/>
      <c r="BV1026" s="4" t="n"/>
      <c r="BW1026" s="4" t="n"/>
      <c r="BX1026" s="4" t="n"/>
      <c r="BY1026" s="4" t="n"/>
      <c r="BZ1026" s="4" t="n"/>
      <c r="CA1026" s="4" t="n"/>
      <c r="CB1026" s="4" t="n"/>
      <c r="CC1026" s="4" t="n"/>
      <c r="CD1026" s="4" t="n"/>
      <c r="CE1026" s="4" t="n"/>
      <c r="CF1026" s="4" t="n"/>
      <c r="CG1026" s="4" t="n"/>
      <c r="CH1026" s="4" t="n"/>
      <c r="CI1026" s="4" t="n"/>
      <c r="CJ1026" s="4" t="n"/>
      <c r="CK1026" s="4" t="n"/>
      <c r="CL1026" s="4" t="n"/>
      <c r="CM1026" s="4" t="n"/>
      <c r="CN1026" s="4" t="n"/>
      <c r="CO1026" s="4" t="n"/>
      <c r="CP1026" s="4" t="n"/>
      <c r="CQ1026" s="4" t="n"/>
      <c r="CR1026" s="4" t="n"/>
      <c r="CS1026" s="4" t="n"/>
      <c r="CT1026" s="4" t="n"/>
      <c r="CU1026" s="4" t="n"/>
      <c r="CV1026" s="4" t="n"/>
      <c r="CW1026" s="4" t="n"/>
      <c r="CX1026" s="4" t="n"/>
      <c r="CY1026" s="4" t="n"/>
      <c r="CZ1026" s="4" t="n"/>
      <c r="DA1026" s="4" t="n"/>
      <c r="DB1026" s="4" t="n"/>
      <c r="DC1026" s="4" t="n"/>
      <c r="DD1026" s="4" t="n"/>
      <c r="DE1026" s="4" t="n"/>
      <c r="DF1026" s="4" t="n"/>
      <c r="DG1026" s="4" t="n"/>
      <c r="DH1026" s="4" t="n"/>
      <c r="DI1026" s="4" t="n"/>
      <c r="DJ1026" s="4" t="n"/>
      <c r="DK1026" s="4" t="n"/>
      <c r="DL1026" s="4" t="n"/>
      <c r="DM1026" s="4" t="n"/>
      <c r="DN1026" s="4" t="n"/>
      <c r="DO1026" s="4" t="n"/>
      <c r="DP1026" s="4" t="n"/>
      <c r="DQ1026" s="4" t="n"/>
      <c r="DR1026" s="4" t="n"/>
      <c r="DS1026" s="4" t="n"/>
      <c r="DT1026" s="4" t="n"/>
      <c r="DU1026" s="4" t="n"/>
      <c r="DV1026" s="4" t="n"/>
      <c r="DW1026" s="4" t="n"/>
      <c r="DX1026" s="4" t="n"/>
      <c r="DY1026" s="4" t="n"/>
      <c r="DZ1026" s="4" t="n"/>
      <c r="EA1026" s="4" t="n"/>
      <c r="EB1026" s="4" t="n"/>
      <c r="EC1026" s="4" t="n"/>
      <c r="ED1026" s="4" t="n"/>
      <c r="EE1026" s="4" t="n"/>
      <c r="EF1026" s="4" t="n"/>
      <c r="EG1026" s="4" t="n"/>
      <c r="EH1026" s="4" t="n"/>
      <c r="EI1026" s="4" t="n"/>
      <c r="EJ1026" s="4" t="n"/>
      <c r="EK1026" s="4" t="n"/>
      <c r="EL1026" s="4" t="n"/>
      <c r="EM1026" s="4" t="n"/>
    </row>
    <row r="1027" hidden="1" customFormat="1" s="6">
      <c r="C1027" s="4" t="n"/>
      <c r="D1027" s="4" t="n"/>
      <c r="E1027" s="4" t="n"/>
      <c r="F1027" s="4" t="n"/>
      <c r="G1027" s="4" t="n"/>
      <c r="H1027" s="4" t="n"/>
      <c r="I1027" s="4" t="n"/>
      <c r="J1027" s="4" t="n"/>
      <c r="K1027" s="4" t="n"/>
      <c r="L1027" s="4" t="n"/>
      <c r="M1027" s="4" t="n"/>
      <c r="N1027" s="4" t="n"/>
      <c r="O1027" s="4" t="n"/>
      <c r="P1027" s="4" t="n"/>
      <c r="Q1027" s="4" t="n"/>
      <c r="R1027" s="4" t="n"/>
      <c r="S1027" s="4" t="n"/>
      <c r="T1027" s="4" t="n"/>
      <c r="U1027" s="4" t="n"/>
      <c r="V1027" s="4" t="n"/>
      <c r="W1027" s="4" t="n"/>
      <c r="X1027" s="4" t="n"/>
      <c r="Y1027" s="4" t="n"/>
      <c r="Z1027" s="4" t="n"/>
      <c r="AA1027" s="4" t="n"/>
      <c r="AB1027" s="4" t="n"/>
      <c r="AC1027" s="4" t="n"/>
      <c r="AD1027" s="4" t="n"/>
      <c r="AE1027" s="4" t="n"/>
      <c r="AF1027" s="4" t="n"/>
      <c r="AG1027" s="4" t="n"/>
      <c r="AH1027" s="4" t="n"/>
      <c r="AI1027" s="4" t="n"/>
      <c r="AJ1027" s="4" t="n"/>
      <c r="AK1027" s="4" t="n"/>
      <c r="AL1027" s="4" t="n"/>
      <c r="AM1027" s="4" t="n"/>
      <c r="AN1027" s="4" t="n"/>
      <c r="AO1027" s="4" t="n"/>
      <c r="AP1027" s="4" t="n"/>
      <c r="AQ1027" s="4" t="n"/>
      <c r="AR1027" s="4" t="n"/>
      <c r="AS1027" s="4" t="n"/>
      <c r="AT1027" s="4" t="n"/>
      <c r="AU1027" s="4" t="n"/>
      <c r="AV1027" s="4" t="n"/>
      <c r="AW1027" s="4" t="n"/>
      <c r="AX1027" s="4" t="n"/>
      <c r="AY1027" s="4" t="n"/>
      <c r="AZ1027" s="4" t="n"/>
      <c r="BA1027" s="4" t="n"/>
      <c r="BB1027" s="4" t="n"/>
      <c r="BC1027" s="4" t="n"/>
      <c r="BD1027" s="4" t="n"/>
      <c r="BE1027" s="4" t="n"/>
      <c r="BF1027" s="4" t="n"/>
      <c r="BG1027" s="4" t="n"/>
      <c r="BH1027" s="4" t="n"/>
      <c r="BI1027" s="4" t="n"/>
      <c r="BJ1027" s="4" t="n"/>
      <c r="BK1027" s="4" t="n"/>
      <c r="BL1027" s="4" t="n"/>
      <c r="BM1027" s="4" t="n"/>
      <c r="BN1027" s="4" t="n"/>
      <c r="BO1027" s="4" t="n"/>
      <c r="BP1027" s="4" t="n"/>
      <c r="BQ1027" s="4" t="n"/>
      <c r="BR1027" s="4" t="n"/>
      <c r="BS1027" s="4" t="n"/>
      <c r="BT1027" s="4" t="n"/>
      <c r="BU1027" s="4" t="n"/>
      <c r="BV1027" s="4" t="n"/>
      <c r="BW1027" s="4" t="n"/>
      <c r="BX1027" s="4" t="n"/>
      <c r="BY1027" s="4" t="n"/>
      <c r="BZ1027" s="4" t="n"/>
      <c r="CA1027" s="4" t="n"/>
      <c r="CB1027" s="4" t="n"/>
      <c r="CC1027" s="4" t="n"/>
      <c r="CD1027" s="4" t="n"/>
      <c r="CE1027" s="4" t="n"/>
      <c r="CF1027" s="4" t="n"/>
      <c r="CG1027" s="4" t="n"/>
      <c r="CH1027" s="4" t="n"/>
      <c r="CI1027" s="4" t="n"/>
      <c r="CJ1027" s="4" t="n"/>
      <c r="CK1027" s="4" t="n"/>
      <c r="CL1027" s="4" t="n"/>
      <c r="CM1027" s="4" t="n"/>
      <c r="CN1027" s="4" t="n"/>
      <c r="CO1027" s="4" t="n"/>
      <c r="CP1027" s="4" t="n"/>
      <c r="CQ1027" s="4" t="n"/>
      <c r="CR1027" s="4" t="n"/>
      <c r="CS1027" s="4" t="n"/>
      <c r="CT1027" s="4" t="n"/>
      <c r="CU1027" s="4" t="n"/>
      <c r="CV1027" s="4" t="n"/>
      <c r="CW1027" s="4" t="n"/>
      <c r="CX1027" s="4" t="n"/>
      <c r="CY1027" s="4" t="n"/>
      <c r="CZ1027" s="4" t="n"/>
      <c r="DA1027" s="4" t="n"/>
      <c r="DB1027" s="4" t="n"/>
      <c r="DC1027" s="4" t="n"/>
      <c r="DD1027" s="4" t="n"/>
      <c r="DE1027" s="4" t="n"/>
      <c r="DF1027" s="4" t="n"/>
      <c r="DG1027" s="4" t="n"/>
      <c r="DH1027" s="4" t="n"/>
      <c r="DI1027" s="4" t="n"/>
      <c r="DJ1027" s="4" t="n"/>
      <c r="DK1027" s="4" t="n"/>
      <c r="DL1027" s="4" t="n"/>
      <c r="DM1027" s="4" t="n"/>
      <c r="DN1027" s="4" t="n"/>
      <c r="DO1027" s="4" t="n"/>
      <c r="DP1027" s="4" t="n"/>
      <c r="DQ1027" s="4" t="n"/>
      <c r="DR1027" s="4" t="n"/>
      <c r="DS1027" s="4" t="n"/>
      <c r="DT1027" s="4" t="n"/>
      <c r="DU1027" s="4" t="n"/>
      <c r="DV1027" s="4" t="n"/>
      <c r="DW1027" s="4" t="n"/>
      <c r="DX1027" s="4" t="n"/>
      <c r="DY1027" s="4" t="n"/>
      <c r="DZ1027" s="4" t="n"/>
      <c r="EA1027" s="4" t="n"/>
      <c r="EB1027" s="4" t="n"/>
      <c r="EC1027" s="4" t="n"/>
      <c r="ED1027" s="4" t="n"/>
      <c r="EE1027" s="4" t="n"/>
      <c r="EF1027" s="4" t="n"/>
      <c r="EG1027" s="4" t="n"/>
      <c r="EH1027" s="4" t="n"/>
      <c r="EI1027" s="4" t="n"/>
      <c r="EJ1027" s="4" t="n"/>
      <c r="EK1027" s="4" t="n"/>
      <c r="EL1027" s="4" t="n"/>
      <c r="EM1027" s="4" t="n"/>
    </row>
    <row r="1028" hidden="1" customFormat="1" s="6">
      <c r="C1028" s="4" t="n"/>
      <c r="D1028" s="4" t="n"/>
      <c r="E1028" s="4" t="n"/>
      <c r="F1028" s="4" t="n"/>
      <c r="G1028" s="4" t="n"/>
      <c r="H1028" s="4" t="n"/>
      <c r="I1028" s="4" t="n"/>
      <c r="J1028" s="4" t="n"/>
      <c r="K1028" s="4" t="n"/>
      <c r="L1028" s="4" t="n"/>
      <c r="M1028" s="4" t="n"/>
      <c r="N1028" s="4" t="n"/>
      <c r="O1028" s="4" t="n"/>
      <c r="P1028" s="4" t="n"/>
      <c r="Q1028" s="4" t="n"/>
      <c r="R1028" s="4" t="n"/>
      <c r="S1028" s="4" t="n"/>
      <c r="T1028" s="4" t="n"/>
      <c r="U1028" s="4" t="n"/>
      <c r="V1028" s="4" t="n"/>
      <c r="W1028" s="4" t="n"/>
      <c r="X1028" s="4" t="n"/>
      <c r="Y1028" s="4" t="n"/>
      <c r="Z1028" s="4" t="n"/>
      <c r="AA1028" s="4" t="n"/>
      <c r="AB1028" s="4" t="n"/>
      <c r="AC1028" s="4" t="n"/>
      <c r="AD1028" s="4" t="n"/>
      <c r="AE1028" s="4" t="n"/>
      <c r="AF1028" s="4" t="n"/>
      <c r="AG1028" s="4" t="n"/>
      <c r="AH1028" s="4" t="n"/>
      <c r="AI1028" s="4" t="n"/>
      <c r="AJ1028" s="4" t="n"/>
      <c r="AK1028" s="4" t="n"/>
      <c r="AL1028" s="4" t="n"/>
      <c r="AM1028" s="4" t="n"/>
      <c r="AN1028" s="4" t="n"/>
      <c r="AO1028" s="4" t="n"/>
      <c r="AP1028" s="4" t="n"/>
      <c r="AQ1028" s="4" t="n"/>
      <c r="AR1028" s="4" t="n"/>
      <c r="AS1028" s="4" t="n"/>
      <c r="AT1028" s="4" t="n"/>
      <c r="AU1028" s="4" t="n"/>
      <c r="AV1028" s="4" t="n"/>
      <c r="AW1028" s="4" t="n"/>
      <c r="AX1028" s="4" t="n"/>
      <c r="AY1028" s="4" t="n"/>
      <c r="AZ1028" s="4" t="n"/>
      <c r="BA1028" s="4" t="n"/>
      <c r="BB1028" s="4" t="n"/>
      <c r="BC1028" s="4" t="n"/>
      <c r="BD1028" s="4" t="n"/>
      <c r="BE1028" s="4" t="n"/>
      <c r="BF1028" s="4" t="n"/>
      <c r="BG1028" s="4" t="n"/>
      <c r="BH1028" s="4" t="n"/>
      <c r="BI1028" s="4" t="n"/>
      <c r="BJ1028" s="4" t="n"/>
      <c r="BK1028" s="4" t="n"/>
      <c r="BL1028" s="4" t="n"/>
      <c r="BM1028" s="4" t="n"/>
      <c r="BN1028" s="4" t="n"/>
      <c r="BO1028" s="4" t="n"/>
      <c r="BP1028" s="4" t="n"/>
      <c r="BQ1028" s="4" t="n"/>
      <c r="BR1028" s="4" t="n"/>
      <c r="BS1028" s="4" t="n"/>
      <c r="BT1028" s="4" t="n"/>
      <c r="BU1028" s="4" t="n"/>
      <c r="BV1028" s="4" t="n"/>
      <c r="BW1028" s="4" t="n"/>
      <c r="BX1028" s="4" t="n"/>
      <c r="BY1028" s="4" t="n"/>
      <c r="BZ1028" s="4" t="n"/>
      <c r="CA1028" s="4" t="n"/>
      <c r="CB1028" s="4" t="n"/>
      <c r="CC1028" s="4" t="n"/>
      <c r="CD1028" s="4" t="n"/>
      <c r="CE1028" s="4" t="n"/>
      <c r="CF1028" s="4" t="n"/>
      <c r="CG1028" s="4" t="n"/>
      <c r="CH1028" s="4" t="n"/>
      <c r="CI1028" s="4" t="n"/>
      <c r="CJ1028" s="4" t="n"/>
      <c r="CK1028" s="4" t="n"/>
      <c r="CL1028" s="4" t="n"/>
      <c r="CM1028" s="4" t="n"/>
      <c r="CN1028" s="4" t="n"/>
      <c r="CO1028" s="4" t="n"/>
      <c r="CP1028" s="4" t="n"/>
      <c r="CQ1028" s="4" t="n"/>
      <c r="CR1028" s="4" t="n"/>
      <c r="CS1028" s="4" t="n"/>
      <c r="CT1028" s="4" t="n"/>
      <c r="CU1028" s="4" t="n"/>
      <c r="CV1028" s="4" t="n"/>
      <c r="CW1028" s="4" t="n"/>
      <c r="CX1028" s="4" t="n"/>
      <c r="CY1028" s="4" t="n"/>
      <c r="CZ1028" s="4" t="n"/>
      <c r="DA1028" s="4" t="n"/>
      <c r="DB1028" s="4" t="n"/>
      <c r="DC1028" s="4" t="n"/>
      <c r="DD1028" s="4" t="n"/>
      <c r="DE1028" s="4" t="n"/>
      <c r="DF1028" s="4" t="n"/>
      <c r="DG1028" s="4" t="n"/>
      <c r="DH1028" s="4" t="n"/>
      <c r="DI1028" s="4" t="n"/>
      <c r="DJ1028" s="4" t="n"/>
      <c r="DK1028" s="4" t="n"/>
      <c r="DL1028" s="4" t="n"/>
      <c r="DM1028" s="4" t="n"/>
      <c r="DN1028" s="4" t="n"/>
      <c r="DO1028" s="4" t="n"/>
      <c r="DP1028" s="4" t="n"/>
      <c r="DQ1028" s="4" t="n"/>
      <c r="DR1028" s="4" t="n"/>
      <c r="DS1028" s="4" t="n"/>
      <c r="DT1028" s="4" t="n"/>
      <c r="DU1028" s="4" t="n"/>
      <c r="DV1028" s="4" t="n"/>
      <c r="DW1028" s="4" t="n"/>
      <c r="DX1028" s="4" t="n"/>
      <c r="DY1028" s="4" t="n"/>
      <c r="DZ1028" s="4" t="n"/>
      <c r="EA1028" s="4" t="n"/>
      <c r="EB1028" s="4" t="n"/>
      <c r="EC1028" s="4" t="n"/>
      <c r="ED1028" s="4" t="n"/>
      <c r="EE1028" s="4" t="n"/>
      <c r="EF1028" s="4" t="n"/>
      <c r="EG1028" s="4" t="n"/>
      <c r="EH1028" s="4" t="n"/>
      <c r="EI1028" s="4" t="n"/>
      <c r="EJ1028" s="4" t="n"/>
      <c r="EK1028" s="4" t="n"/>
      <c r="EL1028" s="4" t="n"/>
      <c r="EM1028" s="4" t="n"/>
    </row>
    <row r="1029" hidden="1" customFormat="1" s="6">
      <c r="C1029" s="4" t="n"/>
      <c r="D1029" s="4" t="n"/>
      <c r="E1029" s="4" t="n"/>
      <c r="F1029" s="4" t="n"/>
      <c r="G1029" s="4" t="n"/>
      <c r="H1029" s="4" t="n"/>
      <c r="I1029" s="4" t="n"/>
      <c r="J1029" s="4" t="n"/>
      <c r="K1029" s="4" t="n"/>
      <c r="L1029" s="4" t="n"/>
      <c r="M1029" s="4" t="n"/>
      <c r="N1029" s="4" t="n"/>
      <c r="O1029" s="4" t="n"/>
      <c r="P1029" s="4" t="n"/>
      <c r="Q1029" s="4" t="n"/>
      <c r="R1029" s="4" t="n"/>
      <c r="S1029" s="4" t="n"/>
      <c r="T1029" s="4" t="n"/>
      <c r="U1029" s="4" t="n"/>
      <c r="V1029" s="4" t="n"/>
      <c r="W1029" s="4" t="n"/>
      <c r="X1029" s="4" t="n"/>
      <c r="Y1029" s="4" t="n"/>
      <c r="Z1029" s="4" t="n"/>
      <c r="AA1029" s="4" t="n"/>
      <c r="AB1029" s="4" t="n"/>
      <c r="AC1029" s="4" t="n"/>
      <c r="AD1029" s="4" t="n"/>
      <c r="AE1029" s="4" t="n"/>
      <c r="AF1029" s="4" t="n"/>
      <c r="AG1029" s="4" t="n"/>
      <c r="AH1029" s="4" t="n"/>
      <c r="AI1029" s="4" t="n"/>
      <c r="AJ1029" s="4" t="n"/>
      <c r="AK1029" s="4" t="n"/>
      <c r="AL1029" s="4" t="n"/>
      <c r="AM1029" s="4" t="n"/>
      <c r="AN1029" s="4" t="n"/>
      <c r="AO1029" s="4" t="n"/>
      <c r="AP1029" s="4" t="n"/>
      <c r="AQ1029" s="4" t="n"/>
      <c r="AR1029" s="4" t="n"/>
      <c r="AS1029" s="4" t="n"/>
      <c r="AT1029" s="4" t="n"/>
      <c r="AU1029" s="4" t="n"/>
      <c r="AV1029" s="4" t="n"/>
      <c r="AW1029" s="4" t="n"/>
      <c r="AX1029" s="4" t="n"/>
      <c r="AY1029" s="4" t="n"/>
      <c r="AZ1029" s="4" t="n"/>
      <c r="BA1029" s="4" t="n"/>
      <c r="BB1029" s="4" t="n"/>
      <c r="BC1029" s="4" t="n"/>
      <c r="BD1029" s="4" t="n"/>
      <c r="BE1029" s="4" t="n"/>
      <c r="BF1029" s="4" t="n"/>
      <c r="BG1029" s="4" t="n"/>
      <c r="BH1029" s="4" t="n"/>
      <c r="BI1029" s="4" t="n"/>
      <c r="BJ1029" s="4" t="n"/>
      <c r="BK1029" s="4" t="n"/>
      <c r="BL1029" s="4" t="n"/>
      <c r="BM1029" s="4" t="n"/>
      <c r="BN1029" s="4" t="n"/>
      <c r="BO1029" s="4" t="n"/>
      <c r="BP1029" s="4" t="n"/>
      <c r="BQ1029" s="4" t="n"/>
      <c r="BR1029" s="4" t="n"/>
      <c r="BS1029" s="4" t="n"/>
      <c r="BT1029" s="4" t="n"/>
      <c r="BU1029" s="4" t="n"/>
      <c r="BV1029" s="4" t="n"/>
      <c r="BW1029" s="4" t="n"/>
      <c r="BX1029" s="4" t="n"/>
      <c r="BY1029" s="4" t="n"/>
      <c r="BZ1029" s="4" t="n"/>
      <c r="CA1029" s="4" t="n"/>
      <c r="CB1029" s="4" t="n"/>
      <c r="CC1029" s="4" t="n"/>
      <c r="CD1029" s="4" t="n"/>
      <c r="CE1029" s="4" t="n"/>
      <c r="CF1029" s="4" t="n"/>
      <c r="CG1029" s="4" t="n"/>
      <c r="CH1029" s="4" t="n"/>
      <c r="CI1029" s="4" t="n"/>
      <c r="CJ1029" s="4" t="n"/>
      <c r="CK1029" s="4" t="n"/>
      <c r="CL1029" s="4" t="n"/>
      <c r="CM1029" s="4" t="n"/>
      <c r="CN1029" s="4" t="n"/>
      <c r="CO1029" s="4" t="n"/>
      <c r="CP1029" s="4" t="n"/>
      <c r="CQ1029" s="4" t="n"/>
      <c r="CR1029" s="4" t="n"/>
      <c r="CS1029" s="4" t="n"/>
      <c r="CT1029" s="4" t="n"/>
      <c r="CU1029" s="4" t="n"/>
      <c r="CV1029" s="4" t="n"/>
      <c r="CW1029" s="4" t="n"/>
      <c r="CX1029" s="4" t="n"/>
      <c r="CY1029" s="4" t="n"/>
      <c r="CZ1029" s="4" t="n"/>
      <c r="DA1029" s="4" t="n"/>
      <c r="DB1029" s="4" t="n"/>
      <c r="DC1029" s="4" t="n"/>
      <c r="DD1029" s="4" t="n"/>
      <c r="DE1029" s="4" t="n"/>
      <c r="DF1029" s="4" t="n"/>
      <c r="DG1029" s="4" t="n"/>
      <c r="DH1029" s="4" t="n"/>
      <c r="DI1029" s="4" t="n"/>
      <c r="DJ1029" s="4" t="n"/>
      <c r="DK1029" s="4" t="n"/>
      <c r="DL1029" s="4" t="n"/>
      <c r="DM1029" s="4" t="n"/>
      <c r="DN1029" s="4" t="n"/>
      <c r="DO1029" s="4" t="n"/>
      <c r="DP1029" s="4" t="n"/>
      <c r="DQ1029" s="4" t="n"/>
      <c r="DR1029" s="4" t="n"/>
      <c r="DS1029" s="4" t="n"/>
      <c r="DT1029" s="4" t="n"/>
      <c r="DU1029" s="4" t="n"/>
      <c r="DV1029" s="4" t="n"/>
      <c r="DW1029" s="4" t="n"/>
      <c r="DX1029" s="4" t="n"/>
      <c r="DY1029" s="4" t="n"/>
      <c r="DZ1029" s="4" t="n"/>
      <c r="EA1029" s="4" t="n"/>
      <c r="EB1029" s="4" t="n"/>
      <c r="EC1029" s="4" t="n"/>
      <c r="ED1029" s="4" t="n"/>
      <c r="EE1029" s="4" t="n"/>
      <c r="EF1029" s="4" t="n"/>
      <c r="EG1029" s="4" t="n"/>
      <c r="EH1029" s="4" t="n"/>
      <c r="EI1029" s="4" t="n"/>
      <c r="EJ1029" s="4" t="n"/>
      <c r="EK1029" s="4" t="n"/>
      <c r="EL1029" s="4" t="n"/>
      <c r="EM1029" s="4" t="n"/>
    </row>
    <row r="1030" hidden="1" customFormat="1" s="6">
      <c r="C1030" s="4" t="n"/>
      <c r="D1030" s="4" t="n"/>
      <c r="E1030" s="4" t="n"/>
      <c r="F1030" s="4" t="n"/>
      <c r="G1030" s="4" t="n"/>
      <c r="H1030" s="4" t="n"/>
      <c r="I1030" s="4" t="n"/>
      <c r="J1030" s="4" t="n"/>
      <c r="K1030" s="4" t="n"/>
      <c r="L1030" s="4" t="n"/>
      <c r="M1030" s="4" t="n"/>
      <c r="N1030" s="4" t="n"/>
      <c r="O1030" s="4" t="n"/>
      <c r="P1030" s="4" t="n"/>
      <c r="Q1030" s="4" t="n"/>
      <c r="R1030" s="4" t="n"/>
      <c r="S1030" s="4" t="n"/>
      <c r="T1030" s="4" t="n"/>
      <c r="U1030" s="4" t="n"/>
      <c r="V1030" s="4" t="n"/>
      <c r="W1030" s="4" t="n"/>
      <c r="X1030" s="4" t="n"/>
      <c r="Y1030" s="4" t="n"/>
      <c r="Z1030" s="4" t="n"/>
      <c r="AA1030" s="4" t="n"/>
      <c r="AB1030" s="4" t="n"/>
      <c r="AC1030" s="4" t="n"/>
      <c r="AD1030" s="4" t="n"/>
      <c r="AE1030" s="4" t="n"/>
      <c r="AF1030" s="4" t="n"/>
      <c r="AG1030" s="4" t="n"/>
      <c r="AH1030" s="4" t="n"/>
      <c r="AI1030" s="4" t="n"/>
      <c r="AJ1030" s="4" t="n"/>
      <c r="AK1030" s="4" t="n"/>
      <c r="AL1030" s="4" t="n"/>
      <c r="AM1030" s="4" t="n"/>
      <c r="AN1030" s="4" t="n"/>
      <c r="AO1030" s="4" t="n"/>
      <c r="AP1030" s="4" t="n"/>
      <c r="AQ1030" s="4" t="n"/>
      <c r="AR1030" s="4" t="n"/>
      <c r="AS1030" s="4" t="n"/>
      <c r="AT1030" s="4" t="n"/>
      <c r="AU1030" s="4" t="n"/>
      <c r="AV1030" s="4" t="n"/>
      <c r="AW1030" s="4" t="n"/>
      <c r="AX1030" s="4" t="n"/>
      <c r="AY1030" s="4" t="n"/>
      <c r="AZ1030" s="4" t="n"/>
      <c r="BA1030" s="4" t="n"/>
      <c r="BB1030" s="4" t="n"/>
      <c r="BC1030" s="4" t="n"/>
      <c r="BD1030" s="4" t="n"/>
      <c r="BE1030" s="4" t="n"/>
      <c r="BF1030" s="4" t="n"/>
      <c r="BG1030" s="4" t="n"/>
      <c r="BH1030" s="4" t="n"/>
      <c r="BI1030" s="4" t="n"/>
      <c r="BJ1030" s="4" t="n"/>
      <c r="BK1030" s="4" t="n"/>
      <c r="BL1030" s="4" t="n"/>
      <c r="BM1030" s="4" t="n"/>
      <c r="BN1030" s="4" t="n"/>
      <c r="BO1030" s="4" t="n"/>
      <c r="BP1030" s="4" t="n"/>
      <c r="BQ1030" s="4" t="n"/>
      <c r="BR1030" s="4" t="n"/>
      <c r="BS1030" s="4" t="n"/>
      <c r="BT1030" s="4" t="n"/>
      <c r="BU1030" s="4" t="n"/>
      <c r="BV1030" s="4" t="n"/>
      <c r="BW1030" s="4" t="n"/>
      <c r="BX1030" s="4" t="n"/>
      <c r="BY1030" s="4" t="n"/>
      <c r="BZ1030" s="4" t="n"/>
      <c r="CA1030" s="4" t="n"/>
      <c r="CB1030" s="4" t="n"/>
      <c r="CC1030" s="4" t="n"/>
      <c r="CD1030" s="4" t="n"/>
      <c r="CE1030" s="4" t="n"/>
      <c r="CF1030" s="4" t="n"/>
      <c r="CG1030" s="4" t="n"/>
      <c r="CH1030" s="4" t="n"/>
      <c r="CI1030" s="4" t="n"/>
      <c r="CJ1030" s="4" t="n"/>
      <c r="CK1030" s="4" t="n"/>
      <c r="CL1030" s="4" t="n"/>
      <c r="CM1030" s="4" t="n"/>
      <c r="CN1030" s="4" t="n"/>
      <c r="CO1030" s="4" t="n"/>
      <c r="CP1030" s="4" t="n"/>
      <c r="CQ1030" s="4" t="n"/>
      <c r="CR1030" s="4" t="n"/>
      <c r="CS1030" s="4" t="n"/>
      <c r="CT1030" s="4" t="n"/>
      <c r="CU1030" s="4" t="n"/>
      <c r="CV1030" s="4" t="n"/>
      <c r="CW1030" s="4" t="n"/>
      <c r="CX1030" s="4" t="n"/>
      <c r="CY1030" s="4" t="n"/>
      <c r="CZ1030" s="4" t="n"/>
      <c r="DA1030" s="4" t="n"/>
      <c r="DB1030" s="4" t="n"/>
      <c r="DC1030" s="4" t="n"/>
      <c r="DD1030" s="4" t="n"/>
      <c r="DE1030" s="4" t="n"/>
      <c r="DF1030" s="4" t="n"/>
      <c r="DG1030" s="4" t="n"/>
      <c r="DH1030" s="4" t="n"/>
      <c r="DI1030" s="4" t="n"/>
      <c r="DJ1030" s="4" t="n"/>
      <c r="DK1030" s="4" t="n"/>
      <c r="DL1030" s="4" t="n"/>
      <c r="DM1030" s="4" t="n"/>
      <c r="DN1030" s="4" t="n"/>
      <c r="DO1030" s="4" t="n"/>
      <c r="DP1030" s="4" t="n"/>
      <c r="DQ1030" s="4" t="n"/>
      <c r="DR1030" s="4" t="n"/>
      <c r="DS1030" s="4" t="n"/>
      <c r="DT1030" s="4" t="n"/>
      <c r="DU1030" s="4" t="n"/>
      <c r="DV1030" s="4" t="n"/>
      <c r="DW1030" s="4" t="n"/>
      <c r="DX1030" s="4" t="n"/>
      <c r="DY1030" s="4" t="n"/>
      <c r="DZ1030" s="4" t="n"/>
      <c r="EA1030" s="4" t="n"/>
      <c r="EB1030" s="4" t="n"/>
      <c r="EC1030" s="4" t="n"/>
      <c r="ED1030" s="4" t="n"/>
      <c r="EE1030" s="4" t="n"/>
      <c r="EF1030" s="4" t="n"/>
      <c r="EG1030" s="4" t="n"/>
      <c r="EH1030" s="4" t="n"/>
      <c r="EI1030" s="4" t="n"/>
      <c r="EJ1030" s="4" t="n"/>
      <c r="EK1030" s="4" t="n"/>
      <c r="EL1030" s="4" t="n"/>
      <c r="EM1030" s="4" t="n"/>
    </row>
    <row r="1031" hidden="1" customFormat="1" s="6">
      <c r="C1031" s="4" t="n"/>
      <c r="D1031" s="4" t="n"/>
      <c r="E1031" s="4" t="n"/>
      <c r="F1031" s="4" t="n"/>
      <c r="G1031" s="4" t="n"/>
      <c r="H1031" s="4" t="n"/>
      <c r="I1031" s="4" t="n"/>
      <c r="J1031" s="4" t="n"/>
      <c r="K1031" s="4" t="n"/>
      <c r="L1031" s="4" t="n"/>
      <c r="M1031" s="4" t="n"/>
      <c r="N1031" s="4" t="n"/>
      <c r="O1031" s="4" t="n"/>
      <c r="P1031" s="4" t="n"/>
      <c r="Q1031" s="4" t="n"/>
      <c r="R1031" s="4" t="n"/>
      <c r="S1031" s="4" t="n"/>
      <c r="T1031" s="4" t="n"/>
      <c r="U1031" s="4" t="n"/>
      <c r="V1031" s="4" t="n"/>
      <c r="W1031" s="4" t="n"/>
      <c r="X1031" s="4" t="n"/>
      <c r="Y1031" s="4" t="n"/>
      <c r="Z1031" s="4" t="n"/>
      <c r="AA1031" s="4" t="n"/>
      <c r="AB1031" s="4" t="n"/>
      <c r="AC1031" s="4" t="n"/>
      <c r="AD1031" s="4" t="n"/>
      <c r="AE1031" s="4" t="n"/>
      <c r="AF1031" s="4" t="n"/>
      <c r="AG1031" s="4" t="n"/>
      <c r="AH1031" s="4" t="n"/>
      <c r="AI1031" s="4" t="n"/>
      <c r="AJ1031" s="4" t="n"/>
      <c r="AK1031" s="4" t="n"/>
      <c r="AL1031" s="4" t="n"/>
      <c r="AM1031" s="4" t="n"/>
      <c r="AN1031" s="4" t="n"/>
      <c r="AO1031" s="4" t="n"/>
      <c r="AP1031" s="4" t="n"/>
      <c r="AQ1031" s="4" t="n"/>
      <c r="AR1031" s="4" t="n"/>
      <c r="AS1031" s="4" t="n"/>
      <c r="AT1031" s="4" t="n"/>
      <c r="AU1031" s="4" t="n"/>
      <c r="AV1031" s="4" t="n"/>
      <c r="AW1031" s="4" t="n"/>
      <c r="AX1031" s="4" t="n"/>
      <c r="AY1031" s="4" t="n"/>
      <c r="AZ1031" s="4" t="n"/>
      <c r="BA1031" s="4" t="n"/>
      <c r="BB1031" s="4" t="n"/>
      <c r="BC1031" s="4" t="n"/>
      <c r="BD1031" s="4" t="n"/>
      <c r="BE1031" s="4" t="n"/>
      <c r="BF1031" s="4" t="n"/>
      <c r="BG1031" s="4" t="n"/>
      <c r="BH1031" s="4" t="n"/>
      <c r="BI1031" s="4" t="n"/>
      <c r="BJ1031" s="4" t="n"/>
      <c r="BK1031" s="4" t="n"/>
      <c r="BL1031" s="4" t="n"/>
      <c r="BM1031" s="4" t="n"/>
      <c r="BN1031" s="4" t="n"/>
      <c r="BO1031" s="4" t="n"/>
      <c r="BP1031" s="4" t="n"/>
      <c r="BQ1031" s="4" t="n"/>
      <c r="BR1031" s="4" t="n"/>
      <c r="BS1031" s="4" t="n"/>
      <c r="BT1031" s="4" t="n"/>
      <c r="BU1031" s="4" t="n"/>
      <c r="BV1031" s="4" t="n"/>
      <c r="BW1031" s="4" t="n"/>
      <c r="BX1031" s="4" t="n"/>
      <c r="BY1031" s="4" t="n"/>
      <c r="BZ1031" s="4" t="n"/>
      <c r="CA1031" s="4" t="n"/>
      <c r="CB1031" s="4" t="n"/>
      <c r="CC1031" s="4" t="n"/>
      <c r="CD1031" s="4" t="n"/>
      <c r="CE1031" s="4" t="n"/>
      <c r="CF1031" s="4" t="n"/>
      <c r="CG1031" s="4" t="n"/>
      <c r="CH1031" s="4" t="n"/>
      <c r="CI1031" s="4" t="n"/>
      <c r="CJ1031" s="4" t="n"/>
      <c r="CK1031" s="4" t="n"/>
      <c r="CL1031" s="4" t="n"/>
      <c r="CM1031" s="4" t="n"/>
      <c r="CN1031" s="4" t="n"/>
      <c r="CO1031" s="4" t="n"/>
      <c r="CP1031" s="4" t="n"/>
      <c r="CQ1031" s="4" t="n"/>
      <c r="CR1031" s="4" t="n"/>
      <c r="CS1031" s="4" t="n"/>
      <c r="CT1031" s="4" t="n"/>
      <c r="CU1031" s="4" t="n"/>
      <c r="CV1031" s="4" t="n"/>
      <c r="CW1031" s="4" t="n"/>
      <c r="CX1031" s="4" t="n"/>
      <c r="CY1031" s="4" t="n"/>
      <c r="CZ1031" s="4" t="n"/>
      <c r="DA1031" s="4" t="n"/>
      <c r="DB1031" s="4" t="n"/>
      <c r="DC1031" s="4" t="n"/>
      <c r="DD1031" s="4" t="n"/>
      <c r="DE1031" s="4" t="n"/>
      <c r="DF1031" s="4" t="n"/>
      <c r="DG1031" s="4" t="n"/>
      <c r="DH1031" s="4" t="n"/>
      <c r="DI1031" s="4" t="n"/>
      <c r="DJ1031" s="4" t="n"/>
      <c r="DK1031" s="4" t="n"/>
      <c r="DL1031" s="4" t="n"/>
      <c r="DM1031" s="4" t="n"/>
      <c r="DN1031" s="4" t="n"/>
      <c r="DO1031" s="4" t="n"/>
      <c r="DP1031" s="4" t="n"/>
      <c r="DQ1031" s="4" t="n"/>
      <c r="DR1031" s="4" t="n"/>
      <c r="DS1031" s="4" t="n"/>
      <c r="DT1031" s="4" t="n"/>
      <c r="DU1031" s="4" t="n"/>
      <c r="DV1031" s="4" t="n"/>
      <c r="DW1031" s="4" t="n"/>
      <c r="DX1031" s="4" t="n"/>
      <c r="DY1031" s="4" t="n"/>
      <c r="DZ1031" s="4" t="n"/>
      <c r="EA1031" s="4" t="n"/>
      <c r="EB1031" s="4" t="n"/>
      <c r="EC1031" s="4" t="n"/>
      <c r="ED1031" s="4" t="n"/>
      <c r="EE1031" s="4" t="n"/>
      <c r="EF1031" s="4" t="n"/>
      <c r="EG1031" s="4" t="n"/>
      <c r="EH1031" s="4" t="n"/>
      <c r="EI1031" s="4" t="n"/>
      <c r="EJ1031" s="4" t="n"/>
      <c r="EK1031" s="4" t="n"/>
      <c r="EL1031" s="4" t="n"/>
      <c r="EM1031" s="4" t="n"/>
    </row>
    <row r="1032" hidden="1" customFormat="1" s="6">
      <c r="C1032" s="4" t="n"/>
      <c r="D1032" s="4" t="n"/>
      <c r="E1032" s="4" t="n"/>
      <c r="F1032" s="4" t="n"/>
      <c r="G1032" s="4" t="n"/>
      <c r="H1032" s="4" t="n"/>
      <c r="I1032" s="4" t="n"/>
      <c r="J1032" s="4" t="n"/>
      <c r="K1032" s="4" t="n"/>
      <c r="L1032" s="4" t="n"/>
      <c r="M1032" s="4" t="n"/>
      <c r="N1032" s="4" t="n"/>
      <c r="O1032" s="4" t="n"/>
      <c r="P1032" s="4" t="n"/>
      <c r="Q1032" s="4" t="n"/>
      <c r="R1032" s="4" t="n"/>
      <c r="S1032" s="4" t="n"/>
      <c r="T1032" s="4" t="n"/>
      <c r="U1032" s="4" t="n"/>
      <c r="V1032" s="4" t="n"/>
      <c r="W1032" s="4" t="n"/>
      <c r="X1032" s="4" t="n"/>
      <c r="Y1032" s="4" t="n"/>
      <c r="Z1032" s="4" t="n"/>
      <c r="AA1032" s="4" t="n"/>
      <c r="AB1032" s="4" t="n"/>
      <c r="AC1032" s="4" t="n"/>
      <c r="AD1032" s="4" t="n"/>
      <c r="AE1032" s="4" t="n"/>
      <c r="AF1032" s="4" t="n"/>
      <c r="AG1032" s="4" t="n"/>
      <c r="AH1032" s="4" t="n"/>
      <c r="AI1032" s="4" t="n"/>
      <c r="AJ1032" s="4" t="n"/>
      <c r="AK1032" s="4" t="n"/>
      <c r="AL1032" s="4" t="n"/>
      <c r="AM1032" s="4" t="n"/>
      <c r="AN1032" s="4" t="n"/>
      <c r="AO1032" s="4" t="n"/>
      <c r="AP1032" s="4" t="n"/>
      <c r="AQ1032" s="4" t="n"/>
      <c r="AR1032" s="4" t="n"/>
      <c r="AS1032" s="4" t="n"/>
      <c r="AT1032" s="4" t="n"/>
      <c r="AU1032" s="4" t="n"/>
      <c r="AV1032" s="4" t="n"/>
      <c r="AW1032" s="4" t="n"/>
      <c r="AX1032" s="4" t="n"/>
      <c r="AY1032" s="4" t="n"/>
      <c r="AZ1032" s="4" t="n"/>
      <c r="BA1032" s="4" t="n"/>
      <c r="BB1032" s="4" t="n"/>
      <c r="BC1032" s="4" t="n"/>
      <c r="BD1032" s="4" t="n"/>
      <c r="BE1032" s="4" t="n"/>
      <c r="BF1032" s="4" t="n"/>
      <c r="BG1032" s="4" t="n"/>
      <c r="BH1032" s="4" t="n"/>
      <c r="BI1032" s="4" t="n"/>
      <c r="BJ1032" s="4" t="n"/>
      <c r="BK1032" s="4" t="n"/>
      <c r="BL1032" s="4" t="n"/>
      <c r="BM1032" s="4" t="n"/>
      <c r="BN1032" s="4" t="n"/>
      <c r="BO1032" s="4" t="n"/>
      <c r="BP1032" s="4" t="n"/>
      <c r="BQ1032" s="4" t="n"/>
      <c r="BR1032" s="4" t="n"/>
      <c r="BS1032" s="4" t="n"/>
      <c r="BT1032" s="4" t="n"/>
      <c r="BU1032" s="4" t="n"/>
      <c r="BV1032" s="4" t="n"/>
      <c r="BW1032" s="4" t="n"/>
      <c r="BX1032" s="4" t="n"/>
      <c r="BY1032" s="4" t="n"/>
      <c r="BZ1032" s="4" t="n"/>
      <c r="CA1032" s="4" t="n"/>
      <c r="CB1032" s="4" t="n"/>
      <c r="CC1032" s="4" t="n"/>
      <c r="CD1032" s="4" t="n"/>
      <c r="CE1032" s="4" t="n"/>
      <c r="CF1032" s="4" t="n"/>
      <c r="CG1032" s="4" t="n"/>
      <c r="CH1032" s="4" t="n"/>
      <c r="CI1032" s="4" t="n"/>
      <c r="CJ1032" s="4" t="n"/>
      <c r="CK1032" s="4" t="n"/>
      <c r="CL1032" s="4" t="n"/>
      <c r="CM1032" s="4" t="n"/>
      <c r="CN1032" s="4" t="n"/>
      <c r="CO1032" s="4" t="n"/>
      <c r="CP1032" s="4" t="n"/>
      <c r="CQ1032" s="4" t="n"/>
      <c r="CR1032" s="4" t="n"/>
      <c r="CS1032" s="4" t="n"/>
      <c r="CT1032" s="4" t="n"/>
      <c r="CU1032" s="4" t="n"/>
      <c r="CV1032" s="4" t="n"/>
      <c r="CW1032" s="4" t="n"/>
      <c r="CX1032" s="4" t="n"/>
      <c r="CY1032" s="4" t="n"/>
      <c r="CZ1032" s="4" t="n"/>
      <c r="DA1032" s="4" t="n"/>
      <c r="DB1032" s="4" t="n"/>
      <c r="DC1032" s="4" t="n"/>
      <c r="DD1032" s="4" t="n"/>
      <c r="DE1032" s="4" t="n"/>
      <c r="DF1032" s="4" t="n"/>
      <c r="DG1032" s="4" t="n"/>
      <c r="DH1032" s="4" t="n"/>
      <c r="DI1032" s="4" t="n"/>
      <c r="DJ1032" s="4" t="n"/>
      <c r="DK1032" s="4" t="n"/>
      <c r="DL1032" s="4" t="n"/>
      <c r="DM1032" s="4" t="n"/>
      <c r="DN1032" s="4" t="n"/>
      <c r="DO1032" s="4" t="n"/>
      <c r="DP1032" s="4" t="n"/>
      <c r="DQ1032" s="4" t="n"/>
      <c r="DR1032" s="4" t="n"/>
      <c r="DS1032" s="4" t="n"/>
      <c r="DT1032" s="4" t="n"/>
      <c r="DU1032" s="4" t="n"/>
      <c r="DV1032" s="4" t="n"/>
      <c r="DW1032" s="4" t="n"/>
      <c r="DX1032" s="4" t="n"/>
      <c r="DY1032" s="4" t="n"/>
      <c r="DZ1032" s="4" t="n"/>
      <c r="EA1032" s="4" t="n"/>
      <c r="EB1032" s="4" t="n"/>
      <c r="EC1032" s="4" t="n"/>
      <c r="ED1032" s="4" t="n"/>
      <c r="EE1032" s="4" t="n"/>
      <c r="EF1032" s="4" t="n"/>
      <c r="EG1032" s="4" t="n"/>
      <c r="EH1032" s="4" t="n"/>
      <c r="EI1032" s="4" t="n"/>
      <c r="EJ1032" s="4" t="n"/>
      <c r="EK1032" s="4" t="n"/>
      <c r="EL1032" s="4" t="n"/>
      <c r="EM1032" s="4" t="n"/>
    </row>
    <row r="1033" hidden="1" customFormat="1" s="6">
      <c r="C1033" s="4" t="n"/>
      <c r="D1033" s="4" t="n"/>
      <c r="E1033" s="4" t="n"/>
      <c r="F1033" s="4" t="n"/>
      <c r="G1033" s="4" t="n"/>
      <c r="H1033" s="4" t="n"/>
      <c r="I1033" s="4" t="n"/>
      <c r="J1033" s="4" t="n"/>
      <c r="K1033" s="4" t="n"/>
      <c r="L1033" s="4" t="n"/>
      <c r="M1033" s="4" t="n"/>
      <c r="N1033" s="4" t="n"/>
      <c r="O1033" s="4" t="n"/>
      <c r="P1033" s="4" t="n"/>
      <c r="Q1033" s="4" t="n"/>
      <c r="R1033" s="4" t="n"/>
      <c r="S1033" s="4" t="n"/>
      <c r="T1033" s="4" t="n"/>
      <c r="U1033" s="4" t="n"/>
      <c r="V1033" s="4" t="n"/>
      <c r="W1033" s="4" t="n"/>
      <c r="X1033" s="4" t="n"/>
      <c r="Y1033" s="4" t="n"/>
      <c r="Z1033" s="4" t="n"/>
      <c r="AA1033" s="4" t="n"/>
      <c r="AB1033" s="4" t="n"/>
      <c r="AC1033" s="4" t="n"/>
      <c r="AD1033" s="4" t="n"/>
      <c r="AE1033" s="4" t="n"/>
      <c r="AF1033" s="4" t="n"/>
      <c r="AG1033" s="4" t="n"/>
      <c r="AH1033" s="4" t="n"/>
      <c r="AI1033" s="4" t="n"/>
      <c r="AJ1033" s="4" t="n"/>
      <c r="AK1033" s="4" t="n"/>
      <c r="AL1033" s="4" t="n"/>
      <c r="AM1033" s="4" t="n"/>
      <c r="AN1033" s="4" t="n"/>
      <c r="AO1033" s="4" t="n"/>
      <c r="AP1033" s="4" t="n"/>
      <c r="AQ1033" s="4" t="n"/>
      <c r="AR1033" s="4" t="n"/>
      <c r="AS1033" s="4" t="n"/>
      <c r="AT1033" s="4" t="n"/>
      <c r="AU1033" s="4" t="n"/>
      <c r="AV1033" s="4" t="n"/>
      <c r="AW1033" s="4" t="n"/>
      <c r="AX1033" s="4" t="n"/>
      <c r="AY1033" s="4" t="n"/>
      <c r="AZ1033" s="4" t="n"/>
      <c r="BA1033" s="4" t="n"/>
      <c r="BB1033" s="4" t="n"/>
      <c r="BC1033" s="4" t="n"/>
      <c r="BD1033" s="4" t="n"/>
      <c r="BE1033" s="4" t="n"/>
      <c r="BF1033" s="4" t="n"/>
      <c r="BG1033" s="4" t="n"/>
      <c r="BH1033" s="4" t="n"/>
      <c r="BI1033" s="4" t="n"/>
      <c r="BJ1033" s="4" t="n"/>
      <c r="BK1033" s="4" t="n"/>
      <c r="BL1033" s="4" t="n"/>
      <c r="BM1033" s="4" t="n"/>
      <c r="BN1033" s="4" t="n"/>
      <c r="BO1033" s="4" t="n"/>
      <c r="BP1033" s="4" t="n"/>
      <c r="BQ1033" s="4" t="n"/>
      <c r="BR1033" s="4" t="n"/>
      <c r="BS1033" s="4" t="n"/>
      <c r="BT1033" s="4" t="n"/>
      <c r="BU1033" s="4" t="n"/>
      <c r="BV1033" s="4" t="n"/>
      <c r="BW1033" s="4" t="n"/>
      <c r="BX1033" s="4" t="n"/>
      <c r="BY1033" s="4" t="n"/>
      <c r="BZ1033" s="4" t="n"/>
      <c r="CA1033" s="4" t="n"/>
      <c r="CB1033" s="4" t="n"/>
      <c r="CC1033" s="4" t="n"/>
      <c r="CD1033" s="4" t="n"/>
      <c r="CE1033" s="4" t="n"/>
      <c r="CF1033" s="4" t="n"/>
      <c r="CG1033" s="4" t="n"/>
      <c r="CH1033" s="4" t="n"/>
      <c r="CI1033" s="4" t="n"/>
      <c r="CJ1033" s="4" t="n"/>
      <c r="CK1033" s="4" t="n"/>
      <c r="CL1033" s="4" t="n"/>
      <c r="CM1033" s="4" t="n"/>
      <c r="CN1033" s="4" t="n"/>
      <c r="CO1033" s="4" t="n"/>
      <c r="CP1033" s="4" t="n"/>
      <c r="CQ1033" s="4" t="n"/>
      <c r="CR1033" s="4" t="n"/>
      <c r="CS1033" s="4" t="n"/>
      <c r="CT1033" s="4" t="n"/>
      <c r="CU1033" s="4" t="n"/>
      <c r="CV1033" s="4" t="n"/>
      <c r="CW1033" s="4" t="n"/>
      <c r="CX1033" s="4" t="n"/>
      <c r="CY1033" s="4" t="n"/>
      <c r="CZ1033" s="4" t="n"/>
      <c r="DA1033" s="4" t="n"/>
      <c r="DB1033" s="4" t="n"/>
      <c r="DC1033" s="4" t="n"/>
      <c r="DD1033" s="4" t="n"/>
      <c r="DE1033" s="4" t="n"/>
      <c r="DF1033" s="4" t="n"/>
      <c r="DG1033" s="4" t="n"/>
      <c r="DH1033" s="4" t="n"/>
      <c r="DI1033" s="4" t="n"/>
      <c r="DJ1033" s="4" t="n"/>
      <c r="DK1033" s="4" t="n"/>
      <c r="DL1033" s="4" t="n"/>
      <c r="DM1033" s="4" t="n"/>
      <c r="DN1033" s="4" t="n"/>
      <c r="DO1033" s="4" t="n"/>
      <c r="DP1033" s="4" t="n"/>
      <c r="DQ1033" s="4" t="n"/>
      <c r="DR1033" s="4" t="n"/>
      <c r="DS1033" s="4" t="n"/>
      <c r="DT1033" s="4" t="n"/>
      <c r="DU1033" s="4" t="n"/>
      <c r="DV1033" s="4" t="n"/>
      <c r="DW1033" s="4" t="n"/>
      <c r="DX1033" s="4" t="n"/>
      <c r="DY1033" s="4" t="n"/>
      <c r="DZ1033" s="4" t="n"/>
      <c r="EA1033" s="4" t="n"/>
      <c r="EB1033" s="4" t="n"/>
      <c r="EC1033" s="4" t="n"/>
      <c r="ED1033" s="4" t="n"/>
      <c r="EE1033" s="4" t="n"/>
      <c r="EF1033" s="4" t="n"/>
      <c r="EG1033" s="4" t="n"/>
      <c r="EH1033" s="4" t="n"/>
      <c r="EI1033" s="4" t="n"/>
      <c r="EJ1033" s="4" t="n"/>
      <c r="EK1033" s="4" t="n"/>
      <c r="EL1033" s="4" t="n"/>
      <c r="EM1033" s="4" t="n"/>
    </row>
    <row r="1034" hidden="1" customFormat="1" s="6">
      <c r="C1034" s="4" t="n"/>
      <c r="D1034" s="4" t="n"/>
      <c r="E1034" s="4" t="n"/>
      <c r="F1034" s="4" t="n"/>
      <c r="G1034" s="4" t="n"/>
      <c r="H1034" s="4" t="n"/>
      <c r="I1034" s="4" t="n"/>
      <c r="J1034" s="4" t="n"/>
      <c r="K1034" s="4" t="n"/>
      <c r="L1034" s="4" t="n"/>
      <c r="M1034" s="4" t="n"/>
      <c r="N1034" s="4" t="n"/>
      <c r="O1034" s="4" t="n"/>
      <c r="P1034" s="4" t="n"/>
      <c r="Q1034" s="4" t="n"/>
      <c r="R1034" s="4" t="n"/>
      <c r="S1034" s="4" t="n"/>
      <c r="T1034" s="4" t="n"/>
      <c r="U1034" s="4" t="n"/>
      <c r="V1034" s="4" t="n"/>
      <c r="W1034" s="4" t="n"/>
      <c r="X1034" s="4" t="n"/>
      <c r="Y1034" s="4" t="n"/>
      <c r="Z1034" s="4" t="n"/>
      <c r="AA1034" s="4" t="n"/>
      <c r="AB1034" s="4" t="n"/>
      <c r="AC1034" s="4" t="n"/>
      <c r="AD1034" s="4" t="n"/>
      <c r="AE1034" s="4" t="n"/>
      <c r="AF1034" s="4" t="n"/>
      <c r="AG1034" s="4" t="n"/>
      <c r="AH1034" s="4" t="n"/>
      <c r="AI1034" s="4" t="n"/>
      <c r="AJ1034" s="4" t="n"/>
      <c r="AK1034" s="4" t="n"/>
      <c r="AL1034" s="4" t="n"/>
      <c r="AM1034" s="4" t="n"/>
      <c r="AN1034" s="4" t="n"/>
      <c r="AO1034" s="4" t="n"/>
      <c r="AP1034" s="4" t="n"/>
      <c r="AQ1034" s="4" t="n"/>
      <c r="AR1034" s="4" t="n"/>
      <c r="AS1034" s="4" t="n"/>
      <c r="AT1034" s="4" t="n"/>
      <c r="AU1034" s="4" t="n"/>
      <c r="AV1034" s="4" t="n"/>
      <c r="AW1034" s="4" t="n"/>
      <c r="AX1034" s="4" t="n"/>
      <c r="AY1034" s="4" t="n"/>
      <c r="AZ1034" s="4" t="n"/>
      <c r="BA1034" s="4" t="n"/>
      <c r="BB1034" s="4" t="n"/>
      <c r="BC1034" s="4" t="n"/>
      <c r="BD1034" s="4" t="n"/>
      <c r="BE1034" s="4" t="n"/>
      <c r="BF1034" s="4" t="n"/>
      <c r="BG1034" s="4" t="n"/>
      <c r="BH1034" s="4" t="n"/>
      <c r="BI1034" s="4" t="n"/>
      <c r="BJ1034" s="4" t="n"/>
      <c r="BK1034" s="4" t="n"/>
      <c r="BL1034" s="4" t="n"/>
      <c r="BM1034" s="4" t="n"/>
      <c r="BN1034" s="4" t="n"/>
      <c r="BO1034" s="4" t="n"/>
      <c r="BP1034" s="4" t="n"/>
      <c r="BQ1034" s="4" t="n"/>
      <c r="BR1034" s="4" t="n"/>
      <c r="BS1034" s="4" t="n"/>
      <c r="BT1034" s="4" t="n"/>
      <c r="BU1034" s="4" t="n"/>
      <c r="BV1034" s="4" t="n"/>
      <c r="BW1034" s="4" t="n"/>
      <c r="BX1034" s="4" t="n"/>
      <c r="BY1034" s="4" t="n"/>
      <c r="BZ1034" s="4" t="n"/>
      <c r="CA1034" s="4" t="n"/>
      <c r="CB1034" s="4" t="n"/>
      <c r="CC1034" s="4" t="n"/>
      <c r="CD1034" s="4" t="n"/>
      <c r="CE1034" s="4" t="n"/>
      <c r="CF1034" s="4" t="n"/>
      <c r="CG1034" s="4" t="n"/>
      <c r="CH1034" s="4" t="n"/>
      <c r="CI1034" s="4" t="n"/>
      <c r="CJ1034" s="4" t="n"/>
      <c r="CK1034" s="4" t="n"/>
      <c r="CL1034" s="4" t="n"/>
      <c r="CM1034" s="4" t="n"/>
      <c r="CN1034" s="4" t="n"/>
      <c r="CO1034" s="4" t="n"/>
      <c r="CP1034" s="4" t="n"/>
      <c r="CQ1034" s="4" t="n"/>
      <c r="CR1034" s="4" t="n"/>
      <c r="CS1034" s="4" t="n"/>
      <c r="CT1034" s="4" t="n"/>
      <c r="CU1034" s="4" t="n"/>
      <c r="CV1034" s="4" t="n"/>
      <c r="CW1034" s="4" t="n"/>
      <c r="CX1034" s="4" t="n"/>
      <c r="CY1034" s="4" t="n"/>
      <c r="CZ1034" s="4" t="n"/>
      <c r="DA1034" s="4" t="n"/>
      <c r="DB1034" s="4" t="n"/>
      <c r="DC1034" s="4" t="n"/>
      <c r="DD1034" s="4" t="n"/>
      <c r="DE1034" s="4" t="n"/>
      <c r="DF1034" s="4" t="n"/>
      <c r="DG1034" s="4" t="n"/>
      <c r="DH1034" s="4" t="n"/>
      <c r="DI1034" s="4" t="n"/>
      <c r="DJ1034" s="4" t="n"/>
      <c r="DK1034" s="4" t="n"/>
      <c r="DL1034" s="4" t="n"/>
      <c r="DM1034" s="4" t="n"/>
      <c r="DN1034" s="4" t="n"/>
      <c r="DO1034" s="4" t="n"/>
      <c r="DP1034" s="4" t="n"/>
      <c r="DQ1034" s="4" t="n"/>
      <c r="DR1034" s="4" t="n"/>
      <c r="DS1034" s="4" t="n"/>
      <c r="DT1034" s="4" t="n"/>
      <c r="DU1034" s="4" t="n"/>
      <c r="DV1034" s="4" t="n"/>
      <c r="DW1034" s="4" t="n"/>
      <c r="DX1034" s="4" t="n"/>
      <c r="DY1034" s="4" t="n"/>
      <c r="DZ1034" s="4" t="n"/>
      <c r="EA1034" s="4" t="n"/>
      <c r="EB1034" s="4" t="n"/>
      <c r="EC1034" s="4" t="n"/>
      <c r="ED1034" s="4" t="n"/>
      <c r="EE1034" s="4" t="n"/>
      <c r="EF1034" s="4" t="n"/>
      <c r="EG1034" s="4" t="n"/>
      <c r="EH1034" s="4" t="n"/>
      <c r="EI1034" s="4" t="n"/>
      <c r="EJ1034" s="4" t="n"/>
      <c r="EK1034" s="4" t="n"/>
      <c r="EL1034" s="4" t="n"/>
      <c r="EM1034" s="4" t="n"/>
    </row>
    <row r="1035" hidden="1" customFormat="1" s="6">
      <c r="C1035" s="4" t="n"/>
      <c r="D1035" s="4" t="n"/>
      <c r="E1035" s="4" t="n"/>
      <c r="F1035" s="4" t="n"/>
      <c r="G1035" s="4" t="n"/>
      <c r="H1035" s="4" t="n"/>
      <c r="I1035" s="4" t="n"/>
      <c r="J1035" s="4" t="n"/>
      <c r="K1035" s="4" t="n"/>
      <c r="L1035" s="4" t="n"/>
      <c r="M1035" s="4" t="n"/>
      <c r="N1035" s="4" t="n"/>
      <c r="O1035" s="4" t="n"/>
      <c r="P1035" s="4" t="n"/>
      <c r="Q1035" s="4" t="n"/>
      <c r="R1035" s="4" t="n"/>
      <c r="S1035" s="4" t="n"/>
      <c r="T1035" s="4" t="n"/>
      <c r="U1035" s="4" t="n"/>
      <c r="V1035" s="4" t="n"/>
      <c r="W1035" s="4" t="n"/>
      <c r="X1035" s="4" t="n"/>
      <c r="Y1035" s="4" t="n"/>
      <c r="Z1035" s="4" t="n"/>
      <c r="AA1035" s="4" t="n"/>
      <c r="AB1035" s="4" t="n"/>
      <c r="AC1035" s="4" t="n"/>
      <c r="AD1035" s="4" t="n"/>
      <c r="AE1035" s="4" t="n"/>
      <c r="AF1035" s="4" t="n"/>
      <c r="AG1035" s="4" t="n"/>
      <c r="AH1035" s="4" t="n"/>
      <c r="AI1035" s="4" t="n"/>
      <c r="AJ1035" s="4" t="n"/>
      <c r="AK1035" s="4" t="n"/>
      <c r="AL1035" s="4" t="n"/>
      <c r="AM1035" s="4" t="n"/>
      <c r="AN1035" s="4" t="n"/>
      <c r="AO1035" s="4" t="n"/>
      <c r="AP1035" s="4" t="n"/>
      <c r="AQ1035" s="4" t="n"/>
      <c r="AR1035" s="4" t="n"/>
      <c r="AS1035" s="4" t="n"/>
      <c r="AT1035" s="4" t="n"/>
      <c r="AU1035" s="4" t="n"/>
      <c r="AV1035" s="4" t="n"/>
      <c r="AW1035" s="4" t="n"/>
      <c r="AX1035" s="4" t="n"/>
      <c r="AY1035" s="4" t="n"/>
      <c r="AZ1035" s="4" t="n"/>
      <c r="BA1035" s="4" t="n"/>
      <c r="BB1035" s="4" t="n"/>
      <c r="BC1035" s="4" t="n"/>
      <c r="BD1035" s="4" t="n"/>
      <c r="BE1035" s="4" t="n"/>
      <c r="BF1035" s="4" t="n"/>
      <c r="BG1035" s="4" t="n"/>
      <c r="BH1035" s="4" t="n"/>
      <c r="BI1035" s="4" t="n"/>
      <c r="BJ1035" s="4" t="n"/>
      <c r="BK1035" s="4" t="n"/>
      <c r="BL1035" s="4" t="n"/>
      <c r="BM1035" s="4" t="n"/>
      <c r="BN1035" s="4" t="n"/>
      <c r="BO1035" s="4" t="n"/>
      <c r="BP1035" s="4" t="n"/>
      <c r="BQ1035" s="4" t="n"/>
      <c r="BR1035" s="4" t="n"/>
      <c r="BS1035" s="4" t="n"/>
      <c r="BT1035" s="4" t="n"/>
      <c r="BU1035" s="4" t="n"/>
      <c r="BV1035" s="4" t="n"/>
      <c r="BW1035" s="4" t="n"/>
      <c r="BX1035" s="4" t="n"/>
      <c r="BY1035" s="4" t="n"/>
      <c r="BZ1035" s="4" t="n"/>
      <c r="CA1035" s="4" t="n"/>
      <c r="CB1035" s="4" t="n"/>
      <c r="CC1035" s="4" t="n"/>
      <c r="CD1035" s="4" t="n"/>
      <c r="CE1035" s="4" t="n"/>
      <c r="CF1035" s="4" t="n"/>
      <c r="CG1035" s="4" t="n"/>
      <c r="CH1035" s="4" t="n"/>
      <c r="CI1035" s="4" t="n"/>
      <c r="CJ1035" s="4" t="n"/>
      <c r="CK1035" s="4" t="n"/>
      <c r="CL1035" s="4" t="n"/>
      <c r="CM1035" s="4" t="n"/>
      <c r="CN1035" s="4" t="n"/>
      <c r="CO1035" s="4" t="n"/>
      <c r="CP1035" s="4" t="n"/>
      <c r="CQ1035" s="4" t="n"/>
      <c r="CR1035" s="4" t="n"/>
      <c r="CS1035" s="4" t="n"/>
      <c r="CT1035" s="4" t="n"/>
      <c r="CU1035" s="4" t="n"/>
      <c r="CV1035" s="4" t="n"/>
      <c r="CW1035" s="4" t="n"/>
      <c r="CX1035" s="4" t="n"/>
      <c r="CY1035" s="4" t="n"/>
      <c r="CZ1035" s="4" t="n"/>
      <c r="DA1035" s="4" t="n"/>
      <c r="DB1035" s="4" t="n"/>
      <c r="DC1035" s="4" t="n"/>
      <c r="DD1035" s="4" t="n"/>
      <c r="DE1035" s="4" t="n"/>
      <c r="DF1035" s="4" t="n"/>
      <c r="DG1035" s="4" t="n"/>
      <c r="DH1035" s="4" t="n"/>
      <c r="DI1035" s="4" t="n"/>
      <c r="DJ1035" s="4" t="n"/>
      <c r="DK1035" s="4" t="n"/>
      <c r="DL1035" s="4" t="n"/>
      <c r="DM1035" s="4" t="n"/>
      <c r="DN1035" s="4" t="n"/>
      <c r="DO1035" s="4" t="n"/>
      <c r="DP1035" s="4" t="n"/>
      <c r="DQ1035" s="4" t="n"/>
      <c r="DR1035" s="4" t="n"/>
      <c r="DS1035" s="4" t="n"/>
      <c r="DT1035" s="4" t="n"/>
      <c r="DU1035" s="4" t="n"/>
      <c r="DV1035" s="4" t="n"/>
      <c r="DW1035" s="4" t="n"/>
      <c r="DX1035" s="4" t="n"/>
      <c r="DY1035" s="4" t="n"/>
      <c r="DZ1035" s="4" t="n"/>
      <c r="EA1035" s="4" t="n"/>
      <c r="EB1035" s="4" t="n"/>
      <c r="EC1035" s="4" t="n"/>
      <c r="ED1035" s="4" t="n"/>
      <c r="EE1035" s="4" t="n"/>
      <c r="EF1035" s="4" t="n"/>
      <c r="EG1035" s="4" t="n"/>
      <c r="EH1035" s="4" t="n"/>
      <c r="EI1035" s="4" t="n"/>
      <c r="EJ1035" s="4" t="n"/>
      <c r="EK1035" s="4" t="n"/>
      <c r="EL1035" s="4" t="n"/>
      <c r="EM1035" s="4" t="n"/>
    </row>
    <row r="1036" hidden="1" customFormat="1" s="6">
      <c r="C1036" s="4" t="n"/>
      <c r="D1036" s="4" t="n"/>
      <c r="E1036" s="4" t="n"/>
      <c r="F1036" s="4" t="n"/>
      <c r="G1036" s="4" t="n"/>
      <c r="H1036" s="4" t="n"/>
      <c r="I1036" s="4" t="n"/>
      <c r="J1036" s="4" t="n"/>
      <c r="K1036" s="4" t="n"/>
      <c r="L1036" s="4" t="n"/>
      <c r="M1036" s="4" t="n"/>
      <c r="N1036" s="4" t="n"/>
      <c r="O1036" s="4" t="n"/>
      <c r="P1036" s="4" t="n"/>
      <c r="Q1036" s="4" t="n"/>
      <c r="R1036" s="4" t="n"/>
      <c r="S1036" s="4" t="n"/>
      <c r="T1036" s="4" t="n"/>
      <c r="U1036" s="4" t="n"/>
      <c r="V1036" s="4" t="n"/>
      <c r="W1036" s="4" t="n"/>
      <c r="X1036" s="4" t="n"/>
      <c r="Y1036" s="4" t="n"/>
      <c r="Z1036" s="4" t="n"/>
      <c r="AA1036" s="4" t="n"/>
      <c r="AB1036" s="4" t="n"/>
      <c r="AC1036" s="4" t="n"/>
      <c r="AD1036" s="4" t="n"/>
      <c r="AE1036" s="4" t="n"/>
      <c r="AF1036" s="4" t="n"/>
      <c r="AG1036" s="4" t="n"/>
      <c r="AH1036" s="4" t="n"/>
      <c r="AI1036" s="4" t="n"/>
      <c r="AJ1036" s="4" t="n"/>
      <c r="AK1036" s="4" t="n"/>
      <c r="AL1036" s="4" t="n"/>
      <c r="AM1036" s="4" t="n"/>
      <c r="AN1036" s="4" t="n"/>
      <c r="AO1036" s="4" t="n"/>
      <c r="AP1036" s="4" t="n"/>
      <c r="AQ1036" s="4" t="n"/>
      <c r="AR1036" s="4" t="n"/>
      <c r="AS1036" s="4" t="n"/>
      <c r="AT1036" s="4" t="n"/>
      <c r="AU1036" s="4" t="n"/>
      <c r="AV1036" s="4" t="n"/>
      <c r="AW1036" s="4" t="n"/>
      <c r="AX1036" s="4" t="n"/>
      <c r="AY1036" s="4" t="n"/>
      <c r="AZ1036" s="4" t="n"/>
      <c r="BA1036" s="4" t="n"/>
      <c r="BB1036" s="4" t="n"/>
      <c r="BC1036" s="4" t="n"/>
      <c r="BD1036" s="4" t="n"/>
      <c r="BE1036" s="4" t="n"/>
      <c r="BF1036" s="4" t="n"/>
      <c r="BG1036" s="4" t="n"/>
      <c r="BH1036" s="4" t="n"/>
      <c r="BI1036" s="4" t="n"/>
      <c r="BJ1036" s="4" t="n"/>
      <c r="BK1036" s="4" t="n"/>
      <c r="BL1036" s="4" t="n"/>
      <c r="BM1036" s="4" t="n"/>
      <c r="BN1036" s="4" t="n"/>
      <c r="BO1036" s="4" t="n"/>
      <c r="BP1036" s="4" t="n"/>
      <c r="BQ1036" s="4" t="n"/>
      <c r="BR1036" s="4" t="n"/>
      <c r="BS1036" s="4" t="n"/>
      <c r="BT1036" s="4" t="n"/>
      <c r="BU1036" s="4" t="n"/>
      <c r="BV1036" s="4" t="n"/>
      <c r="BW1036" s="4" t="n"/>
      <c r="BX1036" s="4" t="n"/>
      <c r="BY1036" s="4" t="n"/>
      <c r="BZ1036" s="4" t="n"/>
      <c r="CA1036" s="4" t="n"/>
      <c r="CB1036" s="4" t="n"/>
      <c r="CC1036" s="4" t="n"/>
      <c r="CD1036" s="4" t="n"/>
      <c r="CE1036" s="4" t="n"/>
      <c r="CF1036" s="4" t="n"/>
      <c r="CG1036" s="4" t="n"/>
      <c r="CH1036" s="4" t="n"/>
      <c r="CI1036" s="4" t="n"/>
      <c r="CJ1036" s="4" t="n"/>
      <c r="CK1036" s="4" t="n"/>
      <c r="CL1036" s="4" t="n"/>
      <c r="CM1036" s="4" t="n"/>
      <c r="CN1036" s="4" t="n"/>
      <c r="CO1036" s="4" t="n"/>
      <c r="CP1036" s="4" t="n"/>
      <c r="CQ1036" s="4" t="n"/>
      <c r="CR1036" s="4" t="n"/>
      <c r="CS1036" s="4" t="n"/>
      <c r="CT1036" s="4" t="n"/>
      <c r="CU1036" s="4" t="n"/>
      <c r="CV1036" s="4" t="n"/>
      <c r="CW1036" s="4" t="n"/>
      <c r="CX1036" s="4" t="n"/>
      <c r="CY1036" s="4" t="n"/>
      <c r="CZ1036" s="4" t="n"/>
      <c r="DA1036" s="4" t="n"/>
      <c r="DB1036" s="4" t="n"/>
      <c r="DC1036" s="4" t="n"/>
      <c r="DD1036" s="4" t="n"/>
      <c r="DE1036" s="4" t="n"/>
      <c r="DF1036" s="4" t="n"/>
      <c r="DG1036" s="4" t="n"/>
      <c r="DH1036" s="4" t="n"/>
      <c r="DI1036" s="4" t="n"/>
      <c r="DJ1036" s="4" t="n"/>
      <c r="DK1036" s="4" t="n"/>
      <c r="DL1036" s="4" t="n"/>
      <c r="DM1036" s="4" t="n"/>
      <c r="DN1036" s="4" t="n"/>
      <c r="DO1036" s="4" t="n"/>
      <c r="DP1036" s="4" t="n"/>
      <c r="DQ1036" s="4" t="n"/>
      <c r="DR1036" s="4" t="n"/>
      <c r="DS1036" s="4" t="n"/>
      <c r="DT1036" s="4" t="n"/>
      <c r="DU1036" s="4" t="n"/>
      <c r="DV1036" s="4" t="n"/>
      <c r="DW1036" s="4" t="n"/>
      <c r="DX1036" s="4" t="n"/>
      <c r="DY1036" s="4" t="n"/>
      <c r="DZ1036" s="4" t="n"/>
      <c r="EA1036" s="4" t="n"/>
      <c r="EB1036" s="4" t="n"/>
      <c r="EC1036" s="4" t="n"/>
      <c r="ED1036" s="4" t="n"/>
      <c r="EE1036" s="4" t="n"/>
      <c r="EF1036" s="4" t="n"/>
      <c r="EG1036" s="4" t="n"/>
      <c r="EH1036" s="4" t="n"/>
      <c r="EI1036" s="4" t="n"/>
      <c r="EJ1036" s="4" t="n"/>
      <c r="EK1036" s="4" t="n"/>
      <c r="EL1036" s="4" t="n"/>
      <c r="EM1036" s="4" t="n"/>
    </row>
    <row r="1037" hidden="1" customFormat="1" s="6">
      <c r="C1037" s="4" t="n"/>
      <c r="D1037" s="4" t="n"/>
      <c r="E1037" s="4" t="n"/>
      <c r="F1037" s="4" t="n"/>
      <c r="G1037" s="4" t="n"/>
      <c r="H1037" s="4" t="n"/>
      <c r="I1037" s="4" t="n"/>
      <c r="J1037" s="4" t="n"/>
      <c r="K1037" s="4" t="n"/>
      <c r="L1037" s="4" t="n"/>
      <c r="M1037" s="4" t="n"/>
      <c r="N1037" s="4" t="n"/>
      <c r="O1037" s="4" t="n"/>
      <c r="P1037" s="4" t="n"/>
      <c r="Q1037" s="4" t="n"/>
      <c r="R1037" s="4" t="n"/>
      <c r="S1037" s="4" t="n"/>
      <c r="T1037" s="4" t="n"/>
      <c r="U1037" s="4" t="n"/>
      <c r="V1037" s="4" t="n"/>
      <c r="W1037" s="4" t="n"/>
      <c r="X1037" s="4" t="n"/>
      <c r="Y1037" s="4" t="n"/>
      <c r="Z1037" s="4" t="n"/>
      <c r="AA1037" s="4" t="n"/>
      <c r="AB1037" s="4" t="n"/>
      <c r="AC1037" s="4" t="n"/>
      <c r="AD1037" s="4" t="n"/>
      <c r="AE1037" s="4" t="n"/>
      <c r="AF1037" s="4" t="n"/>
      <c r="AG1037" s="4" t="n"/>
      <c r="AH1037" s="4" t="n"/>
      <c r="AI1037" s="4" t="n"/>
      <c r="AJ1037" s="4" t="n"/>
      <c r="AK1037" s="4" t="n"/>
      <c r="AL1037" s="4" t="n"/>
      <c r="AM1037" s="4" t="n"/>
      <c r="AN1037" s="4" t="n"/>
      <c r="AO1037" s="4" t="n"/>
      <c r="AP1037" s="4" t="n"/>
      <c r="AQ1037" s="4" t="n"/>
      <c r="AR1037" s="4" t="n"/>
      <c r="AS1037" s="4" t="n"/>
      <c r="AT1037" s="4" t="n"/>
      <c r="AU1037" s="4" t="n"/>
      <c r="AV1037" s="4" t="n"/>
      <c r="AW1037" s="4" t="n"/>
      <c r="AX1037" s="4" t="n"/>
      <c r="AY1037" s="4" t="n"/>
      <c r="AZ1037" s="4" t="n"/>
      <c r="BA1037" s="4" t="n"/>
      <c r="BB1037" s="4" t="n"/>
      <c r="BC1037" s="4" t="n"/>
      <c r="BD1037" s="4" t="n"/>
      <c r="BE1037" s="4" t="n"/>
      <c r="BF1037" s="4" t="n"/>
      <c r="BG1037" s="4" t="n"/>
      <c r="BH1037" s="4" t="n"/>
      <c r="BI1037" s="4" t="n"/>
      <c r="BJ1037" s="4" t="n"/>
      <c r="BK1037" s="4" t="n"/>
      <c r="BL1037" s="4" t="n"/>
      <c r="BM1037" s="4" t="n"/>
      <c r="BN1037" s="4" t="n"/>
      <c r="BO1037" s="4" t="n"/>
      <c r="BP1037" s="4" t="n"/>
      <c r="BQ1037" s="4" t="n"/>
      <c r="BR1037" s="4" t="n"/>
      <c r="BS1037" s="4" t="n"/>
      <c r="BT1037" s="4" t="n"/>
      <c r="BU1037" s="4" t="n"/>
      <c r="BV1037" s="4" t="n"/>
      <c r="BW1037" s="4" t="n"/>
      <c r="BX1037" s="4" t="n"/>
      <c r="BY1037" s="4" t="n"/>
      <c r="BZ1037" s="4" t="n"/>
      <c r="CA1037" s="4" t="n"/>
      <c r="CB1037" s="4" t="n"/>
      <c r="CC1037" s="4" t="n"/>
      <c r="CD1037" s="4" t="n"/>
      <c r="CE1037" s="4" t="n"/>
      <c r="CF1037" s="4" t="n"/>
      <c r="CG1037" s="4" t="n"/>
      <c r="CH1037" s="4" t="n"/>
      <c r="CI1037" s="4" t="n"/>
      <c r="CJ1037" s="4" t="n"/>
      <c r="CK1037" s="4" t="n"/>
      <c r="CL1037" s="4" t="n"/>
      <c r="CM1037" s="4" t="n"/>
      <c r="CN1037" s="4" t="n"/>
      <c r="CO1037" s="4" t="n"/>
      <c r="CP1037" s="4" t="n"/>
      <c r="CQ1037" s="4" t="n"/>
      <c r="CR1037" s="4" t="n"/>
      <c r="CS1037" s="4" t="n"/>
      <c r="CT1037" s="4" t="n"/>
      <c r="CU1037" s="4" t="n"/>
      <c r="CV1037" s="4" t="n"/>
      <c r="CW1037" s="4" t="n"/>
      <c r="CX1037" s="4" t="n"/>
      <c r="CY1037" s="4" t="n"/>
      <c r="CZ1037" s="4" t="n"/>
      <c r="DA1037" s="4" t="n"/>
      <c r="DB1037" s="4" t="n"/>
      <c r="DC1037" s="4" t="n"/>
      <c r="DD1037" s="4" t="n"/>
      <c r="DE1037" s="4" t="n"/>
      <c r="DF1037" s="4" t="n"/>
      <c r="DG1037" s="4" t="n"/>
      <c r="DH1037" s="4" t="n"/>
      <c r="DI1037" s="4" t="n"/>
      <c r="DJ1037" s="4" t="n"/>
      <c r="DK1037" s="4" t="n"/>
      <c r="DL1037" s="4" t="n"/>
      <c r="DM1037" s="4" t="n"/>
      <c r="DN1037" s="4" t="n"/>
      <c r="DO1037" s="4" t="n"/>
      <c r="DP1037" s="4" t="n"/>
      <c r="DQ1037" s="4" t="n"/>
      <c r="DR1037" s="4" t="n"/>
      <c r="DS1037" s="4" t="n"/>
      <c r="DT1037" s="4" t="n"/>
      <c r="DU1037" s="4" t="n"/>
      <c r="DV1037" s="4" t="n"/>
      <c r="DW1037" s="4" t="n"/>
      <c r="DX1037" s="4" t="n"/>
      <c r="DY1037" s="4" t="n"/>
      <c r="DZ1037" s="4" t="n"/>
      <c r="EA1037" s="4" t="n"/>
      <c r="EB1037" s="4" t="n"/>
      <c r="EC1037" s="4" t="n"/>
      <c r="ED1037" s="4" t="n"/>
      <c r="EE1037" s="4" t="n"/>
      <c r="EF1037" s="4" t="n"/>
      <c r="EG1037" s="4" t="n"/>
      <c r="EH1037" s="4" t="n"/>
      <c r="EI1037" s="4" t="n"/>
      <c r="EJ1037" s="4" t="n"/>
      <c r="EK1037" s="4" t="n"/>
      <c r="EL1037" s="4" t="n"/>
      <c r="EM1037" s="4" t="n"/>
    </row>
    <row r="1038" hidden="1" customFormat="1" s="6">
      <c r="C1038" s="4" t="n"/>
      <c r="D1038" s="4" t="n"/>
      <c r="E1038" s="4" t="n"/>
      <c r="F1038" s="4" t="n"/>
      <c r="G1038" s="4" t="n"/>
      <c r="H1038" s="4" t="n"/>
      <c r="I1038" s="4" t="n"/>
      <c r="J1038" s="4" t="n"/>
      <c r="K1038" s="4" t="n"/>
      <c r="L1038" s="4" t="n"/>
      <c r="M1038" s="4" t="n"/>
      <c r="N1038" s="4" t="n"/>
      <c r="O1038" s="4" t="n"/>
      <c r="P1038" s="4" t="n"/>
      <c r="Q1038" s="4" t="n"/>
      <c r="R1038" s="4" t="n"/>
      <c r="S1038" s="4" t="n"/>
      <c r="T1038" s="4" t="n"/>
      <c r="U1038" s="4" t="n"/>
      <c r="V1038" s="4" t="n"/>
      <c r="W1038" s="4" t="n"/>
      <c r="X1038" s="4" t="n"/>
      <c r="Y1038" s="4" t="n"/>
      <c r="Z1038" s="4" t="n"/>
      <c r="AA1038" s="4" t="n"/>
      <c r="AB1038" s="4" t="n"/>
      <c r="AC1038" s="4" t="n"/>
      <c r="AD1038" s="4" t="n"/>
      <c r="AE1038" s="4" t="n"/>
      <c r="AF1038" s="4" t="n"/>
      <c r="AG1038" s="4" t="n"/>
      <c r="AH1038" s="4" t="n"/>
      <c r="AI1038" s="4" t="n"/>
      <c r="AJ1038" s="4" t="n"/>
      <c r="AK1038" s="4" t="n"/>
      <c r="AL1038" s="4" t="n"/>
      <c r="AM1038" s="4" t="n"/>
      <c r="AN1038" s="4" t="n"/>
      <c r="AO1038" s="4" t="n"/>
      <c r="AP1038" s="4" t="n"/>
      <c r="AQ1038" s="4" t="n"/>
      <c r="AR1038" s="4" t="n"/>
      <c r="AS1038" s="4" t="n"/>
      <c r="AT1038" s="4" t="n"/>
      <c r="AU1038" s="4" t="n"/>
      <c r="AV1038" s="4" t="n"/>
      <c r="AW1038" s="4" t="n"/>
      <c r="AX1038" s="4" t="n"/>
      <c r="AY1038" s="4" t="n"/>
      <c r="AZ1038" s="4" t="n"/>
      <c r="BA1038" s="4" t="n"/>
      <c r="BB1038" s="4" t="n"/>
      <c r="BC1038" s="4" t="n"/>
      <c r="BD1038" s="4" t="n"/>
      <c r="BE1038" s="4" t="n"/>
      <c r="BF1038" s="4" t="n"/>
      <c r="BG1038" s="4" t="n"/>
      <c r="BH1038" s="4" t="n"/>
      <c r="BI1038" s="4" t="n"/>
      <c r="BJ1038" s="4" t="n"/>
      <c r="BK1038" s="4" t="n"/>
      <c r="BL1038" s="4" t="n"/>
      <c r="BM1038" s="4" t="n"/>
      <c r="BN1038" s="4" t="n"/>
      <c r="BO1038" s="4" t="n"/>
      <c r="BP1038" s="4" t="n"/>
      <c r="BQ1038" s="4" t="n"/>
      <c r="BR1038" s="4" t="n"/>
      <c r="BS1038" s="4" t="n"/>
      <c r="BT1038" s="4" t="n"/>
      <c r="BU1038" s="4" t="n"/>
      <c r="BV1038" s="4" t="n"/>
      <c r="BW1038" s="4" t="n"/>
      <c r="BX1038" s="4" t="n"/>
      <c r="BY1038" s="4" t="n"/>
      <c r="BZ1038" s="4" t="n"/>
      <c r="CA1038" s="4" t="n"/>
      <c r="CB1038" s="4" t="n"/>
      <c r="CC1038" s="4" t="n"/>
      <c r="CD1038" s="4" t="n"/>
      <c r="CE1038" s="4" t="n"/>
      <c r="CF1038" s="4" t="n"/>
      <c r="CG1038" s="4" t="n"/>
      <c r="CH1038" s="4" t="n"/>
      <c r="CI1038" s="4" t="n"/>
      <c r="CJ1038" s="4" t="n"/>
      <c r="CK1038" s="4" t="n"/>
      <c r="CL1038" s="4" t="n"/>
      <c r="CM1038" s="4" t="n"/>
      <c r="CN1038" s="4" t="n"/>
      <c r="CO1038" s="4" t="n"/>
      <c r="CP1038" s="4" t="n"/>
      <c r="CQ1038" s="4" t="n"/>
      <c r="CR1038" s="4" t="n"/>
      <c r="CS1038" s="4" t="n"/>
      <c r="CT1038" s="4" t="n"/>
      <c r="CU1038" s="4" t="n"/>
      <c r="CV1038" s="4" t="n"/>
      <c r="CW1038" s="4" t="n"/>
      <c r="CX1038" s="4" t="n"/>
      <c r="CY1038" s="4" t="n"/>
      <c r="CZ1038" s="4" t="n"/>
      <c r="DA1038" s="4" t="n"/>
      <c r="DB1038" s="4" t="n"/>
      <c r="DC1038" s="4" t="n"/>
      <c r="DD1038" s="4" t="n"/>
      <c r="DE1038" s="4" t="n"/>
      <c r="DF1038" s="4" t="n"/>
      <c r="DG1038" s="4" t="n"/>
      <c r="DH1038" s="4" t="n"/>
      <c r="DI1038" s="4" t="n"/>
      <c r="DJ1038" s="4" t="n"/>
      <c r="DK1038" s="4" t="n"/>
      <c r="DL1038" s="4" t="n"/>
      <c r="DM1038" s="4" t="n"/>
      <c r="DN1038" s="4" t="n"/>
      <c r="DO1038" s="4" t="n"/>
      <c r="DP1038" s="4" t="n"/>
      <c r="DQ1038" s="4" t="n"/>
      <c r="DR1038" s="4" t="n"/>
      <c r="DS1038" s="4" t="n"/>
      <c r="DT1038" s="4" t="n"/>
      <c r="DU1038" s="4" t="n"/>
      <c r="DV1038" s="4" t="n"/>
      <c r="DW1038" s="4" t="n"/>
      <c r="DX1038" s="4" t="n"/>
      <c r="DY1038" s="4" t="n"/>
      <c r="DZ1038" s="4" t="n"/>
      <c r="EA1038" s="4" t="n"/>
      <c r="EB1038" s="4" t="n"/>
      <c r="EC1038" s="4" t="n"/>
      <c r="ED1038" s="4" t="n"/>
      <c r="EE1038" s="4" t="n"/>
      <c r="EF1038" s="4" t="n"/>
      <c r="EG1038" s="4" t="n"/>
      <c r="EH1038" s="4" t="n"/>
      <c r="EI1038" s="4" t="n"/>
      <c r="EJ1038" s="4" t="n"/>
      <c r="EK1038" s="4" t="n"/>
      <c r="EL1038" s="4" t="n"/>
      <c r="EM1038" s="4" t="n"/>
    </row>
    <row r="1039" hidden="1" customFormat="1" s="6">
      <c r="C1039" s="4" t="n"/>
      <c r="D1039" s="4" t="n"/>
      <c r="E1039" s="4" t="n"/>
      <c r="F1039" s="4" t="n"/>
      <c r="G1039" s="4" t="n"/>
      <c r="H1039" s="4" t="n"/>
      <c r="I1039" s="4" t="n"/>
      <c r="J1039" s="4" t="n"/>
      <c r="K1039" s="4" t="n"/>
      <c r="L1039" s="4" t="n"/>
      <c r="M1039" s="4" t="n"/>
      <c r="N1039" s="4" t="n"/>
      <c r="O1039" s="4" t="n"/>
      <c r="P1039" s="4" t="n"/>
      <c r="Q1039" s="4" t="n"/>
      <c r="R1039" s="4" t="n"/>
      <c r="S1039" s="4" t="n"/>
      <c r="T1039" s="4" t="n"/>
      <c r="U1039" s="4" t="n"/>
      <c r="V1039" s="4" t="n"/>
      <c r="W1039" s="4" t="n"/>
      <c r="X1039" s="4" t="n"/>
      <c r="Y1039" s="4" t="n"/>
      <c r="Z1039" s="4" t="n"/>
      <c r="AA1039" s="4" t="n"/>
      <c r="AB1039" s="4" t="n"/>
      <c r="AC1039" s="4" t="n"/>
      <c r="AD1039" s="4" t="n"/>
      <c r="AE1039" s="4" t="n"/>
      <c r="AF1039" s="4" t="n"/>
      <c r="AG1039" s="4" t="n"/>
      <c r="AH1039" s="4" t="n"/>
      <c r="AI1039" s="4" t="n"/>
      <c r="AJ1039" s="4" t="n"/>
      <c r="AK1039" s="4" t="n"/>
      <c r="AL1039" s="4" t="n"/>
      <c r="AM1039" s="4" t="n"/>
      <c r="AN1039" s="4" t="n"/>
      <c r="AO1039" s="4" t="n"/>
      <c r="AP1039" s="4" t="n"/>
      <c r="AQ1039" s="4" t="n"/>
      <c r="AR1039" s="4" t="n"/>
      <c r="AS1039" s="4" t="n"/>
      <c r="AT1039" s="4" t="n"/>
      <c r="AU1039" s="4" t="n"/>
      <c r="AV1039" s="4" t="n"/>
      <c r="AW1039" s="4" t="n"/>
      <c r="AX1039" s="4" t="n"/>
      <c r="AY1039" s="4" t="n"/>
      <c r="AZ1039" s="4" t="n"/>
      <c r="BA1039" s="4" t="n"/>
      <c r="BB1039" s="4" t="n"/>
      <c r="BC1039" s="4" t="n"/>
      <c r="BD1039" s="4" t="n"/>
      <c r="BE1039" s="4" t="n"/>
      <c r="BF1039" s="4" t="n"/>
      <c r="BG1039" s="4" t="n"/>
      <c r="BH1039" s="4" t="n"/>
      <c r="BI1039" s="4" t="n"/>
      <c r="BJ1039" s="4" t="n"/>
      <c r="BK1039" s="4" t="n"/>
      <c r="BL1039" s="4" t="n"/>
      <c r="BM1039" s="4" t="n"/>
      <c r="BN1039" s="4" t="n"/>
      <c r="BO1039" s="4" t="n"/>
      <c r="BP1039" s="4" t="n"/>
      <c r="BQ1039" s="4" t="n"/>
      <c r="BR1039" s="4" t="n"/>
      <c r="BS1039" s="4" t="n"/>
      <c r="BT1039" s="4" t="n"/>
      <c r="BU1039" s="4" t="n"/>
      <c r="BV1039" s="4" t="n"/>
      <c r="BW1039" s="4" t="n"/>
      <c r="BX1039" s="4" t="n"/>
      <c r="BY1039" s="4" t="n"/>
      <c r="BZ1039" s="4" t="n"/>
      <c r="CA1039" s="4" t="n"/>
      <c r="CB1039" s="4" t="n"/>
      <c r="CC1039" s="4" t="n"/>
      <c r="CD1039" s="4" t="n"/>
      <c r="CE1039" s="4" t="n"/>
      <c r="CF1039" s="4" t="n"/>
      <c r="CG1039" s="4" t="n"/>
      <c r="CH1039" s="4" t="n"/>
      <c r="CI1039" s="4" t="n"/>
      <c r="CJ1039" s="4" t="n"/>
      <c r="CK1039" s="4" t="n"/>
      <c r="CL1039" s="4" t="n"/>
      <c r="CM1039" s="4" t="n"/>
      <c r="CN1039" s="4" t="n"/>
      <c r="CO1039" s="4" t="n"/>
      <c r="CP1039" s="4" t="n"/>
      <c r="CQ1039" s="4" t="n"/>
      <c r="CR1039" s="4" t="n"/>
      <c r="CS1039" s="4" t="n"/>
      <c r="CT1039" s="4" t="n"/>
      <c r="CU1039" s="4" t="n"/>
      <c r="CV1039" s="4" t="n"/>
      <c r="CW1039" s="4" t="n"/>
      <c r="CX1039" s="4" t="n"/>
      <c r="CY1039" s="4" t="n"/>
      <c r="CZ1039" s="4" t="n"/>
      <c r="DA1039" s="4" t="n"/>
      <c r="DB1039" s="4" t="n"/>
      <c r="DC1039" s="4" t="n"/>
      <c r="DD1039" s="4" t="n"/>
      <c r="DE1039" s="4" t="n"/>
      <c r="DF1039" s="4" t="n"/>
      <c r="DG1039" s="4" t="n"/>
      <c r="DH1039" s="4" t="n"/>
      <c r="DI1039" s="4" t="n"/>
      <c r="DJ1039" s="4" t="n"/>
      <c r="DK1039" s="4" t="n"/>
      <c r="DL1039" s="4" t="n"/>
      <c r="DM1039" s="4" t="n"/>
      <c r="DN1039" s="4" t="n"/>
      <c r="DO1039" s="4" t="n"/>
      <c r="DP1039" s="4" t="n"/>
      <c r="DQ1039" s="4" t="n"/>
      <c r="DR1039" s="4" t="n"/>
      <c r="DS1039" s="4" t="n"/>
      <c r="DT1039" s="4" t="n"/>
      <c r="DU1039" s="4" t="n"/>
      <c r="DV1039" s="4" t="n"/>
      <c r="DW1039" s="4" t="n"/>
      <c r="DX1039" s="4" t="n"/>
      <c r="DY1039" s="4" t="n"/>
      <c r="DZ1039" s="4" t="n"/>
      <c r="EA1039" s="4" t="n"/>
      <c r="EB1039" s="4" t="n"/>
      <c r="EC1039" s="4" t="n"/>
      <c r="ED1039" s="4" t="n"/>
      <c r="EE1039" s="4" t="n"/>
      <c r="EF1039" s="4" t="n"/>
      <c r="EG1039" s="4" t="n"/>
      <c r="EH1039" s="4" t="n"/>
      <c r="EI1039" s="4" t="n"/>
      <c r="EJ1039" s="4" t="n"/>
      <c r="EK1039" s="4" t="n"/>
      <c r="EL1039" s="4" t="n"/>
      <c r="EM1039" s="4" t="n"/>
    </row>
    <row r="1040" hidden="1" customFormat="1" s="6">
      <c r="C1040" s="4" t="n"/>
      <c r="D1040" s="4" t="n"/>
      <c r="E1040" s="4" t="n"/>
      <c r="F1040" s="4" t="n"/>
      <c r="G1040" s="4" t="n"/>
      <c r="H1040" s="4" t="n"/>
      <c r="I1040" s="4" t="n"/>
      <c r="J1040" s="4" t="n"/>
      <c r="K1040" s="4" t="n"/>
      <c r="L1040" s="4" t="n"/>
      <c r="M1040" s="4" t="n"/>
      <c r="N1040" s="4" t="n"/>
      <c r="O1040" s="4" t="n"/>
      <c r="P1040" s="4" t="n"/>
      <c r="Q1040" s="4" t="n"/>
      <c r="R1040" s="4" t="n"/>
      <c r="S1040" s="4" t="n"/>
      <c r="T1040" s="4" t="n"/>
      <c r="U1040" s="4" t="n"/>
      <c r="V1040" s="4" t="n"/>
      <c r="W1040" s="4" t="n"/>
      <c r="X1040" s="4" t="n"/>
      <c r="Y1040" s="4" t="n"/>
      <c r="Z1040" s="4" t="n"/>
      <c r="AA1040" s="4" t="n"/>
      <c r="AB1040" s="4" t="n"/>
      <c r="AC1040" s="4" t="n"/>
      <c r="AD1040" s="4" t="n"/>
      <c r="AE1040" s="4" t="n"/>
      <c r="AF1040" s="4" t="n"/>
      <c r="AG1040" s="4" t="n"/>
      <c r="AH1040" s="4" t="n"/>
      <c r="AI1040" s="4" t="n"/>
      <c r="AJ1040" s="4" t="n"/>
      <c r="AK1040" s="4" t="n"/>
      <c r="AL1040" s="4" t="n"/>
      <c r="AM1040" s="4" t="n"/>
      <c r="AN1040" s="4" t="n"/>
      <c r="AO1040" s="4" t="n"/>
      <c r="AP1040" s="4" t="n"/>
      <c r="AQ1040" s="4" t="n"/>
      <c r="AR1040" s="4" t="n"/>
      <c r="AS1040" s="4" t="n"/>
      <c r="AT1040" s="4" t="n"/>
      <c r="AU1040" s="4" t="n"/>
      <c r="AV1040" s="4" t="n"/>
      <c r="AW1040" s="4" t="n"/>
      <c r="AX1040" s="4" t="n"/>
      <c r="AY1040" s="4" t="n"/>
      <c r="AZ1040" s="4" t="n"/>
      <c r="BA1040" s="4" t="n"/>
      <c r="BB1040" s="4" t="n"/>
      <c r="BC1040" s="4" t="n"/>
      <c r="BD1040" s="4" t="n"/>
      <c r="BE1040" s="4" t="n"/>
      <c r="BF1040" s="4" t="n"/>
      <c r="BG1040" s="4" t="n"/>
      <c r="BH1040" s="4" t="n"/>
      <c r="BI1040" s="4" t="n"/>
      <c r="BJ1040" s="4" t="n"/>
      <c r="BK1040" s="4" t="n"/>
      <c r="BL1040" s="4" t="n"/>
      <c r="BM1040" s="4" t="n"/>
      <c r="BN1040" s="4" t="n"/>
      <c r="BO1040" s="4" t="n"/>
      <c r="BP1040" s="4" t="n"/>
      <c r="BQ1040" s="4" t="n"/>
      <c r="BR1040" s="4" t="n"/>
      <c r="BS1040" s="4" t="n"/>
      <c r="BT1040" s="4" t="n"/>
      <c r="BU1040" s="4" t="n"/>
      <c r="BV1040" s="4" t="n"/>
      <c r="BW1040" s="4" t="n"/>
      <c r="BX1040" s="4" t="n"/>
      <c r="BY1040" s="4" t="n"/>
      <c r="BZ1040" s="4" t="n"/>
      <c r="CA1040" s="4" t="n"/>
      <c r="CB1040" s="4" t="n"/>
      <c r="CC1040" s="4" t="n"/>
      <c r="CD1040" s="4" t="n"/>
      <c r="CE1040" s="4" t="n"/>
      <c r="CF1040" s="4" t="n"/>
      <c r="CG1040" s="4" t="n"/>
      <c r="CH1040" s="4" t="n"/>
      <c r="CI1040" s="4" t="n"/>
      <c r="CJ1040" s="4" t="n"/>
      <c r="CK1040" s="4" t="n"/>
      <c r="CL1040" s="4" t="n"/>
      <c r="CM1040" s="4" t="n"/>
      <c r="CN1040" s="4" t="n"/>
      <c r="CO1040" s="4" t="n"/>
      <c r="CP1040" s="4" t="n"/>
      <c r="CQ1040" s="4" t="n"/>
      <c r="CR1040" s="4" t="n"/>
      <c r="CS1040" s="4" t="n"/>
      <c r="CT1040" s="4" t="n"/>
      <c r="CU1040" s="4" t="n"/>
      <c r="CV1040" s="4" t="n"/>
      <c r="CW1040" s="4" t="n"/>
      <c r="CX1040" s="4" t="n"/>
      <c r="CY1040" s="4" t="n"/>
      <c r="CZ1040" s="4" t="n"/>
      <c r="DA1040" s="4" t="n"/>
      <c r="DB1040" s="4" t="n"/>
      <c r="DC1040" s="4" t="n"/>
      <c r="DD1040" s="4" t="n"/>
      <c r="DE1040" s="4" t="n"/>
      <c r="DF1040" s="4" t="n"/>
      <c r="DG1040" s="4" t="n"/>
      <c r="DH1040" s="4" t="n"/>
      <c r="DI1040" s="4" t="n"/>
      <c r="DJ1040" s="4" t="n"/>
      <c r="DK1040" s="4" t="n"/>
      <c r="DL1040" s="4" t="n"/>
      <c r="DM1040" s="4" t="n"/>
      <c r="DN1040" s="4" t="n"/>
      <c r="DO1040" s="4" t="n"/>
      <c r="DP1040" s="4" t="n"/>
      <c r="DQ1040" s="4" t="n"/>
      <c r="DR1040" s="4" t="n"/>
      <c r="DS1040" s="4" t="n"/>
      <c r="DT1040" s="4" t="n"/>
      <c r="DU1040" s="4" t="n"/>
      <c r="DV1040" s="4" t="n"/>
      <c r="DW1040" s="4" t="n"/>
      <c r="DX1040" s="4" t="n"/>
      <c r="DY1040" s="4" t="n"/>
      <c r="DZ1040" s="4" t="n"/>
      <c r="EA1040" s="4" t="n"/>
      <c r="EB1040" s="4" t="n"/>
      <c r="EC1040" s="4" t="n"/>
      <c r="ED1040" s="4" t="n"/>
      <c r="EE1040" s="4" t="n"/>
      <c r="EF1040" s="4" t="n"/>
      <c r="EG1040" s="4" t="n"/>
      <c r="EH1040" s="4" t="n"/>
      <c r="EI1040" s="4" t="n"/>
      <c r="EJ1040" s="4" t="n"/>
      <c r="EK1040" s="4" t="n"/>
      <c r="EL1040" s="4" t="n"/>
      <c r="EM1040" s="4" t="n"/>
    </row>
    <row r="1041" hidden="1" customFormat="1" s="6">
      <c r="C1041" s="4" t="n"/>
      <c r="D1041" s="4" t="n"/>
      <c r="E1041" s="4" t="n"/>
      <c r="F1041" s="4" t="n"/>
      <c r="G1041" s="4" t="n"/>
      <c r="H1041" s="4" t="n"/>
      <c r="I1041" s="4" t="n"/>
      <c r="J1041" s="4" t="n"/>
      <c r="K1041" s="4" t="n"/>
      <c r="L1041" s="4" t="n"/>
      <c r="M1041" s="4" t="n"/>
      <c r="N1041" s="4" t="n"/>
      <c r="O1041" s="4" t="n"/>
      <c r="P1041" s="4" t="n"/>
      <c r="Q1041" s="4" t="n"/>
      <c r="R1041" s="4" t="n"/>
      <c r="S1041" s="4" t="n"/>
      <c r="T1041" s="4" t="n"/>
      <c r="U1041" s="4" t="n"/>
      <c r="V1041" s="4" t="n"/>
      <c r="W1041" s="4" t="n"/>
      <c r="X1041" s="4" t="n"/>
      <c r="Y1041" s="4" t="n"/>
      <c r="Z1041" s="4" t="n"/>
      <c r="AA1041" s="4" t="n"/>
      <c r="AB1041" s="4" t="n"/>
      <c r="AC1041" s="4" t="n"/>
      <c r="AD1041" s="4" t="n"/>
      <c r="AE1041" s="4" t="n"/>
      <c r="AF1041" s="4" t="n"/>
      <c r="AG1041" s="4" t="n"/>
      <c r="AH1041" s="4" t="n"/>
      <c r="AI1041" s="4" t="n"/>
      <c r="AJ1041" s="4" t="n"/>
      <c r="AK1041" s="4" t="n"/>
      <c r="AL1041" s="4" t="n"/>
      <c r="AM1041" s="4" t="n"/>
      <c r="AN1041" s="4" t="n"/>
      <c r="AO1041" s="4" t="n"/>
      <c r="AP1041" s="4" t="n"/>
      <c r="AQ1041" s="4" t="n"/>
      <c r="AR1041" s="4" t="n"/>
      <c r="AS1041" s="4" t="n"/>
      <c r="AT1041" s="4" t="n"/>
      <c r="AU1041" s="4" t="n"/>
      <c r="AV1041" s="4" t="n"/>
      <c r="AW1041" s="4" t="n"/>
      <c r="AX1041" s="4" t="n"/>
      <c r="AY1041" s="4" t="n"/>
      <c r="AZ1041" s="4" t="n"/>
      <c r="BA1041" s="4" t="n"/>
      <c r="BB1041" s="4" t="n"/>
      <c r="BC1041" s="4" t="n"/>
      <c r="BD1041" s="4" t="n"/>
      <c r="BE1041" s="4" t="n"/>
      <c r="BF1041" s="4" t="n"/>
      <c r="BG1041" s="4" t="n"/>
      <c r="BH1041" s="4" t="n"/>
      <c r="BI1041" s="4" t="n"/>
      <c r="BJ1041" s="4" t="n"/>
      <c r="BK1041" s="4" t="n"/>
      <c r="BL1041" s="4" t="n"/>
      <c r="BM1041" s="4" t="n"/>
      <c r="BN1041" s="4" t="n"/>
      <c r="BO1041" s="4" t="n"/>
      <c r="BP1041" s="4" t="n"/>
      <c r="BQ1041" s="4" t="n"/>
      <c r="BR1041" s="4" t="n"/>
      <c r="BS1041" s="4" t="n"/>
      <c r="BT1041" s="4" t="n"/>
      <c r="BU1041" s="4" t="n"/>
      <c r="BV1041" s="4" t="n"/>
      <c r="BW1041" s="4" t="n"/>
      <c r="BX1041" s="4" t="n"/>
      <c r="BY1041" s="4" t="n"/>
      <c r="BZ1041" s="4" t="n"/>
      <c r="CA1041" s="4" t="n"/>
      <c r="CB1041" s="4" t="n"/>
      <c r="CC1041" s="4" t="n"/>
      <c r="CD1041" s="4" t="n"/>
      <c r="CE1041" s="4" t="n"/>
      <c r="CF1041" s="4" t="n"/>
      <c r="CG1041" s="4" t="n"/>
      <c r="CH1041" s="4" t="n"/>
      <c r="CI1041" s="4" t="n"/>
      <c r="CJ1041" s="4" t="n"/>
      <c r="CK1041" s="4" t="n"/>
      <c r="CL1041" s="4" t="n"/>
      <c r="CM1041" s="4" t="n"/>
      <c r="CN1041" s="4" t="n"/>
      <c r="CO1041" s="4" t="n"/>
      <c r="CP1041" s="4" t="n"/>
      <c r="CQ1041" s="4" t="n"/>
      <c r="CR1041" s="4" t="n"/>
      <c r="CS1041" s="4" t="n"/>
      <c r="CT1041" s="4" t="n"/>
      <c r="CU1041" s="4" t="n"/>
      <c r="CV1041" s="4" t="n"/>
      <c r="CW1041" s="4" t="n"/>
      <c r="CX1041" s="4" t="n"/>
      <c r="CY1041" s="4" t="n"/>
      <c r="CZ1041" s="4" t="n"/>
      <c r="DA1041" s="4" t="n"/>
      <c r="DB1041" s="4" t="n"/>
      <c r="DC1041" s="4" t="n"/>
      <c r="DD1041" s="4" t="n"/>
      <c r="DE1041" s="4" t="n"/>
      <c r="DF1041" s="4" t="n"/>
      <c r="DG1041" s="4" t="n"/>
      <c r="DH1041" s="4" t="n"/>
      <c r="DI1041" s="4" t="n"/>
      <c r="DJ1041" s="4" t="n"/>
      <c r="DK1041" s="4" t="n"/>
      <c r="DL1041" s="4" t="n"/>
      <c r="DM1041" s="4" t="n"/>
      <c r="DN1041" s="4" t="n"/>
      <c r="DO1041" s="4" t="n"/>
      <c r="DP1041" s="4" t="n"/>
      <c r="DQ1041" s="4" t="n"/>
      <c r="DR1041" s="4" t="n"/>
      <c r="DS1041" s="4" t="n"/>
      <c r="DT1041" s="4" t="n"/>
      <c r="DU1041" s="4" t="n"/>
      <c r="DV1041" s="4" t="n"/>
      <c r="DW1041" s="4" t="n"/>
      <c r="DX1041" s="4" t="n"/>
      <c r="DY1041" s="4" t="n"/>
      <c r="DZ1041" s="4" t="n"/>
      <c r="EA1041" s="4" t="n"/>
      <c r="EB1041" s="4" t="n"/>
      <c r="EC1041" s="4" t="n"/>
      <c r="ED1041" s="4" t="n"/>
      <c r="EE1041" s="4" t="n"/>
      <c r="EF1041" s="4" t="n"/>
      <c r="EG1041" s="4" t="n"/>
      <c r="EH1041" s="4" t="n"/>
      <c r="EI1041" s="4" t="n"/>
      <c r="EJ1041" s="4" t="n"/>
      <c r="EK1041" s="4" t="n"/>
      <c r="EL1041" s="4" t="n"/>
      <c r="EM1041" s="4" t="n"/>
    </row>
    <row r="1042" hidden="1" customFormat="1" s="6">
      <c r="C1042" s="4" t="n"/>
      <c r="D1042" s="4" t="n"/>
      <c r="E1042" s="4" t="n"/>
      <c r="F1042" s="4" t="n"/>
      <c r="G1042" s="4" t="n"/>
      <c r="H1042" s="4" t="n"/>
      <c r="I1042" s="4" t="n"/>
      <c r="J1042" s="4" t="n"/>
      <c r="K1042" s="4" t="n"/>
      <c r="L1042" s="4" t="n"/>
      <c r="M1042" s="4" t="n"/>
      <c r="N1042" s="4" t="n"/>
      <c r="O1042" s="4" t="n"/>
      <c r="P1042" s="4" t="n"/>
      <c r="Q1042" s="4" t="n"/>
      <c r="R1042" s="4" t="n"/>
      <c r="S1042" s="4" t="n"/>
      <c r="T1042" s="4" t="n"/>
      <c r="U1042" s="4" t="n"/>
      <c r="V1042" s="4" t="n"/>
      <c r="W1042" s="4" t="n"/>
      <c r="X1042" s="4" t="n"/>
      <c r="Y1042" s="4" t="n"/>
      <c r="Z1042" s="4" t="n"/>
      <c r="AA1042" s="4" t="n"/>
      <c r="AB1042" s="4" t="n"/>
      <c r="AC1042" s="4" t="n"/>
      <c r="AD1042" s="4" t="n"/>
      <c r="AE1042" s="4" t="n"/>
      <c r="AF1042" s="4" t="n"/>
      <c r="AG1042" s="4" t="n"/>
      <c r="AH1042" s="4" t="n"/>
      <c r="AI1042" s="4" t="n"/>
      <c r="AJ1042" s="4" t="n"/>
      <c r="AK1042" s="4" t="n"/>
      <c r="AL1042" s="4" t="n"/>
      <c r="AM1042" s="4" t="n"/>
      <c r="AN1042" s="4" t="n"/>
      <c r="AO1042" s="4" t="n"/>
      <c r="AP1042" s="4" t="n"/>
      <c r="AQ1042" s="4" t="n"/>
      <c r="AR1042" s="4" t="n"/>
      <c r="AS1042" s="4" t="n"/>
      <c r="AT1042" s="4" t="n"/>
      <c r="AU1042" s="4" t="n"/>
      <c r="AV1042" s="4" t="n"/>
      <c r="AW1042" s="4" t="n"/>
      <c r="AX1042" s="4" t="n"/>
      <c r="AY1042" s="4" t="n"/>
      <c r="AZ1042" s="4" t="n"/>
      <c r="BA1042" s="4" t="n"/>
      <c r="BB1042" s="4" t="n"/>
      <c r="BC1042" s="4" t="n"/>
      <c r="BD1042" s="4" t="n"/>
      <c r="BE1042" s="4" t="n"/>
      <c r="BF1042" s="4" t="n"/>
      <c r="BG1042" s="4" t="n"/>
      <c r="BH1042" s="4" t="n"/>
      <c r="BI1042" s="4" t="n"/>
      <c r="BJ1042" s="4" t="n"/>
      <c r="BK1042" s="4" t="n"/>
      <c r="BL1042" s="4" t="n"/>
      <c r="BM1042" s="4" t="n"/>
      <c r="BN1042" s="4" t="n"/>
      <c r="BO1042" s="4" t="n"/>
      <c r="BP1042" s="4" t="n"/>
      <c r="BQ1042" s="4" t="n"/>
      <c r="BR1042" s="4" t="n"/>
      <c r="BS1042" s="4" t="n"/>
      <c r="BT1042" s="4" t="n"/>
      <c r="BU1042" s="4" t="n"/>
      <c r="BV1042" s="4" t="n"/>
      <c r="BW1042" s="4" t="n"/>
      <c r="BX1042" s="4" t="n"/>
      <c r="BY1042" s="4" t="n"/>
      <c r="BZ1042" s="4" t="n"/>
      <c r="CA1042" s="4" t="n"/>
      <c r="CB1042" s="4" t="n"/>
      <c r="CC1042" s="4" t="n"/>
      <c r="CD1042" s="4" t="n"/>
      <c r="CE1042" s="4" t="n"/>
      <c r="CF1042" s="4" t="n"/>
      <c r="CG1042" s="4" t="n"/>
      <c r="CH1042" s="4" t="n"/>
      <c r="CI1042" s="4" t="n"/>
      <c r="CJ1042" s="4" t="n"/>
      <c r="CK1042" s="4" t="n"/>
      <c r="CL1042" s="4" t="n"/>
      <c r="CM1042" s="4" t="n"/>
      <c r="CN1042" s="4" t="n"/>
      <c r="CO1042" s="4" t="n"/>
      <c r="CP1042" s="4" t="n"/>
      <c r="CQ1042" s="4" t="n"/>
      <c r="CR1042" s="4" t="n"/>
      <c r="CS1042" s="4" t="n"/>
      <c r="CT1042" s="4" t="n"/>
      <c r="CU1042" s="4" t="n"/>
      <c r="CV1042" s="4" t="n"/>
      <c r="CW1042" s="4" t="n"/>
      <c r="CX1042" s="4" t="n"/>
      <c r="CY1042" s="4" t="n"/>
      <c r="CZ1042" s="4" t="n"/>
      <c r="DA1042" s="4" t="n"/>
      <c r="DB1042" s="4" t="n"/>
      <c r="DC1042" s="4" t="n"/>
      <c r="DD1042" s="4" t="n"/>
      <c r="DE1042" s="4" t="n"/>
      <c r="DF1042" s="4" t="n"/>
      <c r="DG1042" s="4" t="n"/>
      <c r="DH1042" s="4" t="n"/>
      <c r="DI1042" s="4" t="n"/>
      <c r="DJ1042" s="4" t="n"/>
      <c r="DK1042" s="4" t="n"/>
      <c r="DL1042" s="4" t="n"/>
      <c r="DM1042" s="4" t="n"/>
      <c r="DN1042" s="4" t="n"/>
      <c r="DO1042" s="4" t="n"/>
      <c r="DP1042" s="4" t="n"/>
      <c r="DQ1042" s="4" t="n"/>
      <c r="DR1042" s="4" t="n"/>
      <c r="DS1042" s="4" t="n"/>
      <c r="DT1042" s="4" t="n"/>
      <c r="DU1042" s="4" t="n"/>
      <c r="DV1042" s="4" t="n"/>
      <c r="DW1042" s="4" t="n"/>
      <c r="DX1042" s="4" t="n"/>
      <c r="DY1042" s="4" t="n"/>
      <c r="DZ1042" s="4" t="n"/>
      <c r="EA1042" s="4" t="n"/>
      <c r="EB1042" s="4" t="n"/>
      <c r="EC1042" s="4" t="n"/>
      <c r="ED1042" s="4" t="n"/>
      <c r="EE1042" s="4" t="n"/>
      <c r="EF1042" s="4" t="n"/>
      <c r="EG1042" s="4" t="n"/>
      <c r="EH1042" s="4" t="n"/>
      <c r="EI1042" s="4" t="n"/>
      <c r="EJ1042" s="4" t="n"/>
      <c r="EK1042" s="4" t="n"/>
      <c r="EL1042" s="4" t="n"/>
      <c r="EM1042" s="4" t="n"/>
    </row>
    <row r="1043" hidden="1" customFormat="1" s="6">
      <c r="C1043" s="4" t="n"/>
      <c r="D1043" s="4" t="n"/>
      <c r="E1043" s="4" t="n"/>
      <c r="F1043" s="4" t="n"/>
      <c r="G1043" s="4" t="n"/>
      <c r="H1043" s="4" t="n"/>
      <c r="I1043" s="4" t="n"/>
      <c r="J1043" s="4" t="n"/>
      <c r="K1043" s="4" t="n"/>
      <c r="L1043" s="4" t="n"/>
      <c r="M1043" s="4" t="n"/>
      <c r="N1043" s="4" t="n"/>
      <c r="O1043" s="4" t="n"/>
      <c r="P1043" s="4" t="n"/>
      <c r="Q1043" s="4" t="n"/>
      <c r="R1043" s="4" t="n"/>
      <c r="S1043" s="4" t="n"/>
      <c r="T1043" s="4" t="n"/>
      <c r="U1043" s="4" t="n"/>
      <c r="V1043" s="4" t="n"/>
      <c r="W1043" s="4" t="n"/>
      <c r="X1043" s="4" t="n"/>
      <c r="Y1043" s="4" t="n"/>
      <c r="Z1043" s="4" t="n"/>
      <c r="AA1043" s="4" t="n"/>
      <c r="AB1043" s="4" t="n"/>
      <c r="AC1043" s="4" t="n"/>
      <c r="AD1043" s="4" t="n"/>
      <c r="AE1043" s="4" t="n"/>
      <c r="AF1043" s="4" t="n"/>
      <c r="AG1043" s="4" t="n"/>
      <c r="AH1043" s="4" t="n"/>
      <c r="AI1043" s="4" t="n"/>
      <c r="AJ1043" s="4" t="n"/>
      <c r="AK1043" s="4" t="n"/>
      <c r="AL1043" s="4" t="n"/>
      <c r="AM1043" s="4" t="n"/>
      <c r="AN1043" s="4" t="n"/>
      <c r="AO1043" s="4" t="n"/>
      <c r="AP1043" s="4" t="n"/>
      <c r="AQ1043" s="4" t="n"/>
      <c r="AR1043" s="4" t="n"/>
      <c r="AS1043" s="4" t="n"/>
      <c r="AT1043" s="4" t="n"/>
      <c r="AU1043" s="4" t="n"/>
      <c r="AV1043" s="4" t="n"/>
      <c r="AW1043" s="4" t="n"/>
      <c r="AX1043" s="4" t="n"/>
      <c r="AY1043" s="4" t="n"/>
      <c r="AZ1043" s="4" t="n"/>
      <c r="BA1043" s="4" t="n"/>
      <c r="BB1043" s="4" t="n"/>
      <c r="BC1043" s="4" t="n"/>
      <c r="BD1043" s="4" t="n"/>
      <c r="BE1043" s="4" t="n"/>
      <c r="BF1043" s="4" t="n"/>
      <c r="BG1043" s="4" t="n"/>
      <c r="BH1043" s="4" t="n"/>
      <c r="BI1043" s="4" t="n"/>
      <c r="BJ1043" s="4" t="n"/>
      <c r="BK1043" s="4" t="n"/>
      <c r="BL1043" s="4" t="n"/>
      <c r="BM1043" s="4" t="n"/>
      <c r="BN1043" s="4" t="n"/>
      <c r="BO1043" s="4" t="n"/>
      <c r="BP1043" s="4" t="n"/>
      <c r="BQ1043" s="4" t="n"/>
      <c r="BR1043" s="4" t="n"/>
      <c r="BS1043" s="4" t="n"/>
      <c r="BT1043" s="4" t="n"/>
      <c r="BU1043" s="4" t="n"/>
      <c r="BV1043" s="4" t="n"/>
      <c r="BW1043" s="4" t="n"/>
      <c r="BX1043" s="4" t="n"/>
      <c r="BY1043" s="4" t="n"/>
      <c r="BZ1043" s="4" t="n"/>
      <c r="CA1043" s="4" t="n"/>
      <c r="CB1043" s="4" t="n"/>
      <c r="CC1043" s="4" t="n"/>
      <c r="CD1043" s="4" t="n"/>
      <c r="CE1043" s="4" t="n"/>
      <c r="CF1043" s="4" t="n"/>
      <c r="CG1043" s="4" t="n"/>
      <c r="CH1043" s="4" t="n"/>
      <c r="CI1043" s="4" t="n"/>
      <c r="CJ1043" s="4" t="n"/>
      <c r="CK1043" s="4" t="n"/>
      <c r="CL1043" s="4" t="n"/>
      <c r="CM1043" s="4" t="n"/>
      <c r="CN1043" s="4" t="n"/>
      <c r="CO1043" s="4" t="n"/>
      <c r="CP1043" s="4" t="n"/>
      <c r="CQ1043" s="4" t="n"/>
      <c r="CR1043" s="4" t="n"/>
      <c r="CS1043" s="4" t="n"/>
      <c r="CT1043" s="4" t="n"/>
      <c r="CU1043" s="4" t="n"/>
      <c r="CV1043" s="4" t="n"/>
      <c r="CW1043" s="4" t="n"/>
      <c r="CX1043" s="4" t="n"/>
      <c r="CY1043" s="4" t="n"/>
      <c r="CZ1043" s="4" t="n"/>
      <c r="DA1043" s="4" t="n"/>
      <c r="DB1043" s="4" t="n"/>
      <c r="DC1043" s="4" t="n"/>
      <c r="DD1043" s="4" t="n"/>
      <c r="DE1043" s="4" t="n"/>
      <c r="DF1043" s="4" t="n"/>
      <c r="DG1043" s="4" t="n"/>
      <c r="DH1043" s="4" t="n"/>
      <c r="DI1043" s="4" t="n"/>
      <c r="DJ1043" s="4" t="n"/>
      <c r="DK1043" s="4" t="n"/>
      <c r="DL1043" s="4" t="n"/>
      <c r="DM1043" s="4" t="n"/>
      <c r="DN1043" s="4" t="n"/>
      <c r="DO1043" s="4" t="n"/>
      <c r="DP1043" s="4" t="n"/>
      <c r="DQ1043" s="4" t="n"/>
      <c r="DR1043" s="4" t="n"/>
      <c r="DS1043" s="4" t="n"/>
      <c r="DT1043" s="4" t="n"/>
      <c r="DU1043" s="4" t="n"/>
      <c r="DV1043" s="4" t="n"/>
      <c r="DW1043" s="4" t="n"/>
      <c r="DX1043" s="4" t="n"/>
      <c r="DY1043" s="4" t="n"/>
      <c r="DZ1043" s="4" t="n"/>
      <c r="EA1043" s="4" t="n"/>
      <c r="EB1043" s="4" t="n"/>
      <c r="EC1043" s="4" t="n"/>
      <c r="ED1043" s="4" t="n"/>
      <c r="EE1043" s="4" t="n"/>
      <c r="EF1043" s="4" t="n"/>
      <c r="EG1043" s="4" t="n"/>
      <c r="EH1043" s="4" t="n"/>
      <c r="EI1043" s="4" t="n"/>
      <c r="EJ1043" s="4" t="n"/>
      <c r="EK1043" s="4" t="n"/>
      <c r="EL1043" s="4" t="n"/>
      <c r="EM1043" s="4" t="n"/>
    </row>
    <row r="1044" hidden="1" customFormat="1" s="6">
      <c r="C1044" s="4" t="n"/>
      <c r="D1044" s="4" t="n"/>
      <c r="E1044" s="4" t="n"/>
      <c r="F1044" s="4" t="n"/>
      <c r="G1044" s="4" t="n"/>
      <c r="H1044" s="4" t="n"/>
      <c r="I1044" s="4" t="n"/>
      <c r="J1044" s="4" t="n"/>
      <c r="K1044" s="4" t="n"/>
      <c r="L1044" s="4" t="n"/>
      <c r="M1044" s="4" t="n"/>
      <c r="N1044" s="4" t="n"/>
      <c r="O1044" s="4" t="n"/>
      <c r="P1044" s="4" t="n"/>
      <c r="Q1044" s="4" t="n"/>
      <c r="R1044" s="4" t="n"/>
      <c r="S1044" s="4" t="n"/>
      <c r="T1044" s="4" t="n"/>
      <c r="U1044" s="4" t="n"/>
      <c r="V1044" s="4" t="n"/>
      <c r="W1044" s="4" t="n"/>
      <c r="X1044" s="4" t="n"/>
      <c r="Y1044" s="4" t="n"/>
      <c r="Z1044" s="4" t="n"/>
      <c r="AA1044" s="4" t="n"/>
      <c r="AB1044" s="4" t="n"/>
      <c r="AC1044" s="4" t="n"/>
      <c r="AD1044" s="4" t="n"/>
      <c r="AE1044" s="4" t="n"/>
      <c r="AF1044" s="4" t="n"/>
      <c r="AG1044" s="4" t="n"/>
      <c r="AH1044" s="4" t="n"/>
      <c r="AI1044" s="4" t="n"/>
      <c r="AJ1044" s="4" t="n"/>
      <c r="AK1044" s="4" t="n"/>
      <c r="AL1044" s="4" t="n"/>
      <c r="AM1044" s="4" t="n"/>
      <c r="AN1044" s="4" t="n"/>
      <c r="AO1044" s="4" t="n"/>
      <c r="AP1044" s="4" t="n"/>
      <c r="AQ1044" s="4" t="n"/>
      <c r="AR1044" s="4" t="n"/>
      <c r="AS1044" s="4" t="n"/>
      <c r="AT1044" s="4" t="n"/>
      <c r="AU1044" s="4" t="n"/>
      <c r="AV1044" s="4" t="n"/>
      <c r="AW1044" s="4" t="n"/>
      <c r="AX1044" s="4" t="n"/>
      <c r="AY1044" s="4" t="n"/>
      <c r="AZ1044" s="4" t="n"/>
      <c r="BA1044" s="4" t="n"/>
      <c r="BB1044" s="4" t="n"/>
      <c r="BC1044" s="4" t="n"/>
      <c r="BD1044" s="4" t="n"/>
      <c r="BE1044" s="4" t="n"/>
      <c r="BF1044" s="4" t="n"/>
      <c r="BG1044" s="4" t="n"/>
      <c r="BH1044" s="4" t="n"/>
      <c r="BI1044" s="4" t="n"/>
      <c r="BJ1044" s="4" t="n"/>
      <c r="BK1044" s="4" t="n"/>
      <c r="BL1044" s="4" t="n"/>
      <c r="BM1044" s="4" t="n"/>
      <c r="BN1044" s="4" t="n"/>
      <c r="BO1044" s="4" t="n"/>
      <c r="BP1044" s="4" t="n"/>
      <c r="BQ1044" s="4" t="n"/>
      <c r="BR1044" s="4" t="n"/>
      <c r="BS1044" s="4" t="n"/>
      <c r="BT1044" s="4" t="n"/>
      <c r="BU1044" s="4" t="n"/>
      <c r="BV1044" s="4" t="n"/>
      <c r="BW1044" s="4" t="n"/>
      <c r="BX1044" s="4" t="n"/>
      <c r="BY1044" s="4" t="n"/>
      <c r="BZ1044" s="4" t="n"/>
      <c r="CA1044" s="4" t="n"/>
      <c r="CB1044" s="4" t="n"/>
      <c r="CC1044" s="4" t="n"/>
      <c r="CD1044" s="4" t="n"/>
      <c r="CE1044" s="4" t="n"/>
      <c r="CF1044" s="4" t="n"/>
      <c r="CG1044" s="4" t="n"/>
      <c r="CH1044" s="4" t="n"/>
      <c r="CI1044" s="4" t="n"/>
      <c r="CJ1044" s="4" t="n"/>
      <c r="CK1044" s="4" t="n"/>
      <c r="CL1044" s="4" t="n"/>
      <c r="CM1044" s="4" t="n"/>
      <c r="CN1044" s="4" t="n"/>
      <c r="CO1044" s="4" t="n"/>
      <c r="CP1044" s="4" t="n"/>
      <c r="CQ1044" s="4" t="n"/>
      <c r="CR1044" s="4" t="n"/>
      <c r="CS1044" s="4" t="n"/>
      <c r="CT1044" s="4" t="n"/>
      <c r="CU1044" s="4" t="n"/>
      <c r="CV1044" s="4" t="n"/>
      <c r="CW1044" s="4" t="n"/>
      <c r="CX1044" s="4" t="n"/>
      <c r="CY1044" s="4" t="n"/>
      <c r="CZ1044" s="4" t="n"/>
      <c r="DA1044" s="4" t="n"/>
      <c r="DB1044" s="4" t="n"/>
      <c r="DC1044" s="4" t="n"/>
      <c r="DD1044" s="4" t="n"/>
      <c r="DE1044" s="4" t="n"/>
      <c r="DF1044" s="4" t="n"/>
      <c r="DG1044" s="4" t="n"/>
      <c r="DH1044" s="4" t="n"/>
      <c r="DI1044" s="4" t="n"/>
      <c r="DJ1044" s="4" t="n"/>
      <c r="DK1044" s="4" t="n"/>
      <c r="DL1044" s="4" t="n"/>
      <c r="DM1044" s="4" t="n"/>
      <c r="DN1044" s="4" t="n"/>
      <c r="DO1044" s="4" t="n"/>
      <c r="DP1044" s="4" t="n"/>
      <c r="DQ1044" s="4" t="n"/>
      <c r="DR1044" s="4" t="n"/>
      <c r="DS1044" s="4" t="n"/>
      <c r="DT1044" s="4" t="n"/>
      <c r="DU1044" s="4" t="n"/>
      <c r="DV1044" s="4" t="n"/>
      <c r="DW1044" s="4" t="n"/>
      <c r="DX1044" s="4" t="n"/>
      <c r="DY1044" s="4" t="n"/>
      <c r="DZ1044" s="4" t="n"/>
      <c r="EA1044" s="4" t="n"/>
      <c r="EB1044" s="4" t="n"/>
      <c r="EC1044" s="4" t="n"/>
      <c r="ED1044" s="4" t="n"/>
      <c r="EE1044" s="4" t="n"/>
      <c r="EF1044" s="4" t="n"/>
      <c r="EG1044" s="4" t="n"/>
      <c r="EH1044" s="4" t="n"/>
      <c r="EI1044" s="4" t="n"/>
      <c r="EJ1044" s="4" t="n"/>
      <c r="EK1044" s="4" t="n"/>
      <c r="EL1044" s="4" t="n"/>
      <c r="EM1044" s="4" t="n"/>
    </row>
    <row r="1045" hidden="1" customFormat="1" s="6">
      <c r="C1045" s="4" t="n"/>
      <c r="D1045" s="4" t="n"/>
      <c r="E1045" s="4" t="n"/>
      <c r="F1045" s="4" t="n"/>
      <c r="G1045" s="4" t="n"/>
      <c r="H1045" s="4" t="n"/>
      <c r="I1045" s="4" t="n"/>
      <c r="J1045" s="4" t="n"/>
      <c r="K1045" s="4" t="n"/>
      <c r="L1045" s="4" t="n"/>
      <c r="M1045" s="4" t="n"/>
      <c r="N1045" s="4" t="n"/>
      <c r="O1045" s="4" t="n"/>
      <c r="P1045" s="4" t="n"/>
      <c r="Q1045" s="4" t="n"/>
      <c r="R1045" s="4" t="n"/>
      <c r="S1045" s="4" t="n"/>
      <c r="T1045" s="4" t="n"/>
      <c r="U1045" s="4" t="n"/>
      <c r="V1045" s="4" t="n"/>
      <c r="W1045" s="4" t="n"/>
      <c r="X1045" s="4" t="n"/>
      <c r="Y1045" s="4" t="n"/>
      <c r="Z1045" s="4" t="n"/>
      <c r="AA1045" s="4" t="n"/>
      <c r="AB1045" s="4" t="n"/>
      <c r="AC1045" s="4" t="n"/>
      <c r="AD1045" s="4" t="n"/>
      <c r="AE1045" s="4" t="n"/>
      <c r="AF1045" s="4" t="n"/>
      <c r="AG1045" s="4" t="n"/>
      <c r="AH1045" s="4" t="n"/>
      <c r="AI1045" s="4" t="n"/>
      <c r="AJ1045" s="4" t="n"/>
      <c r="AK1045" s="4" t="n"/>
      <c r="AL1045" s="4" t="n"/>
      <c r="AM1045" s="4" t="n"/>
      <c r="AN1045" s="4" t="n"/>
      <c r="AO1045" s="4" t="n"/>
      <c r="AP1045" s="4" t="n"/>
      <c r="AQ1045" s="4" t="n"/>
      <c r="AR1045" s="4" t="n"/>
      <c r="AS1045" s="4" t="n"/>
      <c r="AT1045" s="4" t="n"/>
      <c r="AU1045" s="4" t="n"/>
      <c r="AV1045" s="4" t="n"/>
      <c r="AW1045" s="4" t="n"/>
      <c r="AX1045" s="4" t="n"/>
      <c r="AY1045" s="4" t="n"/>
      <c r="AZ1045" s="4" t="n"/>
      <c r="BA1045" s="4" t="n"/>
      <c r="BB1045" s="4" t="n"/>
      <c r="BC1045" s="4" t="n"/>
      <c r="BD1045" s="4" t="n"/>
      <c r="BE1045" s="4" t="n"/>
      <c r="BF1045" s="4" t="n"/>
      <c r="BG1045" s="4" t="n"/>
      <c r="BH1045" s="4" t="n"/>
      <c r="BI1045" s="4" t="n"/>
      <c r="BJ1045" s="4" t="n"/>
      <c r="BK1045" s="4" t="n"/>
      <c r="BL1045" s="4" t="n"/>
      <c r="BM1045" s="4" t="n"/>
      <c r="BN1045" s="4" t="n"/>
      <c r="BO1045" s="4" t="n"/>
      <c r="BP1045" s="4" t="n"/>
      <c r="BQ1045" s="4" t="n"/>
      <c r="BR1045" s="4" t="n"/>
      <c r="BS1045" s="4" t="n"/>
      <c r="BT1045" s="4" t="n"/>
      <c r="BU1045" s="4" t="n"/>
      <c r="BV1045" s="4" t="n"/>
      <c r="BW1045" s="4" t="n"/>
      <c r="BX1045" s="4" t="n"/>
      <c r="BY1045" s="4" t="n"/>
      <c r="BZ1045" s="4" t="n"/>
      <c r="CA1045" s="4" t="n"/>
      <c r="CB1045" s="4" t="n"/>
      <c r="CC1045" s="4" t="n"/>
      <c r="CD1045" s="4" t="n"/>
      <c r="CE1045" s="4" t="n"/>
      <c r="CF1045" s="4" t="n"/>
      <c r="CG1045" s="4" t="n"/>
      <c r="CH1045" s="4" t="n"/>
      <c r="CI1045" s="4" t="n"/>
      <c r="CJ1045" s="4" t="n"/>
      <c r="CK1045" s="4" t="n"/>
      <c r="CL1045" s="4" t="n"/>
      <c r="CM1045" s="4" t="n"/>
      <c r="CN1045" s="4" t="n"/>
      <c r="CO1045" s="4" t="n"/>
      <c r="CP1045" s="4" t="n"/>
      <c r="CQ1045" s="4" t="n"/>
      <c r="CR1045" s="4" t="n"/>
      <c r="CS1045" s="4" t="n"/>
      <c r="CT1045" s="4" t="n"/>
      <c r="CU1045" s="4" t="n"/>
      <c r="CV1045" s="4" t="n"/>
      <c r="CW1045" s="4" t="n"/>
      <c r="CX1045" s="4" t="n"/>
      <c r="CY1045" s="4" t="n"/>
      <c r="CZ1045" s="4" t="n"/>
      <c r="DA1045" s="4" t="n"/>
      <c r="DB1045" s="4" t="n"/>
      <c r="DC1045" s="4" t="n"/>
      <c r="DD1045" s="4" t="n"/>
      <c r="DE1045" s="4" t="n"/>
      <c r="DF1045" s="4" t="n"/>
      <c r="DG1045" s="4" t="n"/>
      <c r="DH1045" s="4" t="n"/>
      <c r="DI1045" s="4" t="n"/>
      <c r="DJ1045" s="4" t="n"/>
      <c r="DK1045" s="4" t="n"/>
      <c r="DL1045" s="4" t="n"/>
      <c r="DM1045" s="4" t="n"/>
      <c r="DN1045" s="4" t="n"/>
      <c r="DO1045" s="4" t="n"/>
      <c r="DP1045" s="4" t="n"/>
      <c r="DQ1045" s="4" t="n"/>
      <c r="DR1045" s="4" t="n"/>
      <c r="DS1045" s="4" t="n"/>
      <c r="DT1045" s="4" t="n"/>
      <c r="DU1045" s="4" t="n"/>
      <c r="DV1045" s="4" t="n"/>
      <c r="DW1045" s="4" t="n"/>
      <c r="DX1045" s="4" t="n"/>
      <c r="DY1045" s="4" t="n"/>
      <c r="DZ1045" s="4" t="n"/>
      <c r="EA1045" s="4" t="n"/>
      <c r="EB1045" s="4" t="n"/>
      <c r="EC1045" s="4" t="n"/>
      <c r="ED1045" s="4" t="n"/>
      <c r="EE1045" s="4" t="n"/>
      <c r="EF1045" s="4" t="n"/>
      <c r="EG1045" s="4" t="n"/>
      <c r="EH1045" s="4" t="n"/>
      <c r="EI1045" s="4" t="n"/>
      <c r="EJ1045" s="4" t="n"/>
      <c r="EK1045" s="4" t="n"/>
      <c r="EL1045" s="4" t="n"/>
      <c r="EM1045" s="4" t="n"/>
    </row>
    <row r="1046" hidden="1" customFormat="1" s="6">
      <c r="C1046" s="4" t="n"/>
      <c r="D1046" s="4" t="n"/>
      <c r="E1046" s="4" t="n"/>
      <c r="F1046" s="4" t="n"/>
      <c r="G1046" s="4" t="n"/>
      <c r="H1046" s="4" t="n"/>
      <c r="I1046" s="4" t="n"/>
      <c r="J1046" s="4" t="n"/>
      <c r="K1046" s="4" t="n"/>
      <c r="L1046" s="4" t="n"/>
      <c r="M1046" s="4" t="n"/>
      <c r="N1046" s="4" t="n"/>
      <c r="O1046" s="4" t="n"/>
      <c r="P1046" s="4" t="n"/>
      <c r="Q1046" s="4" t="n"/>
      <c r="R1046" s="4" t="n"/>
      <c r="S1046" s="4" t="n"/>
      <c r="T1046" s="4" t="n"/>
      <c r="U1046" s="4" t="n"/>
      <c r="V1046" s="4" t="n"/>
      <c r="W1046" s="4" t="n"/>
      <c r="X1046" s="4" t="n"/>
      <c r="Y1046" s="4" t="n"/>
      <c r="Z1046" s="4" t="n"/>
      <c r="AA1046" s="4" t="n"/>
      <c r="AB1046" s="4" t="n"/>
      <c r="AC1046" s="4" t="n"/>
      <c r="AD1046" s="4" t="n"/>
      <c r="AE1046" s="4" t="n"/>
      <c r="AF1046" s="4" t="n"/>
      <c r="AG1046" s="4" t="n"/>
      <c r="AH1046" s="4" t="n"/>
      <c r="AI1046" s="4" t="n"/>
      <c r="AJ1046" s="4" t="n"/>
      <c r="AK1046" s="4" t="n"/>
      <c r="AL1046" s="4" t="n"/>
      <c r="AM1046" s="4" t="n"/>
      <c r="AN1046" s="4" t="n"/>
      <c r="AO1046" s="4" t="n"/>
      <c r="AP1046" s="4" t="n"/>
      <c r="AQ1046" s="4" t="n"/>
      <c r="AR1046" s="4" t="n"/>
      <c r="AS1046" s="4" t="n"/>
      <c r="AT1046" s="4" t="n"/>
      <c r="AU1046" s="4" t="n"/>
      <c r="AV1046" s="4" t="n"/>
      <c r="AW1046" s="4" t="n"/>
      <c r="AX1046" s="4" t="n"/>
      <c r="AY1046" s="4" t="n"/>
      <c r="AZ1046" s="4" t="n"/>
      <c r="BA1046" s="4" t="n"/>
      <c r="BB1046" s="4" t="n"/>
      <c r="BC1046" s="4" t="n"/>
      <c r="BD1046" s="4" t="n"/>
      <c r="BE1046" s="4" t="n"/>
      <c r="BF1046" s="4" t="n"/>
      <c r="BG1046" s="4" t="n"/>
      <c r="BH1046" s="4" t="n"/>
      <c r="BI1046" s="4" t="n"/>
      <c r="BJ1046" s="4" t="n"/>
      <c r="BK1046" s="4" t="n"/>
      <c r="BL1046" s="4" t="n"/>
      <c r="BM1046" s="4" t="n"/>
      <c r="BN1046" s="4" t="n"/>
      <c r="BO1046" s="4" t="n"/>
      <c r="BP1046" s="4" t="n"/>
      <c r="BQ1046" s="4" t="n"/>
      <c r="BR1046" s="4" t="n"/>
      <c r="BS1046" s="4" t="n"/>
      <c r="BT1046" s="4" t="n"/>
      <c r="BU1046" s="4" t="n"/>
      <c r="BV1046" s="4" t="n"/>
      <c r="BW1046" s="4" t="n"/>
      <c r="BX1046" s="4" t="n"/>
      <c r="BY1046" s="4" t="n"/>
      <c r="BZ1046" s="4" t="n"/>
      <c r="CA1046" s="4" t="n"/>
      <c r="CB1046" s="4" t="n"/>
      <c r="CC1046" s="4" t="n"/>
      <c r="CD1046" s="4" t="n"/>
      <c r="CE1046" s="4" t="n"/>
      <c r="CF1046" s="4" t="n"/>
      <c r="CG1046" s="4" t="n"/>
      <c r="CH1046" s="4" t="n"/>
      <c r="CI1046" s="4" t="n"/>
      <c r="CJ1046" s="4" t="n"/>
      <c r="CK1046" s="4" t="n"/>
      <c r="CL1046" s="4" t="n"/>
      <c r="CM1046" s="4" t="n"/>
      <c r="CN1046" s="4" t="n"/>
      <c r="CO1046" s="4" t="n"/>
      <c r="CP1046" s="4" t="n"/>
      <c r="CQ1046" s="4" t="n"/>
      <c r="CR1046" s="4" t="n"/>
      <c r="CS1046" s="4" t="n"/>
      <c r="CT1046" s="4" t="n"/>
      <c r="CU1046" s="4" t="n"/>
      <c r="CV1046" s="4" t="n"/>
      <c r="CW1046" s="4" t="n"/>
      <c r="CX1046" s="4" t="n"/>
      <c r="CY1046" s="4" t="n"/>
      <c r="CZ1046" s="4" t="n"/>
      <c r="DA1046" s="4" t="n"/>
      <c r="DB1046" s="4" t="n"/>
      <c r="DC1046" s="4" t="n"/>
      <c r="DD1046" s="4" t="n"/>
      <c r="DE1046" s="4" t="n"/>
      <c r="DF1046" s="4" t="n"/>
      <c r="DG1046" s="4" t="n"/>
      <c r="DH1046" s="4" t="n"/>
      <c r="DI1046" s="4" t="n"/>
      <c r="DJ1046" s="4" t="n"/>
      <c r="DK1046" s="4" t="n"/>
      <c r="DL1046" s="4" t="n"/>
      <c r="DM1046" s="4" t="n"/>
      <c r="DN1046" s="4" t="n"/>
      <c r="DO1046" s="4" t="n"/>
      <c r="DP1046" s="4" t="n"/>
      <c r="DQ1046" s="4" t="n"/>
      <c r="DR1046" s="4" t="n"/>
      <c r="DS1046" s="4" t="n"/>
      <c r="DT1046" s="4" t="n"/>
      <c r="DU1046" s="4" t="n"/>
      <c r="DV1046" s="4" t="n"/>
      <c r="DW1046" s="4" t="n"/>
      <c r="DX1046" s="4" t="n"/>
      <c r="DY1046" s="4" t="n"/>
      <c r="DZ1046" s="4" t="n"/>
      <c r="EA1046" s="4" t="n"/>
      <c r="EB1046" s="4" t="n"/>
      <c r="EC1046" s="4" t="n"/>
      <c r="ED1046" s="4" t="n"/>
      <c r="EE1046" s="4" t="n"/>
      <c r="EF1046" s="4" t="n"/>
      <c r="EG1046" s="4" t="n"/>
      <c r="EH1046" s="4" t="n"/>
      <c r="EI1046" s="4" t="n"/>
      <c r="EJ1046" s="4" t="n"/>
      <c r="EK1046" s="4" t="n"/>
      <c r="EL1046" s="4" t="n"/>
      <c r="EM1046" s="4" t="n"/>
    </row>
    <row r="1047" hidden="1" customFormat="1" s="6">
      <c r="C1047" s="4" t="n"/>
      <c r="D1047" s="4" t="n"/>
      <c r="E1047" s="4" t="n"/>
      <c r="F1047" s="4" t="n"/>
      <c r="G1047" s="4" t="n"/>
      <c r="H1047" s="4" t="n"/>
      <c r="I1047" s="4" t="n"/>
      <c r="J1047" s="4" t="n"/>
      <c r="K1047" s="4" t="n"/>
      <c r="L1047" s="4" t="n"/>
      <c r="M1047" s="4" t="n"/>
      <c r="N1047" s="4" t="n"/>
      <c r="O1047" s="4" t="n"/>
      <c r="P1047" s="4" t="n"/>
      <c r="Q1047" s="4" t="n"/>
      <c r="R1047" s="4" t="n"/>
      <c r="S1047" s="4" t="n"/>
      <c r="T1047" s="4" t="n"/>
      <c r="U1047" s="4" t="n"/>
      <c r="V1047" s="4" t="n"/>
      <c r="W1047" s="4" t="n"/>
      <c r="X1047" s="4" t="n"/>
      <c r="Y1047" s="4" t="n"/>
      <c r="Z1047" s="4" t="n"/>
      <c r="AA1047" s="4" t="n"/>
      <c r="AB1047" s="4" t="n"/>
      <c r="AC1047" s="4" t="n"/>
      <c r="AD1047" s="4" t="n"/>
      <c r="AE1047" s="4" t="n"/>
      <c r="AF1047" s="4" t="n"/>
      <c r="AG1047" s="4" t="n"/>
      <c r="AH1047" s="4" t="n"/>
      <c r="AI1047" s="4" t="n"/>
      <c r="AJ1047" s="4" t="n"/>
      <c r="AK1047" s="4" t="n"/>
      <c r="AL1047" s="4" t="n"/>
      <c r="AM1047" s="4" t="n"/>
      <c r="AN1047" s="4" t="n"/>
      <c r="AO1047" s="4" t="n"/>
      <c r="AP1047" s="4" t="n"/>
      <c r="AQ1047" s="4" t="n"/>
      <c r="AR1047" s="4" t="n"/>
      <c r="AS1047" s="4" t="n"/>
      <c r="AT1047" s="4" t="n"/>
      <c r="AU1047" s="4" t="n"/>
      <c r="AV1047" s="4" t="n"/>
      <c r="AW1047" s="4" t="n"/>
      <c r="AX1047" s="4" t="n"/>
      <c r="AY1047" s="4" t="n"/>
      <c r="AZ1047" s="4" t="n"/>
      <c r="BA1047" s="4" t="n"/>
      <c r="BB1047" s="4" t="n"/>
      <c r="BC1047" s="4" t="n"/>
      <c r="BD1047" s="4" t="n"/>
      <c r="BE1047" s="4" t="n"/>
      <c r="BF1047" s="4" t="n"/>
      <c r="BG1047" s="4" t="n"/>
      <c r="BH1047" s="4" t="n"/>
      <c r="BI1047" s="4" t="n"/>
      <c r="BJ1047" s="4" t="n"/>
      <c r="BK1047" s="4" t="n"/>
      <c r="BL1047" s="4" t="n"/>
      <c r="BM1047" s="4" t="n"/>
      <c r="BN1047" s="4" t="n"/>
      <c r="BO1047" s="4" t="n"/>
      <c r="BP1047" s="4" t="n"/>
      <c r="BQ1047" s="4" t="n"/>
      <c r="BR1047" s="4" t="n"/>
      <c r="BS1047" s="4" t="n"/>
      <c r="BT1047" s="4" t="n"/>
      <c r="BU1047" s="4" t="n"/>
      <c r="BV1047" s="4" t="n"/>
      <c r="BW1047" s="4" t="n"/>
      <c r="BX1047" s="4" t="n"/>
      <c r="BY1047" s="4" t="n"/>
      <c r="BZ1047" s="4" t="n"/>
      <c r="CA1047" s="4" t="n"/>
      <c r="CB1047" s="4" t="n"/>
      <c r="CC1047" s="4" t="n"/>
      <c r="CD1047" s="4" t="n"/>
      <c r="CE1047" s="4" t="n"/>
      <c r="CF1047" s="4" t="n"/>
      <c r="CG1047" s="4" t="n"/>
      <c r="CH1047" s="4" t="n"/>
      <c r="CI1047" s="4" t="n"/>
      <c r="CJ1047" s="4" t="n"/>
      <c r="CK1047" s="4" t="n"/>
      <c r="CL1047" s="4" t="n"/>
      <c r="CM1047" s="4" t="n"/>
      <c r="CN1047" s="4" t="n"/>
      <c r="CO1047" s="4" t="n"/>
      <c r="CP1047" s="4" t="n"/>
      <c r="CQ1047" s="4" t="n"/>
      <c r="CR1047" s="4" t="n"/>
      <c r="CS1047" s="4" t="n"/>
      <c r="CT1047" s="4" t="n"/>
      <c r="CU1047" s="4" t="n"/>
      <c r="CV1047" s="4" t="n"/>
      <c r="CW1047" s="4" t="n"/>
      <c r="CX1047" s="4" t="n"/>
      <c r="CY1047" s="4" t="n"/>
      <c r="CZ1047" s="4" t="n"/>
      <c r="DA1047" s="4" t="n"/>
      <c r="DB1047" s="4" t="n"/>
      <c r="DC1047" s="4" t="n"/>
      <c r="DD1047" s="4" t="n"/>
      <c r="DE1047" s="4" t="n"/>
      <c r="DF1047" s="4" t="n"/>
      <c r="DG1047" s="4" t="n"/>
      <c r="DH1047" s="4" t="n"/>
      <c r="DI1047" s="4" t="n"/>
      <c r="DJ1047" s="4" t="n"/>
      <c r="DK1047" s="4" t="n"/>
      <c r="DL1047" s="4" t="n"/>
      <c r="DM1047" s="4" t="n"/>
      <c r="DN1047" s="4" t="n"/>
      <c r="DO1047" s="4" t="n"/>
      <c r="DP1047" s="4" t="n"/>
      <c r="DQ1047" s="4" t="n"/>
      <c r="DR1047" s="4" t="n"/>
      <c r="DS1047" s="4" t="n"/>
      <c r="DT1047" s="4" t="n"/>
      <c r="DU1047" s="4" t="n"/>
      <c r="DV1047" s="4" t="n"/>
      <c r="DW1047" s="4" t="n"/>
      <c r="DX1047" s="4" t="n"/>
      <c r="DY1047" s="4" t="n"/>
      <c r="DZ1047" s="4" t="n"/>
      <c r="EA1047" s="4" t="n"/>
      <c r="EB1047" s="4" t="n"/>
      <c r="EC1047" s="4" t="n"/>
      <c r="ED1047" s="4" t="n"/>
      <c r="EE1047" s="4" t="n"/>
      <c r="EF1047" s="4" t="n"/>
      <c r="EG1047" s="4" t="n"/>
      <c r="EH1047" s="4" t="n"/>
      <c r="EI1047" s="4" t="n"/>
      <c r="EJ1047" s="4" t="n"/>
      <c r="EK1047" s="4" t="n"/>
      <c r="EL1047" s="4" t="n"/>
      <c r="EM1047" s="4" t="n"/>
    </row>
    <row r="1048" hidden="1" customFormat="1" s="6">
      <c r="C1048" s="4" t="n"/>
      <c r="D1048" s="4" t="n"/>
      <c r="E1048" s="4" t="n"/>
      <c r="F1048" s="4" t="n"/>
      <c r="G1048" s="4" t="n"/>
      <c r="H1048" s="4" t="n"/>
      <c r="I1048" s="4" t="n"/>
      <c r="J1048" s="4" t="n"/>
      <c r="K1048" s="4" t="n"/>
      <c r="L1048" s="4" t="n"/>
      <c r="M1048" s="4" t="n"/>
      <c r="N1048" s="4" t="n"/>
      <c r="O1048" s="4" t="n"/>
      <c r="P1048" s="4" t="n"/>
      <c r="Q1048" s="4" t="n"/>
      <c r="R1048" s="4" t="n"/>
      <c r="S1048" s="4" t="n"/>
      <c r="T1048" s="4" t="n"/>
      <c r="U1048" s="4" t="n"/>
      <c r="V1048" s="4" t="n"/>
      <c r="W1048" s="4" t="n"/>
      <c r="X1048" s="4" t="n"/>
      <c r="Y1048" s="4" t="n"/>
      <c r="Z1048" s="4" t="n"/>
      <c r="AA1048" s="4" t="n"/>
      <c r="AB1048" s="4" t="n"/>
      <c r="AC1048" s="4" t="n"/>
      <c r="AD1048" s="4" t="n"/>
      <c r="AE1048" s="4" t="n"/>
      <c r="AF1048" s="4" t="n"/>
      <c r="AG1048" s="4" t="n"/>
      <c r="AH1048" s="4" t="n"/>
      <c r="AI1048" s="4" t="n"/>
      <c r="AJ1048" s="4" t="n"/>
      <c r="AK1048" s="4" t="n"/>
      <c r="AL1048" s="4" t="n"/>
      <c r="AM1048" s="4" t="n"/>
      <c r="AN1048" s="4" t="n"/>
      <c r="AO1048" s="4" t="n"/>
      <c r="AP1048" s="4" t="n"/>
      <c r="AQ1048" s="4" t="n"/>
      <c r="AR1048" s="4" t="n"/>
      <c r="AS1048" s="4" t="n"/>
      <c r="AT1048" s="4" t="n"/>
      <c r="AU1048" s="4" t="n"/>
      <c r="AV1048" s="4" t="n"/>
      <c r="AW1048" s="4" t="n"/>
      <c r="AX1048" s="4" t="n"/>
      <c r="AY1048" s="4" t="n"/>
      <c r="AZ1048" s="4" t="n"/>
      <c r="BA1048" s="4" t="n"/>
      <c r="BB1048" s="4" t="n"/>
      <c r="BC1048" s="4" t="n"/>
      <c r="BD1048" s="4" t="n"/>
      <c r="BE1048" s="4" t="n"/>
      <c r="BF1048" s="4" t="n"/>
      <c r="BG1048" s="4" t="n"/>
      <c r="BH1048" s="4" t="n"/>
      <c r="BI1048" s="4" t="n"/>
      <c r="BJ1048" s="4" t="n"/>
      <c r="BK1048" s="4" t="n"/>
      <c r="BL1048" s="4" t="n"/>
      <c r="BM1048" s="4" t="n"/>
      <c r="BN1048" s="4" t="n"/>
      <c r="BO1048" s="4" t="n"/>
      <c r="BP1048" s="4" t="n"/>
      <c r="BQ1048" s="4" t="n"/>
      <c r="BR1048" s="4" t="n"/>
      <c r="BS1048" s="4" t="n"/>
      <c r="BT1048" s="4" t="n"/>
      <c r="BU1048" s="4" t="n"/>
      <c r="BV1048" s="4" t="n"/>
      <c r="BW1048" s="4" t="n"/>
      <c r="BX1048" s="4" t="n"/>
      <c r="BY1048" s="4" t="n"/>
      <c r="BZ1048" s="4" t="n"/>
      <c r="CA1048" s="4" t="n"/>
      <c r="CB1048" s="4" t="n"/>
      <c r="CC1048" s="4" t="n"/>
      <c r="CD1048" s="4" t="n"/>
      <c r="CE1048" s="4" t="n"/>
      <c r="CF1048" s="4" t="n"/>
      <c r="CG1048" s="4" t="n"/>
      <c r="CH1048" s="4" t="n"/>
      <c r="CI1048" s="4" t="n"/>
      <c r="CJ1048" s="4" t="n"/>
      <c r="CK1048" s="4" t="n"/>
      <c r="CL1048" s="4" t="n"/>
      <c r="CM1048" s="4" t="n"/>
      <c r="CN1048" s="4" t="n"/>
      <c r="CO1048" s="4" t="n"/>
      <c r="CP1048" s="4" t="n"/>
      <c r="CQ1048" s="4" t="n"/>
      <c r="CR1048" s="4" t="n"/>
      <c r="CS1048" s="4" t="n"/>
      <c r="CT1048" s="4" t="n"/>
      <c r="CU1048" s="4" t="n"/>
      <c r="CV1048" s="4" t="n"/>
      <c r="CW1048" s="4" t="n"/>
      <c r="CX1048" s="4" t="n"/>
      <c r="CY1048" s="4" t="n"/>
      <c r="CZ1048" s="4" t="n"/>
      <c r="DA1048" s="4" t="n"/>
      <c r="DB1048" s="4" t="n"/>
      <c r="DC1048" s="4" t="n"/>
      <c r="DD1048" s="4" t="n"/>
      <c r="DE1048" s="4" t="n"/>
      <c r="DF1048" s="4" t="n"/>
      <c r="DG1048" s="4" t="n"/>
      <c r="DH1048" s="4" t="n"/>
      <c r="DI1048" s="4" t="n"/>
      <c r="DJ1048" s="4" t="n"/>
      <c r="DK1048" s="4" t="n"/>
      <c r="DL1048" s="4" t="n"/>
      <c r="DM1048" s="4" t="n"/>
      <c r="DN1048" s="4" t="n"/>
      <c r="DO1048" s="4" t="n"/>
      <c r="DP1048" s="4" t="n"/>
      <c r="DQ1048" s="4" t="n"/>
      <c r="DR1048" s="4" t="n"/>
      <c r="DS1048" s="4" t="n"/>
      <c r="DT1048" s="4" t="n"/>
      <c r="DU1048" s="4" t="n"/>
      <c r="DV1048" s="4" t="n"/>
      <c r="DW1048" s="4" t="n"/>
      <c r="DX1048" s="4" t="n"/>
      <c r="DY1048" s="4" t="n"/>
      <c r="DZ1048" s="4" t="n"/>
      <c r="EA1048" s="4" t="n"/>
      <c r="EB1048" s="4" t="n"/>
      <c r="EC1048" s="4" t="n"/>
      <c r="ED1048" s="4" t="n"/>
      <c r="EE1048" s="4" t="n"/>
      <c r="EF1048" s="4" t="n"/>
      <c r="EG1048" s="4" t="n"/>
      <c r="EH1048" s="4" t="n"/>
      <c r="EI1048" s="4" t="n"/>
      <c r="EJ1048" s="4" t="n"/>
      <c r="EK1048" s="4" t="n"/>
      <c r="EL1048" s="4" t="n"/>
      <c r="EM1048" s="4" t="n"/>
    </row>
    <row r="1049" hidden="1" customFormat="1" s="6">
      <c r="C1049" s="4" t="n"/>
      <c r="D1049" s="4" t="n"/>
      <c r="E1049" s="4" t="n"/>
      <c r="F1049" s="4" t="n"/>
      <c r="G1049" s="4" t="n"/>
      <c r="H1049" s="4" t="n"/>
      <c r="I1049" s="4" t="n"/>
      <c r="J1049" s="4" t="n"/>
      <c r="K1049" s="4" t="n"/>
      <c r="L1049" s="4" t="n"/>
      <c r="M1049" s="4" t="n"/>
      <c r="N1049" s="4" t="n"/>
      <c r="O1049" s="4" t="n"/>
      <c r="P1049" s="4" t="n"/>
      <c r="Q1049" s="4" t="n"/>
      <c r="R1049" s="4" t="n"/>
      <c r="S1049" s="4" t="n"/>
      <c r="T1049" s="4" t="n"/>
      <c r="U1049" s="4" t="n"/>
      <c r="V1049" s="4" t="n"/>
      <c r="W1049" s="4" t="n"/>
      <c r="X1049" s="4" t="n"/>
      <c r="Y1049" s="4" t="n"/>
      <c r="Z1049" s="4" t="n"/>
      <c r="AA1049" s="4" t="n"/>
      <c r="AB1049" s="4" t="n"/>
      <c r="AC1049" s="4" t="n"/>
      <c r="AD1049" s="4" t="n"/>
      <c r="AE1049" s="4" t="n"/>
      <c r="AF1049" s="4" t="n"/>
      <c r="AG1049" s="4" t="n"/>
      <c r="AH1049" s="4" t="n"/>
      <c r="AI1049" s="4" t="n"/>
      <c r="AJ1049" s="4" t="n"/>
      <c r="AK1049" s="4" t="n"/>
      <c r="AL1049" s="4" t="n"/>
      <c r="AM1049" s="4" t="n"/>
      <c r="AN1049" s="4" t="n"/>
      <c r="AO1049" s="4" t="n"/>
      <c r="AP1049" s="4" t="n"/>
      <c r="AQ1049" s="4" t="n"/>
      <c r="AR1049" s="4" t="n"/>
      <c r="AS1049" s="4" t="n"/>
      <c r="AT1049" s="4" t="n"/>
      <c r="AU1049" s="4" t="n"/>
      <c r="AV1049" s="4" t="n"/>
      <c r="AW1049" s="4" t="n"/>
      <c r="AX1049" s="4" t="n"/>
      <c r="AY1049" s="4" t="n"/>
      <c r="AZ1049" s="4" t="n"/>
      <c r="BA1049" s="4" t="n"/>
      <c r="BB1049" s="4" t="n"/>
      <c r="BC1049" s="4" t="n"/>
      <c r="BD1049" s="4" t="n"/>
      <c r="BE1049" s="4" t="n"/>
      <c r="BF1049" s="4" t="n"/>
      <c r="BG1049" s="4" t="n"/>
      <c r="BH1049" s="4" t="n"/>
      <c r="BI1049" s="4" t="n"/>
      <c r="BJ1049" s="4" t="n"/>
      <c r="BK1049" s="4" t="n"/>
      <c r="BL1049" s="4" t="n"/>
      <c r="BM1049" s="4" t="n"/>
      <c r="BN1049" s="4" t="n"/>
      <c r="BO1049" s="4" t="n"/>
      <c r="BP1049" s="4" t="n"/>
      <c r="BQ1049" s="4" t="n"/>
      <c r="BR1049" s="4" t="n"/>
      <c r="BS1049" s="4" t="n"/>
      <c r="BT1049" s="4" t="n"/>
      <c r="BU1049" s="4" t="n"/>
      <c r="BV1049" s="4" t="n"/>
      <c r="BW1049" s="4" t="n"/>
      <c r="BX1049" s="4" t="n"/>
      <c r="BY1049" s="4" t="n"/>
      <c r="BZ1049" s="4" t="n"/>
      <c r="CA1049" s="4" t="n"/>
      <c r="CB1049" s="4" t="n"/>
      <c r="CC1049" s="4" t="n"/>
      <c r="CD1049" s="4" t="n"/>
      <c r="CE1049" s="4" t="n"/>
      <c r="CF1049" s="4" t="n"/>
      <c r="CG1049" s="4" t="n"/>
      <c r="CH1049" s="4" t="n"/>
      <c r="CI1049" s="4" t="n"/>
      <c r="CJ1049" s="4" t="n"/>
      <c r="CK1049" s="4" t="n"/>
      <c r="CL1049" s="4" t="n"/>
      <c r="CM1049" s="4" t="n"/>
      <c r="CN1049" s="4" t="n"/>
      <c r="CO1049" s="4" t="n"/>
      <c r="CP1049" s="4" t="n"/>
      <c r="CQ1049" s="4" t="n"/>
      <c r="CR1049" s="4" t="n"/>
      <c r="CS1049" s="4" t="n"/>
      <c r="CT1049" s="4" t="n"/>
      <c r="CU1049" s="4" t="n"/>
      <c r="CV1049" s="4" t="n"/>
      <c r="CW1049" s="4" t="n"/>
      <c r="CX1049" s="4" t="n"/>
      <c r="CY1049" s="4" t="n"/>
      <c r="CZ1049" s="4" t="n"/>
      <c r="DA1049" s="4" t="n"/>
      <c r="DB1049" s="4" t="n"/>
      <c r="DC1049" s="4" t="n"/>
      <c r="DD1049" s="4" t="n"/>
      <c r="DE1049" s="4" t="n"/>
      <c r="DF1049" s="4" t="n"/>
      <c r="DG1049" s="4" t="n"/>
      <c r="DH1049" s="4" t="n"/>
      <c r="DI1049" s="4" t="n"/>
      <c r="DJ1049" s="4" t="n"/>
      <c r="DK1049" s="4" t="n"/>
      <c r="DL1049" s="4" t="n"/>
      <c r="DM1049" s="4" t="n"/>
      <c r="DN1049" s="4" t="n"/>
      <c r="DO1049" s="4" t="n"/>
      <c r="DP1049" s="4" t="n"/>
      <c r="DQ1049" s="4" t="n"/>
      <c r="DR1049" s="4" t="n"/>
      <c r="DS1049" s="4" t="n"/>
      <c r="DT1049" s="4" t="n"/>
      <c r="DU1049" s="4" t="n"/>
      <c r="DV1049" s="4" t="n"/>
      <c r="DW1049" s="4" t="n"/>
      <c r="DX1049" s="4" t="n"/>
      <c r="DY1049" s="4" t="n"/>
      <c r="DZ1049" s="4" t="n"/>
      <c r="EA1049" s="4" t="n"/>
      <c r="EB1049" s="4" t="n"/>
      <c r="EC1049" s="4" t="n"/>
      <c r="ED1049" s="4" t="n"/>
      <c r="EE1049" s="4" t="n"/>
      <c r="EF1049" s="4" t="n"/>
      <c r="EG1049" s="4" t="n"/>
      <c r="EH1049" s="4" t="n"/>
      <c r="EI1049" s="4" t="n"/>
      <c r="EJ1049" s="4" t="n"/>
      <c r="EK1049" s="4" t="n"/>
      <c r="EL1049" s="4" t="n"/>
      <c r="EM1049" s="4" t="n"/>
    </row>
    <row r="1050" hidden="1" customFormat="1" s="6">
      <c r="C1050" s="4" t="n"/>
      <c r="D1050" s="4" t="n"/>
      <c r="E1050" s="4" t="n"/>
      <c r="F1050" s="4" t="n"/>
      <c r="G1050" s="4" t="n"/>
      <c r="H1050" s="4" t="n"/>
      <c r="I1050" s="4" t="n"/>
      <c r="J1050" s="4" t="n"/>
      <c r="K1050" s="4" t="n"/>
      <c r="L1050" s="4" t="n"/>
      <c r="M1050" s="4" t="n"/>
      <c r="N1050" s="4" t="n"/>
      <c r="O1050" s="4" t="n"/>
      <c r="P1050" s="4" t="n"/>
      <c r="Q1050" s="4" t="n"/>
      <c r="R1050" s="4" t="n"/>
      <c r="S1050" s="4" t="n"/>
      <c r="T1050" s="4" t="n"/>
      <c r="U1050" s="4" t="n"/>
      <c r="V1050" s="4" t="n"/>
      <c r="W1050" s="4" t="n"/>
      <c r="X1050" s="4" t="n"/>
      <c r="Y1050" s="4" t="n"/>
      <c r="Z1050" s="4" t="n"/>
      <c r="AA1050" s="4" t="n"/>
      <c r="AB1050" s="4" t="n"/>
      <c r="AC1050" s="4" t="n"/>
      <c r="AD1050" s="4" t="n"/>
      <c r="AE1050" s="4" t="n"/>
      <c r="AF1050" s="4" t="n"/>
      <c r="AG1050" s="4" t="n"/>
      <c r="AH1050" s="4" t="n"/>
      <c r="AI1050" s="4" t="n"/>
      <c r="AJ1050" s="4" t="n"/>
      <c r="AK1050" s="4" t="n"/>
      <c r="AL1050" s="4" t="n"/>
      <c r="AM1050" s="4" t="n"/>
      <c r="AN1050" s="4" t="n"/>
      <c r="AO1050" s="4" t="n"/>
      <c r="AP1050" s="4" t="n"/>
      <c r="AQ1050" s="4" t="n"/>
      <c r="AR1050" s="4" t="n"/>
      <c r="AS1050" s="4" t="n"/>
      <c r="AT1050" s="4" t="n"/>
      <c r="AU1050" s="4" t="n"/>
      <c r="AV1050" s="4" t="n"/>
      <c r="AW1050" s="4" t="n"/>
      <c r="AX1050" s="4" t="n"/>
      <c r="AY1050" s="4" t="n"/>
      <c r="AZ1050" s="4" t="n"/>
      <c r="BA1050" s="4" t="n"/>
      <c r="BB1050" s="4" t="n"/>
      <c r="BC1050" s="4" t="n"/>
      <c r="BD1050" s="4" t="n"/>
      <c r="BE1050" s="4" t="n"/>
      <c r="BF1050" s="4" t="n"/>
      <c r="BG1050" s="4" t="n"/>
      <c r="BH1050" s="4" t="n"/>
      <c r="BI1050" s="4" t="n"/>
      <c r="BJ1050" s="4" t="n"/>
      <c r="BK1050" s="4" t="n"/>
      <c r="BL1050" s="4" t="n"/>
      <c r="BM1050" s="4" t="n"/>
      <c r="BN1050" s="4" t="n"/>
      <c r="BO1050" s="4" t="n"/>
      <c r="BP1050" s="4" t="n"/>
      <c r="BQ1050" s="4" t="n"/>
      <c r="BR1050" s="4" t="n"/>
      <c r="BS1050" s="4" t="n"/>
      <c r="BT1050" s="4" t="n"/>
      <c r="BU1050" s="4" t="n"/>
      <c r="BV1050" s="4" t="n"/>
      <c r="BW1050" s="4" t="n"/>
      <c r="BX1050" s="4" t="n"/>
      <c r="BY1050" s="4" t="n"/>
      <c r="BZ1050" s="4" t="n"/>
      <c r="CA1050" s="4" t="n"/>
      <c r="CB1050" s="4" t="n"/>
      <c r="CC1050" s="4" t="n"/>
      <c r="CD1050" s="4" t="n"/>
      <c r="CE1050" s="4" t="n"/>
      <c r="CF1050" s="4" t="n"/>
      <c r="CG1050" s="4" t="n"/>
      <c r="CH1050" s="4" t="n"/>
      <c r="CI1050" s="4" t="n"/>
      <c r="CJ1050" s="4" t="n"/>
      <c r="CK1050" s="4" t="n"/>
      <c r="CL1050" s="4" t="n"/>
      <c r="CM1050" s="4" t="n"/>
      <c r="CN1050" s="4" t="n"/>
      <c r="CO1050" s="4" t="n"/>
      <c r="CP1050" s="4" t="n"/>
      <c r="CQ1050" s="4" t="n"/>
      <c r="CR1050" s="4" t="n"/>
      <c r="CS1050" s="4" t="n"/>
      <c r="CT1050" s="4" t="n"/>
      <c r="CU1050" s="4" t="n"/>
      <c r="CV1050" s="4" t="n"/>
      <c r="CW1050" s="4" t="n"/>
      <c r="CX1050" s="4" t="n"/>
      <c r="CY1050" s="4" t="n"/>
      <c r="CZ1050" s="4" t="n"/>
      <c r="DA1050" s="4" t="n"/>
      <c r="DB1050" s="4" t="n"/>
      <c r="DC1050" s="4" t="n"/>
      <c r="DD1050" s="4" t="n"/>
      <c r="DE1050" s="4" t="n"/>
      <c r="DF1050" s="4" t="n"/>
      <c r="DG1050" s="4" t="n"/>
      <c r="DH1050" s="4" t="n"/>
      <c r="DI1050" s="4" t="n"/>
      <c r="DJ1050" s="4" t="n"/>
      <c r="DK1050" s="4" t="n"/>
      <c r="DL1050" s="4" t="n"/>
      <c r="DM1050" s="4" t="n"/>
      <c r="DN1050" s="4" t="n"/>
      <c r="DO1050" s="4" t="n"/>
      <c r="DP1050" s="4" t="n"/>
      <c r="DQ1050" s="4" t="n"/>
      <c r="DR1050" s="4" t="n"/>
      <c r="DS1050" s="4" t="n"/>
      <c r="DT1050" s="4" t="n"/>
      <c r="DU1050" s="4" t="n"/>
      <c r="DV1050" s="4" t="n"/>
      <c r="DW1050" s="4" t="n"/>
      <c r="DX1050" s="4" t="n"/>
      <c r="DY1050" s="4" t="n"/>
      <c r="DZ1050" s="4" t="n"/>
      <c r="EA1050" s="4" t="n"/>
      <c r="EB1050" s="4" t="n"/>
      <c r="EC1050" s="4" t="n"/>
      <c r="ED1050" s="4" t="n"/>
      <c r="EE1050" s="4" t="n"/>
      <c r="EF1050" s="4" t="n"/>
      <c r="EG1050" s="4" t="n"/>
      <c r="EH1050" s="4" t="n"/>
      <c r="EI1050" s="4" t="n"/>
      <c r="EJ1050" s="4" t="n"/>
      <c r="EK1050" s="4" t="n"/>
      <c r="EL1050" s="4" t="n"/>
      <c r="EM1050" s="4" t="n"/>
    </row>
    <row r="1051" hidden="1" customFormat="1" s="6">
      <c r="C1051" s="4" t="n"/>
      <c r="D1051" s="4" t="n"/>
      <c r="E1051" s="4" t="n"/>
      <c r="F1051" s="4" t="n"/>
      <c r="G1051" s="4" t="n"/>
      <c r="H1051" s="4" t="n"/>
      <c r="I1051" s="4" t="n"/>
      <c r="J1051" s="4" t="n"/>
      <c r="K1051" s="4" t="n"/>
      <c r="L1051" s="4" t="n"/>
      <c r="M1051" s="4" t="n"/>
      <c r="N1051" s="4" t="n"/>
      <c r="O1051" s="4" t="n"/>
      <c r="P1051" s="4" t="n"/>
      <c r="Q1051" s="4" t="n"/>
      <c r="R1051" s="4" t="n"/>
      <c r="S1051" s="4" t="n"/>
      <c r="T1051" s="4" t="n"/>
      <c r="U1051" s="4" t="n"/>
      <c r="V1051" s="4" t="n"/>
      <c r="W1051" s="4" t="n"/>
      <c r="X1051" s="4" t="n"/>
      <c r="Y1051" s="4" t="n"/>
      <c r="Z1051" s="4" t="n"/>
      <c r="AA1051" s="4" t="n"/>
      <c r="AB1051" s="4" t="n"/>
      <c r="AC1051" s="4" t="n"/>
      <c r="AD1051" s="4" t="n"/>
      <c r="AE1051" s="4" t="n"/>
      <c r="AF1051" s="4" t="n"/>
      <c r="AG1051" s="4" t="n"/>
      <c r="AH1051" s="4" t="n"/>
      <c r="AI1051" s="4" t="n"/>
      <c r="AJ1051" s="4" t="n"/>
      <c r="AK1051" s="4" t="n"/>
      <c r="AL1051" s="4" t="n"/>
      <c r="AM1051" s="4" t="n"/>
      <c r="AN1051" s="4" t="n"/>
      <c r="AO1051" s="4" t="n"/>
      <c r="AP1051" s="4" t="n"/>
      <c r="AQ1051" s="4" t="n"/>
      <c r="AR1051" s="4" t="n"/>
      <c r="AS1051" s="4" t="n"/>
      <c r="AT1051" s="4" t="n"/>
      <c r="AU1051" s="4" t="n"/>
      <c r="AV1051" s="4" t="n"/>
      <c r="AW1051" s="4" t="n"/>
      <c r="AX1051" s="4" t="n"/>
      <c r="AY1051" s="4" t="n"/>
      <c r="AZ1051" s="4" t="n"/>
      <c r="BA1051" s="4" t="n"/>
      <c r="BB1051" s="4" t="n"/>
      <c r="BC1051" s="4" t="n"/>
      <c r="BD1051" s="4" t="n"/>
      <c r="BE1051" s="4" t="n"/>
      <c r="BF1051" s="4" t="n"/>
      <c r="BG1051" s="4" t="n"/>
      <c r="BH1051" s="4" t="n"/>
      <c r="BI1051" s="4" t="n"/>
      <c r="BJ1051" s="4" t="n"/>
      <c r="BK1051" s="4" t="n"/>
      <c r="BL1051" s="4" t="n"/>
      <c r="BM1051" s="4" t="n"/>
      <c r="BN1051" s="4" t="n"/>
      <c r="BO1051" s="4" t="n"/>
      <c r="BP1051" s="4" t="n"/>
      <c r="BQ1051" s="4" t="n"/>
      <c r="BR1051" s="4" t="n"/>
      <c r="BS1051" s="4" t="n"/>
      <c r="BT1051" s="4" t="n"/>
      <c r="BU1051" s="4" t="n"/>
      <c r="BV1051" s="4" t="n"/>
      <c r="BW1051" s="4" t="n"/>
      <c r="BX1051" s="4" t="n"/>
      <c r="BY1051" s="4" t="n"/>
      <c r="BZ1051" s="4" t="n"/>
      <c r="CA1051" s="4" t="n"/>
      <c r="CB1051" s="4" t="n"/>
      <c r="CC1051" s="4" t="n"/>
      <c r="CD1051" s="4" t="n"/>
      <c r="CE1051" s="4" t="n"/>
      <c r="CF1051" s="4" t="n"/>
      <c r="CG1051" s="4" t="n"/>
      <c r="CH1051" s="4" t="n"/>
      <c r="CI1051" s="4" t="n"/>
      <c r="CJ1051" s="4" t="n"/>
      <c r="CK1051" s="4" t="n"/>
      <c r="CL1051" s="4" t="n"/>
      <c r="CM1051" s="4" t="n"/>
      <c r="CN1051" s="4" t="n"/>
      <c r="CO1051" s="4" t="n"/>
      <c r="CP1051" s="4" t="n"/>
      <c r="CQ1051" s="4" t="n"/>
      <c r="CR1051" s="4" t="n"/>
      <c r="CS1051" s="4" t="n"/>
      <c r="CT1051" s="4" t="n"/>
      <c r="CU1051" s="4" t="n"/>
      <c r="CV1051" s="4" t="n"/>
      <c r="CW1051" s="4" t="n"/>
      <c r="CX1051" s="4" t="n"/>
      <c r="CY1051" s="4" t="n"/>
      <c r="CZ1051" s="4" t="n"/>
      <c r="DA1051" s="4" t="n"/>
      <c r="DB1051" s="4" t="n"/>
      <c r="DC1051" s="4" t="n"/>
      <c r="DD1051" s="4" t="n"/>
      <c r="DE1051" s="4" t="n"/>
      <c r="DF1051" s="4" t="n"/>
      <c r="DG1051" s="4" t="n"/>
      <c r="DH1051" s="4" t="n"/>
      <c r="DI1051" s="4" t="n"/>
      <c r="DJ1051" s="4" t="n"/>
      <c r="DK1051" s="4" t="n"/>
      <c r="DL1051" s="4" t="n"/>
      <c r="DM1051" s="4" t="n"/>
      <c r="DN1051" s="4" t="n"/>
      <c r="DO1051" s="4" t="n"/>
      <c r="DP1051" s="4" t="n"/>
      <c r="DQ1051" s="4" t="n"/>
      <c r="DR1051" s="4" t="n"/>
      <c r="DS1051" s="4" t="n"/>
      <c r="DT1051" s="4" t="n"/>
      <c r="DU1051" s="4" t="n"/>
      <c r="DV1051" s="4" t="n"/>
      <c r="DW1051" s="4" t="n"/>
      <c r="DX1051" s="4" t="n"/>
      <c r="DY1051" s="4" t="n"/>
      <c r="DZ1051" s="4" t="n"/>
      <c r="EA1051" s="4" t="n"/>
      <c r="EB1051" s="4" t="n"/>
      <c r="EC1051" s="4" t="n"/>
      <c r="ED1051" s="4" t="n"/>
      <c r="EE1051" s="4" t="n"/>
      <c r="EF1051" s="4" t="n"/>
      <c r="EG1051" s="4" t="n"/>
      <c r="EH1051" s="4" t="n"/>
      <c r="EI1051" s="4" t="n"/>
      <c r="EJ1051" s="4" t="n"/>
      <c r="EK1051" s="4" t="n"/>
      <c r="EL1051" s="4" t="n"/>
      <c r="EM1051" s="4" t="n"/>
    </row>
    <row r="1052" hidden="1" customFormat="1" s="6">
      <c r="C1052" s="4" t="n"/>
      <c r="D1052" s="4" t="n"/>
      <c r="E1052" s="4" t="n"/>
      <c r="F1052" s="4" t="n"/>
      <c r="G1052" s="4" t="n"/>
      <c r="H1052" s="4" t="n"/>
      <c r="I1052" s="4" t="n"/>
      <c r="J1052" s="4" t="n"/>
      <c r="K1052" s="4" t="n"/>
      <c r="L1052" s="4" t="n"/>
      <c r="M1052" s="4" t="n"/>
      <c r="N1052" s="4" t="n"/>
      <c r="O1052" s="4" t="n"/>
      <c r="P1052" s="4" t="n"/>
      <c r="Q1052" s="4" t="n"/>
      <c r="R1052" s="4" t="n"/>
      <c r="S1052" s="4" t="n"/>
      <c r="T1052" s="4" t="n"/>
      <c r="U1052" s="4" t="n"/>
      <c r="V1052" s="4" t="n"/>
      <c r="W1052" s="4" t="n"/>
      <c r="X1052" s="4" t="n"/>
      <c r="Y1052" s="4" t="n"/>
      <c r="Z1052" s="4" t="n"/>
      <c r="AA1052" s="4" t="n"/>
      <c r="AB1052" s="4" t="n"/>
      <c r="AC1052" s="4" t="n"/>
      <c r="AD1052" s="4" t="n"/>
      <c r="AE1052" s="4" t="n"/>
      <c r="AF1052" s="4" t="n"/>
      <c r="AG1052" s="4" t="n"/>
      <c r="AH1052" s="4" t="n"/>
      <c r="AI1052" s="4" t="n"/>
      <c r="AJ1052" s="4" t="n"/>
      <c r="AK1052" s="4" t="n"/>
      <c r="AL1052" s="4" t="n"/>
      <c r="AM1052" s="4" t="n"/>
      <c r="AN1052" s="4" t="n"/>
      <c r="AO1052" s="4" t="n"/>
      <c r="AP1052" s="4" t="n"/>
      <c r="AQ1052" s="4" t="n"/>
      <c r="AR1052" s="4" t="n"/>
      <c r="AS1052" s="4" t="n"/>
      <c r="AT1052" s="4" t="n"/>
      <c r="AU1052" s="4" t="n"/>
      <c r="AV1052" s="4" t="n"/>
      <c r="AW1052" s="4" t="n"/>
      <c r="AX1052" s="4" t="n"/>
      <c r="AY1052" s="4" t="n"/>
      <c r="AZ1052" s="4" t="n"/>
      <c r="BA1052" s="4" t="n"/>
      <c r="BB1052" s="4" t="n"/>
      <c r="BC1052" s="4" t="n"/>
      <c r="BD1052" s="4" t="n"/>
      <c r="BE1052" s="4" t="n"/>
      <c r="BF1052" s="4" t="n"/>
      <c r="BG1052" s="4" t="n"/>
      <c r="BH1052" s="4" t="n"/>
      <c r="BI1052" s="4" t="n"/>
      <c r="BJ1052" s="4" t="n"/>
      <c r="BK1052" s="4" t="n"/>
      <c r="BL1052" s="4" t="n"/>
      <c r="BM1052" s="4" t="n"/>
      <c r="BN1052" s="4" t="n"/>
      <c r="BO1052" s="4" t="n"/>
      <c r="BP1052" s="4" t="n"/>
      <c r="BQ1052" s="4" t="n"/>
      <c r="BR1052" s="4" t="n"/>
      <c r="BS1052" s="4" t="n"/>
      <c r="BT1052" s="4" t="n"/>
      <c r="BU1052" s="4" t="n"/>
      <c r="BV1052" s="4" t="n"/>
      <c r="BW1052" s="4" t="n"/>
      <c r="BX1052" s="4" t="n"/>
      <c r="BY1052" s="4" t="n"/>
      <c r="BZ1052" s="4" t="n"/>
      <c r="CA1052" s="4" t="n"/>
      <c r="CB1052" s="4" t="n"/>
      <c r="CC1052" s="4" t="n"/>
      <c r="CD1052" s="4" t="n"/>
      <c r="CE1052" s="4" t="n"/>
      <c r="CF1052" s="4" t="n"/>
      <c r="CG1052" s="4" t="n"/>
      <c r="CH1052" s="4" t="n"/>
      <c r="CI1052" s="4" t="n"/>
      <c r="CJ1052" s="4" t="n"/>
      <c r="CK1052" s="4" t="n"/>
      <c r="CL1052" s="4" t="n"/>
      <c r="CM1052" s="4" t="n"/>
      <c r="CN1052" s="4" t="n"/>
      <c r="CO1052" s="4" t="n"/>
      <c r="CP1052" s="4" t="n"/>
      <c r="CQ1052" s="4" t="n"/>
      <c r="CR1052" s="4" t="n"/>
      <c r="CS1052" s="4" t="n"/>
      <c r="CT1052" s="4" t="n"/>
      <c r="CU1052" s="4" t="n"/>
      <c r="CV1052" s="4" t="n"/>
      <c r="CW1052" s="4" t="n"/>
      <c r="CX1052" s="4" t="n"/>
      <c r="CY1052" s="4" t="n"/>
      <c r="CZ1052" s="4" t="n"/>
      <c r="DA1052" s="4" t="n"/>
      <c r="DB1052" s="4" t="n"/>
      <c r="DC1052" s="4" t="n"/>
      <c r="DD1052" s="4" t="n"/>
      <c r="DE1052" s="4" t="n"/>
      <c r="DF1052" s="4" t="n"/>
      <c r="DG1052" s="4" t="n"/>
      <c r="DH1052" s="4" t="n"/>
      <c r="DI1052" s="4" t="n"/>
      <c r="DJ1052" s="4" t="n"/>
      <c r="DK1052" s="4" t="n"/>
      <c r="DL1052" s="4" t="n"/>
      <c r="DM1052" s="4" t="n"/>
      <c r="DN1052" s="4" t="n"/>
      <c r="DO1052" s="4" t="n"/>
      <c r="DP1052" s="4" t="n"/>
      <c r="DQ1052" s="4" t="n"/>
      <c r="DR1052" s="4" t="n"/>
      <c r="DS1052" s="4" t="n"/>
      <c r="DT1052" s="4" t="n"/>
      <c r="DU1052" s="4" t="n"/>
      <c r="DV1052" s="4" t="n"/>
      <c r="DW1052" s="4" t="n"/>
      <c r="DX1052" s="4" t="n"/>
      <c r="DY1052" s="4" t="n"/>
      <c r="DZ1052" s="4" t="n"/>
      <c r="EA1052" s="4" t="n"/>
      <c r="EB1052" s="4" t="n"/>
      <c r="EC1052" s="4" t="n"/>
      <c r="ED1052" s="4" t="n"/>
      <c r="EE1052" s="4" t="n"/>
      <c r="EF1052" s="4" t="n"/>
      <c r="EG1052" s="4" t="n"/>
      <c r="EH1052" s="4" t="n"/>
      <c r="EI1052" s="4" t="n"/>
      <c r="EJ1052" s="4" t="n"/>
      <c r="EK1052" s="4" t="n"/>
      <c r="EL1052" s="4" t="n"/>
      <c r="EM1052" s="4" t="n"/>
    </row>
    <row r="1053" hidden="1" customFormat="1" s="6">
      <c r="C1053" s="4" t="n"/>
      <c r="D1053" s="4" t="n"/>
      <c r="E1053" s="4" t="n"/>
      <c r="F1053" s="4" t="n"/>
      <c r="G1053" s="4" t="n"/>
      <c r="H1053" s="4" t="n"/>
      <c r="I1053" s="4" t="n"/>
      <c r="J1053" s="4" t="n"/>
      <c r="K1053" s="4" t="n"/>
      <c r="L1053" s="4" t="n"/>
      <c r="M1053" s="4" t="n"/>
      <c r="N1053" s="4" t="n"/>
      <c r="O1053" s="4" t="n"/>
      <c r="P1053" s="4" t="n"/>
      <c r="Q1053" s="4" t="n"/>
      <c r="R1053" s="4" t="n"/>
      <c r="S1053" s="4" t="n"/>
      <c r="T1053" s="4" t="n"/>
      <c r="U1053" s="4" t="n"/>
      <c r="V1053" s="4" t="n"/>
      <c r="W1053" s="4" t="n"/>
      <c r="X1053" s="4" t="n"/>
      <c r="Y1053" s="4" t="n"/>
      <c r="Z1053" s="4" t="n"/>
      <c r="AA1053" s="4" t="n"/>
      <c r="AB1053" s="4" t="n"/>
      <c r="AC1053" s="4" t="n"/>
      <c r="AD1053" s="4" t="n"/>
      <c r="AE1053" s="4" t="n"/>
      <c r="AF1053" s="4" t="n"/>
      <c r="AG1053" s="4" t="n"/>
      <c r="AH1053" s="4" t="n"/>
      <c r="AI1053" s="4" t="n"/>
      <c r="AJ1053" s="4" t="n"/>
      <c r="AK1053" s="4" t="n"/>
      <c r="AL1053" s="4" t="n"/>
      <c r="AM1053" s="4" t="n"/>
      <c r="AN1053" s="4" t="n"/>
      <c r="AO1053" s="4" t="n"/>
      <c r="AP1053" s="4" t="n"/>
      <c r="AQ1053" s="4" t="n"/>
      <c r="AR1053" s="4" t="n"/>
      <c r="AS1053" s="4" t="n"/>
      <c r="AT1053" s="4" t="n"/>
      <c r="AU1053" s="4" t="n"/>
      <c r="AV1053" s="4" t="n"/>
      <c r="AW1053" s="4" t="n"/>
      <c r="AX1053" s="4" t="n"/>
      <c r="AY1053" s="4" t="n"/>
      <c r="AZ1053" s="4" t="n"/>
      <c r="BA1053" s="4" t="n"/>
      <c r="BB1053" s="4" t="n"/>
      <c r="BC1053" s="4" t="n"/>
      <c r="BD1053" s="4" t="n"/>
      <c r="BE1053" s="4" t="n"/>
      <c r="BF1053" s="4" t="n"/>
      <c r="BG1053" s="4" t="n"/>
      <c r="BH1053" s="4" t="n"/>
      <c r="BI1053" s="4" t="n"/>
      <c r="BJ1053" s="4" t="n"/>
      <c r="BK1053" s="4" t="n"/>
      <c r="BL1053" s="4" t="n"/>
      <c r="BM1053" s="4" t="n"/>
      <c r="BN1053" s="4" t="n"/>
      <c r="BO1053" s="4" t="n"/>
      <c r="BP1053" s="4" t="n"/>
      <c r="BQ1053" s="4" t="n"/>
      <c r="BR1053" s="4" t="n"/>
      <c r="BS1053" s="4" t="n"/>
      <c r="BT1053" s="4" t="n"/>
      <c r="BU1053" s="4" t="n"/>
      <c r="BV1053" s="4" t="n"/>
      <c r="BW1053" s="4" t="n"/>
      <c r="BX1053" s="4" t="n"/>
      <c r="BY1053" s="4" t="n"/>
      <c r="BZ1053" s="4" t="n"/>
      <c r="CA1053" s="4" t="n"/>
      <c r="CB1053" s="4" t="n"/>
      <c r="CC1053" s="4" t="n"/>
      <c r="CD1053" s="4" t="n"/>
      <c r="CE1053" s="4" t="n"/>
      <c r="CF1053" s="4" t="n"/>
      <c r="CG1053" s="4" t="n"/>
      <c r="CH1053" s="4" t="n"/>
      <c r="CI1053" s="4" t="n"/>
      <c r="CJ1053" s="4" t="n"/>
      <c r="CK1053" s="4" t="n"/>
      <c r="CL1053" s="4" t="n"/>
      <c r="CM1053" s="4" t="n"/>
      <c r="CN1053" s="4" t="n"/>
      <c r="CO1053" s="4" t="n"/>
      <c r="CP1053" s="4" t="n"/>
      <c r="CQ1053" s="4" t="n"/>
      <c r="CR1053" s="4" t="n"/>
      <c r="CS1053" s="4" t="n"/>
      <c r="CT1053" s="4" t="n"/>
      <c r="CU1053" s="4" t="n"/>
      <c r="CV1053" s="4" t="n"/>
      <c r="CW1053" s="4" t="n"/>
      <c r="CX1053" s="4" t="n"/>
      <c r="CY1053" s="4" t="n"/>
      <c r="CZ1053" s="4" t="n"/>
      <c r="DA1053" s="4" t="n"/>
      <c r="DB1053" s="4" t="n"/>
      <c r="DC1053" s="4" t="n"/>
      <c r="DD1053" s="4" t="n"/>
      <c r="DE1053" s="4" t="n"/>
      <c r="DF1053" s="4" t="n"/>
      <c r="DG1053" s="4" t="n"/>
      <c r="DH1053" s="4" t="n"/>
      <c r="DI1053" s="4" t="n"/>
      <c r="DJ1053" s="4" t="n"/>
      <c r="DK1053" s="4" t="n"/>
      <c r="DL1053" s="4" t="n"/>
      <c r="DM1053" s="4" t="n"/>
      <c r="DN1053" s="4" t="n"/>
      <c r="DO1053" s="4" t="n"/>
      <c r="DP1053" s="4" t="n"/>
      <c r="DQ1053" s="4" t="n"/>
      <c r="DR1053" s="4" t="n"/>
      <c r="DS1053" s="4" t="n"/>
      <c r="DT1053" s="4" t="n"/>
      <c r="DU1053" s="4" t="n"/>
      <c r="DV1053" s="4" t="n"/>
      <c r="DW1053" s="4" t="n"/>
      <c r="DX1053" s="4" t="n"/>
      <c r="DY1053" s="4" t="n"/>
      <c r="DZ1053" s="4" t="n"/>
      <c r="EA1053" s="4" t="n"/>
      <c r="EB1053" s="4" t="n"/>
      <c r="EC1053" s="4" t="n"/>
      <c r="ED1053" s="4" t="n"/>
      <c r="EE1053" s="4" t="n"/>
      <c r="EF1053" s="4" t="n"/>
      <c r="EG1053" s="4" t="n"/>
      <c r="EH1053" s="4" t="n"/>
      <c r="EI1053" s="4" t="n"/>
      <c r="EJ1053" s="4" t="n"/>
      <c r="EK1053" s="4" t="n"/>
      <c r="EL1053" s="4" t="n"/>
      <c r="EM1053" s="4" t="n"/>
    </row>
    <row r="1054" hidden="1" customFormat="1" s="6">
      <c r="C1054" s="4" t="n"/>
      <c r="D1054" s="4" t="n"/>
      <c r="E1054" s="4" t="n"/>
      <c r="F1054" s="4" t="n"/>
      <c r="G1054" s="4" t="n"/>
      <c r="H1054" s="4" t="n"/>
      <c r="I1054" s="4" t="n"/>
      <c r="J1054" s="4" t="n"/>
      <c r="K1054" s="4" t="n"/>
      <c r="L1054" s="4" t="n"/>
      <c r="M1054" s="4" t="n"/>
      <c r="N1054" s="4" t="n"/>
      <c r="O1054" s="4" t="n"/>
      <c r="P1054" s="4" t="n"/>
      <c r="Q1054" s="4" t="n"/>
      <c r="R1054" s="4" t="n"/>
      <c r="S1054" s="4" t="n"/>
      <c r="T1054" s="4" t="n"/>
      <c r="U1054" s="4" t="n"/>
      <c r="V1054" s="4" t="n"/>
      <c r="W1054" s="4" t="n"/>
      <c r="X1054" s="4" t="n"/>
      <c r="Y1054" s="4" t="n"/>
      <c r="Z1054" s="4" t="n"/>
      <c r="AA1054" s="4" t="n"/>
      <c r="AB1054" s="4" t="n"/>
      <c r="AC1054" s="4" t="n"/>
      <c r="AD1054" s="4" t="n"/>
      <c r="AE1054" s="4" t="n"/>
      <c r="AF1054" s="4" t="n"/>
      <c r="AG1054" s="4" t="n"/>
      <c r="AH1054" s="4" t="n"/>
      <c r="AI1054" s="4" t="n"/>
      <c r="AJ1054" s="4" t="n"/>
      <c r="AK1054" s="4" t="n"/>
      <c r="AL1054" s="4" t="n"/>
      <c r="AM1054" s="4" t="n"/>
      <c r="AN1054" s="4" t="n"/>
      <c r="AO1054" s="4" t="n"/>
      <c r="AP1054" s="4" t="n"/>
      <c r="AQ1054" s="4" t="n"/>
      <c r="AR1054" s="4" t="n"/>
      <c r="AS1054" s="4" t="n"/>
      <c r="AT1054" s="4" t="n"/>
      <c r="AU1054" s="4" t="n"/>
      <c r="AV1054" s="4" t="n"/>
      <c r="AW1054" s="4" t="n"/>
      <c r="AX1054" s="4" t="n"/>
      <c r="AY1054" s="4" t="n"/>
      <c r="AZ1054" s="4" t="n"/>
      <c r="BA1054" s="4" t="n"/>
      <c r="BB1054" s="4" t="n"/>
      <c r="BC1054" s="4" t="n"/>
      <c r="BD1054" s="4" t="n"/>
      <c r="BE1054" s="4" t="n"/>
      <c r="BF1054" s="4" t="n"/>
      <c r="BG1054" s="4" t="n"/>
      <c r="BH1054" s="4" t="n"/>
      <c r="BI1054" s="4" t="n"/>
      <c r="BJ1054" s="4" t="n"/>
      <c r="BK1054" s="4" t="n"/>
      <c r="BL1054" s="4" t="n"/>
      <c r="BM1054" s="4" t="n"/>
      <c r="BN1054" s="4" t="n"/>
      <c r="BO1054" s="4" t="n"/>
      <c r="BP1054" s="4" t="n"/>
      <c r="BQ1054" s="4" t="n"/>
      <c r="BR1054" s="4" t="n"/>
      <c r="BS1054" s="4" t="n"/>
      <c r="BT1054" s="4" t="n"/>
      <c r="BU1054" s="4" t="n"/>
      <c r="BV1054" s="4" t="n"/>
      <c r="BW1054" s="4" t="n"/>
      <c r="BX1054" s="4" t="n"/>
      <c r="BY1054" s="4" t="n"/>
      <c r="BZ1054" s="4" t="n"/>
      <c r="CA1054" s="4" t="n"/>
      <c r="CB1054" s="4" t="n"/>
      <c r="CC1054" s="4" t="n"/>
      <c r="CD1054" s="4" t="n"/>
      <c r="CE1054" s="4" t="n"/>
      <c r="CF1054" s="4" t="n"/>
      <c r="CG1054" s="4" t="n"/>
      <c r="CH1054" s="4" t="n"/>
      <c r="CI1054" s="4" t="n"/>
      <c r="CJ1054" s="4" t="n"/>
      <c r="CK1054" s="4" t="n"/>
      <c r="CL1054" s="4" t="n"/>
      <c r="CM1054" s="4" t="n"/>
      <c r="CN1054" s="4" t="n"/>
      <c r="CO1054" s="4" t="n"/>
      <c r="CP1054" s="4" t="n"/>
      <c r="CQ1054" s="4" t="n"/>
      <c r="CR1054" s="4" t="n"/>
      <c r="CS1054" s="4" t="n"/>
      <c r="CT1054" s="4" t="n"/>
      <c r="CU1054" s="4" t="n"/>
      <c r="CV1054" s="4" t="n"/>
      <c r="CW1054" s="4" t="n"/>
      <c r="CX1054" s="4" t="n"/>
      <c r="CY1054" s="4" t="n"/>
      <c r="CZ1054" s="4" t="n"/>
      <c r="DA1054" s="4" t="n"/>
      <c r="DB1054" s="4" t="n"/>
      <c r="DC1054" s="4" t="n"/>
      <c r="DD1054" s="4" t="n"/>
      <c r="DE1054" s="4" t="n"/>
      <c r="DF1054" s="4" t="n"/>
      <c r="DG1054" s="4" t="n"/>
      <c r="DH1054" s="4" t="n"/>
      <c r="DI1054" s="4" t="n"/>
      <c r="DJ1054" s="4" t="n"/>
      <c r="DK1054" s="4" t="n"/>
      <c r="DL1054" s="4" t="n"/>
      <c r="DM1054" s="4" t="n"/>
      <c r="DN1054" s="4" t="n"/>
      <c r="DO1054" s="4" t="n"/>
      <c r="DP1054" s="4" t="n"/>
      <c r="DQ1054" s="4" t="n"/>
      <c r="DR1054" s="4" t="n"/>
      <c r="DS1054" s="4" t="n"/>
      <c r="DT1054" s="4" t="n"/>
      <c r="DU1054" s="4" t="n"/>
      <c r="DV1054" s="4" t="n"/>
      <c r="DW1054" s="4" t="n"/>
      <c r="DX1054" s="4" t="n"/>
      <c r="DY1054" s="4" t="n"/>
      <c r="DZ1054" s="4" t="n"/>
      <c r="EA1054" s="4" t="n"/>
      <c r="EB1054" s="4" t="n"/>
      <c r="EC1054" s="4" t="n"/>
      <c r="ED1054" s="4" t="n"/>
      <c r="EE1054" s="4" t="n"/>
      <c r="EF1054" s="4" t="n"/>
      <c r="EG1054" s="4" t="n"/>
      <c r="EH1054" s="4" t="n"/>
      <c r="EI1054" s="4" t="n"/>
      <c r="EJ1054" s="4" t="n"/>
      <c r="EK1054" s="4" t="n"/>
      <c r="EL1054" s="4" t="n"/>
      <c r="EM1054" s="4" t="n"/>
    </row>
    <row r="1055" hidden="1" customFormat="1" s="6">
      <c r="C1055" s="4" t="n"/>
      <c r="D1055" s="4" t="n"/>
      <c r="E1055" s="4" t="n"/>
      <c r="F1055" s="4" t="n"/>
      <c r="G1055" s="4" t="n"/>
      <c r="H1055" s="4" t="n"/>
      <c r="I1055" s="4" t="n"/>
      <c r="J1055" s="4" t="n"/>
      <c r="K1055" s="4" t="n"/>
      <c r="L1055" s="4" t="n"/>
      <c r="M1055" s="4" t="n"/>
      <c r="N1055" s="4" t="n"/>
      <c r="O1055" s="4" t="n"/>
      <c r="P1055" s="4" t="n"/>
      <c r="Q1055" s="4" t="n"/>
      <c r="R1055" s="4" t="n"/>
      <c r="S1055" s="4" t="n"/>
      <c r="T1055" s="4" t="n"/>
      <c r="U1055" s="4" t="n"/>
      <c r="V1055" s="4" t="n"/>
      <c r="W1055" s="4" t="n"/>
      <c r="X1055" s="4" t="n"/>
      <c r="Y1055" s="4" t="n"/>
      <c r="Z1055" s="4" t="n"/>
      <c r="AA1055" s="4" t="n"/>
      <c r="AB1055" s="4" t="n"/>
      <c r="AC1055" s="4" t="n"/>
      <c r="AD1055" s="4" t="n"/>
      <c r="AE1055" s="4" t="n"/>
      <c r="AF1055" s="4" t="n"/>
      <c r="AG1055" s="4" t="n"/>
      <c r="AH1055" s="4" t="n"/>
      <c r="AI1055" s="4" t="n"/>
      <c r="AJ1055" s="4" t="n"/>
      <c r="AK1055" s="4" t="n"/>
      <c r="AL1055" s="4" t="n"/>
      <c r="AM1055" s="4" t="n"/>
      <c r="AN1055" s="4" t="n"/>
      <c r="AO1055" s="4" t="n"/>
      <c r="AP1055" s="4" t="n"/>
      <c r="AQ1055" s="4" t="n"/>
      <c r="AR1055" s="4" t="n"/>
      <c r="AS1055" s="4" t="n"/>
      <c r="AT1055" s="4" t="n"/>
      <c r="AU1055" s="4" t="n"/>
      <c r="AV1055" s="4" t="n"/>
      <c r="AW1055" s="4" t="n"/>
      <c r="AX1055" s="4" t="n"/>
      <c r="AY1055" s="4" t="n"/>
      <c r="AZ1055" s="4" t="n"/>
      <c r="BA1055" s="4" t="n"/>
      <c r="BB1055" s="4" t="n"/>
      <c r="BC1055" s="4" t="n"/>
      <c r="BD1055" s="4" t="n"/>
      <c r="BE1055" s="4" t="n"/>
      <c r="BF1055" s="4" t="n"/>
      <c r="BG1055" s="4" t="n"/>
      <c r="BH1055" s="4" t="n"/>
      <c r="BI1055" s="4" t="n"/>
      <c r="BJ1055" s="4" t="n"/>
      <c r="BK1055" s="4" t="n"/>
      <c r="BL1055" s="4" t="n"/>
      <c r="BM1055" s="4" t="n"/>
      <c r="BN1055" s="4" t="n"/>
      <c r="BO1055" s="4" t="n"/>
      <c r="BP1055" s="4" t="n"/>
      <c r="BQ1055" s="4" t="n"/>
      <c r="BR1055" s="4" t="n"/>
      <c r="BS1055" s="4" t="n"/>
      <c r="BT1055" s="4" t="n"/>
      <c r="BU1055" s="4" t="n"/>
      <c r="BV1055" s="4" t="n"/>
      <c r="BW1055" s="4" t="n"/>
      <c r="BX1055" s="4" t="n"/>
      <c r="BY1055" s="4" t="n"/>
      <c r="BZ1055" s="4" t="n"/>
      <c r="CA1055" s="4" t="n"/>
      <c r="CB1055" s="4" t="n"/>
      <c r="CC1055" s="4" t="n"/>
      <c r="CD1055" s="4" t="n"/>
      <c r="CE1055" s="4" t="n"/>
      <c r="CF1055" s="4" t="n"/>
      <c r="CG1055" s="4" t="n"/>
      <c r="CH1055" s="4" t="n"/>
      <c r="CI1055" s="4" t="n"/>
      <c r="CJ1055" s="4" t="n"/>
      <c r="CK1055" s="4" t="n"/>
      <c r="CL1055" s="4" t="n"/>
      <c r="CM1055" s="4" t="n"/>
      <c r="CN1055" s="4" t="n"/>
      <c r="CO1055" s="4" t="n"/>
      <c r="CP1055" s="4" t="n"/>
      <c r="CQ1055" s="4" t="n"/>
      <c r="CR1055" s="4" t="n"/>
      <c r="CS1055" s="4" t="n"/>
      <c r="CT1055" s="4" t="n"/>
      <c r="CU1055" s="4" t="n"/>
      <c r="CV1055" s="4" t="n"/>
      <c r="CW1055" s="4" t="n"/>
      <c r="CX1055" s="4" t="n"/>
      <c r="CY1055" s="4" t="n"/>
      <c r="CZ1055" s="4" t="n"/>
      <c r="DA1055" s="4" t="n"/>
      <c r="DB1055" s="4" t="n"/>
      <c r="DC1055" s="4" t="n"/>
      <c r="DD1055" s="4" t="n"/>
      <c r="DE1055" s="4" t="n"/>
      <c r="DF1055" s="4" t="n"/>
      <c r="DG1055" s="4" t="n"/>
      <c r="DH1055" s="4" t="n"/>
      <c r="DI1055" s="4" t="n"/>
      <c r="DJ1055" s="4" t="n"/>
      <c r="DK1055" s="4" t="n"/>
      <c r="DL1055" s="4" t="n"/>
      <c r="DM1055" s="4" t="n"/>
      <c r="DN1055" s="4" t="n"/>
      <c r="DO1055" s="4" t="n"/>
      <c r="DP1055" s="4" t="n"/>
      <c r="DQ1055" s="4" t="n"/>
      <c r="DR1055" s="4" t="n"/>
      <c r="DS1055" s="4" t="n"/>
      <c r="DT1055" s="4" t="n"/>
      <c r="DU1055" s="4" t="n"/>
      <c r="DV1055" s="4" t="n"/>
      <c r="DW1055" s="4" t="n"/>
      <c r="DX1055" s="4" t="n"/>
      <c r="DY1055" s="4" t="n"/>
      <c r="DZ1055" s="4" t="n"/>
      <c r="EA1055" s="4" t="n"/>
      <c r="EB1055" s="4" t="n"/>
      <c r="EC1055" s="4" t="n"/>
      <c r="ED1055" s="4" t="n"/>
      <c r="EE1055" s="4" t="n"/>
      <c r="EF1055" s="4" t="n"/>
      <c r="EG1055" s="4" t="n"/>
      <c r="EH1055" s="4" t="n"/>
      <c r="EI1055" s="4" t="n"/>
      <c r="EJ1055" s="4" t="n"/>
      <c r="EK1055" s="4" t="n"/>
      <c r="EL1055" s="4" t="n"/>
      <c r="EM1055" s="4" t="n"/>
    </row>
    <row r="1056" hidden="1" customFormat="1" s="6">
      <c r="C1056" s="4" t="n"/>
      <c r="D1056" s="4" t="n"/>
      <c r="E1056" s="4" t="n"/>
      <c r="F1056" s="4" t="n"/>
      <c r="G1056" s="4" t="n"/>
      <c r="H1056" s="4" t="n"/>
      <c r="I1056" s="4" t="n"/>
      <c r="J1056" s="4" t="n"/>
      <c r="K1056" s="4" t="n"/>
      <c r="L1056" s="4" t="n"/>
      <c r="M1056" s="4" t="n"/>
      <c r="N1056" s="4" t="n"/>
      <c r="O1056" s="4" t="n"/>
      <c r="P1056" s="4" t="n"/>
      <c r="Q1056" s="4" t="n"/>
      <c r="R1056" s="4" t="n"/>
      <c r="S1056" s="4" t="n"/>
      <c r="T1056" s="4" t="n"/>
      <c r="U1056" s="4" t="n"/>
      <c r="V1056" s="4" t="n"/>
      <c r="W1056" s="4" t="n"/>
      <c r="X1056" s="4" t="n"/>
      <c r="Y1056" s="4" t="n"/>
      <c r="Z1056" s="4" t="n"/>
      <c r="AA1056" s="4" t="n"/>
      <c r="AB1056" s="4" t="n"/>
      <c r="AC1056" s="4" t="n"/>
      <c r="AD1056" s="4" t="n"/>
      <c r="AE1056" s="4" t="n"/>
      <c r="AF1056" s="4" t="n"/>
      <c r="AG1056" s="4" t="n"/>
      <c r="AH1056" s="4" t="n"/>
      <c r="AI1056" s="4" t="n"/>
      <c r="AJ1056" s="4" t="n"/>
      <c r="AK1056" s="4" t="n"/>
      <c r="AL1056" s="4" t="n"/>
      <c r="AM1056" s="4" t="n"/>
      <c r="AN1056" s="4" t="n"/>
      <c r="AO1056" s="4" t="n"/>
      <c r="AP1056" s="4" t="n"/>
      <c r="AQ1056" s="4" t="n"/>
      <c r="AR1056" s="4" t="n"/>
      <c r="AS1056" s="4" t="n"/>
      <c r="AT1056" s="4" t="n"/>
      <c r="AU1056" s="4" t="n"/>
      <c r="AV1056" s="4" t="n"/>
      <c r="AW1056" s="4" t="n"/>
      <c r="AX1056" s="4" t="n"/>
      <c r="AY1056" s="4" t="n"/>
      <c r="AZ1056" s="4" t="n"/>
      <c r="BA1056" s="4" t="n"/>
      <c r="BB1056" s="4" t="n"/>
      <c r="BC1056" s="4" t="n"/>
      <c r="BD1056" s="4" t="n"/>
      <c r="BE1056" s="4" t="n"/>
      <c r="BF1056" s="4" t="n"/>
      <c r="BG1056" s="4" t="n"/>
      <c r="BH1056" s="4" t="n"/>
      <c r="BI1056" s="4" t="n"/>
      <c r="BJ1056" s="4" t="n"/>
      <c r="BK1056" s="4" t="n"/>
      <c r="BL1056" s="4" t="n"/>
      <c r="BM1056" s="4" t="n"/>
      <c r="BN1056" s="4" t="n"/>
      <c r="BO1056" s="4" t="n"/>
      <c r="BP1056" s="4" t="n"/>
      <c r="BQ1056" s="4" t="n"/>
      <c r="BR1056" s="4" t="n"/>
      <c r="BS1056" s="4" t="n"/>
      <c r="BT1056" s="4" t="n"/>
      <c r="BU1056" s="4" t="n"/>
      <c r="BV1056" s="4" t="n"/>
      <c r="BW1056" s="4" t="n"/>
      <c r="BX1056" s="4" t="n"/>
      <c r="BY1056" s="4" t="n"/>
      <c r="BZ1056" s="4" t="n"/>
      <c r="CA1056" s="4" t="n"/>
      <c r="CB1056" s="4" t="n"/>
      <c r="CC1056" s="4" t="n"/>
      <c r="CD1056" s="4" t="n"/>
      <c r="CE1056" s="4" t="n"/>
      <c r="CF1056" s="4" t="n"/>
      <c r="CG1056" s="4" t="n"/>
      <c r="CH1056" s="4" t="n"/>
      <c r="CI1056" s="4" t="n"/>
      <c r="CJ1056" s="4" t="n"/>
      <c r="CK1056" s="4" t="n"/>
      <c r="CL1056" s="4" t="n"/>
      <c r="CM1056" s="4" t="n"/>
      <c r="CN1056" s="4" t="n"/>
      <c r="CO1056" s="4" t="n"/>
      <c r="CP1056" s="4" t="n"/>
      <c r="CQ1056" s="4" t="n"/>
      <c r="CR1056" s="4" t="n"/>
      <c r="CS1056" s="4" t="n"/>
      <c r="CT1056" s="4" t="n"/>
      <c r="CU1056" s="4" t="n"/>
      <c r="CV1056" s="4" t="n"/>
      <c r="CW1056" s="4" t="n"/>
      <c r="CX1056" s="4" t="n"/>
      <c r="CY1056" s="4" t="n"/>
      <c r="CZ1056" s="4" t="n"/>
      <c r="DA1056" s="4" t="n"/>
      <c r="DB1056" s="4" t="n"/>
      <c r="DC1056" s="4" t="n"/>
      <c r="DD1056" s="4" t="n"/>
      <c r="DE1056" s="4" t="n"/>
      <c r="DF1056" s="4" t="n"/>
      <c r="DG1056" s="4" t="n"/>
      <c r="DH1056" s="4" t="n"/>
      <c r="DI1056" s="4" t="n"/>
      <c r="DJ1056" s="4" t="n"/>
      <c r="DK1056" s="4" t="n"/>
      <c r="DL1056" s="4" t="n"/>
      <c r="DM1056" s="4" t="n"/>
      <c r="DN1056" s="4" t="n"/>
      <c r="DO1056" s="4" t="n"/>
      <c r="DP1056" s="4" t="n"/>
      <c r="DQ1056" s="4" t="n"/>
      <c r="DR1056" s="4" t="n"/>
      <c r="DS1056" s="4" t="n"/>
      <c r="DT1056" s="4" t="n"/>
      <c r="DU1056" s="4" t="n"/>
      <c r="DV1056" s="4" t="n"/>
      <c r="DW1056" s="4" t="n"/>
      <c r="DX1056" s="4" t="n"/>
      <c r="DY1056" s="4" t="n"/>
      <c r="DZ1056" s="4" t="n"/>
      <c r="EA1056" s="4" t="n"/>
      <c r="EB1056" s="4" t="n"/>
      <c r="EC1056" s="4" t="n"/>
      <c r="ED1056" s="4" t="n"/>
      <c r="EE1056" s="4" t="n"/>
      <c r="EF1056" s="4" t="n"/>
      <c r="EG1056" s="4" t="n"/>
      <c r="EH1056" s="4" t="n"/>
      <c r="EI1056" s="4" t="n"/>
      <c r="EJ1056" s="4" t="n"/>
      <c r="EK1056" s="4" t="n"/>
      <c r="EL1056" s="4" t="n"/>
      <c r="EM1056" s="4" t="n"/>
    </row>
    <row r="1057" hidden="1" customFormat="1" s="6">
      <c r="C1057" s="4" t="n"/>
      <c r="D1057" s="4" t="n"/>
      <c r="E1057" s="4" t="n"/>
      <c r="F1057" s="4" t="n"/>
      <c r="G1057" s="4" t="n"/>
      <c r="H1057" s="4" t="n"/>
      <c r="I1057" s="4" t="n"/>
      <c r="J1057" s="4" t="n"/>
      <c r="K1057" s="4" t="n"/>
      <c r="L1057" s="4" t="n"/>
      <c r="M1057" s="4" t="n"/>
      <c r="N1057" s="4" t="n"/>
      <c r="O1057" s="4" t="n"/>
      <c r="P1057" s="4" t="n"/>
      <c r="Q1057" s="4" t="n"/>
      <c r="R1057" s="4" t="n"/>
      <c r="S1057" s="4" t="n"/>
      <c r="T1057" s="4" t="n"/>
      <c r="U1057" s="4" t="n"/>
      <c r="V1057" s="4" t="n"/>
      <c r="W1057" s="4" t="n"/>
      <c r="X1057" s="4" t="n"/>
      <c r="Y1057" s="4" t="n"/>
      <c r="Z1057" s="4" t="n"/>
      <c r="AA1057" s="4" t="n"/>
      <c r="AB1057" s="4" t="n"/>
      <c r="AC1057" s="4" t="n"/>
      <c r="AD1057" s="4" t="n"/>
      <c r="AE1057" s="4" t="n"/>
      <c r="AF1057" s="4" t="n"/>
      <c r="AG1057" s="4" t="n"/>
      <c r="AH1057" s="4" t="n"/>
      <c r="AI1057" s="4" t="n"/>
      <c r="AJ1057" s="4" t="n"/>
      <c r="AK1057" s="4" t="n"/>
      <c r="AL1057" s="4" t="n"/>
      <c r="AM1057" s="4" t="n"/>
      <c r="AN1057" s="4" t="n"/>
      <c r="AO1057" s="4" t="n"/>
      <c r="AP1057" s="4" t="n"/>
      <c r="AQ1057" s="4" t="n"/>
      <c r="AR1057" s="4" t="n"/>
      <c r="AS1057" s="4" t="n"/>
      <c r="AT1057" s="4" t="n"/>
      <c r="AU1057" s="4" t="n"/>
      <c r="AV1057" s="4" t="n"/>
      <c r="AW1057" s="4" t="n"/>
      <c r="AX1057" s="4" t="n"/>
      <c r="AY1057" s="4" t="n"/>
      <c r="AZ1057" s="4" t="n"/>
      <c r="BA1057" s="4" t="n"/>
      <c r="BB1057" s="4" t="n"/>
      <c r="BC1057" s="4" t="n"/>
      <c r="BD1057" s="4" t="n"/>
      <c r="BE1057" s="4" t="n"/>
      <c r="BF1057" s="4" t="n"/>
      <c r="BG1057" s="4" t="n"/>
      <c r="BH1057" s="4" t="n"/>
      <c r="BI1057" s="4" t="n"/>
      <c r="BJ1057" s="4" t="n"/>
      <c r="BK1057" s="4" t="n"/>
      <c r="BL1057" s="4" t="n"/>
      <c r="BM1057" s="4" t="n"/>
      <c r="BN1057" s="4" t="n"/>
      <c r="BO1057" s="4" t="n"/>
      <c r="BP1057" s="4" t="n"/>
      <c r="BQ1057" s="4" t="n"/>
      <c r="BR1057" s="4" t="n"/>
      <c r="BS1057" s="4" t="n"/>
      <c r="BT1057" s="4" t="n"/>
      <c r="BU1057" s="4" t="n"/>
      <c r="BV1057" s="4" t="n"/>
      <c r="BW1057" s="4" t="n"/>
      <c r="BX1057" s="4" t="n"/>
      <c r="BY1057" s="4" t="n"/>
      <c r="BZ1057" s="4" t="n"/>
      <c r="CA1057" s="4" t="n"/>
      <c r="CB1057" s="4" t="n"/>
      <c r="CC1057" s="4" t="n"/>
      <c r="CD1057" s="4" t="n"/>
      <c r="CE1057" s="4" t="n"/>
      <c r="CF1057" s="4" t="n"/>
      <c r="CG1057" s="4" t="n"/>
      <c r="CH1057" s="4" t="n"/>
      <c r="CI1057" s="4" t="n"/>
      <c r="CJ1057" s="4" t="n"/>
      <c r="CK1057" s="4" t="n"/>
      <c r="CL1057" s="4" t="n"/>
      <c r="CM1057" s="4" t="n"/>
      <c r="CN1057" s="4" t="n"/>
      <c r="CO1057" s="4" t="n"/>
      <c r="CP1057" s="4" t="n"/>
      <c r="CQ1057" s="4" t="n"/>
      <c r="CR1057" s="4" t="n"/>
      <c r="CS1057" s="4" t="n"/>
      <c r="CT1057" s="4" t="n"/>
      <c r="CU1057" s="4" t="n"/>
      <c r="CV1057" s="4" t="n"/>
      <c r="CW1057" s="4" t="n"/>
      <c r="CX1057" s="4" t="n"/>
      <c r="CY1057" s="4" t="n"/>
      <c r="CZ1057" s="4" t="n"/>
      <c r="DA1057" s="4" t="n"/>
      <c r="DB1057" s="4" t="n"/>
      <c r="DC1057" s="4" t="n"/>
      <c r="DD1057" s="4" t="n"/>
      <c r="DE1057" s="4" t="n"/>
      <c r="DF1057" s="4" t="n"/>
      <c r="DG1057" s="4" t="n"/>
      <c r="DH1057" s="4" t="n"/>
      <c r="DI1057" s="4" t="n"/>
      <c r="DJ1057" s="4" t="n"/>
      <c r="DK1057" s="4" t="n"/>
      <c r="DL1057" s="4" t="n"/>
      <c r="DM1057" s="4" t="n"/>
      <c r="DN1057" s="4" t="n"/>
      <c r="DO1057" s="4" t="n"/>
      <c r="DP1057" s="4" t="n"/>
      <c r="DQ1057" s="4" t="n"/>
      <c r="DR1057" s="4" t="n"/>
      <c r="DS1057" s="4" t="n"/>
      <c r="DT1057" s="4" t="n"/>
      <c r="DU1057" s="4" t="n"/>
      <c r="DV1057" s="4" t="n"/>
      <c r="DW1057" s="4" t="n"/>
      <c r="DX1057" s="4" t="n"/>
      <c r="DY1057" s="4" t="n"/>
      <c r="DZ1057" s="4" t="n"/>
      <c r="EA1057" s="4" t="n"/>
      <c r="EB1057" s="4" t="n"/>
      <c r="EC1057" s="4" t="n"/>
      <c r="ED1057" s="4" t="n"/>
      <c r="EE1057" s="4" t="n"/>
      <c r="EF1057" s="4" t="n"/>
      <c r="EG1057" s="4" t="n"/>
      <c r="EH1057" s="4" t="n"/>
      <c r="EI1057" s="4" t="n"/>
      <c r="EJ1057" s="4" t="n"/>
      <c r="EK1057" s="4" t="n"/>
      <c r="EL1057" s="4" t="n"/>
      <c r="EM1057" s="4" t="n"/>
    </row>
    <row r="1058" hidden="1" customFormat="1" s="6">
      <c r="C1058" s="4" t="n"/>
      <c r="D1058" s="4" t="n"/>
      <c r="E1058" s="4" t="n"/>
      <c r="F1058" s="4" t="n"/>
      <c r="G1058" s="4" t="n"/>
      <c r="H1058" s="4" t="n"/>
      <c r="I1058" s="4" t="n"/>
      <c r="J1058" s="4" t="n"/>
      <c r="K1058" s="4" t="n"/>
      <c r="L1058" s="4" t="n"/>
      <c r="M1058" s="4" t="n"/>
      <c r="N1058" s="4" t="n"/>
      <c r="O1058" s="4" t="n"/>
      <c r="P1058" s="4" t="n"/>
      <c r="Q1058" s="4" t="n"/>
      <c r="R1058" s="4" t="n"/>
      <c r="S1058" s="4" t="n"/>
      <c r="T1058" s="4" t="n"/>
      <c r="U1058" s="4" t="n"/>
      <c r="V1058" s="4" t="n"/>
      <c r="W1058" s="4" t="n"/>
      <c r="X1058" s="4" t="n"/>
      <c r="Y1058" s="4" t="n"/>
      <c r="Z1058" s="4" t="n"/>
      <c r="AA1058" s="4" t="n"/>
      <c r="AB1058" s="4" t="n"/>
      <c r="AC1058" s="4" t="n"/>
      <c r="AD1058" s="4" t="n"/>
      <c r="AE1058" s="4" t="n"/>
      <c r="AF1058" s="4" t="n"/>
      <c r="AG1058" s="4" t="n"/>
      <c r="AH1058" s="4" t="n"/>
      <c r="AI1058" s="4" t="n"/>
      <c r="AJ1058" s="4" t="n"/>
      <c r="AK1058" s="4" t="n"/>
      <c r="AL1058" s="4" t="n"/>
      <c r="AM1058" s="4" t="n"/>
      <c r="AN1058" s="4" t="n"/>
      <c r="AO1058" s="4" t="n"/>
      <c r="AP1058" s="4" t="n"/>
      <c r="AQ1058" s="4" t="n"/>
      <c r="AR1058" s="4" t="n"/>
      <c r="AS1058" s="4" t="n"/>
      <c r="AT1058" s="4" t="n"/>
      <c r="AU1058" s="4" t="n"/>
      <c r="AV1058" s="4" t="n"/>
      <c r="AW1058" s="4" t="n"/>
      <c r="AX1058" s="4" t="n"/>
      <c r="AY1058" s="4" t="n"/>
      <c r="AZ1058" s="4" t="n"/>
      <c r="BA1058" s="4" t="n"/>
      <c r="BB1058" s="4" t="n"/>
      <c r="BC1058" s="4" t="n"/>
      <c r="BD1058" s="4" t="n"/>
      <c r="BE1058" s="4" t="n"/>
      <c r="BF1058" s="4" t="n"/>
      <c r="BG1058" s="4" t="n"/>
      <c r="BH1058" s="4" t="n"/>
      <c r="BI1058" s="4" t="n"/>
      <c r="BJ1058" s="4" t="n"/>
      <c r="BK1058" s="4" t="n"/>
      <c r="BL1058" s="4" t="n"/>
      <c r="BM1058" s="4" t="n"/>
      <c r="BN1058" s="4" t="n"/>
      <c r="BO1058" s="4" t="n"/>
      <c r="BP1058" s="4" t="n"/>
      <c r="BQ1058" s="4" t="n"/>
      <c r="BR1058" s="4" t="n"/>
      <c r="BS1058" s="4" t="n"/>
      <c r="BT1058" s="4" t="n"/>
      <c r="BU1058" s="4" t="n"/>
      <c r="BV1058" s="4" t="n"/>
      <c r="BW1058" s="4" t="n"/>
      <c r="BX1058" s="4" t="n"/>
      <c r="BY1058" s="4" t="n"/>
      <c r="BZ1058" s="4" t="n"/>
      <c r="CA1058" s="4" t="n"/>
      <c r="CB1058" s="4" t="n"/>
      <c r="CC1058" s="4" t="n"/>
      <c r="CD1058" s="4" t="n"/>
      <c r="CE1058" s="4" t="n"/>
      <c r="CF1058" s="4" t="n"/>
      <c r="CG1058" s="4" t="n"/>
      <c r="CH1058" s="4" t="n"/>
      <c r="CI1058" s="4" t="n"/>
      <c r="CJ1058" s="4" t="n"/>
      <c r="CK1058" s="4" t="n"/>
      <c r="CL1058" s="4" t="n"/>
      <c r="CM1058" s="4" t="n"/>
      <c r="CN1058" s="4" t="n"/>
      <c r="CO1058" s="4" t="n"/>
      <c r="CP1058" s="4" t="n"/>
      <c r="CQ1058" s="4" t="n"/>
      <c r="CR1058" s="4" t="n"/>
      <c r="CS1058" s="4" t="n"/>
      <c r="CT1058" s="4" t="n"/>
      <c r="CU1058" s="4" t="n"/>
      <c r="CV1058" s="4" t="n"/>
      <c r="CW1058" s="4" t="n"/>
      <c r="CX1058" s="4" t="n"/>
      <c r="CY1058" s="4" t="n"/>
      <c r="CZ1058" s="4" t="n"/>
      <c r="DA1058" s="4" t="n"/>
      <c r="DB1058" s="4" t="n"/>
      <c r="DC1058" s="4" t="n"/>
      <c r="DD1058" s="4" t="n"/>
      <c r="DE1058" s="4" t="n"/>
      <c r="DF1058" s="4" t="n"/>
      <c r="DG1058" s="4" t="n"/>
      <c r="DH1058" s="4" t="n"/>
      <c r="DI1058" s="4" t="n"/>
      <c r="DJ1058" s="4" t="n"/>
      <c r="DK1058" s="4" t="n"/>
      <c r="DL1058" s="4" t="n"/>
      <c r="DM1058" s="4" t="n"/>
      <c r="DN1058" s="4" t="n"/>
      <c r="DO1058" s="4" t="n"/>
      <c r="DP1058" s="4" t="n"/>
      <c r="DQ1058" s="4" t="n"/>
      <c r="DR1058" s="4" t="n"/>
      <c r="DS1058" s="4" t="n"/>
      <c r="DT1058" s="4" t="n"/>
      <c r="DU1058" s="4" t="n"/>
      <c r="DV1058" s="4" t="n"/>
      <c r="DW1058" s="4" t="n"/>
      <c r="DX1058" s="4" t="n"/>
      <c r="DY1058" s="4" t="n"/>
      <c r="DZ1058" s="4" t="n"/>
      <c r="EA1058" s="4" t="n"/>
      <c r="EB1058" s="4" t="n"/>
      <c r="EC1058" s="4" t="n"/>
      <c r="ED1058" s="4" t="n"/>
      <c r="EE1058" s="4" t="n"/>
      <c r="EF1058" s="4" t="n"/>
      <c r="EG1058" s="4" t="n"/>
      <c r="EH1058" s="4" t="n"/>
      <c r="EI1058" s="4" t="n"/>
      <c r="EJ1058" s="4" t="n"/>
      <c r="EK1058" s="4" t="n"/>
      <c r="EL1058" s="4" t="n"/>
      <c r="EM1058" s="4" t="n"/>
    </row>
    <row r="1059" hidden="1" customFormat="1" s="6">
      <c r="C1059" s="4" t="n"/>
      <c r="D1059" s="4" t="n"/>
      <c r="E1059" s="4" t="n"/>
      <c r="F1059" s="4" t="n"/>
      <c r="G1059" s="4" t="n"/>
      <c r="H1059" s="4" t="n"/>
      <c r="I1059" s="4" t="n"/>
      <c r="J1059" s="4" t="n"/>
      <c r="K1059" s="4" t="n"/>
      <c r="L1059" s="4" t="n"/>
      <c r="M1059" s="4" t="n"/>
      <c r="N1059" s="4" t="n"/>
      <c r="O1059" s="4" t="n"/>
      <c r="P1059" s="4" t="n"/>
      <c r="Q1059" s="4" t="n"/>
      <c r="R1059" s="4" t="n"/>
      <c r="S1059" s="4" t="n"/>
      <c r="T1059" s="4" t="n"/>
      <c r="U1059" s="4" t="n"/>
      <c r="V1059" s="4" t="n"/>
      <c r="W1059" s="4" t="n"/>
      <c r="X1059" s="4" t="n"/>
      <c r="Y1059" s="4" t="n"/>
      <c r="Z1059" s="4" t="n"/>
      <c r="AA1059" s="4" t="n"/>
      <c r="AB1059" s="4" t="n"/>
      <c r="AC1059" s="4" t="n"/>
      <c r="AD1059" s="4" t="n"/>
      <c r="AE1059" s="4" t="n"/>
      <c r="AF1059" s="4" t="n"/>
      <c r="AG1059" s="4" t="n"/>
      <c r="AH1059" s="4" t="n"/>
      <c r="AI1059" s="4" t="n"/>
      <c r="AJ1059" s="4" t="n"/>
      <c r="AK1059" s="4" t="n"/>
      <c r="AL1059" s="4" t="n"/>
      <c r="AM1059" s="4" t="n"/>
      <c r="AN1059" s="4" t="n"/>
      <c r="AO1059" s="4" t="n"/>
      <c r="AP1059" s="4" t="n"/>
      <c r="AQ1059" s="4" t="n"/>
      <c r="AR1059" s="4" t="n"/>
      <c r="AS1059" s="4" t="n"/>
      <c r="AT1059" s="4" t="n"/>
      <c r="AU1059" s="4" t="n"/>
      <c r="AV1059" s="4" t="n"/>
      <c r="AW1059" s="4" t="n"/>
      <c r="AX1059" s="4" t="n"/>
      <c r="AY1059" s="4" t="n"/>
      <c r="AZ1059" s="4" t="n"/>
      <c r="BA1059" s="4" t="n"/>
      <c r="BB1059" s="4" t="n"/>
      <c r="BC1059" s="4" t="n"/>
      <c r="BD1059" s="4" t="n"/>
      <c r="BE1059" s="4" t="n"/>
      <c r="BF1059" s="4" t="n"/>
      <c r="BG1059" s="4" t="n"/>
      <c r="BH1059" s="4" t="n"/>
      <c r="BI1059" s="4" t="n"/>
      <c r="BJ1059" s="4" t="n"/>
      <c r="BK1059" s="4" t="n"/>
      <c r="BL1059" s="4" t="n"/>
      <c r="BM1059" s="4" t="n"/>
      <c r="BN1059" s="4" t="n"/>
      <c r="BO1059" s="4" t="n"/>
      <c r="BP1059" s="4" t="n"/>
      <c r="BQ1059" s="4" t="n"/>
      <c r="BR1059" s="4" t="n"/>
      <c r="BS1059" s="4" t="n"/>
      <c r="BT1059" s="4" t="n"/>
      <c r="BU1059" s="4" t="n"/>
      <c r="BV1059" s="4" t="n"/>
      <c r="BW1059" s="4" t="n"/>
      <c r="BX1059" s="4" t="n"/>
      <c r="BY1059" s="4" t="n"/>
      <c r="BZ1059" s="4" t="n"/>
      <c r="CA1059" s="4" t="n"/>
      <c r="CB1059" s="4" t="n"/>
      <c r="CC1059" s="4" t="n"/>
      <c r="CD1059" s="4" t="n"/>
      <c r="CE1059" s="4" t="n"/>
      <c r="CF1059" s="4" t="n"/>
      <c r="CG1059" s="4" t="n"/>
      <c r="CH1059" s="4" t="n"/>
      <c r="CI1059" s="4" t="n"/>
      <c r="CJ1059" s="4" t="n"/>
      <c r="CK1059" s="4" t="n"/>
      <c r="CL1059" s="4" t="n"/>
      <c r="CM1059" s="4" t="n"/>
      <c r="CN1059" s="4" t="n"/>
      <c r="CO1059" s="4" t="n"/>
      <c r="CP1059" s="4" t="n"/>
      <c r="CQ1059" s="4" t="n"/>
      <c r="CR1059" s="4" t="n"/>
      <c r="CS1059" s="4" t="n"/>
      <c r="CT1059" s="4" t="n"/>
      <c r="CU1059" s="4" t="n"/>
      <c r="CV1059" s="4" t="n"/>
      <c r="CW1059" s="4" t="n"/>
      <c r="CX1059" s="4" t="n"/>
      <c r="CY1059" s="4" t="n"/>
      <c r="CZ1059" s="4" t="n"/>
      <c r="DA1059" s="4" t="n"/>
      <c r="DB1059" s="4" t="n"/>
      <c r="DC1059" s="4" t="n"/>
      <c r="DD1059" s="4" t="n"/>
      <c r="DE1059" s="4" t="n"/>
      <c r="DF1059" s="4" t="n"/>
      <c r="DG1059" s="4" t="n"/>
      <c r="DH1059" s="4" t="n"/>
      <c r="DI1059" s="4" t="n"/>
      <c r="DJ1059" s="4" t="n"/>
      <c r="DK1059" s="4" t="n"/>
      <c r="DL1059" s="4" t="n"/>
      <c r="DM1059" s="4" t="n"/>
      <c r="DN1059" s="4" t="n"/>
      <c r="DO1059" s="4" t="n"/>
      <c r="DP1059" s="4" t="n"/>
      <c r="DQ1059" s="4" t="n"/>
      <c r="DR1059" s="4" t="n"/>
      <c r="DS1059" s="4" t="n"/>
      <c r="DT1059" s="4" t="n"/>
      <c r="DU1059" s="4" t="n"/>
      <c r="DV1059" s="4" t="n"/>
      <c r="DW1059" s="4" t="n"/>
      <c r="DX1059" s="4" t="n"/>
      <c r="DY1059" s="4" t="n"/>
      <c r="DZ1059" s="4" t="n"/>
      <c r="EA1059" s="4" t="n"/>
      <c r="EB1059" s="4" t="n"/>
      <c r="EC1059" s="4" t="n"/>
      <c r="ED1059" s="4" t="n"/>
      <c r="EE1059" s="4" t="n"/>
      <c r="EF1059" s="4" t="n"/>
      <c r="EG1059" s="4" t="n"/>
      <c r="EH1059" s="4" t="n"/>
      <c r="EI1059" s="4" t="n"/>
      <c r="EJ1059" s="4" t="n"/>
      <c r="EK1059" s="4" t="n"/>
      <c r="EL1059" s="4" t="n"/>
      <c r="EM1059" s="4" t="n"/>
    </row>
    <row r="1060" hidden="1" customFormat="1" s="6">
      <c r="C1060" s="4" t="n"/>
      <c r="D1060" s="4" t="n"/>
      <c r="E1060" s="4" t="n"/>
      <c r="F1060" s="4" t="n"/>
      <c r="G1060" s="4" t="n"/>
      <c r="H1060" s="4" t="n"/>
      <c r="I1060" s="4" t="n"/>
      <c r="J1060" s="4" t="n"/>
      <c r="K1060" s="4" t="n"/>
      <c r="L1060" s="4" t="n"/>
      <c r="M1060" s="4" t="n"/>
      <c r="N1060" s="4" t="n"/>
      <c r="O1060" s="4" t="n"/>
      <c r="P1060" s="4" t="n"/>
      <c r="Q1060" s="4" t="n"/>
      <c r="R1060" s="4" t="n"/>
      <c r="S1060" s="4" t="n"/>
      <c r="T1060" s="4" t="n"/>
      <c r="U1060" s="4" t="n"/>
      <c r="V1060" s="4" t="n"/>
      <c r="W1060" s="4" t="n"/>
      <c r="X1060" s="4" t="n"/>
      <c r="Y1060" s="4" t="n"/>
      <c r="Z1060" s="4" t="n"/>
      <c r="AA1060" s="4" t="n"/>
      <c r="AB1060" s="4" t="n"/>
      <c r="AC1060" s="4" t="n"/>
      <c r="AD1060" s="4" t="n"/>
      <c r="AE1060" s="4" t="n"/>
      <c r="AF1060" s="4" t="n"/>
      <c r="AG1060" s="4" t="n"/>
      <c r="AH1060" s="4" t="n"/>
      <c r="AI1060" s="4" t="n"/>
      <c r="AJ1060" s="4" t="n"/>
      <c r="AK1060" s="4" t="n"/>
      <c r="AL1060" s="4" t="n"/>
      <c r="AM1060" s="4" t="n"/>
      <c r="AN1060" s="4" t="n"/>
      <c r="AO1060" s="4" t="n"/>
      <c r="AP1060" s="4" t="n"/>
      <c r="AQ1060" s="4" t="n"/>
      <c r="AR1060" s="4" t="n"/>
      <c r="AS1060" s="4" t="n"/>
      <c r="AT1060" s="4" t="n"/>
      <c r="AU1060" s="4" t="n"/>
      <c r="AV1060" s="4" t="n"/>
      <c r="AW1060" s="4" t="n"/>
      <c r="AX1060" s="4" t="n"/>
      <c r="AY1060" s="4" t="n"/>
      <c r="AZ1060" s="4" t="n"/>
      <c r="BA1060" s="4" t="n"/>
      <c r="BB1060" s="4" t="n"/>
      <c r="BC1060" s="4" t="n"/>
      <c r="BD1060" s="4" t="n"/>
      <c r="BE1060" s="4" t="n"/>
      <c r="BF1060" s="4" t="n"/>
      <c r="BG1060" s="4" t="n"/>
      <c r="BH1060" s="4" t="n"/>
      <c r="BI1060" s="4" t="n"/>
      <c r="BJ1060" s="4" t="n"/>
      <c r="BK1060" s="4" t="n"/>
      <c r="BL1060" s="4" t="n"/>
      <c r="BM1060" s="4" t="n"/>
      <c r="BN1060" s="4" t="n"/>
      <c r="BO1060" s="4" t="n"/>
      <c r="BP1060" s="4" t="n"/>
      <c r="BQ1060" s="4" t="n"/>
      <c r="BR1060" s="4" t="n"/>
      <c r="BS1060" s="4" t="n"/>
      <c r="BT1060" s="4" t="n"/>
      <c r="BU1060" s="4" t="n"/>
      <c r="BV1060" s="4" t="n"/>
      <c r="BW1060" s="4" t="n"/>
      <c r="BX1060" s="4" t="n"/>
      <c r="BY1060" s="4" t="n"/>
      <c r="BZ1060" s="4" t="n"/>
      <c r="CA1060" s="4" t="n"/>
      <c r="CB1060" s="4" t="n"/>
      <c r="CC1060" s="4" t="n"/>
      <c r="CD1060" s="4" t="n"/>
      <c r="CE1060" s="4" t="n"/>
      <c r="CF1060" s="4" t="n"/>
      <c r="CG1060" s="4" t="n"/>
      <c r="CH1060" s="4" t="n"/>
      <c r="CI1060" s="4" t="n"/>
      <c r="CJ1060" s="4" t="n"/>
      <c r="CK1060" s="4" t="n"/>
      <c r="CL1060" s="4" t="n"/>
      <c r="CM1060" s="4" t="n"/>
      <c r="CN1060" s="4" t="n"/>
      <c r="CO1060" s="4" t="n"/>
      <c r="CP1060" s="4" t="n"/>
      <c r="CQ1060" s="4" t="n"/>
      <c r="CR1060" s="4" t="n"/>
      <c r="CS1060" s="4" t="n"/>
      <c r="CT1060" s="4" t="n"/>
      <c r="CU1060" s="4" t="n"/>
      <c r="CV1060" s="4" t="n"/>
      <c r="CW1060" s="4" t="n"/>
      <c r="CX1060" s="4" t="n"/>
      <c r="CY1060" s="4" t="n"/>
      <c r="CZ1060" s="4" t="n"/>
      <c r="DA1060" s="4" t="n"/>
      <c r="DB1060" s="4" t="n"/>
      <c r="DC1060" s="4" t="n"/>
      <c r="DD1060" s="4" t="n"/>
      <c r="DE1060" s="4" t="n"/>
      <c r="DF1060" s="4" t="n"/>
      <c r="DG1060" s="4" t="n"/>
      <c r="DH1060" s="4" t="n"/>
      <c r="DI1060" s="4" t="n"/>
      <c r="DJ1060" s="4" t="n"/>
      <c r="DK1060" s="4" t="n"/>
      <c r="DL1060" s="4" t="n"/>
      <c r="DM1060" s="4" t="n"/>
      <c r="DN1060" s="4" t="n"/>
      <c r="DO1060" s="4" t="n"/>
      <c r="DP1060" s="4" t="n"/>
      <c r="DQ1060" s="4" t="n"/>
      <c r="DR1060" s="4" t="n"/>
      <c r="DS1060" s="4" t="n"/>
      <c r="DT1060" s="4" t="n"/>
      <c r="DU1060" s="4" t="n"/>
      <c r="DV1060" s="4" t="n"/>
      <c r="DW1060" s="4" t="n"/>
      <c r="DX1060" s="4" t="n"/>
      <c r="DY1060" s="4" t="n"/>
      <c r="DZ1060" s="4" t="n"/>
      <c r="EA1060" s="4" t="n"/>
      <c r="EB1060" s="4" t="n"/>
      <c r="EC1060" s="4" t="n"/>
      <c r="ED1060" s="4" t="n"/>
      <c r="EE1060" s="4" t="n"/>
      <c r="EF1060" s="4" t="n"/>
      <c r="EG1060" s="4" t="n"/>
      <c r="EH1060" s="4" t="n"/>
      <c r="EI1060" s="4" t="n"/>
      <c r="EJ1060" s="4" t="n"/>
      <c r="EK1060" s="4" t="n"/>
      <c r="EL1060" s="4" t="n"/>
      <c r="EM1060" s="4" t="n"/>
    </row>
    <row r="1061" hidden="1" customFormat="1" s="6">
      <c r="C1061" s="4" t="n"/>
      <c r="D1061" s="4" t="n"/>
      <c r="E1061" s="4" t="n"/>
      <c r="F1061" s="4" t="n"/>
      <c r="G1061" s="4" t="n"/>
      <c r="H1061" s="4" t="n"/>
      <c r="I1061" s="4" t="n"/>
      <c r="J1061" s="4" t="n"/>
      <c r="K1061" s="4" t="n"/>
      <c r="L1061" s="4" t="n"/>
      <c r="M1061" s="4" t="n"/>
      <c r="N1061" s="4" t="n"/>
      <c r="O1061" s="4" t="n"/>
      <c r="P1061" s="4" t="n"/>
      <c r="Q1061" s="4" t="n"/>
      <c r="R1061" s="4" t="n"/>
      <c r="S1061" s="4" t="n"/>
      <c r="T1061" s="4" t="n"/>
      <c r="U1061" s="4" t="n"/>
      <c r="V1061" s="4" t="n"/>
      <c r="W1061" s="4" t="n"/>
      <c r="X1061" s="4" t="n"/>
      <c r="Y1061" s="4" t="n"/>
      <c r="Z1061" s="4" t="n"/>
      <c r="AA1061" s="4" t="n"/>
      <c r="AB1061" s="4" t="n"/>
      <c r="AC1061" s="4" t="n"/>
      <c r="AD1061" s="4" t="n"/>
      <c r="AE1061" s="4" t="n"/>
      <c r="AF1061" s="4" t="n"/>
      <c r="AG1061" s="4" t="n"/>
      <c r="AH1061" s="4" t="n"/>
      <c r="AI1061" s="4" t="n"/>
      <c r="AJ1061" s="4" t="n"/>
      <c r="AK1061" s="4" t="n"/>
      <c r="AL1061" s="4" t="n"/>
      <c r="AM1061" s="4" t="n"/>
      <c r="AN1061" s="4" t="n"/>
      <c r="AO1061" s="4" t="n"/>
      <c r="AP1061" s="4" t="n"/>
      <c r="AQ1061" s="4" t="n"/>
      <c r="AR1061" s="4" t="n"/>
      <c r="AS1061" s="4" t="n"/>
      <c r="AT1061" s="4" t="n"/>
      <c r="AU1061" s="4" t="n"/>
      <c r="AV1061" s="4" t="n"/>
      <c r="AW1061" s="4" t="n"/>
      <c r="AX1061" s="4" t="n"/>
      <c r="AY1061" s="4" t="n"/>
      <c r="AZ1061" s="4" t="n"/>
      <c r="BA1061" s="4" t="n"/>
      <c r="BB1061" s="4" t="n"/>
      <c r="BC1061" s="4" t="n"/>
      <c r="BD1061" s="4" t="n"/>
      <c r="BE1061" s="4" t="n"/>
      <c r="BF1061" s="4" t="n"/>
      <c r="BG1061" s="4" t="n"/>
      <c r="BH1061" s="4" t="n"/>
      <c r="BI1061" s="4" t="n"/>
      <c r="BJ1061" s="4" t="n"/>
      <c r="BK1061" s="4" t="n"/>
      <c r="BL1061" s="4" t="n"/>
      <c r="BM1061" s="4" t="n"/>
      <c r="BN1061" s="4" t="n"/>
      <c r="BO1061" s="4" t="n"/>
      <c r="BP1061" s="4" t="n"/>
      <c r="BQ1061" s="4" t="n"/>
      <c r="BR1061" s="4" t="n"/>
      <c r="BS1061" s="4" t="n"/>
      <c r="BT1061" s="4" t="n"/>
      <c r="BU1061" s="4" t="n"/>
      <c r="BV1061" s="4" t="n"/>
      <c r="BW1061" s="4" t="n"/>
      <c r="BX1061" s="4" t="n"/>
      <c r="BY1061" s="4" t="n"/>
      <c r="BZ1061" s="4" t="n"/>
      <c r="CA1061" s="4" t="n"/>
      <c r="CB1061" s="4" t="n"/>
      <c r="CC1061" s="4" t="n"/>
      <c r="CD1061" s="4" t="n"/>
      <c r="CE1061" s="4" t="n"/>
      <c r="CF1061" s="4" t="n"/>
      <c r="CG1061" s="4" t="n"/>
      <c r="CH1061" s="4" t="n"/>
      <c r="CI1061" s="4" t="n"/>
      <c r="CJ1061" s="4" t="n"/>
      <c r="CK1061" s="4" t="n"/>
      <c r="CL1061" s="4" t="n"/>
      <c r="CM1061" s="4" t="n"/>
      <c r="CN1061" s="4" t="n"/>
      <c r="CO1061" s="4" t="n"/>
      <c r="CP1061" s="4" t="n"/>
      <c r="CQ1061" s="4" t="n"/>
      <c r="CR1061" s="4" t="n"/>
      <c r="CS1061" s="4" t="n"/>
      <c r="CT1061" s="4" t="n"/>
      <c r="CU1061" s="4" t="n"/>
      <c r="CV1061" s="4" t="n"/>
      <c r="CW1061" s="4" t="n"/>
      <c r="CX1061" s="4" t="n"/>
      <c r="CY1061" s="4" t="n"/>
      <c r="CZ1061" s="4" t="n"/>
      <c r="DA1061" s="4" t="n"/>
      <c r="DB1061" s="4" t="n"/>
      <c r="DC1061" s="4" t="n"/>
      <c r="DD1061" s="4" t="n"/>
      <c r="DE1061" s="4" t="n"/>
      <c r="DF1061" s="4" t="n"/>
      <c r="DG1061" s="4" t="n"/>
      <c r="DH1061" s="4" t="n"/>
      <c r="DI1061" s="4" t="n"/>
      <c r="DJ1061" s="4" t="n"/>
      <c r="DK1061" s="4" t="n"/>
      <c r="DL1061" s="4" t="n"/>
      <c r="DM1061" s="4" t="n"/>
      <c r="DN1061" s="4" t="n"/>
      <c r="DO1061" s="4" t="n"/>
      <c r="DP1061" s="4" t="n"/>
      <c r="DQ1061" s="4" t="n"/>
      <c r="DR1061" s="4" t="n"/>
      <c r="DS1061" s="4" t="n"/>
      <c r="DT1061" s="4" t="n"/>
      <c r="DU1061" s="4" t="n"/>
      <c r="DV1061" s="4" t="n"/>
      <c r="DW1061" s="4" t="n"/>
      <c r="DX1061" s="4" t="n"/>
      <c r="DY1061" s="4" t="n"/>
      <c r="DZ1061" s="4" t="n"/>
      <c r="EA1061" s="4" t="n"/>
      <c r="EB1061" s="4" t="n"/>
      <c r="EC1061" s="4" t="n"/>
      <c r="ED1061" s="4" t="n"/>
      <c r="EE1061" s="4" t="n"/>
      <c r="EF1061" s="4" t="n"/>
      <c r="EG1061" s="4" t="n"/>
      <c r="EH1061" s="4" t="n"/>
      <c r="EI1061" s="4" t="n"/>
      <c r="EJ1061" s="4" t="n"/>
      <c r="EK1061" s="4" t="n"/>
      <c r="EL1061" s="4" t="n"/>
      <c r="EM1061" s="4" t="n"/>
    </row>
    <row r="1062" hidden="1" customFormat="1" s="6">
      <c r="C1062" s="4" t="n"/>
      <c r="D1062" s="4" t="n"/>
      <c r="E1062" s="4" t="n"/>
      <c r="F1062" s="4" t="n"/>
      <c r="G1062" s="4" t="n"/>
      <c r="H1062" s="4" t="n"/>
      <c r="I1062" s="4" t="n"/>
      <c r="J1062" s="4" t="n"/>
      <c r="K1062" s="4" t="n"/>
      <c r="L1062" s="4" t="n"/>
      <c r="M1062" s="4" t="n"/>
      <c r="N1062" s="4" t="n"/>
      <c r="O1062" s="4" t="n"/>
      <c r="P1062" s="4" t="n"/>
      <c r="Q1062" s="4" t="n"/>
      <c r="R1062" s="4" t="n"/>
      <c r="S1062" s="4" t="n"/>
      <c r="T1062" s="4" t="n"/>
      <c r="U1062" s="4" t="n"/>
      <c r="V1062" s="4" t="n"/>
      <c r="W1062" s="4" t="n"/>
      <c r="X1062" s="4" t="n"/>
      <c r="Y1062" s="4" t="n"/>
      <c r="Z1062" s="4" t="n"/>
      <c r="AA1062" s="4" t="n"/>
      <c r="AB1062" s="4" t="n"/>
      <c r="AC1062" s="4" t="n"/>
      <c r="AD1062" s="4" t="n"/>
      <c r="AE1062" s="4" t="n"/>
      <c r="AF1062" s="4" t="n"/>
      <c r="AG1062" s="4" t="n"/>
      <c r="AH1062" s="4" t="n"/>
      <c r="AI1062" s="4" t="n"/>
      <c r="AJ1062" s="4" t="n"/>
      <c r="AK1062" s="4" t="n"/>
      <c r="AL1062" s="4" t="n"/>
      <c r="AM1062" s="4" t="n"/>
      <c r="AN1062" s="4" t="n"/>
      <c r="AO1062" s="4" t="n"/>
      <c r="AP1062" s="4" t="n"/>
      <c r="AQ1062" s="4" t="n"/>
      <c r="AR1062" s="4" t="n"/>
      <c r="AS1062" s="4" t="n"/>
      <c r="AT1062" s="4" t="n"/>
      <c r="AU1062" s="4" t="n"/>
      <c r="AV1062" s="4" t="n"/>
      <c r="AW1062" s="4" t="n"/>
      <c r="AX1062" s="4" t="n"/>
      <c r="AY1062" s="4" t="n"/>
      <c r="AZ1062" s="4" t="n"/>
      <c r="BA1062" s="4" t="n"/>
      <c r="BB1062" s="4" t="n"/>
      <c r="BC1062" s="4" t="n"/>
      <c r="BD1062" s="4" t="n"/>
      <c r="BE1062" s="4" t="n"/>
      <c r="BF1062" s="4" t="n"/>
      <c r="BG1062" s="4" t="n"/>
      <c r="BH1062" s="4" t="n"/>
      <c r="BI1062" s="4" t="n"/>
      <c r="BJ1062" s="4" t="n"/>
      <c r="BK1062" s="4" t="n"/>
      <c r="BL1062" s="4" t="n"/>
      <c r="BM1062" s="4" t="n"/>
      <c r="BN1062" s="4" t="n"/>
      <c r="BO1062" s="4" t="n"/>
      <c r="BP1062" s="4" t="n"/>
      <c r="BQ1062" s="4" t="n"/>
      <c r="BR1062" s="4" t="n"/>
      <c r="BS1062" s="4" t="n"/>
      <c r="BT1062" s="4" t="n"/>
      <c r="BU1062" s="4" t="n"/>
      <c r="BV1062" s="4" t="n"/>
      <c r="BW1062" s="4" t="n"/>
      <c r="BX1062" s="4" t="n"/>
      <c r="BY1062" s="4" t="n"/>
      <c r="BZ1062" s="4" t="n"/>
      <c r="CA1062" s="4" t="n"/>
      <c r="CB1062" s="4" t="n"/>
      <c r="CC1062" s="4" t="n"/>
      <c r="CD1062" s="4" t="n"/>
      <c r="CE1062" s="4" t="n"/>
      <c r="CF1062" s="4" t="n"/>
      <c r="CG1062" s="4" t="n"/>
      <c r="CH1062" s="4" t="n"/>
      <c r="CI1062" s="4" t="n"/>
      <c r="CJ1062" s="4" t="n"/>
      <c r="CK1062" s="4" t="n"/>
      <c r="CL1062" s="4" t="n"/>
      <c r="CM1062" s="4" t="n"/>
      <c r="CN1062" s="4" t="n"/>
      <c r="CO1062" s="4" t="n"/>
      <c r="CP1062" s="4" t="n"/>
      <c r="CQ1062" s="4" t="n"/>
      <c r="CR1062" s="4" t="n"/>
      <c r="CS1062" s="4" t="n"/>
      <c r="CT1062" s="4" t="n"/>
      <c r="CU1062" s="4" t="n"/>
      <c r="CV1062" s="4" t="n"/>
      <c r="CW1062" s="4" t="n"/>
      <c r="CX1062" s="4" t="n"/>
      <c r="CY1062" s="4" t="n"/>
      <c r="CZ1062" s="4" t="n"/>
      <c r="DA1062" s="4" t="n"/>
      <c r="DB1062" s="4" t="n"/>
      <c r="DC1062" s="4" t="n"/>
      <c r="DD1062" s="4" t="n"/>
      <c r="DE1062" s="4" t="n"/>
      <c r="DF1062" s="4" t="n"/>
      <c r="DG1062" s="4" t="n"/>
      <c r="DH1062" s="4" t="n"/>
      <c r="DI1062" s="4" t="n"/>
      <c r="DJ1062" s="4" t="n"/>
      <c r="DK1062" s="4" t="n"/>
      <c r="DL1062" s="4" t="n"/>
      <c r="DM1062" s="4" t="n"/>
      <c r="DN1062" s="4" t="n"/>
      <c r="DO1062" s="4" t="n"/>
      <c r="DP1062" s="4" t="n"/>
      <c r="DQ1062" s="4" t="n"/>
      <c r="DR1062" s="4" t="n"/>
      <c r="DS1062" s="4" t="n"/>
      <c r="DT1062" s="4" t="n"/>
      <c r="DU1062" s="4" t="n"/>
      <c r="DV1062" s="4" t="n"/>
      <c r="DW1062" s="4" t="n"/>
      <c r="DX1062" s="4" t="n"/>
      <c r="DY1062" s="4" t="n"/>
      <c r="DZ1062" s="4" t="n"/>
      <c r="EA1062" s="4" t="n"/>
      <c r="EB1062" s="4" t="n"/>
      <c r="EC1062" s="4" t="n"/>
      <c r="ED1062" s="4" t="n"/>
      <c r="EE1062" s="4" t="n"/>
      <c r="EF1062" s="4" t="n"/>
      <c r="EG1062" s="4" t="n"/>
      <c r="EH1062" s="4" t="n"/>
      <c r="EI1062" s="4" t="n"/>
      <c r="EJ1062" s="4" t="n"/>
      <c r="EK1062" s="4" t="n"/>
      <c r="EL1062" s="4" t="n"/>
      <c r="EM1062" s="4" t="n"/>
    </row>
    <row r="1063" hidden="1" customFormat="1" s="6">
      <c r="C1063" s="4" t="n"/>
      <c r="D1063" s="4" t="n"/>
      <c r="E1063" s="4" t="n"/>
      <c r="F1063" s="4" t="n"/>
      <c r="G1063" s="4" t="n"/>
      <c r="H1063" s="4" t="n"/>
      <c r="I1063" s="4" t="n"/>
      <c r="J1063" s="4" t="n"/>
      <c r="K1063" s="4" t="n"/>
      <c r="L1063" s="4" t="n"/>
      <c r="M1063" s="4" t="n"/>
      <c r="N1063" s="4" t="n"/>
      <c r="O1063" s="4" t="n"/>
      <c r="P1063" s="4" t="n"/>
      <c r="Q1063" s="4" t="n"/>
      <c r="R1063" s="4" t="n"/>
      <c r="S1063" s="4" t="n"/>
      <c r="T1063" s="4" t="n"/>
      <c r="U1063" s="4" t="n"/>
      <c r="V1063" s="4" t="n"/>
      <c r="W1063" s="4" t="n"/>
      <c r="X1063" s="4" t="n"/>
      <c r="Y1063" s="4" t="n"/>
      <c r="Z1063" s="4" t="n"/>
      <c r="AA1063" s="4" t="n"/>
      <c r="AB1063" s="4" t="n"/>
      <c r="AC1063" s="4" t="n"/>
      <c r="AD1063" s="4" t="n"/>
      <c r="AE1063" s="4" t="n"/>
      <c r="AF1063" s="4" t="n"/>
      <c r="AG1063" s="4" t="n"/>
      <c r="AH1063" s="4" t="n"/>
      <c r="AI1063" s="4" t="n"/>
      <c r="AJ1063" s="4" t="n"/>
      <c r="AK1063" s="4" t="n"/>
      <c r="AL1063" s="4" t="n"/>
      <c r="AM1063" s="4" t="n"/>
      <c r="AN1063" s="4" t="n"/>
      <c r="AO1063" s="4" t="n"/>
      <c r="AP1063" s="4" t="n"/>
      <c r="AQ1063" s="4" t="n"/>
      <c r="AR1063" s="4" t="n"/>
      <c r="AS1063" s="4" t="n"/>
      <c r="AT1063" s="4" t="n"/>
      <c r="AU1063" s="4" t="n"/>
      <c r="AV1063" s="4" t="n"/>
      <c r="AW1063" s="4" t="n"/>
      <c r="AX1063" s="4" t="n"/>
      <c r="AY1063" s="4" t="n"/>
      <c r="AZ1063" s="4" t="n"/>
      <c r="BA1063" s="4" t="n"/>
      <c r="BB1063" s="4" t="n"/>
      <c r="BC1063" s="4" t="n"/>
      <c r="BD1063" s="4" t="n"/>
      <c r="BE1063" s="4" t="n"/>
      <c r="BF1063" s="4" t="n"/>
      <c r="BG1063" s="4" t="n"/>
      <c r="BH1063" s="4" t="n"/>
      <c r="BI1063" s="4" t="n"/>
      <c r="BJ1063" s="4" t="n"/>
      <c r="BK1063" s="4" t="n"/>
      <c r="BL1063" s="4" t="n"/>
      <c r="BM1063" s="4" t="n"/>
      <c r="BN1063" s="4" t="n"/>
      <c r="BO1063" s="4" t="n"/>
      <c r="BP1063" s="4" t="n"/>
      <c r="BQ1063" s="4" t="n"/>
      <c r="BR1063" s="4" t="n"/>
      <c r="BS1063" s="4" t="n"/>
      <c r="BT1063" s="4" t="n"/>
      <c r="BU1063" s="4" t="n"/>
      <c r="BV1063" s="4" t="n"/>
      <c r="BW1063" s="4" t="n"/>
      <c r="BX1063" s="4" t="n"/>
      <c r="BY1063" s="4" t="n"/>
      <c r="BZ1063" s="4" t="n"/>
      <c r="CA1063" s="4" t="n"/>
      <c r="CB1063" s="4" t="n"/>
      <c r="CC1063" s="4" t="n"/>
      <c r="CD1063" s="4" t="n"/>
      <c r="CE1063" s="4" t="n"/>
      <c r="CF1063" s="4" t="n"/>
      <c r="CG1063" s="4" t="n"/>
      <c r="CH1063" s="4" t="n"/>
      <c r="CI1063" s="4" t="n"/>
      <c r="CJ1063" s="4" t="n"/>
      <c r="CK1063" s="4" t="n"/>
      <c r="CL1063" s="4" t="n"/>
      <c r="CM1063" s="4" t="n"/>
      <c r="CN1063" s="4" t="n"/>
      <c r="CO1063" s="4" t="n"/>
      <c r="CP1063" s="4" t="n"/>
      <c r="CQ1063" s="4" t="n"/>
      <c r="CR1063" s="4" t="n"/>
      <c r="CS1063" s="4" t="n"/>
      <c r="CT1063" s="4" t="n"/>
      <c r="CU1063" s="4" t="n"/>
      <c r="CV1063" s="4" t="n"/>
      <c r="CW1063" s="4" t="n"/>
      <c r="CX1063" s="4" t="n"/>
      <c r="CY1063" s="4" t="n"/>
      <c r="CZ1063" s="4" t="n"/>
      <c r="DA1063" s="4" t="n"/>
      <c r="DB1063" s="4" t="n"/>
      <c r="DC1063" s="4" t="n"/>
      <c r="DD1063" s="4" t="n"/>
      <c r="DE1063" s="4" t="n"/>
      <c r="DF1063" s="4" t="n"/>
      <c r="DG1063" s="4" t="n"/>
      <c r="DH1063" s="4" t="n"/>
      <c r="DI1063" s="4" t="n"/>
      <c r="DJ1063" s="4" t="n"/>
      <c r="DK1063" s="4" t="n"/>
      <c r="DL1063" s="4" t="n"/>
      <c r="DM1063" s="4" t="n"/>
      <c r="DN1063" s="4" t="n"/>
      <c r="DO1063" s="4" t="n"/>
      <c r="DP1063" s="4" t="n"/>
      <c r="DQ1063" s="4" t="n"/>
      <c r="DR1063" s="4" t="n"/>
      <c r="DS1063" s="4" t="n"/>
      <c r="DT1063" s="4" t="n"/>
      <c r="DU1063" s="4" t="n"/>
      <c r="DV1063" s="4" t="n"/>
      <c r="DW1063" s="4" t="n"/>
      <c r="DX1063" s="4" t="n"/>
      <c r="DY1063" s="4" t="n"/>
      <c r="DZ1063" s="4" t="n"/>
      <c r="EA1063" s="4" t="n"/>
      <c r="EB1063" s="4" t="n"/>
      <c r="EC1063" s="4" t="n"/>
      <c r="ED1063" s="4" t="n"/>
      <c r="EE1063" s="4" t="n"/>
      <c r="EF1063" s="4" t="n"/>
      <c r="EG1063" s="4" t="n"/>
      <c r="EH1063" s="4" t="n"/>
      <c r="EI1063" s="4" t="n"/>
      <c r="EJ1063" s="4" t="n"/>
      <c r="EK1063" s="4" t="n"/>
      <c r="EL1063" s="4" t="n"/>
      <c r="EM1063" s="4" t="n"/>
    </row>
    <row r="1064" hidden="1" customFormat="1" s="6">
      <c r="C1064" s="4" t="n"/>
      <c r="D1064" s="4" t="n"/>
      <c r="E1064" s="4" t="n"/>
      <c r="F1064" s="4" t="n"/>
      <c r="G1064" s="4" t="n"/>
      <c r="H1064" s="4" t="n"/>
      <c r="I1064" s="4" t="n"/>
      <c r="J1064" s="4" t="n"/>
      <c r="K1064" s="4" t="n"/>
      <c r="L1064" s="4" t="n"/>
      <c r="M1064" s="4" t="n"/>
      <c r="N1064" s="4" t="n"/>
      <c r="O1064" s="4" t="n"/>
      <c r="P1064" s="4" t="n"/>
      <c r="Q1064" s="4" t="n"/>
      <c r="R1064" s="4" t="n"/>
      <c r="S1064" s="4" t="n"/>
      <c r="T1064" s="4" t="n"/>
      <c r="U1064" s="4" t="n"/>
      <c r="V1064" s="4" t="n"/>
      <c r="W1064" s="4" t="n"/>
      <c r="X1064" s="4" t="n"/>
      <c r="Y1064" s="4" t="n"/>
      <c r="Z1064" s="4" t="n"/>
      <c r="AA1064" s="4" t="n"/>
      <c r="AB1064" s="4" t="n"/>
      <c r="AC1064" s="4" t="n"/>
      <c r="AD1064" s="4" t="n"/>
      <c r="AE1064" s="4" t="n"/>
      <c r="AF1064" s="4" t="n"/>
      <c r="AG1064" s="4" t="n"/>
      <c r="AH1064" s="4" t="n"/>
      <c r="AI1064" s="4" t="n"/>
      <c r="AJ1064" s="4" t="n"/>
      <c r="AK1064" s="4" t="n"/>
      <c r="AL1064" s="4" t="n"/>
      <c r="AM1064" s="4" t="n"/>
      <c r="AN1064" s="4" t="n"/>
      <c r="AO1064" s="4" t="n"/>
      <c r="AP1064" s="4" t="n"/>
      <c r="AQ1064" s="4" t="n"/>
      <c r="AR1064" s="4" t="n"/>
      <c r="AS1064" s="4" t="n"/>
      <c r="AT1064" s="4" t="n"/>
      <c r="AU1064" s="4" t="n"/>
      <c r="AV1064" s="4" t="n"/>
      <c r="AW1064" s="4" t="n"/>
      <c r="AX1064" s="4" t="n"/>
      <c r="AY1064" s="4" t="n"/>
      <c r="AZ1064" s="4" t="n"/>
      <c r="BA1064" s="4" t="n"/>
      <c r="BB1064" s="4" t="n"/>
      <c r="BC1064" s="4" t="n"/>
      <c r="BD1064" s="4" t="n"/>
      <c r="BE1064" s="4" t="n"/>
      <c r="BF1064" s="4" t="n"/>
      <c r="BG1064" s="4" t="n"/>
      <c r="BH1064" s="4" t="n"/>
      <c r="BI1064" s="4" t="n"/>
      <c r="BJ1064" s="4" t="n"/>
      <c r="BK1064" s="4" t="n"/>
      <c r="BL1064" s="4" t="n"/>
      <c r="BM1064" s="4" t="n"/>
      <c r="BN1064" s="4" t="n"/>
      <c r="BO1064" s="4" t="n"/>
      <c r="BP1064" s="4" t="n"/>
      <c r="BQ1064" s="4" t="n"/>
      <c r="BR1064" s="4" t="n"/>
      <c r="BS1064" s="4" t="n"/>
      <c r="BT1064" s="4" t="n"/>
      <c r="BU1064" s="4" t="n"/>
      <c r="BV1064" s="4" t="n"/>
      <c r="BW1064" s="4" t="n"/>
      <c r="BX1064" s="4" t="n"/>
      <c r="BY1064" s="4" t="n"/>
      <c r="BZ1064" s="4" t="n"/>
      <c r="CA1064" s="4" t="n"/>
      <c r="CB1064" s="4" t="n"/>
      <c r="CC1064" s="4" t="n"/>
      <c r="CD1064" s="4" t="n"/>
      <c r="CE1064" s="4" t="n"/>
      <c r="CF1064" s="4" t="n"/>
      <c r="CG1064" s="4" t="n"/>
      <c r="CH1064" s="4" t="n"/>
      <c r="CI1064" s="4" t="n"/>
      <c r="CJ1064" s="4" t="n"/>
      <c r="CK1064" s="4" t="n"/>
      <c r="CL1064" s="4" t="n"/>
      <c r="CM1064" s="4" t="n"/>
      <c r="CN1064" s="4" t="n"/>
      <c r="CO1064" s="4" t="n"/>
      <c r="CP1064" s="4" t="n"/>
      <c r="CQ1064" s="4" t="n"/>
      <c r="CR1064" s="4" t="n"/>
      <c r="CS1064" s="4" t="n"/>
      <c r="CT1064" s="4" t="n"/>
      <c r="CU1064" s="4" t="n"/>
      <c r="CV1064" s="4" t="n"/>
      <c r="CW1064" s="4" t="n"/>
      <c r="CX1064" s="4" t="n"/>
      <c r="CY1064" s="4" t="n"/>
      <c r="CZ1064" s="4" t="n"/>
      <c r="DA1064" s="4" t="n"/>
      <c r="DB1064" s="4" t="n"/>
      <c r="DC1064" s="4" t="n"/>
      <c r="DD1064" s="4" t="n"/>
      <c r="DE1064" s="4" t="n"/>
      <c r="DF1064" s="4" t="n"/>
      <c r="DG1064" s="4" t="n"/>
      <c r="DH1064" s="4" t="n"/>
      <c r="DI1064" s="4" t="n"/>
      <c r="DJ1064" s="4" t="n"/>
      <c r="DK1064" s="4" t="n"/>
      <c r="DL1064" s="4" t="n"/>
      <c r="DM1064" s="4" t="n"/>
      <c r="DN1064" s="4" t="n"/>
      <c r="DO1064" s="4" t="n"/>
      <c r="DP1064" s="4" t="n"/>
      <c r="DQ1064" s="4" t="n"/>
      <c r="DR1064" s="4" t="n"/>
      <c r="DS1064" s="4" t="n"/>
      <c r="DT1064" s="4" t="n"/>
      <c r="DU1064" s="4" t="n"/>
      <c r="DV1064" s="4" t="n"/>
      <c r="DW1064" s="4" t="n"/>
      <c r="DX1064" s="4" t="n"/>
      <c r="DY1064" s="4" t="n"/>
      <c r="DZ1064" s="4" t="n"/>
      <c r="EA1064" s="4" t="n"/>
      <c r="EB1064" s="4" t="n"/>
      <c r="EC1064" s="4" t="n"/>
      <c r="ED1064" s="4" t="n"/>
      <c r="EE1064" s="4" t="n"/>
      <c r="EF1064" s="4" t="n"/>
      <c r="EG1064" s="4" t="n"/>
      <c r="EH1064" s="4" t="n"/>
      <c r="EI1064" s="4" t="n"/>
      <c r="EJ1064" s="4" t="n"/>
      <c r="EK1064" s="4" t="n"/>
      <c r="EL1064" s="4" t="n"/>
      <c r="EM1064" s="4" t="n"/>
    </row>
    <row r="1065" hidden="1" customFormat="1" s="6">
      <c r="C1065" s="4" t="n"/>
      <c r="D1065" s="4" t="n"/>
      <c r="E1065" s="4" t="n"/>
      <c r="F1065" s="4" t="n"/>
      <c r="G1065" s="4" t="n"/>
      <c r="H1065" s="4" t="n"/>
      <c r="I1065" s="4" t="n"/>
      <c r="J1065" s="4" t="n"/>
      <c r="K1065" s="4" t="n"/>
      <c r="L1065" s="4" t="n"/>
      <c r="M1065" s="4" t="n"/>
      <c r="N1065" s="4" t="n"/>
      <c r="O1065" s="4" t="n"/>
      <c r="P1065" s="4" t="n"/>
      <c r="Q1065" s="4" t="n"/>
      <c r="R1065" s="4" t="n"/>
      <c r="S1065" s="4" t="n"/>
      <c r="T1065" s="4" t="n"/>
      <c r="U1065" s="4" t="n"/>
      <c r="V1065" s="4" t="n"/>
      <c r="W1065" s="4" t="n"/>
      <c r="X1065" s="4" t="n"/>
      <c r="Y1065" s="4" t="n"/>
      <c r="Z1065" s="4" t="n"/>
      <c r="AA1065" s="4" t="n"/>
      <c r="AB1065" s="4" t="n"/>
      <c r="AC1065" s="4" t="n"/>
      <c r="AD1065" s="4" t="n"/>
      <c r="AE1065" s="4" t="n"/>
      <c r="AF1065" s="4" t="n"/>
      <c r="AG1065" s="4" t="n"/>
      <c r="AH1065" s="4" t="n"/>
      <c r="AI1065" s="4" t="n"/>
      <c r="AJ1065" s="4" t="n"/>
      <c r="AK1065" s="4" t="n"/>
      <c r="AL1065" s="4" t="n"/>
      <c r="AM1065" s="4" t="n"/>
      <c r="AN1065" s="4" t="n"/>
      <c r="AO1065" s="4" t="n"/>
      <c r="AP1065" s="4" t="n"/>
      <c r="AQ1065" s="4" t="n"/>
      <c r="AR1065" s="4" t="n"/>
      <c r="AS1065" s="4" t="n"/>
      <c r="AT1065" s="4" t="n"/>
      <c r="AU1065" s="4" t="n"/>
      <c r="AV1065" s="4" t="n"/>
      <c r="AW1065" s="4" t="n"/>
      <c r="AX1065" s="4" t="n"/>
      <c r="AY1065" s="4" t="n"/>
      <c r="AZ1065" s="4" t="n"/>
      <c r="BA1065" s="4" t="n"/>
      <c r="BB1065" s="4" t="n"/>
      <c r="BC1065" s="4" t="n"/>
      <c r="BD1065" s="4" t="n"/>
      <c r="BE1065" s="4" t="n"/>
      <c r="BF1065" s="4" t="n"/>
      <c r="BG1065" s="4" t="n"/>
      <c r="BH1065" s="4" t="n"/>
      <c r="BI1065" s="4" t="n"/>
      <c r="BJ1065" s="4" t="n"/>
      <c r="BK1065" s="4" t="n"/>
      <c r="BL1065" s="4" t="n"/>
      <c r="BM1065" s="4" t="n"/>
      <c r="BN1065" s="4" t="n"/>
      <c r="BO1065" s="4" t="n"/>
      <c r="BP1065" s="4" t="n"/>
      <c r="BQ1065" s="4" t="n"/>
      <c r="BR1065" s="4" t="n"/>
      <c r="BS1065" s="4" t="n"/>
      <c r="BT1065" s="4" t="n"/>
      <c r="BU1065" s="4" t="n"/>
      <c r="BV1065" s="4" t="n"/>
      <c r="BW1065" s="4" t="n"/>
      <c r="BX1065" s="4" t="n"/>
      <c r="BY1065" s="4" t="n"/>
      <c r="BZ1065" s="4" t="n"/>
      <c r="CA1065" s="4" t="n"/>
      <c r="CB1065" s="4" t="n"/>
      <c r="CC1065" s="4" t="n"/>
      <c r="CD1065" s="4" t="n"/>
      <c r="CE1065" s="4" t="n"/>
      <c r="CF1065" s="4" t="n"/>
      <c r="CG1065" s="4" t="n"/>
      <c r="CH1065" s="4" t="n"/>
      <c r="CI1065" s="4" t="n"/>
      <c r="CJ1065" s="4" t="n"/>
      <c r="CK1065" s="4" t="n"/>
      <c r="CL1065" s="4" t="n"/>
      <c r="CM1065" s="4" t="n"/>
      <c r="CN1065" s="4" t="n"/>
      <c r="CO1065" s="4" t="n"/>
      <c r="CP1065" s="4" t="n"/>
      <c r="CQ1065" s="4" t="n"/>
      <c r="CR1065" s="4" t="n"/>
      <c r="CS1065" s="4" t="n"/>
      <c r="CT1065" s="4" t="n"/>
      <c r="CU1065" s="4" t="n"/>
      <c r="CV1065" s="4" t="n"/>
      <c r="CW1065" s="4" t="n"/>
      <c r="CX1065" s="4" t="n"/>
      <c r="CY1065" s="4" t="n"/>
      <c r="CZ1065" s="4" t="n"/>
      <c r="DA1065" s="4" t="n"/>
      <c r="DB1065" s="4" t="n"/>
      <c r="DC1065" s="4" t="n"/>
      <c r="DD1065" s="4" t="n"/>
      <c r="DE1065" s="4" t="n"/>
      <c r="DF1065" s="4" t="n"/>
      <c r="DG1065" s="4" t="n"/>
      <c r="DH1065" s="4" t="n"/>
      <c r="DI1065" s="4" t="n"/>
      <c r="DJ1065" s="4" t="n"/>
      <c r="DK1065" s="4" t="n"/>
      <c r="DL1065" s="4" t="n"/>
      <c r="DM1065" s="4" t="n"/>
      <c r="DN1065" s="4" t="n"/>
      <c r="DO1065" s="4" t="n"/>
      <c r="DP1065" s="4" t="n"/>
      <c r="DQ1065" s="4" t="n"/>
      <c r="DR1065" s="4" t="n"/>
      <c r="DS1065" s="4" t="n"/>
      <c r="DT1065" s="4" t="n"/>
      <c r="DU1065" s="4" t="n"/>
      <c r="DV1065" s="4" t="n"/>
      <c r="DW1065" s="4" t="n"/>
      <c r="DX1065" s="4" t="n"/>
      <c r="DY1065" s="4" t="n"/>
      <c r="DZ1065" s="4" t="n"/>
      <c r="EA1065" s="4" t="n"/>
      <c r="EB1065" s="4" t="n"/>
      <c r="EC1065" s="4" t="n"/>
      <c r="ED1065" s="4" t="n"/>
      <c r="EE1065" s="4" t="n"/>
      <c r="EF1065" s="4" t="n"/>
      <c r="EG1065" s="4" t="n"/>
      <c r="EH1065" s="4" t="n"/>
      <c r="EI1065" s="4" t="n"/>
      <c r="EJ1065" s="4" t="n"/>
      <c r="EK1065" s="4" t="n"/>
      <c r="EL1065" s="4" t="n"/>
      <c r="EM1065" s="4" t="n"/>
    </row>
    <row r="1066" hidden="1" customFormat="1" s="6">
      <c r="C1066" s="4" t="n"/>
      <c r="D1066" s="4" t="n"/>
      <c r="E1066" s="4" t="n"/>
      <c r="F1066" s="4" t="n"/>
      <c r="G1066" s="4" t="n"/>
      <c r="H1066" s="4" t="n"/>
      <c r="I1066" s="4" t="n"/>
      <c r="J1066" s="4" t="n"/>
      <c r="K1066" s="4" t="n"/>
      <c r="L1066" s="4" t="n"/>
      <c r="M1066" s="4" t="n"/>
      <c r="N1066" s="4" t="n"/>
      <c r="O1066" s="4" t="n"/>
      <c r="P1066" s="4" t="n"/>
      <c r="Q1066" s="4" t="n"/>
      <c r="R1066" s="4" t="n"/>
      <c r="S1066" s="4" t="n"/>
      <c r="T1066" s="4" t="n"/>
      <c r="U1066" s="4" t="n"/>
      <c r="V1066" s="4" t="n"/>
      <c r="W1066" s="4" t="n"/>
      <c r="X1066" s="4" t="n"/>
      <c r="Y1066" s="4" t="n"/>
      <c r="Z1066" s="4" t="n"/>
      <c r="AA1066" s="4" t="n"/>
      <c r="AB1066" s="4" t="n"/>
      <c r="AC1066" s="4" t="n"/>
      <c r="AD1066" s="4" t="n"/>
      <c r="AE1066" s="4" t="n"/>
      <c r="AF1066" s="4" t="n"/>
      <c r="AG1066" s="4" t="n"/>
      <c r="AH1066" s="4" t="n"/>
      <c r="AI1066" s="4" t="n"/>
      <c r="AJ1066" s="4" t="n"/>
      <c r="AK1066" s="4" t="n"/>
      <c r="AL1066" s="4" t="n"/>
      <c r="AM1066" s="4" t="n"/>
      <c r="AN1066" s="4" t="n"/>
      <c r="AO1066" s="4" t="n"/>
      <c r="AP1066" s="4" t="n"/>
      <c r="AQ1066" s="4" t="n"/>
      <c r="AR1066" s="4" t="n"/>
      <c r="AS1066" s="4" t="n"/>
      <c r="AT1066" s="4" t="n"/>
      <c r="AU1066" s="4" t="n"/>
      <c r="AV1066" s="4" t="n"/>
      <c r="AW1066" s="4" t="n"/>
      <c r="AX1066" s="4" t="n"/>
      <c r="AY1066" s="4" t="n"/>
      <c r="AZ1066" s="4" t="n"/>
      <c r="BA1066" s="4" t="n"/>
      <c r="BB1066" s="4" t="n"/>
      <c r="BC1066" s="4" t="n"/>
      <c r="BD1066" s="4" t="n"/>
      <c r="BE1066" s="4" t="n"/>
      <c r="BF1066" s="4" t="n"/>
      <c r="BG1066" s="4" t="n"/>
      <c r="BH1066" s="4" t="n"/>
      <c r="BI1066" s="4" t="n"/>
      <c r="BJ1066" s="4" t="n"/>
      <c r="BK1066" s="4" t="n"/>
      <c r="BL1066" s="4" t="n"/>
      <c r="BM1066" s="4" t="n"/>
      <c r="BN1066" s="4" t="n"/>
      <c r="BO1066" s="4" t="n"/>
      <c r="BP1066" s="4" t="n"/>
      <c r="BQ1066" s="4" t="n"/>
      <c r="BR1066" s="4" t="n"/>
      <c r="BS1066" s="4" t="n"/>
      <c r="BT1066" s="4" t="n"/>
      <c r="BU1066" s="4" t="n"/>
      <c r="BV1066" s="4" t="n"/>
      <c r="BW1066" s="4" t="n"/>
      <c r="BX1066" s="4" t="n"/>
      <c r="BY1066" s="4" t="n"/>
      <c r="BZ1066" s="4" t="n"/>
      <c r="CA1066" s="4" t="n"/>
      <c r="CB1066" s="4" t="n"/>
      <c r="CC1066" s="4" t="n"/>
      <c r="CD1066" s="4" t="n"/>
      <c r="CE1066" s="4" t="n"/>
      <c r="CF1066" s="4" t="n"/>
      <c r="CG1066" s="4" t="n"/>
      <c r="CH1066" s="4" t="n"/>
      <c r="CI1066" s="4" t="n"/>
      <c r="CJ1066" s="4" t="n"/>
      <c r="CK1066" s="4" t="n"/>
      <c r="CL1066" s="4" t="n"/>
      <c r="CM1066" s="4" t="n"/>
      <c r="CN1066" s="4" t="n"/>
      <c r="CO1066" s="4" t="n"/>
      <c r="CP1066" s="4" t="n"/>
      <c r="CQ1066" s="4" t="n"/>
      <c r="CR1066" s="4" t="n"/>
      <c r="CS1066" s="4" t="n"/>
      <c r="CT1066" s="4" t="n"/>
      <c r="CU1066" s="4" t="n"/>
      <c r="CV1066" s="4" t="n"/>
      <c r="CW1066" s="4" t="n"/>
      <c r="CX1066" s="4" t="n"/>
      <c r="CY1066" s="4" t="n"/>
      <c r="CZ1066" s="4" t="n"/>
      <c r="DA1066" s="4" t="n"/>
      <c r="DB1066" s="4" t="n"/>
      <c r="DC1066" s="4" t="n"/>
      <c r="DD1066" s="4" t="n"/>
      <c r="DE1066" s="4" t="n"/>
      <c r="DF1066" s="4" t="n"/>
      <c r="DG1066" s="4" t="n"/>
      <c r="DH1066" s="4" t="n"/>
      <c r="DI1066" s="4" t="n"/>
      <c r="DJ1066" s="4" t="n"/>
      <c r="DK1066" s="4" t="n"/>
      <c r="DL1066" s="4" t="n"/>
      <c r="DM1066" s="4" t="n"/>
      <c r="DN1066" s="4" t="n"/>
      <c r="DO1066" s="4" t="n"/>
      <c r="DP1066" s="4" t="n"/>
      <c r="DQ1066" s="4" t="n"/>
      <c r="DR1066" s="4" t="n"/>
      <c r="DS1066" s="4" t="n"/>
      <c r="DT1066" s="4" t="n"/>
      <c r="DU1066" s="4" t="n"/>
      <c r="DV1066" s="4" t="n"/>
      <c r="DW1066" s="4" t="n"/>
      <c r="DX1066" s="4" t="n"/>
      <c r="DY1066" s="4" t="n"/>
      <c r="DZ1066" s="4" t="n"/>
      <c r="EA1066" s="4" t="n"/>
      <c r="EB1066" s="4" t="n"/>
      <c r="EC1066" s="4" t="n"/>
      <c r="ED1066" s="4" t="n"/>
      <c r="EE1066" s="4" t="n"/>
      <c r="EF1066" s="4" t="n"/>
      <c r="EG1066" s="4" t="n"/>
      <c r="EH1066" s="4" t="n"/>
      <c r="EI1066" s="4" t="n"/>
      <c r="EJ1066" s="4" t="n"/>
      <c r="EK1066" s="4" t="n"/>
      <c r="EL1066" s="4" t="n"/>
      <c r="EM1066" s="4" t="n"/>
    </row>
    <row r="1067" hidden="1" customFormat="1" s="6">
      <c r="C1067" s="4" t="n"/>
      <c r="D1067" s="4" t="n"/>
      <c r="E1067" s="4" t="n"/>
      <c r="F1067" s="4" t="n"/>
      <c r="G1067" s="4" t="n"/>
      <c r="H1067" s="4" t="n"/>
      <c r="I1067" s="4" t="n"/>
      <c r="J1067" s="4" t="n"/>
      <c r="K1067" s="4" t="n"/>
      <c r="L1067" s="4" t="n"/>
      <c r="M1067" s="4" t="n"/>
      <c r="N1067" s="4" t="n"/>
      <c r="O1067" s="4" t="n"/>
      <c r="P1067" s="4" t="n"/>
      <c r="Q1067" s="4" t="n"/>
      <c r="R1067" s="4" t="n"/>
      <c r="S1067" s="4" t="n"/>
      <c r="T1067" s="4" t="n"/>
      <c r="U1067" s="4" t="n"/>
      <c r="V1067" s="4" t="n"/>
      <c r="W1067" s="4" t="n"/>
      <c r="X1067" s="4" t="n"/>
      <c r="Y1067" s="4" t="n"/>
      <c r="Z1067" s="4" t="n"/>
      <c r="AA1067" s="4" t="n"/>
      <c r="AB1067" s="4" t="n"/>
      <c r="AC1067" s="4" t="n"/>
      <c r="AD1067" s="4" t="n"/>
      <c r="AE1067" s="4" t="n"/>
      <c r="AF1067" s="4" t="n"/>
      <c r="AG1067" s="4" t="n"/>
      <c r="AH1067" s="4" t="n"/>
      <c r="AI1067" s="4" t="n"/>
      <c r="AJ1067" s="4" t="n"/>
      <c r="AK1067" s="4" t="n"/>
      <c r="AL1067" s="4" t="n"/>
      <c r="AM1067" s="4" t="n"/>
      <c r="AN1067" s="4" t="n"/>
      <c r="AO1067" s="4" t="n"/>
      <c r="AP1067" s="4" t="n"/>
      <c r="AQ1067" s="4" t="n"/>
      <c r="AR1067" s="4" t="n"/>
      <c r="AS1067" s="4" t="n"/>
      <c r="AT1067" s="4" t="n"/>
      <c r="AU1067" s="4" t="n"/>
      <c r="AV1067" s="4" t="n"/>
      <c r="AW1067" s="4" t="n"/>
      <c r="AX1067" s="4" t="n"/>
      <c r="AY1067" s="4" t="n"/>
      <c r="AZ1067" s="4" t="n"/>
      <c r="BA1067" s="4" t="n"/>
      <c r="BB1067" s="4" t="n"/>
      <c r="BC1067" s="4" t="n"/>
      <c r="BD1067" s="4" t="n"/>
      <c r="BE1067" s="4" t="n"/>
      <c r="BF1067" s="4" t="n"/>
      <c r="BG1067" s="4" t="n"/>
      <c r="BH1067" s="4" t="n"/>
      <c r="BI1067" s="4" t="n"/>
      <c r="BJ1067" s="4" t="n"/>
      <c r="BK1067" s="4" t="n"/>
      <c r="BL1067" s="4" t="n"/>
      <c r="BM1067" s="4" t="n"/>
      <c r="BN1067" s="4" t="n"/>
      <c r="BO1067" s="4" t="n"/>
      <c r="BP1067" s="4" t="n"/>
      <c r="BQ1067" s="4" t="n"/>
      <c r="BR1067" s="4" t="n"/>
      <c r="BS1067" s="4" t="n"/>
      <c r="BT1067" s="4" t="n"/>
      <c r="BU1067" s="4" t="n"/>
      <c r="BV1067" s="4" t="n"/>
      <c r="BW1067" s="4" t="n"/>
      <c r="BX1067" s="4" t="n"/>
      <c r="BY1067" s="4" t="n"/>
      <c r="BZ1067" s="4" t="n"/>
      <c r="CA1067" s="4" t="n"/>
      <c r="CB1067" s="4" t="n"/>
      <c r="CC1067" s="4" t="n"/>
      <c r="CD1067" s="4" t="n"/>
      <c r="CE1067" s="4" t="n"/>
      <c r="CF1067" s="4" t="n"/>
      <c r="CG1067" s="4" t="n"/>
      <c r="CH1067" s="4" t="n"/>
      <c r="CI1067" s="4" t="n"/>
      <c r="CJ1067" s="4" t="n"/>
      <c r="CK1067" s="4" t="n"/>
      <c r="CL1067" s="4" t="n"/>
      <c r="CM1067" s="4" t="n"/>
      <c r="CN1067" s="4" t="n"/>
      <c r="CO1067" s="4" t="n"/>
      <c r="CP1067" s="4" t="n"/>
      <c r="CQ1067" s="4" t="n"/>
      <c r="CR1067" s="4" t="n"/>
      <c r="CS1067" s="4" t="n"/>
      <c r="CT1067" s="4" t="n"/>
      <c r="CU1067" s="4" t="n"/>
      <c r="CV1067" s="4" t="n"/>
      <c r="CW1067" s="4" t="n"/>
      <c r="CX1067" s="4" t="n"/>
      <c r="CY1067" s="4" t="n"/>
      <c r="CZ1067" s="4" t="n"/>
      <c r="DA1067" s="4" t="n"/>
      <c r="DB1067" s="4" t="n"/>
      <c r="DC1067" s="4" t="n"/>
      <c r="DD1067" s="4" t="n"/>
      <c r="DE1067" s="4" t="n"/>
      <c r="DF1067" s="4" t="n"/>
      <c r="DG1067" s="4" t="n"/>
      <c r="DH1067" s="4" t="n"/>
      <c r="DI1067" s="4" t="n"/>
      <c r="DJ1067" s="4" t="n"/>
      <c r="DK1067" s="4" t="n"/>
      <c r="DL1067" s="4" t="n"/>
      <c r="DM1067" s="4" t="n"/>
      <c r="DN1067" s="4" t="n"/>
      <c r="DO1067" s="4" t="n"/>
      <c r="DP1067" s="4" t="n"/>
      <c r="DQ1067" s="4" t="n"/>
      <c r="DR1067" s="4" t="n"/>
      <c r="DS1067" s="4" t="n"/>
      <c r="DT1067" s="4" t="n"/>
      <c r="DU1067" s="4" t="n"/>
      <c r="DV1067" s="4" t="n"/>
      <c r="DW1067" s="4" t="n"/>
      <c r="DX1067" s="4" t="n"/>
      <c r="DY1067" s="4" t="n"/>
      <c r="DZ1067" s="4" t="n"/>
      <c r="EA1067" s="4" t="n"/>
      <c r="EB1067" s="4" t="n"/>
      <c r="EC1067" s="4" t="n"/>
      <c r="ED1067" s="4" t="n"/>
      <c r="EE1067" s="4" t="n"/>
      <c r="EF1067" s="4" t="n"/>
      <c r="EG1067" s="4" t="n"/>
      <c r="EH1067" s="4" t="n"/>
      <c r="EI1067" s="4" t="n"/>
      <c r="EJ1067" s="4" t="n"/>
      <c r="EK1067" s="4" t="n"/>
      <c r="EL1067" s="4" t="n"/>
      <c r="EM1067" s="4" t="n"/>
    </row>
    <row r="1068" hidden="1" customFormat="1" s="6">
      <c r="C1068" s="4" t="n"/>
      <c r="D1068" s="4" t="n"/>
      <c r="E1068" s="4" t="n"/>
      <c r="F1068" s="4" t="n"/>
      <c r="G1068" s="4" t="n"/>
      <c r="H1068" s="4" t="n"/>
      <c r="I1068" s="4" t="n"/>
      <c r="J1068" s="4" t="n"/>
      <c r="K1068" s="4" t="n"/>
      <c r="L1068" s="4" t="n"/>
      <c r="M1068" s="4" t="n"/>
      <c r="N1068" s="4" t="n"/>
      <c r="O1068" s="4" t="n"/>
      <c r="P1068" s="4" t="n"/>
      <c r="Q1068" s="4" t="n"/>
      <c r="R1068" s="4" t="n"/>
      <c r="S1068" s="4" t="n"/>
      <c r="T1068" s="4" t="n"/>
      <c r="U1068" s="4" t="n"/>
      <c r="V1068" s="4" t="n"/>
      <c r="W1068" s="4" t="n"/>
      <c r="X1068" s="4" t="n"/>
      <c r="Y1068" s="4" t="n"/>
      <c r="Z1068" s="4" t="n"/>
      <c r="AA1068" s="4" t="n"/>
      <c r="AB1068" s="4" t="n"/>
      <c r="AC1068" s="4" t="n"/>
      <c r="AD1068" s="4" t="n"/>
      <c r="AE1068" s="4" t="n"/>
      <c r="AF1068" s="4" t="n"/>
      <c r="AG1068" s="4" t="n"/>
      <c r="AH1068" s="4" t="n"/>
      <c r="AI1068" s="4" t="n"/>
      <c r="AJ1068" s="4" t="n"/>
      <c r="AK1068" s="4" t="n"/>
      <c r="AL1068" s="4" t="n"/>
      <c r="AM1068" s="4" t="n"/>
      <c r="AN1068" s="4" t="n"/>
      <c r="AO1068" s="4" t="n"/>
      <c r="AP1068" s="4" t="n"/>
      <c r="AQ1068" s="4" t="n"/>
      <c r="AR1068" s="4" t="n"/>
      <c r="AS1068" s="4" t="n"/>
      <c r="AT1068" s="4" t="n"/>
      <c r="AU1068" s="4" t="n"/>
      <c r="AV1068" s="4" t="n"/>
      <c r="AW1068" s="4" t="n"/>
      <c r="AX1068" s="4" t="n"/>
      <c r="AY1068" s="4" t="n"/>
      <c r="AZ1068" s="4" t="n"/>
      <c r="BA1068" s="4" t="n"/>
      <c r="BB1068" s="4" t="n"/>
      <c r="BC1068" s="4" t="n"/>
      <c r="BD1068" s="4" t="n"/>
      <c r="BE1068" s="4" t="n"/>
      <c r="BF1068" s="4" t="n"/>
      <c r="BG1068" s="4" t="n"/>
      <c r="BH1068" s="4" t="n"/>
      <c r="BI1068" s="4" t="n"/>
      <c r="BJ1068" s="4" t="n"/>
      <c r="BK1068" s="4" t="n"/>
      <c r="BL1068" s="4" t="n"/>
      <c r="BM1068" s="4" t="n"/>
      <c r="BN1068" s="4" t="n"/>
      <c r="BO1068" s="4" t="n"/>
      <c r="BP1068" s="4" t="n"/>
      <c r="BQ1068" s="4" t="n"/>
      <c r="BR1068" s="4" t="n"/>
      <c r="BS1068" s="4" t="n"/>
      <c r="BT1068" s="4" t="n"/>
      <c r="BU1068" s="4" t="n"/>
      <c r="BV1068" s="4" t="n"/>
      <c r="BW1068" s="4" t="n"/>
      <c r="BX1068" s="4" t="n"/>
      <c r="BY1068" s="4" t="n"/>
      <c r="BZ1068" s="4" t="n"/>
      <c r="CA1068" s="4" t="n"/>
      <c r="CB1068" s="4" t="n"/>
      <c r="CC1068" s="4" t="n"/>
      <c r="CD1068" s="4" t="n"/>
      <c r="CE1068" s="4" t="n"/>
      <c r="CF1068" s="4" t="n"/>
      <c r="CG1068" s="4" t="n"/>
      <c r="CH1068" s="4" t="n"/>
      <c r="CI1068" s="4" t="n"/>
      <c r="CJ1068" s="4" t="n"/>
      <c r="CK1068" s="4" t="n"/>
      <c r="CL1068" s="4" t="n"/>
      <c r="CM1068" s="4" t="n"/>
      <c r="CN1068" s="4" t="n"/>
      <c r="CO1068" s="4" t="n"/>
      <c r="CP1068" s="4" t="n"/>
      <c r="CQ1068" s="4" t="n"/>
      <c r="CR1068" s="4" t="n"/>
      <c r="CS1068" s="4" t="n"/>
      <c r="CT1068" s="4" t="n"/>
      <c r="CU1068" s="4" t="n"/>
      <c r="CV1068" s="4" t="n"/>
      <c r="CW1068" s="4" t="n"/>
      <c r="CX1068" s="4" t="n"/>
      <c r="CY1068" s="4" t="n"/>
      <c r="CZ1068" s="4" t="n"/>
      <c r="DA1068" s="4" t="n"/>
      <c r="DB1068" s="4" t="n"/>
      <c r="DC1068" s="4" t="n"/>
      <c r="DD1068" s="4" t="n"/>
      <c r="DE1068" s="4" t="n"/>
      <c r="DF1068" s="4" t="n"/>
      <c r="DG1068" s="4" t="n"/>
      <c r="DH1068" s="4" t="n"/>
      <c r="DI1068" s="4" t="n"/>
      <c r="DJ1068" s="4" t="n"/>
      <c r="DK1068" s="4" t="n"/>
      <c r="DL1068" s="4" t="n"/>
      <c r="DM1068" s="4" t="n"/>
      <c r="DN1068" s="4" t="n"/>
      <c r="DO1068" s="4" t="n"/>
      <c r="DP1068" s="4" t="n"/>
      <c r="DQ1068" s="4" t="n"/>
      <c r="DR1068" s="4" t="n"/>
      <c r="DS1068" s="4" t="n"/>
      <c r="DT1068" s="4" t="n"/>
      <c r="DU1068" s="4" t="n"/>
      <c r="DV1068" s="4" t="n"/>
      <c r="DW1068" s="4" t="n"/>
      <c r="DX1068" s="4" t="n"/>
      <c r="DY1068" s="4" t="n"/>
      <c r="DZ1068" s="4" t="n"/>
      <c r="EA1068" s="4" t="n"/>
      <c r="EB1068" s="4" t="n"/>
      <c r="EC1068" s="4" t="n"/>
      <c r="ED1068" s="4" t="n"/>
      <c r="EE1068" s="4" t="n"/>
      <c r="EF1068" s="4" t="n"/>
      <c r="EG1068" s="4" t="n"/>
      <c r="EH1068" s="4" t="n"/>
      <c r="EI1068" s="4" t="n"/>
      <c r="EJ1068" s="4" t="n"/>
      <c r="EK1068" s="4" t="n"/>
      <c r="EL1068" s="4" t="n"/>
      <c r="EM1068" s="4" t="n"/>
    </row>
    <row r="1069" hidden="1" customFormat="1" s="6">
      <c r="C1069" s="4" t="n"/>
      <c r="D1069" s="4" t="n"/>
      <c r="E1069" s="4" t="n"/>
      <c r="F1069" s="4" t="n"/>
      <c r="G1069" s="4" t="n"/>
      <c r="H1069" s="4" t="n"/>
      <c r="I1069" s="4" t="n"/>
      <c r="J1069" s="4" t="n"/>
      <c r="K1069" s="4" t="n"/>
      <c r="L1069" s="4" t="n"/>
      <c r="M1069" s="4" t="n"/>
      <c r="N1069" s="4" t="n"/>
      <c r="O1069" s="4" t="n"/>
      <c r="P1069" s="4" t="n"/>
      <c r="Q1069" s="4" t="n"/>
      <c r="R1069" s="4" t="n"/>
      <c r="S1069" s="4" t="n"/>
      <c r="T1069" s="4" t="n"/>
      <c r="U1069" s="4" t="n"/>
      <c r="V1069" s="4" t="n"/>
      <c r="W1069" s="4" t="n"/>
      <c r="X1069" s="4" t="n"/>
      <c r="Y1069" s="4" t="n"/>
      <c r="Z1069" s="4" t="n"/>
      <c r="AA1069" s="4" t="n"/>
      <c r="AB1069" s="4" t="n"/>
      <c r="AC1069" s="4" t="n"/>
      <c r="AD1069" s="4" t="n"/>
      <c r="AE1069" s="4" t="n"/>
      <c r="AF1069" s="4" t="n"/>
      <c r="AG1069" s="4" t="n"/>
      <c r="AH1069" s="4" t="n"/>
      <c r="AI1069" s="4" t="n"/>
      <c r="AJ1069" s="4" t="n"/>
      <c r="AK1069" s="4" t="n"/>
      <c r="AL1069" s="4" t="n"/>
      <c r="AM1069" s="4" t="n"/>
      <c r="AN1069" s="4" t="n"/>
      <c r="AO1069" s="4" t="n"/>
      <c r="AP1069" s="4" t="n"/>
      <c r="AQ1069" s="4" t="n"/>
      <c r="AR1069" s="4" t="n"/>
      <c r="AS1069" s="4" t="n"/>
      <c r="AT1069" s="4" t="n"/>
      <c r="AU1069" s="4" t="n"/>
      <c r="AV1069" s="4" t="n"/>
      <c r="AW1069" s="4" t="n"/>
      <c r="AX1069" s="4" t="n"/>
      <c r="AY1069" s="4" t="n"/>
      <c r="AZ1069" s="4" t="n"/>
      <c r="BA1069" s="4" t="n"/>
      <c r="BB1069" s="4" t="n"/>
      <c r="BC1069" s="4" t="n"/>
      <c r="BD1069" s="4" t="n"/>
      <c r="BE1069" s="4" t="n"/>
      <c r="BF1069" s="4" t="n"/>
      <c r="BG1069" s="4" t="n"/>
      <c r="BH1069" s="4" t="n"/>
      <c r="BI1069" s="4" t="n"/>
      <c r="BJ1069" s="4" t="n"/>
      <c r="BK1069" s="4" t="n"/>
      <c r="BL1069" s="4" t="n"/>
      <c r="BM1069" s="4" t="n"/>
      <c r="BN1069" s="4" t="n"/>
      <c r="BO1069" s="4" t="n"/>
      <c r="BP1069" s="4" t="n"/>
      <c r="BQ1069" s="4" t="n"/>
      <c r="BR1069" s="4" t="n"/>
      <c r="BS1069" s="4" t="n"/>
      <c r="BT1069" s="4" t="n"/>
      <c r="BU1069" s="4" t="n"/>
      <c r="BV1069" s="4" t="n"/>
      <c r="BW1069" s="4" t="n"/>
      <c r="BX1069" s="4" t="n"/>
      <c r="BY1069" s="4" t="n"/>
      <c r="BZ1069" s="4" t="n"/>
      <c r="CA1069" s="4" t="n"/>
      <c r="CB1069" s="4" t="n"/>
      <c r="CC1069" s="4" t="n"/>
      <c r="CD1069" s="4" t="n"/>
      <c r="CE1069" s="4" t="n"/>
      <c r="CF1069" s="4" t="n"/>
      <c r="CG1069" s="4" t="n"/>
      <c r="CH1069" s="4" t="n"/>
      <c r="CI1069" s="4" t="n"/>
      <c r="CJ1069" s="4" t="n"/>
      <c r="CK1069" s="4" t="n"/>
      <c r="CL1069" s="4" t="n"/>
      <c r="CM1069" s="4" t="n"/>
      <c r="CN1069" s="4" t="n"/>
      <c r="CO1069" s="4" t="n"/>
      <c r="CP1069" s="4" t="n"/>
      <c r="CQ1069" s="4" t="n"/>
      <c r="CR1069" s="4" t="n"/>
      <c r="CS1069" s="4" t="n"/>
      <c r="CT1069" s="4" t="n"/>
      <c r="CU1069" s="4" t="n"/>
      <c r="CV1069" s="4" t="n"/>
      <c r="CW1069" s="4" t="n"/>
      <c r="CX1069" s="4" t="n"/>
      <c r="CY1069" s="4" t="n"/>
      <c r="CZ1069" s="4" t="n"/>
      <c r="DA1069" s="4" t="n"/>
      <c r="DB1069" s="4" t="n"/>
      <c r="DC1069" s="4" t="n"/>
      <c r="DD1069" s="4" t="n"/>
      <c r="DE1069" s="4" t="n"/>
      <c r="DF1069" s="4" t="n"/>
      <c r="DG1069" s="4" t="n"/>
      <c r="DH1069" s="4" t="n"/>
      <c r="DI1069" s="4" t="n"/>
      <c r="DJ1069" s="4" t="n"/>
      <c r="DK1069" s="4" t="n"/>
      <c r="DL1069" s="4" t="n"/>
      <c r="DM1069" s="4" t="n"/>
      <c r="DN1069" s="4" t="n"/>
      <c r="DO1069" s="4" t="n"/>
      <c r="DP1069" s="4" t="n"/>
      <c r="DQ1069" s="4" t="n"/>
      <c r="DR1069" s="4" t="n"/>
      <c r="DS1069" s="4" t="n"/>
      <c r="DT1069" s="4" t="n"/>
      <c r="DU1069" s="4" t="n"/>
      <c r="DV1069" s="4" t="n"/>
      <c r="DW1069" s="4" t="n"/>
      <c r="DX1069" s="4" t="n"/>
      <c r="DY1069" s="4" t="n"/>
      <c r="DZ1069" s="4" t="n"/>
      <c r="EA1069" s="4" t="n"/>
      <c r="EB1069" s="4" t="n"/>
      <c r="EC1069" s="4" t="n"/>
      <c r="ED1069" s="4" t="n"/>
      <c r="EE1069" s="4" t="n"/>
      <c r="EF1069" s="4" t="n"/>
      <c r="EG1069" s="4" t="n"/>
      <c r="EH1069" s="4" t="n"/>
      <c r="EI1069" s="4" t="n"/>
      <c r="EJ1069" s="4" t="n"/>
      <c r="EK1069" s="4" t="n"/>
      <c r="EL1069" s="4" t="n"/>
      <c r="EM1069" s="4" t="n"/>
    </row>
    <row r="1070" hidden="1" customFormat="1" s="6">
      <c r="C1070" s="4" t="n"/>
      <c r="D1070" s="4" t="n"/>
      <c r="E1070" s="4" t="n"/>
      <c r="F1070" s="4" t="n"/>
      <c r="G1070" s="4" t="n"/>
      <c r="H1070" s="4" t="n"/>
      <c r="I1070" s="4" t="n"/>
      <c r="J1070" s="4" t="n"/>
      <c r="K1070" s="4" t="n"/>
      <c r="L1070" s="4" t="n"/>
      <c r="M1070" s="4" t="n"/>
      <c r="N1070" s="4" t="n"/>
      <c r="O1070" s="4" t="n"/>
      <c r="P1070" s="4" t="n"/>
      <c r="Q1070" s="4" t="n"/>
      <c r="R1070" s="4" t="n"/>
      <c r="S1070" s="4" t="n"/>
      <c r="T1070" s="4" t="n"/>
      <c r="U1070" s="4" t="n"/>
      <c r="V1070" s="4" t="n"/>
      <c r="W1070" s="4" t="n"/>
      <c r="X1070" s="4" t="n"/>
      <c r="Y1070" s="4" t="n"/>
      <c r="Z1070" s="4" t="n"/>
      <c r="AA1070" s="4" t="n"/>
      <c r="AB1070" s="4" t="n"/>
      <c r="AC1070" s="4" t="n"/>
      <c r="AD1070" s="4" t="n"/>
      <c r="AE1070" s="4" t="n"/>
      <c r="AF1070" s="4" t="n"/>
      <c r="AG1070" s="4" t="n"/>
      <c r="AH1070" s="4" t="n"/>
      <c r="AI1070" s="4" t="n"/>
      <c r="AJ1070" s="4" t="n"/>
      <c r="AK1070" s="4" t="n"/>
      <c r="AL1070" s="4" t="n"/>
      <c r="AM1070" s="4" t="n"/>
      <c r="AN1070" s="4" t="n"/>
      <c r="AO1070" s="4" t="n"/>
      <c r="AP1070" s="4" t="n"/>
      <c r="AQ1070" s="4" t="n"/>
      <c r="AR1070" s="4" t="n"/>
      <c r="AS1070" s="4" t="n"/>
      <c r="AT1070" s="4" t="n"/>
      <c r="AU1070" s="4" t="n"/>
      <c r="AV1070" s="4" t="n"/>
      <c r="AW1070" s="4" t="n"/>
      <c r="AX1070" s="4" t="n"/>
      <c r="AY1070" s="4" t="n"/>
      <c r="AZ1070" s="4" t="n"/>
      <c r="BA1070" s="4" t="n"/>
      <c r="BB1070" s="4" t="n"/>
      <c r="BC1070" s="4" t="n"/>
      <c r="BD1070" s="4" t="n"/>
      <c r="BE1070" s="4" t="n"/>
      <c r="BF1070" s="4" t="n"/>
      <c r="BG1070" s="4" t="n"/>
      <c r="BH1070" s="4" t="n"/>
      <c r="BI1070" s="4" t="n"/>
      <c r="BJ1070" s="4" t="n"/>
      <c r="BK1070" s="4" t="n"/>
      <c r="BL1070" s="4" t="n"/>
      <c r="BM1070" s="4" t="n"/>
      <c r="BN1070" s="4" t="n"/>
      <c r="BO1070" s="4" t="n"/>
      <c r="BP1070" s="4" t="n"/>
      <c r="BQ1070" s="4" t="n"/>
      <c r="BR1070" s="4" t="n"/>
      <c r="BS1070" s="4" t="n"/>
      <c r="BT1070" s="4" t="n"/>
      <c r="BU1070" s="4" t="n"/>
      <c r="BV1070" s="4" t="n"/>
      <c r="BW1070" s="4" t="n"/>
      <c r="BX1070" s="4" t="n"/>
      <c r="BY1070" s="4" t="n"/>
      <c r="BZ1070" s="4" t="n"/>
      <c r="CA1070" s="4" t="n"/>
      <c r="CB1070" s="4" t="n"/>
      <c r="CC1070" s="4" t="n"/>
      <c r="CD1070" s="4" t="n"/>
      <c r="CE1070" s="4" t="n"/>
      <c r="CF1070" s="4" t="n"/>
      <c r="CG1070" s="4" t="n"/>
      <c r="CH1070" s="4" t="n"/>
      <c r="CI1070" s="4" t="n"/>
      <c r="CJ1070" s="4" t="n"/>
      <c r="CK1070" s="4" t="n"/>
      <c r="CL1070" s="4" t="n"/>
      <c r="CM1070" s="4" t="n"/>
      <c r="CN1070" s="4" t="n"/>
      <c r="CO1070" s="4" t="n"/>
      <c r="CP1070" s="4" t="n"/>
      <c r="CQ1070" s="4" t="n"/>
      <c r="CR1070" s="4" t="n"/>
      <c r="CS1070" s="4" t="n"/>
      <c r="CT1070" s="4" t="n"/>
      <c r="CU1070" s="4" t="n"/>
      <c r="CV1070" s="4" t="n"/>
      <c r="CW1070" s="4" t="n"/>
      <c r="CX1070" s="4" t="n"/>
      <c r="CY1070" s="4" t="n"/>
      <c r="CZ1070" s="4" t="n"/>
      <c r="DA1070" s="4" t="n"/>
      <c r="DB1070" s="4" t="n"/>
      <c r="DC1070" s="4" t="n"/>
      <c r="DD1070" s="4" t="n"/>
      <c r="DE1070" s="4" t="n"/>
      <c r="DF1070" s="4" t="n"/>
      <c r="DG1070" s="4" t="n"/>
      <c r="DH1070" s="4" t="n"/>
      <c r="DI1070" s="4" t="n"/>
      <c r="DJ1070" s="4" t="n"/>
      <c r="DK1070" s="4" t="n"/>
      <c r="DL1070" s="4" t="n"/>
      <c r="DM1070" s="4" t="n"/>
      <c r="DN1070" s="4" t="n"/>
      <c r="DO1070" s="4" t="n"/>
      <c r="DP1070" s="4" t="n"/>
      <c r="DQ1070" s="4" t="n"/>
      <c r="DR1070" s="4" t="n"/>
      <c r="DS1070" s="4" t="n"/>
      <c r="DT1070" s="4" t="n"/>
      <c r="DU1070" s="4" t="n"/>
      <c r="DV1070" s="4" t="n"/>
      <c r="DW1070" s="4" t="n"/>
      <c r="DX1070" s="4" t="n"/>
      <c r="DY1070" s="4" t="n"/>
      <c r="DZ1070" s="4" t="n"/>
      <c r="EA1070" s="4" t="n"/>
      <c r="EB1070" s="4" t="n"/>
      <c r="EC1070" s="4" t="n"/>
      <c r="ED1070" s="4" t="n"/>
      <c r="EE1070" s="4" t="n"/>
      <c r="EF1070" s="4" t="n"/>
      <c r="EG1070" s="4" t="n"/>
      <c r="EH1070" s="4" t="n"/>
      <c r="EI1070" s="4" t="n"/>
      <c r="EJ1070" s="4" t="n"/>
      <c r="EK1070" s="4" t="n"/>
      <c r="EL1070" s="4" t="n"/>
      <c r="EM1070" s="4" t="n"/>
    </row>
    <row r="1071" hidden="1" customFormat="1" s="6">
      <c r="C1071" s="4" t="n"/>
      <c r="D1071" s="4" t="n"/>
      <c r="E1071" s="4" t="n"/>
      <c r="F1071" s="4" t="n"/>
      <c r="G1071" s="4" t="n"/>
      <c r="H1071" s="4" t="n"/>
      <c r="I1071" s="4" t="n"/>
      <c r="J1071" s="4" t="n"/>
      <c r="K1071" s="4" t="n"/>
      <c r="L1071" s="4" t="n"/>
      <c r="M1071" s="4" t="n"/>
      <c r="N1071" s="4" t="n"/>
      <c r="O1071" s="4" t="n"/>
      <c r="P1071" s="4" t="n"/>
      <c r="Q1071" s="4" t="n"/>
      <c r="R1071" s="4" t="n"/>
      <c r="S1071" s="4" t="n"/>
      <c r="T1071" s="4" t="n"/>
      <c r="U1071" s="4" t="n"/>
      <c r="V1071" s="4" t="n"/>
      <c r="W1071" s="4" t="n"/>
      <c r="X1071" s="4" t="n"/>
      <c r="Y1071" s="4" t="n"/>
      <c r="Z1071" s="4" t="n"/>
      <c r="AA1071" s="4" t="n"/>
      <c r="AB1071" s="4" t="n"/>
      <c r="AC1071" s="4" t="n"/>
      <c r="AD1071" s="4" t="n"/>
      <c r="AE1071" s="4" t="n"/>
      <c r="AF1071" s="4" t="n"/>
      <c r="AG1071" s="4" t="n"/>
      <c r="AH1071" s="4" t="n"/>
      <c r="AI1071" s="4" t="n"/>
      <c r="AJ1071" s="4" t="n"/>
      <c r="AK1071" s="4" t="n"/>
      <c r="AL1071" s="4" t="n"/>
      <c r="AM1071" s="4" t="n"/>
      <c r="AN1071" s="4" t="n"/>
      <c r="AO1071" s="4" t="n"/>
      <c r="AP1071" s="4" t="n"/>
      <c r="AQ1071" s="4" t="n"/>
      <c r="AR1071" s="4" t="n"/>
      <c r="AS1071" s="4" t="n"/>
      <c r="AT1071" s="4" t="n"/>
      <c r="AU1071" s="4" t="n"/>
      <c r="AV1071" s="4" t="n"/>
      <c r="AW1071" s="4" t="n"/>
      <c r="AX1071" s="4" t="n"/>
      <c r="AY1071" s="4" t="n"/>
      <c r="AZ1071" s="4" t="n"/>
      <c r="BA1071" s="4" t="n"/>
      <c r="BB1071" s="4" t="n"/>
      <c r="BC1071" s="4" t="n"/>
      <c r="BD1071" s="4" t="n"/>
      <c r="BE1071" s="4" t="n"/>
      <c r="BF1071" s="4" t="n"/>
      <c r="BG1071" s="4" t="n"/>
      <c r="BH1071" s="4" t="n"/>
      <c r="BI1071" s="4" t="n"/>
      <c r="BJ1071" s="4" t="n"/>
      <c r="BK1071" s="4" t="n"/>
      <c r="BL1071" s="4" t="n"/>
      <c r="BM1071" s="4" t="n"/>
      <c r="BN1071" s="4" t="n"/>
      <c r="BO1071" s="4" t="n"/>
      <c r="BP1071" s="4" t="n"/>
      <c r="BQ1071" s="4" t="n"/>
      <c r="BR1071" s="4" t="n"/>
      <c r="BS1071" s="4" t="n"/>
      <c r="BT1071" s="4" t="n"/>
      <c r="BU1071" s="4" t="n"/>
      <c r="BV1071" s="4" t="n"/>
      <c r="BW1071" s="4" t="n"/>
      <c r="BX1071" s="4" t="n"/>
      <c r="BY1071" s="4" t="n"/>
      <c r="BZ1071" s="4" t="n"/>
      <c r="CA1071" s="4" t="n"/>
      <c r="CB1071" s="4" t="n"/>
      <c r="CC1071" s="4" t="n"/>
      <c r="CD1071" s="4" t="n"/>
      <c r="CE1071" s="4" t="n"/>
      <c r="CF1071" s="4" t="n"/>
      <c r="CG1071" s="4" t="n"/>
      <c r="CH1071" s="4" t="n"/>
      <c r="CI1071" s="4" t="n"/>
      <c r="CJ1071" s="4" t="n"/>
      <c r="CK1071" s="4" t="n"/>
      <c r="CL1071" s="4" t="n"/>
      <c r="CM1071" s="4" t="n"/>
      <c r="CN1071" s="4" t="n"/>
      <c r="CO1071" s="4" t="n"/>
      <c r="CP1071" s="4" t="n"/>
      <c r="CQ1071" s="4" t="n"/>
      <c r="CR1071" s="4" t="n"/>
      <c r="CS1071" s="4" t="n"/>
      <c r="CT1071" s="4" t="n"/>
      <c r="CU1071" s="4" t="n"/>
      <c r="CV1071" s="4" t="n"/>
      <c r="CW1071" s="4" t="n"/>
      <c r="CX1071" s="4" t="n"/>
      <c r="CY1071" s="4" t="n"/>
      <c r="CZ1071" s="4" t="n"/>
      <c r="DA1071" s="4" t="n"/>
      <c r="DB1071" s="4" t="n"/>
      <c r="DC1071" s="4" t="n"/>
      <c r="DD1071" s="4" t="n"/>
      <c r="DE1071" s="4" t="n"/>
      <c r="DF1071" s="4" t="n"/>
      <c r="DG1071" s="4" t="n"/>
      <c r="DH1071" s="4" t="n"/>
      <c r="DI1071" s="4" t="n"/>
      <c r="DJ1071" s="4" t="n"/>
      <c r="DK1071" s="4" t="n"/>
      <c r="DL1071" s="4" t="n"/>
      <c r="DM1071" s="4" t="n"/>
      <c r="DN1071" s="4" t="n"/>
      <c r="DO1071" s="4" t="n"/>
      <c r="DP1071" s="4" t="n"/>
      <c r="DQ1071" s="4" t="n"/>
      <c r="DR1071" s="4" t="n"/>
      <c r="DS1071" s="4" t="n"/>
      <c r="DT1071" s="4" t="n"/>
      <c r="DU1071" s="4" t="n"/>
      <c r="DV1071" s="4" t="n"/>
      <c r="DW1071" s="4" t="n"/>
      <c r="DX1071" s="4" t="n"/>
      <c r="DY1071" s="4" t="n"/>
      <c r="DZ1071" s="4" t="n"/>
      <c r="EA1071" s="4" t="n"/>
      <c r="EB1071" s="4" t="n"/>
      <c r="EC1071" s="4" t="n"/>
      <c r="ED1071" s="4" t="n"/>
      <c r="EE1071" s="4" t="n"/>
      <c r="EF1071" s="4" t="n"/>
      <c r="EG1071" s="4" t="n"/>
      <c r="EH1071" s="4" t="n"/>
      <c r="EI1071" s="4" t="n"/>
      <c r="EJ1071" s="4" t="n"/>
      <c r="EK1071" s="4" t="n"/>
      <c r="EL1071" s="4" t="n"/>
      <c r="EM1071" s="4" t="n"/>
    </row>
    <row r="1072" hidden="1" customFormat="1" s="6">
      <c r="C1072" s="4" t="n"/>
      <c r="D1072" s="4" t="n"/>
      <c r="E1072" s="4" t="n"/>
      <c r="F1072" s="4" t="n"/>
      <c r="G1072" s="4" t="n"/>
      <c r="H1072" s="4" t="n"/>
      <c r="I1072" s="4" t="n"/>
      <c r="J1072" s="4" t="n"/>
      <c r="K1072" s="4" t="n"/>
      <c r="L1072" s="4" t="n"/>
      <c r="M1072" s="4" t="n"/>
      <c r="N1072" s="4" t="n"/>
      <c r="O1072" s="4" t="n"/>
      <c r="P1072" s="4" t="n"/>
      <c r="Q1072" s="4" t="n"/>
      <c r="R1072" s="4" t="n"/>
      <c r="S1072" s="4" t="n"/>
      <c r="T1072" s="4" t="n"/>
      <c r="U1072" s="4" t="n"/>
      <c r="V1072" s="4" t="n"/>
      <c r="W1072" s="4" t="n"/>
      <c r="X1072" s="4" t="n"/>
      <c r="Y1072" s="4" t="n"/>
      <c r="Z1072" s="4" t="n"/>
      <c r="AA1072" s="4" t="n"/>
      <c r="AB1072" s="4" t="n"/>
      <c r="AC1072" s="4" t="n"/>
      <c r="AD1072" s="4" t="n"/>
      <c r="AE1072" s="4" t="n"/>
      <c r="AF1072" s="4" t="n"/>
      <c r="AG1072" s="4" t="n"/>
      <c r="AH1072" s="4" t="n"/>
      <c r="AI1072" s="4" t="n"/>
      <c r="AJ1072" s="4" t="n"/>
      <c r="AK1072" s="4" t="n"/>
      <c r="AL1072" s="4" t="n"/>
      <c r="AM1072" s="4" t="n"/>
      <c r="AN1072" s="4" t="n"/>
      <c r="AO1072" s="4" t="n"/>
      <c r="AP1072" s="4" t="n"/>
      <c r="AQ1072" s="4" t="n"/>
      <c r="AR1072" s="4" t="n"/>
      <c r="AS1072" s="4" t="n"/>
      <c r="AT1072" s="4" t="n"/>
      <c r="AU1072" s="4" t="n"/>
      <c r="AV1072" s="4" t="n"/>
      <c r="AW1072" s="4" t="n"/>
      <c r="AX1072" s="4" t="n"/>
      <c r="AY1072" s="4" t="n"/>
      <c r="AZ1072" s="4" t="n"/>
      <c r="BA1072" s="4" t="n"/>
      <c r="BB1072" s="4" t="n"/>
      <c r="BC1072" s="4" t="n"/>
      <c r="BD1072" s="4" t="n"/>
      <c r="BE1072" s="4" t="n"/>
      <c r="BF1072" s="4" t="n"/>
      <c r="BG1072" s="4" t="n"/>
      <c r="BH1072" s="4" t="n"/>
      <c r="BI1072" s="4" t="n"/>
      <c r="BJ1072" s="4" t="n"/>
      <c r="BK1072" s="4" t="n"/>
      <c r="BL1072" s="4" t="n"/>
      <c r="BM1072" s="4" t="n"/>
      <c r="BN1072" s="4" t="n"/>
      <c r="BO1072" s="4" t="n"/>
      <c r="BP1072" s="4" t="n"/>
      <c r="BQ1072" s="4" t="n"/>
      <c r="BR1072" s="4" t="n"/>
      <c r="BS1072" s="4" t="n"/>
      <c r="BT1072" s="4" t="n"/>
      <c r="BU1072" s="4" t="n"/>
      <c r="BV1072" s="4" t="n"/>
      <c r="BW1072" s="4" t="n"/>
      <c r="BX1072" s="4" t="n"/>
      <c r="BY1072" s="4" t="n"/>
      <c r="BZ1072" s="4" t="n"/>
      <c r="CA1072" s="4" t="n"/>
      <c r="CB1072" s="4" t="n"/>
      <c r="CC1072" s="4" t="n"/>
      <c r="CD1072" s="4" t="n"/>
      <c r="CE1072" s="4" t="n"/>
      <c r="CF1072" s="4" t="n"/>
      <c r="CG1072" s="4" t="n"/>
      <c r="CH1072" s="4" t="n"/>
      <c r="CI1072" s="4" t="n"/>
      <c r="CJ1072" s="4" t="n"/>
      <c r="CK1072" s="4" t="n"/>
      <c r="CL1072" s="4" t="n"/>
      <c r="CM1072" s="4" t="n"/>
      <c r="CN1072" s="4" t="n"/>
      <c r="CO1072" s="4" t="n"/>
      <c r="CP1072" s="4" t="n"/>
      <c r="CQ1072" s="4" t="n"/>
      <c r="CR1072" s="4" t="n"/>
      <c r="CS1072" s="4" t="n"/>
      <c r="CT1072" s="4" t="n"/>
      <c r="CU1072" s="4" t="n"/>
      <c r="CV1072" s="4" t="n"/>
      <c r="CW1072" s="4" t="n"/>
      <c r="CX1072" s="4" t="n"/>
      <c r="CY1072" s="4" t="n"/>
      <c r="CZ1072" s="4" t="n"/>
      <c r="DA1072" s="4" t="n"/>
      <c r="DB1072" s="4" t="n"/>
      <c r="DC1072" s="4" t="n"/>
      <c r="DD1072" s="4" t="n"/>
      <c r="DE1072" s="4" t="n"/>
      <c r="DF1072" s="4" t="n"/>
      <c r="DG1072" s="4" t="n"/>
      <c r="DH1072" s="4" t="n"/>
      <c r="DI1072" s="4" t="n"/>
      <c r="DJ1072" s="4" t="n"/>
      <c r="DK1072" s="4" t="n"/>
      <c r="DL1072" s="4" t="n"/>
      <c r="DM1072" s="4" t="n"/>
      <c r="DN1072" s="4" t="n"/>
      <c r="DO1072" s="4" t="n"/>
      <c r="DP1072" s="4" t="n"/>
      <c r="DQ1072" s="4" t="n"/>
      <c r="DR1072" s="4" t="n"/>
      <c r="DS1072" s="4" t="n"/>
      <c r="DT1072" s="4" t="n"/>
      <c r="DU1072" s="4" t="n"/>
      <c r="DV1072" s="4" t="n"/>
      <c r="DW1072" s="4" t="n"/>
      <c r="DX1072" s="4" t="n"/>
      <c r="DY1072" s="4" t="n"/>
      <c r="DZ1072" s="4" t="n"/>
      <c r="EA1072" s="4" t="n"/>
      <c r="EB1072" s="4" t="n"/>
      <c r="EC1072" s="4" t="n"/>
      <c r="ED1072" s="4" t="n"/>
      <c r="EE1072" s="4" t="n"/>
      <c r="EF1072" s="4" t="n"/>
      <c r="EG1072" s="4" t="n"/>
      <c r="EH1072" s="4" t="n"/>
      <c r="EI1072" s="4" t="n"/>
      <c r="EJ1072" s="4" t="n"/>
      <c r="EK1072" s="4" t="n"/>
      <c r="EL1072" s="4" t="n"/>
      <c r="EM1072" s="4" t="n"/>
    </row>
    <row r="1073" hidden="1" customFormat="1" s="6">
      <c r="C1073" s="4" t="n"/>
      <c r="D1073" s="4" t="n"/>
      <c r="E1073" s="4" t="n"/>
      <c r="F1073" s="4" t="n"/>
      <c r="G1073" s="4" t="n"/>
      <c r="H1073" s="4" t="n"/>
      <c r="I1073" s="4" t="n"/>
      <c r="J1073" s="4" t="n"/>
      <c r="K1073" s="4" t="n"/>
      <c r="L1073" s="4" t="n"/>
      <c r="M1073" s="4" t="n"/>
      <c r="N1073" s="4" t="n"/>
      <c r="O1073" s="4" t="n"/>
      <c r="P1073" s="4" t="n"/>
      <c r="Q1073" s="4" t="n"/>
      <c r="R1073" s="4" t="n"/>
      <c r="S1073" s="4" t="n"/>
      <c r="T1073" s="4" t="n"/>
      <c r="U1073" s="4" t="n"/>
      <c r="V1073" s="4" t="n"/>
      <c r="W1073" s="4" t="n"/>
      <c r="X1073" s="4" t="n"/>
      <c r="Y1073" s="4" t="n"/>
      <c r="Z1073" s="4" t="n"/>
      <c r="AA1073" s="4" t="n"/>
      <c r="AB1073" s="4" t="n"/>
      <c r="AC1073" s="4" t="n"/>
      <c r="AD1073" s="4" t="n"/>
      <c r="AE1073" s="4" t="n"/>
      <c r="AF1073" s="4" t="n"/>
      <c r="AG1073" s="4" t="n"/>
      <c r="AH1073" s="4" t="n"/>
      <c r="AI1073" s="4" t="n"/>
      <c r="AJ1073" s="4" t="n"/>
      <c r="AK1073" s="4" t="n"/>
      <c r="AL1073" s="4" t="n"/>
      <c r="AM1073" s="4" t="n"/>
      <c r="AN1073" s="4" t="n"/>
      <c r="AO1073" s="4" t="n"/>
      <c r="AP1073" s="4" t="n"/>
      <c r="AQ1073" s="4" t="n"/>
      <c r="AR1073" s="4" t="n"/>
      <c r="AS1073" s="4" t="n"/>
      <c r="AT1073" s="4" t="n"/>
      <c r="AU1073" s="4" t="n"/>
      <c r="AV1073" s="4" t="n"/>
      <c r="AW1073" s="4" t="n"/>
      <c r="AX1073" s="4" t="n"/>
      <c r="AY1073" s="4" t="n"/>
      <c r="AZ1073" s="4" t="n"/>
      <c r="BA1073" s="4" t="n"/>
      <c r="BB1073" s="4" t="n"/>
      <c r="BC1073" s="4" t="n"/>
      <c r="BD1073" s="4" t="n"/>
      <c r="BE1073" s="4" t="n"/>
      <c r="BF1073" s="4" t="n"/>
      <c r="BG1073" s="4" t="n"/>
      <c r="BH1073" s="4" t="n"/>
      <c r="BI1073" s="4" t="n"/>
      <c r="BJ1073" s="4" t="n"/>
      <c r="BK1073" s="4" t="n"/>
      <c r="BL1073" s="4" t="n"/>
      <c r="BM1073" s="4" t="n"/>
      <c r="BN1073" s="4" t="n"/>
      <c r="BO1073" s="4" t="n"/>
      <c r="BP1073" s="4" t="n"/>
      <c r="BQ1073" s="4" t="n"/>
      <c r="BR1073" s="4" t="n"/>
      <c r="BS1073" s="4" t="n"/>
      <c r="BT1073" s="4" t="n"/>
      <c r="BU1073" s="4" t="n"/>
      <c r="BV1073" s="4" t="n"/>
      <c r="BW1073" s="4" t="n"/>
      <c r="BX1073" s="4" t="n"/>
      <c r="BY1073" s="4" t="n"/>
      <c r="BZ1073" s="4" t="n"/>
      <c r="CA1073" s="4" t="n"/>
      <c r="CB1073" s="4" t="n"/>
      <c r="CC1073" s="4" t="n"/>
      <c r="CD1073" s="4" t="n"/>
      <c r="CE1073" s="4" t="n"/>
      <c r="CF1073" s="4" t="n"/>
      <c r="CG1073" s="4" t="n"/>
      <c r="CH1073" s="4" t="n"/>
      <c r="CI1073" s="4" t="n"/>
      <c r="CJ1073" s="4" t="n"/>
      <c r="CK1073" s="4" t="n"/>
      <c r="CL1073" s="4" t="n"/>
      <c r="CM1073" s="4" t="n"/>
      <c r="CN1073" s="4" t="n"/>
      <c r="CO1073" s="4" t="n"/>
      <c r="CP1073" s="4" t="n"/>
      <c r="CQ1073" s="4" t="n"/>
      <c r="CR1073" s="4" t="n"/>
      <c r="CS1073" s="4" t="n"/>
      <c r="CT1073" s="4" t="n"/>
      <c r="CU1073" s="4" t="n"/>
      <c r="CV1073" s="4" t="n"/>
      <c r="CW1073" s="4" t="n"/>
      <c r="CX1073" s="4" t="n"/>
      <c r="CY1073" s="4" t="n"/>
      <c r="CZ1073" s="4" t="n"/>
      <c r="DA1073" s="4" t="n"/>
      <c r="DB1073" s="4" t="n"/>
      <c r="DC1073" s="4" t="n"/>
      <c r="DD1073" s="4" t="n"/>
      <c r="DE1073" s="4" t="n"/>
      <c r="DF1073" s="4" t="n"/>
      <c r="DG1073" s="4" t="n"/>
      <c r="DH1073" s="4" t="n"/>
      <c r="DI1073" s="4" t="n"/>
      <c r="DJ1073" s="4" t="n"/>
      <c r="DK1073" s="4" t="n"/>
      <c r="DL1073" s="4" t="n"/>
      <c r="DM1073" s="4" t="n"/>
      <c r="DN1073" s="4" t="n"/>
      <c r="DO1073" s="4" t="n"/>
      <c r="DP1073" s="4" t="n"/>
      <c r="DQ1073" s="4" t="n"/>
      <c r="DR1073" s="4" t="n"/>
      <c r="DS1073" s="4" t="n"/>
      <c r="DT1073" s="4" t="n"/>
      <c r="DU1073" s="4" t="n"/>
      <c r="DV1073" s="4" t="n"/>
      <c r="DW1073" s="4" t="n"/>
      <c r="DX1073" s="4" t="n"/>
      <c r="DY1073" s="4" t="n"/>
      <c r="DZ1073" s="4" t="n"/>
      <c r="EA1073" s="4" t="n"/>
      <c r="EB1073" s="4" t="n"/>
      <c r="EC1073" s="4" t="n"/>
      <c r="ED1073" s="4" t="n"/>
      <c r="EE1073" s="4" t="n"/>
      <c r="EF1073" s="4" t="n"/>
      <c r="EG1073" s="4" t="n"/>
      <c r="EH1073" s="4" t="n"/>
      <c r="EI1073" s="4" t="n"/>
      <c r="EJ1073" s="4" t="n"/>
      <c r="EK1073" s="4" t="n"/>
      <c r="EL1073" s="4" t="n"/>
      <c r="EM1073" s="4" t="n"/>
    </row>
    <row r="1074" hidden="1" customFormat="1" s="6">
      <c r="C1074" s="4" t="n"/>
      <c r="D1074" s="4" t="n"/>
      <c r="E1074" s="4" t="n"/>
      <c r="F1074" s="4" t="n"/>
      <c r="G1074" s="4" t="n"/>
      <c r="H1074" s="4" t="n"/>
      <c r="I1074" s="4" t="n"/>
      <c r="J1074" s="4" t="n"/>
      <c r="K1074" s="4" t="n"/>
      <c r="L1074" s="4" t="n"/>
      <c r="M1074" s="4" t="n"/>
      <c r="N1074" s="4" t="n"/>
      <c r="O1074" s="4" t="n"/>
      <c r="P1074" s="4" t="n"/>
      <c r="Q1074" s="4" t="n"/>
      <c r="R1074" s="4" t="n"/>
      <c r="S1074" s="4" t="n"/>
      <c r="T1074" s="4" t="n"/>
      <c r="U1074" s="4" t="n"/>
      <c r="V1074" s="4" t="n"/>
      <c r="W1074" s="4" t="n"/>
      <c r="X1074" s="4" t="n"/>
      <c r="Y1074" s="4" t="n"/>
      <c r="Z1074" s="4" t="n"/>
      <c r="AA1074" s="4" t="n"/>
      <c r="AB1074" s="4" t="n"/>
      <c r="AC1074" s="4" t="n"/>
      <c r="AD1074" s="4" t="n"/>
      <c r="AE1074" s="4" t="n"/>
      <c r="AF1074" s="4" t="n"/>
      <c r="AG1074" s="4" t="n"/>
      <c r="AH1074" s="4" t="n"/>
      <c r="AI1074" s="4" t="n"/>
      <c r="AJ1074" s="4" t="n"/>
      <c r="AK1074" s="4" t="n"/>
      <c r="AL1074" s="4" t="n"/>
      <c r="AM1074" s="4" t="n"/>
      <c r="AN1074" s="4" t="n"/>
      <c r="AO1074" s="4" t="n"/>
      <c r="AP1074" s="4" t="n"/>
      <c r="AQ1074" s="4" t="n"/>
      <c r="AR1074" s="4" t="n"/>
      <c r="AS1074" s="4" t="n"/>
      <c r="AT1074" s="4" t="n"/>
      <c r="AU1074" s="4" t="n"/>
      <c r="AV1074" s="4" t="n"/>
      <c r="AW1074" s="4" t="n"/>
      <c r="AX1074" s="4" t="n"/>
      <c r="AY1074" s="4" t="n"/>
      <c r="AZ1074" s="4" t="n"/>
      <c r="BA1074" s="4" t="n"/>
      <c r="BB1074" s="4" t="n"/>
      <c r="BC1074" s="4" t="n"/>
      <c r="BD1074" s="4" t="n"/>
      <c r="BE1074" s="4" t="n"/>
      <c r="BF1074" s="4" t="n"/>
      <c r="BG1074" s="4" t="n"/>
      <c r="BH1074" s="4" t="n"/>
      <c r="BI1074" s="4" t="n"/>
      <c r="BJ1074" s="4" t="n"/>
      <c r="BK1074" s="4" t="n"/>
      <c r="BL1074" s="4" t="n"/>
      <c r="BM1074" s="4" t="n"/>
      <c r="BN1074" s="4" t="n"/>
      <c r="BO1074" s="4" t="n"/>
      <c r="BP1074" s="4" t="n"/>
      <c r="BQ1074" s="4" t="n"/>
      <c r="BR1074" s="4" t="n"/>
      <c r="BS1074" s="4" t="n"/>
      <c r="BT1074" s="4" t="n"/>
      <c r="BU1074" s="4" t="n"/>
      <c r="BV1074" s="4" t="n"/>
      <c r="BW1074" s="4" t="n"/>
      <c r="BX1074" s="4" t="n"/>
      <c r="BY1074" s="4" t="n"/>
      <c r="BZ1074" s="4" t="n"/>
      <c r="CA1074" s="4" t="n"/>
      <c r="CB1074" s="4" t="n"/>
      <c r="CC1074" s="4" t="n"/>
      <c r="CD1074" s="4" t="n"/>
      <c r="CE1074" s="4" t="n"/>
      <c r="CF1074" s="4" t="n"/>
      <c r="CG1074" s="4" t="n"/>
      <c r="CH1074" s="4" t="n"/>
      <c r="CI1074" s="4" t="n"/>
      <c r="CJ1074" s="4" t="n"/>
      <c r="CK1074" s="4" t="n"/>
      <c r="CL1074" s="4" t="n"/>
      <c r="CM1074" s="4" t="n"/>
      <c r="CN1074" s="4" t="n"/>
      <c r="CO1074" s="4" t="n"/>
      <c r="CP1074" s="4" t="n"/>
      <c r="CQ1074" s="4" t="n"/>
      <c r="CR1074" s="4" t="n"/>
      <c r="CS1074" s="4" t="n"/>
      <c r="CT1074" s="4" t="n"/>
      <c r="CU1074" s="4" t="n"/>
      <c r="CV1074" s="4" t="n"/>
      <c r="CW1074" s="4" t="n"/>
      <c r="CX1074" s="4" t="n"/>
      <c r="CY1074" s="4" t="n"/>
      <c r="CZ1074" s="4" t="n"/>
      <c r="DA1074" s="4" t="n"/>
      <c r="DB1074" s="4" t="n"/>
      <c r="DC1074" s="4" t="n"/>
      <c r="DD1074" s="4" t="n"/>
      <c r="DE1074" s="4" t="n"/>
      <c r="DF1074" s="4" t="n"/>
      <c r="DG1074" s="4" t="n"/>
      <c r="DH1074" s="4" t="n"/>
      <c r="DI1074" s="4" t="n"/>
      <c r="DJ1074" s="4" t="n"/>
      <c r="DK1074" s="4" t="n"/>
      <c r="DL1074" s="4" t="n"/>
      <c r="DM1074" s="4" t="n"/>
      <c r="DN1074" s="4" t="n"/>
      <c r="DO1074" s="4" t="n"/>
      <c r="DP1074" s="4" t="n"/>
      <c r="DQ1074" s="4" t="n"/>
      <c r="DR1074" s="4" t="n"/>
      <c r="DS1074" s="4" t="n"/>
      <c r="DT1074" s="4" t="n"/>
      <c r="DU1074" s="4" t="n"/>
      <c r="DV1074" s="4" t="n"/>
      <c r="DW1074" s="4" t="n"/>
      <c r="DX1074" s="4" t="n"/>
      <c r="DY1074" s="4" t="n"/>
      <c r="DZ1074" s="4" t="n"/>
      <c r="EA1074" s="4" t="n"/>
      <c r="EB1074" s="4" t="n"/>
      <c r="EC1074" s="4" t="n"/>
      <c r="ED1074" s="4" t="n"/>
      <c r="EE1074" s="4" t="n"/>
      <c r="EF1074" s="4" t="n"/>
      <c r="EG1074" s="4" t="n"/>
      <c r="EH1074" s="4" t="n"/>
      <c r="EI1074" s="4" t="n"/>
      <c r="EJ1074" s="4" t="n"/>
      <c r="EK1074" s="4" t="n"/>
      <c r="EL1074" s="4" t="n"/>
      <c r="EM1074" s="4" t="n"/>
    </row>
    <row r="1075" hidden="1" customFormat="1" s="6">
      <c r="C1075" s="4" t="n"/>
      <c r="D1075" s="4" t="n"/>
      <c r="E1075" s="4" t="n"/>
      <c r="F1075" s="4" t="n"/>
      <c r="G1075" s="4" t="n"/>
      <c r="H1075" s="4" t="n"/>
      <c r="I1075" s="4" t="n"/>
      <c r="J1075" s="4" t="n"/>
      <c r="K1075" s="4" t="n"/>
      <c r="L1075" s="4" t="n"/>
      <c r="M1075" s="4" t="n"/>
      <c r="N1075" s="4" t="n"/>
      <c r="O1075" s="4" t="n"/>
      <c r="P1075" s="4" t="n"/>
      <c r="Q1075" s="4" t="n"/>
      <c r="R1075" s="4" t="n"/>
      <c r="S1075" s="4" t="n"/>
      <c r="T1075" s="4" t="n"/>
      <c r="U1075" s="4" t="n"/>
      <c r="V1075" s="4" t="n"/>
      <c r="W1075" s="4" t="n"/>
      <c r="X1075" s="4" t="n"/>
      <c r="Y1075" s="4" t="n"/>
      <c r="Z1075" s="4" t="n"/>
      <c r="AA1075" s="4" t="n"/>
      <c r="AB1075" s="4" t="n"/>
      <c r="AC1075" s="4" t="n"/>
      <c r="AD1075" s="4" t="n"/>
      <c r="AE1075" s="4" t="n"/>
      <c r="AF1075" s="4" t="n"/>
      <c r="AG1075" s="4" t="n"/>
      <c r="AH1075" s="4" t="n"/>
      <c r="AI1075" s="4" t="n"/>
      <c r="AJ1075" s="4" t="n"/>
      <c r="AK1075" s="4" t="n"/>
      <c r="AL1075" s="4" t="n"/>
      <c r="AM1075" s="4" t="n"/>
      <c r="AN1075" s="4" t="n"/>
      <c r="AO1075" s="4" t="n"/>
      <c r="AP1075" s="4" t="n"/>
      <c r="AQ1075" s="4" t="n"/>
      <c r="AR1075" s="4" t="n"/>
      <c r="AS1075" s="4" t="n"/>
      <c r="AT1075" s="4" t="n"/>
      <c r="AU1075" s="4" t="n"/>
      <c r="AV1075" s="4" t="n"/>
      <c r="AW1075" s="4" t="n"/>
      <c r="AX1075" s="4" t="n"/>
      <c r="AY1075" s="4" t="n"/>
      <c r="AZ1075" s="4" t="n"/>
      <c r="BA1075" s="4" t="n"/>
      <c r="BB1075" s="4" t="n"/>
      <c r="BC1075" s="4" t="n"/>
      <c r="BD1075" s="4" t="n"/>
      <c r="BE1075" s="4" t="n"/>
      <c r="BF1075" s="4" t="n"/>
      <c r="BG1075" s="4" t="n"/>
      <c r="BH1075" s="4" t="n"/>
      <c r="BI1075" s="4" t="n"/>
      <c r="BJ1075" s="4" t="n"/>
      <c r="BK1075" s="4" t="n"/>
      <c r="BL1075" s="4" t="n"/>
      <c r="BM1075" s="4" t="n"/>
      <c r="BN1075" s="4" t="n"/>
      <c r="BO1075" s="4" t="n"/>
      <c r="BP1075" s="4" t="n"/>
      <c r="BQ1075" s="4" t="n"/>
      <c r="BR1075" s="4" t="n"/>
      <c r="BS1075" s="4" t="n"/>
      <c r="BT1075" s="4" t="n"/>
      <c r="BU1075" s="4" t="n"/>
      <c r="BV1075" s="4" t="n"/>
      <c r="BW1075" s="4" t="n"/>
      <c r="BX1075" s="4" t="n"/>
      <c r="BY1075" s="4" t="n"/>
      <c r="BZ1075" s="4" t="n"/>
      <c r="CA1075" s="4" t="n"/>
      <c r="CB1075" s="4" t="n"/>
      <c r="CC1075" s="4" t="n"/>
      <c r="CD1075" s="4" t="n"/>
      <c r="CE1075" s="4" t="n"/>
      <c r="CF1075" s="4" t="n"/>
      <c r="CG1075" s="4" t="n"/>
      <c r="CH1075" s="4" t="n"/>
      <c r="CI1075" s="4" t="n"/>
      <c r="CJ1075" s="4" t="n"/>
      <c r="CK1075" s="4" t="n"/>
      <c r="CL1075" s="4" t="n"/>
      <c r="CM1075" s="4" t="n"/>
      <c r="CN1075" s="4" t="n"/>
      <c r="CO1075" s="4" t="n"/>
      <c r="CP1075" s="4" t="n"/>
      <c r="CQ1075" s="4" t="n"/>
      <c r="CR1075" s="4" t="n"/>
      <c r="CS1075" s="4" t="n"/>
      <c r="CT1075" s="4" t="n"/>
      <c r="CU1075" s="4" t="n"/>
      <c r="CV1075" s="4" t="n"/>
      <c r="CW1075" s="4" t="n"/>
      <c r="CX1075" s="4" t="n"/>
      <c r="CY1075" s="4" t="n"/>
      <c r="CZ1075" s="4" t="n"/>
      <c r="DA1075" s="4" t="n"/>
      <c r="DB1075" s="4" t="n"/>
      <c r="DC1075" s="4" t="n"/>
      <c r="DD1075" s="4" t="n"/>
      <c r="DE1075" s="4" t="n"/>
      <c r="DF1075" s="4" t="n"/>
      <c r="DG1075" s="4" t="n"/>
      <c r="DH1075" s="4" t="n"/>
      <c r="DI1075" s="4" t="n"/>
      <c r="DJ1075" s="4" t="n"/>
      <c r="DK1075" s="4" t="n"/>
      <c r="DL1075" s="4" t="n"/>
      <c r="DM1075" s="4" t="n"/>
      <c r="DN1075" s="4" t="n"/>
      <c r="DO1075" s="4" t="n"/>
      <c r="DP1075" s="4" t="n"/>
      <c r="DQ1075" s="4" t="n"/>
      <c r="DR1075" s="4" t="n"/>
      <c r="DS1075" s="4" t="n"/>
      <c r="DT1075" s="4" t="n"/>
      <c r="DU1075" s="4" t="n"/>
      <c r="DV1075" s="4" t="n"/>
      <c r="DW1075" s="4" t="n"/>
      <c r="DX1075" s="4" t="n"/>
      <c r="DY1075" s="4" t="n"/>
      <c r="DZ1075" s="4" t="n"/>
      <c r="EA1075" s="4" t="n"/>
      <c r="EB1075" s="4" t="n"/>
      <c r="EC1075" s="4" t="n"/>
      <c r="ED1075" s="4" t="n"/>
      <c r="EE1075" s="4" t="n"/>
      <c r="EF1075" s="4" t="n"/>
      <c r="EG1075" s="4" t="n"/>
      <c r="EH1075" s="4" t="n"/>
      <c r="EI1075" s="4" t="n"/>
      <c r="EJ1075" s="4" t="n"/>
      <c r="EK1075" s="4" t="n"/>
      <c r="EL1075" s="4" t="n"/>
      <c r="EM1075" s="4" t="n"/>
    </row>
    <row r="1076" hidden="1" customFormat="1" s="6">
      <c r="C1076" s="4" t="n"/>
      <c r="D1076" s="4" t="n"/>
      <c r="E1076" s="4" t="n"/>
      <c r="F1076" s="4" t="n"/>
      <c r="G1076" s="4" t="n"/>
      <c r="H1076" s="4" t="n"/>
      <c r="I1076" s="4" t="n"/>
      <c r="J1076" s="4" t="n"/>
      <c r="K1076" s="4" t="n"/>
      <c r="L1076" s="4" t="n"/>
      <c r="M1076" s="4" t="n"/>
      <c r="N1076" s="4" t="n"/>
      <c r="O1076" s="4" t="n"/>
      <c r="P1076" s="4" t="n"/>
      <c r="Q1076" s="4" t="n"/>
      <c r="R1076" s="4" t="n"/>
      <c r="S1076" s="4" t="n"/>
      <c r="T1076" s="4" t="n"/>
      <c r="U1076" s="4" t="n"/>
      <c r="V1076" s="4" t="n"/>
      <c r="W1076" s="4" t="n"/>
      <c r="X1076" s="4" t="n"/>
      <c r="Y1076" s="4" t="n"/>
      <c r="Z1076" s="4" t="n"/>
      <c r="AA1076" s="4" t="n"/>
      <c r="AB1076" s="4" t="n"/>
      <c r="AC1076" s="4" t="n"/>
      <c r="AD1076" s="4" t="n"/>
      <c r="AE1076" s="4" t="n"/>
      <c r="AF1076" s="4" t="n"/>
      <c r="AG1076" s="4" t="n"/>
      <c r="AH1076" s="4" t="n"/>
      <c r="AI1076" s="4" t="n"/>
      <c r="AJ1076" s="4" t="n"/>
      <c r="AK1076" s="4" t="n"/>
      <c r="AL1076" s="4" t="n"/>
      <c r="AM1076" s="4" t="n"/>
      <c r="AN1076" s="4" t="n"/>
      <c r="AO1076" s="4" t="n"/>
      <c r="AP1076" s="4" t="n"/>
      <c r="AQ1076" s="4" t="n"/>
      <c r="AR1076" s="4" t="n"/>
      <c r="AS1076" s="4" t="n"/>
      <c r="AT1076" s="4" t="n"/>
      <c r="AU1076" s="4" t="n"/>
      <c r="AV1076" s="4" t="n"/>
      <c r="AW1076" s="4" t="n"/>
      <c r="AX1076" s="4" t="n"/>
      <c r="AY1076" s="4" t="n"/>
      <c r="AZ1076" s="4" t="n"/>
      <c r="BA1076" s="4" t="n"/>
      <c r="BB1076" s="4" t="n"/>
      <c r="BC1076" s="4" t="n"/>
      <c r="BD1076" s="4" t="n"/>
      <c r="BE1076" s="4" t="n"/>
      <c r="BF1076" s="4" t="n"/>
      <c r="BG1076" s="4" t="n"/>
      <c r="BH1076" s="4" t="n"/>
      <c r="BI1076" s="4" t="n"/>
      <c r="BJ1076" s="4" t="n"/>
      <c r="BK1076" s="4" t="n"/>
      <c r="BL1076" s="4" t="n"/>
      <c r="BM1076" s="4" t="n"/>
      <c r="BN1076" s="4" t="n"/>
      <c r="BO1076" s="4" t="n"/>
      <c r="BP1076" s="4" t="n"/>
      <c r="BQ1076" s="4" t="n"/>
      <c r="BR1076" s="4" t="n"/>
      <c r="BS1076" s="4" t="n"/>
      <c r="BT1076" s="4" t="n"/>
      <c r="BU1076" s="4" t="n"/>
      <c r="BV1076" s="4" t="n"/>
      <c r="BW1076" s="4" t="n"/>
      <c r="BX1076" s="4" t="n"/>
      <c r="BY1076" s="4" t="n"/>
      <c r="BZ1076" s="4" t="n"/>
      <c r="CA1076" s="4" t="n"/>
      <c r="CB1076" s="4" t="n"/>
      <c r="CC1076" s="4" t="n"/>
      <c r="CD1076" s="4" t="n"/>
      <c r="CE1076" s="4" t="n"/>
      <c r="CF1076" s="4" t="n"/>
      <c r="CG1076" s="4" t="n"/>
      <c r="CH1076" s="4" t="n"/>
      <c r="CI1076" s="4" t="n"/>
      <c r="CJ1076" s="4" t="n"/>
      <c r="CK1076" s="4" t="n"/>
      <c r="CL1076" s="4" t="n"/>
      <c r="CM1076" s="4" t="n"/>
      <c r="CN1076" s="4" t="n"/>
      <c r="CO1076" s="4" t="n"/>
      <c r="CP1076" s="4" t="n"/>
      <c r="CQ1076" s="4" t="n"/>
      <c r="CR1076" s="4" t="n"/>
      <c r="CS1076" s="4" t="n"/>
      <c r="CT1076" s="4" t="n"/>
      <c r="CU1076" s="4" t="n"/>
      <c r="CV1076" s="4" t="n"/>
      <c r="CW1076" s="4" t="n"/>
      <c r="CX1076" s="4" t="n"/>
      <c r="CY1076" s="4" t="n"/>
      <c r="CZ1076" s="4" t="n"/>
      <c r="DA1076" s="4" t="n"/>
      <c r="DB1076" s="4" t="n"/>
      <c r="DC1076" s="4" t="n"/>
      <c r="DD1076" s="4" t="n"/>
      <c r="DE1076" s="4" t="n"/>
      <c r="DF1076" s="4" t="n"/>
      <c r="DG1076" s="4" t="n"/>
      <c r="DH1076" s="4" t="n"/>
      <c r="DI1076" s="4" t="n"/>
      <c r="DJ1076" s="4" t="n"/>
      <c r="DK1076" s="4" t="n"/>
      <c r="DL1076" s="4" t="n"/>
      <c r="DM1076" s="4" t="n"/>
      <c r="DN1076" s="4" t="n"/>
      <c r="DO1076" s="4" t="n"/>
      <c r="DP1076" s="4" t="n"/>
      <c r="DQ1076" s="4" t="n"/>
      <c r="DR1076" s="4" t="n"/>
      <c r="DS1076" s="4" t="n"/>
      <c r="DT1076" s="4" t="n"/>
      <c r="DU1076" s="4" t="n"/>
      <c r="DV1076" s="4" t="n"/>
      <c r="DW1076" s="4" t="n"/>
      <c r="DX1076" s="4" t="n"/>
      <c r="DY1076" s="4" t="n"/>
      <c r="DZ1076" s="4" t="n"/>
      <c r="EA1076" s="4" t="n"/>
      <c r="EB1076" s="4" t="n"/>
      <c r="EC1076" s="4" t="n"/>
      <c r="ED1076" s="4" t="n"/>
      <c r="EE1076" s="4" t="n"/>
      <c r="EF1076" s="4" t="n"/>
      <c r="EG1076" s="4" t="n"/>
      <c r="EH1076" s="4" t="n"/>
      <c r="EI1076" s="4" t="n"/>
      <c r="EJ1076" s="4" t="n"/>
      <c r="EK1076" s="4" t="n"/>
      <c r="EL1076" s="4" t="n"/>
      <c r="EM1076" s="4" t="n"/>
    </row>
    <row r="1077" hidden="1" customFormat="1" s="6">
      <c r="C1077" s="4" t="n"/>
      <c r="D1077" s="4" t="n"/>
      <c r="E1077" s="4" t="n"/>
      <c r="F1077" s="4" t="n"/>
      <c r="G1077" s="4" t="n"/>
      <c r="H1077" s="4" t="n"/>
      <c r="I1077" s="4" t="n"/>
      <c r="J1077" s="4" t="n"/>
      <c r="K1077" s="4" t="n"/>
      <c r="L1077" s="4" t="n"/>
      <c r="M1077" s="4" t="n"/>
      <c r="N1077" s="4" t="n"/>
      <c r="O1077" s="4" t="n"/>
      <c r="P1077" s="4" t="n"/>
      <c r="Q1077" s="4" t="n"/>
      <c r="R1077" s="4" t="n"/>
      <c r="S1077" s="4" t="n"/>
      <c r="T1077" s="4" t="n"/>
      <c r="U1077" s="4" t="n"/>
      <c r="V1077" s="4" t="n"/>
      <c r="W1077" s="4" t="n"/>
      <c r="X1077" s="4" t="n"/>
      <c r="Y1077" s="4" t="n"/>
      <c r="Z1077" s="4" t="n"/>
      <c r="AA1077" s="4" t="n"/>
      <c r="AB1077" s="4" t="n"/>
      <c r="AC1077" s="4" t="n"/>
      <c r="AD1077" s="4" t="n"/>
      <c r="AE1077" s="4" t="n"/>
      <c r="AF1077" s="4" t="n"/>
      <c r="AG1077" s="4" t="n"/>
      <c r="AH1077" s="4" t="n"/>
      <c r="AI1077" s="4" t="n"/>
      <c r="AJ1077" s="4" t="n"/>
      <c r="AK1077" s="4" t="n"/>
      <c r="AL1077" s="4" t="n"/>
      <c r="AM1077" s="4" t="n"/>
      <c r="AN1077" s="4" t="n"/>
      <c r="AO1077" s="4" t="n"/>
      <c r="AP1077" s="4" t="n"/>
      <c r="AQ1077" s="4" t="n"/>
      <c r="AR1077" s="4" t="n"/>
      <c r="AS1077" s="4" t="n"/>
      <c r="AT1077" s="4" t="n"/>
      <c r="AU1077" s="4" t="n"/>
      <c r="AV1077" s="4" t="n"/>
      <c r="AW1077" s="4" t="n"/>
      <c r="AX1077" s="4" t="n"/>
      <c r="AY1077" s="4" t="n"/>
      <c r="AZ1077" s="4" t="n"/>
      <c r="BA1077" s="4" t="n"/>
      <c r="BB1077" s="4" t="n"/>
      <c r="BC1077" s="4" t="n"/>
      <c r="BD1077" s="4" t="n"/>
      <c r="BE1077" s="4" t="n"/>
      <c r="BF1077" s="4" t="n"/>
      <c r="BG1077" s="4" t="n"/>
      <c r="BH1077" s="4" t="n"/>
      <c r="BI1077" s="4" t="n"/>
      <c r="BJ1077" s="4" t="n"/>
      <c r="BK1077" s="4" t="n"/>
      <c r="BL1077" s="4" t="n"/>
      <c r="BM1077" s="4" t="n"/>
      <c r="BN1077" s="4" t="n"/>
      <c r="BO1077" s="4" t="n"/>
      <c r="BP1077" s="4" t="n"/>
      <c r="BQ1077" s="4" t="n"/>
      <c r="BR1077" s="4" t="n"/>
      <c r="BS1077" s="4" t="n"/>
      <c r="BT1077" s="4" t="n"/>
      <c r="BU1077" s="4" t="n"/>
      <c r="BV1077" s="4" t="n"/>
      <c r="BW1077" s="4" t="n"/>
      <c r="BX1077" s="4" t="n"/>
      <c r="BY1077" s="4" t="n"/>
      <c r="BZ1077" s="4" t="n"/>
      <c r="CA1077" s="4" t="n"/>
      <c r="CB1077" s="4" t="n"/>
      <c r="CC1077" s="4" t="n"/>
      <c r="CD1077" s="4" t="n"/>
      <c r="CE1077" s="4" t="n"/>
      <c r="CF1077" s="4" t="n"/>
      <c r="CG1077" s="4" t="n"/>
      <c r="CH1077" s="4" t="n"/>
      <c r="CI1077" s="4" t="n"/>
      <c r="CJ1077" s="4" t="n"/>
      <c r="CK1077" s="4" t="n"/>
      <c r="CL1077" s="4" t="n"/>
      <c r="CM1077" s="4" t="n"/>
      <c r="CN1077" s="4" t="n"/>
      <c r="CO1077" s="4" t="n"/>
      <c r="CP1077" s="4" t="n"/>
      <c r="CQ1077" s="4" t="n"/>
      <c r="CR1077" s="4" t="n"/>
      <c r="CS1077" s="4" t="n"/>
      <c r="CT1077" s="4" t="n"/>
      <c r="CU1077" s="4" t="n"/>
      <c r="CV1077" s="4" t="n"/>
      <c r="CW1077" s="4" t="n"/>
      <c r="CX1077" s="4" t="n"/>
      <c r="CY1077" s="4" t="n"/>
      <c r="CZ1077" s="4" t="n"/>
      <c r="DA1077" s="4" t="n"/>
      <c r="DB1077" s="4" t="n"/>
      <c r="DC1077" s="4" t="n"/>
      <c r="DD1077" s="4" t="n"/>
      <c r="DE1077" s="4" t="n"/>
      <c r="DF1077" s="4" t="n"/>
      <c r="DG1077" s="4" t="n"/>
      <c r="DH1077" s="4" t="n"/>
      <c r="DI1077" s="4" t="n"/>
      <c r="DJ1077" s="4" t="n"/>
      <c r="DK1077" s="4" t="n"/>
      <c r="DL1077" s="4" t="n"/>
      <c r="DM1077" s="4" t="n"/>
      <c r="DN1077" s="4" t="n"/>
      <c r="DO1077" s="4" t="n"/>
      <c r="DP1077" s="4" t="n"/>
      <c r="DQ1077" s="4" t="n"/>
      <c r="DR1077" s="4" t="n"/>
      <c r="DS1077" s="4" t="n"/>
      <c r="DT1077" s="4" t="n"/>
      <c r="DU1077" s="4" t="n"/>
      <c r="DV1077" s="4" t="n"/>
      <c r="DW1077" s="4" t="n"/>
      <c r="DX1077" s="4" t="n"/>
      <c r="DY1077" s="4" t="n"/>
      <c r="DZ1077" s="4" t="n"/>
      <c r="EA1077" s="4" t="n"/>
      <c r="EB1077" s="4" t="n"/>
      <c r="EC1077" s="4" t="n"/>
      <c r="ED1077" s="4" t="n"/>
      <c r="EE1077" s="4" t="n"/>
      <c r="EF1077" s="4" t="n"/>
      <c r="EG1077" s="4" t="n"/>
      <c r="EH1077" s="4" t="n"/>
      <c r="EI1077" s="4" t="n"/>
      <c r="EJ1077" s="4" t="n"/>
      <c r="EK1077" s="4" t="n"/>
      <c r="EL1077" s="4" t="n"/>
      <c r="EM1077" s="4" t="n"/>
    </row>
    <row r="1078" hidden="1" customFormat="1" s="6">
      <c r="C1078" s="4" t="n"/>
      <c r="D1078" s="4" t="n"/>
      <c r="E1078" s="4" t="n"/>
      <c r="F1078" s="4" t="n"/>
      <c r="G1078" s="4" t="n"/>
      <c r="H1078" s="4" t="n"/>
      <c r="I1078" s="4" t="n"/>
      <c r="J1078" s="4" t="n"/>
      <c r="K1078" s="4" t="n"/>
      <c r="L1078" s="4" t="n"/>
      <c r="M1078" s="4" t="n"/>
      <c r="N1078" s="4" t="n"/>
      <c r="O1078" s="4" t="n"/>
      <c r="P1078" s="4" t="n"/>
      <c r="Q1078" s="4" t="n"/>
      <c r="R1078" s="4" t="n"/>
      <c r="S1078" s="4" t="n"/>
      <c r="T1078" s="4" t="n"/>
      <c r="U1078" s="4" t="n"/>
      <c r="V1078" s="4" t="n"/>
      <c r="W1078" s="4" t="n"/>
      <c r="X1078" s="4" t="n"/>
      <c r="Y1078" s="4" t="n"/>
      <c r="Z1078" s="4" t="n"/>
      <c r="AA1078" s="4" t="n"/>
      <c r="AB1078" s="4" t="n"/>
      <c r="AC1078" s="4" t="n"/>
      <c r="AD1078" s="4" t="n"/>
      <c r="AE1078" s="4" t="n"/>
      <c r="AF1078" s="4" t="n"/>
      <c r="AG1078" s="4" t="n"/>
      <c r="AH1078" s="4" t="n"/>
      <c r="AI1078" s="4" t="n"/>
      <c r="AJ1078" s="4" t="n"/>
      <c r="AK1078" s="4" t="n"/>
      <c r="AL1078" s="4" t="n"/>
      <c r="AM1078" s="4" t="n"/>
      <c r="AN1078" s="4" t="n"/>
      <c r="AO1078" s="4" t="n"/>
      <c r="AP1078" s="4" t="n"/>
      <c r="AQ1078" s="4" t="n"/>
      <c r="AR1078" s="4" t="n"/>
      <c r="AS1078" s="4" t="n"/>
      <c r="AT1078" s="4" t="n"/>
      <c r="AU1078" s="4" t="n"/>
      <c r="AV1078" s="4" t="n"/>
      <c r="AW1078" s="4" t="n"/>
      <c r="AX1078" s="4" t="n"/>
      <c r="AY1078" s="4" t="n"/>
      <c r="AZ1078" s="4" t="n"/>
      <c r="BA1078" s="4" t="n"/>
      <c r="BB1078" s="4" t="n"/>
      <c r="BC1078" s="4" t="n"/>
      <c r="BD1078" s="4" t="n"/>
      <c r="BE1078" s="4" t="n"/>
      <c r="BF1078" s="4" t="n"/>
      <c r="BG1078" s="4" t="n"/>
      <c r="BH1078" s="4" t="n"/>
      <c r="BI1078" s="4" t="n"/>
      <c r="BJ1078" s="4" t="n"/>
      <c r="BK1078" s="4" t="n"/>
      <c r="BL1078" s="4" t="n"/>
      <c r="BM1078" s="4" t="n"/>
      <c r="BN1078" s="4" t="n"/>
      <c r="BO1078" s="4" t="n"/>
      <c r="BP1078" s="4" t="n"/>
      <c r="BQ1078" s="4" t="n"/>
      <c r="BR1078" s="4" t="n"/>
      <c r="BS1078" s="4" t="n"/>
      <c r="BT1078" s="4" t="n"/>
      <c r="BU1078" s="4" t="n"/>
      <c r="BV1078" s="4" t="n"/>
      <c r="BW1078" s="4" t="n"/>
      <c r="BX1078" s="4" t="n"/>
      <c r="BY1078" s="4" t="n"/>
      <c r="BZ1078" s="4" t="n"/>
      <c r="CA1078" s="4" t="n"/>
      <c r="CB1078" s="4" t="n"/>
      <c r="CC1078" s="4" t="n"/>
      <c r="CD1078" s="4" t="n"/>
      <c r="CE1078" s="4" t="n"/>
      <c r="CF1078" s="4" t="n"/>
      <c r="CG1078" s="4" t="n"/>
      <c r="CH1078" s="4" t="n"/>
      <c r="CI1078" s="4" t="n"/>
      <c r="CJ1078" s="4" t="n"/>
      <c r="CK1078" s="4" t="n"/>
      <c r="CL1078" s="4" t="n"/>
      <c r="CM1078" s="4" t="n"/>
      <c r="CN1078" s="4" t="n"/>
      <c r="CO1078" s="4" t="n"/>
      <c r="CP1078" s="4" t="n"/>
      <c r="CQ1078" s="4" t="n"/>
      <c r="CR1078" s="4" t="n"/>
      <c r="CS1078" s="4" t="n"/>
      <c r="CT1078" s="4" t="n"/>
      <c r="CU1078" s="4" t="n"/>
      <c r="CV1078" s="4" t="n"/>
      <c r="CW1078" s="4" t="n"/>
      <c r="CX1078" s="4" t="n"/>
      <c r="CY1078" s="4" t="n"/>
      <c r="CZ1078" s="4" t="n"/>
      <c r="DA1078" s="4" t="n"/>
      <c r="DB1078" s="4" t="n"/>
      <c r="DC1078" s="4" t="n"/>
      <c r="DD1078" s="4" t="n"/>
      <c r="DE1078" s="4" t="n"/>
      <c r="DF1078" s="4" t="n"/>
      <c r="DG1078" s="4" t="n"/>
      <c r="DH1078" s="4" t="n"/>
      <c r="DI1078" s="4" t="n"/>
      <c r="DJ1078" s="4" t="n"/>
      <c r="DK1078" s="4" t="n"/>
      <c r="DL1078" s="4" t="n"/>
      <c r="DM1078" s="4" t="n"/>
      <c r="DN1078" s="4" t="n"/>
      <c r="DO1078" s="4" t="n"/>
      <c r="DP1078" s="4" t="n"/>
      <c r="DQ1078" s="4" t="n"/>
      <c r="DR1078" s="4" t="n"/>
      <c r="DS1078" s="4" t="n"/>
      <c r="DT1078" s="4" t="n"/>
      <c r="DU1078" s="4" t="n"/>
      <c r="DV1078" s="4" t="n"/>
      <c r="DW1078" s="4" t="n"/>
      <c r="DX1078" s="4" t="n"/>
      <c r="DY1078" s="4" t="n"/>
      <c r="DZ1078" s="4" t="n"/>
      <c r="EA1078" s="4" t="n"/>
      <c r="EB1078" s="4" t="n"/>
      <c r="EC1078" s="4" t="n"/>
      <c r="ED1078" s="4" t="n"/>
      <c r="EE1078" s="4" t="n"/>
      <c r="EF1078" s="4" t="n"/>
      <c r="EG1078" s="4" t="n"/>
      <c r="EH1078" s="4" t="n"/>
      <c r="EI1078" s="4" t="n"/>
      <c r="EJ1078" s="4" t="n"/>
      <c r="EK1078" s="4" t="n"/>
      <c r="EL1078" s="4" t="n"/>
      <c r="EM1078" s="4" t="n"/>
    </row>
    <row r="1079" hidden="1" customFormat="1" s="6">
      <c r="C1079" s="4" t="n"/>
      <c r="D1079" s="4" t="n"/>
      <c r="E1079" s="4" t="n"/>
      <c r="F1079" s="4" t="n"/>
      <c r="G1079" s="4" t="n"/>
      <c r="H1079" s="4" t="n"/>
      <c r="I1079" s="4" t="n"/>
      <c r="J1079" s="4" t="n"/>
      <c r="K1079" s="4" t="n"/>
      <c r="L1079" s="4" t="n"/>
      <c r="M1079" s="4" t="n"/>
      <c r="N1079" s="4" t="n"/>
      <c r="O1079" s="4" t="n"/>
      <c r="P1079" s="4" t="n"/>
      <c r="Q1079" s="4" t="n"/>
      <c r="R1079" s="4" t="n"/>
      <c r="S1079" s="4" t="n"/>
      <c r="T1079" s="4" t="n"/>
      <c r="U1079" s="4" t="n"/>
      <c r="V1079" s="4" t="n"/>
      <c r="W1079" s="4" t="n"/>
      <c r="X1079" s="4" t="n"/>
      <c r="Y1079" s="4" t="n"/>
      <c r="Z1079" s="4" t="n"/>
      <c r="AA1079" s="4" t="n"/>
      <c r="AB1079" s="4" t="n"/>
      <c r="AC1079" s="4" t="n"/>
      <c r="AD1079" s="4" t="n"/>
      <c r="AE1079" s="4" t="n"/>
      <c r="AF1079" s="4" t="n"/>
      <c r="AG1079" s="4" t="n"/>
      <c r="AH1079" s="4" t="n"/>
      <c r="AI1079" s="4" t="n"/>
      <c r="AJ1079" s="4" t="n"/>
      <c r="AK1079" s="4" t="n"/>
      <c r="AL1079" s="4" t="n"/>
      <c r="AM1079" s="4" t="n"/>
      <c r="AN1079" s="4" t="n"/>
      <c r="AO1079" s="4" t="n"/>
      <c r="AP1079" s="4" t="n"/>
      <c r="AQ1079" s="4" t="n"/>
      <c r="AR1079" s="4" t="n"/>
      <c r="AS1079" s="4" t="n"/>
      <c r="AT1079" s="4" t="n"/>
      <c r="AU1079" s="4" t="n"/>
      <c r="AV1079" s="4" t="n"/>
      <c r="AW1079" s="4" t="n"/>
      <c r="AX1079" s="4" t="n"/>
      <c r="AY1079" s="4" t="n"/>
      <c r="AZ1079" s="4" t="n"/>
      <c r="BA1079" s="4" t="n"/>
      <c r="BB1079" s="4" t="n"/>
      <c r="BC1079" s="4" t="n"/>
      <c r="BD1079" s="4" t="n"/>
      <c r="BE1079" s="4" t="n"/>
      <c r="BF1079" s="4" t="n"/>
      <c r="BG1079" s="4" t="n"/>
      <c r="BH1079" s="4" t="n"/>
      <c r="BI1079" s="4" t="n"/>
      <c r="BJ1079" s="4" t="n"/>
      <c r="BK1079" s="4" t="n"/>
      <c r="BL1079" s="4" t="n"/>
      <c r="BM1079" s="4" t="n"/>
      <c r="BN1079" s="4" t="n"/>
      <c r="BO1079" s="4" t="n"/>
      <c r="BP1079" s="4" t="n"/>
      <c r="BQ1079" s="4" t="n"/>
      <c r="BR1079" s="4" t="n"/>
      <c r="BS1079" s="4" t="n"/>
      <c r="BT1079" s="4" t="n"/>
      <c r="BU1079" s="4" t="n"/>
      <c r="BV1079" s="4" t="n"/>
      <c r="BW1079" s="4" t="n"/>
      <c r="BX1079" s="4" t="n"/>
      <c r="BY1079" s="4" t="n"/>
      <c r="BZ1079" s="4" t="n"/>
      <c r="CA1079" s="4" t="n"/>
      <c r="CB1079" s="4" t="n"/>
      <c r="CC1079" s="4" t="n"/>
      <c r="CD1079" s="4" t="n"/>
      <c r="CE1079" s="4" t="n"/>
      <c r="CF1079" s="4" t="n"/>
      <c r="CG1079" s="4" t="n"/>
      <c r="CH1079" s="4" t="n"/>
      <c r="CI1079" s="4" t="n"/>
      <c r="CJ1079" s="4" t="n"/>
      <c r="CK1079" s="4" t="n"/>
      <c r="CL1079" s="4" t="n"/>
      <c r="CM1079" s="4" t="n"/>
      <c r="CN1079" s="4" t="n"/>
      <c r="CO1079" s="4" t="n"/>
      <c r="CP1079" s="4" t="n"/>
      <c r="CQ1079" s="4" t="n"/>
      <c r="CR1079" s="4" t="n"/>
      <c r="CS1079" s="4" t="n"/>
      <c r="CT1079" s="4" t="n"/>
      <c r="CU1079" s="4" t="n"/>
      <c r="CV1079" s="4" t="n"/>
      <c r="CW1079" s="4" t="n"/>
      <c r="CX1079" s="4" t="n"/>
      <c r="CY1079" s="4" t="n"/>
      <c r="CZ1079" s="4" t="n"/>
      <c r="DA1079" s="4" t="n"/>
      <c r="DB1079" s="4" t="n"/>
      <c r="DC1079" s="4" t="n"/>
      <c r="DD1079" s="4" t="n"/>
      <c r="DE1079" s="4" t="n"/>
      <c r="DF1079" s="4" t="n"/>
      <c r="DG1079" s="4" t="n"/>
      <c r="DH1079" s="4" t="n"/>
      <c r="DI1079" s="4" t="n"/>
      <c r="DJ1079" s="4" t="n"/>
      <c r="DK1079" s="4" t="n"/>
      <c r="DL1079" s="4" t="n"/>
      <c r="DM1079" s="4" t="n"/>
      <c r="DN1079" s="4" t="n"/>
      <c r="DO1079" s="4" t="n"/>
      <c r="DP1079" s="4" t="n"/>
      <c r="DQ1079" s="4" t="n"/>
      <c r="DR1079" s="4" t="n"/>
      <c r="DS1079" s="4" t="n"/>
      <c r="DT1079" s="4" t="n"/>
      <c r="DU1079" s="4" t="n"/>
      <c r="DV1079" s="4" t="n"/>
      <c r="DW1079" s="4" t="n"/>
      <c r="DX1079" s="4" t="n"/>
      <c r="DY1079" s="4" t="n"/>
      <c r="DZ1079" s="4" t="n"/>
      <c r="EA1079" s="4" t="n"/>
      <c r="EB1079" s="4" t="n"/>
      <c r="EC1079" s="4" t="n"/>
      <c r="ED1079" s="4" t="n"/>
      <c r="EE1079" s="4" t="n"/>
      <c r="EF1079" s="4" t="n"/>
      <c r="EG1079" s="4" t="n"/>
      <c r="EH1079" s="4" t="n"/>
      <c r="EI1079" s="4" t="n"/>
      <c r="EJ1079" s="4" t="n"/>
      <c r="EK1079" s="4" t="n"/>
      <c r="EL1079" s="4" t="n"/>
      <c r="EM1079" s="4" t="n"/>
    </row>
    <row r="1080" hidden="1" customFormat="1" s="6">
      <c r="C1080" s="4" t="n"/>
      <c r="D1080" s="4" t="n"/>
      <c r="E1080" s="4" t="n"/>
      <c r="F1080" s="4" t="n"/>
      <c r="G1080" s="4" t="n"/>
      <c r="H1080" s="4" t="n"/>
      <c r="I1080" s="4" t="n"/>
      <c r="J1080" s="4" t="n"/>
      <c r="K1080" s="4" t="n"/>
      <c r="L1080" s="4" t="n"/>
      <c r="M1080" s="4" t="n"/>
      <c r="N1080" s="4" t="n"/>
      <c r="O1080" s="4" t="n"/>
      <c r="P1080" s="4" t="n"/>
      <c r="Q1080" s="4" t="n"/>
      <c r="R1080" s="4" t="n"/>
      <c r="S1080" s="4" t="n"/>
      <c r="T1080" s="4" t="n"/>
      <c r="U1080" s="4" t="n"/>
      <c r="V1080" s="4" t="n"/>
      <c r="W1080" s="4" t="n"/>
      <c r="X1080" s="4" t="n"/>
      <c r="Y1080" s="4" t="n"/>
      <c r="Z1080" s="4" t="n"/>
      <c r="AA1080" s="4" t="n"/>
      <c r="AB1080" s="4" t="n"/>
      <c r="AC1080" s="4" t="n"/>
      <c r="AD1080" s="4" t="n"/>
      <c r="AE1080" s="4" t="n"/>
      <c r="AF1080" s="4" t="n"/>
      <c r="AG1080" s="4" t="n"/>
      <c r="AH1080" s="4" t="n"/>
      <c r="AI1080" s="4" t="n"/>
      <c r="AJ1080" s="4" t="n"/>
      <c r="AK1080" s="4" t="n"/>
      <c r="AL1080" s="4" t="n"/>
      <c r="AM1080" s="4" t="n"/>
      <c r="AN1080" s="4" t="n"/>
      <c r="AO1080" s="4" t="n"/>
      <c r="AP1080" s="4" t="n"/>
      <c r="AQ1080" s="4" t="n"/>
      <c r="AR1080" s="4" t="n"/>
      <c r="AS1080" s="4" t="n"/>
      <c r="AT1080" s="4" t="n"/>
      <c r="AU1080" s="4" t="n"/>
      <c r="AV1080" s="4" t="n"/>
      <c r="AW1080" s="4" t="n"/>
      <c r="AX1080" s="4" t="n"/>
      <c r="AY1080" s="4" t="n"/>
      <c r="AZ1080" s="4" t="n"/>
      <c r="BA1080" s="4" t="n"/>
      <c r="BB1080" s="4" t="n"/>
      <c r="BC1080" s="4" t="n"/>
      <c r="BD1080" s="4" t="n"/>
      <c r="BE1080" s="4" t="n"/>
      <c r="BF1080" s="4" t="n"/>
      <c r="BG1080" s="4" t="n"/>
      <c r="BH1080" s="4" t="n"/>
      <c r="BI1080" s="4" t="n"/>
      <c r="BJ1080" s="4" t="n"/>
      <c r="BK1080" s="4" t="n"/>
      <c r="BL1080" s="4" t="n"/>
      <c r="BM1080" s="4" t="n"/>
      <c r="BN1080" s="4" t="n"/>
      <c r="BO1080" s="4" t="n"/>
      <c r="BP1080" s="4" t="n"/>
      <c r="BQ1080" s="4" t="n"/>
      <c r="BR1080" s="4" t="n"/>
      <c r="BS1080" s="4" t="n"/>
      <c r="BT1080" s="4" t="n"/>
      <c r="BU1080" s="4" t="n"/>
      <c r="BV1080" s="4" t="n"/>
      <c r="BW1080" s="4" t="n"/>
      <c r="BX1080" s="4" t="n"/>
      <c r="BY1080" s="4" t="n"/>
      <c r="BZ1080" s="4" t="n"/>
      <c r="CA1080" s="4" t="n"/>
      <c r="CB1080" s="4" t="n"/>
      <c r="CC1080" s="4" t="n"/>
      <c r="CD1080" s="4" t="n"/>
      <c r="CE1080" s="4" t="n"/>
      <c r="CF1080" s="4" t="n"/>
      <c r="CG1080" s="4" t="n"/>
      <c r="CH1080" s="4" t="n"/>
      <c r="CI1080" s="4" t="n"/>
      <c r="CJ1080" s="4" t="n"/>
      <c r="CK1080" s="4" t="n"/>
      <c r="CL1080" s="4" t="n"/>
      <c r="CM1080" s="4" t="n"/>
      <c r="CN1080" s="4" t="n"/>
      <c r="CO1080" s="4" t="n"/>
      <c r="CP1080" s="4" t="n"/>
      <c r="CQ1080" s="4" t="n"/>
      <c r="CR1080" s="4" t="n"/>
      <c r="CS1080" s="4" t="n"/>
      <c r="CT1080" s="4" t="n"/>
      <c r="CU1080" s="4" t="n"/>
      <c r="CV1080" s="4" t="n"/>
      <c r="CW1080" s="4" t="n"/>
      <c r="CX1080" s="4" t="n"/>
      <c r="CY1080" s="4" t="n"/>
      <c r="CZ1080" s="4" t="n"/>
      <c r="DA1080" s="4" t="n"/>
      <c r="DB1080" s="4" t="n"/>
      <c r="DC1080" s="4" t="n"/>
      <c r="DD1080" s="4" t="n"/>
      <c r="DE1080" s="4" t="n"/>
      <c r="DF1080" s="4" t="n"/>
      <c r="DG1080" s="4" t="n"/>
      <c r="DH1080" s="4" t="n"/>
      <c r="DI1080" s="4" t="n"/>
      <c r="DJ1080" s="4" t="n"/>
      <c r="DK1080" s="4" t="n"/>
      <c r="DL1080" s="4" t="n"/>
      <c r="DM1080" s="4" t="n"/>
      <c r="DN1080" s="4" t="n"/>
      <c r="DO1080" s="4" t="n"/>
      <c r="DP1080" s="4" t="n"/>
      <c r="DQ1080" s="4" t="n"/>
      <c r="DR1080" s="4" t="n"/>
      <c r="DS1080" s="4" t="n"/>
      <c r="DT1080" s="4" t="n"/>
      <c r="DU1080" s="4" t="n"/>
      <c r="DV1080" s="4" t="n"/>
      <c r="DW1080" s="4" t="n"/>
      <c r="DX1080" s="4" t="n"/>
      <c r="DY1080" s="4" t="n"/>
      <c r="DZ1080" s="4" t="n"/>
      <c r="EA1080" s="4" t="n"/>
      <c r="EB1080" s="4" t="n"/>
      <c r="EC1080" s="4" t="n"/>
      <c r="ED1080" s="4" t="n"/>
      <c r="EE1080" s="4" t="n"/>
      <c r="EF1080" s="4" t="n"/>
      <c r="EG1080" s="4" t="n"/>
      <c r="EH1080" s="4" t="n"/>
      <c r="EI1080" s="4" t="n"/>
      <c r="EJ1080" s="4" t="n"/>
      <c r="EK1080" s="4" t="n"/>
      <c r="EL1080" s="4" t="n"/>
      <c r="EM1080" s="4" t="n"/>
    </row>
    <row r="1081" hidden="1" customFormat="1" s="6">
      <c r="C1081" s="4" t="n"/>
      <c r="D1081" s="4" t="n"/>
      <c r="E1081" s="4" t="n"/>
      <c r="F1081" s="4" t="n"/>
      <c r="G1081" s="4" t="n"/>
      <c r="H1081" s="4" t="n"/>
      <c r="I1081" s="4" t="n"/>
      <c r="J1081" s="4" t="n"/>
      <c r="K1081" s="4" t="n"/>
      <c r="L1081" s="4" t="n"/>
      <c r="M1081" s="4" t="n"/>
      <c r="N1081" s="4" t="n"/>
      <c r="O1081" s="4" t="n"/>
      <c r="P1081" s="4" t="n"/>
      <c r="Q1081" s="4" t="n"/>
      <c r="R1081" s="4" t="n"/>
      <c r="S1081" s="4" t="n"/>
      <c r="T1081" s="4" t="n"/>
      <c r="U1081" s="4" t="n"/>
      <c r="V1081" s="4" t="n"/>
      <c r="W1081" s="4" t="n"/>
      <c r="X1081" s="4" t="n"/>
      <c r="Y1081" s="4" t="n"/>
      <c r="Z1081" s="4" t="n"/>
      <c r="AA1081" s="4" t="n"/>
      <c r="AB1081" s="4" t="n"/>
      <c r="AC1081" s="4" t="n"/>
      <c r="AD1081" s="4" t="n"/>
      <c r="AE1081" s="4" t="n"/>
      <c r="AF1081" s="4" t="n"/>
      <c r="AG1081" s="4" t="n"/>
      <c r="AH1081" s="4" t="n"/>
      <c r="AI1081" s="4" t="n"/>
      <c r="AJ1081" s="4" t="n"/>
      <c r="AK1081" s="4" t="n"/>
      <c r="AL1081" s="4" t="n"/>
      <c r="AM1081" s="4" t="n"/>
      <c r="AN1081" s="4" t="n"/>
      <c r="AO1081" s="4" t="n"/>
      <c r="AP1081" s="4" t="n"/>
      <c r="AQ1081" s="4" t="n"/>
      <c r="AR1081" s="4" t="n"/>
      <c r="AS1081" s="4" t="n"/>
      <c r="AT1081" s="4" t="n"/>
      <c r="AU1081" s="4" t="n"/>
      <c r="AV1081" s="4" t="n"/>
      <c r="AW1081" s="4" t="n"/>
      <c r="AX1081" s="4" t="n"/>
      <c r="AY1081" s="4" t="n"/>
      <c r="AZ1081" s="4" t="n"/>
      <c r="BA1081" s="4" t="n"/>
      <c r="BB1081" s="4" t="n"/>
      <c r="BC1081" s="4" t="n"/>
      <c r="BD1081" s="4" t="n"/>
      <c r="BE1081" s="4" t="n"/>
      <c r="BF1081" s="4" t="n"/>
      <c r="BG1081" s="4" t="n"/>
      <c r="BH1081" s="4" t="n"/>
      <c r="BI1081" s="4" t="n"/>
      <c r="BJ1081" s="4" t="n"/>
      <c r="BK1081" s="4" t="n"/>
      <c r="BL1081" s="4" t="n"/>
      <c r="BM1081" s="4" t="n"/>
      <c r="BN1081" s="4" t="n"/>
      <c r="BO1081" s="4" t="n"/>
      <c r="BP1081" s="4" t="n"/>
      <c r="BQ1081" s="4" t="n"/>
      <c r="BR1081" s="4" t="n"/>
      <c r="BS1081" s="4" t="n"/>
      <c r="BT1081" s="4" t="n"/>
      <c r="BU1081" s="4" t="n"/>
      <c r="BV1081" s="4" t="n"/>
      <c r="BW1081" s="4" t="n"/>
      <c r="BX1081" s="4" t="n"/>
      <c r="BY1081" s="4" t="n"/>
      <c r="BZ1081" s="4" t="n"/>
      <c r="CA1081" s="4" t="n"/>
      <c r="CB1081" s="4" t="n"/>
      <c r="CC1081" s="4" t="n"/>
      <c r="CD1081" s="4" t="n"/>
      <c r="CE1081" s="4" t="n"/>
      <c r="CF1081" s="4" t="n"/>
      <c r="CG1081" s="4" t="n"/>
      <c r="CH1081" s="4" t="n"/>
      <c r="CI1081" s="4" t="n"/>
      <c r="CJ1081" s="4" t="n"/>
      <c r="CK1081" s="4" t="n"/>
      <c r="CL1081" s="4" t="n"/>
      <c r="CM1081" s="4" t="n"/>
      <c r="CN1081" s="4" t="n"/>
      <c r="CO1081" s="4" t="n"/>
      <c r="CP1081" s="4" t="n"/>
      <c r="CQ1081" s="4" t="n"/>
      <c r="CR1081" s="4" t="n"/>
      <c r="CS1081" s="4" t="n"/>
      <c r="CT1081" s="4" t="n"/>
      <c r="CU1081" s="4" t="n"/>
      <c r="CV1081" s="4" t="n"/>
      <c r="CW1081" s="4" t="n"/>
      <c r="CX1081" s="4" t="n"/>
      <c r="CY1081" s="4" t="n"/>
      <c r="CZ1081" s="4" t="n"/>
      <c r="DA1081" s="4" t="n"/>
      <c r="DB1081" s="4" t="n"/>
      <c r="DC1081" s="4" t="n"/>
      <c r="DD1081" s="4" t="n"/>
      <c r="DE1081" s="4" t="n"/>
      <c r="DF1081" s="4" t="n"/>
      <c r="DG1081" s="4" t="n"/>
      <c r="DH1081" s="4" t="n"/>
      <c r="DI1081" s="4" t="n"/>
      <c r="DJ1081" s="4" t="n"/>
      <c r="DK1081" s="4" t="n"/>
      <c r="DL1081" s="4" t="n"/>
      <c r="DM1081" s="4" t="n"/>
      <c r="DN1081" s="4" t="n"/>
      <c r="DO1081" s="4" t="n"/>
      <c r="DP1081" s="4" t="n"/>
      <c r="DQ1081" s="4" t="n"/>
      <c r="DR1081" s="4" t="n"/>
      <c r="DS1081" s="4" t="n"/>
      <c r="DT1081" s="4" t="n"/>
      <c r="DU1081" s="4" t="n"/>
      <c r="DV1081" s="4" t="n"/>
      <c r="DW1081" s="4" t="n"/>
      <c r="DX1081" s="4" t="n"/>
      <c r="DY1081" s="4" t="n"/>
      <c r="DZ1081" s="4" t="n"/>
      <c r="EA1081" s="4" t="n"/>
      <c r="EB1081" s="4" t="n"/>
      <c r="EC1081" s="4" t="n"/>
      <c r="ED1081" s="4" t="n"/>
      <c r="EE1081" s="4" t="n"/>
      <c r="EF1081" s="4" t="n"/>
      <c r="EG1081" s="4" t="n"/>
      <c r="EH1081" s="4" t="n"/>
      <c r="EI1081" s="4" t="n"/>
      <c r="EJ1081" s="4" t="n"/>
      <c r="EK1081" s="4" t="n"/>
      <c r="EL1081" s="4" t="n"/>
      <c r="EM1081" s="4" t="n"/>
    </row>
    <row r="1082" hidden="1" customFormat="1" s="6">
      <c r="C1082" s="4" t="n"/>
      <c r="D1082" s="4" t="n"/>
      <c r="E1082" s="4" t="n"/>
      <c r="F1082" s="4" t="n"/>
      <c r="G1082" s="4" t="n"/>
      <c r="H1082" s="4" t="n"/>
      <c r="I1082" s="4" t="n"/>
      <c r="J1082" s="4" t="n"/>
      <c r="K1082" s="4" t="n"/>
      <c r="L1082" s="4" t="n"/>
      <c r="M1082" s="4" t="n"/>
      <c r="N1082" s="4" t="n"/>
      <c r="O1082" s="4" t="n"/>
      <c r="P1082" s="4" t="n"/>
      <c r="Q1082" s="4" t="n"/>
      <c r="R1082" s="4" t="n"/>
      <c r="S1082" s="4" t="n"/>
      <c r="T1082" s="4" t="n"/>
      <c r="U1082" s="4" t="n"/>
      <c r="V1082" s="4" t="n"/>
      <c r="W1082" s="4" t="n"/>
      <c r="X1082" s="4" t="n"/>
      <c r="Y1082" s="4" t="n"/>
      <c r="Z1082" s="4" t="n"/>
      <c r="AA1082" s="4" t="n"/>
      <c r="AB1082" s="4" t="n"/>
      <c r="AC1082" s="4" t="n"/>
      <c r="AD1082" s="4" t="n"/>
      <c r="AE1082" s="4" t="n"/>
      <c r="AF1082" s="4" t="n"/>
      <c r="AG1082" s="4" t="n"/>
      <c r="AH1082" s="4" t="n"/>
      <c r="AI1082" s="4" t="n"/>
      <c r="AJ1082" s="4" t="n"/>
      <c r="AK1082" s="4" t="n"/>
      <c r="AL1082" s="4" t="n"/>
      <c r="AM1082" s="4" t="n"/>
      <c r="AN1082" s="4" t="n"/>
      <c r="AO1082" s="4" t="n"/>
      <c r="AP1082" s="4" t="n"/>
      <c r="AQ1082" s="4" t="n"/>
      <c r="AR1082" s="4" t="n"/>
      <c r="AS1082" s="4" t="n"/>
      <c r="AT1082" s="4" t="n"/>
      <c r="AU1082" s="4" t="n"/>
      <c r="AV1082" s="4" t="n"/>
      <c r="AW1082" s="4" t="n"/>
      <c r="AX1082" s="4" t="n"/>
      <c r="AY1082" s="4" t="n"/>
      <c r="AZ1082" s="4" t="n"/>
      <c r="BA1082" s="4" t="n"/>
      <c r="BB1082" s="4" t="n"/>
      <c r="BC1082" s="4" t="n"/>
      <c r="BD1082" s="4" t="n"/>
      <c r="BE1082" s="4" t="n"/>
      <c r="BF1082" s="4" t="n"/>
      <c r="BG1082" s="4" t="n"/>
      <c r="BH1082" s="4" t="n"/>
      <c r="BI1082" s="4" t="n"/>
      <c r="BJ1082" s="4" t="n"/>
      <c r="BK1082" s="4" t="n"/>
      <c r="BL1082" s="4" t="n"/>
      <c r="BM1082" s="4" t="n"/>
      <c r="BN1082" s="4" t="n"/>
      <c r="BO1082" s="4" t="n"/>
      <c r="BP1082" s="4" t="n"/>
      <c r="BQ1082" s="4" t="n"/>
      <c r="BR1082" s="4" t="n"/>
      <c r="BS1082" s="4" t="n"/>
      <c r="BT1082" s="4" t="n"/>
      <c r="BU1082" s="4" t="n"/>
      <c r="BV1082" s="4" t="n"/>
      <c r="BW1082" s="4" t="n"/>
      <c r="BX1082" s="4" t="n"/>
      <c r="BY1082" s="4" t="n"/>
      <c r="BZ1082" s="4" t="n"/>
      <c r="CA1082" s="4" t="n"/>
      <c r="CB1082" s="4" t="n"/>
      <c r="CC1082" s="4" t="n"/>
      <c r="CD1082" s="4" t="n"/>
      <c r="CE1082" s="4" t="n"/>
      <c r="CF1082" s="4" t="n"/>
      <c r="CG1082" s="4" t="n"/>
      <c r="CH1082" s="4" t="n"/>
      <c r="CI1082" s="4" t="n"/>
      <c r="CJ1082" s="4" t="n"/>
      <c r="CK1082" s="4" t="n"/>
      <c r="CL1082" s="4" t="n"/>
      <c r="CM1082" s="4" t="n"/>
      <c r="CN1082" s="4" t="n"/>
      <c r="CO1082" s="4" t="n"/>
      <c r="CP1082" s="4" t="n"/>
      <c r="CQ1082" s="4" t="n"/>
      <c r="CR1082" s="4" t="n"/>
      <c r="CS1082" s="4" t="n"/>
      <c r="CT1082" s="4" t="n"/>
      <c r="CU1082" s="4" t="n"/>
      <c r="CV1082" s="4" t="n"/>
      <c r="CW1082" s="4" t="n"/>
      <c r="CX1082" s="4" t="n"/>
      <c r="CY1082" s="4" t="n"/>
      <c r="CZ1082" s="4" t="n"/>
      <c r="DA1082" s="4" t="n"/>
      <c r="DB1082" s="4" t="n"/>
      <c r="DC1082" s="4" t="n"/>
      <c r="DD1082" s="4" t="n"/>
      <c r="DE1082" s="4" t="n"/>
      <c r="DF1082" s="4" t="n"/>
      <c r="DG1082" s="4" t="n"/>
      <c r="DH1082" s="4" t="n"/>
      <c r="DI1082" s="4" t="n"/>
      <c r="DJ1082" s="4" t="n"/>
      <c r="DK1082" s="4" t="n"/>
      <c r="DL1082" s="4" t="n"/>
      <c r="DM1082" s="4" t="n"/>
      <c r="DN1082" s="4" t="n"/>
      <c r="DO1082" s="4" t="n"/>
      <c r="DP1082" s="4" t="n"/>
      <c r="DQ1082" s="4" t="n"/>
      <c r="DR1082" s="4" t="n"/>
      <c r="DS1082" s="4" t="n"/>
      <c r="DT1082" s="4" t="n"/>
      <c r="DU1082" s="4" t="n"/>
      <c r="DV1082" s="4" t="n"/>
      <c r="DW1082" s="4" t="n"/>
      <c r="DX1082" s="4" t="n"/>
      <c r="DY1082" s="4" t="n"/>
      <c r="DZ1082" s="4" t="n"/>
      <c r="EA1082" s="4" t="n"/>
      <c r="EB1082" s="4" t="n"/>
      <c r="EC1082" s="4" t="n"/>
      <c r="ED1082" s="4" t="n"/>
      <c r="EE1082" s="4" t="n"/>
      <c r="EF1082" s="4" t="n"/>
      <c r="EG1082" s="4" t="n"/>
      <c r="EH1082" s="4" t="n"/>
      <c r="EI1082" s="4" t="n"/>
      <c r="EJ1082" s="4" t="n"/>
      <c r="EK1082" s="4" t="n"/>
      <c r="EL1082" s="4" t="n"/>
      <c r="EM1082" s="4" t="n"/>
    </row>
    <row r="1083" hidden="1" customFormat="1" s="6">
      <c r="C1083" s="4" t="n"/>
      <c r="D1083" s="4" t="n"/>
      <c r="E1083" s="4" t="n"/>
      <c r="F1083" s="4" t="n"/>
      <c r="G1083" s="4" t="n"/>
      <c r="H1083" s="4" t="n"/>
      <c r="I1083" s="4" t="n"/>
      <c r="J1083" s="4" t="n"/>
      <c r="K1083" s="4" t="n"/>
      <c r="L1083" s="4" t="n"/>
      <c r="M1083" s="4" t="n"/>
      <c r="N1083" s="4" t="n"/>
      <c r="O1083" s="4" t="n"/>
      <c r="P1083" s="4" t="n"/>
      <c r="Q1083" s="4" t="n"/>
      <c r="R1083" s="4" t="n"/>
      <c r="S1083" s="4" t="n"/>
      <c r="T1083" s="4" t="n"/>
      <c r="U1083" s="4" t="n"/>
      <c r="V1083" s="4" t="n"/>
      <c r="W1083" s="4" t="n"/>
      <c r="X1083" s="4" t="n"/>
      <c r="Y1083" s="4" t="n"/>
      <c r="Z1083" s="4" t="n"/>
      <c r="AA1083" s="4" t="n"/>
      <c r="AB1083" s="4" t="n"/>
      <c r="AC1083" s="4" t="n"/>
      <c r="AD1083" s="4" t="n"/>
      <c r="AE1083" s="4" t="n"/>
      <c r="AF1083" s="4" t="n"/>
      <c r="AG1083" s="4" t="n"/>
      <c r="AH1083" s="4" t="n"/>
      <c r="AI1083" s="4" t="n"/>
      <c r="AJ1083" s="4" t="n"/>
      <c r="AK1083" s="4" t="n"/>
      <c r="AL1083" s="4" t="n"/>
      <c r="AM1083" s="4" t="n"/>
      <c r="AN1083" s="4" t="n"/>
      <c r="AO1083" s="4" t="n"/>
      <c r="AP1083" s="4" t="n"/>
      <c r="AQ1083" s="4" t="n"/>
      <c r="AR1083" s="4" t="n"/>
      <c r="AS1083" s="4" t="n"/>
      <c r="AT1083" s="4" t="n"/>
      <c r="AU1083" s="4" t="n"/>
      <c r="AV1083" s="4" t="n"/>
      <c r="AW1083" s="4" t="n"/>
      <c r="AX1083" s="4" t="n"/>
      <c r="AY1083" s="4" t="n"/>
      <c r="AZ1083" s="4" t="n"/>
      <c r="BA1083" s="4" t="n"/>
      <c r="BB1083" s="4" t="n"/>
      <c r="BC1083" s="4" t="n"/>
      <c r="BD1083" s="4" t="n"/>
      <c r="BE1083" s="4" t="n"/>
      <c r="BF1083" s="4" t="n"/>
      <c r="BG1083" s="4" t="n"/>
      <c r="BH1083" s="4" t="n"/>
      <c r="BI1083" s="4" t="n"/>
      <c r="BJ1083" s="4" t="n"/>
      <c r="BK1083" s="4" t="n"/>
      <c r="BL1083" s="4" t="n"/>
      <c r="BM1083" s="4" t="n"/>
      <c r="BN1083" s="4" t="n"/>
      <c r="BO1083" s="4" t="n"/>
      <c r="BP1083" s="4" t="n"/>
      <c r="BQ1083" s="4" t="n"/>
      <c r="BR1083" s="4" t="n"/>
      <c r="BS1083" s="4" t="n"/>
      <c r="BT1083" s="4" t="n"/>
      <c r="BU1083" s="4" t="n"/>
      <c r="BV1083" s="4" t="n"/>
      <c r="BW1083" s="4" t="n"/>
      <c r="BX1083" s="4" t="n"/>
      <c r="BY1083" s="4" t="n"/>
      <c r="BZ1083" s="4" t="n"/>
      <c r="CA1083" s="4" t="n"/>
      <c r="CB1083" s="4" t="n"/>
      <c r="CC1083" s="4" t="n"/>
      <c r="CD1083" s="4" t="n"/>
      <c r="CE1083" s="4" t="n"/>
      <c r="CF1083" s="4" t="n"/>
      <c r="CG1083" s="4" t="n"/>
      <c r="CH1083" s="4" t="n"/>
      <c r="CI1083" s="4" t="n"/>
      <c r="CJ1083" s="4" t="n"/>
      <c r="CK1083" s="4" t="n"/>
      <c r="CL1083" s="4" t="n"/>
      <c r="CM1083" s="4" t="n"/>
      <c r="CN1083" s="4" t="n"/>
      <c r="CO1083" s="4" t="n"/>
      <c r="CP1083" s="4" t="n"/>
      <c r="CQ1083" s="4" t="n"/>
      <c r="CR1083" s="4" t="n"/>
      <c r="CS1083" s="4" t="n"/>
      <c r="CT1083" s="4" t="n"/>
      <c r="CU1083" s="4" t="n"/>
      <c r="CV1083" s="4" t="n"/>
      <c r="CW1083" s="4" t="n"/>
      <c r="CX1083" s="4" t="n"/>
      <c r="CY1083" s="4" t="n"/>
      <c r="CZ1083" s="4" t="n"/>
      <c r="DA1083" s="4" t="n"/>
      <c r="DB1083" s="4" t="n"/>
      <c r="DC1083" s="4" t="n"/>
      <c r="DD1083" s="4" t="n"/>
      <c r="DE1083" s="4" t="n"/>
      <c r="DF1083" s="4" t="n"/>
      <c r="DG1083" s="4" t="n"/>
      <c r="DH1083" s="4" t="n"/>
      <c r="DI1083" s="4" t="n"/>
      <c r="DJ1083" s="4" t="n"/>
      <c r="DK1083" s="4" t="n"/>
      <c r="DL1083" s="4" t="n"/>
      <c r="DM1083" s="4" t="n"/>
      <c r="DN1083" s="4" t="n"/>
      <c r="DO1083" s="4" t="n"/>
      <c r="DP1083" s="4" t="n"/>
      <c r="DQ1083" s="4" t="n"/>
      <c r="DR1083" s="4" t="n"/>
      <c r="DS1083" s="4" t="n"/>
      <c r="DT1083" s="4" t="n"/>
      <c r="DU1083" s="4" t="n"/>
      <c r="DV1083" s="4" t="n"/>
      <c r="DW1083" s="4" t="n"/>
      <c r="DX1083" s="4" t="n"/>
      <c r="DY1083" s="4" t="n"/>
      <c r="DZ1083" s="4" t="n"/>
      <c r="EA1083" s="4" t="n"/>
      <c r="EB1083" s="4" t="n"/>
      <c r="EC1083" s="4" t="n"/>
      <c r="ED1083" s="4" t="n"/>
      <c r="EE1083" s="4" t="n"/>
      <c r="EF1083" s="4" t="n"/>
      <c r="EG1083" s="4" t="n"/>
      <c r="EH1083" s="4" t="n"/>
      <c r="EI1083" s="4" t="n"/>
      <c r="EJ1083" s="4" t="n"/>
      <c r="EK1083" s="4" t="n"/>
      <c r="EL1083" s="4" t="n"/>
      <c r="EM1083" s="4" t="n"/>
    </row>
    <row r="1084" hidden="1" customFormat="1" s="6">
      <c r="C1084" s="4" t="n"/>
      <c r="D1084" s="4" t="n"/>
      <c r="E1084" s="4" t="n"/>
      <c r="F1084" s="4" t="n"/>
      <c r="G1084" s="4" t="n"/>
      <c r="H1084" s="4" t="n"/>
      <c r="I1084" s="4" t="n"/>
      <c r="J1084" s="4" t="n"/>
      <c r="K1084" s="4" t="n"/>
      <c r="L1084" s="4" t="n"/>
      <c r="M1084" s="4" t="n"/>
      <c r="N1084" s="4" t="n"/>
      <c r="O1084" s="4" t="n"/>
      <c r="P1084" s="4" t="n"/>
      <c r="Q1084" s="4" t="n"/>
      <c r="R1084" s="4" t="n"/>
      <c r="S1084" s="4" t="n"/>
      <c r="T1084" s="4" t="n"/>
      <c r="U1084" s="4" t="n"/>
      <c r="V1084" s="4" t="n"/>
      <c r="W1084" s="4" t="n"/>
      <c r="X1084" s="4" t="n"/>
      <c r="Y1084" s="4" t="n"/>
      <c r="Z1084" s="4" t="n"/>
      <c r="AA1084" s="4" t="n"/>
      <c r="AB1084" s="4" t="n"/>
      <c r="AC1084" s="4" t="n"/>
      <c r="AD1084" s="4" t="n"/>
      <c r="AE1084" s="4" t="n"/>
      <c r="AF1084" s="4" t="n"/>
      <c r="AG1084" s="4" t="n"/>
      <c r="AH1084" s="4" t="n"/>
      <c r="AI1084" s="4" t="n"/>
      <c r="AJ1084" s="4" t="n"/>
      <c r="AK1084" s="4" t="n"/>
      <c r="AL1084" s="4" t="n"/>
      <c r="AM1084" s="4" t="n"/>
      <c r="AN1084" s="4" t="n"/>
      <c r="AO1084" s="4" t="n"/>
      <c r="AP1084" s="4" t="n"/>
      <c r="AQ1084" s="4" t="n"/>
      <c r="AR1084" s="4" t="n"/>
      <c r="AS1084" s="4" t="n"/>
      <c r="AT1084" s="4" t="n"/>
      <c r="AU1084" s="4" t="n"/>
      <c r="AV1084" s="4" t="n"/>
      <c r="AW1084" s="4" t="n"/>
      <c r="AX1084" s="4" t="n"/>
      <c r="AY1084" s="4" t="n"/>
      <c r="AZ1084" s="4" t="n"/>
      <c r="BA1084" s="4" t="n"/>
      <c r="BB1084" s="4" t="n"/>
      <c r="BC1084" s="4" t="n"/>
      <c r="BD1084" s="4" t="n"/>
      <c r="BE1084" s="4" t="n"/>
      <c r="BF1084" s="4" t="n"/>
      <c r="BG1084" s="4" t="n"/>
      <c r="BH1084" s="4" t="n"/>
      <c r="BI1084" s="4" t="n"/>
      <c r="BJ1084" s="4" t="n"/>
      <c r="BK1084" s="4" t="n"/>
      <c r="BL1084" s="4" t="n"/>
      <c r="BM1084" s="4" t="n"/>
      <c r="BN1084" s="4" t="n"/>
      <c r="BO1084" s="4" t="n"/>
      <c r="BP1084" s="4" t="n"/>
      <c r="BQ1084" s="4" t="n"/>
      <c r="BR1084" s="4" t="n"/>
      <c r="BS1084" s="4" t="n"/>
      <c r="BT1084" s="4" t="n"/>
      <c r="BU1084" s="4" t="n"/>
      <c r="BV1084" s="4" t="n"/>
      <c r="BW1084" s="4" t="n"/>
      <c r="BX1084" s="4" t="n"/>
      <c r="BY1084" s="4" t="n"/>
      <c r="BZ1084" s="4" t="n"/>
      <c r="CA1084" s="4" t="n"/>
      <c r="CB1084" s="4" t="n"/>
      <c r="CC1084" s="4" t="n"/>
      <c r="CD1084" s="4" t="n"/>
      <c r="CE1084" s="4" t="n"/>
      <c r="CF1084" s="4" t="n"/>
      <c r="CG1084" s="4" t="n"/>
      <c r="CH1084" s="4" t="n"/>
      <c r="CI1084" s="4" t="n"/>
      <c r="CJ1084" s="4" t="n"/>
      <c r="CK1084" s="4" t="n"/>
      <c r="CL1084" s="4" t="n"/>
      <c r="CM1084" s="4" t="n"/>
      <c r="CN1084" s="4" t="n"/>
      <c r="CO1084" s="4" t="n"/>
      <c r="CP1084" s="4" t="n"/>
      <c r="CQ1084" s="4" t="n"/>
      <c r="CR1084" s="4" t="n"/>
      <c r="CS1084" s="4" t="n"/>
      <c r="CT1084" s="4" t="n"/>
      <c r="CU1084" s="4" t="n"/>
      <c r="CV1084" s="4" t="n"/>
      <c r="CW1084" s="4" t="n"/>
      <c r="CX1084" s="4" t="n"/>
      <c r="CY1084" s="4" t="n"/>
      <c r="CZ1084" s="4" t="n"/>
      <c r="DA1084" s="4" t="n"/>
      <c r="DB1084" s="4" t="n"/>
      <c r="DC1084" s="4" t="n"/>
      <c r="DD1084" s="4" t="n"/>
      <c r="DE1084" s="4" t="n"/>
      <c r="DF1084" s="4" t="n"/>
      <c r="DG1084" s="4" t="n"/>
      <c r="DH1084" s="4" t="n"/>
      <c r="DI1084" s="4" t="n"/>
      <c r="DJ1084" s="4" t="n"/>
      <c r="DK1084" s="4" t="n"/>
      <c r="DL1084" s="4" t="n"/>
      <c r="DM1084" s="4" t="n"/>
      <c r="DN1084" s="4" t="n"/>
      <c r="DO1084" s="4" t="n"/>
      <c r="DP1084" s="4" t="n"/>
      <c r="DQ1084" s="4" t="n"/>
      <c r="DR1084" s="4" t="n"/>
      <c r="DS1084" s="4" t="n"/>
      <c r="DT1084" s="4" t="n"/>
      <c r="DU1084" s="4" t="n"/>
      <c r="DV1084" s="4" t="n"/>
      <c r="DW1084" s="4" t="n"/>
      <c r="DX1084" s="4" t="n"/>
      <c r="DY1084" s="4" t="n"/>
      <c r="DZ1084" s="4" t="n"/>
      <c r="EA1084" s="4" t="n"/>
      <c r="EB1084" s="4" t="n"/>
      <c r="EC1084" s="4" t="n"/>
      <c r="ED1084" s="4" t="n"/>
      <c r="EE1084" s="4" t="n"/>
      <c r="EF1084" s="4" t="n"/>
      <c r="EG1084" s="4" t="n"/>
      <c r="EH1084" s="4" t="n"/>
      <c r="EI1084" s="4" t="n"/>
      <c r="EJ1084" s="4" t="n"/>
      <c r="EK1084" s="4" t="n"/>
      <c r="EL1084" s="4" t="n"/>
      <c r="EM1084" s="4" t="n"/>
    </row>
    <row r="1085" hidden="1" customFormat="1" s="6">
      <c r="C1085" s="4" t="n"/>
      <c r="D1085" s="4" t="n"/>
      <c r="E1085" s="4" t="n"/>
      <c r="F1085" s="4" t="n"/>
      <c r="G1085" s="4" t="n"/>
      <c r="H1085" s="4" t="n"/>
      <c r="I1085" s="4" t="n"/>
      <c r="J1085" s="4" t="n"/>
      <c r="K1085" s="4" t="n"/>
      <c r="L1085" s="4" t="n"/>
      <c r="M1085" s="4" t="n"/>
      <c r="N1085" s="4" t="n"/>
      <c r="O1085" s="4" t="n"/>
      <c r="P1085" s="4" t="n"/>
      <c r="Q1085" s="4" t="n"/>
      <c r="R1085" s="4" t="n"/>
      <c r="S1085" s="4" t="n"/>
      <c r="T1085" s="4" t="n"/>
      <c r="U1085" s="4" t="n"/>
      <c r="V1085" s="4" t="n"/>
      <c r="W1085" s="4" t="n"/>
      <c r="X1085" s="4" t="n"/>
      <c r="Y1085" s="4" t="n"/>
      <c r="Z1085" s="4" t="n"/>
      <c r="AA1085" s="4" t="n"/>
      <c r="AB1085" s="4" t="n"/>
      <c r="AC1085" s="4" t="n"/>
      <c r="AD1085" s="4" t="n"/>
      <c r="AE1085" s="4" t="n"/>
      <c r="AF1085" s="4" t="n"/>
      <c r="AG1085" s="4" t="n"/>
      <c r="AH1085" s="4" t="n"/>
      <c r="AI1085" s="4" t="n"/>
      <c r="AJ1085" s="4" t="n"/>
      <c r="AK1085" s="4" t="n"/>
      <c r="AL1085" s="4" t="n"/>
      <c r="AM1085" s="4" t="n"/>
      <c r="AN1085" s="4" t="n"/>
      <c r="AO1085" s="4" t="n"/>
      <c r="AP1085" s="4" t="n"/>
      <c r="AQ1085" s="4" t="n"/>
      <c r="AR1085" s="4" t="n"/>
      <c r="AS1085" s="4" t="n"/>
      <c r="AT1085" s="4" t="n"/>
      <c r="AU1085" s="4" t="n"/>
      <c r="AV1085" s="4" t="n"/>
      <c r="AW1085" s="4" t="n"/>
      <c r="AX1085" s="4" t="n"/>
      <c r="AY1085" s="4" t="n"/>
      <c r="AZ1085" s="4" t="n"/>
      <c r="BA1085" s="4" t="n"/>
      <c r="BB1085" s="4" t="n"/>
      <c r="BC1085" s="4" t="n"/>
      <c r="BD1085" s="4" t="n"/>
      <c r="BE1085" s="4" t="n"/>
      <c r="BF1085" s="4" t="n"/>
      <c r="BG1085" s="4" t="n"/>
      <c r="BH1085" s="4" t="n"/>
      <c r="BI1085" s="4" t="n"/>
      <c r="BJ1085" s="4" t="n"/>
      <c r="BK1085" s="4" t="n"/>
      <c r="BL1085" s="4" t="n"/>
      <c r="BM1085" s="4" t="n"/>
      <c r="BN1085" s="4" t="n"/>
      <c r="BO1085" s="4" t="n"/>
      <c r="BP1085" s="4" t="n"/>
      <c r="BQ1085" s="4" t="n"/>
      <c r="BR1085" s="4" t="n"/>
      <c r="BS1085" s="4" t="n"/>
      <c r="BT1085" s="4" t="n"/>
      <c r="BU1085" s="4" t="n"/>
      <c r="BV1085" s="4" t="n"/>
      <c r="BW1085" s="4" t="n"/>
      <c r="BX1085" s="4" t="n"/>
      <c r="BY1085" s="4" t="n"/>
      <c r="BZ1085" s="4" t="n"/>
      <c r="CA1085" s="4" t="n"/>
      <c r="CB1085" s="4" t="n"/>
      <c r="CC1085" s="4" t="n"/>
      <c r="CD1085" s="4" t="n"/>
      <c r="CE1085" s="4" t="n"/>
      <c r="CF1085" s="4" t="n"/>
      <c r="CG1085" s="4" t="n"/>
      <c r="CH1085" s="4" t="n"/>
      <c r="CI1085" s="4" t="n"/>
      <c r="CJ1085" s="4" t="n"/>
      <c r="CK1085" s="4" t="n"/>
      <c r="CL1085" s="4" t="n"/>
      <c r="CM1085" s="4" t="n"/>
      <c r="CN1085" s="4" t="n"/>
      <c r="CO1085" s="4" t="n"/>
      <c r="CP1085" s="4" t="n"/>
      <c r="CQ1085" s="4" t="n"/>
      <c r="CR1085" s="4" t="n"/>
      <c r="CS1085" s="4" t="n"/>
      <c r="CT1085" s="4" t="n"/>
      <c r="CU1085" s="4" t="n"/>
      <c r="CV1085" s="4" t="n"/>
      <c r="CW1085" s="4" t="n"/>
      <c r="CX1085" s="4" t="n"/>
      <c r="CY1085" s="4" t="n"/>
      <c r="CZ1085" s="4" t="n"/>
      <c r="DA1085" s="4" t="n"/>
      <c r="DB1085" s="4" t="n"/>
      <c r="DC1085" s="4" t="n"/>
      <c r="DD1085" s="4" t="n"/>
      <c r="DE1085" s="4" t="n"/>
      <c r="DF1085" s="4" t="n"/>
      <c r="DG1085" s="4" t="n"/>
      <c r="DH1085" s="4" t="n"/>
      <c r="DI1085" s="4" t="n"/>
      <c r="DJ1085" s="4" t="n"/>
      <c r="DK1085" s="4" t="n"/>
      <c r="DL1085" s="4" t="n"/>
      <c r="DM1085" s="4" t="n"/>
      <c r="DN1085" s="4" t="n"/>
      <c r="DO1085" s="4" t="n"/>
      <c r="DP1085" s="4" t="n"/>
      <c r="DQ1085" s="4" t="n"/>
      <c r="DR1085" s="4" t="n"/>
      <c r="DS1085" s="4" t="n"/>
      <c r="DT1085" s="4" t="n"/>
      <c r="DU1085" s="4" t="n"/>
      <c r="DV1085" s="4" t="n"/>
      <c r="DW1085" s="4" t="n"/>
      <c r="DX1085" s="4" t="n"/>
      <c r="DY1085" s="4" t="n"/>
      <c r="DZ1085" s="4" t="n"/>
      <c r="EA1085" s="4" t="n"/>
      <c r="EB1085" s="4" t="n"/>
      <c r="EC1085" s="4" t="n"/>
      <c r="ED1085" s="4" t="n"/>
      <c r="EE1085" s="4" t="n"/>
      <c r="EF1085" s="4" t="n"/>
      <c r="EG1085" s="4" t="n"/>
      <c r="EH1085" s="4" t="n"/>
      <c r="EI1085" s="4" t="n"/>
      <c r="EJ1085" s="4" t="n"/>
      <c r="EK1085" s="4" t="n"/>
      <c r="EL1085" s="4" t="n"/>
      <c r="EM1085" s="4" t="n"/>
    </row>
    <row r="1086" hidden="1" customFormat="1" s="6">
      <c r="C1086" s="4" t="n"/>
      <c r="D1086" s="4" t="n"/>
      <c r="E1086" s="4" t="n"/>
      <c r="F1086" s="4" t="n"/>
      <c r="G1086" s="4" t="n"/>
      <c r="H1086" s="4" t="n"/>
      <c r="I1086" s="4" t="n"/>
      <c r="J1086" s="4" t="n"/>
      <c r="K1086" s="4" t="n"/>
      <c r="L1086" s="4" t="n"/>
      <c r="M1086" s="4" t="n"/>
      <c r="N1086" s="4" t="n"/>
      <c r="O1086" s="4" t="n"/>
      <c r="P1086" s="4" t="n"/>
      <c r="Q1086" s="4" t="n"/>
      <c r="R1086" s="4" t="n"/>
      <c r="S1086" s="4" t="n"/>
      <c r="T1086" s="4" t="n"/>
      <c r="U1086" s="4" t="n"/>
      <c r="V1086" s="4" t="n"/>
      <c r="W1086" s="4" t="n"/>
      <c r="X1086" s="4" t="n"/>
      <c r="Y1086" s="4" t="n"/>
      <c r="Z1086" s="4" t="n"/>
      <c r="AA1086" s="4" t="n"/>
      <c r="AB1086" s="4" t="n"/>
      <c r="AC1086" s="4" t="n"/>
      <c r="AD1086" s="4" t="n"/>
      <c r="AE1086" s="4" t="n"/>
      <c r="AF1086" s="4" t="n"/>
      <c r="AG1086" s="4" t="n"/>
      <c r="AH1086" s="4" t="n"/>
      <c r="AI1086" s="4" t="n"/>
      <c r="AJ1086" s="4" t="n"/>
      <c r="AK1086" s="4" t="n"/>
      <c r="AL1086" s="4" t="n"/>
      <c r="AM1086" s="4" t="n"/>
      <c r="AN1086" s="4" t="n"/>
      <c r="AO1086" s="4" t="n"/>
      <c r="AP1086" s="4" t="n"/>
      <c r="AQ1086" s="4" t="n"/>
      <c r="AR1086" s="4" t="n"/>
      <c r="AS1086" s="4" t="n"/>
      <c r="AT1086" s="4" t="n"/>
      <c r="AU1086" s="4" t="n"/>
      <c r="AV1086" s="4" t="n"/>
      <c r="AW1086" s="4" t="n"/>
      <c r="AX1086" s="4" t="n"/>
      <c r="AY1086" s="4" t="n"/>
      <c r="AZ1086" s="4" t="n"/>
      <c r="BA1086" s="4" t="n"/>
      <c r="BB1086" s="4" t="n"/>
      <c r="BC1086" s="4" t="n"/>
      <c r="BD1086" s="4" t="n"/>
      <c r="BE1086" s="4" t="n"/>
      <c r="BF1086" s="4" t="n"/>
      <c r="BG1086" s="4" t="n"/>
      <c r="BH1086" s="4" t="n"/>
      <c r="BI1086" s="4" t="n"/>
      <c r="BJ1086" s="4" t="n"/>
      <c r="BK1086" s="4" t="n"/>
      <c r="BL1086" s="4" t="n"/>
      <c r="BM1086" s="4" t="n"/>
      <c r="BN1086" s="4" t="n"/>
      <c r="BO1086" s="4" t="n"/>
      <c r="BP1086" s="4" t="n"/>
      <c r="BQ1086" s="4" t="n"/>
      <c r="BR1086" s="4" t="n"/>
      <c r="BS1086" s="4" t="n"/>
      <c r="BT1086" s="4" t="n"/>
      <c r="BU1086" s="4" t="n"/>
      <c r="BV1086" s="4" t="n"/>
      <c r="BW1086" s="4" t="n"/>
      <c r="BX1086" s="4" t="n"/>
      <c r="BY1086" s="4" t="n"/>
      <c r="BZ1086" s="4" t="n"/>
      <c r="CA1086" s="4" t="n"/>
      <c r="CB1086" s="4" t="n"/>
      <c r="CC1086" s="4" t="n"/>
      <c r="CD1086" s="4" t="n"/>
      <c r="CE1086" s="4" t="n"/>
      <c r="CF1086" s="4" t="n"/>
      <c r="CG1086" s="4" t="n"/>
      <c r="CH1086" s="4" t="n"/>
      <c r="CI1086" s="4" t="n"/>
      <c r="CJ1086" s="4" t="n"/>
      <c r="CK1086" s="4" t="n"/>
      <c r="CL1086" s="4" t="n"/>
      <c r="CM1086" s="4" t="n"/>
      <c r="CN1086" s="4" t="n"/>
      <c r="CO1086" s="4" t="n"/>
      <c r="CP1086" s="4" t="n"/>
      <c r="CQ1086" s="4" t="n"/>
      <c r="CR1086" s="4" t="n"/>
      <c r="CS1086" s="4" t="n"/>
      <c r="CT1086" s="4" t="n"/>
      <c r="CU1086" s="4" t="n"/>
      <c r="CV1086" s="4" t="n"/>
      <c r="CW1086" s="4" t="n"/>
      <c r="CX1086" s="4" t="n"/>
      <c r="CY1086" s="4" t="n"/>
      <c r="CZ1086" s="4" t="n"/>
      <c r="DA1086" s="4" t="n"/>
      <c r="DB1086" s="4" t="n"/>
      <c r="DC1086" s="4" t="n"/>
      <c r="DD1086" s="4" t="n"/>
      <c r="DE1086" s="4" t="n"/>
      <c r="DF1086" s="4" t="n"/>
      <c r="DG1086" s="4" t="n"/>
      <c r="DH1086" s="4" t="n"/>
      <c r="DI1086" s="4" t="n"/>
      <c r="DJ1086" s="4" t="n"/>
      <c r="DK1086" s="4" t="n"/>
      <c r="DL1086" s="4" t="n"/>
      <c r="DM1086" s="4" t="n"/>
      <c r="DN1086" s="4" t="n"/>
      <c r="DO1086" s="4" t="n"/>
      <c r="DP1086" s="4" t="n"/>
      <c r="DQ1086" s="4" t="n"/>
      <c r="DR1086" s="4" t="n"/>
      <c r="DS1086" s="4" t="n"/>
      <c r="DT1086" s="4" t="n"/>
      <c r="DU1086" s="4" t="n"/>
      <c r="DV1086" s="4" t="n"/>
      <c r="DW1086" s="4" t="n"/>
      <c r="DX1086" s="4" t="n"/>
      <c r="DY1086" s="4" t="n"/>
      <c r="DZ1086" s="4" t="n"/>
      <c r="EA1086" s="4" t="n"/>
      <c r="EB1086" s="4" t="n"/>
      <c r="EC1086" s="4" t="n"/>
      <c r="ED1086" s="4" t="n"/>
      <c r="EE1086" s="4" t="n"/>
      <c r="EF1086" s="4" t="n"/>
      <c r="EG1086" s="4" t="n"/>
      <c r="EH1086" s="4" t="n"/>
      <c r="EI1086" s="4" t="n"/>
      <c r="EJ1086" s="4" t="n"/>
      <c r="EK1086" s="4" t="n"/>
      <c r="EL1086" s="4" t="n"/>
      <c r="EM1086" s="4" t="n"/>
    </row>
    <row r="1087" hidden="1" customFormat="1" s="6">
      <c r="C1087" s="4" t="n"/>
      <c r="D1087" s="4" t="n"/>
      <c r="E1087" s="4" t="n"/>
      <c r="F1087" s="4" t="n"/>
      <c r="G1087" s="4" t="n"/>
      <c r="H1087" s="4" t="n"/>
      <c r="I1087" s="4" t="n"/>
      <c r="J1087" s="4" t="n"/>
      <c r="K1087" s="4" t="n"/>
      <c r="L1087" s="4" t="n"/>
      <c r="M1087" s="4" t="n"/>
      <c r="N1087" s="4" t="n"/>
      <c r="O1087" s="4" t="n"/>
      <c r="P1087" s="4" t="n"/>
      <c r="Q1087" s="4" t="n"/>
      <c r="R1087" s="4" t="n"/>
      <c r="S1087" s="4" t="n"/>
      <c r="T1087" s="4" t="n"/>
      <c r="U1087" s="4" t="n"/>
      <c r="V1087" s="4" t="n"/>
      <c r="W1087" s="4" t="n"/>
      <c r="X1087" s="4" t="n"/>
      <c r="Y1087" s="4" t="n"/>
      <c r="Z1087" s="4" t="n"/>
      <c r="AA1087" s="4" t="n"/>
      <c r="AB1087" s="4" t="n"/>
      <c r="AC1087" s="4" t="n"/>
      <c r="AD1087" s="4" t="n"/>
      <c r="AE1087" s="4" t="n"/>
      <c r="AF1087" s="4" t="n"/>
      <c r="AG1087" s="4" t="n"/>
      <c r="AH1087" s="4" t="n"/>
      <c r="AI1087" s="4" t="n"/>
      <c r="AJ1087" s="4" t="n"/>
      <c r="AK1087" s="4" t="n"/>
      <c r="AL1087" s="4" t="n"/>
      <c r="AM1087" s="4" t="n"/>
      <c r="AN1087" s="4" t="n"/>
      <c r="AO1087" s="4" t="n"/>
      <c r="AP1087" s="4" t="n"/>
      <c r="AQ1087" s="4" t="n"/>
      <c r="AR1087" s="4" t="n"/>
      <c r="AS1087" s="4" t="n"/>
      <c r="AT1087" s="4" t="n"/>
      <c r="AU1087" s="4" t="n"/>
      <c r="AV1087" s="4" t="n"/>
      <c r="AW1087" s="4" t="n"/>
      <c r="AX1087" s="4" t="n"/>
      <c r="AY1087" s="4" t="n"/>
      <c r="AZ1087" s="4" t="n"/>
      <c r="BA1087" s="4" t="n"/>
      <c r="BB1087" s="4" t="n"/>
      <c r="BC1087" s="4" t="n"/>
      <c r="BD1087" s="4" t="n"/>
      <c r="BE1087" s="4" t="n"/>
      <c r="BF1087" s="4" t="n"/>
      <c r="BG1087" s="4" t="n"/>
      <c r="BH1087" s="4" t="n"/>
      <c r="BI1087" s="4" t="n"/>
      <c r="BJ1087" s="4" t="n"/>
      <c r="BK1087" s="4" t="n"/>
      <c r="BL1087" s="4" t="n"/>
      <c r="BM1087" s="4" t="n"/>
      <c r="BN1087" s="4" t="n"/>
      <c r="BO1087" s="4" t="n"/>
      <c r="BP1087" s="4" t="n"/>
      <c r="BQ1087" s="4" t="n"/>
      <c r="BR1087" s="4" t="n"/>
      <c r="BS1087" s="4" t="n"/>
      <c r="BT1087" s="4" t="n"/>
      <c r="BU1087" s="4" t="n"/>
      <c r="BV1087" s="4" t="n"/>
      <c r="BW1087" s="4" t="n"/>
      <c r="BX1087" s="4" t="n"/>
      <c r="BY1087" s="4" t="n"/>
      <c r="BZ1087" s="4" t="n"/>
      <c r="CA1087" s="4" t="n"/>
      <c r="CB1087" s="4" t="n"/>
      <c r="CC1087" s="4" t="n"/>
      <c r="CD1087" s="4" t="n"/>
      <c r="CE1087" s="4" t="n"/>
      <c r="CF1087" s="4" t="n"/>
      <c r="CG1087" s="4" t="n"/>
      <c r="CH1087" s="4" t="n"/>
      <c r="CI1087" s="4" t="n"/>
      <c r="CJ1087" s="4" t="n"/>
      <c r="CK1087" s="4" t="n"/>
      <c r="CL1087" s="4" t="n"/>
      <c r="CM1087" s="4" t="n"/>
      <c r="CN1087" s="4" t="n"/>
      <c r="CO1087" s="4" t="n"/>
      <c r="CP1087" s="4" t="n"/>
      <c r="CQ1087" s="4" t="n"/>
      <c r="CR1087" s="4" t="n"/>
      <c r="CS1087" s="4" t="n"/>
      <c r="CT1087" s="4" t="n"/>
      <c r="CU1087" s="4" t="n"/>
      <c r="CV1087" s="4" t="n"/>
      <c r="CW1087" s="4" t="n"/>
      <c r="CX1087" s="4" t="n"/>
      <c r="CY1087" s="4" t="n"/>
      <c r="CZ1087" s="4" t="n"/>
      <c r="DA1087" s="4" t="n"/>
      <c r="DB1087" s="4" t="n"/>
      <c r="DC1087" s="4" t="n"/>
      <c r="DD1087" s="4" t="n"/>
      <c r="DE1087" s="4" t="n"/>
      <c r="DF1087" s="4" t="n"/>
      <c r="DG1087" s="4" t="n"/>
      <c r="DH1087" s="4" t="n"/>
      <c r="DI1087" s="4" t="n"/>
      <c r="DJ1087" s="4" t="n"/>
      <c r="DK1087" s="4" t="n"/>
      <c r="DL1087" s="4" t="n"/>
      <c r="DM1087" s="4" t="n"/>
      <c r="DN1087" s="4" t="n"/>
      <c r="DO1087" s="4" t="n"/>
      <c r="DP1087" s="4" t="n"/>
      <c r="DQ1087" s="4" t="n"/>
      <c r="DR1087" s="4" t="n"/>
      <c r="DS1087" s="4" t="n"/>
      <c r="DT1087" s="4" t="n"/>
      <c r="DU1087" s="4" t="n"/>
      <c r="DV1087" s="4" t="n"/>
      <c r="DW1087" s="4" t="n"/>
      <c r="DX1087" s="4" t="n"/>
      <c r="DY1087" s="4" t="n"/>
      <c r="DZ1087" s="4" t="n"/>
      <c r="EA1087" s="4" t="n"/>
      <c r="EB1087" s="4" t="n"/>
      <c r="EC1087" s="4" t="n"/>
      <c r="ED1087" s="4" t="n"/>
      <c r="EE1087" s="4" t="n"/>
      <c r="EF1087" s="4" t="n"/>
      <c r="EG1087" s="4" t="n"/>
      <c r="EH1087" s="4" t="n"/>
      <c r="EI1087" s="4" t="n"/>
      <c r="EJ1087" s="4" t="n"/>
      <c r="EK1087" s="4" t="n"/>
      <c r="EL1087" s="4" t="n"/>
      <c r="EM1087" s="4" t="n"/>
    </row>
    <row r="1088" hidden="1" customFormat="1" s="6">
      <c r="C1088" s="4" t="n"/>
      <c r="D1088" s="4" t="n"/>
      <c r="E1088" s="4" t="n"/>
      <c r="F1088" s="4" t="n"/>
      <c r="G1088" s="4" t="n"/>
      <c r="H1088" s="4" t="n"/>
      <c r="I1088" s="4" t="n"/>
      <c r="J1088" s="4" t="n"/>
      <c r="K1088" s="4" t="n"/>
      <c r="L1088" s="4" t="n"/>
      <c r="M1088" s="4" t="n"/>
      <c r="N1088" s="4" t="n"/>
      <c r="O1088" s="4" t="n"/>
      <c r="P1088" s="4" t="n"/>
      <c r="Q1088" s="4" t="n"/>
      <c r="R1088" s="4" t="n"/>
      <c r="S1088" s="4" t="n"/>
      <c r="T1088" s="4" t="n"/>
      <c r="U1088" s="4" t="n"/>
      <c r="V1088" s="4" t="n"/>
      <c r="W1088" s="4" t="n"/>
      <c r="X1088" s="4" t="n"/>
      <c r="Y1088" s="4" t="n"/>
      <c r="Z1088" s="4" t="n"/>
      <c r="AA1088" s="4" t="n"/>
      <c r="AB1088" s="4" t="n"/>
      <c r="AC1088" s="4" t="n"/>
      <c r="AD1088" s="4" t="n"/>
      <c r="AE1088" s="4" t="n"/>
      <c r="AF1088" s="4" t="n"/>
      <c r="AG1088" s="4" t="n"/>
      <c r="AH1088" s="4" t="n"/>
      <c r="AI1088" s="4" t="n"/>
      <c r="AJ1088" s="4" t="n"/>
      <c r="AK1088" s="4" t="n"/>
      <c r="AL1088" s="4" t="n"/>
      <c r="AM1088" s="4" t="n"/>
      <c r="AN1088" s="4" t="n"/>
      <c r="AO1088" s="4" t="n"/>
      <c r="AP1088" s="4" t="n"/>
      <c r="AQ1088" s="4" t="n"/>
      <c r="AR1088" s="4" t="n"/>
      <c r="AS1088" s="4" t="n"/>
      <c r="AT1088" s="4" t="n"/>
      <c r="AU1088" s="4" t="n"/>
      <c r="AV1088" s="4" t="n"/>
      <c r="AW1088" s="4" t="n"/>
      <c r="AX1088" s="4" t="n"/>
      <c r="AY1088" s="4" t="n"/>
      <c r="AZ1088" s="4" t="n"/>
      <c r="BA1088" s="4" t="n"/>
      <c r="BB1088" s="4" t="n"/>
      <c r="BC1088" s="4" t="n"/>
      <c r="BD1088" s="4" t="n"/>
      <c r="BE1088" s="4" t="n"/>
      <c r="BF1088" s="4" t="n"/>
      <c r="BG1088" s="4" t="n"/>
      <c r="BH1088" s="4" t="n"/>
      <c r="BI1088" s="4" t="n"/>
      <c r="BJ1088" s="4" t="n"/>
      <c r="BK1088" s="4" t="n"/>
      <c r="BL1088" s="4" t="n"/>
      <c r="BM1088" s="4" t="n"/>
      <c r="BN1088" s="4" t="n"/>
      <c r="BO1088" s="4" t="n"/>
      <c r="BP1088" s="4" t="n"/>
      <c r="BQ1088" s="4" t="n"/>
      <c r="BR1088" s="4" t="n"/>
      <c r="BS1088" s="4" t="n"/>
      <c r="BT1088" s="4" t="n"/>
      <c r="BU1088" s="4" t="n"/>
      <c r="BV1088" s="4" t="n"/>
      <c r="BW1088" s="4" t="n"/>
      <c r="BX1088" s="4" t="n"/>
      <c r="BY1088" s="4" t="n"/>
      <c r="BZ1088" s="4" t="n"/>
      <c r="CA1088" s="4" t="n"/>
      <c r="CB1088" s="4" t="n"/>
      <c r="CC1088" s="4" t="n"/>
      <c r="CD1088" s="4" t="n"/>
      <c r="CE1088" s="4" t="n"/>
      <c r="CF1088" s="4" t="n"/>
      <c r="CG1088" s="4" t="n"/>
      <c r="CH1088" s="4" t="n"/>
      <c r="CI1088" s="4" t="n"/>
      <c r="CJ1088" s="4" t="n"/>
      <c r="CK1088" s="4" t="n"/>
      <c r="CL1088" s="4" t="n"/>
      <c r="CM1088" s="4" t="n"/>
      <c r="CN1088" s="4" t="n"/>
      <c r="CO1088" s="4" t="n"/>
      <c r="CP1088" s="4" t="n"/>
      <c r="CQ1088" s="4" t="n"/>
      <c r="CR1088" s="4" t="n"/>
      <c r="CS1088" s="4" t="n"/>
      <c r="CT1088" s="4" t="n"/>
      <c r="CU1088" s="4" t="n"/>
      <c r="CV1088" s="4" t="n"/>
      <c r="CW1088" s="4" t="n"/>
      <c r="CX1088" s="4" t="n"/>
      <c r="CY1088" s="4" t="n"/>
      <c r="CZ1088" s="4" t="n"/>
      <c r="DA1088" s="4" t="n"/>
      <c r="DB1088" s="4" t="n"/>
      <c r="DC1088" s="4" t="n"/>
      <c r="DD1088" s="4" t="n"/>
      <c r="DE1088" s="4" t="n"/>
      <c r="DF1088" s="4" t="n"/>
      <c r="DG1088" s="4" t="n"/>
      <c r="DH1088" s="4" t="n"/>
      <c r="DI1088" s="4" t="n"/>
      <c r="DJ1088" s="4" t="n"/>
      <c r="DK1088" s="4" t="n"/>
      <c r="DL1088" s="4" t="n"/>
      <c r="DM1088" s="4" t="n"/>
      <c r="DN1088" s="4" t="n"/>
      <c r="DO1088" s="4" t="n"/>
      <c r="DP1088" s="4" t="n"/>
      <c r="DQ1088" s="4" t="n"/>
      <c r="DR1088" s="4" t="n"/>
      <c r="DS1088" s="4" t="n"/>
      <c r="DT1088" s="4" t="n"/>
      <c r="DU1088" s="4" t="n"/>
      <c r="DV1088" s="4" t="n"/>
      <c r="DW1088" s="4" t="n"/>
      <c r="DX1088" s="4" t="n"/>
      <c r="DY1088" s="4" t="n"/>
      <c r="DZ1088" s="4" t="n"/>
      <c r="EA1088" s="4" t="n"/>
      <c r="EB1088" s="4" t="n"/>
      <c r="EC1088" s="4" t="n"/>
      <c r="ED1088" s="4" t="n"/>
      <c r="EE1088" s="4" t="n"/>
      <c r="EF1088" s="4" t="n"/>
      <c r="EG1088" s="4" t="n"/>
      <c r="EH1088" s="4" t="n"/>
      <c r="EI1088" s="4" t="n"/>
      <c r="EJ1088" s="4" t="n"/>
      <c r="EK1088" s="4" t="n"/>
      <c r="EL1088" s="4" t="n"/>
      <c r="EM1088" s="4" t="n"/>
    </row>
    <row r="1089" hidden="1" customFormat="1" s="6">
      <c r="C1089" s="4" t="n"/>
      <c r="D1089" s="4" t="n"/>
      <c r="E1089" s="4" t="n"/>
      <c r="F1089" s="4" t="n"/>
      <c r="G1089" s="4" t="n"/>
      <c r="H1089" s="4" t="n"/>
      <c r="I1089" s="4" t="n"/>
      <c r="J1089" s="4" t="n"/>
      <c r="K1089" s="4" t="n"/>
      <c r="L1089" s="4" t="n"/>
      <c r="M1089" s="4" t="n"/>
      <c r="N1089" s="4" t="n"/>
      <c r="O1089" s="4" t="n"/>
      <c r="P1089" s="4" t="n"/>
      <c r="Q1089" s="4" t="n"/>
      <c r="R1089" s="4" t="n"/>
      <c r="S1089" s="4" t="n"/>
      <c r="T1089" s="4" t="n"/>
      <c r="U1089" s="4" t="n"/>
      <c r="V1089" s="4" t="n"/>
      <c r="W1089" s="4" t="n"/>
      <c r="X1089" s="4" t="n"/>
      <c r="Y1089" s="4" t="n"/>
      <c r="Z1089" s="4" t="n"/>
      <c r="AA1089" s="4" t="n"/>
      <c r="AB1089" s="4" t="n"/>
      <c r="AC1089" s="4" t="n"/>
      <c r="AD1089" s="4" t="n"/>
      <c r="AE1089" s="4" t="n"/>
      <c r="AF1089" s="4" t="n"/>
      <c r="AG1089" s="4" t="n"/>
      <c r="AH1089" s="4" t="n"/>
      <c r="AI1089" s="4" t="n"/>
      <c r="AJ1089" s="4" t="n"/>
      <c r="AK1089" s="4" t="n"/>
      <c r="AL1089" s="4" t="n"/>
      <c r="AM1089" s="4" t="n"/>
      <c r="AN1089" s="4" t="n"/>
      <c r="AO1089" s="4" t="n"/>
      <c r="AP1089" s="4" t="n"/>
      <c r="AQ1089" s="4" t="n"/>
      <c r="AR1089" s="4" t="n"/>
      <c r="AS1089" s="4" t="n"/>
      <c r="AT1089" s="4" t="n"/>
      <c r="AU1089" s="4" t="n"/>
      <c r="AV1089" s="4" t="n"/>
      <c r="AW1089" s="4" t="n"/>
      <c r="AX1089" s="4" t="n"/>
      <c r="AY1089" s="4" t="n"/>
      <c r="AZ1089" s="4" t="n"/>
      <c r="BA1089" s="4" t="n"/>
      <c r="BB1089" s="4" t="n"/>
      <c r="BC1089" s="4" t="n"/>
      <c r="BD1089" s="4" t="n"/>
      <c r="BE1089" s="4" t="n"/>
      <c r="BF1089" s="4" t="n"/>
      <c r="BG1089" s="4" t="n"/>
      <c r="BH1089" s="4" t="n"/>
      <c r="BI1089" s="4" t="n"/>
      <c r="BJ1089" s="4" t="n"/>
      <c r="BK1089" s="4" t="n"/>
      <c r="BL1089" s="4" t="n"/>
      <c r="BM1089" s="4" t="n"/>
      <c r="BN1089" s="4" t="n"/>
      <c r="BO1089" s="4" t="n"/>
      <c r="BP1089" s="4" t="n"/>
      <c r="BQ1089" s="4" t="n"/>
      <c r="BR1089" s="4" t="n"/>
      <c r="BS1089" s="4" t="n"/>
      <c r="BT1089" s="4" t="n"/>
      <c r="BU1089" s="4" t="n"/>
      <c r="BV1089" s="4" t="n"/>
      <c r="BW1089" s="4" t="n"/>
      <c r="BX1089" s="4" t="n"/>
      <c r="BY1089" s="4" t="n"/>
      <c r="BZ1089" s="4" t="n"/>
      <c r="CA1089" s="4" t="n"/>
      <c r="CB1089" s="4" t="n"/>
      <c r="CC1089" s="4" t="n"/>
      <c r="CD1089" s="4" t="n"/>
      <c r="CE1089" s="4" t="n"/>
      <c r="CF1089" s="4" t="n"/>
      <c r="CG1089" s="4" t="n"/>
      <c r="CH1089" s="4" t="n"/>
      <c r="CI1089" s="4" t="n"/>
      <c r="CJ1089" s="4" t="n"/>
      <c r="CK1089" s="4" t="n"/>
      <c r="CL1089" s="4" t="n"/>
      <c r="CM1089" s="4" t="n"/>
      <c r="CN1089" s="4" t="n"/>
      <c r="CO1089" s="4" t="n"/>
      <c r="CP1089" s="4" t="n"/>
      <c r="CQ1089" s="4" t="n"/>
      <c r="CR1089" s="4" t="n"/>
      <c r="CS1089" s="4" t="n"/>
      <c r="CT1089" s="4" t="n"/>
      <c r="CU1089" s="4" t="n"/>
      <c r="CV1089" s="4" t="n"/>
      <c r="CW1089" s="4" t="n"/>
      <c r="CX1089" s="4" t="n"/>
      <c r="CY1089" s="4" t="n"/>
      <c r="CZ1089" s="4" t="n"/>
      <c r="DA1089" s="4" t="n"/>
      <c r="DB1089" s="4" t="n"/>
      <c r="DC1089" s="4" t="n"/>
      <c r="DD1089" s="4" t="n"/>
      <c r="DE1089" s="4" t="n"/>
      <c r="DF1089" s="4" t="n"/>
      <c r="DG1089" s="4" t="n"/>
      <c r="DH1089" s="4" t="n"/>
      <c r="DI1089" s="4" t="n"/>
      <c r="DJ1089" s="4" t="n"/>
      <c r="DK1089" s="4" t="n"/>
      <c r="DL1089" s="4" t="n"/>
      <c r="DM1089" s="4" t="n"/>
      <c r="DN1089" s="4" t="n"/>
      <c r="DO1089" s="4" t="n"/>
      <c r="DP1089" s="4" t="n"/>
      <c r="DQ1089" s="4" t="n"/>
      <c r="DR1089" s="4" t="n"/>
      <c r="DS1089" s="4" t="n"/>
      <c r="DT1089" s="4" t="n"/>
      <c r="DU1089" s="4" t="n"/>
      <c r="DV1089" s="4" t="n"/>
      <c r="DW1089" s="4" t="n"/>
      <c r="DX1089" s="4" t="n"/>
      <c r="DY1089" s="4" t="n"/>
      <c r="DZ1089" s="4" t="n"/>
      <c r="EA1089" s="4" t="n"/>
      <c r="EB1089" s="4" t="n"/>
      <c r="EC1089" s="4" t="n"/>
      <c r="ED1089" s="4" t="n"/>
      <c r="EE1089" s="4" t="n"/>
      <c r="EF1089" s="4" t="n"/>
      <c r="EG1089" s="4" t="n"/>
      <c r="EH1089" s="4" t="n"/>
      <c r="EI1089" s="4" t="n"/>
      <c r="EJ1089" s="4" t="n"/>
      <c r="EK1089" s="4" t="n"/>
      <c r="EL1089" s="4" t="n"/>
      <c r="EM1089" s="4" t="n"/>
    </row>
    <row r="1090" hidden="1" customFormat="1" s="6">
      <c r="C1090" s="4" t="n"/>
      <c r="D1090" s="4" t="n"/>
      <c r="E1090" s="4" t="n"/>
      <c r="F1090" s="4" t="n"/>
      <c r="G1090" s="4" t="n"/>
      <c r="H1090" s="4" t="n"/>
      <c r="I1090" s="4" t="n"/>
      <c r="J1090" s="4" t="n"/>
      <c r="K1090" s="4" t="n"/>
      <c r="L1090" s="4" t="n"/>
      <c r="M1090" s="4" t="n"/>
      <c r="N1090" s="4" t="n"/>
      <c r="O1090" s="4" t="n"/>
      <c r="P1090" s="4" t="n"/>
      <c r="Q1090" s="4" t="n"/>
      <c r="R1090" s="4" t="n"/>
      <c r="S1090" s="4" t="n"/>
      <c r="T1090" s="4" t="n"/>
      <c r="U1090" s="4" t="n"/>
      <c r="V1090" s="4" t="n"/>
      <c r="W1090" s="4" t="n"/>
      <c r="X1090" s="4" t="n"/>
      <c r="Y1090" s="4" t="n"/>
      <c r="Z1090" s="4" t="n"/>
      <c r="AA1090" s="4" t="n"/>
      <c r="AB1090" s="4" t="n"/>
      <c r="AC1090" s="4" t="n"/>
      <c r="AD1090" s="4" t="n"/>
      <c r="AE1090" s="4" t="n"/>
      <c r="AF1090" s="4" t="n"/>
      <c r="AG1090" s="4" t="n"/>
      <c r="AH1090" s="4" t="n"/>
      <c r="AI1090" s="4" t="n"/>
      <c r="AJ1090" s="4" t="n"/>
      <c r="AK1090" s="4" t="n"/>
      <c r="AL1090" s="4" t="n"/>
      <c r="AM1090" s="4" t="n"/>
      <c r="AN1090" s="4" t="n"/>
      <c r="AO1090" s="4" t="n"/>
      <c r="AP1090" s="4" t="n"/>
      <c r="AQ1090" s="4" t="n"/>
      <c r="AR1090" s="4" t="n"/>
      <c r="AS1090" s="4" t="n"/>
      <c r="AT1090" s="4" t="n"/>
      <c r="AU1090" s="4" t="n"/>
      <c r="AV1090" s="4" t="n"/>
      <c r="AW1090" s="4" t="n"/>
      <c r="AX1090" s="4" t="n"/>
      <c r="AY1090" s="4" t="n"/>
      <c r="AZ1090" s="4" t="n"/>
      <c r="BA1090" s="4" t="n"/>
      <c r="BB1090" s="4" t="n"/>
      <c r="BC1090" s="4" t="n"/>
      <c r="BD1090" s="4" t="n"/>
      <c r="BE1090" s="4" t="n"/>
      <c r="BF1090" s="4" t="n"/>
      <c r="BG1090" s="4" t="n"/>
      <c r="BH1090" s="4" t="n"/>
      <c r="BI1090" s="4" t="n"/>
      <c r="BJ1090" s="4" t="n"/>
      <c r="BK1090" s="4" t="n"/>
      <c r="BL1090" s="4" t="n"/>
      <c r="BM1090" s="4" t="n"/>
      <c r="BN1090" s="4" t="n"/>
      <c r="BO1090" s="4" t="n"/>
      <c r="BP1090" s="4" t="n"/>
      <c r="BQ1090" s="4" t="n"/>
      <c r="BR1090" s="4" t="n"/>
      <c r="BS1090" s="4" t="n"/>
      <c r="BT1090" s="4" t="n"/>
      <c r="BU1090" s="4" t="n"/>
      <c r="BV1090" s="4" t="n"/>
      <c r="BW1090" s="4" t="n"/>
      <c r="BX1090" s="4" t="n"/>
      <c r="BY1090" s="4" t="n"/>
      <c r="BZ1090" s="4" t="n"/>
      <c r="CA1090" s="4" t="n"/>
      <c r="CB1090" s="4" t="n"/>
      <c r="CC1090" s="4" t="n"/>
      <c r="CD1090" s="4" t="n"/>
      <c r="CE1090" s="4" t="n"/>
      <c r="CF1090" s="4" t="n"/>
      <c r="CG1090" s="4" t="n"/>
      <c r="CH1090" s="4" t="n"/>
      <c r="CI1090" s="4" t="n"/>
      <c r="CJ1090" s="4" t="n"/>
      <c r="CK1090" s="4" t="n"/>
      <c r="CL1090" s="4" t="n"/>
      <c r="CM1090" s="4" t="n"/>
      <c r="CN1090" s="4" t="n"/>
      <c r="CO1090" s="4" t="n"/>
      <c r="CP1090" s="4" t="n"/>
      <c r="CQ1090" s="4" t="n"/>
      <c r="CR1090" s="4" t="n"/>
      <c r="CS1090" s="4" t="n"/>
      <c r="CT1090" s="4" t="n"/>
      <c r="CU1090" s="4" t="n"/>
      <c r="CV1090" s="4" t="n"/>
      <c r="CW1090" s="4" t="n"/>
      <c r="CX1090" s="4" t="n"/>
      <c r="CY1090" s="4" t="n"/>
      <c r="CZ1090" s="4" t="n"/>
      <c r="DA1090" s="4" t="n"/>
      <c r="DB1090" s="4" t="n"/>
      <c r="DC1090" s="4" t="n"/>
      <c r="DD1090" s="4" t="n"/>
      <c r="DE1090" s="4" t="n"/>
      <c r="DF1090" s="4" t="n"/>
      <c r="DG1090" s="4" t="n"/>
      <c r="DH1090" s="4" t="n"/>
      <c r="DI1090" s="4" t="n"/>
      <c r="DJ1090" s="4" t="n"/>
      <c r="DK1090" s="4" t="n"/>
      <c r="DL1090" s="4" t="n"/>
      <c r="DM1090" s="4" t="n"/>
      <c r="DN1090" s="4" t="n"/>
      <c r="DO1090" s="4" t="n"/>
      <c r="DP1090" s="4" t="n"/>
      <c r="DQ1090" s="4" t="n"/>
      <c r="DR1090" s="4" t="n"/>
      <c r="DS1090" s="4" t="n"/>
      <c r="DT1090" s="4" t="n"/>
      <c r="DU1090" s="4" t="n"/>
      <c r="DV1090" s="4" t="n"/>
      <c r="DW1090" s="4" t="n"/>
      <c r="DX1090" s="4" t="n"/>
      <c r="DY1090" s="4" t="n"/>
      <c r="DZ1090" s="4" t="n"/>
      <c r="EA1090" s="4" t="n"/>
      <c r="EB1090" s="4" t="n"/>
      <c r="EC1090" s="4" t="n"/>
      <c r="ED1090" s="4" t="n"/>
      <c r="EE1090" s="4" t="n"/>
      <c r="EF1090" s="4" t="n"/>
      <c r="EG1090" s="4" t="n"/>
      <c r="EH1090" s="4" t="n"/>
      <c r="EI1090" s="4" t="n"/>
      <c r="EJ1090" s="4" t="n"/>
      <c r="EK1090" s="4" t="n"/>
      <c r="EL1090" s="4" t="n"/>
      <c r="EM1090" s="4" t="n"/>
    </row>
    <row r="1091" hidden="1" customFormat="1" s="6">
      <c r="C1091" s="4" t="n"/>
      <c r="D1091" s="4" t="n"/>
      <c r="E1091" s="4" t="n"/>
      <c r="F1091" s="4" t="n"/>
      <c r="G1091" s="4" t="n"/>
      <c r="H1091" s="4" t="n"/>
      <c r="I1091" s="4" t="n"/>
      <c r="J1091" s="4" t="n"/>
      <c r="K1091" s="4" t="n"/>
      <c r="L1091" s="4" t="n"/>
      <c r="M1091" s="4" t="n"/>
      <c r="N1091" s="4" t="n"/>
      <c r="O1091" s="4" t="n"/>
      <c r="P1091" s="4" t="n"/>
      <c r="Q1091" s="4" t="n"/>
      <c r="R1091" s="4" t="n"/>
      <c r="S1091" s="4" t="n"/>
      <c r="T1091" s="4" t="n"/>
      <c r="U1091" s="4" t="n"/>
      <c r="V1091" s="4" t="n"/>
      <c r="W1091" s="4" t="n"/>
      <c r="X1091" s="4" t="n"/>
      <c r="Y1091" s="4" t="n"/>
      <c r="Z1091" s="4" t="n"/>
      <c r="AA1091" s="4" t="n"/>
      <c r="AB1091" s="4" t="n"/>
      <c r="AC1091" s="4" t="n"/>
      <c r="AD1091" s="4" t="n"/>
      <c r="AE1091" s="4" t="n"/>
      <c r="AF1091" s="4" t="n"/>
      <c r="AG1091" s="4" t="n"/>
      <c r="AH1091" s="4" t="n"/>
      <c r="AI1091" s="4" t="n"/>
      <c r="AJ1091" s="4" t="n"/>
      <c r="AK1091" s="4" t="n"/>
      <c r="AL1091" s="4" t="n"/>
      <c r="AM1091" s="4" t="n"/>
      <c r="AN1091" s="4" t="n"/>
      <c r="AO1091" s="4" t="n"/>
      <c r="AP1091" s="4" t="n"/>
      <c r="AQ1091" s="4" t="n"/>
      <c r="AR1091" s="4" t="n"/>
      <c r="AS1091" s="4" t="n"/>
      <c r="AT1091" s="4" t="n"/>
      <c r="AU1091" s="4" t="n"/>
      <c r="AV1091" s="4" t="n"/>
      <c r="AW1091" s="4" t="n"/>
      <c r="AX1091" s="4" t="n"/>
      <c r="AY1091" s="4" t="n"/>
      <c r="AZ1091" s="4" t="n"/>
      <c r="BA1091" s="4" t="n"/>
      <c r="BB1091" s="4" t="n"/>
      <c r="BC1091" s="4" t="n"/>
      <c r="BD1091" s="4" t="n"/>
      <c r="BE1091" s="4" t="n"/>
      <c r="BF1091" s="4" t="n"/>
      <c r="BG1091" s="4" t="n"/>
      <c r="BH1091" s="4" t="n"/>
      <c r="BI1091" s="4" t="n"/>
      <c r="BJ1091" s="4" t="n"/>
      <c r="BK1091" s="4" t="n"/>
      <c r="BL1091" s="4" t="n"/>
      <c r="BM1091" s="4" t="n"/>
      <c r="BN1091" s="4" t="n"/>
      <c r="BO1091" s="4" t="n"/>
      <c r="BP1091" s="4" t="n"/>
      <c r="BQ1091" s="4" t="n"/>
      <c r="BR1091" s="4" t="n"/>
      <c r="BS1091" s="4" t="n"/>
      <c r="BT1091" s="4" t="n"/>
      <c r="BU1091" s="4" t="n"/>
      <c r="BV1091" s="4" t="n"/>
      <c r="BW1091" s="4" t="n"/>
      <c r="BX1091" s="4" t="n"/>
      <c r="BY1091" s="4" t="n"/>
      <c r="BZ1091" s="4" t="n"/>
      <c r="CA1091" s="4" t="n"/>
      <c r="CB1091" s="4" t="n"/>
      <c r="CC1091" s="4" t="n"/>
      <c r="CD1091" s="4" t="n"/>
      <c r="CE1091" s="4" t="n"/>
      <c r="CF1091" s="4" t="n"/>
      <c r="CG1091" s="4" t="n"/>
      <c r="CH1091" s="4" t="n"/>
      <c r="CI1091" s="4" t="n"/>
      <c r="CJ1091" s="4" t="n"/>
      <c r="CK1091" s="4" t="n"/>
      <c r="CL1091" s="4" t="n"/>
      <c r="CM1091" s="4" t="n"/>
      <c r="CN1091" s="4" t="n"/>
      <c r="CO1091" s="4" t="n"/>
      <c r="CP1091" s="4" t="n"/>
      <c r="CQ1091" s="4" t="n"/>
      <c r="CR1091" s="4" t="n"/>
      <c r="CS1091" s="4" t="n"/>
      <c r="CT1091" s="4" t="n"/>
      <c r="CU1091" s="4" t="n"/>
      <c r="CV1091" s="4" t="n"/>
      <c r="CW1091" s="4" t="n"/>
      <c r="CX1091" s="4" t="n"/>
      <c r="CY1091" s="4" t="n"/>
      <c r="CZ1091" s="4" t="n"/>
      <c r="DA1091" s="4" t="n"/>
      <c r="DB1091" s="4" t="n"/>
      <c r="DC1091" s="4" t="n"/>
      <c r="DD1091" s="4" t="n"/>
      <c r="DE1091" s="4" t="n"/>
      <c r="DF1091" s="4" t="n"/>
      <c r="DG1091" s="4" t="n"/>
      <c r="DH1091" s="4" t="n"/>
      <c r="DI1091" s="4" t="n"/>
      <c r="DJ1091" s="4" t="n"/>
      <c r="DK1091" s="4" t="n"/>
      <c r="DL1091" s="4" t="n"/>
      <c r="DM1091" s="4" t="n"/>
      <c r="DN1091" s="4" t="n"/>
      <c r="DO1091" s="4" t="n"/>
      <c r="DP1091" s="4" t="n"/>
      <c r="DQ1091" s="4" t="n"/>
      <c r="DR1091" s="4" t="n"/>
      <c r="DS1091" s="4" t="n"/>
      <c r="DT1091" s="4" t="n"/>
      <c r="DU1091" s="4" t="n"/>
      <c r="DV1091" s="4" t="n"/>
      <c r="DW1091" s="4" t="n"/>
      <c r="DX1091" s="4" t="n"/>
      <c r="DY1091" s="4" t="n"/>
      <c r="DZ1091" s="4" t="n"/>
      <c r="EA1091" s="4" t="n"/>
      <c r="EB1091" s="4" t="n"/>
      <c r="EC1091" s="4" t="n"/>
      <c r="ED1091" s="4" t="n"/>
      <c r="EE1091" s="4" t="n"/>
      <c r="EF1091" s="4" t="n"/>
      <c r="EG1091" s="4" t="n"/>
      <c r="EH1091" s="4" t="n"/>
      <c r="EI1091" s="4" t="n"/>
      <c r="EJ1091" s="4" t="n"/>
      <c r="EK1091" s="4" t="n"/>
      <c r="EL1091" s="4" t="n"/>
      <c r="EM1091" s="4" t="n"/>
    </row>
    <row r="1092" hidden="1" customFormat="1" s="6">
      <c r="C1092" s="4" t="n"/>
      <c r="D1092" s="4" t="n"/>
      <c r="E1092" s="4" t="n"/>
      <c r="F1092" s="4" t="n"/>
      <c r="G1092" s="4" t="n"/>
      <c r="H1092" s="4" t="n"/>
      <c r="I1092" s="4" t="n"/>
      <c r="J1092" s="4" t="n"/>
      <c r="K1092" s="4" t="n"/>
      <c r="L1092" s="4" t="n"/>
      <c r="M1092" s="4" t="n"/>
      <c r="N1092" s="4" t="n"/>
      <c r="O1092" s="4" t="n"/>
      <c r="P1092" s="4" t="n"/>
      <c r="Q1092" s="4" t="n"/>
      <c r="R1092" s="4" t="n"/>
      <c r="S1092" s="4" t="n"/>
      <c r="T1092" s="4" t="n"/>
      <c r="U1092" s="4" t="n"/>
      <c r="V1092" s="4" t="n"/>
      <c r="W1092" s="4" t="n"/>
      <c r="X1092" s="4" t="n"/>
      <c r="Y1092" s="4" t="n"/>
      <c r="Z1092" s="4" t="n"/>
      <c r="AA1092" s="4" t="n"/>
      <c r="AB1092" s="4" t="n"/>
      <c r="AC1092" s="4" t="n"/>
      <c r="AD1092" s="4" t="n"/>
      <c r="AE1092" s="4" t="n"/>
      <c r="AF1092" s="4" t="n"/>
      <c r="AG1092" s="4" t="n"/>
      <c r="AH1092" s="4" t="n"/>
      <c r="AI1092" s="4" t="n"/>
      <c r="AJ1092" s="4" t="n"/>
      <c r="AK1092" s="4" t="n"/>
      <c r="AL1092" s="4" t="n"/>
      <c r="AM1092" s="4" t="n"/>
      <c r="AN1092" s="4" t="n"/>
      <c r="AO1092" s="4" t="n"/>
      <c r="AP1092" s="4" t="n"/>
      <c r="AQ1092" s="4" t="n"/>
      <c r="AR1092" s="4" t="n"/>
      <c r="AS1092" s="4" t="n"/>
      <c r="AT1092" s="4" t="n"/>
      <c r="AU1092" s="4" t="n"/>
      <c r="AV1092" s="4" t="n"/>
      <c r="AW1092" s="4" t="n"/>
      <c r="AX1092" s="4" t="n"/>
      <c r="AY1092" s="4" t="n"/>
      <c r="AZ1092" s="4" t="n"/>
      <c r="BA1092" s="4" t="n"/>
      <c r="BB1092" s="4" t="n"/>
      <c r="BC1092" s="4" t="n"/>
      <c r="BD1092" s="4" t="n"/>
      <c r="BE1092" s="4" t="n"/>
      <c r="BF1092" s="4" t="n"/>
      <c r="BG1092" s="4" t="n"/>
      <c r="BH1092" s="4" t="n"/>
      <c r="BI1092" s="4" t="n"/>
      <c r="BJ1092" s="4" t="n"/>
      <c r="BK1092" s="4" t="n"/>
      <c r="BL1092" s="4" t="n"/>
      <c r="BM1092" s="4" t="n"/>
      <c r="BN1092" s="4" t="n"/>
      <c r="BO1092" s="4" t="n"/>
      <c r="BP1092" s="4" t="n"/>
      <c r="BQ1092" s="4" t="n"/>
      <c r="BR1092" s="4" t="n"/>
      <c r="BS1092" s="4" t="n"/>
      <c r="BT1092" s="4" t="n"/>
      <c r="BU1092" s="4" t="n"/>
      <c r="BV1092" s="4" t="n"/>
      <c r="BW1092" s="4" t="n"/>
      <c r="BX1092" s="4" t="n"/>
      <c r="BY1092" s="4" t="n"/>
      <c r="BZ1092" s="4" t="n"/>
      <c r="CA1092" s="4" t="n"/>
      <c r="CB1092" s="4" t="n"/>
      <c r="CC1092" s="4" t="n"/>
      <c r="CD1092" s="4" t="n"/>
      <c r="CE1092" s="4" t="n"/>
      <c r="CF1092" s="4" t="n"/>
      <c r="CG1092" s="4" t="n"/>
      <c r="CH1092" s="4" t="n"/>
      <c r="CI1092" s="4" t="n"/>
      <c r="CJ1092" s="4" t="n"/>
      <c r="CK1092" s="4" t="n"/>
      <c r="CL1092" s="4" t="n"/>
      <c r="CM1092" s="4" t="n"/>
      <c r="CN1092" s="4" t="n"/>
      <c r="CO1092" s="4" t="n"/>
      <c r="CP1092" s="4" t="n"/>
      <c r="CQ1092" s="4" t="n"/>
      <c r="CR1092" s="4" t="n"/>
      <c r="CS1092" s="4" t="n"/>
      <c r="CT1092" s="4" t="n"/>
      <c r="CU1092" s="4" t="n"/>
      <c r="CV1092" s="4" t="n"/>
      <c r="CW1092" s="4" t="n"/>
      <c r="CX1092" s="4" t="n"/>
      <c r="CY1092" s="4" t="n"/>
      <c r="CZ1092" s="4" t="n"/>
      <c r="DA1092" s="4" t="n"/>
      <c r="DB1092" s="4" t="n"/>
      <c r="DC1092" s="4" t="n"/>
      <c r="DD1092" s="4" t="n"/>
      <c r="DE1092" s="4" t="n"/>
      <c r="DF1092" s="4" t="n"/>
      <c r="DG1092" s="4" t="n"/>
      <c r="DH1092" s="4" t="n"/>
      <c r="DI1092" s="4" t="n"/>
      <c r="DJ1092" s="4" t="n"/>
      <c r="DK1092" s="4" t="n"/>
      <c r="DL1092" s="4" t="n"/>
      <c r="DM1092" s="4" t="n"/>
      <c r="DN1092" s="4" t="n"/>
      <c r="DO1092" s="4" t="n"/>
      <c r="DP1092" s="4" t="n"/>
      <c r="DQ1092" s="4" t="n"/>
      <c r="DR1092" s="4" t="n"/>
      <c r="DS1092" s="4" t="n"/>
      <c r="DT1092" s="4" t="n"/>
      <c r="DU1092" s="4" t="n"/>
      <c r="DV1092" s="4" t="n"/>
      <c r="DW1092" s="4" t="n"/>
      <c r="DX1092" s="4" t="n"/>
      <c r="DY1092" s="4" t="n"/>
      <c r="DZ1092" s="4" t="n"/>
      <c r="EA1092" s="4" t="n"/>
      <c r="EB1092" s="4" t="n"/>
      <c r="EC1092" s="4" t="n"/>
      <c r="ED1092" s="4" t="n"/>
      <c r="EE1092" s="4" t="n"/>
      <c r="EF1092" s="4" t="n"/>
      <c r="EG1092" s="4" t="n"/>
      <c r="EH1092" s="4" t="n"/>
      <c r="EI1092" s="4" t="n"/>
      <c r="EJ1092" s="4" t="n"/>
      <c r="EK1092" s="4" t="n"/>
      <c r="EL1092" s="4" t="n"/>
      <c r="EM1092" s="4" t="n"/>
    </row>
    <row r="1093" hidden="1" customFormat="1" s="6">
      <c r="C1093" s="4" t="n"/>
      <c r="D1093" s="4" t="n"/>
      <c r="E1093" s="4" t="n"/>
      <c r="F1093" s="4" t="n"/>
      <c r="G1093" s="4" t="n"/>
      <c r="H1093" s="4" t="n"/>
      <c r="I1093" s="4" t="n"/>
      <c r="J1093" s="4" t="n"/>
      <c r="K1093" s="4" t="n"/>
      <c r="L1093" s="4" t="n"/>
      <c r="M1093" s="4" t="n"/>
      <c r="N1093" s="4" t="n"/>
      <c r="O1093" s="4" t="n"/>
      <c r="P1093" s="4" t="n"/>
      <c r="Q1093" s="4" t="n"/>
      <c r="R1093" s="4" t="n"/>
      <c r="S1093" s="4" t="n"/>
      <c r="T1093" s="4" t="n"/>
      <c r="U1093" s="4" t="n"/>
      <c r="V1093" s="4" t="n"/>
      <c r="W1093" s="4" t="n"/>
      <c r="X1093" s="4" t="n"/>
      <c r="Y1093" s="4" t="n"/>
      <c r="Z1093" s="4" t="n"/>
      <c r="AA1093" s="4" t="n"/>
      <c r="AB1093" s="4" t="n"/>
      <c r="AC1093" s="4" t="n"/>
      <c r="AD1093" s="4" t="n"/>
      <c r="AE1093" s="4" t="n"/>
      <c r="AF1093" s="4" t="n"/>
      <c r="AG1093" s="4" t="n"/>
      <c r="AH1093" s="4" t="n"/>
      <c r="AI1093" s="4" t="n"/>
      <c r="AJ1093" s="4" t="n"/>
      <c r="AK1093" s="4" t="n"/>
      <c r="AL1093" s="4" t="n"/>
      <c r="AM1093" s="4" t="n"/>
      <c r="AN1093" s="4" t="n"/>
      <c r="AO1093" s="4" t="n"/>
      <c r="AP1093" s="4" t="n"/>
      <c r="AQ1093" s="4" t="n"/>
      <c r="AR1093" s="4" t="n"/>
      <c r="AS1093" s="4" t="n"/>
      <c r="AT1093" s="4" t="n"/>
      <c r="AU1093" s="4" t="n"/>
      <c r="AV1093" s="4" t="n"/>
      <c r="AW1093" s="4" t="n"/>
      <c r="AX1093" s="4" t="n"/>
      <c r="AY1093" s="4" t="n"/>
      <c r="AZ1093" s="4" t="n"/>
      <c r="BA1093" s="4" t="n"/>
      <c r="BB1093" s="4" t="n"/>
      <c r="BC1093" s="4" t="n"/>
      <c r="BD1093" s="4" t="n"/>
      <c r="BE1093" s="4" t="n"/>
      <c r="BF1093" s="4" t="n"/>
      <c r="BG1093" s="4" t="n"/>
      <c r="BH1093" s="4" t="n"/>
      <c r="BI1093" s="4" t="n"/>
      <c r="BJ1093" s="4" t="n"/>
      <c r="BK1093" s="4" t="n"/>
      <c r="BL1093" s="4" t="n"/>
      <c r="BM1093" s="4" t="n"/>
      <c r="BN1093" s="4" t="n"/>
      <c r="BO1093" s="4" t="n"/>
      <c r="BP1093" s="4" t="n"/>
      <c r="BQ1093" s="4" t="n"/>
      <c r="BR1093" s="4" t="n"/>
      <c r="BS1093" s="4" t="n"/>
      <c r="BT1093" s="4" t="n"/>
      <c r="BU1093" s="4" t="n"/>
      <c r="BV1093" s="4" t="n"/>
      <c r="BW1093" s="4" t="n"/>
      <c r="BX1093" s="4" t="n"/>
      <c r="BY1093" s="4" t="n"/>
      <c r="BZ1093" s="4" t="n"/>
      <c r="CA1093" s="4" t="n"/>
      <c r="CB1093" s="4" t="n"/>
      <c r="CC1093" s="4" t="n"/>
      <c r="CD1093" s="4" t="n"/>
      <c r="CE1093" s="4" t="n"/>
      <c r="CF1093" s="4" t="n"/>
      <c r="CG1093" s="4" t="n"/>
      <c r="CH1093" s="4" t="n"/>
      <c r="CI1093" s="4" t="n"/>
      <c r="CJ1093" s="4" t="n"/>
      <c r="CK1093" s="4" t="n"/>
      <c r="CL1093" s="4" t="n"/>
      <c r="CM1093" s="4" t="n"/>
      <c r="CN1093" s="4" t="n"/>
      <c r="CO1093" s="4" t="n"/>
      <c r="CP1093" s="4" t="n"/>
      <c r="CQ1093" s="4" t="n"/>
      <c r="CR1093" s="4" t="n"/>
      <c r="CS1093" s="4" t="n"/>
      <c r="CT1093" s="4" t="n"/>
      <c r="CU1093" s="4" t="n"/>
      <c r="CV1093" s="4" t="n"/>
      <c r="CW1093" s="4" t="n"/>
      <c r="CX1093" s="4" t="n"/>
      <c r="CY1093" s="4" t="n"/>
      <c r="CZ1093" s="4" t="n"/>
      <c r="DA1093" s="4" t="n"/>
      <c r="DB1093" s="4" t="n"/>
      <c r="DC1093" s="4" t="n"/>
      <c r="DD1093" s="4" t="n"/>
      <c r="DE1093" s="4" t="n"/>
      <c r="DF1093" s="4" t="n"/>
      <c r="DG1093" s="4" t="n"/>
      <c r="DH1093" s="4" t="n"/>
      <c r="DI1093" s="4" t="n"/>
      <c r="DJ1093" s="4" t="n"/>
      <c r="DK1093" s="4" t="n"/>
      <c r="DL1093" s="4" t="n"/>
      <c r="DM1093" s="4" t="n"/>
      <c r="DN1093" s="4" t="n"/>
      <c r="DO1093" s="4" t="n"/>
      <c r="DP1093" s="4" t="n"/>
      <c r="DQ1093" s="4" t="n"/>
      <c r="DR1093" s="4" t="n"/>
      <c r="DS1093" s="4" t="n"/>
      <c r="DT1093" s="4" t="n"/>
      <c r="DU1093" s="4" t="n"/>
      <c r="DV1093" s="4" t="n"/>
      <c r="DW1093" s="4" t="n"/>
      <c r="DX1093" s="4" t="n"/>
      <c r="DY1093" s="4" t="n"/>
      <c r="DZ1093" s="4" t="n"/>
      <c r="EA1093" s="4" t="n"/>
      <c r="EB1093" s="4" t="n"/>
      <c r="EC1093" s="4" t="n"/>
      <c r="ED1093" s="4" t="n"/>
      <c r="EE1093" s="4" t="n"/>
      <c r="EF1093" s="4" t="n"/>
      <c r="EG1093" s="4" t="n"/>
      <c r="EH1093" s="4" t="n"/>
      <c r="EI1093" s="4" t="n"/>
      <c r="EJ1093" s="4" t="n"/>
      <c r="EK1093" s="4" t="n"/>
      <c r="EL1093" s="4" t="n"/>
      <c r="EM1093" s="4" t="n"/>
    </row>
    <row r="1094" hidden="1" customFormat="1" s="6">
      <c r="C1094" s="4" t="n"/>
      <c r="D1094" s="4" t="n"/>
      <c r="E1094" s="4" t="n"/>
      <c r="F1094" s="4" t="n"/>
      <c r="G1094" s="4" t="n"/>
      <c r="H1094" s="4" t="n"/>
      <c r="I1094" s="4" t="n"/>
      <c r="J1094" s="4" t="n"/>
      <c r="K1094" s="4" t="n"/>
      <c r="L1094" s="4" t="n"/>
      <c r="M1094" s="4" t="n"/>
      <c r="N1094" s="4" t="n"/>
      <c r="O1094" s="4" t="n"/>
      <c r="P1094" s="4" t="n"/>
      <c r="Q1094" s="4" t="n"/>
      <c r="R1094" s="4" t="n"/>
      <c r="S1094" s="4" t="n"/>
      <c r="T1094" s="4" t="n"/>
      <c r="U1094" s="4" t="n"/>
      <c r="V1094" s="4" t="n"/>
      <c r="W1094" s="4" t="n"/>
      <c r="X1094" s="4" t="n"/>
      <c r="Y1094" s="4" t="n"/>
      <c r="Z1094" s="4" t="n"/>
      <c r="AA1094" s="4" t="n"/>
      <c r="AB1094" s="4" t="n"/>
      <c r="AC1094" s="4" t="n"/>
      <c r="AD1094" s="4" t="n"/>
      <c r="AE1094" s="4" t="n"/>
      <c r="AF1094" s="4" t="n"/>
      <c r="AG1094" s="4" t="n"/>
      <c r="AH1094" s="4" t="n"/>
      <c r="AI1094" s="4" t="n"/>
      <c r="AJ1094" s="4" t="n"/>
      <c r="AK1094" s="4" t="n"/>
      <c r="AL1094" s="4" t="n"/>
      <c r="AM1094" s="4" t="n"/>
      <c r="AN1094" s="4" t="n"/>
      <c r="AO1094" s="4" t="n"/>
      <c r="AP1094" s="4" t="n"/>
      <c r="AQ1094" s="4" t="n"/>
      <c r="AR1094" s="4" t="n"/>
      <c r="AS1094" s="4" t="n"/>
      <c r="AT1094" s="4" t="n"/>
      <c r="AU1094" s="4" t="n"/>
      <c r="AV1094" s="4" t="n"/>
      <c r="AW1094" s="4" t="n"/>
      <c r="AX1094" s="4" t="n"/>
      <c r="AY1094" s="4" t="n"/>
      <c r="AZ1094" s="4" t="n"/>
      <c r="BA1094" s="4" t="n"/>
      <c r="BB1094" s="4" t="n"/>
      <c r="BC1094" s="4" t="n"/>
      <c r="BD1094" s="4" t="n"/>
      <c r="BE1094" s="4" t="n"/>
      <c r="BF1094" s="4" t="n"/>
      <c r="BG1094" s="4" t="n"/>
      <c r="BH1094" s="4" t="n"/>
      <c r="BI1094" s="4" t="n"/>
      <c r="BJ1094" s="4" t="n"/>
      <c r="BK1094" s="4" t="n"/>
      <c r="BL1094" s="4" t="n"/>
      <c r="BM1094" s="4" t="n"/>
      <c r="BN1094" s="4" t="n"/>
      <c r="BO1094" s="4" t="n"/>
      <c r="BP1094" s="4" t="n"/>
      <c r="BQ1094" s="4" t="n"/>
      <c r="BR1094" s="4" t="n"/>
      <c r="BS1094" s="4" t="n"/>
      <c r="BT1094" s="4" t="n"/>
      <c r="BU1094" s="4" t="n"/>
      <c r="BV1094" s="4" t="n"/>
      <c r="BW1094" s="4" t="n"/>
      <c r="BX1094" s="4" t="n"/>
      <c r="BY1094" s="4" t="n"/>
      <c r="BZ1094" s="4" t="n"/>
      <c r="CA1094" s="4" t="n"/>
      <c r="CB1094" s="4" t="n"/>
      <c r="CC1094" s="4" t="n"/>
      <c r="CD1094" s="4" t="n"/>
      <c r="CE1094" s="4" t="n"/>
      <c r="CF1094" s="4" t="n"/>
      <c r="CG1094" s="4" t="n"/>
      <c r="CH1094" s="4" t="n"/>
      <c r="CI1094" s="4" t="n"/>
      <c r="CJ1094" s="4" t="n"/>
      <c r="CK1094" s="4" t="n"/>
      <c r="CL1094" s="4" t="n"/>
      <c r="CM1094" s="4" t="n"/>
      <c r="CN1094" s="4" t="n"/>
      <c r="CO1094" s="4" t="n"/>
      <c r="CP1094" s="4" t="n"/>
      <c r="CQ1094" s="4" t="n"/>
      <c r="CR1094" s="4" t="n"/>
      <c r="CS1094" s="4" t="n"/>
      <c r="CT1094" s="4" t="n"/>
      <c r="CU1094" s="4" t="n"/>
      <c r="CV1094" s="4" t="n"/>
      <c r="CW1094" s="4" t="n"/>
      <c r="CX1094" s="4" t="n"/>
      <c r="CY1094" s="4" t="n"/>
      <c r="CZ1094" s="4" t="n"/>
      <c r="DA1094" s="4" t="n"/>
      <c r="DB1094" s="4" t="n"/>
      <c r="DC1094" s="4" t="n"/>
      <c r="DD1094" s="4" t="n"/>
      <c r="DE1094" s="4" t="n"/>
      <c r="DF1094" s="4" t="n"/>
      <c r="DG1094" s="4" t="n"/>
      <c r="DH1094" s="4" t="n"/>
      <c r="DI1094" s="4" t="n"/>
      <c r="DJ1094" s="4" t="n"/>
      <c r="DK1094" s="4" t="n"/>
      <c r="DL1094" s="4" t="n"/>
      <c r="DM1094" s="4" t="n"/>
      <c r="DN1094" s="4" t="n"/>
      <c r="DO1094" s="4" t="n"/>
      <c r="DP1094" s="4" t="n"/>
      <c r="DQ1094" s="4" t="n"/>
      <c r="DR1094" s="4" t="n"/>
      <c r="DS1094" s="4" t="n"/>
      <c r="DT1094" s="4" t="n"/>
      <c r="DU1094" s="4" t="n"/>
      <c r="DV1094" s="4" t="n"/>
      <c r="DW1094" s="4" t="n"/>
      <c r="DX1094" s="4" t="n"/>
      <c r="DY1094" s="4" t="n"/>
      <c r="DZ1094" s="4" t="n"/>
      <c r="EA1094" s="4" t="n"/>
      <c r="EB1094" s="4" t="n"/>
      <c r="EC1094" s="4" t="n"/>
      <c r="ED1094" s="4" t="n"/>
      <c r="EE1094" s="4" t="n"/>
      <c r="EF1094" s="4" t="n"/>
      <c r="EG1094" s="4" t="n"/>
      <c r="EH1094" s="4" t="n"/>
      <c r="EI1094" s="4" t="n"/>
      <c r="EJ1094" s="4" t="n"/>
      <c r="EK1094" s="4" t="n"/>
      <c r="EL1094" s="4" t="n"/>
      <c r="EM1094" s="4" t="n"/>
    </row>
    <row r="1095" hidden="1" customFormat="1" s="6">
      <c r="C1095" s="4" t="n"/>
      <c r="D1095" s="4" t="n"/>
      <c r="E1095" s="4" t="n"/>
      <c r="F1095" s="4" t="n"/>
      <c r="G1095" s="4" t="n"/>
      <c r="H1095" s="4" t="n"/>
      <c r="I1095" s="4" t="n"/>
      <c r="J1095" s="4" t="n"/>
      <c r="K1095" s="4" t="n"/>
      <c r="L1095" s="4" t="n"/>
      <c r="M1095" s="4" t="n"/>
      <c r="N1095" s="4" t="n"/>
      <c r="O1095" s="4" t="n"/>
      <c r="P1095" s="4" t="n"/>
      <c r="Q1095" s="4" t="n"/>
      <c r="R1095" s="4" t="n"/>
      <c r="S1095" s="4" t="n"/>
      <c r="T1095" s="4" t="n"/>
      <c r="U1095" s="4" t="n"/>
      <c r="V1095" s="4" t="n"/>
      <c r="W1095" s="4" t="n"/>
      <c r="X1095" s="4" t="n"/>
      <c r="Y1095" s="4" t="n"/>
      <c r="Z1095" s="4" t="n"/>
      <c r="AA1095" s="4" t="n"/>
      <c r="AB1095" s="4" t="n"/>
      <c r="AC1095" s="4" t="n"/>
      <c r="AD1095" s="4" t="n"/>
      <c r="AE1095" s="4" t="n"/>
      <c r="AF1095" s="4" t="n"/>
      <c r="AG1095" s="4" t="n"/>
      <c r="AH1095" s="4" t="n"/>
      <c r="AI1095" s="4" t="n"/>
      <c r="AJ1095" s="4" t="n"/>
      <c r="AK1095" s="4" t="n"/>
      <c r="AL1095" s="4" t="n"/>
      <c r="AM1095" s="4" t="n"/>
      <c r="AN1095" s="4" t="n"/>
      <c r="AO1095" s="4" t="n"/>
      <c r="AP1095" s="4" t="n"/>
      <c r="AQ1095" s="4" t="n"/>
      <c r="AR1095" s="4" t="n"/>
      <c r="AS1095" s="4" t="n"/>
      <c r="AT1095" s="4" t="n"/>
      <c r="AU1095" s="4" t="n"/>
      <c r="AV1095" s="4" t="n"/>
      <c r="AW1095" s="4" t="n"/>
      <c r="AX1095" s="4" t="n"/>
      <c r="AY1095" s="4" t="n"/>
      <c r="AZ1095" s="4" t="n"/>
      <c r="BA1095" s="4" t="n"/>
      <c r="BB1095" s="4" t="n"/>
      <c r="BC1095" s="4" t="n"/>
      <c r="BD1095" s="4" t="n"/>
      <c r="BE1095" s="4" t="n"/>
      <c r="BF1095" s="4" t="n"/>
      <c r="BG1095" s="4" t="n"/>
      <c r="BH1095" s="4" t="n"/>
      <c r="BI1095" s="4" t="n"/>
      <c r="BJ1095" s="4" t="n"/>
      <c r="BK1095" s="4" t="n"/>
      <c r="BL1095" s="4" t="n"/>
      <c r="BM1095" s="4" t="n"/>
      <c r="BN1095" s="4" t="n"/>
      <c r="BO1095" s="4" t="n"/>
      <c r="BP1095" s="4" t="n"/>
      <c r="BQ1095" s="4" t="n"/>
      <c r="BR1095" s="4" t="n"/>
      <c r="BS1095" s="4" t="n"/>
      <c r="BT1095" s="4" t="n"/>
      <c r="BU1095" s="4" t="n"/>
      <c r="BV1095" s="4" t="n"/>
      <c r="BW1095" s="4" t="n"/>
      <c r="BX1095" s="4" t="n"/>
      <c r="BY1095" s="4" t="n"/>
      <c r="BZ1095" s="4" t="n"/>
      <c r="CA1095" s="4" t="n"/>
      <c r="CB1095" s="4" t="n"/>
      <c r="CC1095" s="4" t="n"/>
      <c r="CD1095" s="4" t="n"/>
      <c r="CE1095" s="4" t="n"/>
      <c r="CF1095" s="4" t="n"/>
      <c r="CG1095" s="4" t="n"/>
      <c r="CH1095" s="4" t="n"/>
      <c r="CI1095" s="4" t="n"/>
      <c r="CJ1095" s="4" t="n"/>
      <c r="CK1095" s="4" t="n"/>
      <c r="CL1095" s="4" t="n"/>
      <c r="CM1095" s="4" t="n"/>
      <c r="CN1095" s="4" t="n"/>
      <c r="CO1095" s="4" t="n"/>
      <c r="CP1095" s="4" t="n"/>
      <c r="CQ1095" s="4" t="n"/>
      <c r="CR1095" s="4" t="n"/>
      <c r="CS1095" s="4" t="n"/>
      <c r="CT1095" s="4" t="n"/>
      <c r="CU1095" s="4" t="n"/>
      <c r="CV1095" s="4" t="n"/>
      <c r="CW1095" s="4" t="n"/>
      <c r="CX1095" s="4" t="n"/>
      <c r="CY1095" s="4" t="n"/>
      <c r="CZ1095" s="4" t="n"/>
      <c r="DA1095" s="4" t="n"/>
      <c r="DB1095" s="4" t="n"/>
      <c r="DC1095" s="4" t="n"/>
      <c r="DD1095" s="4" t="n"/>
      <c r="DE1095" s="4" t="n"/>
      <c r="DF1095" s="4" t="n"/>
      <c r="DG1095" s="4" t="n"/>
      <c r="DH1095" s="4" t="n"/>
      <c r="DI1095" s="4" t="n"/>
      <c r="DJ1095" s="4" t="n"/>
      <c r="DK1095" s="4" t="n"/>
      <c r="DL1095" s="4" t="n"/>
      <c r="DM1095" s="4" t="n"/>
      <c r="DN1095" s="4" t="n"/>
      <c r="DO1095" s="4" t="n"/>
      <c r="DP1095" s="4" t="n"/>
      <c r="DQ1095" s="4" t="n"/>
      <c r="DR1095" s="4" t="n"/>
      <c r="DS1095" s="4" t="n"/>
      <c r="DT1095" s="4" t="n"/>
      <c r="DU1095" s="4" t="n"/>
      <c r="DV1095" s="4" t="n"/>
      <c r="DW1095" s="4" t="n"/>
      <c r="DX1095" s="4" t="n"/>
      <c r="DY1095" s="4" t="n"/>
      <c r="DZ1095" s="4" t="n"/>
      <c r="EA1095" s="4" t="n"/>
      <c r="EB1095" s="4" t="n"/>
      <c r="EC1095" s="4" t="n"/>
      <c r="ED1095" s="4" t="n"/>
      <c r="EE1095" s="4" t="n"/>
      <c r="EF1095" s="4" t="n"/>
      <c r="EG1095" s="4" t="n"/>
      <c r="EH1095" s="4" t="n"/>
      <c r="EI1095" s="4" t="n"/>
      <c r="EJ1095" s="4" t="n"/>
      <c r="EK1095" s="4" t="n"/>
      <c r="EL1095" s="4" t="n"/>
      <c r="EM1095" s="4" t="n"/>
    </row>
    <row r="1096" hidden="1" customFormat="1" s="6">
      <c r="C1096" s="4" t="n"/>
      <c r="D1096" s="4" t="n"/>
      <c r="E1096" s="4" t="n"/>
      <c r="F1096" s="4" t="n"/>
      <c r="G1096" s="4" t="n"/>
      <c r="H1096" s="4" t="n"/>
      <c r="I1096" s="4" t="n"/>
      <c r="J1096" s="4" t="n"/>
      <c r="K1096" s="4" t="n"/>
      <c r="L1096" s="4" t="n"/>
      <c r="M1096" s="4" t="n"/>
      <c r="N1096" s="4" t="n"/>
      <c r="O1096" s="4" t="n"/>
      <c r="P1096" s="4" t="n"/>
      <c r="Q1096" s="4" t="n"/>
      <c r="R1096" s="4" t="n"/>
      <c r="S1096" s="4" t="n"/>
      <c r="T1096" s="4" t="n"/>
      <c r="U1096" s="4" t="n"/>
      <c r="V1096" s="4" t="n"/>
      <c r="W1096" s="4" t="n"/>
      <c r="X1096" s="4" t="n"/>
      <c r="Y1096" s="4" t="n"/>
      <c r="Z1096" s="4" t="n"/>
      <c r="AA1096" s="4" t="n"/>
      <c r="AB1096" s="4" t="n"/>
      <c r="AC1096" s="4" t="n"/>
      <c r="AD1096" s="4" t="n"/>
      <c r="AE1096" s="4" t="n"/>
      <c r="AF1096" s="4" t="n"/>
      <c r="AG1096" s="4" t="n"/>
      <c r="AH1096" s="4" t="n"/>
      <c r="AI1096" s="4" t="n"/>
      <c r="AJ1096" s="4" t="n"/>
      <c r="AK1096" s="4" t="n"/>
      <c r="AL1096" s="4" t="n"/>
      <c r="AM1096" s="4" t="n"/>
      <c r="AN1096" s="4" t="n"/>
      <c r="AO1096" s="4" t="n"/>
      <c r="AP1096" s="4" t="n"/>
      <c r="AQ1096" s="4" t="n"/>
      <c r="AR1096" s="4" t="n"/>
      <c r="AS1096" s="4" t="n"/>
      <c r="AT1096" s="4" t="n"/>
      <c r="AU1096" s="4" t="n"/>
      <c r="AV1096" s="4" t="n"/>
      <c r="AW1096" s="4" t="n"/>
      <c r="AX1096" s="4" t="n"/>
      <c r="AY1096" s="4" t="n"/>
      <c r="AZ1096" s="4" t="n"/>
      <c r="BA1096" s="4" t="n"/>
      <c r="BB1096" s="4" t="n"/>
      <c r="BC1096" s="4" t="n"/>
      <c r="BD1096" s="4" t="n"/>
      <c r="BE1096" s="4" t="n"/>
      <c r="BF1096" s="4" t="n"/>
      <c r="BG1096" s="4" t="n"/>
      <c r="BH1096" s="4" t="n"/>
      <c r="BI1096" s="4" t="n"/>
      <c r="BJ1096" s="4" t="n"/>
      <c r="BK1096" s="4" t="n"/>
      <c r="BL1096" s="4" t="n"/>
      <c r="BM1096" s="4" t="n"/>
      <c r="BN1096" s="4" t="n"/>
      <c r="BO1096" s="4" t="n"/>
      <c r="BP1096" s="4" t="n"/>
      <c r="BQ1096" s="4" t="n"/>
      <c r="BR1096" s="4" t="n"/>
      <c r="BS1096" s="4" t="n"/>
      <c r="BT1096" s="4" t="n"/>
      <c r="BU1096" s="4" t="n"/>
      <c r="BV1096" s="4" t="n"/>
      <c r="BW1096" s="4" t="n"/>
      <c r="BX1096" s="4" t="n"/>
      <c r="BY1096" s="4" t="n"/>
      <c r="BZ1096" s="4" t="n"/>
      <c r="CA1096" s="4" t="n"/>
      <c r="CB1096" s="4" t="n"/>
      <c r="CC1096" s="4" t="n"/>
      <c r="CD1096" s="4" t="n"/>
      <c r="CE1096" s="4" t="n"/>
      <c r="CF1096" s="4" t="n"/>
      <c r="CG1096" s="4" t="n"/>
      <c r="CH1096" s="4" t="n"/>
      <c r="CI1096" s="4" t="n"/>
      <c r="CJ1096" s="4" t="n"/>
      <c r="CK1096" s="4" t="n"/>
      <c r="CL1096" s="4" t="n"/>
      <c r="CM1096" s="4" t="n"/>
      <c r="CN1096" s="4" t="n"/>
      <c r="CO1096" s="4" t="n"/>
      <c r="CP1096" s="4" t="n"/>
      <c r="CQ1096" s="4" t="n"/>
      <c r="CR1096" s="4" t="n"/>
      <c r="CS1096" s="4" t="n"/>
      <c r="CT1096" s="4" t="n"/>
      <c r="CU1096" s="4" t="n"/>
      <c r="CV1096" s="4" t="n"/>
      <c r="CW1096" s="4" t="n"/>
      <c r="CX1096" s="4" t="n"/>
      <c r="CY1096" s="4" t="n"/>
      <c r="CZ1096" s="4" t="n"/>
      <c r="DA1096" s="4" t="n"/>
      <c r="DB1096" s="4" t="n"/>
      <c r="DC1096" s="4" t="n"/>
      <c r="DD1096" s="4" t="n"/>
      <c r="DE1096" s="4" t="n"/>
      <c r="DF1096" s="4" t="n"/>
      <c r="DG1096" s="4" t="n"/>
      <c r="DH1096" s="4" t="n"/>
      <c r="DI1096" s="4" t="n"/>
      <c r="DJ1096" s="4" t="n"/>
      <c r="DK1096" s="4" t="n"/>
      <c r="DL1096" s="4" t="n"/>
      <c r="DM1096" s="4" t="n"/>
      <c r="DN1096" s="4" t="n"/>
      <c r="DO1096" s="4" t="n"/>
      <c r="DP1096" s="4" t="n"/>
      <c r="DQ1096" s="4" t="n"/>
      <c r="DR1096" s="4" t="n"/>
      <c r="DS1096" s="4" t="n"/>
      <c r="DT1096" s="4" t="n"/>
      <c r="DU1096" s="4" t="n"/>
      <c r="DV1096" s="4" t="n"/>
      <c r="DW1096" s="4" t="n"/>
      <c r="DX1096" s="4" t="n"/>
      <c r="DY1096" s="4" t="n"/>
      <c r="DZ1096" s="4" t="n"/>
      <c r="EA1096" s="4" t="n"/>
      <c r="EB1096" s="4" t="n"/>
      <c r="EC1096" s="4" t="n"/>
      <c r="ED1096" s="4" t="n"/>
      <c r="EE1096" s="4" t="n"/>
      <c r="EF1096" s="4" t="n"/>
      <c r="EG1096" s="4" t="n"/>
      <c r="EH1096" s="4" t="n"/>
      <c r="EI1096" s="4" t="n"/>
      <c r="EJ1096" s="4" t="n"/>
      <c r="EK1096" s="4" t="n"/>
      <c r="EL1096" s="4" t="n"/>
      <c r="EM1096" s="4" t="n"/>
    </row>
    <row r="1097" hidden="1" customFormat="1" s="6">
      <c r="C1097" s="4" t="n"/>
      <c r="D1097" s="4" t="n"/>
      <c r="E1097" s="4" t="n"/>
      <c r="F1097" s="4" t="n"/>
      <c r="G1097" s="4" t="n"/>
      <c r="H1097" s="4" t="n"/>
      <c r="I1097" s="4" t="n"/>
      <c r="J1097" s="4" t="n"/>
      <c r="K1097" s="4" t="n"/>
      <c r="L1097" s="4" t="n"/>
      <c r="M1097" s="4" t="n"/>
      <c r="N1097" s="4" t="n"/>
      <c r="O1097" s="4" t="n"/>
      <c r="P1097" s="4" t="n"/>
      <c r="Q1097" s="4" t="n"/>
      <c r="R1097" s="4" t="n"/>
      <c r="S1097" s="4" t="n"/>
      <c r="T1097" s="4" t="n"/>
      <c r="U1097" s="4" t="n"/>
      <c r="V1097" s="4" t="n"/>
      <c r="W1097" s="4" t="n"/>
      <c r="X1097" s="4" t="n"/>
      <c r="Y1097" s="4" t="n"/>
      <c r="Z1097" s="4" t="n"/>
      <c r="AA1097" s="4" t="n"/>
      <c r="AB1097" s="4" t="n"/>
      <c r="AC1097" s="4" t="n"/>
      <c r="AD1097" s="4" t="n"/>
      <c r="AE1097" s="4" t="n"/>
      <c r="AF1097" s="4" t="n"/>
      <c r="AG1097" s="4" t="n"/>
      <c r="AH1097" s="4" t="n"/>
      <c r="AI1097" s="4" t="n"/>
      <c r="AJ1097" s="4" t="n"/>
      <c r="AK1097" s="4" t="n"/>
      <c r="AL1097" s="4" t="n"/>
      <c r="AM1097" s="4" t="n"/>
      <c r="AN1097" s="4" t="n"/>
      <c r="AO1097" s="4" t="n"/>
      <c r="AP1097" s="4" t="n"/>
      <c r="AQ1097" s="4" t="n"/>
      <c r="AR1097" s="4" t="n"/>
      <c r="AS1097" s="4" t="n"/>
      <c r="AT1097" s="4" t="n"/>
      <c r="AU1097" s="4" t="n"/>
      <c r="AV1097" s="4" t="n"/>
      <c r="AW1097" s="4" t="n"/>
      <c r="AX1097" s="4" t="n"/>
      <c r="AY1097" s="4" t="n"/>
      <c r="AZ1097" s="4" t="n"/>
      <c r="BA1097" s="4" t="n"/>
      <c r="BB1097" s="4" t="n"/>
      <c r="BC1097" s="4" t="n"/>
      <c r="BD1097" s="4" t="n"/>
      <c r="BE1097" s="4" t="n"/>
      <c r="BF1097" s="4" t="n"/>
      <c r="BG1097" s="4" t="n"/>
      <c r="BH1097" s="4" t="n"/>
      <c r="BI1097" s="4" t="n"/>
      <c r="BJ1097" s="4" t="n"/>
      <c r="BK1097" s="4" t="n"/>
      <c r="BL1097" s="4" t="n"/>
      <c r="BM1097" s="4" t="n"/>
      <c r="BN1097" s="4" t="n"/>
      <c r="BO1097" s="4" t="n"/>
      <c r="BP1097" s="4" t="n"/>
      <c r="BQ1097" s="4" t="n"/>
      <c r="BR1097" s="4" t="n"/>
      <c r="BS1097" s="4" t="n"/>
      <c r="BT1097" s="4" t="n"/>
      <c r="BU1097" s="4" t="n"/>
      <c r="BV1097" s="4" t="n"/>
      <c r="BW1097" s="4" t="n"/>
      <c r="BX1097" s="4" t="n"/>
      <c r="BY1097" s="4" t="n"/>
      <c r="BZ1097" s="4" t="n"/>
      <c r="CA1097" s="4" t="n"/>
      <c r="CB1097" s="4" t="n"/>
      <c r="CC1097" s="4" t="n"/>
      <c r="CD1097" s="4" t="n"/>
      <c r="CE1097" s="4" t="n"/>
      <c r="CF1097" s="4" t="n"/>
      <c r="CG1097" s="4" t="n"/>
      <c r="CH1097" s="4" t="n"/>
      <c r="CI1097" s="4" t="n"/>
      <c r="CJ1097" s="4" t="n"/>
      <c r="CK1097" s="4" t="n"/>
      <c r="CL1097" s="4" t="n"/>
      <c r="CM1097" s="4" t="n"/>
      <c r="CN1097" s="4" t="n"/>
      <c r="CO1097" s="4" t="n"/>
      <c r="CP1097" s="4" t="n"/>
      <c r="CQ1097" s="4" t="n"/>
      <c r="CR1097" s="4" t="n"/>
      <c r="CS1097" s="4" t="n"/>
      <c r="CT1097" s="4" t="n"/>
      <c r="CU1097" s="4" t="n"/>
      <c r="CV1097" s="4" t="n"/>
      <c r="CW1097" s="4" t="n"/>
      <c r="CX1097" s="4" t="n"/>
      <c r="CY1097" s="4" t="n"/>
      <c r="CZ1097" s="4" t="n"/>
      <c r="DA1097" s="4" t="n"/>
      <c r="DB1097" s="4" t="n"/>
      <c r="DC1097" s="4" t="n"/>
      <c r="DD1097" s="4" t="n"/>
      <c r="DE1097" s="4" t="n"/>
      <c r="DF1097" s="4" t="n"/>
      <c r="DG1097" s="4" t="n"/>
      <c r="DH1097" s="4" t="n"/>
      <c r="DI1097" s="4" t="n"/>
      <c r="DJ1097" s="4" t="n"/>
      <c r="DK1097" s="4" t="n"/>
      <c r="DL1097" s="4" t="n"/>
      <c r="DM1097" s="4" t="n"/>
      <c r="DN1097" s="4" t="n"/>
      <c r="DO1097" s="4" t="n"/>
      <c r="DP1097" s="4" t="n"/>
      <c r="DQ1097" s="4" t="n"/>
      <c r="DR1097" s="4" t="n"/>
      <c r="DS1097" s="4" t="n"/>
      <c r="DT1097" s="4" t="n"/>
      <c r="DU1097" s="4" t="n"/>
      <c r="DV1097" s="4" t="n"/>
      <c r="DW1097" s="4" t="n"/>
      <c r="DX1097" s="4" t="n"/>
      <c r="DY1097" s="4" t="n"/>
      <c r="DZ1097" s="4" t="n"/>
      <c r="EA1097" s="4" t="n"/>
      <c r="EB1097" s="4" t="n"/>
      <c r="EC1097" s="4" t="n"/>
      <c r="ED1097" s="4" t="n"/>
      <c r="EE1097" s="4" t="n"/>
      <c r="EF1097" s="4" t="n"/>
      <c r="EG1097" s="4" t="n"/>
      <c r="EH1097" s="4" t="n"/>
      <c r="EI1097" s="4" t="n"/>
      <c r="EJ1097" s="4" t="n"/>
      <c r="EK1097" s="4" t="n"/>
      <c r="EL1097" s="4" t="n"/>
      <c r="EM1097" s="4" t="n"/>
    </row>
    <row r="1098" hidden="1" customFormat="1" s="6">
      <c r="C1098" s="4" t="n"/>
      <c r="D1098" s="4" t="n"/>
      <c r="E1098" s="4" t="n"/>
      <c r="F1098" s="4" t="n"/>
      <c r="G1098" s="4" t="n"/>
      <c r="H1098" s="4" t="n"/>
      <c r="I1098" s="4" t="n"/>
      <c r="J1098" s="4" t="n"/>
      <c r="K1098" s="4" t="n"/>
      <c r="L1098" s="4" t="n"/>
      <c r="M1098" s="4" t="n"/>
      <c r="N1098" s="4" t="n"/>
      <c r="O1098" s="4" t="n"/>
      <c r="P1098" s="4" t="n"/>
      <c r="Q1098" s="4" t="n"/>
      <c r="R1098" s="4" t="n"/>
      <c r="S1098" s="4" t="n"/>
      <c r="T1098" s="4" t="n"/>
      <c r="U1098" s="4" t="n"/>
      <c r="V1098" s="4" t="n"/>
      <c r="W1098" s="4" t="n"/>
      <c r="X1098" s="4" t="n"/>
      <c r="Y1098" s="4" t="n"/>
      <c r="Z1098" s="4" t="n"/>
      <c r="AA1098" s="4" t="n"/>
      <c r="AB1098" s="4" t="n"/>
      <c r="AC1098" s="4" t="n"/>
      <c r="AD1098" s="4" t="n"/>
      <c r="AE1098" s="4" t="n"/>
      <c r="AF1098" s="4" t="n"/>
      <c r="AG1098" s="4" t="n"/>
      <c r="AH1098" s="4" t="n"/>
      <c r="AI1098" s="4" t="n"/>
      <c r="AJ1098" s="4" t="n"/>
      <c r="AK1098" s="4" t="n"/>
      <c r="AL1098" s="4" t="n"/>
      <c r="AM1098" s="4" t="n"/>
      <c r="AN1098" s="4" t="n"/>
      <c r="AO1098" s="4" t="n"/>
      <c r="AP1098" s="4" t="n"/>
      <c r="AQ1098" s="4" t="n"/>
      <c r="AR1098" s="4" t="n"/>
      <c r="AS1098" s="4" t="n"/>
      <c r="AT1098" s="4" t="n"/>
      <c r="AU1098" s="4" t="n"/>
      <c r="AV1098" s="4" t="n"/>
      <c r="AW1098" s="4" t="n"/>
      <c r="AX1098" s="4" t="n"/>
      <c r="AY1098" s="4" t="n"/>
      <c r="AZ1098" s="4" t="n"/>
      <c r="BA1098" s="4" t="n"/>
      <c r="BB1098" s="4" t="n"/>
      <c r="BC1098" s="4" t="n"/>
      <c r="BD1098" s="4" t="n"/>
      <c r="BE1098" s="4" t="n"/>
      <c r="BF1098" s="4" t="n"/>
      <c r="BG1098" s="4" t="n"/>
      <c r="BH1098" s="4" t="n"/>
      <c r="BI1098" s="4" t="n"/>
      <c r="BJ1098" s="4" t="n"/>
      <c r="BK1098" s="4" t="n"/>
      <c r="BL1098" s="4" t="n"/>
      <c r="BM1098" s="4" t="n"/>
      <c r="BN1098" s="4" t="n"/>
      <c r="BO1098" s="4" t="n"/>
      <c r="BP1098" s="4" t="n"/>
      <c r="BQ1098" s="4" t="n"/>
      <c r="BR1098" s="4" t="n"/>
      <c r="BS1098" s="4" t="n"/>
      <c r="BT1098" s="4" t="n"/>
      <c r="BU1098" s="4" t="n"/>
      <c r="BV1098" s="4" t="n"/>
      <c r="BW1098" s="4" t="n"/>
      <c r="BX1098" s="4" t="n"/>
      <c r="BY1098" s="4" t="n"/>
      <c r="BZ1098" s="4" t="n"/>
      <c r="CA1098" s="4" t="n"/>
      <c r="CB1098" s="4" t="n"/>
      <c r="CC1098" s="4" t="n"/>
      <c r="CD1098" s="4" t="n"/>
      <c r="CE1098" s="4" t="n"/>
      <c r="CF1098" s="4" t="n"/>
      <c r="CG1098" s="4" t="n"/>
      <c r="CH1098" s="4" t="n"/>
      <c r="CI1098" s="4" t="n"/>
      <c r="CJ1098" s="4" t="n"/>
      <c r="CK1098" s="4" t="n"/>
      <c r="CL1098" s="4" t="n"/>
      <c r="CM1098" s="4" t="n"/>
      <c r="CN1098" s="4" t="n"/>
      <c r="CO1098" s="4" t="n"/>
      <c r="CP1098" s="4" t="n"/>
      <c r="CQ1098" s="4" t="n"/>
      <c r="CR1098" s="4" t="n"/>
      <c r="CS1098" s="4" t="n"/>
      <c r="CT1098" s="4" t="n"/>
      <c r="CU1098" s="4" t="n"/>
      <c r="CV1098" s="4" t="n"/>
      <c r="CW1098" s="4" t="n"/>
      <c r="CX1098" s="4" t="n"/>
      <c r="CY1098" s="4" t="n"/>
      <c r="CZ1098" s="4" t="n"/>
      <c r="DA1098" s="4" t="n"/>
      <c r="DB1098" s="4" t="n"/>
      <c r="DC1098" s="4" t="n"/>
      <c r="DD1098" s="4" t="n"/>
      <c r="DE1098" s="4" t="n"/>
      <c r="DF1098" s="4" t="n"/>
      <c r="DG1098" s="4" t="n"/>
      <c r="DH1098" s="4" t="n"/>
      <c r="DI1098" s="4" t="n"/>
      <c r="DJ1098" s="4" t="n"/>
      <c r="DK1098" s="4" t="n"/>
      <c r="DL1098" s="4" t="n"/>
      <c r="DM1098" s="4" t="n"/>
      <c r="DN1098" s="4" t="n"/>
      <c r="DO1098" s="4" t="n"/>
      <c r="DP1098" s="4" t="n"/>
      <c r="DQ1098" s="4" t="n"/>
      <c r="DR1098" s="4" t="n"/>
      <c r="DS1098" s="4" t="n"/>
      <c r="DT1098" s="4" t="n"/>
      <c r="DU1098" s="4" t="n"/>
      <c r="DV1098" s="4" t="n"/>
      <c r="DW1098" s="4" t="n"/>
      <c r="DX1098" s="4" t="n"/>
      <c r="DY1098" s="4" t="n"/>
      <c r="DZ1098" s="4" t="n"/>
      <c r="EA1098" s="4" t="n"/>
      <c r="EB1098" s="4" t="n"/>
      <c r="EC1098" s="4" t="n"/>
      <c r="ED1098" s="4" t="n"/>
      <c r="EE1098" s="4" t="n"/>
      <c r="EF1098" s="4" t="n"/>
      <c r="EG1098" s="4" t="n"/>
      <c r="EH1098" s="4" t="n"/>
      <c r="EI1098" s="4" t="n"/>
      <c r="EJ1098" s="4" t="n"/>
      <c r="EK1098" s="4" t="n"/>
      <c r="EL1098" s="4" t="n"/>
      <c r="EM1098" s="4" t="n"/>
    </row>
    <row r="1099" hidden="1" customFormat="1" s="6">
      <c r="C1099" s="4" t="n"/>
      <c r="D1099" s="4" t="n"/>
      <c r="E1099" s="4" t="n"/>
      <c r="F1099" s="4" t="n"/>
      <c r="G1099" s="4" t="n"/>
      <c r="H1099" s="4" t="n"/>
      <c r="I1099" s="4" t="n"/>
      <c r="J1099" s="4" t="n"/>
      <c r="K1099" s="4" t="n"/>
      <c r="L1099" s="4" t="n"/>
      <c r="M1099" s="4" t="n"/>
      <c r="N1099" s="4" t="n"/>
      <c r="O1099" s="4" t="n"/>
      <c r="P1099" s="4" t="n"/>
      <c r="Q1099" s="4" t="n"/>
      <c r="R1099" s="4" t="n"/>
      <c r="S1099" s="4" t="n"/>
      <c r="T1099" s="4" t="n"/>
      <c r="U1099" s="4" t="n"/>
      <c r="V1099" s="4" t="n"/>
      <c r="W1099" s="4" t="n"/>
      <c r="X1099" s="4" t="n"/>
      <c r="Y1099" s="4" t="n"/>
      <c r="Z1099" s="4" t="n"/>
      <c r="AA1099" s="4" t="n"/>
      <c r="AB1099" s="4" t="n"/>
      <c r="AC1099" s="4" t="n"/>
      <c r="AD1099" s="4" t="n"/>
      <c r="AE1099" s="4" t="n"/>
      <c r="AF1099" s="4" t="n"/>
      <c r="AG1099" s="4" t="n"/>
      <c r="AH1099" s="4" t="n"/>
      <c r="AI1099" s="4" t="n"/>
      <c r="AJ1099" s="4" t="n"/>
      <c r="AK1099" s="4" t="n"/>
      <c r="AL1099" s="4" t="n"/>
      <c r="AM1099" s="4" t="n"/>
      <c r="AN1099" s="4" t="n"/>
      <c r="AO1099" s="4" t="n"/>
      <c r="AP1099" s="4" t="n"/>
      <c r="AQ1099" s="4" t="n"/>
      <c r="AR1099" s="4" t="n"/>
      <c r="AS1099" s="4" t="n"/>
      <c r="AT1099" s="4" t="n"/>
      <c r="AU1099" s="4" t="n"/>
      <c r="AV1099" s="4" t="n"/>
      <c r="AW1099" s="4" t="n"/>
      <c r="AX1099" s="4" t="n"/>
      <c r="AY1099" s="4" t="n"/>
      <c r="AZ1099" s="4" t="n"/>
      <c r="BA1099" s="4" t="n"/>
      <c r="BB1099" s="4" t="n"/>
      <c r="BC1099" s="4" t="n"/>
      <c r="BD1099" s="4" t="n"/>
      <c r="BE1099" s="4" t="n"/>
      <c r="BF1099" s="4" t="n"/>
      <c r="BG1099" s="4" t="n"/>
      <c r="BH1099" s="4" t="n"/>
      <c r="BI1099" s="4" t="n"/>
      <c r="BJ1099" s="4" t="n"/>
      <c r="BK1099" s="4" t="n"/>
      <c r="BL1099" s="4" t="n"/>
      <c r="BM1099" s="4" t="n"/>
      <c r="BN1099" s="4" t="n"/>
      <c r="BO1099" s="4" t="n"/>
      <c r="BP1099" s="4" t="n"/>
      <c r="BQ1099" s="4" t="n"/>
      <c r="BR1099" s="4" t="n"/>
      <c r="BS1099" s="4" t="n"/>
      <c r="BT1099" s="4" t="n"/>
      <c r="BU1099" s="4" t="n"/>
      <c r="BV1099" s="4" t="n"/>
      <c r="BW1099" s="4" t="n"/>
      <c r="BX1099" s="4" t="n"/>
      <c r="BY1099" s="4" t="n"/>
      <c r="BZ1099" s="4" t="n"/>
      <c r="CA1099" s="4" t="n"/>
      <c r="CB1099" s="4" t="n"/>
      <c r="CC1099" s="4" t="n"/>
      <c r="CD1099" s="4" t="n"/>
      <c r="CE1099" s="4" t="n"/>
      <c r="CF1099" s="4" t="n"/>
      <c r="CG1099" s="4" t="n"/>
      <c r="CH1099" s="4" t="n"/>
      <c r="CI1099" s="4" t="n"/>
      <c r="CJ1099" s="4" t="n"/>
      <c r="CK1099" s="4" t="n"/>
      <c r="CL1099" s="4" t="n"/>
      <c r="CM1099" s="4" t="n"/>
      <c r="CN1099" s="4" t="n"/>
      <c r="CO1099" s="4" t="n"/>
      <c r="CP1099" s="4" t="n"/>
      <c r="CQ1099" s="4" t="n"/>
      <c r="CR1099" s="4" t="n"/>
      <c r="CS1099" s="4" t="n"/>
      <c r="CT1099" s="4" t="n"/>
      <c r="CU1099" s="4" t="n"/>
      <c r="CV1099" s="4" t="n"/>
      <c r="CW1099" s="4" t="n"/>
      <c r="CX1099" s="4" t="n"/>
      <c r="CY1099" s="4" t="n"/>
      <c r="CZ1099" s="4" t="n"/>
      <c r="DA1099" s="4" t="n"/>
      <c r="DB1099" s="4" t="n"/>
      <c r="DC1099" s="4" t="n"/>
      <c r="DD1099" s="4" t="n"/>
      <c r="DE1099" s="4" t="n"/>
      <c r="DF1099" s="4" t="n"/>
      <c r="DG1099" s="4" t="n"/>
      <c r="DH1099" s="4" t="n"/>
      <c r="DI1099" s="4" t="n"/>
      <c r="DJ1099" s="4" t="n"/>
      <c r="DK1099" s="4" t="n"/>
      <c r="DL1099" s="4" t="n"/>
      <c r="DM1099" s="4" t="n"/>
      <c r="DN1099" s="4" t="n"/>
      <c r="DO1099" s="4" t="n"/>
      <c r="DP1099" s="4" t="n"/>
      <c r="DQ1099" s="4" t="n"/>
      <c r="DR1099" s="4" t="n"/>
      <c r="DS1099" s="4" t="n"/>
      <c r="DT1099" s="4" t="n"/>
      <c r="DU1099" s="4" t="n"/>
      <c r="DV1099" s="4" t="n"/>
      <c r="DW1099" s="4" t="n"/>
      <c r="DX1099" s="4" t="n"/>
      <c r="DY1099" s="4" t="n"/>
      <c r="DZ1099" s="4" t="n"/>
      <c r="EA1099" s="4" t="n"/>
      <c r="EB1099" s="4" t="n"/>
      <c r="EC1099" s="4" t="n"/>
      <c r="ED1099" s="4" t="n"/>
      <c r="EE1099" s="4" t="n"/>
      <c r="EF1099" s="4" t="n"/>
      <c r="EG1099" s="4" t="n"/>
      <c r="EH1099" s="4" t="n"/>
      <c r="EI1099" s="4" t="n"/>
      <c r="EJ1099" s="4" t="n"/>
      <c r="EK1099" s="4" t="n"/>
      <c r="EL1099" s="4" t="n"/>
      <c r="EM1099" s="4" t="n"/>
    </row>
    <row r="1100" hidden="1" customFormat="1" s="6">
      <c r="C1100" s="4" t="n"/>
      <c r="D1100" s="4" t="n"/>
      <c r="E1100" s="4" t="n"/>
      <c r="F1100" s="4" t="n"/>
      <c r="G1100" s="4" t="n"/>
      <c r="H1100" s="4" t="n"/>
      <c r="I1100" s="4" t="n"/>
      <c r="J1100" s="4" t="n"/>
      <c r="K1100" s="4" t="n"/>
      <c r="L1100" s="4" t="n"/>
      <c r="M1100" s="4" t="n"/>
      <c r="N1100" s="4" t="n"/>
      <c r="O1100" s="4" t="n"/>
      <c r="P1100" s="4" t="n"/>
      <c r="Q1100" s="4" t="n"/>
      <c r="R1100" s="4" t="n"/>
      <c r="S1100" s="4" t="n"/>
      <c r="T1100" s="4" t="n"/>
      <c r="U1100" s="4" t="n"/>
      <c r="V1100" s="4" t="n"/>
      <c r="W1100" s="4" t="n"/>
      <c r="X1100" s="4" t="n"/>
      <c r="Y1100" s="4" t="n"/>
      <c r="Z1100" s="4" t="n"/>
      <c r="AA1100" s="4" t="n"/>
      <c r="AB1100" s="4" t="n"/>
      <c r="AC1100" s="4" t="n"/>
      <c r="AD1100" s="4" t="n"/>
      <c r="AE1100" s="4" t="n"/>
      <c r="AF1100" s="4" t="n"/>
      <c r="AG1100" s="4" t="n"/>
      <c r="AH1100" s="4" t="n"/>
      <c r="AI1100" s="4" t="n"/>
      <c r="AJ1100" s="4" t="n"/>
      <c r="AK1100" s="4" t="n"/>
      <c r="AL1100" s="4" t="n"/>
      <c r="AM1100" s="4" t="n"/>
      <c r="AN1100" s="4" t="n"/>
      <c r="AO1100" s="4" t="n"/>
      <c r="AP1100" s="4" t="n"/>
      <c r="AQ1100" s="4" t="n"/>
      <c r="AR1100" s="4" t="n"/>
      <c r="AS1100" s="4" t="n"/>
      <c r="AT1100" s="4" t="n"/>
      <c r="AU1100" s="4" t="n"/>
      <c r="AV1100" s="4" t="n"/>
      <c r="AW1100" s="4" t="n"/>
      <c r="AX1100" s="4" t="n"/>
      <c r="AY1100" s="4" t="n"/>
      <c r="AZ1100" s="4" t="n"/>
      <c r="BA1100" s="4" t="n"/>
      <c r="BB1100" s="4" t="n"/>
      <c r="BC1100" s="4" t="n"/>
      <c r="BD1100" s="4" t="n"/>
      <c r="BE1100" s="4" t="n"/>
      <c r="BF1100" s="4" t="n"/>
      <c r="BG1100" s="4" t="n"/>
      <c r="BH1100" s="4" t="n"/>
      <c r="BI1100" s="4" t="n"/>
      <c r="BJ1100" s="4" t="n"/>
      <c r="BK1100" s="4" t="n"/>
      <c r="BL1100" s="4" t="n"/>
      <c r="BM1100" s="4" t="n"/>
      <c r="BN1100" s="4" t="n"/>
      <c r="BO1100" s="4" t="n"/>
      <c r="BP1100" s="4" t="n"/>
      <c r="BQ1100" s="4" t="n"/>
      <c r="BR1100" s="4" t="n"/>
      <c r="BS1100" s="4" t="n"/>
      <c r="BT1100" s="4" t="n"/>
      <c r="BU1100" s="4" t="n"/>
      <c r="BV1100" s="4" t="n"/>
      <c r="BW1100" s="4" t="n"/>
      <c r="BX1100" s="4" t="n"/>
      <c r="BY1100" s="4" t="n"/>
      <c r="BZ1100" s="4" t="n"/>
      <c r="CA1100" s="4" t="n"/>
      <c r="CB1100" s="4" t="n"/>
      <c r="CC1100" s="4" t="n"/>
      <c r="CD1100" s="4" t="n"/>
      <c r="CE1100" s="4" t="n"/>
      <c r="CF1100" s="4" t="n"/>
      <c r="CG1100" s="4" t="n"/>
      <c r="CH1100" s="4" t="n"/>
      <c r="CI1100" s="4" t="n"/>
      <c r="CJ1100" s="4" t="n"/>
      <c r="CK1100" s="4" t="n"/>
      <c r="CL1100" s="4" t="n"/>
      <c r="CM1100" s="4" t="n"/>
      <c r="CN1100" s="4" t="n"/>
      <c r="CO1100" s="4" t="n"/>
      <c r="CP1100" s="4" t="n"/>
      <c r="CQ1100" s="4" t="n"/>
      <c r="CR1100" s="4" t="n"/>
      <c r="CS1100" s="4" t="n"/>
      <c r="CT1100" s="4" t="n"/>
      <c r="CU1100" s="4" t="n"/>
      <c r="CV1100" s="4" t="n"/>
      <c r="CW1100" s="4" t="n"/>
      <c r="CX1100" s="4" t="n"/>
      <c r="CY1100" s="4" t="n"/>
      <c r="CZ1100" s="4" t="n"/>
      <c r="DA1100" s="4" t="n"/>
      <c r="DB1100" s="4" t="n"/>
      <c r="DC1100" s="4" t="n"/>
      <c r="DD1100" s="4" t="n"/>
      <c r="DE1100" s="4" t="n"/>
      <c r="DF1100" s="4" t="n"/>
      <c r="DG1100" s="4" t="n"/>
      <c r="DH1100" s="4" t="n"/>
      <c r="DI1100" s="4" t="n"/>
      <c r="DJ1100" s="4" t="n"/>
      <c r="DK1100" s="4" t="n"/>
      <c r="DL1100" s="4" t="n"/>
      <c r="DM1100" s="4" t="n"/>
      <c r="DN1100" s="4" t="n"/>
      <c r="DO1100" s="4" t="n"/>
      <c r="DP1100" s="4" t="n"/>
      <c r="DQ1100" s="4" t="n"/>
      <c r="DR1100" s="4" t="n"/>
      <c r="DS1100" s="4" t="n"/>
      <c r="DT1100" s="4" t="n"/>
      <c r="DU1100" s="4" t="n"/>
      <c r="DV1100" s="4" t="n"/>
      <c r="DW1100" s="4" t="n"/>
      <c r="DX1100" s="4" t="n"/>
      <c r="DY1100" s="4" t="n"/>
      <c r="DZ1100" s="4" t="n"/>
      <c r="EA1100" s="4" t="n"/>
      <c r="EB1100" s="4" t="n"/>
      <c r="EC1100" s="4" t="n"/>
      <c r="ED1100" s="4" t="n"/>
      <c r="EE1100" s="4" t="n"/>
      <c r="EF1100" s="4" t="n"/>
      <c r="EG1100" s="4" t="n"/>
      <c r="EH1100" s="4" t="n"/>
      <c r="EI1100" s="4" t="n"/>
      <c r="EJ1100" s="4" t="n"/>
      <c r="EK1100" s="4" t="n"/>
      <c r="EL1100" s="4" t="n"/>
      <c r="EM1100" s="4" t="n"/>
    </row>
    <row r="1101" hidden="1" customFormat="1" s="6">
      <c r="C1101" s="4" t="n"/>
      <c r="D1101" s="4" t="n"/>
      <c r="E1101" s="4" t="n"/>
      <c r="F1101" s="4" t="n"/>
      <c r="G1101" s="4" t="n"/>
      <c r="H1101" s="4" t="n"/>
      <c r="I1101" s="4" t="n"/>
      <c r="J1101" s="4" t="n"/>
      <c r="K1101" s="4" t="n"/>
      <c r="L1101" s="4" t="n"/>
      <c r="M1101" s="4" t="n"/>
      <c r="N1101" s="4" t="n"/>
      <c r="O1101" s="4" t="n"/>
      <c r="P1101" s="4" t="n"/>
      <c r="Q1101" s="4" t="n"/>
      <c r="R1101" s="4" t="n"/>
      <c r="S1101" s="4" t="n"/>
      <c r="T1101" s="4" t="n"/>
      <c r="U1101" s="4" t="n"/>
      <c r="V1101" s="4" t="n"/>
      <c r="W1101" s="4" t="n"/>
      <c r="X1101" s="4" t="n"/>
      <c r="Y1101" s="4" t="n"/>
      <c r="Z1101" s="4" t="n"/>
      <c r="AA1101" s="4" t="n"/>
      <c r="AB1101" s="4" t="n"/>
      <c r="AC1101" s="4" t="n"/>
      <c r="AD1101" s="4" t="n"/>
      <c r="AE1101" s="4" t="n"/>
      <c r="AF1101" s="4" t="n"/>
      <c r="AG1101" s="4" t="n"/>
      <c r="AH1101" s="4" t="n"/>
      <c r="AI1101" s="4" t="n"/>
      <c r="AJ1101" s="4" t="n"/>
      <c r="AK1101" s="4" t="n"/>
      <c r="AL1101" s="4" t="n"/>
      <c r="AM1101" s="4" t="n"/>
      <c r="AN1101" s="4" t="n"/>
      <c r="AO1101" s="4" t="n"/>
      <c r="AP1101" s="4" t="n"/>
      <c r="AQ1101" s="4" t="n"/>
      <c r="AR1101" s="4" t="n"/>
      <c r="AS1101" s="4" t="n"/>
      <c r="AT1101" s="4" t="n"/>
      <c r="AU1101" s="4" t="n"/>
      <c r="AV1101" s="4" t="n"/>
      <c r="AW1101" s="4" t="n"/>
      <c r="AX1101" s="4" t="n"/>
      <c r="AY1101" s="4" t="n"/>
      <c r="AZ1101" s="4" t="n"/>
      <c r="BA1101" s="4" t="n"/>
      <c r="BB1101" s="4" t="n"/>
      <c r="BC1101" s="4" t="n"/>
      <c r="BD1101" s="4" t="n"/>
      <c r="BE1101" s="4" t="n"/>
      <c r="BF1101" s="4" t="n"/>
      <c r="BG1101" s="4" t="n"/>
      <c r="BH1101" s="4" t="n"/>
      <c r="BI1101" s="4" t="n"/>
      <c r="BJ1101" s="4" t="n"/>
      <c r="BK1101" s="4" t="n"/>
      <c r="BL1101" s="4" t="n"/>
      <c r="BM1101" s="4" t="n"/>
      <c r="BN1101" s="4" t="n"/>
      <c r="BO1101" s="4" t="n"/>
      <c r="BP1101" s="4" t="n"/>
      <c r="BQ1101" s="4" t="n"/>
      <c r="BR1101" s="4" t="n"/>
      <c r="BS1101" s="4" t="n"/>
      <c r="BT1101" s="4" t="n"/>
      <c r="BU1101" s="4" t="n"/>
      <c r="BV1101" s="4" t="n"/>
      <c r="BW1101" s="4" t="n"/>
      <c r="BX1101" s="4" t="n"/>
      <c r="BY1101" s="4" t="n"/>
      <c r="BZ1101" s="4" t="n"/>
      <c r="CA1101" s="4" t="n"/>
      <c r="CB1101" s="4" t="n"/>
      <c r="CC1101" s="4" t="n"/>
      <c r="CD1101" s="4" t="n"/>
      <c r="CE1101" s="4" t="n"/>
      <c r="CF1101" s="4" t="n"/>
      <c r="CG1101" s="4" t="n"/>
      <c r="CH1101" s="4" t="n"/>
      <c r="CI1101" s="4" t="n"/>
      <c r="CJ1101" s="4" t="n"/>
      <c r="CK1101" s="4" t="n"/>
      <c r="CL1101" s="4" t="n"/>
      <c r="CM1101" s="4" t="n"/>
      <c r="CN1101" s="4" t="n"/>
      <c r="CO1101" s="4" t="n"/>
      <c r="CP1101" s="4" t="n"/>
      <c r="CQ1101" s="4" t="n"/>
      <c r="CR1101" s="4" t="n"/>
      <c r="CS1101" s="4" t="n"/>
      <c r="CT1101" s="4" t="n"/>
      <c r="CU1101" s="4" t="n"/>
      <c r="CV1101" s="4" t="n"/>
      <c r="CW1101" s="4" t="n"/>
      <c r="CX1101" s="4" t="n"/>
      <c r="CY1101" s="4" t="n"/>
      <c r="CZ1101" s="4" t="n"/>
      <c r="DA1101" s="4" t="n"/>
      <c r="DB1101" s="4" t="n"/>
      <c r="DC1101" s="4" t="n"/>
      <c r="DD1101" s="4" t="n"/>
      <c r="DE1101" s="4" t="n"/>
      <c r="DF1101" s="4" t="n"/>
      <c r="DG1101" s="4" t="n"/>
      <c r="DH1101" s="4" t="n"/>
      <c r="DI1101" s="4" t="n"/>
      <c r="DJ1101" s="4" t="n"/>
      <c r="DK1101" s="4" t="n"/>
      <c r="DL1101" s="4" t="n"/>
      <c r="DM1101" s="4" t="n"/>
      <c r="DN1101" s="4" t="n"/>
      <c r="DO1101" s="4" t="n"/>
      <c r="DP1101" s="4" t="n"/>
      <c r="DQ1101" s="4" t="n"/>
      <c r="DR1101" s="4" t="n"/>
      <c r="DS1101" s="4" t="n"/>
      <c r="DT1101" s="4" t="n"/>
      <c r="DU1101" s="4" t="n"/>
      <c r="DV1101" s="4" t="n"/>
      <c r="DW1101" s="4" t="n"/>
      <c r="DX1101" s="4" t="n"/>
      <c r="DY1101" s="4" t="n"/>
      <c r="DZ1101" s="4" t="n"/>
      <c r="EA1101" s="4" t="n"/>
      <c r="EB1101" s="4" t="n"/>
      <c r="EC1101" s="4" t="n"/>
      <c r="ED1101" s="4" t="n"/>
      <c r="EE1101" s="4" t="n"/>
      <c r="EF1101" s="4" t="n"/>
      <c r="EG1101" s="4" t="n"/>
      <c r="EH1101" s="4" t="n"/>
      <c r="EI1101" s="4" t="n"/>
      <c r="EJ1101" s="4" t="n"/>
      <c r="EK1101" s="4" t="n"/>
      <c r="EL1101" s="4" t="n"/>
      <c r="EM1101" s="4" t="n"/>
    </row>
    <row r="1102" hidden="1" customFormat="1" s="6">
      <c r="C1102" s="4" t="n"/>
      <c r="D1102" s="4" t="n"/>
      <c r="E1102" s="4" t="n"/>
      <c r="F1102" s="4" t="n"/>
      <c r="G1102" s="4" t="n"/>
      <c r="H1102" s="4" t="n"/>
      <c r="I1102" s="4" t="n"/>
      <c r="J1102" s="4" t="n"/>
      <c r="K1102" s="4" t="n"/>
      <c r="L1102" s="4" t="n"/>
      <c r="M1102" s="4" t="n"/>
      <c r="N1102" s="4" t="n"/>
      <c r="O1102" s="4" t="n"/>
      <c r="P1102" s="4" t="n"/>
      <c r="Q1102" s="4" t="n"/>
      <c r="R1102" s="4" t="n"/>
      <c r="S1102" s="4" t="n"/>
      <c r="T1102" s="4" t="n"/>
      <c r="U1102" s="4" t="n"/>
      <c r="V1102" s="4" t="n"/>
      <c r="W1102" s="4" t="n"/>
      <c r="X1102" s="4" t="n"/>
      <c r="Y1102" s="4" t="n"/>
      <c r="Z1102" s="4" t="n"/>
      <c r="AA1102" s="4" t="n"/>
      <c r="AB1102" s="4" t="n"/>
      <c r="AC1102" s="4" t="n"/>
      <c r="AD1102" s="4" t="n"/>
      <c r="AE1102" s="4" t="n"/>
      <c r="AF1102" s="4" t="n"/>
      <c r="AG1102" s="4" t="n"/>
      <c r="AH1102" s="4" t="n"/>
      <c r="AI1102" s="4" t="n"/>
      <c r="AJ1102" s="4" t="n"/>
      <c r="AK1102" s="4" t="n"/>
      <c r="AL1102" s="4" t="n"/>
      <c r="AM1102" s="4" t="n"/>
      <c r="AN1102" s="4" t="n"/>
      <c r="AO1102" s="4" t="n"/>
      <c r="AP1102" s="4" t="n"/>
      <c r="AQ1102" s="4" t="n"/>
      <c r="AR1102" s="4" t="n"/>
      <c r="AS1102" s="4" t="n"/>
      <c r="AT1102" s="4" t="n"/>
      <c r="AU1102" s="4" t="n"/>
      <c r="AV1102" s="4" t="n"/>
      <c r="AW1102" s="4" t="n"/>
      <c r="AX1102" s="4" t="n"/>
      <c r="AY1102" s="4" t="n"/>
      <c r="AZ1102" s="4" t="n"/>
      <c r="BA1102" s="4" t="n"/>
      <c r="BB1102" s="4" t="n"/>
      <c r="BC1102" s="4" t="n"/>
      <c r="BD1102" s="4" t="n"/>
      <c r="BE1102" s="4" t="n"/>
      <c r="BF1102" s="4" t="n"/>
      <c r="BG1102" s="4" t="n"/>
      <c r="BH1102" s="4" t="n"/>
      <c r="BI1102" s="4" t="n"/>
      <c r="BJ1102" s="4" t="n"/>
      <c r="BK1102" s="4" t="n"/>
      <c r="BL1102" s="4" t="n"/>
      <c r="BM1102" s="4" t="n"/>
      <c r="BN1102" s="4" t="n"/>
      <c r="BO1102" s="4" t="n"/>
      <c r="BP1102" s="4" t="n"/>
      <c r="BQ1102" s="4" t="n"/>
      <c r="BR1102" s="4" t="n"/>
      <c r="BS1102" s="4" t="n"/>
      <c r="BT1102" s="4" t="n"/>
      <c r="BU1102" s="4" t="n"/>
      <c r="BV1102" s="4" t="n"/>
      <c r="BW1102" s="4" t="n"/>
      <c r="BX1102" s="4" t="n"/>
      <c r="BY1102" s="4" t="n"/>
      <c r="BZ1102" s="4" t="n"/>
      <c r="CA1102" s="4" t="n"/>
      <c r="CB1102" s="4" t="n"/>
      <c r="CC1102" s="4" t="n"/>
      <c r="CD1102" s="4" t="n"/>
      <c r="CE1102" s="4" t="n"/>
      <c r="CF1102" s="4" t="n"/>
      <c r="CG1102" s="4" t="n"/>
      <c r="CH1102" s="4" t="n"/>
      <c r="CI1102" s="4" t="n"/>
      <c r="CJ1102" s="4" t="n"/>
      <c r="CK1102" s="4" t="n"/>
      <c r="CL1102" s="4" t="n"/>
      <c r="CM1102" s="4" t="n"/>
      <c r="CN1102" s="4" t="n"/>
      <c r="CO1102" s="4" t="n"/>
      <c r="CP1102" s="4" t="n"/>
      <c r="CQ1102" s="4" t="n"/>
      <c r="CR1102" s="4" t="n"/>
      <c r="CS1102" s="4" t="n"/>
      <c r="CT1102" s="4" t="n"/>
      <c r="CU1102" s="4" t="n"/>
      <c r="CV1102" s="4" t="n"/>
      <c r="CW1102" s="4" t="n"/>
      <c r="CX1102" s="4" t="n"/>
      <c r="CY1102" s="4" t="n"/>
      <c r="CZ1102" s="4" t="n"/>
      <c r="DA1102" s="4" t="n"/>
      <c r="DB1102" s="4" t="n"/>
      <c r="DC1102" s="4" t="n"/>
      <c r="DD1102" s="4" t="n"/>
      <c r="DE1102" s="4" t="n"/>
      <c r="DF1102" s="4" t="n"/>
      <c r="DG1102" s="4" t="n"/>
      <c r="DH1102" s="4" t="n"/>
      <c r="DI1102" s="4" t="n"/>
      <c r="DJ1102" s="4" t="n"/>
      <c r="DK1102" s="4" t="n"/>
      <c r="DL1102" s="4" t="n"/>
      <c r="DM1102" s="4" t="n"/>
      <c r="DN1102" s="4" t="n"/>
      <c r="DO1102" s="4" t="n"/>
      <c r="DP1102" s="4" t="n"/>
      <c r="DQ1102" s="4" t="n"/>
      <c r="DR1102" s="4" t="n"/>
      <c r="DS1102" s="4" t="n"/>
      <c r="DT1102" s="4" t="n"/>
      <c r="DU1102" s="4" t="n"/>
      <c r="DV1102" s="4" t="n"/>
      <c r="DW1102" s="4" t="n"/>
      <c r="DX1102" s="4" t="n"/>
      <c r="DY1102" s="4" t="n"/>
      <c r="DZ1102" s="4" t="n"/>
      <c r="EA1102" s="4" t="n"/>
      <c r="EB1102" s="4" t="n"/>
      <c r="EC1102" s="4" t="n"/>
      <c r="ED1102" s="4" t="n"/>
      <c r="EE1102" s="4" t="n"/>
      <c r="EF1102" s="4" t="n"/>
      <c r="EG1102" s="4" t="n"/>
      <c r="EH1102" s="4" t="n"/>
      <c r="EI1102" s="4" t="n"/>
      <c r="EJ1102" s="4" t="n"/>
      <c r="EK1102" s="4" t="n"/>
      <c r="EL1102" s="4" t="n"/>
      <c r="EM1102" s="4" t="n"/>
    </row>
    <row r="1103" hidden="1" customFormat="1" s="6">
      <c r="C1103" s="4" t="n"/>
      <c r="D1103" s="4" t="n"/>
      <c r="E1103" s="4" t="n"/>
      <c r="F1103" s="4" t="n"/>
      <c r="G1103" s="4" t="n"/>
      <c r="H1103" s="4" t="n"/>
      <c r="I1103" s="4" t="n"/>
      <c r="J1103" s="4" t="n"/>
      <c r="K1103" s="4" t="n"/>
      <c r="L1103" s="4" t="n"/>
      <c r="M1103" s="4" t="n"/>
      <c r="N1103" s="4" t="n"/>
      <c r="O1103" s="4" t="n"/>
      <c r="P1103" s="4" t="n"/>
      <c r="Q1103" s="4" t="n"/>
      <c r="R1103" s="4" t="n"/>
      <c r="S1103" s="4" t="n"/>
      <c r="T1103" s="4" t="n"/>
      <c r="U1103" s="4" t="n"/>
      <c r="V1103" s="4" t="n"/>
      <c r="W1103" s="4" t="n"/>
      <c r="X1103" s="4" t="n"/>
      <c r="Y1103" s="4" t="n"/>
      <c r="Z1103" s="4" t="n"/>
      <c r="AA1103" s="4" t="n"/>
      <c r="AB1103" s="4" t="n"/>
      <c r="AC1103" s="4" t="n"/>
      <c r="AD1103" s="4" t="n"/>
      <c r="AE1103" s="4" t="n"/>
      <c r="AF1103" s="4" t="n"/>
      <c r="AG1103" s="4" t="n"/>
      <c r="AH1103" s="4" t="n"/>
      <c r="AI1103" s="4" t="n"/>
      <c r="AJ1103" s="4" t="n"/>
      <c r="AK1103" s="4" t="n"/>
      <c r="AL1103" s="4" t="n"/>
      <c r="AM1103" s="4" t="n"/>
      <c r="AN1103" s="4" t="n"/>
      <c r="AO1103" s="4" t="n"/>
      <c r="AP1103" s="4" t="n"/>
      <c r="AQ1103" s="4" t="n"/>
      <c r="AR1103" s="4" t="n"/>
      <c r="AS1103" s="4" t="n"/>
      <c r="AT1103" s="4" t="n"/>
      <c r="AU1103" s="4" t="n"/>
      <c r="AV1103" s="4" t="n"/>
      <c r="AW1103" s="4" t="n"/>
      <c r="AX1103" s="4" t="n"/>
      <c r="AY1103" s="4" t="n"/>
      <c r="AZ1103" s="4" t="n"/>
      <c r="BA1103" s="4" t="n"/>
      <c r="BB1103" s="4" t="n"/>
      <c r="BC1103" s="4" t="n"/>
      <c r="BD1103" s="4" t="n"/>
      <c r="BE1103" s="4" t="n"/>
      <c r="BF1103" s="4" t="n"/>
      <c r="BG1103" s="4" t="n"/>
      <c r="BH1103" s="4" t="n"/>
      <c r="BI1103" s="4" t="n"/>
      <c r="BJ1103" s="4" t="n"/>
      <c r="BK1103" s="4" t="n"/>
      <c r="BL1103" s="4" t="n"/>
      <c r="BM1103" s="4" t="n"/>
      <c r="BN1103" s="4" t="n"/>
      <c r="BO1103" s="4" t="n"/>
      <c r="BP1103" s="4" t="n"/>
      <c r="BQ1103" s="4" t="n"/>
      <c r="BR1103" s="4" t="n"/>
      <c r="BS1103" s="4" t="n"/>
      <c r="BT1103" s="4" t="n"/>
      <c r="BU1103" s="4" t="n"/>
      <c r="BV1103" s="4" t="n"/>
      <c r="BW1103" s="4" t="n"/>
      <c r="BX1103" s="4" t="n"/>
      <c r="BY1103" s="4" t="n"/>
      <c r="BZ1103" s="4" t="n"/>
      <c r="CA1103" s="4" t="n"/>
      <c r="CB1103" s="4" t="n"/>
      <c r="CC1103" s="4" t="n"/>
      <c r="CD1103" s="4" t="n"/>
      <c r="CE1103" s="4" t="n"/>
      <c r="CF1103" s="4" t="n"/>
      <c r="CG1103" s="4" t="n"/>
      <c r="CH1103" s="4" t="n"/>
      <c r="CI1103" s="4" t="n"/>
      <c r="CJ1103" s="4" t="n"/>
      <c r="CK1103" s="4" t="n"/>
      <c r="CL1103" s="4" t="n"/>
      <c r="CM1103" s="4" t="n"/>
      <c r="CN1103" s="4" t="n"/>
      <c r="CO1103" s="4" t="n"/>
      <c r="CP1103" s="4" t="n"/>
      <c r="CQ1103" s="4" t="n"/>
      <c r="CR1103" s="4" t="n"/>
      <c r="CS1103" s="4" t="n"/>
      <c r="CT1103" s="4" t="n"/>
      <c r="CU1103" s="4" t="n"/>
      <c r="CV1103" s="4" t="n"/>
      <c r="CW1103" s="4" t="n"/>
      <c r="CX1103" s="4" t="n"/>
      <c r="CY1103" s="4" t="n"/>
      <c r="CZ1103" s="4" t="n"/>
      <c r="DA1103" s="4" t="n"/>
      <c r="DB1103" s="4" t="n"/>
      <c r="DC1103" s="4" t="n"/>
      <c r="DD1103" s="4" t="n"/>
      <c r="DE1103" s="4" t="n"/>
      <c r="DF1103" s="4" t="n"/>
      <c r="DG1103" s="4" t="n"/>
      <c r="DH1103" s="4" t="n"/>
      <c r="DI1103" s="4" t="n"/>
      <c r="DJ1103" s="4" t="n"/>
      <c r="DK1103" s="4" t="n"/>
      <c r="DL1103" s="4" t="n"/>
      <c r="DM1103" s="4" t="n"/>
      <c r="DN1103" s="4" t="n"/>
      <c r="DO1103" s="4" t="n"/>
      <c r="DP1103" s="4" t="n"/>
      <c r="DQ1103" s="4" t="n"/>
      <c r="DR1103" s="4" t="n"/>
      <c r="DS1103" s="4" t="n"/>
      <c r="DT1103" s="4" t="n"/>
      <c r="DU1103" s="4" t="n"/>
      <c r="DV1103" s="4" t="n"/>
      <c r="DW1103" s="4" t="n"/>
      <c r="DX1103" s="4" t="n"/>
      <c r="DY1103" s="4" t="n"/>
      <c r="DZ1103" s="4" t="n"/>
      <c r="EA1103" s="4" t="n"/>
      <c r="EB1103" s="4" t="n"/>
      <c r="EC1103" s="4" t="n"/>
      <c r="ED1103" s="4" t="n"/>
      <c r="EE1103" s="4" t="n"/>
      <c r="EF1103" s="4" t="n"/>
      <c r="EG1103" s="4" t="n"/>
      <c r="EH1103" s="4" t="n"/>
      <c r="EI1103" s="4" t="n"/>
      <c r="EJ1103" s="4" t="n"/>
      <c r="EK1103" s="4" t="n"/>
      <c r="EL1103" s="4" t="n"/>
      <c r="EM1103" s="4" t="n"/>
    </row>
    <row r="1104" hidden="1" customFormat="1" s="6">
      <c r="C1104" s="4" t="n"/>
      <c r="D1104" s="4" t="n"/>
      <c r="E1104" s="4" t="n"/>
      <c r="F1104" s="4" t="n"/>
      <c r="G1104" s="4" t="n"/>
      <c r="H1104" s="4" t="n"/>
      <c r="I1104" s="4" t="n"/>
      <c r="J1104" s="4" t="n"/>
      <c r="K1104" s="4" t="n"/>
      <c r="L1104" s="4" t="n"/>
      <c r="M1104" s="4" t="n"/>
      <c r="N1104" s="4" t="n"/>
      <c r="O1104" s="4" t="n"/>
      <c r="P1104" s="4" t="n"/>
      <c r="Q1104" s="4" t="n"/>
      <c r="R1104" s="4" t="n"/>
      <c r="S1104" s="4" t="n"/>
      <c r="T1104" s="4" t="n"/>
      <c r="U1104" s="4" t="n"/>
      <c r="V1104" s="4" t="n"/>
      <c r="W1104" s="4" t="n"/>
      <c r="X1104" s="4" t="n"/>
      <c r="Y1104" s="4" t="n"/>
      <c r="Z1104" s="4" t="n"/>
      <c r="AA1104" s="4" t="n"/>
      <c r="AB1104" s="4" t="n"/>
      <c r="AC1104" s="4" t="n"/>
      <c r="AD1104" s="4" t="n"/>
      <c r="AE1104" s="4" t="n"/>
      <c r="AF1104" s="4" t="n"/>
      <c r="AG1104" s="4" t="n"/>
      <c r="AH1104" s="4" t="n"/>
      <c r="AI1104" s="4" t="n"/>
      <c r="AJ1104" s="4" t="n"/>
      <c r="AK1104" s="4" t="n"/>
      <c r="AL1104" s="4" t="n"/>
      <c r="AM1104" s="4" t="n"/>
      <c r="AN1104" s="4" t="n"/>
      <c r="AO1104" s="4" t="n"/>
      <c r="AP1104" s="4" t="n"/>
      <c r="AQ1104" s="4" t="n"/>
      <c r="AR1104" s="4" t="n"/>
      <c r="AS1104" s="4" t="n"/>
      <c r="AT1104" s="4" t="n"/>
      <c r="AU1104" s="4" t="n"/>
      <c r="AV1104" s="4" t="n"/>
      <c r="AW1104" s="4" t="n"/>
      <c r="AX1104" s="4" t="n"/>
      <c r="AY1104" s="4" t="n"/>
      <c r="AZ1104" s="4" t="n"/>
      <c r="BA1104" s="4" t="n"/>
      <c r="BB1104" s="4" t="n"/>
      <c r="BC1104" s="4" t="n"/>
      <c r="BD1104" s="4" t="n"/>
      <c r="BE1104" s="4" t="n"/>
      <c r="BF1104" s="4" t="n"/>
      <c r="BG1104" s="4" t="n"/>
      <c r="BH1104" s="4" t="n"/>
      <c r="BI1104" s="4" t="n"/>
      <c r="BJ1104" s="4" t="n"/>
      <c r="BK1104" s="4" t="n"/>
      <c r="BL1104" s="4" t="n"/>
      <c r="BM1104" s="4" t="n"/>
      <c r="BN1104" s="4" t="n"/>
      <c r="BO1104" s="4" t="n"/>
      <c r="BP1104" s="4" t="n"/>
      <c r="BQ1104" s="4" t="n"/>
      <c r="BR1104" s="4" t="n"/>
      <c r="BS1104" s="4" t="n"/>
      <c r="BT1104" s="4" t="n"/>
      <c r="BU1104" s="4" t="n"/>
      <c r="BV1104" s="4" t="n"/>
      <c r="BW1104" s="4" t="n"/>
      <c r="BX1104" s="4" t="n"/>
      <c r="BY1104" s="4" t="n"/>
      <c r="BZ1104" s="4" t="n"/>
      <c r="CA1104" s="4" t="n"/>
      <c r="CB1104" s="4" t="n"/>
      <c r="CC1104" s="4" t="n"/>
      <c r="CD1104" s="4" t="n"/>
      <c r="CE1104" s="4" t="n"/>
      <c r="CF1104" s="4" t="n"/>
      <c r="CG1104" s="4" t="n"/>
      <c r="CH1104" s="4" t="n"/>
      <c r="CI1104" s="4" t="n"/>
      <c r="CJ1104" s="4" t="n"/>
      <c r="CK1104" s="4" t="n"/>
      <c r="CL1104" s="4" t="n"/>
      <c r="CM1104" s="4" t="n"/>
      <c r="CN1104" s="4" t="n"/>
      <c r="CO1104" s="4" t="n"/>
      <c r="CP1104" s="4" t="n"/>
      <c r="CQ1104" s="4" t="n"/>
      <c r="CR1104" s="4" t="n"/>
      <c r="CS1104" s="4" t="n"/>
      <c r="CT1104" s="4" t="n"/>
      <c r="CU1104" s="4" t="n"/>
      <c r="CV1104" s="4" t="n"/>
      <c r="CW1104" s="4" t="n"/>
      <c r="CX1104" s="4" t="n"/>
      <c r="CY1104" s="4" t="n"/>
      <c r="CZ1104" s="4" t="n"/>
      <c r="DA1104" s="4" t="n"/>
      <c r="DB1104" s="4" t="n"/>
      <c r="DC1104" s="4" t="n"/>
      <c r="DD1104" s="4" t="n"/>
      <c r="DE1104" s="4" t="n"/>
      <c r="DF1104" s="4" t="n"/>
      <c r="DG1104" s="4" t="n"/>
      <c r="DH1104" s="4" t="n"/>
      <c r="DI1104" s="4" t="n"/>
      <c r="DJ1104" s="4" t="n"/>
      <c r="DK1104" s="4" t="n"/>
      <c r="DL1104" s="4" t="n"/>
      <c r="DM1104" s="4" t="n"/>
      <c r="DN1104" s="4" t="n"/>
      <c r="DO1104" s="4" t="n"/>
      <c r="DP1104" s="4" t="n"/>
      <c r="DQ1104" s="4" t="n"/>
      <c r="DR1104" s="4" t="n"/>
      <c r="DS1104" s="4" t="n"/>
      <c r="DT1104" s="4" t="n"/>
      <c r="DU1104" s="4" t="n"/>
      <c r="DV1104" s="4" t="n"/>
      <c r="DW1104" s="4" t="n"/>
      <c r="DX1104" s="4" t="n"/>
      <c r="DY1104" s="4" t="n"/>
      <c r="DZ1104" s="4" t="n"/>
      <c r="EA1104" s="4" t="n"/>
      <c r="EB1104" s="4" t="n"/>
      <c r="EC1104" s="4" t="n"/>
      <c r="ED1104" s="4" t="n"/>
      <c r="EE1104" s="4" t="n"/>
      <c r="EF1104" s="4" t="n"/>
      <c r="EG1104" s="4" t="n"/>
      <c r="EH1104" s="4" t="n"/>
      <c r="EI1104" s="4" t="n"/>
      <c r="EJ1104" s="4" t="n"/>
      <c r="EK1104" s="4" t="n"/>
      <c r="EL1104" s="4" t="n"/>
      <c r="EM1104" s="4" t="n"/>
    </row>
    <row r="1105" hidden="1" customFormat="1" s="6">
      <c r="C1105" s="4" t="n"/>
      <c r="D1105" s="4" t="n"/>
      <c r="E1105" s="4" t="n"/>
      <c r="F1105" s="4" t="n"/>
      <c r="G1105" s="4" t="n"/>
      <c r="H1105" s="4" t="n"/>
      <c r="I1105" s="4" t="n"/>
      <c r="J1105" s="4" t="n"/>
      <c r="K1105" s="4" t="n"/>
      <c r="L1105" s="4" t="n"/>
      <c r="M1105" s="4" t="n"/>
      <c r="N1105" s="4" t="n"/>
      <c r="O1105" s="4" t="n"/>
      <c r="P1105" s="4" t="n"/>
      <c r="Q1105" s="4" t="n"/>
      <c r="R1105" s="4" t="n"/>
      <c r="S1105" s="4" t="n"/>
      <c r="T1105" s="4" t="n"/>
      <c r="U1105" s="4" t="n"/>
      <c r="V1105" s="4" t="n"/>
      <c r="W1105" s="4" t="n"/>
      <c r="X1105" s="4" t="n"/>
      <c r="Y1105" s="4" t="n"/>
      <c r="Z1105" s="4" t="n"/>
      <c r="AA1105" s="4" t="n"/>
      <c r="AB1105" s="4" t="n"/>
      <c r="AC1105" s="4" t="n"/>
      <c r="AD1105" s="4" t="n"/>
      <c r="AE1105" s="4" t="n"/>
      <c r="AF1105" s="4" t="n"/>
      <c r="AG1105" s="4" t="n"/>
      <c r="AH1105" s="4" t="n"/>
      <c r="AI1105" s="4" t="n"/>
      <c r="AJ1105" s="4" t="n"/>
      <c r="AK1105" s="4" t="n"/>
      <c r="AL1105" s="4" t="n"/>
      <c r="AM1105" s="4" t="n"/>
      <c r="AN1105" s="4" t="n"/>
      <c r="AO1105" s="4" t="n"/>
      <c r="AP1105" s="4" t="n"/>
      <c r="AQ1105" s="4" t="n"/>
      <c r="AR1105" s="4" t="n"/>
      <c r="AS1105" s="4" t="n"/>
      <c r="AT1105" s="4" t="n"/>
      <c r="AU1105" s="4" t="n"/>
      <c r="AV1105" s="4" t="n"/>
      <c r="AW1105" s="4" t="n"/>
      <c r="AX1105" s="4" t="n"/>
      <c r="AY1105" s="4" t="n"/>
      <c r="AZ1105" s="4" t="n"/>
      <c r="BA1105" s="4" t="n"/>
      <c r="BB1105" s="4" t="n"/>
      <c r="BC1105" s="4" t="n"/>
      <c r="BD1105" s="4" t="n"/>
      <c r="BE1105" s="4" t="n"/>
      <c r="BF1105" s="4" t="n"/>
      <c r="BG1105" s="4" t="n"/>
      <c r="BH1105" s="4" t="n"/>
      <c r="BI1105" s="4" t="n"/>
      <c r="BJ1105" s="4" t="n"/>
      <c r="BK1105" s="4" t="n"/>
      <c r="BL1105" s="4" t="n"/>
      <c r="BM1105" s="4" t="n"/>
      <c r="BN1105" s="4" t="n"/>
      <c r="BO1105" s="4" t="n"/>
      <c r="BP1105" s="4" t="n"/>
      <c r="BQ1105" s="4" t="n"/>
      <c r="BR1105" s="4" t="n"/>
      <c r="BS1105" s="4" t="n"/>
      <c r="BT1105" s="4" t="n"/>
      <c r="BU1105" s="4" t="n"/>
      <c r="BV1105" s="4" t="n"/>
      <c r="BW1105" s="4" t="n"/>
      <c r="BX1105" s="4" t="n"/>
      <c r="BY1105" s="4" t="n"/>
      <c r="BZ1105" s="4" t="n"/>
      <c r="CA1105" s="4" t="n"/>
      <c r="CB1105" s="4" t="n"/>
      <c r="CC1105" s="4" t="n"/>
      <c r="CD1105" s="4" t="n"/>
      <c r="CE1105" s="4" t="n"/>
      <c r="CF1105" s="4" t="n"/>
      <c r="CG1105" s="4" t="n"/>
      <c r="CH1105" s="4" t="n"/>
      <c r="CI1105" s="4" t="n"/>
      <c r="CJ1105" s="4" t="n"/>
      <c r="CK1105" s="4" t="n"/>
      <c r="CL1105" s="4" t="n"/>
      <c r="CM1105" s="4" t="n"/>
      <c r="CN1105" s="4" t="n"/>
      <c r="CO1105" s="4" t="n"/>
      <c r="CP1105" s="4" t="n"/>
      <c r="CQ1105" s="4" t="n"/>
      <c r="CR1105" s="4" t="n"/>
      <c r="CS1105" s="4" t="n"/>
      <c r="CT1105" s="4" t="n"/>
      <c r="CU1105" s="4" t="n"/>
      <c r="CV1105" s="4" t="n"/>
      <c r="CW1105" s="4" t="n"/>
      <c r="CX1105" s="4" t="n"/>
      <c r="CY1105" s="4" t="n"/>
      <c r="CZ1105" s="4" t="n"/>
      <c r="DA1105" s="4" t="n"/>
      <c r="DB1105" s="4" t="n"/>
      <c r="DC1105" s="4" t="n"/>
      <c r="DD1105" s="4" t="n"/>
      <c r="DE1105" s="4" t="n"/>
      <c r="DF1105" s="4" t="n"/>
      <c r="DG1105" s="4" t="n"/>
      <c r="DH1105" s="4" t="n"/>
      <c r="DI1105" s="4" t="n"/>
      <c r="DJ1105" s="4" t="n"/>
      <c r="DK1105" s="4" t="n"/>
      <c r="DL1105" s="4" t="n"/>
      <c r="DM1105" s="4" t="n"/>
      <c r="DN1105" s="4" t="n"/>
      <c r="DO1105" s="4" t="n"/>
      <c r="DP1105" s="4" t="n"/>
      <c r="DQ1105" s="4" t="n"/>
      <c r="DR1105" s="4" t="n"/>
      <c r="DS1105" s="4" t="n"/>
      <c r="DT1105" s="4" t="n"/>
      <c r="DU1105" s="4" t="n"/>
      <c r="DV1105" s="4" t="n"/>
      <c r="DW1105" s="4" t="n"/>
      <c r="DX1105" s="4" t="n"/>
      <c r="DY1105" s="4" t="n"/>
      <c r="DZ1105" s="4" t="n"/>
      <c r="EA1105" s="4" t="n"/>
      <c r="EB1105" s="4" t="n"/>
      <c r="EC1105" s="4" t="n"/>
      <c r="ED1105" s="4" t="n"/>
      <c r="EE1105" s="4" t="n"/>
      <c r="EF1105" s="4" t="n"/>
      <c r="EG1105" s="4" t="n"/>
      <c r="EH1105" s="4" t="n"/>
      <c r="EI1105" s="4" t="n"/>
      <c r="EJ1105" s="4" t="n"/>
      <c r="EK1105" s="4" t="n"/>
      <c r="EL1105" s="4" t="n"/>
      <c r="EM1105" s="4" t="n"/>
    </row>
    <row r="1106" hidden="1" customFormat="1" s="6">
      <c r="C1106" s="4" t="n"/>
      <c r="D1106" s="4" t="n"/>
      <c r="E1106" s="4" t="n"/>
      <c r="F1106" s="4" t="n"/>
      <c r="G1106" s="4" t="n"/>
      <c r="H1106" s="4" t="n"/>
      <c r="I1106" s="4" t="n"/>
      <c r="J1106" s="4" t="n"/>
      <c r="K1106" s="4" t="n"/>
      <c r="L1106" s="4" t="n"/>
      <c r="M1106" s="4" t="n"/>
      <c r="N1106" s="4" t="n"/>
      <c r="O1106" s="4" t="n"/>
      <c r="P1106" s="4" t="n"/>
      <c r="Q1106" s="4" t="n"/>
      <c r="R1106" s="4" t="n"/>
      <c r="S1106" s="4" t="n"/>
      <c r="T1106" s="4" t="n"/>
      <c r="U1106" s="4" t="n"/>
      <c r="V1106" s="4" t="n"/>
      <c r="W1106" s="4" t="n"/>
      <c r="X1106" s="4" t="n"/>
      <c r="Y1106" s="4" t="n"/>
      <c r="Z1106" s="4" t="n"/>
      <c r="AA1106" s="4" t="n"/>
      <c r="AB1106" s="4" t="n"/>
      <c r="AC1106" s="4" t="n"/>
      <c r="AD1106" s="4" t="n"/>
      <c r="AE1106" s="4" t="n"/>
      <c r="AF1106" s="4" t="n"/>
      <c r="AG1106" s="4" t="n"/>
      <c r="AH1106" s="4" t="n"/>
      <c r="AI1106" s="4" t="n"/>
      <c r="AJ1106" s="4" t="n"/>
      <c r="AK1106" s="4" t="n"/>
      <c r="AL1106" s="4" t="n"/>
      <c r="AM1106" s="4" t="n"/>
      <c r="AN1106" s="4" t="n"/>
      <c r="AO1106" s="4" t="n"/>
      <c r="AP1106" s="4" t="n"/>
      <c r="AQ1106" s="4" t="n"/>
      <c r="AR1106" s="4" t="n"/>
      <c r="AS1106" s="4" t="n"/>
      <c r="AT1106" s="4" t="n"/>
      <c r="AU1106" s="4" t="n"/>
      <c r="AV1106" s="4" t="n"/>
      <c r="AW1106" s="4" t="n"/>
      <c r="AX1106" s="4" t="n"/>
      <c r="AY1106" s="4" t="n"/>
      <c r="AZ1106" s="4" t="n"/>
      <c r="BA1106" s="4" t="n"/>
      <c r="BB1106" s="4" t="n"/>
      <c r="BC1106" s="4" t="n"/>
      <c r="BD1106" s="4" t="n"/>
      <c r="BE1106" s="4" t="n"/>
      <c r="BF1106" s="4" t="n"/>
      <c r="BG1106" s="4" t="n"/>
      <c r="BH1106" s="4" t="n"/>
      <c r="BI1106" s="4" t="n"/>
      <c r="BJ1106" s="4" t="n"/>
      <c r="BK1106" s="4" t="n"/>
      <c r="BL1106" s="4" t="n"/>
      <c r="BM1106" s="4" t="n"/>
      <c r="BN1106" s="4" t="n"/>
      <c r="BO1106" s="4" t="n"/>
      <c r="BP1106" s="4" t="n"/>
      <c r="BQ1106" s="4" t="n"/>
      <c r="BR1106" s="4" t="n"/>
      <c r="BS1106" s="4" t="n"/>
      <c r="BT1106" s="4" t="n"/>
      <c r="BU1106" s="4" t="n"/>
      <c r="BV1106" s="4" t="n"/>
      <c r="BW1106" s="4" t="n"/>
      <c r="BX1106" s="4" t="n"/>
      <c r="BY1106" s="4" t="n"/>
      <c r="BZ1106" s="4" t="n"/>
      <c r="CA1106" s="4" t="n"/>
      <c r="CB1106" s="4" t="n"/>
      <c r="CC1106" s="4" t="n"/>
      <c r="CD1106" s="4" t="n"/>
      <c r="CE1106" s="4" t="n"/>
      <c r="CF1106" s="4" t="n"/>
      <c r="CG1106" s="4" t="n"/>
      <c r="CH1106" s="4" t="n"/>
      <c r="CI1106" s="4" t="n"/>
      <c r="CJ1106" s="4" t="n"/>
      <c r="CK1106" s="4" t="n"/>
      <c r="CL1106" s="4" t="n"/>
      <c r="CM1106" s="4" t="n"/>
      <c r="CN1106" s="4" t="n"/>
      <c r="CO1106" s="4" t="n"/>
      <c r="CP1106" s="4" t="n"/>
      <c r="CQ1106" s="4" t="n"/>
      <c r="CR1106" s="4" t="n"/>
      <c r="CS1106" s="4" t="n"/>
      <c r="CT1106" s="4" t="n"/>
      <c r="CU1106" s="4" t="n"/>
      <c r="CV1106" s="4" t="n"/>
      <c r="CW1106" s="4" t="n"/>
      <c r="CX1106" s="4" t="n"/>
      <c r="CY1106" s="4" t="n"/>
      <c r="CZ1106" s="4" t="n"/>
      <c r="DA1106" s="4" t="n"/>
      <c r="DB1106" s="4" t="n"/>
      <c r="DC1106" s="4" t="n"/>
      <c r="DD1106" s="4" t="n"/>
      <c r="DE1106" s="4" t="n"/>
      <c r="DF1106" s="4" t="n"/>
      <c r="DG1106" s="4" t="n"/>
      <c r="DH1106" s="4" t="n"/>
      <c r="DI1106" s="4" t="n"/>
      <c r="DJ1106" s="4" t="n"/>
      <c r="DK1106" s="4" t="n"/>
      <c r="DL1106" s="4" t="n"/>
      <c r="DM1106" s="4" t="n"/>
      <c r="DN1106" s="4" t="n"/>
      <c r="DO1106" s="4" t="n"/>
      <c r="DP1106" s="4" t="n"/>
      <c r="DQ1106" s="4" t="n"/>
      <c r="DR1106" s="4" t="n"/>
      <c r="DS1106" s="4" t="n"/>
      <c r="DT1106" s="4" t="n"/>
      <c r="DU1106" s="4" t="n"/>
      <c r="DV1106" s="4" t="n"/>
      <c r="DW1106" s="4" t="n"/>
      <c r="DX1106" s="4" t="n"/>
      <c r="DY1106" s="4" t="n"/>
      <c r="DZ1106" s="4" t="n"/>
      <c r="EA1106" s="4" t="n"/>
      <c r="EB1106" s="4" t="n"/>
      <c r="EC1106" s="4" t="n"/>
      <c r="ED1106" s="4" t="n"/>
      <c r="EE1106" s="4" t="n"/>
      <c r="EF1106" s="4" t="n"/>
      <c r="EG1106" s="4" t="n"/>
      <c r="EH1106" s="4" t="n"/>
      <c r="EI1106" s="4" t="n"/>
      <c r="EJ1106" s="4" t="n"/>
      <c r="EK1106" s="4" t="n"/>
      <c r="EL1106" s="4" t="n"/>
      <c r="EM1106" s="4" t="n"/>
    </row>
    <row r="1107" hidden="1" customFormat="1" s="6">
      <c r="C1107" s="4" t="n"/>
      <c r="D1107" s="4" t="n"/>
      <c r="E1107" s="4" t="n"/>
      <c r="F1107" s="4" t="n"/>
      <c r="G1107" s="4" t="n"/>
      <c r="H1107" s="4" t="n"/>
      <c r="I1107" s="4" t="n"/>
      <c r="J1107" s="4" t="n"/>
      <c r="K1107" s="4" t="n"/>
      <c r="L1107" s="4" t="n"/>
      <c r="M1107" s="4" t="n"/>
      <c r="N1107" s="4" t="n"/>
      <c r="O1107" s="4" t="n"/>
      <c r="P1107" s="4" t="n"/>
      <c r="Q1107" s="4" t="n"/>
      <c r="R1107" s="4" t="n"/>
      <c r="S1107" s="4" t="n"/>
      <c r="T1107" s="4" t="n"/>
      <c r="U1107" s="4" t="n"/>
      <c r="V1107" s="4" t="n"/>
      <c r="W1107" s="4" t="n"/>
      <c r="X1107" s="4" t="n"/>
      <c r="Y1107" s="4" t="n"/>
      <c r="Z1107" s="4" t="n"/>
      <c r="AA1107" s="4" t="n"/>
      <c r="AB1107" s="4" t="n"/>
      <c r="AC1107" s="4" t="n"/>
      <c r="AD1107" s="4" t="n"/>
      <c r="AE1107" s="4" t="n"/>
      <c r="AF1107" s="4" t="n"/>
      <c r="AG1107" s="4" t="n"/>
      <c r="AH1107" s="4" t="n"/>
      <c r="AI1107" s="4" t="n"/>
      <c r="AJ1107" s="4" t="n"/>
      <c r="AK1107" s="4" t="n"/>
      <c r="AL1107" s="4" t="n"/>
      <c r="AM1107" s="4" t="n"/>
      <c r="AN1107" s="4" t="n"/>
      <c r="AO1107" s="4" t="n"/>
      <c r="AP1107" s="4" t="n"/>
      <c r="AQ1107" s="4" t="n"/>
      <c r="AR1107" s="4" t="n"/>
      <c r="AS1107" s="4" t="n"/>
      <c r="AT1107" s="4" t="n"/>
      <c r="AU1107" s="4" t="n"/>
      <c r="AV1107" s="4" t="n"/>
      <c r="AW1107" s="4" t="n"/>
      <c r="AX1107" s="4" t="n"/>
      <c r="AY1107" s="4" t="n"/>
      <c r="AZ1107" s="4" t="n"/>
      <c r="BA1107" s="4" t="n"/>
      <c r="BB1107" s="4" t="n"/>
      <c r="BC1107" s="4" t="n"/>
      <c r="BD1107" s="4" t="n"/>
      <c r="BE1107" s="4" t="n"/>
      <c r="BF1107" s="4" t="n"/>
      <c r="BG1107" s="4" t="n"/>
      <c r="BH1107" s="4" t="n"/>
      <c r="BI1107" s="4" t="n"/>
      <c r="BJ1107" s="4" t="n"/>
      <c r="BK1107" s="4" t="n"/>
      <c r="BL1107" s="4" t="n"/>
      <c r="BM1107" s="4" t="n"/>
      <c r="BN1107" s="4" t="n"/>
      <c r="BO1107" s="4" t="n"/>
      <c r="BP1107" s="4" t="n"/>
      <c r="BQ1107" s="4" t="n"/>
      <c r="BR1107" s="4" t="n"/>
      <c r="BS1107" s="4" t="n"/>
      <c r="BT1107" s="4" t="n"/>
      <c r="BU1107" s="4" t="n"/>
      <c r="BV1107" s="4" t="n"/>
      <c r="BW1107" s="4" t="n"/>
      <c r="BX1107" s="4" t="n"/>
      <c r="BY1107" s="4" t="n"/>
      <c r="BZ1107" s="4" t="n"/>
      <c r="CA1107" s="4" t="n"/>
      <c r="CB1107" s="4" t="n"/>
      <c r="CC1107" s="4" t="n"/>
      <c r="CD1107" s="4" t="n"/>
      <c r="CE1107" s="4" t="n"/>
      <c r="CF1107" s="4" t="n"/>
      <c r="CG1107" s="4" t="n"/>
      <c r="CH1107" s="4" t="n"/>
      <c r="CI1107" s="4" t="n"/>
      <c r="CJ1107" s="4" t="n"/>
      <c r="CK1107" s="4" t="n"/>
      <c r="CL1107" s="4" t="n"/>
      <c r="CM1107" s="4" t="n"/>
      <c r="CN1107" s="4" t="n"/>
      <c r="CO1107" s="4" t="n"/>
      <c r="CP1107" s="4" t="n"/>
      <c r="CQ1107" s="4" t="n"/>
      <c r="CR1107" s="4" t="n"/>
      <c r="CS1107" s="4" t="n"/>
      <c r="CT1107" s="4" t="n"/>
      <c r="CU1107" s="4" t="n"/>
      <c r="CV1107" s="4" t="n"/>
      <c r="CW1107" s="4" t="n"/>
      <c r="CX1107" s="4" t="n"/>
      <c r="CY1107" s="4" t="n"/>
      <c r="CZ1107" s="4" t="n"/>
      <c r="DA1107" s="4" t="n"/>
      <c r="DB1107" s="4" t="n"/>
      <c r="DC1107" s="4" t="n"/>
      <c r="DD1107" s="4" t="n"/>
      <c r="DE1107" s="4" t="n"/>
      <c r="DF1107" s="4" t="n"/>
      <c r="DG1107" s="4" t="n"/>
      <c r="DH1107" s="4" t="n"/>
      <c r="DI1107" s="4" t="n"/>
      <c r="DJ1107" s="4" t="n"/>
      <c r="DK1107" s="4" t="n"/>
      <c r="DL1107" s="4" t="n"/>
      <c r="DM1107" s="4" t="n"/>
      <c r="DN1107" s="4" t="n"/>
      <c r="DO1107" s="4" t="n"/>
      <c r="DP1107" s="4" t="n"/>
      <c r="DQ1107" s="4" t="n"/>
      <c r="DR1107" s="4" t="n"/>
      <c r="DS1107" s="4" t="n"/>
      <c r="DT1107" s="4" t="n"/>
      <c r="DU1107" s="4" t="n"/>
      <c r="DV1107" s="4" t="n"/>
      <c r="DW1107" s="4" t="n"/>
      <c r="DX1107" s="4" t="n"/>
      <c r="DY1107" s="4" t="n"/>
      <c r="DZ1107" s="4" t="n"/>
      <c r="EA1107" s="4" t="n"/>
      <c r="EB1107" s="4" t="n"/>
      <c r="EC1107" s="4" t="n"/>
      <c r="ED1107" s="4" t="n"/>
      <c r="EE1107" s="4" t="n"/>
      <c r="EF1107" s="4" t="n"/>
      <c r="EG1107" s="4" t="n"/>
      <c r="EH1107" s="4" t="n"/>
      <c r="EI1107" s="4" t="n"/>
      <c r="EJ1107" s="4" t="n"/>
      <c r="EK1107" s="4" t="n"/>
      <c r="EL1107" s="4" t="n"/>
      <c r="EM1107" s="4" t="n"/>
    </row>
    <row r="1108" hidden="1" customFormat="1" s="6">
      <c r="C1108" s="4" t="n"/>
      <c r="D1108" s="4" t="n"/>
      <c r="E1108" s="4" t="n"/>
      <c r="F1108" s="4" t="n"/>
      <c r="G1108" s="4" t="n"/>
      <c r="H1108" s="4" t="n"/>
      <c r="I1108" s="4" t="n"/>
      <c r="J1108" s="4" t="n"/>
      <c r="K1108" s="4" t="n"/>
      <c r="L1108" s="4" t="n"/>
      <c r="M1108" s="4" t="n"/>
      <c r="N1108" s="4" t="n"/>
      <c r="O1108" s="4" t="n"/>
      <c r="P1108" s="4" t="n"/>
      <c r="Q1108" s="4" t="n"/>
      <c r="R1108" s="4" t="n"/>
      <c r="S1108" s="4" t="n"/>
      <c r="T1108" s="4" t="n"/>
      <c r="U1108" s="4" t="n"/>
      <c r="V1108" s="4" t="n"/>
      <c r="W1108" s="4" t="n"/>
      <c r="X1108" s="4" t="n"/>
      <c r="Y1108" s="4" t="n"/>
      <c r="Z1108" s="4" t="n"/>
      <c r="AA1108" s="4" t="n"/>
      <c r="AB1108" s="4" t="n"/>
      <c r="AC1108" s="4" t="n"/>
      <c r="AD1108" s="4" t="n"/>
      <c r="AE1108" s="4" t="n"/>
      <c r="AF1108" s="4" t="n"/>
      <c r="AG1108" s="4" t="n"/>
      <c r="AH1108" s="4" t="n"/>
      <c r="AI1108" s="4" t="n"/>
      <c r="AJ1108" s="4" t="n"/>
      <c r="AK1108" s="4" t="n"/>
      <c r="AL1108" s="4" t="n"/>
      <c r="AM1108" s="4" t="n"/>
      <c r="AN1108" s="4" t="n"/>
      <c r="AO1108" s="4" t="n"/>
      <c r="AP1108" s="4" t="n"/>
      <c r="AQ1108" s="4" t="n"/>
      <c r="AR1108" s="4" t="n"/>
      <c r="AS1108" s="4" t="n"/>
      <c r="AT1108" s="4" t="n"/>
      <c r="AU1108" s="4" t="n"/>
      <c r="AV1108" s="4" t="n"/>
      <c r="AW1108" s="4" t="n"/>
      <c r="AX1108" s="4" t="n"/>
      <c r="AY1108" s="4" t="n"/>
      <c r="AZ1108" s="4" t="n"/>
      <c r="BA1108" s="4" t="n"/>
      <c r="BB1108" s="4" t="n"/>
      <c r="BC1108" s="4" t="n"/>
      <c r="BD1108" s="4" t="n"/>
      <c r="BE1108" s="4" t="n"/>
      <c r="BF1108" s="4" t="n"/>
      <c r="BG1108" s="4" t="n"/>
      <c r="BH1108" s="4" t="n"/>
      <c r="BI1108" s="4" t="n"/>
      <c r="BJ1108" s="4" t="n"/>
      <c r="BK1108" s="4" t="n"/>
      <c r="BL1108" s="4" t="n"/>
      <c r="BM1108" s="4" t="n"/>
      <c r="BN1108" s="4" t="n"/>
      <c r="BO1108" s="4" t="n"/>
      <c r="BP1108" s="4" t="n"/>
      <c r="BQ1108" s="4" t="n"/>
      <c r="BR1108" s="4" t="n"/>
      <c r="BS1108" s="4" t="n"/>
      <c r="BT1108" s="4" t="n"/>
      <c r="BU1108" s="4" t="n"/>
      <c r="BV1108" s="4" t="n"/>
      <c r="BW1108" s="4" t="n"/>
      <c r="BX1108" s="4" t="n"/>
      <c r="BY1108" s="4" t="n"/>
      <c r="BZ1108" s="4" t="n"/>
      <c r="CA1108" s="4" t="n"/>
      <c r="CB1108" s="4" t="n"/>
      <c r="CC1108" s="4" t="n"/>
      <c r="CD1108" s="4" t="n"/>
      <c r="CE1108" s="4" t="n"/>
      <c r="CF1108" s="4" t="n"/>
      <c r="CG1108" s="4" t="n"/>
      <c r="CH1108" s="4" t="n"/>
      <c r="CI1108" s="4" t="n"/>
      <c r="CJ1108" s="4" t="n"/>
      <c r="CK1108" s="4" t="n"/>
      <c r="CL1108" s="4" t="n"/>
      <c r="CM1108" s="4" t="n"/>
      <c r="CN1108" s="4" t="n"/>
      <c r="CO1108" s="4" t="n"/>
      <c r="CP1108" s="4" t="n"/>
      <c r="CQ1108" s="4" t="n"/>
      <c r="CR1108" s="4" t="n"/>
      <c r="CS1108" s="4" t="n"/>
      <c r="CT1108" s="4" t="n"/>
      <c r="CU1108" s="4" t="n"/>
      <c r="CV1108" s="4" t="n"/>
      <c r="CW1108" s="4" t="n"/>
      <c r="CX1108" s="4" t="n"/>
      <c r="CY1108" s="4" t="n"/>
      <c r="CZ1108" s="4" t="n"/>
      <c r="DA1108" s="4" t="n"/>
      <c r="DB1108" s="4" t="n"/>
      <c r="DC1108" s="4" t="n"/>
      <c r="DD1108" s="4" t="n"/>
      <c r="DE1108" s="4" t="n"/>
      <c r="DF1108" s="4" t="n"/>
      <c r="DG1108" s="4" t="n"/>
      <c r="DH1108" s="4" t="n"/>
      <c r="DI1108" s="4" t="n"/>
      <c r="DJ1108" s="4" t="n"/>
      <c r="DK1108" s="4" t="n"/>
      <c r="DL1108" s="4" t="n"/>
      <c r="DM1108" s="4" t="n"/>
      <c r="DN1108" s="4" t="n"/>
      <c r="DO1108" s="4" t="n"/>
      <c r="DP1108" s="4" t="n"/>
      <c r="DQ1108" s="4" t="n"/>
      <c r="DR1108" s="4" t="n"/>
      <c r="DS1108" s="4" t="n"/>
      <c r="DT1108" s="4" t="n"/>
      <c r="DU1108" s="4" t="n"/>
      <c r="DV1108" s="4" t="n"/>
      <c r="DW1108" s="4" t="n"/>
      <c r="DX1108" s="4" t="n"/>
      <c r="DY1108" s="4" t="n"/>
      <c r="DZ1108" s="4" t="n"/>
      <c r="EA1108" s="4" t="n"/>
      <c r="EB1108" s="4" t="n"/>
      <c r="EC1108" s="4" t="n"/>
      <c r="ED1108" s="4" t="n"/>
      <c r="EE1108" s="4" t="n"/>
      <c r="EF1108" s="4" t="n"/>
      <c r="EG1108" s="4" t="n"/>
      <c r="EH1108" s="4" t="n"/>
      <c r="EI1108" s="4" t="n"/>
      <c r="EJ1108" s="4" t="n"/>
      <c r="EK1108" s="4" t="n"/>
      <c r="EL1108" s="4" t="n"/>
      <c r="EM1108" s="4" t="n"/>
    </row>
    <row r="1109" hidden="1" customFormat="1" s="6">
      <c r="C1109" s="4" t="n"/>
      <c r="D1109" s="4" t="n"/>
      <c r="E1109" s="4" t="n"/>
      <c r="F1109" s="4" t="n"/>
      <c r="G1109" s="4" t="n"/>
      <c r="H1109" s="4" t="n"/>
      <c r="I1109" s="4" t="n"/>
      <c r="J1109" s="4" t="n"/>
      <c r="K1109" s="4" t="n"/>
      <c r="L1109" s="4" t="n"/>
      <c r="M1109" s="4" t="n"/>
      <c r="N1109" s="4" t="n"/>
      <c r="O1109" s="4" t="n"/>
      <c r="P1109" s="4" t="n"/>
      <c r="Q1109" s="4" t="n"/>
      <c r="R1109" s="4" t="n"/>
      <c r="S1109" s="4" t="n"/>
      <c r="T1109" s="4" t="n"/>
      <c r="U1109" s="4" t="n"/>
      <c r="V1109" s="4" t="n"/>
      <c r="W1109" s="4" t="n"/>
      <c r="X1109" s="4" t="n"/>
      <c r="Y1109" s="4" t="n"/>
      <c r="Z1109" s="4" t="n"/>
      <c r="AA1109" s="4" t="n"/>
      <c r="AB1109" s="4" t="n"/>
      <c r="AC1109" s="4" t="n"/>
      <c r="AD1109" s="4" t="n"/>
      <c r="AE1109" s="4" t="n"/>
      <c r="AF1109" s="4" t="n"/>
      <c r="AG1109" s="4" t="n"/>
      <c r="AH1109" s="4" t="n"/>
      <c r="AI1109" s="4" t="n"/>
      <c r="AJ1109" s="4" t="n"/>
      <c r="AK1109" s="4" t="n"/>
      <c r="AL1109" s="4" t="n"/>
      <c r="AM1109" s="4" t="n"/>
      <c r="AN1109" s="4" t="n"/>
      <c r="AO1109" s="4" t="n"/>
      <c r="AP1109" s="4" t="n"/>
      <c r="AQ1109" s="4" t="n"/>
      <c r="AR1109" s="4" t="n"/>
      <c r="AS1109" s="4" t="n"/>
      <c r="AT1109" s="4" t="n"/>
      <c r="AU1109" s="4" t="n"/>
      <c r="AV1109" s="4" t="n"/>
      <c r="AW1109" s="4" t="n"/>
      <c r="AX1109" s="4" t="n"/>
      <c r="AY1109" s="4" t="n"/>
      <c r="AZ1109" s="4" t="n"/>
      <c r="BA1109" s="4" t="n"/>
      <c r="BB1109" s="4" t="n"/>
      <c r="BC1109" s="4" t="n"/>
      <c r="BD1109" s="4" t="n"/>
      <c r="BE1109" s="4" t="n"/>
      <c r="BF1109" s="4" t="n"/>
      <c r="BG1109" s="4" t="n"/>
      <c r="BH1109" s="4" t="n"/>
      <c r="BI1109" s="4" t="n"/>
      <c r="BJ1109" s="4" t="n"/>
      <c r="BK1109" s="4" t="n"/>
      <c r="BL1109" s="4" t="n"/>
      <c r="BM1109" s="4" t="n"/>
      <c r="BN1109" s="4" t="n"/>
      <c r="BO1109" s="4" t="n"/>
      <c r="BP1109" s="4" t="n"/>
      <c r="BQ1109" s="4" t="n"/>
      <c r="BR1109" s="4" t="n"/>
      <c r="BS1109" s="4" t="n"/>
      <c r="BT1109" s="4" t="n"/>
      <c r="BU1109" s="4" t="n"/>
      <c r="BV1109" s="4" t="n"/>
      <c r="BW1109" s="4" t="n"/>
      <c r="BX1109" s="4" t="n"/>
      <c r="BY1109" s="4" t="n"/>
      <c r="BZ1109" s="4" t="n"/>
      <c r="CA1109" s="4" t="n"/>
      <c r="CB1109" s="4" t="n"/>
      <c r="CC1109" s="4" t="n"/>
      <c r="CD1109" s="4" t="n"/>
      <c r="CE1109" s="4" t="n"/>
      <c r="CF1109" s="4" t="n"/>
      <c r="CG1109" s="4" t="n"/>
      <c r="CH1109" s="4" t="n"/>
      <c r="CI1109" s="4" t="n"/>
      <c r="CJ1109" s="4" t="n"/>
      <c r="CK1109" s="4" t="n"/>
      <c r="CL1109" s="4" t="n"/>
      <c r="CM1109" s="4" t="n"/>
      <c r="CN1109" s="4" t="n"/>
      <c r="CO1109" s="4" t="n"/>
      <c r="CP1109" s="4" t="n"/>
      <c r="CQ1109" s="4" t="n"/>
      <c r="CR1109" s="4" t="n"/>
      <c r="CS1109" s="4" t="n"/>
      <c r="CT1109" s="4" t="n"/>
      <c r="CU1109" s="4" t="n"/>
      <c r="CV1109" s="4" t="n"/>
      <c r="CW1109" s="4" t="n"/>
      <c r="CX1109" s="4" t="n"/>
      <c r="CY1109" s="4" t="n"/>
      <c r="CZ1109" s="4" t="n"/>
      <c r="DA1109" s="4" t="n"/>
      <c r="DB1109" s="4" t="n"/>
      <c r="DC1109" s="4" t="n"/>
      <c r="DD1109" s="4" t="n"/>
      <c r="DE1109" s="4" t="n"/>
      <c r="DF1109" s="4" t="n"/>
      <c r="DG1109" s="4" t="n"/>
      <c r="DH1109" s="4" t="n"/>
      <c r="DI1109" s="4" t="n"/>
      <c r="DJ1109" s="4" t="n"/>
      <c r="DK1109" s="4" t="n"/>
      <c r="DL1109" s="4" t="n"/>
      <c r="DM1109" s="4" t="n"/>
      <c r="DN1109" s="4" t="n"/>
      <c r="DO1109" s="4" t="n"/>
      <c r="DP1109" s="4" t="n"/>
      <c r="DQ1109" s="4" t="n"/>
      <c r="DR1109" s="4" t="n"/>
      <c r="DS1109" s="4" t="n"/>
      <c r="DT1109" s="4" t="n"/>
      <c r="DU1109" s="4" t="n"/>
      <c r="DV1109" s="4" t="n"/>
      <c r="DW1109" s="4" t="n"/>
      <c r="DX1109" s="4" t="n"/>
      <c r="DY1109" s="4" t="n"/>
      <c r="DZ1109" s="4" t="n"/>
      <c r="EA1109" s="4" t="n"/>
      <c r="EB1109" s="4" t="n"/>
      <c r="EC1109" s="4" t="n"/>
      <c r="ED1109" s="4" t="n"/>
      <c r="EE1109" s="4" t="n"/>
      <c r="EF1109" s="4" t="n"/>
      <c r="EG1109" s="4" t="n"/>
      <c r="EH1109" s="4" t="n"/>
      <c r="EI1109" s="4" t="n"/>
      <c r="EJ1109" s="4" t="n"/>
      <c r="EK1109" s="4" t="n"/>
      <c r="EL1109" s="4" t="n"/>
      <c r="EM1109" s="4" t="n"/>
    </row>
    <row r="1110" hidden="1" customFormat="1" s="6">
      <c r="C1110" s="4" t="n"/>
      <c r="D1110" s="4" t="n"/>
      <c r="E1110" s="4" t="n"/>
      <c r="F1110" s="4" t="n"/>
      <c r="G1110" s="4" t="n"/>
      <c r="H1110" s="4" t="n"/>
      <c r="I1110" s="4" t="n"/>
      <c r="J1110" s="4" t="n"/>
      <c r="K1110" s="4" t="n"/>
      <c r="L1110" s="4" t="n"/>
      <c r="M1110" s="4" t="n"/>
      <c r="N1110" s="4" t="n"/>
      <c r="O1110" s="4" t="n"/>
      <c r="P1110" s="4" t="n"/>
      <c r="Q1110" s="4" t="n"/>
      <c r="R1110" s="4" t="n"/>
      <c r="S1110" s="4" t="n"/>
      <c r="T1110" s="4" t="n"/>
      <c r="U1110" s="4" t="n"/>
      <c r="V1110" s="4" t="n"/>
      <c r="W1110" s="4" t="n"/>
      <c r="X1110" s="4" t="n"/>
      <c r="Y1110" s="4" t="n"/>
      <c r="Z1110" s="4" t="n"/>
      <c r="AA1110" s="4" t="n"/>
      <c r="AB1110" s="4" t="n"/>
      <c r="AC1110" s="4" t="n"/>
      <c r="AD1110" s="4" t="n"/>
      <c r="AE1110" s="4" t="n"/>
      <c r="AF1110" s="4" t="n"/>
      <c r="AG1110" s="4" t="n"/>
      <c r="AH1110" s="4" t="n"/>
      <c r="AI1110" s="4" t="n"/>
      <c r="AJ1110" s="4" t="n"/>
      <c r="AK1110" s="4" t="n"/>
      <c r="AL1110" s="4" t="n"/>
      <c r="AM1110" s="4" t="n"/>
      <c r="AN1110" s="4" t="n"/>
      <c r="AO1110" s="4" t="n"/>
      <c r="AP1110" s="4" t="n"/>
      <c r="AQ1110" s="4" t="n"/>
      <c r="AR1110" s="4" t="n"/>
      <c r="AS1110" s="4" t="n"/>
      <c r="AT1110" s="4" t="n"/>
      <c r="AU1110" s="4" t="n"/>
      <c r="AV1110" s="4" t="n"/>
      <c r="AW1110" s="4" t="n"/>
      <c r="AX1110" s="4" t="n"/>
      <c r="AY1110" s="4" t="n"/>
      <c r="AZ1110" s="4" t="n"/>
      <c r="BA1110" s="4" t="n"/>
      <c r="BB1110" s="4" t="n"/>
      <c r="BC1110" s="4" t="n"/>
      <c r="BD1110" s="4" t="n"/>
      <c r="BE1110" s="4" t="n"/>
      <c r="BF1110" s="4" t="n"/>
      <c r="BG1110" s="4" t="n"/>
      <c r="BH1110" s="4" t="n"/>
      <c r="BI1110" s="4" t="n"/>
      <c r="BJ1110" s="4" t="n"/>
      <c r="BK1110" s="4" t="n"/>
      <c r="BL1110" s="4" t="n"/>
      <c r="BM1110" s="4" t="n"/>
      <c r="BN1110" s="4" t="n"/>
      <c r="BO1110" s="4" t="n"/>
      <c r="BP1110" s="4" t="n"/>
      <c r="BQ1110" s="4" t="n"/>
      <c r="BR1110" s="4" t="n"/>
      <c r="BS1110" s="4" t="n"/>
      <c r="BT1110" s="4" t="n"/>
      <c r="BU1110" s="4" t="n"/>
      <c r="BV1110" s="4" t="n"/>
      <c r="BW1110" s="4" t="n"/>
      <c r="BX1110" s="4" t="n"/>
      <c r="BY1110" s="4" t="n"/>
      <c r="BZ1110" s="4" t="n"/>
      <c r="CA1110" s="4" t="n"/>
      <c r="CB1110" s="4" t="n"/>
      <c r="CC1110" s="4" t="n"/>
      <c r="CD1110" s="4" t="n"/>
      <c r="CE1110" s="4" t="n"/>
      <c r="CF1110" s="4" t="n"/>
      <c r="CG1110" s="4" t="n"/>
      <c r="CH1110" s="4" t="n"/>
      <c r="CI1110" s="4" t="n"/>
      <c r="CJ1110" s="4" t="n"/>
      <c r="CK1110" s="4" t="n"/>
      <c r="CL1110" s="4" t="n"/>
      <c r="CM1110" s="4" t="n"/>
      <c r="CN1110" s="4" t="n"/>
      <c r="CO1110" s="4" t="n"/>
      <c r="CP1110" s="4" t="n"/>
      <c r="CQ1110" s="4" t="n"/>
      <c r="CR1110" s="4" t="n"/>
      <c r="CS1110" s="4" t="n"/>
      <c r="CT1110" s="4" t="n"/>
      <c r="CU1110" s="4" t="n"/>
      <c r="CV1110" s="4" t="n"/>
      <c r="CW1110" s="4" t="n"/>
      <c r="CX1110" s="4" t="n"/>
      <c r="CY1110" s="4" t="n"/>
      <c r="CZ1110" s="4" t="n"/>
      <c r="DA1110" s="4" t="n"/>
      <c r="DB1110" s="4" t="n"/>
      <c r="DC1110" s="4" t="n"/>
      <c r="DD1110" s="4" t="n"/>
      <c r="DE1110" s="4" t="n"/>
      <c r="DF1110" s="4" t="n"/>
      <c r="DG1110" s="4" t="n"/>
      <c r="DH1110" s="4" t="n"/>
      <c r="DI1110" s="4" t="n"/>
      <c r="DJ1110" s="4" t="n"/>
      <c r="DK1110" s="4" t="n"/>
      <c r="DL1110" s="4" t="n"/>
      <c r="DM1110" s="4" t="n"/>
      <c r="DN1110" s="4" t="n"/>
      <c r="DO1110" s="4" t="n"/>
      <c r="DP1110" s="4" t="n"/>
      <c r="DQ1110" s="4" t="n"/>
      <c r="DR1110" s="4" t="n"/>
      <c r="DS1110" s="4" t="n"/>
      <c r="DT1110" s="4" t="n"/>
      <c r="DU1110" s="4" t="n"/>
      <c r="DV1110" s="4" t="n"/>
      <c r="DW1110" s="4" t="n"/>
      <c r="DX1110" s="4" t="n"/>
      <c r="DY1110" s="4" t="n"/>
      <c r="DZ1110" s="4" t="n"/>
      <c r="EA1110" s="4" t="n"/>
      <c r="EB1110" s="4" t="n"/>
      <c r="EC1110" s="4" t="n"/>
      <c r="ED1110" s="4" t="n"/>
      <c r="EE1110" s="4" t="n"/>
      <c r="EF1110" s="4" t="n"/>
      <c r="EG1110" s="4" t="n"/>
      <c r="EH1110" s="4" t="n"/>
      <c r="EI1110" s="4" t="n"/>
      <c r="EJ1110" s="4" t="n"/>
      <c r="EK1110" s="4" t="n"/>
      <c r="EL1110" s="4" t="n"/>
      <c r="EM1110" s="4" t="n"/>
    </row>
    <row r="1111" hidden="1" customFormat="1" s="6">
      <c r="C1111" s="4" t="n"/>
      <c r="D1111" s="4" t="n"/>
      <c r="E1111" s="4" t="n"/>
      <c r="F1111" s="4" t="n"/>
      <c r="G1111" s="4" t="n"/>
      <c r="H1111" s="4" t="n"/>
      <c r="I1111" s="4" t="n"/>
      <c r="J1111" s="4" t="n"/>
      <c r="K1111" s="4" t="n"/>
      <c r="L1111" s="4" t="n"/>
      <c r="M1111" s="4" t="n"/>
      <c r="N1111" s="4" t="n"/>
      <c r="O1111" s="4" t="n"/>
      <c r="P1111" s="4" t="n"/>
      <c r="Q1111" s="4" t="n"/>
      <c r="R1111" s="4" t="n"/>
      <c r="S1111" s="4" t="n"/>
      <c r="T1111" s="4" t="n"/>
      <c r="U1111" s="4" t="n"/>
      <c r="V1111" s="4" t="n"/>
      <c r="W1111" s="4" t="n"/>
      <c r="X1111" s="4" t="n"/>
      <c r="Y1111" s="4" t="n"/>
      <c r="Z1111" s="4" t="n"/>
      <c r="AA1111" s="4" t="n"/>
      <c r="AB1111" s="4" t="n"/>
      <c r="AC1111" s="4" t="n"/>
      <c r="AD1111" s="4" t="n"/>
      <c r="AE1111" s="4" t="n"/>
      <c r="AF1111" s="4" t="n"/>
      <c r="AG1111" s="4" t="n"/>
      <c r="AH1111" s="4" t="n"/>
      <c r="AI1111" s="4" t="n"/>
      <c r="AJ1111" s="4" t="n"/>
      <c r="AK1111" s="4" t="n"/>
      <c r="AL1111" s="4" t="n"/>
      <c r="AM1111" s="4" t="n"/>
      <c r="AN1111" s="4" t="n"/>
      <c r="AO1111" s="4" t="n"/>
      <c r="AP1111" s="4" t="n"/>
      <c r="AQ1111" s="4" t="n"/>
      <c r="AR1111" s="4" t="n"/>
      <c r="AS1111" s="4" t="n"/>
      <c r="AT1111" s="4" t="n"/>
      <c r="AU1111" s="4" t="n"/>
      <c r="AV1111" s="4" t="n"/>
      <c r="AW1111" s="4" t="n"/>
      <c r="AX1111" s="4" t="n"/>
      <c r="AY1111" s="4" t="n"/>
      <c r="AZ1111" s="4" t="n"/>
      <c r="BA1111" s="4" t="n"/>
      <c r="BB1111" s="4" t="n"/>
      <c r="BC1111" s="4" t="n"/>
      <c r="BD1111" s="4" t="n"/>
      <c r="BE1111" s="4" t="n"/>
      <c r="BF1111" s="4" t="n"/>
      <c r="BG1111" s="4" t="n"/>
      <c r="BH1111" s="4" t="n"/>
      <c r="BI1111" s="4" t="n"/>
      <c r="BJ1111" s="4" t="n"/>
      <c r="BK1111" s="4" t="n"/>
      <c r="BL1111" s="4" t="n"/>
      <c r="BM1111" s="4" t="n"/>
      <c r="BN1111" s="4" t="n"/>
      <c r="BO1111" s="4" t="n"/>
      <c r="BP1111" s="4" t="n"/>
      <c r="BQ1111" s="4" t="n"/>
      <c r="BR1111" s="4" t="n"/>
      <c r="BS1111" s="4" t="n"/>
      <c r="BT1111" s="4" t="n"/>
      <c r="BU1111" s="4" t="n"/>
      <c r="BV1111" s="4" t="n"/>
      <c r="BW1111" s="4" t="n"/>
      <c r="BX1111" s="4" t="n"/>
      <c r="BY1111" s="4" t="n"/>
      <c r="BZ1111" s="4" t="n"/>
      <c r="CA1111" s="4" t="n"/>
      <c r="CB1111" s="4" t="n"/>
      <c r="CC1111" s="4" t="n"/>
      <c r="CD1111" s="4" t="n"/>
      <c r="CE1111" s="4" t="n"/>
      <c r="CF1111" s="4" t="n"/>
      <c r="CG1111" s="4" t="n"/>
      <c r="CH1111" s="4" t="n"/>
      <c r="CI1111" s="4" t="n"/>
      <c r="CJ1111" s="4" t="n"/>
      <c r="CK1111" s="4" t="n"/>
      <c r="CL1111" s="4" t="n"/>
      <c r="CM1111" s="4" t="n"/>
      <c r="CN1111" s="4" t="n"/>
      <c r="CO1111" s="4" t="n"/>
      <c r="CP1111" s="4" t="n"/>
      <c r="CQ1111" s="4" t="n"/>
      <c r="CR1111" s="4" t="n"/>
      <c r="CS1111" s="4" t="n"/>
      <c r="CT1111" s="4" t="n"/>
      <c r="CU1111" s="4" t="n"/>
      <c r="CV1111" s="4" t="n"/>
      <c r="CW1111" s="4" t="n"/>
      <c r="CX1111" s="4" t="n"/>
      <c r="CY1111" s="4" t="n"/>
      <c r="CZ1111" s="4" t="n"/>
      <c r="DA1111" s="4" t="n"/>
      <c r="DB1111" s="4" t="n"/>
      <c r="DC1111" s="4" t="n"/>
      <c r="DD1111" s="4" t="n"/>
      <c r="DE1111" s="4" t="n"/>
      <c r="DF1111" s="4" t="n"/>
      <c r="DG1111" s="4" t="n"/>
      <c r="DH1111" s="4" t="n"/>
      <c r="DI1111" s="4" t="n"/>
      <c r="DJ1111" s="4" t="n"/>
      <c r="DK1111" s="4" t="n"/>
      <c r="DL1111" s="4" t="n"/>
      <c r="DM1111" s="4" t="n"/>
      <c r="DN1111" s="4" t="n"/>
      <c r="DO1111" s="4" t="n"/>
      <c r="DP1111" s="4" t="n"/>
      <c r="DQ1111" s="4" t="n"/>
      <c r="DR1111" s="4" t="n"/>
      <c r="DS1111" s="4" t="n"/>
      <c r="DT1111" s="4" t="n"/>
      <c r="DU1111" s="4" t="n"/>
      <c r="DV1111" s="4" t="n"/>
      <c r="DW1111" s="4" t="n"/>
      <c r="DX1111" s="4" t="n"/>
      <c r="DY1111" s="4" t="n"/>
      <c r="DZ1111" s="4" t="n"/>
      <c r="EA1111" s="4" t="n"/>
      <c r="EB1111" s="4" t="n"/>
      <c r="EC1111" s="4" t="n"/>
      <c r="ED1111" s="4" t="n"/>
      <c r="EE1111" s="4" t="n"/>
      <c r="EF1111" s="4" t="n"/>
      <c r="EG1111" s="4" t="n"/>
      <c r="EH1111" s="4" t="n"/>
      <c r="EI1111" s="4" t="n"/>
      <c r="EJ1111" s="4" t="n"/>
      <c r="EK1111" s="4" t="n"/>
      <c r="EL1111" s="4" t="n"/>
      <c r="EM1111" s="4" t="n"/>
    </row>
    <row r="1112" hidden="1" customFormat="1" s="6">
      <c r="C1112" s="4" t="n"/>
      <c r="D1112" s="4" t="n"/>
      <c r="E1112" s="4" t="n"/>
      <c r="F1112" s="4" t="n"/>
      <c r="G1112" s="4" t="n"/>
      <c r="H1112" s="4" t="n"/>
      <c r="I1112" s="4" t="n"/>
      <c r="J1112" s="4" t="n"/>
      <c r="K1112" s="4" t="n"/>
      <c r="L1112" s="4" t="n"/>
      <c r="M1112" s="4" t="n"/>
      <c r="N1112" s="4" t="n"/>
      <c r="O1112" s="4" t="n"/>
      <c r="P1112" s="4" t="n"/>
      <c r="Q1112" s="4" t="n"/>
      <c r="R1112" s="4" t="n"/>
      <c r="S1112" s="4" t="n"/>
      <c r="T1112" s="4" t="n"/>
      <c r="U1112" s="4" t="n"/>
      <c r="V1112" s="4" t="n"/>
      <c r="W1112" s="4" t="n"/>
      <c r="X1112" s="4" t="n"/>
      <c r="Y1112" s="4" t="n"/>
      <c r="Z1112" s="4" t="n"/>
      <c r="AA1112" s="4" t="n"/>
      <c r="AB1112" s="4" t="n"/>
      <c r="AC1112" s="4" t="n"/>
      <c r="AD1112" s="4" t="n"/>
      <c r="AE1112" s="4" t="n"/>
      <c r="AF1112" s="4" t="n"/>
      <c r="AG1112" s="4" t="n"/>
      <c r="AH1112" s="4" t="n"/>
      <c r="AI1112" s="4" t="n"/>
      <c r="AJ1112" s="4" t="n"/>
      <c r="AK1112" s="4" t="n"/>
      <c r="AL1112" s="4" t="n"/>
      <c r="AM1112" s="4" t="n"/>
      <c r="AN1112" s="4" t="n"/>
      <c r="AO1112" s="4" t="n"/>
      <c r="AP1112" s="4" t="n"/>
      <c r="AQ1112" s="4" t="n"/>
      <c r="AR1112" s="4" t="n"/>
      <c r="AS1112" s="4" t="n"/>
      <c r="AT1112" s="4" t="n"/>
      <c r="AU1112" s="4" t="n"/>
      <c r="AV1112" s="4" t="n"/>
      <c r="AW1112" s="4" t="n"/>
      <c r="AX1112" s="4" t="n"/>
      <c r="AY1112" s="4" t="n"/>
      <c r="AZ1112" s="4" t="n"/>
      <c r="BA1112" s="4" t="n"/>
      <c r="BB1112" s="4" t="n"/>
      <c r="BC1112" s="4" t="n"/>
      <c r="BD1112" s="4" t="n"/>
      <c r="BE1112" s="4" t="n"/>
      <c r="BF1112" s="4" t="n"/>
      <c r="BG1112" s="4" t="n"/>
      <c r="BH1112" s="4" t="n"/>
      <c r="BI1112" s="4" t="n"/>
      <c r="BJ1112" s="4" t="n"/>
      <c r="BK1112" s="4" t="n"/>
      <c r="BL1112" s="4" t="n"/>
      <c r="BM1112" s="4" t="n"/>
      <c r="BN1112" s="4" t="n"/>
      <c r="BO1112" s="4" t="n"/>
      <c r="BP1112" s="4" t="n"/>
      <c r="BQ1112" s="4" t="n"/>
      <c r="BR1112" s="4" t="n"/>
      <c r="BS1112" s="4" t="n"/>
      <c r="BT1112" s="4" t="n"/>
      <c r="BU1112" s="4" t="n"/>
      <c r="BV1112" s="4" t="n"/>
      <c r="BW1112" s="4" t="n"/>
      <c r="BX1112" s="4" t="n"/>
      <c r="BY1112" s="4" t="n"/>
      <c r="BZ1112" s="4" t="n"/>
      <c r="CA1112" s="4" t="n"/>
      <c r="CB1112" s="4" t="n"/>
      <c r="CC1112" s="4" t="n"/>
      <c r="CD1112" s="4" t="n"/>
      <c r="CE1112" s="4" t="n"/>
      <c r="CF1112" s="4" t="n"/>
      <c r="CG1112" s="4" t="n"/>
      <c r="CH1112" s="4" t="n"/>
      <c r="CI1112" s="4" t="n"/>
      <c r="CJ1112" s="4" t="n"/>
      <c r="CK1112" s="4" t="n"/>
      <c r="CL1112" s="4" t="n"/>
      <c r="CM1112" s="4" t="n"/>
      <c r="CN1112" s="4" t="n"/>
      <c r="CO1112" s="4" t="n"/>
      <c r="CP1112" s="4" t="n"/>
      <c r="CQ1112" s="4" t="n"/>
      <c r="CR1112" s="4" t="n"/>
      <c r="CS1112" s="4" t="n"/>
      <c r="CT1112" s="4" t="n"/>
      <c r="CU1112" s="4" t="n"/>
      <c r="CV1112" s="4" t="n"/>
      <c r="CW1112" s="4" t="n"/>
      <c r="CX1112" s="4" t="n"/>
      <c r="CY1112" s="4" t="n"/>
      <c r="CZ1112" s="4" t="n"/>
      <c r="DA1112" s="4" t="n"/>
      <c r="DB1112" s="4" t="n"/>
      <c r="DC1112" s="4" t="n"/>
      <c r="DD1112" s="4" t="n"/>
      <c r="DE1112" s="4" t="n"/>
      <c r="DF1112" s="4" t="n"/>
      <c r="DG1112" s="4" t="n"/>
      <c r="DH1112" s="4" t="n"/>
      <c r="DI1112" s="4" t="n"/>
      <c r="DJ1112" s="4" t="n"/>
      <c r="DK1112" s="4" t="n"/>
      <c r="DL1112" s="4" t="n"/>
      <c r="DM1112" s="4" t="n"/>
      <c r="DN1112" s="4" t="n"/>
      <c r="DO1112" s="4" t="n"/>
      <c r="DP1112" s="4" t="n"/>
      <c r="DQ1112" s="4" t="n"/>
      <c r="DR1112" s="4" t="n"/>
      <c r="DS1112" s="4" t="n"/>
      <c r="DT1112" s="4" t="n"/>
      <c r="DU1112" s="4" t="n"/>
      <c r="DV1112" s="4" t="n"/>
      <c r="DW1112" s="4" t="n"/>
      <c r="DX1112" s="4" t="n"/>
      <c r="DY1112" s="4" t="n"/>
      <c r="DZ1112" s="4" t="n"/>
      <c r="EA1112" s="4" t="n"/>
      <c r="EB1112" s="4" t="n"/>
      <c r="EC1112" s="4" t="n"/>
      <c r="ED1112" s="4" t="n"/>
      <c r="EE1112" s="4" t="n"/>
      <c r="EF1112" s="4" t="n"/>
      <c r="EG1112" s="4" t="n"/>
      <c r="EH1112" s="4" t="n"/>
      <c r="EI1112" s="4" t="n"/>
      <c r="EJ1112" s="4" t="n"/>
      <c r="EK1112" s="4" t="n"/>
      <c r="EL1112" s="4" t="n"/>
      <c r="EM1112" s="4" t="n"/>
    </row>
    <row r="1113" hidden="1" customFormat="1" s="6">
      <c r="C1113" s="4" t="n"/>
      <c r="D1113" s="4" t="n"/>
      <c r="E1113" s="4" t="n"/>
      <c r="F1113" s="4" t="n"/>
      <c r="G1113" s="4" t="n"/>
      <c r="H1113" s="4" t="n"/>
      <c r="I1113" s="4" t="n"/>
      <c r="J1113" s="4" t="n"/>
      <c r="K1113" s="4" t="n"/>
      <c r="L1113" s="4" t="n"/>
      <c r="M1113" s="4" t="n"/>
      <c r="N1113" s="4" t="n"/>
      <c r="O1113" s="4" t="n"/>
      <c r="P1113" s="4" t="n"/>
      <c r="Q1113" s="4" t="n"/>
      <c r="R1113" s="4" t="n"/>
      <c r="S1113" s="4" t="n"/>
      <c r="T1113" s="4" t="n"/>
      <c r="U1113" s="4" t="n"/>
      <c r="V1113" s="4" t="n"/>
      <c r="W1113" s="4" t="n"/>
      <c r="X1113" s="4" t="n"/>
      <c r="Y1113" s="4" t="n"/>
      <c r="Z1113" s="4" t="n"/>
      <c r="AA1113" s="4" t="n"/>
      <c r="AB1113" s="4" t="n"/>
      <c r="AC1113" s="4" t="n"/>
      <c r="AD1113" s="4" t="n"/>
      <c r="AE1113" s="4" t="n"/>
      <c r="AF1113" s="4" t="n"/>
      <c r="AG1113" s="4" t="n"/>
      <c r="AH1113" s="4" t="n"/>
      <c r="AI1113" s="4" t="n"/>
      <c r="AJ1113" s="4" t="n"/>
      <c r="AK1113" s="4" t="n"/>
      <c r="AL1113" s="4" t="n"/>
      <c r="AM1113" s="4" t="n"/>
      <c r="AN1113" s="4" t="n"/>
      <c r="AO1113" s="4" t="n"/>
      <c r="AP1113" s="4" t="n"/>
      <c r="AQ1113" s="4" t="n"/>
      <c r="AR1113" s="4" t="n"/>
      <c r="AS1113" s="4" t="n"/>
      <c r="AT1113" s="4" t="n"/>
      <c r="AU1113" s="4" t="n"/>
      <c r="AV1113" s="4" t="n"/>
      <c r="AW1113" s="4" t="n"/>
      <c r="AX1113" s="4" t="n"/>
      <c r="AY1113" s="4" t="n"/>
      <c r="AZ1113" s="4" t="n"/>
      <c r="BA1113" s="4" t="n"/>
      <c r="BB1113" s="4" t="n"/>
      <c r="BC1113" s="4" t="n"/>
      <c r="BD1113" s="4" t="n"/>
      <c r="BE1113" s="4" t="n"/>
      <c r="BF1113" s="4" t="n"/>
      <c r="BG1113" s="4" t="n"/>
      <c r="BH1113" s="4" t="n"/>
      <c r="BI1113" s="4" t="n"/>
      <c r="BJ1113" s="4" t="n"/>
      <c r="BK1113" s="4" t="n"/>
      <c r="BL1113" s="4" t="n"/>
      <c r="BM1113" s="4" t="n"/>
      <c r="BN1113" s="4" t="n"/>
      <c r="BO1113" s="4" t="n"/>
      <c r="BP1113" s="4" t="n"/>
      <c r="BQ1113" s="4" t="n"/>
      <c r="BR1113" s="4" t="n"/>
      <c r="BS1113" s="4" t="n"/>
      <c r="BT1113" s="4" t="n"/>
      <c r="BU1113" s="4" t="n"/>
      <c r="BV1113" s="4" t="n"/>
      <c r="BW1113" s="4" t="n"/>
      <c r="BX1113" s="4" t="n"/>
      <c r="BY1113" s="4" t="n"/>
      <c r="BZ1113" s="4" t="n"/>
      <c r="CA1113" s="4" t="n"/>
      <c r="CB1113" s="4" t="n"/>
      <c r="CC1113" s="4" t="n"/>
      <c r="CD1113" s="4" t="n"/>
      <c r="CE1113" s="4" t="n"/>
      <c r="CF1113" s="4" t="n"/>
      <c r="CG1113" s="4" t="n"/>
      <c r="CH1113" s="4" t="n"/>
      <c r="CI1113" s="4" t="n"/>
      <c r="CJ1113" s="4" t="n"/>
      <c r="CK1113" s="4" t="n"/>
      <c r="CL1113" s="4" t="n"/>
      <c r="CM1113" s="4" t="n"/>
      <c r="CN1113" s="4" t="n"/>
      <c r="CO1113" s="4" t="n"/>
      <c r="CP1113" s="4" t="n"/>
      <c r="CQ1113" s="4" t="n"/>
      <c r="CR1113" s="4" t="n"/>
      <c r="CS1113" s="4" t="n"/>
      <c r="CT1113" s="4" t="n"/>
      <c r="CU1113" s="4" t="n"/>
      <c r="CV1113" s="4" t="n"/>
      <c r="CW1113" s="4" t="n"/>
      <c r="CX1113" s="4" t="n"/>
      <c r="CY1113" s="4" t="n"/>
      <c r="CZ1113" s="4" t="n"/>
      <c r="DA1113" s="4" t="n"/>
      <c r="DB1113" s="4" t="n"/>
      <c r="DC1113" s="4" t="n"/>
      <c r="DD1113" s="4" t="n"/>
      <c r="DE1113" s="4" t="n"/>
      <c r="DF1113" s="4" t="n"/>
      <c r="DG1113" s="4" t="n"/>
      <c r="DH1113" s="4" t="n"/>
      <c r="DI1113" s="4" t="n"/>
      <c r="DJ1113" s="4" t="n"/>
      <c r="DK1113" s="4" t="n"/>
      <c r="DL1113" s="4" t="n"/>
      <c r="DM1113" s="4" t="n"/>
      <c r="DN1113" s="4" t="n"/>
      <c r="DO1113" s="4" t="n"/>
      <c r="DP1113" s="4" t="n"/>
      <c r="DQ1113" s="4" t="n"/>
      <c r="DR1113" s="4" t="n"/>
      <c r="DS1113" s="4" t="n"/>
      <c r="DT1113" s="4" t="n"/>
      <c r="DU1113" s="4" t="n"/>
      <c r="DV1113" s="4" t="n"/>
      <c r="DW1113" s="4" t="n"/>
      <c r="DX1113" s="4" t="n"/>
      <c r="DY1113" s="4" t="n"/>
      <c r="DZ1113" s="4" t="n"/>
      <c r="EA1113" s="4" t="n"/>
      <c r="EB1113" s="4" t="n"/>
      <c r="EC1113" s="4" t="n"/>
      <c r="ED1113" s="4" t="n"/>
      <c r="EE1113" s="4" t="n"/>
      <c r="EF1113" s="4" t="n"/>
      <c r="EG1113" s="4" t="n"/>
      <c r="EH1113" s="4" t="n"/>
      <c r="EI1113" s="4" t="n"/>
      <c r="EJ1113" s="4" t="n"/>
      <c r="EK1113" s="4" t="n"/>
      <c r="EL1113" s="4" t="n"/>
      <c r="EM1113" s="4" t="n"/>
    </row>
    <row r="1114" hidden="1" customFormat="1" s="6">
      <c r="C1114" s="4" t="n"/>
      <c r="D1114" s="4" t="n"/>
      <c r="E1114" s="4" t="n"/>
      <c r="F1114" s="4" t="n"/>
      <c r="G1114" s="4" t="n"/>
      <c r="H1114" s="4" t="n"/>
      <c r="I1114" s="4" t="n"/>
      <c r="J1114" s="4" t="n"/>
      <c r="K1114" s="4" t="n"/>
      <c r="L1114" s="4" t="n"/>
      <c r="M1114" s="4" t="n"/>
      <c r="N1114" s="4" t="n"/>
      <c r="O1114" s="4" t="n"/>
      <c r="P1114" s="4" t="n"/>
      <c r="Q1114" s="4" t="n"/>
      <c r="R1114" s="4" t="n"/>
      <c r="S1114" s="4" t="n"/>
      <c r="T1114" s="4" t="n"/>
      <c r="U1114" s="4" t="n"/>
      <c r="V1114" s="4" t="n"/>
      <c r="W1114" s="4" t="n"/>
      <c r="X1114" s="4" t="n"/>
      <c r="Y1114" s="4" t="n"/>
      <c r="Z1114" s="4" t="n"/>
      <c r="AA1114" s="4" t="n"/>
      <c r="AB1114" s="4" t="n"/>
      <c r="AC1114" s="4" t="n"/>
      <c r="AD1114" s="4" t="n"/>
      <c r="AE1114" s="4" t="n"/>
      <c r="AF1114" s="4" t="n"/>
      <c r="AG1114" s="4" t="n"/>
      <c r="AH1114" s="4" t="n"/>
      <c r="AI1114" s="4" t="n"/>
      <c r="AJ1114" s="4" t="n"/>
      <c r="AK1114" s="4" t="n"/>
      <c r="AL1114" s="4" t="n"/>
      <c r="AM1114" s="4" t="n"/>
      <c r="AN1114" s="4" t="n"/>
      <c r="AO1114" s="4" t="n"/>
      <c r="AP1114" s="4" t="n"/>
      <c r="AQ1114" s="4" t="n"/>
      <c r="AR1114" s="4" t="n"/>
      <c r="AS1114" s="4" t="n"/>
      <c r="AT1114" s="4" t="n"/>
      <c r="AU1114" s="4" t="n"/>
      <c r="AV1114" s="4" t="n"/>
      <c r="AW1114" s="4" t="n"/>
      <c r="AX1114" s="4" t="n"/>
      <c r="AY1114" s="4" t="n"/>
      <c r="AZ1114" s="4" t="n"/>
      <c r="BA1114" s="4" t="n"/>
      <c r="BB1114" s="4" t="n"/>
      <c r="BC1114" s="4" t="n"/>
      <c r="BD1114" s="4" t="n"/>
      <c r="BE1114" s="4" t="n"/>
      <c r="BF1114" s="4" t="n"/>
      <c r="BG1114" s="4" t="n"/>
      <c r="BH1114" s="4" t="n"/>
      <c r="BI1114" s="4" t="n"/>
      <c r="BJ1114" s="4" t="n"/>
      <c r="BK1114" s="4" t="n"/>
      <c r="BL1114" s="4" t="n"/>
      <c r="BM1114" s="4" t="n"/>
      <c r="BN1114" s="4" t="n"/>
      <c r="BO1114" s="4" t="n"/>
      <c r="BP1114" s="4" t="n"/>
      <c r="BQ1114" s="4" t="n"/>
      <c r="BR1114" s="4" t="n"/>
      <c r="BS1114" s="4" t="n"/>
      <c r="BT1114" s="4" t="n"/>
      <c r="BU1114" s="4" t="n"/>
      <c r="BV1114" s="4" t="n"/>
      <c r="BW1114" s="4" t="n"/>
      <c r="BX1114" s="4" t="n"/>
      <c r="BY1114" s="4" t="n"/>
      <c r="BZ1114" s="4" t="n"/>
      <c r="CA1114" s="4" t="n"/>
      <c r="CB1114" s="4" t="n"/>
      <c r="CC1114" s="4" t="n"/>
      <c r="CD1114" s="4" t="n"/>
      <c r="CE1114" s="4" t="n"/>
      <c r="CF1114" s="4" t="n"/>
      <c r="CG1114" s="4" t="n"/>
      <c r="CH1114" s="4" t="n"/>
      <c r="CI1114" s="4" t="n"/>
      <c r="CJ1114" s="4" t="n"/>
      <c r="CK1114" s="4" t="n"/>
      <c r="CL1114" s="4" t="n"/>
      <c r="CM1114" s="4" t="n"/>
      <c r="CN1114" s="4" t="n"/>
      <c r="CO1114" s="4" t="n"/>
      <c r="CP1114" s="4" t="n"/>
      <c r="CQ1114" s="4" t="n"/>
      <c r="CR1114" s="4" t="n"/>
      <c r="CS1114" s="4" t="n"/>
      <c r="CT1114" s="4" t="n"/>
      <c r="CU1114" s="4" t="n"/>
      <c r="CV1114" s="4" t="n"/>
      <c r="CW1114" s="4" t="n"/>
      <c r="CX1114" s="4" t="n"/>
      <c r="CY1114" s="4" t="n"/>
      <c r="CZ1114" s="4" t="n"/>
      <c r="DA1114" s="4" t="n"/>
      <c r="DB1114" s="4" t="n"/>
      <c r="DC1114" s="4" t="n"/>
      <c r="DD1114" s="4" t="n"/>
      <c r="DE1114" s="4" t="n"/>
      <c r="DF1114" s="4" t="n"/>
      <c r="DG1114" s="4" t="n"/>
      <c r="DH1114" s="4" t="n"/>
      <c r="DI1114" s="4" t="n"/>
      <c r="DJ1114" s="4" t="n"/>
      <c r="DK1114" s="4" t="n"/>
      <c r="DL1114" s="4" t="n"/>
      <c r="DM1114" s="4" t="n"/>
      <c r="DN1114" s="4" t="n"/>
      <c r="DO1114" s="4" t="n"/>
      <c r="DP1114" s="4" t="n"/>
      <c r="DQ1114" s="4" t="n"/>
      <c r="DR1114" s="4" t="n"/>
      <c r="DS1114" s="4" t="n"/>
      <c r="DT1114" s="4" t="n"/>
      <c r="DU1114" s="4" t="n"/>
      <c r="DV1114" s="4" t="n"/>
      <c r="DW1114" s="4" t="n"/>
      <c r="DX1114" s="4" t="n"/>
      <c r="DY1114" s="4" t="n"/>
      <c r="DZ1114" s="4" t="n"/>
      <c r="EA1114" s="4" t="n"/>
      <c r="EB1114" s="4" t="n"/>
      <c r="EC1114" s="4" t="n"/>
      <c r="ED1114" s="4" t="n"/>
      <c r="EE1114" s="4" t="n"/>
      <c r="EF1114" s="4" t="n"/>
      <c r="EG1114" s="4" t="n"/>
      <c r="EH1114" s="4" t="n"/>
      <c r="EI1114" s="4" t="n"/>
      <c r="EJ1114" s="4" t="n"/>
      <c r="EK1114" s="4" t="n"/>
      <c r="EL1114" s="4" t="n"/>
      <c r="EM1114" s="4" t="n"/>
    </row>
    <row r="1115" hidden="1" customFormat="1" s="6">
      <c r="C1115" s="4" t="n"/>
      <c r="D1115" s="4" t="n"/>
      <c r="E1115" s="4" t="n"/>
      <c r="F1115" s="4" t="n"/>
      <c r="G1115" s="4" t="n"/>
      <c r="H1115" s="4" t="n"/>
      <c r="I1115" s="4" t="n"/>
      <c r="J1115" s="4" t="n"/>
      <c r="K1115" s="4" t="n"/>
      <c r="L1115" s="4" t="n"/>
      <c r="M1115" s="4" t="n"/>
      <c r="N1115" s="4" t="n"/>
      <c r="O1115" s="4" t="n"/>
      <c r="P1115" s="4" t="n"/>
      <c r="Q1115" s="4" t="n"/>
      <c r="R1115" s="4" t="n"/>
      <c r="S1115" s="4" t="n"/>
      <c r="T1115" s="4" t="n"/>
      <c r="U1115" s="4" t="n"/>
      <c r="V1115" s="4" t="n"/>
      <c r="W1115" s="4" t="n"/>
      <c r="X1115" s="4" t="n"/>
      <c r="Y1115" s="4" t="n"/>
      <c r="Z1115" s="4" t="n"/>
      <c r="AA1115" s="4" t="n"/>
      <c r="AB1115" s="4" t="n"/>
      <c r="AC1115" s="4" t="n"/>
      <c r="AD1115" s="4" t="n"/>
      <c r="AE1115" s="4" t="n"/>
      <c r="AF1115" s="4" t="n"/>
      <c r="AG1115" s="4" t="n"/>
      <c r="AH1115" s="4" t="n"/>
      <c r="AI1115" s="4" t="n"/>
      <c r="AJ1115" s="4" t="n"/>
      <c r="AK1115" s="4" t="n"/>
      <c r="AL1115" s="4" t="n"/>
      <c r="AM1115" s="4" t="n"/>
      <c r="AN1115" s="4" t="n"/>
      <c r="AO1115" s="4" t="n"/>
      <c r="AP1115" s="4" t="n"/>
      <c r="AQ1115" s="4" t="n"/>
      <c r="AR1115" s="4" t="n"/>
      <c r="AS1115" s="4" t="n"/>
      <c r="AT1115" s="4" t="n"/>
      <c r="AU1115" s="4" t="n"/>
      <c r="AV1115" s="4" t="n"/>
      <c r="AW1115" s="4" t="n"/>
      <c r="AX1115" s="4" t="n"/>
      <c r="AY1115" s="4" t="n"/>
      <c r="AZ1115" s="4" t="n"/>
      <c r="BA1115" s="4" t="n"/>
      <c r="BB1115" s="4" t="n"/>
      <c r="BC1115" s="4" t="n"/>
      <c r="BD1115" s="4" t="n"/>
      <c r="BE1115" s="4" t="n"/>
      <c r="BF1115" s="4" t="n"/>
      <c r="BG1115" s="4" t="n"/>
      <c r="BH1115" s="4" t="n"/>
      <c r="BI1115" s="4" t="n"/>
      <c r="BJ1115" s="4" t="n"/>
      <c r="BK1115" s="4" t="n"/>
      <c r="BL1115" s="4" t="n"/>
      <c r="BM1115" s="4" t="n"/>
      <c r="BN1115" s="4" t="n"/>
      <c r="BO1115" s="4" t="n"/>
      <c r="BP1115" s="4" t="n"/>
      <c r="BQ1115" s="4" t="n"/>
      <c r="BR1115" s="4" t="n"/>
      <c r="BS1115" s="4" t="n"/>
      <c r="BT1115" s="4" t="n"/>
      <c r="BU1115" s="4" t="n"/>
      <c r="BV1115" s="4" t="n"/>
      <c r="BW1115" s="4" t="n"/>
      <c r="BX1115" s="4" t="n"/>
      <c r="BY1115" s="4" t="n"/>
      <c r="BZ1115" s="4" t="n"/>
      <c r="CA1115" s="4" t="n"/>
      <c r="CB1115" s="4" t="n"/>
      <c r="CC1115" s="4" t="n"/>
      <c r="CD1115" s="4" t="n"/>
      <c r="CE1115" s="4" t="n"/>
      <c r="CF1115" s="4" t="n"/>
      <c r="CG1115" s="4" t="n"/>
      <c r="CH1115" s="4" t="n"/>
      <c r="CI1115" s="4" t="n"/>
      <c r="CJ1115" s="4" t="n"/>
      <c r="CK1115" s="4" t="n"/>
      <c r="CL1115" s="4" t="n"/>
      <c r="CM1115" s="4" t="n"/>
      <c r="CN1115" s="4" t="n"/>
      <c r="CO1115" s="4" t="n"/>
      <c r="CP1115" s="4" t="n"/>
      <c r="CQ1115" s="4" t="n"/>
      <c r="CR1115" s="4" t="n"/>
      <c r="CS1115" s="4" t="n"/>
      <c r="CT1115" s="4" t="n"/>
      <c r="CU1115" s="4" t="n"/>
      <c r="CV1115" s="4" t="n"/>
      <c r="CW1115" s="4" t="n"/>
      <c r="CX1115" s="4" t="n"/>
      <c r="CY1115" s="4" t="n"/>
      <c r="CZ1115" s="4" t="n"/>
      <c r="DA1115" s="4" t="n"/>
      <c r="DB1115" s="4" t="n"/>
      <c r="DC1115" s="4" t="n"/>
      <c r="DD1115" s="4" t="n"/>
      <c r="DE1115" s="4" t="n"/>
      <c r="DF1115" s="4" t="n"/>
      <c r="DG1115" s="4" t="n"/>
      <c r="DH1115" s="4" t="n"/>
      <c r="DI1115" s="4" t="n"/>
      <c r="DJ1115" s="4" t="n"/>
      <c r="DK1115" s="4" t="n"/>
      <c r="DL1115" s="4" t="n"/>
      <c r="DM1115" s="4" t="n"/>
      <c r="DN1115" s="4" t="n"/>
      <c r="DO1115" s="4" t="n"/>
      <c r="DP1115" s="4" t="n"/>
      <c r="DQ1115" s="4" t="n"/>
      <c r="DR1115" s="4" t="n"/>
      <c r="DS1115" s="4" t="n"/>
      <c r="DT1115" s="4" t="n"/>
      <c r="DU1115" s="4" t="n"/>
      <c r="DV1115" s="4" t="n"/>
      <c r="DW1115" s="4" t="n"/>
      <c r="DX1115" s="4" t="n"/>
      <c r="DY1115" s="4" t="n"/>
      <c r="DZ1115" s="4" t="n"/>
      <c r="EA1115" s="4" t="n"/>
      <c r="EB1115" s="4" t="n"/>
      <c r="EC1115" s="4" t="n"/>
      <c r="ED1115" s="4" t="n"/>
      <c r="EE1115" s="4" t="n"/>
      <c r="EF1115" s="4" t="n"/>
      <c r="EG1115" s="4" t="n"/>
      <c r="EH1115" s="4" t="n"/>
      <c r="EI1115" s="4" t="n"/>
      <c r="EJ1115" s="4" t="n"/>
      <c r="EK1115" s="4" t="n"/>
      <c r="EL1115" s="4" t="n"/>
      <c r="EM1115" s="4" t="n"/>
    </row>
    <row r="1116" hidden="1" customFormat="1" s="6">
      <c r="C1116" s="4" t="n"/>
      <c r="D1116" s="4" t="n"/>
      <c r="E1116" s="4" t="n"/>
      <c r="F1116" s="4" t="n"/>
      <c r="G1116" s="4" t="n"/>
      <c r="H1116" s="4" t="n"/>
      <c r="I1116" s="4" t="n"/>
      <c r="J1116" s="4" t="n"/>
      <c r="K1116" s="4" t="n"/>
      <c r="L1116" s="4" t="n"/>
      <c r="M1116" s="4" t="n"/>
      <c r="N1116" s="4" t="n"/>
      <c r="O1116" s="4" t="n"/>
      <c r="P1116" s="4" t="n"/>
      <c r="Q1116" s="4" t="n"/>
      <c r="R1116" s="4" t="n"/>
      <c r="S1116" s="4" t="n"/>
      <c r="T1116" s="4" t="n"/>
      <c r="U1116" s="4" t="n"/>
      <c r="V1116" s="4" t="n"/>
      <c r="W1116" s="4" t="n"/>
      <c r="X1116" s="4" t="n"/>
      <c r="Y1116" s="4" t="n"/>
      <c r="Z1116" s="4" t="n"/>
      <c r="AA1116" s="4" t="n"/>
      <c r="AB1116" s="4" t="n"/>
      <c r="AC1116" s="4" t="n"/>
      <c r="AD1116" s="4" t="n"/>
      <c r="AE1116" s="4" t="n"/>
      <c r="AF1116" s="4" t="n"/>
      <c r="AG1116" s="4" t="n"/>
      <c r="AH1116" s="4" t="n"/>
      <c r="AI1116" s="4" t="n"/>
      <c r="AJ1116" s="4" t="n"/>
      <c r="AK1116" s="4" t="n"/>
      <c r="AL1116" s="4" t="n"/>
      <c r="AM1116" s="4" t="n"/>
      <c r="AN1116" s="4" t="n"/>
      <c r="AO1116" s="4" t="n"/>
      <c r="AP1116" s="4" t="n"/>
      <c r="AQ1116" s="4" t="n"/>
      <c r="AR1116" s="4" t="n"/>
      <c r="AS1116" s="4" t="n"/>
      <c r="AT1116" s="4" t="n"/>
      <c r="AU1116" s="4" t="n"/>
      <c r="AV1116" s="4" t="n"/>
      <c r="AW1116" s="4" t="n"/>
      <c r="AX1116" s="4" t="n"/>
      <c r="AY1116" s="4" t="n"/>
      <c r="AZ1116" s="4" t="n"/>
      <c r="BA1116" s="4" t="n"/>
      <c r="BB1116" s="4" t="n"/>
      <c r="BC1116" s="4" t="n"/>
      <c r="BD1116" s="4" t="n"/>
      <c r="BE1116" s="4" t="n"/>
      <c r="BF1116" s="4" t="n"/>
      <c r="BG1116" s="4" t="n"/>
      <c r="BH1116" s="4" t="n"/>
      <c r="BI1116" s="4" t="n"/>
      <c r="BJ1116" s="4" t="n"/>
      <c r="BK1116" s="4" t="n"/>
      <c r="BL1116" s="4" t="n"/>
      <c r="BM1116" s="4" t="n"/>
      <c r="BN1116" s="4" t="n"/>
      <c r="BO1116" s="4" t="n"/>
      <c r="BP1116" s="4" t="n"/>
      <c r="BQ1116" s="4" t="n"/>
      <c r="BR1116" s="4" t="n"/>
      <c r="BS1116" s="4" t="n"/>
      <c r="BT1116" s="4" t="n"/>
      <c r="BU1116" s="4" t="n"/>
      <c r="BV1116" s="4" t="n"/>
      <c r="BW1116" s="4" t="n"/>
      <c r="BX1116" s="4" t="n"/>
      <c r="BY1116" s="4" t="n"/>
      <c r="BZ1116" s="4" t="n"/>
      <c r="CA1116" s="4" t="n"/>
      <c r="CB1116" s="4" t="n"/>
      <c r="CC1116" s="4" t="n"/>
      <c r="CD1116" s="4" t="n"/>
      <c r="CE1116" s="4" t="n"/>
      <c r="CF1116" s="4" t="n"/>
      <c r="CG1116" s="4" t="n"/>
      <c r="CH1116" s="4" t="n"/>
      <c r="CI1116" s="4" t="n"/>
      <c r="CJ1116" s="4" t="n"/>
      <c r="CK1116" s="4" t="n"/>
      <c r="CL1116" s="4" t="n"/>
      <c r="CM1116" s="4" t="n"/>
      <c r="CN1116" s="4" t="n"/>
      <c r="CO1116" s="4" t="n"/>
      <c r="CP1116" s="4" t="n"/>
      <c r="CQ1116" s="4" t="n"/>
      <c r="CR1116" s="4" t="n"/>
      <c r="CS1116" s="4" t="n"/>
      <c r="CT1116" s="4" t="n"/>
      <c r="CU1116" s="4" t="n"/>
      <c r="CV1116" s="4" t="n"/>
      <c r="CW1116" s="4" t="n"/>
      <c r="CX1116" s="4" t="n"/>
      <c r="CY1116" s="4" t="n"/>
      <c r="CZ1116" s="4" t="n"/>
      <c r="DA1116" s="4" t="n"/>
      <c r="DB1116" s="4" t="n"/>
      <c r="DC1116" s="4" t="n"/>
      <c r="DD1116" s="4" t="n"/>
      <c r="DE1116" s="4" t="n"/>
      <c r="DF1116" s="4" t="n"/>
      <c r="DG1116" s="4" t="n"/>
      <c r="DH1116" s="4" t="n"/>
      <c r="DI1116" s="4" t="n"/>
      <c r="DJ1116" s="4" t="n"/>
      <c r="DK1116" s="4" t="n"/>
      <c r="DL1116" s="4" t="n"/>
      <c r="DM1116" s="4" t="n"/>
      <c r="DN1116" s="4" t="n"/>
      <c r="DO1116" s="4" t="n"/>
      <c r="DP1116" s="4" t="n"/>
      <c r="DQ1116" s="4" t="n"/>
      <c r="DR1116" s="4" t="n"/>
      <c r="DS1116" s="4" t="n"/>
      <c r="DT1116" s="4" t="n"/>
      <c r="DU1116" s="4" t="n"/>
      <c r="DV1116" s="4" t="n"/>
      <c r="DW1116" s="4" t="n"/>
      <c r="DX1116" s="4" t="n"/>
      <c r="DY1116" s="4" t="n"/>
      <c r="DZ1116" s="4" t="n"/>
      <c r="EA1116" s="4" t="n"/>
      <c r="EB1116" s="4" t="n"/>
      <c r="EC1116" s="4" t="n"/>
      <c r="ED1116" s="4" t="n"/>
      <c r="EE1116" s="4" t="n"/>
      <c r="EF1116" s="4" t="n"/>
      <c r="EG1116" s="4" t="n"/>
      <c r="EH1116" s="4" t="n"/>
      <c r="EI1116" s="4" t="n"/>
      <c r="EJ1116" s="4" t="n"/>
      <c r="EK1116" s="4" t="n"/>
      <c r="EL1116" s="4" t="n"/>
      <c r="EM1116" s="4" t="n"/>
    </row>
    <row r="1117" hidden="1" customFormat="1" s="6">
      <c r="C1117" s="4" t="n"/>
      <c r="D1117" s="4" t="n"/>
      <c r="E1117" s="4" t="n"/>
      <c r="F1117" s="4" t="n"/>
      <c r="G1117" s="4" t="n"/>
      <c r="H1117" s="4" t="n"/>
      <c r="I1117" s="4" t="n"/>
      <c r="J1117" s="4" t="n"/>
      <c r="K1117" s="4" t="n"/>
      <c r="L1117" s="4" t="n"/>
      <c r="M1117" s="4" t="n"/>
      <c r="N1117" s="4" t="n"/>
      <c r="O1117" s="4" t="n"/>
      <c r="P1117" s="4" t="n"/>
      <c r="Q1117" s="4" t="n"/>
      <c r="R1117" s="4" t="n"/>
      <c r="S1117" s="4" t="n"/>
      <c r="T1117" s="4" t="n"/>
      <c r="U1117" s="4" t="n"/>
      <c r="V1117" s="4" t="n"/>
      <c r="W1117" s="4" t="n"/>
      <c r="X1117" s="4" t="n"/>
      <c r="Y1117" s="4" t="n"/>
      <c r="Z1117" s="4" t="n"/>
      <c r="AA1117" s="4" t="n"/>
      <c r="AB1117" s="4" t="n"/>
      <c r="AC1117" s="4" t="n"/>
      <c r="AD1117" s="4" t="n"/>
      <c r="AE1117" s="4" t="n"/>
      <c r="AF1117" s="4" t="n"/>
      <c r="AG1117" s="4" t="n"/>
      <c r="AH1117" s="4" t="n"/>
      <c r="AI1117" s="4" t="n"/>
      <c r="AJ1117" s="4" t="n"/>
      <c r="AK1117" s="4" t="n"/>
      <c r="AL1117" s="4" t="n"/>
      <c r="AM1117" s="4" t="n"/>
      <c r="AN1117" s="4" t="n"/>
      <c r="AO1117" s="4" t="n"/>
      <c r="AP1117" s="4" t="n"/>
      <c r="AQ1117" s="4" t="n"/>
      <c r="AR1117" s="4" t="n"/>
      <c r="AS1117" s="4" t="n"/>
      <c r="AT1117" s="4" t="n"/>
      <c r="AU1117" s="4" t="n"/>
      <c r="AV1117" s="4" t="n"/>
      <c r="AW1117" s="4" t="n"/>
      <c r="AX1117" s="4" t="n"/>
      <c r="AY1117" s="4" t="n"/>
      <c r="AZ1117" s="4" t="n"/>
      <c r="BA1117" s="4" t="n"/>
      <c r="BB1117" s="4" t="n"/>
      <c r="BC1117" s="4" t="n"/>
      <c r="BD1117" s="4" t="n"/>
      <c r="BE1117" s="4" t="n"/>
      <c r="BF1117" s="4" t="n"/>
      <c r="BG1117" s="4" t="n"/>
      <c r="BH1117" s="4" t="n"/>
      <c r="BI1117" s="4" t="n"/>
      <c r="BJ1117" s="4" t="n"/>
      <c r="BK1117" s="4" t="n"/>
      <c r="BL1117" s="4" t="n"/>
      <c r="BM1117" s="4" t="n"/>
      <c r="BN1117" s="4" t="n"/>
      <c r="BO1117" s="4" t="n"/>
      <c r="BP1117" s="4" t="n"/>
      <c r="BQ1117" s="4" t="n"/>
      <c r="BR1117" s="4" t="n"/>
      <c r="BS1117" s="4" t="n"/>
      <c r="BT1117" s="4" t="n"/>
      <c r="BU1117" s="4" t="n"/>
      <c r="BV1117" s="4" t="n"/>
      <c r="BW1117" s="4" t="n"/>
      <c r="BX1117" s="4" t="n"/>
      <c r="BY1117" s="4" t="n"/>
      <c r="BZ1117" s="4" t="n"/>
      <c r="CA1117" s="4" t="n"/>
      <c r="CB1117" s="4" t="n"/>
      <c r="CC1117" s="4" t="n"/>
      <c r="CD1117" s="4" t="n"/>
      <c r="CE1117" s="4" t="n"/>
      <c r="CF1117" s="4" t="n"/>
      <c r="CG1117" s="4" t="n"/>
      <c r="CH1117" s="4" t="n"/>
      <c r="CI1117" s="4" t="n"/>
      <c r="CJ1117" s="4" t="n"/>
      <c r="CK1117" s="4" t="n"/>
      <c r="CL1117" s="4" t="n"/>
      <c r="CM1117" s="4" t="n"/>
      <c r="CN1117" s="4" t="n"/>
      <c r="CO1117" s="4" t="n"/>
      <c r="CP1117" s="4" t="n"/>
      <c r="CQ1117" s="4" t="n"/>
      <c r="CR1117" s="4" t="n"/>
      <c r="CS1117" s="4" t="n"/>
      <c r="CT1117" s="4" t="n"/>
      <c r="CU1117" s="4" t="n"/>
      <c r="CV1117" s="4" t="n"/>
      <c r="CW1117" s="4" t="n"/>
      <c r="CX1117" s="4" t="n"/>
      <c r="CY1117" s="4" t="n"/>
      <c r="CZ1117" s="4" t="n"/>
      <c r="DA1117" s="4" t="n"/>
      <c r="DB1117" s="4" t="n"/>
      <c r="DC1117" s="4" t="n"/>
      <c r="DD1117" s="4" t="n"/>
      <c r="DE1117" s="4" t="n"/>
      <c r="DF1117" s="4" t="n"/>
      <c r="DG1117" s="4" t="n"/>
      <c r="DH1117" s="4" t="n"/>
      <c r="DI1117" s="4" t="n"/>
      <c r="DJ1117" s="4" t="n"/>
      <c r="DK1117" s="4" t="n"/>
      <c r="DL1117" s="4" t="n"/>
      <c r="DM1117" s="4" t="n"/>
      <c r="DN1117" s="4" t="n"/>
      <c r="DO1117" s="4" t="n"/>
      <c r="DP1117" s="4" t="n"/>
      <c r="DQ1117" s="4" t="n"/>
      <c r="DR1117" s="4" t="n"/>
      <c r="DS1117" s="4" t="n"/>
      <c r="DT1117" s="4" t="n"/>
      <c r="DU1117" s="4" t="n"/>
      <c r="DV1117" s="4" t="n"/>
      <c r="DW1117" s="4" t="n"/>
      <c r="DX1117" s="4" t="n"/>
      <c r="DY1117" s="4" t="n"/>
      <c r="DZ1117" s="4" t="n"/>
      <c r="EA1117" s="4" t="n"/>
      <c r="EB1117" s="4" t="n"/>
      <c r="EC1117" s="4" t="n"/>
      <c r="ED1117" s="4" t="n"/>
      <c r="EE1117" s="4" t="n"/>
      <c r="EF1117" s="4" t="n"/>
      <c r="EG1117" s="4" t="n"/>
      <c r="EH1117" s="4" t="n"/>
      <c r="EI1117" s="4" t="n"/>
      <c r="EJ1117" s="4" t="n"/>
      <c r="EK1117" s="4" t="n"/>
      <c r="EL1117" s="4" t="n"/>
      <c r="EM1117" s="4" t="n"/>
    </row>
    <row r="1118" hidden="1" customFormat="1" s="6">
      <c r="C1118" s="4" t="n"/>
      <c r="D1118" s="4" t="n"/>
      <c r="E1118" s="4" t="n"/>
      <c r="F1118" s="4" t="n"/>
      <c r="G1118" s="4" t="n"/>
      <c r="H1118" s="4" t="n"/>
      <c r="I1118" s="4" t="n"/>
      <c r="J1118" s="4" t="n"/>
      <c r="K1118" s="4" t="n"/>
      <c r="L1118" s="4" t="n"/>
      <c r="M1118" s="4" t="n"/>
      <c r="N1118" s="4" t="n"/>
      <c r="O1118" s="4" t="n"/>
      <c r="P1118" s="4" t="n"/>
      <c r="Q1118" s="4" t="n"/>
      <c r="R1118" s="4" t="n"/>
      <c r="S1118" s="4" t="n"/>
      <c r="T1118" s="4" t="n"/>
      <c r="U1118" s="4" t="n"/>
      <c r="V1118" s="4" t="n"/>
      <c r="W1118" s="4" t="n"/>
      <c r="X1118" s="4" t="n"/>
      <c r="Y1118" s="4" t="n"/>
      <c r="Z1118" s="4" t="n"/>
      <c r="AA1118" s="4" t="n"/>
      <c r="AB1118" s="4" t="n"/>
      <c r="AC1118" s="4" t="n"/>
      <c r="AD1118" s="4" t="n"/>
      <c r="AE1118" s="4" t="n"/>
      <c r="AF1118" s="4" t="n"/>
      <c r="AG1118" s="4" t="n"/>
      <c r="AH1118" s="4" t="n"/>
      <c r="AI1118" s="4" t="n"/>
      <c r="AJ1118" s="4" t="n"/>
      <c r="AK1118" s="4" t="n"/>
      <c r="AL1118" s="4" t="n"/>
      <c r="AM1118" s="4" t="n"/>
      <c r="AN1118" s="4" t="n"/>
      <c r="AO1118" s="4" t="n"/>
      <c r="AP1118" s="4" t="n"/>
      <c r="AQ1118" s="4" t="n"/>
      <c r="AR1118" s="4" t="n"/>
      <c r="AS1118" s="4" t="n"/>
      <c r="AT1118" s="4" t="n"/>
      <c r="AU1118" s="4" t="n"/>
      <c r="AV1118" s="4" t="n"/>
      <c r="AW1118" s="4" t="n"/>
      <c r="AX1118" s="4" t="n"/>
      <c r="AY1118" s="4" t="n"/>
      <c r="AZ1118" s="4" t="n"/>
      <c r="BA1118" s="4" t="n"/>
      <c r="BB1118" s="4" t="n"/>
      <c r="BC1118" s="4" t="n"/>
      <c r="BD1118" s="4" t="n"/>
      <c r="BE1118" s="4" t="n"/>
      <c r="BF1118" s="4" t="n"/>
      <c r="BG1118" s="4" t="n"/>
      <c r="BH1118" s="4" t="n"/>
      <c r="BI1118" s="4" t="n"/>
      <c r="BJ1118" s="4" t="n"/>
      <c r="BK1118" s="4" t="n"/>
      <c r="BL1118" s="4" t="n"/>
      <c r="BM1118" s="4" t="n"/>
      <c r="BN1118" s="4" t="n"/>
      <c r="BO1118" s="4" t="n"/>
      <c r="BP1118" s="4" t="n"/>
      <c r="BQ1118" s="4" t="n"/>
      <c r="BR1118" s="4" t="n"/>
      <c r="BS1118" s="4" t="n"/>
      <c r="BT1118" s="4" t="n"/>
      <c r="BU1118" s="4" t="n"/>
      <c r="BV1118" s="4" t="n"/>
      <c r="BW1118" s="4" t="n"/>
      <c r="BX1118" s="4" t="n"/>
      <c r="BY1118" s="4" t="n"/>
      <c r="BZ1118" s="4" t="n"/>
      <c r="CA1118" s="4" t="n"/>
      <c r="CB1118" s="4" t="n"/>
      <c r="CC1118" s="4" t="n"/>
      <c r="CD1118" s="4" t="n"/>
      <c r="CE1118" s="4" t="n"/>
      <c r="CF1118" s="4" t="n"/>
      <c r="CG1118" s="4" t="n"/>
      <c r="CH1118" s="4" t="n"/>
      <c r="CI1118" s="4" t="n"/>
      <c r="CJ1118" s="4" t="n"/>
      <c r="CK1118" s="4" t="n"/>
      <c r="CL1118" s="4" t="n"/>
      <c r="CM1118" s="4" t="n"/>
      <c r="CN1118" s="4" t="n"/>
      <c r="CO1118" s="4" t="n"/>
      <c r="CP1118" s="4" t="n"/>
      <c r="CQ1118" s="4" t="n"/>
      <c r="CR1118" s="4" t="n"/>
      <c r="CS1118" s="4" t="n"/>
      <c r="CT1118" s="4" t="n"/>
      <c r="CU1118" s="4" t="n"/>
      <c r="CV1118" s="4" t="n"/>
      <c r="CW1118" s="4" t="n"/>
      <c r="CX1118" s="4" t="n"/>
      <c r="CY1118" s="4" t="n"/>
      <c r="CZ1118" s="4" t="n"/>
      <c r="DA1118" s="4" t="n"/>
      <c r="DB1118" s="4" t="n"/>
      <c r="DC1118" s="4" t="n"/>
      <c r="DD1118" s="4" t="n"/>
      <c r="DE1118" s="4" t="n"/>
      <c r="DF1118" s="4" t="n"/>
      <c r="DG1118" s="4" t="n"/>
      <c r="DH1118" s="4" t="n"/>
      <c r="DI1118" s="4" t="n"/>
      <c r="DJ1118" s="4" t="n"/>
      <c r="DK1118" s="4" t="n"/>
      <c r="DL1118" s="4" t="n"/>
      <c r="DM1118" s="4" t="n"/>
      <c r="DN1118" s="4" t="n"/>
      <c r="DO1118" s="4" t="n"/>
      <c r="DP1118" s="4" t="n"/>
      <c r="DQ1118" s="4" t="n"/>
      <c r="DR1118" s="4" t="n"/>
      <c r="DS1118" s="4" t="n"/>
      <c r="DT1118" s="4" t="n"/>
      <c r="DU1118" s="4" t="n"/>
      <c r="DV1118" s="4" t="n"/>
      <c r="DW1118" s="4" t="n"/>
      <c r="DX1118" s="4" t="n"/>
      <c r="DY1118" s="4" t="n"/>
      <c r="DZ1118" s="4" t="n"/>
      <c r="EA1118" s="4" t="n"/>
      <c r="EB1118" s="4" t="n"/>
      <c r="EC1118" s="4" t="n"/>
      <c r="ED1118" s="4" t="n"/>
      <c r="EE1118" s="4" t="n"/>
      <c r="EF1118" s="4" t="n"/>
      <c r="EG1118" s="4" t="n"/>
      <c r="EH1118" s="4" t="n"/>
      <c r="EI1118" s="4" t="n"/>
      <c r="EJ1118" s="4" t="n"/>
      <c r="EK1118" s="4" t="n"/>
      <c r="EL1118" s="4" t="n"/>
      <c r="EM1118" s="4" t="n"/>
    </row>
    <row r="1119" hidden="1" customFormat="1" s="6">
      <c r="C1119" s="4" t="n"/>
      <c r="D1119" s="4" t="n"/>
      <c r="E1119" s="4" t="n"/>
      <c r="F1119" s="4" t="n"/>
      <c r="G1119" s="4" t="n"/>
      <c r="H1119" s="4" t="n"/>
      <c r="I1119" s="4" t="n"/>
      <c r="J1119" s="4" t="n"/>
      <c r="K1119" s="4" t="n"/>
      <c r="L1119" s="4" t="n"/>
      <c r="M1119" s="4" t="n"/>
      <c r="N1119" s="4" t="n"/>
      <c r="O1119" s="4" t="n"/>
      <c r="P1119" s="4" t="n"/>
      <c r="Q1119" s="4" t="n"/>
      <c r="R1119" s="4" t="n"/>
      <c r="S1119" s="4" t="n"/>
      <c r="T1119" s="4" t="n"/>
      <c r="U1119" s="4" t="n"/>
      <c r="V1119" s="4" t="n"/>
      <c r="W1119" s="4" t="n"/>
      <c r="X1119" s="4" t="n"/>
      <c r="Y1119" s="4" t="n"/>
      <c r="Z1119" s="4" t="n"/>
      <c r="AA1119" s="4" t="n"/>
      <c r="AB1119" s="4" t="n"/>
      <c r="AC1119" s="4" t="n"/>
      <c r="AD1119" s="4" t="n"/>
      <c r="AE1119" s="4" t="n"/>
      <c r="AF1119" s="4" t="n"/>
      <c r="AG1119" s="4" t="n"/>
      <c r="AH1119" s="4" t="n"/>
      <c r="AI1119" s="4" t="n"/>
      <c r="AJ1119" s="4" t="n"/>
      <c r="AK1119" s="4" t="n"/>
      <c r="AL1119" s="4" t="n"/>
      <c r="AM1119" s="4" t="n"/>
      <c r="AN1119" s="4" t="n"/>
      <c r="AO1119" s="4" t="n"/>
      <c r="AP1119" s="4" t="n"/>
      <c r="AQ1119" s="4" t="n"/>
      <c r="AR1119" s="4" t="n"/>
      <c r="AS1119" s="4" t="n"/>
      <c r="AT1119" s="4" t="n"/>
      <c r="AU1119" s="4" t="n"/>
      <c r="AV1119" s="4" t="n"/>
      <c r="AW1119" s="4" t="n"/>
      <c r="AX1119" s="4" t="n"/>
      <c r="AY1119" s="4" t="n"/>
      <c r="AZ1119" s="4" t="n"/>
      <c r="BA1119" s="4" t="n"/>
      <c r="BB1119" s="4" t="n"/>
      <c r="BC1119" s="4" t="n"/>
      <c r="BD1119" s="4" t="n"/>
      <c r="BE1119" s="4" t="n"/>
      <c r="BF1119" s="4" t="n"/>
      <c r="BG1119" s="4" t="n"/>
      <c r="BH1119" s="4" t="n"/>
      <c r="BI1119" s="4" t="n"/>
      <c r="BJ1119" s="4" t="n"/>
      <c r="BK1119" s="4" t="n"/>
      <c r="BL1119" s="4" t="n"/>
      <c r="BM1119" s="4" t="n"/>
      <c r="BN1119" s="4" t="n"/>
      <c r="BO1119" s="4" t="n"/>
      <c r="BP1119" s="4" t="n"/>
      <c r="BQ1119" s="4" t="n"/>
      <c r="BR1119" s="4" t="n"/>
      <c r="BS1119" s="4" t="n"/>
      <c r="BT1119" s="4" t="n"/>
      <c r="BU1119" s="4" t="n"/>
      <c r="BV1119" s="4" t="n"/>
      <c r="BW1119" s="4" t="n"/>
      <c r="BX1119" s="4" t="n"/>
      <c r="BY1119" s="4" t="n"/>
      <c r="BZ1119" s="4" t="n"/>
      <c r="CA1119" s="4" t="n"/>
      <c r="CB1119" s="4" t="n"/>
      <c r="CC1119" s="4" t="n"/>
      <c r="CD1119" s="4" t="n"/>
      <c r="CE1119" s="4" t="n"/>
      <c r="CF1119" s="4" t="n"/>
      <c r="CG1119" s="4" t="n"/>
      <c r="CH1119" s="4" t="n"/>
      <c r="CI1119" s="4" t="n"/>
      <c r="CJ1119" s="4" t="n"/>
      <c r="CK1119" s="4" t="n"/>
      <c r="CL1119" s="4" t="n"/>
      <c r="CM1119" s="4" t="n"/>
      <c r="CN1119" s="4" t="n"/>
      <c r="CO1119" s="4" t="n"/>
      <c r="CP1119" s="4" t="n"/>
      <c r="CQ1119" s="4" t="n"/>
      <c r="CR1119" s="4" t="n"/>
      <c r="CS1119" s="4" t="n"/>
      <c r="CT1119" s="4" t="n"/>
      <c r="CU1119" s="4" t="n"/>
      <c r="CV1119" s="4" t="n"/>
      <c r="CW1119" s="4" t="n"/>
      <c r="CX1119" s="4" t="n"/>
      <c r="CY1119" s="4" t="n"/>
      <c r="CZ1119" s="4" t="n"/>
      <c r="DA1119" s="4" t="n"/>
      <c r="DB1119" s="4" t="n"/>
      <c r="DC1119" s="4" t="n"/>
      <c r="DD1119" s="4" t="n"/>
      <c r="DE1119" s="4" t="n"/>
      <c r="DF1119" s="4" t="n"/>
      <c r="DG1119" s="4" t="n"/>
      <c r="DH1119" s="4" t="n"/>
      <c r="DI1119" s="4" t="n"/>
      <c r="DJ1119" s="4" t="n"/>
      <c r="DK1119" s="4" t="n"/>
      <c r="DL1119" s="4" t="n"/>
      <c r="DM1119" s="4" t="n"/>
      <c r="DN1119" s="4" t="n"/>
      <c r="DO1119" s="4" t="n"/>
      <c r="DP1119" s="4" t="n"/>
      <c r="DQ1119" s="4" t="n"/>
      <c r="DR1119" s="4" t="n"/>
      <c r="DS1119" s="4" t="n"/>
      <c r="DT1119" s="4" t="n"/>
      <c r="DU1119" s="4" t="n"/>
      <c r="DV1119" s="4" t="n"/>
      <c r="DW1119" s="4" t="n"/>
      <c r="DX1119" s="4" t="n"/>
      <c r="DY1119" s="4" t="n"/>
      <c r="DZ1119" s="4" t="n"/>
      <c r="EA1119" s="4" t="n"/>
      <c r="EB1119" s="4" t="n"/>
      <c r="EC1119" s="4" t="n"/>
      <c r="ED1119" s="4" t="n"/>
      <c r="EE1119" s="4" t="n"/>
      <c r="EF1119" s="4" t="n"/>
      <c r="EG1119" s="4" t="n"/>
      <c r="EH1119" s="4" t="n"/>
      <c r="EI1119" s="4" t="n"/>
      <c r="EJ1119" s="4" t="n"/>
      <c r="EK1119" s="4" t="n"/>
      <c r="EL1119" s="4" t="n"/>
      <c r="EM1119" s="4" t="n"/>
    </row>
    <row r="1120" hidden="1" customFormat="1" s="6">
      <c r="C1120" s="4" t="n"/>
      <c r="D1120" s="4" t="n"/>
      <c r="E1120" s="4" t="n"/>
      <c r="F1120" s="4" t="n"/>
      <c r="G1120" s="4" t="n"/>
      <c r="H1120" s="4" t="n"/>
      <c r="I1120" s="4" t="n"/>
      <c r="J1120" s="4" t="n"/>
      <c r="K1120" s="4" t="n"/>
      <c r="L1120" s="4" t="n"/>
      <c r="M1120" s="4" t="n"/>
      <c r="N1120" s="4" t="n"/>
      <c r="O1120" s="4" t="n"/>
      <c r="P1120" s="4" t="n"/>
      <c r="Q1120" s="4" t="n"/>
      <c r="R1120" s="4" t="n"/>
      <c r="S1120" s="4" t="n"/>
      <c r="T1120" s="4" t="n"/>
      <c r="U1120" s="4" t="n"/>
      <c r="V1120" s="4" t="n"/>
      <c r="W1120" s="4" t="n"/>
      <c r="X1120" s="4" t="n"/>
      <c r="Y1120" s="4" t="n"/>
      <c r="Z1120" s="4" t="n"/>
      <c r="AA1120" s="4" t="n"/>
      <c r="AB1120" s="4" t="n"/>
      <c r="AC1120" s="4" t="n"/>
      <c r="AD1120" s="4" t="n"/>
      <c r="AE1120" s="4" t="n"/>
      <c r="AF1120" s="4" t="n"/>
      <c r="AG1120" s="4" t="n"/>
      <c r="AH1120" s="4" t="n"/>
      <c r="AI1120" s="4" t="n"/>
      <c r="AJ1120" s="4" t="n"/>
      <c r="AK1120" s="4" t="n"/>
      <c r="AL1120" s="4" t="n"/>
      <c r="AM1120" s="4" t="n"/>
      <c r="AN1120" s="4" t="n"/>
      <c r="AO1120" s="4" t="n"/>
      <c r="AP1120" s="4" t="n"/>
      <c r="AQ1120" s="4" t="n"/>
      <c r="AR1120" s="4" t="n"/>
      <c r="AS1120" s="4" t="n"/>
      <c r="AT1120" s="4" t="n"/>
      <c r="AU1120" s="4" t="n"/>
      <c r="AV1120" s="4" t="n"/>
      <c r="AW1120" s="4" t="n"/>
      <c r="AX1120" s="4" t="n"/>
      <c r="AY1120" s="4" t="n"/>
      <c r="AZ1120" s="4" t="n"/>
      <c r="BA1120" s="4" t="n"/>
      <c r="BB1120" s="4" t="n"/>
      <c r="BC1120" s="4" t="n"/>
      <c r="BD1120" s="4" t="n"/>
      <c r="BE1120" s="4" t="n"/>
      <c r="BF1120" s="4" t="n"/>
      <c r="BG1120" s="4" t="n"/>
      <c r="BH1120" s="4" t="n"/>
      <c r="BI1120" s="4" t="n"/>
      <c r="BJ1120" s="4" t="n"/>
      <c r="BK1120" s="4" t="n"/>
      <c r="BL1120" s="4" t="n"/>
      <c r="BM1120" s="4" t="n"/>
      <c r="BN1120" s="4" t="n"/>
      <c r="BO1120" s="4" t="n"/>
      <c r="BP1120" s="4" t="n"/>
      <c r="BQ1120" s="4" t="n"/>
      <c r="BR1120" s="4" t="n"/>
      <c r="BS1120" s="4" t="n"/>
      <c r="BT1120" s="4" t="n"/>
      <c r="BU1120" s="4" t="n"/>
      <c r="BV1120" s="4" t="n"/>
      <c r="BW1120" s="4" t="n"/>
      <c r="BX1120" s="4" t="n"/>
      <c r="BY1120" s="4" t="n"/>
      <c r="BZ1120" s="4" t="n"/>
      <c r="CA1120" s="4" t="n"/>
      <c r="CB1120" s="4" t="n"/>
      <c r="CC1120" s="4" t="n"/>
      <c r="CD1120" s="4" t="n"/>
      <c r="CE1120" s="4" t="n"/>
      <c r="CF1120" s="4" t="n"/>
      <c r="CG1120" s="4" t="n"/>
      <c r="CH1120" s="4" t="n"/>
      <c r="CI1120" s="4" t="n"/>
      <c r="CJ1120" s="4" t="n"/>
      <c r="CK1120" s="4" t="n"/>
      <c r="CL1120" s="4" t="n"/>
      <c r="CM1120" s="4" t="n"/>
      <c r="CN1120" s="4" t="n"/>
      <c r="CO1120" s="4" t="n"/>
      <c r="CP1120" s="4" t="n"/>
      <c r="CQ1120" s="4" t="n"/>
      <c r="CR1120" s="4" t="n"/>
      <c r="CS1120" s="4" t="n"/>
      <c r="CT1120" s="4" t="n"/>
      <c r="CU1120" s="4" t="n"/>
      <c r="CV1120" s="4" t="n"/>
      <c r="CW1120" s="4" t="n"/>
      <c r="CX1120" s="4" t="n"/>
      <c r="CY1120" s="4" t="n"/>
      <c r="CZ1120" s="4" t="n"/>
      <c r="DA1120" s="4" t="n"/>
      <c r="DB1120" s="4" t="n"/>
      <c r="DC1120" s="4" t="n"/>
      <c r="DD1120" s="4" t="n"/>
      <c r="DE1120" s="4" t="n"/>
      <c r="DF1120" s="4" t="n"/>
      <c r="DG1120" s="4" t="n"/>
      <c r="DH1120" s="4" t="n"/>
      <c r="DI1120" s="4" t="n"/>
      <c r="DJ1120" s="4" t="n"/>
      <c r="DK1120" s="4" t="n"/>
      <c r="DL1120" s="4" t="n"/>
      <c r="DM1120" s="4" t="n"/>
      <c r="DN1120" s="4" t="n"/>
      <c r="DO1120" s="4" t="n"/>
      <c r="DP1120" s="4" t="n"/>
      <c r="DQ1120" s="4" t="n"/>
      <c r="DR1120" s="4" t="n"/>
      <c r="DS1120" s="4" t="n"/>
      <c r="DT1120" s="4" t="n"/>
      <c r="DU1120" s="4" t="n"/>
      <c r="DV1120" s="4" t="n"/>
      <c r="DW1120" s="4" t="n"/>
      <c r="DX1120" s="4" t="n"/>
      <c r="DY1120" s="4" t="n"/>
      <c r="DZ1120" s="4" t="n"/>
      <c r="EA1120" s="4" t="n"/>
      <c r="EB1120" s="4" t="n"/>
      <c r="EC1120" s="4" t="n"/>
      <c r="ED1120" s="4" t="n"/>
      <c r="EE1120" s="4" t="n"/>
      <c r="EF1120" s="4" t="n"/>
      <c r="EG1120" s="4" t="n"/>
      <c r="EH1120" s="4" t="n"/>
      <c r="EI1120" s="4" t="n"/>
      <c r="EJ1120" s="4" t="n"/>
      <c r="EK1120" s="4" t="n"/>
      <c r="EL1120" s="4" t="n"/>
      <c r="EM1120" s="4" t="n"/>
    </row>
    <row r="1121" hidden="1" customFormat="1" s="6">
      <c r="C1121" s="4" t="n"/>
      <c r="D1121" s="4" t="n"/>
      <c r="E1121" s="4" t="n"/>
      <c r="F1121" s="4" t="n"/>
      <c r="G1121" s="4" t="n"/>
      <c r="H1121" s="4" t="n"/>
      <c r="I1121" s="4" t="n"/>
      <c r="J1121" s="4" t="n"/>
      <c r="K1121" s="4" t="n"/>
      <c r="L1121" s="4" t="n"/>
      <c r="M1121" s="4" t="n"/>
      <c r="N1121" s="4" t="n"/>
      <c r="O1121" s="4" t="n"/>
      <c r="P1121" s="4" t="n"/>
      <c r="Q1121" s="4" t="n"/>
      <c r="R1121" s="4" t="n"/>
      <c r="S1121" s="4" t="n"/>
      <c r="T1121" s="4" t="n"/>
      <c r="U1121" s="4" t="n"/>
      <c r="V1121" s="4" t="n"/>
      <c r="W1121" s="4" t="n"/>
      <c r="X1121" s="4" t="n"/>
      <c r="Y1121" s="4" t="n"/>
      <c r="Z1121" s="4" t="n"/>
      <c r="AA1121" s="4" t="n"/>
      <c r="AB1121" s="4" t="n"/>
      <c r="AC1121" s="4" t="n"/>
      <c r="AD1121" s="4" t="n"/>
      <c r="AE1121" s="4" t="n"/>
      <c r="AF1121" s="4" t="n"/>
      <c r="AG1121" s="4" t="n"/>
      <c r="AH1121" s="4" t="n"/>
      <c r="AI1121" s="4" t="n"/>
      <c r="AJ1121" s="4" t="n"/>
      <c r="AK1121" s="4" t="n"/>
      <c r="AL1121" s="4" t="n"/>
      <c r="AM1121" s="4" t="n"/>
      <c r="AN1121" s="4" t="n"/>
      <c r="AO1121" s="4" t="n"/>
      <c r="AP1121" s="4" t="n"/>
      <c r="AQ1121" s="4" t="n"/>
      <c r="AR1121" s="4" t="n"/>
      <c r="AS1121" s="4" t="n"/>
      <c r="AT1121" s="4" t="n"/>
      <c r="AU1121" s="4" t="n"/>
      <c r="AV1121" s="4" t="n"/>
      <c r="AW1121" s="4" t="n"/>
      <c r="AX1121" s="4" t="n"/>
      <c r="AY1121" s="4" t="n"/>
      <c r="AZ1121" s="4" t="n"/>
      <c r="BA1121" s="4" t="n"/>
      <c r="BB1121" s="4" t="n"/>
      <c r="BC1121" s="4" t="n"/>
      <c r="BD1121" s="4" t="n"/>
      <c r="BE1121" s="4" t="n"/>
      <c r="BF1121" s="4" t="n"/>
      <c r="BG1121" s="4" t="n"/>
      <c r="BH1121" s="4" t="n"/>
      <c r="BI1121" s="4" t="n"/>
      <c r="BJ1121" s="4" t="n"/>
      <c r="BK1121" s="4" t="n"/>
      <c r="BL1121" s="4" t="n"/>
      <c r="BM1121" s="4" t="n"/>
      <c r="BN1121" s="4" t="n"/>
      <c r="BO1121" s="4" t="n"/>
      <c r="BP1121" s="4" t="n"/>
      <c r="BQ1121" s="4" t="n"/>
      <c r="BR1121" s="4" t="n"/>
      <c r="BS1121" s="4" t="n"/>
      <c r="BT1121" s="4" t="n"/>
      <c r="BU1121" s="4" t="n"/>
      <c r="BV1121" s="4" t="n"/>
      <c r="BW1121" s="4" t="n"/>
      <c r="BX1121" s="4" t="n"/>
      <c r="BY1121" s="4" t="n"/>
      <c r="BZ1121" s="4" t="n"/>
      <c r="CA1121" s="4" t="n"/>
      <c r="CB1121" s="4" t="n"/>
      <c r="CC1121" s="4" t="n"/>
      <c r="CD1121" s="4" t="n"/>
      <c r="CE1121" s="4" t="n"/>
      <c r="CF1121" s="4" t="n"/>
      <c r="CG1121" s="4" t="n"/>
      <c r="CH1121" s="4" t="n"/>
      <c r="CI1121" s="4" t="n"/>
      <c r="CJ1121" s="4" t="n"/>
      <c r="CK1121" s="4" t="n"/>
      <c r="CL1121" s="4" t="n"/>
      <c r="CM1121" s="4" t="n"/>
      <c r="CN1121" s="4" t="n"/>
      <c r="CO1121" s="4" t="n"/>
      <c r="CP1121" s="4" t="n"/>
      <c r="CQ1121" s="4" t="n"/>
      <c r="CR1121" s="4" t="n"/>
      <c r="CS1121" s="4" t="n"/>
      <c r="CT1121" s="4" t="n"/>
      <c r="CU1121" s="4" t="n"/>
      <c r="CV1121" s="4" t="n"/>
      <c r="CW1121" s="4" t="n"/>
      <c r="CX1121" s="4" t="n"/>
      <c r="CY1121" s="4" t="n"/>
      <c r="CZ1121" s="4" t="n"/>
      <c r="DA1121" s="4" t="n"/>
      <c r="DB1121" s="4" t="n"/>
      <c r="DC1121" s="4" t="n"/>
      <c r="DD1121" s="4" t="n"/>
      <c r="DE1121" s="4" t="n"/>
      <c r="DF1121" s="4" t="n"/>
      <c r="DG1121" s="4" t="n"/>
      <c r="DH1121" s="4" t="n"/>
      <c r="DI1121" s="4" t="n"/>
      <c r="DJ1121" s="4" t="n"/>
      <c r="DK1121" s="4" t="n"/>
      <c r="DL1121" s="4" t="n"/>
      <c r="DM1121" s="4" t="n"/>
      <c r="DN1121" s="4" t="n"/>
      <c r="DO1121" s="4" t="n"/>
      <c r="DP1121" s="4" t="n"/>
      <c r="DQ1121" s="4" t="n"/>
      <c r="DR1121" s="4" t="n"/>
      <c r="DS1121" s="4" t="n"/>
      <c r="DT1121" s="4" t="n"/>
      <c r="DU1121" s="4" t="n"/>
      <c r="DV1121" s="4" t="n"/>
      <c r="DW1121" s="4" t="n"/>
      <c r="DX1121" s="4" t="n"/>
      <c r="DY1121" s="4" t="n"/>
      <c r="DZ1121" s="4" t="n"/>
      <c r="EA1121" s="4" t="n"/>
      <c r="EB1121" s="4" t="n"/>
      <c r="EC1121" s="4" t="n"/>
      <c r="ED1121" s="4" t="n"/>
      <c r="EE1121" s="4" t="n"/>
      <c r="EF1121" s="4" t="n"/>
      <c r="EG1121" s="4" t="n"/>
      <c r="EH1121" s="4" t="n"/>
      <c r="EI1121" s="4" t="n"/>
      <c r="EJ1121" s="4" t="n"/>
      <c r="EK1121" s="4" t="n"/>
      <c r="EL1121" s="4" t="n"/>
      <c r="EM1121" s="4" t="n"/>
    </row>
    <row r="1122" hidden="1" customFormat="1" s="6">
      <c r="C1122" s="4" t="n"/>
      <c r="D1122" s="4" t="n"/>
      <c r="E1122" s="4" t="n"/>
      <c r="F1122" s="4" t="n"/>
      <c r="G1122" s="4" t="n"/>
      <c r="H1122" s="4" t="n"/>
      <c r="I1122" s="4" t="n"/>
      <c r="J1122" s="4" t="n"/>
      <c r="K1122" s="4" t="n"/>
      <c r="L1122" s="4" t="n"/>
      <c r="M1122" s="4" t="n"/>
      <c r="N1122" s="4" t="n"/>
      <c r="O1122" s="4" t="n"/>
      <c r="P1122" s="4" t="n"/>
      <c r="Q1122" s="4" t="n"/>
      <c r="R1122" s="4" t="n"/>
      <c r="S1122" s="4" t="n"/>
      <c r="T1122" s="4" t="n"/>
      <c r="U1122" s="4" t="n"/>
      <c r="V1122" s="4" t="n"/>
      <c r="W1122" s="4" t="n"/>
      <c r="X1122" s="4" t="n"/>
      <c r="Y1122" s="4" t="n"/>
      <c r="Z1122" s="4" t="n"/>
      <c r="AA1122" s="4" t="n"/>
      <c r="AB1122" s="4" t="n"/>
      <c r="AC1122" s="4" t="n"/>
      <c r="AD1122" s="4" t="n"/>
      <c r="AE1122" s="4" t="n"/>
      <c r="AF1122" s="4" t="n"/>
      <c r="AG1122" s="4" t="n"/>
      <c r="AH1122" s="4" t="n"/>
      <c r="AI1122" s="4" t="n"/>
      <c r="AJ1122" s="4" t="n"/>
      <c r="AK1122" s="4" t="n"/>
      <c r="AL1122" s="4" t="n"/>
      <c r="AM1122" s="4" t="n"/>
      <c r="AN1122" s="4" t="n"/>
      <c r="AO1122" s="4" t="n"/>
      <c r="AP1122" s="4" t="n"/>
      <c r="AQ1122" s="4" t="n"/>
      <c r="AR1122" s="4" t="n"/>
      <c r="AS1122" s="4" t="n"/>
      <c r="AT1122" s="4" t="n"/>
      <c r="AU1122" s="4" t="n"/>
      <c r="AV1122" s="4" t="n"/>
      <c r="AW1122" s="4" t="n"/>
      <c r="AX1122" s="4" t="n"/>
      <c r="AY1122" s="4" t="n"/>
      <c r="AZ1122" s="4" t="n"/>
      <c r="BA1122" s="4" t="n"/>
      <c r="BB1122" s="4" t="n"/>
      <c r="BC1122" s="4" t="n"/>
      <c r="BD1122" s="4" t="n"/>
      <c r="BE1122" s="4" t="n"/>
      <c r="BF1122" s="4" t="n"/>
      <c r="BG1122" s="4" t="n"/>
      <c r="BH1122" s="4" t="n"/>
      <c r="BI1122" s="4" t="n"/>
      <c r="BJ1122" s="4" t="n"/>
      <c r="BK1122" s="4" t="n"/>
      <c r="BL1122" s="4" t="n"/>
      <c r="BM1122" s="4" t="n"/>
      <c r="BN1122" s="4" t="n"/>
      <c r="BO1122" s="4" t="n"/>
      <c r="BP1122" s="4" t="n"/>
      <c r="BQ1122" s="4" t="n"/>
      <c r="BR1122" s="4" t="n"/>
      <c r="BS1122" s="4" t="n"/>
      <c r="BT1122" s="4" t="n"/>
      <c r="BU1122" s="4" t="n"/>
      <c r="BV1122" s="4" t="n"/>
      <c r="BW1122" s="4" t="n"/>
      <c r="BX1122" s="4" t="n"/>
      <c r="BY1122" s="4" t="n"/>
      <c r="BZ1122" s="4" t="n"/>
      <c r="CA1122" s="4" t="n"/>
      <c r="CB1122" s="4" t="n"/>
      <c r="CC1122" s="4" t="n"/>
      <c r="CD1122" s="4" t="n"/>
      <c r="CE1122" s="4" t="n"/>
      <c r="CF1122" s="4" t="n"/>
      <c r="CG1122" s="4" t="n"/>
      <c r="CH1122" s="4" t="n"/>
      <c r="CI1122" s="4" t="n"/>
      <c r="CJ1122" s="4" t="n"/>
      <c r="CK1122" s="4" t="n"/>
      <c r="CL1122" s="4" t="n"/>
      <c r="CM1122" s="4" t="n"/>
      <c r="CN1122" s="4" t="n"/>
      <c r="CO1122" s="4" t="n"/>
      <c r="CP1122" s="4" t="n"/>
      <c r="CQ1122" s="4" t="n"/>
      <c r="CR1122" s="4" t="n"/>
      <c r="CS1122" s="4" t="n"/>
      <c r="CT1122" s="4" t="n"/>
      <c r="CU1122" s="4" t="n"/>
      <c r="CV1122" s="4" t="n"/>
      <c r="CW1122" s="4" t="n"/>
      <c r="CX1122" s="4" t="n"/>
      <c r="CY1122" s="4" t="n"/>
      <c r="CZ1122" s="4" t="n"/>
      <c r="DA1122" s="4" t="n"/>
      <c r="DB1122" s="4" t="n"/>
      <c r="DC1122" s="4" t="n"/>
      <c r="DD1122" s="4" t="n"/>
      <c r="DE1122" s="4" t="n"/>
      <c r="DF1122" s="4" t="n"/>
      <c r="DG1122" s="4" t="n"/>
      <c r="DH1122" s="4" t="n"/>
      <c r="DI1122" s="4" t="n"/>
      <c r="DJ1122" s="4" t="n"/>
      <c r="DK1122" s="4" t="n"/>
      <c r="DL1122" s="4" t="n"/>
      <c r="DM1122" s="4" t="n"/>
      <c r="DN1122" s="4" t="n"/>
      <c r="DO1122" s="4" t="n"/>
      <c r="DP1122" s="4" t="n"/>
      <c r="DQ1122" s="4" t="n"/>
      <c r="DR1122" s="4" t="n"/>
      <c r="DS1122" s="4" t="n"/>
      <c r="DT1122" s="4" t="n"/>
      <c r="DU1122" s="4" t="n"/>
      <c r="DV1122" s="4" t="n"/>
      <c r="DW1122" s="4" t="n"/>
      <c r="DX1122" s="4" t="n"/>
      <c r="DY1122" s="4" t="n"/>
      <c r="DZ1122" s="4" t="n"/>
      <c r="EA1122" s="4" t="n"/>
      <c r="EB1122" s="4" t="n"/>
      <c r="EC1122" s="4" t="n"/>
      <c r="ED1122" s="4" t="n"/>
      <c r="EE1122" s="4" t="n"/>
      <c r="EF1122" s="4" t="n"/>
      <c r="EG1122" s="4" t="n"/>
      <c r="EH1122" s="4" t="n"/>
      <c r="EI1122" s="4" t="n"/>
      <c r="EJ1122" s="4" t="n"/>
      <c r="EK1122" s="4" t="n"/>
      <c r="EL1122" s="4" t="n"/>
      <c r="EM1122" s="4" t="n"/>
    </row>
    <row r="1123" hidden="1" customFormat="1" s="6">
      <c r="C1123" s="4" t="n"/>
      <c r="D1123" s="4" t="n"/>
      <c r="E1123" s="4" t="n"/>
      <c r="F1123" s="4" t="n"/>
      <c r="G1123" s="4" t="n"/>
      <c r="H1123" s="4" t="n"/>
      <c r="I1123" s="4" t="n"/>
      <c r="J1123" s="4" t="n"/>
      <c r="K1123" s="4" t="n"/>
      <c r="L1123" s="4" t="n"/>
      <c r="M1123" s="4" t="n"/>
      <c r="N1123" s="4" t="n"/>
      <c r="O1123" s="4" t="n"/>
      <c r="P1123" s="4" t="n"/>
      <c r="Q1123" s="4" t="n"/>
      <c r="R1123" s="4" t="n"/>
      <c r="S1123" s="4" t="n"/>
      <c r="T1123" s="4" t="n"/>
      <c r="U1123" s="4" t="n"/>
      <c r="V1123" s="4" t="n"/>
      <c r="W1123" s="4" t="n"/>
      <c r="X1123" s="4" t="n"/>
      <c r="Y1123" s="4" t="n"/>
      <c r="Z1123" s="4" t="n"/>
      <c r="AA1123" s="4" t="n"/>
      <c r="AB1123" s="4" t="n"/>
      <c r="AC1123" s="4" t="n"/>
      <c r="AD1123" s="4" t="n"/>
      <c r="AE1123" s="4" t="n"/>
      <c r="AF1123" s="4" t="n"/>
      <c r="AG1123" s="4" t="n"/>
      <c r="AH1123" s="4" t="n"/>
      <c r="AI1123" s="4" t="n"/>
      <c r="AJ1123" s="4" t="n"/>
      <c r="AK1123" s="4" t="n"/>
      <c r="AL1123" s="4" t="n"/>
      <c r="AM1123" s="4" t="n"/>
      <c r="AN1123" s="4" t="n"/>
      <c r="AO1123" s="4" t="n"/>
      <c r="AP1123" s="4" t="n"/>
      <c r="AQ1123" s="4" t="n"/>
      <c r="AR1123" s="4" t="n"/>
      <c r="AS1123" s="4" t="n"/>
      <c r="AT1123" s="4" t="n"/>
      <c r="AU1123" s="4" t="n"/>
      <c r="AV1123" s="4" t="n"/>
      <c r="AW1123" s="4" t="n"/>
      <c r="AX1123" s="4" t="n"/>
      <c r="AY1123" s="4" t="n"/>
      <c r="AZ1123" s="4" t="n"/>
      <c r="BA1123" s="4" t="n"/>
      <c r="BB1123" s="4" t="n"/>
      <c r="BC1123" s="4" t="n"/>
      <c r="BD1123" s="4" t="n"/>
      <c r="BE1123" s="4" t="n"/>
      <c r="BF1123" s="4" t="n"/>
      <c r="BG1123" s="4" t="n"/>
      <c r="BH1123" s="4" t="n"/>
      <c r="BI1123" s="4" t="n"/>
      <c r="BJ1123" s="4" t="n"/>
      <c r="BK1123" s="4" t="n"/>
      <c r="BL1123" s="4" t="n"/>
      <c r="BM1123" s="4" t="n"/>
      <c r="BN1123" s="4" t="n"/>
      <c r="BO1123" s="4" t="n"/>
      <c r="BP1123" s="4" t="n"/>
      <c r="BQ1123" s="4" t="n"/>
      <c r="BR1123" s="4" t="n"/>
      <c r="BS1123" s="4" t="n"/>
      <c r="BT1123" s="4" t="n"/>
      <c r="BU1123" s="4" t="n"/>
      <c r="BV1123" s="4" t="n"/>
      <c r="BW1123" s="4" t="n"/>
      <c r="BX1123" s="4" t="n"/>
      <c r="BY1123" s="4" t="n"/>
      <c r="BZ1123" s="4" t="n"/>
      <c r="CA1123" s="4" t="n"/>
      <c r="CB1123" s="4" t="n"/>
      <c r="CC1123" s="4" t="n"/>
      <c r="CD1123" s="4" t="n"/>
      <c r="CE1123" s="4" t="n"/>
      <c r="CF1123" s="4" t="n"/>
      <c r="CG1123" s="4" t="n"/>
      <c r="CH1123" s="4" t="n"/>
      <c r="CI1123" s="4" t="n"/>
      <c r="CJ1123" s="4" t="n"/>
      <c r="CK1123" s="4" t="n"/>
      <c r="CL1123" s="4" t="n"/>
      <c r="CM1123" s="4" t="n"/>
      <c r="CN1123" s="4" t="n"/>
      <c r="CO1123" s="4" t="n"/>
      <c r="CP1123" s="4" t="n"/>
      <c r="CQ1123" s="4" t="n"/>
      <c r="CR1123" s="4" t="n"/>
      <c r="CS1123" s="4" t="n"/>
      <c r="CT1123" s="4" t="n"/>
      <c r="CU1123" s="4" t="n"/>
      <c r="CV1123" s="4" t="n"/>
      <c r="CW1123" s="4" t="n"/>
      <c r="CX1123" s="4" t="n"/>
      <c r="CY1123" s="4" t="n"/>
      <c r="CZ1123" s="4" t="n"/>
      <c r="DA1123" s="4" t="n"/>
      <c r="DB1123" s="4" t="n"/>
      <c r="DC1123" s="4" t="n"/>
      <c r="DD1123" s="4" t="n"/>
      <c r="DE1123" s="4" t="n"/>
      <c r="DF1123" s="4" t="n"/>
      <c r="DG1123" s="4" t="n"/>
      <c r="DH1123" s="4" t="n"/>
      <c r="DI1123" s="4" t="n"/>
      <c r="DJ1123" s="4" t="n"/>
      <c r="DK1123" s="4" t="n"/>
      <c r="DL1123" s="4" t="n"/>
      <c r="DM1123" s="4" t="n"/>
      <c r="DN1123" s="4" t="n"/>
      <c r="DO1123" s="4" t="n"/>
      <c r="DP1123" s="4" t="n"/>
      <c r="DQ1123" s="4" t="n"/>
      <c r="DR1123" s="4" t="n"/>
      <c r="DS1123" s="4" t="n"/>
      <c r="DT1123" s="4" t="n"/>
      <c r="DU1123" s="4" t="n"/>
      <c r="DV1123" s="4" t="n"/>
      <c r="DW1123" s="4" t="n"/>
      <c r="DX1123" s="4" t="n"/>
      <c r="DY1123" s="4" t="n"/>
      <c r="DZ1123" s="4" t="n"/>
      <c r="EA1123" s="4" t="n"/>
      <c r="EB1123" s="4" t="n"/>
      <c r="EC1123" s="4" t="n"/>
      <c r="ED1123" s="4" t="n"/>
      <c r="EE1123" s="4" t="n"/>
      <c r="EF1123" s="4" t="n"/>
      <c r="EG1123" s="4" t="n"/>
      <c r="EH1123" s="4" t="n"/>
      <c r="EI1123" s="4" t="n"/>
      <c r="EJ1123" s="4" t="n"/>
      <c r="EK1123" s="4" t="n"/>
      <c r="EL1123" s="4" t="n"/>
      <c r="EM1123" s="4" t="n"/>
    </row>
    <row r="1124" hidden="1" customFormat="1" s="6">
      <c r="C1124" s="4" t="n"/>
      <c r="D1124" s="4" t="n"/>
      <c r="E1124" s="4" t="n"/>
      <c r="F1124" s="4" t="n"/>
      <c r="G1124" s="4" t="n"/>
      <c r="H1124" s="4" t="n"/>
      <c r="I1124" s="4" t="n"/>
      <c r="J1124" s="4" t="n"/>
      <c r="K1124" s="4" t="n"/>
      <c r="L1124" s="4" t="n"/>
      <c r="M1124" s="4" t="n"/>
      <c r="N1124" s="4" t="n"/>
      <c r="O1124" s="4" t="n"/>
      <c r="P1124" s="4" t="n"/>
      <c r="Q1124" s="4" t="n"/>
      <c r="R1124" s="4" t="n"/>
      <c r="S1124" s="4" t="n"/>
      <c r="T1124" s="4" t="n"/>
      <c r="U1124" s="4" t="n"/>
      <c r="V1124" s="4" t="n"/>
      <c r="W1124" s="4" t="n"/>
      <c r="X1124" s="4" t="n"/>
      <c r="Y1124" s="4" t="n"/>
      <c r="Z1124" s="4" t="n"/>
      <c r="AA1124" s="4" t="n"/>
      <c r="AB1124" s="4" t="n"/>
      <c r="AC1124" s="4" t="n"/>
      <c r="AD1124" s="4" t="n"/>
      <c r="AE1124" s="4" t="n"/>
      <c r="AF1124" s="4" t="n"/>
      <c r="AG1124" s="4" t="n"/>
      <c r="AH1124" s="4" t="n"/>
      <c r="AI1124" s="4" t="n"/>
      <c r="AJ1124" s="4" t="n"/>
      <c r="AK1124" s="4" t="n"/>
      <c r="AL1124" s="4" t="n"/>
      <c r="AM1124" s="4" t="n"/>
      <c r="AN1124" s="4" t="n"/>
      <c r="AO1124" s="4" t="n"/>
      <c r="AP1124" s="4" t="n"/>
      <c r="AQ1124" s="4" t="n"/>
      <c r="AR1124" s="4" t="n"/>
      <c r="AS1124" s="4" t="n"/>
      <c r="AT1124" s="4" t="n"/>
      <c r="AU1124" s="4" t="n"/>
      <c r="AV1124" s="4" t="n"/>
      <c r="AW1124" s="4" t="n"/>
      <c r="AX1124" s="4" t="n"/>
      <c r="AY1124" s="4" t="n"/>
      <c r="AZ1124" s="4" t="n"/>
      <c r="BA1124" s="4" t="n"/>
      <c r="BB1124" s="4" t="n"/>
      <c r="BC1124" s="4" t="n"/>
      <c r="BD1124" s="4" t="n"/>
      <c r="BE1124" s="4" t="n"/>
      <c r="BF1124" s="4" t="n"/>
      <c r="BG1124" s="4" t="n"/>
      <c r="BH1124" s="4" t="n"/>
      <c r="BI1124" s="4" t="n"/>
      <c r="BJ1124" s="4" t="n"/>
      <c r="BK1124" s="4" t="n"/>
      <c r="BL1124" s="4" t="n"/>
      <c r="BM1124" s="4" t="n"/>
      <c r="BN1124" s="4" t="n"/>
      <c r="BO1124" s="4" t="n"/>
      <c r="BP1124" s="4" t="n"/>
      <c r="BQ1124" s="4" t="n"/>
      <c r="BR1124" s="4" t="n"/>
      <c r="BS1124" s="4" t="n"/>
      <c r="BT1124" s="4" t="n"/>
      <c r="BU1124" s="4" t="n"/>
      <c r="BV1124" s="4" t="n"/>
      <c r="BW1124" s="4" t="n"/>
      <c r="BX1124" s="4" t="n"/>
      <c r="BY1124" s="4" t="n"/>
      <c r="BZ1124" s="4" t="n"/>
      <c r="CA1124" s="4" t="n"/>
      <c r="CB1124" s="4" t="n"/>
      <c r="CC1124" s="4" t="n"/>
      <c r="CD1124" s="4" t="n"/>
      <c r="CE1124" s="4" t="n"/>
      <c r="CF1124" s="4" t="n"/>
      <c r="CG1124" s="4" t="n"/>
      <c r="CH1124" s="4" t="n"/>
      <c r="CI1124" s="4" t="n"/>
      <c r="CJ1124" s="4" t="n"/>
      <c r="CK1124" s="4" t="n"/>
      <c r="CL1124" s="4" t="n"/>
      <c r="CM1124" s="4" t="n"/>
      <c r="CN1124" s="4" t="n"/>
      <c r="CO1124" s="4" t="n"/>
      <c r="CP1124" s="4" t="n"/>
      <c r="CQ1124" s="4" t="n"/>
      <c r="CR1124" s="4" t="n"/>
      <c r="CS1124" s="4" t="n"/>
      <c r="CT1124" s="4" t="n"/>
      <c r="CU1124" s="4" t="n"/>
      <c r="CV1124" s="4" t="n"/>
      <c r="CW1124" s="4" t="n"/>
      <c r="CX1124" s="4" t="n"/>
      <c r="CY1124" s="4" t="n"/>
      <c r="CZ1124" s="4" t="n"/>
      <c r="DA1124" s="4" t="n"/>
      <c r="DB1124" s="4" t="n"/>
      <c r="DC1124" s="4" t="n"/>
      <c r="DD1124" s="4" t="n"/>
      <c r="DE1124" s="4" t="n"/>
      <c r="DF1124" s="4" t="n"/>
      <c r="DG1124" s="4" t="n"/>
      <c r="DH1124" s="4" t="n"/>
      <c r="DI1124" s="4" t="n"/>
      <c r="DJ1124" s="4" t="n"/>
      <c r="DK1124" s="4" t="n"/>
      <c r="DL1124" s="4" t="n"/>
      <c r="DM1124" s="4" t="n"/>
      <c r="DN1124" s="4" t="n"/>
      <c r="DO1124" s="4" t="n"/>
      <c r="DP1124" s="4" t="n"/>
      <c r="DQ1124" s="4" t="n"/>
      <c r="DR1124" s="4" t="n"/>
      <c r="DS1124" s="4" t="n"/>
      <c r="DT1124" s="4" t="n"/>
      <c r="DU1124" s="4" t="n"/>
      <c r="DV1124" s="4" t="n"/>
      <c r="DW1124" s="4" t="n"/>
      <c r="DX1124" s="4" t="n"/>
      <c r="DY1124" s="4" t="n"/>
      <c r="DZ1124" s="4" t="n"/>
      <c r="EA1124" s="4" t="n"/>
      <c r="EB1124" s="4" t="n"/>
      <c r="EC1124" s="4" t="n"/>
      <c r="ED1124" s="4" t="n"/>
      <c r="EE1124" s="4" t="n"/>
      <c r="EF1124" s="4" t="n"/>
      <c r="EG1124" s="4" t="n"/>
      <c r="EH1124" s="4" t="n"/>
      <c r="EI1124" s="4" t="n"/>
      <c r="EJ1124" s="4" t="n"/>
      <c r="EK1124" s="4" t="n"/>
      <c r="EL1124" s="4" t="n"/>
      <c r="EM1124" s="4" t="n"/>
    </row>
    <row r="1125" hidden="1" customFormat="1" s="6">
      <c r="C1125" s="4" t="n"/>
      <c r="D1125" s="4" t="n"/>
      <c r="E1125" s="4" t="n"/>
      <c r="F1125" s="4" t="n"/>
      <c r="G1125" s="4" t="n"/>
      <c r="H1125" s="4" t="n"/>
      <c r="I1125" s="4" t="n"/>
      <c r="J1125" s="4" t="n"/>
      <c r="K1125" s="4" t="n"/>
      <c r="L1125" s="4" t="n"/>
      <c r="M1125" s="4" t="n"/>
      <c r="N1125" s="4" t="n"/>
      <c r="O1125" s="4" t="n"/>
      <c r="P1125" s="4" t="n"/>
      <c r="Q1125" s="4" t="n"/>
      <c r="R1125" s="4" t="n"/>
      <c r="S1125" s="4" t="n"/>
      <c r="T1125" s="4" t="n"/>
      <c r="U1125" s="4" t="n"/>
      <c r="V1125" s="4" t="n"/>
      <c r="W1125" s="4" t="n"/>
      <c r="X1125" s="4" t="n"/>
      <c r="Y1125" s="4" t="n"/>
      <c r="Z1125" s="4" t="n"/>
      <c r="AA1125" s="4" t="n"/>
      <c r="AB1125" s="4" t="n"/>
      <c r="AC1125" s="4" t="n"/>
      <c r="AD1125" s="4" t="n"/>
      <c r="AE1125" s="4" t="n"/>
      <c r="AF1125" s="4" t="n"/>
      <c r="AG1125" s="4" t="n"/>
      <c r="AH1125" s="4" t="n"/>
      <c r="AI1125" s="4" t="n"/>
      <c r="AJ1125" s="4" t="n"/>
      <c r="AK1125" s="4" t="n"/>
      <c r="AL1125" s="4" t="n"/>
      <c r="AM1125" s="4" t="n"/>
      <c r="AN1125" s="4" t="n"/>
      <c r="AO1125" s="4" t="n"/>
      <c r="AP1125" s="4" t="n"/>
      <c r="AQ1125" s="4" t="n"/>
      <c r="AR1125" s="4" t="n"/>
      <c r="AS1125" s="4" t="n"/>
      <c r="AT1125" s="4" t="n"/>
      <c r="AU1125" s="4" t="n"/>
      <c r="AV1125" s="4" t="n"/>
      <c r="AW1125" s="4" t="n"/>
      <c r="AX1125" s="4" t="n"/>
      <c r="AY1125" s="4" t="n"/>
      <c r="AZ1125" s="4" t="n"/>
      <c r="BA1125" s="4" t="n"/>
      <c r="BB1125" s="4" t="n"/>
      <c r="BC1125" s="4" t="n"/>
      <c r="BD1125" s="4" t="n"/>
      <c r="BE1125" s="4" t="n"/>
      <c r="BF1125" s="4" t="n"/>
      <c r="BG1125" s="4" t="n"/>
      <c r="BH1125" s="4" t="n"/>
      <c r="BI1125" s="4" t="n"/>
      <c r="BJ1125" s="4" t="n"/>
      <c r="BK1125" s="4" t="n"/>
      <c r="BL1125" s="4" t="n"/>
      <c r="BM1125" s="4" t="n"/>
      <c r="BN1125" s="4" t="n"/>
      <c r="BO1125" s="4" t="n"/>
      <c r="BP1125" s="4" t="n"/>
      <c r="BQ1125" s="4" t="n"/>
      <c r="BR1125" s="4" t="n"/>
      <c r="BS1125" s="4" t="n"/>
      <c r="BT1125" s="4" t="n"/>
      <c r="BU1125" s="4" t="n"/>
      <c r="BV1125" s="4" t="n"/>
      <c r="BW1125" s="4" t="n"/>
      <c r="BX1125" s="4" t="n"/>
      <c r="BY1125" s="4" t="n"/>
      <c r="BZ1125" s="4" t="n"/>
      <c r="CA1125" s="4" t="n"/>
      <c r="CB1125" s="4" t="n"/>
      <c r="CC1125" s="4" t="n"/>
      <c r="CD1125" s="4" t="n"/>
      <c r="CE1125" s="4" t="n"/>
      <c r="CF1125" s="4" t="n"/>
      <c r="CG1125" s="4" t="n"/>
      <c r="CH1125" s="4" t="n"/>
      <c r="CI1125" s="4" t="n"/>
      <c r="CJ1125" s="4" t="n"/>
      <c r="CK1125" s="4" t="n"/>
      <c r="CL1125" s="4" t="n"/>
      <c r="CM1125" s="4" t="n"/>
      <c r="CN1125" s="4" t="n"/>
      <c r="CO1125" s="4" t="n"/>
      <c r="CP1125" s="4" t="n"/>
      <c r="CQ1125" s="4" t="n"/>
      <c r="CR1125" s="4" t="n"/>
      <c r="CS1125" s="4" t="n"/>
      <c r="CT1125" s="4" t="n"/>
      <c r="CU1125" s="4" t="n"/>
      <c r="CV1125" s="4" t="n"/>
      <c r="CW1125" s="4" t="n"/>
      <c r="CX1125" s="4" t="n"/>
      <c r="CY1125" s="4" t="n"/>
      <c r="CZ1125" s="4" t="n"/>
      <c r="DA1125" s="4" t="n"/>
      <c r="DB1125" s="4" t="n"/>
      <c r="DC1125" s="4" t="n"/>
      <c r="DD1125" s="4" t="n"/>
      <c r="DE1125" s="4" t="n"/>
      <c r="DF1125" s="4" t="n"/>
      <c r="DG1125" s="4" t="n"/>
      <c r="DH1125" s="4" t="n"/>
      <c r="DI1125" s="4" t="n"/>
      <c r="DJ1125" s="4" t="n"/>
      <c r="DK1125" s="4" t="n"/>
      <c r="DL1125" s="4" t="n"/>
      <c r="DM1125" s="4" t="n"/>
      <c r="DN1125" s="4" t="n"/>
      <c r="DO1125" s="4" t="n"/>
      <c r="DP1125" s="4" t="n"/>
      <c r="DQ1125" s="4" t="n"/>
      <c r="DR1125" s="4" t="n"/>
      <c r="DS1125" s="4" t="n"/>
      <c r="DT1125" s="4" t="n"/>
      <c r="DU1125" s="4" t="n"/>
      <c r="DV1125" s="4" t="n"/>
      <c r="DW1125" s="4" t="n"/>
      <c r="DX1125" s="4" t="n"/>
      <c r="DY1125" s="4" t="n"/>
      <c r="DZ1125" s="4" t="n"/>
      <c r="EA1125" s="4" t="n"/>
      <c r="EB1125" s="4" t="n"/>
      <c r="EC1125" s="4" t="n"/>
      <c r="ED1125" s="4" t="n"/>
      <c r="EE1125" s="4" t="n"/>
      <c r="EF1125" s="4" t="n"/>
      <c r="EG1125" s="4" t="n"/>
      <c r="EH1125" s="4" t="n"/>
      <c r="EI1125" s="4" t="n"/>
      <c r="EJ1125" s="4" t="n"/>
      <c r="EK1125" s="4" t="n"/>
      <c r="EL1125" s="4" t="n"/>
      <c r="EM1125" s="4" t="n"/>
    </row>
    <row r="1126" hidden="1" customFormat="1" s="6">
      <c r="C1126" s="4" t="n"/>
      <c r="D1126" s="4" t="n"/>
      <c r="E1126" s="4" t="n"/>
      <c r="F1126" s="4" t="n"/>
      <c r="G1126" s="4" t="n"/>
      <c r="H1126" s="4" t="n"/>
      <c r="I1126" s="4" t="n"/>
      <c r="J1126" s="4" t="n"/>
      <c r="K1126" s="4" t="n"/>
      <c r="L1126" s="4" t="n"/>
      <c r="M1126" s="4" t="n"/>
      <c r="N1126" s="4" t="n"/>
      <c r="O1126" s="4" t="n"/>
      <c r="P1126" s="4" t="n"/>
      <c r="Q1126" s="4" t="n"/>
      <c r="R1126" s="4" t="n"/>
      <c r="S1126" s="4" t="n"/>
      <c r="T1126" s="4" t="n"/>
      <c r="U1126" s="4" t="n"/>
      <c r="V1126" s="4" t="n"/>
      <c r="W1126" s="4" t="n"/>
      <c r="X1126" s="4" t="n"/>
      <c r="Y1126" s="4" t="n"/>
      <c r="Z1126" s="4" t="n"/>
      <c r="AA1126" s="4" t="n"/>
      <c r="AB1126" s="4" t="n"/>
      <c r="AC1126" s="4" t="n"/>
      <c r="AD1126" s="4" t="n"/>
      <c r="AE1126" s="4" t="n"/>
      <c r="AF1126" s="4" t="n"/>
      <c r="AG1126" s="4" t="n"/>
      <c r="AH1126" s="4" t="n"/>
      <c r="AI1126" s="4" t="n"/>
      <c r="AJ1126" s="4" t="n"/>
      <c r="AK1126" s="4" t="n"/>
      <c r="AL1126" s="4" t="n"/>
      <c r="AM1126" s="4" t="n"/>
      <c r="AN1126" s="4" t="n"/>
      <c r="AO1126" s="4" t="n"/>
      <c r="AP1126" s="4" t="n"/>
      <c r="AQ1126" s="4" t="n"/>
      <c r="AR1126" s="4" t="n"/>
      <c r="AS1126" s="4" t="n"/>
      <c r="AT1126" s="4" t="n"/>
      <c r="AU1126" s="4" t="n"/>
      <c r="AV1126" s="4" t="n"/>
      <c r="AW1126" s="4" t="n"/>
      <c r="AX1126" s="4" t="n"/>
      <c r="AY1126" s="4" t="n"/>
      <c r="AZ1126" s="4" t="n"/>
      <c r="BA1126" s="4" t="n"/>
      <c r="BB1126" s="4" t="n"/>
      <c r="BC1126" s="4" t="n"/>
      <c r="BD1126" s="4" t="n"/>
      <c r="BE1126" s="4" t="n"/>
      <c r="BF1126" s="4" t="n"/>
      <c r="BG1126" s="4" t="n"/>
      <c r="BH1126" s="4" t="n"/>
      <c r="BI1126" s="4" t="n"/>
      <c r="BJ1126" s="4" t="n"/>
      <c r="BK1126" s="4" t="n"/>
      <c r="BL1126" s="4" t="n"/>
      <c r="BM1126" s="4" t="n"/>
      <c r="BN1126" s="4" t="n"/>
      <c r="BO1126" s="4" t="n"/>
      <c r="BP1126" s="4" t="n"/>
      <c r="BQ1126" s="4" t="n"/>
      <c r="BR1126" s="4" t="n"/>
      <c r="BS1126" s="4" t="n"/>
      <c r="BT1126" s="4" t="n"/>
      <c r="BU1126" s="4" t="n"/>
      <c r="BV1126" s="4" t="n"/>
      <c r="BW1126" s="4" t="n"/>
      <c r="BX1126" s="4" t="n"/>
      <c r="BY1126" s="4" t="n"/>
      <c r="BZ1126" s="4" t="n"/>
      <c r="CA1126" s="4" t="n"/>
      <c r="CB1126" s="4" t="n"/>
      <c r="CC1126" s="4" t="n"/>
      <c r="CD1126" s="4" t="n"/>
      <c r="CE1126" s="4" t="n"/>
      <c r="CF1126" s="4" t="n"/>
      <c r="CG1126" s="4" t="n"/>
      <c r="CH1126" s="4" t="n"/>
      <c r="CI1126" s="4" t="n"/>
      <c r="CJ1126" s="4" t="n"/>
      <c r="CK1126" s="4" t="n"/>
      <c r="CL1126" s="4" t="n"/>
      <c r="CM1126" s="4" t="n"/>
      <c r="CN1126" s="4" t="n"/>
      <c r="CO1126" s="4" t="n"/>
      <c r="CP1126" s="4" t="n"/>
      <c r="CQ1126" s="4" t="n"/>
      <c r="CR1126" s="4" t="n"/>
      <c r="CS1126" s="4" t="n"/>
      <c r="CT1126" s="4" t="n"/>
      <c r="CU1126" s="4" t="n"/>
      <c r="CV1126" s="4" t="n"/>
      <c r="CW1126" s="4" t="n"/>
      <c r="CX1126" s="4" t="n"/>
      <c r="CY1126" s="4" t="n"/>
      <c r="CZ1126" s="4" t="n"/>
      <c r="DA1126" s="4" t="n"/>
      <c r="DB1126" s="4" t="n"/>
      <c r="DC1126" s="4" t="n"/>
      <c r="DD1126" s="4" t="n"/>
      <c r="DE1126" s="4" t="n"/>
      <c r="DF1126" s="4" t="n"/>
      <c r="DG1126" s="4" t="n"/>
      <c r="DH1126" s="4" t="n"/>
      <c r="DI1126" s="4" t="n"/>
      <c r="DJ1126" s="4" t="n"/>
      <c r="DK1126" s="4" t="n"/>
      <c r="DL1126" s="4" t="n"/>
      <c r="DM1126" s="4" t="n"/>
      <c r="DN1126" s="4" t="n"/>
      <c r="DO1126" s="4" t="n"/>
      <c r="DP1126" s="4" t="n"/>
      <c r="DQ1126" s="4" t="n"/>
      <c r="DR1126" s="4" t="n"/>
      <c r="DS1126" s="4" t="n"/>
      <c r="DT1126" s="4" t="n"/>
      <c r="DU1126" s="4" t="n"/>
      <c r="DV1126" s="4" t="n"/>
      <c r="DW1126" s="4" t="n"/>
      <c r="DX1126" s="4" t="n"/>
      <c r="DY1126" s="4" t="n"/>
      <c r="DZ1126" s="4" t="n"/>
      <c r="EA1126" s="4" t="n"/>
      <c r="EB1126" s="4" t="n"/>
      <c r="EC1126" s="4" t="n"/>
      <c r="ED1126" s="4" t="n"/>
      <c r="EE1126" s="4" t="n"/>
      <c r="EF1126" s="4" t="n"/>
      <c r="EG1126" s="4" t="n"/>
      <c r="EH1126" s="4" t="n"/>
      <c r="EI1126" s="4" t="n"/>
      <c r="EJ1126" s="4" t="n"/>
      <c r="EK1126" s="4" t="n"/>
      <c r="EL1126" s="4" t="n"/>
      <c r="EM1126" s="4" t="n"/>
    </row>
    <row r="1127" hidden="1" customFormat="1" s="6">
      <c r="C1127" s="4" t="n"/>
      <c r="D1127" s="4" t="n"/>
      <c r="E1127" s="4" t="n"/>
      <c r="F1127" s="4" t="n"/>
      <c r="G1127" s="4" t="n"/>
      <c r="H1127" s="4" t="n"/>
      <c r="I1127" s="4" t="n"/>
      <c r="J1127" s="4" t="n"/>
      <c r="K1127" s="4" t="n"/>
      <c r="L1127" s="4" t="n"/>
      <c r="M1127" s="4" t="n"/>
      <c r="N1127" s="4" t="n"/>
      <c r="O1127" s="4" t="n"/>
      <c r="P1127" s="4" t="n"/>
      <c r="Q1127" s="4" t="n"/>
      <c r="R1127" s="4" t="n"/>
      <c r="S1127" s="4" t="n"/>
      <c r="T1127" s="4" t="n"/>
      <c r="U1127" s="4" t="n"/>
      <c r="V1127" s="4" t="n"/>
      <c r="W1127" s="4" t="n"/>
      <c r="X1127" s="4" t="n"/>
      <c r="Y1127" s="4" t="n"/>
      <c r="Z1127" s="4" t="n"/>
      <c r="AA1127" s="4" t="n"/>
      <c r="AB1127" s="4" t="n"/>
      <c r="AC1127" s="4" t="n"/>
      <c r="AD1127" s="4" t="n"/>
      <c r="AE1127" s="4" t="n"/>
      <c r="AF1127" s="4" t="n"/>
      <c r="AG1127" s="4" t="n"/>
      <c r="AH1127" s="4" t="n"/>
      <c r="AI1127" s="4" t="n"/>
      <c r="AJ1127" s="4" t="n"/>
      <c r="AK1127" s="4" t="n"/>
      <c r="AL1127" s="4" t="n"/>
      <c r="AM1127" s="4" t="n"/>
      <c r="AN1127" s="4" t="n"/>
      <c r="AO1127" s="4" t="n"/>
      <c r="AP1127" s="4" t="n"/>
      <c r="AQ1127" s="4" t="n"/>
      <c r="AR1127" s="4" t="n"/>
      <c r="AS1127" s="4" t="n"/>
      <c r="AT1127" s="4" t="n"/>
      <c r="AU1127" s="4" t="n"/>
      <c r="AV1127" s="4" t="n"/>
      <c r="AW1127" s="4" t="n"/>
      <c r="AX1127" s="4" t="n"/>
      <c r="AY1127" s="4" t="n"/>
      <c r="AZ1127" s="4" t="n"/>
      <c r="BA1127" s="4" t="n"/>
      <c r="BB1127" s="4" t="n"/>
      <c r="BC1127" s="4" t="n"/>
      <c r="BD1127" s="4" t="n"/>
      <c r="BE1127" s="4" t="n"/>
      <c r="BF1127" s="4" t="n"/>
      <c r="BG1127" s="4" t="n"/>
      <c r="BH1127" s="4" t="n"/>
      <c r="BI1127" s="4" t="n"/>
      <c r="BJ1127" s="4" t="n"/>
      <c r="BK1127" s="4" t="n"/>
      <c r="BL1127" s="4" t="n"/>
      <c r="BM1127" s="4" t="n"/>
      <c r="BN1127" s="4" t="n"/>
      <c r="BO1127" s="4" t="n"/>
      <c r="BP1127" s="4" t="n"/>
      <c r="BQ1127" s="4" t="n"/>
      <c r="BR1127" s="4" t="n"/>
      <c r="BS1127" s="4" t="n"/>
      <c r="BT1127" s="4" t="n"/>
      <c r="BU1127" s="4" t="n"/>
      <c r="BV1127" s="4" t="n"/>
      <c r="BW1127" s="4" t="n"/>
      <c r="BX1127" s="4" t="n"/>
      <c r="BY1127" s="4" t="n"/>
      <c r="BZ1127" s="4" t="n"/>
      <c r="CA1127" s="4" t="n"/>
      <c r="CB1127" s="4" t="n"/>
      <c r="CC1127" s="4" t="n"/>
      <c r="CD1127" s="4" t="n"/>
      <c r="CE1127" s="4" t="n"/>
      <c r="CF1127" s="4" t="n"/>
      <c r="CG1127" s="4" t="n"/>
      <c r="CH1127" s="4" t="n"/>
      <c r="CI1127" s="4" t="n"/>
      <c r="CJ1127" s="4" t="n"/>
      <c r="CK1127" s="4" t="n"/>
      <c r="CL1127" s="4" t="n"/>
      <c r="CM1127" s="4" t="n"/>
      <c r="CN1127" s="4" t="n"/>
      <c r="CO1127" s="4" t="n"/>
      <c r="CP1127" s="4" t="n"/>
      <c r="CQ1127" s="4" t="n"/>
      <c r="CR1127" s="4" t="n"/>
      <c r="CS1127" s="4" t="n"/>
      <c r="CT1127" s="4" t="n"/>
      <c r="CU1127" s="4" t="n"/>
      <c r="CV1127" s="4" t="n"/>
      <c r="CW1127" s="4" t="n"/>
      <c r="CX1127" s="4" t="n"/>
      <c r="CY1127" s="4" t="n"/>
      <c r="CZ1127" s="4" t="n"/>
      <c r="DA1127" s="4" t="n"/>
      <c r="DB1127" s="4" t="n"/>
      <c r="DC1127" s="4" t="n"/>
      <c r="DD1127" s="4" t="n"/>
      <c r="DE1127" s="4" t="n"/>
      <c r="DF1127" s="4" t="n"/>
      <c r="DG1127" s="4" t="n"/>
      <c r="DH1127" s="4" t="n"/>
      <c r="DI1127" s="4" t="n"/>
      <c r="DJ1127" s="4" t="n"/>
      <c r="DK1127" s="4" t="n"/>
      <c r="DL1127" s="4" t="n"/>
      <c r="DM1127" s="4" t="n"/>
      <c r="DN1127" s="4" t="n"/>
      <c r="DO1127" s="4" t="n"/>
      <c r="DP1127" s="4" t="n"/>
      <c r="DQ1127" s="4" t="n"/>
      <c r="DR1127" s="4" t="n"/>
      <c r="DS1127" s="4" t="n"/>
      <c r="DT1127" s="4" t="n"/>
      <c r="DU1127" s="4" t="n"/>
      <c r="DV1127" s="4" t="n"/>
      <c r="DW1127" s="4" t="n"/>
      <c r="DX1127" s="4" t="n"/>
      <c r="DY1127" s="4" t="n"/>
      <c r="DZ1127" s="4" t="n"/>
      <c r="EA1127" s="4" t="n"/>
      <c r="EB1127" s="4" t="n"/>
      <c r="EC1127" s="4" t="n"/>
      <c r="ED1127" s="4" t="n"/>
      <c r="EE1127" s="4" t="n"/>
      <c r="EF1127" s="4" t="n"/>
      <c r="EG1127" s="4" t="n"/>
      <c r="EH1127" s="4" t="n"/>
      <c r="EI1127" s="4" t="n"/>
      <c r="EJ1127" s="4" t="n"/>
      <c r="EK1127" s="4" t="n"/>
      <c r="EL1127" s="4" t="n"/>
      <c r="EM1127" s="4" t="n"/>
    </row>
    <row r="1128" hidden="1" customFormat="1" s="6">
      <c r="C1128" s="4" t="n"/>
      <c r="D1128" s="4" t="n"/>
      <c r="E1128" s="4" t="n"/>
      <c r="F1128" s="4" t="n"/>
      <c r="G1128" s="4" t="n"/>
      <c r="H1128" s="4" t="n"/>
      <c r="I1128" s="4" t="n"/>
      <c r="J1128" s="4" t="n"/>
      <c r="K1128" s="4" t="n"/>
      <c r="L1128" s="4" t="n"/>
      <c r="M1128" s="4" t="n"/>
      <c r="N1128" s="4" t="n"/>
      <c r="O1128" s="4" t="n"/>
      <c r="P1128" s="4" t="n"/>
      <c r="Q1128" s="4" t="n"/>
      <c r="R1128" s="4" t="n"/>
      <c r="S1128" s="4" t="n"/>
      <c r="T1128" s="4" t="n"/>
      <c r="U1128" s="4" t="n"/>
      <c r="V1128" s="4" t="n"/>
      <c r="W1128" s="4" t="n"/>
      <c r="X1128" s="4" t="n"/>
      <c r="Y1128" s="4" t="n"/>
      <c r="Z1128" s="4" t="n"/>
      <c r="AA1128" s="4" t="n"/>
      <c r="AB1128" s="4" t="n"/>
      <c r="AC1128" s="4" t="n"/>
      <c r="AD1128" s="4" t="n"/>
      <c r="AE1128" s="4" t="n"/>
      <c r="AF1128" s="4" t="n"/>
      <c r="AG1128" s="4" t="n"/>
      <c r="AH1128" s="4" t="n"/>
      <c r="AI1128" s="4" t="n"/>
      <c r="AJ1128" s="4" t="n"/>
      <c r="AK1128" s="4" t="n"/>
      <c r="AL1128" s="4" t="n"/>
      <c r="AM1128" s="4" t="n"/>
      <c r="AN1128" s="4" t="n"/>
      <c r="AO1128" s="4" t="n"/>
      <c r="AP1128" s="4" t="n"/>
      <c r="AQ1128" s="4" t="n"/>
      <c r="AR1128" s="4" t="n"/>
      <c r="AS1128" s="4" t="n"/>
      <c r="AT1128" s="4" t="n"/>
      <c r="AU1128" s="4" t="n"/>
      <c r="AV1128" s="4" t="n"/>
      <c r="AW1128" s="4" t="n"/>
      <c r="AX1128" s="4" t="n"/>
      <c r="AY1128" s="4" t="n"/>
      <c r="AZ1128" s="4" t="n"/>
      <c r="BA1128" s="4" t="n"/>
      <c r="BB1128" s="4" t="n"/>
      <c r="BC1128" s="4" t="n"/>
      <c r="BD1128" s="4" t="n"/>
      <c r="BE1128" s="4" t="n"/>
      <c r="BF1128" s="4" t="n"/>
      <c r="BG1128" s="4" t="n"/>
      <c r="BH1128" s="4" t="n"/>
      <c r="BI1128" s="4" t="n"/>
      <c r="BJ1128" s="4" t="n"/>
      <c r="BK1128" s="4" t="n"/>
      <c r="BL1128" s="4" t="n"/>
      <c r="BM1128" s="4" t="n"/>
      <c r="BN1128" s="4" t="n"/>
      <c r="BO1128" s="4" t="n"/>
      <c r="BP1128" s="4" t="n"/>
      <c r="BQ1128" s="4" t="n"/>
      <c r="BR1128" s="4" t="n"/>
      <c r="BS1128" s="4" t="n"/>
      <c r="BT1128" s="4" t="n"/>
      <c r="BU1128" s="4" t="n"/>
      <c r="BV1128" s="4" t="n"/>
      <c r="BW1128" s="4" t="n"/>
      <c r="BX1128" s="4" t="n"/>
      <c r="BY1128" s="4" t="n"/>
      <c r="BZ1128" s="4" t="n"/>
      <c r="CA1128" s="4" t="n"/>
      <c r="CB1128" s="4" t="n"/>
      <c r="CC1128" s="4" t="n"/>
      <c r="CD1128" s="4" t="n"/>
      <c r="CE1128" s="4" t="n"/>
      <c r="CF1128" s="4" t="n"/>
      <c r="CG1128" s="4" t="n"/>
      <c r="CH1128" s="4" t="n"/>
      <c r="CI1128" s="4" t="n"/>
      <c r="CJ1128" s="4" t="n"/>
      <c r="CK1128" s="4" t="n"/>
      <c r="CL1128" s="4" t="n"/>
      <c r="CM1128" s="4" t="n"/>
      <c r="CN1128" s="4" t="n"/>
      <c r="CO1128" s="4" t="n"/>
      <c r="CP1128" s="4" t="n"/>
      <c r="CQ1128" s="4" t="n"/>
      <c r="CR1128" s="4" t="n"/>
      <c r="CS1128" s="4" t="n"/>
      <c r="CT1128" s="4" t="n"/>
      <c r="CU1128" s="4" t="n"/>
      <c r="CV1128" s="4" t="n"/>
      <c r="CW1128" s="4" t="n"/>
      <c r="CX1128" s="4" t="n"/>
      <c r="CY1128" s="4" t="n"/>
      <c r="CZ1128" s="4" t="n"/>
      <c r="DA1128" s="4" t="n"/>
      <c r="DB1128" s="4" t="n"/>
      <c r="DC1128" s="4" t="n"/>
      <c r="DD1128" s="4" t="n"/>
      <c r="DE1128" s="4" t="n"/>
      <c r="DF1128" s="4" t="n"/>
      <c r="DG1128" s="4" t="n"/>
      <c r="DH1128" s="4" t="n"/>
      <c r="DI1128" s="4" t="n"/>
      <c r="DJ1128" s="4" t="n"/>
      <c r="DK1128" s="4" t="n"/>
      <c r="DL1128" s="4" t="n"/>
      <c r="DM1128" s="4" t="n"/>
      <c r="DN1128" s="4" t="n"/>
      <c r="DO1128" s="4" t="n"/>
      <c r="DP1128" s="4" t="n"/>
      <c r="DQ1128" s="4" t="n"/>
      <c r="DR1128" s="4" t="n"/>
      <c r="DS1128" s="4" t="n"/>
      <c r="DT1128" s="4" t="n"/>
      <c r="DU1128" s="4" t="n"/>
      <c r="DV1128" s="4" t="n"/>
      <c r="DW1128" s="4" t="n"/>
      <c r="DX1128" s="4" t="n"/>
      <c r="DY1128" s="4" t="n"/>
      <c r="DZ1128" s="4" t="n"/>
      <c r="EA1128" s="4" t="n"/>
      <c r="EB1128" s="4" t="n"/>
      <c r="EC1128" s="4" t="n"/>
      <c r="ED1128" s="4" t="n"/>
      <c r="EE1128" s="4" t="n"/>
      <c r="EF1128" s="4" t="n"/>
      <c r="EG1128" s="4" t="n"/>
      <c r="EH1128" s="4" t="n"/>
      <c r="EI1128" s="4" t="n"/>
      <c r="EJ1128" s="4" t="n"/>
      <c r="EK1128" s="4" t="n"/>
      <c r="EL1128" s="4" t="n"/>
      <c r="EM1128" s="4" t="n"/>
    </row>
    <row r="1129" hidden="1" customFormat="1" s="6">
      <c r="C1129" s="4" t="n"/>
      <c r="D1129" s="4" t="n"/>
      <c r="E1129" s="4" t="n"/>
      <c r="F1129" s="4" t="n"/>
      <c r="G1129" s="4" t="n"/>
      <c r="H1129" s="4" t="n"/>
      <c r="I1129" s="4" t="n"/>
      <c r="J1129" s="4" t="n"/>
      <c r="K1129" s="4" t="n"/>
      <c r="L1129" s="4" t="n"/>
      <c r="M1129" s="4" t="n"/>
      <c r="N1129" s="4" t="n"/>
      <c r="O1129" s="4" t="n"/>
      <c r="P1129" s="4" t="n"/>
      <c r="Q1129" s="4" t="n"/>
      <c r="R1129" s="4" t="n"/>
      <c r="S1129" s="4" t="n"/>
      <c r="T1129" s="4" t="n"/>
      <c r="U1129" s="4" t="n"/>
      <c r="V1129" s="4" t="n"/>
      <c r="W1129" s="4" t="n"/>
      <c r="X1129" s="4" t="n"/>
      <c r="Y1129" s="4" t="n"/>
      <c r="Z1129" s="4" t="n"/>
      <c r="AA1129" s="4" t="n"/>
      <c r="AB1129" s="4" t="n"/>
      <c r="AC1129" s="4" t="n"/>
      <c r="AD1129" s="4" t="n"/>
      <c r="AE1129" s="4" t="n"/>
      <c r="AF1129" s="4" t="n"/>
      <c r="AG1129" s="4" t="n"/>
      <c r="AH1129" s="4" t="n"/>
      <c r="AI1129" s="4" t="n"/>
      <c r="AJ1129" s="4" t="n"/>
      <c r="AK1129" s="4" t="n"/>
      <c r="AL1129" s="4" t="n"/>
      <c r="AM1129" s="4" t="n"/>
      <c r="AN1129" s="4" t="n"/>
      <c r="AO1129" s="4" t="n"/>
      <c r="AP1129" s="4" t="n"/>
      <c r="AQ1129" s="4" t="n"/>
      <c r="AR1129" s="4" t="n"/>
      <c r="AS1129" s="4" t="n"/>
      <c r="AT1129" s="4" t="n"/>
      <c r="AU1129" s="4" t="n"/>
      <c r="AV1129" s="4" t="n"/>
      <c r="AW1129" s="4" t="n"/>
      <c r="AX1129" s="4" t="n"/>
      <c r="AY1129" s="4" t="n"/>
      <c r="AZ1129" s="4" t="n"/>
      <c r="BA1129" s="4" t="n"/>
      <c r="BB1129" s="4" t="n"/>
      <c r="BC1129" s="4" t="n"/>
      <c r="BD1129" s="4" t="n"/>
      <c r="BE1129" s="4" t="n"/>
      <c r="BF1129" s="4" t="n"/>
      <c r="BG1129" s="4" t="n"/>
      <c r="BH1129" s="4" t="n"/>
      <c r="BI1129" s="4" t="n"/>
      <c r="BJ1129" s="4" t="n"/>
      <c r="BK1129" s="4" t="n"/>
      <c r="BL1129" s="4" t="n"/>
      <c r="BM1129" s="4" t="n"/>
      <c r="BN1129" s="4" t="n"/>
      <c r="BO1129" s="4" t="n"/>
      <c r="BP1129" s="4" t="n"/>
      <c r="BQ1129" s="4" t="n"/>
      <c r="BR1129" s="4" t="n"/>
      <c r="BS1129" s="4" t="n"/>
      <c r="BT1129" s="4" t="n"/>
      <c r="BU1129" s="4" t="n"/>
      <c r="BV1129" s="4" t="n"/>
      <c r="BW1129" s="4" t="n"/>
      <c r="BX1129" s="4" t="n"/>
      <c r="BY1129" s="4" t="n"/>
      <c r="BZ1129" s="4" t="n"/>
      <c r="CA1129" s="4" t="n"/>
      <c r="CB1129" s="4" t="n"/>
      <c r="CC1129" s="4" t="n"/>
      <c r="CD1129" s="4" t="n"/>
      <c r="CE1129" s="4" t="n"/>
      <c r="CF1129" s="4" t="n"/>
      <c r="CG1129" s="4" t="n"/>
      <c r="CH1129" s="4" t="n"/>
      <c r="CI1129" s="4" t="n"/>
      <c r="CJ1129" s="4" t="n"/>
      <c r="CK1129" s="4" t="n"/>
      <c r="CL1129" s="4" t="n"/>
      <c r="CM1129" s="4" t="n"/>
      <c r="CN1129" s="4" t="n"/>
      <c r="CO1129" s="4" t="n"/>
      <c r="CP1129" s="4" t="n"/>
      <c r="CQ1129" s="4" t="n"/>
      <c r="CR1129" s="4" t="n"/>
      <c r="CS1129" s="4" t="n"/>
      <c r="CT1129" s="4" t="n"/>
      <c r="CU1129" s="4" t="n"/>
      <c r="CV1129" s="4" t="n"/>
      <c r="CW1129" s="4" t="n"/>
      <c r="CX1129" s="4" t="n"/>
      <c r="CY1129" s="4" t="n"/>
      <c r="CZ1129" s="4" t="n"/>
      <c r="DA1129" s="4" t="n"/>
      <c r="DB1129" s="4" t="n"/>
      <c r="DC1129" s="4" t="n"/>
      <c r="DD1129" s="4" t="n"/>
      <c r="DE1129" s="4" t="n"/>
      <c r="DF1129" s="4" t="n"/>
      <c r="DG1129" s="4" t="n"/>
      <c r="DH1129" s="4" t="n"/>
      <c r="DI1129" s="4" t="n"/>
      <c r="DJ1129" s="4" t="n"/>
      <c r="DK1129" s="4" t="n"/>
      <c r="DL1129" s="4" t="n"/>
      <c r="DM1129" s="4" t="n"/>
      <c r="DN1129" s="4" t="n"/>
      <c r="DO1129" s="4" t="n"/>
      <c r="DP1129" s="4" t="n"/>
      <c r="DQ1129" s="4" t="n"/>
      <c r="DR1129" s="4" t="n"/>
      <c r="DS1129" s="4" t="n"/>
      <c r="DT1129" s="4" t="n"/>
      <c r="DU1129" s="4" t="n"/>
      <c r="DV1129" s="4" t="n"/>
      <c r="DW1129" s="4" t="n"/>
      <c r="DX1129" s="4" t="n"/>
      <c r="DY1129" s="4" t="n"/>
      <c r="DZ1129" s="4" t="n"/>
      <c r="EA1129" s="4" t="n"/>
      <c r="EB1129" s="4" t="n"/>
      <c r="EC1129" s="4" t="n"/>
      <c r="ED1129" s="4" t="n"/>
      <c r="EE1129" s="4" t="n"/>
      <c r="EF1129" s="4" t="n"/>
      <c r="EG1129" s="4" t="n"/>
      <c r="EH1129" s="4" t="n"/>
      <c r="EI1129" s="4" t="n"/>
      <c r="EJ1129" s="4" t="n"/>
      <c r="EK1129" s="4" t="n"/>
      <c r="EL1129" s="4" t="n"/>
      <c r="EM1129" s="4" t="n"/>
    </row>
    <row r="1130" hidden="1" customFormat="1" s="6">
      <c r="C1130" s="4" t="n"/>
      <c r="D1130" s="4" t="n"/>
      <c r="E1130" s="4" t="n"/>
      <c r="F1130" s="4" t="n"/>
      <c r="G1130" s="4" t="n"/>
      <c r="H1130" s="4" t="n"/>
      <c r="I1130" s="4" t="n"/>
      <c r="J1130" s="4" t="n"/>
      <c r="K1130" s="4" t="n"/>
      <c r="L1130" s="4" t="n"/>
      <c r="M1130" s="4" t="n"/>
      <c r="N1130" s="4" t="n"/>
      <c r="O1130" s="4" t="n"/>
      <c r="P1130" s="4" t="n"/>
      <c r="Q1130" s="4" t="n"/>
      <c r="R1130" s="4" t="n"/>
      <c r="S1130" s="4" t="n"/>
      <c r="T1130" s="4" t="n"/>
      <c r="U1130" s="4" t="n"/>
      <c r="V1130" s="4" t="n"/>
      <c r="W1130" s="4" t="n"/>
      <c r="X1130" s="4" t="n"/>
      <c r="Y1130" s="4" t="n"/>
      <c r="Z1130" s="4" t="n"/>
      <c r="AA1130" s="4" t="n"/>
      <c r="AB1130" s="4" t="n"/>
      <c r="AC1130" s="4" t="n"/>
      <c r="AD1130" s="4" t="n"/>
      <c r="AE1130" s="4" t="n"/>
      <c r="AF1130" s="4" t="n"/>
      <c r="AG1130" s="4" t="n"/>
      <c r="AH1130" s="4" t="n"/>
      <c r="AI1130" s="4" t="n"/>
      <c r="AJ1130" s="4" t="n"/>
      <c r="AK1130" s="4" t="n"/>
      <c r="AL1130" s="4" t="n"/>
      <c r="AM1130" s="4" t="n"/>
      <c r="AN1130" s="4" t="n"/>
      <c r="AO1130" s="4" t="n"/>
      <c r="AP1130" s="4" t="n"/>
      <c r="AQ1130" s="4" t="n"/>
      <c r="AR1130" s="4" t="n"/>
      <c r="AS1130" s="4" t="n"/>
      <c r="AT1130" s="4" t="n"/>
      <c r="AU1130" s="4" t="n"/>
      <c r="AV1130" s="4" t="n"/>
      <c r="AW1130" s="4" t="n"/>
      <c r="AX1130" s="4" t="n"/>
      <c r="AY1130" s="4" t="n"/>
      <c r="AZ1130" s="4" t="n"/>
      <c r="BA1130" s="4" t="n"/>
      <c r="BB1130" s="4" t="n"/>
      <c r="BC1130" s="4" t="n"/>
      <c r="BD1130" s="4" t="n"/>
      <c r="BE1130" s="4" t="n"/>
      <c r="BF1130" s="4" t="n"/>
      <c r="BG1130" s="4" t="n"/>
      <c r="BH1130" s="4" t="n"/>
      <c r="BI1130" s="4" t="n"/>
      <c r="BJ1130" s="4" t="n"/>
      <c r="BK1130" s="4" t="n"/>
      <c r="BL1130" s="4" t="n"/>
      <c r="BM1130" s="4" t="n"/>
      <c r="BN1130" s="4" t="n"/>
      <c r="BO1130" s="4" t="n"/>
      <c r="BP1130" s="4" t="n"/>
      <c r="BQ1130" s="4" t="n"/>
      <c r="BR1130" s="4" t="n"/>
      <c r="BS1130" s="4" t="n"/>
      <c r="BT1130" s="4" t="n"/>
      <c r="BU1130" s="4" t="n"/>
      <c r="BV1130" s="4" t="n"/>
      <c r="BW1130" s="4" t="n"/>
      <c r="BX1130" s="4" t="n"/>
      <c r="BY1130" s="4" t="n"/>
      <c r="BZ1130" s="4" t="n"/>
      <c r="CA1130" s="4" t="n"/>
      <c r="CB1130" s="4" t="n"/>
      <c r="CC1130" s="4" t="n"/>
      <c r="CD1130" s="4" t="n"/>
      <c r="CE1130" s="4" t="n"/>
      <c r="CF1130" s="4" t="n"/>
      <c r="CG1130" s="4" t="n"/>
      <c r="CH1130" s="4" t="n"/>
      <c r="CI1130" s="4" t="n"/>
      <c r="CJ1130" s="4" t="n"/>
      <c r="CK1130" s="4" t="n"/>
      <c r="CL1130" s="4" t="n"/>
      <c r="CM1130" s="4" t="n"/>
      <c r="CN1130" s="4" t="n"/>
      <c r="CO1130" s="4" t="n"/>
      <c r="CP1130" s="4" t="n"/>
      <c r="CQ1130" s="4" t="n"/>
      <c r="CR1130" s="4" t="n"/>
      <c r="CS1130" s="4" t="n"/>
      <c r="CT1130" s="4" t="n"/>
      <c r="CU1130" s="4" t="n"/>
      <c r="CV1130" s="4" t="n"/>
      <c r="CW1130" s="4" t="n"/>
      <c r="CX1130" s="4" t="n"/>
      <c r="CY1130" s="4" t="n"/>
      <c r="CZ1130" s="4" t="n"/>
      <c r="DA1130" s="4" t="n"/>
      <c r="DB1130" s="4" t="n"/>
      <c r="DC1130" s="4" t="n"/>
      <c r="DD1130" s="4" t="n"/>
      <c r="DE1130" s="4" t="n"/>
      <c r="DF1130" s="4" t="n"/>
      <c r="DG1130" s="4" t="n"/>
      <c r="DH1130" s="4" t="n"/>
      <c r="DI1130" s="4" t="n"/>
      <c r="DJ1130" s="4" t="n"/>
      <c r="DK1130" s="4" t="n"/>
      <c r="DL1130" s="4" t="n"/>
      <c r="DM1130" s="4" t="n"/>
      <c r="DN1130" s="4" t="n"/>
      <c r="DO1130" s="4" t="n"/>
      <c r="DP1130" s="4" t="n"/>
      <c r="DQ1130" s="4" t="n"/>
      <c r="DR1130" s="4" t="n"/>
      <c r="DS1130" s="4" t="n"/>
      <c r="DT1130" s="4" t="n"/>
      <c r="DU1130" s="4" t="n"/>
      <c r="DV1130" s="4" t="n"/>
      <c r="DW1130" s="4" t="n"/>
      <c r="DX1130" s="4" t="n"/>
      <c r="DY1130" s="4" t="n"/>
      <c r="DZ1130" s="4" t="n"/>
      <c r="EA1130" s="4" t="n"/>
      <c r="EB1130" s="4" t="n"/>
      <c r="EC1130" s="4" t="n"/>
      <c r="ED1130" s="4" t="n"/>
      <c r="EE1130" s="4" t="n"/>
      <c r="EF1130" s="4" t="n"/>
      <c r="EG1130" s="4" t="n"/>
      <c r="EH1130" s="4" t="n"/>
      <c r="EI1130" s="4" t="n"/>
      <c r="EJ1130" s="4" t="n"/>
      <c r="EK1130" s="4" t="n"/>
      <c r="EL1130" s="4" t="n"/>
      <c r="EM1130" s="4" t="n"/>
    </row>
    <row r="1131" hidden="1" customFormat="1" s="6">
      <c r="C1131" s="4" t="n"/>
      <c r="D1131" s="4" t="n"/>
      <c r="E1131" s="4" t="n"/>
      <c r="F1131" s="4" t="n"/>
      <c r="G1131" s="4" t="n"/>
      <c r="H1131" s="4" t="n"/>
      <c r="I1131" s="4" t="n"/>
      <c r="J1131" s="4" t="n"/>
      <c r="K1131" s="4" t="n"/>
      <c r="L1131" s="4" t="n"/>
      <c r="M1131" s="4" t="n"/>
      <c r="N1131" s="4" t="n"/>
      <c r="O1131" s="4" t="n"/>
      <c r="P1131" s="4" t="n"/>
      <c r="Q1131" s="4" t="n"/>
      <c r="R1131" s="4" t="n"/>
      <c r="S1131" s="4" t="n"/>
      <c r="T1131" s="4" t="n"/>
      <c r="U1131" s="4" t="n"/>
      <c r="V1131" s="4" t="n"/>
      <c r="W1131" s="4" t="n"/>
      <c r="X1131" s="4" t="n"/>
      <c r="Y1131" s="4" t="n"/>
      <c r="Z1131" s="4" t="n"/>
      <c r="AA1131" s="4" t="n"/>
      <c r="AB1131" s="4" t="n"/>
      <c r="AC1131" s="4" t="n"/>
      <c r="AD1131" s="4" t="n"/>
      <c r="AE1131" s="4" t="n"/>
      <c r="AF1131" s="4" t="n"/>
      <c r="AG1131" s="4" t="n"/>
      <c r="AH1131" s="4" t="n"/>
      <c r="AI1131" s="4" t="n"/>
      <c r="AJ1131" s="4" t="n"/>
      <c r="AK1131" s="4" t="n"/>
      <c r="AL1131" s="4" t="n"/>
      <c r="AM1131" s="4" t="n"/>
      <c r="AN1131" s="4" t="n"/>
      <c r="AO1131" s="4" t="n"/>
      <c r="AP1131" s="4" t="n"/>
      <c r="AQ1131" s="4" t="n"/>
      <c r="AR1131" s="4" t="n"/>
      <c r="AS1131" s="4" t="n"/>
      <c r="AT1131" s="4" t="n"/>
      <c r="AU1131" s="4" t="n"/>
      <c r="AV1131" s="4" t="n"/>
      <c r="AW1131" s="4" t="n"/>
      <c r="AX1131" s="4" t="n"/>
      <c r="AY1131" s="4" t="n"/>
      <c r="AZ1131" s="4" t="n"/>
      <c r="BA1131" s="4" t="n"/>
      <c r="BB1131" s="4" t="n"/>
      <c r="BC1131" s="4" t="n"/>
      <c r="BD1131" s="4" t="n"/>
      <c r="BE1131" s="4" t="n"/>
      <c r="BF1131" s="4" t="n"/>
      <c r="BG1131" s="4" t="n"/>
      <c r="BH1131" s="4" t="n"/>
      <c r="BI1131" s="4" t="n"/>
      <c r="BJ1131" s="4" t="n"/>
      <c r="BK1131" s="4" t="n"/>
      <c r="BL1131" s="4" t="n"/>
      <c r="BM1131" s="4" t="n"/>
      <c r="BN1131" s="4" t="n"/>
      <c r="BO1131" s="4" t="n"/>
      <c r="BP1131" s="4" t="n"/>
      <c r="BQ1131" s="4" t="n"/>
      <c r="BR1131" s="4" t="n"/>
      <c r="BS1131" s="4" t="n"/>
      <c r="BT1131" s="4" t="n"/>
      <c r="BU1131" s="4" t="n"/>
      <c r="BV1131" s="4" t="n"/>
      <c r="BW1131" s="4" t="n"/>
      <c r="BX1131" s="4" t="n"/>
      <c r="BY1131" s="4" t="n"/>
      <c r="BZ1131" s="4" t="n"/>
      <c r="CA1131" s="4" t="n"/>
      <c r="CB1131" s="4" t="n"/>
      <c r="CC1131" s="4" t="n"/>
      <c r="CD1131" s="4" t="n"/>
      <c r="CE1131" s="4" t="n"/>
      <c r="CF1131" s="4" t="n"/>
      <c r="CG1131" s="4" t="n"/>
      <c r="CH1131" s="4" t="n"/>
      <c r="CI1131" s="4" t="n"/>
      <c r="CJ1131" s="4" t="n"/>
      <c r="CK1131" s="4" t="n"/>
      <c r="CL1131" s="4" t="n"/>
      <c r="CM1131" s="4" t="n"/>
      <c r="CN1131" s="4" t="n"/>
      <c r="CO1131" s="4" t="n"/>
      <c r="CP1131" s="4" t="n"/>
      <c r="CQ1131" s="4" t="n"/>
      <c r="CR1131" s="4" t="n"/>
      <c r="CS1131" s="4" t="n"/>
      <c r="CT1131" s="4" t="n"/>
      <c r="CU1131" s="4" t="n"/>
      <c r="CV1131" s="4" t="n"/>
      <c r="CW1131" s="4" t="n"/>
      <c r="CX1131" s="4" t="n"/>
      <c r="CY1131" s="4" t="n"/>
      <c r="CZ1131" s="4" t="n"/>
      <c r="DA1131" s="4" t="n"/>
      <c r="DB1131" s="4" t="n"/>
      <c r="DC1131" s="4" t="n"/>
      <c r="DD1131" s="4" t="n"/>
      <c r="DE1131" s="4" t="n"/>
      <c r="DF1131" s="4" t="n"/>
      <c r="DG1131" s="4" t="n"/>
      <c r="DH1131" s="4" t="n"/>
      <c r="DI1131" s="4" t="n"/>
      <c r="DJ1131" s="4" t="n"/>
      <c r="DK1131" s="4" t="n"/>
      <c r="DL1131" s="4" t="n"/>
      <c r="DM1131" s="4" t="n"/>
      <c r="DN1131" s="4" t="n"/>
      <c r="DO1131" s="4" t="n"/>
      <c r="DP1131" s="4" t="n"/>
      <c r="DQ1131" s="4" t="n"/>
      <c r="DR1131" s="4" t="n"/>
      <c r="DS1131" s="4" t="n"/>
      <c r="DT1131" s="4" t="n"/>
      <c r="DU1131" s="4" t="n"/>
      <c r="DV1131" s="4" t="n"/>
      <c r="DW1131" s="4" t="n"/>
      <c r="DX1131" s="4" t="n"/>
      <c r="DY1131" s="4" t="n"/>
      <c r="DZ1131" s="4" t="n"/>
      <c r="EA1131" s="4" t="n"/>
      <c r="EB1131" s="4" t="n"/>
      <c r="EC1131" s="4" t="n"/>
      <c r="ED1131" s="4" t="n"/>
      <c r="EE1131" s="4" t="n"/>
      <c r="EF1131" s="4" t="n"/>
      <c r="EG1131" s="4" t="n"/>
      <c r="EH1131" s="4" t="n"/>
      <c r="EI1131" s="4" t="n"/>
      <c r="EJ1131" s="4" t="n"/>
      <c r="EK1131" s="4" t="n"/>
      <c r="EL1131" s="4" t="n"/>
      <c r="EM1131" s="4" t="n"/>
    </row>
    <row r="1132" hidden="1" customFormat="1" s="6">
      <c r="C1132" s="4" t="n"/>
      <c r="D1132" s="4" t="n"/>
      <c r="E1132" s="4" t="n"/>
      <c r="F1132" s="4" t="n"/>
      <c r="G1132" s="4" t="n"/>
      <c r="H1132" s="4" t="n"/>
      <c r="I1132" s="4" t="n"/>
      <c r="J1132" s="4" t="n"/>
      <c r="K1132" s="4" t="n"/>
      <c r="L1132" s="4" t="n"/>
      <c r="M1132" s="4" t="n"/>
      <c r="N1132" s="4" t="n"/>
      <c r="O1132" s="4" t="n"/>
      <c r="P1132" s="4" t="n"/>
      <c r="Q1132" s="4" t="n"/>
      <c r="R1132" s="4" t="n"/>
      <c r="S1132" s="4" t="n"/>
      <c r="T1132" s="4" t="n"/>
      <c r="U1132" s="4" t="n"/>
      <c r="V1132" s="4" t="n"/>
      <c r="W1132" s="4" t="n"/>
      <c r="X1132" s="4" t="n"/>
      <c r="Y1132" s="4" t="n"/>
      <c r="Z1132" s="4" t="n"/>
      <c r="AA1132" s="4" t="n"/>
      <c r="AB1132" s="4" t="n"/>
      <c r="AC1132" s="4" t="n"/>
      <c r="AD1132" s="4" t="n"/>
      <c r="AE1132" s="4" t="n"/>
      <c r="AF1132" s="4" t="n"/>
      <c r="AG1132" s="4" t="n"/>
      <c r="AH1132" s="4" t="n"/>
      <c r="AI1132" s="4" t="n"/>
      <c r="AJ1132" s="4" t="n"/>
      <c r="AK1132" s="4" t="n"/>
      <c r="AL1132" s="4" t="n"/>
      <c r="AM1132" s="4" t="n"/>
      <c r="AN1132" s="4" t="n"/>
      <c r="AO1132" s="4" t="n"/>
      <c r="AP1132" s="4" t="n"/>
      <c r="AQ1132" s="4" t="n"/>
      <c r="AR1132" s="4" t="n"/>
      <c r="AS1132" s="4" t="n"/>
      <c r="AT1132" s="4" t="n"/>
      <c r="AU1132" s="4" t="n"/>
      <c r="AV1132" s="4" t="n"/>
      <c r="AW1132" s="4" t="n"/>
      <c r="AX1132" s="4" t="n"/>
      <c r="AY1132" s="4" t="n"/>
      <c r="AZ1132" s="4" t="n"/>
      <c r="BA1132" s="4" t="n"/>
      <c r="BB1132" s="4" t="n"/>
      <c r="BC1132" s="4" t="n"/>
      <c r="BD1132" s="4" t="n"/>
      <c r="BE1132" s="4" t="n"/>
      <c r="BF1132" s="4" t="n"/>
      <c r="BG1132" s="4" t="n"/>
      <c r="BH1132" s="4" t="n"/>
      <c r="BI1132" s="4" t="n"/>
      <c r="BJ1132" s="4" t="n"/>
      <c r="BK1132" s="4" t="n"/>
      <c r="BL1132" s="4" t="n"/>
      <c r="BM1132" s="4" t="n"/>
      <c r="BN1132" s="4" t="n"/>
      <c r="BO1132" s="4" t="n"/>
      <c r="BP1132" s="4" t="n"/>
      <c r="BQ1132" s="4" t="n"/>
      <c r="BR1132" s="4" t="n"/>
      <c r="BS1132" s="4" t="n"/>
      <c r="BT1132" s="4" t="n"/>
      <c r="BU1132" s="4" t="n"/>
      <c r="BV1132" s="4" t="n"/>
      <c r="BW1132" s="4" t="n"/>
      <c r="BX1132" s="4" t="n"/>
      <c r="BY1132" s="4" t="n"/>
      <c r="BZ1132" s="4" t="n"/>
      <c r="CA1132" s="4" t="n"/>
      <c r="CB1132" s="4" t="n"/>
      <c r="CC1132" s="4" t="n"/>
      <c r="CD1132" s="4" t="n"/>
      <c r="CE1132" s="4" t="n"/>
      <c r="CF1132" s="4" t="n"/>
      <c r="CG1132" s="4" t="n"/>
      <c r="CH1132" s="4" t="n"/>
      <c r="CI1132" s="4" t="n"/>
      <c r="CJ1132" s="4" t="n"/>
      <c r="CK1132" s="4" t="n"/>
      <c r="CL1132" s="4" t="n"/>
      <c r="CM1132" s="4" t="n"/>
      <c r="CN1132" s="4" t="n"/>
      <c r="CO1132" s="4" t="n"/>
      <c r="CP1132" s="4" t="n"/>
      <c r="CQ1132" s="4" t="n"/>
      <c r="CR1132" s="4" t="n"/>
      <c r="CS1132" s="4" t="n"/>
      <c r="CT1132" s="4" t="n"/>
      <c r="CU1132" s="4" t="n"/>
      <c r="CV1132" s="4" t="n"/>
      <c r="CW1132" s="4" t="n"/>
      <c r="CX1132" s="4" t="n"/>
      <c r="CY1132" s="4" t="n"/>
      <c r="CZ1132" s="4" t="n"/>
      <c r="DA1132" s="4" t="n"/>
      <c r="DB1132" s="4" t="n"/>
      <c r="DC1132" s="4" t="n"/>
      <c r="DD1132" s="4" t="n"/>
      <c r="DE1132" s="4" t="n"/>
      <c r="DF1132" s="4" t="n"/>
      <c r="DG1132" s="4" t="n"/>
      <c r="DH1132" s="4" t="n"/>
      <c r="DI1132" s="4" t="n"/>
      <c r="DJ1132" s="4" t="n"/>
      <c r="DK1132" s="4" t="n"/>
      <c r="DL1132" s="4" t="n"/>
      <c r="DM1132" s="4" t="n"/>
      <c r="DN1132" s="4" t="n"/>
      <c r="DO1132" s="4" t="n"/>
      <c r="DP1132" s="4" t="n"/>
      <c r="DQ1132" s="4" t="n"/>
      <c r="DR1132" s="4" t="n"/>
      <c r="DS1132" s="4" t="n"/>
      <c r="DT1132" s="4" t="n"/>
      <c r="DU1132" s="4" t="n"/>
      <c r="DV1132" s="4" t="n"/>
      <c r="DW1132" s="4" t="n"/>
      <c r="DX1132" s="4" t="n"/>
      <c r="DY1132" s="4" t="n"/>
      <c r="DZ1132" s="4" t="n"/>
      <c r="EA1132" s="4" t="n"/>
      <c r="EB1132" s="4" t="n"/>
      <c r="EC1132" s="4" t="n"/>
      <c r="ED1132" s="4" t="n"/>
      <c r="EE1132" s="4" t="n"/>
      <c r="EF1132" s="4" t="n"/>
      <c r="EG1132" s="4" t="n"/>
      <c r="EH1132" s="4" t="n"/>
      <c r="EI1132" s="4" t="n"/>
      <c r="EJ1132" s="4" t="n"/>
      <c r="EK1132" s="4" t="n"/>
      <c r="EL1132" s="4" t="n"/>
      <c r="EM1132" s="4" t="n"/>
    </row>
    <row r="1133" hidden="1" customFormat="1" s="6">
      <c r="C1133" s="4" t="n"/>
      <c r="D1133" s="4" t="n"/>
      <c r="E1133" s="4" t="n"/>
      <c r="F1133" s="4" t="n"/>
      <c r="G1133" s="4" t="n"/>
      <c r="H1133" s="4" t="n"/>
      <c r="I1133" s="4" t="n"/>
      <c r="J1133" s="4" t="n"/>
      <c r="K1133" s="4" t="n"/>
      <c r="L1133" s="4" t="n"/>
      <c r="M1133" s="4" t="n"/>
      <c r="N1133" s="4" t="n"/>
      <c r="O1133" s="4" t="n"/>
      <c r="P1133" s="4" t="n"/>
      <c r="Q1133" s="4" t="n"/>
      <c r="R1133" s="4" t="n"/>
      <c r="S1133" s="4" t="n"/>
      <c r="T1133" s="4" t="n"/>
      <c r="U1133" s="4" t="n"/>
      <c r="V1133" s="4" t="n"/>
      <c r="W1133" s="4" t="n"/>
      <c r="X1133" s="4" t="n"/>
      <c r="Y1133" s="4" t="n"/>
      <c r="Z1133" s="4" t="n"/>
      <c r="AA1133" s="4" t="n"/>
      <c r="AB1133" s="4" t="n"/>
      <c r="AC1133" s="4" t="n"/>
      <c r="AD1133" s="4" t="n"/>
      <c r="AE1133" s="4" t="n"/>
      <c r="AF1133" s="4" t="n"/>
      <c r="AG1133" s="4" t="n"/>
      <c r="AH1133" s="4" t="n"/>
      <c r="AI1133" s="4" t="n"/>
      <c r="AJ1133" s="4" t="n"/>
      <c r="AK1133" s="4" t="n"/>
      <c r="AL1133" s="4" t="n"/>
      <c r="AM1133" s="4" t="n"/>
      <c r="AN1133" s="4" t="n"/>
      <c r="AO1133" s="4" t="n"/>
      <c r="AP1133" s="4" t="n"/>
      <c r="AQ1133" s="4" t="n"/>
      <c r="AR1133" s="4" t="n"/>
      <c r="AS1133" s="4" t="n"/>
      <c r="AT1133" s="4" t="n"/>
      <c r="AU1133" s="4" t="n"/>
      <c r="AV1133" s="4" t="n"/>
      <c r="AW1133" s="4" t="n"/>
      <c r="AX1133" s="4" t="n"/>
      <c r="AY1133" s="4" t="n"/>
      <c r="AZ1133" s="4" t="n"/>
      <c r="BA1133" s="4" t="n"/>
      <c r="BB1133" s="4" t="n"/>
      <c r="BC1133" s="4" t="n"/>
      <c r="BD1133" s="4" t="n"/>
      <c r="BE1133" s="4" t="n"/>
      <c r="BF1133" s="4" t="n"/>
      <c r="BG1133" s="4" t="n"/>
      <c r="BH1133" s="4" t="n"/>
      <c r="BI1133" s="4" t="n"/>
      <c r="BJ1133" s="4" t="n"/>
      <c r="BK1133" s="4" t="n"/>
      <c r="BL1133" s="4" t="n"/>
      <c r="BM1133" s="4" t="n"/>
      <c r="BN1133" s="4" t="n"/>
      <c r="BO1133" s="4" t="n"/>
      <c r="BP1133" s="4" t="n"/>
      <c r="BQ1133" s="4" t="n"/>
      <c r="BR1133" s="4" t="n"/>
      <c r="BS1133" s="4" t="n"/>
      <c r="BT1133" s="4" t="n"/>
      <c r="BU1133" s="4" t="n"/>
      <c r="BV1133" s="4" t="n"/>
      <c r="BW1133" s="4" t="n"/>
      <c r="BX1133" s="4" t="n"/>
      <c r="BY1133" s="4" t="n"/>
      <c r="BZ1133" s="4" t="n"/>
      <c r="CA1133" s="4" t="n"/>
      <c r="CB1133" s="4" t="n"/>
      <c r="CC1133" s="4" t="n"/>
      <c r="CD1133" s="4" t="n"/>
      <c r="CE1133" s="4" t="n"/>
      <c r="CF1133" s="4" t="n"/>
      <c r="CG1133" s="4" t="n"/>
      <c r="CH1133" s="4" t="n"/>
      <c r="CI1133" s="4" t="n"/>
      <c r="CJ1133" s="4" t="n"/>
      <c r="CK1133" s="4" t="n"/>
      <c r="CL1133" s="4" t="n"/>
      <c r="CM1133" s="4" t="n"/>
      <c r="CN1133" s="4" t="n"/>
      <c r="CO1133" s="4" t="n"/>
      <c r="CP1133" s="4" t="n"/>
      <c r="CQ1133" s="4" t="n"/>
      <c r="CR1133" s="4" t="n"/>
      <c r="CS1133" s="4" t="n"/>
      <c r="CT1133" s="4" t="n"/>
      <c r="CU1133" s="4" t="n"/>
      <c r="CV1133" s="4" t="n"/>
      <c r="CW1133" s="4" t="n"/>
      <c r="CX1133" s="4" t="n"/>
      <c r="CY1133" s="4" t="n"/>
      <c r="CZ1133" s="4" t="n"/>
      <c r="DA1133" s="4" t="n"/>
      <c r="DB1133" s="4" t="n"/>
      <c r="DC1133" s="4" t="n"/>
      <c r="DD1133" s="4" t="n"/>
      <c r="DE1133" s="4" t="n"/>
      <c r="DF1133" s="4" t="n"/>
      <c r="DG1133" s="4" t="n"/>
      <c r="DH1133" s="4" t="n"/>
      <c r="DI1133" s="4" t="n"/>
      <c r="DJ1133" s="4" t="n"/>
      <c r="DK1133" s="4" t="n"/>
      <c r="DL1133" s="4" t="n"/>
      <c r="DM1133" s="4" t="n"/>
      <c r="DN1133" s="4" t="n"/>
      <c r="DO1133" s="4" t="n"/>
      <c r="DP1133" s="4" t="n"/>
      <c r="DQ1133" s="4" t="n"/>
      <c r="DR1133" s="4" t="n"/>
      <c r="DS1133" s="4" t="n"/>
      <c r="DT1133" s="4" t="n"/>
      <c r="DU1133" s="4" t="n"/>
      <c r="DV1133" s="4" t="n"/>
      <c r="DW1133" s="4" t="n"/>
      <c r="DX1133" s="4" t="n"/>
      <c r="DY1133" s="4" t="n"/>
      <c r="DZ1133" s="4" t="n"/>
      <c r="EA1133" s="4" t="n"/>
      <c r="EB1133" s="4" t="n"/>
      <c r="EC1133" s="4" t="n"/>
      <c r="ED1133" s="4" t="n"/>
      <c r="EE1133" s="4" t="n"/>
      <c r="EF1133" s="4" t="n"/>
      <c r="EG1133" s="4" t="n"/>
      <c r="EH1133" s="4" t="n"/>
      <c r="EI1133" s="4" t="n"/>
      <c r="EJ1133" s="4" t="n"/>
      <c r="EK1133" s="4" t="n"/>
      <c r="EL1133" s="4" t="n"/>
      <c r="EM1133" s="4" t="n"/>
    </row>
    <row r="1134" hidden="1" customFormat="1" s="6">
      <c r="C1134" s="4" t="n"/>
      <c r="D1134" s="4" t="n"/>
      <c r="E1134" s="4" t="n"/>
      <c r="F1134" s="4" t="n"/>
      <c r="G1134" s="4" t="n"/>
      <c r="H1134" s="4" t="n"/>
      <c r="I1134" s="4" t="n"/>
      <c r="J1134" s="4" t="n"/>
      <c r="K1134" s="4" t="n"/>
      <c r="L1134" s="4" t="n"/>
      <c r="M1134" s="4" t="n"/>
      <c r="N1134" s="4" t="n"/>
      <c r="O1134" s="4" t="n"/>
      <c r="P1134" s="4" t="n"/>
      <c r="Q1134" s="4" t="n"/>
      <c r="R1134" s="4" t="n"/>
      <c r="S1134" s="4" t="n"/>
      <c r="T1134" s="4" t="n"/>
      <c r="U1134" s="4" t="n"/>
      <c r="V1134" s="4" t="n"/>
      <c r="W1134" s="4" t="n"/>
      <c r="X1134" s="4" t="n"/>
      <c r="Y1134" s="4" t="n"/>
      <c r="Z1134" s="4" t="n"/>
      <c r="AA1134" s="4" t="n"/>
      <c r="AB1134" s="4" t="n"/>
      <c r="AC1134" s="4" t="n"/>
      <c r="AD1134" s="4" t="n"/>
      <c r="AE1134" s="4" t="n"/>
      <c r="AF1134" s="4" t="n"/>
      <c r="AG1134" s="4" t="n"/>
      <c r="AH1134" s="4" t="n"/>
      <c r="AI1134" s="4" t="n"/>
      <c r="AJ1134" s="4" t="n"/>
      <c r="AK1134" s="4" t="n"/>
      <c r="AL1134" s="4" t="n"/>
      <c r="AM1134" s="4" t="n"/>
      <c r="AN1134" s="4" t="n"/>
      <c r="AO1134" s="4" t="n"/>
      <c r="AP1134" s="4" t="n"/>
      <c r="AQ1134" s="4" t="n"/>
      <c r="AR1134" s="4" t="n"/>
      <c r="AS1134" s="4" t="n"/>
      <c r="AT1134" s="4" t="n"/>
      <c r="AU1134" s="4" t="n"/>
      <c r="AV1134" s="4" t="n"/>
      <c r="AW1134" s="4" t="n"/>
      <c r="AX1134" s="4" t="n"/>
      <c r="AY1134" s="4" t="n"/>
      <c r="AZ1134" s="4" t="n"/>
      <c r="BA1134" s="4" t="n"/>
      <c r="BB1134" s="4" t="n"/>
      <c r="BC1134" s="4" t="n"/>
      <c r="BD1134" s="4" t="n"/>
      <c r="BE1134" s="4" t="n"/>
      <c r="BF1134" s="4" t="n"/>
      <c r="BG1134" s="4" t="n"/>
      <c r="BH1134" s="4" t="n"/>
      <c r="BI1134" s="4" t="n"/>
      <c r="BJ1134" s="4" t="n"/>
      <c r="BK1134" s="4" t="n"/>
      <c r="BL1134" s="4" t="n"/>
      <c r="BM1134" s="4" t="n"/>
      <c r="BN1134" s="4" t="n"/>
      <c r="BO1134" s="4" t="n"/>
      <c r="BP1134" s="4" t="n"/>
      <c r="BQ1134" s="4" t="n"/>
      <c r="BR1134" s="4" t="n"/>
      <c r="BS1134" s="4" t="n"/>
      <c r="BT1134" s="4" t="n"/>
      <c r="BU1134" s="4" t="n"/>
      <c r="BV1134" s="4" t="n"/>
      <c r="BW1134" s="4" t="n"/>
      <c r="BX1134" s="4" t="n"/>
      <c r="BY1134" s="4" t="n"/>
      <c r="BZ1134" s="4" t="n"/>
      <c r="CA1134" s="4" t="n"/>
      <c r="CB1134" s="4" t="n"/>
      <c r="CC1134" s="4" t="n"/>
      <c r="CD1134" s="4" t="n"/>
      <c r="CE1134" s="4" t="n"/>
      <c r="CF1134" s="4" t="n"/>
      <c r="CG1134" s="4" t="n"/>
      <c r="CH1134" s="4" t="n"/>
      <c r="CI1134" s="4" t="n"/>
      <c r="CJ1134" s="4" t="n"/>
      <c r="CK1134" s="4" t="n"/>
      <c r="CL1134" s="4" t="n"/>
      <c r="CM1134" s="4" t="n"/>
      <c r="CN1134" s="4" t="n"/>
      <c r="CO1134" s="4" t="n"/>
      <c r="CP1134" s="4" t="n"/>
      <c r="CQ1134" s="4" t="n"/>
      <c r="CR1134" s="4" t="n"/>
      <c r="CS1134" s="4" t="n"/>
      <c r="CT1134" s="4" t="n"/>
      <c r="CU1134" s="4" t="n"/>
      <c r="CV1134" s="4" t="n"/>
      <c r="CW1134" s="4" t="n"/>
      <c r="CX1134" s="4" t="n"/>
      <c r="CY1134" s="4" t="n"/>
      <c r="CZ1134" s="4" t="n"/>
      <c r="DA1134" s="4" t="n"/>
      <c r="DB1134" s="4" t="n"/>
      <c r="DC1134" s="4" t="n"/>
      <c r="DD1134" s="4" t="n"/>
      <c r="DE1134" s="4" t="n"/>
      <c r="DF1134" s="4" t="n"/>
      <c r="DG1134" s="4" t="n"/>
      <c r="DH1134" s="4" t="n"/>
      <c r="DI1134" s="4" t="n"/>
      <c r="DJ1134" s="4" t="n"/>
      <c r="DK1134" s="4" t="n"/>
      <c r="DL1134" s="4" t="n"/>
      <c r="DM1134" s="4" t="n"/>
      <c r="DN1134" s="4" t="n"/>
      <c r="DO1134" s="4" t="n"/>
      <c r="DP1134" s="4" t="n"/>
      <c r="DQ1134" s="4" t="n"/>
      <c r="DR1134" s="4" t="n"/>
      <c r="DS1134" s="4" t="n"/>
      <c r="DT1134" s="4" t="n"/>
      <c r="DU1134" s="4" t="n"/>
      <c r="DV1134" s="4" t="n"/>
      <c r="DW1134" s="4" t="n"/>
      <c r="DX1134" s="4" t="n"/>
      <c r="DY1134" s="4" t="n"/>
      <c r="DZ1134" s="4" t="n"/>
      <c r="EA1134" s="4" t="n"/>
      <c r="EB1134" s="4" t="n"/>
      <c r="EC1134" s="4" t="n"/>
      <c r="ED1134" s="4" t="n"/>
      <c r="EE1134" s="4" t="n"/>
      <c r="EF1134" s="4" t="n"/>
      <c r="EG1134" s="4" t="n"/>
      <c r="EH1134" s="4" t="n"/>
      <c r="EI1134" s="4" t="n"/>
      <c r="EJ1134" s="4" t="n"/>
      <c r="EK1134" s="4" t="n"/>
      <c r="EL1134" s="4" t="n"/>
      <c r="EM1134" s="4" t="n"/>
    </row>
    <row r="1135" hidden="1" customFormat="1" s="6">
      <c r="C1135" s="4" t="n"/>
      <c r="D1135" s="4" t="n"/>
      <c r="E1135" s="4" t="n"/>
      <c r="F1135" s="4" t="n"/>
      <c r="G1135" s="4" t="n"/>
      <c r="H1135" s="4" t="n"/>
      <c r="I1135" s="4" t="n"/>
      <c r="J1135" s="4" t="n"/>
      <c r="K1135" s="4" t="n"/>
      <c r="L1135" s="4" t="n"/>
      <c r="M1135" s="4" t="n"/>
      <c r="N1135" s="4" t="n"/>
      <c r="O1135" s="4" t="n"/>
      <c r="P1135" s="4" t="n"/>
      <c r="Q1135" s="4" t="n"/>
      <c r="R1135" s="4" t="n"/>
      <c r="S1135" s="4" t="n"/>
      <c r="T1135" s="4" t="n"/>
      <c r="U1135" s="4" t="n"/>
      <c r="V1135" s="4" t="n"/>
      <c r="W1135" s="4" t="n"/>
      <c r="X1135" s="4" t="n"/>
      <c r="Y1135" s="4" t="n"/>
      <c r="Z1135" s="4" t="n"/>
      <c r="AA1135" s="4" t="n"/>
      <c r="AB1135" s="4" t="n"/>
      <c r="AC1135" s="4" t="n"/>
      <c r="AD1135" s="4" t="n"/>
      <c r="AE1135" s="4" t="n"/>
      <c r="AF1135" s="4" t="n"/>
      <c r="AG1135" s="4" t="n"/>
      <c r="AH1135" s="4" t="n"/>
      <c r="AI1135" s="4" t="n"/>
      <c r="AJ1135" s="4" t="n"/>
      <c r="AK1135" s="4" t="n"/>
      <c r="AL1135" s="4" t="n"/>
      <c r="AM1135" s="4" t="n"/>
      <c r="AN1135" s="4" t="n"/>
      <c r="AO1135" s="4" t="n"/>
      <c r="AP1135" s="4" t="n"/>
      <c r="AQ1135" s="4" t="n"/>
      <c r="AR1135" s="4" t="n"/>
      <c r="AS1135" s="4" t="n"/>
      <c r="AT1135" s="4" t="n"/>
      <c r="AU1135" s="4" t="n"/>
      <c r="AV1135" s="4" t="n"/>
      <c r="AW1135" s="4" t="n"/>
      <c r="AX1135" s="4" t="n"/>
      <c r="AY1135" s="4" t="n"/>
      <c r="AZ1135" s="4" t="n"/>
      <c r="BA1135" s="4" t="n"/>
      <c r="BB1135" s="4" t="n"/>
      <c r="BC1135" s="4" t="n"/>
      <c r="BD1135" s="4" t="n"/>
      <c r="BE1135" s="4" t="n"/>
      <c r="BF1135" s="4" t="n"/>
      <c r="BG1135" s="4" t="n"/>
      <c r="BH1135" s="4" t="n"/>
      <c r="BI1135" s="4" t="n"/>
      <c r="BJ1135" s="4" t="n"/>
      <c r="BK1135" s="4" t="n"/>
      <c r="BL1135" s="4" t="n"/>
      <c r="BM1135" s="4" t="n"/>
      <c r="BN1135" s="4" t="n"/>
      <c r="BO1135" s="4" t="n"/>
      <c r="BP1135" s="4" t="n"/>
      <c r="BQ1135" s="4" t="n"/>
      <c r="BR1135" s="4" t="n"/>
      <c r="BS1135" s="4" t="n"/>
      <c r="BT1135" s="4" t="n"/>
      <c r="BU1135" s="4" t="n"/>
      <c r="BV1135" s="4" t="n"/>
      <c r="BW1135" s="4" t="n"/>
      <c r="BX1135" s="4" t="n"/>
      <c r="BY1135" s="4" t="n"/>
      <c r="BZ1135" s="4" t="n"/>
      <c r="CA1135" s="4" t="n"/>
      <c r="CB1135" s="4" t="n"/>
      <c r="CC1135" s="4" t="n"/>
      <c r="CD1135" s="4" t="n"/>
      <c r="CE1135" s="4" t="n"/>
      <c r="CF1135" s="4" t="n"/>
      <c r="CG1135" s="4" t="n"/>
      <c r="CH1135" s="4" t="n"/>
      <c r="CI1135" s="4" t="n"/>
      <c r="CJ1135" s="4" t="n"/>
      <c r="CK1135" s="4" t="n"/>
      <c r="CL1135" s="4" t="n"/>
      <c r="CM1135" s="4" t="n"/>
      <c r="CN1135" s="4" t="n"/>
      <c r="CO1135" s="4" t="n"/>
      <c r="CP1135" s="4" t="n"/>
      <c r="CQ1135" s="4" t="n"/>
      <c r="CR1135" s="4" t="n"/>
      <c r="CS1135" s="4" t="n"/>
      <c r="CT1135" s="4" t="n"/>
      <c r="CU1135" s="4" t="n"/>
      <c r="CV1135" s="4" t="n"/>
      <c r="CW1135" s="4" t="n"/>
      <c r="CX1135" s="4" t="n"/>
      <c r="CY1135" s="4" t="n"/>
      <c r="CZ1135" s="4" t="n"/>
      <c r="DA1135" s="4" t="n"/>
      <c r="DB1135" s="4" t="n"/>
      <c r="DC1135" s="4" t="n"/>
      <c r="DD1135" s="4" t="n"/>
      <c r="DE1135" s="4" t="n"/>
      <c r="DF1135" s="4" t="n"/>
      <c r="DG1135" s="4" t="n"/>
      <c r="DH1135" s="4" t="n"/>
      <c r="DI1135" s="4" t="n"/>
      <c r="DJ1135" s="4" t="n"/>
      <c r="DK1135" s="4" t="n"/>
      <c r="DL1135" s="4" t="n"/>
      <c r="DM1135" s="4" t="n"/>
      <c r="DN1135" s="4" t="n"/>
      <c r="DO1135" s="4" t="n"/>
      <c r="DP1135" s="4" t="n"/>
      <c r="DQ1135" s="4" t="n"/>
      <c r="DR1135" s="4" t="n"/>
      <c r="DS1135" s="4" t="n"/>
      <c r="DT1135" s="4" t="n"/>
      <c r="DU1135" s="4" t="n"/>
      <c r="DV1135" s="4" t="n"/>
      <c r="DW1135" s="4" t="n"/>
      <c r="DX1135" s="4" t="n"/>
      <c r="DY1135" s="4" t="n"/>
      <c r="DZ1135" s="4" t="n"/>
      <c r="EA1135" s="4" t="n"/>
      <c r="EB1135" s="4" t="n"/>
      <c r="EC1135" s="4" t="n"/>
      <c r="ED1135" s="4" t="n"/>
      <c r="EE1135" s="4" t="n"/>
      <c r="EF1135" s="4" t="n"/>
      <c r="EG1135" s="4" t="n"/>
      <c r="EH1135" s="4" t="n"/>
      <c r="EI1135" s="4" t="n"/>
      <c r="EJ1135" s="4" t="n"/>
      <c r="EK1135" s="4" t="n"/>
      <c r="EL1135" s="4" t="n"/>
      <c r="EM1135" s="4" t="n"/>
    </row>
    <row r="1136" hidden="1" customFormat="1" s="6">
      <c r="C1136" s="4" t="n"/>
      <c r="D1136" s="4" t="n"/>
      <c r="E1136" s="4" t="n"/>
      <c r="F1136" s="4" t="n"/>
      <c r="G1136" s="4" t="n"/>
      <c r="H1136" s="4" t="n"/>
      <c r="I1136" s="4" t="n"/>
      <c r="J1136" s="4" t="n"/>
      <c r="K1136" s="4" t="n"/>
      <c r="L1136" s="4" t="n"/>
      <c r="M1136" s="4" t="n"/>
      <c r="N1136" s="4" t="n"/>
      <c r="O1136" s="4" t="n"/>
      <c r="P1136" s="4" t="n"/>
      <c r="Q1136" s="4" t="n"/>
      <c r="R1136" s="4" t="n"/>
      <c r="S1136" s="4" t="n"/>
      <c r="T1136" s="4" t="n"/>
      <c r="U1136" s="4" t="n"/>
      <c r="V1136" s="4" t="n"/>
      <c r="W1136" s="4" t="n"/>
      <c r="X1136" s="4" t="n"/>
      <c r="Y1136" s="4" t="n"/>
      <c r="Z1136" s="4" t="n"/>
      <c r="AA1136" s="4" t="n"/>
      <c r="AB1136" s="4" t="n"/>
      <c r="AC1136" s="4" t="n"/>
      <c r="AD1136" s="4" t="n"/>
      <c r="AE1136" s="4" t="n"/>
      <c r="AF1136" s="4" t="n"/>
      <c r="AG1136" s="4" t="n"/>
      <c r="AH1136" s="4" t="n"/>
      <c r="AI1136" s="4" t="n"/>
      <c r="AJ1136" s="4" t="n"/>
      <c r="AK1136" s="4" t="n"/>
      <c r="AL1136" s="4" t="n"/>
      <c r="AM1136" s="4" t="n"/>
      <c r="AN1136" s="4" t="n"/>
      <c r="AO1136" s="4" t="n"/>
      <c r="AP1136" s="4" t="n"/>
      <c r="AQ1136" s="4" t="n"/>
      <c r="AR1136" s="4" t="n"/>
      <c r="AS1136" s="4" t="n"/>
      <c r="AT1136" s="4" t="n"/>
      <c r="AU1136" s="4" t="n"/>
      <c r="AV1136" s="4" t="n"/>
      <c r="AW1136" s="4" t="n"/>
      <c r="AX1136" s="4" t="n"/>
      <c r="AY1136" s="4" t="n"/>
      <c r="AZ1136" s="4" t="n"/>
      <c r="BA1136" s="4" t="n"/>
      <c r="BB1136" s="4" t="n"/>
      <c r="BC1136" s="4" t="n"/>
      <c r="BD1136" s="4" t="n"/>
      <c r="BE1136" s="4" t="n"/>
      <c r="BF1136" s="4" t="n"/>
      <c r="BG1136" s="4" t="n"/>
      <c r="BH1136" s="4" t="n"/>
      <c r="BI1136" s="4" t="n"/>
      <c r="BJ1136" s="4" t="n"/>
      <c r="BK1136" s="4" t="n"/>
      <c r="BL1136" s="4" t="n"/>
      <c r="BM1136" s="4" t="n"/>
      <c r="BN1136" s="4" t="n"/>
      <c r="BO1136" s="4" t="n"/>
      <c r="BP1136" s="4" t="n"/>
      <c r="BQ1136" s="4" t="n"/>
      <c r="BR1136" s="4" t="n"/>
      <c r="BS1136" s="4" t="n"/>
      <c r="BT1136" s="4" t="n"/>
      <c r="BU1136" s="4" t="n"/>
      <c r="BV1136" s="4" t="n"/>
      <c r="BW1136" s="4" t="n"/>
      <c r="BX1136" s="4" t="n"/>
      <c r="BY1136" s="4" t="n"/>
      <c r="BZ1136" s="4" t="n"/>
      <c r="CA1136" s="4" t="n"/>
      <c r="CB1136" s="4" t="n"/>
      <c r="CC1136" s="4" t="n"/>
      <c r="CD1136" s="4" t="n"/>
      <c r="CE1136" s="4" t="n"/>
      <c r="CF1136" s="4" t="n"/>
      <c r="CG1136" s="4" t="n"/>
      <c r="CH1136" s="4" t="n"/>
      <c r="CI1136" s="4" t="n"/>
      <c r="CJ1136" s="4" t="n"/>
      <c r="CK1136" s="4" t="n"/>
      <c r="CL1136" s="4" t="n"/>
      <c r="CM1136" s="4" t="n"/>
      <c r="CN1136" s="4" t="n"/>
      <c r="CO1136" s="4" t="n"/>
      <c r="CP1136" s="4" t="n"/>
      <c r="CQ1136" s="4" t="n"/>
      <c r="CR1136" s="4" t="n"/>
      <c r="CS1136" s="4" t="n"/>
      <c r="CT1136" s="4" t="n"/>
      <c r="CU1136" s="4" t="n"/>
      <c r="CV1136" s="4" t="n"/>
      <c r="CW1136" s="4" t="n"/>
      <c r="CX1136" s="4" t="n"/>
      <c r="CY1136" s="4" t="n"/>
      <c r="CZ1136" s="4" t="n"/>
      <c r="DA1136" s="4" t="n"/>
      <c r="DB1136" s="4" t="n"/>
      <c r="DC1136" s="4" t="n"/>
      <c r="DD1136" s="4" t="n"/>
      <c r="DE1136" s="4" t="n"/>
      <c r="DF1136" s="4" t="n"/>
      <c r="DG1136" s="4" t="n"/>
      <c r="DH1136" s="4" t="n"/>
      <c r="DI1136" s="4" t="n"/>
      <c r="DJ1136" s="4" t="n"/>
      <c r="DK1136" s="4" t="n"/>
      <c r="DL1136" s="4" t="n"/>
      <c r="DM1136" s="4" t="n"/>
      <c r="DN1136" s="4" t="n"/>
      <c r="DO1136" s="4" t="n"/>
      <c r="DP1136" s="4" t="n"/>
      <c r="DQ1136" s="4" t="n"/>
      <c r="DR1136" s="4" t="n"/>
      <c r="DS1136" s="4" t="n"/>
      <c r="DT1136" s="4" t="n"/>
      <c r="DU1136" s="4" t="n"/>
      <c r="DV1136" s="4" t="n"/>
      <c r="DW1136" s="4" t="n"/>
      <c r="DX1136" s="4" t="n"/>
      <c r="DY1136" s="4" t="n"/>
      <c r="DZ1136" s="4" t="n"/>
      <c r="EA1136" s="4" t="n"/>
      <c r="EB1136" s="4" t="n"/>
      <c r="EC1136" s="4" t="n"/>
      <c r="ED1136" s="4" t="n"/>
      <c r="EE1136" s="4" t="n"/>
      <c r="EF1136" s="4" t="n"/>
      <c r="EG1136" s="4" t="n"/>
      <c r="EH1136" s="4" t="n"/>
      <c r="EI1136" s="4" t="n"/>
      <c r="EJ1136" s="4" t="n"/>
      <c r="EK1136" s="4" t="n"/>
      <c r="EL1136" s="4" t="n"/>
      <c r="EM1136" s="4" t="n"/>
    </row>
    <row r="1137" hidden="1" customFormat="1" s="6">
      <c r="C1137" s="4" t="n"/>
      <c r="D1137" s="4" t="n"/>
      <c r="E1137" s="4" t="n"/>
      <c r="F1137" s="4" t="n"/>
      <c r="G1137" s="4" t="n"/>
      <c r="H1137" s="4" t="n"/>
      <c r="I1137" s="4" t="n"/>
      <c r="J1137" s="4" t="n"/>
      <c r="K1137" s="4" t="n"/>
      <c r="L1137" s="4" t="n"/>
      <c r="M1137" s="4" t="n"/>
      <c r="N1137" s="4" t="n"/>
      <c r="O1137" s="4" t="n"/>
      <c r="P1137" s="4" t="n"/>
      <c r="Q1137" s="4" t="n"/>
      <c r="R1137" s="4" t="n"/>
      <c r="S1137" s="4" t="n"/>
      <c r="T1137" s="4" t="n"/>
      <c r="U1137" s="4" t="n"/>
      <c r="V1137" s="4" t="n"/>
      <c r="W1137" s="4" t="n"/>
      <c r="X1137" s="4" t="n"/>
      <c r="Y1137" s="4" t="n"/>
      <c r="Z1137" s="4" t="n"/>
      <c r="AA1137" s="4" t="n"/>
      <c r="AB1137" s="4" t="n"/>
      <c r="AC1137" s="4" t="n"/>
      <c r="AD1137" s="4" t="n"/>
      <c r="AE1137" s="4" t="n"/>
      <c r="AF1137" s="4" t="n"/>
      <c r="AG1137" s="4" t="n"/>
      <c r="AH1137" s="4" t="n"/>
      <c r="AI1137" s="4" t="n"/>
      <c r="AJ1137" s="4" t="n"/>
      <c r="AK1137" s="4" t="n"/>
      <c r="AL1137" s="4" t="n"/>
      <c r="AM1137" s="4" t="n"/>
      <c r="AN1137" s="4" t="n"/>
      <c r="AO1137" s="4" t="n"/>
      <c r="AP1137" s="4" t="n"/>
      <c r="AQ1137" s="4" t="n"/>
      <c r="AR1137" s="4" t="n"/>
      <c r="AS1137" s="4" t="n"/>
      <c r="AT1137" s="4" t="n"/>
      <c r="AU1137" s="4" t="n"/>
      <c r="AV1137" s="4" t="n"/>
      <c r="AW1137" s="4" t="n"/>
      <c r="AX1137" s="4" t="n"/>
      <c r="AY1137" s="4" t="n"/>
      <c r="AZ1137" s="4" t="n"/>
      <c r="BA1137" s="4" t="n"/>
      <c r="BB1137" s="4" t="n"/>
      <c r="BC1137" s="4" t="n"/>
      <c r="BD1137" s="4" t="n"/>
      <c r="BE1137" s="4" t="n"/>
      <c r="BF1137" s="4" t="n"/>
      <c r="BG1137" s="4" t="n"/>
      <c r="BH1137" s="4" t="n"/>
      <c r="BI1137" s="4" t="n"/>
      <c r="BJ1137" s="4" t="n"/>
      <c r="BK1137" s="4" t="n"/>
      <c r="BL1137" s="4" t="n"/>
      <c r="BM1137" s="4" t="n"/>
      <c r="BN1137" s="4" t="n"/>
      <c r="BO1137" s="4" t="n"/>
      <c r="BP1137" s="4" t="n"/>
      <c r="BQ1137" s="4" t="n"/>
      <c r="BR1137" s="4" t="n"/>
      <c r="BS1137" s="4" t="n"/>
      <c r="BT1137" s="4" t="n"/>
      <c r="BU1137" s="4" t="n"/>
      <c r="BV1137" s="4" t="n"/>
      <c r="BW1137" s="4" t="n"/>
      <c r="BX1137" s="4" t="n"/>
      <c r="BY1137" s="4" t="n"/>
      <c r="BZ1137" s="4" t="n"/>
      <c r="CA1137" s="4" t="n"/>
      <c r="CB1137" s="4" t="n"/>
      <c r="CC1137" s="4" t="n"/>
      <c r="CD1137" s="4" t="n"/>
      <c r="CE1137" s="4" t="n"/>
      <c r="CF1137" s="4" t="n"/>
      <c r="CG1137" s="4" t="n"/>
      <c r="CH1137" s="4" t="n"/>
      <c r="CI1137" s="4" t="n"/>
      <c r="CJ1137" s="4" t="n"/>
      <c r="CK1137" s="4" t="n"/>
      <c r="CL1137" s="4" t="n"/>
      <c r="CM1137" s="4" t="n"/>
      <c r="CN1137" s="4" t="n"/>
      <c r="CO1137" s="4" t="n"/>
      <c r="CP1137" s="4" t="n"/>
      <c r="CQ1137" s="4" t="n"/>
      <c r="CR1137" s="4" t="n"/>
      <c r="CS1137" s="4" t="n"/>
      <c r="CT1137" s="4" t="n"/>
      <c r="CU1137" s="4" t="n"/>
      <c r="CV1137" s="4" t="n"/>
      <c r="CW1137" s="4" t="n"/>
      <c r="CX1137" s="4" t="n"/>
      <c r="CY1137" s="4" t="n"/>
      <c r="CZ1137" s="4" t="n"/>
      <c r="DA1137" s="4" t="n"/>
      <c r="DB1137" s="4" t="n"/>
      <c r="DC1137" s="4" t="n"/>
      <c r="DD1137" s="4" t="n"/>
      <c r="DE1137" s="4" t="n"/>
      <c r="DF1137" s="4" t="n"/>
      <c r="DG1137" s="4" t="n"/>
      <c r="DH1137" s="4" t="n"/>
      <c r="DI1137" s="4" t="n"/>
      <c r="DJ1137" s="4" t="n"/>
      <c r="DK1137" s="4" t="n"/>
      <c r="DL1137" s="4" t="n"/>
      <c r="DM1137" s="4" t="n"/>
      <c r="DN1137" s="4" t="n"/>
      <c r="DO1137" s="4" t="n"/>
      <c r="DP1137" s="4" t="n"/>
      <c r="DQ1137" s="4" t="n"/>
      <c r="DR1137" s="4" t="n"/>
      <c r="DS1137" s="4" t="n"/>
      <c r="DT1137" s="4" t="n"/>
      <c r="DU1137" s="4" t="n"/>
      <c r="DV1137" s="4" t="n"/>
      <c r="DW1137" s="4" t="n"/>
      <c r="DX1137" s="4" t="n"/>
      <c r="DY1137" s="4" t="n"/>
      <c r="DZ1137" s="4" t="n"/>
      <c r="EA1137" s="4" t="n"/>
      <c r="EB1137" s="4" t="n"/>
      <c r="EC1137" s="4" t="n"/>
      <c r="ED1137" s="4" t="n"/>
      <c r="EE1137" s="4" t="n"/>
      <c r="EF1137" s="4" t="n"/>
      <c r="EG1137" s="4" t="n"/>
      <c r="EH1137" s="4" t="n"/>
      <c r="EI1137" s="4" t="n"/>
      <c r="EJ1137" s="4" t="n"/>
      <c r="EK1137" s="4" t="n"/>
      <c r="EL1137" s="4" t="n"/>
      <c r="EM1137" s="4" t="n"/>
    </row>
    <row r="1138" hidden="1" customFormat="1" s="6">
      <c r="C1138" s="4" t="n"/>
      <c r="D1138" s="4" t="n"/>
      <c r="E1138" s="4" t="n"/>
      <c r="F1138" s="4" t="n"/>
      <c r="G1138" s="4" t="n"/>
      <c r="H1138" s="4" t="n"/>
      <c r="I1138" s="4" t="n"/>
      <c r="J1138" s="4" t="n"/>
      <c r="K1138" s="4" t="n"/>
      <c r="L1138" s="4" t="n"/>
      <c r="M1138" s="4" t="n"/>
      <c r="N1138" s="4" t="n"/>
      <c r="O1138" s="4" t="n"/>
      <c r="P1138" s="4" t="n"/>
      <c r="Q1138" s="4" t="n"/>
      <c r="R1138" s="4" t="n"/>
      <c r="S1138" s="4" t="n"/>
      <c r="T1138" s="4" t="n"/>
      <c r="U1138" s="4" t="n"/>
      <c r="V1138" s="4" t="n"/>
      <c r="W1138" s="4" t="n"/>
      <c r="X1138" s="4" t="n"/>
      <c r="Y1138" s="4" t="n"/>
      <c r="Z1138" s="4" t="n"/>
      <c r="AA1138" s="4" t="n"/>
      <c r="AB1138" s="4" t="n"/>
      <c r="AC1138" s="4" t="n"/>
      <c r="AD1138" s="4" t="n"/>
      <c r="AE1138" s="4" t="n"/>
      <c r="AF1138" s="4" t="n"/>
      <c r="AG1138" s="4" t="n"/>
      <c r="AH1138" s="4" t="n"/>
      <c r="AI1138" s="4" t="n"/>
      <c r="AJ1138" s="4" t="n"/>
      <c r="AK1138" s="4" t="n"/>
      <c r="AL1138" s="4" t="n"/>
      <c r="AM1138" s="4" t="n"/>
      <c r="AN1138" s="4" t="n"/>
      <c r="AO1138" s="4" t="n"/>
      <c r="AP1138" s="4" t="n"/>
      <c r="AQ1138" s="4" t="n"/>
      <c r="AR1138" s="4" t="n"/>
      <c r="AS1138" s="4" t="n"/>
      <c r="AT1138" s="4" t="n"/>
      <c r="AU1138" s="4" t="n"/>
      <c r="AV1138" s="4" t="n"/>
      <c r="AW1138" s="4" t="n"/>
      <c r="AX1138" s="4" t="n"/>
      <c r="AY1138" s="4" t="n"/>
      <c r="AZ1138" s="4" t="n"/>
      <c r="BA1138" s="4" t="n"/>
      <c r="BB1138" s="4" t="n"/>
      <c r="BC1138" s="4" t="n"/>
      <c r="BD1138" s="4" t="n"/>
      <c r="BE1138" s="4" t="n"/>
      <c r="BF1138" s="4" t="n"/>
      <c r="BG1138" s="4" t="n"/>
      <c r="BH1138" s="4" t="n"/>
      <c r="BI1138" s="4" t="n"/>
      <c r="BJ1138" s="4" t="n"/>
      <c r="BK1138" s="4" t="n"/>
      <c r="BL1138" s="4" t="n"/>
      <c r="BM1138" s="4" t="n"/>
      <c r="BN1138" s="4" t="n"/>
      <c r="BO1138" s="4" t="n"/>
      <c r="BP1138" s="4" t="n"/>
      <c r="BQ1138" s="4" t="n"/>
      <c r="BR1138" s="4" t="n"/>
      <c r="BS1138" s="4" t="n"/>
      <c r="BT1138" s="4" t="n"/>
      <c r="BU1138" s="4" t="n"/>
      <c r="BV1138" s="4" t="n"/>
      <c r="BW1138" s="4" t="n"/>
      <c r="BX1138" s="4" t="n"/>
      <c r="BY1138" s="4" t="n"/>
      <c r="BZ1138" s="4" t="n"/>
      <c r="CA1138" s="4" t="n"/>
      <c r="CB1138" s="4" t="n"/>
      <c r="CC1138" s="4" t="n"/>
      <c r="CD1138" s="4" t="n"/>
      <c r="CE1138" s="4" t="n"/>
      <c r="CF1138" s="4" t="n"/>
      <c r="CG1138" s="4" t="n"/>
      <c r="CH1138" s="4" t="n"/>
      <c r="CI1138" s="4" t="n"/>
      <c r="CJ1138" s="4" t="n"/>
      <c r="CK1138" s="4" t="n"/>
      <c r="CL1138" s="4" t="n"/>
      <c r="CM1138" s="4" t="n"/>
      <c r="CN1138" s="4" t="n"/>
      <c r="CO1138" s="4" t="n"/>
      <c r="CP1138" s="4" t="n"/>
      <c r="CQ1138" s="4" t="n"/>
      <c r="CR1138" s="4" t="n"/>
      <c r="CS1138" s="4" t="n"/>
      <c r="CT1138" s="4" t="n"/>
      <c r="CU1138" s="4" t="n"/>
      <c r="CV1138" s="4" t="n"/>
      <c r="CW1138" s="4" t="n"/>
      <c r="CX1138" s="4" t="n"/>
      <c r="CY1138" s="4" t="n"/>
      <c r="CZ1138" s="4" t="n"/>
      <c r="DA1138" s="4" t="n"/>
      <c r="DB1138" s="4" t="n"/>
      <c r="DC1138" s="4" t="n"/>
      <c r="DD1138" s="4" t="n"/>
      <c r="DE1138" s="4" t="n"/>
      <c r="DF1138" s="4" t="n"/>
      <c r="DG1138" s="4" t="n"/>
      <c r="DH1138" s="4" t="n"/>
      <c r="DI1138" s="4" t="n"/>
      <c r="DJ1138" s="4" t="n"/>
      <c r="DK1138" s="4" t="n"/>
      <c r="DL1138" s="4" t="n"/>
      <c r="DM1138" s="4" t="n"/>
      <c r="DN1138" s="4" t="n"/>
      <c r="DO1138" s="4" t="n"/>
      <c r="DP1138" s="4" t="n"/>
      <c r="DQ1138" s="4" t="n"/>
      <c r="DR1138" s="4" t="n"/>
      <c r="DS1138" s="4" t="n"/>
      <c r="DT1138" s="4" t="n"/>
      <c r="DU1138" s="4" t="n"/>
      <c r="DV1138" s="4" t="n"/>
      <c r="DW1138" s="4" t="n"/>
      <c r="DX1138" s="4" t="n"/>
      <c r="DY1138" s="4" t="n"/>
      <c r="DZ1138" s="4" t="n"/>
      <c r="EA1138" s="4" t="n"/>
      <c r="EB1138" s="4" t="n"/>
      <c r="EC1138" s="4" t="n"/>
      <c r="ED1138" s="4" t="n"/>
      <c r="EE1138" s="4" t="n"/>
      <c r="EF1138" s="4" t="n"/>
      <c r="EG1138" s="4" t="n"/>
      <c r="EH1138" s="4" t="n"/>
      <c r="EI1138" s="4" t="n"/>
      <c r="EJ1138" s="4" t="n"/>
      <c r="EK1138" s="4" t="n"/>
      <c r="EL1138" s="4" t="n"/>
      <c r="EM1138" s="4" t="n"/>
    </row>
    <row r="1139" hidden="1" customFormat="1" s="6">
      <c r="C1139" s="4" t="n"/>
      <c r="D1139" s="4" t="n"/>
      <c r="E1139" s="4" t="n"/>
      <c r="F1139" s="4" t="n"/>
      <c r="G1139" s="4" t="n"/>
      <c r="H1139" s="4" t="n"/>
      <c r="I1139" s="4" t="n"/>
      <c r="J1139" s="4" t="n"/>
      <c r="K1139" s="4" t="n"/>
      <c r="L1139" s="4" t="n"/>
      <c r="M1139" s="4" t="n"/>
      <c r="N1139" s="4" t="n"/>
      <c r="O1139" s="4" t="n"/>
      <c r="P1139" s="4" t="n"/>
      <c r="Q1139" s="4" t="n"/>
      <c r="R1139" s="4" t="n"/>
      <c r="S1139" s="4" t="n"/>
      <c r="T1139" s="4" t="n"/>
      <c r="U1139" s="4" t="n"/>
      <c r="V1139" s="4" t="n"/>
      <c r="W1139" s="4" t="n"/>
      <c r="X1139" s="4" t="n"/>
      <c r="Y1139" s="4" t="n"/>
      <c r="Z1139" s="4" t="n"/>
      <c r="AA1139" s="4" t="n"/>
      <c r="AB1139" s="4" t="n"/>
      <c r="AC1139" s="4" t="n"/>
      <c r="AD1139" s="4" t="n"/>
      <c r="AE1139" s="4" t="n"/>
      <c r="AF1139" s="4" t="n"/>
      <c r="AG1139" s="4" t="n"/>
      <c r="AH1139" s="4" t="n"/>
      <c r="AI1139" s="4" t="n"/>
      <c r="AJ1139" s="4" t="n"/>
      <c r="AK1139" s="4" t="n"/>
      <c r="AL1139" s="4" t="n"/>
      <c r="AM1139" s="4" t="n"/>
      <c r="AN1139" s="4" t="n"/>
      <c r="AO1139" s="4" t="n"/>
      <c r="AP1139" s="4" t="n"/>
      <c r="AQ1139" s="4" t="n"/>
      <c r="AR1139" s="4" t="n"/>
      <c r="AS1139" s="4" t="n"/>
      <c r="AT1139" s="4" t="n"/>
      <c r="AU1139" s="4" t="n"/>
      <c r="AV1139" s="4" t="n"/>
      <c r="AW1139" s="4" t="n"/>
      <c r="AX1139" s="4" t="n"/>
      <c r="AY1139" s="4" t="n"/>
      <c r="AZ1139" s="4" t="n"/>
      <c r="BA1139" s="4" t="n"/>
      <c r="BB1139" s="4" t="n"/>
      <c r="BC1139" s="4" t="n"/>
      <c r="BD1139" s="4" t="n"/>
      <c r="BE1139" s="4" t="n"/>
      <c r="BF1139" s="4" t="n"/>
      <c r="BG1139" s="4" t="n"/>
      <c r="BH1139" s="4" t="n"/>
      <c r="BI1139" s="4" t="n"/>
      <c r="BJ1139" s="4" t="n"/>
      <c r="BK1139" s="4" t="n"/>
      <c r="BL1139" s="4" t="n"/>
      <c r="BM1139" s="4" t="n"/>
      <c r="BN1139" s="4" t="n"/>
      <c r="BO1139" s="4" t="n"/>
      <c r="BP1139" s="4" t="n"/>
      <c r="BQ1139" s="4" t="n"/>
      <c r="BR1139" s="4" t="n"/>
      <c r="BS1139" s="4" t="n"/>
      <c r="BT1139" s="4" t="n"/>
      <c r="BU1139" s="4" t="n"/>
      <c r="BV1139" s="4" t="n"/>
      <c r="BW1139" s="4" t="n"/>
      <c r="BX1139" s="4" t="n"/>
      <c r="BY1139" s="4" t="n"/>
      <c r="BZ1139" s="4" t="n"/>
      <c r="CA1139" s="4" t="n"/>
      <c r="CB1139" s="4" t="n"/>
      <c r="CC1139" s="4" t="n"/>
      <c r="CD1139" s="4" t="n"/>
      <c r="CE1139" s="4" t="n"/>
      <c r="CF1139" s="4" t="n"/>
      <c r="CG1139" s="4" t="n"/>
      <c r="CH1139" s="4" t="n"/>
      <c r="CI1139" s="4" t="n"/>
      <c r="CJ1139" s="4" t="n"/>
      <c r="CK1139" s="4" t="n"/>
      <c r="CL1139" s="4" t="n"/>
      <c r="CM1139" s="4" t="n"/>
      <c r="CN1139" s="4" t="n"/>
      <c r="CO1139" s="4" t="n"/>
      <c r="CP1139" s="4" t="n"/>
      <c r="CQ1139" s="4" t="n"/>
      <c r="CR1139" s="4" t="n"/>
      <c r="CS1139" s="4" t="n"/>
      <c r="CT1139" s="4" t="n"/>
      <c r="CU1139" s="4" t="n"/>
      <c r="CV1139" s="4" t="n"/>
      <c r="CW1139" s="4" t="n"/>
      <c r="CX1139" s="4" t="n"/>
      <c r="CY1139" s="4" t="n"/>
      <c r="CZ1139" s="4" t="n"/>
      <c r="DA1139" s="4" t="n"/>
      <c r="DB1139" s="4" t="n"/>
      <c r="DC1139" s="4" t="n"/>
      <c r="DD1139" s="4" t="n"/>
      <c r="DE1139" s="4" t="n"/>
      <c r="DF1139" s="4" t="n"/>
      <c r="DG1139" s="4" t="n"/>
      <c r="DH1139" s="4" t="n"/>
      <c r="DI1139" s="4" t="n"/>
      <c r="DJ1139" s="4" t="n"/>
      <c r="DK1139" s="4" t="n"/>
      <c r="DL1139" s="4" t="n"/>
      <c r="DM1139" s="4" t="n"/>
      <c r="DN1139" s="4" t="n"/>
      <c r="DO1139" s="4" t="n"/>
      <c r="DP1139" s="4" t="n"/>
      <c r="DQ1139" s="4" t="n"/>
      <c r="DR1139" s="4" t="n"/>
      <c r="DS1139" s="4" t="n"/>
      <c r="DT1139" s="4" t="n"/>
      <c r="DU1139" s="4" t="n"/>
      <c r="DV1139" s="4" t="n"/>
      <c r="DW1139" s="4" t="n"/>
      <c r="DX1139" s="4" t="n"/>
      <c r="DY1139" s="4" t="n"/>
      <c r="DZ1139" s="4" t="n"/>
      <c r="EA1139" s="4" t="n"/>
      <c r="EB1139" s="4" t="n"/>
      <c r="EC1139" s="4" t="n"/>
      <c r="ED1139" s="4" t="n"/>
      <c r="EE1139" s="4" t="n"/>
      <c r="EF1139" s="4" t="n"/>
      <c r="EG1139" s="4" t="n"/>
      <c r="EH1139" s="4" t="n"/>
      <c r="EI1139" s="4" t="n"/>
      <c r="EJ1139" s="4" t="n"/>
      <c r="EK1139" s="4" t="n"/>
      <c r="EL1139" s="4" t="n"/>
      <c r="EM1139" s="4" t="n"/>
    </row>
    <row r="1140" hidden="1" customFormat="1" s="6">
      <c r="C1140" s="4" t="n"/>
      <c r="D1140" s="4" t="n"/>
      <c r="E1140" s="4" t="n"/>
      <c r="F1140" s="4" t="n"/>
      <c r="G1140" s="4" t="n"/>
      <c r="H1140" s="4" t="n"/>
      <c r="I1140" s="4" t="n"/>
      <c r="J1140" s="4" t="n"/>
      <c r="K1140" s="4" t="n"/>
      <c r="L1140" s="4" t="n"/>
      <c r="M1140" s="4" t="n"/>
      <c r="N1140" s="4" t="n"/>
      <c r="O1140" s="4" t="n"/>
      <c r="P1140" s="4" t="n"/>
      <c r="Q1140" s="4" t="n"/>
      <c r="R1140" s="4" t="n"/>
      <c r="S1140" s="4" t="n"/>
      <c r="T1140" s="4" t="n"/>
      <c r="U1140" s="4" t="n"/>
      <c r="V1140" s="4" t="n"/>
      <c r="W1140" s="4" t="n"/>
      <c r="X1140" s="4" t="n"/>
      <c r="Y1140" s="4" t="n"/>
      <c r="Z1140" s="4" t="n"/>
      <c r="AA1140" s="4" t="n"/>
      <c r="AB1140" s="4" t="n"/>
      <c r="AC1140" s="4" t="n"/>
      <c r="AD1140" s="4" t="n"/>
      <c r="AE1140" s="4" t="n"/>
      <c r="AF1140" s="4" t="n"/>
      <c r="AG1140" s="4" t="n"/>
      <c r="AH1140" s="4" t="n"/>
      <c r="AI1140" s="4" t="n"/>
      <c r="AJ1140" s="4" t="n"/>
      <c r="AK1140" s="4" t="n"/>
      <c r="AL1140" s="4" t="n"/>
      <c r="AM1140" s="4" t="n"/>
      <c r="AN1140" s="4" t="n"/>
      <c r="AO1140" s="4" t="n"/>
      <c r="AP1140" s="4" t="n"/>
      <c r="AQ1140" s="4" t="n"/>
      <c r="AR1140" s="4" t="n"/>
      <c r="AS1140" s="4" t="n"/>
      <c r="AT1140" s="4" t="n"/>
      <c r="AU1140" s="4" t="n"/>
      <c r="AV1140" s="4" t="n"/>
      <c r="AW1140" s="4" t="n"/>
      <c r="AX1140" s="4" t="n"/>
      <c r="AY1140" s="4" t="n"/>
      <c r="AZ1140" s="4" t="n"/>
      <c r="BA1140" s="4" t="n"/>
      <c r="BB1140" s="4" t="n"/>
      <c r="BC1140" s="4" t="n"/>
      <c r="BD1140" s="4" t="n"/>
      <c r="BE1140" s="4" t="n"/>
      <c r="BF1140" s="4" t="n"/>
      <c r="BG1140" s="4" t="n"/>
      <c r="BH1140" s="4" t="n"/>
      <c r="BI1140" s="4" t="n"/>
      <c r="BJ1140" s="4" t="n"/>
      <c r="BK1140" s="4" t="n"/>
      <c r="BL1140" s="4" t="n"/>
      <c r="BM1140" s="4" t="n"/>
      <c r="BN1140" s="4" t="n"/>
      <c r="BO1140" s="4" t="n"/>
      <c r="BP1140" s="4" t="n"/>
      <c r="BQ1140" s="4" t="n"/>
      <c r="BR1140" s="4" t="n"/>
      <c r="BS1140" s="4" t="n"/>
      <c r="BT1140" s="4" t="n"/>
      <c r="BU1140" s="4" t="n"/>
      <c r="BV1140" s="4" t="n"/>
      <c r="BW1140" s="4" t="n"/>
      <c r="BX1140" s="4" t="n"/>
      <c r="BY1140" s="4" t="n"/>
      <c r="BZ1140" s="4" t="n"/>
      <c r="CA1140" s="4" t="n"/>
      <c r="CB1140" s="4" t="n"/>
      <c r="CC1140" s="4" t="n"/>
      <c r="CD1140" s="4" t="n"/>
      <c r="CE1140" s="4" t="n"/>
      <c r="CF1140" s="4" t="n"/>
      <c r="CG1140" s="4" t="n"/>
      <c r="CH1140" s="4" t="n"/>
      <c r="CI1140" s="4" t="n"/>
      <c r="CJ1140" s="4" t="n"/>
      <c r="CK1140" s="4" t="n"/>
      <c r="CL1140" s="4" t="n"/>
      <c r="CM1140" s="4" t="n"/>
      <c r="CN1140" s="4" t="n"/>
      <c r="CO1140" s="4" t="n"/>
      <c r="CP1140" s="4" t="n"/>
      <c r="CQ1140" s="4" t="n"/>
      <c r="CR1140" s="4" t="n"/>
      <c r="CS1140" s="4" t="n"/>
      <c r="CT1140" s="4" t="n"/>
      <c r="CU1140" s="4" t="n"/>
      <c r="CV1140" s="4" t="n"/>
      <c r="CW1140" s="4" t="n"/>
      <c r="CX1140" s="4" t="n"/>
      <c r="CY1140" s="4" t="n"/>
      <c r="CZ1140" s="4" t="n"/>
      <c r="DA1140" s="4" t="n"/>
      <c r="DB1140" s="4" t="n"/>
      <c r="DC1140" s="4" t="n"/>
      <c r="DD1140" s="4" t="n"/>
      <c r="DE1140" s="4" t="n"/>
      <c r="DF1140" s="4" t="n"/>
      <c r="DG1140" s="4" t="n"/>
      <c r="DH1140" s="4" t="n"/>
      <c r="DI1140" s="4" t="n"/>
      <c r="DJ1140" s="4" t="n"/>
      <c r="DK1140" s="4" t="n"/>
      <c r="DL1140" s="4" t="n"/>
      <c r="DM1140" s="4" t="n"/>
      <c r="DN1140" s="4" t="n"/>
      <c r="DO1140" s="4" t="n"/>
      <c r="DP1140" s="4" t="n"/>
      <c r="DQ1140" s="4" t="n"/>
      <c r="DR1140" s="4" t="n"/>
      <c r="DS1140" s="4" t="n"/>
      <c r="DT1140" s="4" t="n"/>
      <c r="DU1140" s="4" t="n"/>
      <c r="DV1140" s="4" t="n"/>
      <c r="DW1140" s="4" t="n"/>
      <c r="DX1140" s="4" t="n"/>
      <c r="DY1140" s="4" t="n"/>
      <c r="DZ1140" s="4" t="n"/>
      <c r="EA1140" s="4" t="n"/>
      <c r="EB1140" s="4" t="n"/>
      <c r="EC1140" s="4" t="n"/>
      <c r="ED1140" s="4" t="n"/>
      <c r="EE1140" s="4" t="n"/>
      <c r="EF1140" s="4" t="n"/>
      <c r="EG1140" s="4" t="n"/>
      <c r="EH1140" s="4" t="n"/>
      <c r="EI1140" s="4" t="n"/>
      <c r="EJ1140" s="4" t="n"/>
      <c r="EK1140" s="4" t="n"/>
      <c r="EL1140" s="4" t="n"/>
      <c r="EM1140" s="4" t="n"/>
    </row>
    <row r="1141" hidden="1" customFormat="1" s="6">
      <c r="C1141" s="4" t="n"/>
      <c r="D1141" s="4" t="n"/>
      <c r="E1141" s="4" t="n"/>
      <c r="F1141" s="4" t="n"/>
      <c r="G1141" s="4" t="n"/>
      <c r="H1141" s="4" t="n"/>
      <c r="I1141" s="4" t="n"/>
      <c r="J1141" s="4" t="n"/>
      <c r="K1141" s="4" t="n"/>
      <c r="L1141" s="4" t="n"/>
      <c r="M1141" s="4" t="n"/>
      <c r="N1141" s="4" t="n"/>
      <c r="O1141" s="4" t="n"/>
      <c r="P1141" s="4" t="n"/>
      <c r="Q1141" s="4" t="n"/>
      <c r="R1141" s="4" t="n"/>
      <c r="S1141" s="4" t="n"/>
      <c r="T1141" s="4" t="n"/>
      <c r="U1141" s="4" t="n"/>
      <c r="V1141" s="4" t="n"/>
      <c r="W1141" s="4" t="n"/>
      <c r="X1141" s="4" t="n"/>
      <c r="Y1141" s="4" t="n"/>
      <c r="Z1141" s="4" t="n"/>
      <c r="AA1141" s="4" t="n"/>
      <c r="AB1141" s="4" t="n"/>
      <c r="AC1141" s="4" t="n"/>
      <c r="AD1141" s="4" t="n"/>
      <c r="AE1141" s="4" t="n"/>
      <c r="AF1141" s="4" t="n"/>
      <c r="AG1141" s="4" t="n"/>
      <c r="AH1141" s="4" t="n"/>
      <c r="AI1141" s="4" t="n"/>
      <c r="AJ1141" s="4" t="n"/>
      <c r="AK1141" s="4" t="n"/>
      <c r="AL1141" s="4" t="n"/>
      <c r="AM1141" s="4" t="n"/>
      <c r="AN1141" s="4" t="n"/>
      <c r="AO1141" s="4" t="n"/>
      <c r="AP1141" s="4" t="n"/>
      <c r="AQ1141" s="4" t="n"/>
      <c r="AR1141" s="4" t="n"/>
      <c r="AS1141" s="4" t="n"/>
      <c r="AT1141" s="4" t="n"/>
      <c r="AU1141" s="4" t="n"/>
      <c r="AV1141" s="4" t="n"/>
      <c r="AW1141" s="4" t="n"/>
      <c r="AX1141" s="4" t="n"/>
      <c r="AY1141" s="4" t="n"/>
      <c r="AZ1141" s="4" t="n"/>
      <c r="BA1141" s="4" t="n"/>
      <c r="BB1141" s="4" t="n"/>
      <c r="BC1141" s="4" t="n"/>
      <c r="BD1141" s="4" t="n"/>
      <c r="BE1141" s="4" t="n"/>
      <c r="BF1141" s="4" t="n"/>
      <c r="BG1141" s="4" t="n"/>
      <c r="BH1141" s="4" t="n"/>
      <c r="BI1141" s="4" t="n"/>
      <c r="BJ1141" s="4" t="n"/>
      <c r="BK1141" s="4" t="n"/>
      <c r="BL1141" s="4" t="n"/>
      <c r="BM1141" s="4" t="n"/>
      <c r="BN1141" s="4" t="n"/>
      <c r="BO1141" s="4" t="n"/>
      <c r="BP1141" s="4" t="n"/>
      <c r="BQ1141" s="4" t="n"/>
      <c r="BR1141" s="4" t="n"/>
      <c r="BS1141" s="4" t="n"/>
      <c r="BT1141" s="4" t="n"/>
      <c r="BU1141" s="4" t="n"/>
      <c r="BV1141" s="4" t="n"/>
      <c r="BW1141" s="4" t="n"/>
      <c r="BX1141" s="4" t="n"/>
      <c r="BY1141" s="4" t="n"/>
      <c r="BZ1141" s="4" t="n"/>
      <c r="CA1141" s="4" t="n"/>
      <c r="CB1141" s="4" t="n"/>
      <c r="CC1141" s="4" t="n"/>
      <c r="CD1141" s="4" t="n"/>
      <c r="CE1141" s="4" t="n"/>
      <c r="CF1141" s="4" t="n"/>
      <c r="CG1141" s="4" t="n"/>
      <c r="CH1141" s="4" t="n"/>
      <c r="CI1141" s="4" t="n"/>
      <c r="CJ1141" s="4" t="n"/>
      <c r="CK1141" s="4" t="n"/>
      <c r="CL1141" s="4" t="n"/>
      <c r="CM1141" s="4" t="n"/>
      <c r="CN1141" s="4" t="n"/>
      <c r="CO1141" s="4" t="n"/>
      <c r="CP1141" s="4" t="n"/>
      <c r="CQ1141" s="4" t="n"/>
      <c r="CR1141" s="4" t="n"/>
      <c r="CS1141" s="4" t="n"/>
      <c r="CT1141" s="4" t="n"/>
      <c r="CU1141" s="4" t="n"/>
      <c r="CV1141" s="4" t="n"/>
      <c r="CW1141" s="4" t="n"/>
      <c r="CX1141" s="4" t="n"/>
      <c r="CY1141" s="4" t="n"/>
      <c r="CZ1141" s="4" t="n"/>
      <c r="DA1141" s="4" t="n"/>
      <c r="DB1141" s="4" t="n"/>
      <c r="DC1141" s="4" t="n"/>
      <c r="DD1141" s="4" t="n"/>
      <c r="DE1141" s="4" t="n"/>
      <c r="DF1141" s="4" t="n"/>
      <c r="DG1141" s="4" t="n"/>
      <c r="DH1141" s="4" t="n"/>
      <c r="DI1141" s="4" t="n"/>
      <c r="DJ1141" s="4" t="n"/>
      <c r="DK1141" s="4" t="n"/>
      <c r="DL1141" s="4" t="n"/>
      <c r="DM1141" s="4" t="n"/>
      <c r="DN1141" s="4" t="n"/>
      <c r="DO1141" s="4" t="n"/>
      <c r="DP1141" s="4" t="n"/>
      <c r="DQ1141" s="4" t="n"/>
      <c r="DR1141" s="4" t="n"/>
      <c r="DS1141" s="4" t="n"/>
      <c r="DT1141" s="4" t="n"/>
      <c r="DU1141" s="4" t="n"/>
      <c r="DV1141" s="4" t="n"/>
      <c r="DW1141" s="4" t="n"/>
      <c r="DX1141" s="4" t="n"/>
      <c r="DY1141" s="4" t="n"/>
      <c r="DZ1141" s="4" t="n"/>
      <c r="EA1141" s="4" t="n"/>
      <c r="EB1141" s="4" t="n"/>
      <c r="EC1141" s="4" t="n"/>
      <c r="ED1141" s="4" t="n"/>
      <c r="EE1141" s="4" t="n"/>
      <c r="EF1141" s="4" t="n"/>
      <c r="EG1141" s="4" t="n"/>
      <c r="EH1141" s="4" t="n"/>
      <c r="EI1141" s="4" t="n"/>
      <c r="EJ1141" s="4" t="n"/>
      <c r="EK1141" s="4" t="n"/>
      <c r="EL1141" s="4" t="n"/>
      <c r="EM1141" s="4" t="n"/>
    </row>
    <row r="1142" hidden="1" customFormat="1" s="6">
      <c r="C1142" s="4" t="n"/>
      <c r="D1142" s="4" t="n"/>
      <c r="E1142" s="4" t="n"/>
      <c r="F1142" s="4" t="n"/>
      <c r="G1142" s="4" t="n"/>
      <c r="H1142" s="4" t="n"/>
      <c r="I1142" s="4" t="n"/>
      <c r="J1142" s="4" t="n"/>
      <c r="K1142" s="4" t="n"/>
      <c r="L1142" s="4" t="n"/>
      <c r="M1142" s="4" t="n"/>
      <c r="N1142" s="4" t="n"/>
      <c r="O1142" s="4" t="n"/>
      <c r="P1142" s="4" t="n"/>
      <c r="Q1142" s="4" t="n"/>
      <c r="R1142" s="4" t="n"/>
      <c r="S1142" s="4" t="n"/>
      <c r="T1142" s="4" t="n"/>
      <c r="U1142" s="4" t="n"/>
      <c r="V1142" s="4" t="n"/>
      <c r="W1142" s="4" t="n"/>
      <c r="X1142" s="4" t="n"/>
      <c r="Y1142" s="4" t="n"/>
      <c r="Z1142" s="4" t="n"/>
      <c r="AA1142" s="4" t="n"/>
      <c r="AB1142" s="4" t="n"/>
      <c r="AC1142" s="4" t="n"/>
      <c r="AD1142" s="4" t="n"/>
      <c r="AE1142" s="4" t="n"/>
      <c r="AF1142" s="4" t="n"/>
      <c r="AG1142" s="4" t="n"/>
      <c r="AH1142" s="4" t="n"/>
      <c r="AI1142" s="4" t="n"/>
      <c r="AJ1142" s="4" t="n"/>
      <c r="AK1142" s="4" t="n"/>
      <c r="AL1142" s="4" t="n"/>
      <c r="AM1142" s="4" t="n"/>
      <c r="AN1142" s="4" t="n"/>
      <c r="AO1142" s="4" t="n"/>
      <c r="AP1142" s="4" t="n"/>
      <c r="AQ1142" s="4" t="n"/>
      <c r="AR1142" s="4" t="n"/>
      <c r="AS1142" s="4" t="n"/>
      <c r="AT1142" s="4" t="n"/>
      <c r="AU1142" s="4" t="n"/>
      <c r="AV1142" s="4" t="n"/>
      <c r="AW1142" s="4" t="n"/>
      <c r="AX1142" s="4" t="n"/>
      <c r="AY1142" s="4" t="n"/>
      <c r="AZ1142" s="4" t="n"/>
      <c r="BA1142" s="4" t="n"/>
      <c r="BB1142" s="4" t="n"/>
      <c r="BC1142" s="4" t="n"/>
      <c r="BD1142" s="4" t="n"/>
      <c r="BE1142" s="4" t="n"/>
      <c r="BF1142" s="4" t="n"/>
      <c r="BG1142" s="4" t="n"/>
      <c r="BH1142" s="4" t="n"/>
      <c r="BI1142" s="4" t="n"/>
      <c r="BJ1142" s="4" t="n"/>
      <c r="BK1142" s="4" t="n"/>
      <c r="BL1142" s="4" t="n"/>
      <c r="BM1142" s="4" t="n"/>
      <c r="BN1142" s="4" t="n"/>
      <c r="BO1142" s="4" t="n"/>
      <c r="BP1142" s="4" t="n"/>
      <c r="BQ1142" s="4" t="n"/>
      <c r="BR1142" s="4" t="n"/>
      <c r="BS1142" s="4" t="n"/>
      <c r="BT1142" s="4" t="n"/>
      <c r="BU1142" s="4" t="n"/>
      <c r="BV1142" s="4" t="n"/>
      <c r="BW1142" s="4" t="n"/>
      <c r="BX1142" s="4" t="n"/>
      <c r="BY1142" s="4" t="n"/>
      <c r="BZ1142" s="4" t="n"/>
      <c r="CA1142" s="4" t="n"/>
      <c r="CB1142" s="4" t="n"/>
      <c r="CC1142" s="4" t="n"/>
      <c r="CD1142" s="4" t="n"/>
      <c r="CE1142" s="4" t="n"/>
      <c r="CF1142" s="4" t="n"/>
      <c r="CG1142" s="4" t="n"/>
      <c r="CH1142" s="4" t="n"/>
      <c r="CI1142" s="4" t="n"/>
      <c r="CJ1142" s="4" t="n"/>
      <c r="CK1142" s="4" t="n"/>
      <c r="CL1142" s="4" t="n"/>
      <c r="CM1142" s="4" t="n"/>
      <c r="CN1142" s="4" t="n"/>
      <c r="CO1142" s="4" t="n"/>
      <c r="CP1142" s="4" t="n"/>
      <c r="CQ1142" s="4" t="n"/>
      <c r="CR1142" s="4" t="n"/>
      <c r="CS1142" s="4" t="n"/>
      <c r="CT1142" s="4" t="n"/>
      <c r="CU1142" s="4" t="n"/>
      <c r="CV1142" s="4" t="n"/>
      <c r="CW1142" s="4" t="n"/>
      <c r="CX1142" s="4" t="n"/>
      <c r="CY1142" s="4" t="n"/>
      <c r="CZ1142" s="4" t="n"/>
      <c r="DA1142" s="4" t="n"/>
      <c r="DB1142" s="4" t="n"/>
      <c r="DC1142" s="4" t="n"/>
      <c r="DD1142" s="4" t="n"/>
      <c r="DE1142" s="4" t="n"/>
      <c r="DF1142" s="4" t="n"/>
      <c r="DG1142" s="4" t="n"/>
      <c r="DH1142" s="4" t="n"/>
      <c r="DI1142" s="4" t="n"/>
      <c r="DJ1142" s="4" t="n"/>
      <c r="DK1142" s="4" t="n"/>
      <c r="DL1142" s="4" t="n"/>
      <c r="DM1142" s="4" t="n"/>
      <c r="DN1142" s="4" t="n"/>
      <c r="DO1142" s="4" t="n"/>
      <c r="DP1142" s="4" t="n"/>
      <c r="DQ1142" s="4" t="n"/>
      <c r="DR1142" s="4" t="n"/>
      <c r="DS1142" s="4" t="n"/>
      <c r="DT1142" s="4" t="n"/>
      <c r="DU1142" s="4" t="n"/>
      <c r="DV1142" s="4" t="n"/>
      <c r="DW1142" s="4" t="n"/>
      <c r="DX1142" s="4" t="n"/>
      <c r="DY1142" s="4" t="n"/>
      <c r="DZ1142" s="4" t="n"/>
      <c r="EA1142" s="4" t="n"/>
      <c r="EB1142" s="4" t="n"/>
      <c r="EC1142" s="4" t="n"/>
      <c r="ED1142" s="4" t="n"/>
      <c r="EE1142" s="4" t="n"/>
      <c r="EF1142" s="4" t="n"/>
      <c r="EG1142" s="4" t="n"/>
      <c r="EH1142" s="4" t="n"/>
      <c r="EI1142" s="4" t="n"/>
      <c r="EJ1142" s="4" t="n"/>
      <c r="EK1142" s="4" t="n"/>
      <c r="EL1142" s="4" t="n"/>
      <c r="EM1142" s="4" t="n"/>
    </row>
    <row r="1143" hidden="1" customFormat="1" s="6">
      <c r="C1143" s="4" t="n"/>
      <c r="D1143" s="4" t="n"/>
      <c r="E1143" s="4" t="n"/>
      <c r="F1143" s="4" t="n"/>
      <c r="G1143" s="4" t="n"/>
      <c r="H1143" s="4" t="n"/>
      <c r="I1143" s="4" t="n"/>
      <c r="J1143" s="4" t="n"/>
      <c r="K1143" s="4" t="n"/>
      <c r="L1143" s="4" t="n"/>
      <c r="M1143" s="4" t="n"/>
      <c r="N1143" s="4" t="n"/>
      <c r="O1143" s="4" t="n"/>
      <c r="P1143" s="4" t="n"/>
      <c r="Q1143" s="4" t="n"/>
      <c r="R1143" s="4" t="n"/>
      <c r="S1143" s="4" t="n"/>
      <c r="T1143" s="4" t="n"/>
      <c r="U1143" s="4" t="n"/>
      <c r="V1143" s="4" t="n"/>
      <c r="W1143" s="4" t="n"/>
      <c r="X1143" s="4" t="n"/>
      <c r="Y1143" s="4" t="n"/>
      <c r="Z1143" s="4" t="n"/>
      <c r="AA1143" s="4" t="n"/>
      <c r="AB1143" s="4" t="n"/>
      <c r="AC1143" s="4" t="n"/>
      <c r="AD1143" s="4" t="n"/>
      <c r="AE1143" s="4" t="n"/>
      <c r="AF1143" s="4" t="n"/>
      <c r="AG1143" s="4" t="n"/>
      <c r="AH1143" s="4" t="n"/>
      <c r="AI1143" s="4" t="n"/>
      <c r="AJ1143" s="4" t="n"/>
      <c r="AK1143" s="4" t="n"/>
      <c r="AL1143" s="4" t="n"/>
      <c r="AM1143" s="4" t="n"/>
      <c r="AN1143" s="4" t="n"/>
      <c r="AO1143" s="4" t="n"/>
      <c r="AP1143" s="4" t="n"/>
      <c r="AQ1143" s="4" t="n"/>
      <c r="AR1143" s="4" t="n"/>
      <c r="AS1143" s="4" t="n"/>
      <c r="AT1143" s="4" t="n"/>
      <c r="AU1143" s="4" t="n"/>
      <c r="AV1143" s="4" t="n"/>
      <c r="AW1143" s="4" t="n"/>
      <c r="AX1143" s="4" t="n"/>
      <c r="AY1143" s="4" t="n"/>
      <c r="AZ1143" s="4" t="n"/>
      <c r="BA1143" s="4" t="n"/>
      <c r="BB1143" s="4" t="n"/>
      <c r="BC1143" s="4" t="n"/>
      <c r="BD1143" s="4" t="n"/>
      <c r="BE1143" s="4" t="n"/>
      <c r="BF1143" s="4" t="n"/>
      <c r="BG1143" s="4" t="n"/>
      <c r="BH1143" s="4" t="n"/>
      <c r="BI1143" s="4" t="n"/>
      <c r="BJ1143" s="4" t="n"/>
      <c r="BK1143" s="4" t="n"/>
      <c r="BL1143" s="4" t="n"/>
      <c r="BM1143" s="4" t="n"/>
      <c r="BN1143" s="4" t="n"/>
      <c r="BO1143" s="4" t="n"/>
      <c r="BP1143" s="4" t="n"/>
      <c r="BQ1143" s="4" t="n"/>
      <c r="BR1143" s="4" t="n"/>
      <c r="BS1143" s="4" t="n"/>
      <c r="BT1143" s="4" t="n"/>
      <c r="BU1143" s="4" t="n"/>
      <c r="BV1143" s="4" t="n"/>
      <c r="BW1143" s="4" t="n"/>
      <c r="BX1143" s="4" t="n"/>
      <c r="BY1143" s="4" t="n"/>
      <c r="BZ1143" s="4" t="n"/>
      <c r="CA1143" s="4" t="n"/>
      <c r="CB1143" s="4" t="n"/>
      <c r="CC1143" s="4" t="n"/>
      <c r="CD1143" s="4" t="n"/>
      <c r="CE1143" s="4" t="n"/>
      <c r="CF1143" s="4" t="n"/>
      <c r="CG1143" s="4" t="n"/>
      <c r="CH1143" s="4" t="n"/>
      <c r="CI1143" s="4" t="n"/>
      <c r="CJ1143" s="4" t="n"/>
      <c r="CK1143" s="4" t="n"/>
      <c r="CL1143" s="4" t="n"/>
      <c r="CM1143" s="4" t="n"/>
      <c r="CN1143" s="4" t="n"/>
      <c r="CO1143" s="4" t="n"/>
      <c r="CP1143" s="4" t="n"/>
      <c r="CQ1143" s="4" t="n"/>
      <c r="CR1143" s="4" t="n"/>
      <c r="CS1143" s="4" t="n"/>
      <c r="CT1143" s="4" t="n"/>
      <c r="CU1143" s="4" t="n"/>
      <c r="CV1143" s="4" t="n"/>
      <c r="CW1143" s="4" t="n"/>
      <c r="CX1143" s="4" t="n"/>
      <c r="CY1143" s="4" t="n"/>
      <c r="CZ1143" s="4" t="n"/>
      <c r="DA1143" s="4" t="n"/>
      <c r="DB1143" s="4" t="n"/>
      <c r="DC1143" s="4" t="n"/>
      <c r="DD1143" s="4" t="n"/>
      <c r="DE1143" s="4" t="n"/>
      <c r="DF1143" s="4" t="n"/>
      <c r="DG1143" s="4" t="n"/>
      <c r="DH1143" s="4" t="n"/>
      <c r="DI1143" s="4" t="n"/>
      <c r="DJ1143" s="4" t="n"/>
      <c r="DK1143" s="4" t="n"/>
      <c r="DL1143" s="4" t="n"/>
      <c r="DM1143" s="4" t="n"/>
      <c r="DN1143" s="4" t="n"/>
      <c r="DO1143" s="4" t="n"/>
      <c r="DP1143" s="4" t="n"/>
      <c r="DQ1143" s="4" t="n"/>
      <c r="DR1143" s="4" t="n"/>
      <c r="DS1143" s="4" t="n"/>
      <c r="DT1143" s="4" t="n"/>
      <c r="DU1143" s="4" t="n"/>
      <c r="DV1143" s="4" t="n"/>
      <c r="DW1143" s="4" t="n"/>
      <c r="DX1143" s="4" t="n"/>
      <c r="DY1143" s="4" t="n"/>
      <c r="DZ1143" s="4" t="n"/>
      <c r="EA1143" s="4" t="n"/>
      <c r="EB1143" s="4" t="n"/>
      <c r="EC1143" s="4" t="n"/>
      <c r="ED1143" s="4" t="n"/>
      <c r="EE1143" s="4" t="n"/>
      <c r="EF1143" s="4" t="n"/>
      <c r="EG1143" s="4" t="n"/>
      <c r="EH1143" s="4" t="n"/>
      <c r="EI1143" s="4" t="n"/>
      <c r="EJ1143" s="4" t="n"/>
      <c r="EK1143" s="4" t="n"/>
      <c r="EL1143" s="4" t="n"/>
      <c r="EM1143" s="4" t="n"/>
    </row>
    <row r="1144" hidden="1" customFormat="1" s="6">
      <c r="C1144" s="4" t="n"/>
      <c r="D1144" s="4" t="n"/>
      <c r="E1144" s="4" t="n"/>
      <c r="F1144" s="4" t="n"/>
      <c r="G1144" s="4" t="n"/>
      <c r="H1144" s="4" t="n"/>
      <c r="I1144" s="4" t="n"/>
      <c r="J1144" s="4" t="n"/>
      <c r="K1144" s="4" t="n"/>
      <c r="L1144" s="4" t="n"/>
      <c r="M1144" s="4" t="n"/>
      <c r="N1144" s="4" t="n"/>
      <c r="O1144" s="4" t="n"/>
      <c r="P1144" s="4" t="n"/>
      <c r="Q1144" s="4" t="n"/>
      <c r="R1144" s="4" t="n"/>
      <c r="S1144" s="4" t="n"/>
      <c r="T1144" s="4" t="n"/>
      <c r="U1144" s="4" t="n"/>
      <c r="V1144" s="4" t="n"/>
      <c r="W1144" s="4" t="n"/>
      <c r="X1144" s="4" t="n"/>
      <c r="Y1144" s="4" t="n"/>
      <c r="Z1144" s="4" t="n"/>
      <c r="AA1144" s="4" t="n"/>
      <c r="AB1144" s="4" t="n"/>
      <c r="AC1144" s="4" t="n"/>
      <c r="AD1144" s="4" t="n"/>
      <c r="AE1144" s="4" t="n"/>
      <c r="AF1144" s="4" t="n"/>
      <c r="AG1144" s="4" t="n"/>
      <c r="AH1144" s="4" t="n"/>
      <c r="AI1144" s="4" t="n"/>
      <c r="AJ1144" s="4" t="n"/>
      <c r="AK1144" s="4" t="n"/>
      <c r="AL1144" s="4" t="n"/>
      <c r="AM1144" s="4" t="n"/>
      <c r="AN1144" s="4" t="n"/>
      <c r="AO1144" s="4" t="n"/>
      <c r="AP1144" s="4" t="n"/>
      <c r="AQ1144" s="4" t="n"/>
      <c r="AR1144" s="4" t="n"/>
      <c r="AS1144" s="4" t="n"/>
      <c r="AT1144" s="4" t="n"/>
      <c r="AU1144" s="4" t="n"/>
      <c r="AV1144" s="4" t="n"/>
      <c r="AW1144" s="4" t="n"/>
      <c r="AX1144" s="4" t="n"/>
      <c r="AY1144" s="4" t="n"/>
      <c r="AZ1144" s="4" t="n"/>
      <c r="BA1144" s="4" t="n"/>
      <c r="BB1144" s="4" t="n"/>
      <c r="BC1144" s="4" t="n"/>
      <c r="BD1144" s="4" t="n"/>
      <c r="BE1144" s="4" t="n"/>
      <c r="BF1144" s="4" t="n"/>
      <c r="BG1144" s="4" t="n"/>
      <c r="BH1144" s="4" t="n"/>
      <c r="BI1144" s="4" t="n"/>
      <c r="BJ1144" s="4" t="n"/>
      <c r="BK1144" s="4" t="n"/>
      <c r="BL1144" s="4" t="n"/>
      <c r="BM1144" s="4" t="n"/>
      <c r="BN1144" s="4" t="n"/>
      <c r="BO1144" s="4" t="n"/>
      <c r="BP1144" s="4" t="n"/>
      <c r="BQ1144" s="4" t="n"/>
      <c r="BR1144" s="4" t="n"/>
      <c r="BS1144" s="4" t="n"/>
      <c r="BT1144" s="4" t="n"/>
      <c r="BU1144" s="4" t="n"/>
      <c r="BV1144" s="4" t="n"/>
      <c r="BW1144" s="4" t="n"/>
      <c r="BX1144" s="4" t="n"/>
      <c r="BY1144" s="4" t="n"/>
      <c r="BZ1144" s="4" t="n"/>
      <c r="CA1144" s="4" t="n"/>
      <c r="CB1144" s="4" t="n"/>
      <c r="CC1144" s="4" t="n"/>
      <c r="CD1144" s="4" t="n"/>
      <c r="CE1144" s="4" t="n"/>
      <c r="CF1144" s="4" t="n"/>
      <c r="CG1144" s="4" t="n"/>
      <c r="CH1144" s="4" t="n"/>
      <c r="CI1144" s="4" t="n"/>
      <c r="CJ1144" s="4" t="n"/>
      <c r="CK1144" s="4" t="n"/>
      <c r="CL1144" s="4" t="n"/>
      <c r="CM1144" s="4" t="n"/>
      <c r="CN1144" s="4" t="n"/>
      <c r="CO1144" s="4" t="n"/>
      <c r="CP1144" s="4" t="n"/>
      <c r="CQ1144" s="4" t="n"/>
      <c r="CR1144" s="4" t="n"/>
      <c r="CS1144" s="4" t="n"/>
      <c r="CT1144" s="4" t="n"/>
      <c r="CU1144" s="4" t="n"/>
      <c r="CV1144" s="4" t="n"/>
      <c r="CW1144" s="4" t="n"/>
      <c r="CX1144" s="4" t="n"/>
      <c r="CY1144" s="4" t="n"/>
      <c r="CZ1144" s="4" t="n"/>
      <c r="DA1144" s="4" t="n"/>
      <c r="DB1144" s="4" t="n"/>
      <c r="DC1144" s="4" t="n"/>
      <c r="DD1144" s="4" t="n"/>
      <c r="DE1144" s="4" t="n"/>
      <c r="DF1144" s="4" t="n"/>
      <c r="DG1144" s="4" t="n"/>
      <c r="DH1144" s="4" t="n"/>
      <c r="DI1144" s="4" t="n"/>
      <c r="DJ1144" s="4" t="n"/>
      <c r="DK1144" s="4" t="n"/>
      <c r="DL1144" s="4" t="n"/>
      <c r="DM1144" s="4" t="n"/>
      <c r="DN1144" s="4" t="n"/>
      <c r="DO1144" s="4" t="n"/>
      <c r="DP1144" s="4" t="n"/>
      <c r="DQ1144" s="4" t="n"/>
      <c r="DR1144" s="4" t="n"/>
      <c r="DS1144" s="4" t="n"/>
      <c r="DT1144" s="4" t="n"/>
      <c r="DU1144" s="4" t="n"/>
      <c r="DV1144" s="4" t="n"/>
      <c r="DW1144" s="4" t="n"/>
      <c r="DX1144" s="4" t="n"/>
      <c r="DY1144" s="4" t="n"/>
      <c r="DZ1144" s="4" t="n"/>
      <c r="EA1144" s="4" t="n"/>
      <c r="EB1144" s="4" t="n"/>
      <c r="EC1144" s="4" t="n"/>
      <c r="ED1144" s="4" t="n"/>
      <c r="EE1144" s="4" t="n"/>
      <c r="EF1144" s="4" t="n"/>
      <c r="EG1144" s="4" t="n"/>
      <c r="EH1144" s="4" t="n"/>
      <c r="EI1144" s="4" t="n"/>
      <c r="EJ1144" s="4" t="n"/>
      <c r="EK1144" s="4" t="n"/>
      <c r="EL1144" s="4" t="n"/>
      <c r="EM1144" s="4" t="n"/>
    </row>
    <row r="1145" hidden="1" customFormat="1" s="6">
      <c r="C1145" s="4" t="n"/>
      <c r="D1145" s="4" t="n"/>
      <c r="E1145" s="4" t="n"/>
      <c r="F1145" s="4" t="n"/>
      <c r="G1145" s="4" t="n"/>
      <c r="H1145" s="4" t="n"/>
      <c r="I1145" s="4" t="n"/>
      <c r="J1145" s="4" t="n"/>
      <c r="K1145" s="4" t="n"/>
      <c r="L1145" s="4" t="n"/>
      <c r="M1145" s="4" t="n"/>
      <c r="N1145" s="4" t="n"/>
      <c r="O1145" s="4" t="n"/>
      <c r="P1145" s="4" t="n"/>
      <c r="Q1145" s="4" t="n"/>
      <c r="R1145" s="4" t="n"/>
      <c r="S1145" s="4" t="n"/>
      <c r="T1145" s="4" t="n"/>
      <c r="U1145" s="4" t="n"/>
      <c r="V1145" s="4" t="n"/>
      <c r="W1145" s="4" t="n"/>
      <c r="X1145" s="4" t="n"/>
      <c r="Y1145" s="4" t="n"/>
      <c r="Z1145" s="4" t="n"/>
      <c r="AA1145" s="4" t="n"/>
      <c r="AB1145" s="4" t="n"/>
      <c r="AC1145" s="4" t="n"/>
      <c r="AD1145" s="4" t="n"/>
      <c r="AE1145" s="4" t="n"/>
      <c r="AF1145" s="4" t="n"/>
      <c r="AG1145" s="4" t="n"/>
      <c r="AH1145" s="4" t="n"/>
      <c r="AI1145" s="4" t="n"/>
      <c r="AJ1145" s="4" t="n"/>
      <c r="AK1145" s="4" t="n"/>
      <c r="AL1145" s="4" t="n"/>
      <c r="AM1145" s="4" t="n"/>
      <c r="AN1145" s="4" t="n"/>
      <c r="AO1145" s="4" t="n"/>
      <c r="AP1145" s="4" t="n"/>
      <c r="AQ1145" s="4" t="n"/>
      <c r="AR1145" s="4" t="n"/>
      <c r="AS1145" s="4" t="n"/>
      <c r="AT1145" s="4" t="n"/>
      <c r="AU1145" s="4" t="n"/>
      <c r="AV1145" s="4" t="n"/>
      <c r="AW1145" s="4" t="n"/>
      <c r="AX1145" s="4" t="n"/>
      <c r="AY1145" s="4" t="n"/>
      <c r="AZ1145" s="4" t="n"/>
      <c r="BA1145" s="4" t="n"/>
      <c r="BB1145" s="4" t="n"/>
      <c r="BC1145" s="4" t="n"/>
      <c r="BD1145" s="4" t="n"/>
      <c r="BE1145" s="4" t="n"/>
      <c r="BF1145" s="4" t="n"/>
      <c r="BG1145" s="4" t="n"/>
      <c r="BH1145" s="4" t="n"/>
      <c r="BI1145" s="4" t="n"/>
      <c r="BJ1145" s="4" t="n"/>
      <c r="BK1145" s="4" t="n"/>
      <c r="BL1145" s="4" t="n"/>
      <c r="BM1145" s="4" t="n"/>
      <c r="BN1145" s="4" t="n"/>
      <c r="BO1145" s="4" t="n"/>
      <c r="BP1145" s="4" t="n"/>
      <c r="BQ1145" s="4" t="n"/>
      <c r="BR1145" s="4" t="n"/>
      <c r="BS1145" s="4" t="n"/>
      <c r="BT1145" s="4" t="n"/>
      <c r="BU1145" s="4" t="n"/>
      <c r="BV1145" s="4" t="n"/>
      <c r="BW1145" s="4" t="n"/>
      <c r="BX1145" s="4" t="n"/>
      <c r="BY1145" s="4" t="n"/>
      <c r="BZ1145" s="4" t="n"/>
      <c r="CA1145" s="4" t="n"/>
      <c r="CB1145" s="4" t="n"/>
      <c r="CC1145" s="4" t="n"/>
      <c r="CD1145" s="4" t="n"/>
      <c r="CE1145" s="4" t="n"/>
      <c r="CF1145" s="4" t="n"/>
      <c r="CG1145" s="4" t="n"/>
      <c r="CH1145" s="4" t="n"/>
      <c r="CI1145" s="4" t="n"/>
      <c r="CJ1145" s="4" t="n"/>
      <c r="CK1145" s="4" t="n"/>
      <c r="CL1145" s="4" t="n"/>
      <c r="CM1145" s="4" t="n"/>
      <c r="CN1145" s="4" t="n"/>
      <c r="CO1145" s="4" t="n"/>
      <c r="CP1145" s="4" t="n"/>
      <c r="CQ1145" s="4" t="n"/>
      <c r="CR1145" s="4" t="n"/>
      <c r="CS1145" s="4" t="n"/>
      <c r="CT1145" s="4" t="n"/>
      <c r="CU1145" s="4" t="n"/>
      <c r="CV1145" s="4" t="n"/>
      <c r="CW1145" s="4" t="n"/>
      <c r="CX1145" s="4" t="n"/>
      <c r="CY1145" s="4" t="n"/>
      <c r="CZ1145" s="4" t="n"/>
      <c r="DA1145" s="4" t="n"/>
      <c r="DB1145" s="4" t="n"/>
      <c r="DC1145" s="4" t="n"/>
      <c r="DD1145" s="4" t="n"/>
      <c r="DE1145" s="4" t="n"/>
      <c r="DF1145" s="4" t="n"/>
      <c r="DG1145" s="4" t="n"/>
      <c r="DH1145" s="4" t="n"/>
      <c r="DI1145" s="4" t="n"/>
      <c r="DJ1145" s="4" t="n"/>
      <c r="DK1145" s="4" t="n"/>
      <c r="DL1145" s="4" t="n"/>
      <c r="DM1145" s="4" t="n"/>
      <c r="DN1145" s="4" t="n"/>
      <c r="DO1145" s="4" t="n"/>
      <c r="DP1145" s="4" t="n"/>
      <c r="DQ1145" s="4" t="n"/>
      <c r="DR1145" s="4" t="n"/>
      <c r="DS1145" s="4" t="n"/>
      <c r="DT1145" s="4" t="n"/>
      <c r="DU1145" s="4" t="n"/>
      <c r="DV1145" s="4" t="n"/>
      <c r="DW1145" s="4" t="n"/>
      <c r="DX1145" s="4" t="n"/>
      <c r="DY1145" s="4" t="n"/>
      <c r="DZ1145" s="4" t="n"/>
      <c r="EA1145" s="4" t="n"/>
      <c r="EB1145" s="4" t="n"/>
      <c r="EC1145" s="4" t="n"/>
      <c r="ED1145" s="4" t="n"/>
      <c r="EE1145" s="4" t="n"/>
      <c r="EF1145" s="4" t="n"/>
      <c r="EG1145" s="4" t="n"/>
      <c r="EH1145" s="4" t="n"/>
      <c r="EI1145" s="4" t="n"/>
      <c r="EJ1145" s="4" t="n"/>
      <c r="EK1145" s="4" t="n"/>
      <c r="EL1145" s="4" t="n"/>
      <c r="EM1145" s="4" t="n"/>
    </row>
    <row r="1146" hidden="1" customFormat="1" s="6">
      <c r="C1146" s="4" t="n"/>
      <c r="D1146" s="4" t="n"/>
      <c r="E1146" s="4" t="n"/>
      <c r="F1146" s="4" t="n"/>
      <c r="G1146" s="4" t="n"/>
      <c r="H1146" s="4" t="n"/>
      <c r="I1146" s="4" t="n"/>
      <c r="J1146" s="4" t="n"/>
      <c r="K1146" s="4" t="n"/>
      <c r="L1146" s="4" t="n"/>
      <c r="M1146" s="4" t="n"/>
      <c r="N1146" s="4" t="n"/>
      <c r="O1146" s="4" t="n"/>
      <c r="P1146" s="4" t="n"/>
      <c r="Q1146" s="4" t="n"/>
      <c r="R1146" s="4" t="n"/>
      <c r="S1146" s="4" t="n"/>
      <c r="T1146" s="4" t="n"/>
      <c r="U1146" s="4" t="n"/>
      <c r="V1146" s="4" t="n"/>
      <c r="W1146" s="4" t="n"/>
      <c r="X1146" s="4" t="n"/>
      <c r="Y1146" s="4" t="n"/>
      <c r="Z1146" s="4" t="n"/>
      <c r="AA1146" s="4" t="n"/>
      <c r="AB1146" s="4" t="n"/>
      <c r="AC1146" s="4" t="n"/>
      <c r="AD1146" s="4" t="n"/>
      <c r="AE1146" s="4" t="n"/>
      <c r="AF1146" s="4" t="n"/>
      <c r="AG1146" s="4" t="n"/>
      <c r="AH1146" s="4" t="n"/>
      <c r="AI1146" s="4" t="n"/>
      <c r="AJ1146" s="4" t="n"/>
      <c r="AK1146" s="4" t="n"/>
      <c r="AL1146" s="4" t="n"/>
      <c r="AM1146" s="4" t="n"/>
      <c r="AN1146" s="4" t="n"/>
      <c r="AO1146" s="4" t="n"/>
      <c r="AP1146" s="4" t="n"/>
      <c r="AQ1146" s="4" t="n"/>
      <c r="AR1146" s="4" t="n"/>
      <c r="AS1146" s="4" t="n"/>
      <c r="AT1146" s="4" t="n"/>
      <c r="AU1146" s="4" t="n"/>
      <c r="AV1146" s="4" t="n"/>
      <c r="AW1146" s="4" t="n"/>
      <c r="AX1146" s="4" t="n"/>
      <c r="AY1146" s="4" t="n"/>
      <c r="AZ1146" s="4" t="n"/>
      <c r="BA1146" s="4" t="n"/>
      <c r="BB1146" s="4" t="n"/>
      <c r="BC1146" s="4" t="n"/>
      <c r="BD1146" s="4" t="n"/>
      <c r="BE1146" s="4" t="n"/>
      <c r="BF1146" s="4" t="n"/>
      <c r="BG1146" s="4" t="n"/>
      <c r="BH1146" s="4" t="n"/>
      <c r="BI1146" s="4" t="n"/>
      <c r="BJ1146" s="4" t="n"/>
      <c r="BK1146" s="4" t="n"/>
      <c r="BL1146" s="4" t="n"/>
      <c r="BM1146" s="4" t="n"/>
      <c r="BN1146" s="4" t="n"/>
      <c r="BO1146" s="4" t="n"/>
      <c r="BP1146" s="4" t="n"/>
      <c r="BQ1146" s="4" t="n"/>
      <c r="BR1146" s="4" t="n"/>
      <c r="BS1146" s="4" t="n"/>
      <c r="BT1146" s="4" t="n"/>
      <c r="BU1146" s="4" t="n"/>
      <c r="BV1146" s="4" t="n"/>
      <c r="BW1146" s="4" t="n"/>
      <c r="BX1146" s="4" t="n"/>
      <c r="BY1146" s="4" t="n"/>
      <c r="BZ1146" s="4" t="n"/>
      <c r="CA1146" s="4" t="n"/>
      <c r="CB1146" s="4" t="n"/>
      <c r="CC1146" s="4" t="n"/>
      <c r="CD1146" s="4" t="n"/>
      <c r="CE1146" s="4" t="n"/>
      <c r="CF1146" s="4" t="n"/>
      <c r="CG1146" s="4" t="n"/>
      <c r="CH1146" s="4" t="n"/>
      <c r="CI1146" s="4" t="n"/>
      <c r="CJ1146" s="4" t="n"/>
      <c r="CK1146" s="4" t="n"/>
      <c r="CL1146" s="4" t="n"/>
      <c r="CM1146" s="4" t="n"/>
      <c r="CN1146" s="4" t="n"/>
      <c r="CO1146" s="4" t="n"/>
      <c r="CP1146" s="4" t="n"/>
      <c r="CQ1146" s="4" t="n"/>
      <c r="CR1146" s="4" t="n"/>
      <c r="CS1146" s="4" t="n"/>
      <c r="CT1146" s="4" t="n"/>
      <c r="CU1146" s="4" t="n"/>
      <c r="CV1146" s="4" t="n"/>
      <c r="CW1146" s="4" t="n"/>
      <c r="CX1146" s="4" t="n"/>
      <c r="CY1146" s="4" t="n"/>
      <c r="CZ1146" s="4" t="n"/>
      <c r="DA1146" s="4" t="n"/>
      <c r="DB1146" s="4" t="n"/>
      <c r="DC1146" s="4" t="n"/>
      <c r="DD1146" s="4" t="n"/>
      <c r="DE1146" s="4" t="n"/>
      <c r="DF1146" s="4" t="n"/>
      <c r="DG1146" s="4" t="n"/>
      <c r="DH1146" s="4" t="n"/>
      <c r="DI1146" s="4" t="n"/>
      <c r="DJ1146" s="4" t="n"/>
      <c r="DK1146" s="4" t="n"/>
      <c r="DL1146" s="4" t="n"/>
      <c r="DM1146" s="4" t="n"/>
      <c r="DN1146" s="4" t="n"/>
      <c r="DO1146" s="4" t="n"/>
      <c r="DP1146" s="4" t="n"/>
      <c r="DQ1146" s="4" t="n"/>
      <c r="DR1146" s="4" t="n"/>
      <c r="DS1146" s="4" t="n"/>
      <c r="DT1146" s="4" t="n"/>
      <c r="DU1146" s="4" t="n"/>
      <c r="DV1146" s="4" t="n"/>
      <c r="DW1146" s="4" t="n"/>
      <c r="DX1146" s="4" t="n"/>
      <c r="DY1146" s="4" t="n"/>
      <c r="DZ1146" s="4" t="n"/>
      <c r="EA1146" s="4" t="n"/>
      <c r="EB1146" s="4" t="n"/>
      <c r="EC1146" s="4" t="n"/>
      <c r="ED1146" s="4" t="n"/>
      <c r="EE1146" s="4" t="n"/>
      <c r="EF1146" s="4" t="n"/>
      <c r="EG1146" s="4" t="n"/>
      <c r="EH1146" s="4" t="n"/>
      <c r="EI1146" s="4" t="n"/>
      <c r="EJ1146" s="4" t="n"/>
      <c r="EK1146" s="4" t="n"/>
      <c r="EL1146" s="4" t="n"/>
      <c r="EM1146" s="4" t="n"/>
    </row>
    <row r="1147" hidden="1" customFormat="1" s="6">
      <c r="C1147" s="4" t="n"/>
      <c r="D1147" s="4" t="n"/>
      <c r="E1147" s="4" t="n"/>
      <c r="F1147" s="4" t="n"/>
      <c r="G1147" s="4" t="n"/>
      <c r="H1147" s="4" t="n"/>
      <c r="I1147" s="4" t="n"/>
      <c r="J1147" s="4" t="n"/>
      <c r="K1147" s="4" t="n"/>
      <c r="L1147" s="4" t="n"/>
      <c r="M1147" s="4" t="n"/>
      <c r="N1147" s="4" t="n"/>
      <c r="O1147" s="4" t="n"/>
      <c r="P1147" s="4" t="n"/>
      <c r="Q1147" s="4" t="n"/>
      <c r="R1147" s="4" t="n"/>
      <c r="S1147" s="4" t="n"/>
      <c r="T1147" s="4" t="n"/>
      <c r="U1147" s="4" t="n"/>
      <c r="V1147" s="4" t="n"/>
      <c r="W1147" s="4" t="n"/>
      <c r="X1147" s="4" t="n"/>
      <c r="Y1147" s="4" t="n"/>
      <c r="Z1147" s="4" t="n"/>
      <c r="AA1147" s="4" t="n"/>
      <c r="AB1147" s="4" t="n"/>
      <c r="AC1147" s="4" t="n"/>
      <c r="AD1147" s="4" t="n"/>
      <c r="AE1147" s="4" t="n"/>
      <c r="AF1147" s="4" t="n"/>
      <c r="AG1147" s="4" t="n"/>
      <c r="AH1147" s="4" t="n"/>
      <c r="AI1147" s="4" t="n"/>
      <c r="AJ1147" s="4" t="n"/>
      <c r="AK1147" s="4" t="n"/>
      <c r="AL1147" s="4" t="n"/>
      <c r="AM1147" s="4" t="n"/>
      <c r="AN1147" s="4" t="n"/>
      <c r="AO1147" s="4" t="n"/>
      <c r="AP1147" s="4" t="n"/>
      <c r="AQ1147" s="4" t="n"/>
      <c r="AR1147" s="4" t="n"/>
      <c r="AS1147" s="4" t="n"/>
      <c r="AT1147" s="4" t="n"/>
      <c r="AU1147" s="4" t="n"/>
      <c r="AV1147" s="4" t="n"/>
      <c r="AW1147" s="4" t="n"/>
      <c r="AX1147" s="4" t="n"/>
      <c r="AY1147" s="4" t="n"/>
      <c r="AZ1147" s="4" t="n"/>
      <c r="BA1147" s="4" t="n"/>
      <c r="BB1147" s="4" t="n"/>
      <c r="BC1147" s="4" t="n"/>
      <c r="BD1147" s="4" t="n"/>
      <c r="BE1147" s="4" t="n"/>
      <c r="BF1147" s="4" t="n"/>
      <c r="BG1147" s="4" t="n"/>
      <c r="BH1147" s="4" t="n"/>
      <c r="BI1147" s="4" t="n"/>
      <c r="BJ1147" s="4" t="n"/>
      <c r="BK1147" s="4" t="n"/>
      <c r="BL1147" s="4" t="n"/>
      <c r="BM1147" s="4" t="n"/>
      <c r="BN1147" s="4" t="n"/>
      <c r="BO1147" s="4" t="n"/>
      <c r="BP1147" s="4" t="n"/>
      <c r="BQ1147" s="4" t="n"/>
      <c r="BR1147" s="4" t="n"/>
      <c r="BS1147" s="4" t="n"/>
      <c r="BT1147" s="4" t="n"/>
      <c r="BU1147" s="4" t="n"/>
      <c r="BV1147" s="4" t="n"/>
      <c r="BW1147" s="4" t="n"/>
      <c r="BX1147" s="4" t="n"/>
      <c r="BY1147" s="4" t="n"/>
      <c r="BZ1147" s="4" t="n"/>
      <c r="CA1147" s="4" t="n"/>
      <c r="CB1147" s="4" t="n"/>
      <c r="CC1147" s="4" t="n"/>
      <c r="CD1147" s="4" t="n"/>
      <c r="CE1147" s="4" t="n"/>
      <c r="CF1147" s="4" t="n"/>
      <c r="CG1147" s="4" t="n"/>
      <c r="CH1147" s="4" t="n"/>
      <c r="CI1147" s="4" t="n"/>
      <c r="CJ1147" s="4" t="n"/>
      <c r="CK1147" s="4" t="n"/>
      <c r="CL1147" s="4" t="n"/>
      <c r="CM1147" s="4" t="n"/>
      <c r="CN1147" s="4" t="n"/>
      <c r="CO1147" s="4" t="n"/>
      <c r="CP1147" s="4" t="n"/>
      <c r="CQ1147" s="4" t="n"/>
      <c r="CR1147" s="4" t="n"/>
      <c r="CS1147" s="4" t="n"/>
      <c r="CT1147" s="4" t="n"/>
      <c r="CU1147" s="4" t="n"/>
      <c r="CV1147" s="4" t="n"/>
      <c r="CW1147" s="4" t="n"/>
      <c r="CX1147" s="4" t="n"/>
      <c r="CY1147" s="4" t="n"/>
      <c r="CZ1147" s="4" t="n"/>
      <c r="DA1147" s="4" t="n"/>
      <c r="DB1147" s="4" t="n"/>
      <c r="DC1147" s="4" t="n"/>
      <c r="DD1147" s="4" t="n"/>
      <c r="DE1147" s="4" t="n"/>
      <c r="DF1147" s="4" t="n"/>
      <c r="DG1147" s="4" t="n"/>
      <c r="DH1147" s="4" t="n"/>
      <c r="DI1147" s="4" t="n"/>
      <c r="DJ1147" s="4" t="n"/>
      <c r="DK1147" s="4" t="n"/>
      <c r="DL1147" s="4" t="n"/>
      <c r="DM1147" s="4" t="n"/>
      <c r="DN1147" s="4" t="n"/>
      <c r="DO1147" s="4" t="n"/>
      <c r="DP1147" s="4" t="n"/>
      <c r="DQ1147" s="4" t="n"/>
      <c r="DR1147" s="4" t="n"/>
      <c r="DS1147" s="4" t="n"/>
      <c r="DT1147" s="4" t="n"/>
      <c r="DU1147" s="4" t="n"/>
      <c r="DV1147" s="4" t="n"/>
      <c r="DW1147" s="4" t="n"/>
      <c r="DX1147" s="4" t="n"/>
      <c r="DY1147" s="4" t="n"/>
      <c r="DZ1147" s="4" t="n"/>
      <c r="EA1147" s="4" t="n"/>
      <c r="EB1147" s="4" t="n"/>
      <c r="EC1147" s="4" t="n"/>
      <c r="ED1147" s="4" t="n"/>
      <c r="EE1147" s="4" t="n"/>
      <c r="EF1147" s="4" t="n"/>
      <c r="EG1147" s="4" t="n"/>
      <c r="EH1147" s="4" t="n"/>
      <c r="EI1147" s="4" t="n"/>
      <c r="EJ1147" s="4" t="n"/>
      <c r="EK1147" s="4" t="n"/>
      <c r="EL1147" s="4" t="n"/>
      <c r="EM1147" s="4" t="n"/>
    </row>
    <row r="1148" hidden="1" customFormat="1" s="6">
      <c r="C1148" s="4" t="n"/>
      <c r="D1148" s="4" t="n"/>
      <c r="E1148" s="4" t="n"/>
      <c r="F1148" s="4" t="n"/>
      <c r="G1148" s="4" t="n"/>
      <c r="H1148" s="4" t="n"/>
      <c r="I1148" s="4" t="n"/>
      <c r="J1148" s="4" t="n"/>
      <c r="K1148" s="4" t="n"/>
      <c r="L1148" s="4" t="n"/>
      <c r="M1148" s="4" t="n"/>
      <c r="N1148" s="4" t="n"/>
      <c r="O1148" s="4" t="n"/>
      <c r="P1148" s="4" t="n"/>
      <c r="Q1148" s="4" t="n"/>
      <c r="R1148" s="4" t="n"/>
      <c r="S1148" s="4" t="n"/>
      <c r="T1148" s="4" t="n"/>
      <c r="U1148" s="4" t="n"/>
      <c r="V1148" s="4" t="n"/>
      <c r="W1148" s="4" t="n"/>
      <c r="X1148" s="4" t="n"/>
      <c r="Y1148" s="4" t="n"/>
      <c r="Z1148" s="4" t="n"/>
      <c r="AA1148" s="4" t="n"/>
      <c r="AB1148" s="4" t="n"/>
      <c r="AC1148" s="4" t="n"/>
      <c r="AD1148" s="4" t="n"/>
      <c r="AE1148" s="4" t="n"/>
      <c r="AF1148" s="4" t="n"/>
      <c r="AG1148" s="4" t="n"/>
      <c r="AH1148" s="4" t="n"/>
      <c r="AI1148" s="4" t="n"/>
      <c r="AJ1148" s="4" t="n"/>
      <c r="AK1148" s="4" t="n"/>
      <c r="AL1148" s="4" t="n"/>
      <c r="AM1148" s="4" t="n"/>
      <c r="AN1148" s="4" t="n"/>
      <c r="AO1148" s="4" t="n"/>
      <c r="AP1148" s="4" t="n"/>
      <c r="AQ1148" s="4" t="n"/>
      <c r="AR1148" s="4" t="n"/>
      <c r="AS1148" s="4" t="n"/>
      <c r="AT1148" s="4" t="n"/>
      <c r="AU1148" s="4" t="n"/>
      <c r="AV1148" s="4" t="n"/>
      <c r="AW1148" s="4" t="n"/>
      <c r="AX1148" s="4" t="n"/>
      <c r="AY1148" s="4" t="n"/>
      <c r="AZ1148" s="4" t="n"/>
      <c r="BA1148" s="4" t="n"/>
      <c r="BB1148" s="4" t="n"/>
      <c r="BC1148" s="4" t="n"/>
      <c r="BD1148" s="4" t="n"/>
      <c r="BE1148" s="4" t="n"/>
      <c r="BF1148" s="4" t="n"/>
      <c r="BG1148" s="4" t="n"/>
      <c r="BH1148" s="4" t="n"/>
      <c r="BI1148" s="4" t="n"/>
      <c r="BJ1148" s="4" t="n"/>
      <c r="BK1148" s="4" t="n"/>
      <c r="BL1148" s="4" t="n"/>
      <c r="BM1148" s="4" t="n"/>
      <c r="BN1148" s="4" t="n"/>
      <c r="BO1148" s="4" t="n"/>
      <c r="BP1148" s="4" t="n"/>
      <c r="BQ1148" s="4" t="n"/>
      <c r="BR1148" s="4" t="n"/>
      <c r="BS1148" s="4" t="n"/>
      <c r="BT1148" s="4" t="n"/>
      <c r="BU1148" s="4" t="n"/>
      <c r="BV1148" s="4" t="n"/>
      <c r="BW1148" s="4" t="n"/>
      <c r="BX1148" s="4" t="n"/>
      <c r="BY1148" s="4" t="n"/>
      <c r="BZ1148" s="4" t="n"/>
      <c r="CA1148" s="4" t="n"/>
      <c r="CB1148" s="4" t="n"/>
      <c r="CC1148" s="4" t="n"/>
      <c r="CD1148" s="4" t="n"/>
      <c r="CE1148" s="4" t="n"/>
      <c r="CF1148" s="4" t="n"/>
      <c r="CG1148" s="4" t="n"/>
      <c r="CH1148" s="4" t="n"/>
      <c r="CI1148" s="4" t="n"/>
      <c r="CJ1148" s="4" t="n"/>
      <c r="CK1148" s="4" t="n"/>
      <c r="CL1148" s="4" t="n"/>
      <c r="CM1148" s="4" t="n"/>
      <c r="CN1148" s="4" t="n"/>
      <c r="CO1148" s="4" t="n"/>
      <c r="CP1148" s="4" t="n"/>
      <c r="CQ1148" s="4" t="n"/>
      <c r="CR1148" s="4" t="n"/>
      <c r="CS1148" s="4" t="n"/>
      <c r="CT1148" s="4" t="n"/>
      <c r="CU1148" s="4" t="n"/>
      <c r="CV1148" s="4" t="n"/>
      <c r="CW1148" s="4" t="n"/>
      <c r="CX1148" s="4" t="n"/>
      <c r="CY1148" s="4" t="n"/>
      <c r="CZ1148" s="4" t="n"/>
      <c r="DA1148" s="4" t="n"/>
      <c r="DB1148" s="4" t="n"/>
      <c r="DC1148" s="4" t="n"/>
      <c r="DD1148" s="4" t="n"/>
      <c r="DE1148" s="4" t="n"/>
      <c r="DF1148" s="4" t="n"/>
      <c r="DG1148" s="4" t="n"/>
      <c r="DH1148" s="4" t="n"/>
      <c r="DI1148" s="4" t="n"/>
      <c r="DJ1148" s="4" t="n"/>
      <c r="DK1148" s="4" t="n"/>
      <c r="DL1148" s="4" t="n"/>
      <c r="DM1148" s="4" t="n"/>
      <c r="DN1148" s="4" t="n"/>
      <c r="DO1148" s="4" t="n"/>
      <c r="DP1148" s="4" t="n"/>
      <c r="DQ1148" s="4" t="n"/>
      <c r="DR1148" s="4" t="n"/>
      <c r="DS1148" s="4" t="n"/>
      <c r="DT1148" s="4" t="n"/>
      <c r="DU1148" s="4" t="n"/>
      <c r="DV1148" s="4" t="n"/>
      <c r="DW1148" s="4" t="n"/>
      <c r="DX1148" s="4" t="n"/>
      <c r="DY1148" s="4" t="n"/>
      <c r="DZ1148" s="4" t="n"/>
      <c r="EA1148" s="4" t="n"/>
      <c r="EB1148" s="4" t="n"/>
      <c r="EC1148" s="4" t="n"/>
      <c r="ED1148" s="4" t="n"/>
      <c r="EE1148" s="4" t="n"/>
      <c r="EF1148" s="4" t="n"/>
      <c r="EG1148" s="4" t="n"/>
      <c r="EH1148" s="4" t="n"/>
      <c r="EI1148" s="4" t="n"/>
      <c r="EJ1148" s="4" t="n"/>
      <c r="EK1148" s="4" t="n"/>
      <c r="EL1148" s="4" t="n"/>
      <c r="EM1148" s="4" t="n"/>
    </row>
    <row r="1149" hidden="1" customFormat="1" s="6">
      <c r="C1149" s="4" t="n"/>
      <c r="D1149" s="4" t="n"/>
      <c r="E1149" s="4" t="n"/>
      <c r="F1149" s="4" t="n"/>
      <c r="G1149" s="4" t="n"/>
      <c r="H1149" s="4" t="n"/>
      <c r="I1149" s="4" t="n"/>
      <c r="J1149" s="4" t="n"/>
      <c r="K1149" s="4" t="n"/>
      <c r="L1149" s="4" t="n"/>
      <c r="M1149" s="4" t="n"/>
      <c r="N1149" s="4" t="n"/>
      <c r="O1149" s="4" t="n"/>
      <c r="P1149" s="4" t="n"/>
      <c r="Q1149" s="4" t="n"/>
      <c r="R1149" s="4" t="n"/>
      <c r="S1149" s="4" t="n"/>
      <c r="T1149" s="4" t="n"/>
      <c r="U1149" s="4" t="n"/>
      <c r="V1149" s="4" t="n"/>
      <c r="W1149" s="4" t="n"/>
      <c r="X1149" s="4" t="n"/>
      <c r="Y1149" s="4" t="n"/>
      <c r="Z1149" s="4" t="n"/>
      <c r="AA1149" s="4" t="n"/>
      <c r="AB1149" s="4" t="n"/>
      <c r="AC1149" s="4" t="n"/>
      <c r="AD1149" s="4" t="n"/>
      <c r="AE1149" s="4" t="n"/>
      <c r="AF1149" s="4" t="n"/>
      <c r="AG1149" s="4" t="n"/>
      <c r="AH1149" s="4" t="n"/>
      <c r="AI1149" s="4" t="n"/>
      <c r="AJ1149" s="4" t="n"/>
      <c r="AK1149" s="4" t="n"/>
      <c r="AL1149" s="4" t="n"/>
      <c r="AM1149" s="4" t="n"/>
      <c r="AN1149" s="4" t="n"/>
      <c r="AO1149" s="4" t="n"/>
      <c r="AP1149" s="4" t="n"/>
      <c r="AQ1149" s="4" t="n"/>
      <c r="AR1149" s="4" t="n"/>
      <c r="AS1149" s="4" t="n"/>
      <c r="AT1149" s="4" t="n"/>
      <c r="AU1149" s="4" t="n"/>
      <c r="AV1149" s="4" t="n"/>
      <c r="AW1149" s="4" t="n"/>
      <c r="AX1149" s="4" t="n"/>
      <c r="AY1149" s="4" t="n"/>
      <c r="AZ1149" s="4" t="n"/>
      <c r="BA1149" s="4" t="n"/>
      <c r="BB1149" s="4" t="n"/>
      <c r="BC1149" s="4" t="n"/>
      <c r="BD1149" s="4" t="n"/>
      <c r="BE1149" s="4" t="n"/>
      <c r="BF1149" s="4" t="n"/>
      <c r="BG1149" s="4" t="n"/>
      <c r="BH1149" s="4" t="n"/>
      <c r="BI1149" s="4" t="n"/>
      <c r="BJ1149" s="4" t="n"/>
      <c r="BK1149" s="4" t="n"/>
      <c r="BL1149" s="4" t="n"/>
      <c r="BM1149" s="4" t="n"/>
      <c r="BN1149" s="4" t="n"/>
      <c r="BO1149" s="4" t="n"/>
      <c r="BP1149" s="4" t="n"/>
      <c r="BQ1149" s="4" t="n"/>
      <c r="BR1149" s="4" t="n"/>
      <c r="BS1149" s="4" t="n"/>
      <c r="BT1149" s="4" t="n"/>
      <c r="BU1149" s="4" t="n"/>
      <c r="BV1149" s="4" t="n"/>
      <c r="BW1149" s="4" t="n"/>
      <c r="BX1149" s="4" t="n"/>
      <c r="BY1149" s="4" t="n"/>
      <c r="BZ1149" s="4" t="n"/>
      <c r="CA1149" s="4" t="n"/>
      <c r="CB1149" s="4" t="n"/>
      <c r="CC1149" s="4" t="n"/>
      <c r="CD1149" s="4" t="n"/>
      <c r="CE1149" s="4" t="n"/>
      <c r="CF1149" s="4" t="n"/>
      <c r="CG1149" s="4" t="n"/>
      <c r="CH1149" s="4" t="n"/>
      <c r="CI1149" s="4" t="n"/>
      <c r="CJ1149" s="4" t="n"/>
      <c r="CK1149" s="4" t="n"/>
      <c r="CL1149" s="4" t="n"/>
      <c r="CM1149" s="4" t="n"/>
      <c r="CN1149" s="4" t="n"/>
      <c r="CO1149" s="4" t="n"/>
      <c r="CP1149" s="4" t="n"/>
      <c r="CQ1149" s="4" t="n"/>
      <c r="CR1149" s="4" t="n"/>
      <c r="CS1149" s="4" t="n"/>
      <c r="CT1149" s="4" t="n"/>
      <c r="CU1149" s="4" t="n"/>
      <c r="CV1149" s="4" t="n"/>
      <c r="CW1149" s="4" t="n"/>
      <c r="CX1149" s="4" t="n"/>
      <c r="CY1149" s="4" t="n"/>
      <c r="CZ1149" s="4" t="n"/>
      <c r="DA1149" s="4" t="n"/>
      <c r="DB1149" s="4" t="n"/>
      <c r="DC1149" s="4" t="n"/>
      <c r="DD1149" s="4" t="n"/>
      <c r="DE1149" s="4" t="n"/>
      <c r="DF1149" s="4" t="n"/>
      <c r="DG1149" s="4" t="n"/>
      <c r="DH1149" s="4" t="n"/>
      <c r="DI1149" s="4" t="n"/>
      <c r="DJ1149" s="4" t="n"/>
      <c r="DK1149" s="4" t="n"/>
      <c r="DL1149" s="4" t="n"/>
      <c r="DM1149" s="4" t="n"/>
      <c r="DN1149" s="4" t="n"/>
      <c r="DO1149" s="4" t="n"/>
      <c r="DP1149" s="4" t="n"/>
      <c r="DQ1149" s="4" t="n"/>
      <c r="DR1149" s="4" t="n"/>
      <c r="DS1149" s="4" t="n"/>
      <c r="DT1149" s="4" t="n"/>
      <c r="DU1149" s="4" t="n"/>
      <c r="DV1149" s="4" t="n"/>
      <c r="DW1149" s="4" t="n"/>
      <c r="DX1149" s="4" t="n"/>
      <c r="DY1149" s="4" t="n"/>
      <c r="DZ1149" s="4" t="n"/>
      <c r="EA1149" s="4" t="n"/>
      <c r="EB1149" s="4" t="n"/>
      <c r="EC1149" s="4" t="n"/>
      <c r="ED1149" s="4" t="n"/>
      <c r="EE1149" s="4" t="n"/>
      <c r="EF1149" s="4" t="n"/>
      <c r="EG1149" s="4" t="n"/>
      <c r="EH1149" s="4" t="n"/>
      <c r="EI1149" s="4" t="n"/>
      <c r="EJ1149" s="4" t="n"/>
      <c r="EK1149" s="4" t="n"/>
      <c r="EL1149" s="4" t="n"/>
      <c r="EM1149" s="4" t="n"/>
    </row>
    <row r="1150" hidden="1" customFormat="1" s="6">
      <c r="C1150" s="4" t="n"/>
      <c r="D1150" s="4" t="n"/>
      <c r="E1150" s="4" t="n"/>
      <c r="F1150" s="4" t="n"/>
      <c r="G1150" s="4" t="n"/>
      <c r="H1150" s="4" t="n"/>
      <c r="I1150" s="4" t="n"/>
      <c r="J1150" s="4" t="n"/>
      <c r="K1150" s="4" t="n"/>
      <c r="L1150" s="4" t="n"/>
      <c r="M1150" s="4" t="n"/>
      <c r="N1150" s="4" t="n"/>
      <c r="O1150" s="4" t="n"/>
      <c r="P1150" s="4" t="n"/>
      <c r="Q1150" s="4" t="n"/>
      <c r="R1150" s="4" t="n"/>
      <c r="S1150" s="4" t="n"/>
      <c r="T1150" s="4" t="n"/>
      <c r="U1150" s="4" t="n"/>
      <c r="V1150" s="4" t="n"/>
      <c r="W1150" s="4" t="n"/>
      <c r="X1150" s="4" t="n"/>
      <c r="Y1150" s="4" t="n"/>
      <c r="Z1150" s="4" t="n"/>
      <c r="AA1150" s="4" t="n"/>
      <c r="AB1150" s="4" t="n"/>
      <c r="AC1150" s="4" t="n"/>
      <c r="AD1150" s="4" t="n"/>
      <c r="AE1150" s="4" t="n"/>
      <c r="AF1150" s="4" t="n"/>
      <c r="AG1150" s="4" t="n"/>
      <c r="AH1150" s="4" t="n"/>
      <c r="AI1150" s="4" t="n"/>
      <c r="AJ1150" s="4" t="n"/>
      <c r="AK1150" s="4" t="n"/>
      <c r="AL1150" s="4" t="n"/>
      <c r="AM1150" s="4" t="n"/>
      <c r="AN1150" s="4" t="n"/>
      <c r="AO1150" s="4" t="n"/>
      <c r="AP1150" s="4" t="n"/>
      <c r="AQ1150" s="4" t="n"/>
      <c r="AR1150" s="4" t="n"/>
      <c r="AS1150" s="4" t="n"/>
      <c r="AT1150" s="4" t="n"/>
      <c r="AU1150" s="4" t="n"/>
      <c r="AV1150" s="4" t="n"/>
      <c r="AW1150" s="4" t="n"/>
      <c r="AX1150" s="4" t="n"/>
      <c r="AY1150" s="4" t="n"/>
      <c r="AZ1150" s="4" t="n"/>
      <c r="BA1150" s="4" t="n"/>
      <c r="BB1150" s="4" t="n"/>
      <c r="BC1150" s="4" t="n"/>
      <c r="BD1150" s="4" t="n"/>
      <c r="BE1150" s="4" t="n"/>
      <c r="BF1150" s="4" t="n"/>
      <c r="BG1150" s="4" t="n"/>
      <c r="BH1150" s="4" t="n"/>
      <c r="BI1150" s="4" t="n"/>
      <c r="BJ1150" s="4" t="n"/>
      <c r="BK1150" s="4" t="n"/>
      <c r="BL1150" s="4" t="n"/>
      <c r="BM1150" s="4" t="n"/>
      <c r="BN1150" s="4" t="n"/>
      <c r="BO1150" s="4" t="n"/>
      <c r="BP1150" s="4" t="n"/>
      <c r="BQ1150" s="4" t="n"/>
      <c r="BR1150" s="4" t="n"/>
      <c r="BS1150" s="4" t="n"/>
      <c r="BT1150" s="4" t="n"/>
      <c r="BU1150" s="4" t="n"/>
      <c r="BV1150" s="4" t="n"/>
      <c r="BW1150" s="4" t="n"/>
      <c r="BX1150" s="4" t="n"/>
      <c r="BY1150" s="4" t="n"/>
      <c r="BZ1150" s="4" t="n"/>
      <c r="CA1150" s="4" t="n"/>
      <c r="CB1150" s="4" t="n"/>
      <c r="CC1150" s="4" t="n"/>
      <c r="CD1150" s="4" t="n"/>
      <c r="CE1150" s="4" t="n"/>
      <c r="CF1150" s="4" t="n"/>
      <c r="CG1150" s="4" t="n"/>
      <c r="CH1150" s="4" t="n"/>
      <c r="CI1150" s="4" t="n"/>
      <c r="CJ1150" s="4" t="n"/>
      <c r="CK1150" s="4" t="n"/>
      <c r="CL1150" s="4" t="n"/>
      <c r="CM1150" s="4" t="n"/>
      <c r="CN1150" s="4" t="n"/>
      <c r="CO1150" s="4" t="n"/>
      <c r="CP1150" s="4" t="n"/>
      <c r="CQ1150" s="4" t="n"/>
      <c r="CR1150" s="4" t="n"/>
      <c r="CS1150" s="4" t="n"/>
      <c r="CT1150" s="4" t="n"/>
      <c r="CU1150" s="4" t="n"/>
      <c r="CV1150" s="4" t="n"/>
      <c r="CW1150" s="4" t="n"/>
      <c r="CX1150" s="4" t="n"/>
      <c r="CY1150" s="4" t="n"/>
      <c r="CZ1150" s="4" t="n"/>
      <c r="DA1150" s="4" t="n"/>
      <c r="DB1150" s="4" t="n"/>
      <c r="DC1150" s="4" t="n"/>
      <c r="DD1150" s="4" t="n"/>
      <c r="DE1150" s="4" t="n"/>
      <c r="DF1150" s="4" t="n"/>
      <c r="DG1150" s="4" t="n"/>
      <c r="DH1150" s="4" t="n"/>
      <c r="DI1150" s="4" t="n"/>
      <c r="DJ1150" s="4" t="n"/>
      <c r="DK1150" s="4" t="n"/>
      <c r="DL1150" s="4" t="n"/>
      <c r="DM1150" s="4" t="n"/>
      <c r="DN1150" s="4" t="n"/>
      <c r="DO1150" s="4" t="n"/>
      <c r="DP1150" s="4" t="n"/>
      <c r="DQ1150" s="4" t="n"/>
      <c r="DR1150" s="4" t="n"/>
      <c r="DS1150" s="4" t="n"/>
      <c r="DT1150" s="4" t="n"/>
      <c r="DU1150" s="4" t="n"/>
      <c r="DV1150" s="4" t="n"/>
      <c r="DW1150" s="4" t="n"/>
      <c r="DX1150" s="4" t="n"/>
      <c r="DY1150" s="4" t="n"/>
      <c r="DZ1150" s="4" t="n"/>
      <c r="EA1150" s="4" t="n"/>
      <c r="EB1150" s="4" t="n"/>
      <c r="EC1150" s="4" t="n"/>
      <c r="ED1150" s="4" t="n"/>
      <c r="EE1150" s="4" t="n"/>
      <c r="EF1150" s="4" t="n"/>
      <c r="EG1150" s="4" t="n"/>
      <c r="EH1150" s="4" t="n"/>
      <c r="EI1150" s="4" t="n"/>
      <c r="EJ1150" s="4" t="n"/>
      <c r="EK1150" s="4" t="n"/>
      <c r="EL1150" s="4" t="n"/>
      <c r="EM1150" s="4" t="n"/>
    </row>
    <row r="1151" hidden="1" customFormat="1" s="6">
      <c r="C1151" s="4" t="n"/>
      <c r="D1151" s="4" t="n"/>
      <c r="E1151" s="4" t="n"/>
      <c r="F1151" s="4" t="n"/>
      <c r="G1151" s="4" t="n"/>
      <c r="H1151" s="4" t="n"/>
      <c r="I1151" s="4" t="n"/>
      <c r="J1151" s="4" t="n"/>
      <c r="K1151" s="4" t="n"/>
      <c r="L1151" s="4" t="n"/>
      <c r="M1151" s="4" t="n"/>
      <c r="N1151" s="4" t="n"/>
      <c r="O1151" s="4" t="n"/>
      <c r="P1151" s="4" t="n"/>
      <c r="Q1151" s="4" t="n"/>
      <c r="R1151" s="4" t="n"/>
      <c r="S1151" s="4" t="n"/>
      <c r="T1151" s="4" t="n"/>
      <c r="U1151" s="4" t="n"/>
      <c r="V1151" s="4" t="n"/>
      <c r="W1151" s="4" t="n"/>
      <c r="X1151" s="4" t="n"/>
      <c r="Y1151" s="4" t="n"/>
      <c r="Z1151" s="4" t="n"/>
      <c r="AA1151" s="4" t="n"/>
      <c r="AB1151" s="4" t="n"/>
      <c r="AC1151" s="4" t="n"/>
      <c r="AD1151" s="4" t="n"/>
      <c r="AE1151" s="4" t="n"/>
      <c r="AF1151" s="4" t="n"/>
      <c r="AG1151" s="4" t="n"/>
      <c r="AH1151" s="4" t="n"/>
      <c r="AI1151" s="4" t="n"/>
      <c r="AJ1151" s="4" t="n"/>
      <c r="AK1151" s="4" t="n"/>
      <c r="AL1151" s="4" t="n"/>
      <c r="AM1151" s="4" t="n"/>
      <c r="AN1151" s="4" t="n"/>
      <c r="AO1151" s="4" t="n"/>
      <c r="AP1151" s="4" t="n"/>
      <c r="AQ1151" s="4" t="n"/>
      <c r="AR1151" s="4" t="n"/>
      <c r="AS1151" s="4" t="n"/>
      <c r="AT1151" s="4" t="n"/>
      <c r="AU1151" s="4" t="n"/>
      <c r="AV1151" s="4" t="n"/>
      <c r="AW1151" s="4" t="n"/>
      <c r="AX1151" s="4" t="n"/>
      <c r="AY1151" s="4" t="n"/>
      <c r="AZ1151" s="4" t="n"/>
      <c r="BA1151" s="4" t="n"/>
      <c r="BB1151" s="4" t="n"/>
      <c r="BC1151" s="4" t="n"/>
      <c r="BD1151" s="4" t="n"/>
      <c r="BE1151" s="4" t="n"/>
      <c r="BF1151" s="4" t="n"/>
      <c r="BG1151" s="4" t="n"/>
      <c r="BH1151" s="4" t="n"/>
      <c r="BI1151" s="4" t="n"/>
      <c r="BJ1151" s="4" t="n"/>
      <c r="BK1151" s="4" t="n"/>
      <c r="BL1151" s="4" t="n"/>
      <c r="BM1151" s="4" t="n"/>
      <c r="BN1151" s="4" t="n"/>
      <c r="BO1151" s="4" t="n"/>
      <c r="BP1151" s="4" t="n"/>
      <c r="BQ1151" s="4" t="n"/>
      <c r="BR1151" s="4" t="n"/>
      <c r="BS1151" s="4" t="n"/>
      <c r="BT1151" s="4" t="n"/>
      <c r="BU1151" s="4" t="n"/>
      <c r="BV1151" s="4" t="n"/>
      <c r="BW1151" s="4" t="n"/>
      <c r="BX1151" s="4" t="n"/>
      <c r="BY1151" s="4" t="n"/>
      <c r="BZ1151" s="4" t="n"/>
      <c r="CA1151" s="4" t="n"/>
      <c r="CB1151" s="4" t="n"/>
      <c r="CC1151" s="4" t="n"/>
      <c r="CD1151" s="4" t="n"/>
      <c r="CE1151" s="4" t="n"/>
      <c r="CF1151" s="4" t="n"/>
      <c r="CG1151" s="4" t="n"/>
      <c r="CH1151" s="4" t="n"/>
      <c r="CI1151" s="4" t="n"/>
      <c r="CJ1151" s="4" t="n"/>
      <c r="CK1151" s="4" t="n"/>
      <c r="CL1151" s="4" t="n"/>
      <c r="CM1151" s="4" t="n"/>
      <c r="CN1151" s="4" t="n"/>
      <c r="CO1151" s="4" t="n"/>
      <c r="CP1151" s="4" t="n"/>
      <c r="CQ1151" s="4" t="n"/>
      <c r="CR1151" s="4" t="n"/>
      <c r="CS1151" s="4" t="n"/>
      <c r="CT1151" s="4" t="n"/>
      <c r="CU1151" s="4" t="n"/>
      <c r="CV1151" s="4" t="n"/>
      <c r="CW1151" s="4" t="n"/>
      <c r="CX1151" s="4" t="n"/>
      <c r="CY1151" s="4" t="n"/>
      <c r="CZ1151" s="4" t="n"/>
      <c r="DA1151" s="4" t="n"/>
      <c r="DB1151" s="4" t="n"/>
      <c r="DC1151" s="4" t="n"/>
      <c r="DD1151" s="4" t="n"/>
      <c r="DE1151" s="4" t="n"/>
      <c r="DF1151" s="4" t="n"/>
      <c r="DG1151" s="4" t="n"/>
      <c r="DH1151" s="4" t="n"/>
      <c r="DI1151" s="4" t="n"/>
      <c r="DJ1151" s="4" t="n"/>
      <c r="DK1151" s="4" t="n"/>
      <c r="DL1151" s="4" t="n"/>
      <c r="DM1151" s="4" t="n"/>
      <c r="DN1151" s="4" t="n"/>
      <c r="DO1151" s="4" t="n"/>
      <c r="DP1151" s="4" t="n"/>
      <c r="DQ1151" s="4" t="n"/>
      <c r="DR1151" s="4" t="n"/>
      <c r="DS1151" s="4" t="n"/>
      <c r="DT1151" s="4" t="n"/>
      <c r="DU1151" s="4" t="n"/>
      <c r="DV1151" s="4" t="n"/>
      <c r="DW1151" s="4" t="n"/>
      <c r="DX1151" s="4" t="n"/>
      <c r="DY1151" s="4" t="n"/>
      <c r="DZ1151" s="4" t="n"/>
      <c r="EA1151" s="4" t="n"/>
      <c r="EB1151" s="4" t="n"/>
      <c r="EC1151" s="4" t="n"/>
      <c r="ED1151" s="4" t="n"/>
      <c r="EE1151" s="4" t="n"/>
      <c r="EF1151" s="4" t="n"/>
      <c r="EG1151" s="4" t="n"/>
      <c r="EH1151" s="4" t="n"/>
      <c r="EI1151" s="4" t="n"/>
      <c r="EJ1151" s="4" t="n"/>
      <c r="EK1151" s="4" t="n"/>
      <c r="EL1151" s="4" t="n"/>
      <c r="EM1151" s="4" t="n"/>
    </row>
    <row r="1152" hidden="1" customFormat="1" s="6">
      <c r="C1152" s="4" t="n"/>
      <c r="D1152" s="4" t="n"/>
      <c r="E1152" s="4" t="n"/>
      <c r="F1152" s="4" t="n"/>
      <c r="G1152" s="4" t="n"/>
      <c r="H1152" s="4" t="n"/>
      <c r="I1152" s="4" t="n"/>
      <c r="J1152" s="4" t="n"/>
      <c r="K1152" s="4" t="n"/>
      <c r="L1152" s="4" t="n"/>
      <c r="M1152" s="4" t="n"/>
      <c r="N1152" s="4" t="n"/>
      <c r="O1152" s="4" t="n"/>
      <c r="P1152" s="4" t="n"/>
      <c r="Q1152" s="4" t="n"/>
      <c r="R1152" s="4" t="n"/>
      <c r="S1152" s="4" t="n"/>
      <c r="T1152" s="4" t="n"/>
      <c r="U1152" s="4" t="n"/>
      <c r="V1152" s="4" t="n"/>
      <c r="W1152" s="4" t="n"/>
      <c r="X1152" s="4" t="n"/>
      <c r="Y1152" s="4" t="n"/>
      <c r="Z1152" s="4" t="n"/>
      <c r="AA1152" s="4" t="n"/>
      <c r="AB1152" s="4" t="n"/>
      <c r="AC1152" s="4" t="n"/>
      <c r="AD1152" s="4" t="n"/>
      <c r="AE1152" s="4" t="n"/>
      <c r="AF1152" s="4" t="n"/>
      <c r="AG1152" s="4" t="n"/>
      <c r="AH1152" s="4" t="n"/>
      <c r="AI1152" s="4" t="n"/>
      <c r="AJ1152" s="4" t="n"/>
      <c r="AK1152" s="4" t="n"/>
      <c r="AL1152" s="4" t="n"/>
      <c r="AM1152" s="4" t="n"/>
      <c r="AN1152" s="4" t="n"/>
      <c r="AO1152" s="4" t="n"/>
      <c r="AP1152" s="4" t="n"/>
      <c r="AQ1152" s="4" t="n"/>
      <c r="AR1152" s="4" t="n"/>
      <c r="AS1152" s="4" t="n"/>
      <c r="AT1152" s="4" t="n"/>
      <c r="AU1152" s="4" t="n"/>
      <c r="AV1152" s="4" t="n"/>
      <c r="AW1152" s="4" t="n"/>
      <c r="AX1152" s="4" t="n"/>
      <c r="AY1152" s="4" t="n"/>
      <c r="AZ1152" s="4" t="n"/>
      <c r="BA1152" s="4" t="n"/>
      <c r="BB1152" s="4" t="n"/>
      <c r="BC1152" s="4" t="n"/>
      <c r="BD1152" s="4" t="n"/>
      <c r="BE1152" s="4" t="n"/>
      <c r="BF1152" s="4" t="n"/>
      <c r="BG1152" s="4" t="n"/>
      <c r="BH1152" s="4" t="n"/>
      <c r="BI1152" s="4" t="n"/>
      <c r="BJ1152" s="4" t="n"/>
      <c r="BK1152" s="4" t="n"/>
      <c r="BL1152" s="4" t="n"/>
      <c r="BM1152" s="4" t="n"/>
      <c r="BN1152" s="4" t="n"/>
      <c r="BO1152" s="4" t="n"/>
      <c r="BP1152" s="4" t="n"/>
      <c r="BQ1152" s="4" t="n"/>
      <c r="BR1152" s="4" t="n"/>
      <c r="BS1152" s="4" t="n"/>
      <c r="BT1152" s="4" t="n"/>
      <c r="BU1152" s="4" t="n"/>
      <c r="BV1152" s="4" t="n"/>
      <c r="BW1152" s="4" t="n"/>
      <c r="BX1152" s="4" t="n"/>
      <c r="BY1152" s="4" t="n"/>
      <c r="BZ1152" s="4" t="n"/>
      <c r="CA1152" s="4" t="n"/>
      <c r="CB1152" s="4" t="n"/>
      <c r="CC1152" s="4" t="n"/>
      <c r="CD1152" s="4" t="n"/>
      <c r="CE1152" s="4" t="n"/>
      <c r="CF1152" s="4" t="n"/>
      <c r="CG1152" s="4" t="n"/>
      <c r="CH1152" s="4" t="n"/>
      <c r="CI1152" s="4" t="n"/>
      <c r="CJ1152" s="4" t="n"/>
      <c r="CK1152" s="4" t="n"/>
      <c r="CL1152" s="4" t="n"/>
      <c r="CM1152" s="4" t="n"/>
      <c r="CN1152" s="4" t="n"/>
      <c r="CO1152" s="4" t="n"/>
      <c r="CP1152" s="4" t="n"/>
      <c r="CQ1152" s="4" t="n"/>
      <c r="CR1152" s="4" t="n"/>
      <c r="CS1152" s="4" t="n"/>
      <c r="CT1152" s="4" t="n"/>
      <c r="CU1152" s="4" t="n"/>
      <c r="CV1152" s="4" t="n"/>
      <c r="CW1152" s="4" t="n"/>
      <c r="CX1152" s="4" t="n"/>
      <c r="CY1152" s="4" t="n"/>
      <c r="CZ1152" s="4" t="n"/>
      <c r="DA1152" s="4" t="n"/>
      <c r="DB1152" s="4" t="n"/>
      <c r="DC1152" s="4" t="n"/>
      <c r="DD1152" s="4" t="n"/>
      <c r="DE1152" s="4" t="n"/>
      <c r="DF1152" s="4" t="n"/>
      <c r="DG1152" s="4" t="n"/>
      <c r="DH1152" s="4" t="n"/>
      <c r="DI1152" s="4" t="n"/>
      <c r="DJ1152" s="4" t="n"/>
      <c r="DK1152" s="4" t="n"/>
      <c r="DL1152" s="4" t="n"/>
      <c r="DM1152" s="4" t="n"/>
      <c r="DN1152" s="4" t="n"/>
      <c r="DO1152" s="4" t="n"/>
      <c r="DP1152" s="4" t="n"/>
      <c r="DQ1152" s="4" t="n"/>
      <c r="DR1152" s="4" t="n"/>
      <c r="DS1152" s="4" t="n"/>
      <c r="DT1152" s="4" t="n"/>
      <c r="DU1152" s="4" t="n"/>
      <c r="DV1152" s="4" t="n"/>
      <c r="DW1152" s="4" t="n"/>
      <c r="DX1152" s="4" t="n"/>
      <c r="DY1152" s="4" t="n"/>
      <c r="DZ1152" s="4" t="n"/>
      <c r="EA1152" s="4" t="n"/>
      <c r="EB1152" s="4" t="n"/>
      <c r="EC1152" s="4" t="n"/>
      <c r="ED1152" s="4" t="n"/>
      <c r="EE1152" s="4" t="n"/>
      <c r="EF1152" s="4" t="n"/>
      <c r="EG1152" s="4" t="n"/>
      <c r="EH1152" s="4" t="n"/>
      <c r="EI1152" s="4" t="n"/>
      <c r="EJ1152" s="4" t="n"/>
      <c r="EK1152" s="4" t="n"/>
      <c r="EL1152" s="4" t="n"/>
      <c r="EM1152" s="4" t="n"/>
    </row>
    <row r="1153" hidden="1" customFormat="1" s="6">
      <c r="C1153" s="4" t="n"/>
      <c r="D1153" s="4" t="n"/>
      <c r="E1153" s="4" t="n"/>
      <c r="F1153" s="4" t="n"/>
      <c r="G1153" s="4" t="n"/>
      <c r="H1153" s="4" t="n"/>
      <c r="I1153" s="4" t="n"/>
      <c r="J1153" s="4" t="n"/>
      <c r="K1153" s="4" t="n"/>
      <c r="L1153" s="4" t="n"/>
      <c r="M1153" s="4" t="n"/>
      <c r="N1153" s="4" t="n"/>
      <c r="O1153" s="4" t="n"/>
      <c r="P1153" s="4" t="n"/>
      <c r="Q1153" s="4" t="n"/>
      <c r="R1153" s="4" t="n"/>
      <c r="S1153" s="4" t="n"/>
      <c r="T1153" s="4" t="n"/>
      <c r="U1153" s="4" t="n"/>
      <c r="V1153" s="4" t="n"/>
      <c r="W1153" s="4" t="n"/>
      <c r="X1153" s="4" t="n"/>
      <c r="Y1153" s="4" t="n"/>
      <c r="Z1153" s="4" t="n"/>
      <c r="AA1153" s="4" t="n"/>
      <c r="AB1153" s="4" t="n"/>
      <c r="AC1153" s="4" t="n"/>
      <c r="AD1153" s="4" t="n"/>
      <c r="AE1153" s="4" t="n"/>
      <c r="AF1153" s="4" t="n"/>
      <c r="AG1153" s="4" t="n"/>
      <c r="AH1153" s="4" t="n"/>
      <c r="AI1153" s="4" t="n"/>
      <c r="AJ1153" s="4" t="n"/>
      <c r="AK1153" s="4" t="n"/>
      <c r="AL1153" s="4" t="n"/>
      <c r="AM1153" s="4" t="n"/>
      <c r="AN1153" s="4" t="n"/>
      <c r="AO1153" s="4" t="n"/>
      <c r="AP1153" s="4" t="n"/>
      <c r="AQ1153" s="4" t="n"/>
      <c r="AR1153" s="4" t="n"/>
      <c r="AS1153" s="4" t="n"/>
      <c r="AT1153" s="4" t="n"/>
      <c r="AU1153" s="4" t="n"/>
      <c r="AV1153" s="4" t="n"/>
      <c r="AW1153" s="4" t="n"/>
      <c r="AX1153" s="4" t="n"/>
      <c r="AY1153" s="4" t="n"/>
      <c r="AZ1153" s="4" t="n"/>
      <c r="BA1153" s="4" t="n"/>
      <c r="BB1153" s="4" t="n"/>
      <c r="BC1153" s="4" t="n"/>
      <c r="BD1153" s="4" t="n"/>
      <c r="BE1153" s="4" t="n"/>
      <c r="BF1153" s="4" t="n"/>
      <c r="BG1153" s="4" t="n"/>
      <c r="BH1153" s="4" t="n"/>
      <c r="BI1153" s="4" t="n"/>
      <c r="BJ1153" s="4" t="n"/>
      <c r="BK1153" s="4" t="n"/>
      <c r="BL1153" s="4" t="n"/>
      <c r="BM1153" s="4" t="n"/>
      <c r="BN1153" s="4" t="n"/>
      <c r="BO1153" s="4" t="n"/>
      <c r="BP1153" s="4" t="n"/>
      <c r="BQ1153" s="4" t="n"/>
      <c r="BR1153" s="4" t="n"/>
      <c r="BS1153" s="4" t="n"/>
      <c r="BT1153" s="4" t="n"/>
      <c r="BU1153" s="4" t="n"/>
      <c r="BV1153" s="4" t="n"/>
      <c r="BW1153" s="4" t="n"/>
      <c r="BX1153" s="4" t="n"/>
      <c r="BY1153" s="4" t="n"/>
      <c r="BZ1153" s="4" t="n"/>
      <c r="CA1153" s="4" t="n"/>
      <c r="CB1153" s="4" t="n"/>
      <c r="CC1153" s="4" t="n"/>
      <c r="CD1153" s="4" t="n"/>
      <c r="CE1153" s="4" t="n"/>
      <c r="CF1153" s="4" t="n"/>
      <c r="CG1153" s="4" t="n"/>
      <c r="CH1153" s="4" t="n"/>
      <c r="CI1153" s="4" t="n"/>
      <c r="CJ1153" s="4" t="n"/>
      <c r="CK1153" s="4" t="n"/>
      <c r="CL1153" s="4" t="n"/>
      <c r="CM1153" s="4" t="n"/>
      <c r="CN1153" s="4" t="n"/>
      <c r="CO1153" s="4" t="n"/>
      <c r="CP1153" s="4" t="n"/>
      <c r="CQ1153" s="4" t="n"/>
      <c r="CR1153" s="4" t="n"/>
      <c r="CS1153" s="4" t="n"/>
      <c r="CT1153" s="4" t="n"/>
      <c r="CU1153" s="4" t="n"/>
      <c r="CV1153" s="4" t="n"/>
      <c r="CW1153" s="4" t="n"/>
      <c r="CX1153" s="4" t="n"/>
      <c r="CY1153" s="4" t="n"/>
      <c r="CZ1153" s="4" t="n"/>
      <c r="DA1153" s="4" t="n"/>
      <c r="DB1153" s="4" t="n"/>
      <c r="DC1153" s="4" t="n"/>
      <c r="DD1153" s="4" t="n"/>
      <c r="DE1153" s="4" t="n"/>
      <c r="DF1153" s="4" t="n"/>
      <c r="DG1153" s="4" t="n"/>
      <c r="DH1153" s="4" t="n"/>
      <c r="DI1153" s="4" t="n"/>
      <c r="DJ1153" s="4" t="n"/>
      <c r="DK1153" s="4" t="n"/>
      <c r="DL1153" s="4" t="n"/>
      <c r="DM1153" s="4" t="n"/>
      <c r="DN1153" s="4" t="n"/>
      <c r="DO1153" s="4" t="n"/>
      <c r="DP1153" s="4" t="n"/>
      <c r="DQ1153" s="4" t="n"/>
      <c r="DR1153" s="4" t="n"/>
      <c r="DS1153" s="4" t="n"/>
      <c r="DT1153" s="4" t="n"/>
      <c r="DU1153" s="4" t="n"/>
      <c r="DV1153" s="4" t="n"/>
      <c r="DW1153" s="4" t="n"/>
      <c r="DX1153" s="4" t="n"/>
      <c r="DY1153" s="4" t="n"/>
      <c r="DZ1153" s="4" t="n"/>
      <c r="EA1153" s="4" t="n"/>
      <c r="EB1153" s="4" t="n"/>
      <c r="EC1153" s="4" t="n"/>
      <c r="ED1153" s="4" t="n"/>
      <c r="EE1153" s="4" t="n"/>
      <c r="EF1153" s="4" t="n"/>
      <c r="EG1153" s="4" t="n"/>
      <c r="EH1153" s="4" t="n"/>
      <c r="EI1153" s="4" t="n"/>
      <c r="EJ1153" s="4" t="n"/>
      <c r="EK1153" s="4" t="n"/>
      <c r="EL1153" s="4" t="n"/>
      <c r="EM1153" s="4" t="n"/>
    </row>
    <row r="1154" hidden="1" customFormat="1" s="6">
      <c r="C1154" s="4" t="n"/>
      <c r="D1154" s="4" t="n"/>
      <c r="E1154" s="4" t="n"/>
      <c r="F1154" s="4" t="n"/>
      <c r="G1154" s="4" t="n"/>
      <c r="H1154" s="4" t="n"/>
      <c r="I1154" s="4" t="n"/>
      <c r="J1154" s="4" t="n"/>
      <c r="K1154" s="4" t="n"/>
      <c r="L1154" s="4" t="n"/>
      <c r="M1154" s="4" t="n"/>
      <c r="N1154" s="4" t="n"/>
      <c r="O1154" s="4" t="n"/>
      <c r="P1154" s="4" t="n"/>
      <c r="Q1154" s="4" t="n"/>
      <c r="R1154" s="4" t="n"/>
      <c r="S1154" s="4" t="n"/>
      <c r="T1154" s="4" t="n"/>
      <c r="U1154" s="4" t="n"/>
      <c r="V1154" s="4" t="n"/>
      <c r="W1154" s="4" t="n"/>
      <c r="X1154" s="4" t="n"/>
      <c r="Y1154" s="4" t="n"/>
      <c r="Z1154" s="4" t="n"/>
      <c r="AA1154" s="4" t="n"/>
      <c r="AB1154" s="4" t="n"/>
      <c r="AC1154" s="4" t="n"/>
      <c r="AD1154" s="4" t="n"/>
      <c r="AE1154" s="4" t="n"/>
      <c r="AF1154" s="4" t="n"/>
      <c r="AG1154" s="4" t="n"/>
      <c r="AH1154" s="4" t="n"/>
      <c r="AI1154" s="4" t="n"/>
      <c r="AJ1154" s="4" t="n"/>
      <c r="AK1154" s="4" t="n"/>
      <c r="AL1154" s="4" t="n"/>
      <c r="AM1154" s="4" t="n"/>
      <c r="AN1154" s="4" t="n"/>
      <c r="AO1154" s="4" t="n"/>
      <c r="AP1154" s="4" t="n"/>
      <c r="AQ1154" s="4" t="n"/>
      <c r="AR1154" s="4" t="n"/>
      <c r="AS1154" s="4" t="n"/>
      <c r="AT1154" s="4" t="n"/>
      <c r="AU1154" s="4" t="n"/>
      <c r="AV1154" s="4" t="n"/>
      <c r="AW1154" s="4" t="n"/>
      <c r="AX1154" s="4" t="n"/>
      <c r="AY1154" s="4" t="n"/>
      <c r="AZ1154" s="4" t="n"/>
      <c r="BA1154" s="4" t="n"/>
      <c r="BB1154" s="4" t="n"/>
      <c r="BC1154" s="4" t="n"/>
      <c r="BD1154" s="4" t="n"/>
      <c r="BE1154" s="4" t="n"/>
      <c r="BF1154" s="4" t="n"/>
      <c r="BG1154" s="4" t="n"/>
      <c r="BH1154" s="4" t="n"/>
      <c r="BI1154" s="4" t="n"/>
      <c r="BJ1154" s="4" t="n"/>
      <c r="BK1154" s="4" t="n"/>
      <c r="BL1154" s="4" t="n"/>
      <c r="BM1154" s="4" t="n"/>
      <c r="BN1154" s="4" t="n"/>
      <c r="BO1154" s="4" t="n"/>
      <c r="BP1154" s="4" t="n"/>
      <c r="BQ1154" s="4" t="n"/>
      <c r="BR1154" s="4" t="n"/>
      <c r="BS1154" s="4" t="n"/>
      <c r="BT1154" s="4" t="n"/>
      <c r="BU1154" s="4" t="n"/>
      <c r="BV1154" s="4" t="n"/>
      <c r="BW1154" s="4" t="n"/>
      <c r="BX1154" s="4" t="n"/>
      <c r="BY1154" s="4" t="n"/>
      <c r="BZ1154" s="4" t="n"/>
      <c r="CA1154" s="4" t="n"/>
      <c r="CB1154" s="4" t="n"/>
      <c r="CC1154" s="4" t="n"/>
      <c r="CD1154" s="4" t="n"/>
      <c r="CE1154" s="4" t="n"/>
      <c r="CF1154" s="4" t="n"/>
      <c r="CG1154" s="4" t="n"/>
      <c r="CH1154" s="4" t="n"/>
      <c r="CI1154" s="4" t="n"/>
      <c r="CJ1154" s="4" t="n"/>
      <c r="CK1154" s="4" t="n"/>
      <c r="CL1154" s="4" t="n"/>
      <c r="CM1154" s="4" t="n"/>
      <c r="CN1154" s="4" t="n"/>
      <c r="CO1154" s="4" t="n"/>
      <c r="CP1154" s="4" t="n"/>
      <c r="CQ1154" s="4" t="n"/>
      <c r="CR1154" s="4" t="n"/>
      <c r="CS1154" s="4" t="n"/>
      <c r="CT1154" s="4" t="n"/>
      <c r="CU1154" s="4" t="n"/>
      <c r="CV1154" s="4" t="n"/>
      <c r="CW1154" s="4" t="n"/>
      <c r="CX1154" s="4" t="n"/>
      <c r="CY1154" s="4" t="n"/>
      <c r="CZ1154" s="4" t="n"/>
      <c r="DA1154" s="4" t="n"/>
      <c r="DB1154" s="4" t="n"/>
      <c r="DC1154" s="4" t="n"/>
      <c r="DD1154" s="4" t="n"/>
      <c r="DE1154" s="4" t="n"/>
      <c r="DF1154" s="4" t="n"/>
      <c r="DG1154" s="4" t="n"/>
      <c r="DH1154" s="4" t="n"/>
      <c r="DI1154" s="4" t="n"/>
      <c r="DJ1154" s="4" t="n"/>
      <c r="DK1154" s="4" t="n"/>
      <c r="DL1154" s="4" t="n"/>
      <c r="DM1154" s="4" t="n"/>
      <c r="DN1154" s="4" t="n"/>
      <c r="DO1154" s="4" t="n"/>
      <c r="DP1154" s="4" t="n"/>
      <c r="DQ1154" s="4" t="n"/>
      <c r="DR1154" s="4" t="n"/>
      <c r="DS1154" s="4" t="n"/>
      <c r="DT1154" s="4" t="n"/>
      <c r="DU1154" s="4" t="n"/>
      <c r="DV1154" s="4" t="n"/>
      <c r="DW1154" s="4" t="n"/>
      <c r="DX1154" s="4" t="n"/>
      <c r="DY1154" s="4" t="n"/>
      <c r="DZ1154" s="4" t="n"/>
      <c r="EA1154" s="4" t="n"/>
      <c r="EB1154" s="4" t="n"/>
      <c r="EC1154" s="4" t="n"/>
      <c r="ED1154" s="4" t="n"/>
      <c r="EE1154" s="4" t="n"/>
      <c r="EF1154" s="4" t="n"/>
      <c r="EG1154" s="4" t="n"/>
      <c r="EH1154" s="4" t="n"/>
      <c r="EI1154" s="4" t="n"/>
      <c r="EJ1154" s="4" t="n"/>
      <c r="EK1154" s="4" t="n"/>
      <c r="EL1154" s="4" t="n"/>
      <c r="EM1154" s="4" t="n"/>
    </row>
    <row r="1155" hidden="1" customFormat="1" s="6">
      <c r="C1155" s="4" t="n"/>
      <c r="D1155" s="4" t="n"/>
      <c r="E1155" s="4" t="n"/>
      <c r="F1155" s="4" t="n"/>
      <c r="G1155" s="4" t="n"/>
      <c r="H1155" s="4" t="n"/>
      <c r="I1155" s="4" t="n"/>
      <c r="J1155" s="4" t="n"/>
      <c r="K1155" s="4" t="n"/>
      <c r="L1155" s="4" t="n"/>
      <c r="M1155" s="4" t="n"/>
      <c r="N1155" s="4" t="n"/>
      <c r="O1155" s="4" t="n"/>
      <c r="P1155" s="4" t="n"/>
      <c r="Q1155" s="4" t="n"/>
      <c r="R1155" s="4" t="n"/>
      <c r="S1155" s="4" t="n"/>
      <c r="T1155" s="4" t="n"/>
      <c r="U1155" s="4" t="n"/>
      <c r="V1155" s="4" t="n"/>
      <c r="W1155" s="4" t="n"/>
      <c r="X1155" s="4" t="n"/>
      <c r="Y1155" s="4" t="n"/>
      <c r="Z1155" s="4" t="n"/>
      <c r="AA1155" s="4" t="n"/>
      <c r="AB1155" s="4" t="n"/>
      <c r="AC1155" s="4" t="n"/>
      <c r="AD1155" s="4" t="n"/>
      <c r="AE1155" s="4" t="n"/>
      <c r="AF1155" s="4" t="n"/>
      <c r="AG1155" s="4" t="n"/>
      <c r="AH1155" s="4" t="n"/>
      <c r="AI1155" s="4" t="n"/>
      <c r="AJ1155" s="4" t="n"/>
      <c r="AK1155" s="4" t="n"/>
      <c r="AL1155" s="4" t="n"/>
      <c r="AM1155" s="4" t="n"/>
      <c r="AN1155" s="4" t="n"/>
      <c r="AO1155" s="4" t="n"/>
      <c r="AP1155" s="4" t="n"/>
      <c r="AQ1155" s="4" t="n"/>
      <c r="AR1155" s="4" t="n"/>
      <c r="AS1155" s="4" t="n"/>
      <c r="AT1155" s="4" t="n"/>
      <c r="AU1155" s="4" t="n"/>
      <c r="AV1155" s="4" t="n"/>
      <c r="AW1155" s="4" t="n"/>
      <c r="AX1155" s="4" t="n"/>
      <c r="AY1155" s="4" t="n"/>
      <c r="AZ1155" s="4" t="n"/>
      <c r="BA1155" s="4" t="n"/>
      <c r="BB1155" s="4" t="n"/>
      <c r="BC1155" s="4" t="n"/>
      <c r="BD1155" s="4" t="n"/>
      <c r="BE1155" s="4" t="n"/>
      <c r="BF1155" s="4" t="n"/>
      <c r="BG1155" s="4" t="n"/>
      <c r="BH1155" s="4" t="n"/>
      <c r="BI1155" s="4" t="n"/>
      <c r="BJ1155" s="4" t="n"/>
      <c r="BK1155" s="4" t="n"/>
      <c r="BL1155" s="4" t="n"/>
      <c r="BM1155" s="4" t="n"/>
      <c r="BN1155" s="4" t="n"/>
      <c r="BO1155" s="4" t="n"/>
      <c r="BP1155" s="4" t="n"/>
      <c r="BQ1155" s="4" t="n"/>
      <c r="BR1155" s="4" t="n"/>
      <c r="BS1155" s="4" t="n"/>
      <c r="BT1155" s="4" t="n"/>
      <c r="BU1155" s="4" t="n"/>
      <c r="BV1155" s="4" t="n"/>
      <c r="BW1155" s="4" t="n"/>
      <c r="BX1155" s="4" t="n"/>
      <c r="BY1155" s="4" t="n"/>
      <c r="BZ1155" s="4" t="n"/>
      <c r="CA1155" s="4" t="n"/>
      <c r="CB1155" s="4" t="n"/>
      <c r="CC1155" s="4" t="n"/>
      <c r="CD1155" s="4" t="n"/>
      <c r="CE1155" s="4" t="n"/>
      <c r="CF1155" s="4" t="n"/>
      <c r="CG1155" s="4" t="n"/>
      <c r="CH1155" s="4" t="n"/>
      <c r="CI1155" s="4" t="n"/>
      <c r="CJ1155" s="4" t="n"/>
      <c r="CK1155" s="4" t="n"/>
      <c r="CL1155" s="4" t="n"/>
      <c r="CM1155" s="4" t="n"/>
      <c r="CN1155" s="4" t="n"/>
      <c r="CO1155" s="4" t="n"/>
      <c r="CP1155" s="4" t="n"/>
      <c r="CQ1155" s="4" t="n"/>
      <c r="CR1155" s="4" t="n"/>
      <c r="CS1155" s="4" t="n"/>
      <c r="CT1155" s="4" t="n"/>
      <c r="CU1155" s="4" t="n"/>
      <c r="CV1155" s="4" t="n"/>
      <c r="CW1155" s="4" t="n"/>
      <c r="CX1155" s="4" t="n"/>
      <c r="CY1155" s="4" t="n"/>
      <c r="CZ1155" s="4" t="n"/>
      <c r="DA1155" s="4" t="n"/>
      <c r="DB1155" s="4" t="n"/>
      <c r="DC1155" s="4" t="n"/>
      <c r="DD1155" s="4" t="n"/>
      <c r="DE1155" s="4" t="n"/>
      <c r="DF1155" s="4" t="n"/>
      <c r="DG1155" s="4" t="n"/>
      <c r="DH1155" s="4" t="n"/>
      <c r="DI1155" s="4" t="n"/>
      <c r="DJ1155" s="4" t="n"/>
      <c r="DK1155" s="4" t="n"/>
      <c r="DL1155" s="4" t="n"/>
      <c r="DM1155" s="4" t="n"/>
      <c r="DN1155" s="4" t="n"/>
      <c r="DO1155" s="4" t="n"/>
      <c r="DP1155" s="4" t="n"/>
      <c r="DQ1155" s="4" t="n"/>
      <c r="DR1155" s="4" t="n"/>
      <c r="DS1155" s="4" t="n"/>
      <c r="DT1155" s="4" t="n"/>
      <c r="DU1155" s="4" t="n"/>
      <c r="DV1155" s="4" t="n"/>
      <c r="DW1155" s="4" t="n"/>
      <c r="DX1155" s="4" t="n"/>
      <c r="DY1155" s="4" t="n"/>
      <c r="DZ1155" s="4" t="n"/>
      <c r="EA1155" s="4" t="n"/>
      <c r="EB1155" s="4" t="n"/>
      <c r="EC1155" s="4" t="n"/>
      <c r="ED1155" s="4" t="n"/>
      <c r="EE1155" s="4" t="n"/>
      <c r="EF1155" s="4" t="n"/>
      <c r="EG1155" s="4" t="n"/>
      <c r="EH1155" s="4" t="n"/>
      <c r="EI1155" s="4" t="n"/>
      <c r="EJ1155" s="4" t="n"/>
      <c r="EK1155" s="4" t="n"/>
      <c r="EL1155" s="4" t="n"/>
      <c r="EM1155" s="4" t="n"/>
    </row>
    <row r="1156" hidden="1" customFormat="1" s="6">
      <c r="C1156" s="4" t="n"/>
      <c r="D1156" s="4" t="n"/>
      <c r="E1156" s="4" t="n"/>
      <c r="F1156" s="4" t="n"/>
      <c r="G1156" s="4" t="n"/>
      <c r="H1156" s="4" t="n"/>
      <c r="I1156" s="4" t="n"/>
      <c r="J1156" s="4" t="n"/>
      <c r="K1156" s="4" t="n"/>
      <c r="L1156" s="4" t="n"/>
      <c r="M1156" s="4" t="n"/>
      <c r="N1156" s="4" t="n"/>
      <c r="O1156" s="4" t="n"/>
      <c r="P1156" s="4" t="n"/>
      <c r="Q1156" s="4" t="n"/>
      <c r="R1156" s="4" t="n"/>
      <c r="S1156" s="4" t="n"/>
      <c r="T1156" s="4" t="n"/>
      <c r="U1156" s="4" t="n"/>
      <c r="V1156" s="4" t="n"/>
      <c r="W1156" s="4" t="n"/>
      <c r="X1156" s="4" t="n"/>
      <c r="Y1156" s="4" t="n"/>
      <c r="Z1156" s="4" t="n"/>
      <c r="AA1156" s="4" t="n"/>
      <c r="AB1156" s="4" t="n"/>
      <c r="AC1156" s="4" t="n"/>
      <c r="AD1156" s="4" t="n"/>
      <c r="AE1156" s="4" t="n"/>
      <c r="AF1156" s="4" t="n"/>
      <c r="AG1156" s="4" t="n"/>
      <c r="AH1156" s="4" t="n"/>
      <c r="AI1156" s="4" t="n"/>
      <c r="AJ1156" s="4" t="n"/>
      <c r="AK1156" s="4" t="n"/>
      <c r="AL1156" s="4" t="n"/>
      <c r="AM1156" s="4" t="n"/>
      <c r="AN1156" s="4" t="n"/>
      <c r="AO1156" s="4" t="n"/>
      <c r="AP1156" s="4" t="n"/>
      <c r="AQ1156" s="4" t="n"/>
      <c r="AR1156" s="4" t="n"/>
      <c r="AS1156" s="4" t="n"/>
      <c r="AT1156" s="4" t="n"/>
      <c r="AU1156" s="4" t="n"/>
      <c r="AV1156" s="4" t="n"/>
      <c r="AW1156" s="4" t="n"/>
      <c r="AX1156" s="4" t="n"/>
      <c r="AY1156" s="4" t="n"/>
      <c r="AZ1156" s="4" t="n"/>
      <c r="BA1156" s="4" t="n"/>
      <c r="BB1156" s="4" t="n"/>
      <c r="BC1156" s="4" t="n"/>
      <c r="BD1156" s="4" t="n"/>
      <c r="BE1156" s="4" t="n"/>
      <c r="BF1156" s="4" t="n"/>
      <c r="BG1156" s="4" t="n"/>
      <c r="BH1156" s="4" t="n"/>
      <c r="BI1156" s="4" t="n"/>
      <c r="BJ1156" s="4" t="n"/>
      <c r="BK1156" s="4" t="n"/>
      <c r="BL1156" s="4" t="n"/>
      <c r="BM1156" s="4" t="n"/>
      <c r="BN1156" s="4" t="n"/>
      <c r="BO1156" s="4" t="n"/>
      <c r="BP1156" s="4" t="n"/>
      <c r="BQ1156" s="4" t="n"/>
      <c r="BR1156" s="4" t="n"/>
      <c r="BS1156" s="4" t="n"/>
      <c r="BT1156" s="4" t="n"/>
      <c r="BU1156" s="4" t="n"/>
      <c r="BV1156" s="4" t="n"/>
      <c r="BW1156" s="4" t="n"/>
      <c r="BX1156" s="4" t="n"/>
      <c r="BY1156" s="4" t="n"/>
      <c r="BZ1156" s="4" t="n"/>
      <c r="CA1156" s="4" t="n"/>
      <c r="CB1156" s="4" t="n"/>
      <c r="CC1156" s="4" t="n"/>
      <c r="CD1156" s="4" t="n"/>
      <c r="CE1156" s="4" t="n"/>
      <c r="CF1156" s="4" t="n"/>
      <c r="CG1156" s="4" t="n"/>
      <c r="CH1156" s="4" t="n"/>
      <c r="CI1156" s="4" t="n"/>
      <c r="CJ1156" s="4" t="n"/>
      <c r="CK1156" s="4" t="n"/>
      <c r="CL1156" s="4" t="n"/>
      <c r="CM1156" s="4" t="n"/>
      <c r="CN1156" s="4" t="n"/>
      <c r="CO1156" s="4" t="n"/>
      <c r="CP1156" s="4" t="n"/>
      <c r="CQ1156" s="4" t="n"/>
      <c r="CR1156" s="4" t="n"/>
      <c r="CS1156" s="4" t="n"/>
      <c r="CT1156" s="4" t="n"/>
      <c r="CU1156" s="4" t="n"/>
      <c r="CV1156" s="4" t="n"/>
      <c r="CW1156" s="4" t="n"/>
      <c r="CX1156" s="4" t="n"/>
      <c r="CY1156" s="4" t="n"/>
      <c r="CZ1156" s="4" t="n"/>
      <c r="DA1156" s="4" t="n"/>
      <c r="DB1156" s="4" t="n"/>
      <c r="DC1156" s="4" t="n"/>
      <c r="DD1156" s="4" t="n"/>
      <c r="DE1156" s="4" t="n"/>
      <c r="DF1156" s="4" t="n"/>
      <c r="DG1156" s="4" t="n"/>
      <c r="DH1156" s="4" t="n"/>
      <c r="DI1156" s="4" t="n"/>
      <c r="DJ1156" s="4" t="n"/>
      <c r="DK1156" s="4" t="n"/>
      <c r="DL1156" s="4" t="n"/>
      <c r="DM1156" s="4" t="n"/>
      <c r="DN1156" s="4" t="n"/>
      <c r="DO1156" s="4" t="n"/>
      <c r="DP1156" s="4" t="n"/>
      <c r="DQ1156" s="4" t="n"/>
      <c r="DR1156" s="4" t="n"/>
      <c r="DS1156" s="4" t="n"/>
      <c r="DT1156" s="4" t="n"/>
      <c r="DU1156" s="4" t="n"/>
      <c r="DV1156" s="4" t="n"/>
      <c r="DW1156" s="4" t="n"/>
      <c r="DX1156" s="4" t="n"/>
      <c r="DY1156" s="4" t="n"/>
      <c r="DZ1156" s="4" t="n"/>
      <c r="EA1156" s="4" t="n"/>
      <c r="EB1156" s="4" t="n"/>
      <c r="EC1156" s="4" t="n"/>
      <c r="ED1156" s="4" t="n"/>
      <c r="EE1156" s="4" t="n"/>
      <c r="EF1156" s="4" t="n"/>
      <c r="EG1156" s="4" t="n"/>
      <c r="EH1156" s="4" t="n"/>
      <c r="EI1156" s="4" t="n"/>
      <c r="EJ1156" s="4" t="n"/>
      <c r="EK1156" s="4" t="n"/>
      <c r="EL1156" s="4" t="n"/>
      <c r="EM1156" s="4" t="n"/>
    </row>
    <row r="1157" hidden="1" customFormat="1" s="6">
      <c r="C1157" s="4" t="n"/>
      <c r="D1157" s="4" t="n"/>
      <c r="E1157" s="4" t="n"/>
      <c r="F1157" s="4" t="n"/>
      <c r="G1157" s="4" t="n"/>
      <c r="H1157" s="4" t="n"/>
      <c r="I1157" s="4" t="n"/>
      <c r="J1157" s="4" t="n"/>
      <c r="K1157" s="4" t="n"/>
      <c r="L1157" s="4" t="n"/>
      <c r="M1157" s="4" t="n"/>
      <c r="N1157" s="4" t="n"/>
      <c r="O1157" s="4" t="n"/>
      <c r="P1157" s="4" t="n"/>
      <c r="Q1157" s="4" t="n"/>
      <c r="R1157" s="4" t="n"/>
      <c r="S1157" s="4" t="n"/>
      <c r="T1157" s="4" t="n"/>
      <c r="U1157" s="4" t="n"/>
      <c r="V1157" s="4" t="n"/>
      <c r="W1157" s="4" t="n"/>
      <c r="X1157" s="4" t="n"/>
      <c r="Y1157" s="4" t="n"/>
      <c r="Z1157" s="4" t="n"/>
      <c r="AA1157" s="4" t="n"/>
      <c r="AB1157" s="4" t="n"/>
      <c r="AC1157" s="4" t="n"/>
      <c r="AD1157" s="4" t="n"/>
      <c r="AE1157" s="4" t="n"/>
      <c r="AF1157" s="4" t="n"/>
      <c r="AG1157" s="4" t="n"/>
      <c r="AH1157" s="4" t="n"/>
      <c r="AI1157" s="4" t="n"/>
      <c r="AJ1157" s="4" t="n"/>
      <c r="AK1157" s="4" t="n"/>
      <c r="AL1157" s="4" t="n"/>
      <c r="AM1157" s="4" t="n"/>
      <c r="AN1157" s="4" t="n"/>
      <c r="AO1157" s="4" t="n"/>
      <c r="AP1157" s="4" t="n"/>
      <c r="AQ1157" s="4" t="n"/>
      <c r="AR1157" s="4" t="n"/>
      <c r="AS1157" s="4" t="n"/>
      <c r="AT1157" s="4" t="n"/>
      <c r="AU1157" s="4" t="n"/>
      <c r="AV1157" s="4" t="n"/>
      <c r="AW1157" s="4" t="n"/>
      <c r="AX1157" s="4" t="n"/>
      <c r="AY1157" s="4" t="n"/>
      <c r="AZ1157" s="4" t="n"/>
      <c r="BA1157" s="4" t="n"/>
      <c r="BB1157" s="4" t="n"/>
      <c r="BC1157" s="4" t="n"/>
      <c r="BD1157" s="4" t="n"/>
      <c r="BE1157" s="4" t="n"/>
      <c r="BF1157" s="4" t="n"/>
      <c r="BG1157" s="4" t="n"/>
      <c r="BH1157" s="4" t="n"/>
      <c r="BI1157" s="4" t="n"/>
      <c r="BJ1157" s="4" t="n"/>
      <c r="BK1157" s="4" t="n"/>
      <c r="BL1157" s="4" t="n"/>
      <c r="BM1157" s="4" t="n"/>
      <c r="BN1157" s="4" t="n"/>
      <c r="BO1157" s="4" t="n"/>
      <c r="BP1157" s="4" t="n"/>
      <c r="BQ1157" s="4" t="n"/>
      <c r="BR1157" s="4" t="n"/>
      <c r="BS1157" s="4" t="n"/>
      <c r="BT1157" s="4" t="n"/>
      <c r="BU1157" s="4" t="n"/>
      <c r="BV1157" s="4" t="n"/>
      <c r="BW1157" s="4" t="n"/>
      <c r="BX1157" s="4" t="n"/>
      <c r="BY1157" s="4" t="n"/>
      <c r="BZ1157" s="4" t="n"/>
      <c r="CA1157" s="4" t="n"/>
      <c r="CB1157" s="4" t="n"/>
      <c r="CC1157" s="4" t="n"/>
      <c r="CD1157" s="4" t="n"/>
      <c r="CE1157" s="4" t="n"/>
      <c r="CF1157" s="4" t="n"/>
      <c r="CG1157" s="4" t="n"/>
      <c r="CH1157" s="4" t="n"/>
      <c r="CI1157" s="4" t="n"/>
      <c r="CJ1157" s="4" t="n"/>
      <c r="CK1157" s="4" t="n"/>
      <c r="CL1157" s="4" t="n"/>
      <c r="CM1157" s="4" t="n"/>
      <c r="CN1157" s="4" t="n"/>
      <c r="CO1157" s="4" t="n"/>
      <c r="CP1157" s="4" t="n"/>
      <c r="CQ1157" s="4" t="n"/>
      <c r="CR1157" s="4" t="n"/>
      <c r="CS1157" s="4" t="n"/>
      <c r="CT1157" s="4" t="n"/>
      <c r="CU1157" s="4" t="n"/>
      <c r="CV1157" s="4" t="n"/>
      <c r="CW1157" s="4" t="n"/>
      <c r="CX1157" s="4" t="n"/>
      <c r="CY1157" s="4" t="n"/>
      <c r="CZ1157" s="4" t="n"/>
      <c r="DA1157" s="4" t="n"/>
      <c r="DB1157" s="4" t="n"/>
      <c r="DC1157" s="4" t="n"/>
      <c r="DD1157" s="4" t="n"/>
      <c r="DE1157" s="4" t="n"/>
      <c r="DF1157" s="4" t="n"/>
      <c r="DG1157" s="4" t="n"/>
      <c r="DH1157" s="4" t="n"/>
      <c r="DI1157" s="4" t="n"/>
      <c r="DJ1157" s="4" t="n"/>
      <c r="DK1157" s="4" t="n"/>
      <c r="DL1157" s="4" t="n"/>
      <c r="DM1157" s="4" t="n"/>
      <c r="DN1157" s="4" t="n"/>
      <c r="DO1157" s="4" t="n"/>
      <c r="DP1157" s="4" t="n"/>
      <c r="DQ1157" s="4" t="n"/>
      <c r="DR1157" s="4" t="n"/>
      <c r="DS1157" s="4" t="n"/>
      <c r="DT1157" s="4" t="n"/>
      <c r="DU1157" s="4" t="n"/>
      <c r="DV1157" s="4" t="n"/>
      <c r="DW1157" s="4" t="n"/>
      <c r="DX1157" s="4" t="n"/>
      <c r="DY1157" s="4" t="n"/>
      <c r="DZ1157" s="4" t="n"/>
      <c r="EA1157" s="4" t="n"/>
      <c r="EB1157" s="4" t="n"/>
      <c r="EC1157" s="4" t="n"/>
      <c r="ED1157" s="4" t="n"/>
      <c r="EE1157" s="4" t="n"/>
      <c r="EF1157" s="4" t="n"/>
      <c r="EG1157" s="4" t="n"/>
      <c r="EH1157" s="4" t="n"/>
      <c r="EI1157" s="4" t="n"/>
      <c r="EJ1157" s="4" t="n"/>
      <c r="EK1157" s="4" t="n"/>
      <c r="EL1157" s="4" t="n"/>
      <c r="EM1157" s="4" t="n"/>
    </row>
    <row r="1158" hidden="1" customFormat="1" s="6">
      <c r="C1158" s="4" t="n"/>
      <c r="D1158" s="4" t="n"/>
      <c r="E1158" s="4" t="n"/>
      <c r="F1158" s="4" t="n"/>
      <c r="G1158" s="4" t="n"/>
      <c r="H1158" s="4" t="n"/>
      <c r="I1158" s="4" t="n"/>
      <c r="J1158" s="4" t="n"/>
      <c r="K1158" s="4" t="n"/>
      <c r="L1158" s="4" t="n"/>
      <c r="M1158" s="4" t="n"/>
      <c r="N1158" s="4" t="n"/>
      <c r="O1158" s="4" t="n"/>
      <c r="P1158" s="4" t="n"/>
      <c r="Q1158" s="4" t="n"/>
      <c r="R1158" s="4" t="n"/>
      <c r="S1158" s="4" t="n"/>
      <c r="T1158" s="4" t="n"/>
      <c r="U1158" s="4" t="n"/>
      <c r="V1158" s="4" t="n"/>
      <c r="W1158" s="4" t="n"/>
      <c r="X1158" s="4" t="n"/>
      <c r="Y1158" s="4" t="n"/>
      <c r="Z1158" s="4" t="n"/>
      <c r="AA1158" s="4" t="n"/>
      <c r="AB1158" s="4" t="n"/>
      <c r="AC1158" s="4" t="n"/>
      <c r="AD1158" s="4" t="n"/>
      <c r="AE1158" s="4" t="n"/>
      <c r="AF1158" s="4" t="n"/>
      <c r="AG1158" s="4" t="n"/>
      <c r="AH1158" s="4" t="n"/>
      <c r="AI1158" s="4" t="n"/>
      <c r="AJ1158" s="4" t="n"/>
      <c r="AK1158" s="4" t="n"/>
      <c r="AL1158" s="4" t="n"/>
      <c r="AM1158" s="4" t="n"/>
      <c r="AN1158" s="4" t="n"/>
      <c r="AO1158" s="4" t="n"/>
      <c r="AP1158" s="4" t="n"/>
      <c r="AQ1158" s="4" t="n"/>
      <c r="AR1158" s="4" t="n"/>
      <c r="AS1158" s="4" t="n"/>
      <c r="AT1158" s="4" t="n"/>
      <c r="AU1158" s="4" t="n"/>
      <c r="AV1158" s="4" t="n"/>
      <c r="AW1158" s="4" t="n"/>
      <c r="AX1158" s="4" t="n"/>
      <c r="AY1158" s="4" t="n"/>
      <c r="AZ1158" s="4" t="n"/>
      <c r="BA1158" s="4" t="n"/>
      <c r="BB1158" s="4" t="n"/>
      <c r="BC1158" s="4" t="n"/>
      <c r="BD1158" s="4" t="n"/>
      <c r="BE1158" s="4" t="n"/>
      <c r="BF1158" s="4" t="n"/>
      <c r="BG1158" s="4" t="n"/>
      <c r="BH1158" s="4" t="n"/>
      <c r="BI1158" s="4" t="n"/>
      <c r="BJ1158" s="4" t="n"/>
      <c r="BK1158" s="4" t="n"/>
      <c r="BL1158" s="4" t="n"/>
      <c r="BM1158" s="4" t="n"/>
      <c r="BN1158" s="4" t="n"/>
      <c r="BO1158" s="4" t="n"/>
      <c r="BP1158" s="4" t="n"/>
      <c r="BQ1158" s="4" t="n"/>
      <c r="BR1158" s="4" t="n"/>
      <c r="BS1158" s="4" t="n"/>
      <c r="BT1158" s="4" t="n"/>
      <c r="BU1158" s="4" t="n"/>
      <c r="BV1158" s="4" t="n"/>
      <c r="BW1158" s="4" t="n"/>
      <c r="BX1158" s="4" t="n"/>
      <c r="BY1158" s="4" t="n"/>
      <c r="BZ1158" s="4" t="n"/>
      <c r="CA1158" s="4" t="n"/>
      <c r="CB1158" s="4" t="n"/>
      <c r="CC1158" s="4" t="n"/>
      <c r="CD1158" s="4" t="n"/>
      <c r="CE1158" s="4" t="n"/>
      <c r="CF1158" s="4" t="n"/>
      <c r="CG1158" s="4" t="n"/>
      <c r="CH1158" s="4" t="n"/>
      <c r="CI1158" s="4" t="n"/>
      <c r="CJ1158" s="4" t="n"/>
      <c r="CK1158" s="4" t="n"/>
      <c r="CL1158" s="4" t="n"/>
      <c r="CM1158" s="4" t="n"/>
      <c r="CN1158" s="4" t="n"/>
      <c r="CO1158" s="4" t="n"/>
      <c r="CP1158" s="4" t="n"/>
      <c r="CQ1158" s="4" t="n"/>
      <c r="CR1158" s="4" t="n"/>
      <c r="CS1158" s="4" t="n"/>
      <c r="CT1158" s="4" t="n"/>
      <c r="CU1158" s="4" t="n"/>
      <c r="CV1158" s="4" t="n"/>
      <c r="CW1158" s="4" t="n"/>
      <c r="CX1158" s="4" t="n"/>
      <c r="CY1158" s="4" t="n"/>
      <c r="CZ1158" s="4" t="n"/>
      <c r="DA1158" s="4" t="n"/>
      <c r="DB1158" s="4" t="n"/>
      <c r="DC1158" s="4" t="n"/>
      <c r="DD1158" s="4" t="n"/>
      <c r="DE1158" s="4" t="n"/>
      <c r="DF1158" s="4" t="n"/>
      <c r="DG1158" s="4" t="n"/>
      <c r="DH1158" s="4" t="n"/>
      <c r="DI1158" s="4" t="n"/>
      <c r="DJ1158" s="4" t="n"/>
      <c r="DK1158" s="4" t="n"/>
      <c r="DL1158" s="4" t="n"/>
      <c r="DM1158" s="4" t="n"/>
      <c r="DN1158" s="4" t="n"/>
      <c r="DO1158" s="4" t="n"/>
      <c r="DP1158" s="4" t="n"/>
      <c r="DQ1158" s="4" t="n"/>
      <c r="DR1158" s="4" t="n"/>
      <c r="DS1158" s="4" t="n"/>
      <c r="DT1158" s="4" t="n"/>
      <c r="DU1158" s="4" t="n"/>
      <c r="DV1158" s="4" t="n"/>
      <c r="DW1158" s="4" t="n"/>
      <c r="DX1158" s="4" t="n"/>
      <c r="DY1158" s="4" t="n"/>
      <c r="DZ1158" s="4" t="n"/>
      <c r="EA1158" s="4" t="n"/>
      <c r="EB1158" s="4" t="n"/>
      <c r="EC1158" s="4" t="n"/>
      <c r="ED1158" s="4" t="n"/>
      <c r="EE1158" s="4" t="n"/>
      <c r="EF1158" s="4" t="n"/>
      <c r="EG1158" s="4" t="n"/>
      <c r="EH1158" s="4" t="n"/>
      <c r="EI1158" s="4" t="n"/>
      <c r="EJ1158" s="4" t="n"/>
      <c r="EK1158" s="4" t="n"/>
      <c r="EL1158" s="4" t="n"/>
      <c r="EM1158" s="4" t="n"/>
    </row>
    <row r="1159" hidden="1" customFormat="1" s="6">
      <c r="C1159" s="4" t="n"/>
      <c r="D1159" s="4" t="n"/>
      <c r="E1159" s="4" t="n"/>
      <c r="F1159" s="4" t="n"/>
      <c r="G1159" s="4" t="n"/>
      <c r="H1159" s="4" t="n"/>
      <c r="I1159" s="4" t="n"/>
      <c r="J1159" s="4" t="n"/>
      <c r="K1159" s="4" t="n"/>
      <c r="L1159" s="4" t="n"/>
      <c r="M1159" s="4" t="n"/>
      <c r="N1159" s="4" t="n"/>
      <c r="O1159" s="4" t="n"/>
      <c r="P1159" s="4" t="n"/>
      <c r="Q1159" s="4" t="n"/>
      <c r="R1159" s="4" t="n"/>
      <c r="S1159" s="4" t="n"/>
      <c r="T1159" s="4" t="n"/>
      <c r="U1159" s="4" t="n"/>
      <c r="V1159" s="4" t="n"/>
      <c r="W1159" s="4" t="n"/>
      <c r="X1159" s="4" t="n"/>
      <c r="Y1159" s="4" t="n"/>
      <c r="Z1159" s="4" t="n"/>
      <c r="AA1159" s="4" t="n"/>
      <c r="AB1159" s="4" t="n"/>
      <c r="AC1159" s="4" t="n"/>
      <c r="AD1159" s="4" t="n"/>
      <c r="AE1159" s="4" t="n"/>
      <c r="AF1159" s="4" t="n"/>
      <c r="AG1159" s="4" t="n"/>
      <c r="AH1159" s="4" t="n"/>
      <c r="AI1159" s="4" t="n"/>
      <c r="AJ1159" s="4" t="n"/>
      <c r="AK1159" s="4" t="n"/>
      <c r="AL1159" s="4" t="n"/>
      <c r="AM1159" s="4" t="n"/>
      <c r="AN1159" s="4" t="n"/>
      <c r="AO1159" s="4" t="n"/>
      <c r="AP1159" s="4" t="n"/>
      <c r="AQ1159" s="4" t="n"/>
      <c r="AR1159" s="4" t="n"/>
      <c r="AS1159" s="4" t="n"/>
      <c r="AT1159" s="4" t="n"/>
      <c r="AU1159" s="4" t="n"/>
      <c r="AV1159" s="4" t="n"/>
      <c r="AW1159" s="4" t="n"/>
      <c r="AX1159" s="4" t="n"/>
      <c r="AY1159" s="4" t="n"/>
      <c r="AZ1159" s="4" t="n"/>
      <c r="BA1159" s="4" t="n"/>
      <c r="BB1159" s="4" t="n"/>
      <c r="BC1159" s="4" t="n"/>
      <c r="BD1159" s="4" t="n"/>
      <c r="BE1159" s="4" t="n"/>
      <c r="BF1159" s="4" t="n"/>
      <c r="BG1159" s="4" t="n"/>
      <c r="BH1159" s="4" t="n"/>
      <c r="BI1159" s="4" t="n"/>
      <c r="BJ1159" s="4" t="n"/>
      <c r="BK1159" s="4" t="n"/>
      <c r="BL1159" s="4" t="n"/>
      <c r="BM1159" s="4" t="n"/>
      <c r="BN1159" s="4" t="n"/>
      <c r="BO1159" s="4" t="n"/>
      <c r="BP1159" s="4" t="n"/>
      <c r="BQ1159" s="4" t="n"/>
      <c r="BR1159" s="4" t="n"/>
      <c r="BS1159" s="4" t="n"/>
      <c r="BT1159" s="4" t="n"/>
      <c r="BU1159" s="4" t="n"/>
      <c r="BV1159" s="4" t="n"/>
      <c r="BW1159" s="4" t="n"/>
      <c r="BX1159" s="4" t="n"/>
      <c r="BY1159" s="4" t="n"/>
      <c r="BZ1159" s="4" t="n"/>
      <c r="CA1159" s="4" t="n"/>
      <c r="CB1159" s="4" t="n"/>
      <c r="CC1159" s="4" t="n"/>
      <c r="CD1159" s="4" t="n"/>
      <c r="CE1159" s="4" t="n"/>
      <c r="CF1159" s="4" t="n"/>
      <c r="CG1159" s="4" t="n"/>
      <c r="CH1159" s="4" t="n"/>
      <c r="CI1159" s="4" t="n"/>
      <c r="CJ1159" s="4" t="n"/>
      <c r="CK1159" s="4" t="n"/>
      <c r="CL1159" s="4" t="n"/>
      <c r="CM1159" s="4" t="n"/>
      <c r="CN1159" s="4" t="n"/>
      <c r="CO1159" s="4" t="n"/>
      <c r="CP1159" s="4" t="n"/>
      <c r="CQ1159" s="4" t="n"/>
      <c r="CR1159" s="4" t="n"/>
      <c r="CS1159" s="4" t="n"/>
      <c r="CT1159" s="4" t="n"/>
      <c r="CU1159" s="4" t="n"/>
      <c r="CV1159" s="4" t="n"/>
      <c r="CW1159" s="4" t="n"/>
      <c r="CX1159" s="4" t="n"/>
      <c r="CY1159" s="4" t="n"/>
      <c r="CZ1159" s="4" t="n"/>
      <c r="DA1159" s="4" t="n"/>
      <c r="DB1159" s="4" t="n"/>
      <c r="DC1159" s="4" t="n"/>
      <c r="DD1159" s="4" t="n"/>
      <c r="DE1159" s="4" t="n"/>
      <c r="DF1159" s="4" t="n"/>
      <c r="DG1159" s="4" t="n"/>
      <c r="DH1159" s="4" t="n"/>
      <c r="DI1159" s="4" t="n"/>
      <c r="DJ1159" s="4" t="n"/>
      <c r="DK1159" s="4" t="n"/>
      <c r="DL1159" s="4" t="n"/>
      <c r="DM1159" s="4" t="n"/>
      <c r="DN1159" s="4" t="n"/>
      <c r="DO1159" s="4" t="n"/>
      <c r="DP1159" s="4" t="n"/>
      <c r="DQ1159" s="4" t="n"/>
      <c r="DR1159" s="4" t="n"/>
      <c r="DS1159" s="4" t="n"/>
      <c r="DT1159" s="4" t="n"/>
      <c r="DU1159" s="4" t="n"/>
      <c r="DV1159" s="4" t="n"/>
      <c r="DW1159" s="4" t="n"/>
      <c r="DX1159" s="4" t="n"/>
      <c r="DY1159" s="4" t="n"/>
      <c r="DZ1159" s="4" t="n"/>
      <c r="EA1159" s="4" t="n"/>
      <c r="EB1159" s="4" t="n"/>
      <c r="EC1159" s="4" t="n"/>
      <c r="ED1159" s="4" t="n"/>
      <c r="EE1159" s="4" t="n"/>
      <c r="EF1159" s="4" t="n"/>
      <c r="EG1159" s="4" t="n"/>
      <c r="EH1159" s="4" t="n"/>
      <c r="EI1159" s="4" t="n"/>
      <c r="EJ1159" s="4" t="n"/>
      <c r="EK1159" s="4" t="n"/>
      <c r="EL1159" s="4" t="n"/>
      <c r="EM1159" s="4" t="n"/>
    </row>
    <row r="1160" hidden="1" customFormat="1" s="6">
      <c r="C1160" s="4" t="n"/>
      <c r="D1160" s="4" t="n"/>
      <c r="E1160" s="4" t="n"/>
      <c r="F1160" s="4" t="n"/>
      <c r="G1160" s="4" t="n"/>
      <c r="H1160" s="4" t="n"/>
      <c r="I1160" s="4" t="n"/>
      <c r="J1160" s="4" t="n"/>
      <c r="K1160" s="4" t="n"/>
      <c r="L1160" s="4" t="n"/>
      <c r="M1160" s="4" t="n"/>
      <c r="N1160" s="4" t="n"/>
      <c r="O1160" s="4" t="n"/>
      <c r="P1160" s="4" t="n"/>
      <c r="Q1160" s="4" t="n"/>
      <c r="R1160" s="4" t="n"/>
      <c r="S1160" s="4" t="n"/>
      <c r="T1160" s="4" t="n"/>
      <c r="U1160" s="4" t="n"/>
      <c r="V1160" s="4" t="n"/>
      <c r="W1160" s="4" t="n"/>
      <c r="X1160" s="4" t="n"/>
      <c r="Y1160" s="4" t="n"/>
      <c r="Z1160" s="4" t="n"/>
      <c r="AA1160" s="4" t="n"/>
      <c r="AB1160" s="4" t="n"/>
      <c r="AC1160" s="4" t="n"/>
      <c r="AD1160" s="4" t="n"/>
      <c r="AE1160" s="4" t="n"/>
      <c r="AF1160" s="4" t="n"/>
      <c r="AG1160" s="4" t="n"/>
      <c r="AH1160" s="4" t="n"/>
      <c r="AI1160" s="4" t="n"/>
      <c r="AJ1160" s="4" t="n"/>
      <c r="AK1160" s="4" t="n"/>
      <c r="AL1160" s="4" t="n"/>
      <c r="AM1160" s="4" t="n"/>
      <c r="AN1160" s="4" t="n"/>
      <c r="AO1160" s="4" t="n"/>
      <c r="AP1160" s="4" t="n"/>
      <c r="AQ1160" s="4" t="n"/>
      <c r="AR1160" s="4" t="n"/>
      <c r="AS1160" s="4" t="n"/>
      <c r="AT1160" s="4" t="n"/>
      <c r="AU1160" s="4" t="n"/>
      <c r="AV1160" s="4" t="n"/>
      <c r="AW1160" s="4" t="n"/>
      <c r="AX1160" s="4" t="n"/>
      <c r="AY1160" s="4" t="n"/>
      <c r="AZ1160" s="4" t="n"/>
      <c r="BA1160" s="4" t="n"/>
      <c r="BB1160" s="4" t="n"/>
      <c r="BC1160" s="4" t="n"/>
      <c r="BD1160" s="4" t="n"/>
      <c r="BE1160" s="4" t="n"/>
      <c r="BF1160" s="4" t="n"/>
      <c r="BG1160" s="4" t="n"/>
      <c r="BH1160" s="4" t="n"/>
      <c r="BI1160" s="4" t="n"/>
      <c r="BJ1160" s="4" t="n"/>
      <c r="BK1160" s="4" t="n"/>
      <c r="BL1160" s="4" t="n"/>
      <c r="BM1160" s="4" t="n"/>
      <c r="BN1160" s="4" t="n"/>
      <c r="BO1160" s="4" t="n"/>
      <c r="BP1160" s="4" t="n"/>
      <c r="BQ1160" s="4" t="n"/>
      <c r="BR1160" s="4" t="n"/>
      <c r="BS1160" s="4" t="n"/>
      <c r="BT1160" s="4" t="n"/>
      <c r="BU1160" s="4" t="n"/>
      <c r="BV1160" s="4" t="n"/>
      <c r="BW1160" s="4" t="n"/>
      <c r="BX1160" s="4" t="n"/>
      <c r="BY1160" s="4" t="n"/>
      <c r="BZ1160" s="4" t="n"/>
      <c r="CA1160" s="4" t="n"/>
      <c r="CB1160" s="4" t="n"/>
      <c r="CC1160" s="4" t="n"/>
      <c r="CD1160" s="4" t="n"/>
      <c r="CE1160" s="4" t="n"/>
      <c r="CF1160" s="4" t="n"/>
      <c r="CG1160" s="4" t="n"/>
      <c r="CH1160" s="4" t="n"/>
      <c r="CI1160" s="4" t="n"/>
      <c r="CJ1160" s="4" t="n"/>
      <c r="CK1160" s="4" t="n"/>
      <c r="CL1160" s="4" t="n"/>
      <c r="CM1160" s="4" t="n"/>
      <c r="CN1160" s="4" t="n"/>
      <c r="CO1160" s="4" t="n"/>
      <c r="CP1160" s="4" t="n"/>
      <c r="CQ1160" s="4" t="n"/>
      <c r="CR1160" s="4" t="n"/>
      <c r="CS1160" s="4" t="n"/>
      <c r="CT1160" s="4" t="n"/>
      <c r="CU1160" s="4" t="n"/>
      <c r="CV1160" s="4" t="n"/>
      <c r="CW1160" s="4" t="n"/>
      <c r="CX1160" s="4" t="n"/>
      <c r="CY1160" s="4" t="n"/>
      <c r="CZ1160" s="4" t="n"/>
      <c r="DA1160" s="4" t="n"/>
      <c r="DB1160" s="4" t="n"/>
      <c r="DC1160" s="4" t="n"/>
      <c r="DD1160" s="4" t="n"/>
      <c r="DE1160" s="4" t="n"/>
      <c r="DF1160" s="4" t="n"/>
      <c r="DG1160" s="4" t="n"/>
      <c r="DH1160" s="4" t="n"/>
      <c r="DI1160" s="4" t="n"/>
      <c r="DJ1160" s="4" t="n"/>
      <c r="DK1160" s="4" t="n"/>
      <c r="DL1160" s="4" t="n"/>
      <c r="DM1160" s="4" t="n"/>
      <c r="DN1160" s="4" t="n"/>
      <c r="DO1160" s="4" t="n"/>
      <c r="DP1160" s="4" t="n"/>
      <c r="DQ1160" s="4" t="n"/>
      <c r="DR1160" s="4" t="n"/>
      <c r="DS1160" s="4" t="n"/>
      <c r="DT1160" s="4" t="n"/>
      <c r="DU1160" s="4" t="n"/>
      <c r="DV1160" s="4" t="n"/>
      <c r="DW1160" s="4" t="n"/>
      <c r="DX1160" s="4" t="n"/>
      <c r="DY1160" s="4" t="n"/>
      <c r="DZ1160" s="4" t="n"/>
      <c r="EA1160" s="4" t="n"/>
      <c r="EB1160" s="4" t="n"/>
      <c r="EC1160" s="4" t="n"/>
      <c r="ED1160" s="4" t="n"/>
      <c r="EE1160" s="4" t="n"/>
      <c r="EF1160" s="4" t="n"/>
      <c r="EG1160" s="4" t="n"/>
      <c r="EH1160" s="4" t="n"/>
      <c r="EI1160" s="4" t="n"/>
      <c r="EJ1160" s="4" t="n"/>
      <c r="EK1160" s="4" t="n"/>
      <c r="EL1160" s="4" t="n"/>
      <c r="EM1160" s="4" t="n"/>
    </row>
    <row r="1161" hidden="1" customFormat="1" s="6">
      <c r="C1161" s="4" t="n"/>
      <c r="D1161" s="4" t="n"/>
      <c r="E1161" s="4" t="n"/>
      <c r="F1161" s="4" t="n"/>
      <c r="G1161" s="4" t="n"/>
      <c r="H1161" s="4" t="n"/>
      <c r="I1161" s="4" t="n"/>
      <c r="J1161" s="4" t="n"/>
      <c r="K1161" s="4" t="n"/>
      <c r="L1161" s="4" t="n"/>
      <c r="M1161" s="4" t="n"/>
      <c r="N1161" s="4" t="n"/>
      <c r="O1161" s="4" t="n"/>
      <c r="P1161" s="4" t="n"/>
      <c r="Q1161" s="4" t="n"/>
      <c r="R1161" s="4" t="n"/>
      <c r="S1161" s="4" t="n"/>
      <c r="T1161" s="4" t="n"/>
      <c r="U1161" s="4" t="n"/>
      <c r="V1161" s="4" t="n"/>
      <c r="W1161" s="4" t="n"/>
      <c r="X1161" s="4" t="n"/>
      <c r="Y1161" s="4" t="n"/>
      <c r="Z1161" s="4" t="n"/>
      <c r="AA1161" s="4" t="n"/>
      <c r="AB1161" s="4" t="n"/>
      <c r="AC1161" s="4" t="n"/>
      <c r="AD1161" s="4" t="n"/>
      <c r="AE1161" s="4" t="n"/>
      <c r="AF1161" s="4" t="n"/>
      <c r="AG1161" s="4" t="n"/>
      <c r="AH1161" s="4" t="n"/>
      <c r="AI1161" s="4" t="n"/>
      <c r="AJ1161" s="4" t="n"/>
      <c r="AK1161" s="4" t="n"/>
      <c r="AL1161" s="4" t="n"/>
      <c r="AM1161" s="4" t="n"/>
      <c r="AN1161" s="4" t="n"/>
      <c r="AO1161" s="4" t="n"/>
      <c r="AP1161" s="4" t="n"/>
      <c r="AQ1161" s="4" t="n"/>
      <c r="AR1161" s="4" t="n"/>
      <c r="AS1161" s="4" t="n"/>
      <c r="AT1161" s="4" t="n"/>
      <c r="AU1161" s="4" t="n"/>
      <c r="AV1161" s="4" t="n"/>
      <c r="AW1161" s="4" t="n"/>
      <c r="AX1161" s="4" t="n"/>
      <c r="AY1161" s="4" t="n"/>
      <c r="AZ1161" s="4" t="n"/>
      <c r="BA1161" s="4" t="n"/>
      <c r="BB1161" s="4" t="n"/>
      <c r="BC1161" s="4" t="n"/>
      <c r="BD1161" s="4" t="n"/>
      <c r="BE1161" s="4" t="n"/>
      <c r="BF1161" s="4" t="n"/>
      <c r="BG1161" s="4" t="n"/>
      <c r="BH1161" s="4" t="n"/>
      <c r="BI1161" s="4" t="n"/>
      <c r="BJ1161" s="4" t="n"/>
      <c r="BK1161" s="4" t="n"/>
      <c r="BL1161" s="4" t="n"/>
      <c r="BM1161" s="4" t="n"/>
      <c r="BN1161" s="4" t="n"/>
      <c r="BO1161" s="4" t="n"/>
      <c r="BP1161" s="4" t="n"/>
      <c r="BQ1161" s="4" t="n"/>
      <c r="BR1161" s="4" t="n"/>
      <c r="BS1161" s="4" t="n"/>
      <c r="BT1161" s="4" t="n"/>
      <c r="BU1161" s="4" t="n"/>
      <c r="BV1161" s="4" t="n"/>
      <c r="BW1161" s="4" t="n"/>
      <c r="BX1161" s="4" t="n"/>
      <c r="BY1161" s="4" t="n"/>
      <c r="BZ1161" s="4" t="n"/>
      <c r="CA1161" s="4" t="n"/>
      <c r="CB1161" s="4" t="n"/>
      <c r="CC1161" s="4" t="n"/>
      <c r="CD1161" s="4" t="n"/>
      <c r="CE1161" s="4" t="n"/>
      <c r="CF1161" s="4" t="n"/>
      <c r="CG1161" s="4" t="n"/>
      <c r="CH1161" s="4" t="n"/>
      <c r="CI1161" s="4" t="n"/>
      <c r="CJ1161" s="4" t="n"/>
      <c r="CK1161" s="4" t="n"/>
      <c r="CL1161" s="4" t="n"/>
      <c r="CM1161" s="4" t="n"/>
      <c r="CN1161" s="4" t="n"/>
      <c r="CO1161" s="4" t="n"/>
      <c r="CP1161" s="4" t="n"/>
      <c r="CQ1161" s="4" t="n"/>
      <c r="CR1161" s="4" t="n"/>
      <c r="CS1161" s="4" t="n"/>
      <c r="CT1161" s="4" t="n"/>
      <c r="CU1161" s="4" t="n"/>
      <c r="CV1161" s="4" t="n"/>
      <c r="CW1161" s="4" t="n"/>
      <c r="CX1161" s="4" t="n"/>
      <c r="CY1161" s="4" t="n"/>
      <c r="CZ1161" s="4" t="n"/>
      <c r="DA1161" s="4" t="n"/>
      <c r="DB1161" s="4" t="n"/>
      <c r="DC1161" s="4" t="n"/>
      <c r="DD1161" s="4" t="n"/>
      <c r="DE1161" s="4" t="n"/>
      <c r="DF1161" s="4" t="n"/>
      <c r="DG1161" s="4" t="n"/>
      <c r="DH1161" s="4" t="n"/>
      <c r="DI1161" s="4" t="n"/>
      <c r="DJ1161" s="4" t="n"/>
      <c r="DK1161" s="4" t="n"/>
      <c r="DL1161" s="4" t="n"/>
      <c r="DM1161" s="4" t="n"/>
      <c r="DN1161" s="4" t="n"/>
      <c r="DO1161" s="4" t="n"/>
      <c r="DP1161" s="4" t="n"/>
      <c r="DQ1161" s="4" t="n"/>
      <c r="DR1161" s="4" t="n"/>
      <c r="DS1161" s="4" t="n"/>
      <c r="DT1161" s="4" t="n"/>
      <c r="DU1161" s="4" t="n"/>
      <c r="DV1161" s="4" t="n"/>
      <c r="DW1161" s="4" t="n"/>
      <c r="DX1161" s="4" t="n"/>
      <c r="DY1161" s="4" t="n"/>
      <c r="DZ1161" s="4" t="n"/>
      <c r="EA1161" s="4" t="n"/>
      <c r="EB1161" s="4" t="n"/>
      <c r="EC1161" s="4" t="n"/>
      <c r="ED1161" s="4" t="n"/>
      <c r="EE1161" s="4" t="n"/>
      <c r="EF1161" s="4" t="n"/>
      <c r="EG1161" s="4" t="n"/>
      <c r="EH1161" s="4" t="n"/>
      <c r="EI1161" s="4" t="n"/>
      <c r="EJ1161" s="4" t="n"/>
      <c r="EK1161" s="4" t="n"/>
      <c r="EL1161" s="4" t="n"/>
      <c r="EM1161" s="4" t="n"/>
    </row>
    <row r="1162" hidden="1" customFormat="1" s="6">
      <c r="C1162" s="4" t="n"/>
      <c r="D1162" s="4" t="n"/>
      <c r="E1162" s="4" t="n"/>
      <c r="F1162" s="4" t="n"/>
      <c r="G1162" s="4" t="n"/>
      <c r="H1162" s="4" t="n"/>
      <c r="I1162" s="4" t="n"/>
      <c r="J1162" s="4" t="n"/>
      <c r="K1162" s="4" t="n"/>
      <c r="L1162" s="4" t="n"/>
      <c r="M1162" s="4" t="n"/>
      <c r="N1162" s="4" t="n"/>
      <c r="O1162" s="4" t="n"/>
      <c r="P1162" s="4" t="n"/>
      <c r="Q1162" s="4" t="n"/>
      <c r="R1162" s="4" t="n"/>
      <c r="S1162" s="4" t="n"/>
      <c r="T1162" s="4" t="n"/>
      <c r="U1162" s="4" t="n"/>
      <c r="V1162" s="4" t="n"/>
      <c r="W1162" s="4" t="n"/>
      <c r="X1162" s="4" t="n"/>
      <c r="Y1162" s="4" t="n"/>
      <c r="Z1162" s="4" t="n"/>
      <c r="AA1162" s="4" t="n"/>
      <c r="AB1162" s="4" t="n"/>
      <c r="AC1162" s="4" t="n"/>
      <c r="AD1162" s="4" t="n"/>
      <c r="AE1162" s="4" t="n"/>
      <c r="AF1162" s="4" t="n"/>
      <c r="AG1162" s="4" t="n"/>
      <c r="AH1162" s="4" t="n"/>
      <c r="AI1162" s="4" t="n"/>
      <c r="AJ1162" s="4" t="n"/>
      <c r="AK1162" s="4" t="n"/>
      <c r="AL1162" s="4" t="n"/>
      <c r="AM1162" s="4" t="n"/>
      <c r="AN1162" s="4" t="n"/>
      <c r="AO1162" s="4" t="n"/>
      <c r="AP1162" s="4" t="n"/>
      <c r="AQ1162" s="4" t="n"/>
      <c r="AR1162" s="4" t="n"/>
      <c r="AS1162" s="4" t="n"/>
      <c r="AT1162" s="4" t="n"/>
      <c r="AU1162" s="4" t="n"/>
      <c r="AV1162" s="4" t="n"/>
      <c r="AW1162" s="4" t="n"/>
      <c r="AX1162" s="4" t="n"/>
      <c r="AY1162" s="4" t="n"/>
      <c r="AZ1162" s="4" t="n"/>
      <c r="BA1162" s="4" t="n"/>
      <c r="BB1162" s="4" t="n"/>
      <c r="BC1162" s="4" t="n"/>
      <c r="BD1162" s="4" t="n"/>
      <c r="BE1162" s="4" t="n"/>
      <c r="BF1162" s="4" t="n"/>
      <c r="BG1162" s="4" t="n"/>
      <c r="BH1162" s="4" t="n"/>
      <c r="BI1162" s="4" t="n"/>
      <c r="BJ1162" s="4" t="n"/>
      <c r="BK1162" s="4" t="n"/>
      <c r="BL1162" s="4" t="n"/>
      <c r="BM1162" s="4" t="n"/>
      <c r="BN1162" s="4" t="n"/>
      <c r="BO1162" s="4" t="n"/>
      <c r="BP1162" s="4" t="n"/>
      <c r="BQ1162" s="4" t="n"/>
      <c r="BR1162" s="4" t="n"/>
      <c r="BS1162" s="4" t="n"/>
      <c r="BT1162" s="4" t="n"/>
      <c r="BU1162" s="4" t="n"/>
      <c r="BV1162" s="4" t="n"/>
      <c r="BW1162" s="4" t="n"/>
      <c r="BX1162" s="4" t="n"/>
      <c r="BY1162" s="4" t="n"/>
      <c r="BZ1162" s="4" t="n"/>
      <c r="CA1162" s="4" t="n"/>
      <c r="CB1162" s="4" t="n"/>
      <c r="CC1162" s="4" t="n"/>
      <c r="CD1162" s="4" t="n"/>
      <c r="CE1162" s="4" t="n"/>
      <c r="CF1162" s="4" t="n"/>
      <c r="CG1162" s="4" t="n"/>
      <c r="CH1162" s="4" t="n"/>
      <c r="CI1162" s="4" t="n"/>
      <c r="CJ1162" s="4" t="n"/>
      <c r="CK1162" s="4" t="n"/>
      <c r="CL1162" s="4" t="n"/>
      <c r="CM1162" s="4" t="n"/>
      <c r="CN1162" s="4" t="n"/>
      <c r="CO1162" s="4" t="n"/>
      <c r="CP1162" s="4" t="n"/>
      <c r="CQ1162" s="4" t="n"/>
      <c r="CR1162" s="4" t="n"/>
      <c r="CS1162" s="4" t="n"/>
      <c r="CT1162" s="4" t="n"/>
      <c r="CU1162" s="4" t="n"/>
      <c r="CV1162" s="4" t="n"/>
      <c r="CW1162" s="4" t="n"/>
      <c r="CX1162" s="4" t="n"/>
      <c r="CY1162" s="4" t="n"/>
      <c r="CZ1162" s="4" t="n"/>
      <c r="DA1162" s="4" t="n"/>
      <c r="DB1162" s="4" t="n"/>
      <c r="DC1162" s="4" t="n"/>
      <c r="DD1162" s="4" t="n"/>
      <c r="DE1162" s="4" t="n"/>
      <c r="DF1162" s="4" t="n"/>
      <c r="DG1162" s="4" t="n"/>
      <c r="DH1162" s="4" t="n"/>
      <c r="DI1162" s="4" t="n"/>
      <c r="DJ1162" s="4" t="n"/>
      <c r="DK1162" s="4" t="n"/>
      <c r="DL1162" s="4" t="n"/>
      <c r="DM1162" s="4" t="n"/>
      <c r="DN1162" s="4" t="n"/>
      <c r="DO1162" s="4" t="n"/>
      <c r="DP1162" s="4" t="n"/>
      <c r="DQ1162" s="4" t="n"/>
      <c r="DR1162" s="4" t="n"/>
      <c r="DS1162" s="4" t="n"/>
      <c r="DT1162" s="4" t="n"/>
      <c r="DU1162" s="4" t="n"/>
      <c r="DV1162" s="4" t="n"/>
      <c r="DW1162" s="4" t="n"/>
      <c r="DX1162" s="4" t="n"/>
      <c r="DY1162" s="4" t="n"/>
      <c r="DZ1162" s="4" t="n"/>
      <c r="EA1162" s="4" t="n"/>
      <c r="EB1162" s="4" t="n"/>
      <c r="EC1162" s="4" t="n"/>
      <c r="ED1162" s="4" t="n"/>
      <c r="EE1162" s="4" t="n"/>
      <c r="EF1162" s="4" t="n"/>
      <c r="EG1162" s="4" t="n"/>
      <c r="EH1162" s="4" t="n"/>
      <c r="EI1162" s="4" t="n"/>
      <c r="EJ1162" s="4" t="n"/>
      <c r="EK1162" s="4" t="n"/>
      <c r="EL1162" s="4" t="n"/>
      <c r="EM1162" s="4" t="n"/>
    </row>
    <row r="1163" hidden="1" customFormat="1" s="6">
      <c r="C1163" s="4" t="n"/>
      <c r="D1163" s="4" t="n"/>
      <c r="E1163" s="4" t="n"/>
      <c r="F1163" s="4" t="n"/>
      <c r="G1163" s="4" t="n"/>
      <c r="H1163" s="4" t="n"/>
      <c r="I1163" s="4" t="n"/>
      <c r="J1163" s="4" t="n"/>
      <c r="K1163" s="4" t="n"/>
      <c r="L1163" s="4" t="n"/>
      <c r="M1163" s="4" t="n"/>
      <c r="N1163" s="4" t="n"/>
      <c r="O1163" s="4" t="n"/>
      <c r="P1163" s="4" t="n"/>
      <c r="Q1163" s="4" t="n"/>
      <c r="R1163" s="4" t="n"/>
      <c r="S1163" s="4" t="n"/>
      <c r="T1163" s="4" t="n"/>
      <c r="U1163" s="4" t="n"/>
      <c r="V1163" s="4" t="n"/>
      <c r="W1163" s="4" t="n"/>
      <c r="X1163" s="4" t="n"/>
      <c r="Y1163" s="4" t="n"/>
      <c r="Z1163" s="4" t="n"/>
      <c r="AA1163" s="4" t="n"/>
      <c r="AB1163" s="4" t="n"/>
      <c r="AC1163" s="4" t="n"/>
      <c r="AD1163" s="4" t="n"/>
      <c r="AE1163" s="4" t="n"/>
      <c r="AF1163" s="4" t="n"/>
      <c r="AG1163" s="4" t="n"/>
      <c r="AH1163" s="4" t="n"/>
      <c r="AI1163" s="4" t="n"/>
      <c r="AJ1163" s="4" t="n"/>
      <c r="AK1163" s="4" t="n"/>
      <c r="AL1163" s="4" t="n"/>
      <c r="AM1163" s="4" t="n"/>
      <c r="AN1163" s="4" t="n"/>
      <c r="AO1163" s="4" t="n"/>
      <c r="AP1163" s="4" t="n"/>
      <c r="AQ1163" s="4" t="n"/>
      <c r="AR1163" s="4" t="n"/>
      <c r="AS1163" s="4" t="n"/>
      <c r="AT1163" s="4" t="n"/>
      <c r="AU1163" s="4" t="n"/>
      <c r="AV1163" s="4" t="n"/>
      <c r="AW1163" s="4" t="n"/>
      <c r="AX1163" s="4" t="n"/>
      <c r="AY1163" s="4" t="n"/>
      <c r="AZ1163" s="4" t="n"/>
      <c r="BA1163" s="4" t="n"/>
      <c r="BB1163" s="4" t="n"/>
      <c r="BC1163" s="4" t="n"/>
      <c r="BD1163" s="4" t="n"/>
      <c r="BE1163" s="4" t="n"/>
      <c r="BF1163" s="4" t="n"/>
      <c r="BG1163" s="4" t="n"/>
      <c r="BH1163" s="4" t="n"/>
      <c r="BI1163" s="4" t="n"/>
      <c r="BJ1163" s="4" t="n"/>
      <c r="BK1163" s="4" t="n"/>
      <c r="BL1163" s="4" t="n"/>
      <c r="BM1163" s="4" t="n"/>
      <c r="BN1163" s="4" t="n"/>
      <c r="BO1163" s="4" t="n"/>
      <c r="BP1163" s="4" t="n"/>
      <c r="BQ1163" s="4" t="n"/>
      <c r="BR1163" s="4" t="n"/>
      <c r="BS1163" s="4" t="n"/>
      <c r="BT1163" s="4" t="n"/>
      <c r="BU1163" s="4" t="n"/>
      <c r="BV1163" s="4" t="n"/>
      <c r="BW1163" s="4" t="n"/>
      <c r="BX1163" s="4" t="n"/>
      <c r="BY1163" s="4" t="n"/>
      <c r="BZ1163" s="4" t="n"/>
      <c r="CA1163" s="4" t="n"/>
      <c r="CB1163" s="4" t="n"/>
      <c r="CC1163" s="4" t="n"/>
      <c r="CD1163" s="4" t="n"/>
      <c r="CE1163" s="4" t="n"/>
      <c r="CF1163" s="4" t="n"/>
      <c r="CG1163" s="4" t="n"/>
      <c r="CH1163" s="4" t="n"/>
      <c r="CI1163" s="4" t="n"/>
      <c r="CJ1163" s="4" t="n"/>
      <c r="CK1163" s="4" t="n"/>
      <c r="CL1163" s="4" t="n"/>
      <c r="CM1163" s="4" t="n"/>
      <c r="CN1163" s="4" t="n"/>
      <c r="CO1163" s="4" t="n"/>
      <c r="CP1163" s="4" t="n"/>
      <c r="CQ1163" s="4" t="n"/>
      <c r="CR1163" s="4" t="n"/>
      <c r="CS1163" s="4" t="n"/>
      <c r="CT1163" s="4" t="n"/>
      <c r="CU1163" s="4" t="n"/>
      <c r="CV1163" s="4" t="n"/>
      <c r="CW1163" s="4" t="n"/>
      <c r="CX1163" s="4" t="n"/>
      <c r="CY1163" s="4" t="n"/>
      <c r="CZ1163" s="4" t="n"/>
      <c r="DA1163" s="4" t="n"/>
      <c r="DB1163" s="4" t="n"/>
      <c r="DC1163" s="4" t="n"/>
      <c r="DD1163" s="4" t="n"/>
      <c r="DE1163" s="4" t="n"/>
      <c r="DF1163" s="4" t="n"/>
      <c r="DG1163" s="4" t="n"/>
      <c r="DH1163" s="4" t="n"/>
      <c r="DI1163" s="4" t="n"/>
      <c r="DJ1163" s="4" t="n"/>
      <c r="DK1163" s="4" t="n"/>
      <c r="DL1163" s="4" t="n"/>
      <c r="DM1163" s="4" t="n"/>
      <c r="DN1163" s="4" t="n"/>
      <c r="DO1163" s="4" t="n"/>
      <c r="DP1163" s="4" t="n"/>
      <c r="DQ1163" s="4" t="n"/>
      <c r="DR1163" s="4" t="n"/>
      <c r="DS1163" s="4" t="n"/>
      <c r="DT1163" s="4" t="n"/>
      <c r="DU1163" s="4" t="n"/>
      <c r="DV1163" s="4" t="n"/>
      <c r="DW1163" s="4" t="n"/>
      <c r="DX1163" s="4" t="n"/>
      <c r="DY1163" s="4" t="n"/>
      <c r="DZ1163" s="4" t="n"/>
      <c r="EA1163" s="4" t="n"/>
      <c r="EB1163" s="4" t="n"/>
      <c r="EC1163" s="4" t="n"/>
      <c r="ED1163" s="4" t="n"/>
      <c r="EE1163" s="4" t="n"/>
      <c r="EF1163" s="4" t="n"/>
      <c r="EG1163" s="4" t="n"/>
      <c r="EH1163" s="4" t="n"/>
      <c r="EI1163" s="4" t="n"/>
      <c r="EJ1163" s="4" t="n"/>
      <c r="EK1163" s="4" t="n"/>
      <c r="EL1163" s="4" t="n"/>
      <c r="EM1163" s="4" t="n"/>
    </row>
    <row r="1164" hidden="1" customFormat="1" s="6">
      <c r="C1164" s="4" t="n"/>
      <c r="D1164" s="4" t="n"/>
      <c r="E1164" s="4" t="n"/>
      <c r="F1164" s="4" t="n"/>
      <c r="G1164" s="4" t="n"/>
      <c r="H1164" s="4" t="n"/>
      <c r="I1164" s="4" t="n"/>
      <c r="J1164" s="4" t="n"/>
      <c r="K1164" s="4" t="n"/>
      <c r="L1164" s="4" t="n"/>
      <c r="M1164" s="4" t="n"/>
      <c r="N1164" s="4" t="n"/>
      <c r="O1164" s="4" t="n"/>
      <c r="P1164" s="4" t="n"/>
      <c r="Q1164" s="4" t="n"/>
      <c r="R1164" s="4" t="n"/>
      <c r="S1164" s="4" t="n"/>
      <c r="T1164" s="4" t="n"/>
      <c r="U1164" s="4" t="n"/>
      <c r="V1164" s="4" t="n"/>
      <c r="W1164" s="4" t="n"/>
      <c r="X1164" s="4" t="n"/>
      <c r="Y1164" s="4" t="n"/>
      <c r="Z1164" s="4" t="n"/>
      <c r="AA1164" s="4" t="n"/>
      <c r="AB1164" s="4" t="n"/>
      <c r="AC1164" s="4" t="n"/>
      <c r="AD1164" s="4" t="n"/>
      <c r="AE1164" s="4" t="n"/>
      <c r="AF1164" s="4" t="n"/>
      <c r="AG1164" s="4" t="n"/>
      <c r="AH1164" s="4" t="n"/>
      <c r="AI1164" s="4" t="n"/>
      <c r="AJ1164" s="4" t="n"/>
      <c r="AK1164" s="4" t="n"/>
      <c r="AL1164" s="4" t="n"/>
      <c r="AM1164" s="4" t="n"/>
      <c r="AN1164" s="4" t="n"/>
      <c r="AO1164" s="4" t="n"/>
      <c r="AP1164" s="4" t="n"/>
      <c r="AQ1164" s="4" t="n"/>
      <c r="AR1164" s="4" t="n"/>
      <c r="AS1164" s="4" t="n"/>
      <c r="AT1164" s="4" t="n"/>
      <c r="AU1164" s="4" t="n"/>
      <c r="AV1164" s="4" t="n"/>
      <c r="AW1164" s="4" t="n"/>
      <c r="AX1164" s="4" t="n"/>
      <c r="AY1164" s="4" t="n"/>
      <c r="AZ1164" s="4" t="n"/>
      <c r="BA1164" s="4" t="n"/>
      <c r="BB1164" s="4" t="n"/>
      <c r="BC1164" s="4" t="n"/>
      <c r="BD1164" s="4" t="n"/>
      <c r="BE1164" s="4" t="n"/>
      <c r="BF1164" s="4" t="n"/>
      <c r="BG1164" s="4" t="n"/>
      <c r="BH1164" s="4" t="n"/>
      <c r="BI1164" s="4" t="n"/>
      <c r="BJ1164" s="4" t="n"/>
      <c r="BK1164" s="4" t="n"/>
      <c r="BL1164" s="4" t="n"/>
      <c r="BM1164" s="4" t="n"/>
      <c r="BN1164" s="4" t="n"/>
      <c r="BO1164" s="4" t="n"/>
      <c r="BP1164" s="4" t="n"/>
      <c r="BQ1164" s="4" t="n"/>
      <c r="BR1164" s="4" t="n"/>
      <c r="BS1164" s="4" t="n"/>
      <c r="BT1164" s="4" t="n"/>
      <c r="BU1164" s="4" t="n"/>
      <c r="BV1164" s="4" t="n"/>
      <c r="BW1164" s="4" t="n"/>
      <c r="BX1164" s="4" t="n"/>
      <c r="BY1164" s="4" t="n"/>
      <c r="BZ1164" s="4" t="n"/>
      <c r="CA1164" s="4" t="n"/>
      <c r="CB1164" s="4" t="n"/>
      <c r="CC1164" s="4" t="n"/>
      <c r="CD1164" s="4" t="n"/>
      <c r="CE1164" s="4" t="n"/>
      <c r="CF1164" s="4" t="n"/>
      <c r="CG1164" s="4" t="n"/>
      <c r="CH1164" s="4" t="n"/>
      <c r="CI1164" s="4" t="n"/>
      <c r="CJ1164" s="4" t="n"/>
      <c r="CK1164" s="4" t="n"/>
      <c r="CL1164" s="4" t="n"/>
      <c r="CM1164" s="4" t="n"/>
      <c r="CN1164" s="4" t="n"/>
      <c r="CO1164" s="4" t="n"/>
      <c r="CP1164" s="4" t="n"/>
      <c r="CQ1164" s="4" t="n"/>
      <c r="CR1164" s="4" t="n"/>
      <c r="CS1164" s="4" t="n"/>
      <c r="CT1164" s="4" t="n"/>
      <c r="CU1164" s="4" t="n"/>
      <c r="CV1164" s="4" t="n"/>
      <c r="CW1164" s="4" t="n"/>
      <c r="CX1164" s="4" t="n"/>
      <c r="CY1164" s="4" t="n"/>
      <c r="CZ1164" s="4" t="n"/>
      <c r="DA1164" s="4" t="n"/>
      <c r="DB1164" s="4" t="n"/>
      <c r="DC1164" s="4" t="n"/>
      <c r="DD1164" s="4" t="n"/>
      <c r="DE1164" s="4" t="n"/>
      <c r="DF1164" s="4" t="n"/>
      <c r="DG1164" s="4" t="n"/>
      <c r="DH1164" s="4" t="n"/>
      <c r="DI1164" s="4" t="n"/>
      <c r="DJ1164" s="4" t="n"/>
      <c r="DK1164" s="4" t="n"/>
      <c r="DL1164" s="4" t="n"/>
      <c r="DM1164" s="4" t="n"/>
      <c r="DN1164" s="4" t="n"/>
      <c r="DO1164" s="4" t="n"/>
      <c r="DP1164" s="4" t="n"/>
      <c r="DQ1164" s="4" t="n"/>
      <c r="DR1164" s="4" t="n"/>
      <c r="DS1164" s="4" t="n"/>
      <c r="DT1164" s="4" t="n"/>
      <c r="DU1164" s="4" t="n"/>
      <c r="DV1164" s="4" t="n"/>
      <c r="DW1164" s="4" t="n"/>
      <c r="DX1164" s="4" t="n"/>
      <c r="DY1164" s="4" t="n"/>
      <c r="DZ1164" s="4" t="n"/>
      <c r="EA1164" s="4" t="n"/>
      <c r="EB1164" s="4" t="n"/>
      <c r="EC1164" s="4" t="n"/>
      <c r="ED1164" s="4" t="n"/>
      <c r="EE1164" s="4" t="n"/>
      <c r="EF1164" s="4" t="n"/>
      <c r="EG1164" s="4" t="n"/>
      <c r="EH1164" s="4" t="n"/>
      <c r="EI1164" s="4" t="n"/>
      <c r="EJ1164" s="4" t="n"/>
      <c r="EK1164" s="4" t="n"/>
      <c r="EL1164" s="4" t="n"/>
      <c r="EM1164" s="4" t="n"/>
    </row>
    <row r="1165" hidden="1" customFormat="1" s="6">
      <c r="C1165" s="4" t="n"/>
      <c r="D1165" s="4" t="n"/>
      <c r="E1165" s="4" t="n"/>
      <c r="F1165" s="4" t="n"/>
      <c r="G1165" s="4" t="n"/>
      <c r="H1165" s="4" t="n"/>
      <c r="I1165" s="4" t="n"/>
      <c r="J1165" s="4" t="n"/>
      <c r="K1165" s="4" t="n"/>
      <c r="L1165" s="4" t="n"/>
      <c r="M1165" s="4" t="n"/>
      <c r="N1165" s="4" t="n"/>
      <c r="O1165" s="4" t="n"/>
      <c r="P1165" s="4" t="n"/>
      <c r="Q1165" s="4" t="n"/>
      <c r="R1165" s="4" t="n"/>
      <c r="S1165" s="4" t="n"/>
      <c r="T1165" s="4" t="n"/>
      <c r="U1165" s="4" t="n"/>
      <c r="V1165" s="4" t="n"/>
      <c r="W1165" s="4" t="n"/>
      <c r="X1165" s="4" t="n"/>
      <c r="Y1165" s="4" t="n"/>
      <c r="Z1165" s="4" t="n"/>
      <c r="AA1165" s="4" t="n"/>
      <c r="AB1165" s="4" t="n"/>
      <c r="AC1165" s="4" t="n"/>
      <c r="AD1165" s="4" t="n"/>
      <c r="AE1165" s="4" t="n"/>
      <c r="AF1165" s="4" t="n"/>
      <c r="AG1165" s="4" t="n"/>
      <c r="AH1165" s="4" t="n"/>
      <c r="AI1165" s="4" t="n"/>
      <c r="AJ1165" s="4" t="n"/>
      <c r="AK1165" s="4" t="n"/>
      <c r="AL1165" s="4" t="n"/>
      <c r="AM1165" s="4" t="n"/>
      <c r="AN1165" s="4" t="n"/>
      <c r="AO1165" s="4" t="n"/>
      <c r="AP1165" s="4" t="n"/>
      <c r="AQ1165" s="4" t="n"/>
      <c r="AR1165" s="4" t="n"/>
      <c r="AS1165" s="4" t="n"/>
      <c r="AT1165" s="4" t="n"/>
      <c r="AU1165" s="4" t="n"/>
      <c r="AV1165" s="4" t="n"/>
      <c r="AW1165" s="4" t="n"/>
      <c r="AX1165" s="4" t="n"/>
      <c r="AY1165" s="4" t="n"/>
      <c r="AZ1165" s="4" t="n"/>
      <c r="BA1165" s="4" t="n"/>
      <c r="BB1165" s="4" t="n"/>
      <c r="BC1165" s="4" t="n"/>
      <c r="BD1165" s="4" t="n"/>
      <c r="BE1165" s="4" t="n"/>
      <c r="BF1165" s="4" t="n"/>
      <c r="BG1165" s="4" t="n"/>
      <c r="BH1165" s="4" t="n"/>
      <c r="BI1165" s="4" t="n"/>
      <c r="BJ1165" s="4" t="n"/>
      <c r="BK1165" s="4" t="n"/>
      <c r="BL1165" s="4" t="n"/>
      <c r="BM1165" s="4" t="n"/>
      <c r="BN1165" s="4" t="n"/>
      <c r="BO1165" s="4" t="n"/>
      <c r="BP1165" s="4" t="n"/>
      <c r="BQ1165" s="4" t="n"/>
      <c r="BR1165" s="4" t="n"/>
      <c r="BS1165" s="4" t="n"/>
      <c r="BT1165" s="4" t="n"/>
      <c r="BU1165" s="4" t="n"/>
      <c r="BV1165" s="4" t="n"/>
      <c r="BW1165" s="4" t="n"/>
      <c r="BX1165" s="4" t="n"/>
      <c r="BY1165" s="4" t="n"/>
      <c r="BZ1165" s="4" t="n"/>
      <c r="CA1165" s="4" t="n"/>
      <c r="CB1165" s="4" t="n"/>
      <c r="CC1165" s="4" t="n"/>
      <c r="CD1165" s="4" t="n"/>
      <c r="CE1165" s="4" t="n"/>
      <c r="CF1165" s="4" t="n"/>
      <c r="CG1165" s="4" t="n"/>
      <c r="CH1165" s="4" t="n"/>
      <c r="CI1165" s="4" t="n"/>
      <c r="CJ1165" s="4" t="n"/>
      <c r="CK1165" s="4" t="n"/>
      <c r="CL1165" s="4" t="n"/>
      <c r="CM1165" s="4" t="n"/>
      <c r="CN1165" s="4" t="n"/>
      <c r="CO1165" s="4" t="n"/>
      <c r="CP1165" s="4" t="n"/>
      <c r="CQ1165" s="4" t="n"/>
      <c r="CR1165" s="4" t="n"/>
      <c r="CS1165" s="4" t="n"/>
      <c r="CT1165" s="4" t="n"/>
      <c r="CU1165" s="4" t="n"/>
      <c r="CV1165" s="4" t="n"/>
      <c r="CW1165" s="4" t="n"/>
      <c r="CX1165" s="4" t="n"/>
      <c r="CY1165" s="4" t="n"/>
      <c r="CZ1165" s="4" t="n"/>
      <c r="DA1165" s="4" t="n"/>
      <c r="DB1165" s="4" t="n"/>
      <c r="DC1165" s="4" t="n"/>
      <c r="DD1165" s="4" t="n"/>
      <c r="DE1165" s="4" t="n"/>
      <c r="DF1165" s="4" t="n"/>
      <c r="DG1165" s="4" t="n"/>
      <c r="DH1165" s="4" t="n"/>
      <c r="DI1165" s="4" t="n"/>
      <c r="DJ1165" s="4" t="n"/>
      <c r="DK1165" s="4" t="n"/>
      <c r="DL1165" s="4" t="n"/>
      <c r="DM1165" s="4" t="n"/>
      <c r="DN1165" s="4" t="n"/>
      <c r="DO1165" s="4" t="n"/>
      <c r="DP1165" s="4" t="n"/>
      <c r="DQ1165" s="4" t="n"/>
      <c r="DR1165" s="4" t="n"/>
      <c r="DS1165" s="4" t="n"/>
      <c r="DT1165" s="4" t="n"/>
      <c r="DU1165" s="4" t="n"/>
      <c r="DV1165" s="4" t="n"/>
      <c r="DW1165" s="4" t="n"/>
      <c r="DX1165" s="4" t="n"/>
      <c r="DY1165" s="4" t="n"/>
      <c r="DZ1165" s="4" t="n"/>
      <c r="EA1165" s="4" t="n"/>
      <c r="EB1165" s="4" t="n"/>
      <c r="EC1165" s="4" t="n"/>
      <c r="ED1165" s="4" t="n"/>
      <c r="EE1165" s="4" t="n"/>
      <c r="EF1165" s="4" t="n"/>
      <c r="EG1165" s="4" t="n"/>
      <c r="EH1165" s="4" t="n"/>
      <c r="EI1165" s="4" t="n"/>
      <c r="EJ1165" s="4" t="n"/>
      <c r="EK1165" s="4" t="n"/>
      <c r="EL1165" s="4" t="n"/>
      <c r="EM1165" s="4" t="n"/>
    </row>
    <row r="1166" hidden="1" customFormat="1" s="6">
      <c r="C1166" s="4" t="n"/>
      <c r="D1166" s="4" t="n"/>
      <c r="E1166" s="4" t="n"/>
      <c r="F1166" s="4" t="n"/>
      <c r="G1166" s="4" t="n"/>
      <c r="H1166" s="4" t="n"/>
      <c r="I1166" s="4" t="n"/>
      <c r="J1166" s="4" t="n"/>
      <c r="K1166" s="4" t="n"/>
      <c r="L1166" s="4" t="n"/>
      <c r="M1166" s="4" t="n"/>
      <c r="N1166" s="4" t="n"/>
      <c r="O1166" s="4" t="n"/>
      <c r="P1166" s="4" t="n"/>
      <c r="Q1166" s="4" t="n"/>
      <c r="R1166" s="4" t="n"/>
      <c r="S1166" s="4" t="n"/>
      <c r="T1166" s="4" t="n"/>
      <c r="U1166" s="4" t="n"/>
      <c r="V1166" s="4" t="n"/>
      <c r="W1166" s="4" t="n"/>
      <c r="X1166" s="4" t="n"/>
      <c r="Y1166" s="4" t="n"/>
      <c r="Z1166" s="4" t="n"/>
      <c r="AA1166" s="4" t="n"/>
      <c r="AB1166" s="4" t="n"/>
      <c r="AC1166" s="4" t="n"/>
      <c r="AD1166" s="4" t="n"/>
      <c r="AE1166" s="4" t="n"/>
      <c r="AF1166" s="4" t="n"/>
      <c r="AG1166" s="4" t="n"/>
      <c r="AH1166" s="4" t="n"/>
      <c r="AI1166" s="4" t="n"/>
      <c r="AJ1166" s="4" t="n"/>
      <c r="AK1166" s="4" t="n"/>
      <c r="AL1166" s="4" t="n"/>
      <c r="AM1166" s="4" t="n"/>
      <c r="AN1166" s="4" t="n"/>
      <c r="AO1166" s="4" t="n"/>
      <c r="AP1166" s="4" t="n"/>
      <c r="AQ1166" s="4" t="n"/>
      <c r="AR1166" s="4" t="n"/>
      <c r="AS1166" s="4" t="n"/>
      <c r="AT1166" s="4" t="n"/>
      <c r="AU1166" s="4" t="n"/>
      <c r="AV1166" s="4" t="n"/>
      <c r="AW1166" s="4" t="n"/>
      <c r="AX1166" s="4" t="n"/>
      <c r="AY1166" s="4" t="n"/>
      <c r="AZ1166" s="4" t="n"/>
      <c r="BA1166" s="4" t="n"/>
      <c r="BB1166" s="4" t="n"/>
      <c r="BC1166" s="4" t="n"/>
      <c r="BD1166" s="4" t="n"/>
      <c r="BE1166" s="4" t="n"/>
      <c r="BF1166" s="4" t="n"/>
      <c r="BG1166" s="4" t="n"/>
      <c r="BH1166" s="4" t="n"/>
      <c r="BI1166" s="4" t="n"/>
      <c r="BJ1166" s="4" t="n"/>
      <c r="BK1166" s="4" t="n"/>
      <c r="BL1166" s="4" t="n"/>
      <c r="BM1166" s="4" t="n"/>
      <c r="BN1166" s="4" t="n"/>
      <c r="BO1166" s="4" t="n"/>
      <c r="BP1166" s="4" t="n"/>
      <c r="BQ1166" s="4" t="n"/>
      <c r="BR1166" s="4" t="n"/>
      <c r="BS1166" s="4" t="n"/>
      <c r="BT1166" s="4" t="n"/>
      <c r="BU1166" s="4" t="n"/>
      <c r="BV1166" s="4" t="n"/>
      <c r="BW1166" s="4" t="n"/>
      <c r="BX1166" s="4" t="n"/>
      <c r="BY1166" s="4" t="n"/>
      <c r="BZ1166" s="4" t="n"/>
      <c r="CA1166" s="4" t="n"/>
      <c r="CB1166" s="4" t="n"/>
      <c r="CC1166" s="4" t="n"/>
      <c r="CD1166" s="4" t="n"/>
      <c r="CE1166" s="4" t="n"/>
      <c r="CF1166" s="4" t="n"/>
      <c r="CG1166" s="4" t="n"/>
      <c r="CH1166" s="4" t="n"/>
      <c r="CI1166" s="4" t="n"/>
      <c r="CJ1166" s="4" t="n"/>
      <c r="CK1166" s="4" t="n"/>
      <c r="CL1166" s="4" t="n"/>
      <c r="CM1166" s="4" t="n"/>
      <c r="CN1166" s="4" t="n"/>
      <c r="CO1166" s="4" t="n"/>
      <c r="CP1166" s="4" t="n"/>
      <c r="CQ1166" s="4" t="n"/>
      <c r="CR1166" s="4" t="n"/>
      <c r="CS1166" s="4" t="n"/>
      <c r="CT1166" s="4" t="n"/>
      <c r="CU1166" s="4" t="n"/>
      <c r="CV1166" s="4" t="n"/>
      <c r="CW1166" s="4" t="n"/>
      <c r="CX1166" s="4" t="n"/>
      <c r="CY1166" s="4" t="n"/>
      <c r="CZ1166" s="4" t="n"/>
      <c r="DA1166" s="4" t="n"/>
      <c r="DB1166" s="4" t="n"/>
      <c r="DC1166" s="4" t="n"/>
      <c r="DD1166" s="4" t="n"/>
      <c r="DE1166" s="4" t="n"/>
      <c r="DF1166" s="4" t="n"/>
      <c r="DG1166" s="4" t="n"/>
      <c r="DH1166" s="4" t="n"/>
      <c r="DI1166" s="4" t="n"/>
      <c r="DJ1166" s="4" t="n"/>
      <c r="DK1166" s="4" t="n"/>
      <c r="DL1166" s="4" t="n"/>
      <c r="DM1166" s="4" t="n"/>
      <c r="DN1166" s="4" t="n"/>
      <c r="DO1166" s="4" t="n"/>
      <c r="DP1166" s="4" t="n"/>
      <c r="DQ1166" s="4" t="n"/>
      <c r="DR1166" s="4" t="n"/>
      <c r="DS1166" s="4" t="n"/>
      <c r="DT1166" s="4" t="n"/>
      <c r="DU1166" s="4" t="n"/>
      <c r="DV1166" s="4" t="n"/>
      <c r="DW1166" s="4" t="n"/>
      <c r="DX1166" s="4" t="n"/>
      <c r="DY1166" s="4" t="n"/>
      <c r="DZ1166" s="4" t="n"/>
      <c r="EA1166" s="4" t="n"/>
      <c r="EB1166" s="4" t="n"/>
      <c r="EC1166" s="4" t="n"/>
      <c r="ED1166" s="4" t="n"/>
      <c r="EE1166" s="4" t="n"/>
      <c r="EF1166" s="4" t="n"/>
      <c r="EG1166" s="4" t="n"/>
      <c r="EH1166" s="4" t="n"/>
      <c r="EI1166" s="4" t="n"/>
      <c r="EJ1166" s="4" t="n"/>
      <c r="EK1166" s="4" t="n"/>
      <c r="EL1166" s="4" t="n"/>
      <c r="EM1166" s="4" t="n"/>
    </row>
    <row r="1167" hidden="1" customFormat="1" s="6">
      <c r="C1167" s="4" t="n"/>
      <c r="D1167" s="4" t="n"/>
      <c r="E1167" s="4" t="n"/>
      <c r="F1167" s="4" t="n"/>
      <c r="G1167" s="4" t="n"/>
      <c r="H1167" s="4" t="n"/>
      <c r="I1167" s="4" t="n"/>
      <c r="J1167" s="4" t="n"/>
      <c r="K1167" s="4" t="n"/>
      <c r="L1167" s="4" t="n"/>
      <c r="M1167" s="4" t="n"/>
      <c r="N1167" s="4" t="n"/>
      <c r="O1167" s="4" t="n"/>
      <c r="P1167" s="4" t="n"/>
      <c r="Q1167" s="4" t="n"/>
      <c r="R1167" s="4" t="n"/>
      <c r="S1167" s="4" t="n"/>
      <c r="T1167" s="4" t="n"/>
      <c r="U1167" s="4" t="n"/>
      <c r="V1167" s="4" t="n"/>
      <c r="W1167" s="4" t="n"/>
      <c r="X1167" s="4" t="n"/>
      <c r="Y1167" s="4" t="n"/>
      <c r="Z1167" s="4" t="n"/>
      <c r="AA1167" s="4" t="n"/>
      <c r="AB1167" s="4" t="n"/>
      <c r="AC1167" s="4" t="n"/>
      <c r="AD1167" s="4" t="n"/>
      <c r="AE1167" s="4" t="n"/>
      <c r="AF1167" s="4" t="n"/>
      <c r="AG1167" s="4" t="n"/>
      <c r="AH1167" s="4" t="n"/>
      <c r="AI1167" s="4" t="n"/>
      <c r="AJ1167" s="4" t="n"/>
      <c r="AK1167" s="4" t="n"/>
      <c r="AL1167" s="4" t="n"/>
      <c r="AM1167" s="4" t="n"/>
      <c r="AN1167" s="4" t="n"/>
      <c r="AO1167" s="4" t="n"/>
      <c r="AP1167" s="4" t="n"/>
      <c r="AQ1167" s="4" t="n"/>
      <c r="AR1167" s="4" t="n"/>
      <c r="AS1167" s="4" t="n"/>
      <c r="AT1167" s="4" t="n"/>
      <c r="AU1167" s="4" t="n"/>
      <c r="AV1167" s="4" t="n"/>
      <c r="AW1167" s="4" t="n"/>
      <c r="AX1167" s="4" t="n"/>
      <c r="AY1167" s="4" t="n"/>
      <c r="AZ1167" s="4" t="n"/>
      <c r="BA1167" s="4" t="n"/>
      <c r="BB1167" s="4" t="n"/>
      <c r="BC1167" s="4" t="n"/>
      <c r="BD1167" s="4" t="n"/>
      <c r="BE1167" s="4" t="n"/>
      <c r="BF1167" s="4" t="n"/>
      <c r="BG1167" s="4" t="n"/>
      <c r="BH1167" s="4" t="n"/>
      <c r="BI1167" s="4" t="n"/>
      <c r="BJ1167" s="4" t="n"/>
      <c r="BK1167" s="4" t="n"/>
      <c r="BL1167" s="4" t="n"/>
      <c r="BM1167" s="4" t="n"/>
      <c r="BN1167" s="4" t="n"/>
      <c r="BO1167" s="4" t="n"/>
      <c r="BP1167" s="4" t="n"/>
      <c r="BQ1167" s="4" t="n"/>
      <c r="BR1167" s="4" t="n"/>
      <c r="BS1167" s="4" t="n"/>
      <c r="BT1167" s="4" t="n"/>
      <c r="BU1167" s="4" t="n"/>
      <c r="BV1167" s="4" t="n"/>
      <c r="BW1167" s="4" t="n"/>
      <c r="BX1167" s="4" t="n"/>
      <c r="BY1167" s="4" t="n"/>
      <c r="BZ1167" s="4" t="n"/>
      <c r="CA1167" s="4" t="n"/>
      <c r="CB1167" s="4" t="n"/>
      <c r="CC1167" s="4" t="n"/>
      <c r="CD1167" s="4" t="n"/>
      <c r="CE1167" s="4" t="n"/>
      <c r="CF1167" s="4" t="n"/>
      <c r="CG1167" s="4" t="n"/>
      <c r="CH1167" s="4" t="n"/>
      <c r="CI1167" s="4" t="n"/>
      <c r="CJ1167" s="4" t="n"/>
      <c r="CK1167" s="4" t="n"/>
      <c r="CL1167" s="4" t="n"/>
      <c r="CM1167" s="4" t="n"/>
      <c r="CN1167" s="4" t="n"/>
      <c r="CO1167" s="4" t="n"/>
      <c r="CP1167" s="4" t="n"/>
      <c r="CQ1167" s="4" t="n"/>
      <c r="CR1167" s="4" t="n"/>
      <c r="CS1167" s="4" t="n"/>
      <c r="CT1167" s="4" t="n"/>
      <c r="CU1167" s="4" t="n"/>
      <c r="CV1167" s="4" t="n"/>
      <c r="CW1167" s="4" t="n"/>
      <c r="CX1167" s="4" t="n"/>
      <c r="CY1167" s="4" t="n"/>
      <c r="CZ1167" s="4" t="n"/>
      <c r="DA1167" s="4" t="n"/>
      <c r="DB1167" s="4" t="n"/>
      <c r="DC1167" s="4" t="n"/>
      <c r="DD1167" s="4" t="n"/>
      <c r="DE1167" s="4" t="n"/>
      <c r="DF1167" s="4" t="n"/>
      <c r="DG1167" s="4" t="n"/>
      <c r="DH1167" s="4" t="n"/>
      <c r="DI1167" s="4" t="n"/>
      <c r="DJ1167" s="4" t="n"/>
      <c r="DK1167" s="4" t="n"/>
      <c r="DL1167" s="4" t="n"/>
      <c r="DM1167" s="4" t="n"/>
      <c r="DN1167" s="4" t="n"/>
      <c r="DO1167" s="4" t="n"/>
      <c r="DP1167" s="4" t="n"/>
      <c r="DQ1167" s="4" t="n"/>
      <c r="DR1167" s="4" t="n"/>
      <c r="DS1167" s="4" t="n"/>
      <c r="DT1167" s="4" t="n"/>
      <c r="DU1167" s="4" t="n"/>
      <c r="DV1167" s="4" t="n"/>
      <c r="DW1167" s="4" t="n"/>
      <c r="DX1167" s="4" t="n"/>
      <c r="DY1167" s="4" t="n"/>
      <c r="DZ1167" s="4" t="n"/>
      <c r="EA1167" s="4" t="n"/>
      <c r="EB1167" s="4" t="n"/>
      <c r="EC1167" s="4" t="n"/>
      <c r="ED1167" s="4" t="n"/>
      <c r="EE1167" s="4" t="n"/>
      <c r="EF1167" s="4" t="n"/>
      <c r="EG1167" s="4" t="n"/>
      <c r="EH1167" s="4" t="n"/>
      <c r="EI1167" s="4" t="n"/>
      <c r="EJ1167" s="4" t="n"/>
      <c r="EK1167" s="4" t="n"/>
      <c r="EL1167" s="4" t="n"/>
      <c r="EM1167" s="4" t="n"/>
    </row>
    <row r="1168" hidden="1" customFormat="1" s="6">
      <c r="C1168" s="4" t="n"/>
      <c r="D1168" s="4" t="n"/>
      <c r="E1168" s="4" t="n"/>
      <c r="F1168" s="4" t="n"/>
      <c r="G1168" s="4" t="n"/>
      <c r="H1168" s="4" t="n"/>
      <c r="I1168" s="4" t="n"/>
      <c r="J1168" s="4" t="n"/>
      <c r="K1168" s="4" t="n"/>
      <c r="L1168" s="4" t="n"/>
      <c r="M1168" s="4" t="n"/>
      <c r="N1168" s="4" t="n"/>
      <c r="O1168" s="4" t="n"/>
      <c r="P1168" s="4" t="n"/>
      <c r="Q1168" s="4" t="n"/>
      <c r="R1168" s="4" t="n"/>
      <c r="S1168" s="4" t="n"/>
      <c r="T1168" s="4" t="n"/>
      <c r="U1168" s="4" t="n"/>
      <c r="V1168" s="4" t="n"/>
      <c r="W1168" s="4" t="n"/>
      <c r="X1168" s="4" t="n"/>
      <c r="Y1168" s="4" t="n"/>
      <c r="Z1168" s="4" t="n"/>
      <c r="AA1168" s="4" t="n"/>
      <c r="AB1168" s="4" t="n"/>
      <c r="AC1168" s="4" t="n"/>
      <c r="AD1168" s="4" t="n"/>
      <c r="AE1168" s="4" t="n"/>
      <c r="AF1168" s="4" t="n"/>
      <c r="AG1168" s="4" t="n"/>
      <c r="AH1168" s="4" t="n"/>
      <c r="AI1168" s="4" t="n"/>
      <c r="AJ1168" s="4" t="n"/>
      <c r="AK1168" s="4" t="n"/>
      <c r="AL1168" s="4" t="n"/>
      <c r="AM1168" s="4" t="n"/>
      <c r="AN1168" s="4" t="n"/>
      <c r="AO1168" s="4" t="n"/>
      <c r="AP1168" s="4" t="n"/>
      <c r="AQ1168" s="4" t="n"/>
      <c r="AR1168" s="4" t="n"/>
      <c r="AS1168" s="4" t="n"/>
      <c r="AT1168" s="4" t="n"/>
      <c r="AU1168" s="4" t="n"/>
      <c r="AV1168" s="4" t="n"/>
      <c r="AW1168" s="4" t="n"/>
      <c r="AX1168" s="4" t="n"/>
      <c r="AY1168" s="4" t="n"/>
      <c r="AZ1168" s="4" t="n"/>
      <c r="BA1168" s="4" t="n"/>
      <c r="BB1168" s="4" t="n"/>
      <c r="BC1168" s="4" t="n"/>
      <c r="BD1168" s="4" t="n"/>
      <c r="BE1168" s="4" t="n"/>
      <c r="BF1168" s="4" t="n"/>
      <c r="BG1168" s="4" t="n"/>
      <c r="BH1168" s="4" t="n"/>
      <c r="BI1168" s="4" t="n"/>
      <c r="BJ1168" s="4" t="n"/>
      <c r="BK1168" s="4" t="n"/>
      <c r="BL1168" s="4" t="n"/>
      <c r="BM1168" s="4" t="n"/>
      <c r="BN1168" s="4" t="n"/>
      <c r="BO1168" s="4" t="n"/>
      <c r="BP1168" s="4" t="n"/>
      <c r="BQ1168" s="4" t="n"/>
      <c r="BR1168" s="4" t="n"/>
      <c r="BS1168" s="4" t="n"/>
      <c r="BT1168" s="4" t="n"/>
      <c r="BU1168" s="4" t="n"/>
      <c r="BV1168" s="4" t="n"/>
      <c r="BW1168" s="4" t="n"/>
      <c r="BX1168" s="4" t="n"/>
      <c r="BY1168" s="4" t="n"/>
      <c r="BZ1168" s="4" t="n"/>
      <c r="CA1168" s="4" t="n"/>
      <c r="CB1168" s="4" t="n"/>
      <c r="CC1168" s="4" t="n"/>
      <c r="CD1168" s="4" t="n"/>
      <c r="CE1168" s="4" t="n"/>
      <c r="CF1168" s="4" t="n"/>
      <c r="CG1168" s="4" t="n"/>
      <c r="CH1168" s="4" t="n"/>
      <c r="CI1168" s="4" t="n"/>
      <c r="CJ1168" s="4" t="n"/>
      <c r="CK1168" s="4" t="n"/>
      <c r="CL1168" s="4" t="n"/>
      <c r="CM1168" s="4" t="n"/>
      <c r="CN1168" s="4" t="n"/>
      <c r="CO1168" s="4" t="n"/>
      <c r="CP1168" s="4" t="n"/>
      <c r="CQ1168" s="4" t="n"/>
      <c r="CR1168" s="4" t="n"/>
      <c r="CS1168" s="4" t="n"/>
      <c r="CT1168" s="4" t="n"/>
      <c r="CU1168" s="4" t="n"/>
      <c r="CV1168" s="4" t="n"/>
      <c r="CW1168" s="4" t="n"/>
      <c r="CX1168" s="4" t="n"/>
      <c r="CY1168" s="4" t="n"/>
      <c r="CZ1168" s="4" t="n"/>
      <c r="DA1168" s="4" t="n"/>
      <c r="DB1168" s="4" t="n"/>
      <c r="DC1168" s="4" t="n"/>
      <c r="DD1168" s="4" t="n"/>
      <c r="DE1168" s="4" t="n"/>
      <c r="DF1168" s="4" t="n"/>
      <c r="DG1168" s="4" t="n"/>
      <c r="DH1168" s="4" t="n"/>
      <c r="DI1168" s="4" t="n"/>
      <c r="DJ1168" s="4" t="n"/>
      <c r="DK1168" s="4" t="n"/>
      <c r="DL1168" s="4" t="n"/>
      <c r="DM1168" s="4" t="n"/>
      <c r="DN1168" s="4" t="n"/>
      <c r="DO1168" s="4" t="n"/>
      <c r="DP1168" s="4" t="n"/>
      <c r="DQ1168" s="4" t="n"/>
      <c r="DR1168" s="4" t="n"/>
      <c r="DS1168" s="4" t="n"/>
      <c r="DT1168" s="4" t="n"/>
      <c r="DU1168" s="4" t="n"/>
      <c r="DV1168" s="4" t="n"/>
      <c r="DW1168" s="4" t="n"/>
      <c r="DX1168" s="4" t="n"/>
      <c r="DY1168" s="4" t="n"/>
      <c r="DZ1168" s="4" t="n"/>
      <c r="EA1168" s="4" t="n"/>
      <c r="EB1168" s="4" t="n"/>
      <c r="EC1168" s="4" t="n"/>
      <c r="ED1168" s="4" t="n"/>
      <c r="EE1168" s="4" t="n"/>
      <c r="EF1168" s="4" t="n"/>
      <c r="EG1168" s="4" t="n"/>
      <c r="EH1168" s="4" t="n"/>
      <c r="EI1168" s="4" t="n"/>
      <c r="EJ1168" s="4" t="n"/>
      <c r="EK1168" s="4" t="n"/>
      <c r="EL1168" s="4" t="n"/>
      <c r="EM1168" s="4" t="n"/>
    </row>
    <row r="1169" hidden="1" customFormat="1" s="6">
      <c r="C1169" s="4" t="n"/>
      <c r="D1169" s="4" t="n"/>
      <c r="E1169" s="4" t="n"/>
      <c r="F1169" s="4" t="n"/>
      <c r="G1169" s="4" t="n"/>
      <c r="H1169" s="4" t="n"/>
      <c r="I1169" s="4" t="n"/>
      <c r="J1169" s="4" t="n"/>
      <c r="K1169" s="4" t="n"/>
      <c r="L1169" s="4" t="n"/>
      <c r="M1169" s="4" t="n"/>
      <c r="N1169" s="4" t="n"/>
      <c r="O1169" s="4" t="n"/>
      <c r="P1169" s="4" t="n"/>
      <c r="Q1169" s="4" t="n"/>
      <c r="R1169" s="4" t="n"/>
      <c r="S1169" s="4" t="n"/>
      <c r="T1169" s="4" t="n"/>
      <c r="U1169" s="4" t="n"/>
      <c r="V1169" s="4" t="n"/>
      <c r="W1169" s="4" t="n"/>
      <c r="X1169" s="4" t="n"/>
      <c r="Y1169" s="4" t="n"/>
      <c r="Z1169" s="4" t="n"/>
      <c r="AA1169" s="4" t="n"/>
      <c r="AB1169" s="4" t="n"/>
      <c r="AC1169" s="4" t="n"/>
      <c r="AD1169" s="4" t="n"/>
      <c r="AE1169" s="4" t="n"/>
      <c r="AF1169" s="4" t="n"/>
      <c r="AG1169" s="4" t="n"/>
      <c r="AH1169" s="4" t="n"/>
      <c r="AI1169" s="4" t="n"/>
      <c r="AJ1169" s="4" t="n"/>
      <c r="AK1169" s="4" t="n"/>
      <c r="AL1169" s="4" t="n"/>
      <c r="AM1169" s="4" t="n"/>
      <c r="AN1169" s="4" t="n"/>
      <c r="AO1169" s="4" t="n"/>
      <c r="AP1169" s="4" t="n"/>
      <c r="AQ1169" s="4" t="n"/>
      <c r="AR1169" s="4" t="n"/>
      <c r="AS1169" s="4" t="n"/>
      <c r="AT1169" s="4" t="n"/>
      <c r="AU1169" s="4" t="n"/>
      <c r="AV1169" s="4" t="n"/>
      <c r="AW1169" s="4" t="n"/>
      <c r="AX1169" s="4" t="n"/>
      <c r="AY1169" s="4" t="n"/>
      <c r="AZ1169" s="4" t="n"/>
      <c r="BA1169" s="4" t="n"/>
      <c r="BB1169" s="4" t="n"/>
      <c r="BC1169" s="4" t="n"/>
      <c r="BD1169" s="4" t="n"/>
      <c r="BE1169" s="4" t="n"/>
      <c r="BF1169" s="4" t="n"/>
      <c r="BG1169" s="4" t="n"/>
      <c r="BH1169" s="4" t="n"/>
      <c r="BI1169" s="4" t="n"/>
      <c r="BJ1169" s="4" t="n"/>
      <c r="BK1169" s="4" t="n"/>
      <c r="BL1169" s="4" t="n"/>
      <c r="BM1169" s="4" t="n"/>
      <c r="BN1169" s="4" t="n"/>
      <c r="BO1169" s="4" t="n"/>
      <c r="BP1169" s="4" t="n"/>
      <c r="BQ1169" s="4" t="n"/>
      <c r="BR1169" s="4" t="n"/>
      <c r="BS1169" s="4" t="n"/>
      <c r="BT1169" s="4" t="n"/>
      <c r="BU1169" s="4" t="n"/>
      <c r="BV1169" s="4" t="n"/>
      <c r="BW1169" s="4" t="n"/>
      <c r="BX1169" s="4" t="n"/>
      <c r="BY1169" s="4" t="n"/>
      <c r="BZ1169" s="4" t="n"/>
      <c r="CA1169" s="4" t="n"/>
      <c r="CB1169" s="4" t="n"/>
      <c r="CC1169" s="4" t="n"/>
      <c r="CD1169" s="4" t="n"/>
      <c r="CE1169" s="4" t="n"/>
      <c r="CF1169" s="4" t="n"/>
      <c r="CG1169" s="4" t="n"/>
      <c r="CH1169" s="4" t="n"/>
      <c r="CI1169" s="4" t="n"/>
      <c r="CJ1169" s="4" t="n"/>
      <c r="CK1169" s="4" t="n"/>
      <c r="CL1169" s="4" t="n"/>
      <c r="CM1169" s="4" t="n"/>
      <c r="CN1169" s="4" t="n"/>
      <c r="CO1169" s="4" t="n"/>
      <c r="CP1169" s="4" t="n"/>
      <c r="CQ1169" s="4" t="n"/>
      <c r="CR1169" s="4" t="n"/>
      <c r="CS1169" s="4" t="n"/>
      <c r="CT1169" s="4" t="n"/>
      <c r="CU1169" s="4" t="n"/>
      <c r="CV1169" s="4" t="n"/>
      <c r="CW1169" s="4" t="n"/>
      <c r="CX1169" s="4" t="n"/>
      <c r="CY1169" s="4" t="n"/>
      <c r="CZ1169" s="4" t="n"/>
      <c r="DA1169" s="4" t="n"/>
      <c r="DB1169" s="4" t="n"/>
      <c r="DC1169" s="4" t="n"/>
      <c r="DD1169" s="4" t="n"/>
      <c r="DE1169" s="4" t="n"/>
      <c r="DF1169" s="4" t="n"/>
      <c r="DG1169" s="4" t="n"/>
      <c r="DH1169" s="4" t="n"/>
      <c r="DI1169" s="4" t="n"/>
      <c r="DJ1169" s="4" t="n"/>
      <c r="DK1169" s="4" t="n"/>
      <c r="DL1169" s="4" t="n"/>
      <c r="DM1169" s="4" t="n"/>
      <c r="DN1169" s="4" t="n"/>
      <c r="DO1169" s="4" t="n"/>
      <c r="DP1169" s="4" t="n"/>
      <c r="DQ1169" s="4" t="n"/>
      <c r="DR1169" s="4" t="n"/>
      <c r="DS1169" s="4" t="n"/>
      <c r="DT1169" s="4" t="n"/>
      <c r="DU1169" s="4" t="n"/>
      <c r="DV1169" s="4" t="n"/>
      <c r="DW1169" s="4" t="n"/>
      <c r="DX1169" s="4" t="n"/>
      <c r="DY1169" s="4" t="n"/>
      <c r="DZ1169" s="4" t="n"/>
      <c r="EA1169" s="4" t="n"/>
      <c r="EB1169" s="4" t="n"/>
      <c r="EC1169" s="4" t="n"/>
      <c r="ED1169" s="4" t="n"/>
      <c r="EE1169" s="4" t="n"/>
      <c r="EF1169" s="4" t="n"/>
      <c r="EG1169" s="4" t="n"/>
      <c r="EH1169" s="4" t="n"/>
      <c r="EI1169" s="4" t="n"/>
      <c r="EJ1169" s="4" t="n"/>
      <c r="EK1169" s="4" t="n"/>
      <c r="EL1169" s="4" t="n"/>
      <c r="EM1169" s="4" t="n"/>
    </row>
    <row r="1170" hidden="1" customFormat="1" s="6">
      <c r="C1170" s="4" t="n"/>
      <c r="D1170" s="4" t="n"/>
      <c r="E1170" s="4" t="n"/>
      <c r="F1170" s="4" t="n"/>
      <c r="G1170" s="4" t="n"/>
      <c r="H1170" s="4" t="n"/>
      <c r="I1170" s="4" t="n"/>
      <c r="J1170" s="4" t="n"/>
      <c r="K1170" s="4" t="n"/>
      <c r="L1170" s="4" t="n"/>
      <c r="M1170" s="4" t="n"/>
      <c r="N1170" s="4" t="n"/>
      <c r="O1170" s="4" t="n"/>
      <c r="P1170" s="4" t="n"/>
      <c r="Q1170" s="4" t="n"/>
      <c r="R1170" s="4" t="n"/>
      <c r="S1170" s="4" t="n"/>
      <c r="T1170" s="4" t="n"/>
      <c r="U1170" s="4" t="n"/>
      <c r="V1170" s="4" t="n"/>
      <c r="W1170" s="4" t="n"/>
      <c r="X1170" s="4" t="n"/>
      <c r="Y1170" s="4" t="n"/>
      <c r="Z1170" s="4" t="n"/>
      <c r="AA1170" s="4" t="n"/>
      <c r="AB1170" s="4" t="n"/>
      <c r="AC1170" s="4" t="n"/>
      <c r="AD1170" s="4" t="n"/>
      <c r="AE1170" s="4" t="n"/>
      <c r="AF1170" s="4" t="n"/>
      <c r="AG1170" s="4" t="n"/>
      <c r="AH1170" s="4" t="n"/>
      <c r="AI1170" s="4" t="n"/>
      <c r="AJ1170" s="4" t="n"/>
      <c r="AK1170" s="4" t="n"/>
      <c r="AL1170" s="4" t="n"/>
      <c r="AM1170" s="4" t="n"/>
      <c r="AN1170" s="4" t="n"/>
      <c r="AO1170" s="4" t="n"/>
      <c r="AP1170" s="4" t="n"/>
      <c r="AQ1170" s="4" t="n"/>
      <c r="AR1170" s="4" t="n"/>
      <c r="AS1170" s="4" t="n"/>
      <c r="AT1170" s="4" t="n"/>
      <c r="AU1170" s="4" t="n"/>
      <c r="AV1170" s="4" t="n"/>
      <c r="AW1170" s="4" t="n"/>
      <c r="AX1170" s="4" t="n"/>
      <c r="AY1170" s="4" t="n"/>
      <c r="AZ1170" s="4" t="n"/>
      <c r="BA1170" s="4" t="n"/>
      <c r="BB1170" s="4" t="n"/>
      <c r="BC1170" s="4" t="n"/>
      <c r="BD1170" s="4" t="n"/>
      <c r="BE1170" s="4" t="n"/>
      <c r="BF1170" s="4" t="n"/>
      <c r="BG1170" s="4" t="n"/>
      <c r="BH1170" s="4" t="n"/>
      <c r="BI1170" s="4" t="n"/>
      <c r="BJ1170" s="4" t="n"/>
      <c r="BK1170" s="4" t="n"/>
      <c r="BL1170" s="4" t="n"/>
      <c r="BM1170" s="4" t="n"/>
      <c r="BN1170" s="4" t="n"/>
      <c r="BO1170" s="4" t="n"/>
      <c r="BP1170" s="4" t="n"/>
      <c r="BQ1170" s="4" t="n"/>
      <c r="BR1170" s="4" t="n"/>
      <c r="BS1170" s="4" t="n"/>
      <c r="BT1170" s="4" t="n"/>
      <c r="BU1170" s="4" t="n"/>
      <c r="BV1170" s="4" t="n"/>
      <c r="BW1170" s="4" t="n"/>
      <c r="BX1170" s="4" t="n"/>
      <c r="BY1170" s="4" t="n"/>
      <c r="BZ1170" s="4" t="n"/>
      <c r="CA1170" s="4" t="n"/>
      <c r="CB1170" s="4" t="n"/>
      <c r="CC1170" s="4" t="n"/>
      <c r="CD1170" s="4" t="n"/>
      <c r="CE1170" s="4" t="n"/>
      <c r="CF1170" s="4" t="n"/>
      <c r="CG1170" s="4" t="n"/>
      <c r="CH1170" s="4" t="n"/>
      <c r="CI1170" s="4" t="n"/>
      <c r="CJ1170" s="4" t="n"/>
      <c r="CK1170" s="4" t="n"/>
      <c r="CL1170" s="4" t="n"/>
      <c r="CM1170" s="4" t="n"/>
      <c r="CN1170" s="4" t="n"/>
      <c r="CO1170" s="4" t="n"/>
      <c r="CP1170" s="4" t="n"/>
      <c r="CQ1170" s="4" t="n"/>
      <c r="CR1170" s="4" t="n"/>
      <c r="CS1170" s="4" t="n"/>
      <c r="CT1170" s="4" t="n"/>
      <c r="CU1170" s="4" t="n"/>
      <c r="CV1170" s="4" t="n"/>
      <c r="CW1170" s="4" t="n"/>
      <c r="CX1170" s="4" t="n"/>
      <c r="CY1170" s="4" t="n"/>
      <c r="CZ1170" s="4" t="n"/>
      <c r="DA1170" s="4" t="n"/>
      <c r="DB1170" s="4" t="n"/>
      <c r="DC1170" s="4" t="n"/>
      <c r="DD1170" s="4" t="n"/>
      <c r="DE1170" s="4" t="n"/>
      <c r="DF1170" s="4" t="n"/>
      <c r="DG1170" s="4" t="n"/>
      <c r="DH1170" s="4" t="n"/>
      <c r="DI1170" s="4" t="n"/>
      <c r="DJ1170" s="4" t="n"/>
      <c r="DK1170" s="4" t="n"/>
      <c r="DL1170" s="4" t="n"/>
      <c r="DM1170" s="4" t="n"/>
      <c r="DN1170" s="4" t="n"/>
      <c r="DO1170" s="4" t="n"/>
      <c r="DP1170" s="4" t="n"/>
      <c r="DQ1170" s="4" t="n"/>
      <c r="DR1170" s="4" t="n"/>
      <c r="DS1170" s="4" t="n"/>
      <c r="DT1170" s="4" t="n"/>
      <c r="DU1170" s="4" t="n"/>
      <c r="DV1170" s="4" t="n"/>
      <c r="DW1170" s="4" t="n"/>
      <c r="DX1170" s="4" t="n"/>
      <c r="DY1170" s="4" t="n"/>
      <c r="DZ1170" s="4" t="n"/>
      <c r="EA1170" s="4" t="n"/>
      <c r="EB1170" s="4" t="n"/>
      <c r="EC1170" s="4" t="n"/>
      <c r="ED1170" s="4" t="n"/>
      <c r="EE1170" s="4" t="n"/>
      <c r="EF1170" s="4" t="n"/>
      <c r="EG1170" s="4" t="n"/>
      <c r="EH1170" s="4" t="n"/>
      <c r="EI1170" s="4" t="n"/>
      <c r="EJ1170" s="4" t="n"/>
      <c r="EK1170" s="4" t="n"/>
      <c r="EL1170" s="4" t="n"/>
      <c r="EM1170" s="4" t="n"/>
    </row>
    <row r="1171" hidden="1" customFormat="1" s="6">
      <c r="C1171" s="4" t="n"/>
      <c r="D1171" s="4" t="n"/>
      <c r="E1171" s="4" t="n"/>
      <c r="F1171" s="4" t="n"/>
      <c r="G1171" s="4" t="n"/>
      <c r="H1171" s="4" t="n"/>
      <c r="I1171" s="4" t="n"/>
      <c r="J1171" s="4" t="n"/>
      <c r="K1171" s="4" t="n"/>
      <c r="L1171" s="4" t="n"/>
      <c r="M1171" s="4" t="n"/>
      <c r="N1171" s="4" t="n"/>
      <c r="O1171" s="4" t="n"/>
      <c r="P1171" s="4" t="n"/>
      <c r="Q1171" s="4" t="n"/>
      <c r="R1171" s="4" t="n"/>
      <c r="S1171" s="4" t="n"/>
      <c r="T1171" s="4" t="n"/>
      <c r="U1171" s="4" t="n"/>
      <c r="V1171" s="4" t="n"/>
      <c r="W1171" s="4" t="n"/>
      <c r="X1171" s="4" t="n"/>
      <c r="Y1171" s="4" t="n"/>
      <c r="Z1171" s="4" t="n"/>
      <c r="AA1171" s="4" t="n"/>
      <c r="AB1171" s="4" t="n"/>
      <c r="AC1171" s="4" t="n"/>
      <c r="AD1171" s="4" t="n"/>
      <c r="AE1171" s="4" t="n"/>
      <c r="AF1171" s="4" t="n"/>
      <c r="AG1171" s="4" t="n"/>
      <c r="AH1171" s="4" t="n"/>
      <c r="AI1171" s="4" t="n"/>
      <c r="AJ1171" s="4" t="n"/>
      <c r="AK1171" s="4" t="n"/>
      <c r="AL1171" s="4" t="n"/>
      <c r="AM1171" s="4" t="n"/>
      <c r="AN1171" s="4" t="n"/>
      <c r="AO1171" s="4" t="n"/>
      <c r="AP1171" s="4" t="n"/>
      <c r="AQ1171" s="4" t="n"/>
      <c r="AR1171" s="4" t="n"/>
      <c r="AS1171" s="4" t="n"/>
      <c r="AT1171" s="4" t="n"/>
      <c r="AU1171" s="4" t="n"/>
      <c r="AV1171" s="4" t="n"/>
      <c r="AW1171" s="4" t="n"/>
      <c r="AX1171" s="4" t="n"/>
      <c r="AY1171" s="4" t="n"/>
      <c r="AZ1171" s="4" t="n"/>
      <c r="BA1171" s="4" t="n"/>
      <c r="BB1171" s="4" t="n"/>
      <c r="BC1171" s="4" t="n"/>
      <c r="BD1171" s="4" t="n"/>
      <c r="BE1171" s="4" t="n"/>
      <c r="BF1171" s="4" t="n"/>
      <c r="BG1171" s="4" t="n"/>
      <c r="BH1171" s="4" t="n"/>
      <c r="BI1171" s="4" t="n"/>
      <c r="BJ1171" s="4" t="n"/>
      <c r="BK1171" s="4" t="n"/>
      <c r="BL1171" s="4" t="n"/>
      <c r="BM1171" s="4" t="n"/>
      <c r="BN1171" s="4" t="n"/>
      <c r="BO1171" s="4" t="n"/>
      <c r="BP1171" s="4" t="n"/>
      <c r="BQ1171" s="4" t="n"/>
      <c r="BR1171" s="4" t="n"/>
      <c r="BS1171" s="4" t="n"/>
      <c r="BT1171" s="4" t="n"/>
      <c r="BU1171" s="4" t="n"/>
      <c r="BV1171" s="4" t="n"/>
      <c r="BW1171" s="4" t="n"/>
      <c r="BX1171" s="4" t="n"/>
      <c r="BY1171" s="4" t="n"/>
      <c r="BZ1171" s="4" t="n"/>
      <c r="CA1171" s="4" t="n"/>
      <c r="CB1171" s="4" t="n"/>
      <c r="CC1171" s="4" t="n"/>
      <c r="CD1171" s="4" t="n"/>
      <c r="CE1171" s="4" t="n"/>
      <c r="CF1171" s="4" t="n"/>
      <c r="CG1171" s="4" t="n"/>
      <c r="CH1171" s="4" t="n"/>
      <c r="CI1171" s="4" t="n"/>
      <c r="CJ1171" s="4" t="n"/>
      <c r="CK1171" s="4" t="n"/>
      <c r="CL1171" s="4" t="n"/>
      <c r="CM1171" s="4" t="n"/>
      <c r="CN1171" s="4" t="n"/>
      <c r="CO1171" s="4" t="n"/>
      <c r="CP1171" s="4" t="n"/>
      <c r="CQ1171" s="4" t="n"/>
      <c r="CR1171" s="4" t="n"/>
      <c r="CS1171" s="4" t="n"/>
      <c r="CT1171" s="4" t="n"/>
      <c r="CU1171" s="4" t="n"/>
      <c r="CV1171" s="4" t="n"/>
      <c r="CW1171" s="4" t="n"/>
      <c r="CX1171" s="4" t="n"/>
      <c r="CY1171" s="4" t="n"/>
      <c r="CZ1171" s="4" t="n"/>
      <c r="DA1171" s="4" t="n"/>
      <c r="DB1171" s="4" t="n"/>
      <c r="DC1171" s="4" t="n"/>
      <c r="DD1171" s="4" t="n"/>
      <c r="DE1171" s="4" t="n"/>
      <c r="DF1171" s="4" t="n"/>
      <c r="DG1171" s="4" t="n"/>
      <c r="DH1171" s="4" t="n"/>
      <c r="DI1171" s="4" t="n"/>
      <c r="DJ1171" s="4" t="n"/>
      <c r="DK1171" s="4" t="n"/>
      <c r="DL1171" s="4" t="n"/>
      <c r="DM1171" s="4" t="n"/>
      <c r="DN1171" s="4" t="n"/>
      <c r="DO1171" s="4" t="n"/>
      <c r="DP1171" s="4" t="n"/>
      <c r="DQ1171" s="4" t="n"/>
      <c r="DR1171" s="4" t="n"/>
      <c r="DS1171" s="4" t="n"/>
      <c r="DT1171" s="4" t="n"/>
      <c r="DU1171" s="4" t="n"/>
      <c r="DV1171" s="4" t="n"/>
      <c r="DW1171" s="4" t="n"/>
      <c r="DX1171" s="4" t="n"/>
      <c r="DY1171" s="4" t="n"/>
      <c r="DZ1171" s="4" t="n"/>
      <c r="EA1171" s="4" t="n"/>
      <c r="EB1171" s="4" t="n"/>
      <c r="EC1171" s="4" t="n"/>
      <c r="ED1171" s="4" t="n"/>
      <c r="EE1171" s="4" t="n"/>
      <c r="EF1171" s="4" t="n"/>
      <c r="EG1171" s="4" t="n"/>
      <c r="EH1171" s="4" t="n"/>
      <c r="EI1171" s="4" t="n"/>
      <c r="EJ1171" s="4" t="n"/>
      <c r="EK1171" s="4" t="n"/>
      <c r="EL1171" s="4" t="n"/>
      <c r="EM1171" s="4" t="n"/>
    </row>
    <row r="1172" hidden="1" customFormat="1" s="6">
      <c r="C1172" s="4" t="n"/>
      <c r="D1172" s="4" t="n"/>
      <c r="E1172" s="4" t="n"/>
      <c r="F1172" s="4" t="n"/>
      <c r="G1172" s="4" t="n"/>
      <c r="H1172" s="4" t="n"/>
      <c r="I1172" s="4" t="n"/>
      <c r="J1172" s="4" t="n"/>
      <c r="K1172" s="4" t="n"/>
      <c r="L1172" s="4" t="n"/>
      <c r="M1172" s="4" t="n"/>
      <c r="N1172" s="4" t="n"/>
      <c r="O1172" s="4" t="n"/>
      <c r="P1172" s="4" t="n"/>
      <c r="Q1172" s="4" t="n"/>
      <c r="R1172" s="4" t="n"/>
      <c r="S1172" s="4" t="n"/>
      <c r="T1172" s="4" t="n"/>
      <c r="U1172" s="4" t="n"/>
      <c r="V1172" s="4" t="n"/>
      <c r="W1172" s="4" t="n"/>
      <c r="X1172" s="4" t="n"/>
      <c r="Y1172" s="4" t="n"/>
      <c r="Z1172" s="4" t="n"/>
      <c r="AA1172" s="4" t="n"/>
      <c r="AB1172" s="4" t="n"/>
      <c r="AC1172" s="4" t="n"/>
      <c r="AD1172" s="4" t="n"/>
      <c r="AE1172" s="4" t="n"/>
      <c r="AF1172" s="4" t="n"/>
      <c r="AG1172" s="4" t="n"/>
      <c r="AH1172" s="4" t="n"/>
      <c r="AI1172" s="4" t="n"/>
      <c r="AJ1172" s="4" t="n"/>
      <c r="AK1172" s="4" t="n"/>
      <c r="AL1172" s="4" t="n"/>
      <c r="AM1172" s="4" t="n"/>
      <c r="AN1172" s="4" t="n"/>
      <c r="AO1172" s="4" t="n"/>
      <c r="AP1172" s="4" t="n"/>
      <c r="AQ1172" s="4" t="n"/>
      <c r="AR1172" s="4" t="n"/>
      <c r="AS1172" s="4" t="n"/>
      <c r="AT1172" s="4" t="n"/>
      <c r="AU1172" s="4" t="n"/>
      <c r="AV1172" s="4" t="n"/>
      <c r="AW1172" s="4" t="n"/>
      <c r="AX1172" s="4" t="n"/>
      <c r="AY1172" s="4" t="n"/>
      <c r="AZ1172" s="4" t="n"/>
      <c r="BA1172" s="4" t="n"/>
      <c r="BB1172" s="4" t="n"/>
      <c r="BC1172" s="4" t="n"/>
      <c r="BD1172" s="4" t="n"/>
      <c r="BE1172" s="4" t="n"/>
      <c r="BF1172" s="4" t="n"/>
      <c r="BG1172" s="4" t="n"/>
      <c r="BH1172" s="4" t="n"/>
      <c r="BI1172" s="4" t="n"/>
      <c r="BJ1172" s="4" t="n"/>
      <c r="BK1172" s="4" t="n"/>
      <c r="BL1172" s="4" t="n"/>
      <c r="BM1172" s="4" t="n"/>
      <c r="BN1172" s="4" t="n"/>
      <c r="BO1172" s="4" t="n"/>
      <c r="BP1172" s="4" t="n"/>
      <c r="BQ1172" s="4" t="n"/>
      <c r="BR1172" s="4" t="n"/>
      <c r="BS1172" s="4" t="n"/>
      <c r="BT1172" s="4" t="n"/>
      <c r="BU1172" s="4" t="n"/>
      <c r="BV1172" s="4" t="n"/>
      <c r="BW1172" s="4" t="n"/>
      <c r="BX1172" s="4" t="n"/>
      <c r="BY1172" s="4" t="n"/>
      <c r="BZ1172" s="4" t="n"/>
      <c r="CA1172" s="4" t="n"/>
      <c r="CB1172" s="4" t="n"/>
      <c r="CC1172" s="4" t="n"/>
      <c r="CD1172" s="4" t="n"/>
      <c r="CE1172" s="4" t="n"/>
      <c r="CF1172" s="4" t="n"/>
      <c r="CG1172" s="4" t="n"/>
      <c r="CH1172" s="4" t="n"/>
      <c r="CI1172" s="4" t="n"/>
      <c r="CJ1172" s="4" t="n"/>
      <c r="CK1172" s="4" t="n"/>
      <c r="CL1172" s="4" t="n"/>
      <c r="CM1172" s="4" t="n"/>
      <c r="CN1172" s="4" t="n"/>
      <c r="CO1172" s="4" t="n"/>
      <c r="CP1172" s="4" t="n"/>
      <c r="CQ1172" s="4" t="n"/>
      <c r="CR1172" s="4" t="n"/>
      <c r="CS1172" s="4" t="n"/>
      <c r="CT1172" s="4" t="n"/>
      <c r="CU1172" s="4" t="n"/>
      <c r="CV1172" s="4" t="n"/>
      <c r="CW1172" s="4" t="n"/>
      <c r="CX1172" s="4" t="n"/>
      <c r="CY1172" s="4" t="n"/>
      <c r="CZ1172" s="4" t="n"/>
      <c r="DA1172" s="4" t="n"/>
      <c r="DB1172" s="4" t="n"/>
      <c r="DC1172" s="4" t="n"/>
      <c r="DD1172" s="4" t="n"/>
      <c r="DE1172" s="4" t="n"/>
      <c r="DF1172" s="4" t="n"/>
      <c r="DG1172" s="4" t="n"/>
      <c r="DH1172" s="4" t="n"/>
      <c r="DI1172" s="4" t="n"/>
      <c r="DJ1172" s="4" t="n"/>
      <c r="DK1172" s="4" t="n"/>
      <c r="DL1172" s="4" t="n"/>
      <c r="DM1172" s="4" t="n"/>
      <c r="DN1172" s="4" t="n"/>
      <c r="DO1172" s="4" t="n"/>
      <c r="DP1172" s="4" t="n"/>
      <c r="DQ1172" s="4" t="n"/>
      <c r="DR1172" s="4" t="n"/>
      <c r="DS1172" s="4" t="n"/>
      <c r="DT1172" s="4" t="n"/>
      <c r="DU1172" s="4" t="n"/>
      <c r="DV1172" s="4" t="n"/>
      <c r="DW1172" s="4" t="n"/>
      <c r="DX1172" s="4" t="n"/>
      <c r="DY1172" s="4" t="n"/>
      <c r="DZ1172" s="4" t="n"/>
      <c r="EA1172" s="4" t="n"/>
      <c r="EB1172" s="4" t="n"/>
      <c r="EC1172" s="4" t="n"/>
      <c r="ED1172" s="4" t="n"/>
      <c r="EE1172" s="4" t="n"/>
      <c r="EF1172" s="4" t="n"/>
      <c r="EG1172" s="4" t="n"/>
      <c r="EH1172" s="4" t="n"/>
      <c r="EI1172" s="4" t="n"/>
      <c r="EJ1172" s="4" t="n"/>
      <c r="EK1172" s="4" t="n"/>
      <c r="EL1172" s="4" t="n"/>
      <c r="EM1172" s="4" t="n"/>
    </row>
    <row r="1173" hidden="1" customFormat="1" s="6">
      <c r="C1173" s="4" t="n"/>
      <c r="D1173" s="4" t="n"/>
      <c r="E1173" s="4" t="n"/>
      <c r="F1173" s="4" t="n"/>
      <c r="G1173" s="4" t="n"/>
      <c r="H1173" s="4" t="n"/>
      <c r="I1173" s="4" t="n"/>
      <c r="J1173" s="4" t="n"/>
      <c r="K1173" s="4" t="n"/>
      <c r="L1173" s="4" t="n"/>
      <c r="M1173" s="4" t="n"/>
      <c r="N1173" s="4" t="n"/>
      <c r="O1173" s="4" t="n"/>
      <c r="P1173" s="4" t="n"/>
      <c r="Q1173" s="4" t="n"/>
      <c r="R1173" s="4" t="n"/>
      <c r="S1173" s="4" t="n"/>
      <c r="T1173" s="4" t="n"/>
      <c r="U1173" s="4" t="n"/>
      <c r="V1173" s="4" t="n"/>
      <c r="W1173" s="4" t="n"/>
      <c r="X1173" s="4" t="n"/>
      <c r="Y1173" s="4" t="n"/>
      <c r="Z1173" s="4" t="n"/>
      <c r="AA1173" s="4" t="n"/>
      <c r="AB1173" s="4" t="n"/>
      <c r="AC1173" s="4" t="n"/>
      <c r="AD1173" s="4" t="n"/>
      <c r="AE1173" s="4" t="n"/>
      <c r="AF1173" s="4" t="n"/>
      <c r="AG1173" s="4" t="n"/>
      <c r="AH1173" s="4" t="n"/>
      <c r="AI1173" s="4" t="n"/>
      <c r="AJ1173" s="4" t="n"/>
      <c r="AK1173" s="4" t="n"/>
      <c r="AL1173" s="4" t="n"/>
      <c r="AM1173" s="4" t="n"/>
      <c r="AN1173" s="4" t="n"/>
      <c r="AO1173" s="4" t="n"/>
      <c r="AP1173" s="4" t="n"/>
      <c r="AQ1173" s="4" t="n"/>
      <c r="AR1173" s="4" t="n"/>
      <c r="AS1173" s="4" t="n"/>
      <c r="AT1173" s="4" t="n"/>
      <c r="AU1173" s="4" t="n"/>
      <c r="AV1173" s="4" t="n"/>
      <c r="AW1173" s="4" t="n"/>
      <c r="AX1173" s="4" t="n"/>
      <c r="AY1173" s="4" t="n"/>
      <c r="AZ1173" s="4" t="n"/>
      <c r="BA1173" s="4" t="n"/>
      <c r="BB1173" s="4" t="n"/>
      <c r="BC1173" s="4" t="n"/>
      <c r="BD1173" s="4" t="n"/>
      <c r="BE1173" s="4" t="n"/>
      <c r="BF1173" s="4" t="n"/>
      <c r="BG1173" s="4" t="n"/>
      <c r="BH1173" s="4" t="n"/>
      <c r="BI1173" s="4" t="n"/>
      <c r="BJ1173" s="4" t="n"/>
      <c r="BK1173" s="4" t="n"/>
      <c r="BL1173" s="4" t="n"/>
      <c r="BM1173" s="4" t="n"/>
      <c r="BN1173" s="4" t="n"/>
      <c r="BO1173" s="4" t="n"/>
      <c r="BP1173" s="4" t="n"/>
      <c r="BQ1173" s="4" t="n"/>
      <c r="BR1173" s="4" t="n"/>
      <c r="BS1173" s="4" t="n"/>
      <c r="BT1173" s="4" t="n"/>
      <c r="BU1173" s="4" t="n"/>
      <c r="BV1173" s="4" t="n"/>
      <c r="BW1173" s="4" t="n"/>
      <c r="BX1173" s="4" t="n"/>
      <c r="BY1173" s="4" t="n"/>
      <c r="BZ1173" s="4" t="n"/>
      <c r="CA1173" s="4" t="n"/>
      <c r="CB1173" s="4" t="n"/>
      <c r="CC1173" s="4" t="n"/>
      <c r="CD1173" s="4" t="n"/>
      <c r="CE1173" s="4" t="n"/>
      <c r="CF1173" s="4" t="n"/>
      <c r="CG1173" s="4" t="n"/>
      <c r="CH1173" s="4" t="n"/>
      <c r="CI1173" s="4" t="n"/>
      <c r="CJ1173" s="4" t="n"/>
      <c r="CK1173" s="4" t="n"/>
      <c r="CL1173" s="4" t="n"/>
      <c r="CM1173" s="4" t="n"/>
      <c r="CN1173" s="4" t="n"/>
      <c r="CO1173" s="4" t="n"/>
      <c r="CP1173" s="4" t="n"/>
      <c r="CQ1173" s="4" t="n"/>
      <c r="CR1173" s="4" t="n"/>
      <c r="CS1173" s="4" t="n"/>
      <c r="CT1173" s="4" t="n"/>
      <c r="CU1173" s="4" t="n"/>
      <c r="CV1173" s="4" t="n"/>
      <c r="CW1173" s="4" t="n"/>
      <c r="CX1173" s="4" t="n"/>
      <c r="CY1173" s="4" t="n"/>
      <c r="CZ1173" s="4" t="n"/>
      <c r="DA1173" s="4" t="n"/>
      <c r="DB1173" s="4" t="n"/>
      <c r="DC1173" s="4" t="n"/>
      <c r="DD1173" s="4" t="n"/>
      <c r="DE1173" s="4" t="n"/>
      <c r="DF1173" s="4" t="n"/>
      <c r="DG1173" s="4" t="n"/>
      <c r="DH1173" s="4" t="n"/>
      <c r="DI1173" s="4" t="n"/>
      <c r="DJ1173" s="4" t="n"/>
      <c r="DK1173" s="4" t="n"/>
      <c r="DL1173" s="4" t="n"/>
      <c r="DM1173" s="4" t="n"/>
      <c r="DN1173" s="4" t="n"/>
      <c r="DO1173" s="4" t="n"/>
      <c r="DP1173" s="4" t="n"/>
      <c r="DQ1173" s="4" t="n"/>
      <c r="DR1173" s="4" t="n"/>
      <c r="DS1173" s="4" t="n"/>
      <c r="DT1173" s="4" t="n"/>
      <c r="DU1173" s="4" t="n"/>
      <c r="DV1173" s="4" t="n"/>
      <c r="DW1173" s="4" t="n"/>
      <c r="DX1173" s="4" t="n"/>
      <c r="DY1173" s="4" t="n"/>
      <c r="DZ1173" s="4" t="n"/>
      <c r="EA1173" s="4" t="n"/>
      <c r="EB1173" s="4" t="n"/>
      <c r="EC1173" s="4" t="n"/>
      <c r="ED1173" s="4" t="n"/>
      <c r="EE1173" s="4" t="n"/>
      <c r="EF1173" s="4" t="n"/>
      <c r="EG1173" s="4" t="n"/>
      <c r="EH1173" s="4" t="n"/>
      <c r="EI1173" s="4" t="n"/>
      <c r="EJ1173" s="4" t="n"/>
      <c r="EK1173" s="4" t="n"/>
      <c r="EL1173" s="4" t="n"/>
      <c r="EM1173" s="4" t="n"/>
    </row>
    <row r="1174" hidden="1" customFormat="1" s="6">
      <c r="C1174" s="4" t="n"/>
      <c r="D1174" s="4" t="n"/>
      <c r="E1174" s="4" t="n"/>
      <c r="F1174" s="4" t="n"/>
      <c r="G1174" s="4" t="n"/>
      <c r="H1174" s="4" t="n"/>
      <c r="I1174" s="4" t="n"/>
      <c r="J1174" s="4" t="n"/>
      <c r="K1174" s="4" t="n"/>
      <c r="L1174" s="4" t="n"/>
      <c r="M1174" s="4" t="n"/>
      <c r="N1174" s="4" t="n"/>
      <c r="O1174" s="4" t="n"/>
      <c r="P1174" s="4" t="n"/>
      <c r="Q1174" s="4" t="n"/>
      <c r="R1174" s="4" t="n"/>
      <c r="S1174" s="4" t="n"/>
      <c r="T1174" s="4" t="n"/>
      <c r="U1174" s="4" t="n"/>
      <c r="V1174" s="4" t="n"/>
      <c r="W1174" s="4" t="n"/>
      <c r="X1174" s="4" t="n"/>
      <c r="Y1174" s="4" t="n"/>
      <c r="Z1174" s="4" t="n"/>
      <c r="AA1174" s="4" t="n"/>
      <c r="AB1174" s="4" t="n"/>
      <c r="AC1174" s="4" t="n"/>
      <c r="AD1174" s="4" t="n"/>
      <c r="AE1174" s="4" t="n"/>
      <c r="AF1174" s="4" t="n"/>
      <c r="AG1174" s="4" t="n"/>
      <c r="AH1174" s="4" t="n"/>
      <c r="AI1174" s="4" t="n"/>
      <c r="AJ1174" s="4" t="n"/>
      <c r="AK1174" s="4" t="n"/>
      <c r="AL1174" s="4" t="n"/>
      <c r="AM1174" s="4" t="n"/>
      <c r="AN1174" s="4" t="n"/>
      <c r="AO1174" s="4" t="n"/>
      <c r="AP1174" s="4" t="n"/>
      <c r="AQ1174" s="4" t="n"/>
      <c r="AR1174" s="4" t="n"/>
      <c r="AS1174" s="4" t="n"/>
      <c r="AT1174" s="4" t="n"/>
      <c r="AU1174" s="4" t="n"/>
      <c r="AV1174" s="4" t="n"/>
      <c r="AW1174" s="4" t="n"/>
      <c r="AX1174" s="4" t="n"/>
      <c r="AY1174" s="4" t="n"/>
      <c r="AZ1174" s="4" t="n"/>
      <c r="BA1174" s="4" t="n"/>
      <c r="BB1174" s="4" t="n"/>
      <c r="BC1174" s="4" t="n"/>
      <c r="BD1174" s="4" t="n"/>
      <c r="BE1174" s="4" t="n"/>
      <c r="BF1174" s="4" t="n"/>
      <c r="BG1174" s="4" t="n"/>
      <c r="BH1174" s="4" t="n"/>
      <c r="BI1174" s="4" t="n"/>
      <c r="BJ1174" s="4" t="n"/>
      <c r="BK1174" s="4" t="n"/>
      <c r="BL1174" s="4" t="n"/>
      <c r="BM1174" s="4" t="n"/>
      <c r="BN1174" s="4" t="n"/>
      <c r="BO1174" s="4" t="n"/>
      <c r="BP1174" s="4" t="n"/>
      <c r="BQ1174" s="4" t="n"/>
      <c r="BR1174" s="4" t="n"/>
      <c r="BS1174" s="4" t="n"/>
      <c r="BT1174" s="4" t="n"/>
      <c r="BU1174" s="4" t="n"/>
      <c r="BV1174" s="4" t="n"/>
      <c r="BW1174" s="4" t="n"/>
      <c r="BX1174" s="4" t="n"/>
      <c r="BY1174" s="4" t="n"/>
      <c r="BZ1174" s="4" t="n"/>
      <c r="CA1174" s="4" t="n"/>
      <c r="CB1174" s="4" t="n"/>
      <c r="CC1174" s="4" t="n"/>
      <c r="CD1174" s="4" t="n"/>
      <c r="CE1174" s="4" t="n"/>
      <c r="CF1174" s="4" t="n"/>
      <c r="CG1174" s="4" t="n"/>
      <c r="CH1174" s="4" t="n"/>
      <c r="CI1174" s="4" t="n"/>
      <c r="CJ1174" s="4" t="n"/>
      <c r="CK1174" s="4" t="n"/>
      <c r="CL1174" s="4" t="n"/>
      <c r="CM1174" s="4" t="n"/>
      <c r="CN1174" s="4" t="n"/>
      <c r="CO1174" s="4" t="n"/>
      <c r="CP1174" s="4" t="n"/>
      <c r="CQ1174" s="4" t="n"/>
      <c r="CR1174" s="4" t="n"/>
      <c r="CS1174" s="4" t="n"/>
      <c r="CT1174" s="4" t="n"/>
      <c r="CU1174" s="4" t="n"/>
      <c r="CV1174" s="4" t="n"/>
      <c r="CW1174" s="4" t="n"/>
      <c r="CX1174" s="4" t="n"/>
      <c r="CY1174" s="4" t="n"/>
      <c r="CZ1174" s="4" t="n"/>
      <c r="DA1174" s="4" t="n"/>
      <c r="DB1174" s="4" t="n"/>
      <c r="DC1174" s="4" t="n"/>
      <c r="DD1174" s="4" t="n"/>
      <c r="DE1174" s="4" t="n"/>
      <c r="DF1174" s="4" t="n"/>
      <c r="DG1174" s="4" t="n"/>
      <c r="DH1174" s="4" t="n"/>
      <c r="DI1174" s="4" t="n"/>
      <c r="DJ1174" s="4" t="n"/>
      <c r="DK1174" s="4" t="n"/>
      <c r="DL1174" s="4" t="n"/>
      <c r="DM1174" s="4" t="n"/>
      <c r="DN1174" s="4" t="n"/>
      <c r="DO1174" s="4" t="n"/>
      <c r="DP1174" s="4" t="n"/>
      <c r="DQ1174" s="4" t="n"/>
      <c r="DR1174" s="4" t="n"/>
      <c r="DS1174" s="4" t="n"/>
      <c r="DT1174" s="4" t="n"/>
      <c r="DU1174" s="4" t="n"/>
      <c r="DV1174" s="4" t="n"/>
      <c r="DW1174" s="4" t="n"/>
      <c r="DX1174" s="4" t="n"/>
      <c r="DY1174" s="4" t="n"/>
      <c r="DZ1174" s="4" t="n"/>
      <c r="EA1174" s="4" t="n"/>
      <c r="EB1174" s="4" t="n"/>
      <c r="EC1174" s="4" t="n"/>
      <c r="ED1174" s="4" t="n"/>
      <c r="EE1174" s="4" t="n"/>
      <c r="EF1174" s="4" t="n"/>
      <c r="EG1174" s="4" t="n"/>
      <c r="EH1174" s="4" t="n"/>
      <c r="EI1174" s="4" t="n"/>
      <c r="EJ1174" s="4" t="n"/>
      <c r="EK1174" s="4" t="n"/>
      <c r="EL1174" s="4" t="n"/>
      <c r="EM1174" s="4" t="n"/>
    </row>
    <row r="1175" hidden="1" customFormat="1" s="6">
      <c r="C1175" s="4" t="n"/>
      <c r="D1175" s="4" t="n"/>
      <c r="E1175" s="4" t="n"/>
      <c r="F1175" s="4" t="n"/>
      <c r="G1175" s="4" t="n"/>
      <c r="H1175" s="4" t="n"/>
      <c r="I1175" s="4" t="n"/>
      <c r="J1175" s="4" t="n"/>
      <c r="K1175" s="4" t="n"/>
      <c r="L1175" s="4" t="n"/>
      <c r="M1175" s="4" t="n"/>
      <c r="N1175" s="4" t="n"/>
      <c r="O1175" s="4" t="n"/>
      <c r="P1175" s="4" t="n"/>
      <c r="Q1175" s="4" t="n"/>
      <c r="R1175" s="4" t="n"/>
      <c r="S1175" s="4" t="n"/>
      <c r="T1175" s="4" t="n"/>
      <c r="U1175" s="4" t="n"/>
      <c r="V1175" s="4" t="n"/>
      <c r="W1175" s="4" t="n"/>
      <c r="X1175" s="4" t="n"/>
      <c r="Y1175" s="4" t="n"/>
      <c r="Z1175" s="4" t="n"/>
      <c r="AA1175" s="4" t="n"/>
      <c r="AB1175" s="4" t="n"/>
      <c r="AC1175" s="4" t="n"/>
      <c r="AD1175" s="4" t="n"/>
      <c r="AE1175" s="4" t="n"/>
      <c r="AF1175" s="4" t="n"/>
      <c r="AG1175" s="4" t="n"/>
      <c r="AH1175" s="4" t="n"/>
      <c r="AI1175" s="4" t="n"/>
      <c r="AJ1175" s="4" t="n"/>
      <c r="AK1175" s="4" t="n"/>
      <c r="AL1175" s="4" t="n"/>
      <c r="AM1175" s="4" t="n"/>
      <c r="AN1175" s="4" t="n"/>
      <c r="AO1175" s="4" t="n"/>
      <c r="AP1175" s="4" t="n"/>
      <c r="AQ1175" s="4" t="n"/>
      <c r="AR1175" s="4" t="n"/>
      <c r="AS1175" s="4" t="n"/>
      <c r="AT1175" s="4" t="n"/>
      <c r="AU1175" s="4" t="n"/>
      <c r="AV1175" s="4" t="n"/>
      <c r="AW1175" s="4" t="n"/>
      <c r="AX1175" s="4" t="n"/>
      <c r="AY1175" s="4" t="n"/>
      <c r="AZ1175" s="4" t="n"/>
      <c r="BA1175" s="4" t="n"/>
      <c r="BB1175" s="4" t="n"/>
      <c r="BC1175" s="4" t="n"/>
      <c r="BD1175" s="4" t="n"/>
      <c r="BE1175" s="4" t="n"/>
      <c r="BF1175" s="4" t="n"/>
      <c r="BG1175" s="4" t="n"/>
      <c r="BH1175" s="4" t="n"/>
      <c r="BI1175" s="4" t="n"/>
      <c r="BJ1175" s="4" t="n"/>
      <c r="BK1175" s="4" t="n"/>
      <c r="BL1175" s="4" t="n"/>
      <c r="BM1175" s="4" t="n"/>
      <c r="BN1175" s="4" t="n"/>
      <c r="BO1175" s="4" t="n"/>
      <c r="BP1175" s="4" t="n"/>
      <c r="BQ1175" s="4" t="n"/>
      <c r="BR1175" s="4" t="n"/>
      <c r="BS1175" s="4" t="n"/>
      <c r="BT1175" s="4" t="n"/>
      <c r="BU1175" s="4" t="n"/>
      <c r="BV1175" s="4" t="n"/>
      <c r="BW1175" s="4" t="n"/>
      <c r="BX1175" s="4" t="n"/>
      <c r="BY1175" s="4" t="n"/>
      <c r="BZ1175" s="4" t="n"/>
      <c r="CA1175" s="4" t="n"/>
      <c r="CB1175" s="4" t="n"/>
      <c r="CC1175" s="4" t="n"/>
      <c r="CD1175" s="4" t="n"/>
      <c r="CE1175" s="4" t="n"/>
      <c r="CF1175" s="4" t="n"/>
      <c r="CG1175" s="4" t="n"/>
      <c r="CH1175" s="4" t="n"/>
      <c r="CI1175" s="4" t="n"/>
      <c r="CJ1175" s="4" t="n"/>
      <c r="CK1175" s="4" t="n"/>
      <c r="CL1175" s="4" t="n"/>
      <c r="CM1175" s="4" t="n"/>
      <c r="CN1175" s="4" t="n"/>
      <c r="CO1175" s="4" t="n"/>
      <c r="CP1175" s="4" t="n"/>
      <c r="CQ1175" s="4" t="n"/>
      <c r="CR1175" s="4" t="n"/>
      <c r="CS1175" s="4" t="n"/>
      <c r="CT1175" s="4" t="n"/>
      <c r="CU1175" s="4" t="n"/>
      <c r="CV1175" s="4" t="n"/>
      <c r="CW1175" s="4" t="n"/>
      <c r="CX1175" s="4" t="n"/>
      <c r="CY1175" s="4" t="n"/>
      <c r="CZ1175" s="4" t="n"/>
      <c r="DA1175" s="4" t="n"/>
      <c r="DB1175" s="4" t="n"/>
      <c r="DC1175" s="4" t="n"/>
      <c r="DD1175" s="4" t="n"/>
      <c r="DE1175" s="4" t="n"/>
      <c r="DF1175" s="4" t="n"/>
      <c r="DG1175" s="4" t="n"/>
      <c r="DH1175" s="4" t="n"/>
      <c r="DI1175" s="4" t="n"/>
      <c r="DJ1175" s="4" t="n"/>
      <c r="DK1175" s="4" t="n"/>
      <c r="DL1175" s="4" t="n"/>
      <c r="DM1175" s="4" t="n"/>
      <c r="DN1175" s="4" t="n"/>
      <c r="DO1175" s="4" t="n"/>
      <c r="DP1175" s="4" t="n"/>
      <c r="DQ1175" s="4" t="n"/>
      <c r="DR1175" s="4" t="n"/>
      <c r="DS1175" s="4" t="n"/>
      <c r="DT1175" s="4" t="n"/>
      <c r="DU1175" s="4" t="n"/>
      <c r="DV1175" s="4" t="n"/>
      <c r="DW1175" s="4" t="n"/>
      <c r="DX1175" s="4" t="n"/>
      <c r="DY1175" s="4" t="n"/>
      <c r="DZ1175" s="4" t="n"/>
      <c r="EA1175" s="4" t="n"/>
      <c r="EB1175" s="4" t="n"/>
      <c r="EC1175" s="4" t="n"/>
      <c r="ED1175" s="4" t="n"/>
      <c r="EE1175" s="4" t="n"/>
      <c r="EF1175" s="4" t="n"/>
      <c r="EG1175" s="4" t="n"/>
      <c r="EH1175" s="4" t="n"/>
      <c r="EI1175" s="4" t="n"/>
      <c r="EJ1175" s="4" t="n"/>
      <c r="EK1175" s="4" t="n"/>
      <c r="EL1175" s="4" t="n"/>
      <c r="EM1175" s="4" t="n"/>
    </row>
    <row r="1176" hidden="1" customFormat="1" s="6">
      <c r="C1176" s="4" t="n"/>
      <c r="D1176" s="4" t="n"/>
      <c r="E1176" s="4" t="n"/>
      <c r="F1176" s="4" t="n"/>
      <c r="G1176" s="4" t="n"/>
      <c r="H1176" s="4" t="n"/>
      <c r="I1176" s="4" t="n"/>
      <c r="J1176" s="4" t="n"/>
      <c r="K1176" s="4" t="n"/>
      <c r="L1176" s="4" t="n"/>
      <c r="M1176" s="4" t="n"/>
      <c r="N1176" s="4" t="n"/>
      <c r="O1176" s="4" t="n"/>
      <c r="P1176" s="4" t="n"/>
      <c r="Q1176" s="4" t="n"/>
      <c r="R1176" s="4" t="n"/>
      <c r="S1176" s="4" t="n"/>
      <c r="T1176" s="4" t="n"/>
      <c r="U1176" s="4" t="n"/>
      <c r="V1176" s="4" t="n"/>
      <c r="W1176" s="4" t="n"/>
      <c r="X1176" s="4" t="n"/>
      <c r="Y1176" s="4" t="n"/>
      <c r="Z1176" s="4" t="n"/>
      <c r="AA1176" s="4" t="n"/>
      <c r="AB1176" s="4" t="n"/>
      <c r="AC1176" s="4" t="n"/>
      <c r="AD1176" s="4" t="n"/>
      <c r="AE1176" s="4" t="n"/>
      <c r="AF1176" s="4" t="n"/>
      <c r="AG1176" s="4" t="n"/>
      <c r="AH1176" s="4" t="n"/>
      <c r="AI1176" s="4" t="n"/>
      <c r="AJ1176" s="4" t="n"/>
      <c r="AK1176" s="4" t="n"/>
      <c r="AL1176" s="4" t="n"/>
      <c r="AM1176" s="4" t="n"/>
      <c r="AN1176" s="4" t="n"/>
      <c r="AO1176" s="4" t="n"/>
      <c r="AP1176" s="4" t="n"/>
      <c r="AQ1176" s="4" t="n"/>
      <c r="AR1176" s="4" t="n"/>
      <c r="AS1176" s="4" t="n"/>
      <c r="AT1176" s="4" t="n"/>
      <c r="AU1176" s="4" t="n"/>
      <c r="AV1176" s="4" t="n"/>
      <c r="AW1176" s="4" t="n"/>
      <c r="AX1176" s="4" t="n"/>
      <c r="AY1176" s="4" t="n"/>
      <c r="AZ1176" s="4" t="n"/>
      <c r="BA1176" s="4" t="n"/>
      <c r="BB1176" s="4" t="n"/>
      <c r="BC1176" s="4" t="n"/>
      <c r="BD1176" s="4" t="n"/>
      <c r="BE1176" s="4" t="n"/>
      <c r="BF1176" s="4" t="n"/>
      <c r="BG1176" s="4" t="n"/>
      <c r="BH1176" s="4" t="n"/>
      <c r="BI1176" s="4" t="n"/>
      <c r="BJ1176" s="4" t="n"/>
      <c r="BK1176" s="4" t="n"/>
      <c r="BL1176" s="4" t="n"/>
      <c r="BM1176" s="4" t="n"/>
      <c r="BN1176" s="4" t="n"/>
      <c r="BO1176" s="4" t="n"/>
      <c r="BP1176" s="4" t="n"/>
      <c r="BQ1176" s="4" t="n"/>
      <c r="BR1176" s="4" t="n"/>
      <c r="BS1176" s="4" t="n"/>
      <c r="BT1176" s="4" t="n"/>
      <c r="BU1176" s="4" t="n"/>
      <c r="BV1176" s="4" t="n"/>
      <c r="BW1176" s="4" t="n"/>
      <c r="BX1176" s="4" t="n"/>
      <c r="BY1176" s="4" t="n"/>
      <c r="BZ1176" s="4" t="n"/>
      <c r="CA1176" s="4" t="n"/>
      <c r="CB1176" s="4" t="n"/>
      <c r="CC1176" s="4" t="n"/>
      <c r="CD1176" s="4" t="n"/>
      <c r="CE1176" s="4" t="n"/>
      <c r="CF1176" s="4" t="n"/>
      <c r="CG1176" s="4" t="n"/>
      <c r="CH1176" s="4" t="n"/>
      <c r="CI1176" s="4" t="n"/>
      <c r="CJ1176" s="4" t="n"/>
      <c r="CK1176" s="4" t="n"/>
      <c r="CL1176" s="4" t="n"/>
      <c r="CM1176" s="4" t="n"/>
      <c r="CN1176" s="4" t="n"/>
      <c r="CO1176" s="4" t="n"/>
      <c r="CP1176" s="4" t="n"/>
      <c r="CQ1176" s="4" t="n"/>
      <c r="CR1176" s="4" t="n"/>
      <c r="CS1176" s="4" t="n"/>
      <c r="CT1176" s="4" t="n"/>
      <c r="CU1176" s="4" t="n"/>
      <c r="CV1176" s="4" t="n"/>
      <c r="CW1176" s="4" t="n"/>
      <c r="CX1176" s="4" t="n"/>
      <c r="CY1176" s="4" t="n"/>
      <c r="CZ1176" s="4" t="n"/>
      <c r="DA1176" s="4" t="n"/>
      <c r="DB1176" s="4" t="n"/>
      <c r="DC1176" s="4" t="n"/>
      <c r="DD1176" s="4" t="n"/>
      <c r="DE1176" s="4" t="n"/>
      <c r="DF1176" s="4" t="n"/>
      <c r="DG1176" s="4" t="n"/>
      <c r="DH1176" s="4" t="n"/>
      <c r="DI1176" s="4" t="n"/>
      <c r="DJ1176" s="4" t="n"/>
      <c r="DK1176" s="4" t="n"/>
      <c r="DL1176" s="4" t="n"/>
      <c r="DM1176" s="4" t="n"/>
      <c r="DN1176" s="4" t="n"/>
      <c r="DO1176" s="4" t="n"/>
      <c r="DP1176" s="4" t="n"/>
      <c r="DQ1176" s="4" t="n"/>
      <c r="DR1176" s="4" t="n"/>
      <c r="DS1176" s="4" t="n"/>
      <c r="DT1176" s="4" t="n"/>
      <c r="DU1176" s="4" t="n"/>
      <c r="DV1176" s="4" t="n"/>
      <c r="DW1176" s="4" t="n"/>
      <c r="DX1176" s="4" t="n"/>
      <c r="DY1176" s="4" t="n"/>
      <c r="DZ1176" s="4" t="n"/>
      <c r="EA1176" s="4" t="n"/>
      <c r="EB1176" s="4" t="n"/>
      <c r="EC1176" s="4" t="n"/>
      <c r="ED1176" s="4" t="n"/>
      <c r="EE1176" s="4" t="n"/>
      <c r="EF1176" s="4" t="n"/>
      <c r="EG1176" s="4" t="n"/>
      <c r="EH1176" s="4" t="n"/>
      <c r="EI1176" s="4" t="n"/>
      <c r="EJ1176" s="4" t="n"/>
      <c r="EK1176" s="4" t="n"/>
      <c r="EL1176" s="4" t="n"/>
      <c r="EM1176" s="4" t="n"/>
    </row>
    <row r="1177" hidden="1" customFormat="1" s="6">
      <c r="C1177" s="4" t="n"/>
      <c r="D1177" s="4" t="n"/>
      <c r="E1177" s="4" t="n"/>
      <c r="F1177" s="4" t="n"/>
      <c r="G1177" s="4" t="n"/>
      <c r="H1177" s="4" t="n"/>
      <c r="I1177" s="4" t="n"/>
      <c r="J1177" s="4" t="n"/>
      <c r="K1177" s="4" t="n"/>
      <c r="L1177" s="4" t="n"/>
      <c r="M1177" s="4" t="n"/>
      <c r="N1177" s="4" t="n"/>
      <c r="O1177" s="4" t="n"/>
      <c r="P1177" s="4" t="n"/>
      <c r="Q1177" s="4" t="n"/>
      <c r="R1177" s="4" t="n"/>
      <c r="S1177" s="4" t="n"/>
      <c r="T1177" s="4" t="n"/>
      <c r="U1177" s="4" t="n"/>
      <c r="V1177" s="4" t="n"/>
      <c r="W1177" s="4" t="n"/>
      <c r="X1177" s="4" t="n"/>
      <c r="Y1177" s="4" t="n"/>
      <c r="Z1177" s="4" t="n"/>
      <c r="AA1177" s="4" t="n"/>
      <c r="AB1177" s="4" t="n"/>
      <c r="AC1177" s="4" t="n"/>
      <c r="AD1177" s="4" t="n"/>
      <c r="AE1177" s="4" t="n"/>
      <c r="AF1177" s="4" t="n"/>
      <c r="AG1177" s="4" t="n"/>
      <c r="AH1177" s="4" t="n"/>
      <c r="AI1177" s="4" t="n"/>
      <c r="AJ1177" s="4" t="n"/>
      <c r="AK1177" s="4" t="n"/>
      <c r="AL1177" s="4" t="n"/>
      <c r="AM1177" s="4" t="n"/>
      <c r="AN1177" s="4" t="n"/>
      <c r="AO1177" s="4" t="n"/>
      <c r="AP1177" s="4" t="n"/>
      <c r="AQ1177" s="4" t="n"/>
      <c r="AR1177" s="4" t="n"/>
      <c r="AS1177" s="4" t="n"/>
      <c r="AT1177" s="4" t="n"/>
      <c r="AU1177" s="4" t="n"/>
      <c r="AV1177" s="4" t="n"/>
      <c r="AW1177" s="4" t="n"/>
      <c r="AX1177" s="4" t="n"/>
      <c r="AY1177" s="4" t="n"/>
      <c r="AZ1177" s="4" t="n"/>
      <c r="BA1177" s="4" t="n"/>
      <c r="BB1177" s="4" t="n"/>
      <c r="BC1177" s="4" t="n"/>
      <c r="BD1177" s="4" t="n"/>
      <c r="BE1177" s="4" t="n"/>
      <c r="BF1177" s="4" t="n"/>
      <c r="BG1177" s="4" t="n"/>
      <c r="BH1177" s="4" t="n"/>
      <c r="BI1177" s="4" t="n"/>
      <c r="BJ1177" s="4" t="n"/>
      <c r="BK1177" s="4" t="n"/>
      <c r="BL1177" s="4" t="n"/>
      <c r="BM1177" s="4" t="n"/>
      <c r="BN1177" s="4" t="n"/>
      <c r="BO1177" s="4" t="n"/>
      <c r="BP1177" s="4" t="n"/>
      <c r="BQ1177" s="4" t="n"/>
      <c r="BR1177" s="4" t="n"/>
      <c r="BS1177" s="4" t="n"/>
      <c r="BT1177" s="4" t="n"/>
      <c r="BU1177" s="4" t="n"/>
      <c r="BV1177" s="4" t="n"/>
      <c r="BW1177" s="4" t="n"/>
      <c r="BX1177" s="4" t="n"/>
      <c r="BY1177" s="4" t="n"/>
      <c r="BZ1177" s="4" t="n"/>
      <c r="CA1177" s="4" t="n"/>
      <c r="CB1177" s="4" t="n"/>
      <c r="CC1177" s="4" t="n"/>
      <c r="CD1177" s="4" t="n"/>
      <c r="CE1177" s="4" t="n"/>
      <c r="CF1177" s="4" t="n"/>
      <c r="CG1177" s="4" t="n"/>
      <c r="CH1177" s="4" t="n"/>
      <c r="CI1177" s="4" t="n"/>
      <c r="CJ1177" s="4" t="n"/>
      <c r="CK1177" s="4" t="n"/>
      <c r="CL1177" s="4" t="n"/>
      <c r="CM1177" s="4" t="n"/>
      <c r="CN1177" s="4" t="n"/>
      <c r="CO1177" s="4" t="n"/>
      <c r="CP1177" s="4" t="n"/>
      <c r="CQ1177" s="4" t="n"/>
      <c r="CR1177" s="4" t="n"/>
      <c r="CS1177" s="4" t="n"/>
      <c r="CT1177" s="4" t="n"/>
      <c r="CU1177" s="4" t="n"/>
      <c r="CV1177" s="4" t="n"/>
      <c r="CW1177" s="4" t="n"/>
      <c r="CX1177" s="4" t="n"/>
      <c r="CY1177" s="4" t="n"/>
      <c r="CZ1177" s="4" t="n"/>
      <c r="DA1177" s="4" t="n"/>
      <c r="DB1177" s="4" t="n"/>
      <c r="DC1177" s="4" t="n"/>
      <c r="DD1177" s="4" t="n"/>
      <c r="DE1177" s="4" t="n"/>
      <c r="DF1177" s="4" t="n"/>
      <c r="DG1177" s="4" t="n"/>
      <c r="DH1177" s="4" t="n"/>
      <c r="DI1177" s="4" t="n"/>
      <c r="DJ1177" s="4" t="n"/>
      <c r="DK1177" s="4" t="n"/>
      <c r="DL1177" s="4" t="n"/>
      <c r="DM1177" s="4" t="n"/>
      <c r="DN1177" s="4" t="n"/>
      <c r="DO1177" s="4" t="n"/>
      <c r="DP1177" s="4" t="n"/>
      <c r="DQ1177" s="4" t="n"/>
      <c r="DR1177" s="4" t="n"/>
      <c r="DS1177" s="4" t="n"/>
      <c r="DT1177" s="4" t="n"/>
      <c r="DU1177" s="4" t="n"/>
      <c r="DV1177" s="4" t="n"/>
      <c r="DW1177" s="4" t="n"/>
      <c r="DX1177" s="4" t="n"/>
      <c r="DY1177" s="4" t="n"/>
      <c r="DZ1177" s="4" t="n"/>
      <c r="EA1177" s="4" t="n"/>
      <c r="EB1177" s="4" t="n"/>
      <c r="EC1177" s="4" t="n"/>
      <c r="ED1177" s="4" t="n"/>
      <c r="EE1177" s="4" t="n"/>
      <c r="EF1177" s="4" t="n"/>
      <c r="EG1177" s="4" t="n"/>
      <c r="EH1177" s="4" t="n"/>
      <c r="EI1177" s="4" t="n"/>
      <c r="EJ1177" s="4" t="n"/>
      <c r="EK1177" s="4" t="n"/>
      <c r="EL1177" s="4" t="n"/>
      <c r="EM1177" s="4" t="n"/>
    </row>
    <row r="1178" hidden="1" customFormat="1" s="6">
      <c r="C1178" s="4" t="n"/>
      <c r="D1178" s="4" t="n"/>
      <c r="E1178" s="4" t="n"/>
      <c r="F1178" s="4" t="n"/>
      <c r="G1178" s="4" t="n"/>
      <c r="H1178" s="4" t="n"/>
      <c r="I1178" s="4" t="n"/>
      <c r="J1178" s="4" t="n"/>
      <c r="K1178" s="4" t="n"/>
      <c r="L1178" s="4" t="n"/>
      <c r="M1178" s="4" t="n"/>
      <c r="N1178" s="4" t="n"/>
      <c r="O1178" s="4" t="n"/>
      <c r="P1178" s="4" t="n"/>
      <c r="Q1178" s="4" t="n"/>
      <c r="R1178" s="4" t="n"/>
      <c r="S1178" s="4" t="n"/>
      <c r="T1178" s="4" t="n"/>
      <c r="U1178" s="4" t="n"/>
      <c r="V1178" s="4" t="n"/>
      <c r="W1178" s="4" t="n"/>
      <c r="X1178" s="4" t="n"/>
      <c r="Y1178" s="4" t="n"/>
      <c r="Z1178" s="4" t="n"/>
      <c r="AA1178" s="4" t="n"/>
      <c r="AB1178" s="4" t="n"/>
      <c r="AC1178" s="4" t="n"/>
      <c r="AD1178" s="4" t="n"/>
      <c r="AE1178" s="4" t="n"/>
      <c r="AF1178" s="4" t="n"/>
      <c r="AG1178" s="4" t="n"/>
      <c r="AH1178" s="4" t="n"/>
      <c r="AI1178" s="4" t="n"/>
      <c r="AJ1178" s="4" t="n"/>
      <c r="AK1178" s="4" t="n"/>
      <c r="AL1178" s="4" t="n"/>
      <c r="AM1178" s="4" t="n"/>
      <c r="AN1178" s="4" t="n"/>
      <c r="AO1178" s="4" t="n"/>
      <c r="AP1178" s="4" t="n"/>
      <c r="AQ1178" s="4" t="n"/>
      <c r="AR1178" s="4" t="n"/>
      <c r="AS1178" s="4" t="n"/>
      <c r="AT1178" s="4" t="n"/>
      <c r="AU1178" s="4" t="n"/>
      <c r="AV1178" s="4" t="n"/>
      <c r="AW1178" s="4" t="n"/>
      <c r="AX1178" s="4" t="n"/>
      <c r="AY1178" s="4" t="n"/>
      <c r="AZ1178" s="4" t="n"/>
      <c r="BA1178" s="4" t="n"/>
      <c r="BB1178" s="4" t="n"/>
      <c r="BC1178" s="4" t="n"/>
      <c r="BD1178" s="4" t="n"/>
      <c r="BE1178" s="4" t="n"/>
      <c r="BF1178" s="4" t="n"/>
      <c r="BG1178" s="4" t="n"/>
      <c r="BH1178" s="4" t="n"/>
      <c r="BI1178" s="4" t="n"/>
      <c r="BJ1178" s="4" t="n"/>
      <c r="BK1178" s="4" t="n"/>
      <c r="BL1178" s="4" t="n"/>
      <c r="BM1178" s="4" t="n"/>
      <c r="BN1178" s="4" t="n"/>
      <c r="BO1178" s="4" t="n"/>
      <c r="BP1178" s="4" t="n"/>
      <c r="BQ1178" s="4" t="n"/>
      <c r="BR1178" s="4" t="n"/>
      <c r="BS1178" s="4" t="n"/>
      <c r="BT1178" s="4" t="n"/>
      <c r="BU1178" s="4" t="n"/>
      <c r="BV1178" s="4" t="n"/>
      <c r="BW1178" s="4" t="n"/>
      <c r="BX1178" s="4" t="n"/>
      <c r="BY1178" s="4" t="n"/>
      <c r="BZ1178" s="4" t="n"/>
      <c r="CA1178" s="4" t="n"/>
      <c r="CB1178" s="4" t="n"/>
      <c r="CC1178" s="4" t="n"/>
      <c r="CD1178" s="4" t="n"/>
      <c r="CE1178" s="4" t="n"/>
      <c r="CF1178" s="4" t="n"/>
      <c r="CG1178" s="4" t="n"/>
      <c r="CH1178" s="4" t="n"/>
      <c r="CI1178" s="4" t="n"/>
      <c r="CJ1178" s="4" t="n"/>
      <c r="CK1178" s="4" t="n"/>
      <c r="CL1178" s="4" t="n"/>
      <c r="CM1178" s="4" t="n"/>
      <c r="CN1178" s="4" t="n"/>
      <c r="CO1178" s="4" t="n"/>
      <c r="CP1178" s="4" t="n"/>
      <c r="CQ1178" s="4" t="n"/>
      <c r="CR1178" s="4" t="n"/>
      <c r="CS1178" s="4" t="n"/>
      <c r="CT1178" s="4" t="n"/>
      <c r="CU1178" s="4" t="n"/>
      <c r="CV1178" s="4" t="n"/>
      <c r="CW1178" s="4" t="n"/>
      <c r="CX1178" s="4" t="n"/>
      <c r="CY1178" s="4" t="n"/>
      <c r="CZ1178" s="4" t="n"/>
      <c r="DA1178" s="4" t="n"/>
      <c r="DB1178" s="4" t="n"/>
      <c r="DC1178" s="4" t="n"/>
      <c r="DD1178" s="4" t="n"/>
      <c r="DE1178" s="4" t="n"/>
      <c r="DF1178" s="4" t="n"/>
      <c r="DG1178" s="4" t="n"/>
      <c r="DH1178" s="4" t="n"/>
      <c r="DI1178" s="4" t="n"/>
      <c r="DJ1178" s="4" t="n"/>
      <c r="DK1178" s="4" t="n"/>
      <c r="DL1178" s="4" t="n"/>
      <c r="DM1178" s="4" t="n"/>
      <c r="DN1178" s="4" t="n"/>
      <c r="DO1178" s="4" t="n"/>
      <c r="DP1178" s="4" t="n"/>
      <c r="DQ1178" s="4" t="n"/>
      <c r="DR1178" s="4" t="n"/>
      <c r="DS1178" s="4" t="n"/>
      <c r="DT1178" s="4" t="n"/>
      <c r="DU1178" s="4" t="n"/>
      <c r="DV1178" s="4" t="n"/>
      <c r="DW1178" s="4" t="n"/>
      <c r="DX1178" s="4" t="n"/>
      <c r="DY1178" s="4" t="n"/>
      <c r="DZ1178" s="4" t="n"/>
      <c r="EA1178" s="4" t="n"/>
      <c r="EB1178" s="4" t="n"/>
      <c r="EC1178" s="4" t="n"/>
      <c r="ED1178" s="4" t="n"/>
      <c r="EE1178" s="4" t="n"/>
      <c r="EF1178" s="4" t="n"/>
      <c r="EG1178" s="4" t="n"/>
      <c r="EH1178" s="4" t="n"/>
      <c r="EI1178" s="4" t="n"/>
      <c r="EJ1178" s="4" t="n"/>
      <c r="EK1178" s="4" t="n"/>
      <c r="EL1178" s="4" t="n"/>
      <c r="EM1178" s="4" t="n"/>
    </row>
    <row r="1179" hidden="1" customFormat="1" s="6">
      <c r="C1179" s="4" t="n"/>
      <c r="D1179" s="4" t="n"/>
      <c r="E1179" s="4" t="n"/>
      <c r="F1179" s="4" t="n"/>
      <c r="G1179" s="4" t="n"/>
      <c r="H1179" s="4" t="n"/>
      <c r="I1179" s="4" t="n"/>
      <c r="J1179" s="4" t="n"/>
      <c r="K1179" s="4" t="n"/>
      <c r="L1179" s="4" t="n"/>
      <c r="M1179" s="4" t="n"/>
      <c r="N1179" s="4" t="n"/>
      <c r="O1179" s="4" t="n"/>
      <c r="P1179" s="4" t="n"/>
      <c r="Q1179" s="4" t="n"/>
      <c r="R1179" s="4" t="n"/>
      <c r="S1179" s="4" t="n"/>
      <c r="T1179" s="4" t="n"/>
      <c r="U1179" s="4" t="n"/>
      <c r="V1179" s="4" t="n"/>
      <c r="W1179" s="4" t="n"/>
      <c r="X1179" s="4" t="n"/>
      <c r="Y1179" s="4" t="n"/>
      <c r="Z1179" s="4" t="n"/>
      <c r="AA1179" s="4" t="n"/>
      <c r="AB1179" s="4" t="n"/>
      <c r="AC1179" s="4" t="n"/>
      <c r="AD1179" s="4" t="n"/>
      <c r="AE1179" s="4" t="n"/>
      <c r="AF1179" s="4" t="n"/>
      <c r="AG1179" s="4" t="n"/>
      <c r="AH1179" s="4" t="n"/>
      <c r="AI1179" s="4" t="n"/>
      <c r="AJ1179" s="4" t="n"/>
      <c r="AK1179" s="4" t="n"/>
      <c r="AL1179" s="4" t="n"/>
      <c r="AM1179" s="4" t="n"/>
      <c r="AN1179" s="4" t="n"/>
      <c r="AO1179" s="4" t="n"/>
      <c r="AP1179" s="4" t="n"/>
      <c r="AQ1179" s="4" t="n"/>
      <c r="AR1179" s="4" t="n"/>
      <c r="AS1179" s="4" t="n"/>
      <c r="AT1179" s="4" t="n"/>
      <c r="AU1179" s="4" t="n"/>
      <c r="AV1179" s="4" t="n"/>
      <c r="AW1179" s="4" t="n"/>
      <c r="AX1179" s="4" t="n"/>
      <c r="AY1179" s="4" t="n"/>
      <c r="AZ1179" s="4" t="n"/>
      <c r="BA1179" s="4" t="n"/>
      <c r="BB1179" s="4" t="n"/>
      <c r="BC1179" s="4" t="n"/>
      <c r="BD1179" s="4" t="n"/>
      <c r="BE1179" s="4" t="n"/>
      <c r="BF1179" s="4" t="n"/>
      <c r="BG1179" s="4" t="n"/>
      <c r="BH1179" s="4" t="n"/>
      <c r="BI1179" s="4" t="n"/>
      <c r="BJ1179" s="4" t="n"/>
      <c r="BK1179" s="4" t="n"/>
      <c r="BL1179" s="4" t="n"/>
      <c r="BM1179" s="4" t="n"/>
      <c r="BN1179" s="4" t="n"/>
      <c r="BO1179" s="4" t="n"/>
      <c r="BP1179" s="4" t="n"/>
      <c r="BQ1179" s="4" t="n"/>
      <c r="BR1179" s="4" t="n"/>
      <c r="BS1179" s="4" t="n"/>
      <c r="BT1179" s="4" t="n"/>
      <c r="BU1179" s="4" t="n"/>
      <c r="BV1179" s="4" t="n"/>
      <c r="BW1179" s="4" t="n"/>
      <c r="BX1179" s="4" t="n"/>
      <c r="BY1179" s="4" t="n"/>
      <c r="BZ1179" s="4" t="n"/>
      <c r="CA1179" s="4" t="n"/>
      <c r="CB1179" s="4" t="n"/>
      <c r="CC1179" s="4" t="n"/>
      <c r="CD1179" s="4" t="n"/>
      <c r="CE1179" s="4" t="n"/>
      <c r="CF1179" s="4" t="n"/>
      <c r="CG1179" s="4" t="n"/>
      <c r="CH1179" s="4" t="n"/>
      <c r="CI1179" s="4" t="n"/>
      <c r="CJ1179" s="4" t="n"/>
      <c r="CK1179" s="4" t="n"/>
      <c r="CL1179" s="4" t="n"/>
      <c r="CM1179" s="4" t="n"/>
      <c r="CN1179" s="4" t="n"/>
      <c r="CO1179" s="4" t="n"/>
      <c r="CP1179" s="4" t="n"/>
      <c r="CQ1179" s="4" t="n"/>
      <c r="CR1179" s="4" t="n"/>
      <c r="CS1179" s="4" t="n"/>
      <c r="CT1179" s="4" t="n"/>
      <c r="CU1179" s="4" t="n"/>
      <c r="CV1179" s="4" t="n"/>
      <c r="CW1179" s="4" t="n"/>
      <c r="CX1179" s="4" t="n"/>
      <c r="CY1179" s="4" t="n"/>
      <c r="CZ1179" s="4" t="n"/>
      <c r="DA1179" s="4" t="n"/>
      <c r="DB1179" s="4" t="n"/>
      <c r="DC1179" s="4" t="n"/>
      <c r="DD1179" s="4" t="n"/>
      <c r="DE1179" s="4" t="n"/>
      <c r="DF1179" s="4" t="n"/>
      <c r="DG1179" s="4" t="n"/>
      <c r="DH1179" s="4" t="n"/>
      <c r="DI1179" s="4" t="n"/>
      <c r="DJ1179" s="4" t="n"/>
      <c r="DK1179" s="4" t="n"/>
      <c r="DL1179" s="4" t="n"/>
      <c r="DM1179" s="4" t="n"/>
      <c r="DN1179" s="4" t="n"/>
      <c r="DO1179" s="4" t="n"/>
      <c r="DP1179" s="4" t="n"/>
      <c r="DQ1179" s="4" t="n"/>
      <c r="DR1179" s="4" t="n"/>
      <c r="DS1179" s="4" t="n"/>
      <c r="DT1179" s="4" t="n"/>
      <c r="DU1179" s="4" t="n"/>
      <c r="DV1179" s="4" t="n"/>
      <c r="DW1179" s="4" t="n"/>
      <c r="DX1179" s="4" t="n"/>
      <c r="DY1179" s="4" t="n"/>
      <c r="DZ1179" s="4" t="n"/>
      <c r="EA1179" s="4" t="n"/>
      <c r="EB1179" s="4" t="n"/>
      <c r="EC1179" s="4" t="n"/>
      <c r="ED1179" s="4" t="n"/>
      <c r="EE1179" s="4" t="n"/>
      <c r="EF1179" s="4" t="n"/>
      <c r="EG1179" s="4" t="n"/>
      <c r="EH1179" s="4" t="n"/>
      <c r="EI1179" s="4" t="n"/>
      <c r="EJ1179" s="4" t="n"/>
      <c r="EK1179" s="4" t="n"/>
      <c r="EL1179" s="4" t="n"/>
      <c r="EM1179" s="4" t="n"/>
    </row>
    <row r="1180" hidden="1" customFormat="1" s="6">
      <c r="C1180" s="4" t="n"/>
      <c r="D1180" s="4" t="n"/>
      <c r="E1180" s="4" t="n"/>
      <c r="F1180" s="4" t="n"/>
      <c r="G1180" s="4" t="n"/>
      <c r="H1180" s="4" t="n"/>
      <c r="I1180" s="4" t="n"/>
      <c r="J1180" s="4" t="n"/>
      <c r="K1180" s="4" t="n"/>
      <c r="L1180" s="4" t="n"/>
      <c r="M1180" s="4" t="n"/>
      <c r="N1180" s="4" t="n"/>
      <c r="O1180" s="4" t="n"/>
      <c r="P1180" s="4" t="n"/>
      <c r="Q1180" s="4" t="n"/>
      <c r="R1180" s="4" t="n"/>
      <c r="S1180" s="4" t="n"/>
      <c r="T1180" s="4" t="n"/>
      <c r="U1180" s="4" t="n"/>
      <c r="V1180" s="4" t="n"/>
      <c r="W1180" s="4" t="n"/>
      <c r="X1180" s="4" t="n"/>
      <c r="Y1180" s="4" t="n"/>
      <c r="Z1180" s="4" t="n"/>
      <c r="AA1180" s="4" t="n"/>
      <c r="AB1180" s="4" t="n"/>
      <c r="AC1180" s="4" t="n"/>
      <c r="AD1180" s="4" t="n"/>
      <c r="AE1180" s="4" t="n"/>
      <c r="AF1180" s="4" t="n"/>
      <c r="AG1180" s="4" t="n"/>
      <c r="AH1180" s="4" t="n"/>
      <c r="AI1180" s="4" t="n"/>
      <c r="AJ1180" s="4" t="n"/>
      <c r="AK1180" s="4" t="n"/>
      <c r="AL1180" s="4" t="n"/>
      <c r="AM1180" s="4" t="n"/>
      <c r="AN1180" s="4" t="n"/>
      <c r="AO1180" s="4" t="n"/>
      <c r="AP1180" s="4" t="n"/>
      <c r="AQ1180" s="4" t="n"/>
      <c r="AR1180" s="4" t="n"/>
      <c r="AS1180" s="4" t="n"/>
      <c r="AT1180" s="4" t="n"/>
      <c r="AU1180" s="4" t="n"/>
      <c r="AV1180" s="4" t="n"/>
      <c r="AW1180" s="4" t="n"/>
      <c r="AX1180" s="4" t="n"/>
      <c r="AY1180" s="4" t="n"/>
      <c r="AZ1180" s="4" t="n"/>
      <c r="BA1180" s="4" t="n"/>
      <c r="BB1180" s="4" t="n"/>
      <c r="BC1180" s="4" t="n"/>
      <c r="BD1180" s="4" t="n"/>
      <c r="BE1180" s="4" t="n"/>
      <c r="BF1180" s="4" t="n"/>
      <c r="BG1180" s="4" t="n"/>
      <c r="BH1180" s="4" t="n"/>
      <c r="BI1180" s="4" t="n"/>
      <c r="BJ1180" s="4" t="n"/>
      <c r="BK1180" s="4" t="n"/>
      <c r="BL1180" s="4" t="n"/>
      <c r="BM1180" s="4" t="n"/>
      <c r="BN1180" s="4" t="n"/>
      <c r="BO1180" s="4" t="n"/>
      <c r="BP1180" s="4" t="n"/>
      <c r="BQ1180" s="4" t="n"/>
      <c r="BR1180" s="4" t="n"/>
      <c r="BS1180" s="4" t="n"/>
      <c r="BT1180" s="4" t="n"/>
      <c r="BU1180" s="4" t="n"/>
      <c r="BV1180" s="4" t="n"/>
      <c r="BW1180" s="4" t="n"/>
      <c r="BX1180" s="4" t="n"/>
      <c r="BY1180" s="4" t="n"/>
      <c r="BZ1180" s="4" t="n"/>
      <c r="CA1180" s="4" t="n"/>
      <c r="CB1180" s="4" t="n"/>
      <c r="CC1180" s="4" t="n"/>
      <c r="CD1180" s="4" t="n"/>
      <c r="CE1180" s="4" t="n"/>
      <c r="CF1180" s="4" t="n"/>
      <c r="CG1180" s="4" t="n"/>
      <c r="CH1180" s="4" t="n"/>
      <c r="CI1180" s="4" t="n"/>
      <c r="CJ1180" s="4" t="n"/>
      <c r="CK1180" s="4" t="n"/>
      <c r="CL1180" s="4" t="n"/>
      <c r="CM1180" s="4" t="n"/>
      <c r="CN1180" s="4" t="n"/>
      <c r="CO1180" s="4" t="n"/>
      <c r="CP1180" s="4" t="n"/>
      <c r="CQ1180" s="4" t="n"/>
      <c r="CR1180" s="4" t="n"/>
      <c r="CS1180" s="4" t="n"/>
      <c r="CT1180" s="4" t="n"/>
      <c r="CU1180" s="4" t="n"/>
      <c r="CV1180" s="4" t="n"/>
      <c r="CW1180" s="4" t="n"/>
      <c r="CX1180" s="4" t="n"/>
      <c r="CY1180" s="4" t="n"/>
      <c r="CZ1180" s="4" t="n"/>
      <c r="DA1180" s="4" t="n"/>
      <c r="DB1180" s="4" t="n"/>
      <c r="DC1180" s="4" t="n"/>
      <c r="DD1180" s="4" t="n"/>
      <c r="DE1180" s="4" t="n"/>
      <c r="DF1180" s="4" t="n"/>
      <c r="DG1180" s="4" t="n"/>
      <c r="DH1180" s="4" t="n"/>
      <c r="DI1180" s="4" t="n"/>
      <c r="DJ1180" s="4" t="n"/>
      <c r="DK1180" s="4" t="n"/>
      <c r="DL1180" s="4" t="n"/>
      <c r="DM1180" s="4" t="n"/>
      <c r="DN1180" s="4" t="n"/>
      <c r="DO1180" s="4" t="n"/>
      <c r="DP1180" s="4" t="n"/>
      <c r="DQ1180" s="4" t="n"/>
      <c r="DR1180" s="4" t="n"/>
      <c r="DS1180" s="4" t="n"/>
      <c r="DT1180" s="4" t="n"/>
      <c r="DU1180" s="4" t="n"/>
      <c r="DV1180" s="4" t="n"/>
      <c r="DW1180" s="4" t="n"/>
      <c r="DX1180" s="4" t="n"/>
      <c r="DY1180" s="4" t="n"/>
      <c r="DZ1180" s="4" t="n"/>
      <c r="EA1180" s="4" t="n"/>
      <c r="EB1180" s="4" t="n"/>
      <c r="EC1180" s="4" t="n"/>
      <c r="ED1180" s="4" t="n"/>
      <c r="EE1180" s="4" t="n"/>
      <c r="EF1180" s="4" t="n"/>
      <c r="EG1180" s="4" t="n"/>
      <c r="EH1180" s="4" t="n"/>
      <c r="EI1180" s="4" t="n"/>
      <c r="EJ1180" s="4" t="n"/>
      <c r="EK1180" s="4" t="n"/>
      <c r="EL1180" s="4" t="n"/>
      <c r="EM1180" s="4" t="n"/>
    </row>
    <row r="1181" hidden="1" customFormat="1" s="6">
      <c r="C1181" s="4" t="n"/>
      <c r="D1181" s="4" t="n"/>
      <c r="E1181" s="4" t="n"/>
      <c r="F1181" s="4" t="n"/>
      <c r="G1181" s="4" t="n"/>
      <c r="H1181" s="4" t="n"/>
      <c r="I1181" s="4" t="n"/>
      <c r="J1181" s="4" t="n"/>
      <c r="K1181" s="4" t="n"/>
      <c r="L1181" s="4" t="n"/>
      <c r="M1181" s="4" t="n"/>
      <c r="N1181" s="4" t="n"/>
      <c r="O1181" s="4" t="n"/>
      <c r="P1181" s="4" t="n"/>
      <c r="Q1181" s="4" t="n"/>
      <c r="R1181" s="4" t="n"/>
      <c r="S1181" s="4" t="n"/>
      <c r="T1181" s="4" t="n"/>
      <c r="U1181" s="4" t="n"/>
      <c r="V1181" s="4" t="n"/>
      <c r="W1181" s="4" t="n"/>
      <c r="X1181" s="4" t="n"/>
      <c r="Y1181" s="4" t="n"/>
      <c r="Z1181" s="4" t="n"/>
      <c r="AA1181" s="4" t="n"/>
      <c r="AB1181" s="4" t="n"/>
      <c r="AC1181" s="4" t="n"/>
      <c r="AD1181" s="4" t="n"/>
      <c r="AE1181" s="4" t="n"/>
      <c r="AF1181" s="4" t="n"/>
      <c r="AG1181" s="4" t="n"/>
      <c r="AH1181" s="4" t="n"/>
      <c r="AI1181" s="4" t="n"/>
      <c r="AJ1181" s="4" t="n"/>
      <c r="AK1181" s="4" t="n"/>
      <c r="AL1181" s="4" t="n"/>
      <c r="AM1181" s="4" t="n"/>
      <c r="AN1181" s="4" t="n"/>
      <c r="AO1181" s="4" t="n"/>
      <c r="AP1181" s="4" t="n"/>
      <c r="AQ1181" s="4" t="n"/>
      <c r="AR1181" s="4" t="n"/>
      <c r="AS1181" s="4" t="n"/>
      <c r="AT1181" s="4" t="n"/>
      <c r="AU1181" s="4" t="n"/>
      <c r="AV1181" s="4" t="n"/>
      <c r="AW1181" s="4" t="n"/>
      <c r="AX1181" s="4" t="n"/>
      <c r="AY1181" s="4" t="n"/>
      <c r="AZ1181" s="4" t="n"/>
      <c r="BA1181" s="4" t="n"/>
      <c r="BB1181" s="4" t="n"/>
      <c r="BC1181" s="4" t="n"/>
      <c r="BD1181" s="4" t="n"/>
      <c r="BE1181" s="4" t="n"/>
      <c r="BF1181" s="4" t="n"/>
      <c r="BG1181" s="4" t="n"/>
      <c r="BH1181" s="4" t="n"/>
      <c r="BI1181" s="4" t="n"/>
      <c r="BJ1181" s="4" t="n"/>
      <c r="BK1181" s="4" t="n"/>
      <c r="BL1181" s="4" t="n"/>
      <c r="BM1181" s="4" t="n"/>
      <c r="BN1181" s="4" t="n"/>
      <c r="BO1181" s="4" t="n"/>
      <c r="BP1181" s="4" t="n"/>
      <c r="BQ1181" s="4" t="n"/>
      <c r="BR1181" s="4" t="n"/>
      <c r="BS1181" s="4" t="n"/>
      <c r="BT1181" s="4" t="n"/>
      <c r="BU1181" s="4" t="n"/>
      <c r="BV1181" s="4" t="n"/>
      <c r="BW1181" s="4" t="n"/>
      <c r="BX1181" s="4" t="n"/>
      <c r="BY1181" s="4" t="n"/>
      <c r="BZ1181" s="4" t="n"/>
      <c r="CA1181" s="4" t="n"/>
      <c r="CB1181" s="4" t="n"/>
      <c r="CC1181" s="4" t="n"/>
      <c r="CD1181" s="4" t="n"/>
      <c r="CE1181" s="4" t="n"/>
      <c r="CF1181" s="4" t="n"/>
      <c r="CG1181" s="4" t="n"/>
      <c r="CH1181" s="4" t="n"/>
      <c r="CI1181" s="4" t="n"/>
      <c r="CJ1181" s="4" t="n"/>
      <c r="CK1181" s="4" t="n"/>
      <c r="CL1181" s="4" t="n"/>
      <c r="CM1181" s="4" t="n"/>
      <c r="CN1181" s="4" t="n"/>
      <c r="CO1181" s="4" t="n"/>
      <c r="CP1181" s="4" t="n"/>
      <c r="CQ1181" s="4" t="n"/>
      <c r="CR1181" s="4" t="n"/>
      <c r="CS1181" s="4" t="n"/>
      <c r="CT1181" s="4" t="n"/>
      <c r="CU1181" s="4" t="n"/>
      <c r="CV1181" s="4" t="n"/>
      <c r="CW1181" s="4" t="n"/>
      <c r="CX1181" s="4" t="n"/>
      <c r="CY1181" s="4" t="n"/>
      <c r="CZ1181" s="4" t="n"/>
      <c r="DA1181" s="4" t="n"/>
      <c r="DB1181" s="4" t="n"/>
      <c r="DC1181" s="4" t="n"/>
      <c r="DD1181" s="4" t="n"/>
      <c r="DE1181" s="4" t="n"/>
      <c r="DF1181" s="4" t="n"/>
      <c r="DG1181" s="4" t="n"/>
      <c r="DH1181" s="4" t="n"/>
      <c r="DI1181" s="4" t="n"/>
      <c r="DJ1181" s="4" t="n"/>
      <c r="DK1181" s="4" t="n"/>
      <c r="DL1181" s="4" t="n"/>
      <c r="DM1181" s="4" t="n"/>
      <c r="DN1181" s="4" t="n"/>
      <c r="DO1181" s="4" t="n"/>
      <c r="DP1181" s="4" t="n"/>
      <c r="DQ1181" s="4" t="n"/>
      <c r="DR1181" s="4" t="n"/>
      <c r="DS1181" s="4" t="n"/>
      <c r="DT1181" s="4" t="n"/>
      <c r="DU1181" s="4" t="n"/>
      <c r="DV1181" s="4" t="n"/>
      <c r="DW1181" s="4" t="n"/>
      <c r="DX1181" s="4" t="n"/>
      <c r="DY1181" s="4" t="n"/>
      <c r="DZ1181" s="4" t="n"/>
      <c r="EA1181" s="4" t="n"/>
      <c r="EB1181" s="4" t="n"/>
      <c r="EC1181" s="4" t="n"/>
      <c r="ED1181" s="4" t="n"/>
      <c r="EE1181" s="4" t="n"/>
      <c r="EF1181" s="4" t="n"/>
      <c r="EG1181" s="4" t="n"/>
      <c r="EH1181" s="4" t="n"/>
      <c r="EI1181" s="4" t="n"/>
      <c r="EJ1181" s="4" t="n"/>
      <c r="EK1181" s="4" t="n"/>
      <c r="EL1181" s="4" t="n"/>
      <c r="EM1181" s="4" t="n"/>
    </row>
    <row r="1182" hidden="1" customFormat="1" s="6">
      <c r="C1182" s="4" t="n"/>
      <c r="D1182" s="4" t="n"/>
      <c r="E1182" s="4" t="n"/>
      <c r="F1182" s="4" t="n"/>
      <c r="G1182" s="4" t="n"/>
      <c r="H1182" s="4" t="n"/>
      <c r="I1182" s="4" t="n"/>
      <c r="J1182" s="4" t="n"/>
      <c r="K1182" s="4" t="n"/>
      <c r="L1182" s="4" t="n"/>
      <c r="M1182" s="4" t="n"/>
      <c r="N1182" s="4" t="n"/>
      <c r="O1182" s="4" t="n"/>
      <c r="P1182" s="4" t="n"/>
      <c r="Q1182" s="4" t="n"/>
      <c r="R1182" s="4" t="n"/>
      <c r="S1182" s="4" t="n"/>
      <c r="T1182" s="4" t="n"/>
      <c r="U1182" s="4" t="n"/>
      <c r="V1182" s="4" t="n"/>
      <c r="W1182" s="4" t="n"/>
      <c r="X1182" s="4" t="n"/>
      <c r="Y1182" s="4" t="n"/>
      <c r="Z1182" s="4" t="n"/>
      <c r="AA1182" s="4" t="n"/>
      <c r="AB1182" s="4" t="n"/>
      <c r="AC1182" s="4" t="n"/>
      <c r="AD1182" s="4" t="n"/>
      <c r="AE1182" s="4" t="n"/>
      <c r="AF1182" s="4" t="n"/>
      <c r="AG1182" s="4" t="n"/>
      <c r="AH1182" s="4" t="n"/>
      <c r="AI1182" s="4" t="n"/>
      <c r="AJ1182" s="4" t="n"/>
      <c r="AK1182" s="4" t="n"/>
      <c r="AL1182" s="4" t="n"/>
      <c r="AM1182" s="4" t="n"/>
      <c r="AN1182" s="4" t="n"/>
      <c r="AO1182" s="4" t="n"/>
      <c r="AP1182" s="4" t="n"/>
      <c r="AQ1182" s="4" t="n"/>
      <c r="AR1182" s="4" t="n"/>
      <c r="AS1182" s="4" t="n"/>
      <c r="AT1182" s="4" t="n"/>
      <c r="AU1182" s="4" t="n"/>
      <c r="AV1182" s="4" t="n"/>
      <c r="AW1182" s="4" t="n"/>
      <c r="AX1182" s="4" t="n"/>
      <c r="AY1182" s="4" t="n"/>
      <c r="AZ1182" s="4" t="n"/>
      <c r="BA1182" s="4" t="n"/>
      <c r="BB1182" s="4" t="n"/>
      <c r="BC1182" s="4" t="n"/>
      <c r="BD1182" s="4" t="n"/>
      <c r="BE1182" s="4" t="n"/>
      <c r="BF1182" s="4" t="n"/>
      <c r="BG1182" s="4" t="n"/>
      <c r="BH1182" s="4" t="n"/>
      <c r="BI1182" s="4" t="n"/>
      <c r="BJ1182" s="4" t="n"/>
      <c r="BK1182" s="4" t="n"/>
      <c r="BL1182" s="4" t="n"/>
      <c r="BM1182" s="4" t="n"/>
      <c r="BN1182" s="4" t="n"/>
      <c r="BO1182" s="4" t="n"/>
      <c r="BP1182" s="4" t="n"/>
      <c r="BQ1182" s="4" t="n"/>
      <c r="BR1182" s="4" t="n"/>
      <c r="BS1182" s="4" t="n"/>
      <c r="BT1182" s="4" t="n"/>
      <c r="BU1182" s="4" t="n"/>
      <c r="BV1182" s="4" t="n"/>
      <c r="BW1182" s="4" t="n"/>
      <c r="BX1182" s="4" t="n"/>
      <c r="BY1182" s="4" t="n"/>
      <c r="BZ1182" s="4" t="n"/>
      <c r="CA1182" s="4" t="n"/>
      <c r="CB1182" s="4" t="n"/>
      <c r="CC1182" s="4" t="n"/>
      <c r="CD1182" s="4" t="n"/>
      <c r="CE1182" s="4" t="n"/>
      <c r="CF1182" s="4" t="n"/>
      <c r="CG1182" s="4" t="n"/>
      <c r="CH1182" s="4" t="n"/>
      <c r="CI1182" s="4" t="n"/>
      <c r="CJ1182" s="4" t="n"/>
      <c r="CK1182" s="4" t="n"/>
      <c r="CL1182" s="4" t="n"/>
      <c r="CM1182" s="4" t="n"/>
      <c r="CN1182" s="4" t="n"/>
      <c r="CO1182" s="4" t="n"/>
      <c r="CP1182" s="4" t="n"/>
      <c r="CQ1182" s="4" t="n"/>
      <c r="CR1182" s="4" t="n"/>
      <c r="CS1182" s="4" t="n"/>
      <c r="CT1182" s="4" t="n"/>
      <c r="CU1182" s="4" t="n"/>
      <c r="CV1182" s="4" t="n"/>
      <c r="CW1182" s="4" t="n"/>
      <c r="CX1182" s="4" t="n"/>
      <c r="CY1182" s="4" t="n"/>
      <c r="CZ1182" s="4" t="n"/>
      <c r="DA1182" s="4" t="n"/>
      <c r="DB1182" s="4" t="n"/>
      <c r="DC1182" s="4" t="n"/>
      <c r="DD1182" s="4" t="n"/>
      <c r="DE1182" s="4" t="n"/>
      <c r="DF1182" s="4" t="n"/>
      <c r="DG1182" s="4" t="n"/>
      <c r="DH1182" s="4" t="n"/>
      <c r="DI1182" s="4" t="n"/>
      <c r="DJ1182" s="4" t="n"/>
      <c r="DK1182" s="4" t="n"/>
      <c r="DL1182" s="4" t="n"/>
      <c r="DM1182" s="4" t="n"/>
      <c r="DN1182" s="4" t="n"/>
      <c r="DO1182" s="4" t="n"/>
      <c r="DP1182" s="4" t="n"/>
      <c r="DQ1182" s="4" t="n"/>
      <c r="DR1182" s="4" t="n"/>
      <c r="DS1182" s="4" t="n"/>
      <c r="DT1182" s="4" t="n"/>
      <c r="DU1182" s="4" t="n"/>
      <c r="DV1182" s="4" t="n"/>
      <c r="DW1182" s="4" t="n"/>
      <c r="DX1182" s="4" t="n"/>
      <c r="DY1182" s="4" t="n"/>
      <c r="DZ1182" s="4" t="n"/>
      <c r="EA1182" s="4" t="n"/>
      <c r="EB1182" s="4" t="n"/>
      <c r="EC1182" s="4" t="n"/>
      <c r="ED1182" s="4" t="n"/>
      <c r="EE1182" s="4" t="n"/>
      <c r="EF1182" s="4" t="n"/>
      <c r="EG1182" s="4" t="n"/>
      <c r="EH1182" s="4" t="n"/>
      <c r="EI1182" s="4" t="n"/>
      <c r="EJ1182" s="4" t="n"/>
      <c r="EK1182" s="4" t="n"/>
      <c r="EL1182" s="4" t="n"/>
      <c r="EM1182" s="4" t="n"/>
    </row>
    <row r="1183" hidden="1" customFormat="1" s="6">
      <c r="C1183" s="4" t="n"/>
      <c r="D1183" s="4" t="n"/>
      <c r="E1183" s="4" t="n"/>
      <c r="F1183" s="4" t="n"/>
      <c r="G1183" s="4" t="n"/>
      <c r="H1183" s="4" t="n"/>
      <c r="I1183" s="4" t="n"/>
      <c r="J1183" s="4" t="n"/>
      <c r="K1183" s="4" t="n"/>
      <c r="L1183" s="4" t="n"/>
      <c r="M1183" s="4" t="n"/>
      <c r="N1183" s="4" t="n"/>
      <c r="O1183" s="4" t="n"/>
      <c r="P1183" s="4" t="n"/>
      <c r="Q1183" s="4" t="n"/>
      <c r="R1183" s="4" t="n"/>
      <c r="S1183" s="4" t="n"/>
      <c r="T1183" s="4" t="n"/>
      <c r="U1183" s="4" t="n"/>
      <c r="V1183" s="4" t="n"/>
      <c r="W1183" s="4" t="n"/>
      <c r="X1183" s="4" t="n"/>
      <c r="Y1183" s="4" t="n"/>
      <c r="Z1183" s="4" t="n"/>
      <c r="AA1183" s="4" t="n"/>
      <c r="AB1183" s="4" t="n"/>
      <c r="AC1183" s="4" t="n"/>
      <c r="AD1183" s="4" t="n"/>
      <c r="AE1183" s="4" t="n"/>
      <c r="AF1183" s="4" t="n"/>
      <c r="AG1183" s="4" t="n"/>
      <c r="AH1183" s="4" t="n"/>
      <c r="AI1183" s="4" t="n"/>
      <c r="AJ1183" s="4" t="n"/>
      <c r="AK1183" s="4" t="n"/>
      <c r="AL1183" s="4" t="n"/>
      <c r="AM1183" s="4" t="n"/>
      <c r="AN1183" s="4" t="n"/>
      <c r="AO1183" s="4" t="n"/>
      <c r="AP1183" s="4" t="n"/>
      <c r="AQ1183" s="4" t="n"/>
      <c r="AR1183" s="4" t="n"/>
      <c r="AS1183" s="4" t="n"/>
      <c r="AT1183" s="4" t="n"/>
      <c r="AU1183" s="4" t="n"/>
      <c r="AV1183" s="4" t="n"/>
      <c r="AW1183" s="4" t="n"/>
      <c r="AX1183" s="4" t="n"/>
      <c r="AY1183" s="4" t="n"/>
      <c r="AZ1183" s="4" t="n"/>
      <c r="BA1183" s="4" t="n"/>
      <c r="BB1183" s="4" t="n"/>
      <c r="BC1183" s="4" t="n"/>
      <c r="BD1183" s="4" t="n"/>
      <c r="BE1183" s="4" t="n"/>
      <c r="BF1183" s="4" t="n"/>
      <c r="BG1183" s="4" t="n"/>
      <c r="BH1183" s="4" t="n"/>
      <c r="BI1183" s="4" t="n"/>
      <c r="BJ1183" s="4" t="n"/>
      <c r="BK1183" s="4" t="n"/>
      <c r="BL1183" s="4" t="n"/>
      <c r="BM1183" s="4" t="n"/>
      <c r="BN1183" s="4" t="n"/>
      <c r="BO1183" s="4" t="n"/>
      <c r="BP1183" s="4" t="n"/>
      <c r="BQ1183" s="4" t="n"/>
      <c r="BR1183" s="4" t="n"/>
      <c r="BS1183" s="4" t="n"/>
      <c r="BT1183" s="4" t="n"/>
      <c r="BU1183" s="4" t="n"/>
      <c r="BV1183" s="4" t="n"/>
      <c r="BW1183" s="4" t="n"/>
      <c r="BX1183" s="4" t="n"/>
      <c r="BY1183" s="4" t="n"/>
      <c r="BZ1183" s="4" t="n"/>
      <c r="CA1183" s="4" t="n"/>
      <c r="CB1183" s="4" t="n"/>
      <c r="CC1183" s="4" t="n"/>
      <c r="CD1183" s="4" t="n"/>
      <c r="CE1183" s="4" t="n"/>
      <c r="CF1183" s="4" t="n"/>
      <c r="CG1183" s="4" t="n"/>
      <c r="CH1183" s="4" t="n"/>
      <c r="CI1183" s="4" t="n"/>
      <c r="CJ1183" s="4" t="n"/>
      <c r="CK1183" s="4" t="n"/>
      <c r="CL1183" s="4" t="n"/>
      <c r="CM1183" s="4" t="n"/>
      <c r="CN1183" s="4" t="n"/>
      <c r="CO1183" s="4" t="n"/>
      <c r="CP1183" s="4" t="n"/>
      <c r="CQ1183" s="4" t="n"/>
      <c r="CR1183" s="4" t="n"/>
      <c r="CS1183" s="4" t="n"/>
      <c r="CT1183" s="4" t="n"/>
      <c r="CU1183" s="4" t="n"/>
      <c r="CV1183" s="4" t="n"/>
      <c r="CW1183" s="4" t="n"/>
      <c r="CX1183" s="4" t="n"/>
      <c r="CY1183" s="4" t="n"/>
      <c r="CZ1183" s="4" t="n"/>
      <c r="DA1183" s="4" t="n"/>
      <c r="DB1183" s="4" t="n"/>
      <c r="DC1183" s="4" t="n"/>
      <c r="DD1183" s="4" t="n"/>
      <c r="DE1183" s="4" t="n"/>
      <c r="DF1183" s="4" t="n"/>
      <c r="DG1183" s="4" t="n"/>
      <c r="DH1183" s="4" t="n"/>
      <c r="DI1183" s="4" t="n"/>
      <c r="DJ1183" s="4" t="n"/>
      <c r="DK1183" s="4" t="n"/>
      <c r="DL1183" s="4" t="n"/>
      <c r="DM1183" s="4" t="n"/>
      <c r="DN1183" s="4" t="n"/>
      <c r="DO1183" s="4" t="n"/>
      <c r="DP1183" s="4" t="n"/>
      <c r="DQ1183" s="4" t="n"/>
      <c r="DR1183" s="4" t="n"/>
      <c r="DS1183" s="4" t="n"/>
      <c r="DT1183" s="4" t="n"/>
      <c r="DU1183" s="4" t="n"/>
      <c r="DV1183" s="4" t="n"/>
      <c r="DW1183" s="4" t="n"/>
      <c r="DX1183" s="4" t="n"/>
      <c r="DY1183" s="4" t="n"/>
      <c r="DZ1183" s="4" t="n"/>
      <c r="EA1183" s="4" t="n"/>
      <c r="EB1183" s="4" t="n"/>
      <c r="EC1183" s="4" t="n"/>
      <c r="ED1183" s="4" t="n"/>
      <c r="EE1183" s="4" t="n"/>
      <c r="EF1183" s="4" t="n"/>
      <c r="EG1183" s="4" t="n"/>
      <c r="EH1183" s="4" t="n"/>
      <c r="EI1183" s="4" t="n"/>
      <c r="EJ1183" s="4" t="n"/>
      <c r="EK1183" s="4" t="n"/>
      <c r="EL1183" s="4" t="n"/>
      <c r="EM1183" s="4" t="n"/>
    </row>
    <row r="1184" hidden="1" customFormat="1" s="6">
      <c r="C1184" s="4" t="n"/>
      <c r="D1184" s="4" t="n"/>
      <c r="E1184" s="4" t="n"/>
      <c r="F1184" s="4" t="n"/>
      <c r="G1184" s="4" t="n"/>
      <c r="H1184" s="4" t="n"/>
      <c r="I1184" s="4" t="n"/>
      <c r="J1184" s="4" t="n"/>
      <c r="K1184" s="4" t="n"/>
      <c r="L1184" s="4" t="n"/>
      <c r="M1184" s="4" t="n"/>
      <c r="N1184" s="4" t="n"/>
      <c r="O1184" s="4" t="n"/>
      <c r="P1184" s="4" t="n"/>
      <c r="Q1184" s="4" t="n"/>
      <c r="R1184" s="4" t="n"/>
      <c r="S1184" s="4" t="n"/>
      <c r="T1184" s="4" t="n"/>
      <c r="U1184" s="4" t="n"/>
      <c r="V1184" s="4" t="n"/>
      <c r="W1184" s="4" t="n"/>
      <c r="X1184" s="4" t="n"/>
      <c r="Y1184" s="4" t="n"/>
      <c r="Z1184" s="4" t="n"/>
      <c r="AA1184" s="4" t="n"/>
      <c r="AB1184" s="4" t="n"/>
      <c r="AC1184" s="4" t="n"/>
      <c r="AD1184" s="4" t="n"/>
      <c r="AE1184" s="4" t="n"/>
      <c r="AF1184" s="4" t="n"/>
      <c r="AG1184" s="4" t="n"/>
      <c r="AH1184" s="4" t="n"/>
      <c r="AI1184" s="4" t="n"/>
      <c r="AJ1184" s="4" t="n"/>
      <c r="AK1184" s="4" t="n"/>
      <c r="AL1184" s="4" t="n"/>
      <c r="AM1184" s="4" t="n"/>
      <c r="AN1184" s="4" t="n"/>
      <c r="AO1184" s="4" t="n"/>
      <c r="AP1184" s="4" t="n"/>
      <c r="AQ1184" s="4" t="n"/>
      <c r="AR1184" s="4" t="n"/>
      <c r="AS1184" s="4" t="n"/>
      <c r="AT1184" s="4" t="n"/>
      <c r="AU1184" s="4" t="n"/>
      <c r="AV1184" s="4" t="n"/>
      <c r="AW1184" s="4" t="n"/>
      <c r="AX1184" s="4" t="n"/>
      <c r="AY1184" s="4" t="n"/>
      <c r="AZ1184" s="4" t="n"/>
      <c r="BA1184" s="4" t="n"/>
      <c r="BB1184" s="4" t="n"/>
      <c r="BC1184" s="4" t="n"/>
      <c r="BD1184" s="4" t="n"/>
      <c r="BE1184" s="4" t="n"/>
      <c r="BF1184" s="4" t="n"/>
      <c r="BG1184" s="4" t="n"/>
      <c r="BH1184" s="4" t="n"/>
      <c r="BI1184" s="4" t="n"/>
      <c r="BJ1184" s="4" t="n"/>
      <c r="BK1184" s="4" t="n"/>
      <c r="BL1184" s="4" t="n"/>
      <c r="BM1184" s="4" t="n"/>
      <c r="BN1184" s="4" t="n"/>
      <c r="BO1184" s="4" t="n"/>
      <c r="BP1184" s="4" t="n"/>
      <c r="BQ1184" s="4" t="n"/>
      <c r="BR1184" s="4" t="n"/>
      <c r="BS1184" s="4" t="n"/>
      <c r="BT1184" s="4" t="n"/>
      <c r="BU1184" s="4" t="n"/>
      <c r="BV1184" s="4" t="n"/>
      <c r="BW1184" s="4" t="n"/>
      <c r="BX1184" s="4" t="n"/>
      <c r="BY1184" s="4" t="n"/>
      <c r="BZ1184" s="4" t="n"/>
      <c r="CA1184" s="4" t="n"/>
      <c r="CB1184" s="4" t="n"/>
      <c r="CC1184" s="4" t="n"/>
      <c r="CD1184" s="4" t="n"/>
      <c r="CE1184" s="4" t="n"/>
      <c r="CF1184" s="4" t="n"/>
      <c r="CG1184" s="4" t="n"/>
      <c r="CH1184" s="4" t="n"/>
      <c r="CI1184" s="4" t="n"/>
      <c r="CJ1184" s="4" t="n"/>
      <c r="CK1184" s="4" t="n"/>
      <c r="CL1184" s="4" t="n"/>
      <c r="CM1184" s="4" t="n"/>
      <c r="CN1184" s="4" t="n"/>
      <c r="CO1184" s="4" t="n"/>
      <c r="CP1184" s="4" t="n"/>
      <c r="CQ1184" s="4" t="n"/>
      <c r="CR1184" s="4" t="n"/>
      <c r="CS1184" s="4" t="n"/>
      <c r="CT1184" s="4" t="n"/>
      <c r="CU1184" s="4" t="n"/>
      <c r="CV1184" s="4" t="n"/>
      <c r="CW1184" s="4" t="n"/>
      <c r="CX1184" s="4" t="n"/>
      <c r="CY1184" s="4" t="n"/>
      <c r="CZ1184" s="4" t="n"/>
      <c r="DA1184" s="4" t="n"/>
      <c r="DB1184" s="4" t="n"/>
      <c r="DC1184" s="4" t="n"/>
      <c r="DD1184" s="4" t="n"/>
      <c r="DE1184" s="4" t="n"/>
      <c r="DF1184" s="4" t="n"/>
      <c r="DG1184" s="4" t="n"/>
      <c r="DH1184" s="4" t="n"/>
      <c r="DI1184" s="4" t="n"/>
      <c r="DJ1184" s="4" t="n"/>
      <c r="DK1184" s="4" t="n"/>
      <c r="DL1184" s="4" t="n"/>
      <c r="DM1184" s="4" t="n"/>
      <c r="DN1184" s="4" t="n"/>
      <c r="DO1184" s="4" t="n"/>
      <c r="DP1184" s="4" t="n"/>
      <c r="DQ1184" s="4" t="n"/>
      <c r="DR1184" s="4" t="n"/>
      <c r="DS1184" s="4" t="n"/>
      <c r="DT1184" s="4" t="n"/>
      <c r="DU1184" s="4" t="n"/>
      <c r="DV1184" s="4" t="n"/>
      <c r="DW1184" s="4" t="n"/>
      <c r="DX1184" s="4" t="n"/>
      <c r="DY1184" s="4" t="n"/>
      <c r="DZ1184" s="4" t="n"/>
      <c r="EA1184" s="4" t="n"/>
      <c r="EB1184" s="4" t="n"/>
      <c r="EC1184" s="4" t="n"/>
      <c r="ED1184" s="4" t="n"/>
      <c r="EE1184" s="4" t="n"/>
      <c r="EF1184" s="4" t="n"/>
      <c r="EG1184" s="4" t="n"/>
      <c r="EH1184" s="4" t="n"/>
      <c r="EI1184" s="4" t="n"/>
      <c r="EJ1184" s="4" t="n"/>
      <c r="EK1184" s="4" t="n"/>
      <c r="EL1184" s="4" t="n"/>
      <c r="EM1184" s="4" t="n"/>
    </row>
    <row r="1185" hidden="1" customFormat="1" s="6">
      <c r="C1185" s="4" t="n"/>
      <c r="D1185" s="4" t="n"/>
      <c r="E1185" s="4" t="n"/>
      <c r="F1185" s="4" t="n"/>
      <c r="G1185" s="4" t="n"/>
      <c r="H1185" s="4" t="n"/>
      <c r="I1185" s="4" t="n"/>
      <c r="J1185" s="4" t="n"/>
      <c r="K1185" s="4" t="n"/>
      <c r="L1185" s="4" t="n"/>
      <c r="M1185" s="4" t="n"/>
      <c r="N1185" s="4" t="n"/>
      <c r="O1185" s="4" t="n"/>
      <c r="P1185" s="4" t="n"/>
      <c r="Q1185" s="4" t="n"/>
      <c r="R1185" s="4" t="n"/>
      <c r="S1185" s="4" t="n"/>
      <c r="T1185" s="4" t="n"/>
      <c r="U1185" s="4" t="n"/>
      <c r="V1185" s="4" t="n"/>
      <c r="W1185" s="4" t="n"/>
      <c r="X1185" s="4" t="n"/>
      <c r="Y1185" s="4" t="n"/>
      <c r="Z1185" s="4" t="n"/>
      <c r="AA1185" s="4" t="n"/>
      <c r="AB1185" s="4" t="n"/>
      <c r="AC1185" s="4" t="n"/>
      <c r="AD1185" s="4" t="n"/>
      <c r="AE1185" s="4" t="n"/>
      <c r="AF1185" s="4" t="n"/>
      <c r="AG1185" s="4" t="n"/>
      <c r="AH1185" s="4" t="n"/>
      <c r="AI1185" s="4" t="n"/>
      <c r="AJ1185" s="4" t="n"/>
      <c r="AK1185" s="4" t="n"/>
      <c r="AL1185" s="4" t="n"/>
      <c r="AM1185" s="4" t="n"/>
      <c r="AN1185" s="4" t="n"/>
      <c r="AO1185" s="4" t="n"/>
      <c r="AP1185" s="4" t="n"/>
      <c r="AQ1185" s="4" t="n"/>
      <c r="AR1185" s="4" t="n"/>
      <c r="AS1185" s="4" t="n"/>
      <c r="AT1185" s="4" t="n"/>
      <c r="AU1185" s="4" t="n"/>
      <c r="AV1185" s="4" t="n"/>
      <c r="AW1185" s="4" t="n"/>
      <c r="AX1185" s="4" t="n"/>
      <c r="AY1185" s="4" t="n"/>
      <c r="AZ1185" s="4" t="n"/>
      <c r="BA1185" s="4" t="n"/>
      <c r="BB1185" s="4" t="n"/>
      <c r="BC1185" s="4" t="n"/>
      <c r="BD1185" s="4" t="n"/>
      <c r="BE1185" s="4" t="n"/>
      <c r="BF1185" s="4" t="n"/>
      <c r="BG1185" s="4" t="n"/>
      <c r="BH1185" s="4" t="n"/>
      <c r="BI1185" s="4" t="n"/>
      <c r="BJ1185" s="4" t="n"/>
      <c r="BK1185" s="4" t="n"/>
      <c r="BL1185" s="4" t="n"/>
      <c r="BM1185" s="4" t="n"/>
      <c r="BN1185" s="4" t="n"/>
      <c r="BO1185" s="4" t="n"/>
      <c r="BP1185" s="4" t="n"/>
      <c r="BQ1185" s="4" t="n"/>
      <c r="BR1185" s="4" t="n"/>
      <c r="BS1185" s="4" t="n"/>
      <c r="BT1185" s="4" t="n"/>
      <c r="BU1185" s="4" t="n"/>
      <c r="BV1185" s="4" t="n"/>
      <c r="BW1185" s="4" t="n"/>
      <c r="BX1185" s="4" t="n"/>
      <c r="BY1185" s="4" t="n"/>
      <c r="BZ1185" s="4" t="n"/>
      <c r="CA1185" s="4" t="n"/>
      <c r="CB1185" s="4" t="n"/>
      <c r="CC1185" s="4" t="n"/>
      <c r="CD1185" s="4" t="n"/>
      <c r="CE1185" s="4" t="n"/>
      <c r="CF1185" s="4" t="n"/>
      <c r="CG1185" s="4" t="n"/>
      <c r="CH1185" s="4" t="n"/>
      <c r="CI1185" s="4" t="n"/>
      <c r="CJ1185" s="4" t="n"/>
      <c r="CK1185" s="4" t="n"/>
      <c r="CL1185" s="4" t="n"/>
      <c r="CM1185" s="4" t="n"/>
      <c r="CN1185" s="4" t="n"/>
      <c r="CO1185" s="4" t="n"/>
      <c r="CP1185" s="4" t="n"/>
      <c r="CQ1185" s="4" t="n"/>
      <c r="CR1185" s="4" t="n"/>
      <c r="CS1185" s="4" t="n"/>
      <c r="CT1185" s="4" t="n"/>
      <c r="CU1185" s="4" t="n"/>
      <c r="CV1185" s="4" t="n"/>
      <c r="CW1185" s="4" t="n"/>
      <c r="CX1185" s="4" t="n"/>
      <c r="CY1185" s="4" t="n"/>
      <c r="CZ1185" s="4" t="n"/>
      <c r="DA1185" s="4" t="n"/>
      <c r="DB1185" s="4" t="n"/>
      <c r="DC1185" s="4" t="n"/>
      <c r="DD1185" s="4" t="n"/>
      <c r="DE1185" s="4" t="n"/>
      <c r="DF1185" s="4" t="n"/>
      <c r="DG1185" s="4" t="n"/>
      <c r="DH1185" s="4" t="n"/>
      <c r="DI1185" s="4" t="n"/>
      <c r="DJ1185" s="4" t="n"/>
      <c r="DK1185" s="4" t="n"/>
      <c r="DL1185" s="4" t="n"/>
      <c r="DM1185" s="4" t="n"/>
      <c r="DN1185" s="4" t="n"/>
      <c r="DO1185" s="4" t="n"/>
      <c r="DP1185" s="4" t="n"/>
      <c r="DQ1185" s="4" t="n"/>
      <c r="DR1185" s="4" t="n"/>
      <c r="DS1185" s="4" t="n"/>
      <c r="DT1185" s="4" t="n"/>
      <c r="DU1185" s="4" t="n"/>
      <c r="DV1185" s="4" t="n"/>
      <c r="DW1185" s="4" t="n"/>
      <c r="DX1185" s="4" t="n"/>
      <c r="DY1185" s="4" t="n"/>
      <c r="DZ1185" s="4" t="n"/>
      <c r="EA1185" s="4" t="n"/>
      <c r="EB1185" s="4" t="n"/>
      <c r="EC1185" s="4" t="n"/>
      <c r="ED1185" s="4" t="n"/>
      <c r="EE1185" s="4" t="n"/>
      <c r="EF1185" s="4" t="n"/>
      <c r="EG1185" s="4" t="n"/>
      <c r="EH1185" s="4" t="n"/>
      <c r="EI1185" s="4" t="n"/>
      <c r="EJ1185" s="4" t="n"/>
      <c r="EK1185" s="4" t="n"/>
      <c r="EL1185" s="4" t="n"/>
      <c r="EM1185" s="4" t="n"/>
    </row>
    <row r="1186" hidden="1" customFormat="1" s="6">
      <c r="C1186" s="4" t="n"/>
      <c r="D1186" s="4" t="n"/>
      <c r="E1186" s="4" t="n"/>
      <c r="F1186" s="4" t="n"/>
      <c r="G1186" s="4" t="n"/>
      <c r="H1186" s="4" t="n"/>
      <c r="I1186" s="4" t="n"/>
      <c r="J1186" s="4" t="n"/>
      <c r="K1186" s="4" t="n"/>
      <c r="L1186" s="4" t="n"/>
      <c r="M1186" s="4" t="n"/>
      <c r="N1186" s="4" t="n"/>
      <c r="O1186" s="4" t="n"/>
      <c r="P1186" s="4" t="n"/>
      <c r="Q1186" s="4" t="n"/>
      <c r="R1186" s="4" t="n"/>
      <c r="S1186" s="4" t="n"/>
      <c r="T1186" s="4" t="n"/>
      <c r="U1186" s="4" t="n"/>
      <c r="V1186" s="4" t="n"/>
      <c r="W1186" s="4" t="n"/>
      <c r="X1186" s="4" t="n"/>
      <c r="Y1186" s="4" t="n"/>
      <c r="Z1186" s="4" t="n"/>
      <c r="AA1186" s="4" t="n"/>
      <c r="AB1186" s="4" t="n"/>
      <c r="AC1186" s="4" t="n"/>
      <c r="AD1186" s="4" t="n"/>
      <c r="AE1186" s="4" t="n"/>
      <c r="AF1186" s="4" t="n"/>
      <c r="AG1186" s="4" t="n"/>
      <c r="AH1186" s="4" t="n"/>
      <c r="AI1186" s="4" t="n"/>
      <c r="AJ1186" s="4" t="n"/>
      <c r="AK1186" s="4" t="n"/>
      <c r="AL1186" s="4" t="n"/>
      <c r="AM1186" s="4" t="n"/>
      <c r="AN1186" s="4" t="n"/>
      <c r="AO1186" s="4" t="n"/>
      <c r="AP1186" s="4" t="n"/>
      <c r="AQ1186" s="4" t="n"/>
      <c r="AR1186" s="4" t="n"/>
      <c r="AS1186" s="4" t="n"/>
      <c r="AT1186" s="4" t="n"/>
      <c r="AU1186" s="4" t="n"/>
      <c r="AV1186" s="4" t="n"/>
      <c r="AW1186" s="4" t="n"/>
      <c r="AX1186" s="4" t="n"/>
      <c r="AY1186" s="4" t="n"/>
      <c r="AZ1186" s="4" t="n"/>
      <c r="BA1186" s="4" t="n"/>
      <c r="BB1186" s="4" t="n"/>
      <c r="BC1186" s="4" t="n"/>
      <c r="BD1186" s="4" t="n"/>
      <c r="BE1186" s="4" t="n"/>
      <c r="BF1186" s="4" t="n"/>
      <c r="BG1186" s="4" t="n"/>
      <c r="BH1186" s="4" t="n"/>
      <c r="BI1186" s="4" t="n"/>
      <c r="BJ1186" s="4" t="n"/>
      <c r="BK1186" s="4" t="n"/>
      <c r="BL1186" s="4" t="n"/>
      <c r="BM1186" s="4" t="n"/>
      <c r="BN1186" s="4" t="n"/>
      <c r="BO1186" s="4" t="n"/>
      <c r="BP1186" s="4" t="n"/>
      <c r="BQ1186" s="4" t="n"/>
      <c r="BR1186" s="4" t="n"/>
      <c r="BS1186" s="4" t="n"/>
      <c r="BT1186" s="4" t="n"/>
      <c r="BU1186" s="4" t="n"/>
      <c r="BV1186" s="4" t="n"/>
      <c r="BW1186" s="4" t="n"/>
      <c r="BX1186" s="4" t="n"/>
      <c r="BY1186" s="4" t="n"/>
      <c r="BZ1186" s="4" t="n"/>
      <c r="CA1186" s="4" t="n"/>
      <c r="CB1186" s="4" t="n"/>
      <c r="CC1186" s="4" t="n"/>
      <c r="CD1186" s="4" t="n"/>
      <c r="CE1186" s="4" t="n"/>
      <c r="CF1186" s="4" t="n"/>
      <c r="CG1186" s="4" t="n"/>
      <c r="CH1186" s="4" t="n"/>
      <c r="CI1186" s="4" t="n"/>
      <c r="CJ1186" s="4" t="n"/>
      <c r="CK1186" s="4" t="n"/>
      <c r="CL1186" s="4" t="n"/>
      <c r="CM1186" s="4" t="n"/>
      <c r="CN1186" s="4" t="n"/>
      <c r="CO1186" s="4" t="n"/>
      <c r="CP1186" s="4" t="n"/>
      <c r="CQ1186" s="4" t="n"/>
      <c r="CR1186" s="4" t="n"/>
      <c r="CS1186" s="4" t="n"/>
      <c r="CT1186" s="4" t="n"/>
      <c r="CU1186" s="4" t="n"/>
      <c r="CV1186" s="4" t="n"/>
      <c r="CW1186" s="4" t="n"/>
      <c r="CX1186" s="4" t="n"/>
      <c r="CY1186" s="4" t="n"/>
      <c r="CZ1186" s="4" t="n"/>
      <c r="DA1186" s="4" t="n"/>
      <c r="DB1186" s="4" t="n"/>
      <c r="DC1186" s="4" t="n"/>
      <c r="DD1186" s="4" t="n"/>
      <c r="DE1186" s="4" t="n"/>
      <c r="DF1186" s="4" t="n"/>
      <c r="DG1186" s="4" t="n"/>
      <c r="DH1186" s="4" t="n"/>
      <c r="DI1186" s="4" t="n"/>
      <c r="DJ1186" s="4" t="n"/>
      <c r="DK1186" s="4" t="n"/>
      <c r="DL1186" s="4" t="n"/>
      <c r="DM1186" s="4" t="n"/>
      <c r="DN1186" s="4" t="n"/>
      <c r="DO1186" s="4" t="n"/>
      <c r="DP1186" s="4" t="n"/>
      <c r="DQ1186" s="4" t="n"/>
      <c r="DR1186" s="4" t="n"/>
      <c r="DS1186" s="4" t="n"/>
      <c r="DT1186" s="4" t="n"/>
      <c r="DU1186" s="4" t="n"/>
      <c r="DV1186" s="4" t="n"/>
      <c r="DW1186" s="4" t="n"/>
      <c r="DX1186" s="4" t="n"/>
      <c r="DY1186" s="4" t="n"/>
      <c r="DZ1186" s="4" t="n"/>
      <c r="EA1186" s="4" t="n"/>
      <c r="EB1186" s="4" t="n"/>
      <c r="EC1186" s="4" t="n"/>
      <c r="ED1186" s="4" t="n"/>
      <c r="EE1186" s="4" t="n"/>
      <c r="EF1186" s="4" t="n"/>
      <c r="EG1186" s="4" t="n"/>
      <c r="EH1186" s="4" t="n"/>
      <c r="EI1186" s="4" t="n"/>
      <c r="EJ1186" s="4" t="n"/>
      <c r="EK1186" s="4" t="n"/>
      <c r="EL1186" s="4" t="n"/>
      <c r="EM1186" s="4" t="n"/>
    </row>
    <row r="1187" hidden="1" customFormat="1" s="6">
      <c r="C1187" s="4" t="n"/>
      <c r="D1187" s="4" t="n"/>
      <c r="E1187" s="4" t="n"/>
      <c r="F1187" s="4" t="n"/>
      <c r="G1187" s="4" t="n"/>
      <c r="H1187" s="4" t="n"/>
      <c r="I1187" s="4" t="n"/>
      <c r="J1187" s="4" t="n"/>
      <c r="K1187" s="4" t="n"/>
      <c r="L1187" s="4" t="n"/>
      <c r="M1187" s="4" t="n"/>
      <c r="N1187" s="4" t="n"/>
      <c r="O1187" s="4" t="n"/>
      <c r="P1187" s="4" t="n"/>
      <c r="Q1187" s="4" t="n"/>
      <c r="R1187" s="4" t="n"/>
      <c r="S1187" s="4" t="n"/>
      <c r="T1187" s="4" t="n"/>
      <c r="U1187" s="4" t="n"/>
      <c r="V1187" s="4" t="n"/>
      <c r="W1187" s="4" t="n"/>
      <c r="X1187" s="4" t="n"/>
      <c r="Y1187" s="4" t="n"/>
      <c r="Z1187" s="4" t="n"/>
      <c r="AA1187" s="4" t="n"/>
      <c r="AB1187" s="4" t="n"/>
      <c r="AC1187" s="4" t="n"/>
      <c r="AD1187" s="4" t="n"/>
      <c r="AE1187" s="4" t="n"/>
      <c r="AF1187" s="4" t="n"/>
      <c r="AG1187" s="4" t="n"/>
      <c r="AH1187" s="4" t="n"/>
      <c r="AI1187" s="4" t="n"/>
      <c r="AJ1187" s="4" t="n"/>
      <c r="AK1187" s="4" t="n"/>
      <c r="AL1187" s="4" t="n"/>
      <c r="AM1187" s="4" t="n"/>
      <c r="AN1187" s="4" t="n"/>
      <c r="AO1187" s="4" t="n"/>
      <c r="AP1187" s="4" t="n"/>
      <c r="AQ1187" s="4" t="n"/>
      <c r="AR1187" s="4" t="n"/>
      <c r="AS1187" s="4" t="n"/>
      <c r="AT1187" s="4" t="n"/>
      <c r="AU1187" s="4" t="n"/>
      <c r="AV1187" s="4" t="n"/>
      <c r="AW1187" s="4" t="n"/>
      <c r="AX1187" s="4" t="n"/>
      <c r="AY1187" s="4" t="n"/>
      <c r="AZ1187" s="4" t="n"/>
      <c r="BA1187" s="4" t="n"/>
      <c r="BB1187" s="4" t="n"/>
      <c r="BC1187" s="4" t="n"/>
      <c r="BD1187" s="4" t="n"/>
      <c r="BE1187" s="4" t="n"/>
      <c r="BF1187" s="4" t="n"/>
      <c r="BG1187" s="4" t="n"/>
      <c r="BH1187" s="4" t="n"/>
      <c r="BI1187" s="4" t="n"/>
      <c r="BJ1187" s="4" t="n"/>
      <c r="BK1187" s="4" t="n"/>
      <c r="BL1187" s="4" t="n"/>
      <c r="BM1187" s="4" t="n"/>
      <c r="BN1187" s="4" t="n"/>
      <c r="BO1187" s="4" t="n"/>
      <c r="BP1187" s="4" t="n"/>
      <c r="BQ1187" s="4" t="n"/>
      <c r="BR1187" s="4" t="n"/>
      <c r="BS1187" s="4" t="n"/>
      <c r="BT1187" s="4" t="n"/>
      <c r="BU1187" s="4" t="n"/>
      <c r="BV1187" s="4" t="n"/>
      <c r="BW1187" s="4" t="n"/>
      <c r="BX1187" s="4" t="n"/>
      <c r="BY1187" s="4" t="n"/>
      <c r="BZ1187" s="4" t="n"/>
      <c r="CA1187" s="4" t="n"/>
      <c r="CB1187" s="4" t="n"/>
      <c r="CC1187" s="4" t="n"/>
      <c r="CD1187" s="4" t="n"/>
      <c r="CE1187" s="4" t="n"/>
      <c r="CF1187" s="4" t="n"/>
      <c r="CG1187" s="4" t="n"/>
      <c r="CH1187" s="4" t="n"/>
      <c r="CI1187" s="4" t="n"/>
      <c r="CJ1187" s="4" t="n"/>
      <c r="CK1187" s="4" t="n"/>
      <c r="CL1187" s="4" t="n"/>
      <c r="CM1187" s="4" t="n"/>
      <c r="CN1187" s="4" t="n"/>
      <c r="CO1187" s="4" t="n"/>
      <c r="CP1187" s="4" t="n"/>
      <c r="CQ1187" s="4" t="n"/>
      <c r="CR1187" s="4" t="n"/>
      <c r="CS1187" s="4" t="n"/>
      <c r="CT1187" s="4" t="n"/>
      <c r="CU1187" s="4" t="n"/>
      <c r="CV1187" s="4" t="n"/>
      <c r="CW1187" s="4" t="n"/>
      <c r="CX1187" s="4" t="n"/>
      <c r="CY1187" s="4" t="n"/>
      <c r="CZ1187" s="4" t="n"/>
      <c r="DA1187" s="4" t="n"/>
      <c r="DB1187" s="4" t="n"/>
      <c r="DC1187" s="4" t="n"/>
      <c r="DD1187" s="4" t="n"/>
      <c r="DE1187" s="4" t="n"/>
      <c r="DF1187" s="4" t="n"/>
      <c r="DG1187" s="4" t="n"/>
      <c r="DH1187" s="4" t="n"/>
      <c r="DI1187" s="4" t="n"/>
      <c r="DJ1187" s="4" t="n"/>
      <c r="DK1187" s="4" t="n"/>
      <c r="DL1187" s="4" t="n"/>
      <c r="DM1187" s="4" t="n"/>
      <c r="DN1187" s="4" t="n"/>
      <c r="DO1187" s="4" t="n"/>
      <c r="DP1187" s="4" t="n"/>
      <c r="DQ1187" s="4" t="n"/>
      <c r="DR1187" s="4" t="n"/>
      <c r="DS1187" s="4" t="n"/>
      <c r="DT1187" s="4" t="n"/>
      <c r="DU1187" s="4" t="n"/>
      <c r="DV1187" s="4" t="n"/>
      <c r="DW1187" s="4" t="n"/>
      <c r="DX1187" s="4" t="n"/>
      <c r="DY1187" s="4" t="n"/>
      <c r="DZ1187" s="4" t="n"/>
      <c r="EA1187" s="4" t="n"/>
      <c r="EB1187" s="4" t="n"/>
      <c r="EC1187" s="4" t="n"/>
      <c r="ED1187" s="4" t="n"/>
      <c r="EE1187" s="4" t="n"/>
      <c r="EF1187" s="4" t="n"/>
      <c r="EG1187" s="4" t="n"/>
      <c r="EH1187" s="4" t="n"/>
      <c r="EI1187" s="4" t="n"/>
      <c r="EJ1187" s="4" t="n"/>
      <c r="EK1187" s="4" t="n"/>
      <c r="EL1187" s="4" t="n"/>
      <c r="EM1187" s="4" t="n"/>
    </row>
    <row r="1188" hidden="1" customFormat="1" s="6">
      <c r="C1188" s="4" t="n"/>
      <c r="D1188" s="4" t="n"/>
      <c r="E1188" s="4" t="n"/>
      <c r="F1188" s="4" t="n"/>
      <c r="G1188" s="4" t="n"/>
      <c r="H1188" s="4" t="n"/>
      <c r="I1188" s="4" t="n"/>
      <c r="J1188" s="4" t="n"/>
      <c r="K1188" s="4" t="n"/>
      <c r="L1188" s="4" t="n"/>
      <c r="M1188" s="4" t="n"/>
      <c r="N1188" s="4" t="n"/>
      <c r="O1188" s="4" t="n"/>
      <c r="P1188" s="4" t="n"/>
      <c r="Q1188" s="4" t="n"/>
      <c r="R1188" s="4" t="n"/>
      <c r="S1188" s="4" t="n"/>
      <c r="T1188" s="4" t="n"/>
      <c r="U1188" s="4" t="n"/>
      <c r="V1188" s="4" t="n"/>
      <c r="W1188" s="4" t="n"/>
      <c r="X1188" s="4" t="n"/>
      <c r="Y1188" s="4" t="n"/>
      <c r="Z1188" s="4" t="n"/>
      <c r="AA1188" s="4" t="n"/>
      <c r="AB1188" s="4" t="n"/>
      <c r="AC1188" s="4" t="n"/>
      <c r="AD1188" s="4" t="n"/>
      <c r="AE1188" s="4" t="n"/>
      <c r="AF1188" s="4" t="n"/>
      <c r="AG1188" s="4" t="n"/>
      <c r="AH1188" s="4" t="n"/>
      <c r="AI1188" s="4" t="n"/>
      <c r="AJ1188" s="4" t="n"/>
      <c r="AK1188" s="4" t="n"/>
      <c r="AL1188" s="4" t="n"/>
      <c r="AM1188" s="4" t="n"/>
      <c r="AN1188" s="4" t="n"/>
      <c r="AO1188" s="4" t="n"/>
      <c r="AP1188" s="4" t="n"/>
      <c r="AQ1188" s="4" t="n"/>
      <c r="AR1188" s="4" t="n"/>
      <c r="AS1188" s="4" t="n"/>
      <c r="AT1188" s="4" t="n"/>
      <c r="AU1188" s="4" t="n"/>
      <c r="AV1188" s="4" t="n"/>
      <c r="AW1188" s="4" t="n"/>
      <c r="AX1188" s="4" t="n"/>
      <c r="AY1188" s="4" t="n"/>
      <c r="AZ1188" s="4" t="n"/>
      <c r="BA1188" s="4" t="n"/>
      <c r="BB1188" s="4" t="n"/>
      <c r="BC1188" s="4" t="n"/>
      <c r="BD1188" s="4" t="n"/>
      <c r="BE1188" s="4" t="n"/>
      <c r="BF1188" s="4" t="n"/>
      <c r="BG1188" s="4" t="n"/>
      <c r="BH1188" s="4" t="n"/>
      <c r="BI1188" s="4" t="n"/>
      <c r="BJ1188" s="4" t="n"/>
      <c r="BK1188" s="4" t="n"/>
      <c r="BL1188" s="4" t="n"/>
      <c r="BM1188" s="4" t="n"/>
      <c r="BN1188" s="4" t="n"/>
      <c r="BO1188" s="4" t="n"/>
      <c r="BP1188" s="4" t="n"/>
      <c r="BQ1188" s="4" t="n"/>
      <c r="BR1188" s="4" t="n"/>
      <c r="BS1188" s="4" t="n"/>
      <c r="BT1188" s="4" t="n"/>
      <c r="BU1188" s="4" t="n"/>
      <c r="BV1188" s="4" t="n"/>
      <c r="BW1188" s="4" t="n"/>
      <c r="BX1188" s="4" t="n"/>
      <c r="BY1188" s="4" t="n"/>
      <c r="BZ1188" s="4" t="n"/>
      <c r="CA1188" s="4" t="n"/>
      <c r="CB1188" s="4" t="n"/>
      <c r="CC1188" s="4" t="n"/>
      <c r="CD1188" s="4" t="n"/>
      <c r="CE1188" s="4" t="n"/>
      <c r="CF1188" s="4" t="n"/>
      <c r="CG1188" s="4" t="n"/>
      <c r="CH1188" s="4" t="n"/>
      <c r="CI1188" s="4" t="n"/>
      <c r="CJ1188" s="4" t="n"/>
      <c r="CK1188" s="4" t="n"/>
      <c r="CL1188" s="4" t="n"/>
      <c r="CM1188" s="4" t="n"/>
      <c r="CN1188" s="4" t="n"/>
      <c r="CO1188" s="4" t="n"/>
      <c r="CP1188" s="4" t="n"/>
      <c r="CQ1188" s="4" t="n"/>
      <c r="CR1188" s="4" t="n"/>
      <c r="CS1188" s="4" t="n"/>
      <c r="CT1188" s="4" t="n"/>
      <c r="CU1188" s="4" t="n"/>
      <c r="CV1188" s="4" t="n"/>
      <c r="CW1188" s="4" t="n"/>
      <c r="CX1188" s="4" t="n"/>
      <c r="CY1188" s="4" t="n"/>
      <c r="CZ1188" s="4" t="n"/>
      <c r="DA1188" s="4" t="n"/>
      <c r="DB1188" s="4" t="n"/>
      <c r="DC1188" s="4" t="n"/>
      <c r="DD1188" s="4" t="n"/>
      <c r="DE1188" s="4" t="n"/>
      <c r="DF1188" s="4" t="n"/>
      <c r="DG1188" s="4" t="n"/>
      <c r="DH1188" s="4" t="n"/>
      <c r="DI1188" s="4" t="n"/>
      <c r="DJ1188" s="4" t="n"/>
      <c r="DK1188" s="4" t="n"/>
      <c r="DL1188" s="4" t="n"/>
      <c r="DM1188" s="4" t="n"/>
      <c r="DN1188" s="4" t="n"/>
      <c r="DO1188" s="4" t="n"/>
      <c r="DP1188" s="4" t="n"/>
      <c r="DQ1188" s="4" t="n"/>
      <c r="DR1188" s="4" t="n"/>
      <c r="DS1188" s="4" t="n"/>
      <c r="DT1188" s="4" t="n"/>
      <c r="DU1188" s="4" t="n"/>
      <c r="DV1188" s="4" t="n"/>
      <c r="DW1188" s="4" t="n"/>
      <c r="DX1188" s="4" t="n"/>
      <c r="DY1188" s="4" t="n"/>
      <c r="DZ1188" s="4" t="n"/>
      <c r="EA1188" s="4" t="n"/>
      <c r="EB1188" s="4" t="n"/>
      <c r="EC1188" s="4" t="n"/>
      <c r="ED1188" s="4" t="n"/>
      <c r="EE1188" s="4" t="n"/>
      <c r="EF1188" s="4" t="n"/>
      <c r="EG1188" s="4" t="n"/>
      <c r="EH1188" s="4" t="n"/>
      <c r="EI1188" s="4" t="n"/>
      <c r="EJ1188" s="4" t="n"/>
      <c r="EK1188" s="4" t="n"/>
      <c r="EL1188" s="4" t="n"/>
      <c r="EM1188" s="4" t="n"/>
    </row>
    <row r="1189" hidden="1" customFormat="1" s="6">
      <c r="C1189" s="4" t="n"/>
      <c r="D1189" s="4" t="n"/>
      <c r="E1189" s="4" t="n"/>
      <c r="F1189" s="4" t="n"/>
      <c r="G1189" s="4" t="n"/>
      <c r="H1189" s="4" t="n"/>
      <c r="I1189" s="4" t="n"/>
      <c r="J1189" s="4" t="n"/>
      <c r="K1189" s="4" t="n"/>
      <c r="L1189" s="4" t="n"/>
      <c r="M1189" s="4" t="n"/>
      <c r="N1189" s="4" t="n"/>
      <c r="O1189" s="4" t="n"/>
      <c r="P1189" s="4" t="n"/>
      <c r="Q1189" s="4" t="n"/>
      <c r="R1189" s="4" t="n"/>
      <c r="S1189" s="4" t="n"/>
      <c r="T1189" s="4" t="n"/>
      <c r="U1189" s="4" t="n"/>
      <c r="V1189" s="4" t="n"/>
      <c r="W1189" s="4" t="n"/>
      <c r="X1189" s="4" t="n"/>
      <c r="Y1189" s="4" t="n"/>
      <c r="Z1189" s="4" t="n"/>
      <c r="AA1189" s="4" t="n"/>
      <c r="AB1189" s="4" t="n"/>
      <c r="AC1189" s="4" t="n"/>
      <c r="AD1189" s="4" t="n"/>
      <c r="AE1189" s="4" t="n"/>
      <c r="AF1189" s="4" t="n"/>
      <c r="AG1189" s="4" t="n"/>
      <c r="AH1189" s="4" t="n"/>
      <c r="AI1189" s="4" t="n"/>
      <c r="AJ1189" s="4" t="n"/>
      <c r="AK1189" s="4" t="n"/>
      <c r="AL1189" s="4" t="n"/>
      <c r="AM1189" s="4" t="n"/>
      <c r="AN1189" s="4" t="n"/>
      <c r="AO1189" s="4" t="n"/>
      <c r="AP1189" s="4" t="n"/>
      <c r="AQ1189" s="4" t="n"/>
      <c r="AR1189" s="4" t="n"/>
      <c r="AS1189" s="4" t="n"/>
      <c r="AT1189" s="4" t="n"/>
      <c r="AU1189" s="4" t="n"/>
      <c r="AV1189" s="4" t="n"/>
      <c r="AW1189" s="4" t="n"/>
      <c r="AX1189" s="4" t="n"/>
      <c r="AY1189" s="4" t="n"/>
      <c r="AZ1189" s="4" t="n"/>
      <c r="BA1189" s="4" t="n"/>
      <c r="BB1189" s="4" t="n"/>
      <c r="BC1189" s="4" t="n"/>
      <c r="BD1189" s="4" t="n"/>
      <c r="BE1189" s="4" t="n"/>
      <c r="BF1189" s="4" t="n"/>
      <c r="BG1189" s="4" t="n"/>
      <c r="BH1189" s="4" t="n"/>
      <c r="BI1189" s="4" t="n"/>
      <c r="BJ1189" s="4" t="n"/>
      <c r="BK1189" s="4" t="n"/>
      <c r="BL1189" s="4" t="n"/>
      <c r="BM1189" s="4" t="n"/>
      <c r="BN1189" s="4" t="n"/>
      <c r="BO1189" s="4" t="n"/>
      <c r="BP1189" s="4" t="n"/>
      <c r="BQ1189" s="4" t="n"/>
      <c r="BR1189" s="4" t="n"/>
      <c r="BS1189" s="4" t="n"/>
      <c r="BT1189" s="4" t="n"/>
      <c r="BU1189" s="4" t="n"/>
      <c r="BV1189" s="4" t="n"/>
      <c r="BW1189" s="4" t="n"/>
      <c r="BX1189" s="4" t="n"/>
      <c r="BY1189" s="4" t="n"/>
      <c r="BZ1189" s="4" t="n"/>
      <c r="CA1189" s="4" t="n"/>
      <c r="CB1189" s="4" t="n"/>
      <c r="CC1189" s="4" t="n"/>
      <c r="CD1189" s="4" t="n"/>
      <c r="CE1189" s="4" t="n"/>
      <c r="CF1189" s="4" t="n"/>
      <c r="CG1189" s="4" t="n"/>
      <c r="CH1189" s="4" t="n"/>
      <c r="CI1189" s="4" t="n"/>
      <c r="CJ1189" s="4" t="n"/>
      <c r="CK1189" s="4" t="n"/>
      <c r="CL1189" s="4" t="n"/>
      <c r="CM1189" s="4" t="n"/>
      <c r="CN1189" s="4" t="n"/>
      <c r="CO1189" s="4" t="n"/>
      <c r="CP1189" s="4" t="n"/>
      <c r="CQ1189" s="4" t="n"/>
      <c r="CR1189" s="4" t="n"/>
      <c r="CS1189" s="4" t="n"/>
      <c r="CT1189" s="4" t="n"/>
      <c r="CU1189" s="4" t="n"/>
      <c r="CV1189" s="4" t="n"/>
      <c r="CW1189" s="4" t="n"/>
      <c r="CX1189" s="4" t="n"/>
      <c r="CY1189" s="4" t="n"/>
      <c r="CZ1189" s="4" t="n"/>
      <c r="DA1189" s="4" t="n"/>
      <c r="DB1189" s="4" t="n"/>
      <c r="DC1189" s="4" t="n"/>
      <c r="DD1189" s="4" t="n"/>
      <c r="DE1189" s="4" t="n"/>
      <c r="DF1189" s="4" t="n"/>
      <c r="DG1189" s="4" t="n"/>
      <c r="DH1189" s="4" t="n"/>
      <c r="DI1189" s="4" t="n"/>
      <c r="DJ1189" s="4" t="n"/>
      <c r="DK1189" s="4" t="n"/>
      <c r="DL1189" s="4" t="n"/>
      <c r="DM1189" s="4" t="n"/>
      <c r="DN1189" s="4" t="n"/>
      <c r="DO1189" s="4" t="n"/>
      <c r="DP1189" s="4" t="n"/>
      <c r="DQ1189" s="4" t="n"/>
      <c r="DR1189" s="4" t="n"/>
      <c r="DS1189" s="4" t="n"/>
      <c r="DT1189" s="4" t="n"/>
      <c r="DU1189" s="4" t="n"/>
      <c r="DV1189" s="4" t="n"/>
      <c r="DW1189" s="4" t="n"/>
      <c r="DX1189" s="4" t="n"/>
      <c r="DY1189" s="4" t="n"/>
      <c r="DZ1189" s="4" t="n"/>
      <c r="EA1189" s="4" t="n"/>
      <c r="EB1189" s="4" t="n"/>
      <c r="EC1189" s="4" t="n"/>
      <c r="ED1189" s="4" t="n"/>
      <c r="EE1189" s="4" t="n"/>
      <c r="EF1189" s="4" t="n"/>
      <c r="EG1189" s="4" t="n"/>
      <c r="EH1189" s="4" t="n"/>
      <c r="EI1189" s="4" t="n"/>
      <c r="EJ1189" s="4" t="n"/>
      <c r="EK1189" s="4" t="n"/>
      <c r="EL1189" s="4" t="n"/>
      <c r="EM1189" s="4" t="n"/>
    </row>
    <row r="1190" hidden="1" customFormat="1" s="6">
      <c r="C1190" s="4" t="n"/>
      <c r="D1190" s="4" t="n"/>
      <c r="E1190" s="4" t="n"/>
      <c r="F1190" s="4" t="n"/>
      <c r="G1190" s="4" t="n"/>
      <c r="H1190" s="4" t="n"/>
      <c r="I1190" s="4" t="n"/>
      <c r="J1190" s="4" t="n"/>
      <c r="K1190" s="4" t="n"/>
      <c r="L1190" s="4" t="n"/>
      <c r="M1190" s="4" t="n"/>
      <c r="N1190" s="4" t="n"/>
      <c r="O1190" s="4" t="n"/>
      <c r="P1190" s="4" t="n"/>
      <c r="Q1190" s="4" t="n"/>
      <c r="R1190" s="4" t="n"/>
      <c r="S1190" s="4" t="n"/>
      <c r="T1190" s="4" t="n"/>
      <c r="U1190" s="4" t="n"/>
      <c r="V1190" s="4" t="n"/>
      <c r="W1190" s="4" t="n"/>
      <c r="X1190" s="4" t="n"/>
      <c r="Y1190" s="4" t="n"/>
      <c r="Z1190" s="4" t="n"/>
      <c r="AA1190" s="4" t="n"/>
      <c r="AB1190" s="4" t="n"/>
      <c r="AC1190" s="4" t="n"/>
      <c r="AD1190" s="4" t="n"/>
      <c r="AE1190" s="4" t="n"/>
      <c r="AF1190" s="4" t="n"/>
      <c r="AG1190" s="4" t="n"/>
      <c r="AH1190" s="4" t="n"/>
      <c r="AI1190" s="4" t="n"/>
      <c r="AJ1190" s="4" t="n"/>
      <c r="AK1190" s="4" t="n"/>
      <c r="AL1190" s="4" t="n"/>
      <c r="AM1190" s="4" t="n"/>
      <c r="AN1190" s="4" t="n"/>
      <c r="AO1190" s="4" t="n"/>
      <c r="AP1190" s="4" t="n"/>
      <c r="AQ1190" s="4" t="n"/>
      <c r="AR1190" s="4" t="n"/>
      <c r="AS1190" s="4" t="n"/>
      <c r="AT1190" s="4" t="n"/>
      <c r="AU1190" s="4" t="n"/>
      <c r="AV1190" s="4" t="n"/>
      <c r="AW1190" s="4" t="n"/>
      <c r="AX1190" s="4" t="n"/>
      <c r="AY1190" s="4" t="n"/>
      <c r="AZ1190" s="4" t="n"/>
      <c r="BA1190" s="4" t="n"/>
      <c r="BB1190" s="4" t="n"/>
      <c r="BC1190" s="4" t="n"/>
      <c r="BD1190" s="4" t="n"/>
      <c r="BE1190" s="4" t="n"/>
      <c r="BF1190" s="4" t="n"/>
      <c r="BG1190" s="4" t="n"/>
      <c r="BH1190" s="4" t="n"/>
      <c r="BI1190" s="4" t="n"/>
      <c r="BJ1190" s="4" t="n"/>
      <c r="BK1190" s="4" t="n"/>
      <c r="BL1190" s="4" t="n"/>
      <c r="BM1190" s="4" t="n"/>
      <c r="BN1190" s="4" t="n"/>
      <c r="BO1190" s="4" t="n"/>
      <c r="BP1190" s="4" t="n"/>
      <c r="BQ1190" s="4" t="n"/>
      <c r="BR1190" s="4" t="n"/>
      <c r="BS1190" s="4" t="n"/>
      <c r="BT1190" s="4" t="n"/>
      <c r="BU1190" s="4" t="n"/>
      <c r="BV1190" s="4" t="n"/>
      <c r="BW1190" s="4" t="n"/>
      <c r="BX1190" s="4" t="n"/>
      <c r="BY1190" s="4" t="n"/>
      <c r="BZ1190" s="4" t="n"/>
      <c r="CA1190" s="4" t="n"/>
      <c r="CB1190" s="4" t="n"/>
      <c r="CC1190" s="4" t="n"/>
      <c r="CD1190" s="4" t="n"/>
      <c r="CE1190" s="4" t="n"/>
      <c r="CF1190" s="4" t="n"/>
      <c r="CG1190" s="4" t="n"/>
      <c r="CH1190" s="4" t="n"/>
      <c r="CI1190" s="4" t="n"/>
      <c r="CJ1190" s="4" t="n"/>
      <c r="CK1190" s="4" t="n"/>
      <c r="CL1190" s="4" t="n"/>
      <c r="CM1190" s="4" t="n"/>
      <c r="CN1190" s="4" t="n"/>
      <c r="CO1190" s="4" t="n"/>
      <c r="CP1190" s="4" t="n"/>
      <c r="CQ1190" s="4" t="n"/>
      <c r="CR1190" s="4" t="n"/>
      <c r="CS1190" s="4" t="n"/>
      <c r="CT1190" s="4" t="n"/>
      <c r="CU1190" s="4" t="n"/>
      <c r="CV1190" s="4" t="n"/>
      <c r="CW1190" s="4" t="n"/>
      <c r="CX1190" s="4" t="n"/>
      <c r="CY1190" s="4" t="n"/>
      <c r="CZ1190" s="4" t="n"/>
      <c r="DA1190" s="4" t="n"/>
      <c r="DB1190" s="4" t="n"/>
      <c r="DC1190" s="4" t="n"/>
      <c r="DD1190" s="4" t="n"/>
      <c r="DE1190" s="4" t="n"/>
      <c r="DF1190" s="4" t="n"/>
      <c r="DG1190" s="4" t="n"/>
      <c r="DH1190" s="4" t="n"/>
      <c r="DI1190" s="4" t="n"/>
      <c r="DJ1190" s="4" t="n"/>
      <c r="DK1190" s="4" t="n"/>
      <c r="DL1190" s="4" t="n"/>
      <c r="DM1190" s="4" t="n"/>
      <c r="DN1190" s="4" t="n"/>
      <c r="DO1190" s="4" t="n"/>
      <c r="DP1190" s="4" t="n"/>
      <c r="DQ1190" s="4" t="n"/>
      <c r="DR1190" s="4" t="n"/>
      <c r="DS1190" s="4" t="n"/>
      <c r="DT1190" s="4" t="n"/>
      <c r="DU1190" s="4" t="n"/>
      <c r="DV1190" s="4" t="n"/>
      <c r="DW1190" s="4" t="n"/>
      <c r="DX1190" s="4" t="n"/>
      <c r="DY1190" s="4" t="n"/>
      <c r="DZ1190" s="4" t="n"/>
      <c r="EA1190" s="4" t="n"/>
      <c r="EB1190" s="4" t="n"/>
      <c r="EC1190" s="4" t="n"/>
      <c r="ED1190" s="4" t="n"/>
      <c r="EE1190" s="4" t="n"/>
      <c r="EF1190" s="4" t="n"/>
      <c r="EG1190" s="4" t="n"/>
      <c r="EH1190" s="4" t="n"/>
      <c r="EI1190" s="4" t="n"/>
      <c r="EJ1190" s="4" t="n"/>
      <c r="EK1190" s="4" t="n"/>
      <c r="EL1190" s="4" t="n"/>
      <c r="EM1190" s="4" t="n"/>
    </row>
    <row r="1191" hidden="1" customFormat="1" s="6">
      <c r="C1191" s="4" t="n"/>
      <c r="D1191" s="4" t="n"/>
      <c r="E1191" s="4" t="n"/>
      <c r="F1191" s="4" t="n"/>
      <c r="G1191" s="4" t="n"/>
      <c r="H1191" s="4" t="n"/>
      <c r="I1191" s="4" t="n"/>
      <c r="J1191" s="4" t="n"/>
      <c r="K1191" s="4" t="n"/>
      <c r="L1191" s="4" t="n"/>
      <c r="M1191" s="4" t="n"/>
      <c r="N1191" s="4" t="n"/>
      <c r="O1191" s="4" t="n"/>
      <c r="P1191" s="4" t="n"/>
      <c r="Q1191" s="4" t="n"/>
      <c r="R1191" s="4" t="n"/>
      <c r="S1191" s="4" t="n"/>
      <c r="T1191" s="4" t="n"/>
      <c r="U1191" s="4" t="n"/>
      <c r="V1191" s="4" t="n"/>
      <c r="W1191" s="4" t="n"/>
      <c r="X1191" s="4" t="n"/>
      <c r="Y1191" s="4" t="n"/>
      <c r="Z1191" s="4" t="n"/>
      <c r="AA1191" s="4" t="n"/>
      <c r="AB1191" s="4" t="n"/>
      <c r="AC1191" s="4" t="n"/>
      <c r="AD1191" s="4" t="n"/>
      <c r="AE1191" s="4" t="n"/>
      <c r="AF1191" s="4" t="n"/>
      <c r="AG1191" s="4" t="n"/>
      <c r="AH1191" s="4" t="n"/>
      <c r="AI1191" s="4" t="n"/>
      <c r="AJ1191" s="4" t="n"/>
      <c r="AK1191" s="4" t="n"/>
      <c r="AL1191" s="4" t="n"/>
      <c r="AM1191" s="4" t="n"/>
      <c r="AN1191" s="4" t="n"/>
      <c r="AO1191" s="4" t="n"/>
      <c r="AP1191" s="4" t="n"/>
      <c r="AQ1191" s="4" t="n"/>
      <c r="AR1191" s="4" t="n"/>
      <c r="AS1191" s="4" t="n"/>
      <c r="AT1191" s="4" t="n"/>
      <c r="AU1191" s="4" t="n"/>
      <c r="AV1191" s="4" t="n"/>
      <c r="AW1191" s="4" t="n"/>
      <c r="AX1191" s="4" t="n"/>
      <c r="AY1191" s="4" t="n"/>
      <c r="AZ1191" s="4" t="n"/>
      <c r="BA1191" s="4" t="n"/>
      <c r="BB1191" s="4" t="n"/>
      <c r="BC1191" s="4" t="n"/>
      <c r="BD1191" s="4" t="n"/>
      <c r="BE1191" s="4" t="n"/>
      <c r="BF1191" s="4" t="n"/>
      <c r="BG1191" s="4" t="n"/>
      <c r="BH1191" s="4" t="n"/>
      <c r="BI1191" s="4" t="n"/>
      <c r="BJ1191" s="4" t="n"/>
      <c r="BK1191" s="4" t="n"/>
      <c r="BL1191" s="4" t="n"/>
      <c r="BM1191" s="4" t="n"/>
      <c r="BN1191" s="4" t="n"/>
      <c r="BO1191" s="4" t="n"/>
      <c r="BP1191" s="4" t="n"/>
      <c r="BQ1191" s="4" t="n"/>
      <c r="BR1191" s="4" t="n"/>
      <c r="BS1191" s="4" t="n"/>
      <c r="BT1191" s="4" t="n"/>
      <c r="BU1191" s="4" t="n"/>
      <c r="BV1191" s="4" t="n"/>
      <c r="BW1191" s="4" t="n"/>
      <c r="BX1191" s="4" t="n"/>
      <c r="BY1191" s="4" t="n"/>
      <c r="BZ1191" s="4" t="n"/>
      <c r="CA1191" s="4" t="n"/>
      <c r="CB1191" s="4" t="n"/>
      <c r="CC1191" s="4" t="n"/>
      <c r="CD1191" s="4" t="n"/>
      <c r="CE1191" s="4" t="n"/>
      <c r="CF1191" s="4" t="n"/>
      <c r="CG1191" s="4" t="n"/>
      <c r="CH1191" s="4" t="n"/>
      <c r="CI1191" s="4" t="n"/>
      <c r="CJ1191" s="4" t="n"/>
      <c r="CK1191" s="4" t="n"/>
      <c r="CL1191" s="4" t="n"/>
      <c r="CM1191" s="4" t="n"/>
      <c r="CN1191" s="4" t="n"/>
      <c r="CO1191" s="4" t="n"/>
      <c r="CP1191" s="4" t="n"/>
      <c r="CQ1191" s="4" t="n"/>
      <c r="CR1191" s="4" t="n"/>
      <c r="CS1191" s="4" t="n"/>
      <c r="CT1191" s="4" t="n"/>
      <c r="CU1191" s="4" t="n"/>
      <c r="CV1191" s="4" t="n"/>
      <c r="CW1191" s="4" t="n"/>
      <c r="CX1191" s="4" t="n"/>
      <c r="CY1191" s="4" t="n"/>
      <c r="CZ1191" s="4" t="n"/>
      <c r="DA1191" s="4" t="n"/>
      <c r="DB1191" s="4" t="n"/>
      <c r="DC1191" s="4" t="n"/>
      <c r="DD1191" s="4" t="n"/>
      <c r="DE1191" s="4" t="n"/>
      <c r="DF1191" s="4" t="n"/>
      <c r="DG1191" s="4" t="n"/>
      <c r="DH1191" s="4" t="n"/>
      <c r="DI1191" s="4" t="n"/>
      <c r="DJ1191" s="4" t="n"/>
      <c r="DK1191" s="4" t="n"/>
      <c r="DL1191" s="4" t="n"/>
      <c r="DM1191" s="4" t="n"/>
      <c r="DN1191" s="4" t="n"/>
      <c r="DO1191" s="4" t="n"/>
      <c r="DP1191" s="4" t="n"/>
      <c r="DQ1191" s="4" t="n"/>
      <c r="DR1191" s="4" t="n"/>
      <c r="DS1191" s="4" t="n"/>
      <c r="DT1191" s="4" t="n"/>
      <c r="DU1191" s="4" t="n"/>
      <c r="DV1191" s="4" t="n"/>
      <c r="DW1191" s="4" t="n"/>
      <c r="DX1191" s="4" t="n"/>
      <c r="DY1191" s="4" t="n"/>
      <c r="DZ1191" s="4" t="n"/>
      <c r="EA1191" s="4" t="n"/>
      <c r="EB1191" s="4" t="n"/>
      <c r="EC1191" s="4" t="n"/>
      <c r="ED1191" s="4" t="n"/>
      <c r="EE1191" s="4" t="n"/>
      <c r="EF1191" s="4" t="n"/>
      <c r="EG1191" s="4" t="n"/>
      <c r="EH1191" s="4" t="n"/>
      <c r="EI1191" s="4" t="n"/>
      <c r="EJ1191" s="4" t="n"/>
      <c r="EK1191" s="4" t="n"/>
      <c r="EL1191" s="4" t="n"/>
      <c r="EM1191" s="4" t="n"/>
    </row>
    <row r="1192" hidden="1" customFormat="1" s="6">
      <c r="C1192" s="4" t="n"/>
      <c r="D1192" s="4" t="n"/>
      <c r="E1192" s="4" t="n"/>
      <c r="F1192" s="4" t="n"/>
      <c r="G1192" s="4" t="n"/>
      <c r="H1192" s="4" t="n"/>
      <c r="I1192" s="4" t="n"/>
      <c r="J1192" s="4" t="n"/>
      <c r="K1192" s="4" t="n"/>
      <c r="L1192" s="4" t="n"/>
      <c r="M1192" s="4" t="n"/>
      <c r="N1192" s="4" t="n"/>
      <c r="O1192" s="4" t="n"/>
      <c r="P1192" s="4" t="n"/>
      <c r="Q1192" s="4" t="n"/>
      <c r="R1192" s="4" t="n"/>
      <c r="S1192" s="4" t="n"/>
      <c r="T1192" s="4" t="n"/>
      <c r="U1192" s="4" t="n"/>
      <c r="V1192" s="4" t="n"/>
      <c r="W1192" s="4" t="n"/>
      <c r="X1192" s="4" t="n"/>
      <c r="Y1192" s="4" t="n"/>
      <c r="Z1192" s="4" t="n"/>
      <c r="AA1192" s="4" t="n"/>
      <c r="AB1192" s="4" t="n"/>
      <c r="AC1192" s="4" t="n"/>
      <c r="AD1192" s="4" t="n"/>
      <c r="AE1192" s="4" t="n"/>
      <c r="AF1192" s="4" t="n"/>
      <c r="AG1192" s="4" t="n"/>
      <c r="AH1192" s="4" t="n"/>
      <c r="AI1192" s="4" t="n"/>
      <c r="AJ1192" s="4" t="n"/>
      <c r="AK1192" s="4" t="n"/>
      <c r="AL1192" s="4" t="n"/>
      <c r="AM1192" s="4" t="n"/>
      <c r="AN1192" s="4" t="n"/>
      <c r="AO1192" s="4" t="n"/>
      <c r="AP1192" s="4" t="n"/>
      <c r="AQ1192" s="4" t="n"/>
      <c r="AR1192" s="4" t="n"/>
      <c r="AS1192" s="4" t="n"/>
      <c r="AT1192" s="4" t="n"/>
      <c r="AU1192" s="4" t="n"/>
      <c r="AV1192" s="4" t="n"/>
      <c r="AW1192" s="4" t="n"/>
      <c r="AX1192" s="4" t="n"/>
      <c r="AY1192" s="4" t="n"/>
      <c r="AZ1192" s="4" t="n"/>
      <c r="BA1192" s="4" t="n"/>
      <c r="BB1192" s="4" t="n"/>
      <c r="BC1192" s="4" t="n"/>
      <c r="BD1192" s="4" t="n"/>
      <c r="BE1192" s="4" t="n"/>
      <c r="BF1192" s="4" t="n"/>
      <c r="BG1192" s="4" t="n"/>
      <c r="BH1192" s="4" t="n"/>
      <c r="BI1192" s="4" t="n"/>
      <c r="BJ1192" s="4" t="n"/>
      <c r="BK1192" s="4" t="n"/>
      <c r="BL1192" s="4" t="n"/>
      <c r="BM1192" s="4" t="n"/>
      <c r="BN1192" s="4" t="n"/>
      <c r="BO1192" s="4" t="n"/>
      <c r="BP1192" s="4" t="n"/>
      <c r="BQ1192" s="4" t="n"/>
      <c r="BR1192" s="4" t="n"/>
      <c r="BS1192" s="4" t="n"/>
      <c r="BT1192" s="4" t="n"/>
      <c r="BU1192" s="4" t="n"/>
      <c r="BV1192" s="4" t="n"/>
      <c r="BW1192" s="4" t="n"/>
      <c r="BX1192" s="4" t="n"/>
      <c r="BY1192" s="4" t="n"/>
      <c r="BZ1192" s="4" t="n"/>
      <c r="CA1192" s="4" t="n"/>
      <c r="CB1192" s="4" t="n"/>
      <c r="CC1192" s="4" t="n"/>
      <c r="CD1192" s="4" t="n"/>
      <c r="CE1192" s="4" t="n"/>
      <c r="CF1192" s="4" t="n"/>
      <c r="CG1192" s="4" t="n"/>
      <c r="CH1192" s="4" t="n"/>
      <c r="CI1192" s="4" t="n"/>
      <c r="CJ1192" s="4" t="n"/>
      <c r="CK1192" s="4" t="n"/>
      <c r="CL1192" s="4" t="n"/>
      <c r="CM1192" s="4" t="n"/>
      <c r="CN1192" s="4" t="n"/>
      <c r="CO1192" s="4" t="n"/>
      <c r="CP1192" s="4" t="n"/>
      <c r="CQ1192" s="4" t="n"/>
      <c r="CR1192" s="4" t="n"/>
      <c r="CS1192" s="4" t="n"/>
      <c r="CT1192" s="4" t="n"/>
      <c r="CU1192" s="4" t="n"/>
      <c r="CV1192" s="4" t="n"/>
      <c r="CW1192" s="4" t="n"/>
      <c r="CX1192" s="4" t="n"/>
      <c r="CY1192" s="4" t="n"/>
      <c r="CZ1192" s="4" t="n"/>
      <c r="DA1192" s="4" t="n"/>
      <c r="DB1192" s="4" t="n"/>
      <c r="DC1192" s="4" t="n"/>
      <c r="DD1192" s="4" t="n"/>
      <c r="DE1192" s="4" t="n"/>
      <c r="DF1192" s="4" t="n"/>
      <c r="DG1192" s="4" t="n"/>
      <c r="DH1192" s="4" t="n"/>
      <c r="DI1192" s="4" t="n"/>
      <c r="DJ1192" s="4" t="n"/>
      <c r="DK1192" s="4" t="n"/>
      <c r="DL1192" s="4" t="n"/>
      <c r="DM1192" s="4" t="n"/>
      <c r="DN1192" s="4" t="n"/>
      <c r="DO1192" s="4" t="n"/>
      <c r="DP1192" s="4" t="n"/>
      <c r="DQ1192" s="4" t="n"/>
      <c r="DR1192" s="4" t="n"/>
      <c r="DS1192" s="4" t="n"/>
      <c r="DT1192" s="4" t="n"/>
      <c r="DU1192" s="4" t="n"/>
      <c r="DV1192" s="4" t="n"/>
      <c r="DW1192" s="4" t="n"/>
      <c r="DX1192" s="4" t="n"/>
      <c r="DY1192" s="4" t="n"/>
      <c r="DZ1192" s="4" t="n"/>
      <c r="EA1192" s="4" t="n"/>
      <c r="EB1192" s="4" t="n"/>
      <c r="EC1192" s="4" t="n"/>
      <c r="ED1192" s="4" t="n"/>
      <c r="EE1192" s="4" t="n"/>
      <c r="EF1192" s="4" t="n"/>
      <c r="EG1192" s="4" t="n"/>
      <c r="EH1192" s="4" t="n"/>
      <c r="EI1192" s="4" t="n"/>
      <c r="EJ1192" s="4" t="n"/>
      <c r="EK1192" s="4" t="n"/>
      <c r="EL1192" s="4" t="n"/>
      <c r="EM1192" s="4" t="n"/>
    </row>
    <row r="1193" hidden="1" customFormat="1" s="6">
      <c r="C1193" s="4" t="n"/>
      <c r="D1193" s="4" t="n"/>
      <c r="E1193" s="4" t="n"/>
      <c r="F1193" s="4" t="n"/>
      <c r="G1193" s="4" t="n"/>
      <c r="H1193" s="4" t="n"/>
      <c r="I1193" s="4" t="n"/>
      <c r="J1193" s="4" t="n"/>
      <c r="K1193" s="4" t="n"/>
      <c r="L1193" s="4" t="n"/>
      <c r="M1193" s="4" t="n"/>
      <c r="N1193" s="4" t="n"/>
      <c r="O1193" s="4" t="n"/>
      <c r="P1193" s="4" t="n"/>
      <c r="Q1193" s="4" t="n"/>
      <c r="R1193" s="4" t="n"/>
      <c r="S1193" s="4" t="n"/>
      <c r="T1193" s="4" t="n"/>
      <c r="U1193" s="4" t="n"/>
      <c r="V1193" s="4" t="n"/>
      <c r="W1193" s="4" t="n"/>
      <c r="X1193" s="4" t="n"/>
      <c r="Y1193" s="4" t="n"/>
      <c r="Z1193" s="4" t="n"/>
      <c r="AA1193" s="4" t="n"/>
      <c r="AB1193" s="4" t="n"/>
      <c r="AC1193" s="4" t="n"/>
      <c r="AD1193" s="4" t="n"/>
      <c r="AE1193" s="4" t="n"/>
      <c r="AF1193" s="4" t="n"/>
      <c r="AG1193" s="4" t="n"/>
      <c r="AH1193" s="4" t="n"/>
      <c r="AI1193" s="4" t="n"/>
      <c r="AJ1193" s="4" t="n"/>
      <c r="AK1193" s="4" t="n"/>
      <c r="AL1193" s="4" t="n"/>
      <c r="AM1193" s="4" t="n"/>
      <c r="AN1193" s="4" t="n"/>
      <c r="AO1193" s="4" t="n"/>
      <c r="AP1193" s="4" t="n"/>
      <c r="AQ1193" s="4" t="n"/>
      <c r="AR1193" s="4" t="n"/>
      <c r="AS1193" s="4" t="n"/>
      <c r="AT1193" s="4" t="n"/>
      <c r="AU1193" s="4" t="n"/>
      <c r="AV1193" s="4" t="n"/>
      <c r="AW1193" s="4" t="n"/>
      <c r="AX1193" s="4" t="n"/>
      <c r="AY1193" s="4" t="n"/>
      <c r="AZ1193" s="4" t="n"/>
      <c r="BA1193" s="4" t="n"/>
      <c r="BB1193" s="4" t="n"/>
      <c r="BC1193" s="4" t="n"/>
      <c r="BD1193" s="4" t="n"/>
      <c r="BE1193" s="4" t="n"/>
      <c r="BF1193" s="4" t="n"/>
      <c r="BG1193" s="4" t="n"/>
      <c r="BH1193" s="4" t="n"/>
      <c r="BI1193" s="4" t="n"/>
      <c r="BJ1193" s="4" t="n"/>
      <c r="BK1193" s="4" t="n"/>
      <c r="BL1193" s="4" t="n"/>
      <c r="BM1193" s="4" t="n"/>
      <c r="BN1193" s="4" t="n"/>
      <c r="BO1193" s="4" t="n"/>
      <c r="BP1193" s="4" t="n"/>
      <c r="BQ1193" s="4" t="n"/>
      <c r="BR1193" s="4" t="n"/>
      <c r="BS1193" s="4" t="n"/>
      <c r="BT1193" s="4" t="n"/>
      <c r="BU1193" s="4" t="n"/>
      <c r="BV1193" s="4" t="n"/>
      <c r="BW1193" s="4" t="n"/>
      <c r="BX1193" s="4" t="n"/>
      <c r="BY1193" s="4" t="n"/>
      <c r="BZ1193" s="4" t="n"/>
      <c r="CA1193" s="4" t="n"/>
      <c r="CB1193" s="4" t="n"/>
      <c r="CC1193" s="4" t="n"/>
      <c r="CD1193" s="4" t="n"/>
      <c r="CE1193" s="4" t="n"/>
      <c r="CF1193" s="4" t="n"/>
      <c r="CG1193" s="4" t="n"/>
      <c r="CH1193" s="4" t="n"/>
      <c r="CI1193" s="4" t="n"/>
      <c r="CJ1193" s="4" t="n"/>
      <c r="CK1193" s="4" t="n"/>
      <c r="CL1193" s="4" t="n"/>
      <c r="CM1193" s="4" t="n"/>
      <c r="CN1193" s="4" t="n"/>
      <c r="CO1193" s="4" t="n"/>
      <c r="CP1193" s="4" t="n"/>
      <c r="CQ1193" s="4" t="n"/>
      <c r="CR1193" s="4" t="n"/>
      <c r="CS1193" s="4" t="n"/>
      <c r="CT1193" s="4" t="n"/>
      <c r="CU1193" s="4" t="n"/>
      <c r="CV1193" s="4" t="n"/>
      <c r="CW1193" s="4" t="n"/>
      <c r="CX1193" s="4" t="n"/>
      <c r="CY1193" s="4" t="n"/>
      <c r="CZ1193" s="4" t="n"/>
      <c r="DA1193" s="4" t="n"/>
      <c r="DB1193" s="4" t="n"/>
      <c r="DC1193" s="4" t="n"/>
      <c r="DD1193" s="4" t="n"/>
      <c r="DE1193" s="4" t="n"/>
      <c r="DF1193" s="4" t="n"/>
      <c r="DG1193" s="4" t="n"/>
      <c r="DH1193" s="4" t="n"/>
      <c r="DI1193" s="4" t="n"/>
      <c r="DJ1193" s="4" t="n"/>
      <c r="DK1193" s="4" t="n"/>
      <c r="DL1193" s="4" t="n"/>
      <c r="DM1193" s="4" t="n"/>
      <c r="DN1193" s="4" t="n"/>
      <c r="DO1193" s="4" t="n"/>
      <c r="DP1193" s="4" t="n"/>
      <c r="DQ1193" s="4" t="n"/>
      <c r="DR1193" s="4" t="n"/>
      <c r="DS1193" s="4" t="n"/>
      <c r="DT1193" s="4" t="n"/>
      <c r="DU1193" s="4" t="n"/>
      <c r="DV1193" s="4" t="n"/>
      <c r="DW1193" s="4" t="n"/>
      <c r="DX1193" s="4" t="n"/>
      <c r="DY1193" s="4" t="n"/>
      <c r="DZ1193" s="4" t="n"/>
      <c r="EA1193" s="4" t="n"/>
      <c r="EB1193" s="4" t="n"/>
      <c r="EC1193" s="4" t="n"/>
      <c r="ED1193" s="4" t="n"/>
      <c r="EE1193" s="4" t="n"/>
      <c r="EF1193" s="4" t="n"/>
      <c r="EG1193" s="4" t="n"/>
      <c r="EH1193" s="4" t="n"/>
      <c r="EI1193" s="4" t="n"/>
      <c r="EJ1193" s="4" t="n"/>
      <c r="EK1193" s="4" t="n"/>
      <c r="EL1193" s="4" t="n"/>
      <c r="EM1193" s="4" t="n"/>
    </row>
    <row r="1194" hidden="1" customFormat="1" s="6">
      <c r="C1194" s="4" t="n"/>
      <c r="D1194" s="4" t="n"/>
      <c r="E1194" s="4" t="n"/>
      <c r="F1194" s="4" t="n"/>
      <c r="G1194" s="4" t="n"/>
      <c r="H1194" s="4" t="n"/>
      <c r="I1194" s="4" t="n"/>
      <c r="J1194" s="4" t="n"/>
      <c r="K1194" s="4" t="n"/>
      <c r="L1194" s="4" t="n"/>
      <c r="M1194" s="4" t="n"/>
      <c r="N1194" s="4" t="n"/>
      <c r="O1194" s="4" t="n"/>
      <c r="P1194" s="4" t="n"/>
      <c r="Q1194" s="4" t="n"/>
      <c r="R1194" s="4" t="n"/>
      <c r="S1194" s="4" t="n"/>
      <c r="T1194" s="4" t="n"/>
      <c r="U1194" s="4" t="n"/>
      <c r="V1194" s="4" t="n"/>
      <c r="W1194" s="4" t="n"/>
      <c r="X1194" s="4" t="n"/>
      <c r="Y1194" s="4" t="n"/>
      <c r="Z1194" s="4" t="n"/>
      <c r="AA1194" s="4" t="n"/>
      <c r="AB1194" s="4" t="n"/>
      <c r="AC1194" s="4" t="n"/>
      <c r="AD1194" s="4" t="n"/>
      <c r="AE1194" s="4" t="n"/>
      <c r="AF1194" s="4" t="n"/>
      <c r="AG1194" s="4" t="n"/>
      <c r="AH1194" s="4" t="n"/>
      <c r="AI1194" s="4" t="n"/>
      <c r="AJ1194" s="4" t="n"/>
      <c r="AK1194" s="4" t="n"/>
      <c r="AL1194" s="4" t="n"/>
      <c r="AM1194" s="4" t="n"/>
      <c r="AN1194" s="4" t="n"/>
      <c r="AO1194" s="4" t="n"/>
      <c r="AP1194" s="4" t="n"/>
      <c r="AQ1194" s="4" t="n"/>
      <c r="AR1194" s="4" t="n"/>
      <c r="AS1194" s="4" t="n"/>
      <c r="AT1194" s="4" t="n"/>
      <c r="AU1194" s="4" t="n"/>
      <c r="AV1194" s="4" t="n"/>
      <c r="AW1194" s="4" t="n"/>
      <c r="AX1194" s="4" t="n"/>
      <c r="AY1194" s="4" t="n"/>
      <c r="AZ1194" s="4" t="n"/>
      <c r="BA1194" s="4" t="n"/>
      <c r="BB1194" s="4" t="n"/>
      <c r="BC1194" s="4" t="n"/>
      <c r="BD1194" s="4" t="n"/>
      <c r="BE1194" s="4" t="n"/>
      <c r="BF1194" s="4" t="n"/>
      <c r="BG1194" s="4" t="n"/>
      <c r="BH1194" s="4" t="n"/>
      <c r="BI1194" s="4" t="n"/>
      <c r="BJ1194" s="4" t="n"/>
      <c r="BK1194" s="4" t="n"/>
      <c r="BL1194" s="4" t="n"/>
      <c r="BM1194" s="4" t="n"/>
      <c r="BN1194" s="4" t="n"/>
      <c r="BO1194" s="4" t="n"/>
      <c r="BP1194" s="4" t="n"/>
      <c r="BQ1194" s="4" t="n"/>
      <c r="BR1194" s="4" t="n"/>
      <c r="BS1194" s="4" t="n"/>
      <c r="BT1194" s="4" t="n"/>
      <c r="BU1194" s="4" t="n"/>
      <c r="BV1194" s="4" t="n"/>
      <c r="BW1194" s="4" t="n"/>
      <c r="BX1194" s="4" t="n"/>
      <c r="BY1194" s="4" t="n"/>
      <c r="BZ1194" s="4" t="n"/>
      <c r="CA1194" s="4" t="n"/>
      <c r="CB1194" s="4" t="n"/>
      <c r="CC1194" s="4" t="n"/>
      <c r="CD1194" s="4" t="n"/>
      <c r="CE1194" s="4" t="n"/>
      <c r="CF1194" s="4" t="n"/>
      <c r="CG1194" s="4" t="n"/>
      <c r="CH1194" s="4" t="n"/>
      <c r="CI1194" s="4" t="n"/>
      <c r="CJ1194" s="4" t="n"/>
      <c r="CK1194" s="4" t="n"/>
      <c r="CL1194" s="4" t="n"/>
      <c r="CM1194" s="4" t="n"/>
      <c r="CN1194" s="4" t="n"/>
      <c r="CO1194" s="4" t="n"/>
      <c r="CP1194" s="4" t="n"/>
      <c r="CQ1194" s="4" t="n"/>
      <c r="CR1194" s="4" t="n"/>
      <c r="CS1194" s="4" t="n"/>
      <c r="CT1194" s="4" t="n"/>
      <c r="CU1194" s="4" t="n"/>
      <c r="CV1194" s="4" t="n"/>
      <c r="CW1194" s="4" t="n"/>
      <c r="CX1194" s="4" t="n"/>
      <c r="CY1194" s="4" t="n"/>
      <c r="CZ1194" s="4" t="n"/>
      <c r="DA1194" s="4" t="n"/>
      <c r="DB1194" s="4" t="n"/>
      <c r="DC1194" s="4" t="n"/>
      <c r="DD1194" s="4" t="n"/>
      <c r="DE1194" s="4" t="n"/>
      <c r="DF1194" s="4" t="n"/>
      <c r="DG1194" s="4" t="n"/>
      <c r="DH1194" s="4" t="n"/>
      <c r="DI1194" s="4" t="n"/>
      <c r="DJ1194" s="4" t="n"/>
      <c r="DK1194" s="4" t="n"/>
      <c r="DL1194" s="4" t="n"/>
      <c r="DM1194" s="4" t="n"/>
      <c r="DN1194" s="4" t="n"/>
      <c r="DO1194" s="4" t="n"/>
      <c r="DP1194" s="4" t="n"/>
      <c r="DQ1194" s="4" t="n"/>
      <c r="DR1194" s="4" t="n"/>
      <c r="DS1194" s="4" t="n"/>
      <c r="DT1194" s="4" t="n"/>
      <c r="DU1194" s="4" t="n"/>
      <c r="DV1194" s="4" t="n"/>
      <c r="DW1194" s="4" t="n"/>
      <c r="DX1194" s="4" t="n"/>
      <c r="DY1194" s="4" t="n"/>
      <c r="DZ1194" s="4" t="n"/>
      <c r="EA1194" s="4" t="n"/>
      <c r="EB1194" s="4" t="n"/>
      <c r="EC1194" s="4" t="n"/>
      <c r="ED1194" s="4" t="n"/>
      <c r="EE1194" s="4" t="n"/>
      <c r="EF1194" s="4" t="n"/>
      <c r="EG1194" s="4" t="n"/>
      <c r="EH1194" s="4" t="n"/>
      <c r="EI1194" s="4" t="n"/>
      <c r="EJ1194" s="4" t="n"/>
      <c r="EK1194" s="4" t="n"/>
      <c r="EL1194" s="4" t="n"/>
      <c r="EM1194" s="4" t="n"/>
    </row>
    <row r="1195" hidden="1" customFormat="1" s="6">
      <c r="C1195" s="4" t="n"/>
      <c r="D1195" s="4" t="n"/>
      <c r="E1195" s="4" t="n"/>
      <c r="F1195" s="4" t="n"/>
      <c r="G1195" s="4" t="n"/>
      <c r="H1195" s="4" t="n"/>
      <c r="I1195" s="4" t="n"/>
      <c r="J1195" s="4" t="n"/>
      <c r="K1195" s="4" t="n"/>
      <c r="L1195" s="4" t="n"/>
      <c r="M1195" s="4" t="n"/>
      <c r="N1195" s="4" t="n"/>
      <c r="O1195" s="4" t="n"/>
      <c r="P1195" s="4" t="n"/>
      <c r="Q1195" s="4" t="n"/>
      <c r="R1195" s="4" t="n"/>
      <c r="S1195" s="4" t="n"/>
      <c r="T1195" s="4" t="n"/>
      <c r="U1195" s="4" t="n"/>
      <c r="V1195" s="4" t="n"/>
      <c r="W1195" s="4" t="n"/>
      <c r="X1195" s="4" t="n"/>
      <c r="Y1195" s="4" t="n"/>
      <c r="Z1195" s="4" t="n"/>
      <c r="AA1195" s="4" t="n"/>
      <c r="AB1195" s="4" t="n"/>
      <c r="AC1195" s="4" t="n"/>
      <c r="AD1195" s="4" t="n"/>
      <c r="AE1195" s="4" t="n"/>
      <c r="AF1195" s="4" t="n"/>
      <c r="AG1195" s="4" t="n"/>
      <c r="AH1195" s="4" t="n"/>
      <c r="AI1195" s="4" t="n"/>
      <c r="AJ1195" s="4" t="n"/>
      <c r="AK1195" s="4" t="n"/>
      <c r="AL1195" s="4" t="n"/>
      <c r="AM1195" s="4" t="n"/>
      <c r="AN1195" s="4" t="n"/>
      <c r="AO1195" s="4" t="n"/>
      <c r="AP1195" s="4" t="n"/>
      <c r="AQ1195" s="4" t="n"/>
      <c r="AR1195" s="4" t="n"/>
      <c r="AS1195" s="4" t="n"/>
      <c r="AT1195" s="4" t="n"/>
      <c r="AU1195" s="4" t="n"/>
      <c r="AV1195" s="4" t="n"/>
      <c r="AW1195" s="4" t="n"/>
      <c r="AX1195" s="4" t="n"/>
      <c r="AY1195" s="4" t="n"/>
      <c r="AZ1195" s="4" t="n"/>
      <c r="BA1195" s="4" t="n"/>
      <c r="BB1195" s="4" t="n"/>
      <c r="BC1195" s="4" t="n"/>
      <c r="BD1195" s="4" t="n"/>
      <c r="BE1195" s="4" t="n"/>
      <c r="BF1195" s="4" t="n"/>
      <c r="BG1195" s="4" t="n"/>
      <c r="BH1195" s="4" t="n"/>
      <c r="BI1195" s="4" t="n"/>
      <c r="BJ1195" s="4" t="n"/>
      <c r="BK1195" s="4" t="n"/>
      <c r="BL1195" s="4" t="n"/>
      <c r="BM1195" s="4" t="n"/>
      <c r="BN1195" s="4" t="n"/>
      <c r="BO1195" s="4" t="n"/>
      <c r="BP1195" s="4" t="n"/>
      <c r="BQ1195" s="4" t="n"/>
      <c r="BR1195" s="4" t="n"/>
      <c r="BS1195" s="4" t="n"/>
      <c r="BT1195" s="4" t="n"/>
      <c r="BU1195" s="4" t="n"/>
      <c r="BV1195" s="4" t="n"/>
      <c r="BW1195" s="4" t="n"/>
      <c r="BX1195" s="4" t="n"/>
      <c r="BY1195" s="4" t="n"/>
      <c r="BZ1195" s="4" t="n"/>
      <c r="CA1195" s="4" t="n"/>
      <c r="CB1195" s="4" t="n"/>
      <c r="CC1195" s="4" t="n"/>
      <c r="CD1195" s="4" t="n"/>
      <c r="CE1195" s="4" t="n"/>
      <c r="CF1195" s="4" t="n"/>
      <c r="CG1195" s="4" t="n"/>
      <c r="CH1195" s="4" t="n"/>
      <c r="CI1195" s="4" t="n"/>
      <c r="CJ1195" s="4" t="n"/>
      <c r="CK1195" s="4" t="n"/>
      <c r="CL1195" s="4" t="n"/>
      <c r="CM1195" s="4" t="n"/>
      <c r="CN1195" s="4" t="n"/>
      <c r="CO1195" s="4" t="n"/>
      <c r="CP1195" s="4" t="n"/>
      <c r="CQ1195" s="4" t="n"/>
      <c r="CR1195" s="4" t="n"/>
      <c r="CS1195" s="4" t="n"/>
      <c r="CT1195" s="4" t="n"/>
      <c r="CU1195" s="4" t="n"/>
      <c r="CV1195" s="4" t="n"/>
      <c r="CW1195" s="4" t="n"/>
      <c r="CX1195" s="4" t="n"/>
      <c r="CY1195" s="4" t="n"/>
      <c r="CZ1195" s="4" t="n"/>
      <c r="DA1195" s="4" t="n"/>
      <c r="DB1195" s="4" t="n"/>
      <c r="DC1195" s="4" t="n"/>
      <c r="DD1195" s="4" t="n"/>
      <c r="DE1195" s="4" t="n"/>
      <c r="DF1195" s="4" t="n"/>
      <c r="DG1195" s="4" t="n"/>
      <c r="DH1195" s="4" t="n"/>
      <c r="DI1195" s="4" t="n"/>
      <c r="DJ1195" s="4" t="n"/>
      <c r="DK1195" s="4" t="n"/>
      <c r="DL1195" s="4" t="n"/>
      <c r="DM1195" s="4" t="n"/>
      <c r="DN1195" s="4" t="n"/>
      <c r="DO1195" s="4" t="n"/>
      <c r="DP1195" s="4" t="n"/>
      <c r="DQ1195" s="4" t="n"/>
      <c r="DR1195" s="4" t="n"/>
      <c r="DS1195" s="4" t="n"/>
      <c r="DT1195" s="4" t="n"/>
      <c r="DU1195" s="4" t="n"/>
      <c r="DV1195" s="4" t="n"/>
      <c r="DW1195" s="4" t="n"/>
      <c r="DX1195" s="4" t="n"/>
      <c r="DY1195" s="4" t="n"/>
      <c r="DZ1195" s="4" t="n"/>
      <c r="EA1195" s="4" t="n"/>
      <c r="EB1195" s="4" t="n"/>
      <c r="EC1195" s="4" t="n"/>
      <c r="ED1195" s="4" t="n"/>
      <c r="EE1195" s="4" t="n"/>
      <c r="EF1195" s="4" t="n"/>
      <c r="EG1195" s="4" t="n"/>
      <c r="EH1195" s="4" t="n"/>
      <c r="EI1195" s="4" t="n"/>
      <c r="EJ1195" s="4" t="n"/>
      <c r="EK1195" s="4" t="n"/>
      <c r="EL1195" s="4" t="n"/>
      <c r="EM1195" s="4" t="n"/>
    </row>
    <row r="1196" hidden="1" customFormat="1" s="6">
      <c r="C1196" s="4" t="n"/>
      <c r="D1196" s="4" t="n"/>
      <c r="E1196" s="4" t="n"/>
      <c r="F1196" s="4" t="n"/>
      <c r="G1196" s="4" t="n"/>
      <c r="H1196" s="4" t="n"/>
      <c r="I1196" s="4" t="n"/>
      <c r="J1196" s="4" t="n"/>
      <c r="K1196" s="4" t="n"/>
      <c r="L1196" s="4" t="n"/>
      <c r="M1196" s="4" t="n"/>
      <c r="N1196" s="4" t="n"/>
      <c r="O1196" s="4" t="n"/>
      <c r="P1196" s="4" t="n"/>
      <c r="Q1196" s="4" t="n"/>
      <c r="R1196" s="4" t="n"/>
      <c r="S1196" s="4" t="n"/>
      <c r="T1196" s="4" t="n"/>
      <c r="U1196" s="4" t="n"/>
      <c r="V1196" s="4" t="n"/>
      <c r="W1196" s="4" t="n"/>
      <c r="X1196" s="4" t="n"/>
      <c r="Y1196" s="4" t="n"/>
      <c r="Z1196" s="4" t="n"/>
      <c r="AA1196" s="4" t="n"/>
      <c r="AB1196" s="4" t="n"/>
      <c r="AC1196" s="4" t="n"/>
      <c r="AD1196" s="4" t="n"/>
      <c r="AE1196" s="4" t="n"/>
      <c r="AF1196" s="4" t="n"/>
      <c r="AG1196" s="4" t="n"/>
      <c r="AH1196" s="4" t="n"/>
      <c r="AI1196" s="4" t="n"/>
      <c r="AJ1196" s="4" t="n"/>
      <c r="AK1196" s="4" t="n"/>
      <c r="AL1196" s="4" t="n"/>
      <c r="AM1196" s="4" t="n"/>
      <c r="AN1196" s="4" t="n"/>
      <c r="AO1196" s="4" t="n"/>
      <c r="AP1196" s="4" t="n"/>
      <c r="AQ1196" s="4" t="n"/>
      <c r="AR1196" s="4" t="n"/>
      <c r="AS1196" s="4" t="n"/>
      <c r="AT1196" s="4" t="n"/>
      <c r="AU1196" s="4" t="n"/>
      <c r="AV1196" s="4" t="n"/>
      <c r="AW1196" s="4" t="n"/>
      <c r="AX1196" s="4" t="n"/>
      <c r="AY1196" s="4" t="n"/>
      <c r="AZ1196" s="4" t="n"/>
      <c r="BA1196" s="4" t="n"/>
      <c r="BB1196" s="4" t="n"/>
      <c r="BC1196" s="4" t="n"/>
      <c r="BD1196" s="4" t="n"/>
      <c r="BE1196" s="4" t="n"/>
      <c r="BF1196" s="4" t="n"/>
      <c r="BG1196" s="4" t="n"/>
      <c r="BH1196" s="4" t="n"/>
      <c r="BI1196" s="4" t="n"/>
      <c r="BJ1196" s="4" t="n"/>
      <c r="BK1196" s="4" t="n"/>
      <c r="BL1196" s="4" t="n"/>
      <c r="BM1196" s="4" t="n"/>
      <c r="BN1196" s="4" t="n"/>
      <c r="BO1196" s="4" t="n"/>
      <c r="BP1196" s="4" t="n"/>
      <c r="BQ1196" s="4" t="n"/>
      <c r="BR1196" s="4" t="n"/>
      <c r="BS1196" s="4" t="n"/>
      <c r="BT1196" s="4" t="n"/>
      <c r="BU1196" s="4" t="n"/>
      <c r="BV1196" s="4" t="n"/>
      <c r="BW1196" s="4" t="n"/>
      <c r="BX1196" s="4" t="n"/>
      <c r="BY1196" s="4" t="n"/>
      <c r="BZ1196" s="4" t="n"/>
      <c r="CA1196" s="4" t="n"/>
      <c r="CB1196" s="4" t="n"/>
      <c r="CC1196" s="4" t="n"/>
      <c r="CD1196" s="4" t="n"/>
      <c r="CE1196" s="4" t="n"/>
      <c r="CF1196" s="4" t="n"/>
      <c r="CG1196" s="4" t="n"/>
      <c r="CH1196" s="4" t="n"/>
      <c r="CI1196" s="4" t="n"/>
      <c r="CJ1196" s="4" t="n"/>
      <c r="CK1196" s="4" t="n"/>
      <c r="CL1196" s="4" t="n"/>
      <c r="CM1196" s="4" t="n"/>
      <c r="CN1196" s="4" t="n"/>
      <c r="CO1196" s="4" t="n"/>
      <c r="CP1196" s="4" t="n"/>
      <c r="CQ1196" s="4" t="n"/>
      <c r="CR1196" s="4" t="n"/>
      <c r="CS1196" s="4" t="n"/>
      <c r="CT1196" s="4" t="n"/>
      <c r="CU1196" s="4" t="n"/>
      <c r="CV1196" s="4" t="n"/>
      <c r="CW1196" s="4" t="n"/>
      <c r="CX1196" s="4" t="n"/>
      <c r="CY1196" s="4" t="n"/>
      <c r="CZ1196" s="4" t="n"/>
      <c r="DA1196" s="4" t="n"/>
      <c r="DB1196" s="4" t="n"/>
      <c r="DC1196" s="4" t="n"/>
      <c r="DD1196" s="4" t="n"/>
      <c r="DE1196" s="4" t="n"/>
      <c r="DF1196" s="4" t="n"/>
      <c r="DG1196" s="4" t="n"/>
      <c r="DH1196" s="4" t="n"/>
      <c r="DI1196" s="4" t="n"/>
      <c r="DJ1196" s="4" t="n"/>
      <c r="DK1196" s="4" t="n"/>
      <c r="DL1196" s="4" t="n"/>
      <c r="DM1196" s="4" t="n"/>
      <c r="DN1196" s="4" t="n"/>
      <c r="DO1196" s="4" t="n"/>
      <c r="DP1196" s="4" t="n"/>
      <c r="DQ1196" s="4" t="n"/>
      <c r="DR1196" s="4" t="n"/>
      <c r="DS1196" s="4" t="n"/>
      <c r="DT1196" s="4" t="n"/>
      <c r="DU1196" s="4" t="n"/>
      <c r="DV1196" s="4" t="n"/>
      <c r="DW1196" s="4" t="n"/>
      <c r="DX1196" s="4" t="n"/>
      <c r="DY1196" s="4" t="n"/>
      <c r="DZ1196" s="4" t="n"/>
      <c r="EA1196" s="4" t="n"/>
      <c r="EB1196" s="4" t="n"/>
      <c r="EC1196" s="4" t="n"/>
      <c r="ED1196" s="4" t="n"/>
      <c r="EE1196" s="4" t="n"/>
      <c r="EF1196" s="4" t="n"/>
      <c r="EG1196" s="4" t="n"/>
      <c r="EH1196" s="4" t="n"/>
      <c r="EI1196" s="4" t="n"/>
      <c r="EJ1196" s="4" t="n"/>
      <c r="EK1196" s="4" t="n"/>
      <c r="EL1196" s="4" t="n"/>
      <c r="EM1196" s="4" t="n"/>
    </row>
    <row r="1197" hidden="1" customFormat="1" s="6">
      <c r="C1197" s="4" t="n"/>
      <c r="D1197" s="4" t="n"/>
      <c r="E1197" s="4" t="n"/>
      <c r="F1197" s="4" t="n"/>
      <c r="G1197" s="4" t="n"/>
      <c r="H1197" s="4" t="n"/>
      <c r="I1197" s="4" t="n"/>
      <c r="J1197" s="4" t="n"/>
      <c r="K1197" s="4" t="n"/>
      <c r="L1197" s="4" t="n"/>
      <c r="M1197" s="4" t="n"/>
      <c r="N1197" s="4" t="n"/>
      <c r="O1197" s="4" t="n"/>
      <c r="P1197" s="4" t="n"/>
      <c r="Q1197" s="4" t="n"/>
      <c r="R1197" s="4" t="n"/>
      <c r="S1197" s="4" t="n"/>
      <c r="T1197" s="4" t="n"/>
      <c r="U1197" s="4" t="n"/>
      <c r="V1197" s="4" t="n"/>
      <c r="W1197" s="4" t="n"/>
      <c r="X1197" s="4" t="n"/>
      <c r="Y1197" s="4" t="n"/>
      <c r="Z1197" s="4" t="n"/>
      <c r="AA1197" s="4" t="n"/>
      <c r="AB1197" s="4" t="n"/>
      <c r="AC1197" s="4" t="n"/>
      <c r="AD1197" s="4" t="n"/>
      <c r="AE1197" s="4" t="n"/>
      <c r="AF1197" s="4" t="n"/>
      <c r="AG1197" s="4" t="n"/>
      <c r="AH1197" s="4" t="n"/>
      <c r="AI1197" s="4" t="n"/>
      <c r="AJ1197" s="4" t="n"/>
      <c r="AK1197" s="4" t="n"/>
      <c r="AL1197" s="4" t="n"/>
      <c r="AM1197" s="4" t="n"/>
      <c r="AN1197" s="4" t="n"/>
      <c r="AO1197" s="4" t="n"/>
      <c r="AP1197" s="4" t="n"/>
      <c r="AQ1197" s="4" t="n"/>
      <c r="AR1197" s="4" t="n"/>
      <c r="AS1197" s="4" t="n"/>
      <c r="AT1197" s="4" t="n"/>
      <c r="AU1197" s="4" t="n"/>
      <c r="AV1197" s="4" t="n"/>
      <c r="AW1197" s="4" t="n"/>
      <c r="AX1197" s="4" t="n"/>
      <c r="AY1197" s="4" t="n"/>
      <c r="AZ1197" s="4" t="n"/>
      <c r="BA1197" s="4" t="n"/>
      <c r="BB1197" s="4" t="n"/>
      <c r="BC1197" s="4" t="n"/>
      <c r="BD1197" s="4" t="n"/>
      <c r="BE1197" s="4" t="n"/>
      <c r="BF1197" s="4" t="n"/>
      <c r="BG1197" s="4" t="n"/>
      <c r="BH1197" s="4" t="n"/>
      <c r="BI1197" s="4" t="n"/>
      <c r="BJ1197" s="4" t="n"/>
      <c r="BK1197" s="4" t="n"/>
      <c r="BL1197" s="4" t="n"/>
      <c r="BM1197" s="4" t="n"/>
      <c r="BN1197" s="4" t="n"/>
      <c r="BO1197" s="4" t="n"/>
      <c r="BP1197" s="4" t="n"/>
      <c r="BQ1197" s="4" t="n"/>
      <c r="BR1197" s="4" t="n"/>
      <c r="BS1197" s="4" t="n"/>
      <c r="BT1197" s="4" t="n"/>
      <c r="BU1197" s="4" t="n"/>
      <c r="BV1197" s="4" t="n"/>
      <c r="BW1197" s="4" t="n"/>
      <c r="BX1197" s="4" t="n"/>
      <c r="BY1197" s="4" t="n"/>
      <c r="BZ1197" s="4" t="n"/>
      <c r="CA1197" s="4" t="n"/>
      <c r="CB1197" s="4" t="n"/>
      <c r="CC1197" s="4" t="n"/>
      <c r="CD1197" s="4" t="n"/>
      <c r="CE1197" s="4" t="n"/>
      <c r="CF1197" s="4" t="n"/>
      <c r="CG1197" s="4" t="n"/>
      <c r="CH1197" s="4" t="n"/>
      <c r="CI1197" s="4" t="n"/>
      <c r="CJ1197" s="4" t="n"/>
      <c r="CK1197" s="4" t="n"/>
      <c r="CL1197" s="4" t="n"/>
      <c r="CM1197" s="4" t="n"/>
      <c r="CN1197" s="4" t="n"/>
      <c r="CO1197" s="4" t="n"/>
      <c r="CP1197" s="4" t="n"/>
      <c r="CQ1197" s="4" t="n"/>
      <c r="CR1197" s="4" t="n"/>
      <c r="CS1197" s="4" t="n"/>
      <c r="CT1197" s="4" t="n"/>
      <c r="CU1197" s="4" t="n"/>
      <c r="CV1197" s="4" t="n"/>
      <c r="CW1197" s="4" t="n"/>
      <c r="CX1197" s="4" t="n"/>
      <c r="CY1197" s="4" t="n"/>
      <c r="CZ1197" s="4" t="n"/>
      <c r="DA1197" s="4" t="n"/>
      <c r="DB1197" s="4" t="n"/>
      <c r="DC1197" s="4" t="n"/>
      <c r="DD1197" s="4" t="n"/>
      <c r="DE1197" s="4" t="n"/>
      <c r="DF1197" s="4" t="n"/>
      <c r="DG1197" s="4" t="n"/>
      <c r="DH1197" s="4" t="n"/>
      <c r="DI1197" s="4" t="n"/>
      <c r="DJ1197" s="4" t="n"/>
      <c r="DK1197" s="4" t="n"/>
      <c r="DL1197" s="4" t="n"/>
      <c r="DM1197" s="4" t="n"/>
      <c r="DN1197" s="4" t="n"/>
      <c r="DO1197" s="4" t="n"/>
      <c r="DP1197" s="4" t="n"/>
      <c r="DQ1197" s="4" t="n"/>
      <c r="DR1197" s="4" t="n"/>
      <c r="DS1197" s="4" t="n"/>
      <c r="DT1197" s="4" t="n"/>
      <c r="DU1197" s="4" t="n"/>
      <c r="DV1197" s="4" t="n"/>
      <c r="DW1197" s="4" t="n"/>
      <c r="DX1197" s="4" t="n"/>
      <c r="DY1197" s="4" t="n"/>
      <c r="DZ1197" s="4" t="n"/>
      <c r="EA1197" s="4" t="n"/>
      <c r="EB1197" s="4" t="n"/>
      <c r="EC1197" s="4" t="n"/>
      <c r="ED1197" s="4" t="n"/>
      <c r="EE1197" s="4" t="n"/>
      <c r="EF1197" s="4" t="n"/>
      <c r="EG1197" s="4" t="n"/>
      <c r="EH1197" s="4" t="n"/>
      <c r="EI1197" s="4" t="n"/>
      <c r="EJ1197" s="4" t="n"/>
      <c r="EK1197" s="4" t="n"/>
      <c r="EL1197" s="4" t="n"/>
      <c r="EM1197" s="4" t="n"/>
    </row>
    <row r="1198" hidden="1" customFormat="1" s="6">
      <c r="C1198" s="4" t="n"/>
      <c r="D1198" s="4" t="n"/>
      <c r="E1198" s="4" t="n"/>
      <c r="F1198" s="4" t="n"/>
      <c r="G1198" s="4" t="n"/>
      <c r="H1198" s="4" t="n"/>
      <c r="I1198" s="4" t="n"/>
      <c r="J1198" s="4" t="n"/>
      <c r="K1198" s="4" t="n"/>
      <c r="L1198" s="4" t="n"/>
      <c r="M1198" s="4" t="n"/>
      <c r="N1198" s="4" t="n"/>
      <c r="O1198" s="4" t="n"/>
      <c r="P1198" s="4" t="n"/>
      <c r="Q1198" s="4" t="n"/>
      <c r="R1198" s="4" t="n"/>
      <c r="S1198" s="4" t="n"/>
      <c r="T1198" s="4" t="n"/>
      <c r="U1198" s="4" t="n"/>
      <c r="V1198" s="4" t="n"/>
      <c r="W1198" s="4" t="n"/>
      <c r="X1198" s="4" t="n"/>
      <c r="Y1198" s="4" t="n"/>
      <c r="Z1198" s="4" t="n"/>
      <c r="AA1198" s="4" t="n"/>
      <c r="AB1198" s="4" t="n"/>
      <c r="AC1198" s="4" t="n"/>
      <c r="AD1198" s="4" t="n"/>
      <c r="AE1198" s="4" t="n"/>
      <c r="AF1198" s="4" t="n"/>
      <c r="AG1198" s="4" t="n"/>
      <c r="AH1198" s="4" t="n"/>
      <c r="AI1198" s="4" t="n"/>
      <c r="AJ1198" s="4" t="n"/>
      <c r="AK1198" s="4" t="n"/>
      <c r="AL1198" s="4" t="n"/>
      <c r="AM1198" s="4" t="n"/>
      <c r="AN1198" s="4" t="n"/>
      <c r="AO1198" s="4" t="n"/>
      <c r="AP1198" s="4" t="n"/>
      <c r="AQ1198" s="4" t="n"/>
      <c r="AR1198" s="4" t="n"/>
      <c r="AS1198" s="4" t="n"/>
      <c r="AT1198" s="4" t="n"/>
      <c r="AU1198" s="4" t="n"/>
      <c r="AV1198" s="4" t="n"/>
      <c r="AW1198" s="4" t="n"/>
      <c r="AX1198" s="4" t="n"/>
      <c r="AY1198" s="4" t="n"/>
      <c r="AZ1198" s="4" t="n"/>
      <c r="BA1198" s="4" t="n"/>
      <c r="BB1198" s="4" t="n"/>
      <c r="BC1198" s="4" t="n"/>
      <c r="BD1198" s="4" t="n"/>
      <c r="BE1198" s="4" t="n"/>
      <c r="BF1198" s="4" t="n"/>
      <c r="BG1198" s="4" t="n"/>
      <c r="BH1198" s="4" t="n"/>
      <c r="BI1198" s="4" t="n"/>
      <c r="BJ1198" s="4" t="n"/>
      <c r="BK1198" s="4" t="n"/>
      <c r="BL1198" s="4" t="n"/>
      <c r="BM1198" s="4" t="n"/>
      <c r="BN1198" s="4" t="n"/>
      <c r="BO1198" s="4" t="n"/>
      <c r="BP1198" s="4" t="n"/>
      <c r="BQ1198" s="4" t="n"/>
      <c r="BR1198" s="4" t="n"/>
      <c r="BS1198" s="4" t="n"/>
      <c r="BT1198" s="4" t="n"/>
      <c r="BU1198" s="4" t="n"/>
      <c r="BV1198" s="4" t="n"/>
      <c r="BW1198" s="4" t="n"/>
      <c r="BX1198" s="4" t="n"/>
      <c r="BY1198" s="4" t="n"/>
      <c r="BZ1198" s="4" t="n"/>
      <c r="CA1198" s="4" t="n"/>
      <c r="CB1198" s="4" t="n"/>
      <c r="CC1198" s="4" t="n"/>
      <c r="CD1198" s="4" t="n"/>
      <c r="CE1198" s="4" t="n"/>
      <c r="CF1198" s="4" t="n"/>
      <c r="CG1198" s="4" t="n"/>
      <c r="CH1198" s="4" t="n"/>
      <c r="CI1198" s="4" t="n"/>
      <c r="CJ1198" s="4" t="n"/>
      <c r="CK1198" s="4" t="n"/>
      <c r="CL1198" s="4" t="n"/>
      <c r="CM1198" s="4" t="n"/>
      <c r="CN1198" s="4" t="n"/>
      <c r="CO1198" s="4" t="n"/>
      <c r="CP1198" s="4" t="n"/>
      <c r="CQ1198" s="4" t="n"/>
      <c r="CR1198" s="4" t="n"/>
      <c r="CS1198" s="4" t="n"/>
      <c r="CT1198" s="4" t="n"/>
      <c r="CU1198" s="4" t="n"/>
      <c r="CV1198" s="4" t="n"/>
      <c r="CW1198" s="4" t="n"/>
      <c r="CX1198" s="4" t="n"/>
      <c r="CY1198" s="4" t="n"/>
      <c r="CZ1198" s="4" t="n"/>
      <c r="DA1198" s="4" t="n"/>
      <c r="DB1198" s="4" t="n"/>
      <c r="DC1198" s="4" t="n"/>
      <c r="DD1198" s="4" t="n"/>
      <c r="DE1198" s="4" t="n"/>
      <c r="DF1198" s="4" t="n"/>
      <c r="DG1198" s="4" t="n"/>
      <c r="DH1198" s="4" t="n"/>
      <c r="DI1198" s="4" t="n"/>
      <c r="DJ1198" s="4" t="n"/>
      <c r="DK1198" s="4" t="n"/>
      <c r="DL1198" s="4" t="n"/>
      <c r="DM1198" s="4" t="n"/>
      <c r="DN1198" s="4" t="n"/>
      <c r="DO1198" s="4" t="n"/>
      <c r="DP1198" s="4" t="n"/>
      <c r="DQ1198" s="4" t="n"/>
      <c r="DR1198" s="4" t="n"/>
      <c r="DS1198" s="4" t="n"/>
      <c r="DT1198" s="4" t="n"/>
      <c r="DU1198" s="4" t="n"/>
      <c r="DV1198" s="4" t="n"/>
      <c r="DW1198" s="4" t="n"/>
      <c r="DX1198" s="4" t="n"/>
      <c r="DY1198" s="4" t="n"/>
      <c r="DZ1198" s="4" t="n"/>
      <c r="EA1198" s="4" t="n"/>
      <c r="EB1198" s="4" t="n"/>
      <c r="EC1198" s="4" t="n"/>
      <c r="ED1198" s="4" t="n"/>
      <c r="EE1198" s="4" t="n"/>
      <c r="EF1198" s="4" t="n"/>
      <c r="EG1198" s="4" t="n"/>
      <c r="EH1198" s="4" t="n"/>
      <c r="EI1198" s="4" t="n"/>
      <c r="EJ1198" s="4" t="n"/>
      <c r="EK1198" s="4" t="n"/>
      <c r="EL1198" s="4" t="n"/>
      <c r="EM1198" s="4" t="n"/>
    </row>
    <row r="1199" hidden="1" customFormat="1" s="6">
      <c r="C1199" s="4" t="n"/>
      <c r="D1199" s="4" t="n"/>
      <c r="E1199" s="4" t="n"/>
      <c r="F1199" s="4" t="n"/>
      <c r="G1199" s="4" t="n"/>
      <c r="H1199" s="4" t="n"/>
      <c r="I1199" s="4" t="n"/>
      <c r="J1199" s="4" t="n"/>
      <c r="K1199" s="4" t="n"/>
      <c r="L1199" s="4" t="n"/>
      <c r="M1199" s="4" t="n"/>
      <c r="N1199" s="4" t="n"/>
      <c r="O1199" s="4" t="n"/>
      <c r="P1199" s="4" t="n"/>
      <c r="Q1199" s="4" t="n"/>
      <c r="R1199" s="4" t="n"/>
      <c r="S1199" s="4" t="n"/>
      <c r="T1199" s="4" t="n"/>
      <c r="U1199" s="4" t="n"/>
      <c r="V1199" s="4" t="n"/>
      <c r="W1199" s="4" t="n"/>
      <c r="X1199" s="4" t="n"/>
      <c r="Y1199" s="4" t="n"/>
      <c r="Z1199" s="4" t="n"/>
      <c r="AA1199" s="4" t="n"/>
      <c r="AB1199" s="4" t="n"/>
      <c r="AC1199" s="4" t="n"/>
      <c r="AD1199" s="4" t="n"/>
      <c r="AE1199" s="4" t="n"/>
      <c r="AF1199" s="4" t="n"/>
      <c r="AG1199" s="4" t="n"/>
      <c r="AH1199" s="4" t="n"/>
      <c r="AI1199" s="4" t="n"/>
      <c r="AJ1199" s="4" t="n"/>
      <c r="AK1199" s="4" t="n"/>
      <c r="AL1199" s="4" t="n"/>
      <c r="AM1199" s="4" t="n"/>
      <c r="AN1199" s="4" t="n"/>
      <c r="AO1199" s="4" t="n"/>
      <c r="AP1199" s="4" t="n"/>
      <c r="AQ1199" s="4" t="n"/>
      <c r="AR1199" s="4" t="n"/>
      <c r="AS1199" s="4" t="n"/>
      <c r="AT1199" s="4" t="n"/>
      <c r="AU1199" s="4" t="n"/>
      <c r="AV1199" s="4" t="n"/>
      <c r="AW1199" s="4" t="n"/>
      <c r="AX1199" s="4" t="n"/>
      <c r="AY1199" s="4" t="n"/>
      <c r="AZ1199" s="4" t="n"/>
      <c r="BA1199" s="4" t="n"/>
      <c r="BB1199" s="4" t="n"/>
      <c r="BC1199" s="4" t="n"/>
      <c r="BD1199" s="4" t="n"/>
      <c r="BE1199" s="4" t="n"/>
      <c r="BF1199" s="4" t="n"/>
      <c r="BG1199" s="4" t="n"/>
      <c r="BH1199" s="4" t="n"/>
      <c r="BI1199" s="4" t="n"/>
      <c r="BJ1199" s="4" t="n"/>
      <c r="BK1199" s="4" t="n"/>
      <c r="BL1199" s="4" t="n"/>
      <c r="BM1199" s="4" t="n"/>
      <c r="BN1199" s="4" t="n"/>
      <c r="BO1199" s="4" t="n"/>
      <c r="BP1199" s="4" t="n"/>
      <c r="BQ1199" s="4" t="n"/>
      <c r="BR1199" s="4" t="n"/>
      <c r="BS1199" s="4" t="n"/>
      <c r="BT1199" s="4" t="n"/>
      <c r="BU1199" s="4" t="n"/>
      <c r="BV1199" s="4" t="n"/>
      <c r="BW1199" s="4" t="n"/>
      <c r="BX1199" s="4" t="n"/>
      <c r="BY1199" s="4" t="n"/>
      <c r="BZ1199" s="4" t="n"/>
      <c r="CA1199" s="4" t="n"/>
      <c r="CB1199" s="4" t="n"/>
      <c r="CC1199" s="4" t="n"/>
      <c r="CD1199" s="4" t="n"/>
      <c r="CE1199" s="4" t="n"/>
      <c r="CF1199" s="4" t="n"/>
      <c r="CG1199" s="4" t="n"/>
      <c r="CH1199" s="4" t="n"/>
      <c r="CI1199" s="4" t="n"/>
      <c r="CJ1199" s="4" t="n"/>
      <c r="CK1199" s="4" t="n"/>
      <c r="CL1199" s="4" t="n"/>
      <c r="CM1199" s="4" t="n"/>
      <c r="CN1199" s="4" t="n"/>
      <c r="CO1199" s="4" t="n"/>
      <c r="CP1199" s="4" t="n"/>
      <c r="CQ1199" s="4" t="n"/>
      <c r="CR1199" s="4" t="n"/>
      <c r="CS1199" s="4" t="n"/>
      <c r="CT1199" s="4" t="n"/>
      <c r="CU1199" s="4" t="n"/>
      <c r="CV1199" s="4" t="n"/>
      <c r="CW1199" s="4" t="n"/>
      <c r="CX1199" s="4" t="n"/>
      <c r="CY1199" s="4" t="n"/>
      <c r="CZ1199" s="4" t="n"/>
      <c r="DA1199" s="4" t="n"/>
      <c r="DB1199" s="4" t="n"/>
      <c r="DC1199" s="4" t="n"/>
      <c r="DD1199" s="4" t="n"/>
      <c r="DE1199" s="4" t="n"/>
      <c r="DF1199" s="4" t="n"/>
      <c r="DG1199" s="4" t="n"/>
      <c r="DH1199" s="4" t="n"/>
      <c r="DI1199" s="4" t="n"/>
      <c r="DJ1199" s="4" t="n"/>
      <c r="DK1199" s="4" t="n"/>
      <c r="DL1199" s="4" t="n"/>
      <c r="DM1199" s="4" t="n"/>
      <c r="DN1199" s="4" t="n"/>
      <c r="DO1199" s="4" t="n"/>
      <c r="DP1199" s="4" t="n"/>
      <c r="DQ1199" s="4" t="n"/>
      <c r="DR1199" s="4" t="n"/>
      <c r="DS1199" s="4" t="n"/>
      <c r="DT1199" s="4" t="n"/>
      <c r="DU1199" s="4" t="n"/>
      <c r="DV1199" s="4" t="n"/>
      <c r="DW1199" s="4" t="n"/>
      <c r="DX1199" s="4" t="n"/>
      <c r="DY1199" s="4" t="n"/>
      <c r="DZ1199" s="4" t="n"/>
      <c r="EA1199" s="4" t="n"/>
      <c r="EB1199" s="4" t="n"/>
      <c r="EC1199" s="4" t="n"/>
      <c r="ED1199" s="4" t="n"/>
      <c r="EE1199" s="4" t="n"/>
      <c r="EF1199" s="4" t="n"/>
      <c r="EG1199" s="4" t="n"/>
      <c r="EH1199" s="4" t="n"/>
      <c r="EI1199" s="4" t="n"/>
      <c r="EJ1199" s="4" t="n"/>
      <c r="EK1199" s="4" t="n"/>
      <c r="EL1199" s="4" t="n"/>
      <c r="EM1199" s="4" t="n"/>
    </row>
    <row r="1200" hidden="1" customFormat="1" s="6">
      <c r="C1200" s="4" t="n"/>
      <c r="D1200" s="4" t="n"/>
      <c r="E1200" s="4" t="n"/>
      <c r="F1200" s="4" t="n"/>
      <c r="G1200" s="4" t="n"/>
      <c r="H1200" s="4" t="n"/>
      <c r="I1200" s="4" t="n"/>
      <c r="J1200" s="4" t="n"/>
      <c r="K1200" s="4" t="n"/>
      <c r="L1200" s="4" t="n"/>
      <c r="M1200" s="4" t="n"/>
      <c r="N1200" s="4" t="n"/>
      <c r="O1200" s="4" t="n"/>
      <c r="P1200" s="4" t="n"/>
      <c r="Q1200" s="4" t="n"/>
      <c r="R1200" s="4" t="n"/>
      <c r="S1200" s="4" t="n"/>
      <c r="T1200" s="4" t="n"/>
      <c r="U1200" s="4" t="n"/>
      <c r="V1200" s="4" t="n"/>
      <c r="W1200" s="4" t="n"/>
      <c r="X1200" s="4" t="n"/>
      <c r="Y1200" s="4" t="n"/>
      <c r="Z1200" s="4" t="n"/>
      <c r="AA1200" s="4" t="n"/>
      <c r="AB1200" s="4" t="n"/>
      <c r="AC1200" s="4" t="n"/>
      <c r="AD1200" s="4" t="n"/>
      <c r="AE1200" s="4" t="n"/>
      <c r="AF1200" s="4" t="n"/>
      <c r="AG1200" s="4" t="n"/>
      <c r="AH1200" s="4" t="n"/>
      <c r="AI1200" s="4" t="n"/>
      <c r="AJ1200" s="4" t="n"/>
      <c r="AK1200" s="4" t="n"/>
      <c r="AL1200" s="4" t="n"/>
      <c r="AM1200" s="4" t="n"/>
      <c r="AN1200" s="4" t="n"/>
      <c r="AO1200" s="4" t="n"/>
      <c r="AP1200" s="4" t="n"/>
      <c r="AQ1200" s="4" t="n"/>
      <c r="AR1200" s="4" t="n"/>
      <c r="AS1200" s="4" t="n"/>
      <c r="AT1200" s="4" t="n"/>
      <c r="AU1200" s="4" t="n"/>
      <c r="AV1200" s="4" t="n"/>
      <c r="AW1200" s="4" t="n"/>
      <c r="AX1200" s="4" t="n"/>
      <c r="AY1200" s="4" t="n"/>
      <c r="AZ1200" s="4" t="n"/>
      <c r="BA1200" s="4" t="n"/>
      <c r="BB1200" s="4" t="n"/>
      <c r="BC1200" s="4" t="n"/>
      <c r="BD1200" s="4" t="n"/>
      <c r="BE1200" s="4" t="n"/>
      <c r="BF1200" s="4" t="n"/>
      <c r="BG1200" s="4" t="n"/>
      <c r="BH1200" s="4" t="n"/>
      <c r="BI1200" s="4" t="n"/>
      <c r="BJ1200" s="4" t="n"/>
      <c r="BK1200" s="4" t="n"/>
      <c r="BL1200" s="4" t="n"/>
      <c r="BM1200" s="4" t="n"/>
      <c r="BN1200" s="4" t="n"/>
      <c r="BO1200" s="4" t="n"/>
      <c r="BP1200" s="4" t="n"/>
      <c r="BQ1200" s="4" t="n"/>
      <c r="BR1200" s="4" t="n"/>
      <c r="BS1200" s="4" t="n"/>
      <c r="BT1200" s="4" t="n"/>
      <c r="BU1200" s="4" t="n"/>
      <c r="BV1200" s="4" t="n"/>
      <c r="BW1200" s="4" t="n"/>
      <c r="BX1200" s="4" t="n"/>
      <c r="BY1200" s="4" t="n"/>
      <c r="BZ1200" s="4" t="n"/>
      <c r="CA1200" s="4" t="n"/>
      <c r="CB1200" s="4" t="n"/>
      <c r="CC1200" s="4" t="n"/>
      <c r="CD1200" s="4" t="n"/>
      <c r="CE1200" s="4" t="n"/>
      <c r="CF1200" s="4" t="n"/>
      <c r="CG1200" s="4" t="n"/>
      <c r="CH1200" s="4" t="n"/>
      <c r="CI1200" s="4" t="n"/>
      <c r="CJ1200" s="4" t="n"/>
      <c r="CK1200" s="4" t="n"/>
      <c r="CL1200" s="4" t="n"/>
      <c r="CM1200" s="4" t="n"/>
      <c r="CN1200" s="4" t="n"/>
      <c r="CO1200" s="4" t="n"/>
      <c r="CP1200" s="4" t="n"/>
      <c r="CQ1200" s="4" t="n"/>
      <c r="CR1200" s="4" t="n"/>
      <c r="CS1200" s="4" t="n"/>
      <c r="CT1200" s="4" t="n"/>
      <c r="CU1200" s="4" t="n"/>
      <c r="CV1200" s="4" t="n"/>
      <c r="CW1200" s="4" t="n"/>
      <c r="CX1200" s="4" t="n"/>
      <c r="CY1200" s="4" t="n"/>
      <c r="CZ1200" s="4" t="n"/>
      <c r="DA1200" s="4" t="n"/>
      <c r="DB1200" s="4" t="n"/>
      <c r="DC1200" s="4" t="n"/>
      <c r="DD1200" s="4" t="n"/>
      <c r="DE1200" s="4" t="n"/>
      <c r="DF1200" s="4" t="n"/>
      <c r="DG1200" s="4" t="n"/>
      <c r="DH1200" s="4" t="n"/>
      <c r="DI1200" s="4" t="n"/>
      <c r="DJ1200" s="4" t="n"/>
      <c r="DK1200" s="4" t="n"/>
      <c r="DL1200" s="4" t="n"/>
      <c r="DM1200" s="4" t="n"/>
      <c r="DN1200" s="4" t="n"/>
      <c r="DO1200" s="4" t="n"/>
      <c r="DP1200" s="4" t="n"/>
      <c r="DQ1200" s="4" t="n"/>
      <c r="DR1200" s="4" t="n"/>
      <c r="DS1200" s="4" t="n"/>
      <c r="DT1200" s="4" t="n"/>
      <c r="DU1200" s="4" t="n"/>
      <c r="DV1200" s="4" t="n"/>
      <c r="DW1200" s="4" t="n"/>
      <c r="DX1200" s="4" t="n"/>
      <c r="DY1200" s="4" t="n"/>
      <c r="DZ1200" s="4" t="n"/>
      <c r="EA1200" s="4" t="n"/>
      <c r="EB1200" s="4" t="n"/>
      <c r="EC1200" s="4" t="n"/>
      <c r="ED1200" s="4" t="n"/>
      <c r="EE1200" s="4" t="n"/>
      <c r="EF1200" s="4" t="n"/>
      <c r="EG1200" s="4" t="n"/>
      <c r="EH1200" s="4" t="n"/>
      <c r="EI1200" s="4" t="n"/>
      <c r="EJ1200" s="4" t="n"/>
      <c r="EK1200" s="4" t="n"/>
      <c r="EL1200" s="4" t="n"/>
      <c r="EM1200" s="4" t="n"/>
    </row>
    <row r="1201" hidden="1" customFormat="1" s="6">
      <c r="C1201" s="4" t="n"/>
      <c r="D1201" s="4" t="n"/>
      <c r="E1201" s="4" t="n"/>
      <c r="F1201" s="4" t="n"/>
      <c r="G1201" s="4" t="n"/>
      <c r="H1201" s="4" t="n"/>
      <c r="I1201" s="4" t="n"/>
      <c r="J1201" s="4" t="n"/>
      <c r="K1201" s="4" t="n"/>
      <c r="L1201" s="4" t="n"/>
      <c r="M1201" s="4" t="n"/>
      <c r="N1201" s="4" t="n"/>
      <c r="O1201" s="4" t="n"/>
      <c r="P1201" s="4" t="n"/>
      <c r="Q1201" s="4" t="n"/>
      <c r="R1201" s="4" t="n"/>
      <c r="S1201" s="4" t="n"/>
      <c r="T1201" s="4" t="n"/>
      <c r="U1201" s="4" t="n"/>
      <c r="V1201" s="4" t="n"/>
      <c r="W1201" s="4" t="n"/>
      <c r="X1201" s="4" t="n"/>
      <c r="Y1201" s="4" t="n"/>
      <c r="Z1201" s="4" t="n"/>
      <c r="AA1201" s="4" t="n"/>
      <c r="AB1201" s="4" t="n"/>
      <c r="AC1201" s="4" t="n"/>
      <c r="AD1201" s="4" t="n"/>
      <c r="AE1201" s="4" t="n"/>
      <c r="AF1201" s="4" t="n"/>
      <c r="AG1201" s="4" t="n"/>
      <c r="AH1201" s="4" t="n"/>
      <c r="AI1201" s="4" t="n"/>
      <c r="AJ1201" s="4" t="n"/>
      <c r="AK1201" s="4" t="n"/>
      <c r="AL1201" s="4" t="n"/>
      <c r="AM1201" s="4" t="n"/>
      <c r="AN1201" s="4" t="n"/>
      <c r="AO1201" s="4" t="n"/>
      <c r="AP1201" s="4" t="n"/>
      <c r="AQ1201" s="4" t="n"/>
      <c r="AR1201" s="4" t="n"/>
      <c r="AS1201" s="4" t="n"/>
      <c r="AT1201" s="4" t="n"/>
      <c r="AU1201" s="4" t="n"/>
      <c r="AV1201" s="4" t="n"/>
      <c r="AW1201" s="4" t="n"/>
      <c r="AX1201" s="4" t="n"/>
      <c r="AY1201" s="4" t="n"/>
      <c r="AZ1201" s="4" t="n"/>
      <c r="BA1201" s="4" t="n"/>
      <c r="BB1201" s="4" t="n"/>
      <c r="BC1201" s="4" t="n"/>
      <c r="BD1201" s="4" t="n"/>
      <c r="BE1201" s="4" t="n"/>
      <c r="BF1201" s="4" t="n"/>
      <c r="BG1201" s="4" t="n"/>
      <c r="BH1201" s="4" t="n"/>
      <c r="BI1201" s="4" t="n"/>
      <c r="BJ1201" s="4" t="n"/>
      <c r="BK1201" s="4" t="n"/>
      <c r="BL1201" s="4" t="n"/>
      <c r="BM1201" s="4" t="n"/>
      <c r="BN1201" s="4" t="n"/>
      <c r="BO1201" s="4" t="n"/>
      <c r="BP1201" s="4" t="n"/>
      <c r="BQ1201" s="4" t="n"/>
      <c r="BR1201" s="4" t="n"/>
      <c r="BS1201" s="4" t="n"/>
      <c r="BT1201" s="4" t="n"/>
      <c r="BU1201" s="4" t="n"/>
      <c r="BV1201" s="4" t="n"/>
      <c r="BW1201" s="4" t="n"/>
      <c r="BX1201" s="4" t="n"/>
      <c r="BY1201" s="4" t="n"/>
      <c r="BZ1201" s="4" t="n"/>
      <c r="CA1201" s="4" t="n"/>
      <c r="CB1201" s="4" t="n"/>
      <c r="CC1201" s="4" t="n"/>
      <c r="CD1201" s="4" t="n"/>
      <c r="CE1201" s="4" t="n"/>
      <c r="CF1201" s="4" t="n"/>
      <c r="CG1201" s="4" t="n"/>
      <c r="CH1201" s="4" t="n"/>
      <c r="CI1201" s="4" t="n"/>
      <c r="CJ1201" s="4" t="n"/>
      <c r="CK1201" s="4" t="n"/>
      <c r="CL1201" s="4" t="n"/>
      <c r="CM1201" s="4" t="n"/>
      <c r="CN1201" s="4" t="n"/>
      <c r="CO1201" s="4" t="n"/>
      <c r="CP1201" s="4" t="n"/>
      <c r="CQ1201" s="4" t="n"/>
      <c r="CR1201" s="4" t="n"/>
      <c r="CS1201" s="4" t="n"/>
      <c r="CT1201" s="4" t="n"/>
      <c r="CU1201" s="4" t="n"/>
      <c r="CV1201" s="4" t="n"/>
      <c r="CW1201" s="4" t="n"/>
      <c r="CX1201" s="4" t="n"/>
      <c r="CY1201" s="4" t="n"/>
      <c r="CZ1201" s="4" t="n"/>
      <c r="DA1201" s="4" t="n"/>
      <c r="DB1201" s="4" t="n"/>
      <c r="DC1201" s="4" t="n"/>
      <c r="DD1201" s="4" t="n"/>
      <c r="DE1201" s="4" t="n"/>
      <c r="DF1201" s="4" t="n"/>
      <c r="DG1201" s="4" t="n"/>
      <c r="DH1201" s="4" t="n"/>
      <c r="DI1201" s="4" t="n"/>
      <c r="DJ1201" s="4" t="n"/>
      <c r="DK1201" s="4" t="n"/>
      <c r="DL1201" s="4" t="n"/>
      <c r="DM1201" s="4" t="n"/>
      <c r="DN1201" s="4" t="n"/>
      <c r="DO1201" s="4" t="n"/>
      <c r="DP1201" s="4" t="n"/>
      <c r="DQ1201" s="4" t="n"/>
      <c r="DR1201" s="4" t="n"/>
      <c r="DS1201" s="4" t="n"/>
      <c r="DT1201" s="4" t="n"/>
      <c r="DU1201" s="4" t="n"/>
      <c r="DV1201" s="4" t="n"/>
      <c r="DW1201" s="4" t="n"/>
      <c r="DX1201" s="4" t="n"/>
      <c r="DY1201" s="4" t="n"/>
      <c r="DZ1201" s="4" t="n"/>
      <c r="EA1201" s="4" t="n"/>
      <c r="EB1201" s="4" t="n"/>
      <c r="EC1201" s="4" t="n"/>
      <c r="ED1201" s="4" t="n"/>
      <c r="EE1201" s="4" t="n"/>
      <c r="EF1201" s="4" t="n"/>
      <c r="EG1201" s="4" t="n"/>
      <c r="EH1201" s="4" t="n"/>
      <c r="EI1201" s="4" t="n"/>
      <c r="EJ1201" s="4" t="n"/>
      <c r="EK1201" s="4" t="n"/>
      <c r="EL1201" s="4" t="n"/>
      <c r="EM1201" s="4" t="n"/>
    </row>
    <row r="1202" hidden="1" customFormat="1" s="6">
      <c r="C1202" s="4" t="n"/>
      <c r="D1202" s="4" t="n"/>
      <c r="E1202" s="4" t="n"/>
      <c r="F1202" s="4" t="n"/>
      <c r="G1202" s="4" t="n"/>
      <c r="H1202" s="4" t="n"/>
      <c r="I1202" s="4" t="n"/>
      <c r="J1202" s="4" t="n"/>
      <c r="K1202" s="4" t="n"/>
      <c r="L1202" s="4" t="n"/>
      <c r="M1202" s="4" t="n"/>
      <c r="N1202" s="4" t="n"/>
      <c r="O1202" s="4" t="n"/>
      <c r="P1202" s="4" t="n"/>
      <c r="Q1202" s="4" t="n"/>
      <c r="R1202" s="4" t="n"/>
      <c r="S1202" s="4" t="n"/>
      <c r="T1202" s="4" t="n"/>
      <c r="U1202" s="4" t="n"/>
      <c r="V1202" s="4" t="n"/>
      <c r="W1202" s="4" t="n"/>
      <c r="X1202" s="4" t="n"/>
      <c r="Y1202" s="4" t="n"/>
      <c r="Z1202" s="4" t="n"/>
      <c r="AA1202" s="4" t="n"/>
      <c r="AB1202" s="4" t="n"/>
      <c r="AC1202" s="4" t="n"/>
      <c r="AD1202" s="4" t="n"/>
      <c r="AE1202" s="4" t="n"/>
      <c r="AF1202" s="4" t="n"/>
      <c r="AG1202" s="4" t="n"/>
      <c r="AH1202" s="4" t="n"/>
      <c r="AI1202" s="4" t="n"/>
      <c r="AJ1202" s="4" t="n"/>
      <c r="AK1202" s="4" t="n"/>
      <c r="AL1202" s="4" t="n"/>
      <c r="AM1202" s="4" t="n"/>
      <c r="AN1202" s="4" t="n"/>
      <c r="AO1202" s="4" t="n"/>
      <c r="AP1202" s="4" t="n"/>
      <c r="AQ1202" s="4" t="n"/>
      <c r="AR1202" s="4" t="n"/>
      <c r="AS1202" s="4" t="n"/>
      <c r="AT1202" s="4" t="n"/>
      <c r="AU1202" s="4" t="n"/>
      <c r="AV1202" s="4" t="n"/>
      <c r="AW1202" s="4" t="n"/>
      <c r="AX1202" s="4" t="n"/>
      <c r="AY1202" s="4" t="n"/>
      <c r="AZ1202" s="4" t="n"/>
      <c r="BA1202" s="4" t="n"/>
      <c r="BB1202" s="4" t="n"/>
      <c r="BC1202" s="4" t="n"/>
      <c r="BD1202" s="4" t="n"/>
      <c r="BE1202" s="4" t="n"/>
      <c r="BF1202" s="4" t="n"/>
      <c r="BG1202" s="4" t="n"/>
      <c r="BH1202" s="4" t="n"/>
      <c r="BI1202" s="4" t="n"/>
      <c r="BJ1202" s="4" t="n"/>
      <c r="BK1202" s="4" t="n"/>
      <c r="BL1202" s="4" t="n"/>
      <c r="BM1202" s="4" t="n"/>
      <c r="BN1202" s="4" t="n"/>
      <c r="BO1202" s="4" t="n"/>
      <c r="BP1202" s="4" t="n"/>
      <c r="BQ1202" s="4" t="n"/>
      <c r="BR1202" s="4" t="n"/>
      <c r="BS1202" s="4" t="n"/>
      <c r="BT1202" s="4" t="n"/>
      <c r="BU1202" s="4" t="n"/>
      <c r="BV1202" s="4" t="n"/>
      <c r="BW1202" s="4" t="n"/>
      <c r="BX1202" s="4" t="n"/>
      <c r="BY1202" s="4" t="n"/>
      <c r="BZ1202" s="4" t="n"/>
      <c r="CA1202" s="4" t="n"/>
      <c r="CB1202" s="4" t="n"/>
      <c r="CC1202" s="4" t="n"/>
      <c r="CD1202" s="4" t="n"/>
      <c r="CE1202" s="4" t="n"/>
      <c r="CF1202" s="4" t="n"/>
      <c r="CG1202" s="4" t="n"/>
      <c r="CH1202" s="4" t="n"/>
      <c r="CI1202" s="4" t="n"/>
      <c r="CJ1202" s="4" t="n"/>
      <c r="CK1202" s="4" t="n"/>
      <c r="CL1202" s="4" t="n"/>
      <c r="CM1202" s="4" t="n"/>
      <c r="CN1202" s="4" t="n"/>
      <c r="CO1202" s="4" t="n"/>
      <c r="CP1202" s="4" t="n"/>
      <c r="CQ1202" s="4" t="n"/>
      <c r="CR1202" s="4" t="n"/>
      <c r="CS1202" s="4" t="n"/>
      <c r="CT1202" s="4" t="n"/>
      <c r="CU1202" s="4" t="n"/>
      <c r="CV1202" s="4" t="n"/>
      <c r="CW1202" s="4" t="n"/>
      <c r="CX1202" s="4" t="n"/>
      <c r="CY1202" s="4" t="n"/>
      <c r="CZ1202" s="4" t="n"/>
      <c r="DA1202" s="4" t="n"/>
      <c r="DB1202" s="4" t="n"/>
      <c r="DC1202" s="4" t="n"/>
      <c r="DD1202" s="4" t="n"/>
      <c r="DE1202" s="4" t="n"/>
      <c r="DF1202" s="4" t="n"/>
      <c r="DG1202" s="4" t="n"/>
      <c r="DH1202" s="4" t="n"/>
      <c r="DI1202" s="4" t="n"/>
      <c r="DJ1202" s="4" t="n"/>
      <c r="DK1202" s="4" t="n"/>
      <c r="DL1202" s="4" t="n"/>
      <c r="DM1202" s="4" t="n"/>
      <c r="DN1202" s="4" t="n"/>
      <c r="DO1202" s="4" t="n"/>
      <c r="DP1202" s="4" t="n"/>
      <c r="DQ1202" s="4" t="n"/>
      <c r="DR1202" s="4" t="n"/>
      <c r="DS1202" s="4" t="n"/>
      <c r="DT1202" s="4" t="n"/>
      <c r="DU1202" s="4" t="n"/>
      <c r="DV1202" s="4" t="n"/>
      <c r="DW1202" s="4" t="n"/>
      <c r="DX1202" s="4" t="n"/>
      <c r="DY1202" s="4" t="n"/>
      <c r="DZ1202" s="4" t="n"/>
      <c r="EA1202" s="4" t="n"/>
      <c r="EB1202" s="4" t="n"/>
      <c r="EC1202" s="4" t="n"/>
      <c r="ED1202" s="4" t="n"/>
      <c r="EE1202" s="4" t="n"/>
      <c r="EF1202" s="4" t="n"/>
      <c r="EG1202" s="4" t="n"/>
      <c r="EH1202" s="4" t="n"/>
      <c r="EI1202" s="4" t="n"/>
      <c r="EJ1202" s="4" t="n"/>
      <c r="EK1202" s="4" t="n"/>
      <c r="EL1202" s="4" t="n"/>
      <c r="EM1202" s="4" t="n"/>
    </row>
    <row r="1203" hidden="1" customFormat="1" s="6">
      <c r="C1203" s="4" t="n"/>
      <c r="D1203" s="4" t="n"/>
      <c r="E1203" s="4" t="n"/>
      <c r="F1203" s="4" t="n"/>
      <c r="G1203" s="4" t="n"/>
      <c r="H1203" s="4" t="n"/>
      <c r="I1203" s="4" t="n"/>
      <c r="J1203" s="4" t="n"/>
      <c r="K1203" s="4" t="n"/>
      <c r="L1203" s="4" t="n"/>
      <c r="M1203" s="4" t="n"/>
      <c r="N1203" s="4" t="n"/>
      <c r="O1203" s="4" t="n"/>
      <c r="P1203" s="4" t="n"/>
      <c r="Q1203" s="4" t="n"/>
      <c r="R1203" s="4" t="n"/>
      <c r="S1203" s="4" t="n"/>
      <c r="T1203" s="4" t="n"/>
      <c r="U1203" s="4" t="n"/>
      <c r="V1203" s="4" t="n"/>
      <c r="W1203" s="4" t="n"/>
      <c r="X1203" s="4" t="n"/>
      <c r="Y1203" s="4" t="n"/>
      <c r="Z1203" s="4" t="n"/>
      <c r="AA1203" s="4" t="n"/>
      <c r="AB1203" s="4" t="n"/>
      <c r="AC1203" s="4" t="n"/>
      <c r="AD1203" s="4" t="n"/>
      <c r="AE1203" s="4" t="n"/>
      <c r="AF1203" s="4" t="n"/>
      <c r="AG1203" s="4" t="n"/>
      <c r="AH1203" s="4" t="n"/>
      <c r="AI1203" s="4" t="n"/>
      <c r="AJ1203" s="4" t="n"/>
      <c r="AK1203" s="4" t="n"/>
      <c r="AL1203" s="4" t="n"/>
      <c r="AM1203" s="4" t="n"/>
      <c r="AN1203" s="4" t="n"/>
      <c r="AO1203" s="4" t="n"/>
      <c r="AP1203" s="4" t="n"/>
      <c r="AQ1203" s="4" t="n"/>
      <c r="AR1203" s="4" t="n"/>
      <c r="AS1203" s="4" t="n"/>
      <c r="AT1203" s="4" t="n"/>
      <c r="AU1203" s="4" t="n"/>
      <c r="AV1203" s="4" t="n"/>
      <c r="AW1203" s="4" t="n"/>
      <c r="AX1203" s="4" t="n"/>
      <c r="AY1203" s="4" t="n"/>
      <c r="AZ1203" s="4" t="n"/>
      <c r="BA1203" s="4" t="n"/>
      <c r="BB1203" s="4" t="n"/>
      <c r="BC1203" s="4" t="n"/>
      <c r="BD1203" s="4" t="n"/>
      <c r="BE1203" s="4" t="n"/>
      <c r="BF1203" s="4" t="n"/>
      <c r="BG1203" s="4" t="n"/>
      <c r="BH1203" s="4" t="n"/>
      <c r="BI1203" s="4" t="n"/>
      <c r="BJ1203" s="4" t="n"/>
      <c r="BK1203" s="4" t="n"/>
      <c r="BL1203" s="4" t="n"/>
      <c r="BM1203" s="4" t="n"/>
      <c r="BN1203" s="4" t="n"/>
      <c r="BO1203" s="4" t="n"/>
      <c r="BP1203" s="4" t="n"/>
      <c r="BQ1203" s="4" t="n"/>
      <c r="BR1203" s="4" t="n"/>
      <c r="BS1203" s="4" t="n"/>
      <c r="BT1203" s="4" t="n"/>
      <c r="BU1203" s="4" t="n"/>
      <c r="BV1203" s="4" t="n"/>
      <c r="BW1203" s="4" t="n"/>
      <c r="BX1203" s="4" t="n"/>
      <c r="BY1203" s="4" t="n"/>
      <c r="BZ1203" s="4" t="n"/>
      <c r="CA1203" s="4" t="n"/>
      <c r="CB1203" s="4" t="n"/>
      <c r="CC1203" s="4" t="n"/>
      <c r="CD1203" s="4" t="n"/>
      <c r="CE1203" s="4" t="n"/>
      <c r="CF1203" s="4" t="n"/>
      <c r="CG1203" s="4" t="n"/>
      <c r="CH1203" s="4" t="n"/>
      <c r="CI1203" s="4" t="n"/>
      <c r="CJ1203" s="4" t="n"/>
      <c r="CK1203" s="4" t="n"/>
      <c r="CL1203" s="4" t="n"/>
      <c r="CM1203" s="4" t="n"/>
      <c r="CN1203" s="4" t="n"/>
      <c r="CO1203" s="4" t="n"/>
      <c r="CP1203" s="4" t="n"/>
      <c r="CQ1203" s="4" t="n"/>
      <c r="CR1203" s="4" t="n"/>
      <c r="CS1203" s="4" t="n"/>
      <c r="CT1203" s="4" t="n"/>
      <c r="CU1203" s="4" t="n"/>
      <c r="CV1203" s="4" t="n"/>
      <c r="CW1203" s="4" t="n"/>
      <c r="CX1203" s="4" t="n"/>
      <c r="CY1203" s="4" t="n"/>
      <c r="CZ1203" s="4" t="n"/>
      <c r="DA1203" s="4" t="n"/>
      <c r="DB1203" s="4" t="n"/>
      <c r="DC1203" s="4" t="n"/>
      <c r="DD1203" s="4" t="n"/>
      <c r="DE1203" s="4" t="n"/>
      <c r="DF1203" s="4" t="n"/>
      <c r="DG1203" s="4" t="n"/>
      <c r="DH1203" s="4" t="n"/>
      <c r="DI1203" s="4" t="n"/>
      <c r="DJ1203" s="4" t="n"/>
      <c r="DK1203" s="4" t="n"/>
      <c r="DL1203" s="4" t="n"/>
      <c r="DM1203" s="4" t="n"/>
      <c r="DN1203" s="4" t="n"/>
      <c r="DO1203" s="4" t="n"/>
      <c r="DP1203" s="4" t="n"/>
      <c r="DQ1203" s="4" t="n"/>
      <c r="DR1203" s="4" t="n"/>
      <c r="DS1203" s="4" t="n"/>
      <c r="DT1203" s="4" t="n"/>
      <c r="DU1203" s="4" t="n"/>
      <c r="DV1203" s="4" t="n"/>
      <c r="DW1203" s="4" t="n"/>
      <c r="DX1203" s="4" t="n"/>
      <c r="DY1203" s="4" t="n"/>
      <c r="DZ1203" s="4" t="n"/>
      <c r="EA1203" s="4" t="n"/>
      <c r="EB1203" s="4" t="n"/>
      <c r="EC1203" s="4" t="n"/>
      <c r="ED1203" s="4" t="n"/>
      <c r="EE1203" s="4" t="n"/>
      <c r="EF1203" s="4" t="n"/>
      <c r="EG1203" s="4" t="n"/>
      <c r="EH1203" s="4" t="n"/>
      <c r="EI1203" s="4" t="n"/>
      <c r="EJ1203" s="4" t="n"/>
      <c r="EK1203" s="4" t="n"/>
      <c r="EL1203" s="4" t="n"/>
      <c r="EM1203" s="4" t="n"/>
    </row>
    <row r="1204" hidden="1" customFormat="1" s="6">
      <c r="C1204" s="4" t="n"/>
      <c r="D1204" s="4" t="n"/>
      <c r="E1204" s="4" t="n"/>
      <c r="F1204" s="4" t="n"/>
      <c r="G1204" s="4" t="n"/>
      <c r="H1204" s="4" t="n"/>
      <c r="I1204" s="4" t="n"/>
      <c r="J1204" s="4" t="n"/>
      <c r="K1204" s="4" t="n"/>
      <c r="L1204" s="4" t="n"/>
      <c r="M1204" s="4" t="n"/>
      <c r="N1204" s="4" t="n"/>
      <c r="O1204" s="4" t="n"/>
      <c r="P1204" s="4" t="n"/>
      <c r="Q1204" s="4" t="n"/>
      <c r="R1204" s="4" t="n"/>
      <c r="S1204" s="4" t="n"/>
      <c r="T1204" s="4" t="n"/>
      <c r="U1204" s="4" t="n"/>
      <c r="V1204" s="4" t="n"/>
      <c r="W1204" s="4" t="n"/>
      <c r="X1204" s="4" t="n"/>
      <c r="Y1204" s="4" t="n"/>
      <c r="Z1204" s="4" t="n"/>
      <c r="AA1204" s="4" t="n"/>
      <c r="AB1204" s="4" t="n"/>
      <c r="AC1204" s="4" t="n"/>
      <c r="AD1204" s="4" t="n"/>
      <c r="AE1204" s="4" t="n"/>
      <c r="AF1204" s="4" t="n"/>
      <c r="AG1204" s="4" t="n"/>
      <c r="AH1204" s="4" t="n"/>
      <c r="AI1204" s="4" t="n"/>
      <c r="AJ1204" s="4" t="n"/>
      <c r="AK1204" s="4" t="n"/>
      <c r="AL1204" s="4" t="n"/>
      <c r="AM1204" s="4" t="n"/>
      <c r="AN1204" s="4" t="n"/>
      <c r="AO1204" s="4" t="n"/>
      <c r="AP1204" s="4" t="n"/>
      <c r="AQ1204" s="4" t="n"/>
      <c r="AR1204" s="4" t="n"/>
      <c r="AS1204" s="4" t="n"/>
      <c r="AT1204" s="4" t="n"/>
      <c r="AU1204" s="4" t="n"/>
      <c r="AV1204" s="4" t="n"/>
      <c r="AW1204" s="4" t="n"/>
      <c r="AX1204" s="4" t="n"/>
      <c r="AY1204" s="4" t="n"/>
      <c r="AZ1204" s="4" t="n"/>
      <c r="BA1204" s="4" t="n"/>
      <c r="BB1204" s="4" t="n"/>
      <c r="BC1204" s="4" t="n"/>
      <c r="BD1204" s="4" t="n"/>
      <c r="BE1204" s="4" t="n"/>
      <c r="BF1204" s="4" t="n"/>
      <c r="BG1204" s="4" t="n"/>
      <c r="BH1204" s="4" t="n"/>
      <c r="BI1204" s="4" t="n"/>
      <c r="BJ1204" s="4" t="n"/>
      <c r="BK1204" s="4" t="n"/>
      <c r="BL1204" s="4" t="n"/>
      <c r="BM1204" s="4" t="n"/>
      <c r="BN1204" s="4" t="n"/>
      <c r="BO1204" s="4" t="n"/>
      <c r="BP1204" s="4" t="n"/>
      <c r="BQ1204" s="4" t="n"/>
      <c r="BR1204" s="4" t="n"/>
      <c r="BS1204" s="4" t="n"/>
      <c r="BT1204" s="4" t="n"/>
      <c r="BU1204" s="4" t="n"/>
      <c r="BV1204" s="4" t="n"/>
      <c r="BW1204" s="4" t="n"/>
      <c r="BX1204" s="4" t="n"/>
      <c r="BY1204" s="4" t="n"/>
      <c r="BZ1204" s="4" t="n"/>
      <c r="CA1204" s="4" t="n"/>
      <c r="CB1204" s="4" t="n"/>
      <c r="CC1204" s="4" t="n"/>
      <c r="CD1204" s="4" t="n"/>
      <c r="CE1204" s="4" t="n"/>
      <c r="CF1204" s="4" t="n"/>
      <c r="CG1204" s="4" t="n"/>
      <c r="CH1204" s="4" t="n"/>
      <c r="CI1204" s="4" t="n"/>
      <c r="CJ1204" s="4" t="n"/>
      <c r="CK1204" s="4" t="n"/>
      <c r="CL1204" s="4" t="n"/>
      <c r="CM1204" s="4" t="n"/>
      <c r="CN1204" s="4" t="n"/>
      <c r="CO1204" s="4" t="n"/>
      <c r="CP1204" s="4" t="n"/>
      <c r="CQ1204" s="4" t="n"/>
      <c r="CR1204" s="4" t="n"/>
      <c r="CS1204" s="4" t="n"/>
      <c r="CT1204" s="4" t="n"/>
      <c r="CU1204" s="4" t="n"/>
      <c r="CV1204" s="4" t="n"/>
      <c r="CW1204" s="4" t="n"/>
      <c r="CX1204" s="4" t="n"/>
      <c r="CY1204" s="4" t="n"/>
      <c r="CZ1204" s="4" t="n"/>
      <c r="DA1204" s="4" t="n"/>
      <c r="DB1204" s="4" t="n"/>
      <c r="DC1204" s="4" t="n"/>
      <c r="DD1204" s="4" t="n"/>
      <c r="DE1204" s="4" t="n"/>
      <c r="DF1204" s="4" t="n"/>
      <c r="DG1204" s="4" t="n"/>
      <c r="DH1204" s="4" t="n"/>
      <c r="DI1204" s="4" t="n"/>
      <c r="DJ1204" s="4" t="n"/>
      <c r="DK1204" s="4" t="n"/>
      <c r="DL1204" s="4" t="n"/>
      <c r="DM1204" s="4" t="n"/>
      <c r="DN1204" s="4" t="n"/>
      <c r="DO1204" s="4" t="n"/>
      <c r="DP1204" s="4" t="n"/>
      <c r="DQ1204" s="4" t="n"/>
      <c r="DR1204" s="4" t="n"/>
      <c r="DS1204" s="4" t="n"/>
      <c r="DT1204" s="4" t="n"/>
      <c r="DU1204" s="4" t="n"/>
      <c r="DV1204" s="4" t="n"/>
      <c r="DW1204" s="4" t="n"/>
      <c r="DX1204" s="4" t="n"/>
      <c r="DY1204" s="4" t="n"/>
      <c r="DZ1204" s="4" t="n"/>
      <c r="EA1204" s="4" t="n"/>
      <c r="EB1204" s="4" t="n"/>
      <c r="EC1204" s="4" t="n"/>
      <c r="ED1204" s="4" t="n"/>
      <c r="EE1204" s="4" t="n"/>
      <c r="EF1204" s="4" t="n"/>
      <c r="EG1204" s="4" t="n"/>
      <c r="EH1204" s="4" t="n"/>
      <c r="EI1204" s="4" t="n"/>
      <c r="EJ1204" s="4" t="n"/>
      <c r="EK1204" s="4" t="n"/>
      <c r="EL1204" s="4" t="n"/>
      <c r="EM1204" s="4" t="n"/>
    </row>
    <row r="1205" hidden="1" customFormat="1" s="6">
      <c r="C1205" s="4" t="n"/>
      <c r="D1205" s="4" t="n"/>
      <c r="E1205" s="4" t="n"/>
      <c r="F1205" s="4" t="n"/>
      <c r="G1205" s="4" t="n"/>
      <c r="H1205" s="4" t="n"/>
      <c r="I1205" s="4" t="n"/>
      <c r="J1205" s="4" t="n"/>
      <c r="K1205" s="4" t="n"/>
      <c r="L1205" s="4" t="n"/>
      <c r="M1205" s="4" t="n"/>
      <c r="N1205" s="4" t="n"/>
      <c r="O1205" s="4" t="n"/>
      <c r="P1205" s="4" t="n"/>
      <c r="Q1205" s="4" t="n"/>
      <c r="R1205" s="4" t="n"/>
      <c r="S1205" s="4" t="n"/>
      <c r="T1205" s="4" t="n"/>
      <c r="U1205" s="4" t="n"/>
      <c r="V1205" s="4" t="n"/>
      <c r="W1205" s="4" t="n"/>
      <c r="X1205" s="4" t="n"/>
      <c r="Y1205" s="4" t="n"/>
      <c r="Z1205" s="4" t="n"/>
      <c r="AA1205" s="4" t="n"/>
      <c r="AB1205" s="4" t="n"/>
      <c r="AC1205" s="4" t="n"/>
      <c r="AD1205" s="4" t="n"/>
      <c r="AE1205" s="4" t="n"/>
      <c r="AF1205" s="4" t="n"/>
      <c r="AG1205" s="4" t="n"/>
      <c r="AH1205" s="4" t="n"/>
      <c r="AI1205" s="4" t="n"/>
      <c r="AJ1205" s="4" t="n"/>
      <c r="AK1205" s="4" t="n"/>
      <c r="AL1205" s="4" t="n"/>
      <c r="AM1205" s="4" t="n"/>
      <c r="AN1205" s="4" t="n"/>
      <c r="AO1205" s="4" t="n"/>
      <c r="AP1205" s="4" t="n"/>
      <c r="AQ1205" s="4" t="n"/>
      <c r="AR1205" s="4" t="n"/>
      <c r="AS1205" s="4" t="n"/>
      <c r="AT1205" s="4" t="n"/>
      <c r="AU1205" s="4" t="n"/>
      <c r="AV1205" s="4" t="n"/>
      <c r="AW1205" s="4" t="n"/>
      <c r="AX1205" s="4" t="n"/>
      <c r="AY1205" s="4" t="n"/>
      <c r="AZ1205" s="4" t="n"/>
      <c r="BA1205" s="4" t="n"/>
      <c r="BB1205" s="4" t="n"/>
      <c r="BC1205" s="4" t="n"/>
      <c r="BD1205" s="4" t="n"/>
      <c r="BE1205" s="4" t="n"/>
      <c r="BF1205" s="4" t="n"/>
      <c r="BG1205" s="4" t="n"/>
      <c r="BH1205" s="4" t="n"/>
      <c r="BI1205" s="4" t="n"/>
      <c r="BJ1205" s="4" t="n"/>
      <c r="BK1205" s="4" t="n"/>
      <c r="BL1205" s="4" t="n"/>
      <c r="BM1205" s="4" t="n"/>
      <c r="BN1205" s="4" t="n"/>
      <c r="BO1205" s="4" t="n"/>
      <c r="BP1205" s="4" t="n"/>
      <c r="BQ1205" s="4" t="n"/>
      <c r="BR1205" s="4" t="n"/>
      <c r="BS1205" s="4" t="n"/>
      <c r="BT1205" s="4" t="n"/>
      <c r="BU1205" s="4" t="n"/>
      <c r="BV1205" s="4" t="n"/>
      <c r="BW1205" s="4" t="n"/>
      <c r="BX1205" s="4" t="n"/>
      <c r="BY1205" s="4" t="n"/>
      <c r="BZ1205" s="4" t="n"/>
      <c r="CA1205" s="4" t="n"/>
      <c r="CB1205" s="4" t="n"/>
      <c r="CC1205" s="4" t="n"/>
      <c r="CD1205" s="4" t="n"/>
      <c r="CE1205" s="4" t="n"/>
      <c r="CF1205" s="4" t="n"/>
      <c r="CG1205" s="4" t="n"/>
      <c r="CH1205" s="4" t="n"/>
      <c r="CI1205" s="4" t="n"/>
      <c r="CJ1205" s="4" t="n"/>
      <c r="CK1205" s="4" t="n"/>
      <c r="CL1205" s="4" t="n"/>
      <c r="CM1205" s="4" t="n"/>
      <c r="CN1205" s="4" t="n"/>
      <c r="CO1205" s="4" t="n"/>
      <c r="CP1205" s="4" t="n"/>
      <c r="CQ1205" s="4" t="n"/>
      <c r="CR1205" s="4" t="n"/>
      <c r="CS1205" s="4" t="n"/>
      <c r="CT1205" s="4" t="n"/>
      <c r="CU1205" s="4" t="n"/>
      <c r="CV1205" s="4" t="n"/>
      <c r="CW1205" s="4" t="n"/>
      <c r="CX1205" s="4" t="n"/>
      <c r="CY1205" s="4" t="n"/>
      <c r="CZ1205" s="4" t="n"/>
      <c r="DA1205" s="4" t="n"/>
      <c r="DB1205" s="4" t="n"/>
      <c r="DC1205" s="4" t="n"/>
      <c r="DD1205" s="4" t="n"/>
      <c r="DE1205" s="4" t="n"/>
      <c r="DF1205" s="4" t="n"/>
      <c r="DG1205" s="4" t="n"/>
      <c r="DH1205" s="4" t="n"/>
      <c r="DI1205" s="4" t="n"/>
      <c r="DJ1205" s="4" t="n"/>
      <c r="DK1205" s="4" t="n"/>
      <c r="DL1205" s="4" t="n"/>
      <c r="DM1205" s="4" t="n"/>
      <c r="DN1205" s="4" t="n"/>
      <c r="DO1205" s="4" t="n"/>
      <c r="DP1205" s="4" t="n"/>
      <c r="DQ1205" s="4" t="n"/>
      <c r="DR1205" s="4" t="n"/>
      <c r="DS1205" s="4" t="n"/>
      <c r="DT1205" s="4" t="n"/>
      <c r="DU1205" s="4" t="n"/>
      <c r="DV1205" s="4" t="n"/>
      <c r="DW1205" s="4" t="n"/>
      <c r="DX1205" s="4" t="n"/>
      <c r="DY1205" s="4" t="n"/>
      <c r="DZ1205" s="4" t="n"/>
      <c r="EA1205" s="4" t="n"/>
      <c r="EB1205" s="4" t="n"/>
      <c r="EC1205" s="4" t="n"/>
      <c r="ED1205" s="4" t="n"/>
      <c r="EE1205" s="4" t="n"/>
      <c r="EF1205" s="4" t="n"/>
      <c r="EG1205" s="4" t="n"/>
      <c r="EH1205" s="4" t="n"/>
      <c r="EI1205" s="4" t="n"/>
      <c r="EJ1205" s="4" t="n"/>
      <c r="EK1205" s="4" t="n"/>
      <c r="EL1205" s="4" t="n"/>
      <c r="EM1205" s="4" t="n"/>
    </row>
    <row r="1206" hidden="1" customFormat="1" s="6">
      <c r="C1206" s="4" t="n"/>
      <c r="D1206" s="4" t="n"/>
      <c r="E1206" s="4" t="n"/>
      <c r="F1206" s="4" t="n"/>
      <c r="G1206" s="4" t="n"/>
      <c r="H1206" s="4" t="n"/>
      <c r="I1206" s="4" t="n"/>
      <c r="J1206" s="4" t="n"/>
      <c r="K1206" s="4" t="n"/>
      <c r="L1206" s="4" t="n"/>
      <c r="M1206" s="4" t="n"/>
      <c r="N1206" s="4" t="n"/>
      <c r="O1206" s="4" t="n"/>
      <c r="P1206" s="4" t="n"/>
      <c r="Q1206" s="4" t="n"/>
      <c r="R1206" s="4" t="n"/>
      <c r="S1206" s="4" t="n"/>
      <c r="T1206" s="4" t="n"/>
      <c r="U1206" s="4" t="n"/>
      <c r="V1206" s="4" t="n"/>
      <c r="W1206" s="4" t="n"/>
      <c r="X1206" s="4" t="n"/>
      <c r="Y1206" s="4" t="n"/>
      <c r="Z1206" s="4" t="n"/>
      <c r="AA1206" s="4" t="n"/>
      <c r="AB1206" s="4" t="n"/>
      <c r="AC1206" s="4" t="n"/>
      <c r="AD1206" s="4" t="n"/>
      <c r="AE1206" s="4" t="n"/>
      <c r="AF1206" s="4" t="n"/>
      <c r="AG1206" s="4" t="n"/>
      <c r="AH1206" s="4" t="n"/>
      <c r="AI1206" s="4" t="n"/>
      <c r="AJ1206" s="4" t="n"/>
      <c r="AK1206" s="4" t="n"/>
      <c r="AL1206" s="4" t="n"/>
      <c r="AM1206" s="4" t="n"/>
      <c r="AN1206" s="4" t="n"/>
      <c r="AO1206" s="4" t="n"/>
      <c r="AP1206" s="4" t="n"/>
      <c r="AQ1206" s="4" t="n"/>
      <c r="AR1206" s="4" t="n"/>
      <c r="AS1206" s="4" t="n"/>
      <c r="AT1206" s="4" t="n"/>
      <c r="AU1206" s="4" t="n"/>
      <c r="AV1206" s="4" t="n"/>
      <c r="AW1206" s="4" t="n"/>
      <c r="AX1206" s="4" t="n"/>
      <c r="AY1206" s="4" t="n"/>
      <c r="AZ1206" s="4" t="n"/>
      <c r="BA1206" s="4" t="n"/>
      <c r="BB1206" s="4" t="n"/>
      <c r="BC1206" s="4" t="n"/>
      <c r="BD1206" s="4" t="n"/>
      <c r="BE1206" s="4" t="n"/>
      <c r="BF1206" s="4" t="n"/>
      <c r="BG1206" s="4" t="n"/>
      <c r="BH1206" s="4" t="n"/>
      <c r="BI1206" s="4" t="n"/>
      <c r="BJ1206" s="4" t="n"/>
      <c r="BK1206" s="4" t="n"/>
      <c r="BL1206" s="4" t="n"/>
      <c r="BM1206" s="4" t="n"/>
      <c r="BN1206" s="4" t="n"/>
      <c r="BO1206" s="4" t="n"/>
      <c r="BP1206" s="4" t="n"/>
      <c r="BQ1206" s="4" t="n"/>
      <c r="BR1206" s="4" t="n"/>
      <c r="BS1206" s="4" t="n"/>
      <c r="BT1206" s="4" t="n"/>
      <c r="BU1206" s="4" t="n"/>
      <c r="BV1206" s="4" t="n"/>
      <c r="BW1206" s="4" t="n"/>
      <c r="BX1206" s="4" t="n"/>
      <c r="BY1206" s="4" t="n"/>
      <c r="BZ1206" s="4" t="n"/>
      <c r="CA1206" s="4" t="n"/>
      <c r="CB1206" s="4" t="n"/>
      <c r="CC1206" s="4" t="n"/>
      <c r="CD1206" s="4" t="n"/>
      <c r="CE1206" s="4" t="n"/>
      <c r="CF1206" s="4" t="n"/>
      <c r="CG1206" s="4" t="n"/>
      <c r="CH1206" s="4" t="n"/>
      <c r="CI1206" s="4" t="n"/>
      <c r="CJ1206" s="4" t="n"/>
      <c r="CK1206" s="4" t="n"/>
      <c r="CL1206" s="4" t="n"/>
      <c r="CM1206" s="4" t="n"/>
      <c r="CN1206" s="4" t="n"/>
      <c r="CO1206" s="4" t="n"/>
      <c r="CP1206" s="4" t="n"/>
      <c r="CQ1206" s="4" t="n"/>
      <c r="CR1206" s="4" t="n"/>
      <c r="CS1206" s="4" t="n"/>
      <c r="CT1206" s="4" t="n"/>
      <c r="CU1206" s="4" t="n"/>
      <c r="CV1206" s="4" t="n"/>
      <c r="CW1206" s="4" t="n"/>
      <c r="CX1206" s="4" t="n"/>
      <c r="CY1206" s="4" t="n"/>
      <c r="CZ1206" s="4" t="n"/>
      <c r="DA1206" s="4" t="n"/>
      <c r="DB1206" s="4" t="n"/>
      <c r="DC1206" s="4" t="n"/>
      <c r="DD1206" s="4" t="n"/>
      <c r="DE1206" s="4" t="n"/>
      <c r="DF1206" s="4" t="n"/>
      <c r="DG1206" s="4" t="n"/>
      <c r="DH1206" s="4" t="n"/>
      <c r="DI1206" s="4" t="n"/>
      <c r="DJ1206" s="4" t="n"/>
      <c r="DK1206" s="4" t="n"/>
      <c r="DL1206" s="4" t="n"/>
      <c r="DM1206" s="4" t="n"/>
      <c r="DN1206" s="4" t="n"/>
      <c r="DO1206" s="4" t="n"/>
      <c r="DP1206" s="4" t="n"/>
      <c r="DQ1206" s="4" t="n"/>
      <c r="DR1206" s="4" t="n"/>
      <c r="DS1206" s="4" t="n"/>
      <c r="DT1206" s="4" t="n"/>
      <c r="DU1206" s="4" t="n"/>
      <c r="DV1206" s="4" t="n"/>
      <c r="DW1206" s="4" t="n"/>
      <c r="DX1206" s="4" t="n"/>
      <c r="DY1206" s="4" t="n"/>
      <c r="DZ1206" s="4" t="n"/>
      <c r="EA1206" s="4" t="n"/>
      <c r="EB1206" s="4" t="n"/>
      <c r="EC1206" s="4" t="n"/>
      <c r="ED1206" s="4" t="n"/>
      <c r="EE1206" s="4" t="n"/>
      <c r="EF1206" s="4" t="n"/>
      <c r="EG1206" s="4" t="n"/>
      <c r="EH1206" s="4" t="n"/>
      <c r="EI1206" s="4" t="n"/>
      <c r="EJ1206" s="4" t="n"/>
      <c r="EK1206" s="4" t="n"/>
      <c r="EL1206" s="4" t="n"/>
      <c r="EM1206" s="4" t="n"/>
    </row>
    <row r="1207" hidden="1" customFormat="1" s="6">
      <c r="C1207" s="4" t="n"/>
      <c r="D1207" s="4" t="n"/>
      <c r="E1207" s="4" t="n"/>
      <c r="F1207" s="4" t="n"/>
      <c r="G1207" s="4" t="n"/>
      <c r="H1207" s="4" t="n"/>
      <c r="I1207" s="4" t="n"/>
      <c r="J1207" s="4" t="n"/>
      <c r="K1207" s="4" t="n"/>
      <c r="L1207" s="4" t="n"/>
      <c r="M1207" s="4" t="n"/>
      <c r="N1207" s="4" t="n"/>
      <c r="O1207" s="4" t="n"/>
      <c r="P1207" s="4" t="n"/>
      <c r="Q1207" s="4" t="n"/>
      <c r="R1207" s="4" t="n"/>
      <c r="S1207" s="4" t="n"/>
      <c r="T1207" s="4" t="n"/>
      <c r="U1207" s="4" t="n"/>
      <c r="V1207" s="4" t="n"/>
      <c r="W1207" s="4" t="n"/>
      <c r="X1207" s="4" t="n"/>
      <c r="Y1207" s="4" t="n"/>
      <c r="Z1207" s="4" t="n"/>
      <c r="AA1207" s="4" t="n"/>
      <c r="AB1207" s="4" t="n"/>
      <c r="AC1207" s="4" t="n"/>
      <c r="AD1207" s="4" t="n"/>
      <c r="AE1207" s="4" t="n"/>
      <c r="AF1207" s="4" t="n"/>
      <c r="AG1207" s="4" t="n"/>
      <c r="AH1207" s="4" t="n"/>
      <c r="AI1207" s="4" t="n"/>
      <c r="AJ1207" s="4" t="n"/>
      <c r="AK1207" s="4" t="n"/>
      <c r="AL1207" s="4" t="n"/>
      <c r="AM1207" s="4" t="n"/>
      <c r="AN1207" s="4" t="n"/>
      <c r="AO1207" s="4" t="n"/>
      <c r="AP1207" s="4" t="n"/>
      <c r="AQ1207" s="4" t="n"/>
      <c r="AR1207" s="4" t="n"/>
      <c r="AS1207" s="4" t="n"/>
      <c r="AT1207" s="4" t="n"/>
      <c r="AU1207" s="4" t="n"/>
      <c r="AV1207" s="4" t="n"/>
      <c r="AW1207" s="4" t="n"/>
      <c r="AX1207" s="4" t="n"/>
      <c r="AY1207" s="4" t="n"/>
      <c r="AZ1207" s="4" t="n"/>
      <c r="BA1207" s="4" t="n"/>
      <c r="BB1207" s="4" t="n"/>
      <c r="BC1207" s="4" t="n"/>
      <c r="BD1207" s="4" t="n"/>
      <c r="BE1207" s="4" t="n"/>
      <c r="BF1207" s="4" t="n"/>
      <c r="BG1207" s="4" t="n"/>
      <c r="BH1207" s="4" t="n"/>
      <c r="BI1207" s="4" t="n"/>
      <c r="BJ1207" s="4" t="n"/>
      <c r="BK1207" s="4" t="n"/>
      <c r="BL1207" s="4" t="n"/>
      <c r="BM1207" s="4" t="n"/>
      <c r="BN1207" s="4" t="n"/>
      <c r="BO1207" s="4" t="n"/>
      <c r="BP1207" s="4" t="n"/>
      <c r="BQ1207" s="4" t="n"/>
      <c r="BR1207" s="4" t="n"/>
      <c r="BS1207" s="4" t="n"/>
      <c r="BT1207" s="4" t="n"/>
      <c r="BU1207" s="4" t="n"/>
      <c r="BV1207" s="4" t="n"/>
      <c r="BW1207" s="4" t="n"/>
      <c r="BX1207" s="4" t="n"/>
      <c r="BY1207" s="4" t="n"/>
      <c r="BZ1207" s="4" t="n"/>
      <c r="CA1207" s="4" t="n"/>
      <c r="CB1207" s="4" t="n"/>
      <c r="CC1207" s="4" t="n"/>
      <c r="CD1207" s="4" t="n"/>
      <c r="CE1207" s="4" t="n"/>
      <c r="CF1207" s="4" t="n"/>
      <c r="CG1207" s="4" t="n"/>
      <c r="CH1207" s="4" t="n"/>
      <c r="CI1207" s="4" t="n"/>
      <c r="CJ1207" s="4" t="n"/>
      <c r="CK1207" s="4" t="n"/>
      <c r="CL1207" s="4" t="n"/>
      <c r="CM1207" s="4" t="n"/>
      <c r="CN1207" s="4" t="n"/>
      <c r="CO1207" s="4" t="n"/>
      <c r="CP1207" s="4" t="n"/>
      <c r="CQ1207" s="4" t="n"/>
      <c r="CR1207" s="4" t="n"/>
      <c r="CS1207" s="4" t="n"/>
      <c r="CT1207" s="4" t="n"/>
      <c r="CU1207" s="4" t="n"/>
      <c r="CV1207" s="4" t="n"/>
      <c r="CW1207" s="4" t="n"/>
      <c r="CX1207" s="4" t="n"/>
      <c r="CY1207" s="4" t="n"/>
      <c r="CZ1207" s="4" t="n"/>
      <c r="DA1207" s="4" t="n"/>
      <c r="DB1207" s="4" t="n"/>
      <c r="DC1207" s="4" t="n"/>
      <c r="DD1207" s="4" t="n"/>
      <c r="DE1207" s="4" t="n"/>
      <c r="DF1207" s="4" t="n"/>
      <c r="DG1207" s="4" t="n"/>
      <c r="DH1207" s="4" t="n"/>
      <c r="DI1207" s="4" t="n"/>
      <c r="DJ1207" s="4" t="n"/>
      <c r="DK1207" s="4" t="n"/>
      <c r="DL1207" s="4" t="n"/>
      <c r="DM1207" s="4" t="n"/>
      <c r="DN1207" s="4" t="n"/>
      <c r="DO1207" s="4" t="n"/>
      <c r="DP1207" s="4" t="n"/>
      <c r="DQ1207" s="4" t="n"/>
      <c r="DR1207" s="4" t="n"/>
      <c r="DS1207" s="4" t="n"/>
      <c r="DT1207" s="4" t="n"/>
      <c r="DU1207" s="4" t="n"/>
      <c r="DV1207" s="4" t="n"/>
      <c r="DW1207" s="4" t="n"/>
      <c r="DX1207" s="4" t="n"/>
      <c r="DY1207" s="4" t="n"/>
      <c r="DZ1207" s="4" t="n"/>
      <c r="EA1207" s="4" t="n"/>
      <c r="EB1207" s="4" t="n"/>
      <c r="EC1207" s="4" t="n"/>
      <c r="ED1207" s="4" t="n"/>
      <c r="EE1207" s="4" t="n"/>
      <c r="EF1207" s="4" t="n"/>
      <c r="EG1207" s="4" t="n"/>
      <c r="EH1207" s="4" t="n"/>
      <c r="EI1207" s="4" t="n"/>
      <c r="EJ1207" s="4" t="n"/>
      <c r="EK1207" s="4" t="n"/>
      <c r="EL1207" s="4" t="n"/>
      <c r="EM1207" s="4" t="n"/>
    </row>
    <row r="1208" hidden="1" customFormat="1" s="6">
      <c r="C1208" s="4" t="n"/>
      <c r="D1208" s="4" t="n"/>
      <c r="E1208" s="4" t="n"/>
      <c r="F1208" s="4" t="n"/>
      <c r="G1208" s="4" t="n"/>
      <c r="H1208" s="4" t="n"/>
      <c r="I1208" s="4" t="n"/>
      <c r="J1208" s="4" t="n"/>
      <c r="K1208" s="4" t="n"/>
      <c r="L1208" s="4" t="n"/>
      <c r="M1208" s="4" t="n"/>
      <c r="N1208" s="4" t="n"/>
      <c r="O1208" s="4" t="n"/>
      <c r="P1208" s="4" t="n"/>
      <c r="Q1208" s="4" t="n"/>
      <c r="R1208" s="4" t="n"/>
      <c r="S1208" s="4" t="n"/>
      <c r="T1208" s="4" t="n"/>
      <c r="U1208" s="4" t="n"/>
      <c r="V1208" s="4" t="n"/>
      <c r="W1208" s="4" t="n"/>
      <c r="X1208" s="4" t="n"/>
      <c r="Y1208" s="4" t="n"/>
      <c r="Z1208" s="4" t="n"/>
      <c r="AA1208" s="4" t="n"/>
      <c r="AB1208" s="4" t="n"/>
      <c r="AC1208" s="4" t="n"/>
      <c r="AD1208" s="4" t="n"/>
      <c r="AE1208" s="4" t="n"/>
      <c r="AF1208" s="4" t="n"/>
      <c r="AG1208" s="4" t="n"/>
      <c r="AH1208" s="4" t="n"/>
      <c r="AI1208" s="4" t="n"/>
      <c r="AJ1208" s="4" t="n"/>
      <c r="AK1208" s="4" t="n"/>
      <c r="AL1208" s="4" t="n"/>
      <c r="AM1208" s="4" t="n"/>
      <c r="AN1208" s="4" t="n"/>
      <c r="AO1208" s="4" t="n"/>
      <c r="AP1208" s="4" t="n"/>
      <c r="AQ1208" s="4" t="n"/>
      <c r="AR1208" s="4" t="n"/>
      <c r="AS1208" s="4" t="n"/>
      <c r="AT1208" s="4" t="n"/>
      <c r="AU1208" s="4" t="n"/>
      <c r="AV1208" s="4" t="n"/>
      <c r="AW1208" s="4" t="n"/>
      <c r="AX1208" s="4" t="n"/>
      <c r="AY1208" s="4" t="n"/>
      <c r="AZ1208" s="4" t="n"/>
      <c r="BA1208" s="4" t="n"/>
      <c r="BB1208" s="4" t="n"/>
      <c r="BC1208" s="4" t="n"/>
      <c r="BD1208" s="4" t="n"/>
      <c r="BE1208" s="4" t="n"/>
      <c r="BF1208" s="4" t="n"/>
      <c r="BG1208" s="4" t="n"/>
      <c r="BH1208" s="4" t="n"/>
      <c r="BI1208" s="4" t="n"/>
      <c r="BJ1208" s="4" t="n"/>
      <c r="BK1208" s="4" t="n"/>
      <c r="BL1208" s="4" t="n"/>
      <c r="BM1208" s="4" t="n"/>
      <c r="BN1208" s="4" t="n"/>
      <c r="BO1208" s="4" t="n"/>
      <c r="BP1208" s="4" t="n"/>
      <c r="BQ1208" s="4" t="n"/>
      <c r="BR1208" s="4" t="n"/>
      <c r="BS1208" s="4" t="n"/>
      <c r="BT1208" s="4" t="n"/>
      <c r="BU1208" s="4" t="n"/>
      <c r="BV1208" s="4" t="n"/>
      <c r="BW1208" s="4" t="n"/>
      <c r="BX1208" s="4" t="n"/>
      <c r="BY1208" s="4" t="n"/>
      <c r="BZ1208" s="4" t="n"/>
      <c r="CA1208" s="4" t="n"/>
      <c r="CB1208" s="4" t="n"/>
      <c r="CC1208" s="4" t="n"/>
      <c r="CD1208" s="4" t="n"/>
      <c r="CE1208" s="4" t="n"/>
      <c r="CF1208" s="4" t="n"/>
      <c r="CG1208" s="4" t="n"/>
      <c r="CH1208" s="4" t="n"/>
      <c r="CI1208" s="4" t="n"/>
      <c r="CJ1208" s="4" t="n"/>
      <c r="CK1208" s="4" t="n"/>
      <c r="CL1208" s="4" t="n"/>
      <c r="CM1208" s="4" t="n"/>
      <c r="CN1208" s="4" t="n"/>
      <c r="CO1208" s="4" t="n"/>
      <c r="CP1208" s="4" t="n"/>
      <c r="CQ1208" s="4" t="n"/>
      <c r="CR1208" s="4" t="n"/>
      <c r="CS1208" s="4" t="n"/>
      <c r="CT1208" s="4" t="n"/>
      <c r="CU1208" s="4" t="n"/>
      <c r="CV1208" s="4" t="n"/>
      <c r="CW1208" s="4" t="n"/>
      <c r="CX1208" s="4" t="n"/>
      <c r="CY1208" s="4" t="n"/>
      <c r="CZ1208" s="4" t="n"/>
      <c r="DA1208" s="4" t="n"/>
      <c r="DB1208" s="4" t="n"/>
      <c r="DC1208" s="4" t="n"/>
      <c r="DD1208" s="4" t="n"/>
      <c r="DE1208" s="4" t="n"/>
      <c r="DF1208" s="4" t="n"/>
      <c r="DG1208" s="4" t="n"/>
      <c r="DH1208" s="4" t="n"/>
      <c r="DI1208" s="4" t="n"/>
      <c r="DJ1208" s="4" t="n"/>
      <c r="DK1208" s="4" t="n"/>
      <c r="DL1208" s="4" t="n"/>
      <c r="DM1208" s="4" t="n"/>
      <c r="DN1208" s="4" t="n"/>
      <c r="DO1208" s="4" t="n"/>
      <c r="DP1208" s="4" t="n"/>
      <c r="DQ1208" s="4" t="n"/>
      <c r="DR1208" s="4" t="n"/>
      <c r="DS1208" s="4" t="n"/>
      <c r="DT1208" s="4" t="n"/>
      <c r="DU1208" s="4" t="n"/>
      <c r="DV1208" s="4" t="n"/>
      <c r="DW1208" s="4" t="n"/>
      <c r="DX1208" s="4" t="n"/>
      <c r="DY1208" s="4" t="n"/>
      <c r="DZ1208" s="4" t="n"/>
      <c r="EA1208" s="4" t="n"/>
      <c r="EB1208" s="4" t="n"/>
      <c r="EC1208" s="4" t="n"/>
      <c r="ED1208" s="4" t="n"/>
      <c r="EE1208" s="4" t="n"/>
      <c r="EF1208" s="4" t="n"/>
      <c r="EG1208" s="4" t="n"/>
      <c r="EH1208" s="4" t="n"/>
      <c r="EI1208" s="4" t="n"/>
      <c r="EJ1208" s="4" t="n"/>
      <c r="EK1208" s="4" t="n"/>
      <c r="EL1208" s="4" t="n"/>
      <c r="EM1208" s="4" t="n"/>
    </row>
    <row r="1209" hidden="1" customFormat="1" s="6">
      <c r="C1209" s="4" t="n"/>
      <c r="D1209" s="4" t="n"/>
      <c r="E1209" s="4" t="n"/>
      <c r="F1209" s="4" t="n"/>
      <c r="G1209" s="4" t="n"/>
      <c r="H1209" s="4" t="n"/>
      <c r="I1209" s="4" t="n"/>
      <c r="J1209" s="4" t="n"/>
      <c r="K1209" s="4" t="n"/>
      <c r="L1209" s="4" t="n"/>
      <c r="M1209" s="4" t="n"/>
      <c r="N1209" s="4" t="n"/>
      <c r="O1209" s="4" t="n"/>
      <c r="P1209" s="4" t="n"/>
      <c r="Q1209" s="4" t="n"/>
      <c r="R1209" s="4" t="n"/>
      <c r="S1209" s="4" t="n"/>
      <c r="T1209" s="4" t="n"/>
      <c r="U1209" s="4" t="n"/>
      <c r="V1209" s="4" t="n"/>
      <c r="W1209" s="4" t="n"/>
      <c r="X1209" s="4" t="n"/>
      <c r="Y1209" s="4" t="n"/>
      <c r="Z1209" s="4" t="n"/>
      <c r="AA1209" s="4" t="n"/>
      <c r="AB1209" s="4" t="n"/>
      <c r="AC1209" s="4" t="n"/>
      <c r="AD1209" s="4" t="n"/>
      <c r="AE1209" s="4" t="n"/>
      <c r="AF1209" s="4" t="n"/>
      <c r="AG1209" s="4" t="n"/>
      <c r="AH1209" s="4" t="n"/>
      <c r="AI1209" s="4" t="n"/>
      <c r="AJ1209" s="4" t="n"/>
      <c r="AK1209" s="4" t="n"/>
      <c r="AL1209" s="4" t="n"/>
      <c r="AM1209" s="4" t="n"/>
      <c r="AN1209" s="4" t="n"/>
      <c r="AO1209" s="4" t="n"/>
      <c r="AP1209" s="4" t="n"/>
      <c r="AQ1209" s="4" t="n"/>
      <c r="AR1209" s="4" t="n"/>
      <c r="AS1209" s="4" t="n"/>
      <c r="AT1209" s="4" t="n"/>
      <c r="AU1209" s="4" t="n"/>
      <c r="AV1209" s="4" t="n"/>
      <c r="AW1209" s="4" t="n"/>
      <c r="AX1209" s="4" t="n"/>
      <c r="AY1209" s="4" t="n"/>
      <c r="AZ1209" s="4" t="n"/>
      <c r="BA1209" s="4" t="n"/>
      <c r="BB1209" s="4" t="n"/>
      <c r="BC1209" s="4" t="n"/>
      <c r="BD1209" s="4" t="n"/>
      <c r="BE1209" s="4" t="n"/>
      <c r="BF1209" s="4" t="n"/>
      <c r="BG1209" s="4" t="n"/>
      <c r="BH1209" s="4" t="n"/>
      <c r="BI1209" s="4" t="n"/>
      <c r="BJ1209" s="4" t="n"/>
      <c r="BK1209" s="4" t="n"/>
      <c r="BL1209" s="4" t="n"/>
      <c r="BM1209" s="4" t="n"/>
      <c r="BN1209" s="4" t="n"/>
      <c r="BO1209" s="4" t="n"/>
      <c r="BP1209" s="4" t="n"/>
      <c r="BQ1209" s="4" t="n"/>
      <c r="BR1209" s="4" t="n"/>
      <c r="BS1209" s="4" t="n"/>
      <c r="BT1209" s="4" t="n"/>
      <c r="BU1209" s="4" t="n"/>
      <c r="BV1209" s="4" t="n"/>
      <c r="BW1209" s="4" t="n"/>
      <c r="BX1209" s="4" t="n"/>
      <c r="BY1209" s="4" t="n"/>
      <c r="BZ1209" s="4" t="n"/>
      <c r="CA1209" s="4" t="n"/>
      <c r="CB1209" s="4" t="n"/>
      <c r="CC1209" s="4" t="n"/>
      <c r="CD1209" s="4" t="n"/>
      <c r="CE1209" s="4" t="n"/>
      <c r="CF1209" s="4" t="n"/>
      <c r="CG1209" s="4" t="n"/>
      <c r="CH1209" s="4" t="n"/>
      <c r="CI1209" s="4" t="n"/>
      <c r="CJ1209" s="4" t="n"/>
      <c r="CK1209" s="4" t="n"/>
      <c r="CL1209" s="4" t="n"/>
      <c r="CM1209" s="4" t="n"/>
      <c r="CN1209" s="4" t="n"/>
      <c r="CO1209" s="4" t="n"/>
      <c r="CP1209" s="4" t="n"/>
      <c r="CQ1209" s="4" t="n"/>
      <c r="CR1209" s="4" t="n"/>
      <c r="CS1209" s="4" t="n"/>
      <c r="CT1209" s="4" t="n"/>
      <c r="CU1209" s="4" t="n"/>
      <c r="CV1209" s="4" t="n"/>
      <c r="CW1209" s="4" t="n"/>
      <c r="CX1209" s="4" t="n"/>
      <c r="CY1209" s="4" t="n"/>
      <c r="CZ1209" s="4" t="n"/>
      <c r="DA1209" s="4" t="n"/>
      <c r="DB1209" s="4" t="n"/>
      <c r="DC1209" s="4" t="n"/>
      <c r="DD1209" s="4" t="n"/>
      <c r="DE1209" s="4" t="n"/>
      <c r="DF1209" s="4" t="n"/>
      <c r="DG1209" s="4" t="n"/>
      <c r="DH1209" s="4" t="n"/>
      <c r="DI1209" s="4" t="n"/>
      <c r="DJ1209" s="4" t="n"/>
      <c r="DK1209" s="4" t="n"/>
      <c r="DL1209" s="4" t="n"/>
      <c r="DM1209" s="4" t="n"/>
      <c r="DN1209" s="4" t="n"/>
      <c r="DO1209" s="4" t="n"/>
      <c r="DP1209" s="4" t="n"/>
      <c r="DQ1209" s="4" t="n"/>
      <c r="DR1209" s="4" t="n"/>
      <c r="DS1209" s="4" t="n"/>
      <c r="DT1209" s="4" t="n"/>
      <c r="DU1209" s="4" t="n"/>
      <c r="DV1209" s="4" t="n"/>
      <c r="DW1209" s="4" t="n"/>
      <c r="DX1209" s="4" t="n"/>
      <c r="DY1209" s="4" t="n"/>
      <c r="DZ1209" s="4" t="n"/>
      <c r="EA1209" s="4" t="n"/>
      <c r="EB1209" s="4" t="n"/>
      <c r="EC1209" s="4" t="n"/>
      <c r="ED1209" s="4" t="n"/>
      <c r="EE1209" s="4" t="n"/>
      <c r="EF1209" s="4" t="n"/>
      <c r="EG1209" s="4" t="n"/>
      <c r="EH1209" s="4" t="n"/>
      <c r="EI1209" s="4" t="n"/>
      <c r="EJ1209" s="4" t="n"/>
      <c r="EK1209" s="4" t="n"/>
      <c r="EL1209" s="4" t="n"/>
      <c r="EM1209" s="4" t="n"/>
    </row>
    <row r="1210" hidden="1" customFormat="1" s="6">
      <c r="C1210" s="4" t="n"/>
      <c r="D1210" s="4" t="n"/>
      <c r="E1210" s="4" t="n"/>
      <c r="F1210" s="4" t="n"/>
      <c r="G1210" s="4" t="n"/>
      <c r="H1210" s="4" t="n"/>
      <c r="I1210" s="4" t="n"/>
      <c r="J1210" s="4" t="n"/>
      <c r="K1210" s="4" t="n"/>
      <c r="L1210" s="4" t="n"/>
      <c r="M1210" s="4" t="n"/>
      <c r="N1210" s="4" t="n"/>
      <c r="O1210" s="4" t="n"/>
      <c r="P1210" s="4" t="n"/>
      <c r="Q1210" s="4" t="n"/>
      <c r="R1210" s="4" t="n"/>
      <c r="S1210" s="4" t="n"/>
      <c r="T1210" s="4" t="n"/>
      <c r="U1210" s="4" t="n"/>
      <c r="V1210" s="4" t="n"/>
      <c r="W1210" s="4" t="n"/>
      <c r="X1210" s="4" t="n"/>
      <c r="Y1210" s="4" t="n"/>
      <c r="Z1210" s="4" t="n"/>
      <c r="AA1210" s="4" t="n"/>
      <c r="AB1210" s="4" t="n"/>
      <c r="AC1210" s="4" t="n"/>
      <c r="AD1210" s="4" t="n"/>
      <c r="AE1210" s="4" t="n"/>
      <c r="AF1210" s="4" t="n"/>
      <c r="AG1210" s="4" t="n"/>
      <c r="AH1210" s="4" t="n"/>
      <c r="AI1210" s="4" t="n"/>
      <c r="AJ1210" s="4" t="n"/>
      <c r="AK1210" s="4" t="n"/>
      <c r="AL1210" s="4" t="n"/>
      <c r="AM1210" s="4" t="n"/>
      <c r="AN1210" s="4" t="n"/>
      <c r="AO1210" s="4" t="n"/>
      <c r="AP1210" s="4" t="n"/>
      <c r="AQ1210" s="4" t="n"/>
      <c r="AR1210" s="4" t="n"/>
      <c r="AS1210" s="4" t="n"/>
      <c r="AT1210" s="4" t="n"/>
      <c r="AU1210" s="4" t="n"/>
      <c r="AV1210" s="4" t="n"/>
      <c r="AW1210" s="4" t="n"/>
      <c r="AX1210" s="4" t="n"/>
      <c r="AY1210" s="4" t="n"/>
      <c r="AZ1210" s="4" t="n"/>
      <c r="BA1210" s="4" t="n"/>
      <c r="BB1210" s="4" t="n"/>
      <c r="BC1210" s="4" t="n"/>
      <c r="BD1210" s="4" t="n"/>
      <c r="BE1210" s="4" t="n"/>
      <c r="BF1210" s="4" t="n"/>
      <c r="BG1210" s="4" t="n"/>
      <c r="BH1210" s="4" t="n"/>
      <c r="BI1210" s="4" t="n"/>
      <c r="BJ1210" s="4" t="n"/>
      <c r="BK1210" s="4" t="n"/>
      <c r="BL1210" s="4" t="n"/>
      <c r="BM1210" s="4" t="n"/>
      <c r="BN1210" s="4" t="n"/>
      <c r="BO1210" s="4" t="n"/>
      <c r="BP1210" s="4" t="n"/>
      <c r="BQ1210" s="4" t="n"/>
      <c r="BR1210" s="4" t="n"/>
      <c r="BS1210" s="4" t="n"/>
      <c r="BT1210" s="4" t="n"/>
      <c r="BU1210" s="4" t="n"/>
      <c r="BV1210" s="4" t="n"/>
      <c r="BW1210" s="4" t="n"/>
      <c r="BX1210" s="4" t="n"/>
      <c r="BY1210" s="4" t="n"/>
      <c r="BZ1210" s="4" t="n"/>
      <c r="CA1210" s="4" t="n"/>
      <c r="CB1210" s="4" t="n"/>
      <c r="CC1210" s="4" t="n"/>
      <c r="CD1210" s="4" t="n"/>
      <c r="CE1210" s="4" t="n"/>
      <c r="CF1210" s="4" t="n"/>
      <c r="CG1210" s="4" t="n"/>
      <c r="CH1210" s="4" t="n"/>
      <c r="CI1210" s="4" t="n"/>
      <c r="CJ1210" s="4" t="n"/>
      <c r="CK1210" s="4" t="n"/>
      <c r="CL1210" s="4" t="n"/>
      <c r="CM1210" s="4" t="n"/>
      <c r="CN1210" s="4" t="n"/>
      <c r="CO1210" s="4" t="n"/>
      <c r="CP1210" s="4" t="n"/>
      <c r="CQ1210" s="4" t="n"/>
      <c r="CR1210" s="4" t="n"/>
      <c r="CS1210" s="4" t="n"/>
      <c r="CT1210" s="4" t="n"/>
      <c r="CU1210" s="4" t="n"/>
      <c r="CV1210" s="4" t="n"/>
      <c r="CW1210" s="4" t="n"/>
      <c r="CX1210" s="4" t="n"/>
      <c r="CY1210" s="4" t="n"/>
      <c r="CZ1210" s="4" t="n"/>
      <c r="DA1210" s="4" t="n"/>
      <c r="DB1210" s="4" t="n"/>
      <c r="DC1210" s="4" t="n"/>
      <c r="DD1210" s="4" t="n"/>
      <c r="DE1210" s="4" t="n"/>
      <c r="DF1210" s="4" t="n"/>
      <c r="DG1210" s="4" t="n"/>
      <c r="DH1210" s="4" t="n"/>
      <c r="DI1210" s="4" t="n"/>
      <c r="DJ1210" s="4" t="n"/>
      <c r="DK1210" s="4" t="n"/>
      <c r="DL1210" s="4" t="n"/>
      <c r="DM1210" s="4" t="n"/>
      <c r="DN1210" s="4" t="n"/>
      <c r="DO1210" s="4" t="n"/>
      <c r="DP1210" s="4" t="n"/>
      <c r="DQ1210" s="4" t="n"/>
      <c r="DR1210" s="4" t="n"/>
      <c r="DS1210" s="4" t="n"/>
      <c r="DT1210" s="4" t="n"/>
      <c r="DU1210" s="4" t="n"/>
      <c r="DV1210" s="4" t="n"/>
      <c r="DW1210" s="4" t="n"/>
      <c r="DX1210" s="4" t="n"/>
      <c r="DY1210" s="4" t="n"/>
      <c r="DZ1210" s="4" t="n"/>
      <c r="EA1210" s="4" t="n"/>
      <c r="EB1210" s="4" t="n"/>
      <c r="EC1210" s="4" t="n"/>
      <c r="ED1210" s="4" t="n"/>
      <c r="EE1210" s="4" t="n"/>
      <c r="EF1210" s="4" t="n"/>
      <c r="EG1210" s="4" t="n"/>
      <c r="EH1210" s="4" t="n"/>
      <c r="EI1210" s="4" t="n"/>
      <c r="EJ1210" s="4" t="n"/>
      <c r="EK1210" s="4" t="n"/>
      <c r="EL1210" s="4" t="n"/>
      <c r="EM1210" s="4" t="n"/>
    </row>
    <row r="1211" hidden="1" customFormat="1" s="6">
      <c r="C1211" s="4" t="n"/>
      <c r="D1211" s="4" t="n"/>
      <c r="E1211" s="4" t="n"/>
      <c r="F1211" s="4" t="n"/>
      <c r="G1211" s="4" t="n"/>
      <c r="H1211" s="4" t="n"/>
      <c r="I1211" s="4" t="n"/>
      <c r="J1211" s="4" t="n"/>
      <c r="K1211" s="4" t="n"/>
      <c r="L1211" s="4" t="n"/>
      <c r="M1211" s="4" t="n"/>
      <c r="N1211" s="4" t="n"/>
      <c r="O1211" s="4" t="n"/>
      <c r="P1211" s="4" t="n"/>
      <c r="Q1211" s="4" t="n"/>
      <c r="R1211" s="4" t="n"/>
      <c r="S1211" s="4" t="n"/>
      <c r="T1211" s="4" t="n"/>
      <c r="U1211" s="4" t="n"/>
      <c r="V1211" s="4" t="n"/>
      <c r="W1211" s="4" t="n"/>
      <c r="X1211" s="4" t="n"/>
      <c r="Y1211" s="4" t="n"/>
      <c r="Z1211" s="4" t="n"/>
      <c r="AA1211" s="4" t="n"/>
      <c r="AB1211" s="4" t="n"/>
      <c r="AC1211" s="4" t="n"/>
      <c r="AD1211" s="4" t="n"/>
      <c r="AE1211" s="4" t="n"/>
      <c r="AF1211" s="4" t="n"/>
      <c r="AG1211" s="4" t="n"/>
      <c r="AH1211" s="4" t="n"/>
      <c r="AI1211" s="4" t="n"/>
      <c r="AJ1211" s="4" t="n"/>
      <c r="AK1211" s="4" t="n"/>
      <c r="AL1211" s="4" t="n"/>
      <c r="AM1211" s="4" t="n"/>
      <c r="AN1211" s="4" t="n"/>
      <c r="AO1211" s="4" t="n"/>
      <c r="AP1211" s="4" t="n"/>
      <c r="AQ1211" s="4" t="n"/>
      <c r="AR1211" s="4" t="n"/>
      <c r="AS1211" s="4" t="n"/>
      <c r="AT1211" s="4" t="n"/>
      <c r="AU1211" s="4" t="n"/>
      <c r="AV1211" s="4" t="n"/>
      <c r="AW1211" s="4" t="n"/>
      <c r="AX1211" s="4" t="n"/>
      <c r="AY1211" s="4" t="n"/>
      <c r="AZ1211" s="4" t="n"/>
      <c r="BA1211" s="4" t="n"/>
      <c r="BB1211" s="4" t="n"/>
      <c r="BC1211" s="4" t="n"/>
      <c r="BD1211" s="4" t="n"/>
      <c r="BE1211" s="4" t="n"/>
      <c r="BF1211" s="4" t="n"/>
      <c r="BG1211" s="4" t="n"/>
      <c r="BH1211" s="4" t="n"/>
      <c r="BI1211" s="4" t="n"/>
      <c r="BJ1211" s="4" t="n"/>
      <c r="BK1211" s="4" t="n"/>
      <c r="BL1211" s="4" t="n"/>
      <c r="BM1211" s="4" t="n"/>
      <c r="BN1211" s="4" t="n"/>
      <c r="BO1211" s="4" t="n"/>
      <c r="BP1211" s="4" t="n"/>
      <c r="BQ1211" s="4" t="n"/>
      <c r="BR1211" s="4" t="n"/>
      <c r="BS1211" s="4" t="n"/>
      <c r="BT1211" s="4" t="n"/>
      <c r="BU1211" s="4" t="n"/>
      <c r="BV1211" s="4" t="n"/>
      <c r="BW1211" s="4" t="n"/>
      <c r="BX1211" s="4" t="n"/>
      <c r="BY1211" s="4" t="n"/>
      <c r="BZ1211" s="4" t="n"/>
      <c r="CA1211" s="4" t="n"/>
      <c r="CB1211" s="4" t="n"/>
      <c r="CC1211" s="4" t="n"/>
      <c r="CD1211" s="4" t="n"/>
      <c r="CE1211" s="4" t="n"/>
      <c r="CF1211" s="4" t="n"/>
      <c r="CG1211" s="4" t="n"/>
      <c r="CH1211" s="4" t="n"/>
      <c r="CI1211" s="4" t="n"/>
      <c r="CJ1211" s="4" t="n"/>
      <c r="CK1211" s="4" t="n"/>
      <c r="CL1211" s="4" t="n"/>
      <c r="CM1211" s="4" t="n"/>
      <c r="CN1211" s="4" t="n"/>
      <c r="CO1211" s="4" t="n"/>
      <c r="CP1211" s="4" t="n"/>
      <c r="CQ1211" s="4" t="n"/>
      <c r="CR1211" s="4" t="n"/>
      <c r="CS1211" s="4" t="n"/>
      <c r="CT1211" s="4" t="n"/>
      <c r="CU1211" s="4" t="n"/>
      <c r="CV1211" s="4" t="n"/>
      <c r="CW1211" s="4" t="n"/>
      <c r="CX1211" s="4" t="n"/>
      <c r="CY1211" s="4" t="n"/>
      <c r="CZ1211" s="4" t="n"/>
      <c r="DA1211" s="4" t="n"/>
      <c r="DB1211" s="4" t="n"/>
      <c r="DC1211" s="4" t="n"/>
      <c r="DD1211" s="4" t="n"/>
      <c r="DE1211" s="4" t="n"/>
      <c r="DF1211" s="4" t="n"/>
      <c r="DG1211" s="4" t="n"/>
      <c r="DH1211" s="4" t="n"/>
      <c r="DI1211" s="4" t="n"/>
      <c r="DJ1211" s="4" t="n"/>
      <c r="DK1211" s="4" t="n"/>
      <c r="DL1211" s="4" t="n"/>
      <c r="DM1211" s="4" t="n"/>
      <c r="DN1211" s="4" t="n"/>
      <c r="DO1211" s="4" t="n"/>
      <c r="DP1211" s="4" t="n"/>
      <c r="DQ1211" s="4" t="n"/>
      <c r="DR1211" s="4" t="n"/>
      <c r="DS1211" s="4" t="n"/>
      <c r="DT1211" s="4" t="n"/>
      <c r="DU1211" s="4" t="n"/>
      <c r="DV1211" s="4" t="n"/>
      <c r="DW1211" s="4" t="n"/>
      <c r="DX1211" s="4" t="n"/>
      <c r="DY1211" s="4" t="n"/>
      <c r="DZ1211" s="4" t="n"/>
      <c r="EA1211" s="4" t="n"/>
      <c r="EB1211" s="4" t="n"/>
      <c r="EC1211" s="4" t="n"/>
      <c r="ED1211" s="4" t="n"/>
      <c r="EE1211" s="4" t="n"/>
      <c r="EF1211" s="4" t="n"/>
      <c r="EG1211" s="4" t="n"/>
      <c r="EH1211" s="4" t="n"/>
      <c r="EI1211" s="4" t="n"/>
      <c r="EJ1211" s="4" t="n"/>
      <c r="EK1211" s="4" t="n"/>
      <c r="EL1211" s="4" t="n"/>
      <c r="EM1211" s="4" t="n"/>
    </row>
    <row r="1212" hidden="1" customFormat="1" s="6">
      <c r="C1212" s="4" t="n"/>
      <c r="D1212" s="4" t="n"/>
      <c r="E1212" s="4" t="n"/>
      <c r="F1212" s="4" t="n"/>
      <c r="G1212" s="4" t="n"/>
      <c r="H1212" s="4" t="n"/>
      <c r="I1212" s="4" t="n"/>
      <c r="J1212" s="4" t="n"/>
      <c r="K1212" s="4" t="n"/>
      <c r="L1212" s="4" t="n"/>
      <c r="M1212" s="4" t="n"/>
      <c r="N1212" s="4" t="n"/>
      <c r="O1212" s="4" t="n"/>
      <c r="P1212" s="4" t="n"/>
      <c r="Q1212" s="4" t="n"/>
      <c r="R1212" s="4" t="n"/>
      <c r="S1212" s="4" t="n"/>
      <c r="T1212" s="4" t="n"/>
      <c r="U1212" s="4" t="n"/>
      <c r="V1212" s="4" t="n"/>
      <c r="W1212" s="4" t="n"/>
      <c r="X1212" s="4" t="n"/>
      <c r="Y1212" s="4" t="n"/>
      <c r="Z1212" s="4" t="n"/>
      <c r="AA1212" s="4" t="n"/>
      <c r="AB1212" s="4" t="n"/>
      <c r="AC1212" s="4" t="n"/>
      <c r="AD1212" s="4" t="n"/>
      <c r="AE1212" s="4" t="n"/>
      <c r="AF1212" s="4" t="n"/>
      <c r="AG1212" s="4" t="n"/>
      <c r="AH1212" s="4" t="n"/>
      <c r="AI1212" s="4" t="n"/>
      <c r="AJ1212" s="4" t="n"/>
      <c r="AK1212" s="4" t="n"/>
      <c r="AL1212" s="4" t="n"/>
      <c r="AM1212" s="4" t="n"/>
      <c r="AN1212" s="4" t="n"/>
      <c r="AO1212" s="4" t="n"/>
      <c r="AP1212" s="4" t="n"/>
      <c r="AQ1212" s="4" t="n"/>
      <c r="AR1212" s="4" t="n"/>
      <c r="AS1212" s="4" t="n"/>
      <c r="AT1212" s="4" t="n"/>
      <c r="AU1212" s="4" t="n"/>
      <c r="AV1212" s="4" t="n"/>
      <c r="AW1212" s="4" t="n"/>
      <c r="AX1212" s="4" t="n"/>
      <c r="AY1212" s="4" t="n"/>
      <c r="AZ1212" s="4" t="n"/>
      <c r="BA1212" s="4" t="n"/>
      <c r="BB1212" s="4" t="n"/>
      <c r="BC1212" s="4" t="n"/>
      <c r="BD1212" s="4" t="n"/>
      <c r="BE1212" s="4" t="n"/>
      <c r="BF1212" s="4" t="n"/>
      <c r="BG1212" s="4" t="n"/>
      <c r="BH1212" s="4" t="n"/>
      <c r="BI1212" s="4" t="n"/>
      <c r="BJ1212" s="4" t="n"/>
      <c r="BK1212" s="4" t="n"/>
      <c r="BL1212" s="4" t="n"/>
      <c r="BM1212" s="4" t="n"/>
      <c r="BN1212" s="4" t="n"/>
      <c r="BO1212" s="4" t="n"/>
      <c r="BP1212" s="4" t="n"/>
      <c r="BQ1212" s="4" t="n"/>
      <c r="BR1212" s="4" t="n"/>
      <c r="BS1212" s="4" t="n"/>
      <c r="BT1212" s="4" t="n"/>
      <c r="BU1212" s="4" t="n"/>
      <c r="BV1212" s="4" t="n"/>
      <c r="BW1212" s="4" t="n"/>
      <c r="BX1212" s="4" t="n"/>
      <c r="BY1212" s="4" t="n"/>
      <c r="BZ1212" s="4" t="n"/>
      <c r="CA1212" s="4" t="n"/>
      <c r="CB1212" s="4" t="n"/>
      <c r="CC1212" s="4" t="n"/>
      <c r="CD1212" s="4" t="n"/>
      <c r="CE1212" s="4" t="n"/>
      <c r="CF1212" s="4" t="n"/>
      <c r="CG1212" s="4" t="n"/>
      <c r="CH1212" s="4" t="n"/>
      <c r="CI1212" s="4" t="n"/>
      <c r="CJ1212" s="4" t="n"/>
      <c r="CK1212" s="4" t="n"/>
      <c r="CL1212" s="4" t="n"/>
      <c r="CM1212" s="4" t="n"/>
      <c r="CN1212" s="4" t="n"/>
      <c r="CO1212" s="4" t="n"/>
      <c r="CP1212" s="4" t="n"/>
      <c r="CQ1212" s="4" t="n"/>
      <c r="CR1212" s="4" t="n"/>
      <c r="CS1212" s="4" t="n"/>
      <c r="CT1212" s="4" t="n"/>
      <c r="CU1212" s="4" t="n"/>
      <c r="CV1212" s="4" t="n"/>
      <c r="CW1212" s="4" t="n"/>
      <c r="CX1212" s="4" t="n"/>
      <c r="CY1212" s="4" t="n"/>
      <c r="CZ1212" s="4" t="n"/>
      <c r="DA1212" s="4" t="n"/>
      <c r="DB1212" s="4" t="n"/>
      <c r="DC1212" s="4" t="n"/>
      <c r="DD1212" s="4" t="n"/>
      <c r="DE1212" s="4" t="n"/>
      <c r="DF1212" s="4" t="n"/>
      <c r="DG1212" s="4" t="n"/>
      <c r="DH1212" s="4" t="n"/>
      <c r="DI1212" s="4" t="n"/>
      <c r="DJ1212" s="4" t="n"/>
      <c r="DK1212" s="4" t="n"/>
      <c r="DL1212" s="4" t="n"/>
      <c r="DM1212" s="4" t="n"/>
      <c r="DN1212" s="4" t="n"/>
      <c r="DO1212" s="4" t="n"/>
      <c r="DP1212" s="4" t="n"/>
      <c r="DQ1212" s="4" t="n"/>
      <c r="DR1212" s="4" t="n"/>
      <c r="DS1212" s="4" t="n"/>
      <c r="DT1212" s="4" t="n"/>
      <c r="DU1212" s="4" t="n"/>
      <c r="DV1212" s="4" t="n"/>
      <c r="DW1212" s="4" t="n"/>
      <c r="DX1212" s="4" t="n"/>
      <c r="DY1212" s="4" t="n"/>
      <c r="DZ1212" s="4" t="n"/>
      <c r="EA1212" s="4" t="n"/>
      <c r="EB1212" s="4" t="n"/>
      <c r="EC1212" s="4" t="n"/>
      <c r="ED1212" s="4" t="n"/>
      <c r="EE1212" s="4" t="n"/>
      <c r="EF1212" s="4" t="n"/>
      <c r="EG1212" s="4" t="n"/>
      <c r="EH1212" s="4" t="n"/>
      <c r="EI1212" s="4" t="n"/>
      <c r="EJ1212" s="4" t="n"/>
      <c r="EK1212" s="4" t="n"/>
      <c r="EL1212" s="4" t="n"/>
      <c r="EM1212" s="4" t="n"/>
    </row>
    <row r="1213" hidden="1" customFormat="1" s="6">
      <c r="C1213" s="4" t="n"/>
      <c r="D1213" s="4" t="n"/>
      <c r="E1213" s="4" t="n"/>
      <c r="F1213" s="4" t="n"/>
      <c r="G1213" s="4" t="n"/>
      <c r="H1213" s="4" t="n"/>
      <c r="I1213" s="4" t="n"/>
      <c r="J1213" s="4" t="n"/>
      <c r="K1213" s="4" t="n"/>
      <c r="L1213" s="4" t="n"/>
      <c r="M1213" s="4" t="n"/>
      <c r="N1213" s="4" t="n"/>
      <c r="O1213" s="4" t="n"/>
      <c r="P1213" s="4" t="n"/>
      <c r="Q1213" s="4" t="n"/>
      <c r="R1213" s="4" t="n"/>
      <c r="S1213" s="4" t="n"/>
      <c r="T1213" s="4" t="n"/>
      <c r="U1213" s="4" t="n"/>
      <c r="V1213" s="4" t="n"/>
      <c r="W1213" s="4" t="n"/>
      <c r="X1213" s="4" t="n"/>
      <c r="Y1213" s="4" t="n"/>
      <c r="Z1213" s="4" t="n"/>
      <c r="AA1213" s="4" t="n"/>
      <c r="AB1213" s="4" t="n"/>
      <c r="AC1213" s="4" t="n"/>
      <c r="AD1213" s="4" t="n"/>
      <c r="AE1213" s="4" t="n"/>
      <c r="AF1213" s="4" t="n"/>
      <c r="AG1213" s="4" t="n"/>
      <c r="AH1213" s="4" t="n"/>
      <c r="AI1213" s="4" t="n"/>
      <c r="AJ1213" s="4" t="n"/>
      <c r="AK1213" s="4" t="n"/>
      <c r="AL1213" s="4" t="n"/>
      <c r="AM1213" s="4" t="n"/>
      <c r="AN1213" s="4" t="n"/>
      <c r="AO1213" s="4" t="n"/>
      <c r="AP1213" s="4" t="n"/>
      <c r="AQ1213" s="4" t="n"/>
      <c r="AR1213" s="4" t="n"/>
      <c r="AS1213" s="4" t="n"/>
      <c r="AT1213" s="4" t="n"/>
      <c r="AU1213" s="4" t="n"/>
      <c r="AV1213" s="4" t="n"/>
      <c r="AW1213" s="4" t="n"/>
      <c r="AX1213" s="4" t="n"/>
      <c r="AY1213" s="4" t="n"/>
      <c r="AZ1213" s="4" t="n"/>
      <c r="BA1213" s="4" t="n"/>
      <c r="BB1213" s="4" t="n"/>
      <c r="BC1213" s="4" t="n"/>
      <c r="BD1213" s="4" t="n"/>
      <c r="BE1213" s="4" t="n"/>
      <c r="BF1213" s="4" t="n"/>
      <c r="BG1213" s="4" t="n"/>
      <c r="BH1213" s="4" t="n"/>
      <c r="BI1213" s="4" t="n"/>
      <c r="BJ1213" s="4" t="n"/>
      <c r="BK1213" s="4" t="n"/>
      <c r="BL1213" s="4" t="n"/>
      <c r="BM1213" s="4" t="n"/>
      <c r="BN1213" s="4" t="n"/>
      <c r="BO1213" s="4" t="n"/>
      <c r="BP1213" s="4" t="n"/>
      <c r="BQ1213" s="4" t="n"/>
      <c r="BR1213" s="4" t="n"/>
      <c r="BS1213" s="4" t="n"/>
      <c r="BT1213" s="4" t="n"/>
      <c r="BU1213" s="4" t="n"/>
      <c r="BV1213" s="4" t="n"/>
      <c r="BW1213" s="4" t="n"/>
      <c r="BX1213" s="4" t="n"/>
      <c r="BY1213" s="4" t="n"/>
      <c r="BZ1213" s="4" t="n"/>
      <c r="CA1213" s="4" t="n"/>
      <c r="CB1213" s="4" t="n"/>
      <c r="CC1213" s="4" t="n"/>
      <c r="CD1213" s="4" t="n"/>
      <c r="CE1213" s="4" t="n"/>
      <c r="CF1213" s="4" t="n"/>
      <c r="CG1213" s="4" t="n"/>
      <c r="CH1213" s="4" t="n"/>
      <c r="CI1213" s="4" t="n"/>
      <c r="CJ1213" s="4" t="n"/>
      <c r="CK1213" s="4" t="n"/>
      <c r="CL1213" s="4" t="n"/>
      <c r="CM1213" s="4" t="n"/>
      <c r="CN1213" s="4" t="n"/>
      <c r="CO1213" s="4" t="n"/>
      <c r="CP1213" s="4" t="n"/>
      <c r="CQ1213" s="4" t="n"/>
      <c r="CR1213" s="4" t="n"/>
      <c r="CS1213" s="4" t="n"/>
      <c r="CT1213" s="4" t="n"/>
      <c r="CU1213" s="4" t="n"/>
      <c r="CV1213" s="4" t="n"/>
      <c r="CW1213" s="4" t="n"/>
      <c r="CX1213" s="4" t="n"/>
      <c r="CY1213" s="4" t="n"/>
      <c r="CZ1213" s="4" t="n"/>
      <c r="DA1213" s="4" t="n"/>
      <c r="DB1213" s="4" t="n"/>
      <c r="DC1213" s="4" t="n"/>
      <c r="DD1213" s="4" t="n"/>
      <c r="DE1213" s="4" t="n"/>
      <c r="DF1213" s="4" t="n"/>
      <c r="DG1213" s="4" t="n"/>
      <c r="DH1213" s="4" t="n"/>
      <c r="DI1213" s="4" t="n"/>
      <c r="DJ1213" s="4" t="n"/>
      <c r="DK1213" s="4" t="n"/>
      <c r="DL1213" s="4" t="n"/>
      <c r="DM1213" s="4" t="n"/>
      <c r="DN1213" s="4" t="n"/>
      <c r="DO1213" s="4" t="n"/>
      <c r="DP1213" s="4" t="n"/>
      <c r="DQ1213" s="4" t="n"/>
      <c r="DR1213" s="4" t="n"/>
      <c r="DS1213" s="4" t="n"/>
      <c r="DT1213" s="4" t="n"/>
      <c r="DU1213" s="4" t="n"/>
      <c r="DV1213" s="4" t="n"/>
      <c r="DW1213" s="4" t="n"/>
      <c r="DX1213" s="4" t="n"/>
      <c r="DY1213" s="4" t="n"/>
      <c r="DZ1213" s="4" t="n"/>
      <c r="EA1213" s="4" t="n"/>
      <c r="EB1213" s="4" t="n"/>
      <c r="EC1213" s="4" t="n"/>
      <c r="ED1213" s="4" t="n"/>
      <c r="EE1213" s="4" t="n"/>
      <c r="EF1213" s="4" t="n"/>
      <c r="EG1213" s="4" t="n"/>
      <c r="EH1213" s="4" t="n"/>
      <c r="EI1213" s="4" t="n"/>
      <c r="EJ1213" s="4" t="n"/>
      <c r="EK1213" s="4" t="n"/>
      <c r="EL1213" s="4" t="n"/>
      <c r="EM1213" s="4" t="n"/>
    </row>
    <row r="1214" hidden="1" customFormat="1" s="6">
      <c r="C1214" s="4" t="n"/>
      <c r="D1214" s="4" t="n"/>
      <c r="E1214" s="4" t="n"/>
      <c r="F1214" s="4" t="n"/>
      <c r="G1214" s="4" t="n"/>
      <c r="H1214" s="4" t="n"/>
      <c r="I1214" s="4" t="n"/>
      <c r="J1214" s="4" t="n"/>
      <c r="K1214" s="4" t="n"/>
      <c r="L1214" s="4" t="n"/>
      <c r="M1214" s="4" t="n"/>
      <c r="N1214" s="4" t="n"/>
      <c r="O1214" s="4" t="n"/>
      <c r="P1214" s="4" t="n"/>
      <c r="Q1214" s="4" t="n"/>
      <c r="R1214" s="4" t="n"/>
      <c r="S1214" s="4" t="n"/>
      <c r="T1214" s="4" t="n"/>
      <c r="U1214" s="4" t="n"/>
      <c r="V1214" s="4" t="n"/>
      <c r="W1214" s="4" t="n"/>
      <c r="X1214" s="4" t="n"/>
      <c r="Y1214" s="4" t="n"/>
      <c r="Z1214" s="4" t="n"/>
      <c r="AA1214" s="4" t="n"/>
      <c r="AB1214" s="4" t="n"/>
      <c r="AC1214" s="4" t="n"/>
      <c r="AD1214" s="4" t="n"/>
      <c r="AE1214" s="4" t="n"/>
      <c r="AF1214" s="4" t="n"/>
      <c r="AG1214" s="4" t="n"/>
      <c r="AH1214" s="4" t="n"/>
      <c r="AI1214" s="4" t="n"/>
      <c r="AJ1214" s="4" t="n"/>
      <c r="AK1214" s="4" t="n"/>
      <c r="AL1214" s="4" t="n"/>
      <c r="AM1214" s="4" t="n"/>
      <c r="AN1214" s="4" t="n"/>
      <c r="AO1214" s="4" t="n"/>
      <c r="AP1214" s="4" t="n"/>
      <c r="AQ1214" s="4" t="n"/>
      <c r="AR1214" s="4" t="n"/>
      <c r="AS1214" s="4" t="n"/>
      <c r="AT1214" s="4" t="n"/>
      <c r="AU1214" s="4" t="n"/>
      <c r="AV1214" s="4" t="n"/>
      <c r="AW1214" s="4" t="n"/>
      <c r="AX1214" s="4" t="n"/>
      <c r="AY1214" s="4" t="n"/>
      <c r="AZ1214" s="4" t="n"/>
      <c r="BA1214" s="4" t="n"/>
      <c r="BB1214" s="4" t="n"/>
      <c r="BC1214" s="4" t="n"/>
      <c r="BD1214" s="4" t="n"/>
      <c r="BE1214" s="4" t="n"/>
      <c r="BF1214" s="4" t="n"/>
      <c r="BG1214" s="4" t="n"/>
      <c r="BH1214" s="4" t="n"/>
      <c r="BI1214" s="4" t="n"/>
      <c r="BJ1214" s="4" t="n"/>
      <c r="BK1214" s="4" t="n"/>
      <c r="BL1214" s="4" t="n"/>
      <c r="BM1214" s="4" t="n"/>
      <c r="BN1214" s="4" t="n"/>
      <c r="BO1214" s="4" t="n"/>
      <c r="BP1214" s="4" t="n"/>
      <c r="BQ1214" s="4" t="n"/>
      <c r="BR1214" s="4" t="n"/>
      <c r="BS1214" s="4" t="n"/>
      <c r="BT1214" s="4" t="n"/>
      <c r="BU1214" s="4" t="n"/>
      <c r="BV1214" s="4" t="n"/>
      <c r="BW1214" s="4" t="n"/>
      <c r="BX1214" s="4" t="n"/>
      <c r="BY1214" s="4" t="n"/>
      <c r="BZ1214" s="4" t="n"/>
      <c r="CA1214" s="4" t="n"/>
      <c r="CB1214" s="4" t="n"/>
      <c r="CC1214" s="4" t="n"/>
      <c r="CD1214" s="4" t="n"/>
      <c r="CE1214" s="4" t="n"/>
      <c r="CF1214" s="4" t="n"/>
      <c r="CG1214" s="4" t="n"/>
      <c r="CH1214" s="4" t="n"/>
      <c r="CI1214" s="4" t="n"/>
      <c r="CJ1214" s="4" t="n"/>
      <c r="CK1214" s="4" t="n"/>
      <c r="CL1214" s="4" t="n"/>
      <c r="CM1214" s="4" t="n"/>
      <c r="CN1214" s="4" t="n"/>
      <c r="CO1214" s="4" t="n"/>
      <c r="CP1214" s="4" t="n"/>
      <c r="CQ1214" s="4" t="n"/>
      <c r="CR1214" s="4" t="n"/>
      <c r="CS1214" s="4" t="n"/>
      <c r="CT1214" s="4" t="n"/>
      <c r="CU1214" s="4" t="n"/>
      <c r="CV1214" s="4" t="n"/>
      <c r="CW1214" s="4" t="n"/>
      <c r="CX1214" s="4" t="n"/>
      <c r="CY1214" s="4" t="n"/>
      <c r="CZ1214" s="4" t="n"/>
      <c r="DA1214" s="4" t="n"/>
      <c r="DB1214" s="4" t="n"/>
      <c r="DC1214" s="4" t="n"/>
      <c r="DD1214" s="4" t="n"/>
      <c r="DE1214" s="4" t="n"/>
      <c r="DF1214" s="4" t="n"/>
      <c r="DG1214" s="4" t="n"/>
      <c r="DH1214" s="4" t="n"/>
      <c r="DI1214" s="4" t="n"/>
      <c r="DJ1214" s="4" t="n"/>
      <c r="DK1214" s="4" t="n"/>
      <c r="DL1214" s="4" t="n"/>
      <c r="DM1214" s="4" t="n"/>
      <c r="DN1214" s="4" t="n"/>
      <c r="DO1214" s="4" t="n"/>
      <c r="DP1214" s="4" t="n"/>
      <c r="DQ1214" s="4" t="n"/>
      <c r="DR1214" s="4" t="n"/>
      <c r="DS1214" s="4" t="n"/>
      <c r="DT1214" s="4" t="n"/>
      <c r="DU1214" s="4" t="n"/>
      <c r="DV1214" s="4" t="n"/>
      <c r="DW1214" s="4" t="n"/>
      <c r="DX1214" s="4" t="n"/>
      <c r="DY1214" s="4" t="n"/>
      <c r="DZ1214" s="4" t="n"/>
      <c r="EA1214" s="4" t="n"/>
      <c r="EB1214" s="4" t="n"/>
      <c r="EC1214" s="4" t="n"/>
      <c r="ED1214" s="4" t="n"/>
      <c r="EE1214" s="4" t="n"/>
      <c r="EF1214" s="4" t="n"/>
      <c r="EG1214" s="4" t="n"/>
      <c r="EH1214" s="4" t="n"/>
      <c r="EI1214" s="4" t="n"/>
      <c r="EJ1214" s="4" t="n"/>
      <c r="EK1214" s="4" t="n"/>
      <c r="EL1214" s="4" t="n"/>
      <c r="EM1214" s="4" t="n"/>
    </row>
    <row r="1215" hidden="1" customFormat="1" s="6">
      <c r="C1215" s="4" t="n"/>
      <c r="D1215" s="4" t="n"/>
      <c r="E1215" s="4" t="n"/>
      <c r="F1215" s="4" t="n"/>
      <c r="G1215" s="4" t="n"/>
      <c r="H1215" s="4" t="n"/>
      <c r="I1215" s="4" t="n"/>
      <c r="J1215" s="4" t="n"/>
      <c r="K1215" s="4" t="n"/>
      <c r="L1215" s="4" t="n"/>
      <c r="M1215" s="4" t="n"/>
      <c r="N1215" s="4" t="n"/>
      <c r="O1215" s="4" t="n"/>
      <c r="P1215" s="4" t="n"/>
      <c r="Q1215" s="4" t="n"/>
      <c r="R1215" s="4" t="n"/>
      <c r="S1215" s="4" t="n"/>
      <c r="T1215" s="4" t="n"/>
      <c r="U1215" s="4" t="n"/>
      <c r="V1215" s="4" t="n"/>
      <c r="W1215" s="4" t="n"/>
      <c r="X1215" s="4" t="n"/>
      <c r="Y1215" s="4" t="n"/>
      <c r="Z1215" s="4" t="n"/>
      <c r="AA1215" s="4" t="n"/>
      <c r="AB1215" s="4" t="n"/>
      <c r="AC1215" s="4" t="n"/>
      <c r="AD1215" s="4" t="n"/>
      <c r="AE1215" s="4" t="n"/>
      <c r="AF1215" s="4" t="n"/>
      <c r="AG1215" s="4" t="n"/>
      <c r="AH1215" s="4" t="n"/>
      <c r="AI1215" s="4" t="n"/>
      <c r="AJ1215" s="4" t="n"/>
      <c r="AK1215" s="4" t="n"/>
      <c r="AL1215" s="4" t="n"/>
      <c r="AM1215" s="4" t="n"/>
      <c r="AN1215" s="4" t="n"/>
      <c r="AO1215" s="4" t="n"/>
      <c r="AP1215" s="4" t="n"/>
      <c r="AQ1215" s="4" t="n"/>
      <c r="AR1215" s="4" t="n"/>
      <c r="AS1215" s="4" t="n"/>
      <c r="AT1215" s="4" t="n"/>
      <c r="AU1215" s="4" t="n"/>
      <c r="AV1215" s="4" t="n"/>
      <c r="AW1215" s="4" t="n"/>
      <c r="AX1215" s="4" t="n"/>
      <c r="AY1215" s="4" t="n"/>
      <c r="AZ1215" s="4" t="n"/>
      <c r="BA1215" s="4" t="n"/>
      <c r="BB1215" s="4" t="n"/>
      <c r="BC1215" s="4" t="n"/>
      <c r="BD1215" s="4" t="n"/>
      <c r="BE1215" s="4" t="n"/>
      <c r="BF1215" s="4" t="n"/>
      <c r="BG1215" s="4" t="n"/>
      <c r="BH1215" s="4" t="n"/>
      <c r="BI1215" s="4" t="n"/>
      <c r="BJ1215" s="4" t="n"/>
      <c r="BK1215" s="4" t="n"/>
      <c r="BL1215" s="4" t="n"/>
      <c r="BM1215" s="4" t="n"/>
      <c r="BN1215" s="4" t="n"/>
      <c r="BO1215" s="4" t="n"/>
      <c r="BP1215" s="4" t="n"/>
      <c r="BQ1215" s="4" t="n"/>
      <c r="BR1215" s="4" t="n"/>
      <c r="BS1215" s="4" t="n"/>
      <c r="BT1215" s="4" t="n"/>
      <c r="BU1215" s="4" t="n"/>
      <c r="BV1215" s="4" t="n"/>
      <c r="BW1215" s="4" t="n"/>
      <c r="BX1215" s="4" t="n"/>
      <c r="BY1215" s="4" t="n"/>
      <c r="BZ1215" s="4" t="n"/>
      <c r="CA1215" s="4" t="n"/>
      <c r="CB1215" s="4" t="n"/>
      <c r="CC1215" s="4" t="n"/>
      <c r="CD1215" s="4" t="n"/>
      <c r="CE1215" s="4" t="n"/>
      <c r="CF1215" s="4" t="n"/>
      <c r="CG1215" s="4" t="n"/>
      <c r="CH1215" s="4" t="n"/>
      <c r="CI1215" s="4" t="n"/>
      <c r="CJ1215" s="4" t="n"/>
      <c r="CK1215" s="4" t="n"/>
      <c r="CL1215" s="4" t="n"/>
      <c r="CM1215" s="4" t="n"/>
      <c r="CN1215" s="4" t="n"/>
      <c r="CO1215" s="4" t="n"/>
      <c r="CP1215" s="4" t="n"/>
      <c r="CQ1215" s="4" t="n"/>
      <c r="CR1215" s="4" t="n"/>
      <c r="CS1215" s="4" t="n"/>
      <c r="CT1215" s="4" t="n"/>
      <c r="CU1215" s="4" t="n"/>
      <c r="CV1215" s="4" t="n"/>
      <c r="CW1215" s="4" t="n"/>
      <c r="CX1215" s="4" t="n"/>
      <c r="CY1215" s="4" t="n"/>
      <c r="CZ1215" s="4" t="n"/>
      <c r="DA1215" s="4" t="n"/>
      <c r="DB1215" s="4" t="n"/>
      <c r="DC1215" s="4" t="n"/>
      <c r="DD1215" s="4" t="n"/>
      <c r="DE1215" s="4" t="n"/>
      <c r="DF1215" s="4" t="n"/>
      <c r="DG1215" s="4" t="n"/>
      <c r="DH1215" s="4" t="n"/>
      <c r="DI1215" s="4" t="n"/>
      <c r="DJ1215" s="4" t="n"/>
      <c r="DK1215" s="4" t="n"/>
      <c r="DL1215" s="4" t="n"/>
      <c r="DM1215" s="4" t="n"/>
      <c r="DN1215" s="4" t="n"/>
      <c r="DO1215" s="4" t="n"/>
      <c r="DP1215" s="4" t="n"/>
      <c r="DQ1215" s="4" t="n"/>
      <c r="DR1215" s="4" t="n"/>
      <c r="DS1215" s="4" t="n"/>
      <c r="DT1215" s="4" t="n"/>
      <c r="DU1215" s="4" t="n"/>
      <c r="DV1215" s="4" t="n"/>
      <c r="DW1215" s="4" t="n"/>
      <c r="DX1215" s="4" t="n"/>
      <c r="DY1215" s="4" t="n"/>
      <c r="DZ1215" s="4" t="n"/>
      <c r="EA1215" s="4" t="n"/>
      <c r="EB1215" s="4" t="n"/>
      <c r="EC1215" s="4" t="n"/>
      <c r="ED1215" s="4" t="n"/>
      <c r="EE1215" s="4" t="n"/>
      <c r="EF1215" s="4" t="n"/>
      <c r="EG1215" s="4" t="n"/>
      <c r="EH1215" s="4" t="n"/>
      <c r="EI1215" s="4" t="n"/>
      <c r="EJ1215" s="4" t="n"/>
      <c r="EK1215" s="4" t="n"/>
      <c r="EL1215" s="4" t="n"/>
      <c r="EM1215" s="4" t="n"/>
    </row>
    <row r="1216" hidden="1" customFormat="1" s="6">
      <c r="C1216" s="4" t="n"/>
      <c r="D1216" s="4" t="n"/>
      <c r="E1216" s="4" t="n"/>
      <c r="F1216" s="4" t="n"/>
      <c r="G1216" s="4" t="n"/>
      <c r="H1216" s="4" t="n"/>
      <c r="I1216" s="4" t="n"/>
      <c r="J1216" s="4" t="n"/>
      <c r="K1216" s="4" t="n"/>
      <c r="L1216" s="4" t="n"/>
      <c r="M1216" s="4" t="n"/>
      <c r="N1216" s="4" t="n"/>
      <c r="O1216" s="4" t="n"/>
      <c r="P1216" s="4" t="n"/>
      <c r="Q1216" s="4" t="n"/>
      <c r="R1216" s="4" t="n"/>
      <c r="S1216" s="4" t="n"/>
      <c r="T1216" s="4" t="n"/>
      <c r="U1216" s="4" t="n"/>
      <c r="V1216" s="4" t="n"/>
      <c r="W1216" s="4" t="n"/>
      <c r="X1216" s="4" t="n"/>
      <c r="Y1216" s="4" t="n"/>
      <c r="Z1216" s="4" t="n"/>
      <c r="AA1216" s="4" t="n"/>
      <c r="AB1216" s="4" t="n"/>
      <c r="AC1216" s="4" t="n"/>
      <c r="AD1216" s="4" t="n"/>
      <c r="AE1216" s="4" t="n"/>
      <c r="AF1216" s="4" t="n"/>
      <c r="AG1216" s="4" t="n"/>
      <c r="AH1216" s="4" t="n"/>
      <c r="AI1216" s="4" t="n"/>
      <c r="AJ1216" s="4" t="n"/>
      <c r="AK1216" s="4" t="n"/>
      <c r="AL1216" s="4" t="n"/>
      <c r="AM1216" s="4" t="n"/>
      <c r="AN1216" s="4" t="n"/>
      <c r="AO1216" s="4" t="n"/>
      <c r="AP1216" s="4" t="n"/>
      <c r="AQ1216" s="4" t="n"/>
      <c r="AR1216" s="4" t="n"/>
      <c r="AS1216" s="4" t="n"/>
      <c r="AT1216" s="4" t="n"/>
      <c r="AU1216" s="4" t="n"/>
      <c r="AV1216" s="4" t="n"/>
      <c r="AW1216" s="4" t="n"/>
      <c r="AX1216" s="4" t="n"/>
      <c r="AY1216" s="4" t="n"/>
      <c r="AZ1216" s="4" t="n"/>
      <c r="BA1216" s="4" t="n"/>
      <c r="BB1216" s="4" t="n"/>
      <c r="BC1216" s="4" t="n"/>
      <c r="BD1216" s="4" t="n"/>
      <c r="BE1216" s="4" t="n"/>
      <c r="BF1216" s="4" t="n"/>
      <c r="BG1216" s="4" t="n"/>
      <c r="BH1216" s="4" t="n"/>
      <c r="BI1216" s="4" t="n"/>
      <c r="BJ1216" s="4" t="n"/>
      <c r="BK1216" s="4" t="n"/>
      <c r="BL1216" s="4" t="n"/>
      <c r="BM1216" s="4" t="n"/>
      <c r="BN1216" s="4" t="n"/>
      <c r="BO1216" s="4" t="n"/>
      <c r="BP1216" s="4" t="n"/>
      <c r="BQ1216" s="4" t="n"/>
      <c r="BR1216" s="4" t="n"/>
      <c r="BS1216" s="4" t="n"/>
      <c r="BT1216" s="4" t="n"/>
      <c r="BU1216" s="4" t="n"/>
      <c r="BV1216" s="4" t="n"/>
      <c r="BW1216" s="4" t="n"/>
      <c r="BX1216" s="4" t="n"/>
      <c r="BY1216" s="4" t="n"/>
      <c r="BZ1216" s="4" t="n"/>
      <c r="CA1216" s="4" t="n"/>
      <c r="CB1216" s="4" t="n"/>
      <c r="CC1216" s="4" t="n"/>
      <c r="CD1216" s="4" t="n"/>
      <c r="CE1216" s="4" t="n"/>
      <c r="CF1216" s="4" t="n"/>
      <c r="CG1216" s="4" t="n"/>
      <c r="CH1216" s="4" t="n"/>
      <c r="CI1216" s="4" t="n"/>
      <c r="CJ1216" s="4" t="n"/>
      <c r="CK1216" s="4" t="n"/>
      <c r="CL1216" s="4" t="n"/>
      <c r="CM1216" s="4" t="n"/>
      <c r="CN1216" s="4" t="n"/>
      <c r="CO1216" s="4" t="n"/>
      <c r="CP1216" s="4" t="n"/>
      <c r="CQ1216" s="4" t="n"/>
      <c r="CR1216" s="4" t="n"/>
      <c r="CS1216" s="4" t="n"/>
      <c r="CT1216" s="4" t="n"/>
      <c r="CU1216" s="4" t="n"/>
      <c r="CV1216" s="4" t="n"/>
      <c r="CW1216" s="4" t="n"/>
      <c r="CX1216" s="4" t="n"/>
      <c r="CY1216" s="4" t="n"/>
      <c r="CZ1216" s="4" t="n"/>
      <c r="DA1216" s="4" t="n"/>
      <c r="DB1216" s="4" t="n"/>
      <c r="DC1216" s="4" t="n"/>
      <c r="DD1216" s="4" t="n"/>
      <c r="DE1216" s="4" t="n"/>
      <c r="DF1216" s="4" t="n"/>
      <c r="DG1216" s="4" t="n"/>
      <c r="DH1216" s="4" t="n"/>
      <c r="DI1216" s="4" t="n"/>
      <c r="DJ1216" s="4" t="n"/>
      <c r="DK1216" s="4" t="n"/>
      <c r="DL1216" s="4" t="n"/>
      <c r="DM1216" s="4" t="n"/>
      <c r="DN1216" s="4" t="n"/>
      <c r="DO1216" s="4" t="n"/>
      <c r="DP1216" s="4" t="n"/>
      <c r="DQ1216" s="4" t="n"/>
      <c r="DR1216" s="4" t="n"/>
      <c r="DS1216" s="4" t="n"/>
      <c r="DT1216" s="4" t="n"/>
      <c r="DU1216" s="4" t="n"/>
      <c r="DV1216" s="4" t="n"/>
      <c r="DW1216" s="4" t="n"/>
      <c r="DX1216" s="4" t="n"/>
      <c r="DY1216" s="4" t="n"/>
      <c r="DZ1216" s="4" t="n"/>
      <c r="EA1216" s="4" t="n"/>
      <c r="EB1216" s="4" t="n"/>
      <c r="EC1216" s="4" t="n"/>
      <c r="ED1216" s="4" t="n"/>
      <c r="EE1216" s="4" t="n"/>
      <c r="EF1216" s="4" t="n"/>
      <c r="EG1216" s="4" t="n"/>
      <c r="EH1216" s="4" t="n"/>
      <c r="EI1216" s="4" t="n"/>
      <c r="EJ1216" s="4" t="n"/>
      <c r="EK1216" s="4" t="n"/>
      <c r="EL1216" s="4" t="n"/>
      <c r="EM1216" s="4" t="n"/>
    </row>
    <row r="1217" hidden="1" customFormat="1" s="6">
      <c r="C1217" s="4" t="n"/>
      <c r="D1217" s="4" t="n"/>
      <c r="E1217" s="4" t="n"/>
      <c r="F1217" s="4" t="n"/>
      <c r="G1217" s="4" t="n"/>
      <c r="H1217" s="4" t="n"/>
      <c r="I1217" s="4" t="n"/>
      <c r="J1217" s="4" t="n"/>
      <c r="K1217" s="4" t="n"/>
      <c r="L1217" s="4" t="n"/>
      <c r="M1217" s="4" t="n"/>
      <c r="N1217" s="4" t="n"/>
      <c r="O1217" s="4" t="n"/>
      <c r="P1217" s="4" t="n"/>
      <c r="Q1217" s="4" t="n"/>
      <c r="R1217" s="4" t="n"/>
      <c r="S1217" s="4" t="n"/>
      <c r="T1217" s="4" t="n"/>
      <c r="U1217" s="4" t="n"/>
      <c r="V1217" s="4" t="n"/>
      <c r="W1217" s="4" t="n"/>
      <c r="X1217" s="4" t="n"/>
      <c r="Y1217" s="4" t="n"/>
      <c r="Z1217" s="4" t="n"/>
      <c r="AA1217" s="4" t="n"/>
      <c r="AB1217" s="4" t="n"/>
      <c r="AC1217" s="4" t="n"/>
      <c r="AD1217" s="4" t="n"/>
      <c r="AE1217" s="4" t="n"/>
      <c r="AF1217" s="4" t="n"/>
      <c r="AG1217" s="4" t="n"/>
      <c r="AH1217" s="4" t="n"/>
      <c r="AI1217" s="4" t="n"/>
      <c r="AJ1217" s="4" t="n"/>
      <c r="AK1217" s="4" t="n"/>
      <c r="AL1217" s="4" t="n"/>
      <c r="AM1217" s="4" t="n"/>
      <c r="AN1217" s="4" t="n"/>
      <c r="AO1217" s="4" t="n"/>
      <c r="AP1217" s="4" t="n"/>
      <c r="AQ1217" s="4" t="n"/>
      <c r="AR1217" s="4" t="n"/>
      <c r="AS1217" s="4" t="n"/>
      <c r="AT1217" s="4" t="n"/>
      <c r="AU1217" s="4" t="n"/>
      <c r="AV1217" s="4" t="n"/>
      <c r="AW1217" s="4" t="n"/>
      <c r="AX1217" s="4" t="n"/>
      <c r="AY1217" s="4" t="n"/>
      <c r="AZ1217" s="4" t="n"/>
      <c r="BA1217" s="4" t="n"/>
      <c r="BB1217" s="4" t="n"/>
      <c r="BC1217" s="4" t="n"/>
      <c r="BD1217" s="4" t="n"/>
      <c r="BE1217" s="4" t="n"/>
      <c r="BF1217" s="4" t="n"/>
      <c r="BG1217" s="4" t="n"/>
      <c r="BH1217" s="4" t="n"/>
      <c r="BI1217" s="4" t="n"/>
      <c r="BJ1217" s="4" t="n"/>
      <c r="BK1217" s="4" t="n"/>
      <c r="BL1217" s="4" t="n"/>
      <c r="BM1217" s="4" t="n"/>
      <c r="BN1217" s="4" t="n"/>
      <c r="BO1217" s="4" t="n"/>
      <c r="BP1217" s="4" t="n"/>
      <c r="BQ1217" s="4" t="n"/>
      <c r="BR1217" s="4" t="n"/>
      <c r="BS1217" s="4" t="n"/>
      <c r="BT1217" s="4" t="n"/>
      <c r="BU1217" s="4" t="n"/>
      <c r="BV1217" s="4" t="n"/>
      <c r="BW1217" s="4" t="n"/>
      <c r="BX1217" s="4" t="n"/>
      <c r="BY1217" s="4" t="n"/>
      <c r="BZ1217" s="4" t="n"/>
      <c r="CA1217" s="4" t="n"/>
      <c r="CB1217" s="4" t="n"/>
      <c r="CC1217" s="4" t="n"/>
      <c r="CD1217" s="4" t="n"/>
      <c r="CE1217" s="4" t="n"/>
      <c r="CF1217" s="4" t="n"/>
      <c r="CG1217" s="4" t="n"/>
      <c r="CH1217" s="4" t="n"/>
      <c r="CI1217" s="4" t="n"/>
      <c r="CJ1217" s="4" t="n"/>
      <c r="CK1217" s="4" t="n"/>
      <c r="CL1217" s="4" t="n"/>
      <c r="CM1217" s="4" t="n"/>
      <c r="CN1217" s="4" t="n"/>
      <c r="CO1217" s="4" t="n"/>
      <c r="CP1217" s="4" t="n"/>
      <c r="CQ1217" s="4" t="n"/>
      <c r="CR1217" s="4" t="n"/>
      <c r="CS1217" s="4" t="n"/>
      <c r="CT1217" s="4" t="n"/>
      <c r="CU1217" s="4" t="n"/>
      <c r="CV1217" s="4" t="n"/>
      <c r="CW1217" s="4" t="n"/>
      <c r="CX1217" s="4" t="n"/>
      <c r="CY1217" s="4" t="n"/>
      <c r="CZ1217" s="4" t="n"/>
      <c r="DA1217" s="4" t="n"/>
      <c r="DB1217" s="4" t="n"/>
      <c r="DC1217" s="4" t="n"/>
      <c r="DD1217" s="4" t="n"/>
      <c r="DE1217" s="4" t="n"/>
      <c r="DF1217" s="4" t="n"/>
      <c r="DG1217" s="4" t="n"/>
      <c r="DH1217" s="4" t="n"/>
      <c r="DI1217" s="4" t="n"/>
      <c r="DJ1217" s="4" t="n"/>
      <c r="DK1217" s="4" t="n"/>
      <c r="DL1217" s="4" t="n"/>
      <c r="DM1217" s="4" t="n"/>
      <c r="DN1217" s="4" t="n"/>
      <c r="DO1217" s="4" t="n"/>
      <c r="DP1217" s="4" t="n"/>
      <c r="DQ1217" s="4" t="n"/>
      <c r="DR1217" s="4" t="n"/>
      <c r="DS1217" s="4" t="n"/>
      <c r="DT1217" s="4" t="n"/>
      <c r="DU1217" s="4" t="n"/>
      <c r="DV1217" s="4" t="n"/>
      <c r="DW1217" s="4" t="n"/>
      <c r="DX1217" s="4" t="n"/>
      <c r="DY1217" s="4" t="n"/>
      <c r="DZ1217" s="4" t="n"/>
      <c r="EA1217" s="4" t="n"/>
      <c r="EB1217" s="4" t="n"/>
      <c r="EC1217" s="4" t="n"/>
      <c r="ED1217" s="4" t="n"/>
      <c r="EE1217" s="4" t="n"/>
      <c r="EF1217" s="4" t="n"/>
      <c r="EG1217" s="4" t="n"/>
      <c r="EH1217" s="4" t="n"/>
      <c r="EI1217" s="4" t="n"/>
      <c r="EJ1217" s="4" t="n"/>
      <c r="EK1217" s="4" t="n"/>
      <c r="EL1217" s="4" t="n"/>
      <c r="EM1217" s="4" t="n"/>
    </row>
    <row r="1218" hidden="1" customFormat="1" s="6">
      <c r="C1218" s="4" t="n"/>
      <c r="D1218" s="4" t="n"/>
      <c r="E1218" s="4" t="n"/>
      <c r="F1218" s="4" t="n"/>
      <c r="G1218" s="4" t="n"/>
      <c r="H1218" s="4" t="n"/>
      <c r="I1218" s="4" t="n"/>
      <c r="J1218" s="4" t="n"/>
      <c r="K1218" s="4" t="n"/>
      <c r="L1218" s="4" t="n"/>
      <c r="M1218" s="4" t="n"/>
      <c r="N1218" s="4" t="n"/>
      <c r="O1218" s="4" t="n"/>
      <c r="P1218" s="4" t="n"/>
      <c r="Q1218" s="4" t="n"/>
      <c r="R1218" s="4" t="n"/>
      <c r="S1218" s="4" t="n"/>
      <c r="T1218" s="4" t="n"/>
      <c r="U1218" s="4" t="n"/>
      <c r="V1218" s="4" t="n"/>
      <c r="W1218" s="4" t="n"/>
      <c r="X1218" s="4" t="n"/>
      <c r="Y1218" s="4" t="n"/>
      <c r="Z1218" s="4" t="n"/>
      <c r="AA1218" s="4" t="n"/>
      <c r="AB1218" s="4" t="n"/>
      <c r="AC1218" s="4" t="n"/>
      <c r="AD1218" s="4" t="n"/>
      <c r="AE1218" s="4" t="n"/>
      <c r="AF1218" s="4" t="n"/>
      <c r="AG1218" s="4" t="n"/>
      <c r="AH1218" s="4" t="n"/>
      <c r="AI1218" s="4" t="n"/>
      <c r="AJ1218" s="4" t="n"/>
      <c r="AK1218" s="4" t="n"/>
      <c r="AL1218" s="4" t="n"/>
      <c r="AM1218" s="4" t="n"/>
      <c r="AN1218" s="4" t="n"/>
      <c r="AO1218" s="4" t="n"/>
      <c r="AP1218" s="4" t="n"/>
      <c r="AQ1218" s="4" t="n"/>
      <c r="AR1218" s="4" t="n"/>
      <c r="AS1218" s="4" t="n"/>
      <c r="AT1218" s="4" t="n"/>
      <c r="AU1218" s="4" t="n"/>
      <c r="AV1218" s="4" t="n"/>
      <c r="AW1218" s="4" t="n"/>
      <c r="AX1218" s="4" t="n"/>
      <c r="AY1218" s="4" t="n"/>
      <c r="AZ1218" s="4" t="n"/>
      <c r="BA1218" s="4" t="n"/>
      <c r="BB1218" s="4" t="n"/>
      <c r="BC1218" s="4" t="n"/>
      <c r="BD1218" s="4" t="n"/>
      <c r="BE1218" s="4" t="n"/>
      <c r="BF1218" s="4" t="n"/>
      <c r="BG1218" s="4" t="n"/>
      <c r="BH1218" s="4" t="n"/>
      <c r="BI1218" s="4" t="n"/>
      <c r="BJ1218" s="4" t="n"/>
      <c r="BK1218" s="4" t="n"/>
      <c r="BL1218" s="4" t="n"/>
      <c r="BM1218" s="4" t="n"/>
      <c r="BN1218" s="4" t="n"/>
      <c r="BO1218" s="4" t="n"/>
      <c r="BP1218" s="4" t="n"/>
      <c r="BQ1218" s="4" t="n"/>
      <c r="BR1218" s="4" t="n"/>
      <c r="BS1218" s="4" t="n"/>
      <c r="BT1218" s="4" t="n"/>
      <c r="BU1218" s="4" t="n"/>
      <c r="BV1218" s="4" t="n"/>
      <c r="BW1218" s="4" t="n"/>
      <c r="BX1218" s="4" t="n"/>
      <c r="BY1218" s="4" t="n"/>
      <c r="BZ1218" s="4" t="n"/>
      <c r="CA1218" s="4" t="n"/>
      <c r="CB1218" s="4" t="n"/>
      <c r="CC1218" s="4" t="n"/>
      <c r="CD1218" s="4" t="n"/>
      <c r="CE1218" s="4" t="n"/>
      <c r="CF1218" s="4" t="n"/>
      <c r="CG1218" s="4" t="n"/>
      <c r="CH1218" s="4" t="n"/>
      <c r="CI1218" s="4" t="n"/>
      <c r="CJ1218" s="4" t="n"/>
      <c r="CK1218" s="4" t="n"/>
      <c r="CL1218" s="4" t="n"/>
      <c r="CM1218" s="4" t="n"/>
      <c r="CN1218" s="4" t="n"/>
      <c r="CO1218" s="4" t="n"/>
      <c r="CP1218" s="4" t="n"/>
      <c r="CQ1218" s="4" t="n"/>
      <c r="CR1218" s="4" t="n"/>
      <c r="CS1218" s="4" t="n"/>
      <c r="CT1218" s="4" t="n"/>
      <c r="CU1218" s="4" t="n"/>
      <c r="CV1218" s="4" t="n"/>
      <c r="CW1218" s="4" t="n"/>
      <c r="CX1218" s="4" t="n"/>
      <c r="CY1218" s="4" t="n"/>
      <c r="CZ1218" s="4" t="n"/>
      <c r="DA1218" s="4" t="n"/>
      <c r="DB1218" s="4" t="n"/>
      <c r="DC1218" s="4" t="n"/>
      <c r="DD1218" s="4" t="n"/>
      <c r="DE1218" s="4" t="n"/>
      <c r="DF1218" s="4" t="n"/>
      <c r="DG1218" s="4" t="n"/>
      <c r="DH1218" s="4" t="n"/>
      <c r="DI1218" s="4" t="n"/>
      <c r="DJ1218" s="4" t="n"/>
      <c r="DK1218" s="4" t="n"/>
      <c r="DL1218" s="4" t="n"/>
      <c r="DM1218" s="4" t="n"/>
      <c r="DN1218" s="4" t="n"/>
      <c r="DO1218" s="4" t="n"/>
      <c r="DP1218" s="4" t="n"/>
      <c r="DQ1218" s="4" t="n"/>
      <c r="DR1218" s="4" t="n"/>
      <c r="DS1218" s="4" t="n"/>
      <c r="DT1218" s="4" t="n"/>
      <c r="DU1218" s="4" t="n"/>
      <c r="DV1218" s="4" t="n"/>
      <c r="DW1218" s="4" t="n"/>
      <c r="DX1218" s="4" t="n"/>
      <c r="DY1218" s="4" t="n"/>
      <c r="DZ1218" s="4" t="n"/>
      <c r="EA1218" s="4" t="n"/>
      <c r="EB1218" s="4" t="n"/>
      <c r="EC1218" s="4" t="n"/>
      <c r="ED1218" s="4" t="n"/>
      <c r="EE1218" s="4" t="n"/>
      <c r="EF1218" s="4" t="n"/>
      <c r="EG1218" s="4" t="n"/>
      <c r="EH1218" s="4" t="n"/>
      <c r="EI1218" s="4" t="n"/>
      <c r="EJ1218" s="4" t="n"/>
      <c r="EK1218" s="4" t="n"/>
      <c r="EL1218" s="4" t="n"/>
      <c r="EM1218" s="4" t="n"/>
    </row>
    <row r="1219" hidden="1" customFormat="1" s="6">
      <c r="C1219" s="4" t="n"/>
      <c r="D1219" s="4" t="n"/>
      <c r="E1219" s="4" t="n"/>
      <c r="F1219" s="4" t="n"/>
      <c r="G1219" s="4" t="n"/>
      <c r="H1219" s="4" t="n"/>
      <c r="I1219" s="4" t="n"/>
      <c r="J1219" s="4" t="n"/>
      <c r="K1219" s="4" t="n"/>
      <c r="L1219" s="4" t="n"/>
      <c r="M1219" s="4" t="n"/>
      <c r="N1219" s="4" t="n"/>
      <c r="O1219" s="4" t="n"/>
      <c r="P1219" s="4" t="n"/>
      <c r="Q1219" s="4" t="n"/>
      <c r="R1219" s="4" t="n"/>
      <c r="S1219" s="4" t="n"/>
      <c r="T1219" s="4" t="n"/>
      <c r="U1219" s="4" t="n"/>
      <c r="V1219" s="4" t="n"/>
      <c r="W1219" s="4" t="n"/>
      <c r="X1219" s="4" t="n"/>
      <c r="Y1219" s="4" t="n"/>
      <c r="Z1219" s="4" t="n"/>
      <c r="AA1219" s="4" t="n"/>
      <c r="AB1219" s="4" t="n"/>
      <c r="AC1219" s="4" t="n"/>
      <c r="AD1219" s="4" t="n"/>
      <c r="AE1219" s="4" t="n"/>
      <c r="AF1219" s="4" t="n"/>
      <c r="AG1219" s="4" t="n"/>
      <c r="AH1219" s="4" t="n"/>
      <c r="AI1219" s="4" t="n"/>
      <c r="AJ1219" s="4" t="n"/>
      <c r="AK1219" s="4" t="n"/>
      <c r="AL1219" s="4" t="n"/>
      <c r="AM1219" s="4" t="n"/>
      <c r="AN1219" s="4" t="n"/>
      <c r="AO1219" s="4" t="n"/>
      <c r="AP1219" s="4" t="n"/>
      <c r="AQ1219" s="4" t="n"/>
      <c r="AR1219" s="4" t="n"/>
      <c r="AS1219" s="4" t="n"/>
      <c r="AT1219" s="4" t="n"/>
      <c r="AU1219" s="4" t="n"/>
      <c r="AV1219" s="4" t="n"/>
      <c r="AW1219" s="4" t="n"/>
      <c r="AX1219" s="4" t="n"/>
      <c r="AY1219" s="4" t="n"/>
      <c r="AZ1219" s="4" t="n"/>
      <c r="BA1219" s="4" t="n"/>
      <c r="BB1219" s="4" t="n"/>
      <c r="BC1219" s="4" t="n"/>
      <c r="BD1219" s="4" t="n"/>
      <c r="BE1219" s="4" t="n"/>
      <c r="BF1219" s="4" t="n"/>
      <c r="BG1219" s="4" t="n"/>
      <c r="BH1219" s="4" t="n"/>
      <c r="BI1219" s="4" t="n"/>
      <c r="BJ1219" s="4" t="n"/>
      <c r="BK1219" s="4" t="n"/>
      <c r="BL1219" s="4" t="n"/>
      <c r="BM1219" s="4" t="n"/>
      <c r="BN1219" s="4" t="n"/>
      <c r="BO1219" s="4" t="n"/>
      <c r="BP1219" s="4" t="n"/>
      <c r="BQ1219" s="4" t="n"/>
      <c r="BR1219" s="4" t="n"/>
      <c r="BS1219" s="4" t="n"/>
      <c r="BT1219" s="4" t="n"/>
      <c r="BU1219" s="4" t="n"/>
      <c r="BV1219" s="4" t="n"/>
      <c r="BW1219" s="4" t="n"/>
      <c r="BX1219" s="4" t="n"/>
      <c r="BY1219" s="4" t="n"/>
      <c r="BZ1219" s="4" t="n"/>
      <c r="CA1219" s="4" t="n"/>
      <c r="CB1219" s="4" t="n"/>
      <c r="CC1219" s="4" t="n"/>
      <c r="CD1219" s="4" t="n"/>
      <c r="CE1219" s="4" t="n"/>
      <c r="CF1219" s="4" t="n"/>
      <c r="CG1219" s="4" t="n"/>
      <c r="CH1219" s="4" t="n"/>
      <c r="CI1219" s="4" t="n"/>
      <c r="CJ1219" s="4" t="n"/>
      <c r="CK1219" s="4" t="n"/>
      <c r="CL1219" s="4" t="n"/>
      <c r="CM1219" s="4" t="n"/>
      <c r="CN1219" s="4" t="n"/>
      <c r="CO1219" s="4" t="n"/>
      <c r="CP1219" s="4" t="n"/>
      <c r="CQ1219" s="4" t="n"/>
      <c r="CR1219" s="4" t="n"/>
      <c r="CS1219" s="4" t="n"/>
      <c r="CT1219" s="4" t="n"/>
      <c r="CU1219" s="4" t="n"/>
      <c r="CV1219" s="4" t="n"/>
      <c r="CW1219" s="4" t="n"/>
      <c r="CX1219" s="4" t="n"/>
      <c r="CY1219" s="4" t="n"/>
      <c r="CZ1219" s="4" t="n"/>
      <c r="DA1219" s="4" t="n"/>
      <c r="DB1219" s="4" t="n"/>
      <c r="DC1219" s="4" t="n"/>
      <c r="DD1219" s="4" t="n"/>
      <c r="DE1219" s="4" t="n"/>
      <c r="DF1219" s="4" t="n"/>
      <c r="DG1219" s="4" t="n"/>
      <c r="DH1219" s="4" t="n"/>
      <c r="DI1219" s="4" t="n"/>
      <c r="DJ1219" s="4" t="n"/>
      <c r="DK1219" s="4" t="n"/>
      <c r="DL1219" s="4" t="n"/>
      <c r="DM1219" s="4" t="n"/>
      <c r="DN1219" s="4" t="n"/>
      <c r="DO1219" s="4" t="n"/>
      <c r="DP1219" s="4" t="n"/>
      <c r="DQ1219" s="4" t="n"/>
      <c r="DR1219" s="4" t="n"/>
      <c r="DS1219" s="4" t="n"/>
      <c r="DT1219" s="4" t="n"/>
      <c r="DU1219" s="4" t="n"/>
      <c r="DV1219" s="4" t="n"/>
      <c r="DW1219" s="4" t="n"/>
      <c r="DX1219" s="4" t="n"/>
      <c r="DY1219" s="4" t="n"/>
      <c r="DZ1219" s="4" t="n"/>
      <c r="EA1219" s="4" t="n"/>
      <c r="EB1219" s="4" t="n"/>
      <c r="EC1219" s="4" t="n"/>
      <c r="ED1219" s="4" t="n"/>
      <c r="EE1219" s="4" t="n"/>
      <c r="EF1219" s="4" t="n"/>
      <c r="EG1219" s="4" t="n"/>
      <c r="EH1219" s="4" t="n"/>
      <c r="EI1219" s="4" t="n"/>
      <c r="EJ1219" s="4" t="n"/>
      <c r="EK1219" s="4" t="n"/>
      <c r="EL1219" s="4" t="n"/>
      <c r="EM1219" s="4" t="n"/>
    </row>
    <row r="1220" hidden="1" customFormat="1" s="6">
      <c r="C1220" s="4" t="n"/>
      <c r="D1220" s="4" t="n"/>
      <c r="E1220" s="4" t="n"/>
      <c r="F1220" s="4" t="n"/>
      <c r="G1220" s="4" t="n"/>
      <c r="H1220" s="4" t="n"/>
      <c r="I1220" s="4" t="n"/>
      <c r="J1220" s="4" t="n"/>
      <c r="K1220" s="4" t="n"/>
      <c r="L1220" s="4" t="n"/>
      <c r="M1220" s="4" t="n"/>
      <c r="N1220" s="4" t="n"/>
      <c r="O1220" s="4" t="n"/>
      <c r="P1220" s="4" t="n"/>
      <c r="Q1220" s="4" t="n"/>
      <c r="R1220" s="4" t="n"/>
      <c r="S1220" s="4" t="n"/>
      <c r="T1220" s="4" t="n"/>
      <c r="U1220" s="4" t="n"/>
      <c r="V1220" s="4" t="n"/>
      <c r="W1220" s="4" t="n"/>
      <c r="X1220" s="4" t="n"/>
      <c r="Y1220" s="4" t="n"/>
      <c r="Z1220" s="4" t="n"/>
      <c r="AA1220" s="4" t="n"/>
      <c r="AB1220" s="4" t="n"/>
      <c r="AC1220" s="4" t="n"/>
      <c r="AD1220" s="4" t="n"/>
      <c r="AE1220" s="4" t="n"/>
      <c r="AF1220" s="4" t="n"/>
      <c r="AG1220" s="4" t="n"/>
      <c r="AH1220" s="4" t="n"/>
      <c r="AI1220" s="4" t="n"/>
      <c r="AJ1220" s="4" t="n"/>
      <c r="AK1220" s="4" t="n"/>
      <c r="AL1220" s="4" t="n"/>
      <c r="AM1220" s="4" t="n"/>
      <c r="AN1220" s="4" t="n"/>
      <c r="AO1220" s="4" t="n"/>
      <c r="AP1220" s="4" t="n"/>
      <c r="AQ1220" s="4" t="n"/>
      <c r="AR1220" s="4" t="n"/>
      <c r="AS1220" s="4" t="n"/>
      <c r="AT1220" s="4" t="n"/>
      <c r="AU1220" s="4" t="n"/>
      <c r="AV1220" s="4" t="n"/>
      <c r="AW1220" s="4" t="n"/>
      <c r="AX1220" s="4" t="n"/>
      <c r="AY1220" s="4" t="n"/>
      <c r="AZ1220" s="4" t="n"/>
      <c r="BA1220" s="4" t="n"/>
      <c r="BB1220" s="4" t="n"/>
      <c r="BC1220" s="4" t="n"/>
      <c r="BD1220" s="4" t="n"/>
      <c r="BE1220" s="4" t="n"/>
      <c r="BF1220" s="4" t="n"/>
      <c r="BG1220" s="4" t="n"/>
      <c r="BH1220" s="4" t="n"/>
      <c r="BI1220" s="4" t="n"/>
      <c r="BJ1220" s="4" t="n"/>
      <c r="BK1220" s="4" t="n"/>
      <c r="BL1220" s="4" t="n"/>
      <c r="BM1220" s="4" t="n"/>
      <c r="BN1220" s="4" t="n"/>
      <c r="BO1220" s="4" t="n"/>
      <c r="BP1220" s="4" t="n"/>
      <c r="BQ1220" s="4" t="n"/>
      <c r="BR1220" s="4" t="n"/>
      <c r="BS1220" s="4" t="n"/>
      <c r="BT1220" s="4" t="n"/>
      <c r="BU1220" s="4" t="n"/>
      <c r="BV1220" s="4" t="n"/>
      <c r="BW1220" s="4" t="n"/>
      <c r="BX1220" s="4" t="n"/>
      <c r="BY1220" s="4" t="n"/>
      <c r="BZ1220" s="4" t="n"/>
      <c r="CA1220" s="4" t="n"/>
      <c r="CB1220" s="4" t="n"/>
      <c r="CC1220" s="4" t="n"/>
      <c r="CD1220" s="4" t="n"/>
      <c r="CE1220" s="4" t="n"/>
      <c r="CF1220" s="4" t="n"/>
      <c r="CG1220" s="4" t="n"/>
      <c r="CH1220" s="4" t="n"/>
      <c r="CI1220" s="4" t="n"/>
      <c r="CJ1220" s="4" t="n"/>
      <c r="CK1220" s="4" t="n"/>
      <c r="CL1220" s="4" t="n"/>
      <c r="CM1220" s="4" t="n"/>
      <c r="CN1220" s="4" t="n"/>
      <c r="CO1220" s="4" t="n"/>
      <c r="CP1220" s="4" t="n"/>
      <c r="CQ1220" s="4" t="n"/>
      <c r="CR1220" s="4" t="n"/>
      <c r="CS1220" s="4" t="n"/>
      <c r="CT1220" s="4" t="n"/>
      <c r="CU1220" s="4" t="n"/>
      <c r="CV1220" s="4" t="n"/>
      <c r="CW1220" s="4" t="n"/>
      <c r="CX1220" s="4" t="n"/>
      <c r="CY1220" s="4" t="n"/>
      <c r="CZ1220" s="4" t="n"/>
      <c r="DA1220" s="4" t="n"/>
      <c r="DB1220" s="4" t="n"/>
      <c r="DC1220" s="4" t="n"/>
      <c r="DD1220" s="4" t="n"/>
      <c r="DE1220" s="4" t="n"/>
      <c r="DF1220" s="4" t="n"/>
      <c r="DG1220" s="4" t="n"/>
      <c r="DH1220" s="4" t="n"/>
      <c r="DI1220" s="4" t="n"/>
      <c r="DJ1220" s="4" t="n"/>
      <c r="DK1220" s="4" t="n"/>
      <c r="DL1220" s="4" t="n"/>
      <c r="DM1220" s="4" t="n"/>
      <c r="DN1220" s="4" t="n"/>
      <c r="DO1220" s="4" t="n"/>
      <c r="DP1220" s="4" t="n"/>
      <c r="DQ1220" s="4" t="n"/>
      <c r="DR1220" s="4" t="n"/>
      <c r="DS1220" s="4" t="n"/>
      <c r="DT1220" s="4" t="n"/>
      <c r="DU1220" s="4" t="n"/>
      <c r="DV1220" s="4" t="n"/>
      <c r="DW1220" s="4" t="n"/>
      <c r="DX1220" s="4" t="n"/>
      <c r="DY1220" s="4" t="n"/>
      <c r="DZ1220" s="4" t="n"/>
      <c r="EA1220" s="4" t="n"/>
      <c r="EB1220" s="4" t="n"/>
      <c r="EC1220" s="4" t="n"/>
      <c r="ED1220" s="4" t="n"/>
      <c r="EE1220" s="4" t="n"/>
      <c r="EF1220" s="4" t="n"/>
      <c r="EG1220" s="4" t="n"/>
      <c r="EH1220" s="4" t="n"/>
      <c r="EI1220" s="4" t="n"/>
      <c r="EJ1220" s="4" t="n"/>
      <c r="EK1220" s="4" t="n"/>
      <c r="EL1220" s="4" t="n"/>
      <c r="EM1220" s="4" t="n"/>
    </row>
    <row r="1221" hidden="1" customFormat="1" s="6">
      <c r="C1221" s="4" t="n"/>
      <c r="D1221" s="4" t="n"/>
      <c r="E1221" s="4" t="n"/>
      <c r="F1221" s="4" t="n"/>
      <c r="G1221" s="4" t="n"/>
      <c r="H1221" s="4" t="n"/>
      <c r="I1221" s="4" t="n"/>
      <c r="J1221" s="4" t="n"/>
      <c r="K1221" s="4" t="n"/>
      <c r="L1221" s="4" t="n"/>
      <c r="M1221" s="4" t="n"/>
      <c r="N1221" s="4" t="n"/>
      <c r="O1221" s="4" t="n"/>
      <c r="P1221" s="4" t="n"/>
      <c r="Q1221" s="4" t="n"/>
      <c r="R1221" s="4" t="n"/>
      <c r="S1221" s="4" t="n"/>
      <c r="T1221" s="4" t="n"/>
      <c r="U1221" s="4" t="n"/>
      <c r="V1221" s="4" t="n"/>
      <c r="W1221" s="4" t="n"/>
      <c r="X1221" s="4" t="n"/>
      <c r="Y1221" s="4" t="n"/>
      <c r="Z1221" s="4" t="n"/>
      <c r="AA1221" s="4" t="n"/>
      <c r="AB1221" s="4" t="n"/>
      <c r="AC1221" s="4" t="n"/>
      <c r="AD1221" s="4" t="n"/>
      <c r="AE1221" s="4" t="n"/>
      <c r="AF1221" s="4" t="n"/>
      <c r="AG1221" s="4" t="n"/>
      <c r="AH1221" s="4" t="n"/>
      <c r="AI1221" s="4" t="n"/>
      <c r="AJ1221" s="4" t="n"/>
      <c r="AK1221" s="4" t="n"/>
      <c r="AL1221" s="4" t="n"/>
      <c r="AM1221" s="4" t="n"/>
      <c r="AN1221" s="4" t="n"/>
      <c r="AO1221" s="4" t="n"/>
      <c r="AP1221" s="4" t="n"/>
      <c r="AQ1221" s="4" t="n"/>
      <c r="AR1221" s="4" t="n"/>
      <c r="AS1221" s="4" t="n"/>
      <c r="AT1221" s="4" t="n"/>
      <c r="AU1221" s="4" t="n"/>
      <c r="AV1221" s="4" t="n"/>
      <c r="AW1221" s="4" t="n"/>
      <c r="AX1221" s="4" t="n"/>
      <c r="AY1221" s="4" t="n"/>
      <c r="AZ1221" s="4" t="n"/>
      <c r="BA1221" s="4" t="n"/>
      <c r="BB1221" s="4" t="n"/>
      <c r="BC1221" s="4" t="n"/>
      <c r="BD1221" s="4" t="n"/>
      <c r="BE1221" s="4" t="n"/>
      <c r="BF1221" s="4" t="n"/>
      <c r="BG1221" s="4" t="n"/>
      <c r="BH1221" s="4" t="n"/>
      <c r="BI1221" s="4" t="n"/>
      <c r="BJ1221" s="4" t="n"/>
      <c r="BK1221" s="4" t="n"/>
      <c r="BL1221" s="4" t="n"/>
      <c r="BM1221" s="4" t="n"/>
      <c r="BN1221" s="4" t="n"/>
      <c r="BO1221" s="4" t="n"/>
      <c r="BP1221" s="4" t="n"/>
      <c r="BQ1221" s="4" t="n"/>
      <c r="BR1221" s="4" t="n"/>
      <c r="BS1221" s="4" t="n"/>
      <c r="BT1221" s="4" t="n"/>
      <c r="BU1221" s="4" t="n"/>
      <c r="BV1221" s="4" t="n"/>
      <c r="BW1221" s="4" t="n"/>
      <c r="BX1221" s="4" t="n"/>
      <c r="BY1221" s="4" t="n"/>
      <c r="BZ1221" s="4" t="n"/>
      <c r="CA1221" s="4" t="n"/>
      <c r="CB1221" s="4" t="n"/>
      <c r="CC1221" s="4" t="n"/>
      <c r="CD1221" s="4" t="n"/>
      <c r="CE1221" s="4" t="n"/>
      <c r="CF1221" s="4" t="n"/>
      <c r="CG1221" s="4" t="n"/>
      <c r="CH1221" s="4" t="n"/>
      <c r="CI1221" s="4" t="n"/>
      <c r="CJ1221" s="4" t="n"/>
      <c r="CK1221" s="4" t="n"/>
      <c r="CL1221" s="4" t="n"/>
      <c r="CM1221" s="4" t="n"/>
      <c r="CN1221" s="4" t="n"/>
      <c r="CO1221" s="4" t="n"/>
      <c r="CP1221" s="4" t="n"/>
      <c r="CQ1221" s="4" t="n"/>
      <c r="CR1221" s="4" t="n"/>
      <c r="CS1221" s="4" t="n"/>
      <c r="CT1221" s="4" t="n"/>
      <c r="CU1221" s="4" t="n"/>
      <c r="CV1221" s="4" t="n"/>
      <c r="CW1221" s="4" t="n"/>
      <c r="CX1221" s="4" t="n"/>
      <c r="CY1221" s="4" t="n"/>
      <c r="CZ1221" s="4" t="n"/>
      <c r="DA1221" s="4" t="n"/>
      <c r="DB1221" s="4" t="n"/>
      <c r="DC1221" s="4" t="n"/>
      <c r="DD1221" s="4" t="n"/>
      <c r="DE1221" s="4" t="n"/>
      <c r="DF1221" s="4" t="n"/>
      <c r="DG1221" s="4" t="n"/>
      <c r="DH1221" s="4" t="n"/>
      <c r="DI1221" s="4" t="n"/>
      <c r="DJ1221" s="4" t="n"/>
      <c r="DK1221" s="4" t="n"/>
      <c r="DL1221" s="4" t="n"/>
      <c r="DM1221" s="4" t="n"/>
      <c r="DN1221" s="4" t="n"/>
      <c r="DO1221" s="4" t="n"/>
      <c r="DP1221" s="4" t="n"/>
      <c r="DQ1221" s="4" t="n"/>
      <c r="DR1221" s="4" t="n"/>
      <c r="DS1221" s="4" t="n"/>
      <c r="DT1221" s="4" t="n"/>
      <c r="DU1221" s="4" t="n"/>
      <c r="DV1221" s="4" t="n"/>
      <c r="DW1221" s="4" t="n"/>
      <c r="DX1221" s="4" t="n"/>
      <c r="DY1221" s="4" t="n"/>
      <c r="DZ1221" s="4" t="n"/>
      <c r="EA1221" s="4" t="n"/>
      <c r="EB1221" s="4" t="n"/>
      <c r="EC1221" s="4" t="n"/>
      <c r="ED1221" s="4" t="n"/>
      <c r="EE1221" s="4" t="n"/>
      <c r="EF1221" s="4" t="n"/>
      <c r="EG1221" s="4" t="n"/>
      <c r="EH1221" s="4" t="n"/>
      <c r="EI1221" s="4" t="n"/>
      <c r="EJ1221" s="4" t="n"/>
      <c r="EK1221" s="4" t="n"/>
      <c r="EL1221" s="4" t="n"/>
      <c r="EM1221" s="4" t="n"/>
    </row>
    <row r="1222" hidden="1" customFormat="1" s="6">
      <c r="C1222" s="4" t="n"/>
      <c r="D1222" s="4" t="n"/>
      <c r="E1222" s="4" t="n"/>
      <c r="F1222" s="4" t="n"/>
      <c r="G1222" s="4" t="n"/>
      <c r="H1222" s="4" t="n"/>
      <c r="I1222" s="4" t="n"/>
      <c r="J1222" s="4" t="n"/>
      <c r="K1222" s="4" t="n"/>
      <c r="L1222" s="4" t="n"/>
      <c r="M1222" s="4" t="n"/>
      <c r="N1222" s="4" t="n"/>
      <c r="O1222" s="4" t="n"/>
      <c r="P1222" s="4" t="n"/>
      <c r="Q1222" s="4" t="n"/>
      <c r="R1222" s="4" t="n"/>
      <c r="S1222" s="4" t="n"/>
      <c r="T1222" s="4" t="n"/>
      <c r="U1222" s="4" t="n"/>
      <c r="V1222" s="4" t="n"/>
      <c r="W1222" s="4" t="n"/>
      <c r="X1222" s="4" t="n"/>
      <c r="Y1222" s="4" t="n"/>
      <c r="Z1222" s="4" t="n"/>
      <c r="AA1222" s="4" t="n"/>
      <c r="AB1222" s="4" t="n"/>
      <c r="AC1222" s="4" t="n"/>
      <c r="AD1222" s="4" t="n"/>
      <c r="AE1222" s="4" t="n"/>
      <c r="AF1222" s="4" t="n"/>
      <c r="AG1222" s="4" t="n"/>
      <c r="AH1222" s="4" t="n"/>
      <c r="AI1222" s="4" t="n"/>
      <c r="AJ1222" s="4" t="n"/>
      <c r="AK1222" s="4" t="n"/>
      <c r="AL1222" s="4" t="n"/>
      <c r="AM1222" s="4" t="n"/>
      <c r="AN1222" s="4" t="n"/>
      <c r="AO1222" s="4" t="n"/>
      <c r="AP1222" s="4" t="n"/>
      <c r="AQ1222" s="4" t="n"/>
      <c r="AR1222" s="4" t="n"/>
      <c r="AS1222" s="4" t="n"/>
      <c r="AT1222" s="4" t="n"/>
      <c r="AU1222" s="4" t="n"/>
      <c r="AV1222" s="4" t="n"/>
      <c r="AW1222" s="4" t="n"/>
      <c r="AX1222" s="4" t="n"/>
      <c r="AY1222" s="4" t="n"/>
      <c r="AZ1222" s="4" t="n"/>
      <c r="BA1222" s="4" t="n"/>
      <c r="BB1222" s="4" t="n"/>
      <c r="BC1222" s="4" t="n"/>
      <c r="BD1222" s="4" t="n"/>
      <c r="BE1222" s="4" t="n"/>
      <c r="BF1222" s="4" t="n"/>
      <c r="BG1222" s="4" t="n"/>
      <c r="BH1222" s="4" t="n"/>
      <c r="BI1222" s="4" t="n"/>
      <c r="BJ1222" s="4" t="n"/>
      <c r="BK1222" s="4" t="n"/>
      <c r="BL1222" s="4" t="n"/>
      <c r="BM1222" s="4" t="n"/>
      <c r="BN1222" s="4" t="n"/>
      <c r="BO1222" s="4" t="n"/>
      <c r="BP1222" s="4" t="n"/>
      <c r="BQ1222" s="4" t="n"/>
      <c r="BR1222" s="4" t="n"/>
      <c r="BS1222" s="4" t="n"/>
      <c r="BT1222" s="4" t="n"/>
      <c r="BU1222" s="4" t="n"/>
      <c r="BV1222" s="4" t="n"/>
      <c r="BW1222" s="4" t="n"/>
      <c r="BX1222" s="4" t="n"/>
      <c r="BY1222" s="4" t="n"/>
      <c r="BZ1222" s="4" t="n"/>
      <c r="CA1222" s="4" t="n"/>
      <c r="CB1222" s="4" t="n"/>
      <c r="CC1222" s="4" t="n"/>
      <c r="CD1222" s="4" t="n"/>
      <c r="CE1222" s="4" t="n"/>
      <c r="CF1222" s="4" t="n"/>
      <c r="CG1222" s="4" t="n"/>
      <c r="CH1222" s="4" t="n"/>
      <c r="CI1222" s="4" t="n"/>
      <c r="CJ1222" s="4" t="n"/>
      <c r="CK1222" s="4" t="n"/>
      <c r="CL1222" s="4" t="n"/>
      <c r="CM1222" s="4" t="n"/>
      <c r="CN1222" s="4" t="n"/>
      <c r="CO1222" s="4" t="n"/>
      <c r="CP1222" s="4" t="n"/>
      <c r="CQ1222" s="4" t="n"/>
      <c r="CR1222" s="4" t="n"/>
      <c r="CS1222" s="4" t="n"/>
      <c r="CT1222" s="4" t="n"/>
      <c r="CU1222" s="4" t="n"/>
      <c r="CV1222" s="4" t="n"/>
      <c r="CW1222" s="4" t="n"/>
      <c r="CX1222" s="4" t="n"/>
      <c r="CY1222" s="4" t="n"/>
      <c r="CZ1222" s="4" t="n"/>
      <c r="DA1222" s="4" t="n"/>
      <c r="DB1222" s="4" t="n"/>
      <c r="DC1222" s="4" t="n"/>
      <c r="DD1222" s="4" t="n"/>
      <c r="DE1222" s="4" t="n"/>
      <c r="DF1222" s="4" t="n"/>
      <c r="DG1222" s="4" t="n"/>
      <c r="DH1222" s="4" t="n"/>
      <c r="DI1222" s="4" t="n"/>
      <c r="DJ1222" s="4" t="n"/>
      <c r="DK1222" s="4" t="n"/>
      <c r="DL1222" s="4" t="n"/>
      <c r="DM1222" s="4" t="n"/>
      <c r="DN1222" s="4" t="n"/>
      <c r="DO1222" s="4" t="n"/>
      <c r="DP1222" s="4" t="n"/>
      <c r="DQ1222" s="4" t="n"/>
      <c r="DR1222" s="4" t="n"/>
      <c r="DS1222" s="4" t="n"/>
      <c r="DT1222" s="4" t="n"/>
      <c r="DU1222" s="4" t="n"/>
      <c r="DV1222" s="4" t="n"/>
      <c r="DW1222" s="4" t="n"/>
      <c r="DX1222" s="4" t="n"/>
      <c r="DY1222" s="4" t="n"/>
      <c r="DZ1222" s="4" t="n"/>
      <c r="EA1222" s="4" t="n"/>
      <c r="EB1222" s="4" t="n"/>
      <c r="EC1222" s="4" t="n"/>
      <c r="ED1222" s="4" t="n"/>
      <c r="EE1222" s="4" t="n"/>
      <c r="EF1222" s="4" t="n"/>
      <c r="EG1222" s="4" t="n"/>
      <c r="EH1222" s="4" t="n"/>
      <c r="EI1222" s="4" t="n"/>
      <c r="EJ1222" s="4" t="n"/>
      <c r="EK1222" s="4" t="n"/>
      <c r="EL1222" s="4" t="n"/>
      <c r="EM1222" s="4" t="n"/>
    </row>
    <row r="1223" hidden="1" customFormat="1" s="6">
      <c r="C1223" s="4" t="n"/>
      <c r="D1223" s="4" t="n"/>
      <c r="E1223" s="4" t="n"/>
      <c r="F1223" s="4" t="n"/>
      <c r="G1223" s="4" t="n"/>
      <c r="H1223" s="4" t="n"/>
      <c r="I1223" s="4" t="n"/>
      <c r="J1223" s="4" t="n"/>
      <c r="K1223" s="4" t="n"/>
      <c r="L1223" s="4" t="n"/>
      <c r="M1223" s="4" t="n"/>
      <c r="N1223" s="4" t="n"/>
      <c r="O1223" s="4" t="n"/>
      <c r="P1223" s="4" t="n"/>
      <c r="Q1223" s="4" t="n"/>
      <c r="R1223" s="4" t="n"/>
      <c r="S1223" s="4" t="n"/>
      <c r="T1223" s="4" t="n"/>
      <c r="U1223" s="4" t="n"/>
      <c r="V1223" s="4" t="n"/>
      <c r="W1223" s="4" t="n"/>
      <c r="X1223" s="4" t="n"/>
      <c r="Y1223" s="4" t="n"/>
      <c r="Z1223" s="4" t="n"/>
      <c r="AA1223" s="4" t="n"/>
      <c r="AB1223" s="4" t="n"/>
      <c r="AC1223" s="4" t="n"/>
      <c r="AD1223" s="4" t="n"/>
      <c r="AE1223" s="4" t="n"/>
      <c r="AF1223" s="4" t="n"/>
      <c r="AG1223" s="4" t="n"/>
      <c r="AH1223" s="4" t="n"/>
      <c r="AI1223" s="4" t="n"/>
      <c r="AJ1223" s="4" t="n"/>
      <c r="AK1223" s="4" t="n"/>
      <c r="AL1223" s="4" t="n"/>
      <c r="AM1223" s="4" t="n"/>
      <c r="AN1223" s="4" t="n"/>
      <c r="AO1223" s="4" t="n"/>
      <c r="AP1223" s="4" t="n"/>
      <c r="AQ1223" s="4" t="n"/>
      <c r="AR1223" s="4" t="n"/>
      <c r="AS1223" s="4" t="n"/>
      <c r="AT1223" s="4" t="n"/>
      <c r="AU1223" s="4" t="n"/>
      <c r="AV1223" s="4" t="n"/>
      <c r="AW1223" s="4" t="n"/>
      <c r="AX1223" s="4" t="n"/>
      <c r="AY1223" s="4" t="n"/>
      <c r="AZ1223" s="4" t="n"/>
      <c r="BA1223" s="4" t="n"/>
      <c r="BB1223" s="4" t="n"/>
      <c r="BC1223" s="4" t="n"/>
      <c r="BD1223" s="4" t="n"/>
      <c r="BE1223" s="4" t="n"/>
      <c r="BF1223" s="4" t="n"/>
      <c r="BG1223" s="4" t="n"/>
      <c r="BH1223" s="4" t="n"/>
      <c r="BI1223" s="4" t="n"/>
      <c r="BJ1223" s="4" t="n"/>
      <c r="BK1223" s="4" t="n"/>
      <c r="BL1223" s="4" t="n"/>
      <c r="BM1223" s="4" t="n"/>
      <c r="BN1223" s="4" t="n"/>
      <c r="BO1223" s="4" t="n"/>
      <c r="BP1223" s="4" t="n"/>
      <c r="BQ1223" s="4" t="n"/>
      <c r="BR1223" s="4" t="n"/>
      <c r="BS1223" s="4" t="n"/>
      <c r="BT1223" s="4" t="n"/>
      <c r="BU1223" s="4" t="n"/>
      <c r="BV1223" s="4" t="n"/>
      <c r="BW1223" s="4" t="n"/>
      <c r="BX1223" s="4" t="n"/>
      <c r="BY1223" s="4" t="n"/>
      <c r="BZ1223" s="4" t="n"/>
      <c r="CA1223" s="4" t="n"/>
      <c r="CB1223" s="4" t="n"/>
      <c r="CC1223" s="4" t="n"/>
      <c r="CD1223" s="4" t="n"/>
      <c r="CE1223" s="4" t="n"/>
      <c r="CF1223" s="4" t="n"/>
      <c r="CG1223" s="4" t="n"/>
      <c r="CH1223" s="4" t="n"/>
      <c r="CI1223" s="4" t="n"/>
      <c r="CJ1223" s="4" t="n"/>
      <c r="CK1223" s="4" t="n"/>
      <c r="CL1223" s="4" t="n"/>
      <c r="CM1223" s="4" t="n"/>
      <c r="CN1223" s="4" t="n"/>
      <c r="CO1223" s="4" t="n"/>
      <c r="CP1223" s="4" t="n"/>
      <c r="CQ1223" s="4" t="n"/>
      <c r="CR1223" s="4" t="n"/>
      <c r="CS1223" s="4" t="n"/>
      <c r="CT1223" s="4" t="n"/>
      <c r="CU1223" s="4" t="n"/>
      <c r="CV1223" s="4" t="n"/>
      <c r="CW1223" s="4" t="n"/>
      <c r="CX1223" s="4" t="n"/>
      <c r="CY1223" s="4" t="n"/>
      <c r="CZ1223" s="4" t="n"/>
      <c r="DA1223" s="4" t="n"/>
      <c r="DB1223" s="4" t="n"/>
      <c r="DC1223" s="4" t="n"/>
      <c r="DD1223" s="4" t="n"/>
      <c r="DE1223" s="4" t="n"/>
      <c r="DF1223" s="4" t="n"/>
      <c r="DG1223" s="4" t="n"/>
      <c r="DH1223" s="4" t="n"/>
      <c r="DI1223" s="4" t="n"/>
      <c r="DJ1223" s="4" t="n"/>
      <c r="DK1223" s="4" t="n"/>
      <c r="DL1223" s="4" t="n"/>
      <c r="DM1223" s="4" t="n"/>
      <c r="DN1223" s="4" t="n"/>
      <c r="DO1223" s="4" t="n"/>
      <c r="DP1223" s="4" t="n"/>
      <c r="DQ1223" s="4" t="n"/>
      <c r="DR1223" s="4" t="n"/>
      <c r="DS1223" s="4" t="n"/>
      <c r="DT1223" s="4" t="n"/>
      <c r="DU1223" s="4" t="n"/>
      <c r="DV1223" s="4" t="n"/>
      <c r="DW1223" s="4" t="n"/>
      <c r="DX1223" s="4" t="n"/>
      <c r="DY1223" s="4" t="n"/>
      <c r="DZ1223" s="4" t="n"/>
      <c r="EA1223" s="4" t="n"/>
      <c r="EB1223" s="4" t="n"/>
      <c r="EC1223" s="4" t="n"/>
      <c r="ED1223" s="4" t="n"/>
      <c r="EE1223" s="4" t="n"/>
      <c r="EF1223" s="4" t="n"/>
      <c r="EG1223" s="4" t="n"/>
      <c r="EH1223" s="4" t="n"/>
      <c r="EI1223" s="4" t="n"/>
      <c r="EJ1223" s="4" t="n"/>
      <c r="EK1223" s="4" t="n"/>
      <c r="EL1223" s="4" t="n"/>
      <c r="EM1223" s="4" t="n"/>
    </row>
    <row r="1224" hidden="1" customFormat="1" s="6">
      <c r="C1224" s="4" t="n"/>
      <c r="D1224" s="4" t="n"/>
      <c r="E1224" s="4" t="n"/>
      <c r="F1224" s="4" t="n"/>
      <c r="G1224" s="4" t="n"/>
      <c r="H1224" s="4" t="n"/>
      <c r="I1224" s="4" t="n"/>
      <c r="J1224" s="4" t="n"/>
      <c r="K1224" s="4" t="n"/>
      <c r="L1224" s="4" t="n"/>
      <c r="M1224" s="4" t="n"/>
      <c r="N1224" s="4" t="n"/>
      <c r="O1224" s="4" t="n"/>
      <c r="P1224" s="4" t="n"/>
      <c r="Q1224" s="4" t="n"/>
      <c r="R1224" s="4" t="n"/>
      <c r="S1224" s="4" t="n"/>
      <c r="T1224" s="4" t="n"/>
      <c r="U1224" s="4" t="n"/>
      <c r="V1224" s="4" t="n"/>
      <c r="W1224" s="4" t="n"/>
      <c r="X1224" s="4" t="n"/>
      <c r="Y1224" s="4" t="n"/>
      <c r="Z1224" s="4" t="n"/>
      <c r="AA1224" s="4" t="n"/>
      <c r="AB1224" s="4" t="n"/>
      <c r="AC1224" s="4" t="n"/>
      <c r="AD1224" s="4" t="n"/>
      <c r="AE1224" s="4" t="n"/>
      <c r="AF1224" s="4" t="n"/>
      <c r="AG1224" s="4" t="n"/>
      <c r="AH1224" s="4" t="n"/>
      <c r="AI1224" s="4" t="n"/>
      <c r="AJ1224" s="4" t="n"/>
      <c r="AK1224" s="4" t="n"/>
      <c r="AL1224" s="4" t="n"/>
      <c r="AM1224" s="4" t="n"/>
      <c r="AN1224" s="4" t="n"/>
      <c r="AO1224" s="4" t="n"/>
      <c r="AP1224" s="4" t="n"/>
      <c r="AQ1224" s="4" t="n"/>
      <c r="AR1224" s="4" t="n"/>
      <c r="AS1224" s="4" t="n"/>
      <c r="AT1224" s="4" t="n"/>
      <c r="AU1224" s="4" t="n"/>
      <c r="AV1224" s="4" t="n"/>
      <c r="AW1224" s="4" t="n"/>
      <c r="AX1224" s="4" t="n"/>
      <c r="AY1224" s="4" t="n"/>
      <c r="AZ1224" s="4" t="n"/>
      <c r="BA1224" s="4" t="n"/>
      <c r="BB1224" s="4" t="n"/>
      <c r="BC1224" s="4" t="n"/>
      <c r="BD1224" s="4" t="n"/>
      <c r="BE1224" s="4" t="n"/>
      <c r="BF1224" s="4" t="n"/>
      <c r="BG1224" s="4" t="n"/>
      <c r="BH1224" s="4" t="n"/>
      <c r="BI1224" s="4" t="n"/>
      <c r="BJ1224" s="4" t="n"/>
      <c r="BK1224" s="4" t="n"/>
      <c r="BL1224" s="4" t="n"/>
      <c r="BM1224" s="4" t="n"/>
      <c r="BN1224" s="4" t="n"/>
      <c r="BO1224" s="4" t="n"/>
      <c r="BP1224" s="4" t="n"/>
      <c r="BQ1224" s="4" t="n"/>
      <c r="BR1224" s="4" t="n"/>
      <c r="BS1224" s="4" t="n"/>
      <c r="BT1224" s="4" t="n"/>
      <c r="BU1224" s="4" t="n"/>
      <c r="BV1224" s="4" t="n"/>
      <c r="BW1224" s="4" t="n"/>
      <c r="BX1224" s="4" t="n"/>
      <c r="BY1224" s="4" t="n"/>
      <c r="BZ1224" s="4" t="n"/>
      <c r="CA1224" s="4" t="n"/>
      <c r="CB1224" s="4" t="n"/>
      <c r="CC1224" s="4" t="n"/>
      <c r="CD1224" s="4" t="n"/>
      <c r="CE1224" s="4" t="n"/>
      <c r="CF1224" s="4" t="n"/>
      <c r="CG1224" s="4" t="n"/>
      <c r="CH1224" s="4" t="n"/>
      <c r="CI1224" s="4" t="n"/>
      <c r="CJ1224" s="4" t="n"/>
      <c r="CK1224" s="4" t="n"/>
      <c r="CL1224" s="4" t="n"/>
      <c r="CM1224" s="4" t="n"/>
      <c r="CN1224" s="4" t="n"/>
      <c r="CO1224" s="4" t="n"/>
      <c r="CP1224" s="4" t="n"/>
      <c r="CQ1224" s="4" t="n"/>
      <c r="CR1224" s="4" t="n"/>
      <c r="CS1224" s="4" t="n"/>
      <c r="CT1224" s="4" t="n"/>
      <c r="CU1224" s="4" t="n"/>
      <c r="CV1224" s="4" t="n"/>
      <c r="CW1224" s="4" t="n"/>
      <c r="CX1224" s="4" t="n"/>
      <c r="CY1224" s="4" t="n"/>
      <c r="CZ1224" s="4" t="n"/>
      <c r="DA1224" s="4" t="n"/>
      <c r="DB1224" s="4" t="n"/>
      <c r="DC1224" s="4" t="n"/>
      <c r="DD1224" s="4" t="n"/>
      <c r="DE1224" s="4" t="n"/>
      <c r="DF1224" s="4" t="n"/>
      <c r="DG1224" s="4" t="n"/>
      <c r="DH1224" s="4" t="n"/>
      <c r="DI1224" s="4" t="n"/>
      <c r="DJ1224" s="4" t="n"/>
      <c r="DK1224" s="4" t="n"/>
      <c r="DL1224" s="4" t="n"/>
      <c r="DM1224" s="4" t="n"/>
      <c r="DN1224" s="4" t="n"/>
      <c r="DO1224" s="4" t="n"/>
      <c r="DP1224" s="4" t="n"/>
      <c r="DQ1224" s="4" t="n"/>
      <c r="DR1224" s="4" t="n"/>
      <c r="DS1224" s="4" t="n"/>
      <c r="DT1224" s="4" t="n"/>
      <c r="DU1224" s="4" t="n"/>
      <c r="DV1224" s="4" t="n"/>
      <c r="DW1224" s="4" t="n"/>
      <c r="DX1224" s="4" t="n"/>
      <c r="DY1224" s="4" t="n"/>
      <c r="DZ1224" s="4" t="n"/>
      <c r="EA1224" s="4" t="n"/>
      <c r="EB1224" s="4" t="n"/>
      <c r="EC1224" s="4" t="n"/>
      <c r="ED1224" s="4" t="n"/>
      <c r="EE1224" s="4" t="n"/>
      <c r="EF1224" s="4" t="n"/>
      <c r="EG1224" s="4" t="n"/>
      <c r="EH1224" s="4" t="n"/>
      <c r="EI1224" s="4" t="n"/>
      <c r="EJ1224" s="4" t="n"/>
      <c r="EK1224" s="4" t="n"/>
      <c r="EL1224" s="4" t="n"/>
      <c r="EM1224" s="4" t="n"/>
    </row>
    <row r="1225" hidden="1" customFormat="1" s="6">
      <c r="C1225" s="4" t="n"/>
      <c r="D1225" s="4" t="n"/>
      <c r="E1225" s="4" t="n"/>
      <c r="F1225" s="4" t="n"/>
      <c r="G1225" s="4" t="n"/>
      <c r="H1225" s="4" t="n"/>
      <c r="I1225" s="4" t="n"/>
      <c r="J1225" s="4" t="n"/>
      <c r="K1225" s="4" t="n"/>
      <c r="L1225" s="4" t="n"/>
      <c r="M1225" s="4" t="n"/>
      <c r="N1225" s="4" t="n"/>
      <c r="O1225" s="4" t="n"/>
      <c r="P1225" s="4" t="n"/>
      <c r="Q1225" s="4" t="n"/>
      <c r="R1225" s="4" t="n"/>
      <c r="S1225" s="4" t="n"/>
      <c r="T1225" s="4" t="n"/>
      <c r="U1225" s="4" t="n"/>
      <c r="V1225" s="4" t="n"/>
      <c r="W1225" s="4" t="n"/>
      <c r="X1225" s="4" t="n"/>
      <c r="Y1225" s="4" t="n"/>
      <c r="Z1225" s="4" t="n"/>
      <c r="AA1225" s="4" t="n"/>
      <c r="AB1225" s="4" t="n"/>
      <c r="AC1225" s="4" t="n"/>
      <c r="AD1225" s="4" t="n"/>
      <c r="AE1225" s="4" t="n"/>
      <c r="AF1225" s="4" t="n"/>
      <c r="AG1225" s="4" t="n"/>
      <c r="AH1225" s="4" t="n"/>
      <c r="AI1225" s="4" t="n"/>
      <c r="AJ1225" s="4" t="n"/>
      <c r="AK1225" s="4" t="n"/>
      <c r="AL1225" s="4" t="n"/>
      <c r="AM1225" s="4" t="n"/>
      <c r="AN1225" s="4" t="n"/>
      <c r="AO1225" s="4" t="n"/>
      <c r="AP1225" s="4" t="n"/>
      <c r="AQ1225" s="4" t="n"/>
      <c r="AR1225" s="4" t="n"/>
      <c r="AS1225" s="4" t="n"/>
      <c r="AT1225" s="4" t="n"/>
      <c r="AU1225" s="4" t="n"/>
      <c r="AV1225" s="4" t="n"/>
      <c r="AW1225" s="4" t="n"/>
      <c r="AX1225" s="4" t="n"/>
      <c r="AY1225" s="4" t="n"/>
      <c r="AZ1225" s="4" t="n"/>
      <c r="BA1225" s="4" t="n"/>
      <c r="BB1225" s="4" t="n"/>
      <c r="BC1225" s="4" t="n"/>
      <c r="BD1225" s="4" t="n"/>
      <c r="BE1225" s="4" t="n"/>
      <c r="BF1225" s="4" t="n"/>
      <c r="BG1225" s="4" t="n"/>
      <c r="BH1225" s="4" t="n"/>
      <c r="BI1225" s="4" t="n"/>
      <c r="BJ1225" s="4" t="n"/>
      <c r="BK1225" s="4" t="n"/>
      <c r="BL1225" s="4" t="n"/>
      <c r="BM1225" s="4" t="n"/>
      <c r="BN1225" s="4" t="n"/>
      <c r="BO1225" s="4" t="n"/>
      <c r="BP1225" s="4" t="n"/>
      <c r="BQ1225" s="4" t="n"/>
      <c r="BR1225" s="4" t="n"/>
      <c r="BS1225" s="4" t="n"/>
      <c r="BT1225" s="4" t="n"/>
      <c r="BU1225" s="4" t="n"/>
      <c r="BV1225" s="4" t="n"/>
      <c r="BW1225" s="4" t="n"/>
      <c r="BX1225" s="4" t="n"/>
      <c r="BY1225" s="4" t="n"/>
      <c r="BZ1225" s="4" t="n"/>
      <c r="CA1225" s="4" t="n"/>
      <c r="CB1225" s="4" t="n"/>
      <c r="CC1225" s="4" t="n"/>
      <c r="CD1225" s="4" t="n"/>
      <c r="CE1225" s="4" t="n"/>
      <c r="CF1225" s="4" t="n"/>
      <c r="CG1225" s="4" t="n"/>
      <c r="CH1225" s="4" t="n"/>
      <c r="CI1225" s="4" t="n"/>
      <c r="CJ1225" s="4" t="n"/>
      <c r="CK1225" s="4" t="n"/>
      <c r="CL1225" s="4" t="n"/>
      <c r="CM1225" s="4" t="n"/>
      <c r="CN1225" s="4" t="n"/>
      <c r="CO1225" s="4" t="n"/>
      <c r="CP1225" s="4" t="n"/>
      <c r="CQ1225" s="4" t="n"/>
      <c r="CR1225" s="4" t="n"/>
      <c r="CS1225" s="4" t="n"/>
      <c r="CT1225" s="4" t="n"/>
      <c r="CU1225" s="4" t="n"/>
      <c r="CV1225" s="4" t="n"/>
      <c r="CW1225" s="4" t="n"/>
      <c r="CX1225" s="4" t="n"/>
      <c r="CY1225" s="4" t="n"/>
      <c r="CZ1225" s="4" t="n"/>
      <c r="DA1225" s="4" t="n"/>
      <c r="DB1225" s="4" t="n"/>
      <c r="DC1225" s="4" t="n"/>
      <c r="DD1225" s="4" t="n"/>
      <c r="DE1225" s="4" t="n"/>
      <c r="DF1225" s="4" t="n"/>
      <c r="DG1225" s="4" t="n"/>
      <c r="DH1225" s="4" t="n"/>
      <c r="DI1225" s="4" t="n"/>
      <c r="DJ1225" s="4" t="n"/>
      <c r="DK1225" s="4" t="n"/>
      <c r="DL1225" s="4" t="n"/>
      <c r="DM1225" s="4" t="n"/>
      <c r="DN1225" s="4" t="n"/>
      <c r="DO1225" s="4" t="n"/>
      <c r="DP1225" s="4" t="n"/>
      <c r="DQ1225" s="4" t="n"/>
      <c r="DR1225" s="4" t="n"/>
      <c r="DS1225" s="4" t="n"/>
      <c r="DT1225" s="4" t="n"/>
      <c r="DU1225" s="4" t="n"/>
      <c r="DV1225" s="4" t="n"/>
      <c r="DW1225" s="4" t="n"/>
      <c r="DX1225" s="4" t="n"/>
      <c r="DY1225" s="4" t="n"/>
      <c r="DZ1225" s="4" t="n"/>
      <c r="EA1225" s="4" t="n"/>
      <c r="EB1225" s="4" t="n"/>
      <c r="EC1225" s="4" t="n"/>
      <c r="ED1225" s="4" t="n"/>
      <c r="EE1225" s="4" t="n"/>
      <c r="EF1225" s="4" t="n"/>
      <c r="EG1225" s="4" t="n"/>
      <c r="EH1225" s="4" t="n"/>
      <c r="EI1225" s="4" t="n"/>
      <c r="EJ1225" s="4" t="n"/>
      <c r="EK1225" s="4" t="n"/>
      <c r="EL1225" s="4" t="n"/>
      <c r="EM1225" s="4" t="n"/>
    </row>
    <row r="1226" hidden="1" customFormat="1" s="6">
      <c r="C1226" s="4" t="n"/>
      <c r="D1226" s="4" t="n"/>
      <c r="E1226" s="4" t="n"/>
      <c r="F1226" s="4" t="n"/>
      <c r="G1226" s="4" t="n"/>
      <c r="H1226" s="4" t="n"/>
      <c r="I1226" s="4" t="n"/>
      <c r="J1226" s="4" t="n"/>
      <c r="K1226" s="4" t="n"/>
      <c r="L1226" s="4" t="n"/>
      <c r="M1226" s="4" t="n"/>
      <c r="N1226" s="4" t="n"/>
      <c r="O1226" s="4" t="n"/>
      <c r="P1226" s="4" t="n"/>
      <c r="Q1226" s="4" t="n"/>
      <c r="R1226" s="4" t="n"/>
      <c r="S1226" s="4" t="n"/>
      <c r="T1226" s="4" t="n"/>
      <c r="U1226" s="4" t="n"/>
      <c r="V1226" s="4" t="n"/>
      <c r="W1226" s="4" t="n"/>
      <c r="X1226" s="4" t="n"/>
      <c r="Y1226" s="4" t="n"/>
      <c r="Z1226" s="4" t="n"/>
      <c r="AA1226" s="4" t="n"/>
      <c r="AB1226" s="4" t="n"/>
      <c r="AC1226" s="4" t="n"/>
      <c r="AD1226" s="4" t="n"/>
      <c r="AE1226" s="4" t="n"/>
      <c r="AF1226" s="4" t="n"/>
      <c r="AG1226" s="4" t="n"/>
      <c r="AH1226" s="4" t="n"/>
      <c r="AI1226" s="4" t="n"/>
      <c r="AJ1226" s="4" t="n"/>
      <c r="AK1226" s="4" t="n"/>
      <c r="AL1226" s="4" t="n"/>
      <c r="AM1226" s="4" t="n"/>
      <c r="AN1226" s="4" t="n"/>
      <c r="AO1226" s="4" t="n"/>
      <c r="AP1226" s="4" t="n"/>
      <c r="AQ1226" s="4" t="n"/>
      <c r="AR1226" s="4" t="n"/>
      <c r="AS1226" s="4" t="n"/>
      <c r="AT1226" s="4" t="n"/>
      <c r="AU1226" s="4" t="n"/>
      <c r="AV1226" s="4" t="n"/>
      <c r="AW1226" s="4" t="n"/>
      <c r="AX1226" s="4" t="n"/>
      <c r="AY1226" s="4" t="n"/>
      <c r="AZ1226" s="4" t="n"/>
      <c r="BA1226" s="4" t="n"/>
      <c r="BB1226" s="4" t="n"/>
      <c r="BC1226" s="4" t="n"/>
      <c r="BD1226" s="4" t="n"/>
      <c r="BE1226" s="4" t="n"/>
      <c r="BF1226" s="4" t="n"/>
      <c r="BG1226" s="4" t="n"/>
      <c r="BH1226" s="4" t="n"/>
      <c r="BI1226" s="4" t="n"/>
      <c r="BJ1226" s="4" t="n"/>
      <c r="BK1226" s="4" t="n"/>
      <c r="BL1226" s="4" t="n"/>
      <c r="BM1226" s="4" t="n"/>
      <c r="BN1226" s="4" t="n"/>
      <c r="BO1226" s="4" t="n"/>
      <c r="BP1226" s="4" t="n"/>
      <c r="BQ1226" s="4" t="n"/>
      <c r="BR1226" s="4" t="n"/>
      <c r="BS1226" s="4" t="n"/>
      <c r="BT1226" s="4" t="n"/>
      <c r="BU1226" s="4" t="n"/>
      <c r="BV1226" s="4" t="n"/>
      <c r="BW1226" s="4" t="n"/>
      <c r="BX1226" s="4" t="n"/>
      <c r="BY1226" s="4" t="n"/>
      <c r="BZ1226" s="4" t="n"/>
      <c r="CA1226" s="4" t="n"/>
      <c r="CB1226" s="4" t="n"/>
      <c r="CC1226" s="4" t="n"/>
      <c r="CD1226" s="4" t="n"/>
      <c r="CE1226" s="4" t="n"/>
      <c r="CF1226" s="4" t="n"/>
      <c r="CG1226" s="4" t="n"/>
      <c r="CH1226" s="4" t="n"/>
      <c r="CI1226" s="4" t="n"/>
      <c r="CJ1226" s="4" t="n"/>
      <c r="CK1226" s="4" t="n"/>
      <c r="CL1226" s="4" t="n"/>
      <c r="CM1226" s="4" t="n"/>
      <c r="CN1226" s="4" t="n"/>
      <c r="CO1226" s="4" t="n"/>
      <c r="CP1226" s="4" t="n"/>
      <c r="CQ1226" s="4" t="n"/>
      <c r="CR1226" s="4" t="n"/>
      <c r="CS1226" s="4" t="n"/>
      <c r="CT1226" s="4" t="n"/>
      <c r="CU1226" s="4" t="n"/>
      <c r="CV1226" s="4" t="n"/>
      <c r="CW1226" s="4" t="n"/>
      <c r="CX1226" s="4" t="n"/>
      <c r="CY1226" s="4" t="n"/>
      <c r="CZ1226" s="4" t="n"/>
      <c r="DA1226" s="4" t="n"/>
      <c r="DB1226" s="4" t="n"/>
      <c r="DC1226" s="4" t="n"/>
      <c r="DD1226" s="4" t="n"/>
      <c r="DE1226" s="4" t="n"/>
      <c r="DF1226" s="4" t="n"/>
      <c r="DG1226" s="4" t="n"/>
      <c r="DH1226" s="4" t="n"/>
      <c r="DI1226" s="4" t="n"/>
      <c r="DJ1226" s="4" t="n"/>
      <c r="DK1226" s="4" t="n"/>
      <c r="DL1226" s="4" t="n"/>
      <c r="DM1226" s="4" t="n"/>
      <c r="DN1226" s="4" t="n"/>
      <c r="DO1226" s="4" t="n"/>
      <c r="DP1226" s="4" t="n"/>
      <c r="DQ1226" s="4" t="n"/>
      <c r="DR1226" s="4" t="n"/>
      <c r="DS1226" s="4" t="n"/>
      <c r="DT1226" s="4" t="n"/>
      <c r="DU1226" s="4" t="n"/>
      <c r="DV1226" s="4" t="n"/>
      <c r="DW1226" s="4" t="n"/>
      <c r="DX1226" s="4" t="n"/>
      <c r="DY1226" s="4" t="n"/>
      <c r="DZ1226" s="4" t="n"/>
      <c r="EA1226" s="4" t="n"/>
      <c r="EB1226" s="4" t="n"/>
      <c r="EC1226" s="4" t="n"/>
      <c r="ED1226" s="4" t="n"/>
      <c r="EE1226" s="4" t="n"/>
      <c r="EF1226" s="4" t="n"/>
      <c r="EG1226" s="4" t="n"/>
      <c r="EH1226" s="4" t="n"/>
      <c r="EI1226" s="4" t="n"/>
      <c r="EJ1226" s="4" t="n"/>
      <c r="EK1226" s="4" t="n"/>
      <c r="EL1226" s="4" t="n"/>
      <c r="EM1226" s="4" t="n"/>
    </row>
    <row r="1227" hidden="1" customFormat="1" s="6">
      <c r="C1227" s="4" t="n"/>
      <c r="D1227" s="4" t="n"/>
      <c r="E1227" s="4" t="n"/>
      <c r="F1227" s="4" t="n"/>
      <c r="G1227" s="4" t="n"/>
      <c r="H1227" s="4" t="n"/>
      <c r="I1227" s="4" t="n"/>
      <c r="J1227" s="4" t="n"/>
      <c r="K1227" s="4" t="n"/>
      <c r="L1227" s="4" t="n"/>
      <c r="M1227" s="4" t="n"/>
      <c r="N1227" s="4" t="n"/>
      <c r="O1227" s="4" t="n"/>
      <c r="P1227" s="4" t="n"/>
      <c r="Q1227" s="4" t="n"/>
      <c r="R1227" s="4" t="n"/>
      <c r="S1227" s="4" t="n"/>
      <c r="T1227" s="4" t="n"/>
      <c r="U1227" s="4" t="n"/>
      <c r="V1227" s="4" t="n"/>
      <c r="W1227" s="4" t="n"/>
      <c r="X1227" s="4" t="n"/>
      <c r="Y1227" s="4" t="n"/>
      <c r="Z1227" s="4" t="n"/>
      <c r="AA1227" s="4" t="n"/>
      <c r="AB1227" s="4" t="n"/>
      <c r="AC1227" s="4" t="n"/>
      <c r="AD1227" s="4" t="n"/>
      <c r="AE1227" s="4" t="n"/>
      <c r="AF1227" s="4" t="n"/>
      <c r="AG1227" s="4" t="n"/>
      <c r="AH1227" s="4" t="n"/>
      <c r="AI1227" s="4" t="n"/>
      <c r="AJ1227" s="4" t="n"/>
      <c r="AK1227" s="4" t="n"/>
      <c r="AL1227" s="4" t="n"/>
      <c r="AM1227" s="4" t="n"/>
      <c r="AN1227" s="4" t="n"/>
      <c r="AO1227" s="4" t="n"/>
      <c r="AP1227" s="4" t="n"/>
      <c r="AQ1227" s="4" t="n"/>
      <c r="AR1227" s="4" t="n"/>
      <c r="AS1227" s="4" t="n"/>
      <c r="AT1227" s="4" t="n"/>
      <c r="AU1227" s="4" t="n"/>
      <c r="AV1227" s="4" t="n"/>
      <c r="AW1227" s="4" t="n"/>
      <c r="AX1227" s="4" t="n"/>
      <c r="AY1227" s="4" t="n"/>
      <c r="AZ1227" s="4" t="n"/>
      <c r="BA1227" s="4" t="n"/>
      <c r="BB1227" s="4" t="n"/>
      <c r="BC1227" s="4" t="n"/>
      <c r="BD1227" s="4" t="n"/>
      <c r="BE1227" s="4" t="n"/>
      <c r="BF1227" s="4" t="n"/>
      <c r="BG1227" s="4" t="n"/>
      <c r="BH1227" s="4" t="n"/>
      <c r="BI1227" s="4" t="n"/>
      <c r="BJ1227" s="4" t="n"/>
      <c r="BK1227" s="4" t="n"/>
      <c r="BL1227" s="4" t="n"/>
      <c r="BM1227" s="4" t="n"/>
      <c r="BN1227" s="4" t="n"/>
      <c r="BO1227" s="4" t="n"/>
      <c r="BP1227" s="4" t="n"/>
      <c r="BQ1227" s="4" t="n"/>
      <c r="BR1227" s="4" t="n"/>
      <c r="BS1227" s="4" t="n"/>
      <c r="BT1227" s="4" t="n"/>
      <c r="BU1227" s="4" t="n"/>
      <c r="BV1227" s="4" t="n"/>
      <c r="BW1227" s="4" t="n"/>
      <c r="BX1227" s="4" t="n"/>
      <c r="BY1227" s="4" t="n"/>
      <c r="BZ1227" s="4" t="n"/>
      <c r="CA1227" s="4" t="n"/>
      <c r="CB1227" s="4" t="n"/>
      <c r="CC1227" s="4" t="n"/>
      <c r="CD1227" s="4" t="n"/>
      <c r="CE1227" s="4" t="n"/>
      <c r="CF1227" s="4" t="n"/>
      <c r="CG1227" s="4" t="n"/>
      <c r="CH1227" s="4" t="n"/>
      <c r="CI1227" s="4" t="n"/>
      <c r="CJ1227" s="4" t="n"/>
      <c r="CK1227" s="4" t="n"/>
      <c r="CL1227" s="4" t="n"/>
      <c r="CM1227" s="4" t="n"/>
      <c r="CN1227" s="4" t="n"/>
      <c r="CO1227" s="4" t="n"/>
      <c r="CP1227" s="4" t="n"/>
      <c r="CQ1227" s="4" t="n"/>
      <c r="CR1227" s="4" t="n"/>
      <c r="CS1227" s="4" t="n"/>
      <c r="CT1227" s="4" t="n"/>
      <c r="CU1227" s="4" t="n"/>
      <c r="CV1227" s="4" t="n"/>
      <c r="CW1227" s="4" t="n"/>
      <c r="CX1227" s="4" t="n"/>
      <c r="CY1227" s="4" t="n"/>
      <c r="CZ1227" s="4" t="n"/>
      <c r="DA1227" s="4" t="n"/>
      <c r="DB1227" s="4" t="n"/>
      <c r="DC1227" s="4" t="n"/>
      <c r="DD1227" s="4" t="n"/>
      <c r="DE1227" s="4" t="n"/>
      <c r="DF1227" s="4" t="n"/>
      <c r="DG1227" s="4" t="n"/>
      <c r="DH1227" s="4" t="n"/>
      <c r="DI1227" s="4" t="n"/>
      <c r="DJ1227" s="4" t="n"/>
      <c r="DK1227" s="4" t="n"/>
      <c r="DL1227" s="4" t="n"/>
      <c r="DM1227" s="4" t="n"/>
      <c r="DN1227" s="4" t="n"/>
      <c r="DO1227" s="4" t="n"/>
      <c r="DP1227" s="4" t="n"/>
      <c r="DQ1227" s="4" t="n"/>
      <c r="DR1227" s="4" t="n"/>
      <c r="DS1227" s="4" t="n"/>
      <c r="DT1227" s="4" t="n"/>
      <c r="DU1227" s="4" t="n"/>
      <c r="DV1227" s="4" t="n"/>
      <c r="DW1227" s="4" t="n"/>
      <c r="DX1227" s="4" t="n"/>
      <c r="DY1227" s="4" t="n"/>
      <c r="DZ1227" s="4" t="n"/>
      <c r="EA1227" s="4" t="n"/>
      <c r="EB1227" s="4" t="n"/>
      <c r="EC1227" s="4" t="n"/>
      <c r="ED1227" s="4" t="n"/>
      <c r="EE1227" s="4" t="n"/>
      <c r="EF1227" s="4" t="n"/>
      <c r="EG1227" s="4" t="n"/>
      <c r="EH1227" s="4" t="n"/>
      <c r="EI1227" s="4" t="n"/>
      <c r="EJ1227" s="4" t="n"/>
      <c r="EK1227" s="4" t="n"/>
      <c r="EL1227" s="4" t="n"/>
      <c r="EM1227" s="4" t="n"/>
    </row>
    <row r="1228" hidden="1" customFormat="1" s="6">
      <c r="C1228" s="4" t="n"/>
      <c r="D1228" s="4" t="n"/>
      <c r="E1228" s="4" t="n"/>
      <c r="F1228" s="4" t="n"/>
      <c r="G1228" s="4" t="n"/>
      <c r="H1228" s="4" t="n"/>
      <c r="I1228" s="4" t="n"/>
      <c r="J1228" s="4" t="n"/>
      <c r="K1228" s="4" t="n"/>
      <c r="L1228" s="4" t="n"/>
      <c r="M1228" s="4" t="n"/>
      <c r="N1228" s="4" t="n"/>
      <c r="O1228" s="4" t="n"/>
      <c r="P1228" s="4" t="n"/>
      <c r="Q1228" s="4" t="n"/>
      <c r="R1228" s="4" t="n"/>
      <c r="S1228" s="4" t="n"/>
      <c r="T1228" s="4" t="n"/>
      <c r="U1228" s="4" t="n"/>
      <c r="V1228" s="4" t="n"/>
      <c r="W1228" s="4" t="n"/>
      <c r="X1228" s="4" t="n"/>
      <c r="Y1228" s="4" t="n"/>
      <c r="Z1228" s="4" t="n"/>
      <c r="AA1228" s="4" t="n"/>
      <c r="AB1228" s="4" t="n"/>
      <c r="AC1228" s="4" t="n"/>
      <c r="AD1228" s="4" t="n"/>
      <c r="AE1228" s="4" t="n"/>
      <c r="AF1228" s="4" t="n"/>
      <c r="AG1228" s="4" t="n"/>
      <c r="AH1228" s="4" t="n"/>
      <c r="AI1228" s="4" t="n"/>
      <c r="AJ1228" s="4" t="n"/>
      <c r="AK1228" s="4" t="n"/>
      <c r="AL1228" s="4" t="n"/>
      <c r="AM1228" s="4" t="n"/>
      <c r="AN1228" s="4" t="n"/>
      <c r="AO1228" s="4" t="n"/>
      <c r="AP1228" s="4" t="n"/>
      <c r="AQ1228" s="4" t="n"/>
      <c r="AR1228" s="4" t="n"/>
      <c r="AS1228" s="4" t="n"/>
      <c r="AT1228" s="4" t="n"/>
      <c r="AU1228" s="4" t="n"/>
      <c r="AV1228" s="4" t="n"/>
      <c r="AW1228" s="4" t="n"/>
      <c r="AX1228" s="4" t="n"/>
      <c r="AY1228" s="4" t="n"/>
      <c r="AZ1228" s="4" t="n"/>
      <c r="BA1228" s="4" t="n"/>
      <c r="BB1228" s="4" t="n"/>
      <c r="BC1228" s="4" t="n"/>
      <c r="BD1228" s="4" t="n"/>
      <c r="BE1228" s="4" t="n"/>
      <c r="BF1228" s="4" t="n"/>
      <c r="BG1228" s="4" t="n"/>
      <c r="BH1228" s="4" t="n"/>
      <c r="BI1228" s="4" t="n"/>
      <c r="BJ1228" s="4" t="n"/>
      <c r="BK1228" s="4" t="n"/>
      <c r="BL1228" s="4" t="n"/>
      <c r="BM1228" s="4" t="n"/>
      <c r="BN1228" s="4" t="n"/>
      <c r="BO1228" s="4" t="n"/>
      <c r="BP1228" s="4" t="n"/>
      <c r="BQ1228" s="4" t="n"/>
      <c r="BR1228" s="4" t="n"/>
      <c r="BS1228" s="4" t="n"/>
      <c r="BT1228" s="4" t="n"/>
      <c r="BU1228" s="4" t="n"/>
      <c r="BV1228" s="4" t="n"/>
      <c r="BW1228" s="4" t="n"/>
      <c r="BX1228" s="4" t="n"/>
      <c r="BY1228" s="4" t="n"/>
      <c r="BZ1228" s="4" t="n"/>
      <c r="CA1228" s="4" t="n"/>
      <c r="CB1228" s="4" t="n"/>
      <c r="CC1228" s="4" t="n"/>
      <c r="CD1228" s="4" t="n"/>
      <c r="CE1228" s="4" t="n"/>
      <c r="CF1228" s="4" t="n"/>
      <c r="CG1228" s="4" t="n"/>
      <c r="CH1228" s="4" t="n"/>
      <c r="CI1228" s="4" t="n"/>
      <c r="CJ1228" s="4" t="n"/>
      <c r="CK1228" s="4" t="n"/>
      <c r="CL1228" s="4" t="n"/>
      <c r="CM1228" s="4" t="n"/>
      <c r="CN1228" s="4" t="n"/>
      <c r="CO1228" s="4" t="n"/>
      <c r="CP1228" s="4" t="n"/>
      <c r="CQ1228" s="4" t="n"/>
      <c r="CR1228" s="4" t="n"/>
      <c r="CS1228" s="4" t="n"/>
      <c r="CT1228" s="4" t="n"/>
      <c r="CU1228" s="4" t="n"/>
      <c r="CV1228" s="4" t="n"/>
      <c r="CW1228" s="4" t="n"/>
      <c r="CX1228" s="4" t="n"/>
      <c r="CY1228" s="4" t="n"/>
      <c r="CZ1228" s="4" t="n"/>
      <c r="DA1228" s="4" t="n"/>
      <c r="DB1228" s="4" t="n"/>
      <c r="DC1228" s="4" t="n"/>
      <c r="DD1228" s="4" t="n"/>
      <c r="DE1228" s="4" t="n"/>
      <c r="DF1228" s="4" t="n"/>
      <c r="DG1228" s="4" t="n"/>
      <c r="DH1228" s="4" t="n"/>
      <c r="DI1228" s="4" t="n"/>
      <c r="DJ1228" s="4" t="n"/>
      <c r="DK1228" s="4" t="n"/>
      <c r="DL1228" s="4" t="n"/>
      <c r="DM1228" s="4" t="n"/>
      <c r="DN1228" s="4" t="n"/>
      <c r="DO1228" s="4" t="n"/>
      <c r="DP1228" s="4" t="n"/>
      <c r="DQ1228" s="4" t="n"/>
      <c r="DR1228" s="4" t="n"/>
      <c r="DS1228" s="4" t="n"/>
      <c r="DT1228" s="4" t="n"/>
      <c r="DU1228" s="4" t="n"/>
      <c r="DV1228" s="4" t="n"/>
      <c r="DW1228" s="4" t="n"/>
      <c r="DX1228" s="4" t="n"/>
      <c r="DY1228" s="4" t="n"/>
      <c r="DZ1228" s="4" t="n"/>
      <c r="EA1228" s="4" t="n"/>
      <c r="EB1228" s="4" t="n"/>
      <c r="EC1228" s="4" t="n"/>
      <c r="ED1228" s="4" t="n"/>
      <c r="EE1228" s="4" t="n"/>
      <c r="EF1228" s="4" t="n"/>
      <c r="EG1228" s="4" t="n"/>
      <c r="EH1228" s="4" t="n"/>
      <c r="EI1228" s="4" t="n"/>
      <c r="EJ1228" s="4" t="n"/>
      <c r="EK1228" s="4" t="n"/>
      <c r="EL1228" s="4" t="n"/>
      <c r="EM1228" s="4" t="n"/>
    </row>
    <row r="1229" hidden="1" customFormat="1" s="6">
      <c r="C1229" s="4" t="n"/>
      <c r="D1229" s="4" t="n"/>
      <c r="E1229" s="4" t="n"/>
      <c r="F1229" s="4" t="n"/>
      <c r="G1229" s="4" t="n"/>
      <c r="H1229" s="4" t="n"/>
      <c r="I1229" s="4" t="n"/>
      <c r="J1229" s="4" t="n"/>
      <c r="K1229" s="4" t="n"/>
      <c r="L1229" s="4" t="n"/>
      <c r="M1229" s="4" t="n"/>
      <c r="N1229" s="4" t="n"/>
      <c r="O1229" s="4" t="n"/>
      <c r="P1229" s="4" t="n"/>
      <c r="Q1229" s="4" t="n"/>
      <c r="R1229" s="4" t="n"/>
      <c r="S1229" s="4" t="n"/>
      <c r="T1229" s="4" t="n"/>
      <c r="U1229" s="4" t="n"/>
      <c r="V1229" s="4" t="n"/>
      <c r="W1229" s="4" t="n"/>
      <c r="X1229" s="4" t="n"/>
      <c r="Y1229" s="4" t="n"/>
      <c r="Z1229" s="4" t="n"/>
      <c r="AA1229" s="4" t="n"/>
      <c r="AB1229" s="4" t="n"/>
      <c r="AC1229" s="4" t="n"/>
      <c r="AD1229" s="4" t="n"/>
      <c r="AE1229" s="4" t="n"/>
      <c r="AF1229" s="4" t="n"/>
      <c r="AG1229" s="4" t="n"/>
      <c r="AH1229" s="4" t="n"/>
      <c r="AI1229" s="4" t="n"/>
      <c r="AJ1229" s="4" t="n"/>
      <c r="AK1229" s="4" t="n"/>
      <c r="AL1229" s="4" t="n"/>
      <c r="AM1229" s="4" t="n"/>
      <c r="AN1229" s="4" t="n"/>
      <c r="AO1229" s="4" t="n"/>
      <c r="AP1229" s="4" t="n"/>
      <c r="AQ1229" s="4" t="n"/>
      <c r="AR1229" s="4" t="n"/>
      <c r="AS1229" s="4" t="n"/>
      <c r="AT1229" s="4" t="n"/>
      <c r="AU1229" s="4" t="n"/>
      <c r="AV1229" s="4" t="n"/>
      <c r="AW1229" s="4" t="n"/>
      <c r="AX1229" s="4" t="n"/>
      <c r="AY1229" s="4" t="n"/>
      <c r="AZ1229" s="4" t="n"/>
      <c r="BA1229" s="4" t="n"/>
      <c r="BB1229" s="4" t="n"/>
      <c r="BC1229" s="4" t="n"/>
      <c r="BD1229" s="4" t="n"/>
      <c r="BE1229" s="4" t="n"/>
      <c r="BF1229" s="4" t="n"/>
      <c r="BG1229" s="4" t="n"/>
      <c r="BH1229" s="4" t="n"/>
      <c r="BI1229" s="4" t="n"/>
      <c r="BJ1229" s="4" t="n"/>
      <c r="BK1229" s="4" t="n"/>
      <c r="BL1229" s="4" t="n"/>
      <c r="BM1229" s="4" t="n"/>
      <c r="BN1229" s="4" t="n"/>
      <c r="BO1229" s="4" t="n"/>
      <c r="BP1229" s="4" t="n"/>
      <c r="BQ1229" s="4" t="n"/>
      <c r="BR1229" s="4" t="n"/>
      <c r="BS1229" s="4" t="n"/>
      <c r="BT1229" s="4" t="n"/>
      <c r="BU1229" s="4" t="n"/>
      <c r="BV1229" s="4" t="n"/>
      <c r="BW1229" s="4" t="n"/>
      <c r="BX1229" s="4" t="n"/>
      <c r="BY1229" s="4" t="n"/>
      <c r="BZ1229" s="4" t="n"/>
      <c r="CA1229" s="4" t="n"/>
      <c r="CB1229" s="4" t="n"/>
      <c r="CC1229" s="4" t="n"/>
      <c r="CD1229" s="4" t="n"/>
      <c r="CE1229" s="4" t="n"/>
      <c r="CF1229" s="4" t="n"/>
      <c r="CG1229" s="4" t="n"/>
      <c r="CH1229" s="4" t="n"/>
      <c r="CI1229" s="4" t="n"/>
      <c r="CJ1229" s="4" t="n"/>
      <c r="CK1229" s="4" t="n"/>
      <c r="CL1229" s="4" t="n"/>
      <c r="CM1229" s="4" t="n"/>
      <c r="CN1229" s="4" t="n"/>
      <c r="CO1229" s="4" t="n"/>
      <c r="CP1229" s="4" t="n"/>
      <c r="CQ1229" s="4" t="n"/>
      <c r="CR1229" s="4" t="n"/>
      <c r="CS1229" s="4" t="n"/>
      <c r="CT1229" s="4" t="n"/>
      <c r="CU1229" s="4" t="n"/>
      <c r="CV1229" s="4" t="n"/>
      <c r="CW1229" s="4" t="n"/>
      <c r="CX1229" s="4" t="n"/>
      <c r="CY1229" s="4" t="n"/>
      <c r="CZ1229" s="4" t="n"/>
      <c r="DA1229" s="4" t="n"/>
      <c r="DB1229" s="4" t="n"/>
      <c r="DC1229" s="4" t="n"/>
      <c r="DD1229" s="4" t="n"/>
      <c r="DE1229" s="4" t="n"/>
      <c r="DF1229" s="4" t="n"/>
      <c r="DG1229" s="4" t="n"/>
      <c r="DH1229" s="4" t="n"/>
      <c r="DI1229" s="4" t="n"/>
      <c r="DJ1229" s="4" t="n"/>
      <c r="DK1229" s="4" t="n"/>
      <c r="DL1229" s="4" t="n"/>
      <c r="DM1229" s="4" t="n"/>
      <c r="DN1229" s="4" t="n"/>
      <c r="DO1229" s="4" t="n"/>
      <c r="DP1229" s="4" t="n"/>
      <c r="DQ1229" s="4" t="n"/>
      <c r="DR1229" s="4" t="n"/>
      <c r="DS1229" s="4" t="n"/>
      <c r="DT1229" s="4" t="n"/>
      <c r="DU1229" s="4" t="n"/>
      <c r="DV1229" s="4" t="n"/>
      <c r="DW1229" s="4" t="n"/>
      <c r="DX1229" s="4" t="n"/>
      <c r="DY1229" s="4" t="n"/>
      <c r="DZ1229" s="4" t="n"/>
      <c r="EA1229" s="4" t="n"/>
      <c r="EB1229" s="4" t="n"/>
      <c r="EC1229" s="4" t="n"/>
      <c r="ED1229" s="4" t="n"/>
      <c r="EE1229" s="4" t="n"/>
      <c r="EF1229" s="4" t="n"/>
      <c r="EG1229" s="4" t="n"/>
      <c r="EH1229" s="4" t="n"/>
      <c r="EI1229" s="4" t="n"/>
      <c r="EJ1229" s="4" t="n"/>
      <c r="EK1229" s="4" t="n"/>
      <c r="EL1229" s="4" t="n"/>
      <c r="EM1229" s="4" t="n"/>
    </row>
    <row r="1230" hidden="1" customFormat="1" s="6">
      <c r="C1230" s="4" t="n"/>
      <c r="D1230" s="4" t="n"/>
      <c r="E1230" s="4" t="n"/>
      <c r="F1230" s="4" t="n"/>
      <c r="G1230" s="4" t="n"/>
      <c r="H1230" s="4" t="n"/>
      <c r="I1230" s="4" t="n"/>
      <c r="J1230" s="4" t="n"/>
      <c r="K1230" s="4" t="n"/>
      <c r="L1230" s="4" t="n"/>
      <c r="M1230" s="4" t="n"/>
      <c r="N1230" s="4" t="n"/>
      <c r="O1230" s="4" t="n"/>
      <c r="P1230" s="4" t="n"/>
      <c r="Q1230" s="4" t="n"/>
      <c r="R1230" s="4" t="n"/>
      <c r="S1230" s="4" t="n"/>
      <c r="T1230" s="4" t="n"/>
      <c r="U1230" s="4" t="n"/>
      <c r="V1230" s="4" t="n"/>
      <c r="W1230" s="4" t="n"/>
      <c r="X1230" s="4" t="n"/>
      <c r="Y1230" s="4" t="n"/>
      <c r="Z1230" s="4" t="n"/>
      <c r="AA1230" s="4" t="n"/>
      <c r="AB1230" s="4" t="n"/>
      <c r="AC1230" s="4" t="n"/>
      <c r="AD1230" s="4" t="n"/>
      <c r="AE1230" s="4" t="n"/>
      <c r="AF1230" s="4" t="n"/>
      <c r="AG1230" s="4" t="n"/>
      <c r="AH1230" s="4" t="n"/>
      <c r="AI1230" s="4" t="n"/>
      <c r="AJ1230" s="4" t="n"/>
      <c r="AK1230" s="4" t="n"/>
      <c r="AL1230" s="4" t="n"/>
      <c r="AM1230" s="4" t="n"/>
      <c r="AN1230" s="4" t="n"/>
      <c r="AO1230" s="4" t="n"/>
      <c r="AP1230" s="4" t="n"/>
      <c r="AQ1230" s="4" t="n"/>
      <c r="AR1230" s="4" t="n"/>
      <c r="AS1230" s="4" t="n"/>
      <c r="AT1230" s="4" t="n"/>
      <c r="AU1230" s="4" t="n"/>
      <c r="AV1230" s="4" t="n"/>
      <c r="AW1230" s="4" t="n"/>
      <c r="AX1230" s="4" t="n"/>
      <c r="AY1230" s="4" t="n"/>
      <c r="AZ1230" s="4" t="n"/>
      <c r="BA1230" s="4" t="n"/>
      <c r="BB1230" s="4" t="n"/>
      <c r="BC1230" s="4" t="n"/>
      <c r="BD1230" s="4" t="n"/>
      <c r="BE1230" s="4" t="n"/>
      <c r="BF1230" s="4" t="n"/>
      <c r="BG1230" s="4" t="n"/>
      <c r="BH1230" s="4" t="n"/>
      <c r="BI1230" s="4" t="n"/>
      <c r="BJ1230" s="4" t="n"/>
      <c r="BK1230" s="4" t="n"/>
      <c r="BL1230" s="4" t="n"/>
      <c r="BM1230" s="4" t="n"/>
      <c r="BN1230" s="4" t="n"/>
      <c r="BO1230" s="4" t="n"/>
      <c r="BP1230" s="4" t="n"/>
      <c r="BQ1230" s="4" t="n"/>
      <c r="BR1230" s="4" t="n"/>
      <c r="BS1230" s="4" t="n"/>
      <c r="BT1230" s="4" t="n"/>
      <c r="BU1230" s="4" t="n"/>
      <c r="BV1230" s="4" t="n"/>
      <c r="BW1230" s="4" t="n"/>
      <c r="BX1230" s="4" t="n"/>
      <c r="BY1230" s="4" t="n"/>
      <c r="BZ1230" s="4" t="n"/>
      <c r="CA1230" s="4" t="n"/>
      <c r="CB1230" s="4" t="n"/>
      <c r="CC1230" s="4" t="n"/>
      <c r="CD1230" s="4" t="n"/>
      <c r="CE1230" s="4" t="n"/>
      <c r="CF1230" s="4" t="n"/>
      <c r="CG1230" s="4" t="n"/>
      <c r="CH1230" s="4" t="n"/>
      <c r="CI1230" s="4" t="n"/>
      <c r="CJ1230" s="4" t="n"/>
      <c r="CK1230" s="4" t="n"/>
      <c r="CL1230" s="4" t="n"/>
      <c r="CM1230" s="4" t="n"/>
      <c r="CN1230" s="4" t="n"/>
      <c r="CO1230" s="4" t="n"/>
      <c r="CP1230" s="4" t="n"/>
      <c r="CQ1230" s="4" t="n"/>
      <c r="CR1230" s="4" t="n"/>
      <c r="CS1230" s="4" t="n"/>
      <c r="CT1230" s="4" t="n"/>
      <c r="CU1230" s="4" t="n"/>
      <c r="CV1230" s="4" t="n"/>
      <c r="CW1230" s="4" t="n"/>
      <c r="CX1230" s="4" t="n"/>
      <c r="CY1230" s="4" t="n"/>
      <c r="CZ1230" s="4" t="n"/>
      <c r="DA1230" s="4" t="n"/>
      <c r="DB1230" s="4" t="n"/>
      <c r="DC1230" s="4" t="n"/>
      <c r="DD1230" s="4" t="n"/>
      <c r="DE1230" s="4" t="n"/>
      <c r="DF1230" s="4" t="n"/>
      <c r="DG1230" s="4" t="n"/>
      <c r="DH1230" s="4" t="n"/>
      <c r="DI1230" s="4" t="n"/>
      <c r="DJ1230" s="4" t="n"/>
      <c r="DK1230" s="4" t="n"/>
      <c r="DL1230" s="4" t="n"/>
      <c r="DM1230" s="4" t="n"/>
      <c r="DN1230" s="4" t="n"/>
      <c r="DO1230" s="4" t="n"/>
      <c r="DP1230" s="4" t="n"/>
      <c r="DQ1230" s="4" t="n"/>
      <c r="DR1230" s="4" t="n"/>
      <c r="DS1230" s="4" t="n"/>
      <c r="DT1230" s="4" t="n"/>
      <c r="DU1230" s="4" t="n"/>
      <c r="DV1230" s="4" t="n"/>
      <c r="DW1230" s="4" t="n"/>
      <c r="DX1230" s="4" t="n"/>
      <c r="DY1230" s="4" t="n"/>
      <c r="DZ1230" s="4" t="n"/>
      <c r="EA1230" s="4" t="n"/>
      <c r="EB1230" s="4" t="n"/>
      <c r="EC1230" s="4" t="n"/>
      <c r="ED1230" s="4" t="n"/>
      <c r="EE1230" s="4" t="n"/>
      <c r="EF1230" s="4" t="n"/>
      <c r="EG1230" s="4" t="n"/>
      <c r="EH1230" s="4" t="n"/>
      <c r="EI1230" s="4" t="n"/>
      <c r="EJ1230" s="4" t="n"/>
      <c r="EK1230" s="4" t="n"/>
      <c r="EL1230" s="4" t="n"/>
      <c r="EM1230" s="4" t="n"/>
    </row>
    <row r="1231" hidden="1" customFormat="1" s="6">
      <c r="C1231" s="4" t="n"/>
      <c r="D1231" s="4" t="n"/>
      <c r="E1231" s="4" t="n"/>
      <c r="F1231" s="4" t="n"/>
      <c r="G1231" s="4" t="n"/>
      <c r="H1231" s="4" t="n"/>
      <c r="I1231" s="4" t="n"/>
      <c r="J1231" s="4" t="n"/>
      <c r="K1231" s="4" t="n"/>
      <c r="L1231" s="4" t="n"/>
      <c r="M1231" s="4" t="n"/>
      <c r="N1231" s="4" t="n"/>
      <c r="O1231" s="4" t="n"/>
      <c r="P1231" s="4" t="n"/>
      <c r="Q1231" s="4" t="n"/>
      <c r="R1231" s="4" t="n"/>
      <c r="S1231" s="4" t="n"/>
      <c r="T1231" s="4" t="n"/>
      <c r="U1231" s="4" t="n"/>
      <c r="V1231" s="4" t="n"/>
      <c r="W1231" s="4" t="n"/>
      <c r="X1231" s="4" t="n"/>
      <c r="Y1231" s="4" t="n"/>
      <c r="Z1231" s="4" t="n"/>
      <c r="AA1231" s="4" t="n"/>
      <c r="AB1231" s="4" t="n"/>
      <c r="AC1231" s="4" t="n"/>
      <c r="AD1231" s="4" t="n"/>
      <c r="AE1231" s="4" t="n"/>
      <c r="AF1231" s="4" t="n"/>
      <c r="AG1231" s="4" t="n"/>
      <c r="AH1231" s="4" t="n"/>
      <c r="AI1231" s="4" t="n"/>
      <c r="AJ1231" s="4" t="n"/>
      <c r="AK1231" s="4" t="n"/>
      <c r="AL1231" s="4" t="n"/>
      <c r="AM1231" s="4" t="n"/>
      <c r="AN1231" s="4" t="n"/>
      <c r="AO1231" s="4" t="n"/>
      <c r="AP1231" s="4" t="n"/>
      <c r="AQ1231" s="4" t="n"/>
      <c r="AR1231" s="4" t="n"/>
      <c r="AS1231" s="4" t="n"/>
      <c r="AT1231" s="4" t="n"/>
      <c r="AU1231" s="4" t="n"/>
      <c r="AV1231" s="4" t="n"/>
      <c r="AW1231" s="4" t="n"/>
      <c r="AX1231" s="4" t="n"/>
      <c r="AY1231" s="4" t="n"/>
      <c r="AZ1231" s="4" t="n"/>
      <c r="BA1231" s="4" t="n"/>
      <c r="BB1231" s="4" t="n"/>
      <c r="BC1231" s="4" t="n"/>
      <c r="BD1231" s="4" t="n"/>
      <c r="BE1231" s="4" t="n"/>
      <c r="BF1231" s="4" t="n"/>
      <c r="BG1231" s="4" t="n"/>
      <c r="BH1231" s="4" t="n"/>
      <c r="BI1231" s="4" t="n"/>
      <c r="BJ1231" s="4" t="n"/>
      <c r="BK1231" s="4" t="n"/>
      <c r="BL1231" s="4" t="n"/>
      <c r="BM1231" s="4" t="n"/>
      <c r="BN1231" s="4" t="n"/>
      <c r="BO1231" s="4" t="n"/>
      <c r="BP1231" s="4" t="n"/>
      <c r="BQ1231" s="4" t="n"/>
      <c r="BR1231" s="4" t="n"/>
      <c r="BS1231" s="4" t="n"/>
      <c r="BT1231" s="4" t="n"/>
      <c r="BU1231" s="4" t="n"/>
      <c r="BV1231" s="4" t="n"/>
      <c r="BW1231" s="4" t="n"/>
      <c r="BX1231" s="4" t="n"/>
      <c r="BY1231" s="4" t="n"/>
      <c r="BZ1231" s="4" t="n"/>
      <c r="CA1231" s="4" t="n"/>
      <c r="CB1231" s="4" t="n"/>
      <c r="CC1231" s="4" t="n"/>
      <c r="CD1231" s="4" t="n"/>
      <c r="CE1231" s="4" t="n"/>
      <c r="CF1231" s="4" t="n"/>
      <c r="CG1231" s="4" t="n"/>
      <c r="CH1231" s="4" t="n"/>
      <c r="CI1231" s="4" t="n"/>
      <c r="CJ1231" s="4" t="n"/>
      <c r="CK1231" s="4" t="n"/>
      <c r="CL1231" s="4" t="n"/>
      <c r="CM1231" s="4" t="n"/>
      <c r="CN1231" s="4" t="n"/>
      <c r="CO1231" s="4" t="n"/>
      <c r="CP1231" s="4" t="n"/>
      <c r="CQ1231" s="4" t="n"/>
      <c r="CR1231" s="4" t="n"/>
      <c r="CS1231" s="4" t="n"/>
      <c r="CT1231" s="4" t="n"/>
      <c r="CU1231" s="4" t="n"/>
      <c r="CV1231" s="4" t="n"/>
      <c r="CW1231" s="4" t="n"/>
      <c r="CX1231" s="4" t="n"/>
      <c r="CY1231" s="4" t="n"/>
      <c r="CZ1231" s="4" t="n"/>
      <c r="DA1231" s="4" t="n"/>
      <c r="DB1231" s="4" t="n"/>
      <c r="DC1231" s="4" t="n"/>
      <c r="DD1231" s="4" t="n"/>
      <c r="DE1231" s="4" t="n"/>
      <c r="DF1231" s="4" t="n"/>
      <c r="DG1231" s="4" t="n"/>
      <c r="DH1231" s="4" t="n"/>
      <c r="DI1231" s="4" t="n"/>
      <c r="DJ1231" s="4" t="n"/>
      <c r="DK1231" s="4" t="n"/>
      <c r="DL1231" s="4" t="n"/>
      <c r="DM1231" s="4" t="n"/>
      <c r="DN1231" s="4" t="n"/>
      <c r="DO1231" s="4" t="n"/>
      <c r="DP1231" s="4" t="n"/>
      <c r="DQ1231" s="4" t="n"/>
      <c r="DR1231" s="4" t="n"/>
      <c r="DS1231" s="4" t="n"/>
      <c r="DT1231" s="4" t="n"/>
      <c r="DU1231" s="4" t="n"/>
      <c r="DV1231" s="4" t="n"/>
      <c r="DW1231" s="4" t="n"/>
      <c r="DX1231" s="4" t="n"/>
      <c r="DY1231" s="4" t="n"/>
      <c r="DZ1231" s="4" t="n"/>
      <c r="EA1231" s="4" t="n"/>
      <c r="EB1231" s="4" t="n"/>
      <c r="EC1231" s="4" t="n"/>
      <c r="ED1231" s="4" t="n"/>
      <c r="EE1231" s="4" t="n"/>
      <c r="EF1231" s="4" t="n"/>
      <c r="EG1231" s="4" t="n"/>
      <c r="EH1231" s="4" t="n"/>
      <c r="EI1231" s="4" t="n"/>
      <c r="EJ1231" s="4" t="n"/>
      <c r="EK1231" s="4" t="n"/>
      <c r="EL1231" s="4" t="n"/>
      <c r="EM1231" s="4" t="n"/>
    </row>
    <row r="1232" hidden="1" customFormat="1" s="6">
      <c r="C1232" s="4" t="n"/>
      <c r="D1232" s="4" t="n"/>
      <c r="E1232" s="4" t="n"/>
      <c r="F1232" s="4" t="n"/>
      <c r="G1232" s="4" t="n"/>
      <c r="H1232" s="4" t="n"/>
      <c r="I1232" s="4" t="n"/>
      <c r="J1232" s="4" t="n"/>
      <c r="K1232" s="4" t="n"/>
      <c r="L1232" s="4" t="n"/>
      <c r="M1232" s="4" t="n"/>
      <c r="N1232" s="4" t="n"/>
      <c r="O1232" s="4" t="n"/>
      <c r="P1232" s="4" t="n"/>
      <c r="Q1232" s="4" t="n"/>
      <c r="R1232" s="4" t="n"/>
      <c r="S1232" s="4" t="n"/>
      <c r="T1232" s="4" t="n"/>
      <c r="U1232" s="4" t="n"/>
      <c r="V1232" s="4" t="n"/>
      <c r="W1232" s="4" t="n"/>
      <c r="X1232" s="4" t="n"/>
      <c r="Y1232" s="4" t="n"/>
      <c r="Z1232" s="4" t="n"/>
      <c r="AA1232" s="4" t="n"/>
      <c r="AB1232" s="4" t="n"/>
      <c r="AC1232" s="4" t="n"/>
      <c r="AD1232" s="4" t="n"/>
      <c r="AE1232" s="4" t="n"/>
      <c r="AF1232" s="4" t="n"/>
      <c r="AG1232" s="4" t="n"/>
      <c r="AH1232" s="4" t="n"/>
      <c r="AI1232" s="4" t="n"/>
      <c r="AJ1232" s="4" t="n"/>
      <c r="AK1232" s="4" t="n"/>
      <c r="AL1232" s="4" t="n"/>
      <c r="AM1232" s="4" t="n"/>
      <c r="AN1232" s="4" t="n"/>
      <c r="AO1232" s="4" t="n"/>
      <c r="AP1232" s="4" t="n"/>
      <c r="AQ1232" s="4" t="n"/>
      <c r="AR1232" s="4" t="n"/>
      <c r="AS1232" s="4" t="n"/>
      <c r="AT1232" s="4" t="n"/>
      <c r="AU1232" s="4" t="n"/>
      <c r="AV1232" s="4" t="n"/>
      <c r="AW1232" s="4" t="n"/>
      <c r="AX1232" s="4" t="n"/>
      <c r="AY1232" s="4" t="n"/>
      <c r="AZ1232" s="4" t="n"/>
      <c r="BA1232" s="4" t="n"/>
      <c r="BB1232" s="4" t="n"/>
      <c r="BC1232" s="4" t="n"/>
      <c r="BD1232" s="4" t="n"/>
      <c r="BE1232" s="4" t="n"/>
      <c r="BF1232" s="4" t="n"/>
      <c r="BG1232" s="4" t="n"/>
      <c r="BH1232" s="4" t="n"/>
      <c r="BI1232" s="4" t="n"/>
      <c r="BJ1232" s="4" t="n"/>
      <c r="BK1232" s="4" t="n"/>
      <c r="BL1232" s="4" t="n"/>
      <c r="BM1232" s="4" t="n"/>
      <c r="BN1232" s="4" t="n"/>
      <c r="BO1232" s="4" t="n"/>
      <c r="BP1232" s="4" t="n"/>
      <c r="BQ1232" s="4" t="n"/>
      <c r="BR1232" s="4" t="n"/>
      <c r="BS1232" s="4" t="n"/>
      <c r="BT1232" s="4" t="n"/>
      <c r="BU1232" s="4" t="n"/>
      <c r="BV1232" s="4" t="n"/>
      <c r="BW1232" s="4" t="n"/>
      <c r="BX1232" s="4" t="n"/>
      <c r="BY1232" s="4" t="n"/>
      <c r="BZ1232" s="4" t="n"/>
      <c r="CA1232" s="4" t="n"/>
      <c r="CB1232" s="4" t="n"/>
      <c r="CC1232" s="4" t="n"/>
      <c r="CD1232" s="4" t="n"/>
      <c r="CE1232" s="4" t="n"/>
      <c r="CF1232" s="4" t="n"/>
      <c r="CG1232" s="4" t="n"/>
      <c r="CH1232" s="4" t="n"/>
      <c r="CI1232" s="4" t="n"/>
      <c r="CJ1232" s="4" t="n"/>
      <c r="CK1232" s="4" t="n"/>
      <c r="CL1232" s="4" t="n"/>
      <c r="CM1232" s="4" t="n"/>
      <c r="CN1232" s="4" t="n"/>
      <c r="CO1232" s="4" t="n"/>
      <c r="CP1232" s="4" t="n"/>
      <c r="CQ1232" s="4" t="n"/>
      <c r="CR1232" s="4" t="n"/>
      <c r="CS1232" s="4" t="n"/>
      <c r="CT1232" s="4" t="n"/>
      <c r="CU1232" s="4" t="n"/>
      <c r="CV1232" s="4" t="n"/>
      <c r="CW1232" s="4" t="n"/>
      <c r="CX1232" s="4" t="n"/>
      <c r="CY1232" s="4" t="n"/>
      <c r="CZ1232" s="4" t="n"/>
      <c r="DA1232" s="4" t="n"/>
      <c r="DB1232" s="4" t="n"/>
      <c r="DC1232" s="4" t="n"/>
      <c r="DD1232" s="4" t="n"/>
      <c r="DE1232" s="4" t="n"/>
      <c r="DF1232" s="4" t="n"/>
      <c r="DG1232" s="4" t="n"/>
      <c r="DH1232" s="4" t="n"/>
      <c r="DI1232" s="4" t="n"/>
      <c r="DJ1232" s="4" t="n"/>
      <c r="DK1232" s="4" t="n"/>
      <c r="DL1232" s="4" t="n"/>
      <c r="DM1232" s="4" t="n"/>
      <c r="DN1232" s="4" t="n"/>
      <c r="DO1232" s="4" t="n"/>
      <c r="DP1232" s="4" t="n"/>
      <c r="DQ1232" s="4" t="n"/>
      <c r="DR1232" s="4" t="n"/>
      <c r="DS1232" s="4" t="n"/>
      <c r="DT1232" s="4" t="n"/>
      <c r="DU1232" s="4" t="n"/>
      <c r="DV1232" s="4" t="n"/>
      <c r="DW1232" s="4" t="n"/>
      <c r="DX1232" s="4" t="n"/>
      <c r="DY1232" s="4" t="n"/>
      <c r="DZ1232" s="4" t="n"/>
      <c r="EA1232" s="4" t="n"/>
      <c r="EB1232" s="4" t="n"/>
      <c r="EC1232" s="4" t="n"/>
      <c r="ED1232" s="4" t="n"/>
      <c r="EE1232" s="4" t="n"/>
      <c r="EF1232" s="4" t="n"/>
      <c r="EG1232" s="4" t="n"/>
      <c r="EH1232" s="4" t="n"/>
      <c r="EI1232" s="4" t="n"/>
      <c r="EJ1232" s="4" t="n"/>
      <c r="EK1232" s="4" t="n"/>
      <c r="EL1232" s="4" t="n"/>
      <c r="EM1232" s="4" t="n"/>
    </row>
    <row r="1233" hidden="1" customFormat="1" s="6">
      <c r="C1233" s="4" t="n"/>
      <c r="D1233" s="4" t="n"/>
      <c r="E1233" s="4" t="n"/>
      <c r="F1233" s="4" t="n"/>
      <c r="G1233" s="4" t="n"/>
      <c r="H1233" s="4" t="n"/>
      <c r="I1233" s="4" t="n"/>
      <c r="J1233" s="4" t="n"/>
      <c r="K1233" s="4" t="n"/>
      <c r="L1233" s="4" t="n"/>
      <c r="M1233" s="4" t="n"/>
      <c r="N1233" s="4" t="n"/>
      <c r="O1233" s="4" t="n"/>
      <c r="P1233" s="4" t="n"/>
      <c r="Q1233" s="4" t="n"/>
      <c r="R1233" s="4" t="n"/>
      <c r="S1233" s="4" t="n"/>
      <c r="T1233" s="4" t="n"/>
      <c r="U1233" s="4" t="n"/>
      <c r="V1233" s="4" t="n"/>
      <c r="W1233" s="4" t="n"/>
      <c r="X1233" s="4" t="n"/>
      <c r="Y1233" s="4" t="n"/>
      <c r="Z1233" s="4" t="n"/>
      <c r="AA1233" s="4" t="n"/>
      <c r="AB1233" s="4" t="n"/>
      <c r="AC1233" s="4" t="n"/>
      <c r="AD1233" s="4" t="n"/>
      <c r="AE1233" s="4" t="n"/>
      <c r="AF1233" s="4" t="n"/>
      <c r="AG1233" s="4" t="n"/>
      <c r="AH1233" s="4" t="n"/>
      <c r="AI1233" s="4" t="n"/>
      <c r="AJ1233" s="4" t="n"/>
      <c r="AK1233" s="4" t="n"/>
      <c r="AL1233" s="4" t="n"/>
      <c r="AM1233" s="4" t="n"/>
      <c r="AN1233" s="4" t="n"/>
      <c r="AO1233" s="4" t="n"/>
      <c r="AP1233" s="4" t="n"/>
      <c r="AQ1233" s="4" t="n"/>
      <c r="AR1233" s="4" t="n"/>
      <c r="AS1233" s="4" t="n"/>
      <c r="AT1233" s="4" t="n"/>
      <c r="AU1233" s="4" t="n"/>
      <c r="AV1233" s="4" t="n"/>
      <c r="AW1233" s="4" t="n"/>
      <c r="AX1233" s="4" t="n"/>
      <c r="AY1233" s="4" t="n"/>
      <c r="AZ1233" s="4" t="n"/>
      <c r="BA1233" s="4" t="n"/>
      <c r="BB1233" s="4" t="n"/>
      <c r="BC1233" s="4" t="n"/>
      <c r="BD1233" s="4" t="n"/>
      <c r="BE1233" s="4" t="n"/>
      <c r="BF1233" s="4" t="n"/>
      <c r="BG1233" s="4" t="n"/>
      <c r="BH1233" s="4" t="n"/>
      <c r="BI1233" s="4" t="n"/>
      <c r="BJ1233" s="4" t="n"/>
      <c r="BK1233" s="4" t="n"/>
      <c r="BL1233" s="4" t="n"/>
      <c r="BM1233" s="4" t="n"/>
      <c r="BN1233" s="4" t="n"/>
      <c r="BO1233" s="4" t="n"/>
      <c r="BP1233" s="4" t="n"/>
      <c r="BQ1233" s="4" t="n"/>
      <c r="BR1233" s="4" t="n"/>
      <c r="BS1233" s="4" t="n"/>
      <c r="BT1233" s="4" t="n"/>
      <c r="BU1233" s="4" t="n"/>
      <c r="BV1233" s="4" t="n"/>
      <c r="BW1233" s="4" t="n"/>
      <c r="BX1233" s="4" t="n"/>
      <c r="BY1233" s="4" t="n"/>
      <c r="BZ1233" s="4" t="n"/>
      <c r="CA1233" s="4" t="n"/>
      <c r="CB1233" s="4" t="n"/>
      <c r="CC1233" s="4" t="n"/>
      <c r="CD1233" s="4" t="n"/>
      <c r="CE1233" s="4" t="n"/>
      <c r="CF1233" s="4" t="n"/>
      <c r="CG1233" s="4" t="n"/>
      <c r="CH1233" s="4" t="n"/>
      <c r="CI1233" s="4" t="n"/>
      <c r="CJ1233" s="4" t="n"/>
      <c r="CK1233" s="4" t="n"/>
      <c r="CL1233" s="4" t="n"/>
      <c r="CM1233" s="4" t="n"/>
      <c r="CN1233" s="4" t="n"/>
      <c r="CO1233" s="4" t="n"/>
      <c r="CP1233" s="4" t="n"/>
      <c r="CQ1233" s="4" t="n"/>
      <c r="CR1233" s="4" t="n"/>
      <c r="CS1233" s="4" t="n"/>
      <c r="CT1233" s="4" t="n"/>
      <c r="CU1233" s="4" t="n"/>
      <c r="CV1233" s="4" t="n"/>
      <c r="CW1233" s="4" t="n"/>
      <c r="CX1233" s="4" t="n"/>
      <c r="CY1233" s="4" t="n"/>
      <c r="CZ1233" s="4" t="n"/>
      <c r="DA1233" s="4" t="n"/>
      <c r="DB1233" s="4" t="n"/>
      <c r="DC1233" s="4" t="n"/>
      <c r="DD1233" s="4" t="n"/>
      <c r="DE1233" s="4" t="n"/>
      <c r="DF1233" s="4" t="n"/>
      <c r="DG1233" s="4" t="n"/>
      <c r="DH1233" s="4" t="n"/>
      <c r="DI1233" s="4" t="n"/>
      <c r="DJ1233" s="4" t="n"/>
      <c r="DK1233" s="4" t="n"/>
      <c r="DL1233" s="4" t="n"/>
      <c r="DM1233" s="4" t="n"/>
      <c r="DN1233" s="4" t="n"/>
      <c r="DO1233" s="4" t="n"/>
      <c r="DP1233" s="4" t="n"/>
      <c r="DQ1233" s="4" t="n"/>
      <c r="DR1233" s="4" t="n"/>
      <c r="DS1233" s="4" t="n"/>
      <c r="DT1233" s="4" t="n"/>
      <c r="DU1233" s="4" t="n"/>
      <c r="DV1233" s="4" t="n"/>
      <c r="DW1233" s="4" t="n"/>
      <c r="DX1233" s="4" t="n"/>
      <c r="DY1233" s="4" t="n"/>
      <c r="DZ1233" s="4" t="n"/>
      <c r="EA1233" s="4" t="n"/>
      <c r="EB1233" s="4" t="n"/>
      <c r="EC1233" s="4" t="n"/>
      <c r="ED1233" s="4" t="n"/>
      <c r="EE1233" s="4" t="n"/>
      <c r="EF1233" s="4" t="n"/>
      <c r="EG1233" s="4" t="n"/>
      <c r="EH1233" s="4" t="n"/>
      <c r="EI1233" s="4" t="n"/>
      <c r="EJ1233" s="4" t="n"/>
      <c r="EK1233" s="4" t="n"/>
      <c r="EL1233" s="4" t="n"/>
      <c r="EM1233" s="4" t="n"/>
    </row>
    <row r="1234" hidden="1" customFormat="1" s="6">
      <c r="C1234" s="4" t="n"/>
      <c r="D1234" s="4" t="n"/>
      <c r="E1234" s="4" t="n"/>
      <c r="F1234" s="4" t="n"/>
      <c r="G1234" s="4" t="n"/>
      <c r="H1234" s="4" t="n"/>
      <c r="I1234" s="4" t="n"/>
      <c r="J1234" s="4" t="n"/>
      <c r="K1234" s="4" t="n"/>
      <c r="L1234" s="4" t="n"/>
      <c r="M1234" s="4" t="n"/>
      <c r="N1234" s="4" t="n"/>
      <c r="O1234" s="4" t="n"/>
      <c r="P1234" s="4" t="n"/>
      <c r="Q1234" s="4" t="n"/>
      <c r="R1234" s="4" t="n"/>
      <c r="S1234" s="4" t="n"/>
      <c r="T1234" s="4" t="n"/>
      <c r="U1234" s="4" t="n"/>
      <c r="V1234" s="4" t="n"/>
      <c r="W1234" s="4" t="n"/>
      <c r="X1234" s="4" t="n"/>
      <c r="Y1234" s="4" t="n"/>
      <c r="Z1234" s="4" t="n"/>
      <c r="AA1234" s="4" t="n"/>
      <c r="AB1234" s="4" t="n"/>
      <c r="AC1234" s="4" t="n"/>
      <c r="AD1234" s="4" t="n"/>
      <c r="AE1234" s="4" t="n"/>
      <c r="AF1234" s="4" t="n"/>
      <c r="AG1234" s="4" t="n"/>
      <c r="AH1234" s="4" t="n"/>
      <c r="AI1234" s="4" t="n"/>
      <c r="AJ1234" s="4" t="n"/>
      <c r="AK1234" s="4" t="n"/>
      <c r="AL1234" s="4" t="n"/>
      <c r="AM1234" s="4" t="n"/>
      <c r="AN1234" s="4" t="n"/>
      <c r="AO1234" s="4" t="n"/>
      <c r="AP1234" s="4" t="n"/>
      <c r="AQ1234" s="4" t="n"/>
      <c r="AR1234" s="4" t="n"/>
      <c r="AS1234" s="4" t="n"/>
      <c r="AT1234" s="4" t="n"/>
      <c r="AU1234" s="4" t="n"/>
      <c r="AV1234" s="4" t="n"/>
      <c r="AW1234" s="4" t="n"/>
      <c r="AX1234" s="4" t="n"/>
      <c r="AY1234" s="4" t="n"/>
      <c r="AZ1234" s="4" t="n"/>
      <c r="BA1234" s="4" t="n"/>
      <c r="BB1234" s="4" t="n"/>
      <c r="BC1234" s="4" t="n"/>
      <c r="BD1234" s="4" t="n"/>
      <c r="BE1234" s="4" t="n"/>
      <c r="BF1234" s="4" t="n"/>
      <c r="BG1234" s="4" t="n"/>
      <c r="BH1234" s="4" t="n"/>
      <c r="BI1234" s="4" t="n"/>
      <c r="BJ1234" s="4" t="n"/>
      <c r="BK1234" s="4" t="n"/>
      <c r="BL1234" s="4" t="n"/>
      <c r="BM1234" s="4" t="n"/>
      <c r="BN1234" s="4" t="n"/>
      <c r="BO1234" s="4" t="n"/>
      <c r="BP1234" s="4" t="n"/>
      <c r="BQ1234" s="4" t="n"/>
      <c r="BR1234" s="4" t="n"/>
      <c r="BS1234" s="4" t="n"/>
      <c r="BT1234" s="4" t="n"/>
      <c r="BU1234" s="4" t="n"/>
      <c r="BV1234" s="4" t="n"/>
      <c r="BW1234" s="4" t="n"/>
      <c r="BX1234" s="4" t="n"/>
      <c r="BY1234" s="4" t="n"/>
      <c r="BZ1234" s="4" t="n"/>
      <c r="CA1234" s="4" t="n"/>
      <c r="CB1234" s="4" t="n"/>
      <c r="CC1234" s="4" t="n"/>
      <c r="CD1234" s="4" t="n"/>
      <c r="CE1234" s="4" t="n"/>
      <c r="CF1234" s="4" t="n"/>
      <c r="CG1234" s="4" t="n"/>
      <c r="CH1234" s="4" t="n"/>
      <c r="CI1234" s="4" t="n"/>
      <c r="CJ1234" s="4" t="n"/>
      <c r="CK1234" s="4" t="n"/>
      <c r="CL1234" s="4" t="n"/>
      <c r="CM1234" s="4" t="n"/>
      <c r="CN1234" s="4" t="n"/>
      <c r="CO1234" s="4" t="n"/>
      <c r="CP1234" s="4" t="n"/>
      <c r="CQ1234" s="4" t="n"/>
      <c r="CR1234" s="4" t="n"/>
      <c r="CS1234" s="4" t="n"/>
      <c r="CT1234" s="4" t="n"/>
      <c r="CU1234" s="4" t="n"/>
      <c r="CV1234" s="4" t="n"/>
      <c r="CW1234" s="4" t="n"/>
      <c r="CX1234" s="4" t="n"/>
      <c r="CY1234" s="4" t="n"/>
      <c r="CZ1234" s="4" t="n"/>
      <c r="DA1234" s="4" t="n"/>
      <c r="DB1234" s="4" t="n"/>
      <c r="DC1234" s="4" t="n"/>
      <c r="DD1234" s="4" t="n"/>
      <c r="DE1234" s="4" t="n"/>
      <c r="DF1234" s="4" t="n"/>
      <c r="DG1234" s="4" t="n"/>
      <c r="DH1234" s="4" t="n"/>
      <c r="DI1234" s="4" t="n"/>
      <c r="DJ1234" s="4" t="n"/>
      <c r="DK1234" s="4" t="n"/>
      <c r="DL1234" s="4" t="n"/>
      <c r="DM1234" s="4" t="n"/>
      <c r="DN1234" s="4" t="n"/>
      <c r="DO1234" s="4" t="n"/>
      <c r="DP1234" s="4" t="n"/>
      <c r="DQ1234" s="4" t="n"/>
      <c r="DR1234" s="4" t="n"/>
      <c r="DS1234" s="4" t="n"/>
      <c r="DT1234" s="4" t="n"/>
      <c r="DU1234" s="4" t="n"/>
      <c r="DV1234" s="4" t="n"/>
      <c r="DW1234" s="4" t="n"/>
      <c r="DX1234" s="4" t="n"/>
      <c r="DY1234" s="4" t="n"/>
      <c r="DZ1234" s="4" t="n"/>
      <c r="EA1234" s="4" t="n"/>
      <c r="EB1234" s="4" t="n"/>
      <c r="EC1234" s="4" t="n"/>
      <c r="ED1234" s="4" t="n"/>
      <c r="EE1234" s="4" t="n"/>
      <c r="EF1234" s="4" t="n"/>
      <c r="EG1234" s="4" t="n"/>
      <c r="EH1234" s="4" t="n"/>
      <c r="EI1234" s="4" t="n"/>
      <c r="EJ1234" s="4" t="n"/>
      <c r="EK1234" s="4" t="n"/>
      <c r="EL1234" s="4" t="n"/>
      <c r="EM1234" s="4" t="n"/>
    </row>
    <row r="1235" hidden="1" customFormat="1" s="6">
      <c r="C1235" s="4" t="n"/>
      <c r="D1235" s="4" t="n"/>
      <c r="E1235" s="4" t="n"/>
      <c r="F1235" s="4" t="n"/>
      <c r="G1235" s="4" t="n"/>
      <c r="H1235" s="4" t="n"/>
      <c r="I1235" s="4" t="n"/>
      <c r="J1235" s="4" t="n"/>
      <c r="K1235" s="4" t="n"/>
      <c r="L1235" s="4" t="n"/>
      <c r="M1235" s="4" t="n"/>
      <c r="N1235" s="4" t="n"/>
      <c r="O1235" s="4" t="n"/>
      <c r="P1235" s="4" t="n"/>
      <c r="Q1235" s="4" t="n"/>
      <c r="R1235" s="4" t="n"/>
      <c r="S1235" s="4" t="n"/>
      <c r="T1235" s="4" t="n"/>
      <c r="U1235" s="4" t="n"/>
      <c r="V1235" s="4" t="n"/>
      <c r="W1235" s="4" t="n"/>
      <c r="X1235" s="4" t="n"/>
      <c r="Y1235" s="4" t="n"/>
      <c r="Z1235" s="4" t="n"/>
      <c r="AA1235" s="4" t="n"/>
      <c r="AB1235" s="4" t="n"/>
      <c r="AC1235" s="4" t="n"/>
      <c r="AD1235" s="4" t="n"/>
      <c r="AE1235" s="4" t="n"/>
      <c r="AF1235" s="4" t="n"/>
      <c r="AG1235" s="4" t="n"/>
      <c r="AH1235" s="4" t="n"/>
      <c r="AI1235" s="4" t="n"/>
      <c r="AJ1235" s="4" t="n"/>
      <c r="AK1235" s="4" t="n"/>
      <c r="AL1235" s="4" t="n"/>
      <c r="AM1235" s="4" t="n"/>
      <c r="AN1235" s="4" t="n"/>
      <c r="AO1235" s="4" t="n"/>
      <c r="AP1235" s="4" t="n"/>
      <c r="AQ1235" s="4" t="n"/>
      <c r="AR1235" s="4" t="n"/>
      <c r="AS1235" s="4" t="n"/>
      <c r="AT1235" s="4" t="n"/>
      <c r="AU1235" s="4" t="n"/>
      <c r="AV1235" s="4" t="n"/>
      <c r="AW1235" s="4" t="n"/>
      <c r="AX1235" s="4" t="n"/>
      <c r="AY1235" s="4" t="n"/>
      <c r="AZ1235" s="4" t="n"/>
      <c r="BA1235" s="4" t="n"/>
      <c r="BB1235" s="4" t="n"/>
      <c r="BC1235" s="4" t="n"/>
      <c r="BD1235" s="4" t="n"/>
      <c r="BE1235" s="4" t="n"/>
      <c r="BF1235" s="4" t="n"/>
      <c r="BG1235" s="4" t="n"/>
      <c r="BH1235" s="4" t="n"/>
      <c r="BI1235" s="4" t="n"/>
      <c r="BJ1235" s="4" t="n"/>
      <c r="BK1235" s="4" t="n"/>
      <c r="BL1235" s="4" t="n"/>
      <c r="BM1235" s="4" t="n"/>
      <c r="BN1235" s="4" t="n"/>
      <c r="BO1235" s="4" t="n"/>
      <c r="BP1235" s="4" t="n"/>
      <c r="BQ1235" s="4" t="n"/>
      <c r="BR1235" s="4" t="n"/>
      <c r="BS1235" s="4" t="n"/>
      <c r="BT1235" s="4" t="n"/>
      <c r="BU1235" s="4" t="n"/>
      <c r="BV1235" s="4" t="n"/>
      <c r="BW1235" s="4" t="n"/>
      <c r="BX1235" s="4" t="n"/>
      <c r="BY1235" s="4" t="n"/>
      <c r="BZ1235" s="4" t="n"/>
      <c r="CA1235" s="4" t="n"/>
      <c r="CB1235" s="4" t="n"/>
      <c r="CC1235" s="4" t="n"/>
      <c r="CD1235" s="4" t="n"/>
      <c r="CE1235" s="4" t="n"/>
      <c r="CF1235" s="4" t="n"/>
      <c r="CG1235" s="4" t="n"/>
      <c r="CH1235" s="4" t="n"/>
      <c r="CI1235" s="4" t="n"/>
      <c r="CJ1235" s="4" t="n"/>
      <c r="CK1235" s="4" t="n"/>
      <c r="CL1235" s="4" t="n"/>
      <c r="CM1235" s="4" t="n"/>
      <c r="CN1235" s="4" t="n"/>
      <c r="CO1235" s="4" t="n"/>
      <c r="CP1235" s="4" t="n"/>
      <c r="CQ1235" s="4" t="n"/>
      <c r="CR1235" s="4" t="n"/>
      <c r="CS1235" s="4" t="n"/>
      <c r="CT1235" s="4" t="n"/>
      <c r="CU1235" s="4" t="n"/>
      <c r="CV1235" s="4" t="n"/>
      <c r="CW1235" s="4" t="n"/>
      <c r="CX1235" s="4" t="n"/>
      <c r="CY1235" s="4" t="n"/>
      <c r="CZ1235" s="4" t="n"/>
      <c r="DA1235" s="4" t="n"/>
      <c r="DB1235" s="4" t="n"/>
      <c r="DC1235" s="4" t="n"/>
      <c r="DD1235" s="4" t="n"/>
      <c r="DE1235" s="4" t="n"/>
      <c r="DF1235" s="4" t="n"/>
      <c r="DG1235" s="4" t="n"/>
      <c r="DH1235" s="4" t="n"/>
      <c r="DI1235" s="4" t="n"/>
      <c r="DJ1235" s="4" t="n"/>
      <c r="DK1235" s="4" t="n"/>
      <c r="DL1235" s="4" t="n"/>
      <c r="DM1235" s="4" t="n"/>
      <c r="DN1235" s="4" t="n"/>
      <c r="DO1235" s="4" t="n"/>
      <c r="DP1235" s="4" t="n"/>
      <c r="DQ1235" s="4" t="n"/>
      <c r="DR1235" s="4" t="n"/>
      <c r="DS1235" s="4" t="n"/>
      <c r="DT1235" s="4" t="n"/>
      <c r="DU1235" s="4" t="n"/>
      <c r="DV1235" s="4" t="n"/>
      <c r="DW1235" s="4" t="n"/>
      <c r="DX1235" s="4" t="n"/>
      <c r="DY1235" s="4" t="n"/>
      <c r="DZ1235" s="4" t="n"/>
      <c r="EA1235" s="4" t="n"/>
      <c r="EB1235" s="4" t="n"/>
      <c r="EC1235" s="4" t="n"/>
      <c r="ED1235" s="4" t="n"/>
      <c r="EE1235" s="4" t="n"/>
      <c r="EF1235" s="4" t="n"/>
      <c r="EG1235" s="4" t="n"/>
      <c r="EH1235" s="4" t="n"/>
      <c r="EI1235" s="4" t="n"/>
      <c r="EJ1235" s="4" t="n"/>
      <c r="EK1235" s="4" t="n"/>
      <c r="EL1235" s="4" t="n"/>
      <c r="EM1235" s="4" t="n"/>
    </row>
    <row r="1236" hidden="1" customFormat="1" s="6">
      <c r="C1236" s="4" t="n"/>
      <c r="D1236" s="4" t="n"/>
      <c r="E1236" s="4" t="n"/>
      <c r="F1236" s="4" t="n"/>
      <c r="G1236" s="4" t="n"/>
      <c r="H1236" s="4" t="n"/>
      <c r="I1236" s="4" t="n"/>
      <c r="J1236" s="4" t="n"/>
      <c r="K1236" s="4" t="n"/>
      <c r="L1236" s="4" t="n"/>
      <c r="M1236" s="4" t="n"/>
      <c r="N1236" s="4" t="n"/>
      <c r="O1236" s="4" t="n"/>
      <c r="P1236" s="4" t="n"/>
      <c r="Q1236" s="4" t="n"/>
      <c r="R1236" s="4" t="n"/>
      <c r="S1236" s="4" t="n"/>
      <c r="T1236" s="4" t="n"/>
      <c r="U1236" s="4" t="n"/>
      <c r="V1236" s="4" t="n"/>
      <c r="W1236" s="4" t="n"/>
      <c r="X1236" s="4" t="n"/>
      <c r="Y1236" s="4" t="n"/>
      <c r="Z1236" s="4" t="n"/>
      <c r="AA1236" s="4" t="n"/>
      <c r="AB1236" s="4" t="n"/>
      <c r="AC1236" s="4" t="n"/>
      <c r="AD1236" s="4" t="n"/>
      <c r="AE1236" s="4" t="n"/>
      <c r="AF1236" s="4" t="n"/>
      <c r="AG1236" s="4" t="n"/>
      <c r="AH1236" s="4" t="n"/>
      <c r="AI1236" s="4" t="n"/>
      <c r="AJ1236" s="4" t="n"/>
      <c r="AK1236" s="4" t="n"/>
      <c r="AL1236" s="4" t="n"/>
      <c r="AM1236" s="4" t="n"/>
      <c r="AN1236" s="4" t="n"/>
      <c r="AO1236" s="4" t="n"/>
      <c r="AP1236" s="4" t="n"/>
      <c r="AQ1236" s="4" t="n"/>
      <c r="AR1236" s="4" t="n"/>
      <c r="AS1236" s="4" t="n"/>
      <c r="AT1236" s="4" t="n"/>
      <c r="AU1236" s="4" t="n"/>
      <c r="AV1236" s="4" t="n"/>
      <c r="AW1236" s="4" t="n"/>
      <c r="AX1236" s="4" t="n"/>
      <c r="AY1236" s="4" t="n"/>
      <c r="AZ1236" s="4" t="n"/>
      <c r="BA1236" s="4" t="n"/>
      <c r="BB1236" s="4" t="n"/>
      <c r="BC1236" s="4" t="n"/>
      <c r="BD1236" s="4" t="n"/>
      <c r="BE1236" s="4" t="n"/>
      <c r="BF1236" s="4" t="n"/>
      <c r="BG1236" s="4" t="n"/>
      <c r="BH1236" s="4" t="n"/>
      <c r="BI1236" s="4" t="n"/>
      <c r="BJ1236" s="4" t="n"/>
      <c r="BK1236" s="4" t="n"/>
      <c r="BL1236" s="4" t="n"/>
      <c r="BM1236" s="4" t="n"/>
      <c r="BN1236" s="4" t="n"/>
      <c r="BO1236" s="4" t="n"/>
      <c r="BP1236" s="4" t="n"/>
      <c r="BQ1236" s="4" t="n"/>
      <c r="BR1236" s="4" t="n"/>
      <c r="BS1236" s="4" t="n"/>
      <c r="BT1236" s="4" t="n"/>
      <c r="BU1236" s="4" t="n"/>
      <c r="BV1236" s="4" t="n"/>
      <c r="BW1236" s="4" t="n"/>
      <c r="BX1236" s="4" t="n"/>
      <c r="BY1236" s="4" t="n"/>
      <c r="BZ1236" s="4" t="n"/>
      <c r="CA1236" s="4" t="n"/>
      <c r="CB1236" s="4" t="n"/>
      <c r="CC1236" s="4" t="n"/>
      <c r="CD1236" s="4" t="n"/>
      <c r="CE1236" s="4" t="n"/>
      <c r="CF1236" s="4" t="n"/>
      <c r="CG1236" s="4" t="n"/>
      <c r="CH1236" s="4" t="n"/>
      <c r="CI1236" s="4" t="n"/>
      <c r="CJ1236" s="4" t="n"/>
      <c r="CK1236" s="4" t="n"/>
      <c r="CL1236" s="4" t="n"/>
      <c r="CM1236" s="4" t="n"/>
      <c r="CN1236" s="4" t="n"/>
      <c r="CO1236" s="4" t="n"/>
      <c r="CP1236" s="4" t="n"/>
      <c r="CQ1236" s="4" t="n"/>
      <c r="CR1236" s="4" t="n"/>
      <c r="CS1236" s="4" t="n"/>
      <c r="CT1236" s="4" t="n"/>
      <c r="CU1236" s="4" t="n"/>
      <c r="CV1236" s="4" t="n"/>
      <c r="CW1236" s="4" t="n"/>
      <c r="CX1236" s="4" t="n"/>
      <c r="CY1236" s="4" t="n"/>
      <c r="CZ1236" s="4" t="n"/>
      <c r="DA1236" s="4" t="n"/>
      <c r="DB1236" s="4" t="n"/>
      <c r="DC1236" s="4" t="n"/>
      <c r="DD1236" s="4" t="n"/>
      <c r="DE1236" s="4" t="n"/>
      <c r="DF1236" s="4" t="n"/>
      <c r="DG1236" s="4" t="n"/>
      <c r="DH1236" s="4" t="n"/>
      <c r="DI1236" s="4" t="n"/>
      <c r="DJ1236" s="4" t="n"/>
      <c r="DK1236" s="4" t="n"/>
      <c r="DL1236" s="4" t="n"/>
      <c r="DM1236" s="4" t="n"/>
      <c r="DN1236" s="4" t="n"/>
      <c r="DO1236" s="4" t="n"/>
      <c r="DP1236" s="4" t="n"/>
      <c r="DQ1236" s="4" t="n"/>
      <c r="DR1236" s="4" t="n"/>
      <c r="DS1236" s="4" t="n"/>
      <c r="DT1236" s="4" t="n"/>
      <c r="DU1236" s="4" t="n"/>
      <c r="DV1236" s="4" t="n"/>
      <c r="DW1236" s="4" t="n"/>
      <c r="DX1236" s="4" t="n"/>
      <c r="DY1236" s="4" t="n"/>
      <c r="DZ1236" s="4" t="n"/>
      <c r="EA1236" s="4" t="n"/>
      <c r="EB1236" s="4" t="n"/>
      <c r="EC1236" s="4" t="n"/>
      <c r="ED1236" s="4" t="n"/>
      <c r="EE1236" s="4" t="n"/>
      <c r="EF1236" s="4" t="n"/>
      <c r="EG1236" s="4" t="n"/>
      <c r="EH1236" s="4" t="n"/>
      <c r="EI1236" s="4" t="n"/>
      <c r="EJ1236" s="4" t="n"/>
      <c r="EK1236" s="4" t="n"/>
      <c r="EL1236" s="4" t="n"/>
      <c r="EM1236" s="4" t="n"/>
    </row>
    <row r="1237" hidden="1" customFormat="1" s="6">
      <c r="C1237" s="4" t="n"/>
      <c r="D1237" s="4" t="n"/>
      <c r="E1237" s="4" t="n"/>
      <c r="F1237" s="4" t="n"/>
      <c r="G1237" s="4" t="n"/>
      <c r="H1237" s="4" t="n"/>
      <c r="I1237" s="4" t="n"/>
      <c r="J1237" s="4" t="n"/>
      <c r="K1237" s="4" t="n"/>
      <c r="L1237" s="4" t="n"/>
      <c r="M1237" s="4" t="n"/>
      <c r="N1237" s="4" t="n"/>
      <c r="O1237" s="4" t="n"/>
      <c r="P1237" s="4" t="n"/>
      <c r="Q1237" s="4" t="n"/>
      <c r="R1237" s="4" t="n"/>
      <c r="S1237" s="4" t="n"/>
      <c r="T1237" s="4" t="n"/>
      <c r="U1237" s="4" t="n"/>
      <c r="V1237" s="4" t="n"/>
      <c r="W1237" s="4" t="n"/>
      <c r="X1237" s="4" t="n"/>
      <c r="Y1237" s="4" t="n"/>
      <c r="Z1237" s="4" t="n"/>
      <c r="AA1237" s="4" t="n"/>
      <c r="AB1237" s="4" t="n"/>
      <c r="AC1237" s="4" t="n"/>
      <c r="AD1237" s="4" t="n"/>
      <c r="AE1237" s="4" t="n"/>
      <c r="AF1237" s="4" t="n"/>
      <c r="AG1237" s="4" t="n"/>
      <c r="AH1237" s="4" t="n"/>
      <c r="AI1237" s="4" t="n"/>
      <c r="AJ1237" s="4" t="n"/>
      <c r="AK1237" s="4" t="n"/>
      <c r="AL1237" s="4" t="n"/>
      <c r="AM1237" s="4" t="n"/>
      <c r="AN1237" s="4" t="n"/>
      <c r="AO1237" s="4" t="n"/>
      <c r="AP1237" s="4" t="n"/>
      <c r="AQ1237" s="4" t="n"/>
      <c r="AR1237" s="4" t="n"/>
      <c r="AS1237" s="4" t="n"/>
      <c r="AT1237" s="4" t="n"/>
      <c r="AU1237" s="4" t="n"/>
      <c r="AV1237" s="4" t="n"/>
      <c r="AW1237" s="4" t="n"/>
      <c r="AX1237" s="4" t="n"/>
      <c r="AY1237" s="4" t="n"/>
      <c r="AZ1237" s="4" t="n"/>
      <c r="BA1237" s="4" t="n"/>
      <c r="BB1237" s="4" t="n"/>
      <c r="BC1237" s="4" t="n"/>
      <c r="BD1237" s="4" t="n"/>
      <c r="BE1237" s="4" t="n"/>
      <c r="BF1237" s="4" t="n"/>
      <c r="BG1237" s="4" t="n"/>
      <c r="BH1237" s="4" t="n"/>
      <c r="BI1237" s="4" t="n"/>
      <c r="BJ1237" s="4" t="n"/>
      <c r="BK1237" s="4" t="n"/>
      <c r="BL1237" s="4" t="n"/>
      <c r="BM1237" s="4" t="n"/>
      <c r="BN1237" s="4" t="n"/>
      <c r="BO1237" s="4" t="n"/>
      <c r="BP1237" s="4" t="n"/>
      <c r="BQ1237" s="4" t="n"/>
      <c r="BR1237" s="4" t="n"/>
      <c r="BS1237" s="4" t="n"/>
      <c r="BT1237" s="4" t="n"/>
      <c r="BU1237" s="4" t="n"/>
      <c r="BV1237" s="4" t="n"/>
      <c r="BW1237" s="4" t="n"/>
      <c r="BX1237" s="4" t="n"/>
      <c r="BY1237" s="4" t="n"/>
      <c r="BZ1237" s="4" t="n"/>
      <c r="CA1237" s="4" t="n"/>
      <c r="CB1237" s="4" t="n"/>
      <c r="CC1237" s="4" t="n"/>
      <c r="CD1237" s="4" t="n"/>
      <c r="CE1237" s="4" t="n"/>
      <c r="CF1237" s="4" t="n"/>
      <c r="CG1237" s="4" t="n"/>
      <c r="CH1237" s="4" t="n"/>
      <c r="CI1237" s="4" t="n"/>
      <c r="CJ1237" s="4" t="n"/>
      <c r="CK1237" s="4" t="n"/>
      <c r="CL1237" s="4" t="n"/>
      <c r="CM1237" s="4" t="n"/>
      <c r="CN1237" s="4" t="n"/>
      <c r="CO1237" s="4" t="n"/>
      <c r="CP1237" s="4" t="n"/>
      <c r="CQ1237" s="4" t="n"/>
      <c r="CR1237" s="4" t="n"/>
      <c r="CS1237" s="4" t="n"/>
      <c r="CT1237" s="4" t="n"/>
      <c r="CU1237" s="4" t="n"/>
      <c r="CV1237" s="4" t="n"/>
      <c r="CW1237" s="4" t="n"/>
      <c r="CX1237" s="4" t="n"/>
      <c r="CY1237" s="4" t="n"/>
      <c r="CZ1237" s="4" t="n"/>
      <c r="DA1237" s="4" t="n"/>
      <c r="DB1237" s="4" t="n"/>
      <c r="DC1237" s="4" t="n"/>
      <c r="DD1237" s="4" t="n"/>
      <c r="DE1237" s="4" t="n"/>
      <c r="DF1237" s="4" t="n"/>
      <c r="DG1237" s="4" t="n"/>
      <c r="DH1237" s="4" t="n"/>
      <c r="DI1237" s="4" t="n"/>
      <c r="DJ1237" s="4" t="n"/>
      <c r="DK1237" s="4" t="n"/>
      <c r="DL1237" s="4" t="n"/>
      <c r="DM1237" s="4" t="n"/>
      <c r="DN1237" s="4" t="n"/>
      <c r="DO1237" s="4" t="n"/>
      <c r="DP1237" s="4" t="n"/>
      <c r="DQ1237" s="4" t="n"/>
      <c r="DR1237" s="4" t="n"/>
      <c r="DS1237" s="4" t="n"/>
      <c r="DT1237" s="4" t="n"/>
      <c r="DU1237" s="4" t="n"/>
      <c r="DV1237" s="4" t="n"/>
      <c r="DW1237" s="4" t="n"/>
      <c r="DX1237" s="4" t="n"/>
      <c r="DY1237" s="4" t="n"/>
      <c r="DZ1237" s="4" t="n"/>
      <c r="EA1237" s="4" t="n"/>
      <c r="EB1237" s="4" t="n"/>
      <c r="EC1237" s="4" t="n"/>
      <c r="ED1237" s="4" t="n"/>
      <c r="EE1237" s="4" t="n"/>
      <c r="EF1237" s="4" t="n"/>
      <c r="EG1237" s="4" t="n"/>
      <c r="EH1237" s="4" t="n"/>
      <c r="EI1237" s="4" t="n"/>
      <c r="EJ1237" s="4" t="n"/>
      <c r="EK1237" s="4" t="n"/>
      <c r="EL1237" s="4" t="n"/>
      <c r="EM1237" s="4" t="n"/>
    </row>
    <row r="1238" hidden="1" customFormat="1" s="6">
      <c r="C1238" s="4" t="n"/>
      <c r="D1238" s="4" t="n"/>
      <c r="E1238" s="4" t="n"/>
      <c r="F1238" s="4" t="n"/>
      <c r="G1238" s="4" t="n"/>
      <c r="H1238" s="4" t="n"/>
      <c r="I1238" s="4" t="n"/>
      <c r="J1238" s="4" t="n"/>
      <c r="K1238" s="4" t="n"/>
      <c r="L1238" s="4" t="n"/>
      <c r="M1238" s="4" t="n"/>
      <c r="N1238" s="4" t="n"/>
      <c r="O1238" s="4" t="n"/>
      <c r="P1238" s="4" t="n"/>
      <c r="Q1238" s="4" t="n"/>
      <c r="R1238" s="4" t="n"/>
      <c r="S1238" s="4" t="n"/>
      <c r="T1238" s="4" t="n"/>
      <c r="U1238" s="4" t="n"/>
      <c r="V1238" s="4" t="n"/>
      <c r="W1238" s="4" t="n"/>
      <c r="X1238" s="4" t="n"/>
      <c r="Y1238" s="4" t="n"/>
      <c r="Z1238" s="4" t="n"/>
      <c r="AA1238" s="4" t="n"/>
      <c r="AB1238" s="4" t="n"/>
      <c r="AC1238" s="4" t="n"/>
      <c r="AD1238" s="4" t="n"/>
      <c r="AE1238" s="4" t="n"/>
      <c r="AF1238" s="4" t="n"/>
      <c r="AG1238" s="4" t="n"/>
      <c r="AH1238" s="4" t="n"/>
      <c r="AI1238" s="4" t="n"/>
      <c r="AJ1238" s="4" t="n"/>
      <c r="AK1238" s="4" t="n"/>
      <c r="AL1238" s="4" t="n"/>
      <c r="AM1238" s="4" t="n"/>
      <c r="AN1238" s="4" t="n"/>
      <c r="AO1238" s="4" t="n"/>
      <c r="AP1238" s="4" t="n"/>
      <c r="AQ1238" s="4" t="n"/>
      <c r="AR1238" s="4" t="n"/>
      <c r="AS1238" s="4" t="n"/>
      <c r="AT1238" s="4" t="n"/>
      <c r="AU1238" s="4" t="n"/>
      <c r="AV1238" s="4" t="n"/>
      <c r="AW1238" s="4" t="n"/>
      <c r="AX1238" s="4" t="n"/>
      <c r="AY1238" s="4" t="n"/>
      <c r="AZ1238" s="4" t="n"/>
      <c r="BA1238" s="4" t="n"/>
      <c r="BB1238" s="4" t="n"/>
      <c r="BC1238" s="4" t="n"/>
      <c r="BD1238" s="4" t="n"/>
      <c r="BE1238" s="4" t="n"/>
      <c r="BF1238" s="4" t="n"/>
      <c r="BG1238" s="4" t="n"/>
      <c r="BH1238" s="4" t="n"/>
      <c r="BI1238" s="4" t="n"/>
      <c r="BJ1238" s="4" t="n"/>
      <c r="BK1238" s="4" t="n"/>
      <c r="BL1238" s="4" t="n"/>
      <c r="BM1238" s="4" t="n"/>
      <c r="BN1238" s="4" t="n"/>
      <c r="BO1238" s="4" t="n"/>
      <c r="BP1238" s="4" t="n"/>
      <c r="BQ1238" s="4" t="n"/>
      <c r="BR1238" s="4" t="n"/>
      <c r="BS1238" s="4" t="n"/>
      <c r="BT1238" s="4" t="n"/>
      <c r="BU1238" s="4" t="n"/>
      <c r="BV1238" s="4" t="n"/>
      <c r="BW1238" s="4" t="n"/>
      <c r="BX1238" s="4" t="n"/>
      <c r="BY1238" s="4" t="n"/>
      <c r="BZ1238" s="4" t="n"/>
      <c r="CA1238" s="4" t="n"/>
      <c r="CB1238" s="4" t="n"/>
      <c r="CC1238" s="4" t="n"/>
      <c r="CD1238" s="4" t="n"/>
      <c r="CE1238" s="4" t="n"/>
      <c r="CF1238" s="4" t="n"/>
      <c r="CG1238" s="4" t="n"/>
      <c r="CH1238" s="4" t="n"/>
      <c r="CI1238" s="4" t="n"/>
      <c r="CJ1238" s="4" t="n"/>
      <c r="CK1238" s="4" t="n"/>
      <c r="CL1238" s="4" t="n"/>
      <c r="CM1238" s="4" t="n"/>
      <c r="CN1238" s="4" t="n"/>
      <c r="CO1238" s="4" t="n"/>
      <c r="CP1238" s="4" t="n"/>
      <c r="CQ1238" s="4" t="n"/>
      <c r="CR1238" s="4" t="n"/>
      <c r="CS1238" s="4" t="n"/>
      <c r="CT1238" s="4" t="n"/>
      <c r="CU1238" s="4" t="n"/>
      <c r="CV1238" s="4" t="n"/>
      <c r="CW1238" s="4" t="n"/>
      <c r="CX1238" s="4" t="n"/>
      <c r="CY1238" s="4" t="n"/>
      <c r="CZ1238" s="4" t="n"/>
      <c r="DA1238" s="4" t="n"/>
      <c r="DB1238" s="4" t="n"/>
      <c r="DC1238" s="4" t="n"/>
      <c r="DD1238" s="4" t="n"/>
      <c r="DE1238" s="4" t="n"/>
      <c r="DF1238" s="4" t="n"/>
      <c r="DG1238" s="4" t="n"/>
      <c r="DH1238" s="4" t="n"/>
      <c r="DI1238" s="4" t="n"/>
      <c r="DJ1238" s="4" t="n"/>
      <c r="DK1238" s="4" t="n"/>
      <c r="DL1238" s="4" t="n"/>
      <c r="DM1238" s="4" t="n"/>
      <c r="DN1238" s="4" t="n"/>
      <c r="DO1238" s="4" t="n"/>
      <c r="DP1238" s="4" t="n"/>
      <c r="DQ1238" s="4" t="n"/>
      <c r="DR1238" s="4" t="n"/>
      <c r="DS1238" s="4" t="n"/>
      <c r="DT1238" s="4" t="n"/>
      <c r="DU1238" s="4" t="n"/>
      <c r="DV1238" s="4" t="n"/>
      <c r="DW1238" s="4" t="n"/>
      <c r="DX1238" s="4" t="n"/>
      <c r="DY1238" s="4" t="n"/>
      <c r="DZ1238" s="4" t="n"/>
      <c r="EA1238" s="4" t="n"/>
      <c r="EB1238" s="4" t="n"/>
      <c r="EC1238" s="4" t="n"/>
      <c r="ED1238" s="4" t="n"/>
      <c r="EE1238" s="4" t="n"/>
      <c r="EF1238" s="4" t="n"/>
      <c r="EG1238" s="4" t="n"/>
      <c r="EH1238" s="4" t="n"/>
      <c r="EI1238" s="4" t="n"/>
      <c r="EJ1238" s="4" t="n"/>
      <c r="EK1238" s="4" t="n"/>
      <c r="EL1238" s="4" t="n"/>
      <c r="EM1238" s="4" t="n"/>
    </row>
    <row r="1239" hidden="1" customFormat="1" s="6">
      <c r="C1239" s="4" t="n"/>
      <c r="D1239" s="4" t="n"/>
      <c r="E1239" s="4" t="n"/>
      <c r="F1239" s="4" t="n"/>
      <c r="G1239" s="4" t="n"/>
      <c r="H1239" s="4" t="n"/>
      <c r="I1239" s="4" t="n"/>
      <c r="J1239" s="4" t="n"/>
      <c r="K1239" s="4" t="n"/>
      <c r="L1239" s="4" t="n"/>
      <c r="M1239" s="4" t="n"/>
      <c r="N1239" s="4" t="n"/>
      <c r="O1239" s="4" t="n"/>
      <c r="P1239" s="4" t="n"/>
      <c r="Q1239" s="4" t="n"/>
      <c r="R1239" s="4" t="n"/>
      <c r="S1239" s="4" t="n"/>
      <c r="T1239" s="4" t="n"/>
      <c r="U1239" s="4" t="n"/>
      <c r="V1239" s="4" t="n"/>
      <c r="W1239" s="4" t="n"/>
      <c r="X1239" s="4" t="n"/>
      <c r="Y1239" s="4" t="n"/>
      <c r="Z1239" s="4" t="n"/>
      <c r="AA1239" s="4" t="n"/>
      <c r="AB1239" s="4" t="n"/>
      <c r="AC1239" s="4" t="n"/>
      <c r="AD1239" s="4" t="n"/>
      <c r="AE1239" s="4" t="n"/>
      <c r="AF1239" s="4" t="n"/>
      <c r="AG1239" s="4" t="n"/>
      <c r="AH1239" s="4" t="n"/>
      <c r="AI1239" s="4" t="n"/>
      <c r="AJ1239" s="4" t="n"/>
      <c r="AK1239" s="4" t="n"/>
      <c r="AL1239" s="4" t="n"/>
      <c r="AM1239" s="4" t="n"/>
      <c r="AN1239" s="4" t="n"/>
      <c r="AO1239" s="4" t="n"/>
      <c r="AP1239" s="4" t="n"/>
      <c r="AQ1239" s="4" t="n"/>
      <c r="AR1239" s="4" t="n"/>
      <c r="AS1239" s="4" t="n"/>
      <c r="AT1239" s="4" t="n"/>
      <c r="AU1239" s="4" t="n"/>
      <c r="AV1239" s="4" t="n"/>
      <c r="AW1239" s="4" t="n"/>
      <c r="AX1239" s="4" t="n"/>
      <c r="AY1239" s="4" t="n"/>
      <c r="AZ1239" s="4" t="n"/>
      <c r="BA1239" s="4" t="n"/>
      <c r="BB1239" s="4" t="n"/>
      <c r="BC1239" s="4" t="n"/>
      <c r="BD1239" s="4" t="n"/>
      <c r="BE1239" s="4" t="n"/>
      <c r="BF1239" s="4" t="n"/>
      <c r="BG1239" s="4" t="n"/>
      <c r="BH1239" s="4" t="n"/>
      <c r="BI1239" s="4" t="n"/>
      <c r="BJ1239" s="4" t="n"/>
      <c r="BK1239" s="4" t="n"/>
      <c r="BL1239" s="4" t="n"/>
      <c r="BM1239" s="4" t="n"/>
      <c r="BN1239" s="4" t="n"/>
      <c r="BO1239" s="4" t="n"/>
      <c r="BP1239" s="4" t="n"/>
      <c r="BQ1239" s="4" t="n"/>
      <c r="BR1239" s="4" t="n"/>
      <c r="BS1239" s="4" t="n"/>
      <c r="BT1239" s="4" t="n"/>
      <c r="BU1239" s="4" t="n"/>
      <c r="BV1239" s="4" t="n"/>
      <c r="BW1239" s="4" t="n"/>
      <c r="BX1239" s="4" t="n"/>
      <c r="BY1239" s="4" t="n"/>
      <c r="BZ1239" s="4" t="n"/>
      <c r="CA1239" s="4" t="n"/>
      <c r="CB1239" s="4" t="n"/>
      <c r="CC1239" s="4" t="n"/>
      <c r="CD1239" s="4" t="n"/>
      <c r="CE1239" s="4" t="n"/>
      <c r="CF1239" s="4" t="n"/>
      <c r="CG1239" s="4" t="n"/>
      <c r="CH1239" s="4" t="n"/>
      <c r="CI1239" s="4" t="n"/>
      <c r="CJ1239" s="4" t="n"/>
      <c r="CK1239" s="4" t="n"/>
      <c r="CL1239" s="4" t="n"/>
      <c r="CM1239" s="4" t="n"/>
      <c r="CN1239" s="4" t="n"/>
      <c r="CO1239" s="4" t="n"/>
      <c r="CP1239" s="4" t="n"/>
      <c r="CQ1239" s="4" t="n"/>
      <c r="CR1239" s="4" t="n"/>
      <c r="CS1239" s="4" t="n"/>
      <c r="CT1239" s="4" t="n"/>
      <c r="CU1239" s="4" t="n"/>
      <c r="CV1239" s="4" t="n"/>
      <c r="CW1239" s="4" t="n"/>
      <c r="CX1239" s="4" t="n"/>
      <c r="CY1239" s="4" t="n"/>
      <c r="CZ1239" s="4" t="n"/>
      <c r="DA1239" s="4" t="n"/>
      <c r="DB1239" s="4" t="n"/>
      <c r="DC1239" s="4" t="n"/>
      <c r="DD1239" s="4" t="n"/>
      <c r="DE1239" s="4" t="n"/>
      <c r="DF1239" s="4" t="n"/>
      <c r="DG1239" s="4" t="n"/>
      <c r="DH1239" s="4" t="n"/>
      <c r="DI1239" s="4" t="n"/>
      <c r="DJ1239" s="4" t="n"/>
      <c r="DK1239" s="4" t="n"/>
      <c r="DL1239" s="4" t="n"/>
      <c r="DM1239" s="4" t="n"/>
      <c r="DN1239" s="4" t="n"/>
      <c r="DO1239" s="4" t="n"/>
      <c r="DP1239" s="4" t="n"/>
      <c r="DQ1239" s="4" t="n"/>
      <c r="DR1239" s="4" t="n"/>
      <c r="DS1239" s="4" t="n"/>
      <c r="DT1239" s="4" t="n"/>
      <c r="DU1239" s="4" t="n"/>
      <c r="DV1239" s="4" t="n"/>
      <c r="DW1239" s="4" t="n"/>
      <c r="DX1239" s="4" t="n"/>
      <c r="DY1239" s="4" t="n"/>
      <c r="DZ1239" s="4" t="n"/>
      <c r="EA1239" s="4" t="n"/>
      <c r="EB1239" s="4" t="n"/>
      <c r="EC1239" s="4" t="n"/>
      <c r="ED1239" s="4" t="n"/>
      <c r="EE1239" s="4" t="n"/>
      <c r="EF1239" s="4" t="n"/>
      <c r="EG1239" s="4" t="n"/>
      <c r="EH1239" s="4" t="n"/>
      <c r="EI1239" s="4" t="n"/>
      <c r="EJ1239" s="4" t="n"/>
      <c r="EK1239" s="4" t="n"/>
      <c r="EL1239" s="4" t="n"/>
      <c r="EM1239" s="4" t="n"/>
    </row>
    <row r="1240" hidden="1" customFormat="1" s="6">
      <c r="C1240" s="4" t="n"/>
      <c r="D1240" s="4" t="n"/>
      <c r="E1240" s="4" t="n"/>
      <c r="F1240" s="4" t="n"/>
      <c r="G1240" s="4" t="n"/>
      <c r="H1240" s="4" t="n"/>
      <c r="I1240" s="4" t="n"/>
      <c r="J1240" s="4" t="n"/>
      <c r="K1240" s="4" t="n"/>
      <c r="L1240" s="4" t="n"/>
      <c r="M1240" s="4" t="n"/>
      <c r="N1240" s="4" t="n"/>
      <c r="O1240" s="4" t="n"/>
      <c r="P1240" s="4" t="n"/>
      <c r="Q1240" s="4" t="n"/>
      <c r="R1240" s="4" t="n"/>
      <c r="S1240" s="4" t="n"/>
      <c r="T1240" s="4" t="n"/>
      <c r="U1240" s="4" t="n"/>
      <c r="V1240" s="4" t="n"/>
      <c r="W1240" s="4" t="n"/>
      <c r="X1240" s="4" t="n"/>
      <c r="Y1240" s="4" t="n"/>
      <c r="Z1240" s="4" t="n"/>
      <c r="AA1240" s="4" t="n"/>
      <c r="AB1240" s="4" t="n"/>
      <c r="AC1240" s="4" t="n"/>
      <c r="AD1240" s="4" t="n"/>
      <c r="AE1240" s="4" t="n"/>
      <c r="AF1240" s="4" t="n"/>
      <c r="AG1240" s="4" t="n"/>
      <c r="AH1240" s="4" t="n"/>
      <c r="AI1240" s="4" t="n"/>
      <c r="AJ1240" s="4" t="n"/>
      <c r="AK1240" s="4" t="n"/>
      <c r="AL1240" s="4" t="n"/>
      <c r="AM1240" s="4" t="n"/>
      <c r="AN1240" s="4" t="n"/>
      <c r="AO1240" s="4" t="n"/>
      <c r="AP1240" s="4" t="n"/>
      <c r="AQ1240" s="4" t="n"/>
      <c r="AR1240" s="4" t="n"/>
      <c r="AS1240" s="4" t="n"/>
      <c r="AT1240" s="4" t="n"/>
      <c r="AU1240" s="4" t="n"/>
      <c r="AV1240" s="4" t="n"/>
      <c r="AW1240" s="4" t="n"/>
      <c r="AX1240" s="4" t="n"/>
      <c r="AY1240" s="4" t="n"/>
      <c r="AZ1240" s="4" t="n"/>
      <c r="BA1240" s="4" t="n"/>
      <c r="BB1240" s="4" t="n"/>
      <c r="BC1240" s="4" t="n"/>
      <c r="BD1240" s="4" t="n"/>
      <c r="BE1240" s="4" t="n"/>
      <c r="BF1240" s="4" t="n"/>
      <c r="BG1240" s="4" t="n"/>
      <c r="BH1240" s="4" t="n"/>
      <c r="BI1240" s="4" t="n"/>
      <c r="BJ1240" s="4" t="n"/>
      <c r="BK1240" s="4" t="n"/>
      <c r="BL1240" s="4" t="n"/>
      <c r="BM1240" s="4" t="n"/>
      <c r="BN1240" s="4" t="n"/>
      <c r="BO1240" s="4" t="n"/>
      <c r="BP1240" s="4" t="n"/>
      <c r="BQ1240" s="4" t="n"/>
      <c r="BR1240" s="4" t="n"/>
      <c r="BS1240" s="4" t="n"/>
      <c r="BT1240" s="4" t="n"/>
      <c r="BU1240" s="4" t="n"/>
      <c r="BV1240" s="4" t="n"/>
      <c r="BW1240" s="4" t="n"/>
      <c r="BX1240" s="4" t="n"/>
      <c r="BY1240" s="4" t="n"/>
      <c r="BZ1240" s="4" t="n"/>
      <c r="CA1240" s="4" t="n"/>
      <c r="CB1240" s="4" t="n"/>
      <c r="CC1240" s="4" t="n"/>
      <c r="CD1240" s="4" t="n"/>
      <c r="CE1240" s="4" t="n"/>
      <c r="CF1240" s="4" t="n"/>
      <c r="CG1240" s="4" t="n"/>
      <c r="CH1240" s="4" t="n"/>
      <c r="CI1240" s="4" t="n"/>
      <c r="CJ1240" s="4" t="n"/>
      <c r="CK1240" s="4" t="n"/>
      <c r="CL1240" s="4" t="n"/>
      <c r="CM1240" s="4" t="n"/>
      <c r="CN1240" s="4" t="n"/>
      <c r="CO1240" s="4" t="n"/>
      <c r="CP1240" s="4" t="n"/>
      <c r="CQ1240" s="4" t="n"/>
      <c r="CR1240" s="4" t="n"/>
      <c r="CS1240" s="4" t="n"/>
      <c r="CT1240" s="4" t="n"/>
      <c r="CU1240" s="4" t="n"/>
      <c r="CV1240" s="4" t="n"/>
      <c r="CW1240" s="4" t="n"/>
      <c r="CX1240" s="4" t="n"/>
      <c r="CY1240" s="4" t="n"/>
      <c r="CZ1240" s="4" t="n"/>
      <c r="DA1240" s="4" t="n"/>
      <c r="DB1240" s="4" t="n"/>
      <c r="DC1240" s="4" t="n"/>
      <c r="DD1240" s="4" t="n"/>
      <c r="DE1240" s="4" t="n"/>
      <c r="DF1240" s="4" t="n"/>
      <c r="DG1240" s="4" t="n"/>
      <c r="DH1240" s="4" t="n"/>
      <c r="DI1240" s="4" t="n"/>
      <c r="DJ1240" s="4" t="n"/>
      <c r="DK1240" s="4" t="n"/>
      <c r="DL1240" s="4" t="n"/>
      <c r="DM1240" s="4" t="n"/>
      <c r="DN1240" s="4" t="n"/>
      <c r="DO1240" s="4" t="n"/>
      <c r="DP1240" s="4" t="n"/>
      <c r="DQ1240" s="4" t="n"/>
      <c r="DR1240" s="4" t="n"/>
      <c r="DS1240" s="4" t="n"/>
      <c r="DT1240" s="4" t="n"/>
      <c r="DU1240" s="4" t="n"/>
      <c r="DV1240" s="4" t="n"/>
      <c r="DW1240" s="4" t="n"/>
      <c r="DX1240" s="4" t="n"/>
      <c r="DY1240" s="4" t="n"/>
      <c r="DZ1240" s="4" t="n"/>
      <c r="EA1240" s="4" t="n"/>
      <c r="EB1240" s="4" t="n"/>
      <c r="EC1240" s="4" t="n"/>
      <c r="ED1240" s="4" t="n"/>
      <c r="EE1240" s="4" t="n"/>
      <c r="EF1240" s="4" t="n"/>
      <c r="EG1240" s="4" t="n"/>
      <c r="EH1240" s="4" t="n"/>
      <c r="EI1240" s="4" t="n"/>
      <c r="EJ1240" s="4" t="n"/>
      <c r="EK1240" s="4" t="n"/>
      <c r="EL1240" s="4" t="n"/>
      <c r="EM1240" s="4" t="n"/>
    </row>
    <row r="1241" hidden="1" customFormat="1" s="6">
      <c r="C1241" s="4" t="n"/>
      <c r="D1241" s="4" t="n"/>
      <c r="E1241" s="4" t="n"/>
      <c r="F1241" s="4" t="n"/>
      <c r="G1241" s="4" t="n"/>
      <c r="H1241" s="4" t="n"/>
      <c r="I1241" s="4" t="n"/>
      <c r="J1241" s="4" t="n"/>
      <c r="K1241" s="4" t="n"/>
      <c r="L1241" s="4" t="n"/>
      <c r="M1241" s="4" t="n"/>
      <c r="N1241" s="4" t="n"/>
      <c r="O1241" s="4" t="n"/>
      <c r="P1241" s="4" t="n"/>
      <c r="Q1241" s="4" t="n"/>
      <c r="R1241" s="4" t="n"/>
      <c r="S1241" s="4" t="n"/>
      <c r="T1241" s="4" t="n"/>
      <c r="U1241" s="4" t="n"/>
      <c r="V1241" s="4" t="n"/>
      <c r="W1241" s="4" t="n"/>
      <c r="X1241" s="4" t="n"/>
      <c r="Y1241" s="4" t="n"/>
      <c r="Z1241" s="4" t="n"/>
      <c r="AA1241" s="4" t="n"/>
      <c r="AB1241" s="4" t="n"/>
      <c r="AC1241" s="4" t="n"/>
      <c r="AD1241" s="4" t="n"/>
      <c r="AE1241" s="4" t="n"/>
      <c r="AF1241" s="4" t="n"/>
      <c r="AG1241" s="4" t="n"/>
      <c r="AH1241" s="4" t="n"/>
      <c r="AI1241" s="4" t="n"/>
      <c r="AJ1241" s="4" t="n"/>
      <c r="AK1241" s="4" t="n"/>
      <c r="AL1241" s="4" t="n"/>
      <c r="AM1241" s="4" t="n"/>
      <c r="AN1241" s="4" t="n"/>
      <c r="AO1241" s="4" t="n"/>
      <c r="AP1241" s="4" t="n"/>
      <c r="AQ1241" s="4" t="n"/>
      <c r="AR1241" s="4" t="n"/>
      <c r="AS1241" s="4" t="n"/>
      <c r="AT1241" s="4" t="n"/>
      <c r="AU1241" s="4" t="n"/>
      <c r="AV1241" s="4" t="n"/>
      <c r="AW1241" s="4" t="n"/>
      <c r="AX1241" s="4" t="n"/>
      <c r="AY1241" s="4" t="n"/>
      <c r="AZ1241" s="4" t="n"/>
      <c r="BA1241" s="4" t="n"/>
      <c r="BB1241" s="4" t="n"/>
      <c r="BC1241" s="4" t="n"/>
      <c r="BD1241" s="4" t="n"/>
      <c r="BE1241" s="4" t="n"/>
      <c r="BF1241" s="4" t="n"/>
      <c r="BG1241" s="4" t="n"/>
      <c r="BH1241" s="4" t="n"/>
      <c r="BI1241" s="4" t="n"/>
      <c r="BJ1241" s="4" t="n"/>
      <c r="BK1241" s="4" t="n"/>
      <c r="BL1241" s="4" t="n"/>
      <c r="BM1241" s="4" t="n"/>
      <c r="BN1241" s="4" t="n"/>
      <c r="BO1241" s="4" t="n"/>
      <c r="BP1241" s="4" t="n"/>
      <c r="BQ1241" s="4" t="n"/>
      <c r="BR1241" s="4" t="n"/>
      <c r="BS1241" s="4" t="n"/>
      <c r="BT1241" s="4" t="n"/>
      <c r="BU1241" s="4" t="n"/>
      <c r="BV1241" s="4" t="n"/>
      <c r="BW1241" s="4" t="n"/>
      <c r="BX1241" s="4" t="n"/>
      <c r="BY1241" s="4" t="n"/>
      <c r="BZ1241" s="4" t="n"/>
      <c r="CA1241" s="4" t="n"/>
      <c r="CB1241" s="4" t="n"/>
      <c r="CC1241" s="4" t="n"/>
      <c r="CD1241" s="4" t="n"/>
      <c r="CE1241" s="4" t="n"/>
      <c r="CF1241" s="4" t="n"/>
      <c r="CG1241" s="4" t="n"/>
      <c r="CH1241" s="4" t="n"/>
      <c r="CI1241" s="4" t="n"/>
      <c r="CJ1241" s="4" t="n"/>
      <c r="CK1241" s="4" t="n"/>
      <c r="CL1241" s="4" t="n"/>
      <c r="CM1241" s="4" t="n"/>
      <c r="CN1241" s="4" t="n"/>
      <c r="CO1241" s="4" t="n"/>
      <c r="CP1241" s="4" t="n"/>
      <c r="CQ1241" s="4" t="n"/>
      <c r="CR1241" s="4" t="n"/>
      <c r="CS1241" s="4" t="n"/>
      <c r="CT1241" s="4" t="n"/>
      <c r="CU1241" s="4" t="n"/>
      <c r="CV1241" s="4" t="n"/>
      <c r="CW1241" s="4" t="n"/>
      <c r="CX1241" s="4" t="n"/>
      <c r="CY1241" s="4" t="n"/>
      <c r="CZ1241" s="4" t="n"/>
      <c r="DA1241" s="4" t="n"/>
      <c r="DB1241" s="4" t="n"/>
      <c r="DC1241" s="4" t="n"/>
      <c r="DD1241" s="4" t="n"/>
      <c r="DE1241" s="4" t="n"/>
      <c r="DF1241" s="4" t="n"/>
      <c r="DG1241" s="4" t="n"/>
      <c r="DH1241" s="4" t="n"/>
      <c r="DI1241" s="4" t="n"/>
      <c r="DJ1241" s="4" t="n"/>
      <c r="DK1241" s="4" t="n"/>
      <c r="DL1241" s="4" t="n"/>
      <c r="DM1241" s="4" t="n"/>
      <c r="DN1241" s="4" t="n"/>
      <c r="DO1241" s="4" t="n"/>
      <c r="DP1241" s="4" t="n"/>
      <c r="DQ1241" s="4" t="n"/>
      <c r="DR1241" s="4" t="n"/>
      <c r="DS1241" s="4" t="n"/>
      <c r="DT1241" s="4" t="n"/>
      <c r="DU1241" s="4" t="n"/>
      <c r="DV1241" s="4" t="n"/>
      <c r="DW1241" s="4" t="n"/>
      <c r="DX1241" s="4" t="n"/>
      <c r="DY1241" s="4" t="n"/>
      <c r="DZ1241" s="4" t="n"/>
      <c r="EA1241" s="4" t="n"/>
      <c r="EB1241" s="4" t="n"/>
      <c r="EC1241" s="4" t="n"/>
      <c r="ED1241" s="4" t="n"/>
      <c r="EE1241" s="4" t="n"/>
      <c r="EF1241" s="4" t="n"/>
      <c r="EG1241" s="4" t="n"/>
      <c r="EH1241" s="4" t="n"/>
      <c r="EI1241" s="4" t="n"/>
      <c r="EJ1241" s="4" t="n"/>
      <c r="EK1241" s="4" t="n"/>
      <c r="EL1241" s="4" t="n"/>
      <c r="EM1241" s="4" t="n"/>
    </row>
    <row r="1242" hidden="1" customFormat="1" s="6">
      <c r="C1242" s="4" t="n"/>
      <c r="D1242" s="4" t="n"/>
      <c r="E1242" s="4" t="n"/>
      <c r="F1242" s="4" t="n"/>
      <c r="G1242" s="4" t="n"/>
      <c r="H1242" s="4" t="n"/>
      <c r="I1242" s="4" t="n"/>
      <c r="J1242" s="4" t="n"/>
      <c r="K1242" s="4" t="n"/>
      <c r="L1242" s="4" t="n"/>
      <c r="M1242" s="4" t="n"/>
      <c r="N1242" s="4" t="n"/>
      <c r="O1242" s="4" t="n"/>
      <c r="P1242" s="4" t="n"/>
      <c r="Q1242" s="4" t="n"/>
      <c r="R1242" s="4" t="n"/>
      <c r="S1242" s="4" t="n"/>
      <c r="T1242" s="4" t="n"/>
      <c r="U1242" s="4" t="n"/>
      <c r="V1242" s="4" t="n"/>
      <c r="W1242" s="4" t="n"/>
      <c r="X1242" s="4" t="n"/>
      <c r="Y1242" s="4" t="n"/>
      <c r="Z1242" s="4" t="n"/>
      <c r="AA1242" s="4" t="n"/>
      <c r="AB1242" s="4" t="n"/>
      <c r="AC1242" s="4" t="n"/>
      <c r="AD1242" s="4" t="n"/>
      <c r="AE1242" s="4" t="n"/>
      <c r="AF1242" s="4" t="n"/>
      <c r="AG1242" s="4" t="n"/>
      <c r="AH1242" s="4" t="n"/>
      <c r="AI1242" s="4" t="n"/>
      <c r="AJ1242" s="4" t="n"/>
      <c r="AK1242" s="4" t="n"/>
      <c r="AL1242" s="4" t="n"/>
      <c r="AM1242" s="4" t="n"/>
      <c r="AN1242" s="4" t="n"/>
      <c r="AO1242" s="4" t="n"/>
      <c r="AP1242" s="4" t="n"/>
      <c r="AQ1242" s="4" t="n"/>
      <c r="AR1242" s="4" t="n"/>
      <c r="AS1242" s="4" t="n"/>
      <c r="AT1242" s="4" t="n"/>
      <c r="AU1242" s="4" t="n"/>
      <c r="AV1242" s="4" t="n"/>
      <c r="AW1242" s="4" t="n"/>
      <c r="AX1242" s="4" t="n"/>
      <c r="AY1242" s="4" t="n"/>
      <c r="AZ1242" s="4" t="n"/>
      <c r="BA1242" s="4" t="n"/>
      <c r="BB1242" s="4" t="n"/>
      <c r="BC1242" s="4" t="n"/>
      <c r="BD1242" s="4" t="n"/>
      <c r="BE1242" s="4" t="n"/>
      <c r="BF1242" s="4" t="n"/>
      <c r="BG1242" s="4" t="n"/>
      <c r="BH1242" s="4" t="n"/>
      <c r="BI1242" s="4" t="n"/>
      <c r="BJ1242" s="4" t="n"/>
      <c r="BK1242" s="4" t="n"/>
      <c r="BL1242" s="4" t="n"/>
      <c r="BM1242" s="4" t="n"/>
      <c r="BN1242" s="4" t="n"/>
      <c r="BO1242" s="4" t="n"/>
      <c r="BP1242" s="4" t="n"/>
      <c r="BQ1242" s="4" t="n"/>
      <c r="BR1242" s="4" t="n"/>
      <c r="BS1242" s="4" t="n"/>
      <c r="BT1242" s="4" t="n"/>
      <c r="BU1242" s="4" t="n"/>
      <c r="BV1242" s="4" t="n"/>
      <c r="BW1242" s="4" t="n"/>
      <c r="BX1242" s="4" t="n"/>
      <c r="BY1242" s="4" t="n"/>
      <c r="BZ1242" s="4" t="n"/>
      <c r="CA1242" s="4" t="n"/>
      <c r="CB1242" s="4" t="n"/>
      <c r="CC1242" s="4" t="n"/>
      <c r="CD1242" s="4" t="n"/>
      <c r="CE1242" s="4" t="n"/>
      <c r="CF1242" s="4" t="n"/>
      <c r="CG1242" s="4" t="n"/>
      <c r="CH1242" s="4" t="n"/>
      <c r="CI1242" s="4" t="n"/>
      <c r="CJ1242" s="4" t="n"/>
      <c r="CK1242" s="4" t="n"/>
      <c r="CL1242" s="4" t="n"/>
      <c r="CM1242" s="4" t="n"/>
      <c r="CN1242" s="4" t="n"/>
      <c r="CO1242" s="4" t="n"/>
      <c r="CP1242" s="4" t="n"/>
      <c r="CQ1242" s="4" t="n"/>
      <c r="CR1242" s="4" t="n"/>
      <c r="CS1242" s="4" t="n"/>
      <c r="CT1242" s="4" t="n"/>
      <c r="CU1242" s="4" t="n"/>
      <c r="CV1242" s="4" t="n"/>
      <c r="CW1242" s="4" t="n"/>
      <c r="CX1242" s="4" t="n"/>
      <c r="CY1242" s="4" t="n"/>
      <c r="CZ1242" s="4" t="n"/>
      <c r="DA1242" s="4" t="n"/>
      <c r="DB1242" s="4" t="n"/>
      <c r="DC1242" s="4" t="n"/>
      <c r="DD1242" s="4" t="n"/>
      <c r="DE1242" s="4" t="n"/>
      <c r="DF1242" s="4" t="n"/>
      <c r="DG1242" s="4" t="n"/>
      <c r="DH1242" s="4" t="n"/>
      <c r="DI1242" s="4" t="n"/>
      <c r="DJ1242" s="4" t="n"/>
      <c r="DK1242" s="4" t="n"/>
      <c r="DL1242" s="4" t="n"/>
      <c r="DM1242" s="4" t="n"/>
      <c r="DN1242" s="4" t="n"/>
      <c r="DO1242" s="4" t="n"/>
      <c r="DP1242" s="4" t="n"/>
      <c r="DQ1242" s="4" t="n"/>
      <c r="DR1242" s="4" t="n"/>
      <c r="DS1242" s="4" t="n"/>
      <c r="DT1242" s="4" t="n"/>
      <c r="DU1242" s="4" t="n"/>
      <c r="DV1242" s="4" t="n"/>
      <c r="DW1242" s="4" t="n"/>
      <c r="DX1242" s="4" t="n"/>
      <c r="DY1242" s="4" t="n"/>
      <c r="DZ1242" s="4" t="n"/>
      <c r="EA1242" s="4" t="n"/>
      <c r="EB1242" s="4" t="n"/>
      <c r="EC1242" s="4" t="n"/>
      <c r="ED1242" s="4" t="n"/>
      <c r="EE1242" s="4" t="n"/>
      <c r="EF1242" s="4" t="n"/>
      <c r="EG1242" s="4" t="n"/>
      <c r="EH1242" s="4" t="n"/>
      <c r="EI1242" s="4" t="n"/>
      <c r="EJ1242" s="4" t="n"/>
      <c r="EK1242" s="4" t="n"/>
      <c r="EL1242" s="4" t="n"/>
      <c r="EM1242" s="4" t="n"/>
    </row>
    <row r="1243" hidden="1" customFormat="1" s="6">
      <c r="C1243" s="4" t="n"/>
      <c r="D1243" s="4" t="n"/>
      <c r="E1243" s="4" t="n"/>
      <c r="F1243" s="4" t="n"/>
      <c r="G1243" s="4" t="n"/>
      <c r="H1243" s="4" t="n"/>
      <c r="I1243" s="4" t="n"/>
      <c r="J1243" s="4" t="n"/>
      <c r="K1243" s="4" t="n"/>
      <c r="L1243" s="4" t="n"/>
      <c r="M1243" s="4" t="n"/>
      <c r="N1243" s="4" t="n"/>
      <c r="O1243" s="4" t="n"/>
      <c r="P1243" s="4" t="n"/>
      <c r="Q1243" s="4" t="n"/>
      <c r="R1243" s="4" t="n"/>
      <c r="S1243" s="4" t="n"/>
      <c r="T1243" s="4" t="n"/>
      <c r="U1243" s="4" t="n"/>
      <c r="V1243" s="4" t="n"/>
      <c r="W1243" s="4" t="n"/>
      <c r="X1243" s="4" t="n"/>
      <c r="Y1243" s="4" t="n"/>
      <c r="Z1243" s="4" t="n"/>
      <c r="AA1243" s="4" t="n"/>
      <c r="AB1243" s="4" t="n"/>
      <c r="AC1243" s="4" t="n"/>
      <c r="AD1243" s="4" t="n"/>
      <c r="AE1243" s="4" t="n"/>
      <c r="AF1243" s="4" t="n"/>
      <c r="AG1243" s="4" t="n"/>
      <c r="AH1243" s="4" t="n"/>
      <c r="AI1243" s="4" t="n"/>
      <c r="AJ1243" s="4" t="n"/>
      <c r="AK1243" s="4" t="n"/>
      <c r="AL1243" s="4" t="n"/>
      <c r="AM1243" s="4" t="n"/>
      <c r="AN1243" s="4" t="n"/>
      <c r="AO1243" s="4" t="n"/>
      <c r="AP1243" s="4" t="n"/>
      <c r="AQ1243" s="4" t="n"/>
      <c r="AR1243" s="4" t="n"/>
      <c r="AS1243" s="4" t="n"/>
      <c r="AT1243" s="4" t="n"/>
      <c r="AU1243" s="4" t="n"/>
      <c r="AV1243" s="4" t="n"/>
      <c r="AW1243" s="4" t="n"/>
      <c r="AX1243" s="4" t="n"/>
      <c r="AY1243" s="4" t="n"/>
      <c r="AZ1243" s="4" t="n"/>
      <c r="BA1243" s="4" t="n"/>
      <c r="BB1243" s="4" t="n"/>
      <c r="BC1243" s="4" t="n"/>
      <c r="BD1243" s="4" t="n"/>
      <c r="BE1243" s="4" t="n"/>
      <c r="BF1243" s="4" t="n"/>
      <c r="BG1243" s="4" t="n"/>
      <c r="BH1243" s="4" t="n"/>
      <c r="BI1243" s="4" t="n"/>
      <c r="BJ1243" s="4" t="n"/>
      <c r="BK1243" s="4" t="n"/>
      <c r="BL1243" s="4" t="n"/>
      <c r="BM1243" s="4" t="n"/>
      <c r="BN1243" s="4" t="n"/>
      <c r="BO1243" s="4" t="n"/>
      <c r="BP1243" s="4" t="n"/>
      <c r="BQ1243" s="4" t="n"/>
      <c r="BR1243" s="4" t="n"/>
      <c r="BS1243" s="4" t="n"/>
      <c r="BT1243" s="4" t="n"/>
      <c r="BU1243" s="4" t="n"/>
      <c r="BV1243" s="4" t="n"/>
      <c r="BW1243" s="4" t="n"/>
      <c r="BX1243" s="4" t="n"/>
      <c r="BY1243" s="4" t="n"/>
      <c r="BZ1243" s="4" t="n"/>
      <c r="CA1243" s="4" t="n"/>
      <c r="CB1243" s="4" t="n"/>
      <c r="CC1243" s="4" t="n"/>
      <c r="CD1243" s="4" t="n"/>
      <c r="CE1243" s="4" t="n"/>
      <c r="CF1243" s="4" t="n"/>
      <c r="CG1243" s="4" t="n"/>
      <c r="CH1243" s="4" t="n"/>
      <c r="CI1243" s="4" t="n"/>
      <c r="CJ1243" s="4" t="n"/>
      <c r="CK1243" s="4" t="n"/>
      <c r="CL1243" s="4" t="n"/>
      <c r="CM1243" s="4" t="n"/>
      <c r="CN1243" s="4" t="n"/>
      <c r="CO1243" s="4" t="n"/>
      <c r="CP1243" s="4" t="n"/>
      <c r="CQ1243" s="4" t="n"/>
      <c r="CR1243" s="4" t="n"/>
      <c r="CS1243" s="4" t="n"/>
      <c r="CT1243" s="4" t="n"/>
      <c r="CU1243" s="4" t="n"/>
      <c r="CV1243" s="4" t="n"/>
      <c r="CW1243" s="4" t="n"/>
      <c r="CX1243" s="4" t="n"/>
      <c r="CY1243" s="4" t="n"/>
      <c r="CZ1243" s="4" t="n"/>
      <c r="DA1243" s="4" t="n"/>
      <c r="DB1243" s="4" t="n"/>
      <c r="DC1243" s="4" t="n"/>
      <c r="DD1243" s="4" t="n"/>
      <c r="DE1243" s="4" t="n"/>
      <c r="DF1243" s="4" t="n"/>
      <c r="DG1243" s="4" t="n"/>
      <c r="DH1243" s="4" t="n"/>
      <c r="DI1243" s="4" t="n"/>
      <c r="DJ1243" s="4" t="n"/>
      <c r="DK1243" s="4" t="n"/>
      <c r="DL1243" s="4" t="n"/>
      <c r="DM1243" s="4" t="n"/>
      <c r="DN1243" s="4" t="n"/>
      <c r="DO1243" s="4" t="n"/>
      <c r="DP1243" s="4" t="n"/>
      <c r="DQ1243" s="4" t="n"/>
      <c r="DR1243" s="4" t="n"/>
      <c r="DS1243" s="4" t="n"/>
      <c r="DT1243" s="4" t="n"/>
      <c r="DU1243" s="4" t="n"/>
      <c r="DV1243" s="4" t="n"/>
      <c r="DW1243" s="4" t="n"/>
      <c r="DX1243" s="4" t="n"/>
      <c r="DY1243" s="4" t="n"/>
      <c r="DZ1243" s="4" t="n"/>
      <c r="EA1243" s="4" t="n"/>
      <c r="EB1243" s="4" t="n"/>
      <c r="EC1243" s="4" t="n"/>
      <c r="ED1243" s="4" t="n"/>
      <c r="EE1243" s="4" t="n"/>
      <c r="EF1243" s="4" t="n"/>
      <c r="EG1243" s="4" t="n"/>
      <c r="EH1243" s="4" t="n"/>
      <c r="EI1243" s="4" t="n"/>
      <c r="EJ1243" s="4" t="n"/>
      <c r="EK1243" s="4" t="n"/>
      <c r="EL1243" s="4" t="n"/>
      <c r="EM1243" s="4" t="n"/>
    </row>
    <row r="1244" hidden="1" customFormat="1" s="6">
      <c r="C1244" s="4" t="n"/>
      <c r="D1244" s="4" t="n"/>
      <c r="E1244" s="4" t="n"/>
      <c r="F1244" s="4" t="n"/>
      <c r="G1244" s="4" t="n"/>
      <c r="H1244" s="4" t="n"/>
      <c r="I1244" s="4" t="n"/>
      <c r="J1244" s="4" t="n"/>
      <c r="K1244" s="4" t="n"/>
      <c r="L1244" s="4" t="n"/>
      <c r="M1244" s="4" t="n"/>
      <c r="N1244" s="4" t="n"/>
      <c r="O1244" s="4" t="n"/>
      <c r="P1244" s="4" t="n"/>
      <c r="Q1244" s="4" t="n"/>
      <c r="R1244" s="4" t="n"/>
      <c r="S1244" s="4" t="n"/>
      <c r="T1244" s="4" t="n"/>
      <c r="U1244" s="4" t="n"/>
      <c r="V1244" s="4" t="n"/>
      <c r="W1244" s="4" t="n"/>
      <c r="X1244" s="4" t="n"/>
      <c r="Y1244" s="4" t="n"/>
      <c r="Z1244" s="4" t="n"/>
      <c r="AA1244" s="4" t="n"/>
      <c r="AB1244" s="4" t="n"/>
      <c r="AC1244" s="4" t="n"/>
      <c r="AD1244" s="4" t="n"/>
      <c r="AE1244" s="4" t="n"/>
      <c r="AF1244" s="4" t="n"/>
      <c r="AG1244" s="4" t="n"/>
      <c r="AH1244" s="4" t="n"/>
      <c r="AI1244" s="4" t="n"/>
      <c r="AJ1244" s="4" t="n"/>
      <c r="AK1244" s="4" t="n"/>
      <c r="AL1244" s="4" t="n"/>
      <c r="AM1244" s="4" t="n"/>
      <c r="AN1244" s="4" t="n"/>
      <c r="AO1244" s="4" t="n"/>
      <c r="AP1244" s="4" t="n"/>
      <c r="AQ1244" s="4" t="n"/>
      <c r="AR1244" s="4" t="n"/>
      <c r="AS1244" s="4" t="n"/>
      <c r="AT1244" s="4" t="n"/>
      <c r="AU1244" s="4" t="n"/>
      <c r="AV1244" s="4" t="n"/>
      <c r="AW1244" s="4" t="n"/>
      <c r="AX1244" s="4" t="n"/>
      <c r="AY1244" s="4" t="n"/>
      <c r="AZ1244" s="4" t="n"/>
      <c r="BA1244" s="4" t="n"/>
      <c r="BB1244" s="4" t="n"/>
      <c r="BC1244" s="4" t="n"/>
      <c r="BD1244" s="4" t="n"/>
      <c r="BE1244" s="4" t="n"/>
      <c r="BF1244" s="4" t="n"/>
      <c r="BG1244" s="4" t="n"/>
      <c r="BH1244" s="4" t="n"/>
      <c r="BI1244" s="4" t="n"/>
      <c r="BJ1244" s="4" t="n"/>
      <c r="BK1244" s="4" t="n"/>
      <c r="BL1244" s="4" t="n"/>
      <c r="BM1244" s="4" t="n"/>
      <c r="BN1244" s="4" t="n"/>
      <c r="BO1244" s="4" t="n"/>
      <c r="BP1244" s="4" t="n"/>
      <c r="BQ1244" s="4" t="n"/>
      <c r="BR1244" s="4" t="n"/>
      <c r="BS1244" s="4" t="n"/>
      <c r="BT1244" s="4" t="n"/>
      <c r="BU1244" s="4" t="n"/>
      <c r="BV1244" s="4" t="n"/>
      <c r="BW1244" s="4" t="n"/>
      <c r="BX1244" s="4" t="n"/>
      <c r="BY1244" s="4" t="n"/>
      <c r="BZ1244" s="4" t="n"/>
      <c r="CA1244" s="4" t="n"/>
      <c r="CB1244" s="4" t="n"/>
      <c r="CC1244" s="4" t="n"/>
      <c r="CD1244" s="4" t="n"/>
      <c r="CE1244" s="4" t="n"/>
      <c r="CF1244" s="4" t="n"/>
      <c r="CG1244" s="4" t="n"/>
      <c r="CH1244" s="4" t="n"/>
      <c r="CI1244" s="4" t="n"/>
      <c r="CJ1244" s="4" t="n"/>
      <c r="CK1244" s="4" t="n"/>
      <c r="CL1244" s="4" t="n"/>
      <c r="CM1244" s="4" t="n"/>
      <c r="CN1244" s="4" t="n"/>
      <c r="CO1244" s="4" t="n"/>
      <c r="CP1244" s="4" t="n"/>
      <c r="CQ1244" s="4" t="n"/>
      <c r="CR1244" s="4" t="n"/>
      <c r="CS1244" s="4" t="n"/>
      <c r="CT1244" s="4" t="n"/>
      <c r="CU1244" s="4" t="n"/>
      <c r="CV1244" s="4" t="n"/>
      <c r="CW1244" s="4" t="n"/>
      <c r="CX1244" s="4" t="n"/>
      <c r="CY1244" s="4" t="n"/>
      <c r="CZ1244" s="4" t="n"/>
      <c r="DA1244" s="4" t="n"/>
      <c r="DB1244" s="4" t="n"/>
      <c r="DC1244" s="4" t="n"/>
      <c r="DD1244" s="4" t="n"/>
      <c r="DE1244" s="4" t="n"/>
      <c r="DF1244" s="4" t="n"/>
      <c r="DG1244" s="4" t="n"/>
      <c r="DH1244" s="4" t="n"/>
      <c r="DI1244" s="4" t="n"/>
      <c r="DJ1244" s="4" t="n"/>
      <c r="DK1244" s="4" t="n"/>
      <c r="DL1244" s="4" t="n"/>
      <c r="DM1244" s="4" t="n"/>
      <c r="DN1244" s="4" t="n"/>
      <c r="DO1244" s="4" t="n"/>
      <c r="DP1244" s="4" t="n"/>
      <c r="DQ1244" s="4" t="n"/>
      <c r="DR1244" s="4" t="n"/>
      <c r="DS1244" s="4" t="n"/>
      <c r="DT1244" s="4" t="n"/>
      <c r="DU1244" s="4" t="n"/>
      <c r="DV1244" s="4" t="n"/>
      <c r="DW1244" s="4" t="n"/>
      <c r="DX1244" s="4" t="n"/>
      <c r="DY1244" s="4" t="n"/>
      <c r="DZ1244" s="4" t="n"/>
      <c r="EA1244" s="4" t="n"/>
      <c r="EB1244" s="4" t="n"/>
      <c r="EC1244" s="4" t="n"/>
      <c r="ED1244" s="4" t="n"/>
      <c r="EE1244" s="4" t="n"/>
      <c r="EF1244" s="4" t="n"/>
      <c r="EG1244" s="4" t="n"/>
      <c r="EH1244" s="4" t="n"/>
      <c r="EI1244" s="4" t="n"/>
      <c r="EJ1244" s="4" t="n"/>
      <c r="EK1244" s="4" t="n"/>
      <c r="EL1244" s="4" t="n"/>
      <c r="EM1244" s="4" t="n"/>
    </row>
    <row r="1245" hidden="1" customFormat="1" s="6">
      <c r="C1245" s="4" t="n"/>
      <c r="D1245" s="4" t="n"/>
      <c r="E1245" s="4" t="n"/>
      <c r="F1245" s="4" t="n"/>
      <c r="G1245" s="4" t="n"/>
      <c r="H1245" s="4" t="n"/>
      <c r="I1245" s="4" t="n"/>
      <c r="J1245" s="4" t="n"/>
      <c r="K1245" s="4" t="n"/>
      <c r="L1245" s="4" t="n"/>
      <c r="M1245" s="4" t="n"/>
      <c r="N1245" s="4" t="n"/>
      <c r="O1245" s="4" t="n"/>
      <c r="P1245" s="4" t="n"/>
      <c r="Q1245" s="4" t="n"/>
      <c r="R1245" s="4" t="n"/>
      <c r="S1245" s="4" t="n"/>
      <c r="T1245" s="4" t="n"/>
      <c r="U1245" s="4" t="n"/>
      <c r="V1245" s="4" t="n"/>
      <c r="W1245" s="4" t="n"/>
      <c r="X1245" s="4" t="n"/>
      <c r="Y1245" s="4" t="n"/>
      <c r="Z1245" s="4" t="n"/>
      <c r="AA1245" s="4" t="n"/>
      <c r="AB1245" s="4" t="n"/>
      <c r="AC1245" s="4" t="n"/>
      <c r="AD1245" s="4" t="n"/>
      <c r="AE1245" s="4" t="n"/>
      <c r="AF1245" s="4" t="n"/>
      <c r="AG1245" s="4" t="n"/>
      <c r="AH1245" s="4" t="n"/>
      <c r="AI1245" s="4" t="n"/>
      <c r="AJ1245" s="4" t="n"/>
      <c r="AK1245" s="4" t="n"/>
      <c r="AL1245" s="4" t="n"/>
      <c r="AM1245" s="4" t="n"/>
      <c r="AN1245" s="4" t="n"/>
      <c r="AO1245" s="4" t="n"/>
      <c r="AP1245" s="4" t="n"/>
      <c r="AQ1245" s="4" t="n"/>
      <c r="AR1245" s="4" t="n"/>
      <c r="AS1245" s="4" t="n"/>
      <c r="AT1245" s="4" t="n"/>
      <c r="AU1245" s="4" t="n"/>
      <c r="AV1245" s="4" t="n"/>
      <c r="AW1245" s="4" t="n"/>
      <c r="AX1245" s="4" t="n"/>
      <c r="AY1245" s="4" t="n"/>
      <c r="AZ1245" s="4" t="n"/>
      <c r="BA1245" s="4" t="n"/>
      <c r="BB1245" s="4" t="n"/>
      <c r="BC1245" s="4" t="n"/>
      <c r="BD1245" s="4" t="n"/>
      <c r="BE1245" s="4" t="n"/>
      <c r="BF1245" s="4" t="n"/>
      <c r="BG1245" s="4" t="n"/>
      <c r="BH1245" s="4" t="n"/>
      <c r="BI1245" s="4" t="n"/>
      <c r="BJ1245" s="4" t="n"/>
      <c r="BK1245" s="4" t="n"/>
      <c r="BL1245" s="4" t="n"/>
      <c r="BM1245" s="4" t="n"/>
      <c r="BN1245" s="4" t="n"/>
      <c r="BO1245" s="4" t="n"/>
      <c r="BP1245" s="4" t="n"/>
      <c r="BQ1245" s="4" t="n"/>
      <c r="BR1245" s="4" t="n"/>
      <c r="BS1245" s="4" t="n"/>
      <c r="BT1245" s="4" t="n"/>
      <c r="BU1245" s="4" t="n"/>
      <c r="BV1245" s="4" t="n"/>
      <c r="BW1245" s="4" t="n"/>
      <c r="BX1245" s="4" t="n"/>
      <c r="BY1245" s="4" t="n"/>
      <c r="BZ1245" s="4" t="n"/>
      <c r="CA1245" s="4" t="n"/>
      <c r="CB1245" s="4" t="n"/>
      <c r="CC1245" s="4" t="n"/>
      <c r="CD1245" s="4" t="n"/>
      <c r="CE1245" s="4" t="n"/>
      <c r="CF1245" s="4" t="n"/>
      <c r="CG1245" s="4" t="n"/>
      <c r="CH1245" s="4" t="n"/>
      <c r="CI1245" s="4" t="n"/>
      <c r="CJ1245" s="4" t="n"/>
      <c r="CK1245" s="4" t="n"/>
      <c r="CL1245" s="4" t="n"/>
      <c r="CM1245" s="4" t="n"/>
      <c r="CN1245" s="4" t="n"/>
      <c r="CO1245" s="4" t="n"/>
      <c r="CP1245" s="4" t="n"/>
      <c r="CQ1245" s="4" t="n"/>
      <c r="CR1245" s="4" t="n"/>
      <c r="CS1245" s="4" t="n"/>
      <c r="CT1245" s="4" t="n"/>
      <c r="CU1245" s="4" t="n"/>
      <c r="CV1245" s="4" t="n"/>
      <c r="CW1245" s="4" t="n"/>
      <c r="CX1245" s="4" t="n"/>
      <c r="CY1245" s="4" t="n"/>
      <c r="CZ1245" s="4" t="n"/>
      <c r="DA1245" s="4" t="n"/>
      <c r="DB1245" s="4" t="n"/>
      <c r="DC1245" s="4" t="n"/>
      <c r="DD1245" s="4" t="n"/>
      <c r="DE1245" s="4" t="n"/>
      <c r="DF1245" s="4" t="n"/>
      <c r="DG1245" s="4" t="n"/>
      <c r="DH1245" s="4" t="n"/>
      <c r="DI1245" s="4" t="n"/>
      <c r="DJ1245" s="4" t="n"/>
      <c r="DK1245" s="4" t="n"/>
      <c r="DL1245" s="4" t="n"/>
      <c r="DM1245" s="4" t="n"/>
      <c r="DN1245" s="4" t="n"/>
      <c r="DO1245" s="4" t="n"/>
      <c r="DP1245" s="4" t="n"/>
      <c r="DQ1245" s="4" t="n"/>
      <c r="DR1245" s="4" t="n"/>
      <c r="DS1245" s="4" t="n"/>
      <c r="DT1245" s="4" t="n"/>
      <c r="DU1245" s="4" t="n"/>
      <c r="DV1245" s="4" t="n"/>
      <c r="DW1245" s="4" t="n"/>
      <c r="DX1245" s="4" t="n"/>
      <c r="DY1245" s="4" t="n"/>
      <c r="DZ1245" s="4" t="n"/>
      <c r="EA1245" s="4" t="n"/>
      <c r="EB1245" s="4" t="n"/>
      <c r="EC1245" s="4" t="n"/>
      <c r="ED1245" s="4" t="n"/>
      <c r="EE1245" s="4" t="n"/>
      <c r="EF1245" s="4" t="n"/>
      <c r="EG1245" s="4" t="n"/>
      <c r="EH1245" s="4" t="n"/>
      <c r="EI1245" s="4" t="n"/>
      <c r="EJ1245" s="4" t="n"/>
      <c r="EK1245" s="4" t="n"/>
      <c r="EL1245" s="4" t="n"/>
      <c r="EM1245" s="4" t="n"/>
    </row>
    <row r="1246" hidden="1" customFormat="1" s="6">
      <c r="C1246" s="4" t="n"/>
      <c r="D1246" s="4" t="n"/>
      <c r="E1246" s="4" t="n"/>
      <c r="F1246" s="4" t="n"/>
      <c r="G1246" s="4" t="n"/>
      <c r="H1246" s="4" t="n"/>
      <c r="I1246" s="4" t="n"/>
      <c r="J1246" s="4" t="n"/>
      <c r="K1246" s="4" t="n"/>
      <c r="L1246" s="4" t="n"/>
      <c r="M1246" s="4" t="n"/>
      <c r="N1246" s="4" t="n"/>
      <c r="O1246" s="4" t="n"/>
      <c r="P1246" s="4" t="n"/>
      <c r="Q1246" s="4" t="n"/>
      <c r="R1246" s="4" t="n"/>
      <c r="S1246" s="4" t="n"/>
      <c r="T1246" s="4" t="n"/>
      <c r="U1246" s="4" t="n"/>
      <c r="V1246" s="4" t="n"/>
      <c r="W1246" s="4" t="n"/>
      <c r="X1246" s="4" t="n"/>
      <c r="Y1246" s="4" t="n"/>
      <c r="Z1246" s="4" t="n"/>
      <c r="AA1246" s="4" t="n"/>
      <c r="AB1246" s="4" t="n"/>
      <c r="AC1246" s="4" t="n"/>
      <c r="AD1246" s="4" t="n"/>
      <c r="AE1246" s="4" t="n"/>
      <c r="AF1246" s="4" t="n"/>
      <c r="AG1246" s="4" t="n"/>
      <c r="AH1246" s="4" t="n"/>
      <c r="AI1246" s="4" t="n"/>
      <c r="AJ1246" s="4" t="n"/>
      <c r="AK1246" s="4" t="n"/>
      <c r="AL1246" s="4" t="n"/>
      <c r="AM1246" s="4" t="n"/>
      <c r="AN1246" s="4" t="n"/>
      <c r="AO1246" s="4" t="n"/>
      <c r="AP1246" s="4" t="n"/>
      <c r="AQ1246" s="4" t="n"/>
      <c r="AR1246" s="4" t="n"/>
      <c r="AS1246" s="4" t="n"/>
      <c r="AT1246" s="4" t="n"/>
      <c r="AU1246" s="4" t="n"/>
      <c r="AV1246" s="4" t="n"/>
      <c r="AW1246" s="4" t="n"/>
      <c r="AX1246" s="4" t="n"/>
      <c r="AY1246" s="4" t="n"/>
      <c r="AZ1246" s="4" t="n"/>
      <c r="BA1246" s="4" t="n"/>
      <c r="BB1246" s="4" t="n"/>
      <c r="BC1246" s="4" t="n"/>
      <c r="BD1246" s="4" t="n"/>
      <c r="BE1246" s="4" t="n"/>
      <c r="BF1246" s="4" t="n"/>
      <c r="BG1246" s="4" t="n"/>
      <c r="BH1246" s="4" t="n"/>
      <c r="BI1246" s="4" t="n"/>
      <c r="BJ1246" s="4" t="n"/>
      <c r="BK1246" s="4" t="n"/>
      <c r="BL1246" s="4" t="n"/>
      <c r="BM1246" s="4" t="n"/>
      <c r="BN1246" s="4" t="n"/>
      <c r="BO1246" s="4" t="n"/>
      <c r="BP1246" s="4" t="n"/>
      <c r="BQ1246" s="4" t="n"/>
      <c r="BR1246" s="4" t="n"/>
      <c r="BS1246" s="4" t="n"/>
      <c r="BT1246" s="4" t="n"/>
      <c r="BU1246" s="4" t="n"/>
      <c r="BV1246" s="4" t="n"/>
      <c r="BW1246" s="4" t="n"/>
      <c r="BX1246" s="4" t="n"/>
      <c r="BY1246" s="4" t="n"/>
      <c r="BZ1246" s="4" t="n"/>
      <c r="CA1246" s="4" t="n"/>
      <c r="CB1246" s="4" t="n"/>
      <c r="CC1246" s="4" t="n"/>
      <c r="CD1246" s="4" t="n"/>
      <c r="CE1246" s="4" t="n"/>
      <c r="CF1246" s="4" t="n"/>
      <c r="CG1246" s="4" t="n"/>
      <c r="CH1246" s="4" t="n"/>
      <c r="CI1246" s="4" t="n"/>
      <c r="CJ1246" s="4" t="n"/>
      <c r="CK1246" s="4" t="n"/>
      <c r="CL1246" s="4" t="n"/>
      <c r="CM1246" s="4" t="n"/>
      <c r="CN1246" s="4" t="n"/>
      <c r="CO1246" s="4" t="n"/>
      <c r="CP1246" s="4" t="n"/>
      <c r="CQ1246" s="4" t="n"/>
      <c r="CR1246" s="4" t="n"/>
      <c r="CS1246" s="4" t="n"/>
      <c r="CT1246" s="4" t="n"/>
      <c r="CU1246" s="4" t="n"/>
      <c r="CV1246" s="4" t="n"/>
      <c r="CW1246" s="4" t="n"/>
      <c r="CX1246" s="4" t="n"/>
      <c r="CY1246" s="4" t="n"/>
      <c r="CZ1246" s="4" t="n"/>
      <c r="DA1246" s="4" t="n"/>
      <c r="DB1246" s="4" t="n"/>
      <c r="DC1246" s="4" t="n"/>
      <c r="DD1246" s="4" t="n"/>
      <c r="DE1246" s="4" t="n"/>
      <c r="DF1246" s="4" t="n"/>
      <c r="DG1246" s="4" t="n"/>
      <c r="DH1246" s="4" t="n"/>
      <c r="DI1246" s="4" t="n"/>
      <c r="DJ1246" s="4" t="n"/>
      <c r="DK1246" s="4" t="n"/>
      <c r="DL1246" s="4" t="n"/>
      <c r="DM1246" s="4" t="n"/>
      <c r="DN1246" s="4" t="n"/>
      <c r="DO1246" s="4" t="n"/>
      <c r="DP1246" s="4" t="n"/>
      <c r="DQ1246" s="4" t="n"/>
      <c r="DR1246" s="4" t="n"/>
      <c r="DS1246" s="4" t="n"/>
      <c r="DT1246" s="4" t="n"/>
      <c r="DU1246" s="4" t="n"/>
      <c r="DV1246" s="4" t="n"/>
      <c r="DW1246" s="4" t="n"/>
      <c r="DX1246" s="4" t="n"/>
      <c r="DY1246" s="4" t="n"/>
      <c r="DZ1246" s="4" t="n"/>
      <c r="EA1246" s="4" t="n"/>
      <c r="EB1246" s="4" t="n"/>
      <c r="EC1246" s="4" t="n"/>
      <c r="ED1246" s="4" t="n"/>
      <c r="EE1246" s="4" t="n"/>
      <c r="EF1246" s="4" t="n"/>
      <c r="EG1246" s="4" t="n"/>
      <c r="EH1246" s="4" t="n"/>
      <c r="EI1246" s="4" t="n"/>
      <c r="EJ1246" s="4" t="n"/>
      <c r="EK1246" s="4" t="n"/>
      <c r="EL1246" s="4" t="n"/>
      <c r="EM1246" s="4" t="n"/>
    </row>
    <row r="1247" hidden="1" customFormat="1" s="6">
      <c r="C1247" s="4" t="n"/>
      <c r="D1247" s="4" t="n"/>
      <c r="E1247" s="4" t="n"/>
      <c r="F1247" s="4" t="n"/>
      <c r="G1247" s="4" t="n"/>
      <c r="H1247" s="4" t="n"/>
      <c r="I1247" s="4" t="n"/>
      <c r="J1247" s="4" t="n"/>
      <c r="K1247" s="4" t="n"/>
      <c r="L1247" s="4" t="n"/>
      <c r="M1247" s="4" t="n"/>
      <c r="N1247" s="4" t="n"/>
      <c r="O1247" s="4" t="n"/>
      <c r="P1247" s="4" t="n"/>
      <c r="Q1247" s="4" t="n"/>
      <c r="R1247" s="4" t="n"/>
      <c r="S1247" s="4" t="n"/>
      <c r="T1247" s="4" t="n"/>
      <c r="U1247" s="4" t="n"/>
      <c r="V1247" s="4" t="n"/>
      <c r="W1247" s="4" t="n"/>
      <c r="X1247" s="4" t="n"/>
      <c r="Y1247" s="4" t="n"/>
      <c r="Z1247" s="4" t="n"/>
      <c r="AA1247" s="4" t="n"/>
      <c r="AB1247" s="4" t="n"/>
      <c r="AC1247" s="4" t="n"/>
      <c r="AD1247" s="4" t="n"/>
      <c r="AE1247" s="4" t="n"/>
      <c r="AF1247" s="4" t="n"/>
      <c r="AG1247" s="4" t="n"/>
      <c r="AH1247" s="4" t="n"/>
      <c r="AI1247" s="4" t="n"/>
      <c r="AJ1247" s="4" t="n"/>
      <c r="AK1247" s="4" t="n"/>
      <c r="AL1247" s="4" t="n"/>
      <c r="AM1247" s="4" t="n"/>
      <c r="AN1247" s="4" t="n"/>
      <c r="AO1247" s="4" t="n"/>
      <c r="AP1247" s="4" t="n"/>
      <c r="AQ1247" s="4" t="n"/>
      <c r="AR1247" s="4" t="n"/>
      <c r="AS1247" s="4" t="n"/>
      <c r="AT1247" s="4" t="n"/>
      <c r="AU1247" s="4" t="n"/>
      <c r="AV1247" s="4" t="n"/>
      <c r="AW1247" s="4" t="n"/>
      <c r="AX1247" s="4" t="n"/>
      <c r="AY1247" s="4" t="n"/>
      <c r="AZ1247" s="4" t="n"/>
      <c r="BA1247" s="4" t="n"/>
      <c r="BB1247" s="4" t="n"/>
      <c r="BC1247" s="4" t="n"/>
      <c r="BD1247" s="4" t="n"/>
      <c r="BE1247" s="4" t="n"/>
      <c r="BF1247" s="4" t="n"/>
      <c r="BG1247" s="4" t="n"/>
      <c r="BH1247" s="4" t="n"/>
      <c r="BI1247" s="4" t="n"/>
      <c r="BJ1247" s="4" t="n"/>
      <c r="BK1247" s="4" t="n"/>
      <c r="BL1247" s="4" t="n"/>
      <c r="BM1247" s="4" t="n"/>
      <c r="BN1247" s="4" t="n"/>
      <c r="BO1247" s="4" t="n"/>
      <c r="BP1247" s="4" t="n"/>
      <c r="BQ1247" s="4" t="n"/>
      <c r="BR1247" s="4" t="n"/>
      <c r="BS1247" s="4" t="n"/>
      <c r="BT1247" s="4" t="n"/>
      <c r="BU1247" s="4" t="n"/>
      <c r="BV1247" s="4" t="n"/>
      <c r="BW1247" s="4" t="n"/>
      <c r="BX1247" s="4" t="n"/>
      <c r="BY1247" s="4" t="n"/>
      <c r="BZ1247" s="4" t="n"/>
      <c r="CA1247" s="4" t="n"/>
      <c r="CB1247" s="4" t="n"/>
      <c r="CC1247" s="4" t="n"/>
      <c r="CD1247" s="4" t="n"/>
      <c r="CE1247" s="4" t="n"/>
      <c r="CF1247" s="4" t="n"/>
      <c r="CG1247" s="4" t="n"/>
      <c r="CH1247" s="4" t="n"/>
      <c r="CI1247" s="4" t="n"/>
      <c r="CJ1247" s="4" t="n"/>
      <c r="CK1247" s="4" t="n"/>
      <c r="CL1247" s="4" t="n"/>
      <c r="CM1247" s="4" t="n"/>
      <c r="CN1247" s="4" t="n"/>
      <c r="CO1247" s="4" t="n"/>
      <c r="CP1247" s="4" t="n"/>
      <c r="CQ1247" s="4" t="n"/>
      <c r="CR1247" s="4" t="n"/>
      <c r="CS1247" s="4" t="n"/>
      <c r="CT1247" s="4" t="n"/>
      <c r="CU1247" s="4" t="n"/>
      <c r="CV1247" s="4" t="n"/>
      <c r="CW1247" s="4" t="n"/>
      <c r="CX1247" s="4" t="n"/>
      <c r="CY1247" s="4" t="n"/>
      <c r="CZ1247" s="4" t="n"/>
      <c r="DA1247" s="4" t="n"/>
      <c r="DB1247" s="4" t="n"/>
      <c r="DC1247" s="4" t="n"/>
      <c r="DD1247" s="4" t="n"/>
      <c r="DE1247" s="4" t="n"/>
      <c r="DF1247" s="4" t="n"/>
      <c r="DG1247" s="4" t="n"/>
      <c r="DH1247" s="4" t="n"/>
      <c r="DI1247" s="4" t="n"/>
      <c r="DJ1247" s="4" t="n"/>
      <c r="DK1247" s="4" t="n"/>
      <c r="DL1247" s="4" t="n"/>
      <c r="DM1247" s="4" t="n"/>
      <c r="DN1247" s="4" t="n"/>
      <c r="DO1247" s="4" t="n"/>
      <c r="DP1247" s="4" t="n"/>
      <c r="DQ1247" s="4" t="n"/>
      <c r="DR1247" s="4" t="n"/>
      <c r="DS1247" s="4" t="n"/>
      <c r="DT1247" s="4" t="n"/>
      <c r="DU1247" s="4" t="n"/>
      <c r="DV1247" s="4" t="n"/>
      <c r="DW1247" s="4" t="n"/>
      <c r="DX1247" s="4" t="n"/>
      <c r="DY1247" s="4" t="n"/>
      <c r="DZ1247" s="4" t="n"/>
      <c r="EA1247" s="4" t="n"/>
      <c r="EB1247" s="4" t="n"/>
      <c r="EC1247" s="4" t="n"/>
      <c r="ED1247" s="4" t="n"/>
      <c r="EE1247" s="4" t="n"/>
      <c r="EF1247" s="4" t="n"/>
      <c r="EG1247" s="4" t="n"/>
      <c r="EH1247" s="4" t="n"/>
      <c r="EI1247" s="4" t="n"/>
      <c r="EJ1247" s="4" t="n"/>
      <c r="EK1247" s="4" t="n"/>
      <c r="EL1247" s="4" t="n"/>
      <c r="EM1247" s="4" t="n"/>
    </row>
    <row r="1248" hidden="1" customFormat="1" s="6">
      <c r="C1248" s="4" t="n"/>
      <c r="D1248" s="4" t="n"/>
      <c r="E1248" s="4" t="n"/>
      <c r="F1248" s="4" t="n"/>
      <c r="G1248" s="4" t="n"/>
      <c r="H1248" s="4" t="n"/>
      <c r="I1248" s="4" t="n"/>
      <c r="J1248" s="4" t="n"/>
      <c r="K1248" s="4" t="n"/>
      <c r="L1248" s="4" t="n"/>
      <c r="M1248" s="4" t="n"/>
      <c r="N1248" s="4" t="n"/>
      <c r="O1248" s="4" t="n"/>
      <c r="P1248" s="4" t="n"/>
      <c r="Q1248" s="4" t="n"/>
      <c r="R1248" s="4" t="n"/>
      <c r="S1248" s="4" t="n"/>
      <c r="T1248" s="4" t="n"/>
      <c r="U1248" s="4" t="n"/>
      <c r="V1248" s="4" t="n"/>
      <c r="W1248" s="4" t="n"/>
      <c r="X1248" s="4" t="n"/>
      <c r="Y1248" s="4" t="n"/>
      <c r="Z1248" s="4" t="n"/>
      <c r="AA1248" s="4" t="n"/>
      <c r="AB1248" s="4" t="n"/>
      <c r="AC1248" s="4" t="n"/>
      <c r="AD1248" s="4" t="n"/>
      <c r="AE1248" s="4" t="n"/>
      <c r="AF1248" s="4" t="n"/>
      <c r="AG1248" s="4" t="n"/>
      <c r="AH1248" s="4" t="n"/>
      <c r="AI1248" s="4" t="n"/>
      <c r="AJ1248" s="4" t="n"/>
      <c r="AK1248" s="4" t="n"/>
      <c r="AL1248" s="4" t="n"/>
      <c r="AM1248" s="4" t="n"/>
      <c r="AN1248" s="4" t="n"/>
      <c r="AO1248" s="4" t="n"/>
      <c r="AP1248" s="4" t="n"/>
      <c r="AQ1248" s="4" t="n"/>
      <c r="AR1248" s="4" t="n"/>
      <c r="AS1248" s="4" t="n"/>
      <c r="AT1248" s="4" t="n"/>
      <c r="AU1248" s="4" t="n"/>
      <c r="AV1248" s="4" t="n"/>
      <c r="AW1248" s="4" t="n"/>
      <c r="AX1248" s="4" t="n"/>
      <c r="AY1248" s="4" t="n"/>
      <c r="AZ1248" s="4" t="n"/>
      <c r="BA1248" s="4" t="n"/>
      <c r="BB1248" s="4" t="n"/>
      <c r="BC1248" s="4" t="n"/>
      <c r="BD1248" s="4" t="n"/>
      <c r="BE1248" s="4" t="n"/>
      <c r="BF1248" s="4" t="n"/>
      <c r="BG1248" s="4" t="n"/>
      <c r="BH1248" s="4" t="n"/>
      <c r="BI1248" s="4" t="n"/>
      <c r="BJ1248" s="4" t="n"/>
      <c r="BK1248" s="4" t="n"/>
      <c r="BL1248" s="4" t="n"/>
      <c r="BM1248" s="4" t="n"/>
      <c r="BN1248" s="4" t="n"/>
      <c r="BO1248" s="4" t="n"/>
      <c r="BP1248" s="4" t="n"/>
      <c r="BQ1248" s="4" t="n"/>
      <c r="BR1248" s="4" t="n"/>
      <c r="BS1248" s="4" t="n"/>
      <c r="BT1248" s="4" t="n"/>
      <c r="BU1248" s="4" t="n"/>
      <c r="BV1248" s="4" t="n"/>
      <c r="BW1248" s="4" t="n"/>
      <c r="BX1248" s="4" t="n"/>
      <c r="BY1248" s="4" t="n"/>
      <c r="BZ1248" s="4" t="n"/>
      <c r="CA1248" s="4" t="n"/>
      <c r="CB1248" s="4" t="n"/>
      <c r="CC1248" s="4" t="n"/>
      <c r="CD1248" s="4" t="n"/>
      <c r="CE1248" s="4" t="n"/>
      <c r="CF1248" s="4" t="n"/>
      <c r="CG1248" s="4" t="n"/>
      <c r="CH1248" s="4" t="n"/>
      <c r="CI1248" s="4" t="n"/>
      <c r="CJ1248" s="4" t="n"/>
      <c r="CK1248" s="4" t="n"/>
      <c r="CL1248" s="4" t="n"/>
      <c r="CM1248" s="4" t="n"/>
      <c r="CN1248" s="4" t="n"/>
      <c r="CO1248" s="4" t="n"/>
      <c r="CP1248" s="4" t="n"/>
      <c r="CQ1248" s="4" t="n"/>
      <c r="CR1248" s="4" t="n"/>
      <c r="CS1248" s="4" t="n"/>
      <c r="CT1248" s="4" t="n"/>
      <c r="CU1248" s="4" t="n"/>
      <c r="CV1248" s="4" t="n"/>
      <c r="CW1248" s="4" t="n"/>
      <c r="CX1248" s="4" t="n"/>
      <c r="CY1248" s="4" t="n"/>
      <c r="CZ1248" s="4" t="n"/>
      <c r="DA1248" s="4" t="n"/>
      <c r="DB1248" s="4" t="n"/>
      <c r="DC1248" s="4" t="n"/>
      <c r="DD1248" s="4" t="n"/>
      <c r="DE1248" s="4" t="n"/>
      <c r="DF1248" s="4" t="n"/>
      <c r="DG1248" s="4" t="n"/>
      <c r="DH1248" s="4" t="n"/>
      <c r="DI1248" s="4" t="n"/>
      <c r="DJ1248" s="4" t="n"/>
      <c r="DK1248" s="4" t="n"/>
      <c r="DL1248" s="4" t="n"/>
      <c r="DM1248" s="4" t="n"/>
      <c r="DN1248" s="4" t="n"/>
      <c r="DO1248" s="4" t="n"/>
      <c r="DP1248" s="4" t="n"/>
      <c r="DQ1248" s="4" t="n"/>
      <c r="DR1248" s="4" t="n"/>
      <c r="DS1248" s="4" t="n"/>
      <c r="DT1248" s="4" t="n"/>
      <c r="DU1248" s="4" t="n"/>
      <c r="DV1248" s="4" t="n"/>
      <c r="DW1248" s="4" t="n"/>
      <c r="DX1248" s="4" t="n"/>
      <c r="DY1248" s="4" t="n"/>
      <c r="DZ1248" s="4" t="n"/>
      <c r="EA1248" s="4" t="n"/>
      <c r="EB1248" s="4" t="n"/>
      <c r="EC1248" s="4" t="n"/>
      <c r="ED1248" s="4" t="n"/>
      <c r="EE1248" s="4" t="n"/>
      <c r="EF1248" s="4" t="n"/>
      <c r="EG1248" s="4" t="n"/>
      <c r="EH1248" s="4" t="n"/>
      <c r="EI1248" s="4" t="n"/>
      <c r="EJ1248" s="4" t="n"/>
      <c r="EK1248" s="4" t="n"/>
      <c r="EL1248" s="4" t="n"/>
      <c r="EM1248" s="4" t="n"/>
    </row>
    <row r="1249" hidden="1" customFormat="1" s="6">
      <c r="C1249" s="4" t="n"/>
      <c r="D1249" s="4" t="n"/>
      <c r="E1249" s="4" t="n"/>
      <c r="F1249" s="4" t="n"/>
      <c r="G1249" s="4" t="n"/>
      <c r="H1249" s="4" t="n"/>
      <c r="I1249" s="4" t="n"/>
      <c r="J1249" s="4" t="n"/>
      <c r="K1249" s="4" t="n"/>
      <c r="L1249" s="4" t="n"/>
      <c r="M1249" s="4" t="n"/>
      <c r="N1249" s="4" t="n"/>
      <c r="O1249" s="4" t="n"/>
      <c r="P1249" s="4" t="n"/>
      <c r="Q1249" s="4" t="n"/>
      <c r="R1249" s="4" t="n"/>
      <c r="S1249" s="4" t="n"/>
      <c r="T1249" s="4" t="n"/>
      <c r="U1249" s="4" t="n"/>
      <c r="V1249" s="4" t="n"/>
      <c r="W1249" s="4" t="n"/>
      <c r="X1249" s="4" t="n"/>
      <c r="Y1249" s="4" t="n"/>
      <c r="Z1249" s="4" t="n"/>
      <c r="AA1249" s="4" t="n"/>
      <c r="AB1249" s="4" t="n"/>
      <c r="AC1249" s="4" t="n"/>
      <c r="AD1249" s="4" t="n"/>
      <c r="AE1249" s="4" t="n"/>
      <c r="AF1249" s="4" t="n"/>
      <c r="AG1249" s="4" t="n"/>
      <c r="AH1249" s="4" t="n"/>
      <c r="AI1249" s="4" t="n"/>
      <c r="AJ1249" s="4" t="n"/>
      <c r="AK1249" s="4" t="n"/>
      <c r="AL1249" s="4" t="n"/>
      <c r="AM1249" s="4" t="n"/>
      <c r="AN1249" s="4" t="n"/>
      <c r="AO1249" s="4" t="n"/>
      <c r="AP1249" s="4" t="n"/>
      <c r="AQ1249" s="4" t="n"/>
      <c r="AR1249" s="4" t="n"/>
      <c r="AS1249" s="4" t="n"/>
      <c r="AT1249" s="4" t="n"/>
      <c r="AU1249" s="4" t="n"/>
      <c r="AV1249" s="4" t="n"/>
      <c r="AW1249" s="4" t="n"/>
      <c r="AX1249" s="4" t="n"/>
      <c r="AY1249" s="4" t="n"/>
      <c r="AZ1249" s="4" t="n"/>
      <c r="BA1249" s="4" t="n"/>
      <c r="BB1249" s="4" t="n"/>
      <c r="BC1249" s="4" t="n"/>
      <c r="BD1249" s="4" t="n"/>
      <c r="BE1249" s="4" t="n"/>
      <c r="BF1249" s="4" t="n"/>
      <c r="BG1249" s="4" t="n"/>
      <c r="BH1249" s="4" t="n"/>
      <c r="BI1249" s="4" t="n"/>
      <c r="BJ1249" s="4" t="n"/>
      <c r="BK1249" s="4" t="n"/>
      <c r="BL1249" s="4" t="n"/>
      <c r="BM1249" s="4" t="n"/>
      <c r="BN1249" s="4" t="n"/>
      <c r="BO1249" s="4" t="n"/>
      <c r="BP1249" s="4" t="n"/>
      <c r="BQ1249" s="4" t="n"/>
      <c r="BR1249" s="4" t="n"/>
      <c r="BS1249" s="4" t="n"/>
      <c r="BT1249" s="4" t="n"/>
      <c r="BU1249" s="4" t="n"/>
      <c r="BV1249" s="4" t="n"/>
      <c r="BW1249" s="4" t="n"/>
      <c r="BX1249" s="4" t="n"/>
      <c r="BY1249" s="4" t="n"/>
      <c r="BZ1249" s="4" t="n"/>
      <c r="CA1249" s="4" t="n"/>
      <c r="CB1249" s="4" t="n"/>
      <c r="CC1249" s="4" t="n"/>
      <c r="CD1249" s="4" t="n"/>
      <c r="CE1249" s="4" t="n"/>
      <c r="CF1249" s="4" t="n"/>
      <c r="CG1249" s="4" t="n"/>
      <c r="CH1249" s="4" t="n"/>
      <c r="CI1249" s="4" t="n"/>
      <c r="CJ1249" s="4" t="n"/>
      <c r="CK1249" s="4" t="n"/>
      <c r="CL1249" s="4" t="n"/>
      <c r="CM1249" s="4" t="n"/>
      <c r="CN1249" s="4" t="n"/>
      <c r="CO1249" s="4" t="n"/>
      <c r="CP1249" s="4" t="n"/>
      <c r="CQ1249" s="4" t="n"/>
      <c r="CR1249" s="4" t="n"/>
      <c r="CS1249" s="4" t="n"/>
      <c r="CT1249" s="4" t="n"/>
      <c r="CU1249" s="4" t="n"/>
      <c r="CV1249" s="4" t="n"/>
      <c r="CW1249" s="4" t="n"/>
      <c r="CX1249" s="4" t="n"/>
      <c r="CY1249" s="4" t="n"/>
      <c r="CZ1249" s="4" t="n"/>
      <c r="DA1249" s="4" t="n"/>
      <c r="DB1249" s="4" t="n"/>
      <c r="DC1249" s="4" t="n"/>
      <c r="DD1249" s="4" t="n"/>
      <c r="DE1249" s="4" t="n"/>
      <c r="DF1249" s="4" t="n"/>
      <c r="DG1249" s="4" t="n"/>
      <c r="DH1249" s="4" t="n"/>
      <c r="DI1249" s="4" t="n"/>
      <c r="DJ1249" s="4" t="n"/>
      <c r="DK1249" s="4" t="n"/>
      <c r="DL1249" s="4" t="n"/>
      <c r="DM1249" s="4" t="n"/>
      <c r="DN1249" s="4" t="n"/>
      <c r="DO1249" s="4" t="n"/>
      <c r="DP1249" s="4" t="n"/>
      <c r="DQ1249" s="4" t="n"/>
      <c r="DR1249" s="4" t="n"/>
      <c r="DS1249" s="4" t="n"/>
      <c r="DT1249" s="4" t="n"/>
      <c r="DU1249" s="4" t="n"/>
      <c r="DV1249" s="4" t="n"/>
      <c r="DW1249" s="4" t="n"/>
      <c r="DX1249" s="4" t="n"/>
      <c r="DY1249" s="4" t="n"/>
      <c r="DZ1249" s="4" t="n"/>
      <c r="EA1249" s="4" t="n"/>
      <c r="EB1249" s="4" t="n"/>
      <c r="EC1249" s="4" t="n"/>
      <c r="ED1249" s="4" t="n"/>
      <c r="EE1249" s="4" t="n"/>
      <c r="EF1249" s="4" t="n"/>
      <c r="EG1249" s="4" t="n"/>
      <c r="EH1249" s="4" t="n"/>
      <c r="EI1249" s="4" t="n"/>
      <c r="EJ1249" s="4" t="n"/>
      <c r="EK1249" s="4" t="n"/>
      <c r="EL1249" s="4" t="n"/>
      <c r="EM1249" s="4" t="n"/>
    </row>
    <row r="1250" hidden="1" customFormat="1" s="6">
      <c r="C1250" s="4" t="n"/>
      <c r="D1250" s="4" t="n"/>
      <c r="E1250" s="4" t="n"/>
      <c r="F1250" s="4" t="n"/>
      <c r="G1250" s="4" t="n"/>
      <c r="H1250" s="4" t="n"/>
      <c r="I1250" s="4" t="n"/>
      <c r="J1250" s="4" t="n"/>
      <c r="K1250" s="4" t="n"/>
      <c r="L1250" s="4" t="n"/>
      <c r="M1250" s="4" t="n"/>
      <c r="N1250" s="4" t="n"/>
      <c r="O1250" s="4" t="n"/>
      <c r="P1250" s="4" t="n"/>
      <c r="Q1250" s="4" t="n"/>
      <c r="R1250" s="4" t="n"/>
      <c r="S1250" s="4" t="n"/>
      <c r="T1250" s="4" t="n"/>
      <c r="U1250" s="4" t="n"/>
      <c r="V1250" s="4" t="n"/>
      <c r="W1250" s="4" t="n"/>
      <c r="X1250" s="4" t="n"/>
      <c r="Y1250" s="4" t="n"/>
      <c r="Z1250" s="4" t="n"/>
      <c r="AA1250" s="4" t="n"/>
      <c r="AB1250" s="4" t="n"/>
      <c r="AC1250" s="4" t="n"/>
      <c r="AD1250" s="4" t="n"/>
      <c r="AE1250" s="4" t="n"/>
      <c r="AF1250" s="4" t="n"/>
      <c r="AG1250" s="4" t="n"/>
      <c r="AH1250" s="4" t="n"/>
      <c r="AI1250" s="4" t="n"/>
      <c r="AJ1250" s="4" t="n"/>
      <c r="AK1250" s="4" t="n"/>
      <c r="AL1250" s="4" t="n"/>
      <c r="AM1250" s="4" t="n"/>
      <c r="AN1250" s="4" t="n"/>
      <c r="AO1250" s="4" t="n"/>
      <c r="AP1250" s="4" t="n"/>
      <c r="AQ1250" s="4" t="n"/>
      <c r="AR1250" s="4" t="n"/>
      <c r="AS1250" s="4" t="n"/>
      <c r="AT1250" s="4" t="n"/>
      <c r="AU1250" s="4" t="n"/>
      <c r="AV1250" s="4" t="n"/>
      <c r="AW1250" s="4" t="n"/>
      <c r="AX1250" s="4" t="n"/>
      <c r="AY1250" s="4" t="n"/>
      <c r="AZ1250" s="4" t="n"/>
      <c r="BA1250" s="4" t="n"/>
      <c r="BB1250" s="4" t="n"/>
      <c r="BC1250" s="4" t="n"/>
      <c r="BD1250" s="4" t="n"/>
      <c r="BE1250" s="4" t="n"/>
      <c r="BF1250" s="4" t="n"/>
      <c r="BG1250" s="4" t="n"/>
      <c r="BH1250" s="4" t="n"/>
      <c r="BI1250" s="4" t="n"/>
      <c r="BJ1250" s="4" t="n"/>
      <c r="BK1250" s="4" t="n"/>
      <c r="BL1250" s="4" t="n"/>
      <c r="BM1250" s="4" t="n"/>
      <c r="BN1250" s="4" t="n"/>
      <c r="BO1250" s="4" t="n"/>
      <c r="BP1250" s="4" t="n"/>
      <c r="BQ1250" s="4" t="n"/>
      <c r="BR1250" s="4" t="n"/>
      <c r="BS1250" s="4" t="n"/>
      <c r="BT1250" s="4" t="n"/>
      <c r="BU1250" s="4" t="n"/>
      <c r="BV1250" s="4" t="n"/>
      <c r="BW1250" s="4" t="n"/>
      <c r="BX1250" s="4" t="n"/>
      <c r="BY1250" s="4" t="n"/>
      <c r="BZ1250" s="4" t="n"/>
      <c r="CA1250" s="4" t="n"/>
      <c r="CB1250" s="4" t="n"/>
      <c r="CC1250" s="4" t="n"/>
      <c r="CD1250" s="4" t="n"/>
      <c r="CE1250" s="4" t="n"/>
      <c r="CF1250" s="4" t="n"/>
      <c r="CG1250" s="4" t="n"/>
      <c r="CH1250" s="4" t="n"/>
      <c r="CI1250" s="4" t="n"/>
      <c r="CJ1250" s="4" t="n"/>
      <c r="CK1250" s="4" t="n"/>
      <c r="CL1250" s="4" t="n"/>
      <c r="CM1250" s="4" t="n"/>
      <c r="CN1250" s="4" t="n"/>
      <c r="CO1250" s="4" t="n"/>
      <c r="CP1250" s="4" t="n"/>
      <c r="CQ1250" s="4" t="n"/>
      <c r="CR1250" s="4" t="n"/>
      <c r="CS1250" s="4" t="n"/>
      <c r="CT1250" s="4" t="n"/>
      <c r="CU1250" s="4" t="n"/>
      <c r="CV1250" s="4" t="n"/>
      <c r="CW1250" s="4" t="n"/>
      <c r="CX1250" s="4" t="n"/>
      <c r="CY1250" s="4" t="n"/>
      <c r="CZ1250" s="4" t="n"/>
      <c r="DA1250" s="4" t="n"/>
      <c r="DB1250" s="4" t="n"/>
      <c r="DC1250" s="4" t="n"/>
      <c r="DD1250" s="4" t="n"/>
      <c r="DE1250" s="4" t="n"/>
      <c r="DF1250" s="4" t="n"/>
      <c r="DG1250" s="4" t="n"/>
      <c r="DH1250" s="4" t="n"/>
      <c r="DI1250" s="4" t="n"/>
      <c r="DJ1250" s="4" t="n"/>
      <c r="DK1250" s="4" t="n"/>
      <c r="DL1250" s="4" t="n"/>
      <c r="DM1250" s="4" t="n"/>
      <c r="DN1250" s="4" t="n"/>
      <c r="DO1250" s="4" t="n"/>
      <c r="DP1250" s="4" t="n"/>
      <c r="DQ1250" s="4" t="n"/>
      <c r="DR1250" s="4" t="n"/>
      <c r="DS1250" s="4" t="n"/>
      <c r="DT1250" s="4" t="n"/>
      <c r="DU1250" s="4" t="n"/>
      <c r="DV1250" s="4" t="n"/>
      <c r="DW1250" s="4" t="n"/>
      <c r="DX1250" s="4" t="n"/>
      <c r="DY1250" s="4" t="n"/>
      <c r="DZ1250" s="4" t="n"/>
      <c r="EA1250" s="4" t="n"/>
      <c r="EB1250" s="4" t="n"/>
      <c r="EC1250" s="4" t="n"/>
      <c r="ED1250" s="4" t="n"/>
      <c r="EE1250" s="4" t="n"/>
      <c r="EF1250" s="4" t="n"/>
      <c r="EG1250" s="4" t="n"/>
      <c r="EH1250" s="4" t="n"/>
      <c r="EI1250" s="4" t="n"/>
      <c r="EJ1250" s="4" t="n"/>
      <c r="EK1250" s="4" t="n"/>
      <c r="EL1250" s="4" t="n"/>
      <c r="EM1250" s="4" t="n"/>
    </row>
    <row r="1251" hidden="1" customFormat="1" s="6">
      <c r="C1251" s="4" t="n"/>
      <c r="D1251" s="4" t="n"/>
      <c r="E1251" s="4" t="n"/>
      <c r="F1251" s="4" t="n"/>
      <c r="G1251" s="4" t="n"/>
      <c r="H1251" s="4" t="n"/>
      <c r="I1251" s="4" t="n"/>
      <c r="J1251" s="4" t="n"/>
      <c r="K1251" s="4" t="n"/>
      <c r="L1251" s="4" t="n"/>
      <c r="M1251" s="4" t="n"/>
      <c r="N1251" s="4" t="n"/>
      <c r="O1251" s="4" t="n"/>
      <c r="P1251" s="4" t="n"/>
      <c r="Q1251" s="4" t="n"/>
      <c r="R1251" s="4" t="n"/>
      <c r="S1251" s="4" t="n"/>
      <c r="T1251" s="4" t="n"/>
      <c r="U1251" s="4" t="n"/>
      <c r="V1251" s="4" t="n"/>
      <c r="W1251" s="4" t="n"/>
      <c r="X1251" s="4" t="n"/>
      <c r="Y1251" s="4" t="n"/>
      <c r="Z1251" s="4" t="n"/>
      <c r="AA1251" s="4" t="n"/>
      <c r="AB1251" s="4" t="n"/>
      <c r="AC1251" s="4" t="n"/>
      <c r="AD1251" s="4" t="n"/>
      <c r="AE1251" s="4" t="n"/>
      <c r="AF1251" s="4" t="n"/>
      <c r="AG1251" s="4" t="n"/>
      <c r="AH1251" s="4" t="n"/>
      <c r="AI1251" s="4" t="n"/>
      <c r="AJ1251" s="4" t="n"/>
      <c r="AK1251" s="4" t="n"/>
      <c r="AL1251" s="4" t="n"/>
      <c r="AM1251" s="4" t="n"/>
      <c r="AN1251" s="4" t="n"/>
      <c r="AO1251" s="4" t="n"/>
      <c r="AP1251" s="4" t="n"/>
      <c r="AQ1251" s="4" t="n"/>
      <c r="AR1251" s="4" t="n"/>
      <c r="AS1251" s="4" t="n"/>
      <c r="AT1251" s="4" t="n"/>
      <c r="AU1251" s="4" t="n"/>
      <c r="AV1251" s="4" t="n"/>
      <c r="AW1251" s="4" t="n"/>
      <c r="AX1251" s="4" t="n"/>
      <c r="AY1251" s="4" t="n"/>
      <c r="AZ1251" s="4" t="n"/>
      <c r="BA1251" s="4" t="n"/>
      <c r="BB1251" s="4" t="n"/>
      <c r="BC1251" s="4" t="n"/>
      <c r="BD1251" s="4" t="n"/>
      <c r="BE1251" s="4" t="n"/>
      <c r="BF1251" s="4" t="n"/>
      <c r="BG1251" s="4" t="n"/>
      <c r="BH1251" s="4" t="n"/>
      <c r="BI1251" s="4" t="n"/>
      <c r="BJ1251" s="4" t="n"/>
      <c r="BK1251" s="4" t="n"/>
      <c r="BL1251" s="4" t="n"/>
      <c r="BM1251" s="4" t="n"/>
      <c r="BN1251" s="4" t="n"/>
      <c r="BO1251" s="4" t="n"/>
      <c r="BP1251" s="4" t="n"/>
      <c r="BQ1251" s="4" t="n"/>
      <c r="BR1251" s="4" t="n"/>
      <c r="BS1251" s="4" t="n"/>
      <c r="BT1251" s="4" t="n"/>
      <c r="BU1251" s="4" t="n"/>
      <c r="BV1251" s="4" t="n"/>
      <c r="BW1251" s="4" t="n"/>
      <c r="BX1251" s="4" t="n"/>
      <c r="BY1251" s="4" t="n"/>
      <c r="BZ1251" s="4" t="n"/>
      <c r="CA1251" s="4" t="n"/>
      <c r="CB1251" s="4" t="n"/>
      <c r="CC1251" s="4" t="n"/>
      <c r="CD1251" s="4" t="n"/>
      <c r="CE1251" s="4" t="n"/>
      <c r="CF1251" s="4" t="n"/>
      <c r="CG1251" s="4" t="n"/>
      <c r="CH1251" s="4" t="n"/>
      <c r="CI1251" s="4" t="n"/>
      <c r="CJ1251" s="4" t="n"/>
      <c r="CK1251" s="4" t="n"/>
      <c r="CL1251" s="4" t="n"/>
      <c r="CM1251" s="4" t="n"/>
      <c r="CN1251" s="4" t="n"/>
      <c r="CO1251" s="4" t="n"/>
      <c r="CP1251" s="4" t="n"/>
      <c r="CQ1251" s="4" t="n"/>
      <c r="CR1251" s="4" t="n"/>
      <c r="CS1251" s="4" t="n"/>
      <c r="CT1251" s="4" t="n"/>
      <c r="CU1251" s="4" t="n"/>
      <c r="CV1251" s="4" t="n"/>
      <c r="CW1251" s="4" t="n"/>
      <c r="CX1251" s="4" t="n"/>
      <c r="CY1251" s="4" t="n"/>
      <c r="CZ1251" s="4" t="n"/>
      <c r="DA1251" s="4" t="n"/>
      <c r="DB1251" s="4" t="n"/>
      <c r="DC1251" s="4" t="n"/>
      <c r="DD1251" s="4" t="n"/>
      <c r="DE1251" s="4" t="n"/>
      <c r="DF1251" s="4" t="n"/>
      <c r="DG1251" s="4" t="n"/>
      <c r="DH1251" s="4" t="n"/>
      <c r="DI1251" s="4" t="n"/>
      <c r="DJ1251" s="4" t="n"/>
      <c r="DK1251" s="4" t="n"/>
      <c r="DL1251" s="4" t="n"/>
      <c r="DM1251" s="4" t="n"/>
      <c r="DN1251" s="4" t="n"/>
      <c r="DO1251" s="4" t="n"/>
      <c r="DP1251" s="4" t="n"/>
      <c r="DQ1251" s="4" t="n"/>
      <c r="DR1251" s="4" t="n"/>
      <c r="DS1251" s="4" t="n"/>
      <c r="DT1251" s="4" t="n"/>
      <c r="DU1251" s="4" t="n"/>
      <c r="DV1251" s="4" t="n"/>
      <c r="DW1251" s="4" t="n"/>
      <c r="DX1251" s="4" t="n"/>
      <c r="DY1251" s="4" t="n"/>
      <c r="DZ1251" s="4" t="n"/>
      <c r="EA1251" s="4" t="n"/>
      <c r="EB1251" s="4" t="n"/>
      <c r="EC1251" s="4" t="n"/>
      <c r="ED1251" s="4" t="n"/>
      <c r="EE1251" s="4" t="n"/>
      <c r="EF1251" s="4" t="n"/>
      <c r="EG1251" s="4" t="n"/>
      <c r="EH1251" s="4" t="n"/>
      <c r="EI1251" s="4" t="n"/>
      <c r="EJ1251" s="4" t="n"/>
      <c r="EK1251" s="4" t="n"/>
      <c r="EL1251" s="4" t="n"/>
      <c r="EM1251" s="4" t="n"/>
    </row>
    <row r="1252" hidden="1" customFormat="1" s="6">
      <c r="C1252" s="4" t="n"/>
      <c r="D1252" s="4" t="n"/>
      <c r="E1252" s="4" t="n"/>
      <c r="F1252" s="4" t="n"/>
      <c r="G1252" s="4" t="n"/>
      <c r="H1252" s="4" t="n"/>
      <c r="I1252" s="4" t="n"/>
      <c r="J1252" s="4" t="n"/>
      <c r="K1252" s="4" t="n"/>
      <c r="L1252" s="4" t="n"/>
      <c r="M1252" s="4" t="n"/>
      <c r="N1252" s="4" t="n"/>
      <c r="O1252" s="4" t="n"/>
      <c r="P1252" s="4" t="n"/>
      <c r="Q1252" s="4" t="n"/>
      <c r="R1252" s="4" t="n"/>
      <c r="S1252" s="4" t="n"/>
      <c r="T1252" s="4" t="n"/>
      <c r="U1252" s="4" t="n"/>
      <c r="V1252" s="4" t="n"/>
      <c r="W1252" s="4" t="n"/>
      <c r="X1252" s="4" t="n"/>
      <c r="Y1252" s="4" t="n"/>
      <c r="Z1252" s="4" t="n"/>
      <c r="AA1252" s="4" t="n"/>
      <c r="AB1252" s="4" t="n"/>
      <c r="AC1252" s="4" t="n"/>
      <c r="AD1252" s="4" t="n"/>
      <c r="AE1252" s="4" t="n"/>
      <c r="AF1252" s="4" t="n"/>
      <c r="AG1252" s="4" t="n"/>
      <c r="AH1252" s="4" t="n"/>
      <c r="AI1252" s="4" t="n"/>
      <c r="AJ1252" s="4" t="n"/>
      <c r="AK1252" s="4" t="n"/>
      <c r="AL1252" s="4" t="n"/>
      <c r="AM1252" s="4" t="n"/>
      <c r="AN1252" s="4" t="n"/>
      <c r="AO1252" s="4" t="n"/>
      <c r="AP1252" s="4" t="n"/>
      <c r="AQ1252" s="4" t="n"/>
      <c r="AR1252" s="4" t="n"/>
      <c r="AS1252" s="4" t="n"/>
      <c r="AT1252" s="4" t="n"/>
      <c r="AU1252" s="4" t="n"/>
      <c r="AV1252" s="4" t="n"/>
      <c r="AW1252" s="4" t="n"/>
      <c r="AX1252" s="4" t="n"/>
      <c r="AY1252" s="4" t="n"/>
      <c r="AZ1252" s="4" t="n"/>
      <c r="BA1252" s="4" t="n"/>
      <c r="BB1252" s="4" t="n"/>
      <c r="BC1252" s="4" t="n"/>
      <c r="BD1252" s="4" t="n"/>
      <c r="BE1252" s="4" t="n"/>
      <c r="BF1252" s="4" t="n"/>
      <c r="BG1252" s="4" t="n"/>
      <c r="BH1252" s="4" t="n"/>
      <c r="BI1252" s="4" t="n"/>
      <c r="BJ1252" s="4" t="n"/>
      <c r="BK1252" s="4" t="n"/>
      <c r="BL1252" s="4" t="n"/>
      <c r="BM1252" s="4" t="n"/>
      <c r="BN1252" s="4" t="n"/>
      <c r="BO1252" s="4" t="n"/>
      <c r="BP1252" s="4" t="n"/>
      <c r="BQ1252" s="4" t="n"/>
      <c r="BR1252" s="4" t="n"/>
      <c r="BS1252" s="4" t="n"/>
      <c r="BT1252" s="4" t="n"/>
      <c r="BU1252" s="4" t="n"/>
      <c r="BV1252" s="4" t="n"/>
      <c r="BW1252" s="4" t="n"/>
      <c r="BX1252" s="4" t="n"/>
      <c r="BY1252" s="4" t="n"/>
      <c r="BZ1252" s="4" t="n"/>
      <c r="CA1252" s="4" t="n"/>
      <c r="CB1252" s="4" t="n"/>
      <c r="CC1252" s="4" t="n"/>
      <c r="CD1252" s="4" t="n"/>
      <c r="CE1252" s="4" t="n"/>
      <c r="CF1252" s="4" t="n"/>
      <c r="CG1252" s="4" t="n"/>
      <c r="CH1252" s="4" t="n"/>
      <c r="CI1252" s="4" t="n"/>
      <c r="CJ1252" s="4" t="n"/>
      <c r="CK1252" s="4" t="n"/>
      <c r="CL1252" s="4" t="n"/>
      <c r="CM1252" s="4" t="n"/>
      <c r="CN1252" s="4" t="n"/>
      <c r="CO1252" s="4" t="n"/>
      <c r="CP1252" s="4" t="n"/>
      <c r="CQ1252" s="4" t="n"/>
      <c r="CR1252" s="4" t="n"/>
      <c r="CS1252" s="4" t="n"/>
      <c r="CT1252" s="4" t="n"/>
      <c r="CU1252" s="4" t="n"/>
      <c r="CV1252" s="4" t="n"/>
      <c r="CW1252" s="4" t="n"/>
      <c r="CX1252" s="4" t="n"/>
      <c r="CY1252" s="4" t="n"/>
      <c r="CZ1252" s="4" t="n"/>
      <c r="DA1252" s="4" t="n"/>
      <c r="DB1252" s="4" t="n"/>
      <c r="DC1252" s="4" t="n"/>
      <c r="DD1252" s="4" t="n"/>
      <c r="DE1252" s="4" t="n"/>
      <c r="DF1252" s="4" t="n"/>
      <c r="DG1252" s="4" t="n"/>
      <c r="DH1252" s="4" t="n"/>
      <c r="DI1252" s="4" t="n"/>
      <c r="DJ1252" s="4" t="n"/>
      <c r="DK1252" s="4" t="n"/>
      <c r="DL1252" s="4" t="n"/>
      <c r="DM1252" s="4" t="n"/>
      <c r="DN1252" s="4" t="n"/>
      <c r="DO1252" s="4" t="n"/>
      <c r="DP1252" s="4" t="n"/>
      <c r="DQ1252" s="4" t="n"/>
      <c r="DR1252" s="4" t="n"/>
      <c r="DS1252" s="4" t="n"/>
      <c r="DT1252" s="4" t="n"/>
      <c r="DU1252" s="4" t="n"/>
      <c r="DV1252" s="4" t="n"/>
      <c r="DW1252" s="4" t="n"/>
      <c r="DX1252" s="4" t="n"/>
      <c r="DY1252" s="4" t="n"/>
      <c r="DZ1252" s="4" t="n"/>
      <c r="EA1252" s="4" t="n"/>
      <c r="EB1252" s="4" t="n"/>
      <c r="EC1252" s="4" t="n"/>
      <c r="ED1252" s="4" t="n"/>
      <c r="EE1252" s="4" t="n"/>
      <c r="EF1252" s="4" t="n"/>
      <c r="EG1252" s="4" t="n"/>
      <c r="EH1252" s="4" t="n"/>
      <c r="EI1252" s="4" t="n"/>
      <c r="EJ1252" s="4" t="n"/>
      <c r="EK1252" s="4" t="n"/>
      <c r="EL1252" s="4" t="n"/>
      <c r="EM1252" s="4" t="n"/>
    </row>
    <row r="1253" hidden="1" customFormat="1" s="6">
      <c r="C1253" s="4" t="n"/>
      <c r="D1253" s="4" t="n"/>
      <c r="E1253" s="4" t="n"/>
      <c r="F1253" s="4" t="n"/>
      <c r="G1253" s="4" t="n"/>
      <c r="H1253" s="4" t="n"/>
      <c r="I1253" s="4" t="n"/>
      <c r="J1253" s="4" t="n"/>
      <c r="K1253" s="4" t="n"/>
      <c r="L1253" s="4" t="n"/>
      <c r="M1253" s="4" t="n"/>
      <c r="N1253" s="4" t="n"/>
      <c r="O1253" s="4" t="n"/>
      <c r="P1253" s="4" t="n"/>
      <c r="Q1253" s="4" t="n"/>
      <c r="R1253" s="4" t="n"/>
      <c r="S1253" s="4" t="n"/>
      <c r="T1253" s="4" t="n"/>
      <c r="U1253" s="4" t="n"/>
      <c r="V1253" s="4" t="n"/>
      <c r="W1253" s="4" t="n"/>
      <c r="X1253" s="4" t="n"/>
      <c r="Y1253" s="4" t="n"/>
      <c r="Z1253" s="4" t="n"/>
      <c r="AA1253" s="4" t="n"/>
      <c r="AB1253" s="4" t="n"/>
      <c r="AC1253" s="4" t="n"/>
      <c r="AD1253" s="4" t="n"/>
      <c r="AE1253" s="4" t="n"/>
      <c r="AF1253" s="4" t="n"/>
      <c r="AG1253" s="4" t="n"/>
      <c r="AH1253" s="4" t="n"/>
      <c r="AI1253" s="4" t="n"/>
      <c r="AJ1253" s="4" t="n"/>
      <c r="AK1253" s="4" t="n"/>
      <c r="AL1253" s="4" t="n"/>
      <c r="AM1253" s="4" t="n"/>
      <c r="AN1253" s="4" t="n"/>
      <c r="AO1253" s="4" t="n"/>
      <c r="AP1253" s="4" t="n"/>
      <c r="AQ1253" s="4" t="n"/>
      <c r="AR1253" s="4" t="n"/>
      <c r="AS1253" s="4" t="n"/>
      <c r="AT1253" s="4" t="n"/>
      <c r="AU1253" s="4" t="n"/>
      <c r="AV1253" s="4" t="n"/>
      <c r="AW1253" s="4" t="n"/>
      <c r="AX1253" s="4" t="n"/>
      <c r="AY1253" s="4" t="n"/>
      <c r="AZ1253" s="4" t="n"/>
      <c r="BA1253" s="4" t="n"/>
      <c r="BB1253" s="4" t="n"/>
      <c r="BC1253" s="4" t="n"/>
      <c r="BD1253" s="4" t="n"/>
      <c r="BE1253" s="4" t="n"/>
      <c r="BF1253" s="4" t="n"/>
      <c r="BG1253" s="4" t="n"/>
      <c r="BH1253" s="4" t="n"/>
      <c r="BI1253" s="4" t="n"/>
      <c r="BJ1253" s="4" t="n"/>
      <c r="BK1253" s="4" t="n"/>
      <c r="BL1253" s="4" t="n"/>
      <c r="BM1253" s="4" t="n"/>
      <c r="BN1253" s="4" t="n"/>
      <c r="BO1253" s="4" t="n"/>
      <c r="BP1253" s="4" t="n"/>
      <c r="BQ1253" s="4" t="n"/>
      <c r="BR1253" s="4" t="n"/>
      <c r="BS1253" s="4" t="n"/>
      <c r="BT1253" s="4" t="n"/>
      <c r="BU1253" s="4" t="n"/>
      <c r="BV1253" s="4" t="n"/>
      <c r="BW1253" s="4" t="n"/>
      <c r="BX1253" s="4" t="n"/>
      <c r="BY1253" s="4" t="n"/>
      <c r="BZ1253" s="4" t="n"/>
      <c r="CA1253" s="4" t="n"/>
      <c r="CB1253" s="4" t="n"/>
      <c r="CC1253" s="4" t="n"/>
      <c r="CD1253" s="4" t="n"/>
      <c r="CE1253" s="4" t="n"/>
      <c r="CF1253" s="4" t="n"/>
      <c r="CG1253" s="4" t="n"/>
      <c r="CH1253" s="4" t="n"/>
      <c r="CI1253" s="4" t="n"/>
      <c r="CJ1253" s="4" t="n"/>
      <c r="CK1253" s="4" t="n"/>
      <c r="CL1253" s="4" t="n"/>
      <c r="CM1253" s="4" t="n"/>
      <c r="CN1253" s="4" t="n"/>
      <c r="CO1253" s="4" t="n"/>
      <c r="CP1253" s="4" t="n"/>
      <c r="CQ1253" s="4" t="n"/>
      <c r="CR1253" s="4" t="n"/>
      <c r="CS1253" s="4" t="n"/>
      <c r="CT1253" s="4" t="n"/>
      <c r="CU1253" s="4" t="n"/>
      <c r="CV1253" s="4" t="n"/>
      <c r="CW1253" s="4" t="n"/>
      <c r="CX1253" s="4" t="n"/>
      <c r="CY1253" s="4" t="n"/>
      <c r="CZ1253" s="4" t="n"/>
      <c r="DA1253" s="4" t="n"/>
      <c r="DB1253" s="4" t="n"/>
      <c r="DC1253" s="4" t="n"/>
      <c r="DD1253" s="4" t="n"/>
      <c r="DE1253" s="4" t="n"/>
      <c r="DF1253" s="4" t="n"/>
      <c r="DG1253" s="4" t="n"/>
      <c r="DH1253" s="4" t="n"/>
      <c r="DI1253" s="4" t="n"/>
      <c r="DJ1253" s="4" t="n"/>
      <c r="DK1253" s="4" t="n"/>
      <c r="DL1253" s="4" t="n"/>
      <c r="DM1253" s="4" t="n"/>
      <c r="DN1253" s="4" t="n"/>
      <c r="DO1253" s="4" t="n"/>
      <c r="DP1253" s="4" t="n"/>
      <c r="DQ1253" s="4" t="n"/>
      <c r="DR1253" s="4" t="n"/>
      <c r="DS1253" s="4" t="n"/>
      <c r="DT1253" s="4" t="n"/>
      <c r="DU1253" s="4" t="n"/>
      <c r="DV1253" s="4" t="n"/>
      <c r="DW1253" s="4" t="n"/>
      <c r="DX1253" s="4" t="n"/>
      <c r="DY1253" s="4" t="n"/>
      <c r="DZ1253" s="4" t="n"/>
      <c r="EA1253" s="4" t="n"/>
      <c r="EB1253" s="4" t="n"/>
      <c r="EC1253" s="4" t="n"/>
      <c r="ED1253" s="4" t="n"/>
      <c r="EE1253" s="4" t="n"/>
      <c r="EF1253" s="4" t="n"/>
      <c r="EG1253" s="4" t="n"/>
      <c r="EH1253" s="4" t="n"/>
      <c r="EI1253" s="4" t="n"/>
      <c r="EJ1253" s="4" t="n"/>
      <c r="EK1253" s="4" t="n"/>
      <c r="EL1253" s="4" t="n"/>
      <c r="EM1253" s="4" t="n"/>
    </row>
    <row r="1254" hidden="1" customFormat="1" s="6">
      <c r="C1254" s="4" t="n"/>
      <c r="D1254" s="4" t="n"/>
      <c r="E1254" s="4" t="n"/>
      <c r="F1254" s="4" t="n"/>
      <c r="G1254" s="4" t="n"/>
      <c r="H1254" s="4" t="n"/>
      <c r="I1254" s="4" t="n"/>
      <c r="J1254" s="4" t="n"/>
      <c r="K1254" s="4" t="n"/>
      <c r="L1254" s="4" t="n"/>
      <c r="M1254" s="4" t="n"/>
      <c r="N1254" s="4" t="n"/>
      <c r="O1254" s="4" t="n"/>
      <c r="P1254" s="4" t="n"/>
      <c r="Q1254" s="4" t="n"/>
      <c r="R1254" s="4" t="n"/>
      <c r="S1254" s="4" t="n"/>
      <c r="T1254" s="4" t="n"/>
      <c r="U1254" s="4" t="n"/>
      <c r="V1254" s="4" t="n"/>
      <c r="W1254" s="4" t="n"/>
      <c r="X1254" s="4" t="n"/>
      <c r="Y1254" s="4" t="n"/>
      <c r="Z1254" s="4" t="n"/>
      <c r="AA1254" s="4" t="n"/>
      <c r="AB1254" s="4" t="n"/>
      <c r="AC1254" s="4" t="n"/>
      <c r="AD1254" s="4" t="n"/>
      <c r="AE1254" s="4" t="n"/>
      <c r="AF1254" s="4" t="n"/>
      <c r="AG1254" s="4" t="n"/>
      <c r="AH1254" s="4" t="n"/>
      <c r="AI1254" s="4" t="n"/>
      <c r="AJ1254" s="4" t="n"/>
      <c r="AK1254" s="4" t="n"/>
      <c r="AL1254" s="4" t="n"/>
      <c r="AM1254" s="4" t="n"/>
      <c r="AN1254" s="4" t="n"/>
      <c r="AO1254" s="4" t="n"/>
      <c r="AP1254" s="4" t="n"/>
      <c r="AQ1254" s="4" t="n"/>
      <c r="AR1254" s="4" t="n"/>
      <c r="AS1254" s="4" t="n"/>
      <c r="AT1254" s="4" t="n"/>
      <c r="AU1254" s="4" t="n"/>
      <c r="AV1254" s="4" t="n"/>
      <c r="AW1254" s="4" t="n"/>
      <c r="AX1254" s="4" t="n"/>
      <c r="AY1254" s="4" t="n"/>
      <c r="AZ1254" s="4" t="n"/>
      <c r="BA1254" s="4" t="n"/>
      <c r="BB1254" s="4" t="n"/>
      <c r="BC1254" s="4" t="n"/>
      <c r="BD1254" s="4" t="n"/>
      <c r="BE1254" s="4" t="n"/>
      <c r="BF1254" s="4" t="n"/>
      <c r="BG1254" s="4" t="n"/>
      <c r="BH1254" s="4" t="n"/>
      <c r="BI1254" s="4" t="n"/>
      <c r="BJ1254" s="4" t="n"/>
      <c r="BK1254" s="4" t="n"/>
      <c r="BL1254" s="4" t="n"/>
      <c r="BM1254" s="4" t="n"/>
      <c r="BN1254" s="4" t="n"/>
      <c r="BO1254" s="4" t="n"/>
      <c r="BP1254" s="4" t="n"/>
      <c r="BQ1254" s="4" t="n"/>
      <c r="BR1254" s="4" t="n"/>
      <c r="BS1254" s="4" t="n"/>
      <c r="BT1254" s="4" t="n"/>
      <c r="BU1254" s="4" t="n"/>
      <c r="BV1254" s="4" t="n"/>
      <c r="BW1254" s="4" t="n"/>
      <c r="BX1254" s="4" t="n"/>
      <c r="BY1254" s="4" t="n"/>
      <c r="BZ1254" s="4" t="n"/>
      <c r="CA1254" s="4" t="n"/>
      <c r="CB1254" s="4" t="n"/>
      <c r="CC1254" s="4" t="n"/>
      <c r="CD1254" s="4" t="n"/>
      <c r="CE1254" s="4" t="n"/>
      <c r="CF1254" s="4" t="n"/>
      <c r="CG1254" s="4" t="n"/>
      <c r="CH1254" s="4" t="n"/>
      <c r="CI1254" s="4" t="n"/>
      <c r="CJ1254" s="4" t="n"/>
      <c r="CK1254" s="4" t="n"/>
      <c r="CL1254" s="4" t="n"/>
      <c r="CM1254" s="4" t="n"/>
      <c r="CN1254" s="4" t="n"/>
      <c r="CO1254" s="4" t="n"/>
      <c r="CP1254" s="4" t="n"/>
      <c r="CQ1254" s="4" t="n"/>
      <c r="CR1254" s="4" t="n"/>
      <c r="CS1254" s="4" t="n"/>
      <c r="CT1254" s="4" t="n"/>
      <c r="CU1254" s="4" t="n"/>
      <c r="CV1254" s="4" t="n"/>
      <c r="CW1254" s="4" t="n"/>
      <c r="CX1254" s="4" t="n"/>
      <c r="CY1254" s="4" t="n"/>
      <c r="CZ1254" s="4" t="n"/>
      <c r="DA1254" s="4" t="n"/>
      <c r="DB1254" s="4" t="n"/>
      <c r="DC1254" s="4" t="n"/>
      <c r="DD1254" s="4" t="n"/>
      <c r="DE1254" s="4" t="n"/>
      <c r="DF1254" s="4" t="n"/>
      <c r="DG1254" s="4" t="n"/>
      <c r="DH1254" s="4" t="n"/>
      <c r="DI1254" s="4" t="n"/>
      <c r="DJ1254" s="4" t="n"/>
      <c r="DK1254" s="4" t="n"/>
      <c r="DL1254" s="4" t="n"/>
      <c r="DM1254" s="4" t="n"/>
      <c r="DN1254" s="4" t="n"/>
      <c r="DO1254" s="4" t="n"/>
      <c r="DP1254" s="4" t="n"/>
      <c r="DQ1254" s="4" t="n"/>
      <c r="DR1254" s="4" t="n"/>
      <c r="DS1254" s="4" t="n"/>
      <c r="DT1254" s="4" t="n"/>
      <c r="DU1254" s="4" t="n"/>
      <c r="DV1254" s="4" t="n"/>
      <c r="DW1254" s="4" t="n"/>
      <c r="DX1254" s="4" t="n"/>
      <c r="DY1254" s="4" t="n"/>
      <c r="DZ1254" s="4" t="n"/>
      <c r="EA1254" s="4" t="n"/>
      <c r="EB1254" s="4" t="n"/>
      <c r="EC1254" s="4" t="n"/>
      <c r="ED1254" s="4" t="n"/>
      <c r="EE1254" s="4" t="n"/>
      <c r="EF1254" s="4" t="n"/>
      <c r="EG1254" s="4" t="n"/>
      <c r="EH1254" s="4" t="n"/>
      <c r="EI1254" s="4" t="n"/>
      <c r="EJ1254" s="4" t="n"/>
      <c r="EK1254" s="4" t="n"/>
      <c r="EL1254" s="4" t="n"/>
      <c r="EM1254" s="4" t="n"/>
    </row>
    <row r="1255" hidden="1" customFormat="1" s="6">
      <c r="C1255" s="4" t="n"/>
      <c r="D1255" s="4" t="n"/>
      <c r="E1255" s="4" t="n"/>
      <c r="F1255" s="4" t="n"/>
      <c r="G1255" s="4" t="n"/>
      <c r="H1255" s="4" t="n"/>
      <c r="I1255" s="4" t="n"/>
      <c r="J1255" s="4" t="n"/>
      <c r="K1255" s="4" t="n"/>
      <c r="L1255" s="4" t="n"/>
      <c r="M1255" s="4" t="n"/>
      <c r="N1255" s="4" t="n"/>
      <c r="O1255" s="4" t="n"/>
      <c r="P1255" s="4" t="n"/>
      <c r="Q1255" s="4" t="n"/>
      <c r="R1255" s="4" t="n"/>
      <c r="S1255" s="4" t="n"/>
      <c r="T1255" s="4" t="n"/>
      <c r="U1255" s="4" t="n"/>
      <c r="V1255" s="4" t="n"/>
      <c r="W1255" s="4" t="n"/>
      <c r="X1255" s="4" t="n"/>
      <c r="Y1255" s="4" t="n"/>
      <c r="Z1255" s="4" t="n"/>
      <c r="AA1255" s="4" t="n"/>
      <c r="AB1255" s="4" t="n"/>
      <c r="AC1255" s="4" t="n"/>
      <c r="AD1255" s="4" t="n"/>
      <c r="AE1255" s="4" t="n"/>
      <c r="AF1255" s="4" t="n"/>
      <c r="AG1255" s="4" t="n"/>
      <c r="AH1255" s="4" t="n"/>
      <c r="AI1255" s="4" t="n"/>
      <c r="AJ1255" s="4" t="n"/>
      <c r="AK1255" s="4" t="n"/>
      <c r="AL1255" s="4" t="n"/>
      <c r="AM1255" s="4" t="n"/>
      <c r="AN1255" s="4" t="n"/>
      <c r="AO1255" s="4" t="n"/>
      <c r="AP1255" s="4" t="n"/>
      <c r="AQ1255" s="4" t="n"/>
      <c r="AR1255" s="4" t="n"/>
      <c r="AS1255" s="4" t="n"/>
      <c r="AT1255" s="4" t="n"/>
      <c r="AU1255" s="4" t="n"/>
      <c r="AV1255" s="4" t="n"/>
      <c r="AW1255" s="4" t="n"/>
      <c r="AX1255" s="4" t="n"/>
      <c r="AY1255" s="4" t="n"/>
      <c r="AZ1255" s="4" t="n"/>
      <c r="BA1255" s="4" t="n"/>
      <c r="BB1255" s="4" t="n"/>
      <c r="BC1255" s="4" t="n"/>
      <c r="BD1255" s="4" t="n"/>
      <c r="BE1255" s="4" t="n"/>
      <c r="BF1255" s="4" t="n"/>
      <c r="BG1255" s="4" t="n"/>
      <c r="BH1255" s="4" t="n"/>
      <c r="BI1255" s="4" t="n"/>
      <c r="BJ1255" s="4" t="n"/>
      <c r="BK1255" s="4" t="n"/>
      <c r="BL1255" s="4" t="n"/>
      <c r="BM1255" s="4" t="n"/>
      <c r="BN1255" s="4" t="n"/>
      <c r="BO1255" s="4" t="n"/>
      <c r="BP1255" s="4" t="n"/>
      <c r="BQ1255" s="4" t="n"/>
      <c r="BR1255" s="4" t="n"/>
      <c r="BS1255" s="4" t="n"/>
      <c r="BT1255" s="4" t="n"/>
      <c r="BU1255" s="4" t="n"/>
      <c r="BV1255" s="4" t="n"/>
      <c r="BW1255" s="4" t="n"/>
      <c r="BX1255" s="4" t="n"/>
      <c r="BY1255" s="4" t="n"/>
      <c r="BZ1255" s="4" t="n"/>
      <c r="CA1255" s="4" t="n"/>
      <c r="CB1255" s="4" t="n"/>
      <c r="CC1255" s="4" t="n"/>
      <c r="CD1255" s="4" t="n"/>
      <c r="CE1255" s="4" t="n"/>
      <c r="CF1255" s="4" t="n"/>
      <c r="CG1255" s="4" t="n"/>
      <c r="CH1255" s="4" t="n"/>
      <c r="CI1255" s="4" t="n"/>
      <c r="CJ1255" s="4" t="n"/>
      <c r="CK1255" s="4" t="n"/>
      <c r="CL1255" s="4" t="n"/>
      <c r="CM1255" s="4" t="n"/>
      <c r="CN1255" s="4" t="n"/>
      <c r="CO1255" s="4" t="n"/>
      <c r="CP1255" s="4" t="n"/>
      <c r="CQ1255" s="4" t="n"/>
      <c r="CR1255" s="4" t="n"/>
      <c r="CS1255" s="4" t="n"/>
      <c r="CT1255" s="4" t="n"/>
      <c r="CU1255" s="4" t="n"/>
      <c r="CV1255" s="4" t="n"/>
      <c r="CW1255" s="4" t="n"/>
      <c r="CX1255" s="4" t="n"/>
      <c r="CY1255" s="4" t="n"/>
      <c r="CZ1255" s="4" t="n"/>
      <c r="DA1255" s="4" t="n"/>
      <c r="DB1255" s="4" t="n"/>
      <c r="DC1255" s="4" t="n"/>
      <c r="DD1255" s="4" t="n"/>
      <c r="DE1255" s="4" t="n"/>
      <c r="DF1255" s="4" t="n"/>
      <c r="DG1255" s="4" t="n"/>
      <c r="DH1255" s="4" t="n"/>
      <c r="DI1255" s="4" t="n"/>
      <c r="DJ1255" s="4" t="n"/>
      <c r="DK1255" s="4" t="n"/>
      <c r="DL1255" s="4" t="n"/>
      <c r="DM1255" s="4" t="n"/>
      <c r="DN1255" s="4" t="n"/>
      <c r="DO1255" s="4" t="n"/>
      <c r="DP1255" s="4" t="n"/>
      <c r="DQ1255" s="4" t="n"/>
      <c r="DR1255" s="4" t="n"/>
      <c r="DS1255" s="4" t="n"/>
      <c r="DT1255" s="4" t="n"/>
      <c r="DU1255" s="4" t="n"/>
      <c r="DV1255" s="4" t="n"/>
      <c r="DW1255" s="4" t="n"/>
      <c r="DX1255" s="4" t="n"/>
      <c r="DY1255" s="4" t="n"/>
      <c r="DZ1255" s="4" t="n"/>
      <c r="EA1255" s="4" t="n"/>
      <c r="EB1255" s="4" t="n"/>
      <c r="EC1255" s="4" t="n"/>
      <c r="ED1255" s="4" t="n"/>
      <c r="EE1255" s="4" t="n"/>
      <c r="EF1255" s="4" t="n"/>
      <c r="EG1255" s="4" t="n"/>
      <c r="EH1255" s="4" t="n"/>
      <c r="EI1255" s="4" t="n"/>
      <c r="EJ1255" s="4" t="n"/>
      <c r="EK1255" s="4" t="n"/>
      <c r="EL1255" s="4" t="n"/>
      <c r="EM1255" s="4" t="n"/>
    </row>
    <row r="1256" hidden="1" customFormat="1" s="6">
      <c r="C1256" s="4" t="n"/>
      <c r="D1256" s="4" t="n"/>
      <c r="E1256" s="4" t="n"/>
      <c r="F1256" s="4" t="n"/>
      <c r="G1256" s="4" t="n"/>
      <c r="H1256" s="4" t="n"/>
      <c r="I1256" s="4" t="n"/>
      <c r="J1256" s="4" t="n"/>
      <c r="K1256" s="4" t="n"/>
      <c r="L1256" s="4" t="n"/>
      <c r="M1256" s="4" t="n"/>
      <c r="N1256" s="4" t="n"/>
      <c r="O1256" s="4" t="n"/>
      <c r="P1256" s="4" t="n"/>
      <c r="Q1256" s="4" t="n"/>
      <c r="R1256" s="4" t="n"/>
      <c r="S1256" s="4" t="n"/>
      <c r="T1256" s="4" t="n"/>
      <c r="U1256" s="4" t="n"/>
      <c r="V1256" s="4" t="n"/>
      <c r="W1256" s="4" t="n"/>
      <c r="X1256" s="4" t="n"/>
      <c r="Y1256" s="4" t="n"/>
      <c r="Z1256" s="4" t="n"/>
      <c r="AA1256" s="4" t="n"/>
      <c r="AB1256" s="4" t="n"/>
      <c r="AC1256" s="4" t="n"/>
      <c r="AD1256" s="4" t="n"/>
      <c r="AE1256" s="4" t="n"/>
      <c r="AF1256" s="4" t="n"/>
      <c r="AG1256" s="4" t="n"/>
      <c r="AH1256" s="4" t="n"/>
      <c r="AI1256" s="4" t="n"/>
      <c r="AJ1256" s="4" t="n"/>
      <c r="AK1256" s="4" t="n"/>
      <c r="AL1256" s="4" t="n"/>
      <c r="AM1256" s="4" t="n"/>
      <c r="AN1256" s="4" t="n"/>
      <c r="AO1256" s="4" t="n"/>
      <c r="AP1256" s="4" t="n"/>
      <c r="AQ1256" s="4" t="n"/>
      <c r="AR1256" s="4" t="n"/>
      <c r="AS1256" s="4" t="n"/>
      <c r="AT1256" s="4" t="n"/>
      <c r="AU1256" s="4" t="n"/>
      <c r="AV1256" s="4" t="n"/>
      <c r="AW1256" s="4" t="n"/>
      <c r="AX1256" s="4" t="n"/>
      <c r="AY1256" s="4" t="n"/>
      <c r="AZ1256" s="4" t="n"/>
      <c r="BA1256" s="4" t="n"/>
      <c r="BB1256" s="4" t="n"/>
      <c r="BC1256" s="4" t="n"/>
      <c r="BD1256" s="4" t="n"/>
      <c r="BE1256" s="4" t="n"/>
      <c r="BF1256" s="4" t="n"/>
      <c r="BG1256" s="4" t="n"/>
      <c r="BH1256" s="4" t="n"/>
      <c r="BI1256" s="4" t="n"/>
      <c r="BJ1256" s="4" t="n"/>
      <c r="BK1256" s="4" t="n"/>
      <c r="BL1256" s="4" t="n"/>
      <c r="BM1256" s="4" t="n"/>
      <c r="BN1256" s="4" t="n"/>
      <c r="BO1256" s="4" t="n"/>
      <c r="BP1256" s="4" t="n"/>
      <c r="BQ1256" s="4" t="n"/>
      <c r="BR1256" s="4" t="n"/>
      <c r="BS1256" s="4" t="n"/>
      <c r="BT1256" s="4" t="n"/>
      <c r="BU1256" s="4" t="n"/>
      <c r="BV1256" s="4" t="n"/>
      <c r="BW1256" s="4" t="n"/>
      <c r="BX1256" s="4" t="n"/>
      <c r="BY1256" s="4" t="n"/>
      <c r="BZ1256" s="4" t="n"/>
      <c r="CA1256" s="4" t="n"/>
      <c r="CB1256" s="4" t="n"/>
      <c r="CC1256" s="4" t="n"/>
      <c r="CD1256" s="4" t="n"/>
      <c r="CE1256" s="4" t="n"/>
      <c r="CF1256" s="4" t="n"/>
      <c r="CG1256" s="4" t="n"/>
      <c r="CH1256" s="4" t="n"/>
      <c r="CI1256" s="4" t="n"/>
      <c r="CJ1256" s="4" t="n"/>
      <c r="CK1256" s="4" t="n"/>
      <c r="CL1256" s="4" t="n"/>
      <c r="CM1256" s="4" t="n"/>
      <c r="CN1256" s="4" t="n"/>
      <c r="CO1256" s="4" t="n"/>
      <c r="CP1256" s="4" t="n"/>
      <c r="CQ1256" s="4" t="n"/>
      <c r="CR1256" s="4" t="n"/>
      <c r="CS1256" s="4" t="n"/>
      <c r="CT1256" s="4" t="n"/>
      <c r="CU1256" s="4" t="n"/>
      <c r="CV1256" s="4" t="n"/>
      <c r="CW1256" s="4" t="n"/>
      <c r="CX1256" s="4" t="n"/>
      <c r="CY1256" s="4" t="n"/>
      <c r="CZ1256" s="4" t="n"/>
      <c r="DA1256" s="4" t="n"/>
      <c r="DB1256" s="4" t="n"/>
      <c r="DC1256" s="4" t="n"/>
      <c r="DD1256" s="4" t="n"/>
      <c r="DE1256" s="4" t="n"/>
      <c r="DF1256" s="4" t="n"/>
      <c r="DG1256" s="4" t="n"/>
      <c r="DH1256" s="4" t="n"/>
      <c r="DI1256" s="4" t="n"/>
      <c r="DJ1256" s="4" t="n"/>
      <c r="DK1256" s="4" t="n"/>
      <c r="DL1256" s="4" t="n"/>
      <c r="DM1256" s="4" t="n"/>
      <c r="DN1256" s="4" t="n"/>
      <c r="DO1256" s="4" t="n"/>
      <c r="DP1256" s="4" t="n"/>
      <c r="DQ1256" s="4" t="n"/>
      <c r="DR1256" s="4" t="n"/>
      <c r="DS1256" s="4" t="n"/>
      <c r="DT1256" s="4" t="n"/>
      <c r="DU1256" s="4" t="n"/>
      <c r="DV1256" s="4" t="n"/>
      <c r="DW1256" s="4" t="n"/>
      <c r="DX1256" s="4" t="n"/>
      <c r="DY1256" s="4" t="n"/>
      <c r="DZ1256" s="4" t="n"/>
      <c r="EA1256" s="4" t="n"/>
      <c r="EB1256" s="4" t="n"/>
      <c r="EC1256" s="4" t="n"/>
      <c r="ED1256" s="4" t="n"/>
      <c r="EE1256" s="4" t="n"/>
      <c r="EF1256" s="4" t="n"/>
      <c r="EG1256" s="4" t="n"/>
      <c r="EH1256" s="4" t="n"/>
      <c r="EI1256" s="4" t="n"/>
      <c r="EJ1256" s="4" t="n"/>
      <c r="EK1256" s="4" t="n"/>
      <c r="EL1256" s="4" t="n"/>
      <c r="EM1256" s="4" t="n"/>
    </row>
    <row r="1257" hidden="1" customFormat="1" s="6">
      <c r="C1257" s="4" t="n"/>
      <c r="D1257" s="4" t="n"/>
      <c r="E1257" s="4" t="n"/>
      <c r="F1257" s="4" t="n"/>
      <c r="G1257" s="4" t="n"/>
      <c r="H1257" s="4" t="n"/>
      <c r="I1257" s="4" t="n"/>
      <c r="J1257" s="4" t="n"/>
      <c r="K1257" s="4" t="n"/>
      <c r="L1257" s="4" t="n"/>
      <c r="M1257" s="4" t="n"/>
      <c r="N1257" s="4" t="n"/>
      <c r="O1257" s="4" t="n"/>
      <c r="P1257" s="4" t="n"/>
      <c r="Q1257" s="4" t="n"/>
      <c r="R1257" s="4" t="n"/>
      <c r="S1257" s="4" t="n"/>
      <c r="T1257" s="4" t="n"/>
      <c r="U1257" s="4" t="n"/>
      <c r="V1257" s="4" t="n"/>
      <c r="W1257" s="4" t="n"/>
      <c r="X1257" s="4" t="n"/>
      <c r="Y1257" s="4" t="n"/>
      <c r="Z1257" s="4" t="n"/>
      <c r="AA1257" s="4" t="n"/>
      <c r="AB1257" s="4" t="n"/>
      <c r="AC1257" s="4" t="n"/>
      <c r="AD1257" s="4" t="n"/>
      <c r="AE1257" s="4" t="n"/>
      <c r="AF1257" s="4" t="n"/>
      <c r="AG1257" s="4" t="n"/>
      <c r="AH1257" s="4" t="n"/>
      <c r="AI1257" s="4" t="n"/>
      <c r="AJ1257" s="4" t="n"/>
      <c r="AK1257" s="4" t="n"/>
      <c r="AL1257" s="4" t="n"/>
      <c r="AM1257" s="4" t="n"/>
      <c r="AN1257" s="4" t="n"/>
      <c r="AO1257" s="4" t="n"/>
      <c r="AP1257" s="4" t="n"/>
      <c r="AQ1257" s="4" t="n"/>
      <c r="AR1257" s="4" t="n"/>
      <c r="AS1257" s="4" t="n"/>
      <c r="AT1257" s="4" t="n"/>
      <c r="AU1257" s="4" t="n"/>
      <c r="AV1257" s="4" t="n"/>
      <c r="AW1257" s="4" t="n"/>
      <c r="AX1257" s="4" t="n"/>
      <c r="AY1257" s="4" t="n"/>
      <c r="AZ1257" s="4" t="n"/>
      <c r="BA1257" s="4" t="n"/>
      <c r="BB1257" s="4" t="n"/>
      <c r="BC1257" s="4" t="n"/>
      <c r="BD1257" s="4" t="n"/>
      <c r="BE1257" s="4" t="n"/>
      <c r="BF1257" s="4" t="n"/>
      <c r="BG1257" s="4" t="n"/>
      <c r="BH1257" s="4" t="n"/>
      <c r="BI1257" s="4" t="n"/>
      <c r="BJ1257" s="4" t="n"/>
      <c r="BK1257" s="4" t="n"/>
      <c r="BL1257" s="4" t="n"/>
      <c r="BM1257" s="4" t="n"/>
      <c r="BN1257" s="4" t="n"/>
      <c r="BO1257" s="4" t="n"/>
      <c r="BP1257" s="4" t="n"/>
      <c r="BQ1257" s="4" t="n"/>
      <c r="BR1257" s="4" t="n"/>
      <c r="BS1257" s="4" t="n"/>
      <c r="BT1257" s="4" t="n"/>
      <c r="BU1257" s="4" t="n"/>
      <c r="BV1257" s="4" t="n"/>
      <c r="BW1257" s="4" t="n"/>
      <c r="BX1257" s="4" t="n"/>
      <c r="BY1257" s="4" t="n"/>
      <c r="BZ1257" s="4" t="n"/>
      <c r="CA1257" s="4" t="n"/>
      <c r="CB1257" s="4" t="n"/>
      <c r="CC1257" s="4" t="n"/>
      <c r="CD1257" s="4" t="n"/>
      <c r="CE1257" s="4" t="n"/>
      <c r="CF1257" s="4" t="n"/>
      <c r="CG1257" s="4" t="n"/>
      <c r="CH1257" s="4" t="n"/>
      <c r="CI1257" s="4" t="n"/>
      <c r="CJ1257" s="4" t="n"/>
      <c r="CK1257" s="4" t="n"/>
      <c r="CL1257" s="4" t="n"/>
      <c r="CM1257" s="4" t="n"/>
      <c r="CN1257" s="4" t="n"/>
      <c r="CO1257" s="4" t="n"/>
      <c r="CP1257" s="4" t="n"/>
      <c r="CQ1257" s="4" t="n"/>
      <c r="CR1257" s="4" t="n"/>
      <c r="CS1257" s="4" t="n"/>
      <c r="CT1257" s="4" t="n"/>
      <c r="CU1257" s="4" t="n"/>
      <c r="CV1257" s="4" t="n"/>
      <c r="CW1257" s="4" t="n"/>
      <c r="CX1257" s="4" t="n"/>
      <c r="CY1257" s="4" t="n"/>
      <c r="CZ1257" s="4" t="n"/>
      <c r="DA1257" s="4" t="n"/>
      <c r="DB1257" s="4" t="n"/>
      <c r="DC1257" s="4" t="n"/>
      <c r="DD1257" s="4" t="n"/>
      <c r="DE1257" s="4" t="n"/>
      <c r="DF1257" s="4" t="n"/>
      <c r="DG1257" s="4" t="n"/>
      <c r="DH1257" s="4" t="n"/>
      <c r="DI1257" s="4" t="n"/>
      <c r="DJ1257" s="4" t="n"/>
      <c r="DK1257" s="4" t="n"/>
      <c r="DL1257" s="4" t="n"/>
      <c r="DM1257" s="4" t="n"/>
      <c r="DN1257" s="4" t="n"/>
      <c r="DO1257" s="4" t="n"/>
      <c r="DP1257" s="4" t="n"/>
      <c r="DQ1257" s="4" t="n"/>
      <c r="DR1257" s="4" t="n"/>
      <c r="DS1257" s="4" t="n"/>
      <c r="DT1257" s="4" t="n"/>
      <c r="DU1257" s="4" t="n"/>
      <c r="DV1257" s="4" t="n"/>
      <c r="DW1257" s="4" t="n"/>
      <c r="DX1257" s="4" t="n"/>
      <c r="DY1257" s="4" t="n"/>
      <c r="DZ1257" s="4" t="n"/>
      <c r="EA1257" s="4" t="n"/>
      <c r="EB1257" s="4" t="n"/>
      <c r="EC1257" s="4" t="n"/>
      <c r="ED1257" s="4" t="n"/>
      <c r="EE1257" s="4" t="n"/>
      <c r="EF1257" s="4" t="n"/>
      <c r="EG1257" s="4" t="n"/>
      <c r="EH1257" s="4" t="n"/>
      <c r="EI1257" s="4" t="n"/>
      <c r="EJ1257" s="4" t="n"/>
      <c r="EK1257" s="4" t="n"/>
      <c r="EL1257" s="4" t="n"/>
      <c r="EM1257" s="4" t="n"/>
    </row>
    <row r="1258" hidden="1" customFormat="1" s="6">
      <c r="C1258" s="4" t="n"/>
      <c r="D1258" s="4" t="n"/>
      <c r="E1258" s="4" t="n"/>
      <c r="F1258" s="4" t="n"/>
      <c r="G1258" s="4" t="n"/>
      <c r="H1258" s="4" t="n"/>
      <c r="I1258" s="4" t="n"/>
      <c r="J1258" s="4" t="n"/>
      <c r="K1258" s="4" t="n"/>
      <c r="L1258" s="4" t="n"/>
      <c r="M1258" s="4" t="n"/>
      <c r="N1258" s="4" t="n"/>
      <c r="O1258" s="4" t="n"/>
      <c r="P1258" s="4" t="n"/>
      <c r="Q1258" s="4" t="n"/>
      <c r="R1258" s="4" t="n"/>
      <c r="S1258" s="4" t="n"/>
      <c r="T1258" s="4" t="n"/>
      <c r="U1258" s="4" t="n"/>
      <c r="V1258" s="4" t="n"/>
      <c r="W1258" s="4" t="n"/>
      <c r="X1258" s="4" t="n"/>
      <c r="Y1258" s="4" t="n"/>
      <c r="Z1258" s="4" t="n"/>
      <c r="AA1258" s="4" t="n"/>
      <c r="AB1258" s="4" t="n"/>
      <c r="AC1258" s="4" t="n"/>
      <c r="AD1258" s="4" t="n"/>
      <c r="AE1258" s="4" t="n"/>
      <c r="AF1258" s="4" t="n"/>
      <c r="AG1258" s="4" t="n"/>
      <c r="AH1258" s="4" t="n"/>
      <c r="AI1258" s="4" t="n"/>
      <c r="AJ1258" s="4" t="n"/>
      <c r="AK1258" s="4" t="n"/>
      <c r="AL1258" s="4" t="n"/>
      <c r="AM1258" s="4" t="n"/>
      <c r="AN1258" s="4" t="n"/>
      <c r="AO1258" s="4" t="n"/>
      <c r="AP1258" s="4" t="n"/>
      <c r="AQ1258" s="4" t="n"/>
      <c r="AR1258" s="4" t="n"/>
      <c r="AS1258" s="4" t="n"/>
      <c r="AT1258" s="4" t="n"/>
      <c r="AU1258" s="4" t="n"/>
      <c r="AV1258" s="4" t="n"/>
      <c r="AW1258" s="4" t="n"/>
      <c r="AX1258" s="4" t="n"/>
      <c r="AY1258" s="4" t="n"/>
      <c r="AZ1258" s="4" t="n"/>
      <c r="BA1258" s="4" t="n"/>
      <c r="BB1258" s="4" t="n"/>
      <c r="BC1258" s="4" t="n"/>
      <c r="BD1258" s="4" t="n"/>
      <c r="BE1258" s="4" t="n"/>
      <c r="BF1258" s="4" t="n"/>
      <c r="BG1258" s="4" t="n"/>
      <c r="BH1258" s="4" t="n"/>
      <c r="BI1258" s="4" t="n"/>
      <c r="BJ1258" s="4" t="n"/>
      <c r="BK1258" s="4" t="n"/>
      <c r="BL1258" s="4" t="n"/>
      <c r="BM1258" s="4" t="n"/>
      <c r="BN1258" s="4" t="n"/>
      <c r="BO1258" s="4" t="n"/>
      <c r="BP1258" s="4" t="n"/>
      <c r="BQ1258" s="4" t="n"/>
      <c r="BR1258" s="4" t="n"/>
      <c r="BS1258" s="4" t="n"/>
      <c r="BT1258" s="4" t="n"/>
      <c r="BU1258" s="4" t="n"/>
      <c r="BV1258" s="4" t="n"/>
      <c r="BW1258" s="4" t="n"/>
      <c r="BX1258" s="4" t="n"/>
      <c r="BY1258" s="4" t="n"/>
      <c r="BZ1258" s="4" t="n"/>
      <c r="CA1258" s="4" t="n"/>
      <c r="CB1258" s="4" t="n"/>
      <c r="CC1258" s="4" t="n"/>
      <c r="CD1258" s="4" t="n"/>
      <c r="CE1258" s="4" t="n"/>
      <c r="CF1258" s="4" t="n"/>
      <c r="CG1258" s="4" t="n"/>
      <c r="CH1258" s="4" t="n"/>
      <c r="CI1258" s="4" t="n"/>
      <c r="CJ1258" s="4" t="n"/>
      <c r="CK1258" s="4" t="n"/>
      <c r="CL1258" s="4" t="n"/>
      <c r="CM1258" s="4" t="n"/>
      <c r="CN1258" s="4" t="n"/>
      <c r="CO1258" s="4" t="n"/>
      <c r="CP1258" s="4" t="n"/>
      <c r="CQ1258" s="4" t="n"/>
      <c r="CR1258" s="4" t="n"/>
      <c r="CS1258" s="4" t="n"/>
      <c r="CT1258" s="4" t="n"/>
      <c r="CU1258" s="4" t="n"/>
      <c r="CV1258" s="4" t="n"/>
      <c r="CW1258" s="4" t="n"/>
      <c r="CX1258" s="4" t="n"/>
      <c r="CY1258" s="4" t="n"/>
      <c r="CZ1258" s="4" t="n"/>
      <c r="DA1258" s="4" t="n"/>
      <c r="DB1258" s="4" t="n"/>
      <c r="DC1258" s="4" t="n"/>
      <c r="DD1258" s="4" t="n"/>
      <c r="DE1258" s="4" t="n"/>
      <c r="DF1258" s="4" t="n"/>
      <c r="DG1258" s="4" t="n"/>
      <c r="DH1258" s="4" t="n"/>
      <c r="DI1258" s="4" t="n"/>
      <c r="DJ1258" s="4" t="n"/>
      <c r="DK1258" s="4" t="n"/>
      <c r="DL1258" s="4" t="n"/>
      <c r="DM1258" s="4" t="n"/>
      <c r="DN1258" s="4" t="n"/>
      <c r="DO1258" s="4" t="n"/>
      <c r="DP1258" s="4" t="n"/>
      <c r="DQ1258" s="4" t="n"/>
      <c r="DR1258" s="4" t="n"/>
      <c r="DS1258" s="4" t="n"/>
      <c r="DT1258" s="4" t="n"/>
      <c r="DU1258" s="4" t="n"/>
      <c r="DV1258" s="4" t="n"/>
      <c r="DW1258" s="4" t="n"/>
      <c r="DX1258" s="4" t="n"/>
      <c r="DY1258" s="4" t="n"/>
      <c r="DZ1258" s="4" t="n"/>
      <c r="EA1258" s="4" t="n"/>
      <c r="EB1258" s="4" t="n"/>
      <c r="EC1258" s="4" t="n"/>
      <c r="ED1258" s="4" t="n"/>
      <c r="EE1258" s="4" t="n"/>
      <c r="EF1258" s="4" t="n"/>
      <c r="EG1258" s="4" t="n"/>
      <c r="EH1258" s="4" t="n"/>
      <c r="EI1258" s="4" t="n"/>
      <c r="EJ1258" s="4" t="n"/>
      <c r="EK1258" s="4" t="n"/>
      <c r="EL1258" s="4" t="n"/>
      <c r="EM1258" s="4" t="n"/>
    </row>
    <row r="1259" hidden="1" customFormat="1" s="6">
      <c r="C1259" s="4" t="n"/>
      <c r="D1259" s="4" t="n"/>
      <c r="E1259" s="4" t="n"/>
      <c r="F1259" s="4" t="n"/>
      <c r="G1259" s="4" t="n"/>
      <c r="H1259" s="4" t="n"/>
      <c r="I1259" s="4" t="n"/>
      <c r="J1259" s="4" t="n"/>
      <c r="K1259" s="4" t="n"/>
      <c r="L1259" s="4" t="n"/>
      <c r="M1259" s="4" t="n"/>
      <c r="N1259" s="4" t="n"/>
      <c r="O1259" s="4" t="n"/>
      <c r="P1259" s="4" t="n"/>
      <c r="Q1259" s="4" t="n"/>
      <c r="R1259" s="4" t="n"/>
      <c r="S1259" s="4" t="n"/>
      <c r="T1259" s="4" t="n"/>
      <c r="U1259" s="4" t="n"/>
      <c r="V1259" s="4" t="n"/>
      <c r="W1259" s="4" t="n"/>
      <c r="X1259" s="4" t="n"/>
      <c r="Y1259" s="4" t="n"/>
      <c r="Z1259" s="4" t="n"/>
      <c r="AA1259" s="4" t="n"/>
      <c r="AB1259" s="4" t="n"/>
      <c r="AC1259" s="4" t="n"/>
      <c r="AD1259" s="4" t="n"/>
      <c r="AE1259" s="4" t="n"/>
      <c r="AF1259" s="4" t="n"/>
      <c r="AG1259" s="4" t="n"/>
      <c r="AH1259" s="4" t="n"/>
      <c r="AI1259" s="4" t="n"/>
      <c r="AJ1259" s="4" t="n"/>
      <c r="AK1259" s="4" t="n"/>
      <c r="AL1259" s="4" t="n"/>
      <c r="AM1259" s="4" t="n"/>
      <c r="AN1259" s="4" t="n"/>
      <c r="AO1259" s="4" t="n"/>
      <c r="AP1259" s="4" t="n"/>
      <c r="AQ1259" s="4" t="n"/>
      <c r="AR1259" s="4" t="n"/>
      <c r="AS1259" s="4" t="n"/>
      <c r="AT1259" s="4" t="n"/>
      <c r="AU1259" s="4" t="n"/>
      <c r="AV1259" s="4" t="n"/>
      <c r="AW1259" s="4" t="n"/>
      <c r="AX1259" s="4" t="n"/>
      <c r="AY1259" s="4" t="n"/>
      <c r="AZ1259" s="4" t="n"/>
      <c r="BA1259" s="4" t="n"/>
      <c r="BB1259" s="4" t="n"/>
      <c r="BC1259" s="4" t="n"/>
      <c r="BD1259" s="4" t="n"/>
      <c r="BE1259" s="4" t="n"/>
      <c r="BF1259" s="4" t="n"/>
      <c r="BG1259" s="4" t="n"/>
      <c r="BH1259" s="4" t="n"/>
      <c r="BI1259" s="4" t="n"/>
      <c r="BJ1259" s="4" t="n"/>
      <c r="BK1259" s="4" t="n"/>
      <c r="BL1259" s="4" t="n"/>
      <c r="BM1259" s="4" t="n"/>
      <c r="BN1259" s="4" t="n"/>
      <c r="BO1259" s="4" t="n"/>
      <c r="BP1259" s="4" t="n"/>
      <c r="BQ1259" s="4" t="n"/>
      <c r="BR1259" s="4" t="n"/>
      <c r="BS1259" s="4" t="n"/>
      <c r="BT1259" s="4" t="n"/>
      <c r="BU1259" s="4" t="n"/>
      <c r="BV1259" s="4" t="n"/>
      <c r="BW1259" s="4" t="n"/>
      <c r="BX1259" s="4" t="n"/>
      <c r="BY1259" s="4" t="n"/>
      <c r="BZ1259" s="4" t="n"/>
      <c r="CA1259" s="4" t="n"/>
      <c r="CB1259" s="4" t="n"/>
      <c r="CC1259" s="4" t="n"/>
      <c r="CD1259" s="4" t="n"/>
      <c r="CE1259" s="4" t="n"/>
      <c r="CF1259" s="4" t="n"/>
      <c r="CG1259" s="4" t="n"/>
      <c r="CH1259" s="4" t="n"/>
      <c r="CI1259" s="4" t="n"/>
      <c r="CJ1259" s="4" t="n"/>
      <c r="CK1259" s="4" t="n"/>
      <c r="CL1259" s="4" t="n"/>
      <c r="CM1259" s="4" t="n"/>
      <c r="CN1259" s="4" t="n"/>
      <c r="CO1259" s="4" t="n"/>
      <c r="CP1259" s="4" t="n"/>
      <c r="CQ1259" s="4" t="n"/>
      <c r="CR1259" s="4" t="n"/>
      <c r="CS1259" s="4" t="n"/>
      <c r="CT1259" s="4" t="n"/>
      <c r="CU1259" s="4" t="n"/>
      <c r="CV1259" s="4" t="n"/>
      <c r="CW1259" s="4" t="n"/>
      <c r="CX1259" s="4" t="n"/>
      <c r="CY1259" s="4" t="n"/>
      <c r="CZ1259" s="4" t="n"/>
      <c r="DA1259" s="4" t="n"/>
      <c r="DB1259" s="4" t="n"/>
      <c r="DC1259" s="4" t="n"/>
      <c r="DD1259" s="4" t="n"/>
      <c r="DE1259" s="4" t="n"/>
      <c r="DF1259" s="4" t="n"/>
      <c r="DG1259" s="4" t="n"/>
      <c r="DH1259" s="4" t="n"/>
      <c r="DI1259" s="4" t="n"/>
      <c r="DJ1259" s="4" t="n"/>
      <c r="DK1259" s="4" t="n"/>
      <c r="DL1259" s="4" t="n"/>
      <c r="DM1259" s="4" t="n"/>
      <c r="DN1259" s="4" t="n"/>
      <c r="DO1259" s="4" t="n"/>
      <c r="DP1259" s="4" t="n"/>
      <c r="DQ1259" s="4" t="n"/>
      <c r="DR1259" s="4" t="n"/>
      <c r="DS1259" s="4" t="n"/>
      <c r="DT1259" s="4" t="n"/>
      <c r="DU1259" s="4" t="n"/>
      <c r="DV1259" s="4" t="n"/>
      <c r="DW1259" s="4" t="n"/>
      <c r="DX1259" s="4" t="n"/>
      <c r="DY1259" s="4" t="n"/>
      <c r="DZ1259" s="4" t="n"/>
      <c r="EA1259" s="4" t="n"/>
      <c r="EB1259" s="4" t="n"/>
      <c r="EC1259" s="4" t="n"/>
      <c r="ED1259" s="4" t="n"/>
      <c r="EE1259" s="4" t="n"/>
      <c r="EF1259" s="4" t="n"/>
      <c r="EG1259" s="4" t="n"/>
      <c r="EH1259" s="4" t="n"/>
      <c r="EI1259" s="4" t="n"/>
      <c r="EJ1259" s="4" t="n"/>
      <c r="EK1259" s="4" t="n"/>
      <c r="EL1259" s="4" t="n"/>
      <c r="EM1259" s="4" t="n"/>
    </row>
    <row r="1260" hidden="1" customFormat="1" s="6">
      <c r="C1260" s="4" t="n"/>
      <c r="D1260" s="4" t="n"/>
      <c r="E1260" s="4" t="n"/>
      <c r="F1260" s="4" t="n"/>
      <c r="G1260" s="4" t="n"/>
      <c r="H1260" s="4" t="n"/>
      <c r="I1260" s="4" t="n"/>
      <c r="J1260" s="4" t="n"/>
      <c r="K1260" s="4" t="n"/>
      <c r="L1260" s="4" t="n"/>
      <c r="M1260" s="4" t="n"/>
      <c r="N1260" s="4" t="n"/>
      <c r="O1260" s="4" t="n"/>
      <c r="P1260" s="4" t="n"/>
      <c r="Q1260" s="4" t="n"/>
      <c r="R1260" s="4" t="n"/>
      <c r="S1260" s="4" t="n"/>
      <c r="T1260" s="4" t="n"/>
      <c r="U1260" s="4" t="n"/>
      <c r="V1260" s="4" t="n"/>
      <c r="W1260" s="4" t="n"/>
      <c r="X1260" s="4" t="n"/>
      <c r="Y1260" s="4" t="n"/>
      <c r="Z1260" s="4" t="n"/>
      <c r="AA1260" s="4" t="n"/>
      <c r="AB1260" s="4" t="n"/>
      <c r="AC1260" s="4" t="n"/>
      <c r="AD1260" s="4" t="n"/>
      <c r="AE1260" s="4" t="n"/>
      <c r="AF1260" s="4" t="n"/>
      <c r="AG1260" s="4" t="n"/>
      <c r="AH1260" s="4" t="n"/>
      <c r="AI1260" s="4" t="n"/>
      <c r="AJ1260" s="4" t="n"/>
      <c r="AK1260" s="4" t="n"/>
      <c r="AL1260" s="4" t="n"/>
      <c r="AM1260" s="4" t="n"/>
      <c r="AN1260" s="4" t="n"/>
      <c r="AO1260" s="4" t="n"/>
      <c r="AP1260" s="4" t="n"/>
      <c r="AQ1260" s="4" t="n"/>
      <c r="AR1260" s="4" t="n"/>
      <c r="AS1260" s="4" t="n"/>
      <c r="AT1260" s="4" t="n"/>
      <c r="AU1260" s="4" t="n"/>
      <c r="AV1260" s="4" t="n"/>
      <c r="AW1260" s="4" t="n"/>
      <c r="AX1260" s="4" t="n"/>
      <c r="AY1260" s="4" t="n"/>
      <c r="AZ1260" s="4" t="n"/>
      <c r="BA1260" s="4" t="n"/>
      <c r="BB1260" s="4" t="n"/>
      <c r="BC1260" s="4" t="n"/>
      <c r="BD1260" s="4" t="n"/>
      <c r="BE1260" s="4" t="n"/>
      <c r="BF1260" s="4" t="n"/>
      <c r="BG1260" s="4" t="n"/>
      <c r="BH1260" s="4" t="n"/>
      <c r="BI1260" s="4" t="n"/>
      <c r="BJ1260" s="4" t="n"/>
      <c r="BK1260" s="4" t="n"/>
      <c r="BL1260" s="4" t="n"/>
      <c r="BM1260" s="4" t="n"/>
      <c r="BN1260" s="4" t="n"/>
      <c r="BO1260" s="4" t="n"/>
      <c r="BP1260" s="4" t="n"/>
      <c r="BQ1260" s="4" t="n"/>
      <c r="BR1260" s="4" t="n"/>
      <c r="BS1260" s="4" t="n"/>
      <c r="BT1260" s="4" t="n"/>
      <c r="BU1260" s="4" t="n"/>
      <c r="BV1260" s="4" t="n"/>
      <c r="BW1260" s="4" t="n"/>
      <c r="BX1260" s="4" t="n"/>
      <c r="BY1260" s="4" t="n"/>
      <c r="BZ1260" s="4" t="n"/>
      <c r="CA1260" s="4" t="n"/>
      <c r="CB1260" s="4" t="n"/>
      <c r="CC1260" s="4" t="n"/>
      <c r="CD1260" s="4" t="n"/>
      <c r="CE1260" s="4" t="n"/>
      <c r="CF1260" s="4" t="n"/>
      <c r="CG1260" s="4" t="n"/>
      <c r="CH1260" s="4" t="n"/>
      <c r="CI1260" s="4" t="n"/>
      <c r="CJ1260" s="4" t="n"/>
      <c r="CK1260" s="4" t="n"/>
      <c r="CL1260" s="4" t="n"/>
      <c r="CM1260" s="4" t="n"/>
      <c r="CN1260" s="4" t="n"/>
      <c r="CO1260" s="4" t="n"/>
      <c r="CP1260" s="4" t="n"/>
      <c r="CQ1260" s="4" t="n"/>
      <c r="CR1260" s="4" t="n"/>
      <c r="CS1260" s="4" t="n"/>
      <c r="CT1260" s="4" t="n"/>
      <c r="CU1260" s="4" t="n"/>
      <c r="CV1260" s="4" t="n"/>
      <c r="CW1260" s="4" t="n"/>
      <c r="CX1260" s="4" t="n"/>
      <c r="CY1260" s="4" t="n"/>
      <c r="CZ1260" s="4" t="n"/>
      <c r="DA1260" s="4" t="n"/>
      <c r="DB1260" s="4" t="n"/>
      <c r="DC1260" s="4" t="n"/>
      <c r="DD1260" s="4" t="n"/>
      <c r="DE1260" s="4" t="n"/>
      <c r="DF1260" s="4" t="n"/>
      <c r="DG1260" s="4" t="n"/>
      <c r="DH1260" s="4" t="n"/>
      <c r="DI1260" s="4" t="n"/>
      <c r="DJ1260" s="4" t="n"/>
      <c r="DK1260" s="4" t="n"/>
      <c r="DL1260" s="4" t="n"/>
      <c r="DM1260" s="4" t="n"/>
      <c r="DN1260" s="4" t="n"/>
      <c r="DO1260" s="4" t="n"/>
      <c r="DP1260" s="4" t="n"/>
      <c r="DQ1260" s="4" t="n"/>
      <c r="DR1260" s="4" t="n"/>
      <c r="DS1260" s="4" t="n"/>
      <c r="DT1260" s="4" t="n"/>
      <c r="DU1260" s="4" t="n"/>
      <c r="DV1260" s="4" t="n"/>
      <c r="DW1260" s="4" t="n"/>
      <c r="DX1260" s="4" t="n"/>
      <c r="DY1260" s="4" t="n"/>
      <c r="DZ1260" s="4" t="n"/>
      <c r="EA1260" s="4" t="n"/>
      <c r="EB1260" s="4" t="n"/>
      <c r="EC1260" s="4" t="n"/>
      <c r="ED1260" s="4" t="n"/>
      <c r="EE1260" s="4" t="n"/>
      <c r="EF1260" s="4" t="n"/>
      <c r="EG1260" s="4" t="n"/>
      <c r="EH1260" s="4" t="n"/>
      <c r="EI1260" s="4" t="n"/>
      <c r="EJ1260" s="4" t="n"/>
      <c r="EK1260" s="4" t="n"/>
      <c r="EL1260" s="4" t="n"/>
      <c r="EM1260" s="4" t="n"/>
    </row>
    <row r="1261" hidden="1" customFormat="1" s="6">
      <c r="C1261" s="4" t="n"/>
      <c r="D1261" s="4" t="n"/>
      <c r="E1261" s="4" t="n"/>
      <c r="F1261" s="4" t="n"/>
      <c r="G1261" s="4" t="n"/>
      <c r="H1261" s="4" t="n"/>
      <c r="I1261" s="4" t="n"/>
      <c r="J1261" s="4" t="n"/>
      <c r="K1261" s="4" t="n"/>
      <c r="L1261" s="4" t="n"/>
      <c r="M1261" s="4" t="n"/>
      <c r="N1261" s="4" t="n"/>
      <c r="O1261" s="4" t="n"/>
      <c r="P1261" s="4" t="n"/>
      <c r="Q1261" s="4" t="n"/>
      <c r="R1261" s="4" t="n"/>
      <c r="S1261" s="4" t="n"/>
      <c r="T1261" s="4" t="n"/>
      <c r="U1261" s="4" t="n"/>
      <c r="V1261" s="4" t="n"/>
      <c r="W1261" s="4" t="n"/>
      <c r="X1261" s="4" t="n"/>
      <c r="Y1261" s="4" t="n"/>
      <c r="Z1261" s="4" t="n"/>
      <c r="AA1261" s="4" t="n"/>
      <c r="AB1261" s="4" t="n"/>
      <c r="AC1261" s="4" t="n"/>
      <c r="AD1261" s="4" t="n"/>
      <c r="AE1261" s="4" t="n"/>
      <c r="AF1261" s="4" t="n"/>
      <c r="AG1261" s="4" t="n"/>
      <c r="AH1261" s="4" t="n"/>
      <c r="AI1261" s="4" t="n"/>
      <c r="AJ1261" s="4" t="n"/>
      <c r="AK1261" s="4" t="n"/>
      <c r="AL1261" s="4" t="n"/>
      <c r="AM1261" s="4" t="n"/>
      <c r="AN1261" s="4" t="n"/>
      <c r="AO1261" s="4" t="n"/>
      <c r="AP1261" s="4" t="n"/>
      <c r="AQ1261" s="4" t="n"/>
      <c r="AR1261" s="4" t="n"/>
      <c r="AS1261" s="4" t="n"/>
      <c r="AT1261" s="4" t="n"/>
      <c r="AU1261" s="4" t="n"/>
      <c r="AV1261" s="4" t="n"/>
      <c r="AW1261" s="4" t="n"/>
      <c r="AX1261" s="4" t="n"/>
      <c r="AY1261" s="4" t="n"/>
      <c r="AZ1261" s="4" t="n"/>
      <c r="BA1261" s="4" t="n"/>
      <c r="BB1261" s="4" t="n"/>
      <c r="BC1261" s="4" t="n"/>
      <c r="BD1261" s="4" t="n"/>
      <c r="BE1261" s="4" t="n"/>
      <c r="BF1261" s="4" t="n"/>
      <c r="BG1261" s="4" t="n"/>
      <c r="BH1261" s="4" t="n"/>
      <c r="BI1261" s="4" t="n"/>
      <c r="BJ1261" s="4" t="n"/>
      <c r="BK1261" s="4" t="n"/>
      <c r="BL1261" s="4" t="n"/>
      <c r="BM1261" s="4" t="n"/>
      <c r="BN1261" s="4" t="n"/>
      <c r="BO1261" s="4" t="n"/>
      <c r="BP1261" s="4" t="n"/>
      <c r="BQ1261" s="4" t="n"/>
      <c r="BR1261" s="4" t="n"/>
      <c r="BS1261" s="4" t="n"/>
      <c r="BT1261" s="4" t="n"/>
      <c r="BU1261" s="4" t="n"/>
      <c r="BV1261" s="4" t="n"/>
      <c r="BW1261" s="4" t="n"/>
      <c r="BX1261" s="4" t="n"/>
      <c r="BY1261" s="4" t="n"/>
      <c r="BZ1261" s="4" t="n"/>
      <c r="CA1261" s="4" t="n"/>
      <c r="CB1261" s="4" t="n"/>
      <c r="CC1261" s="4" t="n"/>
      <c r="CD1261" s="4" t="n"/>
      <c r="CE1261" s="4" t="n"/>
      <c r="CF1261" s="4" t="n"/>
      <c r="CG1261" s="4" t="n"/>
      <c r="CH1261" s="4" t="n"/>
      <c r="CI1261" s="4" t="n"/>
      <c r="CJ1261" s="4" t="n"/>
      <c r="CK1261" s="4" t="n"/>
      <c r="CL1261" s="4" t="n"/>
      <c r="CM1261" s="4" t="n"/>
      <c r="CN1261" s="4" t="n"/>
      <c r="CO1261" s="4" t="n"/>
      <c r="CP1261" s="4" t="n"/>
      <c r="CQ1261" s="4" t="n"/>
      <c r="CR1261" s="4" t="n"/>
      <c r="CS1261" s="4" t="n"/>
      <c r="CT1261" s="4" t="n"/>
      <c r="CU1261" s="4" t="n"/>
      <c r="CV1261" s="4" t="n"/>
      <c r="CW1261" s="4" t="n"/>
      <c r="CX1261" s="4" t="n"/>
      <c r="CY1261" s="4" t="n"/>
      <c r="CZ1261" s="4" t="n"/>
      <c r="DA1261" s="4" t="n"/>
      <c r="DB1261" s="4" t="n"/>
      <c r="DC1261" s="4" t="n"/>
      <c r="DD1261" s="4" t="n"/>
      <c r="DE1261" s="4" t="n"/>
      <c r="DF1261" s="4" t="n"/>
      <c r="DG1261" s="4" t="n"/>
      <c r="DH1261" s="4" t="n"/>
      <c r="DI1261" s="4" t="n"/>
      <c r="DJ1261" s="4" t="n"/>
      <c r="DK1261" s="4" t="n"/>
      <c r="DL1261" s="4" t="n"/>
      <c r="DM1261" s="4" t="n"/>
      <c r="DN1261" s="4" t="n"/>
      <c r="DO1261" s="4" t="n"/>
      <c r="DP1261" s="4" t="n"/>
      <c r="DQ1261" s="4" t="n"/>
      <c r="DR1261" s="4" t="n"/>
      <c r="DS1261" s="4" t="n"/>
      <c r="DT1261" s="4" t="n"/>
      <c r="DU1261" s="4" t="n"/>
      <c r="DV1261" s="4" t="n"/>
      <c r="DW1261" s="4" t="n"/>
      <c r="DX1261" s="4" t="n"/>
      <c r="DY1261" s="4" t="n"/>
      <c r="DZ1261" s="4" t="n"/>
      <c r="EA1261" s="4" t="n"/>
      <c r="EB1261" s="4" t="n"/>
      <c r="EC1261" s="4" t="n"/>
      <c r="ED1261" s="4" t="n"/>
      <c r="EE1261" s="4" t="n"/>
      <c r="EF1261" s="4" t="n"/>
      <c r="EG1261" s="4" t="n"/>
      <c r="EH1261" s="4" t="n"/>
      <c r="EI1261" s="4" t="n"/>
      <c r="EJ1261" s="4" t="n"/>
      <c r="EK1261" s="4" t="n"/>
      <c r="EL1261" s="4" t="n"/>
      <c r="EM1261" s="4" t="n"/>
    </row>
    <row r="1262" hidden="1" customFormat="1" s="6">
      <c r="C1262" s="4" t="n"/>
      <c r="D1262" s="4" t="n"/>
      <c r="E1262" s="4" t="n"/>
      <c r="F1262" s="4" t="n"/>
      <c r="G1262" s="4" t="n"/>
      <c r="H1262" s="4" t="n"/>
      <c r="I1262" s="4" t="n"/>
      <c r="J1262" s="4" t="n"/>
      <c r="K1262" s="4" t="n"/>
      <c r="L1262" s="4" t="n"/>
      <c r="M1262" s="4" t="n"/>
      <c r="N1262" s="4" t="n"/>
      <c r="O1262" s="4" t="n"/>
      <c r="P1262" s="4" t="n"/>
      <c r="Q1262" s="4" t="n"/>
      <c r="R1262" s="4" t="n"/>
      <c r="S1262" s="4" t="n"/>
      <c r="T1262" s="4" t="n"/>
      <c r="U1262" s="4" t="n"/>
      <c r="V1262" s="4" t="n"/>
      <c r="W1262" s="4" t="n"/>
      <c r="X1262" s="4" t="n"/>
      <c r="Y1262" s="4" t="n"/>
      <c r="Z1262" s="4" t="n"/>
      <c r="AA1262" s="4" t="n"/>
      <c r="AB1262" s="4" t="n"/>
      <c r="AC1262" s="4" t="n"/>
      <c r="AD1262" s="4" t="n"/>
      <c r="AE1262" s="4" t="n"/>
      <c r="AF1262" s="4" t="n"/>
      <c r="AG1262" s="4" t="n"/>
      <c r="AH1262" s="4" t="n"/>
      <c r="AI1262" s="4" t="n"/>
      <c r="AJ1262" s="4" t="n"/>
      <c r="AK1262" s="4" t="n"/>
      <c r="AL1262" s="4" t="n"/>
      <c r="AM1262" s="4" t="n"/>
      <c r="AN1262" s="4" t="n"/>
      <c r="AO1262" s="4" t="n"/>
      <c r="AP1262" s="4" t="n"/>
      <c r="AQ1262" s="4" t="n"/>
      <c r="AR1262" s="4" t="n"/>
      <c r="AS1262" s="4" t="n"/>
      <c r="AT1262" s="4" t="n"/>
      <c r="AU1262" s="4" t="n"/>
      <c r="AV1262" s="4" t="n"/>
      <c r="AW1262" s="4" t="n"/>
      <c r="AX1262" s="4" t="n"/>
      <c r="AY1262" s="4" t="n"/>
      <c r="AZ1262" s="4" t="n"/>
      <c r="BA1262" s="4" t="n"/>
      <c r="BB1262" s="4" t="n"/>
      <c r="BC1262" s="4" t="n"/>
      <c r="BD1262" s="4" t="n"/>
      <c r="BE1262" s="4" t="n"/>
      <c r="BF1262" s="4" t="n"/>
      <c r="BG1262" s="4" t="n"/>
      <c r="BH1262" s="4" t="n"/>
      <c r="BI1262" s="4" t="n"/>
      <c r="BJ1262" s="4" t="n"/>
      <c r="BK1262" s="4" t="n"/>
      <c r="BL1262" s="4" t="n"/>
      <c r="BM1262" s="4" t="n"/>
      <c r="BN1262" s="4" t="n"/>
      <c r="BO1262" s="4" t="n"/>
      <c r="BP1262" s="4" t="n"/>
      <c r="BQ1262" s="4" t="n"/>
      <c r="BR1262" s="4" t="n"/>
      <c r="BS1262" s="4" t="n"/>
      <c r="BT1262" s="4" t="n"/>
      <c r="BU1262" s="4" t="n"/>
      <c r="BV1262" s="4" t="n"/>
      <c r="BW1262" s="4" t="n"/>
      <c r="BX1262" s="4" t="n"/>
      <c r="BY1262" s="4" t="n"/>
      <c r="BZ1262" s="4" t="n"/>
      <c r="CA1262" s="4" t="n"/>
      <c r="CB1262" s="4" t="n"/>
      <c r="CC1262" s="4" t="n"/>
      <c r="CD1262" s="4" t="n"/>
      <c r="CE1262" s="4" t="n"/>
      <c r="CF1262" s="4" t="n"/>
      <c r="CG1262" s="4" t="n"/>
      <c r="CH1262" s="4" t="n"/>
      <c r="CI1262" s="4" t="n"/>
      <c r="CJ1262" s="4" t="n"/>
      <c r="CK1262" s="4" t="n"/>
      <c r="CL1262" s="4" t="n"/>
      <c r="CM1262" s="4" t="n"/>
      <c r="CN1262" s="4" t="n"/>
      <c r="CO1262" s="4" t="n"/>
      <c r="CP1262" s="4" t="n"/>
      <c r="CQ1262" s="4" t="n"/>
      <c r="CR1262" s="4" t="n"/>
      <c r="CS1262" s="4" t="n"/>
      <c r="CT1262" s="4" t="n"/>
      <c r="CU1262" s="4" t="n"/>
      <c r="CV1262" s="4" t="n"/>
      <c r="CW1262" s="4" t="n"/>
      <c r="CX1262" s="4" t="n"/>
      <c r="CY1262" s="4" t="n"/>
      <c r="CZ1262" s="4" t="n"/>
      <c r="DA1262" s="4" t="n"/>
      <c r="DB1262" s="4" t="n"/>
      <c r="DC1262" s="4" t="n"/>
      <c r="DD1262" s="4" t="n"/>
      <c r="DE1262" s="4" t="n"/>
      <c r="DF1262" s="4" t="n"/>
      <c r="DG1262" s="4" t="n"/>
      <c r="DH1262" s="4" t="n"/>
      <c r="DI1262" s="4" t="n"/>
      <c r="DJ1262" s="4" t="n"/>
      <c r="DK1262" s="4" t="n"/>
      <c r="DL1262" s="4" t="n"/>
      <c r="DM1262" s="4" t="n"/>
      <c r="DN1262" s="4" t="n"/>
      <c r="DO1262" s="4" t="n"/>
      <c r="DP1262" s="4" t="n"/>
      <c r="DQ1262" s="4" t="n"/>
      <c r="DR1262" s="4" t="n"/>
      <c r="DS1262" s="4" t="n"/>
      <c r="DT1262" s="4" t="n"/>
      <c r="DU1262" s="4" t="n"/>
      <c r="DV1262" s="4" t="n"/>
      <c r="DW1262" s="4" t="n"/>
      <c r="DX1262" s="4" t="n"/>
      <c r="DY1262" s="4" t="n"/>
      <c r="DZ1262" s="4" t="n"/>
      <c r="EA1262" s="4" t="n"/>
      <c r="EB1262" s="4" t="n"/>
      <c r="EC1262" s="4" t="n"/>
      <c r="ED1262" s="4" t="n"/>
      <c r="EE1262" s="4" t="n"/>
      <c r="EF1262" s="4" t="n"/>
      <c r="EG1262" s="4" t="n"/>
      <c r="EH1262" s="4" t="n"/>
      <c r="EI1262" s="4" t="n"/>
      <c r="EJ1262" s="4" t="n"/>
      <c r="EK1262" s="4" t="n"/>
      <c r="EL1262" s="4" t="n"/>
      <c r="EM1262" s="4" t="n"/>
    </row>
    <row r="1263" hidden="1" customFormat="1" s="6">
      <c r="C1263" s="4" t="n"/>
      <c r="D1263" s="4" t="n"/>
      <c r="E1263" s="4" t="n"/>
      <c r="F1263" s="4" t="n"/>
      <c r="G1263" s="4" t="n"/>
      <c r="H1263" s="4" t="n"/>
      <c r="I1263" s="4" t="n"/>
      <c r="J1263" s="4" t="n"/>
      <c r="K1263" s="4" t="n"/>
      <c r="L1263" s="4" t="n"/>
      <c r="M1263" s="4" t="n"/>
      <c r="N1263" s="4" t="n"/>
      <c r="O1263" s="4" t="n"/>
      <c r="P1263" s="4" t="n"/>
      <c r="Q1263" s="4" t="n"/>
      <c r="R1263" s="4" t="n"/>
      <c r="S1263" s="4" t="n"/>
      <c r="T1263" s="4" t="n"/>
      <c r="U1263" s="4" t="n"/>
      <c r="V1263" s="4" t="n"/>
      <c r="W1263" s="4" t="n"/>
      <c r="X1263" s="4" t="n"/>
      <c r="Y1263" s="4" t="n"/>
      <c r="Z1263" s="4" t="n"/>
      <c r="AA1263" s="4" t="n"/>
      <c r="AB1263" s="4" t="n"/>
      <c r="AC1263" s="4" t="n"/>
      <c r="AD1263" s="4" t="n"/>
      <c r="AE1263" s="4" t="n"/>
      <c r="AF1263" s="4" t="n"/>
      <c r="AG1263" s="4" t="n"/>
      <c r="AH1263" s="4" t="n"/>
      <c r="AI1263" s="4" t="n"/>
      <c r="AJ1263" s="4" t="n"/>
      <c r="AK1263" s="4" t="n"/>
      <c r="AL1263" s="4" t="n"/>
      <c r="AM1263" s="4" t="n"/>
      <c r="AN1263" s="4" t="n"/>
      <c r="AO1263" s="4" t="n"/>
      <c r="AP1263" s="4" t="n"/>
      <c r="AQ1263" s="4" t="n"/>
      <c r="AR1263" s="4" t="n"/>
      <c r="AS1263" s="4" t="n"/>
      <c r="AT1263" s="4" t="n"/>
      <c r="AU1263" s="4" t="n"/>
      <c r="AV1263" s="4" t="n"/>
      <c r="AW1263" s="4" t="n"/>
      <c r="AX1263" s="4" t="n"/>
      <c r="AY1263" s="4" t="n"/>
      <c r="AZ1263" s="4" t="n"/>
      <c r="BA1263" s="4" t="n"/>
      <c r="BB1263" s="4" t="n"/>
      <c r="BC1263" s="4" t="n"/>
      <c r="BD1263" s="4" t="n"/>
      <c r="BE1263" s="4" t="n"/>
      <c r="BF1263" s="4" t="n"/>
      <c r="BG1263" s="4" t="n"/>
      <c r="BH1263" s="4" t="n"/>
      <c r="BI1263" s="4" t="n"/>
      <c r="BJ1263" s="4" t="n"/>
      <c r="BK1263" s="4" t="n"/>
      <c r="BL1263" s="4" t="n"/>
      <c r="BM1263" s="4" t="n"/>
      <c r="BN1263" s="4" t="n"/>
      <c r="BO1263" s="4" t="n"/>
      <c r="BP1263" s="4" t="n"/>
      <c r="BQ1263" s="4" t="n"/>
      <c r="BR1263" s="4" t="n"/>
      <c r="BS1263" s="4" t="n"/>
      <c r="BT1263" s="4" t="n"/>
      <c r="BU1263" s="4" t="n"/>
      <c r="BV1263" s="4" t="n"/>
      <c r="BW1263" s="4" t="n"/>
      <c r="BX1263" s="4" t="n"/>
      <c r="BY1263" s="4" t="n"/>
      <c r="BZ1263" s="4" t="n"/>
      <c r="CA1263" s="4" t="n"/>
      <c r="CB1263" s="4" t="n"/>
      <c r="CC1263" s="4" t="n"/>
      <c r="CD1263" s="4" t="n"/>
      <c r="CE1263" s="4" t="n"/>
      <c r="CF1263" s="4" t="n"/>
      <c r="CG1263" s="4" t="n"/>
      <c r="CH1263" s="4" t="n"/>
      <c r="CI1263" s="4" t="n"/>
      <c r="CJ1263" s="4" t="n"/>
      <c r="CK1263" s="4" t="n"/>
      <c r="CL1263" s="4" t="n"/>
      <c r="CM1263" s="4" t="n"/>
      <c r="CN1263" s="4" t="n"/>
      <c r="CO1263" s="4" t="n"/>
      <c r="CP1263" s="4" t="n"/>
      <c r="CQ1263" s="4" t="n"/>
      <c r="CR1263" s="4" t="n"/>
      <c r="CS1263" s="4" t="n"/>
      <c r="CT1263" s="4" t="n"/>
      <c r="CU1263" s="4" t="n"/>
      <c r="CV1263" s="4" t="n"/>
      <c r="CW1263" s="4" t="n"/>
      <c r="CX1263" s="4" t="n"/>
      <c r="CY1263" s="4" t="n"/>
      <c r="CZ1263" s="4" t="n"/>
      <c r="DA1263" s="4" t="n"/>
      <c r="DB1263" s="4" t="n"/>
      <c r="DC1263" s="4" t="n"/>
      <c r="DD1263" s="4" t="n"/>
      <c r="DE1263" s="4" t="n"/>
      <c r="DF1263" s="4" t="n"/>
      <c r="DG1263" s="4" t="n"/>
      <c r="DH1263" s="4" t="n"/>
      <c r="DI1263" s="4" t="n"/>
      <c r="DJ1263" s="4" t="n"/>
      <c r="DK1263" s="4" t="n"/>
      <c r="DL1263" s="4" t="n"/>
      <c r="DM1263" s="4" t="n"/>
      <c r="DN1263" s="4" t="n"/>
      <c r="DO1263" s="4" t="n"/>
      <c r="DP1263" s="4" t="n"/>
      <c r="DQ1263" s="4" t="n"/>
      <c r="DR1263" s="4" t="n"/>
      <c r="DS1263" s="4" t="n"/>
      <c r="DT1263" s="4" t="n"/>
      <c r="DU1263" s="4" t="n"/>
      <c r="DV1263" s="4" t="n"/>
      <c r="DW1263" s="4" t="n"/>
      <c r="DX1263" s="4" t="n"/>
      <c r="DY1263" s="4" t="n"/>
      <c r="DZ1263" s="4" t="n"/>
      <c r="EA1263" s="4" t="n"/>
      <c r="EB1263" s="4" t="n"/>
      <c r="EC1263" s="4" t="n"/>
      <c r="ED1263" s="4" t="n"/>
      <c r="EE1263" s="4" t="n"/>
      <c r="EF1263" s="4" t="n"/>
      <c r="EG1263" s="4" t="n"/>
      <c r="EH1263" s="4" t="n"/>
      <c r="EI1263" s="4" t="n"/>
      <c r="EJ1263" s="4" t="n"/>
      <c r="EK1263" s="4" t="n"/>
      <c r="EL1263" s="4" t="n"/>
      <c r="EM1263" s="4" t="n"/>
    </row>
    <row r="1264" hidden="1" customFormat="1" s="6">
      <c r="C1264" s="4" t="n"/>
      <c r="D1264" s="4" t="n"/>
      <c r="E1264" s="4" t="n"/>
      <c r="F1264" s="4" t="n"/>
      <c r="G1264" s="4" t="n"/>
      <c r="H1264" s="4" t="n"/>
      <c r="I1264" s="4" t="n"/>
      <c r="J1264" s="4" t="n"/>
      <c r="K1264" s="4" t="n"/>
      <c r="L1264" s="4" t="n"/>
      <c r="M1264" s="4" t="n"/>
      <c r="N1264" s="4" t="n"/>
      <c r="O1264" s="4" t="n"/>
      <c r="P1264" s="4" t="n"/>
      <c r="Q1264" s="4" t="n"/>
      <c r="R1264" s="4" t="n"/>
      <c r="S1264" s="4" t="n"/>
      <c r="T1264" s="4" t="n"/>
      <c r="U1264" s="4" t="n"/>
      <c r="V1264" s="4" t="n"/>
      <c r="W1264" s="4" t="n"/>
      <c r="X1264" s="4" t="n"/>
      <c r="Y1264" s="4" t="n"/>
      <c r="Z1264" s="4" t="n"/>
      <c r="AA1264" s="4" t="n"/>
      <c r="AB1264" s="4" t="n"/>
      <c r="AC1264" s="4" t="n"/>
      <c r="AD1264" s="4" t="n"/>
      <c r="AE1264" s="4" t="n"/>
      <c r="AF1264" s="4" t="n"/>
      <c r="AG1264" s="4" t="n"/>
      <c r="AH1264" s="4" t="n"/>
      <c r="AI1264" s="4" t="n"/>
      <c r="AJ1264" s="4" t="n"/>
      <c r="AK1264" s="4" t="n"/>
      <c r="AL1264" s="4" t="n"/>
      <c r="AM1264" s="4" t="n"/>
      <c r="AN1264" s="4" t="n"/>
      <c r="AO1264" s="4" t="n"/>
      <c r="AP1264" s="4" t="n"/>
      <c r="AQ1264" s="4" t="n"/>
      <c r="AR1264" s="4" t="n"/>
      <c r="AS1264" s="4" t="n"/>
      <c r="AT1264" s="4" t="n"/>
      <c r="AU1264" s="4" t="n"/>
      <c r="AV1264" s="4" t="n"/>
      <c r="AW1264" s="4" t="n"/>
      <c r="AX1264" s="4" t="n"/>
      <c r="AY1264" s="4" t="n"/>
      <c r="AZ1264" s="4" t="n"/>
      <c r="BA1264" s="4" t="n"/>
      <c r="BB1264" s="4" t="n"/>
      <c r="BC1264" s="4" t="n"/>
      <c r="BD1264" s="4" t="n"/>
      <c r="BE1264" s="4" t="n"/>
      <c r="BF1264" s="4" t="n"/>
      <c r="BG1264" s="4" t="n"/>
      <c r="BH1264" s="4" t="n"/>
      <c r="BI1264" s="4" t="n"/>
      <c r="BJ1264" s="4" t="n"/>
      <c r="BK1264" s="4" t="n"/>
      <c r="BL1264" s="4" t="n"/>
      <c r="BM1264" s="4" t="n"/>
      <c r="BN1264" s="4" t="n"/>
      <c r="BO1264" s="4" t="n"/>
      <c r="BP1264" s="4" t="n"/>
      <c r="BQ1264" s="4" t="n"/>
      <c r="BR1264" s="4" t="n"/>
      <c r="BS1264" s="4" t="n"/>
      <c r="BT1264" s="4" t="n"/>
      <c r="BU1264" s="4" t="n"/>
      <c r="BV1264" s="4" t="n"/>
      <c r="BW1264" s="4" t="n"/>
      <c r="BX1264" s="4" t="n"/>
      <c r="BY1264" s="4" t="n"/>
      <c r="BZ1264" s="4" t="n"/>
      <c r="CA1264" s="4" t="n"/>
      <c r="CB1264" s="4" t="n"/>
      <c r="CC1264" s="4" t="n"/>
      <c r="CD1264" s="4" t="n"/>
      <c r="CE1264" s="4" t="n"/>
      <c r="CF1264" s="4" t="n"/>
      <c r="CG1264" s="4" t="n"/>
      <c r="CH1264" s="4" t="n"/>
      <c r="CI1264" s="4" t="n"/>
      <c r="CJ1264" s="4" t="n"/>
      <c r="CK1264" s="4" t="n"/>
      <c r="CL1264" s="4" t="n"/>
      <c r="CM1264" s="4" t="n"/>
      <c r="CN1264" s="4" t="n"/>
      <c r="CO1264" s="4" t="n"/>
      <c r="CP1264" s="4" t="n"/>
      <c r="CQ1264" s="4" t="n"/>
      <c r="CR1264" s="4" t="n"/>
      <c r="CS1264" s="4" t="n"/>
      <c r="CT1264" s="4" t="n"/>
      <c r="CU1264" s="4" t="n"/>
      <c r="CV1264" s="4" t="n"/>
      <c r="CW1264" s="4" t="n"/>
      <c r="CX1264" s="4" t="n"/>
      <c r="CY1264" s="4" t="n"/>
      <c r="CZ1264" s="4" t="n"/>
      <c r="DA1264" s="4" t="n"/>
      <c r="DB1264" s="4" t="n"/>
      <c r="DC1264" s="4" t="n"/>
      <c r="DD1264" s="4" t="n"/>
      <c r="DE1264" s="4" t="n"/>
      <c r="DF1264" s="4" t="n"/>
      <c r="DG1264" s="4" t="n"/>
      <c r="DH1264" s="4" t="n"/>
      <c r="DI1264" s="4" t="n"/>
      <c r="DJ1264" s="4" t="n"/>
      <c r="DK1264" s="4" t="n"/>
      <c r="DL1264" s="4" t="n"/>
      <c r="DM1264" s="4" t="n"/>
      <c r="DN1264" s="4" t="n"/>
      <c r="DO1264" s="4" t="n"/>
      <c r="DP1264" s="4" t="n"/>
      <c r="DQ1264" s="4" t="n"/>
      <c r="DR1264" s="4" t="n"/>
      <c r="DS1264" s="4" t="n"/>
      <c r="DT1264" s="4" t="n"/>
      <c r="DU1264" s="4" t="n"/>
      <c r="DV1264" s="4" t="n"/>
      <c r="DW1264" s="4" t="n"/>
      <c r="DX1264" s="4" t="n"/>
      <c r="DY1264" s="4" t="n"/>
      <c r="DZ1264" s="4" t="n"/>
      <c r="EA1264" s="4" t="n"/>
      <c r="EB1264" s="4" t="n"/>
      <c r="EC1264" s="4" t="n"/>
      <c r="ED1264" s="4" t="n"/>
      <c r="EE1264" s="4" t="n"/>
      <c r="EF1264" s="4" t="n"/>
      <c r="EG1264" s="4" t="n"/>
      <c r="EH1264" s="4" t="n"/>
      <c r="EI1264" s="4" t="n"/>
      <c r="EJ1264" s="4" t="n"/>
      <c r="EK1264" s="4" t="n"/>
      <c r="EL1264" s="4" t="n"/>
      <c r="EM1264" s="4" t="n"/>
    </row>
    <row r="1265" hidden="1" customFormat="1" s="6">
      <c r="C1265" s="4" t="n"/>
      <c r="D1265" s="4" t="n"/>
      <c r="E1265" s="4" t="n"/>
      <c r="F1265" s="4" t="n"/>
      <c r="G1265" s="4" t="n"/>
      <c r="H1265" s="4" t="n"/>
      <c r="I1265" s="4" t="n"/>
      <c r="J1265" s="4" t="n"/>
      <c r="K1265" s="4" t="n"/>
      <c r="L1265" s="4" t="n"/>
      <c r="M1265" s="4" t="n"/>
      <c r="N1265" s="4" t="n"/>
      <c r="O1265" s="4" t="n"/>
      <c r="P1265" s="4" t="n"/>
      <c r="Q1265" s="4" t="n"/>
      <c r="R1265" s="4" t="n"/>
      <c r="S1265" s="4" t="n"/>
      <c r="T1265" s="4" t="n"/>
      <c r="U1265" s="4" t="n"/>
      <c r="V1265" s="4" t="n"/>
      <c r="W1265" s="4" t="n"/>
      <c r="X1265" s="4" t="n"/>
      <c r="Y1265" s="4" t="n"/>
      <c r="Z1265" s="4" t="n"/>
      <c r="AA1265" s="4" t="n"/>
      <c r="AB1265" s="4" t="n"/>
      <c r="AC1265" s="4" t="n"/>
      <c r="AD1265" s="4" t="n"/>
      <c r="AE1265" s="4" t="n"/>
      <c r="AF1265" s="4" t="n"/>
      <c r="AG1265" s="4" t="n"/>
      <c r="AH1265" s="4" t="n"/>
      <c r="AI1265" s="4" t="n"/>
      <c r="AJ1265" s="4" t="n"/>
      <c r="AK1265" s="4" t="n"/>
      <c r="AL1265" s="4" t="n"/>
      <c r="AM1265" s="4" t="n"/>
      <c r="AN1265" s="4" t="n"/>
      <c r="AO1265" s="4" t="n"/>
      <c r="AP1265" s="4" t="n"/>
      <c r="AQ1265" s="4" t="n"/>
      <c r="AR1265" s="4" t="n"/>
      <c r="AS1265" s="4" t="n"/>
      <c r="AT1265" s="4" t="n"/>
      <c r="AU1265" s="4" t="n"/>
      <c r="AV1265" s="4" t="n"/>
      <c r="AW1265" s="4" t="n"/>
      <c r="AX1265" s="4" t="n"/>
      <c r="AY1265" s="4" t="n"/>
      <c r="AZ1265" s="4" t="n"/>
      <c r="BA1265" s="4" t="n"/>
      <c r="BB1265" s="4" t="n"/>
      <c r="BC1265" s="4" t="n"/>
      <c r="BD1265" s="4" t="n"/>
      <c r="BE1265" s="4" t="n"/>
      <c r="BF1265" s="4" t="n"/>
      <c r="BG1265" s="4" t="n"/>
      <c r="BH1265" s="4" t="n"/>
      <c r="BI1265" s="4" t="n"/>
      <c r="BJ1265" s="4" t="n"/>
      <c r="BK1265" s="4" t="n"/>
      <c r="BL1265" s="4" t="n"/>
      <c r="BM1265" s="4" t="n"/>
      <c r="BN1265" s="4" t="n"/>
      <c r="BO1265" s="4" t="n"/>
      <c r="BP1265" s="4" t="n"/>
      <c r="BQ1265" s="4" t="n"/>
      <c r="BR1265" s="4" t="n"/>
      <c r="BS1265" s="4" t="n"/>
      <c r="BT1265" s="4" t="n"/>
      <c r="BU1265" s="4" t="n"/>
      <c r="BV1265" s="4" t="n"/>
      <c r="BW1265" s="4" t="n"/>
      <c r="BX1265" s="4" t="n"/>
      <c r="BY1265" s="4" t="n"/>
      <c r="BZ1265" s="4" t="n"/>
      <c r="CA1265" s="4" t="n"/>
      <c r="CB1265" s="4" t="n"/>
      <c r="CC1265" s="4" t="n"/>
      <c r="CD1265" s="4" t="n"/>
      <c r="CE1265" s="4" t="n"/>
      <c r="CF1265" s="4" t="n"/>
      <c r="CG1265" s="4" t="n"/>
      <c r="CH1265" s="4" t="n"/>
      <c r="CI1265" s="4" t="n"/>
      <c r="CJ1265" s="4" t="n"/>
      <c r="CK1265" s="4" t="n"/>
      <c r="CL1265" s="4" t="n"/>
      <c r="CM1265" s="4" t="n"/>
      <c r="CN1265" s="4" t="n"/>
      <c r="CO1265" s="4" t="n"/>
      <c r="CP1265" s="4" t="n"/>
      <c r="CQ1265" s="4" t="n"/>
      <c r="CR1265" s="4" t="n"/>
      <c r="CS1265" s="4" t="n"/>
      <c r="CT1265" s="4" t="n"/>
      <c r="CU1265" s="4" t="n"/>
      <c r="CV1265" s="4" t="n"/>
      <c r="CW1265" s="4" t="n"/>
      <c r="CX1265" s="4" t="n"/>
      <c r="CY1265" s="4" t="n"/>
      <c r="CZ1265" s="4" t="n"/>
      <c r="DA1265" s="4" t="n"/>
      <c r="DB1265" s="4" t="n"/>
      <c r="DC1265" s="4" t="n"/>
      <c r="DD1265" s="4" t="n"/>
      <c r="DE1265" s="4" t="n"/>
      <c r="DF1265" s="4" t="n"/>
      <c r="DG1265" s="4" t="n"/>
      <c r="DH1265" s="4" t="n"/>
      <c r="DI1265" s="4" t="n"/>
      <c r="DJ1265" s="4" t="n"/>
      <c r="DK1265" s="4" t="n"/>
      <c r="DL1265" s="4" t="n"/>
      <c r="DM1265" s="4" t="n"/>
      <c r="DN1265" s="4" t="n"/>
      <c r="DO1265" s="4" t="n"/>
      <c r="DP1265" s="4" t="n"/>
      <c r="DQ1265" s="4" t="n"/>
      <c r="DR1265" s="4" t="n"/>
      <c r="DS1265" s="4" t="n"/>
      <c r="DT1265" s="4" t="n"/>
      <c r="DU1265" s="4" t="n"/>
      <c r="DV1265" s="4" t="n"/>
      <c r="DW1265" s="4" t="n"/>
      <c r="DX1265" s="4" t="n"/>
      <c r="DY1265" s="4" t="n"/>
      <c r="DZ1265" s="4" t="n"/>
      <c r="EA1265" s="4" t="n"/>
      <c r="EB1265" s="4" t="n"/>
      <c r="EC1265" s="4" t="n"/>
      <c r="ED1265" s="4" t="n"/>
      <c r="EE1265" s="4" t="n"/>
      <c r="EF1265" s="4" t="n"/>
      <c r="EG1265" s="4" t="n"/>
      <c r="EH1265" s="4" t="n"/>
      <c r="EI1265" s="4" t="n"/>
      <c r="EJ1265" s="4" t="n"/>
      <c r="EK1265" s="4" t="n"/>
      <c r="EL1265" s="4" t="n"/>
      <c r="EM1265" s="4" t="n"/>
    </row>
    <row r="1266" hidden="1" customFormat="1" s="6">
      <c r="C1266" s="4" t="n"/>
      <c r="D1266" s="4" t="n"/>
      <c r="E1266" s="4" t="n"/>
      <c r="F1266" s="4" t="n"/>
      <c r="G1266" s="4" t="n"/>
      <c r="H1266" s="4" t="n"/>
      <c r="I1266" s="4" t="n"/>
      <c r="J1266" s="4" t="n"/>
      <c r="K1266" s="4" t="n"/>
      <c r="L1266" s="4" t="n"/>
      <c r="M1266" s="4" t="n"/>
      <c r="N1266" s="4" t="n"/>
      <c r="O1266" s="4" t="n"/>
      <c r="P1266" s="4" t="n"/>
      <c r="Q1266" s="4" t="n"/>
      <c r="R1266" s="4" t="n"/>
      <c r="S1266" s="4" t="n"/>
      <c r="T1266" s="4" t="n"/>
      <c r="U1266" s="4" t="n"/>
      <c r="V1266" s="4" t="n"/>
      <c r="W1266" s="4" t="n"/>
      <c r="X1266" s="4" t="n"/>
      <c r="Y1266" s="4" t="n"/>
      <c r="Z1266" s="4" t="n"/>
      <c r="AA1266" s="4" t="n"/>
      <c r="AB1266" s="4" t="n"/>
      <c r="AC1266" s="4" t="n"/>
      <c r="AD1266" s="4" t="n"/>
      <c r="AE1266" s="4" t="n"/>
      <c r="AF1266" s="4" t="n"/>
      <c r="AG1266" s="4" t="n"/>
      <c r="AH1266" s="4" t="n"/>
      <c r="AI1266" s="4" t="n"/>
      <c r="AJ1266" s="4" t="n"/>
      <c r="AK1266" s="4" t="n"/>
      <c r="AL1266" s="4" t="n"/>
      <c r="AM1266" s="4" t="n"/>
      <c r="AN1266" s="4" t="n"/>
      <c r="AO1266" s="4" t="n"/>
      <c r="AP1266" s="4" t="n"/>
      <c r="AQ1266" s="4" t="n"/>
      <c r="AR1266" s="4" t="n"/>
      <c r="AS1266" s="4" t="n"/>
      <c r="AT1266" s="4" t="n"/>
      <c r="AU1266" s="4" t="n"/>
      <c r="AV1266" s="4" t="n"/>
      <c r="AW1266" s="4" t="n"/>
      <c r="AX1266" s="4" t="n"/>
      <c r="AY1266" s="4" t="n"/>
      <c r="AZ1266" s="4" t="n"/>
      <c r="BA1266" s="4" t="n"/>
      <c r="BB1266" s="4" t="n"/>
      <c r="BC1266" s="4" t="n"/>
      <c r="BD1266" s="4" t="n"/>
      <c r="BE1266" s="4" t="n"/>
      <c r="BF1266" s="4" t="n"/>
      <c r="BG1266" s="4" t="n"/>
      <c r="BH1266" s="4" t="n"/>
      <c r="BI1266" s="4" t="n"/>
      <c r="BJ1266" s="4" t="n"/>
      <c r="BK1266" s="4" t="n"/>
      <c r="BL1266" s="4" t="n"/>
      <c r="BM1266" s="4" t="n"/>
      <c r="BN1266" s="4" t="n"/>
      <c r="BO1266" s="4" t="n"/>
      <c r="BP1266" s="4" t="n"/>
      <c r="BQ1266" s="4" t="n"/>
      <c r="BR1266" s="4" t="n"/>
      <c r="BS1266" s="4" t="n"/>
      <c r="BT1266" s="4" t="n"/>
      <c r="BU1266" s="4" t="n"/>
      <c r="BV1266" s="4" t="n"/>
      <c r="BW1266" s="4" t="n"/>
      <c r="BX1266" s="4" t="n"/>
      <c r="BY1266" s="4" t="n"/>
      <c r="BZ1266" s="4" t="n"/>
      <c r="CA1266" s="4" t="n"/>
      <c r="CB1266" s="4" t="n"/>
      <c r="CC1266" s="4" t="n"/>
      <c r="CD1266" s="4" t="n"/>
      <c r="CE1266" s="4" t="n"/>
      <c r="CF1266" s="4" t="n"/>
      <c r="CG1266" s="4" t="n"/>
      <c r="CH1266" s="4" t="n"/>
      <c r="CI1266" s="4" t="n"/>
      <c r="CJ1266" s="4" t="n"/>
      <c r="CK1266" s="4" t="n"/>
      <c r="CL1266" s="4" t="n"/>
      <c r="CM1266" s="4" t="n"/>
      <c r="CN1266" s="4" t="n"/>
      <c r="CO1266" s="4" t="n"/>
      <c r="CP1266" s="4" t="n"/>
      <c r="CQ1266" s="4" t="n"/>
      <c r="CR1266" s="4" t="n"/>
      <c r="CS1266" s="4" t="n"/>
      <c r="CT1266" s="4" t="n"/>
      <c r="CU1266" s="4" t="n"/>
      <c r="CV1266" s="4" t="n"/>
      <c r="CW1266" s="4" t="n"/>
      <c r="CX1266" s="4" t="n"/>
      <c r="CY1266" s="4" t="n"/>
      <c r="CZ1266" s="4" t="n"/>
      <c r="DA1266" s="4" t="n"/>
      <c r="DB1266" s="4" t="n"/>
      <c r="DC1266" s="4" t="n"/>
      <c r="DD1266" s="4" t="n"/>
      <c r="DE1266" s="4" t="n"/>
      <c r="DF1266" s="4" t="n"/>
      <c r="DG1266" s="4" t="n"/>
      <c r="DH1266" s="4" t="n"/>
      <c r="DI1266" s="4" t="n"/>
      <c r="DJ1266" s="4" t="n"/>
      <c r="DK1266" s="4" t="n"/>
      <c r="DL1266" s="4" t="n"/>
      <c r="DM1266" s="4" t="n"/>
      <c r="DN1266" s="4" t="n"/>
      <c r="DO1266" s="4" t="n"/>
      <c r="DP1266" s="4" t="n"/>
      <c r="DQ1266" s="4" t="n"/>
      <c r="DR1266" s="4" t="n"/>
      <c r="DS1266" s="4" t="n"/>
      <c r="DT1266" s="4" t="n"/>
      <c r="DU1266" s="4" t="n"/>
      <c r="DV1266" s="4" t="n"/>
      <c r="DW1266" s="4" t="n"/>
      <c r="DX1266" s="4" t="n"/>
      <c r="DY1266" s="4" t="n"/>
      <c r="DZ1266" s="4" t="n"/>
      <c r="EA1266" s="4" t="n"/>
      <c r="EB1266" s="4" t="n"/>
      <c r="EC1266" s="4" t="n"/>
      <c r="ED1266" s="4" t="n"/>
      <c r="EE1266" s="4" t="n"/>
      <c r="EF1266" s="4" t="n"/>
      <c r="EG1266" s="4" t="n"/>
      <c r="EH1266" s="4" t="n"/>
      <c r="EI1266" s="4" t="n"/>
      <c r="EJ1266" s="4" t="n"/>
      <c r="EK1266" s="4" t="n"/>
      <c r="EL1266" s="4" t="n"/>
      <c r="EM1266" s="4" t="n"/>
    </row>
    <row r="1267" hidden="1" customFormat="1" s="6">
      <c r="C1267" s="4" t="n"/>
      <c r="D1267" s="4" t="n"/>
      <c r="E1267" s="4" t="n"/>
      <c r="F1267" s="4" t="n"/>
      <c r="G1267" s="4" t="n"/>
      <c r="H1267" s="4" t="n"/>
      <c r="I1267" s="4" t="n"/>
      <c r="J1267" s="4" t="n"/>
      <c r="K1267" s="4" t="n"/>
      <c r="L1267" s="4" t="n"/>
      <c r="M1267" s="4" t="n"/>
      <c r="N1267" s="4" t="n"/>
      <c r="O1267" s="4" t="n"/>
      <c r="P1267" s="4" t="n"/>
      <c r="Q1267" s="4" t="n"/>
      <c r="R1267" s="4" t="n"/>
      <c r="S1267" s="4" t="n"/>
      <c r="T1267" s="4" t="n"/>
      <c r="U1267" s="4" t="n"/>
      <c r="V1267" s="4" t="n"/>
      <c r="W1267" s="4" t="n"/>
      <c r="X1267" s="4" t="n"/>
      <c r="Y1267" s="4" t="n"/>
      <c r="Z1267" s="4" t="n"/>
      <c r="AA1267" s="4" t="n"/>
      <c r="AB1267" s="4" t="n"/>
      <c r="AC1267" s="4" t="n"/>
      <c r="AD1267" s="4" t="n"/>
      <c r="AE1267" s="4" t="n"/>
      <c r="AF1267" s="4" t="n"/>
      <c r="AG1267" s="4" t="n"/>
      <c r="AH1267" s="4" t="n"/>
      <c r="AI1267" s="4" t="n"/>
      <c r="AJ1267" s="4" t="n"/>
      <c r="AK1267" s="4" t="n"/>
      <c r="AL1267" s="4" t="n"/>
      <c r="AM1267" s="4" t="n"/>
      <c r="AN1267" s="4" t="n"/>
      <c r="AO1267" s="4" t="n"/>
      <c r="AP1267" s="4" t="n"/>
      <c r="AQ1267" s="4" t="n"/>
      <c r="AR1267" s="4" t="n"/>
      <c r="AS1267" s="4" t="n"/>
      <c r="AT1267" s="4" t="n"/>
      <c r="AU1267" s="4" t="n"/>
      <c r="AV1267" s="4" t="n"/>
      <c r="AW1267" s="4" t="n"/>
      <c r="AX1267" s="4" t="n"/>
      <c r="AY1267" s="4" t="n"/>
      <c r="AZ1267" s="4" t="n"/>
      <c r="BA1267" s="4" t="n"/>
      <c r="BB1267" s="4" t="n"/>
      <c r="BC1267" s="4" t="n"/>
      <c r="BD1267" s="4" t="n"/>
      <c r="BE1267" s="4" t="n"/>
      <c r="BF1267" s="4" t="n"/>
      <c r="BG1267" s="4" t="n"/>
      <c r="BH1267" s="4" t="n"/>
      <c r="BI1267" s="4" t="n"/>
      <c r="BJ1267" s="4" t="n"/>
      <c r="BK1267" s="4" t="n"/>
      <c r="BL1267" s="4" t="n"/>
      <c r="BM1267" s="4" t="n"/>
      <c r="BN1267" s="4" t="n"/>
      <c r="BO1267" s="4" t="n"/>
      <c r="BP1267" s="4" t="n"/>
      <c r="BQ1267" s="4" t="n"/>
      <c r="BR1267" s="4" t="n"/>
      <c r="BS1267" s="4" t="n"/>
      <c r="BT1267" s="4" t="n"/>
      <c r="BU1267" s="4" t="n"/>
      <c r="BV1267" s="4" t="n"/>
      <c r="BW1267" s="4" t="n"/>
      <c r="BX1267" s="4" t="n"/>
      <c r="BY1267" s="4" t="n"/>
      <c r="BZ1267" s="4" t="n"/>
      <c r="CA1267" s="4" t="n"/>
      <c r="CB1267" s="4" t="n"/>
      <c r="CC1267" s="4" t="n"/>
      <c r="CD1267" s="4" t="n"/>
      <c r="CE1267" s="4" t="n"/>
      <c r="CF1267" s="4" t="n"/>
      <c r="CG1267" s="4" t="n"/>
      <c r="CH1267" s="4" t="n"/>
      <c r="CI1267" s="4" t="n"/>
      <c r="CJ1267" s="4" t="n"/>
      <c r="CK1267" s="4" t="n"/>
      <c r="CL1267" s="4" t="n"/>
      <c r="CM1267" s="4" t="n"/>
      <c r="CN1267" s="4" t="n"/>
      <c r="CO1267" s="4" t="n"/>
      <c r="CP1267" s="4" t="n"/>
      <c r="CQ1267" s="4" t="n"/>
      <c r="CR1267" s="4" t="n"/>
      <c r="CS1267" s="4" t="n"/>
      <c r="CT1267" s="4" t="n"/>
      <c r="CU1267" s="4" t="n"/>
      <c r="CV1267" s="4" t="n"/>
      <c r="CW1267" s="4" t="n"/>
      <c r="CX1267" s="4" t="n"/>
      <c r="CY1267" s="4" t="n"/>
      <c r="CZ1267" s="4" t="n"/>
      <c r="DA1267" s="4" t="n"/>
      <c r="DB1267" s="4" t="n"/>
      <c r="DC1267" s="4" t="n"/>
      <c r="DD1267" s="4" t="n"/>
      <c r="DE1267" s="4" t="n"/>
      <c r="DF1267" s="4" t="n"/>
      <c r="DG1267" s="4" t="n"/>
      <c r="DH1267" s="4" t="n"/>
      <c r="DI1267" s="4" t="n"/>
      <c r="DJ1267" s="4" t="n"/>
      <c r="DK1267" s="4" t="n"/>
      <c r="DL1267" s="4" t="n"/>
      <c r="DM1267" s="4" t="n"/>
      <c r="DN1267" s="4" t="n"/>
      <c r="DO1267" s="4" t="n"/>
      <c r="DP1267" s="4" t="n"/>
      <c r="DQ1267" s="4" t="n"/>
      <c r="DR1267" s="4" t="n"/>
      <c r="DS1267" s="4" t="n"/>
      <c r="DT1267" s="4" t="n"/>
      <c r="DU1267" s="4" t="n"/>
      <c r="DV1267" s="4" t="n"/>
      <c r="DW1267" s="4" t="n"/>
      <c r="DX1267" s="4" t="n"/>
      <c r="DY1267" s="4" t="n"/>
      <c r="DZ1267" s="4" t="n"/>
      <c r="EA1267" s="4" t="n"/>
      <c r="EB1267" s="4" t="n"/>
      <c r="EC1267" s="4" t="n"/>
      <c r="ED1267" s="4" t="n"/>
      <c r="EE1267" s="4" t="n"/>
      <c r="EF1267" s="4" t="n"/>
      <c r="EG1267" s="4" t="n"/>
      <c r="EH1267" s="4" t="n"/>
      <c r="EI1267" s="4" t="n"/>
      <c r="EJ1267" s="4" t="n"/>
      <c r="EK1267" s="4" t="n"/>
      <c r="EL1267" s="4" t="n"/>
      <c r="EM1267" s="4" t="n"/>
    </row>
    <row r="1268" hidden="1" customFormat="1" s="6">
      <c r="C1268" s="4" t="n"/>
      <c r="D1268" s="4" t="n"/>
      <c r="E1268" s="4" t="n"/>
      <c r="F1268" s="4" t="n"/>
      <c r="G1268" s="4" t="n"/>
      <c r="H1268" s="4" t="n"/>
      <c r="I1268" s="4" t="n"/>
      <c r="J1268" s="4" t="n"/>
      <c r="K1268" s="4" t="n"/>
      <c r="L1268" s="4" t="n"/>
      <c r="M1268" s="4" t="n"/>
      <c r="N1268" s="4" t="n"/>
      <c r="O1268" s="4" t="n"/>
      <c r="P1268" s="4" t="n"/>
      <c r="Q1268" s="4" t="n"/>
      <c r="R1268" s="4" t="n"/>
      <c r="S1268" s="4" t="n"/>
      <c r="T1268" s="4" t="n"/>
      <c r="U1268" s="4" t="n"/>
      <c r="V1268" s="4" t="n"/>
      <c r="W1268" s="4" t="n"/>
      <c r="X1268" s="4" t="n"/>
      <c r="Y1268" s="4" t="n"/>
      <c r="Z1268" s="4" t="n"/>
      <c r="AA1268" s="4" t="n"/>
      <c r="AB1268" s="4" t="n"/>
      <c r="AC1268" s="4" t="n"/>
      <c r="AD1268" s="4" t="n"/>
      <c r="AE1268" s="4" t="n"/>
      <c r="AF1268" s="4" t="n"/>
      <c r="AG1268" s="4" t="n"/>
      <c r="AH1268" s="4" t="n"/>
      <c r="AI1268" s="4" t="n"/>
      <c r="AJ1268" s="4" t="n"/>
      <c r="AK1268" s="4" t="n"/>
      <c r="AL1268" s="4" t="n"/>
      <c r="AM1268" s="4" t="n"/>
      <c r="AN1268" s="4" t="n"/>
      <c r="AO1268" s="4" t="n"/>
      <c r="AP1268" s="4" t="n"/>
      <c r="AQ1268" s="4" t="n"/>
      <c r="AR1268" s="4" t="n"/>
      <c r="AS1268" s="4" t="n"/>
      <c r="AT1268" s="4" t="n"/>
      <c r="AU1268" s="4" t="n"/>
      <c r="AV1268" s="4" t="n"/>
      <c r="AW1268" s="4" t="n"/>
      <c r="AX1268" s="4" t="n"/>
      <c r="AY1268" s="4" t="n"/>
      <c r="AZ1268" s="4" t="n"/>
      <c r="BA1268" s="4" t="n"/>
      <c r="BB1268" s="4" t="n"/>
      <c r="BC1268" s="4" t="n"/>
      <c r="BD1268" s="4" t="n"/>
      <c r="BE1268" s="4" t="n"/>
      <c r="BF1268" s="4" t="n"/>
      <c r="BG1268" s="4" t="n"/>
      <c r="BH1268" s="4" t="n"/>
      <c r="BI1268" s="4" t="n"/>
      <c r="BJ1268" s="4" t="n"/>
      <c r="BK1268" s="4" t="n"/>
      <c r="BL1268" s="4" t="n"/>
      <c r="BM1268" s="4" t="n"/>
      <c r="BN1268" s="4" t="n"/>
      <c r="BO1268" s="4" t="n"/>
      <c r="BP1268" s="4" t="n"/>
      <c r="BQ1268" s="4" t="n"/>
      <c r="BR1268" s="4" t="n"/>
      <c r="BS1268" s="4" t="n"/>
      <c r="BT1268" s="4" t="n"/>
      <c r="BU1268" s="4" t="n"/>
      <c r="BV1268" s="4" t="n"/>
      <c r="BW1268" s="4" t="n"/>
      <c r="BX1268" s="4" t="n"/>
      <c r="BY1268" s="4" t="n"/>
      <c r="BZ1268" s="4" t="n"/>
      <c r="CA1268" s="4" t="n"/>
      <c r="CB1268" s="4" t="n"/>
      <c r="CC1268" s="4" t="n"/>
      <c r="CD1268" s="4" t="n"/>
      <c r="CE1268" s="4" t="n"/>
      <c r="CF1268" s="4" t="n"/>
      <c r="CG1268" s="4" t="n"/>
      <c r="CH1268" s="4" t="n"/>
      <c r="CI1268" s="4" t="n"/>
      <c r="CJ1268" s="4" t="n"/>
      <c r="CK1268" s="4" t="n"/>
      <c r="CL1268" s="4" t="n"/>
      <c r="CM1268" s="4" t="n"/>
      <c r="CN1268" s="4" t="n"/>
      <c r="CO1268" s="4" t="n"/>
      <c r="CP1268" s="4" t="n"/>
      <c r="CQ1268" s="4" t="n"/>
      <c r="CR1268" s="4" t="n"/>
      <c r="CS1268" s="4" t="n"/>
      <c r="CT1268" s="4" t="n"/>
      <c r="CU1268" s="4" t="n"/>
      <c r="CV1268" s="4" t="n"/>
      <c r="CW1268" s="4" t="n"/>
      <c r="CX1268" s="4" t="n"/>
      <c r="CY1268" s="4" t="n"/>
      <c r="CZ1268" s="4" t="n"/>
      <c r="DA1268" s="4" t="n"/>
      <c r="DB1268" s="4" t="n"/>
      <c r="DC1268" s="4" t="n"/>
      <c r="DD1268" s="4" t="n"/>
      <c r="DE1268" s="4" t="n"/>
      <c r="DF1268" s="4" t="n"/>
      <c r="DG1268" s="4" t="n"/>
      <c r="DH1268" s="4" t="n"/>
      <c r="DI1268" s="4" t="n"/>
      <c r="DJ1268" s="4" t="n"/>
      <c r="DK1268" s="4" t="n"/>
      <c r="DL1268" s="4" t="n"/>
      <c r="DM1268" s="4" t="n"/>
      <c r="DN1268" s="4" t="n"/>
      <c r="DO1268" s="4" t="n"/>
      <c r="DP1268" s="4" t="n"/>
      <c r="DQ1268" s="4" t="n"/>
      <c r="DR1268" s="4" t="n"/>
      <c r="DS1268" s="4" t="n"/>
      <c r="DT1268" s="4" t="n"/>
      <c r="DU1268" s="4" t="n"/>
      <c r="DV1268" s="4" t="n"/>
      <c r="DW1268" s="4" t="n"/>
      <c r="DX1268" s="4" t="n"/>
      <c r="DY1268" s="4" t="n"/>
      <c r="DZ1268" s="4" t="n"/>
      <c r="EA1268" s="4" t="n"/>
      <c r="EB1268" s="4" t="n"/>
      <c r="EC1268" s="4" t="n"/>
      <c r="ED1268" s="4" t="n"/>
      <c r="EE1268" s="4" t="n"/>
      <c r="EF1268" s="4" t="n"/>
      <c r="EG1268" s="4" t="n"/>
      <c r="EH1268" s="4" t="n"/>
      <c r="EI1268" s="4" t="n"/>
      <c r="EJ1268" s="4" t="n"/>
      <c r="EK1268" s="4" t="n"/>
      <c r="EL1268" s="4" t="n"/>
      <c r="EM1268" s="4" t="n"/>
    </row>
    <row r="1269" hidden="1" customFormat="1" s="6">
      <c r="C1269" s="4" t="n"/>
      <c r="D1269" s="4" t="n"/>
      <c r="E1269" s="4" t="n"/>
      <c r="F1269" s="4" t="n"/>
      <c r="G1269" s="4" t="n"/>
      <c r="H1269" s="4" t="n"/>
      <c r="I1269" s="4" t="n"/>
      <c r="J1269" s="4" t="n"/>
      <c r="K1269" s="4" t="n"/>
      <c r="L1269" s="4" t="n"/>
      <c r="M1269" s="4" t="n"/>
      <c r="N1269" s="4" t="n"/>
      <c r="O1269" s="4" t="n"/>
      <c r="P1269" s="4" t="n"/>
      <c r="Q1269" s="4" t="n"/>
      <c r="R1269" s="4" t="n"/>
      <c r="S1269" s="4" t="n"/>
      <c r="T1269" s="4" t="n"/>
      <c r="U1269" s="4" t="n"/>
      <c r="V1269" s="4" t="n"/>
      <c r="W1269" s="4" t="n"/>
      <c r="X1269" s="4" t="n"/>
      <c r="Y1269" s="4" t="n"/>
      <c r="Z1269" s="4" t="n"/>
      <c r="AA1269" s="4" t="n"/>
      <c r="AB1269" s="4" t="n"/>
      <c r="AC1269" s="4" t="n"/>
      <c r="AD1269" s="4" t="n"/>
      <c r="AE1269" s="4" t="n"/>
      <c r="AF1269" s="4" t="n"/>
      <c r="AG1269" s="4" t="n"/>
      <c r="AH1269" s="4" t="n"/>
      <c r="AI1269" s="4" t="n"/>
      <c r="AJ1269" s="4" t="n"/>
      <c r="AK1269" s="4" t="n"/>
      <c r="AL1269" s="4" t="n"/>
      <c r="AM1269" s="4" t="n"/>
      <c r="AN1269" s="4" t="n"/>
      <c r="AO1269" s="4" t="n"/>
      <c r="AP1269" s="4" t="n"/>
      <c r="AQ1269" s="4" t="n"/>
      <c r="AR1269" s="4" t="n"/>
      <c r="AS1269" s="4" t="n"/>
      <c r="AT1269" s="4" t="n"/>
      <c r="AU1269" s="4" t="n"/>
      <c r="AV1269" s="4" t="n"/>
      <c r="AW1269" s="4" t="n"/>
      <c r="AX1269" s="4" t="n"/>
      <c r="AY1269" s="4" t="n"/>
      <c r="AZ1269" s="4" t="n"/>
      <c r="BA1269" s="4" t="n"/>
      <c r="BB1269" s="4" t="n"/>
      <c r="BC1269" s="4" t="n"/>
      <c r="BD1269" s="4" t="n"/>
      <c r="BE1269" s="4" t="n"/>
      <c r="BF1269" s="4" t="n"/>
      <c r="BG1269" s="4" t="n"/>
      <c r="BH1269" s="4" t="n"/>
      <c r="BI1269" s="4" t="n"/>
      <c r="BJ1269" s="4" t="n"/>
      <c r="BK1269" s="4" t="n"/>
      <c r="BL1269" s="4" t="n"/>
      <c r="BM1269" s="4" t="n"/>
      <c r="BN1269" s="4" t="n"/>
      <c r="BO1269" s="4" t="n"/>
      <c r="BP1269" s="4" t="n"/>
      <c r="BQ1269" s="4" t="n"/>
      <c r="BR1269" s="4" t="n"/>
      <c r="BS1269" s="4" t="n"/>
      <c r="BT1269" s="4" t="n"/>
      <c r="BU1269" s="4" t="n"/>
      <c r="BV1269" s="4" t="n"/>
      <c r="BW1269" s="4" t="n"/>
      <c r="BX1269" s="4" t="n"/>
      <c r="BY1269" s="4" t="n"/>
      <c r="BZ1269" s="4" t="n"/>
      <c r="CA1269" s="4" t="n"/>
      <c r="CB1269" s="4" t="n"/>
      <c r="CC1269" s="4" t="n"/>
      <c r="CD1269" s="4" t="n"/>
      <c r="CE1269" s="4" t="n"/>
      <c r="CF1269" s="4" t="n"/>
      <c r="CG1269" s="4" t="n"/>
      <c r="CH1269" s="4" t="n"/>
      <c r="CI1269" s="4" t="n"/>
      <c r="CJ1269" s="4" t="n"/>
      <c r="CK1269" s="4" t="n"/>
      <c r="CL1269" s="4" t="n"/>
      <c r="CM1269" s="4" t="n"/>
      <c r="CN1269" s="4" t="n"/>
      <c r="CO1269" s="4" t="n"/>
      <c r="CP1269" s="4" t="n"/>
      <c r="CQ1269" s="4" t="n"/>
      <c r="CR1269" s="4" t="n"/>
      <c r="CS1269" s="4" t="n"/>
      <c r="CT1269" s="4" t="n"/>
      <c r="CU1269" s="4" t="n"/>
      <c r="CV1269" s="4" t="n"/>
      <c r="CW1269" s="4" t="n"/>
      <c r="CX1269" s="4" t="n"/>
      <c r="CY1269" s="4" t="n"/>
      <c r="CZ1269" s="4" t="n"/>
      <c r="DA1269" s="4" t="n"/>
      <c r="DB1269" s="4" t="n"/>
      <c r="DC1269" s="4" t="n"/>
      <c r="DD1269" s="4" t="n"/>
      <c r="DE1269" s="4" t="n"/>
      <c r="DF1269" s="4" t="n"/>
      <c r="DG1269" s="4" t="n"/>
      <c r="DH1269" s="4" t="n"/>
      <c r="DI1269" s="4" t="n"/>
      <c r="DJ1269" s="4" t="n"/>
      <c r="DK1269" s="4" t="n"/>
      <c r="DL1269" s="4" t="n"/>
      <c r="DM1269" s="4" t="n"/>
      <c r="DN1269" s="4" t="n"/>
      <c r="DO1269" s="4" t="n"/>
      <c r="DP1269" s="4" t="n"/>
      <c r="DQ1269" s="4" t="n"/>
      <c r="DR1269" s="4" t="n"/>
      <c r="DS1269" s="4" t="n"/>
      <c r="DT1269" s="4" t="n"/>
      <c r="DU1269" s="4" t="n"/>
      <c r="DV1269" s="4" t="n"/>
      <c r="DW1269" s="4" t="n"/>
      <c r="DX1269" s="4" t="n"/>
      <c r="DY1269" s="4" t="n"/>
      <c r="DZ1269" s="4" t="n"/>
      <c r="EA1269" s="4" t="n"/>
      <c r="EB1269" s="4" t="n"/>
      <c r="EC1269" s="4" t="n"/>
      <c r="ED1269" s="4" t="n"/>
      <c r="EE1269" s="4" t="n"/>
      <c r="EF1269" s="4" t="n"/>
      <c r="EG1269" s="4" t="n"/>
      <c r="EH1269" s="4" t="n"/>
      <c r="EI1269" s="4" t="n"/>
      <c r="EJ1269" s="4" t="n"/>
      <c r="EK1269" s="4" t="n"/>
      <c r="EL1269" s="4" t="n"/>
      <c r="EM1269" s="4" t="n"/>
    </row>
    <row r="1270" hidden="1" customFormat="1" s="6">
      <c r="C1270" s="4" t="n"/>
      <c r="D1270" s="4" t="n"/>
      <c r="E1270" s="4" t="n"/>
      <c r="F1270" s="4" t="n"/>
      <c r="G1270" s="4" t="n"/>
      <c r="H1270" s="4" t="n"/>
      <c r="I1270" s="4" t="n"/>
      <c r="J1270" s="4" t="n"/>
      <c r="K1270" s="4" t="n"/>
      <c r="L1270" s="4" t="n"/>
      <c r="M1270" s="4" t="n"/>
      <c r="N1270" s="4" t="n"/>
      <c r="O1270" s="4" t="n"/>
      <c r="P1270" s="4" t="n"/>
      <c r="Q1270" s="4" t="n"/>
      <c r="R1270" s="4" t="n"/>
      <c r="S1270" s="4" t="n"/>
      <c r="T1270" s="4" t="n"/>
      <c r="U1270" s="4" t="n"/>
      <c r="V1270" s="4" t="n"/>
      <c r="W1270" s="4" t="n"/>
      <c r="X1270" s="4" t="n"/>
      <c r="Y1270" s="4" t="n"/>
      <c r="Z1270" s="4" t="n"/>
      <c r="AA1270" s="4" t="n"/>
      <c r="AB1270" s="4" t="n"/>
      <c r="AC1270" s="4" t="n"/>
      <c r="AD1270" s="4" t="n"/>
      <c r="AE1270" s="4" t="n"/>
      <c r="AF1270" s="4" t="n"/>
      <c r="AG1270" s="4" t="n"/>
      <c r="AH1270" s="4" t="n"/>
      <c r="AI1270" s="4" t="n"/>
      <c r="AJ1270" s="4" t="n"/>
      <c r="AK1270" s="4" t="n"/>
      <c r="AL1270" s="4" t="n"/>
      <c r="AM1270" s="4" t="n"/>
      <c r="AN1270" s="4" t="n"/>
      <c r="AO1270" s="4" t="n"/>
      <c r="AP1270" s="4" t="n"/>
      <c r="AQ1270" s="4" t="n"/>
      <c r="AR1270" s="4" t="n"/>
      <c r="AS1270" s="4" t="n"/>
      <c r="AT1270" s="4" t="n"/>
      <c r="AU1270" s="4" t="n"/>
      <c r="AV1270" s="4" t="n"/>
      <c r="AW1270" s="4" t="n"/>
      <c r="AX1270" s="4" t="n"/>
      <c r="AY1270" s="4" t="n"/>
      <c r="AZ1270" s="4" t="n"/>
      <c r="BA1270" s="4" t="n"/>
      <c r="BB1270" s="4" t="n"/>
      <c r="BC1270" s="4" t="n"/>
      <c r="BD1270" s="4" t="n"/>
      <c r="BE1270" s="4" t="n"/>
      <c r="BF1270" s="4" t="n"/>
      <c r="BG1270" s="4" t="n"/>
      <c r="BH1270" s="4" t="n"/>
      <c r="BI1270" s="4" t="n"/>
      <c r="BJ1270" s="4" t="n"/>
      <c r="BK1270" s="4" t="n"/>
      <c r="BL1270" s="4" t="n"/>
      <c r="BM1270" s="4" t="n"/>
      <c r="BN1270" s="4" t="n"/>
      <c r="BO1270" s="4" t="n"/>
      <c r="BP1270" s="4" t="n"/>
      <c r="BQ1270" s="4" t="n"/>
      <c r="BR1270" s="4" t="n"/>
      <c r="BS1270" s="4" t="n"/>
      <c r="BT1270" s="4" t="n"/>
      <c r="BU1270" s="4" t="n"/>
      <c r="BV1270" s="4" t="n"/>
      <c r="BW1270" s="4" t="n"/>
      <c r="BX1270" s="4" t="n"/>
      <c r="BY1270" s="4" t="n"/>
      <c r="BZ1270" s="4" t="n"/>
      <c r="CA1270" s="4" t="n"/>
      <c r="CB1270" s="4" t="n"/>
      <c r="CC1270" s="4" t="n"/>
      <c r="CD1270" s="4" t="n"/>
      <c r="CE1270" s="4" t="n"/>
      <c r="CF1270" s="4" t="n"/>
      <c r="CG1270" s="4" t="n"/>
      <c r="CH1270" s="4" t="n"/>
      <c r="CI1270" s="4" t="n"/>
      <c r="CJ1270" s="4" t="n"/>
      <c r="CK1270" s="4" t="n"/>
      <c r="CL1270" s="4" t="n"/>
      <c r="CM1270" s="4" t="n"/>
      <c r="CN1270" s="4" t="n"/>
      <c r="CO1270" s="4" t="n"/>
      <c r="CP1270" s="4" t="n"/>
      <c r="CQ1270" s="4" t="n"/>
      <c r="CR1270" s="4" t="n"/>
      <c r="CS1270" s="4" t="n"/>
      <c r="CT1270" s="4" t="n"/>
      <c r="CU1270" s="4" t="n"/>
      <c r="CV1270" s="4" t="n"/>
      <c r="CW1270" s="4" t="n"/>
      <c r="CX1270" s="4" t="n"/>
      <c r="CY1270" s="4" t="n"/>
      <c r="CZ1270" s="4" t="n"/>
      <c r="DA1270" s="4" t="n"/>
      <c r="DB1270" s="4" t="n"/>
      <c r="DC1270" s="4" t="n"/>
      <c r="DD1270" s="4" t="n"/>
      <c r="DE1270" s="4" t="n"/>
      <c r="DF1270" s="4" t="n"/>
      <c r="DG1270" s="4" t="n"/>
      <c r="DH1270" s="4" t="n"/>
      <c r="DI1270" s="4" t="n"/>
      <c r="DJ1270" s="4" t="n"/>
      <c r="DK1270" s="4" t="n"/>
      <c r="DL1270" s="4" t="n"/>
      <c r="DM1270" s="4" t="n"/>
      <c r="DN1270" s="4" t="n"/>
      <c r="DO1270" s="4" t="n"/>
      <c r="DP1270" s="4" t="n"/>
      <c r="DQ1270" s="4" t="n"/>
      <c r="DR1270" s="4" t="n"/>
      <c r="DS1270" s="4" t="n"/>
      <c r="DT1270" s="4" t="n"/>
      <c r="DU1270" s="4" t="n"/>
      <c r="DV1270" s="4" t="n"/>
      <c r="DW1270" s="4" t="n"/>
      <c r="DX1270" s="4" t="n"/>
      <c r="DY1270" s="4" t="n"/>
      <c r="DZ1270" s="4" t="n"/>
      <c r="EA1270" s="4" t="n"/>
      <c r="EB1270" s="4" t="n"/>
      <c r="EC1270" s="4" t="n"/>
      <c r="ED1270" s="4" t="n"/>
      <c r="EE1270" s="4" t="n"/>
      <c r="EF1270" s="4" t="n"/>
      <c r="EG1270" s="4" t="n"/>
      <c r="EH1270" s="4" t="n"/>
      <c r="EI1270" s="4" t="n"/>
      <c r="EJ1270" s="4" t="n"/>
      <c r="EK1270" s="4" t="n"/>
      <c r="EL1270" s="4" t="n"/>
      <c r="EM1270" s="4" t="n"/>
    </row>
    <row r="1271" hidden="1" customFormat="1" s="6">
      <c r="C1271" s="4" t="n"/>
      <c r="D1271" s="4" t="n"/>
      <c r="E1271" s="4" t="n"/>
      <c r="F1271" s="4" t="n"/>
      <c r="G1271" s="4" t="n"/>
      <c r="H1271" s="4" t="n"/>
      <c r="I1271" s="4" t="n"/>
      <c r="J1271" s="4" t="n"/>
      <c r="K1271" s="4" t="n"/>
      <c r="L1271" s="4" t="n"/>
      <c r="M1271" s="4" t="n"/>
      <c r="N1271" s="4" t="n"/>
      <c r="O1271" s="4" t="n"/>
      <c r="P1271" s="4" t="n"/>
      <c r="Q1271" s="4" t="n"/>
      <c r="R1271" s="4" t="n"/>
      <c r="S1271" s="4" t="n"/>
      <c r="T1271" s="4" t="n"/>
      <c r="U1271" s="4" t="n"/>
      <c r="V1271" s="4" t="n"/>
      <c r="W1271" s="4" t="n"/>
      <c r="X1271" s="4" t="n"/>
      <c r="Y1271" s="4" t="n"/>
      <c r="Z1271" s="4" t="n"/>
      <c r="AA1271" s="4" t="n"/>
      <c r="AB1271" s="4" t="n"/>
      <c r="AC1271" s="4" t="n"/>
      <c r="AD1271" s="4" t="n"/>
      <c r="AE1271" s="4" t="n"/>
      <c r="AF1271" s="4" t="n"/>
      <c r="AG1271" s="4" t="n"/>
      <c r="AH1271" s="4" t="n"/>
      <c r="AI1271" s="4" t="n"/>
      <c r="AJ1271" s="4" t="n"/>
      <c r="AK1271" s="4" t="n"/>
      <c r="AL1271" s="4" t="n"/>
      <c r="AM1271" s="4" t="n"/>
      <c r="AN1271" s="4" t="n"/>
      <c r="AO1271" s="4" t="n"/>
      <c r="AP1271" s="4" t="n"/>
      <c r="AQ1271" s="4" t="n"/>
      <c r="AR1271" s="4" t="n"/>
      <c r="AS1271" s="4" t="n"/>
      <c r="AT1271" s="4" t="n"/>
      <c r="AU1271" s="4" t="n"/>
      <c r="AV1271" s="4" t="n"/>
      <c r="AW1271" s="4" t="n"/>
      <c r="AX1271" s="4" t="n"/>
      <c r="AY1271" s="4" t="n"/>
      <c r="AZ1271" s="4" t="n"/>
      <c r="BA1271" s="4" t="n"/>
      <c r="BB1271" s="4" t="n"/>
      <c r="BC1271" s="4" t="n"/>
      <c r="BD1271" s="4" t="n"/>
      <c r="BE1271" s="4" t="n"/>
      <c r="BF1271" s="4" t="n"/>
      <c r="BG1271" s="4" t="n"/>
      <c r="BH1271" s="4" t="n"/>
      <c r="BI1271" s="4" t="n"/>
      <c r="BJ1271" s="4" t="n"/>
      <c r="BK1271" s="4" t="n"/>
      <c r="BL1271" s="4" t="n"/>
      <c r="BM1271" s="4" t="n"/>
      <c r="BN1271" s="4" t="n"/>
      <c r="BO1271" s="4" t="n"/>
      <c r="BP1271" s="4" t="n"/>
      <c r="BQ1271" s="4" t="n"/>
      <c r="BR1271" s="4" t="n"/>
      <c r="BS1271" s="4" t="n"/>
      <c r="BT1271" s="4" t="n"/>
      <c r="BU1271" s="4" t="n"/>
      <c r="BV1271" s="4" t="n"/>
      <c r="BW1271" s="4" t="n"/>
      <c r="BX1271" s="4" t="n"/>
      <c r="BY1271" s="4" t="n"/>
      <c r="BZ1271" s="4" t="n"/>
      <c r="CA1271" s="4" t="n"/>
      <c r="CB1271" s="4" t="n"/>
      <c r="CC1271" s="4" t="n"/>
      <c r="CD1271" s="4" t="n"/>
      <c r="CE1271" s="4" t="n"/>
      <c r="CF1271" s="4" t="n"/>
      <c r="CG1271" s="4" t="n"/>
      <c r="CH1271" s="4" t="n"/>
      <c r="CI1271" s="4" t="n"/>
      <c r="CJ1271" s="4" t="n"/>
      <c r="CK1271" s="4" t="n"/>
      <c r="CL1271" s="4" t="n"/>
      <c r="CM1271" s="4" t="n"/>
      <c r="CN1271" s="4" t="n"/>
      <c r="CO1271" s="4" t="n"/>
      <c r="CP1271" s="4" t="n"/>
      <c r="CQ1271" s="4" t="n"/>
      <c r="CR1271" s="4" t="n"/>
      <c r="CS1271" s="4" t="n"/>
      <c r="CT1271" s="4" t="n"/>
      <c r="CU1271" s="4" t="n"/>
      <c r="CV1271" s="4" t="n"/>
      <c r="CW1271" s="4" t="n"/>
      <c r="CX1271" s="4" t="n"/>
      <c r="CY1271" s="4" t="n"/>
      <c r="CZ1271" s="4" t="n"/>
      <c r="DA1271" s="4" t="n"/>
      <c r="DB1271" s="4" t="n"/>
      <c r="DC1271" s="4" t="n"/>
      <c r="DD1271" s="4" t="n"/>
      <c r="DE1271" s="4" t="n"/>
      <c r="DF1271" s="4" t="n"/>
      <c r="DG1271" s="4" t="n"/>
      <c r="DH1271" s="4" t="n"/>
      <c r="DI1271" s="4" t="n"/>
      <c r="DJ1271" s="4" t="n"/>
      <c r="DK1271" s="4" t="n"/>
      <c r="DL1271" s="4" t="n"/>
      <c r="DM1271" s="4" t="n"/>
      <c r="DN1271" s="4" t="n"/>
      <c r="DO1271" s="4" t="n"/>
      <c r="DP1271" s="4" t="n"/>
      <c r="DQ1271" s="4" t="n"/>
      <c r="DR1271" s="4" t="n"/>
      <c r="DS1271" s="4" t="n"/>
      <c r="DT1271" s="4" t="n"/>
      <c r="DU1271" s="4" t="n"/>
      <c r="DV1271" s="4" t="n"/>
      <c r="DW1271" s="4" t="n"/>
      <c r="DX1271" s="4" t="n"/>
      <c r="DY1271" s="4" t="n"/>
      <c r="DZ1271" s="4" t="n"/>
      <c r="EA1271" s="4" t="n"/>
      <c r="EB1271" s="4" t="n"/>
      <c r="EC1271" s="4" t="n"/>
      <c r="ED1271" s="4" t="n"/>
      <c r="EE1271" s="4" t="n"/>
      <c r="EF1271" s="4" t="n"/>
      <c r="EG1271" s="4" t="n"/>
      <c r="EH1271" s="4" t="n"/>
      <c r="EI1271" s="4" t="n"/>
      <c r="EJ1271" s="4" t="n"/>
      <c r="EK1271" s="4" t="n"/>
      <c r="EL1271" s="4" t="n"/>
      <c r="EM1271" s="4" t="n"/>
    </row>
    <row r="1272" hidden="1" customFormat="1" s="6">
      <c r="C1272" s="4" t="n"/>
      <c r="D1272" s="4" t="n"/>
      <c r="E1272" s="4" t="n"/>
      <c r="F1272" s="4" t="n"/>
      <c r="G1272" s="4" t="n"/>
      <c r="H1272" s="4" t="n"/>
      <c r="I1272" s="4" t="n"/>
      <c r="J1272" s="4" t="n"/>
      <c r="K1272" s="4" t="n"/>
      <c r="L1272" s="4" t="n"/>
      <c r="M1272" s="4" t="n"/>
      <c r="N1272" s="4" t="n"/>
      <c r="O1272" s="4" t="n"/>
      <c r="P1272" s="4" t="n"/>
      <c r="Q1272" s="4" t="n"/>
      <c r="R1272" s="4" t="n"/>
      <c r="S1272" s="4" t="n"/>
      <c r="T1272" s="4" t="n"/>
      <c r="U1272" s="4" t="n"/>
      <c r="V1272" s="4" t="n"/>
      <c r="W1272" s="4" t="n"/>
      <c r="X1272" s="4" t="n"/>
      <c r="Y1272" s="4" t="n"/>
      <c r="Z1272" s="4" t="n"/>
      <c r="AA1272" s="4" t="n"/>
      <c r="AB1272" s="4" t="n"/>
      <c r="AC1272" s="4" t="n"/>
      <c r="AD1272" s="4" t="n"/>
      <c r="AE1272" s="4" t="n"/>
      <c r="AF1272" s="4" t="n"/>
      <c r="AG1272" s="4" t="n"/>
      <c r="AH1272" s="4" t="n"/>
      <c r="AI1272" s="4" t="n"/>
      <c r="AJ1272" s="4" t="n"/>
      <c r="AK1272" s="4" t="n"/>
      <c r="AL1272" s="4" t="n"/>
      <c r="AM1272" s="4" t="n"/>
      <c r="AN1272" s="4" t="n"/>
      <c r="AO1272" s="4" t="n"/>
      <c r="AP1272" s="4" t="n"/>
      <c r="AQ1272" s="4" t="n"/>
      <c r="AR1272" s="4" t="n"/>
      <c r="AS1272" s="4" t="n"/>
      <c r="AT1272" s="4" t="n"/>
      <c r="AU1272" s="4" t="n"/>
      <c r="AV1272" s="4" t="n"/>
      <c r="AW1272" s="4" t="n"/>
      <c r="AX1272" s="4" t="n"/>
      <c r="AY1272" s="4" t="n"/>
      <c r="AZ1272" s="4" t="n"/>
      <c r="BA1272" s="4" t="n"/>
      <c r="BB1272" s="4" t="n"/>
      <c r="BC1272" s="4" t="n"/>
      <c r="BD1272" s="4" t="n"/>
      <c r="BE1272" s="4" t="n"/>
      <c r="BF1272" s="4" t="n"/>
      <c r="BG1272" s="4" t="n"/>
      <c r="BH1272" s="4" t="n"/>
      <c r="BI1272" s="4" t="n"/>
      <c r="BJ1272" s="4" t="n"/>
      <c r="BK1272" s="4" t="n"/>
      <c r="BL1272" s="4" t="n"/>
      <c r="BM1272" s="4" t="n"/>
      <c r="BN1272" s="4" t="n"/>
      <c r="BO1272" s="4" t="n"/>
      <c r="BP1272" s="4" t="n"/>
      <c r="BQ1272" s="4" t="n"/>
      <c r="BR1272" s="4" t="n"/>
      <c r="BS1272" s="4" t="n"/>
      <c r="BT1272" s="4" t="n"/>
      <c r="BU1272" s="4" t="n"/>
      <c r="BV1272" s="4" t="n"/>
      <c r="BW1272" s="4" t="n"/>
      <c r="BX1272" s="4" t="n"/>
      <c r="BY1272" s="4" t="n"/>
      <c r="BZ1272" s="4" t="n"/>
      <c r="CA1272" s="4" t="n"/>
      <c r="CB1272" s="4" t="n"/>
      <c r="CC1272" s="4" t="n"/>
      <c r="CD1272" s="4" t="n"/>
      <c r="CE1272" s="4" t="n"/>
      <c r="CF1272" s="4" t="n"/>
      <c r="CG1272" s="4" t="n"/>
      <c r="CH1272" s="4" t="n"/>
      <c r="CI1272" s="4" t="n"/>
      <c r="CJ1272" s="4" t="n"/>
      <c r="CK1272" s="4" t="n"/>
      <c r="CL1272" s="4" t="n"/>
      <c r="CM1272" s="4" t="n"/>
      <c r="CN1272" s="4" t="n"/>
      <c r="CO1272" s="4" t="n"/>
      <c r="CP1272" s="4" t="n"/>
      <c r="CQ1272" s="4" t="n"/>
      <c r="CR1272" s="4" t="n"/>
      <c r="CS1272" s="4" t="n"/>
      <c r="CT1272" s="4" t="n"/>
      <c r="CU1272" s="4" t="n"/>
      <c r="CV1272" s="4" t="n"/>
      <c r="CW1272" s="4" t="n"/>
      <c r="CX1272" s="4" t="n"/>
      <c r="CY1272" s="4" t="n"/>
      <c r="CZ1272" s="4" t="n"/>
      <c r="DA1272" s="4" t="n"/>
      <c r="DB1272" s="4" t="n"/>
      <c r="DC1272" s="4" t="n"/>
      <c r="DD1272" s="4" t="n"/>
      <c r="DE1272" s="4" t="n"/>
      <c r="DF1272" s="4" t="n"/>
      <c r="DG1272" s="4" t="n"/>
      <c r="DH1272" s="4" t="n"/>
      <c r="DI1272" s="4" t="n"/>
      <c r="DJ1272" s="4" t="n"/>
      <c r="DK1272" s="4" t="n"/>
      <c r="DL1272" s="4" t="n"/>
      <c r="DM1272" s="4" t="n"/>
      <c r="DN1272" s="4" t="n"/>
      <c r="DO1272" s="4" t="n"/>
      <c r="DP1272" s="4" t="n"/>
      <c r="DQ1272" s="4" t="n"/>
      <c r="DR1272" s="4" t="n"/>
      <c r="DS1272" s="4" t="n"/>
      <c r="DT1272" s="4" t="n"/>
      <c r="DU1272" s="4" t="n"/>
      <c r="DV1272" s="4" t="n"/>
      <c r="DW1272" s="4" t="n"/>
      <c r="DX1272" s="4" t="n"/>
      <c r="DY1272" s="4" t="n"/>
      <c r="DZ1272" s="4" t="n"/>
      <c r="EA1272" s="4" t="n"/>
      <c r="EB1272" s="4" t="n"/>
      <c r="EC1272" s="4" t="n"/>
      <c r="ED1272" s="4" t="n"/>
      <c r="EE1272" s="4" t="n"/>
      <c r="EF1272" s="4" t="n"/>
      <c r="EG1272" s="4" t="n"/>
      <c r="EH1272" s="4" t="n"/>
      <c r="EI1272" s="4" t="n"/>
      <c r="EJ1272" s="4" t="n"/>
      <c r="EK1272" s="4" t="n"/>
      <c r="EL1272" s="4" t="n"/>
      <c r="EM1272" s="4" t="n"/>
    </row>
    <row r="1273" hidden="1" customFormat="1" s="6">
      <c r="C1273" s="4" t="n"/>
      <c r="D1273" s="4" t="n"/>
      <c r="E1273" s="4" t="n"/>
      <c r="F1273" s="4" t="n"/>
      <c r="G1273" s="4" t="n"/>
      <c r="H1273" s="4" t="n"/>
      <c r="I1273" s="4" t="n"/>
      <c r="J1273" s="4" t="n"/>
      <c r="K1273" s="4" t="n"/>
      <c r="L1273" s="4" t="n"/>
      <c r="M1273" s="4" t="n"/>
      <c r="N1273" s="4" t="n"/>
      <c r="O1273" s="4" t="n"/>
      <c r="P1273" s="4" t="n"/>
      <c r="Q1273" s="4" t="n"/>
      <c r="R1273" s="4" t="n"/>
      <c r="S1273" s="4" t="n"/>
      <c r="T1273" s="4" t="n"/>
      <c r="U1273" s="4" t="n"/>
      <c r="V1273" s="4" t="n"/>
      <c r="W1273" s="4" t="n"/>
      <c r="X1273" s="4" t="n"/>
      <c r="Y1273" s="4" t="n"/>
      <c r="Z1273" s="4" t="n"/>
      <c r="AA1273" s="4" t="n"/>
      <c r="AB1273" s="4" t="n"/>
      <c r="AC1273" s="4" t="n"/>
      <c r="AD1273" s="4" t="n"/>
      <c r="AE1273" s="4" t="n"/>
      <c r="AF1273" s="4" t="n"/>
      <c r="AG1273" s="4" t="n"/>
      <c r="AH1273" s="4" t="n"/>
      <c r="AI1273" s="4" t="n"/>
      <c r="AJ1273" s="4" t="n"/>
      <c r="AK1273" s="4" t="n"/>
      <c r="AL1273" s="4" t="n"/>
      <c r="AM1273" s="4" t="n"/>
      <c r="AN1273" s="4" t="n"/>
      <c r="AO1273" s="4" t="n"/>
      <c r="AP1273" s="4" t="n"/>
      <c r="AQ1273" s="4" t="n"/>
      <c r="AR1273" s="4" t="n"/>
      <c r="AS1273" s="4" t="n"/>
      <c r="AT1273" s="4" t="n"/>
      <c r="AU1273" s="4" t="n"/>
      <c r="AV1273" s="4" t="n"/>
      <c r="AW1273" s="4" t="n"/>
      <c r="AX1273" s="4" t="n"/>
      <c r="AY1273" s="4" t="n"/>
      <c r="AZ1273" s="4" t="n"/>
      <c r="BA1273" s="4" t="n"/>
      <c r="BB1273" s="4" t="n"/>
      <c r="BC1273" s="4" t="n"/>
      <c r="BD1273" s="4" t="n"/>
      <c r="BE1273" s="4" t="n"/>
      <c r="BF1273" s="4" t="n"/>
      <c r="BG1273" s="4" t="n"/>
      <c r="BH1273" s="4" t="n"/>
      <c r="BI1273" s="4" t="n"/>
      <c r="BJ1273" s="4" t="n"/>
      <c r="BK1273" s="4" t="n"/>
      <c r="BL1273" s="4" t="n"/>
      <c r="BM1273" s="4" t="n"/>
      <c r="BN1273" s="4" t="n"/>
      <c r="BO1273" s="4" t="n"/>
      <c r="BP1273" s="4" t="n"/>
      <c r="BQ1273" s="4" t="n"/>
      <c r="BR1273" s="4" t="n"/>
      <c r="BS1273" s="4" t="n"/>
      <c r="BT1273" s="4" t="n"/>
      <c r="BU1273" s="4" t="n"/>
      <c r="BV1273" s="4" t="n"/>
      <c r="BW1273" s="4" t="n"/>
      <c r="BX1273" s="4" t="n"/>
      <c r="BY1273" s="4" t="n"/>
      <c r="BZ1273" s="4" t="n"/>
      <c r="CA1273" s="4" t="n"/>
      <c r="CB1273" s="4" t="n"/>
      <c r="CC1273" s="4" t="n"/>
      <c r="CD1273" s="4" t="n"/>
      <c r="CE1273" s="4" t="n"/>
      <c r="CF1273" s="4" t="n"/>
      <c r="CG1273" s="4" t="n"/>
      <c r="CH1273" s="4" t="n"/>
      <c r="CI1273" s="4" t="n"/>
      <c r="CJ1273" s="4" t="n"/>
      <c r="CK1273" s="4" t="n"/>
      <c r="CL1273" s="4" t="n"/>
      <c r="CM1273" s="4" t="n"/>
      <c r="CN1273" s="4" t="n"/>
      <c r="CO1273" s="4" t="n"/>
      <c r="CP1273" s="4" t="n"/>
      <c r="CQ1273" s="4" t="n"/>
      <c r="CR1273" s="4" t="n"/>
      <c r="CS1273" s="4" t="n"/>
      <c r="CT1273" s="4" t="n"/>
      <c r="CU1273" s="4" t="n"/>
      <c r="CV1273" s="4" t="n"/>
      <c r="CW1273" s="4" t="n"/>
      <c r="CX1273" s="4" t="n"/>
      <c r="CY1273" s="4" t="n"/>
      <c r="CZ1273" s="4" t="n"/>
      <c r="DA1273" s="4" t="n"/>
      <c r="DB1273" s="4" t="n"/>
      <c r="DC1273" s="4" t="n"/>
      <c r="DD1273" s="4" t="n"/>
      <c r="DE1273" s="4" t="n"/>
      <c r="DF1273" s="4" t="n"/>
      <c r="DG1273" s="4" t="n"/>
      <c r="DH1273" s="4" t="n"/>
      <c r="DI1273" s="4" t="n"/>
      <c r="DJ1273" s="4" t="n"/>
      <c r="DK1273" s="4" t="n"/>
      <c r="DL1273" s="4" t="n"/>
      <c r="DM1273" s="4" t="n"/>
      <c r="DN1273" s="4" t="n"/>
      <c r="DO1273" s="4" t="n"/>
      <c r="DP1273" s="4" t="n"/>
      <c r="DQ1273" s="4" t="n"/>
      <c r="DR1273" s="4" t="n"/>
      <c r="DS1273" s="4" t="n"/>
      <c r="DT1273" s="4" t="n"/>
      <c r="DU1273" s="4" t="n"/>
      <c r="DV1273" s="4" t="n"/>
      <c r="DW1273" s="4" t="n"/>
      <c r="DX1273" s="4" t="n"/>
      <c r="DY1273" s="4" t="n"/>
      <c r="DZ1273" s="4" t="n"/>
      <c r="EA1273" s="4" t="n"/>
      <c r="EB1273" s="4" t="n"/>
      <c r="EC1273" s="4" t="n"/>
      <c r="ED1273" s="4" t="n"/>
      <c r="EE1273" s="4" t="n"/>
      <c r="EF1273" s="4" t="n"/>
      <c r="EG1273" s="4" t="n"/>
      <c r="EH1273" s="4" t="n"/>
      <c r="EI1273" s="4" t="n"/>
      <c r="EJ1273" s="4" t="n"/>
      <c r="EK1273" s="4" t="n"/>
      <c r="EL1273" s="4" t="n"/>
      <c r="EM1273" s="4" t="n"/>
    </row>
    <row r="1274" hidden="1" customFormat="1" s="6">
      <c r="C1274" s="4" t="n"/>
      <c r="D1274" s="4" t="n"/>
      <c r="E1274" s="4" t="n"/>
      <c r="F1274" s="4" t="n"/>
      <c r="G1274" s="4" t="n"/>
      <c r="H1274" s="4" t="n"/>
      <c r="I1274" s="4" t="n"/>
      <c r="J1274" s="4" t="n"/>
      <c r="K1274" s="4" t="n"/>
      <c r="L1274" s="4" t="n"/>
      <c r="M1274" s="4" t="n"/>
      <c r="N1274" s="4" t="n"/>
      <c r="O1274" s="4" t="n"/>
      <c r="P1274" s="4" t="n"/>
      <c r="Q1274" s="4" t="n"/>
      <c r="R1274" s="4" t="n"/>
      <c r="S1274" s="4" t="n"/>
      <c r="T1274" s="4" t="n"/>
      <c r="U1274" s="4" t="n"/>
      <c r="V1274" s="4" t="n"/>
      <c r="W1274" s="4" t="n"/>
      <c r="X1274" s="4" t="n"/>
      <c r="Y1274" s="4" t="n"/>
      <c r="Z1274" s="4" t="n"/>
      <c r="AA1274" s="4" t="n"/>
      <c r="AB1274" s="4" t="n"/>
      <c r="AC1274" s="4" t="n"/>
      <c r="AD1274" s="4" t="n"/>
      <c r="AE1274" s="4" t="n"/>
      <c r="AF1274" s="4" t="n"/>
      <c r="AG1274" s="4" t="n"/>
      <c r="AH1274" s="4" t="n"/>
      <c r="AI1274" s="4" t="n"/>
      <c r="AJ1274" s="4" t="n"/>
      <c r="AK1274" s="4" t="n"/>
      <c r="AL1274" s="4" t="n"/>
      <c r="AM1274" s="4" t="n"/>
      <c r="AN1274" s="4" t="n"/>
      <c r="AO1274" s="4" t="n"/>
      <c r="AP1274" s="4" t="n"/>
      <c r="AQ1274" s="4" t="n"/>
      <c r="AR1274" s="4" t="n"/>
      <c r="AS1274" s="4" t="n"/>
      <c r="AT1274" s="4" t="n"/>
      <c r="AU1274" s="4" t="n"/>
      <c r="AV1274" s="4" t="n"/>
      <c r="AW1274" s="4" t="n"/>
      <c r="AX1274" s="4" t="n"/>
      <c r="AY1274" s="4" t="n"/>
      <c r="AZ1274" s="4" t="n"/>
      <c r="BA1274" s="4" t="n"/>
      <c r="BB1274" s="4" t="n"/>
      <c r="BC1274" s="4" t="n"/>
      <c r="BD1274" s="4" t="n"/>
      <c r="BE1274" s="4" t="n"/>
      <c r="BF1274" s="4" t="n"/>
      <c r="BG1274" s="4" t="n"/>
      <c r="BH1274" s="4" t="n"/>
      <c r="BI1274" s="4" t="n"/>
      <c r="BJ1274" s="4" t="n"/>
      <c r="BK1274" s="4" t="n"/>
      <c r="BL1274" s="4" t="n"/>
      <c r="BM1274" s="4" t="n"/>
      <c r="BN1274" s="4" t="n"/>
      <c r="BO1274" s="4" t="n"/>
      <c r="BP1274" s="4" t="n"/>
      <c r="BQ1274" s="4" t="n"/>
      <c r="BR1274" s="4" t="n"/>
      <c r="BS1274" s="4" t="n"/>
      <c r="BT1274" s="4" t="n"/>
      <c r="BU1274" s="4" t="n"/>
      <c r="BV1274" s="4" t="n"/>
      <c r="BW1274" s="4" t="n"/>
      <c r="BX1274" s="4" t="n"/>
      <c r="BY1274" s="4" t="n"/>
      <c r="BZ1274" s="4" t="n"/>
      <c r="CA1274" s="4" t="n"/>
      <c r="CB1274" s="4" t="n"/>
      <c r="CC1274" s="4" t="n"/>
      <c r="CD1274" s="4" t="n"/>
      <c r="CE1274" s="4" t="n"/>
      <c r="CF1274" s="4" t="n"/>
      <c r="CG1274" s="4" t="n"/>
      <c r="CH1274" s="4" t="n"/>
      <c r="CI1274" s="4" t="n"/>
      <c r="CJ1274" s="4" t="n"/>
      <c r="CK1274" s="4" t="n"/>
      <c r="CL1274" s="4" t="n"/>
      <c r="CM1274" s="4" t="n"/>
      <c r="CN1274" s="4" t="n"/>
      <c r="CO1274" s="4" t="n"/>
      <c r="CP1274" s="4" t="n"/>
      <c r="CQ1274" s="4" t="n"/>
      <c r="CR1274" s="4" t="n"/>
      <c r="CS1274" s="4" t="n"/>
      <c r="CT1274" s="4" t="n"/>
      <c r="CU1274" s="4" t="n"/>
      <c r="CV1274" s="4" t="n"/>
      <c r="CW1274" s="4" t="n"/>
      <c r="CX1274" s="4" t="n"/>
      <c r="CY1274" s="4" t="n"/>
      <c r="CZ1274" s="4" t="n"/>
      <c r="DA1274" s="4" t="n"/>
      <c r="DB1274" s="4" t="n"/>
      <c r="DC1274" s="4" t="n"/>
      <c r="DD1274" s="4" t="n"/>
      <c r="DE1274" s="4" t="n"/>
      <c r="DF1274" s="4" t="n"/>
      <c r="DG1274" s="4" t="n"/>
      <c r="DH1274" s="4" t="n"/>
      <c r="DI1274" s="4" t="n"/>
      <c r="DJ1274" s="4" t="n"/>
      <c r="DK1274" s="4" t="n"/>
      <c r="DL1274" s="4" t="n"/>
      <c r="DM1274" s="4" t="n"/>
      <c r="DN1274" s="4" t="n"/>
      <c r="DO1274" s="4" t="n"/>
      <c r="DP1274" s="4" t="n"/>
      <c r="DQ1274" s="4" t="n"/>
      <c r="DR1274" s="4" t="n"/>
      <c r="DS1274" s="4" t="n"/>
      <c r="DT1274" s="4" t="n"/>
      <c r="DU1274" s="4" t="n"/>
      <c r="DV1274" s="4" t="n"/>
      <c r="DW1274" s="4" t="n"/>
      <c r="DX1274" s="4" t="n"/>
      <c r="DY1274" s="4" t="n"/>
      <c r="DZ1274" s="4" t="n"/>
      <c r="EA1274" s="4" t="n"/>
      <c r="EB1274" s="4" t="n"/>
      <c r="EC1274" s="4" t="n"/>
      <c r="ED1274" s="4" t="n"/>
      <c r="EE1274" s="4" t="n"/>
      <c r="EF1274" s="4" t="n"/>
      <c r="EG1274" s="4" t="n"/>
      <c r="EH1274" s="4" t="n"/>
      <c r="EI1274" s="4" t="n"/>
      <c r="EJ1274" s="4" t="n"/>
      <c r="EK1274" s="4" t="n"/>
      <c r="EL1274" s="4" t="n"/>
      <c r="EM1274" s="4" t="n"/>
    </row>
    <row r="1275" hidden="1" customFormat="1" s="6">
      <c r="C1275" s="4" t="n"/>
      <c r="D1275" s="4" t="n"/>
      <c r="E1275" s="4" t="n"/>
      <c r="F1275" s="4" t="n"/>
      <c r="G1275" s="4" t="n"/>
      <c r="H1275" s="4" t="n"/>
      <c r="I1275" s="4" t="n"/>
      <c r="J1275" s="4" t="n"/>
      <c r="K1275" s="4" t="n"/>
      <c r="L1275" s="4" t="n"/>
      <c r="M1275" s="4" t="n"/>
      <c r="N1275" s="4" t="n"/>
      <c r="O1275" s="4" t="n"/>
      <c r="P1275" s="4" t="n"/>
      <c r="Q1275" s="4" t="n"/>
      <c r="R1275" s="4" t="n"/>
      <c r="S1275" s="4" t="n"/>
      <c r="T1275" s="4" t="n"/>
      <c r="U1275" s="4" t="n"/>
      <c r="V1275" s="4" t="n"/>
      <c r="W1275" s="4" t="n"/>
      <c r="X1275" s="4" t="n"/>
      <c r="Y1275" s="4" t="n"/>
      <c r="Z1275" s="4" t="n"/>
      <c r="AA1275" s="4" t="n"/>
      <c r="AB1275" s="4" t="n"/>
      <c r="AC1275" s="4" t="n"/>
      <c r="AD1275" s="4" t="n"/>
      <c r="AE1275" s="4" t="n"/>
      <c r="AF1275" s="4" t="n"/>
      <c r="AG1275" s="4" t="n"/>
      <c r="AH1275" s="4" t="n"/>
      <c r="AI1275" s="4" t="n"/>
      <c r="AJ1275" s="4" t="n"/>
      <c r="AK1275" s="4" t="n"/>
      <c r="AL1275" s="4" t="n"/>
      <c r="AM1275" s="4" t="n"/>
      <c r="AN1275" s="4" t="n"/>
      <c r="AO1275" s="4" t="n"/>
      <c r="AP1275" s="4" t="n"/>
      <c r="AQ1275" s="4" t="n"/>
      <c r="AR1275" s="4" t="n"/>
      <c r="AS1275" s="4" t="n"/>
      <c r="AT1275" s="4" t="n"/>
      <c r="AU1275" s="4" t="n"/>
      <c r="AV1275" s="4" t="n"/>
      <c r="AW1275" s="4" t="n"/>
      <c r="AX1275" s="4" t="n"/>
      <c r="AY1275" s="4" t="n"/>
      <c r="AZ1275" s="4" t="n"/>
      <c r="BA1275" s="4" t="n"/>
      <c r="BB1275" s="4" t="n"/>
      <c r="BC1275" s="4" t="n"/>
      <c r="BD1275" s="4" t="n"/>
      <c r="BE1275" s="4" t="n"/>
      <c r="BF1275" s="4" t="n"/>
      <c r="BG1275" s="4" t="n"/>
      <c r="BH1275" s="4" t="n"/>
      <c r="BI1275" s="4" t="n"/>
      <c r="BJ1275" s="4" t="n"/>
      <c r="BK1275" s="4" t="n"/>
      <c r="BL1275" s="4" t="n"/>
      <c r="BM1275" s="4" t="n"/>
      <c r="BN1275" s="4" t="n"/>
      <c r="BO1275" s="4" t="n"/>
      <c r="BP1275" s="4" t="n"/>
      <c r="BQ1275" s="4" t="n"/>
      <c r="BR1275" s="4" t="n"/>
      <c r="BS1275" s="4" t="n"/>
      <c r="BT1275" s="4" t="n"/>
      <c r="BU1275" s="4" t="n"/>
      <c r="BV1275" s="4" t="n"/>
      <c r="BW1275" s="4" t="n"/>
      <c r="BX1275" s="4" t="n"/>
      <c r="BY1275" s="4" t="n"/>
      <c r="BZ1275" s="4" t="n"/>
      <c r="CA1275" s="4" t="n"/>
      <c r="CB1275" s="4" t="n"/>
      <c r="CC1275" s="4" t="n"/>
      <c r="CD1275" s="4" t="n"/>
      <c r="CE1275" s="4" t="n"/>
      <c r="CF1275" s="4" t="n"/>
      <c r="CG1275" s="4" t="n"/>
      <c r="CH1275" s="4" t="n"/>
      <c r="CI1275" s="4" t="n"/>
      <c r="CJ1275" s="4" t="n"/>
      <c r="CK1275" s="4" t="n"/>
      <c r="CL1275" s="4" t="n"/>
      <c r="CM1275" s="4" t="n"/>
      <c r="CN1275" s="4" t="n"/>
      <c r="CO1275" s="4" t="n"/>
      <c r="CP1275" s="4" t="n"/>
      <c r="CQ1275" s="4" t="n"/>
      <c r="CR1275" s="4" t="n"/>
      <c r="CS1275" s="4" t="n"/>
      <c r="CT1275" s="4" t="n"/>
      <c r="CU1275" s="4" t="n"/>
      <c r="CV1275" s="4" t="n"/>
      <c r="CW1275" s="4" t="n"/>
      <c r="CX1275" s="4" t="n"/>
      <c r="CY1275" s="4" t="n"/>
      <c r="CZ1275" s="4" t="n"/>
      <c r="DA1275" s="4" t="n"/>
      <c r="DB1275" s="4" t="n"/>
      <c r="DC1275" s="4" t="n"/>
      <c r="DD1275" s="4" t="n"/>
      <c r="DE1275" s="4" t="n"/>
      <c r="DF1275" s="4" t="n"/>
      <c r="DG1275" s="4" t="n"/>
      <c r="DH1275" s="4" t="n"/>
      <c r="DI1275" s="4" t="n"/>
      <c r="DJ1275" s="4" t="n"/>
      <c r="DK1275" s="4" t="n"/>
      <c r="DL1275" s="4" t="n"/>
      <c r="DM1275" s="4" t="n"/>
      <c r="DN1275" s="4" t="n"/>
      <c r="DO1275" s="4" t="n"/>
      <c r="DP1275" s="4" t="n"/>
      <c r="DQ1275" s="4" t="n"/>
      <c r="DR1275" s="4" t="n"/>
      <c r="DS1275" s="4" t="n"/>
      <c r="DT1275" s="4" t="n"/>
      <c r="DU1275" s="4" t="n"/>
      <c r="DV1275" s="4" t="n"/>
      <c r="DW1275" s="4" t="n"/>
      <c r="DX1275" s="4" t="n"/>
      <c r="DY1275" s="4" t="n"/>
      <c r="DZ1275" s="4" t="n"/>
      <c r="EA1275" s="4" t="n"/>
      <c r="EB1275" s="4" t="n"/>
      <c r="EC1275" s="4" t="n"/>
      <c r="ED1275" s="4" t="n"/>
      <c r="EE1275" s="4" t="n"/>
      <c r="EF1275" s="4" t="n"/>
      <c r="EG1275" s="4" t="n"/>
      <c r="EH1275" s="4" t="n"/>
      <c r="EI1275" s="4" t="n"/>
      <c r="EJ1275" s="4" t="n"/>
      <c r="EK1275" s="4" t="n"/>
      <c r="EL1275" s="4" t="n"/>
      <c r="EM1275" s="4" t="n"/>
    </row>
    <row r="1276" hidden="1" customFormat="1" s="6">
      <c r="C1276" s="4" t="n"/>
      <c r="D1276" s="4" t="n"/>
      <c r="E1276" s="4" t="n"/>
      <c r="F1276" s="4" t="n"/>
      <c r="G1276" s="4" t="n"/>
      <c r="H1276" s="4" t="n"/>
      <c r="I1276" s="4" t="n"/>
      <c r="J1276" s="4" t="n"/>
      <c r="K1276" s="4" t="n"/>
      <c r="L1276" s="4" t="n"/>
      <c r="M1276" s="4" t="n"/>
      <c r="N1276" s="4" t="n"/>
      <c r="O1276" s="4" t="n"/>
      <c r="P1276" s="4" t="n"/>
      <c r="Q1276" s="4" t="n"/>
      <c r="R1276" s="4" t="n"/>
      <c r="S1276" s="4" t="n"/>
      <c r="T1276" s="4" t="n"/>
      <c r="U1276" s="4" t="n"/>
      <c r="V1276" s="4" t="n"/>
      <c r="W1276" s="4" t="n"/>
      <c r="X1276" s="4" t="n"/>
      <c r="Y1276" s="4" t="n"/>
      <c r="Z1276" s="4" t="n"/>
      <c r="AA1276" s="4" t="n"/>
      <c r="AB1276" s="4" t="n"/>
      <c r="AC1276" s="4" t="n"/>
      <c r="AD1276" s="4" t="n"/>
      <c r="AE1276" s="4" t="n"/>
      <c r="AF1276" s="4" t="n"/>
      <c r="AG1276" s="4" t="n"/>
      <c r="AH1276" s="4" t="n"/>
      <c r="AI1276" s="4" t="n"/>
      <c r="AJ1276" s="4" t="n"/>
      <c r="AK1276" s="4" t="n"/>
      <c r="AL1276" s="4" t="n"/>
      <c r="AM1276" s="4" t="n"/>
      <c r="AN1276" s="4" t="n"/>
      <c r="AO1276" s="4" t="n"/>
      <c r="AP1276" s="4" t="n"/>
      <c r="AQ1276" s="4" t="n"/>
      <c r="AR1276" s="4" t="n"/>
      <c r="AS1276" s="4" t="n"/>
      <c r="AT1276" s="4" t="n"/>
      <c r="AU1276" s="4" t="n"/>
      <c r="AV1276" s="4" t="n"/>
      <c r="AW1276" s="4" t="n"/>
      <c r="AX1276" s="4" t="n"/>
      <c r="AY1276" s="4" t="n"/>
      <c r="AZ1276" s="4" t="n"/>
      <c r="BA1276" s="4" t="n"/>
      <c r="BB1276" s="4" t="n"/>
      <c r="BC1276" s="4" t="n"/>
      <c r="BD1276" s="4" t="n"/>
      <c r="BE1276" s="4" t="n"/>
      <c r="BF1276" s="4" t="n"/>
      <c r="BG1276" s="4" t="n"/>
      <c r="BH1276" s="4" t="n"/>
      <c r="BI1276" s="4" t="n"/>
      <c r="BJ1276" s="4" t="n"/>
      <c r="BK1276" s="4" t="n"/>
      <c r="BL1276" s="4" t="n"/>
      <c r="BM1276" s="4" t="n"/>
      <c r="BN1276" s="4" t="n"/>
      <c r="BO1276" s="4" t="n"/>
      <c r="BP1276" s="4" t="n"/>
      <c r="BQ1276" s="4" t="n"/>
      <c r="BR1276" s="4" t="n"/>
      <c r="BS1276" s="4" t="n"/>
      <c r="BT1276" s="4" t="n"/>
      <c r="BU1276" s="4" t="n"/>
      <c r="BV1276" s="4" t="n"/>
      <c r="BW1276" s="4" t="n"/>
      <c r="BX1276" s="4" t="n"/>
      <c r="BY1276" s="4" t="n"/>
      <c r="BZ1276" s="4" t="n"/>
      <c r="CA1276" s="4" t="n"/>
      <c r="CB1276" s="4" t="n"/>
      <c r="CC1276" s="4" t="n"/>
      <c r="CD1276" s="4" t="n"/>
      <c r="CE1276" s="4" t="n"/>
      <c r="CF1276" s="4" t="n"/>
      <c r="CG1276" s="4" t="n"/>
      <c r="CH1276" s="4" t="n"/>
      <c r="CI1276" s="4" t="n"/>
      <c r="CJ1276" s="4" t="n"/>
      <c r="CK1276" s="4" t="n"/>
      <c r="CL1276" s="4" t="n"/>
      <c r="CM1276" s="4" t="n"/>
      <c r="CN1276" s="4" t="n"/>
      <c r="CO1276" s="4" t="n"/>
      <c r="CP1276" s="4" t="n"/>
      <c r="CQ1276" s="4" t="n"/>
      <c r="CR1276" s="4" t="n"/>
      <c r="CS1276" s="4" t="n"/>
      <c r="CT1276" s="4" t="n"/>
      <c r="CU1276" s="4" t="n"/>
      <c r="CV1276" s="4" t="n"/>
      <c r="CW1276" s="4" t="n"/>
      <c r="CX1276" s="4" t="n"/>
      <c r="CY1276" s="4" t="n"/>
      <c r="CZ1276" s="4" t="n"/>
      <c r="DA1276" s="4" t="n"/>
      <c r="DB1276" s="4" t="n"/>
      <c r="DC1276" s="4" t="n"/>
      <c r="DD1276" s="4" t="n"/>
      <c r="DE1276" s="4" t="n"/>
      <c r="DF1276" s="4" t="n"/>
      <c r="DG1276" s="4" t="n"/>
      <c r="DH1276" s="4" t="n"/>
      <c r="DI1276" s="4" t="n"/>
      <c r="DJ1276" s="4" t="n"/>
      <c r="DK1276" s="4" t="n"/>
      <c r="DL1276" s="4" t="n"/>
      <c r="DM1276" s="4" t="n"/>
      <c r="DN1276" s="4" t="n"/>
      <c r="DO1276" s="4" t="n"/>
      <c r="DP1276" s="4" t="n"/>
      <c r="DQ1276" s="4" t="n"/>
      <c r="DR1276" s="4" t="n"/>
      <c r="DS1276" s="4" t="n"/>
      <c r="DT1276" s="4" t="n"/>
      <c r="DU1276" s="4" t="n"/>
      <c r="DV1276" s="4" t="n"/>
      <c r="DW1276" s="4" t="n"/>
      <c r="DX1276" s="4" t="n"/>
      <c r="DY1276" s="4" t="n"/>
      <c r="DZ1276" s="4" t="n"/>
      <c r="EA1276" s="4" t="n"/>
      <c r="EB1276" s="4" t="n"/>
      <c r="EC1276" s="4" t="n"/>
      <c r="ED1276" s="4" t="n"/>
      <c r="EE1276" s="4" t="n"/>
      <c r="EF1276" s="4" t="n"/>
      <c r="EG1276" s="4" t="n"/>
      <c r="EH1276" s="4" t="n"/>
      <c r="EI1276" s="4" t="n"/>
      <c r="EJ1276" s="4" t="n"/>
      <c r="EK1276" s="4" t="n"/>
      <c r="EL1276" s="4" t="n"/>
      <c r="EM1276" s="4" t="n"/>
    </row>
    <row r="1277" hidden="1" customFormat="1" s="6">
      <c r="C1277" s="4" t="n"/>
      <c r="D1277" s="4" t="n"/>
      <c r="E1277" s="4" t="n"/>
      <c r="F1277" s="4" t="n"/>
      <c r="G1277" s="4" t="n"/>
      <c r="H1277" s="4" t="n"/>
      <c r="I1277" s="4" t="n"/>
      <c r="J1277" s="4" t="n"/>
      <c r="K1277" s="4" t="n"/>
      <c r="L1277" s="4" t="n"/>
      <c r="M1277" s="4" t="n"/>
      <c r="N1277" s="4" t="n"/>
      <c r="O1277" s="4" t="n"/>
      <c r="P1277" s="4" t="n"/>
      <c r="Q1277" s="4" t="n"/>
      <c r="R1277" s="4" t="n"/>
      <c r="S1277" s="4" t="n"/>
      <c r="T1277" s="4" t="n"/>
      <c r="U1277" s="4" t="n"/>
      <c r="V1277" s="4" t="n"/>
      <c r="W1277" s="4" t="n"/>
      <c r="X1277" s="4" t="n"/>
      <c r="Y1277" s="4" t="n"/>
      <c r="Z1277" s="4" t="n"/>
      <c r="AA1277" s="4" t="n"/>
      <c r="AB1277" s="4" t="n"/>
      <c r="AC1277" s="4" t="n"/>
      <c r="AD1277" s="4" t="n"/>
      <c r="AE1277" s="4" t="n"/>
      <c r="AF1277" s="4" t="n"/>
      <c r="AG1277" s="4" t="n"/>
      <c r="AH1277" s="4" t="n"/>
      <c r="AI1277" s="4" t="n"/>
      <c r="AJ1277" s="4" t="n"/>
      <c r="AK1277" s="4" t="n"/>
      <c r="AL1277" s="4" t="n"/>
      <c r="AM1277" s="4" t="n"/>
      <c r="AN1277" s="4" t="n"/>
      <c r="AO1277" s="4" t="n"/>
      <c r="AP1277" s="4" t="n"/>
      <c r="AQ1277" s="4" t="n"/>
      <c r="AR1277" s="4" t="n"/>
      <c r="AS1277" s="4" t="n"/>
      <c r="AT1277" s="4" t="n"/>
      <c r="AU1277" s="4" t="n"/>
      <c r="AV1277" s="4" t="n"/>
      <c r="AW1277" s="4" t="n"/>
      <c r="AX1277" s="4" t="n"/>
      <c r="AY1277" s="4" t="n"/>
      <c r="AZ1277" s="4" t="n"/>
      <c r="BA1277" s="4" t="n"/>
      <c r="BB1277" s="4" t="n"/>
      <c r="BC1277" s="4" t="n"/>
      <c r="BD1277" s="4" t="n"/>
      <c r="BE1277" s="4" t="n"/>
      <c r="BF1277" s="4" t="n"/>
      <c r="BG1277" s="4" t="n"/>
      <c r="BH1277" s="4" t="n"/>
      <c r="BI1277" s="4" t="n"/>
      <c r="BJ1277" s="4" t="n"/>
      <c r="BK1277" s="4" t="n"/>
      <c r="BL1277" s="4" t="n"/>
      <c r="BM1277" s="4" t="n"/>
      <c r="BN1277" s="4" t="n"/>
      <c r="BO1277" s="4" t="n"/>
      <c r="BP1277" s="4" t="n"/>
      <c r="BQ1277" s="4" t="n"/>
      <c r="BR1277" s="4" t="n"/>
      <c r="BS1277" s="4" t="n"/>
      <c r="BT1277" s="4" t="n"/>
      <c r="BU1277" s="4" t="n"/>
      <c r="BV1277" s="4" t="n"/>
      <c r="BW1277" s="4" t="n"/>
      <c r="BX1277" s="4" t="n"/>
      <c r="BY1277" s="4" t="n"/>
      <c r="BZ1277" s="4" t="n"/>
      <c r="CA1277" s="4" t="n"/>
      <c r="CB1277" s="4" t="n"/>
      <c r="CC1277" s="4" t="n"/>
      <c r="CD1277" s="4" t="n"/>
      <c r="CE1277" s="4" t="n"/>
      <c r="CF1277" s="4" t="n"/>
      <c r="CG1277" s="4" t="n"/>
      <c r="CH1277" s="4" t="n"/>
      <c r="CI1277" s="4" t="n"/>
      <c r="CJ1277" s="4" t="n"/>
      <c r="CK1277" s="4" t="n"/>
      <c r="CL1277" s="4" t="n"/>
      <c r="CM1277" s="4" t="n"/>
      <c r="CN1277" s="4" t="n"/>
      <c r="CO1277" s="4" t="n"/>
      <c r="CP1277" s="4" t="n"/>
      <c r="CQ1277" s="4" t="n"/>
      <c r="CR1277" s="4" t="n"/>
      <c r="CS1277" s="4" t="n"/>
      <c r="CT1277" s="4" t="n"/>
      <c r="CU1277" s="4" t="n"/>
      <c r="CV1277" s="4" t="n"/>
      <c r="CW1277" s="4" t="n"/>
      <c r="CX1277" s="4" t="n"/>
      <c r="CY1277" s="4" t="n"/>
      <c r="CZ1277" s="4" t="n"/>
      <c r="DA1277" s="4" t="n"/>
      <c r="DB1277" s="4" t="n"/>
      <c r="DC1277" s="4" t="n"/>
      <c r="DD1277" s="4" t="n"/>
      <c r="DE1277" s="4" t="n"/>
      <c r="DF1277" s="4" t="n"/>
      <c r="DG1277" s="4" t="n"/>
      <c r="DH1277" s="4" t="n"/>
      <c r="DI1277" s="4" t="n"/>
      <c r="DJ1277" s="4" t="n"/>
      <c r="DK1277" s="4" t="n"/>
      <c r="DL1277" s="4" t="n"/>
      <c r="DM1277" s="4" t="n"/>
      <c r="DN1277" s="4" t="n"/>
      <c r="DO1277" s="4" t="n"/>
      <c r="DP1277" s="4" t="n"/>
      <c r="DQ1277" s="4" t="n"/>
      <c r="DR1277" s="4" t="n"/>
      <c r="DS1277" s="4" t="n"/>
      <c r="DT1277" s="4" t="n"/>
      <c r="DU1277" s="4" t="n"/>
      <c r="DV1277" s="4" t="n"/>
      <c r="DW1277" s="4" t="n"/>
      <c r="DX1277" s="4" t="n"/>
      <c r="DY1277" s="4" t="n"/>
      <c r="DZ1277" s="4" t="n"/>
      <c r="EA1277" s="4" t="n"/>
      <c r="EB1277" s="4" t="n"/>
      <c r="EC1277" s="4" t="n"/>
      <c r="ED1277" s="4" t="n"/>
      <c r="EE1277" s="4" t="n"/>
      <c r="EF1277" s="4" t="n"/>
      <c r="EG1277" s="4" t="n"/>
      <c r="EH1277" s="4" t="n"/>
      <c r="EI1277" s="4" t="n"/>
      <c r="EJ1277" s="4" t="n"/>
      <c r="EK1277" s="4" t="n"/>
      <c r="EL1277" s="4" t="n"/>
      <c r="EM1277" s="4" t="n"/>
    </row>
    <row r="1278" hidden="1" customFormat="1" s="6">
      <c r="C1278" s="4" t="n"/>
      <c r="D1278" s="4" t="n"/>
      <c r="E1278" s="4" t="n"/>
      <c r="F1278" s="4" t="n"/>
      <c r="G1278" s="4" t="n"/>
      <c r="H1278" s="4" t="n"/>
      <c r="I1278" s="4" t="n"/>
      <c r="J1278" s="4" t="n"/>
      <c r="K1278" s="4" t="n"/>
      <c r="L1278" s="4" t="n"/>
      <c r="M1278" s="4" t="n"/>
      <c r="N1278" s="4" t="n"/>
      <c r="O1278" s="4" t="n"/>
      <c r="P1278" s="4" t="n"/>
      <c r="Q1278" s="4" t="n"/>
      <c r="R1278" s="4" t="n"/>
      <c r="S1278" s="4" t="n"/>
      <c r="T1278" s="4" t="n"/>
      <c r="U1278" s="4" t="n"/>
      <c r="V1278" s="4" t="n"/>
      <c r="W1278" s="4" t="n"/>
      <c r="X1278" s="4" t="n"/>
      <c r="Y1278" s="4" t="n"/>
      <c r="Z1278" s="4" t="n"/>
      <c r="AA1278" s="4" t="n"/>
      <c r="AB1278" s="4" t="n"/>
      <c r="AC1278" s="4" t="n"/>
      <c r="AD1278" s="4" t="n"/>
      <c r="AE1278" s="4" t="n"/>
      <c r="AF1278" s="4" t="n"/>
      <c r="AG1278" s="4" t="n"/>
      <c r="AH1278" s="4" t="n"/>
      <c r="AI1278" s="4" t="n"/>
      <c r="AJ1278" s="4" t="n"/>
      <c r="AK1278" s="4" t="n"/>
      <c r="AL1278" s="4" t="n"/>
      <c r="AM1278" s="4" t="n"/>
      <c r="AN1278" s="4" t="n"/>
      <c r="AO1278" s="4" t="n"/>
      <c r="AP1278" s="4" t="n"/>
      <c r="AQ1278" s="4" t="n"/>
      <c r="AR1278" s="4" t="n"/>
      <c r="AS1278" s="4" t="n"/>
      <c r="AT1278" s="4" t="n"/>
      <c r="AU1278" s="4" t="n"/>
      <c r="AV1278" s="4" t="n"/>
      <c r="AW1278" s="4" t="n"/>
      <c r="AX1278" s="4" t="n"/>
      <c r="AY1278" s="4" t="n"/>
      <c r="AZ1278" s="4" t="n"/>
      <c r="BA1278" s="4" t="n"/>
      <c r="BB1278" s="4" t="n"/>
      <c r="BC1278" s="4" t="n"/>
      <c r="BD1278" s="4" t="n"/>
      <c r="BE1278" s="4" t="n"/>
      <c r="BF1278" s="4" t="n"/>
      <c r="BG1278" s="4" t="n"/>
      <c r="BH1278" s="4" t="n"/>
      <c r="BI1278" s="4" t="n"/>
      <c r="BJ1278" s="4" t="n"/>
      <c r="BK1278" s="4" t="n"/>
      <c r="BL1278" s="4" t="n"/>
      <c r="BM1278" s="4" t="n"/>
      <c r="BN1278" s="4" t="n"/>
      <c r="BO1278" s="4" t="n"/>
      <c r="BP1278" s="4" t="n"/>
      <c r="BQ1278" s="4" t="n"/>
      <c r="BR1278" s="4" t="n"/>
      <c r="BS1278" s="4" t="n"/>
      <c r="BT1278" s="4" t="n"/>
      <c r="BU1278" s="4" t="n"/>
      <c r="BV1278" s="4" t="n"/>
      <c r="BW1278" s="4" t="n"/>
      <c r="BX1278" s="4" t="n"/>
      <c r="BY1278" s="4" t="n"/>
      <c r="BZ1278" s="4" t="n"/>
      <c r="CA1278" s="4" t="n"/>
      <c r="CB1278" s="4" t="n"/>
      <c r="CC1278" s="4" t="n"/>
      <c r="CD1278" s="4" t="n"/>
      <c r="CE1278" s="4" t="n"/>
      <c r="CF1278" s="4" t="n"/>
      <c r="CG1278" s="4" t="n"/>
      <c r="CH1278" s="4" t="n"/>
      <c r="CI1278" s="4" t="n"/>
      <c r="CJ1278" s="4" t="n"/>
      <c r="CK1278" s="4" t="n"/>
      <c r="CL1278" s="4" t="n"/>
      <c r="CM1278" s="4" t="n"/>
      <c r="CN1278" s="4" t="n"/>
      <c r="CO1278" s="4" t="n"/>
      <c r="CP1278" s="4" t="n"/>
      <c r="CQ1278" s="4" t="n"/>
      <c r="CR1278" s="4" t="n"/>
      <c r="CS1278" s="4" t="n"/>
      <c r="CT1278" s="4" t="n"/>
      <c r="CU1278" s="4" t="n"/>
      <c r="CV1278" s="4" t="n"/>
      <c r="CW1278" s="4" t="n"/>
      <c r="CX1278" s="4" t="n"/>
      <c r="CY1278" s="4" t="n"/>
      <c r="CZ1278" s="4" t="n"/>
      <c r="DA1278" s="4" t="n"/>
      <c r="DB1278" s="4" t="n"/>
      <c r="DC1278" s="4" t="n"/>
      <c r="DD1278" s="4" t="n"/>
      <c r="DE1278" s="4" t="n"/>
      <c r="DF1278" s="4" t="n"/>
      <c r="DG1278" s="4" t="n"/>
      <c r="DH1278" s="4" t="n"/>
      <c r="DI1278" s="4" t="n"/>
      <c r="DJ1278" s="4" t="n"/>
      <c r="DK1278" s="4" t="n"/>
      <c r="DL1278" s="4" t="n"/>
      <c r="DM1278" s="4" t="n"/>
      <c r="DN1278" s="4" t="n"/>
      <c r="DO1278" s="4" t="n"/>
      <c r="DP1278" s="4" t="n"/>
      <c r="DQ1278" s="4" t="n"/>
      <c r="DR1278" s="4" t="n"/>
      <c r="DS1278" s="4" t="n"/>
      <c r="DT1278" s="4" t="n"/>
      <c r="DU1278" s="4" t="n"/>
      <c r="DV1278" s="4" t="n"/>
      <c r="DW1278" s="4" t="n"/>
      <c r="DX1278" s="4" t="n"/>
      <c r="DY1278" s="4" t="n"/>
      <c r="DZ1278" s="4" t="n"/>
      <c r="EA1278" s="4" t="n"/>
      <c r="EB1278" s="4" t="n"/>
      <c r="EC1278" s="4" t="n"/>
      <c r="ED1278" s="4" t="n"/>
      <c r="EE1278" s="4" t="n"/>
      <c r="EF1278" s="4" t="n"/>
      <c r="EG1278" s="4" t="n"/>
      <c r="EH1278" s="4" t="n"/>
      <c r="EI1278" s="4" t="n"/>
      <c r="EJ1278" s="4" t="n"/>
      <c r="EK1278" s="4" t="n"/>
      <c r="EL1278" s="4" t="n"/>
      <c r="EM1278" s="4" t="n"/>
    </row>
    <row r="1279" hidden="1" customFormat="1" s="6">
      <c r="C1279" s="4" t="n"/>
      <c r="D1279" s="4" t="n"/>
      <c r="E1279" s="4" t="n"/>
      <c r="F1279" s="4" t="n"/>
      <c r="G1279" s="4" t="n"/>
      <c r="H1279" s="4" t="n"/>
      <c r="I1279" s="4" t="n"/>
      <c r="J1279" s="4" t="n"/>
      <c r="K1279" s="4" t="n"/>
      <c r="L1279" s="4" t="n"/>
      <c r="M1279" s="4" t="n"/>
      <c r="N1279" s="4" t="n"/>
      <c r="O1279" s="4" t="n"/>
      <c r="P1279" s="4" t="n"/>
      <c r="Q1279" s="4" t="n"/>
      <c r="R1279" s="4" t="n"/>
      <c r="S1279" s="4" t="n"/>
      <c r="T1279" s="4" t="n"/>
      <c r="U1279" s="4" t="n"/>
      <c r="V1279" s="4" t="n"/>
      <c r="W1279" s="4" t="n"/>
      <c r="X1279" s="4" t="n"/>
      <c r="Y1279" s="4" t="n"/>
      <c r="Z1279" s="4" t="n"/>
      <c r="AA1279" s="4" t="n"/>
      <c r="AB1279" s="4" t="n"/>
      <c r="AC1279" s="4" t="n"/>
      <c r="AD1279" s="4" t="n"/>
      <c r="AE1279" s="4" t="n"/>
      <c r="AF1279" s="4" t="n"/>
      <c r="AG1279" s="4" t="n"/>
      <c r="AH1279" s="4" t="n"/>
      <c r="AI1279" s="4" t="n"/>
      <c r="AJ1279" s="4" t="n"/>
      <c r="AK1279" s="4" t="n"/>
      <c r="AL1279" s="4" t="n"/>
      <c r="AM1279" s="4" t="n"/>
      <c r="AN1279" s="4" t="n"/>
      <c r="AO1279" s="4" t="n"/>
      <c r="AP1279" s="4" t="n"/>
      <c r="AQ1279" s="4" t="n"/>
      <c r="AR1279" s="4" t="n"/>
      <c r="AS1279" s="4" t="n"/>
      <c r="AT1279" s="4" t="n"/>
      <c r="AU1279" s="4" t="n"/>
      <c r="AV1279" s="4" t="n"/>
      <c r="AW1279" s="4" t="n"/>
      <c r="AX1279" s="4" t="n"/>
      <c r="AY1279" s="4" t="n"/>
      <c r="AZ1279" s="4" t="n"/>
      <c r="BA1279" s="4" t="n"/>
      <c r="BB1279" s="4" t="n"/>
      <c r="BC1279" s="4" t="n"/>
      <c r="BD1279" s="4" t="n"/>
      <c r="BE1279" s="4" t="n"/>
      <c r="BF1279" s="4" t="n"/>
      <c r="BG1279" s="4" t="n"/>
      <c r="BH1279" s="4" t="n"/>
      <c r="BI1279" s="4" t="n"/>
      <c r="BJ1279" s="4" t="n"/>
      <c r="BK1279" s="4" t="n"/>
      <c r="BL1279" s="4" t="n"/>
      <c r="BM1279" s="4" t="n"/>
      <c r="BN1279" s="4" t="n"/>
      <c r="BO1279" s="4" t="n"/>
      <c r="BP1279" s="4" t="n"/>
      <c r="BQ1279" s="4" t="n"/>
      <c r="BR1279" s="4" t="n"/>
      <c r="BS1279" s="4" t="n"/>
      <c r="BT1279" s="4" t="n"/>
      <c r="BU1279" s="4" t="n"/>
      <c r="BV1279" s="4" t="n"/>
      <c r="BW1279" s="4" t="n"/>
      <c r="BX1279" s="4" t="n"/>
      <c r="BY1279" s="4" t="n"/>
      <c r="BZ1279" s="4" t="n"/>
      <c r="CA1279" s="4" t="n"/>
      <c r="CB1279" s="4" t="n"/>
      <c r="CC1279" s="4" t="n"/>
      <c r="CD1279" s="4" t="n"/>
      <c r="CE1279" s="4" t="n"/>
      <c r="CF1279" s="4" t="n"/>
      <c r="CG1279" s="4" t="n"/>
      <c r="CH1279" s="4" t="n"/>
      <c r="CI1279" s="4" t="n"/>
      <c r="CJ1279" s="4" t="n"/>
      <c r="CK1279" s="4" t="n"/>
      <c r="CL1279" s="4" t="n"/>
      <c r="CM1279" s="4" t="n"/>
      <c r="CN1279" s="4" t="n"/>
      <c r="CO1279" s="4" t="n"/>
      <c r="CP1279" s="4" t="n"/>
      <c r="CQ1279" s="4" t="n"/>
      <c r="CR1279" s="4" t="n"/>
      <c r="CS1279" s="4" t="n"/>
      <c r="CT1279" s="4" t="n"/>
      <c r="CU1279" s="4" t="n"/>
      <c r="CV1279" s="4" t="n"/>
      <c r="CW1279" s="4" t="n"/>
      <c r="CX1279" s="4" t="n"/>
      <c r="CY1279" s="4" t="n"/>
      <c r="CZ1279" s="4" t="n"/>
      <c r="DA1279" s="4" t="n"/>
      <c r="DB1279" s="4" t="n"/>
      <c r="DC1279" s="4" t="n"/>
      <c r="DD1279" s="4" t="n"/>
      <c r="DE1279" s="4" t="n"/>
      <c r="DF1279" s="4" t="n"/>
      <c r="DG1279" s="4" t="n"/>
      <c r="DH1279" s="4" t="n"/>
      <c r="DI1279" s="4" t="n"/>
      <c r="DJ1279" s="4" t="n"/>
      <c r="DK1279" s="4" t="n"/>
      <c r="DL1279" s="4" t="n"/>
      <c r="DM1279" s="4" t="n"/>
      <c r="DN1279" s="4" t="n"/>
      <c r="DO1279" s="4" t="n"/>
      <c r="DP1279" s="4" t="n"/>
      <c r="DQ1279" s="4" t="n"/>
      <c r="DR1279" s="4" t="n"/>
      <c r="DS1279" s="4" t="n"/>
      <c r="DT1279" s="4" t="n"/>
      <c r="DU1279" s="4" t="n"/>
      <c r="DV1279" s="4" t="n"/>
      <c r="DW1279" s="4" t="n"/>
      <c r="DX1279" s="4" t="n"/>
      <c r="DY1279" s="4" t="n"/>
      <c r="DZ1279" s="4" t="n"/>
      <c r="EA1279" s="4" t="n"/>
      <c r="EB1279" s="4" t="n"/>
      <c r="EC1279" s="4" t="n"/>
      <c r="ED1279" s="4" t="n"/>
      <c r="EE1279" s="4" t="n"/>
      <c r="EF1279" s="4" t="n"/>
      <c r="EG1279" s="4" t="n"/>
      <c r="EH1279" s="4" t="n"/>
      <c r="EI1279" s="4" t="n"/>
      <c r="EJ1279" s="4" t="n"/>
      <c r="EK1279" s="4" t="n"/>
      <c r="EL1279" s="4" t="n"/>
      <c r="EM1279" s="4" t="n"/>
    </row>
    <row r="1280" hidden="1" customFormat="1" s="6">
      <c r="C1280" s="4" t="n"/>
      <c r="D1280" s="4" t="n"/>
      <c r="E1280" s="4" t="n"/>
      <c r="F1280" s="4" t="n"/>
      <c r="G1280" s="4" t="n"/>
      <c r="H1280" s="4" t="n"/>
      <c r="I1280" s="4" t="n"/>
      <c r="J1280" s="4" t="n"/>
      <c r="K1280" s="4" t="n"/>
      <c r="L1280" s="4" t="n"/>
      <c r="M1280" s="4" t="n"/>
      <c r="N1280" s="4" t="n"/>
      <c r="O1280" s="4" t="n"/>
      <c r="P1280" s="4" t="n"/>
      <c r="Q1280" s="4" t="n"/>
      <c r="R1280" s="4" t="n"/>
      <c r="S1280" s="4" t="n"/>
      <c r="T1280" s="4" t="n"/>
      <c r="U1280" s="4" t="n"/>
      <c r="V1280" s="4" t="n"/>
      <c r="W1280" s="4" t="n"/>
      <c r="X1280" s="4" t="n"/>
      <c r="Y1280" s="4" t="n"/>
      <c r="Z1280" s="4" t="n"/>
      <c r="AA1280" s="4" t="n"/>
      <c r="AB1280" s="4" t="n"/>
      <c r="AC1280" s="4" t="n"/>
      <c r="AD1280" s="4" t="n"/>
      <c r="AE1280" s="4" t="n"/>
      <c r="AF1280" s="4" t="n"/>
      <c r="AG1280" s="4" t="n"/>
      <c r="AH1280" s="4" t="n"/>
      <c r="AI1280" s="4" t="n"/>
      <c r="AJ1280" s="4" t="n"/>
      <c r="AK1280" s="4" t="n"/>
      <c r="AL1280" s="4" t="n"/>
      <c r="AM1280" s="4" t="n"/>
      <c r="AN1280" s="4" t="n"/>
      <c r="AO1280" s="4" t="n"/>
      <c r="AP1280" s="4" t="n"/>
      <c r="AQ1280" s="4" t="n"/>
      <c r="AR1280" s="4" t="n"/>
      <c r="AS1280" s="4" t="n"/>
      <c r="AT1280" s="4" t="n"/>
      <c r="AU1280" s="4" t="n"/>
      <c r="AV1280" s="4" t="n"/>
      <c r="AW1280" s="4" t="n"/>
      <c r="AX1280" s="4" t="n"/>
      <c r="AY1280" s="4" t="n"/>
      <c r="AZ1280" s="4" t="n"/>
      <c r="BA1280" s="4" t="n"/>
      <c r="BB1280" s="4" t="n"/>
      <c r="BC1280" s="4" t="n"/>
      <c r="BD1280" s="4" t="n"/>
      <c r="BE1280" s="4" t="n"/>
      <c r="BF1280" s="4" t="n"/>
      <c r="BG1280" s="4" t="n"/>
      <c r="BH1280" s="4" t="n"/>
      <c r="BI1280" s="4" t="n"/>
      <c r="BJ1280" s="4" t="n"/>
      <c r="BK1280" s="4" t="n"/>
      <c r="BL1280" s="4" t="n"/>
      <c r="BM1280" s="4" t="n"/>
      <c r="BN1280" s="4" t="n"/>
      <c r="BO1280" s="4" t="n"/>
      <c r="BP1280" s="4" t="n"/>
      <c r="BQ1280" s="4" t="n"/>
      <c r="BR1280" s="4" t="n"/>
      <c r="BS1280" s="4" t="n"/>
      <c r="BT1280" s="4" t="n"/>
      <c r="BU1280" s="4" t="n"/>
      <c r="BV1280" s="4" t="n"/>
      <c r="BW1280" s="4" t="n"/>
      <c r="BX1280" s="4" t="n"/>
      <c r="BY1280" s="4" t="n"/>
      <c r="BZ1280" s="4" t="n"/>
      <c r="CA1280" s="4" t="n"/>
      <c r="CB1280" s="4" t="n"/>
      <c r="CC1280" s="4" t="n"/>
      <c r="CD1280" s="4" t="n"/>
      <c r="CE1280" s="4" t="n"/>
      <c r="CF1280" s="4" t="n"/>
      <c r="CG1280" s="4" t="n"/>
      <c r="CH1280" s="4" t="n"/>
      <c r="CI1280" s="4" t="n"/>
      <c r="CJ1280" s="4" t="n"/>
      <c r="CK1280" s="4" t="n"/>
      <c r="CL1280" s="4" t="n"/>
      <c r="CM1280" s="4" t="n"/>
      <c r="CN1280" s="4" t="n"/>
      <c r="CO1280" s="4" t="n"/>
      <c r="CP1280" s="4" t="n"/>
      <c r="CQ1280" s="4" t="n"/>
      <c r="CR1280" s="4" t="n"/>
      <c r="CS1280" s="4" t="n"/>
      <c r="CT1280" s="4" t="n"/>
      <c r="CU1280" s="4" t="n"/>
      <c r="CV1280" s="4" t="n"/>
      <c r="CW1280" s="4" t="n"/>
      <c r="CX1280" s="4" t="n"/>
      <c r="CY1280" s="4" t="n"/>
      <c r="CZ1280" s="4" t="n"/>
      <c r="DA1280" s="4" t="n"/>
      <c r="DB1280" s="4" t="n"/>
      <c r="DC1280" s="4" t="n"/>
      <c r="DD1280" s="4" t="n"/>
      <c r="DE1280" s="4" t="n"/>
      <c r="DF1280" s="4" t="n"/>
      <c r="DG1280" s="4" t="n"/>
      <c r="DH1280" s="4" t="n"/>
      <c r="DI1280" s="4" t="n"/>
      <c r="DJ1280" s="4" t="n"/>
      <c r="DK1280" s="4" t="n"/>
      <c r="DL1280" s="4" t="n"/>
      <c r="DM1280" s="4" t="n"/>
      <c r="DN1280" s="4" t="n"/>
      <c r="DO1280" s="4" t="n"/>
      <c r="DP1280" s="4" t="n"/>
      <c r="DQ1280" s="4" t="n"/>
      <c r="DR1280" s="4" t="n"/>
      <c r="DS1280" s="4" t="n"/>
      <c r="DT1280" s="4" t="n"/>
      <c r="DU1280" s="4" t="n"/>
      <c r="DV1280" s="4" t="n"/>
      <c r="DW1280" s="4" t="n"/>
      <c r="DX1280" s="4" t="n"/>
      <c r="DY1280" s="4" t="n"/>
      <c r="DZ1280" s="4" t="n"/>
      <c r="EA1280" s="4" t="n"/>
      <c r="EB1280" s="4" t="n"/>
      <c r="EC1280" s="4" t="n"/>
      <c r="ED1280" s="4" t="n"/>
      <c r="EE1280" s="4" t="n"/>
      <c r="EF1280" s="4" t="n"/>
      <c r="EG1280" s="4" t="n"/>
      <c r="EH1280" s="4" t="n"/>
      <c r="EI1280" s="4" t="n"/>
      <c r="EJ1280" s="4" t="n"/>
      <c r="EK1280" s="4" t="n"/>
      <c r="EL1280" s="4" t="n"/>
      <c r="EM1280" s="4" t="n"/>
    </row>
    <row r="1281" hidden="1" customFormat="1" s="6">
      <c r="C1281" s="4" t="n"/>
      <c r="D1281" s="4" t="n"/>
      <c r="E1281" s="4" t="n"/>
      <c r="F1281" s="4" t="n"/>
      <c r="G1281" s="4" t="n"/>
      <c r="H1281" s="4" t="n"/>
      <c r="I1281" s="4" t="n"/>
      <c r="J1281" s="4" t="n"/>
      <c r="K1281" s="4" t="n"/>
      <c r="L1281" s="4" t="n"/>
      <c r="M1281" s="4" t="n"/>
      <c r="N1281" s="4" t="n"/>
      <c r="O1281" s="4" t="n"/>
      <c r="P1281" s="4" t="n"/>
      <c r="Q1281" s="4" t="n"/>
      <c r="R1281" s="4" t="n"/>
      <c r="S1281" s="4" t="n"/>
      <c r="T1281" s="4" t="n"/>
      <c r="U1281" s="4" t="n"/>
      <c r="V1281" s="4" t="n"/>
      <c r="W1281" s="4" t="n"/>
      <c r="X1281" s="4" t="n"/>
      <c r="Y1281" s="4" t="n"/>
      <c r="Z1281" s="4" t="n"/>
      <c r="AA1281" s="4" t="n"/>
      <c r="AB1281" s="4" t="n"/>
      <c r="AC1281" s="4" t="n"/>
      <c r="AD1281" s="4" t="n"/>
      <c r="AE1281" s="4" t="n"/>
      <c r="AF1281" s="4" t="n"/>
      <c r="AG1281" s="4" t="n"/>
      <c r="AH1281" s="4" t="n"/>
      <c r="AI1281" s="4" t="n"/>
      <c r="AJ1281" s="4" t="n"/>
      <c r="AK1281" s="4" t="n"/>
      <c r="AL1281" s="4" t="n"/>
      <c r="AM1281" s="4" t="n"/>
      <c r="AN1281" s="4" t="n"/>
      <c r="AO1281" s="4" t="n"/>
      <c r="AP1281" s="4" t="n"/>
      <c r="AQ1281" s="4" t="n"/>
      <c r="AR1281" s="4" t="n"/>
      <c r="AS1281" s="4" t="n"/>
      <c r="AT1281" s="4" t="n"/>
      <c r="AU1281" s="4" t="n"/>
      <c r="AV1281" s="4" t="n"/>
      <c r="AW1281" s="4" t="n"/>
      <c r="AX1281" s="4" t="n"/>
      <c r="AY1281" s="4" t="n"/>
      <c r="AZ1281" s="4" t="n"/>
      <c r="BA1281" s="4" t="n"/>
      <c r="BB1281" s="4" t="n"/>
      <c r="BC1281" s="4" t="n"/>
      <c r="BD1281" s="4" t="n"/>
      <c r="BE1281" s="4" t="n"/>
      <c r="BF1281" s="4" t="n"/>
      <c r="BG1281" s="4" t="n"/>
      <c r="BH1281" s="4" t="n"/>
      <c r="BI1281" s="4" t="n"/>
      <c r="BJ1281" s="4" t="n"/>
      <c r="BK1281" s="4" t="n"/>
      <c r="BL1281" s="4" t="n"/>
      <c r="BM1281" s="4" t="n"/>
      <c r="BN1281" s="4" t="n"/>
      <c r="BO1281" s="4" t="n"/>
      <c r="BP1281" s="4" t="n"/>
      <c r="BQ1281" s="4" t="n"/>
      <c r="BR1281" s="4" t="n"/>
      <c r="BS1281" s="4" t="n"/>
      <c r="BT1281" s="4" t="n"/>
      <c r="BU1281" s="4" t="n"/>
      <c r="BV1281" s="4" t="n"/>
      <c r="BW1281" s="4" t="n"/>
      <c r="BX1281" s="4" t="n"/>
      <c r="BY1281" s="4" t="n"/>
      <c r="BZ1281" s="4" t="n"/>
      <c r="CA1281" s="4" t="n"/>
      <c r="CB1281" s="4" t="n"/>
      <c r="CC1281" s="4" t="n"/>
      <c r="CD1281" s="4" t="n"/>
      <c r="CE1281" s="4" t="n"/>
      <c r="CF1281" s="4" t="n"/>
      <c r="CG1281" s="4" t="n"/>
      <c r="CH1281" s="4" t="n"/>
      <c r="CI1281" s="4" t="n"/>
      <c r="CJ1281" s="4" t="n"/>
      <c r="CK1281" s="4" t="n"/>
      <c r="CL1281" s="4" t="n"/>
      <c r="CM1281" s="4" t="n"/>
      <c r="CN1281" s="4" t="n"/>
      <c r="CO1281" s="4" t="n"/>
      <c r="CP1281" s="4" t="n"/>
      <c r="CQ1281" s="4" t="n"/>
      <c r="CR1281" s="4" t="n"/>
      <c r="CS1281" s="4" t="n"/>
      <c r="CT1281" s="4" t="n"/>
      <c r="CU1281" s="4" t="n"/>
      <c r="CV1281" s="4" t="n"/>
      <c r="CW1281" s="4" t="n"/>
      <c r="CX1281" s="4" t="n"/>
      <c r="CY1281" s="4" t="n"/>
      <c r="CZ1281" s="4" t="n"/>
      <c r="DA1281" s="4" t="n"/>
      <c r="DB1281" s="4" t="n"/>
      <c r="DC1281" s="4" t="n"/>
      <c r="DD1281" s="4" t="n"/>
      <c r="DE1281" s="4" t="n"/>
      <c r="DF1281" s="4" t="n"/>
      <c r="DG1281" s="4" t="n"/>
      <c r="DH1281" s="4" t="n"/>
      <c r="DI1281" s="4" t="n"/>
      <c r="DJ1281" s="4" t="n"/>
      <c r="DK1281" s="4" t="n"/>
      <c r="DL1281" s="4" t="n"/>
      <c r="DM1281" s="4" t="n"/>
      <c r="DN1281" s="4" t="n"/>
      <c r="DO1281" s="4" t="n"/>
      <c r="DP1281" s="4" t="n"/>
      <c r="DQ1281" s="4" t="n"/>
      <c r="DR1281" s="4" t="n"/>
      <c r="DS1281" s="4" t="n"/>
      <c r="DT1281" s="4" t="n"/>
      <c r="DU1281" s="4" t="n"/>
      <c r="DV1281" s="4" t="n"/>
      <c r="DW1281" s="4" t="n"/>
      <c r="DX1281" s="4" t="n"/>
      <c r="DY1281" s="4" t="n"/>
      <c r="DZ1281" s="4" t="n"/>
      <c r="EA1281" s="4" t="n"/>
      <c r="EB1281" s="4" t="n"/>
      <c r="EC1281" s="4" t="n"/>
      <c r="ED1281" s="4" t="n"/>
      <c r="EE1281" s="4" t="n"/>
      <c r="EF1281" s="4" t="n"/>
      <c r="EG1281" s="4" t="n"/>
      <c r="EH1281" s="4" t="n"/>
      <c r="EI1281" s="4" t="n"/>
      <c r="EJ1281" s="4" t="n"/>
      <c r="EK1281" s="4" t="n"/>
      <c r="EL1281" s="4" t="n"/>
      <c r="EM1281" s="4" t="n"/>
    </row>
    <row r="1282" hidden="1" customFormat="1" s="6">
      <c r="C1282" s="4" t="n"/>
      <c r="D1282" s="4" t="n"/>
      <c r="E1282" s="4" t="n"/>
      <c r="F1282" s="4" t="n"/>
      <c r="G1282" s="4" t="n"/>
      <c r="H1282" s="4" t="n"/>
      <c r="I1282" s="4" t="n"/>
      <c r="J1282" s="4" t="n"/>
      <c r="K1282" s="4" t="n"/>
      <c r="L1282" s="4" t="n"/>
      <c r="M1282" s="4" t="n"/>
      <c r="N1282" s="4" t="n"/>
      <c r="O1282" s="4" t="n"/>
      <c r="P1282" s="4" t="n"/>
      <c r="Q1282" s="4" t="n"/>
      <c r="R1282" s="4" t="n"/>
      <c r="S1282" s="4" t="n"/>
      <c r="T1282" s="4" t="n"/>
      <c r="U1282" s="4" t="n"/>
      <c r="V1282" s="4" t="n"/>
      <c r="W1282" s="4" t="n"/>
      <c r="X1282" s="4" t="n"/>
      <c r="Y1282" s="4" t="n"/>
      <c r="Z1282" s="4" t="n"/>
      <c r="AA1282" s="4" t="n"/>
      <c r="AB1282" s="4" t="n"/>
      <c r="AC1282" s="4" t="n"/>
      <c r="AD1282" s="4" t="n"/>
      <c r="AE1282" s="4" t="n"/>
      <c r="AF1282" s="4" t="n"/>
      <c r="AG1282" s="4" t="n"/>
      <c r="AH1282" s="4" t="n"/>
      <c r="AI1282" s="4" t="n"/>
      <c r="AJ1282" s="4" t="n"/>
      <c r="AK1282" s="4" t="n"/>
      <c r="AL1282" s="4" t="n"/>
      <c r="AM1282" s="4" t="n"/>
      <c r="AN1282" s="4" t="n"/>
      <c r="AO1282" s="4" t="n"/>
      <c r="AP1282" s="4" t="n"/>
      <c r="AQ1282" s="4" t="n"/>
      <c r="AR1282" s="4" t="n"/>
      <c r="AS1282" s="4" t="n"/>
      <c r="AT1282" s="4" t="n"/>
      <c r="AU1282" s="4" t="n"/>
      <c r="AV1282" s="4" t="n"/>
      <c r="AW1282" s="4" t="n"/>
      <c r="AX1282" s="4" t="n"/>
      <c r="AY1282" s="4" t="n"/>
      <c r="AZ1282" s="4" t="n"/>
      <c r="BA1282" s="4" t="n"/>
      <c r="BB1282" s="4" t="n"/>
      <c r="BC1282" s="4" t="n"/>
      <c r="BD1282" s="4" t="n"/>
      <c r="BE1282" s="4" t="n"/>
      <c r="BF1282" s="4" t="n"/>
      <c r="BG1282" s="4" t="n"/>
      <c r="BH1282" s="4" t="n"/>
      <c r="BI1282" s="4" t="n"/>
      <c r="BJ1282" s="4" t="n"/>
      <c r="BK1282" s="4" t="n"/>
      <c r="BL1282" s="4" t="n"/>
      <c r="BM1282" s="4" t="n"/>
      <c r="BN1282" s="4" t="n"/>
      <c r="BO1282" s="4" t="n"/>
      <c r="BP1282" s="4" t="n"/>
      <c r="BQ1282" s="4" t="n"/>
      <c r="BR1282" s="4" t="n"/>
      <c r="BS1282" s="4" t="n"/>
      <c r="BT1282" s="4" t="n"/>
      <c r="BU1282" s="4" t="n"/>
      <c r="BV1282" s="4" t="n"/>
      <c r="BW1282" s="4" t="n"/>
      <c r="BX1282" s="4" t="n"/>
      <c r="BY1282" s="4" t="n"/>
      <c r="BZ1282" s="4" t="n"/>
      <c r="CA1282" s="4" t="n"/>
      <c r="CB1282" s="4" t="n"/>
      <c r="CC1282" s="4" t="n"/>
      <c r="CD1282" s="4" t="n"/>
      <c r="CE1282" s="4" t="n"/>
      <c r="CF1282" s="4" t="n"/>
      <c r="CG1282" s="4" t="n"/>
      <c r="CH1282" s="4" t="n"/>
      <c r="CI1282" s="4" t="n"/>
      <c r="CJ1282" s="4" t="n"/>
      <c r="CK1282" s="4" t="n"/>
      <c r="CL1282" s="4" t="n"/>
      <c r="CM1282" s="4" t="n"/>
      <c r="CN1282" s="4" t="n"/>
      <c r="CO1282" s="4" t="n"/>
      <c r="CP1282" s="4" t="n"/>
      <c r="CQ1282" s="4" t="n"/>
      <c r="CR1282" s="4" t="n"/>
      <c r="CS1282" s="4" t="n"/>
      <c r="CT1282" s="4" t="n"/>
      <c r="CU1282" s="4" t="n"/>
      <c r="CV1282" s="4" t="n"/>
      <c r="CW1282" s="4" t="n"/>
      <c r="CX1282" s="4" t="n"/>
      <c r="CY1282" s="4" t="n"/>
      <c r="CZ1282" s="4" t="n"/>
      <c r="DA1282" s="4" t="n"/>
      <c r="DB1282" s="4" t="n"/>
      <c r="DC1282" s="4" t="n"/>
      <c r="DD1282" s="4" t="n"/>
      <c r="DE1282" s="4" t="n"/>
      <c r="DF1282" s="4" t="n"/>
      <c r="DG1282" s="4" t="n"/>
      <c r="DH1282" s="4" t="n"/>
      <c r="DI1282" s="4" t="n"/>
      <c r="DJ1282" s="4" t="n"/>
      <c r="DK1282" s="4" t="n"/>
      <c r="DL1282" s="4" t="n"/>
      <c r="DM1282" s="4" t="n"/>
      <c r="DN1282" s="4" t="n"/>
      <c r="DO1282" s="4" t="n"/>
      <c r="DP1282" s="4" t="n"/>
      <c r="DQ1282" s="4" t="n"/>
      <c r="DR1282" s="4" t="n"/>
      <c r="DS1282" s="4" t="n"/>
      <c r="DT1282" s="4" t="n"/>
      <c r="DU1282" s="4" t="n"/>
      <c r="DV1282" s="4" t="n"/>
      <c r="DW1282" s="4" t="n"/>
      <c r="DX1282" s="4" t="n"/>
      <c r="DY1282" s="4" t="n"/>
      <c r="DZ1282" s="4" t="n"/>
      <c r="EA1282" s="4" t="n"/>
      <c r="EB1282" s="4" t="n"/>
      <c r="EC1282" s="4" t="n"/>
      <c r="ED1282" s="4" t="n"/>
      <c r="EE1282" s="4" t="n"/>
      <c r="EF1282" s="4" t="n"/>
      <c r="EG1282" s="4" t="n"/>
      <c r="EH1282" s="4" t="n"/>
      <c r="EI1282" s="4" t="n"/>
      <c r="EJ1282" s="4" t="n"/>
      <c r="EK1282" s="4" t="n"/>
      <c r="EL1282" s="4" t="n"/>
      <c r="EM1282" s="4" t="n"/>
    </row>
    <row r="1283" hidden="1" customFormat="1" s="6">
      <c r="C1283" s="4" t="n"/>
      <c r="D1283" s="4" t="n"/>
      <c r="E1283" s="4" t="n"/>
      <c r="F1283" s="4" t="n"/>
      <c r="G1283" s="4" t="n"/>
      <c r="H1283" s="4" t="n"/>
      <c r="I1283" s="4" t="n"/>
      <c r="J1283" s="4" t="n"/>
      <c r="K1283" s="4" t="n"/>
      <c r="L1283" s="4" t="n"/>
      <c r="M1283" s="4" t="n"/>
      <c r="N1283" s="4" t="n"/>
      <c r="O1283" s="4" t="n"/>
      <c r="P1283" s="4" t="n"/>
      <c r="Q1283" s="4" t="n"/>
      <c r="R1283" s="4" t="n"/>
      <c r="S1283" s="4" t="n"/>
      <c r="T1283" s="4" t="n"/>
      <c r="U1283" s="4" t="n"/>
      <c r="V1283" s="4" t="n"/>
      <c r="W1283" s="4" t="n"/>
      <c r="X1283" s="4" t="n"/>
      <c r="Y1283" s="4" t="n"/>
      <c r="Z1283" s="4" t="n"/>
      <c r="AA1283" s="4" t="n"/>
      <c r="AB1283" s="4" t="n"/>
      <c r="AC1283" s="4" t="n"/>
      <c r="AD1283" s="4" t="n"/>
      <c r="AE1283" s="4" t="n"/>
      <c r="AF1283" s="4" t="n"/>
      <c r="AG1283" s="4" t="n"/>
      <c r="AH1283" s="4" t="n"/>
      <c r="AI1283" s="4" t="n"/>
      <c r="AJ1283" s="4" t="n"/>
      <c r="AK1283" s="4" t="n"/>
      <c r="AL1283" s="4" t="n"/>
      <c r="AM1283" s="4" t="n"/>
      <c r="AN1283" s="4" t="n"/>
      <c r="AO1283" s="4" t="n"/>
      <c r="AP1283" s="4" t="n"/>
      <c r="AQ1283" s="4" t="n"/>
      <c r="AR1283" s="4" t="n"/>
      <c r="AS1283" s="4" t="n"/>
      <c r="AT1283" s="4" t="n"/>
      <c r="AU1283" s="4" t="n"/>
      <c r="AV1283" s="4" t="n"/>
      <c r="AW1283" s="4" t="n"/>
      <c r="AX1283" s="4" t="n"/>
      <c r="AY1283" s="4" t="n"/>
      <c r="AZ1283" s="4" t="n"/>
      <c r="BA1283" s="4" t="n"/>
      <c r="BB1283" s="4" t="n"/>
      <c r="BC1283" s="4" t="n"/>
      <c r="BD1283" s="4" t="n"/>
      <c r="BE1283" s="4" t="n"/>
      <c r="BF1283" s="4" t="n"/>
      <c r="BG1283" s="4" t="n"/>
      <c r="BH1283" s="4" t="n"/>
      <c r="BI1283" s="4" t="n"/>
      <c r="BJ1283" s="4" t="n"/>
      <c r="BK1283" s="4" t="n"/>
      <c r="BL1283" s="4" t="n"/>
      <c r="BM1283" s="4" t="n"/>
      <c r="BN1283" s="4" t="n"/>
      <c r="BO1283" s="4" t="n"/>
      <c r="BP1283" s="4" t="n"/>
      <c r="BQ1283" s="4" t="n"/>
      <c r="BR1283" s="4" t="n"/>
      <c r="BS1283" s="4" t="n"/>
      <c r="BT1283" s="4" t="n"/>
      <c r="BU1283" s="4" t="n"/>
      <c r="BV1283" s="4" t="n"/>
      <c r="BW1283" s="4" t="n"/>
      <c r="BX1283" s="4" t="n"/>
      <c r="BY1283" s="4" t="n"/>
      <c r="BZ1283" s="4" t="n"/>
      <c r="CA1283" s="4" t="n"/>
      <c r="CB1283" s="4" t="n"/>
      <c r="CC1283" s="4" t="n"/>
      <c r="CD1283" s="4" t="n"/>
      <c r="CE1283" s="4" t="n"/>
      <c r="CF1283" s="4" t="n"/>
      <c r="CG1283" s="4" t="n"/>
      <c r="CH1283" s="4" t="n"/>
      <c r="CI1283" s="4" t="n"/>
      <c r="CJ1283" s="4" t="n"/>
      <c r="CK1283" s="4" t="n"/>
      <c r="CL1283" s="4" t="n"/>
      <c r="CM1283" s="4" t="n"/>
      <c r="CN1283" s="4" t="n"/>
      <c r="CO1283" s="4" t="n"/>
      <c r="CP1283" s="4" t="n"/>
      <c r="CQ1283" s="4" t="n"/>
      <c r="CR1283" s="4" t="n"/>
      <c r="CS1283" s="4" t="n"/>
      <c r="CT1283" s="4" t="n"/>
      <c r="CU1283" s="4" t="n"/>
      <c r="CV1283" s="4" t="n"/>
      <c r="CW1283" s="4" t="n"/>
      <c r="CX1283" s="4" t="n"/>
      <c r="CY1283" s="4" t="n"/>
      <c r="CZ1283" s="4" t="n"/>
      <c r="DA1283" s="4" t="n"/>
      <c r="DB1283" s="4" t="n"/>
      <c r="DC1283" s="4" t="n"/>
      <c r="DD1283" s="4" t="n"/>
      <c r="DE1283" s="4" t="n"/>
      <c r="DF1283" s="4" t="n"/>
      <c r="DG1283" s="4" t="n"/>
      <c r="DH1283" s="4" t="n"/>
      <c r="DI1283" s="4" t="n"/>
      <c r="DJ1283" s="4" t="n"/>
      <c r="DK1283" s="4" t="n"/>
      <c r="DL1283" s="4" t="n"/>
      <c r="DM1283" s="4" t="n"/>
      <c r="DN1283" s="4" t="n"/>
      <c r="DO1283" s="4" t="n"/>
      <c r="DP1283" s="4" t="n"/>
      <c r="DQ1283" s="4" t="n"/>
      <c r="DR1283" s="4" t="n"/>
      <c r="DS1283" s="4" t="n"/>
      <c r="DT1283" s="4" t="n"/>
      <c r="DU1283" s="4" t="n"/>
      <c r="DV1283" s="4" t="n"/>
      <c r="DW1283" s="4" t="n"/>
      <c r="DX1283" s="4" t="n"/>
      <c r="DY1283" s="4" t="n"/>
      <c r="DZ1283" s="4" t="n"/>
      <c r="EA1283" s="4" t="n"/>
      <c r="EB1283" s="4" t="n"/>
      <c r="EC1283" s="4" t="n"/>
      <c r="ED1283" s="4" t="n"/>
      <c r="EE1283" s="4" t="n"/>
      <c r="EF1283" s="4" t="n"/>
      <c r="EG1283" s="4" t="n"/>
      <c r="EH1283" s="4" t="n"/>
      <c r="EI1283" s="4" t="n"/>
      <c r="EJ1283" s="4" t="n"/>
      <c r="EK1283" s="4" t="n"/>
      <c r="EL1283" s="4" t="n"/>
      <c r="EM1283" s="4" t="n"/>
    </row>
    <row r="1284" hidden="1" customFormat="1" s="6">
      <c r="C1284" s="4" t="n"/>
      <c r="D1284" s="4" t="n"/>
      <c r="E1284" s="4" t="n"/>
      <c r="F1284" s="4" t="n"/>
      <c r="G1284" s="4" t="n"/>
      <c r="H1284" s="4" t="n"/>
      <c r="I1284" s="4" t="n"/>
      <c r="J1284" s="4" t="n"/>
      <c r="K1284" s="4" t="n"/>
      <c r="L1284" s="4" t="n"/>
      <c r="M1284" s="4" t="n"/>
      <c r="N1284" s="4" t="n"/>
      <c r="O1284" s="4" t="n"/>
      <c r="P1284" s="4" t="n"/>
      <c r="Q1284" s="4" t="n"/>
      <c r="R1284" s="4" t="n"/>
      <c r="S1284" s="4" t="n"/>
      <c r="T1284" s="4" t="n"/>
      <c r="U1284" s="4" t="n"/>
      <c r="V1284" s="4" t="n"/>
      <c r="W1284" s="4" t="n"/>
      <c r="X1284" s="4" t="n"/>
      <c r="Y1284" s="4" t="n"/>
      <c r="Z1284" s="4" t="n"/>
      <c r="AA1284" s="4" t="n"/>
      <c r="AB1284" s="4" t="n"/>
      <c r="AC1284" s="4" t="n"/>
      <c r="AD1284" s="4" t="n"/>
      <c r="AE1284" s="4" t="n"/>
      <c r="AF1284" s="4" t="n"/>
      <c r="AG1284" s="4" t="n"/>
      <c r="AH1284" s="4" t="n"/>
      <c r="AI1284" s="4" t="n"/>
      <c r="AJ1284" s="4" t="n"/>
      <c r="AK1284" s="4" t="n"/>
      <c r="AL1284" s="4" t="n"/>
      <c r="AM1284" s="4" t="n"/>
      <c r="AN1284" s="4" t="n"/>
      <c r="AO1284" s="4" t="n"/>
      <c r="AP1284" s="4" t="n"/>
      <c r="AQ1284" s="4" t="n"/>
      <c r="AR1284" s="4" t="n"/>
      <c r="AS1284" s="4" t="n"/>
      <c r="AT1284" s="4" t="n"/>
      <c r="AU1284" s="4" t="n"/>
      <c r="AV1284" s="4" t="n"/>
      <c r="AW1284" s="4" t="n"/>
      <c r="AX1284" s="4" t="n"/>
      <c r="AY1284" s="4" t="n"/>
      <c r="AZ1284" s="4" t="n"/>
      <c r="BA1284" s="4" t="n"/>
      <c r="BB1284" s="4" t="n"/>
      <c r="BC1284" s="4" t="n"/>
      <c r="BD1284" s="4" t="n"/>
      <c r="BE1284" s="4" t="n"/>
      <c r="BF1284" s="4" t="n"/>
      <c r="BG1284" s="4" t="n"/>
      <c r="BH1284" s="4" t="n"/>
      <c r="BI1284" s="4" t="n"/>
      <c r="BJ1284" s="4" t="n"/>
      <c r="BK1284" s="4" t="n"/>
      <c r="BL1284" s="4" t="n"/>
      <c r="BM1284" s="4" t="n"/>
      <c r="BN1284" s="4" t="n"/>
      <c r="BO1284" s="4" t="n"/>
      <c r="BP1284" s="4" t="n"/>
      <c r="BQ1284" s="4" t="n"/>
      <c r="BR1284" s="4" t="n"/>
      <c r="BS1284" s="4" t="n"/>
      <c r="BT1284" s="4" t="n"/>
      <c r="BU1284" s="4" t="n"/>
      <c r="BV1284" s="4" t="n"/>
      <c r="BW1284" s="4" t="n"/>
      <c r="BX1284" s="4" t="n"/>
      <c r="BY1284" s="4" t="n"/>
      <c r="BZ1284" s="4" t="n"/>
      <c r="CA1284" s="4" t="n"/>
      <c r="CB1284" s="4" t="n"/>
      <c r="CC1284" s="4" t="n"/>
      <c r="CD1284" s="4" t="n"/>
      <c r="CE1284" s="4" t="n"/>
      <c r="CF1284" s="4" t="n"/>
      <c r="CG1284" s="4" t="n"/>
      <c r="CH1284" s="4" t="n"/>
      <c r="CI1284" s="4" t="n"/>
      <c r="CJ1284" s="4" t="n"/>
      <c r="CK1284" s="4" t="n"/>
      <c r="CL1284" s="4" t="n"/>
      <c r="CM1284" s="4" t="n"/>
      <c r="CN1284" s="4" t="n"/>
      <c r="CO1284" s="4" t="n"/>
      <c r="CP1284" s="4" t="n"/>
      <c r="CQ1284" s="4" t="n"/>
      <c r="CR1284" s="4" t="n"/>
      <c r="CS1284" s="4" t="n"/>
      <c r="CT1284" s="4" t="n"/>
      <c r="CU1284" s="4" t="n"/>
      <c r="CV1284" s="4" t="n"/>
      <c r="CW1284" s="4" t="n"/>
      <c r="CX1284" s="4" t="n"/>
      <c r="CY1284" s="4" t="n"/>
      <c r="CZ1284" s="4" t="n"/>
      <c r="DA1284" s="4" t="n"/>
      <c r="DB1284" s="4" t="n"/>
      <c r="DC1284" s="4" t="n"/>
      <c r="DD1284" s="4" t="n"/>
      <c r="DE1284" s="4" t="n"/>
      <c r="DF1284" s="4" t="n"/>
      <c r="DG1284" s="4" t="n"/>
      <c r="DH1284" s="4" t="n"/>
      <c r="DI1284" s="4" t="n"/>
      <c r="DJ1284" s="4" t="n"/>
      <c r="DK1284" s="4" t="n"/>
      <c r="DL1284" s="4" t="n"/>
      <c r="DM1284" s="4" t="n"/>
      <c r="DN1284" s="4" t="n"/>
      <c r="DO1284" s="4" t="n"/>
      <c r="DP1284" s="4" t="n"/>
      <c r="DQ1284" s="4" t="n"/>
      <c r="DR1284" s="4" t="n"/>
      <c r="DS1284" s="4" t="n"/>
      <c r="DT1284" s="4" t="n"/>
      <c r="DU1284" s="4" t="n"/>
      <c r="DV1284" s="4" t="n"/>
      <c r="DW1284" s="4" t="n"/>
      <c r="DX1284" s="4" t="n"/>
      <c r="DY1284" s="4" t="n"/>
      <c r="DZ1284" s="4" t="n"/>
      <c r="EA1284" s="4" t="n"/>
      <c r="EB1284" s="4" t="n"/>
      <c r="EC1284" s="4" t="n"/>
      <c r="ED1284" s="4" t="n"/>
      <c r="EE1284" s="4" t="n"/>
      <c r="EF1284" s="4" t="n"/>
      <c r="EG1284" s="4" t="n"/>
      <c r="EH1284" s="4" t="n"/>
      <c r="EI1284" s="4" t="n"/>
      <c r="EJ1284" s="4" t="n"/>
      <c r="EK1284" s="4" t="n"/>
      <c r="EL1284" s="4" t="n"/>
      <c r="EM1284" s="4" t="n"/>
    </row>
    <row r="1285" hidden="1" customFormat="1" s="6">
      <c r="C1285" s="4" t="n"/>
      <c r="D1285" s="4" t="n"/>
      <c r="E1285" s="4" t="n"/>
      <c r="F1285" s="4" t="n"/>
      <c r="G1285" s="4" t="n"/>
      <c r="H1285" s="4" t="n"/>
      <c r="I1285" s="4" t="n"/>
      <c r="J1285" s="4" t="n"/>
      <c r="K1285" s="4" t="n"/>
      <c r="L1285" s="4" t="n"/>
      <c r="M1285" s="4" t="n"/>
      <c r="N1285" s="4" t="n"/>
      <c r="O1285" s="4" t="n"/>
      <c r="P1285" s="4" t="n"/>
      <c r="Q1285" s="4" t="n"/>
      <c r="R1285" s="4" t="n"/>
      <c r="S1285" s="4" t="n"/>
      <c r="T1285" s="4" t="n"/>
      <c r="U1285" s="4" t="n"/>
      <c r="V1285" s="4" t="n"/>
      <c r="W1285" s="4" t="n"/>
      <c r="X1285" s="4" t="n"/>
      <c r="Y1285" s="4" t="n"/>
      <c r="Z1285" s="4" t="n"/>
      <c r="AA1285" s="4" t="n"/>
      <c r="AB1285" s="4" t="n"/>
      <c r="AC1285" s="4" t="n"/>
      <c r="AD1285" s="4" t="n"/>
      <c r="AE1285" s="4" t="n"/>
      <c r="AF1285" s="4" t="n"/>
      <c r="AG1285" s="4" t="n"/>
      <c r="AH1285" s="4" t="n"/>
      <c r="AI1285" s="4" t="n"/>
      <c r="AJ1285" s="4" t="n"/>
      <c r="AK1285" s="4" t="n"/>
      <c r="AL1285" s="4" t="n"/>
      <c r="AM1285" s="4" t="n"/>
      <c r="AN1285" s="4" t="n"/>
      <c r="AO1285" s="4" t="n"/>
      <c r="AP1285" s="4" t="n"/>
      <c r="AQ1285" s="4" t="n"/>
      <c r="AR1285" s="4" t="n"/>
      <c r="AS1285" s="4" t="n"/>
      <c r="AT1285" s="4" t="n"/>
      <c r="AU1285" s="4" t="n"/>
      <c r="AV1285" s="4" t="n"/>
      <c r="AW1285" s="4" t="n"/>
      <c r="AX1285" s="4" t="n"/>
      <c r="AY1285" s="4" t="n"/>
      <c r="AZ1285" s="4" t="n"/>
      <c r="BA1285" s="4" t="n"/>
      <c r="BB1285" s="4" t="n"/>
      <c r="BC1285" s="4" t="n"/>
      <c r="BD1285" s="4" t="n"/>
      <c r="BE1285" s="4" t="n"/>
      <c r="BF1285" s="4" t="n"/>
      <c r="BG1285" s="4" t="n"/>
      <c r="BH1285" s="4" t="n"/>
      <c r="BI1285" s="4" t="n"/>
      <c r="BJ1285" s="4" t="n"/>
      <c r="BK1285" s="4" t="n"/>
      <c r="BL1285" s="4" t="n"/>
      <c r="BM1285" s="4" t="n"/>
      <c r="BN1285" s="4" t="n"/>
      <c r="BO1285" s="4" t="n"/>
      <c r="BP1285" s="4" t="n"/>
      <c r="BQ1285" s="4" t="n"/>
      <c r="BR1285" s="4" t="n"/>
      <c r="BS1285" s="4" t="n"/>
      <c r="BT1285" s="4" t="n"/>
      <c r="BU1285" s="4" t="n"/>
      <c r="BV1285" s="4" t="n"/>
      <c r="BW1285" s="4" t="n"/>
      <c r="BX1285" s="4" t="n"/>
      <c r="BY1285" s="4" t="n"/>
      <c r="BZ1285" s="4" t="n"/>
      <c r="CA1285" s="4" t="n"/>
      <c r="CB1285" s="4" t="n"/>
      <c r="CC1285" s="4" t="n"/>
      <c r="CD1285" s="4" t="n"/>
      <c r="CE1285" s="4" t="n"/>
      <c r="CF1285" s="4" t="n"/>
      <c r="CG1285" s="4" t="n"/>
      <c r="CH1285" s="4" t="n"/>
      <c r="CI1285" s="4" t="n"/>
      <c r="CJ1285" s="4" t="n"/>
      <c r="CK1285" s="4" t="n"/>
      <c r="CL1285" s="4" t="n"/>
      <c r="CM1285" s="4" t="n"/>
      <c r="CN1285" s="4" t="n"/>
      <c r="CO1285" s="4" t="n"/>
      <c r="CP1285" s="4" t="n"/>
      <c r="CQ1285" s="4" t="n"/>
      <c r="CR1285" s="4" t="n"/>
      <c r="CS1285" s="4" t="n"/>
      <c r="CT1285" s="4" t="n"/>
      <c r="CU1285" s="4" t="n"/>
      <c r="CV1285" s="4" t="n"/>
      <c r="CW1285" s="4" t="n"/>
      <c r="CX1285" s="4" t="n"/>
      <c r="CY1285" s="4" t="n"/>
      <c r="CZ1285" s="4" t="n"/>
      <c r="DA1285" s="4" t="n"/>
      <c r="DB1285" s="4" t="n"/>
      <c r="DC1285" s="4" t="n"/>
      <c r="DD1285" s="4" t="n"/>
      <c r="DE1285" s="4" t="n"/>
      <c r="DF1285" s="4" t="n"/>
      <c r="DG1285" s="4" t="n"/>
      <c r="DH1285" s="4" t="n"/>
      <c r="DI1285" s="4" t="n"/>
      <c r="DJ1285" s="4" t="n"/>
      <c r="DK1285" s="4" t="n"/>
      <c r="DL1285" s="4" t="n"/>
      <c r="DM1285" s="4" t="n"/>
      <c r="DN1285" s="4" t="n"/>
      <c r="DO1285" s="4" t="n"/>
      <c r="DP1285" s="4" t="n"/>
      <c r="DQ1285" s="4" t="n"/>
      <c r="DR1285" s="4" t="n"/>
      <c r="DS1285" s="4" t="n"/>
      <c r="DT1285" s="4" t="n"/>
      <c r="DU1285" s="4" t="n"/>
      <c r="DV1285" s="4" t="n"/>
      <c r="DW1285" s="4" t="n"/>
      <c r="DX1285" s="4" t="n"/>
      <c r="DY1285" s="4" t="n"/>
      <c r="DZ1285" s="4" t="n"/>
      <c r="EA1285" s="4" t="n"/>
      <c r="EB1285" s="4" t="n"/>
      <c r="EC1285" s="4" t="n"/>
      <c r="ED1285" s="4" t="n"/>
      <c r="EE1285" s="4" t="n"/>
      <c r="EF1285" s="4" t="n"/>
      <c r="EG1285" s="4" t="n"/>
      <c r="EH1285" s="4" t="n"/>
      <c r="EI1285" s="4" t="n"/>
      <c r="EJ1285" s="4" t="n"/>
      <c r="EK1285" s="4" t="n"/>
      <c r="EL1285" s="4" t="n"/>
      <c r="EM1285" s="4" t="n"/>
    </row>
    <row r="1286" hidden="1" customFormat="1" s="6">
      <c r="C1286" s="4" t="n"/>
      <c r="D1286" s="4" t="n"/>
      <c r="E1286" s="4" t="n"/>
      <c r="F1286" s="4" t="n"/>
      <c r="G1286" s="4" t="n"/>
      <c r="H1286" s="4" t="n"/>
      <c r="I1286" s="4" t="n"/>
      <c r="J1286" s="4" t="n"/>
      <c r="K1286" s="4" t="n"/>
      <c r="L1286" s="4" t="n"/>
      <c r="M1286" s="4" t="n"/>
      <c r="N1286" s="4" t="n"/>
      <c r="O1286" s="4" t="n"/>
      <c r="P1286" s="4" t="n"/>
      <c r="Q1286" s="4" t="n"/>
      <c r="R1286" s="4" t="n"/>
      <c r="S1286" s="4" t="n"/>
      <c r="T1286" s="4" t="n"/>
      <c r="U1286" s="4" t="n"/>
      <c r="V1286" s="4" t="n"/>
      <c r="W1286" s="4" t="n"/>
      <c r="X1286" s="4" t="n"/>
      <c r="Y1286" s="4" t="n"/>
      <c r="Z1286" s="4" t="n"/>
      <c r="AA1286" s="4" t="n"/>
      <c r="AB1286" s="4" t="n"/>
      <c r="AC1286" s="4" t="n"/>
      <c r="AD1286" s="4" t="n"/>
      <c r="AE1286" s="4" t="n"/>
      <c r="AF1286" s="4" t="n"/>
      <c r="AG1286" s="4" t="n"/>
      <c r="AH1286" s="4" t="n"/>
      <c r="AI1286" s="4" t="n"/>
      <c r="AJ1286" s="4" t="n"/>
      <c r="AK1286" s="4" t="n"/>
      <c r="AL1286" s="4" t="n"/>
      <c r="AM1286" s="4" t="n"/>
      <c r="AN1286" s="4" t="n"/>
      <c r="AO1286" s="4" t="n"/>
      <c r="AP1286" s="4" t="n"/>
      <c r="AQ1286" s="4" t="n"/>
      <c r="AR1286" s="4" t="n"/>
      <c r="AS1286" s="4" t="n"/>
      <c r="AT1286" s="4" t="n"/>
      <c r="AU1286" s="4" t="n"/>
      <c r="AV1286" s="4" t="n"/>
      <c r="AW1286" s="4" t="n"/>
      <c r="AX1286" s="4" t="n"/>
      <c r="AY1286" s="4" t="n"/>
      <c r="AZ1286" s="4" t="n"/>
      <c r="BA1286" s="4" t="n"/>
      <c r="BB1286" s="4" t="n"/>
      <c r="BC1286" s="4" t="n"/>
      <c r="BD1286" s="4" t="n"/>
      <c r="BE1286" s="4" t="n"/>
      <c r="BF1286" s="4" t="n"/>
      <c r="BG1286" s="4" t="n"/>
      <c r="BH1286" s="4" t="n"/>
      <c r="BI1286" s="4" t="n"/>
      <c r="BJ1286" s="4" t="n"/>
      <c r="BK1286" s="4" t="n"/>
      <c r="BL1286" s="4" t="n"/>
      <c r="BM1286" s="4" t="n"/>
      <c r="BN1286" s="4" t="n"/>
      <c r="BO1286" s="4" t="n"/>
      <c r="BP1286" s="4" t="n"/>
      <c r="BQ1286" s="4" t="n"/>
      <c r="BR1286" s="4" t="n"/>
      <c r="BS1286" s="4" t="n"/>
      <c r="BT1286" s="4" t="n"/>
      <c r="BU1286" s="4" t="n"/>
      <c r="BV1286" s="4" t="n"/>
      <c r="BW1286" s="4" t="n"/>
      <c r="BX1286" s="4" t="n"/>
      <c r="BY1286" s="4" t="n"/>
      <c r="BZ1286" s="4" t="n"/>
      <c r="CA1286" s="4" t="n"/>
      <c r="CB1286" s="4" t="n"/>
      <c r="CC1286" s="4" t="n"/>
      <c r="CD1286" s="4" t="n"/>
      <c r="CE1286" s="4" t="n"/>
      <c r="CF1286" s="4" t="n"/>
      <c r="CG1286" s="4" t="n"/>
      <c r="CH1286" s="4" t="n"/>
      <c r="CI1286" s="4" t="n"/>
      <c r="CJ1286" s="4" t="n"/>
      <c r="CK1286" s="4" t="n"/>
      <c r="CL1286" s="4" t="n"/>
      <c r="CM1286" s="4" t="n"/>
      <c r="CN1286" s="4" t="n"/>
      <c r="CO1286" s="4" t="n"/>
      <c r="CP1286" s="4" t="n"/>
      <c r="CQ1286" s="4" t="n"/>
      <c r="CR1286" s="4" t="n"/>
      <c r="CS1286" s="4" t="n"/>
      <c r="CT1286" s="4" t="n"/>
      <c r="CU1286" s="4" t="n"/>
      <c r="CV1286" s="4" t="n"/>
      <c r="CW1286" s="4" t="n"/>
      <c r="CX1286" s="4" t="n"/>
      <c r="CY1286" s="4" t="n"/>
      <c r="CZ1286" s="4" t="n"/>
      <c r="DA1286" s="4" t="n"/>
      <c r="DB1286" s="4" t="n"/>
      <c r="DC1286" s="4" t="n"/>
      <c r="DD1286" s="4" t="n"/>
      <c r="DE1286" s="4" t="n"/>
      <c r="DF1286" s="4" t="n"/>
      <c r="DG1286" s="4" t="n"/>
      <c r="DH1286" s="4" t="n"/>
      <c r="DI1286" s="4" t="n"/>
      <c r="DJ1286" s="4" t="n"/>
      <c r="DK1286" s="4" t="n"/>
      <c r="DL1286" s="4" t="n"/>
      <c r="DM1286" s="4" t="n"/>
      <c r="DN1286" s="4" t="n"/>
      <c r="DO1286" s="4" t="n"/>
      <c r="DP1286" s="4" t="n"/>
      <c r="DQ1286" s="4" t="n"/>
      <c r="DR1286" s="4" t="n"/>
      <c r="DS1286" s="4" t="n"/>
      <c r="DT1286" s="4" t="n"/>
      <c r="DU1286" s="4" t="n"/>
      <c r="DV1286" s="4" t="n"/>
      <c r="DW1286" s="4" t="n"/>
      <c r="DX1286" s="4" t="n"/>
      <c r="DY1286" s="4" t="n"/>
      <c r="DZ1286" s="4" t="n"/>
      <c r="EA1286" s="4" t="n"/>
      <c r="EB1286" s="4" t="n"/>
      <c r="EC1286" s="4" t="n"/>
      <c r="ED1286" s="4" t="n"/>
      <c r="EE1286" s="4" t="n"/>
      <c r="EF1286" s="4" t="n"/>
      <c r="EG1286" s="4" t="n"/>
      <c r="EH1286" s="4" t="n"/>
      <c r="EI1286" s="4" t="n"/>
      <c r="EJ1286" s="4" t="n"/>
      <c r="EK1286" s="4" t="n"/>
      <c r="EL1286" s="4" t="n"/>
      <c r="EM1286" s="4" t="n"/>
    </row>
    <row r="1287" hidden="1" customFormat="1" s="6">
      <c r="C1287" s="4" t="n"/>
      <c r="D1287" s="4" t="n"/>
      <c r="E1287" s="4" t="n"/>
      <c r="F1287" s="4" t="n"/>
      <c r="G1287" s="4" t="n"/>
      <c r="H1287" s="4" t="n"/>
      <c r="I1287" s="4" t="n"/>
      <c r="J1287" s="4" t="n"/>
      <c r="K1287" s="4" t="n"/>
      <c r="L1287" s="4" t="n"/>
      <c r="M1287" s="4" t="n"/>
      <c r="N1287" s="4" t="n"/>
      <c r="O1287" s="4" t="n"/>
      <c r="P1287" s="4" t="n"/>
      <c r="Q1287" s="4" t="n"/>
      <c r="R1287" s="4" t="n"/>
      <c r="S1287" s="4" t="n"/>
      <c r="T1287" s="4" t="n"/>
      <c r="U1287" s="4" t="n"/>
      <c r="V1287" s="4" t="n"/>
      <c r="W1287" s="4" t="n"/>
      <c r="X1287" s="4" t="n"/>
      <c r="Y1287" s="4" t="n"/>
      <c r="Z1287" s="4" t="n"/>
      <c r="AA1287" s="4" t="n"/>
      <c r="AB1287" s="4" t="n"/>
      <c r="AC1287" s="4" t="n"/>
      <c r="AD1287" s="4" t="n"/>
      <c r="AE1287" s="4" t="n"/>
      <c r="AF1287" s="4" t="n"/>
      <c r="AG1287" s="4" t="n"/>
      <c r="AH1287" s="4" t="n"/>
      <c r="AI1287" s="4" t="n"/>
      <c r="AJ1287" s="4" t="n"/>
      <c r="AK1287" s="4" t="n"/>
      <c r="AL1287" s="4" t="n"/>
      <c r="AM1287" s="4" t="n"/>
      <c r="AN1287" s="4" t="n"/>
      <c r="AO1287" s="4" t="n"/>
      <c r="AP1287" s="4" t="n"/>
      <c r="AQ1287" s="4" t="n"/>
      <c r="AR1287" s="4" t="n"/>
      <c r="AS1287" s="4" t="n"/>
      <c r="AT1287" s="4" t="n"/>
      <c r="AU1287" s="4" t="n"/>
      <c r="AV1287" s="4" t="n"/>
      <c r="AW1287" s="4" t="n"/>
      <c r="AX1287" s="4" t="n"/>
      <c r="AY1287" s="4" t="n"/>
      <c r="AZ1287" s="4" t="n"/>
      <c r="BA1287" s="4" t="n"/>
      <c r="BB1287" s="4" t="n"/>
      <c r="BC1287" s="4" t="n"/>
      <c r="BD1287" s="4" t="n"/>
      <c r="BE1287" s="4" t="n"/>
      <c r="BF1287" s="4" t="n"/>
      <c r="BG1287" s="4" t="n"/>
      <c r="BH1287" s="4" t="n"/>
      <c r="BI1287" s="4" t="n"/>
      <c r="BJ1287" s="4" t="n"/>
      <c r="BK1287" s="4" t="n"/>
      <c r="BL1287" s="4" t="n"/>
      <c r="BM1287" s="4" t="n"/>
      <c r="BN1287" s="4" t="n"/>
      <c r="BO1287" s="4" t="n"/>
      <c r="BP1287" s="4" t="n"/>
      <c r="BQ1287" s="4" t="n"/>
      <c r="BR1287" s="4" t="n"/>
      <c r="BS1287" s="4" t="n"/>
      <c r="BT1287" s="4" t="n"/>
      <c r="BU1287" s="4" t="n"/>
      <c r="BV1287" s="4" t="n"/>
      <c r="BW1287" s="4" t="n"/>
      <c r="BX1287" s="4" t="n"/>
      <c r="BY1287" s="4" t="n"/>
      <c r="BZ1287" s="4" t="n"/>
      <c r="CA1287" s="4" t="n"/>
      <c r="CB1287" s="4" t="n"/>
      <c r="CC1287" s="4" t="n"/>
      <c r="CD1287" s="4" t="n"/>
      <c r="CE1287" s="4" t="n"/>
      <c r="CF1287" s="4" t="n"/>
      <c r="CG1287" s="4" t="n"/>
      <c r="CH1287" s="4" t="n"/>
      <c r="CI1287" s="4" t="n"/>
      <c r="CJ1287" s="4" t="n"/>
      <c r="CK1287" s="4" t="n"/>
      <c r="CL1287" s="4" t="n"/>
      <c r="CM1287" s="4" t="n"/>
      <c r="CN1287" s="4" t="n"/>
      <c r="CO1287" s="4" t="n"/>
      <c r="CP1287" s="4" t="n"/>
      <c r="CQ1287" s="4" t="n"/>
      <c r="CR1287" s="4" t="n"/>
      <c r="CS1287" s="4" t="n"/>
      <c r="CT1287" s="4" t="n"/>
      <c r="CU1287" s="4" t="n"/>
      <c r="CV1287" s="4" t="n"/>
      <c r="CW1287" s="4" t="n"/>
      <c r="CX1287" s="4" t="n"/>
      <c r="CY1287" s="4" t="n"/>
      <c r="CZ1287" s="4" t="n"/>
      <c r="DA1287" s="4" t="n"/>
      <c r="DB1287" s="4" t="n"/>
      <c r="DC1287" s="4" t="n"/>
      <c r="DD1287" s="4" t="n"/>
      <c r="DE1287" s="4" t="n"/>
      <c r="DF1287" s="4" t="n"/>
      <c r="DG1287" s="4" t="n"/>
      <c r="DH1287" s="4" t="n"/>
      <c r="DI1287" s="4" t="n"/>
      <c r="DJ1287" s="4" t="n"/>
      <c r="DK1287" s="4" t="n"/>
      <c r="DL1287" s="4" t="n"/>
      <c r="DM1287" s="4" t="n"/>
      <c r="DN1287" s="4" t="n"/>
      <c r="DO1287" s="4" t="n"/>
      <c r="DP1287" s="4" t="n"/>
      <c r="DQ1287" s="4" t="n"/>
      <c r="DR1287" s="4" t="n"/>
      <c r="DS1287" s="4" t="n"/>
      <c r="DT1287" s="4" t="n"/>
      <c r="DU1287" s="4" t="n"/>
      <c r="DV1287" s="4" t="n"/>
      <c r="DW1287" s="4" t="n"/>
      <c r="DX1287" s="4" t="n"/>
      <c r="DY1287" s="4" t="n"/>
      <c r="DZ1287" s="4" t="n"/>
      <c r="EA1287" s="4" t="n"/>
      <c r="EB1287" s="4" t="n"/>
      <c r="EC1287" s="4" t="n"/>
      <c r="ED1287" s="4" t="n"/>
      <c r="EE1287" s="4" t="n"/>
      <c r="EF1287" s="4" t="n"/>
      <c r="EG1287" s="4" t="n"/>
      <c r="EH1287" s="4" t="n"/>
      <c r="EI1287" s="4" t="n"/>
      <c r="EJ1287" s="4" t="n"/>
      <c r="EK1287" s="4" t="n"/>
      <c r="EL1287" s="4" t="n"/>
      <c r="EM1287" s="4" t="n"/>
    </row>
    <row r="1288" hidden="1" customFormat="1" s="6">
      <c r="C1288" s="4" t="n"/>
      <c r="D1288" s="4" t="n"/>
      <c r="E1288" s="4" t="n"/>
      <c r="F1288" s="4" t="n"/>
      <c r="G1288" s="4" t="n"/>
      <c r="H1288" s="4" t="n"/>
      <c r="I1288" s="4" t="n"/>
      <c r="J1288" s="4" t="n"/>
      <c r="K1288" s="4" t="n"/>
      <c r="L1288" s="4" t="n"/>
      <c r="M1288" s="4" t="n"/>
      <c r="N1288" s="4" t="n"/>
      <c r="O1288" s="4" t="n"/>
      <c r="P1288" s="4" t="n"/>
      <c r="Q1288" s="4" t="n"/>
      <c r="R1288" s="4" t="n"/>
      <c r="S1288" s="4" t="n"/>
      <c r="T1288" s="4" t="n"/>
      <c r="U1288" s="4" t="n"/>
      <c r="V1288" s="4" t="n"/>
      <c r="W1288" s="4" t="n"/>
      <c r="X1288" s="4" t="n"/>
      <c r="Y1288" s="4" t="n"/>
      <c r="Z1288" s="4" t="n"/>
      <c r="AA1288" s="4" t="n"/>
      <c r="AB1288" s="4" t="n"/>
      <c r="AC1288" s="4" t="n"/>
      <c r="AD1288" s="4" t="n"/>
      <c r="AE1288" s="4" t="n"/>
      <c r="AF1288" s="4" t="n"/>
      <c r="AG1288" s="4" t="n"/>
      <c r="AH1288" s="4" t="n"/>
      <c r="AI1288" s="4" t="n"/>
      <c r="AJ1288" s="4" t="n"/>
      <c r="AK1288" s="4" t="n"/>
      <c r="AL1288" s="4" t="n"/>
      <c r="AM1288" s="4" t="n"/>
      <c r="AN1288" s="4" t="n"/>
      <c r="AO1288" s="4" t="n"/>
      <c r="AP1288" s="4" t="n"/>
      <c r="AQ1288" s="4" t="n"/>
      <c r="AR1288" s="4" t="n"/>
      <c r="AS1288" s="4" t="n"/>
      <c r="AT1288" s="4" t="n"/>
      <c r="AU1288" s="4" t="n"/>
      <c r="AV1288" s="4" t="n"/>
      <c r="AW1288" s="4" t="n"/>
      <c r="AX1288" s="4" t="n"/>
      <c r="AY1288" s="4" t="n"/>
      <c r="AZ1288" s="4" t="n"/>
      <c r="BA1288" s="4" t="n"/>
      <c r="BB1288" s="4" t="n"/>
      <c r="BC1288" s="4" t="n"/>
      <c r="BD1288" s="4" t="n"/>
      <c r="BE1288" s="4" t="n"/>
      <c r="BF1288" s="4" t="n"/>
      <c r="BG1288" s="4" t="n"/>
      <c r="BH1288" s="4" t="n"/>
      <c r="BI1288" s="4" t="n"/>
      <c r="BJ1288" s="4" t="n"/>
      <c r="BK1288" s="4" t="n"/>
      <c r="BL1288" s="4" t="n"/>
      <c r="BM1288" s="4" t="n"/>
      <c r="BN1288" s="4" t="n"/>
      <c r="BO1288" s="4" t="n"/>
      <c r="BP1288" s="4" t="n"/>
      <c r="BQ1288" s="4" t="n"/>
      <c r="BR1288" s="4" t="n"/>
      <c r="BS1288" s="4" t="n"/>
      <c r="BT1288" s="4" t="n"/>
      <c r="BU1288" s="4" t="n"/>
      <c r="BV1288" s="4" t="n"/>
      <c r="BW1288" s="4" t="n"/>
      <c r="BX1288" s="4" t="n"/>
      <c r="BY1288" s="4" t="n"/>
      <c r="BZ1288" s="4" t="n"/>
      <c r="CA1288" s="4" t="n"/>
      <c r="CB1288" s="4" t="n"/>
      <c r="CC1288" s="4" t="n"/>
      <c r="CD1288" s="4" t="n"/>
      <c r="CE1288" s="4" t="n"/>
      <c r="CF1288" s="4" t="n"/>
      <c r="CG1288" s="4" t="n"/>
      <c r="CH1288" s="4" t="n"/>
      <c r="CI1288" s="4" t="n"/>
      <c r="CJ1288" s="4" t="n"/>
      <c r="CK1288" s="4" t="n"/>
      <c r="CL1288" s="4" t="n"/>
      <c r="CM1288" s="4" t="n"/>
      <c r="CN1288" s="4" t="n"/>
      <c r="CO1288" s="4" t="n"/>
      <c r="CP1288" s="4" t="n"/>
      <c r="CQ1288" s="4" t="n"/>
      <c r="CR1288" s="4" t="n"/>
      <c r="CS1288" s="4" t="n"/>
      <c r="CT1288" s="4" t="n"/>
      <c r="CU1288" s="4" t="n"/>
      <c r="CV1288" s="4" t="n"/>
      <c r="CW1288" s="4" t="n"/>
      <c r="CX1288" s="4" t="n"/>
      <c r="CY1288" s="4" t="n"/>
      <c r="CZ1288" s="4" t="n"/>
      <c r="DA1288" s="4" t="n"/>
      <c r="DB1288" s="4" t="n"/>
      <c r="DC1288" s="4" t="n"/>
      <c r="DD1288" s="4" t="n"/>
      <c r="DE1288" s="4" t="n"/>
      <c r="DF1288" s="4" t="n"/>
      <c r="DG1288" s="4" t="n"/>
      <c r="DH1288" s="4" t="n"/>
      <c r="DI1288" s="4" t="n"/>
      <c r="DJ1288" s="4" t="n"/>
      <c r="DK1288" s="4" t="n"/>
      <c r="DL1288" s="4" t="n"/>
      <c r="DM1288" s="4" t="n"/>
      <c r="DN1288" s="4" t="n"/>
      <c r="DO1288" s="4" t="n"/>
      <c r="DP1288" s="4" t="n"/>
      <c r="DQ1288" s="4" t="n"/>
      <c r="DR1288" s="4" t="n"/>
      <c r="DS1288" s="4" t="n"/>
      <c r="DT1288" s="4" t="n"/>
      <c r="DU1288" s="4" t="n"/>
      <c r="DV1288" s="4" t="n"/>
      <c r="DW1288" s="4" t="n"/>
      <c r="DX1288" s="4" t="n"/>
      <c r="DY1288" s="4" t="n"/>
      <c r="DZ1288" s="4" t="n"/>
      <c r="EA1288" s="4" t="n"/>
      <c r="EB1288" s="4" t="n"/>
      <c r="EC1288" s="4" t="n"/>
      <c r="ED1288" s="4" t="n"/>
      <c r="EE1288" s="4" t="n"/>
      <c r="EF1288" s="4" t="n"/>
      <c r="EG1288" s="4" t="n"/>
      <c r="EH1288" s="4" t="n"/>
      <c r="EI1288" s="4" t="n"/>
      <c r="EJ1288" s="4" t="n"/>
      <c r="EK1288" s="4" t="n"/>
      <c r="EL1288" s="4" t="n"/>
      <c r="EM1288" s="4" t="n"/>
    </row>
    <row r="1289" hidden="1" customFormat="1" s="6">
      <c r="C1289" s="4" t="n"/>
      <c r="D1289" s="4" t="n"/>
      <c r="E1289" s="4" t="n"/>
      <c r="F1289" s="4" t="n"/>
      <c r="G1289" s="4" t="n"/>
      <c r="H1289" s="4" t="n"/>
      <c r="I1289" s="4" t="n"/>
      <c r="J1289" s="4" t="n"/>
      <c r="K1289" s="4" t="n"/>
      <c r="L1289" s="4" t="n"/>
      <c r="M1289" s="4" t="n"/>
      <c r="N1289" s="4" t="n"/>
      <c r="O1289" s="4" t="n"/>
      <c r="P1289" s="4" t="n"/>
      <c r="Q1289" s="4" t="n"/>
      <c r="R1289" s="4" t="n"/>
      <c r="S1289" s="4" t="n"/>
      <c r="T1289" s="4" t="n"/>
      <c r="U1289" s="4" t="n"/>
      <c r="V1289" s="4" t="n"/>
      <c r="W1289" s="4" t="n"/>
      <c r="X1289" s="4" t="n"/>
      <c r="Y1289" s="4" t="n"/>
      <c r="Z1289" s="4" t="n"/>
      <c r="AA1289" s="4" t="n"/>
      <c r="AB1289" s="4" t="n"/>
      <c r="AC1289" s="4" t="n"/>
      <c r="AD1289" s="4" t="n"/>
      <c r="AE1289" s="4" t="n"/>
      <c r="AF1289" s="4" t="n"/>
      <c r="AG1289" s="4" t="n"/>
      <c r="AH1289" s="4" t="n"/>
      <c r="AI1289" s="4" t="n"/>
      <c r="AJ1289" s="4" t="n"/>
      <c r="AK1289" s="4" t="n"/>
      <c r="AL1289" s="4" t="n"/>
      <c r="AM1289" s="4" t="n"/>
      <c r="AN1289" s="4" t="n"/>
      <c r="AO1289" s="4" t="n"/>
      <c r="AP1289" s="4" t="n"/>
      <c r="AQ1289" s="4" t="n"/>
      <c r="AR1289" s="4" t="n"/>
      <c r="AS1289" s="4" t="n"/>
      <c r="AT1289" s="4" t="n"/>
      <c r="AU1289" s="4" t="n"/>
      <c r="AV1289" s="4" t="n"/>
      <c r="AW1289" s="4" t="n"/>
      <c r="AX1289" s="4" t="n"/>
      <c r="AY1289" s="4" t="n"/>
      <c r="AZ1289" s="4" t="n"/>
      <c r="BA1289" s="4" t="n"/>
      <c r="BB1289" s="4" t="n"/>
      <c r="BC1289" s="4" t="n"/>
      <c r="BD1289" s="4" t="n"/>
      <c r="BE1289" s="4" t="n"/>
      <c r="BF1289" s="4" t="n"/>
      <c r="BG1289" s="4" t="n"/>
      <c r="BH1289" s="4" t="n"/>
      <c r="BI1289" s="4" t="n"/>
      <c r="BJ1289" s="4" t="n"/>
      <c r="BK1289" s="4" t="n"/>
      <c r="BL1289" s="4" t="n"/>
      <c r="BM1289" s="4" t="n"/>
      <c r="BN1289" s="4" t="n"/>
      <c r="BO1289" s="4" t="n"/>
      <c r="BP1289" s="4" t="n"/>
      <c r="BQ1289" s="4" t="n"/>
      <c r="BR1289" s="4" t="n"/>
      <c r="BS1289" s="4" t="n"/>
      <c r="BT1289" s="4" t="n"/>
      <c r="BU1289" s="4" t="n"/>
      <c r="BV1289" s="4" t="n"/>
      <c r="BW1289" s="4" t="n"/>
      <c r="BX1289" s="4" t="n"/>
      <c r="BY1289" s="4" t="n"/>
      <c r="BZ1289" s="4" t="n"/>
      <c r="CA1289" s="4" t="n"/>
      <c r="CB1289" s="4" t="n"/>
      <c r="CC1289" s="4" t="n"/>
      <c r="CD1289" s="4" t="n"/>
      <c r="CE1289" s="4" t="n"/>
      <c r="CF1289" s="4" t="n"/>
      <c r="CG1289" s="4" t="n"/>
      <c r="CH1289" s="4" t="n"/>
      <c r="CI1289" s="4" t="n"/>
      <c r="CJ1289" s="4" t="n"/>
      <c r="CK1289" s="4" t="n"/>
      <c r="CL1289" s="4" t="n"/>
      <c r="CM1289" s="4" t="n"/>
      <c r="CN1289" s="4" t="n"/>
      <c r="CO1289" s="4" t="n"/>
      <c r="CP1289" s="4" t="n"/>
      <c r="CQ1289" s="4" t="n"/>
      <c r="CR1289" s="4" t="n"/>
      <c r="CS1289" s="4" t="n"/>
      <c r="CT1289" s="4" t="n"/>
      <c r="CU1289" s="4" t="n"/>
      <c r="CV1289" s="4" t="n"/>
      <c r="CW1289" s="4" t="n"/>
      <c r="CX1289" s="4" t="n"/>
      <c r="CY1289" s="4" t="n"/>
      <c r="CZ1289" s="4" t="n"/>
      <c r="DA1289" s="4" t="n"/>
      <c r="DB1289" s="4" t="n"/>
      <c r="DC1289" s="4" t="n"/>
      <c r="DD1289" s="4" t="n"/>
      <c r="DE1289" s="4" t="n"/>
      <c r="DF1289" s="4" t="n"/>
      <c r="DG1289" s="4" t="n"/>
      <c r="DH1289" s="4" t="n"/>
      <c r="DI1289" s="4" t="n"/>
      <c r="DJ1289" s="4" t="n"/>
      <c r="DK1289" s="4" t="n"/>
      <c r="DL1289" s="4" t="n"/>
      <c r="DM1289" s="4" t="n"/>
      <c r="DN1289" s="4" t="n"/>
      <c r="DO1289" s="4" t="n"/>
      <c r="DP1289" s="4" t="n"/>
      <c r="DQ1289" s="4" t="n"/>
      <c r="DR1289" s="4" t="n"/>
      <c r="DS1289" s="4" t="n"/>
      <c r="DT1289" s="4" t="n"/>
      <c r="DU1289" s="4" t="n"/>
      <c r="DV1289" s="4" t="n"/>
      <c r="DW1289" s="4" t="n"/>
      <c r="DX1289" s="4" t="n"/>
      <c r="DY1289" s="4" t="n"/>
      <c r="DZ1289" s="4" t="n"/>
      <c r="EA1289" s="4" t="n"/>
      <c r="EB1289" s="4" t="n"/>
      <c r="EC1289" s="4" t="n"/>
      <c r="ED1289" s="4" t="n"/>
      <c r="EE1289" s="4" t="n"/>
      <c r="EF1289" s="4" t="n"/>
      <c r="EG1289" s="4" t="n"/>
      <c r="EH1289" s="4" t="n"/>
      <c r="EI1289" s="4" t="n"/>
      <c r="EJ1289" s="4" t="n"/>
      <c r="EK1289" s="4" t="n"/>
      <c r="EL1289" s="4" t="n"/>
      <c r="EM1289" s="4" t="n"/>
    </row>
    <row r="1290" hidden="1" customFormat="1" s="6">
      <c r="C1290" s="4" t="n"/>
      <c r="D1290" s="4" t="n"/>
      <c r="E1290" s="4" t="n"/>
      <c r="F1290" s="4" t="n"/>
      <c r="G1290" s="4" t="n"/>
      <c r="H1290" s="4" t="n"/>
      <c r="I1290" s="4" t="n"/>
      <c r="J1290" s="4" t="n"/>
      <c r="K1290" s="4" t="n"/>
      <c r="L1290" s="4" t="n"/>
      <c r="M1290" s="4" t="n"/>
      <c r="N1290" s="4" t="n"/>
      <c r="O1290" s="4" t="n"/>
      <c r="P1290" s="4" t="n"/>
      <c r="Q1290" s="4" t="n"/>
      <c r="R1290" s="4" t="n"/>
      <c r="S1290" s="4" t="n"/>
      <c r="T1290" s="4" t="n"/>
      <c r="U1290" s="4" t="n"/>
      <c r="V1290" s="4" t="n"/>
      <c r="W1290" s="4" t="n"/>
      <c r="X1290" s="4" t="n"/>
      <c r="Y1290" s="4" t="n"/>
      <c r="Z1290" s="4" t="n"/>
      <c r="AA1290" s="4" t="n"/>
      <c r="AB1290" s="4" t="n"/>
      <c r="AC1290" s="4" t="n"/>
      <c r="AD1290" s="4" t="n"/>
      <c r="AE1290" s="4" t="n"/>
      <c r="AF1290" s="4" t="n"/>
      <c r="AG1290" s="4" t="n"/>
      <c r="AH1290" s="4" t="n"/>
      <c r="AI1290" s="4" t="n"/>
      <c r="AJ1290" s="4" t="n"/>
      <c r="AK1290" s="4" t="n"/>
      <c r="AL1290" s="4" t="n"/>
      <c r="AM1290" s="4" t="n"/>
      <c r="AN1290" s="4" t="n"/>
      <c r="AO1290" s="4" t="n"/>
      <c r="AP1290" s="4" t="n"/>
      <c r="AQ1290" s="4" t="n"/>
      <c r="AR1290" s="4" t="n"/>
      <c r="AS1290" s="4" t="n"/>
      <c r="AT1290" s="4" t="n"/>
      <c r="AU1290" s="4" t="n"/>
      <c r="AV1290" s="4" t="n"/>
      <c r="AW1290" s="4" t="n"/>
      <c r="AX1290" s="4" t="n"/>
      <c r="AY1290" s="4" t="n"/>
      <c r="AZ1290" s="4" t="n"/>
      <c r="BA1290" s="4" t="n"/>
      <c r="BB1290" s="4" t="n"/>
      <c r="BC1290" s="4" t="n"/>
      <c r="BD1290" s="4" t="n"/>
      <c r="BE1290" s="4" t="n"/>
      <c r="BF1290" s="4" t="n"/>
      <c r="BG1290" s="4" t="n"/>
      <c r="BH1290" s="4" t="n"/>
      <c r="BI1290" s="4" t="n"/>
      <c r="BJ1290" s="4" t="n"/>
      <c r="BK1290" s="4" t="n"/>
      <c r="BL1290" s="4" t="n"/>
      <c r="BM1290" s="4" t="n"/>
      <c r="BN1290" s="4" t="n"/>
      <c r="BO1290" s="4" t="n"/>
      <c r="BP1290" s="4" t="n"/>
      <c r="BQ1290" s="4" t="n"/>
      <c r="BR1290" s="4" t="n"/>
      <c r="BS1290" s="4" t="n"/>
      <c r="BT1290" s="4" t="n"/>
      <c r="BU1290" s="4" t="n"/>
      <c r="BV1290" s="4" t="n"/>
      <c r="BW1290" s="4" t="n"/>
      <c r="BX1290" s="4" t="n"/>
      <c r="BY1290" s="4" t="n"/>
      <c r="BZ1290" s="4" t="n"/>
      <c r="CA1290" s="4" t="n"/>
      <c r="CB1290" s="4" t="n"/>
      <c r="CC1290" s="4" t="n"/>
      <c r="CD1290" s="4" t="n"/>
      <c r="CE1290" s="4" t="n"/>
      <c r="CF1290" s="4" t="n"/>
      <c r="CG1290" s="4" t="n"/>
      <c r="CH1290" s="4" t="n"/>
      <c r="CI1290" s="4" t="n"/>
      <c r="CJ1290" s="4" t="n"/>
      <c r="CK1290" s="4" t="n"/>
      <c r="CL1290" s="4" t="n"/>
      <c r="CM1290" s="4" t="n"/>
      <c r="CN1290" s="4" t="n"/>
      <c r="CO1290" s="4" t="n"/>
      <c r="CP1290" s="4" t="n"/>
      <c r="CQ1290" s="4" t="n"/>
      <c r="CR1290" s="4" t="n"/>
      <c r="CS1290" s="4" t="n"/>
      <c r="CT1290" s="4" t="n"/>
      <c r="CU1290" s="4" t="n"/>
      <c r="CV1290" s="4" t="n"/>
      <c r="CW1290" s="4" t="n"/>
      <c r="CX1290" s="4" t="n"/>
      <c r="CY1290" s="4" t="n"/>
      <c r="CZ1290" s="4" t="n"/>
      <c r="DA1290" s="4" t="n"/>
      <c r="DB1290" s="4" t="n"/>
      <c r="DC1290" s="4" t="n"/>
      <c r="DD1290" s="4" t="n"/>
      <c r="DE1290" s="4" t="n"/>
      <c r="DF1290" s="4" t="n"/>
      <c r="DG1290" s="4" t="n"/>
      <c r="DH1290" s="4" t="n"/>
      <c r="DI1290" s="4" t="n"/>
      <c r="DJ1290" s="4" t="n"/>
      <c r="DK1290" s="4" t="n"/>
      <c r="DL1290" s="4" t="n"/>
      <c r="DM1290" s="4" t="n"/>
      <c r="DN1290" s="4" t="n"/>
      <c r="DO1290" s="4" t="n"/>
      <c r="DP1290" s="4" t="n"/>
      <c r="DQ1290" s="4" t="n"/>
      <c r="DR1290" s="4" t="n"/>
      <c r="DS1290" s="4" t="n"/>
      <c r="DT1290" s="4" t="n"/>
      <c r="DU1290" s="4" t="n"/>
      <c r="DV1290" s="4" t="n"/>
      <c r="DW1290" s="4" t="n"/>
      <c r="DX1290" s="4" t="n"/>
      <c r="DY1290" s="4" t="n"/>
      <c r="DZ1290" s="4" t="n"/>
      <c r="EA1290" s="4" t="n"/>
      <c r="EB1290" s="4" t="n"/>
      <c r="EC1290" s="4" t="n"/>
      <c r="ED1290" s="4" t="n"/>
      <c r="EE1290" s="4" t="n"/>
      <c r="EF1290" s="4" t="n"/>
      <c r="EG1290" s="4" t="n"/>
      <c r="EH1290" s="4" t="n"/>
      <c r="EI1290" s="4" t="n"/>
      <c r="EJ1290" s="4" t="n"/>
      <c r="EK1290" s="4" t="n"/>
      <c r="EL1290" s="4" t="n"/>
      <c r="EM1290" s="4" t="n"/>
    </row>
    <row r="1291" hidden="1" customFormat="1" s="6">
      <c r="C1291" s="4" t="n"/>
      <c r="D1291" s="4" t="n"/>
      <c r="E1291" s="4" t="n"/>
      <c r="F1291" s="4" t="n"/>
      <c r="G1291" s="4" t="n"/>
      <c r="H1291" s="4" t="n"/>
      <c r="I1291" s="4" t="n"/>
      <c r="J1291" s="4" t="n"/>
      <c r="K1291" s="4" t="n"/>
      <c r="L1291" s="4" t="n"/>
      <c r="M1291" s="4" t="n"/>
      <c r="N1291" s="4" t="n"/>
      <c r="O1291" s="4" t="n"/>
      <c r="P1291" s="4" t="n"/>
      <c r="Q1291" s="4" t="n"/>
      <c r="R1291" s="4" t="n"/>
      <c r="S1291" s="4" t="n"/>
      <c r="T1291" s="4" t="n"/>
      <c r="U1291" s="4" t="n"/>
      <c r="V1291" s="4" t="n"/>
      <c r="W1291" s="4" t="n"/>
      <c r="X1291" s="4" t="n"/>
      <c r="Y1291" s="4" t="n"/>
      <c r="Z1291" s="4" t="n"/>
      <c r="AA1291" s="4" t="n"/>
      <c r="AB1291" s="4" t="n"/>
      <c r="AC1291" s="4" t="n"/>
      <c r="AD1291" s="4" t="n"/>
      <c r="AE1291" s="4" t="n"/>
      <c r="AF1291" s="4" t="n"/>
      <c r="AG1291" s="4" t="n"/>
      <c r="AH1291" s="4" t="n"/>
      <c r="AI1291" s="4" t="n"/>
      <c r="AJ1291" s="4" t="n"/>
      <c r="AK1291" s="4" t="n"/>
      <c r="AL1291" s="4" t="n"/>
      <c r="AM1291" s="4" t="n"/>
      <c r="AN1291" s="4" t="n"/>
      <c r="AO1291" s="4" t="n"/>
      <c r="AP1291" s="4" t="n"/>
      <c r="AQ1291" s="4" t="n"/>
      <c r="AR1291" s="4" t="n"/>
      <c r="AS1291" s="4" t="n"/>
      <c r="AT1291" s="4" t="n"/>
      <c r="AU1291" s="4" t="n"/>
      <c r="AV1291" s="4" t="n"/>
      <c r="AW1291" s="4" t="n"/>
      <c r="AX1291" s="4" t="n"/>
      <c r="AY1291" s="4" t="n"/>
      <c r="AZ1291" s="4" t="n"/>
      <c r="BA1291" s="4" t="n"/>
      <c r="BB1291" s="4" t="n"/>
      <c r="BC1291" s="4" t="n"/>
      <c r="BD1291" s="4" t="n"/>
      <c r="BE1291" s="4" t="n"/>
      <c r="BF1291" s="4" t="n"/>
      <c r="BG1291" s="4" t="n"/>
      <c r="BH1291" s="4" t="n"/>
      <c r="BI1291" s="4" t="n"/>
      <c r="BJ1291" s="4" t="n"/>
      <c r="BK1291" s="4" t="n"/>
      <c r="BL1291" s="4" t="n"/>
      <c r="BM1291" s="4" t="n"/>
      <c r="BN1291" s="4" t="n"/>
      <c r="BO1291" s="4" t="n"/>
      <c r="BP1291" s="4" t="n"/>
      <c r="BQ1291" s="4" t="n"/>
      <c r="BR1291" s="4" t="n"/>
      <c r="BS1291" s="4" t="n"/>
      <c r="BT1291" s="4" t="n"/>
      <c r="BU1291" s="4" t="n"/>
      <c r="BV1291" s="4" t="n"/>
      <c r="BW1291" s="4" t="n"/>
      <c r="BX1291" s="4" t="n"/>
      <c r="BY1291" s="4" t="n"/>
      <c r="BZ1291" s="4" t="n"/>
      <c r="CA1291" s="4" t="n"/>
      <c r="CB1291" s="4" t="n"/>
      <c r="CC1291" s="4" t="n"/>
      <c r="CD1291" s="4" t="n"/>
      <c r="CE1291" s="4" t="n"/>
      <c r="CF1291" s="4" t="n"/>
      <c r="CG1291" s="4" t="n"/>
      <c r="CH1291" s="4" t="n"/>
      <c r="CI1291" s="4" t="n"/>
      <c r="CJ1291" s="4" t="n"/>
      <c r="CK1291" s="4" t="n"/>
      <c r="CL1291" s="4" t="n"/>
      <c r="CM1291" s="4" t="n"/>
      <c r="CN1291" s="4" t="n"/>
      <c r="CO1291" s="4" t="n"/>
      <c r="CP1291" s="4" t="n"/>
      <c r="CQ1291" s="4" t="n"/>
      <c r="CR1291" s="4" t="n"/>
      <c r="CS1291" s="4" t="n"/>
      <c r="CT1291" s="4" t="n"/>
      <c r="CU1291" s="4" t="n"/>
      <c r="CV1291" s="4" t="n"/>
      <c r="CW1291" s="4" t="n"/>
      <c r="CX1291" s="4" t="n"/>
      <c r="CY1291" s="4" t="n"/>
      <c r="CZ1291" s="4" t="n"/>
      <c r="DA1291" s="4" t="n"/>
      <c r="DB1291" s="4" t="n"/>
      <c r="DC1291" s="4" t="n"/>
      <c r="DD1291" s="4" t="n"/>
      <c r="DE1291" s="4" t="n"/>
      <c r="DF1291" s="4" t="n"/>
      <c r="DG1291" s="4" t="n"/>
      <c r="DH1291" s="4" t="n"/>
      <c r="DI1291" s="4" t="n"/>
      <c r="DJ1291" s="4" t="n"/>
      <c r="DK1291" s="4" t="n"/>
      <c r="DL1291" s="4" t="n"/>
      <c r="DM1291" s="4" t="n"/>
      <c r="DN1291" s="4" t="n"/>
      <c r="DO1291" s="4" t="n"/>
      <c r="DP1291" s="4" t="n"/>
      <c r="DQ1291" s="4" t="n"/>
      <c r="DR1291" s="4" t="n"/>
      <c r="DS1291" s="4" t="n"/>
      <c r="DT1291" s="4" t="n"/>
      <c r="DU1291" s="4" t="n"/>
      <c r="DV1291" s="4" t="n"/>
      <c r="DW1291" s="4" t="n"/>
      <c r="DX1291" s="4" t="n"/>
      <c r="DY1291" s="4" t="n"/>
      <c r="DZ1291" s="4" t="n"/>
      <c r="EA1291" s="4" t="n"/>
      <c r="EB1291" s="4" t="n"/>
      <c r="EC1291" s="4" t="n"/>
      <c r="ED1291" s="4" t="n"/>
      <c r="EE1291" s="4" t="n"/>
      <c r="EF1291" s="4" t="n"/>
      <c r="EG1291" s="4" t="n"/>
      <c r="EH1291" s="4" t="n"/>
      <c r="EI1291" s="4" t="n"/>
      <c r="EJ1291" s="4" t="n"/>
      <c r="EK1291" s="4" t="n"/>
      <c r="EL1291" s="4" t="n"/>
      <c r="EM1291" s="4" t="n"/>
    </row>
    <row r="1292" hidden="1" customFormat="1" s="6">
      <c r="C1292" s="4" t="n"/>
      <c r="D1292" s="4" t="n"/>
      <c r="E1292" s="4" t="n"/>
      <c r="F1292" s="4" t="n"/>
      <c r="G1292" s="4" t="n"/>
      <c r="H1292" s="4" t="n"/>
      <c r="I1292" s="4" t="n"/>
      <c r="J1292" s="4" t="n"/>
      <c r="K1292" s="4" t="n"/>
      <c r="L1292" s="4" t="n"/>
      <c r="M1292" s="4" t="n"/>
      <c r="N1292" s="4" t="n"/>
      <c r="O1292" s="4" t="n"/>
      <c r="P1292" s="4" t="n"/>
      <c r="Q1292" s="4" t="n"/>
      <c r="R1292" s="4" t="n"/>
      <c r="S1292" s="4" t="n"/>
      <c r="T1292" s="4" t="n"/>
      <c r="U1292" s="4" t="n"/>
      <c r="V1292" s="4" t="n"/>
      <c r="W1292" s="4" t="n"/>
      <c r="X1292" s="4" t="n"/>
      <c r="Y1292" s="4" t="n"/>
      <c r="Z1292" s="4" t="n"/>
      <c r="AA1292" s="4" t="n"/>
      <c r="AB1292" s="4" t="n"/>
      <c r="AC1292" s="4" t="n"/>
      <c r="AD1292" s="4" t="n"/>
      <c r="AE1292" s="4" t="n"/>
      <c r="AF1292" s="4" t="n"/>
      <c r="AG1292" s="4" t="n"/>
      <c r="AH1292" s="4" t="n"/>
      <c r="AI1292" s="4" t="n"/>
      <c r="AJ1292" s="4" t="n"/>
      <c r="AK1292" s="4" t="n"/>
      <c r="AL1292" s="4" t="n"/>
      <c r="AM1292" s="4" t="n"/>
      <c r="AN1292" s="4" t="n"/>
      <c r="AO1292" s="4" t="n"/>
      <c r="AP1292" s="4" t="n"/>
      <c r="AQ1292" s="4" t="n"/>
      <c r="AR1292" s="4" t="n"/>
      <c r="AS1292" s="4" t="n"/>
      <c r="AT1292" s="4" t="n"/>
      <c r="AU1292" s="4" t="n"/>
      <c r="AV1292" s="4" t="n"/>
      <c r="AW1292" s="4" t="n"/>
      <c r="AX1292" s="4" t="n"/>
      <c r="AY1292" s="4" t="n"/>
      <c r="AZ1292" s="4" t="n"/>
      <c r="BA1292" s="4" t="n"/>
      <c r="BB1292" s="4" t="n"/>
      <c r="BC1292" s="4" t="n"/>
      <c r="BD1292" s="4" t="n"/>
      <c r="BE1292" s="4" t="n"/>
      <c r="BF1292" s="4" t="n"/>
      <c r="BG1292" s="4" t="n"/>
      <c r="BH1292" s="4" t="n"/>
      <c r="BI1292" s="4" t="n"/>
      <c r="BJ1292" s="4" t="n"/>
      <c r="BK1292" s="4" t="n"/>
      <c r="BL1292" s="4" t="n"/>
      <c r="BM1292" s="4" t="n"/>
      <c r="BN1292" s="4" t="n"/>
      <c r="BO1292" s="4" t="n"/>
      <c r="BP1292" s="4" t="n"/>
      <c r="BQ1292" s="4" t="n"/>
      <c r="BR1292" s="4" t="n"/>
      <c r="BS1292" s="4" t="n"/>
      <c r="BT1292" s="4" t="n"/>
      <c r="BU1292" s="4" t="n"/>
      <c r="BV1292" s="4" t="n"/>
      <c r="BW1292" s="4" t="n"/>
      <c r="BX1292" s="4" t="n"/>
      <c r="BY1292" s="4" t="n"/>
      <c r="BZ1292" s="4" t="n"/>
      <c r="CA1292" s="4" t="n"/>
      <c r="CB1292" s="4" t="n"/>
      <c r="CC1292" s="4" t="n"/>
      <c r="CD1292" s="4" t="n"/>
      <c r="CE1292" s="4" t="n"/>
      <c r="CF1292" s="4" t="n"/>
      <c r="CG1292" s="4" t="n"/>
      <c r="CH1292" s="4" t="n"/>
      <c r="CI1292" s="4" t="n"/>
      <c r="CJ1292" s="4" t="n"/>
      <c r="CK1292" s="4" t="n"/>
      <c r="CL1292" s="4" t="n"/>
      <c r="CM1292" s="4" t="n"/>
      <c r="CN1292" s="4" t="n"/>
      <c r="CO1292" s="4" t="n"/>
      <c r="CP1292" s="4" t="n"/>
      <c r="CQ1292" s="4" t="n"/>
      <c r="CR1292" s="4" t="n"/>
      <c r="CS1292" s="4" t="n"/>
      <c r="CT1292" s="4" t="n"/>
      <c r="CU1292" s="4" t="n"/>
      <c r="CV1292" s="4" t="n"/>
      <c r="CW1292" s="4" t="n"/>
      <c r="CX1292" s="4" t="n"/>
      <c r="CY1292" s="4" t="n"/>
      <c r="CZ1292" s="4" t="n"/>
      <c r="DA1292" s="4" t="n"/>
      <c r="DB1292" s="4" t="n"/>
      <c r="DC1292" s="4" t="n"/>
      <c r="DD1292" s="4" t="n"/>
      <c r="DE1292" s="4" t="n"/>
      <c r="DF1292" s="4" t="n"/>
      <c r="DG1292" s="4" t="n"/>
      <c r="DH1292" s="4" t="n"/>
      <c r="DI1292" s="4" t="n"/>
      <c r="DJ1292" s="4" t="n"/>
      <c r="DK1292" s="4" t="n"/>
      <c r="DL1292" s="4" t="n"/>
      <c r="DM1292" s="4" t="n"/>
      <c r="DN1292" s="4" t="n"/>
      <c r="DO1292" s="4" t="n"/>
      <c r="DP1292" s="4" t="n"/>
      <c r="DQ1292" s="4" t="n"/>
      <c r="DR1292" s="4" t="n"/>
      <c r="DS1292" s="4" t="n"/>
      <c r="DT1292" s="4" t="n"/>
      <c r="DU1292" s="4" t="n"/>
      <c r="DV1292" s="4" t="n"/>
      <c r="DW1292" s="4" t="n"/>
      <c r="DX1292" s="4" t="n"/>
      <c r="DY1292" s="4" t="n"/>
      <c r="DZ1292" s="4" t="n"/>
      <c r="EA1292" s="4" t="n"/>
      <c r="EB1292" s="4" t="n"/>
      <c r="EC1292" s="4" t="n"/>
      <c r="ED1292" s="4" t="n"/>
      <c r="EE1292" s="4" t="n"/>
      <c r="EF1292" s="4" t="n"/>
      <c r="EG1292" s="4" t="n"/>
      <c r="EH1292" s="4" t="n"/>
      <c r="EI1292" s="4" t="n"/>
      <c r="EJ1292" s="4" t="n"/>
      <c r="EK1292" s="4" t="n"/>
      <c r="EL1292" s="4" t="n"/>
      <c r="EM1292" s="4" t="n"/>
    </row>
    <row r="1293" hidden="1" customFormat="1" s="6">
      <c r="C1293" s="4" t="n"/>
      <c r="D1293" s="4" t="n"/>
      <c r="E1293" s="4" t="n"/>
      <c r="F1293" s="4" t="n"/>
      <c r="G1293" s="4" t="n"/>
      <c r="H1293" s="4" t="n"/>
      <c r="I1293" s="4" t="n"/>
      <c r="J1293" s="4" t="n"/>
      <c r="K1293" s="4" t="n"/>
      <c r="L1293" s="4" t="n"/>
      <c r="M1293" s="4" t="n"/>
      <c r="N1293" s="4" t="n"/>
      <c r="O1293" s="4" t="n"/>
      <c r="P1293" s="4" t="n"/>
      <c r="Q1293" s="4" t="n"/>
      <c r="R1293" s="4" t="n"/>
      <c r="S1293" s="4" t="n"/>
      <c r="T1293" s="4" t="n"/>
      <c r="U1293" s="4" t="n"/>
      <c r="V1293" s="4" t="n"/>
      <c r="W1293" s="4" t="n"/>
      <c r="X1293" s="4" t="n"/>
      <c r="Y1293" s="4" t="n"/>
      <c r="Z1293" s="4" t="n"/>
      <c r="AA1293" s="4" t="n"/>
      <c r="AB1293" s="4" t="n"/>
      <c r="AC1293" s="4" t="n"/>
      <c r="AD1293" s="4" t="n"/>
      <c r="AE1293" s="4" t="n"/>
      <c r="AF1293" s="4" t="n"/>
      <c r="AG1293" s="4" t="n"/>
      <c r="AH1293" s="4" t="n"/>
      <c r="AI1293" s="4" t="n"/>
      <c r="AJ1293" s="4" t="n"/>
      <c r="AK1293" s="4" t="n"/>
      <c r="AL1293" s="4" t="n"/>
      <c r="AM1293" s="4" t="n"/>
      <c r="AN1293" s="4" t="n"/>
      <c r="AO1293" s="4" t="n"/>
      <c r="AP1293" s="4" t="n"/>
      <c r="AQ1293" s="4" t="n"/>
      <c r="AR1293" s="4" t="n"/>
      <c r="AS1293" s="4" t="n"/>
      <c r="AT1293" s="4" t="n"/>
      <c r="AU1293" s="4" t="n"/>
      <c r="AV1293" s="4" t="n"/>
      <c r="AW1293" s="4" t="n"/>
      <c r="AX1293" s="4" t="n"/>
      <c r="AY1293" s="4" t="n"/>
      <c r="AZ1293" s="4" t="n"/>
      <c r="BA1293" s="4" t="n"/>
      <c r="BB1293" s="4" t="n"/>
      <c r="BC1293" s="4" t="n"/>
      <c r="BD1293" s="4" t="n"/>
      <c r="BE1293" s="4" t="n"/>
      <c r="BF1293" s="4" t="n"/>
      <c r="BG1293" s="4" t="n"/>
      <c r="BH1293" s="4" t="n"/>
      <c r="BI1293" s="4" t="n"/>
      <c r="BJ1293" s="4" t="n"/>
      <c r="BK1293" s="4" t="n"/>
      <c r="BL1293" s="4" t="n"/>
      <c r="BM1293" s="4" t="n"/>
      <c r="BN1293" s="4" t="n"/>
      <c r="BO1293" s="4" t="n"/>
      <c r="BP1293" s="4" t="n"/>
      <c r="BQ1293" s="4" t="n"/>
      <c r="BR1293" s="4" t="n"/>
      <c r="BS1293" s="4" t="n"/>
      <c r="BT1293" s="4" t="n"/>
      <c r="BU1293" s="4" t="n"/>
      <c r="BV1293" s="4" t="n"/>
      <c r="BW1293" s="4" t="n"/>
      <c r="BX1293" s="4" t="n"/>
      <c r="BY1293" s="4" t="n"/>
      <c r="BZ1293" s="4" t="n"/>
      <c r="CA1293" s="4" t="n"/>
      <c r="CB1293" s="4" t="n"/>
      <c r="CC1293" s="4" t="n"/>
      <c r="CD1293" s="4" t="n"/>
      <c r="CE1293" s="4" t="n"/>
      <c r="CF1293" s="4" t="n"/>
      <c r="CG1293" s="4" t="n"/>
      <c r="CH1293" s="4" t="n"/>
      <c r="CI1293" s="4" t="n"/>
      <c r="CJ1293" s="4" t="n"/>
      <c r="CK1293" s="4" t="n"/>
      <c r="CL1293" s="4" t="n"/>
      <c r="CM1293" s="4" t="n"/>
      <c r="CN1293" s="4" t="n"/>
      <c r="CO1293" s="4" t="n"/>
      <c r="CP1293" s="4" t="n"/>
      <c r="CQ1293" s="4" t="n"/>
      <c r="CR1293" s="4" t="n"/>
      <c r="CS1293" s="4" t="n"/>
      <c r="CT1293" s="4" t="n"/>
      <c r="CU1293" s="4" t="n"/>
      <c r="CV1293" s="4" t="n"/>
      <c r="CW1293" s="4" t="n"/>
      <c r="CX1293" s="4" t="n"/>
      <c r="CY1293" s="4" t="n"/>
      <c r="CZ1293" s="4" t="n"/>
      <c r="DA1293" s="4" t="n"/>
      <c r="DB1293" s="4" t="n"/>
      <c r="DC1293" s="4" t="n"/>
      <c r="DD1293" s="4" t="n"/>
      <c r="DE1293" s="4" t="n"/>
      <c r="DF1293" s="4" t="n"/>
      <c r="DG1293" s="4" t="n"/>
      <c r="DH1293" s="4" t="n"/>
      <c r="DI1293" s="4" t="n"/>
      <c r="DJ1293" s="4" t="n"/>
      <c r="DK1293" s="4" t="n"/>
      <c r="DL1293" s="4" t="n"/>
      <c r="DM1293" s="4" t="n"/>
      <c r="DN1293" s="4" t="n"/>
      <c r="DO1293" s="4" t="n"/>
      <c r="DP1293" s="4" t="n"/>
      <c r="DQ1293" s="4" t="n"/>
      <c r="DR1293" s="4" t="n"/>
      <c r="DS1293" s="4" t="n"/>
      <c r="DT1293" s="4" t="n"/>
      <c r="DU1293" s="4" t="n"/>
      <c r="DV1293" s="4" t="n"/>
      <c r="DW1293" s="4" t="n"/>
      <c r="DX1293" s="4" t="n"/>
      <c r="DY1293" s="4" t="n"/>
      <c r="DZ1293" s="4" t="n"/>
      <c r="EA1293" s="4" t="n"/>
      <c r="EB1293" s="4" t="n"/>
      <c r="EC1293" s="4" t="n"/>
      <c r="ED1293" s="4" t="n"/>
      <c r="EE1293" s="4" t="n"/>
      <c r="EF1293" s="4" t="n"/>
      <c r="EG1293" s="4" t="n"/>
      <c r="EH1293" s="4" t="n"/>
      <c r="EI1293" s="4" t="n"/>
      <c r="EJ1293" s="4" t="n"/>
      <c r="EK1293" s="4" t="n"/>
      <c r="EL1293" s="4" t="n"/>
      <c r="EM1293" s="4" t="n"/>
    </row>
    <row r="1294" hidden="1" customFormat="1" s="6">
      <c r="C1294" s="4" t="n"/>
      <c r="D1294" s="4" t="n"/>
      <c r="E1294" s="4" t="n"/>
      <c r="F1294" s="4" t="n"/>
      <c r="G1294" s="4" t="n"/>
      <c r="H1294" s="4" t="n"/>
      <c r="I1294" s="4" t="n"/>
      <c r="J1294" s="4" t="n"/>
      <c r="K1294" s="4" t="n"/>
      <c r="L1294" s="4" t="n"/>
      <c r="M1294" s="4" t="n"/>
      <c r="N1294" s="4" t="n"/>
      <c r="O1294" s="4" t="n"/>
      <c r="P1294" s="4" t="n"/>
      <c r="Q1294" s="4" t="n"/>
      <c r="R1294" s="4" t="n"/>
      <c r="S1294" s="4" t="n"/>
      <c r="T1294" s="4" t="n"/>
      <c r="U1294" s="4" t="n"/>
      <c r="V1294" s="4" t="n"/>
      <c r="W1294" s="4" t="n"/>
      <c r="X1294" s="4" t="n"/>
      <c r="Y1294" s="4" t="n"/>
      <c r="Z1294" s="4" t="n"/>
      <c r="AA1294" s="4" t="n"/>
      <c r="AB1294" s="4" t="n"/>
      <c r="AC1294" s="4" t="n"/>
      <c r="AD1294" s="4" t="n"/>
      <c r="AE1294" s="4" t="n"/>
      <c r="AF1294" s="4" t="n"/>
      <c r="AG1294" s="4" t="n"/>
      <c r="AH1294" s="4" t="n"/>
      <c r="AI1294" s="4" t="n"/>
      <c r="AJ1294" s="4" t="n"/>
      <c r="AK1294" s="4" t="n"/>
      <c r="AL1294" s="4" t="n"/>
      <c r="AM1294" s="4" t="n"/>
      <c r="AN1294" s="4" t="n"/>
      <c r="AO1294" s="4" t="n"/>
      <c r="AP1294" s="4" t="n"/>
      <c r="AQ1294" s="4" t="n"/>
      <c r="AR1294" s="4" t="n"/>
      <c r="AS1294" s="4" t="n"/>
      <c r="AT1294" s="4" t="n"/>
      <c r="AU1294" s="4" t="n"/>
      <c r="AV1294" s="4" t="n"/>
      <c r="AW1294" s="4" t="n"/>
      <c r="AX1294" s="4" t="n"/>
      <c r="AY1294" s="4" t="n"/>
      <c r="AZ1294" s="4" t="n"/>
      <c r="BA1294" s="4" t="n"/>
      <c r="BB1294" s="4" t="n"/>
      <c r="BC1294" s="4" t="n"/>
      <c r="BD1294" s="4" t="n"/>
      <c r="BE1294" s="4" t="n"/>
      <c r="BF1294" s="4" t="n"/>
      <c r="BG1294" s="4" t="n"/>
      <c r="BH1294" s="4" t="n"/>
      <c r="BI1294" s="4" t="n"/>
      <c r="BJ1294" s="4" t="n"/>
      <c r="BK1294" s="4" t="n"/>
      <c r="BL1294" s="4" t="n"/>
      <c r="BM1294" s="4" t="n"/>
      <c r="BN1294" s="4" t="n"/>
      <c r="BO1294" s="4" t="n"/>
      <c r="BP1294" s="4" t="n"/>
      <c r="BQ1294" s="4" t="n"/>
      <c r="BR1294" s="4" t="n"/>
      <c r="BS1294" s="4" t="n"/>
      <c r="BT1294" s="4" t="n"/>
      <c r="BU1294" s="4" t="n"/>
      <c r="BV1294" s="4" t="n"/>
      <c r="BW1294" s="4" t="n"/>
      <c r="BX1294" s="4" t="n"/>
      <c r="BY1294" s="4" t="n"/>
      <c r="BZ1294" s="4" t="n"/>
      <c r="CA1294" s="4" t="n"/>
      <c r="CB1294" s="4" t="n"/>
      <c r="CC1294" s="4" t="n"/>
      <c r="CD1294" s="4" t="n"/>
      <c r="CE1294" s="4" t="n"/>
      <c r="CF1294" s="4" t="n"/>
      <c r="CG1294" s="4" t="n"/>
      <c r="CH1294" s="4" t="n"/>
      <c r="CI1294" s="4" t="n"/>
      <c r="CJ1294" s="4" t="n"/>
      <c r="CK1294" s="4" t="n"/>
      <c r="CL1294" s="4" t="n"/>
      <c r="CM1294" s="4" t="n"/>
      <c r="CN1294" s="4" t="n"/>
      <c r="CO1294" s="4" t="n"/>
      <c r="CP1294" s="4" t="n"/>
      <c r="CQ1294" s="4" t="n"/>
      <c r="CR1294" s="4" t="n"/>
      <c r="CS1294" s="4" t="n"/>
      <c r="CT1294" s="4" t="n"/>
      <c r="CU1294" s="4" t="n"/>
      <c r="CV1294" s="4" t="n"/>
      <c r="CW1294" s="4" t="n"/>
      <c r="CX1294" s="4" t="n"/>
      <c r="CY1294" s="4" t="n"/>
      <c r="CZ1294" s="4" t="n"/>
      <c r="DA1294" s="4" t="n"/>
      <c r="DB1294" s="4" t="n"/>
      <c r="DC1294" s="4" t="n"/>
      <c r="DD1294" s="4" t="n"/>
      <c r="DE1294" s="4" t="n"/>
      <c r="DF1294" s="4" t="n"/>
      <c r="DG1294" s="4" t="n"/>
      <c r="DH1294" s="4" t="n"/>
      <c r="DI1294" s="4" t="n"/>
      <c r="DJ1294" s="4" t="n"/>
      <c r="DK1294" s="4" t="n"/>
      <c r="DL1294" s="4" t="n"/>
      <c r="DM1294" s="4" t="n"/>
      <c r="DN1294" s="4" t="n"/>
      <c r="DO1294" s="4" t="n"/>
      <c r="DP1294" s="4" t="n"/>
      <c r="DQ1294" s="4" t="n"/>
      <c r="DR1294" s="4" t="n"/>
      <c r="DS1294" s="4" t="n"/>
      <c r="DT1294" s="4" t="n"/>
      <c r="DU1294" s="4" t="n"/>
      <c r="DV1294" s="4" t="n"/>
      <c r="DW1294" s="4" t="n"/>
      <c r="DX1294" s="4" t="n"/>
      <c r="DY1294" s="4" t="n"/>
      <c r="DZ1294" s="4" t="n"/>
      <c r="EA1294" s="4" t="n"/>
      <c r="EB1294" s="4" t="n"/>
      <c r="EC1294" s="4" t="n"/>
      <c r="ED1294" s="4" t="n"/>
      <c r="EE1294" s="4" t="n"/>
      <c r="EF1294" s="4" t="n"/>
      <c r="EG1294" s="4" t="n"/>
      <c r="EH1294" s="4" t="n"/>
      <c r="EI1294" s="4" t="n"/>
      <c r="EJ1294" s="4" t="n"/>
      <c r="EK1294" s="4" t="n"/>
      <c r="EL1294" s="4" t="n"/>
      <c r="EM1294" s="4" t="n"/>
    </row>
    <row r="1295" hidden="1" customFormat="1" s="6">
      <c r="C1295" s="4" t="n"/>
      <c r="D1295" s="4" t="n"/>
      <c r="E1295" s="4" t="n"/>
      <c r="F1295" s="4" t="n"/>
      <c r="G1295" s="4" t="n"/>
      <c r="H1295" s="4" t="n"/>
      <c r="I1295" s="4" t="n"/>
      <c r="J1295" s="4" t="n"/>
      <c r="K1295" s="4" t="n"/>
      <c r="L1295" s="4" t="n"/>
      <c r="M1295" s="4" t="n"/>
      <c r="N1295" s="4" t="n"/>
      <c r="O1295" s="4" t="n"/>
      <c r="P1295" s="4" t="n"/>
      <c r="Q1295" s="4" t="n"/>
      <c r="R1295" s="4" t="n"/>
      <c r="S1295" s="4" t="n"/>
      <c r="T1295" s="4" t="n"/>
      <c r="U1295" s="4" t="n"/>
      <c r="V1295" s="4" t="n"/>
      <c r="W1295" s="4" t="n"/>
      <c r="X1295" s="4" t="n"/>
      <c r="Y1295" s="4" t="n"/>
      <c r="Z1295" s="4" t="n"/>
      <c r="AA1295" s="4" t="n"/>
      <c r="AB1295" s="4" t="n"/>
      <c r="AC1295" s="4" t="n"/>
      <c r="AD1295" s="4" t="n"/>
      <c r="AE1295" s="4" t="n"/>
      <c r="AF1295" s="4" t="n"/>
      <c r="AG1295" s="4" t="n"/>
      <c r="AH1295" s="4" t="n"/>
      <c r="AI1295" s="4" t="n"/>
      <c r="AJ1295" s="4" t="n"/>
      <c r="AK1295" s="4" t="n"/>
      <c r="AL1295" s="4" t="n"/>
      <c r="AM1295" s="4" t="n"/>
      <c r="AN1295" s="4" t="n"/>
      <c r="AO1295" s="4" t="n"/>
      <c r="AP1295" s="4" t="n"/>
      <c r="AQ1295" s="4" t="n"/>
      <c r="AR1295" s="4" t="n"/>
      <c r="AS1295" s="4" t="n"/>
      <c r="AT1295" s="4" t="n"/>
      <c r="AU1295" s="4" t="n"/>
      <c r="AV1295" s="4" t="n"/>
      <c r="AW1295" s="4" t="n"/>
      <c r="AX1295" s="4" t="n"/>
      <c r="AY1295" s="4" t="n"/>
      <c r="AZ1295" s="4" t="n"/>
      <c r="BA1295" s="4" t="n"/>
      <c r="BB1295" s="4" t="n"/>
      <c r="BC1295" s="4" t="n"/>
      <c r="BD1295" s="4" t="n"/>
      <c r="BE1295" s="4" t="n"/>
      <c r="BF1295" s="4" t="n"/>
      <c r="BG1295" s="4" t="n"/>
      <c r="BH1295" s="4" t="n"/>
      <c r="BI1295" s="4" t="n"/>
      <c r="BJ1295" s="4" t="n"/>
      <c r="BK1295" s="4" t="n"/>
      <c r="BL1295" s="4" t="n"/>
      <c r="BM1295" s="4" t="n"/>
      <c r="BN1295" s="4" t="n"/>
      <c r="BO1295" s="4" t="n"/>
      <c r="BP1295" s="4" t="n"/>
      <c r="BQ1295" s="4" t="n"/>
      <c r="BR1295" s="4" t="n"/>
      <c r="BS1295" s="4" t="n"/>
      <c r="BT1295" s="4" t="n"/>
      <c r="BU1295" s="4" t="n"/>
      <c r="BV1295" s="4" t="n"/>
      <c r="BW1295" s="4" t="n"/>
      <c r="BX1295" s="4" t="n"/>
      <c r="BY1295" s="4" t="n"/>
      <c r="BZ1295" s="4" t="n"/>
      <c r="CA1295" s="4" t="n"/>
      <c r="CB1295" s="4" t="n"/>
      <c r="CC1295" s="4" t="n"/>
      <c r="CD1295" s="4" t="n"/>
      <c r="CE1295" s="4" t="n"/>
      <c r="CF1295" s="4" t="n"/>
      <c r="CG1295" s="4" t="n"/>
      <c r="CH1295" s="4" t="n"/>
      <c r="CI1295" s="4" t="n"/>
      <c r="CJ1295" s="4" t="n"/>
      <c r="CK1295" s="4" t="n"/>
      <c r="CL1295" s="4" t="n"/>
      <c r="CM1295" s="4" t="n"/>
      <c r="CN1295" s="4" t="n"/>
      <c r="CO1295" s="4" t="n"/>
      <c r="CP1295" s="4" t="n"/>
      <c r="CQ1295" s="4" t="n"/>
      <c r="CR1295" s="4" t="n"/>
      <c r="CS1295" s="4" t="n"/>
      <c r="CT1295" s="4" t="n"/>
      <c r="CU1295" s="4" t="n"/>
      <c r="CV1295" s="4" t="n"/>
      <c r="CW1295" s="4" t="n"/>
      <c r="CX1295" s="4" t="n"/>
      <c r="CY1295" s="4" t="n"/>
      <c r="CZ1295" s="4" t="n"/>
      <c r="DA1295" s="4" t="n"/>
      <c r="DB1295" s="4" t="n"/>
      <c r="DC1295" s="4" t="n"/>
      <c r="DD1295" s="4" t="n"/>
      <c r="DE1295" s="4" t="n"/>
      <c r="DF1295" s="4" t="n"/>
      <c r="DG1295" s="4" t="n"/>
      <c r="DH1295" s="4" t="n"/>
      <c r="DI1295" s="4" t="n"/>
      <c r="DJ1295" s="4" t="n"/>
      <c r="DK1295" s="4" t="n"/>
      <c r="DL1295" s="4" t="n"/>
      <c r="DM1295" s="4" t="n"/>
      <c r="DN1295" s="4" t="n"/>
      <c r="DO1295" s="4" t="n"/>
      <c r="DP1295" s="4" t="n"/>
      <c r="DQ1295" s="4" t="n"/>
      <c r="DR1295" s="4" t="n"/>
      <c r="DS1295" s="4" t="n"/>
      <c r="DT1295" s="4" t="n"/>
      <c r="DU1295" s="4" t="n"/>
      <c r="DV1295" s="4" t="n"/>
      <c r="DW1295" s="4" t="n"/>
      <c r="DX1295" s="4" t="n"/>
      <c r="DY1295" s="4" t="n"/>
      <c r="DZ1295" s="4" t="n"/>
      <c r="EA1295" s="4" t="n"/>
      <c r="EB1295" s="4" t="n"/>
      <c r="EC1295" s="4" t="n"/>
      <c r="ED1295" s="4" t="n"/>
      <c r="EE1295" s="4" t="n"/>
      <c r="EF1295" s="4" t="n"/>
      <c r="EG1295" s="4" t="n"/>
      <c r="EH1295" s="4" t="n"/>
      <c r="EI1295" s="4" t="n"/>
      <c r="EJ1295" s="4" t="n"/>
      <c r="EK1295" s="4" t="n"/>
      <c r="EL1295" s="4" t="n"/>
      <c r="EM1295" s="4" t="n"/>
    </row>
    <row r="1296" hidden="1" customFormat="1" s="6">
      <c r="C1296" s="4" t="n"/>
      <c r="D1296" s="4" t="n"/>
      <c r="E1296" s="4" t="n"/>
      <c r="F1296" s="4" t="n"/>
      <c r="G1296" s="4" t="n"/>
      <c r="H1296" s="4" t="n"/>
      <c r="I1296" s="4" t="n"/>
      <c r="J1296" s="4" t="n"/>
      <c r="K1296" s="4" t="n"/>
      <c r="L1296" s="4" t="n"/>
      <c r="M1296" s="4" t="n"/>
      <c r="N1296" s="4" t="n"/>
      <c r="O1296" s="4" t="n"/>
      <c r="P1296" s="4" t="n"/>
      <c r="Q1296" s="4" t="n"/>
      <c r="R1296" s="4" t="n"/>
      <c r="S1296" s="4" t="n"/>
      <c r="T1296" s="4" t="n"/>
      <c r="U1296" s="4" t="n"/>
      <c r="V1296" s="4" t="n"/>
      <c r="W1296" s="4" t="n"/>
      <c r="X1296" s="4" t="n"/>
      <c r="Y1296" s="4" t="n"/>
      <c r="Z1296" s="4" t="n"/>
      <c r="AA1296" s="4" t="n"/>
      <c r="AB1296" s="4" t="n"/>
      <c r="AC1296" s="4" t="n"/>
      <c r="AD1296" s="4" t="n"/>
      <c r="AE1296" s="4" t="n"/>
      <c r="AF1296" s="4" t="n"/>
      <c r="AG1296" s="4" t="n"/>
      <c r="AH1296" s="4" t="n"/>
      <c r="AI1296" s="4" t="n"/>
      <c r="AJ1296" s="4" t="n"/>
      <c r="AK1296" s="4" t="n"/>
      <c r="AL1296" s="4" t="n"/>
      <c r="AM1296" s="4" t="n"/>
      <c r="AN1296" s="4" t="n"/>
      <c r="AO1296" s="4" t="n"/>
      <c r="AP1296" s="4" t="n"/>
      <c r="AQ1296" s="4" t="n"/>
      <c r="AR1296" s="4" t="n"/>
      <c r="AS1296" s="4" t="n"/>
      <c r="AT1296" s="4" t="n"/>
      <c r="AU1296" s="4" t="n"/>
      <c r="AV1296" s="4" t="n"/>
      <c r="AW1296" s="4" t="n"/>
      <c r="AX1296" s="4" t="n"/>
      <c r="AY1296" s="4" t="n"/>
      <c r="AZ1296" s="4" t="n"/>
      <c r="BA1296" s="4" t="n"/>
      <c r="BB1296" s="4" t="n"/>
      <c r="BC1296" s="4" t="n"/>
      <c r="BD1296" s="4" t="n"/>
      <c r="BE1296" s="4" t="n"/>
      <c r="BF1296" s="4" t="n"/>
      <c r="BG1296" s="4" t="n"/>
      <c r="BH1296" s="4" t="n"/>
      <c r="BI1296" s="4" t="n"/>
      <c r="BJ1296" s="4" t="n"/>
      <c r="BK1296" s="4" t="n"/>
      <c r="BL1296" s="4" t="n"/>
      <c r="BM1296" s="4" t="n"/>
      <c r="BN1296" s="4" t="n"/>
      <c r="BO1296" s="4" t="n"/>
      <c r="BP1296" s="4" t="n"/>
      <c r="BQ1296" s="4" t="n"/>
      <c r="BR1296" s="4" t="n"/>
      <c r="BS1296" s="4" t="n"/>
      <c r="BT1296" s="4" t="n"/>
      <c r="BU1296" s="4" t="n"/>
      <c r="BV1296" s="4" t="n"/>
      <c r="BW1296" s="4" t="n"/>
      <c r="BX1296" s="4" t="n"/>
      <c r="BY1296" s="4" t="n"/>
      <c r="BZ1296" s="4" t="n"/>
      <c r="CA1296" s="4" t="n"/>
      <c r="CB1296" s="4" t="n"/>
      <c r="CC1296" s="4" t="n"/>
      <c r="CD1296" s="4" t="n"/>
      <c r="CE1296" s="4" t="n"/>
      <c r="CF1296" s="4" t="n"/>
      <c r="CG1296" s="4" t="n"/>
      <c r="CH1296" s="4" t="n"/>
      <c r="CI1296" s="4" t="n"/>
      <c r="CJ1296" s="4" t="n"/>
      <c r="CK1296" s="4" t="n"/>
      <c r="CL1296" s="4" t="n"/>
      <c r="CM1296" s="4" t="n"/>
      <c r="CN1296" s="4" t="n"/>
      <c r="CO1296" s="4" t="n"/>
      <c r="CP1296" s="4" t="n"/>
      <c r="CQ1296" s="4" t="n"/>
      <c r="CR1296" s="4" t="n"/>
      <c r="CS1296" s="4" t="n"/>
      <c r="CT1296" s="4" t="n"/>
      <c r="CU1296" s="4" t="n"/>
      <c r="CV1296" s="4" t="n"/>
      <c r="CW1296" s="4" t="n"/>
      <c r="CX1296" s="4" t="n"/>
      <c r="CY1296" s="4" t="n"/>
      <c r="CZ1296" s="4" t="n"/>
      <c r="DA1296" s="4" t="n"/>
      <c r="DB1296" s="4" t="n"/>
      <c r="DC1296" s="4" t="n"/>
      <c r="DD1296" s="4" t="n"/>
      <c r="DE1296" s="4" t="n"/>
      <c r="DF1296" s="4" t="n"/>
      <c r="DG1296" s="4" t="n"/>
      <c r="DH1296" s="4" t="n"/>
      <c r="DI1296" s="4" t="n"/>
      <c r="DJ1296" s="4" t="n"/>
      <c r="DK1296" s="4" t="n"/>
      <c r="DL1296" s="4" t="n"/>
      <c r="DM1296" s="4" t="n"/>
      <c r="DN1296" s="4" t="n"/>
      <c r="DO1296" s="4" t="n"/>
      <c r="DP1296" s="4" t="n"/>
      <c r="DQ1296" s="4" t="n"/>
      <c r="DR1296" s="4" t="n"/>
      <c r="DS1296" s="4" t="n"/>
      <c r="DT1296" s="4" t="n"/>
      <c r="DU1296" s="4" t="n"/>
      <c r="DV1296" s="4" t="n"/>
      <c r="DW1296" s="4" t="n"/>
      <c r="DX1296" s="4" t="n"/>
      <c r="DY1296" s="4" t="n"/>
      <c r="DZ1296" s="4" t="n"/>
      <c r="EA1296" s="4" t="n"/>
      <c r="EB1296" s="4" t="n"/>
      <c r="EC1296" s="4" t="n"/>
      <c r="ED1296" s="4" t="n"/>
      <c r="EE1296" s="4" t="n"/>
      <c r="EF1296" s="4" t="n"/>
      <c r="EG1296" s="4" t="n"/>
      <c r="EH1296" s="4" t="n"/>
      <c r="EI1296" s="4" t="n"/>
      <c r="EJ1296" s="4" t="n"/>
      <c r="EK1296" s="4" t="n"/>
      <c r="EL1296" s="4" t="n"/>
      <c r="EM1296" s="4" t="n"/>
    </row>
    <row r="1297" hidden="1" customFormat="1" s="6">
      <c r="C1297" s="4" t="n"/>
      <c r="D1297" s="4" t="n"/>
      <c r="E1297" s="4" t="n"/>
      <c r="F1297" s="4" t="n"/>
      <c r="G1297" s="4" t="n"/>
      <c r="H1297" s="4" t="n"/>
      <c r="I1297" s="4" t="n"/>
      <c r="J1297" s="4" t="n"/>
      <c r="K1297" s="4" t="n"/>
      <c r="L1297" s="4" t="n"/>
      <c r="M1297" s="4" t="n"/>
      <c r="N1297" s="4" t="n"/>
      <c r="O1297" s="4" t="n"/>
      <c r="P1297" s="4" t="n"/>
      <c r="Q1297" s="4" t="n"/>
      <c r="R1297" s="4" t="n"/>
      <c r="S1297" s="4" t="n"/>
      <c r="T1297" s="4" t="n"/>
      <c r="U1297" s="4" t="n"/>
      <c r="V1297" s="4" t="n"/>
      <c r="W1297" s="4" t="n"/>
      <c r="X1297" s="4" t="n"/>
      <c r="Y1297" s="4" t="n"/>
      <c r="Z1297" s="4" t="n"/>
      <c r="AA1297" s="4" t="n"/>
      <c r="AB1297" s="4" t="n"/>
      <c r="AC1297" s="4" t="n"/>
      <c r="AD1297" s="4" t="n"/>
      <c r="AE1297" s="4" t="n"/>
      <c r="AF1297" s="4" t="n"/>
      <c r="AG1297" s="4" t="n"/>
      <c r="AH1297" s="4" t="n"/>
      <c r="AI1297" s="4" t="n"/>
      <c r="AJ1297" s="4" t="n"/>
      <c r="AK1297" s="4" t="n"/>
      <c r="AL1297" s="4" t="n"/>
      <c r="AM1297" s="4" t="n"/>
      <c r="AN1297" s="4" t="n"/>
      <c r="AO1297" s="4" t="n"/>
      <c r="AP1297" s="4" t="n"/>
      <c r="AQ1297" s="4" t="n"/>
      <c r="AR1297" s="4" t="n"/>
      <c r="AS1297" s="4" t="n"/>
      <c r="AT1297" s="4" t="n"/>
      <c r="AU1297" s="4" t="n"/>
      <c r="AV1297" s="4" t="n"/>
      <c r="AW1297" s="4" t="n"/>
      <c r="AX1297" s="4" t="n"/>
      <c r="AY1297" s="4" t="n"/>
      <c r="AZ1297" s="4" t="n"/>
      <c r="BA1297" s="4" t="n"/>
      <c r="BB1297" s="4" t="n"/>
      <c r="BC1297" s="4" t="n"/>
      <c r="BD1297" s="4" t="n"/>
      <c r="BE1297" s="4" t="n"/>
      <c r="BF1297" s="4" t="n"/>
      <c r="BG1297" s="4" t="n"/>
      <c r="BH1297" s="4" t="n"/>
      <c r="BI1297" s="4" t="n"/>
      <c r="BJ1297" s="4" t="n"/>
      <c r="BK1297" s="4" t="n"/>
      <c r="BL1297" s="4" t="n"/>
      <c r="BM1297" s="4" t="n"/>
      <c r="BN1297" s="4" t="n"/>
      <c r="BO1297" s="4" t="n"/>
      <c r="BP1297" s="4" t="n"/>
      <c r="BQ1297" s="4" t="n"/>
      <c r="BR1297" s="4" t="n"/>
      <c r="BS1297" s="4" t="n"/>
      <c r="BT1297" s="4" t="n"/>
      <c r="BU1297" s="4" t="n"/>
      <c r="BV1297" s="4" t="n"/>
      <c r="BW1297" s="4" t="n"/>
      <c r="BX1297" s="4" t="n"/>
      <c r="BY1297" s="4" t="n"/>
      <c r="BZ1297" s="4" t="n"/>
      <c r="CA1297" s="4" t="n"/>
      <c r="CB1297" s="4" t="n"/>
      <c r="CC1297" s="4" t="n"/>
      <c r="CD1297" s="4" t="n"/>
      <c r="CE1297" s="4" t="n"/>
      <c r="CF1297" s="4" t="n"/>
      <c r="CG1297" s="4" t="n"/>
      <c r="CH1297" s="4" t="n"/>
      <c r="CI1297" s="4" t="n"/>
      <c r="CJ1297" s="4" t="n"/>
      <c r="CK1297" s="4" t="n"/>
      <c r="CL1297" s="4" t="n"/>
      <c r="CM1297" s="4" t="n"/>
      <c r="CN1297" s="4" t="n"/>
      <c r="CO1297" s="4" t="n"/>
      <c r="CP1297" s="4" t="n"/>
      <c r="CQ1297" s="4" t="n"/>
      <c r="CR1297" s="4" t="n"/>
      <c r="CS1297" s="4" t="n"/>
      <c r="CT1297" s="4" t="n"/>
      <c r="CU1297" s="4" t="n"/>
      <c r="CV1297" s="4" t="n"/>
      <c r="CW1297" s="4" t="n"/>
      <c r="CX1297" s="4" t="n"/>
      <c r="CY1297" s="4" t="n"/>
      <c r="CZ1297" s="4" t="n"/>
      <c r="DA1297" s="4" t="n"/>
      <c r="DB1297" s="4" t="n"/>
      <c r="DC1297" s="4" t="n"/>
      <c r="DD1297" s="4" t="n"/>
      <c r="DE1297" s="4" t="n"/>
      <c r="DF1297" s="4" t="n"/>
      <c r="DG1297" s="4" t="n"/>
      <c r="DH1297" s="4" t="n"/>
      <c r="DI1297" s="4" t="n"/>
      <c r="DJ1297" s="4" t="n"/>
      <c r="DK1297" s="4" t="n"/>
      <c r="DL1297" s="4" t="n"/>
      <c r="DM1297" s="4" t="n"/>
      <c r="DN1297" s="4" t="n"/>
      <c r="DO1297" s="4" t="n"/>
      <c r="DP1297" s="4" t="n"/>
      <c r="DQ1297" s="4" t="n"/>
      <c r="DR1297" s="4" t="n"/>
      <c r="DS1297" s="4" t="n"/>
      <c r="DT1297" s="4" t="n"/>
      <c r="DU1297" s="4" t="n"/>
      <c r="DV1297" s="4" t="n"/>
      <c r="DW1297" s="4" t="n"/>
      <c r="DX1297" s="4" t="n"/>
      <c r="DY1297" s="4" t="n"/>
      <c r="DZ1297" s="4" t="n"/>
      <c r="EA1297" s="4" t="n"/>
      <c r="EB1297" s="4" t="n"/>
      <c r="EC1297" s="4" t="n"/>
      <c r="ED1297" s="4" t="n"/>
      <c r="EE1297" s="4" t="n"/>
      <c r="EF1297" s="4" t="n"/>
      <c r="EG1297" s="4" t="n"/>
      <c r="EH1297" s="4" t="n"/>
      <c r="EI1297" s="4" t="n"/>
      <c r="EJ1297" s="4" t="n"/>
      <c r="EK1297" s="4" t="n"/>
      <c r="EL1297" s="4" t="n"/>
      <c r="EM1297" s="4" t="n"/>
    </row>
    <row r="1298" hidden="1" customFormat="1" s="6">
      <c r="C1298" s="4" t="n"/>
      <c r="D1298" s="4" t="n"/>
      <c r="E1298" s="4" t="n"/>
      <c r="F1298" s="4" t="n"/>
      <c r="G1298" s="4" t="n"/>
      <c r="H1298" s="4" t="n"/>
      <c r="I1298" s="4" t="n"/>
      <c r="J1298" s="4" t="n"/>
      <c r="K1298" s="4" t="n"/>
      <c r="L1298" s="4" t="n"/>
      <c r="M1298" s="4" t="n"/>
      <c r="N1298" s="4" t="n"/>
      <c r="O1298" s="4" t="n"/>
      <c r="P1298" s="4" t="n"/>
      <c r="Q1298" s="4" t="n"/>
      <c r="R1298" s="4" t="n"/>
      <c r="S1298" s="4" t="n"/>
      <c r="T1298" s="4" t="n"/>
      <c r="U1298" s="4" t="n"/>
      <c r="V1298" s="4" t="n"/>
      <c r="W1298" s="4" t="n"/>
      <c r="X1298" s="4" t="n"/>
      <c r="Y1298" s="4" t="n"/>
      <c r="Z1298" s="4" t="n"/>
      <c r="AA1298" s="4" t="n"/>
      <c r="AB1298" s="4" t="n"/>
      <c r="AC1298" s="4" t="n"/>
      <c r="AD1298" s="4" t="n"/>
      <c r="AE1298" s="4" t="n"/>
      <c r="AF1298" s="4" t="n"/>
      <c r="AG1298" s="4" t="n"/>
      <c r="AH1298" s="4" t="n"/>
      <c r="AI1298" s="4" t="n"/>
      <c r="AJ1298" s="4" t="n"/>
      <c r="AK1298" s="4" t="n"/>
      <c r="AL1298" s="4" t="n"/>
      <c r="AM1298" s="4" t="n"/>
      <c r="AN1298" s="4" t="n"/>
      <c r="AO1298" s="4" t="n"/>
      <c r="AP1298" s="4" t="n"/>
      <c r="AQ1298" s="4" t="n"/>
      <c r="AR1298" s="4" t="n"/>
      <c r="AS1298" s="4" t="n"/>
      <c r="AT1298" s="4" t="n"/>
      <c r="AU1298" s="4" t="n"/>
      <c r="AV1298" s="4" t="n"/>
      <c r="AW1298" s="4" t="n"/>
      <c r="AX1298" s="4" t="n"/>
      <c r="AY1298" s="4" t="n"/>
      <c r="AZ1298" s="4" t="n"/>
      <c r="BA1298" s="4" t="n"/>
      <c r="BB1298" s="4" t="n"/>
      <c r="BC1298" s="4" t="n"/>
      <c r="BD1298" s="4" t="n"/>
      <c r="BE1298" s="4" t="n"/>
      <c r="BF1298" s="4" t="n"/>
      <c r="BG1298" s="4" t="n"/>
      <c r="BH1298" s="4" t="n"/>
      <c r="BI1298" s="4" t="n"/>
      <c r="BJ1298" s="4" t="n"/>
      <c r="BK1298" s="4" t="n"/>
      <c r="BL1298" s="4" t="n"/>
      <c r="BM1298" s="4" t="n"/>
      <c r="BN1298" s="4" t="n"/>
      <c r="BO1298" s="4" t="n"/>
      <c r="BP1298" s="4" t="n"/>
      <c r="BQ1298" s="4" t="n"/>
      <c r="BR1298" s="4" t="n"/>
      <c r="BS1298" s="4" t="n"/>
      <c r="BT1298" s="4" t="n"/>
      <c r="BU1298" s="4" t="n"/>
      <c r="BV1298" s="4" t="n"/>
      <c r="BW1298" s="4" t="n"/>
      <c r="BX1298" s="4" t="n"/>
      <c r="BY1298" s="4" t="n"/>
      <c r="BZ1298" s="4" t="n"/>
      <c r="CA1298" s="4" t="n"/>
      <c r="CB1298" s="4" t="n"/>
      <c r="CC1298" s="4" t="n"/>
      <c r="CD1298" s="4" t="n"/>
      <c r="CE1298" s="4" t="n"/>
      <c r="CF1298" s="4" t="n"/>
      <c r="CG1298" s="4" t="n"/>
      <c r="CH1298" s="4" t="n"/>
      <c r="CI1298" s="4" t="n"/>
      <c r="CJ1298" s="4" t="n"/>
      <c r="CK1298" s="4" t="n"/>
      <c r="CL1298" s="4" t="n"/>
      <c r="CM1298" s="4" t="n"/>
      <c r="CN1298" s="4" t="n"/>
      <c r="CO1298" s="4" t="n"/>
      <c r="CP1298" s="4" t="n"/>
      <c r="CQ1298" s="4" t="n"/>
      <c r="CR1298" s="4" t="n"/>
      <c r="CS1298" s="4" t="n"/>
      <c r="CT1298" s="4" t="n"/>
      <c r="CU1298" s="4" t="n"/>
      <c r="CV1298" s="4" t="n"/>
      <c r="CW1298" s="4" t="n"/>
      <c r="CX1298" s="4" t="n"/>
      <c r="CY1298" s="4" t="n"/>
      <c r="CZ1298" s="4" t="n"/>
      <c r="DA1298" s="4" t="n"/>
      <c r="DB1298" s="4" t="n"/>
      <c r="DC1298" s="4" t="n"/>
      <c r="DD1298" s="4" t="n"/>
      <c r="DE1298" s="4" t="n"/>
      <c r="DF1298" s="4" t="n"/>
      <c r="DG1298" s="4" t="n"/>
      <c r="DH1298" s="4" t="n"/>
      <c r="DI1298" s="4" t="n"/>
      <c r="DJ1298" s="4" t="n"/>
      <c r="DK1298" s="4" t="n"/>
      <c r="DL1298" s="4" t="n"/>
      <c r="DM1298" s="4" t="n"/>
      <c r="DN1298" s="4" t="n"/>
      <c r="DO1298" s="4" t="n"/>
      <c r="DP1298" s="4" t="n"/>
      <c r="DQ1298" s="4" t="n"/>
      <c r="DR1298" s="4" t="n"/>
      <c r="DS1298" s="4" t="n"/>
      <c r="DT1298" s="4" t="n"/>
      <c r="DU1298" s="4" t="n"/>
      <c r="DV1298" s="4" t="n"/>
      <c r="DW1298" s="4" t="n"/>
      <c r="DX1298" s="4" t="n"/>
      <c r="DY1298" s="4" t="n"/>
      <c r="DZ1298" s="4" t="n"/>
      <c r="EA1298" s="4" t="n"/>
      <c r="EB1298" s="4" t="n"/>
      <c r="EC1298" s="4" t="n"/>
      <c r="ED1298" s="4" t="n"/>
      <c r="EE1298" s="4" t="n"/>
      <c r="EF1298" s="4" t="n"/>
      <c r="EG1298" s="4" t="n"/>
      <c r="EH1298" s="4" t="n"/>
      <c r="EI1298" s="4" t="n"/>
      <c r="EJ1298" s="4" t="n"/>
      <c r="EK1298" s="4" t="n"/>
      <c r="EL1298" s="4" t="n"/>
      <c r="EM1298" s="4" t="n"/>
    </row>
    <row r="1299" hidden="1" customFormat="1" s="6">
      <c r="C1299" s="4" t="n"/>
      <c r="D1299" s="4" t="n"/>
      <c r="E1299" s="4" t="n"/>
      <c r="F1299" s="4" t="n"/>
      <c r="G1299" s="4" t="n"/>
      <c r="H1299" s="4" t="n"/>
      <c r="I1299" s="4" t="n"/>
      <c r="J1299" s="4" t="n"/>
      <c r="K1299" s="4" t="n"/>
      <c r="L1299" s="4" t="n"/>
      <c r="M1299" s="4" t="n"/>
      <c r="N1299" s="4" t="n"/>
      <c r="O1299" s="4" t="n"/>
      <c r="P1299" s="4" t="n"/>
      <c r="Q1299" s="4" t="n"/>
      <c r="R1299" s="4" t="n"/>
      <c r="S1299" s="4" t="n"/>
      <c r="T1299" s="4" t="n"/>
      <c r="U1299" s="4" t="n"/>
      <c r="V1299" s="4" t="n"/>
      <c r="W1299" s="4" t="n"/>
      <c r="X1299" s="4" t="n"/>
      <c r="Y1299" s="4" t="n"/>
      <c r="Z1299" s="4" t="n"/>
      <c r="AA1299" s="4" t="n"/>
      <c r="AB1299" s="4" t="n"/>
      <c r="AC1299" s="4" t="n"/>
      <c r="AD1299" s="4" t="n"/>
      <c r="AE1299" s="4" t="n"/>
      <c r="AF1299" s="4" t="n"/>
      <c r="AG1299" s="4" t="n"/>
      <c r="AH1299" s="4" t="n"/>
      <c r="AI1299" s="4" t="n"/>
      <c r="AJ1299" s="4" t="n"/>
      <c r="AK1299" s="4" t="n"/>
      <c r="AL1299" s="4" t="n"/>
      <c r="AM1299" s="4" t="n"/>
      <c r="AN1299" s="4" t="n"/>
      <c r="AO1299" s="4" t="n"/>
      <c r="AP1299" s="4" t="n"/>
      <c r="AQ1299" s="4" t="n"/>
      <c r="AR1299" s="4" t="n"/>
      <c r="AS1299" s="4" t="n"/>
      <c r="AT1299" s="4" t="n"/>
      <c r="AU1299" s="4" t="n"/>
      <c r="AV1299" s="4" t="n"/>
      <c r="AW1299" s="4" t="n"/>
      <c r="AX1299" s="4" t="n"/>
      <c r="AY1299" s="4" t="n"/>
      <c r="AZ1299" s="4" t="n"/>
      <c r="BA1299" s="4" t="n"/>
      <c r="BB1299" s="4" t="n"/>
      <c r="BC1299" s="4" t="n"/>
      <c r="BD1299" s="4" t="n"/>
      <c r="BE1299" s="4" t="n"/>
      <c r="BF1299" s="4" t="n"/>
      <c r="BG1299" s="4" t="n"/>
      <c r="BH1299" s="4" t="n"/>
      <c r="BI1299" s="4" t="n"/>
      <c r="BJ1299" s="4" t="n"/>
      <c r="BK1299" s="4" t="n"/>
      <c r="BL1299" s="4" t="n"/>
      <c r="BM1299" s="4" t="n"/>
      <c r="BN1299" s="4" t="n"/>
      <c r="BO1299" s="4" t="n"/>
      <c r="BP1299" s="4" t="n"/>
      <c r="BQ1299" s="4" t="n"/>
      <c r="BR1299" s="4" t="n"/>
      <c r="BS1299" s="4" t="n"/>
      <c r="BT1299" s="4" t="n"/>
      <c r="BU1299" s="4" t="n"/>
      <c r="BV1299" s="4" t="n"/>
      <c r="BW1299" s="4" t="n"/>
      <c r="BX1299" s="4" t="n"/>
      <c r="BY1299" s="4" t="n"/>
      <c r="BZ1299" s="4" t="n"/>
      <c r="CA1299" s="4" t="n"/>
      <c r="CB1299" s="4" t="n"/>
      <c r="CC1299" s="4" t="n"/>
      <c r="CD1299" s="4" t="n"/>
      <c r="CE1299" s="4" t="n"/>
      <c r="CF1299" s="4" t="n"/>
      <c r="CG1299" s="4" t="n"/>
      <c r="CH1299" s="4" t="n"/>
      <c r="CI1299" s="4" t="n"/>
      <c r="CJ1299" s="4" t="n"/>
      <c r="CK1299" s="4" t="n"/>
      <c r="CL1299" s="4" t="n"/>
      <c r="CM1299" s="4" t="n"/>
      <c r="CN1299" s="4" t="n"/>
      <c r="CO1299" s="4" t="n"/>
      <c r="CP1299" s="4" t="n"/>
      <c r="CQ1299" s="4" t="n"/>
      <c r="CR1299" s="4" t="n"/>
      <c r="CS1299" s="4" t="n"/>
      <c r="CT1299" s="4" t="n"/>
      <c r="CU1299" s="4" t="n"/>
      <c r="CV1299" s="4" t="n"/>
      <c r="CW1299" s="4" t="n"/>
      <c r="CX1299" s="4" t="n"/>
      <c r="CY1299" s="4" t="n"/>
      <c r="CZ1299" s="4" t="n"/>
      <c r="DA1299" s="4" t="n"/>
      <c r="DB1299" s="4" t="n"/>
      <c r="DC1299" s="4" t="n"/>
      <c r="DD1299" s="4" t="n"/>
      <c r="DE1299" s="4" t="n"/>
      <c r="DF1299" s="4" t="n"/>
      <c r="DG1299" s="4" t="n"/>
      <c r="DH1299" s="4" t="n"/>
      <c r="DI1299" s="4" t="n"/>
      <c r="DJ1299" s="4" t="n"/>
      <c r="DK1299" s="4" t="n"/>
      <c r="DL1299" s="4" t="n"/>
      <c r="DM1299" s="4" t="n"/>
      <c r="DN1299" s="4" t="n"/>
      <c r="DO1299" s="4" t="n"/>
      <c r="DP1299" s="4" t="n"/>
      <c r="DQ1299" s="4" t="n"/>
      <c r="DR1299" s="4" t="n"/>
      <c r="DS1299" s="4" t="n"/>
      <c r="DT1299" s="4" t="n"/>
      <c r="DU1299" s="4" t="n"/>
      <c r="DV1299" s="4" t="n"/>
      <c r="DW1299" s="4" t="n"/>
      <c r="DX1299" s="4" t="n"/>
      <c r="DY1299" s="4" t="n"/>
      <c r="DZ1299" s="4" t="n"/>
      <c r="EA1299" s="4" t="n"/>
      <c r="EB1299" s="4" t="n"/>
      <c r="EC1299" s="4" t="n"/>
      <c r="ED1299" s="4" t="n"/>
      <c r="EE1299" s="4" t="n"/>
      <c r="EF1299" s="4" t="n"/>
      <c r="EG1299" s="4" t="n"/>
      <c r="EH1299" s="4" t="n"/>
      <c r="EI1299" s="4" t="n"/>
      <c r="EJ1299" s="4" t="n"/>
      <c r="EK1299" s="4" t="n"/>
      <c r="EL1299" s="4" t="n"/>
      <c r="EM1299" s="4" t="n"/>
    </row>
    <row r="1300" hidden="1" customFormat="1" s="6">
      <c r="C1300" s="4" t="n"/>
      <c r="D1300" s="4" t="n"/>
      <c r="E1300" s="4" t="n"/>
      <c r="F1300" s="4" t="n"/>
      <c r="G1300" s="4" t="n"/>
      <c r="H1300" s="4" t="n"/>
      <c r="I1300" s="4" t="n"/>
      <c r="J1300" s="4" t="n"/>
      <c r="K1300" s="4" t="n"/>
      <c r="L1300" s="4" t="n"/>
      <c r="M1300" s="4" t="n"/>
      <c r="N1300" s="4" t="n"/>
      <c r="O1300" s="4" t="n"/>
      <c r="P1300" s="4" t="n"/>
      <c r="Q1300" s="4" t="n"/>
      <c r="R1300" s="4" t="n"/>
      <c r="S1300" s="4" t="n"/>
      <c r="T1300" s="4" t="n"/>
      <c r="U1300" s="4" t="n"/>
      <c r="V1300" s="4" t="n"/>
      <c r="W1300" s="4" t="n"/>
      <c r="X1300" s="4" t="n"/>
      <c r="Y1300" s="4" t="n"/>
      <c r="Z1300" s="4" t="n"/>
      <c r="AA1300" s="4" t="n"/>
      <c r="AB1300" s="4" t="n"/>
      <c r="AC1300" s="4" t="n"/>
      <c r="AD1300" s="4" t="n"/>
      <c r="AE1300" s="4" t="n"/>
      <c r="AF1300" s="4" t="n"/>
      <c r="AG1300" s="4" t="n"/>
      <c r="AH1300" s="4" t="n"/>
      <c r="AI1300" s="4" t="n"/>
      <c r="AJ1300" s="4" t="n"/>
      <c r="AK1300" s="4" t="n"/>
      <c r="AL1300" s="4" t="n"/>
      <c r="AM1300" s="4" t="n"/>
      <c r="AN1300" s="4" t="n"/>
      <c r="AO1300" s="4" t="n"/>
      <c r="AP1300" s="4" t="n"/>
      <c r="AQ1300" s="4" t="n"/>
      <c r="AR1300" s="4" t="n"/>
      <c r="AS1300" s="4" t="n"/>
      <c r="AT1300" s="4" t="n"/>
      <c r="AU1300" s="4" t="n"/>
      <c r="AV1300" s="4" t="n"/>
      <c r="AW1300" s="4" t="n"/>
      <c r="AX1300" s="4" t="n"/>
      <c r="AY1300" s="4" t="n"/>
      <c r="AZ1300" s="4" t="n"/>
      <c r="BA1300" s="4" t="n"/>
      <c r="BB1300" s="4" t="n"/>
      <c r="BC1300" s="4" t="n"/>
      <c r="BD1300" s="4" t="n"/>
      <c r="BE1300" s="4" t="n"/>
      <c r="BF1300" s="4" t="n"/>
      <c r="BG1300" s="4" t="n"/>
      <c r="BH1300" s="4" t="n"/>
      <c r="BI1300" s="4" t="n"/>
      <c r="BJ1300" s="4" t="n"/>
      <c r="BK1300" s="4" t="n"/>
      <c r="BL1300" s="4" t="n"/>
      <c r="BM1300" s="4" t="n"/>
      <c r="BN1300" s="4" t="n"/>
      <c r="BO1300" s="4" t="n"/>
      <c r="BP1300" s="4" t="n"/>
      <c r="BQ1300" s="4" t="n"/>
      <c r="BR1300" s="4" t="n"/>
      <c r="BS1300" s="4" t="n"/>
      <c r="BT1300" s="4" t="n"/>
      <c r="BU1300" s="4" t="n"/>
      <c r="BV1300" s="4" t="n"/>
      <c r="BW1300" s="4" t="n"/>
      <c r="BX1300" s="4" t="n"/>
      <c r="BY1300" s="4" t="n"/>
      <c r="BZ1300" s="4" t="n"/>
      <c r="CA1300" s="4" t="n"/>
      <c r="CB1300" s="4" t="n"/>
      <c r="CC1300" s="4" t="n"/>
      <c r="CD1300" s="4" t="n"/>
      <c r="CE1300" s="4" t="n"/>
      <c r="CF1300" s="4" t="n"/>
      <c r="CG1300" s="4" t="n"/>
      <c r="CH1300" s="4" t="n"/>
      <c r="CI1300" s="4" t="n"/>
      <c r="CJ1300" s="4" t="n"/>
      <c r="CK1300" s="4" t="n"/>
      <c r="CL1300" s="4" t="n"/>
      <c r="CM1300" s="4" t="n"/>
      <c r="CN1300" s="4" t="n"/>
      <c r="CO1300" s="4" t="n"/>
      <c r="CP1300" s="4" t="n"/>
      <c r="CQ1300" s="4" t="n"/>
      <c r="CR1300" s="4" t="n"/>
      <c r="CS1300" s="4" t="n"/>
      <c r="CT1300" s="4" t="n"/>
      <c r="CU1300" s="4" t="n"/>
      <c r="CV1300" s="4" t="n"/>
      <c r="CW1300" s="4" t="n"/>
      <c r="CX1300" s="4" t="n"/>
      <c r="CY1300" s="4" t="n"/>
      <c r="CZ1300" s="4" t="n"/>
      <c r="DA1300" s="4" t="n"/>
      <c r="DB1300" s="4" t="n"/>
      <c r="DC1300" s="4" t="n"/>
      <c r="DD1300" s="4" t="n"/>
      <c r="DE1300" s="4" t="n"/>
      <c r="DF1300" s="4" t="n"/>
      <c r="DG1300" s="4" t="n"/>
      <c r="DH1300" s="4" t="n"/>
      <c r="DI1300" s="4" t="n"/>
      <c r="DJ1300" s="4" t="n"/>
      <c r="DK1300" s="4" t="n"/>
      <c r="DL1300" s="4" t="n"/>
      <c r="DM1300" s="4" t="n"/>
      <c r="DN1300" s="4" t="n"/>
      <c r="DO1300" s="4" t="n"/>
      <c r="DP1300" s="4" t="n"/>
      <c r="DQ1300" s="4" t="n"/>
      <c r="DR1300" s="4" t="n"/>
      <c r="DS1300" s="4" t="n"/>
      <c r="DT1300" s="4" t="n"/>
      <c r="DU1300" s="4" t="n"/>
      <c r="DV1300" s="4" t="n"/>
      <c r="DW1300" s="4" t="n"/>
      <c r="DX1300" s="4" t="n"/>
      <c r="DY1300" s="4" t="n"/>
      <c r="DZ1300" s="4" t="n"/>
      <c r="EA1300" s="4" t="n"/>
      <c r="EB1300" s="4" t="n"/>
      <c r="EC1300" s="4" t="n"/>
      <c r="ED1300" s="4" t="n"/>
      <c r="EE1300" s="4" t="n"/>
      <c r="EF1300" s="4" t="n"/>
      <c r="EG1300" s="4" t="n"/>
      <c r="EH1300" s="4" t="n"/>
      <c r="EI1300" s="4" t="n"/>
      <c r="EJ1300" s="4" t="n"/>
      <c r="EK1300" s="4" t="n"/>
      <c r="EL1300" s="4" t="n"/>
      <c r="EM1300" s="4" t="n"/>
    </row>
    <row r="1312" hidden="1" customFormat="1" s="6">
      <c r="C1312" s="4" t="n"/>
      <c r="D1312" s="4" t="n"/>
      <c r="E1312" s="4" t="n"/>
      <c r="F1312" s="4" t="n"/>
      <c r="G1312" s="4" t="n"/>
      <c r="H1312" s="4" t="n"/>
      <c r="I1312" s="4" t="n"/>
      <c r="J1312" s="4" t="n"/>
      <c r="K1312" s="4" t="n"/>
      <c r="L1312" s="4" t="n"/>
      <c r="M1312" s="4" t="n"/>
      <c r="N1312" s="4" t="n"/>
      <c r="O1312" s="4" t="n"/>
      <c r="P1312" s="4" t="n"/>
      <c r="Q1312" s="4" t="n"/>
      <c r="R1312" s="4" t="n"/>
      <c r="S1312" s="4" t="n"/>
      <c r="T1312" s="4" t="n"/>
      <c r="U1312" s="4" t="n"/>
      <c r="V1312" s="4" t="n"/>
      <c r="W1312" s="4" t="n"/>
      <c r="X1312" s="4" t="n"/>
      <c r="Y1312" s="4" t="n"/>
      <c r="Z1312" s="4" t="n"/>
      <c r="AA1312" s="4" t="n"/>
      <c r="AB1312" s="4" t="n"/>
      <c r="AC1312" s="4" t="n"/>
      <c r="AD1312" s="4" t="n"/>
      <c r="AE1312" s="4" t="n"/>
      <c r="AF1312" s="4" t="n"/>
      <c r="AG1312" s="4" t="n"/>
      <c r="AH1312" s="4" t="n"/>
      <c r="AI1312" s="4" t="n"/>
      <c r="AJ1312" s="4" t="n"/>
      <c r="AK1312" s="4" t="n"/>
      <c r="AL1312" s="4" t="n"/>
      <c r="AM1312" s="4" t="n"/>
      <c r="AN1312" s="4" t="n"/>
      <c r="AO1312" s="4" t="n"/>
      <c r="AP1312" s="4" t="n"/>
      <c r="AQ1312" s="4" t="n"/>
      <c r="AR1312" s="4" t="n"/>
      <c r="AS1312" s="4" t="n"/>
      <c r="AT1312" s="4" t="n"/>
      <c r="AU1312" s="4" t="n"/>
      <c r="AV1312" s="4" t="n"/>
      <c r="AW1312" s="4" t="n"/>
      <c r="AX1312" s="4" t="n"/>
      <c r="AY1312" s="4" t="n"/>
      <c r="AZ1312" s="4" t="n"/>
      <c r="BA1312" s="4" t="n"/>
      <c r="BB1312" s="4" t="n"/>
      <c r="BC1312" s="4" t="n"/>
      <c r="BD1312" s="4" t="n"/>
      <c r="BE1312" s="4" t="n"/>
      <c r="BF1312" s="4" t="n"/>
      <c r="BG1312" s="4" t="n"/>
      <c r="BH1312" s="4" t="n"/>
      <c r="BI1312" s="4" t="n"/>
      <c r="BJ1312" s="4" t="n"/>
      <c r="BK1312" s="4" t="n"/>
      <c r="BL1312" s="4" t="n"/>
      <c r="BM1312" s="4" t="n"/>
      <c r="BN1312" s="4" t="n"/>
      <c r="BO1312" s="4" t="n"/>
      <c r="BP1312" s="4" t="n"/>
      <c r="BQ1312" s="4" t="n"/>
      <c r="BR1312" s="4" t="n"/>
      <c r="BS1312" s="4" t="n"/>
      <c r="BT1312" s="4" t="n"/>
      <c r="BU1312" s="4" t="n"/>
      <c r="BV1312" s="4" t="n"/>
      <c r="BW1312" s="4" t="n"/>
      <c r="BX1312" s="4" t="n"/>
      <c r="BY1312" s="4" t="n"/>
      <c r="BZ1312" s="4" t="n"/>
      <c r="CA1312" s="4" t="n"/>
      <c r="CB1312" s="4" t="n"/>
      <c r="CC1312" s="4" t="n"/>
      <c r="CD1312" s="4" t="n"/>
      <c r="CE1312" s="4" t="n"/>
      <c r="CF1312" s="4" t="n"/>
      <c r="CG1312" s="4" t="n"/>
      <c r="CH1312" s="4" t="n"/>
      <c r="CI1312" s="4" t="n"/>
      <c r="CJ1312" s="4" t="n"/>
      <c r="CK1312" s="4" t="n"/>
      <c r="CL1312" s="4" t="n"/>
      <c r="CM1312" s="4" t="n"/>
      <c r="CN1312" s="4" t="n"/>
      <c r="CO1312" s="4" t="n"/>
      <c r="CP1312" s="4" t="n"/>
      <c r="CQ1312" s="4" t="n"/>
      <c r="CR1312" s="4" t="n"/>
      <c r="CS1312" s="4" t="n"/>
      <c r="CT1312" s="4" t="n"/>
      <c r="CU1312" s="4" t="n"/>
      <c r="CV1312" s="4" t="n"/>
      <c r="CW1312" s="4" t="n"/>
      <c r="CX1312" s="4" t="n"/>
      <c r="CY1312" s="4" t="n"/>
      <c r="CZ1312" s="4" t="n"/>
      <c r="DA1312" s="4" t="n"/>
      <c r="DB1312" s="4" t="n"/>
      <c r="DC1312" s="4" t="n"/>
      <c r="DD1312" s="4" t="n"/>
      <c r="DE1312" s="4" t="n"/>
      <c r="DF1312" s="4" t="n"/>
      <c r="DG1312" s="4" t="n"/>
      <c r="DH1312" s="4" t="n"/>
      <c r="DI1312" s="4" t="n"/>
      <c r="DJ1312" s="4" t="n"/>
      <c r="DK1312" s="4" t="n"/>
      <c r="DL1312" s="4" t="n"/>
      <c r="DM1312" s="4" t="n"/>
      <c r="DN1312" s="4" t="n"/>
      <c r="DO1312" s="4" t="n"/>
      <c r="DP1312" s="4" t="n"/>
      <c r="DQ1312" s="4" t="n"/>
      <c r="DR1312" s="4" t="n"/>
      <c r="DS1312" s="4" t="n"/>
      <c r="DT1312" s="4" t="n"/>
      <c r="DU1312" s="4" t="n"/>
      <c r="DV1312" s="4" t="n"/>
      <c r="DW1312" s="4" t="n"/>
      <c r="DX1312" s="4" t="n"/>
      <c r="DY1312" s="4" t="n"/>
      <c r="DZ1312" s="4" t="n"/>
      <c r="EA1312" s="4" t="n"/>
      <c r="EB1312" s="4" t="n"/>
      <c r="EC1312" s="4" t="n"/>
      <c r="ED1312" s="4" t="n"/>
      <c r="EE1312" s="4" t="n"/>
      <c r="EF1312" s="4" t="n"/>
      <c r="EG1312" s="4" t="n"/>
      <c r="EH1312" s="4" t="n"/>
      <c r="EI1312" s="4" t="n"/>
      <c r="EJ1312" s="4" t="n"/>
      <c r="EK1312" s="4" t="n"/>
      <c r="EL1312" s="4" t="n"/>
      <c r="EM1312" s="4" t="n"/>
      <c r="EN1312" s="4" t="n"/>
      <c r="EO1312" s="4" t="n"/>
      <c r="EP1312" s="4" t="n"/>
      <c r="EQ1312" s="4" t="n"/>
      <c r="ER1312" s="4" t="n"/>
      <c r="ES1312" s="4" t="n"/>
      <c r="ET1312" s="4" t="n"/>
      <c r="EU1312" s="4" t="n"/>
      <c r="EV1312" s="4" t="n"/>
      <c r="EW1312" s="4" t="n"/>
      <c r="EX1312" s="4" t="n"/>
      <c r="EY1312" s="4" t="n"/>
      <c r="EZ1312" s="4" t="n"/>
      <c r="FA1312" s="4" t="n"/>
      <c r="FB1312" s="4" t="n"/>
      <c r="FC1312" s="4" t="n"/>
    </row>
    <row r="1313" hidden="1" customFormat="1" s="6">
      <c r="C1313" s="4" t="n"/>
      <c r="D1313" s="4" t="n"/>
      <c r="E1313" s="4" t="n"/>
      <c r="F1313" s="4" t="n"/>
      <c r="G1313" s="4" t="n"/>
      <c r="H1313" s="4" t="n"/>
      <c r="I1313" s="4" t="n"/>
      <c r="J1313" s="4" t="n"/>
      <c r="K1313" s="4" t="n"/>
      <c r="L1313" s="4" t="n"/>
      <c r="M1313" s="4" t="n"/>
      <c r="N1313" s="4" t="n"/>
      <c r="O1313" s="4" t="n"/>
      <c r="P1313" s="4" t="n"/>
      <c r="Q1313" s="4" t="n"/>
      <c r="R1313" s="4" t="n"/>
      <c r="S1313" s="4" t="n"/>
      <c r="T1313" s="4" t="n"/>
      <c r="U1313" s="4" t="n"/>
      <c r="V1313" s="4" t="n"/>
      <c r="W1313" s="4" t="n"/>
      <c r="X1313" s="4" t="n"/>
      <c r="Y1313" s="4" t="n"/>
      <c r="Z1313" s="4" t="n"/>
      <c r="AA1313" s="4" t="n"/>
      <c r="AB1313" s="4" t="n"/>
      <c r="AC1313" s="4" t="n"/>
      <c r="AD1313" s="4" t="n"/>
      <c r="AE1313" s="4" t="n"/>
      <c r="AF1313" s="4" t="n"/>
      <c r="AG1313" s="4" t="n"/>
      <c r="AH1313" s="4" t="n"/>
      <c r="AI1313" s="4" t="n"/>
      <c r="AJ1313" s="4" t="n"/>
      <c r="AK1313" s="4" t="n"/>
      <c r="AL1313" s="4" t="n"/>
      <c r="AM1313" s="4" t="n"/>
      <c r="AN1313" s="4" t="n"/>
      <c r="AO1313" s="4" t="n"/>
      <c r="AP1313" s="4" t="n"/>
      <c r="AQ1313" s="4" t="n"/>
      <c r="AR1313" s="4" t="n"/>
      <c r="AS1313" s="4" t="n"/>
      <c r="AT1313" s="4" t="n"/>
      <c r="AU1313" s="4" t="n"/>
      <c r="AV1313" s="4" t="n"/>
      <c r="AW1313" s="4" t="n"/>
      <c r="AX1313" s="4" t="n"/>
      <c r="AY1313" s="4" t="n"/>
      <c r="AZ1313" s="4" t="n"/>
      <c r="BA1313" s="4" t="n"/>
      <c r="BB1313" s="4" t="n"/>
      <c r="BC1313" s="4" t="n"/>
      <c r="BD1313" s="4" t="n"/>
      <c r="BE1313" s="4" t="n"/>
      <c r="BF1313" s="4" t="n"/>
      <c r="BG1313" s="4" t="n"/>
      <c r="BH1313" s="4" t="n"/>
      <c r="BI1313" s="4" t="n"/>
      <c r="BJ1313" s="4" t="n"/>
      <c r="BK1313" s="4" t="n"/>
      <c r="BL1313" s="4" t="n"/>
      <c r="BM1313" s="4" t="n"/>
      <c r="BN1313" s="4" t="n"/>
      <c r="BO1313" s="4" t="n"/>
      <c r="BP1313" s="4" t="n"/>
      <c r="BQ1313" s="4" t="n"/>
      <c r="BR1313" s="4" t="n"/>
      <c r="BS1313" s="4" t="n"/>
      <c r="BT1313" s="4" t="n"/>
      <c r="BU1313" s="4" t="n"/>
      <c r="BV1313" s="4" t="n"/>
      <c r="BW1313" s="4" t="n"/>
      <c r="BX1313" s="4" t="n"/>
      <c r="BY1313" s="4" t="n"/>
      <c r="BZ1313" s="4" t="n"/>
      <c r="CA1313" s="4" t="n"/>
      <c r="CB1313" s="4" t="n"/>
      <c r="CC1313" s="4" t="n"/>
      <c r="CD1313" s="4" t="n"/>
      <c r="CE1313" s="4" t="n"/>
      <c r="CF1313" s="4" t="n"/>
      <c r="CG1313" s="4" t="n"/>
      <c r="CH1313" s="4" t="n"/>
      <c r="CI1313" s="4" t="n"/>
      <c r="CJ1313" s="4" t="n"/>
      <c r="CK1313" s="4" t="n"/>
      <c r="CL1313" s="4" t="n"/>
      <c r="CM1313" s="4" t="n"/>
      <c r="CN1313" s="4" t="n"/>
      <c r="CO1313" s="4" t="n"/>
      <c r="CP1313" s="4" t="n"/>
      <c r="CQ1313" s="4" t="n"/>
      <c r="CR1313" s="4" t="n"/>
      <c r="CS1313" s="4" t="n"/>
      <c r="CT1313" s="4" t="n"/>
      <c r="CU1313" s="4" t="n"/>
      <c r="CV1313" s="4" t="n"/>
      <c r="CW1313" s="4" t="n"/>
      <c r="CX1313" s="4" t="n"/>
      <c r="CY1313" s="4" t="n"/>
      <c r="CZ1313" s="4" t="n"/>
      <c r="DA1313" s="4" t="n"/>
      <c r="DB1313" s="4" t="n"/>
      <c r="DC1313" s="4" t="n"/>
      <c r="DD1313" s="4" t="n"/>
      <c r="DE1313" s="4" t="n"/>
      <c r="DF1313" s="4" t="n"/>
      <c r="DG1313" s="4" t="n"/>
      <c r="DH1313" s="4" t="n"/>
      <c r="DI1313" s="4" t="n"/>
      <c r="DJ1313" s="4" t="n"/>
      <c r="DK1313" s="4" t="n"/>
      <c r="DL1313" s="4" t="n"/>
      <c r="DM1313" s="4" t="n"/>
      <c r="DN1313" s="4" t="n"/>
      <c r="DO1313" s="4" t="n"/>
      <c r="DP1313" s="4" t="n"/>
      <c r="DQ1313" s="4" t="n"/>
      <c r="DR1313" s="4" t="n"/>
      <c r="DS1313" s="4" t="n"/>
      <c r="DT1313" s="4" t="n"/>
      <c r="DU1313" s="4" t="n"/>
      <c r="DV1313" s="4" t="n"/>
      <c r="DW1313" s="4" t="n"/>
      <c r="DX1313" s="4" t="n"/>
      <c r="DY1313" s="4" t="n"/>
      <c r="DZ1313" s="4" t="n"/>
      <c r="EA1313" s="4" t="n"/>
      <c r="EB1313" s="4" t="n"/>
      <c r="EC1313" s="4" t="n"/>
      <c r="ED1313" s="4" t="n"/>
      <c r="EE1313" s="4" t="n"/>
      <c r="EF1313" s="4" t="n"/>
      <c r="EG1313" s="4" t="n"/>
      <c r="EH1313" s="4" t="n"/>
      <c r="EI1313" s="4" t="n"/>
      <c r="EJ1313" s="4" t="n"/>
      <c r="EK1313" s="4" t="n"/>
      <c r="EL1313" s="4" t="n"/>
      <c r="EM1313" s="4" t="n"/>
      <c r="EN1313" s="4" t="n"/>
      <c r="EO1313" s="4" t="n"/>
      <c r="EP1313" s="4" t="n"/>
      <c r="EQ1313" s="4" t="n"/>
      <c r="ER1313" s="4" t="n"/>
      <c r="ES1313" s="4" t="n"/>
      <c r="ET1313" s="4" t="n"/>
      <c r="EU1313" s="4" t="n"/>
      <c r="EV1313" s="4" t="n"/>
      <c r="EW1313" s="4" t="n"/>
      <c r="EX1313" s="4" t="n"/>
      <c r="EY1313" s="4" t="n"/>
      <c r="EZ1313" s="4" t="n"/>
      <c r="FA1313" s="4" t="n"/>
      <c r="FB1313" s="4" t="n"/>
      <c r="FC1313" s="4" t="n"/>
    </row>
    <row r="1314" hidden="1" customFormat="1" s="6">
      <c r="C1314" s="4" t="n"/>
      <c r="D1314" s="4" t="n"/>
      <c r="E1314" s="4" t="n"/>
      <c r="F1314" s="4" t="n"/>
      <c r="G1314" s="4" t="n"/>
      <c r="H1314" s="4" t="n"/>
      <c r="I1314" s="4" t="n"/>
      <c r="J1314" s="4" t="n"/>
      <c r="K1314" s="4" t="n"/>
      <c r="L1314" s="4" t="n"/>
      <c r="M1314" s="4" t="n"/>
      <c r="N1314" s="4" t="n"/>
      <c r="O1314" s="4" t="n"/>
      <c r="P1314" s="4" t="n"/>
      <c r="Q1314" s="4" t="n"/>
      <c r="R1314" s="4" t="n"/>
      <c r="S1314" s="4" t="n"/>
      <c r="T1314" s="4" t="n"/>
      <c r="U1314" s="4" t="n"/>
      <c r="V1314" s="4" t="n"/>
      <c r="W1314" s="4" t="n"/>
      <c r="X1314" s="4" t="n"/>
      <c r="Y1314" s="4" t="n"/>
      <c r="Z1314" s="4" t="n"/>
      <c r="AA1314" s="4" t="n"/>
      <c r="AB1314" s="4" t="n"/>
      <c r="AC1314" s="4" t="n"/>
      <c r="AD1314" s="4" t="n"/>
      <c r="AE1314" s="4" t="n"/>
      <c r="AF1314" s="4" t="n"/>
      <c r="AG1314" s="4" t="n"/>
      <c r="AH1314" s="4" t="n"/>
      <c r="AI1314" s="4" t="n"/>
      <c r="AJ1314" s="4" t="n"/>
      <c r="AK1314" s="4" t="n"/>
      <c r="AL1314" s="4" t="n"/>
      <c r="AM1314" s="4" t="n"/>
      <c r="AN1314" s="4" t="n"/>
      <c r="AO1314" s="4" t="n"/>
      <c r="AP1314" s="4" t="n"/>
      <c r="AQ1314" s="4" t="n"/>
      <c r="AR1314" s="4" t="n"/>
      <c r="AS1314" s="4" t="n"/>
      <c r="AT1314" s="4" t="n"/>
      <c r="AU1314" s="4" t="n"/>
      <c r="AV1314" s="4" t="n"/>
      <c r="AW1314" s="4" t="n"/>
      <c r="AX1314" s="4" t="n"/>
      <c r="AY1314" s="4" t="n"/>
      <c r="AZ1314" s="4" t="n"/>
      <c r="BA1314" s="4" t="n"/>
      <c r="BB1314" s="4" t="n"/>
      <c r="BC1314" s="4" t="n"/>
      <c r="BD1314" s="4" t="n"/>
      <c r="BE1314" s="4" t="n"/>
      <c r="BF1314" s="4" t="n"/>
      <c r="BG1314" s="4" t="n"/>
      <c r="BH1314" s="4" t="n"/>
      <c r="BI1314" s="4" t="n"/>
      <c r="BJ1314" s="4" t="n"/>
      <c r="BK1314" s="4" t="n"/>
      <c r="BL1314" s="4" t="n"/>
      <c r="BM1314" s="4" t="n"/>
      <c r="BN1314" s="4" t="n"/>
      <c r="BO1314" s="4" t="n"/>
      <c r="BP1314" s="4" t="n"/>
      <c r="BQ1314" s="4" t="n"/>
      <c r="BR1314" s="4" t="n"/>
      <c r="BS1314" s="4" t="n"/>
      <c r="BT1314" s="4" t="n"/>
      <c r="BU1314" s="4" t="n"/>
      <c r="BV1314" s="4" t="n"/>
      <c r="BW1314" s="4" t="n"/>
      <c r="BX1314" s="4" t="n"/>
      <c r="BY1314" s="4" t="n"/>
      <c r="BZ1314" s="4" t="n"/>
      <c r="CA1314" s="4" t="n"/>
      <c r="CB1314" s="4" t="n"/>
      <c r="CC1314" s="4" t="n"/>
      <c r="CD1314" s="4" t="n"/>
      <c r="CE1314" s="4" t="n"/>
      <c r="CF1314" s="4" t="n"/>
      <c r="CG1314" s="4" t="n"/>
      <c r="CH1314" s="4" t="n"/>
      <c r="CI1314" s="4" t="n"/>
      <c r="CJ1314" s="4" t="n"/>
      <c r="CK1314" s="4" t="n"/>
      <c r="CL1314" s="4" t="n"/>
      <c r="CM1314" s="4" t="n"/>
      <c r="CN1314" s="4" t="n"/>
      <c r="CO1314" s="4" t="n"/>
      <c r="CP1314" s="4" t="n"/>
      <c r="CQ1314" s="4" t="n"/>
      <c r="CR1314" s="4" t="n"/>
      <c r="CS1314" s="4" t="n"/>
      <c r="CT1314" s="4" t="n"/>
      <c r="CU1314" s="4" t="n"/>
      <c r="CV1314" s="4" t="n"/>
      <c r="CW1314" s="4" t="n"/>
      <c r="CX1314" s="4" t="n"/>
      <c r="CY1314" s="4" t="n"/>
      <c r="CZ1314" s="4" t="n"/>
      <c r="DA1314" s="4" t="n"/>
      <c r="DB1314" s="4" t="n"/>
      <c r="DC1314" s="4" t="n"/>
      <c r="DD1314" s="4" t="n"/>
      <c r="DE1314" s="4" t="n"/>
      <c r="DF1314" s="4" t="n"/>
      <c r="DG1314" s="4" t="n"/>
      <c r="DH1314" s="4" t="n"/>
      <c r="DI1314" s="4" t="n"/>
      <c r="DJ1314" s="4" t="n"/>
      <c r="DK1314" s="4" t="n"/>
      <c r="DL1314" s="4" t="n"/>
      <c r="DM1314" s="4" t="n"/>
      <c r="DN1314" s="4" t="n"/>
      <c r="DO1314" s="4" t="n"/>
      <c r="DP1314" s="4" t="n"/>
      <c r="DQ1314" s="4" t="n"/>
      <c r="DR1314" s="4" t="n"/>
      <c r="DS1314" s="4" t="n"/>
      <c r="DT1314" s="4" t="n"/>
      <c r="DU1314" s="4" t="n"/>
      <c r="DV1314" s="4" t="n"/>
      <c r="DW1314" s="4" t="n"/>
      <c r="DX1314" s="4" t="n"/>
      <c r="DY1314" s="4" t="n"/>
      <c r="DZ1314" s="4" t="n"/>
      <c r="EA1314" s="4" t="n"/>
      <c r="EB1314" s="4" t="n"/>
      <c r="EC1314" s="4" t="n"/>
      <c r="ED1314" s="4" t="n"/>
      <c r="EE1314" s="4" t="n"/>
      <c r="EF1314" s="4" t="n"/>
      <c r="EG1314" s="4" t="n"/>
      <c r="EH1314" s="4" t="n"/>
      <c r="EI1314" s="4" t="n"/>
      <c r="EJ1314" s="4" t="n"/>
      <c r="EK1314" s="4" t="n"/>
      <c r="EL1314" s="4" t="n"/>
      <c r="EM1314" s="4" t="n"/>
      <c r="EN1314" s="4" t="n"/>
      <c r="EO1314" s="4" t="n"/>
      <c r="EP1314" s="4" t="n"/>
      <c r="EQ1314" s="4" t="n"/>
      <c r="ER1314" s="4" t="n"/>
      <c r="ES1314" s="4" t="n"/>
      <c r="ET1314" s="4" t="n"/>
      <c r="EU1314" s="4" t="n"/>
      <c r="EV1314" s="4" t="n"/>
      <c r="EW1314" s="4" t="n"/>
      <c r="EX1314" s="4" t="n"/>
      <c r="EY1314" s="4" t="n"/>
      <c r="EZ1314" s="4" t="n"/>
      <c r="FA1314" s="4" t="n"/>
      <c r="FB1314" s="4" t="n"/>
      <c r="FC1314" s="4" t="n"/>
    </row>
    <row r="1315" hidden="1" customFormat="1" s="6">
      <c r="C1315" s="4" t="n"/>
      <c r="D1315" s="4" t="n"/>
      <c r="E1315" s="4" t="n"/>
      <c r="F1315" s="4" t="n"/>
      <c r="G1315" s="4" t="n"/>
      <c r="H1315" s="4" t="n"/>
      <c r="I1315" s="4" t="n"/>
      <c r="J1315" s="4" t="n"/>
      <c r="K1315" s="4" t="n"/>
      <c r="L1315" s="4" t="n"/>
      <c r="M1315" s="4" t="n"/>
      <c r="N1315" s="4" t="n"/>
      <c r="O1315" s="4" t="n"/>
      <c r="P1315" s="4" t="n"/>
      <c r="Q1315" s="4" t="n"/>
      <c r="R1315" s="4" t="n"/>
      <c r="S1315" s="4" t="n"/>
      <c r="T1315" s="4" t="n"/>
      <c r="U1315" s="4" t="n"/>
      <c r="V1315" s="4" t="n"/>
      <c r="W1315" s="4" t="n"/>
      <c r="X1315" s="4" t="n"/>
      <c r="Y1315" s="4" t="n"/>
      <c r="Z1315" s="4" t="n"/>
      <c r="AA1315" s="4" t="n"/>
      <c r="AB1315" s="4" t="n"/>
      <c r="AC1315" s="4" t="n"/>
      <c r="AD1315" s="4" t="n"/>
      <c r="AE1315" s="4" t="n"/>
      <c r="AF1315" s="4" t="n"/>
      <c r="AG1315" s="4" t="n"/>
      <c r="AH1315" s="4" t="n"/>
      <c r="AI1315" s="4" t="n"/>
      <c r="AJ1315" s="4" t="n"/>
      <c r="AK1315" s="4" t="n"/>
      <c r="AL1315" s="4" t="n"/>
      <c r="AM1315" s="4" t="n"/>
      <c r="AN1315" s="4" t="n"/>
      <c r="AO1315" s="4" t="n"/>
      <c r="AP1315" s="4" t="n"/>
      <c r="AQ1315" s="4" t="n"/>
      <c r="AR1315" s="4" t="n"/>
      <c r="AS1315" s="4" t="n"/>
      <c r="AT1315" s="4" t="n"/>
      <c r="AU1315" s="4" t="n"/>
      <c r="AV1315" s="4" t="n"/>
      <c r="AW1315" s="4" t="n"/>
      <c r="AX1315" s="4" t="n"/>
      <c r="AY1315" s="4" t="n"/>
      <c r="AZ1315" s="4" t="n"/>
      <c r="BA1315" s="4" t="n"/>
      <c r="BB1315" s="4" t="n"/>
      <c r="BC1315" s="4" t="n"/>
      <c r="BD1315" s="4" t="n"/>
      <c r="BE1315" s="4" t="n"/>
      <c r="BF1315" s="4" t="n"/>
      <c r="BG1315" s="4" t="n"/>
      <c r="BH1315" s="4" t="n"/>
      <c r="BI1315" s="4" t="n"/>
      <c r="BJ1315" s="4" t="n"/>
      <c r="BK1315" s="4" t="n"/>
      <c r="BL1315" s="4" t="n"/>
      <c r="BM1315" s="4" t="n"/>
      <c r="BN1315" s="4" t="n"/>
      <c r="BO1315" s="4" t="n"/>
      <c r="BP1315" s="4" t="n"/>
      <c r="BQ1315" s="4" t="n"/>
      <c r="BR1315" s="4" t="n"/>
      <c r="BS1315" s="4" t="n"/>
      <c r="BT1315" s="4" t="n"/>
      <c r="BU1315" s="4" t="n"/>
      <c r="BV1315" s="4" t="n"/>
      <c r="BW1315" s="4" t="n"/>
      <c r="BX1315" s="4" t="n"/>
      <c r="BY1315" s="4" t="n"/>
      <c r="BZ1315" s="4" t="n"/>
      <c r="CA1315" s="4" t="n"/>
      <c r="CB1315" s="4" t="n"/>
      <c r="CC1315" s="4" t="n"/>
      <c r="CD1315" s="4" t="n"/>
      <c r="CE1315" s="4" t="n"/>
      <c r="CF1315" s="4" t="n"/>
      <c r="CG1315" s="4" t="n"/>
      <c r="CH1315" s="4" t="n"/>
      <c r="CI1315" s="4" t="n"/>
      <c r="CJ1315" s="4" t="n"/>
      <c r="CK1315" s="4" t="n"/>
      <c r="CL1315" s="4" t="n"/>
      <c r="CM1315" s="4" t="n"/>
      <c r="CN1315" s="4" t="n"/>
      <c r="CO1315" s="4" t="n"/>
      <c r="CP1315" s="4" t="n"/>
      <c r="CQ1315" s="4" t="n"/>
      <c r="CR1315" s="4" t="n"/>
      <c r="CS1315" s="4" t="n"/>
      <c r="CT1315" s="4" t="n"/>
      <c r="CU1315" s="4" t="n"/>
      <c r="CV1315" s="4" t="n"/>
      <c r="CW1315" s="4" t="n"/>
      <c r="CX1315" s="4" t="n"/>
      <c r="CY1315" s="4" t="n"/>
      <c r="CZ1315" s="4" t="n"/>
      <c r="DA1315" s="4" t="n"/>
      <c r="DB1315" s="4" t="n"/>
      <c r="DC1315" s="4" t="n"/>
      <c r="DD1315" s="4" t="n"/>
      <c r="DE1315" s="4" t="n"/>
      <c r="DF1315" s="4" t="n"/>
      <c r="DG1315" s="4" t="n"/>
      <c r="DH1315" s="4" t="n"/>
      <c r="DI1315" s="4" t="n"/>
      <c r="DJ1315" s="4" t="n"/>
      <c r="DK1315" s="4" t="n"/>
      <c r="DL1315" s="4" t="n"/>
      <c r="DM1315" s="4" t="n"/>
      <c r="DN1315" s="4" t="n"/>
      <c r="DO1315" s="4" t="n"/>
      <c r="DP1315" s="4" t="n"/>
      <c r="DQ1315" s="4" t="n"/>
      <c r="DR1315" s="4" t="n"/>
      <c r="DS1315" s="4" t="n"/>
      <c r="DT1315" s="4" t="n"/>
      <c r="DU1315" s="4" t="n"/>
      <c r="DV1315" s="4" t="n"/>
      <c r="DW1315" s="4" t="n"/>
      <c r="DX1315" s="4" t="n"/>
      <c r="DY1315" s="4" t="n"/>
      <c r="DZ1315" s="4" t="n"/>
      <c r="EA1315" s="4" t="n"/>
      <c r="EB1315" s="4" t="n"/>
      <c r="EC1315" s="4" t="n"/>
      <c r="ED1315" s="4" t="n"/>
      <c r="EE1315" s="4" t="n"/>
      <c r="EF1315" s="4" t="n"/>
      <c r="EG1315" s="4" t="n"/>
      <c r="EH1315" s="4" t="n"/>
      <c r="EI1315" s="4" t="n"/>
      <c r="EJ1315" s="4" t="n"/>
      <c r="EK1315" s="4" t="n"/>
      <c r="EL1315" s="4" t="n"/>
      <c r="EM1315" s="4" t="n"/>
      <c r="EN1315" s="4" t="n"/>
      <c r="EO1315" s="4" t="n"/>
      <c r="EP1315" s="4" t="n"/>
      <c r="EQ1315" s="4" t="n"/>
      <c r="ER1315" s="4" t="n"/>
      <c r="ES1315" s="4" t="n"/>
      <c r="ET1315" s="4" t="n"/>
      <c r="EU1315" s="4" t="n"/>
      <c r="EV1315" s="4" t="n"/>
      <c r="EW1315" s="4" t="n"/>
      <c r="EX1315" s="4" t="n"/>
      <c r="EY1315" s="4" t="n"/>
      <c r="EZ1315" s="4" t="n"/>
      <c r="FA1315" s="4" t="n"/>
      <c r="FB1315" s="4" t="n"/>
      <c r="FC1315" s="4" t="n"/>
    </row>
    <row r="1316" hidden="1" customFormat="1" s="6">
      <c r="C1316" s="4" t="n"/>
      <c r="D1316" s="4" t="n"/>
      <c r="E1316" s="4" t="n"/>
      <c r="F1316" s="4" t="n"/>
      <c r="G1316" s="4" t="n"/>
      <c r="H1316" s="4" t="n"/>
      <c r="I1316" s="4" t="n"/>
      <c r="J1316" s="4" t="n"/>
      <c r="K1316" s="4" t="n"/>
      <c r="L1316" s="4" t="n"/>
      <c r="M1316" s="4" t="n"/>
      <c r="N1316" s="4" t="n"/>
      <c r="O1316" s="4" t="n"/>
      <c r="P1316" s="4" t="n"/>
      <c r="Q1316" s="4" t="n"/>
      <c r="R1316" s="4" t="n"/>
      <c r="S1316" s="4" t="n"/>
      <c r="T1316" s="4" t="n"/>
      <c r="U1316" s="4" t="n"/>
      <c r="V1316" s="4" t="n"/>
      <c r="W1316" s="4" t="n"/>
      <c r="X1316" s="4" t="n"/>
      <c r="Y1316" s="4" t="n"/>
      <c r="Z1316" s="4" t="n"/>
      <c r="AA1316" s="4" t="n"/>
      <c r="AB1316" s="4" t="n"/>
      <c r="AC1316" s="4" t="n"/>
      <c r="AD1316" s="4" t="n"/>
      <c r="AE1316" s="4" t="n"/>
      <c r="AF1316" s="4" t="n"/>
      <c r="AG1316" s="4" t="n"/>
      <c r="AH1316" s="4" t="n"/>
      <c r="AI1316" s="4" t="n"/>
      <c r="AJ1316" s="4" t="n"/>
      <c r="AK1316" s="4" t="n"/>
      <c r="AL1316" s="4" t="n"/>
      <c r="AM1316" s="4" t="n"/>
      <c r="AN1316" s="4" t="n"/>
      <c r="AO1316" s="4" t="n"/>
      <c r="AP1316" s="4" t="n"/>
      <c r="AQ1316" s="4" t="n"/>
      <c r="AR1316" s="4" t="n"/>
      <c r="AS1316" s="4" t="n"/>
      <c r="AT1316" s="4" t="n"/>
      <c r="AU1316" s="4" t="n"/>
      <c r="AV1316" s="4" t="n"/>
      <c r="AW1316" s="4" t="n"/>
      <c r="AX1316" s="4" t="n"/>
      <c r="AY1316" s="4" t="n"/>
      <c r="AZ1316" s="4" t="n"/>
      <c r="BA1316" s="4" t="n"/>
      <c r="BB1316" s="4" t="n"/>
      <c r="BC1316" s="4" t="n"/>
      <c r="BD1316" s="4" t="n"/>
      <c r="BE1316" s="4" t="n"/>
      <c r="BF1316" s="4" t="n"/>
      <c r="BG1316" s="4" t="n"/>
      <c r="BH1316" s="4" t="n"/>
      <c r="BI1316" s="4" t="n"/>
      <c r="BJ1316" s="4" t="n"/>
      <c r="BK1316" s="4" t="n"/>
      <c r="BL1316" s="4" t="n"/>
      <c r="BM1316" s="4" t="n"/>
      <c r="BN1316" s="4" t="n"/>
      <c r="BO1316" s="4" t="n"/>
      <c r="BP1316" s="4" t="n"/>
      <c r="BQ1316" s="4" t="n"/>
      <c r="BR1316" s="4" t="n"/>
      <c r="BS1316" s="4" t="n"/>
      <c r="BT1316" s="4" t="n"/>
      <c r="BU1316" s="4" t="n"/>
      <c r="BV1316" s="4" t="n"/>
      <c r="BW1316" s="4" t="n"/>
      <c r="BX1316" s="4" t="n"/>
      <c r="BY1316" s="4" t="n"/>
      <c r="BZ1316" s="4" t="n"/>
      <c r="CA1316" s="4" t="n"/>
      <c r="CB1316" s="4" t="n"/>
      <c r="CC1316" s="4" t="n"/>
      <c r="CD1316" s="4" t="n"/>
      <c r="CE1316" s="4" t="n"/>
      <c r="CF1316" s="4" t="n"/>
      <c r="CG1316" s="4" t="n"/>
      <c r="CH1316" s="4" t="n"/>
      <c r="CI1316" s="4" t="n"/>
      <c r="CJ1316" s="4" t="n"/>
      <c r="CK1316" s="4" t="n"/>
      <c r="CL1316" s="4" t="n"/>
      <c r="CM1316" s="4" t="n"/>
      <c r="CN1316" s="4" t="n"/>
      <c r="CO1316" s="4" t="n"/>
      <c r="CP1316" s="4" t="n"/>
      <c r="CQ1316" s="4" t="n"/>
      <c r="CR1316" s="4" t="n"/>
      <c r="CS1316" s="4" t="n"/>
      <c r="CT1316" s="4" t="n"/>
      <c r="CU1316" s="4" t="n"/>
      <c r="CV1316" s="4" t="n"/>
      <c r="CW1316" s="4" t="n"/>
      <c r="CX1316" s="4" t="n"/>
      <c r="CY1316" s="4" t="n"/>
      <c r="CZ1316" s="4" t="n"/>
      <c r="DA1316" s="4" t="n"/>
      <c r="DB1316" s="4" t="n"/>
      <c r="DC1316" s="4" t="n"/>
      <c r="DD1316" s="4" t="n"/>
      <c r="DE1316" s="4" t="n"/>
      <c r="DF1316" s="4" t="n"/>
      <c r="DG1316" s="4" t="n"/>
      <c r="DH1316" s="4" t="n"/>
      <c r="DI1316" s="4" t="n"/>
      <c r="DJ1316" s="4" t="n"/>
      <c r="DK1316" s="4" t="n"/>
      <c r="DL1316" s="4" t="n"/>
      <c r="DM1316" s="4" t="n"/>
      <c r="DN1316" s="4" t="n"/>
      <c r="DO1316" s="4" t="n"/>
      <c r="DP1316" s="4" t="n"/>
      <c r="DQ1316" s="4" t="n"/>
      <c r="DR1316" s="4" t="n"/>
      <c r="DS1316" s="4" t="n"/>
      <c r="DT1316" s="4" t="n"/>
      <c r="DU1316" s="4" t="n"/>
      <c r="DV1316" s="4" t="n"/>
      <c r="DW1316" s="4" t="n"/>
      <c r="DX1316" s="4" t="n"/>
      <c r="DY1316" s="4" t="n"/>
      <c r="DZ1316" s="4" t="n"/>
      <c r="EA1316" s="4" t="n"/>
      <c r="EB1316" s="4" t="n"/>
      <c r="EC1316" s="4" t="n"/>
      <c r="ED1316" s="4" t="n"/>
      <c r="EE1316" s="4" t="n"/>
      <c r="EF1316" s="4" t="n"/>
      <c r="EG1316" s="4" t="n"/>
      <c r="EH1316" s="4" t="n"/>
      <c r="EI1316" s="4" t="n"/>
      <c r="EJ1316" s="4" t="n"/>
      <c r="EK1316" s="4" t="n"/>
      <c r="EL1316" s="4" t="n"/>
      <c r="EM1316" s="4" t="n"/>
      <c r="EN1316" s="4" t="n"/>
      <c r="EO1316" s="4" t="n"/>
      <c r="EP1316" s="4" t="n"/>
      <c r="EQ1316" s="4" t="n"/>
      <c r="ER1316" s="4" t="n"/>
      <c r="ES1316" s="4" t="n"/>
      <c r="ET1316" s="4" t="n"/>
      <c r="EU1316" s="4" t="n"/>
      <c r="EV1316" s="4" t="n"/>
      <c r="EW1316" s="4" t="n"/>
      <c r="EX1316" s="4" t="n"/>
      <c r="EY1316" s="4" t="n"/>
      <c r="EZ1316" s="4" t="n"/>
      <c r="FA1316" s="4" t="n"/>
      <c r="FB1316" s="4" t="n"/>
      <c r="FC1316" s="4" t="n"/>
    </row>
    <row r="1317" hidden="1" customFormat="1" s="6">
      <c r="C1317" s="4" t="n"/>
      <c r="D1317" s="4" t="n"/>
      <c r="E1317" s="4" t="n"/>
      <c r="F1317" s="4" t="n"/>
      <c r="G1317" s="4" t="n"/>
      <c r="H1317" s="4" t="n"/>
      <c r="I1317" s="4" t="n"/>
      <c r="J1317" s="4" t="n"/>
      <c r="K1317" s="4" t="n"/>
      <c r="L1317" s="4" t="n"/>
      <c r="M1317" s="4" t="n"/>
      <c r="N1317" s="4" t="n"/>
      <c r="O1317" s="4" t="n"/>
      <c r="P1317" s="4" t="n"/>
      <c r="Q1317" s="4" t="n"/>
      <c r="R1317" s="4" t="n"/>
      <c r="S1317" s="4" t="n"/>
      <c r="T1317" s="4" t="n"/>
      <c r="U1317" s="4" t="n"/>
      <c r="V1317" s="4" t="n"/>
      <c r="W1317" s="4" t="n"/>
      <c r="X1317" s="4" t="n"/>
      <c r="Y1317" s="4" t="n"/>
      <c r="Z1317" s="4" t="n"/>
      <c r="AA1317" s="4" t="n"/>
      <c r="AB1317" s="4" t="n"/>
      <c r="AC1317" s="4" t="n"/>
      <c r="AD1317" s="4" t="n"/>
      <c r="AE1317" s="4" t="n"/>
      <c r="AF1317" s="4" t="n"/>
      <c r="AG1317" s="4" t="n"/>
      <c r="AH1317" s="4" t="n"/>
      <c r="AI1317" s="4" t="n"/>
      <c r="AJ1317" s="4" t="n"/>
      <c r="AK1317" s="4" t="n"/>
      <c r="AL1317" s="4" t="n"/>
      <c r="AM1317" s="4" t="n"/>
      <c r="AN1317" s="4" t="n"/>
      <c r="AO1317" s="4" t="n"/>
      <c r="AP1317" s="4" t="n"/>
      <c r="AQ1317" s="4" t="n"/>
      <c r="AR1317" s="4" t="n"/>
      <c r="AS1317" s="4" t="n"/>
      <c r="AT1317" s="4" t="n"/>
      <c r="AU1317" s="4" t="n"/>
      <c r="AV1317" s="4" t="n"/>
      <c r="AW1317" s="4" t="n"/>
      <c r="AX1317" s="4" t="n"/>
      <c r="AY1317" s="4" t="n"/>
      <c r="AZ1317" s="4" t="n"/>
      <c r="BA1317" s="4" t="n"/>
      <c r="BB1317" s="4" t="n"/>
      <c r="BC1317" s="4" t="n"/>
      <c r="BD1317" s="4" t="n"/>
      <c r="BE1317" s="4" t="n"/>
      <c r="BF1317" s="4" t="n"/>
      <c r="BG1317" s="4" t="n"/>
      <c r="BH1317" s="4" t="n"/>
      <c r="BI1317" s="4" t="n"/>
      <c r="BJ1317" s="4" t="n"/>
      <c r="BK1317" s="4" t="n"/>
      <c r="BL1317" s="4" t="n"/>
      <c r="BM1317" s="4" t="n"/>
      <c r="BN1317" s="4" t="n"/>
      <c r="BO1317" s="4" t="n"/>
      <c r="BP1317" s="4" t="n"/>
      <c r="BQ1317" s="4" t="n"/>
      <c r="BR1317" s="4" t="n"/>
      <c r="BS1317" s="4" t="n"/>
      <c r="BT1317" s="4" t="n"/>
      <c r="BU1317" s="4" t="n"/>
      <c r="BV1317" s="4" t="n"/>
      <c r="BW1317" s="4" t="n"/>
      <c r="BX1317" s="4" t="n"/>
      <c r="BY1317" s="4" t="n"/>
      <c r="BZ1317" s="4" t="n"/>
      <c r="CA1317" s="4" t="n"/>
      <c r="CB1317" s="4" t="n"/>
      <c r="CC1317" s="4" t="n"/>
      <c r="CD1317" s="4" t="n"/>
      <c r="CE1317" s="4" t="n"/>
      <c r="CF1317" s="4" t="n"/>
      <c r="CG1317" s="4" t="n"/>
      <c r="CH1317" s="4" t="n"/>
      <c r="CI1317" s="4" t="n"/>
      <c r="CJ1317" s="4" t="n"/>
      <c r="CK1317" s="4" t="n"/>
      <c r="CL1317" s="4" t="n"/>
      <c r="CM1317" s="4" t="n"/>
      <c r="CN1317" s="4" t="n"/>
      <c r="CO1317" s="4" t="n"/>
      <c r="CP1317" s="4" t="n"/>
      <c r="CQ1317" s="4" t="n"/>
      <c r="CR1317" s="4" t="n"/>
      <c r="CS1317" s="4" t="n"/>
      <c r="CT1317" s="4" t="n"/>
      <c r="CU1317" s="4" t="n"/>
      <c r="CV1317" s="4" t="n"/>
      <c r="CW1317" s="4" t="n"/>
      <c r="CX1317" s="4" t="n"/>
      <c r="CY1317" s="4" t="n"/>
      <c r="CZ1317" s="4" t="n"/>
      <c r="DA1317" s="4" t="n"/>
      <c r="DB1317" s="4" t="n"/>
      <c r="DC1317" s="4" t="n"/>
      <c r="DD1317" s="4" t="n"/>
      <c r="DE1317" s="4" t="n"/>
      <c r="DF1317" s="4" t="n"/>
      <c r="DG1317" s="4" t="n"/>
      <c r="DH1317" s="4" t="n"/>
      <c r="DI1317" s="4" t="n"/>
      <c r="DJ1317" s="4" t="n"/>
      <c r="DK1317" s="4" t="n"/>
      <c r="DL1317" s="4" t="n"/>
      <c r="DM1317" s="4" t="n"/>
      <c r="DN1317" s="4" t="n"/>
      <c r="DO1317" s="4" t="n"/>
      <c r="DP1317" s="4" t="n"/>
      <c r="DQ1317" s="4" t="n"/>
      <c r="DR1317" s="4" t="n"/>
      <c r="DS1317" s="4" t="n"/>
      <c r="DT1317" s="4" t="n"/>
      <c r="DU1317" s="4" t="n"/>
      <c r="DV1317" s="4" t="n"/>
      <c r="DW1317" s="4" t="n"/>
      <c r="DX1317" s="4" t="n"/>
      <c r="DY1317" s="4" t="n"/>
      <c r="DZ1317" s="4" t="n"/>
      <c r="EA1317" s="4" t="n"/>
      <c r="EB1317" s="4" t="n"/>
      <c r="EC1317" s="4" t="n"/>
      <c r="ED1317" s="4" t="n"/>
      <c r="EE1317" s="4" t="n"/>
      <c r="EF1317" s="4" t="n"/>
      <c r="EG1317" s="4" t="n"/>
      <c r="EH1317" s="4" t="n"/>
      <c r="EI1317" s="4" t="n"/>
      <c r="EJ1317" s="4" t="n"/>
      <c r="EK1317" s="4" t="n"/>
      <c r="EL1317" s="4" t="n"/>
      <c r="EM1317" s="4" t="n"/>
      <c r="EN1317" s="4" t="n"/>
      <c r="EO1317" s="4" t="n"/>
      <c r="EP1317" s="4" t="n"/>
      <c r="EQ1317" s="4" t="n"/>
      <c r="ER1317" s="4" t="n"/>
      <c r="ES1317" s="4" t="n"/>
      <c r="ET1317" s="4" t="n"/>
      <c r="EU1317" s="4" t="n"/>
      <c r="EV1317" s="4" t="n"/>
      <c r="EW1317" s="4" t="n"/>
      <c r="EX1317" s="4" t="n"/>
      <c r="EY1317" s="4" t="n"/>
      <c r="EZ1317" s="4" t="n"/>
      <c r="FA1317" s="4" t="n"/>
      <c r="FB1317" s="4" t="n"/>
      <c r="FC1317" s="4" t="n"/>
    </row>
    <row r="1318" hidden="1" customFormat="1" s="6">
      <c r="C1318" s="4" t="n"/>
      <c r="D1318" s="4" t="n"/>
      <c r="E1318" s="4" t="n"/>
      <c r="F1318" s="4" t="n"/>
      <c r="G1318" s="4" t="n"/>
      <c r="H1318" s="4" t="n"/>
      <c r="I1318" s="4" t="n"/>
      <c r="J1318" s="4" t="n"/>
      <c r="K1318" s="4" t="n"/>
      <c r="L1318" s="4" t="n"/>
      <c r="M1318" s="4" t="n"/>
      <c r="N1318" s="4" t="n"/>
      <c r="O1318" s="4" t="n"/>
      <c r="P1318" s="4" t="n"/>
      <c r="Q1318" s="4" t="n"/>
      <c r="R1318" s="4" t="n"/>
      <c r="S1318" s="4" t="n"/>
      <c r="T1318" s="4" t="n"/>
      <c r="U1318" s="4" t="n"/>
      <c r="V1318" s="4" t="n"/>
      <c r="W1318" s="4" t="n"/>
      <c r="X1318" s="4" t="n"/>
      <c r="Y1318" s="4" t="n"/>
      <c r="Z1318" s="4" t="n"/>
      <c r="AA1318" s="4" t="n"/>
      <c r="AB1318" s="4" t="n"/>
      <c r="AC1318" s="4" t="n"/>
      <c r="AD1318" s="4" t="n"/>
      <c r="AE1318" s="4" t="n"/>
      <c r="AF1318" s="4" t="n"/>
      <c r="AG1318" s="4" t="n"/>
      <c r="AH1318" s="4" t="n"/>
      <c r="AI1318" s="4" t="n"/>
      <c r="AJ1318" s="4" t="n"/>
      <c r="AK1318" s="4" t="n"/>
      <c r="AL1318" s="4" t="n"/>
      <c r="AM1318" s="4" t="n"/>
      <c r="AN1318" s="4" t="n"/>
      <c r="AO1318" s="4" t="n"/>
      <c r="AP1318" s="4" t="n"/>
      <c r="AQ1318" s="4" t="n"/>
      <c r="AR1318" s="4" t="n"/>
      <c r="AS1318" s="4" t="n"/>
      <c r="AT1318" s="4" t="n"/>
      <c r="AU1318" s="4" t="n"/>
      <c r="AV1318" s="4" t="n"/>
      <c r="AW1318" s="4" t="n"/>
      <c r="AX1318" s="4" t="n"/>
      <c r="AY1318" s="4" t="n"/>
      <c r="AZ1318" s="4" t="n"/>
      <c r="BA1318" s="4" t="n"/>
      <c r="BB1318" s="4" t="n"/>
      <c r="BC1318" s="4" t="n"/>
      <c r="BD1318" s="4" t="n"/>
      <c r="BE1318" s="4" t="n"/>
      <c r="BF1318" s="4" t="n"/>
      <c r="BG1318" s="4" t="n"/>
      <c r="BH1318" s="4" t="n"/>
      <c r="BI1318" s="4" t="n"/>
      <c r="BJ1318" s="4" t="n"/>
      <c r="BK1318" s="4" t="n"/>
      <c r="BL1318" s="4" t="n"/>
      <c r="BM1318" s="4" t="n"/>
      <c r="BN1318" s="4" t="n"/>
      <c r="BO1318" s="4" t="n"/>
      <c r="BP1318" s="4" t="n"/>
      <c r="BQ1318" s="4" t="n"/>
      <c r="BR1318" s="4" t="n"/>
      <c r="BS1318" s="4" t="n"/>
      <c r="BT1318" s="4" t="n"/>
      <c r="BU1318" s="4" t="n"/>
      <c r="BV1318" s="4" t="n"/>
      <c r="BW1318" s="4" t="n"/>
      <c r="BX1318" s="4" t="n"/>
      <c r="BY1318" s="4" t="n"/>
      <c r="BZ1318" s="4" t="n"/>
      <c r="CA1318" s="4" t="n"/>
      <c r="CB1318" s="4" t="n"/>
      <c r="CC1318" s="4" t="n"/>
      <c r="CD1318" s="4" t="n"/>
      <c r="CE1318" s="4" t="n"/>
      <c r="CF1318" s="4" t="n"/>
      <c r="CG1318" s="4" t="n"/>
      <c r="CH1318" s="4" t="n"/>
      <c r="CI1318" s="4" t="n"/>
      <c r="CJ1318" s="4" t="n"/>
      <c r="CK1318" s="4" t="n"/>
      <c r="CL1318" s="4" t="n"/>
      <c r="CM1318" s="4" t="n"/>
      <c r="CN1318" s="4" t="n"/>
      <c r="CO1318" s="4" t="n"/>
      <c r="CP1318" s="4" t="n"/>
      <c r="CQ1318" s="4" t="n"/>
      <c r="CR1318" s="4" t="n"/>
      <c r="CS1318" s="4" t="n"/>
      <c r="CT1318" s="4" t="n"/>
      <c r="CU1318" s="4" t="n"/>
      <c r="CV1318" s="4" t="n"/>
      <c r="CW1318" s="4" t="n"/>
      <c r="CX1318" s="4" t="n"/>
      <c r="CY1318" s="4" t="n"/>
      <c r="CZ1318" s="4" t="n"/>
      <c r="DA1318" s="4" t="n"/>
      <c r="DB1318" s="4" t="n"/>
      <c r="DC1318" s="4" t="n"/>
      <c r="DD1318" s="4" t="n"/>
      <c r="DE1318" s="4" t="n"/>
      <c r="DF1318" s="4" t="n"/>
      <c r="DG1318" s="4" t="n"/>
      <c r="DH1318" s="4" t="n"/>
      <c r="DI1318" s="4" t="n"/>
      <c r="DJ1318" s="4" t="n"/>
      <c r="DK1318" s="4" t="n"/>
      <c r="DL1318" s="4" t="n"/>
      <c r="DM1318" s="4" t="n"/>
      <c r="DN1318" s="4" t="n"/>
      <c r="DO1318" s="4" t="n"/>
      <c r="DP1318" s="4" t="n"/>
      <c r="DQ1318" s="4" t="n"/>
      <c r="DR1318" s="4" t="n"/>
      <c r="DS1318" s="4" t="n"/>
      <c r="DT1318" s="4" t="n"/>
      <c r="DU1318" s="4" t="n"/>
      <c r="DV1318" s="4" t="n"/>
      <c r="DW1318" s="4" t="n"/>
      <c r="DX1318" s="4" t="n"/>
      <c r="DY1318" s="4" t="n"/>
      <c r="DZ1318" s="4" t="n"/>
      <c r="EA1318" s="4" t="n"/>
      <c r="EB1318" s="4" t="n"/>
      <c r="EC1318" s="4" t="n"/>
      <c r="ED1318" s="4" t="n"/>
      <c r="EE1318" s="4" t="n"/>
      <c r="EF1318" s="4" t="n"/>
      <c r="EG1318" s="4" t="n"/>
      <c r="EH1318" s="4" t="n"/>
      <c r="EI1318" s="4" t="n"/>
      <c r="EJ1318" s="4" t="n"/>
      <c r="EK1318" s="4" t="n"/>
      <c r="EL1318" s="4" t="n"/>
      <c r="EM1318" s="4" t="n"/>
      <c r="EN1318" s="4" t="n"/>
      <c r="EO1318" s="4" t="n"/>
      <c r="EP1318" s="4" t="n"/>
      <c r="EQ1318" s="4" t="n"/>
      <c r="ER1318" s="4" t="n"/>
      <c r="ES1318" s="4" t="n"/>
      <c r="ET1318" s="4" t="n"/>
      <c r="EU1318" s="4" t="n"/>
      <c r="EV1318" s="4" t="n"/>
      <c r="EW1318" s="4" t="n"/>
      <c r="EX1318" s="4" t="n"/>
      <c r="EY1318" s="4" t="n"/>
      <c r="EZ1318" s="4" t="n"/>
      <c r="FA1318" s="4" t="n"/>
      <c r="FB1318" s="4" t="n"/>
      <c r="FC1318" s="4" t="n"/>
    </row>
    <row r="1319" hidden="1" customFormat="1" s="6">
      <c r="C1319" s="4" t="n"/>
      <c r="D1319" s="4" t="n"/>
      <c r="E1319" s="4" t="n"/>
      <c r="F1319" s="4" t="n"/>
      <c r="G1319" s="4" t="n"/>
      <c r="H1319" s="4" t="n"/>
      <c r="I1319" s="4" t="n"/>
      <c r="J1319" s="4" t="n"/>
      <c r="K1319" s="4" t="n"/>
      <c r="L1319" s="4" t="n"/>
      <c r="M1319" s="4" t="n"/>
      <c r="N1319" s="4" t="n"/>
      <c r="O1319" s="4" t="n"/>
      <c r="P1319" s="4" t="n"/>
      <c r="Q1319" s="4" t="n"/>
      <c r="R1319" s="4" t="n"/>
      <c r="S1319" s="4" t="n"/>
      <c r="T1319" s="4" t="n"/>
      <c r="U1319" s="4" t="n"/>
      <c r="V1319" s="4" t="n"/>
      <c r="W1319" s="4" t="n"/>
      <c r="X1319" s="4" t="n"/>
      <c r="Y1319" s="4" t="n"/>
      <c r="Z1319" s="4" t="n"/>
      <c r="AA1319" s="4" t="n"/>
      <c r="AB1319" s="4" t="n"/>
      <c r="AC1319" s="4" t="n"/>
      <c r="AD1319" s="4" t="n"/>
      <c r="AE1319" s="4" t="n"/>
      <c r="AF1319" s="4" t="n"/>
      <c r="AG1319" s="4" t="n"/>
      <c r="AH1319" s="4" t="n"/>
      <c r="AI1319" s="4" t="n"/>
      <c r="AJ1319" s="4" t="n"/>
      <c r="AK1319" s="4" t="n"/>
      <c r="AL1319" s="4" t="n"/>
      <c r="AM1319" s="4" t="n"/>
      <c r="AN1319" s="4" t="n"/>
      <c r="AO1319" s="4" t="n"/>
      <c r="AP1319" s="4" t="n"/>
      <c r="AQ1319" s="4" t="n"/>
      <c r="AR1319" s="4" t="n"/>
      <c r="AS1319" s="4" t="n"/>
      <c r="AT1319" s="4" t="n"/>
      <c r="AU1319" s="4" t="n"/>
      <c r="AV1319" s="4" t="n"/>
      <c r="AW1319" s="4" t="n"/>
      <c r="AX1319" s="4" t="n"/>
      <c r="AY1319" s="4" t="n"/>
      <c r="AZ1319" s="4" t="n"/>
      <c r="BA1319" s="4" t="n"/>
      <c r="BB1319" s="4" t="n"/>
      <c r="BC1319" s="4" t="n"/>
      <c r="BD1319" s="4" t="n"/>
      <c r="BE1319" s="4" t="n"/>
      <c r="BF1319" s="4" t="n"/>
      <c r="BG1319" s="4" t="n"/>
      <c r="BH1319" s="4" t="n"/>
      <c r="BI1319" s="4" t="n"/>
      <c r="BJ1319" s="4" t="n"/>
      <c r="BK1319" s="4" t="n"/>
      <c r="BL1319" s="4" t="n"/>
      <c r="BM1319" s="4" t="n"/>
      <c r="BN1319" s="4" t="n"/>
      <c r="BO1319" s="4" t="n"/>
      <c r="BP1319" s="4" t="n"/>
      <c r="BQ1319" s="4" t="n"/>
      <c r="BR1319" s="4" t="n"/>
      <c r="BS1319" s="4" t="n"/>
      <c r="BT1319" s="4" t="n"/>
      <c r="BU1319" s="4" t="n"/>
      <c r="BV1319" s="4" t="n"/>
      <c r="BW1319" s="4" t="n"/>
      <c r="BX1319" s="4" t="n"/>
      <c r="BY1319" s="4" t="n"/>
      <c r="BZ1319" s="4" t="n"/>
      <c r="CA1319" s="4" t="n"/>
      <c r="CB1319" s="4" t="n"/>
      <c r="CC1319" s="4" t="n"/>
      <c r="CD1319" s="4" t="n"/>
      <c r="CE1319" s="4" t="n"/>
      <c r="CF1319" s="4" t="n"/>
      <c r="CG1319" s="4" t="n"/>
      <c r="CH1319" s="4" t="n"/>
      <c r="CI1319" s="4" t="n"/>
      <c r="CJ1319" s="4" t="n"/>
      <c r="CK1319" s="4" t="n"/>
      <c r="CL1319" s="4" t="n"/>
      <c r="CM1319" s="4" t="n"/>
      <c r="CN1319" s="4" t="n"/>
      <c r="CO1319" s="4" t="n"/>
      <c r="CP1319" s="4" t="n"/>
      <c r="CQ1319" s="4" t="n"/>
      <c r="CR1319" s="4" t="n"/>
      <c r="CS1319" s="4" t="n"/>
      <c r="CT1319" s="4" t="n"/>
      <c r="CU1319" s="4" t="n"/>
      <c r="CV1319" s="4" t="n"/>
      <c r="CW1319" s="4" t="n"/>
      <c r="CX1319" s="4" t="n"/>
      <c r="CY1319" s="4" t="n"/>
      <c r="CZ1319" s="4" t="n"/>
      <c r="DA1319" s="4" t="n"/>
      <c r="DB1319" s="4" t="n"/>
      <c r="DC1319" s="4" t="n"/>
      <c r="DD1319" s="4" t="n"/>
      <c r="DE1319" s="4" t="n"/>
      <c r="DF1319" s="4" t="n"/>
      <c r="DG1319" s="4" t="n"/>
      <c r="DH1319" s="4" t="n"/>
      <c r="DI1319" s="4" t="n"/>
      <c r="DJ1319" s="4" t="n"/>
      <c r="DK1319" s="4" t="n"/>
      <c r="DL1319" s="4" t="n"/>
      <c r="DM1319" s="4" t="n"/>
      <c r="DN1319" s="4" t="n"/>
      <c r="DO1319" s="4" t="n"/>
      <c r="DP1319" s="4" t="n"/>
      <c r="DQ1319" s="4" t="n"/>
      <c r="DR1319" s="4" t="n"/>
      <c r="DS1319" s="4" t="n"/>
      <c r="DT1319" s="4" t="n"/>
      <c r="DU1319" s="4" t="n"/>
      <c r="DV1319" s="4" t="n"/>
      <c r="DW1319" s="4" t="n"/>
      <c r="DX1319" s="4" t="n"/>
      <c r="DY1319" s="4" t="n"/>
      <c r="DZ1319" s="4" t="n"/>
      <c r="EA1319" s="4" t="n"/>
      <c r="EB1319" s="4" t="n"/>
      <c r="EC1319" s="4" t="n"/>
      <c r="ED1319" s="4" t="n"/>
      <c r="EE1319" s="4" t="n"/>
      <c r="EF1319" s="4" t="n"/>
      <c r="EG1319" s="4" t="n"/>
      <c r="EH1319" s="4" t="n"/>
      <c r="EI1319" s="4" t="n"/>
      <c r="EJ1319" s="4" t="n"/>
      <c r="EK1319" s="4" t="n"/>
      <c r="EL1319" s="4" t="n"/>
      <c r="EM1319" s="4" t="n"/>
      <c r="EN1319" s="4" t="n"/>
      <c r="EO1319" s="4" t="n"/>
      <c r="EP1319" s="4" t="n"/>
      <c r="EQ1319" s="4" t="n"/>
      <c r="ER1319" s="4" t="n"/>
      <c r="ES1319" s="4" t="n"/>
      <c r="ET1319" s="4" t="n"/>
      <c r="EU1319" s="4" t="n"/>
      <c r="EV1319" s="4" t="n"/>
      <c r="EW1319" s="4" t="n"/>
      <c r="EX1319" s="4" t="n"/>
      <c r="EY1319" s="4" t="n"/>
      <c r="EZ1319" s="4" t="n"/>
      <c r="FA1319" s="4" t="n"/>
      <c r="FB1319" s="4" t="n"/>
      <c r="FC1319" s="4" t="n"/>
    </row>
    <row r="1320" hidden="1" customFormat="1" s="6">
      <c r="C1320" s="4" t="n"/>
      <c r="D1320" s="4" t="n"/>
      <c r="E1320" s="4" t="n"/>
      <c r="F1320" s="4" t="n"/>
      <c r="G1320" s="4" t="n"/>
      <c r="H1320" s="4" t="n"/>
      <c r="I1320" s="4" t="n"/>
      <c r="J1320" s="4" t="n"/>
      <c r="K1320" s="4" t="n"/>
      <c r="L1320" s="4" t="n"/>
      <c r="M1320" s="4" t="n"/>
      <c r="N1320" s="4" t="n"/>
      <c r="O1320" s="4" t="n"/>
      <c r="P1320" s="4" t="n"/>
      <c r="Q1320" s="4" t="n"/>
      <c r="R1320" s="4" t="n"/>
      <c r="S1320" s="4" t="n"/>
      <c r="T1320" s="4" t="n"/>
      <c r="U1320" s="4" t="n"/>
      <c r="V1320" s="4" t="n"/>
      <c r="W1320" s="4" t="n"/>
      <c r="X1320" s="4" t="n"/>
      <c r="Y1320" s="4" t="n"/>
      <c r="Z1320" s="4" t="n"/>
      <c r="AA1320" s="4" t="n"/>
      <c r="AB1320" s="4" t="n"/>
      <c r="AC1320" s="4" t="n"/>
      <c r="AD1320" s="4" t="n"/>
      <c r="AE1320" s="4" t="n"/>
      <c r="AF1320" s="4" t="n"/>
      <c r="AG1320" s="4" t="n"/>
      <c r="AH1320" s="4" t="n"/>
      <c r="AI1320" s="4" t="n"/>
      <c r="AJ1320" s="4" t="n"/>
      <c r="AK1320" s="4" t="n"/>
      <c r="AL1320" s="4" t="n"/>
      <c r="AM1320" s="4" t="n"/>
      <c r="AN1320" s="4" t="n"/>
      <c r="AO1320" s="4" t="n"/>
      <c r="AP1320" s="4" t="n"/>
      <c r="AQ1320" s="4" t="n"/>
      <c r="AR1320" s="4" t="n"/>
      <c r="AS1320" s="4" t="n"/>
      <c r="AT1320" s="4" t="n"/>
      <c r="AU1320" s="4" t="n"/>
      <c r="AV1320" s="4" t="n"/>
      <c r="AW1320" s="4" t="n"/>
      <c r="AX1320" s="4" t="n"/>
      <c r="AY1320" s="4" t="n"/>
      <c r="AZ1320" s="4" t="n"/>
      <c r="BA1320" s="4" t="n"/>
      <c r="BB1320" s="4" t="n"/>
      <c r="BC1320" s="4" t="n"/>
      <c r="BD1320" s="4" t="n"/>
      <c r="BE1320" s="4" t="n"/>
      <c r="BF1320" s="4" t="n"/>
      <c r="BG1320" s="4" t="n"/>
      <c r="BH1320" s="4" t="n"/>
      <c r="BI1320" s="4" t="n"/>
      <c r="BJ1320" s="4" t="n"/>
      <c r="BK1320" s="4" t="n"/>
      <c r="BL1320" s="4" t="n"/>
      <c r="BM1320" s="4" t="n"/>
      <c r="BN1320" s="4" t="n"/>
      <c r="BO1320" s="4" t="n"/>
      <c r="BP1320" s="4" t="n"/>
      <c r="BQ1320" s="4" t="n"/>
      <c r="BR1320" s="4" t="n"/>
      <c r="BS1320" s="4" t="n"/>
      <c r="BT1320" s="4" t="n"/>
      <c r="BU1320" s="4" t="n"/>
      <c r="BV1320" s="4" t="n"/>
      <c r="BW1320" s="4" t="n"/>
      <c r="BX1320" s="4" t="n"/>
      <c r="BY1320" s="4" t="n"/>
      <c r="BZ1320" s="4" t="n"/>
      <c r="CA1320" s="4" t="n"/>
      <c r="CB1320" s="4" t="n"/>
      <c r="CC1320" s="4" t="n"/>
      <c r="CD1320" s="4" t="n"/>
      <c r="CE1320" s="4" t="n"/>
      <c r="CF1320" s="4" t="n"/>
      <c r="CG1320" s="4" t="n"/>
      <c r="CH1320" s="4" t="n"/>
      <c r="CI1320" s="4" t="n"/>
      <c r="CJ1320" s="4" t="n"/>
      <c r="CK1320" s="4" t="n"/>
      <c r="CL1320" s="4" t="n"/>
      <c r="CM1320" s="4" t="n"/>
      <c r="CN1320" s="4" t="n"/>
      <c r="CO1320" s="4" t="n"/>
      <c r="CP1320" s="4" t="n"/>
      <c r="CQ1320" s="4" t="n"/>
      <c r="CR1320" s="4" t="n"/>
      <c r="CS1320" s="4" t="n"/>
      <c r="CT1320" s="4" t="n"/>
      <c r="CU1320" s="4" t="n"/>
      <c r="CV1320" s="4" t="n"/>
      <c r="CW1320" s="4" t="n"/>
      <c r="CX1320" s="4" t="n"/>
      <c r="CY1320" s="4" t="n"/>
      <c r="CZ1320" s="4" t="n"/>
      <c r="DA1320" s="4" t="n"/>
      <c r="DB1320" s="4" t="n"/>
      <c r="DC1320" s="4" t="n"/>
      <c r="DD1320" s="4" t="n"/>
      <c r="DE1320" s="4" t="n"/>
      <c r="DF1320" s="4" t="n"/>
      <c r="DG1320" s="4" t="n"/>
      <c r="DH1320" s="4" t="n"/>
      <c r="DI1320" s="4" t="n"/>
      <c r="DJ1320" s="4" t="n"/>
      <c r="DK1320" s="4" t="n"/>
      <c r="DL1320" s="4" t="n"/>
      <c r="DM1320" s="4" t="n"/>
      <c r="DN1320" s="4" t="n"/>
      <c r="DO1320" s="4" t="n"/>
      <c r="DP1320" s="4" t="n"/>
      <c r="DQ1320" s="4" t="n"/>
      <c r="DR1320" s="4" t="n"/>
      <c r="DS1320" s="4" t="n"/>
      <c r="DT1320" s="4" t="n"/>
      <c r="DU1320" s="4" t="n"/>
      <c r="DV1320" s="4" t="n"/>
      <c r="DW1320" s="4" t="n"/>
      <c r="DX1320" s="4" t="n"/>
      <c r="DY1320" s="4" t="n"/>
      <c r="DZ1320" s="4" t="n"/>
      <c r="EA1320" s="4" t="n"/>
      <c r="EB1320" s="4" t="n"/>
      <c r="EC1320" s="4" t="n"/>
      <c r="ED1320" s="4" t="n"/>
      <c r="EE1320" s="4" t="n"/>
      <c r="EF1320" s="4" t="n"/>
      <c r="EG1320" s="4" t="n"/>
      <c r="EH1320" s="4" t="n"/>
      <c r="EI1320" s="4" t="n"/>
      <c r="EJ1320" s="4" t="n"/>
      <c r="EK1320" s="4" t="n"/>
      <c r="EL1320" s="4" t="n"/>
      <c r="EM1320" s="4" t="n"/>
      <c r="EN1320" s="4" t="n"/>
      <c r="EO1320" s="4" t="n"/>
      <c r="EP1320" s="4" t="n"/>
      <c r="EQ1320" s="4" t="n"/>
      <c r="ER1320" s="4" t="n"/>
      <c r="ES1320" s="4" t="n"/>
      <c r="ET1320" s="4" t="n"/>
      <c r="EU1320" s="4" t="n"/>
      <c r="EV1320" s="4" t="n"/>
      <c r="EW1320" s="4" t="n"/>
      <c r="EX1320" s="4" t="n"/>
      <c r="EY1320" s="4" t="n"/>
      <c r="EZ1320" s="4" t="n"/>
      <c r="FA1320" s="4" t="n"/>
      <c r="FB1320" s="4" t="n"/>
      <c r="FC1320" s="4" t="n"/>
    </row>
    <row r="1321" hidden="1" customFormat="1" s="6">
      <c r="C1321" s="4" t="n"/>
      <c r="D1321" s="4" t="n"/>
      <c r="E1321" s="4" t="n"/>
      <c r="F1321" s="4" t="n"/>
      <c r="G1321" s="4" t="n"/>
      <c r="H1321" s="4" t="n"/>
      <c r="I1321" s="4" t="n"/>
      <c r="J1321" s="4" t="n"/>
      <c r="K1321" s="4" t="n"/>
      <c r="L1321" s="4" t="n"/>
      <c r="M1321" s="4" t="n"/>
      <c r="N1321" s="4" t="n"/>
      <c r="O1321" s="4" t="n"/>
      <c r="P1321" s="4" t="n"/>
      <c r="Q1321" s="4" t="n"/>
      <c r="R1321" s="4" t="n"/>
      <c r="S1321" s="4" t="n"/>
      <c r="T1321" s="4" t="n"/>
      <c r="U1321" s="4" t="n"/>
      <c r="V1321" s="4" t="n"/>
      <c r="W1321" s="4" t="n"/>
      <c r="X1321" s="4" t="n"/>
      <c r="Y1321" s="4" t="n"/>
      <c r="Z1321" s="4" t="n"/>
      <c r="AA1321" s="4" t="n"/>
      <c r="AB1321" s="4" t="n"/>
      <c r="AC1321" s="4" t="n"/>
      <c r="AD1321" s="4" t="n"/>
      <c r="AE1321" s="4" t="n"/>
      <c r="AF1321" s="4" t="n"/>
      <c r="AG1321" s="4" t="n"/>
      <c r="AH1321" s="4" t="n"/>
      <c r="AI1321" s="4" t="n"/>
      <c r="AJ1321" s="4" t="n"/>
      <c r="AK1321" s="4" t="n"/>
      <c r="AL1321" s="4" t="n"/>
      <c r="AM1321" s="4" t="n"/>
      <c r="AN1321" s="4" t="n"/>
      <c r="AO1321" s="4" t="n"/>
      <c r="AP1321" s="4" t="n"/>
      <c r="AQ1321" s="4" t="n"/>
      <c r="AR1321" s="4" t="n"/>
      <c r="AS1321" s="4" t="n"/>
      <c r="AT1321" s="4" t="n"/>
      <c r="AU1321" s="4" t="n"/>
      <c r="AV1321" s="4" t="n"/>
      <c r="AW1321" s="4" t="n"/>
      <c r="AX1321" s="4" t="n"/>
      <c r="AY1321" s="4" t="n"/>
      <c r="AZ1321" s="4" t="n"/>
      <c r="BA1321" s="4" t="n"/>
      <c r="BB1321" s="4" t="n"/>
      <c r="BC1321" s="4" t="n"/>
      <c r="BD1321" s="4" t="n"/>
      <c r="BE1321" s="4" t="n"/>
      <c r="BF1321" s="4" t="n"/>
      <c r="BG1321" s="4" t="n"/>
      <c r="BH1321" s="4" t="n"/>
      <c r="BI1321" s="4" t="n"/>
      <c r="BJ1321" s="4" t="n"/>
      <c r="BK1321" s="4" t="n"/>
      <c r="BL1321" s="4" t="n"/>
      <c r="BM1321" s="4" t="n"/>
      <c r="BN1321" s="4" t="n"/>
      <c r="BO1321" s="4" t="n"/>
      <c r="BP1321" s="4" t="n"/>
      <c r="BQ1321" s="4" t="n"/>
      <c r="BR1321" s="4" t="n"/>
      <c r="BS1321" s="4" t="n"/>
      <c r="BT1321" s="4" t="n"/>
      <c r="BU1321" s="4" t="n"/>
      <c r="BV1321" s="4" t="n"/>
      <c r="BW1321" s="4" t="n"/>
      <c r="BX1321" s="4" t="n"/>
      <c r="BY1321" s="4" t="n"/>
      <c r="BZ1321" s="4" t="n"/>
      <c r="CA1321" s="4" t="n"/>
      <c r="CB1321" s="4" t="n"/>
      <c r="CC1321" s="4" t="n"/>
      <c r="CD1321" s="4" t="n"/>
      <c r="CE1321" s="4" t="n"/>
      <c r="CF1321" s="4" t="n"/>
      <c r="CG1321" s="4" t="n"/>
      <c r="CH1321" s="4" t="n"/>
      <c r="CI1321" s="4" t="n"/>
      <c r="CJ1321" s="4" t="n"/>
      <c r="CK1321" s="4" t="n"/>
      <c r="CL1321" s="4" t="n"/>
      <c r="CM1321" s="4" t="n"/>
      <c r="CN1321" s="4" t="n"/>
      <c r="CO1321" s="4" t="n"/>
      <c r="CP1321" s="4" t="n"/>
      <c r="CQ1321" s="4" t="n"/>
      <c r="CR1321" s="4" t="n"/>
      <c r="CS1321" s="4" t="n"/>
      <c r="CT1321" s="4" t="n"/>
      <c r="CU1321" s="4" t="n"/>
      <c r="CV1321" s="4" t="n"/>
      <c r="CW1321" s="4" t="n"/>
      <c r="CX1321" s="4" t="n"/>
      <c r="CY1321" s="4" t="n"/>
      <c r="CZ1321" s="4" t="n"/>
      <c r="DA1321" s="4" t="n"/>
      <c r="DB1321" s="4" t="n"/>
      <c r="DC1321" s="4" t="n"/>
      <c r="DD1321" s="4" t="n"/>
      <c r="DE1321" s="4" t="n"/>
      <c r="DF1321" s="4" t="n"/>
      <c r="DG1321" s="4" t="n"/>
      <c r="DH1321" s="4" t="n"/>
      <c r="DI1321" s="4" t="n"/>
      <c r="DJ1321" s="4" t="n"/>
      <c r="DK1321" s="4" t="n"/>
      <c r="DL1321" s="4" t="n"/>
      <c r="DM1321" s="4" t="n"/>
      <c r="DN1321" s="4" t="n"/>
      <c r="DO1321" s="4" t="n"/>
      <c r="DP1321" s="4" t="n"/>
      <c r="DQ1321" s="4" t="n"/>
      <c r="DR1321" s="4" t="n"/>
      <c r="DS1321" s="4" t="n"/>
      <c r="DT1321" s="4" t="n"/>
      <c r="DU1321" s="4" t="n"/>
      <c r="DV1321" s="4" t="n"/>
      <c r="DW1321" s="4" t="n"/>
      <c r="DX1321" s="4" t="n"/>
      <c r="DY1321" s="4" t="n"/>
      <c r="DZ1321" s="4" t="n"/>
      <c r="EA1321" s="4" t="n"/>
      <c r="EB1321" s="4" t="n"/>
      <c r="EC1321" s="4" t="n"/>
      <c r="ED1321" s="4" t="n"/>
      <c r="EE1321" s="4" t="n"/>
      <c r="EF1321" s="4" t="n"/>
      <c r="EG1321" s="4" t="n"/>
      <c r="EH1321" s="4" t="n"/>
      <c r="EI1321" s="4" t="n"/>
      <c r="EJ1321" s="4" t="n"/>
      <c r="EK1321" s="4" t="n"/>
      <c r="EL1321" s="4" t="n"/>
      <c r="EM1321" s="4" t="n"/>
      <c r="EN1321" s="4" t="n"/>
      <c r="EO1321" s="4" t="n"/>
      <c r="EP1321" s="4" t="n"/>
      <c r="EQ1321" s="4" t="n"/>
      <c r="ER1321" s="4" t="n"/>
      <c r="ES1321" s="4" t="n"/>
      <c r="ET1321" s="4" t="n"/>
      <c r="EU1321" s="4" t="n"/>
      <c r="EV1321" s="4" t="n"/>
      <c r="EW1321" s="4" t="n"/>
      <c r="EX1321" s="4" t="n"/>
      <c r="EY1321" s="4" t="n"/>
      <c r="EZ1321" s="4" t="n"/>
      <c r="FA1321" s="4" t="n"/>
      <c r="FB1321" s="4" t="n"/>
      <c r="FC1321" s="4" t="n"/>
    </row>
    <row r="1322" hidden="1" customFormat="1" s="6">
      <c r="C1322" s="4" t="n"/>
      <c r="D1322" s="4" t="n"/>
      <c r="E1322" s="4" t="n"/>
      <c r="F1322" s="4" t="n"/>
      <c r="G1322" s="4" t="n"/>
      <c r="H1322" s="4" t="n"/>
      <c r="I1322" s="4" t="n"/>
      <c r="J1322" s="4" t="n"/>
      <c r="K1322" s="4" t="n"/>
      <c r="L1322" s="4" t="n"/>
      <c r="M1322" s="4" t="n"/>
      <c r="N1322" s="4" t="n"/>
      <c r="O1322" s="4" t="n"/>
      <c r="P1322" s="4" t="n"/>
      <c r="Q1322" s="4" t="n"/>
      <c r="R1322" s="4" t="n"/>
      <c r="S1322" s="4" t="n"/>
      <c r="T1322" s="4" t="n"/>
      <c r="U1322" s="4" t="n"/>
      <c r="V1322" s="4" t="n"/>
      <c r="W1322" s="4" t="n"/>
      <c r="X1322" s="4" t="n"/>
      <c r="Y1322" s="4" t="n"/>
      <c r="Z1322" s="4" t="n"/>
      <c r="AA1322" s="4" t="n"/>
      <c r="AB1322" s="4" t="n"/>
      <c r="AC1322" s="4" t="n"/>
      <c r="AD1322" s="4" t="n"/>
      <c r="AE1322" s="4" t="n"/>
      <c r="AF1322" s="4" t="n"/>
      <c r="AG1322" s="4" t="n"/>
      <c r="AH1322" s="4" t="n"/>
      <c r="AI1322" s="4" t="n"/>
      <c r="AJ1322" s="4" t="n"/>
      <c r="AK1322" s="4" t="n"/>
      <c r="AL1322" s="4" t="n"/>
      <c r="AM1322" s="4" t="n"/>
      <c r="AN1322" s="4" t="n"/>
      <c r="AO1322" s="4" t="n"/>
      <c r="AP1322" s="4" t="n"/>
      <c r="AQ1322" s="4" t="n"/>
      <c r="AR1322" s="4" t="n"/>
      <c r="AS1322" s="4" t="n"/>
      <c r="AT1322" s="4" t="n"/>
      <c r="AU1322" s="4" t="n"/>
      <c r="AV1322" s="4" t="n"/>
      <c r="AW1322" s="4" t="n"/>
      <c r="AX1322" s="4" t="n"/>
      <c r="AY1322" s="4" t="n"/>
      <c r="AZ1322" s="4" t="n"/>
      <c r="BA1322" s="4" t="n"/>
      <c r="BB1322" s="4" t="n"/>
      <c r="BC1322" s="4" t="n"/>
      <c r="BD1322" s="4" t="n"/>
      <c r="BE1322" s="4" t="n"/>
      <c r="BF1322" s="4" t="n"/>
      <c r="BG1322" s="4" t="n"/>
      <c r="BH1322" s="4" t="n"/>
      <c r="BI1322" s="4" t="n"/>
      <c r="BJ1322" s="4" t="n"/>
      <c r="BK1322" s="4" t="n"/>
      <c r="BL1322" s="4" t="n"/>
      <c r="BM1322" s="4" t="n"/>
      <c r="BN1322" s="4" t="n"/>
      <c r="BO1322" s="4" t="n"/>
      <c r="BP1322" s="4" t="n"/>
      <c r="BQ1322" s="4" t="n"/>
      <c r="BR1322" s="4" t="n"/>
      <c r="BS1322" s="4" t="n"/>
      <c r="BT1322" s="4" t="n"/>
      <c r="BU1322" s="4" t="n"/>
      <c r="BV1322" s="4" t="n"/>
      <c r="BW1322" s="4" t="n"/>
      <c r="BX1322" s="4" t="n"/>
      <c r="BY1322" s="4" t="n"/>
      <c r="BZ1322" s="4" t="n"/>
      <c r="CA1322" s="4" t="n"/>
      <c r="CB1322" s="4" t="n"/>
      <c r="CC1322" s="4" t="n"/>
      <c r="CD1322" s="4" t="n"/>
      <c r="CE1322" s="4" t="n"/>
      <c r="CF1322" s="4" t="n"/>
      <c r="CG1322" s="4" t="n"/>
      <c r="CH1322" s="4" t="n"/>
      <c r="CI1322" s="4" t="n"/>
      <c r="CJ1322" s="4" t="n"/>
      <c r="CK1322" s="4" t="n"/>
      <c r="CL1322" s="4" t="n"/>
      <c r="CM1322" s="4" t="n"/>
      <c r="CN1322" s="4" t="n"/>
      <c r="CO1322" s="4" t="n"/>
      <c r="CP1322" s="4" t="n"/>
      <c r="CQ1322" s="4" t="n"/>
      <c r="CR1322" s="4" t="n"/>
      <c r="CS1322" s="4" t="n"/>
      <c r="CT1322" s="4" t="n"/>
      <c r="CU1322" s="4" t="n"/>
      <c r="CV1322" s="4" t="n"/>
      <c r="CW1322" s="4" t="n"/>
      <c r="CX1322" s="4" t="n"/>
      <c r="CY1322" s="4" t="n"/>
      <c r="CZ1322" s="4" t="n"/>
      <c r="DA1322" s="4" t="n"/>
      <c r="DB1322" s="4" t="n"/>
      <c r="DC1322" s="4" t="n"/>
      <c r="DD1322" s="4" t="n"/>
      <c r="DE1322" s="4" t="n"/>
      <c r="DF1322" s="4" t="n"/>
      <c r="DG1322" s="4" t="n"/>
      <c r="DH1322" s="4" t="n"/>
      <c r="DI1322" s="4" t="n"/>
      <c r="DJ1322" s="4" t="n"/>
      <c r="DK1322" s="4" t="n"/>
      <c r="DL1322" s="4" t="n"/>
      <c r="DM1322" s="4" t="n"/>
      <c r="DN1322" s="4" t="n"/>
      <c r="DO1322" s="4" t="n"/>
      <c r="DP1322" s="4" t="n"/>
      <c r="DQ1322" s="4" t="n"/>
      <c r="DR1322" s="4" t="n"/>
      <c r="DS1322" s="4" t="n"/>
      <c r="DT1322" s="4" t="n"/>
      <c r="DU1322" s="4" t="n"/>
      <c r="DV1322" s="4" t="n"/>
      <c r="DW1322" s="4" t="n"/>
      <c r="DX1322" s="4" t="n"/>
      <c r="DY1322" s="4" t="n"/>
      <c r="DZ1322" s="4" t="n"/>
      <c r="EA1322" s="4" t="n"/>
      <c r="EB1322" s="4" t="n"/>
      <c r="EC1322" s="4" t="n"/>
      <c r="ED1322" s="4" t="n"/>
      <c r="EE1322" s="4" t="n"/>
      <c r="EF1322" s="4" t="n"/>
      <c r="EG1322" s="4" t="n"/>
      <c r="EH1322" s="4" t="n"/>
      <c r="EI1322" s="4" t="n"/>
      <c r="EJ1322" s="4" t="n"/>
      <c r="EK1322" s="4" t="n"/>
      <c r="EL1322" s="4" t="n"/>
      <c r="EM1322" s="4" t="n"/>
      <c r="EN1322" s="4" t="n"/>
      <c r="EO1322" s="4" t="n"/>
      <c r="EP1322" s="4" t="n"/>
      <c r="EQ1322" s="4" t="n"/>
      <c r="ER1322" s="4" t="n"/>
      <c r="ES1322" s="4" t="n"/>
      <c r="ET1322" s="4" t="n"/>
      <c r="EU1322" s="4" t="n"/>
      <c r="EV1322" s="4" t="n"/>
      <c r="EW1322" s="4" t="n"/>
      <c r="EX1322" s="4" t="n"/>
      <c r="EY1322" s="4" t="n"/>
      <c r="EZ1322" s="4" t="n"/>
      <c r="FA1322" s="4" t="n"/>
      <c r="FB1322" s="4" t="n"/>
      <c r="FC1322" s="4" t="n"/>
    </row>
    <row r="1323" hidden="1" customFormat="1" s="6">
      <c r="C1323" s="4" t="n"/>
      <c r="D1323" s="4" t="n"/>
      <c r="E1323" s="4" t="n"/>
      <c r="F1323" s="4" t="n"/>
      <c r="G1323" s="4" t="n"/>
      <c r="H1323" s="4" t="n"/>
      <c r="I1323" s="4" t="n"/>
      <c r="J1323" s="4" t="n"/>
      <c r="K1323" s="4" t="n"/>
      <c r="L1323" s="4" t="n"/>
      <c r="M1323" s="4" t="n"/>
      <c r="N1323" s="4" t="n"/>
      <c r="O1323" s="4" t="n"/>
      <c r="P1323" s="4" t="n"/>
      <c r="Q1323" s="4" t="n"/>
      <c r="R1323" s="4" t="n"/>
      <c r="S1323" s="4" t="n"/>
      <c r="T1323" s="4" t="n"/>
      <c r="U1323" s="4" t="n"/>
      <c r="V1323" s="4" t="n"/>
      <c r="W1323" s="4" t="n"/>
      <c r="X1323" s="4" t="n"/>
      <c r="Y1323" s="4" t="n"/>
      <c r="Z1323" s="4" t="n"/>
      <c r="AA1323" s="4" t="n"/>
      <c r="AB1323" s="4" t="n"/>
      <c r="AC1323" s="4" t="n"/>
      <c r="AD1323" s="4" t="n"/>
      <c r="AE1323" s="4" t="n"/>
      <c r="AF1323" s="4" t="n"/>
      <c r="AG1323" s="4" t="n"/>
      <c r="AH1323" s="4" t="n"/>
      <c r="AI1323" s="4" t="n"/>
      <c r="AJ1323" s="4" t="n"/>
      <c r="AK1323" s="4" t="n"/>
      <c r="AL1323" s="4" t="n"/>
      <c r="AM1323" s="4" t="n"/>
      <c r="AN1323" s="4" t="n"/>
      <c r="AO1323" s="4" t="n"/>
      <c r="AP1323" s="4" t="n"/>
      <c r="AQ1323" s="4" t="n"/>
      <c r="AR1323" s="4" t="n"/>
      <c r="AS1323" s="4" t="n"/>
      <c r="AT1323" s="4" t="n"/>
      <c r="AU1323" s="4" t="n"/>
      <c r="AV1323" s="4" t="n"/>
      <c r="AW1323" s="4" t="n"/>
      <c r="AX1323" s="4" t="n"/>
      <c r="AY1323" s="4" t="n"/>
      <c r="AZ1323" s="4" t="n"/>
      <c r="BA1323" s="4" t="n"/>
      <c r="BB1323" s="4" t="n"/>
      <c r="BC1323" s="4" t="n"/>
      <c r="BD1323" s="4" t="n"/>
      <c r="BE1323" s="4" t="n"/>
      <c r="BF1323" s="4" t="n"/>
      <c r="BG1323" s="4" t="n"/>
      <c r="BH1323" s="4" t="n"/>
      <c r="BI1323" s="4" t="n"/>
      <c r="BJ1323" s="4" t="n"/>
      <c r="BK1323" s="4" t="n"/>
      <c r="BL1323" s="4" t="n"/>
      <c r="BM1323" s="4" t="n"/>
      <c r="BN1323" s="4" t="n"/>
      <c r="BO1323" s="4" t="n"/>
      <c r="BP1323" s="4" t="n"/>
      <c r="BQ1323" s="4" t="n"/>
      <c r="BR1323" s="4" t="n"/>
      <c r="BS1323" s="4" t="n"/>
      <c r="BT1323" s="4" t="n"/>
      <c r="BU1323" s="4" t="n"/>
      <c r="BV1323" s="4" t="n"/>
      <c r="BW1323" s="4" t="n"/>
      <c r="BX1323" s="4" t="n"/>
      <c r="BY1323" s="4" t="n"/>
      <c r="BZ1323" s="4" t="n"/>
      <c r="CA1323" s="4" t="n"/>
      <c r="CB1323" s="4" t="n"/>
      <c r="CC1323" s="4" t="n"/>
      <c r="CD1323" s="4" t="n"/>
      <c r="CE1323" s="4" t="n"/>
      <c r="CF1323" s="4" t="n"/>
      <c r="CG1323" s="4" t="n"/>
      <c r="CH1323" s="4" t="n"/>
      <c r="CI1323" s="4" t="n"/>
      <c r="CJ1323" s="4" t="n"/>
      <c r="CK1323" s="4" t="n"/>
      <c r="CL1323" s="4" t="n"/>
      <c r="CM1323" s="4" t="n"/>
      <c r="CN1323" s="4" t="n"/>
      <c r="CO1323" s="4" t="n"/>
      <c r="CP1323" s="4" t="n"/>
      <c r="CQ1323" s="4" t="n"/>
      <c r="CR1323" s="4" t="n"/>
      <c r="CS1323" s="4" t="n"/>
      <c r="CT1323" s="4" t="n"/>
      <c r="CU1323" s="4" t="n"/>
      <c r="CV1323" s="4" t="n"/>
      <c r="CW1323" s="4" t="n"/>
      <c r="CX1323" s="4" t="n"/>
      <c r="CY1323" s="4" t="n"/>
      <c r="CZ1323" s="4" t="n"/>
      <c r="DA1323" s="4" t="n"/>
      <c r="DB1323" s="4" t="n"/>
      <c r="DC1323" s="4" t="n"/>
      <c r="DD1323" s="4" t="n"/>
      <c r="DE1323" s="4" t="n"/>
      <c r="DF1323" s="4" t="n"/>
      <c r="DG1323" s="4" t="n"/>
      <c r="DH1323" s="4" t="n"/>
      <c r="DI1323" s="4" t="n"/>
      <c r="DJ1323" s="4" t="n"/>
      <c r="DK1323" s="4" t="n"/>
      <c r="DL1323" s="4" t="n"/>
      <c r="DM1323" s="4" t="n"/>
      <c r="DN1323" s="4" t="n"/>
      <c r="DO1323" s="4" t="n"/>
      <c r="DP1323" s="4" t="n"/>
      <c r="DQ1323" s="4" t="n"/>
      <c r="DR1323" s="4" t="n"/>
      <c r="DS1323" s="4" t="n"/>
      <c r="DT1323" s="4" t="n"/>
      <c r="DU1323" s="4" t="n"/>
      <c r="DV1323" s="4" t="n"/>
      <c r="DW1323" s="4" t="n"/>
      <c r="DX1323" s="4" t="n"/>
      <c r="DY1323" s="4" t="n"/>
      <c r="DZ1323" s="4" t="n"/>
      <c r="EA1323" s="4" t="n"/>
      <c r="EB1323" s="4" t="n"/>
      <c r="EC1323" s="4" t="n"/>
      <c r="ED1323" s="4" t="n"/>
      <c r="EE1323" s="4" t="n"/>
      <c r="EF1323" s="4" t="n"/>
      <c r="EG1323" s="4" t="n"/>
      <c r="EH1323" s="4" t="n"/>
      <c r="EI1323" s="4" t="n"/>
      <c r="EJ1323" s="4" t="n"/>
      <c r="EK1323" s="4" t="n"/>
      <c r="EL1323" s="4" t="n"/>
      <c r="EM1323" s="4" t="n"/>
      <c r="EN1323" s="4" t="n"/>
      <c r="EO1323" s="4" t="n"/>
      <c r="EP1323" s="4" t="n"/>
      <c r="EQ1323" s="4" t="n"/>
      <c r="ER1323" s="4" t="n"/>
      <c r="ES1323" s="4" t="n"/>
      <c r="ET1323" s="4" t="n"/>
      <c r="EU1323" s="4" t="n"/>
      <c r="EV1323" s="4" t="n"/>
      <c r="EW1323" s="4" t="n"/>
      <c r="EX1323" s="4" t="n"/>
      <c r="EY1323" s="4" t="n"/>
      <c r="EZ1323" s="4" t="n"/>
      <c r="FA1323" s="4" t="n"/>
      <c r="FB1323" s="4" t="n"/>
      <c r="FC1323" s="4" t="n"/>
    </row>
    <row r="1324" hidden="1" customFormat="1" s="6">
      <c r="C1324" s="4" t="n"/>
      <c r="D1324" s="4" t="n"/>
      <c r="E1324" s="4" t="n"/>
      <c r="F1324" s="4" t="n"/>
      <c r="G1324" s="4" t="n"/>
      <c r="H1324" s="4" t="n"/>
      <c r="I1324" s="4" t="n"/>
      <c r="J1324" s="4" t="n"/>
      <c r="K1324" s="4" t="n"/>
      <c r="L1324" s="4" t="n"/>
      <c r="M1324" s="4" t="n"/>
      <c r="N1324" s="4" t="n"/>
      <c r="O1324" s="4" t="n"/>
      <c r="P1324" s="4" t="n"/>
      <c r="Q1324" s="4" t="n"/>
      <c r="R1324" s="4" t="n"/>
      <c r="S1324" s="4" t="n"/>
      <c r="T1324" s="4" t="n"/>
      <c r="U1324" s="4" t="n"/>
      <c r="V1324" s="4" t="n"/>
      <c r="W1324" s="4" t="n"/>
      <c r="X1324" s="4" t="n"/>
      <c r="Y1324" s="4" t="n"/>
      <c r="Z1324" s="4" t="n"/>
      <c r="AA1324" s="4" t="n"/>
      <c r="AB1324" s="4" t="n"/>
      <c r="AC1324" s="4" t="n"/>
      <c r="AD1324" s="4" t="n"/>
      <c r="AE1324" s="4" t="n"/>
      <c r="AF1324" s="4" t="n"/>
      <c r="AG1324" s="4" t="n"/>
      <c r="AH1324" s="4" t="n"/>
      <c r="AI1324" s="4" t="n"/>
      <c r="AJ1324" s="4" t="n"/>
      <c r="AK1324" s="4" t="n"/>
      <c r="AL1324" s="4" t="n"/>
      <c r="AM1324" s="4" t="n"/>
      <c r="AN1324" s="4" t="n"/>
      <c r="AO1324" s="4" t="n"/>
      <c r="AP1324" s="4" t="n"/>
      <c r="AQ1324" s="4" t="n"/>
      <c r="AR1324" s="4" t="n"/>
      <c r="AS1324" s="4" t="n"/>
      <c r="AT1324" s="4" t="n"/>
      <c r="AU1324" s="4" t="n"/>
      <c r="AV1324" s="4" t="n"/>
      <c r="AW1324" s="4" t="n"/>
      <c r="AX1324" s="4" t="n"/>
      <c r="AY1324" s="4" t="n"/>
      <c r="AZ1324" s="4" t="n"/>
      <c r="BA1324" s="4" t="n"/>
      <c r="BB1324" s="4" t="n"/>
      <c r="BC1324" s="4" t="n"/>
      <c r="BD1324" s="4" t="n"/>
      <c r="BE1324" s="4" t="n"/>
      <c r="BF1324" s="4" t="n"/>
      <c r="BG1324" s="4" t="n"/>
      <c r="BH1324" s="4" t="n"/>
      <c r="BI1324" s="4" t="n"/>
      <c r="BJ1324" s="4" t="n"/>
      <c r="BK1324" s="4" t="n"/>
      <c r="BL1324" s="4" t="n"/>
      <c r="BM1324" s="4" t="n"/>
      <c r="BN1324" s="4" t="n"/>
      <c r="BO1324" s="4" t="n"/>
      <c r="BP1324" s="4" t="n"/>
      <c r="BQ1324" s="4" t="n"/>
      <c r="BR1324" s="4" t="n"/>
      <c r="BS1324" s="4" t="n"/>
      <c r="BT1324" s="4" t="n"/>
      <c r="BU1324" s="4" t="n"/>
      <c r="BV1324" s="4" t="n"/>
      <c r="BW1324" s="4" t="n"/>
      <c r="BX1324" s="4" t="n"/>
      <c r="BY1324" s="4" t="n"/>
      <c r="BZ1324" s="4" t="n"/>
      <c r="CA1324" s="4" t="n"/>
      <c r="CB1324" s="4" t="n"/>
      <c r="CC1324" s="4" t="n"/>
      <c r="CD1324" s="4" t="n"/>
      <c r="CE1324" s="4" t="n"/>
      <c r="CF1324" s="4" t="n"/>
      <c r="CG1324" s="4" t="n"/>
      <c r="CH1324" s="4" t="n"/>
      <c r="CI1324" s="4" t="n"/>
      <c r="CJ1324" s="4" t="n"/>
      <c r="CK1324" s="4" t="n"/>
      <c r="CL1324" s="4" t="n"/>
      <c r="CM1324" s="4" t="n"/>
      <c r="CN1324" s="4" t="n"/>
      <c r="CO1324" s="4" t="n"/>
      <c r="CP1324" s="4" t="n"/>
      <c r="CQ1324" s="4" t="n"/>
      <c r="CR1324" s="4" t="n"/>
      <c r="CS1324" s="4" t="n"/>
      <c r="CT1324" s="4" t="n"/>
      <c r="CU1324" s="4" t="n"/>
      <c r="CV1324" s="4" t="n"/>
      <c r="CW1324" s="4" t="n"/>
      <c r="CX1324" s="4" t="n"/>
      <c r="CY1324" s="4" t="n"/>
      <c r="CZ1324" s="4" t="n"/>
      <c r="DA1324" s="4" t="n"/>
      <c r="DB1324" s="4" t="n"/>
      <c r="DC1324" s="4" t="n"/>
      <c r="DD1324" s="4" t="n"/>
      <c r="DE1324" s="4" t="n"/>
      <c r="DF1324" s="4" t="n"/>
      <c r="DG1324" s="4" t="n"/>
      <c r="DH1324" s="4" t="n"/>
      <c r="DI1324" s="4" t="n"/>
      <c r="DJ1324" s="4" t="n"/>
      <c r="DK1324" s="4" t="n"/>
      <c r="DL1324" s="4" t="n"/>
      <c r="DM1324" s="4" t="n"/>
      <c r="DN1324" s="4" t="n"/>
      <c r="DO1324" s="4" t="n"/>
      <c r="DP1324" s="4" t="n"/>
      <c r="DQ1324" s="4" t="n"/>
      <c r="DR1324" s="4" t="n"/>
      <c r="DS1324" s="4" t="n"/>
      <c r="DT1324" s="4" t="n"/>
      <c r="DU1324" s="4" t="n"/>
      <c r="DV1324" s="4" t="n"/>
      <c r="DW1324" s="4" t="n"/>
      <c r="DX1324" s="4" t="n"/>
      <c r="DY1324" s="4" t="n"/>
      <c r="DZ1324" s="4" t="n"/>
      <c r="EA1324" s="4" t="n"/>
      <c r="EB1324" s="4" t="n"/>
      <c r="EC1324" s="4" t="n"/>
      <c r="ED1324" s="4" t="n"/>
      <c r="EE1324" s="4" t="n"/>
      <c r="EF1324" s="4" t="n"/>
      <c r="EG1324" s="4" t="n"/>
      <c r="EH1324" s="4" t="n"/>
      <c r="EI1324" s="4" t="n"/>
      <c r="EJ1324" s="4" t="n"/>
      <c r="EK1324" s="4" t="n"/>
      <c r="EL1324" s="4" t="n"/>
      <c r="EM1324" s="4" t="n"/>
      <c r="EN1324" s="4" t="n"/>
      <c r="EO1324" s="4" t="n"/>
      <c r="EP1324" s="4" t="n"/>
      <c r="EQ1324" s="4" t="n"/>
      <c r="ER1324" s="4" t="n"/>
      <c r="ES1324" s="4" t="n"/>
      <c r="ET1324" s="4" t="n"/>
      <c r="EU1324" s="4" t="n"/>
      <c r="EV1324" s="4" t="n"/>
      <c r="EW1324" s="4" t="n"/>
      <c r="EX1324" s="4" t="n"/>
      <c r="EY1324" s="4" t="n"/>
      <c r="EZ1324" s="4" t="n"/>
      <c r="FA1324" s="4" t="n"/>
      <c r="FB1324" s="4" t="n"/>
      <c r="FC1324" s="4" t="n"/>
    </row>
    <row r="1325" hidden="1" customFormat="1" s="6">
      <c r="C1325" s="4" t="n"/>
      <c r="D1325" s="4" t="n"/>
      <c r="E1325" s="4" t="n"/>
      <c r="F1325" s="4" t="n"/>
      <c r="G1325" s="4" t="n"/>
      <c r="H1325" s="4" t="n"/>
      <c r="I1325" s="4" t="n"/>
      <c r="J1325" s="4" t="n"/>
      <c r="K1325" s="4" t="n"/>
      <c r="L1325" s="4" t="n"/>
      <c r="M1325" s="4" t="n"/>
      <c r="N1325" s="4" t="n"/>
      <c r="O1325" s="4" t="n"/>
      <c r="P1325" s="4" t="n"/>
      <c r="Q1325" s="4" t="n"/>
      <c r="R1325" s="4" t="n"/>
      <c r="S1325" s="4" t="n"/>
      <c r="T1325" s="4" t="n"/>
      <c r="U1325" s="4" t="n"/>
      <c r="V1325" s="4" t="n"/>
      <c r="W1325" s="4" t="n"/>
      <c r="X1325" s="4" t="n"/>
      <c r="Y1325" s="4" t="n"/>
      <c r="Z1325" s="4" t="n"/>
      <c r="AA1325" s="4" t="n"/>
      <c r="AB1325" s="4" t="n"/>
      <c r="AC1325" s="4" t="n"/>
      <c r="AD1325" s="4" t="n"/>
      <c r="AE1325" s="4" t="n"/>
      <c r="AF1325" s="4" t="n"/>
      <c r="AG1325" s="4" t="n"/>
      <c r="AH1325" s="4" t="n"/>
      <c r="AI1325" s="4" t="n"/>
      <c r="AJ1325" s="4" t="n"/>
      <c r="AK1325" s="4" t="n"/>
      <c r="AL1325" s="4" t="n"/>
      <c r="AM1325" s="4" t="n"/>
      <c r="AN1325" s="4" t="n"/>
      <c r="AO1325" s="4" t="n"/>
      <c r="AP1325" s="4" t="n"/>
      <c r="AQ1325" s="4" t="n"/>
      <c r="AR1325" s="4" t="n"/>
      <c r="AS1325" s="4" t="n"/>
      <c r="AT1325" s="4" t="n"/>
      <c r="AU1325" s="4" t="n"/>
      <c r="AV1325" s="4" t="n"/>
      <c r="AW1325" s="4" t="n"/>
      <c r="AX1325" s="4" t="n"/>
      <c r="AY1325" s="4" t="n"/>
      <c r="AZ1325" s="4" t="n"/>
      <c r="BA1325" s="4" t="n"/>
      <c r="BB1325" s="4" t="n"/>
      <c r="BC1325" s="4" t="n"/>
      <c r="BD1325" s="4" t="n"/>
      <c r="BE1325" s="4" t="n"/>
      <c r="BF1325" s="4" t="n"/>
      <c r="BG1325" s="4" t="n"/>
      <c r="BH1325" s="4" t="n"/>
      <c r="BI1325" s="4" t="n"/>
      <c r="BJ1325" s="4" t="n"/>
      <c r="BK1325" s="4" t="n"/>
      <c r="BL1325" s="4" t="n"/>
      <c r="BM1325" s="4" t="n"/>
      <c r="BN1325" s="4" t="n"/>
      <c r="BO1325" s="4" t="n"/>
      <c r="BP1325" s="4" t="n"/>
      <c r="BQ1325" s="4" t="n"/>
      <c r="BR1325" s="4" t="n"/>
      <c r="BS1325" s="4" t="n"/>
      <c r="BT1325" s="4" t="n"/>
      <c r="BU1325" s="4" t="n"/>
      <c r="BV1325" s="4" t="n"/>
      <c r="BW1325" s="4" t="n"/>
      <c r="BX1325" s="4" t="n"/>
      <c r="BY1325" s="4" t="n"/>
      <c r="BZ1325" s="4" t="n"/>
      <c r="CA1325" s="4" t="n"/>
      <c r="CB1325" s="4" t="n"/>
      <c r="CC1325" s="4" t="n"/>
      <c r="CD1325" s="4" t="n"/>
      <c r="CE1325" s="4" t="n"/>
      <c r="CF1325" s="4" t="n"/>
      <c r="CG1325" s="4" t="n"/>
      <c r="CH1325" s="4" t="n"/>
      <c r="CI1325" s="4" t="n"/>
      <c r="CJ1325" s="4" t="n"/>
      <c r="CK1325" s="4" t="n"/>
      <c r="CL1325" s="4" t="n"/>
      <c r="CM1325" s="4" t="n"/>
      <c r="CN1325" s="4" t="n"/>
      <c r="CO1325" s="4" t="n"/>
      <c r="CP1325" s="4" t="n"/>
      <c r="CQ1325" s="4" t="n"/>
      <c r="CR1325" s="4" t="n"/>
      <c r="CS1325" s="4" t="n"/>
      <c r="CT1325" s="4" t="n"/>
      <c r="CU1325" s="4" t="n"/>
      <c r="CV1325" s="4" t="n"/>
      <c r="CW1325" s="4" t="n"/>
      <c r="CX1325" s="4" t="n"/>
      <c r="CY1325" s="4" t="n"/>
      <c r="CZ1325" s="4" t="n"/>
      <c r="DA1325" s="4" t="n"/>
      <c r="DB1325" s="4" t="n"/>
      <c r="DC1325" s="4" t="n"/>
      <c r="DD1325" s="4" t="n"/>
      <c r="DE1325" s="4" t="n"/>
      <c r="DF1325" s="4" t="n"/>
      <c r="DG1325" s="4" t="n"/>
      <c r="DH1325" s="4" t="n"/>
      <c r="DI1325" s="4" t="n"/>
      <c r="DJ1325" s="4" t="n"/>
      <c r="DK1325" s="4" t="n"/>
      <c r="DL1325" s="4" t="n"/>
      <c r="DM1325" s="4" t="n"/>
      <c r="DN1325" s="4" t="n"/>
      <c r="DO1325" s="4" t="n"/>
      <c r="DP1325" s="4" t="n"/>
      <c r="DQ1325" s="4" t="n"/>
      <c r="DR1325" s="4" t="n"/>
      <c r="DS1325" s="4" t="n"/>
      <c r="DT1325" s="4" t="n"/>
      <c r="DU1325" s="4" t="n"/>
      <c r="DV1325" s="4" t="n"/>
      <c r="DW1325" s="4" t="n"/>
      <c r="DX1325" s="4" t="n"/>
      <c r="DY1325" s="4" t="n"/>
      <c r="DZ1325" s="4" t="n"/>
      <c r="EA1325" s="4" t="n"/>
      <c r="EB1325" s="4" t="n"/>
      <c r="EC1325" s="4" t="n"/>
      <c r="ED1325" s="4" t="n"/>
      <c r="EE1325" s="4" t="n"/>
      <c r="EF1325" s="4" t="n"/>
      <c r="EG1325" s="4" t="n"/>
      <c r="EH1325" s="4" t="n"/>
      <c r="EI1325" s="4" t="n"/>
      <c r="EJ1325" s="4" t="n"/>
      <c r="EK1325" s="4" t="n"/>
      <c r="EL1325" s="4" t="n"/>
      <c r="EM1325" s="4" t="n"/>
      <c r="EN1325" s="4" t="n"/>
      <c r="EO1325" s="4" t="n"/>
      <c r="EP1325" s="4" t="n"/>
      <c r="EQ1325" s="4" t="n"/>
      <c r="ER1325" s="4" t="n"/>
      <c r="ES1325" s="4" t="n"/>
      <c r="ET1325" s="4" t="n"/>
      <c r="EU1325" s="4" t="n"/>
      <c r="EV1325" s="4" t="n"/>
      <c r="EW1325" s="4" t="n"/>
      <c r="EX1325" s="4" t="n"/>
      <c r="EY1325" s="4" t="n"/>
      <c r="EZ1325" s="4" t="n"/>
      <c r="FA1325" s="4" t="n"/>
      <c r="FB1325" s="4" t="n"/>
      <c r="FC1325" s="4" t="n"/>
    </row>
    <row r="1326" hidden="1" customFormat="1" s="6">
      <c r="C1326" s="4" t="n"/>
      <c r="D1326" s="4" t="n"/>
      <c r="E1326" s="4" t="n"/>
      <c r="F1326" s="4" t="n"/>
      <c r="G1326" s="4" t="n"/>
      <c r="H1326" s="4" t="n"/>
      <c r="I1326" s="4" t="n"/>
      <c r="J1326" s="4" t="n"/>
      <c r="K1326" s="4" t="n"/>
      <c r="L1326" s="4" t="n"/>
      <c r="M1326" s="4" t="n"/>
      <c r="N1326" s="4" t="n"/>
      <c r="O1326" s="4" t="n"/>
      <c r="P1326" s="4" t="n"/>
      <c r="Q1326" s="4" t="n"/>
      <c r="R1326" s="4" t="n"/>
      <c r="S1326" s="4" t="n"/>
      <c r="T1326" s="4" t="n"/>
      <c r="U1326" s="4" t="n"/>
      <c r="V1326" s="4" t="n"/>
      <c r="W1326" s="4" t="n"/>
      <c r="X1326" s="4" t="n"/>
      <c r="Y1326" s="4" t="n"/>
      <c r="Z1326" s="4" t="n"/>
      <c r="AA1326" s="4" t="n"/>
      <c r="AB1326" s="4" t="n"/>
      <c r="AC1326" s="4" t="n"/>
      <c r="AD1326" s="4" t="n"/>
      <c r="AE1326" s="4" t="n"/>
      <c r="AF1326" s="4" t="n"/>
      <c r="AG1326" s="4" t="n"/>
      <c r="AH1326" s="4" t="n"/>
      <c r="AI1326" s="4" t="n"/>
      <c r="AJ1326" s="4" t="n"/>
      <c r="AK1326" s="4" t="n"/>
      <c r="AL1326" s="4" t="n"/>
      <c r="AM1326" s="4" t="n"/>
      <c r="AN1326" s="4" t="n"/>
      <c r="AO1326" s="4" t="n"/>
      <c r="AP1326" s="4" t="n"/>
      <c r="AQ1326" s="4" t="n"/>
      <c r="AR1326" s="4" t="n"/>
      <c r="AS1326" s="4" t="n"/>
      <c r="AT1326" s="4" t="n"/>
      <c r="AU1326" s="4" t="n"/>
      <c r="AV1326" s="4" t="n"/>
      <c r="AW1326" s="4" t="n"/>
      <c r="AX1326" s="4" t="n"/>
      <c r="AY1326" s="4" t="n"/>
      <c r="AZ1326" s="4" t="n"/>
      <c r="BA1326" s="4" t="n"/>
      <c r="BB1326" s="4" t="n"/>
      <c r="BC1326" s="4" t="n"/>
      <c r="BD1326" s="4" t="n"/>
      <c r="BE1326" s="4" t="n"/>
      <c r="BF1326" s="4" t="n"/>
      <c r="BG1326" s="4" t="n"/>
      <c r="BH1326" s="4" t="n"/>
      <c r="BI1326" s="4" t="n"/>
      <c r="BJ1326" s="4" t="n"/>
      <c r="BK1326" s="4" t="n"/>
      <c r="BL1326" s="4" t="n"/>
      <c r="BM1326" s="4" t="n"/>
      <c r="BN1326" s="4" t="n"/>
      <c r="BO1326" s="4" t="n"/>
      <c r="BP1326" s="4" t="n"/>
      <c r="BQ1326" s="4" t="n"/>
      <c r="BR1326" s="4" t="n"/>
      <c r="BS1326" s="4" t="n"/>
      <c r="BT1326" s="4" t="n"/>
      <c r="BU1326" s="4" t="n"/>
      <c r="BV1326" s="4" t="n"/>
      <c r="BW1326" s="4" t="n"/>
      <c r="BX1326" s="4" t="n"/>
      <c r="BY1326" s="4" t="n"/>
      <c r="BZ1326" s="4" t="n"/>
      <c r="CA1326" s="4" t="n"/>
      <c r="CB1326" s="4" t="n"/>
      <c r="CC1326" s="4" t="n"/>
      <c r="CD1326" s="4" t="n"/>
      <c r="CE1326" s="4" t="n"/>
      <c r="CF1326" s="4" t="n"/>
      <c r="CG1326" s="4" t="n"/>
      <c r="CH1326" s="4" t="n"/>
      <c r="CI1326" s="4" t="n"/>
      <c r="CJ1326" s="4" t="n"/>
      <c r="CK1326" s="4" t="n"/>
      <c r="CL1326" s="4" t="n"/>
      <c r="CM1326" s="4" t="n"/>
      <c r="CN1326" s="4" t="n"/>
      <c r="CO1326" s="4" t="n"/>
      <c r="CP1326" s="4" t="n"/>
      <c r="CQ1326" s="4" t="n"/>
      <c r="CR1326" s="4" t="n"/>
      <c r="CS1326" s="4" t="n"/>
      <c r="CT1326" s="4" t="n"/>
      <c r="CU1326" s="4" t="n"/>
      <c r="CV1326" s="4" t="n"/>
      <c r="CW1326" s="4" t="n"/>
      <c r="CX1326" s="4" t="n"/>
      <c r="CY1326" s="4" t="n"/>
      <c r="CZ1326" s="4" t="n"/>
      <c r="DA1326" s="4" t="n"/>
      <c r="DB1326" s="4" t="n"/>
      <c r="DC1326" s="4" t="n"/>
      <c r="DD1326" s="4" t="n"/>
      <c r="DE1326" s="4" t="n"/>
      <c r="DF1326" s="4" t="n"/>
      <c r="DG1326" s="4" t="n"/>
      <c r="DH1326" s="4" t="n"/>
      <c r="DI1326" s="4" t="n"/>
      <c r="DJ1326" s="4" t="n"/>
      <c r="DK1326" s="4" t="n"/>
      <c r="DL1326" s="4" t="n"/>
      <c r="DM1326" s="4" t="n"/>
      <c r="DN1326" s="4" t="n"/>
      <c r="DO1326" s="4" t="n"/>
      <c r="DP1326" s="4" t="n"/>
      <c r="DQ1326" s="4" t="n"/>
      <c r="DR1326" s="4" t="n"/>
      <c r="DS1326" s="4" t="n"/>
      <c r="DT1326" s="4" t="n"/>
      <c r="DU1326" s="4" t="n"/>
      <c r="DV1326" s="4" t="n"/>
      <c r="DW1326" s="4" t="n"/>
      <c r="DX1326" s="4" t="n"/>
      <c r="DY1326" s="4" t="n"/>
      <c r="DZ1326" s="4" t="n"/>
      <c r="EA1326" s="4" t="n"/>
      <c r="EB1326" s="4" t="n"/>
      <c r="EC1326" s="4" t="n"/>
      <c r="ED1326" s="4" t="n"/>
      <c r="EE1326" s="4" t="n"/>
      <c r="EF1326" s="4" t="n"/>
      <c r="EG1326" s="4" t="n"/>
      <c r="EH1326" s="4" t="n"/>
      <c r="EI1326" s="4" t="n"/>
      <c r="EJ1326" s="4" t="n"/>
      <c r="EK1326" s="4" t="n"/>
      <c r="EL1326" s="4" t="n"/>
      <c r="EM1326" s="4" t="n"/>
      <c r="EN1326" s="4" t="n"/>
      <c r="EO1326" s="4" t="n"/>
      <c r="EP1326" s="4" t="n"/>
      <c r="EQ1326" s="4" t="n"/>
      <c r="ER1326" s="4" t="n"/>
      <c r="ES1326" s="4" t="n"/>
      <c r="ET1326" s="4" t="n"/>
      <c r="EU1326" s="4" t="n"/>
      <c r="EV1326" s="4" t="n"/>
      <c r="EW1326" s="4" t="n"/>
      <c r="EX1326" s="4" t="n"/>
      <c r="EY1326" s="4" t="n"/>
      <c r="EZ1326" s="4" t="n"/>
      <c r="FA1326" s="4" t="n"/>
      <c r="FB1326" s="4" t="n"/>
      <c r="FC1326" s="4" t="n"/>
    </row>
    <row r="1327" hidden="1" customFormat="1" s="6">
      <c r="C1327" s="4" t="n"/>
      <c r="D1327" s="4" t="n"/>
      <c r="E1327" s="4" t="n"/>
      <c r="F1327" s="4" t="n"/>
      <c r="G1327" s="4" t="n"/>
      <c r="H1327" s="4" t="n"/>
      <c r="I1327" s="4" t="n"/>
      <c r="J1327" s="4" t="n"/>
      <c r="K1327" s="4" t="n"/>
      <c r="L1327" s="4" t="n"/>
      <c r="M1327" s="4" t="n"/>
      <c r="N1327" s="4" t="n"/>
      <c r="O1327" s="4" t="n"/>
      <c r="P1327" s="4" t="n"/>
      <c r="Q1327" s="4" t="n"/>
      <c r="R1327" s="4" t="n"/>
      <c r="S1327" s="4" t="n"/>
      <c r="T1327" s="4" t="n"/>
      <c r="U1327" s="4" t="n"/>
      <c r="V1327" s="4" t="n"/>
      <c r="W1327" s="4" t="n"/>
      <c r="X1327" s="4" t="n"/>
      <c r="Y1327" s="4" t="n"/>
      <c r="Z1327" s="4" t="n"/>
      <c r="AA1327" s="4" t="n"/>
      <c r="AB1327" s="4" t="n"/>
      <c r="AC1327" s="4" t="n"/>
      <c r="AD1327" s="4" t="n"/>
      <c r="AE1327" s="4" t="n"/>
      <c r="AF1327" s="4" t="n"/>
      <c r="AG1327" s="4" t="n"/>
      <c r="AH1327" s="4" t="n"/>
      <c r="AI1327" s="4" t="n"/>
      <c r="AJ1327" s="4" t="n"/>
      <c r="AK1327" s="4" t="n"/>
      <c r="AL1327" s="4" t="n"/>
      <c r="AM1327" s="4" t="n"/>
      <c r="AN1327" s="4" t="n"/>
      <c r="AO1327" s="4" t="n"/>
      <c r="AP1327" s="4" t="n"/>
      <c r="AQ1327" s="4" t="n"/>
      <c r="AR1327" s="4" t="n"/>
      <c r="AS1327" s="4" t="n"/>
      <c r="AT1327" s="4" t="n"/>
      <c r="AU1327" s="4" t="n"/>
      <c r="AV1327" s="4" t="n"/>
      <c r="AW1327" s="4" t="n"/>
      <c r="AX1327" s="4" t="n"/>
      <c r="AY1327" s="4" t="n"/>
      <c r="AZ1327" s="4" t="n"/>
      <c r="BA1327" s="4" t="n"/>
      <c r="BB1327" s="4" t="n"/>
      <c r="BC1327" s="4" t="n"/>
      <c r="BD1327" s="4" t="n"/>
      <c r="BE1327" s="4" t="n"/>
      <c r="BF1327" s="4" t="n"/>
      <c r="BG1327" s="4" t="n"/>
      <c r="BH1327" s="4" t="n"/>
      <c r="BI1327" s="4" t="n"/>
      <c r="BJ1327" s="4" t="n"/>
      <c r="BK1327" s="4" t="n"/>
      <c r="BL1327" s="4" t="n"/>
      <c r="BM1327" s="4" t="n"/>
      <c r="BN1327" s="4" t="n"/>
      <c r="BO1327" s="4" t="n"/>
      <c r="BP1327" s="4" t="n"/>
      <c r="BQ1327" s="4" t="n"/>
      <c r="BR1327" s="4" t="n"/>
      <c r="BS1327" s="4" t="n"/>
      <c r="BT1327" s="4" t="n"/>
      <c r="BU1327" s="4" t="n"/>
      <c r="BV1327" s="4" t="n"/>
      <c r="BW1327" s="4" t="n"/>
      <c r="BX1327" s="4" t="n"/>
      <c r="BY1327" s="4" t="n"/>
      <c r="BZ1327" s="4" t="n"/>
      <c r="CA1327" s="4" t="n"/>
      <c r="CB1327" s="4" t="n"/>
      <c r="CC1327" s="4" t="n"/>
      <c r="CD1327" s="4" t="n"/>
      <c r="CE1327" s="4" t="n"/>
      <c r="CF1327" s="4" t="n"/>
      <c r="CG1327" s="4" t="n"/>
      <c r="CH1327" s="4" t="n"/>
      <c r="CI1327" s="4" t="n"/>
      <c r="CJ1327" s="4" t="n"/>
      <c r="CK1327" s="4" t="n"/>
      <c r="CL1327" s="4" t="n"/>
      <c r="CM1327" s="4" t="n"/>
      <c r="CN1327" s="4" t="n"/>
      <c r="CO1327" s="4" t="n"/>
      <c r="CP1327" s="4" t="n"/>
      <c r="CQ1327" s="4" t="n"/>
      <c r="CR1327" s="4" t="n"/>
      <c r="CS1327" s="4" t="n"/>
      <c r="CT1327" s="4" t="n"/>
      <c r="CU1327" s="4" t="n"/>
      <c r="CV1327" s="4" t="n"/>
      <c r="CW1327" s="4" t="n"/>
      <c r="CX1327" s="4" t="n"/>
      <c r="CY1327" s="4" t="n"/>
      <c r="CZ1327" s="4" t="n"/>
      <c r="DA1327" s="4" t="n"/>
      <c r="DB1327" s="4" t="n"/>
      <c r="DC1327" s="4" t="n"/>
      <c r="DD1327" s="4" t="n"/>
      <c r="DE1327" s="4" t="n"/>
      <c r="DF1327" s="4" t="n"/>
      <c r="DG1327" s="4" t="n"/>
      <c r="DH1327" s="4" t="n"/>
      <c r="DI1327" s="4" t="n"/>
      <c r="DJ1327" s="4" t="n"/>
      <c r="DK1327" s="4" t="n"/>
      <c r="DL1327" s="4" t="n"/>
      <c r="DM1327" s="4" t="n"/>
      <c r="DN1327" s="4" t="n"/>
      <c r="DO1327" s="4" t="n"/>
      <c r="DP1327" s="4" t="n"/>
      <c r="DQ1327" s="4" t="n"/>
      <c r="DR1327" s="4" t="n"/>
      <c r="DS1327" s="4" t="n"/>
      <c r="DT1327" s="4" t="n"/>
      <c r="DU1327" s="4" t="n"/>
      <c r="DV1327" s="4" t="n"/>
      <c r="DW1327" s="4" t="n"/>
      <c r="DX1327" s="4" t="n"/>
      <c r="DY1327" s="4" t="n"/>
      <c r="DZ1327" s="4" t="n"/>
      <c r="EA1327" s="4" t="n"/>
      <c r="EB1327" s="4" t="n"/>
      <c r="EC1327" s="4" t="n"/>
      <c r="ED1327" s="4" t="n"/>
      <c r="EE1327" s="4" t="n"/>
      <c r="EF1327" s="4" t="n"/>
      <c r="EG1327" s="4" t="n"/>
      <c r="EH1327" s="4" t="n"/>
      <c r="EI1327" s="4" t="n"/>
      <c r="EJ1327" s="4" t="n"/>
      <c r="EK1327" s="4" t="n"/>
      <c r="EL1327" s="4" t="n"/>
      <c r="EM1327" s="4" t="n"/>
      <c r="EN1327" s="4" t="n"/>
      <c r="EO1327" s="4" t="n"/>
      <c r="EP1327" s="4" t="n"/>
      <c r="EQ1327" s="4" t="n"/>
      <c r="ER1327" s="4" t="n"/>
      <c r="ES1327" s="4" t="n"/>
      <c r="ET1327" s="4" t="n"/>
      <c r="EU1327" s="4" t="n"/>
      <c r="EV1327" s="4" t="n"/>
      <c r="EW1327" s="4" t="n"/>
      <c r="EX1327" s="4" t="n"/>
      <c r="EY1327" s="4" t="n"/>
      <c r="EZ1327" s="4" t="n"/>
      <c r="FA1327" s="4" t="n"/>
      <c r="FB1327" s="4" t="n"/>
      <c r="FC1327" s="4" t="n"/>
    </row>
    <row r="1328" hidden="1" customFormat="1" s="6">
      <c r="C1328" s="4" t="n"/>
      <c r="D1328" s="4" t="n"/>
      <c r="E1328" s="4" t="n"/>
      <c r="F1328" s="4" t="n"/>
      <c r="G1328" s="4" t="n"/>
      <c r="H1328" s="4" t="n"/>
      <c r="I1328" s="4" t="n"/>
      <c r="J1328" s="4" t="n"/>
      <c r="K1328" s="4" t="n"/>
      <c r="L1328" s="4" t="n"/>
      <c r="M1328" s="4" t="n"/>
      <c r="N1328" s="4" t="n"/>
      <c r="O1328" s="4" t="n"/>
      <c r="P1328" s="4" t="n"/>
      <c r="Q1328" s="4" t="n"/>
      <c r="R1328" s="4" t="n"/>
      <c r="S1328" s="4" t="n"/>
      <c r="T1328" s="4" t="n"/>
      <c r="U1328" s="4" t="n"/>
      <c r="V1328" s="4" t="n"/>
      <c r="W1328" s="4" t="n"/>
      <c r="X1328" s="4" t="n"/>
      <c r="Y1328" s="4" t="n"/>
      <c r="Z1328" s="4" t="n"/>
      <c r="AA1328" s="4" t="n"/>
      <c r="AB1328" s="4" t="n"/>
      <c r="AC1328" s="4" t="n"/>
      <c r="AD1328" s="4" t="n"/>
      <c r="AE1328" s="4" t="n"/>
      <c r="AF1328" s="4" t="n"/>
      <c r="AG1328" s="4" t="n"/>
      <c r="AH1328" s="4" t="n"/>
      <c r="AI1328" s="4" t="n"/>
      <c r="AJ1328" s="4" t="n"/>
      <c r="AK1328" s="4" t="n"/>
      <c r="AL1328" s="4" t="n"/>
      <c r="AM1328" s="4" t="n"/>
      <c r="AN1328" s="4" t="n"/>
      <c r="AO1328" s="4" t="n"/>
      <c r="AP1328" s="4" t="n"/>
      <c r="AQ1328" s="4" t="n"/>
      <c r="AR1328" s="4" t="n"/>
      <c r="AS1328" s="4" t="n"/>
      <c r="AT1328" s="4" t="n"/>
      <c r="AU1328" s="4" t="n"/>
      <c r="AV1328" s="4" t="n"/>
      <c r="AW1328" s="4" t="n"/>
      <c r="AX1328" s="4" t="n"/>
      <c r="AY1328" s="4" t="n"/>
      <c r="AZ1328" s="4" t="n"/>
      <c r="BA1328" s="4" t="n"/>
      <c r="BB1328" s="4" t="n"/>
      <c r="BC1328" s="4" t="n"/>
      <c r="BD1328" s="4" t="n"/>
      <c r="BE1328" s="4" t="n"/>
      <c r="BF1328" s="4" t="n"/>
      <c r="BG1328" s="4" t="n"/>
      <c r="BH1328" s="4" t="n"/>
      <c r="BI1328" s="4" t="n"/>
      <c r="BJ1328" s="4" t="n"/>
      <c r="BK1328" s="4" t="n"/>
      <c r="BL1328" s="4" t="n"/>
      <c r="BM1328" s="4" t="n"/>
      <c r="BN1328" s="4" t="n"/>
      <c r="BO1328" s="4" t="n"/>
      <c r="BP1328" s="4" t="n"/>
      <c r="BQ1328" s="4" t="n"/>
      <c r="BR1328" s="4" t="n"/>
      <c r="BS1328" s="4" t="n"/>
      <c r="BT1328" s="4" t="n"/>
      <c r="BU1328" s="4" t="n"/>
      <c r="BV1328" s="4" t="n"/>
      <c r="BW1328" s="4" t="n"/>
      <c r="BX1328" s="4" t="n"/>
      <c r="BY1328" s="4" t="n"/>
      <c r="BZ1328" s="4" t="n"/>
      <c r="CA1328" s="4" t="n"/>
      <c r="CB1328" s="4" t="n"/>
      <c r="CC1328" s="4" t="n"/>
      <c r="CD1328" s="4" t="n"/>
      <c r="CE1328" s="4" t="n"/>
      <c r="CF1328" s="4" t="n"/>
      <c r="CG1328" s="4" t="n"/>
      <c r="CH1328" s="4" t="n"/>
      <c r="CI1328" s="4" t="n"/>
      <c r="CJ1328" s="4" t="n"/>
      <c r="CK1328" s="4" t="n"/>
      <c r="CL1328" s="4" t="n"/>
      <c r="CM1328" s="4" t="n"/>
      <c r="CN1328" s="4" t="n"/>
      <c r="CO1328" s="4" t="n"/>
      <c r="CP1328" s="4" t="n"/>
      <c r="CQ1328" s="4" t="n"/>
      <c r="CR1328" s="4" t="n"/>
      <c r="CS1328" s="4" t="n"/>
      <c r="CT1328" s="4" t="n"/>
      <c r="CU1328" s="4" t="n"/>
      <c r="CV1328" s="4" t="n"/>
      <c r="CW1328" s="4" t="n"/>
      <c r="CX1328" s="4" t="n"/>
      <c r="CY1328" s="4" t="n"/>
      <c r="CZ1328" s="4" t="n"/>
      <c r="DA1328" s="4" t="n"/>
      <c r="DB1328" s="4" t="n"/>
      <c r="DC1328" s="4" t="n"/>
      <c r="DD1328" s="4" t="n"/>
      <c r="DE1328" s="4" t="n"/>
      <c r="DF1328" s="4" t="n"/>
      <c r="DG1328" s="4" t="n"/>
      <c r="DH1328" s="4" t="n"/>
      <c r="DI1328" s="4" t="n"/>
      <c r="DJ1328" s="4" t="n"/>
      <c r="DK1328" s="4" t="n"/>
      <c r="DL1328" s="4" t="n"/>
      <c r="DM1328" s="4" t="n"/>
      <c r="DN1328" s="4" t="n"/>
      <c r="DO1328" s="4" t="n"/>
      <c r="DP1328" s="4" t="n"/>
      <c r="DQ1328" s="4" t="n"/>
      <c r="DR1328" s="4" t="n"/>
      <c r="DS1328" s="4" t="n"/>
      <c r="DT1328" s="4" t="n"/>
      <c r="DU1328" s="4" t="n"/>
      <c r="DV1328" s="4" t="n"/>
      <c r="DW1328" s="4" t="n"/>
      <c r="DX1328" s="4" t="n"/>
      <c r="DY1328" s="4" t="n"/>
      <c r="DZ1328" s="4" t="n"/>
      <c r="EA1328" s="4" t="n"/>
      <c r="EB1328" s="4" t="n"/>
      <c r="EC1328" s="4" t="n"/>
      <c r="ED1328" s="4" t="n"/>
      <c r="EE1328" s="4" t="n"/>
      <c r="EF1328" s="4" t="n"/>
      <c r="EG1328" s="4" t="n"/>
      <c r="EH1328" s="4" t="n"/>
      <c r="EI1328" s="4" t="n"/>
      <c r="EJ1328" s="4" t="n"/>
      <c r="EK1328" s="4" t="n"/>
      <c r="EL1328" s="4" t="n"/>
      <c r="EM1328" s="4" t="n"/>
      <c r="EN1328" s="4" t="n"/>
      <c r="EO1328" s="4" t="n"/>
      <c r="EP1328" s="4" t="n"/>
      <c r="EQ1328" s="4" t="n"/>
      <c r="ER1328" s="4" t="n"/>
      <c r="ES1328" s="4" t="n"/>
      <c r="ET1328" s="4" t="n"/>
      <c r="EU1328" s="4" t="n"/>
      <c r="EV1328" s="4" t="n"/>
      <c r="EW1328" s="4" t="n"/>
      <c r="EX1328" s="4" t="n"/>
      <c r="EY1328" s="4" t="n"/>
      <c r="EZ1328" s="4" t="n"/>
      <c r="FA1328" s="4" t="n"/>
      <c r="FB1328" s="4" t="n"/>
      <c r="FC1328" s="4" t="n"/>
    </row>
    <row r="1329" hidden="1" customFormat="1" s="6">
      <c r="C1329" s="4" t="n"/>
      <c r="D1329" s="4" t="n"/>
      <c r="E1329" s="4" t="n"/>
      <c r="F1329" s="4" t="n"/>
      <c r="G1329" s="4" t="n"/>
      <c r="H1329" s="4" t="n"/>
      <c r="I1329" s="4" t="n"/>
      <c r="J1329" s="4" t="n"/>
      <c r="K1329" s="4" t="n"/>
      <c r="L1329" s="4" t="n"/>
      <c r="M1329" s="4" t="n"/>
      <c r="N1329" s="4" t="n"/>
      <c r="O1329" s="4" t="n"/>
      <c r="P1329" s="4" t="n"/>
      <c r="Q1329" s="4" t="n"/>
      <c r="R1329" s="4" t="n"/>
      <c r="S1329" s="4" t="n"/>
      <c r="T1329" s="4" t="n"/>
      <c r="U1329" s="4" t="n"/>
      <c r="V1329" s="4" t="n"/>
      <c r="W1329" s="4" t="n"/>
      <c r="X1329" s="4" t="n"/>
      <c r="Y1329" s="4" t="n"/>
      <c r="Z1329" s="4" t="n"/>
      <c r="AA1329" s="4" t="n"/>
      <c r="AB1329" s="4" t="n"/>
      <c r="AC1329" s="4" t="n"/>
      <c r="AD1329" s="4" t="n"/>
      <c r="AE1329" s="4" t="n"/>
      <c r="AF1329" s="4" t="n"/>
      <c r="AG1329" s="4" t="n"/>
      <c r="AH1329" s="4" t="n"/>
      <c r="AI1329" s="4" t="n"/>
      <c r="AJ1329" s="4" t="n"/>
      <c r="AK1329" s="4" t="n"/>
      <c r="AL1329" s="4" t="n"/>
      <c r="AM1329" s="4" t="n"/>
      <c r="AN1329" s="4" t="n"/>
      <c r="AO1329" s="4" t="n"/>
      <c r="AP1329" s="4" t="n"/>
      <c r="AQ1329" s="4" t="n"/>
      <c r="AR1329" s="4" t="n"/>
      <c r="AS1329" s="4" t="n"/>
      <c r="AT1329" s="4" t="n"/>
      <c r="AU1329" s="4" t="n"/>
      <c r="AV1329" s="4" t="n"/>
      <c r="AW1329" s="4" t="n"/>
      <c r="AX1329" s="4" t="n"/>
      <c r="AY1329" s="4" t="n"/>
      <c r="AZ1329" s="4" t="n"/>
      <c r="BA1329" s="4" t="n"/>
      <c r="BB1329" s="4" t="n"/>
      <c r="BC1329" s="4" t="n"/>
      <c r="BD1329" s="4" t="n"/>
      <c r="BE1329" s="4" t="n"/>
      <c r="BF1329" s="4" t="n"/>
      <c r="BG1329" s="4" t="n"/>
      <c r="BH1329" s="4" t="n"/>
      <c r="BI1329" s="4" t="n"/>
      <c r="BJ1329" s="4" t="n"/>
      <c r="BK1329" s="4" t="n"/>
      <c r="BL1329" s="4" t="n"/>
      <c r="BM1329" s="4" t="n"/>
      <c r="BN1329" s="4" t="n"/>
      <c r="BO1329" s="4" t="n"/>
      <c r="BP1329" s="4" t="n"/>
      <c r="BQ1329" s="4" t="n"/>
      <c r="BR1329" s="4" t="n"/>
      <c r="BS1329" s="4" t="n"/>
      <c r="BT1329" s="4" t="n"/>
      <c r="BU1329" s="4" t="n"/>
      <c r="BV1329" s="4" t="n"/>
      <c r="BW1329" s="4" t="n"/>
      <c r="BX1329" s="4" t="n"/>
      <c r="BY1329" s="4" t="n"/>
      <c r="BZ1329" s="4" t="n"/>
      <c r="CA1329" s="4" t="n"/>
      <c r="CB1329" s="4" t="n"/>
      <c r="CC1329" s="4" t="n"/>
      <c r="CD1329" s="4" t="n"/>
      <c r="CE1329" s="4" t="n"/>
      <c r="CF1329" s="4" t="n"/>
      <c r="CG1329" s="4" t="n"/>
      <c r="CH1329" s="4" t="n"/>
      <c r="CI1329" s="4" t="n"/>
      <c r="CJ1329" s="4" t="n"/>
      <c r="CK1329" s="4" t="n"/>
      <c r="CL1329" s="4" t="n"/>
      <c r="CM1329" s="4" t="n"/>
      <c r="CN1329" s="4" t="n"/>
      <c r="CO1329" s="4" t="n"/>
      <c r="CP1329" s="4" t="n"/>
      <c r="CQ1329" s="4" t="n"/>
      <c r="CR1329" s="4" t="n"/>
      <c r="CS1329" s="4" t="n"/>
      <c r="CT1329" s="4" t="n"/>
      <c r="CU1329" s="4" t="n"/>
      <c r="CV1329" s="4" t="n"/>
      <c r="CW1329" s="4" t="n"/>
      <c r="CX1329" s="4" t="n"/>
      <c r="CY1329" s="4" t="n"/>
      <c r="CZ1329" s="4" t="n"/>
      <c r="DA1329" s="4" t="n"/>
      <c r="DB1329" s="4" t="n"/>
      <c r="DC1329" s="4" t="n"/>
      <c r="DD1329" s="4" t="n"/>
      <c r="DE1329" s="4" t="n"/>
      <c r="DF1329" s="4" t="n"/>
      <c r="DG1329" s="4" t="n"/>
      <c r="DH1329" s="4" t="n"/>
      <c r="DI1329" s="4" t="n"/>
      <c r="DJ1329" s="4" t="n"/>
      <c r="DK1329" s="4" t="n"/>
      <c r="DL1329" s="4" t="n"/>
      <c r="DM1329" s="4" t="n"/>
      <c r="DN1329" s="4" t="n"/>
      <c r="DO1329" s="4" t="n"/>
      <c r="DP1329" s="4" t="n"/>
      <c r="DQ1329" s="4" t="n"/>
      <c r="DR1329" s="4" t="n"/>
      <c r="DS1329" s="4" t="n"/>
      <c r="DT1329" s="4" t="n"/>
      <c r="DU1329" s="4" t="n"/>
      <c r="DV1329" s="4" t="n"/>
      <c r="DW1329" s="4" t="n"/>
      <c r="DX1329" s="4" t="n"/>
      <c r="DY1329" s="4" t="n"/>
      <c r="DZ1329" s="4" t="n"/>
      <c r="EA1329" s="4" t="n"/>
      <c r="EB1329" s="4" t="n"/>
      <c r="EC1329" s="4" t="n"/>
      <c r="ED1329" s="4" t="n"/>
      <c r="EE1329" s="4" t="n"/>
      <c r="EF1329" s="4" t="n"/>
      <c r="EG1329" s="4" t="n"/>
      <c r="EH1329" s="4" t="n"/>
      <c r="EI1329" s="4" t="n"/>
      <c r="EJ1329" s="4" t="n"/>
      <c r="EK1329" s="4" t="n"/>
      <c r="EL1329" s="4" t="n"/>
      <c r="EM1329" s="4" t="n"/>
      <c r="EN1329" s="4" t="n"/>
      <c r="EO1329" s="4" t="n"/>
      <c r="EP1329" s="4" t="n"/>
      <c r="EQ1329" s="4" t="n"/>
      <c r="ER1329" s="4" t="n"/>
      <c r="ES1329" s="4" t="n"/>
      <c r="ET1329" s="4" t="n"/>
      <c r="EU1329" s="4" t="n"/>
      <c r="EV1329" s="4" t="n"/>
      <c r="EW1329" s="4" t="n"/>
      <c r="EX1329" s="4" t="n"/>
      <c r="EY1329" s="4" t="n"/>
      <c r="EZ1329" s="4" t="n"/>
      <c r="FA1329" s="4" t="n"/>
      <c r="FB1329" s="4" t="n"/>
      <c r="FC1329" s="4" t="n"/>
    </row>
    <row r="1330" hidden="1" customFormat="1" s="6">
      <c r="C1330" s="4" t="n"/>
      <c r="D1330" s="4" t="n"/>
      <c r="E1330" s="4" t="n"/>
      <c r="F1330" s="4" t="n"/>
      <c r="G1330" s="4" t="n"/>
      <c r="H1330" s="4" t="n"/>
      <c r="I1330" s="4" t="n"/>
      <c r="J1330" s="4" t="n"/>
      <c r="K1330" s="4" t="n"/>
      <c r="L1330" s="4" t="n"/>
      <c r="M1330" s="4" t="n"/>
      <c r="N1330" s="4" t="n"/>
      <c r="O1330" s="4" t="n"/>
      <c r="P1330" s="4" t="n"/>
      <c r="Q1330" s="4" t="n"/>
      <c r="R1330" s="4" t="n"/>
      <c r="S1330" s="4" t="n"/>
      <c r="T1330" s="4" t="n"/>
      <c r="U1330" s="4" t="n"/>
      <c r="V1330" s="4" t="n"/>
      <c r="W1330" s="4" t="n"/>
      <c r="X1330" s="4" t="n"/>
      <c r="Y1330" s="4" t="n"/>
      <c r="Z1330" s="4" t="n"/>
      <c r="AA1330" s="4" t="n"/>
      <c r="AB1330" s="4" t="n"/>
      <c r="AC1330" s="4" t="n"/>
      <c r="AD1330" s="4" t="n"/>
      <c r="AE1330" s="4" t="n"/>
      <c r="AF1330" s="4" t="n"/>
      <c r="AG1330" s="4" t="n"/>
      <c r="AH1330" s="4" t="n"/>
      <c r="AI1330" s="4" t="n"/>
      <c r="AJ1330" s="4" t="n"/>
      <c r="AK1330" s="4" t="n"/>
      <c r="AL1330" s="4" t="n"/>
      <c r="AM1330" s="4" t="n"/>
      <c r="AN1330" s="4" t="n"/>
      <c r="AO1330" s="4" t="n"/>
      <c r="AP1330" s="4" t="n"/>
      <c r="AQ1330" s="4" t="n"/>
      <c r="AR1330" s="4" t="n"/>
      <c r="AS1330" s="4" t="n"/>
      <c r="AT1330" s="4" t="n"/>
      <c r="AU1330" s="4" t="n"/>
      <c r="AV1330" s="4" t="n"/>
      <c r="AW1330" s="4" t="n"/>
      <c r="AX1330" s="4" t="n"/>
      <c r="AY1330" s="4" t="n"/>
      <c r="AZ1330" s="4" t="n"/>
      <c r="BA1330" s="4" t="n"/>
      <c r="BB1330" s="4" t="n"/>
      <c r="BC1330" s="4" t="n"/>
      <c r="BD1330" s="4" t="n"/>
      <c r="BE1330" s="4" t="n"/>
      <c r="BF1330" s="4" t="n"/>
      <c r="BG1330" s="4" t="n"/>
      <c r="BH1330" s="4" t="n"/>
      <c r="BI1330" s="4" t="n"/>
      <c r="BJ1330" s="4" t="n"/>
      <c r="BK1330" s="4" t="n"/>
      <c r="BL1330" s="4" t="n"/>
      <c r="BM1330" s="4" t="n"/>
      <c r="BN1330" s="4" t="n"/>
      <c r="BO1330" s="4" t="n"/>
      <c r="BP1330" s="4" t="n"/>
      <c r="BQ1330" s="4" t="n"/>
      <c r="BR1330" s="4" t="n"/>
      <c r="BS1330" s="4" t="n"/>
      <c r="BT1330" s="4" t="n"/>
      <c r="BU1330" s="4" t="n"/>
      <c r="BV1330" s="4" t="n"/>
      <c r="BW1330" s="4" t="n"/>
      <c r="BX1330" s="4" t="n"/>
      <c r="BY1330" s="4" t="n"/>
      <c r="BZ1330" s="4" t="n"/>
      <c r="CA1330" s="4" t="n"/>
      <c r="CB1330" s="4" t="n"/>
      <c r="CC1330" s="4" t="n"/>
      <c r="CD1330" s="4" t="n"/>
      <c r="CE1330" s="4" t="n"/>
      <c r="CF1330" s="4" t="n"/>
      <c r="CG1330" s="4" t="n"/>
      <c r="CH1330" s="4" t="n"/>
      <c r="CI1330" s="4" t="n"/>
      <c r="CJ1330" s="4" t="n"/>
      <c r="CK1330" s="4" t="n"/>
      <c r="CL1330" s="4" t="n"/>
      <c r="CM1330" s="4" t="n"/>
      <c r="CN1330" s="4" t="n"/>
      <c r="CO1330" s="4" t="n"/>
      <c r="CP1330" s="4" t="n"/>
      <c r="CQ1330" s="4" t="n"/>
      <c r="CR1330" s="4" t="n"/>
      <c r="CS1330" s="4" t="n"/>
      <c r="CT1330" s="4" t="n"/>
      <c r="CU1330" s="4" t="n"/>
      <c r="CV1330" s="4" t="n"/>
      <c r="CW1330" s="4" t="n"/>
      <c r="CX1330" s="4" t="n"/>
      <c r="CY1330" s="4" t="n"/>
      <c r="CZ1330" s="4" t="n"/>
      <c r="DA1330" s="4" t="n"/>
      <c r="DB1330" s="4" t="n"/>
      <c r="DC1330" s="4" t="n"/>
      <c r="DD1330" s="4" t="n"/>
      <c r="DE1330" s="4" t="n"/>
      <c r="DF1330" s="4" t="n"/>
      <c r="DG1330" s="4" t="n"/>
      <c r="DH1330" s="4" t="n"/>
      <c r="DI1330" s="4" t="n"/>
      <c r="DJ1330" s="4" t="n"/>
      <c r="DK1330" s="4" t="n"/>
      <c r="DL1330" s="4" t="n"/>
      <c r="DM1330" s="4" t="n"/>
      <c r="DN1330" s="4" t="n"/>
      <c r="DO1330" s="4" t="n"/>
      <c r="DP1330" s="4" t="n"/>
      <c r="DQ1330" s="4" t="n"/>
      <c r="DR1330" s="4" t="n"/>
      <c r="DS1330" s="4" t="n"/>
      <c r="DT1330" s="4" t="n"/>
      <c r="DU1330" s="4" t="n"/>
      <c r="DV1330" s="4" t="n"/>
      <c r="DW1330" s="4" t="n"/>
      <c r="DX1330" s="4" t="n"/>
      <c r="DY1330" s="4" t="n"/>
      <c r="DZ1330" s="4" t="n"/>
      <c r="EA1330" s="4" t="n"/>
      <c r="EB1330" s="4" t="n"/>
      <c r="EC1330" s="4" t="n"/>
      <c r="ED1330" s="4" t="n"/>
      <c r="EE1330" s="4" t="n"/>
      <c r="EF1330" s="4" t="n"/>
      <c r="EG1330" s="4" t="n"/>
      <c r="EH1330" s="4" t="n"/>
      <c r="EI1330" s="4" t="n"/>
      <c r="EJ1330" s="4" t="n"/>
      <c r="EK1330" s="4" t="n"/>
      <c r="EL1330" s="4" t="n"/>
      <c r="EM1330" s="4" t="n"/>
      <c r="EN1330" s="4" t="n"/>
      <c r="EO1330" s="4" t="n"/>
      <c r="EP1330" s="4" t="n"/>
      <c r="EQ1330" s="4" t="n"/>
      <c r="ER1330" s="4" t="n"/>
      <c r="ES1330" s="4" t="n"/>
      <c r="ET1330" s="4" t="n"/>
      <c r="EU1330" s="4" t="n"/>
      <c r="EV1330" s="4" t="n"/>
      <c r="EW1330" s="4" t="n"/>
      <c r="EX1330" s="4" t="n"/>
      <c r="EY1330" s="4" t="n"/>
      <c r="EZ1330" s="4" t="n"/>
      <c r="FA1330" s="4" t="n"/>
      <c r="FB1330" s="4" t="n"/>
      <c r="FC1330" s="4" t="n"/>
    </row>
    <row r="1331" hidden="1" customFormat="1" s="6">
      <c r="C1331" s="4" t="n"/>
      <c r="D1331" s="4" t="n"/>
      <c r="E1331" s="4" t="n"/>
      <c r="F1331" s="4" t="n"/>
      <c r="G1331" s="4" t="n"/>
      <c r="H1331" s="4" t="n"/>
      <c r="I1331" s="4" t="n"/>
      <c r="J1331" s="4" t="n"/>
      <c r="K1331" s="4" t="n"/>
      <c r="L1331" s="4" t="n"/>
      <c r="M1331" s="4" t="n"/>
      <c r="N1331" s="4" t="n"/>
      <c r="O1331" s="4" t="n"/>
      <c r="P1331" s="4" t="n"/>
      <c r="Q1331" s="4" t="n"/>
      <c r="R1331" s="4" t="n"/>
      <c r="S1331" s="4" t="n"/>
      <c r="T1331" s="4" t="n"/>
      <c r="U1331" s="4" t="n"/>
      <c r="V1331" s="4" t="n"/>
      <c r="W1331" s="4" t="n"/>
      <c r="X1331" s="4" t="n"/>
      <c r="Y1331" s="4" t="n"/>
      <c r="Z1331" s="4" t="n"/>
      <c r="AA1331" s="4" t="n"/>
      <c r="AB1331" s="4" t="n"/>
      <c r="AC1331" s="4" t="n"/>
      <c r="AD1331" s="4" t="n"/>
      <c r="AE1331" s="4" t="n"/>
      <c r="AF1331" s="4" t="n"/>
      <c r="AG1331" s="4" t="n"/>
      <c r="AH1331" s="4" t="n"/>
      <c r="AI1331" s="4" t="n"/>
      <c r="AJ1331" s="4" t="n"/>
      <c r="AK1331" s="4" t="n"/>
      <c r="AL1331" s="4" t="n"/>
      <c r="AM1331" s="4" t="n"/>
      <c r="AN1331" s="4" t="n"/>
      <c r="AO1331" s="4" t="n"/>
      <c r="AP1331" s="4" t="n"/>
      <c r="AQ1331" s="4" t="n"/>
      <c r="AR1331" s="4" t="n"/>
      <c r="AS1331" s="4" t="n"/>
      <c r="AT1331" s="4" t="n"/>
      <c r="AU1331" s="4" t="n"/>
      <c r="AV1331" s="4" t="n"/>
      <c r="AW1331" s="4" t="n"/>
      <c r="AX1331" s="4" t="n"/>
      <c r="AY1331" s="4" t="n"/>
      <c r="AZ1331" s="4" t="n"/>
      <c r="BA1331" s="4" t="n"/>
      <c r="BB1331" s="4" t="n"/>
      <c r="BC1331" s="4" t="n"/>
      <c r="BD1331" s="4" t="n"/>
      <c r="BE1331" s="4" t="n"/>
      <c r="BF1331" s="4" t="n"/>
      <c r="BG1331" s="4" t="n"/>
      <c r="BH1331" s="4" t="n"/>
      <c r="BI1331" s="4" t="n"/>
      <c r="BJ1331" s="4" t="n"/>
      <c r="BK1331" s="4" t="n"/>
      <c r="BL1331" s="4" t="n"/>
      <c r="BM1331" s="4" t="n"/>
      <c r="BN1331" s="4" t="n"/>
      <c r="BO1331" s="4" t="n"/>
      <c r="BP1331" s="4" t="n"/>
      <c r="BQ1331" s="4" t="n"/>
      <c r="BR1331" s="4" t="n"/>
      <c r="BS1331" s="4" t="n"/>
      <c r="BT1331" s="4" t="n"/>
      <c r="BU1331" s="4" t="n"/>
      <c r="BV1331" s="4" t="n"/>
      <c r="BW1331" s="4" t="n"/>
      <c r="BX1331" s="4" t="n"/>
      <c r="BY1331" s="4" t="n"/>
      <c r="BZ1331" s="4" t="n"/>
      <c r="CA1331" s="4" t="n"/>
      <c r="CB1331" s="4" t="n"/>
      <c r="CC1331" s="4" t="n"/>
      <c r="CD1331" s="4" t="n"/>
      <c r="CE1331" s="4" t="n"/>
      <c r="CF1331" s="4" t="n"/>
      <c r="CG1331" s="4" t="n"/>
      <c r="CH1331" s="4" t="n"/>
      <c r="CI1331" s="4" t="n"/>
      <c r="CJ1331" s="4" t="n"/>
      <c r="CK1331" s="4" t="n"/>
      <c r="CL1331" s="4" t="n"/>
      <c r="CM1331" s="4" t="n"/>
      <c r="CN1331" s="4" t="n"/>
      <c r="CO1331" s="4" t="n"/>
      <c r="CP1331" s="4" t="n"/>
      <c r="CQ1331" s="4" t="n"/>
      <c r="CR1331" s="4" t="n"/>
      <c r="CS1331" s="4" t="n"/>
      <c r="CT1331" s="4" t="n"/>
      <c r="CU1331" s="4" t="n"/>
      <c r="CV1331" s="4" t="n"/>
      <c r="CW1331" s="4" t="n"/>
      <c r="CX1331" s="4" t="n"/>
      <c r="CY1331" s="4" t="n"/>
      <c r="CZ1331" s="4" t="n"/>
      <c r="DA1331" s="4" t="n"/>
      <c r="DB1331" s="4" t="n"/>
      <c r="DC1331" s="4" t="n"/>
      <c r="DD1331" s="4" t="n"/>
      <c r="DE1331" s="4" t="n"/>
      <c r="DF1331" s="4" t="n"/>
      <c r="DG1331" s="4" t="n"/>
      <c r="DH1331" s="4" t="n"/>
      <c r="DI1331" s="4" t="n"/>
      <c r="DJ1331" s="4" t="n"/>
      <c r="DK1331" s="4" t="n"/>
      <c r="DL1331" s="4" t="n"/>
      <c r="DM1331" s="4" t="n"/>
      <c r="DN1331" s="4" t="n"/>
      <c r="DO1331" s="4" t="n"/>
      <c r="DP1331" s="4" t="n"/>
      <c r="DQ1331" s="4" t="n"/>
      <c r="DR1331" s="4" t="n"/>
      <c r="DS1331" s="4" t="n"/>
      <c r="DT1331" s="4" t="n"/>
      <c r="DU1331" s="4" t="n"/>
      <c r="DV1331" s="4" t="n"/>
      <c r="DW1331" s="4" t="n"/>
      <c r="DX1331" s="4" t="n"/>
      <c r="DY1331" s="4" t="n"/>
      <c r="DZ1331" s="4" t="n"/>
      <c r="EA1331" s="4" t="n"/>
      <c r="EB1331" s="4" t="n"/>
      <c r="EC1331" s="4" t="n"/>
      <c r="ED1331" s="4" t="n"/>
      <c r="EE1331" s="4" t="n"/>
      <c r="EF1331" s="4" t="n"/>
      <c r="EG1331" s="4" t="n"/>
      <c r="EH1331" s="4" t="n"/>
      <c r="EI1331" s="4" t="n"/>
      <c r="EJ1331" s="4" t="n"/>
      <c r="EK1331" s="4" t="n"/>
      <c r="EL1331" s="4" t="n"/>
      <c r="EM1331" s="4" t="n"/>
      <c r="EN1331" s="4" t="n"/>
      <c r="EO1331" s="4" t="n"/>
      <c r="EP1331" s="4" t="n"/>
      <c r="EQ1331" s="4" t="n"/>
      <c r="ER1331" s="4" t="n"/>
      <c r="ES1331" s="4" t="n"/>
      <c r="ET1331" s="4" t="n"/>
      <c r="EU1331" s="4" t="n"/>
      <c r="EV1331" s="4" t="n"/>
      <c r="EW1331" s="4" t="n"/>
      <c r="EX1331" s="4" t="n"/>
      <c r="EY1331" s="4" t="n"/>
      <c r="EZ1331" s="4" t="n"/>
      <c r="FA1331" s="4" t="n"/>
      <c r="FB1331" s="4" t="n"/>
      <c r="FC1331" s="4" t="n"/>
    </row>
    <row r="1332" hidden="1" customFormat="1" s="6">
      <c r="C1332" s="4" t="n"/>
      <c r="D1332" s="4" t="n"/>
      <c r="E1332" s="4" t="n"/>
      <c r="F1332" s="4" t="n"/>
      <c r="G1332" s="4" t="n"/>
      <c r="H1332" s="4" t="n"/>
      <c r="I1332" s="4" t="n"/>
      <c r="J1332" s="4" t="n"/>
      <c r="K1332" s="4" t="n"/>
      <c r="L1332" s="4" t="n"/>
      <c r="M1332" s="4" t="n"/>
      <c r="N1332" s="4" t="n"/>
      <c r="O1332" s="4" t="n"/>
      <c r="P1332" s="4" t="n"/>
      <c r="Q1332" s="4" t="n"/>
      <c r="R1332" s="4" t="n"/>
      <c r="S1332" s="4" t="n"/>
      <c r="T1332" s="4" t="n"/>
      <c r="U1332" s="4" t="n"/>
      <c r="V1332" s="4" t="n"/>
      <c r="W1332" s="4" t="n"/>
      <c r="X1332" s="4" t="n"/>
      <c r="Y1332" s="4" t="n"/>
      <c r="Z1332" s="4" t="n"/>
      <c r="AA1332" s="4" t="n"/>
      <c r="AB1332" s="4" t="n"/>
      <c r="AC1332" s="4" t="n"/>
      <c r="AD1332" s="4" t="n"/>
      <c r="AE1332" s="4" t="n"/>
      <c r="AF1332" s="4" t="n"/>
      <c r="AG1332" s="4" t="n"/>
      <c r="AH1332" s="4" t="n"/>
      <c r="AI1332" s="4" t="n"/>
      <c r="AJ1332" s="4" t="n"/>
      <c r="AK1332" s="4" t="n"/>
      <c r="AL1332" s="4" t="n"/>
      <c r="AM1332" s="4" t="n"/>
      <c r="AN1332" s="4" t="n"/>
      <c r="AO1332" s="4" t="n"/>
      <c r="AP1332" s="4" t="n"/>
      <c r="AQ1332" s="4" t="n"/>
      <c r="AR1332" s="4" t="n"/>
      <c r="AS1332" s="4" t="n"/>
      <c r="AT1332" s="4" t="n"/>
      <c r="AU1332" s="4" t="n"/>
      <c r="AV1332" s="4" t="n"/>
      <c r="AW1332" s="4" t="n"/>
      <c r="AX1332" s="4" t="n"/>
      <c r="AY1332" s="4" t="n"/>
      <c r="AZ1332" s="4" t="n"/>
      <c r="BA1332" s="4" t="n"/>
      <c r="BB1332" s="4" t="n"/>
      <c r="BC1332" s="4" t="n"/>
      <c r="BD1332" s="4" t="n"/>
      <c r="BE1332" s="4" t="n"/>
      <c r="BF1332" s="4" t="n"/>
      <c r="BG1332" s="4" t="n"/>
      <c r="BH1332" s="4" t="n"/>
      <c r="BI1332" s="4" t="n"/>
      <c r="BJ1332" s="4" t="n"/>
      <c r="BK1332" s="4" t="n"/>
      <c r="BL1332" s="4" t="n"/>
      <c r="BM1332" s="4" t="n"/>
      <c r="BN1332" s="4" t="n"/>
      <c r="BO1332" s="4" t="n"/>
      <c r="BP1332" s="4" t="n"/>
      <c r="BQ1332" s="4" t="n"/>
      <c r="BR1332" s="4" t="n"/>
      <c r="BS1332" s="4" t="n"/>
      <c r="BT1332" s="4" t="n"/>
      <c r="BU1332" s="4" t="n"/>
      <c r="BV1332" s="4" t="n"/>
      <c r="BW1332" s="4" t="n"/>
      <c r="BX1332" s="4" t="n"/>
      <c r="BY1332" s="4" t="n"/>
      <c r="BZ1332" s="4" t="n"/>
      <c r="CA1332" s="4" t="n"/>
      <c r="CB1332" s="4" t="n"/>
      <c r="CC1332" s="4" t="n"/>
      <c r="CD1332" s="4" t="n"/>
      <c r="CE1332" s="4" t="n"/>
      <c r="CF1332" s="4" t="n"/>
      <c r="CG1332" s="4" t="n"/>
      <c r="CH1332" s="4" t="n"/>
      <c r="CI1332" s="4" t="n"/>
      <c r="CJ1332" s="4" t="n"/>
      <c r="CK1332" s="4" t="n"/>
      <c r="CL1332" s="4" t="n"/>
      <c r="CM1332" s="4" t="n"/>
      <c r="CN1332" s="4" t="n"/>
      <c r="CO1332" s="4" t="n"/>
      <c r="CP1332" s="4" t="n"/>
      <c r="CQ1332" s="4" t="n"/>
      <c r="CR1332" s="4" t="n"/>
      <c r="CS1332" s="4" t="n"/>
      <c r="CT1332" s="4" t="n"/>
      <c r="CU1332" s="4" t="n"/>
      <c r="CV1332" s="4" t="n"/>
      <c r="CW1332" s="4" t="n"/>
      <c r="CX1332" s="4" t="n"/>
      <c r="CY1332" s="4" t="n"/>
      <c r="CZ1332" s="4" t="n"/>
      <c r="DA1332" s="4" t="n"/>
      <c r="DB1332" s="4" t="n"/>
      <c r="DC1332" s="4" t="n"/>
      <c r="DD1332" s="4" t="n"/>
      <c r="DE1332" s="4" t="n"/>
      <c r="DF1332" s="4" t="n"/>
      <c r="DG1332" s="4" t="n"/>
      <c r="DH1332" s="4" t="n"/>
      <c r="DI1332" s="4" t="n"/>
      <c r="DJ1332" s="4" t="n"/>
      <c r="DK1332" s="4" t="n"/>
      <c r="DL1332" s="4" t="n"/>
      <c r="DM1332" s="4" t="n"/>
      <c r="DN1332" s="4" t="n"/>
      <c r="DO1332" s="4" t="n"/>
      <c r="DP1332" s="4" t="n"/>
      <c r="DQ1332" s="4" t="n"/>
      <c r="DR1332" s="4" t="n"/>
      <c r="DS1332" s="4" t="n"/>
      <c r="DT1332" s="4" t="n"/>
      <c r="DU1332" s="4" t="n"/>
      <c r="DV1332" s="4" t="n"/>
      <c r="DW1332" s="4" t="n"/>
      <c r="DX1332" s="4" t="n"/>
      <c r="DY1332" s="4" t="n"/>
      <c r="DZ1332" s="4" t="n"/>
      <c r="EA1332" s="4" t="n"/>
      <c r="EB1332" s="4" t="n"/>
      <c r="EC1332" s="4" t="n"/>
      <c r="ED1332" s="4" t="n"/>
      <c r="EE1332" s="4" t="n"/>
      <c r="EF1332" s="4" t="n"/>
      <c r="EG1332" s="4" t="n"/>
      <c r="EH1332" s="4" t="n"/>
      <c r="EI1332" s="4" t="n"/>
      <c r="EJ1332" s="4" t="n"/>
      <c r="EK1332" s="4" t="n"/>
      <c r="EL1332" s="4" t="n"/>
      <c r="EM1332" s="4" t="n"/>
      <c r="EN1332" s="4" t="n"/>
      <c r="EO1332" s="4" t="n"/>
      <c r="EP1332" s="4" t="n"/>
      <c r="EQ1332" s="4" t="n"/>
      <c r="ER1332" s="4" t="n"/>
      <c r="ES1332" s="4" t="n"/>
      <c r="ET1332" s="4" t="n"/>
      <c r="EU1332" s="4" t="n"/>
      <c r="EV1332" s="4" t="n"/>
      <c r="EW1332" s="4" t="n"/>
      <c r="EX1332" s="4" t="n"/>
      <c r="EY1332" s="4" t="n"/>
      <c r="EZ1332" s="4" t="n"/>
      <c r="FA1332" s="4" t="n"/>
      <c r="FB1332" s="4" t="n"/>
      <c r="FC1332" s="4" t="n"/>
    </row>
    <row r="1333" hidden="1" customFormat="1" s="6">
      <c r="C1333" s="4" t="n"/>
      <c r="D1333" s="4" t="n"/>
      <c r="E1333" s="4" t="n"/>
      <c r="F1333" s="4" t="n"/>
      <c r="G1333" s="4" t="n"/>
      <c r="H1333" s="4" t="n"/>
      <c r="I1333" s="4" t="n"/>
      <c r="J1333" s="4" t="n"/>
      <c r="K1333" s="4" t="n"/>
      <c r="L1333" s="4" t="n"/>
      <c r="M1333" s="4" t="n"/>
      <c r="N1333" s="4" t="n"/>
      <c r="O1333" s="4" t="n"/>
      <c r="P1333" s="4" t="n"/>
      <c r="Q1333" s="4" t="n"/>
      <c r="R1333" s="4" t="n"/>
      <c r="S1333" s="4" t="n"/>
      <c r="T1333" s="4" t="n"/>
      <c r="U1333" s="4" t="n"/>
      <c r="V1333" s="4" t="n"/>
      <c r="W1333" s="4" t="n"/>
      <c r="X1333" s="4" t="n"/>
      <c r="Y1333" s="4" t="n"/>
      <c r="Z1333" s="4" t="n"/>
      <c r="AA1333" s="4" t="n"/>
      <c r="AB1333" s="4" t="n"/>
      <c r="AC1333" s="4" t="n"/>
      <c r="AD1333" s="4" t="n"/>
      <c r="AE1333" s="4" t="n"/>
      <c r="AF1333" s="4" t="n"/>
      <c r="AG1333" s="4" t="n"/>
      <c r="AH1333" s="4" t="n"/>
      <c r="AI1333" s="4" t="n"/>
      <c r="AJ1333" s="4" t="n"/>
      <c r="AK1333" s="4" t="n"/>
      <c r="AL1333" s="4" t="n"/>
      <c r="AM1333" s="4" t="n"/>
      <c r="AN1333" s="4" t="n"/>
      <c r="AO1333" s="4" t="n"/>
      <c r="AP1333" s="4" t="n"/>
      <c r="AQ1333" s="4" t="n"/>
      <c r="AR1333" s="4" t="n"/>
      <c r="AS1333" s="4" t="n"/>
      <c r="AT1333" s="4" t="n"/>
      <c r="AU1333" s="4" t="n"/>
      <c r="AV1333" s="4" t="n"/>
      <c r="AW1333" s="4" t="n"/>
      <c r="AX1333" s="4" t="n"/>
      <c r="AY1333" s="4" t="n"/>
      <c r="AZ1333" s="4" t="n"/>
      <c r="BA1333" s="4" t="n"/>
      <c r="BB1333" s="4" t="n"/>
      <c r="BC1333" s="4" t="n"/>
      <c r="BD1333" s="4" t="n"/>
      <c r="BE1333" s="4" t="n"/>
      <c r="BF1333" s="4" t="n"/>
      <c r="BG1333" s="4" t="n"/>
      <c r="BH1333" s="4" t="n"/>
      <c r="BI1333" s="4" t="n"/>
      <c r="BJ1333" s="4" t="n"/>
      <c r="BK1333" s="4" t="n"/>
      <c r="BL1333" s="4" t="n"/>
      <c r="BM1333" s="4" t="n"/>
      <c r="BN1333" s="4" t="n"/>
      <c r="BO1333" s="4" t="n"/>
      <c r="BP1333" s="4" t="n"/>
      <c r="BQ1333" s="4" t="n"/>
      <c r="BR1333" s="4" t="n"/>
      <c r="BS1333" s="4" t="n"/>
      <c r="BT1333" s="4" t="n"/>
      <c r="BU1333" s="4" t="n"/>
      <c r="BV1333" s="4" t="n"/>
      <c r="BW1333" s="4" t="n"/>
      <c r="BX1333" s="4" t="n"/>
      <c r="BY1333" s="4" t="n"/>
      <c r="BZ1333" s="4" t="n"/>
      <c r="CA1333" s="4" t="n"/>
      <c r="CB1333" s="4" t="n"/>
      <c r="CC1333" s="4" t="n"/>
      <c r="CD1333" s="4" t="n"/>
      <c r="CE1333" s="4" t="n"/>
      <c r="CF1333" s="4" t="n"/>
      <c r="CG1333" s="4" t="n"/>
      <c r="CH1333" s="4" t="n"/>
      <c r="CI1333" s="4" t="n"/>
      <c r="CJ1333" s="4" t="n"/>
      <c r="CK1333" s="4" t="n"/>
      <c r="CL1333" s="4" t="n"/>
      <c r="CM1333" s="4" t="n"/>
      <c r="CN1333" s="4" t="n"/>
      <c r="CO1333" s="4" t="n"/>
      <c r="CP1333" s="4" t="n"/>
      <c r="CQ1333" s="4" t="n"/>
      <c r="CR1333" s="4" t="n"/>
      <c r="CS1333" s="4" t="n"/>
      <c r="CT1333" s="4" t="n"/>
      <c r="CU1333" s="4" t="n"/>
      <c r="CV1333" s="4" t="n"/>
      <c r="CW1333" s="4" t="n"/>
      <c r="CX1333" s="4" t="n"/>
      <c r="CY1333" s="4" t="n"/>
      <c r="CZ1333" s="4" t="n"/>
      <c r="DA1333" s="4" t="n"/>
      <c r="DB1333" s="4" t="n"/>
      <c r="DC1333" s="4" t="n"/>
      <c r="DD1333" s="4" t="n"/>
      <c r="DE1333" s="4" t="n"/>
      <c r="DF1333" s="4" t="n"/>
      <c r="DG1333" s="4" t="n"/>
      <c r="DH1333" s="4" t="n"/>
      <c r="DI1333" s="4" t="n"/>
      <c r="DJ1333" s="4" t="n"/>
      <c r="DK1333" s="4" t="n"/>
      <c r="DL1333" s="4" t="n"/>
      <c r="DM1333" s="4" t="n"/>
      <c r="DN1333" s="4" t="n"/>
      <c r="DO1333" s="4" t="n"/>
      <c r="DP1333" s="4" t="n"/>
      <c r="DQ1333" s="4" t="n"/>
      <c r="DR1333" s="4" t="n"/>
      <c r="DS1333" s="4" t="n"/>
      <c r="DT1333" s="4" t="n"/>
      <c r="DU1333" s="4" t="n"/>
      <c r="DV1333" s="4" t="n"/>
      <c r="DW1333" s="4" t="n"/>
      <c r="DX1333" s="4" t="n"/>
      <c r="DY1333" s="4" t="n"/>
      <c r="DZ1333" s="4" t="n"/>
      <c r="EA1333" s="4" t="n"/>
      <c r="EB1333" s="4" t="n"/>
      <c r="EC1333" s="4" t="n"/>
      <c r="ED1333" s="4" t="n"/>
      <c r="EE1333" s="4" t="n"/>
      <c r="EF1333" s="4" t="n"/>
      <c r="EG1333" s="4" t="n"/>
      <c r="EH1333" s="4" t="n"/>
      <c r="EI1333" s="4" t="n"/>
      <c r="EJ1333" s="4" t="n"/>
      <c r="EK1333" s="4" t="n"/>
      <c r="EL1333" s="4" t="n"/>
      <c r="EM1333" s="4" t="n"/>
      <c r="EN1333" s="4" t="n"/>
      <c r="EO1333" s="4" t="n"/>
      <c r="EP1333" s="4" t="n"/>
      <c r="EQ1333" s="4" t="n"/>
      <c r="ER1333" s="4" t="n"/>
      <c r="ES1333" s="4" t="n"/>
      <c r="ET1333" s="4" t="n"/>
      <c r="EU1333" s="4" t="n"/>
      <c r="EV1333" s="4" t="n"/>
      <c r="EW1333" s="4" t="n"/>
      <c r="EX1333" s="4" t="n"/>
      <c r="EY1333" s="4" t="n"/>
      <c r="EZ1333" s="4" t="n"/>
      <c r="FA1333" s="4" t="n"/>
      <c r="FB1333" s="4" t="n"/>
      <c r="FC1333" s="4" t="n"/>
    </row>
    <row r="1334" hidden="1" customFormat="1" s="6">
      <c r="C1334" s="4" t="n"/>
      <c r="D1334" s="4" t="n"/>
      <c r="E1334" s="4" t="n"/>
      <c r="F1334" s="4" t="n"/>
      <c r="G1334" s="4" t="n"/>
      <c r="H1334" s="4" t="n"/>
      <c r="I1334" s="4" t="n"/>
      <c r="J1334" s="4" t="n"/>
      <c r="K1334" s="4" t="n"/>
      <c r="L1334" s="4" t="n"/>
      <c r="M1334" s="4" t="n"/>
      <c r="N1334" s="4" t="n"/>
      <c r="O1334" s="4" t="n"/>
      <c r="P1334" s="4" t="n"/>
      <c r="Q1334" s="4" t="n"/>
      <c r="R1334" s="4" t="n"/>
      <c r="S1334" s="4" t="n"/>
      <c r="T1334" s="4" t="n"/>
      <c r="U1334" s="4" t="n"/>
      <c r="V1334" s="4" t="n"/>
      <c r="W1334" s="4" t="n"/>
      <c r="X1334" s="4" t="n"/>
      <c r="Y1334" s="4" t="n"/>
      <c r="Z1334" s="4" t="n"/>
      <c r="AA1334" s="4" t="n"/>
      <c r="AB1334" s="4" t="n"/>
      <c r="AC1334" s="4" t="n"/>
      <c r="AD1334" s="4" t="n"/>
      <c r="AE1334" s="4" t="n"/>
      <c r="AF1334" s="4" t="n"/>
      <c r="AG1334" s="4" t="n"/>
      <c r="AH1334" s="4" t="n"/>
      <c r="AI1334" s="4" t="n"/>
      <c r="AJ1334" s="4" t="n"/>
      <c r="AK1334" s="4" t="n"/>
      <c r="AL1334" s="4" t="n"/>
      <c r="AM1334" s="4" t="n"/>
      <c r="AN1334" s="4" t="n"/>
      <c r="AO1334" s="4" t="n"/>
      <c r="AP1334" s="4" t="n"/>
      <c r="AQ1334" s="4" t="n"/>
      <c r="AR1334" s="4" t="n"/>
      <c r="AS1334" s="4" t="n"/>
      <c r="AT1334" s="4" t="n"/>
      <c r="AU1334" s="4" t="n"/>
      <c r="AV1334" s="4" t="n"/>
      <c r="AW1334" s="4" t="n"/>
      <c r="AX1334" s="4" t="n"/>
      <c r="AY1334" s="4" t="n"/>
      <c r="AZ1334" s="4" t="n"/>
      <c r="BA1334" s="4" t="n"/>
      <c r="BB1334" s="4" t="n"/>
      <c r="BC1334" s="4" t="n"/>
      <c r="BD1334" s="4" t="n"/>
      <c r="BE1334" s="4" t="n"/>
      <c r="BF1334" s="4" t="n"/>
      <c r="BG1334" s="4" t="n"/>
      <c r="BH1334" s="4" t="n"/>
      <c r="BI1334" s="4" t="n"/>
      <c r="BJ1334" s="4" t="n"/>
      <c r="BK1334" s="4" t="n"/>
      <c r="BL1334" s="4" t="n"/>
      <c r="BM1334" s="4" t="n"/>
      <c r="BN1334" s="4" t="n"/>
      <c r="BO1334" s="4" t="n"/>
      <c r="BP1334" s="4" t="n"/>
      <c r="BQ1334" s="4" t="n"/>
      <c r="BR1334" s="4" t="n"/>
      <c r="BS1334" s="4" t="n"/>
      <c r="BT1334" s="4" t="n"/>
      <c r="BU1334" s="4" t="n"/>
      <c r="BV1334" s="4" t="n"/>
      <c r="BW1334" s="4" t="n"/>
      <c r="BX1334" s="4" t="n"/>
      <c r="BY1334" s="4" t="n"/>
      <c r="BZ1334" s="4" t="n"/>
      <c r="CA1334" s="4" t="n"/>
      <c r="CB1334" s="4" t="n"/>
      <c r="CC1334" s="4" t="n"/>
      <c r="CD1334" s="4" t="n"/>
      <c r="CE1334" s="4" t="n"/>
      <c r="CF1334" s="4" t="n"/>
      <c r="CG1334" s="4" t="n"/>
      <c r="CH1334" s="4" t="n"/>
      <c r="CI1334" s="4" t="n"/>
      <c r="CJ1334" s="4" t="n"/>
      <c r="CK1334" s="4" t="n"/>
      <c r="CL1334" s="4" t="n"/>
      <c r="CM1334" s="4" t="n"/>
      <c r="CN1334" s="4" t="n"/>
      <c r="CO1334" s="4" t="n"/>
      <c r="CP1334" s="4" t="n"/>
      <c r="CQ1334" s="4" t="n"/>
      <c r="CR1334" s="4" t="n"/>
      <c r="CS1334" s="4" t="n"/>
      <c r="CT1334" s="4" t="n"/>
      <c r="CU1334" s="4" t="n"/>
      <c r="CV1334" s="4" t="n"/>
      <c r="CW1334" s="4" t="n"/>
      <c r="CX1334" s="4" t="n"/>
      <c r="CY1334" s="4" t="n"/>
      <c r="CZ1334" s="4" t="n"/>
      <c r="DA1334" s="4" t="n"/>
      <c r="DB1334" s="4" t="n"/>
      <c r="DC1334" s="4" t="n"/>
      <c r="DD1334" s="4" t="n"/>
      <c r="DE1334" s="4" t="n"/>
      <c r="DF1334" s="4" t="n"/>
      <c r="DG1334" s="4" t="n"/>
      <c r="DH1334" s="4" t="n"/>
      <c r="DI1334" s="4" t="n"/>
      <c r="DJ1334" s="4" t="n"/>
      <c r="DK1334" s="4" t="n"/>
      <c r="DL1334" s="4" t="n"/>
      <c r="DM1334" s="4" t="n"/>
      <c r="DN1334" s="4" t="n"/>
      <c r="DO1334" s="4" t="n"/>
      <c r="DP1334" s="4" t="n"/>
      <c r="DQ1334" s="4" t="n"/>
      <c r="DR1334" s="4" t="n"/>
      <c r="DS1334" s="4" t="n"/>
      <c r="DT1334" s="4" t="n"/>
      <c r="DU1334" s="4" t="n"/>
      <c r="DV1334" s="4" t="n"/>
      <c r="DW1334" s="4" t="n"/>
      <c r="DX1334" s="4" t="n"/>
      <c r="DY1334" s="4" t="n"/>
      <c r="DZ1334" s="4" t="n"/>
      <c r="EA1334" s="4" t="n"/>
      <c r="EB1334" s="4" t="n"/>
      <c r="EC1334" s="4" t="n"/>
      <c r="ED1334" s="4" t="n"/>
      <c r="EE1334" s="4" t="n"/>
      <c r="EF1334" s="4" t="n"/>
      <c r="EG1334" s="4" t="n"/>
      <c r="EH1334" s="4" t="n"/>
      <c r="EI1334" s="4" t="n"/>
      <c r="EJ1334" s="4" t="n"/>
      <c r="EK1334" s="4" t="n"/>
      <c r="EL1334" s="4" t="n"/>
      <c r="EM1334" s="4" t="n"/>
      <c r="EN1334" s="4" t="n"/>
      <c r="EO1334" s="4" t="n"/>
      <c r="EP1334" s="4" t="n"/>
      <c r="EQ1334" s="4" t="n"/>
      <c r="ER1334" s="4" t="n"/>
      <c r="ES1334" s="4" t="n"/>
      <c r="ET1334" s="4" t="n"/>
      <c r="EU1334" s="4" t="n"/>
      <c r="EV1334" s="4" t="n"/>
      <c r="EW1334" s="4" t="n"/>
      <c r="EX1334" s="4" t="n"/>
      <c r="EY1334" s="4" t="n"/>
      <c r="EZ1334" s="4" t="n"/>
      <c r="FA1334" s="4" t="n"/>
      <c r="FB1334" s="4" t="n"/>
      <c r="FC1334" s="4" t="n"/>
    </row>
    <row r="1335" hidden="1" customFormat="1" s="6">
      <c r="C1335" s="4" t="n"/>
      <c r="D1335" s="4" t="n"/>
      <c r="E1335" s="4" t="n"/>
      <c r="F1335" s="4" t="n"/>
      <c r="G1335" s="4" t="n"/>
      <c r="H1335" s="4" t="n"/>
      <c r="I1335" s="4" t="n"/>
      <c r="J1335" s="4" t="n"/>
      <c r="K1335" s="4" t="n"/>
      <c r="L1335" s="4" t="n"/>
      <c r="M1335" s="4" t="n"/>
      <c r="N1335" s="4" t="n"/>
      <c r="O1335" s="4" t="n"/>
      <c r="P1335" s="4" t="n"/>
      <c r="Q1335" s="4" t="n"/>
      <c r="R1335" s="4" t="n"/>
      <c r="S1335" s="4" t="n"/>
      <c r="T1335" s="4" t="n"/>
      <c r="U1335" s="4" t="n"/>
      <c r="V1335" s="4" t="n"/>
      <c r="W1335" s="4" t="n"/>
      <c r="X1335" s="4" t="n"/>
      <c r="Y1335" s="4" t="n"/>
      <c r="Z1335" s="4" t="n"/>
      <c r="AA1335" s="4" t="n"/>
      <c r="AB1335" s="4" t="n"/>
      <c r="AC1335" s="4" t="n"/>
      <c r="AD1335" s="4" t="n"/>
      <c r="AE1335" s="4" t="n"/>
      <c r="AF1335" s="4" t="n"/>
      <c r="AG1335" s="4" t="n"/>
      <c r="AH1335" s="4" t="n"/>
      <c r="AI1335" s="4" t="n"/>
      <c r="AJ1335" s="4" t="n"/>
      <c r="AK1335" s="4" t="n"/>
      <c r="AL1335" s="4" t="n"/>
      <c r="AM1335" s="4" t="n"/>
      <c r="AN1335" s="4" t="n"/>
      <c r="AO1335" s="4" t="n"/>
      <c r="AP1335" s="4" t="n"/>
      <c r="AQ1335" s="4" t="n"/>
      <c r="AR1335" s="4" t="n"/>
      <c r="AS1335" s="4" t="n"/>
      <c r="AT1335" s="4" t="n"/>
      <c r="AU1335" s="4" t="n"/>
      <c r="AV1335" s="4" t="n"/>
      <c r="AW1335" s="4" t="n"/>
      <c r="AX1335" s="4" t="n"/>
      <c r="AY1335" s="4" t="n"/>
      <c r="AZ1335" s="4" t="n"/>
      <c r="BA1335" s="4" t="n"/>
      <c r="BB1335" s="4" t="n"/>
      <c r="BC1335" s="4" t="n"/>
      <c r="BD1335" s="4" t="n"/>
      <c r="BE1335" s="4" t="n"/>
      <c r="BF1335" s="4" t="n"/>
      <c r="BG1335" s="4" t="n"/>
      <c r="BH1335" s="4" t="n"/>
      <c r="BI1335" s="4" t="n"/>
      <c r="BJ1335" s="4" t="n"/>
      <c r="BK1335" s="4" t="n"/>
      <c r="BL1335" s="4" t="n"/>
      <c r="BM1335" s="4" t="n"/>
      <c r="BN1335" s="4" t="n"/>
      <c r="BO1335" s="4" t="n"/>
      <c r="BP1335" s="4" t="n"/>
      <c r="BQ1335" s="4" t="n"/>
      <c r="BR1335" s="4" t="n"/>
      <c r="BS1335" s="4" t="n"/>
      <c r="BT1335" s="4" t="n"/>
      <c r="BU1335" s="4" t="n"/>
      <c r="BV1335" s="4" t="n"/>
      <c r="BW1335" s="4" t="n"/>
      <c r="BX1335" s="4" t="n"/>
      <c r="BY1335" s="4" t="n"/>
      <c r="BZ1335" s="4" t="n"/>
      <c r="CA1335" s="4" t="n"/>
      <c r="CB1335" s="4" t="n"/>
      <c r="CC1335" s="4" t="n"/>
      <c r="CD1335" s="4" t="n"/>
      <c r="CE1335" s="4" t="n"/>
      <c r="CF1335" s="4" t="n"/>
      <c r="CG1335" s="4" t="n"/>
      <c r="CH1335" s="4" t="n"/>
      <c r="CI1335" s="4" t="n"/>
      <c r="CJ1335" s="4" t="n"/>
      <c r="CK1335" s="4" t="n"/>
      <c r="CL1335" s="4" t="n"/>
      <c r="CM1335" s="4" t="n"/>
      <c r="CN1335" s="4" t="n"/>
      <c r="CO1335" s="4" t="n"/>
      <c r="CP1335" s="4" t="n"/>
      <c r="CQ1335" s="4" t="n"/>
      <c r="CR1335" s="4" t="n"/>
      <c r="CS1335" s="4" t="n"/>
      <c r="CT1335" s="4" t="n"/>
      <c r="CU1335" s="4" t="n"/>
      <c r="CV1335" s="4" t="n"/>
      <c r="CW1335" s="4" t="n"/>
      <c r="CX1335" s="4" t="n"/>
      <c r="CY1335" s="4" t="n"/>
      <c r="CZ1335" s="4" t="n"/>
      <c r="DA1335" s="4" t="n"/>
      <c r="DB1335" s="4" t="n"/>
      <c r="DC1335" s="4" t="n"/>
      <c r="DD1335" s="4" t="n"/>
      <c r="DE1335" s="4" t="n"/>
      <c r="DF1335" s="4" t="n"/>
      <c r="DG1335" s="4" t="n"/>
      <c r="DH1335" s="4" t="n"/>
      <c r="DI1335" s="4" t="n"/>
      <c r="DJ1335" s="4" t="n"/>
      <c r="DK1335" s="4" t="n"/>
      <c r="DL1335" s="4" t="n"/>
      <c r="DM1335" s="4" t="n"/>
      <c r="DN1335" s="4" t="n"/>
      <c r="DO1335" s="4" t="n"/>
      <c r="DP1335" s="4" t="n"/>
      <c r="DQ1335" s="4" t="n"/>
      <c r="DR1335" s="4" t="n"/>
      <c r="DS1335" s="4" t="n"/>
      <c r="DT1335" s="4" t="n"/>
      <c r="DU1335" s="4" t="n"/>
      <c r="DV1335" s="4" t="n"/>
      <c r="DW1335" s="4" t="n"/>
      <c r="DX1335" s="4" t="n"/>
      <c r="DY1335" s="4" t="n"/>
      <c r="DZ1335" s="4" t="n"/>
      <c r="EA1335" s="4" t="n"/>
      <c r="EB1335" s="4" t="n"/>
      <c r="EC1335" s="4" t="n"/>
      <c r="ED1335" s="4" t="n"/>
      <c r="EE1335" s="4" t="n"/>
      <c r="EF1335" s="4" t="n"/>
      <c r="EG1335" s="4" t="n"/>
      <c r="EH1335" s="4" t="n"/>
      <c r="EI1335" s="4" t="n"/>
      <c r="EJ1335" s="4" t="n"/>
      <c r="EK1335" s="4" t="n"/>
      <c r="EL1335" s="4" t="n"/>
      <c r="EM1335" s="4" t="n"/>
      <c r="EN1335" s="4" t="n"/>
      <c r="EO1335" s="4" t="n"/>
      <c r="EP1335" s="4" t="n"/>
      <c r="EQ1335" s="4" t="n"/>
      <c r="ER1335" s="4" t="n"/>
      <c r="ES1335" s="4" t="n"/>
      <c r="ET1335" s="4" t="n"/>
      <c r="EU1335" s="4" t="n"/>
      <c r="EV1335" s="4" t="n"/>
      <c r="EW1335" s="4" t="n"/>
      <c r="EX1335" s="4" t="n"/>
      <c r="EY1335" s="4" t="n"/>
      <c r="EZ1335" s="4" t="n"/>
      <c r="FA1335" s="4" t="n"/>
      <c r="FB1335" s="4" t="n"/>
      <c r="FC1335" s="4" t="n"/>
    </row>
    <row r="1336" hidden="1" customFormat="1" s="6">
      <c r="C1336" s="4" t="n"/>
      <c r="D1336" s="4" t="n"/>
      <c r="E1336" s="4" t="n"/>
      <c r="F1336" s="4" t="n"/>
      <c r="G1336" s="4" t="n"/>
      <c r="H1336" s="4" t="n"/>
      <c r="I1336" s="4" t="n"/>
      <c r="J1336" s="4" t="n"/>
      <c r="K1336" s="4" t="n"/>
      <c r="L1336" s="4" t="n"/>
      <c r="M1336" s="4" t="n"/>
      <c r="N1336" s="4" t="n"/>
      <c r="O1336" s="4" t="n"/>
      <c r="P1336" s="4" t="n"/>
      <c r="Q1336" s="4" t="n"/>
      <c r="R1336" s="4" t="n"/>
      <c r="S1336" s="4" t="n"/>
      <c r="T1336" s="4" t="n"/>
      <c r="U1336" s="4" t="n"/>
      <c r="V1336" s="4" t="n"/>
      <c r="W1336" s="4" t="n"/>
      <c r="X1336" s="4" t="n"/>
      <c r="Y1336" s="4" t="n"/>
      <c r="Z1336" s="4" t="n"/>
      <c r="AA1336" s="4" t="n"/>
      <c r="AB1336" s="4" t="n"/>
      <c r="AC1336" s="4" t="n"/>
      <c r="AD1336" s="4" t="n"/>
      <c r="AE1336" s="4" t="n"/>
      <c r="AF1336" s="4" t="n"/>
      <c r="AG1336" s="4" t="n"/>
      <c r="AH1336" s="4" t="n"/>
      <c r="AI1336" s="4" t="n"/>
      <c r="AJ1336" s="4" t="n"/>
      <c r="AK1336" s="4" t="n"/>
      <c r="AL1336" s="4" t="n"/>
      <c r="AM1336" s="4" t="n"/>
      <c r="AN1336" s="4" t="n"/>
      <c r="AO1336" s="4" t="n"/>
      <c r="AP1336" s="4" t="n"/>
      <c r="AQ1336" s="4" t="n"/>
      <c r="AR1336" s="4" t="n"/>
      <c r="AS1336" s="4" t="n"/>
      <c r="AT1336" s="4" t="n"/>
      <c r="AU1336" s="4" t="n"/>
      <c r="AV1336" s="4" t="n"/>
      <c r="AW1336" s="4" t="n"/>
      <c r="AX1336" s="4" t="n"/>
      <c r="AY1336" s="4" t="n"/>
      <c r="AZ1336" s="4" t="n"/>
      <c r="BA1336" s="4" t="n"/>
      <c r="BB1336" s="4" t="n"/>
      <c r="BC1336" s="4" t="n"/>
      <c r="BD1336" s="4" t="n"/>
      <c r="BE1336" s="4" t="n"/>
      <c r="BF1336" s="4" t="n"/>
      <c r="BG1336" s="4" t="n"/>
      <c r="BH1336" s="4" t="n"/>
      <c r="BI1336" s="4" t="n"/>
      <c r="BJ1336" s="4" t="n"/>
      <c r="BK1336" s="4" t="n"/>
      <c r="BL1336" s="4" t="n"/>
      <c r="BM1336" s="4" t="n"/>
      <c r="BN1336" s="4" t="n"/>
      <c r="BO1336" s="4" t="n"/>
      <c r="BP1336" s="4" t="n"/>
      <c r="BQ1336" s="4" t="n"/>
      <c r="BR1336" s="4" t="n"/>
      <c r="BS1336" s="4" t="n"/>
      <c r="BT1336" s="4" t="n"/>
      <c r="BU1336" s="4" t="n"/>
      <c r="BV1336" s="4" t="n"/>
      <c r="BW1336" s="4" t="n"/>
      <c r="BX1336" s="4" t="n"/>
      <c r="BY1336" s="4" t="n"/>
      <c r="BZ1336" s="4" t="n"/>
      <c r="CA1336" s="4" t="n"/>
      <c r="CB1336" s="4" t="n"/>
      <c r="CC1336" s="4" t="n"/>
      <c r="CD1336" s="4" t="n"/>
      <c r="CE1336" s="4" t="n"/>
      <c r="CF1336" s="4" t="n"/>
      <c r="CG1336" s="4" t="n"/>
      <c r="CH1336" s="4" t="n"/>
      <c r="CI1336" s="4" t="n"/>
      <c r="CJ1336" s="4" t="n"/>
      <c r="CK1336" s="4" t="n"/>
      <c r="CL1336" s="4" t="n"/>
      <c r="CM1336" s="4" t="n"/>
      <c r="CN1336" s="4" t="n"/>
      <c r="CO1336" s="4" t="n"/>
      <c r="CP1336" s="4" t="n"/>
      <c r="CQ1336" s="4" t="n"/>
      <c r="CR1336" s="4" t="n"/>
      <c r="CS1336" s="4" t="n"/>
      <c r="CT1336" s="4" t="n"/>
      <c r="CU1336" s="4" t="n"/>
      <c r="CV1336" s="4" t="n"/>
      <c r="CW1336" s="4" t="n"/>
      <c r="CX1336" s="4" t="n"/>
      <c r="CY1336" s="4" t="n"/>
      <c r="CZ1336" s="4" t="n"/>
      <c r="DA1336" s="4" t="n"/>
      <c r="DB1336" s="4" t="n"/>
      <c r="DC1336" s="4" t="n"/>
      <c r="DD1336" s="4" t="n"/>
      <c r="DE1336" s="4" t="n"/>
      <c r="DF1336" s="4" t="n"/>
      <c r="DG1336" s="4" t="n"/>
      <c r="DH1336" s="4" t="n"/>
      <c r="DI1336" s="4" t="n"/>
      <c r="DJ1336" s="4" t="n"/>
      <c r="DK1336" s="4" t="n"/>
      <c r="DL1336" s="4" t="n"/>
      <c r="DM1336" s="4" t="n"/>
      <c r="DN1336" s="4" t="n"/>
      <c r="DO1336" s="4" t="n"/>
      <c r="DP1336" s="4" t="n"/>
      <c r="DQ1336" s="4" t="n"/>
      <c r="DR1336" s="4" t="n"/>
      <c r="DS1336" s="4" t="n"/>
      <c r="DT1336" s="4" t="n"/>
      <c r="DU1336" s="4" t="n"/>
      <c r="DV1336" s="4" t="n"/>
      <c r="DW1336" s="4" t="n"/>
      <c r="DX1336" s="4" t="n"/>
      <c r="DY1336" s="4" t="n"/>
      <c r="DZ1336" s="4" t="n"/>
      <c r="EA1336" s="4" t="n"/>
      <c r="EB1336" s="4" t="n"/>
      <c r="EC1336" s="4" t="n"/>
      <c r="ED1336" s="4" t="n"/>
      <c r="EE1336" s="4" t="n"/>
      <c r="EF1336" s="4" t="n"/>
      <c r="EG1336" s="4" t="n"/>
      <c r="EH1336" s="4" t="n"/>
      <c r="EI1336" s="4" t="n"/>
      <c r="EJ1336" s="4" t="n"/>
      <c r="EK1336" s="4" t="n"/>
      <c r="EL1336" s="4" t="n"/>
      <c r="EM1336" s="4" t="n"/>
      <c r="EN1336" s="4" t="n"/>
      <c r="EO1336" s="4" t="n"/>
      <c r="EP1336" s="4" t="n"/>
      <c r="EQ1336" s="4" t="n"/>
      <c r="ER1336" s="4" t="n"/>
      <c r="ES1336" s="4" t="n"/>
      <c r="ET1336" s="4" t="n"/>
      <c r="EU1336" s="4" t="n"/>
      <c r="EV1336" s="4" t="n"/>
      <c r="EW1336" s="4" t="n"/>
      <c r="EX1336" s="4" t="n"/>
      <c r="EY1336" s="4" t="n"/>
      <c r="EZ1336" s="4" t="n"/>
      <c r="FA1336" s="4" t="n"/>
      <c r="FB1336" s="4" t="n"/>
      <c r="FC1336" s="4" t="n"/>
    </row>
    <row r="1337" hidden="1" customFormat="1" s="6">
      <c r="C1337" s="4" t="n"/>
      <c r="D1337" s="4" t="n"/>
      <c r="E1337" s="4" t="n"/>
      <c r="F1337" s="4" t="n"/>
      <c r="G1337" s="4" t="n"/>
      <c r="H1337" s="4" t="n"/>
      <c r="I1337" s="4" t="n"/>
      <c r="J1337" s="4" t="n"/>
      <c r="K1337" s="4" t="n"/>
      <c r="L1337" s="4" t="n"/>
      <c r="M1337" s="4" t="n"/>
      <c r="N1337" s="4" t="n"/>
      <c r="O1337" s="4" t="n"/>
      <c r="P1337" s="4" t="n"/>
      <c r="Q1337" s="4" t="n"/>
      <c r="R1337" s="4" t="n"/>
      <c r="S1337" s="4" t="n"/>
      <c r="T1337" s="4" t="n"/>
      <c r="U1337" s="4" t="n"/>
      <c r="V1337" s="4" t="n"/>
      <c r="W1337" s="4" t="n"/>
      <c r="X1337" s="4" t="n"/>
      <c r="Y1337" s="4" t="n"/>
      <c r="Z1337" s="4" t="n"/>
      <c r="AA1337" s="4" t="n"/>
      <c r="AB1337" s="4" t="n"/>
      <c r="AC1337" s="4" t="n"/>
      <c r="AD1337" s="4" t="n"/>
      <c r="AE1337" s="4" t="n"/>
      <c r="AF1337" s="4" t="n"/>
      <c r="AG1337" s="4" t="n"/>
      <c r="AH1337" s="4" t="n"/>
      <c r="AI1337" s="4" t="n"/>
      <c r="AJ1337" s="4" t="n"/>
      <c r="AK1337" s="4" t="n"/>
      <c r="AL1337" s="4" t="n"/>
      <c r="AM1337" s="4" t="n"/>
      <c r="AN1337" s="4" t="n"/>
      <c r="AO1337" s="4" t="n"/>
      <c r="AP1337" s="4" t="n"/>
      <c r="AQ1337" s="4" t="n"/>
      <c r="AR1337" s="4" t="n"/>
      <c r="AS1337" s="4" t="n"/>
      <c r="AT1337" s="4" t="n"/>
      <c r="AU1337" s="4" t="n"/>
      <c r="AV1337" s="4" t="n"/>
      <c r="AW1337" s="4" t="n"/>
      <c r="AX1337" s="4" t="n"/>
      <c r="AY1337" s="4" t="n"/>
      <c r="AZ1337" s="4" t="n"/>
      <c r="BA1337" s="4" t="n"/>
      <c r="BB1337" s="4" t="n"/>
      <c r="BC1337" s="4" t="n"/>
      <c r="BD1337" s="4" t="n"/>
      <c r="BE1337" s="4" t="n"/>
      <c r="BF1337" s="4" t="n"/>
      <c r="BG1337" s="4" t="n"/>
      <c r="BH1337" s="4" t="n"/>
      <c r="BI1337" s="4" t="n"/>
      <c r="BJ1337" s="4" t="n"/>
      <c r="BK1337" s="4" t="n"/>
      <c r="BL1337" s="4" t="n"/>
      <c r="BM1337" s="4" t="n"/>
      <c r="BN1337" s="4" t="n"/>
      <c r="BO1337" s="4" t="n"/>
      <c r="BP1337" s="4" t="n"/>
      <c r="BQ1337" s="4" t="n"/>
      <c r="BR1337" s="4" t="n"/>
      <c r="BS1337" s="4" t="n"/>
      <c r="BT1337" s="4" t="n"/>
      <c r="BU1337" s="4" t="n"/>
      <c r="BV1337" s="4" t="n"/>
      <c r="BW1337" s="4" t="n"/>
      <c r="BX1337" s="4" t="n"/>
      <c r="BY1337" s="4" t="n"/>
      <c r="BZ1337" s="4" t="n"/>
      <c r="CA1337" s="4" t="n"/>
      <c r="CB1337" s="4" t="n"/>
      <c r="CC1337" s="4" t="n"/>
      <c r="CD1337" s="4" t="n"/>
      <c r="CE1337" s="4" t="n"/>
      <c r="CF1337" s="4" t="n"/>
      <c r="CG1337" s="4" t="n"/>
      <c r="CH1337" s="4" t="n"/>
      <c r="CI1337" s="4" t="n"/>
      <c r="CJ1337" s="4" t="n"/>
      <c r="CK1337" s="4" t="n"/>
      <c r="CL1337" s="4" t="n"/>
      <c r="CM1337" s="4" t="n"/>
      <c r="CN1337" s="4" t="n"/>
      <c r="CO1337" s="4" t="n"/>
      <c r="CP1337" s="4" t="n"/>
      <c r="CQ1337" s="4" t="n"/>
      <c r="CR1337" s="4" t="n"/>
      <c r="CS1337" s="4" t="n"/>
      <c r="CT1337" s="4" t="n"/>
      <c r="CU1337" s="4" t="n"/>
      <c r="CV1337" s="4" t="n"/>
      <c r="CW1337" s="4" t="n"/>
      <c r="CX1337" s="4" t="n"/>
      <c r="CY1337" s="4" t="n"/>
      <c r="CZ1337" s="4" t="n"/>
      <c r="DA1337" s="4" t="n"/>
      <c r="DB1337" s="4" t="n"/>
      <c r="DC1337" s="4" t="n"/>
      <c r="DD1337" s="4" t="n"/>
      <c r="DE1337" s="4" t="n"/>
      <c r="DF1337" s="4" t="n"/>
      <c r="DG1337" s="4" t="n"/>
      <c r="DH1337" s="4" t="n"/>
      <c r="DI1337" s="4" t="n"/>
      <c r="DJ1337" s="4" t="n"/>
      <c r="DK1337" s="4" t="n"/>
      <c r="DL1337" s="4" t="n"/>
      <c r="DM1337" s="4" t="n"/>
      <c r="DN1337" s="4" t="n"/>
      <c r="DO1337" s="4" t="n"/>
      <c r="DP1337" s="4" t="n"/>
      <c r="DQ1337" s="4" t="n"/>
      <c r="DR1337" s="4" t="n"/>
      <c r="DS1337" s="4" t="n"/>
      <c r="DT1337" s="4" t="n"/>
      <c r="DU1337" s="4" t="n"/>
      <c r="DV1337" s="4" t="n"/>
      <c r="DW1337" s="4" t="n"/>
      <c r="DX1337" s="4" t="n"/>
      <c r="DY1337" s="4" t="n"/>
      <c r="DZ1337" s="4" t="n"/>
      <c r="EA1337" s="4" t="n"/>
      <c r="EB1337" s="4" t="n"/>
      <c r="EC1337" s="4" t="n"/>
      <c r="ED1337" s="4" t="n"/>
      <c r="EE1337" s="4" t="n"/>
      <c r="EF1337" s="4" t="n"/>
      <c r="EG1337" s="4" t="n"/>
      <c r="EH1337" s="4" t="n"/>
      <c r="EI1337" s="4" t="n"/>
      <c r="EJ1337" s="4" t="n"/>
      <c r="EK1337" s="4" t="n"/>
      <c r="EL1337" s="4" t="n"/>
      <c r="EM1337" s="4" t="n"/>
      <c r="EN1337" s="4" t="n"/>
      <c r="EO1337" s="4" t="n"/>
      <c r="EP1337" s="4" t="n"/>
      <c r="EQ1337" s="4" t="n"/>
      <c r="ER1337" s="4" t="n"/>
      <c r="ES1337" s="4" t="n"/>
      <c r="ET1337" s="4" t="n"/>
      <c r="EU1337" s="4" t="n"/>
      <c r="EV1337" s="4" t="n"/>
      <c r="EW1337" s="4" t="n"/>
      <c r="EX1337" s="4" t="n"/>
      <c r="EY1337" s="4" t="n"/>
      <c r="EZ1337" s="4" t="n"/>
      <c r="FA1337" s="4" t="n"/>
      <c r="FB1337" s="4" t="n"/>
      <c r="FC1337" s="4" t="n"/>
    </row>
    <row r="1338" hidden="1" customFormat="1" s="6">
      <c r="C1338" s="4" t="n"/>
      <c r="D1338" s="4" t="n"/>
      <c r="E1338" s="4" t="n"/>
      <c r="F1338" s="4" t="n"/>
      <c r="G1338" s="4" t="n"/>
      <c r="H1338" s="4" t="n"/>
      <c r="I1338" s="4" t="n"/>
      <c r="J1338" s="4" t="n"/>
      <c r="K1338" s="4" t="n"/>
      <c r="L1338" s="4" t="n"/>
      <c r="M1338" s="4" t="n"/>
      <c r="N1338" s="4" t="n"/>
      <c r="O1338" s="4" t="n"/>
      <c r="P1338" s="4" t="n"/>
      <c r="Q1338" s="4" t="n"/>
      <c r="R1338" s="4" t="n"/>
      <c r="S1338" s="4" t="n"/>
      <c r="T1338" s="4" t="n"/>
      <c r="U1338" s="4" t="n"/>
      <c r="V1338" s="4" t="n"/>
      <c r="W1338" s="4" t="n"/>
      <c r="X1338" s="4" t="n"/>
      <c r="Y1338" s="4" t="n"/>
      <c r="Z1338" s="4" t="n"/>
      <c r="AA1338" s="4" t="n"/>
      <c r="AB1338" s="4" t="n"/>
      <c r="AC1338" s="4" t="n"/>
      <c r="AD1338" s="4" t="n"/>
      <c r="AE1338" s="4" t="n"/>
      <c r="AF1338" s="4" t="n"/>
      <c r="AG1338" s="4" t="n"/>
      <c r="AH1338" s="4" t="n"/>
      <c r="AI1338" s="4" t="n"/>
      <c r="AJ1338" s="4" t="n"/>
      <c r="AK1338" s="4" t="n"/>
      <c r="AL1338" s="4" t="n"/>
      <c r="AM1338" s="4" t="n"/>
      <c r="AN1338" s="4" t="n"/>
      <c r="AO1338" s="4" t="n"/>
      <c r="AP1338" s="4" t="n"/>
      <c r="AQ1338" s="4" t="n"/>
      <c r="AR1338" s="4" t="n"/>
      <c r="AS1338" s="4" t="n"/>
      <c r="AT1338" s="4" t="n"/>
      <c r="AU1338" s="4" t="n"/>
      <c r="AV1338" s="4" t="n"/>
      <c r="AW1338" s="4" t="n"/>
      <c r="AX1338" s="4" t="n"/>
      <c r="AY1338" s="4" t="n"/>
      <c r="AZ1338" s="4" t="n"/>
      <c r="BA1338" s="4" t="n"/>
      <c r="BB1338" s="4" t="n"/>
      <c r="BC1338" s="4" t="n"/>
      <c r="BD1338" s="4" t="n"/>
      <c r="BE1338" s="4" t="n"/>
      <c r="BF1338" s="4" t="n"/>
      <c r="BG1338" s="4" t="n"/>
      <c r="BH1338" s="4" t="n"/>
      <c r="BI1338" s="4" t="n"/>
      <c r="BJ1338" s="4" t="n"/>
      <c r="BK1338" s="4" t="n"/>
      <c r="BL1338" s="4" t="n"/>
      <c r="BM1338" s="4" t="n"/>
      <c r="BN1338" s="4" t="n"/>
      <c r="BO1338" s="4" t="n"/>
      <c r="BP1338" s="4" t="n"/>
      <c r="BQ1338" s="4" t="n"/>
      <c r="BR1338" s="4" t="n"/>
      <c r="BS1338" s="4" t="n"/>
      <c r="BT1338" s="4" t="n"/>
      <c r="BU1338" s="4" t="n"/>
      <c r="BV1338" s="4" t="n"/>
      <c r="BW1338" s="4" t="n"/>
      <c r="BX1338" s="4" t="n"/>
      <c r="BY1338" s="4" t="n"/>
      <c r="BZ1338" s="4" t="n"/>
      <c r="CA1338" s="4" t="n"/>
      <c r="CB1338" s="4" t="n"/>
      <c r="CC1338" s="4" t="n"/>
      <c r="CD1338" s="4" t="n"/>
      <c r="CE1338" s="4" t="n"/>
      <c r="CF1338" s="4" t="n"/>
      <c r="CG1338" s="4" t="n"/>
      <c r="CH1338" s="4" t="n"/>
      <c r="CI1338" s="4" t="n"/>
      <c r="CJ1338" s="4" t="n"/>
      <c r="CK1338" s="4" t="n"/>
      <c r="CL1338" s="4" t="n"/>
      <c r="CM1338" s="4" t="n"/>
      <c r="CN1338" s="4" t="n"/>
      <c r="CO1338" s="4" t="n"/>
      <c r="CP1338" s="4" t="n"/>
      <c r="CQ1338" s="4" t="n"/>
      <c r="CR1338" s="4" t="n"/>
      <c r="CS1338" s="4" t="n"/>
      <c r="CT1338" s="4" t="n"/>
      <c r="CU1338" s="4" t="n"/>
      <c r="CV1338" s="4" t="n"/>
      <c r="CW1338" s="4" t="n"/>
      <c r="CX1338" s="4" t="n"/>
      <c r="CY1338" s="4" t="n"/>
      <c r="CZ1338" s="4" t="n"/>
      <c r="DA1338" s="4" t="n"/>
      <c r="DB1338" s="4" t="n"/>
      <c r="DC1338" s="4" t="n"/>
      <c r="DD1338" s="4" t="n"/>
      <c r="DE1338" s="4" t="n"/>
      <c r="DF1338" s="4" t="n"/>
      <c r="DG1338" s="4" t="n"/>
      <c r="DH1338" s="4" t="n"/>
      <c r="DI1338" s="4" t="n"/>
      <c r="DJ1338" s="4" t="n"/>
      <c r="DK1338" s="4" t="n"/>
      <c r="DL1338" s="4" t="n"/>
      <c r="DM1338" s="4" t="n"/>
      <c r="DN1338" s="4" t="n"/>
      <c r="DO1338" s="4" t="n"/>
      <c r="DP1338" s="4" t="n"/>
      <c r="DQ1338" s="4" t="n"/>
      <c r="DR1338" s="4" t="n"/>
      <c r="DS1338" s="4" t="n"/>
      <c r="DT1338" s="4" t="n"/>
      <c r="DU1338" s="4" t="n"/>
      <c r="DV1338" s="4" t="n"/>
      <c r="DW1338" s="4" t="n"/>
      <c r="DX1338" s="4" t="n"/>
      <c r="DY1338" s="4" t="n"/>
      <c r="DZ1338" s="4" t="n"/>
      <c r="EA1338" s="4" t="n"/>
      <c r="EB1338" s="4" t="n"/>
      <c r="EC1338" s="4" t="n"/>
      <c r="ED1338" s="4" t="n"/>
      <c r="EE1338" s="4" t="n"/>
      <c r="EF1338" s="4" t="n"/>
      <c r="EG1338" s="4" t="n"/>
      <c r="EH1338" s="4" t="n"/>
      <c r="EI1338" s="4" t="n"/>
      <c r="EJ1338" s="4" t="n"/>
      <c r="EK1338" s="4" t="n"/>
      <c r="EL1338" s="4" t="n"/>
      <c r="EM1338" s="4" t="n"/>
      <c r="EN1338" s="4" t="n"/>
      <c r="EO1338" s="4" t="n"/>
      <c r="EP1338" s="4" t="n"/>
      <c r="EQ1338" s="4" t="n"/>
      <c r="ER1338" s="4" t="n"/>
      <c r="ES1338" s="4" t="n"/>
      <c r="ET1338" s="4" t="n"/>
      <c r="EU1338" s="4" t="n"/>
      <c r="EV1338" s="4" t="n"/>
      <c r="EW1338" s="4" t="n"/>
      <c r="EX1338" s="4" t="n"/>
      <c r="EY1338" s="4" t="n"/>
      <c r="EZ1338" s="4" t="n"/>
      <c r="FA1338" s="4" t="n"/>
      <c r="FB1338" s="4" t="n"/>
      <c r="FC1338" s="4" t="n"/>
    </row>
    <row r="1339" hidden="1" customFormat="1" s="6">
      <c r="C1339" s="4" t="n"/>
      <c r="D1339" s="4" t="n"/>
      <c r="E1339" s="4" t="n"/>
      <c r="F1339" s="4" t="n"/>
      <c r="G1339" s="4" t="n"/>
      <c r="H1339" s="4" t="n"/>
      <c r="I1339" s="4" t="n"/>
      <c r="J1339" s="4" t="n"/>
      <c r="K1339" s="4" t="n"/>
      <c r="L1339" s="4" t="n"/>
      <c r="M1339" s="4" t="n"/>
      <c r="N1339" s="4" t="n"/>
      <c r="O1339" s="4" t="n"/>
      <c r="P1339" s="4" t="n"/>
      <c r="Q1339" s="4" t="n"/>
      <c r="R1339" s="4" t="n"/>
      <c r="S1339" s="4" t="n"/>
      <c r="T1339" s="4" t="n"/>
      <c r="U1339" s="4" t="n"/>
      <c r="V1339" s="4" t="n"/>
      <c r="W1339" s="4" t="n"/>
      <c r="X1339" s="4" t="n"/>
      <c r="Y1339" s="4" t="n"/>
      <c r="Z1339" s="4" t="n"/>
      <c r="AA1339" s="4" t="n"/>
      <c r="AB1339" s="4" t="n"/>
      <c r="AC1339" s="4" t="n"/>
      <c r="AD1339" s="4" t="n"/>
      <c r="AE1339" s="4" t="n"/>
      <c r="AF1339" s="4" t="n"/>
      <c r="AG1339" s="4" t="n"/>
      <c r="AH1339" s="4" t="n"/>
      <c r="AI1339" s="4" t="n"/>
      <c r="AJ1339" s="4" t="n"/>
      <c r="AK1339" s="4" t="n"/>
      <c r="AL1339" s="4" t="n"/>
      <c r="AM1339" s="4" t="n"/>
      <c r="AN1339" s="4" t="n"/>
      <c r="AO1339" s="4" t="n"/>
      <c r="AP1339" s="4" t="n"/>
      <c r="AQ1339" s="4" t="n"/>
      <c r="AR1339" s="4" t="n"/>
      <c r="AS1339" s="4" t="n"/>
      <c r="AT1339" s="4" t="n"/>
      <c r="AU1339" s="4" t="n"/>
      <c r="AV1339" s="4" t="n"/>
      <c r="AW1339" s="4" t="n"/>
      <c r="AX1339" s="4" t="n"/>
      <c r="AY1339" s="4" t="n"/>
      <c r="AZ1339" s="4" t="n"/>
      <c r="BA1339" s="4" t="n"/>
      <c r="BB1339" s="4" t="n"/>
      <c r="BC1339" s="4" t="n"/>
      <c r="BD1339" s="4" t="n"/>
      <c r="BE1339" s="4" t="n"/>
      <c r="BF1339" s="4" t="n"/>
      <c r="BG1339" s="4" t="n"/>
      <c r="BH1339" s="4" t="n"/>
      <c r="BI1339" s="4" t="n"/>
      <c r="BJ1339" s="4" t="n"/>
      <c r="BK1339" s="4" t="n"/>
      <c r="BL1339" s="4" t="n"/>
      <c r="BM1339" s="4" t="n"/>
      <c r="BN1339" s="4" t="n"/>
      <c r="BO1339" s="4" t="n"/>
      <c r="BP1339" s="4" t="n"/>
      <c r="BQ1339" s="4" t="n"/>
      <c r="BR1339" s="4" t="n"/>
      <c r="BS1339" s="4" t="n"/>
      <c r="BT1339" s="4" t="n"/>
      <c r="BU1339" s="4" t="n"/>
      <c r="BV1339" s="4" t="n"/>
      <c r="BW1339" s="4" t="n"/>
      <c r="BX1339" s="4" t="n"/>
      <c r="BY1339" s="4" t="n"/>
      <c r="BZ1339" s="4" t="n"/>
      <c r="CA1339" s="4" t="n"/>
      <c r="CB1339" s="4" t="n"/>
      <c r="CC1339" s="4" t="n"/>
      <c r="CD1339" s="4" t="n"/>
      <c r="CE1339" s="4" t="n"/>
      <c r="CF1339" s="4" t="n"/>
      <c r="CG1339" s="4" t="n"/>
      <c r="CH1339" s="4" t="n"/>
      <c r="CI1339" s="4" t="n"/>
      <c r="CJ1339" s="4" t="n"/>
      <c r="CK1339" s="4" t="n"/>
      <c r="CL1339" s="4" t="n"/>
      <c r="CM1339" s="4" t="n"/>
      <c r="CN1339" s="4" t="n"/>
      <c r="CO1339" s="4" t="n"/>
      <c r="CP1339" s="4" t="n"/>
      <c r="CQ1339" s="4" t="n"/>
      <c r="CR1339" s="4" t="n"/>
      <c r="CS1339" s="4" t="n"/>
      <c r="CT1339" s="4" t="n"/>
      <c r="CU1339" s="4" t="n"/>
      <c r="CV1339" s="4" t="n"/>
      <c r="CW1339" s="4" t="n"/>
      <c r="CX1339" s="4" t="n"/>
      <c r="CY1339" s="4" t="n"/>
      <c r="CZ1339" s="4" t="n"/>
      <c r="DA1339" s="4" t="n"/>
      <c r="DB1339" s="4" t="n"/>
      <c r="DC1339" s="4" t="n"/>
      <c r="DD1339" s="4" t="n"/>
      <c r="DE1339" s="4" t="n"/>
      <c r="DF1339" s="4" t="n"/>
      <c r="DG1339" s="4" t="n"/>
      <c r="DH1339" s="4" t="n"/>
      <c r="DI1339" s="4" t="n"/>
      <c r="DJ1339" s="4" t="n"/>
      <c r="DK1339" s="4" t="n"/>
      <c r="DL1339" s="4" t="n"/>
      <c r="DM1339" s="4" t="n"/>
      <c r="DN1339" s="4" t="n"/>
      <c r="DO1339" s="4" t="n"/>
      <c r="DP1339" s="4" t="n"/>
      <c r="DQ1339" s="4" t="n"/>
      <c r="DR1339" s="4" t="n"/>
      <c r="DS1339" s="4" t="n"/>
      <c r="DT1339" s="4" t="n"/>
      <c r="DU1339" s="4" t="n"/>
      <c r="DV1339" s="4" t="n"/>
      <c r="DW1339" s="4" t="n"/>
      <c r="DX1339" s="4" t="n"/>
      <c r="DY1339" s="4" t="n"/>
      <c r="DZ1339" s="4" t="n"/>
      <c r="EA1339" s="4" t="n"/>
      <c r="EB1339" s="4" t="n"/>
      <c r="EC1339" s="4" t="n"/>
      <c r="ED1339" s="4" t="n"/>
      <c r="EE1339" s="4" t="n"/>
      <c r="EF1339" s="4" t="n"/>
      <c r="EG1339" s="4" t="n"/>
      <c r="EH1339" s="4" t="n"/>
      <c r="EI1339" s="4" t="n"/>
      <c r="EJ1339" s="4" t="n"/>
      <c r="EK1339" s="4" t="n"/>
      <c r="EL1339" s="4" t="n"/>
      <c r="EM1339" s="4" t="n"/>
      <c r="EN1339" s="4" t="n"/>
      <c r="EO1339" s="4" t="n"/>
      <c r="EP1339" s="4" t="n"/>
      <c r="EQ1339" s="4" t="n"/>
      <c r="ER1339" s="4" t="n"/>
      <c r="ES1339" s="4" t="n"/>
      <c r="ET1339" s="4" t="n"/>
      <c r="EU1339" s="4" t="n"/>
      <c r="EV1339" s="4" t="n"/>
      <c r="EW1339" s="4" t="n"/>
      <c r="EX1339" s="4" t="n"/>
      <c r="EY1339" s="4" t="n"/>
      <c r="EZ1339" s="4" t="n"/>
      <c r="FA1339" s="4" t="n"/>
      <c r="FB1339" s="4" t="n"/>
      <c r="FC1339" s="4" t="n"/>
    </row>
    <row r="1340" hidden="1" customFormat="1" s="6">
      <c r="C1340" s="4" t="n"/>
      <c r="D1340" s="4" t="n"/>
      <c r="E1340" s="4" t="n"/>
      <c r="F1340" s="4" t="n"/>
      <c r="G1340" s="4" t="n"/>
      <c r="H1340" s="4" t="n"/>
      <c r="I1340" s="4" t="n"/>
      <c r="J1340" s="4" t="n"/>
      <c r="K1340" s="4" t="n"/>
      <c r="L1340" s="4" t="n"/>
      <c r="M1340" s="4" t="n"/>
      <c r="N1340" s="4" t="n"/>
      <c r="O1340" s="4" t="n"/>
      <c r="P1340" s="4" t="n"/>
      <c r="Q1340" s="4" t="n"/>
      <c r="R1340" s="4" t="n"/>
      <c r="S1340" s="4" t="n"/>
      <c r="T1340" s="4" t="n"/>
      <c r="U1340" s="4" t="n"/>
      <c r="V1340" s="4" t="n"/>
      <c r="W1340" s="4" t="n"/>
      <c r="X1340" s="4" t="n"/>
      <c r="Y1340" s="4" t="n"/>
      <c r="Z1340" s="4" t="n"/>
      <c r="AA1340" s="4" t="n"/>
      <c r="AB1340" s="4" t="n"/>
      <c r="AC1340" s="4" t="n"/>
      <c r="AD1340" s="4" t="n"/>
      <c r="AE1340" s="4" t="n"/>
      <c r="AF1340" s="4" t="n"/>
      <c r="AG1340" s="4" t="n"/>
      <c r="AH1340" s="4" t="n"/>
      <c r="AI1340" s="4" t="n"/>
      <c r="AJ1340" s="4" t="n"/>
      <c r="AK1340" s="4" t="n"/>
      <c r="AL1340" s="4" t="n"/>
      <c r="AM1340" s="4" t="n"/>
      <c r="AN1340" s="4" t="n"/>
      <c r="AO1340" s="4" t="n"/>
      <c r="AP1340" s="4" t="n"/>
      <c r="AQ1340" s="4" t="n"/>
      <c r="AR1340" s="4" t="n"/>
      <c r="AS1340" s="4" t="n"/>
      <c r="AT1340" s="4" t="n"/>
      <c r="AU1340" s="4" t="n"/>
      <c r="AV1340" s="4" t="n"/>
      <c r="AW1340" s="4" t="n"/>
      <c r="AX1340" s="4" t="n"/>
      <c r="AY1340" s="4" t="n"/>
      <c r="AZ1340" s="4" t="n"/>
      <c r="BA1340" s="4" t="n"/>
      <c r="BB1340" s="4" t="n"/>
      <c r="BC1340" s="4" t="n"/>
      <c r="BD1340" s="4" t="n"/>
      <c r="BE1340" s="4" t="n"/>
      <c r="BF1340" s="4" t="n"/>
      <c r="BG1340" s="4" t="n"/>
      <c r="BH1340" s="4" t="n"/>
      <c r="BI1340" s="4" t="n"/>
      <c r="BJ1340" s="4" t="n"/>
      <c r="BK1340" s="4" t="n"/>
      <c r="BL1340" s="4" t="n"/>
      <c r="BM1340" s="4" t="n"/>
      <c r="BN1340" s="4" t="n"/>
      <c r="BO1340" s="4" t="n"/>
      <c r="BP1340" s="4" t="n"/>
      <c r="BQ1340" s="4" t="n"/>
      <c r="BR1340" s="4" t="n"/>
      <c r="BS1340" s="4" t="n"/>
      <c r="BT1340" s="4" t="n"/>
      <c r="BU1340" s="4" t="n"/>
      <c r="BV1340" s="4" t="n"/>
      <c r="BW1340" s="4" t="n"/>
      <c r="BX1340" s="4" t="n"/>
      <c r="BY1340" s="4" t="n"/>
      <c r="BZ1340" s="4" t="n"/>
      <c r="CA1340" s="4" t="n"/>
      <c r="CB1340" s="4" t="n"/>
      <c r="CC1340" s="4" t="n"/>
      <c r="CD1340" s="4" t="n"/>
      <c r="CE1340" s="4" t="n"/>
      <c r="CF1340" s="4" t="n"/>
      <c r="CG1340" s="4" t="n"/>
      <c r="CH1340" s="4" t="n"/>
      <c r="CI1340" s="4" t="n"/>
      <c r="CJ1340" s="4" t="n"/>
      <c r="CK1340" s="4" t="n"/>
      <c r="CL1340" s="4" t="n"/>
      <c r="CM1340" s="4" t="n"/>
      <c r="CN1340" s="4" t="n"/>
      <c r="CO1340" s="4" t="n"/>
      <c r="CP1340" s="4" t="n"/>
      <c r="CQ1340" s="4" t="n"/>
      <c r="CR1340" s="4" t="n"/>
      <c r="CS1340" s="4" t="n"/>
      <c r="CT1340" s="4" t="n"/>
      <c r="CU1340" s="4" t="n"/>
      <c r="CV1340" s="4" t="n"/>
      <c r="CW1340" s="4" t="n"/>
      <c r="CX1340" s="4" t="n"/>
      <c r="CY1340" s="4" t="n"/>
      <c r="CZ1340" s="4" t="n"/>
      <c r="DA1340" s="4" t="n"/>
      <c r="DB1340" s="4" t="n"/>
      <c r="DC1340" s="4" t="n"/>
      <c r="DD1340" s="4" t="n"/>
      <c r="DE1340" s="4" t="n"/>
      <c r="DF1340" s="4" t="n"/>
      <c r="DG1340" s="4" t="n"/>
      <c r="DH1340" s="4" t="n"/>
      <c r="DI1340" s="4" t="n"/>
      <c r="DJ1340" s="4" t="n"/>
      <c r="DK1340" s="4" t="n"/>
      <c r="DL1340" s="4" t="n"/>
      <c r="DM1340" s="4" t="n"/>
      <c r="DN1340" s="4" t="n"/>
      <c r="DO1340" s="4" t="n"/>
      <c r="DP1340" s="4" t="n"/>
      <c r="DQ1340" s="4" t="n"/>
      <c r="DR1340" s="4" t="n"/>
      <c r="DS1340" s="4" t="n"/>
      <c r="DT1340" s="4" t="n"/>
      <c r="DU1340" s="4" t="n"/>
      <c r="DV1340" s="4" t="n"/>
      <c r="DW1340" s="4" t="n"/>
      <c r="DX1340" s="4" t="n"/>
      <c r="DY1340" s="4" t="n"/>
      <c r="DZ1340" s="4" t="n"/>
      <c r="EA1340" s="4" t="n"/>
      <c r="EB1340" s="4" t="n"/>
      <c r="EC1340" s="4" t="n"/>
      <c r="ED1340" s="4" t="n"/>
      <c r="EE1340" s="4" t="n"/>
      <c r="EF1340" s="4" t="n"/>
      <c r="EG1340" s="4" t="n"/>
      <c r="EH1340" s="4" t="n"/>
      <c r="EI1340" s="4" t="n"/>
      <c r="EJ1340" s="4" t="n"/>
      <c r="EK1340" s="4" t="n"/>
      <c r="EL1340" s="4" t="n"/>
      <c r="EM1340" s="4" t="n"/>
      <c r="EN1340" s="4" t="n"/>
      <c r="EO1340" s="4" t="n"/>
      <c r="EP1340" s="4" t="n"/>
      <c r="EQ1340" s="4" t="n"/>
      <c r="ER1340" s="4" t="n"/>
      <c r="ES1340" s="4" t="n"/>
      <c r="ET1340" s="4" t="n"/>
      <c r="EU1340" s="4" t="n"/>
      <c r="EV1340" s="4" t="n"/>
      <c r="EW1340" s="4" t="n"/>
      <c r="EX1340" s="4" t="n"/>
      <c r="EY1340" s="4" t="n"/>
      <c r="EZ1340" s="4" t="n"/>
      <c r="FA1340" s="4" t="n"/>
      <c r="FB1340" s="4" t="n"/>
      <c r="FC1340" s="4" t="n"/>
    </row>
    <row r="1341" hidden="1" customFormat="1" s="6">
      <c r="C1341" s="4" t="n"/>
      <c r="D1341" s="4" t="n"/>
      <c r="E1341" s="4" t="n"/>
      <c r="F1341" s="4" t="n"/>
      <c r="G1341" s="4" t="n"/>
      <c r="H1341" s="4" t="n"/>
      <c r="I1341" s="4" t="n"/>
      <c r="J1341" s="4" t="n"/>
      <c r="K1341" s="4" t="n"/>
      <c r="L1341" s="4" t="n"/>
      <c r="M1341" s="4" t="n"/>
      <c r="N1341" s="4" t="n"/>
      <c r="O1341" s="4" t="n"/>
      <c r="P1341" s="4" t="n"/>
      <c r="Q1341" s="4" t="n"/>
      <c r="R1341" s="4" t="n"/>
      <c r="S1341" s="4" t="n"/>
      <c r="T1341" s="4" t="n"/>
      <c r="U1341" s="4" t="n"/>
      <c r="V1341" s="4" t="n"/>
      <c r="W1341" s="4" t="n"/>
      <c r="X1341" s="4" t="n"/>
      <c r="Y1341" s="4" t="n"/>
      <c r="Z1341" s="4" t="n"/>
      <c r="AA1341" s="4" t="n"/>
      <c r="AB1341" s="4" t="n"/>
      <c r="AC1341" s="4" t="n"/>
      <c r="AD1341" s="4" t="n"/>
      <c r="AE1341" s="4" t="n"/>
      <c r="AF1341" s="4" t="n"/>
      <c r="AG1341" s="4" t="n"/>
      <c r="AH1341" s="4" t="n"/>
      <c r="AI1341" s="4" t="n"/>
      <c r="AJ1341" s="4" t="n"/>
      <c r="AK1341" s="4" t="n"/>
      <c r="AL1341" s="4" t="n"/>
      <c r="AM1341" s="4" t="n"/>
      <c r="AN1341" s="4" t="n"/>
      <c r="AO1341" s="4" t="n"/>
      <c r="AP1341" s="4" t="n"/>
      <c r="AQ1341" s="4" t="n"/>
      <c r="AR1341" s="4" t="n"/>
      <c r="AS1341" s="4" t="n"/>
      <c r="AT1341" s="4" t="n"/>
      <c r="AU1341" s="4" t="n"/>
      <c r="AV1341" s="4" t="n"/>
      <c r="AW1341" s="4" t="n"/>
      <c r="AX1341" s="4" t="n"/>
      <c r="AY1341" s="4" t="n"/>
      <c r="AZ1341" s="4" t="n"/>
      <c r="BA1341" s="4" t="n"/>
      <c r="BB1341" s="4" t="n"/>
      <c r="BC1341" s="4" t="n"/>
      <c r="BD1341" s="4" t="n"/>
      <c r="BE1341" s="4" t="n"/>
      <c r="BF1341" s="4" t="n"/>
      <c r="BG1341" s="4" t="n"/>
      <c r="BH1341" s="4" t="n"/>
      <c r="BI1341" s="4" t="n"/>
      <c r="BJ1341" s="4" t="n"/>
      <c r="BK1341" s="4" t="n"/>
      <c r="BL1341" s="4" t="n"/>
      <c r="BM1341" s="4" t="n"/>
      <c r="BN1341" s="4" t="n"/>
      <c r="BO1341" s="4" t="n"/>
      <c r="BP1341" s="4" t="n"/>
      <c r="BQ1341" s="4" t="n"/>
      <c r="BR1341" s="4" t="n"/>
      <c r="BS1341" s="4" t="n"/>
      <c r="BT1341" s="4" t="n"/>
      <c r="BU1341" s="4" t="n"/>
      <c r="BV1341" s="4" t="n"/>
      <c r="BW1341" s="4" t="n"/>
      <c r="BX1341" s="4" t="n"/>
      <c r="BY1341" s="4" t="n"/>
      <c r="BZ1341" s="4" t="n"/>
      <c r="CA1341" s="4" t="n"/>
      <c r="CB1341" s="4" t="n"/>
      <c r="CC1341" s="4" t="n"/>
      <c r="CD1341" s="4" t="n"/>
      <c r="CE1341" s="4" t="n"/>
      <c r="CF1341" s="4" t="n"/>
      <c r="CG1341" s="4" t="n"/>
      <c r="CH1341" s="4" t="n"/>
      <c r="CI1341" s="4" t="n"/>
      <c r="CJ1341" s="4" t="n"/>
      <c r="CK1341" s="4" t="n"/>
      <c r="CL1341" s="4" t="n"/>
      <c r="CM1341" s="4" t="n"/>
      <c r="CN1341" s="4" t="n"/>
      <c r="CO1341" s="4" t="n"/>
      <c r="CP1341" s="4" t="n"/>
      <c r="CQ1341" s="4" t="n"/>
      <c r="CR1341" s="4" t="n"/>
      <c r="CS1341" s="4" t="n"/>
      <c r="CT1341" s="4" t="n"/>
      <c r="CU1341" s="4" t="n"/>
      <c r="CV1341" s="4" t="n"/>
      <c r="CW1341" s="4" t="n"/>
      <c r="CX1341" s="4" t="n"/>
      <c r="CY1341" s="4" t="n"/>
      <c r="CZ1341" s="4" t="n"/>
      <c r="DA1341" s="4" t="n"/>
      <c r="DB1341" s="4" t="n"/>
      <c r="DC1341" s="4" t="n"/>
      <c r="DD1341" s="4" t="n"/>
      <c r="DE1341" s="4" t="n"/>
      <c r="DF1341" s="4" t="n"/>
      <c r="DG1341" s="4" t="n"/>
      <c r="DH1341" s="4" t="n"/>
      <c r="DI1341" s="4" t="n"/>
      <c r="DJ1341" s="4" t="n"/>
      <c r="DK1341" s="4" t="n"/>
      <c r="DL1341" s="4" t="n"/>
      <c r="DM1341" s="4" t="n"/>
      <c r="DN1341" s="4" t="n"/>
      <c r="DO1341" s="4" t="n"/>
      <c r="DP1341" s="4" t="n"/>
      <c r="DQ1341" s="4" t="n"/>
      <c r="DR1341" s="4" t="n"/>
      <c r="DS1341" s="4" t="n"/>
      <c r="DT1341" s="4" t="n"/>
      <c r="DU1341" s="4" t="n"/>
      <c r="DV1341" s="4" t="n"/>
      <c r="DW1341" s="4" t="n"/>
      <c r="DX1341" s="4" t="n"/>
      <c r="DY1341" s="4" t="n"/>
      <c r="DZ1341" s="4" t="n"/>
      <c r="EA1341" s="4" t="n"/>
      <c r="EB1341" s="4" t="n"/>
      <c r="EC1341" s="4" t="n"/>
      <c r="ED1341" s="4" t="n"/>
      <c r="EE1341" s="4" t="n"/>
      <c r="EF1341" s="4" t="n"/>
      <c r="EG1341" s="4" t="n"/>
      <c r="EH1341" s="4" t="n"/>
      <c r="EI1341" s="4" t="n"/>
      <c r="EJ1341" s="4" t="n"/>
      <c r="EK1341" s="4" t="n"/>
      <c r="EL1341" s="4" t="n"/>
      <c r="EM1341" s="4" t="n"/>
      <c r="EN1341" s="4" t="n"/>
      <c r="EO1341" s="4" t="n"/>
      <c r="EP1341" s="4" t="n"/>
      <c r="EQ1341" s="4" t="n"/>
      <c r="ER1341" s="4" t="n"/>
      <c r="ES1341" s="4" t="n"/>
      <c r="ET1341" s="4" t="n"/>
      <c r="EU1341" s="4" t="n"/>
      <c r="EV1341" s="4" t="n"/>
      <c r="EW1341" s="4" t="n"/>
      <c r="EX1341" s="4" t="n"/>
      <c r="EY1341" s="4" t="n"/>
      <c r="EZ1341" s="4" t="n"/>
      <c r="FA1341" s="4" t="n"/>
      <c r="FB1341" s="4" t="n"/>
      <c r="FC1341" s="4" t="n"/>
    </row>
    <row r="1342" hidden="1" customFormat="1" s="6">
      <c r="C1342" s="4" t="n"/>
      <c r="D1342" s="4" t="n"/>
      <c r="E1342" s="4" t="n"/>
      <c r="F1342" s="4" t="n"/>
      <c r="G1342" s="4" t="n"/>
      <c r="H1342" s="4" t="n"/>
      <c r="I1342" s="4" t="n"/>
      <c r="J1342" s="4" t="n"/>
      <c r="K1342" s="4" t="n"/>
      <c r="L1342" s="4" t="n"/>
      <c r="M1342" s="4" t="n"/>
      <c r="N1342" s="4" t="n"/>
      <c r="O1342" s="4" t="n"/>
      <c r="P1342" s="4" t="n"/>
      <c r="Q1342" s="4" t="n"/>
      <c r="R1342" s="4" t="n"/>
      <c r="S1342" s="4" t="n"/>
      <c r="T1342" s="4" t="n"/>
      <c r="U1342" s="4" t="n"/>
      <c r="V1342" s="4" t="n"/>
      <c r="W1342" s="4" t="n"/>
      <c r="X1342" s="4" t="n"/>
      <c r="Y1342" s="4" t="n"/>
      <c r="Z1342" s="4" t="n"/>
      <c r="AA1342" s="4" t="n"/>
      <c r="AB1342" s="4" t="n"/>
      <c r="AC1342" s="4" t="n"/>
      <c r="AD1342" s="4" t="n"/>
      <c r="AE1342" s="4" t="n"/>
      <c r="AF1342" s="4" t="n"/>
      <c r="AG1342" s="4" t="n"/>
      <c r="AH1342" s="4" t="n"/>
      <c r="AI1342" s="4" t="n"/>
      <c r="AJ1342" s="4" t="n"/>
      <c r="AK1342" s="4" t="n"/>
      <c r="AL1342" s="4" t="n"/>
      <c r="AM1342" s="4" t="n"/>
      <c r="AN1342" s="4" t="n"/>
      <c r="AO1342" s="4" t="n"/>
      <c r="AP1342" s="4" t="n"/>
      <c r="AQ1342" s="4" t="n"/>
      <c r="AR1342" s="4" t="n"/>
      <c r="AS1342" s="4" t="n"/>
      <c r="AT1342" s="4" t="n"/>
      <c r="AU1342" s="4" t="n"/>
      <c r="AV1342" s="4" t="n"/>
      <c r="AW1342" s="4" t="n"/>
      <c r="AX1342" s="4" t="n"/>
      <c r="AY1342" s="4" t="n"/>
      <c r="AZ1342" s="4" t="n"/>
      <c r="BA1342" s="4" t="n"/>
      <c r="BB1342" s="4" t="n"/>
      <c r="BC1342" s="4" t="n"/>
      <c r="BD1342" s="4" t="n"/>
      <c r="BE1342" s="4" t="n"/>
      <c r="BF1342" s="4" t="n"/>
      <c r="BG1342" s="4" t="n"/>
      <c r="BH1342" s="4" t="n"/>
      <c r="BI1342" s="4" t="n"/>
      <c r="BJ1342" s="4" t="n"/>
      <c r="BK1342" s="4" t="n"/>
      <c r="BL1342" s="4" t="n"/>
      <c r="BM1342" s="4" t="n"/>
      <c r="BN1342" s="4" t="n"/>
      <c r="BO1342" s="4" t="n"/>
      <c r="BP1342" s="4" t="n"/>
      <c r="BQ1342" s="4" t="n"/>
      <c r="BR1342" s="4" t="n"/>
      <c r="BS1342" s="4" t="n"/>
      <c r="BT1342" s="4" t="n"/>
      <c r="BU1342" s="4" t="n"/>
      <c r="BV1342" s="4" t="n"/>
      <c r="BW1342" s="4" t="n"/>
      <c r="BX1342" s="4" t="n"/>
      <c r="BY1342" s="4" t="n"/>
      <c r="BZ1342" s="4" t="n"/>
      <c r="CA1342" s="4" t="n"/>
      <c r="CB1342" s="4" t="n"/>
      <c r="CC1342" s="4" t="n"/>
      <c r="CD1342" s="4" t="n"/>
      <c r="CE1342" s="4" t="n"/>
      <c r="CF1342" s="4" t="n"/>
      <c r="CG1342" s="4" t="n"/>
      <c r="CH1342" s="4" t="n"/>
      <c r="CI1342" s="4" t="n"/>
      <c r="CJ1342" s="4" t="n"/>
      <c r="CK1342" s="4" t="n"/>
      <c r="CL1342" s="4" t="n"/>
      <c r="CM1342" s="4" t="n"/>
      <c r="CN1342" s="4" t="n"/>
      <c r="CO1342" s="4" t="n"/>
      <c r="CP1342" s="4" t="n"/>
      <c r="CQ1342" s="4" t="n"/>
      <c r="CR1342" s="4" t="n"/>
      <c r="CS1342" s="4" t="n"/>
      <c r="CT1342" s="4" t="n"/>
      <c r="CU1342" s="4" t="n"/>
      <c r="CV1342" s="4" t="n"/>
      <c r="CW1342" s="4" t="n"/>
      <c r="CX1342" s="4" t="n"/>
      <c r="CY1342" s="4" t="n"/>
      <c r="CZ1342" s="4" t="n"/>
      <c r="DA1342" s="4" t="n"/>
      <c r="DB1342" s="4" t="n"/>
      <c r="DC1342" s="4" t="n"/>
      <c r="DD1342" s="4" t="n"/>
      <c r="DE1342" s="4" t="n"/>
      <c r="DF1342" s="4" t="n"/>
      <c r="DG1342" s="4" t="n"/>
      <c r="DH1342" s="4" t="n"/>
      <c r="DI1342" s="4" t="n"/>
      <c r="DJ1342" s="4" t="n"/>
      <c r="DK1342" s="4" t="n"/>
      <c r="DL1342" s="4" t="n"/>
      <c r="DM1342" s="4" t="n"/>
      <c r="DN1342" s="4" t="n"/>
      <c r="DO1342" s="4" t="n"/>
      <c r="DP1342" s="4" t="n"/>
      <c r="DQ1342" s="4" t="n"/>
      <c r="DR1342" s="4" t="n"/>
      <c r="DS1342" s="4" t="n"/>
      <c r="DT1342" s="4" t="n"/>
      <c r="DU1342" s="4" t="n"/>
      <c r="DV1342" s="4" t="n"/>
      <c r="DW1342" s="4" t="n"/>
      <c r="DX1342" s="4" t="n"/>
      <c r="DY1342" s="4" t="n"/>
      <c r="DZ1342" s="4" t="n"/>
      <c r="EA1342" s="4" t="n"/>
      <c r="EB1342" s="4" t="n"/>
      <c r="EC1342" s="4" t="n"/>
      <c r="ED1342" s="4" t="n"/>
      <c r="EE1342" s="4" t="n"/>
      <c r="EF1342" s="4" t="n"/>
      <c r="EG1342" s="4" t="n"/>
      <c r="EH1342" s="4" t="n"/>
      <c r="EI1342" s="4" t="n"/>
      <c r="EJ1342" s="4" t="n"/>
      <c r="EK1342" s="4" t="n"/>
      <c r="EL1342" s="4" t="n"/>
      <c r="EM1342" s="4" t="n"/>
      <c r="EN1342" s="4" t="n"/>
      <c r="EO1342" s="4" t="n"/>
      <c r="EP1342" s="4" t="n"/>
      <c r="EQ1342" s="4" t="n"/>
      <c r="ER1342" s="4" t="n"/>
      <c r="ES1342" s="4" t="n"/>
      <c r="ET1342" s="4" t="n"/>
      <c r="EU1342" s="4" t="n"/>
      <c r="EV1342" s="4" t="n"/>
      <c r="EW1342" s="4" t="n"/>
      <c r="EX1342" s="4" t="n"/>
      <c r="EY1342" s="4" t="n"/>
      <c r="EZ1342" s="4" t="n"/>
      <c r="FA1342" s="4" t="n"/>
      <c r="FB1342" s="4" t="n"/>
      <c r="FC1342" s="4" t="n"/>
    </row>
    <row r="1343" hidden="1" customFormat="1" s="6">
      <c r="C1343" s="4" t="n"/>
      <c r="D1343" s="4" t="n"/>
      <c r="E1343" s="4" t="n"/>
      <c r="F1343" s="4" t="n"/>
      <c r="G1343" s="4" t="n"/>
      <c r="H1343" s="4" t="n"/>
      <c r="I1343" s="4" t="n"/>
      <c r="J1343" s="4" t="n"/>
      <c r="K1343" s="4" t="n"/>
      <c r="L1343" s="4" t="n"/>
      <c r="M1343" s="4" t="n"/>
      <c r="N1343" s="4" t="n"/>
      <c r="O1343" s="4" t="n"/>
      <c r="P1343" s="4" t="n"/>
      <c r="Q1343" s="4" t="n"/>
      <c r="R1343" s="4" t="n"/>
      <c r="S1343" s="4" t="n"/>
      <c r="T1343" s="4" t="n"/>
      <c r="U1343" s="4" t="n"/>
      <c r="V1343" s="4" t="n"/>
      <c r="W1343" s="4" t="n"/>
      <c r="X1343" s="4" t="n"/>
      <c r="Y1343" s="4" t="n"/>
      <c r="Z1343" s="4" t="n"/>
      <c r="AA1343" s="4" t="n"/>
      <c r="AB1343" s="4" t="n"/>
      <c r="AC1343" s="4" t="n"/>
      <c r="AD1343" s="4" t="n"/>
      <c r="AE1343" s="4" t="n"/>
      <c r="AF1343" s="4" t="n"/>
      <c r="AG1343" s="4" t="n"/>
      <c r="AH1343" s="4" t="n"/>
      <c r="AI1343" s="4" t="n"/>
      <c r="AJ1343" s="4" t="n"/>
      <c r="AK1343" s="4" t="n"/>
      <c r="AL1343" s="4" t="n"/>
      <c r="AM1343" s="4" t="n"/>
      <c r="AN1343" s="4" t="n"/>
      <c r="AO1343" s="4" t="n"/>
      <c r="AP1343" s="4" t="n"/>
      <c r="AQ1343" s="4" t="n"/>
      <c r="AR1343" s="4" t="n"/>
      <c r="AS1343" s="4" t="n"/>
      <c r="AT1343" s="4" t="n"/>
      <c r="AU1343" s="4" t="n"/>
      <c r="AV1343" s="4" t="n"/>
      <c r="AW1343" s="4" t="n"/>
      <c r="AX1343" s="4" t="n"/>
      <c r="AY1343" s="4" t="n"/>
      <c r="AZ1343" s="4" t="n"/>
      <c r="BA1343" s="4" t="n"/>
      <c r="BB1343" s="4" t="n"/>
      <c r="BC1343" s="4" t="n"/>
      <c r="BD1343" s="4" t="n"/>
      <c r="BE1343" s="4" t="n"/>
      <c r="BF1343" s="4" t="n"/>
      <c r="BG1343" s="4" t="n"/>
      <c r="BH1343" s="4" t="n"/>
      <c r="BI1343" s="4" t="n"/>
      <c r="BJ1343" s="4" t="n"/>
      <c r="BK1343" s="4" t="n"/>
      <c r="BL1343" s="4" t="n"/>
      <c r="BM1343" s="4" t="n"/>
      <c r="BN1343" s="4" t="n"/>
      <c r="BO1343" s="4" t="n"/>
      <c r="BP1343" s="4" t="n"/>
      <c r="BQ1343" s="4" t="n"/>
      <c r="BR1343" s="4" t="n"/>
      <c r="BS1343" s="4" t="n"/>
      <c r="BT1343" s="4" t="n"/>
      <c r="BU1343" s="4" t="n"/>
      <c r="BV1343" s="4" t="n"/>
      <c r="BW1343" s="4" t="n"/>
      <c r="BX1343" s="4" t="n"/>
      <c r="BY1343" s="4" t="n"/>
      <c r="BZ1343" s="4" t="n"/>
      <c r="CA1343" s="4" t="n"/>
      <c r="CB1343" s="4" t="n"/>
      <c r="CC1343" s="4" t="n"/>
      <c r="CD1343" s="4" t="n"/>
      <c r="CE1343" s="4" t="n"/>
      <c r="CF1343" s="4" t="n"/>
      <c r="CG1343" s="4" t="n"/>
      <c r="CH1343" s="4" t="n"/>
      <c r="CI1343" s="4" t="n"/>
      <c r="CJ1343" s="4" t="n"/>
      <c r="CK1343" s="4" t="n"/>
      <c r="CL1343" s="4" t="n"/>
      <c r="CM1343" s="4" t="n"/>
      <c r="CN1343" s="4" t="n"/>
      <c r="CO1343" s="4" t="n"/>
      <c r="CP1343" s="4" t="n"/>
      <c r="CQ1343" s="4" t="n"/>
      <c r="CR1343" s="4" t="n"/>
      <c r="CS1343" s="4" t="n"/>
      <c r="CT1343" s="4" t="n"/>
      <c r="CU1343" s="4" t="n"/>
      <c r="CV1343" s="4" t="n"/>
      <c r="CW1343" s="4" t="n"/>
      <c r="CX1343" s="4" t="n"/>
      <c r="CY1343" s="4" t="n"/>
      <c r="CZ1343" s="4" t="n"/>
      <c r="DA1343" s="4" t="n"/>
      <c r="DB1343" s="4" t="n"/>
      <c r="DC1343" s="4" t="n"/>
      <c r="DD1343" s="4" t="n"/>
      <c r="DE1343" s="4" t="n"/>
      <c r="DF1343" s="4" t="n"/>
      <c r="DG1343" s="4" t="n"/>
      <c r="DH1343" s="4" t="n"/>
      <c r="DI1343" s="4" t="n"/>
      <c r="DJ1343" s="4" t="n"/>
      <c r="DK1343" s="4" t="n"/>
      <c r="DL1343" s="4" t="n"/>
      <c r="DM1343" s="4" t="n"/>
      <c r="DN1343" s="4" t="n"/>
      <c r="DO1343" s="4" t="n"/>
      <c r="DP1343" s="4" t="n"/>
      <c r="DQ1343" s="4" t="n"/>
      <c r="DR1343" s="4" t="n"/>
      <c r="DS1343" s="4" t="n"/>
      <c r="DT1343" s="4" t="n"/>
      <c r="DU1343" s="4" t="n"/>
      <c r="DV1343" s="4" t="n"/>
      <c r="DW1343" s="4" t="n"/>
      <c r="DX1343" s="4" t="n"/>
      <c r="DY1343" s="4" t="n"/>
      <c r="DZ1343" s="4" t="n"/>
      <c r="EA1343" s="4" t="n"/>
      <c r="EB1343" s="4" t="n"/>
      <c r="EC1343" s="4" t="n"/>
      <c r="ED1343" s="4" t="n"/>
      <c r="EE1343" s="4" t="n"/>
      <c r="EF1343" s="4" t="n"/>
      <c r="EG1343" s="4" t="n"/>
      <c r="EH1343" s="4" t="n"/>
      <c r="EI1343" s="4" t="n"/>
      <c r="EJ1343" s="4" t="n"/>
      <c r="EK1343" s="4" t="n"/>
      <c r="EL1343" s="4" t="n"/>
      <c r="EM1343" s="4" t="n"/>
      <c r="EN1343" s="4" t="n"/>
      <c r="EO1343" s="4" t="n"/>
      <c r="EP1343" s="4" t="n"/>
      <c r="EQ1343" s="4" t="n"/>
      <c r="ER1343" s="4" t="n"/>
      <c r="ES1343" s="4" t="n"/>
      <c r="ET1343" s="4" t="n"/>
      <c r="EU1343" s="4" t="n"/>
      <c r="EV1343" s="4" t="n"/>
      <c r="EW1343" s="4" t="n"/>
      <c r="EX1343" s="4" t="n"/>
      <c r="EY1343" s="4" t="n"/>
      <c r="EZ1343" s="4" t="n"/>
      <c r="FA1343" s="4" t="n"/>
      <c r="FB1343" s="4" t="n"/>
      <c r="FC1343" s="4" t="n"/>
    </row>
    <row r="1344" hidden="1" customFormat="1" s="6">
      <c r="C1344" s="4" t="n"/>
      <c r="D1344" s="4" t="n"/>
      <c r="E1344" s="4" t="n"/>
      <c r="F1344" s="4" t="n"/>
      <c r="G1344" s="4" t="n"/>
      <c r="H1344" s="4" t="n"/>
      <c r="I1344" s="4" t="n"/>
      <c r="J1344" s="4" t="n"/>
      <c r="K1344" s="4" t="n"/>
      <c r="L1344" s="4" t="n"/>
      <c r="M1344" s="4" t="n"/>
      <c r="N1344" s="4" t="n"/>
      <c r="O1344" s="4" t="n"/>
      <c r="P1344" s="4" t="n"/>
      <c r="Q1344" s="4" t="n"/>
      <c r="R1344" s="4" t="n"/>
      <c r="S1344" s="4" t="n"/>
      <c r="T1344" s="4" t="n"/>
      <c r="U1344" s="4" t="n"/>
      <c r="V1344" s="4" t="n"/>
      <c r="W1344" s="4" t="n"/>
      <c r="X1344" s="4" t="n"/>
      <c r="Y1344" s="4" t="n"/>
      <c r="Z1344" s="4" t="n"/>
      <c r="AA1344" s="4" t="n"/>
      <c r="AB1344" s="4" t="n"/>
      <c r="AC1344" s="4" t="n"/>
      <c r="AD1344" s="4" t="n"/>
      <c r="AE1344" s="4" t="n"/>
      <c r="AF1344" s="4" t="n"/>
      <c r="AG1344" s="4" t="n"/>
      <c r="AH1344" s="4" t="n"/>
      <c r="AI1344" s="4" t="n"/>
      <c r="AJ1344" s="4" t="n"/>
      <c r="AK1344" s="4" t="n"/>
      <c r="AL1344" s="4" t="n"/>
      <c r="AM1344" s="4" t="n"/>
      <c r="AN1344" s="4" t="n"/>
      <c r="AO1344" s="4" t="n"/>
      <c r="AP1344" s="4" t="n"/>
      <c r="AQ1344" s="4" t="n"/>
      <c r="AR1344" s="4" t="n"/>
      <c r="AS1344" s="4" t="n"/>
      <c r="AT1344" s="4" t="n"/>
      <c r="AU1344" s="4" t="n"/>
      <c r="AV1344" s="4" t="n"/>
      <c r="AW1344" s="4" t="n"/>
      <c r="AX1344" s="4" t="n"/>
      <c r="AY1344" s="4" t="n"/>
      <c r="AZ1344" s="4" t="n"/>
      <c r="BA1344" s="4" t="n"/>
      <c r="BB1344" s="4" t="n"/>
      <c r="BC1344" s="4" t="n"/>
      <c r="BD1344" s="4" t="n"/>
      <c r="BE1344" s="4" t="n"/>
      <c r="BF1344" s="4" t="n"/>
      <c r="BG1344" s="4" t="n"/>
      <c r="BH1344" s="4" t="n"/>
      <c r="BI1344" s="4" t="n"/>
      <c r="BJ1344" s="4" t="n"/>
      <c r="BK1344" s="4" t="n"/>
      <c r="BL1344" s="4" t="n"/>
      <c r="BM1344" s="4" t="n"/>
      <c r="BN1344" s="4" t="n"/>
      <c r="BO1344" s="4" t="n"/>
      <c r="BP1344" s="4" t="n"/>
      <c r="BQ1344" s="4" t="n"/>
      <c r="BR1344" s="4" t="n"/>
      <c r="BS1344" s="4" t="n"/>
      <c r="BT1344" s="4" t="n"/>
      <c r="BU1344" s="4" t="n"/>
      <c r="BV1344" s="4" t="n"/>
      <c r="BW1344" s="4" t="n"/>
      <c r="BX1344" s="4" t="n"/>
      <c r="BY1344" s="4" t="n"/>
      <c r="BZ1344" s="4" t="n"/>
      <c r="CA1344" s="4" t="n"/>
      <c r="CB1344" s="4" t="n"/>
      <c r="CC1344" s="4" t="n"/>
      <c r="CD1344" s="4" t="n"/>
      <c r="CE1344" s="4" t="n"/>
      <c r="CF1344" s="4" t="n"/>
      <c r="CG1344" s="4" t="n"/>
      <c r="CH1344" s="4" t="n"/>
      <c r="CI1344" s="4" t="n"/>
      <c r="CJ1344" s="4" t="n"/>
      <c r="CK1344" s="4" t="n"/>
      <c r="CL1344" s="4" t="n"/>
      <c r="CM1344" s="4" t="n"/>
      <c r="CN1344" s="4" t="n"/>
      <c r="CO1344" s="4" t="n"/>
      <c r="CP1344" s="4" t="n"/>
      <c r="CQ1344" s="4" t="n"/>
      <c r="CR1344" s="4" t="n"/>
      <c r="CS1344" s="4" t="n"/>
      <c r="CT1344" s="4" t="n"/>
      <c r="CU1344" s="4" t="n"/>
      <c r="CV1344" s="4" t="n"/>
      <c r="CW1344" s="4" t="n"/>
      <c r="CX1344" s="4" t="n"/>
      <c r="CY1344" s="4" t="n"/>
      <c r="CZ1344" s="4" t="n"/>
      <c r="DA1344" s="4" t="n"/>
      <c r="DB1344" s="4" t="n"/>
      <c r="DC1344" s="4" t="n"/>
      <c r="DD1344" s="4" t="n"/>
      <c r="DE1344" s="4" t="n"/>
      <c r="DF1344" s="4" t="n"/>
      <c r="DG1344" s="4" t="n"/>
      <c r="DH1344" s="4" t="n"/>
      <c r="DI1344" s="4" t="n"/>
      <c r="DJ1344" s="4" t="n"/>
      <c r="DK1344" s="4" t="n"/>
      <c r="DL1344" s="4" t="n"/>
      <c r="DM1344" s="4" t="n"/>
      <c r="DN1344" s="4" t="n"/>
      <c r="DO1344" s="4" t="n"/>
      <c r="DP1344" s="4" t="n"/>
      <c r="DQ1344" s="4" t="n"/>
      <c r="DR1344" s="4" t="n"/>
      <c r="DS1344" s="4" t="n"/>
      <c r="DT1344" s="4" t="n"/>
      <c r="DU1344" s="4" t="n"/>
      <c r="DV1344" s="4" t="n"/>
      <c r="DW1344" s="4" t="n"/>
      <c r="DX1344" s="4" t="n"/>
      <c r="DY1344" s="4" t="n"/>
      <c r="DZ1344" s="4" t="n"/>
      <c r="EA1344" s="4" t="n"/>
      <c r="EB1344" s="4" t="n"/>
      <c r="EC1344" s="4" t="n"/>
      <c r="ED1344" s="4" t="n"/>
      <c r="EE1344" s="4" t="n"/>
      <c r="EF1344" s="4" t="n"/>
      <c r="EG1344" s="4" t="n"/>
      <c r="EH1344" s="4" t="n"/>
      <c r="EI1344" s="4" t="n"/>
      <c r="EJ1344" s="4" t="n"/>
      <c r="EK1344" s="4" t="n"/>
      <c r="EL1344" s="4" t="n"/>
      <c r="EM1344" s="4" t="n"/>
      <c r="EN1344" s="4" t="n"/>
      <c r="EO1344" s="4" t="n"/>
      <c r="EP1344" s="4" t="n"/>
      <c r="EQ1344" s="4" t="n"/>
      <c r="ER1344" s="4" t="n"/>
      <c r="ES1344" s="4" t="n"/>
      <c r="ET1344" s="4" t="n"/>
      <c r="EU1344" s="4" t="n"/>
      <c r="EV1344" s="4" t="n"/>
      <c r="EW1344" s="4" t="n"/>
      <c r="EX1344" s="4" t="n"/>
      <c r="EY1344" s="4" t="n"/>
      <c r="EZ1344" s="4" t="n"/>
      <c r="FA1344" s="4" t="n"/>
      <c r="FB1344" s="4" t="n"/>
      <c r="FC1344" s="4" t="n"/>
    </row>
    <row r="1345" hidden="1" customFormat="1" s="6">
      <c r="C1345" s="4" t="n"/>
      <c r="D1345" s="4" t="n"/>
      <c r="E1345" s="4" t="n"/>
      <c r="F1345" s="4" t="n"/>
      <c r="G1345" s="4" t="n"/>
      <c r="H1345" s="4" t="n"/>
      <c r="I1345" s="4" t="n"/>
      <c r="J1345" s="4" t="n"/>
      <c r="K1345" s="4" t="n"/>
      <c r="L1345" s="4" t="n"/>
      <c r="M1345" s="4" t="n"/>
      <c r="N1345" s="4" t="n"/>
      <c r="O1345" s="4" t="n"/>
      <c r="P1345" s="4" t="n"/>
      <c r="Q1345" s="4" t="n"/>
      <c r="R1345" s="4" t="n"/>
      <c r="S1345" s="4" t="n"/>
      <c r="T1345" s="4" t="n"/>
      <c r="U1345" s="4" t="n"/>
      <c r="V1345" s="4" t="n"/>
      <c r="W1345" s="4" t="n"/>
      <c r="X1345" s="4" t="n"/>
      <c r="Y1345" s="4" t="n"/>
      <c r="Z1345" s="4" t="n"/>
      <c r="AA1345" s="4" t="n"/>
      <c r="AB1345" s="4" t="n"/>
      <c r="AC1345" s="4" t="n"/>
      <c r="AD1345" s="4" t="n"/>
      <c r="AE1345" s="4" t="n"/>
      <c r="AF1345" s="4" t="n"/>
      <c r="AG1345" s="4" t="n"/>
      <c r="AH1345" s="4" t="n"/>
      <c r="AI1345" s="4" t="n"/>
      <c r="AJ1345" s="4" t="n"/>
      <c r="AK1345" s="4" t="n"/>
      <c r="AL1345" s="4" t="n"/>
      <c r="AM1345" s="4" t="n"/>
      <c r="AN1345" s="4" t="n"/>
      <c r="AO1345" s="4" t="n"/>
      <c r="AP1345" s="4" t="n"/>
      <c r="AQ1345" s="4" t="n"/>
      <c r="AR1345" s="4" t="n"/>
      <c r="AS1345" s="4" t="n"/>
      <c r="AT1345" s="4" t="n"/>
      <c r="AU1345" s="4" t="n"/>
      <c r="AV1345" s="4" t="n"/>
      <c r="AW1345" s="4" t="n"/>
      <c r="AX1345" s="4" t="n"/>
      <c r="AY1345" s="4" t="n"/>
      <c r="AZ1345" s="4" t="n"/>
      <c r="BA1345" s="4" t="n"/>
      <c r="BB1345" s="4" t="n"/>
      <c r="BC1345" s="4" t="n"/>
      <c r="BD1345" s="4" t="n"/>
      <c r="BE1345" s="4" t="n"/>
      <c r="BF1345" s="4" t="n"/>
      <c r="BG1345" s="4" t="n"/>
      <c r="BH1345" s="4" t="n"/>
      <c r="BI1345" s="4" t="n"/>
      <c r="BJ1345" s="4" t="n"/>
      <c r="BK1345" s="4" t="n"/>
      <c r="BL1345" s="4" t="n"/>
      <c r="BM1345" s="4" t="n"/>
      <c r="BN1345" s="4" t="n"/>
      <c r="BO1345" s="4" t="n"/>
      <c r="BP1345" s="4" t="n"/>
      <c r="BQ1345" s="4" t="n"/>
      <c r="BR1345" s="4" t="n"/>
      <c r="BS1345" s="4" t="n"/>
      <c r="BT1345" s="4" t="n"/>
      <c r="BU1345" s="4" t="n"/>
      <c r="BV1345" s="4" t="n"/>
      <c r="BW1345" s="4" t="n"/>
      <c r="BX1345" s="4" t="n"/>
      <c r="BY1345" s="4" t="n"/>
      <c r="BZ1345" s="4" t="n"/>
      <c r="CA1345" s="4" t="n"/>
      <c r="CB1345" s="4" t="n"/>
      <c r="CC1345" s="4" t="n"/>
      <c r="CD1345" s="4" t="n"/>
      <c r="CE1345" s="4" t="n"/>
      <c r="CF1345" s="4" t="n"/>
      <c r="CG1345" s="4" t="n"/>
      <c r="CH1345" s="4" t="n"/>
      <c r="CI1345" s="4" t="n"/>
      <c r="CJ1345" s="4" t="n"/>
      <c r="CK1345" s="4" t="n"/>
      <c r="CL1345" s="4" t="n"/>
      <c r="CM1345" s="4" t="n"/>
      <c r="CN1345" s="4" t="n"/>
      <c r="CO1345" s="4" t="n"/>
      <c r="CP1345" s="4" t="n"/>
      <c r="CQ1345" s="4" t="n"/>
      <c r="CR1345" s="4" t="n"/>
      <c r="CS1345" s="4" t="n"/>
      <c r="CT1345" s="4" t="n"/>
      <c r="CU1345" s="4" t="n"/>
      <c r="CV1345" s="4" t="n"/>
      <c r="CW1345" s="4" t="n"/>
      <c r="CX1345" s="4" t="n"/>
      <c r="CY1345" s="4" t="n"/>
      <c r="CZ1345" s="4" t="n"/>
      <c r="DA1345" s="4" t="n"/>
      <c r="DB1345" s="4" t="n"/>
      <c r="DC1345" s="4" t="n"/>
      <c r="DD1345" s="4" t="n"/>
      <c r="DE1345" s="4" t="n"/>
      <c r="DF1345" s="4" t="n"/>
      <c r="DG1345" s="4" t="n"/>
      <c r="DH1345" s="4" t="n"/>
      <c r="DI1345" s="4" t="n"/>
      <c r="DJ1345" s="4" t="n"/>
      <c r="DK1345" s="4" t="n"/>
      <c r="DL1345" s="4" t="n"/>
      <c r="DM1345" s="4" t="n"/>
      <c r="DN1345" s="4" t="n"/>
      <c r="DO1345" s="4" t="n"/>
      <c r="DP1345" s="4" t="n"/>
      <c r="DQ1345" s="4" t="n"/>
      <c r="DR1345" s="4" t="n"/>
      <c r="DS1345" s="4" t="n"/>
      <c r="DT1345" s="4" t="n"/>
      <c r="DU1345" s="4" t="n"/>
      <c r="DV1345" s="4" t="n"/>
      <c r="DW1345" s="4" t="n"/>
      <c r="DX1345" s="4" t="n"/>
      <c r="DY1345" s="4" t="n"/>
      <c r="DZ1345" s="4" t="n"/>
      <c r="EA1345" s="4" t="n"/>
      <c r="EB1345" s="4" t="n"/>
      <c r="EC1345" s="4" t="n"/>
      <c r="ED1345" s="4" t="n"/>
      <c r="EE1345" s="4" t="n"/>
      <c r="EF1345" s="4" t="n"/>
      <c r="EG1345" s="4" t="n"/>
      <c r="EH1345" s="4" t="n"/>
      <c r="EI1345" s="4" t="n"/>
      <c r="EJ1345" s="4" t="n"/>
      <c r="EK1345" s="4" t="n"/>
      <c r="EL1345" s="4" t="n"/>
      <c r="EM1345" s="4" t="n"/>
      <c r="EN1345" s="4" t="n"/>
      <c r="EO1345" s="4" t="n"/>
      <c r="EP1345" s="4" t="n"/>
      <c r="EQ1345" s="4" t="n"/>
      <c r="ER1345" s="4" t="n"/>
      <c r="ES1345" s="4" t="n"/>
      <c r="ET1345" s="4" t="n"/>
      <c r="EU1345" s="4" t="n"/>
      <c r="EV1345" s="4" t="n"/>
      <c r="EW1345" s="4" t="n"/>
      <c r="EX1345" s="4" t="n"/>
      <c r="EY1345" s="4" t="n"/>
      <c r="EZ1345" s="4" t="n"/>
      <c r="FA1345" s="4" t="n"/>
      <c r="FB1345" s="4" t="n"/>
      <c r="FC1345" s="4" t="n"/>
    </row>
    <row r="1346" hidden="1" customFormat="1" s="6">
      <c r="C1346" s="4" t="n"/>
      <c r="D1346" s="4" t="n"/>
      <c r="E1346" s="4" t="n"/>
      <c r="F1346" s="4" t="n"/>
      <c r="G1346" s="4" t="n"/>
      <c r="H1346" s="4" t="n"/>
      <c r="I1346" s="4" t="n"/>
      <c r="J1346" s="4" t="n"/>
      <c r="K1346" s="4" t="n"/>
      <c r="L1346" s="4" t="n"/>
      <c r="M1346" s="4" t="n"/>
      <c r="N1346" s="4" t="n"/>
      <c r="O1346" s="4" t="n"/>
      <c r="P1346" s="4" t="n"/>
      <c r="Q1346" s="4" t="n"/>
      <c r="R1346" s="4" t="n"/>
      <c r="S1346" s="4" t="n"/>
      <c r="T1346" s="4" t="n"/>
      <c r="U1346" s="4" t="n"/>
      <c r="V1346" s="4" t="n"/>
      <c r="W1346" s="4" t="n"/>
      <c r="X1346" s="4" t="n"/>
      <c r="Y1346" s="4" t="n"/>
      <c r="Z1346" s="4" t="n"/>
      <c r="AA1346" s="4" t="n"/>
      <c r="AB1346" s="4" t="n"/>
      <c r="AC1346" s="4" t="n"/>
      <c r="AD1346" s="4" t="n"/>
      <c r="AE1346" s="4" t="n"/>
      <c r="AF1346" s="4" t="n"/>
      <c r="AG1346" s="4" t="n"/>
      <c r="AH1346" s="4" t="n"/>
      <c r="AI1346" s="4" t="n"/>
      <c r="AJ1346" s="4" t="n"/>
      <c r="AK1346" s="4" t="n"/>
      <c r="AL1346" s="4" t="n"/>
      <c r="AM1346" s="4" t="n"/>
      <c r="AN1346" s="4" t="n"/>
      <c r="AO1346" s="4" t="n"/>
      <c r="AP1346" s="4" t="n"/>
      <c r="AQ1346" s="4" t="n"/>
      <c r="AR1346" s="4" t="n"/>
      <c r="AS1346" s="4" t="n"/>
      <c r="AT1346" s="4" t="n"/>
      <c r="AU1346" s="4" t="n"/>
      <c r="AV1346" s="4" t="n"/>
      <c r="AW1346" s="4" t="n"/>
      <c r="AX1346" s="4" t="n"/>
      <c r="AY1346" s="4" t="n"/>
      <c r="AZ1346" s="4" t="n"/>
      <c r="BA1346" s="4" t="n"/>
      <c r="BB1346" s="4" t="n"/>
      <c r="BC1346" s="4" t="n"/>
      <c r="BD1346" s="4" t="n"/>
      <c r="BE1346" s="4" t="n"/>
      <c r="BF1346" s="4" t="n"/>
      <c r="BG1346" s="4" t="n"/>
      <c r="BH1346" s="4" t="n"/>
      <c r="BI1346" s="4" t="n"/>
      <c r="BJ1346" s="4" t="n"/>
      <c r="BK1346" s="4" t="n"/>
      <c r="BL1346" s="4" t="n"/>
      <c r="BM1346" s="4" t="n"/>
      <c r="BN1346" s="4" t="n"/>
      <c r="BO1346" s="4" t="n"/>
      <c r="BP1346" s="4" t="n"/>
      <c r="BQ1346" s="4" t="n"/>
      <c r="BR1346" s="4" t="n"/>
      <c r="BS1346" s="4" t="n"/>
      <c r="BT1346" s="4" t="n"/>
      <c r="BU1346" s="4" t="n"/>
      <c r="BV1346" s="4" t="n"/>
      <c r="BW1346" s="4" t="n"/>
      <c r="BX1346" s="4" t="n"/>
      <c r="BY1346" s="4" t="n"/>
      <c r="BZ1346" s="4" t="n"/>
      <c r="CA1346" s="4" t="n"/>
      <c r="CB1346" s="4" t="n"/>
      <c r="CC1346" s="4" t="n"/>
      <c r="CD1346" s="4" t="n"/>
      <c r="CE1346" s="4" t="n"/>
      <c r="CF1346" s="4" t="n"/>
      <c r="CG1346" s="4" t="n"/>
      <c r="CH1346" s="4" t="n"/>
      <c r="CI1346" s="4" t="n"/>
      <c r="CJ1346" s="4" t="n"/>
      <c r="CK1346" s="4" t="n"/>
      <c r="CL1346" s="4" t="n"/>
      <c r="CM1346" s="4" t="n"/>
      <c r="CN1346" s="4" t="n"/>
      <c r="CO1346" s="4" t="n"/>
      <c r="CP1346" s="4" t="n"/>
      <c r="CQ1346" s="4" t="n"/>
      <c r="CR1346" s="4" t="n"/>
      <c r="CS1346" s="4" t="n"/>
      <c r="CT1346" s="4" t="n"/>
      <c r="CU1346" s="4" t="n"/>
      <c r="CV1346" s="4" t="n"/>
      <c r="CW1346" s="4" t="n"/>
      <c r="CX1346" s="4" t="n"/>
      <c r="CY1346" s="4" t="n"/>
      <c r="CZ1346" s="4" t="n"/>
      <c r="DA1346" s="4" t="n"/>
      <c r="DB1346" s="4" t="n"/>
      <c r="DC1346" s="4" t="n"/>
      <c r="DD1346" s="4" t="n"/>
      <c r="DE1346" s="4" t="n"/>
      <c r="DF1346" s="4" t="n"/>
      <c r="DG1346" s="4" t="n"/>
      <c r="DH1346" s="4" t="n"/>
      <c r="DI1346" s="4" t="n"/>
      <c r="DJ1346" s="4" t="n"/>
      <c r="DK1346" s="4" t="n"/>
      <c r="DL1346" s="4" t="n"/>
      <c r="DM1346" s="4" t="n"/>
      <c r="DN1346" s="4" t="n"/>
      <c r="DO1346" s="4" t="n"/>
      <c r="DP1346" s="4" t="n"/>
      <c r="DQ1346" s="4" t="n"/>
      <c r="DR1346" s="4" t="n"/>
      <c r="DS1346" s="4" t="n"/>
      <c r="DT1346" s="4" t="n"/>
      <c r="DU1346" s="4" t="n"/>
      <c r="DV1346" s="4" t="n"/>
      <c r="DW1346" s="4" t="n"/>
      <c r="DX1346" s="4" t="n"/>
      <c r="DY1346" s="4" t="n"/>
      <c r="DZ1346" s="4" t="n"/>
      <c r="EA1346" s="4" t="n"/>
      <c r="EB1346" s="4" t="n"/>
      <c r="EC1346" s="4" t="n"/>
      <c r="ED1346" s="4" t="n"/>
      <c r="EE1346" s="4" t="n"/>
      <c r="EF1346" s="4" t="n"/>
      <c r="EG1346" s="4" t="n"/>
      <c r="EH1346" s="4" t="n"/>
      <c r="EI1346" s="4" t="n"/>
      <c r="EJ1346" s="4" t="n"/>
      <c r="EK1346" s="4" t="n"/>
      <c r="EL1346" s="4" t="n"/>
      <c r="EM1346" s="4" t="n"/>
      <c r="EN1346" s="4" t="n"/>
      <c r="EO1346" s="4" t="n"/>
      <c r="EP1346" s="4" t="n"/>
      <c r="EQ1346" s="4" t="n"/>
      <c r="ER1346" s="4" t="n"/>
      <c r="ES1346" s="4" t="n"/>
      <c r="ET1346" s="4" t="n"/>
      <c r="EU1346" s="4" t="n"/>
      <c r="EV1346" s="4" t="n"/>
      <c r="EW1346" s="4" t="n"/>
      <c r="EX1346" s="4" t="n"/>
      <c r="EY1346" s="4" t="n"/>
      <c r="EZ1346" s="4" t="n"/>
      <c r="FA1346" s="4" t="n"/>
      <c r="FB1346" s="4" t="n"/>
      <c r="FC1346" s="4" t="n"/>
    </row>
    <row r="1347" hidden="1" customFormat="1" s="6">
      <c r="C1347" s="4" t="n"/>
      <c r="D1347" s="4" t="n"/>
      <c r="E1347" s="4" t="n"/>
      <c r="F1347" s="4" t="n"/>
      <c r="G1347" s="4" t="n"/>
      <c r="H1347" s="4" t="n"/>
      <c r="I1347" s="4" t="n"/>
      <c r="J1347" s="4" t="n"/>
      <c r="K1347" s="4" t="n"/>
      <c r="L1347" s="4" t="n"/>
      <c r="M1347" s="4" t="n"/>
      <c r="N1347" s="4" t="n"/>
      <c r="O1347" s="4" t="n"/>
      <c r="P1347" s="4" t="n"/>
      <c r="Q1347" s="4" t="n"/>
      <c r="R1347" s="4" t="n"/>
      <c r="S1347" s="4" t="n"/>
      <c r="T1347" s="4" t="n"/>
      <c r="U1347" s="4" t="n"/>
      <c r="V1347" s="4" t="n"/>
      <c r="W1347" s="4" t="n"/>
      <c r="X1347" s="4" t="n"/>
      <c r="Y1347" s="4" t="n"/>
      <c r="Z1347" s="4" t="n"/>
      <c r="AA1347" s="4" t="n"/>
      <c r="AB1347" s="4" t="n"/>
      <c r="AC1347" s="4" t="n"/>
      <c r="AD1347" s="4" t="n"/>
      <c r="AE1347" s="4" t="n"/>
      <c r="AF1347" s="4" t="n"/>
      <c r="AG1347" s="4" t="n"/>
      <c r="AH1347" s="4" t="n"/>
      <c r="AI1347" s="4" t="n"/>
      <c r="AJ1347" s="4" t="n"/>
      <c r="AK1347" s="4" t="n"/>
      <c r="AL1347" s="4" t="n"/>
      <c r="AM1347" s="4" t="n"/>
      <c r="AN1347" s="4" t="n"/>
      <c r="AO1347" s="4" t="n"/>
      <c r="AP1347" s="4" t="n"/>
      <c r="AQ1347" s="4" t="n"/>
      <c r="AR1347" s="4" t="n"/>
      <c r="AS1347" s="4" t="n"/>
      <c r="AT1347" s="4" t="n"/>
      <c r="AU1347" s="4" t="n"/>
      <c r="AV1347" s="4" t="n"/>
      <c r="AW1347" s="4" t="n"/>
      <c r="AX1347" s="4" t="n"/>
      <c r="AY1347" s="4" t="n"/>
      <c r="AZ1347" s="4" t="n"/>
      <c r="BA1347" s="4" t="n"/>
      <c r="BB1347" s="4" t="n"/>
      <c r="BC1347" s="4" t="n"/>
      <c r="BD1347" s="4" t="n"/>
      <c r="BE1347" s="4" t="n"/>
      <c r="BF1347" s="4" t="n"/>
      <c r="BG1347" s="4" t="n"/>
      <c r="BH1347" s="4" t="n"/>
      <c r="BI1347" s="4" t="n"/>
      <c r="BJ1347" s="4" t="n"/>
      <c r="BK1347" s="4" t="n"/>
      <c r="BL1347" s="4" t="n"/>
      <c r="BM1347" s="4" t="n"/>
      <c r="BN1347" s="4" t="n"/>
      <c r="BO1347" s="4" t="n"/>
      <c r="BP1347" s="4" t="n"/>
      <c r="BQ1347" s="4" t="n"/>
      <c r="BR1347" s="4" t="n"/>
      <c r="BS1347" s="4" t="n"/>
      <c r="BT1347" s="4" t="n"/>
      <c r="BU1347" s="4" t="n"/>
      <c r="BV1347" s="4" t="n"/>
      <c r="BW1347" s="4" t="n"/>
      <c r="BX1347" s="4" t="n"/>
      <c r="BY1347" s="4" t="n"/>
      <c r="BZ1347" s="4" t="n"/>
      <c r="CA1347" s="4" t="n"/>
      <c r="CB1347" s="4" t="n"/>
      <c r="CC1347" s="4" t="n"/>
      <c r="CD1347" s="4" t="n"/>
      <c r="CE1347" s="4" t="n"/>
      <c r="CF1347" s="4" t="n"/>
      <c r="CG1347" s="4" t="n"/>
      <c r="CH1347" s="4" t="n"/>
      <c r="CI1347" s="4" t="n"/>
      <c r="CJ1347" s="4" t="n"/>
      <c r="CK1347" s="4" t="n"/>
      <c r="CL1347" s="4" t="n"/>
      <c r="CM1347" s="4" t="n"/>
      <c r="CN1347" s="4" t="n"/>
      <c r="CO1347" s="4" t="n"/>
      <c r="CP1347" s="4" t="n"/>
      <c r="CQ1347" s="4" t="n"/>
      <c r="CR1347" s="4" t="n"/>
      <c r="CS1347" s="4" t="n"/>
      <c r="CT1347" s="4" t="n"/>
      <c r="CU1347" s="4" t="n"/>
      <c r="CV1347" s="4" t="n"/>
      <c r="CW1347" s="4" t="n"/>
      <c r="CX1347" s="4" t="n"/>
      <c r="CY1347" s="4" t="n"/>
      <c r="CZ1347" s="4" t="n"/>
      <c r="DA1347" s="4" t="n"/>
      <c r="DB1347" s="4" t="n"/>
      <c r="DC1347" s="4" t="n"/>
      <c r="DD1347" s="4" t="n"/>
      <c r="DE1347" s="4" t="n"/>
      <c r="DF1347" s="4" t="n"/>
      <c r="DG1347" s="4" t="n"/>
      <c r="DH1347" s="4" t="n"/>
      <c r="DI1347" s="4" t="n"/>
      <c r="DJ1347" s="4" t="n"/>
      <c r="DK1347" s="4" t="n"/>
      <c r="DL1347" s="4" t="n"/>
      <c r="DM1347" s="4" t="n"/>
      <c r="DN1347" s="4" t="n"/>
      <c r="DO1347" s="4" t="n"/>
      <c r="DP1347" s="4" t="n"/>
      <c r="DQ1347" s="4" t="n"/>
      <c r="DR1347" s="4" t="n"/>
      <c r="DS1347" s="4" t="n"/>
      <c r="DT1347" s="4" t="n"/>
      <c r="DU1347" s="4" t="n"/>
      <c r="DV1347" s="4" t="n"/>
      <c r="DW1347" s="4" t="n"/>
      <c r="DX1347" s="4" t="n"/>
      <c r="DY1347" s="4" t="n"/>
      <c r="DZ1347" s="4" t="n"/>
      <c r="EA1347" s="4" t="n"/>
      <c r="EB1347" s="4" t="n"/>
      <c r="EC1347" s="4" t="n"/>
      <c r="ED1347" s="4" t="n"/>
      <c r="EE1347" s="4" t="n"/>
      <c r="EF1347" s="4" t="n"/>
      <c r="EG1347" s="4" t="n"/>
      <c r="EH1347" s="4" t="n"/>
      <c r="EI1347" s="4" t="n"/>
      <c r="EJ1347" s="4" t="n"/>
      <c r="EK1347" s="4" t="n"/>
      <c r="EL1347" s="4" t="n"/>
      <c r="EM1347" s="4" t="n"/>
      <c r="EN1347" s="4" t="n"/>
      <c r="EO1347" s="4" t="n"/>
      <c r="EP1347" s="4" t="n"/>
      <c r="EQ1347" s="4" t="n"/>
      <c r="ER1347" s="4" t="n"/>
      <c r="ES1347" s="4" t="n"/>
      <c r="ET1347" s="4" t="n"/>
      <c r="EU1347" s="4" t="n"/>
      <c r="EV1347" s="4" t="n"/>
      <c r="EW1347" s="4" t="n"/>
      <c r="EX1347" s="4" t="n"/>
      <c r="EY1347" s="4" t="n"/>
      <c r="EZ1347" s="4" t="n"/>
      <c r="FA1347" s="4" t="n"/>
      <c r="FB1347" s="4" t="n"/>
      <c r="FC1347" s="4" t="n"/>
    </row>
    <row r="1348" hidden="1" customFormat="1" s="6">
      <c r="C1348" s="4" t="n"/>
      <c r="D1348" s="4" t="n"/>
      <c r="E1348" s="4" t="n"/>
      <c r="F1348" s="4" t="n"/>
      <c r="G1348" s="4" t="n"/>
      <c r="H1348" s="4" t="n"/>
      <c r="I1348" s="4" t="n"/>
      <c r="J1348" s="4" t="n"/>
      <c r="K1348" s="4" t="n"/>
      <c r="L1348" s="4" t="n"/>
      <c r="M1348" s="4" t="n"/>
      <c r="N1348" s="4" t="n"/>
      <c r="O1348" s="4" t="n"/>
      <c r="P1348" s="4" t="n"/>
      <c r="Q1348" s="4" t="n"/>
      <c r="R1348" s="4" t="n"/>
      <c r="S1348" s="4" t="n"/>
      <c r="T1348" s="4" t="n"/>
      <c r="U1348" s="4" t="n"/>
      <c r="V1348" s="4" t="n"/>
      <c r="W1348" s="4" t="n"/>
      <c r="X1348" s="4" t="n"/>
      <c r="Y1348" s="4" t="n"/>
      <c r="Z1348" s="4" t="n"/>
      <c r="AA1348" s="4" t="n"/>
      <c r="AB1348" s="4" t="n"/>
      <c r="AC1348" s="4" t="n"/>
      <c r="AD1348" s="4" t="n"/>
      <c r="AE1348" s="4" t="n"/>
      <c r="AF1348" s="4" t="n"/>
      <c r="AG1348" s="4" t="n"/>
      <c r="AH1348" s="4" t="n"/>
      <c r="AI1348" s="4" t="n"/>
      <c r="AJ1348" s="4" t="n"/>
      <c r="AK1348" s="4" t="n"/>
      <c r="AL1348" s="4" t="n"/>
      <c r="AM1348" s="4" t="n"/>
      <c r="AN1348" s="4" t="n"/>
      <c r="AO1348" s="4" t="n"/>
      <c r="AP1348" s="4" t="n"/>
      <c r="AQ1348" s="4" t="n"/>
      <c r="AR1348" s="4" t="n"/>
      <c r="AS1348" s="4" t="n"/>
      <c r="AT1348" s="4" t="n"/>
      <c r="AU1348" s="4" t="n"/>
      <c r="AV1348" s="4" t="n"/>
      <c r="AW1348" s="4" t="n"/>
      <c r="AX1348" s="4" t="n"/>
      <c r="AY1348" s="4" t="n"/>
      <c r="AZ1348" s="4" t="n"/>
      <c r="BA1348" s="4" t="n"/>
      <c r="BB1348" s="4" t="n"/>
      <c r="BC1348" s="4" t="n"/>
      <c r="BD1348" s="4" t="n"/>
      <c r="BE1348" s="4" t="n"/>
      <c r="BF1348" s="4" t="n"/>
      <c r="BG1348" s="4" t="n"/>
      <c r="BH1348" s="4" t="n"/>
      <c r="BI1348" s="4" t="n"/>
      <c r="BJ1348" s="4" t="n"/>
      <c r="BK1348" s="4" t="n"/>
      <c r="BL1348" s="4" t="n"/>
      <c r="BM1348" s="4" t="n"/>
      <c r="BN1348" s="4" t="n"/>
      <c r="BO1348" s="4" t="n"/>
      <c r="BP1348" s="4" t="n"/>
      <c r="BQ1348" s="4" t="n"/>
      <c r="BR1348" s="4" t="n"/>
      <c r="BS1348" s="4" t="n"/>
      <c r="BT1348" s="4" t="n"/>
      <c r="BU1348" s="4" t="n"/>
      <c r="BV1348" s="4" t="n"/>
      <c r="BW1348" s="4" t="n"/>
      <c r="BX1348" s="4" t="n"/>
      <c r="BY1348" s="4" t="n"/>
      <c r="BZ1348" s="4" t="n"/>
      <c r="CA1348" s="4" t="n"/>
      <c r="CB1348" s="4" t="n"/>
      <c r="CC1348" s="4" t="n"/>
      <c r="CD1348" s="4" t="n"/>
      <c r="CE1348" s="4" t="n"/>
      <c r="CF1348" s="4" t="n"/>
      <c r="CG1348" s="4" t="n"/>
      <c r="CH1348" s="4" t="n"/>
      <c r="CI1348" s="4" t="n"/>
      <c r="CJ1348" s="4" t="n"/>
      <c r="CK1348" s="4" t="n"/>
      <c r="CL1348" s="4" t="n"/>
      <c r="CM1348" s="4" t="n"/>
      <c r="CN1348" s="4" t="n"/>
      <c r="CO1348" s="4" t="n"/>
      <c r="CP1348" s="4" t="n"/>
      <c r="CQ1348" s="4" t="n"/>
      <c r="CR1348" s="4" t="n"/>
      <c r="CS1348" s="4" t="n"/>
      <c r="CT1348" s="4" t="n"/>
      <c r="CU1348" s="4" t="n"/>
      <c r="CV1348" s="4" t="n"/>
      <c r="CW1348" s="4" t="n"/>
      <c r="CX1348" s="4" t="n"/>
      <c r="CY1348" s="4" t="n"/>
      <c r="CZ1348" s="4" t="n"/>
      <c r="DA1348" s="4" t="n"/>
      <c r="DB1348" s="4" t="n"/>
      <c r="DC1348" s="4" t="n"/>
      <c r="DD1348" s="4" t="n"/>
      <c r="DE1348" s="4" t="n"/>
      <c r="DF1348" s="4" t="n"/>
      <c r="DG1348" s="4" t="n"/>
      <c r="DH1348" s="4" t="n"/>
      <c r="DI1348" s="4" t="n"/>
      <c r="DJ1348" s="4" t="n"/>
      <c r="DK1348" s="4" t="n"/>
      <c r="DL1348" s="4" t="n"/>
      <c r="DM1348" s="4" t="n"/>
      <c r="DN1348" s="4" t="n"/>
      <c r="DO1348" s="4" t="n"/>
      <c r="DP1348" s="4" t="n"/>
      <c r="DQ1348" s="4" t="n"/>
      <c r="DR1348" s="4" t="n"/>
      <c r="DS1348" s="4" t="n"/>
      <c r="DT1348" s="4" t="n"/>
      <c r="DU1348" s="4" t="n"/>
      <c r="DV1348" s="4" t="n"/>
      <c r="DW1348" s="4" t="n"/>
      <c r="DX1348" s="4" t="n"/>
      <c r="DY1348" s="4" t="n"/>
      <c r="DZ1348" s="4" t="n"/>
      <c r="EA1348" s="4" t="n"/>
      <c r="EB1348" s="4" t="n"/>
      <c r="EC1348" s="4" t="n"/>
      <c r="ED1348" s="4" t="n"/>
      <c r="EE1348" s="4" t="n"/>
      <c r="EF1348" s="4" t="n"/>
      <c r="EG1348" s="4" t="n"/>
      <c r="EH1348" s="4" t="n"/>
      <c r="EI1348" s="4" t="n"/>
      <c r="EJ1348" s="4" t="n"/>
      <c r="EK1348" s="4" t="n"/>
      <c r="EL1348" s="4" t="n"/>
      <c r="EM1348" s="4" t="n"/>
      <c r="EN1348" s="4" t="n"/>
      <c r="EO1348" s="4" t="n"/>
      <c r="EP1348" s="4" t="n"/>
      <c r="EQ1348" s="4" t="n"/>
      <c r="ER1348" s="4" t="n"/>
      <c r="ES1348" s="4" t="n"/>
      <c r="ET1348" s="4" t="n"/>
      <c r="EU1348" s="4" t="n"/>
      <c r="EV1348" s="4" t="n"/>
      <c r="EW1348" s="4" t="n"/>
      <c r="EX1348" s="4" t="n"/>
      <c r="EY1348" s="4" t="n"/>
      <c r="EZ1348" s="4" t="n"/>
      <c r="FA1348" s="4" t="n"/>
      <c r="FB1348" s="4" t="n"/>
      <c r="FC1348" s="4" t="n"/>
    </row>
    <row r="1349" hidden="1" customFormat="1" s="6">
      <c r="C1349" s="4" t="n"/>
      <c r="D1349" s="4" t="n"/>
      <c r="E1349" s="4" t="n"/>
      <c r="F1349" s="4" t="n"/>
      <c r="G1349" s="4" t="n"/>
      <c r="H1349" s="4" t="n"/>
      <c r="I1349" s="4" t="n"/>
      <c r="J1349" s="4" t="n"/>
      <c r="K1349" s="4" t="n"/>
      <c r="L1349" s="4" t="n"/>
      <c r="M1349" s="4" t="n"/>
      <c r="N1349" s="4" t="n"/>
      <c r="O1349" s="4" t="n"/>
      <c r="P1349" s="4" t="n"/>
      <c r="Q1349" s="4" t="n"/>
      <c r="R1349" s="4" t="n"/>
      <c r="S1349" s="4" t="n"/>
      <c r="T1349" s="4" t="n"/>
      <c r="U1349" s="4" t="n"/>
      <c r="V1349" s="4" t="n"/>
      <c r="W1349" s="4" t="n"/>
      <c r="X1349" s="4" t="n"/>
      <c r="Y1349" s="4" t="n"/>
      <c r="Z1349" s="4" t="n"/>
      <c r="AA1349" s="4" t="n"/>
      <c r="AB1349" s="4" t="n"/>
      <c r="AC1349" s="4" t="n"/>
      <c r="AD1349" s="4" t="n"/>
      <c r="AE1349" s="4" t="n"/>
      <c r="AF1349" s="4" t="n"/>
      <c r="AG1349" s="4" t="n"/>
      <c r="AH1349" s="4" t="n"/>
      <c r="AI1349" s="4" t="n"/>
      <c r="AJ1349" s="4" t="n"/>
      <c r="AK1349" s="4" t="n"/>
      <c r="AL1349" s="4" t="n"/>
      <c r="AM1349" s="4" t="n"/>
      <c r="AN1349" s="4" t="n"/>
      <c r="AO1349" s="4" t="n"/>
      <c r="AP1349" s="4" t="n"/>
      <c r="AQ1349" s="4" t="n"/>
      <c r="AR1349" s="4" t="n"/>
      <c r="AS1349" s="4" t="n"/>
      <c r="AT1349" s="4" t="n"/>
      <c r="AU1349" s="4" t="n"/>
      <c r="AV1349" s="4" t="n"/>
      <c r="AW1349" s="4" t="n"/>
      <c r="AX1349" s="4" t="n"/>
      <c r="AY1349" s="4" t="n"/>
      <c r="AZ1349" s="4" t="n"/>
      <c r="BA1349" s="4" t="n"/>
      <c r="BB1349" s="4" t="n"/>
      <c r="BC1349" s="4" t="n"/>
      <c r="BD1349" s="4" t="n"/>
      <c r="BE1349" s="4" t="n"/>
      <c r="BF1349" s="4" t="n"/>
      <c r="BG1349" s="4" t="n"/>
      <c r="BH1349" s="4" t="n"/>
      <c r="BI1349" s="4" t="n"/>
      <c r="BJ1349" s="4" t="n"/>
      <c r="BK1349" s="4" t="n"/>
      <c r="BL1349" s="4" t="n"/>
      <c r="BM1349" s="4" t="n"/>
      <c r="BN1349" s="4" t="n"/>
      <c r="BO1349" s="4" t="n"/>
      <c r="BP1349" s="4" t="n"/>
      <c r="BQ1349" s="4" t="n"/>
      <c r="BR1349" s="4" t="n"/>
      <c r="BS1349" s="4" t="n"/>
      <c r="BT1349" s="4" t="n"/>
      <c r="BU1349" s="4" t="n"/>
      <c r="BV1349" s="4" t="n"/>
      <c r="BW1349" s="4" t="n"/>
      <c r="BX1349" s="4" t="n"/>
      <c r="BY1349" s="4" t="n"/>
      <c r="BZ1349" s="4" t="n"/>
      <c r="CA1349" s="4" t="n"/>
      <c r="CB1349" s="4" t="n"/>
      <c r="CC1349" s="4" t="n"/>
      <c r="CD1349" s="4" t="n"/>
      <c r="CE1349" s="4" t="n"/>
      <c r="CF1349" s="4" t="n"/>
      <c r="CG1349" s="4" t="n"/>
      <c r="CH1349" s="4" t="n"/>
      <c r="CI1349" s="4" t="n"/>
      <c r="CJ1349" s="4" t="n"/>
      <c r="CK1349" s="4" t="n"/>
      <c r="CL1349" s="4" t="n"/>
      <c r="CM1349" s="4" t="n"/>
      <c r="CN1349" s="4" t="n"/>
      <c r="CO1349" s="4" t="n"/>
      <c r="CP1349" s="4" t="n"/>
      <c r="CQ1349" s="4" t="n"/>
      <c r="CR1349" s="4" t="n"/>
      <c r="CS1349" s="4" t="n"/>
      <c r="CT1349" s="4" t="n"/>
      <c r="CU1349" s="4" t="n"/>
      <c r="CV1349" s="4" t="n"/>
      <c r="CW1349" s="4" t="n"/>
      <c r="CX1349" s="4" t="n"/>
      <c r="CY1349" s="4" t="n"/>
      <c r="CZ1349" s="4" t="n"/>
      <c r="DA1349" s="4" t="n"/>
      <c r="DB1349" s="4" t="n"/>
      <c r="DC1349" s="4" t="n"/>
      <c r="DD1349" s="4" t="n"/>
      <c r="DE1349" s="4" t="n"/>
      <c r="DF1349" s="4" t="n"/>
      <c r="DG1349" s="4" t="n"/>
      <c r="DH1349" s="4" t="n"/>
      <c r="DI1349" s="4" t="n"/>
      <c r="DJ1349" s="4" t="n"/>
      <c r="DK1349" s="4" t="n"/>
      <c r="DL1349" s="4" t="n"/>
      <c r="DM1349" s="4" t="n"/>
      <c r="DN1349" s="4" t="n"/>
      <c r="DO1349" s="4" t="n"/>
      <c r="DP1349" s="4" t="n"/>
      <c r="DQ1349" s="4" t="n"/>
      <c r="DR1349" s="4" t="n"/>
      <c r="DS1349" s="4" t="n"/>
      <c r="DT1349" s="4" t="n"/>
      <c r="DU1349" s="4" t="n"/>
      <c r="DV1349" s="4" t="n"/>
      <c r="DW1349" s="4" t="n"/>
      <c r="DX1349" s="4" t="n"/>
      <c r="DY1349" s="4" t="n"/>
      <c r="DZ1349" s="4" t="n"/>
      <c r="EA1349" s="4" t="n"/>
      <c r="EB1349" s="4" t="n"/>
      <c r="EC1349" s="4" t="n"/>
      <c r="ED1349" s="4" t="n"/>
      <c r="EE1349" s="4" t="n"/>
      <c r="EF1349" s="4" t="n"/>
      <c r="EG1349" s="4" t="n"/>
      <c r="EH1349" s="4" t="n"/>
      <c r="EI1349" s="4" t="n"/>
      <c r="EJ1349" s="4" t="n"/>
      <c r="EK1349" s="4" t="n"/>
      <c r="EL1349" s="4" t="n"/>
      <c r="EM1349" s="4" t="n"/>
      <c r="EN1349" s="4" t="n"/>
      <c r="EO1349" s="4" t="n"/>
      <c r="EP1349" s="4" t="n"/>
      <c r="EQ1349" s="4" t="n"/>
      <c r="ER1349" s="4" t="n"/>
      <c r="ES1349" s="4" t="n"/>
      <c r="ET1349" s="4" t="n"/>
      <c r="EU1349" s="4" t="n"/>
      <c r="EV1349" s="4" t="n"/>
      <c r="EW1349" s="4" t="n"/>
      <c r="EX1349" s="4" t="n"/>
      <c r="EY1349" s="4" t="n"/>
      <c r="EZ1349" s="4" t="n"/>
      <c r="FA1349" s="4" t="n"/>
      <c r="FB1349" s="4" t="n"/>
      <c r="FC1349" s="4" t="n"/>
    </row>
    <row r="1350" hidden="1" customFormat="1" s="6">
      <c r="C1350" s="4" t="n"/>
      <c r="D1350" s="4" t="n"/>
      <c r="E1350" s="4" t="n"/>
      <c r="F1350" s="4" t="n"/>
      <c r="G1350" s="4" t="n"/>
      <c r="H1350" s="4" t="n"/>
      <c r="I1350" s="4" t="n"/>
      <c r="J1350" s="4" t="n"/>
      <c r="K1350" s="4" t="n"/>
      <c r="L1350" s="4" t="n"/>
      <c r="M1350" s="4" t="n"/>
      <c r="N1350" s="4" t="n"/>
      <c r="O1350" s="4" t="n"/>
      <c r="P1350" s="4" t="n"/>
      <c r="Q1350" s="4" t="n"/>
      <c r="R1350" s="4" t="n"/>
      <c r="S1350" s="4" t="n"/>
      <c r="T1350" s="4" t="n"/>
      <c r="U1350" s="4" t="n"/>
      <c r="V1350" s="4" t="n"/>
      <c r="W1350" s="4" t="n"/>
      <c r="X1350" s="4" t="n"/>
      <c r="Y1350" s="4" t="n"/>
      <c r="Z1350" s="4" t="n"/>
      <c r="AA1350" s="4" t="n"/>
      <c r="AB1350" s="4" t="n"/>
      <c r="AC1350" s="4" t="n"/>
      <c r="AD1350" s="4" t="n"/>
      <c r="AE1350" s="4" t="n"/>
      <c r="AF1350" s="4" t="n"/>
      <c r="AG1350" s="4" t="n"/>
      <c r="AH1350" s="4" t="n"/>
      <c r="AI1350" s="4" t="n"/>
      <c r="AJ1350" s="4" t="n"/>
      <c r="AK1350" s="4" t="n"/>
      <c r="AL1350" s="4" t="n"/>
      <c r="AM1350" s="4" t="n"/>
      <c r="AN1350" s="4" t="n"/>
      <c r="AO1350" s="4" t="n"/>
      <c r="AP1350" s="4" t="n"/>
      <c r="AQ1350" s="4" t="n"/>
      <c r="AR1350" s="4" t="n"/>
      <c r="AS1350" s="4" t="n"/>
      <c r="AT1350" s="4" t="n"/>
      <c r="AU1350" s="4" t="n"/>
      <c r="AV1350" s="4" t="n"/>
      <c r="AW1350" s="4" t="n"/>
      <c r="AX1350" s="4" t="n"/>
      <c r="AY1350" s="4" t="n"/>
      <c r="AZ1350" s="4" t="n"/>
      <c r="BA1350" s="4" t="n"/>
      <c r="BB1350" s="4" t="n"/>
      <c r="BC1350" s="4" t="n"/>
      <c r="BD1350" s="4" t="n"/>
      <c r="BE1350" s="4" t="n"/>
      <c r="BF1350" s="4" t="n"/>
      <c r="BG1350" s="4" t="n"/>
      <c r="BH1350" s="4" t="n"/>
      <c r="BI1350" s="4" t="n"/>
      <c r="BJ1350" s="4" t="n"/>
      <c r="BK1350" s="4" t="n"/>
      <c r="BL1350" s="4" t="n"/>
      <c r="BM1350" s="4" t="n"/>
      <c r="BN1350" s="4" t="n"/>
      <c r="BO1350" s="4" t="n"/>
      <c r="BP1350" s="4" t="n"/>
      <c r="BQ1350" s="4" t="n"/>
      <c r="BR1350" s="4" t="n"/>
      <c r="BS1350" s="4" t="n"/>
      <c r="BT1350" s="4" t="n"/>
      <c r="BU1350" s="4" t="n"/>
      <c r="BV1350" s="4" t="n"/>
      <c r="BW1350" s="4" t="n"/>
      <c r="BX1350" s="4" t="n"/>
      <c r="BY1350" s="4" t="n"/>
      <c r="BZ1350" s="4" t="n"/>
      <c r="CA1350" s="4" t="n"/>
      <c r="CB1350" s="4" t="n"/>
      <c r="CC1350" s="4" t="n"/>
      <c r="CD1350" s="4" t="n"/>
      <c r="CE1350" s="4" t="n"/>
      <c r="CF1350" s="4" t="n"/>
      <c r="CG1350" s="4" t="n"/>
      <c r="CH1350" s="4" t="n"/>
      <c r="CI1350" s="4" t="n"/>
      <c r="CJ1350" s="4" t="n"/>
      <c r="CK1350" s="4" t="n"/>
      <c r="CL1350" s="4" t="n"/>
      <c r="CM1350" s="4" t="n"/>
      <c r="CN1350" s="4" t="n"/>
      <c r="CO1350" s="4" t="n"/>
      <c r="CP1350" s="4" t="n"/>
      <c r="CQ1350" s="4" t="n"/>
      <c r="CR1350" s="4" t="n"/>
      <c r="CS1350" s="4" t="n"/>
      <c r="CT1350" s="4" t="n"/>
      <c r="CU1350" s="4" t="n"/>
      <c r="CV1350" s="4" t="n"/>
      <c r="CW1350" s="4" t="n"/>
      <c r="CX1350" s="4" t="n"/>
      <c r="CY1350" s="4" t="n"/>
      <c r="CZ1350" s="4" t="n"/>
      <c r="DA1350" s="4" t="n"/>
      <c r="DB1350" s="4" t="n"/>
      <c r="DC1350" s="4" t="n"/>
      <c r="DD1350" s="4" t="n"/>
      <c r="DE1350" s="4" t="n"/>
      <c r="DF1350" s="4" t="n"/>
      <c r="DG1350" s="4" t="n"/>
      <c r="DH1350" s="4" t="n"/>
      <c r="DI1350" s="4" t="n"/>
      <c r="DJ1350" s="4" t="n"/>
      <c r="DK1350" s="4" t="n"/>
      <c r="DL1350" s="4" t="n"/>
      <c r="DM1350" s="4" t="n"/>
      <c r="DN1350" s="4" t="n"/>
      <c r="DO1350" s="4" t="n"/>
      <c r="DP1350" s="4" t="n"/>
      <c r="DQ1350" s="4" t="n"/>
      <c r="DR1350" s="4" t="n"/>
      <c r="DS1350" s="4" t="n"/>
      <c r="DT1350" s="4" t="n"/>
      <c r="DU1350" s="4" t="n"/>
      <c r="DV1350" s="4" t="n"/>
      <c r="DW1350" s="4" t="n"/>
      <c r="DX1350" s="4" t="n"/>
      <c r="DY1350" s="4" t="n"/>
      <c r="DZ1350" s="4" t="n"/>
      <c r="EA1350" s="4" t="n"/>
      <c r="EB1350" s="4" t="n"/>
      <c r="EC1350" s="4" t="n"/>
      <c r="ED1350" s="4" t="n"/>
      <c r="EE1350" s="4" t="n"/>
      <c r="EF1350" s="4" t="n"/>
      <c r="EG1350" s="4" t="n"/>
      <c r="EH1350" s="4" t="n"/>
      <c r="EI1350" s="4" t="n"/>
      <c r="EJ1350" s="4" t="n"/>
      <c r="EK1350" s="4" t="n"/>
      <c r="EL1350" s="4" t="n"/>
      <c r="EM1350" s="4" t="n"/>
      <c r="EN1350" s="4" t="n"/>
      <c r="EO1350" s="4" t="n"/>
      <c r="EP1350" s="4" t="n"/>
      <c r="EQ1350" s="4" t="n"/>
      <c r="ER1350" s="4" t="n"/>
      <c r="ES1350" s="4" t="n"/>
      <c r="ET1350" s="4" t="n"/>
      <c r="EU1350" s="4" t="n"/>
      <c r="EV1350" s="4" t="n"/>
      <c r="EW1350" s="4" t="n"/>
      <c r="EX1350" s="4" t="n"/>
      <c r="EY1350" s="4" t="n"/>
      <c r="EZ1350" s="4" t="n"/>
      <c r="FA1350" s="4" t="n"/>
      <c r="FB1350" s="4" t="n"/>
      <c r="FC1350" s="4" t="n"/>
    </row>
    <row r="1351" hidden="1" customFormat="1" s="6">
      <c r="C1351" s="4" t="n"/>
      <c r="D1351" s="4" t="n"/>
      <c r="E1351" s="4" t="n"/>
      <c r="F1351" s="4" t="n"/>
      <c r="G1351" s="4" t="n"/>
      <c r="H1351" s="4" t="n"/>
      <c r="I1351" s="4" t="n"/>
      <c r="J1351" s="4" t="n"/>
      <c r="K1351" s="4" t="n"/>
      <c r="L1351" s="4" t="n"/>
      <c r="M1351" s="4" t="n"/>
      <c r="N1351" s="4" t="n"/>
      <c r="O1351" s="4" t="n"/>
      <c r="P1351" s="4" t="n"/>
      <c r="Q1351" s="4" t="n"/>
      <c r="R1351" s="4" t="n"/>
      <c r="S1351" s="4" t="n"/>
      <c r="T1351" s="4" t="n"/>
      <c r="U1351" s="4" t="n"/>
      <c r="V1351" s="4" t="n"/>
      <c r="W1351" s="4" t="n"/>
      <c r="X1351" s="4" t="n"/>
      <c r="Y1351" s="4" t="n"/>
      <c r="Z1351" s="4" t="n"/>
      <c r="AA1351" s="4" t="n"/>
      <c r="AB1351" s="4" t="n"/>
      <c r="AC1351" s="4" t="n"/>
      <c r="AD1351" s="4" t="n"/>
      <c r="AE1351" s="4" t="n"/>
      <c r="AF1351" s="4" t="n"/>
      <c r="AG1351" s="4" t="n"/>
      <c r="AH1351" s="4" t="n"/>
      <c r="AI1351" s="4" t="n"/>
      <c r="AJ1351" s="4" t="n"/>
      <c r="AK1351" s="4" t="n"/>
      <c r="AL1351" s="4" t="n"/>
      <c r="AM1351" s="4" t="n"/>
      <c r="AN1351" s="4" t="n"/>
      <c r="AO1351" s="4" t="n"/>
      <c r="AP1351" s="4" t="n"/>
      <c r="AQ1351" s="4" t="n"/>
      <c r="AR1351" s="4" t="n"/>
      <c r="AS1351" s="4" t="n"/>
      <c r="AT1351" s="4" t="n"/>
      <c r="AU1351" s="4" t="n"/>
      <c r="AV1351" s="4" t="n"/>
      <c r="AW1351" s="4" t="n"/>
      <c r="AX1351" s="4" t="n"/>
      <c r="AY1351" s="4" t="n"/>
      <c r="AZ1351" s="4" t="n"/>
      <c r="BA1351" s="4" t="n"/>
      <c r="BB1351" s="4" t="n"/>
      <c r="BC1351" s="4" t="n"/>
      <c r="BD1351" s="4" t="n"/>
      <c r="BE1351" s="4" t="n"/>
      <c r="BF1351" s="4" t="n"/>
      <c r="BG1351" s="4" t="n"/>
      <c r="BH1351" s="4" t="n"/>
      <c r="BI1351" s="4" t="n"/>
      <c r="BJ1351" s="4" t="n"/>
      <c r="BK1351" s="4" t="n"/>
      <c r="BL1351" s="4" t="n"/>
      <c r="BM1351" s="4" t="n"/>
      <c r="BN1351" s="4" t="n"/>
      <c r="BO1351" s="4" t="n"/>
      <c r="BP1351" s="4" t="n"/>
      <c r="BQ1351" s="4" t="n"/>
      <c r="BR1351" s="4" t="n"/>
      <c r="BS1351" s="4" t="n"/>
      <c r="BT1351" s="4" t="n"/>
      <c r="BU1351" s="4" t="n"/>
      <c r="BV1351" s="4" t="n"/>
      <c r="BW1351" s="4" t="n"/>
      <c r="BX1351" s="4" t="n"/>
      <c r="BY1351" s="4" t="n"/>
      <c r="BZ1351" s="4" t="n"/>
      <c r="CA1351" s="4" t="n"/>
      <c r="CB1351" s="4" t="n"/>
      <c r="CC1351" s="4" t="n"/>
      <c r="CD1351" s="4" t="n"/>
      <c r="CE1351" s="4" t="n"/>
      <c r="CF1351" s="4" t="n"/>
      <c r="CG1351" s="4" t="n"/>
      <c r="CH1351" s="4" t="n"/>
      <c r="CI1351" s="4" t="n"/>
      <c r="CJ1351" s="4" t="n"/>
      <c r="CK1351" s="4" t="n"/>
      <c r="CL1351" s="4" t="n"/>
      <c r="CM1351" s="4" t="n"/>
      <c r="CN1351" s="4" t="n"/>
      <c r="CO1351" s="4" t="n"/>
      <c r="CP1351" s="4" t="n"/>
      <c r="CQ1351" s="4" t="n"/>
      <c r="CR1351" s="4" t="n"/>
      <c r="CS1351" s="4" t="n"/>
      <c r="CT1351" s="4" t="n"/>
      <c r="CU1351" s="4" t="n"/>
      <c r="CV1351" s="4" t="n"/>
      <c r="CW1351" s="4" t="n"/>
      <c r="CX1351" s="4" t="n"/>
      <c r="CY1351" s="4" t="n"/>
      <c r="CZ1351" s="4" t="n"/>
      <c r="DA1351" s="4" t="n"/>
      <c r="DB1351" s="4" t="n"/>
      <c r="DC1351" s="4" t="n"/>
      <c r="DD1351" s="4" t="n"/>
      <c r="DE1351" s="4" t="n"/>
      <c r="DF1351" s="4" t="n"/>
      <c r="DG1351" s="4" t="n"/>
      <c r="DH1351" s="4" t="n"/>
      <c r="DI1351" s="4" t="n"/>
      <c r="DJ1351" s="4" t="n"/>
      <c r="DK1351" s="4" t="n"/>
      <c r="DL1351" s="4" t="n"/>
      <c r="DM1351" s="4" t="n"/>
      <c r="DN1351" s="4" t="n"/>
      <c r="DO1351" s="4" t="n"/>
      <c r="DP1351" s="4" t="n"/>
      <c r="DQ1351" s="4" t="n"/>
      <c r="DR1351" s="4" t="n"/>
      <c r="DS1351" s="4" t="n"/>
      <c r="DT1351" s="4" t="n"/>
      <c r="DU1351" s="4" t="n"/>
      <c r="DV1351" s="4" t="n"/>
      <c r="DW1351" s="4" t="n"/>
      <c r="DX1351" s="4" t="n"/>
      <c r="DY1351" s="4" t="n"/>
      <c r="DZ1351" s="4" t="n"/>
      <c r="EA1351" s="4" t="n"/>
      <c r="EB1351" s="4" t="n"/>
      <c r="EC1351" s="4" t="n"/>
      <c r="ED1351" s="4" t="n"/>
      <c r="EE1351" s="4" t="n"/>
      <c r="EF1351" s="4" t="n"/>
      <c r="EG1351" s="4" t="n"/>
      <c r="EH1351" s="4" t="n"/>
      <c r="EI1351" s="4" t="n"/>
      <c r="EJ1351" s="4" t="n"/>
      <c r="EK1351" s="4" t="n"/>
      <c r="EL1351" s="4" t="n"/>
      <c r="EM1351" s="4" t="n"/>
      <c r="EN1351" s="4" t="n"/>
      <c r="EO1351" s="4" t="n"/>
      <c r="EP1351" s="4" t="n"/>
      <c r="EQ1351" s="4" t="n"/>
      <c r="ER1351" s="4" t="n"/>
      <c r="ES1351" s="4" t="n"/>
      <c r="ET1351" s="4" t="n"/>
      <c r="EU1351" s="4" t="n"/>
      <c r="EV1351" s="4" t="n"/>
      <c r="EW1351" s="4" t="n"/>
      <c r="EX1351" s="4" t="n"/>
      <c r="EY1351" s="4" t="n"/>
      <c r="EZ1351" s="4" t="n"/>
      <c r="FA1351" s="4" t="n"/>
      <c r="FB1351" s="4" t="n"/>
      <c r="FC1351" s="4" t="n"/>
    </row>
    <row r="1352" hidden="1" customFormat="1" s="6">
      <c r="C1352" s="4" t="n"/>
      <c r="D1352" s="4" t="n"/>
      <c r="E1352" s="4" t="n"/>
      <c r="F1352" s="4" t="n"/>
      <c r="G1352" s="4" t="n"/>
      <c r="H1352" s="4" t="n"/>
      <c r="I1352" s="4" t="n"/>
      <c r="J1352" s="4" t="n"/>
      <c r="K1352" s="4" t="n"/>
      <c r="L1352" s="4" t="n"/>
      <c r="M1352" s="4" t="n"/>
      <c r="N1352" s="4" t="n"/>
      <c r="O1352" s="4" t="n"/>
      <c r="P1352" s="4" t="n"/>
      <c r="Q1352" s="4" t="n"/>
      <c r="R1352" s="4" t="n"/>
      <c r="S1352" s="4" t="n"/>
      <c r="T1352" s="4" t="n"/>
      <c r="U1352" s="4" t="n"/>
      <c r="V1352" s="4" t="n"/>
      <c r="W1352" s="4" t="n"/>
      <c r="X1352" s="4" t="n"/>
      <c r="Y1352" s="4" t="n"/>
      <c r="Z1352" s="4" t="n"/>
      <c r="AA1352" s="4" t="n"/>
      <c r="AB1352" s="4" t="n"/>
      <c r="AC1352" s="4" t="n"/>
      <c r="AD1352" s="4" t="n"/>
      <c r="AE1352" s="4" t="n"/>
      <c r="AF1352" s="4" t="n"/>
      <c r="AG1352" s="4" t="n"/>
      <c r="AH1352" s="4" t="n"/>
      <c r="AI1352" s="4" t="n"/>
      <c r="AJ1352" s="4" t="n"/>
      <c r="AK1352" s="4" t="n"/>
      <c r="AL1352" s="4" t="n"/>
      <c r="AM1352" s="4" t="n"/>
      <c r="AN1352" s="4" t="n"/>
      <c r="AO1352" s="4" t="n"/>
      <c r="AP1352" s="4" t="n"/>
      <c r="AQ1352" s="4" t="n"/>
      <c r="AR1352" s="4" t="n"/>
      <c r="AS1352" s="4" t="n"/>
      <c r="AT1352" s="4" t="n"/>
      <c r="AU1352" s="4" t="n"/>
      <c r="AV1352" s="4" t="n"/>
      <c r="AW1352" s="4" t="n"/>
      <c r="AX1352" s="4" t="n"/>
      <c r="AY1352" s="4" t="n"/>
      <c r="AZ1352" s="4" t="n"/>
      <c r="BA1352" s="4" t="n"/>
      <c r="BB1352" s="4" t="n"/>
      <c r="BC1352" s="4" t="n"/>
      <c r="BD1352" s="4" t="n"/>
      <c r="BE1352" s="4" t="n"/>
      <c r="BF1352" s="4" t="n"/>
      <c r="BG1352" s="4" t="n"/>
      <c r="BH1352" s="4" t="n"/>
      <c r="BI1352" s="4" t="n"/>
      <c r="BJ1352" s="4" t="n"/>
      <c r="BK1352" s="4" t="n"/>
      <c r="BL1352" s="4" t="n"/>
      <c r="BM1352" s="4" t="n"/>
      <c r="BN1352" s="4" t="n"/>
      <c r="BO1352" s="4" t="n"/>
      <c r="BP1352" s="4" t="n"/>
      <c r="BQ1352" s="4" t="n"/>
      <c r="BR1352" s="4" t="n"/>
      <c r="BS1352" s="4" t="n"/>
      <c r="BT1352" s="4" t="n"/>
      <c r="BU1352" s="4" t="n"/>
      <c r="BV1352" s="4" t="n"/>
      <c r="BW1352" s="4" t="n"/>
      <c r="BX1352" s="4" t="n"/>
      <c r="BY1352" s="4" t="n"/>
      <c r="BZ1352" s="4" t="n"/>
      <c r="CA1352" s="4" t="n"/>
      <c r="CB1352" s="4" t="n"/>
      <c r="CC1352" s="4" t="n"/>
      <c r="CD1352" s="4" t="n"/>
      <c r="CE1352" s="4" t="n"/>
      <c r="CF1352" s="4" t="n"/>
      <c r="CG1352" s="4" t="n"/>
      <c r="CH1352" s="4" t="n"/>
      <c r="CI1352" s="4" t="n"/>
      <c r="CJ1352" s="4" t="n"/>
      <c r="CK1352" s="4" t="n"/>
      <c r="CL1352" s="4" t="n"/>
      <c r="CM1352" s="4" t="n"/>
      <c r="CN1352" s="4" t="n"/>
      <c r="CO1352" s="4" t="n"/>
      <c r="CP1352" s="4" t="n"/>
      <c r="CQ1352" s="4" t="n"/>
      <c r="CR1352" s="4" t="n"/>
      <c r="CS1352" s="4" t="n"/>
      <c r="CT1352" s="4" t="n"/>
      <c r="CU1352" s="4" t="n"/>
      <c r="CV1352" s="4" t="n"/>
      <c r="CW1352" s="4" t="n"/>
      <c r="CX1352" s="4" t="n"/>
      <c r="CY1352" s="4" t="n"/>
      <c r="CZ1352" s="4" t="n"/>
      <c r="DA1352" s="4" t="n"/>
      <c r="DB1352" s="4" t="n"/>
      <c r="DC1352" s="4" t="n"/>
      <c r="DD1352" s="4" t="n"/>
      <c r="DE1352" s="4" t="n"/>
      <c r="DF1352" s="4" t="n"/>
      <c r="DG1352" s="4" t="n"/>
      <c r="DH1352" s="4" t="n"/>
      <c r="DI1352" s="4" t="n"/>
      <c r="DJ1352" s="4" t="n"/>
      <c r="DK1352" s="4" t="n"/>
      <c r="DL1352" s="4" t="n"/>
      <c r="DM1352" s="4" t="n"/>
      <c r="DN1352" s="4" t="n"/>
      <c r="DO1352" s="4" t="n"/>
      <c r="DP1352" s="4" t="n"/>
      <c r="DQ1352" s="4" t="n"/>
      <c r="DR1352" s="4" t="n"/>
      <c r="DS1352" s="4" t="n"/>
      <c r="DT1352" s="4" t="n"/>
      <c r="DU1352" s="4" t="n"/>
      <c r="DV1352" s="4" t="n"/>
      <c r="DW1352" s="4" t="n"/>
      <c r="DX1352" s="4" t="n"/>
      <c r="DY1352" s="4" t="n"/>
      <c r="DZ1352" s="4" t="n"/>
      <c r="EA1352" s="4" t="n"/>
      <c r="EB1352" s="4" t="n"/>
      <c r="EC1352" s="4" t="n"/>
      <c r="ED1352" s="4" t="n"/>
      <c r="EE1352" s="4" t="n"/>
      <c r="EF1352" s="4" t="n"/>
      <c r="EG1352" s="4" t="n"/>
      <c r="EH1352" s="4" t="n"/>
      <c r="EI1352" s="4" t="n"/>
      <c r="EJ1352" s="4" t="n"/>
      <c r="EK1352" s="4" t="n"/>
      <c r="EL1352" s="4" t="n"/>
      <c r="EM1352" s="4" t="n"/>
      <c r="EN1352" s="4" t="n"/>
      <c r="EO1352" s="4" t="n"/>
      <c r="EP1352" s="4" t="n"/>
      <c r="EQ1352" s="4" t="n"/>
      <c r="ER1352" s="4" t="n"/>
      <c r="ES1352" s="4" t="n"/>
      <c r="ET1352" s="4" t="n"/>
      <c r="EU1352" s="4" t="n"/>
      <c r="EV1352" s="4" t="n"/>
      <c r="EW1352" s="4" t="n"/>
      <c r="EX1352" s="4" t="n"/>
      <c r="EY1352" s="4" t="n"/>
      <c r="EZ1352" s="4" t="n"/>
      <c r="FA1352" s="4" t="n"/>
      <c r="FB1352" s="4" t="n"/>
      <c r="FC1352" s="4" t="n"/>
    </row>
    <row r="1353" hidden="1" customFormat="1" s="6">
      <c r="C1353" s="4" t="n"/>
      <c r="D1353" s="4" t="n"/>
      <c r="E1353" s="4" t="n"/>
      <c r="F1353" s="4" t="n"/>
      <c r="G1353" s="4" t="n"/>
      <c r="H1353" s="4" t="n"/>
      <c r="I1353" s="4" t="n"/>
      <c r="J1353" s="4" t="n"/>
      <c r="K1353" s="4" t="n"/>
      <c r="L1353" s="4" t="n"/>
      <c r="M1353" s="4" t="n"/>
      <c r="N1353" s="4" t="n"/>
      <c r="O1353" s="4" t="n"/>
      <c r="P1353" s="4" t="n"/>
      <c r="Q1353" s="4" t="n"/>
      <c r="R1353" s="4" t="n"/>
      <c r="S1353" s="4" t="n"/>
      <c r="T1353" s="4" t="n"/>
      <c r="U1353" s="4" t="n"/>
      <c r="V1353" s="4" t="n"/>
      <c r="W1353" s="4" t="n"/>
      <c r="X1353" s="4" t="n"/>
      <c r="Y1353" s="4" t="n"/>
      <c r="Z1353" s="4" t="n"/>
      <c r="AA1353" s="4" t="n"/>
      <c r="AB1353" s="4" t="n"/>
      <c r="AC1353" s="4" t="n"/>
      <c r="AD1353" s="4" t="n"/>
      <c r="AE1353" s="4" t="n"/>
      <c r="AF1353" s="4" t="n"/>
      <c r="AG1353" s="4" t="n"/>
      <c r="AH1353" s="4" t="n"/>
      <c r="AI1353" s="4" t="n"/>
      <c r="AJ1353" s="4" t="n"/>
      <c r="AK1353" s="4" t="n"/>
      <c r="AL1353" s="4" t="n"/>
      <c r="AM1353" s="4" t="n"/>
      <c r="AN1353" s="4" t="n"/>
      <c r="AO1353" s="4" t="n"/>
      <c r="AP1353" s="4" t="n"/>
      <c r="AQ1353" s="4" t="n"/>
      <c r="AR1353" s="4" t="n"/>
      <c r="AS1353" s="4" t="n"/>
      <c r="AT1353" s="4" t="n"/>
      <c r="AU1353" s="4" t="n"/>
      <c r="AV1353" s="4" t="n"/>
      <c r="AW1353" s="4" t="n"/>
      <c r="AX1353" s="4" t="n"/>
      <c r="AY1353" s="4" t="n"/>
      <c r="AZ1353" s="4" t="n"/>
      <c r="BA1353" s="4" t="n"/>
      <c r="BB1353" s="4" t="n"/>
      <c r="BC1353" s="4" t="n"/>
      <c r="BD1353" s="4" t="n"/>
      <c r="BE1353" s="4" t="n"/>
      <c r="BF1353" s="4" t="n"/>
      <c r="BG1353" s="4" t="n"/>
      <c r="BH1353" s="4" t="n"/>
      <c r="BI1353" s="4" t="n"/>
      <c r="BJ1353" s="4" t="n"/>
      <c r="BK1353" s="4" t="n"/>
      <c r="BL1353" s="4" t="n"/>
      <c r="BM1353" s="4" t="n"/>
      <c r="BN1353" s="4" t="n"/>
      <c r="BO1353" s="4" t="n"/>
      <c r="BP1353" s="4" t="n"/>
      <c r="BQ1353" s="4" t="n"/>
      <c r="BR1353" s="4" t="n"/>
      <c r="BS1353" s="4" t="n"/>
      <c r="BT1353" s="4" t="n"/>
      <c r="BU1353" s="4" t="n"/>
      <c r="BV1353" s="4" t="n"/>
      <c r="BW1353" s="4" t="n"/>
      <c r="BX1353" s="4" t="n"/>
      <c r="BY1353" s="4" t="n"/>
      <c r="BZ1353" s="4" t="n"/>
      <c r="CA1353" s="4" t="n"/>
      <c r="CB1353" s="4" t="n"/>
      <c r="CC1353" s="4" t="n"/>
      <c r="CD1353" s="4" t="n"/>
      <c r="CE1353" s="4" t="n"/>
      <c r="CF1353" s="4" t="n"/>
      <c r="CG1353" s="4" t="n"/>
      <c r="CH1353" s="4" t="n"/>
      <c r="CI1353" s="4" t="n"/>
      <c r="CJ1353" s="4" t="n"/>
      <c r="CK1353" s="4" t="n"/>
      <c r="CL1353" s="4" t="n"/>
      <c r="CM1353" s="4" t="n"/>
      <c r="CN1353" s="4" t="n"/>
      <c r="CO1353" s="4" t="n"/>
      <c r="CP1353" s="4" t="n"/>
      <c r="CQ1353" s="4" t="n"/>
      <c r="CR1353" s="4" t="n"/>
      <c r="CS1353" s="4" t="n"/>
      <c r="CT1353" s="4" t="n"/>
      <c r="CU1353" s="4" t="n"/>
      <c r="CV1353" s="4" t="n"/>
      <c r="CW1353" s="4" t="n"/>
      <c r="CX1353" s="4" t="n"/>
      <c r="CY1353" s="4" t="n"/>
      <c r="CZ1353" s="4" t="n"/>
      <c r="DA1353" s="4" t="n"/>
      <c r="DB1353" s="4" t="n"/>
      <c r="DC1353" s="4" t="n"/>
      <c r="DD1353" s="4" t="n"/>
      <c r="DE1353" s="4" t="n"/>
      <c r="DF1353" s="4" t="n"/>
      <c r="DG1353" s="4" t="n"/>
      <c r="DH1353" s="4" t="n"/>
      <c r="DI1353" s="4" t="n"/>
      <c r="DJ1353" s="4" t="n"/>
      <c r="DK1353" s="4" t="n"/>
      <c r="DL1353" s="4" t="n"/>
      <c r="DM1353" s="4" t="n"/>
      <c r="DN1353" s="4" t="n"/>
      <c r="DO1353" s="4" t="n"/>
      <c r="DP1353" s="4" t="n"/>
      <c r="DQ1353" s="4" t="n"/>
      <c r="DR1353" s="4" t="n"/>
      <c r="DS1353" s="4" t="n"/>
      <c r="DT1353" s="4" t="n"/>
      <c r="DU1353" s="4" t="n"/>
      <c r="DV1353" s="4" t="n"/>
      <c r="DW1353" s="4" t="n"/>
      <c r="DX1353" s="4" t="n"/>
      <c r="DY1353" s="4" t="n"/>
      <c r="DZ1353" s="4" t="n"/>
      <c r="EA1353" s="4" t="n"/>
      <c r="EB1353" s="4" t="n"/>
      <c r="EC1353" s="4" t="n"/>
      <c r="ED1353" s="4" t="n"/>
      <c r="EE1353" s="4" t="n"/>
      <c r="EF1353" s="4" t="n"/>
      <c r="EG1353" s="4" t="n"/>
      <c r="EH1353" s="4" t="n"/>
      <c r="EI1353" s="4" t="n"/>
      <c r="EJ1353" s="4" t="n"/>
      <c r="EK1353" s="4" t="n"/>
      <c r="EL1353" s="4" t="n"/>
      <c r="EM1353" s="4" t="n"/>
      <c r="EN1353" s="4" t="n"/>
      <c r="EO1353" s="4" t="n"/>
      <c r="EP1353" s="4" t="n"/>
      <c r="EQ1353" s="4" t="n"/>
      <c r="ER1353" s="4" t="n"/>
      <c r="ES1353" s="4" t="n"/>
      <c r="ET1353" s="4" t="n"/>
      <c r="EU1353" s="4" t="n"/>
      <c r="EV1353" s="4" t="n"/>
      <c r="EW1353" s="4" t="n"/>
      <c r="EX1353" s="4" t="n"/>
      <c r="EY1353" s="4" t="n"/>
      <c r="EZ1353" s="4" t="n"/>
      <c r="FA1353" s="4" t="n"/>
      <c r="FB1353" s="4" t="n"/>
      <c r="FC1353" s="4" t="n"/>
    </row>
    <row r="1354" hidden="1" customFormat="1" s="6">
      <c r="C1354" s="4" t="n"/>
      <c r="D1354" s="4" t="n"/>
      <c r="E1354" s="4" t="n"/>
      <c r="F1354" s="4" t="n"/>
      <c r="G1354" s="4" t="n"/>
      <c r="H1354" s="4" t="n"/>
      <c r="I1354" s="4" t="n"/>
      <c r="J1354" s="4" t="n"/>
      <c r="K1354" s="4" t="n"/>
      <c r="L1354" s="4" t="n"/>
      <c r="M1354" s="4" t="n"/>
      <c r="N1354" s="4" t="n"/>
      <c r="O1354" s="4" t="n"/>
      <c r="P1354" s="4" t="n"/>
      <c r="Q1354" s="4" t="n"/>
      <c r="R1354" s="4" t="n"/>
      <c r="S1354" s="4" t="n"/>
      <c r="T1354" s="4" t="n"/>
      <c r="U1354" s="4" t="n"/>
      <c r="V1354" s="4" t="n"/>
      <c r="W1354" s="4" t="n"/>
      <c r="X1354" s="4" t="n"/>
      <c r="Y1354" s="4" t="n"/>
      <c r="Z1354" s="4" t="n"/>
      <c r="AA1354" s="4" t="n"/>
      <c r="AB1354" s="4" t="n"/>
      <c r="AC1354" s="4" t="n"/>
      <c r="AD1354" s="4" t="n"/>
      <c r="AE1354" s="4" t="n"/>
      <c r="AF1354" s="4" t="n"/>
      <c r="AG1354" s="4" t="n"/>
      <c r="AH1354" s="4" t="n"/>
      <c r="AI1354" s="4" t="n"/>
      <c r="AJ1354" s="4" t="n"/>
      <c r="AK1354" s="4" t="n"/>
      <c r="AL1354" s="4" t="n"/>
      <c r="AM1354" s="4" t="n"/>
      <c r="AN1354" s="4" t="n"/>
      <c r="AO1354" s="4" t="n"/>
      <c r="AP1354" s="4" t="n"/>
      <c r="AQ1354" s="4" t="n"/>
      <c r="AR1354" s="4" t="n"/>
      <c r="AS1354" s="4" t="n"/>
      <c r="AT1354" s="4" t="n"/>
      <c r="AU1354" s="4" t="n"/>
      <c r="AV1354" s="4" t="n"/>
      <c r="AW1354" s="4" t="n"/>
      <c r="AX1354" s="4" t="n"/>
      <c r="AY1354" s="4" t="n"/>
      <c r="AZ1354" s="4" t="n"/>
      <c r="BA1354" s="4" t="n"/>
      <c r="BB1354" s="4" t="n"/>
      <c r="BC1354" s="4" t="n"/>
      <c r="BD1354" s="4" t="n"/>
      <c r="BE1354" s="4" t="n"/>
      <c r="BF1354" s="4" t="n"/>
      <c r="BG1354" s="4" t="n"/>
      <c r="BH1354" s="4" t="n"/>
      <c r="BI1354" s="4" t="n"/>
      <c r="BJ1354" s="4" t="n"/>
      <c r="BK1354" s="4" t="n"/>
      <c r="BL1354" s="4" t="n"/>
      <c r="BM1354" s="4" t="n"/>
      <c r="BN1354" s="4" t="n"/>
      <c r="BO1354" s="4" t="n"/>
      <c r="BP1354" s="4" t="n"/>
      <c r="BQ1354" s="4" t="n"/>
      <c r="BR1354" s="4" t="n"/>
      <c r="BS1354" s="4" t="n"/>
      <c r="BT1354" s="4" t="n"/>
      <c r="BU1354" s="4" t="n"/>
      <c r="BV1354" s="4" t="n"/>
      <c r="BW1354" s="4" t="n"/>
      <c r="BX1354" s="4" t="n"/>
      <c r="BY1354" s="4" t="n"/>
      <c r="BZ1354" s="4" t="n"/>
      <c r="CA1354" s="4" t="n"/>
      <c r="CB1354" s="4" t="n"/>
      <c r="CC1354" s="4" t="n"/>
      <c r="CD1354" s="4" t="n"/>
      <c r="CE1354" s="4" t="n"/>
      <c r="CF1354" s="4" t="n"/>
      <c r="CG1354" s="4" t="n"/>
      <c r="CH1354" s="4" t="n"/>
      <c r="CI1354" s="4" t="n"/>
      <c r="CJ1354" s="4" t="n"/>
      <c r="CK1354" s="4" t="n"/>
      <c r="CL1354" s="4" t="n"/>
      <c r="CM1354" s="4" t="n"/>
      <c r="CN1354" s="4" t="n"/>
      <c r="CO1354" s="4" t="n"/>
      <c r="CP1354" s="4" t="n"/>
      <c r="CQ1354" s="4" t="n"/>
      <c r="CR1354" s="4" t="n"/>
      <c r="CS1354" s="4" t="n"/>
      <c r="CT1354" s="4" t="n"/>
      <c r="CU1354" s="4" t="n"/>
      <c r="CV1354" s="4" t="n"/>
      <c r="CW1354" s="4" t="n"/>
      <c r="CX1354" s="4" t="n"/>
      <c r="CY1354" s="4" t="n"/>
      <c r="CZ1354" s="4" t="n"/>
      <c r="DA1354" s="4" t="n"/>
      <c r="DB1354" s="4" t="n"/>
      <c r="DC1354" s="4" t="n"/>
      <c r="DD1354" s="4" t="n"/>
      <c r="DE1354" s="4" t="n"/>
      <c r="DF1354" s="4" t="n"/>
      <c r="DG1354" s="4" t="n"/>
      <c r="DH1354" s="4" t="n"/>
      <c r="DI1354" s="4" t="n"/>
      <c r="DJ1354" s="4" t="n"/>
      <c r="DK1354" s="4" t="n"/>
      <c r="DL1354" s="4" t="n"/>
      <c r="DM1354" s="4" t="n"/>
      <c r="DN1354" s="4" t="n"/>
      <c r="DO1354" s="4" t="n"/>
      <c r="DP1354" s="4" t="n"/>
      <c r="DQ1354" s="4" t="n"/>
      <c r="DR1354" s="4" t="n"/>
      <c r="DS1354" s="4" t="n"/>
      <c r="DT1354" s="4" t="n"/>
      <c r="DU1354" s="4" t="n"/>
      <c r="DV1354" s="4" t="n"/>
      <c r="DW1354" s="4" t="n"/>
      <c r="DX1354" s="4" t="n"/>
      <c r="DY1354" s="4" t="n"/>
      <c r="DZ1354" s="4" t="n"/>
      <c r="EA1354" s="4" t="n"/>
      <c r="EB1354" s="4" t="n"/>
      <c r="EC1354" s="4" t="n"/>
      <c r="ED1354" s="4" t="n"/>
      <c r="EE1354" s="4" t="n"/>
      <c r="EF1354" s="4" t="n"/>
      <c r="EG1354" s="4" t="n"/>
      <c r="EH1354" s="4" t="n"/>
      <c r="EI1354" s="4" t="n"/>
      <c r="EJ1354" s="4" t="n"/>
      <c r="EK1354" s="4" t="n"/>
      <c r="EL1354" s="4" t="n"/>
      <c r="EM1354" s="4" t="n"/>
      <c r="EN1354" s="4" t="n"/>
      <c r="EO1354" s="4" t="n"/>
      <c r="EP1354" s="4" t="n"/>
      <c r="EQ1354" s="4" t="n"/>
      <c r="ER1354" s="4" t="n"/>
      <c r="ES1354" s="4" t="n"/>
      <c r="ET1354" s="4" t="n"/>
      <c r="EU1354" s="4" t="n"/>
      <c r="EV1354" s="4" t="n"/>
      <c r="EW1354" s="4" t="n"/>
      <c r="EX1354" s="4" t="n"/>
      <c r="EY1354" s="4" t="n"/>
      <c r="EZ1354" s="4" t="n"/>
      <c r="FA1354" s="4" t="n"/>
      <c r="FB1354" s="4" t="n"/>
      <c r="FC1354" s="4" t="n"/>
    </row>
    <row r="1355" hidden="1" customFormat="1" s="6">
      <c r="C1355" s="4" t="n"/>
      <c r="D1355" s="4" t="n"/>
      <c r="E1355" s="4" t="n"/>
      <c r="F1355" s="4" t="n"/>
      <c r="G1355" s="4" t="n"/>
      <c r="H1355" s="4" t="n"/>
      <c r="I1355" s="4" t="n"/>
      <c r="J1355" s="4" t="n"/>
      <c r="K1355" s="4" t="n"/>
      <c r="L1355" s="4" t="n"/>
      <c r="M1355" s="4" t="n"/>
      <c r="N1355" s="4" t="n"/>
      <c r="O1355" s="4" t="n"/>
      <c r="P1355" s="4" t="n"/>
      <c r="Q1355" s="4" t="n"/>
      <c r="R1355" s="4" t="n"/>
      <c r="S1355" s="4" t="n"/>
      <c r="T1355" s="4" t="n"/>
      <c r="U1355" s="4" t="n"/>
      <c r="V1355" s="4" t="n"/>
      <c r="W1355" s="4" t="n"/>
      <c r="X1355" s="4" t="n"/>
      <c r="Y1355" s="4" t="n"/>
      <c r="Z1355" s="4" t="n"/>
      <c r="AA1355" s="4" t="n"/>
      <c r="AB1355" s="4" t="n"/>
      <c r="AC1355" s="4" t="n"/>
      <c r="AD1355" s="4" t="n"/>
      <c r="AE1355" s="4" t="n"/>
      <c r="AF1355" s="4" t="n"/>
      <c r="AG1355" s="4" t="n"/>
      <c r="AH1355" s="4" t="n"/>
      <c r="AI1355" s="4" t="n"/>
      <c r="AJ1355" s="4" t="n"/>
      <c r="AK1355" s="4" t="n"/>
      <c r="AL1355" s="4" t="n"/>
      <c r="AM1355" s="4" t="n"/>
      <c r="AN1355" s="4" t="n"/>
      <c r="AO1355" s="4" t="n"/>
      <c r="AP1355" s="4" t="n"/>
      <c r="AQ1355" s="4" t="n"/>
      <c r="AR1355" s="4" t="n"/>
      <c r="AS1355" s="4" t="n"/>
      <c r="AT1355" s="4" t="n"/>
      <c r="AU1355" s="4" t="n"/>
      <c r="AV1355" s="4" t="n"/>
      <c r="AW1355" s="4" t="n"/>
      <c r="AX1355" s="4" t="n"/>
      <c r="AY1355" s="4" t="n"/>
      <c r="AZ1355" s="4" t="n"/>
      <c r="BA1355" s="4" t="n"/>
      <c r="BB1355" s="4" t="n"/>
      <c r="BC1355" s="4" t="n"/>
      <c r="BD1355" s="4" t="n"/>
      <c r="BE1355" s="4" t="n"/>
      <c r="BF1355" s="4" t="n"/>
      <c r="BG1355" s="4" t="n"/>
      <c r="BH1355" s="4" t="n"/>
      <c r="BI1355" s="4" t="n"/>
      <c r="BJ1355" s="4" t="n"/>
      <c r="BK1355" s="4" t="n"/>
      <c r="BL1355" s="4" t="n"/>
      <c r="BM1355" s="4" t="n"/>
      <c r="BN1355" s="4" t="n"/>
      <c r="BO1355" s="4" t="n"/>
      <c r="BP1355" s="4" t="n"/>
      <c r="BQ1355" s="4" t="n"/>
      <c r="BR1355" s="4" t="n"/>
      <c r="BS1355" s="4" t="n"/>
      <c r="BT1355" s="4" t="n"/>
      <c r="BU1355" s="4" t="n"/>
      <c r="BV1355" s="4" t="n"/>
      <c r="BW1355" s="4" t="n"/>
      <c r="BX1355" s="4" t="n"/>
      <c r="BY1355" s="4" t="n"/>
      <c r="BZ1355" s="4" t="n"/>
      <c r="CA1355" s="4" t="n"/>
      <c r="CB1355" s="4" t="n"/>
      <c r="CC1355" s="4" t="n"/>
      <c r="CD1355" s="4" t="n"/>
      <c r="CE1355" s="4" t="n"/>
      <c r="CF1355" s="4" t="n"/>
      <c r="CG1355" s="4" t="n"/>
      <c r="CH1355" s="4" t="n"/>
      <c r="CI1355" s="4" t="n"/>
      <c r="CJ1355" s="4" t="n"/>
      <c r="CK1355" s="4" t="n"/>
      <c r="CL1355" s="4" t="n"/>
      <c r="CM1355" s="4" t="n"/>
      <c r="CN1355" s="4" t="n"/>
      <c r="CO1355" s="4" t="n"/>
      <c r="CP1355" s="4" t="n"/>
      <c r="CQ1355" s="4" t="n"/>
      <c r="CR1355" s="4" t="n"/>
      <c r="CS1355" s="4" t="n"/>
      <c r="CT1355" s="4" t="n"/>
      <c r="CU1355" s="4" t="n"/>
      <c r="CV1355" s="4" t="n"/>
      <c r="CW1355" s="4" t="n"/>
      <c r="CX1355" s="4" t="n"/>
      <c r="CY1355" s="4" t="n"/>
      <c r="CZ1355" s="4" t="n"/>
      <c r="DA1355" s="4" t="n"/>
      <c r="DB1355" s="4" t="n"/>
      <c r="DC1355" s="4" t="n"/>
      <c r="DD1355" s="4" t="n"/>
      <c r="DE1355" s="4" t="n"/>
      <c r="DF1355" s="4" t="n"/>
      <c r="DG1355" s="4" t="n"/>
      <c r="DH1355" s="4" t="n"/>
      <c r="DI1355" s="4" t="n"/>
      <c r="DJ1355" s="4" t="n"/>
      <c r="DK1355" s="4" t="n"/>
      <c r="DL1355" s="4" t="n"/>
      <c r="DM1355" s="4" t="n"/>
      <c r="DN1355" s="4" t="n"/>
      <c r="DO1355" s="4" t="n"/>
      <c r="DP1355" s="4" t="n"/>
      <c r="DQ1355" s="4" t="n"/>
      <c r="DR1355" s="4" t="n"/>
      <c r="DS1355" s="4" t="n"/>
      <c r="DT1355" s="4" t="n"/>
      <c r="DU1355" s="4" t="n"/>
      <c r="DV1355" s="4" t="n"/>
      <c r="DW1355" s="4" t="n"/>
      <c r="DX1355" s="4" t="n"/>
      <c r="DY1355" s="4" t="n"/>
      <c r="DZ1355" s="4" t="n"/>
      <c r="EA1355" s="4" t="n"/>
      <c r="EB1355" s="4" t="n"/>
      <c r="EC1355" s="4" t="n"/>
      <c r="ED1355" s="4" t="n"/>
      <c r="EE1355" s="4" t="n"/>
      <c r="EF1355" s="4" t="n"/>
      <c r="EG1355" s="4" t="n"/>
      <c r="EH1355" s="4" t="n"/>
      <c r="EI1355" s="4" t="n"/>
      <c r="EJ1355" s="4" t="n"/>
      <c r="EK1355" s="4" t="n"/>
      <c r="EL1355" s="4" t="n"/>
      <c r="EM1355" s="4" t="n"/>
      <c r="EN1355" s="4" t="n"/>
      <c r="EO1355" s="4" t="n"/>
      <c r="EP1355" s="4" t="n"/>
      <c r="EQ1355" s="4" t="n"/>
      <c r="ER1355" s="4" t="n"/>
      <c r="ES1355" s="4" t="n"/>
      <c r="ET1355" s="4" t="n"/>
      <c r="EU1355" s="4" t="n"/>
      <c r="EV1355" s="4" t="n"/>
      <c r="EW1355" s="4" t="n"/>
      <c r="EX1355" s="4" t="n"/>
      <c r="EY1355" s="4" t="n"/>
      <c r="EZ1355" s="4" t="n"/>
      <c r="FA1355" s="4" t="n"/>
      <c r="FB1355" s="4" t="n"/>
      <c r="FC1355" s="4" t="n"/>
    </row>
    <row r="1356" hidden="1" customFormat="1" s="6">
      <c r="C1356" s="4" t="n"/>
      <c r="D1356" s="4" t="n"/>
      <c r="E1356" s="4" t="n"/>
      <c r="F1356" s="4" t="n"/>
      <c r="G1356" s="4" t="n"/>
      <c r="H1356" s="4" t="n"/>
      <c r="I1356" s="4" t="n"/>
      <c r="J1356" s="4" t="n"/>
      <c r="K1356" s="4" t="n"/>
      <c r="L1356" s="4" t="n"/>
      <c r="M1356" s="4" t="n"/>
      <c r="N1356" s="4" t="n"/>
      <c r="O1356" s="4" t="n"/>
      <c r="P1356" s="4" t="n"/>
      <c r="Q1356" s="4" t="n"/>
      <c r="R1356" s="4" t="n"/>
      <c r="S1356" s="4" t="n"/>
      <c r="T1356" s="4" t="n"/>
      <c r="U1356" s="4" t="n"/>
      <c r="V1356" s="4" t="n"/>
      <c r="W1356" s="4" t="n"/>
      <c r="X1356" s="4" t="n"/>
      <c r="Y1356" s="4" t="n"/>
      <c r="Z1356" s="4" t="n"/>
      <c r="AA1356" s="4" t="n"/>
      <c r="AB1356" s="4" t="n"/>
      <c r="AC1356" s="4" t="n"/>
      <c r="AD1356" s="4" t="n"/>
      <c r="AE1356" s="4" t="n"/>
      <c r="AF1356" s="4" t="n"/>
      <c r="AG1356" s="4" t="n"/>
      <c r="AH1356" s="4" t="n"/>
      <c r="AI1356" s="4" t="n"/>
      <c r="AJ1356" s="4" t="n"/>
      <c r="AK1356" s="4" t="n"/>
      <c r="AL1356" s="4" t="n"/>
      <c r="AM1356" s="4" t="n"/>
      <c r="AN1356" s="4" t="n"/>
      <c r="AO1356" s="4" t="n"/>
      <c r="AP1356" s="4" t="n"/>
      <c r="AQ1356" s="4" t="n"/>
      <c r="AR1356" s="4" t="n"/>
      <c r="AS1356" s="4" t="n"/>
      <c r="AT1356" s="4" t="n"/>
      <c r="AU1356" s="4" t="n"/>
      <c r="AV1356" s="4" t="n"/>
      <c r="AW1356" s="4" t="n"/>
      <c r="AX1356" s="4" t="n"/>
      <c r="AY1356" s="4" t="n"/>
      <c r="AZ1356" s="4" t="n"/>
      <c r="BA1356" s="4" t="n"/>
      <c r="BB1356" s="4" t="n"/>
      <c r="BC1356" s="4" t="n"/>
      <c r="BD1356" s="4" t="n"/>
      <c r="BE1356" s="4" t="n"/>
      <c r="BF1356" s="4" t="n"/>
      <c r="BG1356" s="4" t="n"/>
      <c r="BH1356" s="4" t="n"/>
      <c r="BI1356" s="4" t="n"/>
      <c r="BJ1356" s="4" t="n"/>
      <c r="BK1356" s="4" t="n"/>
      <c r="BL1356" s="4" t="n"/>
      <c r="BM1356" s="4" t="n"/>
      <c r="BN1356" s="4" t="n"/>
      <c r="BO1356" s="4" t="n"/>
      <c r="BP1356" s="4" t="n"/>
      <c r="BQ1356" s="4" t="n"/>
      <c r="BR1356" s="4" t="n"/>
      <c r="BS1356" s="4" t="n"/>
      <c r="BT1356" s="4" t="n"/>
      <c r="BU1356" s="4" t="n"/>
      <c r="BV1356" s="4" t="n"/>
      <c r="BW1356" s="4" t="n"/>
      <c r="BX1356" s="4" t="n"/>
      <c r="BY1356" s="4" t="n"/>
      <c r="BZ1356" s="4" t="n"/>
      <c r="CA1356" s="4" t="n"/>
      <c r="CB1356" s="4" t="n"/>
      <c r="CC1356" s="4" t="n"/>
      <c r="CD1356" s="4" t="n"/>
      <c r="CE1356" s="4" t="n"/>
      <c r="CF1356" s="4" t="n"/>
      <c r="CG1356" s="4" t="n"/>
      <c r="CH1356" s="4" t="n"/>
      <c r="CI1356" s="4" t="n"/>
      <c r="CJ1356" s="4" t="n"/>
      <c r="CK1356" s="4" t="n"/>
      <c r="CL1356" s="4" t="n"/>
      <c r="CM1356" s="4" t="n"/>
      <c r="CN1356" s="4" t="n"/>
      <c r="CO1356" s="4" t="n"/>
      <c r="CP1356" s="4" t="n"/>
      <c r="CQ1356" s="4" t="n"/>
      <c r="CR1356" s="4" t="n"/>
      <c r="CS1356" s="4" t="n"/>
      <c r="CT1356" s="4" t="n"/>
      <c r="CU1356" s="4" t="n"/>
      <c r="CV1356" s="4" t="n"/>
      <c r="CW1356" s="4" t="n"/>
      <c r="CX1356" s="4" t="n"/>
      <c r="CY1356" s="4" t="n"/>
      <c r="CZ1356" s="4" t="n"/>
      <c r="DA1356" s="4" t="n"/>
      <c r="DB1356" s="4" t="n"/>
      <c r="DC1356" s="4" t="n"/>
      <c r="DD1356" s="4" t="n"/>
      <c r="DE1356" s="4" t="n"/>
      <c r="DF1356" s="4" t="n"/>
      <c r="DG1356" s="4" t="n"/>
      <c r="DH1356" s="4" t="n"/>
      <c r="DI1356" s="4" t="n"/>
      <c r="DJ1356" s="4" t="n"/>
      <c r="DK1356" s="4" t="n"/>
      <c r="DL1356" s="4" t="n"/>
      <c r="DM1356" s="4" t="n"/>
      <c r="DN1356" s="4" t="n"/>
      <c r="DO1356" s="4" t="n"/>
      <c r="DP1356" s="4" t="n"/>
      <c r="DQ1356" s="4" t="n"/>
      <c r="DR1356" s="4" t="n"/>
      <c r="DS1356" s="4" t="n"/>
      <c r="DT1356" s="4" t="n"/>
      <c r="DU1356" s="4" t="n"/>
      <c r="DV1356" s="4" t="n"/>
      <c r="DW1356" s="4" t="n"/>
      <c r="DX1356" s="4" t="n"/>
      <c r="DY1356" s="4" t="n"/>
      <c r="DZ1356" s="4" t="n"/>
      <c r="EA1356" s="4" t="n"/>
      <c r="EB1356" s="4" t="n"/>
      <c r="EC1356" s="4" t="n"/>
      <c r="ED1356" s="4" t="n"/>
      <c r="EE1356" s="4" t="n"/>
      <c r="EF1356" s="4" t="n"/>
      <c r="EG1356" s="4" t="n"/>
      <c r="EH1356" s="4" t="n"/>
      <c r="EI1356" s="4" t="n"/>
      <c r="EJ1356" s="4" t="n"/>
      <c r="EK1356" s="4" t="n"/>
      <c r="EL1356" s="4" t="n"/>
      <c r="EM1356" s="4" t="n"/>
      <c r="EN1356" s="4" t="n"/>
      <c r="EO1356" s="4" t="n"/>
      <c r="EP1356" s="4" t="n"/>
      <c r="EQ1356" s="4" t="n"/>
      <c r="ER1356" s="4" t="n"/>
      <c r="ES1356" s="4" t="n"/>
      <c r="ET1356" s="4" t="n"/>
      <c r="EU1356" s="4" t="n"/>
      <c r="EV1356" s="4" t="n"/>
      <c r="EW1356" s="4" t="n"/>
      <c r="EX1356" s="4" t="n"/>
      <c r="EY1356" s="4" t="n"/>
      <c r="EZ1356" s="4" t="n"/>
      <c r="FA1356" s="4" t="n"/>
      <c r="FB1356" s="4" t="n"/>
      <c r="FC1356" s="4" t="n"/>
    </row>
    <row r="1357" hidden="1" customFormat="1" s="6">
      <c r="C1357" s="4" t="n"/>
      <c r="D1357" s="4" t="n"/>
      <c r="E1357" s="4" t="n"/>
      <c r="F1357" s="4" t="n"/>
      <c r="G1357" s="4" t="n"/>
      <c r="H1357" s="4" t="n"/>
      <c r="I1357" s="4" t="n"/>
      <c r="J1357" s="4" t="n"/>
      <c r="K1357" s="4" t="n"/>
      <c r="L1357" s="4" t="n"/>
      <c r="M1357" s="4" t="n"/>
      <c r="N1357" s="4" t="n"/>
      <c r="O1357" s="4" t="n"/>
      <c r="P1357" s="4" t="n"/>
      <c r="Q1357" s="4" t="n"/>
      <c r="R1357" s="4" t="n"/>
      <c r="S1357" s="4" t="n"/>
      <c r="T1357" s="4" t="n"/>
      <c r="U1357" s="4" t="n"/>
      <c r="V1357" s="4" t="n"/>
      <c r="W1357" s="4" t="n"/>
      <c r="X1357" s="4" t="n"/>
      <c r="Y1357" s="4" t="n"/>
      <c r="Z1357" s="4" t="n"/>
      <c r="AA1357" s="4" t="n"/>
      <c r="AB1357" s="4" t="n"/>
      <c r="AC1357" s="4" t="n"/>
      <c r="AD1357" s="4" t="n"/>
      <c r="AE1357" s="4" t="n"/>
      <c r="AF1357" s="4" t="n"/>
      <c r="AG1357" s="4" t="n"/>
      <c r="AH1357" s="4" t="n"/>
      <c r="AI1357" s="4" t="n"/>
      <c r="AJ1357" s="4" t="n"/>
      <c r="AK1357" s="4" t="n"/>
      <c r="AL1357" s="4" t="n"/>
      <c r="AM1357" s="4" t="n"/>
      <c r="AN1357" s="4" t="n"/>
      <c r="AO1357" s="4" t="n"/>
      <c r="AP1357" s="4" t="n"/>
      <c r="AQ1357" s="4" t="n"/>
      <c r="AR1357" s="4" t="n"/>
      <c r="AS1357" s="4" t="n"/>
      <c r="AT1357" s="4" t="n"/>
      <c r="AU1357" s="4" t="n"/>
      <c r="AV1357" s="4" t="n"/>
      <c r="AW1357" s="4" t="n"/>
      <c r="AX1357" s="4" t="n"/>
      <c r="AY1357" s="4" t="n"/>
      <c r="AZ1357" s="4" t="n"/>
      <c r="BA1357" s="4" t="n"/>
      <c r="BB1357" s="4" t="n"/>
      <c r="BC1357" s="4" t="n"/>
      <c r="BD1357" s="4" t="n"/>
      <c r="BE1357" s="4" t="n"/>
      <c r="BF1357" s="4" t="n"/>
      <c r="BG1357" s="4" t="n"/>
      <c r="BH1357" s="4" t="n"/>
      <c r="BI1357" s="4" t="n"/>
      <c r="BJ1357" s="4" t="n"/>
      <c r="BK1357" s="4" t="n"/>
      <c r="BL1357" s="4" t="n"/>
      <c r="BM1357" s="4" t="n"/>
      <c r="BN1357" s="4" t="n"/>
      <c r="BO1357" s="4" t="n"/>
      <c r="BP1357" s="4" t="n"/>
      <c r="BQ1357" s="4" t="n"/>
      <c r="BR1357" s="4" t="n"/>
      <c r="BS1357" s="4" t="n"/>
      <c r="BT1357" s="4" t="n"/>
      <c r="BU1357" s="4" t="n"/>
      <c r="BV1357" s="4" t="n"/>
      <c r="BW1357" s="4" t="n"/>
      <c r="BX1357" s="4" t="n"/>
      <c r="BY1357" s="4" t="n"/>
      <c r="BZ1357" s="4" t="n"/>
      <c r="CA1357" s="4" t="n"/>
      <c r="CB1357" s="4" t="n"/>
      <c r="CC1357" s="4" t="n"/>
      <c r="CD1357" s="4" t="n"/>
      <c r="CE1357" s="4" t="n"/>
      <c r="CF1357" s="4" t="n"/>
      <c r="CG1357" s="4" t="n"/>
      <c r="CH1357" s="4" t="n"/>
      <c r="CI1357" s="4" t="n"/>
      <c r="CJ1357" s="4" t="n"/>
      <c r="CK1357" s="4" t="n"/>
      <c r="CL1357" s="4" t="n"/>
      <c r="CM1357" s="4" t="n"/>
      <c r="CN1357" s="4" t="n"/>
      <c r="CO1357" s="4" t="n"/>
      <c r="CP1357" s="4" t="n"/>
      <c r="CQ1357" s="4" t="n"/>
      <c r="CR1357" s="4" t="n"/>
      <c r="CS1357" s="4" t="n"/>
      <c r="CT1357" s="4" t="n"/>
      <c r="CU1357" s="4" t="n"/>
      <c r="CV1357" s="4" t="n"/>
      <c r="CW1357" s="4" t="n"/>
      <c r="CX1357" s="4" t="n"/>
      <c r="CY1357" s="4" t="n"/>
      <c r="CZ1357" s="4" t="n"/>
      <c r="DA1357" s="4" t="n"/>
      <c r="DB1357" s="4" t="n"/>
      <c r="DC1357" s="4" t="n"/>
      <c r="DD1357" s="4" t="n"/>
      <c r="DE1357" s="4" t="n"/>
      <c r="DF1357" s="4" t="n"/>
      <c r="DG1357" s="4" t="n"/>
      <c r="DH1357" s="4" t="n"/>
      <c r="DI1357" s="4" t="n"/>
      <c r="DJ1357" s="4" t="n"/>
      <c r="DK1357" s="4" t="n"/>
      <c r="DL1357" s="4" t="n"/>
      <c r="DM1357" s="4" t="n"/>
      <c r="DN1357" s="4" t="n"/>
      <c r="DO1357" s="4" t="n"/>
      <c r="DP1357" s="4" t="n"/>
      <c r="DQ1357" s="4" t="n"/>
      <c r="DR1357" s="4" t="n"/>
      <c r="DS1357" s="4" t="n"/>
      <c r="DT1357" s="4" t="n"/>
      <c r="DU1357" s="4" t="n"/>
      <c r="DV1357" s="4" t="n"/>
      <c r="DW1357" s="4" t="n"/>
      <c r="DX1357" s="4" t="n"/>
      <c r="DY1357" s="4" t="n"/>
      <c r="DZ1357" s="4" t="n"/>
      <c r="EA1357" s="4" t="n"/>
      <c r="EB1357" s="4" t="n"/>
      <c r="EC1357" s="4" t="n"/>
      <c r="ED1357" s="4" t="n"/>
      <c r="EE1357" s="4" t="n"/>
      <c r="EF1357" s="4" t="n"/>
      <c r="EG1357" s="4" t="n"/>
      <c r="EH1357" s="4" t="n"/>
      <c r="EI1357" s="4" t="n"/>
      <c r="EJ1357" s="4" t="n"/>
      <c r="EK1357" s="4" t="n"/>
      <c r="EL1357" s="4" t="n"/>
      <c r="EM1357" s="4" t="n"/>
      <c r="EN1357" s="4" t="n"/>
      <c r="EO1357" s="4" t="n"/>
      <c r="EP1357" s="4" t="n"/>
      <c r="EQ1357" s="4" t="n"/>
      <c r="ER1357" s="4" t="n"/>
      <c r="ES1357" s="4" t="n"/>
      <c r="ET1357" s="4" t="n"/>
      <c r="EU1357" s="4" t="n"/>
      <c r="EV1357" s="4" t="n"/>
      <c r="EW1357" s="4" t="n"/>
      <c r="EX1357" s="4" t="n"/>
      <c r="EY1357" s="4" t="n"/>
      <c r="EZ1357" s="4" t="n"/>
      <c r="FA1357" s="4" t="n"/>
      <c r="FB1357" s="4" t="n"/>
      <c r="FC1357" s="4" t="n"/>
    </row>
    <row r="1358" hidden="1" customFormat="1" s="6">
      <c r="C1358" s="4" t="n"/>
      <c r="D1358" s="4" t="n"/>
      <c r="E1358" s="4" t="n"/>
      <c r="F1358" s="4" t="n"/>
      <c r="G1358" s="4" t="n"/>
      <c r="H1358" s="4" t="n"/>
      <c r="I1358" s="4" t="n"/>
      <c r="J1358" s="4" t="n"/>
      <c r="K1358" s="4" t="n"/>
      <c r="L1358" s="4" t="n"/>
      <c r="M1358" s="4" t="n"/>
      <c r="N1358" s="4" t="n"/>
      <c r="O1358" s="4" t="n"/>
      <c r="P1358" s="4" t="n"/>
      <c r="Q1358" s="4" t="n"/>
      <c r="R1358" s="4" t="n"/>
      <c r="S1358" s="4" t="n"/>
      <c r="T1358" s="4" t="n"/>
      <c r="U1358" s="4" t="n"/>
      <c r="V1358" s="4" t="n"/>
      <c r="W1358" s="4" t="n"/>
      <c r="X1358" s="4" t="n"/>
      <c r="Y1358" s="4" t="n"/>
      <c r="Z1358" s="4" t="n"/>
      <c r="AA1358" s="4" t="n"/>
      <c r="AB1358" s="4" t="n"/>
      <c r="AC1358" s="4" t="n"/>
      <c r="AD1358" s="4" t="n"/>
      <c r="AE1358" s="4" t="n"/>
      <c r="AF1358" s="4" t="n"/>
      <c r="AG1358" s="4" t="n"/>
      <c r="AH1358" s="4" t="n"/>
      <c r="AI1358" s="4" t="n"/>
      <c r="AJ1358" s="4" t="n"/>
      <c r="AK1358" s="4" t="n"/>
      <c r="AL1358" s="4" t="n"/>
      <c r="AM1358" s="4" t="n"/>
      <c r="AN1358" s="4" t="n"/>
      <c r="AO1358" s="4" t="n"/>
      <c r="AP1358" s="4" t="n"/>
      <c r="AQ1358" s="4" t="n"/>
      <c r="AR1358" s="4" t="n"/>
      <c r="AS1358" s="4" t="n"/>
      <c r="AT1358" s="4" t="n"/>
      <c r="AU1358" s="4" t="n"/>
      <c r="AV1358" s="4" t="n"/>
      <c r="AW1358" s="4" t="n"/>
      <c r="AX1358" s="4" t="n"/>
      <c r="AY1358" s="4" t="n"/>
      <c r="AZ1358" s="4" t="n"/>
      <c r="BA1358" s="4" t="n"/>
      <c r="BB1358" s="4" t="n"/>
      <c r="BC1358" s="4" t="n"/>
      <c r="BD1358" s="4" t="n"/>
      <c r="BE1358" s="4" t="n"/>
      <c r="BF1358" s="4" t="n"/>
      <c r="BG1358" s="4" t="n"/>
      <c r="BH1358" s="4" t="n"/>
      <c r="BI1358" s="4" t="n"/>
      <c r="BJ1358" s="4" t="n"/>
      <c r="BK1358" s="4" t="n"/>
      <c r="BL1358" s="4" t="n"/>
      <c r="BM1358" s="4" t="n"/>
      <c r="BN1358" s="4" t="n"/>
      <c r="BO1358" s="4" t="n"/>
      <c r="BP1358" s="4" t="n"/>
      <c r="BQ1358" s="4" t="n"/>
      <c r="BR1358" s="4" t="n"/>
      <c r="BS1358" s="4" t="n"/>
      <c r="BT1358" s="4" t="n"/>
      <c r="BU1358" s="4" t="n"/>
      <c r="BV1358" s="4" t="n"/>
      <c r="BW1358" s="4" t="n"/>
      <c r="BX1358" s="4" t="n"/>
      <c r="BY1358" s="4" t="n"/>
      <c r="BZ1358" s="4" t="n"/>
      <c r="CA1358" s="4" t="n"/>
      <c r="CB1358" s="4" t="n"/>
      <c r="CC1358" s="4" t="n"/>
      <c r="CD1358" s="4" t="n"/>
      <c r="CE1358" s="4" t="n"/>
      <c r="CF1358" s="4" t="n"/>
      <c r="CG1358" s="4" t="n"/>
      <c r="CH1358" s="4" t="n"/>
      <c r="CI1358" s="4" t="n"/>
      <c r="CJ1358" s="4" t="n"/>
      <c r="CK1358" s="4" t="n"/>
      <c r="CL1358" s="4" t="n"/>
      <c r="CM1358" s="4" t="n"/>
      <c r="CN1358" s="4" t="n"/>
      <c r="CO1358" s="4" t="n"/>
      <c r="CP1358" s="4" t="n"/>
      <c r="CQ1358" s="4" t="n"/>
      <c r="CR1358" s="4" t="n"/>
      <c r="CS1358" s="4" t="n"/>
      <c r="CT1358" s="4" t="n"/>
      <c r="CU1358" s="4" t="n"/>
      <c r="CV1358" s="4" t="n"/>
      <c r="CW1358" s="4" t="n"/>
      <c r="CX1358" s="4" t="n"/>
      <c r="CY1358" s="4" t="n"/>
      <c r="CZ1358" s="4" t="n"/>
      <c r="DA1358" s="4" t="n"/>
      <c r="DB1358" s="4" t="n"/>
      <c r="DC1358" s="4" t="n"/>
      <c r="DD1358" s="4" t="n"/>
      <c r="DE1358" s="4" t="n"/>
      <c r="DF1358" s="4" t="n"/>
      <c r="DG1358" s="4" t="n"/>
      <c r="DH1358" s="4" t="n"/>
      <c r="DI1358" s="4" t="n"/>
      <c r="DJ1358" s="4" t="n"/>
      <c r="DK1358" s="4" t="n"/>
      <c r="DL1358" s="4" t="n"/>
      <c r="DM1358" s="4" t="n"/>
      <c r="DN1358" s="4" t="n"/>
      <c r="DO1358" s="4" t="n"/>
      <c r="DP1358" s="4" t="n"/>
      <c r="DQ1358" s="4" t="n"/>
      <c r="DR1358" s="4" t="n"/>
      <c r="DS1358" s="4" t="n"/>
      <c r="DT1358" s="4" t="n"/>
      <c r="DU1358" s="4" t="n"/>
      <c r="DV1358" s="4" t="n"/>
      <c r="DW1358" s="4" t="n"/>
      <c r="DX1358" s="4" t="n"/>
      <c r="DY1358" s="4" t="n"/>
      <c r="DZ1358" s="4" t="n"/>
      <c r="EA1358" s="4" t="n"/>
      <c r="EB1358" s="4" t="n"/>
      <c r="EC1358" s="4" t="n"/>
      <c r="ED1358" s="4" t="n"/>
      <c r="EE1358" s="4" t="n"/>
      <c r="EF1358" s="4" t="n"/>
      <c r="EG1358" s="4" t="n"/>
      <c r="EH1358" s="4" t="n"/>
      <c r="EI1358" s="4" t="n"/>
      <c r="EJ1358" s="4" t="n"/>
      <c r="EK1358" s="4" t="n"/>
      <c r="EL1358" s="4" t="n"/>
      <c r="EM1358" s="4" t="n"/>
      <c r="EN1358" s="4" t="n"/>
      <c r="EO1358" s="4" t="n"/>
      <c r="EP1358" s="4" t="n"/>
      <c r="EQ1358" s="4" t="n"/>
      <c r="ER1358" s="4" t="n"/>
      <c r="ES1358" s="4" t="n"/>
      <c r="ET1358" s="4" t="n"/>
      <c r="EU1358" s="4" t="n"/>
      <c r="EV1358" s="4" t="n"/>
      <c r="EW1358" s="4" t="n"/>
      <c r="EX1358" s="4" t="n"/>
      <c r="EY1358" s="4" t="n"/>
      <c r="EZ1358" s="4" t="n"/>
      <c r="FA1358" s="4" t="n"/>
      <c r="FB1358" s="4" t="n"/>
      <c r="FC1358" s="4" t="n"/>
    </row>
    <row r="1359" hidden="1" customFormat="1" s="6">
      <c r="C1359" s="4" t="n"/>
      <c r="D1359" s="4" t="n"/>
      <c r="E1359" s="4" t="n"/>
      <c r="F1359" s="4" t="n"/>
      <c r="G1359" s="4" t="n"/>
      <c r="H1359" s="4" t="n"/>
      <c r="I1359" s="4" t="n"/>
      <c r="J1359" s="4" t="n"/>
      <c r="K1359" s="4" t="n"/>
      <c r="L1359" s="4" t="n"/>
      <c r="M1359" s="4" t="n"/>
      <c r="N1359" s="4" t="n"/>
      <c r="O1359" s="4" t="n"/>
      <c r="P1359" s="4" t="n"/>
      <c r="Q1359" s="4" t="n"/>
      <c r="R1359" s="4" t="n"/>
      <c r="S1359" s="4" t="n"/>
      <c r="T1359" s="4" t="n"/>
      <c r="U1359" s="4" t="n"/>
      <c r="V1359" s="4" t="n"/>
      <c r="W1359" s="4" t="n"/>
      <c r="X1359" s="4" t="n"/>
      <c r="Y1359" s="4" t="n"/>
      <c r="Z1359" s="4" t="n"/>
      <c r="AA1359" s="4" t="n"/>
      <c r="AB1359" s="4" t="n"/>
      <c r="AC1359" s="4" t="n"/>
      <c r="AD1359" s="4" t="n"/>
      <c r="AE1359" s="4" t="n"/>
      <c r="AF1359" s="4" t="n"/>
      <c r="AG1359" s="4" t="n"/>
      <c r="AH1359" s="4" t="n"/>
      <c r="AI1359" s="4" t="n"/>
      <c r="AJ1359" s="4" t="n"/>
      <c r="AK1359" s="4" t="n"/>
      <c r="AL1359" s="4" t="n"/>
      <c r="AM1359" s="4" t="n"/>
      <c r="AN1359" s="4" t="n"/>
      <c r="AO1359" s="4" t="n"/>
      <c r="AP1359" s="4" t="n"/>
      <c r="AQ1359" s="4" t="n"/>
      <c r="AR1359" s="4" t="n"/>
      <c r="AS1359" s="4" t="n"/>
      <c r="AT1359" s="4" t="n"/>
      <c r="AU1359" s="4" t="n"/>
      <c r="AV1359" s="4" t="n"/>
      <c r="AW1359" s="4" t="n"/>
      <c r="AX1359" s="4" t="n"/>
      <c r="AY1359" s="4" t="n"/>
      <c r="AZ1359" s="4" t="n"/>
      <c r="BA1359" s="4" t="n"/>
      <c r="BB1359" s="4" t="n"/>
      <c r="BC1359" s="4" t="n"/>
      <c r="BD1359" s="4" t="n"/>
      <c r="BE1359" s="4" t="n"/>
      <c r="BF1359" s="4" t="n"/>
      <c r="BG1359" s="4" t="n"/>
      <c r="BH1359" s="4" t="n"/>
      <c r="BI1359" s="4" t="n"/>
      <c r="BJ1359" s="4" t="n"/>
      <c r="BK1359" s="4" t="n"/>
      <c r="BL1359" s="4" t="n"/>
      <c r="BM1359" s="4" t="n"/>
      <c r="BN1359" s="4" t="n"/>
      <c r="BO1359" s="4" t="n"/>
      <c r="BP1359" s="4" t="n"/>
      <c r="BQ1359" s="4" t="n"/>
      <c r="BR1359" s="4" t="n"/>
      <c r="BS1359" s="4" t="n"/>
      <c r="BT1359" s="4" t="n"/>
      <c r="BU1359" s="4" t="n"/>
      <c r="BV1359" s="4" t="n"/>
      <c r="BW1359" s="4" t="n"/>
      <c r="BX1359" s="4" t="n"/>
      <c r="BY1359" s="4" t="n"/>
      <c r="BZ1359" s="4" t="n"/>
      <c r="CA1359" s="4" t="n"/>
      <c r="CB1359" s="4" t="n"/>
      <c r="CC1359" s="4" t="n"/>
      <c r="CD1359" s="4" t="n"/>
      <c r="CE1359" s="4" t="n"/>
      <c r="CF1359" s="4" t="n"/>
      <c r="CG1359" s="4" t="n"/>
      <c r="CH1359" s="4" t="n"/>
      <c r="CI1359" s="4" t="n"/>
      <c r="CJ1359" s="4" t="n"/>
      <c r="CK1359" s="4" t="n"/>
      <c r="CL1359" s="4" t="n"/>
      <c r="CM1359" s="4" t="n"/>
      <c r="CN1359" s="4" t="n"/>
      <c r="CO1359" s="4" t="n"/>
      <c r="CP1359" s="4" t="n"/>
      <c r="CQ1359" s="4" t="n"/>
      <c r="CR1359" s="4" t="n"/>
      <c r="CS1359" s="4" t="n"/>
      <c r="CT1359" s="4" t="n"/>
      <c r="CU1359" s="4" t="n"/>
      <c r="CV1359" s="4" t="n"/>
      <c r="CW1359" s="4" t="n"/>
      <c r="CX1359" s="4" t="n"/>
      <c r="CY1359" s="4" t="n"/>
      <c r="CZ1359" s="4" t="n"/>
      <c r="DA1359" s="4" t="n"/>
      <c r="DB1359" s="4" t="n"/>
      <c r="DC1359" s="4" t="n"/>
      <c r="DD1359" s="4" t="n"/>
      <c r="DE1359" s="4" t="n"/>
      <c r="DF1359" s="4" t="n"/>
      <c r="DG1359" s="4" t="n"/>
      <c r="DH1359" s="4" t="n"/>
      <c r="DI1359" s="4" t="n"/>
      <c r="DJ1359" s="4" t="n"/>
      <c r="DK1359" s="4" t="n"/>
      <c r="DL1359" s="4" t="n"/>
      <c r="DM1359" s="4" t="n"/>
      <c r="DN1359" s="4" t="n"/>
      <c r="DO1359" s="4" t="n"/>
      <c r="DP1359" s="4" t="n"/>
      <c r="DQ1359" s="4" t="n"/>
      <c r="DR1359" s="4" t="n"/>
      <c r="DS1359" s="4" t="n"/>
      <c r="DT1359" s="4" t="n"/>
      <c r="DU1359" s="4" t="n"/>
      <c r="DV1359" s="4" t="n"/>
      <c r="DW1359" s="4" t="n"/>
      <c r="DX1359" s="4" t="n"/>
      <c r="DY1359" s="4" t="n"/>
      <c r="DZ1359" s="4" t="n"/>
      <c r="EA1359" s="4" t="n"/>
      <c r="EB1359" s="4" t="n"/>
      <c r="EC1359" s="4" t="n"/>
      <c r="ED1359" s="4" t="n"/>
      <c r="EE1359" s="4" t="n"/>
      <c r="EF1359" s="4" t="n"/>
      <c r="EG1359" s="4" t="n"/>
      <c r="EH1359" s="4" t="n"/>
      <c r="EI1359" s="4" t="n"/>
      <c r="EJ1359" s="4" t="n"/>
      <c r="EK1359" s="4" t="n"/>
      <c r="EL1359" s="4" t="n"/>
      <c r="EM1359" s="4" t="n"/>
      <c r="EN1359" s="4" t="n"/>
      <c r="EO1359" s="4" t="n"/>
      <c r="EP1359" s="4" t="n"/>
      <c r="EQ1359" s="4" t="n"/>
      <c r="ER1359" s="4" t="n"/>
      <c r="ES1359" s="4" t="n"/>
      <c r="ET1359" s="4" t="n"/>
      <c r="EU1359" s="4" t="n"/>
      <c r="EV1359" s="4" t="n"/>
      <c r="EW1359" s="4" t="n"/>
      <c r="EX1359" s="4" t="n"/>
      <c r="EY1359" s="4" t="n"/>
      <c r="EZ1359" s="4" t="n"/>
      <c r="FA1359" s="4" t="n"/>
      <c r="FB1359" s="4" t="n"/>
      <c r="FC1359" s="4" t="n"/>
    </row>
    <row r="1360" hidden="1" customFormat="1" s="6">
      <c r="C1360" s="4" t="n"/>
      <c r="D1360" s="4" t="n"/>
      <c r="E1360" s="4" t="n"/>
      <c r="F1360" s="4" t="n"/>
      <c r="G1360" s="4" t="n"/>
      <c r="H1360" s="4" t="n"/>
      <c r="I1360" s="4" t="n"/>
      <c r="J1360" s="4" t="n"/>
      <c r="K1360" s="4" t="n"/>
      <c r="L1360" s="4" t="n"/>
      <c r="M1360" s="4" t="n"/>
      <c r="N1360" s="4" t="n"/>
      <c r="O1360" s="4" t="n"/>
      <c r="P1360" s="4" t="n"/>
      <c r="Q1360" s="4" t="n"/>
      <c r="R1360" s="4" t="n"/>
      <c r="S1360" s="4" t="n"/>
      <c r="T1360" s="4" t="n"/>
      <c r="U1360" s="4" t="n"/>
      <c r="V1360" s="4" t="n"/>
      <c r="W1360" s="4" t="n"/>
      <c r="X1360" s="4" t="n"/>
      <c r="Y1360" s="4" t="n"/>
      <c r="Z1360" s="4" t="n"/>
      <c r="AA1360" s="4" t="n"/>
      <c r="AB1360" s="4" t="n"/>
      <c r="AC1360" s="4" t="n"/>
      <c r="AD1360" s="4" t="n"/>
      <c r="AE1360" s="4" t="n"/>
      <c r="AF1360" s="4" t="n"/>
      <c r="AG1360" s="4" t="n"/>
      <c r="AH1360" s="4" t="n"/>
      <c r="AI1360" s="4" t="n"/>
      <c r="AJ1360" s="4" t="n"/>
      <c r="AK1360" s="4" t="n"/>
      <c r="AL1360" s="4" t="n"/>
      <c r="AM1360" s="4" t="n"/>
      <c r="AN1360" s="4" t="n"/>
      <c r="AO1360" s="4" t="n"/>
      <c r="AP1360" s="4" t="n"/>
      <c r="AQ1360" s="4" t="n"/>
      <c r="AR1360" s="4" t="n"/>
      <c r="AS1360" s="4" t="n"/>
      <c r="AT1360" s="4" t="n"/>
      <c r="AU1360" s="4" t="n"/>
      <c r="AV1360" s="4" t="n"/>
      <c r="AW1360" s="4" t="n"/>
      <c r="AX1360" s="4" t="n"/>
      <c r="AY1360" s="4" t="n"/>
      <c r="AZ1360" s="4" t="n"/>
      <c r="BA1360" s="4" t="n"/>
      <c r="BB1360" s="4" t="n"/>
      <c r="BC1360" s="4" t="n"/>
      <c r="BD1360" s="4" t="n"/>
      <c r="BE1360" s="4" t="n"/>
      <c r="BF1360" s="4" t="n"/>
      <c r="BG1360" s="4" t="n"/>
      <c r="BH1360" s="4" t="n"/>
      <c r="BI1360" s="4" t="n"/>
      <c r="BJ1360" s="4" t="n"/>
      <c r="BK1360" s="4" t="n"/>
      <c r="BL1360" s="4" t="n"/>
      <c r="BM1360" s="4" t="n"/>
      <c r="BN1360" s="4" t="n"/>
      <c r="BO1360" s="4" t="n"/>
      <c r="BP1360" s="4" t="n"/>
      <c r="BQ1360" s="4" t="n"/>
      <c r="BR1360" s="4" t="n"/>
      <c r="BS1360" s="4" t="n"/>
      <c r="BT1360" s="4" t="n"/>
      <c r="BU1360" s="4" t="n"/>
      <c r="BV1360" s="4" t="n"/>
      <c r="BW1360" s="4" t="n"/>
      <c r="BX1360" s="4" t="n"/>
      <c r="BY1360" s="4" t="n"/>
      <c r="BZ1360" s="4" t="n"/>
      <c r="CA1360" s="4" t="n"/>
      <c r="CB1360" s="4" t="n"/>
      <c r="CC1360" s="4" t="n"/>
      <c r="CD1360" s="4" t="n"/>
      <c r="CE1360" s="4" t="n"/>
      <c r="CF1360" s="4" t="n"/>
      <c r="CG1360" s="4" t="n"/>
      <c r="CH1360" s="4" t="n"/>
      <c r="CI1360" s="4" t="n"/>
      <c r="CJ1360" s="4" t="n"/>
      <c r="CK1360" s="4" t="n"/>
      <c r="CL1360" s="4" t="n"/>
      <c r="CM1360" s="4" t="n"/>
      <c r="CN1360" s="4" t="n"/>
      <c r="CO1360" s="4" t="n"/>
      <c r="CP1360" s="4" t="n"/>
      <c r="CQ1360" s="4" t="n"/>
      <c r="CR1360" s="4" t="n"/>
      <c r="CS1360" s="4" t="n"/>
      <c r="CT1360" s="4" t="n"/>
      <c r="CU1360" s="4" t="n"/>
      <c r="CV1360" s="4" t="n"/>
      <c r="CW1360" s="4" t="n"/>
      <c r="CX1360" s="4" t="n"/>
      <c r="CY1360" s="4" t="n"/>
      <c r="CZ1360" s="4" t="n"/>
      <c r="DA1360" s="4" t="n"/>
      <c r="DB1360" s="4" t="n"/>
      <c r="DC1360" s="4" t="n"/>
      <c r="DD1360" s="4" t="n"/>
      <c r="DE1360" s="4" t="n"/>
      <c r="DF1360" s="4" t="n"/>
      <c r="DG1360" s="4" t="n"/>
      <c r="DH1360" s="4" t="n"/>
      <c r="DI1360" s="4" t="n"/>
      <c r="DJ1360" s="4" t="n"/>
      <c r="DK1360" s="4" t="n"/>
      <c r="DL1360" s="4" t="n"/>
      <c r="DM1360" s="4" t="n"/>
      <c r="DN1360" s="4" t="n"/>
      <c r="DO1360" s="4" t="n"/>
      <c r="DP1360" s="4" t="n"/>
      <c r="DQ1360" s="4" t="n"/>
      <c r="DR1360" s="4" t="n"/>
      <c r="DS1360" s="4" t="n"/>
      <c r="DT1360" s="4" t="n"/>
      <c r="DU1360" s="4" t="n"/>
      <c r="DV1360" s="4" t="n"/>
      <c r="DW1360" s="4" t="n"/>
      <c r="DX1360" s="4" t="n"/>
      <c r="DY1360" s="4" t="n"/>
      <c r="DZ1360" s="4" t="n"/>
      <c r="EA1360" s="4" t="n"/>
      <c r="EB1360" s="4" t="n"/>
      <c r="EC1360" s="4" t="n"/>
      <c r="ED1360" s="4" t="n"/>
      <c r="EE1360" s="4" t="n"/>
      <c r="EF1360" s="4" t="n"/>
      <c r="EG1360" s="4" t="n"/>
      <c r="EH1360" s="4" t="n"/>
      <c r="EI1360" s="4" t="n"/>
      <c r="EJ1360" s="4" t="n"/>
      <c r="EK1360" s="4" t="n"/>
      <c r="EL1360" s="4" t="n"/>
      <c r="EM1360" s="4" t="n"/>
      <c r="EN1360" s="4" t="n"/>
      <c r="EO1360" s="4" t="n"/>
      <c r="EP1360" s="4" t="n"/>
      <c r="EQ1360" s="4" t="n"/>
      <c r="ER1360" s="4" t="n"/>
      <c r="ES1360" s="4" t="n"/>
      <c r="ET1360" s="4" t="n"/>
      <c r="EU1360" s="4" t="n"/>
      <c r="EV1360" s="4" t="n"/>
      <c r="EW1360" s="4" t="n"/>
      <c r="EX1360" s="4" t="n"/>
      <c r="EY1360" s="4" t="n"/>
      <c r="EZ1360" s="4" t="n"/>
      <c r="FA1360" s="4" t="n"/>
      <c r="FB1360" s="4" t="n"/>
      <c r="FC1360" s="4" t="n"/>
    </row>
    <row r="1361" hidden="1" customFormat="1" s="6">
      <c r="C1361" s="4" t="n"/>
      <c r="D1361" s="4" t="n"/>
      <c r="E1361" s="4" t="n"/>
      <c r="F1361" s="4" t="n"/>
      <c r="G1361" s="4" t="n"/>
      <c r="H1361" s="4" t="n"/>
      <c r="I1361" s="4" t="n"/>
      <c r="J1361" s="4" t="n"/>
      <c r="K1361" s="4" t="n"/>
      <c r="L1361" s="4" t="n"/>
      <c r="M1361" s="4" t="n"/>
      <c r="N1361" s="4" t="n"/>
      <c r="O1361" s="4" t="n"/>
      <c r="P1361" s="4" t="n"/>
      <c r="Q1361" s="4" t="n"/>
      <c r="R1361" s="4" t="n"/>
      <c r="S1361" s="4" t="n"/>
      <c r="T1361" s="4" t="n"/>
      <c r="U1361" s="4" t="n"/>
      <c r="V1361" s="4" t="n"/>
      <c r="W1361" s="4" t="n"/>
      <c r="X1361" s="4" t="n"/>
      <c r="Y1361" s="4" t="n"/>
      <c r="Z1361" s="4" t="n"/>
      <c r="AA1361" s="4" t="n"/>
      <c r="AB1361" s="4" t="n"/>
      <c r="AC1361" s="4" t="n"/>
      <c r="AD1361" s="4" t="n"/>
      <c r="AE1361" s="4" t="n"/>
      <c r="AF1361" s="4" t="n"/>
      <c r="AG1361" s="4" t="n"/>
      <c r="AH1361" s="4" t="n"/>
      <c r="AI1361" s="4" t="n"/>
      <c r="AJ1361" s="4" t="n"/>
      <c r="AK1361" s="4" t="n"/>
      <c r="AL1361" s="4" t="n"/>
      <c r="AM1361" s="4" t="n"/>
      <c r="AN1361" s="4" t="n"/>
      <c r="AO1361" s="4" t="n"/>
      <c r="AP1361" s="4" t="n"/>
      <c r="AQ1361" s="4" t="n"/>
      <c r="AR1361" s="4" t="n"/>
      <c r="AS1361" s="4" t="n"/>
      <c r="AT1361" s="4" t="n"/>
      <c r="AU1361" s="4" t="n"/>
      <c r="AV1361" s="4" t="n"/>
      <c r="AW1361" s="4" t="n"/>
      <c r="AX1361" s="4" t="n"/>
      <c r="AY1361" s="4" t="n"/>
      <c r="AZ1361" s="4" t="n"/>
      <c r="BA1361" s="4" t="n"/>
      <c r="BB1361" s="4" t="n"/>
      <c r="BC1361" s="4" t="n"/>
      <c r="BD1361" s="4" t="n"/>
      <c r="BE1361" s="4" t="n"/>
      <c r="BF1361" s="4" t="n"/>
      <c r="BG1361" s="4" t="n"/>
      <c r="BH1361" s="4" t="n"/>
      <c r="BI1361" s="4" t="n"/>
      <c r="BJ1361" s="4" t="n"/>
      <c r="BK1361" s="4" t="n"/>
      <c r="BL1361" s="4" t="n"/>
      <c r="BM1361" s="4" t="n"/>
      <c r="BN1361" s="4" t="n"/>
      <c r="BO1361" s="4" t="n"/>
      <c r="BP1361" s="4" t="n"/>
      <c r="BQ1361" s="4" t="n"/>
      <c r="BR1361" s="4" t="n"/>
      <c r="BS1361" s="4" t="n"/>
      <c r="BT1361" s="4" t="n"/>
      <c r="BU1361" s="4" t="n"/>
      <c r="BV1361" s="4" t="n"/>
      <c r="BW1361" s="4" t="n"/>
      <c r="BX1361" s="4" t="n"/>
      <c r="BY1361" s="4" t="n"/>
      <c r="BZ1361" s="4" t="n"/>
      <c r="CA1361" s="4" t="n"/>
      <c r="CB1361" s="4" t="n"/>
      <c r="CC1361" s="4" t="n"/>
      <c r="CD1361" s="4" t="n"/>
      <c r="CE1361" s="4" t="n"/>
      <c r="CF1361" s="4" t="n"/>
      <c r="CG1361" s="4" t="n"/>
      <c r="CH1361" s="4" t="n"/>
      <c r="CI1361" s="4" t="n"/>
      <c r="CJ1361" s="4" t="n"/>
      <c r="CK1361" s="4" t="n"/>
      <c r="CL1361" s="4" t="n"/>
      <c r="CM1361" s="4" t="n"/>
      <c r="CN1361" s="4" t="n"/>
      <c r="CO1361" s="4" t="n"/>
      <c r="CP1361" s="4" t="n"/>
      <c r="CQ1361" s="4" t="n"/>
      <c r="CR1361" s="4" t="n"/>
      <c r="CS1361" s="4" t="n"/>
      <c r="CT1361" s="4" t="n"/>
      <c r="CU1361" s="4" t="n"/>
      <c r="CV1361" s="4" t="n"/>
      <c r="CW1361" s="4" t="n"/>
      <c r="CX1361" s="4" t="n"/>
      <c r="CY1361" s="4" t="n"/>
      <c r="CZ1361" s="4" t="n"/>
      <c r="DA1361" s="4" t="n"/>
      <c r="DB1361" s="4" t="n"/>
      <c r="DC1361" s="4" t="n"/>
      <c r="DD1361" s="4" t="n"/>
      <c r="DE1361" s="4" t="n"/>
      <c r="DF1361" s="4" t="n"/>
      <c r="DG1361" s="4" t="n"/>
      <c r="DH1361" s="4" t="n"/>
      <c r="DI1361" s="4" t="n"/>
      <c r="DJ1361" s="4" t="n"/>
      <c r="DK1361" s="4" t="n"/>
      <c r="DL1361" s="4" t="n"/>
      <c r="DM1361" s="4" t="n"/>
      <c r="DN1361" s="4" t="n"/>
      <c r="DO1361" s="4" t="n"/>
      <c r="DP1361" s="4" t="n"/>
      <c r="DQ1361" s="4" t="n"/>
      <c r="DR1361" s="4" t="n"/>
      <c r="DS1361" s="4" t="n"/>
      <c r="DT1361" s="4" t="n"/>
      <c r="DU1361" s="4" t="n"/>
      <c r="DV1361" s="4" t="n"/>
      <c r="DW1361" s="4" t="n"/>
      <c r="DX1361" s="4" t="n"/>
      <c r="DY1361" s="4" t="n"/>
      <c r="DZ1361" s="4" t="n"/>
      <c r="EA1361" s="4" t="n"/>
      <c r="EB1361" s="4" t="n"/>
      <c r="EC1361" s="4" t="n"/>
      <c r="ED1361" s="4" t="n"/>
      <c r="EE1361" s="4" t="n"/>
      <c r="EF1361" s="4" t="n"/>
      <c r="EG1361" s="4" t="n"/>
      <c r="EH1361" s="4" t="n"/>
      <c r="EI1361" s="4" t="n"/>
      <c r="EJ1361" s="4" t="n"/>
      <c r="EK1361" s="4" t="n"/>
      <c r="EL1361" s="4" t="n"/>
      <c r="EM1361" s="4" t="n"/>
      <c r="EN1361" s="4" t="n"/>
      <c r="EO1361" s="4" t="n"/>
      <c r="EP1361" s="4" t="n"/>
      <c r="EQ1361" s="4" t="n"/>
      <c r="ER1361" s="4" t="n"/>
      <c r="ES1361" s="4" t="n"/>
      <c r="ET1361" s="4" t="n"/>
      <c r="EU1361" s="4" t="n"/>
      <c r="EV1361" s="4" t="n"/>
      <c r="EW1361" s="4" t="n"/>
      <c r="EX1361" s="4" t="n"/>
      <c r="EY1361" s="4" t="n"/>
      <c r="EZ1361" s="4" t="n"/>
      <c r="FA1361" s="4" t="n"/>
      <c r="FB1361" s="4" t="n"/>
      <c r="FC1361" s="4" t="n"/>
    </row>
    <row r="1362" hidden="1" customFormat="1" s="6">
      <c r="C1362" s="4" t="n"/>
      <c r="D1362" s="4" t="n"/>
      <c r="E1362" s="4" t="n"/>
      <c r="F1362" s="4" t="n"/>
      <c r="G1362" s="4" t="n"/>
      <c r="H1362" s="4" t="n"/>
      <c r="I1362" s="4" t="n"/>
      <c r="J1362" s="4" t="n"/>
      <c r="K1362" s="4" t="n"/>
      <c r="L1362" s="4" t="n"/>
      <c r="M1362" s="4" t="n"/>
      <c r="N1362" s="4" t="n"/>
      <c r="O1362" s="4" t="n"/>
      <c r="P1362" s="4" t="n"/>
      <c r="Q1362" s="4" t="n"/>
      <c r="R1362" s="4" t="n"/>
      <c r="S1362" s="4" t="n"/>
      <c r="T1362" s="4" t="n"/>
      <c r="U1362" s="4" t="n"/>
      <c r="V1362" s="4" t="n"/>
      <c r="W1362" s="4" t="n"/>
      <c r="X1362" s="4" t="n"/>
      <c r="Y1362" s="4" t="n"/>
      <c r="Z1362" s="4" t="n"/>
      <c r="AA1362" s="4" t="n"/>
      <c r="AB1362" s="4" t="n"/>
      <c r="AC1362" s="4" t="n"/>
      <c r="AD1362" s="4" t="n"/>
      <c r="AE1362" s="4" t="n"/>
      <c r="AF1362" s="4" t="n"/>
      <c r="AG1362" s="4" t="n"/>
      <c r="AH1362" s="4" t="n"/>
      <c r="AI1362" s="4" t="n"/>
      <c r="AJ1362" s="4" t="n"/>
      <c r="AK1362" s="4" t="n"/>
      <c r="AL1362" s="4" t="n"/>
      <c r="AM1362" s="4" t="n"/>
      <c r="AN1362" s="4" t="n"/>
      <c r="AO1362" s="4" t="n"/>
      <c r="AP1362" s="4" t="n"/>
      <c r="AQ1362" s="4" t="n"/>
      <c r="AR1362" s="4" t="n"/>
      <c r="AS1362" s="4" t="n"/>
      <c r="AT1362" s="4" t="n"/>
      <c r="AU1362" s="4" t="n"/>
      <c r="AV1362" s="4" t="n"/>
      <c r="AW1362" s="4" t="n"/>
      <c r="AX1362" s="4" t="n"/>
      <c r="AY1362" s="4" t="n"/>
      <c r="AZ1362" s="4" t="n"/>
      <c r="BA1362" s="4" t="n"/>
      <c r="BB1362" s="4" t="n"/>
      <c r="BC1362" s="4" t="n"/>
      <c r="BD1362" s="4" t="n"/>
      <c r="BE1362" s="4" t="n"/>
      <c r="BF1362" s="4" t="n"/>
      <c r="BG1362" s="4" t="n"/>
      <c r="BH1362" s="4" t="n"/>
      <c r="BI1362" s="4" t="n"/>
      <c r="BJ1362" s="4" t="n"/>
      <c r="BK1362" s="4" t="n"/>
      <c r="BL1362" s="4" t="n"/>
      <c r="BM1362" s="4" t="n"/>
      <c r="BN1362" s="4" t="n"/>
      <c r="BO1362" s="4" t="n"/>
      <c r="BP1362" s="4" t="n"/>
      <c r="BQ1362" s="4" t="n"/>
      <c r="BR1362" s="4" t="n"/>
      <c r="BS1362" s="4" t="n"/>
      <c r="BT1362" s="4" t="n"/>
      <c r="BU1362" s="4" t="n"/>
      <c r="BV1362" s="4" t="n"/>
      <c r="BW1362" s="4" t="n"/>
      <c r="BX1362" s="4" t="n"/>
      <c r="BY1362" s="4" t="n"/>
      <c r="BZ1362" s="4" t="n"/>
      <c r="CA1362" s="4" t="n"/>
      <c r="CB1362" s="4" t="n"/>
      <c r="CC1362" s="4" t="n"/>
      <c r="CD1362" s="4" t="n"/>
      <c r="CE1362" s="4" t="n"/>
      <c r="CF1362" s="4" t="n"/>
      <c r="CG1362" s="4" t="n"/>
      <c r="CH1362" s="4" t="n"/>
      <c r="CI1362" s="4" t="n"/>
      <c r="CJ1362" s="4" t="n"/>
      <c r="CK1362" s="4" t="n"/>
      <c r="CL1362" s="4" t="n"/>
      <c r="CM1362" s="4" t="n"/>
      <c r="CN1362" s="4" t="n"/>
      <c r="CO1362" s="4" t="n"/>
      <c r="CP1362" s="4" t="n"/>
      <c r="CQ1362" s="4" t="n"/>
      <c r="CR1362" s="4" t="n"/>
      <c r="CS1362" s="4" t="n"/>
      <c r="CT1362" s="4" t="n"/>
      <c r="CU1362" s="4" t="n"/>
      <c r="CV1362" s="4" t="n"/>
      <c r="CW1362" s="4" t="n"/>
      <c r="CX1362" s="4" t="n"/>
      <c r="CY1362" s="4" t="n"/>
      <c r="CZ1362" s="4" t="n"/>
      <c r="DA1362" s="4" t="n"/>
      <c r="DB1362" s="4" t="n"/>
      <c r="DC1362" s="4" t="n"/>
      <c r="DD1362" s="4" t="n"/>
      <c r="DE1362" s="4" t="n"/>
      <c r="DF1362" s="4" t="n"/>
      <c r="DG1362" s="4" t="n"/>
      <c r="DH1362" s="4" t="n"/>
      <c r="DI1362" s="4" t="n"/>
      <c r="DJ1362" s="4" t="n"/>
      <c r="DK1362" s="4" t="n"/>
      <c r="DL1362" s="4" t="n"/>
      <c r="DM1362" s="4" t="n"/>
      <c r="DN1362" s="4" t="n"/>
      <c r="DO1362" s="4" t="n"/>
      <c r="DP1362" s="4" t="n"/>
      <c r="DQ1362" s="4" t="n"/>
      <c r="DR1362" s="4" t="n"/>
      <c r="DS1362" s="4" t="n"/>
      <c r="DT1362" s="4" t="n"/>
      <c r="DU1362" s="4" t="n"/>
      <c r="DV1362" s="4" t="n"/>
      <c r="DW1362" s="4" t="n"/>
      <c r="DX1362" s="4" t="n"/>
      <c r="DY1362" s="4" t="n"/>
      <c r="DZ1362" s="4" t="n"/>
      <c r="EA1362" s="4" t="n"/>
      <c r="EB1362" s="4" t="n"/>
      <c r="EC1362" s="4" t="n"/>
      <c r="ED1362" s="4" t="n"/>
      <c r="EE1362" s="4" t="n"/>
      <c r="EF1362" s="4" t="n"/>
      <c r="EG1362" s="4" t="n"/>
      <c r="EH1362" s="4" t="n"/>
      <c r="EI1362" s="4" t="n"/>
      <c r="EJ1362" s="4" t="n"/>
      <c r="EK1362" s="4" t="n"/>
      <c r="EL1362" s="4" t="n"/>
      <c r="EM1362" s="4" t="n"/>
      <c r="EN1362" s="4" t="n"/>
      <c r="EO1362" s="4" t="n"/>
      <c r="EP1362" s="4" t="n"/>
      <c r="EQ1362" s="4" t="n"/>
      <c r="ER1362" s="4" t="n"/>
      <c r="ES1362" s="4" t="n"/>
      <c r="ET1362" s="4" t="n"/>
      <c r="EU1362" s="4" t="n"/>
      <c r="EV1362" s="4" t="n"/>
      <c r="EW1362" s="4" t="n"/>
      <c r="EX1362" s="4" t="n"/>
      <c r="EY1362" s="4" t="n"/>
      <c r="EZ1362" s="4" t="n"/>
      <c r="FA1362" s="4" t="n"/>
      <c r="FB1362" s="4" t="n"/>
      <c r="FC1362" s="4" t="n"/>
    </row>
    <row r="1363" hidden="1" customFormat="1" s="6">
      <c r="C1363" s="4" t="n"/>
      <c r="D1363" s="4" t="n"/>
      <c r="E1363" s="4" t="n"/>
      <c r="F1363" s="4" t="n"/>
      <c r="G1363" s="4" t="n"/>
      <c r="H1363" s="4" t="n"/>
      <c r="I1363" s="4" t="n"/>
      <c r="J1363" s="4" t="n"/>
      <c r="K1363" s="4" t="n"/>
      <c r="L1363" s="4" t="n"/>
      <c r="M1363" s="4" t="n"/>
      <c r="N1363" s="4" t="n"/>
      <c r="O1363" s="4" t="n"/>
      <c r="P1363" s="4" t="n"/>
      <c r="Q1363" s="4" t="n"/>
      <c r="R1363" s="4" t="n"/>
      <c r="S1363" s="4" t="n"/>
      <c r="T1363" s="4" t="n"/>
      <c r="U1363" s="4" t="n"/>
      <c r="V1363" s="4" t="n"/>
      <c r="W1363" s="4" t="n"/>
      <c r="X1363" s="4" t="n"/>
      <c r="Y1363" s="4" t="n"/>
      <c r="Z1363" s="4" t="n"/>
      <c r="AA1363" s="4" t="n"/>
      <c r="AB1363" s="4" t="n"/>
      <c r="AC1363" s="4" t="n"/>
      <c r="AD1363" s="4" t="n"/>
      <c r="AE1363" s="4" t="n"/>
      <c r="AF1363" s="4" t="n"/>
      <c r="AG1363" s="4" t="n"/>
      <c r="AH1363" s="4" t="n"/>
      <c r="AI1363" s="4" t="n"/>
      <c r="AJ1363" s="4" t="n"/>
      <c r="AK1363" s="4" t="n"/>
      <c r="AL1363" s="4" t="n"/>
      <c r="AM1363" s="4" t="n"/>
      <c r="AN1363" s="4" t="n"/>
      <c r="AO1363" s="4" t="n"/>
      <c r="AP1363" s="4" t="n"/>
      <c r="AQ1363" s="4" t="n"/>
      <c r="AR1363" s="4" t="n"/>
      <c r="AS1363" s="4" t="n"/>
      <c r="AT1363" s="4" t="n"/>
      <c r="AU1363" s="4" t="n"/>
      <c r="AV1363" s="4" t="n"/>
      <c r="AW1363" s="4" t="n"/>
      <c r="AX1363" s="4" t="n"/>
      <c r="AY1363" s="4" t="n"/>
      <c r="AZ1363" s="4" t="n"/>
      <c r="BA1363" s="4" t="n"/>
      <c r="BB1363" s="4" t="n"/>
      <c r="BC1363" s="4" t="n"/>
      <c r="BD1363" s="4" t="n"/>
      <c r="BE1363" s="4" t="n"/>
      <c r="BF1363" s="4" t="n"/>
      <c r="BG1363" s="4" t="n"/>
      <c r="BH1363" s="4" t="n"/>
      <c r="BI1363" s="4" t="n"/>
      <c r="BJ1363" s="4" t="n"/>
      <c r="BK1363" s="4" t="n"/>
      <c r="BL1363" s="4" t="n"/>
      <c r="BM1363" s="4" t="n"/>
      <c r="BN1363" s="4" t="n"/>
      <c r="BO1363" s="4" t="n"/>
      <c r="BP1363" s="4" t="n"/>
      <c r="BQ1363" s="4" t="n"/>
      <c r="BR1363" s="4" t="n"/>
      <c r="BS1363" s="4" t="n"/>
      <c r="BT1363" s="4" t="n"/>
      <c r="BU1363" s="4" t="n"/>
      <c r="BV1363" s="4" t="n"/>
      <c r="BW1363" s="4" t="n"/>
      <c r="BX1363" s="4" t="n"/>
      <c r="BY1363" s="4" t="n"/>
      <c r="BZ1363" s="4" t="n"/>
      <c r="CA1363" s="4" t="n"/>
      <c r="CB1363" s="4" t="n"/>
      <c r="CC1363" s="4" t="n"/>
      <c r="CD1363" s="4" t="n"/>
      <c r="CE1363" s="4" t="n"/>
      <c r="CF1363" s="4" t="n"/>
      <c r="CG1363" s="4" t="n"/>
      <c r="CH1363" s="4" t="n"/>
      <c r="CI1363" s="4" t="n"/>
      <c r="CJ1363" s="4" t="n"/>
      <c r="CK1363" s="4" t="n"/>
      <c r="CL1363" s="4" t="n"/>
      <c r="CM1363" s="4" t="n"/>
      <c r="CN1363" s="4" t="n"/>
      <c r="CO1363" s="4" t="n"/>
      <c r="CP1363" s="4" t="n"/>
      <c r="CQ1363" s="4" t="n"/>
      <c r="CR1363" s="4" t="n"/>
      <c r="CS1363" s="4" t="n"/>
      <c r="CT1363" s="4" t="n"/>
      <c r="CU1363" s="4" t="n"/>
      <c r="CV1363" s="4" t="n"/>
      <c r="CW1363" s="4" t="n"/>
      <c r="CX1363" s="4" t="n"/>
      <c r="CY1363" s="4" t="n"/>
      <c r="CZ1363" s="4" t="n"/>
      <c r="DA1363" s="4" t="n"/>
      <c r="DB1363" s="4" t="n"/>
      <c r="DC1363" s="4" t="n"/>
      <c r="DD1363" s="4" t="n"/>
      <c r="DE1363" s="4" t="n"/>
      <c r="DF1363" s="4" t="n"/>
      <c r="DG1363" s="4" t="n"/>
      <c r="DH1363" s="4" t="n"/>
      <c r="DI1363" s="4" t="n"/>
      <c r="DJ1363" s="4" t="n"/>
      <c r="DK1363" s="4" t="n"/>
      <c r="DL1363" s="4" t="n"/>
      <c r="DM1363" s="4" t="n"/>
      <c r="DN1363" s="4" t="n"/>
      <c r="DO1363" s="4" t="n"/>
      <c r="DP1363" s="4" t="n"/>
      <c r="DQ1363" s="4" t="n"/>
      <c r="DR1363" s="4" t="n"/>
      <c r="DS1363" s="4" t="n"/>
      <c r="DT1363" s="4" t="n"/>
      <c r="DU1363" s="4" t="n"/>
      <c r="DV1363" s="4" t="n"/>
      <c r="DW1363" s="4" t="n"/>
      <c r="DX1363" s="4" t="n"/>
      <c r="DY1363" s="4" t="n"/>
      <c r="DZ1363" s="4" t="n"/>
      <c r="EA1363" s="4" t="n"/>
      <c r="EB1363" s="4" t="n"/>
      <c r="EC1363" s="4" t="n"/>
      <c r="ED1363" s="4" t="n"/>
      <c r="EE1363" s="4" t="n"/>
      <c r="EF1363" s="4" t="n"/>
      <c r="EG1363" s="4" t="n"/>
      <c r="EH1363" s="4" t="n"/>
      <c r="EI1363" s="4" t="n"/>
      <c r="EJ1363" s="4" t="n"/>
      <c r="EK1363" s="4" t="n"/>
      <c r="EL1363" s="4" t="n"/>
      <c r="EM1363" s="4" t="n"/>
      <c r="EN1363" s="4" t="n"/>
      <c r="EO1363" s="4" t="n"/>
      <c r="EP1363" s="4" t="n"/>
      <c r="EQ1363" s="4" t="n"/>
      <c r="ER1363" s="4" t="n"/>
      <c r="ES1363" s="4" t="n"/>
      <c r="ET1363" s="4" t="n"/>
      <c r="EU1363" s="4" t="n"/>
      <c r="EV1363" s="4" t="n"/>
      <c r="EW1363" s="4" t="n"/>
      <c r="EX1363" s="4" t="n"/>
      <c r="EY1363" s="4" t="n"/>
      <c r="EZ1363" s="4" t="n"/>
      <c r="FA1363" s="4" t="n"/>
      <c r="FB1363" s="4" t="n"/>
      <c r="FC1363" s="4" t="n"/>
    </row>
    <row r="1364" hidden="1" customFormat="1" s="6">
      <c r="C1364" s="4" t="n"/>
      <c r="D1364" s="4" t="n"/>
      <c r="E1364" s="4" t="n"/>
      <c r="F1364" s="4" t="n"/>
      <c r="G1364" s="4" t="n"/>
      <c r="H1364" s="4" t="n"/>
      <c r="I1364" s="4" t="n"/>
      <c r="J1364" s="4" t="n"/>
      <c r="K1364" s="4" t="n"/>
      <c r="L1364" s="4" t="n"/>
      <c r="M1364" s="4" t="n"/>
      <c r="N1364" s="4" t="n"/>
      <c r="O1364" s="4" t="n"/>
      <c r="P1364" s="4" t="n"/>
      <c r="Q1364" s="4" t="n"/>
      <c r="R1364" s="4" t="n"/>
      <c r="S1364" s="4" t="n"/>
      <c r="T1364" s="4" t="n"/>
      <c r="U1364" s="4" t="n"/>
      <c r="V1364" s="4" t="n"/>
      <c r="W1364" s="4" t="n"/>
      <c r="X1364" s="4" t="n"/>
      <c r="Y1364" s="4" t="n"/>
      <c r="Z1364" s="4" t="n"/>
      <c r="AA1364" s="4" t="n"/>
      <c r="AB1364" s="4" t="n"/>
      <c r="AC1364" s="4" t="n"/>
      <c r="AD1364" s="4" t="n"/>
      <c r="AE1364" s="4" t="n"/>
      <c r="AF1364" s="4" t="n"/>
      <c r="AG1364" s="4" t="n"/>
      <c r="AH1364" s="4" t="n"/>
      <c r="AI1364" s="4" t="n"/>
      <c r="AJ1364" s="4" t="n"/>
      <c r="AK1364" s="4" t="n"/>
      <c r="AL1364" s="4" t="n"/>
      <c r="AM1364" s="4" t="n"/>
      <c r="AN1364" s="4" t="n"/>
      <c r="AO1364" s="4" t="n"/>
      <c r="AP1364" s="4" t="n"/>
      <c r="AQ1364" s="4" t="n"/>
      <c r="AR1364" s="4" t="n"/>
      <c r="AS1364" s="4" t="n"/>
      <c r="AT1364" s="4" t="n"/>
      <c r="AU1364" s="4" t="n"/>
      <c r="AV1364" s="4" t="n"/>
      <c r="AW1364" s="4" t="n"/>
      <c r="AX1364" s="4" t="n"/>
      <c r="AY1364" s="4" t="n"/>
      <c r="AZ1364" s="4" t="n"/>
      <c r="BA1364" s="4" t="n"/>
      <c r="BB1364" s="4" t="n"/>
      <c r="BC1364" s="4" t="n"/>
      <c r="BD1364" s="4" t="n"/>
      <c r="BE1364" s="4" t="n"/>
      <c r="BF1364" s="4" t="n"/>
      <c r="BG1364" s="4" t="n"/>
      <c r="BH1364" s="4" t="n"/>
      <c r="BI1364" s="4" t="n"/>
      <c r="BJ1364" s="4" t="n"/>
      <c r="BK1364" s="4" t="n"/>
      <c r="BL1364" s="4" t="n"/>
      <c r="BM1364" s="4" t="n"/>
      <c r="BN1364" s="4" t="n"/>
      <c r="BO1364" s="4" t="n"/>
      <c r="BP1364" s="4" t="n"/>
      <c r="BQ1364" s="4" t="n"/>
      <c r="BR1364" s="4" t="n"/>
      <c r="BS1364" s="4" t="n"/>
      <c r="BT1364" s="4" t="n"/>
      <c r="BU1364" s="4" t="n"/>
      <c r="BV1364" s="4" t="n"/>
      <c r="BW1364" s="4" t="n"/>
      <c r="BX1364" s="4" t="n"/>
      <c r="BY1364" s="4" t="n"/>
      <c r="BZ1364" s="4" t="n"/>
      <c r="CA1364" s="4" t="n"/>
      <c r="CB1364" s="4" t="n"/>
      <c r="CC1364" s="4" t="n"/>
      <c r="CD1364" s="4" t="n"/>
      <c r="CE1364" s="4" t="n"/>
      <c r="CF1364" s="4" t="n"/>
      <c r="CG1364" s="4" t="n"/>
      <c r="CH1364" s="4" t="n"/>
      <c r="CI1364" s="4" t="n"/>
      <c r="CJ1364" s="4" t="n"/>
      <c r="CK1364" s="4" t="n"/>
      <c r="CL1364" s="4" t="n"/>
      <c r="CM1364" s="4" t="n"/>
      <c r="CN1364" s="4" t="n"/>
      <c r="CO1364" s="4" t="n"/>
      <c r="CP1364" s="4" t="n"/>
      <c r="CQ1364" s="4" t="n"/>
      <c r="CR1364" s="4" t="n"/>
      <c r="CS1364" s="4" t="n"/>
      <c r="CT1364" s="4" t="n"/>
      <c r="CU1364" s="4" t="n"/>
      <c r="CV1364" s="4" t="n"/>
      <c r="CW1364" s="4" t="n"/>
      <c r="CX1364" s="4" t="n"/>
      <c r="CY1364" s="4" t="n"/>
      <c r="CZ1364" s="4" t="n"/>
      <c r="DA1364" s="4" t="n"/>
      <c r="DB1364" s="4" t="n"/>
      <c r="DC1364" s="4" t="n"/>
      <c r="DD1364" s="4" t="n"/>
      <c r="DE1364" s="4" t="n"/>
      <c r="DF1364" s="4" t="n"/>
      <c r="DG1364" s="4" t="n"/>
      <c r="DH1364" s="4" t="n"/>
      <c r="DI1364" s="4" t="n"/>
      <c r="DJ1364" s="4" t="n"/>
      <c r="DK1364" s="4" t="n"/>
      <c r="DL1364" s="4" t="n"/>
      <c r="DM1364" s="4" t="n"/>
      <c r="DN1364" s="4" t="n"/>
      <c r="DO1364" s="4" t="n"/>
      <c r="DP1364" s="4" t="n"/>
      <c r="DQ1364" s="4" t="n"/>
      <c r="DR1364" s="4" t="n"/>
      <c r="DS1364" s="4" t="n"/>
      <c r="DT1364" s="4" t="n"/>
      <c r="DU1364" s="4" t="n"/>
      <c r="DV1364" s="4" t="n"/>
      <c r="DW1364" s="4" t="n"/>
      <c r="DX1364" s="4" t="n"/>
      <c r="DY1364" s="4" t="n"/>
      <c r="DZ1364" s="4" t="n"/>
      <c r="EA1364" s="4" t="n"/>
      <c r="EB1364" s="4" t="n"/>
      <c r="EC1364" s="4" t="n"/>
      <c r="ED1364" s="4" t="n"/>
      <c r="EE1364" s="4" t="n"/>
      <c r="EF1364" s="4" t="n"/>
      <c r="EG1364" s="4" t="n"/>
      <c r="EH1364" s="4" t="n"/>
      <c r="EI1364" s="4" t="n"/>
      <c r="EJ1364" s="4" t="n"/>
      <c r="EK1364" s="4" t="n"/>
      <c r="EL1364" s="4" t="n"/>
      <c r="EM1364" s="4" t="n"/>
      <c r="EN1364" s="4" t="n"/>
      <c r="EO1364" s="4" t="n"/>
      <c r="EP1364" s="4" t="n"/>
      <c r="EQ1364" s="4" t="n"/>
      <c r="ER1364" s="4" t="n"/>
      <c r="ES1364" s="4" t="n"/>
      <c r="ET1364" s="4" t="n"/>
      <c r="EU1364" s="4" t="n"/>
      <c r="EV1364" s="4" t="n"/>
      <c r="EW1364" s="4" t="n"/>
      <c r="EX1364" s="4" t="n"/>
      <c r="EY1364" s="4" t="n"/>
      <c r="EZ1364" s="4" t="n"/>
      <c r="FA1364" s="4" t="n"/>
      <c r="FB1364" s="4" t="n"/>
      <c r="FC1364" s="4" t="n"/>
    </row>
    <row r="1365" hidden="1" customFormat="1" s="6">
      <c r="C1365" s="4" t="n"/>
      <c r="D1365" s="4" t="n"/>
      <c r="E1365" s="4" t="n"/>
      <c r="F1365" s="4" t="n"/>
      <c r="G1365" s="4" t="n"/>
      <c r="H1365" s="4" t="n"/>
      <c r="I1365" s="4" t="n"/>
      <c r="J1365" s="4" t="n"/>
      <c r="K1365" s="4" t="n"/>
      <c r="L1365" s="4" t="n"/>
      <c r="M1365" s="4" t="n"/>
      <c r="N1365" s="4" t="n"/>
      <c r="O1365" s="4" t="n"/>
      <c r="P1365" s="4" t="n"/>
      <c r="Q1365" s="4" t="n"/>
      <c r="R1365" s="4" t="n"/>
      <c r="S1365" s="4" t="n"/>
      <c r="T1365" s="4" t="n"/>
      <c r="U1365" s="4" t="n"/>
      <c r="V1365" s="4" t="n"/>
      <c r="W1365" s="4" t="n"/>
      <c r="X1365" s="4" t="n"/>
      <c r="Y1365" s="4" t="n"/>
      <c r="Z1365" s="4" t="n"/>
      <c r="AA1365" s="4" t="n"/>
      <c r="AB1365" s="4" t="n"/>
      <c r="AC1365" s="4" t="n"/>
      <c r="AD1365" s="4" t="n"/>
      <c r="AE1365" s="4" t="n"/>
      <c r="AF1365" s="4" t="n"/>
      <c r="AG1365" s="4" t="n"/>
      <c r="AH1365" s="4" t="n"/>
      <c r="AI1365" s="4" t="n"/>
      <c r="AJ1365" s="4" t="n"/>
      <c r="AK1365" s="4" t="n"/>
      <c r="AL1365" s="4" t="n"/>
      <c r="AM1365" s="4" t="n"/>
      <c r="AN1365" s="4" t="n"/>
      <c r="AO1365" s="4" t="n"/>
      <c r="AP1365" s="4" t="n"/>
      <c r="AQ1365" s="4" t="n"/>
      <c r="AR1365" s="4" t="n"/>
      <c r="AS1365" s="4" t="n"/>
      <c r="AT1365" s="4" t="n"/>
      <c r="AU1365" s="4" t="n"/>
      <c r="AV1365" s="4" t="n"/>
      <c r="AW1365" s="4" t="n"/>
      <c r="AX1365" s="4" t="n"/>
      <c r="AY1365" s="4" t="n"/>
      <c r="AZ1365" s="4" t="n"/>
      <c r="BA1365" s="4" t="n"/>
      <c r="BB1365" s="4" t="n"/>
      <c r="BC1365" s="4" t="n"/>
      <c r="BD1365" s="4" t="n"/>
      <c r="BE1365" s="4" t="n"/>
      <c r="BF1365" s="4" t="n"/>
      <c r="BG1365" s="4" t="n"/>
      <c r="BH1365" s="4" t="n"/>
      <c r="BI1365" s="4" t="n"/>
      <c r="BJ1365" s="4" t="n"/>
      <c r="BK1365" s="4" t="n"/>
      <c r="BL1365" s="4" t="n"/>
      <c r="BM1365" s="4" t="n"/>
      <c r="BN1365" s="4" t="n"/>
      <c r="BO1365" s="4" t="n"/>
      <c r="BP1365" s="4" t="n"/>
      <c r="BQ1365" s="4" t="n"/>
      <c r="BR1365" s="4" t="n"/>
      <c r="BS1365" s="4" t="n"/>
      <c r="BT1365" s="4" t="n"/>
      <c r="BU1365" s="4" t="n"/>
      <c r="BV1365" s="4" t="n"/>
      <c r="BW1365" s="4" t="n"/>
      <c r="BX1365" s="4" t="n"/>
      <c r="BY1365" s="4" t="n"/>
      <c r="BZ1365" s="4" t="n"/>
      <c r="CA1365" s="4" t="n"/>
      <c r="CB1365" s="4" t="n"/>
      <c r="CC1365" s="4" t="n"/>
      <c r="CD1365" s="4" t="n"/>
      <c r="CE1365" s="4" t="n"/>
      <c r="CF1365" s="4" t="n"/>
      <c r="CG1365" s="4" t="n"/>
      <c r="CH1365" s="4" t="n"/>
      <c r="CI1365" s="4" t="n"/>
      <c r="CJ1365" s="4" t="n"/>
      <c r="CK1365" s="4" t="n"/>
      <c r="CL1365" s="4" t="n"/>
      <c r="CM1365" s="4" t="n"/>
      <c r="CN1365" s="4" t="n"/>
      <c r="CO1365" s="4" t="n"/>
      <c r="CP1365" s="4" t="n"/>
      <c r="CQ1365" s="4" t="n"/>
      <c r="CR1365" s="4" t="n"/>
      <c r="CS1365" s="4" t="n"/>
      <c r="CT1365" s="4" t="n"/>
      <c r="CU1365" s="4" t="n"/>
      <c r="CV1365" s="4" t="n"/>
      <c r="CW1365" s="4" t="n"/>
      <c r="CX1365" s="4" t="n"/>
      <c r="CY1365" s="4" t="n"/>
      <c r="CZ1365" s="4" t="n"/>
      <c r="DA1365" s="4" t="n"/>
      <c r="DB1365" s="4" t="n"/>
      <c r="DC1365" s="4" t="n"/>
      <c r="DD1365" s="4" t="n"/>
      <c r="DE1365" s="4" t="n"/>
      <c r="DF1365" s="4" t="n"/>
      <c r="DG1365" s="4" t="n"/>
      <c r="DH1365" s="4" t="n"/>
      <c r="DI1365" s="4" t="n"/>
      <c r="DJ1365" s="4" t="n"/>
      <c r="DK1365" s="4" t="n"/>
      <c r="DL1365" s="4" t="n"/>
      <c r="DM1365" s="4" t="n"/>
      <c r="DN1365" s="4" t="n"/>
      <c r="DO1365" s="4" t="n"/>
      <c r="DP1365" s="4" t="n"/>
      <c r="DQ1365" s="4" t="n"/>
      <c r="DR1365" s="4" t="n"/>
      <c r="DS1365" s="4" t="n"/>
      <c r="DT1365" s="4" t="n"/>
      <c r="DU1365" s="4" t="n"/>
      <c r="DV1365" s="4" t="n"/>
      <c r="DW1365" s="4" t="n"/>
      <c r="DX1365" s="4" t="n"/>
      <c r="DY1365" s="4" t="n"/>
      <c r="DZ1365" s="4" t="n"/>
      <c r="EA1365" s="4" t="n"/>
      <c r="EB1365" s="4" t="n"/>
      <c r="EC1365" s="4" t="n"/>
      <c r="ED1365" s="4" t="n"/>
      <c r="EE1365" s="4" t="n"/>
      <c r="EF1365" s="4" t="n"/>
      <c r="EG1365" s="4" t="n"/>
      <c r="EH1365" s="4" t="n"/>
      <c r="EI1365" s="4" t="n"/>
      <c r="EJ1365" s="4" t="n"/>
      <c r="EK1365" s="4" t="n"/>
      <c r="EL1365" s="4" t="n"/>
      <c r="EM1365" s="4" t="n"/>
      <c r="EN1365" s="4" t="n"/>
      <c r="EO1365" s="4" t="n"/>
      <c r="EP1365" s="4" t="n"/>
      <c r="EQ1365" s="4" t="n"/>
      <c r="ER1365" s="4" t="n"/>
      <c r="ES1365" s="4" t="n"/>
      <c r="ET1365" s="4" t="n"/>
      <c r="EU1365" s="4" t="n"/>
      <c r="EV1365" s="4" t="n"/>
      <c r="EW1365" s="4" t="n"/>
      <c r="EX1365" s="4" t="n"/>
      <c r="EY1365" s="4" t="n"/>
      <c r="EZ1365" s="4" t="n"/>
      <c r="FA1365" s="4" t="n"/>
      <c r="FB1365" s="4" t="n"/>
      <c r="FC1365" s="4" t="n"/>
    </row>
    <row r="1366" hidden="1" customFormat="1" s="6">
      <c r="C1366" s="4" t="n"/>
      <c r="D1366" s="4" t="n"/>
      <c r="E1366" s="4" t="n"/>
      <c r="F1366" s="4" t="n"/>
      <c r="G1366" s="4" t="n"/>
      <c r="H1366" s="4" t="n"/>
      <c r="I1366" s="4" t="n"/>
      <c r="J1366" s="4" t="n"/>
      <c r="K1366" s="4" t="n"/>
      <c r="L1366" s="4" t="n"/>
      <c r="M1366" s="4" t="n"/>
      <c r="N1366" s="4" t="n"/>
      <c r="O1366" s="4" t="n"/>
      <c r="P1366" s="4" t="n"/>
      <c r="Q1366" s="4" t="n"/>
      <c r="R1366" s="4" t="n"/>
      <c r="S1366" s="4" t="n"/>
      <c r="T1366" s="4" t="n"/>
      <c r="U1366" s="4" t="n"/>
      <c r="V1366" s="4" t="n"/>
      <c r="W1366" s="4" t="n"/>
      <c r="X1366" s="4" t="n"/>
      <c r="Y1366" s="4" t="n"/>
      <c r="Z1366" s="4" t="n"/>
      <c r="AA1366" s="4" t="n"/>
      <c r="AB1366" s="4" t="n"/>
      <c r="AC1366" s="4" t="n"/>
      <c r="AD1366" s="4" t="n"/>
      <c r="AE1366" s="4" t="n"/>
      <c r="AF1366" s="4" t="n"/>
      <c r="AG1366" s="4" t="n"/>
      <c r="AH1366" s="4" t="n"/>
      <c r="AI1366" s="4" t="n"/>
      <c r="AJ1366" s="4" t="n"/>
      <c r="AK1366" s="4" t="n"/>
      <c r="AL1366" s="4" t="n"/>
      <c r="AM1366" s="4" t="n"/>
      <c r="AN1366" s="4" t="n"/>
      <c r="AO1366" s="4" t="n"/>
      <c r="AP1366" s="4" t="n"/>
      <c r="AQ1366" s="4" t="n"/>
      <c r="AR1366" s="4" t="n"/>
      <c r="AS1366" s="4" t="n"/>
      <c r="AT1366" s="4" t="n"/>
      <c r="AU1366" s="4" t="n"/>
      <c r="AV1366" s="4" t="n"/>
      <c r="AW1366" s="4" t="n"/>
      <c r="AX1366" s="4" t="n"/>
      <c r="AY1366" s="4" t="n"/>
      <c r="AZ1366" s="4" t="n"/>
      <c r="BA1366" s="4" t="n"/>
      <c r="BB1366" s="4" t="n"/>
      <c r="BC1366" s="4" t="n"/>
      <c r="BD1366" s="4" t="n"/>
      <c r="BE1366" s="4" t="n"/>
      <c r="BF1366" s="4" t="n"/>
      <c r="BG1366" s="4" t="n"/>
      <c r="BH1366" s="4" t="n"/>
      <c r="BI1366" s="4" t="n"/>
      <c r="BJ1366" s="4" t="n"/>
      <c r="BK1366" s="4" t="n"/>
      <c r="BL1366" s="4" t="n"/>
      <c r="BM1366" s="4" t="n"/>
      <c r="BN1366" s="4" t="n"/>
      <c r="BO1366" s="4" t="n"/>
      <c r="BP1366" s="4" t="n"/>
      <c r="BQ1366" s="4" t="n"/>
      <c r="BR1366" s="4" t="n"/>
      <c r="BS1366" s="4" t="n"/>
      <c r="BT1366" s="4" t="n"/>
      <c r="BU1366" s="4" t="n"/>
      <c r="BV1366" s="4" t="n"/>
      <c r="BW1366" s="4" t="n"/>
      <c r="BX1366" s="4" t="n"/>
      <c r="BY1366" s="4" t="n"/>
      <c r="BZ1366" s="4" t="n"/>
      <c r="CA1366" s="4" t="n"/>
      <c r="CB1366" s="4" t="n"/>
      <c r="CC1366" s="4" t="n"/>
      <c r="CD1366" s="4" t="n"/>
      <c r="CE1366" s="4" t="n"/>
      <c r="CF1366" s="4" t="n"/>
      <c r="CG1366" s="4" t="n"/>
      <c r="CH1366" s="4" t="n"/>
      <c r="CI1366" s="4" t="n"/>
      <c r="CJ1366" s="4" t="n"/>
      <c r="CK1366" s="4" t="n"/>
      <c r="CL1366" s="4" t="n"/>
      <c r="CM1366" s="4" t="n"/>
      <c r="CN1366" s="4" t="n"/>
      <c r="CO1366" s="4" t="n"/>
      <c r="CP1366" s="4" t="n"/>
      <c r="CQ1366" s="4" t="n"/>
      <c r="CR1366" s="4" t="n"/>
      <c r="CS1366" s="4" t="n"/>
      <c r="CT1366" s="4" t="n"/>
      <c r="CU1366" s="4" t="n"/>
      <c r="CV1366" s="4" t="n"/>
      <c r="CW1366" s="4" t="n"/>
      <c r="CX1366" s="4" t="n"/>
      <c r="CY1366" s="4" t="n"/>
      <c r="CZ1366" s="4" t="n"/>
      <c r="DA1366" s="4" t="n"/>
      <c r="DB1366" s="4" t="n"/>
      <c r="DC1366" s="4" t="n"/>
      <c r="DD1366" s="4" t="n"/>
      <c r="DE1366" s="4" t="n"/>
      <c r="DF1366" s="4" t="n"/>
      <c r="DG1366" s="4" t="n"/>
      <c r="DH1366" s="4" t="n"/>
      <c r="DI1366" s="4" t="n"/>
      <c r="DJ1366" s="4" t="n"/>
      <c r="DK1366" s="4" t="n"/>
      <c r="DL1366" s="4" t="n"/>
      <c r="DM1366" s="4" t="n"/>
      <c r="DN1366" s="4" t="n"/>
      <c r="DO1366" s="4" t="n"/>
      <c r="DP1366" s="4" t="n"/>
      <c r="DQ1366" s="4" t="n"/>
      <c r="DR1366" s="4" t="n"/>
      <c r="DS1366" s="4" t="n"/>
      <c r="DT1366" s="4" t="n"/>
      <c r="DU1366" s="4" t="n"/>
      <c r="DV1366" s="4" t="n"/>
      <c r="DW1366" s="4" t="n"/>
      <c r="DX1366" s="4" t="n"/>
      <c r="DY1366" s="4" t="n"/>
      <c r="DZ1366" s="4" t="n"/>
      <c r="EA1366" s="4" t="n"/>
      <c r="EB1366" s="4" t="n"/>
      <c r="EC1366" s="4" t="n"/>
      <c r="ED1366" s="4" t="n"/>
      <c r="EE1366" s="4" t="n"/>
      <c r="EF1366" s="4" t="n"/>
      <c r="EG1366" s="4" t="n"/>
      <c r="EH1366" s="4" t="n"/>
      <c r="EI1366" s="4" t="n"/>
      <c r="EJ1366" s="4" t="n"/>
      <c r="EK1366" s="4" t="n"/>
      <c r="EL1366" s="4" t="n"/>
      <c r="EM1366" s="4" t="n"/>
      <c r="EN1366" s="4" t="n"/>
      <c r="EO1366" s="4" t="n"/>
      <c r="EP1366" s="4" t="n"/>
      <c r="EQ1366" s="4" t="n"/>
      <c r="ER1366" s="4" t="n"/>
      <c r="ES1366" s="4" t="n"/>
      <c r="ET1366" s="4" t="n"/>
      <c r="EU1366" s="4" t="n"/>
      <c r="EV1366" s="4" t="n"/>
      <c r="EW1366" s="4" t="n"/>
      <c r="EX1366" s="4" t="n"/>
      <c r="EY1366" s="4" t="n"/>
      <c r="EZ1366" s="4" t="n"/>
      <c r="FA1366" s="4" t="n"/>
      <c r="FB1366" s="4" t="n"/>
      <c r="FC1366" s="4" t="n"/>
    </row>
    <row r="1367" hidden="1" customFormat="1" s="6">
      <c r="C1367" s="4" t="n"/>
      <c r="D1367" s="4" t="n"/>
      <c r="E1367" s="4" t="n"/>
      <c r="F1367" s="4" t="n"/>
      <c r="G1367" s="4" t="n"/>
      <c r="H1367" s="4" t="n"/>
      <c r="I1367" s="4" t="n"/>
      <c r="J1367" s="4" t="n"/>
      <c r="K1367" s="4" t="n"/>
      <c r="L1367" s="4" t="n"/>
      <c r="M1367" s="4" t="n"/>
      <c r="N1367" s="4" t="n"/>
      <c r="O1367" s="4" t="n"/>
      <c r="P1367" s="4" t="n"/>
      <c r="Q1367" s="4" t="n"/>
      <c r="R1367" s="4" t="n"/>
      <c r="S1367" s="4" t="n"/>
      <c r="T1367" s="4" t="n"/>
      <c r="U1367" s="4" t="n"/>
      <c r="V1367" s="4" t="n"/>
      <c r="W1367" s="4" t="n"/>
      <c r="X1367" s="4" t="n"/>
      <c r="Y1367" s="4" t="n"/>
      <c r="Z1367" s="4" t="n"/>
      <c r="AA1367" s="4" t="n"/>
      <c r="AB1367" s="4" t="n"/>
      <c r="AC1367" s="4" t="n"/>
      <c r="AD1367" s="4" t="n"/>
      <c r="AE1367" s="4" t="n"/>
      <c r="AF1367" s="4" t="n"/>
      <c r="AG1367" s="4" t="n"/>
      <c r="AH1367" s="4" t="n"/>
      <c r="AI1367" s="4" t="n"/>
      <c r="AJ1367" s="4" t="n"/>
      <c r="AK1367" s="4" t="n"/>
      <c r="AL1367" s="4" t="n"/>
      <c r="AM1367" s="4" t="n"/>
      <c r="AN1367" s="4" t="n"/>
      <c r="AO1367" s="4" t="n"/>
      <c r="AP1367" s="4" t="n"/>
      <c r="AQ1367" s="4" t="n"/>
      <c r="AR1367" s="4" t="n"/>
      <c r="AS1367" s="4" t="n"/>
      <c r="AT1367" s="4" t="n"/>
      <c r="AU1367" s="4" t="n"/>
      <c r="AV1367" s="4" t="n"/>
      <c r="AW1367" s="4" t="n"/>
      <c r="AX1367" s="4" t="n"/>
      <c r="AY1367" s="4" t="n"/>
      <c r="AZ1367" s="4" t="n"/>
      <c r="BA1367" s="4" t="n"/>
      <c r="BB1367" s="4" t="n"/>
      <c r="BC1367" s="4" t="n"/>
      <c r="BD1367" s="4" t="n"/>
      <c r="BE1367" s="4" t="n"/>
      <c r="BF1367" s="4" t="n"/>
      <c r="BG1367" s="4" t="n"/>
      <c r="BH1367" s="4" t="n"/>
      <c r="BI1367" s="4" t="n"/>
      <c r="BJ1367" s="4" t="n"/>
      <c r="BK1367" s="4" t="n"/>
      <c r="BL1367" s="4" t="n"/>
      <c r="BM1367" s="4" t="n"/>
      <c r="BN1367" s="4" t="n"/>
      <c r="BO1367" s="4" t="n"/>
      <c r="BP1367" s="4" t="n"/>
      <c r="BQ1367" s="4" t="n"/>
      <c r="BR1367" s="4" t="n"/>
      <c r="BS1367" s="4" t="n"/>
      <c r="BT1367" s="4" t="n"/>
      <c r="BU1367" s="4" t="n"/>
      <c r="BV1367" s="4" t="n"/>
      <c r="BW1367" s="4" t="n"/>
      <c r="BX1367" s="4" t="n"/>
      <c r="BY1367" s="4" t="n"/>
      <c r="BZ1367" s="4" t="n"/>
      <c r="CA1367" s="4" t="n"/>
      <c r="CB1367" s="4" t="n"/>
      <c r="CC1367" s="4" t="n"/>
      <c r="CD1367" s="4" t="n"/>
      <c r="CE1367" s="4" t="n"/>
      <c r="CF1367" s="4" t="n"/>
      <c r="CG1367" s="4" t="n"/>
      <c r="CH1367" s="4" t="n"/>
      <c r="CI1367" s="4" t="n"/>
      <c r="CJ1367" s="4" t="n"/>
      <c r="CK1367" s="4" t="n"/>
      <c r="CL1367" s="4" t="n"/>
      <c r="CM1367" s="4" t="n"/>
      <c r="CN1367" s="4" t="n"/>
      <c r="CO1367" s="4" t="n"/>
      <c r="CP1367" s="4" t="n"/>
      <c r="CQ1367" s="4" t="n"/>
      <c r="CR1367" s="4" t="n"/>
      <c r="CS1367" s="4" t="n"/>
      <c r="CT1367" s="4" t="n"/>
      <c r="CU1367" s="4" t="n"/>
      <c r="CV1367" s="4" t="n"/>
      <c r="CW1367" s="4" t="n"/>
      <c r="CX1367" s="4" t="n"/>
      <c r="CY1367" s="4" t="n"/>
      <c r="CZ1367" s="4" t="n"/>
      <c r="DA1367" s="4" t="n"/>
      <c r="DB1367" s="4" t="n"/>
      <c r="DC1367" s="4" t="n"/>
      <c r="DD1367" s="4" t="n"/>
      <c r="DE1367" s="4" t="n"/>
      <c r="DF1367" s="4" t="n"/>
      <c r="DG1367" s="4" t="n"/>
      <c r="DH1367" s="4" t="n"/>
      <c r="DI1367" s="4" t="n"/>
      <c r="DJ1367" s="4" t="n"/>
      <c r="DK1367" s="4" t="n"/>
      <c r="DL1367" s="4" t="n"/>
      <c r="DM1367" s="4" t="n"/>
      <c r="DN1367" s="4" t="n"/>
      <c r="DO1367" s="4" t="n"/>
      <c r="DP1367" s="4" t="n"/>
      <c r="DQ1367" s="4" t="n"/>
      <c r="DR1367" s="4" t="n"/>
      <c r="DS1367" s="4" t="n"/>
      <c r="DT1367" s="4" t="n"/>
      <c r="DU1367" s="4" t="n"/>
      <c r="DV1367" s="4" t="n"/>
      <c r="DW1367" s="4" t="n"/>
      <c r="DX1367" s="4" t="n"/>
      <c r="DY1367" s="4" t="n"/>
      <c r="DZ1367" s="4" t="n"/>
      <c r="EA1367" s="4" t="n"/>
      <c r="EB1367" s="4" t="n"/>
      <c r="EC1367" s="4" t="n"/>
      <c r="ED1367" s="4" t="n"/>
      <c r="EE1367" s="4" t="n"/>
      <c r="EF1367" s="4" t="n"/>
      <c r="EG1367" s="4" t="n"/>
      <c r="EH1367" s="4" t="n"/>
      <c r="EI1367" s="4" t="n"/>
      <c r="EJ1367" s="4" t="n"/>
      <c r="EK1367" s="4" t="n"/>
      <c r="EL1367" s="4" t="n"/>
      <c r="EM1367" s="4" t="n"/>
      <c r="EN1367" s="4" t="n"/>
      <c r="EO1367" s="4" t="n"/>
      <c r="EP1367" s="4" t="n"/>
      <c r="EQ1367" s="4" t="n"/>
      <c r="ER1367" s="4" t="n"/>
      <c r="ES1367" s="4" t="n"/>
      <c r="ET1367" s="4" t="n"/>
      <c r="EU1367" s="4" t="n"/>
      <c r="EV1367" s="4" t="n"/>
      <c r="EW1367" s="4" t="n"/>
      <c r="EX1367" s="4" t="n"/>
      <c r="EY1367" s="4" t="n"/>
      <c r="EZ1367" s="4" t="n"/>
      <c r="FA1367" s="4" t="n"/>
      <c r="FB1367" s="4" t="n"/>
      <c r="FC1367" s="4" t="n"/>
    </row>
    <row r="1368" hidden="1" customFormat="1" s="6">
      <c r="C1368" s="4" t="n"/>
      <c r="D1368" s="4" t="n"/>
      <c r="E1368" s="4" t="n"/>
      <c r="F1368" s="4" t="n"/>
      <c r="G1368" s="4" t="n"/>
      <c r="H1368" s="4" t="n"/>
      <c r="I1368" s="4" t="n"/>
      <c r="J1368" s="4" t="n"/>
      <c r="K1368" s="4" t="n"/>
      <c r="L1368" s="4" t="n"/>
      <c r="M1368" s="4" t="n"/>
      <c r="N1368" s="4" t="n"/>
      <c r="O1368" s="4" t="n"/>
      <c r="P1368" s="4" t="n"/>
      <c r="Q1368" s="4" t="n"/>
      <c r="R1368" s="4" t="n"/>
      <c r="S1368" s="4" t="n"/>
      <c r="T1368" s="4" t="n"/>
      <c r="U1368" s="4" t="n"/>
      <c r="V1368" s="4" t="n"/>
      <c r="W1368" s="4" t="n"/>
      <c r="X1368" s="4" t="n"/>
      <c r="Y1368" s="4" t="n"/>
      <c r="Z1368" s="4" t="n"/>
      <c r="AA1368" s="4" t="n"/>
      <c r="AB1368" s="4" t="n"/>
      <c r="AC1368" s="4" t="n"/>
      <c r="AD1368" s="4" t="n"/>
      <c r="AE1368" s="4" t="n"/>
      <c r="AF1368" s="4" t="n"/>
      <c r="AG1368" s="4" t="n"/>
      <c r="AH1368" s="4" t="n"/>
      <c r="AI1368" s="4" t="n"/>
      <c r="AJ1368" s="4" t="n"/>
      <c r="AK1368" s="4" t="n"/>
      <c r="AL1368" s="4" t="n"/>
      <c r="AM1368" s="4" t="n"/>
      <c r="AN1368" s="4" t="n"/>
      <c r="AO1368" s="4" t="n"/>
      <c r="AP1368" s="4" t="n"/>
      <c r="AQ1368" s="4" t="n"/>
      <c r="AR1368" s="4" t="n"/>
      <c r="AS1368" s="4" t="n"/>
      <c r="AT1368" s="4" t="n"/>
      <c r="AU1368" s="4" t="n"/>
      <c r="AV1368" s="4" t="n"/>
      <c r="AW1368" s="4" t="n"/>
      <c r="AX1368" s="4" t="n"/>
      <c r="AY1368" s="4" t="n"/>
      <c r="AZ1368" s="4" t="n"/>
      <c r="BA1368" s="4" t="n"/>
      <c r="BB1368" s="4" t="n"/>
      <c r="BC1368" s="4" t="n"/>
      <c r="BD1368" s="4" t="n"/>
      <c r="BE1368" s="4" t="n"/>
      <c r="BF1368" s="4" t="n"/>
      <c r="BG1368" s="4" t="n"/>
      <c r="BH1368" s="4" t="n"/>
      <c r="BI1368" s="4" t="n"/>
      <c r="BJ1368" s="4" t="n"/>
      <c r="BK1368" s="4" t="n"/>
      <c r="BL1368" s="4" t="n"/>
      <c r="BM1368" s="4" t="n"/>
      <c r="BN1368" s="4" t="n"/>
      <c r="BO1368" s="4" t="n"/>
      <c r="BP1368" s="4" t="n"/>
      <c r="BQ1368" s="4" t="n"/>
      <c r="BR1368" s="4" t="n"/>
      <c r="BS1368" s="4" t="n"/>
      <c r="BT1368" s="4" t="n"/>
      <c r="BU1368" s="4" t="n"/>
      <c r="BV1368" s="4" t="n"/>
      <c r="BW1368" s="4" t="n"/>
      <c r="BX1368" s="4" t="n"/>
      <c r="BY1368" s="4" t="n"/>
      <c r="BZ1368" s="4" t="n"/>
      <c r="CA1368" s="4" t="n"/>
      <c r="CB1368" s="4" t="n"/>
      <c r="CC1368" s="4" t="n"/>
      <c r="CD1368" s="4" t="n"/>
      <c r="CE1368" s="4" t="n"/>
      <c r="CF1368" s="4" t="n"/>
      <c r="CG1368" s="4" t="n"/>
      <c r="CH1368" s="4" t="n"/>
      <c r="CI1368" s="4" t="n"/>
      <c r="CJ1368" s="4" t="n"/>
      <c r="CK1368" s="4" t="n"/>
      <c r="CL1368" s="4" t="n"/>
      <c r="CM1368" s="4" t="n"/>
      <c r="CN1368" s="4" t="n"/>
      <c r="CO1368" s="4" t="n"/>
      <c r="CP1368" s="4" t="n"/>
      <c r="CQ1368" s="4" t="n"/>
      <c r="CR1368" s="4" t="n"/>
      <c r="CS1368" s="4" t="n"/>
      <c r="CT1368" s="4" t="n"/>
      <c r="CU1368" s="4" t="n"/>
      <c r="CV1368" s="4" t="n"/>
      <c r="CW1368" s="4" t="n"/>
      <c r="CX1368" s="4" t="n"/>
      <c r="CY1368" s="4" t="n"/>
      <c r="CZ1368" s="4" t="n"/>
      <c r="DA1368" s="4" t="n"/>
      <c r="DB1368" s="4" t="n"/>
      <c r="DC1368" s="4" t="n"/>
      <c r="DD1368" s="4" t="n"/>
      <c r="DE1368" s="4" t="n"/>
      <c r="DF1368" s="4" t="n"/>
      <c r="DG1368" s="4" t="n"/>
      <c r="DH1368" s="4" t="n"/>
      <c r="DI1368" s="4" t="n"/>
      <c r="DJ1368" s="4" t="n"/>
      <c r="DK1368" s="4" t="n"/>
      <c r="DL1368" s="4" t="n"/>
      <c r="DM1368" s="4" t="n"/>
      <c r="DN1368" s="4" t="n"/>
      <c r="DO1368" s="4" t="n"/>
      <c r="DP1368" s="4" t="n"/>
      <c r="DQ1368" s="4" t="n"/>
      <c r="DR1368" s="4" t="n"/>
      <c r="DS1368" s="4" t="n"/>
      <c r="DT1368" s="4" t="n"/>
      <c r="DU1368" s="4" t="n"/>
      <c r="DV1368" s="4" t="n"/>
      <c r="DW1368" s="4" t="n"/>
      <c r="DX1368" s="4" t="n"/>
      <c r="DY1368" s="4" t="n"/>
      <c r="DZ1368" s="4" t="n"/>
      <c r="EA1368" s="4" t="n"/>
      <c r="EB1368" s="4" t="n"/>
      <c r="EC1368" s="4" t="n"/>
      <c r="ED1368" s="4" t="n"/>
      <c r="EE1368" s="4" t="n"/>
      <c r="EF1368" s="4" t="n"/>
      <c r="EG1368" s="4" t="n"/>
      <c r="EH1368" s="4" t="n"/>
      <c r="EI1368" s="4" t="n"/>
      <c r="EJ1368" s="4" t="n"/>
      <c r="EK1368" s="4" t="n"/>
      <c r="EL1368" s="4" t="n"/>
      <c r="EM1368" s="4" t="n"/>
      <c r="EN1368" s="4" t="n"/>
      <c r="EO1368" s="4" t="n"/>
      <c r="EP1368" s="4" t="n"/>
      <c r="EQ1368" s="4" t="n"/>
      <c r="ER1368" s="4" t="n"/>
      <c r="ES1368" s="4" t="n"/>
      <c r="ET1368" s="4" t="n"/>
      <c r="EU1368" s="4" t="n"/>
      <c r="EV1368" s="4" t="n"/>
      <c r="EW1368" s="4" t="n"/>
      <c r="EX1368" s="4" t="n"/>
      <c r="EY1368" s="4" t="n"/>
      <c r="EZ1368" s="4" t="n"/>
      <c r="FA1368" s="4" t="n"/>
      <c r="FB1368" s="4" t="n"/>
      <c r="FC1368" s="4" t="n"/>
    </row>
    <row r="1369" hidden="1" customFormat="1" s="6">
      <c r="C1369" s="4" t="n"/>
      <c r="D1369" s="4" t="n"/>
      <c r="E1369" s="4" t="n"/>
      <c r="F1369" s="4" t="n"/>
      <c r="G1369" s="4" t="n"/>
      <c r="H1369" s="4" t="n"/>
      <c r="I1369" s="4" t="n"/>
      <c r="J1369" s="4" t="n"/>
      <c r="K1369" s="4" t="n"/>
      <c r="L1369" s="4" t="n"/>
      <c r="M1369" s="4" t="n"/>
      <c r="N1369" s="4" t="n"/>
      <c r="O1369" s="4" t="n"/>
      <c r="P1369" s="4" t="n"/>
      <c r="Q1369" s="4" t="n"/>
      <c r="R1369" s="4" t="n"/>
      <c r="S1369" s="4" t="n"/>
      <c r="T1369" s="4" t="n"/>
      <c r="U1369" s="4" t="n"/>
      <c r="V1369" s="4" t="n"/>
      <c r="W1369" s="4" t="n"/>
      <c r="X1369" s="4" t="n"/>
      <c r="Y1369" s="4" t="n"/>
      <c r="Z1369" s="4" t="n"/>
      <c r="AA1369" s="4" t="n"/>
      <c r="AB1369" s="4" t="n"/>
      <c r="AC1369" s="4" t="n"/>
      <c r="AD1369" s="4" t="n"/>
      <c r="AE1369" s="4" t="n"/>
      <c r="AF1369" s="4" t="n"/>
      <c r="AG1369" s="4" t="n"/>
      <c r="AH1369" s="4" t="n"/>
      <c r="AI1369" s="4" t="n"/>
      <c r="AJ1369" s="4" t="n"/>
      <c r="AK1369" s="4" t="n"/>
      <c r="AL1369" s="4" t="n"/>
      <c r="AM1369" s="4" t="n"/>
      <c r="AN1369" s="4" t="n"/>
      <c r="AO1369" s="4" t="n"/>
      <c r="AP1369" s="4" t="n"/>
      <c r="AQ1369" s="4" t="n"/>
      <c r="AR1369" s="4" t="n"/>
      <c r="AS1369" s="4" t="n"/>
      <c r="AT1369" s="4" t="n"/>
      <c r="AU1369" s="4" t="n"/>
      <c r="AV1369" s="4" t="n"/>
      <c r="AW1369" s="4" t="n"/>
      <c r="AX1369" s="4" t="n"/>
      <c r="AY1369" s="4" t="n"/>
      <c r="AZ1369" s="4" t="n"/>
      <c r="BA1369" s="4" t="n"/>
      <c r="BB1369" s="4" t="n"/>
      <c r="BC1369" s="4" t="n"/>
      <c r="BD1369" s="4" t="n"/>
      <c r="BE1369" s="4" t="n"/>
      <c r="BF1369" s="4" t="n"/>
      <c r="BG1369" s="4" t="n"/>
      <c r="BH1369" s="4" t="n"/>
      <c r="BI1369" s="4" t="n"/>
      <c r="BJ1369" s="4" t="n"/>
      <c r="BK1369" s="4" t="n"/>
      <c r="BL1369" s="4" t="n"/>
      <c r="BM1369" s="4" t="n"/>
      <c r="BN1369" s="4" t="n"/>
      <c r="BO1369" s="4" t="n"/>
      <c r="BP1369" s="4" t="n"/>
      <c r="BQ1369" s="4" t="n"/>
      <c r="BR1369" s="4" t="n"/>
      <c r="BS1369" s="4" t="n"/>
      <c r="BT1369" s="4" t="n"/>
      <c r="BU1369" s="4" t="n"/>
      <c r="BV1369" s="4" t="n"/>
      <c r="BW1369" s="4" t="n"/>
      <c r="BX1369" s="4" t="n"/>
      <c r="BY1369" s="4" t="n"/>
      <c r="BZ1369" s="4" t="n"/>
      <c r="CA1369" s="4" t="n"/>
      <c r="CB1369" s="4" t="n"/>
      <c r="CC1369" s="4" t="n"/>
      <c r="CD1369" s="4" t="n"/>
      <c r="CE1369" s="4" t="n"/>
      <c r="CF1369" s="4" t="n"/>
      <c r="CG1369" s="4" t="n"/>
      <c r="CH1369" s="4" t="n"/>
      <c r="CI1369" s="4" t="n"/>
      <c r="CJ1369" s="4" t="n"/>
      <c r="CK1369" s="4" t="n"/>
      <c r="CL1369" s="4" t="n"/>
      <c r="CM1369" s="4" t="n"/>
      <c r="CN1369" s="4" t="n"/>
      <c r="CO1369" s="4" t="n"/>
      <c r="CP1369" s="4" t="n"/>
      <c r="CQ1369" s="4" t="n"/>
      <c r="CR1369" s="4" t="n"/>
      <c r="CS1369" s="4" t="n"/>
      <c r="CT1369" s="4" t="n"/>
      <c r="CU1369" s="4" t="n"/>
      <c r="CV1369" s="4" t="n"/>
      <c r="CW1369" s="4" t="n"/>
      <c r="CX1369" s="4" t="n"/>
      <c r="CY1369" s="4" t="n"/>
      <c r="CZ1369" s="4" t="n"/>
      <c r="DA1369" s="4" t="n"/>
      <c r="DB1369" s="4" t="n"/>
      <c r="DC1369" s="4" t="n"/>
      <c r="DD1369" s="4" t="n"/>
      <c r="DE1369" s="4" t="n"/>
      <c r="DF1369" s="4" t="n"/>
      <c r="DG1369" s="4" t="n"/>
      <c r="DH1369" s="4" t="n"/>
      <c r="DI1369" s="4" t="n"/>
      <c r="DJ1369" s="4" t="n"/>
      <c r="DK1369" s="4" t="n"/>
      <c r="DL1369" s="4" t="n"/>
      <c r="DM1369" s="4" t="n"/>
      <c r="DN1369" s="4" t="n"/>
      <c r="DO1369" s="4" t="n"/>
      <c r="DP1369" s="4" t="n"/>
      <c r="DQ1369" s="4" t="n"/>
      <c r="DR1369" s="4" t="n"/>
      <c r="DS1369" s="4" t="n"/>
      <c r="DT1369" s="4" t="n"/>
      <c r="DU1369" s="4" t="n"/>
      <c r="DV1369" s="4" t="n"/>
      <c r="DW1369" s="4" t="n"/>
      <c r="DX1369" s="4" t="n"/>
      <c r="DY1369" s="4" t="n"/>
      <c r="DZ1369" s="4" t="n"/>
      <c r="EA1369" s="4" t="n"/>
      <c r="EB1369" s="4" t="n"/>
      <c r="EC1369" s="4" t="n"/>
      <c r="ED1369" s="4" t="n"/>
      <c r="EE1369" s="4" t="n"/>
      <c r="EF1369" s="4" t="n"/>
      <c r="EG1369" s="4" t="n"/>
      <c r="EH1369" s="4" t="n"/>
      <c r="EI1369" s="4" t="n"/>
      <c r="EJ1369" s="4" t="n"/>
      <c r="EK1369" s="4" t="n"/>
      <c r="EL1369" s="4" t="n"/>
      <c r="EM1369" s="4" t="n"/>
      <c r="EN1369" s="4" t="n"/>
      <c r="EO1369" s="4" t="n"/>
      <c r="EP1369" s="4" t="n"/>
      <c r="EQ1369" s="4" t="n"/>
      <c r="ER1369" s="4" t="n"/>
      <c r="ES1369" s="4" t="n"/>
      <c r="ET1369" s="4" t="n"/>
      <c r="EU1369" s="4" t="n"/>
      <c r="EV1369" s="4" t="n"/>
      <c r="EW1369" s="4" t="n"/>
      <c r="EX1369" s="4" t="n"/>
      <c r="EY1369" s="4" t="n"/>
      <c r="EZ1369" s="4" t="n"/>
      <c r="FA1369" s="4" t="n"/>
      <c r="FB1369" s="4" t="n"/>
      <c r="FC1369" s="4" t="n"/>
    </row>
    <row r="1370" hidden="1" customFormat="1" s="6">
      <c r="C1370" s="4" t="n"/>
      <c r="D1370" s="4" t="n"/>
      <c r="E1370" s="4" t="n"/>
      <c r="F1370" s="4" t="n"/>
      <c r="G1370" s="4" t="n"/>
      <c r="H1370" s="4" t="n"/>
      <c r="I1370" s="4" t="n"/>
      <c r="J1370" s="4" t="n"/>
      <c r="K1370" s="4" t="n"/>
      <c r="L1370" s="4" t="n"/>
      <c r="M1370" s="4" t="n"/>
      <c r="N1370" s="4" t="n"/>
      <c r="O1370" s="4" t="n"/>
      <c r="P1370" s="4" t="n"/>
      <c r="Q1370" s="4" t="n"/>
      <c r="R1370" s="4" t="n"/>
      <c r="S1370" s="4" t="n"/>
      <c r="T1370" s="4" t="n"/>
      <c r="U1370" s="4" t="n"/>
      <c r="V1370" s="4" t="n"/>
      <c r="W1370" s="4" t="n"/>
      <c r="X1370" s="4" t="n"/>
      <c r="Y1370" s="4" t="n"/>
      <c r="Z1370" s="4" t="n"/>
      <c r="AA1370" s="4" t="n"/>
      <c r="AB1370" s="4" t="n"/>
      <c r="AC1370" s="4" t="n"/>
      <c r="AD1370" s="4" t="n"/>
      <c r="AE1370" s="4" t="n"/>
      <c r="AF1370" s="4" t="n"/>
      <c r="AG1370" s="4" t="n"/>
      <c r="AH1370" s="4" t="n"/>
      <c r="AI1370" s="4" t="n"/>
      <c r="AJ1370" s="4" t="n"/>
      <c r="AK1370" s="4" t="n"/>
      <c r="AL1370" s="4" t="n"/>
      <c r="AM1370" s="4" t="n"/>
      <c r="AN1370" s="4" t="n"/>
      <c r="AO1370" s="4" t="n"/>
      <c r="AP1370" s="4" t="n"/>
      <c r="AQ1370" s="4" t="n"/>
      <c r="AR1370" s="4" t="n"/>
      <c r="AS1370" s="4" t="n"/>
      <c r="AT1370" s="4" t="n"/>
      <c r="AU1370" s="4" t="n"/>
      <c r="AV1370" s="4" t="n"/>
      <c r="AW1370" s="4" t="n"/>
      <c r="AX1370" s="4" t="n"/>
      <c r="AY1370" s="4" t="n"/>
      <c r="AZ1370" s="4" t="n"/>
      <c r="BA1370" s="4" t="n"/>
      <c r="BB1370" s="4" t="n"/>
      <c r="BC1370" s="4" t="n"/>
      <c r="BD1370" s="4" t="n"/>
      <c r="BE1370" s="4" t="n"/>
      <c r="BF1370" s="4" t="n"/>
      <c r="BG1370" s="4" t="n"/>
      <c r="BH1370" s="4" t="n"/>
      <c r="BI1370" s="4" t="n"/>
      <c r="BJ1370" s="4" t="n"/>
      <c r="BK1370" s="4" t="n"/>
      <c r="BL1370" s="4" t="n"/>
      <c r="BM1370" s="4" t="n"/>
      <c r="BN1370" s="4" t="n"/>
      <c r="BO1370" s="4" t="n"/>
      <c r="BP1370" s="4" t="n"/>
      <c r="BQ1370" s="4" t="n"/>
      <c r="BR1370" s="4" t="n"/>
      <c r="BS1370" s="4" t="n"/>
      <c r="BT1370" s="4" t="n"/>
      <c r="BU1370" s="4" t="n"/>
      <c r="BV1370" s="4" t="n"/>
      <c r="BW1370" s="4" t="n"/>
      <c r="BX1370" s="4" t="n"/>
      <c r="BY1370" s="4" t="n"/>
      <c r="BZ1370" s="4" t="n"/>
      <c r="CA1370" s="4" t="n"/>
      <c r="CB1370" s="4" t="n"/>
      <c r="CC1370" s="4" t="n"/>
      <c r="CD1370" s="4" t="n"/>
      <c r="CE1370" s="4" t="n"/>
      <c r="CF1370" s="4" t="n"/>
      <c r="CG1370" s="4" t="n"/>
      <c r="CH1370" s="4" t="n"/>
      <c r="CI1370" s="4" t="n"/>
      <c r="CJ1370" s="4" t="n"/>
      <c r="CK1370" s="4" t="n"/>
      <c r="CL1370" s="4" t="n"/>
      <c r="CM1370" s="4" t="n"/>
      <c r="CN1370" s="4" t="n"/>
      <c r="CO1370" s="4" t="n"/>
      <c r="CP1370" s="4" t="n"/>
      <c r="CQ1370" s="4" t="n"/>
      <c r="CR1370" s="4" t="n"/>
      <c r="CS1370" s="4" t="n"/>
      <c r="CT1370" s="4" t="n"/>
      <c r="CU1370" s="4" t="n"/>
      <c r="CV1370" s="4" t="n"/>
      <c r="CW1370" s="4" t="n"/>
      <c r="CX1370" s="4" t="n"/>
      <c r="CY1370" s="4" t="n"/>
      <c r="CZ1370" s="4" t="n"/>
      <c r="DA1370" s="4" t="n"/>
      <c r="DB1370" s="4" t="n"/>
      <c r="DC1370" s="4" t="n"/>
      <c r="DD1370" s="4" t="n"/>
      <c r="DE1370" s="4" t="n"/>
      <c r="DF1370" s="4" t="n"/>
      <c r="DG1370" s="4" t="n"/>
      <c r="DH1370" s="4" t="n"/>
      <c r="DI1370" s="4" t="n"/>
      <c r="DJ1370" s="4" t="n"/>
      <c r="DK1370" s="4" t="n"/>
      <c r="DL1370" s="4" t="n"/>
      <c r="DM1370" s="4" t="n"/>
      <c r="DN1370" s="4" t="n"/>
      <c r="DO1370" s="4" t="n"/>
      <c r="DP1370" s="4" t="n"/>
      <c r="DQ1370" s="4" t="n"/>
      <c r="DR1370" s="4" t="n"/>
      <c r="DS1370" s="4" t="n"/>
      <c r="DT1370" s="4" t="n"/>
      <c r="DU1370" s="4" t="n"/>
      <c r="DV1370" s="4" t="n"/>
      <c r="DW1370" s="4" t="n"/>
      <c r="DX1370" s="4" t="n"/>
      <c r="DY1370" s="4" t="n"/>
      <c r="DZ1370" s="4" t="n"/>
      <c r="EA1370" s="4" t="n"/>
      <c r="EB1370" s="4" t="n"/>
      <c r="EC1370" s="4" t="n"/>
      <c r="ED1370" s="4" t="n"/>
      <c r="EE1370" s="4" t="n"/>
      <c r="EF1370" s="4" t="n"/>
      <c r="EG1370" s="4" t="n"/>
      <c r="EH1370" s="4" t="n"/>
      <c r="EI1370" s="4" t="n"/>
      <c r="EJ1370" s="4" t="n"/>
      <c r="EK1370" s="4" t="n"/>
      <c r="EL1370" s="4" t="n"/>
      <c r="EM1370" s="4" t="n"/>
      <c r="EN1370" s="4" t="n"/>
      <c r="EO1370" s="4" t="n"/>
      <c r="EP1370" s="4" t="n"/>
      <c r="EQ1370" s="4" t="n"/>
      <c r="ER1370" s="4" t="n"/>
      <c r="ES1370" s="4" t="n"/>
      <c r="ET1370" s="4" t="n"/>
      <c r="EU1370" s="4" t="n"/>
      <c r="EV1370" s="4" t="n"/>
      <c r="EW1370" s="4" t="n"/>
      <c r="EX1370" s="4" t="n"/>
      <c r="EY1370" s="4" t="n"/>
      <c r="EZ1370" s="4" t="n"/>
      <c r="FA1370" s="4" t="n"/>
      <c r="FB1370" s="4" t="n"/>
      <c r="FC1370" s="4" t="n"/>
    </row>
    <row r="1371" hidden="1" customFormat="1" s="6">
      <c r="C1371" s="4" t="n"/>
      <c r="D1371" s="4" t="n"/>
      <c r="E1371" s="4" t="n"/>
      <c r="F1371" s="4" t="n"/>
      <c r="G1371" s="4" t="n"/>
      <c r="H1371" s="4" t="n"/>
      <c r="I1371" s="4" t="n"/>
      <c r="J1371" s="4" t="n"/>
      <c r="K1371" s="4" t="n"/>
      <c r="L1371" s="4" t="n"/>
      <c r="M1371" s="4" t="n"/>
      <c r="N1371" s="4" t="n"/>
      <c r="O1371" s="4" t="n"/>
      <c r="P1371" s="4" t="n"/>
      <c r="Q1371" s="4" t="n"/>
      <c r="R1371" s="4" t="n"/>
      <c r="S1371" s="4" t="n"/>
      <c r="T1371" s="4" t="n"/>
      <c r="U1371" s="4" t="n"/>
      <c r="V1371" s="4" t="n"/>
      <c r="W1371" s="4" t="n"/>
      <c r="X1371" s="4" t="n"/>
      <c r="Y1371" s="4" t="n"/>
      <c r="Z1371" s="4" t="n"/>
      <c r="AA1371" s="4" t="n"/>
      <c r="AB1371" s="4" t="n"/>
      <c r="AC1371" s="4" t="n"/>
      <c r="AD1371" s="4" t="n"/>
      <c r="AE1371" s="4" t="n"/>
      <c r="AF1371" s="4" t="n"/>
      <c r="AG1371" s="4" t="n"/>
      <c r="AH1371" s="4" t="n"/>
      <c r="AI1371" s="4" t="n"/>
      <c r="AJ1371" s="4" t="n"/>
      <c r="AK1371" s="4" t="n"/>
      <c r="AL1371" s="4" t="n"/>
      <c r="AM1371" s="4" t="n"/>
      <c r="AN1371" s="4" t="n"/>
      <c r="AO1371" s="4" t="n"/>
      <c r="AP1371" s="4" t="n"/>
      <c r="AQ1371" s="4" t="n"/>
      <c r="AR1371" s="4" t="n"/>
      <c r="AS1371" s="4" t="n"/>
      <c r="AT1371" s="4" t="n"/>
      <c r="AU1371" s="4" t="n"/>
      <c r="AV1371" s="4" t="n"/>
      <c r="AW1371" s="4" t="n"/>
      <c r="AX1371" s="4" t="n"/>
      <c r="AY1371" s="4" t="n"/>
      <c r="AZ1371" s="4" t="n"/>
      <c r="BA1371" s="4" t="n"/>
      <c r="BB1371" s="4" t="n"/>
      <c r="BC1371" s="4" t="n"/>
      <c r="BD1371" s="4" t="n"/>
      <c r="BE1371" s="4" t="n"/>
      <c r="BF1371" s="4" t="n"/>
      <c r="BG1371" s="4" t="n"/>
      <c r="BH1371" s="4" t="n"/>
      <c r="BI1371" s="4" t="n"/>
      <c r="BJ1371" s="4" t="n"/>
      <c r="BK1371" s="4" t="n"/>
      <c r="BL1371" s="4" t="n"/>
      <c r="BM1371" s="4" t="n"/>
      <c r="BN1371" s="4" t="n"/>
      <c r="BO1371" s="4" t="n"/>
      <c r="BP1371" s="4" t="n"/>
      <c r="BQ1371" s="4" t="n"/>
      <c r="BR1371" s="4" t="n"/>
      <c r="BS1371" s="4" t="n"/>
      <c r="BT1371" s="4" t="n"/>
      <c r="BU1371" s="4" t="n"/>
      <c r="BV1371" s="4" t="n"/>
      <c r="BW1371" s="4" t="n"/>
      <c r="BX1371" s="4" t="n"/>
      <c r="BY1371" s="4" t="n"/>
      <c r="BZ1371" s="4" t="n"/>
      <c r="CA1371" s="4" t="n"/>
      <c r="CB1371" s="4" t="n"/>
      <c r="CC1371" s="4" t="n"/>
      <c r="CD1371" s="4" t="n"/>
      <c r="CE1371" s="4" t="n"/>
      <c r="CF1371" s="4" t="n"/>
      <c r="CG1371" s="4" t="n"/>
      <c r="CH1371" s="4" t="n"/>
      <c r="CI1371" s="4" t="n"/>
      <c r="CJ1371" s="4" t="n"/>
      <c r="CK1371" s="4" t="n"/>
      <c r="CL1371" s="4" t="n"/>
      <c r="CM1371" s="4" t="n"/>
      <c r="CN1371" s="4" t="n"/>
      <c r="CO1371" s="4" t="n"/>
      <c r="CP1371" s="4" t="n"/>
      <c r="CQ1371" s="4" t="n"/>
      <c r="CR1371" s="4" t="n"/>
      <c r="CS1371" s="4" t="n"/>
      <c r="CT1371" s="4" t="n"/>
      <c r="CU1371" s="4" t="n"/>
      <c r="CV1371" s="4" t="n"/>
      <c r="CW1371" s="4" t="n"/>
      <c r="CX1371" s="4" t="n"/>
      <c r="CY1371" s="4" t="n"/>
      <c r="CZ1371" s="4" t="n"/>
      <c r="DA1371" s="4" t="n"/>
      <c r="DB1371" s="4" t="n"/>
      <c r="DC1371" s="4" t="n"/>
      <c r="DD1371" s="4" t="n"/>
      <c r="DE1371" s="4" t="n"/>
      <c r="DF1371" s="4" t="n"/>
      <c r="DG1371" s="4" t="n"/>
      <c r="DH1371" s="4" t="n"/>
      <c r="DI1371" s="4" t="n"/>
      <c r="DJ1371" s="4" t="n"/>
      <c r="DK1371" s="4" t="n"/>
      <c r="DL1371" s="4" t="n"/>
      <c r="DM1371" s="4" t="n"/>
      <c r="DN1371" s="4" t="n"/>
      <c r="DO1371" s="4" t="n"/>
      <c r="DP1371" s="4" t="n"/>
      <c r="DQ1371" s="4" t="n"/>
      <c r="DR1371" s="4" t="n"/>
      <c r="DS1371" s="4" t="n"/>
      <c r="DT1371" s="4" t="n"/>
      <c r="DU1371" s="4" t="n"/>
      <c r="DV1371" s="4" t="n"/>
      <c r="DW1371" s="4" t="n"/>
      <c r="DX1371" s="4" t="n"/>
      <c r="DY1371" s="4" t="n"/>
      <c r="DZ1371" s="4" t="n"/>
      <c r="EA1371" s="4" t="n"/>
      <c r="EB1371" s="4" t="n"/>
      <c r="EC1371" s="4" t="n"/>
      <c r="ED1371" s="4" t="n"/>
      <c r="EE1371" s="4" t="n"/>
      <c r="EF1371" s="4" t="n"/>
      <c r="EG1371" s="4" t="n"/>
      <c r="EH1371" s="4" t="n"/>
      <c r="EI1371" s="4" t="n"/>
      <c r="EJ1371" s="4" t="n"/>
      <c r="EK1371" s="4" t="n"/>
      <c r="EL1371" s="4" t="n"/>
      <c r="EM1371" s="4" t="n"/>
      <c r="EN1371" s="4" t="n"/>
      <c r="EO1371" s="4" t="n"/>
      <c r="EP1371" s="4" t="n"/>
      <c r="EQ1371" s="4" t="n"/>
      <c r="ER1371" s="4" t="n"/>
      <c r="ES1371" s="4" t="n"/>
      <c r="ET1371" s="4" t="n"/>
      <c r="EU1371" s="4" t="n"/>
      <c r="EV1371" s="4" t="n"/>
      <c r="EW1371" s="4" t="n"/>
      <c r="EX1371" s="4" t="n"/>
      <c r="EY1371" s="4" t="n"/>
      <c r="EZ1371" s="4" t="n"/>
      <c r="FA1371" s="4" t="n"/>
      <c r="FB1371" s="4" t="n"/>
      <c r="FC1371" s="4" t="n"/>
    </row>
    <row r="1372" hidden="1" customFormat="1" s="6">
      <c r="C1372" s="4" t="n"/>
      <c r="D1372" s="4" t="n"/>
      <c r="E1372" s="4" t="n"/>
      <c r="F1372" s="4" t="n"/>
      <c r="G1372" s="4" t="n"/>
      <c r="H1372" s="4" t="n"/>
      <c r="I1372" s="4" t="n"/>
      <c r="J1372" s="4" t="n"/>
      <c r="K1372" s="4" t="n"/>
      <c r="L1372" s="4" t="n"/>
      <c r="M1372" s="4" t="n"/>
      <c r="N1372" s="4" t="n"/>
      <c r="O1372" s="4" t="n"/>
      <c r="P1372" s="4" t="n"/>
      <c r="Q1372" s="4" t="n"/>
      <c r="R1372" s="4" t="n"/>
      <c r="S1372" s="4" t="n"/>
      <c r="T1372" s="4" t="n"/>
      <c r="U1372" s="4" t="n"/>
      <c r="V1372" s="4" t="n"/>
      <c r="W1372" s="4" t="n"/>
      <c r="X1372" s="4" t="n"/>
      <c r="Y1372" s="4" t="n"/>
      <c r="Z1372" s="4" t="n"/>
      <c r="AA1372" s="4" t="n"/>
      <c r="AB1372" s="4" t="n"/>
      <c r="AC1372" s="4" t="n"/>
      <c r="AD1372" s="4" t="n"/>
      <c r="AE1372" s="4" t="n"/>
      <c r="AF1372" s="4" t="n"/>
      <c r="AG1372" s="4" t="n"/>
      <c r="AH1372" s="4" t="n"/>
      <c r="AI1372" s="4" t="n"/>
      <c r="AJ1372" s="4" t="n"/>
      <c r="AK1372" s="4" t="n"/>
      <c r="AL1372" s="4" t="n"/>
      <c r="AM1372" s="4" t="n"/>
      <c r="AN1372" s="4" t="n"/>
      <c r="AO1372" s="4" t="n"/>
      <c r="AP1372" s="4" t="n"/>
      <c r="AQ1372" s="4" t="n"/>
      <c r="AR1372" s="4" t="n"/>
      <c r="AS1372" s="4" t="n"/>
      <c r="AT1372" s="4" t="n"/>
      <c r="AU1372" s="4" t="n"/>
      <c r="AV1372" s="4" t="n"/>
      <c r="AW1372" s="4" t="n"/>
      <c r="AX1372" s="4" t="n"/>
      <c r="AY1372" s="4" t="n"/>
      <c r="AZ1372" s="4" t="n"/>
      <c r="BA1372" s="4" t="n"/>
      <c r="BB1372" s="4" t="n"/>
      <c r="BC1372" s="4" t="n"/>
      <c r="BD1372" s="4" t="n"/>
      <c r="BE1372" s="4" t="n"/>
      <c r="BF1372" s="4" t="n"/>
      <c r="BG1372" s="4" t="n"/>
      <c r="BH1372" s="4" t="n"/>
      <c r="BI1372" s="4" t="n"/>
      <c r="BJ1372" s="4" t="n"/>
      <c r="BK1372" s="4" t="n"/>
      <c r="BL1372" s="4" t="n"/>
      <c r="BM1372" s="4" t="n"/>
      <c r="BN1372" s="4" t="n"/>
      <c r="BO1372" s="4" t="n"/>
      <c r="BP1372" s="4" t="n"/>
      <c r="BQ1372" s="4" t="n"/>
      <c r="BR1372" s="4" t="n"/>
      <c r="BS1372" s="4" t="n"/>
      <c r="BT1372" s="4" t="n"/>
      <c r="BU1372" s="4" t="n"/>
      <c r="BV1372" s="4" t="n"/>
      <c r="BW1372" s="4" t="n"/>
      <c r="BX1372" s="4" t="n"/>
      <c r="BY1372" s="4" t="n"/>
      <c r="BZ1372" s="4" t="n"/>
      <c r="CA1372" s="4" t="n"/>
      <c r="CB1372" s="4" t="n"/>
      <c r="CC1372" s="4" t="n"/>
      <c r="CD1372" s="4" t="n"/>
      <c r="CE1372" s="4" t="n"/>
      <c r="CF1372" s="4" t="n"/>
      <c r="CG1372" s="4" t="n"/>
      <c r="CH1372" s="4" t="n"/>
      <c r="CI1372" s="4" t="n"/>
      <c r="CJ1372" s="4" t="n"/>
      <c r="CK1372" s="4" t="n"/>
      <c r="CL1372" s="4" t="n"/>
      <c r="CM1372" s="4" t="n"/>
      <c r="CN1372" s="4" t="n"/>
      <c r="CO1372" s="4" t="n"/>
      <c r="CP1372" s="4" t="n"/>
      <c r="CQ1372" s="4" t="n"/>
      <c r="CR1372" s="4" t="n"/>
      <c r="CS1372" s="4" t="n"/>
      <c r="CT1372" s="4" t="n"/>
      <c r="CU1372" s="4" t="n"/>
      <c r="CV1372" s="4" t="n"/>
      <c r="CW1372" s="4" t="n"/>
      <c r="CX1372" s="4" t="n"/>
      <c r="CY1372" s="4" t="n"/>
      <c r="CZ1372" s="4" t="n"/>
      <c r="DA1372" s="4" t="n"/>
      <c r="DB1372" s="4" t="n"/>
      <c r="DC1372" s="4" t="n"/>
      <c r="DD1372" s="4" t="n"/>
      <c r="DE1372" s="4" t="n"/>
      <c r="DF1372" s="4" t="n"/>
      <c r="DG1372" s="4" t="n"/>
      <c r="DH1372" s="4" t="n"/>
      <c r="DI1372" s="4" t="n"/>
      <c r="DJ1372" s="4" t="n"/>
      <c r="DK1372" s="4" t="n"/>
      <c r="DL1372" s="4" t="n"/>
      <c r="DM1372" s="4" t="n"/>
      <c r="DN1372" s="4" t="n"/>
      <c r="DO1372" s="4" t="n"/>
      <c r="DP1372" s="4" t="n"/>
      <c r="DQ1372" s="4" t="n"/>
      <c r="DR1372" s="4" t="n"/>
      <c r="DS1372" s="4" t="n"/>
      <c r="DT1372" s="4" t="n"/>
      <c r="DU1372" s="4" t="n"/>
      <c r="DV1372" s="4" t="n"/>
      <c r="DW1372" s="4" t="n"/>
      <c r="DX1372" s="4" t="n"/>
      <c r="DY1372" s="4" t="n"/>
      <c r="DZ1372" s="4" t="n"/>
      <c r="EA1372" s="4" t="n"/>
      <c r="EB1372" s="4" t="n"/>
      <c r="EC1372" s="4" t="n"/>
      <c r="ED1372" s="4" t="n"/>
      <c r="EE1372" s="4" t="n"/>
      <c r="EF1372" s="4" t="n"/>
      <c r="EG1372" s="4" t="n"/>
      <c r="EH1372" s="4" t="n"/>
      <c r="EI1372" s="4" t="n"/>
      <c r="EJ1372" s="4" t="n"/>
      <c r="EK1372" s="4" t="n"/>
      <c r="EL1372" s="4" t="n"/>
      <c r="EM1372" s="4" t="n"/>
      <c r="EN1372" s="4" t="n"/>
      <c r="EO1372" s="4" t="n"/>
      <c r="EP1372" s="4" t="n"/>
      <c r="EQ1372" s="4" t="n"/>
      <c r="ER1372" s="4" t="n"/>
      <c r="ES1372" s="4" t="n"/>
      <c r="ET1372" s="4" t="n"/>
      <c r="EU1372" s="4" t="n"/>
      <c r="EV1372" s="4" t="n"/>
      <c r="EW1372" s="4" t="n"/>
      <c r="EX1372" s="4" t="n"/>
      <c r="EY1372" s="4" t="n"/>
      <c r="EZ1372" s="4" t="n"/>
      <c r="FA1372" s="4" t="n"/>
      <c r="FB1372" s="4" t="n"/>
      <c r="FC1372" s="4" t="n"/>
    </row>
    <row r="1373" hidden="1" customFormat="1" s="6">
      <c r="C1373" s="4" t="n"/>
      <c r="D1373" s="4" t="n"/>
      <c r="E1373" s="4" t="n"/>
      <c r="F1373" s="4" t="n"/>
      <c r="G1373" s="4" t="n"/>
      <c r="H1373" s="4" t="n"/>
      <c r="I1373" s="4" t="n"/>
      <c r="J1373" s="4" t="n"/>
      <c r="K1373" s="4" t="n"/>
      <c r="L1373" s="4" t="n"/>
      <c r="M1373" s="4" t="n"/>
      <c r="N1373" s="4" t="n"/>
      <c r="O1373" s="4" t="n"/>
      <c r="P1373" s="4" t="n"/>
      <c r="Q1373" s="4" t="n"/>
      <c r="R1373" s="4" t="n"/>
      <c r="S1373" s="4" t="n"/>
      <c r="T1373" s="4" t="n"/>
      <c r="U1373" s="4" t="n"/>
      <c r="V1373" s="4" t="n"/>
      <c r="W1373" s="4" t="n"/>
      <c r="X1373" s="4" t="n"/>
      <c r="Y1373" s="4" t="n"/>
      <c r="Z1373" s="4" t="n"/>
      <c r="AA1373" s="4" t="n"/>
      <c r="AB1373" s="4" t="n"/>
      <c r="AC1373" s="4" t="n"/>
      <c r="AD1373" s="4" t="n"/>
      <c r="AE1373" s="4" t="n"/>
      <c r="AF1373" s="4" t="n"/>
      <c r="AG1373" s="4" t="n"/>
      <c r="AH1373" s="4" t="n"/>
      <c r="AI1373" s="4" t="n"/>
      <c r="AJ1373" s="4" t="n"/>
      <c r="AK1373" s="4" t="n"/>
      <c r="AL1373" s="4" t="n"/>
      <c r="AM1373" s="4" t="n"/>
      <c r="AN1373" s="4" t="n"/>
      <c r="AO1373" s="4" t="n"/>
      <c r="AP1373" s="4" t="n"/>
      <c r="AQ1373" s="4" t="n"/>
      <c r="AR1373" s="4" t="n"/>
      <c r="AS1373" s="4" t="n"/>
      <c r="AT1373" s="4" t="n"/>
      <c r="AU1373" s="4" t="n"/>
      <c r="AV1373" s="4" t="n"/>
      <c r="AW1373" s="4" t="n"/>
      <c r="AX1373" s="4" t="n"/>
      <c r="AY1373" s="4" t="n"/>
      <c r="AZ1373" s="4" t="n"/>
      <c r="BA1373" s="4" t="n"/>
      <c r="BB1373" s="4" t="n"/>
      <c r="BC1373" s="4" t="n"/>
      <c r="BD1373" s="4" t="n"/>
      <c r="BE1373" s="4" t="n"/>
      <c r="BF1373" s="4" t="n"/>
      <c r="BG1373" s="4" t="n"/>
      <c r="BH1373" s="4" t="n"/>
      <c r="BI1373" s="4" t="n"/>
      <c r="BJ1373" s="4" t="n"/>
      <c r="BK1373" s="4" t="n"/>
      <c r="BL1373" s="4" t="n"/>
      <c r="BM1373" s="4" t="n"/>
      <c r="BN1373" s="4" t="n"/>
      <c r="BO1373" s="4" t="n"/>
      <c r="BP1373" s="4" t="n"/>
      <c r="BQ1373" s="4" t="n"/>
      <c r="BR1373" s="4" t="n"/>
      <c r="BS1373" s="4" t="n"/>
      <c r="BT1373" s="4" t="n"/>
      <c r="BU1373" s="4" t="n"/>
      <c r="BV1373" s="4" t="n"/>
      <c r="BW1373" s="4" t="n"/>
      <c r="BX1373" s="4" t="n"/>
      <c r="BY1373" s="4" t="n"/>
      <c r="BZ1373" s="4" t="n"/>
      <c r="CA1373" s="4" t="n"/>
      <c r="CB1373" s="4" t="n"/>
      <c r="CC1373" s="4" t="n"/>
      <c r="CD1373" s="4" t="n"/>
      <c r="CE1373" s="4" t="n"/>
      <c r="CF1373" s="4" t="n"/>
      <c r="CG1373" s="4" t="n"/>
      <c r="CH1373" s="4" t="n"/>
      <c r="CI1373" s="4" t="n"/>
      <c r="CJ1373" s="4" t="n"/>
      <c r="CK1373" s="4" t="n"/>
      <c r="CL1373" s="4" t="n"/>
      <c r="CM1373" s="4" t="n"/>
      <c r="CN1373" s="4" t="n"/>
      <c r="CO1373" s="4" t="n"/>
      <c r="CP1373" s="4" t="n"/>
      <c r="CQ1373" s="4" t="n"/>
      <c r="CR1373" s="4" t="n"/>
      <c r="CS1373" s="4" t="n"/>
      <c r="CT1373" s="4" t="n"/>
      <c r="CU1373" s="4" t="n"/>
      <c r="CV1373" s="4" t="n"/>
      <c r="CW1373" s="4" t="n"/>
      <c r="CX1373" s="4" t="n"/>
      <c r="CY1373" s="4" t="n"/>
      <c r="CZ1373" s="4" t="n"/>
      <c r="DA1373" s="4" t="n"/>
      <c r="DB1373" s="4" t="n"/>
      <c r="DC1373" s="4" t="n"/>
      <c r="DD1373" s="4" t="n"/>
      <c r="DE1373" s="4" t="n"/>
      <c r="DF1373" s="4" t="n"/>
      <c r="DG1373" s="4" t="n"/>
      <c r="DH1373" s="4" t="n"/>
      <c r="DI1373" s="4" t="n"/>
      <c r="DJ1373" s="4" t="n"/>
      <c r="DK1373" s="4" t="n"/>
      <c r="DL1373" s="4" t="n"/>
      <c r="DM1373" s="4" t="n"/>
      <c r="DN1373" s="4" t="n"/>
      <c r="DO1373" s="4" t="n"/>
      <c r="DP1373" s="4" t="n"/>
      <c r="DQ1373" s="4" t="n"/>
      <c r="DR1373" s="4" t="n"/>
      <c r="DS1373" s="4" t="n"/>
      <c r="DT1373" s="4" t="n"/>
      <c r="DU1373" s="4" t="n"/>
      <c r="DV1373" s="4" t="n"/>
      <c r="DW1373" s="4" t="n"/>
      <c r="DX1373" s="4" t="n"/>
      <c r="DY1373" s="4" t="n"/>
      <c r="DZ1373" s="4" t="n"/>
      <c r="EA1373" s="4" t="n"/>
      <c r="EB1373" s="4" t="n"/>
      <c r="EC1373" s="4" t="n"/>
      <c r="ED1373" s="4" t="n"/>
      <c r="EE1373" s="4" t="n"/>
      <c r="EF1373" s="4" t="n"/>
      <c r="EG1373" s="4" t="n"/>
      <c r="EH1373" s="4" t="n"/>
      <c r="EI1373" s="4" t="n"/>
      <c r="EJ1373" s="4" t="n"/>
      <c r="EK1373" s="4" t="n"/>
      <c r="EL1373" s="4" t="n"/>
      <c r="EM1373" s="4" t="n"/>
      <c r="EN1373" s="4" t="n"/>
      <c r="EO1373" s="4" t="n"/>
      <c r="EP1373" s="4" t="n"/>
      <c r="EQ1373" s="4" t="n"/>
      <c r="ER1373" s="4" t="n"/>
      <c r="ES1373" s="4" t="n"/>
      <c r="ET1373" s="4" t="n"/>
      <c r="EU1373" s="4" t="n"/>
      <c r="EV1373" s="4" t="n"/>
      <c r="EW1373" s="4" t="n"/>
      <c r="EX1373" s="4" t="n"/>
      <c r="EY1373" s="4" t="n"/>
      <c r="EZ1373" s="4" t="n"/>
      <c r="FA1373" s="4" t="n"/>
      <c r="FB1373" s="4" t="n"/>
      <c r="FC1373" s="4" t="n"/>
    </row>
    <row r="1374" hidden="1" customFormat="1" s="6">
      <c r="C1374" s="4" t="n"/>
      <c r="D1374" s="4" t="n"/>
      <c r="E1374" s="4" t="n"/>
      <c r="F1374" s="4" t="n"/>
      <c r="G1374" s="4" t="n"/>
      <c r="H1374" s="4" t="n"/>
      <c r="I1374" s="4" t="n"/>
      <c r="J1374" s="4" t="n"/>
      <c r="K1374" s="4" t="n"/>
      <c r="L1374" s="4" t="n"/>
      <c r="M1374" s="4" t="n"/>
      <c r="N1374" s="4" t="n"/>
      <c r="O1374" s="4" t="n"/>
      <c r="P1374" s="4" t="n"/>
      <c r="Q1374" s="4" t="n"/>
      <c r="R1374" s="4" t="n"/>
      <c r="S1374" s="4" t="n"/>
      <c r="T1374" s="4" t="n"/>
      <c r="U1374" s="4" t="n"/>
      <c r="V1374" s="4" t="n"/>
      <c r="W1374" s="4" t="n"/>
      <c r="X1374" s="4" t="n"/>
      <c r="Y1374" s="4" t="n"/>
      <c r="Z1374" s="4" t="n"/>
      <c r="AA1374" s="4" t="n"/>
      <c r="AB1374" s="4" t="n"/>
      <c r="AC1374" s="4" t="n"/>
      <c r="AD1374" s="4" t="n"/>
      <c r="AE1374" s="4" t="n"/>
      <c r="AF1374" s="4" t="n"/>
      <c r="AG1374" s="4" t="n"/>
      <c r="AH1374" s="4" t="n"/>
      <c r="AI1374" s="4" t="n"/>
      <c r="AJ1374" s="4" t="n"/>
      <c r="AK1374" s="4" t="n"/>
      <c r="AL1374" s="4" t="n"/>
      <c r="AM1374" s="4" t="n"/>
      <c r="AN1374" s="4" t="n"/>
      <c r="AO1374" s="4" t="n"/>
      <c r="AP1374" s="4" t="n"/>
      <c r="AQ1374" s="4" t="n"/>
      <c r="AR1374" s="4" t="n"/>
      <c r="AS1374" s="4" t="n"/>
      <c r="AT1374" s="4" t="n"/>
      <c r="AU1374" s="4" t="n"/>
      <c r="AV1374" s="4" t="n"/>
      <c r="AW1374" s="4" t="n"/>
      <c r="AX1374" s="4" t="n"/>
      <c r="AY1374" s="4" t="n"/>
      <c r="AZ1374" s="4" t="n"/>
      <c r="BA1374" s="4" t="n"/>
      <c r="BB1374" s="4" t="n"/>
      <c r="BC1374" s="4" t="n"/>
      <c r="BD1374" s="4" t="n"/>
      <c r="BE1374" s="4" t="n"/>
      <c r="BF1374" s="4" t="n"/>
      <c r="BG1374" s="4" t="n"/>
      <c r="BH1374" s="4" t="n"/>
      <c r="BI1374" s="4" t="n"/>
      <c r="BJ1374" s="4" t="n"/>
      <c r="BK1374" s="4" t="n"/>
      <c r="BL1374" s="4" t="n"/>
      <c r="BM1374" s="4" t="n"/>
      <c r="BN1374" s="4" t="n"/>
      <c r="BO1374" s="4" t="n"/>
      <c r="BP1374" s="4" t="n"/>
      <c r="BQ1374" s="4" t="n"/>
      <c r="BR1374" s="4" t="n"/>
      <c r="BS1374" s="4" t="n"/>
      <c r="BT1374" s="4" t="n"/>
      <c r="BU1374" s="4" t="n"/>
      <c r="BV1374" s="4" t="n"/>
      <c r="BW1374" s="4" t="n"/>
      <c r="BX1374" s="4" t="n"/>
      <c r="BY1374" s="4" t="n"/>
      <c r="BZ1374" s="4" t="n"/>
      <c r="CA1374" s="4" t="n"/>
      <c r="CB1374" s="4" t="n"/>
      <c r="CC1374" s="4" t="n"/>
      <c r="CD1374" s="4" t="n"/>
      <c r="CE1374" s="4" t="n"/>
      <c r="CF1374" s="4" t="n"/>
      <c r="CG1374" s="4" t="n"/>
      <c r="CH1374" s="4" t="n"/>
      <c r="CI1374" s="4" t="n"/>
      <c r="CJ1374" s="4" t="n"/>
      <c r="CK1374" s="4" t="n"/>
      <c r="CL1374" s="4" t="n"/>
      <c r="CM1374" s="4" t="n"/>
      <c r="CN1374" s="4" t="n"/>
      <c r="CO1374" s="4" t="n"/>
      <c r="CP1374" s="4" t="n"/>
      <c r="CQ1374" s="4" t="n"/>
      <c r="CR1374" s="4" t="n"/>
      <c r="CS1374" s="4" t="n"/>
      <c r="CT1374" s="4" t="n"/>
      <c r="CU1374" s="4" t="n"/>
      <c r="CV1374" s="4" t="n"/>
      <c r="CW1374" s="4" t="n"/>
      <c r="CX1374" s="4" t="n"/>
      <c r="CY1374" s="4" t="n"/>
      <c r="CZ1374" s="4" t="n"/>
      <c r="DA1374" s="4" t="n"/>
      <c r="DB1374" s="4" t="n"/>
      <c r="DC1374" s="4" t="n"/>
      <c r="DD1374" s="4" t="n"/>
      <c r="DE1374" s="4" t="n"/>
      <c r="DF1374" s="4" t="n"/>
      <c r="DG1374" s="4" t="n"/>
      <c r="DH1374" s="4" t="n"/>
      <c r="DI1374" s="4" t="n"/>
      <c r="DJ1374" s="4" t="n"/>
      <c r="DK1374" s="4" t="n"/>
      <c r="DL1374" s="4" t="n"/>
      <c r="DM1374" s="4" t="n"/>
      <c r="DN1374" s="4" t="n"/>
      <c r="DO1374" s="4" t="n"/>
      <c r="DP1374" s="4" t="n"/>
      <c r="DQ1374" s="4" t="n"/>
      <c r="DR1374" s="4" t="n"/>
      <c r="DS1374" s="4" t="n"/>
      <c r="DT1374" s="4" t="n"/>
      <c r="DU1374" s="4" t="n"/>
      <c r="DV1374" s="4" t="n"/>
      <c r="DW1374" s="4" t="n"/>
      <c r="DX1374" s="4" t="n"/>
      <c r="DY1374" s="4" t="n"/>
      <c r="DZ1374" s="4" t="n"/>
      <c r="EA1374" s="4" t="n"/>
      <c r="EB1374" s="4" t="n"/>
      <c r="EC1374" s="4" t="n"/>
      <c r="ED1374" s="4" t="n"/>
      <c r="EE1374" s="4" t="n"/>
      <c r="EF1374" s="4" t="n"/>
      <c r="EG1374" s="4" t="n"/>
      <c r="EH1374" s="4" t="n"/>
      <c r="EI1374" s="4" t="n"/>
      <c r="EJ1374" s="4" t="n"/>
      <c r="EK1374" s="4" t="n"/>
      <c r="EL1374" s="4" t="n"/>
      <c r="EM1374" s="4" t="n"/>
      <c r="EN1374" s="4" t="n"/>
      <c r="EO1374" s="4" t="n"/>
      <c r="EP1374" s="4" t="n"/>
      <c r="EQ1374" s="4" t="n"/>
      <c r="ER1374" s="4" t="n"/>
      <c r="ES1374" s="4" t="n"/>
      <c r="ET1374" s="4" t="n"/>
      <c r="EU1374" s="4" t="n"/>
      <c r="EV1374" s="4" t="n"/>
      <c r="EW1374" s="4" t="n"/>
      <c r="EX1374" s="4" t="n"/>
      <c r="EY1374" s="4" t="n"/>
      <c r="EZ1374" s="4" t="n"/>
      <c r="FA1374" s="4" t="n"/>
      <c r="FB1374" s="4" t="n"/>
      <c r="FC1374" s="4" t="n"/>
    </row>
    <row r="1375" hidden="1" customFormat="1" s="6">
      <c r="C1375" s="4" t="n"/>
      <c r="D1375" s="4" t="n"/>
      <c r="E1375" s="4" t="n"/>
      <c r="F1375" s="4" t="n"/>
      <c r="G1375" s="4" t="n"/>
      <c r="H1375" s="4" t="n"/>
      <c r="I1375" s="4" t="n"/>
      <c r="J1375" s="4" t="n"/>
      <c r="K1375" s="4" t="n"/>
      <c r="L1375" s="4" t="n"/>
      <c r="M1375" s="4" t="n"/>
      <c r="N1375" s="4" t="n"/>
      <c r="O1375" s="4" t="n"/>
      <c r="P1375" s="4" t="n"/>
      <c r="Q1375" s="4" t="n"/>
      <c r="R1375" s="4" t="n"/>
      <c r="S1375" s="4" t="n"/>
      <c r="T1375" s="4" t="n"/>
      <c r="U1375" s="4" t="n"/>
      <c r="V1375" s="4" t="n"/>
      <c r="W1375" s="4" t="n"/>
      <c r="X1375" s="4" t="n"/>
      <c r="Y1375" s="4" t="n"/>
      <c r="Z1375" s="4" t="n"/>
      <c r="AA1375" s="4" t="n"/>
      <c r="AB1375" s="4" t="n"/>
      <c r="AC1375" s="4" t="n"/>
      <c r="AD1375" s="4" t="n"/>
      <c r="AE1375" s="4" t="n"/>
      <c r="AF1375" s="4" t="n"/>
      <c r="AG1375" s="4" t="n"/>
      <c r="AH1375" s="4" t="n"/>
      <c r="AI1375" s="4" t="n"/>
      <c r="AJ1375" s="4" t="n"/>
      <c r="AK1375" s="4" t="n"/>
      <c r="AL1375" s="4" t="n"/>
      <c r="AM1375" s="4" t="n"/>
      <c r="AN1375" s="4" t="n"/>
      <c r="AO1375" s="4" t="n"/>
      <c r="AP1375" s="4" t="n"/>
      <c r="AQ1375" s="4" t="n"/>
      <c r="AR1375" s="4" t="n"/>
      <c r="AS1375" s="4" t="n"/>
      <c r="AT1375" s="4" t="n"/>
      <c r="AU1375" s="4" t="n"/>
      <c r="AV1375" s="4" t="n"/>
      <c r="AW1375" s="4" t="n"/>
      <c r="AX1375" s="4" t="n"/>
      <c r="AY1375" s="4" t="n"/>
      <c r="AZ1375" s="4" t="n"/>
      <c r="BA1375" s="4" t="n"/>
      <c r="BB1375" s="4" t="n"/>
      <c r="BC1375" s="4" t="n"/>
      <c r="BD1375" s="4" t="n"/>
      <c r="BE1375" s="4" t="n"/>
      <c r="BF1375" s="4" t="n"/>
      <c r="BG1375" s="4" t="n"/>
      <c r="BH1375" s="4" t="n"/>
      <c r="BI1375" s="4" t="n"/>
      <c r="BJ1375" s="4" t="n"/>
      <c r="BK1375" s="4" t="n"/>
      <c r="BL1375" s="4" t="n"/>
      <c r="BM1375" s="4" t="n"/>
      <c r="BN1375" s="4" t="n"/>
      <c r="BO1375" s="4" t="n"/>
      <c r="BP1375" s="4" t="n"/>
      <c r="BQ1375" s="4" t="n"/>
      <c r="BR1375" s="4" t="n"/>
      <c r="BS1375" s="4" t="n"/>
      <c r="BT1375" s="4" t="n"/>
      <c r="BU1375" s="4" t="n"/>
      <c r="BV1375" s="4" t="n"/>
      <c r="BW1375" s="4" t="n"/>
      <c r="BX1375" s="4" t="n"/>
      <c r="BY1375" s="4" t="n"/>
      <c r="BZ1375" s="4" t="n"/>
      <c r="CA1375" s="4" t="n"/>
      <c r="CB1375" s="4" t="n"/>
      <c r="CC1375" s="4" t="n"/>
      <c r="CD1375" s="4" t="n"/>
      <c r="CE1375" s="4" t="n"/>
      <c r="CF1375" s="4" t="n"/>
      <c r="CG1375" s="4" t="n"/>
      <c r="CH1375" s="4" t="n"/>
      <c r="CI1375" s="4" t="n"/>
      <c r="CJ1375" s="4" t="n"/>
      <c r="CK1375" s="4" t="n"/>
      <c r="CL1375" s="4" t="n"/>
      <c r="CM1375" s="4" t="n"/>
      <c r="CN1375" s="4" t="n"/>
      <c r="CO1375" s="4" t="n"/>
      <c r="CP1375" s="4" t="n"/>
      <c r="CQ1375" s="4" t="n"/>
      <c r="CR1375" s="4" t="n"/>
      <c r="CS1375" s="4" t="n"/>
      <c r="CT1375" s="4" t="n"/>
      <c r="CU1375" s="4" t="n"/>
      <c r="CV1375" s="4" t="n"/>
      <c r="CW1375" s="4" t="n"/>
      <c r="CX1375" s="4" t="n"/>
      <c r="CY1375" s="4" t="n"/>
      <c r="CZ1375" s="4" t="n"/>
      <c r="DA1375" s="4" t="n"/>
      <c r="DB1375" s="4" t="n"/>
      <c r="DC1375" s="4" t="n"/>
      <c r="DD1375" s="4" t="n"/>
      <c r="DE1375" s="4" t="n"/>
      <c r="DF1375" s="4" t="n"/>
      <c r="DG1375" s="4" t="n"/>
      <c r="DH1375" s="4" t="n"/>
      <c r="DI1375" s="4" t="n"/>
      <c r="DJ1375" s="4" t="n"/>
      <c r="DK1375" s="4" t="n"/>
      <c r="DL1375" s="4" t="n"/>
      <c r="DM1375" s="4" t="n"/>
      <c r="DN1375" s="4" t="n"/>
      <c r="DO1375" s="4" t="n"/>
      <c r="DP1375" s="4" t="n"/>
      <c r="DQ1375" s="4" t="n"/>
      <c r="DR1375" s="4" t="n"/>
      <c r="DS1375" s="4" t="n"/>
      <c r="DT1375" s="4" t="n"/>
      <c r="DU1375" s="4" t="n"/>
      <c r="DV1375" s="4" t="n"/>
      <c r="DW1375" s="4" t="n"/>
      <c r="DX1375" s="4" t="n"/>
      <c r="DY1375" s="4" t="n"/>
      <c r="DZ1375" s="4" t="n"/>
      <c r="EA1375" s="4" t="n"/>
      <c r="EB1375" s="4" t="n"/>
      <c r="EC1375" s="4" t="n"/>
      <c r="ED1375" s="4" t="n"/>
      <c r="EE1375" s="4" t="n"/>
      <c r="EF1375" s="4" t="n"/>
      <c r="EG1375" s="4" t="n"/>
      <c r="EH1375" s="4" t="n"/>
      <c r="EI1375" s="4" t="n"/>
      <c r="EJ1375" s="4" t="n"/>
      <c r="EK1375" s="4" t="n"/>
      <c r="EL1375" s="4" t="n"/>
      <c r="EM1375" s="4" t="n"/>
      <c r="EN1375" s="4" t="n"/>
      <c r="EO1375" s="4" t="n"/>
      <c r="EP1375" s="4" t="n"/>
      <c r="EQ1375" s="4" t="n"/>
      <c r="ER1375" s="4" t="n"/>
      <c r="ES1375" s="4" t="n"/>
      <c r="ET1375" s="4" t="n"/>
      <c r="EU1375" s="4" t="n"/>
      <c r="EV1375" s="4" t="n"/>
      <c r="EW1375" s="4" t="n"/>
      <c r="EX1375" s="4" t="n"/>
      <c r="EY1375" s="4" t="n"/>
      <c r="EZ1375" s="4" t="n"/>
      <c r="FA1375" s="4" t="n"/>
      <c r="FB1375" s="4" t="n"/>
      <c r="FC1375" s="4" t="n"/>
    </row>
    <row r="1376" hidden="1" customFormat="1" s="6">
      <c r="C1376" s="4" t="n"/>
      <c r="D1376" s="4" t="n"/>
      <c r="E1376" s="4" t="n"/>
      <c r="F1376" s="4" t="n"/>
      <c r="G1376" s="4" t="n"/>
      <c r="H1376" s="4" t="n"/>
      <c r="I1376" s="4" t="n"/>
      <c r="J1376" s="4" t="n"/>
      <c r="K1376" s="4" t="n"/>
      <c r="L1376" s="4" t="n"/>
      <c r="M1376" s="4" t="n"/>
      <c r="N1376" s="4" t="n"/>
      <c r="O1376" s="4" t="n"/>
      <c r="P1376" s="4" t="n"/>
      <c r="Q1376" s="4" t="n"/>
      <c r="R1376" s="4" t="n"/>
      <c r="S1376" s="4" t="n"/>
      <c r="T1376" s="4" t="n"/>
      <c r="U1376" s="4" t="n"/>
      <c r="V1376" s="4" t="n"/>
      <c r="W1376" s="4" t="n"/>
      <c r="X1376" s="4" t="n"/>
      <c r="Y1376" s="4" t="n"/>
      <c r="Z1376" s="4" t="n"/>
      <c r="AA1376" s="4" t="n"/>
      <c r="AB1376" s="4" t="n"/>
      <c r="AC1376" s="4" t="n"/>
      <c r="AD1376" s="4" t="n"/>
      <c r="AE1376" s="4" t="n"/>
      <c r="AF1376" s="4" t="n"/>
      <c r="AG1376" s="4" t="n"/>
      <c r="AH1376" s="4" t="n"/>
      <c r="AI1376" s="4" t="n"/>
      <c r="AJ1376" s="4" t="n"/>
      <c r="AK1376" s="4" t="n"/>
      <c r="AL1376" s="4" t="n"/>
      <c r="AM1376" s="4" t="n"/>
      <c r="AN1376" s="4" t="n"/>
      <c r="AO1376" s="4" t="n"/>
      <c r="AP1376" s="4" t="n"/>
      <c r="AQ1376" s="4" t="n"/>
      <c r="AR1376" s="4" t="n"/>
      <c r="AS1376" s="4" t="n"/>
      <c r="AT1376" s="4" t="n"/>
      <c r="AU1376" s="4" t="n"/>
      <c r="AV1376" s="4" t="n"/>
      <c r="AW1376" s="4" t="n"/>
      <c r="AX1376" s="4" t="n"/>
      <c r="AY1376" s="4" t="n"/>
      <c r="AZ1376" s="4" t="n"/>
      <c r="BA1376" s="4" t="n"/>
      <c r="BB1376" s="4" t="n"/>
      <c r="BC1376" s="4" t="n"/>
      <c r="BD1376" s="4" t="n"/>
      <c r="BE1376" s="4" t="n"/>
      <c r="BF1376" s="4" t="n"/>
      <c r="BG1376" s="4" t="n"/>
      <c r="BH1376" s="4" t="n"/>
      <c r="BI1376" s="4" t="n"/>
      <c r="BJ1376" s="4" t="n"/>
      <c r="BK1376" s="4" t="n"/>
      <c r="BL1376" s="4" t="n"/>
      <c r="BM1376" s="4" t="n"/>
      <c r="BN1376" s="4" t="n"/>
      <c r="BO1376" s="4" t="n"/>
      <c r="BP1376" s="4" t="n"/>
      <c r="BQ1376" s="4" t="n"/>
      <c r="BR1376" s="4" t="n"/>
      <c r="BS1376" s="4" t="n"/>
      <c r="BT1376" s="4" t="n"/>
      <c r="BU1376" s="4" t="n"/>
      <c r="BV1376" s="4" t="n"/>
      <c r="BW1376" s="4" t="n"/>
      <c r="BX1376" s="4" t="n"/>
      <c r="BY1376" s="4" t="n"/>
      <c r="BZ1376" s="4" t="n"/>
      <c r="CA1376" s="4" t="n"/>
      <c r="CB1376" s="4" t="n"/>
      <c r="CC1376" s="4" t="n"/>
      <c r="CD1376" s="4" t="n"/>
      <c r="CE1376" s="4" t="n"/>
      <c r="CF1376" s="4" t="n"/>
      <c r="CG1376" s="4" t="n"/>
      <c r="CH1376" s="4" t="n"/>
      <c r="CI1376" s="4" t="n"/>
      <c r="CJ1376" s="4" t="n"/>
      <c r="CK1376" s="4" t="n"/>
      <c r="CL1376" s="4" t="n"/>
      <c r="CM1376" s="4" t="n"/>
      <c r="CN1376" s="4" t="n"/>
      <c r="CO1376" s="4" t="n"/>
      <c r="CP1376" s="4" t="n"/>
      <c r="CQ1376" s="4" t="n"/>
      <c r="CR1376" s="4" t="n"/>
      <c r="CS1376" s="4" t="n"/>
      <c r="CT1376" s="4" t="n"/>
      <c r="CU1376" s="4" t="n"/>
      <c r="CV1376" s="4" t="n"/>
      <c r="CW1376" s="4" t="n"/>
      <c r="CX1376" s="4" t="n"/>
      <c r="CY1376" s="4" t="n"/>
      <c r="CZ1376" s="4" t="n"/>
      <c r="DA1376" s="4" t="n"/>
      <c r="DB1376" s="4" t="n"/>
      <c r="DC1376" s="4" t="n"/>
      <c r="DD1376" s="4" t="n"/>
      <c r="DE1376" s="4" t="n"/>
      <c r="DF1376" s="4" t="n"/>
      <c r="DG1376" s="4" t="n"/>
      <c r="DH1376" s="4" t="n"/>
      <c r="DI1376" s="4" t="n"/>
      <c r="DJ1376" s="4" t="n"/>
      <c r="DK1376" s="4" t="n"/>
      <c r="DL1376" s="4" t="n"/>
      <c r="DM1376" s="4" t="n"/>
      <c r="DN1376" s="4" t="n"/>
      <c r="DO1376" s="4" t="n"/>
      <c r="DP1376" s="4" t="n"/>
      <c r="DQ1376" s="4" t="n"/>
      <c r="DR1376" s="4" t="n"/>
      <c r="DS1376" s="4" t="n"/>
      <c r="DT1376" s="4" t="n"/>
      <c r="DU1376" s="4" t="n"/>
      <c r="DV1376" s="4" t="n"/>
      <c r="DW1376" s="4" t="n"/>
      <c r="DX1376" s="4" t="n"/>
      <c r="DY1376" s="4" t="n"/>
      <c r="DZ1376" s="4" t="n"/>
      <c r="EA1376" s="4" t="n"/>
      <c r="EB1376" s="4" t="n"/>
      <c r="EC1376" s="4" t="n"/>
      <c r="ED1376" s="4" t="n"/>
      <c r="EE1376" s="4" t="n"/>
      <c r="EF1376" s="4" t="n"/>
      <c r="EG1376" s="4" t="n"/>
      <c r="EH1376" s="4" t="n"/>
      <c r="EI1376" s="4" t="n"/>
      <c r="EJ1376" s="4" t="n"/>
      <c r="EK1376" s="4" t="n"/>
      <c r="EL1376" s="4" t="n"/>
      <c r="EM1376" s="4" t="n"/>
      <c r="EN1376" s="4" t="n"/>
      <c r="EO1376" s="4" t="n"/>
      <c r="EP1376" s="4" t="n"/>
      <c r="EQ1376" s="4" t="n"/>
      <c r="ER1376" s="4" t="n"/>
      <c r="ES1376" s="4" t="n"/>
      <c r="ET1376" s="4" t="n"/>
      <c r="EU1376" s="4" t="n"/>
      <c r="EV1376" s="4" t="n"/>
      <c r="EW1376" s="4" t="n"/>
      <c r="EX1376" s="4" t="n"/>
      <c r="EY1376" s="4" t="n"/>
      <c r="EZ1376" s="4" t="n"/>
      <c r="FA1376" s="4" t="n"/>
      <c r="FB1376" s="4" t="n"/>
      <c r="FC1376" s="4" t="n"/>
    </row>
    <row r="1377" hidden="1" customFormat="1" s="6">
      <c r="C1377" s="4" t="n"/>
      <c r="D1377" s="4" t="n"/>
      <c r="E1377" s="4" t="n"/>
      <c r="F1377" s="4" t="n"/>
      <c r="G1377" s="4" t="n"/>
      <c r="H1377" s="4" t="n"/>
      <c r="I1377" s="4" t="n"/>
      <c r="J1377" s="4" t="n"/>
      <c r="K1377" s="4" t="n"/>
      <c r="L1377" s="4" t="n"/>
      <c r="M1377" s="4" t="n"/>
      <c r="N1377" s="4" t="n"/>
      <c r="O1377" s="4" t="n"/>
      <c r="P1377" s="4" t="n"/>
      <c r="Q1377" s="4" t="n"/>
      <c r="R1377" s="4" t="n"/>
      <c r="S1377" s="4" t="n"/>
      <c r="T1377" s="4" t="n"/>
      <c r="U1377" s="4" t="n"/>
      <c r="V1377" s="4" t="n"/>
      <c r="W1377" s="4" t="n"/>
      <c r="X1377" s="4" t="n"/>
      <c r="Y1377" s="4" t="n"/>
      <c r="Z1377" s="4" t="n"/>
      <c r="AA1377" s="4" t="n"/>
      <c r="AB1377" s="4" t="n"/>
      <c r="AC1377" s="4" t="n"/>
      <c r="AD1377" s="4" t="n"/>
      <c r="AE1377" s="4" t="n"/>
      <c r="AF1377" s="4" t="n"/>
      <c r="AG1377" s="4" t="n"/>
      <c r="AH1377" s="4" t="n"/>
      <c r="AI1377" s="4" t="n"/>
      <c r="AJ1377" s="4" t="n"/>
      <c r="AK1377" s="4" t="n"/>
      <c r="AL1377" s="4" t="n"/>
      <c r="AM1377" s="4" t="n"/>
      <c r="AN1377" s="4" t="n"/>
      <c r="AO1377" s="4" t="n"/>
      <c r="AP1377" s="4" t="n"/>
      <c r="AQ1377" s="4" t="n"/>
      <c r="AR1377" s="4" t="n"/>
      <c r="AS1377" s="4" t="n"/>
      <c r="AT1377" s="4" t="n"/>
      <c r="AU1377" s="4" t="n"/>
      <c r="AV1377" s="4" t="n"/>
      <c r="AW1377" s="4" t="n"/>
      <c r="AX1377" s="4" t="n"/>
      <c r="AY1377" s="4" t="n"/>
      <c r="AZ1377" s="4" t="n"/>
      <c r="BA1377" s="4" t="n"/>
      <c r="BB1377" s="4" t="n"/>
      <c r="BC1377" s="4" t="n"/>
      <c r="BD1377" s="4" t="n"/>
      <c r="BE1377" s="4" t="n"/>
      <c r="BF1377" s="4" t="n"/>
      <c r="BG1377" s="4" t="n"/>
      <c r="BH1377" s="4" t="n"/>
      <c r="BI1377" s="4" t="n"/>
      <c r="BJ1377" s="4" t="n"/>
      <c r="BK1377" s="4" t="n"/>
      <c r="BL1377" s="4" t="n"/>
      <c r="BM1377" s="4" t="n"/>
      <c r="BN1377" s="4" t="n"/>
      <c r="BO1377" s="4" t="n"/>
      <c r="BP1377" s="4" t="n"/>
      <c r="BQ1377" s="4" t="n"/>
      <c r="BR1377" s="4" t="n"/>
      <c r="BS1377" s="4" t="n"/>
      <c r="BT1377" s="4" t="n"/>
      <c r="BU1377" s="4" t="n"/>
      <c r="BV1377" s="4" t="n"/>
      <c r="BW1377" s="4" t="n"/>
      <c r="BX1377" s="4" t="n"/>
      <c r="BY1377" s="4" t="n"/>
      <c r="BZ1377" s="4" t="n"/>
      <c r="CA1377" s="4" t="n"/>
      <c r="CB1377" s="4" t="n"/>
      <c r="CC1377" s="4" t="n"/>
      <c r="CD1377" s="4" t="n"/>
      <c r="CE1377" s="4" t="n"/>
      <c r="CF1377" s="4" t="n"/>
      <c r="CG1377" s="4" t="n"/>
      <c r="CH1377" s="4" t="n"/>
      <c r="CI1377" s="4" t="n"/>
      <c r="CJ1377" s="4" t="n"/>
      <c r="CK1377" s="4" t="n"/>
      <c r="CL1377" s="4" t="n"/>
      <c r="CM1377" s="4" t="n"/>
      <c r="CN1377" s="4" t="n"/>
      <c r="CO1377" s="4" t="n"/>
      <c r="CP1377" s="4" t="n"/>
      <c r="CQ1377" s="4" t="n"/>
      <c r="CR1377" s="4" t="n"/>
      <c r="CS1377" s="4" t="n"/>
      <c r="CT1377" s="4" t="n"/>
      <c r="CU1377" s="4" t="n"/>
      <c r="CV1377" s="4" t="n"/>
      <c r="CW1377" s="4" t="n"/>
      <c r="CX1377" s="4" t="n"/>
      <c r="CY1377" s="4" t="n"/>
      <c r="CZ1377" s="4" t="n"/>
      <c r="DA1377" s="4" t="n"/>
      <c r="DB1377" s="4" t="n"/>
      <c r="DC1377" s="4" t="n"/>
      <c r="DD1377" s="4" t="n"/>
      <c r="DE1377" s="4" t="n"/>
      <c r="DF1377" s="4" t="n"/>
      <c r="DG1377" s="4" t="n"/>
      <c r="DH1377" s="4" t="n"/>
      <c r="DI1377" s="4" t="n"/>
      <c r="DJ1377" s="4" t="n"/>
      <c r="DK1377" s="4" t="n"/>
      <c r="DL1377" s="4" t="n"/>
      <c r="DM1377" s="4" t="n"/>
      <c r="DN1377" s="4" t="n"/>
      <c r="DO1377" s="4" t="n"/>
      <c r="DP1377" s="4" t="n"/>
      <c r="DQ1377" s="4" t="n"/>
      <c r="DR1377" s="4" t="n"/>
      <c r="DS1377" s="4" t="n"/>
      <c r="DT1377" s="4" t="n"/>
      <c r="DU1377" s="4" t="n"/>
      <c r="DV1377" s="4" t="n"/>
      <c r="DW1377" s="4" t="n"/>
      <c r="DX1377" s="4" t="n"/>
      <c r="DY1377" s="4" t="n"/>
      <c r="DZ1377" s="4" t="n"/>
      <c r="EA1377" s="4" t="n"/>
      <c r="EB1377" s="4" t="n"/>
      <c r="EC1377" s="4" t="n"/>
      <c r="ED1377" s="4" t="n"/>
      <c r="EE1377" s="4" t="n"/>
      <c r="EF1377" s="4" t="n"/>
      <c r="EG1377" s="4" t="n"/>
      <c r="EH1377" s="4" t="n"/>
      <c r="EI1377" s="4" t="n"/>
      <c r="EJ1377" s="4" t="n"/>
      <c r="EK1377" s="4" t="n"/>
      <c r="EL1377" s="4" t="n"/>
      <c r="EM1377" s="4" t="n"/>
      <c r="EN1377" s="4" t="n"/>
      <c r="EO1377" s="4" t="n"/>
      <c r="EP1377" s="4" t="n"/>
      <c r="EQ1377" s="4" t="n"/>
      <c r="ER1377" s="4" t="n"/>
      <c r="ES1377" s="4" t="n"/>
      <c r="ET1377" s="4" t="n"/>
      <c r="EU1377" s="4" t="n"/>
      <c r="EV1377" s="4" t="n"/>
      <c r="EW1377" s="4" t="n"/>
      <c r="EX1377" s="4" t="n"/>
      <c r="EY1377" s="4" t="n"/>
      <c r="EZ1377" s="4" t="n"/>
      <c r="FA1377" s="4" t="n"/>
      <c r="FB1377" s="4" t="n"/>
      <c r="FC1377" s="4" t="n"/>
    </row>
    <row r="1378" hidden="1" customFormat="1" s="6">
      <c r="C1378" s="4" t="n"/>
      <c r="D1378" s="4" t="n"/>
      <c r="E1378" s="4" t="n"/>
      <c r="F1378" s="4" t="n"/>
      <c r="G1378" s="4" t="n"/>
      <c r="H1378" s="4" t="n"/>
      <c r="I1378" s="4" t="n"/>
      <c r="J1378" s="4" t="n"/>
      <c r="K1378" s="4" t="n"/>
      <c r="L1378" s="4" t="n"/>
      <c r="M1378" s="4" t="n"/>
      <c r="N1378" s="4" t="n"/>
      <c r="O1378" s="4" t="n"/>
      <c r="P1378" s="4" t="n"/>
      <c r="Q1378" s="4" t="n"/>
      <c r="R1378" s="4" t="n"/>
      <c r="S1378" s="4" t="n"/>
      <c r="T1378" s="4" t="n"/>
      <c r="U1378" s="4" t="n"/>
      <c r="V1378" s="4" t="n"/>
      <c r="W1378" s="4" t="n"/>
      <c r="X1378" s="4" t="n"/>
      <c r="Y1378" s="4" t="n"/>
      <c r="Z1378" s="4" t="n"/>
      <c r="AA1378" s="4" t="n"/>
      <c r="AB1378" s="4" t="n"/>
      <c r="AC1378" s="4" t="n"/>
      <c r="AD1378" s="4" t="n"/>
      <c r="AE1378" s="4" t="n"/>
      <c r="AF1378" s="4" t="n"/>
      <c r="AG1378" s="4" t="n"/>
      <c r="AH1378" s="4" t="n"/>
      <c r="AI1378" s="4" t="n"/>
      <c r="AJ1378" s="4" t="n"/>
      <c r="AK1378" s="4" t="n"/>
      <c r="AL1378" s="4" t="n"/>
      <c r="AM1378" s="4" t="n"/>
      <c r="AN1378" s="4" t="n"/>
      <c r="AO1378" s="4" t="n"/>
      <c r="AP1378" s="4" t="n"/>
      <c r="AQ1378" s="4" t="n"/>
      <c r="AR1378" s="4" t="n"/>
      <c r="AS1378" s="4" t="n"/>
      <c r="AT1378" s="4" t="n"/>
      <c r="AU1378" s="4" t="n"/>
      <c r="AV1378" s="4" t="n"/>
      <c r="AW1378" s="4" t="n"/>
      <c r="AX1378" s="4" t="n"/>
      <c r="AY1378" s="4" t="n"/>
      <c r="AZ1378" s="4" t="n"/>
      <c r="BA1378" s="4" t="n"/>
      <c r="BB1378" s="4" t="n"/>
      <c r="BC1378" s="4" t="n"/>
      <c r="BD1378" s="4" t="n"/>
      <c r="BE1378" s="4" t="n"/>
      <c r="BF1378" s="4" t="n"/>
      <c r="BG1378" s="4" t="n"/>
      <c r="BH1378" s="4" t="n"/>
      <c r="BI1378" s="4" t="n"/>
      <c r="BJ1378" s="4" t="n"/>
      <c r="BK1378" s="4" t="n"/>
      <c r="BL1378" s="4" t="n"/>
      <c r="BM1378" s="4" t="n"/>
      <c r="BN1378" s="4" t="n"/>
      <c r="BO1378" s="4" t="n"/>
      <c r="BP1378" s="4" t="n"/>
      <c r="BQ1378" s="4" t="n"/>
      <c r="BR1378" s="4" t="n"/>
      <c r="BS1378" s="4" t="n"/>
      <c r="BT1378" s="4" t="n"/>
      <c r="BU1378" s="4" t="n"/>
      <c r="BV1378" s="4" t="n"/>
      <c r="BW1378" s="4" t="n"/>
      <c r="BX1378" s="4" t="n"/>
      <c r="BY1378" s="4" t="n"/>
      <c r="BZ1378" s="4" t="n"/>
      <c r="CA1378" s="4" t="n"/>
      <c r="CB1378" s="4" t="n"/>
      <c r="CC1378" s="4" t="n"/>
      <c r="CD1378" s="4" t="n"/>
      <c r="CE1378" s="4" t="n"/>
      <c r="CF1378" s="4" t="n"/>
      <c r="CG1378" s="4" t="n"/>
      <c r="CH1378" s="4" t="n"/>
      <c r="CI1378" s="4" t="n"/>
      <c r="CJ1378" s="4" t="n"/>
      <c r="CK1378" s="4" t="n"/>
      <c r="CL1378" s="4" t="n"/>
      <c r="CM1378" s="4" t="n"/>
      <c r="CN1378" s="4" t="n"/>
      <c r="CO1378" s="4" t="n"/>
      <c r="CP1378" s="4" t="n"/>
      <c r="CQ1378" s="4" t="n"/>
      <c r="CR1378" s="4" t="n"/>
      <c r="CS1378" s="4" t="n"/>
      <c r="CT1378" s="4" t="n"/>
      <c r="CU1378" s="4" t="n"/>
      <c r="CV1378" s="4" t="n"/>
      <c r="CW1378" s="4" t="n"/>
      <c r="CX1378" s="4" t="n"/>
      <c r="CY1378" s="4" t="n"/>
      <c r="CZ1378" s="4" t="n"/>
      <c r="DA1378" s="4" t="n"/>
      <c r="DB1378" s="4" t="n"/>
      <c r="DC1378" s="4" t="n"/>
      <c r="DD1378" s="4" t="n"/>
      <c r="DE1378" s="4" t="n"/>
      <c r="DF1378" s="4" t="n"/>
      <c r="DG1378" s="4" t="n"/>
      <c r="DH1378" s="4" t="n"/>
      <c r="DI1378" s="4" t="n"/>
      <c r="DJ1378" s="4" t="n"/>
      <c r="DK1378" s="4" t="n"/>
      <c r="DL1378" s="4" t="n"/>
      <c r="DM1378" s="4" t="n"/>
      <c r="DN1378" s="4" t="n"/>
      <c r="DO1378" s="4" t="n"/>
      <c r="DP1378" s="4" t="n"/>
      <c r="DQ1378" s="4" t="n"/>
      <c r="DR1378" s="4" t="n"/>
      <c r="DS1378" s="4" t="n"/>
      <c r="DT1378" s="4" t="n"/>
      <c r="DU1378" s="4" t="n"/>
      <c r="DV1378" s="4" t="n"/>
      <c r="DW1378" s="4" t="n"/>
      <c r="DX1378" s="4" t="n"/>
      <c r="DY1378" s="4" t="n"/>
      <c r="DZ1378" s="4" t="n"/>
      <c r="EA1378" s="4" t="n"/>
      <c r="EB1378" s="4" t="n"/>
      <c r="EC1378" s="4" t="n"/>
      <c r="ED1378" s="4" t="n"/>
      <c r="EE1378" s="4" t="n"/>
      <c r="EF1378" s="4" t="n"/>
      <c r="EG1378" s="4" t="n"/>
      <c r="EH1378" s="4" t="n"/>
      <c r="EI1378" s="4" t="n"/>
      <c r="EJ1378" s="4" t="n"/>
      <c r="EK1378" s="4" t="n"/>
      <c r="EL1378" s="4" t="n"/>
      <c r="EM1378" s="4" t="n"/>
      <c r="EN1378" s="4" t="n"/>
      <c r="EO1378" s="4" t="n"/>
      <c r="EP1378" s="4" t="n"/>
      <c r="EQ1378" s="4" t="n"/>
      <c r="ER1378" s="4" t="n"/>
      <c r="ES1378" s="4" t="n"/>
      <c r="ET1378" s="4" t="n"/>
      <c r="EU1378" s="4" t="n"/>
      <c r="EV1378" s="4" t="n"/>
      <c r="EW1378" s="4" t="n"/>
      <c r="EX1378" s="4" t="n"/>
      <c r="EY1378" s="4" t="n"/>
      <c r="EZ1378" s="4" t="n"/>
      <c r="FA1378" s="4" t="n"/>
      <c r="FB1378" s="4" t="n"/>
      <c r="FC1378" s="4" t="n"/>
    </row>
    <row r="1379" hidden="1" customFormat="1" s="6">
      <c r="C1379" s="4" t="n"/>
      <c r="D1379" s="4" t="n"/>
      <c r="E1379" s="4" t="n"/>
      <c r="F1379" s="4" t="n"/>
      <c r="G1379" s="4" t="n"/>
      <c r="H1379" s="4" t="n"/>
      <c r="I1379" s="4" t="n"/>
      <c r="J1379" s="4" t="n"/>
      <c r="K1379" s="4" t="n"/>
      <c r="L1379" s="4" t="n"/>
      <c r="M1379" s="4" t="n"/>
      <c r="N1379" s="4" t="n"/>
      <c r="O1379" s="4" t="n"/>
      <c r="P1379" s="4" t="n"/>
      <c r="Q1379" s="4" t="n"/>
      <c r="R1379" s="4" t="n"/>
      <c r="S1379" s="4" t="n"/>
      <c r="T1379" s="4" t="n"/>
      <c r="U1379" s="4" t="n"/>
      <c r="V1379" s="4" t="n"/>
      <c r="W1379" s="4" t="n"/>
      <c r="X1379" s="4" t="n"/>
      <c r="Y1379" s="4" t="n"/>
      <c r="Z1379" s="4" t="n"/>
      <c r="AA1379" s="4" t="n"/>
      <c r="AB1379" s="4" t="n"/>
      <c r="AC1379" s="4" t="n"/>
      <c r="AD1379" s="4" t="n"/>
      <c r="AE1379" s="4" t="n"/>
      <c r="AF1379" s="4" t="n"/>
      <c r="AG1379" s="4" t="n"/>
      <c r="AH1379" s="4" t="n"/>
      <c r="AI1379" s="4" t="n"/>
      <c r="AJ1379" s="4" t="n"/>
      <c r="AK1379" s="4" t="n"/>
      <c r="AL1379" s="4" t="n"/>
      <c r="AM1379" s="4" t="n"/>
      <c r="AN1379" s="4" t="n"/>
      <c r="AO1379" s="4" t="n"/>
      <c r="AP1379" s="4" t="n"/>
      <c r="AQ1379" s="4" t="n"/>
      <c r="AR1379" s="4" t="n"/>
      <c r="AS1379" s="4" t="n"/>
      <c r="AT1379" s="4" t="n"/>
      <c r="AU1379" s="4" t="n"/>
      <c r="AV1379" s="4" t="n"/>
      <c r="AW1379" s="4" t="n"/>
      <c r="AX1379" s="4" t="n"/>
      <c r="AY1379" s="4" t="n"/>
      <c r="AZ1379" s="4" t="n"/>
      <c r="BA1379" s="4" t="n"/>
      <c r="BB1379" s="4" t="n"/>
      <c r="BC1379" s="4" t="n"/>
      <c r="BD1379" s="4" t="n"/>
      <c r="BE1379" s="4" t="n"/>
      <c r="BF1379" s="4" t="n"/>
      <c r="BG1379" s="4" t="n"/>
      <c r="BH1379" s="4" t="n"/>
      <c r="BI1379" s="4" t="n"/>
      <c r="BJ1379" s="4" t="n"/>
      <c r="BK1379" s="4" t="n"/>
      <c r="BL1379" s="4" t="n"/>
      <c r="BM1379" s="4" t="n"/>
      <c r="BN1379" s="4" t="n"/>
      <c r="BO1379" s="4" t="n"/>
      <c r="BP1379" s="4" t="n"/>
      <c r="BQ1379" s="4" t="n"/>
      <c r="BR1379" s="4" t="n"/>
      <c r="BS1379" s="4" t="n"/>
      <c r="BT1379" s="4" t="n"/>
      <c r="BU1379" s="4" t="n"/>
      <c r="BV1379" s="4" t="n"/>
      <c r="BW1379" s="4" t="n"/>
      <c r="BX1379" s="4" t="n"/>
      <c r="BY1379" s="4" t="n"/>
      <c r="BZ1379" s="4" t="n"/>
      <c r="CA1379" s="4" t="n"/>
      <c r="CB1379" s="4" t="n"/>
      <c r="CC1379" s="4" t="n"/>
      <c r="CD1379" s="4" t="n"/>
      <c r="CE1379" s="4" t="n"/>
      <c r="CF1379" s="4" t="n"/>
      <c r="CG1379" s="4" t="n"/>
      <c r="CH1379" s="4" t="n"/>
      <c r="CI1379" s="4" t="n"/>
      <c r="CJ1379" s="4" t="n"/>
      <c r="CK1379" s="4" t="n"/>
      <c r="CL1379" s="4" t="n"/>
      <c r="CM1379" s="4" t="n"/>
      <c r="CN1379" s="4" t="n"/>
      <c r="CO1379" s="4" t="n"/>
      <c r="CP1379" s="4" t="n"/>
      <c r="CQ1379" s="4" t="n"/>
      <c r="CR1379" s="4" t="n"/>
      <c r="CS1379" s="4" t="n"/>
      <c r="CT1379" s="4" t="n"/>
      <c r="CU1379" s="4" t="n"/>
      <c r="CV1379" s="4" t="n"/>
      <c r="CW1379" s="4" t="n"/>
      <c r="CX1379" s="4" t="n"/>
      <c r="CY1379" s="4" t="n"/>
      <c r="CZ1379" s="4" t="n"/>
      <c r="DA1379" s="4" t="n"/>
      <c r="DB1379" s="4" t="n"/>
      <c r="DC1379" s="4" t="n"/>
      <c r="DD1379" s="4" t="n"/>
      <c r="DE1379" s="4" t="n"/>
      <c r="DF1379" s="4" t="n"/>
      <c r="DG1379" s="4" t="n"/>
      <c r="DH1379" s="4" t="n"/>
      <c r="DI1379" s="4" t="n"/>
      <c r="DJ1379" s="4" t="n"/>
      <c r="DK1379" s="4" t="n"/>
      <c r="DL1379" s="4" t="n"/>
      <c r="DM1379" s="4" t="n"/>
      <c r="DN1379" s="4" t="n"/>
      <c r="DO1379" s="4" t="n"/>
      <c r="DP1379" s="4" t="n"/>
      <c r="DQ1379" s="4" t="n"/>
      <c r="DR1379" s="4" t="n"/>
      <c r="DS1379" s="4" t="n"/>
      <c r="DT1379" s="4" t="n"/>
      <c r="DU1379" s="4" t="n"/>
      <c r="DV1379" s="4" t="n"/>
      <c r="DW1379" s="4" t="n"/>
      <c r="DX1379" s="4" t="n"/>
      <c r="DY1379" s="4" t="n"/>
      <c r="DZ1379" s="4" t="n"/>
      <c r="EA1379" s="4" t="n"/>
      <c r="EB1379" s="4" t="n"/>
      <c r="EC1379" s="4" t="n"/>
      <c r="ED1379" s="4" t="n"/>
      <c r="EE1379" s="4" t="n"/>
      <c r="EF1379" s="4" t="n"/>
      <c r="EG1379" s="4" t="n"/>
      <c r="EH1379" s="4" t="n"/>
      <c r="EI1379" s="4" t="n"/>
      <c r="EJ1379" s="4" t="n"/>
      <c r="EK1379" s="4" t="n"/>
      <c r="EL1379" s="4" t="n"/>
      <c r="EM1379" s="4" t="n"/>
      <c r="EN1379" s="4" t="n"/>
      <c r="EO1379" s="4" t="n"/>
      <c r="EP1379" s="4" t="n"/>
      <c r="EQ1379" s="4" t="n"/>
      <c r="ER1379" s="4" t="n"/>
      <c r="ES1379" s="4" t="n"/>
      <c r="ET1379" s="4" t="n"/>
      <c r="EU1379" s="4" t="n"/>
      <c r="EV1379" s="4" t="n"/>
      <c r="EW1379" s="4" t="n"/>
      <c r="EX1379" s="4" t="n"/>
      <c r="EY1379" s="4" t="n"/>
      <c r="EZ1379" s="4" t="n"/>
      <c r="FA1379" s="4" t="n"/>
      <c r="FB1379" s="4" t="n"/>
      <c r="FC1379" s="4" t="n"/>
    </row>
    <row r="1380" hidden="1" customFormat="1" s="6">
      <c r="C1380" s="4" t="n"/>
      <c r="D1380" s="4" t="n"/>
      <c r="E1380" s="4" t="n"/>
      <c r="F1380" s="4" t="n"/>
      <c r="G1380" s="4" t="n"/>
      <c r="H1380" s="4" t="n"/>
      <c r="I1380" s="4" t="n"/>
      <c r="J1380" s="4" t="n"/>
      <c r="K1380" s="4" t="n"/>
      <c r="L1380" s="4" t="n"/>
      <c r="M1380" s="4" t="n"/>
      <c r="N1380" s="4" t="n"/>
      <c r="O1380" s="4" t="n"/>
      <c r="P1380" s="4" t="n"/>
      <c r="Q1380" s="4" t="n"/>
      <c r="R1380" s="4" t="n"/>
      <c r="S1380" s="4" t="n"/>
      <c r="T1380" s="4" t="n"/>
      <c r="U1380" s="4" t="n"/>
      <c r="V1380" s="4" t="n"/>
      <c r="W1380" s="4" t="n"/>
      <c r="X1380" s="4" t="n"/>
      <c r="Y1380" s="4" t="n"/>
      <c r="Z1380" s="4" t="n"/>
      <c r="AA1380" s="4" t="n"/>
      <c r="AB1380" s="4" t="n"/>
      <c r="AC1380" s="4" t="n"/>
      <c r="AD1380" s="4" t="n"/>
      <c r="AE1380" s="4" t="n"/>
      <c r="AF1380" s="4" t="n"/>
      <c r="AG1380" s="4" t="n"/>
      <c r="AH1380" s="4" t="n"/>
      <c r="AI1380" s="4" t="n"/>
      <c r="AJ1380" s="4" t="n"/>
      <c r="AK1380" s="4" t="n"/>
      <c r="AL1380" s="4" t="n"/>
      <c r="AM1380" s="4" t="n"/>
      <c r="AN1380" s="4" t="n"/>
      <c r="AO1380" s="4" t="n"/>
      <c r="AP1380" s="4" t="n"/>
      <c r="AQ1380" s="4" t="n"/>
      <c r="AR1380" s="4" t="n"/>
      <c r="AS1380" s="4" t="n"/>
      <c r="AT1380" s="4" t="n"/>
      <c r="AU1380" s="4" t="n"/>
      <c r="AV1380" s="4" t="n"/>
      <c r="AW1380" s="4" t="n"/>
      <c r="AX1380" s="4" t="n"/>
      <c r="AY1380" s="4" t="n"/>
      <c r="AZ1380" s="4" t="n"/>
      <c r="BA1380" s="4" t="n"/>
      <c r="BB1380" s="4" t="n"/>
      <c r="BC1380" s="4" t="n"/>
      <c r="BD1380" s="4" t="n"/>
      <c r="BE1380" s="4" t="n"/>
      <c r="BF1380" s="4" t="n"/>
      <c r="BG1380" s="4" t="n"/>
      <c r="BH1380" s="4" t="n"/>
      <c r="BI1380" s="4" t="n"/>
      <c r="BJ1380" s="4" t="n"/>
      <c r="BK1380" s="4" t="n"/>
      <c r="BL1380" s="4" t="n"/>
      <c r="BM1380" s="4" t="n"/>
      <c r="BN1380" s="4" t="n"/>
      <c r="BO1380" s="4" t="n"/>
      <c r="BP1380" s="4" t="n"/>
      <c r="BQ1380" s="4" t="n"/>
      <c r="BR1380" s="4" t="n"/>
      <c r="BS1380" s="4" t="n"/>
      <c r="BT1380" s="4" t="n"/>
      <c r="BU1380" s="4" t="n"/>
      <c r="BV1380" s="4" t="n"/>
      <c r="BW1380" s="4" t="n"/>
      <c r="BX1380" s="4" t="n"/>
      <c r="BY1380" s="4" t="n"/>
      <c r="BZ1380" s="4" t="n"/>
      <c r="CA1380" s="4" t="n"/>
      <c r="CB1380" s="4" t="n"/>
      <c r="CC1380" s="4" t="n"/>
      <c r="CD1380" s="4" t="n"/>
      <c r="CE1380" s="4" t="n"/>
      <c r="CF1380" s="4" t="n"/>
      <c r="CG1380" s="4" t="n"/>
      <c r="CH1380" s="4" t="n"/>
      <c r="CI1380" s="4" t="n"/>
      <c r="CJ1380" s="4" t="n"/>
      <c r="CK1380" s="4" t="n"/>
      <c r="CL1380" s="4" t="n"/>
      <c r="CM1380" s="4" t="n"/>
      <c r="CN1380" s="4" t="n"/>
      <c r="CO1380" s="4" t="n"/>
      <c r="CP1380" s="4" t="n"/>
      <c r="CQ1380" s="4" t="n"/>
      <c r="CR1380" s="4" t="n"/>
      <c r="CS1380" s="4" t="n"/>
      <c r="CT1380" s="4" t="n"/>
      <c r="CU1380" s="4" t="n"/>
      <c r="CV1380" s="4" t="n"/>
      <c r="CW1380" s="4" t="n"/>
      <c r="CX1380" s="4" t="n"/>
      <c r="CY1380" s="4" t="n"/>
      <c r="CZ1380" s="4" t="n"/>
      <c r="DA1380" s="4" t="n"/>
      <c r="DB1380" s="4" t="n"/>
      <c r="DC1380" s="4" t="n"/>
      <c r="DD1380" s="4" t="n"/>
      <c r="DE1380" s="4" t="n"/>
      <c r="DF1380" s="4" t="n"/>
      <c r="DG1380" s="4" t="n"/>
      <c r="DH1380" s="4" t="n"/>
      <c r="DI1380" s="4" t="n"/>
      <c r="DJ1380" s="4" t="n"/>
      <c r="DK1380" s="4" t="n"/>
      <c r="DL1380" s="4" t="n"/>
      <c r="DM1380" s="4" t="n"/>
      <c r="DN1380" s="4" t="n"/>
      <c r="DO1380" s="4" t="n"/>
      <c r="DP1380" s="4" t="n"/>
      <c r="DQ1380" s="4" t="n"/>
      <c r="DR1380" s="4" t="n"/>
      <c r="DS1380" s="4" t="n"/>
      <c r="DT1380" s="4" t="n"/>
      <c r="DU1380" s="4" t="n"/>
      <c r="DV1380" s="4" t="n"/>
      <c r="DW1380" s="4" t="n"/>
      <c r="DX1380" s="4" t="n"/>
      <c r="DY1380" s="4" t="n"/>
      <c r="DZ1380" s="4" t="n"/>
      <c r="EA1380" s="4" t="n"/>
      <c r="EB1380" s="4" t="n"/>
      <c r="EC1380" s="4" t="n"/>
      <c r="ED1380" s="4" t="n"/>
      <c r="EE1380" s="4" t="n"/>
      <c r="EF1380" s="4" t="n"/>
      <c r="EG1380" s="4" t="n"/>
      <c r="EH1380" s="4" t="n"/>
      <c r="EI1380" s="4" t="n"/>
      <c r="EJ1380" s="4" t="n"/>
      <c r="EK1380" s="4" t="n"/>
      <c r="EL1380" s="4" t="n"/>
      <c r="EM1380" s="4" t="n"/>
      <c r="EN1380" s="4" t="n"/>
      <c r="EO1380" s="4" t="n"/>
      <c r="EP1380" s="4" t="n"/>
      <c r="EQ1380" s="4" t="n"/>
      <c r="ER1380" s="4" t="n"/>
      <c r="ES1380" s="4" t="n"/>
      <c r="ET1380" s="4" t="n"/>
      <c r="EU1380" s="4" t="n"/>
      <c r="EV1380" s="4" t="n"/>
      <c r="EW1380" s="4" t="n"/>
      <c r="EX1380" s="4" t="n"/>
      <c r="EY1380" s="4" t="n"/>
      <c r="EZ1380" s="4" t="n"/>
      <c r="FA1380" s="4" t="n"/>
      <c r="FB1380" s="4" t="n"/>
      <c r="FC1380" s="4" t="n"/>
    </row>
    <row r="1381" hidden="1" customFormat="1" s="6">
      <c r="C1381" s="4" t="n"/>
      <c r="D1381" s="4" t="n"/>
      <c r="E1381" s="4" t="n"/>
      <c r="F1381" s="4" t="n"/>
      <c r="G1381" s="4" t="n"/>
      <c r="H1381" s="4" t="n"/>
      <c r="I1381" s="4" t="n"/>
      <c r="J1381" s="4" t="n"/>
      <c r="K1381" s="4" t="n"/>
      <c r="L1381" s="4" t="n"/>
      <c r="M1381" s="4" t="n"/>
      <c r="N1381" s="4" t="n"/>
      <c r="O1381" s="4" t="n"/>
      <c r="P1381" s="4" t="n"/>
      <c r="Q1381" s="4" t="n"/>
      <c r="R1381" s="4" t="n"/>
      <c r="S1381" s="4" t="n"/>
      <c r="T1381" s="4" t="n"/>
      <c r="U1381" s="4" t="n"/>
      <c r="V1381" s="4" t="n"/>
      <c r="W1381" s="4" t="n"/>
      <c r="X1381" s="4" t="n"/>
      <c r="Y1381" s="4" t="n"/>
      <c r="Z1381" s="4" t="n"/>
      <c r="AA1381" s="4" t="n"/>
      <c r="AB1381" s="4" t="n"/>
      <c r="AC1381" s="4" t="n"/>
      <c r="AD1381" s="4" t="n"/>
      <c r="AE1381" s="4" t="n"/>
      <c r="AF1381" s="4" t="n"/>
      <c r="AG1381" s="4" t="n"/>
      <c r="AH1381" s="4" t="n"/>
      <c r="AI1381" s="4" t="n"/>
      <c r="AJ1381" s="4" t="n"/>
      <c r="AK1381" s="4" t="n"/>
      <c r="AL1381" s="4" t="n"/>
      <c r="AM1381" s="4" t="n"/>
      <c r="AN1381" s="4" t="n"/>
      <c r="AO1381" s="4" t="n"/>
      <c r="AP1381" s="4" t="n"/>
      <c r="AQ1381" s="4" t="n"/>
      <c r="AR1381" s="4" t="n"/>
      <c r="AS1381" s="4" t="n"/>
      <c r="AT1381" s="4" t="n"/>
      <c r="AU1381" s="4" t="n"/>
      <c r="AV1381" s="4" t="n"/>
      <c r="AW1381" s="4" t="n"/>
      <c r="AX1381" s="4" t="n"/>
      <c r="AY1381" s="4" t="n"/>
      <c r="AZ1381" s="4" t="n"/>
      <c r="BA1381" s="4" t="n"/>
      <c r="BB1381" s="4" t="n"/>
      <c r="BC1381" s="4" t="n"/>
      <c r="BD1381" s="4" t="n"/>
      <c r="BE1381" s="4" t="n"/>
      <c r="BF1381" s="4" t="n"/>
      <c r="BG1381" s="4" t="n"/>
      <c r="BH1381" s="4" t="n"/>
      <c r="BI1381" s="4" t="n"/>
      <c r="BJ1381" s="4" t="n"/>
      <c r="BK1381" s="4" t="n"/>
      <c r="BL1381" s="4" t="n"/>
      <c r="BM1381" s="4" t="n"/>
      <c r="BN1381" s="4" t="n"/>
      <c r="BO1381" s="4" t="n"/>
      <c r="BP1381" s="4" t="n"/>
      <c r="BQ1381" s="4" t="n"/>
      <c r="BR1381" s="4" t="n"/>
      <c r="BS1381" s="4" t="n"/>
      <c r="BT1381" s="4" t="n"/>
      <c r="BU1381" s="4" t="n"/>
      <c r="BV1381" s="4" t="n"/>
      <c r="BW1381" s="4" t="n"/>
      <c r="BX1381" s="4" t="n"/>
      <c r="BY1381" s="4" t="n"/>
      <c r="BZ1381" s="4" t="n"/>
      <c r="CA1381" s="4" t="n"/>
      <c r="CB1381" s="4" t="n"/>
      <c r="CC1381" s="4" t="n"/>
      <c r="CD1381" s="4" t="n"/>
      <c r="CE1381" s="4" t="n"/>
      <c r="CF1381" s="4" t="n"/>
      <c r="CG1381" s="4" t="n"/>
      <c r="CH1381" s="4" t="n"/>
      <c r="CI1381" s="4" t="n"/>
      <c r="CJ1381" s="4" t="n"/>
      <c r="CK1381" s="4" t="n"/>
      <c r="CL1381" s="4" t="n"/>
      <c r="CM1381" s="4" t="n"/>
      <c r="CN1381" s="4" t="n"/>
      <c r="CO1381" s="4" t="n"/>
      <c r="CP1381" s="4" t="n"/>
      <c r="CQ1381" s="4" t="n"/>
      <c r="CR1381" s="4" t="n"/>
      <c r="CS1381" s="4" t="n"/>
      <c r="CT1381" s="4" t="n"/>
      <c r="CU1381" s="4" t="n"/>
      <c r="CV1381" s="4" t="n"/>
      <c r="CW1381" s="4" t="n"/>
      <c r="CX1381" s="4" t="n"/>
      <c r="CY1381" s="4" t="n"/>
      <c r="CZ1381" s="4" t="n"/>
      <c r="DA1381" s="4" t="n"/>
      <c r="DB1381" s="4" t="n"/>
      <c r="DC1381" s="4" t="n"/>
      <c r="DD1381" s="4" t="n"/>
      <c r="DE1381" s="4" t="n"/>
      <c r="DF1381" s="4" t="n"/>
      <c r="DG1381" s="4" t="n"/>
      <c r="DH1381" s="4" t="n"/>
      <c r="DI1381" s="4" t="n"/>
      <c r="DJ1381" s="4" t="n"/>
      <c r="DK1381" s="4" t="n"/>
      <c r="DL1381" s="4" t="n"/>
      <c r="DM1381" s="4" t="n"/>
      <c r="DN1381" s="4" t="n"/>
      <c r="DO1381" s="4" t="n"/>
      <c r="DP1381" s="4" t="n"/>
      <c r="DQ1381" s="4" t="n"/>
      <c r="DR1381" s="4" t="n"/>
      <c r="DS1381" s="4" t="n"/>
      <c r="DT1381" s="4" t="n"/>
      <c r="DU1381" s="4" t="n"/>
      <c r="DV1381" s="4" t="n"/>
      <c r="DW1381" s="4" t="n"/>
      <c r="DX1381" s="4" t="n"/>
      <c r="DY1381" s="4" t="n"/>
      <c r="DZ1381" s="4" t="n"/>
      <c r="EA1381" s="4" t="n"/>
      <c r="EB1381" s="4" t="n"/>
      <c r="EC1381" s="4" t="n"/>
      <c r="ED1381" s="4" t="n"/>
      <c r="EE1381" s="4" t="n"/>
      <c r="EF1381" s="4" t="n"/>
      <c r="EG1381" s="4" t="n"/>
      <c r="EH1381" s="4" t="n"/>
      <c r="EI1381" s="4" t="n"/>
      <c r="EJ1381" s="4" t="n"/>
      <c r="EK1381" s="4" t="n"/>
      <c r="EL1381" s="4" t="n"/>
      <c r="EM1381" s="4" t="n"/>
      <c r="EN1381" s="4" t="n"/>
      <c r="EO1381" s="4" t="n"/>
      <c r="EP1381" s="4" t="n"/>
      <c r="EQ1381" s="4" t="n"/>
      <c r="ER1381" s="4" t="n"/>
      <c r="ES1381" s="4" t="n"/>
      <c r="ET1381" s="4" t="n"/>
      <c r="EU1381" s="4" t="n"/>
      <c r="EV1381" s="4" t="n"/>
      <c r="EW1381" s="4" t="n"/>
      <c r="EX1381" s="4" t="n"/>
      <c r="EY1381" s="4" t="n"/>
      <c r="EZ1381" s="4" t="n"/>
      <c r="FA1381" s="4" t="n"/>
      <c r="FB1381" s="4" t="n"/>
      <c r="FC1381" s="4" t="n"/>
    </row>
    <row r="1382" hidden="1" customFormat="1" s="6">
      <c r="C1382" s="4" t="n"/>
      <c r="D1382" s="4" t="n"/>
      <c r="E1382" s="4" t="n"/>
      <c r="F1382" s="4" t="n"/>
      <c r="G1382" s="4" t="n"/>
      <c r="H1382" s="4" t="n"/>
      <c r="I1382" s="4" t="n"/>
      <c r="J1382" s="4" t="n"/>
      <c r="K1382" s="4" t="n"/>
      <c r="L1382" s="4" t="n"/>
      <c r="M1382" s="4" t="n"/>
      <c r="N1382" s="4" t="n"/>
      <c r="O1382" s="4" t="n"/>
      <c r="P1382" s="4" t="n"/>
      <c r="Q1382" s="4" t="n"/>
      <c r="R1382" s="4" t="n"/>
      <c r="S1382" s="4" t="n"/>
      <c r="T1382" s="4" t="n"/>
      <c r="U1382" s="4" t="n"/>
      <c r="V1382" s="4" t="n"/>
      <c r="W1382" s="4" t="n"/>
      <c r="X1382" s="4" t="n"/>
      <c r="Y1382" s="4" t="n"/>
      <c r="Z1382" s="4" t="n"/>
      <c r="AA1382" s="4" t="n"/>
      <c r="AB1382" s="4" t="n"/>
      <c r="AC1382" s="4" t="n"/>
      <c r="AD1382" s="4" t="n"/>
      <c r="AE1382" s="4" t="n"/>
      <c r="AF1382" s="4" t="n"/>
      <c r="AG1382" s="4" t="n"/>
      <c r="AH1382" s="4" t="n"/>
      <c r="AI1382" s="4" t="n"/>
      <c r="AJ1382" s="4" t="n"/>
      <c r="AK1382" s="4" t="n"/>
      <c r="AL1382" s="4" t="n"/>
      <c r="AM1382" s="4" t="n"/>
      <c r="AN1382" s="4" t="n"/>
      <c r="AO1382" s="4" t="n"/>
      <c r="AP1382" s="4" t="n"/>
      <c r="AQ1382" s="4" t="n"/>
      <c r="AR1382" s="4" t="n"/>
      <c r="AS1382" s="4" t="n"/>
      <c r="AT1382" s="4" t="n"/>
      <c r="AU1382" s="4" t="n"/>
      <c r="AV1382" s="4" t="n"/>
      <c r="AW1382" s="4" t="n"/>
      <c r="AX1382" s="4" t="n"/>
      <c r="AY1382" s="4" t="n"/>
      <c r="AZ1382" s="4" t="n"/>
      <c r="BA1382" s="4" t="n"/>
      <c r="BB1382" s="4" t="n"/>
      <c r="BC1382" s="4" t="n"/>
      <c r="BD1382" s="4" t="n"/>
      <c r="BE1382" s="4" t="n"/>
      <c r="BF1382" s="4" t="n"/>
      <c r="BG1382" s="4" t="n"/>
      <c r="BH1382" s="4" t="n"/>
      <c r="BI1382" s="4" t="n"/>
      <c r="BJ1382" s="4" t="n"/>
      <c r="BK1382" s="4" t="n"/>
      <c r="BL1382" s="4" t="n"/>
      <c r="BM1382" s="4" t="n"/>
      <c r="BN1382" s="4" t="n"/>
      <c r="BO1382" s="4" t="n"/>
      <c r="BP1382" s="4" t="n"/>
      <c r="BQ1382" s="4" t="n"/>
      <c r="BR1382" s="4" t="n"/>
      <c r="BS1382" s="4" t="n"/>
      <c r="BT1382" s="4" t="n"/>
      <c r="BU1382" s="4" t="n"/>
      <c r="BV1382" s="4" t="n"/>
      <c r="BW1382" s="4" t="n"/>
      <c r="BX1382" s="4" t="n"/>
      <c r="BY1382" s="4" t="n"/>
      <c r="BZ1382" s="4" t="n"/>
      <c r="CA1382" s="4" t="n"/>
      <c r="CB1382" s="4" t="n"/>
      <c r="CC1382" s="4" t="n"/>
      <c r="CD1382" s="4" t="n"/>
      <c r="CE1382" s="4" t="n"/>
      <c r="CF1382" s="4" t="n"/>
      <c r="CG1382" s="4" t="n"/>
      <c r="CH1382" s="4" t="n"/>
      <c r="CI1382" s="4" t="n"/>
      <c r="CJ1382" s="4" t="n"/>
      <c r="CK1382" s="4" t="n"/>
      <c r="CL1382" s="4" t="n"/>
      <c r="CM1382" s="4" t="n"/>
      <c r="CN1382" s="4" t="n"/>
      <c r="CO1382" s="4" t="n"/>
      <c r="CP1382" s="4" t="n"/>
      <c r="CQ1382" s="4" t="n"/>
      <c r="CR1382" s="4" t="n"/>
      <c r="CS1382" s="4" t="n"/>
      <c r="CT1382" s="4" t="n"/>
      <c r="CU1382" s="4" t="n"/>
      <c r="CV1382" s="4" t="n"/>
      <c r="CW1382" s="4" t="n"/>
      <c r="CX1382" s="4" t="n"/>
      <c r="CY1382" s="4" t="n"/>
      <c r="CZ1382" s="4" t="n"/>
      <c r="DA1382" s="4" t="n"/>
      <c r="DB1382" s="4" t="n"/>
      <c r="DC1382" s="4" t="n"/>
      <c r="DD1382" s="4" t="n"/>
      <c r="DE1382" s="4" t="n"/>
      <c r="DF1382" s="4" t="n"/>
      <c r="DG1382" s="4" t="n"/>
      <c r="DH1382" s="4" t="n"/>
      <c r="DI1382" s="4" t="n"/>
      <c r="DJ1382" s="4" t="n"/>
      <c r="DK1382" s="4" t="n"/>
      <c r="DL1382" s="4" t="n"/>
      <c r="DM1382" s="4" t="n"/>
      <c r="DN1382" s="4" t="n"/>
      <c r="DO1382" s="4" t="n"/>
      <c r="DP1382" s="4" t="n"/>
      <c r="DQ1382" s="4" t="n"/>
      <c r="DR1382" s="4" t="n"/>
      <c r="DS1382" s="4" t="n"/>
      <c r="DT1382" s="4" t="n"/>
      <c r="DU1382" s="4" t="n"/>
      <c r="DV1382" s="4" t="n"/>
      <c r="DW1382" s="4" t="n"/>
      <c r="DX1382" s="4" t="n"/>
      <c r="DY1382" s="4" t="n"/>
      <c r="DZ1382" s="4" t="n"/>
      <c r="EA1382" s="4" t="n"/>
      <c r="EB1382" s="4" t="n"/>
      <c r="EC1382" s="4" t="n"/>
      <c r="ED1382" s="4" t="n"/>
      <c r="EE1382" s="4" t="n"/>
      <c r="EF1382" s="4" t="n"/>
      <c r="EG1382" s="4" t="n"/>
      <c r="EH1382" s="4" t="n"/>
      <c r="EI1382" s="4" t="n"/>
      <c r="EJ1382" s="4" t="n"/>
      <c r="EK1382" s="4" t="n"/>
      <c r="EL1382" s="4" t="n"/>
      <c r="EM1382" s="4" t="n"/>
      <c r="EN1382" s="4" t="n"/>
      <c r="EO1382" s="4" t="n"/>
      <c r="EP1382" s="4" t="n"/>
      <c r="EQ1382" s="4" t="n"/>
      <c r="ER1382" s="4" t="n"/>
      <c r="ES1382" s="4" t="n"/>
      <c r="ET1382" s="4" t="n"/>
      <c r="EU1382" s="4" t="n"/>
      <c r="EV1382" s="4" t="n"/>
      <c r="EW1382" s="4" t="n"/>
      <c r="EX1382" s="4" t="n"/>
      <c r="EY1382" s="4" t="n"/>
      <c r="EZ1382" s="4" t="n"/>
      <c r="FA1382" s="4" t="n"/>
      <c r="FB1382" s="4" t="n"/>
      <c r="FC1382" s="4" t="n"/>
    </row>
    <row r="1383" hidden="1" customFormat="1" s="6">
      <c r="C1383" s="4" t="n"/>
      <c r="D1383" s="4" t="n"/>
      <c r="E1383" s="4" t="n"/>
      <c r="F1383" s="4" t="n"/>
      <c r="G1383" s="4" t="n"/>
      <c r="H1383" s="4" t="n"/>
      <c r="I1383" s="4" t="n"/>
      <c r="J1383" s="4" t="n"/>
      <c r="K1383" s="4" t="n"/>
      <c r="L1383" s="4" t="n"/>
      <c r="M1383" s="4" t="n"/>
      <c r="N1383" s="4" t="n"/>
      <c r="O1383" s="4" t="n"/>
      <c r="P1383" s="4" t="n"/>
      <c r="Q1383" s="4" t="n"/>
      <c r="R1383" s="4" t="n"/>
      <c r="S1383" s="4" t="n"/>
      <c r="T1383" s="4" t="n"/>
      <c r="U1383" s="4" t="n"/>
      <c r="V1383" s="4" t="n"/>
      <c r="W1383" s="4" t="n"/>
      <c r="X1383" s="4" t="n"/>
      <c r="Y1383" s="4" t="n"/>
      <c r="Z1383" s="4" t="n"/>
      <c r="AA1383" s="4" t="n"/>
      <c r="AB1383" s="4" t="n"/>
      <c r="AC1383" s="4" t="n"/>
      <c r="AD1383" s="4" t="n"/>
      <c r="AE1383" s="4" t="n"/>
      <c r="AF1383" s="4" t="n"/>
      <c r="AG1383" s="4" t="n"/>
      <c r="AH1383" s="4" t="n"/>
      <c r="AI1383" s="4" t="n"/>
      <c r="AJ1383" s="4" t="n"/>
      <c r="AK1383" s="4" t="n"/>
      <c r="AL1383" s="4" t="n"/>
      <c r="AM1383" s="4" t="n"/>
      <c r="AN1383" s="4" t="n"/>
      <c r="AO1383" s="4" t="n"/>
      <c r="AP1383" s="4" t="n"/>
      <c r="AQ1383" s="4" t="n"/>
      <c r="AR1383" s="4" t="n"/>
      <c r="AS1383" s="4" t="n"/>
      <c r="AT1383" s="4" t="n"/>
      <c r="AU1383" s="4" t="n"/>
      <c r="AV1383" s="4" t="n"/>
      <c r="AW1383" s="4" t="n"/>
      <c r="AX1383" s="4" t="n"/>
      <c r="AY1383" s="4" t="n"/>
      <c r="AZ1383" s="4" t="n"/>
      <c r="BA1383" s="4" t="n"/>
      <c r="BB1383" s="4" t="n"/>
      <c r="BC1383" s="4" t="n"/>
      <c r="BD1383" s="4" t="n"/>
      <c r="BE1383" s="4" t="n"/>
      <c r="BF1383" s="4" t="n"/>
      <c r="BG1383" s="4" t="n"/>
      <c r="BH1383" s="4" t="n"/>
      <c r="BI1383" s="4" t="n"/>
      <c r="BJ1383" s="4" t="n"/>
      <c r="BK1383" s="4" t="n"/>
      <c r="BL1383" s="4" t="n"/>
      <c r="BM1383" s="4" t="n"/>
      <c r="BN1383" s="4" t="n"/>
      <c r="BO1383" s="4" t="n"/>
      <c r="BP1383" s="4" t="n"/>
      <c r="BQ1383" s="4" t="n"/>
      <c r="BR1383" s="4" t="n"/>
      <c r="BS1383" s="4" t="n"/>
      <c r="BT1383" s="4" t="n"/>
      <c r="BU1383" s="4" t="n"/>
      <c r="BV1383" s="4" t="n"/>
      <c r="BW1383" s="4" t="n"/>
      <c r="BX1383" s="4" t="n"/>
      <c r="BY1383" s="4" t="n"/>
      <c r="BZ1383" s="4" t="n"/>
      <c r="CA1383" s="4" t="n"/>
      <c r="CB1383" s="4" t="n"/>
      <c r="CC1383" s="4" t="n"/>
      <c r="CD1383" s="4" t="n"/>
      <c r="CE1383" s="4" t="n"/>
      <c r="CF1383" s="4" t="n"/>
      <c r="CG1383" s="4" t="n"/>
      <c r="CH1383" s="4" t="n"/>
      <c r="CI1383" s="4" t="n"/>
      <c r="CJ1383" s="4" t="n"/>
      <c r="CK1383" s="4" t="n"/>
      <c r="CL1383" s="4" t="n"/>
      <c r="CM1383" s="4" t="n"/>
      <c r="CN1383" s="4" t="n"/>
      <c r="CO1383" s="4" t="n"/>
      <c r="CP1383" s="4" t="n"/>
      <c r="CQ1383" s="4" t="n"/>
      <c r="CR1383" s="4" t="n"/>
      <c r="CS1383" s="4" t="n"/>
      <c r="CT1383" s="4" t="n"/>
      <c r="CU1383" s="4" t="n"/>
      <c r="CV1383" s="4" t="n"/>
      <c r="CW1383" s="4" t="n"/>
      <c r="CX1383" s="4" t="n"/>
      <c r="CY1383" s="4" t="n"/>
      <c r="CZ1383" s="4" t="n"/>
      <c r="DA1383" s="4" t="n"/>
      <c r="DB1383" s="4" t="n"/>
      <c r="DC1383" s="4" t="n"/>
      <c r="DD1383" s="4" t="n"/>
      <c r="DE1383" s="4" t="n"/>
      <c r="DF1383" s="4" t="n"/>
      <c r="DG1383" s="4" t="n"/>
      <c r="DH1383" s="4" t="n"/>
      <c r="DI1383" s="4" t="n"/>
      <c r="DJ1383" s="4" t="n"/>
      <c r="DK1383" s="4" t="n"/>
      <c r="DL1383" s="4" t="n"/>
      <c r="DM1383" s="4" t="n"/>
      <c r="DN1383" s="4" t="n"/>
      <c r="DO1383" s="4" t="n"/>
      <c r="DP1383" s="4" t="n"/>
      <c r="DQ1383" s="4" t="n"/>
      <c r="DR1383" s="4" t="n"/>
      <c r="DS1383" s="4" t="n"/>
      <c r="DT1383" s="4" t="n"/>
      <c r="DU1383" s="4" t="n"/>
      <c r="DV1383" s="4" t="n"/>
      <c r="DW1383" s="4" t="n"/>
      <c r="DX1383" s="4" t="n"/>
      <c r="DY1383" s="4" t="n"/>
      <c r="DZ1383" s="4" t="n"/>
      <c r="EA1383" s="4" t="n"/>
      <c r="EB1383" s="4" t="n"/>
      <c r="EC1383" s="4" t="n"/>
      <c r="ED1383" s="4" t="n"/>
      <c r="EE1383" s="4" t="n"/>
      <c r="EF1383" s="4" t="n"/>
      <c r="EG1383" s="4" t="n"/>
      <c r="EH1383" s="4" t="n"/>
      <c r="EI1383" s="4" t="n"/>
      <c r="EJ1383" s="4" t="n"/>
      <c r="EK1383" s="4" t="n"/>
      <c r="EL1383" s="4" t="n"/>
      <c r="EM1383" s="4" t="n"/>
      <c r="EN1383" s="4" t="n"/>
      <c r="EO1383" s="4" t="n"/>
      <c r="EP1383" s="4" t="n"/>
      <c r="EQ1383" s="4" t="n"/>
      <c r="ER1383" s="4" t="n"/>
      <c r="ES1383" s="4" t="n"/>
      <c r="ET1383" s="4" t="n"/>
      <c r="EU1383" s="4" t="n"/>
      <c r="EV1383" s="4" t="n"/>
      <c r="EW1383" s="4" t="n"/>
      <c r="EX1383" s="4" t="n"/>
      <c r="EY1383" s="4" t="n"/>
      <c r="EZ1383" s="4" t="n"/>
      <c r="FA1383" s="4" t="n"/>
      <c r="FB1383" s="4" t="n"/>
      <c r="FC1383" s="4" t="n"/>
    </row>
    <row r="1384" hidden="1" customFormat="1" s="6">
      <c r="C1384" s="4" t="n"/>
      <c r="D1384" s="4" t="n"/>
      <c r="E1384" s="4" t="n"/>
      <c r="F1384" s="4" t="n"/>
      <c r="G1384" s="4" t="n"/>
      <c r="H1384" s="4" t="n"/>
      <c r="I1384" s="4" t="n"/>
      <c r="J1384" s="4" t="n"/>
      <c r="K1384" s="4" t="n"/>
      <c r="L1384" s="4" t="n"/>
      <c r="M1384" s="4" t="n"/>
      <c r="N1384" s="4" t="n"/>
      <c r="O1384" s="4" t="n"/>
      <c r="P1384" s="4" t="n"/>
      <c r="Q1384" s="4" t="n"/>
      <c r="R1384" s="4" t="n"/>
      <c r="S1384" s="4" t="n"/>
      <c r="T1384" s="4" t="n"/>
      <c r="U1384" s="4" t="n"/>
      <c r="V1384" s="4" t="n"/>
      <c r="W1384" s="4" t="n"/>
      <c r="X1384" s="4" t="n"/>
      <c r="Y1384" s="4" t="n"/>
      <c r="Z1384" s="4" t="n"/>
      <c r="AA1384" s="4" t="n"/>
      <c r="AB1384" s="4" t="n"/>
      <c r="AC1384" s="4" t="n"/>
      <c r="AD1384" s="4" t="n"/>
      <c r="AE1384" s="4" t="n"/>
      <c r="AF1384" s="4" t="n"/>
      <c r="AG1384" s="4" t="n"/>
      <c r="AH1384" s="4" t="n"/>
      <c r="AI1384" s="4" t="n"/>
      <c r="AJ1384" s="4" t="n"/>
      <c r="AK1384" s="4" t="n"/>
      <c r="AL1384" s="4" t="n"/>
      <c r="AM1384" s="4" t="n"/>
      <c r="AN1384" s="4" t="n"/>
      <c r="AO1384" s="4" t="n"/>
      <c r="AP1384" s="4" t="n"/>
      <c r="AQ1384" s="4" t="n"/>
      <c r="AR1384" s="4" t="n"/>
      <c r="AS1384" s="4" t="n"/>
      <c r="AT1384" s="4" t="n"/>
      <c r="AU1384" s="4" t="n"/>
      <c r="AV1384" s="4" t="n"/>
      <c r="AW1384" s="4" t="n"/>
      <c r="AX1384" s="4" t="n"/>
      <c r="AY1384" s="4" t="n"/>
      <c r="AZ1384" s="4" t="n"/>
      <c r="BA1384" s="4" t="n"/>
      <c r="BB1384" s="4" t="n"/>
      <c r="BC1384" s="4" t="n"/>
      <c r="BD1384" s="4" t="n"/>
      <c r="BE1384" s="4" t="n"/>
      <c r="BF1384" s="4" t="n"/>
      <c r="BG1384" s="4" t="n"/>
      <c r="BH1384" s="4" t="n"/>
      <c r="BI1384" s="4" t="n"/>
      <c r="BJ1384" s="4" t="n"/>
      <c r="BK1384" s="4" t="n"/>
      <c r="BL1384" s="4" t="n"/>
      <c r="BM1384" s="4" t="n"/>
      <c r="BN1384" s="4" t="n"/>
      <c r="BO1384" s="4" t="n"/>
      <c r="BP1384" s="4" t="n"/>
      <c r="BQ1384" s="4" t="n"/>
      <c r="BR1384" s="4" t="n"/>
      <c r="BS1384" s="4" t="n"/>
      <c r="BT1384" s="4" t="n"/>
      <c r="BU1384" s="4" t="n"/>
      <c r="BV1384" s="4" t="n"/>
      <c r="BW1384" s="4" t="n"/>
      <c r="BX1384" s="4" t="n"/>
      <c r="BY1384" s="4" t="n"/>
      <c r="BZ1384" s="4" t="n"/>
      <c r="CA1384" s="4" t="n"/>
      <c r="CB1384" s="4" t="n"/>
      <c r="CC1384" s="4" t="n"/>
      <c r="CD1384" s="4" t="n"/>
      <c r="CE1384" s="4" t="n"/>
      <c r="CF1384" s="4" t="n"/>
      <c r="CG1384" s="4" t="n"/>
      <c r="CH1384" s="4" t="n"/>
      <c r="CI1384" s="4" t="n"/>
      <c r="CJ1384" s="4" t="n"/>
      <c r="CK1384" s="4" t="n"/>
      <c r="CL1384" s="4" t="n"/>
      <c r="CM1384" s="4" t="n"/>
      <c r="CN1384" s="4" t="n"/>
      <c r="CO1384" s="4" t="n"/>
      <c r="CP1384" s="4" t="n"/>
      <c r="CQ1384" s="4" t="n"/>
      <c r="CR1384" s="4" t="n"/>
      <c r="CS1384" s="4" t="n"/>
      <c r="CT1384" s="4" t="n"/>
      <c r="CU1384" s="4" t="n"/>
      <c r="CV1384" s="4" t="n"/>
      <c r="CW1384" s="4" t="n"/>
      <c r="CX1384" s="4" t="n"/>
      <c r="CY1384" s="4" t="n"/>
      <c r="CZ1384" s="4" t="n"/>
      <c r="DA1384" s="4" t="n"/>
      <c r="DB1384" s="4" t="n"/>
      <c r="DC1384" s="4" t="n"/>
      <c r="DD1384" s="4" t="n"/>
      <c r="DE1384" s="4" t="n"/>
      <c r="DF1384" s="4" t="n"/>
      <c r="DG1384" s="4" t="n"/>
      <c r="DH1384" s="4" t="n"/>
      <c r="DI1384" s="4" t="n"/>
      <c r="DJ1384" s="4" t="n"/>
      <c r="DK1384" s="4" t="n"/>
      <c r="DL1384" s="4" t="n"/>
      <c r="DM1384" s="4" t="n"/>
      <c r="DN1384" s="4" t="n"/>
      <c r="DO1384" s="4" t="n"/>
      <c r="DP1384" s="4" t="n"/>
      <c r="DQ1384" s="4" t="n"/>
      <c r="DR1384" s="4" t="n"/>
      <c r="DS1384" s="4" t="n"/>
      <c r="DT1384" s="4" t="n"/>
      <c r="DU1384" s="4" t="n"/>
      <c r="DV1384" s="4" t="n"/>
      <c r="DW1384" s="4" t="n"/>
      <c r="DX1384" s="4" t="n"/>
      <c r="DY1384" s="4" t="n"/>
      <c r="DZ1384" s="4" t="n"/>
      <c r="EA1384" s="4" t="n"/>
      <c r="EB1384" s="4" t="n"/>
      <c r="EC1384" s="4" t="n"/>
      <c r="ED1384" s="4" t="n"/>
      <c r="EE1384" s="4" t="n"/>
      <c r="EF1384" s="4" t="n"/>
      <c r="EG1384" s="4" t="n"/>
      <c r="EH1384" s="4" t="n"/>
      <c r="EI1384" s="4" t="n"/>
      <c r="EJ1384" s="4" t="n"/>
      <c r="EK1384" s="4" t="n"/>
      <c r="EL1384" s="4" t="n"/>
      <c r="EM1384" s="4" t="n"/>
      <c r="EN1384" s="4" t="n"/>
      <c r="EO1384" s="4" t="n"/>
      <c r="EP1384" s="4" t="n"/>
      <c r="EQ1384" s="4" t="n"/>
      <c r="ER1384" s="4" t="n"/>
      <c r="ES1384" s="4" t="n"/>
      <c r="ET1384" s="4" t="n"/>
      <c r="EU1384" s="4" t="n"/>
      <c r="EV1384" s="4" t="n"/>
      <c r="EW1384" s="4" t="n"/>
      <c r="EX1384" s="4" t="n"/>
      <c r="EY1384" s="4" t="n"/>
      <c r="EZ1384" s="4" t="n"/>
      <c r="FA1384" s="4" t="n"/>
      <c r="FB1384" s="4" t="n"/>
      <c r="FC1384" s="4" t="n"/>
    </row>
    <row r="1385" hidden="1" customFormat="1" s="6">
      <c r="C1385" s="4" t="n"/>
      <c r="D1385" s="4" t="n"/>
      <c r="E1385" s="4" t="n"/>
      <c r="F1385" s="4" t="n"/>
      <c r="G1385" s="4" t="n"/>
      <c r="H1385" s="4" t="n"/>
      <c r="I1385" s="4" t="n"/>
      <c r="J1385" s="4" t="n"/>
      <c r="K1385" s="4" t="n"/>
      <c r="L1385" s="4" t="n"/>
      <c r="M1385" s="4" t="n"/>
      <c r="N1385" s="4" t="n"/>
      <c r="O1385" s="4" t="n"/>
      <c r="P1385" s="4" t="n"/>
      <c r="Q1385" s="4" t="n"/>
      <c r="R1385" s="4" t="n"/>
      <c r="S1385" s="4" t="n"/>
      <c r="T1385" s="4" t="n"/>
      <c r="U1385" s="4" t="n"/>
      <c r="V1385" s="4" t="n"/>
      <c r="W1385" s="4" t="n"/>
      <c r="X1385" s="4" t="n"/>
      <c r="Y1385" s="4" t="n"/>
      <c r="Z1385" s="4" t="n"/>
      <c r="AA1385" s="4" t="n"/>
      <c r="AB1385" s="4" t="n"/>
      <c r="AC1385" s="4" t="n"/>
      <c r="AD1385" s="4" t="n"/>
      <c r="AE1385" s="4" t="n"/>
      <c r="AF1385" s="4" t="n"/>
      <c r="AG1385" s="4" t="n"/>
      <c r="AH1385" s="4" t="n"/>
      <c r="AI1385" s="4" t="n"/>
      <c r="AJ1385" s="4" t="n"/>
      <c r="AK1385" s="4" t="n"/>
      <c r="AL1385" s="4" t="n"/>
      <c r="AM1385" s="4" t="n"/>
      <c r="AN1385" s="4" t="n"/>
      <c r="AO1385" s="4" t="n"/>
      <c r="AP1385" s="4" t="n"/>
      <c r="AQ1385" s="4" t="n"/>
      <c r="AR1385" s="4" t="n"/>
      <c r="AS1385" s="4" t="n"/>
      <c r="AT1385" s="4" t="n"/>
      <c r="AU1385" s="4" t="n"/>
      <c r="AV1385" s="4" t="n"/>
      <c r="AW1385" s="4" t="n"/>
      <c r="AX1385" s="4" t="n"/>
      <c r="AY1385" s="4" t="n"/>
      <c r="AZ1385" s="4" t="n"/>
      <c r="BA1385" s="4" t="n"/>
      <c r="BB1385" s="4" t="n"/>
      <c r="BC1385" s="4" t="n"/>
      <c r="BD1385" s="4" t="n"/>
      <c r="BE1385" s="4" t="n"/>
      <c r="BF1385" s="4" t="n"/>
      <c r="BG1385" s="4" t="n"/>
      <c r="BH1385" s="4" t="n"/>
      <c r="BI1385" s="4" t="n"/>
      <c r="BJ1385" s="4" t="n"/>
      <c r="BK1385" s="4" t="n"/>
      <c r="BL1385" s="4" t="n"/>
      <c r="BM1385" s="4" t="n"/>
      <c r="BN1385" s="4" t="n"/>
      <c r="BO1385" s="4" t="n"/>
      <c r="BP1385" s="4" t="n"/>
      <c r="BQ1385" s="4" t="n"/>
      <c r="BR1385" s="4" t="n"/>
      <c r="BS1385" s="4" t="n"/>
      <c r="BT1385" s="4" t="n"/>
      <c r="BU1385" s="4" t="n"/>
      <c r="BV1385" s="4" t="n"/>
      <c r="BW1385" s="4" t="n"/>
      <c r="BX1385" s="4" t="n"/>
      <c r="BY1385" s="4" t="n"/>
      <c r="BZ1385" s="4" t="n"/>
      <c r="CA1385" s="4" t="n"/>
      <c r="CB1385" s="4" t="n"/>
      <c r="CC1385" s="4" t="n"/>
      <c r="CD1385" s="4" t="n"/>
      <c r="CE1385" s="4" t="n"/>
      <c r="CF1385" s="4" t="n"/>
      <c r="CG1385" s="4" t="n"/>
      <c r="CH1385" s="4" t="n"/>
      <c r="CI1385" s="4" t="n"/>
      <c r="CJ1385" s="4" t="n"/>
      <c r="CK1385" s="4" t="n"/>
      <c r="CL1385" s="4" t="n"/>
      <c r="CM1385" s="4" t="n"/>
      <c r="CN1385" s="4" t="n"/>
      <c r="CO1385" s="4" t="n"/>
      <c r="CP1385" s="4" t="n"/>
      <c r="CQ1385" s="4" t="n"/>
      <c r="CR1385" s="4" t="n"/>
      <c r="CS1385" s="4" t="n"/>
      <c r="CT1385" s="4" t="n"/>
      <c r="CU1385" s="4" t="n"/>
      <c r="CV1385" s="4" t="n"/>
      <c r="CW1385" s="4" t="n"/>
      <c r="CX1385" s="4" t="n"/>
      <c r="CY1385" s="4" t="n"/>
      <c r="CZ1385" s="4" t="n"/>
      <c r="DA1385" s="4" t="n"/>
      <c r="DB1385" s="4" t="n"/>
      <c r="DC1385" s="4" t="n"/>
      <c r="DD1385" s="4" t="n"/>
      <c r="DE1385" s="4" t="n"/>
      <c r="DF1385" s="4" t="n"/>
      <c r="DG1385" s="4" t="n"/>
      <c r="DH1385" s="4" t="n"/>
      <c r="DI1385" s="4" t="n"/>
      <c r="DJ1385" s="4" t="n"/>
      <c r="DK1385" s="4" t="n"/>
      <c r="DL1385" s="4" t="n"/>
      <c r="DM1385" s="4" t="n"/>
      <c r="DN1385" s="4" t="n"/>
      <c r="DO1385" s="4" t="n"/>
      <c r="DP1385" s="4" t="n"/>
      <c r="DQ1385" s="4" t="n"/>
      <c r="DR1385" s="4" t="n"/>
      <c r="DS1385" s="4" t="n"/>
      <c r="DT1385" s="4" t="n"/>
      <c r="DU1385" s="4" t="n"/>
      <c r="DV1385" s="4" t="n"/>
      <c r="DW1385" s="4" t="n"/>
      <c r="DX1385" s="4" t="n"/>
      <c r="DY1385" s="4" t="n"/>
      <c r="DZ1385" s="4" t="n"/>
      <c r="EA1385" s="4" t="n"/>
      <c r="EB1385" s="4" t="n"/>
      <c r="EC1385" s="4" t="n"/>
      <c r="ED1385" s="4" t="n"/>
      <c r="EE1385" s="4" t="n"/>
      <c r="EF1385" s="4" t="n"/>
      <c r="EG1385" s="4" t="n"/>
      <c r="EH1385" s="4" t="n"/>
      <c r="EI1385" s="4" t="n"/>
      <c r="EJ1385" s="4" t="n"/>
      <c r="EK1385" s="4" t="n"/>
      <c r="EL1385" s="4" t="n"/>
      <c r="EM1385" s="4" t="n"/>
      <c r="EN1385" s="4" t="n"/>
      <c r="EO1385" s="4" t="n"/>
      <c r="EP1385" s="4" t="n"/>
      <c r="EQ1385" s="4" t="n"/>
      <c r="ER1385" s="4" t="n"/>
      <c r="ES1385" s="4" t="n"/>
      <c r="ET1385" s="4" t="n"/>
      <c r="EU1385" s="4" t="n"/>
      <c r="EV1385" s="4" t="n"/>
      <c r="EW1385" s="4" t="n"/>
      <c r="EX1385" s="4" t="n"/>
      <c r="EY1385" s="4" t="n"/>
      <c r="EZ1385" s="4" t="n"/>
      <c r="FA1385" s="4" t="n"/>
      <c r="FB1385" s="4" t="n"/>
      <c r="FC1385" s="4" t="n"/>
    </row>
    <row r="1386" hidden="1" customFormat="1" s="6">
      <c r="C1386" s="4" t="n"/>
      <c r="D1386" s="4" t="n"/>
      <c r="E1386" s="4" t="n"/>
      <c r="F1386" s="4" t="n"/>
      <c r="G1386" s="4" t="n"/>
      <c r="H1386" s="4" t="n"/>
      <c r="I1386" s="4" t="n"/>
      <c r="J1386" s="4" t="n"/>
      <c r="K1386" s="4" t="n"/>
      <c r="L1386" s="4" t="n"/>
      <c r="M1386" s="4" t="n"/>
      <c r="N1386" s="4" t="n"/>
      <c r="O1386" s="4" t="n"/>
      <c r="P1386" s="4" t="n"/>
      <c r="Q1386" s="4" t="n"/>
      <c r="R1386" s="4" t="n"/>
      <c r="S1386" s="4" t="n"/>
      <c r="T1386" s="4" t="n"/>
      <c r="U1386" s="4" t="n"/>
      <c r="V1386" s="4" t="n"/>
      <c r="W1386" s="4" t="n"/>
      <c r="X1386" s="4" t="n"/>
      <c r="Y1386" s="4" t="n"/>
      <c r="Z1386" s="4" t="n"/>
      <c r="AA1386" s="4" t="n"/>
      <c r="AB1386" s="4" t="n"/>
      <c r="AC1386" s="4" t="n"/>
      <c r="AD1386" s="4" t="n"/>
      <c r="AE1386" s="4" t="n"/>
      <c r="AF1386" s="4" t="n"/>
      <c r="AG1386" s="4" t="n"/>
      <c r="AH1386" s="4" t="n"/>
      <c r="AI1386" s="4" t="n"/>
      <c r="AJ1386" s="4" t="n"/>
      <c r="AK1386" s="4" t="n"/>
      <c r="AL1386" s="4" t="n"/>
      <c r="AM1386" s="4" t="n"/>
      <c r="AN1386" s="4" t="n"/>
      <c r="AO1386" s="4" t="n"/>
      <c r="AP1386" s="4" t="n"/>
      <c r="AQ1386" s="4" t="n"/>
      <c r="AR1386" s="4" t="n"/>
      <c r="AS1386" s="4" t="n"/>
      <c r="AT1386" s="4" t="n"/>
      <c r="AU1386" s="4" t="n"/>
      <c r="AV1386" s="4" t="n"/>
      <c r="AW1386" s="4" t="n"/>
      <c r="AX1386" s="4" t="n"/>
      <c r="AY1386" s="4" t="n"/>
      <c r="AZ1386" s="4" t="n"/>
      <c r="BA1386" s="4" t="n"/>
      <c r="BB1386" s="4" t="n"/>
      <c r="BC1386" s="4" t="n"/>
      <c r="BD1386" s="4" t="n"/>
      <c r="BE1386" s="4" t="n"/>
      <c r="BF1386" s="4" t="n"/>
      <c r="BG1386" s="4" t="n"/>
      <c r="BH1386" s="4" t="n"/>
      <c r="BI1386" s="4" t="n"/>
      <c r="BJ1386" s="4" t="n"/>
      <c r="BK1386" s="4" t="n"/>
      <c r="BL1386" s="4" t="n"/>
      <c r="BM1386" s="4" t="n"/>
      <c r="BN1386" s="4" t="n"/>
      <c r="BO1386" s="4" t="n"/>
      <c r="BP1386" s="4" t="n"/>
      <c r="BQ1386" s="4" t="n"/>
      <c r="BR1386" s="4" t="n"/>
      <c r="BS1386" s="4" t="n"/>
      <c r="BT1386" s="4" t="n"/>
      <c r="BU1386" s="4" t="n"/>
      <c r="BV1386" s="4" t="n"/>
      <c r="BW1386" s="4" t="n"/>
      <c r="BX1386" s="4" t="n"/>
      <c r="BY1386" s="4" t="n"/>
      <c r="BZ1386" s="4" t="n"/>
      <c r="CA1386" s="4" t="n"/>
      <c r="CB1386" s="4" t="n"/>
      <c r="CC1386" s="4" t="n"/>
      <c r="CD1386" s="4" t="n"/>
      <c r="CE1386" s="4" t="n"/>
      <c r="CF1386" s="4" t="n"/>
      <c r="CG1386" s="4" t="n"/>
      <c r="CH1386" s="4" t="n"/>
      <c r="CI1386" s="4" t="n"/>
      <c r="CJ1386" s="4" t="n"/>
      <c r="CK1386" s="4" t="n"/>
      <c r="CL1386" s="4" t="n"/>
      <c r="CM1386" s="4" t="n"/>
      <c r="CN1386" s="4" t="n"/>
      <c r="CO1386" s="4" t="n"/>
      <c r="CP1386" s="4" t="n"/>
      <c r="CQ1386" s="4" t="n"/>
      <c r="CR1386" s="4" t="n"/>
      <c r="CS1386" s="4" t="n"/>
      <c r="CT1386" s="4" t="n"/>
      <c r="CU1386" s="4" t="n"/>
      <c r="CV1386" s="4" t="n"/>
      <c r="CW1386" s="4" t="n"/>
      <c r="CX1386" s="4" t="n"/>
      <c r="CY1386" s="4" t="n"/>
      <c r="CZ1386" s="4" t="n"/>
      <c r="DA1386" s="4" t="n"/>
      <c r="DB1386" s="4" t="n"/>
      <c r="DC1386" s="4" t="n"/>
      <c r="DD1386" s="4" t="n"/>
      <c r="DE1386" s="4" t="n"/>
      <c r="DF1386" s="4" t="n"/>
      <c r="DG1386" s="4" t="n"/>
      <c r="DH1386" s="4" t="n"/>
      <c r="DI1386" s="4" t="n"/>
      <c r="DJ1386" s="4" t="n"/>
      <c r="DK1386" s="4" t="n"/>
      <c r="DL1386" s="4" t="n"/>
      <c r="DM1386" s="4" t="n"/>
      <c r="DN1386" s="4" t="n"/>
      <c r="DO1386" s="4" t="n"/>
      <c r="DP1386" s="4" t="n"/>
      <c r="DQ1386" s="4" t="n"/>
      <c r="DR1386" s="4" t="n"/>
      <c r="DS1386" s="4" t="n"/>
      <c r="DT1386" s="4" t="n"/>
      <c r="DU1386" s="4" t="n"/>
      <c r="DV1386" s="4" t="n"/>
      <c r="DW1386" s="4" t="n"/>
      <c r="DX1386" s="4" t="n"/>
      <c r="DY1386" s="4" t="n"/>
      <c r="DZ1386" s="4" t="n"/>
      <c r="EA1386" s="4" t="n"/>
      <c r="EB1386" s="4" t="n"/>
      <c r="EC1386" s="4" t="n"/>
      <c r="ED1386" s="4" t="n"/>
      <c r="EE1386" s="4" t="n"/>
      <c r="EF1386" s="4" t="n"/>
      <c r="EG1386" s="4" t="n"/>
      <c r="EH1386" s="4" t="n"/>
      <c r="EI1386" s="4" t="n"/>
      <c r="EJ1386" s="4" t="n"/>
      <c r="EK1386" s="4" t="n"/>
      <c r="EL1386" s="4" t="n"/>
      <c r="EM1386" s="4" t="n"/>
      <c r="EN1386" s="4" t="n"/>
      <c r="EO1386" s="4" t="n"/>
      <c r="EP1386" s="4" t="n"/>
      <c r="EQ1386" s="4" t="n"/>
      <c r="ER1386" s="4" t="n"/>
      <c r="ES1386" s="4" t="n"/>
      <c r="ET1386" s="4" t="n"/>
      <c r="EU1386" s="4" t="n"/>
      <c r="EV1386" s="4" t="n"/>
      <c r="EW1386" s="4" t="n"/>
      <c r="EX1386" s="4" t="n"/>
      <c r="EY1386" s="4" t="n"/>
      <c r="EZ1386" s="4" t="n"/>
      <c r="FA1386" s="4" t="n"/>
      <c r="FB1386" s="4" t="n"/>
      <c r="FC1386" s="4" t="n"/>
    </row>
    <row r="1387" hidden="1" customFormat="1" s="6">
      <c r="C1387" s="4" t="n"/>
      <c r="D1387" s="4" t="n"/>
      <c r="E1387" s="4" t="n"/>
      <c r="F1387" s="4" t="n"/>
      <c r="G1387" s="4" t="n"/>
      <c r="H1387" s="4" t="n"/>
      <c r="I1387" s="4" t="n"/>
      <c r="J1387" s="4" t="n"/>
      <c r="K1387" s="4" t="n"/>
      <c r="L1387" s="4" t="n"/>
      <c r="M1387" s="4" t="n"/>
      <c r="N1387" s="4" t="n"/>
      <c r="O1387" s="4" t="n"/>
      <c r="P1387" s="4" t="n"/>
      <c r="Q1387" s="4" t="n"/>
      <c r="R1387" s="4" t="n"/>
      <c r="S1387" s="4" t="n"/>
      <c r="T1387" s="4" t="n"/>
      <c r="U1387" s="4" t="n"/>
      <c r="V1387" s="4" t="n"/>
      <c r="W1387" s="4" t="n"/>
      <c r="X1387" s="4" t="n"/>
      <c r="Y1387" s="4" t="n"/>
      <c r="Z1387" s="4" t="n"/>
      <c r="AA1387" s="4" t="n"/>
      <c r="AB1387" s="4" t="n"/>
      <c r="AC1387" s="4" t="n"/>
      <c r="AD1387" s="4" t="n"/>
      <c r="AE1387" s="4" t="n"/>
      <c r="AF1387" s="4" t="n"/>
      <c r="AG1387" s="4" t="n"/>
      <c r="AH1387" s="4" t="n"/>
      <c r="AI1387" s="4" t="n"/>
      <c r="AJ1387" s="4" t="n"/>
      <c r="AK1387" s="4" t="n"/>
      <c r="AL1387" s="4" t="n"/>
      <c r="AM1387" s="4" t="n"/>
      <c r="AN1387" s="4" t="n"/>
      <c r="AO1387" s="4" t="n"/>
      <c r="AP1387" s="4" t="n"/>
      <c r="AQ1387" s="4" t="n"/>
      <c r="AR1387" s="4" t="n"/>
      <c r="AS1387" s="4" t="n"/>
      <c r="AT1387" s="4" t="n"/>
      <c r="AU1387" s="4" t="n"/>
      <c r="AV1387" s="4" t="n"/>
      <c r="AW1387" s="4" t="n"/>
      <c r="AX1387" s="4" t="n"/>
      <c r="AY1387" s="4" t="n"/>
      <c r="AZ1387" s="4" t="n"/>
      <c r="BA1387" s="4" t="n"/>
      <c r="BB1387" s="4" t="n"/>
      <c r="BC1387" s="4" t="n"/>
      <c r="BD1387" s="4" t="n"/>
      <c r="BE1387" s="4" t="n"/>
      <c r="BF1387" s="4" t="n"/>
      <c r="BG1387" s="4" t="n"/>
      <c r="BH1387" s="4" t="n"/>
      <c r="BI1387" s="4" t="n"/>
      <c r="BJ1387" s="4" t="n"/>
      <c r="BK1387" s="4" t="n"/>
      <c r="BL1387" s="4" t="n"/>
      <c r="BM1387" s="4" t="n"/>
      <c r="BN1387" s="4" t="n"/>
      <c r="BO1387" s="4" t="n"/>
      <c r="BP1387" s="4" t="n"/>
      <c r="BQ1387" s="4" t="n"/>
      <c r="BR1387" s="4" t="n"/>
      <c r="BS1387" s="4" t="n"/>
      <c r="BT1387" s="4" t="n"/>
      <c r="BU1387" s="4" t="n"/>
      <c r="BV1387" s="4" t="n"/>
      <c r="BW1387" s="4" t="n"/>
      <c r="BX1387" s="4" t="n"/>
      <c r="BY1387" s="4" t="n"/>
      <c r="BZ1387" s="4" t="n"/>
      <c r="CA1387" s="4" t="n"/>
      <c r="CB1387" s="4" t="n"/>
      <c r="CC1387" s="4" t="n"/>
      <c r="CD1387" s="4" t="n"/>
      <c r="CE1387" s="4" t="n"/>
      <c r="CF1387" s="4" t="n"/>
      <c r="CG1387" s="4" t="n"/>
      <c r="CH1387" s="4" t="n"/>
      <c r="CI1387" s="4" t="n"/>
      <c r="CJ1387" s="4" t="n"/>
      <c r="CK1387" s="4" t="n"/>
      <c r="CL1387" s="4" t="n"/>
      <c r="CM1387" s="4" t="n"/>
      <c r="CN1387" s="4" t="n"/>
      <c r="CO1387" s="4" t="n"/>
      <c r="CP1387" s="4" t="n"/>
      <c r="CQ1387" s="4" t="n"/>
      <c r="CR1387" s="4" t="n"/>
      <c r="CS1387" s="4" t="n"/>
      <c r="CT1387" s="4" t="n"/>
      <c r="CU1387" s="4" t="n"/>
      <c r="CV1387" s="4" t="n"/>
      <c r="CW1387" s="4" t="n"/>
      <c r="CX1387" s="4" t="n"/>
      <c r="CY1387" s="4" t="n"/>
      <c r="CZ1387" s="4" t="n"/>
      <c r="DA1387" s="4" t="n"/>
      <c r="DB1387" s="4" t="n"/>
      <c r="DC1387" s="4" t="n"/>
      <c r="DD1387" s="4" t="n"/>
      <c r="DE1387" s="4" t="n"/>
      <c r="DF1387" s="4" t="n"/>
      <c r="DG1387" s="4" t="n"/>
      <c r="DH1387" s="4" t="n"/>
      <c r="DI1387" s="4" t="n"/>
      <c r="DJ1387" s="4" t="n"/>
      <c r="DK1387" s="4" t="n"/>
      <c r="DL1387" s="4" t="n"/>
      <c r="DM1387" s="4" t="n"/>
      <c r="DN1387" s="4" t="n"/>
      <c r="DO1387" s="4" t="n"/>
      <c r="DP1387" s="4" t="n"/>
      <c r="DQ1387" s="4" t="n"/>
      <c r="DR1387" s="4" t="n"/>
      <c r="DS1387" s="4" t="n"/>
      <c r="DT1387" s="4" t="n"/>
      <c r="DU1387" s="4" t="n"/>
      <c r="DV1387" s="4" t="n"/>
      <c r="DW1387" s="4" t="n"/>
      <c r="DX1387" s="4" t="n"/>
      <c r="DY1387" s="4" t="n"/>
      <c r="DZ1387" s="4" t="n"/>
      <c r="EA1387" s="4" t="n"/>
      <c r="EB1387" s="4" t="n"/>
      <c r="EC1387" s="4" t="n"/>
      <c r="ED1387" s="4" t="n"/>
      <c r="EE1387" s="4" t="n"/>
      <c r="EF1387" s="4" t="n"/>
      <c r="EG1387" s="4" t="n"/>
      <c r="EH1387" s="4" t="n"/>
      <c r="EI1387" s="4" t="n"/>
      <c r="EJ1387" s="4" t="n"/>
      <c r="EK1387" s="4" t="n"/>
      <c r="EL1387" s="4" t="n"/>
      <c r="EM1387" s="4" t="n"/>
      <c r="EN1387" s="4" t="n"/>
      <c r="EO1387" s="4" t="n"/>
      <c r="EP1387" s="4" t="n"/>
      <c r="EQ1387" s="4" t="n"/>
      <c r="ER1387" s="4" t="n"/>
      <c r="ES1387" s="4" t="n"/>
      <c r="ET1387" s="4" t="n"/>
      <c r="EU1387" s="4" t="n"/>
      <c r="EV1387" s="4" t="n"/>
      <c r="EW1387" s="4" t="n"/>
      <c r="EX1387" s="4" t="n"/>
      <c r="EY1387" s="4" t="n"/>
      <c r="EZ1387" s="4" t="n"/>
      <c r="FA1387" s="4" t="n"/>
      <c r="FB1387" s="4" t="n"/>
      <c r="FC1387" s="4" t="n"/>
    </row>
    <row r="1388" hidden="1" customFormat="1" s="6">
      <c r="C1388" s="4" t="n"/>
      <c r="D1388" s="4" t="n"/>
      <c r="E1388" s="4" t="n"/>
      <c r="F1388" s="4" t="n"/>
      <c r="G1388" s="4" t="n"/>
      <c r="H1388" s="4" t="n"/>
      <c r="I1388" s="4" t="n"/>
      <c r="J1388" s="4" t="n"/>
      <c r="K1388" s="4" t="n"/>
      <c r="L1388" s="4" t="n"/>
      <c r="M1388" s="4" t="n"/>
      <c r="N1388" s="4" t="n"/>
      <c r="O1388" s="4" t="n"/>
      <c r="P1388" s="4" t="n"/>
      <c r="Q1388" s="4" t="n"/>
      <c r="R1388" s="4" t="n"/>
      <c r="S1388" s="4" t="n"/>
      <c r="T1388" s="4" t="n"/>
      <c r="U1388" s="4" t="n"/>
      <c r="V1388" s="4" t="n"/>
      <c r="W1388" s="4" t="n"/>
      <c r="X1388" s="4" t="n"/>
      <c r="Y1388" s="4" t="n"/>
      <c r="Z1388" s="4" t="n"/>
      <c r="AA1388" s="4" t="n"/>
      <c r="AB1388" s="4" t="n"/>
      <c r="AC1388" s="4" t="n"/>
      <c r="AD1388" s="4" t="n"/>
      <c r="AE1388" s="4" t="n"/>
      <c r="AF1388" s="4" t="n"/>
      <c r="AG1388" s="4" t="n"/>
      <c r="AH1388" s="4" t="n"/>
      <c r="AI1388" s="4" t="n"/>
      <c r="AJ1388" s="4" t="n"/>
      <c r="AK1388" s="4" t="n"/>
      <c r="AL1388" s="4" t="n"/>
      <c r="AM1388" s="4" t="n"/>
      <c r="AN1388" s="4" t="n"/>
      <c r="AO1388" s="4" t="n"/>
      <c r="AP1388" s="4" t="n"/>
      <c r="AQ1388" s="4" t="n"/>
      <c r="AR1388" s="4" t="n"/>
      <c r="AS1388" s="4" t="n"/>
      <c r="AT1388" s="4" t="n"/>
      <c r="AU1388" s="4" t="n"/>
      <c r="AV1388" s="4" t="n"/>
      <c r="AW1388" s="4" t="n"/>
      <c r="AX1388" s="4" t="n"/>
      <c r="AY1388" s="4" t="n"/>
      <c r="AZ1388" s="4" t="n"/>
      <c r="BA1388" s="4" t="n"/>
      <c r="BB1388" s="4" t="n"/>
      <c r="BC1388" s="4" t="n"/>
      <c r="BD1388" s="4" t="n"/>
      <c r="BE1388" s="4" t="n"/>
      <c r="BF1388" s="4" t="n"/>
      <c r="BG1388" s="4" t="n"/>
      <c r="BH1388" s="4" t="n"/>
      <c r="BI1388" s="4" t="n"/>
      <c r="BJ1388" s="4" t="n"/>
      <c r="BK1388" s="4" t="n"/>
      <c r="BL1388" s="4" t="n"/>
      <c r="BM1388" s="4" t="n"/>
      <c r="BN1388" s="4" t="n"/>
      <c r="BO1388" s="4" t="n"/>
      <c r="BP1388" s="4" t="n"/>
      <c r="BQ1388" s="4" t="n"/>
      <c r="BR1388" s="4" t="n"/>
      <c r="BS1388" s="4" t="n"/>
      <c r="BT1388" s="4" t="n"/>
      <c r="BU1388" s="4" t="n"/>
      <c r="BV1388" s="4" t="n"/>
      <c r="BW1388" s="4" t="n"/>
      <c r="BX1388" s="4" t="n"/>
      <c r="BY1388" s="4" t="n"/>
      <c r="BZ1388" s="4" t="n"/>
      <c r="CA1388" s="4" t="n"/>
      <c r="CB1388" s="4" t="n"/>
      <c r="CC1388" s="4" t="n"/>
      <c r="CD1388" s="4" t="n"/>
      <c r="CE1388" s="4" t="n"/>
      <c r="CF1388" s="4" t="n"/>
      <c r="CG1388" s="4" t="n"/>
      <c r="CH1388" s="4" t="n"/>
      <c r="CI1388" s="4" t="n"/>
      <c r="CJ1388" s="4" t="n"/>
      <c r="CK1388" s="4" t="n"/>
      <c r="CL1388" s="4" t="n"/>
      <c r="CM1388" s="4" t="n"/>
      <c r="CN1388" s="4" t="n"/>
      <c r="CO1388" s="4" t="n"/>
      <c r="CP1388" s="4" t="n"/>
      <c r="CQ1388" s="4" t="n"/>
      <c r="CR1388" s="4" t="n"/>
      <c r="CS1388" s="4" t="n"/>
      <c r="CT1388" s="4" t="n"/>
      <c r="CU1388" s="4" t="n"/>
      <c r="CV1388" s="4" t="n"/>
      <c r="CW1388" s="4" t="n"/>
      <c r="CX1388" s="4" t="n"/>
      <c r="CY1388" s="4" t="n"/>
      <c r="CZ1388" s="4" t="n"/>
      <c r="DA1388" s="4" t="n"/>
      <c r="DB1388" s="4" t="n"/>
      <c r="DC1388" s="4" t="n"/>
      <c r="DD1388" s="4" t="n"/>
      <c r="DE1388" s="4" t="n"/>
      <c r="DF1388" s="4" t="n"/>
      <c r="DG1388" s="4" t="n"/>
      <c r="DH1388" s="4" t="n"/>
      <c r="DI1388" s="4" t="n"/>
      <c r="DJ1388" s="4" t="n"/>
      <c r="DK1388" s="4" t="n"/>
      <c r="DL1388" s="4" t="n"/>
      <c r="DM1388" s="4" t="n"/>
      <c r="DN1388" s="4" t="n"/>
      <c r="DO1388" s="4" t="n"/>
      <c r="DP1388" s="4" t="n"/>
      <c r="DQ1388" s="4" t="n"/>
      <c r="DR1388" s="4" t="n"/>
      <c r="DS1388" s="4" t="n"/>
      <c r="DT1388" s="4" t="n"/>
      <c r="DU1388" s="4" t="n"/>
      <c r="DV1388" s="4" t="n"/>
      <c r="DW1388" s="4" t="n"/>
      <c r="DX1388" s="4" t="n"/>
      <c r="DY1388" s="4" t="n"/>
      <c r="DZ1388" s="4" t="n"/>
      <c r="EA1388" s="4" t="n"/>
      <c r="EB1388" s="4" t="n"/>
      <c r="EC1388" s="4" t="n"/>
      <c r="ED1388" s="4" t="n"/>
      <c r="EE1388" s="4" t="n"/>
      <c r="EF1388" s="4" t="n"/>
      <c r="EG1388" s="4" t="n"/>
      <c r="EH1388" s="4" t="n"/>
      <c r="EI1388" s="4" t="n"/>
      <c r="EJ1388" s="4" t="n"/>
      <c r="EK1388" s="4" t="n"/>
      <c r="EL1388" s="4" t="n"/>
      <c r="EM1388" s="4" t="n"/>
      <c r="EN1388" s="4" t="n"/>
      <c r="EO1388" s="4" t="n"/>
      <c r="EP1388" s="4" t="n"/>
      <c r="EQ1388" s="4" t="n"/>
      <c r="ER1388" s="4" t="n"/>
      <c r="ES1388" s="4" t="n"/>
      <c r="ET1388" s="4" t="n"/>
      <c r="EU1388" s="4" t="n"/>
      <c r="EV1388" s="4" t="n"/>
      <c r="EW1388" s="4" t="n"/>
      <c r="EX1388" s="4" t="n"/>
      <c r="EY1388" s="4" t="n"/>
      <c r="EZ1388" s="4" t="n"/>
      <c r="FA1388" s="4" t="n"/>
      <c r="FB1388" s="4" t="n"/>
      <c r="FC1388" s="4" t="n"/>
    </row>
    <row r="1389" hidden="1" customFormat="1" s="6">
      <c r="C1389" s="4" t="n"/>
      <c r="D1389" s="4" t="n"/>
      <c r="E1389" s="4" t="n"/>
      <c r="F1389" s="4" t="n"/>
      <c r="G1389" s="4" t="n"/>
      <c r="H1389" s="4" t="n"/>
      <c r="I1389" s="4" t="n"/>
      <c r="J1389" s="4" t="n"/>
      <c r="K1389" s="4" t="n"/>
      <c r="L1389" s="4" t="n"/>
      <c r="M1389" s="4" t="n"/>
      <c r="N1389" s="4" t="n"/>
      <c r="O1389" s="4" t="n"/>
      <c r="P1389" s="4" t="n"/>
      <c r="Q1389" s="4" t="n"/>
      <c r="R1389" s="4" t="n"/>
      <c r="S1389" s="4" t="n"/>
      <c r="T1389" s="4" t="n"/>
      <c r="U1389" s="4" t="n"/>
      <c r="V1389" s="4" t="n"/>
      <c r="W1389" s="4" t="n"/>
      <c r="X1389" s="4" t="n"/>
      <c r="Y1389" s="4" t="n"/>
      <c r="Z1389" s="4" t="n"/>
      <c r="AA1389" s="4" t="n"/>
      <c r="AB1389" s="4" t="n"/>
      <c r="AC1389" s="4" t="n"/>
      <c r="AD1389" s="4" t="n"/>
      <c r="AE1389" s="4" t="n"/>
      <c r="AF1389" s="4" t="n"/>
      <c r="AG1389" s="4" t="n"/>
      <c r="AH1389" s="4" t="n"/>
      <c r="AI1389" s="4" t="n"/>
      <c r="AJ1389" s="4" t="n"/>
      <c r="AK1389" s="4" t="n"/>
      <c r="AL1389" s="4" t="n"/>
      <c r="AM1389" s="4" t="n"/>
      <c r="AN1389" s="4" t="n"/>
      <c r="AO1389" s="4" t="n"/>
      <c r="AP1389" s="4" t="n"/>
      <c r="AQ1389" s="4" t="n"/>
      <c r="AR1389" s="4" t="n"/>
      <c r="AS1389" s="4" t="n"/>
      <c r="AT1389" s="4" t="n"/>
      <c r="AU1389" s="4" t="n"/>
      <c r="AV1389" s="4" t="n"/>
      <c r="AW1389" s="4" t="n"/>
      <c r="AX1389" s="4" t="n"/>
      <c r="AY1389" s="4" t="n"/>
      <c r="AZ1389" s="4" t="n"/>
      <c r="BA1389" s="4" t="n"/>
      <c r="BB1389" s="4" t="n"/>
      <c r="BC1389" s="4" t="n"/>
      <c r="BD1389" s="4" t="n"/>
      <c r="BE1389" s="4" t="n"/>
      <c r="BF1389" s="4" t="n"/>
      <c r="BG1389" s="4" t="n"/>
      <c r="BH1389" s="4" t="n"/>
      <c r="BI1389" s="4" t="n"/>
      <c r="BJ1389" s="4" t="n"/>
      <c r="BK1389" s="4" t="n"/>
      <c r="BL1389" s="4" t="n"/>
      <c r="BM1389" s="4" t="n"/>
      <c r="BN1389" s="4" t="n"/>
      <c r="BO1389" s="4" t="n"/>
      <c r="BP1389" s="4" t="n"/>
      <c r="BQ1389" s="4" t="n"/>
      <c r="BR1389" s="4" t="n"/>
      <c r="BS1389" s="4" t="n"/>
      <c r="BT1389" s="4" t="n"/>
      <c r="BU1389" s="4" t="n"/>
      <c r="BV1389" s="4" t="n"/>
      <c r="BW1389" s="4" t="n"/>
      <c r="BX1389" s="4" t="n"/>
      <c r="BY1389" s="4" t="n"/>
      <c r="BZ1389" s="4" t="n"/>
      <c r="CA1389" s="4" t="n"/>
      <c r="CB1389" s="4" t="n"/>
      <c r="CC1389" s="4" t="n"/>
      <c r="CD1389" s="4" t="n"/>
      <c r="CE1389" s="4" t="n"/>
      <c r="CF1389" s="4" t="n"/>
      <c r="CG1389" s="4" t="n"/>
      <c r="CH1389" s="4" t="n"/>
      <c r="CI1389" s="4" t="n"/>
      <c r="CJ1389" s="4" t="n"/>
      <c r="CK1389" s="4" t="n"/>
      <c r="CL1389" s="4" t="n"/>
      <c r="CM1389" s="4" t="n"/>
      <c r="CN1389" s="4" t="n"/>
      <c r="CO1389" s="4" t="n"/>
      <c r="CP1389" s="4" t="n"/>
      <c r="CQ1389" s="4" t="n"/>
      <c r="CR1389" s="4" t="n"/>
      <c r="CS1389" s="4" t="n"/>
      <c r="CT1389" s="4" t="n"/>
      <c r="CU1389" s="4" t="n"/>
      <c r="CV1389" s="4" t="n"/>
      <c r="CW1389" s="4" t="n"/>
      <c r="CX1389" s="4" t="n"/>
      <c r="CY1389" s="4" t="n"/>
      <c r="CZ1389" s="4" t="n"/>
      <c r="DA1389" s="4" t="n"/>
      <c r="DB1389" s="4" t="n"/>
      <c r="DC1389" s="4" t="n"/>
      <c r="DD1389" s="4" t="n"/>
      <c r="DE1389" s="4" t="n"/>
      <c r="DF1389" s="4" t="n"/>
      <c r="DG1389" s="4" t="n"/>
      <c r="DH1389" s="4" t="n"/>
      <c r="DI1389" s="4" t="n"/>
      <c r="DJ1389" s="4" t="n"/>
      <c r="DK1389" s="4" t="n"/>
      <c r="DL1389" s="4" t="n"/>
      <c r="DM1389" s="4" t="n"/>
      <c r="DN1389" s="4" t="n"/>
      <c r="DO1389" s="4" t="n"/>
      <c r="DP1389" s="4" t="n"/>
      <c r="DQ1389" s="4" t="n"/>
      <c r="DR1389" s="4" t="n"/>
      <c r="DS1389" s="4" t="n"/>
      <c r="DT1389" s="4" t="n"/>
      <c r="DU1389" s="4" t="n"/>
      <c r="DV1389" s="4" t="n"/>
      <c r="DW1389" s="4" t="n"/>
      <c r="DX1389" s="4" t="n"/>
      <c r="DY1389" s="4" t="n"/>
      <c r="DZ1389" s="4" t="n"/>
      <c r="EA1389" s="4" t="n"/>
      <c r="EB1389" s="4" t="n"/>
      <c r="EC1389" s="4" t="n"/>
      <c r="ED1389" s="4" t="n"/>
      <c r="EE1389" s="4" t="n"/>
      <c r="EF1389" s="4" t="n"/>
      <c r="EG1389" s="4" t="n"/>
      <c r="EH1389" s="4" t="n"/>
      <c r="EI1389" s="4" t="n"/>
      <c r="EJ1389" s="4" t="n"/>
      <c r="EK1389" s="4" t="n"/>
      <c r="EL1389" s="4" t="n"/>
      <c r="EM1389" s="4" t="n"/>
      <c r="EN1389" s="4" t="n"/>
      <c r="EO1389" s="4" t="n"/>
      <c r="EP1389" s="4" t="n"/>
      <c r="EQ1389" s="4" t="n"/>
      <c r="ER1389" s="4" t="n"/>
      <c r="ES1389" s="4" t="n"/>
      <c r="ET1389" s="4" t="n"/>
      <c r="EU1389" s="4" t="n"/>
      <c r="EV1389" s="4" t="n"/>
      <c r="EW1389" s="4" t="n"/>
      <c r="EX1389" s="4" t="n"/>
      <c r="EY1389" s="4" t="n"/>
      <c r="EZ1389" s="4" t="n"/>
      <c r="FA1389" s="4" t="n"/>
      <c r="FB1389" s="4" t="n"/>
      <c r="FC1389" s="4" t="n"/>
    </row>
    <row r="1390" hidden="1" customFormat="1" s="6">
      <c r="C1390" s="4" t="n"/>
      <c r="D1390" s="4" t="n"/>
      <c r="E1390" s="4" t="n"/>
      <c r="F1390" s="4" t="n"/>
      <c r="G1390" s="4" t="n"/>
      <c r="H1390" s="4" t="n"/>
      <c r="I1390" s="4" t="n"/>
      <c r="J1390" s="4" t="n"/>
      <c r="K1390" s="4" t="n"/>
      <c r="L1390" s="4" t="n"/>
      <c r="M1390" s="4" t="n"/>
      <c r="N1390" s="4" t="n"/>
      <c r="O1390" s="4" t="n"/>
      <c r="P1390" s="4" t="n"/>
      <c r="Q1390" s="4" t="n"/>
      <c r="R1390" s="4" t="n"/>
      <c r="S1390" s="4" t="n"/>
      <c r="T1390" s="4" t="n"/>
      <c r="U1390" s="4" t="n"/>
      <c r="V1390" s="4" t="n"/>
      <c r="W1390" s="4" t="n"/>
      <c r="X1390" s="4" t="n"/>
      <c r="Y1390" s="4" t="n"/>
      <c r="Z1390" s="4" t="n"/>
      <c r="AA1390" s="4" t="n"/>
      <c r="AB1390" s="4" t="n"/>
      <c r="AC1390" s="4" t="n"/>
      <c r="AD1390" s="4" t="n"/>
      <c r="AE1390" s="4" t="n"/>
      <c r="AF1390" s="4" t="n"/>
      <c r="AG1390" s="4" t="n"/>
      <c r="AH1390" s="4" t="n"/>
      <c r="AI1390" s="4" t="n"/>
      <c r="AJ1390" s="4" t="n"/>
      <c r="AK1390" s="4" t="n"/>
      <c r="AL1390" s="4" t="n"/>
      <c r="AM1390" s="4" t="n"/>
      <c r="AN1390" s="4" t="n"/>
      <c r="AO1390" s="4" t="n"/>
      <c r="AP1390" s="4" t="n"/>
      <c r="AQ1390" s="4" t="n"/>
      <c r="AR1390" s="4" t="n"/>
      <c r="AS1390" s="4" t="n"/>
      <c r="AT1390" s="4" t="n"/>
      <c r="AU1390" s="4" t="n"/>
      <c r="AV1390" s="4" t="n"/>
      <c r="AW1390" s="4" t="n"/>
      <c r="AX1390" s="4" t="n"/>
      <c r="AY1390" s="4" t="n"/>
      <c r="AZ1390" s="4" t="n"/>
      <c r="BA1390" s="4" t="n"/>
      <c r="BB1390" s="4" t="n"/>
      <c r="BC1390" s="4" t="n"/>
      <c r="BD1390" s="4" t="n"/>
      <c r="BE1390" s="4" t="n"/>
      <c r="BF1390" s="4" t="n"/>
      <c r="BG1390" s="4" t="n"/>
      <c r="BH1390" s="4" t="n"/>
      <c r="BI1390" s="4" t="n"/>
      <c r="BJ1390" s="4" t="n"/>
      <c r="BK1390" s="4" t="n"/>
      <c r="BL1390" s="4" t="n"/>
      <c r="BM1390" s="4" t="n"/>
      <c r="BN1390" s="4" t="n"/>
      <c r="BO1390" s="4" t="n"/>
      <c r="BP1390" s="4" t="n"/>
      <c r="BQ1390" s="4" t="n"/>
      <c r="BR1390" s="4" t="n"/>
      <c r="BS1390" s="4" t="n"/>
      <c r="BT1390" s="4" t="n"/>
      <c r="BU1390" s="4" t="n"/>
      <c r="BV1390" s="4" t="n"/>
      <c r="BW1390" s="4" t="n"/>
      <c r="BX1390" s="4" t="n"/>
      <c r="BY1390" s="4" t="n"/>
      <c r="BZ1390" s="4" t="n"/>
      <c r="CA1390" s="4" t="n"/>
      <c r="CB1390" s="4" t="n"/>
      <c r="CC1390" s="4" t="n"/>
      <c r="CD1390" s="4" t="n"/>
      <c r="CE1390" s="4" t="n"/>
      <c r="CF1390" s="4" t="n"/>
      <c r="CG1390" s="4" t="n"/>
      <c r="CH1390" s="4" t="n"/>
      <c r="CI1390" s="4" t="n"/>
      <c r="CJ1390" s="4" t="n"/>
      <c r="CK1390" s="4" t="n"/>
      <c r="CL1390" s="4" t="n"/>
      <c r="CM1390" s="4" t="n"/>
      <c r="CN1390" s="4" t="n"/>
      <c r="CO1390" s="4" t="n"/>
      <c r="CP1390" s="4" t="n"/>
      <c r="CQ1390" s="4" t="n"/>
      <c r="CR1390" s="4" t="n"/>
      <c r="CS1390" s="4" t="n"/>
      <c r="CT1390" s="4" t="n"/>
      <c r="CU1390" s="4" t="n"/>
      <c r="CV1390" s="4" t="n"/>
      <c r="CW1390" s="4" t="n"/>
      <c r="CX1390" s="4" t="n"/>
      <c r="CY1390" s="4" t="n"/>
      <c r="CZ1390" s="4" t="n"/>
      <c r="DA1390" s="4" t="n"/>
      <c r="DB1390" s="4" t="n"/>
      <c r="DC1390" s="4" t="n"/>
      <c r="DD1390" s="4" t="n"/>
      <c r="DE1390" s="4" t="n"/>
      <c r="DF1390" s="4" t="n"/>
      <c r="DG1390" s="4" t="n"/>
      <c r="DH1390" s="4" t="n"/>
      <c r="DI1390" s="4" t="n"/>
      <c r="DJ1390" s="4" t="n"/>
      <c r="DK1390" s="4" t="n"/>
      <c r="DL1390" s="4" t="n"/>
      <c r="DM1390" s="4" t="n"/>
      <c r="DN1390" s="4" t="n"/>
      <c r="DO1390" s="4" t="n"/>
      <c r="DP1390" s="4" t="n"/>
      <c r="DQ1390" s="4" t="n"/>
      <c r="DR1390" s="4" t="n"/>
      <c r="DS1390" s="4" t="n"/>
      <c r="DT1390" s="4" t="n"/>
      <c r="DU1390" s="4" t="n"/>
      <c r="DV1390" s="4" t="n"/>
      <c r="DW1390" s="4" t="n"/>
      <c r="DX1390" s="4" t="n"/>
      <c r="DY1390" s="4" t="n"/>
      <c r="DZ1390" s="4" t="n"/>
      <c r="EA1390" s="4" t="n"/>
      <c r="EB1390" s="4" t="n"/>
      <c r="EC1390" s="4" t="n"/>
      <c r="ED1390" s="4" t="n"/>
      <c r="EE1390" s="4" t="n"/>
      <c r="EF1390" s="4" t="n"/>
      <c r="EG1390" s="4" t="n"/>
      <c r="EH1390" s="4" t="n"/>
      <c r="EI1390" s="4" t="n"/>
      <c r="EJ1390" s="4" t="n"/>
      <c r="EK1390" s="4" t="n"/>
      <c r="EL1390" s="4" t="n"/>
      <c r="EM1390" s="4" t="n"/>
      <c r="EN1390" s="4" t="n"/>
      <c r="EO1390" s="4" t="n"/>
      <c r="EP1390" s="4" t="n"/>
      <c r="EQ1390" s="4" t="n"/>
      <c r="ER1390" s="4" t="n"/>
      <c r="ES1390" s="4" t="n"/>
      <c r="ET1390" s="4" t="n"/>
      <c r="EU1390" s="4" t="n"/>
      <c r="EV1390" s="4" t="n"/>
      <c r="EW1390" s="4" t="n"/>
      <c r="EX1390" s="4" t="n"/>
      <c r="EY1390" s="4" t="n"/>
      <c r="EZ1390" s="4" t="n"/>
      <c r="FA1390" s="4" t="n"/>
      <c r="FB1390" s="4" t="n"/>
      <c r="FC1390" s="4" t="n"/>
    </row>
    <row r="1391" hidden="1" customFormat="1" s="6">
      <c r="C1391" s="4" t="n"/>
      <c r="D1391" s="4" t="n"/>
      <c r="E1391" s="4" t="n"/>
      <c r="F1391" s="4" t="n"/>
      <c r="G1391" s="4" t="n"/>
      <c r="H1391" s="4" t="n"/>
      <c r="I1391" s="4" t="n"/>
      <c r="J1391" s="4" t="n"/>
      <c r="K1391" s="4" t="n"/>
      <c r="L1391" s="4" t="n"/>
      <c r="M1391" s="4" t="n"/>
      <c r="N1391" s="4" t="n"/>
      <c r="O1391" s="4" t="n"/>
      <c r="P1391" s="4" t="n"/>
      <c r="Q1391" s="4" t="n"/>
      <c r="R1391" s="4" t="n"/>
      <c r="S1391" s="4" t="n"/>
      <c r="T1391" s="4" t="n"/>
      <c r="U1391" s="4" t="n"/>
      <c r="V1391" s="4" t="n"/>
      <c r="W1391" s="4" t="n"/>
      <c r="X1391" s="4" t="n"/>
      <c r="Y1391" s="4" t="n"/>
      <c r="Z1391" s="4" t="n"/>
      <c r="AA1391" s="4" t="n"/>
      <c r="AB1391" s="4" t="n"/>
      <c r="AC1391" s="4" t="n"/>
      <c r="AD1391" s="4" t="n"/>
      <c r="AE1391" s="4" t="n"/>
      <c r="AF1391" s="4" t="n"/>
      <c r="AG1391" s="4" t="n"/>
      <c r="AH1391" s="4" t="n"/>
      <c r="AI1391" s="4" t="n"/>
      <c r="AJ1391" s="4" t="n"/>
      <c r="AK1391" s="4" t="n"/>
      <c r="AL1391" s="4" t="n"/>
      <c r="AM1391" s="4" t="n"/>
      <c r="AN1391" s="4" t="n"/>
      <c r="AO1391" s="4" t="n"/>
      <c r="AP1391" s="4" t="n"/>
      <c r="AQ1391" s="4" t="n"/>
      <c r="AR1391" s="4" t="n"/>
      <c r="AS1391" s="4" t="n"/>
      <c r="AT1391" s="4" t="n"/>
      <c r="AU1391" s="4" t="n"/>
      <c r="AV1391" s="4" t="n"/>
      <c r="AW1391" s="4" t="n"/>
      <c r="AX1391" s="4" t="n"/>
      <c r="AY1391" s="4" t="n"/>
      <c r="AZ1391" s="4" t="n"/>
      <c r="BA1391" s="4" t="n"/>
      <c r="BB1391" s="4" t="n"/>
      <c r="BC1391" s="4" t="n"/>
      <c r="BD1391" s="4" t="n"/>
      <c r="BE1391" s="4" t="n"/>
      <c r="BF1391" s="4" t="n"/>
      <c r="BG1391" s="4" t="n"/>
      <c r="BH1391" s="4" t="n"/>
      <c r="BI1391" s="4" t="n"/>
      <c r="BJ1391" s="4" t="n"/>
      <c r="BK1391" s="4" t="n"/>
      <c r="BL1391" s="4" t="n"/>
      <c r="BM1391" s="4" t="n"/>
      <c r="BN1391" s="4" t="n"/>
      <c r="BO1391" s="4" t="n"/>
      <c r="BP1391" s="4" t="n"/>
      <c r="BQ1391" s="4" t="n"/>
      <c r="BR1391" s="4" t="n"/>
      <c r="BS1391" s="4" t="n"/>
      <c r="BT1391" s="4" t="n"/>
      <c r="BU1391" s="4" t="n"/>
      <c r="BV1391" s="4" t="n"/>
      <c r="BW1391" s="4" t="n"/>
      <c r="BX1391" s="4" t="n"/>
      <c r="BY1391" s="4" t="n"/>
      <c r="BZ1391" s="4" t="n"/>
      <c r="CA1391" s="4" t="n"/>
      <c r="CB1391" s="4" t="n"/>
      <c r="CC1391" s="4" t="n"/>
      <c r="CD1391" s="4" t="n"/>
      <c r="CE1391" s="4" t="n"/>
      <c r="CF1391" s="4" t="n"/>
      <c r="CG1391" s="4" t="n"/>
      <c r="CH1391" s="4" t="n"/>
      <c r="CI1391" s="4" t="n"/>
      <c r="CJ1391" s="4" t="n"/>
      <c r="CK1391" s="4" t="n"/>
      <c r="CL1391" s="4" t="n"/>
      <c r="CM1391" s="4" t="n"/>
      <c r="CN1391" s="4" t="n"/>
      <c r="CO1391" s="4" t="n"/>
      <c r="CP1391" s="4" t="n"/>
      <c r="CQ1391" s="4" t="n"/>
      <c r="CR1391" s="4" t="n"/>
      <c r="CS1391" s="4" t="n"/>
      <c r="CT1391" s="4" t="n"/>
      <c r="CU1391" s="4" t="n"/>
      <c r="CV1391" s="4" t="n"/>
      <c r="CW1391" s="4" t="n"/>
      <c r="CX1391" s="4" t="n"/>
      <c r="CY1391" s="4" t="n"/>
      <c r="CZ1391" s="4" t="n"/>
      <c r="DA1391" s="4" t="n"/>
      <c r="DB1391" s="4" t="n"/>
      <c r="DC1391" s="4" t="n"/>
      <c r="DD1391" s="4" t="n"/>
      <c r="DE1391" s="4" t="n"/>
      <c r="DF1391" s="4" t="n"/>
      <c r="DG1391" s="4" t="n"/>
      <c r="DH1391" s="4" t="n"/>
      <c r="DI1391" s="4" t="n"/>
      <c r="DJ1391" s="4" t="n"/>
      <c r="DK1391" s="4" t="n"/>
      <c r="DL1391" s="4" t="n"/>
      <c r="DM1391" s="4" t="n"/>
      <c r="DN1391" s="4" t="n"/>
      <c r="DO1391" s="4" t="n"/>
      <c r="DP1391" s="4" t="n"/>
      <c r="DQ1391" s="4" t="n"/>
      <c r="DR1391" s="4" t="n"/>
      <c r="DS1391" s="4" t="n"/>
      <c r="DT1391" s="4" t="n"/>
      <c r="DU1391" s="4" t="n"/>
      <c r="DV1391" s="4" t="n"/>
      <c r="DW1391" s="4" t="n"/>
      <c r="DX1391" s="4" t="n"/>
      <c r="DY1391" s="4" t="n"/>
      <c r="DZ1391" s="4" t="n"/>
      <c r="EA1391" s="4" t="n"/>
      <c r="EB1391" s="4" t="n"/>
      <c r="EC1391" s="4" t="n"/>
      <c r="ED1391" s="4" t="n"/>
      <c r="EE1391" s="4" t="n"/>
      <c r="EF1391" s="4" t="n"/>
      <c r="EG1391" s="4" t="n"/>
      <c r="EH1391" s="4" t="n"/>
      <c r="EI1391" s="4" t="n"/>
      <c r="EJ1391" s="4" t="n"/>
      <c r="EK1391" s="4" t="n"/>
      <c r="EL1391" s="4" t="n"/>
      <c r="EM1391" s="4" t="n"/>
      <c r="EN1391" s="4" t="n"/>
      <c r="EO1391" s="4" t="n"/>
      <c r="EP1391" s="4" t="n"/>
      <c r="EQ1391" s="4" t="n"/>
      <c r="ER1391" s="4" t="n"/>
      <c r="ES1391" s="4" t="n"/>
      <c r="ET1391" s="4" t="n"/>
      <c r="EU1391" s="4" t="n"/>
      <c r="EV1391" s="4" t="n"/>
      <c r="EW1391" s="4" t="n"/>
      <c r="EX1391" s="4" t="n"/>
      <c r="EY1391" s="4" t="n"/>
      <c r="EZ1391" s="4" t="n"/>
      <c r="FA1391" s="4" t="n"/>
      <c r="FB1391" s="4" t="n"/>
      <c r="FC1391" s="4" t="n"/>
    </row>
    <row r="1392" hidden="1" customFormat="1" s="6">
      <c r="C1392" s="4" t="n"/>
      <c r="D1392" s="4" t="n"/>
      <c r="E1392" s="4" t="n"/>
      <c r="F1392" s="4" t="n"/>
      <c r="G1392" s="4" t="n"/>
      <c r="H1392" s="4" t="n"/>
      <c r="I1392" s="4" t="n"/>
      <c r="J1392" s="4" t="n"/>
      <c r="K1392" s="4" t="n"/>
      <c r="L1392" s="4" t="n"/>
      <c r="M1392" s="4" t="n"/>
      <c r="N1392" s="4" t="n"/>
      <c r="O1392" s="4" t="n"/>
      <c r="P1392" s="4" t="n"/>
      <c r="Q1392" s="4" t="n"/>
      <c r="R1392" s="4" t="n"/>
      <c r="S1392" s="4" t="n"/>
      <c r="T1392" s="4" t="n"/>
      <c r="U1392" s="4" t="n"/>
      <c r="V1392" s="4" t="n"/>
      <c r="W1392" s="4" t="n"/>
      <c r="X1392" s="4" t="n"/>
      <c r="Y1392" s="4" t="n"/>
      <c r="Z1392" s="4" t="n"/>
      <c r="AA1392" s="4" t="n"/>
      <c r="AB1392" s="4" t="n"/>
      <c r="AC1392" s="4" t="n"/>
      <c r="AD1392" s="4" t="n"/>
      <c r="AE1392" s="4" t="n"/>
      <c r="AF1392" s="4" t="n"/>
      <c r="AG1392" s="4" t="n"/>
      <c r="AH1392" s="4" t="n"/>
      <c r="AI1392" s="4" t="n"/>
      <c r="AJ1392" s="4" t="n"/>
      <c r="AK1392" s="4" t="n"/>
      <c r="AL1392" s="4" t="n"/>
      <c r="AM1392" s="4" t="n"/>
      <c r="AN1392" s="4" t="n"/>
      <c r="AO1392" s="4" t="n"/>
      <c r="AP1392" s="4" t="n"/>
      <c r="AQ1392" s="4" t="n"/>
      <c r="AR1392" s="4" t="n"/>
      <c r="AS1392" s="4" t="n"/>
      <c r="AT1392" s="4" t="n"/>
      <c r="AU1392" s="4" t="n"/>
      <c r="AV1392" s="4" t="n"/>
      <c r="AW1392" s="4" t="n"/>
      <c r="AX1392" s="4" t="n"/>
      <c r="AY1392" s="4" t="n"/>
      <c r="AZ1392" s="4" t="n"/>
      <c r="BA1392" s="4" t="n"/>
      <c r="BB1392" s="4" t="n"/>
      <c r="BC1392" s="4" t="n"/>
      <c r="BD1392" s="4" t="n"/>
      <c r="BE1392" s="4" t="n"/>
      <c r="BF1392" s="4" t="n"/>
      <c r="BG1392" s="4" t="n"/>
      <c r="BH1392" s="4" t="n"/>
      <c r="BI1392" s="4" t="n"/>
      <c r="BJ1392" s="4" t="n"/>
      <c r="BK1392" s="4" t="n"/>
      <c r="BL1392" s="4" t="n"/>
      <c r="BM1392" s="4" t="n"/>
      <c r="BN1392" s="4" t="n"/>
      <c r="BO1392" s="4" t="n"/>
      <c r="BP1392" s="4" t="n"/>
      <c r="BQ1392" s="4" t="n"/>
      <c r="BR1392" s="4" t="n"/>
      <c r="BS1392" s="4" t="n"/>
      <c r="BT1392" s="4" t="n"/>
      <c r="BU1392" s="4" t="n"/>
      <c r="BV1392" s="4" t="n"/>
      <c r="BW1392" s="4" t="n"/>
      <c r="BX1392" s="4" t="n"/>
      <c r="BY1392" s="4" t="n"/>
      <c r="BZ1392" s="4" t="n"/>
      <c r="CA1392" s="4" t="n"/>
      <c r="CB1392" s="4" t="n"/>
      <c r="CC1392" s="4" t="n"/>
      <c r="CD1392" s="4" t="n"/>
      <c r="CE1392" s="4" t="n"/>
      <c r="CF1392" s="4" t="n"/>
      <c r="CG1392" s="4" t="n"/>
      <c r="CH1392" s="4" t="n"/>
      <c r="CI1392" s="4" t="n"/>
      <c r="CJ1392" s="4" t="n"/>
      <c r="CK1392" s="4" t="n"/>
      <c r="CL1392" s="4" t="n"/>
      <c r="CM1392" s="4" t="n"/>
      <c r="CN1392" s="4" t="n"/>
      <c r="CO1392" s="4" t="n"/>
      <c r="CP1392" s="4" t="n"/>
      <c r="CQ1392" s="4" t="n"/>
      <c r="CR1392" s="4" t="n"/>
      <c r="CS1392" s="4" t="n"/>
      <c r="CT1392" s="4" t="n"/>
      <c r="CU1392" s="4" t="n"/>
      <c r="CV1392" s="4" t="n"/>
      <c r="CW1392" s="4" t="n"/>
      <c r="CX1392" s="4" t="n"/>
      <c r="CY1392" s="4" t="n"/>
      <c r="CZ1392" s="4" t="n"/>
      <c r="DA1392" s="4" t="n"/>
      <c r="DB1392" s="4" t="n"/>
      <c r="DC1392" s="4" t="n"/>
      <c r="DD1392" s="4" t="n"/>
      <c r="DE1392" s="4" t="n"/>
      <c r="DF1392" s="4" t="n"/>
      <c r="DG1392" s="4" t="n"/>
      <c r="DH1392" s="4" t="n"/>
      <c r="DI1392" s="4" t="n"/>
      <c r="DJ1392" s="4" t="n"/>
      <c r="DK1392" s="4" t="n"/>
      <c r="DL1392" s="4" t="n"/>
      <c r="DM1392" s="4" t="n"/>
      <c r="DN1392" s="4" t="n"/>
      <c r="DO1392" s="4" t="n"/>
      <c r="DP1392" s="4" t="n"/>
      <c r="DQ1392" s="4" t="n"/>
      <c r="DR1392" s="4" t="n"/>
      <c r="DS1392" s="4" t="n"/>
      <c r="DT1392" s="4" t="n"/>
      <c r="DU1392" s="4" t="n"/>
      <c r="DV1392" s="4" t="n"/>
      <c r="DW1392" s="4" t="n"/>
      <c r="DX1392" s="4" t="n"/>
      <c r="DY1392" s="4" t="n"/>
      <c r="DZ1392" s="4" t="n"/>
      <c r="EA1392" s="4" t="n"/>
      <c r="EB1392" s="4" t="n"/>
      <c r="EC1392" s="4" t="n"/>
      <c r="ED1392" s="4" t="n"/>
      <c r="EE1392" s="4" t="n"/>
      <c r="EF1392" s="4" t="n"/>
      <c r="EG1392" s="4" t="n"/>
      <c r="EH1392" s="4" t="n"/>
      <c r="EI1392" s="4" t="n"/>
      <c r="EJ1392" s="4" t="n"/>
      <c r="EK1392" s="4" t="n"/>
      <c r="EL1392" s="4" t="n"/>
      <c r="EM1392" s="4" t="n"/>
      <c r="EN1392" s="4" t="n"/>
      <c r="EO1392" s="4" t="n"/>
      <c r="EP1392" s="4" t="n"/>
      <c r="EQ1392" s="4" t="n"/>
      <c r="ER1392" s="4" t="n"/>
      <c r="ES1392" s="4" t="n"/>
      <c r="ET1392" s="4" t="n"/>
      <c r="EU1392" s="4" t="n"/>
      <c r="EV1392" s="4" t="n"/>
      <c r="EW1392" s="4" t="n"/>
      <c r="EX1392" s="4" t="n"/>
      <c r="EY1392" s="4" t="n"/>
      <c r="EZ1392" s="4" t="n"/>
      <c r="FA1392" s="4" t="n"/>
      <c r="FB1392" s="4" t="n"/>
      <c r="FC1392" s="4" t="n"/>
    </row>
    <row r="1393" hidden="1" customFormat="1" s="6">
      <c r="C1393" s="4" t="n"/>
      <c r="D1393" s="4" t="n"/>
      <c r="E1393" s="4" t="n"/>
      <c r="F1393" s="4" t="n"/>
      <c r="G1393" s="4" t="n"/>
      <c r="H1393" s="4" t="n"/>
      <c r="I1393" s="4" t="n"/>
      <c r="J1393" s="4" t="n"/>
      <c r="K1393" s="4" t="n"/>
      <c r="L1393" s="4" t="n"/>
      <c r="M1393" s="4" t="n"/>
      <c r="N1393" s="4" t="n"/>
      <c r="O1393" s="4" t="n"/>
      <c r="P1393" s="4" t="n"/>
      <c r="Q1393" s="4" t="n"/>
      <c r="R1393" s="4" t="n"/>
      <c r="S1393" s="4" t="n"/>
      <c r="T1393" s="4" t="n"/>
      <c r="U1393" s="4" t="n"/>
      <c r="V1393" s="4" t="n"/>
      <c r="W1393" s="4" t="n"/>
      <c r="X1393" s="4" t="n"/>
      <c r="Y1393" s="4" t="n"/>
      <c r="Z1393" s="4" t="n"/>
      <c r="AA1393" s="4" t="n"/>
      <c r="AB1393" s="4" t="n"/>
      <c r="AC1393" s="4" t="n"/>
      <c r="AD1393" s="4" t="n"/>
      <c r="AE1393" s="4" t="n"/>
      <c r="AF1393" s="4" t="n"/>
      <c r="AG1393" s="4" t="n"/>
      <c r="AH1393" s="4" t="n"/>
      <c r="AI1393" s="4" t="n"/>
      <c r="AJ1393" s="4" t="n"/>
      <c r="AK1393" s="4" t="n"/>
      <c r="AL1393" s="4" t="n"/>
      <c r="AM1393" s="4" t="n"/>
      <c r="AN1393" s="4" t="n"/>
      <c r="AO1393" s="4" t="n"/>
      <c r="AP1393" s="4" t="n"/>
      <c r="AQ1393" s="4" t="n"/>
      <c r="AR1393" s="4" t="n"/>
      <c r="AS1393" s="4" t="n"/>
      <c r="AT1393" s="4" t="n"/>
      <c r="AU1393" s="4" t="n"/>
      <c r="AV1393" s="4" t="n"/>
      <c r="AW1393" s="4" t="n"/>
      <c r="AX1393" s="4" t="n"/>
      <c r="AY1393" s="4" t="n"/>
      <c r="AZ1393" s="4" t="n"/>
      <c r="BA1393" s="4" t="n"/>
      <c r="BB1393" s="4" t="n"/>
      <c r="BC1393" s="4" t="n"/>
      <c r="BD1393" s="4" t="n"/>
      <c r="BE1393" s="4" t="n"/>
      <c r="BF1393" s="4" t="n"/>
      <c r="BG1393" s="4" t="n"/>
      <c r="BH1393" s="4" t="n"/>
      <c r="BI1393" s="4" t="n"/>
      <c r="BJ1393" s="4" t="n"/>
      <c r="BK1393" s="4" t="n"/>
      <c r="BL1393" s="4" t="n"/>
      <c r="BM1393" s="4" t="n"/>
      <c r="BN1393" s="4" t="n"/>
      <c r="BO1393" s="4" t="n"/>
      <c r="BP1393" s="4" t="n"/>
      <c r="BQ1393" s="4" t="n"/>
      <c r="BR1393" s="4" t="n"/>
      <c r="BS1393" s="4" t="n"/>
      <c r="BT1393" s="4" t="n"/>
      <c r="BU1393" s="4" t="n"/>
      <c r="BV1393" s="4" t="n"/>
      <c r="BW1393" s="4" t="n"/>
      <c r="BX1393" s="4" t="n"/>
      <c r="BY1393" s="4" t="n"/>
      <c r="BZ1393" s="4" t="n"/>
      <c r="CA1393" s="4" t="n"/>
      <c r="CB1393" s="4" t="n"/>
      <c r="CC1393" s="4" t="n"/>
      <c r="CD1393" s="4" t="n"/>
      <c r="CE1393" s="4" t="n"/>
      <c r="CF1393" s="4" t="n"/>
      <c r="CG1393" s="4" t="n"/>
      <c r="CH1393" s="4" t="n"/>
      <c r="CI1393" s="4" t="n"/>
      <c r="CJ1393" s="4" t="n"/>
      <c r="CK1393" s="4" t="n"/>
      <c r="CL1393" s="4" t="n"/>
      <c r="CM1393" s="4" t="n"/>
      <c r="CN1393" s="4" t="n"/>
      <c r="CO1393" s="4" t="n"/>
      <c r="CP1393" s="4" t="n"/>
      <c r="CQ1393" s="4" t="n"/>
      <c r="CR1393" s="4" t="n"/>
      <c r="CS1393" s="4" t="n"/>
      <c r="CT1393" s="4" t="n"/>
      <c r="CU1393" s="4" t="n"/>
      <c r="CV1393" s="4" t="n"/>
      <c r="CW1393" s="4" t="n"/>
      <c r="CX1393" s="4" t="n"/>
      <c r="CY1393" s="4" t="n"/>
      <c r="CZ1393" s="4" t="n"/>
      <c r="DA1393" s="4" t="n"/>
      <c r="DB1393" s="4" t="n"/>
      <c r="DC1393" s="4" t="n"/>
      <c r="DD1393" s="4" t="n"/>
      <c r="DE1393" s="4" t="n"/>
      <c r="DF1393" s="4" t="n"/>
      <c r="DG1393" s="4" t="n"/>
      <c r="DH1393" s="4" t="n"/>
      <c r="DI1393" s="4" t="n"/>
      <c r="DJ1393" s="4" t="n"/>
      <c r="DK1393" s="4" t="n"/>
      <c r="DL1393" s="4" t="n"/>
      <c r="DM1393" s="4" t="n"/>
      <c r="DN1393" s="4" t="n"/>
      <c r="DO1393" s="4" t="n"/>
      <c r="DP1393" s="4" t="n"/>
      <c r="DQ1393" s="4" t="n"/>
      <c r="DR1393" s="4" t="n"/>
      <c r="DS1393" s="4" t="n"/>
      <c r="DT1393" s="4" t="n"/>
      <c r="DU1393" s="4" t="n"/>
      <c r="DV1393" s="4" t="n"/>
      <c r="DW1393" s="4" t="n"/>
      <c r="DX1393" s="4" t="n"/>
      <c r="DY1393" s="4" t="n"/>
      <c r="DZ1393" s="4" t="n"/>
      <c r="EA1393" s="4" t="n"/>
      <c r="EB1393" s="4" t="n"/>
      <c r="EC1393" s="4" t="n"/>
      <c r="ED1393" s="4" t="n"/>
      <c r="EE1393" s="4" t="n"/>
      <c r="EF1393" s="4" t="n"/>
      <c r="EG1393" s="4" t="n"/>
      <c r="EH1393" s="4" t="n"/>
      <c r="EI1393" s="4" t="n"/>
      <c r="EJ1393" s="4" t="n"/>
      <c r="EK1393" s="4" t="n"/>
      <c r="EL1393" s="4" t="n"/>
      <c r="EM1393" s="4" t="n"/>
      <c r="EN1393" s="4" t="n"/>
      <c r="EO1393" s="4" t="n"/>
      <c r="EP1393" s="4" t="n"/>
      <c r="EQ1393" s="4" t="n"/>
      <c r="ER1393" s="4" t="n"/>
      <c r="ES1393" s="4" t="n"/>
      <c r="ET1393" s="4" t="n"/>
      <c r="EU1393" s="4" t="n"/>
      <c r="EV1393" s="4" t="n"/>
      <c r="EW1393" s="4" t="n"/>
      <c r="EX1393" s="4" t="n"/>
      <c r="EY1393" s="4" t="n"/>
      <c r="EZ1393" s="4" t="n"/>
      <c r="FA1393" s="4" t="n"/>
      <c r="FB1393" s="4" t="n"/>
      <c r="FC1393" s="4" t="n"/>
    </row>
    <row r="1394" hidden="1" customFormat="1" s="6">
      <c r="C1394" s="4" t="n"/>
      <c r="D1394" s="4" t="n"/>
      <c r="E1394" s="4" t="n"/>
      <c r="F1394" s="4" t="n"/>
      <c r="G1394" s="4" t="n"/>
      <c r="H1394" s="4" t="n"/>
      <c r="I1394" s="4" t="n"/>
      <c r="J1394" s="4" t="n"/>
      <c r="K1394" s="4" t="n"/>
      <c r="L1394" s="4" t="n"/>
      <c r="M1394" s="4" t="n"/>
      <c r="N1394" s="4" t="n"/>
      <c r="O1394" s="4" t="n"/>
      <c r="P1394" s="4" t="n"/>
      <c r="Q1394" s="4" t="n"/>
      <c r="R1394" s="4" t="n"/>
      <c r="S1394" s="4" t="n"/>
      <c r="T1394" s="4" t="n"/>
      <c r="U1394" s="4" t="n"/>
      <c r="V1394" s="4" t="n"/>
      <c r="W1394" s="4" t="n"/>
      <c r="X1394" s="4" t="n"/>
      <c r="Y1394" s="4" t="n"/>
      <c r="Z1394" s="4" t="n"/>
      <c r="AA1394" s="4" t="n"/>
      <c r="AB1394" s="4" t="n"/>
      <c r="AC1394" s="4" t="n"/>
      <c r="AD1394" s="4" t="n"/>
      <c r="AE1394" s="4" t="n"/>
      <c r="AF1394" s="4" t="n"/>
      <c r="AG1394" s="4" t="n"/>
      <c r="AH1394" s="4" t="n"/>
      <c r="AI1394" s="4" t="n"/>
      <c r="AJ1394" s="4" t="n"/>
      <c r="AK1394" s="4" t="n"/>
      <c r="AL1394" s="4" t="n"/>
      <c r="AM1394" s="4" t="n"/>
      <c r="AN1394" s="4" t="n"/>
      <c r="AO1394" s="4" t="n"/>
      <c r="AP1394" s="4" t="n"/>
      <c r="AQ1394" s="4" t="n"/>
      <c r="AR1394" s="4" t="n"/>
      <c r="AS1394" s="4" t="n"/>
      <c r="AT1394" s="4" t="n"/>
      <c r="AU1394" s="4" t="n"/>
      <c r="AV1394" s="4" t="n"/>
      <c r="AW1394" s="4" t="n"/>
      <c r="AX1394" s="4" t="n"/>
      <c r="AY1394" s="4" t="n"/>
      <c r="AZ1394" s="4" t="n"/>
      <c r="BA1394" s="4" t="n"/>
      <c r="BB1394" s="4" t="n"/>
      <c r="BC1394" s="4" t="n"/>
      <c r="BD1394" s="4" t="n"/>
      <c r="BE1394" s="4" t="n"/>
      <c r="BF1394" s="4" t="n"/>
      <c r="BG1394" s="4" t="n"/>
      <c r="BH1394" s="4" t="n"/>
      <c r="BI1394" s="4" t="n"/>
      <c r="BJ1394" s="4" t="n"/>
      <c r="BK1394" s="4" t="n"/>
      <c r="BL1394" s="4" t="n"/>
      <c r="BM1394" s="4" t="n"/>
      <c r="BN1394" s="4" t="n"/>
      <c r="BO1394" s="4" t="n"/>
      <c r="BP1394" s="4" t="n"/>
      <c r="BQ1394" s="4" t="n"/>
      <c r="BR1394" s="4" t="n"/>
      <c r="BS1394" s="4" t="n"/>
      <c r="BT1394" s="4" t="n"/>
      <c r="BU1394" s="4" t="n"/>
      <c r="BV1394" s="4" t="n"/>
      <c r="BW1394" s="4" t="n"/>
      <c r="BX1394" s="4" t="n"/>
      <c r="BY1394" s="4" t="n"/>
      <c r="BZ1394" s="4" t="n"/>
      <c r="CA1394" s="4" t="n"/>
      <c r="CB1394" s="4" t="n"/>
      <c r="CC1394" s="4" t="n"/>
      <c r="CD1394" s="4" t="n"/>
      <c r="CE1394" s="4" t="n"/>
      <c r="CF1394" s="4" t="n"/>
      <c r="CG1394" s="4" t="n"/>
      <c r="CH1394" s="4" t="n"/>
      <c r="CI1394" s="4" t="n"/>
      <c r="CJ1394" s="4" t="n"/>
      <c r="CK1394" s="4" t="n"/>
      <c r="CL1394" s="4" t="n"/>
      <c r="CM1394" s="4" t="n"/>
      <c r="CN1394" s="4" t="n"/>
      <c r="CO1394" s="4" t="n"/>
      <c r="CP1394" s="4" t="n"/>
      <c r="CQ1394" s="4" t="n"/>
      <c r="CR1394" s="4" t="n"/>
      <c r="CS1394" s="4" t="n"/>
      <c r="CT1394" s="4" t="n"/>
      <c r="CU1394" s="4" t="n"/>
      <c r="CV1394" s="4" t="n"/>
      <c r="CW1394" s="4" t="n"/>
      <c r="CX1394" s="4" t="n"/>
      <c r="CY1394" s="4" t="n"/>
      <c r="CZ1394" s="4" t="n"/>
      <c r="DA1394" s="4" t="n"/>
      <c r="DB1394" s="4" t="n"/>
      <c r="DC1394" s="4" t="n"/>
      <c r="DD1394" s="4" t="n"/>
      <c r="DE1394" s="4" t="n"/>
      <c r="DF1394" s="4" t="n"/>
      <c r="DG1394" s="4" t="n"/>
      <c r="DH1394" s="4" t="n"/>
      <c r="DI1394" s="4" t="n"/>
      <c r="DJ1394" s="4" t="n"/>
      <c r="DK1394" s="4" t="n"/>
      <c r="DL1394" s="4" t="n"/>
      <c r="DM1394" s="4" t="n"/>
      <c r="DN1394" s="4" t="n"/>
      <c r="DO1394" s="4" t="n"/>
      <c r="DP1394" s="4" t="n"/>
      <c r="DQ1394" s="4" t="n"/>
      <c r="DR1394" s="4" t="n"/>
      <c r="DS1394" s="4" t="n"/>
      <c r="DT1394" s="4" t="n"/>
      <c r="DU1394" s="4" t="n"/>
      <c r="DV1394" s="4" t="n"/>
      <c r="DW1394" s="4" t="n"/>
      <c r="DX1394" s="4" t="n"/>
      <c r="DY1394" s="4" t="n"/>
      <c r="DZ1394" s="4" t="n"/>
      <c r="EA1394" s="4" t="n"/>
      <c r="EB1394" s="4" t="n"/>
      <c r="EC1394" s="4" t="n"/>
      <c r="ED1394" s="4" t="n"/>
      <c r="EE1394" s="4" t="n"/>
      <c r="EF1394" s="4" t="n"/>
      <c r="EG1394" s="4" t="n"/>
      <c r="EH1394" s="4" t="n"/>
      <c r="EI1394" s="4" t="n"/>
      <c r="EJ1394" s="4" t="n"/>
      <c r="EK1394" s="4" t="n"/>
      <c r="EL1394" s="4" t="n"/>
      <c r="EM1394" s="4" t="n"/>
      <c r="EN1394" s="4" t="n"/>
      <c r="EO1394" s="4" t="n"/>
      <c r="EP1394" s="4" t="n"/>
      <c r="EQ1394" s="4" t="n"/>
      <c r="ER1394" s="4" t="n"/>
      <c r="ES1394" s="4" t="n"/>
      <c r="ET1394" s="4" t="n"/>
      <c r="EU1394" s="4" t="n"/>
      <c r="EV1394" s="4" t="n"/>
      <c r="EW1394" s="4" t="n"/>
      <c r="EX1394" s="4" t="n"/>
      <c r="EY1394" s="4" t="n"/>
      <c r="EZ1394" s="4" t="n"/>
      <c r="FA1394" s="4" t="n"/>
      <c r="FB1394" s="4" t="n"/>
      <c r="FC1394" s="4" t="n"/>
    </row>
    <row r="1395" hidden="1" customFormat="1" s="6">
      <c r="C1395" s="4" t="n"/>
      <c r="D1395" s="4" t="n"/>
      <c r="E1395" s="4" t="n"/>
      <c r="F1395" s="4" t="n"/>
      <c r="G1395" s="4" t="n"/>
      <c r="H1395" s="4" t="n"/>
      <c r="I1395" s="4" t="n"/>
      <c r="J1395" s="4" t="n"/>
      <c r="K1395" s="4" t="n"/>
      <c r="L1395" s="4" t="n"/>
      <c r="M1395" s="4" t="n"/>
      <c r="N1395" s="4" t="n"/>
      <c r="O1395" s="4" t="n"/>
      <c r="P1395" s="4" t="n"/>
      <c r="Q1395" s="4" t="n"/>
      <c r="R1395" s="4" t="n"/>
      <c r="S1395" s="4" t="n"/>
      <c r="T1395" s="4" t="n"/>
      <c r="U1395" s="4" t="n"/>
      <c r="V1395" s="4" t="n"/>
      <c r="W1395" s="4" t="n"/>
      <c r="X1395" s="4" t="n"/>
      <c r="Y1395" s="4" t="n"/>
      <c r="Z1395" s="4" t="n"/>
      <c r="AA1395" s="4" t="n"/>
      <c r="AB1395" s="4" t="n"/>
      <c r="AC1395" s="4" t="n"/>
      <c r="AD1395" s="4" t="n"/>
      <c r="AE1395" s="4" t="n"/>
      <c r="AF1395" s="4" t="n"/>
      <c r="AG1395" s="4" t="n"/>
      <c r="AH1395" s="4" t="n"/>
      <c r="AI1395" s="4" t="n"/>
      <c r="AJ1395" s="4" t="n"/>
      <c r="AK1395" s="4" t="n"/>
      <c r="AL1395" s="4" t="n"/>
      <c r="AM1395" s="4" t="n"/>
      <c r="AN1395" s="4" t="n"/>
      <c r="AO1395" s="4" t="n"/>
      <c r="AP1395" s="4" t="n"/>
      <c r="AQ1395" s="4" t="n"/>
      <c r="AR1395" s="4" t="n"/>
      <c r="AS1395" s="4" t="n"/>
      <c r="AT1395" s="4" t="n"/>
      <c r="AU1395" s="4" t="n"/>
      <c r="AV1395" s="4" t="n"/>
      <c r="AW1395" s="4" t="n"/>
      <c r="AX1395" s="4" t="n"/>
      <c r="AY1395" s="4" t="n"/>
      <c r="AZ1395" s="4" t="n"/>
      <c r="BA1395" s="4" t="n"/>
      <c r="BB1395" s="4" t="n"/>
      <c r="BC1395" s="4" t="n"/>
      <c r="BD1395" s="4" t="n"/>
      <c r="BE1395" s="4" t="n"/>
      <c r="BF1395" s="4" t="n"/>
      <c r="BG1395" s="4" t="n"/>
      <c r="BH1395" s="4" t="n"/>
      <c r="BI1395" s="4" t="n"/>
      <c r="BJ1395" s="4" t="n"/>
      <c r="BK1395" s="4" t="n"/>
      <c r="BL1395" s="4" t="n"/>
      <c r="BM1395" s="4" t="n"/>
      <c r="BN1395" s="4" t="n"/>
      <c r="BO1395" s="4" t="n"/>
      <c r="BP1395" s="4" t="n"/>
      <c r="BQ1395" s="4" t="n"/>
      <c r="BR1395" s="4" t="n"/>
      <c r="BS1395" s="4" t="n"/>
      <c r="BT1395" s="4" t="n"/>
      <c r="BU1395" s="4" t="n"/>
      <c r="BV1395" s="4" t="n"/>
      <c r="BW1395" s="4" t="n"/>
      <c r="BX1395" s="4" t="n"/>
      <c r="BY1395" s="4" t="n"/>
      <c r="BZ1395" s="4" t="n"/>
      <c r="CA1395" s="4" t="n"/>
      <c r="CB1395" s="4" t="n"/>
      <c r="CC1395" s="4" t="n"/>
      <c r="CD1395" s="4" t="n"/>
      <c r="CE1395" s="4" t="n"/>
      <c r="CF1395" s="4" t="n"/>
      <c r="CG1395" s="4" t="n"/>
      <c r="CH1395" s="4" t="n"/>
      <c r="CI1395" s="4" t="n"/>
      <c r="CJ1395" s="4" t="n"/>
      <c r="CK1395" s="4" t="n"/>
      <c r="CL1395" s="4" t="n"/>
      <c r="CM1395" s="4" t="n"/>
      <c r="CN1395" s="4" t="n"/>
      <c r="CO1395" s="4" t="n"/>
      <c r="CP1395" s="4" t="n"/>
      <c r="CQ1395" s="4" t="n"/>
      <c r="CR1395" s="4" t="n"/>
      <c r="CS1395" s="4" t="n"/>
      <c r="CT1395" s="4" t="n"/>
      <c r="CU1395" s="4" t="n"/>
      <c r="CV1395" s="4" t="n"/>
      <c r="CW1395" s="4" t="n"/>
      <c r="CX1395" s="4" t="n"/>
      <c r="CY1395" s="4" t="n"/>
      <c r="CZ1395" s="4" t="n"/>
      <c r="DA1395" s="4" t="n"/>
      <c r="DB1395" s="4" t="n"/>
      <c r="DC1395" s="4" t="n"/>
      <c r="DD1395" s="4" t="n"/>
      <c r="DE1395" s="4" t="n"/>
      <c r="DF1395" s="4" t="n"/>
      <c r="DG1395" s="4" t="n"/>
      <c r="DH1395" s="4" t="n"/>
      <c r="DI1395" s="4" t="n"/>
      <c r="DJ1395" s="4" t="n"/>
      <c r="DK1395" s="4" t="n"/>
      <c r="DL1395" s="4" t="n"/>
      <c r="DM1395" s="4" t="n"/>
      <c r="DN1395" s="4" t="n"/>
      <c r="DO1395" s="4" t="n"/>
      <c r="DP1395" s="4" t="n"/>
      <c r="DQ1395" s="4" t="n"/>
      <c r="DR1395" s="4" t="n"/>
      <c r="DS1395" s="4" t="n"/>
      <c r="DT1395" s="4" t="n"/>
      <c r="DU1395" s="4" t="n"/>
      <c r="DV1395" s="4" t="n"/>
      <c r="DW1395" s="4" t="n"/>
      <c r="DX1395" s="4" t="n"/>
      <c r="DY1395" s="4" t="n"/>
      <c r="DZ1395" s="4" t="n"/>
      <c r="EA1395" s="4" t="n"/>
      <c r="EB1395" s="4" t="n"/>
      <c r="EC1395" s="4" t="n"/>
      <c r="ED1395" s="4" t="n"/>
      <c r="EE1395" s="4" t="n"/>
      <c r="EF1395" s="4" t="n"/>
      <c r="EG1395" s="4" t="n"/>
      <c r="EH1395" s="4" t="n"/>
      <c r="EI1395" s="4" t="n"/>
      <c r="EJ1395" s="4" t="n"/>
      <c r="EK1395" s="4" t="n"/>
      <c r="EL1395" s="4" t="n"/>
      <c r="EM1395" s="4" t="n"/>
      <c r="EN1395" s="4" t="n"/>
      <c r="EO1395" s="4" t="n"/>
      <c r="EP1395" s="4" t="n"/>
      <c r="EQ1395" s="4" t="n"/>
      <c r="ER1395" s="4" t="n"/>
      <c r="ES1395" s="4" t="n"/>
      <c r="ET1395" s="4" t="n"/>
      <c r="EU1395" s="4" t="n"/>
      <c r="EV1395" s="4" t="n"/>
      <c r="EW1395" s="4" t="n"/>
      <c r="EX1395" s="4" t="n"/>
      <c r="EY1395" s="4" t="n"/>
      <c r="EZ1395" s="4" t="n"/>
      <c r="FA1395" s="4" t="n"/>
      <c r="FB1395" s="4" t="n"/>
      <c r="FC1395" s="4" t="n"/>
    </row>
    <row r="1396" hidden="1" customFormat="1" s="6">
      <c r="C1396" s="4" t="n"/>
      <c r="D1396" s="4" t="n"/>
      <c r="E1396" s="4" t="n"/>
      <c r="F1396" s="4" t="n"/>
      <c r="G1396" s="4" t="n"/>
      <c r="H1396" s="4" t="n"/>
      <c r="I1396" s="4" t="n"/>
      <c r="J1396" s="4" t="n"/>
      <c r="K1396" s="4" t="n"/>
      <c r="L1396" s="4" t="n"/>
      <c r="M1396" s="4" t="n"/>
      <c r="N1396" s="4" t="n"/>
      <c r="O1396" s="4" t="n"/>
      <c r="P1396" s="4" t="n"/>
      <c r="Q1396" s="4" t="n"/>
      <c r="R1396" s="4" t="n"/>
      <c r="S1396" s="4" t="n"/>
      <c r="T1396" s="4" t="n"/>
      <c r="U1396" s="4" t="n"/>
      <c r="V1396" s="4" t="n"/>
      <c r="W1396" s="4" t="n"/>
      <c r="X1396" s="4" t="n"/>
      <c r="Y1396" s="4" t="n"/>
      <c r="Z1396" s="4" t="n"/>
      <c r="AA1396" s="4" t="n"/>
      <c r="AB1396" s="4" t="n"/>
      <c r="AC1396" s="4" t="n"/>
      <c r="AD1396" s="4" t="n"/>
      <c r="AE1396" s="4" t="n"/>
      <c r="AF1396" s="4" t="n"/>
      <c r="AG1396" s="4" t="n"/>
      <c r="AH1396" s="4" t="n"/>
      <c r="AI1396" s="4" t="n"/>
      <c r="AJ1396" s="4" t="n"/>
      <c r="AK1396" s="4" t="n"/>
      <c r="AL1396" s="4" t="n"/>
      <c r="AM1396" s="4" t="n"/>
      <c r="AN1396" s="4" t="n"/>
      <c r="AO1396" s="4" t="n"/>
      <c r="AP1396" s="4" t="n"/>
      <c r="AQ1396" s="4" t="n"/>
      <c r="AR1396" s="4" t="n"/>
      <c r="AS1396" s="4" t="n"/>
      <c r="AT1396" s="4" t="n"/>
      <c r="AU1396" s="4" t="n"/>
      <c r="AV1396" s="4" t="n"/>
      <c r="AW1396" s="4" t="n"/>
      <c r="AX1396" s="4" t="n"/>
      <c r="AY1396" s="4" t="n"/>
      <c r="AZ1396" s="4" t="n"/>
      <c r="BA1396" s="4" t="n"/>
      <c r="BB1396" s="4" t="n"/>
      <c r="BC1396" s="4" t="n"/>
      <c r="BD1396" s="4" t="n"/>
      <c r="BE1396" s="4" t="n"/>
      <c r="BF1396" s="4" t="n"/>
      <c r="BG1396" s="4" t="n"/>
      <c r="BH1396" s="4" t="n"/>
      <c r="BI1396" s="4" t="n"/>
      <c r="BJ1396" s="4" t="n"/>
      <c r="BK1396" s="4" t="n"/>
      <c r="BL1396" s="4" t="n"/>
      <c r="BM1396" s="4" t="n"/>
      <c r="BN1396" s="4" t="n"/>
      <c r="BO1396" s="4" t="n"/>
      <c r="BP1396" s="4" t="n"/>
      <c r="BQ1396" s="4" t="n"/>
      <c r="BR1396" s="4" t="n"/>
      <c r="BS1396" s="4" t="n"/>
      <c r="BT1396" s="4" t="n"/>
      <c r="BU1396" s="4" t="n"/>
      <c r="BV1396" s="4" t="n"/>
      <c r="BW1396" s="4" t="n"/>
      <c r="BX1396" s="4" t="n"/>
      <c r="BY1396" s="4" t="n"/>
      <c r="BZ1396" s="4" t="n"/>
      <c r="CA1396" s="4" t="n"/>
      <c r="CB1396" s="4" t="n"/>
      <c r="CC1396" s="4" t="n"/>
      <c r="CD1396" s="4" t="n"/>
      <c r="CE1396" s="4" t="n"/>
      <c r="CF1396" s="4" t="n"/>
      <c r="CG1396" s="4" t="n"/>
      <c r="CH1396" s="4" t="n"/>
      <c r="CI1396" s="4" t="n"/>
      <c r="CJ1396" s="4" t="n"/>
      <c r="CK1396" s="4" t="n"/>
      <c r="CL1396" s="4" t="n"/>
      <c r="CM1396" s="4" t="n"/>
      <c r="CN1396" s="4" t="n"/>
      <c r="CO1396" s="4" t="n"/>
      <c r="CP1396" s="4" t="n"/>
      <c r="CQ1396" s="4" t="n"/>
      <c r="CR1396" s="4" t="n"/>
      <c r="CS1396" s="4" t="n"/>
      <c r="CT1396" s="4" t="n"/>
      <c r="CU1396" s="4" t="n"/>
      <c r="CV1396" s="4" t="n"/>
      <c r="CW1396" s="4" t="n"/>
      <c r="CX1396" s="4" t="n"/>
      <c r="CY1396" s="4" t="n"/>
      <c r="CZ1396" s="4" t="n"/>
      <c r="DA1396" s="4" t="n"/>
      <c r="DB1396" s="4" t="n"/>
      <c r="DC1396" s="4" t="n"/>
      <c r="DD1396" s="4" t="n"/>
      <c r="DE1396" s="4" t="n"/>
      <c r="DF1396" s="4" t="n"/>
      <c r="DG1396" s="4" t="n"/>
      <c r="DH1396" s="4" t="n"/>
      <c r="DI1396" s="4" t="n"/>
      <c r="DJ1396" s="4" t="n"/>
      <c r="DK1396" s="4" t="n"/>
      <c r="DL1396" s="4" t="n"/>
      <c r="DM1396" s="4" t="n"/>
      <c r="DN1396" s="4" t="n"/>
      <c r="DO1396" s="4" t="n"/>
      <c r="DP1396" s="4" t="n"/>
      <c r="DQ1396" s="4" t="n"/>
      <c r="DR1396" s="4" t="n"/>
      <c r="DS1396" s="4" t="n"/>
      <c r="DT1396" s="4" t="n"/>
      <c r="DU1396" s="4" t="n"/>
      <c r="DV1396" s="4" t="n"/>
      <c r="DW1396" s="4" t="n"/>
      <c r="DX1396" s="4" t="n"/>
      <c r="DY1396" s="4" t="n"/>
      <c r="DZ1396" s="4" t="n"/>
      <c r="EA1396" s="4" t="n"/>
      <c r="EB1396" s="4" t="n"/>
      <c r="EC1396" s="4" t="n"/>
      <c r="ED1396" s="4" t="n"/>
      <c r="EE1396" s="4" t="n"/>
      <c r="EF1396" s="4" t="n"/>
      <c r="EG1396" s="4" t="n"/>
      <c r="EH1396" s="4" t="n"/>
      <c r="EI1396" s="4" t="n"/>
      <c r="EJ1396" s="4" t="n"/>
      <c r="EK1396" s="4" t="n"/>
      <c r="EL1396" s="4" t="n"/>
      <c r="EM1396" s="4" t="n"/>
      <c r="EN1396" s="4" t="n"/>
      <c r="EO1396" s="4" t="n"/>
      <c r="EP1396" s="4" t="n"/>
      <c r="EQ1396" s="4" t="n"/>
      <c r="ER1396" s="4" t="n"/>
      <c r="ES1396" s="4" t="n"/>
      <c r="ET1396" s="4" t="n"/>
      <c r="EU1396" s="4" t="n"/>
      <c r="EV1396" s="4" t="n"/>
      <c r="EW1396" s="4" t="n"/>
      <c r="EX1396" s="4" t="n"/>
      <c r="EY1396" s="4" t="n"/>
      <c r="EZ1396" s="4" t="n"/>
      <c r="FA1396" s="4" t="n"/>
      <c r="FB1396" s="4" t="n"/>
      <c r="FC1396" s="4" t="n"/>
    </row>
    <row r="1397" hidden="1" customFormat="1" s="6">
      <c r="C1397" s="4" t="n"/>
      <c r="D1397" s="4" t="n"/>
      <c r="E1397" s="4" t="n"/>
      <c r="F1397" s="4" t="n"/>
      <c r="G1397" s="4" t="n"/>
      <c r="H1397" s="4" t="n"/>
      <c r="I1397" s="4" t="n"/>
      <c r="J1397" s="4" t="n"/>
      <c r="K1397" s="4" t="n"/>
      <c r="L1397" s="4" t="n"/>
      <c r="M1397" s="4" t="n"/>
      <c r="N1397" s="4" t="n"/>
      <c r="O1397" s="4" t="n"/>
      <c r="P1397" s="4" t="n"/>
      <c r="Q1397" s="4" t="n"/>
      <c r="R1397" s="4" t="n"/>
      <c r="S1397" s="4" t="n"/>
      <c r="T1397" s="4" t="n"/>
      <c r="U1397" s="4" t="n"/>
      <c r="V1397" s="4" t="n"/>
      <c r="W1397" s="4" t="n"/>
      <c r="X1397" s="4" t="n"/>
      <c r="Y1397" s="4" t="n"/>
      <c r="Z1397" s="4" t="n"/>
      <c r="AA1397" s="4" t="n"/>
      <c r="AB1397" s="4" t="n"/>
      <c r="AC1397" s="4" t="n"/>
      <c r="AD1397" s="4" t="n"/>
      <c r="AE1397" s="4" t="n"/>
      <c r="AF1397" s="4" t="n"/>
      <c r="AG1397" s="4" t="n"/>
      <c r="AH1397" s="4" t="n"/>
      <c r="AI1397" s="4" t="n"/>
      <c r="AJ1397" s="4" t="n"/>
      <c r="AK1397" s="4" t="n"/>
      <c r="AL1397" s="4" t="n"/>
      <c r="AM1397" s="4" t="n"/>
      <c r="AN1397" s="4" t="n"/>
      <c r="AO1397" s="4" t="n"/>
      <c r="AP1397" s="4" t="n"/>
      <c r="AQ1397" s="4" t="n"/>
      <c r="AR1397" s="4" t="n"/>
      <c r="AS1397" s="4" t="n"/>
      <c r="AT1397" s="4" t="n"/>
      <c r="AU1397" s="4" t="n"/>
      <c r="AV1397" s="4" t="n"/>
      <c r="AW1397" s="4" t="n"/>
      <c r="AX1397" s="4" t="n"/>
      <c r="AY1397" s="4" t="n"/>
      <c r="AZ1397" s="4" t="n"/>
      <c r="BA1397" s="4" t="n"/>
      <c r="BB1397" s="4" t="n"/>
      <c r="BC1397" s="4" t="n"/>
      <c r="BD1397" s="4" t="n"/>
      <c r="BE1397" s="4" t="n"/>
      <c r="BF1397" s="4" t="n"/>
      <c r="BG1397" s="4" t="n"/>
      <c r="BH1397" s="4" t="n"/>
      <c r="BI1397" s="4" t="n"/>
      <c r="BJ1397" s="4" t="n"/>
      <c r="BK1397" s="4" t="n"/>
      <c r="BL1397" s="4" t="n"/>
      <c r="BM1397" s="4" t="n"/>
      <c r="BN1397" s="4" t="n"/>
      <c r="BO1397" s="4" t="n"/>
      <c r="BP1397" s="4" t="n"/>
      <c r="BQ1397" s="4" t="n"/>
      <c r="BR1397" s="4" t="n"/>
      <c r="BS1397" s="4" t="n"/>
      <c r="BT1397" s="4" t="n"/>
      <c r="BU1397" s="4" t="n"/>
      <c r="BV1397" s="4" t="n"/>
      <c r="BW1397" s="4" t="n"/>
      <c r="BX1397" s="4" t="n"/>
      <c r="BY1397" s="4" t="n"/>
      <c r="BZ1397" s="4" t="n"/>
      <c r="CA1397" s="4" t="n"/>
      <c r="CB1397" s="4" t="n"/>
      <c r="CC1397" s="4" t="n"/>
      <c r="CD1397" s="4" t="n"/>
      <c r="CE1397" s="4" t="n"/>
      <c r="CF1397" s="4" t="n"/>
      <c r="CG1397" s="4" t="n"/>
      <c r="CH1397" s="4" t="n"/>
      <c r="CI1397" s="4" t="n"/>
      <c r="CJ1397" s="4" t="n"/>
      <c r="CK1397" s="4" t="n"/>
      <c r="CL1397" s="4" t="n"/>
      <c r="CM1397" s="4" t="n"/>
      <c r="CN1397" s="4" t="n"/>
      <c r="CO1397" s="4" t="n"/>
      <c r="CP1397" s="4" t="n"/>
      <c r="CQ1397" s="4" t="n"/>
      <c r="CR1397" s="4" t="n"/>
      <c r="CS1397" s="4" t="n"/>
      <c r="CT1397" s="4" t="n"/>
      <c r="CU1397" s="4" t="n"/>
      <c r="CV1397" s="4" t="n"/>
      <c r="CW1397" s="4" t="n"/>
      <c r="CX1397" s="4" t="n"/>
      <c r="CY1397" s="4" t="n"/>
      <c r="CZ1397" s="4" t="n"/>
      <c r="DA1397" s="4" t="n"/>
      <c r="DB1397" s="4" t="n"/>
      <c r="DC1397" s="4" t="n"/>
      <c r="DD1397" s="4" t="n"/>
      <c r="DE1397" s="4" t="n"/>
      <c r="DF1397" s="4" t="n"/>
      <c r="DG1397" s="4" t="n"/>
      <c r="DH1397" s="4" t="n"/>
      <c r="DI1397" s="4" t="n"/>
      <c r="DJ1397" s="4" t="n"/>
      <c r="DK1397" s="4" t="n"/>
      <c r="DL1397" s="4" t="n"/>
      <c r="DM1397" s="4" t="n"/>
      <c r="DN1397" s="4" t="n"/>
      <c r="DO1397" s="4" t="n"/>
      <c r="DP1397" s="4" t="n"/>
      <c r="DQ1397" s="4" t="n"/>
      <c r="DR1397" s="4" t="n"/>
      <c r="DS1397" s="4" t="n"/>
      <c r="DT1397" s="4" t="n"/>
      <c r="DU1397" s="4" t="n"/>
      <c r="DV1397" s="4" t="n"/>
      <c r="DW1397" s="4" t="n"/>
      <c r="DX1397" s="4" t="n"/>
      <c r="DY1397" s="4" t="n"/>
      <c r="DZ1397" s="4" t="n"/>
      <c r="EA1397" s="4" t="n"/>
      <c r="EB1397" s="4" t="n"/>
      <c r="EC1397" s="4" t="n"/>
      <c r="ED1397" s="4" t="n"/>
      <c r="EE1397" s="4" t="n"/>
      <c r="EF1397" s="4" t="n"/>
      <c r="EG1397" s="4" t="n"/>
      <c r="EH1397" s="4" t="n"/>
      <c r="EI1397" s="4" t="n"/>
      <c r="EJ1397" s="4" t="n"/>
      <c r="EK1397" s="4" t="n"/>
      <c r="EL1397" s="4" t="n"/>
      <c r="EM1397" s="4" t="n"/>
      <c r="EN1397" s="4" t="n"/>
      <c r="EO1397" s="4" t="n"/>
      <c r="EP1397" s="4" t="n"/>
      <c r="EQ1397" s="4" t="n"/>
      <c r="ER1397" s="4" t="n"/>
      <c r="ES1397" s="4" t="n"/>
      <c r="ET1397" s="4" t="n"/>
      <c r="EU1397" s="4" t="n"/>
      <c r="EV1397" s="4" t="n"/>
      <c r="EW1397" s="4" t="n"/>
      <c r="EX1397" s="4" t="n"/>
      <c r="EY1397" s="4" t="n"/>
      <c r="EZ1397" s="4" t="n"/>
      <c r="FA1397" s="4" t="n"/>
      <c r="FB1397" s="4" t="n"/>
      <c r="FC1397" s="4" t="n"/>
    </row>
    <row r="1398" hidden="1" customFormat="1" s="6">
      <c r="C1398" s="4" t="n"/>
      <c r="D1398" s="4" t="n"/>
      <c r="E1398" s="4" t="n"/>
      <c r="F1398" s="4" t="n"/>
      <c r="G1398" s="4" t="n"/>
      <c r="H1398" s="4" t="n"/>
      <c r="I1398" s="4" t="n"/>
      <c r="J1398" s="4" t="n"/>
      <c r="K1398" s="4" t="n"/>
      <c r="L1398" s="4" t="n"/>
      <c r="M1398" s="4" t="n"/>
      <c r="N1398" s="4" t="n"/>
      <c r="O1398" s="4" t="n"/>
      <c r="P1398" s="4" t="n"/>
      <c r="Q1398" s="4" t="n"/>
      <c r="R1398" s="4" t="n"/>
      <c r="S1398" s="4" t="n"/>
      <c r="T1398" s="4" t="n"/>
      <c r="U1398" s="4" t="n"/>
      <c r="V1398" s="4" t="n"/>
      <c r="W1398" s="4" t="n"/>
      <c r="X1398" s="4" t="n"/>
      <c r="Y1398" s="4" t="n"/>
      <c r="Z1398" s="4" t="n"/>
      <c r="AA1398" s="4" t="n"/>
      <c r="AB1398" s="4" t="n"/>
      <c r="AC1398" s="4" t="n"/>
      <c r="AD1398" s="4" t="n"/>
      <c r="AE1398" s="4" t="n"/>
      <c r="AF1398" s="4" t="n"/>
      <c r="AG1398" s="4" t="n"/>
      <c r="AH1398" s="4" t="n"/>
      <c r="AI1398" s="4" t="n"/>
      <c r="AJ1398" s="4" t="n"/>
      <c r="AK1398" s="4" t="n"/>
      <c r="AL1398" s="4" t="n"/>
      <c r="AM1398" s="4" t="n"/>
      <c r="AN1398" s="4" t="n"/>
      <c r="AO1398" s="4" t="n"/>
      <c r="AP1398" s="4" t="n"/>
      <c r="AQ1398" s="4" t="n"/>
      <c r="AR1398" s="4" t="n"/>
      <c r="AS1398" s="4" t="n"/>
      <c r="AT1398" s="4" t="n"/>
      <c r="AU1398" s="4" t="n"/>
      <c r="AV1398" s="4" t="n"/>
      <c r="AW1398" s="4" t="n"/>
      <c r="AX1398" s="4" t="n"/>
      <c r="AY1398" s="4" t="n"/>
      <c r="AZ1398" s="4" t="n"/>
      <c r="BA1398" s="4" t="n"/>
      <c r="BB1398" s="4" t="n"/>
      <c r="BC1398" s="4" t="n"/>
      <c r="BD1398" s="4" t="n"/>
      <c r="BE1398" s="4" t="n"/>
      <c r="BF1398" s="4" t="n"/>
      <c r="BG1398" s="4" t="n"/>
      <c r="BH1398" s="4" t="n"/>
      <c r="BI1398" s="4" t="n"/>
      <c r="BJ1398" s="4" t="n"/>
      <c r="BK1398" s="4" t="n"/>
      <c r="BL1398" s="4" t="n"/>
      <c r="BM1398" s="4" t="n"/>
      <c r="BN1398" s="4" t="n"/>
      <c r="BO1398" s="4" t="n"/>
      <c r="BP1398" s="4" t="n"/>
      <c r="BQ1398" s="4" t="n"/>
      <c r="BR1398" s="4" t="n"/>
      <c r="BS1398" s="4" t="n"/>
      <c r="BT1398" s="4" t="n"/>
      <c r="BU1398" s="4" t="n"/>
      <c r="BV1398" s="4" t="n"/>
      <c r="BW1398" s="4" t="n"/>
      <c r="BX1398" s="4" t="n"/>
      <c r="BY1398" s="4" t="n"/>
      <c r="BZ1398" s="4" t="n"/>
      <c r="CA1398" s="4" t="n"/>
      <c r="CB1398" s="4" t="n"/>
      <c r="CC1398" s="4" t="n"/>
      <c r="CD1398" s="4" t="n"/>
      <c r="CE1398" s="4" t="n"/>
      <c r="CF1398" s="4" t="n"/>
      <c r="CG1398" s="4" t="n"/>
      <c r="CH1398" s="4" t="n"/>
      <c r="CI1398" s="4" t="n"/>
      <c r="CJ1398" s="4" t="n"/>
      <c r="CK1398" s="4" t="n"/>
      <c r="CL1398" s="4" t="n"/>
      <c r="CM1398" s="4" t="n"/>
      <c r="CN1398" s="4" t="n"/>
      <c r="CO1398" s="4" t="n"/>
      <c r="CP1398" s="4" t="n"/>
      <c r="CQ1398" s="4" t="n"/>
      <c r="CR1398" s="4" t="n"/>
      <c r="CS1398" s="4" t="n"/>
      <c r="CT1398" s="4" t="n"/>
      <c r="CU1398" s="4" t="n"/>
      <c r="CV1398" s="4" t="n"/>
      <c r="CW1398" s="4" t="n"/>
      <c r="CX1398" s="4" t="n"/>
      <c r="CY1398" s="4" t="n"/>
      <c r="CZ1398" s="4" t="n"/>
      <c r="DA1398" s="4" t="n"/>
      <c r="DB1398" s="4" t="n"/>
      <c r="DC1398" s="4" t="n"/>
      <c r="DD1398" s="4" t="n"/>
      <c r="DE1398" s="4" t="n"/>
      <c r="DF1398" s="4" t="n"/>
      <c r="DG1398" s="4" t="n"/>
      <c r="DH1398" s="4" t="n"/>
      <c r="DI1398" s="4" t="n"/>
      <c r="DJ1398" s="4" t="n"/>
      <c r="DK1398" s="4" t="n"/>
      <c r="DL1398" s="4" t="n"/>
      <c r="DM1398" s="4" t="n"/>
      <c r="DN1398" s="4" t="n"/>
      <c r="DO1398" s="4" t="n"/>
      <c r="DP1398" s="4" t="n"/>
      <c r="DQ1398" s="4" t="n"/>
      <c r="DR1398" s="4" t="n"/>
      <c r="DS1398" s="4" t="n"/>
      <c r="DT1398" s="4" t="n"/>
      <c r="DU1398" s="4" t="n"/>
      <c r="DV1398" s="4" t="n"/>
      <c r="DW1398" s="4" t="n"/>
      <c r="DX1398" s="4" t="n"/>
      <c r="DY1398" s="4" t="n"/>
      <c r="DZ1398" s="4" t="n"/>
      <c r="EA1398" s="4" t="n"/>
      <c r="EB1398" s="4" t="n"/>
      <c r="EC1398" s="4" t="n"/>
      <c r="ED1398" s="4" t="n"/>
      <c r="EE1398" s="4" t="n"/>
      <c r="EF1398" s="4" t="n"/>
      <c r="EG1398" s="4" t="n"/>
      <c r="EH1398" s="4" t="n"/>
      <c r="EI1398" s="4" t="n"/>
      <c r="EJ1398" s="4" t="n"/>
      <c r="EK1398" s="4" t="n"/>
      <c r="EL1398" s="4" t="n"/>
      <c r="EM1398" s="4" t="n"/>
      <c r="EN1398" s="4" t="n"/>
      <c r="EO1398" s="4" t="n"/>
      <c r="EP1398" s="4" t="n"/>
      <c r="EQ1398" s="4" t="n"/>
      <c r="ER1398" s="4" t="n"/>
      <c r="ES1398" s="4" t="n"/>
      <c r="ET1398" s="4" t="n"/>
      <c r="EU1398" s="4" t="n"/>
      <c r="EV1398" s="4" t="n"/>
      <c r="EW1398" s="4" t="n"/>
      <c r="EX1398" s="4" t="n"/>
      <c r="EY1398" s="4" t="n"/>
      <c r="EZ1398" s="4" t="n"/>
      <c r="FA1398" s="4" t="n"/>
      <c r="FB1398" s="4" t="n"/>
      <c r="FC1398" s="4" t="n"/>
    </row>
    <row r="1399" hidden="1" customFormat="1" s="6">
      <c r="C1399" s="4" t="n"/>
      <c r="D1399" s="4" t="n"/>
      <c r="E1399" s="4" t="n"/>
      <c r="F1399" s="4" t="n"/>
      <c r="G1399" s="4" t="n"/>
      <c r="H1399" s="4" t="n"/>
      <c r="I1399" s="4" t="n"/>
      <c r="J1399" s="4" t="n"/>
      <c r="K1399" s="4" t="n"/>
      <c r="L1399" s="4" t="n"/>
      <c r="M1399" s="4" t="n"/>
      <c r="N1399" s="4" t="n"/>
      <c r="O1399" s="4" t="n"/>
      <c r="P1399" s="4" t="n"/>
      <c r="Q1399" s="4" t="n"/>
      <c r="R1399" s="4" t="n"/>
      <c r="S1399" s="4" t="n"/>
      <c r="T1399" s="4" t="n"/>
      <c r="U1399" s="4" t="n"/>
      <c r="V1399" s="4" t="n"/>
      <c r="W1399" s="4" t="n"/>
      <c r="X1399" s="4" t="n"/>
      <c r="Y1399" s="4" t="n"/>
      <c r="Z1399" s="4" t="n"/>
      <c r="AA1399" s="4" t="n"/>
      <c r="AB1399" s="4" t="n"/>
      <c r="AC1399" s="4" t="n"/>
      <c r="AD1399" s="4" t="n"/>
      <c r="AE1399" s="4" t="n"/>
      <c r="AF1399" s="4" t="n"/>
      <c r="AG1399" s="4" t="n"/>
      <c r="AH1399" s="4" t="n"/>
      <c r="AI1399" s="4" t="n"/>
      <c r="AJ1399" s="4" t="n"/>
      <c r="AK1399" s="4" t="n"/>
      <c r="AL1399" s="4" t="n"/>
      <c r="AM1399" s="4" t="n"/>
      <c r="AN1399" s="4" t="n"/>
      <c r="AO1399" s="4" t="n"/>
      <c r="AP1399" s="4" t="n"/>
      <c r="AQ1399" s="4" t="n"/>
      <c r="AR1399" s="4" t="n"/>
      <c r="AS1399" s="4" t="n"/>
      <c r="AT1399" s="4" t="n"/>
      <c r="AU1399" s="4" t="n"/>
      <c r="AV1399" s="4" t="n"/>
      <c r="AW1399" s="4" t="n"/>
      <c r="AX1399" s="4" t="n"/>
      <c r="AY1399" s="4" t="n"/>
      <c r="AZ1399" s="4" t="n"/>
      <c r="BA1399" s="4" t="n"/>
      <c r="BB1399" s="4" t="n"/>
      <c r="BC1399" s="4" t="n"/>
      <c r="BD1399" s="4" t="n"/>
      <c r="BE1399" s="4" t="n"/>
      <c r="BF1399" s="4" t="n"/>
      <c r="BG1399" s="4" t="n"/>
      <c r="BH1399" s="4" t="n"/>
      <c r="BI1399" s="4" t="n"/>
      <c r="BJ1399" s="4" t="n"/>
      <c r="BK1399" s="4" t="n"/>
      <c r="BL1399" s="4" t="n"/>
      <c r="BM1399" s="4" t="n"/>
      <c r="BN1399" s="4" t="n"/>
      <c r="BO1399" s="4" t="n"/>
      <c r="BP1399" s="4" t="n"/>
      <c r="BQ1399" s="4" t="n"/>
      <c r="BR1399" s="4" t="n"/>
      <c r="BS1399" s="4" t="n"/>
      <c r="BT1399" s="4" t="n"/>
      <c r="BU1399" s="4" t="n"/>
      <c r="BV1399" s="4" t="n"/>
      <c r="BW1399" s="4" t="n"/>
      <c r="BX1399" s="4" t="n"/>
      <c r="BY1399" s="4" t="n"/>
      <c r="BZ1399" s="4" t="n"/>
      <c r="CA1399" s="4" t="n"/>
      <c r="CB1399" s="4" t="n"/>
      <c r="CC1399" s="4" t="n"/>
      <c r="CD1399" s="4" t="n"/>
      <c r="CE1399" s="4" t="n"/>
      <c r="CF1399" s="4" t="n"/>
      <c r="CG1399" s="4" t="n"/>
      <c r="CH1399" s="4" t="n"/>
      <c r="CI1399" s="4" t="n"/>
      <c r="CJ1399" s="4" t="n"/>
      <c r="CK1399" s="4" t="n"/>
      <c r="CL1399" s="4" t="n"/>
      <c r="CM1399" s="4" t="n"/>
      <c r="CN1399" s="4" t="n"/>
      <c r="CO1399" s="4" t="n"/>
      <c r="CP1399" s="4" t="n"/>
      <c r="CQ1399" s="4" t="n"/>
      <c r="CR1399" s="4" t="n"/>
      <c r="CS1399" s="4" t="n"/>
      <c r="CT1399" s="4" t="n"/>
      <c r="CU1399" s="4" t="n"/>
      <c r="CV1399" s="4" t="n"/>
      <c r="CW1399" s="4" t="n"/>
      <c r="CX1399" s="4" t="n"/>
      <c r="CY1399" s="4" t="n"/>
      <c r="CZ1399" s="4" t="n"/>
      <c r="DA1399" s="4" t="n"/>
      <c r="DB1399" s="4" t="n"/>
      <c r="DC1399" s="4" t="n"/>
      <c r="DD1399" s="4" t="n"/>
      <c r="DE1399" s="4" t="n"/>
      <c r="DF1399" s="4" t="n"/>
      <c r="DG1399" s="4" t="n"/>
      <c r="DH1399" s="4" t="n"/>
      <c r="DI1399" s="4" t="n"/>
      <c r="DJ1399" s="4" t="n"/>
      <c r="DK1399" s="4" t="n"/>
      <c r="DL1399" s="4" t="n"/>
      <c r="DM1399" s="4" t="n"/>
      <c r="DN1399" s="4" t="n"/>
      <c r="DO1399" s="4" t="n"/>
      <c r="DP1399" s="4" t="n"/>
      <c r="DQ1399" s="4" t="n"/>
      <c r="DR1399" s="4" t="n"/>
      <c r="DS1399" s="4" t="n"/>
      <c r="DT1399" s="4" t="n"/>
      <c r="DU1399" s="4" t="n"/>
      <c r="DV1399" s="4" t="n"/>
      <c r="DW1399" s="4" t="n"/>
      <c r="DX1399" s="4" t="n"/>
      <c r="DY1399" s="4" t="n"/>
      <c r="DZ1399" s="4" t="n"/>
      <c r="EA1399" s="4" t="n"/>
      <c r="EB1399" s="4" t="n"/>
      <c r="EC1399" s="4" t="n"/>
      <c r="ED1399" s="4" t="n"/>
      <c r="EE1399" s="4" t="n"/>
      <c r="EF1399" s="4" t="n"/>
      <c r="EG1399" s="4" t="n"/>
      <c r="EH1399" s="4" t="n"/>
      <c r="EI1399" s="4" t="n"/>
      <c r="EJ1399" s="4" t="n"/>
      <c r="EK1399" s="4" t="n"/>
      <c r="EL1399" s="4" t="n"/>
      <c r="EM1399" s="4" t="n"/>
      <c r="EN1399" s="4" t="n"/>
      <c r="EO1399" s="4" t="n"/>
      <c r="EP1399" s="4" t="n"/>
      <c r="EQ1399" s="4" t="n"/>
      <c r="ER1399" s="4" t="n"/>
      <c r="ES1399" s="4" t="n"/>
      <c r="ET1399" s="4" t="n"/>
      <c r="EU1399" s="4" t="n"/>
      <c r="EV1399" s="4" t="n"/>
      <c r="EW1399" s="4" t="n"/>
      <c r="EX1399" s="4" t="n"/>
      <c r="EY1399" s="4" t="n"/>
      <c r="EZ1399" s="4" t="n"/>
      <c r="FA1399" s="4" t="n"/>
      <c r="FB1399" s="4" t="n"/>
      <c r="FC1399" s="4" t="n"/>
    </row>
    <row r="1400" hidden="1" customFormat="1" s="6">
      <c r="C1400" s="4" t="n"/>
      <c r="D1400" s="4" t="n"/>
      <c r="E1400" s="4" t="n"/>
      <c r="F1400" s="4" t="n"/>
      <c r="G1400" s="4" t="n"/>
      <c r="H1400" s="4" t="n"/>
      <c r="I1400" s="4" t="n"/>
      <c r="J1400" s="4" t="n"/>
      <c r="K1400" s="4" t="n"/>
      <c r="L1400" s="4" t="n"/>
      <c r="M1400" s="4" t="n"/>
      <c r="N1400" s="4" t="n"/>
      <c r="O1400" s="4" t="n"/>
      <c r="P1400" s="4" t="n"/>
      <c r="Q1400" s="4" t="n"/>
      <c r="R1400" s="4" t="n"/>
      <c r="S1400" s="4" t="n"/>
      <c r="T1400" s="4" t="n"/>
      <c r="U1400" s="4" t="n"/>
      <c r="V1400" s="4" t="n"/>
      <c r="W1400" s="4" t="n"/>
      <c r="X1400" s="4" t="n"/>
      <c r="Y1400" s="4" t="n"/>
      <c r="Z1400" s="4" t="n"/>
      <c r="AA1400" s="4" t="n"/>
      <c r="AB1400" s="4" t="n"/>
      <c r="AC1400" s="4" t="n"/>
      <c r="AD1400" s="4" t="n"/>
      <c r="AE1400" s="4" t="n"/>
      <c r="AF1400" s="4" t="n"/>
      <c r="AG1400" s="4" t="n"/>
      <c r="AH1400" s="4" t="n"/>
      <c r="AI1400" s="4" t="n"/>
      <c r="AJ1400" s="4" t="n"/>
      <c r="AK1400" s="4" t="n"/>
      <c r="AL1400" s="4" t="n"/>
      <c r="AM1400" s="4" t="n"/>
      <c r="AN1400" s="4" t="n"/>
      <c r="AO1400" s="4" t="n"/>
      <c r="AP1400" s="4" t="n"/>
      <c r="AQ1400" s="4" t="n"/>
      <c r="AR1400" s="4" t="n"/>
      <c r="AS1400" s="4" t="n"/>
      <c r="AT1400" s="4" t="n"/>
      <c r="AU1400" s="4" t="n"/>
      <c r="AV1400" s="4" t="n"/>
      <c r="AW1400" s="4" t="n"/>
      <c r="AX1400" s="4" t="n"/>
      <c r="AY1400" s="4" t="n"/>
      <c r="AZ1400" s="4" t="n"/>
      <c r="BA1400" s="4" t="n"/>
      <c r="BB1400" s="4" t="n"/>
      <c r="BC1400" s="4" t="n"/>
      <c r="BD1400" s="4" t="n"/>
      <c r="BE1400" s="4" t="n"/>
      <c r="BF1400" s="4" t="n"/>
      <c r="BG1400" s="4" t="n"/>
      <c r="BH1400" s="4" t="n"/>
      <c r="BI1400" s="4" t="n"/>
      <c r="BJ1400" s="4" t="n"/>
      <c r="BK1400" s="4" t="n"/>
      <c r="BL1400" s="4" t="n"/>
      <c r="BM1400" s="4" t="n"/>
      <c r="BN1400" s="4" t="n"/>
      <c r="BO1400" s="4" t="n"/>
      <c r="BP1400" s="4" t="n"/>
      <c r="BQ1400" s="4" t="n"/>
      <c r="BR1400" s="4" t="n"/>
      <c r="BS1400" s="4" t="n"/>
      <c r="BT1400" s="4" t="n"/>
      <c r="BU1400" s="4" t="n"/>
      <c r="BV1400" s="4" t="n"/>
      <c r="BW1400" s="4" t="n"/>
      <c r="BX1400" s="4" t="n"/>
      <c r="BY1400" s="4" t="n"/>
      <c r="BZ1400" s="4" t="n"/>
      <c r="CA1400" s="4" t="n"/>
      <c r="CB1400" s="4" t="n"/>
      <c r="CC1400" s="4" t="n"/>
      <c r="CD1400" s="4" t="n"/>
      <c r="CE1400" s="4" t="n"/>
      <c r="CF1400" s="4" t="n"/>
      <c r="CG1400" s="4" t="n"/>
      <c r="CH1400" s="4" t="n"/>
      <c r="CI1400" s="4" t="n"/>
      <c r="CJ1400" s="4" t="n"/>
      <c r="CK1400" s="4" t="n"/>
      <c r="CL1400" s="4" t="n"/>
      <c r="CM1400" s="4" t="n"/>
      <c r="CN1400" s="4" t="n"/>
      <c r="CO1400" s="4" t="n"/>
      <c r="CP1400" s="4" t="n"/>
      <c r="CQ1400" s="4" t="n"/>
      <c r="CR1400" s="4" t="n"/>
      <c r="CS1400" s="4" t="n"/>
      <c r="CT1400" s="4" t="n"/>
      <c r="CU1400" s="4" t="n"/>
      <c r="CV1400" s="4" t="n"/>
      <c r="CW1400" s="4" t="n"/>
      <c r="CX1400" s="4" t="n"/>
      <c r="CY1400" s="4" t="n"/>
      <c r="CZ1400" s="4" t="n"/>
      <c r="DA1400" s="4" t="n"/>
      <c r="DB1400" s="4" t="n"/>
      <c r="DC1400" s="4" t="n"/>
      <c r="DD1400" s="4" t="n"/>
      <c r="DE1400" s="4" t="n"/>
      <c r="DF1400" s="4" t="n"/>
      <c r="DG1400" s="4" t="n"/>
      <c r="DH1400" s="4" t="n"/>
      <c r="DI1400" s="4" t="n"/>
      <c r="DJ1400" s="4" t="n"/>
      <c r="DK1400" s="4" t="n"/>
      <c r="DL1400" s="4" t="n"/>
      <c r="DM1400" s="4" t="n"/>
      <c r="DN1400" s="4" t="n"/>
      <c r="DO1400" s="4" t="n"/>
      <c r="DP1400" s="4" t="n"/>
      <c r="DQ1400" s="4" t="n"/>
      <c r="DR1400" s="4" t="n"/>
      <c r="DS1400" s="4" t="n"/>
      <c r="DT1400" s="4" t="n"/>
      <c r="DU1400" s="4" t="n"/>
      <c r="DV1400" s="4" t="n"/>
      <c r="DW1400" s="4" t="n"/>
      <c r="DX1400" s="4" t="n"/>
      <c r="DY1400" s="4" t="n"/>
      <c r="DZ1400" s="4" t="n"/>
      <c r="EA1400" s="4" t="n"/>
      <c r="EB1400" s="4" t="n"/>
      <c r="EC1400" s="4" t="n"/>
      <c r="ED1400" s="4" t="n"/>
      <c r="EE1400" s="4" t="n"/>
      <c r="EF1400" s="4" t="n"/>
      <c r="EG1400" s="4" t="n"/>
      <c r="EH1400" s="4" t="n"/>
      <c r="EI1400" s="4" t="n"/>
      <c r="EJ1400" s="4" t="n"/>
      <c r="EK1400" s="4" t="n"/>
      <c r="EL1400" s="4" t="n"/>
      <c r="EM1400" s="4" t="n"/>
      <c r="EN1400" s="4" t="n"/>
      <c r="EO1400" s="4" t="n"/>
      <c r="EP1400" s="4" t="n"/>
      <c r="EQ1400" s="4" t="n"/>
      <c r="ER1400" s="4" t="n"/>
      <c r="ES1400" s="4" t="n"/>
      <c r="ET1400" s="4" t="n"/>
      <c r="EU1400" s="4" t="n"/>
      <c r="EV1400" s="4" t="n"/>
      <c r="EW1400" s="4" t="n"/>
      <c r="EX1400" s="4" t="n"/>
      <c r="EY1400" s="4" t="n"/>
      <c r="EZ1400" s="4" t="n"/>
      <c r="FA1400" s="4" t="n"/>
      <c r="FB1400" s="4" t="n"/>
      <c r="FC1400" s="4" t="n"/>
    </row>
    <row r="1401" hidden="1" customFormat="1" s="6">
      <c r="C1401" s="4" t="n"/>
      <c r="D1401" s="4" t="n"/>
      <c r="E1401" s="4" t="n"/>
      <c r="F1401" s="4" t="n"/>
      <c r="G1401" s="4" t="n"/>
      <c r="H1401" s="4" t="n"/>
      <c r="I1401" s="4" t="n"/>
      <c r="J1401" s="4" t="n"/>
      <c r="K1401" s="4" t="n"/>
      <c r="L1401" s="4" t="n"/>
      <c r="M1401" s="4" t="n"/>
      <c r="N1401" s="4" t="n"/>
      <c r="O1401" s="4" t="n"/>
      <c r="P1401" s="4" t="n"/>
      <c r="Q1401" s="4" t="n"/>
      <c r="R1401" s="4" t="n"/>
      <c r="S1401" s="4" t="n"/>
      <c r="T1401" s="4" t="n"/>
      <c r="U1401" s="4" t="n"/>
      <c r="V1401" s="4" t="n"/>
      <c r="W1401" s="4" t="n"/>
      <c r="X1401" s="4" t="n"/>
      <c r="Y1401" s="4" t="n"/>
      <c r="Z1401" s="4" t="n"/>
      <c r="AA1401" s="4" t="n"/>
      <c r="AB1401" s="4" t="n"/>
      <c r="AC1401" s="4" t="n"/>
      <c r="AD1401" s="4" t="n"/>
      <c r="AE1401" s="4" t="n"/>
      <c r="AF1401" s="4" t="n"/>
      <c r="AG1401" s="4" t="n"/>
      <c r="AH1401" s="4" t="n"/>
      <c r="AI1401" s="4" t="n"/>
      <c r="AJ1401" s="4" t="n"/>
      <c r="AK1401" s="4" t="n"/>
      <c r="AL1401" s="4" t="n"/>
      <c r="AM1401" s="4" t="n"/>
      <c r="AN1401" s="4" t="n"/>
      <c r="AO1401" s="4" t="n"/>
      <c r="AP1401" s="4" t="n"/>
      <c r="AQ1401" s="4" t="n"/>
      <c r="AR1401" s="4" t="n"/>
      <c r="AS1401" s="4" t="n"/>
      <c r="AT1401" s="4" t="n"/>
      <c r="AU1401" s="4" t="n"/>
      <c r="AV1401" s="4" t="n"/>
      <c r="AW1401" s="4" t="n"/>
      <c r="AX1401" s="4" t="n"/>
      <c r="AY1401" s="4" t="n"/>
      <c r="AZ1401" s="4" t="n"/>
      <c r="BA1401" s="4" t="n"/>
      <c r="BB1401" s="4" t="n"/>
      <c r="BC1401" s="4" t="n"/>
      <c r="BD1401" s="4" t="n"/>
      <c r="BE1401" s="4" t="n"/>
      <c r="BF1401" s="4" t="n"/>
      <c r="BG1401" s="4" t="n"/>
      <c r="BH1401" s="4" t="n"/>
      <c r="BI1401" s="4" t="n"/>
      <c r="BJ1401" s="4" t="n"/>
      <c r="BK1401" s="4" t="n"/>
      <c r="BL1401" s="4" t="n"/>
      <c r="BM1401" s="4" t="n"/>
      <c r="BN1401" s="4" t="n"/>
      <c r="BO1401" s="4" t="n"/>
      <c r="BP1401" s="4" t="n"/>
      <c r="BQ1401" s="4" t="n"/>
      <c r="BR1401" s="4" t="n"/>
      <c r="BS1401" s="4" t="n"/>
      <c r="BT1401" s="4" t="n"/>
      <c r="BU1401" s="4" t="n"/>
      <c r="BV1401" s="4" t="n"/>
      <c r="BW1401" s="4" t="n"/>
      <c r="BX1401" s="4" t="n"/>
      <c r="BY1401" s="4" t="n"/>
      <c r="BZ1401" s="4" t="n"/>
      <c r="CA1401" s="4" t="n"/>
      <c r="CB1401" s="4" t="n"/>
      <c r="CC1401" s="4" t="n"/>
      <c r="CD1401" s="4" t="n"/>
      <c r="CE1401" s="4" t="n"/>
      <c r="CF1401" s="4" t="n"/>
      <c r="CG1401" s="4" t="n"/>
      <c r="CH1401" s="4" t="n"/>
      <c r="CI1401" s="4" t="n"/>
      <c r="CJ1401" s="4" t="n"/>
      <c r="CK1401" s="4" t="n"/>
      <c r="CL1401" s="4" t="n"/>
      <c r="CM1401" s="4" t="n"/>
      <c r="CN1401" s="4" t="n"/>
      <c r="CO1401" s="4" t="n"/>
      <c r="CP1401" s="4" t="n"/>
      <c r="CQ1401" s="4" t="n"/>
      <c r="CR1401" s="4" t="n"/>
      <c r="CS1401" s="4" t="n"/>
      <c r="CT1401" s="4" t="n"/>
      <c r="CU1401" s="4" t="n"/>
      <c r="CV1401" s="4" t="n"/>
      <c r="CW1401" s="4" t="n"/>
      <c r="CX1401" s="4" t="n"/>
      <c r="CY1401" s="4" t="n"/>
      <c r="CZ1401" s="4" t="n"/>
      <c r="DA1401" s="4" t="n"/>
      <c r="DB1401" s="4" t="n"/>
      <c r="DC1401" s="4" t="n"/>
      <c r="DD1401" s="4" t="n"/>
      <c r="DE1401" s="4" t="n"/>
      <c r="DF1401" s="4" t="n"/>
      <c r="DG1401" s="4" t="n"/>
      <c r="DH1401" s="4" t="n"/>
      <c r="DI1401" s="4" t="n"/>
      <c r="DJ1401" s="4" t="n"/>
      <c r="DK1401" s="4" t="n"/>
      <c r="DL1401" s="4" t="n"/>
      <c r="DM1401" s="4" t="n"/>
      <c r="DN1401" s="4" t="n"/>
      <c r="DO1401" s="4" t="n"/>
      <c r="DP1401" s="4" t="n"/>
      <c r="DQ1401" s="4" t="n"/>
      <c r="DR1401" s="4" t="n"/>
      <c r="DS1401" s="4" t="n"/>
      <c r="DT1401" s="4" t="n"/>
      <c r="DU1401" s="4" t="n"/>
      <c r="DV1401" s="4" t="n"/>
      <c r="DW1401" s="4" t="n"/>
      <c r="DX1401" s="4" t="n"/>
      <c r="DY1401" s="4" t="n"/>
      <c r="DZ1401" s="4" t="n"/>
      <c r="EA1401" s="4" t="n"/>
      <c r="EB1401" s="4" t="n"/>
      <c r="EC1401" s="4" t="n"/>
      <c r="ED1401" s="4" t="n"/>
      <c r="EE1401" s="4" t="n"/>
      <c r="EF1401" s="4" t="n"/>
      <c r="EG1401" s="4" t="n"/>
      <c r="EH1401" s="4" t="n"/>
      <c r="EI1401" s="4" t="n"/>
      <c r="EJ1401" s="4" t="n"/>
      <c r="EK1401" s="4" t="n"/>
      <c r="EL1401" s="4" t="n"/>
      <c r="EM1401" s="4" t="n"/>
      <c r="EN1401" s="4" t="n"/>
      <c r="EO1401" s="4" t="n"/>
      <c r="EP1401" s="4" t="n"/>
      <c r="EQ1401" s="4" t="n"/>
      <c r="ER1401" s="4" t="n"/>
      <c r="ES1401" s="4" t="n"/>
      <c r="ET1401" s="4" t="n"/>
      <c r="EU1401" s="4" t="n"/>
      <c r="EV1401" s="4" t="n"/>
      <c r="EW1401" s="4" t="n"/>
      <c r="EX1401" s="4" t="n"/>
      <c r="EY1401" s="4" t="n"/>
      <c r="EZ1401" s="4" t="n"/>
      <c r="FA1401" s="4" t="n"/>
      <c r="FB1401" s="4" t="n"/>
      <c r="FC1401" s="4" t="n"/>
    </row>
    <row r="1402" hidden="1" customFormat="1" s="6">
      <c r="C1402" s="4" t="n"/>
      <c r="D1402" s="4" t="n"/>
      <c r="E1402" s="4" t="n"/>
      <c r="F1402" s="4" t="n"/>
      <c r="G1402" s="4" t="n"/>
      <c r="H1402" s="4" t="n"/>
      <c r="I1402" s="4" t="n"/>
      <c r="J1402" s="4" t="n"/>
      <c r="K1402" s="4" t="n"/>
      <c r="L1402" s="4" t="n"/>
      <c r="M1402" s="4" t="n"/>
      <c r="N1402" s="4" t="n"/>
      <c r="O1402" s="4" t="n"/>
      <c r="P1402" s="4" t="n"/>
      <c r="Q1402" s="4" t="n"/>
      <c r="R1402" s="4" t="n"/>
      <c r="S1402" s="4" t="n"/>
      <c r="T1402" s="4" t="n"/>
      <c r="U1402" s="4" t="n"/>
      <c r="V1402" s="4" t="n"/>
      <c r="W1402" s="4" t="n"/>
      <c r="X1402" s="4" t="n"/>
      <c r="Y1402" s="4" t="n"/>
      <c r="Z1402" s="4" t="n"/>
      <c r="AA1402" s="4" t="n"/>
      <c r="AB1402" s="4" t="n"/>
      <c r="AC1402" s="4" t="n"/>
      <c r="AD1402" s="4" t="n"/>
      <c r="AE1402" s="4" t="n"/>
      <c r="AF1402" s="4" t="n"/>
      <c r="AG1402" s="4" t="n"/>
      <c r="AH1402" s="4" t="n"/>
      <c r="AI1402" s="4" t="n"/>
      <c r="AJ1402" s="4" t="n"/>
      <c r="AK1402" s="4" t="n"/>
      <c r="AL1402" s="4" t="n"/>
      <c r="AM1402" s="4" t="n"/>
      <c r="AN1402" s="4" t="n"/>
      <c r="AO1402" s="4" t="n"/>
      <c r="AP1402" s="4" t="n"/>
      <c r="AQ1402" s="4" t="n"/>
      <c r="AR1402" s="4" t="n"/>
      <c r="AS1402" s="4" t="n"/>
      <c r="AT1402" s="4" t="n"/>
      <c r="AU1402" s="4" t="n"/>
      <c r="AV1402" s="4" t="n"/>
      <c r="AW1402" s="4" t="n"/>
      <c r="AX1402" s="4" t="n"/>
      <c r="AY1402" s="4" t="n"/>
      <c r="AZ1402" s="4" t="n"/>
      <c r="BA1402" s="4" t="n"/>
      <c r="BB1402" s="4" t="n"/>
      <c r="BC1402" s="4" t="n"/>
      <c r="BD1402" s="4" t="n"/>
      <c r="BE1402" s="4" t="n"/>
      <c r="BF1402" s="4" t="n"/>
      <c r="BG1402" s="4" t="n"/>
      <c r="BH1402" s="4" t="n"/>
      <c r="BI1402" s="4" t="n"/>
      <c r="BJ1402" s="4" t="n"/>
      <c r="BK1402" s="4" t="n"/>
      <c r="BL1402" s="4" t="n"/>
      <c r="BM1402" s="4" t="n"/>
      <c r="BN1402" s="4" t="n"/>
      <c r="BO1402" s="4" t="n"/>
      <c r="BP1402" s="4" t="n"/>
      <c r="BQ1402" s="4" t="n"/>
      <c r="BR1402" s="4" t="n"/>
      <c r="BS1402" s="4" t="n"/>
      <c r="BT1402" s="4" t="n"/>
      <c r="BU1402" s="4" t="n"/>
      <c r="BV1402" s="4" t="n"/>
      <c r="BW1402" s="4" t="n"/>
      <c r="BX1402" s="4" t="n"/>
      <c r="BY1402" s="4" t="n"/>
      <c r="BZ1402" s="4" t="n"/>
      <c r="CA1402" s="4" t="n"/>
      <c r="CB1402" s="4" t="n"/>
      <c r="CC1402" s="4" t="n"/>
      <c r="CD1402" s="4" t="n"/>
      <c r="CE1402" s="4" t="n"/>
      <c r="CF1402" s="4" t="n"/>
      <c r="CG1402" s="4" t="n"/>
      <c r="CH1402" s="4" t="n"/>
      <c r="CI1402" s="4" t="n"/>
      <c r="CJ1402" s="4" t="n"/>
      <c r="CK1402" s="4" t="n"/>
      <c r="CL1402" s="4" t="n"/>
      <c r="CM1402" s="4" t="n"/>
      <c r="CN1402" s="4" t="n"/>
      <c r="CO1402" s="4" t="n"/>
      <c r="CP1402" s="4" t="n"/>
      <c r="CQ1402" s="4" t="n"/>
      <c r="CR1402" s="4" t="n"/>
      <c r="CS1402" s="4" t="n"/>
      <c r="CT1402" s="4" t="n"/>
      <c r="CU1402" s="4" t="n"/>
      <c r="CV1402" s="4" t="n"/>
      <c r="CW1402" s="4" t="n"/>
      <c r="CX1402" s="4" t="n"/>
      <c r="CY1402" s="4" t="n"/>
      <c r="CZ1402" s="4" t="n"/>
      <c r="DA1402" s="4" t="n"/>
      <c r="DB1402" s="4" t="n"/>
      <c r="DC1402" s="4" t="n"/>
      <c r="DD1402" s="4" t="n"/>
      <c r="DE1402" s="4" t="n"/>
      <c r="DF1402" s="4" t="n"/>
      <c r="DG1402" s="4" t="n"/>
      <c r="DH1402" s="4" t="n"/>
      <c r="DI1402" s="4" t="n"/>
      <c r="DJ1402" s="4" t="n"/>
      <c r="DK1402" s="4" t="n"/>
      <c r="DL1402" s="4" t="n"/>
      <c r="DM1402" s="4" t="n"/>
      <c r="DN1402" s="4" t="n"/>
      <c r="DO1402" s="4" t="n"/>
      <c r="DP1402" s="4" t="n"/>
      <c r="DQ1402" s="4" t="n"/>
      <c r="DR1402" s="4" t="n"/>
      <c r="DS1402" s="4" t="n"/>
      <c r="DT1402" s="4" t="n"/>
      <c r="DU1402" s="4" t="n"/>
      <c r="DV1402" s="4" t="n"/>
      <c r="DW1402" s="4" t="n"/>
      <c r="DX1402" s="4" t="n"/>
      <c r="DY1402" s="4" t="n"/>
      <c r="DZ1402" s="4" t="n"/>
      <c r="EA1402" s="4" t="n"/>
      <c r="EB1402" s="4" t="n"/>
      <c r="EC1402" s="4" t="n"/>
      <c r="ED1402" s="4" t="n"/>
      <c r="EE1402" s="4" t="n"/>
      <c r="EF1402" s="4" t="n"/>
      <c r="EG1402" s="4" t="n"/>
      <c r="EH1402" s="4" t="n"/>
      <c r="EI1402" s="4" t="n"/>
      <c r="EJ1402" s="4" t="n"/>
      <c r="EK1402" s="4" t="n"/>
      <c r="EL1402" s="4" t="n"/>
      <c r="EM1402" s="4" t="n"/>
      <c r="EN1402" s="4" t="n"/>
      <c r="EO1402" s="4" t="n"/>
      <c r="EP1402" s="4" t="n"/>
      <c r="EQ1402" s="4" t="n"/>
      <c r="ER1402" s="4" t="n"/>
      <c r="ES1402" s="4" t="n"/>
      <c r="ET1402" s="4" t="n"/>
      <c r="EU1402" s="4" t="n"/>
      <c r="EV1402" s="4" t="n"/>
      <c r="EW1402" s="4" t="n"/>
      <c r="EX1402" s="4" t="n"/>
      <c r="EY1402" s="4" t="n"/>
      <c r="EZ1402" s="4" t="n"/>
      <c r="FA1402" s="4" t="n"/>
      <c r="FB1402" s="4" t="n"/>
      <c r="FC1402" s="4" t="n"/>
    </row>
    <row r="1403" hidden="1" customFormat="1" s="6">
      <c r="C1403" s="4" t="n"/>
      <c r="D1403" s="4" t="n"/>
      <c r="E1403" s="4" t="n"/>
      <c r="F1403" s="4" t="n"/>
      <c r="G1403" s="4" t="n"/>
      <c r="H1403" s="4" t="n"/>
      <c r="I1403" s="4" t="n"/>
      <c r="J1403" s="4" t="n"/>
      <c r="K1403" s="4" t="n"/>
      <c r="L1403" s="4" t="n"/>
      <c r="M1403" s="4" t="n"/>
      <c r="N1403" s="4" t="n"/>
      <c r="O1403" s="4" t="n"/>
      <c r="P1403" s="4" t="n"/>
      <c r="Q1403" s="4" t="n"/>
      <c r="R1403" s="4" t="n"/>
      <c r="S1403" s="4" t="n"/>
      <c r="T1403" s="4" t="n"/>
      <c r="U1403" s="4" t="n"/>
      <c r="V1403" s="4" t="n"/>
      <c r="W1403" s="4" t="n"/>
      <c r="X1403" s="4" t="n"/>
      <c r="Y1403" s="4" t="n"/>
      <c r="Z1403" s="4" t="n"/>
      <c r="AA1403" s="4" t="n"/>
      <c r="AB1403" s="4" t="n"/>
      <c r="AC1403" s="4" t="n"/>
      <c r="AD1403" s="4" t="n"/>
      <c r="AE1403" s="4" t="n"/>
      <c r="AF1403" s="4" t="n"/>
      <c r="AG1403" s="4" t="n"/>
      <c r="AH1403" s="4" t="n"/>
      <c r="AI1403" s="4" t="n"/>
      <c r="AJ1403" s="4" t="n"/>
      <c r="AK1403" s="4" t="n"/>
      <c r="AL1403" s="4" t="n"/>
      <c r="AM1403" s="4" t="n"/>
      <c r="AN1403" s="4" t="n"/>
      <c r="AO1403" s="4" t="n"/>
      <c r="AP1403" s="4" t="n"/>
      <c r="AQ1403" s="4" t="n"/>
      <c r="AR1403" s="4" t="n"/>
      <c r="AS1403" s="4" t="n"/>
      <c r="AT1403" s="4" t="n"/>
      <c r="AU1403" s="4" t="n"/>
      <c r="AV1403" s="4" t="n"/>
      <c r="AW1403" s="4" t="n"/>
      <c r="AX1403" s="4" t="n"/>
      <c r="AY1403" s="4" t="n"/>
      <c r="AZ1403" s="4" t="n"/>
      <c r="BA1403" s="4" t="n"/>
      <c r="BB1403" s="4" t="n"/>
      <c r="BC1403" s="4" t="n"/>
      <c r="BD1403" s="4" t="n"/>
      <c r="BE1403" s="4" t="n"/>
      <c r="BF1403" s="4" t="n"/>
      <c r="BG1403" s="4" t="n"/>
      <c r="BH1403" s="4" t="n"/>
      <c r="BI1403" s="4" t="n"/>
      <c r="BJ1403" s="4" t="n"/>
      <c r="BK1403" s="4" t="n"/>
      <c r="BL1403" s="4" t="n"/>
      <c r="BM1403" s="4" t="n"/>
      <c r="BN1403" s="4" t="n"/>
      <c r="BO1403" s="4" t="n"/>
      <c r="BP1403" s="4" t="n"/>
      <c r="BQ1403" s="4" t="n"/>
      <c r="BR1403" s="4" t="n"/>
      <c r="BS1403" s="4" t="n"/>
      <c r="BT1403" s="4" t="n"/>
      <c r="BU1403" s="4" t="n"/>
      <c r="BV1403" s="4" t="n"/>
      <c r="BW1403" s="4" t="n"/>
      <c r="BX1403" s="4" t="n"/>
      <c r="BY1403" s="4" t="n"/>
      <c r="BZ1403" s="4" t="n"/>
      <c r="CA1403" s="4" t="n"/>
      <c r="CB1403" s="4" t="n"/>
      <c r="CC1403" s="4" t="n"/>
      <c r="CD1403" s="4" t="n"/>
      <c r="CE1403" s="4" t="n"/>
      <c r="CF1403" s="4" t="n"/>
      <c r="CG1403" s="4" t="n"/>
      <c r="CH1403" s="4" t="n"/>
      <c r="CI1403" s="4" t="n"/>
      <c r="CJ1403" s="4" t="n"/>
      <c r="CK1403" s="4" t="n"/>
      <c r="CL1403" s="4" t="n"/>
      <c r="CM1403" s="4" t="n"/>
      <c r="CN1403" s="4" t="n"/>
      <c r="CO1403" s="4" t="n"/>
      <c r="CP1403" s="4" t="n"/>
      <c r="CQ1403" s="4" t="n"/>
      <c r="CR1403" s="4" t="n"/>
      <c r="CS1403" s="4" t="n"/>
      <c r="CT1403" s="4" t="n"/>
      <c r="CU1403" s="4" t="n"/>
      <c r="CV1403" s="4" t="n"/>
      <c r="CW1403" s="4" t="n"/>
      <c r="CX1403" s="4" t="n"/>
      <c r="CY1403" s="4" t="n"/>
      <c r="CZ1403" s="4" t="n"/>
      <c r="DA1403" s="4" t="n"/>
      <c r="DB1403" s="4" t="n"/>
      <c r="DC1403" s="4" t="n"/>
      <c r="DD1403" s="4" t="n"/>
      <c r="DE1403" s="4" t="n"/>
      <c r="DF1403" s="4" t="n"/>
      <c r="DG1403" s="4" t="n"/>
      <c r="DH1403" s="4" t="n"/>
      <c r="DI1403" s="4" t="n"/>
      <c r="DJ1403" s="4" t="n"/>
      <c r="DK1403" s="4" t="n"/>
      <c r="DL1403" s="4" t="n"/>
      <c r="DM1403" s="4" t="n"/>
      <c r="DN1403" s="4" t="n"/>
      <c r="DO1403" s="4" t="n"/>
      <c r="DP1403" s="4" t="n"/>
      <c r="DQ1403" s="4" t="n"/>
      <c r="DR1403" s="4" t="n"/>
      <c r="DS1403" s="4" t="n"/>
      <c r="DT1403" s="4" t="n"/>
      <c r="DU1403" s="4" t="n"/>
      <c r="DV1403" s="4" t="n"/>
      <c r="DW1403" s="4" t="n"/>
      <c r="DX1403" s="4" t="n"/>
      <c r="DY1403" s="4" t="n"/>
      <c r="DZ1403" s="4" t="n"/>
      <c r="EA1403" s="4" t="n"/>
      <c r="EB1403" s="4" t="n"/>
      <c r="EC1403" s="4" t="n"/>
      <c r="ED1403" s="4" t="n"/>
      <c r="EE1403" s="4" t="n"/>
      <c r="EF1403" s="4" t="n"/>
      <c r="EG1403" s="4" t="n"/>
      <c r="EH1403" s="4" t="n"/>
      <c r="EI1403" s="4" t="n"/>
      <c r="EJ1403" s="4" t="n"/>
      <c r="EK1403" s="4" t="n"/>
      <c r="EL1403" s="4" t="n"/>
      <c r="EM1403" s="4" t="n"/>
      <c r="EN1403" s="4" t="n"/>
      <c r="EO1403" s="4" t="n"/>
      <c r="EP1403" s="4" t="n"/>
      <c r="EQ1403" s="4" t="n"/>
      <c r="ER1403" s="4" t="n"/>
      <c r="ES1403" s="4" t="n"/>
      <c r="ET1403" s="4" t="n"/>
      <c r="EU1403" s="4" t="n"/>
      <c r="EV1403" s="4" t="n"/>
      <c r="EW1403" s="4" t="n"/>
      <c r="EX1403" s="4" t="n"/>
      <c r="EY1403" s="4" t="n"/>
      <c r="EZ1403" s="4" t="n"/>
      <c r="FA1403" s="4" t="n"/>
      <c r="FB1403" s="4" t="n"/>
      <c r="FC1403" s="4" t="n"/>
    </row>
    <row r="1404" hidden="1" customFormat="1" s="6">
      <c r="C1404" s="4" t="n"/>
      <c r="D1404" s="4" t="n"/>
      <c r="E1404" s="4" t="n"/>
      <c r="F1404" s="4" t="n"/>
      <c r="G1404" s="4" t="n"/>
      <c r="H1404" s="4" t="n"/>
      <c r="I1404" s="4" t="n"/>
      <c r="J1404" s="4" t="n"/>
      <c r="K1404" s="4" t="n"/>
      <c r="L1404" s="4" t="n"/>
      <c r="M1404" s="4" t="n"/>
      <c r="N1404" s="4" t="n"/>
      <c r="O1404" s="4" t="n"/>
      <c r="P1404" s="4" t="n"/>
      <c r="Q1404" s="4" t="n"/>
      <c r="R1404" s="4" t="n"/>
      <c r="S1404" s="4" t="n"/>
      <c r="T1404" s="4" t="n"/>
      <c r="U1404" s="4" t="n"/>
      <c r="V1404" s="4" t="n"/>
      <c r="W1404" s="4" t="n"/>
      <c r="X1404" s="4" t="n"/>
      <c r="Y1404" s="4" t="n"/>
      <c r="Z1404" s="4" t="n"/>
      <c r="AA1404" s="4" t="n"/>
      <c r="AB1404" s="4" t="n"/>
      <c r="AC1404" s="4" t="n"/>
      <c r="AD1404" s="4" t="n"/>
      <c r="AE1404" s="4" t="n"/>
      <c r="AF1404" s="4" t="n"/>
      <c r="AG1404" s="4" t="n"/>
      <c r="AH1404" s="4" t="n"/>
      <c r="AI1404" s="4" t="n"/>
      <c r="AJ1404" s="4" t="n"/>
      <c r="AK1404" s="4" t="n"/>
      <c r="AL1404" s="4" t="n"/>
      <c r="AM1404" s="4" t="n"/>
      <c r="AN1404" s="4" t="n"/>
      <c r="AO1404" s="4" t="n"/>
      <c r="AP1404" s="4" t="n"/>
      <c r="AQ1404" s="4" t="n"/>
      <c r="AR1404" s="4" t="n"/>
      <c r="AS1404" s="4" t="n"/>
      <c r="AT1404" s="4" t="n"/>
      <c r="AU1404" s="4" t="n"/>
      <c r="AV1404" s="4" t="n"/>
      <c r="AW1404" s="4" t="n"/>
      <c r="AX1404" s="4" t="n"/>
      <c r="AY1404" s="4" t="n"/>
      <c r="AZ1404" s="4" t="n"/>
      <c r="BA1404" s="4" t="n"/>
      <c r="BB1404" s="4" t="n"/>
      <c r="BC1404" s="4" t="n"/>
      <c r="BD1404" s="4" t="n"/>
      <c r="BE1404" s="4" t="n"/>
      <c r="BF1404" s="4" t="n"/>
      <c r="BG1404" s="4" t="n"/>
      <c r="BH1404" s="4" t="n"/>
      <c r="BI1404" s="4" t="n"/>
      <c r="BJ1404" s="4" t="n"/>
      <c r="BK1404" s="4" t="n"/>
      <c r="BL1404" s="4" t="n"/>
      <c r="BM1404" s="4" t="n"/>
      <c r="BN1404" s="4" t="n"/>
      <c r="BO1404" s="4" t="n"/>
      <c r="BP1404" s="4" t="n"/>
      <c r="BQ1404" s="4" t="n"/>
      <c r="BR1404" s="4" t="n"/>
      <c r="BS1404" s="4" t="n"/>
      <c r="BT1404" s="4" t="n"/>
      <c r="BU1404" s="4" t="n"/>
      <c r="BV1404" s="4" t="n"/>
      <c r="BW1404" s="4" t="n"/>
      <c r="BX1404" s="4" t="n"/>
      <c r="BY1404" s="4" t="n"/>
      <c r="BZ1404" s="4" t="n"/>
      <c r="CA1404" s="4" t="n"/>
      <c r="CB1404" s="4" t="n"/>
      <c r="CC1404" s="4" t="n"/>
      <c r="CD1404" s="4" t="n"/>
      <c r="CE1404" s="4" t="n"/>
      <c r="CF1404" s="4" t="n"/>
      <c r="CG1404" s="4" t="n"/>
      <c r="CH1404" s="4" t="n"/>
      <c r="CI1404" s="4" t="n"/>
      <c r="CJ1404" s="4" t="n"/>
      <c r="CK1404" s="4" t="n"/>
      <c r="CL1404" s="4" t="n"/>
      <c r="CM1404" s="4" t="n"/>
      <c r="CN1404" s="4" t="n"/>
      <c r="CO1404" s="4" t="n"/>
      <c r="CP1404" s="4" t="n"/>
      <c r="CQ1404" s="4" t="n"/>
      <c r="CR1404" s="4" t="n"/>
      <c r="CS1404" s="4" t="n"/>
      <c r="CT1404" s="4" t="n"/>
      <c r="CU1404" s="4" t="n"/>
      <c r="CV1404" s="4" t="n"/>
      <c r="CW1404" s="4" t="n"/>
      <c r="CX1404" s="4" t="n"/>
      <c r="CY1404" s="4" t="n"/>
      <c r="CZ1404" s="4" t="n"/>
      <c r="DA1404" s="4" t="n"/>
      <c r="DB1404" s="4" t="n"/>
      <c r="DC1404" s="4" t="n"/>
      <c r="DD1404" s="4" t="n"/>
      <c r="DE1404" s="4" t="n"/>
      <c r="DF1404" s="4" t="n"/>
      <c r="DG1404" s="4" t="n"/>
      <c r="DH1404" s="4" t="n"/>
      <c r="DI1404" s="4" t="n"/>
      <c r="DJ1404" s="4" t="n"/>
      <c r="DK1404" s="4" t="n"/>
      <c r="DL1404" s="4" t="n"/>
      <c r="DM1404" s="4" t="n"/>
      <c r="DN1404" s="4" t="n"/>
      <c r="DO1404" s="4" t="n"/>
      <c r="DP1404" s="4" t="n"/>
      <c r="DQ1404" s="4" t="n"/>
      <c r="DR1404" s="4" t="n"/>
      <c r="DS1404" s="4" t="n"/>
      <c r="DT1404" s="4" t="n"/>
      <c r="DU1404" s="4" t="n"/>
      <c r="DV1404" s="4" t="n"/>
      <c r="DW1404" s="4" t="n"/>
      <c r="DX1404" s="4" t="n"/>
      <c r="DY1404" s="4" t="n"/>
      <c r="DZ1404" s="4" t="n"/>
      <c r="EA1404" s="4" t="n"/>
      <c r="EB1404" s="4" t="n"/>
      <c r="EC1404" s="4" t="n"/>
      <c r="ED1404" s="4" t="n"/>
      <c r="EE1404" s="4" t="n"/>
      <c r="EF1404" s="4" t="n"/>
      <c r="EG1404" s="4" t="n"/>
      <c r="EH1404" s="4" t="n"/>
      <c r="EI1404" s="4" t="n"/>
      <c r="EJ1404" s="4" t="n"/>
      <c r="EK1404" s="4" t="n"/>
      <c r="EL1404" s="4" t="n"/>
      <c r="EM1404" s="4" t="n"/>
      <c r="EN1404" s="4" t="n"/>
      <c r="EO1404" s="4" t="n"/>
      <c r="EP1404" s="4" t="n"/>
      <c r="EQ1404" s="4" t="n"/>
      <c r="ER1404" s="4" t="n"/>
      <c r="ES1404" s="4" t="n"/>
      <c r="ET1404" s="4" t="n"/>
      <c r="EU1404" s="4" t="n"/>
      <c r="EV1404" s="4" t="n"/>
      <c r="EW1404" s="4" t="n"/>
      <c r="EX1404" s="4" t="n"/>
      <c r="EY1404" s="4" t="n"/>
      <c r="EZ1404" s="4" t="n"/>
      <c r="FA1404" s="4" t="n"/>
      <c r="FB1404" s="4" t="n"/>
      <c r="FC1404" s="4" t="n"/>
    </row>
    <row r="1405" hidden="1" customFormat="1" s="6">
      <c r="C1405" s="4" t="n"/>
      <c r="D1405" s="4" t="n"/>
      <c r="E1405" s="4" t="n"/>
      <c r="F1405" s="4" t="n"/>
      <c r="G1405" s="4" t="n"/>
      <c r="H1405" s="4" t="n"/>
      <c r="I1405" s="4" t="n"/>
      <c r="J1405" s="4" t="n"/>
      <c r="K1405" s="4" t="n"/>
      <c r="L1405" s="4" t="n"/>
      <c r="M1405" s="4" t="n"/>
      <c r="N1405" s="4" t="n"/>
      <c r="O1405" s="4" t="n"/>
      <c r="P1405" s="4" t="n"/>
      <c r="Q1405" s="4" t="n"/>
      <c r="R1405" s="4" t="n"/>
      <c r="S1405" s="4" t="n"/>
      <c r="T1405" s="4" t="n"/>
      <c r="U1405" s="4" t="n"/>
      <c r="V1405" s="4" t="n"/>
      <c r="W1405" s="4" t="n"/>
      <c r="X1405" s="4" t="n"/>
      <c r="Y1405" s="4" t="n"/>
      <c r="Z1405" s="4" t="n"/>
      <c r="AA1405" s="4" t="n"/>
      <c r="AB1405" s="4" t="n"/>
      <c r="AC1405" s="4" t="n"/>
      <c r="AD1405" s="4" t="n"/>
      <c r="AE1405" s="4" t="n"/>
      <c r="AF1405" s="4" t="n"/>
      <c r="AG1405" s="4" t="n"/>
      <c r="AH1405" s="4" t="n"/>
      <c r="AI1405" s="4" t="n"/>
      <c r="AJ1405" s="4" t="n"/>
      <c r="AK1405" s="4" t="n"/>
      <c r="AL1405" s="4" t="n"/>
      <c r="AM1405" s="4" t="n"/>
      <c r="AN1405" s="4" t="n"/>
      <c r="AO1405" s="4" t="n"/>
      <c r="AP1405" s="4" t="n"/>
      <c r="AQ1405" s="4" t="n"/>
      <c r="AR1405" s="4" t="n"/>
      <c r="AS1405" s="4" t="n"/>
      <c r="AT1405" s="4" t="n"/>
      <c r="AU1405" s="4" t="n"/>
      <c r="AV1405" s="4" t="n"/>
      <c r="AW1405" s="4" t="n"/>
      <c r="AX1405" s="4" t="n"/>
      <c r="AY1405" s="4" t="n"/>
      <c r="AZ1405" s="4" t="n"/>
      <c r="BA1405" s="4" t="n"/>
      <c r="BB1405" s="4" t="n"/>
      <c r="BC1405" s="4" t="n"/>
      <c r="BD1405" s="4" t="n"/>
      <c r="BE1405" s="4" t="n"/>
      <c r="BF1405" s="4" t="n"/>
      <c r="BG1405" s="4" t="n"/>
      <c r="BH1405" s="4" t="n"/>
      <c r="BI1405" s="4" t="n"/>
      <c r="BJ1405" s="4" t="n"/>
      <c r="BK1405" s="4" t="n"/>
      <c r="BL1405" s="4" t="n"/>
      <c r="BM1405" s="4" t="n"/>
      <c r="BN1405" s="4" t="n"/>
      <c r="BO1405" s="4" t="n"/>
      <c r="BP1405" s="4" t="n"/>
      <c r="BQ1405" s="4" t="n"/>
      <c r="BR1405" s="4" t="n"/>
      <c r="BS1405" s="4" t="n"/>
      <c r="BT1405" s="4" t="n"/>
      <c r="BU1405" s="4" t="n"/>
      <c r="BV1405" s="4" t="n"/>
      <c r="BW1405" s="4" t="n"/>
      <c r="BX1405" s="4" t="n"/>
      <c r="BY1405" s="4" t="n"/>
      <c r="BZ1405" s="4" t="n"/>
      <c r="CA1405" s="4" t="n"/>
      <c r="CB1405" s="4" t="n"/>
      <c r="CC1405" s="4" t="n"/>
      <c r="CD1405" s="4" t="n"/>
      <c r="CE1405" s="4" t="n"/>
      <c r="CF1405" s="4" t="n"/>
      <c r="CG1405" s="4" t="n"/>
      <c r="CH1405" s="4" t="n"/>
      <c r="CI1405" s="4" t="n"/>
      <c r="CJ1405" s="4" t="n"/>
      <c r="CK1405" s="4" t="n"/>
      <c r="CL1405" s="4" t="n"/>
      <c r="CM1405" s="4" t="n"/>
      <c r="CN1405" s="4" t="n"/>
      <c r="CO1405" s="4" t="n"/>
      <c r="CP1405" s="4" t="n"/>
      <c r="CQ1405" s="4" t="n"/>
      <c r="CR1405" s="4" t="n"/>
      <c r="CS1405" s="4" t="n"/>
      <c r="CT1405" s="4" t="n"/>
      <c r="CU1405" s="4" t="n"/>
      <c r="CV1405" s="4" t="n"/>
      <c r="CW1405" s="4" t="n"/>
      <c r="CX1405" s="4" t="n"/>
      <c r="CY1405" s="4" t="n"/>
      <c r="CZ1405" s="4" t="n"/>
      <c r="DA1405" s="4" t="n"/>
      <c r="DB1405" s="4" t="n"/>
      <c r="DC1405" s="4" t="n"/>
      <c r="DD1405" s="4" t="n"/>
      <c r="DE1405" s="4" t="n"/>
      <c r="DF1405" s="4" t="n"/>
      <c r="DG1405" s="4" t="n"/>
      <c r="DH1405" s="4" t="n"/>
      <c r="DI1405" s="4" t="n"/>
      <c r="DJ1405" s="4" t="n"/>
      <c r="DK1405" s="4" t="n"/>
      <c r="DL1405" s="4" t="n"/>
      <c r="DM1405" s="4" t="n"/>
      <c r="DN1405" s="4" t="n"/>
      <c r="DO1405" s="4" t="n"/>
      <c r="DP1405" s="4" t="n"/>
      <c r="DQ1405" s="4" t="n"/>
      <c r="DR1405" s="4" t="n"/>
      <c r="DS1405" s="4" t="n"/>
      <c r="DT1405" s="4" t="n"/>
      <c r="DU1405" s="4" t="n"/>
      <c r="DV1405" s="4" t="n"/>
      <c r="DW1405" s="4" t="n"/>
      <c r="DX1405" s="4" t="n"/>
      <c r="DY1405" s="4" t="n"/>
      <c r="DZ1405" s="4" t="n"/>
      <c r="EA1405" s="4" t="n"/>
      <c r="EB1405" s="4" t="n"/>
      <c r="EC1405" s="4" t="n"/>
      <c r="ED1405" s="4" t="n"/>
      <c r="EE1405" s="4" t="n"/>
      <c r="EF1405" s="4" t="n"/>
      <c r="EG1405" s="4" t="n"/>
      <c r="EH1405" s="4" t="n"/>
      <c r="EI1405" s="4" t="n"/>
      <c r="EJ1405" s="4" t="n"/>
      <c r="EK1405" s="4" t="n"/>
      <c r="EL1405" s="4" t="n"/>
      <c r="EM1405" s="4" t="n"/>
      <c r="EN1405" s="4" t="n"/>
      <c r="EO1405" s="4" t="n"/>
      <c r="EP1405" s="4" t="n"/>
      <c r="EQ1405" s="4" t="n"/>
      <c r="ER1405" s="4" t="n"/>
      <c r="ES1405" s="4" t="n"/>
      <c r="ET1405" s="4" t="n"/>
      <c r="EU1405" s="4" t="n"/>
      <c r="EV1405" s="4" t="n"/>
      <c r="EW1405" s="4" t="n"/>
      <c r="EX1405" s="4" t="n"/>
      <c r="EY1405" s="4" t="n"/>
      <c r="EZ1405" s="4" t="n"/>
      <c r="FA1405" s="4" t="n"/>
      <c r="FB1405" s="4" t="n"/>
      <c r="FC1405" s="4" t="n"/>
    </row>
    <row r="1406" hidden="1" customFormat="1" s="6">
      <c r="C1406" s="4" t="n"/>
      <c r="D1406" s="4" t="n"/>
      <c r="E1406" s="4" t="n"/>
      <c r="F1406" s="4" t="n"/>
      <c r="G1406" s="4" t="n"/>
      <c r="H1406" s="4" t="n"/>
      <c r="I1406" s="4" t="n"/>
      <c r="J1406" s="4" t="n"/>
      <c r="K1406" s="4" t="n"/>
      <c r="L1406" s="4" t="n"/>
      <c r="M1406" s="4" t="n"/>
      <c r="N1406" s="4" t="n"/>
      <c r="O1406" s="4" t="n"/>
      <c r="P1406" s="4" t="n"/>
      <c r="Q1406" s="4" t="n"/>
      <c r="R1406" s="4" t="n"/>
      <c r="S1406" s="4" t="n"/>
      <c r="T1406" s="4" t="n"/>
      <c r="U1406" s="4" t="n"/>
      <c r="V1406" s="4" t="n"/>
      <c r="W1406" s="4" t="n"/>
      <c r="X1406" s="4" t="n"/>
      <c r="Y1406" s="4" t="n"/>
      <c r="Z1406" s="4" t="n"/>
      <c r="AA1406" s="4" t="n"/>
      <c r="AB1406" s="4" t="n"/>
      <c r="AC1406" s="4" t="n"/>
      <c r="AD1406" s="4" t="n"/>
      <c r="AE1406" s="4" t="n"/>
      <c r="AF1406" s="4" t="n"/>
      <c r="AG1406" s="4" t="n"/>
      <c r="AH1406" s="4" t="n"/>
      <c r="AI1406" s="4" t="n"/>
      <c r="AJ1406" s="4" t="n"/>
      <c r="AK1406" s="4" t="n"/>
      <c r="AL1406" s="4" t="n"/>
      <c r="AM1406" s="4" t="n"/>
      <c r="AN1406" s="4" t="n"/>
      <c r="AO1406" s="4" t="n"/>
      <c r="AP1406" s="4" t="n"/>
      <c r="AQ1406" s="4" t="n"/>
      <c r="AR1406" s="4" t="n"/>
      <c r="AS1406" s="4" t="n"/>
      <c r="AT1406" s="4" t="n"/>
      <c r="AU1406" s="4" t="n"/>
      <c r="AV1406" s="4" t="n"/>
      <c r="AW1406" s="4" t="n"/>
      <c r="AX1406" s="4" t="n"/>
      <c r="AY1406" s="4" t="n"/>
      <c r="AZ1406" s="4" t="n"/>
      <c r="BA1406" s="4" t="n"/>
      <c r="BB1406" s="4" t="n"/>
      <c r="BC1406" s="4" t="n"/>
      <c r="BD1406" s="4" t="n"/>
      <c r="BE1406" s="4" t="n"/>
      <c r="BF1406" s="4" t="n"/>
      <c r="BG1406" s="4" t="n"/>
      <c r="BH1406" s="4" t="n"/>
      <c r="BI1406" s="4" t="n"/>
      <c r="BJ1406" s="4" t="n"/>
      <c r="BK1406" s="4" t="n"/>
      <c r="BL1406" s="4" t="n"/>
      <c r="BM1406" s="4" t="n"/>
      <c r="BN1406" s="4" t="n"/>
      <c r="BO1406" s="4" t="n"/>
      <c r="BP1406" s="4" t="n"/>
      <c r="BQ1406" s="4" t="n"/>
      <c r="BR1406" s="4" t="n"/>
      <c r="BS1406" s="4" t="n"/>
      <c r="BT1406" s="4" t="n"/>
      <c r="BU1406" s="4" t="n"/>
      <c r="BV1406" s="4" t="n"/>
      <c r="BW1406" s="4" t="n"/>
      <c r="BX1406" s="4" t="n"/>
      <c r="BY1406" s="4" t="n"/>
      <c r="BZ1406" s="4" t="n"/>
      <c r="CA1406" s="4" t="n"/>
      <c r="CB1406" s="4" t="n"/>
      <c r="CC1406" s="4" t="n"/>
      <c r="CD1406" s="4" t="n"/>
      <c r="CE1406" s="4" t="n"/>
      <c r="CF1406" s="4" t="n"/>
      <c r="CG1406" s="4" t="n"/>
      <c r="CH1406" s="4" t="n"/>
      <c r="CI1406" s="4" t="n"/>
      <c r="CJ1406" s="4" t="n"/>
      <c r="CK1406" s="4" t="n"/>
      <c r="CL1406" s="4" t="n"/>
      <c r="CM1406" s="4" t="n"/>
      <c r="CN1406" s="4" t="n"/>
      <c r="CO1406" s="4" t="n"/>
      <c r="CP1406" s="4" t="n"/>
      <c r="CQ1406" s="4" t="n"/>
      <c r="CR1406" s="4" t="n"/>
      <c r="CS1406" s="4" t="n"/>
      <c r="CT1406" s="4" t="n"/>
      <c r="CU1406" s="4" t="n"/>
      <c r="CV1406" s="4" t="n"/>
      <c r="CW1406" s="4" t="n"/>
      <c r="CX1406" s="4" t="n"/>
      <c r="CY1406" s="4" t="n"/>
      <c r="CZ1406" s="4" t="n"/>
      <c r="DA1406" s="4" t="n"/>
      <c r="DB1406" s="4" t="n"/>
      <c r="DC1406" s="4" t="n"/>
      <c r="DD1406" s="4" t="n"/>
      <c r="DE1406" s="4" t="n"/>
      <c r="DF1406" s="4" t="n"/>
      <c r="DG1406" s="4" t="n"/>
      <c r="DH1406" s="4" t="n"/>
      <c r="DI1406" s="4" t="n"/>
      <c r="DJ1406" s="4" t="n"/>
      <c r="DK1406" s="4" t="n"/>
      <c r="DL1406" s="4" t="n"/>
      <c r="DM1406" s="4" t="n"/>
      <c r="DN1406" s="4" t="n"/>
      <c r="DO1406" s="4" t="n"/>
      <c r="DP1406" s="4" t="n"/>
      <c r="DQ1406" s="4" t="n"/>
      <c r="DR1406" s="4" t="n"/>
      <c r="DS1406" s="4" t="n"/>
      <c r="DT1406" s="4" t="n"/>
      <c r="DU1406" s="4" t="n"/>
      <c r="DV1406" s="4" t="n"/>
      <c r="DW1406" s="4" t="n"/>
      <c r="DX1406" s="4" t="n"/>
      <c r="DY1406" s="4" t="n"/>
      <c r="DZ1406" s="4" t="n"/>
      <c r="EA1406" s="4" t="n"/>
      <c r="EB1406" s="4" t="n"/>
      <c r="EC1406" s="4" t="n"/>
      <c r="ED1406" s="4" t="n"/>
      <c r="EE1406" s="4" t="n"/>
      <c r="EF1406" s="4" t="n"/>
      <c r="EG1406" s="4" t="n"/>
      <c r="EH1406" s="4" t="n"/>
      <c r="EI1406" s="4" t="n"/>
      <c r="EJ1406" s="4" t="n"/>
      <c r="EK1406" s="4" t="n"/>
      <c r="EL1406" s="4" t="n"/>
      <c r="EM1406" s="4" t="n"/>
      <c r="EN1406" s="4" t="n"/>
      <c r="EO1406" s="4" t="n"/>
      <c r="EP1406" s="4" t="n"/>
      <c r="EQ1406" s="4" t="n"/>
      <c r="ER1406" s="4" t="n"/>
      <c r="ES1406" s="4" t="n"/>
      <c r="ET1406" s="4" t="n"/>
      <c r="EU1406" s="4" t="n"/>
      <c r="EV1406" s="4" t="n"/>
      <c r="EW1406" s="4" t="n"/>
      <c r="EX1406" s="4" t="n"/>
      <c r="EY1406" s="4" t="n"/>
      <c r="EZ1406" s="4" t="n"/>
      <c r="FA1406" s="4" t="n"/>
      <c r="FB1406" s="4" t="n"/>
      <c r="FC1406" s="4" t="n"/>
    </row>
    <row r="1407" hidden="1" customFormat="1" s="6">
      <c r="C1407" s="4" t="n"/>
      <c r="D1407" s="4" t="n"/>
      <c r="E1407" s="4" t="n"/>
      <c r="F1407" s="4" t="n"/>
      <c r="G1407" s="4" t="n"/>
      <c r="H1407" s="4" t="n"/>
      <c r="I1407" s="4" t="n"/>
      <c r="J1407" s="4" t="n"/>
      <c r="K1407" s="4" t="n"/>
      <c r="L1407" s="4" t="n"/>
      <c r="M1407" s="4" t="n"/>
      <c r="N1407" s="4" t="n"/>
      <c r="O1407" s="4" t="n"/>
      <c r="P1407" s="4" t="n"/>
      <c r="Q1407" s="4" t="n"/>
      <c r="R1407" s="4" t="n"/>
      <c r="S1407" s="4" t="n"/>
      <c r="T1407" s="4" t="n"/>
      <c r="U1407" s="4" t="n"/>
      <c r="V1407" s="4" t="n"/>
      <c r="W1407" s="4" t="n"/>
      <c r="X1407" s="4" t="n"/>
      <c r="Y1407" s="4" t="n"/>
      <c r="Z1407" s="4" t="n"/>
      <c r="AA1407" s="4" t="n"/>
      <c r="AB1407" s="4" t="n"/>
      <c r="AC1407" s="4" t="n"/>
      <c r="AD1407" s="4" t="n"/>
      <c r="AE1407" s="4" t="n"/>
      <c r="AF1407" s="4" t="n"/>
      <c r="AG1407" s="4" t="n"/>
      <c r="AH1407" s="4" t="n"/>
      <c r="AI1407" s="4" t="n"/>
      <c r="AJ1407" s="4" t="n"/>
      <c r="AK1407" s="4" t="n"/>
      <c r="AL1407" s="4" t="n"/>
      <c r="AM1407" s="4" t="n"/>
      <c r="AN1407" s="4" t="n"/>
      <c r="AO1407" s="4" t="n"/>
      <c r="AP1407" s="4" t="n"/>
      <c r="AQ1407" s="4" t="n"/>
      <c r="AR1407" s="4" t="n"/>
      <c r="AS1407" s="4" t="n"/>
      <c r="AT1407" s="4" t="n"/>
      <c r="AU1407" s="4" t="n"/>
      <c r="AV1407" s="4" t="n"/>
      <c r="AW1407" s="4" t="n"/>
      <c r="AX1407" s="4" t="n"/>
      <c r="AY1407" s="4" t="n"/>
      <c r="AZ1407" s="4" t="n"/>
      <c r="BA1407" s="4" t="n"/>
      <c r="BB1407" s="4" t="n"/>
      <c r="BC1407" s="4" t="n"/>
      <c r="BD1407" s="4" t="n"/>
      <c r="BE1407" s="4" t="n"/>
      <c r="BF1407" s="4" t="n"/>
      <c r="BG1407" s="4" t="n"/>
      <c r="BH1407" s="4" t="n"/>
      <c r="BI1407" s="4" t="n"/>
      <c r="BJ1407" s="4" t="n"/>
      <c r="BK1407" s="4" t="n"/>
      <c r="BL1407" s="4" t="n"/>
      <c r="BM1407" s="4" t="n"/>
      <c r="BN1407" s="4" t="n"/>
      <c r="BO1407" s="4" t="n"/>
      <c r="BP1407" s="4" t="n"/>
      <c r="BQ1407" s="4" t="n"/>
      <c r="BR1407" s="4" t="n"/>
      <c r="BS1407" s="4" t="n"/>
      <c r="BT1407" s="4" t="n"/>
      <c r="BU1407" s="4" t="n"/>
      <c r="BV1407" s="4" t="n"/>
      <c r="BW1407" s="4" t="n"/>
      <c r="BX1407" s="4" t="n"/>
      <c r="BY1407" s="4" t="n"/>
      <c r="BZ1407" s="4" t="n"/>
      <c r="CA1407" s="4" t="n"/>
      <c r="CB1407" s="4" t="n"/>
      <c r="CC1407" s="4" t="n"/>
      <c r="CD1407" s="4" t="n"/>
      <c r="CE1407" s="4" t="n"/>
      <c r="CF1407" s="4" t="n"/>
      <c r="CG1407" s="4" t="n"/>
      <c r="CH1407" s="4" t="n"/>
      <c r="CI1407" s="4" t="n"/>
      <c r="CJ1407" s="4" t="n"/>
      <c r="CK1407" s="4" t="n"/>
      <c r="CL1407" s="4" t="n"/>
      <c r="CM1407" s="4" t="n"/>
      <c r="CN1407" s="4" t="n"/>
      <c r="CO1407" s="4" t="n"/>
      <c r="CP1407" s="4" t="n"/>
      <c r="CQ1407" s="4" t="n"/>
      <c r="CR1407" s="4" t="n"/>
      <c r="CS1407" s="4" t="n"/>
      <c r="CT1407" s="4" t="n"/>
      <c r="CU1407" s="4" t="n"/>
      <c r="CV1407" s="4" t="n"/>
      <c r="CW1407" s="4" t="n"/>
      <c r="CX1407" s="4" t="n"/>
      <c r="CY1407" s="4" t="n"/>
      <c r="CZ1407" s="4" t="n"/>
      <c r="DA1407" s="4" t="n"/>
      <c r="DB1407" s="4" t="n"/>
      <c r="DC1407" s="4" t="n"/>
      <c r="DD1407" s="4" t="n"/>
      <c r="DE1407" s="4" t="n"/>
      <c r="DF1407" s="4" t="n"/>
      <c r="DG1407" s="4" t="n"/>
      <c r="DH1407" s="4" t="n"/>
      <c r="DI1407" s="4" t="n"/>
      <c r="DJ1407" s="4" t="n"/>
      <c r="DK1407" s="4" t="n"/>
      <c r="DL1407" s="4" t="n"/>
      <c r="DM1407" s="4" t="n"/>
      <c r="DN1407" s="4" t="n"/>
      <c r="DO1407" s="4" t="n"/>
      <c r="DP1407" s="4" t="n"/>
      <c r="DQ1407" s="4" t="n"/>
      <c r="DR1407" s="4" t="n"/>
      <c r="DS1407" s="4" t="n"/>
      <c r="DT1407" s="4" t="n"/>
      <c r="DU1407" s="4" t="n"/>
      <c r="DV1407" s="4" t="n"/>
      <c r="DW1407" s="4" t="n"/>
      <c r="DX1407" s="4" t="n"/>
      <c r="DY1407" s="4" t="n"/>
      <c r="DZ1407" s="4" t="n"/>
      <c r="EA1407" s="4" t="n"/>
      <c r="EB1407" s="4" t="n"/>
      <c r="EC1407" s="4" t="n"/>
      <c r="ED1407" s="4" t="n"/>
      <c r="EE1407" s="4" t="n"/>
      <c r="EF1407" s="4" t="n"/>
      <c r="EG1407" s="4" t="n"/>
      <c r="EH1407" s="4" t="n"/>
      <c r="EI1407" s="4" t="n"/>
      <c r="EJ1407" s="4" t="n"/>
      <c r="EK1407" s="4" t="n"/>
      <c r="EL1407" s="4" t="n"/>
      <c r="EM1407" s="4" t="n"/>
      <c r="EN1407" s="4" t="n"/>
      <c r="EO1407" s="4" t="n"/>
      <c r="EP1407" s="4" t="n"/>
      <c r="EQ1407" s="4" t="n"/>
      <c r="ER1407" s="4" t="n"/>
      <c r="ES1407" s="4" t="n"/>
      <c r="ET1407" s="4" t="n"/>
      <c r="EU1407" s="4" t="n"/>
      <c r="EV1407" s="4" t="n"/>
      <c r="EW1407" s="4" t="n"/>
      <c r="EX1407" s="4" t="n"/>
      <c r="EY1407" s="4" t="n"/>
      <c r="EZ1407" s="4" t="n"/>
      <c r="FA1407" s="4" t="n"/>
      <c r="FB1407" s="4" t="n"/>
      <c r="FC1407" s="4" t="n"/>
    </row>
    <row r="1408" hidden="1" customFormat="1" s="6">
      <c r="C1408" s="4" t="n"/>
      <c r="D1408" s="4" t="n"/>
      <c r="E1408" s="4" t="n"/>
      <c r="F1408" s="4" t="n"/>
      <c r="G1408" s="4" t="n"/>
      <c r="H1408" s="4" t="n"/>
      <c r="I1408" s="4" t="n"/>
      <c r="J1408" s="4" t="n"/>
      <c r="K1408" s="4" t="n"/>
      <c r="L1408" s="4" t="n"/>
      <c r="M1408" s="4" t="n"/>
      <c r="N1408" s="4" t="n"/>
      <c r="O1408" s="4" t="n"/>
      <c r="P1408" s="4" t="n"/>
      <c r="Q1408" s="4" t="n"/>
      <c r="R1408" s="4" t="n"/>
      <c r="S1408" s="4" t="n"/>
      <c r="T1408" s="4" t="n"/>
      <c r="U1408" s="4" t="n"/>
      <c r="V1408" s="4" t="n"/>
      <c r="W1408" s="4" t="n"/>
      <c r="X1408" s="4" t="n"/>
      <c r="Y1408" s="4" t="n"/>
      <c r="Z1408" s="4" t="n"/>
      <c r="AA1408" s="4" t="n"/>
      <c r="AB1408" s="4" t="n"/>
      <c r="AC1408" s="4" t="n"/>
      <c r="AD1408" s="4" t="n"/>
      <c r="AE1408" s="4" t="n"/>
      <c r="AF1408" s="4" t="n"/>
      <c r="AG1408" s="4" t="n"/>
      <c r="AH1408" s="4" t="n"/>
      <c r="AI1408" s="4" t="n"/>
      <c r="AJ1408" s="4" t="n"/>
      <c r="AK1408" s="4" t="n"/>
      <c r="AL1408" s="4" t="n"/>
      <c r="AM1408" s="4" t="n"/>
      <c r="AN1408" s="4" t="n"/>
      <c r="AO1408" s="4" t="n"/>
      <c r="AP1408" s="4" t="n"/>
      <c r="AQ1408" s="4" t="n"/>
      <c r="AR1408" s="4" t="n"/>
      <c r="AS1408" s="4" t="n"/>
      <c r="AT1408" s="4" t="n"/>
      <c r="AU1408" s="4" t="n"/>
      <c r="AV1408" s="4" t="n"/>
      <c r="AW1408" s="4" t="n"/>
      <c r="AX1408" s="4" t="n"/>
      <c r="AY1408" s="4" t="n"/>
      <c r="AZ1408" s="4" t="n"/>
      <c r="BA1408" s="4" t="n"/>
      <c r="BB1408" s="4" t="n"/>
      <c r="BC1408" s="4" t="n"/>
      <c r="BD1408" s="4" t="n"/>
      <c r="BE1408" s="4" t="n"/>
      <c r="BF1408" s="4" t="n"/>
      <c r="BG1408" s="4" t="n"/>
      <c r="BH1408" s="4" t="n"/>
      <c r="BI1408" s="4" t="n"/>
      <c r="BJ1408" s="4" t="n"/>
      <c r="BK1408" s="4" t="n"/>
      <c r="BL1408" s="4" t="n"/>
      <c r="BM1408" s="4" t="n"/>
      <c r="BN1408" s="4" t="n"/>
      <c r="BO1408" s="4" t="n"/>
      <c r="BP1408" s="4" t="n"/>
      <c r="BQ1408" s="4" t="n"/>
      <c r="BR1408" s="4" t="n"/>
      <c r="BS1408" s="4" t="n"/>
      <c r="BT1408" s="4" t="n"/>
      <c r="BU1408" s="4" t="n"/>
      <c r="BV1408" s="4" t="n"/>
      <c r="BW1408" s="4" t="n"/>
      <c r="BX1408" s="4" t="n"/>
      <c r="BY1408" s="4" t="n"/>
      <c r="BZ1408" s="4" t="n"/>
      <c r="CA1408" s="4" t="n"/>
      <c r="CB1408" s="4" t="n"/>
      <c r="CC1408" s="4" t="n"/>
      <c r="CD1408" s="4" t="n"/>
      <c r="CE1408" s="4" t="n"/>
      <c r="CF1408" s="4" t="n"/>
      <c r="CG1408" s="4" t="n"/>
      <c r="CH1408" s="4" t="n"/>
      <c r="CI1408" s="4" t="n"/>
      <c r="CJ1408" s="4" t="n"/>
      <c r="CK1408" s="4" t="n"/>
      <c r="CL1408" s="4" t="n"/>
      <c r="CM1408" s="4" t="n"/>
      <c r="CN1408" s="4" t="n"/>
      <c r="CO1408" s="4" t="n"/>
      <c r="CP1408" s="4" t="n"/>
      <c r="CQ1408" s="4" t="n"/>
      <c r="CR1408" s="4" t="n"/>
      <c r="CS1408" s="4" t="n"/>
      <c r="CT1408" s="4" t="n"/>
      <c r="CU1408" s="4" t="n"/>
      <c r="CV1408" s="4" t="n"/>
      <c r="CW1408" s="4" t="n"/>
      <c r="CX1408" s="4" t="n"/>
      <c r="CY1408" s="4" t="n"/>
      <c r="CZ1408" s="4" t="n"/>
      <c r="DA1408" s="4" t="n"/>
      <c r="DB1408" s="4" t="n"/>
      <c r="DC1408" s="4" t="n"/>
      <c r="DD1408" s="4" t="n"/>
      <c r="DE1408" s="4" t="n"/>
      <c r="DF1408" s="4" t="n"/>
      <c r="DG1408" s="4" t="n"/>
      <c r="DH1408" s="4" t="n"/>
      <c r="DI1408" s="4" t="n"/>
      <c r="DJ1408" s="4" t="n"/>
      <c r="DK1408" s="4" t="n"/>
      <c r="DL1408" s="4" t="n"/>
      <c r="DM1408" s="4" t="n"/>
      <c r="DN1408" s="4" t="n"/>
      <c r="DO1408" s="4" t="n"/>
      <c r="DP1408" s="4" t="n"/>
      <c r="DQ1408" s="4" t="n"/>
      <c r="DR1408" s="4" t="n"/>
      <c r="DS1408" s="4" t="n"/>
      <c r="DT1408" s="4" t="n"/>
      <c r="DU1408" s="4" t="n"/>
      <c r="DV1408" s="4" t="n"/>
      <c r="DW1408" s="4" t="n"/>
      <c r="DX1408" s="4" t="n"/>
      <c r="DY1408" s="4" t="n"/>
      <c r="DZ1408" s="4" t="n"/>
      <c r="EA1408" s="4" t="n"/>
      <c r="EB1408" s="4" t="n"/>
      <c r="EC1408" s="4" t="n"/>
      <c r="ED1408" s="4" t="n"/>
      <c r="EE1408" s="4" t="n"/>
      <c r="EF1408" s="4" t="n"/>
      <c r="EG1408" s="4" t="n"/>
      <c r="EH1408" s="4" t="n"/>
      <c r="EI1408" s="4" t="n"/>
      <c r="EJ1408" s="4" t="n"/>
      <c r="EK1408" s="4" t="n"/>
      <c r="EL1408" s="4" t="n"/>
      <c r="EM1408" s="4" t="n"/>
      <c r="EN1408" s="4" t="n"/>
      <c r="EO1408" s="4" t="n"/>
      <c r="EP1408" s="4" t="n"/>
      <c r="EQ1408" s="4" t="n"/>
      <c r="ER1408" s="4" t="n"/>
      <c r="ES1408" s="4" t="n"/>
      <c r="ET1408" s="4" t="n"/>
      <c r="EU1408" s="4" t="n"/>
      <c r="EV1408" s="4" t="n"/>
      <c r="EW1408" s="4" t="n"/>
      <c r="EX1408" s="4" t="n"/>
      <c r="EY1408" s="4" t="n"/>
      <c r="EZ1408" s="4" t="n"/>
      <c r="FA1408" s="4" t="n"/>
      <c r="FB1408" s="4" t="n"/>
      <c r="FC1408" s="4" t="n"/>
    </row>
    <row r="1409" hidden="1" customFormat="1" s="6">
      <c r="C1409" s="4" t="n"/>
      <c r="D1409" s="4" t="n"/>
      <c r="E1409" s="4" t="n"/>
      <c r="F1409" s="4" t="n"/>
      <c r="G1409" s="4" t="n"/>
      <c r="H1409" s="4" t="n"/>
      <c r="I1409" s="4" t="n"/>
      <c r="J1409" s="4" t="n"/>
      <c r="K1409" s="4" t="n"/>
      <c r="L1409" s="4" t="n"/>
      <c r="M1409" s="4" t="n"/>
      <c r="N1409" s="4" t="n"/>
      <c r="O1409" s="4" t="n"/>
      <c r="P1409" s="4" t="n"/>
      <c r="Q1409" s="4" t="n"/>
      <c r="R1409" s="4" t="n"/>
      <c r="S1409" s="4" t="n"/>
      <c r="T1409" s="4" t="n"/>
      <c r="U1409" s="4" t="n"/>
      <c r="V1409" s="4" t="n"/>
      <c r="W1409" s="4" t="n"/>
      <c r="X1409" s="4" t="n"/>
      <c r="Y1409" s="4" t="n"/>
      <c r="Z1409" s="4" t="n"/>
      <c r="AA1409" s="4" t="n"/>
      <c r="AB1409" s="4" t="n"/>
      <c r="AC1409" s="4" t="n"/>
      <c r="AD1409" s="4" t="n"/>
      <c r="AE1409" s="4" t="n"/>
      <c r="AF1409" s="4" t="n"/>
      <c r="AG1409" s="4" t="n"/>
      <c r="AH1409" s="4" t="n"/>
      <c r="AI1409" s="4" t="n"/>
      <c r="AJ1409" s="4" t="n"/>
      <c r="AK1409" s="4" t="n"/>
      <c r="AL1409" s="4" t="n"/>
      <c r="AM1409" s="4" t="n"/>
      <c r="AN1409" s="4" t="n"/>
      <c r="AO1409" s="4" t="n"/>
      <c r="AP1409" s="4" t="n"/>
      <c r="AQ1409" s="4" t="n"/>
      <c r="AR1409" s="4" t="n"/>
      <c r="AS1409" s="4" t="n"/>
      <c r="AT1409" s="4" t="n"/>
      <c r="AU1409" s="4" t="n"/>
      <c r="AV1409" s="4" t="n"/>
      <c r="AW1409" s="4" t="n"/>
      <c r="AX1409" s="4" t="n"/>
      <c r="AY1409" s="4" t="n"/>
      <c r="AZ1409" s="4" t="n"/>
      <c r="BA1409" s="4" t="n"/>
      <c r="BB1409" s="4" t="n"/>
      <c r="BC1409" s="4" t="n"/>
      <c r="BD1409" s="4" t="n"/>
      <c r="BE1409" s="4" t="n"/>
      <c r="BF1409" s="4" t="n"/>
      <c r="BG1409" s="4" t="n"/>
      <c r="BH1409" s="4" t="n"/>
      <c r="BI1409" s="4" t="n"/>
      <c r="BJ1409" s="4" t="n"/>
      <c r="BK1409" s="4" t="n"/>
      <c r="BL1409" s="4" t="n"/>
      <c r="BM1409" s="4" t="n"/>
      <c r="BN1409" s="4" t="n"/>
      <c r="BO1409" s="4" t="n"/>
      <c r="BP1409" s="4" t="n"/>
      <c r="BQ1409" s="4" t="n"/>
      <c r="BR1409" s="4" t="n"/>
      <c r="BS1409" s="4" t="n"/>
      <c r="BT1409" s="4" t="n"/>
      <c r="BU1409" s="4" t="n"/>
      <c r="BV1409" s="4" t="n"/>
      <c r="BW1409" s="4" t="n"/>
      <c r="BX1409" s="4" t="n"/>
      <c r="BY1409" s="4" t="n"/>
      <c r="BZ1409" s="4" t="n"/>
      <c r="CA1409" s="4" t="n"/>
      <c r="CB1409" s="4" t="n"/>
      <c r="CC1409" s="4" t="n"/>
      <c r="CD1409" s="4" t="n"/>
      <c r="CE1409" s="4" t="n"/>
      <c r="CF1409" s="4" t="n"/>
      <c r="CG1409" s="4" t="n"/>
      <c r="CH1409" s="4" t="n"/>
      <c r="CI1409" s="4" t="n"/>
      <c r="CJ1409" s="4" t="n"/>
      <c r="CK1409" s="4" t="n"/>
      <c r="CL1409" s="4" t="n"/>
      <c r="CM1409" s="4" t="n"/>
      <c r="CN1409" s="4" t="n"/>
      <c r="CO1409" s="4" t="n"/>
      <c r="CP1409" s="4" t="n"/>
      <c r="CQ1409" s="4" t="n"/>
      <c r="CR1409" s="4" t="n"/>
      <c r="CS1409" s="4" t="n"/>
      <c r="CT1409" s="4" t="n"/>
      <c r="CU1409" s="4" t="n"/>
      <c r="CV1409" s="4" t="n"/>
      <c r="CW1409" s="4" t="n"/>
      <c r="CX1409" s="4" t="n"/>
      <c r="CY1409" s="4" t="n"/>
      <c r="CZ1409" s="4" t="n"/>
      <c r="DA1409" s="4" t="n"/>
      <c r="DB1409" s="4" t="n"/>
      <c r="DC1409" s="4" t="n"/>
      <c r="DD1409" s="4" t="n"/>
      <c r="DE1409" s="4" t="n"/>
      <c r="DF1409" s="4" t="n"/>
      <c r="DG1409" s="4" t="n"/>
      <c r="DH1409" s="4" t="n"/>
      <c r="DI1409" s="4" t="n"/>
      <c r="DJ1409" s="4" t="n"/>
      <c r="DK1409" s="4" t="n"/>
      <c r="DL1409" s="4" t="n"/>
      <c r="DM1409" s="4" t="n"/>
      <c r="DN1409" s="4" t="n"/>
      <c r="DO1409" s="4" t="n"/>
      <c r="DP1409" s="4" t="n"/>
      <c r="DQ1409" s="4" t="n"/>
      <c r="DR1409" s="4" t="n"/>
      <c r="DS1409" s="4" t="n"/>
      <c r="DT1409" s="4" t="n"/>
      <c r="DU1409" s="4" t="n"/>
      <c r="DV1409" s="4" t="n"/>
      <c r="DW1409" s="4" t="n"/>
      <c r="DX1409" s="4" t="n"/>
      <c r="DY1409" s="4" t="n"/>
      <c r="DZ1409" s="4" t="n"/>
      <c r="EA1409" s="4" t="n"/>
      <c r="EB1409" s="4" t="n"/>
      <c r="EC1409" s="4" t="n"/>
      <c r="ED1409" s="4" t="n"/>
      <c r="EE1409" s="4" t="n"/>
      <c r="EF1409" s="4" t="n"/>
      <c r="EG1409" s="4" t="n"/>
      <c r="EH1409" s="4" t="n"/>
      <c r="EI1409" s="4" t="n"/>
      <c r="EJ1409" s="4" t="n"/>
      <c r="EK1409" s="4" t="n"/>
      <c r="EL1409" s="4" t="n"/>
      <c r="EM1409" s="4" t="n"/>
      <c r="EN1409" s="4" t="n"/>
      <c r="EO1409" s="4" t="n"/>
      <c r="EP1409" s="4" t="n"/>
      <c r="EQ1409" s="4" t="n"/>
      <c r="ER1409" s="4" t="n"/>
      <c r="ES1409" s="4" t="n"/>
      <c r="ET1409" s="4" t="n"/>
      <c r="EU1409" s="4" t="n"/>
      <c r="EV1409" s="4" t="n"/>
      <c r="EW1409" s="4" t="n"/>
      <c r="EX1409" s="4" t="n"/>
      <c r="EY1409" s="4" t="n"/>
      <c r="EZ1409" s="4" t="n"/>
      <c r="FA1409" s="4" t="n"/>
      <c r="FB1409" s="4" t="n"/>
      <c r="FC1409" s="4" t="n"/>
    </row>
    <row r="1410" hidden="1" customFormat="1" s="6">
      <c r="C1410" s="4" t="n"/>
      <c r="D1410" s="4" t="n"/>
      <c r="E1410" s="4" t="n"/>
      <c r="F1410" s="4" t="n"/>
      <c r="G1410" s="4" t="n"/>
      <c r="H1410" s="4" t="n"/>
      <c r="I1410" s="4" t="n"/>
      <c r="J1410" s="4" t="n"/>
      <c r="K1410" s="4" t="n"/>
      <c r="L1410" s="4" t="n"/>
      <c r="M1410" s="4" t="n"/>
      <c r="N1410" s="4" t="n"/>
      <c r="O1410" s="4" t="n"/>
      <c r="P1410" s="4" t="n"/>
      <c r="Q1410" s="4" t="n"/>
      <c r="R1410" s="4" t="n"/>
      <c r="S1410" s="4" t="n"/>
      <c r="T1410" s="4" t="n"/>
      <c r="U1410" s="4" t="n"/>
      <c r="V1410" s="4" t="n"/>
      <c r="W1410" s="4" t="n"/>
      <c r="X1410" s="4" t="n"/>
      <c r="Y1410" s="4" t="n"/>
      <c r="Z1410" s="4" t="n"/>
      <c r="AA1410" s="4" t="n"/>
      <c r="AB1410" s="4" t="n"/>
      <c r="AC1410" s="4" t="n"/>
      <c r="AD1410" s="4" t="n"/>
      <c r="AE1410" s="4" t="n"/>
      <c r="AF1410" s="4" t="n"/>
      <c r="AG1410" s="4" t="n"/>
      <c r="AH1410" s="4" t="n"/>
      <c r="AI1410" s="4" t="n"/>
      <c r="AJ1410" s="4" t="n"/>
      <c r="AK1410" s="4" t="n"/>
      <c r="AL1410" s="4" t="n"/>
      <c r="AM1410" s="4" t="n"/>
      <c r="AN1410" s="4" t="n"/>
      <c r="AO1410" s="4" t="n"/>
      <c r="AP1410" s="4" t="n"/>
      <c r="AQ1410" s="4" t="n"/>
      <c r="AR1410" s="4" t="n"/>
      <c r="AS1410" s="4" t="n"/>
      <c r="AT1410" s="4" t="n"/>
      <c r="AU1410" s="4" t="n"/>
      <c r="AV1410" s="4" t="n"/>
      <c r="AW1410" s="4" t="n"/>
      <c r="AX1410" s="4" t="n"/>
      <c r="AY1410" s="4" t="n"/>
      <c r="AZ1410" s="4" t="n"/>
      <c r="BA1410" s="4" t="n"/>
      <c r="BB1410" s="4" t="n"/>
      <c r="BC1410" s="4" t="n"/>
      <c r="BD1410" s="4" t="n"/>
      <c r="BE1410" s="4" t="n"/>
      <c r="BF1410" s="4" t="n"/>
      <c r="BG1410" s="4" t="n"/>
      <c r="BH1410" s="4" t="n"/>
      <c r="BI1410" s="4" t="n"/>
      <c r="BJ1410" s="4" t="n"/>
      <c r="BK1410" s="4" t="n"/>
      <c r="BL1410" s="4" t="n"/>
      <c r="BM1410" s="4" t="n"/>
      <c r="BN1410" s="4" t="n"/>
      <c r="BO1410" s="4" t="n"/>
      <c r="BP1410" s="4" t="n"/>
      <c r="BQ1410" s="4" t="n"/>
      <c r="BR1410" s="4" t="n"/>
      <c r="BS1410" s="4" t="n"/>
      <c r="BT1410" s="4" t="n"/>
      <c r="BU1410" s="4" t="n"/>
      <c r="BV1410" s="4" t="n"/>
      <c r="BW1410" s="4" t="n"/>
      <c r="BX1410" s="4" t="n"/>
      <c r="BY1410" s="4" t="n"/>
      <c r="BZ1410" s="4" t="n"/>
      <c r="CA1410" s="4" t="n"/>
      <c r="CB1410" s="4" t="n"/>
      <c r="CC1410" s="4" t="n"/>
      <c r="CD1410" s="4" t="n"/>
      <c r="CE1410" s="4" t="n"/>
      <c r="CF1410" s="4" t="n"/>
      <c r="CG1410" s="4" t="n"/>
      <c r="CH1410" s="4" t="n"/>
      <c r="CI1410" s="4" t="n"/>
      <c r="CJ1410" s="4" t="n"/>
      <c r="CK1410" s="4" t="n"/>
      <c r="CL1410" s="4" t="n"/>
      <c r="CM1410" s="4" t="n"/>
      <c r="CN1410" s="4" t="n"/>
      <c r="CO1410" s="4" t="n"/>
      <c r="CP1410" s="4" t="n"/>
      <c r="CQ1410" s="4" t="n"/>
      <c r="CR1410" s="4" t="n"/>
      <c r="CS1410" s="4" t="n"/>
      <c r="CT1410" s="4" t="n"/>
      <c r="CU1410" s="4" t="n"/>
      <c r="CV1410" s="4" t="n"/>
      <c r="CW1410" s="4" t="n"/>
      <c r="CX1410" s="4" t="n"/>
      <c r="CY1410" s="4" t="n"/>
      <c r="CZ1410" s="4" t="n"/>
      <c r="DA1410" s="4" t="n"/>
      <c r="DB1410" s="4" t="n"/>
      <c r="DC1410" s="4" t="n"/>
      <c r="DD1410" s="4" t="n"/>
      <c r="DE1410" s="4" t="n"/>
      <c r="DF1410" s="4" t="n"/>
      <c r="DG1410" s="4" t="n"/>
      <c r="DH1410" s="4" t="n"/>
      <c r="DI1410" s="4" t="n"/>
      <c r="DJ1410" s="4" t="n"/>
      <c r="DK1410" s="4" t="n"/>
      <c r="DL1410" s="4" t="n"/>
      <c r="DM1410" s="4" t="n"/>
      <c r="DN1410" s="4" t="n"/>
      <c r="DO1410" s="4" t="n"/>
      <c r="DP1410" s="4" t="n"/>
      <c r="DQ1410" s="4" t="n"/>
      <c r="DR1410" s="4" t="n"/>
      <c r="DS1410" s="4" t="n"/>
      <c r="DT1410" s="4" t="n"/>
      <c r="DU1410" s="4" t="n"/>
      <c r="DV1410" s="4" t="n"/>
      <c r="DW1410" s="4" t="n"/>
      <c r="DX1410" s="4" t="n"/>
      <c r="DY1410" s="4" t="n"/>
      <c r="DZ1410" s="4" t="n"/>
      <c r="EA1410" s="4" t="n"/>
      <c r="EB1410" s="4" t="n"/>
      <c r="EC1410" s="4" t="n"/>
      <c r="ED1410" s="4" t="n"/>
      <c r="EE1410" s="4" t="n"/>
      <c r="EF1410" s="4" t="n"/>
      <c r="EG1410" s="4" t="n"/>
      <c r="EH1410" s="4" t="n"/>
      <c r="EI1410" s="4" t="n"/>
      <c r="EJ1410" s="4" t="n"/>
      <c r="EK1410" s="4" t="n"/>
      <c r="EL1410" s="4" t="n"/>
      <c r="EM1410" s="4" t="n"/>
      <c r="EN1410" s="4" t="n"/>
      <c r="EO1410" s="4" t="n"/>
      <c r="EP1410" s="4" t="n"/>
      <c r="EQ1410" s="4" t="n"/>
      <c r="ER1410" s="4" t="n"/>
      <c r="ES1410" s="4" t="n"/>
      <c r="ET1410" s="4" t="n"/>
      <c r="EU1410" s="4" t="n"/>
      <c r="EV1410" s="4" t="n"/>
      <c r="EW1410" s="4" t="n"/>
      <c r="EX1410" s="4" t="n"/>
      <c r="EY1410" s="4" t="n"/>
      <c r="EZ1410" s="4" t="n"/>
      <c r="FA1410" s="4" t="n"/>
      <c r="FB1410" s="4" t="n"/>
      <c r="FC1410" s="4" t="n"/>
    </row>
    <row r="1411" hidden="1" customFormat="1" s="6">
      <c r="C1411" s="4" t="n"/>
      <c r="D1411" s="4" t="n"/>
      <c r="E1411" s="4" t="n"/>
      <c r="F1411" s="4" t="n"/>
      <c r="G1411" s="4" t="n"/>
      <c r="H1411" s="4" t="n"/>
      <c r="I1411" s="4" t="n"/>
      <c r="J1411" s="4" t="n"/>
      <c r="K1411" s="4" t="n"/>
      <c r="L1411" s="4" t="n"/>
      <c r="M1411" s="4" t="n"/>
      <c r="N1411" s="4" t="n"/>
      <c r="O1411" s="4" t="n"/>
      <c r="P1411" s="4" t="n"/>
      <c r="Q1411" s="4" t="n"/>
      <c r="R1411" s="4" t="n"/>
      <c r="S1411" s="4" t="n"/>
      <c r="T1411" s="4" t="n"/>
      <c r="U1411" s="4" t="n"/>
      <c r="V1411" s="4" t="n"/>
      <c r="W1411" s="4" t="n"/>
      <c r="X1411" s="4" t="n"/>
      <c r="Y1411" s="4" t="n"/>
      <c r="Z1411" s="4" t="n"/>
      <c r="AA1411" s="4" t="n"/>
      <c r="AB1411" s="4" t="n"/>
      <c r="AC1411" s="4" t="n"/>
      <c r="AD1411" s="4" t="n"/>
      <c r="AE1411" s="4" t="n"/>
      <c r="AF1411" s="4" t="n"/>
      <c r="AG1411" s="4" t="n"/>
      <c r="AH1411" s="4" t="n"/>
      <c r="AI1411" s="4" t="n"/>
      <c r="AJ1411" s="4" t="n"/>
      <c r="AK1411" s="4" t="n"/>
      <c r="AL1411" s="4" t="n"/>
      <c r="AM1411" s="4" t="n"/>
      <c r="AN1411" s="4" t="n"/>
      <c r="AO1411" s="4" t="n"/>
      <c r="AP1411" s="4" t="n"/>
      <c r="AQ1411" s="4" t="n"/>
      <c r="AR1411" s="4" t="n"/>
      <c r="AS1411" s="4" t="n"/>
      <c r="AT1411" s="4" t="n"/>
      <c r="AU1411" s="4" t="n"/>
      <c r="AV1411" s="4" t="n"/>
      <c r="AW1411" s="4" t="n"/>
      <c r="AX1411" s="4" t="n"/>
      <c r="AY1411" s="4" t="n"/>
      <c r="AZ1411" s="4" t="n"/>
      <c r="BA1411" s="4" t="n"/>
      <c r="BB1411" s="4" t="n"/>
      <c r="BC1411" s="4" t="n"/>
      <c r="BD1411" s="4" t="n"/>
      <c r="BE1411" s="4" t="n"/>
      <c r="BF1411" s="4" t="n"/>
      <c r="BG1411" s="4" t="n"/>
      <c r="BH1411" s="4" t="n"/>
      <c r="BI1411" s="4" t="n"/>
      <c r="BJ1411" s="4" t="n"/>
      <c r="BK1411" s="4" t="n"/>
      <c r="BL1411" s="4" t="n"/>
      <c r="BM1411" s="4" t="n"/>
      <c r="BN1411" s="4" t="n"/>
      <c r="BO1411" s="4" t="n"/>
      <c r="BP1411" s="4" t="n"/>
      <c r="BQ1411" s="4" t="n"/>
      <c r="BR1411" s="4" t="n"/>
      <c r="BS1411" s="4" t="n"/>
      <c r="BT1411" s="4" t="n"/>
      <c r="BU1411" s="4" t="n"/>
      <c r="BV1411" s="4" t="n"/>
      <c r="BW1411" s="4" t="n"/>
      <c r="BX1411" s="4" t="n"/>
      <c r="BY1411" s="4" t="n"/>
      <c r="BZ1411" s="4" t="n"/>
      <c r="CA1411" s="4" t="n"/>
      <c r="CB1411" s="4" t="n"/>
      <c r="CC1411" s="4" t="n"/>
      <c r="CD1411" s="4" t="n"/>
      <c r="CE1411" s="4" t="n"/>
      <c r="CF1411" s="4" t="n"/>
      <c r="CG1411" s="4" t="n"/>
      <c r="CH1411" s="4" t="n"/>
      <c r="CI1411" s="4" t="n"/>
      <c r="CJ1411" s="4" t="n"/>
      <c r="CK1411" s="4" t="n"/>
      <c r="CL1411" s="4" t="n"/>
      <c r="CM1411" s="4" t="n"/>
      <c r="CN1411" s="4" t="n"/>
      <c r="CO1411" s="4" t="n"/>
      <c r="CP1411" s="4" t="n"/>
      <c r="CQ1411" s="4" t="n"/>
      <c r="CR1411" s="4" t="n"/>
      <c r="CS1411" s="4" t="n"/>
      <c r="CT1411" s="4" t="n"/>
      <c r="CU1411" s="4" t="n"/>
      <c r="CV1411" s="4" t="n"/>
      <c r="CW1411" s="4" t="n"/>
      <c r="CX1411" s="4" t="n"/>
      <c r="CY1411" s="4" t="n"/>
      <c r="CZ1411" s="4" t="n"/>
      <c r="DA1411" s="4" t="n"/>
      <c r="DB1411" s="4" t="n"/>
      <c r="DC1411" s="4" t="n"/>
      <c r="DD1411" s="4" t="n"/>
      <c r="DE1411" s="4" t="n"/>
      <c r="DF1411" s="4" t="n"/>
      <c r="DG1411" s="4" t="n"/>
      <c r="DH1411" s="4" t="n"/>
      <c r="DI1411" s="4" t="n"/>
      <c r="DJ1411" s="4" t="n"/>
      <c r="DK1411" s="4" t="n"/>
      <c r="DL1411" s="4" t="n"/>
      <c r="DM1411" s="4" t="n"/>
      <c r="DN1411" s="4" t="n"/>
      <c r="DO1411" s="4" t="n"/>
      <c r="DP1411" s="4" t="n"/>
      <c r="DQ1411" s="4" t="n"/>
      <c r="DR1411" s="4" t="n"/>
      <c r="DS1411" s="4" t="n"/>
      <c r="DT1411" s="4" t="n"/>
      <c r="DU1411" s="4" t="n"/>
      <c r="DV1411" s="4" t="n"/>
      <c r="DW1411" s="4" t="n"/>
      <c r="DX1411" s="4" t="n"/>
      <c r="DY1411" s="4" t="n"/>
      <c r="DZ1411" s="4" t="n"/>
      <c r="EA1411" s="4" t="n"/>
      <c r="EB1411" s="4" t="n"/>
      <c r="EC1411" s="4" t="n"/>
      <c r="ED1411" s="4" t="n"/>
      <c r="EE1411" s="4" t="n"/>
      <c r="EF1411" s="4" t="n"/>
      <c r="EG1411" s="4" t="n"/>
      <c r="EH1411" s="4" t="n"/>
      <c r="EI1411" s="4" t="n"/>
      <c r="EJ1411" s="4" t="n"/>
      <c r="EK1411" s="4" t="n"/>
      <c r="EL1411" s="4" t="n"/>
      <c r="EM1411" s="4" t="n"/>
      <c r="EN1411" s="4" t="n"/>
      <c r="EO1411" s="4" t="n"/>
      <c r="EP1411" s="4" t="n"/>
      <c r="EQ1411" s="4" t="n"/>
      <c r="ER1411" s="4" t="n"/>
      <c r="ES1411" s="4" t="n"/>
      <c r="ET1411" s="4" t="n"/>
      <c r="EU1411" s="4" t="n"/>
      <c r="EV1411" s="4" t="n"/>
      <c r="EW1411" s="4" t="n"/>
      <c r="EX1411" s="4" t="n"/>
      <c r="EY1411" s="4" t="n"/>
      <c r="EZ1411" s="4" t="n"/>
      <c r="FA1411" s="4" t="n"/>
      <c r="FB1411" s="4" t="n"/>
      <c r="FC1411" s="4" t="n"/>
    </row>
    <row r="1412" hidden="1" customFormat="1" s="6">
      <c r="C1412" s="4" t="n"/>
      <c r="D1412" s="4" t="n"/>
      <c r="E1412" s="4" t="n"/>
      <c r="F1412" s="4" t="n"/>
      <c r="G1412" s="4" t="n"/>
      <c r="H1412" s="4" t="n"/>
      <c r="I1412" s="4" t="n"/>
      <c r="J1412" s="4" t="n"/>
      <c r="K1412" s="4" t="n"/>
      <c r="L1412" s="4" t="n"/>
      <c r="M1412" s="4" t="n"/>
      <c r="N1412" s="4" t="n"/>
      <c r="O1412" s="4" t="n"/>
      <c r="P1412" s="4" t="n"/>
      <c r="Q1412" s="4" t="n"/>
      <c r="R1412" s="4" t="n"/>
      <c r="S1412" s="4" t="n"/>
      <c r="T1412" s="4" t="n"/>
      <c r="U1412" s="4" t="n"/>
      <c r="V1412" s="4" t="n"/>
      <c r="W1412" s="4" t="n"/>
      <c r="X1412" s="4" t="n"/>
      <c r="Y1412" s="4" t="n"/>
      <c r="Z1412" s="4" t="n"/>
      <c r="AA1412" s="4" t="n"/>
      <c r="AB1412" s="4" t="n"/>
      <c r="AC1412" s="4" t="n"/>
      <c r="AD1412" s="4" t="n"/>
      <c r="AE1412" s="4" t="n"/>
      <c r="AF1412" s="4" t="n"/>
      <c r="AG1412" s="4" t="n"/>
      <c r="AH1412" s="4" t="n"/>
      <c r="AI1412" s="4" t="n"/>
      <c r="AJ1412" s="4" t="n"/>
      <c r="AK1412" s="4" t="n"/>
      <c r="AL1412" s="4" t="n"/>
      <c r="AM1412" s="4" t="n"/>
      <c r="AN1412" s="4" t="n"/>
      <c r="AO1412" s="4" t="n"/>
      <c r="AP1412" s="4" t="n"/>
      <c r="AQ1412" s="4" t="n"/>
      <c r="AR1412" s="4" t="n"/>
      <c r="AS1412" s="4" t="n"/>
      <c r="AT1412" s="4" t="n"/>
      <c r="AU1412" s="4" t="n"/>
      <c r="AV1412" s="4" t="n"/>
      <c r="AW1412" s="4" t="n"/>
      <c r="AX1412" s="4" t="n"/>
      <c r="AY1412" s="4" t="n"/>
      <c r="AZ1412" s="4" t="n"/>
      <c r="BA1412" s="4" t="n"/>
      <c r="BB1412" s="4" t="n"/>
      <c r="BC1412" s="4" t="n"/>
      <c r="BD1412" s="4" t="n"/>
      <c r="BE1412" s="4" t="n"/>
      <c r="BF1412" s="4" t="n"/>
      <c r="BG1412" s="4" t="n"/>
      <c r="BH1412" s="4" t="n"/>
      <c r="BI1412" s="4" t="n"/>
      <c r="BJ1412" s="4" t="n"/>
      <c r="BK1412" s="4" t="n"/>
      <c r="BL1412" s="4" t="n"/>
      <c r="BM1412" s="4" t="n"/>
      <c r="BN1412" s="4" t="n"/>
      <c r="BO1412" s="4" t="n"/>
      <c r="BP1412" s="4" t="n"/>
      <c r="BQ1412" s="4" t="n"/>
      <c r="BR1412" s="4" t="n"/>
      <c r="BS1412" s="4" t="n"/>
      <c r="BT1412" s="4" t="n"/>
      <c r="BU1412" s="4" t="n"/>
      <c r="BV1412" s="4" t="n"/>
      <c r="BW1412" s="4" t="n"/>
      <c r="BX1412" s="4" t="n"/>
      <c r="BY1412" s="4" t="n"/>
      <c r="BZ1412" s="4" t="n"/>
      <c r="CA1412" s="4" t="n"/>
      <c r="CB1412" s="4" t="n"/>
      <c r="CC1412" s="4" t="n"/>
      <c r="CD1412" s="4" t="n"/>
      <c r="CE1412" s="4" t="n"/>
      <c r="CF1412" s="4" t="n"/>
      <c r="CG1412" s="4" t="n"/>
      <c r="CH1412" s="4" t="n"/>
      <c r="CI1412" s="4" t="n"/>
      <c r="CJ1412" s="4" t="n"/>
      <c r="CK1412" s="4" t="n"/>
      <c r="CL1412" s="4" t="n"/>
      <c r="CM1412" s="4" t="n"/>
      <c r="CN1412" s="4" t="n"/>
      <c r="CO1412" s="4" t="n"/>
      <c r="CP1412" s="4" t="n"/>
      <c r="CQ1412" s="4" t="n"/>
      <c r="CR1412" s="4" t="n"/>
      <c r="CS1412" s="4" t="n"/>
      <c r="CT1412" s="4" t="n"/>
      <c r="CU1412" s="4" t="n"/>
      <c r="CV1412" s="4" t="n"/>
      <c r="CW1412" s="4" t="n"/>
      <c r="CX1412" s="4" t="n"/>
      <c r="CY1412" s="4" t="n"/>
      <c r="CZ1412" s="4" t="n"/>
      <c r="DA1412" s="4" t="n"/>
      <c r="DB1412" s="4" t="n"/>
      <c r="DC1412" s="4" t="n"/>
      <c r="DD1412" s="4" t="n"/>
      <c r="DE1412" s="4" t="n"/>
      <c r="DF1412" s="4" t="n"/>
      <c r="DG1412" s="4" t="n"/>
      <c r="DH1412" s="4" t="n"/>
      <c r="DI1412" s="4" t="n"/>
      <c r="DJ1412" s="4" t="n"/>
      <c r="DK1412" s="4" t="n"/>
      <c r="DL1412" s="4" t="n"/>
      <c r="DM1412" s="4" t="n"/>
      <c r="DN1412" s="4" t="n"/>
      <c r="DO1412" s="4" t="n"/>
      <c r="DP1412" s="4" t="n"/>
      <c r="DQ1412" s="4" t="n"/>
      <c r="DR1412" s="4" t="n"/>
      <c r="DS1412" s="4" t="n"/>
      <c r="DT1412" s="4" t="n"/>
      <c r="DU1412" s="4" t="n"/>
      <c r="DV1412" s="4" t="n"/>
      <c r="DW1412" s="4" t="n"/>
      <c r="DX1412" s="4" t="n"/>
      <c r="DY1412" s="4" t="n"/>
      <c r="DZ1412" s="4" t="n"/>
      <c r="EA1412" s="4" t="n"/>
      <c r="EB1412" s="4" t="n"/>
      <c r="EC1412" s="4" t="n"/>
      <c r="ED1412" s="4" t="n"/>
      <c r="EE1412" s="4" t="n"/>
      <c r="EF1412" s="4" t="n"/>
      <c r="EG1412" s="4" t="n"/>
      <c r="EH1412" s="4" t="n"/>
      <c r="EI1412" s="4" t="n"/>
      <c r="EJ1412" s="4" t="n"/>
      <c r="EK1412" s="4" t="n"/>
      <c r="EL1412" s="4" t="n"/>
      <c r="EM1412" s="4" t="n"/>
      <c r="EN1412" s="4" t="n"/>
      <c r="EO1412" s="4" t="n"/>
      <c r="EP1412" s="4" t="n"/>
      <c r="EQ1412" s="4" t="n"/>
      <c r="ER1412" s="4" t="n"/>
      <c r="ES1412" s="4" t="n"/>
      <c r="ET1412" s="4" t="n"/>
      <c r="EU1412" s="4" t="n"/>
      <c r="EV1412" s="4" t="n"/>
      <c r="EW1412" s="4" t="n"/>
      <c r="EX1412" s="4" t="n"/>
      <c r="EY1412" s="4" t="n"/>
      <c r="EZ1412" s="4" t="n"/>
      <c r="FA1412" s="4" t="n"/>
      <c r="FB1412" s="4" t="n"/>
      <c r="FC1412" s="4" t="n"/>
    </row>
    <row r="1413" hidden="1" customFormat="1" s="6">
      <c r="C1413" s="4" t="n"/>
      <c r="D1413" s="4" t="n"/>
      <c r="E1413" s="4" t="n"/>
      <c r="F1413" s="4" t="n"/>
      <c r="G1413" s="4" t="n"/>
      <c r="H1413" s="4" t="n"/>
      <c r="I1413" s="4" t="n"/>
      <c r="J1413" s="4" t="n"/>
      <c r="K1413" s="4" t="n"/>
      <c r="L1413" s="4" t="n"/>
      <c r="M1413" s="4" t="n"/>
      <c r="N1413" s="4" t="n"/>
      <c r="O1413" s="4" t="n"/>
      <c r="P1413" s="4" t="n"/>
      <c r="Q1413" s="4" t="n"/>
      <c r="R1413" s="4" t="n"/>
      <c r="S1413" s="4" t="n"/>
      <c r="T1413" s="4" t="n"/>
      <c r="U1413" s="4" t="n"/>
      <c r="V1413" s="4" t="n"/>
      <c r="W1413" s="4" t="n"/>
      <c r="X1413" s="4" t="n"/>
      <c r="Y1413" s="4" t="n"/>
      <c r="Z1413" s="4" t="n"/>
      <c r="AA1413" s="4" t="n"/>
      <c r="AB1413" s="4" t="n"/>
      <c r="AC1413" s="4" t="n"/>
      <c r="AD1413" s="4" t="n"/>
      <c r="AE1413" s="4" t="n"/>
      <c r="AF1413" s="4" t="n"/>
      <c r="AG1413" s="4" t="n"/>
      <c r="AH1413" s="4" t="n"/>
      <c r="AI1413" s="4" t="n"/>
      <c r="AJ1413" s="4" t="n"/>
      <c r="AK1413" s="4" t="n"/>
      <c r="AL1413" s="4" t="n"/>
      <c r="AM1413" s="4" t="n"/>
      <c r="AN1413" s="4" t="n"/>
      <c r="AO1413" s="4" t="n"/>
      <c r="AP1413" s="4" t="n"/>
      <c r="AQ1413" s="4" t="n"/>
      <c r="AR1413" s="4" t="n"/>
      <c r="AS1413" s="4" t="n"/>
      <c r="AT1413" s="4" t="n"/>
      <c r="AU1413" s="4" t="n"/>
      <c r="AV1413" s="4" t="n"/>
      <c r="AW1413" s="4" t="n"/>
      <c r="AX1413" s="4" t="n"/>
      <c r="AY1413" s="4" t="n"/>
      <c r="AZ1413" s="4" t="n"/>
      <c r="BA1413" s="4" t="n"/>
      <c r="BB1413" s="4" t="n"/>
      <c r="BC1413" s="4" t="n"/>
      <c r="BD1413" s="4" t="n"/>
      <c r="BE1413" s="4" t="n"/>
      <c r="BF1413" s="4" t="n"/>
      <c r="BG1413" s="4" t="n"/>
      <c r="BH1413" s="4" t="n"/>
      <c r="BI1413" s="4" t="n"/>
      <c r="BJ1413" s="4" t="n"/>
      <c r="BK1413" s="4" t="n"/>
      <c r="BL1413" s="4" t="n"/>
      <c r="BM1413" s="4" t="n"/>
      <c r="BN1413" s="4" t="n"/>
      <c r="BO1413" s="4" t="n"/>
      <c r="BP1413" s="4" t="n"/>
      <c r="BQ1413" s="4" t="n"/>
      <c r="BR1413" s="4" t="n"/>
      <c r="BS1413" s="4" t="n"/>
      <c r="BT1413" s="4" t="n"/>
      <c r="BU1413" s="4" t="n"/>
      <c r="BV1413" s="4" t="n"/>
      <c r="BW1413" s="4" t="n"/>
      <c r="BX1413" s="4" t="n"/>
      <c r="BY1413" s="4" t="n"/>
      <c r="BZ1413" s="4" t="n"/>
      <c r="CA1413" s="4" t="n"/>
      <c r="CB1413" s="4" t="n"/>
      <c r="CC1413" s="4" t="n"/>
      <c r="CD1413" s="4" t="n"/>
      <c r="CE1413" s="4" t="n"/>
      <c r="CF1413" s="4" t="n"/>
      <c r="CG1413" s="4" t="n"/>
      <c r="CH1413" s="4" t="n"/>
      <c r="CI1413" s="4" t="n"/>
      <c r="CJ1413" s="4" t="n"/>
      <c r="CK1413" s="4" t="n"/>
      <c r="CL1413" s="4" t="n"/>
      <c r="CM1413" s="4" t="n"/>
      <c r="CN1413" s="4" t="n"/>
      <c r="CO1413" s="4" t="n"/>
      <c r="CP1413" s="4" t="n"/>
      <c r="CQ1413" s="4" t="n"/>
      <c r="CR1413" s="4" t="n"/>
      <c r="CS1413" s="4" t="n"/>
      <c r="CT1413" s="4" t="n"/>
      <c r="CU1413" s="4" t="n"/>
      <c r="CV1413" s="4" t="n"/>
      <c r="CW1413" s="4" t="n"/>
      <c r="CX1413" s="4" t="n"/>
      <c r="CY1413" s="4" t="n"/>
      <c r="CZ1413" s="4" t="n"/>
      <c r="DA1413" s="4" t="n"/>
      <c r="DB1413" s="4" t="n"/>
      <c r="DC1413" s="4" t="n"/>
      <c r="DD1413" s="4" t="n"/>
      <c r="DE1413" s="4" t="n"/>
      <c r="DF1413" s="4" t="n"/>
      <c r="DG1413" s="4" t="n"/>
      <c r="DH1413" s="4" t="n"/>
      <c r="DI1413" s="4" t="n"/>
      <c r="DJ1413" s="4" t="n"/>
      <c r="DK1413" s="4" t="n"/>
      <c r="DL1413" s="4" t="n"/>
      <c r="DM1413" s="4" t="n"/>
      <c r="DN1413" s="4" t="n"/>
      <c r="DO1413" s="4" t="n"/>
      <c r="DP1413" s="4" t="n"/>
      <c r="DQ1413" s="4" t="n"/>
      <c r="DR1413" s="4" t="n"/>
      <c r="DS1413" s="4" t="n"/>
      <c r="DT1413" s="4" t="n"/>
      <c r="DU1413" s="4" t="n"/>
      <c r="DV1413" s="4" t="n"/>
      <c r="DW1413" s="4" t="n"/>
      <c r="DX1413" s="4" t="n"/>
      <c r="DY1413" s="4" t="n"/>
      <c r="DZ1413" s="4" t="n"/>
      <c r="EA1413" s="4" t="n"/>
      <c r="EB1413" s="4" t="n"/>
      <c r="EC1413" s="4" t="n"/>
      <c r="ED1413" s="4" t="n"/>
      <c r="EE1413" s="4" t="n"/>
      <c r="EF1413" s="4" t="n"/>
      <c r="EG1413" s="4" t="n"/>
      <c r="EH1413" s="4" t="n"/>
      <c r="EI1413" s="4" t="n"/>
      <c r="EJ1413" s="4" t="n"/>
      <c r="EK1413" s="4" t="n"/>
      <c r="EL1413" s="4" t="n"/>
      <c r="EM1413" s="4" t="n"/>
      <c r="EN1413" s="4" t="n"/>
      <c r="EO1413" s="4" t="n"/>
      <c r="EP1413" s="4" t="n"/>
      <c r="EQ1413" s="4" t="n"/>
      <c r="ER1413" s="4" t="n"/>
      <c r="ES1413" s="4" t="n"/>
      <c r="ET1413" s="4" t="n"/>
      <c r="EU1413" s="4" t="n"/>
      <c r="EV1413" s="4" t="n"/>
      <c r="EW1413" s="4" t="n"/>
      <c r="EX1413" s="4" t="n"/>
      <c r="EY1413" s="4" t="n"/>
      <c r="EZ1413" s="4" t="n"/>
      <c r="FA1413" s="4" t="n"/>
      <c r="FB1413" s="4" t="n"/>
      <c r="FC1413" s="4" t="n"/>
    </row>
    <row r="1414" hidden="1" customFormat="1" s="6">
      <c r="C1414" s="4" t="n"/>
      <c r="D1414" s="4" t="n"/>
      <c r="E1414" s="4" t="n"/>
      <c r="F1414" s="4" t="n"/>
      <c r="G1414" s="4" t="n"/>
      <c r="H1414" s="4" t="n"/>
      <c r="I1414" s="4" t="n"/>
      <c r="J1414" s="4" t="n"/>
      <c r="K1414" s="4" t="n"/>
      <c r="L1414" s="4" t="n"/>
      <c r="M1414" s="4" t="n"/>
      <c r="N1414" s="4" t="n"/>
      <c r="O1414" s="4" t="n"/>
      <c r="P1414" s="4" t="n"/>
      <c r="Q1414" s="4" t="n"/>
      <c r="R1414" s="4" t="n"/>
      <c r="S1414" s="4" t="n"/>
      <c r="T1414" s="4" t="n"/>
      <c r="U1414" s="4" t="n"/>
      <c r="V1414" s="4" t="n"/>
      <c r="W1414" s="4" t="n"/>
      <c r="X1414" s="4" t="n"/>
      <c r="Y1414" s="4" t="n"/>
      <c r="Z1414" s="4" t="n"/>
      <c r="AA1414" s="4" t="n"/>
      <c r="AB1414" s="4" t="n"/>
      <c r="AC1414" s="4" t="n"/>
      <c r="AD1414" s="4" t="n"/>
      <c r="AE1414" s="4" t="n"/>
      <c r="AF1414" s="4" t="n"/>
      <c r="AG1414" s="4" t="n"/>
      <c r="AH1414" s="4" t="n"/>
      <c r="AI1414" s="4" t="n"/>
      <c r="AJ1414" s="4" t="n"/>
      <c r="AK1414" s="4" t="n"/>
      <c r="AL1414" s="4" t="n"/>
      <c r="AM1414" s="4" t="n"/>
      <c r="AN1414" s="4" t="n"/>
      <c r="AO1414" s="4" t="n"/>
      <c r="AP1414" s="4" t="n"/>
      <c r="AQ1414" s="4" t="n"/>
      <c r="AR1414" s="4" t="n"/>
      <c r="AS1414" s="4" t="n"/>
      <c r="AT1414" s="4" t="n"/>
      <c r="AU1414" s="4" t="n"/>
      <c r="AV1414" s="4" t="n"/>
      <c r="AW1414" s="4" t="n"/>
      <c r="AX1414" s="4" t="n"/>
      <c r="AY1414" s="4" t="n"/>
      <c r="AZ1414" s="4" t="n"/>
      <c r="BA1414" s="4" t="n"/>
      <c r="BB1414" s="4" t="n"/>
      <c r="BC1414" s="4" t="n"/>
      <c r="BD1414" s="4" t="n"/>
      <c r="BE1414" s="4" t="n"/>
      <c r="BF1414" s="4" t="n"/>
      <c r="BG1414" s="4" t="n"/>
      <c r="BH1414" s="4" t="n"/>
      <c r="BI1414" s="4" t="n"/>
      <c r="BJ1414" s="4" t="n"/>
      <c r="BK1414" s="4" t="n"/>
      <c r="BL1414" s="4" t="n"/>
      <c r="BM1414" s="4" t="n"/>
      <c r="BN1414" s="4" t="n"/>
      <c r="BO1414" s="4" t="n"/>
      <c r="BP1414" s="4" t="n"/>
      <c r="BQ1414" s="4" t="n"/>
      <c r="BR1414" s="4" t="n"/>
      <c r="BS1414" s="4" t="n"/>
      <c r="BT1414" s="4" t="n"/>
      <c r="BU1414" s="4" t="n"/>
      <c r="BV1414" s="4" t="n"/>
      <c r="BW1414" s="4" t="n"/>
      <c r="BX1414" s="4" t="n"/>
      <c r="BY1414" s="4" t="n"/>
      <c r="BZ1414" s="4" t="n"/>
      <c r="CA1414" s="4" t="n"/>
      <c r="CB1414" s="4" t="n"/>
      <c r="CC1414" s="4" t="n"/>
      <c r="CD1414" s="4" t="n"/>
      <c r="CE1414" s="4" t="n"/>
      <c r="CF1414" s="4" t="n"/>
      <c r="CG1414" s="4" t="n"/>
      <c r="CH1414" s="4" t="n"/>
      <c r="CI1414" s="4" t="n"/>
      <c r="CJ1414" s="4" t="n"/>
      <c r="CK1414" s="4" t="n"/>
      <c r="CL1414" s="4" t="n"/>
      <c r="CM1414" s="4" t="n"/>
      <c r="CN1414" s="4" t="n"/>
      <c r="CO1414" s="4" t="n"/>
      <c r="CP1414" s="4" t="n"/>
      <c r="CQ1414" s="4" t="n"/>
      <c r="CR1414" s="4" t="n"/>
      <c r="CS1414" s="4" t="n"/>
      <c r="CT1414" s="4" t="n"/>
      <c r="CU1414" s="4" t="n"/>
      <c r="CV1414" s="4" t="n"/>
      <c r="CW1414" s="4" t="n"/>
      <c r="CX1414" s="4" t="n"/>
      <c r="CY1414" s="4" t="n"/>
      <c r="CZ1414" s="4" t="n"/>
      <c r="DA1414" s="4" t="n"/>
      <c r="DB1414" s="4" t="n"/>
      <c r="DC1414" s="4" t="n"/>
      <c r="DD1414" s="4" t="n"/>
      <c r="DE1414" s="4" t="n"/>
      <c r="DF1414" s="4" t="n"/>
      <c r="DG1414" s="4" t="n"/>
      <c r="DH1414" s="4" t="n"/>
      <c r="DI1414" s="4" t="n"/>
      <c r="DJ1414" s="4" t="n"/>
      <c r="DK1414" s="4" t="n"/>
      <c r="DL1414" s="4" t="n"/>
      <c r="DM1414" s="4" t="n"/>
      <c r="DN1414" s="4" t="n"/>
      <c r="DO1414" s="4" t="n"/>
      <c r="DP1414" s="4" t="n"/>
      <c r="DQ1414" s="4" t="n"/>
      <c r="DR1414" s="4" t="n"/>
      <c r="DS1414" s="4" t="n"/>
      <c r="DT1414" s="4" t="n"/>
      <c r="DU1414" s="4" t="n"/>
      <c r="DV1414" s="4" t="n"/>
      <c r="DW1414" s="4" t="n"/>
      <c r="DX1414" s="4" t="n"/>
      <c r="DY1414" s="4" t="n"/>
      <c r="DZ1414" s="4" t="n"/>
      <c r="EA1414" s="4" t="n"/>
      <c r="EB1414" s="4" t="n"/>
      <c r="EC1414" s="4" t="n"/>
      <c r="ED1414" s="4" t="n"/>
      <c r="EE1414" s="4" t="n"/>
      <c r="EF1414" s="4" t="n"/>
      <c r="EG1414" s="4" t="n"/>
      <c r="EH1414" s="4" t="n"/>
      <c r="EI1414" s="4" t="n"/>
      <c r="EJ1414" s="4" t="n"/>
      <c r="EK1414" s="4" t="n"/>
      <c r="EL1414" s="4" t="n"/>
      <c r="EM1414" s="4" t="n"/>
      <c r="EN1414" s="4" t="n"/>
      <c r="EO1414" s="4" t="n"/>
      <c r="EP1414" s="4" t="n"/>
      <c r="EQ1414" s="4" t="n"/>
      <c r="ER1414" s="4" t="n"/>
      <c r="ES1414" s="4" t="n"/>
      <c r="ET1414" s="4" t="n"/>
      <c r="EU1414" s="4" t="n"/>
      <c r="EV1414" s="4" t="n"/>
      <c r="EW1414" s="4" t="n"/>
      <c r="EX1414" s="4" t="n"/>
      <c r="EY1414" s="4" t="n"/>
      <c r="EZ1414" s="4" t="n"/>
      <c r="FA1414" s="4" t="n"/>
      <c r="FB1414" s="4" t="n"/>
      <c r="FC1414" s="4" t="n"/>
    </row>
    <row r="1415" hidden="1" customFormat="1" s="6">
      <c r="C1415" s="4" t="n"/>
      <c r="D1415" s="4" t="n"/>
      <c r="E1415" s="4" t="n"/>
      <c r="F1415" s="4" t="n"/>
      <c r="G1415" s="4" t="n"/>
      <c r="H1415" s="4" t="n"/>
      <c r="I1415" s="4" t="n"/>
      <c r="J1415" s="4" t="n"/>
      <c r="K1415" s="4" t="n"/>
      <c r="L1415" s="4" t="n"/>
      <c r="M1415" s="4" t="n"/>
      <c r="N1415" s="4" t="n"/>
      <c r="O1415" s="4" t="n"/>
      <c r="P1415" s="4" t="n"/>
      <c r="Q1415" s="4" t="n"/>
      <c r="R1415" s="4" t="n"/>
      <c r="S1415" s="4" t="n"/>
      <c r="T1415" s="4" t="n"/>
      <c r="U1415" s="4" t="n"/>
      <c r="V1415" s="4" t="n"/>
      <c r="W1415" s="4" t="n"/>
      <c r="X1415" s="4" t="n"/>
      <c r="Y1415" s="4" t="n"/>
      <c r="Z1415" s="4" t="n"/>
      <c r="AA1415" s="4" t="n"/>
      <c r="AB1415" s="4" t="n"/>
      <c r="AC1415" s="4" t="n"/>
      <c r="AD1415" s="4" t="n"/>
      <c r="AE1415" s="4" t="n"/>
      <c r="AF1415" s="4" t="n"/>
      <c r="AG1415" s="4" t="n"/>
      <c r="AH1415" s="4" t="n"/>
      <c r="AI1415" s="4" t="n"/>
      <c r="AJ1415" s="4" t="n"/>
      <c r="AK1415" s="4" t="n"/>
      <c r="AL1415" s="4" t="n"/>
      <c r="AM1415" s="4" t="n"/>
      <c r="AN1415" s="4" t="n"/>
      <c r="AO1415" s="4" t="n"/>
      <c r="AP1415" s="4" t="n"/>
      <c r="AQ1415" s="4" t="n"/>
      <c r="AR1415" s="4" t="n"/>
      <c r="AS1415" s="4" t="n"/>
      <c r="AT1415" s="4" t="n"/>
      <c r="AU1415" s="4" t="n"/>
      <c r="AV1415" s="4" t="n"/>
      <c r="AW1415" s="4" t="n"/>
      <c r="AX1415" s="4" t="n"/>
      <c r="AY1415" s="4" t="n"/>
      <c r="AZ1415" s="4" t="n"/>
      <c r="BA1415" s="4" t="n"/>
      <c r="BB1415" s="4" t="n"/>
      <c r="BC1415" s="4" t="n"/>
      <c r="BD1415" s="4" t="n"/>
      <c r="BE1415" s="4" t="n"/>
      <c r="BF1415" s="4" t="n"/>
      <c r="BG1415" s="4" t="n"/>
      <c r="BH1415" s="4" t="n"/>
      <c r="BI1415" s="4" t="n"/>
      <c r="BJ1415" s="4" t="n"/>
      <c r="BK1415" s="4" t="n"/>
      <c r="BL1415" s="4" t="n"/>
      <c r="BM1415" s="4" t="n"/>
      <c r="BN1415" s="4" t="n"/>
      <c r="BO1415" s="4" t="n"/>
      <c r="BP1415" s="4" t="n"/>
      <c r="BQ1415" s="4" t="n"/>
      <c r="BR1415" s="4" t="n"/>
      <c r="BS1415" s="4" t="n"/>
      <c r="BT1415" s="4" t="n"/>
      <c r="BU1415" s="4" t="n"/>
      <c r="BV1415" s="4" t="n"/>
      <c r="BW1415" s="4" t="n"/>
      <c r="BX1415" s="4" t="n"/>
      <c r="BY1415" s="4" t="n"/>
      <c r="BZ1415" s="4" t="n"/>
      <c r="CA1415" s="4" t="n"/>
      <c r="CB1415" s="4" t="n"/>
      <c r="CC1415" s="4" t="n"/>
      <c r="CD1415" s="4" t="n"/>
      <c r="CE1415" s="4" t="n"/>
      <c r="CF1415" s="4" t="n"/>
      <c r="CG1415" s="4" t="n"/>
      <c r="CH1415" s="4" t="n"/>
      <c r="CI1415" s="4" t="n"/>
      <c r="CJ1415" s="4" t="n"/>
      <c r="CK1415" s="4" t="n"/>
      <c r="CL1415" s="4" t="n"/>
      <c r="CM1415" s="4" t="n"/>
      <c r="CN1415" s="4" t="n"/>
      <c r="CO1415" s="4" t="n"/>
      <c r="CP1415" s="4" t="n"/>
      <c r="CQ1415" s="4" t="n"/>
      <c r="CR1415" s="4" t="n"/>
      <c r="CS1415" s="4" t="n"/>
      <c r="CT1415" s="4" t="n"/>
      <c r="CU1415" s="4" t="n"/>
      <c r="CV1415" s="4" t="n"/>
      <c r="CW1415" s="4" t="n"/>
      <c r="CX1415" s="4" t="n"/>
      <c r="CY1415" s="4" t="n"/>
      <c r="CZ1415" s="4" t="n"/>
      <c r="DA1415" s="4" t="n"/>
      <c r="DB1415" s="4" t="n"/>
      <c r="DC1415" s="4" t="n"/>
      <c r="DD1415" s="4" t="n"/>
      <c r="DE1415" s="4" t="n"/>
      <c r="DF1415" s="4" t="n"/>
      <c r="DG1415" s="4" t="n"/>
      <c r="DH1415" s="4" t="n"/>
      <c r="DI1415" s="4" t="n"/>
      <c r="DJ1415" s="4" t="n"/>
      <c r="DK1415" s="4" t="n"/>
      <c r="DL1415" s="4" t="n"/>
      <c r="DM1415" s="4" t="n"/>
      <c r="DN1415" s="4" t="n"/>
      <c r="DO1415" s="4" t="n"/>
      <c r="DP1415" s="4" t="n"/>
      <c r="DQ1415" s="4" t="n"/>
      <c r="DR1415" s="4" t="n"/>
      <c r="DS1415" s="4" t="n"/>
      <c r="DT1415" s="4" t="n"/>
      <c r="DU1415" s="4" t="n"/>
      <c r="DV1415" s="4" t="n"/>
      <c r="DW1415" s="4" t="n"/>
      <c r="DX1415" s="4" t="n"/>
      <c r="DY1415" s="4" t="n"/>
      <c r="DZ1415" s="4" t="n"/>
      <c r="EA1415" s="4" t="n"/>
      <c r="EB1415" s="4" t="n"/>
      <c r="EC1415" s="4" t="n"/>
      <c r="ED1415" s="4" t="n"/>
      <c r="EE1415" s="4" t="n"/>
      <c r="EF1415" s="4" t="n"/>
      <c r="EG1415" s="4" t="n"/>
      <c r="EH1415" s="4" t="n"/>
      <c r="EI1415" s="4" t="n"/>
      <c r="EJ1415" s="4" t="n"/>
      <c r="EK1415" s="4" t="n"/>
      <c r="EL1415" s="4" t="n"/>
      <c r="EM1415" s="4" t="n"/>
      <c r="EN1415" s="4" t="n"/>
      <c r="EO1415" s="4" t="n"/>
      <c r="EP1415" s="4" t="n"/>
      <c r="EQ1415" s="4" t="n"/>
      <c r="ER1415" s="4" t="n"/>
      <c r="ES1415" s="4" t="n"/>
      <c r="ET1415" s="4" t="n"/>
      <c r="EU1415" s="4" t="n"/>
      <c r="EV1415" s="4" t="n"/>
      <c r="EW1415" s="4" t="n"/>
      <c r="EX1415" s="4" t="n"/>
      <c r="EY1415" s="4" t="n"/>
      <c r="EZ1415" s="4" t="n"/>
      <c r="FA1415" s="4" t="n"/>
      <c r="FB1415" s="4" t="n"/>
      <c r="FC1415" s="4" t="n"/>
    </row>
    <row r="1416" hidden="1" customFormat="1" s="6">
      <c r="C1416" s="4" t="n"/>
      <c r="D1416" s="4" t="n"/>
      <c r="E1416" s="4" t="n"/>
      <c r="F1416" s="4" t="n"/>
      <c r="G1416" s="4" t="n"/>
      <c r="H1416" s="4" t="n"/>
      <c r="I1416" s="4" t="n"/>
      <c r="J1416" s="4" t="n"/>
      <c r="K1416" s="4" t="n"/>
      <c r="L1416" s="4" t="n"/>
      <c r="M1416" s="4" t="n"/>
      <c r="N1416" s="4" t="n"/>
      <c r="O1416" s="4" t="n"/>
      <c r="P1416" s="4" t="n"/>
      <c r="Q1416" s="4" t="n"/>
      <c r="R1416" s="4" t="n"/>
      <c r="S1416" s="4" t="n"/>
      <c r="T1416" s="4" t="n"/>
      <c r="U1416" s="4" t="n"/>
      <c r="V1416" s="4" t="n"/>
      <c r="W1416" s="4" t="n"/>
      <c r="X1416" s="4" t="n"/>
      <c r="Y1416" s="4" t="n"/>
      <c r="Z1416" s="4" t="n"/>
      <c r="AA1416" s="4" t="n"/>
      <c r="AB1416" s="4" t="n"/>
      <c r="AC1416" s="4" t="n"/>
      <c r="AD1416" s="4" t="n"/>
      <c r="AE1416" s="4" t="n"/>
      <c r="AF1416" s="4" t="n"/>
      <c r="AG1416" s="4" t="n"/>
      <c r="AH1416" s="4" t="n"/>
      <c r="AI1416" s="4" t="n"/>
      <c r="AJ1416" s="4" t="n"/>
      <c r="AK1416" s="4" t="n"/>
      <c r="AL1416" s="4" t="n"/>
      <c r="AM1416" s="4" t="n"/>
      <c r="AN1416" s="4" t="n"/>
      <c r="AO1416" s="4" t="n"/>
      <c r="AP1416" s="4" t="n"/>
      <c r="AQ1416" s="4" t="n"/>
      <c r="AR1416" s="4" t="n"/>
      <c r="AS1416" s="4" t="n"/>
      <c r="AT1416" s="4" t="n"/>
      <c r="AU1416" s="4" t="n"/>
      <c r="AV1416" s="4" t="n"/>
      <c r="AW1416" s="4" t="n"/>
      <c r="AX1416" s="4" t="n"/>
      <c r="AY1416" s="4" t="n"/>
      <c r="AZ1416" s="4" t="n"/>
      <c r="BA1416" s="4" t="n"/>
      <c r="BB1416" s="4" t="n"/>
      <c r="BC1416" s="4" t="n"/>
      <c r="BD1416" s="4" t="n"/>
      <c r="BE1416" s="4" t="n"/>
      <c r="BF1416" s="4" t="n"/>
      <c r="BG1416" s="4" t="n"/>
      <c r="BH1416" s="4" t="n"/>
      <c r="BI1416" s="4" t="n"/>
      <c r="BJ1416" s="4" t="n"/>
      <c r="BK1416" s="4" t="n"/>
      <c r="BL1416" s="4" t="n"/>
      <c r="BM1416" s="4" t="n"/>
      <c r="BN1416" s="4" t="n"/>
      <c r="BO1416" s="4" t="n"/>
      <c r="BP1416" s="4" t="n"/>
      <c r="BQ1416" s="4" t="n"/>
      <c r="BR1416" s="4" t="n"/>
      <c r="BS1416" s="4" t="n"/>
      <c r="BT1416" s="4" t="n"/>
      <c r="BU1416" s="4" t="n"/>
      <c r="BV1416" s="4" t="n"/>
      <c r="BW1416" s="4" t="n"/>
      <c r="BX1416" s="4" t="n"/>
      <c r="BY1416" s="4" t="n"/>
      <c r="BZ1416" s="4" t="n"/>
      <c r="CA1416" s="4" t="n"/>
      <c r="CB1416" s="4" t="n"/>
      <c r="CC1416" s="4" t="n"/>
      <c r="CD1416" s="4" t="n"/>
      <c r="CE1416" s="4" t="n"/>
      <c r="CF1416" s="4" t="n"/>
      <c r="CG1416" s="4" t="n"/>
      <c r="CH1416" s="4" t="n"/>
      <c r="CI1416" s="4" t="n"/>
      <c r="CJ1416" s="4" t="n"/>
      <c r="CK1416" s="4" t="n"/>
      <c r="CL1416" s="4" t="n"/>
      <c r="CM1416" s="4" t="n"/>
      <c r="CN1416" s="4" t="n"/>
      <c r="CO1416" s="4" t="n"/>
      <c r="CP1416" s="4" t="n"/>
      <c r="CQ1416" s="4" t="n"/>
      <c r="CR1416" s="4" t="n"/>
      <c r="CS1416" s="4" t="n"/>
      <c r="CT1416" s="4" t="n"/>
      <c r="CU1416" s="4" t="n"/>
      <c r="CV1416" s="4" t="n"/>
      <c r="CW1416" s="4" t="n"/>
      <c r="CX1416" s="4" t="n"/>
      <c r="CY1416" s="4" t="n"/>
      <c r="CZ1416" s="4" t="n"/>
      <c r="DA1416" s="4" t="n"/>
      <c r="DB1416" s="4" t="n"/>
      <c r="DC1416" s="4" t="n"/>
      <c r="DD1416" s="4" t="n"/>
      <c r="DE1416" s="4" t="n"/>
      <c r="DF1416" s="4" t="n"/>
      <c r="DG1416" s="4" t="n"/>
      <c r="DH1416" s="4" t="n"/>
      <c r="DI1416" s="4" t="n"/>
      <c r="DJ1416" s="4" t="n"/>
      <c r="DK1416" s="4" t="n"/>
      <c r="DL1416" s="4" t="n"/>
      <c r="DM1416" s="4" t="n"/>
      <c r="DN1416" s="4" t="n"/>
      <c r="DO1416" s="4" t="n"/>
      <c r="DP1416" s="4" t="n"/>
      <c r="DQ1416" s="4" t="n"/>
      <c r="DR1416" s="4" t="n"/>
      <c r="DS1416" s="4" t="n"/>
      <c r="DT1416" s="4" t="n"/>
      <c r="DU1416" s="4" t="n"/>
      <c r="DV1416" s="4" t="n"/>
      <c r="DW1416" s="4" t="n"/>
      <c r="DX1416" s="4" t="n"/>
      <c r="DY1416" s="4" t="n"/>
      <c r="DZ1416" s="4" t="n"/>
      <c r="EA1416" s="4" t="n"/>
      <c r="EB1416" s="4" t="n"/>
      <c r="EC1416" s="4" t="n"/>
      <c r="ED1416" s="4" t="n"/>
      <c r="EE1416" s="4" t="n"/>
      <c r="EF1416" s="4" t="n"/>
      <c r="EG1416" s="4" t="n"/>
      <c r="EH1416" s="4" t="n"/>
      <c r="EI1416" s="4" t="n"/>
      <c r="EJ1416" s="4" t="n"/>
      <c r="EK1416" s="4" t="n"/>
      <c r="EL1416" s="4" t="n"/>
      <c r="EM1416" s="4" t="n"/>
      <c r="EN1416" s="4" t="n"/>
      <c r="EO1416" s="4" t="n"/>
      <c r="EP1416" s="4" t="n"/>
      <c r="EQ1416" s="4" t="n"/>
      <c r="ER1416" s="4" t="n"/>
      <c r="ES1416" s="4" t="n"/>
      <c r="ET1416" s="4" t="n"/>
      <c r="EU1416" s="4" t="n"/>
      <c r="EV1416" s="4" t="n"/>
      <c r="EW1416" s="4" t="n"/>
      <c r="EX1416" s="4" t="n"/>
      <c r="EY1416" s="4" t="n"/>
      <c r="EZ1416" s="4" t="n"/>
      <c r="FA1416" s="4" t="n"/>
      <c r="FB1416" s="4" t="n"/>
      <c r="FC1416" s="4" t="n"/>
    </row>
    <row r="1417" hidden="1" customFormat="1" s="6">
      <c r="C1417" s="4" t="n"/>
      <c r="D1417" s="4" t="n"/>
      <c r="E1417" s="4" t="n"/>
      <c r="F1417" s="4" t="n"/>
      <c r="G1417" s="4" t="n"/>
      <c r="H1417" s="4" t="n"/>
      <c r="I1417" s="4" t="n"/>
      <c r="J1417" s="4" t="n"/>
      <c r="K1417" s="4" t="n"/>
      <c r="L1417" s="4" t="n"/>
      <c r="M1417" s="4" t="n"/>
      <c r="N1417" s="4" t="n"/>
      <c r="O1417" s="4" t="n"/>
      <c r="P1417" s="4" t="n"/>
      <c r="Q1417" s="4" t="n"/>
      <c r="R1417" s="4" t="n"/>
      <c r="S1417" s="4" t="n"/>
      <c r="T1417" s="4" t="n"/>
      <c r="U1417" s="4" t="n"/>
      <c r="V1417" s="4" t="n"/>
      <c r="W1417" s="4" t="n"/>
      <c r="X1417" s="4" t="n"/>
      <c r="Y1417" s="4" t="n"/>
      <c r="Z1417" s="4" t="n"/>
      <c r="AA1417" s="4" t="n"/>
      <c r="AB1417" s="4" t="n"/>
      <c r="AC1417" s="4" t="n"/>
      <c r="AD1417" s="4" t="n"/>
      <c r="AE1417" s="4" t="n"/>
      <c r="AF1417" s="4" t="n"/>
      <c r="AG1417" s="4" t="n"/>
      <c r="AH1417" s="4" t="n"/>
      <c r="AI1417" s="4" t="n"/>
      <c r="AJ1417" s="4" t="n"/>
      <c r="AK1417" s="4" t="n"/>
      <c r="AL1417" s="4" t="n"/>
      <c r="AM1417" s="4" t="n"/>
      <c r="AN1417" s="4" t="n"/>
      <c r="AO1417" s="4" t="n"/>
      <c r="AP1417" s="4" t="n"/>
      <c r="AQ1417" s="4" t="n"/>
      <c r="AR1417" s="4" t="n"/>
      <c r="AS1417" s="4" t="n"/>
      <c r="AT1417" s="4" t="n"/>
      <c r="AU1417" s="4" t="n"/>
      <c r="AV1417" s="4" t="n"/>
      <c r="AW1417" s="4" t="n"/>
      <c r="AX1417" s="4" t="n"/>
      <c r="AY1417" s="4" t="n"/>
      <c r="AZ1417" s="4" t="n"/>
      <c r="BA1417" s="4" t="n"/>
      <c r="BB1417" s="4" t="n"/>
      <c r="BC1417" s="4" t="n"/>
      <c r="BD1417" s="4" t="n"/>
      <c r="BE1417" s="4" t="n"/>
      <c r="BF1417" s="4" t="n"/>
      <c r="BG1417" s="4" t="n"/>
      <c r="BH1417" s="4" t="n"/>
      <c r="BI1417" s="4" t="n"/>
      <c r="BJ1417" s="4" t="n"/>
      <c r="BK1417" s="4" t="n"/>
      <c r="BL1417" s="4" t="n"/>
      <c r="BM1417" s="4" t="n"/>
      <c r="BN1417" s="4" t="n"/>
      <c r="BO1417" s="4" t="n"/>
      <c r="BP1417" s="4" t="n"/>
      <c r="BQ1417" s="4" t="n"/>
      <c r="BR1417" s="4" t="n"/>
      <c r="BS1417" s="4" t="n"/>
      <c r="BT1417" s="4" t="n"/>
      <c r="BU1417" s="4" t="n"/>
      <c r="BV1417" s="4" t="n"/>
      <c r="BW1417" s="4" t="n"/>
      <c r="BX1417" s="4" t="n"/>
      <c r="BY1417" s="4" t="n"/>
      <c r="BZ1417" s="4" t="n"/>
      <c r="CA1417" s="4" t="n"/>
      <c r="CB1417" s="4" t="n"/>
      <c r="CC1417" s="4" t="n"/>
      <c r="CD1417" s="4" t="n"/>
      <c r="CE1417" s="4" t="n"/>
      <c r="CF1417" s="4" t="n"/>
      <c r="CG1417" s="4" t="n"/>
      <c r="CH1417" s="4" t="n"/>
      <c r="CI1417" s="4" t="n"/>
      <c r="CJ1417" s="4" t="n"/>
      <c r="CK1417" s="4" t="n"/>
      <c r="CL1417" s="4" t="n"/>
      <c r="CM1417" s="4" t="n"/>
      <c r="CN1417" s="4" t="n"/>
      <c r="CO1417" s="4" t="n"/>
      <c r="CP1417" s="4" t="n"/>
      <c r="CQ1417" s="4" t="n"/>
      <c r="CR1417" s="4" t="n"/>
      <c r="CS1417" s="4" t="n"/>
      <c r="CT1417" s="4" t="n"/>
      <c r="CU1417" s="4" t="n"/>
      <c r="CV1417" s="4" t="n"/>
      <c r="CW1417" s="4" t="n"/>
      <c r="CX1417" s="4" t="n"/>
      <c r="CY1417" s="4" t="n"/>
      <c r="CZ1417" s="4" t="n"/>
      <c r="DA1417" s="4" t="n"/>
      <c r="DB1417" s="4" t="n"/>
      <c r="DC1417" s="4" t="n"/>
      <c r="DD1417" s="4" t="n"/>
      <c r="DE1417" s="4" t="n"/>
      <c r="DF1417" s="4" t="n"/>
      <c r="DG1417" s="4" t="n"/>
      <c r="DH1417" s="4" t="n"/>
      <c r="DI1417" s="4" t="n"/>
      <c r="DJ1417" s="4" t="n"/>
      <c r="DK1417" s="4" t="n"/>
      <c r="DL1417" s="4" t="n"/>
      <c r="DM1417" s="4" t="n"/>
      <c r="DN1417" s="4" t="n"/>
      <c r="DO1417" s="4" t="n"/>
      <c r="DP1417" s="4" t="n"/>
      <c r="DQ1417" s="4" t="n"/>
      <c r="DR1417" s="4" t="n"/>
      <c r="DS1417" s="4" t="n"/>
      <c r="DT1417" s="4" t="n"/>
      <c r="DU1417" s="4" t="n"/>
      <c r="DV1417" s="4" t="n"/>
      <c r="DW1417" s="4" t="n"/>
      <c r="DX1417" s="4" t="n"/>
      <c r="DY1417" s="4" t="n"/>
      <c r="DZ1417" s="4" t="n"/>
      <c r="EA1417" s="4" t="n"/>
      <c r="EB1417" s="4" t="n"/>
      <c r="EC1417" s="4" t="n"/>
      <c r="ED1417" s="4" t="n"/>
      <c r="EE1417" s="4" t="n"/>
      <c r="EF1417" s="4" t="n"/>
      <c r="EG1417" s="4" t="n"/>
      <c r="EH1417" s="4" t="n"/>
      <c r="EI1417" s="4" t="n"/>
      <c r="EJ1417" s="4" t="n"/>
      <c r="EK1417" s="4" t="n"/>
      <c r="EL1417" s="4" t="n"/>
      <c r="EM1417" s="4" t="n"/>
      <c r="EN1417" s="4" t="n"/>
      <c r="EO1417" s="4" t="n"/>
      <c r="EP1417" s="4" t="n"/>
      <c r="EQ1417" s="4" t="n"/>
      <c r="ER1417" s="4" t="n"/>
      <c r="ES1417" s="4" t="n"/>
      <c r="ET1417" s="4" t="n"/>
      <c r="EU1417" s="4" t="n"/>
      <c r="EV1417" s="4" t="n"/>
      <c r="EW1417" s="4" t="n"/>
      <c r="EX1417" s="4" t="n"/>
      <c r="EY1417" s="4" t="n"/>
      <c r="EZ1417" s="4" t="n"/>
      <c r="FA1417" s="4" t="n"/>
      <c r="FB1417" s="4" t="n"/>
      <c r="FC1417" s="4" t="n"/>
    </row>
    <row r="1418" hidden="1" customFormat="1" s="6">
      <c r="C1418" s="4" t="n"/>
      <c r="D1418" s="4" t="n"/>
      <c r="E1418" s="4" t="n"/>
      <c r="F1418" s="4" t="n"/>
      <c r="G1418" s="4" t="n"/>
      <c r="H1418" s="4" t="n"/>
      <c r="I1418" s="4" t="n"/>
      <c r="J1418" s="4" t="n"/>
      <c r="K1418" s="4" t="n"/>
      <c r="L1418" s="4" t="n"/>
      <c r="M1418" s="4" t="n"/>
      <c r="N1418" s="4" t="n"/>
      <c r="O1418" s="4" t="n"/>
      <c r="P1418" s="4" t="n"/>
      <c r="Q1418" s="4" t="n"/>
      <c r="R1418" s="4" t="n"/>
      <c r="S1418" s="4" t="n"/>
      <c r="T1418" s="4" t="n"/>
      <c r="U1418" s="4" t="n"/>
      <c r="V1418" s="4" t="n"/>
      <c r="W1418" s="4" t="n"/>
      <c r="X1418" s="4" t="n"/>
      <c r="Y1418" s="4" t="n"/>
      <c r="Z1418" s="4" t="n"/>
      <c r="AA1418" s="4" t="n"/>
      <c r="AB1418" s="4" t="n"/>
      <c r="AC1418" s="4" t="n"/>
      <c r="AD1418" s="4" t="n"/>
      <c r="AE1418" s="4" t="n"/>
      <c r="AF1418" s="4" t="n"/>
      <c r="AG1418" s="4" t="n"/>
      <c r="AH1418" s="4" t="n"/>
      <c r="AI1418" s="4" t="n"/>
      <c r="AJ1418" s="4" t="n"/>
      <c r="AK1418" s="4" t="n"/>
      <c r="AL1418" s="4" t="n"/>
      <c r="AM1418" s="4" t="n"/>
      <c r="AN1418" s="4" t="n"/>
      <c r="AO1418" s="4" t="n"/>
      <c r="AP1418" s="4" t="n"/>
      <c r="AQ1418" s="4" t="n"/>
      <c r="AR1418" s="4" t="n"/>
      <c r="AS1418" s="4" t="n"/>
      <c r="AT1418" s="4" t="n"/>
      <c r="AU1418" s="4" t="n"/>
      <c r="AV1418" s="4" t="n"/>
      <c r="AW1418" s="4" t="n"/>
      <c r="AX1418" s="4" t="n"/>
      <c r="AY1418" s="4" t="n"/>
      <c r="AZ1418" s="4" t="n"/>
      <c r="BA1418" s="4" t="n"/>
      <c r="BB1418" s="4" t="n"/>
      <c r="BC1418" s="4" t="n"/>
      <c r="BD1418" s="4" t="n"/>
      <c r="BE1418" s="4" t="n"/>
      <c r="BF1418" s="4" t="n"/>
      <c r="BG1418" s="4" t="n"/>
      <c r="BH1418" s="4" t="n"/>
      <c r="BI1418" s="4" t="n"/>
      <c r="BJ1418" s="4" t="n"/>
      <c r="BK1418" s="4" t="n"/>
      <c r="BL1418" s="4" t="n"/>
      <c r="BM1418" s="4" t="n"/>
      <c r="BN1418" s="4" t="n"/>
      <c r="BO1418" s="4" t="n"/>
      <c r="BP1418" s="4" t="n"/>
      <c r="BQ1418" s="4" t="n"/>
      <c r="BR1418" s="4" t="n"/>
      <c r="BS1418" s="4" t="n"/>
      <c r="BT1418" s="4" t="n"/>
      <c r="BU1418" s="4" t="n"/>
      <c r="BV1418" s="4" t="n"/>
      <c r="BW1418" s="4" t="n"/>
      <c r="BX1418" s="4" t="n"/>
      <c r="BY1418" s="4" t="n"/>
      <c r="BZ1418" s="4" t="n"/>
      <c r="CA1418" s="4" t="n"/>
      <c r="CB1418" s="4" t="n"/>
      <c r="CC1418" s="4" t="n"/>
      <c r="CD1418" s="4" t="n"/>
      <c r="CE1418" s="4" t="n"/>
      <c r="CF1418" s="4" t="n"/>
      <c r="CG1418" s="4" t="n"/>
      <c r="CH1418" s="4" t="n"/>
      <c r="CI1418" s="4" t="n"/>
      <c r="CJ1418" s="4" t="n"/>
      <c r="CK1418" s="4" t="n"/>
      <c r="CL1418" s="4" t="n"/>
      <c r="CM1418" s="4" t="n"/>
      <c r="CN1418" s="4" t="n"/>
      <c r="CO1418" s="4" t="n"/>
      <c r="CP1418" s="4" t="n"/>
      <c r="CQ1418" s="4" t="n"/>
      <c r="CR1418" s="4" t="n"/>
      <c r="CS1418" s="4" t="n"/>
      <c r="CT1418" s="4" t="n"/>
      <c r="CU1418" s="4" t="n"/>
      <c r="CV1418" s="4" t="n"/>
      <c r="CW1418" s="4" t="n"/>
      <c r="CX1418" s="4" t="n"/>
      <c r="CY1418" s="4" t="n"/>
      <c r="CZ1418" s="4" t="n"/>
      <c r="DA1418" s="4" t="n"/>
      <c r="DB1418" s="4" t="n"/>
      <c r="DC1418" s="4" t="n"/>
      <c r="DD1418" s="4" t="n"/>
      <c r="DE1418" s="4" t="n"/>
      <c r="DF1418" s="4" t="n"/>
      <c r="DG1418" s="4" t="n"/>
      <c r="DH1418" s="4" t="n"/>
      <c r="DI1418" s="4" t="n"/>
      <c r="DJ1418" s="4" t="n"/>
      <c r="DK1418" s="4" t="n"/>
      <c r="DL1418" s="4" t="n"/>
      <c r="DM1418" s="4" t="n"/>
      <c r="DN1418" s="4" t="n"/>
      <c r="DO1418" s="4" t="n"/>
      <c r="DP1418" s="4" t="n"/>
      <c r="DQ1418" s="4" t="n"/>
      <c r="DR1418" s="4" t="n"/>
      <c r="DS1418" s="4" t="n"/>
      <c r="DT1418" s="4" t="n"/>
      <c r="DU1418" s="4" t="n"/>
      <c r="DV1418" s="4" t="n"/>
      <c r="DW1418" s="4" t="n"/>
      <c r="DX1418" s="4" t="n"/>
      <c r="DY1418" s="4" t="n"/>
      <c r="DZ1418" s="4" t="n"/>
      <c r="EA1418" s="4" t="n"/>
      <c r="EB1418" s="4" t="n"/>
      <c r="EC1418" s="4" t="n"/>
      <c r="ED1418" s="4" t="n"/>
      <c r="EE1418" s="4" t="n"/>
      <c r="EF1418" s="4" t="n"/>
      <c r="EG1418" s="4" t="n"/>
      <c r="EH1418" s="4" t="n"/>
      <c r="EI1418" s="4" t="n"/>
      <c r="EJ1418" s="4" t="n"/>
      <c r="EK1418" s="4" t="n"/>
      <c r="EL1418" s="4" t="n"/>
      <c r="EM1418" s="4" t="n"/>
      <c r="EN1418" s="4" t="n"/>
      <c r="EO1418" s="4" t="n"/>
      <c r="EP1418" s="4" t="n"/>
      <c r="EQ1418" s="4" t="n"/>
      <c r="ER1418" s="4" t="n"/>
      <c r="ES1418" s="4" t="n"/>
      <c r="ET1418" s="4" t="n"/>
      <c r="EU1418" s="4" t="n"/>
      <c r="EV1418" s="4" t="n"/>
      <c r="EW1418" s="4" t="n"/>
      <c r="EX1418" s="4" t="n"/>
      <c r="EY1418" s="4" t="n"/>
      <c r="EZ1418" s="4" t="n"/>
      <c r="FA1418" s="4" t="n"/>
      <c r="FB1418" s="4" t="n"/>
      <c r="FC1418" s="4" t="n"/>
    </row>
    <row r="1419" hidden="1" customFormat="1" s="6">
      <c r="C1419" s="4" t="n"/>
      <c r="D1419" s="4" t="n"/>
      <c r="E1419" s="4" t="n"/>
      <c r="F1419" s="4" t="n"/>
      <c r="G1419" s="4" t="n"/>
      <c r="H1419" s="4" t="n"/>
      <c r="I1419" s="4" t="n"/>
      <c r="J1419" s="4" t="n"/>
      <c r="K1419" s="4" t="n"/>
      <c r="L1419" s="4" t="n"/>
      <c r="M1419" s="4" t="n"/>
      <c r="N1419" s="4" t="n"/>
      <c r="O1419" s="4" t="n"/>
      <c r="P1419" s="4" t="n"/>
      <c r="Q1419" s="4" t="n"/>
      <c r="R1419" s="4" t="n"/>
      <c r="S1419" s="4" t="n"/>
      <c r="T1419" s="4" t="n"/>
      <c r="U1419" s="4" t="n"/>
      <c r="V1419" s="4" t="n"/>
      <c r="W1419" s="4" t="n"/>
      <c r="X1419" s="4" t="n"/>
      <c r="Y1419" s="4" t="n"/>
      <c r="Z1419" s="4" t="n"/>
      <c r="AA1419" s="4" t="n"/>
      <c r="AB1419" s="4" t="n"/>
      <c r="AC1419" s="4" t="n"/>
      <c r="AD1419" s="4" t="n"/>
      <c r="AE1419" s="4" t="n"/>
      <c r="AF1419" s="4" t="n"/>
      <c r="AG1419" s="4" t="n"/>
      <c r="AH1419" s="4" t="n"/>
      <c r="AI1419" s="4" t="n"/>
      <c r="AJ1419" s="4" t="n"/>
      <c r="AK1419" s="4" t="n"/>
      <c r="AL1419" s="4" t="n"/>
      <c r="AM1419" s="4" t="n"/>
      <c r="AN1419" s="4" t="n"/>
      <c r="AO1419" s="4" t="n"/>
      <c r="AP1419" s="4" t="n"/>
      <c r="AQ1419" s="4" t="n"/>
      <c r="AR1419" s="4" t="n"/>
      <c r="AS1419" s="4" t="n"/>
      <c r="AT1419" s="4" t="n"/>
      <c r="AU1419" s="4" t="n"/>
      <c r="AV1419" s="4" t="n"/>
      <c r="AW1419" s="4" t="n"/>
      <c r="AX1419" s="4" t="n"/>
      <c r="AY1419" s="4" t="n"/>
      <c r="AZ1419" s="4" t="n"/>
      <c r="BA1419" s="4" t="n"/>
      <c r="BB1419" s="4" t="n"/>
      <c r="BC1419" s="4" t="n"/>
      <c r="BD1419" s="4" t="n"/>
      <c r="BE1419" s="4" t="n"/>
      <c r="BF1419" s="4" t="n"/>
      <c r="BG1419" s="4" t="n"/>
      <c r="BH1419" s="4" t="n"/>
      <c r="BI1419" s="4" t="n"/>
      <c r="BJ1419" s="4" t="n"/>
      <c r="BK1419" s="4" t="n"/>
      <c r="BL1419" s="4" t="n"/>
      <c r="BM1419" s="4" t="n"/>
      <c r="BN1419" s="4" t="n"/>
      <c r="BO1419" s="4" t="n"/>
      <c r="BP1419" s="4" t="n"/>
      <c r="BQ1419" s="4" t="n"/>
      <c r="BR1419" s="4" t="n"/>
      <c r="BS1419" s="4" t="n"/>
      <c r="BT1419" s="4" t="n"/>
      <c r="BU1419" s="4" t="n"/>
      <c r="BV1419" s="4" t="n"/>
      <c r="BW1419" s="4" t="n"/>
      <c r="BX1419" s="4" t="n"/>
      <c r="BY1419" s="4" t="n"/>
      <c r="BZ1419" s="4" t="n"/>
      <c r="CA1419" s="4" t="n"/>
      <c r="CB1419" s="4" t="n"/>
      <c r="CC1419" s="4" t="n"/>
      <c r="CD1419" s="4" t="n"/>
      <c r="CE1419" s="4" t="n"/>
      <c r="CF1419" s="4" t="n"/>
      <c r="CG1419" s="4" t="n"/>
      <c r="CH1419" s="4" t="n"/>
      <c r="CI1419" s="4" t="n"/>
      <c r="CJ1419" s="4" t="n"/>
      <c r="CK1419" s="4" t="n"/>
      <c r="CL1419" s="4" t="n"/>
      <c r="CM1419" s="4" t="n"/>
      <c r="CN1419" s="4" t="n"/>
      <c r="CO1419" s="4" t="n"/>
      <c r="CP1419" s="4" t="n"/>
      <c r="CQ1419" s="4" t="n"/>
      <c r="CR1419" s="4" t="n"/>
      <c r="CS1419" s="4" t="n"/>
      <c r="CT1419" s="4" t="n"/>
      <c r="CU1419" s="4" t="n"/>
      <c r="CV1419" s="4" t="n"/>
      <c r="CW1419" s="4" t="n"/>
      <c r="CX1419" s="4" t="n"/>
      <c r="CY1419" s="4" t="n"/>
      <c r="CZ1419" s="4" t="n"/>
      <c r="DA1419" s="4" t="n"/>
      <c r="DB1419" s="4" t="n"/>
      <c r="DC1419" s="4" t="n"/>
      <c r="DD1419" s="4" t="n"/>
      <c r="DE1419" s="4" t="n"/>
      <c r="DF1419" s="4" t="n"/>
      <c r="DG1419" s="4" t="n"/>
      <c r="DH1419" s="4" t="n"/>
      <c r="DI1419" s="4" t="n"/>
      <c r="DJ1419" s="4" t="n"/>
      <c r="DK1419" s="4" t="n"/>
      <c r="DL1419" s="4" t="n"/>
      <c r="DM1419" s="4" t="n"/>
      <c r="DN1419" s="4" t="n"/>
      <c r="DO1419" s="4" t="n"/>
      <c r="DP1419" s="4" t="n"/>
      <c r="DQ1419" s="4" t="n"/>
      <c r="DR1419" s="4" t="n"/>
      <c r="DS1419" s="4" t="n"/>
      <c r="DT1419" s="4" t="n"/>
      <c r="DU1419" s="4" t="n"/>
      <c r="DV1419" s="4" t="n"/>
      <c r="DW1419" s="4" t="n"/>
      <c r="DX1419" s="4" t="n"/>
      <c r="DY1419" s="4" t="n"/>
      <c r="DZ1419" s="4" t="n"/>
      <c r="EA1419" s="4" t="n"/>
      <c r="EB1419" s="4" t="n"/>
      <c r="EC1419" s="4" t="n"/>
      <c r="ED1419" s="4" t="n"/>
      <c r="EE1419" s="4" t="n"/>
      <c r="EF1419" s="4" t="n"/>
      <c r="EG1419" s="4" t="n"/>
      <c r="EH1419" s="4" t="n"/>
      <c r="EI1419" s="4" t="n"/>
      <c r="EJ1419" s="4" t="n"/>
      <c r="EK1419" s="4" t="n"/>
      <c r="EL1419" s="4" t="n"/>
      <c r="EM1419" s="4" t="n"/>
      <c r="EN1419" s="4" t="n"/>
      <c r="EO1419" s="4" t="n"/>
      <c r="EP1419" s="4" t="n"/>
      <c r="EQ1419" s="4" t="n"/>
      <c r="ER1419" s="4" t="n"/>
      <c r="ES1419" s="4" t="n"/>
      <c r="ET1419" s="4" t="n"/>
      <c r="EU1419" s="4" t="n"/>
      <c r="EV1419" s="4" t="n"/>
      <c r="EW1419" s="4" t="n"/>
      <c r="EX1419" s="4" t="n"/>
      <c r="EY1419" s="4" t="n"/>
      <c r="EZ1419" s="4" t="n"/>
      <c r="FA1419" s="4" t="n"/>
      <c r="FB1419" s="4" t="n"/>
      <c r="FC1419" s="4" t="n"/>
    </row>
    <row r="1420" hidden="1" customFormat="1" s="6">
      <c r="C1420" s="4" t="n"/>
      <c r="D1420" s="4" t="n"/>
      <c r="E1420" s="4" t="n"/>
      <c r="F1420" s="4" t="n"/>
      <c r="G1420" s="4" t="n"/>
      <c r="H1420" s="4" t="n"/>
      <c r="I1420" s="4" t="n"/>
      <c r="J1420" s="4" t="n"/>
      <c r="K1420" s="4" t="n"/>
      <c r="L1420" s="4" t="n"/>
      <c r="M1420" s="4" t="n"/>
      <c r="N1420" s="4" t="n"/>
      <c r="O1420" s="4" t="n"/>
      <c r="P1420" s="4" t="n"/>
      <c r="Q1420" s="4" t="n"/>
      <c r="R1420" s="4" t="n"/>
      <c r="S1420" s="4" t="n"/>
      <c r="T1420" s="4" t="n"/>
      <c r="U1420" s="4" t="n"/>
      <c r="V1420" s="4" t="n"/>
      <c r="W1420" s="4" t="n"/>
      <c r="X1420" s="4" t="n"/>
      <c r="Y1420" s="4" t="n"/>
      <c r="Z1420" s="4" t="n"/>
      <c r="AA1420" s="4" t="n"/>
      <c r="AB1420" s="4" t="n"/>
      <c r="AC1420" s="4" t="n"/>
      <c r="AD1420" s="4" t="n"/>
      <c r="AE1420" s="4" t="n"/>
      <c r="AF1420" s="4" t="n"/>
      <c r="AG1420" s="4" t="n"/>
      <c r="AH1420" s="4" t="n"/>
      <c r="AI1420" s="4" t="n"/>
      <c r="AJ1420" s="4" t="n"/>
      <c r="AK1420" s="4" t="n"/>
      <c r="AL1420" s="4" t="n"/>
      <c r="AM1420" s="4" t="n"/>
      <c r="AN1420" s="4" t="n"/>
      <c r="AO1420" s="4" t="n"/>
      <c r="AP1420" s="4" t="n"/>
      <c r="AQ1420" s="4" t="n"/>
      <c r="AR1420" s="4" t="n"/>
      <c r="AS1420" s="4" t="n"/>
      <c r="AT1420" s="4" t="n"/>
      <c r="AU1420" s="4" t="n"/>
      <c r="AV1420" s="4" t="n"/>
      <c r="AW1420" s="4" t="n"/>
      <c r="AX1420" s="4" t="n"/>
      <c r="AY1420" s="4" t="n"/>
      <c r="AZ1420" s="4" t="n"/>
      <c r="BA1420" s="4" t="n"/>
      <c r="BB1420" s="4" t="n"/>
      <c r="BC1420" s="4" t="n"/>
      <c r="BD1420" s="4" t="n"/>
      <c r="BE1420" s="4" t="n"/>
      <c r="BF1420" s="4" t="n"/>
      <c r="BG1420" s="4" t="n"/>
      <c r="BH1420" s="4" t="n"/>
      <c r="BI1420" s="4" t="n"/>
      <c r="BJ1420" s="4" t="n"/>
      <c r="BK1420" s="4" t="n"/>
      <c r="BL1420" s="4" t="n"/>
      <c r="BM1420" s="4" t="n"/>
      <c r="BN1420" s="4" t="n"/>
      <c r="BO1420" s="4" t="n"/>
      <c r="BP1420" s="4" t="n"/>
      <c r="BQ1420" s="4" t="n"/>
      <c r="BR1420" s="4" t="n"/>
      <c r="BS1420" s="4" t="n"/>
      <c r="BT1420" s="4" t="n"/>
      <c r="BU1420" s="4" t="n"/>
      <c r="BV1420" s="4" t="n"/>
      <c r="BW1420" s="4" t="n"/>
      <c r="BX1420" s="4" t="n"/>
      <c r="BY1420" s="4" t="n"/>
      <c r="BZ1420" s="4" t="n"/>
      <c r="CA1420" s="4" t="n"/>
      <c r="CB1420" s="4" t="n"/>
      <c r="CC1420" s="4" t="n"/>
      <c r="CD1420" s="4" t="n"/>
      <c r="CE1420" s="4" t="n"/>
      <c r="CF1420" s="4" t="n"/>
      <c r="CG1420" s="4" t="n"/>
      <c r="CH1420" s="4" t="n"/>
      <c r="CI1420" s="4" t="n"/>
      <c r="CJ1420" s="4" t="n"/>
      <c r="CK1420" s="4" t="n"/>
      <c r="CL1420" s="4" t="n"/>
      <c r="CM1420" s="4" t="n"/>
      <c r="CN1420" s="4" t="n"/>
      <c r="CO1420" s="4" t="n"/>
      <c r="CP1420" s="4" t="n"/>
      <c r="CQ1420" s="4" t="n"/>
      <c r="CR1420" s="4" t="n"/>
      <c r="CS1420" s="4" t="n"/>
      <c r="CT1420" s="4" t="n"/>
      <c r="CU1420" s="4" t="n"/>
      <c r="CV1420" s="4" t="n"/>
      <c r="CW1420" s="4" t="n"/>
      <c r="CX1420" s="4" t="n"/>
      <c r="CY1420" s="4" t="n"/>
      <c r="CZ1420" s="4" t="n"/>
      <c r="DA1420" s="4" t="n"/>
      <c r="DB1420" s="4" t="n"/>
      <c r="DC1420" s="4" t="n"/>
      <c r="DD1420" s="4" t="n"/>
      <c r="DE1420" s="4" t="n"/>
      <c r="DF1420" s="4" t="n"/>
      <c r="DG1420" s="4" t="n"/>
      <c r="DH1420" s="4" t="n"/>
      <c r="DI1420" s="4" t="n"/>
      <c r="DJ1420" s="4" t="n"/>
      <c r="DK1420" s="4" t="n"/>
      <c r="DL1420" s="4" t="n"/>
      <c r="DM1420" s="4" t="n"/>
      <c r="DN1420" s="4" t="n"/>
      <c r="DO1420" s="4" t="n"/>
      <c r="DP1420" s="4" t="n"/>
      <c r="DQ1420" s="4" t="n"/>
      <c r="DR1420" s="4" t="n"/>
      <c r="DS1420" s="4" t="n"/>
      <c r="DT1420" s="4" t="n"/>
      <c r="DU1420" s="4" t="n"/>
      <c r="DV1420" s="4" t="n"/>
      <c r="DW1420" s="4" t="n"/>
      <c r="DX1420" s="4" t="n"/>
      <c r="DY1420" s="4" t="n"/>
      <c r="DZ1420" s="4" t="n"/>
      <c r="EA1420" s="4" t="n"/>
      <c r="EB1420" s="4" t="n"/>
      <c r="EC1420" s="4" t="n"/>
      <c r="ED1420" s="4" t="n"/>
      <c r="EE1420" s="4" t="n"/>
      <c r="EF1420" s="4" t="n"/>
      <c r="EG1420" s="4" t="n"/>
      <c r="EH1420" s="4" t="n"/>
      <c r="EI1420" s="4" t="n"/>
      <c r="EJ1420" s="4" t="n"/>
      <c r="EK1420" s="4" t="n"/>
      <c r="EL1420" s="4" t="n"/>
      <c r="EM1420" s="4" t="n"/>
      <c r="EN1420" s="4" t="n"/>
      <c r="EO1420" s="4" t="n"/>
      <c r="EP1420" s="4" t="n"/>
      <c r="EQ1420" s="4" t="n"/>
      <c r="ER1420" s="4" t="n"/>
      <c r="ES1420" s="4" t="n"/>
      <c r="ET1420" s="4" t="n"/>
      <c r="EU1420" s="4" t="n"/>
      <c r="EV1420" s="4" t="n"/>
      <c r="EW1420" s="4" t="n"/>
      <c r="EX1420" s="4" t="n"/>
      <c r="EY1420" s="4" t="n"/>
      <c r="EZ1420" s="4" t="n"/>
      <c r="FA1420" s="4" t="n"/>
      <c r="FB1420" s="4" t="n"/>
      <c r="FC1420" s="4" t="n"/>
    </row>
    <row r="1421" hidden="1" customFormat="1" s="6">
      <c r="C1421" s="4" t="n"/>
      <c r="D1421" s="4" t="n"/>
      <c r="E1421" s="4" t="n"/>
      <c r="F1421" s="4" t="n"/>
      <c r="G1421" s="4" t="n"/>
      <c r="H1421" s="4" t="n"/>
      <c r="I1421" s="4" t="n"/>
      <c r="J1421" s="4" t="n"/>
      <c r="K1421" s="4" t="n"/>
      <c r="L1421" s="4" t="n"/>
      <c r="M1421" s="4" t="n"/>
      <c r="N1421" s="4" t="n"/>
      <c r="O1421" s="4" t="n"/>
      <c r="P1421" s="4" t="n"/>
      <c r="Q1421" s="4" t="n"/>
      <c r="R1421" s="4" t="n"/>
      <c r="S1421" s="4" t="n"/>
      <c r="T1421" s="4" t="n"/>
      <c r="U1421" s="4" t="n"/>
      <c r="V1421" s="4" t="n"/>
      <c r="W1421" s="4" t="n"/>
      <c r="X1421" s="4" t="n"/>
      <c r="Y1421" s="4" t="n"/>
      <c r="Z1421" s="4" t="n"/>
      <c r="AA1421" s="4" t="n"/>
      <c r="AB1421" s="4" t="n"/>
      <c r="AC1421" s="4" t="n"/>
      <c r="AD1421" s="4" t="n"/>
      <c r="AE1421" s="4" t="n"/>
      <c r="AF1421" s="4" t="n"/>
      <c r="AG1421" s="4" t="n"/>
      <c r="AH1421" s="4" t="n"/>
      <c r="AI1421" s="4" t="n"/>
      <c r="AJ1421" s="4" t="n"/>
      <c r="AK1421" s="4" t="n"/>
      <c r="AL1421" s="4" t="n"/>
      <c r="AM1421" s="4" t="n"/>
      <c r="AN1421" s="4" t="n"/>
      <c r="AO1421" s="4" t="n"/>
      <c r="AP1421" s="4" t="n"/>
      <c r="AQ1421" s="4" t="n"/>
      <c r="AR1421" s="4" t="n"/>
      <c r="AS1421" s="4" t="n"/>
      <c r="AT1421" s="4" t="n"/>
      <c r="AU1421" s="4" t="n"/>
      <c r="AV1421" s="4" t="n"/>
      <c r="AW1421" s="4" t="n"/>
      <c r="AX1421" s="4" t="n"/>
      <c r="AY1421" s="4" t="n"/>
      <c r="AZ1421" s="4" t="n"/>
      <c r="BA1421" s="4" t="n"/>
      <c r="BB1421" s="4" t="n"/>
      <c r="BC1421" s="4" t="n"/>
      <c r="BD1421" s="4" t="n"/>
      <c r="BE1421" s="4" t="n"/>
      <c r="BF1421" s="4" t="n"/>
      <c r="BG1421" s="4" t="n"/>
      <c r="BH1421" s="4" t="n"/>
      <c r="BI1421" s="4" t="n"/>
      <c r="BJ1421" s="4" t="n"/>
      <c r="BK1421" s="4" t="n"/>
      <c r="BL1421" s="4" t="n"/>
      <c r="BM1421" s="4" t="n"/>
      <c r="BN1421" s="4" t="n"/>
      <c r="BO1421" s="4" t="n"/>
      <c r="BP1421" s="4" t="n"/>
      <c r="BQ1421" s="4" t="n"/>
      <c r="BR1421" s="4" t="n"/>
      <c r="BS1421" s="4" t="n"/>
      <c r="BT1421" s="4" t="n"/>
      <c r="BU1421" s="4" t="n"/>
      <c r="BV1421" s="4" t="n"/>
      <c r="BW1421" s="4" t="n"/>
      <c r="BX1421" s="4" t="n"/>
      <c r="BY1421" s="4" t="n"/>
      <c r="BZ1421" s="4" t="n"/>
      <c r="CA1421" s="4" t="n"/>
      <c r="CB1421" s="4" t="n"/>
      <c r="CC1421" s="4" t="n"/>
      <c r="CD1421" s="4" t="n"/>
      <c r="CE1421" s="4" t="n"/>
      <c r="CF1421" s="4" t="n"/>
      <c r="CG1421" s="4" t="n"/>
      <c r="CH1421" s="4" t="n"/>
      <c r="CI1421" s="4" t="n"/>
      <c r="CJ1421" s="4" t="n"/>
      <c r="CK1421" s="4" t="n"/>
      <c r="CL1421" s="4" t="n"/>
      <c r="CM1421" s="4" t="n"/>
      <c r="CN1421" s="4" t="n"/>
      <c r="CO1421" s="4" t="n"/>
      <c r="CP1421" s="4" t="n"/>
      <c r="CQ1421" s="4" t="n"/>
      <c r="CR1421" s="4" t="n"/>
      <c r="CS1421" s="4" t="n"/>
      <c r="CT1421" s="4" t="n"/>
      <c r="CU1421" s="4" t="n"/>
      <c r="CV1421" s="4" t="n"/>
      <c r="CW1421" s="4" t="n"/>
      <c r="CX1421" s="4" t="n"/>
      <c r="CY1421" s="4" t="n"/>
      <c r="CZ1421" s="4" t="n"/>
      <c r="DA1421" s="4" t="n"/>
      <c r="DB1421" s="4" t="n"/>
      <c r="DC1421" s="4" t="n"/>
      <c r="DD1421" s="4" t="n"/>
      <c r="DE1421" s="4" t="n"/>
      <c r="DF1421" s="4" t="n"/>
      <c r="DG1421" s="4" t="n"/>
      <c r="DH1421" s="4" t="n"/>
      <c r="DI1421" s="4" t="n"/>
      <c r="DJ1421" s="4" t="n"/>
      <c r="DK1421" s="4" t="n"/>
      <c r="DL1421" s="4" t="n"/>
      <c r="DM1421" s="4" t="n"/>
      <c r="DN1421" s="4" t="n"/>
      <c r="DO1421" s="4" t="n"/>
      <c r="DP1421" s="4" t="n"/>
      <c r="DQ1421" s="4" t="n"/>
      <c r="DR1421" s="4" t="n"/>
      <c r="DS1421" s="4" t="n"/>
      <c r="DT1421" s="4" t="n"/>
      <c r="DU1421" s="4" t="n"/>
      <c r="DV1421" s="4" t="n"/>
      <c r="DW1421" s="4" t="n"/>
      <c r="DX1421" s="4" t="n"/>
      <c r="DY1421" s="4" t="n"/>
      <c r="DZ1421" s="4" t="n"/>
      <c r="EA1421" s="4" t="n"/>
      <c r="EB1421" s="4" t="n"/>
      <c r="EC1421" s="4" t="n"/>
      <c r="ED1421" s="4" t="n"/>
      <c r="EE1421" s="4" t="n"/>
      <c r="EF1421" s="4" t="n"/>
      <c r="EG1421" s="4" t="n"/>
      <c r="EH1421" s="4" t="n"/>
      <c r="EI1421" s="4" t="n"/>
      <c r="EJ1421" s="4" t="n"/>
      <c r="EK1421" s="4" t="n"/>
      <c r="EL1421" s="4" t="n"/>
      <c r="EM1421" s="4" t="n"/>
      <c r="EN1421" s="4" t="n"/>
      <c r="EO1421" s="4" t="n"/>
      <c r="EP1421" s="4" t="n"/>
      <c r="EQ1421" s="4" t="n"/>
      <c r="ER1421" s="4" t="n"/>
      <c r="ES1421" s="4" t="n"/>
      <c r="ET1421" s="4" t="n"/>
      <c r="EU1421" s="4" t="n"/>
      <c r="EV1421" s="4" t="n"/>
      <c r="EW1421" s="4" t="n"/>
      <c r="EX1421" s="4" t="n"/>
      <c r="EY1421" s="4" t="n"/>
      <c r="EZ1421" s="4" t="n"/>
      <c r="FA1421" s="4" t="n"/>
      <c r="FB1421" s="4" t="n"/>
      <c r="FC1421" s="4" t="n"/>
    </row>
    <row r="1422" hidden="1" customFormat="1" s="6">
      <c r="C1422" s="4" t="n"/>
      <c r="D1422" s="4" t="n"/>
      <c r="E1422" s="4" t="n"/>
      <c r="F1422" s="4" t="n"/>
      <c r="G1422" s="4" t="n"/>
      <c r="H1422" s="4" t="n"/>
      <c r="I1422" s="4" t="n"/>
      <c r="J1422" s="4" t="n"/>
      <c r="K1422" s="4" t="n"/>
      <c r="L1422" s="4" t="n"/>
      <c r="M1422" s="4" t="n"/>
      <c r="N1422" s="4" t="n"/>
      <c r="O1422" s="4" t="n"/>
      <c r="P1422" s="4" t="n"/>
      <c r="Q1422" s="4" t="n"/>
      <c r="R1422" s="4" t="n"/>
      <c r="S1422" s="4" t="n"/>
      <c r="T1422" s="4" t="n"/>
      <c r="U1422" s="4" t="n"/>
      <c r="V1422" s="4" t="n"/>
      <c r="W1422" s="4" t="n"/>
      <c r="X1422" s="4" t="n"/>
      <c r="Y1422" s="4" t="n"/>
      <c r="Z1422" s="4" t="n"/>
      <c r="AA1422" s="4" t="n"/>
      <c r="AB1422" s="4" t="n"/>
      <c r="AC1422" s="4" t="n"/>
      <c r="AD1422" s="4" t="n"/>
      <c r="AE1422" s="4" t="n"/>
      <c r="AF1422" s="4" t="n"/>
      <c r="AG1422" s="4" t="n"/>
      <c r="AH1422" s="4" t="n"/>
      <c r="AI1422" s="4" t="n"/>
      <c r="AJ1422" s="4" t="n"/>
      <c r="AK1422" s="4" t="n"/>
      <c r="AL1422" s="4" t="n"/>
      <c r="AM1422" s="4" t="n"/>
      <c r="AN1422" s="4" t="n"/>
      <c r="AO1422" s="4" t="n"/>
      <c r="AP1422" s="4" t="n"/>
      <c r="AQ1422" s="4" t="n"/>
      <c r="AR1422" s="4" t="n"/>
      <c r="AS1422" s="4" t="n"/>
      <c r="AT1422" s="4" t="n"/>
      <c r="AU1422" s="4" t="n"/>
      <c r="AV1422" s="4" t="n"/>
      <c r="AW1422" s="4" t="n"/>
      <c r="AX1422" s="4" t="n"/>
      <c r="AY1422" s="4" t="n"/>
      <c r="AZ1422" s="4" t="n"/>
      <c r="BA1422" s="4" t="n"/>
      <c r="BB1422" s="4" t="n"/>
      <c r="BC1422" s="4" t="n"/>
      <c r="BD1422" s="4" t="n"/>
      <c r="BE1422" s="4" t="n"/>
      <c r="BF1422" s="4" t="n"/>
      <c r="BG1422" s="4" t="n"/>
      <c r="BH1422" s="4" t="n"/>
      <c r="BI1422" s="4" t="n"/>
      <c r="BJ1422" s="4" t="n"/>
      <c r="BK1422" s="4" t="n"/>
      <c r="BL1422" s="4" t="n"/>
      <c r="BM1422" s="4" t="n"/>
      <c r="BN1422" s="4" t="n"/>
      <c r="BO1422" s="4" t="n"/>
      <c r="BP1422" s="4" t="n"/>
      <c r="BQ1422" s="4" t="n"/>
      <c r="BR1422" s="4" t="n"/>
      <c r="BS1422" s="4" t="n"/>
      <c r="BT1422" s="4" t="n"/>
      <c r="BU1422" s="4" t="n"/>
      <c r="BV1422" s="4" t="n"/>
      <c r="BW1422" s="4" t="n"/>
      <c r="BX1422" s="4" t="n"/>
      <c r="BY1422" s="4" t="n"/>
      <c r="BZ1422" s="4" t="n"/>
      <c r="CA1422" s="4" t="n"/>
      <c r="CB1422" s="4" t="n"/>
      <c r="CC1422" s="4" t="n"/>
      <c r="CD1422" s="4" t="n"/>
      <c r="CE1422" s="4" t="n"/>
      <c r="CF1422" s="4" t="n"/>
      <c r="CG1422" s="4" t="n"/>
      <c r="CH1422" s="4" t="n"/>
      <c r="CI1422" s="4" t="n"/>
      <c r="CJ1422" s="4" t="n"/>
      <c r="CK1422" s="4" t="n"/>
      <c r="CL1422" s="4" t="n"/>
      <c r="CM1422" s="4" t="n"/>
      <c r="CN1422" s="4" t="n"/>
      <c r="CO1422" s="4" t="n"/>
      <c r="CP1422" s="4" t="n"/>
      <c r="CQ1422" s="4" t="n"/>
      <c r="CR1422" s="4" t="n"/>
      <c r="CS1422" s="4" t="n"/>
      <c r="CT1422" s="4" t="n"/>
      <c r="CU1422" s="4" t="n"/>
      <c r="CV1422" s="4" t="n"/>
      <c r="CW1422" s="4" t="n"/>
      <c r="CX1422" s="4" t="n"/>
      <c r="CY1422" s="4" t="n"/>
      <c r="CZ1422" s="4" t="n"/>
      <c r="DA1422" s="4" t="n"/>
      <c r="DB1422" s="4" t="n"/>
      <c r="DC1422" s="4" t="n"/>
      <c r="DD1422" s="4" t="n"/>
      <c r="DE1422" s="4" t="n"/>
      <c r="DF1422" s="4" t="n"/>
      <c r="DG1422" s="4" t="n"/>
      <c r="DH1422" s="4" t="n"/>
      <c r="DI1422" s="4" t="n"/>
      <c r="DJ1422" s="4" t="n"/>
      <c r="DK1422" s="4" t="n"/>
      <c r="DL1422" s="4" t="n"/>
      <c r="DM1422" s="4" t="n"/>
      <c r="DN1422" s="4" t="n"/>
      <c r="DO1422" s="4" t="n"/>
      <c r="DP1422" s="4" t="n"/>
      <c r="DQ1422" s="4" t="n"/>
      <c r="DR1422" s="4" t="n"/>
      <c r="DS1422" s="4" t="n"/>
      <c r="DT1422" s="4" t="n"/>
      <c r="DU1422" s="4" t="n"/>
      <c r="DV1422" s="4" t="n"/>
      <c r="DW1422" s="4" t="n"/>
      <c r="DX1422" s="4" t="n"/>
      <c r="DY1422" s="4" t="n"/>
      <c r="DZ1422" s="4" t="n"/>
      <c r="EA1422" s="4" t="n"/>
      <c r="EB1422" s="4" t="n"/>
      <c r="EC1422" s="4" t="n"/>
      <c r="ED1422" s="4" t="n"/>
      <c r="EE1422" s="4" t="n"/>
      <c r="EF1422" s="4" t="n"/>
      <c r="EG1422" s="4" t="n"/>
      <c r="EH1422" s="4" t="n"/>
      <c r="EI1422" s="4" t="n"/>
      <c r="EJ1422" s="4" t="n"/>
      <c r="EK1422" s="4" t="n"/>
      <c r="EL1422" s="4" t="n"/>
      <c r="EM1422" s="4" t="n"/>
      <c r="EN1422" s="4" t="n"/>
      <c r="EO1422" s="4" t="n"/>
      <c r="EP1422" s="4" t="n"/>
      <c r="EQ1422" s="4" t="n"/>
      <c r="ER1422" s="4" t="n"/>
      <c r="ES1422" s="4" t="n"/>
      <c r="ET1422" s="4" t="n"/>
      <c r="EU1422" s="4" t="n"/>
      <c r="EV1422" s="4" t="n"/>
      <c r="EW1422" s="4" t="n"/>
      <c r="EX1422" s="4" t="n"/>
      <c r="EY1422" s="4" t="n"/>
      <c r="EZ1422" s="4" t="n"/>
      <c r="FA1422" s="4" t="n"/>
      <c r="FB1422" s="4" t="n"/>
      <c r="FC1422" s="4" t="n"/>
    </row>
    <row r="1423" hidden="1" customFormat="1" s="6">
      <c r="C1423" s="4" t="n"/>
      <c r="D1423" s="4" t="n"/>
      <c r="E1423" s="4" t="n"/>
      <c r="F1423" s="4" t="n"/>
      <c r="G1423" s="4" t="n"/>
      <c r="H1423" s="4" t="n"/>
      <c r="I1423" s="4" t="n"/>
      <c r="J1423" s="4" t="n"/>
      <c r="K1423" s="4" t="n"/>
      <c r="L1423" s="4" t="n"/>
      <c r="M1423" s="4" t="n"/>
      <c r="N1423" s="4" t="n"/>
      <c r="O1423" s="4" t="n"/>
      <c r="P1423" s="4" t="n"/>
      <c r="Q1423" s="4" t="n"/>
      <c r="R1423" s="4" t="n"/>
      <c r="S1423" s="4" t="n"/>
      <c r="T1423" s="4" t="n"/>
      <c r="U1423" s="4" t="n"/>
      <c r="V1423" s="4" t="n"/>
      <c r="W1423" s="4" t="n"/>
      <c r="X1423" s="4" t="n"/>
      <c r="Y1423" s="4" t="n"/>
      <c r="Z1423" s="4" t="n"/>
      <c r="AA1423" s="4" t="n"/>
      <c r="AB1423" s="4" t="n"/>
      <c r="AC1423" s="4" t="n"/>
      <c r="AD1423" s="4" t="n"/>
      <c r="AE1423" s="4" t="n"/>
      <c r="AF1423" s="4" t="n"/>
      <c r="AG1423" s="4" t="n"/>
      <c r="AH1423" s="4" t="n"/>
      <c r="AI1423" s="4" t="n"/>
      <c r="AJ1423" s="4" t="n"/>
      <c r="AK1423" s="4" t="n"/>
      <c r="AL1423" s="4" t="n"/>
      <c r="AM1423" s="4" t="n"/>
      <c r="AN1423" s="4" t="n"/>
      <c r="AO1423" s="4" t="n"/>
      <c r="AP1423" s="4" t="n"/>
      <c r="AQ1423" s="4" t="n"/>
      <c r="AR1423" s="4" t="n"/>
      <c r="AS1423" s="4" t="n"/>
      <c r="AT1423" s="4" t="n"/>
      <c r="AU1423" s="4" t="n"/>
      <c r="AV1423" s="4" t="n"/>
      <c r="AW1423" s="4" t="n"/>
      <c r="AX1423" s="4" t="n"/>
      <c r="AY1423" s="4" t="n"/>
      <c r="AZ1423" s="4" t="n"/>
      <c r="BA1423" s="4" t="n"/>
      <c r="BB1423" s="4" t="n"/>
      <c r="BC1423" s="4" t="n"/>
      <c r="BD1423" s="4" t="n"/>
      <c r="BE1423" s="4" t="n"/>
      <c r="BF1423" s="4" t="n"/>
      <c r="BG1423" s="4" t="n"/>
      <c r="BH1423" s="4" t="n"/>
      <c r="BI1423" s="4" t="n"/>
      <c r="BJ1423" s="4" t="n"/>
      <c r="BK1423" s="4" t="n"/>
      <c r="BL1423" s="4" t="n"/>
      <c r="BM1423" s="4" t="n"/>
      <c r="BN1423" s="4" t="n"/>
      <c r="BO1423" s="4" t="n"/>
      <c r="BP1423" s="4" t="n"/>
      <c r="BQ1423" s="4" t="n"/>
      <c r="BR1423" s="4" t="n"/>
      <c r="BS1423" s="4" t="n"/>
      <c r="BT1423" s="4" t="n"/>
      <c r="BU1423" s="4" t="n"/>
      <c r="BV1423" s="4" t="n"/>
      <c r="BW1423" s="4" t="n"/>
      <c r="BX1423" s="4" t="n"/>
      <c r="BY1423" s="4" t="n"/>
      <c r="BZ1423" s="4" t="n"/>
      <c r="CA1423" s="4" t="n"/>
      <c r="CB1423" s="4" t="n"/>
      <c r="CC1423" s="4" t="n"/>
      <c r="CD1423" s="4" t="n"/>
      <c r="CE1423" s="4" t="n"/>
      <c r="CF1423" s="4" t="n"/>
      <c r="CG1423" s="4" t="n"/>
      <c r="CH1423" s="4" t="n"/>
      <c r="CI1423" s="4" t="n"/>
      <c r="CJ1423" s="4" t="n"/>
      <c r="CK1423" s="4" t="n"/>
      <c r="CL1423" s="4" t="n"/>
      <c r="CM1423" s="4" t="n"/>
      <c r="CN1423" s="4" t="n"/>
      <c r="CO1423" s="4" t="n"/>
      <c r="CP1423" s="4" t="n"/>
      <c r="CQ1423" s="4" t="n"/>
      <c r="CR1423" s="4" t="n"/>
      <c r="CS1423" s="4" t="n"/>
      <c r="CT1423" s="4" t="n"/>
      <c r="CU1423" s="4" t="n"/>
      <c r="CV1423" s="4" t="n"/>
      <c r="CW1423" s="4" t="n"/>
      <c r="CX1423" s="4" t="n"/>
      <c r="CY1423" s="4" t="n"/>
      <c r="CZ1423" s="4" t="n"/>
      <c r="DA1423" s="4" t="n"/>
      <c r="DB1423" s="4" t="n"/>
      <c r="DC1423" s="4" t="n"/>
      <c r="DD1423" s="4" t="n"/>
      <c r="DE1423" s="4" t="n"/>
      <c r="DF1423" s="4" t="n"/>
      <c r="DG1423" s="4" t="n"/>
      <c r="DH1423" s="4" t="n"/>
      <c r="DI1423" s="4" t="n"/>
      <c r="DJ1423" s="4" t="n"/>
      <c r="DK1423" s="4" t="n"/>
      <c r="DL1423" s="4" t="n"/>
      <c r="DM1423" s="4" t="n"/>
      <c r="DN1423" s="4" t="n"/>
      <c r="DO1423" s="4" t="n"/>
      <c r="DP1423" s="4" t="n"/>
      <c r="DQ1423" s="4" t="n"/>
      <c r="DR1423" s="4" t="n"/>
      <c r="DS1423" s="4" t="n"/>
      <c r="DT1423" s="4" t="n"/>
      <c r="DU1423" s="4" t="n"/>
      <c r="DV1423" s="4" t="n"/>
      <c r="DW1423" s="4" t="n"/>
      <c r="DX1423" s="4" t="n"/>
      <c r="DY1423" s="4" t="n"/>
      <c r="DZ1423" s="4" t="n"/>
      <c r="EA1423" s="4" t="n"/>
      <c r="EB1423" s="4" t="n"/>
      <c r="EC1423" s="4" t="n"/>
      <c r="ED1423" s="4" t="n"/>
      <c r="EE1423" s="4" t="n"/>
      <c r="EF1423" s="4" t="n"/>
      <c r="EG1423" s="4" t="n"/>
      <c r="EH1423" s="4" t="n"/>
      <c r="EI1423" s="4" t="n"/>
      <c r="EJ1423" s="4" t="n"/>
      <c r="EK1423" s="4" t="n"/>
      <c r="EL1423" s="4" t="n"/>
      <c r="EM1423" s="4" t="n"/>
      <c r="EN1423" s="4" t="n"/>
      <c r="EO1423" s="4" t="n"/>
      <c r="EP1423" s="4" t="n"/>
      <c r="EQ1423" s="4" t="n"/>
      <c r="ER1423" s="4" t="n"/>
      <c r="ES1423" s="4" t="n"/>
      <c r="ET1423" s="4" t="n"/>
      <c r="EU1423" s="4" t="n"/>
      <c r="EV1423" s="4" t="n"/>
      <c r="EW1423" s="4" t="n"/>
      <c r="EX1423" s="4" t="n"/>
      <c r="EY1423" s="4" t="n"/>
      <c r="EZ1423" s="4" t="n"/>
      <c r="FA1423" s="4" t="n"/>
      <c r="FB1423" s="4" t="n"/>
      <c r="FC1423" s="4" t="n"/>
    </row>
    <row r="1424" hidden="1" customFormat="1" s="6">
      <c r="C1424" s="4" t="n"/>
      <c r="D1424" s="4" t="n"/>
      <c r="E1424" s="4" t="n"/>
      <c r="F1424" s="4" t="n"/>
      <c r="G1424" s="4" t="n"/>
      <c r="H1424" s="4" t="n"/>
      <c r="I1424" s="4" t="n"/>
      <c r="J1424" s="4" t="n"/>
      <c r="K1424" s="4" t="n"/>
      <c r="L1424" s="4" t="n"/>
      <c r="M1424" s="4" t="n"/>
      <c r="N1424" s="4" t="n"/>
      <c r="O1424" s="4" t="n"/>
      <c r="P1424" s="4" t="n"/>
      <c r="Q1424" s="4" t="n"/>
      <c r="R1424" s="4" t="n"/>
      <c r="S1424" s="4" t="n"/>
      <c r="T1424" s="4" t="n"/>
      <c r="U1424" s="4" t="n"/>
      <c r="V1424" s="4" t="n"/>
      <c r="W1424" s="4" t="n"/>
      <c r="X1424" s="4" t="n"/>
      <c r="Y1424" s="4" t="n"/>
      <c r="Z1424" s="4" t="n"/>
      <c r="AA1424" s="4" t="n"/>
      <c r="AB1424" s="4" t="n"/>
      <c r="AC1424" s="4" t="n"/>
      <c r="AD1424" s="4" t="n"/>
      <c r="AE1424" s="4" t="n"/>
      <c r="AF1424" s="4" t="n"/>
      <c r="AG1424" s="4" t="n"/>
      <c r="AH1424" s="4" t="n"/>
      <c r="AI1424" s="4" t="n"/>
      <c r="AJ1424" s="4" t="n"/>
      <c r="AK1424" s="4" t="n"/>
      <c r="AL1424" s="4" t="n"/>
      <c r="AM1424" s="4" t="n"/>
      <c r="AN1424" s="4" t="n"/>
      <c r="AO1424" s="4" t="n"/>
      <c r="AP1424" s="4" t="n"/>
      <c r="AQ1424" s="4" t="n"/>
      <c r="AR1424" s="4" t="n"/>
      <c r="AS1424" s="4" t="n"/>
      <c r="AT1424" s="4" t="n"/>
      <c r="AU1424" s="4" t="n"/>
      <c r="AV1424" s="4" t="n"/>
      <c r="AW1424" s="4" t="n"/>
      <c r="AX1424" s="4" t="n"/>
      <c r="AY1424" s="4" t="n"/>
      <c r="AZ1424" s="4" t="n"/>
      <c r="BA1424" s="4" t="n"/>
      <c r="BB1424" s="4" t="n"/>
      <c r="BC1424" s="4" t="n"/>
      <c r="BD1424" s="4" t="n"/>
      <c r="BE1424" s="4" t="n"/>
      <c r="BF1424" s="4" t="n"/>
      <c r="BG1424" s="4" t="n"/>
      <c r="BH1424" s="4" t="n"/>
      <c r="BI1424" s="4" t="n"/>
      <c r="BJ1424" s="4" t="n"/>
      <c r="BK1424" s="4" t="n"/>
      <c r="BL1424" s="4" t="n"/>
      <c r="BM1424" s="4" t="n"/>
      <c r="BN1424" s="4" t="n"/>
      <c r="BO1424" s="4" t="n"/>
      <c r="BP1424" s="4" t="n"/>
      <c r="BQ1424" s="4" t="n"/>
      <c r="BR1424" s="4" t="n"/>
      <c r="BS1424" s="4" t="n"/>
      <c r="BT1424" s="4" t="n"/>
      <c r="BU1424" s="4" t="n"/>
      <c r="BV1424" s="4" t="n"/>
      <c r="BW1424" s="4" t="n"/>
      <c r="BX1424" s="4" t="n"/>
      <c r="BY1424" s="4" t="n"/>
      <c r="BZ1424" s="4" t="n"/>
      <c r="CA1424" s="4" t="n"/>
      <c r="CB1424" s="4" t="n"/>
      <c r="CC1424" s="4" t="n"/>
      <c r="CD1424" s="4" t="n"/>
      <c r="CE1424" s="4" t="n"/>
      <c r="CF1424" s="4" t="n"/>
      <c r="CG1424" s="4" t="n"/>
      <c r="CH1424" s="4" t="n"/>
      <c r="CI1424" s="4" t="n"/>
      <c r="CJ1424" s="4" t="n"/>
      <c r="CK1424" s="4" t="n"/>
      <c r="CL1424" s="4" t="n"/>
      <c r="CM1424" s="4" t="n"/>
      <c r="CN1424" s="4" t="n"/>
      <c r="CO1424" s="4" t="n"/>
      <c r="CP1424" s="4" t="n"/>
      <c r="CQ1424" s="4" t="n"/>
      <c r="CR1424" s="4" t="n"/>
      <c r="CS1424" s="4" t="n"/>
      <c r="CT1424" s="4" t="n"/>
      <c r="CU1424" s="4" t="n"/>
      <c r="CV1424" s="4" t="n"/>
      <c r="CW1424" s="4" t="n"/>
      <c r="CX1424" s="4" t="n"/>
      <c r="CY1424" s="4" t="n"/>
      <c r="CZ1424" s="4" t="n"/>
      <c r="DA1424" s="4" t="n"/>
      <c r="DB1424" s="4" t="n"/>
      <c r="DC1424" s="4" t="n"/>
      <c r="DD1424" s="4" t="n"/>
      <c r="DE1424" s="4" t="n"/>
      <c r="DF1424" s="4" t="n"/>
      <c r="DG1424" s="4" t="n"/>
      <c r="DH1424" s="4" t="n"/>
      <c r="DI1424" s="4" t="n"/>
      <c r="DJ1424" s="4" t="n"/>
      <c r="DK1424" s="4" t="n"/>
      <c r="DL1424" s="4" t="n"/>
      <c r="DM1424" s="4" t="n"/>
      <c r="DN1424" s="4" t="n"/>
      <c r="DO1424" s="4" t="n"/>
      <c r="DP1424" s="4" t="n"/>
      <c r="DQ1424" s="4" t="n"/>
      <c r="DR1424" s="4" t="n"/>
      <c r="DS1424" s="4" t="n"/>
      <c r="DT1424" s="4" t="n"/>
      <c r="DU1424" s="4" t="n"/>
      <c r="DV1424" s="4" t="n"/>
      <c r="DW1424" s="4" t="n"/>
      <c r="DX1424" s="4" t="n"/>
      <c r="DY1424" s="4" t="n"/>
      <c r="DZ1424" s="4" t="n"/>
      <c r="EA1424" s="4" t="n"/>
      <c r="EB1424" s="4" t="n"/>
      <c r="EC1424" s="4" t="n"/>
      <c r="ED1424" s="4" t="n"/>
      <c r="EE1424" s="4" t="n"/>
      <c r="EF1424" s="4" t="n"/>
      <c r="EG1424" s="4" t="n"/>
      <c r="EH1424" s="4" t="n"/>
      <c r="EI1424" s="4" t="n"/>
      <c r="EJ1424" s="4" t="n"/>
      <c r="EK1424" s="4" t="n"/>
      <c r="EL1424" s="4" t="n"/>
      <c r="EM1424" s="4" t="n"/>
      <c r="EN1424" s="4" t="n"/>
      <c r="EO1424" s="4" t="n"/>
      <c r="EP1424" s="4" t="n"/>
      <c r="EQ1424" s="4" t="n"/>
      <c r="ER1424" s="4" t="n"/>
      <c r="ES1424" s="4" t="n"/>
      <c r="ET1424" s="4" t="n"/>
      <c r="EU1424" s="4" t="n"/>
      <c r="EV1424" s="4" t="n"/>
      <c r="EW1424" s="4" t="n"/>
      <c r="EX1424" s="4" t="n"/>
      <c r="EY1424" s="4" t="n"/>
      <c r="EZ1424" s="4" t="n"/>
      <c r="FA1424" s="4" t="n"/>
      <c r="FB1424" s="4" t="n"/>
      <c r="FC1424" s="4" t="n"/>
    </row>
    <row r="1425" hidden="1" customFormat="1" s="6">
      <c r="C1425" s="4" t="n"/>
      <c r="D1425" s="4" t="n"/>
      <c r="E1425" s="4" t="n"/>
      <c r="F1425" s="4" t="n"/>
      <c r="G1425" s="4" t="n"/>
      <c r="H1425" s="4" t="n"/>
      <c r="I1425" s="4" t="n"/>
      <c r="J1425" s="4" t="n"/>
      <c r="K1425" s="4" t="n"/>
      <c r="L1425" s="4" t="n"/>
      <c r="M1425" s="4" t="n"/>
      <c r="N1425" s="4" t="n"/>
      <c r="O1425" s="4" t="n"/>
      <c r="P1425" s="4" t="n"/>
      <c r="Q1425" s="4" t="n"/>
      <c r="R1425" s="4" t="n"/>
      <c r="S1425" s="4" t="n"/>
      <c r="T1425" s="4" t="n"/>
      <c r="U1425" s="4" t="n"/>
      <c r="V1425" s="4" t="n"/>
      <c r="W1425" s="4" t="n"/>
      <c r="X1425" s="4" t="n"/>
      <c r="Y1425" s="4" t="n"/>
      <c r="Z1425" s="4" t="n"/>
      <c r="AA1425" s="4" t="n"/>
      <c r="AB1425" s="4" t="n"/>
      <c r="AC1425" s="4" t="n"/>
      <c r="AD1425" s="4" t="n"/>
      <c r="AE1425" s="4" t="n"/>
      <c r="AF1425" s="4" t="n"/>
      <c r="AG1425" s="4" t="n"/>
      <c r="AH1425" s="4" t="n"/>
      <c r="AI1425" s="4" t="n"/>
      <c r="AJ1425" s="4" t="n"/>
      <c r="AK1425" s="4" t="n"/>
      <c r="AL1425" s="4" t="n"/>
      <c r="AM1425" s="4" t="n"/>
      <c r="AN1425" s="4" t="n"/>
      <c r="AO1425" s="4" t="n"/>
      <c r="AP1425" s="4" t="n"/>
      <c r="AQ1425" s="4" t="n"/>
      <c r="AR1425" s="4" t="n"/>
      <c r="AS1425" s="4" t="n"/>
      <c r="AT1425" s="4" t="n"/>
      <c r="AU1425" s="4" t="n"/>
      <c r="AV1425" s="4" t="n"/>
      <c r="AW1425" s="4" t="n"/>
      <c r="AX1425" s="4" t="n"/>
      <c r="AY1425" s="4" t="n"/>
      <c r="AZ1425" s="4" t="n"/>
      <c r="BA1425" s="4" t="n"/>
      <c r="BB1425" s="4" t="n"/>
      <c r="BC1425" s="4" t="n"/>
      <c r="BD1425" s="4" t="n"/>
      <c r="BE1425" s="4" t="n"/>
      <c r="BF1425" s="4" t="n"/>
      <c r="BG1425" s="4" t="n"/>
      <c r="BH1425" s="4" t="n"/>
      <c r="BI1425" s="4" t="n"/>
      <c r="BJ1425" s="4" t="n"/>
      <c r="BK1425" s="4" t="n"/>
      <c r="BL1425" s="4" t="n"/>
      <c r="BM1425" s="4" t="n"/>
      <c r="BN1425" s="4" t="n"/>
      <c r="BO1425" s="4" t="n"/>
      <c r="BP1425" s="4" t="n"/>
      <c r="BQ1425" s="4" t="n"/>
      <c r="BR1425" s="4" t="n"/>
      <c r="BS1425" s="4" t="n"/>
      <c r="BT1425" s="4" t="n"/>
      <c r="BU1425" s="4" t="n"/>
      <c r="BV1425" s="4" t="n"/>
      <c r="BW1425" s="4" t="n"/>
      <c r="BX1425" s="4" t="n"/>
      <c r="BY1425" s="4" t="n"/>
      <c r="BZ1425" s="4" t="n"/>
      <c r="CA1425" s="4" t="n"/>
      <c r="CB1425" s="4" t="n"/>
      <c r="CC1425" s="4" t="n"/>
      <c r="CD1425" s="4" t="n"/>
      <c r="CE1425" s="4" t="n"/>
      <c r="CF1425" s="4" t="n"/>
      <c r="CG1425" s="4" t="n"/>
      <c r="CH1425" s="4" t="n"/>
      <c r="CI1425" s="4" t="n"/>
      <c r="CJ1425" s="4" t="n"/>
      <c r="CK1425" s="4" t="n"/>
      <c r="CL1425" s="4" t="n"/>
      <c r="CM1425" s="4" t="n"/>
      <c r="CN1425" s="4" t="n"/>
      <c r="CO1425" s="4" t="n"/>
      <c r="CP1425" s="4" t="n"/>
      <c r="CQ1425" s="4" t="n"/>
      <c r="CR1425" s="4" t="n"/>
      <c r="CS1425" s="4" t="n"/>
      <c r="CT1425" s="4" t="n"/>
      <c r="CU1425" s="4" t="n"/>
      <c r="CV1425" s="4" t="n"/>
      <c r="CW1425" s="4" t="n"/>
      <c r="CX1425" s="4" t="n"/>
      <c r="CY1425" s="4" t="n"/>
      <c r="CZ1425" s="4" t="n"/>
      <c r="DA1425" s="4" t="n"/>
      <c r="DB1425" s="4" t="n"/>
      <c r="DC1425" s="4" t="n"/>
      <c r="DD1425" s="4" t="n"/>
      <c r="DE1425" s="4" t="n"/>
      <c r="DF1425" s="4" t="n"/>
      <c r="DG1425" s="4" t="n"/>
      <c r="DH1425" s="4" t="n"/>
      <c r="DI1425" s="4" t="n"/>
      <c r="DJ1425" s="4" t="n"/>
      <c r="DK1425" s="4" t="n"/>
      <c r="DL1425" s="4" t="n"/>
      <c r="DM1425" s="4" t="n"/>
      <c r="DN1425" s="4" t="n"/>
      <c r="DO1425" s="4" t="n"/>
      <c r="DP1425" s="4" t="n"/>
      <c r="DQ1425" s="4" t="n"/>
      <c r="DR1425" s="4" t="n"/>
      <c r="DS1425" s="4" t="n"/>
      <c r="DT1425" s="4" t="n"/>
      <c r="DU1425" s="4" t="n"/>
      <c r="DV1425" s="4" t="n"/>
      <c r="DW1425" s="4" t="n"/>
      <c r="DX1425" s="4" t="n"/>
      <c r="DY1425" s="4" t="n"/>
      <c r="DZ1425" s="4" t="n"/>
      <c r="EA1425" s="4" t="n"/>
      <c r="EB1425" s="4" t="n"/>
      <c r="EC1425" s="4" t="n"/>
      <c r="ED1425" s="4" t="n"/>
      <c r="EE1425" s="4" t="n"/>
      <c r="EF1425" s="4" t="n"/>
      <c r="EG1425" s="4" t="n"/>
      <c r="EH1425" s="4" t="n"/>
      <c r="EI1425" s="4" t="n"/>
      <c r="EJ1425" s="4" t="n"/>
      <c r="EK1425" s="4" t="n"/>
      <c r="EL1425" s="4" t="n"/>
      <c r="EM1425" s="4" t="n"/>
      <c r="EN1425" s="4" t="n"/>
      <c r="EO1425" s="4" t="n"/>
      <c r="EP1425" s="4" t="n"/>
      <c r="EQ1425" s="4" t="n"/>
      <c r="ER1425" s="4" t="n"/>
      <c r="ES1425" s="4" t="n"/>
      <c r="ET1425" s="4" t="n"/>
      <c r="EU1425" s="4" t="n"/>
      <c r="EV1425" s="4" t="n"/>
      <c r="EW1425" s="4" t="n"/>
      <c r="EX1425" s="4" t="n"/>
      <c r="EY1425" s="4" t="n"/>
      <c r="EZ1425" s="4" t="n"/>
      <c r="FA1425" s="4" t="n"/>
      <c r="FB1425" s="4" t="n"/>
      <c r="FC1425" s="4" t="n"/>
    </row>
    <row r="1426" hidden="1" customFormat="1" s="6">
      <c r="C1426" s="4" t="n"/>
      <c r="D1426" s="4" t="n"/>
      <c r="E1426" s="4" t="n"/>
      <c r="F1426" s="4" t="n"/>
      <c r="G1426" s="4" t="n"/>
      <c r="H1426" s="4" t="n"/>
      <c r="I1426" s="4" t="n"/>
      <c r="J1426" s="4" t="n"/>
      <c r="K1426" s="4" t="n"/>
      <c r="L1426" s="4" t="n"/>
      <c r="M1426" s="4" t="n"/>
      <c r="N1426" s="4" t="n"/>
      <c r="O1426" s="4" t="n"/>
      <c r="P1426" s="4" t="n"/>
      <c r="Q1426" s="4" t="n"/>
      <c r="R1426" s="4" t="n"/>
      <c r="S1426" s="4" t="n"/>
      <c r="T1426" s="4" t="n"/>
      <c r="U1426" s="4" t="n"/>
      <c r="V1426" s="4" t="n"/>
      <c r="W1426" s="4" t="n"/>
      <c r="X1426" s="4" t="n"/>
      <c r="Y1426" s="4" t="n"/>
      <c r="Z1426" s="4" t="n"/>
      <c r="AA1426" s="4" t="n"/>
      <c r="AB1426" s="4" t="n"/>
      <c r="AC1426" s="4" t="n"/>
      <c r="AD1426" s="4" t="n"/>
      <c r="AE1426" s="4" t="n"/>
      <c r="AF1426" s="4" t="n"/>
      <c r="AG1426" s="4" t="n"/>
      <c r="AH1426" s="4" t="n"/>
      <c r="AI1426" s="4" t="n"/>
      <c r="AJ1426" s="4" t="n"/>
      <c r="AK1426" s="4" t="n"/>
      <c r="AL1426" s="4" t="n"/>
      <c r="AM1426" s="4" t="n"/>
      <c r="AN1426" s="4" t="n"/>
      <c r="AO1426" s="4" t="n"/>
      <c r="AP1426" s="4" t="n"/>
      <c r="AQ1426" s="4" t="n"/>
      <c r="AR1426" s="4" t="n"/>
      <c r="AS1426" s="4" t="n"/>
      <c r="AT1426" s="4" t="n"/>
      <c r="AU1426" s="4" t="n"/>
      <c r="AV1426" s="4" t="n"/>
      <c r="AW1426" s="4" t="n"/>
      <c r="AX1426" s="4" t="n"/>
      <c r="AY1426" s="4" t="n"/>
      <c r="AZ1426" s="4" t="n"/>
      <c r="BA1426" s="4" t="n"/>
      <c r="BB1426" s="4" t="n"/>
      <c r="BC1426" s="4" t="n"/>
      <c r="BD1426" s="4" t="n"/>
      <c r="BE1426" s="4" t="n"/>
      <c r="BF1426" s="4" t="n"/>
      <c r="BG1426" s="4" t="n"/>
      <c r="BH1426" s="4" t="n"/>
      <c r="BI1426" s="4" t="n"/>
      <c r="BJ1426" s="4" t="n"/>
      <c r="BK1426" s="4" t="n"/>
      <c r="BL1426" s="4" t="n"/>
      <c r="BM1426" s="4" t="n"/>
      <c r="BN1426" s="4" t="n"/>
      <c r="BO1426" s="4" t="n"/>
      <c r="BP1426" s="4" t="n"/>
      <c r="BQ1426" s="4" t="n"/>
      <c r="BR1426" s="4" t="n"/>
      <c r="BS1426" s="4" t="n"/>
      <c r="BT1426" s="4" t="n"/>
      <c r="BU1426" s="4" t="n"/>
      <c r="BV1426" s="4" t="n"/>
      <c r="BW1426" s="4" t="n"/>
      <c r="BX1426" s="4" t="n"/>
      <c r="BY1426" s="4" t="n"/>
      <c r="BZ1426" s="4" t="n"/>
      <c r="CA1426" s="4" t="n"/>
      <c r="CB1426" s="4" t="n"/>
      <c r="CC1426" s="4" t="n"/>
      <c r="CD1426" s="4" t="n"/>
      <c r="CE1426" s="4" t="n"/>
      <c r="CF1426" s="4" t="n"/>
      <c r="CG1426" s="4" t="n"/>
      <c r="CH1426" s="4" t="n"/>
      <c r="CI1426" s="4" t="n"/>
      <c r="CJ1426" s="4" t="n"/>
      <c r="CK1426" s="4" t="n"/>
      <c r="CL1426" s="4" t="n"/>
      <c r="CM1426" s="4" t="n"/>
      <c r="CN1426" s="4" t="n"/>
      <c r="CO1426" s="4" t="n"/>
      <c r="CP1426" s="4" t="n"/>
      <c r="CQ1426" s="4" t="n"/>
      <c r="CR1426" s="4" t="n"/>
      <c r="CS1426" s="4" t="n"/>
      <c r="CT1426" s="4" t="n"/>
      <c r="CU1426" s="4" t="n"/>
      <c r="CV1426" s="4" t="n"/>
      <c r="CW1426" s="4" t="n"/>
      <c r="CX1426" s="4" t="n"/>
      <c r="CY1426" s="4" t="n"/>
      <c r="CZ1426" s="4" t="n"/>
      <c r="DA1426" s="4" t="n"/>
      <c r="DB1426" s="4" t="n"/>
      <c r="DC1426" s="4" t="n"/>
      <c r="DD1426" s="4" t="n"/>
      <c r="DE1426" s="4" t="n"/>
      <c r="DF1426" s="4" t="n"/>
      <c r="DG1426" s="4" t="n"/>
      <c r="DH1426" s="4" t="n"/>
      <c r="DI1426" s="4" t="n"/>
      <c r="DJ1426" s="4" t="n"/>
      <c r="DK1426" s="4" t="n"/>
      <c r="DL1426" s="4" t="n"/>
      <c r="DM1426" s="4" t="n"/>
      <c r="DN1426" s="4" t="n"/>
      <c r="DO1426" s="4" t="n"/>
      <c r="DP1426" s="4" t="n"/>
      <c r="DQ1426" s="4" t="n"/>
      <c r="DR1426" s="4" t="n"/>
      <c r="DS1426" s="4" t="n"/>
      <c r="DT1426" s="4" t="n"/>
      <c r="DU1426" s="4" t="n"/>
      <c r="DV1426" s="4" t="n"/>
      <c r="DW1426" s="4" t="n"/>
      <c r="DX1426" s="4" t="n"/>
      <c r="DY1426" s="4" t="n"/>
      <c r="DZ1426" s="4" t="n"/>
      <c r="EA1426" s="4" t="n"/>
      <c r="EB1426" s="4" t="n"/>
      <c r="EC1426" s="4" t="n"/>
      <c r="ED1426" s="4" t="n"/>
      <c r="EE1426" s="4" t="n"/>
      <c r="EF1426" s="4" t="n"/>
      <c r="EG1426" s="4" t="n"/>
      <c r="EH1426" s="4" t="n"/>
      <c r="EI1426" s="4" t="n"/>
      <c r="EJ1426" s="4" t="n"/>
      <c r="EK1426" s="4" t="n"/>
      <c r="EL1426" s="4" t="n"/>
      <c r="EM1426" s="4" t="n"/>
      <c r="EN1426" s="4" t="n"/>
      <c r="EO1426" s="4" t="n"/>
      <c r="EP1426" s="4" t="n"/>
      <c r="EQ1426" s="4" t="n"/>
      <c r="ER1426" s="4" t="n"/>
      <c r="ES1426" s="4" t="n"/>
      <c r="ET1426" s="4" t="n"/>
      <c r="EU1426" s="4" t="n"/>
      <c r="EV1426" s="4" t="n"/>
      <c r="EW1426" s="4" t="n"/>
      <c r="EX1426" s="4" t="n"/>
      <c r="EY1426" s="4" t="n"/>
      <c r="EZ1426" s="4" t="n"/>
      <c r="FA1426" s="4" t="n"/>
      <c r="FB1426" s="4" t="n"/>
      <c r="FC1426" s="4" t="n"/>
    </row>
    <row r="1427" hidden="1" customFormat="1" s="6">
      <c r="C1427" s="4" t="n"/>
      <c r="D1427" s="4" t="n"/>
      <c r="E1427" s="4" t="n"/>
      <c r="F1427" s="4" t="n"/>
      <c r="G1427" s="4" t="n"/>
      <c r="H1427" s="4" t="n"/>
      <c r="I1427" s="4" t="n"/>
      <c r="J1427" s="4" t="n"/>
      <c r="K1427" s="4" t="n"/>
      <c r="L1427" s="4" t="n"/>
      <c r="M1427" s="4" t="n"/>
      <c r="N1427" s="4" t="n"/>
      <c r="O1427" s="4" t="n"/>
      <c r="P1427" s="4" t="n"/>
      <c r="Q1427" s="4" t="n"/>
      <c r="R1427" s="4" t="n"/>
      <c r="S1427" s="4" t="n"/>
      <c r="T1427" s="4" t="n"/>
      <c r="U1427" s="4" t="n"/>
      <c r="V1427" s="4" t="n"/>
      <c r="W1427" s="4" t="n"/>
      <c r="X1427" s="4" t="n"/>
      <c r="Y1427" s="4" t="n"/>
      <c r="Z1427" s="4" t="n"/>
      <c r="AA1427" s="4" t="n"/>
      <c r="AB1427" s="4" t="n"/>
      <c r="AC1427" s="4" t="n"/>
      <c r="AD1427" s="4" t="n"/>
      <c r="AE1427" s="4" t="n"/>
      <c r="AF1427" s="4" t="n"/>
      <c r="AG1427" s="4" t="n"/>
      <c r="AH1427" s="4" t="n"/>
      <c r="AI1427" s="4" t="n"/>
      <c r="AJ1427" s="4" t="n"/>
      <c r="AK1427" s="4" t="n"/>
      <c r="AL1427" s="4" t="n"/>
      <c r="AM1427" s="4" t="n"/>
      <c r="AN1427" s="4" t="n"/>
      <c r="AO1427" s="4" t="n"/>
      <c r="AP1427" s="4" t="n"/>
      <c r="AQ1427" s="4" t="n"/>
      <c r="AR1427" s="4" t="n"/>
      <c r="AS1427" s="4" t="n"/>
      <c r="AT1427" s="4" t="n"/>
      <c r="AU1427" s="4" t="n"/>
      <c r="AV1427" s="4" t="n"/>
      <c r="AW1427" s="4" t="n"/>
      <c r="AX1427" s="4" t="n"/>
      <c r="AY1427" s="4" t="n"/>
      <c r="AZ1427" s="4" t="n"/>
      <c r="BA1427" s="4" t="n"/>
      <c r="BB1427" s="4" t="n"/>
      <c r="BC1427" s="4" t="n"/>
      <c r="BD1427" s="4" t="n"/>
      <c r="BE1427" s="4" t="n"/>
      <c r="BF1427" s="4" t="n"/>
      <c r="BG1427" s="4" t="n"/>
      <c r="BH1427" s="4" t="n"/>
      <c r="BI1427" s="4" t="n"/>
      <c r="BJ1427" s="4" t="n"/>
      <c r="BK1427" s="4" t="n"/>
      <c r="BL1427" s="4" t="n"/>
      <c r="BM1427" s="4" t="n"/>
      <c r="BN1427" s="4" t="n"/>
      <c r="BO1427" s="4" t="n"/>
      <c r="BP1427" s="4" t="n"/>
      <c r="BQ1427" s="4" t="n"/>
      <c r="BR1427" s="4" t="n"/>
      <c r="BS1427" s="4" t="n"/>
      <c r="BT1427" s="4" t="n"/>
      <c r="BU1427" s="4" t="n"/>
      <c r="BV1427" s="4" t="n"/>
      <c r="BW1427" s="4" t="n"/>
      <c r="BX1427" s="4" t="n"/>
      <c r="BY1427" s="4" t="n"/>
      <c r="BZ1427" s="4" t="n"/>
      <c r="CA1427" s="4" t="n"/>
      <c r="CB1427" s="4" t="n"/>
      <c r="CC1427" s="4" t="n"/>
      <c r="CD1427" s="4" t="n"/>
      <c r="CE1427" s="4" t="n"/>
      <c r="CF1427" s="4" t="n"/>
      <c r="CG1427" s="4" t="n"/>
      <c r="CH1427" s="4" t="n"/>
      <c r="CI1427" s="4" t="n"/>
      <c r="CJ1427" s="4" t="n"/>
      <c r="CK1427" s="4" t="n"/>
      <c r="CL1427" s="4" t="n"/>
      <c r="CM1427" s="4" t="n"/>
      <c r="CN1427" s="4" t="n"/>
      <c r="CO1427" s="4" t="n"/>
      <c r="CP1427" s="4" t="n"/>
      <c r="CQ1427" s="4" t="n"/>
      <c r="CR1427" s="4" t="n"/>
      <c r="CS1427" s="4" t="n"/>
      <c r="CT1427" s="4" t="n"/>
      <c r="CU1427" s="4" t="n"/>
      <c r="CV1427" s="4" t="n"/>
      <c r="CW1427" s="4" t="n"/>
      <c r="CX1427" s="4" t="n"/>
      <c r="CY1427" s="4" t="n"/>
      <c r="CZ1427" s="4" t="n"/>
      <c r="DA1427" s="4" t="n"/>
      <c r="DB1427" s="4" t="n"/>
      <c r="DC1427" s="4" t="n"/>
      <c r="DD1427" s="4" t="n"/>
      <c r="DE1427" s="4" t="n"/>
      <c r="DF1427" s="4" t="n"/>
      <c r="DG1427" s="4" t="n"/>
      <c r="DH1427" s="4" t="n"/>
      <c r="DI1427" s="4" t="n"/>
      <c r="DJ1427" s="4" t="n"/>
      <c r="DK1427" s="4" t="n"/>
      <c r="DL1427" s="4" t="n"/>
      <c r="DM1427" s="4" t="n"/>
      <c r="DN1427" s="4" t="n"/>
      <c r="DO1427" s="4" t="n"/>
      <c r="DP1427" s="4" t="n"/>
      <c r="DQ1427" s="4" t="n"/>
      <c r="DR1427" s="4" t="n"/>
      <c r="DS1427" s="4" t="n"/>
      <c r="DT1427" s="4" t="n"/>
      <c r="DU1427" s="4" t="n"/>
      <c r="DV1427" s="4" t="n"/>
      <c r="DW1427" s="4" t="n"/>
      <c r="DX1427" s="4" t="n"/>
      <c r="DY1427" s="4" t="n"/>
      <c r="DZ1427" s="4" t="n"/>
      <c r="EA1427" s="4" t="n"/>
      <c r="EB1427" s="4" t="n"/>
      <c r="EC1427" s="4" t="n"/>
      <c r="ED1427" s="4" t="n"/>
      <c r="EE1427" s="4" t="n"/>
      <c r="EF1427" s="4" t="n"/>
      <c r="EG1427" s="4" t="n"/>
      <c r="EH1427" s="4" t="n"/>
      <c r="EI1427" s="4" t="n"/>
      <c r="EJ1427" s="4" t="n"/>
      <c r="EK1427" s="4" t="n"/>
      <c r="EL1427" s="4" t="n"/>
      <c r="EM1427" s="4" t="n"/>
      <c r="EN1427" s="4" t="n"/>
      <c r="EO1427" s="4" t="n"/>
      <c r="EP1427" s="4" t="n"/>
      <c r="EQ1427" s="4" t="n"/>
      <c r="ER1427" s="4" t="n"/>
      <c r="ES1427" s="4" t="n"/>
      <c r="ET1427" s="4" t="n"/>
      <c r="EU1427" s="4" t="n"/>
      <c r="EV1427" s="4" t="n"/>
      <c r="EW1427" s="4" t="n"/>
      <c r="EX1427" s="4" t="n"/>
      <c r="EY1427" s="4" t="n"/>
      <c r="EZ1427" s="4" t="n"/>
      <c r="FA1427" s="4" t="n"/>
      <c r="FB1427" s="4" t="n"/>
      <c r="FC1427" s="4" t="n"/>
    </row>
    <row r="1428" hidden="1" customFormat="1" s="6">
      <c r="C1428" s="4" t="n"/>
      <c r="D1428" s="4" t="n"/>
      <c r="E1428" s="4" t="n"/>
      <c r="F1428" s="4" t="n"/>
      <c r="G1428" s="4" t="n"/>
      <c r="H1428" s="4" t="n"/>
      <c r="I1428" s="4" t="n"/>
      <c r="J1428" s="4" t="n"/>
      <c r="K1428" s="4" t="n"/>
      <c r="L1428" s="4" t="n"/>
      <c r="M1428" s="4" t="n"/>
      <c r="N1428" s="4" t="n"/>
      <c r="O1428" s="4" t="n"/>
      <c r="P1428" s="4" t="n"/>
      <c r="Q1428" s="4" t="n"/>
      <c r="R1428" s="4" t="n"/>
      <c r="S1428" s="4" t="n"/>
      <c r="T1428" s="4" t="n"/>
      <c r="U1428" s="4" t="n"/>
      <c r="V1428" s="4" t="n"/>
      <c r="W1428" s="4" t="n"/>
      <c r="X1428" s="4" t="n"/>
      <c r="Y1428" s="4" t="n"/>
      <c r="Z1428" s="4" t="n"/>
      <c r="AA1428" s="4" t="n"/>
      <c r="AB1428" s="4" t="n"/>
      <c r="AC1428" s="4" t="n"/>
      <c r="AD1428" s="4" t="n"/>
      <c r="AE1428" s="4" t="n"/>
      <c r="AF1428" s="4" t="n"/>
      <c r="AG1428" s="4" t="n"/>
      <c r="AH1428" s="4" t="n"/>
      <c r="AI1428" s="4" t="n"/>
      <c r="AJ1428" s="4" t="n"/>
      <c r="AK1428" s="4" t="n"/>
      <c r="AL1428" s="4" t="n"/>
      <c r="AM1428" s="4" t="n"/>
      <c r="AN1428" s="4" t="n"/>
      <c r="AO1428" s="4" t="n"/>
      <c r="AP1428" s="4" t="n"/>
      <c r="AQ1428" s="4" t="n"/>
      <c r="AR1428" s="4" t="n"/>
      <c r="AS1428" s="4" t="n"/>
      <c r="AT1428" s="4" t="n"/>
      <c r="AU1428" s="4" t="n"/>
      <c r="AV1428" s="4" t="n"/>
      <c r="AW1428" s="4" t="n"/>
      <c r="AX1428" s="4" t="n"/>
      <c r="AY1428" s="4" t="n"/>
      <c r="AZ1428" s="4" t="n"/>
      <c r="BA1428" s="4" t="n"/>
      <c r="BB1428" s="4" t="n"/>
      <c r="BC1428" s="4" t="n"/>
      <c r="BD1428" s="4" t="n"/>
      <c r="BE1428" s="4" t="n"/>
      <c r="BF1428" s="4" t="n"/>
      <c r="BG1428" s="4" t="n"/>
      <c r="BH1428" s="4" t="n"/>
      <c r="BI1428" s="4" t="n"/>
      <c r="BJ1428" s="4" t="n"/>
      <c r="BK1428" s="4" t="n"/>
      <c r="BL1428" s="4" t="n"/>
      <c r="BM1428" s="4" t="n"/>
      <c r="BN1428" s="4" t="n"/>
      <c r="BO1428" s="4" t="n"/>
      <c r="BP1428" s="4" t="n"/>
      <c r="BQ1428" s="4" t="n"/>
      <c r="BR1428" s="4" t="n"/>
      <c r="BS1428" s="4" t="n"/>
      <c r="BT1428" s="4" t="n"/>
      <c r="BU1428" s="4" t="n"/>
      <c r="BV1428" s="4" t="n"/>
      <c r="BW1428" s="4" t="n"/>
      <c r="BX1428" s="4" t="n"/>
      <c r="BY1428" s="4" t="n"/>
      <c r="BZ1428" s="4" t="n"/>
      <c r="CA1428" s="4" t="n"/>
      <c r="CB1428" s="4" t="n"/>
      <c r="CC1428" s="4" t="n"/>
      <c r="CD1428" s="4" t="n"/>
      <c r="CE1428" s="4" t="n"/>
      <c r="CF1428" s="4" t="n"/>
      <c r="CG1428" s="4" t="n"/>
      <c r="CH1428" s="4" t="n"/>
      <c r="CI1428" s="4" t="n"/>
      <c r="CJ1428" s="4" t="n"/>
      <c r="CK1428" s="4" t="n"/>
      <c r="CL1428" s="4" t="n"/>
      <c r="CM1428" s="4" t="n"/>
      <c r="CN1428" s="4" t="n"/>
      <c r="CO1428" s="4" t="n"/>
      <c r="CP1428" s="4" t="n"/>
      <c r="CQ1428" s="4" t="n"/>
      <c r="CR1428" s="4" t="n"/>
      <c r="CS1428" s="4" t="n"/>
      <c r="CT1428" s="4" t="n"/>
      <c r="CU1428" s="4" t="n"/>
      <c r="CV1428" s="4" t="n"/>
      <c r="CW1428" s="4" t="n"/>
      <c r="CX1428" s="4" t="n"/>
      <c r="CY1428" s="4" t="n"/>
      <c r="CZ1428" s="4" t="n"/>
      <c r="DA1428" s="4" t="n"/>
      <c r="DB1428" s="4" t="n"/>
      <c r="DC1428" s="4" t="n"/>
      <c r="DD1428" s="4" t="n"/>
      <c r="DE1428" s="4" t="n"/>
      <c r="DF1428" s="4" t="n"/>
      <c r="DG1428" s="4" t="n"/>
      <c r="DH1428" s="4" t="n"/>
      <c r="DI1428" s="4" t="n"/>
      <c r="DJ1428" s="4" t="n"/>
      <c r="DK1428" s="4" t="n"/>
      <c r="DL1428" s="4" t="n"/>
      <c r="DM1428" s="4" t="n"/>
      <c r="DN1428" s="4" t="n"/>
      <c r="DO1428" s="4" t="n"/>
      <c r="DP1428" s="4" t="n"/>
      <c r="DQ1428" s="4" t="n"/>
      <c r="DR1428" s="4" t="n"/>
      <c r="DS1428" s="4" t="n"/>
      <c r="DT1428" s="4" t="n"/>
      <c r="DU1428" s="4" t="n"/>
      <c r="DV1428" s="4" t="n"/>
      <c r="DW1428" s="4" t="n"/>
      <c r="DX1428" s="4" t="n"/>
      <c r="DY1428" s="4" t="n"/>
      <c r="DZ1428" s="4" t="n"/>
      <c r="EA1428" s="4" t="n"/>
      <c r="EB1428" s="4" t="n"/>
      <c r="EC1428" s="4" t="n"/>
      <c r="ED1428" s="4" t="n"/>
      <c r="EE1428" s="4" t="n"/>
      <c r="EF1428" s="4" t="n"/>
      <c r="EG1428" s="4" t="n"/>
      <c r="EH1428" s="4" t="n"/>
      <c r="EI1428" s="4" t="n"/>
      <c r="EJ1428" s="4" t="n"/>
      <c r="EK1428" s="4" t="n"/>
      <c r="EL1428" s="4" t="n"/>
      <c r="EM1428" s="4" t="n"/>
      <c r="EN1428" s="4" t="n"/>
      <c r="EO1428" s="4" t="n"/>
      <c r="EP1428" s="4" t="n"/>
      <c r="EQ1428" s="4" t="n"/>
      <c r="ER1428" s="4" t="n"/>
      <c r="ES1428" s="4" t="n"/>
      <c r="ET1428" s="4" t="n"/>
      <c r="EU1428" s="4" t="n"/>
      <c r="EV1428" s="4" t="n"/>
      <c r="EW1428" s="4" t="n"/>
      <c r="EX1428" s="4" t="n"/>
      <c r="EY1428" s="4" t="n"/>
      <c r="EZ1428" s="4" t="n"/>
      <c r="FA1428" s="4" t="n"/>
      <c r="FB1428" s="4" t="n"/>
      <c r="FC1428" s="4" t="n"/>
    </row>
    <row r="1429" hidden="1" customFormat="1" s="6">
      <c r="C1429" s="4" t="n"/>
      <c r="D1429" s="4" t="n"/>
      <c r="E1429" s="4" t="n"/>
      <c r="F1429" s="4" t="n"/>
      <c r="G1429" s="4" t="n"/>
      <c r="H1429" s="4" t="n"/>
      <c r="I1429" s="4" t="n"/>
      <c r="J1429" s="4" t="n"/>
      <c r="K1429" s="4" t="n"/>
      <c r="L1429" s="4" t="n"/>
      <c r="M1429" s="4" t="n"/>
      <c r="N1429" s="4" t="n"/>
      <c r="O1429" s="4" t="n"/>
      <c r="P1429" s="4" t="n"/>
      <c r="Q1429" s="4" t="n"/>
      <c r="R1429" s="4" t="n"/>
      <c r="S1429" s="4" t="n"/>
      <c r="T1429" s="4" t="n"/>
      <c r="U1429" s="4" t="n"/>
      <c r="V1429" s="4" t="n"/>
      <c r="W1429" s="4" t="n"/>
      <c r="X1429" s="4" t="n"/>
      <c r="Y1429" s="4" t="n"/>
      <c r="Z1429" s="4" t="n"/>
      <c r="AA1429" s="4" t="n"/>
      <c r="AB1429" s="4" t="n"/>
      <c r="AC1429" s="4" t="n"/>
      <c r="AD1429" s="4" t="n"/>
      <c r="AE1429" s="4" t="n"/>
      <c r="AF1429" s="4" t="n"/>
      <c r="AG1429" s="4" t="n"/>
      <c r="AH1429" s="4" t="n"/>
      <c r="AI1429" s="4" t="n"/>
      <c r="AJ1429" s="4" t="n"/>
      <c r="AK1429" s="4" t="n"/>
      <c r="AL1429" s="4" t="n"/>
      <c r="AM1429" s="4" t="n"/>
      <c r="AN1429" s="4" t="n"/>
      <c r="AO1429" s="4" t="n"/>
      <c r="AP1429" s="4" t="n"/>
      <c r="AQ1429" s="4" t="n"/>
      <c r="AR1429" s="4" t="n"/>
      <c r="AS1429" s="4" t="n"/>
      <c r="AT1429" s="4" t="n"/>
      <c r="AU1429" s="4" t="n"/>
      <c r="AV1429" s="4" t="n"/>
      <c r="AW1429" s="4" t="n"/>
      <c r="AX1429" s="4" t="n"/>
      <c r="AY1429" s="4" t="n"/>
      <c r="AZ1429" s="4" t="n"/>
      <c r="BA1429" s="4" t="n"/>
      <c r="BB1429" s="4" t="n"/>
      <c r="BC1429" s="4" t="n"/>
      <c r="BD1429" s="4" t="n"/>
      <c r="BE1429" s="4" t="n"/>
      <c r="BF1429" s="4" t="n"/>
      <c r="BG1429" s="4" t="n"/>
      <c r="BH1429" s="4" t="n"/>
      <c r="BI1429" s="4" t="n"/>
      <c r="BJ1429" s="4" t="n"/>
      <c r="BK1429" s="4" t="n"/>
      <c r="BL1429" s="4" t="n"/>
      <c r="BM1429" s="4" t="n"/>
      <c r="BN1429" s="4" t="n"/>
      <c r="BO1429" s="4" t="n"/>
      <c r="BP1429" s="4" t="n"/>
      <c r="BQ1429" s="4" t="n"/>
      <c r="BR1429" s="4" t="n"/>
      <c r="BS1429" s="4" t="n"/>
      <c r="BT1429" s="4" t="n"/>
      <c r="BU1429" s="4" t="n"/>
      <c r="BV1429" s="4" t="n"/>
      <c r="BW1429" s="4" t="n"/>
      <c r="BX1429" s="4" t="n"/>
      <c r="BY1429" s="4" t="n"/>
      <c r="BZ1429" s="4" t="n"/>
      <c r="CA1429" s="4" t="n"/>
      <c r="CB1429" s="4" t="n"/>
      <c r="CC1429" s="4" t="n"/>
      <c r="CD1429" s="4" t="n"/>
      <c r="CE1429" s="4" t="n"/>
      <c r="CF1429" s="4" t="n"/>
      <c r="CG1429" s="4" t="n"/>
      <c r="CH1429" s="4" t="n"/>
      <c r="CI1429" s="4" t="n"/>
      <c r="CJ1429" s="4" t="n"/>
      <c r="CK1429" s="4" t="n"/>
      <c r="CL1429" s="4" t="n"/>
      <c r="CM1429" s="4" t="n"/>
      <c r="CN1429" s="4" t="n"/>
      <c r="CO1429" s="4" t="n"/>
      <c r="CP1429" s="4" t="n"/>
      <c r="CQ1429" s="4" t="n"/>
      <c r="CR1429" s="4" t="n"/>
      <c r="CS1429" s="4" t="n"/>
      <c r="CT1429" s="4" t="n"/>
      <c r="CU1429" s="4" t="n"/>
      <c r="CV1429" s="4" t="n"/>
      <c r="CW1429" s="4" t="n"/>
      <c r="CX1429" s="4" t="n"/>
      <c r="CY1429" s="4" t="n"/>
      <c r="CZ1429" s="4" t="n"/>
      <c r="DA1429" s="4" t="n"/>
      <c r="DB1429" s="4" t="n"/>
      <c r="DC1429" s="4" t="n"/>
      <c r="DD1429" s="4" t="n"/>
      <c r="DE1429" s="4" t="n"/>
      <c r="DF1429" s="4" t="n"/>
      <c r="DG1429" s="4" t="n"/>
      <c r="DH1429" s="4" t="n"/>
      <c r="DI1429" s="4" t="n"/>
      <c r="DJ1429" s="4" t="n"/>
      <c r="DK1429" s="4" t="n"/>
      <c r="DL1429" s="4" t="n"/>
      <c r="DM1429" s="4" t="n"/>
      <c r="DN1429" s="4" t="n"/>
      <c r="DO1429" s="4" t="n"/>
      <c r="DP1429" s="4" t="n"/>
      <c r="DQ1429" s="4" t="n"/>
      <c r="DR1429" s="4" t="n"/>
      <c r="DS1429" s="4" t="n"/>
      <c r="DT1429" s="4" t="n"/>
      <c r="DU1429" s="4" t="n"/>
      <c r="DV1429" s="4" t="n"/>
      <c r="DW1429" s="4" t="n"/>
      <c r="DX1429" s="4" t="n"/>
      <c r="DY1429" s="4" t="n"/>
      <c r="DZ1429" s="4" t="n"/>
      <c r="EA1429" s="4" t="n"/>
      <c r="EB1429" s="4" t="n"/>
      <c r="EC1429" s="4" t="n"/>
      <c r="ED1429" s="4" t="n"/>
      <c r="EE1429" s="4" t="n"/>
      <c r="EF1429" s="4" t="n"/>
      <c r="EG1429" s="4" t="n"/>
      <c r="EH1429" s="4" t="n"/>
      <c r="EI1429" s="4" t="n"/>
      <c r="EJ1429" s="4" t="n"/>
      <c r="EK1429" s="4" t="n"/>
      <c r="EL1429" s="4" t="n"/>
      <c r="EM1429" s="4" t="n"/>
      <c r="EN1429" s="4" t="n"/>
      <c r="EO1429" s="4" t="n"/>
      <c r="EP1429" s="4" t="n"/>
      <c r="EQ1429" s="4" t="n"/>
      <c r="ER1429" s="4" t="n"/>
      <c r="ES1429" s="4" t="n"/>
      <c r="ET1429" s="4" t="n"/>
      <c r="EU1429" s="4" t="n"/>
      <c r="EV1429" s="4" t="n"/>
      <c r="EW1429" s="4" t="n"/>
      <c r="EX1429" s="4" t="n"/>
      <c r="EY1429" s="4" t="n"/>
      <c r="EZ1429" s="4" t="n"/>
      <c r="FA1429" s="4" t="n"/>
      <c r="FB1429" s="4" t="n"/>
      <c r="FC1429" s="4" t="n"/>
    </row>
    <row r="1430" hidden="1" customFormat="1" s="6">
      <c r="C1430" s="4" t="n"/>
      <c r="D1430" s="4" t="n"/>
      <c r="E1430" s="4" t="n"/>
      <c r="F1430" s="4" t="n"/>
      <c r="G1430" s="4" t="n"/>
      <c r="H1430" s="4" t="n"/>
      <c r="I1430" s="4" t="n"/>
      <c r="J1430" s="4" t="n"/>
      <c r="K1430" s="4" t="n"/>
      <c r="L1430" s="4" t="n"/>
      <c r="M1430" s="4" t="n"/>
      <c r="N1430" s="4" t="n"/>
      <c r="O1430" s="4" t="n"/>
      <c r="P1430" s="4" t="n"/>
      <c r="Q1430" s="4" t="n"/>
      <c r="R1430" s="4" t="n"/>
      <c r="S1430" s="4" t="n"/>
      <c r="T1430" s="4" t="n"/>
      <c r="U1430" s="4" t="n"/>
      <c r="V1430" s="4" t="n"/>
      <c r="W1430" s="4" t="n"/>
      <c r="X1430" s="4" t="n"/>
      <c r="Y1430" s="4" t="n"/>
      <c r="Z1430" s="4" t="n"/>
      <c r="AA1430" s="4" t="n"/>
      <c r="AB1430" s="4" t="n"/>
      <c r="AC1430" s="4" t="n"/>
      <c r="AD1430" s="4" t="n"/>
      <c r="AE1430" s="4" t="n"/>
      <c r="AF1430" s="4" t="n"/>
      <c r="AG1430" s="4" t="n"/>
      <c r="AH1430" s="4" t="n"/>
      <c r="AI1430" s="4" t="n"/>
      <c r="AJ1430" s="4" t="n"/>
      <c r="AK1430" s="4" t="n"/>
      <c r="AL1430" s="4" t="n"/>
      <c r="AM1430" s="4" t="n"/>
      <c r="AN1430" s="4" t="n"/>
      <c r="AO1430" s="4" t="n"/>
      <c r="AP1430" s="4" t="n"/>
      <c r="AQ1430" s="4" t="n"/>
      <c r="AR1430" s="4" t="n"/>
      <c r="AS1430" s="4" t="n"/>
      <c r="AT1430" s="4" t="n"/>
      <c r="AU1430" s="4" t="n"/>
      <c r="AV1430" s="4" t="n"/>
      <c r="AW1430" s="4" t="n"/>
      <c r="AX1430" s="4" t="n"/>
      <c r="AY1430" s="4" t="n"/>
      <c r="AZ1430" s="4" t="n"/>
      <c r="BA1430" s="4" t="n"/>
      <c r="BB1430" s="4" t="n"/>
      <c r="BC1430" s="4" t="n"/>
      <c r="BD1430" s="4" t="n"/>
      <c r="BE1430" s="4" t="n"/>
      <c r="BF1430" s="4" t="n"/>
      <c r="BG1430" s="4" t="n"/>
      <c r="BH1430" s="4" t="n"/>
      <c r="BI1430" s="4" t="n"/>
      <c r="BJ1430" s="4" t="n"/>
      <c r="BK1430" s="4" t="n"/>
      <c r="BL1430" s="4" t="n"/>
      <c r="BM1430" s="4" t="n"/>
      <c r="BN1430" s="4" t="n"/>
      <c r="BO1430" s="4" t="n"/>
      <c r="BP1430" s="4" t="n"/>
      <c r="BQ1430" s="4" t="n"/>
      <c r="BR1430" s="4" t="n"/>
      <c r="BS1430" s="4" t="n"/>
      <c r="BT1430" s="4" t="n"/>
      <c r="BU1430" s="4" t="n"/>
      <c r="BV1430" s="4" t="n"/>
      <c r="BW1430" s="4" t="n"/>
      <c r="BX1430" s="4" t="n"/>
      <c r="BY1430" s="4" t="n"/>
      <c r="BZ1430" s="4" t="n"/>
      <c r="CA1430" s="4" t="n"/>
      <c r="CB1430" s="4" t="n"/>
      <c r="CC1430" s="4" t="n"/>
      <c r="CD1430" s="4" t="n"/>
      <c r="CE1430" s="4" t="n"/>
      <c r="CF1430" s="4" t="n"/>
      <c r="CG1430" s="4" t="n"/>
      <c r="CH1430" s="4" t="n"/>
      <c r="CI1430" s="4" t="n"/>
      <c r="CJ1430" s="4" t="n"/>
      <c r="CK1430" s="4" t="n"/>
      <c r="CL1430" s="4" t="n"/>
      <c r="CM1430" s="4" t="n"/>
      <c r="CN1430" s="4" t="n"/>
      <c r="CO1430" s="4" t="n"/>
      <c r="CP1430" s="4" t="n"/>
      <c r="CQ1430" s="4" t="n"/>
      <c r="CR1430" s="4" t="n"/>
      <c r="CS1430" s="4" t="n"/>
      <c r="CT1430" s="4" t="n"/>
      <c r="CU1430" s="4" t="n"/>
      <c r="CV1430" s="4" t="n"/>
      <c r="CW1430" s="4" t="n"/>
      <c r="CX1430" s="4" t="n"/>
      <c r="CY1430" s="4" t="n"/>
      <c r="CZ1430" s="4" t="n"/>
      <c r="DA1430" s="4" t="n"/>
      <c r="DB1430" s="4" t="n"/>
      <c r="DC1430" s="4" t="n"/>
      <c r="DD1430" s="4" t="n"/>
      <c r="DE1430" s="4" t="n"/>
      <c r="DF1430" s="4" t="n"/>
      <c r="DG1430" s="4" t="n"/>
      <c r="DH1430" s="4" t="n"/>
      <c r="DI1430" s="4" t="n"/>
      <c r="DJ1430" s="4" t="n"/>
      <c r="DK1430" s="4" t="n"/>
      <c r="DL1430" s="4" t="n"/>
      <c r="DM1430" s="4" t="n"/>
      <c r="DN1430" s="4" t="n"/>
      <c r="DO1430" s="4" t="n"/>
      <c r="DP1430" s="4" t="n"/>
      <c r="DQ1430" s="4" t="n"/>
      <c r="DR1430" s="4" t="n"/>
      <c r="DS1430" s="4" t="n"/>
      <c r="DT1430" s="4" t="n"/>
      <c r="DU1430" s="4" t="n"/>
      <c r="DV1430" s="4" t="n"/>
      <c r="DW1430" s="4" t="n"/>
      <c r="DX1430" s="4" t="n"/>
      <c r="DY1430" s="4" t="n"/>
      <c r="DZ1430" s="4" t="n"/>
      <c r="EA1430" s="4" t="n"/>
      <c r="EB1430" s="4" t="n"/>
      <c r="EC1430" s="4" t="n"/>
      <c r="ED1430" s="4" t="n"/>
      <c r="EE1430" s="4" t="n"/>
      <c r="EF1430" s="4" t="n"/>
      <c r="EG1430" s="4" t="n"/>
      <c r="EH1430" s="4" t="n"/>
      <c r="EI1430" s="4" t="n"/>
      <c r="EJ1430" s="4" t="n"/>
      <c r="EK1430" s="4" t="n"/>
      <c r="EL1430" s="4" t="n"/>
      <c r="EM1430" s="4" t="n"/>
      <c r="EN1430" s="4" t="n"/>
      <c r="EO1430" s="4" t="n"/>
      <c r="EP1430" s="4" t="n"/>
      <c r="EQ1430" s="4" t="n"/>
      <c r="ER1430" s="4" t="n"/>
      <c r="ES1430" s="4" t="n"/>
      <c r="ET1430" s="4" t="n"/>
      <c r="EU1430" s="4" t="n"/>
      <c r="EV1430" s="4" t="n"/>
      <c r="EW1430" s="4" t="n"/>
      <c r="EX1430" s="4" t="n"/>
      <c r="EY1430" s="4" t="n"/>
      <c r="EZ1430" s="4" t="n"/>
      <c r="FA1430" s="4" t="n"/>
      <c r="FB1430" s="4" t="n"/>
      <c r="FC1430" s="4" t="n"/>
    </row>
    <row r="1431" hidden="1" customFormat="1" s="6">
      <c r="C1431" s="4" t="n"/>
      <c r="D1431" s="4" t="n"/>
      <c r="E1431" s="4" t="n"/>
      <c r="F1431" s="4" t="n"/>
      <c r="G1431" s="4" t="n"/>
      <c r="H1431" s="4" t="n"/>
      <c r="I1431" s="4" t="n"/>
      <c r="J1431" s="4" t="n"/>
      <c r="K1431" s="4" t="n"/>
      <c r="L1431" s="4" t="n"/>
      <c r="M1431" s="4" t="n"/>
      <c r="N1431" s="4" t="n"/>
      <c r="O1431" s="4" t="n"/>
      <c r="P1431" s="4" t="n"/>
      <c r="Q1431" s="4" t="n"/>
      <c r="R1431" s="4" t="n"/>
      <c r="S1431" s="4" t="n"/>
      <c r="T1431" s="4" t="n"/>
      <c r="U1431" s="4" t="n"/>
      <c r="V1431" s="4" t="n"/>
      <c r="W1431" s="4" t="n"/>
      <c r="X1431" s="4" t="n"/>
      <c r="Y1431" s="4" t="n"/>
      <c r="Z1431" s="4" t="n"/>
      <c r="AA1431" s="4" t="n"/>
      <c r="AB1431" s="4" t="n"/>
      <c r="AC1431" s="4" t="n"/>
      <c r="AD1431" s="4" t="n"/>
      <c r="AE1431" s="4" t="n"/>
      <c r="AF1431" s="4" t="n"/>
      <c r="AG1431" s="4" t="n"/>
      <c r="AH1431" s="4" t="n"/>
      <c r="AI1431" s="4" t="n"/>
      <c r="AJ1431" s="4" t="n"/>
      <c r="AK1431" s="4" t="n"/>
      <c r="AL1431" s="4" t="n"/>
      <c r="AM1431" s="4" t="n"/>
      <c r="AN1431" s="4" t="n"/>
      <c r="AO1431" s="4" t="n"/>
      <c r="AP1431" s="4" t="n"/>
      <c r="AQ1431" s="4" t="n"/>
      <c r="AR1431" s="4" t="n"/>
      <c r="AS1431" s="4" t="n"/>
      <c r="AT1431" s="4" t="n"/>
      <c r="AU1431" s="4" t="n"/>
      <c r="AV1431" s="4" t="n"/>
      <c r="AW1431" s="4" t="n"/>
      <c r="AX1431" s="4" t="n"/>
      <c r="AY1431" s="4" t="n"/>
      <c r="AZ1431" s="4" t="n"/>
      <c r="BA1431" s="4" t="n"/>
      <c r="BB1431" s="4" t="n"/>
      <c r="BC1431" s="4" t="n"/>
      <c r="BD1431" s="4" t="n"/>
      <c r="BE1431" s="4" t="n"/>
      <c r="BF1431" s="4" t="n"/>
      <c r="BG1431" s="4" t="n"/>
      <c r="BH1431" s="4" t="n"/>
      <c r="BI1431" s="4" t="n"/>
      <c r="BJ1431" s="4" t="n"/>
      <c r="BK1431" s="4" t="n"/>
      <c r="BL1431" s="4" t="n"/>
      <c r="BM1431" s="4" t="n"/>
      <c r="BN1431" s="4" t="n"/>
      <c r="BO1431" s="4" t="n"/>
      <c r="BP1431" s="4" t="n"/>
      <c r="BQ1431" s="4" t="n"/>
      <c r="BR1431" s="4" t="n"/>
      <c r="BS1431" s="4" t="n"/>
      <c r="BT1431" s="4" t="n"/>
      <c r="BU1431" s="4" t="n"/>
      <c r="BV1431" s="4" t="n"/>
      <c r="BW1431" s="4" t="n"/>
      <c r="BX1431" s="4" t="n"/>
      <c r="BY1431" s="4" t="n"/>
      <c r="BZ1431" s="4" t="n"/>
      <c r="CA1431" s="4" t="n"/>
      <c r="CB1431" s="4" t="n"/>
      <c r="CC1431" s="4" t="n"/>
      <c r="CD1431" s="4" t="n"/>
      <c r="CE1431" s="4" t="n"/>
      <c r="CF1431" s="4" t="n"/>
      <c r="CG1431" s="4" t="n"/>
      <c r="CH1431" s="4" t="n"/>
      <c r="CI1431" s="4" t="n"/>
      <c r="CJ1431" s="4" t="n"/>
      <c r="CK1431" s="4" t="n"/>
      <c r="CL1431" s="4" t="n"/>
      <c r="CM1431" s="4" t="n"/>
      <c r="CN1431" s="4" t="n"/>
      <c r="CO1431" s="4" t="n"/>
      <c r="CP1431" s="4" t="n"/>
      <c r="CQ1431" s="4" t="n"/>
      <c r="CR1431" s="4" t="n"/>
      <c r="CS1431" s="4" t="n"/>
      <c r="CT1431" s="4" t="n"/>
      <c r="CU1431" s="4" t="n"/>
      <c r="CV1431" s="4" t="n"/>
      <c r="CW1431" s="4" t="n"/>
      <c r="CX1431" s="4" t="n"/>
      <c r="CY1431" s="4" t="n"/>
      <c r="CZ1431" s="4" t="n"/>
      <c r="DA1431" s="4" t="n"/>
      <c r="DB1431" s="4" t="n"/>
      <c r="DC1431" s="4" t="n"/>
      <c r="DD1431" s="4" t="n"/>
      <c r="DE1431" s="4" t="n"/>
      <c r="DF1431" s="4" t="n"/>
      <c r="DG1431" s="4" t="n"/>
      <c r="DH1431" s="4" t="n"/>
      <c r="DI1431" s="4" t="n"/>
      <c r="DJ1431" s="4" t="n"/>
      <c r="DK1431" s="4" t="n"/>
      <c r="DL1431" s="4" t="n"/>
      <c r="DM1431" s="4" t="n"/>
      <c r="DN1431" s="4" t="n"/>
      <c r="DO1431" s="4" t="n"/>
      <c r="DP1431" s="4" t="n"/>
      <c r="DQ1431" s="4" t="n"/>
      <c r="DR1431" s="4" t="n"/>
      <c r="DS1431" s="4" t="n"/>
      <c r="DT1431" s="4" t="n"/>
      <c r="DU1431" s="4" t="n"/>
      <c r="DV1431" s="4" t="n"/>
      <c r="DW1431" s="4" t="n"/>
      <c r="DX1431" s="4" t="n"/>
      <c r="DY1431" s="4" t="n"/>
      <c r="DZ1431" s="4" t="n"/>
      <c r="EA1431" s="4" t="n"/>
      <c r="EB1431" s="4" t="n"/>
      <c r="EC1431" s="4" t="n"/>
      <c r="ED1431" s="4" t="n"/>
      <c r="EE1431" s="4" t="n"/>
      <c r="EF1431" s="4" t="n"/>
      <c r="EG1431" s="4" t="n"/>
      <c r="EH1431" s="4" t="n"/>
      <c r="EI1431" s="4" t="n"/>
      <c r="EJ1431" s="4" t="n"/>
      <c r="EK1431" s="4" t="n"/>
      <c r="EL1431" s="4" t="n"/>
      <c r="EM1431" s="4" t="n"/>
      <c r="EN1431" s="4" t="n"/>
      <c r="EO1431" s="4" t="n"/>
      <c r="EP1431" s="4" t="n"/>
      <c r="EQ1431" s="4" t="n"/>
      <c r="ER1431" s="4" t="n"/>
      <c r="ES1431" s="4" t="n"/>
      <c r="ET1431" s="4" t="n"/>
      <c r="EU1431" s="4" t="n"/>
      <c r="EV1431" s="4" t="n"/>
      <c r="EW1431" s="4" t="n"/>
      <c r="EX1431" s="4" t="n"/>
      <c r="EY1431" s="4" t="n"/>
      <c r="EZ1431" s="4" t="n"/>
      <c r="FA1431" s="4" t="n"/>
      <c r="FB1431" s="4" t="n"/>
      <c r="FC1431" s="4" t="n"/>
    </row>
    <row r="1432" hidden="1" customFormat="1" s="6">
      <c r="C1432" s="4" t="n"/>
      <c r="D1432" s="4" t="n"/>
      <c r="E1432" s="4" t="n"/>
      <c r="F1432" s="4" t="n"/>
      <c r="G1432" s="4" t="n"/>
      <c r="H1432" s="4" t="n"/>
      <c r="I1432" s="4" t="n"/>
      <c r="J1432" s="4" t="n"/>
      <c r="K1432" s="4" t="n"/>
      <c r="L1432" s="4" t="n"/>
      <c r="M1432" s="4" t="n"/>
      <c r="N1432" s="4" t="n"/>
      <c r="O1432" s="4" t="n"/>
      <c r="P1432" s="4" t="n"/>
      <c r="Q1432" s="4" t="n"/>
      <c r="R1432" s="4" t="n"/>
      <c r="S1432" s="4" t="n"/>
      <c r="T1432" s="4" t="n"/>
      <c r="U1432" s="4" t="n"/>
      <c r="V1432" s="4" t="n"/>
      <c r="W1432" s="4" t="n"/>
      <c r="X1432" s="4" t="n"/>
      <c r="Y1432" s="4" t="n"/>
      <c r="Z1432" s="4" t="n"/>
      <c r="AA1432" s="4" t="n"/>
      <c r="AB1432" s="4" t="n"/>
      <c r="AC1432" s="4" t="n"/>
      <c r="AD1432" s="4" t="n"/>
      <c r="AE1432" s="4" t="n"/>
      <c r="AF1432" s="4" t="n"/>
      <c r="AG1432" s="4" t="n"/>
      <c r="AH1432" s="4" t="n"/>
      <c r="AI1432" s="4" t="n"/>
      <c r="AJ1432" s="4" t="n"/>
      <c r="AK1432" s="4" t="n"/>
      <c r="AL1432" s="4" t="n"/>
      <c r="AM1432" s="4" t="n"/>
      <c r="AN1432" s="4" t="n"/>
      <c r="AO1432" s="4" t="n"/>
      <c r="AP1432" s="4" t="n"/>
      <c r="AQ1432" s="4" t="n"/>
      <c r="AR1432" s="4" t="n"/>
      <c r="AS1432" s="4" t="n"/>
      <c r="AT1432" s="4" t="n"/>
      <c r="AU1432" s="4" t="n"/>
      <c r="AV1432" s="4" t="n"/>
      <c r="AW1432" s="4" t="n"/>
      <c r="AX1432" s="4" t="n"/>
      <c r="AY1432" s="4" t="n"/>
      <c r="AZ1432" s="4" t="n"/>
      <c r="BA1432" s="4" t="n"/>
      <c r="BB1432" s="4" t="n"/>
      <c r="BC1432" s="4" t="n"/>
      <c r="BD1432" s="4" t="n"/>
      <c r="BE1432" s="4" t="n"/>
      <c r="BF1432" s="4" t="n"/>
      <c r="BG1432" s="4" t="n"/>
      <c r="BH1432" s="4" t="n"/>
      <c r="BI1432" s="4" t="n"/>
      <c r="BJ1432" s="4" t="n"/>
      <c r="BK1432" s="4" t="n"/>
      <c r="BL1432" s="4" t="n"/>
      <c r="BM1432" s="4" t="n"/>
      <c r="BN1432" s="4" t="n"/>
      <c r="BO1432" s="4" t="n"/>
      <c r="BP1432" s="4" t="n"/>
      <c r="BQ1432" s="4" t="n"/>
      <c r="BR1432" s="4" t="n"/>
      <c r="BS1432" s="4" t="n"/>
      <c r="BT1432" s="4" t="n"/>
      <c r="BU1432" s="4" t="n"/>
      <c r="BV1432" s="4" t="n"/>
      <c r="BW1432" s="4" t="n"/>
      <c r="BX1432" s="4" t="n"/>
      <c r="BY1432" s="4" t="n"/>
      <c r="BZ1432" s="4" t="n"/>
      <c r="CA1432" s="4" t="n"/>
      <c r="CB1432" s="4" t="n"/>
      <c r="CC1432" s="4" t="n"/>
      <c r="CD1432" s="4" t="n"/>
      <c r="CE1432" s="4" t="n"/>
      <c r="CF1432" s="4" t="n"/>
      <c r="CG1432" s="4" t="n"/>
      <c r="CH1432" s="4" t="n"/>
      <c r="CI1432" s="4" t="n"/>
      <c r="CJ1432" s="4" t="n"/>
      <c r="CK1432" s="4" t="n"/>
      <c r="CL1432" s="4" t="n"/>
      <c r="CM1432" s="4" t="n"/>
      <c r="CN1432" s="4" t="n"/>
      <c r="CO1432" s="4" t="n"/>
      <c r="CP1432" s="4" t="n"/>
      <c r="CQ1432" s="4" t="n"/>
      <c r="CR1432" s="4" t="n"/>
      <c r="CS1432" s="4" t="n"/>
      <c r="CT1432" s="4" t="n"/>
      <c r="CU1432" s="4" t="n"/>
      <c r="CV1432" s="4" t="n"/>
      <c r="CW1432" s="4" t="n"/>
      <c r="CX1432" s="4" t="n"/>
      <c r="CY1432" s="4" t="n"/>
      <c r="CZ1432" s="4" t="n"/>
      <c r="DA1432" s="4" t="n"/>
      <c r="DB1432" s="4" t="n"/>
      <c r="DC1432" s="4" t="n"/>
      <c r="DD1432" s="4" t="n"/>
      <c r="DE1432" s="4" t="n"/>
      <c r="DF1432" s="4" t="n"/>
      <c r="DG1432" s="4" t="n"/>
      <c r="DH1432" s="4" t="n"/>
      <c r="DI1432" s="4" t="n"/>
      <c r="DJ1432" s="4" t="n"/>
      <c r="DK1432" s="4" t="n"/>
      <c r="DL1432" s="4" t="n"/>
      <c r="DM1432" s="4" t="n"/>
      <c r="DN1432" s="4" t="n"/>
      <c r="DO1432" s="4" t="n"/>
      <c r="DP1432" s="4" t="n"/>
      <c r="DQ1432" s="4" t="n"/>
      <c r="DR1432" s="4" t="n"/>
      <c r="DS1432" s="4" t="n"/>
      <c r="DT1432" s="4" t="n"/>
      <c r="DU1432" s="4" t="n"/>
      <c r="DV1432" s="4" t="n"/>
      <c r="DW1432" s="4" t="n"/>
      <c r="DX1432" s="4" t="n"/>
      <c r="DY1432" s="4" t="n"/>
      <c r="DZ1432" s="4" t="n"/>
      <c r="EA1432" s="4" t="n"/>
      <c r="EB1432" s="4" t="n"/>
      <c r="EC1432" s="4" t="n"/>
      <c r="ED1432" s="4" t="n"/>
      <c r="EE1432" s="4" t="n"/>
      <c r="EF1432" s="4" t="n"/>
      <c r="EG1432" s="4" t="n"/>
      <c r="EH1432" s="4" t="n"/>
      <c r="EI1432" s="4" t="n"/>
      <c r="EJ1432" s="4" t="n"/>
      <c r="EK1432" s="4" t="n"/>
      <c r="EL1432" s="4" t="n"/>
      <c r="EM1432" s="4" t="n"/>
      <c r="EN1432" s="4" t="n"/>
      <c r="EO1432" s="4" t="n"/>
      <c r="EP1432" s="4" t="n"/>
      <c r="EQ1432" s="4" t="n"/>
      <c r="ER1432" s="4" t="n"/>
      <c r="ES1432" s="4" t="n"/>
      <c r="ET1432" s="4" t="n"/>
      <c r="EU1432" s="4" t="n"/>
      <c r="EV1432" s="4" t="n"/>
      <c r="EW1432" s="4" t="n"/>
      <c r="EX1432" s="4" t="n"/>
      <c r="EY1432" s="4" t="n"/>
      <c r="EZ1432" s="4" t="n"/>
      <c r="FA1432" s="4" t="n"/>
      <c r="FB1432" s="4" t="n"/>
      <c r="FC1432" s="4" t="n"/>
    </row>
    <row r="1433" hidden="1" customFormat="1" s="6">
      <c r="C1433" s="4" t="n"/>
      <c r="D1433" s="4" t="n"/>
      <c r="E1433" s="4" t="n"/>
      <c r="F1433" s="4" t="n"/>
      <c r="G1433" s="4" t="n"/>
      <c r="H1433" s="4" t="n"/>
      <c r="I1433" s="4" t="n"/>
      <c r="J1433" s="4" t="n"/>
      <c r="K1433" s="4" t="n"/>
      <c r="L1433" s="4" t="n"/>
      <c r="M1433" s="4" t="n"/>
      <c r="N1433" s="4" t="n"/>
      <c r="O1433" s="4" t="n"/>
      <c r="P1433" s="4" t="n"/>
      <c r="Q1433" s="4" t="n"/>
      <c r="R1433" s="4" t="n"/>
      <c r="S1433" s="4" t="n"/>
      <c r="T1433" s="4" t="n"/>
      <c r="U1433" s="4" t="n"/>
      <c r="V1433" s="4" t="n"/>
      <c r="W1433" s="4" t="n"/>
      <c r="X1433" s="4" t="n"/>
      <c r="Y1433" s="4" t="n"/>
      <c r="Z1433" s="4" t="n"/>
      <c r="AA1433" s="4" t="n"/>
      <c r="AB1433" s="4" t="n"/>
      <c r="AC1433" s="4" t="n"/>
      <c r="AD1433" s="4" t="n"/>
      <c r="AE1433" s="4" t="n"/>
      <c r="AF1433" s="4" t="n"/>
      <c r="AG1433" s="4" t="n"/>
      <c r="AH1433" s="4" t="n"/>
      <c r="AI1433" s="4" t="n"/>
      <c r="AJ1433" s="4" t="n"/>
      <c r="AK1433" s="4" t="n"/>
      <c r="AL1433" s="4" t="n"/>
      <c r="AM1433" s="4" t="n"/>
      <c r="AN1433" s="4" t="n"/>
      <c r="AO1433" s="4" t="n"/>
      <c r="AP1433" s="4" t="n"/>
      <c r="AQ1433" s="4" t="n"/>
      <c r="AR1433" s="4" t="n"/>
      <c r="AS1433" s="4" t="n"/>
      <c r="AT1433" s="4" t="n"/>
      <c r="AU1433" s="4" t="n"/>
      <c r="AV1433" s="4" t="n"/>
      <c r="AW1433" s="4" t="n"/>
      <c r="AX1433" s="4" t="n"/>
      <c r="AY1433" s="4" t="n"/>
      <c r="AZ1433" s="4" t="n"/>
      <c r="BA1433" s="4" t="n"/>
      <c r="BB1433" s="4" t="n"/>
      <c r="BC1433" s="4" t="n"/>
      <c r="BD1433" s="4" t="n"/>
      <c r="BE1433" s="4" t="n"/>
      <c r="BF1433" s="4" t="n"/>
      <c r="BG1433" s="4" t="n"/>
      <c r="BH1433" s="4" t="n"/>
      <c r="BI1433" s="4" t="n"/>
      <c r="BJ1433" s="4" t="n"/>
      <c r="BK1433" s="4" t="n"/>
      <c r="BL1433" s="4" t="n"/>
      <c r="BM1433" s="4" t="n"/>
      <c r="BN1433" s="4" t="n"/>
      <c r="BO1433" s="4" t="n"/>
      <c r="BP1433" s="4" t="n"/>
      <c r="BQ1433" s="4" t="n"/>
      <c r="BR1433" s="4" t="n"/>
      <c r="BS1433" s="4" t="n"/>
      <c r="BT1433" s="4" t="n"/>
      <c r="BU1433" s="4" t="n"/>
      <c r="BV1433" s="4" t="n"/>
      <c r="BW1433" s="4" t="n"/>
      <c r="BX1433" s="4" t="n"/>
      <c r="BY1433" s="4" t="n"/>
      <c r="BZ1433" s="4" t="n"/>
      <c r="CA1433" s="4" t="n"/>
      <c r="CB1433" s="4" t="n"/>
      <c r="CC1433" s="4" t="n"/>
      <c r="CD1433" s="4" t="n"/>
      <c r="CE1433" s="4" t="n"/>
      <c r="CF1433" s="4" t="n"/>
      <c r="CG1433" s="4" t="n"/>
      <c r="CH1433" s="4" t="n"/>
      <c r="CI1433" s="4" t="n"/>
      <c r="CJ1433" s="4" t="n"/>
      <c r="CK1433" s="4" t="n"/>
      <c r="CL1433" s="4" t="n"/>
      <c r="CM1433" s="4" t="n"/>
      <c r="CN1433" s="4" t="n"/>
      <c r="CO1433" s="4" t="n"/>
      <c r="CP1433" s="4" t="n"/>
      <c r="CQ1433" s="4" t="n"/>
      <c r="CR1433" s="4" t="n"/>
      <c r="CS1433" s="4" t="n"/>
      <c r="CT1433" s="4" t="n"/>
      <c r="CU1433" s="4" t="n"/>
      <c r="CV1433" s="4" t="n"/>
      <c r="CW1433" s="4" t="n"/>
      <c r="CX1433" s="4" t="n"/>
      <c r="CY1433" s="4" t="n"/>
      <c r="CZ1433" s="4" t="n"/>
      <c r="DA1433" s="4" t="n"/>
      <c r="DB1433" s="4" t="n"/>
      <c r="DC1433" s="4" t="n"/>
      <c r="DD1433" s="4" t="n"/>
      <c r="DE1433" s="4" t="n"/>
      <c r="DF1433" s="4" t="n"/>
      <c r="DG1433" s="4" t="n"/>
      <c r="DH1433" s="4" t="n"/>
      <c r="DI1433" s="4" t="n"/>
      <c r="DJ1433" s="4" t="n"/>
      <c r="DK1433" s="4" t="n"/>
      <c r="DL1433" s="4" t="n"/>
      <c r="DM1433" s="4" t="n"/>
      <c r="DN1433" s="4" t="n"/>
      <c r="DO1433" s="4" t="n"/>
      <c r="DP1433" s="4" t="n"/>
      <c r="DQ1433" s="4" t="n"/>
      <c r="DR1433" s="4" t="n"/>
      <c r="DS1433" s="4" t="n"/>
      <c r="DT1433" s="4" t="n"/>
      <c r="DU1433" s="4" t="n"/>
      <c r="DV1433" s="4" t="n"/>
      <c r="DW1433" s="4" t="n"/>
      <c r="DX1433" s="4" t="n"/>
      <c r="DY1433" s="4" t="n"/>
      <c r="DZ1433" s="4" t="n"/>
      <c r="EA1433" s="4" t="n"/>
      <c r="EB1433" s="4" t="n"/>
      <c r="EC1433" s="4" t="n"/>
      <c r="ED1433" s="4" t="n"/>
      <c r="EE1433" s="4" t="n"/>
      <c r="EF1433" s="4" t="n"/>
      <c r="EG1433" s="4" t="n"/>
      <c r="EH1433" s="4" t="n"/>
      <c r="EI1433" s="4" t="n"/>
      <c r="EJ1433" s="4" t="n"/>
      <c r="EK1433" s="4" t="n"/>
      <c r="EL1433" s="4" t="n"/>
      <c r="EM1433" s="4" t="n"/>
      <c r="EN1433" s="4" t="n"/>
      <c r="EO1433" s="4" t="n"/>
      <c r="EP1433" s="4" t="n"/>
      <c r="EQ1433" s="4" t="n"/>
      <c r="ER1433" s="4" t="n"/>
      <c r="ES1433" s="4" t="n"/>
      <c r="ET1433" s="4" t="n"/>
      <c r="EU1433" s="4" t="n"/>
      <c r="EV1433" s="4" t="n"/>
      <c r="EW1433" s="4" t="n"/>
      <c r="EX1433" s="4" t="n"/>
      <c r="EY1433" s="4" t="n"/>
      <c r="EZ1433" s="4" t="n"/>
      <c r="FA1433" s="4" t="n"/>
      <c r="FB1433" s="4" t="n"/>
      <c r="FC1433" s="4" t="n"/>
    </row>
    <row r="1434" hidden="1" customFormat="1" s="6">
      <c r="C1434" s="4" t="n"/>
      <c r="D1434" s="4" t="n"/>
      <c r="E1434" s="4" t="n"/>
      <c r="F1434" s="4" t="n"/>
      <c r="G1434" s="4" t="n"/>
      <c r="H1434" s="4" t="n"/>
      <c r="I1434" s="4" t="n"/>
      <c r="J1434" s="4" t="n"/>
      <c r="K1434" s="4" t="n"/>
      <c r="L1434" s="4" t="n"/>
      <c r="M1434" s="4" t="n"/>
      <c r="N1434" s="4" t="n"/>
      <c r="O1434" s="4" t="n"/>
      <c r="P1434" s="4" t="n"/>
      <c r="Q1434" s="4" t="n"/>
      <c r="R1434" s="4" t="n"/>
      <c r="S1434" s="4" t="n"/>
      <c r="T1434" s="4" t="n"/>
      <c r="U1434" s="4" t="n"/>
      <c r="V1434" s="4" t="n"/>
      <c r="W1434" s="4" t="n"/>
      <c r="X1434" s="4" t="n"/>
      <c r="Y1434" s="4" t="n"/>
      <c r="Z1434" s="4" t="n"/>
      <c r="AA1434" s="4" t="n"/>
      <c r="AB1434" s="4" t="n"/>
      <c r="AC1434" s="4" t="n"/>
      <c r="AD1434" s="4" t="n"/>
      <c r="AE1434" s="4" t="n"/>
      <c r="AF1434" s="4" t="n"/>
      <c r="AG1434" s="4" t="n"/>
      <c r="AH1434" s="4" t="n"/>
      <c r="AI1434" s="4" t="n"/>
      <c r="AJ1434" s="4" t="n"/>
      <c r="AK1434" s="4" t="n"/>
      <c r="AL1434" s="4" t="n"/>
      <c r="AM1434" s="4" t="n"/>
      <c r="AN1434" s="4" t="n"/>
      <c r="AO1434" s="4" t="n"/>
      <c r="AP1434" s="4" t="n"/>
      <c r="AQ1434" s="4" t="n"/>
      <c r="AR1434" s="4" t="n"/>
      <c r="AS1434" s="4" t="n"/>
      <c r="AT1434" s="4" t="n"/>
      <c r="AU1434" s="4" t="n"/>
      <c r="AV1434" s="4" t="n"/>
      <c r="AW1434" s="4" t="n"/>
      <c r="AX1434" s="4" t="n"/>
      <c r="AY1434" s="4" t="n"/>
      <c r="AZ1434" s="4" t="n"/>
      <c r="BA1434" s="4" t="n"/>
      <c r="BB1434" s="4" t="n"/>
      <c r="BC1434" s="4" t="n"/>
      <c r="BD1434" s="4" t="n"/>
      <c r="BE1434" s="4" t="n"/>
      <c r="BF1434" s="4" t="n"/>
      <c r="BG1434" s="4" t="n"/>
      <c r="BH1434" s="4" t="n"/>
      <c r="BI1434" s="4" t="n"/>
      <c r="BJ1434" s="4" t="n"/>
      <c r="BK1434" s="4" t="n"/>
      <c r="BL1434" s="4" t="n"/>
      <c r="BM1434" s="4" t="n"/>
      <c r="BN1434" s="4" t="n"/>
      <c r="BO1434" s="4" t="n"/>
      <c r="BP1434" s="4" t="n"/>
      <c r="BQ1434" s="4" t="n"/>
      <c r="BR1434" s="4" t="n"/>
      <c r="BS1434" s="4" t="n"/>
      <c r="BT1434" s="4" t="n"/>
      <c r="BU1434" s="4" t="n"/>
      <c r="BV1434" s="4" t="n"/>
      <c r="BW1434" s="4" t="n"/>
      <c r="BX1434" s="4" t="n"/>
      <c r="BY1434" s="4" t="n"/>
      <c r="BZ1434" s="4" t="n"/>
      <c r="CA1434" s="4" t="n"/>
      <c r="CB1434" s="4" t="n"/>
      <c r="CC1434" s="4" t="n"/>
      <c r="CD1434" s="4" t="n"/>
      <c r="CE1434" s="4" t="n"/>
      <c r="CF1434" s="4" t="n"/>
      <c r="CG1434" s="4" t="n"/>
      <c r="CH1434" s="4" t="n"/>
      <c r="CI1434" s="4" t="n"/>
      <c r="CJ1434" s="4" t="n"/>
      <c r="CK1434" s="4" t="n"/>
      <c r="CL1434" s="4" t="n"/>
      <c r="CM1434" s="4" t="n"/>
      <c r="CN1434" s="4" t="n"/>
      <c r="CO1434" s="4" t="n"/>
      <c r="CP1434" s="4" t="n"/>
      <c r="CQ1434" s="4" t="n"/>
      <c r="CR1434" s="4" t="n"/>
      <c r="CS1434" s="4" t="n"/>
      <c r="CT1434" s="4" t="n"/>
      <c r="CU1434" s="4" t="n"/>
      <c r="CV1434" s="4" t="n"/>
      <c r="CW1434" s="4" t="n"/>
      <c r="CX1434" s="4" t="n"/>
      <c r="CY1434" s="4" t="n"/>
      <c r="CZ1434" s="4" t="n"/>
      <c r="DA1434" s="4" t="n"/>
      <c r="DB1434" s="4" t="n"/>
      <c r="DC1434" s="4" t="n"/>
      <c r="DD1434" s="4" t="n"/>
      <c r="DE1434" s="4" t="n"/>
      <c r="DF1434" s="4" t="n"/>
      <c r="DG1434" s="4" t="n"/>
      <c r="DH1434" s="4" t="n"/>
      <c r="DI1434" s="4" t="n"/>
      <c r="DJ1434" s="4" t="n"/>
      <c r="DK1434" s="4" t="n"/>
      <c r="DL1434" s="4" t="n"/>
      <c r="DM1434" s="4" t="n"/>
      <c r="DN1434" s="4" t="n"/>
      <c r="DO1434" s="4" t="n"/>
      <c r="DP1434" s="4" t="n"/>
      <c r="DQ1434" s="4" t="n"/>
      <c r="DR1434" s="4" t="n"/>
      <c r="DS1434" s="4" t="n"/>
      <c r="DT1434" s="4" t="n"/>
      <c r="DU1434" s="4" t="n"/>
      <c r="DV1434" s="4" t="n"/>
      <c r="DW1434" s="4" t="n"/>
      <c r="DX1434" s="4" t="n"/>
      <c r="DY1434" s="4" t="n"/>
      <c r="DZ1434" s="4" t="n"/>
      <c r="EA1434" s="4" t="n"/>
      <c r="EB1434" s="4" t="n"/>
      <c r="EC1434" s="4" t="n"/>
      <c r="ED1434" s="4" t="n"/>
      <c r="EE1434" s="4" t="n"/>
      <c r="EF1434" s="4" t="n"/>
      <c r="EG1434" s="4" t="n"/>
      <c r="EH1434" s="4" t="n"/>
      <c r="EI1434" s="4" t="n"/>
      <c r="EJ1434" s="4" t="n"/>
      <c r="EK1434" s="4" t="n"/>
      <c r="EL1434" s="4" t="n"/>
      <c r="EM1434" s="4" t="n"/>
      <c r="EN1434" s="4" t="n"/>
      <c r="EO1434" s="4" t="n"/>
      <c r="EP1434" s="4" t="n"/>
      <c r="EQ1434" s="4" t="n"/>
      <c r="ER1434" s="4" t="n"/>
      <c r="ES1434" s="4" t="n"/>
      <c r="ET1434" s="4" t="n"/>
      <c r="EU1434" s="4" t="n"/>
      <c r="EV1434" s="4" t="n"/>
      <c r="EW1434" s="4" t="n"/>
      <c r="EX1434" s="4" t="n"/>
      <c r="EY1434" s="4" t="n"/>
      <c r="EZ1434" s="4" t="n"/>
      <c r="FA1434" s="4" t="n"/>
      <c r="FB1434" s="4" t="n"/>
      <c r="FC1434" s="4" t="n"/>
    </row>
    <row r="1435" hidden="1" customFormat="1" s="6">
      <c r="C1435" s="4" t="n"/>
      <c r="D1435" s="4" t="n"/>
      <c r="E1435" s="4" t="n"/>
      <c r="F1435" s="4" t="n"/>
      <c r="G1435" s="4" t="n"/>
      <c r="H1435" s="4" t="n"/>
      <c r="I1435" s="4" t="n"/>
      <c r="J1435" s="4" t="n"/>
      <c r="K1435" s="4" t="n"/>
      <c r="L1435" s="4" t="n"/>
      <c r="M1435" s="4" t="n"/>
      <c r="N1435" s="4" t="n"/>
      <c r="O1435" s="4" t="n"/>
      <c r="P1435" s="4" t="n"/>
      <c r="Q1435" s="4" t="n"/>
      <c r="R1435" s="4" t="n"/>
      <c r="S1435" s="4" t="n"/>
      <c r="T1435" s="4" t="n"/>
      <c r="U1435" s="4" t="n"/>
      <c r="V1435" s="4" t="n"/>
      <c r="W1435" s="4" t="n"/>
      <c r="X1435" s="4" t="n"/>
      <c r="Y1435" s="4" t="n"/>
      <c r="Z1435" s="4" t="n"/>
      <c r="AA1435" s="4" t="n"/>
      <c r="AB1435" s="4" t="n"/>
      <c r="AC1435" s="4" t="n"/>
      <c r="AD1435" s="4" t="n"/>
      <c r="AE1435" s="4" t="n"/>
      <c r="AF1435" s="4" t="n"/>
      <c r="AG1435" s="4" t="n"/>
      <c r="AH1435" s="4" t="n"/>
      <c r="AI1435" s="4" t="n"/>
      <c r="AJ1435" s="4" t="n"/>
      <c r="AK1435" s="4" t="n"/>
      <c r="AL1435" s="4" t="n"/>
      <c r="AM1435" s="4" t="n"/>
      <c r="AN1435" s="4" t="n"/>
      <c r="AO1435" s="4" t="n"/>
      <c r="AP1435" s="4" t="n"/>
      <c r="AQ1435" s="4" t="n"/>
      <c r="AR1435" s="4" t="n"/>
      <c r="AS1435" s="4" t="n"/>
      <c r="AT1435" s="4" t="n"/>
      <c r="AU1435" s="4" t="n"/>
      <c r="AV1435" s="4" t="n"/>
      <c r="AW1435" s="4" t="n"/>
      <c r="AX1435" s="4" t="n"/>
      <c r="AY1435" s="4" t="n"/>
      <c r="AZ1435" s="4" t="n"/>
      <c r="BA1435" s="4" t="n"/>
      <c r="BB1435" s="4" t="n"/>
      <c r="BC1435" s="4" t="n"/>
      <c r="BD1435" s="4" t="n"/>
      <c r="BE1435" s="4" t="n"/>
      <c r="BF1435" s="4" t="n"/>
      <c r="BG1435" s="4" t="n"/>
      <c r="BH1435" s="4" t="n"/>
      <c r="BI1435" s="4" t="n"/>
      <c r="BJ1435" s="4" t="n"/>
      <c r="BK1435" s="4" t="n"/>
      <c r="BL1435" s="4" t="n"/>
      <c r="BM1435" s="4" t="n"/>
      <c r="BN1435" s="4" t="n"/>
      <c r="BO1435" s="4" t="n"/>
      <c r="BP1435" s="4" t="n"/>
      <c r="BQ1435" s="4" t="n"/>
      <c r="BR1435" s="4" t="n"/>
      <c r="BS1435" s="4" t="n"/>
      <c r="BT1435" s="4" t="n"/>
      <c r="BU1435" s="4" t="n"/>
      <c r="BV1435" s="4" t="n"/>
      <c r="BW1435" s="4" t="n"/>
      <c r="BX1435" s="4" t="n"/>
      <c r="BY1435" s="4" t="n"/>
      <c r="BZ1435" s="4" t="n"/>
      <c r="CA1435" s="4" t="n"/>
      <c r="CB1435" s="4" t="n"/>
      <c r="CC1435" s="4" t="n"/>
      <c r="CD1435" s="4" t="n"/>
      <c r="CE1435" s="4" t="n"/>
      <c r="CF1435" s="4" t="n"/>
      <c r="CG1435" s="4" t="n"/>
      <c r="CH1435" s="4" t="n"/>
      <c r="CI1435" s="4" t="n"/>
      <c r="CJ1435" s="4" t="n"/>
      <c r="CK1435" s="4" t="n"/>
      <c r="CL1435" s="4" t="n"/>
      <c r="CM1435" s="4" t="n"/>
      <c r="CN1435" s="4" t="n"/>
      <c r="CO1435" s="4" t="n"/>
      <c r="CP1435" s="4" t="n"/>
      <c r="CQ1435" s="4" t="n"/>
      <c r="CR1435" s="4" t="n"/>
      <c r="CS1435" s="4" t="n"/>
      <c r="CT1435" s="4" t="n"/>
      <c r="CU1435" s="4" t="n"/>
      <c r="CV1435" s="4" t="n"/>
      <c r="CW1435" s="4" t="n"/>
      <c r="CX1435" s="4" t="n"/>
      <c r="CY1435" s="4" t="n"/>
      <c r="CZ1435" s="4" t="n"/>
      <c r="DA1435" s="4" t="n"/>
      <c r="DB1435" s="4" t="n"/>
      <c r="DC1435" s="4" t="n"/>
      <c r="DD1435" s="4" t="n"/>
      <c r="DE1435" s="4" t="n"/>
      <c r="DF1435" s="4" t="n"/>
      <c r="DG1435" s="4" t="n"/>
      <c r="DH1435" s="4" t="n"/>
      <c r="DI1435" s="4" t="n"/>
      <c r="DJ1435" s="4" t="n"/>
      <c r="DK1435" s="4" t="n"/>
      <c r="DL1435" s="4" t="n"/>
      <c r="DM1435" s="4" t="n"/>
      <c r="DN1435" s="4" t="n"/>
      <c r="DO1435" s="4" t="n"/>
      <c r="DP1435" s="4" t="n"/>
      <c r="DQ1435" s="4" t="n"/>
      <c r="DR1435" s="4" t="n"/>
      <c r="DS1435" s="4" t="n"/>
      <c r="DT1435" s="4" t="n"/>
      <c r="DU1435" s="4" t="n"/>
      <c r="DV1435" s="4" t="n"/>
      <c r="DW1435" s="4" t="n"/>
      <c r="DX1435" s="4" t="n"/>
      <c r="DY1435" s="4" t="n"/>
      <c r="DZ1435" s="4" t="n"/>
      <c r="EA1435" s="4" t="n"/>
      <c r="EB1435" s="4" t="n"/>
      <c r="EC1435" s="4" t="n"/>
      <c r="ED1435" s="4" t="n"/>
      <c r="EE1435" s="4" t="n"/>
      <c r="EF1435" s="4" t="n"/>
      <c r="EG1435" s="4" t="n"/>
      <c r="EH1435" s="4" t="n"/>
      <c r="EI1435" s="4" t="n"/>
      <c r="EJ1435" s="4" t="n"/>
      <c r="EK1435" s="4" t="n"/>
      <c r="EL1435" s="4" t="n"/>
      <c r="EM1435" s="4" t="n"/>
      <c r="EN1435" s="4" t="n"/>
      <c r="EO1435" s="4" t="n"/>
      <c r="EP1435" s="4" t="n"/>
      <c r="EQ1435" s="4" t="n"/>
      <c r="ER1435" s="4" t="n"/>
      <c r="ES1435" s="4" t="n"/>
      <c r="ET1435" s="4" t="n"/>
      <c r="EU1435" s="4" t="n"/>
      <c r="EV1435" s="4" t="n"/>
      <c r="EW1435" s="4" t="n"/>
      <c r="EX1435" s="4" t="n"/>
      <c r="EY1435" s="4" t="n"/>
      <c r="EZ1435" s="4" t="n"/>
      <c r="FA1435" s="4" t="n"/>
      <c r="FB1435" s="4" t="n"/>
      <c r="FC1435" s="4" t="n"/>
    </row>
    <row r="1436" hidden="1" customFormat="1" s="6">
      <c r="C1436" s="4" t="n"/>
      <c r="D1436" s="4" t="n"/>
      <c r="E1436" s="4" t="n"/>
      <c r="F1436" s="4" t="n"/>
      <c r="G1436" s="4" t="n"/>
      <c r="H1436" s="4" t="n"/>
      <c r="I1436" s="4" t="n"/>
      <c r="J1436" s="4" t="n"/>
      <c r="K1436" s="4" t="n"/>
      <c r="L1436" s="4" t="n"/>
      <c r="M1436" s="4" t="n"/>
      <c r="N1436" s="4" t="n"/>
      <c r="O1436" s="4" t="n"/>
      <c r="P1436" s="4" t="n"/>
      <c r="Q1436" s="4" t="n"/>
      <c r="R1436" s="4" t="n"/>
      <c r="S1436" s="4" t="n"/>
      <c r="T1436" s="4" t="n"/>
      <c r="U1436" s="4" t="n"/>
      <c r="V1436" s="4" t="n"/>
      <c r="W1436" s="4" t="n"/>
      <c r="X1436" s="4" t="n"/>
      <c r="Y1436" s="4" t="n"/>
      <c r="Z1436" s="4" t="n"/>
      <c r="AA1436" s="4" t="n"/>
      <c r="AB1436" s="4" t="n"/>
      <c r="AC1436" s="4" t="n"/>
      <c r="AD1436" s="4" t="n"/>
      <c r="AE1436" s="4" t="n"/>
      <c r="AF1436" s="4" t="n"/>
      <c r="AG1436" s="4" t="n"/>
      <c r="AH1436" s="4" t="n"/>
      <c r="AI1436" s="4" t="n"/>
      <c r="AJ1436" s="4" t="n"/>
      <c r="AK1436" s="4" t="n"/>
      <c r="AL1436" s="4" t="n"/>
      <c r="AM1436" s="4" t="n"/>
      <c r="AN1436" s="4" t="n"/>
      <c r="AO1436" s="4" t="n"/>
      <c r="AP1436" s="4" t="n"/>
      <c r="AQ1436" s="4" t="n"/>
      <c r="AR1436" s="4" t="n"/>
      <c r="AS1436" s="4" t="n"/>
      <c r="AT1436" s="4" t="n"/>
      <c r="AU1436" s="4" t="n"/>
      <c r="AV1436" s="4" t="n"/>
      <c r="AW1436" s="4" t="n"/>
      <c r="AX1436" s="4" t="n"/>
      <c r="AY1436" s="4" t="n"/>
      <c r="AZ1436" s="4" t="n"/>
      <c r="BA1436" s="4" t="n"/>
      <c r="BB1436" s="4" t="n"/>
      <c r="BC1436" s="4" t="n"/>
      <c r="BD1436" s="4" t="n"/>
      <c r="BE1436" s="4" t="n"/>
      <c r="BF1436" s="4" t="n"/>
      <c r="BG1436" s="4" t="n"/>
      <c r="BH1436" s="4" t="n"/>
      <c r="BI1436" s="4" t="n"/>
      <c r="BJ1436" s="4" t="n"/>
      <c r="BK1436" s="4" t="n"/>
      <c r="BL1436" s="4" t="n"/>
      <c r="BM1436" s="4" t="n"/>
      <c r="BN1436" s="4" t="n"/>
      <c r="BO1436" s="4" t="n"/>
      <c r="BP1436" s="4" t="n"/>
      <c r="BQ1436" s="4" t="n"/>
      <c r="BR1436" s="4" t="n"/>
      <c r="BS1436" s="4" t="n"/>
      <c r="BT1436" s="4" t="n"/>
      <c r="BU1436" s="4" t="n"/>
      <c r="BV1436" s="4" t="n"/>
      <c r="BW1436" s="4" t="n"/>
      <c r="BX1436" s="4" t="n"/>
      <c r="BY1436" s="4" t="n"/>
      <c r="BZ1436" s="4" t="n"/>
      <c r="CA1436" s="4" t="n"/>
      <c r="CB1436" s="4" t="n"/>
      <c r="CC1436" s="4" t="n"/>
      <c r="CD1436" s="4" t="n"/>
      <c r="CE1436" s="4" t="n"/>
      <c r="CF1436" s="4" t="n"/>
      <c r="CG1436" s="4" t="n"/>
      <c r="CH1436" s="4" t="n"/>
      <c r="CI1436" s="4" t="n"/>
      <c r="CJ1436" s="4" t="n"/>
      <c r="CK1436" s="4" t="n"/>
      <c r="CL1436" s="4" t="n"/>
      <c r="CM1436" s="4" t="n"/>
      <c r="CN1436" s="4" t="n"/>
      <c r="CO1436" s="4" t="n"/>
      <c r="CP1436" s="4" t="n"/>
      <c r="CQ1436" s="4" t="n"/>
      <c r="CR1436" s="4" t="n"/>
      <c r="CS1436" s="4" t="n"/>
      <c r="CT1436" s="4" t="n"/>
      <c r="CU1436" s="4" t="n"/>
      <c r="CV1436" s="4" t="n"/>
      <c r="CW1436" s="4" t="n"/>
      <c r="CX1436" s="4" t="n"/>
      <c r="CY1436" s="4" t="n"/>
      <c r="CZ1436" s="4" t="n"/>
      <c r="DA1436" s="4" t="n"/>
      <c r="DB1436" s="4" t="n"/>
      <c r="DC1436" s="4" t="n"/>
      <c r="DD1436" s="4" t="n"/>
      <c r="DE1436" s="4" t="n"/>
      <c r="DF1436" s="4" t="n"/>
      <c r="DG1436" s="4" t="n"/>
      <c r="DH1436" s="4" t="n"/>
      <c r="DI1436" s="4" t="n"/>
      <c r="DJ1436" s="4" t="n"/>
      <c r="DK1436" s="4" t="n"/>
      <c r="DL1436" s="4" t="n"/>
      <c r="DM1436" s="4" t="n"/>
      <c r="DN1436" s="4" t="n"/>
      <c r="DO1436" s="4" t="n"/>
      <c r="DP1436" s="4" t="n"/>
      <c r="DQ1436" s="4" t="n"/>
      <c r="DR1436" s="4" t="n"/>
      <c r="DS1436" s="4" t="n"/>
      <c r="DT1436" s="4" t="n"/>
      <c r="DU1436" s="4" t="n"/>
      <c r="DV1436" s="4" t="n"/>
      <c r="DW1436" s="4" t="n"/>
      <c r="DX1436" s="4" t="n"/>
      <c r="DY1436" s="4" t="n"/>
      <c r="DZ1436" s="4" t="n"/>
      <c r="EA1436" s="4" t="n"/>
      <c r="EB1436" s="4" t="n"/>
      <c r="EC1436" s="4" t="n"/>
      <c r="ED1436" s="4" t="n"/>
      <c r="EE1436" s="4" t="n"/>
      <c r="EF1436" s="4" t="n"/>
      <c r="EG1436" s="4" t="n"/>
      <c r="EH1436" s="4" t="n"/>
      <c r="EI1436" s="4" t="n"/>
      <c r="EJ1436" s="4" t="n"/>
      <c r="EK1436" s="4" t="n"/>
      <c r="EL1436" s="4" t="n"/>
      <c r="EM1436" s="4" t="n"/>
      <c r="EN1436" s="4" t="n"/>
      <c r="EO1436" s="4" t="n"/>
      <c r="EP1436" s="4" t="n"/>
      <c r="EQ1436" s="4" t="n"/>
      <c r="ER1436" s="4" t="n"/>
      <c r="ES1436" s="4" t="n"/>
      <c r="ET1436" s="4" t="n"/>
      <c r="EU1436" s="4" t="n"/>
      <c r="EV1436" s="4" t="n"/>
      <c r="EW1436" s="4" t="n"/>
      <c r="EX1436" s="4" t="n"/>
      <c r="EY1436" s="4" t="n"/>
      <c r="EZ1436" s="4" t="n"/>
      <c r="FA1436" s="4" t="n"/>
      <c r="FB1436" s="4" t="n"/>
      <c r="FC1436" s="4" t="n"/>
    </row>
    <row r="1437" hidden="1" customFormat="1" s="6">
      <c r="C1437" s="4" t="n"/>
      <c r="D1437" s="4" t="n"/>
      <c r="E1437" s="4" t="n"/>
      <c r="F1437" s="4" t="n"/>
      <c r="G1437" s="4" t="n"/>
      <c r="H1437" s="4" t="n"/>
      <c r="I1437" s="4" t="n"/>
      <c r="J1437" s="4" t="n"/>
      <c r="K1437" s="4" t="n"/>
      <c r="L1437" s="4" t="n"/>
      <c r="M1437" s="4" t="n"/>
      <c r="N1437" s="4" t="n"/>
      <c r="O1437" s="4" t="n"/>
      <c r="P1437" s="4" t="n"/>
      <c r="Q1437" s="4" t="n"/>
      <c r="R1437" s="4" t="n"/>
      <c r="S1437" s="4" t="n"/>
      <c r="T1437" s="4" t="n"/>
      <c r="U1437" s="4" t="n"/>
      <c r="V1437" s="4" t="n"/>
      <c r="W1437" s="4" t="n"/>
      <c r="X1437" s="4" t="n"/>
      <c r="Y1437" s="4" t="n"/>
      <c r="Z1437" s="4" t="n"/>
      <c r="AA1437" s="4" t="n"/>
      <c r="AB1437" s="4" t="n"/>
      <c r="AC1437" s="4" t="n"/>
      <c r="AD1437" s="4" t="n"/>
      <c r="AE1437" s="4" t="n"/>
      <c r="AF1437" s="4" t="n"/>
      <c r="AG1437" s="4" t="n"/>
      <c r="AH1437" s="4" t="n"/>
      <c r="AI1437" s="4" t="n"/>
      <c r="AJ1437" s="4" t="n"/>
      <c r="AK1437" s="4" t="n"/>
      <c r="AL1437" s="4" t="n"/>
      <c r="AM1437" s="4" t="n"/>
      <c r="AN1437" s="4" t="n"/>
      <c r="AO1437" s="4" t="n"/>
      <c r="AP1437" s="4" t="n"/>
      <c r="AQ1437" s="4" t="n"/>
      <c r="AR1437" s="4" t="n"/>
      <c r="AS1437" s="4" t="n"/>
      <c r="AT1437" s="4" t="n"/>
      <c r="AU1437" s="4" t="n"/>
      <c r="AV1437" s="4" t="n"/>
      <c r="AW1437" s="4" t="n"/>
      <c r="AX1437" s="4" t="n"/>
      <c r="AY1437" s="4" t="n"/>
      <c r="AZ1437" s="4" t="n"/>
      <c r="BA1437" s="4" t="n"/>
      <c r="BB1437" s="4" t="n"/>
      <c r="BC1437" s="4" t="n"/>
      <c r="BD1437" s="4" t="n"/>
      <c r="BE1437" s="4" t="n"/>
      <c r="BF1437" s="4" t="n"/>
      <c r="BG1437" s="4" t="n"/>
      <c r="BH1437" s="4" t="n"/>
      <c r="BI1437" s="4" t="n"/>
      <c r="BJ1437" s="4" t="n"/>
      <c r="BK1437" s="4" t="n"/>
      <c r="BL1437" s="4" t="n"/>
      <c r="BM1437" s="4" t="n"/>
      <c r="BN1437" s="4" t="n"/>
      <c r="BO1437" s="4" t="n"/>
      <c r="BP1437" s="4" t="n"/>
      <c r="BQ1437" s="4" t="n"/>
      <c r="BR1437" s="4" t="n"/>
      <c r="BS1437" s="4" t="n"/>
      <c r="BT1437" s="4" t="n"/>
      <c r="BU1437" s="4" t="n"/>
      <c r="BV1437" s="4" t="n"/>
      <c r="BW1437" s="4" t="n"/>
      <c r="BX1437" s="4" t="n"/>
      <c r="BY1437" s="4" t="n"/>
      <c r="BZ1437" s="4" t="n"/>
      <c r="CA1437" s="4" t="n"/>
      <c r="CB1437" s="4" t="n"/>
      <c r="CC1437" s="4" t="n"/>
      <c r="CD1437" s="4" t="n"/>
      <c r="CE1437" s="4" t="n"/>
      <c r="CF1437" s="4" t="n"/>
      <c r="CG1437" s="4" t="n"/>
      <c r="CH1437" s="4" t="n"/>
      <c r="CI1437" s="4" t="n"/>
      <c r="CJ1437" s="4" t="n"/>
      <c r="CK1437" s="4" t="n"/>
      <c r="CL1437" s="4" t="n"/>
      <c r="CM1437" s="4" t="n"/>
      <c r="CN1437" s="4" t="n"/>
      <c r="CO1437" s="4" t="n"/>
      <c r="CP1437" s="4" t="n"/>
      <c r="CQ1437" s="4" t="n"/>
      <c r="CR1437" s="4" t="n"/>
      <c r="CS1437" s="4" t="n"/>
      <c r="CT1437" s="4" t="n"/>
      <c r="CU1437" s="4" t="n"/>
      <c r="CV1437" s="4" t="n"/>
      <c r="CW1437" s="4" t="n"/>
      <c r="CX1437" s="4" t="n"/>
      <c r="CY1437" s="4" t="n"/>
      <c r="CZ1437" s="4" t="n"/>
      <c r="DA1437" s="4" t="n"/>
      <c r="DB1437" s="4" t="n"/>
      <c r="DC1437" s="4" t="n"/>
      <c r="DD1437" s="4" t="n"/>
      <c r="DE1437" s="4" t="n"/>
      <c r="DF1437" s="4" t="n"/>
      <c r="DG1437" s="4" t="n"/>
      <c r="DH1437" s="4" t="n"/>
      <c r="DI1437" s="4" t="n"/>
      <c r="DJ1437" s="4" t="n"/>
      <c r="DK1437" s="4" t="n"/>
      <c r="DL1437" s="4" t="n"/>
      <c r="DM1437" s="4" t="n"/>
      <c r="DN1437" s="4" t="n"/>
      <c r="DO1437" s="4" t="n"/>
      <c r="DP1437" s="4" t="n"/>
      <c r="DQ1437" s="4" t="n"/>
      <c r="DR1437" s="4" t="n"/>
      <c r="DS1437" s="4" t="n"/>
      <c r="DT1437" s="4" t="n"/>
      <c r="DU1437" s="4" t="n"/>
      <c r="DV1437" s="4" t="n"/>
      <c r="DW1437" s="4" t="n"/>
      <c r="DX1437" s="4" t="n"/>
      <c r="DY1437" s="4" t="n"/>
      <c r="DZ1437" s="4" t="n"/>
      <c r="EA1437" s="4" t="n"/>
      <c r="EB1437" s="4" t="n"/>
      <c r="EC1437" s="4" t="n"/>
      <c r="ED1437" s="4" t="n"/>
      <c r="EE1437" s="4" t="n"/>
      <c r="EF1437" s="4" t="n"/>
      <c r="EG1437" s="4" t="n"/>
      <c r="EH1437" s="4" t="n"/>
      <c r="EI1437" s="4" t="n"/>
      <c r="EJ1437" s="4" t="n"/>
      <c r="EK1437" s="4" t="n"/>
      <c r="EL1437" s="4" t="n"/>
      <c r="EM1437" s="4" t="n"/>
      <c r="EN1437" s="4" t="n"/>
      <c r="EO1437" s="4" t="n"/>
      <c r="EP1437" s="4" t="n"/>
      <c r="EQ1437" s="4" t="n"/>
      <c r="ER1437" s="4" t="n"/>
      <c r="ES1437" s="4" t="n"/>
      <c r="ET1437" s="4" t="n"/>
      <c r="EU1437" s="4" t="n"/>
      <c r="EV1437" s="4" t="n"/>
      <c r="EW1437" s="4" t="n"/>
      <c r="EX1437" s="4" t="n"/>
      <c r="EY1437" s="4" t="n"/>
      <c r="EZ1437" s="4" t="n"/>
      <c r="FA1437" s="4" t="n"/>
      <c r="FB1437" s="4" t="n"/>
      <c r="FC1437" s="4" t="n"/>
    </row>
    <row r="1438" hidden="1" customFormat="1" s="6">
      <c r="C1438" s="4" t="n"/>
      <c r="D1438" s="4" t="n"/>
      <c r="E1438" s="4" t="n"/>
      <c r="F1438" s="4" t="n"/>
      <c r="G1438" s="4" t="n"/>
      <c r="H1438" s="4" t="n"/>
      <c r="I1438" s="4" t="n"/>
      <c r="J1438" s="4" t="n"/>
      <c r="K1438" s="4" t="n"/>
      <c r="L1438" s="4" t="n"/>
      <c r="M1438" s="4" t="n"/>
      <c r="N1438" s="4" t="n"/>
      <c r="O1438" s="4" t="n"/>
      <c r="P1438" s="4" t="n"/>
      <c r="Q1438" s="4" t="n"/>
      <c r="R1438" s="4" t="n"/>
      <c r="S1438" s="4" t="n"/>
      <c r="T1438" s="4" t="n"/>
      <c r="U1438" s="4" t="n"/>
      <c r="V1438" s="4" t="n"/>
      <c r="W1438" s="4" t="n"/>
      <c r="X1438" s="4" t="n"/>
      <c r="Y1438" s="4" t="n"/>
      <c r="Z1438" s="4" t="n"/>
      <c r="AA1438" s="4" t="n"/>
      <c r="AB1438" s="4" t="n"/>
      <c r="AC1438" s="4" t="n"/>
      <c r="AD1438" s="4" t="n"/>
      <c r="AE1438" s="4" t="n"/>
      <c r="AF1438" s="4" t="n"/>
      <c r="AG1438" s="4" t="n"/>
      <c r="AH1438" s="4" t="n"/>
      <c r="AI1438" s="4" t="n"/>
      <c r="AJ1438" s="4" t="n"/>
      <c r="AK1438" s="4" t="n"/>
      <c r="AL1438" s="4" t="n"/>
      <c r="AM1438" s="4" t="n"/>
      <c r="AN1438" s="4" t="n"/>
      <c r="AO1438" s="4" t="n"/>
      <c r="AP1438" s="4" t="n"/>
      <c r="AQ1438" s="4" t="n"/>
      <c r="AR1438" s="4" t="n"/>
      <c r="AS1438" s="4" t="n"/>
      <c r="AT1438" s="4" t="n"/>
      <c r="AU1438" s="4" t="n"/>
      <c r="AV1438" s="4" t="n"/>
      <c r="AW1438" s="4" t="n"/>
      <c r="AX1438" s="4" t="n"/>
      <c r="AY1438" s="4" t="n"/>
      <c r="AZ1438" s="4" t="n"/>
      <c r="BA1438" s="4" t="n"/>
      <c r="BB1438" s="4" t="n"/>
      <c r="BC1438" s="4" t="n"/>
      <c r="BD1438" s="4" t="n"/>
      <c r="BE1438" s="4" t="n"/>
      <c r="BF1438" s="4" t="n"/>
      <c r="BG1438" s="4" t="n"/>
      <c r="BH1438" s="4" t="n"/>
      <c r="BI1438" s="4" t="n"/>
      <c r="BJ1438" s="4" t="n"/>
      <c r="BK1438" s="4" t="n"/>
      <c r="BL1438" s="4" t="n"/>
      <c r="BM1438" s="4" t="n"/>
      <c r="BN1438" s="4" t="n"/>
      <c r="BO1438" s="4" t="n"/>
      <c r="BP1438" s="4" t="n"/>
      <c r="BQ1438" s="4" t="n"/>
      <c r="BR1438" s="4" t="n"/>
      <c r="BS1438" s="4" t="n"/>
      <c r="BT1438" s="4" t="n"/>
      <c r="BU1438" s="4" t="n"/>
      <c r="BV1438" s="4" t="n"/>
      <c r="BW1438" s="4" t="n"/>
      <c r="BX1438" s="4" t="n"/>
      <c r="BY1438" s="4" t="n"/>
      <c r="BZ1438" s="4" t="n"/>
      <c r="CA1438" s="4" t="n"/>
      <c r="CB1438" s="4" t="n"/>
      <c r="CC1438" s="4" t="n"/>
      <c r="CD1438" s="4" t="n"/>
      <c r="CE1438" s="4" t="n"/>
      <c r="CF1438" s="4" t="n"/>
      <c r="CG1438" s="4" t="n"/>
      <c r="CH1438" s="4" t="n"/>
      <c r="CI1438" s="4" t="n"/>
      <c r="CJ1438" s="4" t="n"/>
      <c r="CK1438" s="4" t="n"/>
      <c r="CL1438" s="4" t="n"/>
      <c r="CM1438" s="4" t="n"/>
      <c r="CN1438" s="4" t="n"/>
      <c r="CO1438" s="4" t="n"/>
      <c r="CP1438" s="4" t="n"/>
      <c r="CQ1438" s="4" t="n"/>
      <c r="CR1438" s="4" t="n"/>
      <c r="CS1438" s="4" t="n"/>
      <c r="CT1438" s="4" t="n"/>
      <c r="CU1438" s="4" t="n"/>
      <c r="CV1438" s="4" t="n"/>
      <c r="CW1438" s="4" t="n"/>
      <c r="CX1438" s="4" t="n"/>
      <c r="CY1438" s="4" t="n"/>
      <c r="CZ1438" s="4" t="n"/>
      <c r="DA1438" s="4" t="n"/>
      <c r="DB1438" s="4" t="n"/>
      <c r="DC1438" s="4" t="n"/>
      <c r="DD1438" s="4" t="n"/>
      <c r="DE1438" s="4" t="n"/>
      <c r="DF1438" s="4" t="n"/>
      <c r="DG1438" s="4" t="n"/>
      <c r="DH1438" s="4" t="n"/>
      <c r="DI1438" s="4" t="n"/>
      <c r="DJ1438" s="4" t="n"/>
      <c r="DK1438" s="4" t="n"/>
      <c r="DL1438" s="4" t="n"/>
      <c r="DM1438" s="4" t="n"/>
      <c r="DN1438" s="4" t="n"/>
      <c r="DO1438" s="4" t="n"/>
      <c r="DP1438" s="4" t="n"/>
      <c r="DQ1438" s="4" t="n"/>
      <c r="DR1438" s="4" t="n"/>
      <c r="DS1438" s="4" t="n"/>
      <c r="DT1438" s="4" t="n"/>
      <c r="DU1438" s="4" t="n"/>
      <c r="DV1438" s="4" t="n"/>
      <c r="DW1438" s="4" t="n"/>
      <c r="DX1438" s="4" t="n"/>
      <c r="DY1438" s="4" t="n"/>
      <c r="DZ1438" s="4" t="n"/>
      <c r="EA1438" s="4" t="n"/>
      <c r="EB1438" s="4" t="n"/>
      <c r="EC1438" s="4" t="n"/>
      <c r="ED1438" s="4" t="n"/>
      <c r="EE1438" s="4" t="n"/>
      <c r="EF1438" s="4" t="n"/>
      <c r="EG1438" s="4" t="n"/>
      <c r="EH1438" s="4" t="n"/>
      <c r="EI1438" s="4" t="n"/>
      <c r="EJ1438" s="4" t="n"/>
      <c r="EK1438" s="4" t="n"/>
      <c r="EL1438" s="4" t="n"/>
      <c r="EM1438" s="4" t="n"/>
      <c r="EN1438" s="4" t="n"/>
      <c r="EO1438" s="4" t="n"/>
      <c r="EP1438" s="4" t="n"/>
      <c r="EQ1438" s="4" t="n"/>
      <c r="ER1438" s="4" t="n"/>
      <c r="ES1438" s="4" t="n"/>
      <c r="ET1438" s="4" t="n"/>
      <c r="EU1438" s="4" t="n"/>
      <c r="EV1438" s="4" t="n"/>
      <c r="EW1438" s="4" t="n"/>
      <c r="EX1438" s="4" t="n"/>
      <c r="EY1438" s="4" t="n"/>
      <c r="EZ1438" s="4" t="n"/>
      <c r="FA1438" s="4" t="n"/>
      <c r="FB1438" s="4" t="n"/>
      <c r="FC1438" s="4" t="n"/>
    </row>
    <row r="1439" hidden="1" customFormat="1" s="6">
      <c r="C1439" s="4" t="n"/>
      <c r="D1439" s="4" t="n"/>
      <c r="E1439" s="4" t="n"/>
      <c r="F1439" s="4" t="n"/>
      <c r="G1439" s="4" t="n"/>
      <c r="H1439" s="4" t="n"/>
      <c r="I1439" s="4" t="n"/>
      <c r="J1439" s="4" t="n"/>
      <c r="K1439" s="4" t="n"/>
      <c r="L1439" s="4" t="n"/>
      <c r="M1439" s="4" t="n"/>
      <c r="N1439" s="4" t="n"/>
      <c r="O1439" s="4" t="n"/>
      <c r="P1439" s="4" t="n"/>
      <c r="Q1439" s="4" t="n"/>
      <c r="R1439" s="4" t="n"/>
      <c r="S1439" s="4" t="n"/>
      <c r="T1439" s="4" t="n"/>
      <c r="U1439" s="4" t="n"/>
      <c r="V1439" s="4" t="n"/>
      <c r="W1439" s="4" t="n"/>
      <c r="X1439" s="4" t="n"/>
      <c r="Y1439" s="4" t="n"/>
      <c r="Z1439" s="4" t="n"/>
      <c r="AA1439" s="4" t="n"/>
      <c r="AB1439" s="4" t="n"/>
      <c r="AC1439" s="4" t="n"/>
      <c r="AD1439" s="4" t="n"/>
      <c r="AE1439" s="4" t="n"/>
      <c r="AF1439" s="4" t="n"/>
      <c r="AG1439" s="4" t="n"/>
      <c r="AH1439" s="4" t="n"/>
      <c r="AI1439" s="4" t="n"/>
      <c r="AJ1439" s="4" t="n"/>
      <c r="AK1439" s="4" t="n"/>
      <c r="AL1439" s="4" t="n"/>
      <c r="AM1439" s="4" t="n"/>
      <c r="AN1439" s="4" t="n"/>
      <c r="AO1439" s="4" t="n"/>
      <c r="AP1439" s="4" t="n"/>
      <c r="AQ1439" s="4" t="n"/>
      <c r="AR1439" s="4" t="n"/>
      <c r="AS1439" s="4" t="n"/>
      <c r="AT1439" s="4" t="n"/>
      <c r="AU1439" s="4" t="n"/>
      <c r="AV1439" s="4" t="n"/>
      <c r="AW1439" s="4" t="n"/>
      <c r="AX1439" s="4" t="n"/>
      <c r="AY1439" s="4" t="n"/>
      <c r="AZ1439" s="4" t="n"/>
      <c r="BA1439" s="4" t="n"/>
      <c r="BB1439" s="4" t="n"/>
      <c r="BC1439" s="4" t="n"/>
      <c r="BD1439" s="4" t="n"/>
      <c r="BE1439" s="4" t="n"/>
      <c r="BF1439" s="4" t="n"/>
      <c r="BG1439" s="4" t="n"/>
      <c r="BH1439" s="4" t="n"/>
      <c r="BI1439" s="4" t="n"/>
      <c r="BJ1439" s="4" t="n"/>
      <c r="BK1439" s="4" t="n"/>
      <c r="BL1439" s="4" t="n"/>
      <c r="BM1439" s="4" t="n"/>
      <c r="BN1439" s="4" t="n"/>
      <c r="BO1439" s="4" t="n"/>
      <c r="BP1439" s="4" t="n"/>
      <c r="BQ1439" s="4" t="n"/>
      <c r="BR1439" s="4" t="n"/>
      <c r="BS1439" s="4" t="n"/>
      <c r="BT1439" s="4" t="n"/>
      <c r="BU1439" s="4" t="n"/>
      <c r="BV1439" s="4" t="n"/>
      <c r="BW1439" s="4" t="n"/>
      <c r="BX1439" s="4" t="n"/>
      <c r="BY1439" s="4" t="n"/>
      <c r="BZ1439" s="4" t="n"/>
      <c r="CA1439" s="4" t="n"/>
      <c r="CB1439" s="4" t="n"/>
      <c r="CC1439" s="4" t="n"/>
      <c r="CD1439" s="4" t="n"/>
      <c r="CE1439" s="4" t="n"/>
      <c r="CF1439" s="4" t="n"/>
      <c r="CG1439" s="4" t="n"/>
      <c r="CH1439" s="4" t="n"/>
      <c r="CI1439" s="4" t="n"/>
      <c r="CJ1439" s="4" t="n"/>
      <c r="CK1439" s="4" t="n"/>
      <c r="CL1439" s="4" t="n"/>
      <c r="CM1439" s="4" t="n"/>
      <c r="CN1439" s="4" t="n"/>
      <c r="CO1439" s="4" t="n"/>
      <c r="CP1439" s="4" t="n"/>
      <c r="CQ1439" s="4" t="n"/>
      <c r="CR1439" s="4" t="n"/>
      <c r="CS1439" s="4" t="n"/>
      <c r="CT1439" s="4" t="n"/>
      <c r="CU1439" s="4" t="n"/>
      <c r="CV1439" s="4" t="n"/>
      <c r="CW1439" s="4" t="n"/>
      <c r="CX1439" s="4" t="n"/>
      <c r="CY1439" s="4" t="n"/>
      <c r="CZ1439" s="4" t="n"/>
      <c r="DA1439" s="4" t="n"/>
      <c r="DB1439" s="4" t="n"/>
      <c r="DC1439" s="4" t="n"/>
      <c r="DD1439" s="4" t="n"/>
      <c r="DE1439" s="4" t="n"/>
      <c r="DF1439" s="4" t="n"/>
      <c r="DG1439" s="4" t="n"/>
      <c r="DH1439" s="4" t="n"/>
      <c r="DI1439" s="4" t="n"/>
      <c r="DJ1439" s="4" t="n"/>
      <c r="DK1439" s="4" t="n"/>
      <c r="DL1439" s="4" t="n"/>
      <c r="DM1439" s="4" t="n"/>
      <c r="DN1439" s="4" t="n"/>
      <c r="DO1439" s="4" t="n"/>
      <c r="DP1439" s="4" t="n"/>
      <c r="DQ1439" s="4" t="n"/>
      <c r="DR1439" s="4" t="n"/>
      <c r="DS1439" s="4" t="n"/>
      <c r="DT1439" s="4" t="n"/>
      <c r="DU1439" s="4" t="n"/>
      <c r="DV1439" s="4" t="n"/>
      <c r="DW1439" s="4" t="n"/>
      <c r="DX1439" s="4" t="n"/>
      <c r="DY1439" s="4" t="n"/>
      <c r="DZ1439" s="4" t="n"/>
      <c r="EA1439" s="4" t="n"/>
      <c r="EB1439" s="4" t="n"/>
      <c r="EC1439" s="4" t="n"/>
      <c r="ED1439" s="4" t="n"/>
      <c r="EE1439" s="4" t="n"/>
      <c r="EF1439" s="4" t="n"/>
      <c r="EG1439" s="4" t="n"/>
      <c r="EH1439" s="4" t="n"/>
      <c r="EI1439" s="4" t="n"/>
      <c r="EJ1439" s="4" t="n"/>
      <c r="EK1439" s="4" t="n"/>
      <c r="EL1439" s="4" t="n"/>
      <c r="EM1439" s="4" t="n"/>
      <c r="EN1439" s="4" t="n"/>
      <c r="EO1439" s="4" t="n"/>
      <c r="EP1439" s="4" t="n"/>
      <c r="EQ1439" s="4" t="n"/>
      <c r="ER1439" s="4" t="n"/>
      <c r="ES1439" s="4" t="n"/>
      <c r="ET1439" s="4" t="n"/>
      <c r="EU1439" s="4" t="n"/>
      <c r="EV1439" s="4" t="n"/>
      <c r="EW1439" s="4" t="n"/>
      <c r="EX1439" s="4" t="n"/>
      <c r="EY1439" s="4" t="n"/>
      <c r="EZ1439" s="4" t="n"/>
      <c r="FA1439" s="4" t="n"/>
      <c r="FB1439" s="4" t="n"/>
      <c r="FC1439" s="4" t="n"/>
    </row>
    <row r="1440" hidden="1" customFormat="1" s="6">
      <c r="C1440" s="4" t="n"/>
      <c r="D1440" s="4" t="n"/>
      <c r="E1440" s="4" t="n"/>
      <c r="F1440" s="4" t="n"/>
      <c r="G1440" s="4" t="n"/>
      <c r="H1440" s="4" t="n"/>
      <c r="I1440" s="4" t="n"/>
      <c r="J1440" s="4" t="n"/>
      <c r="K1440" s="4" t="n"/>
      <c r="L1440" s="4" t="n"/>
      <c r="M1440" s="4" t="n"/>
      <c r="N1440" s="4" t="n"/>
      <c r="O1440" s="4" t="n"/>
      <c r="P1440" s="4" t="n"/>
      <c r="Q1440" s="4" t="n"/>
      <c r="R1440" s="4" t="n"/>
      <c r="S1440" s="4" t="n"/>
      <c r="T1440" s="4" t="n"/>
      <c r="U1440" s="4" t="n"/>
      <c r="V1440" s="4" t="n"/>
      <c r="W1440" s="4" t="n"/>
      <c r="X1440" s="4" t="n"/>
      <c r="Y1440" s="4" t="n"/>
      <c r="Z1440" s="4" t="n"/>
      <c r="AA1440" s="4" t="n"/>
      <c r="AB1440" s="4" t="n"/>
      <c r="AC1440" s="4" t="n"/>
      <c r="AD1440" s="4" t="n"/>
      <c r="AE1440" s="4" t="n"/>
      <c r="AF1440" s="4" t="n"/>
      <c r="AG1440" s="4" t="n"/>
      <c r="AH1440" s="4" t="n"/>
      <c r="AI1440" s="4" t="n"/>
      <c r="AJ1440" s="4" t="n"/>
      <c r="AK1440" s="4" t="n"/>
      <c r="AL1440" s="4" t="n"/>
      <c r="AM1440" s="4" t="n"/>
      <c r="AN1440" s="4" t="n"/>
      <c r="AO1440" s="4" t="n"/>
      <c r="AP1440" s="4" t="n"/>
      <c r="AQ1440" s="4" t="n"/>
      <c r="AR1440" s="4" t="n"/>
      <c r="AS1440" s="4" t="n"/>
      <c r="AT1440" s="4" t="n"/>
      <c r="AU1440" s="4" t="n"/>
      <c r="AV1440" s="4" t="n"/>
      <c r="AW1440" s="4" t="n"/>
      <c r="AX1440" s="4" t="n"/>
      <c r="AY1440" s="4" t="n"/>
      <c r="AZ1440" s="4" t="n"/>
      <c r="BA1440" s="4" t="n"/>
      <c r="BB1440" s="4" t="n"/>
      <c r="BC1440" s="4" t="n"/>
      <c r="BD1440" s="4" t="n"/>
      <c r="BE1440" s="4" t="n"/>
      <c r="BF1440" s="4" t="n"/>
      <c r="BG1440" s="4" t="n"/>
      <c r="BH1440" s="4" t="n"/>
      <c r="BI1440" s="4" t="n"/>
      <c r="BJ1440" s="4" t="n"/>
      <c r="BK1440" s="4" t="n"/>
      <c r="BL1440" s="4" t="n"/>
      <c r="BM1440" s="4" t="n"/>
      <c r="BN1440" s="4" t="n"/>
      <c r="BO1440" s="4" t="n"/>
      <c r="BP1440" s="4" t="n"/>
      <c r="BQ1440" s="4" t="n"/>
      <c r="BR1440" s="4" t="n"/>
      <c r="BS1440" s="4" t="n"/>
      <c r="BT1440" s="4" t="n"/>
      <c r="BU1440" s="4" t="n"/>
      <c r="BV1440" s="4" t="n"/>
      <c r="BW1440" s="4" t="n"/>
      <c r="BX1440" s="4" t="n"/>
      <c r="BY1440" s="4" t="n"/>
      <c r="BZ1440" s="4" t="n"/>
      <c r="CA1440" s="4" t="n"/>
      <c r="CB1440" s="4" t="n"/>
      <c r="CC1440" s="4" t="n"/>
      <c r="CD1440" s="4" t="n"/>
      <c r="CE1440" s="4" t="n"/>
      <c r="CF1440" s="4" t="n"/>
      <c r="CG1440" s="4" t="n"/>
      <c r="CH1440" s="4" t="n"/>
      <c r="CI1440" s="4" t="n"/>
      <c r="CJ1440" s="4" t="n"/>
      <c r="CK1440" s="4" t="n"/>
      <c r="CL1440" s="4" t="n"/>
      <c r="CM1440" s="4" t="n"/>
      <c r="CN1440" s="4" t="n"/>
      <c r="CO1440" s="4" t="n"/>
      <c r="CP1440" s="4" t="n"/>
      <c r="CQ1440" s="4" t="n"/>
      <c r="CR1440" s="4" t="n"/>
      <c r="CS1440" s="4" t="n"/>
      <c r="CT1440" s="4" t="n"/>
      <c r="CU1440" s="4" t="n"/>
      <c r="CV1440" s="4" t="n"/>
      <c r="CW1440" s="4" t="n"/>
      <c r="CX1440" s="4" t="n"/>
      <c r="CY1440" s="4" t="n"/>
      <c r="CZ1440" s="4" t="n"/>
      <c r="DA1440" s="4" t="n"/>
      <c r="DB1440" s="4" t="n"/>
      <c r="DC1440" s="4" t="n"/>
      <c r="DD1440" s="4" t="n"/>
      <c r="DE1440" s="4" t="n"/>
      <c r="DF1440" s="4" t="n"/>
      <c r="DG1440" s="4" t="n"/>
      <c r="DH1440" s="4" t="n"/>
      <c r="DI1440" s="4" t="n"/>
      <c r="DJ1440" s="4" t="n"/>
      <c r="DK1440" s="4" t="n"/>
      <c r="DL1440" s="4" t="n"/>
      <c r="DM1440" s="4" t="n"/>
      <c r="DN1440" s="4" t="n"/>
      <c r="DO1440" s="4" t="n"/>
      <c r="DP1440" s="4" t="n"/>
      <c r="DQ1440" s="4" t="n"/>
      <c r="DR1440" s="4" t="n"/>
      <c r="DS1440" s="4" t="n"/>
      <c r="DT1440" s="4" t="n"/>
      <c r="DU1440" s="4" t="n"/>
      <c r="DV1440" s="4" t="n"/>
      <c r="DW1440" s="4" t="n"/>
      <c r="DX1440" s="4" t="n"/>
      <c r="DY1440" s="4" t="n"/>
      <c r="DZ1440" s="4" t="n"/>
      <c r="EA1440" s="4" t="n"/>
      <c r="EB1440" s="4" t="n"/>
      <c r="EC1440" s="4" t="n"/>
      <c r="ED1440" s="4" t="n"/>
      <c r="EE1440" s="4" t="n"/>
      <c r="EF1440" s="4" t="n"/>
      <c r="EG1440" s="4" t="n"/>
      <c r="EH1440" s="4" t="n"/>
      <c r="EI1440" s="4" t="n"/>
      <c r="EJ1440" s="4" t="n"/>
      <c r="EK1440" s="4" t="n"/>
      <c r="EL1440" s="4" t="n"/>
      <c r="EM1440" s="4" t="n"/>
      <c r="EN1440" s="4" t="n"/>
      <c r="EO1440" s="4" t="n"/>
      <c r="EP1440" s="4" t="n"/>
      <c r="EQ1440" s="4" t="n"/>
      <c r="ER1440" s="4" t="n"/>
      <c r="ES1440" s="4" t="n"/>
      <c r="ET1440" s="4" t="n"/>
      <c r="EU1440" s="4" t="n"/>
      <c r="EV1440" s="4" t="n"/>
      <c r="EW1440" s="4" t="n"/>
      <c r="EX1440" s="4" t="n"/>
      <c r="EY1440" s="4" t="n"/>
      <c r="EZ1440" s="4" t="n"/>
      <c r="FA1440" s="4" t="n"/>
      <c r="FB1440" s="4" t="n"/>
      <c r="FC1440" s="4" t="n"/>
    </row>
    <row r="1441" hidden="1" customFormat="1" s="6">
      <c r="C1441" s="4" t="n"/>
      <c r="D1441" s="4" t="n"/>
      <c r="E1441" s="4" t="n"/>
      <c r="F1441" s="4" t="n"/>
      <c r="G1441" s="4" t="n"/>
      <c r="H1441" s="4" t="n"/>
      <c r="I1441" s="4" t="n"/>
      <c r="J1441" s="4" t="n"/>
      <c r="K1441" s="4" t="n"/>
      <c r="L1441" s="4" t="n"/>
      <c r="M1441" s="4" t="n"/>
      <c r="N1441" s="4" t="n"/>
      <c r="O1441" s="4" t="n"/>
      <c r="P1441" s="4" t="n"/>
      <c r="Q1441" s="4" t="n"/>
      <c r="R1441" s="4" t="n"/>
      <c r="S1441" s="4" t="n"/>
      <c r="T1441" s="4" t="n"/>
      <c r="U1441" s="4" t="n"/>
      <c r="V1441" s="4" t="n"/>
      <c r="W1441" s="4" t="n"/>
      <c r="X1441" s="4" t="n"/>
      <c r="Y1441" s="4" t="n"/>
      <c r="Z1441" s="4" t="n"/>
      <c r="AA1441" s="4" t="n"/>
      <c r="AB1441" s="4" t="n"/>
      <c r="AC1441" s="4" t="n"/>
      <c r="AD1441" s="4" t="n"/>
      <c r="AE1441" s="4" t="n"/>
      <c r="AF1441" s="4" t="n"/>
      <c r="AG1441" s="4" t="n"/>
      <c r="AH1441" s="4" t="n"/>
      <c r="AI1441" s="4" t="n"/>
      <c r="AJ1441" s="4" t="n"/>
      <c r="AK1441" s="4" t="n"/>
      <c r="AL1441" s="4" t="n"/>
      <c r="AM1441" s="4" t="n"/>
      <c r="AN1441" s="4" t="n"/>
      <c r="AO1441" s="4" t="n"/>
      <c r="AP1441" s="4" t="n"/>
      <c r="AQ1441" s="4" t="n"/>
      <c r="AR1441" s="4" t="n"/>
      <c r="AS1441" s="4" t="n"/>
      <c r="AT1441" s="4" t="n"/>
      <c r="AU1441" s="4" t="n"/>
      <c r="AV1441" s="4" t="n"/>
      <c r="AW1441" s="4" t="n"/>
      <c r="AX1441" s="4" t="n"/>
      <c r="AY1441" s="4" t="n"/>
      <c r="AZ1441" s="4" t="n"/>
      <c r="BA1441" s="4" t="n"/>
      <c r="BB1441" s="4" t="n"/>
      <c r="BC1441" s="4" t="n"/>
      <c r="BD1441" s="4" t="n"/>
      <c r="BE1441" s="4" t="n"/>
      <c r="BF1441" s="4" t="n"/>
      <c r="BG1441" s="4" t="n"/>
      <c r="BH1441" s="4" t="n"/>
      <c r="BI1441" s="4" t="n"/>
      <c r="BJ1441" s="4" t="n"/>
      <c r="BK1441" s="4" t="n"/>
      <c r="BL1441" s="4" t="n"/>
      <c r="BM1441" s="4" t="n"/>
      <c r="BN1441" s="4" t="n"/>
      <c r="BO1441" s="4" t="n"/>
      <c r="BP1441" s="4" t="n"/>
      <c r="BQ1441" s="4" t="n"/>
      <c r="BR1441" s="4" t="n"/>
      <c r="BS1441" s="4" t="n"/>
      <c r="BT1441" s="4" t="n"/>
      <c r="BU1441" s="4" t="n"/>
      <c r="BV1441" s="4" t="n"/>
      <c r="BW1441" s="4" t="n"/>
      <c r="BX1441" s="4" t="n"/>
      <c r="BY1441" s="4" t="n"/>
      <c r="BZ1441" s="4" t="n"/>
      <c r="CA1441" s="4" t="n"/>
      <c r="CB1441" s="4" t="n"/>
      <c r="CC1441" s="4" t="n"/>
      <c r="CD1441" s="4" t="n"/>
      <c r="CE1441" s="4" t="n"/>
      <c r="CF1441" s="4" t="n"/>
      <c r="CG1441" s="4" t="n"/>
      <c r="CH1441" s="4" t="n"/>
      <c r="CI1441" s="4" t="n"/>
      <c r="CJ1441" s="4" t="n"/>
      <c r="CK1441" s="4" t="n"/>
      <c r="CL1441" s="4" t="n"/>
      <c r="CM1441" s="4" t="n"/>
      <c r="CN1441" s="4" t="n"/>
      <c r="CO1441" s="4" t="n"/>
      <c r="CP1441" s="4" t="n"/>
      <c r="CQ1441" s="4" t="n"/>
      <c r="CR1441" s="4" t="n"/>
      <c r="CS1441" s="4" t="n"/>
      <c r="CT1441" s="4" t="n"/>
      <c r="CU1441" s="4" t="n"/>
      <c r="CV1441" s="4" t="n"/>
      <c r="CW1441" s="4" t="n"/>
      <c r="CX1441" s="4" t="n"/>
      <c r="CY1441" s="4" t="n"/>
      <c r="CZ1441" s="4" t="n"/>
      <c r="DA1441" s="4" t="n"/>
      <c r="DB1441" s="4" t="n"/>
      <c r="DC1441" s="4" t="n"/>
      <c r="DD1441" s="4" t="n"/>
      <c r="DE1441" s="4" t="n"/>
      <c r="DF1441" s="4" t="n"/>
      <c r="DG1441" s="4" t="n"/>
      <c r="DH1441" s="4" t="n"/>
      <c r="DI1441" s="4" t="n"/>
      <c r="DJ1441" s="4" t="n"/>
      <c r="DK1441" s="4" t="n"/>
      <c r="DL1441" s="4" t="n"/>
      <c r="DM1441" s="4" t="n"/>
      <c r="DN1441" s="4" t="n"/>
      <c r="DO1441" s="4" t="n"/>
      <c r="DP1441" s="4" t="n"/>
      <c r="DQ1441" s="4" t="n"/>
      <c r="DR1441" s="4" t="n"/>
      <c r="DS1441" s="4" t="n"/>
      <c r="DT1441" s="4" t="n"/>
      <c r="DU1441" s="4" t="n"/>
      <c r="DV1441" s="4" t="n"/>
      <c r="DW1441" s="4" t="n"/>
      <c r="DX1441" s="4" t="n"/>
      <c r="DY1441" s="4" t="n"/>
      <c r="DZ1441" s="4" t="n"/>
      <c r="EA1441" s="4" t="n"/>
      <c r="EB1441" s="4" t="n"/>
      <c r="EC1441" s="4" t="n"/>
      <c r="ED1441" s="4" t="n"/>
      <c r="EE1441" s="4" t="n"/>
      <c r="EF1441" s="4" t="n"/>
      <c r="EG1441" s="4" t="n"/>
      <c r="EH1441" s="4" t="n"/>
      <c r="EI1441" s="4" t="n"/>
      <c r="EJ1441" s="4" t="n"/>
      <c r="EK1441" s="4" t="n"/>
      <c r="EL1441" s="4" t="n"/>
      <c r="EM1441" s="4" t="n"/>
      <c r="EN1441" s="4" t="n"/>
      <c r="EO1441" s="4" t="n"/>
      <c r="EP1441" s="4" t="n"/>
      <c r="EQ1441" s="4" t="n"/>
      <c r="ER1441" s="4" t="n"/>
      <c r="ES1441" s="4" t="n"/>
      <c r="ET1441" s="4" t="n"/>
      <c r="EU1441" s="4" t="n"/>
      <c r="EV1441" s="4" t="n"/>
      <c r="EW1441" s="4" t="n"/>
      <c r="EX1441" s="4" t="n"/>
      <c r="EY1441" s="4" t="n"/>
      <c r="EZ1441" s="4" t="n"/>
      <c r="FA1441" s="4" t="n"/>
      <c r="FB1441" s="4" t="n"/>
      <c r="FC1441" s="4" t="n"/>
    </row>
    <row r="1442" hidden="1" customFormat="1" s="6">
      <c r="C1442" s="4" t="n"/>
      <c r="D1442" s="4" t="n"/>
      <c r="E1442" s="4" t="n"/>
      <c r="F1442" s="4" t="n"/>
      <c r="G1442" s="4" t="n"/>
      <c r="H1442" s="4" t="n"/>
      <c r="I1442" s="4" t="n"/>
      <c r="J1442" s="4" t="n"/>
      <c r="K1442" s="4" t="n"/>
      <c r="L1442" s="4" t="n"/>
      <c r="M1442" s="4" t="n"/>
      <c r="N1442" s="4" t="n"/>
      <c r="O1442" s="4" t="n"/>
      <c r="P1442" s="4" t="n"/>
      <c r="Q1442" s="4" t="n"/>
      <c r="R1442" s="4" t="n"/>
      <c r="S1442" s="4" t="n"/>
      <c r="T1442" s="4" t="n"/>
      <c r="U1442" s="4" t="n"/>
      <c r="V1442" s="4" t="n"/>
      <c r="W1442" s="4" t="n"/>
      <c r="X1442" s="4" t="n"/>
      <c r="Y1442" s="4" t="n"/>
      <c r="Z1442" s="4" t="n"/>
      <c r="AA1442" s="4" t="n"/>
      <c r="AB1442" s="4" t="n"/>
      <c r="AC1442" s="4" t="n"/>
      <c r="AD1442" s="4" t="n"/>
      <c r="AE1442" s="4" t="n"/>
      <c r="AF1442" s="4" t="n"/>
      <c r="AG1442" s="4" t="n"/>
      <c r="AH1442" s="4" t="n"/>
      <c r="AI1442" s="4" t="n"/>
      <c r="AJ1442" s="4" t="n"/>
      <c r="AK1442" s="4" t="n"/>
      <c r="AL1442" s="4" t="n"/>
      <c r="AM1442" s="4" t="n"/>
      <c r="AN1442" s="4" t="n"/>
      <c r="AO1442" s="4" t="n"/>
      <c r="AP1442" s="4" t="n"/>
      <c r="AQ1442" s="4" t="n"/>
      <c r="AR1442" s="4" t="n"/>
      <c r="AS1442" s="4" t="n"/>
      <c r="AT1442" s="4" t="n"/>
      <c r="AU1442" s="4" t="n"/>
      <c r="AV1442" s="4" t="n"/>
      <c r="AW1442" s="4" t="n"/>
      <c r="AX1442" s="4" t="n"/>
      <c r="AY1442" s="4" t="n"/>
      <c r="AZ1442" s="4" t="n"/>
      <c r="BA1442" s="4" t="n"/>
      <c r="BB1442" s="4" t="n"/>
      <c r="BC1442" s="4" t="n"/>
      <c r="BD1442" s="4" t="n"/>
      <c r="BE1442" s="4" t="n"/>
      <c r="BF1442" s="4" t="n"/>
      <c r="BG1442" s="4" t="n"/>
      <c r="BH1442" s="4" t="n"/>
      <c r="BI1442" s="4" t="n"/>
      <c r="BJ1442" s="4" t="n"/>
      <c r="BK1442" s="4" t="n"/>
      <c r="BL1442" s="4" t="n"/>
      <c r="BM1442" s="4" t="n"/>
      <c r="BN1442" s="4" t="n"/>
      <c r="BO1442" s="4" t="n"/>
      <c r="BP1442" s="4" t="n"/>
      <c r="BQ1442" s="4" t="n"/>
      <c r="BR1442" s="4" t="n"/>
      <c r="BS1442" s="4" t="n"/>
      <c r="BT1442" s="4" t="n"/>
      <c r="BU1442" s="4" t="n"/>
      <c r="BV1442" s="4" t="n"/>
      <c r="BW1442" s="4" t="n"/>
      <c r="BX1442" s="4" t="n"/>
      <c r="BY1442" s="4" t="n"/>
      <c r="BZ1442" s="4" t="n"/>
      <c r="CA1442" s="4" t="n"/>
      <c r="CB1442" s="4" t="n"/>
      <c r="CC1442" s="4" t="n"/>
      <c r="CD1442" s="4" t="n"/>
      <c r="CE1442" s="4" t="n"/>
      <c r="CF1442" s="4" t="n"/>
      <c r="CG1442" s="4" t="n"/>
      <c r="CH1442" s="4" t="n"/>
      <c r="CI1442" s="4" t="n"/>
      <c r="CJ1442" s="4" t="n"/>
      <c r="CK1442" s="4" t="n"/>
      <c r="CL1442" s="4" t="n"/>
      <c r="CM1442" s="4" t="n"/>
      <c r="CN1442" s="4" t="n"/>
      <c r="CO1442" s="4" t="n"/>
      <c r="CP1442" s="4" t="n"/>
      <c r="CQ1442" s="4" t="n"/>
      <c r="CR1442" s="4" t="n"/>
      <c r="CS1442" s="4" t="n"/>
      <c r="CT1442" s="4" t="n"/>
      <c r="CU1442" s="4" t="n"/>
      <c r="CV1442" s="4" t="n"/>
      <c r="CW1442" s="4" t="n"/>
      <c r="CX1442" s="4" t="n"/>
      <c r="CY1442" s="4" t="n"/>
      <c r="CZ1442" s="4" t="n"/>
      <c r="DA1442" s="4" t="n"/>
      <c r="DB1442" s="4" t="n"/>
      <c r="DC1442" s="4" t="n"/>
      <c r="DD1442" s="4" t="n"/>
      <c r="DE1442" s="4" t="n"/>
      <c r="DF1442" s="4" t="n"/>
      <c r="DG1442" s="4" t="n"/>
      <c r="DH1442" s="4" t="n"/>
      <c r="DI1442" s="4" t="n"/>
      <c r="DJ1442" s="4" t="n"/>
      <c r="DK1442" s="4" t="n"/>
      <c r="DL1442" s="4" t="n"/>
      <c r="DM1442" s="4" t="n"/>
      <c r="DN1442" s="4" t="n"/>
      <c r="DO1442" s="4" t="n"/>
      <c r="DP1442" s="4" t="n"/>
      <c r="DQ1442" s="4" t="n"/>
      <c r="DR1442" s="4" t="n"/>
      <c r="DS1442" s="4" t="n"/>
      <c r="DT1442" s="4" t="n"/>
      <c r="DU1442" s="4" t="n"/>
      <c r="DV1442" s="4" t="n"/>
      <c r="DW1442" s="4" t="n"/>
      <c r="DX1442" s="4" t="n"/>
      <c r="DY1442" s="4" t="n"/>
      <c r="DZ1442" s="4" t="n"/>
      <c r="EA1442" s="4" t="n"/>
      <c r="EB1442" s="4" t="n"/>
      <c r="EC1442" s="4" t="n"/>
      <c r="ED1442" s="4" t="n"/>
      <c r="EE1442" s="4" t="n"/>
      <c r="EF1442" s="4" t="n"/>
      <c r="EG1442" s="4" t="n"/>
      <c r="EH1442" s="4" t="n"/>
      <c r="EI1442" s="4" t="n"/>
      <c r="EJ1442" s="4" t="n"/>
      <c r="EK1442" s="4" t="n"/>
      <c r="EL1442" s="4" t="n"/>
      <c r="EM1442" s="4" t="n"/>
      <c r="EN1442" s="4" t="n"/>
      <c r="EO1442" s="4" t="n"/>
      <c r="EP1442" s="4" t="n"/>
      <c r="EQ1442" s="4" t="n"/>
      <c r="ER1442" s="4" t="n"/>
      <c r="ES1442" s="4" t="n"/>
      <c r="ET1442" s="4" t="n"/>
      <c r="EU1442" s="4" t="n"/>
      <c r="EV1442" s="4" t="n"/>
      <c r="EW1442" s="4" t="n"/>
      <c r="EX1442" s="4" t="n"/>
      <c r="EY1442" s="4" t="n"/>
      <c r="EZ1442" s="4" t="n"/>
      <c r="FA1442" s="4" t="n"/>
      <c r="FB1442" s="4" t="n"/>
      <c r="FC1442" s="4" t="n"/>
    </row>
    <row r="1443" hidden="1" customFormat="1" s="6">
      <c r="C1443" s="4" t="n"/>
      <c r="D1443" s="4" t="n"/>
      <c r="E1443" s="4" t="n"/>
      <c r="F1443" s="4" t="n"/>
      <c r="G1443" s="4" t="n"/>
      <c r="H1443" s="4" t="n"/>
      <c r="I1443" s="4" t="n"/>
      <c r="J1443" s="4" t="n"/>
      <c r="K1443" s="4" t="n"/>
      <c r="L1443" s="4" t="n"/>
      <c r="M1443" s="4" t="n"/>
      <c r="N1443" s="4" t="n"/>
      <c r="O1443" s="4" t="n"/>
      <c r="P1443" s="4" t="n"/>
      <c r="Q1443" s="4" t="n"/>
      <c r="R1443" s="4" t="n"/>
      <c r="S1443" s="4" t="n"/>
      <c r="T1443" s="4" t="n"/>
      <c r="U1443" s="4" t="n"/>
      <c r="V1443" s="4" t="n"/>
      <c r="W1443" s="4" t="n"/>
      <c r="X1443" s="4" t="n"/>
      <c r="Y1443" s="4" t="n"/>
      <c r="Z1443" s="4" t="n"/>
      <c r="AA1443" s="4" t="n"/>
      <c r="AB1443" s="4" t="n"/>
      <c r="AC1443" s="4" t="n"/>
      <c r="AD1443" s="4" t="n"/>
      <c r="AE1443" s="4" t="n"/>
      <c r="AF1443" s="4" t="n"/>
      <c r="AG1443" s="4" t="n"/>
      <c r="AH1443" s="4" t="n"/>
      <c r="AI1443" s="4" t="n"/>
      <c r="AJ1443" s="4" t="n"/>
      <c r="AK1443" s="4" t="n"/>
      <c r="AL1443" s="4" t="n"/>
      <c r="AM1443" s="4" t="n"/>
      <c r="AN1443" s="4" t="n"/>
      <c r="AO1443" s="4" t="n"/>
      <c r="AP1443" s="4" t="n"/>
      <c r="AQ1443" s="4" t="n"/>
      <c r="AR1443" s="4" t="n"/>
      <c r="AS1443" s="4" t="n"/>
      <c r="AT1443" s="4" t="n"/>
      <c r="AU1443" s="4" t="n"/>
      <c r="AV1443" s="4" t="n"/>
      <c r="AW1443" s="4" t="n"/>
      <c r="AX1443" s="4" t="n"/>
      <c r="AY1443" s="4" t="n"/>
      <c r="AZ1443" s="4" t="n"/>
      <c r="BA1443" s="4" t="n"/>
      <c r="BB1443" s="4" t="n"/>
      <c r="BC1443" s="4" t="n"/>
      <c r="BD1443" s="4" t="n"/>
      <c r="BE1443" s="4" t="n"/>
      <c r="BF1443" s="4" t="n"/>
      <c r="BG1443" s="4" t="n"/>
      <c r="BH1443" s="4" t="n"/>
      <c r="BI1443" s="4" t="n"/>
      <c r="BJ1443" s="4" t="n"/>
      <c r="BK1443" s="4" t="n"/>
      <c r="BL1443" s="4" t="n"/>
      <c r="BM1443" s="4" t="n"/>
      <c r="BN1443" s="4" t="n"/>
      <c r="BO1443" s="4" t="n"/>
      <c r="BP1443" s="4" t="n"/>
      <c r="BQ1443" s="4" t="n"/>
      <c r="BR1443" s="4" t="n"/>
      <c r="BS1443" s="4" t="n"/>
      <c r="BT1443" s="4" t="n"/>
      <c r="BU1443" s="4" t="n"/>
      <c r="BV1443" s="4" t="n"/>
      <c r="BW1443" s="4" t="n"/>
      <c r="BX1443" s="4" t="n"/>
      <c r="BY1443" s="4" t="n"/>
      <c r="BZ1443" s="4" t="n"/>
      <c r="CA1443" s="4" t="n"/>
      <c r="CB1443" s="4" t="n"/>
      <c r="CC1443" s="4" t="n"/>
      <c r="CD1443" s="4" t="n"/>
      <c r="CE1443" s="4" t="n"/>
      <c r="CF1443" s="4" t="n"/>
      <c r="CG1443" s="4" t="n"/>
      <c r="CH1443" s="4" t="n"/>
      <c r="CI1443" s="4" t="n"/>
      <c r="CJ1443" s="4" t="n"/>
      <c r="CK1443" s="4" t="n"/>
      <c r="CL1443" s="4" t="n"/>
      <c r="CM1443" s="4" t="n"/>
      <c r="CN1443" s="4" t="n"/>
      <c r="CO1443" s="4" t="n"/>
      <c r="CP1443" s="4" t="n"/>
      <c r="CQ1443" s="4" t="n"/>
      <c r="CR1443" s="4" t="n"/>
      <c r="CS1443" s="4" t="n"/>
      <c r="CT1443" s="4" t="n"/>
      <c r="CU1443" s="4" t="n"/>
      <c r="CV1443" s="4" t="n"/>
      <c r="CW1443" s="4" t="n"/>
      <c r="CX1443" s="4" t="n"/>
      <c r="CY1443" s="4" t="n"/>
      <c r="CZ1443" s="4" t="n"/>
      <c r="DA1443" s="4" t="n"/>
      <c r="DB1443" s="4" t="n"/>
      <c r="DC1443" s="4" t="n"/>
      <c r="DD1443" s="4" t="n"/>
      <c r="DE1443" s="4" t="n"/>
      <c r="DF1443" s="4" t="n"/>
      <c r="DG1443" s="4" t="n"/>
      <c r="DH1443" s="4" t="n"/>
      <c r="DI1443" s="4" t="n"/>
      <c r="DJ1443" s="4" t="n"/>
      <c r="DK1443" s="4" t="n"/>
      <c r="DL1443" s="4" t="n"/>
      <c r="DM1443" s="4" t="n"/>
      <c r="DN1443" s="4" t="n"/>
      <c r="DO1443" s="4" t="n"/>
      <c r="DP1443" s="4" t="n"/>
      <c r="DQ1443" s="4" t="n"/>
      <c r="DR1443" s="4" t="n"/>
      <c r="DS1443" s="4" t="n"/>
      <c r="DT1443" s="4" t="n"/>
      <c r="DU1443" s="4" t="n"/>
      <c r="DV1443" s="4" t="n"/>
      <c r="DW1443" s="4" t="n"/>
      <c r="DX1443" s="4" t="n"/>
      <c r="DY1443" s="4" t="n"/>
      <c r="DZ1443" s="4" t="n"/>
      <c r="EA1443" s="4" t="n"/>
      <c r="EB1443" s="4" t="n"/>
      <c r="EC1443" s="4" t="n"/>
      <c r="ED1443" s="4" t="n"/>
      <c r="EE1443" s="4" t="n"/>
      <c r="EF1443" s="4" t="n"/>
      <c r="EG1443" s="4" t="n"/>
      <c r="EH1443" s="4" t="n"/>
      <c r="EI1443" s="4" t="n"/>
      <c r="EJ1443" s="4" t="n"/>
      <c r="EK1443" s="4" t="n"/>
      <c r="EL1443" s="4" t="n"/>
      <c r="EM1443" s="4" t="n"/>
      <c r="EN1443" s="4" t="n"/>
      <c r="EO1443" s="4" t="n"/>
      <c r="EP1443" s="4" t="n"/>
      <c r="EQ1443" s="4" t="n"/>
      <c r="ER1443" s="4" t="n"/>
      <c r="ES1443" s="4" t="n"/>
      <c r="ET1443" s="4" t="n"/>
      <c r="EU1443" s="4" t="n"/>
      <c r="EV1443" s="4" t="n"/>
      <c r="EW1443" s="4" t="n"/>
      <c r="EX1443" s="4" t="n"/>
      <c r="EY1443" s="4" t="n"/>
      <c r="EZ1443" s="4" t="n"/>
      <c r="FA1443" s="4" t="n"/>
      <c r="FB1443" s="4" t="n"/>
      <c r="FC1443" s="4" t="n"/>
    </row>
    <row r="1444" hidden="1" customFormat="1" s="6">
      <c r="C1444" s="4" t="n"/>
      <c r="D1444" s="4" t="n"/>
      <c r="E1444" s="4" t="n"/>
      <c r="F1444" s="4" t="n"/>
      <c r="G1444" s="4" t="n"/>
      <c r="H1444" s="4" t="n"/>
      <c r="I1444" s="4" t="n"/>
      <c r="J1444" s="4" t="n"/>
      <c r="K1444" s="4" t="n"/>
      <c r="L1444" s="4" t="n"/>
      <c r="M1444" s="4" t="n"/>
      <c r="N1444" s="4" t="n"/>
      <c r="O1444" s="4" t="n"/>
      <c r="P1444" s="4" t="n"/>
      <c r="Q1444" s="4" t="n"/>
      <c r="R1444" s="4" t="n"/>
      <c r="S1444" s="4" t="n"/>
      <c r="T1444" s="4" t="n"/>
      <c r="U1444" s="4" t="n"/>
      <c r="V1444" s="4" t="n"/>
      <c r="W1444" s="4" t="n"/>
      <c r="X1444" s="4" t="n"/>
      <c r="Y1444" s="4" t="n"/>
      <c r="Z1444" s="4" t="n"/>
      <c r="AA1444" s="4" t="n"/>
      <c r="AB1444" s="4" t="n"/>
      <c r="AC1444" s="4" t="n"/>
      <c r="AD1444" s="4" t="n"/>
      <c r="AE1444" s="4" t="n"/>
      <c r="AF1444" s="4" t="n"/>
      <c r="AG1444" s="4" t="n"/>
      <c r="AH1444" s="4" t="n"/>
      <c r="AI1444" s="4" t="n"/>
      <c r="AJ1444" s="4" t="n"/>
      <c r="AK1444" s="4" t="n"/>
      <c r="AL1444" s="4" t="n"/>
      <c r="AM1444" s="4" t="n"/>
      <c r="AN1444" s="4" t="n"/>
      <c r="AO1444" s="4" t="n"/>
      <c r="AP1444" s="4" t="n"/>
      <c r="AQ1444" s="4" t="n"/>
      <c r="AR1444" s="4" t="n"/>
      <c r="AS1444" s="4" t="n"/>
      <c r="AT1444" s="4" t="n"/>
      <c r="AU1444" s="4" t="n"/>
      <c r="AV1444" s="4" t="n"/>
      <c r="AW1444" s="4" t="n"/>
      <c r="AX1444" s="4" t="n"/>
      <c r="AY1444" s="4" t="n"/>
      <c r="AZ1444" s="4" t="n"/>
      <c r="BA1444" s="4" t="n"/>
      <c r="BB1444" s="4" t="n"/>
      <c r="BC1444" s="4" t="n"/>
      <c r="BD1444" s="4" t="n"/>
      <c r="BE1444" s="4" t="n"/>
      <c r="BF1444" s="4" t="n"/>
      <c r="BG1444" s="4" t="n"/>
      <c r="BH1444" s="4" t="n"/>
      <c r="BI1444" s="4" t="n"/>
      <c r="BJ1444" s="4" t="n"/>
      <c r="BK1444" s="4" t="n"/>
      <c r="BL1444" s="4" t="n"/>
      <c r="BM1444" s="4" t="n"/>
      <c r="BN1444" s="4" t="n"/>
      <c r="BO1444" s="4" t="n"/>
      <c r="BP1444" s="4" t="n"/>
      <c r="BQ1444" s="4" t="n"/>
      <c r="BR1444" s="4" t="n"/>
      <c r="BS1444" s="4" t="n"/>
      <c r="BT1444" s="4" t="n"/>
      <c r="BU1444" s="4" t="n"/>
      <c r="BV1444" s="4" t="n"/>
      <c r="BW1444" s="4" t="n"/>
      <c r="BX1444" s="4" t="n"/>
      <c r="BY1444" s="4" t="n"/>
      <c r="BZ1444" s="4" t="n"/>
      <c r="CA1444" s="4" t="n"/>
      <c r="CB1444" s="4" t="n"/>
      <c r="CC1444" s="4" t="n"/>
      <c r="CD1444" s="4" t="n"/>
      <c r="CE1444" s="4" t="n"/>
      <c r="CF1444" s="4" t="n"/>
      <c r="CG1444" s="4" t="n"/>
      <c r="CH1444" s="4" t="n"/>
      <c r="CI1444" s="4" t="n"/>
      <c r="CJ1444" s="4" t="n"/>
      <c r="CK1444" s="4" t="n"/>
      <c r="CL1444" s="4" t="n"/>
      <c r="CM1444" s="4" t="n"/>
      <c r="CN1444" s="4" t="n"/>
      <c r="CO1444" s="4" t="n"/>
      <c r="CP1444" s="4" t="n"/>
      <c r="CQ1444" s="4" t="n"/>
      <c r="CR1444" s="4" t="n"/>
      <c r="CS1444" s="4" t="n"/>
      <c r="CT1444" s="4" t="n"/>
      <c r="CU1444" s="4" t="n"/>
      <c r="CV1444" s="4" t="n"/>
      <c r="CW1444" s="4" t="n"/>
      <c r="CX1444" s="4" t="n"/>
      <c r="CY1444" s="4" t="n"/>
      <c r="CZ1444" s="4" t="n"/>
      <c r="DA1444" s="4" t="n"/>
      <c r="DB1444" s="4" t="n"/>
      <c r="DC1444" s="4" t="n"/>
      <c r="DD1444" s="4" t="n"/>
      <c r="DE1444" s="4" t="n"/>
      <c r="DF1444" s="4" t="n"/>
      <c r="DG1444" s="4" t="n"/>
      <c r="DH1444" s="4" t="n"/>
      <c r="DI1444" s="4" t="n"/>
      <c r="DJ1444" s="4" t="n"/>
      <c r="DK1444" s="4" t="n"/>
      <c r="DL1444" s="4" t="n"/>
      <c r="DM1444" s="4" t="n"/>
      <c r="DN1444" s="4" t="n"/>
      <c r="DO1444" s="4" t="n"/>
      <c r="DP1444" s="4" t="n"/>
      <c r="DQ1444" s="4" t="n"/>
      <c r="DR1444" s="4" t="n"/>
      <c r="DS1444" s="4" t="n"/>
      <c r="DT1444" s="4" t="n"/>
      <c r="DU1444" s="4" t="n"/>
      <c r="DV1444" s="4" t="n"/>
      <c r="DW1444" s="4" t="n"/>
      <c r="DX1444" s="4" t="n"/>
      <c r="DY1444" s="4" t="n"/>
      <c r="DZ1444" s="4" t="n"/>
      <c r="EA1444" s="4" t="n"/>
      <c r="EB1444" s="4" t="n"/>
      <c r="EC1444" s="4" t="n"/>
      <c r="ED1444" s="4" t="n"/>
      <c r="EE1444" s="4" t="n"/>
      <c r="EF1444" s="4" t="n"/>
      <c r="EG1444" s="4" t="n"/>
      <c r="EH1444" s="4" t="n"/>
      <c r="EI1444" s="4" t="n"/>
      <c r="EJ1444" s="4" t="n"/>
      <c r="EK1444" s="4" t="n"/>
      <c r="EL1444" s="4" t="n"/>
      <c r="EM1444" s="4" t="n"/>
      <c r="EN1444" s="4" t="n"/>
      <c r="EO1444" s="4" t="n"/>
      <c r="EP1444" s="4" t="n"/>
      <c r="EQ1444" s="4" t="n"/>
      <c r="ER1444" s="4" t="n"/>
      <c r="ES1444" s="4" t="n"/>
      <c r="ET1444" s="4" t="n"/>
      <c r="EU1444" s="4" t="n"/>
      <c r="EV1444" s="4" t="n"/>
      <c r="EW1444" s="4" t="n"/>
      <c r="EX1444" s="4" t="n"/>
      <c r="EY1444" s="4" t="n"/>
      <c r="EZ1444" s="4" t="n"/>
      <c r="FA1444" s="4" t="n"/>
      <c r="FB1444" s="4" t="n"/>
      <c r="FC1444" s="4" t="n"/>
    </row>
    <row r="1445" hidden="1" customFormat="1" s="6">
      <c r="C1445" s="4" t="n"/>
      <c r="D1445" s="4" t="n"/>
      <c r="E1445" s="4" t="n"/>
      <c r="F1445" s="4" t="n"/>
      <c r="G1445" s="4" t="n"/>
      <c r="H1445" s="4" t="n"/>
      <c r="I1445" s="4" t="n"/>
      <c r="J1445" s="4" t="n"/>
      <c r="K1445" s="4" t="n"/>
      <c r="L1445" s="4" t="n"/>
      <c r="M1445" s="4" t="n"/>
      <c r="N1445" s="4" t="n"/>
      <c r="O1445" s="4" t="n"/>
      <c r="P1445" s="4" t="n"/>
      <c r="Q1445" s="4" t="n"/>
      <c r="R1445" s="4" t="n"/>
      <c r="S1445" s="4" t="n"/>
      <c r="T1445" s="4" t="n"/>
      <c r="U1445" s="4" t="n"/>
      <c r="V1445" s="4" t="n"/>
      <c r="W1445" s="4" t="n"/>
      <c r="X1445" s="4" t="n"/>
      <c r="Y1445" s="4" t="n"/>
      <c r="Z1445" s="4" t="n"/>
      <c r="AA1445" s="4" t="n"/>
      <c r="AB1445" s="4" t="n"/>
      <c r="AC1445" s="4" t="n"/>
      <c r="AD1445" s="4" t="n"/>
      <c r="AE1445" s="4" t="n"/>
      <c r="AF1445" s="4" t="n"/>
      <c r="AG1445" s="4" t="n"/>
      <c r="AH1445" s="4" t="n"/>
      <c r="AI1445" s="4" t="n"/>
      <c r="AJ1445" s="4" t="n"/>
      <c r="AK1445" s="4" t="n"/>
      <c r="AL1445" s="4" t="n"/>
      <c r="AM1445" s="4" t="n"/>
      <c r="AN1445" s="4" t="n"/>
      <c r="AO1445" s="4" t="n"/>
      <c r="AP1445" s="4" t="n"/>
      <c r="AQ1445" s="4" t="n"/>
      <c r="AR1445" s="4" t="n"/>
      <c r="AS1445" s="4" t="n"/>
      <c r="AT1445" s="4" t="n"/>
      <c r="AU1445" s="4" t="n"/>
      <c r="AV1445" s="4" t="n"/>
      <c r="AW1445" s="4" t="n"/>
      <c r="AX1445" s="4" t="n"/>
      <c r="AY1445" s="4" t="n"/>
      <c r="AZ1445" s="4" t="n"/>
      <c r="BA1445" s="4" t="n"/>
      <c r="BB1445" s="4" t="n"/>
      <c r="BC1445" s="4" t="n"/>
      <c r="BD1445" s="4" t="n"/>
      <c r="BE1445" s="4" t="n"/>
      <c r="BF1445" s="4" t="n"/>
      <c r="BG1445" s="4" t="n"/>
      <c r="BH1445" s="4" t="n"/>
      <c r="BI1445" s="4" t="n"/>
      <c r="BJ1445" s="4" t="n"/>
      <c r="BK1445" s="4" t="n"/>
      <c r="BL1445" s="4" t="n"/>
      <c r="BM1445" s="4" t="n"/>
      <c r="BN1445" s="4" t="n"/>
      <c r="BO1445" s="4" t="n"/>
      <c r="BP1445" s="4" t="n"/>
      <c r="BQ1445" s="4" t="n"/>
      <c r="BR1445" s="4" t="n"/>
      <c r="BS1445" s="4" t="n"/>
      <c r="BT1445" s="4" t="n"/>
      <c r="BU1445" s="4" t="n"/>
      <c r="BV1445" s="4" t="n"/>
      <c r="BW1445" s="4" t="n"/>
      <c r="BX1445" s="4" t="n"/>
      <c r="BY1445" s="4" t="n"/>
      <c r="BZ1445" s="4" t="n"/>
      <c r="CA1445" s="4" t="n"/>
      <c r="CB1445" s="4" t="n"/>
      <c r="CC1445" s="4" t="n"/>
      <c r="CD1445" s="4" t="n"/>
      <c r="CE1445" s="4" t="n"/>
      <c r="CF1445" s="4" t="n"/>
      <c r="CG1445" s="4" t="n"/>
      <c r="CH1445" s="4" t="n"/>
      <c r="CI1445" s="4" t="n"/>
      <c r="CJ1445" s="4" t="n"/>
      <c r="CK1445" s="4" t="n"/>
      <c r="CL1445" s="4" t="n"/>
      <c r="CM1445" s="4" t="n"/>
      <c r="CN1445" s="4" t="n"/>
      <c r="CO1445" s="4" t="n"/>
      <c r="CP1445" s="4" t="n"/>
      <c r="CQ1445" s="4" t="n"/>
      <c r="CR1445" s="4" t="n"/>
      <c r="CS1445" s="4" t="n"/>
      <c r="CT1445" s="4" t="n"/>
      <c r="CU1445" s="4" t="n"/>
      <c r="CV1445" s="4" t="n"/>
      <c r="CW1445" s="4" t="n"/>
      <c r="CX1445" s="4" t="n"/>
      <c r="CY1445" s="4" t="n"/>
      <c r="CZ1445" s="4" t="n"/>
      <c r="DA1445" s="4" t="n"/>
      <c r="DB1445" s="4" t="n"/>
      <c r="DC1445" s="4" t="n"/>
      <c r="DD1445" s="4" t="n"/>
      <c r="DE1445" s="4" t="n"/>
      <c r="DF1445" s="4" t="n"/>
      <c r="DG1445" s="4" t="n"/>
      <c r="DH1445" s="4" t="n"/>
      <c r="DI1445" s="4" t="n"/>
      <c r="DJ1445" s="4" t="n"/>
      <c r="DK1445" s="4" t="n"/>
      <c r="DL1445" s="4" t="n"/>
      <c r="DM1445" s="4" t="n"/>
      <c r="DN1445" s="4" t="n"/>
      <c r="DO1445" s="4" t="n"/>
      <c r="DP1445" s="4" t="n"/>
      <c r="DQ1445" s="4" t="n"/>
      <c r="DR1445" s="4" t="n"/>
      <c r="DS1445" s="4" t="n"/>
      <c r="DT1445" s="4" t="n"/>
      <c r="DU1445" s="4" t="n"/>
      <c r="DV1445" s="4" t="n"/>
      <c r="DW1445" s="4" t="n"/>
      <c r="DX1445" s="4" t="n"/>
      <c r="DY1445" s="4" t="n"/>
      <c r="DZ1445" s="4" t="n"/>
      <c r="EA1445" s="4" t="n"/>
      <c r="EB1445" s="4" t="n"/>
      <c r="EC1445" s="4" t="n"/>
      <c r="ED1445" s="4" t="n"/>
      <c r="EE1445" s="4" t="n"/>
      <c r="EF1445" s="4" t="n"/>
      <c r="EG1445" s="4" t="n"/>
      <c r="EH1445" s="4" t="n"/>
      <c r="EI1445" s="4" t="n"/>
      <c r="EJ1445" s="4" t="n"/>
      <c r="EK1445" s="4" t="n"/>
      <c r="EL1445" s="4" t="n"/>
      <c r="EM1445" s="4" t="n"/>
      <c r="EN1445" s="4" t="n"/>
      <c r="EO1445" s="4" t="n"/>
      <c r="EP1445" s="4" t="n"/>
      <c r="EQ1445" s="4" t="n"/>
      <c r="ER1445" s="4" t="n"/>
      <c r="ES1445" s="4" t="n"/>
      <c r="ET1445" s="4" t="n"/>
      <c r="EU1445" s="4" t="n"/>
      <c r="EV1445" s="4" t="n"/>
      <c r="EW1445" s="4" t="n"/>
      <c r="EX1445" s="4" t="n"/>
      <c r="EY1445" s="4" t="n"/>
      <c r="EZ1445" s="4" t="n"/>
      <c r="FA1445" s="4" t="n"/>
      <c r="FB1445" s="4" t="n"/>
      <c r="FC1445" s="4" t="n"/>
    </row>
    <row r="1446" hidden="1" customFormat="1" s="6">
      <c r="C1446" s="4" t="n"/>
      <c r="D1446" s="4" t="n"/>
      <c r="E1446" s="4" t="n"/>
      <c r="F1446" s="4" t="n"/>
      <c r="G1446" s="4" t="n"/>
      <c r="H1446" s="4" t="n"/>
      <c r="I1446" s="4" t="n"/>
      <c r="J1446" s="4" t="n"/>
      <c r="K1446" s="4" t="n"/>
      <c r="L1446" s="4" t="n"/>
      <c r="M1446" s="4" t="n"/>
      <c r="N1446" s="4" t="n"/>
      <c r="O1446" s="4" t="n"/>
      <c r="P1446" s="4" t="n"/>
      <c r="Q1446" s="4" t="n"/>
      <c r="R1446" s="4" t="n"/>
      <c r="S1446" s="4" t="n"/>
      <c r="T1446" s="4" t="n"/>
      <c r="U1446" s="4" t="n"/>
      <c r="V1446" s="4" t="n"/>
      <c r="W1446" s="4" t="n"/>
      <c r="X1446" s="4" t="n"/>
      <c r="Y1446" s="4" t="n"/>
      <c r="Z1446" s="4" t="n"/>
      <c r="AA1446" s="4" t="n"/>
      <c r="AB1446" s="4" t="n"/>
      <c r="AC1446" s="4" t="n"/>
      <c r="AD1446" s="4" t="n"/>
      <c r="AE1446" s="4" t="n"/>
      <c r="AF1446" s="4" t="n"/>
      <c r="AG1446" s="4" t="n"/>
      <c r="AH1446" s="4" t="n"/>
      <c r="AI1446" s="4" t="n"/>
      <c r="AJ1446" s="4" t="n"/>
      <c r="AK1446" s="4" t="n"/>
      <c r="AL1446" s="4" t="n"/>
      <c r="AM1446" s="4" t="n"/>
      <c r="AN1446" s="4" t="n"/>
      <c r="AO1446" s="4" t="n"/>
      <c r="AP1446" s="4" t="n"/>
      <c r="AQ1446" s="4" t="n"/>
      <c r="AR1446" s="4" t="n"/>
      <c r="AS1446" s="4" t="n"/>
      <c r="AT1446" s="4" t="n"/>
      <c r="AU1446" s="4" t="n"/>
      <c r="AV1446" s="4" t="n"/>
      <c r="AW1446" s="4" t="n"/>
      <c r="AX1446" s="4" t="n"/>
      <c r="AY1446" s="4" t="n"/>
      <c r="AZ1446" s="4" t="n"/>
      <c r="BA1446" s="4" t="n"/>
      <c r="BB1446" s="4" t="n"/>
      <c r="BC1446" s="4" t="n"/>
      <c r="BD1446" s="4" t="n"/>
      <c r="BE1446" s="4" t="n"/>
      <c r="BF1446" s="4" t="n"/>
      <c r="BG1446" s="4" t="n"/>
      <c r="BH1446" s="4" t="n"/>
      <c r="BI1446" s="4" t="n"/>
      <c r="BJ1446" s="4" t="n"/>
      <c r="BK1446" s="4" t="n"/>
      <c r="BL1446" s="4" t="n"/>
      <c r="BM1446" s="4" t="n"/>
      <c r="BN1446" s="4" t="n"/>
      <c r="BO1446" s="4" t="n"/>
      <c r="BP1446" s="4" t="n"/>
      <c r="BQ1446" s="4" t="n"/>
      <c r="BR1446" s="4" t="n"/>
      <c r="BS1446" s="4" t="n"/>
      <c r="BT1446" s="4" t="n"/>
      <c r="BU1446" s="4" t="n"/>
      <c r="BV1446" s="4" t="n"/>
      <c r="BW1446" s="4" t="n"/>
      <c r="BX1446" s="4" t="n"/>
      <c r="BY1446" s="4" t="n"/>
      <c r="BZ1446" s="4" t="n"/>
      <c r="CA1446" s="4" t="n"/>
      <c r="CB1446" s="4" t="n"/>
      <c r="CC1446" s="4" t="n"/>
      <c r="CD1446" s="4" t="n"/>
      <c r="CE1446" s="4" t="n"/>
      <c r="CF1446" s="4" t="n"/>
      <c r="CG1446" s="4" t="n"/>
      <c r="CH1446" s="4" t="n"/>
      <c r="CI1446" s="4" t="n"/>
      <c r="CJ1446" s="4" t="n"/>
      <c r="CK1446" s="4" t="n"/>
      <c r="CL1446" s="4" t="n"/>
      <c r="CM1446" s="4" t="n"/>
      <c r="CN1446" s="4" t="n"/>
      <c r="CO1446" s="4" t="n"/>
      <c r="CP1446" s="4" t="n"/>
      <c r="CQ1446" s="4" t="n"/>
      <c r="CR1446" s="4" t="n"/>
      <c r="CS1446" s="4" t="n"/>
      <c r="CT1446" s="4" t="n"/>
      <c r="CU1446" s="4" t="n"/>
      <c r="CV1446" s="4" t="n"/>
      <c r="CW1446" s="4" t="n"/>
      <c r="CX1446" s="4" t="n"/>
      <c r="CY1446" s="4" t="n"/>
      <c r="CZ1446" s="4" t="n"/>
      <c r="DA1446" s="4" t="n"/>
      <c r="DB1446" s="4" t="n"/>
      <c r="DC1446" s="4" t="n"/>
      <c r="DD1446" s="4" t="n"/>
      <c r="DE1446" s="4" t="n"/>
      <c r="DF1446" s="4" t="n"/>
      <c r="DG1446" s="4" t="n"/>
      <c r="DH1446" s="4" t="n"/>
      <c r="DI1446" s="4" t="n"/>
      <c r="DJ1446" s="4" t="n"/>
      <c r="DK1446" s="4" t="n"/>
      <c r="DL1446" s="4" t="n"/>
      <c r="DM1446" s="4" t="n"/>
      <c r="DN1446" s="4" t="n"/>
      <c r="DO1446" s="4" t="n"/>
      <c r="DP1446" s="4" t="n"/>
      <c r="DQ1446" s="4" t="n"/>
      <c r="DR1446" s="4" t="n"/>
      <c r="DS1446" s="4" t="n"/>
      <c r="DT1446" s="4" t="n"/>
      <c r="DU1446" s="4" t="n"/>
      <c r="DV1446" s="4" t="n"/>
      <c r="DW1446" s="4" t="n"/>
      <c r="DX1446" s="4" t="n"/>
      <c r="DY1446" s="4" t="n"/>
      <c r="DZ1446" s="4" t="n"/>
      <c r="EA1446" s="4" t="n"/>
      <c r="EB1446" s="4" t="n"/>
      <c r="EC1446" s="4" t="n"/>
      <c r="ED1446" s="4" t="n"/>
      <c r="EE1446" s="4" t="n"/>
      <c r="EF1446" s="4" t="n"/>
      <c r="EG1446" s="4" t="n"/>
      <c r="EH1446" s="4" t="n"/>
      <c r="EI1446" s="4" t="n"/>
      <c r="EJ1446" s="4" t="n"/>
      <c r="EK1446" s="4" t="n"/>
      <c r="EL1446" s="4" t="n"/>
      <c r="EM1446" s="4" t="n"/>
      <c r="EN1446" s="4" t="n"/>
      <c r="EO1446" s="4" t="n"/>
      <c r="EP1446" s="4" t="n"/>
      <c r="EQ1446" s="4" t="n"/>
      <c r="ER1446" s="4" t="n"/>
      <c r="ES1446" s="4" t="n"/>
      <c r="ET1446" s="4" t="n"/>
      <c r="EU1446" s="4" t="n"/>
      <c r="EV1446" s="4" t="n"/>
      <c r="EW1446" s="4" t="n"/>
      <c r="EX1446" s="4" t="n"/>
      <c r="EY1446" s="4" t="n"/>
      <c r="EZ1446" s="4" t="n"/>
      <c r="FA1446" s="4" t="n"/>
      <c r="FB1446" s="4" t="n"/>
      <c r="FC1446" s="4" t="n"/>
    </row>
    <row r="1447" hidden="1" customFormat="1" s="6">
      <c r="C1447" s="4" t="n"/>
      <c r="D1447" s="4" t="n"/>
      <c r="E1447" s="4" t="n"/>
      <c r="F1447" s="4" t="n"/>
      <c r="G1447" s="4" t="n"/>
      <c r="H1447" s="4" t="n"/>
      <c r="I1447" s="4" t="n"/>
      <c r="J1447" s="4" t="n"/>
      <c r="K1447" s="4" t="n"/>
      <c r="L1447" s="4" t="n"/>
      <c r="M1447" s="4" t="n"/>
      <c r="N1447" s="4" t="n"/>
      <c r="O1447" s="4" t="n"/>
      <c r="P1447" s="4" t="n"/>
      <c r="Q1447" s="4" t="n"/>
      <c r="R1447" s="4" t="n"/>
      <c r="S1447" s="4" t="n"/>
      <c r="T1447" s="4" t="n"/>
      <c r="U1447" s="4" t="n"/>
      <c r="V1447" s="4" t="n"/>
      <c r="W1447" s="4" t="n"/>
      <c r="X1447" s="4" t="n"/>
      <c r="Y1447" s="4" t="n"/>
      <c r="Z1447" s="4" t="n"/>
      <c r="AA1447" s="4" t="n"/>
      <c r="AB1447" s="4" t="n"/>
      <c r="AC1447" s="4" t="n"/>
      <c r="AD1447" s="4" t="n"/>
      <c r="AE1447" s="4" t="n"/>
      <c r="AF1447" s="4" t="n"/>
      <c r="AG1447" s="4" t="n"/>
      <c r="AH1447" s="4" t="n"/>
      <c r="AI1447" s="4" t="n"/>
      <c r="AJ1447" s="4" t="n"/>
      <c r="AK1447" s="4" t="n"/>
      <c r="AL1447" s="4" t="n"/>
      <c r="AM1447" s="4" t="n"/>
      <c r="AN1447" s="4" t="n"/>
      <c r="AO1447" s="4" t="n"/>
      <c r="AP1447" s="4" t="n"/>
      <c r="AQ1447" s="4" t="n"/>
      <c r="AR1447" s="4" t="n"/>
      <c r="AS1447" s="4" t="n"/>
      <c r="AT1447" s="4" t="n"/>
      <c r="AU1447" s="4" t="n"/>
      <c r="AV1447" s="4" t="n"/>
      <c r="AW1447" s="4" t="n"/>
      <c r="AX1447" s="4" t="n"/>
      <c r="AY1447" s="4" t="n"/>
      <c r="AZ1447" s="4" t="n"/>
      <c r="BA1447" s="4" t="n"/>
      <c r="BB1447" s="4" t="n"/>
      <c r="BC1447" s="4" t="n"/>
      <c r="BD1447" s="4" t="n"/>
      <c r="BE1447" s="4" t="n"/>
      <c r="BF1447" s="4" t="n"/>
      <c r="BG1447" s="4" t="n"/>
      <c r="BH1447" s="4" t="n"/>
      <c r="BI1447" s="4" t="n"/>
      <c r="BJ1447" s="4" t="n"/>
      <c r="BK1447" s="4" t="n"/>
      <c r="BL1447" s="4" t="n"/>
      <c r="BM1447" s="4" t="n"/>
      <c r="BN1447" s="4" t="n"/>
      <c r="BO1447" s="4" t="n"/>
      <c r="BP1447" s="4" t="n"/>
      <c r="BQ1447" s="4" t="n"/>
      <c r="BR1447" s="4" t="n"/>
      <c r="BS1447" s="4" t="n"/>
      <c r="BT1447" s="4" t="n"/>
      <c r="BU1447" s="4" t="n"/>
      <c r="BV1447" s="4" t="n"/>
      <c r="BW1447" s="4" t="n"/>
      <c r="BX1447" s="4" t="n"/>
      <c r="BY1447" s="4" t="n"/>
      <c r="BZ1447" s="4" t="n"/>
      <c r="CA1447" s="4" t="n"/>
      <c r="CB1447" s="4" t="n"/>
      <c r="CC1447" s="4" t="n"/>
      <c r="CD1447" s="4" t="n"/>
      <c r="CE1447" s="4" t="n"/>
      <c r="CF1447" s="4" t="n"/>
      <c r="CG1447" s="4" t="n"/>
      <c r="CH1447" s="4" t="n"/>
      <c r="CI1447" s="4" t="n"/>
      <c r="CJ1447" s="4" t="n"/>
      <c r="CK1447" s="4" t="n"/>
      <c r="CL1447" s="4" t="n"/>
      <c r="CM1447" s="4" t="n"/>
      <c r="CN1447" s="4" t="n"/>
      <c r="CO1447" s="4" t="n"/>
      <c r="CP1447" s="4" t="n"/>
      <c r="CQ1447" s="4" t="n"/>
      <c r="CR1447" s="4" t="n"/>
      <c r="CS1447" s="4" t="n"/>
      <c r="CT1447" s="4" t="n"/>
      <c r="CU1447" s="4" t="n"/>
      <c r="CV1447" s="4" t="n"/>
      <c r="CW1447" s="4" t="n"/>
      <c r="CX1447" s="4" t="n"/>
      <c r="CY1447" s="4" t="n"/>
      <c r="CZ1447" s="4" t="n"/>
      <c r="DA1447" s="4" t="n"/>
      <c r="DB1447" s="4" t="n"/>
      <c r="DC1447" s="4" t="n"/>
      <c r="DD1447" s="4" t="n"/>
      <c r="DE1447" s="4" t="n"/>
      <c r="DF1447" s="4" t="n"/>
      <c r="DG1447" s="4" t="n"/>
      <c r="DH1447" s="4" t="n"/>
      <c r="DI1447" s="4" t="n"/>
      <c r="DJ1447" s="4" t="n"/>
      <c r="DK1447" s="4" t="n"/>
      <c r="DL1447" s="4" t="n"/>
      <c r="DM1447" s="4" t="n"/>
      <c r="DN1447" s="4" t="n"/>
      <c r="DO1447" s="4" t="n"/>
      <c r="DP1447" s="4" t="n"/>
      <c r="DQ1447" s="4" t="n"/>
      <c r="DR1447" s="4" t="n"/>
      <c r="DS1447" s="4" t="n"/>
      <c r="DT1447" s="4" t="n"/>
      <c r="DU1447" s="4" t="n"/>
      <c r="DV1447" s="4" t="n"/>
      <c r="DW1447" s="4" t="n"/>
      <c r="DX1447" s="4" t="n"/>
      <c r="DY1447" s="4" t="n"/>
      <c r="DZ1447" s="4" t="n"/>
      <c r="EA1447" s="4" t="n"/>
      <c r="EB1447" s="4" t="n"/>
      <c r="EC1447" s="4" t="n"/>
      <c r="ED1447" s="4" t="n"/>
      <c r="EE1447" s="4" t="n"/>
      <c r="EF1447" s="4" t="n"/>
      <c r="EG1447" s="4" t="n"/>
      <c r="EH1447" s="4" t="n"/>
      <c r="EI1447" s="4" t="n"/>
      <c r="EJ1447" s="4" t="n"/>
      <c r="EK1447" s="4" t="n"/>
      <c r="EL1447" s="4" t="n"/>
      <c r="EM1447" s="4" t="n"/>
      <c r="EN1447" s="4" t="n"/>
      <c r="EO1447" s="4" t="n"/>
      <c r="EP1447" s="4" t="n"/>
      <c r="EQ1447" s="4" t="n"/>
      <c r="ER1447" s="4" t="n"/>
      <c r="ES1447" s="4" t="n"/>
      <c r="ET1447" s="4" t="n"/>
      <c r="EU1447" s="4" t="n"/>
      <c r="EV1447" s="4" t="n"/>
      <c r="EW1447" s="4" t="n"/>
      <c r="EX1447" s="4" t="n"/>
      <c r="EY1447" s="4" t="n"/>
      <c r="EZ1447" s="4" t="n"/>
      <c r="FA1447" s="4" t="n"/>
      <c r="FB1447" s="4" t="n"/>
      <c r="FC1447" s="4" t="n"/>
    </row>
    <row r="1448" hidden="1" customFormat="1" s="6">
      <c r="C1448" s="4" t="n"/>
      <c r="D1448" s="4" t="n"/>
      <c r="E1448" s="4" t="n"/>
      <c r="F1448" s="4" t="n"/>
      <c r="G1448" s="4" t="n"/>
      <c r="H1448" s="4" t="n"/>
      <c r="I1448" s="4" t="n"/>
      <c r="J1448" s="4" t="n"/>
      <c r="K1448" s="4" t="n"/>
      <c r="L1448" s="4" t="n"/>
      <c r="M1448" s="4" t="n"/>
      <c r="N1448" s="4" t="n"/>
      <c r="O1448" s="4" t="n"/>
      <c r="P1448" s="4" t="n"/>
      <c r="Q1448" s="4" t="n"/>
      <c r="R1448" s="4" t="n"/>
      <c r="S1448" s="4" t="n"/>
      <c r="T1448" s="4" t="n"/>
      <c r="U1448" s="4" t="n"/>
      <c r="V1448" s="4" t="n"/>
      <c r="W1448" s="4" t="n"/>
      <c r="X1448" s="4" t="n"/>
      <c r="Y1448" s="4" t="n"/>
      <c r="Z1448" s="4" t="n"/>
      <c r="AA1448" s="4" t="n"/>
      <c r="AB1448" s="4" t="n"/>
      <c r="AC1448" s="4" t="n"/>
      <c r="AD1448" s="4" t="n"/>
      <c r="AE1448" s="4" t="n"/>
      <c r="AF1448" s="4" t="n"/>
      <c r="AG1448" s="4" t="n"/>
      <c r="AH1448" s="4" t="n"/>
      <c r="AI1448" s="4" t="n"/>
      <c r="AJ1448" s="4" t="n"/>
      <c r="AK1448" s="4" t="n"/>
      <c r="AL1448" s="4" t="n"/>
      <c r="AM1448" s="4" t="n"/>
      <c r="AN1448" s="4" t="n"/>
      <c r="AO1448" s="4" t="n"/>
      <c r="AP1448" s="4" t="n"/>
      <c r="AQ1448" s="4" t="n"/>
      <c r="AR1448" s="4" t="n"/>
      <c r="AS1448" s="4" t="n"/>
      <c r="AT1448" s="4" t="n"/>
      <c r="AU1448" s="4" t="n"/>
      <c r="AV1448" s="4" t="n"/>
      <c r="AW1448" s="4" t="n"/>
      <c r="AX1448" s="4" t="n"/>
      <c r="AY1448" s="4" t="n"/>
      <c r="AZ1448" s="4" t="n"/>
      <c r="BA1448" s="4" t="n"/>
      <c r="BB1448" s="4" t="n"/>
      <c r="BC1448" s="4" t="n"/>
      <c r="BD1448" s="4" t="n"/>
      <c r="BE1448" s="4" t="n"/>
      <c r="BF1448" s="4" t="n"/>
      <c r="BG1448" s="4" t="n"/>
      <c r="BH1448" s="4" t="n"/>
      <c r="BI1448" s="4" t="n"/>
      <c r="BJ1448" s="4" t="n"/>
      <c r="BK1448" s="4" t="n"/>
      <c r="BL1448" s="4" t="n"/>
      <c r="BM1448" s="4" t="n"/>
      <c r="BN1448" s="4" t="n"/>
      <c r="BO1448" s="4" t="n"/>
      <c r="BP1448" s="4" t="n"/>
      <c r="BQ1448" s="4" t="n"/>
      <c r="BR1448" s="4" t="n"/>
      <c r="BS1448" s="4" t="n"/>
      <c r="BT1448" s="4" t="n"/>
      <c r="BU1448" s="4" t="n"/>
      <c r="BV1448" s="4" t="n"/>
      <c r="BW1448" s="4" t="n"/>
      <c r="BX1448" s="4" t="n"/>
      <c r="BY1448" s="4" t="n"/>
      <c r="BZ1448" s="4" t="n"/>
      <c r="CA1448" s="4" t="n"/>
      <c r="CB1448" s="4" t="n"/>
      <c r="CC1448" s="4" t="n"/>
      <c r="CD1448" s="4" t="n"/>
      <c r="CE1448" s="4" t="n"/>
      <c r="CF1448" s="4" t="n"/>
      <c r="CG1448" s="4" t="n"/>
      <c r="CH1448" s="4" t="n"/>
      <c r="CI1448" s="4" t="n"/>
      <c r="CJ1448" s="4" t="n"/>
      <c r="CK1448" s="4" t="n"/>
      <c r="CL1448" s="4" t="n"/>
      <c r="CM1448" s="4" t="n"/>
      <c r="CN1448" s="4" t="n"/>
      <c r="CO1448" s="4" t="n"/>
      <c r="CP1448" s="4" t="n"/>
      <c r="CQ1448" s="4" t="n"/>
      <c r="CR1448" s="4" t="n"/>
      <c r="CS1448" s="4" t="n"/>
      <c r="CT1448" s="4" t="n"/>
      <c r="CU1448" s="4" t="n"/>
      <c r="CV1448" s="4" t="n"/>
      <c r="CW1448" s="4" t="n"/>
      <c r="CX1448" s="4" t="n"/>
      <c r="CY1448" s="4" t="n"/>
      <c r="CZ1448" s="4" t="n"/>
      <c r="DA1448" s="4" t="n"/>
      <c r="DB1448" s="4" t="n"/>
      <c r="DC1448" s="4" t="n"/>
      <c r="DD1448" s="4" t="n"/>
      <c r="DE1448" s="4" t="n"/>
      <c r="DF1448" s="4" t="n"/>
      <c r="DG1448" s="4" t="n"/>
      <c r="DH1448" s="4" t="n"/>
      <c r="DI1448" s="4" t="n"/>
      <c r="DJ1448" s="4" t="n"/>
      <c r="DK1448" s="4" t="n"/>
      <c r="DL1448" s="4" t="n"/>
      <c r="DM1448" s="4" t="n"/>
      <c r="DN1448" s="4" t="n"/>
      <c r="DO1448" s="4" t="n"/>
      <c r="DP1448" s="4" t="n"/>
      <c r="DQ1448" s="4" t="n"/>
      <c r="DR1448" s="4" t="n"/>
      <c r="DS1448" s="4" t="n"/>
      <c r="DT1448" s="4" t="n"/>
      <c r="DU1448" s="4" t="n"/>
      <c r="DV1448" s="4" t="n"/>
      <c r="DW1448" s="4" t="n"/>
      <c r="DX1448" s="4" t="n"/>
      <c r="DY1448" s="4" t="n"/>
      <c r="DZ1448" s="4" t="n"/>
      <c r="EA1448" s="4" t="n"/>
      <c r="EB1448" s="4" t="n"/>
      <c r="EC1448" s="4" t="n"/>
      <c r="ED1448" s="4" t="n"/>
      <c r="EE1448" s="4" t="n"/>
      <c r="EF1448" s="4" t="n"/>
      <c r="EG1448" s="4" t="n"/>
      <c r="EH1448" s="4" t="n"/>
      <c r="EI1448" s="4" t="n"/>
      <c r="EJ1448" s="4" t="n"/>
      <c r="EK1448" s="4" t="n"/>
      <c r="EL1448" s="4" t="n"/>
      <c r="EM1448" s="4" t="n"/>
      <c r="EN1448" s="4" t="n"/>
      <c r="EO1448" s="4" t="n"/>
      <c r="EP1448" s="4" t="n"/>
      <c r="EQ1448" s="4" t="n"/>
      <c r="ER1448" s="4" t="n"/>
      <c r="ES1448" s="4" t="n"/>
      <c r="ET1448" s="4" t="n"/>
      <c r="EU1448" s="4" t="n"/>
      <c r="EV1448" s="4" t="n"/>
      <c r="EW1448" s="4" t="n"/>
      <c r="EX1448" s="4" t="n"/>
      <c r="EY1448" s="4" t="n"/>
      <c r="EZ1448" s="4" t="n"/>
      <c r="FA1448" s="4" t="n"/>
      <c r="FB1448" s="4" t="n"/>
      <c r="FC1448" s="4" t="n"/>
    </row>
    <row r="1449" hidden="1" customFormat="1" s="6">
      <c r="C1449" s="4" t="n"/>
      <c r="D1449" s="4" t="n"/>
      <c r="E1449" s="4" t="n"/>
      <c r="F1449" s="4" t="n"/>
      <c r="G1449" s="4" t="n"/>
      <c r="H1449" s="4" t="n"/>
      <c r="I1449" s="4" t="n"/>
      <c r="J1449" s="4" t="n"/>
      <c r="K1449" s="4" t="n"/>
      <c r="L1449" s="4" t="n"/>
      <c r="M1449" s="4" t="n"/>
      <c r="N1449" s="4" t="n"/>
      <c r="O1449" s="4" t="n"/>
      <c r="P1449" s="4" t="n"/>
      <c r="Q1449" s="4" t="n"/>
      <c r="R1449" s="4" t="n"/>
      <c r="S1449" s="4" t="n"/>
      <c r="T1449" s="4" t="n"/>
      <c r="U1449" s="4" t="n"/>
      <c r="V1449" s="4" t="n"/>
      <c r="W1449" s="4" t="n"/>
      <c r="X1449" s="4" t="n"/>
      <c r="Y1449" s="4" t="n"/>
      <c r="Z1449" s="4" t="n"/>
      <c r="AA1449" s="4" t="n"/>
      <c r="AB1449" s="4" t="n"/>
      <c r="AC1449" s="4" t="n"/>
      <c r="AD1449" s="4" t="n"/>
      <c r="AE1449" s="4" t="n"/>
      <c r="AF1449" s="4" t="n"/>
      <c r="AG1449" s="4" t="n"/>
      <c r="AH1449" s="4" t="n"/>
      <c r="AI1449" s="4" t="n"/>
      <c r="AJ1449" s="4" t="n"/>
      <c r="AK1449" s="4" t="n"/>
      <c r="AL1449" s="4" t="n"/>
      <c r="AM1449" s="4" t="n"/>
      <c r="AN1449" s="4" t="n"/>
      <c r="AO1449" s="4" t="n"/>
      <c r="AP1449" s="4" t="n"/>
      <c r="AQ1449" s="4" t="n"/>
      <c r="AR1449" s="4" t="n"/>
      <c r="AS1449" s="4" t="n"/>
      <c r="AT1449" s="4" t="n"/>
      <c r="AU1449" s="4" t="n"/>
      <c r="AV1449" s="4" t="n"/>
      <c r="AW1449" s="4" t="n"/>
      <c r="AX1449" s="4" t="n"/>
      <c r="AY1449" s="4" t="n"/>
      <c r="AZ1449" s="4" t="n"/>
      <c r="BA1449" s="4" t="n"/>
      <c r="BB1449" s="4" t="n"/>
      <c r="BC1449" s="4" t="n"/>
      <c r="BD1449" s="4" t="n"/>
      <c r="BE1449" s="4" t="n"/>
      <c r="BF1449" s="4" t="n"/>
      <c r="BG1449" s="4" t="n"/>
      <c r="BH1449" s="4" t="n"/>
      <c r="BI1449" s="4" t="n"/>
      <c r="BJ1449" s="4" t="n"/>
      <c r="BK1449" s="4" t="n"/>
      <c r="BL1449" s="4" t="n"/>
      <c r="BM1449" s="4" t="n"/>
      <c r="BN1449" s="4" t="n"/>
      <c r="BO1449" s="4" t="n"/>
      <c r="BP1449" s="4" t="n"/>
      <c r="BQ1449" s="4" t="n"/>
      <c r="BR1449" s="4" t="n"/>
      <c r="BS1449" s="4" t="n"/>
      <c r="BT1449" s="4" t="n"/>
      <c r="BU1449" s="4" t="n"/>
      <c r="BV1449" s="4" t="n"/>
      <c r="BW1449" s="4" t="n"/>
      <c r="BX1449" s="4" t="n"/>
      <c r="BY1449" s="4" t="n"/>
      <c r="BZ1449" s="4" t="n"/>
      <c r="CA1449" s="4" t="n"/>
      <c r="CB1449" s="4" t="n"/>
      <c r="CC1449" s="4" t="n"/>
      <c r="CD1449" s="4" t="n"/>
      <c r="CE1449" s="4" t="n"/>
      <c r="CF1449" s="4" t="n"/>
      <c r="CG1449" s="4" t="n"/>
      <c r="CH1449" s="4" t="n"/>
      <c r="CI1449" s="4" t="n"/>
      <c r="CJ1449" s="4" t="n"/>
      <c r="CK1449" s="4" t="n"/>
      <c r="CL1449" s="4" t="n"/>
      <c r="CM1449" s="4" t="n"/>
      <c r="CN1449" s="4" t="n"/>
      <c r="CO1449" s="4" t="n"/>
      <c r="CP1449" s="4" t="n"/>
      <c r="CQ1449" s="4" t="n"/>
      <c r="CR1449" s="4" t="n"/>
      <c r="CS1449" s="4" t="n"/>
      <c r="CT1449" s="4" t="n"/>
      <c r="CU1449" s="4" t="n"/>
      <c r="CV1449" s="4" t="n"/>
      <c r="CW1449" s="4" t="n"/>
      <c r="CX1449" s="4" t="n"/>
      <c r="CY1449" s="4" t="n"/>
      <c r="CZ1449" s="4" t="n"/>
      <c r="DA1449" s="4" t="n"/>
      <c r="DB1449" s="4" t="n"/>
      <c r="DC1449" s="4" t="n"/>
      <c r="DD1449" s="4" t="n"/>
      <c r="DE1449" s="4" t="n"/>
      <c r="DF1449" s="4" t="n"/>
      <c r="DG1449" s="4" t="n"/>
      <c r="DH1449" s="4" t="n"/>
      <c r="DI1449" s="4" t="n"/>
      <c r="DJ1449" s="4" t="n"/>
      <c r="DK1449" s="4" t="n"/>
      <c r="DL1449" s="4" t="n"/>
      <c r="DM1449" s="4" t="n"/>
      <c r="DN1449" s="4" t="n"/>
      <c r="DO1449" s="4" t="n"/>
      <c r="DP1449" s="4" t="n"/>
      <c r="DQ1449" s="4" t="n"/>
      <c r="DR1449" s="4" t="n"/>
      <c r="DS1449" s="4" t="n"/>
      <c r="DT1449" s="4" t="n"/>
      <c r="DU1449" s="4" t="n"/>
      <c r="DV1449" s="4" t="n"/>
      <c r="DW1449" s="4" t="n"/>
      <c r="DX1449" s="4" t="n"/>
      <c r="DY1449" s="4" t="n"/>
      <c r="DZ1449" s="4" t="n"/>
      <c r="EA1449" s="4" t="n"/>
      <c r="EB1449" s="4" t="n"/>
      <c r="EC1449" s="4" t="n"/>
      <c r="ED1449" s="4" t="n"/>
      <c r="EE1449" s="4" t="n"/>
      <c r="EF1449" s="4" t="n"/>
      <c r="EG1449" s="4" t="n"/>
      <c r="EH1449" s="4" t="n"/>
      <c r="EI1449" s="4" t="n"/>
      <c r="EJ1449" s="4" t="n"/>
      <c r="EK1449" s="4" t="n"/>
      <c r="EL1449" s="4" t="n"/>
      <c r="EM1449" s="4" t="n"/>
      <c r="EN1449" s="4" t="n"/>
      <c r="EO1449" s="4" t="n"/>
      <c r="EP1449" s="4" t="n"/>
      <c r="EQ1449" s="4" t="n"/>
      <c r="ER1449" s="4" t="n"/>
      <c r="ES1449" s="4" t="n"/>
      <c r="ET1449" s="4" t="n"/>
      <c r="EU1449" s="4" t="n"/>
      <c r="EV1449" s="4" t="n"/>
      <c r="EW1449" s="4" t="n"/>
      <c r="EX1449" s="4" t="n"/>
      <c r="EY1449" s="4" t="n"/>
      <c r="EZ1449" s="4" t="n"/>
      <c r="FA1449" s="4" t="n"/>
      <c r="FB1449" s="4" t="n"/>
      <c r="FC1449" s="4" t="n"/>
    </row>
    <row r="1450" hidden="1" customFormat="1" s="6">
      <c r="C1450" s="4" t="n"/>
      <c r="D1450" s="4" t="n"/>
      <c r="E1450" s="4" t="n"/>
      <c r="F1450" s="4" t="n"/>
      <c r="G1450" s="4" t="n"/>
      <c r="H1450" s="4" t="n"/>
      <c r="I1450" s="4" t="n"/>
      <c r="J1450" s="4" t="n"/>
      <c r="K1450" s="4" t="n"/>
      <c r="L1450" s="4" t="n"/>
      <c r="M1450" s="4" t="n"/>
      <c r="N1450" s="4" t="n"/>
      <c r="O1450" s="4" t="n"/>
      <c r="P1450" s="4" t="n"/>
      <c r="Q1450" s="4" t="n"/>
      <c r="R1450" s="4" t="n"/>
      <c r="S1450" s="4" t="n"/>
      <c r="T1450" s="4" t="n"/>
      <c r="U1450" s="4" t="n"/>
      <c r="V1450" s="4" t="n"/>
      <c r="W1450" s="4" t="n"/>
      <c r="X1450" s="4" t="n"/>
      <c r="Y1450" s="4" t="n"/>
      <c r="Z1450" s="4" t="n"/>
      <c r="AA1450" s="4" t="n"/>
      <c r="AB1450" s="4" t="n"/>
      <c r="AC1450" s="4" t="n"/>
      <c r="AD1450" s="4" t="n"/>
      <c r="AE1450" s="4" t="n"/>
      <c r="AF1450" s="4" t="n"/>
      <c r="AG1450" s="4" t="n"/>
      <c r="AH1450" s="4" t="n"/>
      <c r="AI1450" s="4" t="n"/>
      <c r="AJ1450" s="4" t="n"/>
      <c r="AK1450" s="4" t="n"/>
      <c r="AL1450" s="4" t="n"/>
      <c r="AM1450" s="4" t="n"/>
      <c r="AN1450" s="4" t="n"/>
      <c r="AO1450" s="4" t="n"/>
      <c r="AP1450" s="4" t="n"/>
      <c r="AQ1450" s="4" t="n"/>
      <c r="AR1450" s="4" t="n"/>
      <c r="AS1450" s="4" t="n"/>
      <c r="AT1450" s="4" t="n"/>
      <c r="AU1450" s="4" t="n"/>
      <c r="AV1450" s="4" t="n"/>
      <c r="AW1450" s="4" t="n"/>
      <c r="AX1450" s="4" t="n"/>
      <c r="AY1450" s="4" t="n"/>
      <c r="AZ1450" s="4" t="n"/>
      <c r="BA1450" s="4" t="n"/>
      <c r="BB1450" s="4" t="n"/>
      <c r="BC1450" s="4" t="n"/>
      <c r="BD1450" s="4" t="n"/>
      <c r="BE1450" s="4" t="n"/>
      <c r="BF1450" s="4" t="n"/>
      <c r="BG1450" s="4" t="n"/>
      <c r="BH1450" s="4" t="n"/>
      <c r="BI1450" s="4" t="n"/>
      <c r="BJ1450" s="4" t="n"/>
      <c r="BK1450" s="4" t="n"/>
      <c r="BL1450" s="4" t="n"/>
      <c r="BM1450" s="4" t="n"/>
      <c r="BN1450" s="4" t="n"/>
      <c r="BO1450" s="4" t="n"/>
      <c r="BP1450" s="4" t="n"/>
      <c r="BQ1450" s="4" t="n"/>
      <c r="BR1450" s="4" t="n"/>
      <c r="BS1450" s="4" t="n"/>
      <c r="BT1450" s="4" t="n"/>
      <c r="BU1450" s="4" t="n"/>
      <c r="BV1450" s="4" t="n"/>
      <c r="BW1450" s="4" t="n"/>
      <c r="BX1450" s="4" t="n"/>
      <c r="BY1450" s="4" t="n"/>
      <c r="BZ1450" s="4" t="n"/>
      <c r="CA1450" s="4" t="n"/>
      <c r="CB1450" s="4" t="n"/>
      <c r="CC1450" s="4" t="n"/>
      <c r="CD1450" s="4" t="n"/>
      <c r="CE1450" s="4" t="n"/>
      <c r="CF1450" s="4" t="n"/>
      <c r="CG1450" s="4" t="n"/>
      <c r="CH1450" s="4" t="n"/>
      <c r="CI1450" s="4" t="n"/>
      <c r="CJ1450" s="4" t="n"/>
      <c r="CK1450" s="4" t="n"/>
      <c r="CL1450" s="4" t="n"/>
      <c r="CM1450" s="4" t="n"/>
      <c r="CN1450" s="4" t="n"/>
      <c r="CO1450" s="4" t="n"/>
      <c r="CP1450" s="4" t="n"/>
      <c r="CQ1450" s="4" t="n"/>
      <c r="CR1450" s="4" t="n"/>
      <c r="CS1450" s="4" t="n"/>
      <c r="CT1450" s="4" t="n"/>
      <c r="CU1450" s="4" t="n"/>
      <c r="CV1450" s="4" t="n"/>
      <c r="CW1450" s="4" t="n"/>
      <c r="CX1450" s="4" t="n"/>
      <c r="CY1450" s="4" t="n"/>
      <c r="CZ1450" s="4" t="n"/>
      <c r="DA1450" s="4" t="n"/>
      <c r="DB1450" s="4" t="n"/>
      <c r="DC1450" s="4" t="n"/>
      <c r="DD1450" s="4" t="n"/>
      <c r="DE1450" s="4" t="n"/>
      <c r="DF1450" s="4" t="n"/>
      <c r="DG1450" s="4" t="n"/>
      <c r="DH1450" s="4" t="n"/>
      <c r="DI1450" s="4" t="n"/>
      <c r="DJ1450" s="4" t="n"/>
      <c r="DK1450" s="4" t="n"/>
      <c r="DL1450" s="4" t="n"/>
      <c r="DM1450" s="4" t="n"/>
      <c r="DN1450" s="4" t="n"/>
      <c r="DO1450" s="4" t="n"/>
      <c r="DP1450" s="4" t="n"/>
      <c r="DQ1450" s="4" t="n"/>
      <c r="DR1450" s="4" t="n"/>
      <c r="DS1450" s="4" t="n"/>
      <c r="DT1450" s="4" t="n"/>
      <c r="DU1450" s="4" t="n"/>
      <c r="DV1450" s="4" t="n"/>
      <c r="DW1450" s="4" t="n"/>
      <c r="DX1450" s="4" t="n"/>
      <c r="DY1450" s="4" t="n"/>
      <c r="DZ1450" s="4" t="n"/>
      <c r="EA1450" s="4" t="n"/>
      <c r="EB1450" s="4" t="n"/>
      <c r="EC1450" s="4" t="n"/>
      <c r="ED1450" s="4" t="n"/>
      <c r="EE1450" s="4" t="n"/>
      <c r="EF1450" s="4" t="n"/>
      <c r="EG1450" s="4" t="n"/>
      <c r="EH1450" s="4" t="n"/>
      <c r="EI1450" s="4" t="n"/>
      <c r="EJ1450" s="4" t="n"/>
      <c r="EK1450" s="4" t="n"/>
      <c r="EL1450" s="4" t="n"/>
      <c r="EM1450" s="4" t="n"/>
      <c r="EN1450" s="4" t="n"/>
      <c r="EO1450" s="4" t="n"/>
      <c r="EP1450" s="4" t="n"/>
      <c r="EQ1450" s="4" t="n"/>
      <c r="ER1450" s="4" t="n"/>
      <c r="ES1450" s="4" t="n"/>
      <c r="ET1450" s="4" t="n"/>
      <c r="EU1450" s="4" t="n"/>
      <c r="EV1450" s="4" t="n"/>
      <c r="EW1450" s="4" t="n"/>
      <c r="EX1450" s="4" t="n"/>
      <c r="EY1450" s="4" t="n"/>
      <c r="EZ1450" s="4" t="n"/>
      <c r="FA1450" s="4" t="n"/>
      <c r="FB1450" s="4" t="n"/>
      <c r="FC1450" s="4" t="n"/>
    </row>
    <row r="1451" hidden="1" customFormat="1" s="6">
      <c r="C1451" s="4" t="n"/>
      <c r="D1451" s="4" t="n"/>
      <c r="E1451" s="4" t="n"/>
      <c r="F1451" s="4" t="n"/>
      <c r="G1451" s="4" t="n"/>
      <c r="H1451" s="4" t="n"/>
      <c r="I1451" s="4" t="n"/>
      <c r="J1451" s="4" t="n"/>
      <c r="K1451" s="4" t="n"/>
      <c r="L1451" s="4" t="n"/>
      <c r="M1451" s="4" t="n"/>
      <c r="N1451" s="4" t="n"/>
      <c r="O1451" s="4" t="n"/>
      <c r="P1451" s="4" t="n"/>
      <c r="Q1451" s="4" t="n"/>
      <c r="R1451" s="4" t="n"/>
      <c r="S1451" s="4" t="n"/>
      <c r="T1451" s="4" t="n"/>
      <c r="U1451" s="4" t="n"/>
      <c r="V1451" s="4" t="n"/>
      <c r="W1451" s="4" t="n"/>
      <c r="X1451" s="4" t="n"/>
      <c r="Y1451" s="4" t="n"/>
      <c r="Z1451" s="4" t="n"/>
      <c r="AA1451" s="4" t="n"/>
      <c r="AB1451" s="4" t="n"/>
      <c r="AC1451" s="4" t="n"/>
      <c r="AD1451" s="4" t="n"/>
      <c r="AE1451" s="4" t="n"/>
      <c r="AF1451" s="4" t="n"/>
      <c r="AG1451" s="4" t="n"/>
      <c r="AH1451" s="4" t="n"/>
      <c r="AI1451" s="4" t="n"/>
      <c r="AJ1451" s="4" t="n"/>
      <c r="AK1451" s="4" t="n"/>
      <c r="AL1451" s="4" t="n"/>
      <c r="AM1451" s="4" t="n"/>
      <c r="AN1451" s="4" t="n"/>
      <c r="AO1451" s="4" t="n"/>
      <c r="AP1451" s="4" t="n"/>
      <c r="AQ1451" s="4" t="n"/>
      <c r="AR1451" s="4" t="n"/>
      <c r="AS1451" s="4" t="n"/>
      <c r="AT1451" s="4" t="n"/>
      <c r="AU1451" s="4" t="n"/>
      <c r="AV1451" s="4" t="n"/>
      <c r="AW1451" s="4" t="n"/>
      <c r="AX1451" s="4" t="n"/>
      <c r="AY1451" s="4" t="n"/>
      <c r="AZ1451" s="4" t="n"/>
      <c r="BA1451" s="4" t="n"/>
      <c r="BB1451" s="4" t="n"/>
      <c r="BC1451" s="4" t="n"/>
      <c r="BD1451" s="4" t="n"/>
      <c r="BE1451" s="4" t="n"/>
      <c r="BF1451" s="4" t="n"/>
      <c r="BG1451" s="4" t="n"/>
      <c r="BH1451" s="4" t="n"/>
      <c r="BI1451" s="4" t="n"/>
      <c r="BJ1451" s="4" t="n"/>
      <c r="BK1451" s="4" t="n"/>
      <c r="BL1451" s="4" t="n"/>
      <c r="BM1451" s="4" t="n"/>
      <c r="BN1451" s="4" t="n"/>
      <c r="BO1451" s="4" t="n"/>
      <c r="BP1451" s="4" t="n"/>
      <c r="BQ1451" s="4" t="n"/>
      <c r="BR1451" s="4" t="n"/>
      <c r="BS1451" s="4" t="n"/>
      <c r="BT1451" s="4" t="n"/>
      <c r="BU1451" s="4" t="n"/>
      <c r="BV1451" s="4" t="n"/>
      <c r="BW1451" s="4" t="n"/>
      <c r="BX1451" s="4" t="n"/>
      <c r="BY1451" s="4" t="n"/>
      <c r="BZ1451" s="4" t="n"/>
      <c r="CA1451" s="4" t="n"/>
      <c r="CB1451" s="4" t="n"/>
      <c r="CC1451" s="4" t="n"/>
      <c r="CD1451" s="4" t="n"/>
      <c r="CE1451" s="4" t="n"/>
      <c r="CF1451" s="4" t="n"/>
      <c r="CG1451" s="4" t="n"/>
      <c r="CH1451" s="4" t="n"/>
      <c r="CI1451" s="4" t="n"/>
      <c r="CJ1451" s="4" t="n"/>
      <c r="CK1451" s="4" t="n"/>
      <c r="CL1451" s="4" t="n"/>
      <c r="CM1451" s="4" t="n"/>
      <c r="CN1451" s="4" t="n"/>
      <c r="CO1451" s="4" t="n"/>
      <c r="CP1451" s="4" t="n"/>
      <c r="CQ1451" s="4" t="n"/>
      <c r="CR1451" s="4" t="n"/>
      <c r="CS1451" s="4" t="n"/>
      <c r="CT1451" s="4" t="n"/>
      <c r="CU1451" s="4" t="n"/>
      <c r="CV1451" s="4" t="n"/>
      <c r="CW1451" s="4" t="n"/>
      <c r="CX1451" s="4" t="n"/>
      <c r="CY1451" s="4" t="n"/>
      <c r="CZ1451" s="4" t="n"/>
      <c r="DA1451" s="4" t="n"/>
      <c r="DB1451" s="4" t="n"/>
      <c r="DC1451" s="4" t="n"/>
      <c r="DD1451" s="4" t="n"/>
      <c r="DE1451" s="4" t="n"/>
      <c r="DF1451" s="4" t="n"/>
      <c r="DG1451" s="4" t="n"/>
      <c r="DH1451" s="4" t="n"/>
      <c r="DI1451" s="4" t="n"/>
      <c r="DJ1451" s="4" t="n"/>
      <c r="DK1451" s="4" t="n"/>
      <c r="DL1451" s="4" t="n"/>
      <c r="DM1451" s="4" t="n"/>
      <c r="DN1451" s="4" t="n"/>
      <c r="DO1451" s="4" t="n"/>
      <c r="DP1451" s="4" t="n"/>
      <c r="DQ1451" s="4" t="n"/>
      <c r="DR1451" s="4" t="n"/>
      <c r="DS1451" s="4" t="n"/>
      <c r="DT1451" s="4" t="n"/>
      <c r="DU1451" s="4" t="n"/>
      <c r="DV1451" s="4" t="n"/>
      <c r="DW1451" s="4" t="n"/>
      <c r="DX1451" s="4" t="n"/>
      <c r="DY1451" s="4" t="n"/>
      <c r="DZ1451" s="4" t="n"/>
      <c r="EA1451" s="4" t="n"/>
      <c r="EB1451" s="4" t="n"/>
      <c r="EC1451" s="4" t="n"/>
      <c r="ED1451" s="4" t="n"/>
      <c r="EE1451" s="4" t="n"/>
      <c r="EF1451" s="4" t="n"/>
      <c r="EG1451" s="4" t="n"/>
      <c r="EH1451" s="4" t="n"/>
      <c r="EI1451" s="4" t="n"/>
      <c r="EJ1451" s="4" t="n"/>
      <c r="EK1451" s="4" t="n"/>
      <c r="EL1451" s="4" t="n"/>
      <c r="EM1451" s="4" t="n"/>
      <c r="EN1451" s="4" t="n"/>
      <c r="EO1451" s="4" t="n"/>
      <c r="EP1451" s="4" t="n"/>
      <c r="EQ1451" s="4" t="n"/>
      <c r="ER1451" s="4" t="n"/>
      <c r="ES1451" s="4" t="n"/>
      <c r="ET1451" s="4" t="n"/>
      <c r="EU1451" s="4" t="n"/>
      <c r="EV1451" s="4" t="n"/>
      <c r="EW1451" s="4" t="n"/>
      <c r="EX1451" s="4" t="n"/>
      <c r="EY1451" s="4" t="n"/>
      <c r="EZ1451" s="4" t="n"/>
      <c r="FA1451" s="4" t="n"/>
      <c r="FB1451" s="4" t="n"/>
      <c r="FC1451" s="4" t="n"/>
    </row>
    <row r="1452" hidden="1" customFormat="1" s="6">
      <c r="C1452" s="4" t="n"/>
      <c r="D1452" s="4" t="n"/>
      <c r="E1452" s="4" t="n"/>
      <c r="F1452" s="4" t="n"/>
      <c r="G1452" s="4" t="n"/>
      <c r="H1452" s="4" t="n"/>
      <c r="I1452" s="4" t="n"/>
      <c r="J1452" s="4" t="n"/>
      <c r="K1452" s="4" t="n"/>
      <c r="L1452" s="4" t="n"/>
      <c r="M1452" s="4" t="n"/>
      <c r="N1452" s="4" t="n"/>
      <c r="O1452" s="4" t="n"/>
      <c r="P1452" s="4" t="n"/>
      <c r="Q1452" s="4" t="n"/>
      <c r="R1452" s="4" t="n"/>
      <c r="S1452" s="4" t="n"/>
      <c r="T1452" s="4" t="n"/>
      <c r="U1452" s="4" t="n"/>
      <c r="V1452" s="4" t="n"/>
      <c r="W1452" s="4" t="n"/>
      <c r="X1452" s="4" t="n"/>
      <c r="Y1452" s="4" t="n"/>
      <c r="Z1452" s="4" t="n"/>
      <c r="AA1452" s="4" t="n"/>
      <c r="AB1452" s="4" t="n"/>
      <c r="AC1452" s="4" t="n"/>
      <c r="AD1452" s="4" t="n"/>
      <c r="AE1452" s="4" t="n"/>
      <c r="AF1452" s="4" t="n"/>
      <c r="AG1452" s="4" t="n"/>
      <c r="AH1452" s="4" t="n"/>
      <c r="AI1452" s="4" t="n"/>
      <c r="AJ1452" s="4" t="n"/>
      <c r="AK1452" s="4" t="n"/>
      <c r="AL1452" s="4" t="n"/>
      <c r="AM1452" s="4" t="n"/>
      <c r="AN1452" s="4" t="n"/>
      <c r="AO1452" s="4" t="n"/>
      <c r="AP1452" s="4" t="n"/>
      <c r="AQ1452" s="4" t="n"/>
      <c r="AR1452" s="4" t="n"/>
      <c r="AS1452" s="4" t="n"/>
      <c r="AT1452" s="4" t="n"/>
      <c r="AU1452" s="4" t="n"/>
      <c r="AV1452" s="4" t="n"/>
      <c r="AW1452" s="4" t="n"/>
      <c r="AX1452" s="4" t="n"/>
      <c r="AY1452" s="4" t="n"/>
      <c r="AZ1452" s="4" t="n"/>
      <c r="BA1452" s="4" t="n"/>
      <c r="BB1452" s="4" t="n"/>
      <c r="BC1452" s="4" t="n"/>
      <c r="BD1452" s="4" t="n"/>
      <c r="BE1452" s="4" t="n"/>
      <c r="BF1452" s="4" t="n"/>
      <c r="BG1452" s="4" t="n"/>
      <c r="BH1452" s="4" t="n"/>
      <c r="BI1452" s="4" t="n"/>
      <c r="BJ1452" s="4" t="n"/>
      <c r="BK1452" s="4" t="n"/>
      <c r="BL1452" s="4" t="n"/>
      <c r="BM1452" s="4" t="n"/>
      <c r="BN1452" s="4" t="n"/>
      <c r="BO1452" s="4" t="n"/>
      <c r="BP1452" s="4" t="n"/>
      <c r="BQ1452" s="4" t="n"/>
      <c r="BR1452" s="4" t="n"/>
      <c r="BS1452" s="4" t="n"/>
      <c r="BT1452" s="4" t="n"/>
      <c r="BU1452" s="4" t="n"/>
      <c r="BV1452" s="4" t="n"/>
      <c r="BW1452" s="4" t="n"/>
      <c r="BX1452" s="4" t="n"/>
      <c r="BY1452" s="4" t="n"/>
      <c r="BZ1452" s="4" t="n"/>
      <c r="CA1452" s="4" t="n"/>
      <c r="CB1452" s="4" t="n"/>
      <c r="CC1452" s="4" t="n"/>
      <c r="CD1452" s="4" t="n"/>
      <c r="CE1452" s="4" t="n"/>
      <c r="CF1452" s="4" t="n"/>
      <c r="CG1452" s="4" t="n"/>
      <c r="CH1452" s="4" t="n"/>
      <c r="CI1452" s="4" t="n"/>
      <c r="CJ1452" s="4" t="n"/>
      <c r="CK1452" s="4" t="n"/>
      <c r="CL1452" s="4" t="n"/>
      <c r="CM1452" s="4" t="n"/>
      <c r="CN1452" s="4" t="n"/>
      <c r="CO1452" s="4" t="n"/>
      <c r="CP1452" s="4" t="n"/>
      <c r="CQ1452" s="4" t="n"/>
      <c r="CR1452" s="4" t="n"/>
      <c r="CS1452" s="4" t="n"/>
      <c r="CT1452" s="4" t="n"/>
      <c r="CU1452" s="4" t="n"/>
      <c r="CV1452" s="4" t="n"/>
      <c r="CW1452" s="4" t="n"/>
      <c r="CX1452" s="4" t="n"/>
      <c r="CY1452" s="4" t="n"/>
      <c r="CZ1452" s="4" t="n"/>
      <c r="DA1452" s="4" t="n"/>
      <c r="DB1452" s="4" t="n"/>
      <c r="DC1452" s="4" t="n"/>
      <c r="DD1452" s="4" t="n"/>
      <c r="DE1452" s="4" t="n"/>
      <c r="DF1452" s="4" t="n"/>
      <c r="DG1452" s="4" t="n"/>
      <c r="DH1452" s="4" t="n"/>
      <c r="DI1452" s="4" t="n"/>
      <c r="DJ1452" s="4" t="n"/>
      <c r="DK1452" s="4" t="n"/>
      <c r="DL1452" s="4" t="n"/>
      <c r="DM1452" s="4" t="n"/>
      <c r="DN1452" s="4" t="n"/>
      <c r="DO1452" s="4" t="n"/>
      <c r="DP1452" s="4" t="n"/>
      <c r="DQ1452" s="4" t="n"/>
      <c r="DR1452" s="4" t="n"/>
      <c r="DS1452" s="4" t="n"/>
      <c r="DT1452" s="4" t="n"/>
      <c r="DU1452" s="4" t="n"/>
      <c r="DV1452" s="4" t="n"/>
      <c r="DW1452" s="4" t="n"/>
      <c r="DX1452" s="4" t="n"/>
      <c r="DY1452" s="4" t="n"/>
      <c r="DZ1452" s="4" t="n"/>
      <c r="EA1452" s="4" t="n"/>
      <c r="EB1452" s="4" t="n"/>
      <c r="EC1452" s="4" t="n"/>
      <c r="ED1452" s="4" t="n"/>
      <c r="EE1452" s="4" t="n"/>
      <c r="EF1452" s="4" t="n"/>
      <c r="EG1452" s="4" t="n"/>
      <c r="EH1452" s="4" t="n"/>
      <c r="EI1452" s="4" t="n"/>
      <c r="EJ1452" s="4" t="n"/>
      <c r="EK1452" s="4" t="n"/>
      <c r="EL1452" s="4" t="n"/>
      <c r="EM1452" s="4" t="n"/>
      <c r="EN1452" s="4" t="n"/>
      <c r="EO1452" s="4" t="n"/>
      <c r="EP1452" s="4" t="n"/>
      <c r="EQ1452" s="4" t="n"/>
      <c r="ER1452" s="4" t="n"/>
      <c r="ES1452" s="4" t="n"/>
      <c r="ET1452" s="4" t="n"/>
      <c r="EU1452" s="4" t="n"/>
      <c r="EV1452" s="4" t="n"/>
      <c r="EW1452" s="4" t="n"/>
      <c r="EX1452" s="4" t="n"/>
      <c r="EY1452" s="4" t="n"/>
      <c r="EZ1452" s="4" t="n"/>
      <c r="FA1452" s="4" t="n"/>
      <c r="FB1452" s="4" t="n"/>
      <c r="FC1452" s="4" t="n"/>
    </row>
    <row r="1453" hidden="1" customFormat="1" s="6">
      <c r="C1453" s="4" t="n"/>
      <c r="D1453" s="4" t="n"/>
      <c r="E1453" s="4" t="n"/>
      <c r="F1453" s="4" t="n"/>
      <c r="G1453" s="4" t="n"/>
      <c r="H1453" s="4" t="n"/>
      <c r="I1453" s="4" t="n"/>
      <c r="J1453" s="4" t="n"/>
      <c r="K1453" s="4" t="n"/>
      <c r="L1453" s="4" t="n"/>
      <c r="M1453" s="4" t="n"/>
      <c r="N1453" s="4" t="n"/>
      <c r="O1453" s="4" t="n"/>
      <c r="P1453" s="4" t="n"/>
      <c r="Q1453" s="4" t="n"/>
      <c r="R1453" s="4" t="n"/>
      <c r="S1453" s="4" t="n"/>
      <c r="T1453" s="4" t="n"/>
      <c r="U1453" s="4" t="n"/>
      <c r="V1453" s="4" t="n"/>
      <c r="W1453" s="4" t="n"/>
      <c r="X1453" s="4" t="n"/>
      <c r="Y1453" s="4" t="n"/>
      <c r="Z1453" s="4" t="n"/>
      <c r="AA1453" s="4" t="n"/>
      <c r="AB1453" s="4" t="n"/>
      <c r="AC1453" s="4" t="n"/>
      <c r="AD1453" s="4" t="n"/>
      <c r="AE1453" s="4" t="n"/>
      <c r="AF1453" s="4" t="n"/>
      <c r="AG1453" s="4" t="n"/>
      <c r="AH1453" s="4" t="n"/>
      <c r="AI1453" s="4" t="n"/>
      <c r="AJ1453" s="4" t="n"/>
      <c r="AK1453" s="4" t="n"/>
      <c r="AL1453" s="4" t="n"/>
      <c r="AM1453" s="4" t="n"/>
      <c r="AN1453" s="4" t="n"/>
      <c r="AO1453" s="4" t="n"/>
      <c r="AP1453" s="4" t="n"/>
      <c r="AQ1453" s="4" t="n"/>
      <c r="AR1453" s="4" t="n"/>
      <c r="AS1453" s="4" t="n"/>
      <c r="AT1453" s="4" t="n"/>
      <c r="AU1453" s="4" t="n"/>
      <c r="AV1453" s="4" t="n"/>
      <c r="AW1453" s="4" t="n"/>
      <c r="AX1453" s="4" t="n"/>
      <c r="AY1453" s="4" t="n"/>
      <c r="AZ1453" s="4" t="n"/>
      <c r="BA1453" s="4" t="n"/>
      <c r="BB1453" s="4" t="n"/>
      <c r="BC1453" s="4" t="n"/>
      <c r="BD1453" s="4" t="n"/>
      <c r="BE1453" s="4" t="n"/>
      <c r="BF1453" s="4" t="n"/>
      <c r="BG1453" s="4" t="n"/>
      <c r="BH1453" s="4" t="n"/>
      <c r="BI1453" s="4" t="n"/>
      <c r="BJ1453" s="4" t="n"/>
      <c r="BK1453" s="4" t="n"/>
      <c r="BL1453" s="4" t="n"/>
      <c r="BM1453" s="4" t="n"/>
      <c r="BN1453" s="4" t="n"/>
      <c r="BO1453" s="4" t="n"/>
      <c r="BP1453" s="4" t="n"/>
      <c r="BQ1453" s="4" t="n"/>
      <c r="BR1453" s="4" t="n"/>
      <c r="BS1453" s="4" t="n"/>
      <c r="BT1453" s="4" t="n"/>
      <c r="BU1453" s="4" t="n"/>
      <c r="BV1453" s="4" t="n"/>
      <c r="BW1453" s="4" t="n"/>
      <c r="BX1453" s="4" t="n"/>
      <c r="BY1453" s="4" t="n"/>
      <c r="BZ1453" s="4" t="n"/>
      <c r="CA1453" s="4" t="n"/>
      <c r="CB1453" s="4" t="n"/>
      <c r="CC1453" s="4" t="n"/>
      <c r="CD1453" s="4" t="n"/>
      <c r="CE1453" s="4" t="n"/>
      <c r="CF1453" s="4" t="n"/>
      <c r="CG1453" s="4" t="n"/>
      <c r="CH1453" s="4" t="n"/>
      <c r="CI1453" s="4" t="n"/>
      <c r="CJ1453" s="4" t="n"/>
      <c r="CK1453" s="4" t="n"/>
      <c r="CL1453" s="4" t="n"/>
      <c r="CM1453" s="4" t="n"/>
      <c r="CN1453" s="4" t="n"/>
      <c r="CO1453" s="4" t="n"/>
      <c r="CP1453" s="4" t="n"/>
      <c r="CQ1453" s="4" t="n"/>
      <c r="CR1453" s="4" t="n"/>
      <c r="CS1453" s="4" t="n"/>
      <c r="CT1453" s="4" t="n"/>
      <c r="CU1453" s="4" t="n"/>
      <c r="CV1453" s="4" t="n"/>
      <c r="CW1453" s="4" t="n"/>
      <c r="CX1453" s="4" t="n"/>
      <c r="CY1453" s="4" t="n"/>
      <c r="CZ1453" s="4" t="n"/>
      <c r="DA1453" s="4" t="n"/>
      <c r="DB1453" s="4" t="n"/>
      <c r="DC1453" s="4" t="n"/>
      <c r="DD1453" s="4" t="n"/>
      <c r="DE1453" s="4" t="n"/>
      <c r="DF1453" s="4" t="n"/>
      <c r="DG1453" s="4" t="n"/>
      <c r="DH1453" s="4" t="n"/>
      <c r="DI1453" s="4" t="n"/>
      <c r="DJ1453" s="4" t="n"/>
      <c r="DK1453" s="4" t="n"/>
      <c r="DL1453" s="4" t="n"/>
      <c r="DM1453" s="4" t="n"/>
      <c r="DN1453" s="4" t="n"/>
      <c r="DO1453" s="4" t="n"/>
      <c r="DP1453" s="4" t="n"/>
      <c r="DQ1453" s="4" t="n"/>
      <c r="DR1453" s="4" t="n"/>
      <c r="DS1453" s="4" t="n"/>
      <c r="DT1453" s="4" t="n"/>
      <c r="DU1453" s="4" t="n"/>
      <c r="DV1453" s="4" t="n"/>
      <c r="DW1453" s="4" t="n"/>
      <c r="DX1453" s="4" t="n"/>
      <c r="DY1453" s="4" t="n"/>
      <c r="DZ1453" s="4" t="n"/>
      <c r="EA1453" s="4" t="n"/>
      <c r="EB1453" s="4" t="n"/>
      <c r="EC1453" s="4" t="n"/>
      <c r="ED1453" s="4" t="n"/>
      <c r="EE1453" s="4" t="n"/>
      <c r="EF1453" s="4" t="n"/>
      <c r="EG1453" s="4" t="n"/>
      <c r="EH1453" s="4" t="n"/>
      <c r="EI1453" s="4" t="n"/>
      <c r="EJ1453" s="4" t="n"/>
      <c r="EK1453" s="4" t="n"/>
      <c r="EL1453" s="4" t="n"/>
      <c r="EM1453" s="4" t="n"/>
      <c r="EN1453" s="4" t="n"/>
      <c r="EO1453" s="4" t="n"/>
      <c r="EP1453" s="4" t="n"/>
      <c r="EQ1453" s="4" t="n"/>
      <c r="ER1453" s="4" t="n"/>
      <c r="ES1453" s="4" t="n"/>
      <c r="ET1453" s="4" t="n"/>
      <c r="EU1453" s="4" t="n"/>
      <c r="EV1453" s="4" t="n"/>
      <c r="EW1453" s="4" t="n"/>
      <c r="EX1453" s="4" t="n"/>
      <c r="EY1453" s="4" t="n"/>
      <c r="EZ1453" s="4" t="n"/>
      <c r="FA1453" s="4" t="n"/>
      <c r="FB1453" s="4" t="n"/>
      <c r="FC1453" s="4" t="n"/>
    </row>
    <row r="1454" hidden="1" customFormat="1" s="6">
      <c r="C1454" s="4" t="n"/>
      <c r="D1454" s="4" t="n"/>
      <c r="E1454" s="4" t="n"/>
      <c r="F1454" s="4" t="n"/>
      <c r="G1454" s="4" t="n"/>
      <c r="H1454" s="4" t="n"/>
      <c r="I1454" s="4" t="n"/>
      <c r="J1454" s="4" t="n"/>
      <c r="K1454" s="4" t="n"/>
      <c r="L1454" s="4" t="n"/>
      <c r="M1454" s="4" t="n"/>
      <c r="N1454" s="4" t="n"/>
      <c r="O1454" s="4" t="n"/>
      <c r="P1454" s="4" t="n"/>
      <c r="Q1454" s="4" t="n"/>
      <c r="R1454" s="4" t="n"/>
      <c r="S1454" s="4" t="n"/>
      <c r="T1454" s="4" t="n"/>
      <c r="U1454" s="4" t="n"/>
      <c r="V1454" s="4" t="n"/>
      <c r="W1454" s="4" t="n"/>
      <c r="X1454" s="4" t="n"/>
      <c r="Y1454" s="4" t="n"/>
      <c r="Z1454" s="4" t="n"/>
      <c r="AA1454" s="4" t="n"/>
      <c r="AB1454" s="4" t="n"/>
      <c r="AC1454" s="4" t="n"/>
      <c r="AD1454" s="4" t="n"/>
      <c r="AE1454" s="4" t="n"/>
      <c r="AF1454" s="4" t="n"/>
      <c r="AG1454" s="4" t="n"/>
      <c r="AH1454" s="4" t="n"/>
      <c r="AI1454" s="4" t="n"/>
      <c r="AJ1454" s="4" t="n"/>
      <c r="AK1454" s="4" t="n"/>
      <c r="AL1454" s="4" t="n"/>
      <c r="AM1454" s="4" t="n"/>
      <c r="AN1454" s="4" t="n"/>
      <c r="AO1454" s="4" t="n"/>
      <c r="AP1454" s="4" t="n"/>
      <c r="AQ1454" s="4" t="n"/>
      <c r="AR1454" s="4" t="n"/>
      <c r="AS1454" s="4" t="n"/>
      <c r="AT1454" s="4" t="n"/>
      <c r="AU1454" s="4" t="n"/>
      <c r="AV1454" s="4" t="n"/>
      <c r="AW1454" s="4" t="n"/>
      <c r="AX1454" s="4" t="n"/>
      <c r="AY1454" s="4" t="n"/>
      <c r="AZ1454" s="4" t="n"/>
      <c r="BA1454" s="4" t="n"/>
      <c r="BB1454" s="4" t="n"/>
      <c r="BC1454" s="4" t="n"/>
      <c r="BD1454" s="4" t="n"/>
      <c r="BE1454" s="4" t="n"/>
      <c r="BF1454" s="4" t="n"/>
      <c r="BG1454" s="4" t="n"/>
      <c r="BH1454" s="4" t="n"/>
      <c r="BI1454" s="4" t="n"/>
      <c r="BJ1454" s="4" t="n"/>
      <c r="BK1454" s="4" t="n"/>
      <c r="BL1454" s="4" t="n"/>
      <c r="BM1454" s="4" t="n"/>
      <c r="BN1454" s="4" t="n"/>
      <c r="BO1454" s="4" t="n"/>
      <c r="BP1454" s="4" t="n"/>
      <c r="BQ1454" s="4" t="n"/>
      <c r="BR1454" s="4" t="n"/>
      <c r="BS1454" s="4" t="n"/>
      <c r="BT1454" s="4" t="n"/>
      <c r="BU1454" s="4" t="n"/>
      <c r="BV1454" s="4" t="n"/>
      <c r="BW1454" s="4" t="n"/>
      <c r="BX1454" s="4" t="n"/>
      <c r="BY1454" s="4" t="n"/>
      <c r="BZ1454" s="4" t="n"/>
      <c r="CA1454" s="4" t="n"/>
      <c r="CB1454" s="4" t="n"/>
      <c r="CC1454" s="4" t="n"/>
      <c r="CD1454" s="4" t="n"/>
      <c r="CE1454" s="4" t="n"/>
      <c r="CF1454" s="4" t="n"/>
      <c r="CG1454" s="4" t="n"/>
      <c r="CH1454" s="4" t="n"/>
      <c r="CI1454" s="4" t="n"/>
      <c r="CJ1454" s="4" t="n"/>
      <c r="CK1454" s="4" t="n"/>
      <c r="CL1454" s="4" t="n"/>
      <c r="CM1454" s="4" t="n"/>
      <c r="CN1454" s="4" t="n"/>
      <c r="CO1454" s="4" t="n"/>
      <c r="CP1454" s="4" t="n"/>
      <c r="CQ1454" s="4" t="n"/>
      <c r="CR1454" s="4" t="n"/>
      <c r="CS1454" s="4" t="n"/>
      <c r="CT1454" s="4" t="n"/>
      <c r="CU1454" s="4" t="n"/>
      <c r="CV1454" s="4" t="n"/>
      <c r="CW1454" s="4" t="n"/>
      <c r="CX1454" s="4" t="n"/>
      <c r="CY1454" s="4" t="n"/>
      <c r="CZ1454" s="4" t="n"/>
      <c r="DA1454" s="4" t="n"/>
      <c r="DB1454" s="4" t="n"/>
      <c r="DC1454" s="4" t="n"/>
      <c r="DD1454" s="4" t="n"/>
      <c r="DE1454" s="4" t="n"/>
      <c r="DF1454" s="4" t="n"/>
      <c r="DG1454" s="4" t="n"/>
      <c r="DH1454" s="4" t="n"/>
      <c r="DI1454" s="4" t="n"/>
      <c r="DJ1454" s="4" t="n"/>
      <c r="DK1454" s="4" t="n"/>
      <c r="DL1454" s="4" t="n"/>
      <c r="DM1454" s="4" t="n"/>
      <c r="DN1454" s="4" t="n"/>
      <c r="DO1454" s="4" t="n"/>
      <c r="DP1454" s="4" t="n"/>
      <c r="DQ1454" s="4" t="n"/>
      <c r="DR1454" s="4" t="n"/>
      <c r="DS1454" s="4" t="n"/>
      <c r="DT1454" s="4" t="n"/>
      <c r="DU1454" s="4" t="n"/>
      <c r="DV1454" s="4" t="n"/>
      <c r="DW1454" s="4" t="n"/>
      <c r="DX1454" s="4" t="n"/>
      <c r="DY1454" s="4" t="n"/>
      <c r="DZ1454" s="4" t="n"/>
      <c r="EA1454" s="4" t="n"/>
      <c r="EB1454" s="4" t="n"/>
      <c r="EC1454" s="4" t="n"/>
      <c r="ED1454" s="4" t="n"/>
      <c r="EE1454" s="4" t="n"/>
      <c r="EF1454" s="4" t="n"/>
      <c r="EG1454" s="4" t="n"/>
      <c r="EH1454" s="4" t="n"/>
      <c r="EI1454" s="4" t="n"/>
      <c r="EJ1454" s="4" t="n"/>
      <c r="EK1454" s="4" t="n"/>
      <c r="EL1454" s="4" t="n"/>
      <c r="EM1454" s="4" t="n"/>
      <c r="EN1454" s="4" t="n"/>
      <c r="EO1454" s="4" t="n"/>
      <c r="EP1454" s="4" t="n"/>
      <c r="EQ1454" s="4" t="n"/>
      <c r="ER1454" s="4" t="n"/>
      <c r="ES1454" s="4" t="n"/>
      <c r="ET1454" s="4" t="n"/>
      <c r="EU1454" s="4" t="n"/>
      <c r="EV1454" s="4" t="n"/>
      <c r="EW1454" s="4" t="n"/>
      <c r="EX1454" s="4" t="n"/>
      <c r="EY1454" s="4" t="n"/>
      <c r="EZ1454" s="4" t="n"/>
      <c r="FA1454" s="4" t="n"/>
      <c r="FB1454" s="4" t="n"/>
      <c r="FC1454" s="4" t="n"/>
    </row>
    <row r="1455" hidden="1" customFormat="1" s="6">
      <c r="C1455" s="4" t="n"/>
      <c r="D1455" s="4" t="n"/>
      <c r="E1455" s="4" t="n"/>
      <c r="F1455" s="4" t="n"/>
      <c r="G1455" s="4" t="n"/>
      <c r="H1455" s="4" t="n"/>
      <c r="I1455" s="4" t="n"/>
      <c r="J1455" s="4" t="n"/>
      <c r="K1455" s="4" t="n"/>
      <c r="L1455" s="4" t="n"/>
      <c r="M1455" s="4" t="n"/>
      <c r="N1455" s="4" t="n"/>
      <c r="O1455" s="4" t="n"/>
      <c r="P1455" s="4" t="n"/>
      <c r="Q1455" s="4" t="n"/>
      <c r="R1455" s="4" t="n"/>
      <c r="S1455" s="4" t="n"/>
      <c r="T1455" s="4" t="n"/>
      <c r="U1455" s="4" t="n"/>
      <c r="V1455" s="4" t="n"/>
      <c r="W1455" s="4" t="n"/>
      <c r="X1455" s="4" t="n"/>
      <c r="Y1455" s="4" t="n"/>
      <c r="Z1455" s="4" t="n"/>
      <c r="AA1455" s="4" t="n"/>
      <c r="AB1455" s="4" t="n"/>
      <c r="AC1455" s="4" t="n"/>
      <c r="AD1455" s="4" t="n"/>
      <c r="AE1455" s="4" t="n"/>
      <c r="AF1455" s="4" t="n"/>
      <c r="AG1455" s="4" t="n"/>
      <c r="AH1455" s="4" t="n"/>
      <c r="AI1455" s="4" t="n"/>
      <c r="AJ1455" s="4" t="n"/>
      <c r="AK1455" s="4" t="n"/>
      <c r="AL1455" s="4" t="n"/>
      <c r="AM1455" s="4" t="n"/>
      <c r="AN1455" s="4" t="n"/>
      <c r="AO1455" s="4" t="n"/>
      <c r="AP1455" s="4" t="n"/>
      <c r="AQ1455" s="4" t="n"/>
      <c r="AR1455" s="4" t="n"/>
      <c r="AS1455" s="4" t="n"/>
      <c r="AT1455" s="4" t="n"/>
      <c r="AU1455" s="4" t="n"/>
      <c r="AV1455" s="4" t="n"/>
      <c r="AW1455" s="4" t="n"/>
      <c r="AX1455" s="4" t="n"/>
      <c r="AY1455" s="4" t="n"/>
      <c r="AZ1455" s="4" t="n"/>
      <c r="BA1455" s="4" t="n"/>
      <c r="BB1455" s="4" t="n"/>
      <c r="BC1455" s="4" t="n"/>
      <c r="BD1455" s="4" t="n"/>
      <c r="BE1455" s="4" t="n"/>
      <c r="BF1455" s="4" t="n"/>
      <c r="BG1455" s="4" t="n"/>
      <c r="BH1455" s="4" t="n"/>
      <c r="BI1455" s="4" t="n"/>
      <c r="BJ1455" s="4" t="n"/>
      <c r="BK1455" s="4" t="n"/>
      <c r="BL1455" s="4" t="n"/>
      <c r="BM1455" s="4" t="n"/>
      <c r="BN1455" s="4" t="n"/>
      <c r="BO1455" s="4" t="n"/>
      <c r="BP1455" s="4" t="n"/>
      <c r="BQ1455" s="4" t="n"/>
      <c r="BR1455" s="4" t="n"/>
      <c r="BS1455" s="4" t="n"/>
      <c r="BT1455" s="4" t="n"/>
      <c r="BU1455" s="4" t="n"/>
      <c r="BV1455" s="4" t="n"/>
      <c r="BW1455" s="4" t="n"/>
      <c r="BX1455" s="4" t="n"/>
      <c r="BY1455" s="4" t="n"/>
      <c r="BZ1455" s="4" t="n"/>
      <c r="CA1455" s="4" t="n"/>
      <c r="CB1455" s="4" t="n"/>
      <c r="CC1455" s="4" t="n"/>
      <c r="CD1455" s="4" t="n"/>
      <c r="CE1455" s="4" t="n"/>
      <c r="CF1455" s="4" t="n"/>
      <c r="CG1455" s="4" t="n"/>
      <c r="CH1455" s="4" t="n"/>
      <c r="CI1455" s="4" t="n"/>
      <c r="CJ1455" s="4" t="n"/>
      <c r="CK1455" s="4" t="n"/>
      <c r="CL1455" s="4" t="n"/>
      <c r="CM1455" s="4" t="n"/>
      <c r="CN1455" s="4" t="n"/>
      <c r="CO1455" s="4" t="n"/>
      <c r="CP1455" s="4" t="n"/>
      <c r="CQ1455" s="4" t="n"/>
      <c r="CR1455" s="4" t="n"/>
      <c r="CS1455" s="4" t="n"/>
      <c r="CT1455" s="4" t="n"/>
      <c r="CU1455" s="4" t="n"/>
      <c r="CV1455" s="4" t="n"/>
      <c r="CW1455" s="4" t="n"/>
      <c r="CX1455" s="4" t="n"/>
      <c r="CY1455" s="4" t="n"/>
      <c r="CZ1455" s="4" t="n"/>
      <c r="DA1455" s="4" t="n"/>
      <c r="DB1455" s="4" t="n"/>
      <c r="DC1455" s="4" t="n"/>
      <c r="DD1455" s="4" t="n"/>
      <c r="DE1455" s="4" t="n"/>
      <c r="DF1455" s="4" t="n"/>
      <c r="DG1455" s="4" t="n"/>
      <c r="DH1455" s="4" t="n"/>
      <c r="DI1455" s="4" t="n"/>
      <c r="DJ1455" s="4" t="n"/>
      <c r="DK1455" s="4" t="n"/>
      <c r="DL1455" s="4" t="n"/>
      <c r="DM1455" s="4" t="n"/>
      <c r="DN1455" s="4" t="n"/>
      <c r="DO1455" s="4" t="n"/>
      <c r="DP1455" s="4" t="n"/>
      <c r="DQ1455" s="4" t="n"/>
      <c r="DR1455" s="4" t="n"/>
      <c r="DS1455" s="4" t="n"/>
      <c r="DT1455" s="4" t="n"/>
      <c r="DU1455" s="4" t="n"/>
      <c r="DV1455" s="4" t="n"/>
      <c r="DW1455" s="4" t="n"/>
      <c r="DX1455" s="4" t="n"/>
      <c r="DY1455" s="4" t="n"/>
      <c r="DZ1455" s="4" t="n"/>
      <c r="EA1455" s="4" t="n"/>
      <c r="EB1455" s="4" t="n"/>
      <c r="EC1455" s="4" t="n"/>
      <c r="ED1455" s="4" t="n"/>
      <c r="EE1455" s="4" t="n"/>
      <c r="EF1455" s="4" t="n"/>
      <c r="EG1455" s="4" t="n"/>
      <c r="EH1455" s="4" t="n"/>
      <c r="EI1455" s="4" t="n"/>
      <c r="EJ1455" s="4" t="n"/>
      <c r="EK1455" s="4" t="n"/>
      <c r="EL1455" s="4" t="n"/>
      <c r="EM1455" s="4" t="n"/>
      <c r="EN1455" s="4" t="n"/>
      <c r="EO1455" s="4" t="n"/>
      <c r="EP1455" s="4" t="n"/>
      <c r="EQ1455" s="4" t="n"/>
      <c r="ER1455" s="4" t="n"/>
      <c r="ES1455" s="4" t="n"/>
      <c r="ET1455" s="4" t="n"/>
      <c r="EU1455" s="4" t="n"/>
      <c r="EV1455" s="4" t="n"/>
      <c r="EW1455" s="4" t="n"/>
      <c r="EX1455" s="4" t="n"/>
      <c r="EY1455" s="4" t="n"/>
      <c r="EZ1455" s="4" t="n"/>
      <c r="FA1455" s="4" t="n"/>
      <c r="FB1455" s="4" t="n"/>
      <c r="FC1455" s="4" t="n"/>
    </row>
    <row r="1456" hidden="1" customFormat="1" s="6">
      <c r="C1456" s="4" t="n"/>
      <c r="D1456" s="4" t="n"/>
      <c r="E1456" s="4" t="n"/>
      <c r="F1456" s="4" t="n"/>
      <c r="G1456" s="4" t="n"/>
      <c r="H1456" s="4" t="n"/>
      <c r="I1456" s="4" t="n"/>
      <c r="J1456" s="4" t="n"/>
      <c r="K1456" s="4" t="n"/>
      <c r="L1456" s="4" t="n"/>
      <c r="M1456" s="4" t="n"/>
      <c r="N1456" s="4" t="n"/>
      <c r="O1456" s="4" t="n"/>
      <c r="P1456" s="4" t="n"/>
      <c r="Q1456" s="4" t="n"/>
      <c r="R1456" s="4" t="n"/>
      <c r="S1456" s="4" t="n"/>
      <c r="T1456" s="4" t="n"/>
      <c r="U1456" s="4" t="n"/>
      <c r="V1456" s="4" t="n"/>
      <c r="W1456" s="4" t="n"/>
      <c r="X1456" s="4" t="n"/>
      <c r="Y1456" s="4" t="n"/>
      <c r="Z1456" s="4" t="n"/>
      <c r="AA1456" s="4" t="n"/>
      <c r="AB1456" s="4" t="n"/>
      <c r="AC1456" s="4" t="n"/>
      <c r="AD1456" s="4" t="n"/>
      <c r="AE1456" s="4" t="n"/>
      <c r="AF1456" s="4" t="n"/>
      <c r="AG1456" s="4" t="n"/>
      <c r="AH1456" s="4" t="n"/>
      <c r="AI1456" s="4" t="n"/>
      <c r="AJ1456" s="4" t="n"/>
      <c r="AK1456" s="4" t="n"/>
      <c r="AL1456" s="4" t="n"/>
      <c r="AM1456" s="4" t="n"/>
      <c r="AN1456" s="4" t="n"/>
      <c r="AO1456" s="4" t="n"/>
      <c r="AP1456" s="4" t="n"/>
      <c r="AQ1456" s="4" t="n"/>
      <c r="AR1456" s="4" t="n"/>
      <c r="AS1456" s="4" t="n"/>
      <c r="AT1456" s="4" t="n"/>
      <c r="AU1456" s="4" t="n"/>
      <c r="AV1456" s="4" t="n"/>
      <c r="AW1456" s="4" t="n"/>
      <c r="AX1456" s="4" t="n"/>
      <c r="AY1456" s="4" t="n"/>
      <c r="AZ1456" s="4" t="n"/>
      <c r="BA1456" s="4" t="n"/>
      <c r="BB1456" s="4" t="n"/>
      <c r="BC1456" s="4" t="n"/>
      <c r="BD1456" s="4" t="n"/>
      <c r="BE1456" s="4" t="n"/>
      <c r="BF1456" s="4" t="n"/>
      <c r="BG1456" s="4" t="n"/>
      <c r="BH1456" s="4" t="n"/>
      <c r="BI1456" s="4" t="n"/>
      <c r="BJ1456" s="4" t="n"/>
      <c r="BK1456" s="4" t="n"/>
      <c r="BL1456" s="4" t="n"/>
      <c r="BM1456" s="4" t="n"/>
      <c r="BN1456" s="4" t="n"/>
      <c r="BO1456" s="4" t="n"/>
      <c r="BP1456" s="4" t="n"/>
      <c r="BQ1456" s="4" t="n"/>
      <c r="BR1456" s="4" t="n"/>
      <c r="BS1456" s="4" t="n"/>
      <c r="BT1456" s="4" t="n"/>
      <c r="BU1456" s="4" t="n"/>
      <c r="BV1456" s="4" t="n"/>
      <c r="BW1456" s="4" t="n"/>
      <c r="BX1456" s="4" t="n"/>
      <c r="BY1456" s="4" t="n"/>
      <c r="BZ1456" s="4" t="n"/>
      <c r="CA1456" s="4" t="n"/>
      <c r="CB1456" s="4" t="n"/>
      <c r="CC1456" s="4" t="n"/>
      <c r="CD1456" s="4" t="n"/>
      <c r="CE1456" s="4" t="n"/>
      <c r="CF1456" s="4" t="n"/>
      <c r="CG1456" s="4" t="n"/>
      <c r="CH1456" s="4" t="n"/>
      <c r="CI1456" s="4" t="n"/>
      <c r="CJ1456" s="4" t="n"/>
      <c r="CK1456" s="4" t="n"/>
      <c r="CL1456" s="4" t="n"/>
      <c r="CM1456" s="4" t="n"/>
      <c r="CN1456" s="4" t="n"/>
      <c r="CO1456" s="4" t="n"/>
      <c r="CP1456" s="4" t="n"/>
      <c r="CQ1456" s="4" t="n"/>
      <c r="CR1456" s="4" t="n"/>
      <c r="CS1456" s="4" t="n"/>
      <c r="CT1456" s="4" t="n"/>
      <c r="CU1456" s="4" t="n"/>
      <c r="CV1456" s="4" t="n"/>
      <c r="CW1456" s="4" t="n"/>
      <c r="CX1456" s="4" t="n"/>
      <c r="CY1456" s="4" t="n"/>
      <c r="CZ1456" s="4" t="n"/>
      <c r="DA1456" s="4" t="n"/>
      <c r="DB1456" s="4" t="n"/>
      <c r="DC1456" s="4" t="n"/>
      <c r="DD1456" s="4" t="n"/>
      <c r="DE1456" s="4" t="n"/>
      <c r="DF1456" s="4" t="n"/>
      <c r="DG1456" s="4" t="n"/>
      <c r="DH1456" s="4" t="n"/>
      <c r="DI1456" s="4" t="n"/>
      <c r="DJ1456" s="4" t="n"/>
      <c r="DK1456" s="4" t="n"/>
      <c r="DL1456" s="4" t="n"/>
      <c r="DM1456" s="4" t="n"/>
      <c r="DN1456" s="4" t="n"/>
      <c r="DO1456" s="4" t="n"/>
      <c r="DP1456" s="4" t="n"/>
      <c r="DQ1456" s="4" t="n"/>
      <c r="DR1456" s="4" t="n"/>
      <c r="DS1456" s="4" t="n"/>
      <c r="DT1456" s="4" t="n"/>
      <c r="DU1456" s="4" t="n"/>
      <c r="DV1456" s="4" t="n"/>
      <c r="DW1456" s="4" t="n"/>
      <c r="DX1456" s="4" t="n"/>
      <c r="DY1456" s="4" t="n"/>
      <c r="DZ1456" s="4" t="n"/>
      <c r="EA1456" s="4" t="n"/>
      <c r="EB1456" s="4" t="n"/>
      <c r="EC1456" s="4" t="n"/>
      <c r="ED1456" s="4" t="n"/>
      <c r="EE1456" s="4" t="n"/>
      <c r="EF1456" s="4" t="n"/>
      <c r="EG1456" s="4" t="n"/>
      <c r="EH1456" s="4" t="n"/>
      <c r="EI1456" s="4" t="n"/>
      <c r="EJ1456" s="4" t="n"/>
      <c r="EK1456" s="4" t="n"/>
      <c r="EL1456" s="4" t="n"/>
      <c r="EM1456" s="4" t="n"/>
      <c r="EN1456" s="4" t="n"/>
      <c r="EO1456" s="4" t="n"/>
      <c r="EP1456" s="4" t="n"/>
      <c r="EQ1456" s="4" t="n"/>
      <c r="ER1456" s="4" t="n"/>
      <c r="ES1456" s="4" t="n"/>
      <c r="ET1456" s="4" t="n"/>
      <c r="EU1456" s="4" t="n"/>
      <c r="EV1456" s="4" t="n"/>
      <c r="EW1456" s="4" t="n"/>
      <c r="EX1456" s="4" t="n"/>
      <c r="EY1456" s="4" t="n"/>
      <c r="EZ1456" s="4" t="n"/>
      <c r="FA1456" s="4" t="n"/>
      <c r="FB1456" s="4" t="n"/>
      <c r="FC1456" s="4" t="n"/>
    </row>
    <row r="1457" hidden="1" customFormat="1" s="6">
      <c r="C1457" s="4" t="n"/>
      <c r="D1457" s="4" t="n"/>
      <c r="E1457" s="4" t="n"/>
      <c r="F1457" s="4" t="n"/>
      <c r="G1457" s="4" t="n"/>
      <c r="H1457" s="4" t="n"/>
      <c r="I1457" s="4" t="n"/>
      <c r="J1457" s="4" t="n"/>
      <c r="K1457" s="4" t="n"/>
      <c r="L1457" s="4" t="n"/>
      <c r="M1457" s="4" t="n"/>
      <c r="N1457" s="4" t="n"/>
      <c r="O1457" s="4" t="n"/>
      <c r="P1457" s="4" t="n"/>
      <c r="Q1457" s="4" t="n"/>
      <c r="R1457" s="4" t="n"/>
      <c r="S1457" s="4" t="n"/>
      <c r="T1457" s="4" t="n"/>
      <c r="U1457" s="4" t="n"/>
      <c r="V1457" s="4" t="n"/>
      <c r="W1457" s="4" t="n"/>
      <c r="X1457" s="4" t="n"/>
      <c r="Y1457" s="4" t="n"/>
      <c r="Z1457" s="4" t="n"/>
      <c r="AA1457" s="4" t="n"/>
      <c r="AB1457" s="4" t="n"/>
      <c r="AC1457" s="4" t="n"/>
      <c r="AD1457" s="4" t="n"/>
      <c r="AE1457" s="4" t="n"/>
      <c r="AF1457" s="4" t="n"/>
      <c r="AG1457" s="4" t="n"/>
      <c r="AH1457" s="4" t="n"/>
      <c r="AI1457" s="4" t="n"/>
      <c r="AJ1457" s="4" t="n"/>
      <c r="AK1457" s="4" t="n"/>
      <c r="AL1457" s="4" t="n"/>
      <c r="AM1457" s="4" t="n"/>
      <c r="AN1457" s="4" t="n"/>
      <c r="AO1457" s="4" t="n"/>
      <c r="AP1457" s="4" t="n"/>
      <c r="AQ1457" s="4" t="n"/>
      <c r="AR1457" s="4" t="n"/>
      <c r="AS1457" s="4" t="n"/>
      <c r="AT1457" s="4" t="n"/>
      <c r="AU1457" s="4" t="n"/>
      <c r="AV1457" s="4" t="n"/>
      <c r="AW1457" s="4" t="n"/>
      <c r="AX1457" s="4" t="n"/>
      <c r="AY1457" s="4" t="n"/>
      <c r="AZ1457" s="4" t="n"/>
      <c r="BA1457" s="4" t="n"/>
      <c r="BB1457" s="4" t="n"/>
      <c r="BC1457" s="4" t="n"/>
      <c r="BD1457" s="4" t="n"/>
      <c r="BE1457" s="4" t="n"/>
      <c r="BF1457" s="4" t="n"/>
      <c r="BG1457" s="4" t="n"/>
      <c r="BH1457" s="4" t="n"/>
      <c r="BI1457" s="4" t="n"/>
      <c r="BJ1457" s="4" t="n"/>
      <c r="BK1457" s="4" t="n"/>
      <c r="BL1457" s="4" t="n"/>
      <c r="BM1457" s="4" t="n"/>
      <c r="BN1457" s="4" t="n"/>
      <c r="BO1457" s="4" t="n"/>
      <c r="BP1457" s="4" t="n"/>
      <c r="BQ1457" s="4" t="n"/>
      <c r="BR1457" s="4" t="n"/>
      <c r="BS1457" s="4" t="n"/>
      <c r="BT1457" s="4" t="n"/>
      <c r="BU1457" s="4" t="n"/>
      <c r="BV1457" s="4" t="n"/>
      <c r="BW1457" s="4" t="n"/>
      <c r="BX1457" s="4" t="n"/>
      <c r="BY1457" s="4" t="n"/>
      <c r="BZ1457" s="4" t="n"/>
      <c r="CA1457" s="4" t="n"/>
      <c r="CB1457" s="4" t="n"/>
      <c r="CC1457" s="4" t="n"/>
      <c r="CD1457" s="4" t="n"/>
      <c r="CE1457" s="4" t="n"/>
      <c r="CF1457" s="4" t="n"/>
      <c r="CG1457" s="4" t="n"/>
      <c r="CH1457" s="4" t="n"/>
      <c r="CI1457" s="4" t="n"/>
      <c r="CJ1457" s="4" t="n"/>
      <c r="CK1457" s="4" t="n"/>
      <c r="CL1457" s="4" t="n"/>
      <c r="CM1457" s="4" t="n"/>
      <c r="CN1457" s="4" t="n"/>
      <c r="CO1457" s="4" t="n"/>
      <c r="CP1457" s="4" t="n"/>
      <c r="CQ1457" s="4" t="n"/>
      <c r="CR1457" s="4" t="n"/>
      <c r="CS1457" s="4" t="n"/>
      <c r="CT1457" s="4" t="n"/>
      <c r="CU1457" s="4" t="n"/>
      <c r="CV1457" s="4" t="n"/>
      <c r="CW1457" s="4" t="n"/>
      <c r="CX1457" s="4" t="n"/>
      <c r="CY1457" s="4" t="n"/>
      <c r="CZ1457" s="4" t="n"/>
      <c r="DA1457" s="4" t="n"/>
      <c r="DB1457" s="4" t="n"/>
      <c r="DC1457" s="4" t="n"/>
      <c r="DD1457" s="4" t="n"/>
      <c r="DE1457" s="4" t="n"/>
      <c r="DF1457" s="4" t="n"/>
      <c r="DG1457" s="4" t="n"/>
      <c r="DH1457" s="4" t="n"/>
      <c r="DI1457" s="4" t="n"/>
      <c r="DJ1457" s="4" t="n"/>
      <c r="DK1457" s="4" t="n"/>
      <c r="DL1457" s="4" t="n"/>
      <c r="DM1457" s="4" t="n"/>
      <c r="DN1457" s="4" t="n"/>
      <c r="DO1457" s="4" t="n"/>
      <c r="DP1457" s="4" t="n"/>
      <c r="DQ1457" s="4" t="n"/>
      <c r="DR1457" s="4" t="n"/>
      <c r="DS1457" s="4" t="n"/>
      <c r="DT1457" s="4" t="n"/>
      <c r="DU1457" s="4" t="n"/>
      <c r="DV1457" s="4" t="n"/>
      <c r="DW1457" s="4" t="n"/>
      <c r="DX1457" s="4" t="n"/>
      <c r="DY1457" s="4" t="n"/>
      <c r="DZ1457" s="4" t="n"/>
      <c r="EA1457" s="4" t="n"/>
      <c r="EB1457" s="4" t="n"/>
      <c r="EC1457" s="4" t="n"/>
      <c r="ED1457" s="4" t="n"/>
      <c r="EE1457" s="4" t="n"/>
      <c r="EF1457" s="4" t="n"/>
      <c r="EG1457" s="4" t="n"/>
      <c r="EH1457" s="4" t="n"/>
      <c r="EI1457" s="4" t="n"/>
      <c r="EJ1457" s="4" t="n"/>
      <c r="EK1457" s="4" t="n"/>
      <c r="EL1457" s="4" t="n"/>
      <c r="EM1457" s="4" t="n"/>
      <c r="EN1457" s="4" t="n"/>
      <c r="EO1457" s="4" t="n"/>
      <c r="EP1457" s="4" t="n"/>
      <c r="EQ1457" s="4" t="n"/>
      <c r="ER1457" s="4" t="n"/>
      <c r="ES1457" s="4" t="n"/>
      <c r="ET1457" s="4" t="n"/>
      <c r="EU1457" s="4" t="n"/>
      <c r="EV1457" s="4" t="n"/>
      <c r="EW1457" s="4" t="n"/>
      <c r="EX1457" s="4" t="n"/>
      <c r="EY1457" s="4" t="n"/>
      <c r="EZ1457" s="4" t="n"/>
      <c r="FA1457" s="4" t="n"/>
      <c r="FB1457" s="4" t="n"/>
      <c r="FC1457" s="4" t="n"/>
    </row>
    <row r="1458" hidden="1" customFormat="1" s="6">
      <c r="C1458" s="4" t="n"/>
      <c r="D1458" s="4" t="n"/>
      <c r="E1458" s="4" t="n"/>
      <c r="F1458" s="4" t="n"/>
      <c r="G1458" s="4" t="n"/>
      <c r="H1458" s="4" t="n"/>
      <c r="I1458" s="4" t="n"/>
      <c r="J1458" s="4" t="n"/>
      <c r="K1458" s="4" t="n"/>
      <c r="L1458" s="4" t="n"/>
      <c r="M1458" s="4" t="n"/>
      <c r="N1458" s="4" t="n"/>
      <c r="O1458" s="4" t="n"/>
      <c r="P1458" s="4" t="n"/>
      <c r="Q1458" s="4" t="n"/>
      <c r="R1458" s="4" t="n"/>
      <c r="S1458" s="4" t="n"/>
      <c r="T1458" s="4" t="n"/>
      <c r="U1458" s="4" t="n"/>
      <c r="V1458" s="4" t="n"/>
      <c r="W1458" s="4" t="n"/>
      <c r="X1458" s="4" t="n"/>
      <c r="Y1458" s="4" t="n"/>
      <c r="Z1458" s="4" t="n"/>
      <c r="AA1458" s="4" t="n"/>
      <c r="AB1458" s="4" t="n"/>
      <c r="AC1458" s="4" t="n"/>
      <c r="AD1458" s="4" t="n"/>
      <c r="AE1458" s="4" t="n"/>
      <c r="AF1458" s="4" t="n"/>
      <c r="AG1458" s="4" t="n"/>
      <c r="AH1458" s="4" t="n"/>
      <c r="AI1458" s="4" t="n"/>
      <c r="AJ1458" s="4" t="n"/>
      <c r="AK1458" s="4" t="n"/>
      <c r="AL1458" s="4" t="n"/>
      <c r="AM1458" s="4" t="n"/>
      <c r="AN1458" s="4" t="n"/>
      <c r="AO1458" s="4" t="n"/>
      <c r="AP1458" s="4" t="n"/>
      <c r="AQ1458" s="4" t="n"/>
      <c r="AR1458" s="4" t="n"/>
      <c r="AS1458" s="4" t="n"/>
      <c r="AT1458" s="4" t="n"/>
      <c r="AU1458" s="4" t="n"/>
      <c r="AV1458" s="4" t="n"/>
      <c r="AW1458" s="4" t="n"/>
      <c r="AX1458" s="4" t="n"/>
      <c r="AY1458" s="4" t="n"/>
      <c r="AZ1458" s="4" t="n"/>
      <c r="BA1458" s="4" t="n"/>
      <c r="BB1458" s="4" t="n"/>
      <c r="BC1458" s="4" t="n"/>
      <c r="BD1458" s="4" t="n"/>
      <c r="BE1458" s="4" t="n"/>
      <c r="BF1458" s="4" t="n"/>
      <c r="BG1458" s="4" t="n"/>
      <c r="BH1458" s="4" t="n"/>
      <c r="BI1458" s="4" t="n"/>
      <c r="BJ1458" s="4" t="n"/>
      <c r="BK1458" s="4" t="n"/>
      <c r="BL1458" s="4" t="n"/>
      <c r="BM1458" s="4" t="n"/>
      <c r="BN1458" s="4" t="n"/>
      <c r="BO1458" s="4" t="n"/>
      <c r="BP1458" s="4" t="n"/>
      <c r="BQ1458" s="4" t="n"/>
      <c r="BR1458" s="4" t="n"/>
      <c r="BS1458" s="4" t="n"/>
      <c r="BT1458" s="4" t="n"/>
      <c r="BU1458" s="4" t="n"/>
      <c r="BV1458" s="4" t="n"/>
      <c r="BW1458" s="4" t="n"/>
      <c r="BX1458" s="4" t="n"/>
      <c r="BY1458" s="4" t="n"/>
      <c r="BZ1458" s="4" t="n"/>
      <c r="CA1458" s="4" t="n"/>
      <c r="CB1458" s="4" t="n"/>
      <c r="CC1458" s="4" t="n"/>
      <c r="CD1458" s="4" t="n"/>
      <c r="CE1458" s="4" t="n"/>
      <c r="CF1458" s="4" t="n"/>
      <c r="CG1458" s="4" t="n"/>
      <c r="CH1458" s="4" t="n"/>
      <c r="CI1458" s="4" t="n"/>
      <c r="CJ1458" s="4" t="n"/>
      <c r="CK1458" s="4" t="n"/>
      <c r="CL1458" s="4" t="n"/>
      <c r="CM1458" s="4" t="n"/>
      <c r="CN1458" s="4" t="n"/>
      <c r="CO1458" s="4" t="n"/>
      <c r="CP1458" s="4" t="n"/>
      <c r="CQ1458" s="4" t="n"/>
      <c r="CR1458" s="4" t="n"/>
      <c r="CS1458" s="4" t="n"/>
      <c r="CT1458" s="4" t="n"/>
      <c r="CU1458" s="4" t="n"/>
      <c r="CV1458" s="4" t="n"/>
      <c r="CW1458" s="4" t="n"/>
      <c r="CX1458" s="4" t="n"/>
      <c r="CY1458" s="4" t="n"/>
      <c r="CZ1458" s="4" t="n"/>
      <c r="DA1458" s="4" t="n"/>
      <c r="DB1458" s="4" t="n"/>
      <c r="DC1458" s="4" t="n"/>
      <c r="DD1458" s="4" t="n"/>
      <c r="DE1458" s="4" t="n"/>
      <c r="DF1458" s="4" t="n"/>
      <c r="DG1458" s="4" t="n"/>
      <c r="DH1458" s="4" t="n"/>
      <c r="DI1458" s="4" t="n"/>
      <c r="DJ1458" s="4" t="n"/>
      <c r="DK1458" s="4" t="n"/>
      <c r="DL1458" s="4" t="n"/>
      <c r="DM1458" s="4" t="n"/>
      <c r="DN1458" s="4" t="n"/>
      <c r="DO1458" s="4" t="n"/>
      <c r="DP1458" s="4" t="n"/>
      <c r="DQ1458" s="4" t="n"/>
      <c r="DR1458" s="4" t="n"/>
      <c r="DS1458" s="4" t="n"/>
      <c r="DT1458" s="4" t="n"/>
      <c r="DU1458" s="4" t="n"/>
      <c r="DV1458" s="4" t="n"/>
      <c r="DW1458" s="4" t="n"/>
      <c r="DX1458" s="4" t="n"/>
      <c r="DY1458" s="4" t="n"/>
      <c r="DZ1458" s="4" t="n"/>
      <c r="EA1458" s="4" t="n"/>
      <c r="EB1458" s="4" t="n"/>
      <c r="EC1458" s="4" t="n"/>
      <c r="ED1458" s="4" t="n"/>
      <c r="EE1458" s="4" t="n"/>
      <c r="EF1458" s="4" t="n"/>
      <c r="EG1458" s="4" t="n"/>
      <c r="EH1458" s="4" t="n"/>
      <c r="EI1458" s="4" t="n"/>
      <c r="EJ1458" s="4" t="n"/>
      <c r="EK1458" s="4" t="n"/>
      <c r="EL1458" s="4" t="n"/>
      <c r="EM1458" s="4" t="n"/>
      <c r="EN1458" s="4" t="n"/>
      <c r="EO1458" s="4" t="n"/>
      <c r="EP1458" s="4" t="n"/>
      <c r="EQ1458" s="4" t="n"/>
      <c r="ER1458" s="4" t="n"/>
      <c r="ES1458" s="4" t="n"/>
      <c r="ET1458" s="4" t="n"/>
      <c r="EU1458" s="4" t="n"/>
      <c r="EV1458" s="4" t="n"/>
      <c r="EW1458" s="4" t="n"/>
      <c r="EX1458" s="4" t="n"/>
      <c r="EY1458" s="4" t="n"/>
      <c r="EZ1458" s="4" t="n"/>
      <c r="FA1458" s="4" t="n"/>
      <c r="FB1458" s="4" t="n"/>
      <c r="FC1458" s="4" t="n"/>
    </row>
  </sheetData>
  <conditionalFormatting sqref="B5">
    <cfRule type="cellIs" priority="11" operator="notEqual" dxfId="1">
      <formula>0</formula>
    </cfRule>
    <cfRule type="expression" priority="12" dxfId="1">
      <formula>"$B$6&lt;&gt;0"</formula>
    </cfRule>
  </conditionalFormatting>
  <conditionalFormatting sqref="B5:C5">
    <cfRule type="cellIs" priority="13" operator="equal" dxfId="5">
      <formula>0</formula>
    </cfRule>
  </conditionalFormatting>
  <conditionalFormatting sqref="C5">
    <cfRule type="cellIs" priority="14" operator="notEqual" dxfId="0">
      <formula>0</formula>
    </cfRule>
  </conditionalFormatting>
  <conditionalFormatting sqref="H5">
    <cfRule type="expression" priority="7" dxfId="1">
      <formula>sysCheck&lt;&gt;0</formula>
    </cfRule>
    <cfRule type="expression" priority="8" dxfId="0">
      <formula>sysAlert&lt;&gt;0</formula>
    </cfRule>
    <cfRule type="expression" priority="9" dxfId="1">
      <formula>sysCheck&lt;&gt;0</formula>
    </cfRule>
    <cfRule type="expression" priority="10" dxfId="0">
      <formula>sysAlert&lt;&gt;0</formula>
    </cfRule>
  </conditionalFormatting>
  <conditionalFormatting sqref="M7:Q7">
    <cfRule type="containsText" priority="4" operator="containsText" dxfId="9" text="Forecast">
      <formula>NOT(ISERROR(SEARCH("Forecast",M7)))</formula>
    </cfRule>
    <cfRule type="containsText" priority="5" operator="containsText" dxfId="8" text="Actual">
      <formula>NOT(ISERROR(SEARCH("Actual",M7)))</formula>
    </cfRule>
  </conditionalFormatting>
  <conditionalFormatting sqref="T7:CA7">
    <cfRule type="containsText" priority="2" operator="containsText" dxfId="9" text="Forecast">
      <formula>NOT(ISERROR(SEARCH("Forecast",T7)))</formula>
    </cfRule>
    <cfRule type="containsText" priority="3" operator="containsText" dxfId="8" text="Actual">
      <formula>NOT(ISERROR(SEARCH("Actual",T7)))</formula>
    </cfRule>
  </conditionalFormatting>
  <hyperlinks>
    <hyperlink ref="H4" location="'Front Sheet'!A1" display="LINK TO FRONT SHEET"/>
    <hyperlink ref="H5" location="sht_sysCheck" display="sht_sysCheck"/>
  </hyperlinks>
  <pageMargins left="0.2362204724409449" right="0.2362204724409449" top="0.7480314960629921" bottom="0.7480314960629921" header="0.3149606299212598" footer="0.3149606299212598"/>
  <pageSetup orientation="landscape" paperSize="8" scale="36" fitToHeight="0"/>
  <headerFooter>
    <oddHeader>&amp;L&amp;A&amp;R - Confidential</oddHeader>
    <oddFooter>&amp;L&amp;F&amp;CPage &amp;P of &amp;N&amp;RPrinted on: &amp;D &amp;T</oddFooter>
    <evenHeader/>
    <evenFooter/>
    <firstHeader/>
    <firstFooter/>
  </headerFooter>
</worksheet>
</file>

<file path=xl/worksheets/sheet7.xml><?xml version="1.0" encoding="utf-8"?>
<worksheet xmlns="http://schemas.openxmlformats.org/spreadsheetml/2006/main">
  <sheetPr>
    <tabColor rgb="FF002060"/>
    <outlinePr summaryBelow="1" summaryRight="1"/>
    <pageSetUpPr/>
  </sheetPr>
  <dimension ref="A1:EK290"/>
  <sheetViews>
    <sheetView showGridLines="0" zoomScale="70" zoomScaleNormal="70" workbookViewId="0">
      <pane xSplit="11" ySplit="8" topLeftCell="L9" activePane="bottomRight" state="frozen"/>
      <selection activeCell="P48" sqref="P48"/>
      <selection pane="topRight" activeCell="P48" sqref="P48"/>
      <selection pane="bottomLeft" activeCell="P48" sqref="P48"/>
      <selection pane="bottomRight" activeCell="P48" sqref="P48"/>
    </sheetView>
  </sheetViews>
  <sheetFormatPr baseColWidth="8" defaultColWidth="0" defaultRowHeight="12" zeroHeight="1"/>
  <cols>
    <col width="1.5703125" customWidth="1" style="6" min="1" max="1"/>
    <col width="4.140625" customWidth="1" style="6" min="2" max="2"/>
    <col width="4.140625" customWidth="1" style="4" min="3" max="3"/>
    <col width="4.42578125" customWidth="1" style="4" min="4" max="4"/>
    <col width="5.140625" customWidth="1" style="4" min="5" max="5"/>
    <col width="3.5703125" customWidth="1" style="4" min="6" max="7"/>
    <col width="34.85546875" customWidth="1" style="4" min="8" max="8"/>
    <col width="9" customWidth="1" style="4" min="9" max="9"/>
    <col width="2.5703125" customWidth="1" style="4" min="10" max="10"/>
    <col width="12.7109375" customWidth="1" style="4" min="11" max="11"/>
    <col width="2.140625" customWidth="1" style="4" min="12" max="12"/>
    <col width="14.42578125" customWidth="1" style="4" min="13" max="17"/>
    <col width="12.7109375" customWidth="1" style="4" min="18" max="19"/>
    <col width="14.7109375" customWidth="1" style="4" min="20" max="79"/>
    <col width="4.42578125" customWidth="1" style="4" min="80" max="80"/>
    <col hidden="1" width="12.7109375" customWidth="1" style="4" min="81" max="16384"/>
  </cols>
  <sheetData>
    <row r="1" ht="17.65" customFormat="1" customHeight="1" s="2">
      <c r="A1" s="99" t="n"/>
      <c r="B1" s="99">
        <f>i_Setup!$M$13&amp;" Financial Projection"</f>
        <v/>
      </c>
      <c r="C1" s="99" t="n"/>
      <c r="D1" s="99" t="n"/>
      <c r="E1" s="99" t="n"/>
      <c r="F1" s="99" t="n"/>
      <c r="G1" s="99" t="n"/>
      <c r="H1" s="99" t="n"/>
      <c r="I1" s="97" t="n"/>
      <c r="J1" s="97" t="n"/>
      <c r="K1" s="127" t="inlineStr">
        <is>
          <t>Start date</t>
        </is>
      </c>
      <c r="L1" s="127" t="n"/>
      <c r="M1" s="138">
        <f>DATE(i_Setup!$M$19,1,1)</f>
        <v/>
      </c>
      <c r="N1" s="138">
        <f>M2+1</f>
        <v/>
      </c>
      <c r="O1" s="138">
        <f>N2+1</f>
        <v/>
      </c>
      <c r="P1" s="138">
        <f>O2+1</f>
        <v/>
      </c>
      <c r="Q1" s="138">
        <f>P2+1</f>
        <v/>
      </c>
      <c r="R1" s="138" t="n"/>
      <c r="S1" s="138" t="n"/>
      <c r="T1" s="138">
        <f>DATE(i_Setup!$M$19,1,1)</f>
        <v/>
      </c>
      <c r="U1" s="138">
        <f>T2+1</f>
        <v/>
      </c>
      <c r="V1" s="138">
        <f>U2+1</f>
        <v/>
      </c>
      <c r="W1" s="138">
        <f>V2+1</f>
        <v/>
      </c>
      <c r="X1" s="138">
        <f>W2+1</f>
        <v/>
      </c>
      <c r="Y1" s="138">
        <f>X2+1</f>
        <v/>
      </c>
      <c r="Z1" s="138">
        <f>Y2+1</f>
        <v/>
      </c>
      <c r="AA1" s="138">
        <f>Z2+1</f>
        <v/>
      </c>
      <c r="AB1" s="138">
        <f>AA2+1</f>
        <v/>
      </c>
      <c r="AC1" s="138">
        <f>AB2+1</f>
        <v/>
      </c>
      <c r="AD1" s="138">
        <f>AC2+1</f>
        <v/>
      </c>
      <c r="AE1" s="138">
        <f>AD2+1</f>
        <v/>
      </c>
      <c r="AF1" s="138">
        <f>AE2+1</f>
        <v/>
      </c>
      <c r="AG1" s="138">
        <f>AF2+1</f>
        <v/>
      </c>
      <c r="AH1" s="138">
        <f>AG2+1</f>
        <v/>
      </c>
      <c r="AI1" s="138">
        <f>AH2+1</f>
        <v/>
      </c>
      <c r="AJ1" s="138">
        <f>AI2+1</f>
        <v/>
      </c>
      <c r="AK1" s="138">
        <f>AJ2+1</f>
        <v/>
      </c>
      <c r="AL1" s="138">
        <f>AK2+1</f>
        <v/>
      </c>
      <c r="AM1" s="138">
        <f>AL2+1</f>
        <v/>
      </c>
      <c r="AN1" s="138">
        <f>AM2+1</f>
        <v/>
      </c>
      <c r="AO1" s="138">
        <f>AN2+1</f>
        <v/>
      </c>
      <c r="AP1" s="138">
        <f>AO2+1</f>
        <v/>
      </c>
      <c r="AQ1" s="138">
        <f>AP2+1</f>
        <v/>
      </c>
      <c r="AR1" s="138">
        <f>AQ2+1</f>
        <v/>
      </c>
      <c r="AS1" s="138">
        <f>AR2+1</f>
        <v/>
      </c>
      <c r="AT1" s="138">
        <f>AS2+1</f>
        <v/>
      </c>
      <c r="AU1" s="138">
        <f>AT2+1</f>
        <v/>
      </c>
      <c r="AV1" s="138">
        <f>AU2+1</f>
        <v/>
      </c>
      <c r="AW1" s="138">
        <f>AV2+1</f>
        <v/>
      </c>
      <c r="AX1" s="138">
        <f>AW2+1</f>
        <v/>
      </c>
      <c r="AY1" s="138">
        <f>AX2+1</f>
        <v/>
      </c>
      <c r="AZ1" s="138">
        <f>AY2+1</f>
        <v/>
      </c>
      <c r="BA1" s="138">
        <f>AZ2+1</f>
        <v/>
      </c>
      <c r="BB1" s="138">
        <f>BA2+1</f>
        <v/>
      </c>
      <c r="BC1" s="138">
        <f>BB2+1</f>
        <v/>
      </c>
      <c r="BD1" s="138">
        <f>BC2+1</f>
        <v/>
      </c>
      <c r="BE1" s="138">
        <f>BD2+1</f>
        <v/>
      </c>
      <c r="BF1" s="138">
        <f>BE2+1</f>
        <v/>
      </c>
      <c r="BG1" s="138">
        <f>BF2+1</f>
        <v/>
      </c>
      <c r="BH1" s="138">
        <f>BG2+1</f>
        <v/>
      </c>
      <c r="BI1" s="138">
        <f>BH2+1</f>
        <v/>
      </c>
      <c r="BJ1" s="138">
        <f>BI2+1</f>
        <v/>
      </c>
      <c r="BK1" s="138">
        <f>BJ2+1</f>
        <v/>
      </c>
      <c r="BL1" s="138">
        <f>BK2+1</f>
        <v/>
      </c>
      <c r="BM1" s="138">
        <f>BL2+1</f>
        <v/>
      </c>
      <c r="BN1" s="138">
        <f>BM2+1</f>
        <v/>
      </c>
      <c r="BO1" s="138">
        <f>BN2+1</f>
        <v/>
      </c>
      <c r="BP1" s="138">
        <f>BO2+1</f>
        <v/>
      </c>
      <c r="BQ1" s="138">
        <f>BP2+1</f>
        <v/>
      </c>
      <c r="BR1" s="138">
        <f>BQ2+1</f>
        <v/>
      </c>
      <c r="BS1" s="138">
        <f>BR2+1</f>
        <v/>
      </c>
      <c r="BT1" s="138">
        <f>BS2+1</f>
        <v/>
      </c>
      <c r="BU1" s="138">
        <f>BT2+1</f>
        <v/>
      </c>
      <c r="BV1" s="138">
        <f>BU2+1</f>
        <v/>
      </c>
      <c r="BW1" s="138">
        <f>BV2+1</f>
        <v/>
      </c>
      <c r="BX1" s="138">
        <f>BW2+1</f>
        <v/>
      </c>
      <c r="BY1" s="138">
        <f>BX2+1</f>
        <v/>
      </c>
      <c r="BZ1" s="138">
        <f>BY2+1</f>
        <v/>
      </c>
      <c r="CA1" s="138">
        <f>BZ2+1</f>
        <v/>
      </c>
      <c r="CB1" s="133" t="n"/>
    </row>
    <row r="2" ht="17.65" customFormat="1" customHeight="1" s="1">
      <c r="A2" s="99" t="n"/>
      <c r="B2" s="98">
        <f>MID(CELL("filename",C1),FIND("]",CELL("filename",C1))+1,256)</f>
        <v/>
      </c>
      <c r="C2" s="99" t="n"/>
      <c r="D2" s="99" t="n"/>
      <c r="E2" s="99" t="n"/>
      <c r="F2" s="99" t="n"/>
      <c r="G2" s="99" t="n"/>
      <c r="H2" s="99" t="n"/>
      <c r="I2" s="97" t="n"/>
      <c r="J2" s="100" t="n"/>
      <c r="K2" s="127" t="inlineStr">
        <is>
          <t>End date</t>
        </is>
      </c>
      <c r="L2" s="127" t="n"/>
      <c r="M2" s="138">
        <f>EDATE(M$1,12)-1</f>
        <v/>
      </c>
      <c r="N2" s="138">
        <f>EDATE(N$1,12)-1</f>
        <v/>
      </c>
      <c r="O2" s="138">
        <f>EDATE(O$1,12)-1</f>
        <v/>
      </c>
      <c r="P2" s="138">
        <f>EDATE(P$1,12)-1</f>
        <v/>
      </c>
      <c r="Q2" s="138">
        <f>EDATE(Q$1,12)-1</f>
        <v/>
      </c>
      <c r="R2" s="138" t="n"/>
      <c r="S2" s="138" t="n"/>
      <c r="T2" s="138">
        <f>EDATE(T$1,1)-1</f>
        <v/>
      </c>
      <c r="U2" s="138">
        <f>EDATE(U$1,1)-1</f>
        <v/>
      </c>
      <c r="V2" s="138">
        <f>EDATE(V$1,1)-1</f>
        <v/>
      </c>
      <c r="W2" s="138">
        <f>EDATE(W$1,1)-1</f>
        <v/>
      </c>
      <c r="X2" s="138">
        <f>EDATE(X$1,1)-1</f>
        <v/>
      </c>
      <c r="Y2" s="138">
        <f>EDATE(Y$1,1)-1</f>
        <v/>
      </c>
      <c r="Z2" s="138">
        <f>EDATE(Z$1,1)-1</f>
        <v/>
      </c>
      <c r="AA2" s="138">
        <f>EDATE(AA$1,1)-1</f>
        <v/>
      </c>
      <c r="AB2" s="138">
        <f>EDATE(AB$1,1)-1</f>
        <v/>
      </c>
      <c r="AC2" s="138">
        <f>EDATE(AC$1,1)-1</f>
        <v/>
      </c>
      <c r="AD2" s="138">
        <f>EDATE(AD$1,1)-1</f>
        <v/>
      </c>
      <c r="AE2" s="138">
        <f>EDATE(AE$1,1)-1</f>
        <v/>
      </c>
      <c r="AF2" s="138">
        <f>EDATE(AF$1,1)-1</f>
        <v/>
      </c>
      <c r="AG2" s="138">
        <f>EDATE(AG$1,1)-1</f>
        <v/>
      </c>
      <c r="AH2" s="138">
        <f>EDATE(AH$1,1)-1</f>
        <v/>
      </c>
      <c r="AI2" s="138">
        <f>EDATE(AI$1,1)-1</f>
        <v/>
      </c>
      <c r="AJ2" s="138">
        <f>EDATE(AJ$1,1)-1</f>
        <v/>
      </c>
      <c r="AK2" s="138">
        <f>EDATE(AK$1,1)-1</f>
        <v/>
      </c>
      <c r="AL2" s="138">
        <f>EDATE(AL$1,1)-1</f>
        <v/>
      </c>
      <c r="AM2" s="138">
        <f>EDATE(AM$1,1)-1</f>
        <v/>
      </c>
      <c r="AN2" s="138">
        <f>EDATE(AN$1,1)-1</f>
        <v/>
      </c>
      <c r="AO2" s="138">
        <f>EDATE(AO$1,1)-1</f>
        <v/>
      </c>
      <c r="AP2" s="138">
        <f>EDATE(AP$1,1)-1</f>
        <v/>
      </c>
      <c r="AQ2" s="138">
        <f>EDATE(AQ$1,1)-1</f>
        <v/>
      </c>
      <c r="AR2" s="138">
        <f>EDATE(AR$1,1)-1</f>
        <v/>
      </c>
      <c r="AS2" s="138">
        <f>EDATE(AS$1,1)-1</f>
        <v/>
      </c>
      <c r="AT2" s="138">
        <f>EDATE(AT$1,1)-1</f>
        <v/>
      </c>
      <c r="AU2" s="138">
        <f>EDATE(AU$1,1)-1</f>
        <v/>
      </c>
      <c r="AV2" s="138">
        <f>EDATE(AV$1,1)-1</f>
        <v/>
      </c>
      <c r="AW2" s="138">
        <f>EDATE(AW$1,1)-1</f>
        <v/>
      </c>
      <c r="AX2" s="138">
        <f>EDATE(AX$1,1)-1</f>
        <v/>
      </c>
      <c r="AY2" s="138">
        <f>EDATE(AY$1,1)-1</f>
        <v/>
      </c>
      <c r="AZ2" s="138">
        <f>EDATE(AZ$1,1)-1</f>
        <v/>
      </c>
      <c r="BA2" s="138">
        <f>EDATE(BA$1,1)-1</f>
        <v/>
      </c>
      <c r="BB2" s="138">
        <f>EDATE(BB$1,1)-1</f>
        <v/>
      </c>
      <c r="BC2" s="138">
        <f>EDATE(BC$1,1)-1</f>
        <v/>
      </c>
      <c r="BD2" s="138">
        <f>EDATE(BD$1,1)-1</f>
        <v/>
      </c>
      <c r="BE2" s="138">
        <f>EDATE(BE$1,1)-1</f>
        <v/>
      </c>
      <c r="BF2" s="138">
        <f>EDATE(BF$1,1)-1</f>
        <v/>
      </c>
      <c r="BG2" s="138">
        <f>EDATE(BG$1,1)-1</f>
        <v/>
      </c>
      <c r="BH2" s="138">
        <f>EDATE(BH$1,1)-1</f>
        <v/>
      </c>
      <c r="BI2" s="138">
        <f>EDATE(BI$1,1)-1</f>
        <v/>
      </c>
      <c r="BJ2" s="138">
        <f>EDATE(BJ$1,1)-1</f>
        <v/>
      </c>
      <c r="BK2" s="138">
        <f>EDATE(BK$1,1)-1</f>
        <v/>
      </c>
      <c r="BL2" s="138">
        <f>EDATE(BL$1,1)-1</f>
        <v/>
      </c>
      <c r="BM2" s="138">
        <f>EDATE(BM$1,1)-1</f>
        <v/>
      </c>
      <c r="BN2" s="138">
        <f>EDATE(BN$1,1)-1</f>
        <v/>
      </c>
      <c r="BO2" s="138">
        <f>EDATE(BO$1,1)-1</f>
        <v/>
      </c>
      <c r="BP2" s="138">
        <f>EDATE(BP$1,1)-1</f>
        <v/>
      </c>
      <c r="BQ2" s="138">
        <f>EDATE(BQ$1,1)-1</f>
        <v/>
      </c>
      <c r="BR2" s="138">
        <f>EDATE(BR$1,1)-1</f>
        <v/>
      </c>
      <c r="BS2" s="138">
        <f>EDATE(BS$1,1)-1</f>
        <v/>
      </c>
      <c r="BT2" s="138">
        <f>EDATE(BT$1,1)-1</f>
        <v/>
      </c>
      <c r="BU2" s="138">
        <f>EDATE(BU$1,1)-1</f>
        <v/>
      </c>
      <c r="BV2" s="138">
        <f>EDATE(BV$1,1)-1</f>
        <v/>
      </c>
      <c r="BW2" s="138">
        <f>EDATE(BW$1,1)-1</f>
        <v/>
      </c>
      <c r="BX2" s="138">
        <f>EDATE(BX$1,1)-1</f>
        <v/>
      </c>
      <c r="BY2" s="138">
        <f>EDATE(BY$1,1)-1</f>
        <v/>
      </c>
      <c r="BZ2" s="138">
        <f>EDATE(BZ$1,1)-1</f>
        <v/>
      </c>
      <c r="CA2" s="138">
        <f>EDATE(CA$1,1)-1</f>
        <v/>
      </c>
      <c r="CB2" s="134" t="n"/>
    </row>
    <row r="3" ht="17.65" customHeight="1" s="227">
      <c r="A3" s="99" t="n"/>
      <c r="B3" s="99" t="n"/>
      <c r="C3" s="99" t="n"/>
      <c r="D3" s="99" t="n"/>
      <c r="E3" s="99" t="n"/>
      <c r="F3" s="99" t="n"/>
      <c r="G3" s="99" t="n"/>
      <c r="H3" s="99" t="n"/>
      <c r="I3" s="100" t="n"/>
      <c r="J3" s="124" t="n"/>
      <c r="K3" s="127" t="inlineStr">
        <is>
          <t>Timeline</t>
        </is>
      </c>
      <c r="L3" s="127" t="n"/>
      <c r="M3" s="139" t="inlineStr">
        <is>
          <t>ANNUAL</t>
        </is>
      </c>
      <c r="N3" s="139" t="inlineStr">
        <is>
          <t>ANNUAL</t>
        </is>
      </c>
      <c r="O3" s="139" t="inlineStr">
        <is>
          <t>ANNUAL</t>
        </is>
      </c>
      <c r="P3" s="139" t="inlineStr">
        <is>
          <t>ANNUAL</t>
        </is>
      </c>
      <c r="Q3" s="139" t="inlineStr">
        <is>
          <t>ANNUAL</t>
        </is>
      </c>
      <c r="R3" s="139" t="n"/>
      <c r="S3" s="139" t="n"/>
      <c r="T3" s="139" t="inlineStr">
        <is>
          <t>MONTHLY</t>
        </is>
      </c>
      <c r="U3" s="139" t="inlineStr">
        <is>
          <t>MONTHLY</t>
        </is>
      </c>
      <c r="V3" s="139" t="inlineStr">
        <is>
          <t>MONTHLY</t>
        </is>
      </c>
      <c r="W3" s="139" t="inlineStr">
        <is>
          <t>MONTHLY</t>
        </is>
      </c>
      <c r="X3" s="139" t="inlineStr">
        <is>
          <t>MONTHLY</t>
        </is>
      </c>
      <c r="Y3" s="139" t="inlineStr">
        <is>
          <t>MONTHLY</t>
        </is>
      </c>
      <c r="Z3" s="139" t="inlineStr">
        <is>
          <t>MONTHLY</t>
        </is>
      </c>
      <c r="AA3" s="139" t="inlineStr">
        <is>
          <t>MONTHLY</t>
        </is>
      </c>
      <c r="AB3" s="139" t="inlineStr">
        <is>
          <t>MONTHLY</t>
        </is>
      </c>
      <c r="AC3" s="139" t="inlineStr">
        <is>
          <t>MONTHLY</t>
        </is>
      </c>
      <c r="AD3" s="139" t="inlineStr">
        <is>
          <t>MONTHLY</t>
        </is>
      </c>
      <c r="AE3" s="139" t="inlineStr">
        <is>
          <t>MONTHLY</t>
        </is>
      </c>
      <c r="AF3" s="139" t="inlineStr">
        <is>
          <t>MONTHLY</t>
        </is>
      </c>
      <c r="AG3" s="139" t="inlineStr">
        <is>
          <t>MONTHLY</t>
        </is>
      </c>
      <c r="AH3" s="139" t="inlineStr">
        <is>
          <t>MONTHLY</t>
        </is>
      </c>
      <c r="AI3" s="139" t="inlineStr">
        <is>
          <t>MONTHLY</t>
        </is>
      </c>
      <c r="AJ3" s="139" t="inlineStr">
        <is>
          <t>MONTHLY</t>
        </is>
      </c>
      <c r="AK3" s="139" t="inlineStr">
        <is>
          <t>MONTHLY</t>
        </is>
      </c>
      <c r="AL3" s="139" t="inlineStr">
        <is>
          <t>MONTHLY</t>
        </is>
      </c>
      <c r="AM3" s="139" t="inlineStr">
        <is>
          <t>MONTHLY</t>
        </is>
      </c>
      <c r="AN3" s="139" t="inlineStr">
        <is>
          <t>MONTHLY</t>
        </is>
      </c>
      <c r="AO3" s="139" t="inlineStr">
        <is>
          <t>MONTHLY</t>
        </is>
      </c>
      <c r="AP3" s="139" t="inlineStr">
        <is>
          <t>MONTHLY</t>
        </is>
      </c>
      <c r="AQ3" s="139" t="inlineStr">
        <is>
          <t>MONTHLY</t>
        </is>
      </c>
      <c r="AR3" s="139" t="inlineStr">
        <is>
          <t>MONTHLY</t>
        </is>
      </c>
      <c r="AS3" s="139" t="inlineStr">
        <is>
          <t>MONTHLY</t>
        </is>
      </c>
      <c r="AT3" s="139" t="inlineStr">
        <is>
          <t>MONTHLY</t>
        </is>
      </c>
      <c r="AU3" s="139" t="inlineStr">
        <is>
          <t>MONTHLY</t>
        </is>
      </c>
      <c r="AV3" s="139" t="inlineStr">
        <is>
          <t>MONTHLY</t>
        </is>
      </c>
      <c r="AW3" s="139" t="inlineStr">
        <is>
          <t>MONTHLY</t>
        </is>
      </c>
      <c r="AX3" s="139" t="inlineStr">
        <is>
          <t>MONTHLY</t>
        </is>
      </c>
      <c r="AY3" s="139" t="inlineStr">
        <is>
          <t>MONTHLY</t>
        </is>
      </c>
      <c r="AZ3" s="139" t="inlineStr">
        <is>
          <t>MONTHLY</t>
        </is>
      </c>
      <c r="BA3" s="139" t="inlineStr">
        <is>
          <t>MONTHLY</t>
        </is>
      </c>
      <c r="BB3" s="139" t="inlineStr">
        <is>
          <t>MONTHLY</t>
        </is>
      </c>
      <c r="BC3" s="139" t="inlineStr">
        <is>
          <t>MONTHLY</t>
        </is>
      </c>
      <c r="BD3" s="139" t="inlineStr">
        <is>
          <t>MONTHLY</t>
        </is>
      </c>
      <c r="BE3" s="139" t="inlineStr">
        <is>
          <t>MONTHLY</t>
        </is>
      </c>
      <c r="BF3" s="139" t="inlineStr">
        <is>
          <t>MONTHLY</t>
        </is>
      </c>
      <c r="BG3" s="139" t="inlineStr">
        <is>
          <t>MONTHLY</t>
        </is>
      </c>
      <c r="BH3" s="139" t="inlineStr">
        <is>
          <t>MONTHLY</t>
        </is>
      </c>
      <c r="BI3" s="139" t="inlineStr">
        <is>
          <t>MONTHLY</t>
        </is>
      </c>
      <c r="BJ3" s="139" t="inlineStr">
        <is>
          <t>MONTHLY</t>
        </is>
      </c>
      <c r="BK3" s="139" t="inlineStr">
        <is>
          <t>MONTHLY</t>
        </is>
      </c>
      <c r="BL3" s="139" t="inlineStr">
        <is>
          <t>MONTHLY</t>
        </is>
      </c>
      <c r="BM3" s="139" t="inlineStr">
        <is>
          <t>MONTHLY</t>
        </is>
      </c>
      <c r="BN3" s="139" t="inlineStr">
        <is>
          <t>MONTHLY</t>
        </is>
      </c>
      <c r="BO3" s="139" t="inlineStr">
        <is>
          <t>MONTHLY</t>
        </is>
      </c>
      <c r="BP3" s="139" t="inlineStr">
        <is>
          <t>MONTHLY</t>
        </is>
      </c>
      <c r="BQ3" s="139" t="inlineStr">
        <is>
          <t>MONTHLY</t>
        </is>
      </c>
      <c r="BR3" s="139" t="inlineStr">
        <is>
          <t>MONTHLY</t>
        </is>
      </c>
      <c r="BS3" s="139" t="inlineStr">
        <is>
          <t>MONTHLY</t>
        </is>
      </c>
      <c r="BT3" s="139" t="inlineStr">
        <is>
          <t>MONTHLY</t>
        </is>
      </c>
      <c r="BU3" s="139" t="inlineStr">
        <is>
          <t>MONTHLY</t>
        </is>
      </c>
      <c r="BV3" s="139" t="inlineStr">
        <is>
          <t>MONTHLY</t>
        </is>
      </c>
      <c r="BW3" s="139" t="inlineStr">
        <is>
          <t>MONTHLY</t>
        </is>
      </c>
      <c r="BX3" s="139" t="inlineStr">
        <is>
          <t>MONTHLY</t>
        </is>
      </c>
      <c r="BY3" s="139" t="inlineStr">
        <is>
          <t>MONTHLY</t>
        </is>
      </c>
      <c r="BZ3" s="139" t="inlineStr">
        <is>
          <t>MONTHLY</t>
        </is>
      </c>
      <c r="CA3" s="139" t="inlineStr">
        <is>
          <t>MONTHLY</t>
        </is>
      </c>
      <c r="CB3" s="130" t="n"/>
    </row>
    <row r="4" ht="17.65" customHeight="1" s="227">
      <c r="A4" s="101" t="n"/>
      <c r="B4" s="105" t="inlineStr">
        <is>
          <t>Tab Check</t>
        </is>
      </c>
      <c r="C4" s="106" t="n"/>
      <c r="D4" s="107" t="n"/>
      <c r="E4" s="99" t="n"/>
      <c r="F4" s="101" t="n"/>
      <c r="G4" s="101" t="n"/>
      <c r="H4" s="26" t="inlineStr">
        <is>
          <t>LINK TO FRONT SHEET</t>
        </is>
      </c>
      <c r="I4" s="101" t="n"/>
      <c r="J4" s="101" t="n"/>
      <c r="K4" s="127" t="inlineStr">
        <is>
          <t>Year index</t>
        </is>
      </c>
      <c r="L4" s="127" t="n"/>
      <c r="M4" s="241" t="n">
        <v>1</v>
      </c>
      <c r="N4" s="241">
        <f>M$4+1</f>
        <v/>
      </c>
      <c r="O4" s="241">
        <f>N$4+1</f>
        <v/>
      </c>
      <c r="P4" s="241">
        <f>O$4+1</f>
        <v/>
      </c>
      <c r="Q4" s="241">
        <f>P$4+1</f>
        <v/>
      </c>
      <c r="R4" s="241" t="n"/>
      <c r="S4" s="241" t="n"/>
      <c r="T4" s="241">
        <f>YEAR(T2)-(YEAR($M$1)-1)</f>
        <v/>
      </c>
      <c r="U4" s="241">
        <f>YEAR(U2)-(YEAR($M$1)-1)</f>
        <v/>
      </c>
      <c r="V4" s="241">
        <f>YEAR(V2)-(YEAR($M$1)-1)</f>
        <v/>
      </c>
      <c r="W4" s="241">
        <f>YEAR(W2)-(YEAR($M$1)-1)</f>
        <v/>
      </c>
      <c r="X4" s="241">
        <f>YEAR(X2)-(YEAR($M$1)-1)</f>
        <v/>
      </c>
      <c r="Y4" s="241">
        <f>YEAR(Y2)-(YEAR($M$1)-1)</f>
        <v/>
      </c>
      <c r="Z4" s="241">
        <f>YEAR(Z2)-(YEAR($M$1)-1)</f>
        <v/>
      </c>
      <c r="AA4" s="241">
        <f>YEAR(AA2)-(YEAR($M$1)-1)</f>
        <v/>
      </c>
      <c r="AB4" s="241">
        <f>YEAR(AB2)-(YEAR($M$1)-1)</f>
        <v/>
      </c>
      <c r="AC4" s="241">
        <f>YEAR(AC2)-(YEAR($M$1)-1)</f>
        <v/>
      </c>
      <c r="AD4" s="241">
        <f>YEAR(AD2)-(YEAR($M$1)-1)</f>
        <v/>
      </c>
      <c r="AE4" s="241">
        <f>YEAR(AE2)-(YEAR($M$1)-1)</f>
        <v/>
      </c>
      <c r="AF4" s="241">
        <f>YEAR(AF2)-(YEAR($M$1)-1)</f>
        <v/>
      </c>
      <c r="AG4" s="241">
        <f>YEAR(AG2)-(YEAR($M$1)-1)</f>
        <v/>
      </c>
      <c r="AH4" s="241">
        <f>YEAR(AH2)-(YEAR($M$1)-1)</f>
        <v/>
      </c>
      <c r="AI4" s="241">
        <f>YEAR(AI2)-(YEAR($M$1)-1)</f>
        <v/>
      </c>
      <c r="AJ4" s="241">
        <f>YEAR(AJ2)-(YEAR($M$1)-1)</f>
        <v/>
      </c>
      <c r="AK4" s="241">
        <f>YEAR(AK2)-(YEAR($M$1)-1)</f>
        <v/>
      </c>
      <c r="AL4" s="241">
        <f>YEAR(AL2)-(YEAR($M$1)-1)</f>
        <v/>
      </c>
      <c r="AM4" s="241">
        <f>YEAR(AM2)-(YEAR($M$1)-1)</f>
        <v/>
      </c>
      <c r="AN4" s="241">
        <f>YEAR(AN2)-(YEAR($M$1)-1)</f>
        <v/>
      </c>
      <c r="AO4" s="241">
        <f>YEAR(AO2)-(YEAR($M$1)-1)</f>
        <v/>
      </c>
      <c r="AP4" s="241">
        <f>YEAR(AP2)-(YEAR($M$1)-1)</f>
        <v/>
      </c>
      <c r="AQ4" s="241">
        <f>YEAR(AQ2)-(YEAR($M$1)-1)</f>
        <v/>
      </c>
      <c r="AR4" s="241">
        <f>YEAR(AR2)-(YEAR($M$1)-1)</f>
        <v/>
      </c>
      <c r="AS4" s="241">
        <f>YEAR(AS2)-(YEAR($M$1)-1)</f>
        <v/>
      </c>
      <c r="AT4" s="241">
        <f>YEAR(AT2)-(YEAR($M$1)-1)</f>
        <v/>
      </c>
      <c r="AU4" s="241">
        <f>YEAR(AU2)-(YEAR($M$1)-1)</f>
        <v/>
      </c>
      <c r="AV4" s="241">
        <f>YEAR(AV2)-(YEAR($M$1)-1)</f>
        <v/>
      </c>
      <c r="AW4" s="241">
        <f>YEAR(AW2)-(YEAR($M$1)-1)</f>
        <v/>
      </c>
      <c r="AX4" s="241">
        <f>YEAR(AX2)-(YEAR($M$1)-1)</f>
        <v/>
      </c>
      <c r="AY4" s="241">
        <f>YEAR(AY2)-(YEAR($M$1)-1)</f>
        <v/>
      </c>
      <c r="AZ4" s="241">
        <f>YEAR(AZ2)-(YEAR($M$1)-1)</f>
        <v/>
      </c>
      <c r="BA4" s="241">
        <f>YEAR(BA2)-(YEAR($M$1)-1)</f>
        <v/>
      </c>
      <c r="BB4" s="241">
        <f>YEAR(BB2)-(YEAR($M$1)-1)</f>
        <v/>
      </c>
      <c r="BC4" s="241">
        <f>YEAR(BC2)-(YEAR($M$1)-1)</f>
        <v/>
      </c>
      <c r="BD4" s="241">
        <f>YEAR(BD2)-(YEAR($M$1)-1)</f>
        <v/>
      </c>
      <c r="BE4" s="241">
        <f>YEAR(BE2)-(YEAR($M$1)-1)</f>
        <v/>
      </c>
      <c r="BF4" s="241">
        <f>YEAR(BF2)-(YEAR($M$1)-1)</f>
        <v/>
      </c>
      <c r="BG4" s="241">
        <f>YEAR(BG2)-(YEAR($M$1)-1)</f>
        <v/>
      </c>
      <c r="BH4" s="241">
        <f>YEAR(BH2)-(YEAR($M$1)-1)</f>
        <v/>
      </c>
      <c r="BI4" s="241">
        <f>YEAR(BI2)-(YEAR($M$1)-1)</f>
        <v/>
      </c>
      <c r="BJ4" s="241">
        <f>YEAR(BJ2)-(YEAR($M$1)-1)</f>
        <v/>
      </c>
      <c r="BK4" s="241">
        <f>YEAR(BK2)-(YEAR($M$1)-1)</f>
        <v/>
      </c>
      <c r="BL4" s="241">
        <f>YEAR(BL2)-(YEAR($M$1)-1)</f>
        <v/>
      </c>
      <c r="BM4" s="241">
        <f>YEAR(BM2)-(YEAR($M$1)-1)</f>
        <v/>
      </c>
      <c r="BN4" s="241">
        <f>YEAR(BN2)-(YEAR($M$1)-1)</f>
        <v/>
      </c>
      <c r="BO4" s="241">
        <f>YEAR(BO2)-(YEAR($M$1)-1)</f>
        <v/>
      </c>
      <c r="BP4" s="241">
        <f>YEAR(BP2)-(YEAR($M$1)-1)</f>
        <v/>
      </c>
      <c r="BQ4" s="241">
        <f>YEAR(BQ2)-(YEAR($M$1)-1)</f>
        <v/>
      </c>
      <c r="BR4" s="241">
        <f>YEAR(BR2)-(YEAR($M$1)-1)</f>
        <v/>
      </c>
      <c r="BS4" s="241">
        <f>YEAR(BS2)-(YEAR($M$1)-1)</f>
        <v/>
      </c>
      <c r="BT4" s="241">
        <f>YEAR(BT2)-(YEAR($M$1)-1)</f>
        <v/>
      </c>
      <c r="BU4" s="241">
        <f>YEAR(BU2)-(YEAR($M$1)-1)</f>
        <v/>
      </c>
      <c r="BV4" s="241">
        <f>YEAR(BV2)-(YEAR($M$1)-1)</f>
        <v/>
      </c>
      <c r="BW4" s="241">
        <f>YEAR(BW2)-(YEAR($M$1)-1)</f>
        <v/>
      </c>
      <c r="BX4" s="241">
        <f>YEAR(BX2)-(YEAR($M$1)-1)</f>
        <v/>
      </c>
      <c r="BY4" s="241">
        <f>YEAR(BY2)-(YEAR($M$1)-1)</f>
        <v/>
      </c>
      <c r="BZ4" s="241">
        <f>YEAR(BZ2)-(YEAR($M$1)-1)</f>
        <v/>
      </c>
      <c r="CA4" s="241">
        <f>YEAR(CA2)-(YEAR($M$1)-1)</f>
        <v/>
      </c>
      <c r="CB4" s="130" t="n"/>
    </row>
    <row r="5" ht="17.65" customHeight="1" s="227">
      <c r="A5" s="101" t="n"/>
      <c r="B5" s="228">
        <f>SUM(B$9:B207)</f>
        <v/>
      </c>
      <c r="C5" s="229">
        <f>SUM(C$9:C207)</f>
        <v/>
      </c>
      <c r="D5" s="104" t="n"/>
      <c r="E5" s="99" t="n"/>
      <c r="F5" s="101" t="n"/>
      <c r="G5" s="101" t="n"/>
      <c r="H5" s="28">
        <f>sysCheckText</f>
        <v/>
      </c>
      <c r="I5" s="101" t="n"/>
      <c r="J5" s="101" t="n"/>
      <c r="K5" s="127" t="inlineStr">
        <is>
          <t>Relative period</t>
        </is>
      </c>
      <c r="L5" s="127" t="n"/>
      <c r="M5" s="241" t="n">
        <v>1</v>
      </c>
      <c r="N5" s="241" t="n">
        <v>1</v>
      </c>
      <c r="O5" s="241" t="n">
        <v>1</v>
      </c>
      <c r="P5" s="241" t="n">
        <v>1</v>
      </c>
      <c r="Q5" s="241" t="n">
        <v>1</v>
      </c>
      <c r="R5" s="241" t="n"/>
      <c r="S5" s="241" t="n"/>
      <c r="T5" s="241">
        <f>MONTH(T2)</f>
        <v/>
      </c>
      <c r="U5" s="241">
        <f>MONTH(U2)</f>
        <v/>
      </c>
      <c r="V5" s="241">
        <f>MONTH(V2)</f>
        <v/>
      </c>
      <c r="W5" s="241">
        <f>MONTH(W2)</f>
        <v/>
      </c>
      <c r="X5" s="241">
        <f>MONTH(X2)</f>
        <v/>
      </c>
      <c r="Y5" s="241">
        <f>MONTH(Y2)</f>
        <v/>
      </c>
      <c r="Z5" s="241">
        <f>MONTH(Z2)</f>
        <v/>
      </c>
      <c r="AA5" s="241">
        <f>MONTH(AA2)</f>
        <v/>
      </c>
      <c r="AB5" s="241">
        <f>MONTH(AB2)</f>
        <v/>
      </c>
      <c r="AC5" s="241">
        <f>MONTH(AC2)</f>
        <v/>
      </c>
      <c r="AD5" s="241">
        <f>MONTH(AD2)</f>
        <v/>
      </c>
      <c r="AE5" s="241">
        <f>MONTH(AE2)</f>
        <v/>
      </c>
      <c r="AF5" s="241">
        <f>MONTH(AF2)</f>
        <v/>
      </c>
      <c r="AG5" s="241">
        <f>MONTH(AG2)</f>
        <v/>
      </c>
      <c r="AH5" s="241">
        <f>MONTH(AH2)</f>
        <v/>
      </c>
      <c r="AI5" s="241">
        <f>MONTH(AI2)</f>
        <v/>
      </c>
      <c r="AJ5" s="241">
        <f>MONTH(AJ2)</f>
        <v/>
      </c>
      <c r="AK5" s="241">
        <f>MONTH(AK2)</f>
        <v/>
      </c>
      <c r="AL5" s="241">
        <f>MONTH(AL2)</f>
        <v/>
      </c>
      <c r="AM5" s="241">
        <f>MONTH(AM2)</f>
        <v/>
      </c>
      <c r="AN5" s="241">
        <f>MONTH(AN2)</f>
        <v/>
      </c>
      <c r="AO5" s="241">
        <f>MONTH(AO2)</f>
        <v/>
      </c>
      <c r="AP5" s="241">
        <f>MONTH(AP2)</f>
        <v/>
      </c>
      <c r="AQ5" s="241">
        <f>MONTH(AQ2)</f>
        <v/>
      </c>
      <c r="AR5" s="241">
        <f>MONTH(AR2)</f>
        <v/>
      </c>
      <c r="AS5" s="241">
        <f>MONTH(AS2)</f>
        <v/>
      </c>
      <c r="AT5" s="241">
        <f>MONTH(AT2)</f>
        <v/>
      </c>
      <c r="AU5" s="241">
        <f>MONTH(AU2)</f>
        <v/>
      </c>
      <c r="AV5" s="241">
        <f>MONTH(AV2)</f>
        <v/>
      </c>
      <c r="AW5" s="241">
        <f>MONTH(AW2)</f>
        <v/>
      </c>
      <c r="AX5" s="241">
        <f>MONTH(AX2)</f>
        <v/>
      </c>
      <c r="AY5" s="241">
        <f>MONTH(AY2)</f>
        <v/>
      </c>
      <c r="AZ5" s="241">
        <f>MONTH(AZ2)</f>
        <v/>
      </c>
      <c r="BA5" s="241">
        <f>MONTH(BA2)</f>
        <v/>
      </c>
      <c r="BB5" s="241">
        <f>MONTH(BB2)</f>
        <v/>
      </c>
      <c r="BC5" s="241">
        <f>MONTH(BC2)</f>
        <v/>
      </c>
      <c r="BD5" s="241">
        <f>MONTH(BD2)</f>
        <v/>
      </c>
      <c r="BE5" s="241">
        <f>MONTH(BE2)</f>
        <v/>
      </c>
      <c r="BF5" s="241">
        <f>MONTH(BF2)</f>
        <v/>
      </c>
      <c r="BG5" s="241">
        <f>MONTH(BG2)</f>
        <v/>
      </c>
      <c r="BH5" s="241">
        <f>MONTH(BH2)</f>
        <v/>
      </c>
      <c r="BI5" s="241">
        <f>MONTH(BI2)</f>
        <v/>
      </c>
      <c r="BJ5" s="241">
        <f>MONTH(BJ2)</f>
        <v/>
      </c>
      <c r="BK5" s="241">
        <f>MONTH(BK2)</f>
        <v/>
      </c>
      <c r="BL5" s="241">
        <f>MONTH(BL2)</f>
        <v/>
      </c>
      <c r="BM5" s="241">
        <f>MONTH(BM2)</f>
        <v/>
      </c>
      <c r="BN5" s="241">
        <f>MONTH(BN2)</f>
        <v/>
      </c>
      <c r="BO5" s="241">
        <f>MONTH(BO2)</f>
        <v/>
      </c>
      <c r="BP5" s="241">
        <f>MONTH(BP2)</f>
        <v/>
      </c>
      <c r="BQ5" s="241">
        <f>MONTH(BQ2)</f>
        <v/>
      </c>
      <c r="BR5" s="241">
        <f>MONTH(BR2)</f>
        <v/>
      </c>
      <c r="BS5" s="241">
        <f>MONTH(BS2)</f>
        <v/>
      </c>
      <c r="BT5" s="241">
        <f>MONTH(BT2)</f>
        <v/>
      </c>
      <c r="BU5" s="241">
        <f>MONTH(BU2)</f>
        <v/>
      </c>
      <c r="BV5" s="241">
        <f>MONTH(BV2)</f>
        <v/>
      </c>
      <c r="BW5" s="241">
        <f>MONTH(BW2)</f>
        <v/>
      </c>
      <c r="BX5" s="241">
        <f>MONTH(BX2)</f>
        <v/>
      </c>
      <c r="BY5" s="241">
        <f>MONTH(BY2)</f>
        <v/>
      </c>
      <c r="BZ5" s="241">
        <f>MONTH(BZ2)</f>
        <v/>
      </c>
      <c r="CA5" s="241">
        <f>MONTH(CA2)</f>
        <v/>
      </c>
      <c r="CB5" s="130" t="n"/>
    </row>
    <row r="6" ht="17.65" customHeight="1" s="227">
      <c r="A6" s="101" t="n"/>
      <c r="B6" s="116" t="inlineStr">
        <is>
          <t>Err</t>
        </is>
      </c>
      <c r="C6" s="117" t="inlineStr">
        <is>
          <t>Alert</t>
        </is>
      </c>
      <c r="D6" s="118" t="n"/>
      <c r="E6" s="99" t="n"/>
      <c r="F6" s="101" t="n"/>
      <c r="G6" s="101" t="n"/>
      <c r="H6" s="101" t="n"/>
      <c r="I6" s="101" t="n"/>
      <c r="J6" s="101" t="n"/>
      <c r="K6" s="127" t="inlineStr">
        <is>
          <t>Period index</t>
        </is>
      </c>
      <c r="L6" s="127" t="n"/>
      <c r="M6" s="241" t="n">
        <v>1</v>
      </c>
      <c r="N6" s="241">
        <f>M$6+1</f>
        <v/>
      </c>
      <c r="O6" s="241">
        <f>N$6+1</f>
        <v/>
      </c>
      <c r="P6" s="241">
        <f>O$6+1</f>
        <v/>
      </c>
      <c r="Q6" s="241">
        <f>P$6+1</f>
        <v/>
      </c>
      <c r="R6" s="241" t="n"/>
      <c r="S6" s="241" t="n"/>
      <c r="T6" s="241" t="n">
        <v>1</v>
      </c>
      <c r="U6" s="241">
        <f>T$6+1</f>
        <v/>
      </c>
      <c r="V6" s="241">
        <f>U$6+1</f>
        <v/>
      </c>
      <c r="W6" s="241">
        <f>V$6+1</f>
        <v/>
      </c>
      <c r="X6" s="241">
        <f>W$6+1</f>
        <v/>
      </c>
      <c r="Y6" s="241">
        <f>X$6+1</f>
        <v/>
      </c>
      <c r="Z6" s="241">
        <f>Y$6+1</f>
        <v/>
      </c>
      <c r="AA6" s="241">
        <f>Z$6+1</f>
        <v/>
      </c>
      <c r="AB6" s="241">
        <f>AA$6+1</f>
        <v/>
      </c>
      <c r="AC6" s="241">
        <f>AB$6+1</f>
        <v/>
      </c>
      <c r="AD6" s="241">
        <f>AC$6+1</f>
        <v/>
      </c>
      <c r="AE6" s="241">
        <f>AD$6+1</f>
        <v/>
      </c>
      <c r="AF6" s="241">
        <f>AE$6+1</f>
        <v/>
      </c>
      <c r="AG6" s="241">
        <f>AF$6+1</f>
        <v/>
      </c>
      <c r="AH6" s="241">
        <f>AG$6+1</f>
        <v/>
      </c>
      <c r="AI6" s="241">
        <f>AH$6+1</f>
        <v/>
      </c>
      <c r="AJ6" s="241">
        <f>AI$6+1</f>
        <v/>
      </c>
      <c r="AK6" s="241">
        <f>AJ$6+1</f>
        <v/>
      </c>
      <c r="AL6" s="241">
        <f>AK$6+1</f>
        <v/>
      </c>
      <c r="AM6" s="241">
        <f>AL$6+1</f>
        <v/>
      </c>
      <c r="AN6" s="241">
        <f>AM$6+1</f>
        <v/>
      </c>
      <c r="AO6" s="241">
        <f>AN$6+1</f>
        <v/>
      </c>
      <c r="AP6" s="241">
        <f>AO$6+1</f>
        <v/>
      </c>
      <c r="AQ6" s="241">
        <f>AP$6+1</f>
        <v/>
      </c>
      <c r="AR6" s="241">
        <f>AQ$6+1</f>
        <v/>
      </c>
      <c r="AS6" s="241">
        <f>AR$6+1</f>
        <v/>
      </c>
      <c r="AT6" s="241">
        <f>AS$6+1</f>
        <v/>
      </c>
      <c r="AU6" s="241">
        <f>AT$6+1</f>
        <v/>
      </c>
      <c r="AV6" s="241">
        <f>AU$6+1</f>
        <v/>
      </c>
      <c r="AW6" s="241">
        <f>AV$6+1</f>
        <v/>
      </c>
      <c r="AX6" s="241">
        <f>AW$6+1</f>
        <v/>
      </c>
      <c r="AY6" s="241">
        <f>AX$6+1</f>
        <v/>
      </c>
      <c r="AZ6" s="241">
        <f>AY$6+1</f>
        <v/>
      </c>
      <c r="BA6" s="241">
        <f>AZ$6+1</f>
        <v/>
      </c>
      <c r="BB6" s="241">
        <f>BA$6+1</f>
        <v/>
      </c>
      <c r="BC6" s="241">
        <f>BB$6+1</f>
        <v/>
      </c>
      <c r="BD6" s="241">
        <f>BC$6+1</f>
        <v/>
      </c>
      <c r="BE6" s="241">
        <f>BD$6+1</f>
        <v/>
      </c>
      <c r="BF6" s="241">
        <f>BE$6+1</f>
        <v/>
      </c>
      <c r="BG6" s="241">
        <f>BF$6+1</f>
        <v/>
      </c>
      <c r="BH6" s="241">
        <f>BG$6+1</f>
        <v/>
      </c>
      <c r="BI6" s="241">
        <f>BH$6+1</f>
        <v/>
      </c>
      <c r="BJ6" s="241">
        <f>BI$6+1</f>
        <v/>
      </c>
      <c r="BK6" s="241">
        <f>BJ$6+1</f>
        <v/>
      </c>
      <c r="BL6" s="241">
        <f>BK$6+1</f>
        <v/>
      </c>
      <c r="BM6" s="241">
        <f>BL$6+1</f>
        <v/>
      </c>
      <c r="BN6" s="241">
        <f>BM$6+1</f>
        <v/>
      </c>
      <c r="BO6" s="241">
        <f>BN$6+1</f>
        <v/>
      </c>
      <c r="BP6" s="241">
        <f>BO$6+1</f>
        <v/>
      </c>
      <c r="BQ6" s="241">
        <f>BP$6+1</f>
        <v/>
      </c>
      <c r="BR6" s="241">
        <f>BQ$6+1</f>
        <v/>
      </c>
      <c r="BS6" s="241">
        <f>BR$6+1</f>
        <v/>
      </c>
      <c r="BT6" s="241">
        <f>BS$6+1</f>
        <v/>
      </c>
      <c r="BU6" s="241">
        <f>BT$6+1</f>
        <v/>
      </c>
      <c r="BV6" s="241">
        <f>BU$6+1</f>
        <v/>
      </c>
      <c r="BW6" s="241">
        <f>BV$6+1</f>
        <v/>
      </c>
      <c r="BX6" s="241">
        <f>BW$6+1</f>
        <v/>
      </c>
      <c r="BY6" s="241">
        <f>BX$6+1</f>
        <v/>
      </c>
      <c r="BZ6" s="241">
        <f>BY$6+1</f>
        <v/>
      </c>
      <c r="CA6" s="241">
        <f>BZ$6+1</f>
        <v/>
      </c>
      <c r="CB6" s="130" t="n"/>
    </row>
    <row r="7" ht="17.65" customFormat="1" customHeight="1" s="8">
      <c r="A7" s="101" t="n"/>
      <c r="B7" s="114" t="n"/>
      <c r="C7" s="114" t="n"/>
      <c r="D7" s="115" t="n"/>
      <c r="E7" s="99" t="n"/>
      <c r="F7" s="101" t="n"/>
      <c r="G7" s="101" t="n"/>
      <c r="H7" s="101" t="n"/>
      <c r="I7" s="101" t="n"/>
      <c r="J7" s="101" t="n"/>
      <c r="K7" s="127" t="inlineStr">
        <is>
          <t>Status</t>
        </is>
      </c>
      <c r="L7" s="123" t="n"/>
      <c r="M7" s="242">
        <f>IF(M2&lt;i_Setup!$U$25,"Actual","Forecast")</f>
        <v/>
      </c>
      <c r="N7" s="242">
        <f>IF(N2&lt;i_Setup!$U$25,"Actual","Forecast")</f>
        <v/>
      </c>
      <c r="O7" s="242">
        <f>IF(O2&lt;i_Setup!$U$25,"Actual","Forecast")</f>
        <v/>
      </c>
      <c r="P7" s="242">
        <f>IF(P2&lt;i_Setup!$U$25,"Actual","Forecast")</f>
        <v/>
      </c>
      <c r="Q7" s="242">
        <f>IF(Q2&lt;i_Setup!$U$25,"Actual","Forecast")</f>
        <v/>
      </c>
      <c r="R7" s="243" t="n"/>
      <c r="S7" s="243" t="n"/>
      <c r="T7" s="242">
        <f>IF(T2&lt;i_Setup!$U$25,"Actual","Forecast")</f>
        <v/>
      </c>
      <c r="U7" s="242">
        <f>IF(U2&lt;i_Setup!$U$25,"Actual","Forecast")</f>
        <v/>
      </c>
      <c r="V7" s="242">
        <f>IF(V2&lt;i_Setup!$U$25,"Actual","Forecast")</f>
        <v/>
      </c>
      <c r="W7" s="242">
        <f>IF(W2&lt;i_Setup!$U$25,"Actual","Forecast")</f>
        <v/>
      </c>
      <c r="X7" s="242">
        <f>IF(X2&lt;i_Setup!$U$25,"Actual","Forecast")</f>
        <v/>
      </c>
      <c r="Y7" s="242">
        <f>IF(Y2&lt;i_Setup!$U$25,"Actual","Forecast")</f>
        <v/>
      </c>
      <c r="Z7" s="242">
        <f>IF(Z2&lt;i_Setup!$U$25,"Actual","Forecast")</f>
        <v/>
      </c>
      <c r="AA7" s="242">
        <f>IF(AA2&lt;i_Setup!$U$25,"Actual","Forecast")</f>
        <v/>
      </c>
      <c r="AB7" s="242">
        <f>IF(AB2&lt;i_Setup!$U$25,"Actual","Forecast")</f>
        <v/>
      </c>
      <c r="AC7" s="242">
        <f>IF(AC2&lt;i_Setup!$U$25,"Actual","Forecast")</f>
        <v/>
      </c>
      <c r="AD7" s="242">
        <f>IF(AD2&lt;i_Setup!$U$25,"Actual","Forecast")</f>
        <v/>
      </c>
      <c r="AE7" s="242">
        <f>IF(AE2&lt;i_Setup!$U$25,"Actual","Forecast")</f>
        <v/>
      </c>
      <c r="AF7" s="242">
        <f>IF(AF2&lt;i_Setup!$U$25,"Actual","Forecast")</f>
        <v/>
      </c>
      <c r="AG7" s="242">
        <f>IF(AG2&lt;i_Setup!$U$25,"Actual","Forecast")</f>
        <v/>
      </c>
      <c r="AH7" s="242">
        <f>IF(AH2&lt;i_Setup!$U$25,"Actual","Forecast")</f>
        <v/>
      </c>
      <c r="AI7" s="242">
        <f>IF(AI2&lt;i_Setup!$U$25,"Actual","Forecast")</f>
        <v/>
      </c>
      <c r="AJ7" s="242">
        <f>IF(AJ2&lt;i_Setup!$U$25,"Actual","Forecast")</f>
        <v/>
      </c>
      <c r="AK7" s="242">
        <f>IF(AK2&lt;i_Setup!$U$25,"Actual","Forecast")</f>
        <v/>
      </c>
      <c r="AL7" s="242">
        <f>IF(AL2&lt;i_Setup!$U$25,"Actual","Forecast")</f>
        <v/>
      </c>
      <c r="AM7" s="242">
        <f>IF(AM2&lt;i_Setup!$U$25,"Actual","Forecast")</f>
        <v/>
      </c>
      <c r="AN7" s="242">
        <f>IF(AN2&lt;i_Setup!$U$25,"Actual","Forecast")</f>
        <v/>
      </c>
      <c r="AO7" s="242">
        <f>IF(AO2&lt;i_Setup!$U$25,"Actual","Forecast")</f>
        <v/>
      </c>
      <c r="AP7" s="242">
        <f>IF(AP2&lt;i_Setup!$U$25,"Actual","Forecast")</f>
        <v/>
      </c>
      <c r="AQ7" s="242">
        <f>IF(AQ2&lt;i_Setup!$U$25,"Actual","Forecast")</f>
        <v/>
      </c>
      <c r="AR7" s="242">
        <f>IF(AR2&lt;i_Setup!$U$25,"Actual","Forecast")</f>
        <v/>
      </c>
      <c r="AS7" s="242">
        <f>IF(AS2&lt;i_Setup!$U$25,"Actual","Forecast")</f>
        <v/>
      </c>
      <c r="AT7" s="242">
        <f>IF(AT2&lt;i_Setup!$U$25,"Actual","Forecast")</f>
        <v/>
      </c>
      <c r="AU7" s="242">
        <f>IF(AU2&lt;i_Setup!$U$25,"Actual","Forecast")</f>
        <v/>
      </c>
      <c r="AV7" s="242">
        <f>IF(AV2&lt;i_Setup!$U$25,"Actual","Forecast")</f>
        <v/>
      </c>
      <c r="AW7" s="242">
        <f>IF(AW2&lt;i_Setup!$U$25,"Actual","Forecast")</f>
        <v/>
      </c>
      <c r="AX7" s="242">
        <f>IF(AX2&lt;i_Setup!$U$25,"Actual","Forecast")</f>
        <v/>
      </c>
      <c r="AY7" s="242">
        <f>IF(AY2&lt;i_Setup!$U$25,"Actual","Forecast")</f>
        <v/>
      </c>
      <c r="AZ7" s="242">
        <f>IF(AZ2&lt;i_Setup!$U$25,"Actual","Forecast")</f>
        <v/>
      </c>
      <c r="BA7" s="242">
        <f>IF(BA2&lt;i_Setup!$U$25,"Actual","Forecast")</f>
        <v/>
      </c>
      <c r="BB7" s="242">
        <f>IF(BB2&lt;i_Setup!$U$25,"Actual","Forecast")</f>
        <v/>
      </c>
      <c r="BC7" s="242">
        <f>IF(BC2&lt;i_Setup!$U$25,"Actual","Forecast")</f>
        <v/>
      </c>
      <c r="BD7" s="242">
        <f>IF(BD2&lt;i_Setup!$U$25,"Actual","Forecast")</f>
        <v/>
      </c>
      <c r="BE7" s="242">
        <f>IF(BE2&lt;i_Setup!$U$25,"Actual","Forecast")</f>
        <v/>
      </c>
      <c r="BF7" s="242">
        <f>IF(BF2&lt;i_Setup!$U$25,"Actual","Forecast")</f>
        <v/>
      </c>
      <c r="BG7" s="242">
        <f>IF(BG2&lt;i_Setup!$U$25,"Actual","Forecast")</f>
        <v/>
      </c>
      <c r="BH7" s="242">
        <f>IF(BH2&lt;i_Setup!$U$25,"Actual","Forecast")</f>
        <v/>
      </c>
      <c r="BI7" s="242">
        <f>IF(BI2&lt;i_Setup!$U$25,"Actual","Forecast")</f>
        <v/>
      </c>
      <c r="BJ7" s="242">
        <f>IF(BJ2&lt;i_Setup!$U$25,"Actual","Forecast")</f>
        <v/>
      </c>
      <c r="BK7" s="242">
        <f>IF(BK2&lt;i_Setup!$U$25,"Actual","Forecast")</f>
        <v/>
      </c>
      <c r="BL7" s="242">
        <f>IF(BL2&lt;i_Setup!$U$25,"Actual","Forecast")</f>
        <v/>
      </c>
      <c r="BM7" s="242">
        <f>IF(BM2&lt;i_Setup!$U$25,"Actual","Forecast")</f>
        <v/>
      </c>
      <c r="BN7" s="242">
        <f>IF(BN2&lt;i_Setup!$U$25,"Actual","Forecast")</f>
        <v/>
      </c>
      <c r="BO7" s="242">
        <f>IF(BO2&lt;i_Setup!$U$25,"Actual","Forecast")</f>
        <v/>
      </c>
      <c r="BP7" s="242">
        <f>IF(BP2&lt;i_Setup!$U$25,"Actual","Forecast")</f>
        <v/>
      </c>
      <c r="BQ7" s="242">
        <f>IF(BQ2&lt;i_Setup!$U$25,"Actual","Forecast")</f>
        <v/>
      </c>
      <c r="BR7" s="242">
        <f>IF(BR2&lt;i_Setup!$U$25,"Actual","Forecast")</f>
        <v/>
      </c>
      <c r="BS7" s="242">
        <f>IF(BS2&lt;i_Setup!$U$25,"Actual","Forecast")</f>
        <v/>
      </c>
      <c r="BT7" s="242">
        <f>IF(BT2&lt;i_Setup!$U$25,"Actual","Forecast")</f>
        <v/>
      </c>
      <c r="BU7" s="242">
        <f>IF(BU2&lt;i_Setup!$U$25,"Actual","Forecast")</f>
        <v/>
      </c>
      <c r="BV7" s="242">
        <f>IF(BV2&lt;i_Setup!$U$25,"Actual","Forecast")</f>
        <v/>
      </c>
      <c r="BW7" s="242">
        <f>IF(BW2&lt;i_Setup!$U$25,"Actual","Forecast")</f>
        <v/>
      </c>
      <c r="BX7" s="242">
        <f>IF(BX2&lt;i_Setup!$U$25,"Actual","Forecast")</f>
        <v/>
      </c>
      <c r="BY7" s="242">
        <f>IF(BY2&lt;i_Setup!$U$25,"Actual","Forecast")</f>
        <v/>
      </c>
      <c r="BZ7" s="242">
        <f>IF(BZ2&lt;i_Setup!$U$25,"Actual","Forecast")</f>
        <v/>
      </c>
      <c r="CA7" s="242">
        <f>IF(CA2&lt;i_Setup!$U$25,"Actual","Forecast")</f>
        <v/>
      </c>
      <c r="CB7" s="132" t="n"/>
    </row>
    <row r="8" ht="17.65" customHeight="1" s="227">
      <c r="A8" s="4" t="n"/>
      <c r="B8" s="4" t="n"/>
    </row>
    <row r="9" ht="15.75" customFormat="1" customHeight="1" s="99">
      <c r="D9" s="99">
        <f>Heading1</f>
        <v/>
      </c>
      <c r="E9" s="99" t="inlineStr">
        <is>
          <t>Income Statement</t>
        </is>
      </c>
    </row>
    <row r="10" ht="12" customHeight="1" s="227">
      <c r="A10" s="244" t="n"/>
      <c r="B10" s="244" t="n"/>
      <c r="C10" s="244" t="n"/>
    </row>
    <row r="11" ht="13.5" customFormat="1" customHeight="1" s="223" thickBot="1">
      <c r="E11" s="223">
        <f>Heading2</f>
        <v/>
      </c>
      <c r="F11" s="223" t="inlineStr">
        <is>
          <t>Income Statement</t>
        </is>
      </c>
    </row>
    <row r="12" ht="12" customHeight="1" s="227">
      <c r="A12" s="244" t="n"/>
      <c r="B12" s="244" t="n"/>
      <c r="C12" s="244" t="n"/>
    </row>
    <row r="13" ht="12.75" customHeight="1" s="227">
      <c r="A13" s="244" t="n"/>
      <c r="B13" s="244" t="n"/>
      <c r="C13" s="244" t="n"/>
      <c r="G13" s="222" t="inlineStr">
        <is>
          <t>Total Revenue</t>
        </is>
      </c>
      <c r="M13" s="245" t="n"/>
      <c r="N13" s="245" t="n"/>
      <c r="O13" s="245" t="n"/>
      <c r="P13" s="245" t="n"/>
      <c r="Q13" s="245" t="n"/>
    </row>
    <row r="14" ht="12" customHeight="1" s="227">
      <c r="A14" s="244" t="n"/>
      <c r="B14" s="244" t="n"/>
      <c r="C14" s="244" t="n"/>
      <c r="G14" s="222" t="n"/>
      <c r="H14" s="34">
        <f>i_Setup!U32</f>
        <v/>
      </c>
      <c r="I14" s="27">
        <f> i_Setup!$M$16</f>
        <v/>
      </c>
      <c r="K14" s="27" t="n"/>
      <c r="M14" s="245">
        <f>SUMIF($T$4:$CA$4,M$4,$T14:$CA14)</f>
        <v/>
      </c>
      <c r="N14" s="245">
        <f>SUMIF($T$4:$CA$4,N$4,$T14:$CA14)</f>
        <v/>
      </c>
      <c r="O14" s="245">
        <f>SUMIF($T$4:$CA$4,O$4,$T14:$CA14)</f>
        <v/>
      </c>
      <c r="P14" s="245">
        <f>SUMIF($T$4:$CA$4,P$4,$T14:$CA14)</f>
        <v/>
      </c>
      <c r="Q14" s="245">
        <f>SUMIF($T$4:$CA$4,Q$4,$T14:$CA14)</f>
        <v/>
      </c>
      <c r="T14" s="257">
        <f>IF(T$7="Actual",i_Actuals!T14,c_Calculations!T44)</f>
        <v/>
      </c>
      <c r="U14" s="257">
        <f>IF(U$7="Actual",i_Actuals!U14,c_Calculations!U44)</f>
        <v/>
      </c>
      <c r="V14" s="257">
        <f>IF(V$7="Actual",i_Actuals!V14,c_Calculations!V44)</f>
        <v/>
      </c>
      <c r="W14" s="257">
        <f>IF(W$7="Actual",i_Actuals!W14,c_Calculations!W44)</f>
        <v/>
      </c>
      <c r="X14" s="257">
        <f>IF(X$7="Actual",i_Actuals!X14,c_Calculations!X44)</f>
        <v/>
      </c>
      <c r="Y14" s="257">
        <f>IF(Y$7="Actual",i_Actuals!Y14,c_Calculations!Y44)</f>
        <v/>
      </c>
      <c r="Z14" s="257">
        <f>IF(Z$7="Actual",i_Actuals!Z14,c_Calculations!Z44)</f>
        <v/>
      </c>
      <c r="AA14" s="257">
        <f>IF(AA$7="Actual",i_Actuals!AA14,c_Calculations!AA44)</f>
        <v/>
      </c>
      <c r="AB14" s="257">
        <f>IF(AB$7="Actual",i_Actuals!AB14,c_Calculations!AB44)</f>
        <v/>
      </c>
      <c r="AC14" s="257">
        <f>IF(AC$7="Actual",i_Actuals!AC14,c_Calculations!AC44)</f>
        <v/>
      </c>
      <c r="AD14" s="257">
        <f>IF(AD$7="Actual",i_Actuals!AD14,c_Calculations!AD44)</f>
        <v/>
      </c>
      <c r="AE14" s="257">
        <f>IF(AE$7="Actual",i_Actuals!AE14,c_Calculations!AE44)</f>
        <v/>
      </c>
      <c r="AF14" s="257">
        <f>IF(AF$7="Actual",i_Actuals!AF14,c_Calculations!AF44)</f>
        <v/>
      </c>
      <c r="AG14" s="257">
        <f>IF(AG$7="Actual",i_Actuals!AG14,c_Calculations!AG44)</f>
        <v/>
      </c>
      <c r="AH14" s="257">
        <f>IF(AH$7="Actual",i_Actuals!AH14,c_Calculations!AH44)</f>
        <v/>
      </c>
      <c r="AI14" s="257">
        <f>IF(AI$7="Actual",i_Actuals!AI14,c_Calculations!AI44)</f>
        <v/>
      </c>
      <c r="AJ14" s="257">
        <f>IF(AJ$7="Actual",i_Actuals!AJ14,c_Calculations!AJ44)</f>
        <v/>
      </c>
      <c r="AK14" s="257">
        <f>IF(AK$7="Actual",i_Actuals!AK14,c_Calculations!AK44)</f>
        <v/>
      </c>
      <c r="AL14" s="257">
        <f>IF(AL$7="Actual",i_Actuals!AL14,c_Calculations!AL44)</f>
        <v/>
      </c>
      <c r="AM14" s="257">
        <f>IF(AM$7="Actual",i_Actuals!AM14,c_Calculations!AM44)</f>
        <v/>
      </c>
      <c r="AN14" s="257">
        <f>IF(AN$7="Actual",i_Actuals!AN14,c_Calculations!AN44)</f>
        <v/>
      </c>
      <c r="AO14" s="257">
        <f>IF(AO$7="Actual",i_Actuals!AO14,c_Calculations!AO44)</f>
        <v/>
      </c>
      <c r="AP14" s="257">
        <f>IF(AP$7="Actual",i_Actuals!AP14,c_Calculations!AP44)</f>
        <v/>
      </c>
      <c r="AQ14" s="257">
        <f>IF(AQ$7="Actual",i_Actuals!AQ14,c_Calculations!AQ44)</f>
        <v/>
      </c>
      <c r="AR14" s="257">
        <f>IF(AR$7="Actual",i_Actuals!AR14,c_Calculations!AR44)</f>
        <v/>
      </c>
      <c r="AS14" s="257">
        <f>IF(AS$7="Actual",i_Actuals!AS14,c_Calculations!AS44)</f>
        <v/>
      </c>
      <c r="AT14" s="257">
        <f>IF(AT$7="Actual",i_Actuals!AT14,c_Calculations!AT44)</f>
        <v/>
      </c>
      <c r="AU14" s="257">
        <f>IF(AU$7="Actual",i_Actuals!AU14,c_Calculations!AU44)</f>
        <v/>
      </c>
      <c r="AV14" s="257">
        <f>IF(AV$7="Actual",i_Actuals!AV14,c_Calculations!AV44)</f>
        <v/>
      </c>
      <c r="AW14" s="257">
        <f>IF(AW$7="Actual",i_Actuals!AW14,c_Calculations!AW44)</f>
        <v/>
      </c>
      <c r="AX14" s="257">
        <f>IF(AX$7="Actual",i_Actuals!AX14,c_Calculations!AX44)</f>
        <v/>
      </c>
      <c r="AY14" s="257">
        <f>IF(AY$7="Actual",i_Actuals!AY14,c_Calculations!AY44)</f>
        <v/>
      </c>
      <c r="AZ14" s="257">
        <f>IF(AZ$7="Actual",i_Actuals!AZ14,c_Calculations!AZ44)</f>
        <v/>
      </c>
      <c r="BA14" s="257">
        <f>IF(BA$7="Actual",i_Actuals!BA14,c_Calculations!BA44)</f>
        <v/>
      </c>
      <c r="BB14" s="257">
        <f>IF(BB$7="Actual",i_Actuals!BB14,c_Calculations!BB44)</f>
        <v/>
      </c>
      <c r="BC14" s="257">
        <f>IF(BC$7="Actual",i_Actuals!BC14,c_Calculations!BC44)</f>
        <v/>
      </c>
      <c r="BD14" s="257">
        <f>IF(BD$7="Actual",i_Actuals!BD14,c_Calculations!BD44)</f>
        <v/>
      </c>
      <c r="BE14" s="257">
        <f>IF(BE$7="Actual",i_Actuals!BE14,c_Calculations!BE44)</f>
        <v/>
      </c>
      <c r="BF14" s="257">
        <f>IF(BF$7="Actual",i_Actuals!BF14,c_Calculations!BF44)</f>
        <v/>
      </c>
      <c r="BG14" s="257">
        <f>IF(BG$7="Actual",i_Actuals!BG14,c_Calculations!BG44)</f>
        <v/>
      </c>
      <c r="BH14" s="257">
        <f>IF(BH$7="Actual",i_Actuals!BH14,c_Calculations!BH44)</f>
        <v/>
      </c>
      <c r="BI14" s="257">
        <f>IF(BI$7="Actual",i_Actuals!BI14,c_Calculations!BI44)</f>
        <v/>
      </c>
      <c r="BJ14" s="257">
        <f>IF(BJ$7="Actual",i_Actuals!BJ14,c_Calculations!BJ44)</f>
        <v/>
      </c>
      <c r="BK14" s="257">
        <f>IF(BK$7="Actual",i_Actuals!BK14,c_Calculations!BK44)</f>
        <v/>
      </c>
      <c r="BL14" s="257">
        <f>IF(BL$7="Actual",i_Actuals!BL14,c_Calculations!BL44)</f>
        <v/>
      </c>
      <c r="BM14" s="257">
        <f>IF(BM$7="Actual",i_Actuals!BM14,c_Calculations!BM44)</f>
        <v/>
      </c>
      <c r="BN14" s="257">
        <f>IF(BN$7="Actual",i_Actuals!BN14,c_Calculations!BN44)</f>
        <v/>
      </c>
      <c r="BO14" s="257">
        <f>IF(BO$7="Actual",i_Actuals!BO14,c_Calculations!BO44)</f>
        <v/>
      </c>
      <c r="BP14" s="257">
        <f>IF(BP$7="Actual",i_Actuals!BP14,c_Calculations!BP44)</f>
        <v/>
      </c>
      <c r="BQ14" s="257">
        <f>IF(BQ$7="Actual",i_Actuals!BQ14,c_Calculations!BQ44)</f>
        <v/>
      </c>
      <c r="BR14" s="257">
        <f>IF(BR$7="Actual",i_Actuals!BR14,c_Calculations!BR44)</f>
        <v/>
      </c>
      <c r="BS14" s="257">
        <f>IF(BS$7="Actual",i_Actuals!BS14,c_Calculations!BS44)</f>
        <v/>
      </c>
      <c r="BT14" s="257">
        <f>IF(BT$7="Actual",i_Actuals!BT14,c_Calculations!BT44)</f>
        <v/>
      </c>
      <c r="BU14" s="257">
        <f>IF(BU$7="Actual",i_Actuals!BU14,c_Calculations!BU44)</f>
        <v/>
      </c>
      <c r="BV14" s="257">
        <f>IF(BV$7="Actual",i_Actuals!BV14,c_Calculations!BV44)</f>
        <v/>
      </c>
      <c r="BW14" s="257">
        <f>IF(BW$7="Actual",i_Actuals!BW14,c_Calculations!BW44)</f>
        <v/>
      </c>
      <c r="BX14" s="257">
        <f>IF(BX$7="Actual",i_Actuals!BX14,c_Calculations!BX44)</f>
        <v/>
      </c>
      <c r="BY14" s="257">
        <f>IF(BY$7="Actual",i_Actuals!BY14,c_Calculations!BY44)</f>
        <v/>
      </c>
      <c r="BZ14" s="257">
        <f>IF(BZ$7="Actual",i_Actuals!BZ14,c_Calculations!BZ44)</f>
        <v/>
      </c>
      <c r="CA14" s="257">
        <f>IF(CA$7="Actual",i_Actuals!CA14,c_Calculations!CA44)</f>
        <v/>
      </c>
    </row>
    <row r="15" ht="12" customHeight="1" s="227">
      <c r="A15" s="244" t="n"/>
      <c r="B15" s="244" t="n"/>
      <c r="C15" s="244" t="n"/>
      <c r="G15" s="222" t="n"/>
      <c r="H15" s="34">
        <f>i_Setup!U33</f>
        <v/>
      </c>
      <c r="I15" s="27">
        <f> i_Setup!$M$16</f>
        <v/>
      </c>
      <c r="K15" s="27" t="n"/>
      <c r="M15" s="245">
        <f>SUMIF($T$4:$CA$4,M$4,$T15:$CA15)</f>
        <v/>
      </c>
      <c r="N15" s="245">
        <f>SUMIF($T$4:$CA$4,N$4,$T15:$CA15)</f>
        <v/>
      </c>
      <c r="O15" s="245">
        <f>SUMIF($T$4:$CA$4,O$4,$T15:$CA15)</f>
        <v/>
      </c>
      <c r="P15" s="245">
        <f>SUMIF($T$4:$CA$4,P$4,$T15:$CA15)</f>
        <v/>
      </c>
      <c r="Q15" s="245">
        <f>SUMIF($T$4:$CA$4,Q$4,$T15:$CA15)</f>
        <v/>
      </c>
      <c r="T15" s="257">
        <f>IF(T$7="Actual",i_Actuals!T15,c_Calculations!T45)</f>
        <v/>
      </c>
      <c r="U15" s="257">
        <f>IF(U$7="Actual",i_Actuals!U15,c_Calculations!U45)</f>
        <v/>
      </c>
      <c r="V15" s="257">
        <f>IF(V$7="Actual",i_Actuals!V15,c_Calculations!V45)</f>
        <v/>
      </c>
      <c r="W15" s="257">
        <f>IF(W$7="Actual",i_Actuals!W15,c_Calculations!W45)</f>
        <v/>
      </c>
      <c r="X15" s="257">
        <f>IF(X$7="Actual",i_Actuals!X15,c_Calculations!X45)</f>
        <v/>
      </c>
      <c r="Y15" s="257">
        <f>IF(Y$7="Actual",i_Actuals!Y15,c_Calculations!Y45)</f>
        <v/>
      </c>
      <c r="Z15" s="257">
        <f>IF(Z$7="Actual",i_Actuals!Z15,c_Calculations!Z45)</f>
        <v/>
      </c>
      <c r="AA15" s="257">
        <f>IF(AA$7="Actual",i_Actuals!AA15,c_Calculations!AA45)</f>
        <v/>
      </c>
      <c r="AB15" s="257">
        <f>IF(AB$7="Actual",i_Actuals!AB15,c_Calculations!AB45)</f>
        <v/>
      </c>
      <c r="AC15" s="257">
        <f>IF(AC$7="Actual",i_Actuals!AC15,c_Calculations!AC45)</f>
        <v/>
      </c>
      <c r="AD15" s="257">
        <f>IF(AD$7="Actual",i_Actuals!AD15,c_Calculations!AD45)</f>
        <v/>
      </c>
      <c r="AE15" s="257">
        <f>IF(AE$7="Actual",i_Actuals!AE15,c_Calculations!AE45)</f>
        <v/>
      </c>
      <c r="AF15" s="257">
        <f>IF(AF$7="Actual",i_Actuals!AF15,c_Calculations!AF45)</f>
        <v/>
      </c>
      <c r="AG15" s="257">
        <f>IF(AG$7="Actual",i_Actuals!AG15,c_Calculations!AG45)</f>
        <v/>
      </c>
      <c r="AH15" s="257">
        <f>IF(AH$7="Actual",i_Actuals!AH15,c_Calculations!AH45)</f>
        <v/>
      </c>
      <c r="AI15" s="257">
        <f>IF(AI$7="Actual",i_Actuals!AI15,c_Calculations!AI45)</f>
        <v/>
      </c>
      <c r="AJ15" s="257">
        <f>IF(AJ$7="Actual",i_Actuals!AJ15,c_Calculations!AJ45)</f>
        <v/>
      </c>
      <c r="AK15" s="257">
        <f>IF(AK$7="Actual",i_Actuals!AK15,c_Calculations!AK45)</f>
        <v/>
      </c>
      <c r="AL15" s="257">
        <f>IF(AL$7="Actual",i_Actuals!AL15,c_Calculations!AL45)</f>
        <v/>
      </c>
      <c r="AM15" s="257">
        <f>IF(AM$7="Actual",i_Actuals!AM15,c_Calculations!AM45)</f>
        <v/>
      </c>
      <c r="AN15" s="257">
        <f>IF(AN$7="Actual",i_Actuals!AN15,c_Calculations!AN45)</f>
        <v/>
      </c>
      <c r="AO15" s="257">
        <f>IF(AO$7="Actual",i_Actuals!AO15,c_Calculations!AO45)</f>
        <v/>
      </c>
      <c r="AP15" s="257">
        <f>IF(AP$7="Actual",i_Actuals!AP15,c_Calculations!AP45)</f>
        <v/>
      </c>
      <c r="AQ15" s="257">
        <f>IF(AQ$7="Actual",i_Actuals!AQ15,c_Calculations!AQ45)</f>
        <v/>
      </c>
      <c r="AR15" s="257">
        <f>IF(AR$7="Actual",i_Actuals!AR15,c_Calculations!AR45)</f>
        <v/>
      </c>
      <c r="AS15" s="257">
        <f>IF(AS$7="Actual",i_Actuals!AS15,c_Calculations!AS45)</f>
        <v/>
      </c>
      <c r="AT15" s="257">
        <f>IF(AT$7="Actual",i_Actuals!AT15,c_Calculations!AT45)</f>
        <v/>
      </c>
      <c r="AU15" s="257">
        <f>IF(AU$7="Actual",i_Actuals!AU15,c_Calculations!AU45)</f>
        <v/>
      </c>
      <c r="AV15" s="257">
        <f>IF(AV$7="Actual",i_Actuals!AV15,c_Calculations!AV45)</f>
        <v/>
      </c>
      <c r="AW15" s="257">
        <f>IF(AW$7="Actual",i_Actuals!AW15,c_Calculations!AW45)</f>
        <v/>
      </c>
      <c r="AX15" s="257">
        <f>IF(AX$7="Actual",i_Actuals!AX15,c_Calculations!AX45)</f>
        <v/>
      </c>
      <c r="AY15" s="257">
        <f>IF(AY$7="Actual",i_Actuals!AY15,c_Calculations!AY45)</f>
        <v/>
      </c>
      <c r="AZ15" s="257">
        <f>IF(AZ$7="Actual",i_Actuals!AZ15,c_Calculations!AZ45)</f>
        <v/>
      </c>
      <c r="BA15" s="257">
        <f>IF(BA$7="Actual",i_Actuals!BA15,c_Calculations!BA45)</f>
        <v/>
      </c>
      <c r="BB15" s="257">
        <f>IF(BB$7="Actual",i_Actuals!BB15,c_Calculations!BB45)</f>
        <v/>
      </c>
      <c r="BC15" s="257">
        <f>IF(BC$7="Actual",i_Actuals!BC15,c_Calculations!BC45)</f>
        <v/>
      </c>
      <c r="BD15" s="257">
        <f>IF(BD$7="Actual",i_Actuals!BD15,c_Calculations!BD45)</f>
        <v/>
      </c>
      <c r="BE15" s="257">
        <f>IF(BE$7="Actual",i_Actuals!BE15,c_Calculations!BE45)</f>
        <v/>
      </c>
      <c r="BF15" s="257">
        <f>IF(BF$7="Actual",i_Actuals!BF15,c_Calculations!BF45)</f>
        <v/>
      </c>
      <c r="BG15" s="257">
        <f>IF(BG$7="Actual",i_Actuals!BG15,c_Calculations!BG45)</f>
        <v/>
      </c>
      <c r="BH15" s="257">
        <f>IF(BH$7="Actual",i_Actuals!BH15,c_Calculations!BH45)</f>
        <v/>
      </c>
      <c r="BI15" s="257">
        <f>IF(BI$7="Actual",i_Actuals!BI15,c_Calculations!BI45)</f>
        <v/>
      </c>
      <c r="BJ15" s="257">
        <f>IF(BJ$7="Actual",i_Actuals!BJ15,c_Calculations!BJ45)</f>
        <v/>
      </c>
      <c r="BK15" s="257">
        <f>IF(BK$7="Actual",i_Actuals!BK15,c_Calculations!BK45)</f>
        <v/>
      </c>
      <c r="BL15" s="257">
        <f>IF(BL$7="Actual",i_Actuals!BL15,c_Calculations!BL45)</f>
        <v/>
      </c>
      <c r="BM15" s="257">
        <f>IF(BM$7="Actual",i_Actuals!BM15,c_Calculations!BM45)</f>
        <v/>
      </c>
      <c r="BN15" s="257">
        <f>IF(BN$7="Actual",i_Actuals!BN15,c_Calculations!BN45)</f>
        <v/>
      </c>
      <c r="BO15" s="257">
        <f>IF(BO$7="Actual",i_Actuals!BO15,c_Calculations!BO45)</f>
        <v/>
      </c>
      <c r="BP15" s="257">
        <f>IF(BP$7="Actual",i_Actuals!BP15,c_Calculations!BP45)</f>
        <v/>
      </c>
      <c r="BQ15" s="257">
        <f>IF(BQ$7="Actual",i_Actuals!BQ15,c_Calculations!BQ45)</f>
        <v/>
      </c>
      <c r="BR15" s="257">
        <f>IF(BR$7="Actual",i_Actuals!BR15,c_Calculations!BR45)</f>
        <v/>
      </c>
      <c r="BS15" s="257">
        <f>IF(BS$7="Actual",i_Actuals!BS15,c_Calculations!BS45)</f>
        <v/>
      </c>
      <c r="BT15" s="257">
        <f>IF(BT$7="Actual",i_Actuals!BT15,c_Calculations!BT45)</f>
        <v/>
      </c>
      <c r="BU15" s="257">
        <f>IF(BU$7="Actual",i_Actuals!BU15,c_Calculations!BU45)</f>
        <v/>
      </c>
      <c r="BV15" s="257">
        <f>IF(BV$7="Actual",i_Actuals!BV15,c_Calculations!BV45)</f>
        <v/>
      </c>
      <c r="BW15" s="257">
        <f>IF(BW$7="Actual",i_Actuals!BW15,c_Calculations!BW45)</f>
        <v/>
      </c>
      <c r="BX15" s="257">
        <f>IF(BX$7="Actual",i_Actuals!BX15,c_Calculations!BX45)</f>
        <v/>
      </c>
      <c r="BY15" s="257">
        <f>IF(BY$7="Actual",i_Actuals!BY15,c_Calculations!BY45)</f>
        <v/>
      </c>
      <c r="BZ15" s="257">
        <f>IF(BZ$7="Actual",i_Actuals!BZ15,c_Calculations!BZ45)</f>
        <v/>
      </c>
      <c r="CA15" s="257">
        <f>IF(CA$7="Actual",i_Actuals!CA15,c_Calculations!CA45)</f>
        <v/>
      </c>
    </row>
    <row r="16" ht="12" customHeight="1" s="227">
      <c r="A16" s="244" t="n"/>
      <c r="B16" s="244" t="n"/>
      <c r="C16" s="244" t="n"/>
      <c r="G16" s="222" t="n"/>
      <c r="H16" s="34">
        <f>i_Setup!U34</f>
        <v/>
      </c>
      <c r="I16" s="27">
        <f> i_Setup!$M$16</f>
        <v/>
      </c>
      <c r="K16" s="27" t="n"/>
      <c r="M16" s="245">
        <f>SUMIF($T$4:$CA$4,M$4,$T16:$CA16)</f>
        <v/>
      </c>
      <c r="N16" s="245">
        <f>SUMIF($T$4:$CA$4,N$4,$T16:$CA16)</f>
        <v/>
      </c>
      <c r="O16" s="245">
        <f>SUMIF($T$4:$CA$4,O$4,$T16:$CA16)</f>
        <v/>
      </c>
      <c r="P16" s="245">
        <f>SUMIF($T$4:$CA$4,P$4,$T16:$CA16)</f>
        <v/>
      </c>
      <c r="Q16" s="245">
        <f>SUMIF($T$4:$CA$4,Q$4,$T16:$CA16)</f>
        <v/>
      </c>
      <c r="T16" s="257">
        <f>IF(T$7="Actual",i_Actuals!T16,c_Calculations!T46)</f>
        <v/>
      </c>
      <c r="U16" s="257">
        <f>IF(U$7="Actual",i_Actuals!U16,c_Calculations!U46)</f>
        <v/>
      </c>
      <c r="V16" s="257">
        <f>IF(V$7="Actual",i_Actuals!V16,c_Calculations!V46)</f>
        <v/>
      </c>
      <c r="W16" s="257">
        <f>IF(W$7="Actual",i_Actuals!W16,c_Calculations!W46)</f>
        <v/>
      </c>
      <c r="X16" s="257">
        <f>IF(X$7="Actual",i_Actuals!X16,c_Calculations!X46)</f>
        <v/>
      </c>
      <c r="Y16" s="257">
        <f>IF(Y$7="Actual",i_Actuals!Y16,c_Calculations!Y46)</f>
        <v/>
      </c>
      <c r="Z16" s="257">
        <f>IF(Z$7="Actual",i_Actuals!Z16,c_Calculations!Z46)</f>
        <v/>
      </c>
      <c r="AA16" s="257">
        <f>IF(AA$7="Actual",i_Actuals!AA16,c_Calculations!AA46)</f>
        <v/>
      </c>
      <c r="AB16" s="257">
        <f>IF(AB$7="Actual",i_Actuals!AB16,c_Calculations!AB46)</f>
        <v/>
      </c>
      <c r="AC16" s="257">
        <f>IF(AC$7="Actual",i_Actuals!AC16,c_Calculations!AC46)</f>
        <v/>
      </c>
      <c r="AD16" s="257">
        <f>IF(AD$7="Actual",i_Actuals!AD16,c_Calculations!AD46)</f>
        <v/>
      </c>
      <c r="AE16" s="257">
        <f>IF(AE$7="Actual",i_Actuals!AE16,c_Calculations!AE46)</f>
        <v/>
      </c>
      <c r="AF16" s="257">
        <f>IF(AF$7="Actual",i_Actuals!AF16,c_Calculations!AF46)</f>
        <v/>
      </c>
      <c r="AG16" s="257">
        <f>IF(AG$7="Actual",i_Actuals!AG16,c_Calculations!AG46)</f>
        <v/>
      </c>
      <c r="AH16" s="257">
        <f>IF(AH$7="Actual",i_Actuals!AH16,c_Calculations!AH46)</f>
        <v/>
      </c>
      <c r="AI16" s="257">
        <f>IF(AI$7="Actual",i_Actuals!AI16,c_Calculations!AI46)</f>
        <v/>
      </c>
      <c r="AJ16" s="257">
        <f>IF(AJ$7="Actual",i_Actuals!AJ16,c_Calculations!AJ46)</f>
        <v/>
      </c>
      <c r="AK16" s="257">
        <f>IF(AK$7="Actual",i_Actuals!AK16,c_Calculations!AK46)</f>
        <v/>
      </c>
      <c r="AL16" s="257">
        <f>IF(AL$7="Actual",i_Actuals!AL16,c_Calculations!AL46)</f>
        <v/>
      </c>
      <c r="AM16" s="257">
        <f>IF(AM$7="Actual",i_Actuals!AM16,c_Calculations!AM46)</f>
        <v/>
      </c>
      <c r="AN16" s="257">
        <f>IF(AN$7="Actual",i_Actuals!AN16,c_Calculations!AN46)</f>
        <v/>
      </c>
      <c r="AO16" s="257">
        <f>IF(AO$7="Actual",i_Actuals!AO16,c_Calculations!AO46)</f>
        <v/>
      </c>
      <c r="AP16" s="257">
        <f>IF(AP$7="Actual",i_Actuals!AP16,c_Calculations!AP46)</f>
        <v/>
      </c>
      <c r="AQ16" s="257">
        <f>IF(AQ$7="Actual",i_Actuals!AQ16,c_Calculations!AQ46)</f>
        <v/>
      </c>
      <c r="AR16" s="257">
        <f>IF(AR$7="Actual",i_Actuals!AR16,c_Calculations!AR46)</f>
        <v/>
      </c>
      <c r="AS16" s="257">
        <f>IF(AS$7="Actual",i_Actuals!AS16,c_Calculations!AS46)</f>
        <v/>
      </c>
      <c r="AT16" s="257">
        <f>IF(AT$7="Actual",i_Actuals!AT16,c_Calculations!AT46)</f>
        <v/>
      </c>
      <c r="AU16" s="257">
        <f>IF(AU$7="Actual",i_Actuals!AU16,c_Calculations!AU46)</f>
        <v/>
      </c>
      <c r="AV16" s="257">
        <f>IF(AV$7="Actual",i_Actuals!AV16,c_Calculations!AV46)</f>
        <v/>
      </c>
      <c r="AW16" s="257">
        <f>IF(AW$7="Actual",i_Actuals!AW16,c_Calculations!AW46)</f>
        <v/>
      </c>
      <c r="AX16" s="257">
        <f>IF(AX$7="Actual",i_Actuals!AX16,c_Calculations!AX46)</f>
        <v/>
      </c>
      <c r="AY16" s="257">
        <f>IF(AY$7="Actual",i_Actuals!AY16,c_Calculations!AY46)</f>
        <v/>
      </c>
      <c r="AZ16" s="257">
        <f>IF(AZ$7="Actual",i_Actuals!AZ16,c_Calculations!AZ46)</f>
        <v/>
      </c>
      <c r="BA16" s="257">
        <f>IF(BA$7="Actual",i_Actuals!BA16,c_Calculations!BA46)</f>
        <v/>
      </c>
      <c r="BB16" s="257">
        <f>IF(BB$7="Actual",i_Actuals!BB16,c_Calculations!BB46)</f>
        <v/>
      </c>
      <c r="BC16" s="257">
        <f>IF(BC$7="Actual",i_Actuals!BC16,c_Calculations!BC46)</f>
        <v/>
      </c>
      <c r="BD16" s="257">
        <f>IF(BD$7="Actual",i_Actuals!BD16,c_Calculations!BD46)</f>
        <v/>
      </c>
      <c r="BE16" s="257">
        <f>IF(BE$7="Actual",i_Actuals!BE16,c_Calculations!BE46)</f>
        <v/>
      </c>
      <c r="BF16" s="257">
        <f>IF(BF$7="Actual",i_Actuals!BF16,c_Calculations!BF46)</f>
        <v/>
      </c>
      <c r="BG16" s="257">
        <f>IF(BG$7="Actual",i_Actuals!BG16,c_Calculations!BG46)</f>
        <v/>
      </c>
      <c r="BH16" s="257">
        <f>IF(BH$7="Actual",i_Actuals!BH16,c_Calculations!BH46)</f>
        <v/>
      </c>
      <c r="BI16" s="257">
        <f>IF(BI$7="Actual",i_Actuals!BI16,c_Calculations!BI46)</f>
        <v/>
      </c>
      <c r="BJ16" s="257">
        <f>IF(BJ$7="Actual",i_Actuals!BJ16,c_Calculations!BJ46)</f>
        <v/>
      </c>
      <c r="BK16" s="257">
        <f>IF(BK$7="Actual",i_Actuals!BK16,c_Calculations!BK46)</f>
        <v/>
      </c>
      <c r="BL16" s="257">
        <f>IF(BL$7="Actual",i_Actuals!BL16,c_Calculations!BL46)</f>
        <v/>
      </c>
      <c r="BM16" s="257">
        <f>IF(BM$7="Actual",i_Actuals!BM16,c_Calculations!BM46)</f>
        <v/>
      </c>
      <c r="BN16" s="257">
        <f>IF(BN$7="Actual",i_Actuals!BN16,c_Calculations!BN46)</f>
        <v/>
      </c>
      <c r="BO16" s="257">
        <f>IF(BO$7="Actual",i_Actuals!BO16,c_Calculations!BO46)</f>
        <v/>
      </c>
      <c r="BP16" s="257">
        <f>IF(BP$7="Actual",i_Actuals!BP16,c_Calculations!BP46)</f>
        <v/>
      </c>
      <c r="BQ16" s="257">
        <f>IF(BQ$7="Actual",i_Actuals!BQ16,c_Calculations!BQ46)</f>
        <v/>
      </c>
      <c r="BR16" s="257">
        <f>IF(BR$7="Actual",i_Actuals!BR16,c_Calculations!BR46)</f>
        <v/>
      </c>
      <c r="BS16" s="257">
        <f>IF(BS$7="Actual",i_Actuals!BS16,c_Calculations!BS46)</f>
        <v/>
      </c>
      <c r="BT16" s="257">
        <f>IF(BT$7="Actual",i_Actuals!BT16,c_Calculations!BT46)</f>
        <v/>
      </c>
      <c r="BU16" s="257">
        <f>IF(BU$7="Actual",i_Actuals!BU16,c_Calculations!BU46)</f>
        <v/>
      </c>
      <c r="BV16" s="257">
        <f>IF(BV$7="Actual",i_Actuals!BV16,c_Calculations!BV46)</f>
        <v/>
      </c>
      <c r="BW16" s="257">
        <f>IF(BW$7="Actual",i_Actuals!BW16,c_Calculations!BW46)</f>
        <v/>
      </c>
      <c r="BX16" s="257">
        <f>IF(BX$7="Actual",i_Actuals!BX16,c_Calculations!BX46)</f>
        <v/>
      </c>
      <c r="BY16" s="257">
        <f>IF(BY$7="Actual",i_Actuals!BY16,c_Calculations!BY46)</f>
        <v/>
      </c>
      <c r="BZ16" s="257">
        <f>IF(BZ$7="Actual",i_Actuals!BZ16,c_Calculations!BZ46)</f>
        <v/>
      </c>
      <c r="CA16" s="257">
        <f>IF(CA$7="Actual",i_Actuals!CA16,c_Calculations!CA46)</f>
        <v/>
      </c>
    </row>
    <row r="17" ht="12" customHeight="1" s="227">
      <c r="A17" s="244" t="n"/>
      <c r="B17" s="244" t="n"/>
      <c r="C17" s="244" t="n"/>
      <c r="G17" s="222" t="n"/>
      <c r="H17" s="34">
        <f>i_Setup!U35</f>
        <v/>
      </c>
      <c r="I17" s="27">
        <f> i_Setup!$M$16</f>
        <v/>
      </c>
      <c r="K17" s="27" t="n"/>
      <c r="M17" s="245">
        <f>SUMIF($T$4:$CA$4,M$4,$T17:$CA17)</f>
        <v/>
      </c>
      <c r="N17" s="245">
        <f>SUMIF($T$4:$CA$4,N$4,$T17:$CA17)</f>
        <v/>
      </c>
      <c r="O17" s="245">
        <f>SUMIF($T$4:$CA$4,O$4,$T17:$CA17)</f>
        <v/>
      </c>
      <c r="P17" s="245">
        <f>SUMIF($T$4:$CA$4,P$4,$T17:$CA17)</f>
        <v/>
      </c>
      <c r="Q17" s="245">
        <f>SUMIF($T$4:$CA$4,Q$4,$T17:$CA17)</f>
        <v/>
      </c>
      <c r="T17" s="257">
        <f>IF(T$7="Actual",i_Actuals!T17,c_Calculations!T47)</f>
        <v/>
      </c>
      <c r="U17" s="257">
        <f>IF(U$7="Actual",i_Actuals!U17,c_Calculations!U47)</f>
        <v/>
      </c>
      <c r="V17" s="257">
        <f>IF(V$7="Actual",i_Actuals!V17,c_Calculations!V47)</f>
        <v/>
      </c>
      <c r="W17" s="257">
        <f>IF(W$7="Actual",i_Actuals!W17,c_Calculations!W47)</f>
        <v/>
      </c>
      <c r="X17" s="257">
        <f>IF(X$7="Actual",i_Actuals!X17,c_Calculations!X47)</f>
        <v/>
      </c>
      <c r="Y17" s="257">
        <f>IF(Y$7="Actual",i_Actuals!Y17,c_Calculations!Y47)</f>
        <v/>
      </c>
      <c r="Z17" s="257">
        <f>IF(Z$7="Actual",i_Actuals!Z17,c_Calculations!Z47)</f>
        <v/>
      </c>
      <c r="AA17" s="257">
        <f>IF(AA$7="Actual",i_Actuals!AA17,c_Calculations!AA47)</f>
        <v/>
      </c>
      <c r="AB17" s="257">
        <f>IF(AB$7="Actual",i_Actuals!AB17,c_Calculations!AB47)</f>
        <v/>
      </c>
      <c r="AC17" s="257">
        <f>IF(AC$7="Actual",i_Actuals!AC17,c_Calculations!AC47)</f>
        <v/>
      </c>
      <c r="AD17" s="257">
        <f>IF(AD$7="Actual",i_Actuals!AD17,c_Calculations!AD47)</f>
        <v/>
      </c>
      <c r="AE17" s="257">
        <f>IF(AE$7="Actual",i_Actuals!AE17,c_Calculations!AE47)</f>
        <v/>
      </c>
      <c r="AF17" s="257">
        <f>IF(AF$7="Actual",i_Actuals!AF17,c_Calculations!AF47)</f>
        <v/>
      </c>
      <c r="AG17" s="257">
        <f>IF(AG$7="Actual",i_Actuals!AG17,c_Calculations!AG47)</f>
        <v/>
      </c>
      <c r="AH17" s="257">
        <f>IF(AH$7="Actual",i_Actuals!AH17,c_Calculations!AH47)</f>
        <v/>
      </c>
      <c r="AI17" s="257">
        <f>IF(AI$7="Actual",i_Actuals!AI17,c_Calculations!AI47)</f>
        <v/>
      </c>
      <c r="AJ17" s="257">
        <f>IF(AJ$7="Actual",i_Actuals!AJ17,c_Calculations!AJ47)</f>
        <v/>
      </c>
      <c r="AK17" s="257">
        <f>IF(AK$7="Actual",i_Actuals!AK17,c_Calculations!AK47)</f>
        <v/>
      </c>
      <c r="AL17" s="257">
        <f>IF(AL$7="Actual",i_Actuals!AL17,c_Calculations!AL47)</f>
        <v/>
      </c>
      <c r="AM17" s="257">
        <f>IF(AM$7="Actual",i_Actuals!AM17,c_Calculations!AM47)</f>
        <v/>
      </c>
      <c r="AN17" s="257">
        <f>IF(AN$7="Actual",i_Actuals!AN17,c_Calculations!AN47)</f>
        <v/>
      </c>
      <c r="AO17" s="257">
        <f>IF(AO$7="Actual",i_Actuals!AO17,c_Calculations!AO47)</f>
        <v/>
      </c>
      <c r="AP17" s="257">
        <f>IF(AP$7="Actual",i_Actuals!AP17,c_Calculations!AP47)</f>
        <v/>
      </c>
      <c r="AQ17" s="257">
        <f>IF(AQ$7="Actual",i_Actuals!AQ17,c_Calculations!AQ47)</f>
        <v/>
      </c>
      <c r="AR17" s="257">
        <f>IF(AR$7="Actual",i_Actuals!AR17,c_Calculations!AR47)</f>
        <v/>
      </c>
      <c r="AS17" s="257">
        <f>IF(AS$7="Actual",i_Actuals!AS17,c_Calculations!AS47)</f>
        <v/>
      </c>
      <c r="AT17" s="257">
        <f>IF(AT$7="Actual",i_Actuals!AT17,c_Calculations!AT47)</f>
        <v/>
      </c>
      <c r="AU17" s="257">
        <f>IF(AU$7="Actual",i_Actuals!AU17,c_Calculations!AU47)</f>
        <v/>
      </c>
      <c r="AV17" s="257">
        <f>IF(AV$7="Actual",i_Actuals!AV17,c_Calculations!AV47)</f>
        <v/>
      </c>
      <c r="AW17" s="257">
        <f>IF(AW$7="Actual",i_Actuals!AW17,c_Calculations!AW47)</f>
        <v/>
      </c>
      <c r="AX17" s="257">
        <f>IF(AX$7="Actual",i_Actuals!AX17,c_Calculations!AX47)</f>
        <v/>
      </c>
      <c r="AY17" s="257">
        <f>IF(AY$7="Actual",i_Actuals!AY17,c_Calculations!AY47)</f>
        <v/>
      </c>
      <c r="AZ17" s="257">
        <f>IF(AZ$7="Actual",i_Actuals!AZ17,c_Calculations!AZ47)</f>
        <v/>
      </c>
      <c r="BA17" s="257">
        <f>IF(BA$7="Actual",i_Actuals!BA17,c_Calculations!BA47)</f>
        <v/>
      </c>
      <c r="BB17" s="257">
        <f>IF(BB$7="Actual",i_Actuals!BB17,c_Calculations!BB47)</f>
        <v/>
      </c>
      <c r="BC17" s="257">
        <f>IF(BC$7="Actual",i_Actuals!BC17,c_Calculations!BC47)</f>
        <v/>
      </c>
      <c r="BD17" s="257">
        <f>IF(BD$7="Actual",i_Actuals!BD17,c_Calculations!BD47)</f>
        <v/>
      </c>
      <c r="BE17" s="257">
        <f>IF(BE$7="Actual",i_Actuals!BE17,c_Calculations!BE47)</f>
        <v/>
      </c>
      <c r="BF17" s="257">
        <f>IF(BF$7="Actual",i_Actuals!BF17,c_Calculations!BF47)</f>
        <v/>
      </c>
      <c r="BG17" s="257">
        <f>IF(BG$7="Actual",i_Actuals!BG17,c_Calculations!BG47)</f>
        <v/>
      </c>
      <c r="BH17" s="257">
        <f>IF(BH$7="Actual",i_Actuals!BH17,c_Calculations!BH47)</f>
        <v/>
      </c>
      <c r="BI17" s="257">
        <f>IF(BI$7="Actual",i_Actuals!BI17,c_Calculations!BI47)</f>
        <v/>
      </c>
      <c r="BJ17" s="257">
        <f>IF(BJ$7="Actual",i_Actuals!BJ17,c_Calculations!BJ47)</f>
        <v/>
      </c>
      <c r="BK17" s="257">
        <f>IF(BK$7="Actual",i_Actuals!BK17,c_Calculations!BK47)</f>
        <v/>
      </c>
      <c r="BL17" s="257">
        <f>IF(BL$7="Actual",i_Actuals!BL17,c_Calculations!BL47)</f>
        <v/>
      </c>
      <c r="BM17" s="257">
        <f>IF(BM$7="Actual",i_Actuals!BM17,c_Calculations!BM47)</f>
        <v/>
      </c>
      <c r="BN17" s="257">
        <f>IF(BN$7="Actual",i_Actuals!BN17,c_Calculations!BN47)</f>
        <v/>
      </c>
      <c r="BO17" s="257">
        <f>IF(BO$7="Actual",i_Actuals!BO17,c_Calculations!BO47)</f>
        <v/>
      </c>
      <c r="BP17" s="257">
        <f>IF(BP$7="Actual",i_Actuals!BP17,c_Calculations!BP47)</f>
        <v/>
      </c>
      <c r="BQ17" s="257">
        <f>IF(BQ$7="Actual",i_Actuals!BQ17,c_Calculations!BQ47)</f>
        <v/>
      </c>
      <c r="BR17" s="257">
        <f>IF(BR$7="Actual",i_Actuals!BR17,c_Calculations!BR47)</f>
        <v/>
      </c>
      <c r="BS17" s="257">
        <f>IF(BS$7="Actual",i_Actuals!BS17,c_Calculations!BS47)</f>
        <v/>
      </c>
      <c r="BT17" s="257">
        <f>IF(BT$7="Actual",i_Actuals!BT17,c_Calculations!BT47)</f>
        <v/>
      </c>
      <c r="BU17" s="257">
        <f>IF(BU$7="Actual",i_Actuals!BU17,c_Calculations!BU47)</f>
        <v/>
      </c>
      <c r="BV17" s="257">
        <f>IF(BV$7="Actual",i_Actuals!BV17,c_Calculations!BV47)</f>
        <v/>
      </c>
      <c r="BW17" s="257">
        <f>IF(BW$7="Actual",i_Actuals!BW17,c_Calculations!BW47)</f>
        <v/>
      </c>
      <c r="BX17" s="257">
        <f>IF(BX$7="Actual",i_Actuals!BX17,c_Calculations!BX47)</f>
        <v/>
      </c>
      <c r="BY17" s="257">
        <f>IF(BY$7="Actual",i_Actuals!BY17,c_Calculations!BY47)</f>
        <v/>
      </c>
      <c r="BZ17" s="257">
        <f>IF(BZ$7="Actual",i_Actuals!BZ17,c_Calculations!BZ47)</f>
        <v/>
      </c>
      <c r="CA17" s="257">
        <f>IF(CA$7="Actual",i_Actuals!CA17,c_Calculations!CA47)</f>
        <v/>
      </c>
    </row>
    <row r="18" ht="12" customHeight="1" s="227">
      <c r="A18" s="244" t="n"/>
      <c r="B18" s="244" t="n"/>
      <c r="C18" s="244" t="n"/>
      <c r="G18" s="222" t="n"/>
      <c r="H18" s="34">
        <f>i_Setup!U36</f>
        <v/>
      </c>
      <c r="I18" s="27">
        <f> i_Setup!$M$16</f>
        <v/>
      </c>
      <c r="K18" s="27" t="n"/>
      <c r="M18" s="245">
        <f>SUMIF($T$4:$CA$4,M$4,$T18:$CA18)</f>
        <v/>
      </c>
      <c r="N18" s="245">
        <f>SUMIF($T$4:$CA$4,N$4,$T18:$CA18)</f>
        <v/>
      </c>
      <c r="O18" s="245">
        <f>SUMIF($T$4:$CA$4,O$4,$T18:$CA18)</f>
        <v/>
      </c>
      <c r="P18" s="245">
        <f>SUMIF($T$4:$CA$4,P$4,$T18:$CA18)</f>
        <v/>
      </c>
      <c r="Q18" s="245">
        <f>SUMIF($T$4:$CA$4,Q$4,$T18:$CA18)</f>
        <v/>
      </c>
      <c r="T18" s="257">
        <f>IF(T$7="Actual",i_Actuals!T18,c_Calculations!T48)</f>
        <v/>
      </c>
      <c r="U18" s="257">
        <f>IF(U$7="Actual",i_Actuals!U18,c_Calculations!U48)</f>
        <v/>
      </c>
      <c r="V18" s="257">
        <f>IF(V$7="Actual",i_Actuals!V18,c_Calculations!V48)</f>
        <v/>
      </c>
      <c r="W18" s="257">
        <f>IF(W$7="Actual",i_Actuals!W18,c_Calculations!W48)</f>
        <v/>
      </c>
      <c r="X18" s="257">
        <f>IF(X$7="Actual",i_Actuals!X18,c_Calculations!X48)</f>
        <v/>
      </c>
      <c r="Y18" s="257">
        <f>IF(Y$7="Actual",i_Actuals!Y18,c_Calculations!Y48)</f>
        <v/>
      </c>
      <c r="Z18" s="257">
        <f>IF(Z$7="Actual",i_Actuals!Z18,c_Calculations!Z48)</f>
        <v/>
      </c>
      <c r="AA18" s="257">
        <f>IF(AA$7="Actual",i_Actuals!AA18,c_Calculations!AA48)</f>
        <v/>
      </c>
      <c r="AB18" s="257">
        <f>IF(AB$7="Actual",i_Actuals!AB18,c_Calculations!AB48)</f>
        <v/>
      </c>
      <c r="AC18" s="257">
        <f>IF(AC$7="Actual",i_Actuals!AC18,c_Calculations!AC48)</f>
        <v/>
      </c>
      <c r="AD18" s="257">
        <f>IF(AD$7="Actual",i_Actuals!AD18,c_Calculations!AD48)</f>
        <v/>
      </c>
      <c r="AE18" s="257">
        <f>IF(AE$7="Actual",i_Actuals!AE18,c_Calculations!AE48)</f>
        <v/>
      </c>
      <c r="AF18" s="257">
        <f>IF(AF$7="Actual",i_Actuals!AF18,c_Calculations!AF48)</f>
        <v/>
      </c>
      <c r="AG18" s="257">
        <f>IF(AG$7="Actual",i_Actuals!AG18,c_Calculations!AG48)</f>
        <v/>
      </c>
      <c r="AH18" s="257">
        <f>IF(AH$7="Actual",i_Actuals!AH18,c_Calculations!AH48)</f>
        <v/>
      </c>
      <c r="AI18" s="257">
        <f>IF(AI$7="Actual",i_Actuals!AI18,c_Calculations!AI48)</f>
        <v/>
      </c>
      <c r="AJ18" s="257">
        <f>IF(AJ$7="Actual",i_Actuals!AJ18,c_Calculations!AJ48)</f>
        <v/>
      </c>
      <c r="AK18" s="257">
        <f>IF(AK$7="Actual",i_Actuals!AK18,c_Calculations!AK48)</f>
        <v/>
      </c>
      <c r="AL18" s="257">
        <f>IF(AL$7="Actual",i_Actuals!AL18,c_Calculations!AL48)</f>
        <v/>
      </c>
      <c r="AM18" s="257">
        <f>IF(AM$7="Actual",i_Actuals!AM18,c_Calculations!AM48)</f>
        <v/>
      </c>
      <c r="AN18" s="257">
        <f>IF(AN$7="Actual",i_Actuals!AN18,c_Calculations!AN48)</f>
        <v/>
      </c>
      <c r="AO18" s="257">
        <f>IF(AO$7="Actual",i_Actuals!AO18,c_Calculations!AO48)</f>
        <v/>
      </c>
      <c r="AP18" s="257">
        <f>IF(AP$7="Actual",i_Actuals!AP18,c_Calculations!AP48)</f>
        <v/>
      </c>
      <c r="AQ18" s="257">
        <f>IF(AQ$7="Actual",i_Actuals!AQ18,c_Calculations!AQ48)</f>
        <v/>
      </c>
      <c r="AR18" s="257">
        <f>IF(AR$7="Actual",i_Actuals!AR18,c_Calculations!AR48)</f>
        <v/>
      </c>
      <c r="AS18" s="257">
        <f>IF(AS$7="Actual",i_Actuals!AS18,c_Calculations!AS48)</f>
        <v/>
      </c>
      <c r="AT18" s="257">
        <f>IF(AT$7="Actual",i_Actuals!AT18,c_Calculations!AT48)</f>
        <v/>
      </c>
      <c r="AU18" s="257">
        <f>IF(AU$7="Actual",i_Actuals!AU18,c_Calculations!AU48)</f>
        <v/>
      </c>
      <c r="AV18" s="257">
        <f>IF(AV$7="Actual",i_Actuals!AV18,c_Calculations!AV48)</f>
        <v/>
      </c>
      <c r="AW18" s="257">
        <f>IF(AW$7="Actual",i_Actuals!AW18,c_Calculations!AW48)</f>
        <v/>
      </c>
      <c r="AX18" s="257">
        <f>IF(AX$7="Actual",i_Actuals!AX18,c_Calculations!AX48)</f>
        <v/>
      </c>
      <c r="AY18" s="257">
        <f>IF(AY$7="Actual",i_Actuals!AY18,c_Calculations!AY48)</f>
        <v/>
      </c>
      <c r="AZ18" s="257">
        <f>IF(AZ$7="Actual",i_Actuals!AZ18,c_Calculations!AZ48)</f>
        <v/>
      </c>
      <c r="BA18" s="257">
        <f>IF(BA$7="Actual",i_Actuals!BA18,c_Calculations!BA48)</f>
        <v/>
      </c>
      <c r="BB18" s="257">
        <f>IF(BB$7="Actual",i_Actuals!BB18,c_Calculations!BB48)</f>
        <v/>
      </c>
      <c r="BC18" s="257">
        <f>IF(BC$7="Actual",i_Actuals!BC18,c_Calculations!BC48)</f>
        <v/>
      </c>
      <c r="BD18" s="257">
        <f>IF(BD$7="Actual",i_Actuals!BD18,c_Calculations!BD48)</f>
        <v/>
      </c>
      <c r="BE18" s="257">
        <f>IF(BE$7="Actual",i_Actuals!BE18,c_Calculations!BE48)</f>
        <v/>
      </c>
      <c r="BF18" s="257">
        <f>IF(BF$7="Actual",i_Actuals!BF18,c_Calculations!BF48)</f>
        <v/>
      </c>
      <c r="BG18" s="257">
        <f>IF(BG$7="Actual",i_Actuals!BG18,c_Calculations!BG48)</f>
        <v/>
      </c>
      <c r="BH18" s="257">
        <f>IF(BH$7="Actual",i_Actuals!BH18,c_Calculations!BH48)</f>
        <v/>
      </c>
      <c r="BI18" s="257">
        <f>IF(BI$7="Actual",i_Actuals!BI18,c_Calculations!BI48)</f>
        <v/>
      </c>
      <c r="BJ18" s="257">
        <f>IF(BJ$7="Actual",i_Actuals!BJ18,c_Calculations!BJ48)</f>
        <v/>
      </c>
      <c r="BK18" s="257">
        <f>IF(BK$7="Actual",i_Actuals!BK18,c_Calculations!BK48)</f>
        <v/>
      </c>
      <c r="BL18" s="257">
        <f>IF(BL$7="Actual",i_Actuals!BL18,c_Calculations!BL48)</f>
        <v/>
      </c>
      <c r="BM18" s="257">
        <f>IF(BM$7="Actual",i_Actuals!BM18,c_Calculations!BM48)</f>
        <v/>
      </c>
      <c r="BN18" s="257">
        <f>IF(BN$7="Actual",i_Actuals!BN18,c_Calculations!BN48)</f>
        <v/>
      </c>
      <c r="BO18" s="257">
        <f>IF(BO$7="Actual",i_Actuals!BO18,c_Calculations!BO48)</f>
        <v/>
      </c>
      <c r="BP18" s="257">
        <f>IF(BP$7="Actual",i_Actuals!BP18,c_Calculations!BP48)</f>
        <v/>
      </c>
      <c r="BQ18" s="257">
        <f>IF(BQ$7="Actual",i_Actuals!BQ18,c_Calculations!BQ48)</f>
        <v/>
      </c>
      <c r="BR18" s="257">
        <f>IF(BR$7="Actual",i_Actuals!BR18,c_Calculations!BR48)</f>
        <v/>
      </c>
      <c r="BS18" s="257">
        <f>IF(BS$7="Actual",i_Actuals!BS18,c_Calculations!BS48)</f>
        <v/>
      </c>
      <c r="BT18" s="257">
        <f>IF(BT$7="Actual",i_Actuals!BT18,c_Calculations!BT48)</f>
        <v/>
      </c>
      <c r="BU18" s="257">
        <f>IF(BU$7="Actual",i_Actuals!BU18,c_Calculations!BU48)</f>
        <v/>
      </c>
      <c r="BV18" s="257">
        <f>IF(BV$7="Actual",i_Actuals!BV18,c_Calculations!BV48)</f>
        <v/>
      </c>
      <c r="BW18" s="257">
        <f>IF(BW$7="Actual",i_Actuals!BW18,c_Calculations!BW48)</f>
        <v/>
      </c>
      <c r="BX18" s="257">
        <f>IF(BX$7="Actual",i_Actuals!BX18,c_Calculations!BX48)</f>
        <v/>
      </c>
      <c r="BY18" s="257">
        <f>IF(BY$7="Actual",i_Actuals!BY18,c_Calculations!BY48)</f>
        <v/>
      </c>
      <c r="BZ18" s="257">
        <f>IF(BZ$7="Actual",i_Actuals!BZ18,c_Calculations!BZ48)</f>
        <v/>
      </c>
      <c r="CA18" s="257">
        <f>IF(CA$7="Actual",i_Actuals!CA18,c_Calculations!CA48)</f>
        <v/>
      </c>
    </row>
    <row r="19" ht="12" customHeight="1" s="227">
      <c r="A19" s="244" t="n"/>
      <c r="B19" s="244" t="n"/>
      <c r="C19" s="244" t="n"/>
      <c r="G19" s="222" t="n"/>
      <c r="H19" s="34">
        <f>i_Setup!U37</f>
        <v/>
      </c>
      <c r="I19" s="27">
        <f> i_Setup!$M$16</f>
        <v/>
      </c>
      <c r="K19" s="27" t="n"/>
      <c r="M19" s="245">
        <f>SUMIF($T$4:$CA$4,M$4,$T19:$CA19)</f>
        <v/>
      </c>
      <c r="N19" s="245">
        <f>SUMIF($T$4:$CA$4,N$4,$T19:$CA19)</f>
        <v/>
      </c>
      <c r="O19" s="245">
        <f>SUMIF($T$4:$CA$4,O$4,$T19:$CA19)</f>
        <v/>
      </c>
      <c r="P19" s="245">
        <f>SUMIF($T$4:$CA$4,P$4,$T19:$CA19)</f>
        <v/>
      </c>
      <c r="Q19" s="245">
        <f>SUMIF($T$4:$CA$4,Q$4,$T19:$CA19)</f>
        <v/>
      </c>
      <c r="T19" s="257">
        <f>IF(T$7="Actual",i_Actuals!T19,c_Calculations!T49)</f>
        <v/>
      </c>
      <c r="U19" s="257">
        <f>IF(U$7="Actual",i_Actuals!U19,c_Calculations!U49)</f>
        <v/>
      </c>
      <c r="V19" s="257">
        <f>IF(V$7="Actual",i_Actuals!V19,c_Calculations!V49)</f>
        <v/>
      </c>
      <c r="W19" s="257">
        <f>IF(W$7="Actual",i_Actuals!W19,c_Calculations!W49)</f>
        <v/>
      </c>
      <c r="X19" s="257">
        <f>IF(X$7="Actual",i_Actuals!X19,c_Calculations!X49)</f>
        <v/>
      </c>
      <c r="Y19" s="257">
        <f>IF(Y$7="Actual",i_Actuals!Y19,c_Calculations!Y49)</f>
        <v/>
      </c>
      <c r="Z19" s="257">
        <f>IF(Z$7="Actual",i_Actuals!Z19,c_Calculations!Z49)</f>
        <v/>
      </c>
      <c r="AA19" s="257">
        <f>IF(AA$7="Actual",i_Actuals!AA19,c_Calculations!AA49)</f>
        <v/>
      </c>
      <c r="AB19" s="257">
        <f>IF(AB$7="Actual",i_Actuals!AB19,c_Calculations!AB49)</f>
        <v/>
      </c>
      <c r="AC19" s="257">
        <f>IF(AC$7="Actual",i_Actuals!AC19,c_Calculations!AC49)</f>
        <v/>
      </c>
      <c r="AD19" s="257">
        <f>IF(AD$7="Actual",i_Actuals!AD19,c_Calculations!AD49)</f>
        <v/>
      </c>
      <c r="AE19" s="257">
        <f>IF(AE$7="Actual",i_Actuals!AE19,c_Calculations!AE49)</f>
        <v/>
      </c>
      <c r="AF19" s="257">
        <f>IF(AF$7="Actual",i_Actuals!AF19,c_Calculations!AF49)</f>
        <v/>
      </c>
      <c r="AG19" s="257">
        <f>IF(AG$7="Actual",i_Actuals!AG19,c_Calculations!AG49)</f>
        <v/>
      </c>
      <c r="AH19" s="257">
        <f>IF(AH$7="Actual",i_Actuals!AH19,c_Calculations!AH49)</f>
        <v/>
      </c>
      <c r="AI19" s="257">
        <f>IF(AI$7="Actual",i_Actuals!AI19,c_Calculations!AI49)</f>
        <v/>
      </c>
      <c r="AJ19" s="257">
        <f>IF(AJ$7="Actual",i_Actuals!AJ19,c_Calculations!AJ49)</f>
        <v/>
      </c>
      <c r="AK19" s="257">
        <f>IF(AK$7="Actual",i_Actuals!AK19,c_Calculations!AK49)</f>
        <v/>
      </c>
      <c r="AL19" s="257">
        <f>IF(AL$7="Actual",i_Actuals!AL19,c_Calculations!AL49)</f>
        <v/>
      </c>
      <c r="AM19" s="257">
        <f>IF(AM$7="Actual",i_Actuals!AM19,c_Calculations!AM49)</f>
        <v/>
      </c>
      <c r="AN19" s="257">
        <f>IF(AN$7="Actual",i_Actuals!AN19,c_Calculations!AN49)</f>
        <v/>
      </c>
      <c r="AO19" s="257">
        <f>IF(AO$7="Actual",i_Actuals!AO19,c_Calculations!AO49)</f>
        <v/>
      </c>
      <c r="AP19" s="257">
        <f>IF(AP$7="Actual",i_Actuals!AP19,c_Calculations!AP49)</f>
        <v/>
      </c>
      <c r="AQ19" s="257">
        <f>IF(AQ$7="Actual",i_Actuals!AQ19,c_Calculations!AQ49)</f>
        <v/>
      </c>
      <c r="AR19" s="257">
        <f>IF(AR$7="Actual",i_Actuals!AR19,c_Calculations!AR49)</f>
        <v/>
      </c>
      <c r="AS19" s="257">
        <f>IF(AS$7="Actual",i_Actuals!AS19,c_Calculations!AS49)</f>
        <v/>
      </c>
      <c r="AT19" s="257">
        <f>IF(AT$7="Actual",i_Actuals!AT19,c_Calculations!AT49)</f>
        <v/>
      </c>
      <c r="AU19" s="257">
        <f>IF(AU$7="Actual",i_Actuals!AU19,c_Calculations!AU49)</f>
        <v/>
      </c>
      <c r="AV19" s="257">
        <f>IF(AV$7="Actual",i_Actuals!AV19,c_Calculations!AV49)</f>
        <v/>
      </c>
      <c r="AW19" s="257">
        <f>IF(AW$7="Actual",i_Actuals!AW19,c_Calculations!AW49)</f>
        <v/>
      </c>
      <c r="AX19" s="257">
        <f>IF(AX$7="Actual",i_Actuals!AX19,c_Calculations!AX49)</f>
        <v/>
      </c>
      <c r="AY19" s="257">
        <f>IF(AY$7="Actual",i_Actuals!AY19,c_Calculations!AY49)</f>
        <v/>
      </c>
      <c r="AZ19" s="257">
        <f>IF(AZ$7="Actual",i_Actuals!AZ19,c_Calculations!AZ49)</f>
        <v/>
      </c>
      <c r="BA19" s="257">
        <f>IF(BA$7="Actual",i_Actuals!BA19,c_Calculations!BA49)</f>
        <v/>
      </c>
      <c r="BB19" s="257">
        <f>IF(BB$7="Actual",i_Actuals!BB19,c_Calculations!BB49)</f>
        <v/>
      </c>
      <c r="BC19" s="257">
        <f>IF(BC$7="Actual",i_Actuals!BC19,c_Calculations!BC49)</f>
        <v/>
      </c>
      <c r="BD19" s="257">
        <f>IF(BD$7="Actual",i_Actuals!BD19,c_Calculations!BD49)</f>
        <v/>
      </c>
      <c r="BE19" s="257">
        <f>IF(BE$7="Actual",i_Actuals!BE19,c_Calculations!BE49)</f>
        <v/>
      </c>
      <c r="BF19" s="257">
        <f>IF(BF$7="Actual",i_Actuals!BF19,c_Calculations!BF49)</f>
        <v/>
      </c>
      <c r="BG19" s="257">
        <f>IF(BG$7="Actual",i_Actuals!BG19,c_Calculations!BG49)</f>
        <v/>
      </c>
      <c r="BH19" s="257">
        <f>IF(BH$7="Actual",i_Actuals!BH19,c_Calculations!BH49)</f>
        <v/>
      </c>
      <c r="BI19" s="257">
        <f>IF(BI$7="Actual",i_Actuals!BI19,c_Calculations!BI49)</f>
        <v/>
      </c>
      <c r="BJ19" s="257">
        <f>IF(BJ$7="Actual",i_Actuals!BJ19,c_Calculations!BJ49)</f>
        <v/>
      </c>
      <c r="BK19" s="257">
        <f>IF(BK$7="Actual",i_Actuals!BK19,c_Calculations!BK49)</f>
        <v/>
      </c>
      <c r="BL19" s="257">
        <f>IF(BL$7="Actual",i_Actuals!BL19,c_Calculations!BL49)</f>
        <v/>
      </c>
      <c r="BM19" s="257">
        <f>IF(BM$7="Actual",i_Actuals!BM19,c_Calculations!BM49)</f>
        <v/>
      </c>
      <c r="BN19" s="257">
        <f>IF(BN$7="Actual",i_Actuals!BN19,c_Calculations!BN49)</f>
        <v/>
      </c>
      <c r="BO19" s="257">
        <f>IF(BO$7="Actual",i_Actuals!BO19,c_Calculations!BO49)</f>
        <v/>
      </c>
      <c r="BP19" s="257">
        <f>IF(BP$7="Actual",i_Actuals!BP19,c_Calculations!BP49)</f>
        <v/>
      </c>
      <c r="BQ19" s="257">
        <f>IF(BQ$7="Actual",i_Actuals!BQ19,c_Calculations!BQ49)</f>
        <v/>
      </c>
      <c r="BR19" s="257">
        <f>IF(BR$7="Actual",i_Actuals!BR19,c_Calculations!BR49)</f>
        <v/>
      </c>
      <c r="BS19" s="257">
        <f>IF(BS$7="Actual",i_Actuals!BS19,c_Calculations!BS49)</f>
        <v/>
      </c>
      <c r="BT19" s="257">
        <f>IF(BT$7="Actual",i_Actuals!BT19,c_Calculations!BT49)</f>
        <v/>
      </c>
      <c r="BU19" s="257">
        <f>IF(BU$7="Actual",i_Actuals!BU19,c_Calculations!BU49)</f>
        <v/>
      </c>
      <c r="BV19" s="257">
        <f>IF(BV$7="Actual",i_Actuals!BV19,c_Calculations!BV49)</f>
        <v/>
      </c>
      <c r="BW19" s="257">
        <f>IF(BW$7="Actual",i_Actuals!BW19,c_Calculations!BW49)</f>
        <v/>
      </c>
      <c r="BX19" s="257">
        <f>IF(BX$7="Actual",i_Actuals!BX19,c_Calculations!BX49)</f>
        <v/>
      </c>
      <c r="BY19" s="257">
        <f>IF(BY$7="Actual",i_Actuals!BY19,c_Calculations!BY49)</f>
        <v/>
      </c>
      <c r="BZ19" s="257">
        <f>IF(BZ$7="Actual",i_Actuals!BZ19,c_Calculations!BZ49)</f>
        <v/>
      </c>
      <c r="CA19" s="257">
        <f>IF(CA$7="Actual",i_Actuals!CA19,c_Calculations!CA49)</f>
        <v/>
      </c>
    </row>
    <row r="20" ht="12" customHeight="1" s="227">
      <c r="A20" s="244" t="n"/>
      <c r="B20" s="244" t="n"/>
      <c r="C20" s="244" t="n"/>
      <c r="G20" s="222" t="n"/>
      <c r="H20" s="34">
        <f>i_Setup!U38</f>
        <v/>
      </c>
      <c r="I20" s="27">
        <f> i_Setup!$M$16</f>
        <v/>
      </c>
      <c r="K20" s="27" t="n"/>
      <c r="M20" s="245">
        <f>SUMIF($T$4:$CA$4,M$4,$T20:$CA20)</f>
        <v/>
      </c>
      <c r="N20" s="245">
        <f>SUMIF($T$4:$CA$4,N$4,$T20:$CA20)</f>
        <v/>
      </c>
      <c r="O20" s="245">
        <f>SUMIF($T$4:$CA$4,O$4,$T20:$CA20)</f>
        <v/>
      </c>
      <c r="P20" s="245">
        <f>SUMIF($T$4:$CA$4,P$4,$T20:$CA20)</f>
        <v/>
      </c>
      <c r="Q20" s="245">
        <f>SUMIF($T$4:$CA$4,Q$4,$T20:$CA20)</f>
        <v/>
      </c>
      <c r="T20" s="257">
        <f>IF(T$7="Actual",i_Actuals!T20,c_Calculations!T50)</f>
        <v/>
      </c>
      <c r="U20" s="257">
        <f>IF(U$7="Actual",i_Actuals!U20,c_Calculations!U50)</f>
        <v/>
      </c>
      <c r="V20" s="257">
        <f>IF(V$7="Actual",i_Actuals!V20,c_Calculations!V50)</f>
        <v/>
      </c>
      <c r="W20" s="257">
        <f>IF(W$7="Actual",i_Actuals!W20,c_Calculations!W50)</f>
        <v/>
      </c>
      <c r="X20" s="257">
        <f>IF(X$7="Actual",i_Actuals!X20,c_Calculations!X50)</f>
        <v/>
      </c>
      <c r="Y20" s="257">
        <f>IF(Y$7="Actual",i_Actuals!Y20,c_Calculations!Y50)</f>
        <v/>
      </c>
      <c r="Z20" s="257">
        <f>IF(Z$7="Actual",i_Actuals!Z20,c_Calculations!Z50)</f>
        <v/>
      </c>
      <c r="AA20" s="257">
        <f>IF(AA$7="Actual",i_Actuals!AA20,c_Calculations!AA50)</f>
        <v/>
      </c>
      <c r="AB20" s="257">
        <f>IF(AB$7="Actual",i_Actuals!AB20,c_Calculations!AB50)</f>
        <v/>
      </c>
      <c r="AC20" s="257">
        <f>IF(AC$7="Actual",i_Actuals!AC20,c_Calculations!AC50)</f>
        <v/>
      </c>
      <c r="AD20" s="257">
        <f>IF(AD$7="Actual",i_Actuals!AD20,c_Calculations!AD50)</f>
        <v/>
      </c>
      <c r="AE20" s="257">
        <f>IF(AE$7="Actual",i_Actuals!AE20,c_Calculations!AE50)</f>
        <v/>
      </c>
      <c r="AF20" s="257">
        <f>IF(AF$7="Actual",i_Actuals!AF20,c_Calculations!AF50)</f>
        <v/>
      </c>
      <c r="AG20" s="257">
        <f>IF(AG$7="Actual",i_Actuals!AG20,c_Calculations!AG50)</f>
        <v/>
      </c>
      <c r="AH20" s="257">
        <f>IF(AH$7="Actual",i_Actuals!AH20,c_Calculations!AH50)</f>
        <v/>
      </c>
      <c r="AI20" s="257">
        <f>IF(AI$7="Actual",i_Actuals!AI20,c_Calculations!AI50)</f>
        <v/>
      </c>
      <c r="AJ20" s="257">
        <f>IF(AJ$7="Actual",i_Actuals!AJ20,c_Calculations!AJ50)</f>
        <v/>
      </c>
      <c r="AK20" s="257">
        <f>IF(AK$7="Actual",i_Actuals!AK20,c_Calculations!AK50)</f>
        <v/>
      </c>
      <c r="AL20" s="257">
        <f>IF(AL$7="Actual",i_Actuals!AL20,c_Calculations!AL50)</f>
        <v/>
      </c>
      <c r="AM20" s="257">
        <f>IF(AM$7="Actual",i_Actuals!AM20,c_Calculations!AM50)</f>
        <v/>
      </c>
      <c r="AN20" s="257">
        <f>IF(AN$7="Actual",i_Actuals!AN20,c_Calculations!AN50)</f>
        <v/>
      </c>
      <c r="AO20" s="257">
        <f>IF(AO$7="Actual",i_Actuals!AO20,c_Calculations!AO50)</f>
        <v/>
      </c>
      <c r="AP20" s="257">
        <f>IF(AP$7="Actual",i_Actuals!AP20,c_Calculations!AP50)</f>
        <v/>
      </c>
      <c r="AQ20" s="257">
        <f>IF(AQ$7="Actual",i_Actuals!AQ20,c_Calculations!AQ50)</f>
        <v/>
      </c>
      <c r="AR20" s="257">
        <f>IF(AR$7="Actual",i_Actuals!AR20,c_Calculations!AR50)</f>
        <v/>
      </c>
      <c r="AS20" s="257">
        <f>IF(AS$7="Actual",i_Actuals!AS20,c_Calculations!AS50)</f>
        <v/>
      </c>
      <c r="AT20" s="257">
        <f>IF(AT$7="Actual",i_Actuals!AT20,c_Calculations!AT50)</f>
        <v/>
      </c>
      <c r="AU20" s="257">
        <f>IF(AU$7="Actual",i_Actuals!AU20,c_Calculations!AU50)</f>
        <v/>
      </c>
      <c r="AV20" s="257">
        <f>IF(AV$7="Actual",i_Actuals!AV20,c_Calculations!AV50)</f>
        <v/>
      </c>
      <c r="AW20" s="257">
        <f>IF(AW$7="Actual",i_Actuals!AW20,c_Calculations!AW50)</f>
        <v/>
      </c>
      <c r="AX20" s="257">
        <f>IF(AX$7="Actual",i_Actuals!AX20,c_Calculations!AX50)</f>
        <v/>
      </c>
      <c r="AY20" s="257">
        <f>IF(AY$7="Actual",i_Actuals!AY20,c_Calculations!AY50)</f>
        <v/>
      </c>
      <c r="AZ20" s="257">
        <f>IF(AZ$7="Actual",i_Actuals!AZ20,c_Calculations!AZ50)</f>
        <v/>
      </c>
      <c r="BA20" s="257">
        <f>IF(BA$7="Actual",i_Actuals!BA20,c_Calculations!BA50)</f>
        <v/>
      </c>
      <c r="BB20" s="257">
        <f>IF(BB$7="Actual",i_Actuals!BB20,c_Calculations!BB50)</f>
        <v/>
      </c>
      <c r="BC20" s="257">
        <f>IF(BC$7="Actual",i_Actuals!BC20,c_Calculations!BC50)</f>
        <v/>
      </c>
      <c r="BD20" s="257">
        <f>IF(BD$7="Actual",i_Actuals!BD20,c_Calculations!BD50)</f>
        <v/>
      </c>
      <c r="BE20" s="257">
        <f>IF(BE$7="Actual",i_Actuals!BE20,c_Calculations!BE50)</f>
        <v/>
      </c>
      <c r="BF20" s="257">
        <f>IF(BF$7="Actual",i_Actuals!BF20,c_Calculations!BF50)</f>
        <v/>
      </c>
      <c r="BG20" s="257">
        <f>IF(BG$7="Actual",i_Actuals!BG20,c_Calculations!BG50)</f>
        <v/>
      </c>
      <c r="BH20" s="257">
        <f>IF(BH$7="Actual",i_Actuals!BH20,c_Calculations!BH50)</f>
        <v/>
      </c>
      <c r="BI20" s="257">
        <f>IF(BI$7="Actual",i_Actuals!BI20,c_Calculations!BI50)</f>
        <v/>
      </c>
      <c r="BJ20" s="257">
        <f>IF(BJ$7="Actual",i_Actuals!BJ20,c_Calculations!BJ50)</f>
        <v/>
      </c>
      <c r="BK20" s="257">
        <f>IF(BK$7="Actual",i_Actuals!BK20,c_Calculations!BK50)</f>
        <v/>
      </c>
      <c r="BL20" s="257">
        <f>IF(BL$7="Actual",i_Actuals!BL20,c_Calculations!BL50)</f>
        <v/>
      </c>
      <c r="BM20" s="257">
        <f>IF(BM$7="Actual",i_Actuals!BM20,c_Calculations!BM50)</f>
        <v/>
      </c>
      <c r="BN20" s="257">
        <f>IF(BN$7="Actual",i_Actuals!BN20,c_Calculations!BN50)</f>
        <v/>
      </c>
      <c r="BO20" s="257">
        <f>IF(BO$7="Actual",i_Actuals!BO20,c_Calculations!BO50)</f>
        <v/>
      </c>
      <c r="BP20" s="257">
        <f>IF(BP$7="Actual",i_Actuals!BP20,c_Calculations!BP50)</f>
        <v/>
      </c>
      <c r="BQ20" s="257">
        <f>IF(BQ$7="Actual",i_Actuals!BQ20,c_Calculations!BQ50)</f>
        <v/>
      </c>
      <c r="BR20" s="257">
        <f>IF(BR$7="Actual",i_Actuals!BR20,c_Calculations!BR50)</f>
        <v/>
      </c>
      <c r="BS20" s="257">
        <f>IF(BS$7="Actual",i_Actuals!BS20,c_Calculations!BS50)</f>
        <v/>
      </c>
      <c r="BT20" s="257">
        <f>IF(BT$7="Actual",i_Actuals!BT20,c_Calculations!BT50)</f>
        <v/>
      </c>
      <c r="BU20" s="257">
        <f>IF(BU$7="Actual",i_Actuals!BU20,c_Calculations!BU50)</f>
        <v/>
      </c>
      <c r="BV20" s="257">
        <f>IF(BV$7="Actual",i_Actuals!BV20,c_Calculations!BV50)</f>
        <v/>
      </c>
      <c r="BW20" s="257">
        <f>IF(BW$7="Actual",i_Actuals!BW20,c_Calculations!BW50)</f>
        <v/>
      </c>
      <c r="BX20" s="257">
        <f>IF(BX$7="Actual",i_Actuals!BX20,c_Calculations!BX50)</f>
        <v/>
      </c>
      <c r="BY20" s="257">
        <f>IF(BY$7="Actual",i_Actuals!BY20,c_Calculations!BY50)</f>
        <v/>
      </c>
      <c r="BZ20" s="257">
        <f>IF(BZ$7="Actual",i_Actuals!BZ20,c_Calculations!BZ50)</f>
        <v/>
      </c>
      <c r="CA20" s="257">
        <f>IF(CA$7="Actual",i_Actuals!CA20,c_Calculations!CA50)</f>
        <v/>
      </c>
    </row>
    <row r="21" ht="12" customHeight="1" s="227">
      <c r="A21" s="244" t="n"/>
      <c r="B21" s="244" t="n"/>
      <c r="C21" s="244" t="n"/>
      <c r="G21" s="222" t="n"/>
      <c r="H21" s="34">
        <f>i_Setup!U39</f>
        <v/>
      </c>
      <c r="I21" s="27">
        <f> i_Setup!$M$16</f>
        <v/>
      </c>
      <c r="K21" s="27" t="n"/>
      <c r="M21" s="245">
        <f>SUMIF($T$4:$CA$4,M$4,$T21:$CA21)</f>
        <v/>
      </c>
      <c r="N21" s="245">
        <f>SUMIF($T$4:$CA$4,N$4,$T21:$CA21)</f>
        <v/>
      </c>
      <c r="O21" s="245">
        <f>SUMIF($T$4:$CA$4,O$4,$T21:$CA21)</f>
        <v/>
      </c>
      <c r="P21" s="245">
        <f>SUMIF($T$4:$CA$4,P$4,$T21:$CA21)</f>
        <v/>
      </c>
      <c r="Q21" s="245">
        <f>SUMIF($T$4:$CA$4,Q$4,$T21:$CA21)</f>
        <v/>
      </c>
      <c r="T21" s="257">
        <f>IF(T$7="Actual",i_Actuals!T21,c_Calculations!T51)</f>
        <v/>
      </c>
      <c r="U21" s="257">
        <f>IF(U$7="Actual",i_Actuals!U21,c_Calculations!U51)</f>
        <v/>
      </c>
      <c r="V21" s="257">
        <f>IF(V$7="Actual",i_Actuals!V21,c_Calculations!V51)</f>
        <v/>
      </c>
      <c r="W21" s="257">
        <f>IF(W$7="Actual",i_Actuals!W21,c_Calculations!W51)</f>
        <v/>
      </c>
      <c r="X21" s="257">
        <f>IF(X$7="Actual",i_Actuals!X21,c_Calculations!X51)</f>
        <v/>
      </c>
      <c r="Y21" s="257">
        <f>IF(Y$7="Actual",i_Actuals!Y21,c_Calculations!Y51)</f>
        <v/>
      </c>
      <c r="Z21" s="257">
        <f>IF(Z$7="Actual",i_Actuals!Z21,c_Calculations!Z51)</f>
        <v/>
      </c>
      <c r="AA21" s="257">
        <f>IF(AA$7="Actual",i_Actuals!AA21,c_Calculations!AA51)</f>
        <v/>
      </c>
      <c r="AB21" s="257">
        <f>IF(AB$7="Actual",i_Actuals!AB21,c_Calculations!AB51)</f>
        <v/>
      </c>
      <c r="AC21" s="257">
        <f>IF(AC$7="Actual",i_Actuals!AC21,c_Calculations!AC51)</f>
        <v/>
      </c>
      <c r="AD21" s="257">
        <f>IF(AD$7="Actual",i_Actuals!AD21,c_Calculations!AD51)</f>
        <v/>
      </c>
      <c r="AE21" s="257">
        <f>IF(AE$7="Actual",i_Actuals!AE21,c_Calculations!AE51)</f>
        <v/>
      </c>
      <c r="AF21" s="257">
        <f>IF(AF$7="Actual",i_Actuals!AF21,c_Calculations!AF51)</f>
        <v/>
      </c>
      <c r="AG21" s="257">
        <f>IF(AG$7="Actual",i_Actuals!AG21,c_Calculations!AG51)</f>
        <v/>
      </c>
      <c r="AH21" s="257">
        <f>IF(AH$7="Actual",i_Actuals!AH21,c_Calculations!AH51)</f>
        <v/>
      </c>
      <c r="AI21" s="257">
        <f>IF(AI$7="Actual",i_Actuals!AI21,c_Calculations!AI51)</f>
        <v/>
      </c>
      <c r="AJ21" s="257">
        <f>IF(AJ$7="Actual",i_Actuals!AJ21,c_Calculations!AJ51)</f>
        <v/>
      </c>
      <c r="AK21" s="257">
        <f>IF(AK$7="Actual",i_Actuals!AK21,c_Calculations!AK51)</f>
        <v/>
      </c>
      <c r="AL21" s="257">
        <f>IF(AL$7="Actual",i_Actuals!AL21,c_Calculations!AL51)</f>
        <v/>
      </c>
      <c r="AM21" s="257">
        <f>IF(AM$7="Actual",i_Actuals!AM21,c_Calculations!AM51)</f>
        <v/>
      </c>
      <c r="AN21" s="257">
        <f>IF(AN$7="Actual",i_Actuals!AN21,c_Calculations!AN51)</f>
        <v/>
      </c>
      <c r="AO21" s="257">
        <f>IF(AO$7="Actual",i_Actuals!AO21,c_Calculations!AO51)</f>
        <v/>
      </c>
      <c r="AP21" s="257">
        <f>IF(AP$7="Actual",i_Actuals!AP21,c_Calculations!AP51)</f>
        <v/>
      </c>
      <c r="AQ21" s="257">
        <f>IF(AQ$7="Actual",i_Actuals!AQ21,c_Calculations!AQ51)</f>
        <v/>
      </c>
      <c r="AR21" s="257">
        <f>IF(AR$7="Actual",i_Actuals!AR21,c_Calculations!AR51)</f>
        <v/>
      </c>
      <c r="AS21" s="257">
        <f>IF(AS$7="Actual",i_Actuals!AS21,c_Calculations!AS51)</f>
        <v/>
      </c>
      <c r="AT21" s="257">
        <f>IF(AT$7="Actual",i_Actuals!AT21,c_Calculations!AT51)</f>
        <v/>
      </c>
      <c r="AU21" s="257">
        <f>IF(AU$7="Actual",i_Actuals!AU21,c_Calculations!AU51)</f>
        <v/>
      </c>
      <c r="AV21" s="257">
        <f>IF(AV$7="Actual",i_Actuals!AV21,c_Calculations!AV51)</f>
        <v/>
      </c>
      <c r="AW21" s="257">
        <f>IF(AW$7="Actual",i_Actuals!AW21,c_Calculations!AW51)</f>
        <v/>
      </c>
      <c r="AX21" s="257">
        <f>IF(AX$7="Actual",i_Actuals!AX21,c_Calculations!AX51)</f>
        <v/>
      </c>
      <c r="AY21" s="257">
        <f>IF(AY$7="Actual",i_Actuals!AY21,c_Calculations!AY51)</f>
        <v/>
      </c>
      <c r="AZ21" s="257">
        <f>IF(AZ$7="Actual",i_Actuals!AZ21,c_Calculations!AZ51)</f>
        <v/>
      </c>
      <c r="BA21" s="257">
        <f>IF(BA$7="Actual",i_Actuals!BA21,c_Calculations!BA51)</f>
        <v/>
      </c>
      <c r="BB21" s="257">
        <f>IF(BB$7="Actual",i_Actuals!BB21,c_Calculations!BB51)</f>
        <v/>
      </c>
      <c r="BC21" s="257">
        <f>IF(BC$7="Actual",i_Actuals!BC21,c_Calculations!BC51)</f>
        <v/>
      </c>
      <c r="BD21" s="257">
        <f>IF(BD$7="Actual",i_Actuals!BD21,c_Calculations!BD51)</f>
        <v/>
      </c>
      <c r="BE21" s="257">
        <f>IF(BE$7="Actual",i_Actuals!BE21,c_Calculations!BE51)</f>
        <v/>
      </c>
      <c r="BF21" s="257">
        <f>IF(BF$7="Actual",i_Actuals!BF21,c_Calculations!BF51)</f>
        <v/>
      </c>
      <c r="BG21" s="257">
        <f>IF(BG$7="Actual",i_Actuals!BG21,c_Calculations!BG51)</f>
        <v/>
      </c>
      <c r="BH21" s="257">
        <f>IF(BH$7="Actual",i_Actuals!BH21,c_Calculations!BH51)</f>
        <v/>
      </c>
      <c r="BI21" s="257">
        <f>IF(BI$7="Actual",i_Actuals!BI21,c_Calculations!BI51)</f>
        <v/>
      </c>
      <c r="BJ21" s="257">
        <f>IF(BJ$7="Actual",i_Actuals!BJ21,c_Calculations!BJ51)</f>
        <v/>
      </c>
      <c r="BK21" s="257">
        <f>IF(BK$7="Actual",i_Actuals!BK21,c_Calculations!BK51)</f>
        <v/>
      </c>
      <c r="BL21" s="257">
        <f>IF(BL$7="Actual",i_Actuals!BL21,c_Calculations!BL51)</f>
        <v/>
      </c>
      <c r="BM21" s="257">
        <f>IF(BM$7="Actual",i_Actuals!BM21,c_Calculations!BM51)</f>
        <v/>
      </c>
      <c r="BN21" s="257">
        <f>IF(BN$7="Actual",i_Actuals!BN21,c_Calculations!BN51)</f>
        <v/>
      </c>
      <c r="BO21" s="257">
        <f>IF(BO$7="Actual",i_Actuals!BO21,c_Calculations!BO51)</f>
        <v/>
      </c>
      <c r="BP21" s="257">
        <f>IF(BP$7="Actual",i_Actuals!BP21,c_Calculations!BP51)</f>
        <v/>
      </c>
      <c r="BQ21" s="257">
        <f>IF(BQ$7="Actual",i_Actuals!BQ21,c_Calculations!BQ51)</f>
        <v/>
      </c>
      <c r="BR21" s="257">
        <f>IF(BR$7="Actual",i_Actuals!BR21,c_Calculations!BR51)</f>
        <v/>
      </c>
      <c r="BS21" s="257">
        <f>IF(BS$7="Actual",i_Actuals!BS21,c_Calculations!BS51)</f>
        <v/>
      </c>
      <c r="BT21" s="257">
        <f>IF(BT$7="Actual",i_Actuals!BT21,c_Calculations!BT51)</f>
        <v/>
      </c>
      <c r="BU21" s="257">
        <f>IF(BU$7="Actual",i_Actuals!BU21,c_Calculations!BU51)</f>
        <v/>
      </c>
      <c r="BV21" s="257">
        <f>IF(BV$7="Actual",i_Actuals!BV21,c_Calculations!BV51)</f>
        <v/>
      </c>
      <c r="BW21" s="257">
        <f>IF(BW$7="Actual",i_Actuals!BW21,c_Calculations!BW51)</f>
        <v/>
      </c>
      <c r="BX21" s="257">
        <f>IF(BX$7="Actual",i_Actuals!BX21,c_Calculations!BX51)</f>
        <v/>
      </c>
      <c r="BY21" s="257">
        <f>IF(BY$7="Actual",i_Actuals!BY21,c_Calculations!BY51)</f>
        <v/>
      </c>
      <c r="BZ21" s="257">
        <f>IF(BZ$7="Actual",i_Actuals!BZ21,c_Calculations!BZ51)</f>
        <v/>
      </c>
      <c r="CA21" s="257">
        <f>IF(CA$7="Actual",i_Actuals!CA21,c_Calculations!CA51)</f>
        <v/>
      </c>
    </row>
    <row r="22" ht="12" customHeight="1" s="227">
      <c r="A22" s="244" t="n"/>
      <c r="B22" s="244" t="n"/>
      <c r="C22" s="244" t="n"/>
      <c r="G22" s="222" t="n"/>
      <c r="H22" s="34">
        <f>i_Setup!U40</f>
        <v/>
      </c>
      <c r="I22" s="27">
        <f> i_Setup!$M$16</f>
        <v/>
      </c>
      <c r="K22" s="27" t="n"/>
      <c r="M22" s="245">
        <f>SUMIF($T$4:$CA$4,M$4,$T22:$CA22)</f>
        <v/>
      </c>
      <c r="N22" s="245">
        <f>SUMIF($T$4:$CA$4,N$4,$T22:$CA22)</f>
        <v/>
      </c>
      <c r="O22" s="245">
        <f>SUMIF($T$4:$CA$4,O$4,$T22:$CA22)</f>
        <v/>
      </c>
      <c r="P22" s="245">
        <f>SUMIF($T$4:$CA$4,P$4,$T22:$CA22)</f>
        <v/>
      </c>
      <c r="Q22" s="245">
        <f>SUMIF($T$4:$CA$4,Q$4,$T22:$CA22)</f>
        <v/>
      </c>
      <c r="T22" s="257">
        <f>IF(T$7="Actual",i_Actuals!T22,c_Calculations!T52)</f>
        <v/>
      </c>
      <c r="U22" s="257">
        <f>IF(U$7="Actual",i_Actuals!U22,c_Calculations!U52)</f>
        <v/>
      </c>
      <c r="V22" s="257">
        <f>IF(V$7="Actual",i_Actuals!V22,c_Calculations!V52)</f>
        <v/>
      </c>
      <c r="W22" s="257">
        <f>IF(W$7="Actual",i_Actuals!W22,c_Calculations!W52)</f>
        <v/>
      </c>
      <c r="X22" s="257">
        <f>IF(X$7="Actual",i_Actuals!X22,c_Calculations!X52)</f>
        <v/>
      </c>
      <c r="Y22" s="257">
        <f>IF(Y$7="Actual",i_Actuals!Y22,c_Calculations!Y52)</f>
        <v/>
      </c>
      <c r="Z22" s="257">
        <f>IF(Z$7="Actual",i_Actuals!Z22,c_Calculations!Z52)</f>
        <v/>
      </c>
      <c r="AA22" s="257">
        <f>IF(AA$7="Actual",i_Actuals!AA22,c_Calculations!AA52)</f>
        <v/>
      </c>
      <c r="AB22" s="257">
        <f>IF(AB$7="Actual",i_Actuals!AB22,c_Calculations!AB52)</f>
        <v/>
      </c>
      <c r="AC22" s="257">
        <f>IF(AC$7="Actual",i_Actuals!AC22,c_Calculations!AC52)</f>
        <v/>
      </c>
      <c r="AD22" s="257">
        <f>IF(AD$7="Actual",i_Actuals!AD22,c_Calculations!AD52)</f>
        <v/>
      </c>
      <c r="AE22" s="257">
        <f>IF(AE$7="Actual",i_Actuals!AE22,c_Calculations!AE52)</f>
        <v/>
      </c>
      <c r="AF22" s="257">
        <f>IF(AF$7="Actual",i_Actuals!AF22,c_Calculations!AF52)</f>
        <v/>
      </c>
      <c r="AG22" s="257">
        <f>IF(AG$7="Actual",i_Actuals!AG22,c_Calculations!AG52)</f>
        <v/>
      </c>
      <c r="AH22" s="257">
        <f>IF(AH$7="Actual",i_Actuals!AH22,c_Calculations!AH52)</f>
        <v/>
      </c>
      <c r="AI22" s="257">
        <f>IF(AI$7="Actual",i_Actuals!AI22,c_Calculations!AI52)</f>
        <v/>
      </c>
      <c r="AJ22" s="257">
        <f>IF(AJ$7="Actual",i_Actuals!AJ22,c_Calculations!AJ52)</f>
        <v/>
      </c>
      <c r="AK22" s="257">
        <f>IF(AK$7="Actual",i_Actuals!AK22,c_Calculations!AK52)</f>
        <v/>
      </c>
      <c r="AL22" s="257">
        <f>IF(AL$7="Actual",i_Actuals!AL22,c_Calculations!AL52)</f>
        <v/>
      </c>
      <c r="AM22" s="257">
        <f>IF(AM$7="Actual",i_Actuals!AM22,c_Calculations!AM52)</f>
        <v/>
      </c>
      <c r="AN22" s="257">
        <f>IF(AN$7="Actual",i_Actuals!AN22,c_Calculations!AN52)</f>
        <v/>
      </c>
      <c r="AO22" s="257">
        <f>IF(AO$7="Actual",i_Actuals!AO22,c_Calculations!AO52)</f>
        <v/>
      </c>
      <c r="AP22" s="257">
        <f>IF(AP$7="Actual",i_Actuals!AP22,c_Calculations!AP52)</f>
        <v/>
      </c>
      <c r="AQ22" s="257">
        <f>IF(AQ$7="Actual",i_Actuals!AQ22,c_Calculations!AQ52)</f>
        <v/>
      </c>
      <c r="AR22" s="257">
        <f>IF(AR$7="Actual",i_Actuals!AR22,c_Calculations!AR52)</f>
        <v/>
      </c>
      <c r="AS22" s="257">
        <f>IF(AS$7="Actual",i_Actuals!AS22,c_Calculations!AS52)</f>
        <v/>
      </c>
      <c r="AT22" s="257">
        <f>IF(AT$7="Actual",i_Actuals!AT22,c_Calculations!AT52)</f>
        <v/>
      </c>
      <c r="AU22" s="257">
        <f>IF(AU$7="Actual",i_Actuals!AU22,c_Calculations!AU52)</f>
        <v/>
      </c>
      <c r="AV22" s="257">
        <f>IF(AV$7="Actual",i_Actuals!AV22,c_Calculations!AV52)</f>
        <v/>
      </c>
      <c r="AW22" s="257">
        <f>IF(AW$7="Actual",i_Actuals!AW22,c_Calculations!AW52)</f>
        <v/>
      </c>
      <c r="AX22" s="257">
        <f>IF(AX$7="Actual",i_Actuals!AX22,c_Calculations!AX52)</f>
        <v/>
      </c>
      <c r="AY22" s="257">
        <f>IF(AY$7="Actual",i_Actuals!AY22,c_Calculations!AY52)</f>
        <v/>
      </c>
      <c r="AZ22" s="257">
        <f>IF(AZ$7="Actual",i_Actuals!AZ22,c_Calculations!AZ52)</f>
        <v/>
      </c>
      <c r="BA22" s="257">
        <f>IF(BA$7="Actual",i_Actuals!BA22,c_Calculations!BA52)</f>
        <v/>
      </c>
      <c r="BB22" s="257">
        <f>IF(BB$7="Actual",i_Actuals!BB22,c_Calculations!BB52)</f>
        <v/>
      </c>
      <c r="BC22" s="257">
        <f>IF(BC$7="Actual",i_Actuals!BC22,c_Calculations!BC52)</f>
        <v/>
      </c>
      <c r="BD22" s="257">
        <f>IF(BD$7="Actual",i_Actuals!BD22,c_Calculations!BD52)</f>
        <v/>
      </c>
      <c r="BE22" s="257">
        <f>IF(BE$7="Actual",i_Actuals!BE22,c_Calculations!BE52)</f>
        <v/>
      </c>
      <c r="BF22" s="257">
        <f>IF(BF$7="Actual",i_Actuals!BF22,c_Calculations!BF52)</f>
        <v/>
      </c>
      <c r="BG22" s="257">
        <f>IF(BG$7="Actual",i_Actuals!BG22,c_Calculations!BG52)</f>
        <v/>
      </c>
      <c r="BH22" s="257">
        <f>IF(BH$7="Actual",i_Actuals!BH22,c_Calculations!BH52)</f>
        <v/>
      </c>
      <c r="BI22" s="257">
        <f>IF(BI$7="Actual",i_Actuals!BI22,c_Calculations!BI52)</f>
        <v/>
      </c>
      <c r="BJ22" s="257">
        <f>IF(BJ$7="Actual",i_Actuals!BJ22,c_Calculations!BJ52)</f>
        <v/>
      </c>
      <c r="BK22" s="257">
        <f>IF(BK$7="Actual",i_Actuals!BK22,c_Calculations!BK52)</f>
        <v/>
      </c>
      <c r="BL22" s="257">
        <f>IF(BL$7="Actual",i_Actuals!BL22,c_Calculations!BL52)</f>
        <v/>
      </c>
      <c r="BM22" s="257">
        <f>IF(BM$7="Actual",i_Actuals!BM22,c_Calculations!BM52)</f>
        <v/>
      </c>
      <c r="BN22" s="257">
        <f>IF(BN$7="Actual",i_Actuals!BN22,c_Calculations!BN52)</f>
        <v/>
      </c>
      <c r="BO22" s="257">
        <f>IF(BO$7="Actual",i_Actuals!BO22,c_Calculations!BO52)</f>
        <v/>
      </c>
      <c r="BP22" s="257">
        <f>IF(BP$7="Actual",i_Actuals!BP22,c_Calculations!BP52)</f>
        <v/>
      </c>
      <c r="BQ22" s="257">
        <f>IF(BQ$7="Actual",i_Actuals!BQ22,c_Calculations!BQ52)</f>
        <v/>
      </c>
      <c r="BR22" s="257">
        <f>IF(BR$7="Actual",i_Actuals!BR22,c_Calculations!BR52)</f>
        <v/>
      </c>
      <c r="BS22" s="257">
        <f>IF(BS$7="Actual",i_Actuals!BS22,c_Calculations!BS52)</f>
        <v/>
      </c>
      <c r="BT22" s="257">
        <f>IF(BT$7="Actual",i_Actuals!BT22,c_Calculations!BT52)</f>
        <v/>
      </c>
      <c r="BU22" s="257">
        <f>IF(BU$7="Actual",i_Actuals!BU22,c_Calculations!BU52)</f>
        <v/>
      </c>
      <c r="BV22" s="257">
        <f>IF(BV$7="Actual",i_Actuals!BV22,c_Calculations!BV52)</f>
        <v/>
      </c>
      <c r="BW22" s="257">
        <f>IF(BW$7="Actual",i_Actuals!BW22,c_Calculations!BW52)</f>
        <v/>
      </c>
      <c r="BX22" s="257">
        <f>IF(BX$7="Actual",i_Actuals!BX22,c_Calculations!BX52)</f>
        <v/>
      </c>
      <c r="BY22" s="257">
        <f>IF(BY$7="Actual",i_Actuals!BY22,c_Calculations!BY52)</f>
        <v/>
      </c>
      <c r="BZ22" s="257">
        <f>IF(BZ$7="Actual",i_Actuals!BZ22,c_Calculations!BZ52)</f>
        <v/>
      </c>
      <c r="CA22" s="257">
        <f>IF(CA$7="Actual",i_Actuals!CA22,c_Calculations!CA52)</f>
        <v/>
      </c>
    </row>
    <row r="23" ht="12" customHeight="1" s="227">
      <c r="A23" s="244" t="n"/>
      <c r="B23" s="244" t="n"/>
      <c r="C23" s="244" t="n"/>
      <c r="G23" s="222" t="n"/>
      <c r="H23" s="34">
        <f>i_Setup!U41</f>
        <v/>
      </c>
      <c r="I23" s="27">
        <f> i_Setup!$M$16</f>
        <v/>
      </c>
      <c r="K23" s="27" t="n"/>
      <c r="M23" s="245">
        <f>SUMIF($T$4:$CA$4,M$4,$T23:$CA23)</f>
        <v/>
      </c>
      <c r="N23" s="245">
        <f>SUMIF($T$4:$CA$4,N$4,$T23:$CA23)</f>
        <v/>
      </c>
      <c r="O23" s="245">
        <f>SUMIF($T$4:$CA$4,O$4,$T23:$CA23)</f>
        <v/>
      </c>
      <c r="P23" s="245">
        <f>SUMIF($T$4:$CA$4,P$4,$T23:$CA23)</f>
        <v/>
      </c>
      <c r="Q23" s="245">
        <f>SUMIF($T$4:$CA$4,Q$4,$T23:$CA23)</f>
        <v/>
      </c>
      <c r="T23" s="257">
        <f>IF(T$7="Actual",i_Actuals!T23,c_Calculations!T53)</f>
        <v/>
      </c>
      <c r="U23" s="257">
        <f>IF(U$7="Actual",i_Actuals!U23,c_Calculations!U53)</f>
        <v/>
      </c>
      <c r="V23" s="257">
        <f>IF(V$7="Actual",i_Actuals!V23,c_Calculations!V53)</f>
        <v/>
      </c>
      <c r="W23" s="257">
        <f>IF(W$7="Actual",i_Actuals!W23,c_Calculations!W53)</f>
        <v/>
      </c>
      <c r="X23" s="257">
        <f>IF(X$7="Actual",i_Actuals!X23,c_Calculations!X53)</f>
        <v/>
      </c>
      <c r="Y23" s="257">
        <f>IF(Y$7="Actual",i_Actuals!Y23,c_Calculations!Y53)</f>
        <v/>
      </c>
      <c r="Z23" s="257">
        <f>IF(Z$7="Actual",i_Actuals!Z23,c_Calculations!Z53)</f>
        <v/>
      </c>
      <c r="AA23" s="257">
        <f>IF(AA$7="Actual",i_Actuals!AA23,c_Calculations!AA53)</f>
        <v/>
      </c>
      <c r="AB23" s="257">
        <f>IF(AB$7="Actual",i_Actuals!AB23,c_Calculations!AB53)</f>
        <v/>
      </c>
      <c r="AC23" s="257">
        <f>IF(AC$7="Actual",i_Actuals!AC23,c_Calculations!AC53)</f>
        <v/>
      </c>
      <c r="AD23" s="257">
        <f>IF(AD$7="Actual",i_Actuals!AD23,c_Calculations!AD53)</f>
        <v/>
      </c>
      <c r="AE23" s="257">
        <f>IF(AE$7="Actual",i_Actuals!AE23,c_Calculations!AE53)</f>
        <v/>
      </c>
      <c r="AF23" s="257">
        <f>IF(AF$7="Actual",i_Actuals!AF23,c_Calculations!AF53)</f>
        <v/>
      </c>
      <c r="AG23" s="257">
        <f>IF(AG$7="Actual",i_Actuals!AG23,c_Calculations!AG53)</f>
        <v/>
      </c>
      <c r="AH23" s="257">
        <f>IF(AH$7="Actual",i_Actuals!AH23,c_Calculations!AH53)</f>
        <v/>
      </c>
      <c r="AI23" s="257">
        <f>IF(AI$7="Actual",i_Actuals!AI23,c_Calculations!AI53)</f>
        <v/>
      </c>
      <c r="AJ23" s="257">
        <f>IF(AJ$7="Actual",i_Actuals!AJ23,c_Calculations!AJ53)</f>
        <v/>
      </c>
      <c r="AK23" s="257">
        <f>IF(AK$7="Actual",i_Actuals!AK23,c_Calculations!AK53)</f>
        <v/>
      </c>
      <c r="AL23" s="257">
        <f>IF(AL$7="Actual",i_Actuals!AL23,c_Calculations!AL53)</f>
        <v/>
      </c>
      <c r="AM23" s="257">
        <f>IF(AM$7="Actual",i_Actuals!AM23,c_Calculations!AM53)</f>
        <v/>
      </c>
      <c r="AN23" s="257">
        <f>IF(AN$7="Actual",i_Actuals!AN23,c_Calculations!AN53)</f>
        <v/>
      </c>
      <c r="AO23" s="257">
        <f>IF(AO$7="Actual",i_Actuals!AO23,c_Calculations!AO53)</f>
        <v/>
      </c>
      <c r="AP23" s="257">
        <f>IF(AP$7="Actual",i_Actuals!AP23,c_Calculations!AP53)</f>
        <v/>
      </c>
      <c r="AQ23" s="257">
        <f>IF(AQ$7="Actual",i_Actuals!AQ23,c_Calculations!AQ53)</f>
        <v/>
      </c>
      <c r="AR23" s="257">
        <f>IF(AR$7="Actual",i_Actuals!AR23,c_Calculations!AR53)</f>
        <v/>
      </c>
      <c r="AS23" s="257">
        <f>IF(AS$7="Actual",i_Actuals!AS23,c_Calculations!AS53)</f>
        <v/>
      </c>
      <c r="AT23" s="257">
        <f>IF(AT$7="Actual",i_Actuals!AT23,c_Calculations!AT53)</f>
        <v/>
      </c>
      <c r="AU23" s="257">
        <f>IF(AU$7="Actual",i_Actuals!AU23,c_Calculations!AU53)</f>
        <v/>
      </c>
      <c r="AV23" s="257">
        <f>IF(AV$7="Actual",i_Actuals!AV23,c_Calculations!AV53)</f>
        <v/>
      </c>
      <c r="AW23" s="257">
        <f>IF(AW$7="Actual",i_Actuals!AW23,c_Calculations!AW53)</f>
        <v/>
      </c>
      <c r="AX23" s="257">
        <f>IF(AX$7="Actual",i_Actuals!AX23,c_Calculations!AX53)</f>
        <v/>
      </c>
      <c r="AY23" s="257">
        <f>IF(AY$7="Actual",i_Actuals!AY23,c_Calculations!AY53)</f>
        <v/>
      </c>
      <c r="AZ23" s="257">
        <f>IF(AZ$7="Actual",i_Actuals!AZ23,c_Calculations!AZ53)</f>
        <v/>
      </c>
      <c r="BA23" s="257">
        <f>IF(BA$7="Actual",i_Actuals!BA23,c_Calculations!BA53)</f>
        <v/>
      </c>
      <c r="BB23" s="257">
        <f>IF(BB$7="Actual",i_Actuals!BB23,c_Calculations!BB53)</f>
        <v/>
      </c>
      <c r="BC23" s="257">
        <f>IF(BC$7="Actual",i_Actuals!BC23,c_Calculations!BC53)</f>
        <v/>
      </c>
      <c r="BD23" s="257">
        <f>IF(BD$7="Actual",i_Actuals!BD23,c_Calculations!BD53)</f>
        <v/>
      </c>
      <c r="BE23" s="257">
        <f>IF(BE$7="Actual",i_Actuals!BE23,c_Calculations!BE53)</f>
        <v/>
      </c>
      <c r="BF23" s="257">
        <f>IF(BF$7="Actual",i_Actuals!BF23,c_Calculations!BF53)</f>
        <v/>
      </c>
      <c r="BG23" s="257">
        <f>IF(BG$7="Actual",i_Actuals!BG23,c_Calculations!BG53)</f>
        <v/>
      </c>
      <c r="BH23" s="257">
        <f>IF(BH$7="Actual",i_Actuals!BH23,c_Calculations!BH53)</f>
        <v/>
      </c>
      <c r="BI23" s="257">
        <f>IF(BI$7="Actual",i_Actuals!BI23,c_Calculations!BI53)</f>
        <v/>
      </c>
      <c r="BJ23" s="257">
        <f>IF(BJ$7="Actual",i_Actuals!BJ23,c_Calculations!BJ53)</f>
        <v/>
      </c>
      <c r="BK23" s="257">
        <f>IF(BK$7="Actual",i_Actuals!BK23,c_Calculations!BK53)</f>
        <v/>
      </c>
      <c r="BL23" s="257">
        <f>IF(BL$7="Actual",i_Actuals!BL23,c_Calculations!BL53)</f>
        <v/>
      </c>
      <c r="BM23" s="257">
        <f>IF(BM$7="Actual",i_Actuals!BM23,c_Calculations!BM53)</f>
        <v/>
      </c>
      <c r="BN23" s="257">
        <f>IF(BN$7="Actual",i_Actuals!BN23,c_Calculations!BN53)</f>
        <v/>
      </c>
      <c r="BO23" s="257">
        <f>IF(BO$7="Actual",i_Actuals!BO23,c_Calculations!BO53)</f>
        <v/>
      </c>
      <c r="BP23" s="257">
        <f>IF(BP$7="Actual",i_Actuals!BP23,c_Calculations!BP53)</f>
        <v/>
      </c>
      <c r="BQ23" s="257">
        <f>IF(BQ$7="Actual",i_Actuals!BQ23,c_Calculations!BQ53)</f>
        <v/>
      </c>
      <c r="BR23" s="257">
        <f>IF(BR$7="Actual",i_Actuals!BR23,c_Calculations!BR53)</f>
        <v/>
      </c>
      <c r="BS23" s="257">
        <f>IF(BS$7="Actual",i_Actuals!BS23,c_Calculations!BS53)</f>
        <v/>
      </c>
      <c r="BT23" s="257">
        <f>IF(BT$7="Actual",i_Actuals!BT23,c_Calculations!BT53)</f>
        <v/>
      </c>
      <c r="BU23" s="257">
        <f>IF(BU$7="Actual",i_Actuals!BU23,c_Calculations!BU53)</f>
        <v/>
      </c>
      <c r="BV23" s="257">
        <f>IF(BV$7="Actual",i_Actuals!BV23,c_Calculations!BV53)</f>
        <v/>
      </c>
      <c r="BW23" s="257">
        <f>IF(BW$7="Actual",i_Actuals!BW23,c_Calculations!BW53)</f>
        <v/>
      </c>
      <c r="BX23" s="257">
        <f>IF(BX$7="Actual",i_Actuals!BX23,c_Calculations!BX53)</f>
        <v/>
      </c>
      <c r="BY23" s="257">
        <f>IF(BY$7="Actual",i_Actuals!BY23,c_Calculations!BY53)</f>
        <v/>
      </c>
      <c r="BZ23" s="257">
        <f>IF(BZ$7="Actual",i_Actuals!BZ23,c_Calculations!BZ53)</f>
        <v/>
      </c>
      <c r="CA23" s="257">
        <f>IF(CA$7="Actual",i_Actuals!CA23,c_Calculations!CA53)</f>
        <v/>
      </c>
    </row>
    <row r="24" ht="12" customHeight="1" s="227">
      <c r="A24" s="244" t="n"/>
      <c r="B24" s="244" t="n"/>
      <c r="C24" s="244" t="n"/>
      <c r="G24" s="81" t="inlineStr">
        <is>
          <t>Total Revenue</t>
        </is>
      </c>
      <c r="H24" s="74" t="n"/>
      <c r="I24" s="75">
        <f>i_Setup!$M$16</f>
        <v/>
      </c>
      <c r="M24" s="247">
        <f>SUM(M14:M23)</f>
        <v/>
      </c>
      <c r="N24" s="247">
        <f>SUM(N14:N23)</f>
        <v/>
      </c>
      <c r="O24" s="247">
        <f>SUM(O14:O23)</f>
        <v/>
      </c>
      <c r="P24" s="247">
        <f>SUM(P14:P23)</f>
        <v/>
      </c>
      <c r="Q24" s="247">
        <f>SUM(Q14:Q23)</f>
        <v/>
      </c>
      <c r="T24" s="247">
        <f>SUM(T14:T23)</f>
        <v/>
      </c>
      <c r="U24" s="247">
        <f>SUM(U14:U23)</f>
        <v/>
      </c>
      <c r="V24" s="247">
        <f>SUM(V14:V23)</f>
        <v/>
      </c>
      <c r="W24" s="247">
        <f>SUM(W14:W23)</f>
        <v/>
      </c>
      <c r="X24" s="247">
        <f>SUM(X14:X23)</f>
        <v/>
      </c>
      <c r="Y24" s="247">
        <f>SUM(Y14:Y23)</f>
        <v/>
      </c>
      <c r="Z24" s="247">
        <f>SUM(Z14:Z23)</f>
        <v/>
      </c>
      <c r="AA24" s="247">
        <f>SUM(AA14:AA23)</f>
        <v/>
      </c>
      <c r="AB24" s="247">
        <f>SUM(AB14:AB23)</f>
        <v/>
      </c>
      <c r="AC24" s="247">
        <f>SUM(AC14:AC23)</f>
        <v/>
      </c>
      <c r="AD24" s="247">
        <f>SUM(AD14:AD23)</f>
        <v/>
      </c>
      <c r="AE24" s="247">
        <f>SUM(AE14:AE23)</f>
        <v/>
      </c>
      <c r="AF24" s="247">
        <f>SUM(AF14:AF23)</f>
        <v/>
      </c>
      <c r="AG24" s="247">
        <f>SUM(AG14:AG23)</f>
        <v/>
      </c>
      <c r="AH24" s="247">
        <f>SUM(AH14:AH23)</f>
        <v/>
      </c>
      <c r="AI24" s="247">
        <f>SUM(AI14:AI23)</f>
        <v/>
      </c>
      <c r="AJ24" s="247">
        <f>SUM(AJ14:AJ23)</f>
        <v/>
      </c>
      <c r="AK24" s="247">
        <f>SUM(AK14:AK23)</f>
        <v/>
      </c>
      <c r="AL24" s="247">
        <f>SUM(AL14:AL23)</f>
        <v/>
      </c>
      <c r="AM24" s="247">
        <f>SUM(AM14:AM23)</f>
        <v/>
      </c>
      <c r="AN24" s="247">
        <f>SUM(AN14:AN23)</f>
        <v/>
      </c>
      <c r="AO24" s="247">
        <f>SUM(AO14:AO23)</f>
        <v/>
      </c>
      <c r="AP24" s="247">
        <f>SUM(AP14:AP23)</f>
        <v/>
      </c>
      <c r="AQ24" s="247">
        <f>SUM(AQ14:AQ23)</f>
        <v/>
      </c>
      <c r="AR24" s="247">
        <f>SUM(AR14:AR23)</f>
        <v/>
      </c>
      <c r="AS24" s="247">
        <f>SUM(AS14:AS23)</f>
        <v/>
      </c>
      <c r="AT24" s="247">
        <f>SUM(AT14:AT23)</f>
        <v/>
      </c>
      <c r="AU24" s="247">
        <f>SUM(AU14:AU23)</f>
        <v/>
      </c>
      <c r="AV24" s="247">
        <f>SUM(AV14:AV23)</f>
        <v/>
      </c>
      <c r="AW24" s="247">
        <f>SUM(AW14:AW23)</f>
        <v/>
      </c>
      <c r="AX24" s="247">
        <f>SUM(AX14:AX23)</f>
        <v/>
      </c>
      <c r="AY24" s="247">
        <f>SUM(AY14:AY23)</f>
        <v/>
      </c>
      <c r="AZ24" s="247">
        <f>SUM(AZ14:AZ23)</f>
        <v/>
      </c>
      <c r="BA24" s="247">
        <f>SUM(BA14:BA23)</f>
        <v/>
      </c>
      <c r="BB24" s="247">
        <f>SUM(BB14:BB23)</f>
        <v/>
      </c>
      <c r="BC24" s="247">
        <f>SUM(BC14:BC23)</f>
        <v/>
      </c>
      <c r="BD24" s="247">
        <f>SUM(BD14:BD23)</f>
        <v/>
      </c>
      <c r="BE24" s="247">
        <f>SUM(BE14:BE23)</f>
        <v/>
      </c>
      <c r="BF24" s="247">
        <f>SUM(BF14:BF23)</f>
        <v/>
      </c>
      <c r="BG24" s="247">
        <f>SUM(BG14:BG23)</f>
        <v/>
      </c>
      <c r="BH24" s="247">
        <f>SUM(BH14:BH23)</f>
        <v/>
      </c>
      <c r="BI24" s="247">
        <f>SUM(BI14:BI23)</f>
        <v/>
      </c>
      <c r="BJ24" s="247">
        <f>SUM(BJ14:BJ23)</f>
        <v/>
      </c>
      <c r="BK24" s="247">
        <f>SUM(BK14:BK23)</f>
        <v/>
      </c>
      <c r="BL24" s="247">
        <f>SUM(BL14:BL23)</f>
        <v/>
      </c>
      <c r="BM24" s="247">
        <f>SUM(BM14:BM23)</f>
        <v/>
      </c>
      <c r="BN24" s="247">
        <f>SUM(BN14:BN23)</f>
        <v/>
      </c>
      <c r="BO24" s="247">
        <f>SUM(BO14:BO23)</f>
        <v/>
      </c>
      <c r="BP24" s="247">
        <f>SUM(BP14:BP23)</f>
        <v/>
      </c>
      <c r="BQ24" s="247">
        <f>SUM(BQ14:BQ23)</f>
        <v/>
      </c>
      <c r="BR24" s="247">
        <f>SUM(BR14:BR23)</f>
        <v/>
      </c>
      <c r="BS24" s="247">
        <f>SUM(BS14:BS23)</f>
        <v/>
      </c>
      <c r="BT24" s="247">
        <f>SUM(BT14:BT23)</f>
        <v/>
      </c>
      <c r="BU24" s="247">
        <f>SUM(BU14:BU23)</f>
        <v/>
      </c>
      <c r="BV24" s="247">
        <f>SUM(BV14:BV23)</f>
        <v/>
      </c>
      <c r="BW24" s="247">
        <f>SUM(BW14:BW23)</f>
        <v/>
      </c>
      <c r="BX24" s="247">
        <f>SUM(BX14:BX23)</f>
        <v/>
      </c>
      <c r="BY24" s="247">
        <f>SUM(BY14:BY23)</f>
        <v/>
      </c>
      <c r="BZ24" s="247">
        <f>SUM(BZ14:BZ23)</f>
        <v/>
      </c>
      <c r="CA24" s="247">
        <f>SUM(CA14:CA23)</f>
        <v/>
      </c>
    </row>
    <row r="25" ht="12" customHeight="1" s="227">
      <c r="A25" s="244" t="n"/>
      <c r="B25" s="244" t="n"/>
      <c r="C25" s="244" t="n"/>
      <c r="G25" s="222" t="n"/>
      <c r="M25" s="245" t="n"/>
      <c r="N25" s="245" t="n"/>
      <c r="O25" s="245" t="n"/>
      <c r="P25" s="245" t="n"/>
      <c r="Q25" s="245" t="n"/>
    </row>
    <row r="26" ht="12.75" customHeight="1" s="227">
      <c r="A26" s="244" t="n"/>
      <c r="B26" s="244" t="n"/>
      <c r="C26" s="244" t="n"/>
      <c r="G26" s="222" t="inlineStr">
        <is>
          <t>Direct Staff Costs</t>
        </is>
      </c>
      <c r="M26" s="245" t="n"/>
      <c r="N26" s="245" t="n"/>
      <c r="O26" s="245" t="n"/>
      <c r="P26" s="245" t="n"/>
      <c r="Q26" s="245" t="n"/>
    </row>
    <row r="27" ht="12" customHeight="1" s="227">
      <c r="A27" s="244" t="n"/>
      <c r="B27" s="244" t="n"/>
      <c r="C27" s="244" t="n"/>
      <c r="G27" s="222" t="n"/>
      <c r="H27" s="4">
        <f>i_Setup!U46</f>
        <v/>
      </c>
      <c r="I27" s="27">
        <f> i_Setup!$M$16</f>
        <v/>
      </c>
      <c r="K27" s="27" t="n"/>
      <c r="M27" s="245">
        <f>SUMIF($T$4:$CA$4,M$4,$T27:$CA27)</f>
        <v/>
      </c>
      <c r="N27" s="245">
        <f>SUMIF($T$4:$CA$4,N$4,$T27:$CA27)</f>
        <v/>
      </c>
      <c r="O27" s="245">
        <f>SUMIF($T$4:$CA$4,O$4,$T27:$CA27)</f>
        <v/>
      </c>
      <c r="P27" s="245">
        <f>SUMIF($T$4:$CA$4,P$4,$T27:$CA27)</f>
        <v/>
      </c>
      <c r="Q27" s="245">
        <f>SUMIF($T$4:$CA$4,Q$4,$T27:$CA27)</f>
        <v/>
      </c>
      <c r="T27" s="257">
        <f>IF(T$7="Actual",i_Actuals!T27,c_Calculations!T425)</f>
        <v/>
      </c>
      <c r="U27" s="257">
        <f>IF(U$7="Actual",i_Actuals!U27,c_Calculations!U425)</f>
        <v/>
      </c>
      <c r="V27" s="257">
        <f>IF(V$7="Actual",i_Actuals!V27,c_Calculations!V425)</f>
        <v/>
      </c>
      <c r="W27" s="257">
        <f>IF(W$7="Actual",i_Actuals!W27,c_Calculations!W425)</f>
        <v/>
      </c>
      <c r="X27" s="257">
        <f>IF(X$7="Actual",i_Actuals!X27,c_Calculations!X425)</f>
        <v/>
      </c>
      <c r="Y27" s="257">
        <f>IF(Y$7="Actual",i_Actuals!Y27,c_Calculations!Y425)</f>
        <v/>
      </c>
      <c r="Z27" s="257">
        <f>IF(Z$7="Actual",i_Actuals!Z27,c_Calculations!Z425)</f>
        <v/>
      </c>
      <c r="AA27" s="257">
        <f>IF(AA$7="Actual",i_Actuals!AA27,c_Calculations!AA425)</f>
        <v/>
      </c>
      <c r="AB27" s="257">
        <f>IF(AB$7="Actual",i_Actuals!AB27,c_Calculations!AB425)</f>
        <v/>
      </c>
      <c r="AC27" s="257">
        <f>IF(AC$7="Actual",i_Actuals!AC27,c_Calculations!AC425)</f>
        <v/>
      </c>
      <c r="AD27" s="257">
        <f>IF(AD$7="Actual",i_Actuals!AD27,c_Calculations!AD425)</f>
        <v/>
      </c>
      <c r="AE27" s="257">
        <f>IF(AE$7="Actual",i_Actuals!AE27,c_Calculations!AE425)</f>
        <v/>
      </c>
      <c r="AF27" s="257">
        <f>IF(AF$7="Actual",i_Actuals!AF27,c_Calculations!AF425)</f>
        <v/>
      </c>
      <c r="AG27" s="257">
        <f>IF(AG$7="Actual",i_Actuals!AG27,c_Calculations!AG425)</f>
        <v/>
      </c>
      <c r="AH27" s="257">
        <f>IF(AH$7="Actual",i_Actuals!AH27,c_Calculations!AH425)</f>
        <v/>
      </c>
      <c r="AI27" s="257">
        <f>IF(AI$7="Actual",i_Actuals!AI27,c_Calculations!AI425)</f>
        <v/>
      </c>
      <c r="AJ27" s="257">
        <f>IF(AJ$7="Actual",i_Actuals!AJ27,c_Calculations!AJ425)</f>
        <v/>
      </c>
      <c r="AK27" s="257">
        <f>IF(AK$7="Actual",i_Actuals!AK27,c_Calculations!AK425)</f>
        <v/>
      </c>
      <c r="AL27" s="257">
        <f>IF(AL$7="Actual",i_Actuals!AL27,c_Calculations!AL425)</f>
        <v/>
      </c>
      <c r="AM27" s="257">
        <f>IF(AM$7="Actual",i_Actuals!AM27,c_Calculations!AM425)</f>
        <v/>
      </c>
      <c r="AN27" s="257">
        <f>IF(AN$7="Actual",i_Actuals!AN27,c_Calculations!AN425)</f>
        <v/>
      </c>
      <c r="AO27" s="257">
        <f>IF(AO$7="Actual",i_Actuals!AO27,c_Calculations!AO425)</f>
        <v/>
      </c>
      <c r="AP27" s="257">
        <f>IF(AP$7="Actual",i_Actuals!AP27,c_Calculations!AP425)</f>
        <v/>
      </c>
      <c r="AQ27" s="257">
        <f>IF(AQ$7="Actual",i_Actuals!AQ27,c_Calculations!AQ425)</f>
        <v/>
      </c>
      <c r="AR27" s="257">
        <f>IF(AR$7="Actual",i_Actuals!AR27,c_Calculations!AR425)</f>
        <v/>
      </c>
      <c r="AS27" s="257">
        <f>IF(AS$7="Actual",i_Actuals!AS27,c_Calculations!AS425)</f>
        <v/>
      </c>
      <c r="AT27" s="257">
        <f>IF(AT$7="Actual",i_Actuals!AT27,c_Calculations!AT425)</f>
        <v/>
      </c>
      <c r="AU27" s="257">
        <f>IF(AU$7="Actual",i_Actuals!AU27,c_Calculations!AU425)</f>
        <v/>
      </c>
      <c r="AV27" s="257">
        <f>IF(AV$7="Actual",i_Actuals!AV27,c_Calculations!AV425)</f>
        <v/>
      </c>
      <c r="AW27" s="257">
        <f>IF(AW$7="Actual",i_Actuals!AW27,c_Calculations!AW425)</f>
        <v/>
      </c>
      <c r="AX27" s="257">
        <f>IF(AX$7="Actual",i_Actuals!AX27,c_Calculations!AX425)</f>
        <v/>
      </c>
      <c r="AY27" s="257">
        <f>IF(AY$7="Actual",i_Actuals!AY27,c_Calculations!AY425)</f>
        <v/>
      </c>
      <c r="AZ27" s="257">
        <f>IF(AZ$7="Actual",i_Actuals!AZ27,c_Calculations!AZ425)</f>
        <v/>
      </c>
      <c r="BA27" s="257">
        <f>IF(BA$7="Actual",i_Actuals!BA27,c_Calculations!BA425)</f>
        <v/>
      </c>
      <c r="BB27" s="257">
        <f>IF(BB$7="Actual",i_Actuals!BB27,c_Calculations!BB425)</f>
        <v/>
      </c>
      <c r="BC27" s="257">
        <f>IF(BC$7="Actual",i_Actuals!BC27,c_Calculations!BC425)</f>
        <v/>
      </c>
      <c r="BD27" s="257">
        <f>IF(BD$7="Actual",i_Actuals!BD27,c_Calculations!BD425)</f>
        <v/>
      </c>
      <c r="BE27" s="257">
        <f>IF(BE$7="Actual",i_Actuals!BE27,c_Calculations!BE425)</f>
        <v/>
      </c>
      <c r="BF27" s="257">
        <f>IF(BF$7="Actual",i_Actuals!BF27,c_Calculations!BF425)</f>
        <v/>
      </c>
      <c r="BG27" s="257">
        <f>IF(BG$7="Actual",i_Actuals!BG27,c_Calculations!BG425)</f>
        <v/>
      </c>
      <c r="BH27" s="257">
        <f>IF(BH$7="Actual",i_Actuals!BH27,c_Calculations!BH425)</f>
        <v/>
      </c>
      <c r="BI27" s="257">
        <f>IF(BI$7="Actual",i_Actuals!BI27,c_Calculations!BI425)</f>
        <v/>
      </c>
      <c r="BJ27" s="257">
        <f>IF(BJ$7="Actual",i_Actuals!BJ27,c_Calculations!BJ425)</f>
        <v/>
      </c>
      <c r="BK27" s="257">
        <f>IF(BK$7="Actual",i_Actuals!BK27,c_Calculations!BK425)</f>
        <v/>
      </c>
      <c r="BL27" s="257">
        <f>IF(BL$7="Actual",i_Actuals!BL27,c_Calculations!BL425)</f>
        <v/>
      </c>
      <c r="BM27" s="257">
        <f>IF(BM$7="Actual",i_Actuals!BM27,c_Calculations!BM425)</f>
        <v/>
      </c>
      <c r="BN27" s="257">
        <f>IF(BN$7="Actual",i_Actuals!BN27,c_Calculations!BN425)</f>
        <v/>
      </c>
      <c r="BO27" s="257">
        <f>IF(BO$7="Actual",i_Actuals!BO27,c_Calculations!BO425)</f>
        <v/>
      </c>
      <c r="BP27" s="257">
        <f>IF(BP$7="Actual",i_Actuals!BP27,c_Calculations!BP425)</f>
        <v/>
      </c>
      <c r="BQ27" s="257">
        <f>IF(BQ$7="Actual",i_Actuals!BQ27,c_Calculations!BQ425)</f>
        <v/>
      </c>
      <c r="BR27" s="257">
        <f>IF(BR$7="Actual",i_Actuals!BR27,c_Calculations!BR425)</f>
        <v/>
      </c>
      <c r="BS27" s="257">
        <f>IF(BS$7="Actual",i_Actuals!BS27,c_Calculations!BS425)</f>
        <v/>
      </c>
      <c r="BT27" s="257">
        <f>IF(BT$7="Actual",i_Actuals!BT27,c_Calculations!BT425)</f>
        <v/>
      </c>
      <c r="BU27" s="257">
        <f>IF(BU$7="Actual",i_Actuals!BU27,c_Calculations!BU425)</f>
        <v/>
      </c>
      <c r="BV27" s="257">
        <f>IF(BV$7="Actual",i_Actuals!BV27,c_Calculations!BV425)</f>
        <v/>
      </c>
      <c r="BW27" s="257">
        <f>IF(BW$7="Actual",i_Actuals!BW27,c_Calculations!BW425)</f>
        <v/>
      </c>
      <c r="BX27" s="257">
        <f>IF(BX$7="Actual",i_Actuals!BX27,c_Calculations!BX425)</f>
        <v/>
      </c>
      <c r="BY27" s="257">
        <f>IF(BY$7="Actual",i_Actuals!BY27,c_Calculations!BY425)</f>
        <v/>
      </c>
      <c r="BZ27" s="257">
        <f>IF(BZ$7="Actual",i_Actuals!BZ27,c_Calculations!BZ425)</f>
        <v/>
      </c>
      <c r="CA27" s="257">
        <f>IF(CA$7="Actual",i_Actuals!CA27,c_Calculations!CA425)</f>
        <v/>
      </c>
    </row>
    <row r="28" ht="12" customHeight="1" s="227">
      <c r="A28" s="244" t="n"/>
      <c r="B28" s="244" t="n"/>
      <c r="C28" s="244" t="n"/>
      <c r="G28" s="222" t="n"/>
      <c r="H28" s="4">
        <f>i_Setup!U47</f>
        <v/>
      </c>
      <c r="I28" s="27">
        <f> i_Setup!$M$16</f>
        <v/>
      </c>
      <c r="K28" s="27" t="n"/>
      <c r="M28" s="245">
        <f>SUMIF($T$4:$CA$4,M$4,$T28:$CA28)</f>
        <v/>
      </c>
      <c r="N28" s="245">
        <f>SUMIF($T$4:$CA$4,N$4,$T28:$CA28)</f>
        <v/>
      </c>
      <c r="O28" s="245">
        <f>SUMIF($T$4:$CA$4,O$4,$T28:$CA28)</f>
        <v/>
      </c>
      <c r="P28" s="245">
        <f>SUMIF($T$4:$CA$4,P$4,$T28:$CA28)</f>
        <v/>
      </c>
      <c r="Q28" s="245">
        <f>SUMIF($T$4:$CA$4,Q$4,$T28:$CA28)</f>
        <v/>
      </c>
      <c r="T28" s="257">
        <f>IF(T$7="Actual",i_Actuals!T28,c_Calculations!T426)</f>
        <v/>
      </c>
      <c r="U28" s="257">
        <f>IF(U$7="Actual",i_Actuals!U28,c_Calculations!U426)</f>
        <v/>
      </c>
      <c r="V28" s="257">
        <f>IF(V$7="Actual",i_Actuals!V28,c_Calculations!V426)</f>
        <v/>
      </c>
      <c r="W28" s="257">
        <f>IF(W$7="Actual",i_Actuals!W28,c_Calculations!W426)</f>
        <v/>
      </c>
      <c r="X28" s="257">
        <f>IF(X$7="Actual",i_Actuals!X28,c_Calculations!X426)</f>
        <v/>
      </c>
      <c r="Y28" s="257">
        <f>IF(Y$7="Actual",i_Actuals!Y28,c_Calculations!Y426)</f>
        <v/>
      </c>
      <c r="Z28" s="257">
        <f>IF(Z$7="Actual",i_Actuals!Z28,c_Calculations!Z426)</f>
        <v/>
      </c>
      <c r="AA28" s="257">
        <f>IF(AA$7="Actual",i_Actuals!AA28,c_Calculations!AA426)</f>
        <v/>
      </c>
      <c r="AB28" s="257">
        <f>IF(AB$7="Actual",i_Actuals!AB28,c_Calculations!AB426)</f>
        <v/>
      </c>
      <c r="AC28" s="257">
        <f>IF(AC$7="Actual",i_Actuals!AC28,c_Calculations!AC426)</f>
        <v/>
      </c>
      <c r="AD28" s="257">
        <f>IF(AD$7="Actual",i_Actuals!AD28,c_Calculations!AD426)</f>
        <v/>
      </c>
      <c r="AE28" s="257">
        <f>IF(AE$7="Actual",i_Actuals!AE28,c_Calculations!AE426)</f>
        <v/>
      </c>
      <c r="AF28" s="257">
        <f>IF(AF$7="Actual",i_Actuals!AF28,c_Calculations!AF426)</f>
        <v/>
      </c>
      <c r="AG28" s="257">
        <f>IF(AG$7="Actual",i_Actuals!AG28,c_Calculations!AG426)</f>
        <v/>
      </c>
      <c r="AH28" s="257">
        <f>IF(AH$7="Actual",i_Actuals!AH28,c_Calculations!AH426)</f>
        <v/>
      </c>
      <c r="AI28" s="257">
        <f>IF(AI$7="Actual",i_Actuals!AI28,c_Calculations!AI426)</f>
        <v/>
      </c>
      <c r="AJ28" s="257">
        <f>IF(AJ$7="Actual",i_Actuals!AJ28,c_Calculations!AJ426)</f>
        <v/>
      </c>
      <c r="AK28" s="257">
        <f>IF(AK$7="Actual",i_Actuals!AK28,c_Calculations!AK426)</f>
        <v/>
      </c>
      <c r="AL28" s="257">
        <f>IF(AL$7="Actual",i_Actuals!AL28,c_Calculations!AL426)</f>
        <v/>
      </c>
      <c r="AM28" s="257">
        <f>IF(AM$7="Actual",i_Actuals!AM28,c_Calculations!AM426)</f>
        <v/>
      </c>
      <c r="AN28" s="257">
        <f>IF(AN$7="Actual",i_Actuals!AN28,c_Calculations!AN426)</f>
        <v/>
      </c>
      <c r="AO28" s="257">
        <f>IF(AO$7="Actual",i_Actuals!AO28,c_Calculations!AO426)</f>
        <v/>
      </c>
      <c r="AP28" s="257">
        <f>IF(AP$7="Actual",i_Actuals!AP28,c_Calculations!AP426)</f>
        <v/>
      </c>
      <c r="AQ28" s="257">
        <f>IF(AQ$7="Actual",i_Actuals!AQ28,c_Calculations!AQ426)</f>
        <v/>
      </c>
      <c r="AR28" s="257">
        <f>IF(AR$7="Actual",i_Actuals!AR28,c_Calculations!AR426)</f>
        <v/>
      </c>
      <c r="AS28" s="257">
        <f>IF(AS$7="Actual",i_Actuals!AS28,c_Calculations!AS426)</f>
        <v/>
      </c>
      <c r="AT28" s="257">
        <f>IF(AT$7="Actual",i_Actuals!AT28,c_Calculations!AT426)</f>
        <v/>
      </c>
      <c r="AU28" s="257">
        <f>IF(AU$7="Actual",i_Actuals!AU28,c_Calculations!AU426)</f>
        <v/>
      </c>
      <c r="AV28" s="257">
        <f>IF(AV$7="Actual",i_Actuals!AV28,c_Calculations!AV426)</f>
        <v/>
      </c>
      <c r="AW28" s="257">
        <f>IF(AW$7="Actual",i_Actuals!AW28,c_Calculations!AW426)</f>
        <v/>
      </c>
      <c r="AX28" s="257">
        <f>IF(AX$7="Actual",i_Actuals!AX28,c_Calculations!AX426)</f>
        <v/>
      </c>
      <c r="AY28" s="257">
        <f>IF(AY$7="Actual",i_Actuals!AY28,c_Calculations!AY426)</f>
        <v/>
      </c>
      <c r="AZ28" s="257">
        <f>IF(AZ$7="Actual",i_Actuals!AZ28,c_Calculations!AZ426)</f>
        <v/>
      </c>
      <c r="BA28" s="257">
        <f>IF(BA$7="Actual",i_Actuals!BA28,c_Calculations!BA426)</f>
        <v/>
      </c>
      <c r="BB28" s="257">
        <f>IF(BB$7="Actual",i_Actuals!BB28,c_Calculations!BB426)</f>
        <v/>
      </c>
      <c r="BC28" s="257">
        <f>IF(BC$7="Actual",i_Actuals!BC28,c_Calculations!BC426)</f>
        <v/>
      </c>
      <c r="BD28" s="257">
        <f>IF(BD$7="Actual",i_Actuals!BD28,c_Calculations!BD426)</f>
        <v/>
      </c>
      <c r="BE28" s="257">
        <f>IF(BE$7="Actual",i_Actuals!BE28,c_Calculations!BE426)</f>
        <v/>
      </c>
      <c r="BF28" s="257">
        <f>IF(BF$7="Actual",i_Actuals!BF28,c_Calculations!BF426)</f>
        <v/>
      </c>
      <c r="BG28" s="257">
        <f>IF(BG$7="Actual",i_Actuals!BG28,c_Calculations!BG426)</f>
        <v/>
      </c>
      <c r="BH28" s="257">
        <f>IF(BH$7="Actual",i_Actuals!BH28,c_Calculations!BH426)</f>
        <v/>
      </c>
      <c r="BI28" s="257">
        <f>IF(BI$7="Actual",i_Actuals!BI28,c_Calculations!BI426)</f>
        <v/>
      </c>
      <c r="BJ28" s="257">
        <f>IF(BJ$7="Actual",i_Actuals!BJ28,c_Calculations!BJ426)</f>
        <v/>
      </c>
      <c r="BK28" s="257">
        <f>IF(BK$7="Actual",i_Actuals!BK28,c_Calculations!BK426)</f>
        <v/>
      </c>
      <c r="BL28" s="257">
        <f>IF(BL$7="Actual",i_Actuals!BL28,c_Calculations!BL426)</f>
        <v/>
      </c>
      <c r="BM28" s="257">
        <f>IF(BM$7="Actual",i_Actuals!BM28,c_Calculations!BM426)</f>
        <v/>
      </c>
      <c r="BN28" s="257">
        <f>IF(BN$7="Actual",i_Actuals!BN28,c_Calculations!BN426)</f>
        <v/>
      </c>
      <c r="BO28" s="257">
        <f>IF(BO$7="Actual",i_Actuals!BO28,c_Calculations!BO426)</f>
        <v/>
      </c>
      <c r="BP28" s="257">
        <f>IF(BP$7="Actual",i_Actuals!BP28,c_Calculations!BP426)</f>
        <v/>
      </c>
      <c r="BQ28" s="257">
        <f>IF(BQ$7="Actual",i_Actuals!BQ28,c_Calculations!BQ426)</f>
        <v/>
      </c>
      <c r="BR28" s="257">
        <f>IF(BR$7="Actual",i_Actuals!BR28,c_Calculations!BR426)</f>
        <v/>
      </c>
      <c r="BS28" s="257">
        <f>IF(BS$7="Actual",i_Actuals!BS28,c_Calculations!BS426)</f>
        <v/>
      </c>
      <c r="BT28" s="257">
        <f>IF(BT$7="Actual",i_Actuals!BT28,c_Calculations!BT426)</f>
        <v/>
      </c>
      <c r="BU28" s="257">
        <f>IF(BU$7="Actual",i_Actuals!BU28,c_Calculations!BU426)</f>
        <v/>
      </c>
      <c r="BV28" s="257">
        <f>IF(BV$7="Actual",i_Actuals!BV28,c_Calculations!BV426)</f>
        <v/>
      </c>
      <c r="BW28" s="257">
        <f>IF(BW$7="Actual",i_Actuals!BW28,c_Calculations!BW426)</f>
        <v/>
      </c>
      <c r="BX28" s="257">
        <f>IF(BX$7="Actual",i_Actuals!BX28,c_Calculations!BX426)</f>
        <v/>
      </c>
      <c r="BY28" s="257">
        <f>IF(BY$7="Actual",i_Actuals!BY28,c_Calculations!BY426)</f>
        <v/>
      </c>
      <c r="BZ28" s="257">
        <f>IF(BZ$7="Actual",i_Actuals!BZ28,c_Calculations!BZ426)</f>
        <v/>
      </c>
      <c r="CA28" s="257">
        <f>IF(CA$7="Actual",i_Actuals!CA28,c_Calculations!CA426)</f>
        <v/>
      </c>
    </row>
    <row r="29" ht="12" customHeight="1" s="227">
      <c r="A29" s="244" t="n"/>
      <c r="B29" s="244" t="n"/>
      <c r="C29" s="244" t="n"/>
      <c r="G29" s="222" t="n"/>
      <c r="H29" s="4">
        <f>i_Setup!U48</f>
        <v/>
      </c>
      <c r="I29" s="27">
        <f> i_Setup!$M$16</f>
        <v/>
      </c>
      <c r="K29" s="27" t="n"/>
      <c r="M29" s="245">
        <f>SUMIF($T$4:$CA$4,M$4,$T29:$CA29)</f>
        <v/>
      </c>
      <c r="N29" s="245">
        <f>SUMIF($T$4:$CA$4,N$4,$T29:$CA29)</f>
        <v/>
      </c>
      <c r="O29" s="245">
        <f>SUMIF($T$4:$CA$4,O$4,$T29:$CA29)</f>
        <v/>
      </c>
      <c r="P29" s="245">
        <f>SUMIF($T$4:$CA$4,P$4,$T29:$CA29)</f>
        <v/>
      </c>
      <c r="Q29" s="245">
        <f>SUMIF($T$4:$CA$4,Q$4,$T29:$CA29)</f>
        <v/>
      </c>
      <c r="T29" s="257">
        <f>IF(T$7="Actual",i_Actuals!T29,c_Calculations!T427)</f>
        <v/>
      </c>
      <c r="U29" s="257">
        <f>IF(U$7="Actual",i_Actuals!U29,c_Calculations!U427)</f>
        <v/>
      </c>
      <c r="V29" s="257">
        <f>IF(V$7="Actual",i_Actuals!V29,c_Calculations!V427)</f>
        <v/>
      </c>
      <c r="W29" s="257">
        <f>IF(W$7="Actual",i_Actuals!W29,c_Calculations!W427)</f>
        <v/>
      </c>
      <c r="X29" s="257">
        <f>IF(X$7="Actual",i_Actuals!X29,c_Calculations!X427)</f>
        <v/>
      </c>
      <c r="Y29" s="257">
        <f>IF(Y$7="Actual",i_Actuals!Y29,c_Calculations!Y427)</f>
        <v/>
      </c>
      <c r="Z29" s="257">
        <f>IF(Z$7="Actual",i_Actuals!Z29,c_Calculations!Z427)</f>
        <v/>
      </c>
      <c r="AA29" s="257">
        <f>IF(AA$7="Actual",i_Actuals!AA29,c_Calculations!AA427)</f>
        <v/>
      </c>
      <c r="AB29" s="257">
        <f>IF(AB$7="Actual",i_Actuals!AB29,c_Calculations!AB427)</f>
        <v/>
      </c>
      <c r="AC29" s="257">
        <f>IF(AC$7="Actual",i_Actuals!AC29,c_Calculations!AC427)</f>
        <v/>
      </c>
      <c r="AD29" s="257">
        <f>IF(AD$7="Actual",i_Actuals!AD29,c_Calculations!AD427)</f>
        <v/>
      </c>
      <c r="AE29" s="257">
        <f>IF(AE$7="Actual",i_Actuals!AE29,c_Calculations!AE427)</f>
        <v/>
      </c>
      <c r="AF29" s="257">
        <f>IF(AF$7="Actual",i_Actuals!AF29,c_Calculations!AF427)</f>
        <v/>
      </c>
      <c r="AG29" s="257">
        <f>IF(AG$7="Actual",i_Actuals!AG29,c_Calculations!AG427)</f>
        <v/>
      </c>
      <c r="AH29" s="257">
        <f>IF(AH$7="Actual",i_Actuals!AH29,c_Calculations!AH427)</f>
        <v/>
      </c>
      <c r="AI29" s="257">
        <f>IF(AI$7="Actual",i_Actuals!AI29,c_Calculations!AI427)</f>
        <v/>
      </c>
      <c r="AJ29" s="257">
        <f>IF(AJ$7="Actual",i_Actuals!AJ29,c_Calculations!AJ427)</f>
        <v/>
      </c>
      <c r="AK29" s="257">
        <f>IF(AK$7="Actual",i_Actuals!AK29,c_Calculations!AK427)</f>
        <v/>
      </c>
      <c r="AL29" s="257">
        <f>IF(AL$7="Actual",i_Actuals!AL29,c_Calculations!AL427)</f>
        <v/>
      </c>
      <c r="AM29" s="257">
        <f>IF(AM$7="Actual",i_Actuals!AM29,c_Calculations!AM427)</f>
        <v/>
      </c>
      <c r="AN29" s="257">
        <f>IF(AN$7="Actual",i_Actuals!AN29,c_Calculations!AN427)</f>
        <v/>
      </c>
      <c r="AO29" s="257">
        <f>IF(AO$7="Actual",i_Actuals!AO29,c_Calculations!AO427)</f>
        <v/>
      </c>
      <c r="AP29" s="257">
        <f>IF(AP$7="Actual",i_Actuals!AP29,c_Calculations!AP427)</f>
        <v/>
      </c>
      <c r="AQ29" s="257">
        <f>IF(AQ$7="Actual",i_Actuals!AQ29,c_Calculations!AQ427)</f>
        <v/>
      </c>
      <c r="AR29" s="257">
        <f>IF(AR$7="Actual",i_Actuals!AR29,c_Calculations!AR427)</f>
        <v/>
      </c>
      <c r="AS29" s="257">
        <f>IF(AS$7="Actual",i_Actuals!AS29,c_Calculations!AS427)</f>
        <v/>
      </c>
      <c r="AT29" s="257">
        <f>IF(AT$7="Actual",i_Actuals!AT29,c_Calculations!AT427)</f>
        <v/>
      </c>
      <c r="AU29" s="257">
        <f>IF(AU$7="Actual",i_Actuals!AU29,c_Calculations!AU427)</f>
        <v/>
      </c>
      <c r="AV29" s="257">
        <f>IF(AV$7="Actual",i_Actuals!AV29,c_Calculations!AV427)</f>
        <v/>
      </c>
      <c r="AW29" s="257">
        <f>IF(AW$7="Actual",i_Actuals!AW29,c_Calculations!AW427)</f>
        <v/>
      </c>
      <c r="AX29" s="257">
        <f>IF(AX$7="Actual",i_Actuals!AX29,c_Calculations!AX427)</f>
        <v/>
      </c>
      <c r="AY29" s="257">
        <f>IF(AY$7="Actual",i_Actuals!AY29,c_Calculations!AY427)</f>
        <v/>
      </c>
      <c r="AZ29" s="257">
        <f>IF(AZ$7="Actual",i_Actuals!AZ29,c_Calculations!AZ427)</f>
        <v/>
      </c>
      <c r="BA29" s="257">
        <f>IF(BA$7="Actual",i_Actuals!BA29,c_Calculations!BA427)</f>
        <v/>
      </c>
      <c r="BB29" s="257">
        <f>IF(BB$7="Actual",i_Actuals!BB29,c_Calculations!BB427)</f>
        <v/>
      </c>
      <c r="BC29" s="257">
        <f>IF(BC$7="Actual",i_Actuals!BC29,c_Calculations!BC427)</f>
        <v/>
      </c>
      <c r="BD29" s="257">
        <f>IF(BD$7="Actual",i_Actuals!BD29,c_Calculations!BD427)</f>
        <v/>
      </c>
      <c r="BE29" s="257">
        <f>IF(BE$7="Actual",i_Actuals!BE29,c_Calculations!BE427)</f>
        <v/>
      </c>
      <c r="BF29" s="257">
        <f>IF(BF$7="Actual",i_Actuals!BF29,c_Calculations!BF427)</f>
        <v/>
      </c>
      <c r="BG29" s="257">
        <f>IF(BG$7="Actual",i_Actuals!BG29,c_Calculations!BG427)</f>
        <v/>
      </c>
      <c r="BH29" s="257">
        <f>IF(BH$7="Actual",i_Actuals!BH29,c_Calculations!BH427)</f>
        <v/>
      </c>
      <c r="BI29" s="257">
        <f>IF(BI$7="Actual",i_Actuals!BI29,c_Calculations!BI427)</f>
        <v/>
      </c>
      <c r="BJ29" s="257">
        <f>IF(BJ$7="Actual",i_Actuals!BJ29,c_Calculations!BJ427)</f>
        <v/>
      </c>
      <c r="BK29" s="257">
        <f>IF(BK$7="Actual",i_Actuals!BK29,c_Calculations!BK427)</f>
        <v/>
      </c>
      <c r="BL29" s="257">
        <f>IF(BL$7="Actual",i_Actuals!BL29,c_Calculations!BL427)</f>
        <v/>
      </c>
      <c r="BM29" s="257">
        <f>IF(BM$7="Actual",i_Actuals!BM29,c_Calculations!BM427)</f>
        <v/>
      </c>
      <c r="BN29" s="257">
        <f>IF(BN$7="Actual",i_Actuals!BN29,c_Calculations!BN427)</f>
        <v/>
      </c>
      <c r="BO29" s="257">
        <f>IF(BO$7="Actual",i_Actuals!BO29,c_Calculations!BO427)</f>
        <v/>
      </c>
      <c r="BP29" s="257">
        <f>IF(BP$7="Actual",i_Actuals!BP29,c_Calculations!BP427)</f>
        <v/>
      </c>
      <c r="BQ29" s="257">
        <f>IF(BQ$7="Actual",i_Actuals!BQ29,c_Calculations!BQ427)</f>
        <v/>
      </c>
      <c r="BR29" s="257">
        <f>IF(BR$7="Actual",i_Actuals!BR29,c_Calculations!BR427)</f>
        <v/>
      </c>
      <c r="BS29" s="257">
        <f>IF(BS$7="Actual",i_Actuals!BS29,c_Calculations!BS427)</f>
        <v/>
      </c>
      <c r="BT29" s="257">
        <f>IF(BT$7="Actual",i_Actuals!BT29,c_Calculations!BT427)</f>
        <v/>
      </c>
      <c r="BU29" s="257">
        <f>IF(BU$7="Actual",i_Actuals!BU29,c_Calculations!BU427)</f>
        <v/>
      </c>
      <c r="BV29" s="257">
        <f>IF(BV$7="Actual",i_Actuals!BV29,c_Calculations!BV427)</f>
        <v/>
      </c>
      <c r="BW29" s="257">
        <f>IF(BW$7="Actual",i_Actuals!BW29,c_Calculations!BW427)</f>
        <v/>
      </c>
      <c r="BX29" s="257">
        <f>IF(BX$7="Actual",i_Actuals!BX29,c_Calculations!BX427)</f>
        <v/>
      </c>
      <c r="BY29" s="257">
        <f>IF(BY$7="Actual",i_Actuals!BY29,c_Calculations!BY427)</f>
        <v/>
      </c>
      <c r="BZ29" s="257">
        <f>IF(BZ$7="Actual",i_Actuals!BZ29,c_Calculations!BZ427)</f>
        <v/>
      </c>
      <c r="CA29" s="257">
        <f>IF(CA$7="Actual",i_Actuals!CA29,c_Calculations!CA427)</f>
        <v/>
      </c>
    </row>
    <row r="30" ht="12" customHeight="1" s="227">
      <c r="A30" s="244" t="n"/>
      <c r="B30" s="244" t="n"/>
      <c r="C30" s="244" t="n"/>
      <c r="G30" s="222" t="n"/>
      <c r="H30" s="4">
        <f>i_Setup!U49</f>
        <v/>
      </c>
      <c r="I30" s="27">
        <f> i_Setup!$M$16</f>
        <v/>
      </c>
      <c r="K30" s="27" t="n"/>
      <c r="M30" s="245">
        <f>SUMIF($T$4:$CA$4,M$4,$T30:$CA30)</f>
        <v/>
      </c>
      <c r="N30" s="245">
        <f>SUMIF($T$4:$CA$4,N$4,$T30:$CA30)</f>
        <v/>
      </c>
      <c r="O30" s="245">
        <f>SUMIF($T$4:$CA$4,O$4,$T30:$CA30)</f>
        <v/>
      </c>
      <c r="P30" s="245">
        <f>SUMIF($T$4:$CA$4,P$4,$T30:$CA30)</f>
        <v/>
      </c>
      <c r="Q30" s="245">
        <f>SUMIF($T$4:$CA$4,Q$4,$T30:$CA30)</f>
        <v/>
      </c>
      <c r="T30" s="257">
        <f>IF(T$7="Actual",i_Actuals!T30,c_Calculations!T428)</f>
        <v/>
      </c>
      <c r="U30" s="257">
        <f>IF(U$7="Actual",i_Actuals!U30,c_Calculations!U428)</f>
        <v/>
      </c>
      <c r="V30" s="257">
        <f>IF(V$7="Actual",i_Actuals!V30,c_Calculations!V428)</f>
        <v/>
      </c>
      <c r="W30" s="257">
        <f>IF(W$7="Actual",i_Actuals!W30,c_Calculations!W428)</f>
        <v/>
      </c>
      <c r="X30" s="257">
        <f>IF(X$7="Actual",i_Actuals!X30,c_Calculations!X428)</f>
        <v/>
      </c>
      <c r="Y30" s="257">
        <f>IF(Y$7="Actual",i_Actuals!Y30,c_Calculations!Y428)</f>
        <v/>
      </c>
      <c r="Z30" s="257">
        <f>IF(Z$7="Actual",i_Actuals!Z30,c_Calculations!Z428)</f>
        <v/>
      </c>
      <c r="AA30" s="257">
        <f>IF(AA$7="Actual",i_Actuals!AA30,c_Calculations!AA428)</f>
        <v/>
      </c>
      <c r="AB30" s="257">
        <f>IF(AB$7="Actual",i_Actuals!AB30,c_Calculations!AB428)</f>
        <v/>
      </c>
      <c r="AC30" s="257">
        <f>IF(AC$7="Actual",i_Actuals!AC30,c_Calculations!AC428)</f>
        <v/>
      </c>
      <c r="AD30" s="257">
        <f>IF(AD$7="Actual",i_Actuals!AD30,c_Calculations!AD428)</f>
        <v/>
      </c>
      <c r="AE30" s="257">
        <f>IF(AE$7="Actual",i_Actuals!AE30,c_Calculations!AE428)</f>
        <v/>
      </c>
      <c r="AF30" s="257">
        <f>IF(AF$7="Actual",i_Actuals!AF30,c_Calculations!AF428)</f>
        <v/>
      </c>
      <c r="AG30" s="257">
        <f>IF(AG$7="Actual",i_Actuals!AG30,c_Calculations!AG428)</f>
        <v/>
      </c>
      <c r="AH30" s="257">
        <f>IF(AH$7="Actual",i_Actuals!AH30,c_Calculations!AH428)</f>
        <v/>
      </c>
      <c r="AI30" s="257">
        <f>IF(AI$7="Actual",i_Actuals!AI30,c_Calculations!AI428)</f>
        <v/>
      </c>
      <c r="AJ30" s="257">
        <f>IF(AJ$7="Actual",i_Actuals!AJ30,c_Calculations!AJ428)</f>
        <v/>
      </c>
      <c r="AK30" s="257">
        <f>IF(AK$7="Actual",i_Actuals!AK30,c_Calculations!AK428)</f>
        <v/>
      </c>
      <c r="AL30" s="257">
        <f>IF(AL$7="Actual",i_Actuals!AL30,c_Calculations!AL428)</f>
        <v/>
      </c>
      <c r="AM30" s="257">
        <f>IF(AM$7="Actual",i_Actuals!AM30,c_Calculations!AM428)</f>
        <v/>
      </c>
      <c r="AN30" s="257">
        <f>IF(AN$7="Actual",i_Actuals!AN30,c_Calculations!AN428)</f>
        <v/>
      </c>
      <c r="AO30" s="257">
        <f>IF(AO$7="Actual",i_Actuals!AO30,c_Calculations!AO428)</f>
        <v/>
      </c>
      <c r="AP30" s="257">
        <f>IF(AP$7="Actual",i_Actuals!AP30,c_Calculations!AP428)</f>
        <v/>
      </c>
      <c r="AQ30" s="257">
        <f>IF(AQ$7="Actual",i_Actuals!AQ30,c_Calculations!AQ428)</f>
        <v/>
      </c>
      <c r="AR30" s="257">
        <f>IF(AR$7="Actual",i_Actuals!AR30,c_Calculations!AR428)</f>
        <v/>
      </c>
      <c r="AS30" s="257">
        <f>IF(AS$7="Actual",i_Actuals!AS30,c_Calculations!AS428)</f>
        <v/>
      </c>
      <c r="AT30" s="257">
        <f>IF(AT$7="Actual",i_Actuals!AT30,c_Calculations!AT428)</f>
        <v/>
      </c>
      <c r="AU30" s="257">
        <f>IF(AU$7="Actual",i_Actuals!AU30,c_Calculations!AU428)</f>
        <v/>
      </c>
      <c r="AV30" s="257">
        <f>IF(AV$7="Actual",i_Actuals!AV30,c_Calculations!AV428)</f>
        <v/>
      </c>
      <c r="AW30" s="257">
        <f>IF(AW$7="Actual",i_Actuals!AW30,c_Calculations!AW428)</f>
        <v/>
      </c>
      <c r="AX30" s="257">
        <f>IF(AX$7="Actual",i_Actuals!AX30,c_Calculations!AX428)</f>
        <v/>
      </c>
      <c r="AY30" s="257">
        <f>IF(AY$7="Actual",i_Actuals!AY30,c_Calculations!AY428)</f>
        <v/>
      </c>
      <c r="AZ30" s="257">
        <f>IF(AZ$7="Actual",i_Actuals!AZ30,c_Calculations!AZ428)</f>
        <v/>
      </c>
      <c r="BA30" s="257">
        <f>IF(BA$7="Actual",i_Actuals!BA30,c_Calculations!BA428)</f>
        <v/>
      </c>
      <c r="BB30" s="257">
        <f>IF(BB$7="Actual",i_Actuals!BB30,c_Calculations!BB428)</f>
        <v/>
      </c>
      <c r="BC30" s="257">
        <f>IF(BC$7="Actual",i_Actuals!BC30,c_Calculations!BC428)</f>
        <v/>
      </c>
      <c r="BD30" s="257">
        <f>IF(BD$7="Actual",i_Actuals!BD30,c_Calculations!BD428)</f>
        <v/>
      </c>
      <c r="BE30" s="257">
        <f>IF(BE$7="Actual",i_Actuals!BE30,c_Calculations!BE428)</f>
        <v/>
      </c>
      <c r="BF30" s="257">
        <f>IF(BF$7="Actual",i_Actuals!BF30,c_Calculations!BF428)</f>
        <v/>
      </c>
      <c r="BG30" s="257">
        <f>IF(BG$7="Actual",i_Actuals!BG30,c_Calculations!BG428)</f>
        <v/>
      </c>
      <c r="BH30" s="257">
        <f>IF(BH$7="Actual",i_Actuals!BH30,c_Calculations!BH428)</f>
        <v/>
      </c>
      <c r="BI30" s="257">
        <f>IF(BI$7="Actual",i_Actuals!BI30,c_Calculations!BI428)</f>
        <v/>
      </c>
      <c r="BJ30" s="257">
        <f>IF(BJ$7="Actual",i_Actuals!BJ30,c_Calculations!BJ428)</f>
        <v/>
      </c>
      <c r="BK30" s="257">
        <f>IF(BK$7="Actual",i_Actuals!BK30,c_Calculations!BK428)</f>
        <v/>
      </c>
      <c r="BL30" s="257">
        <f>IF(BL$7="Actual",i_Actuals!BL30,c_Calculations!BL428)</f>
        <v/>
      </c>
      <c r="BM30" s="257">
        <f>IF(BM$7="Actual",i_Actuals!BM30,c_Calculations!BM428)</f>
        <v/>
      </c>
      <c r="BN30" s="257">
        <f>IF(BN$7="Actual",i_Actuals!BN30,c_Calculations!BN428)</f>
        <v/>
      </c>
      <c r="BO30" s="257">
        <f>IF(BO$7="Actual",i_Actuals!BO30,c_Calculations!BO428)</f>
        <v/>
      </c>
      <c r="BP30" s="257">
        <f>IF(BP$7="Actual",i_Actuals!BP30,c_Calculations!BP428)</f>
        <v/>
      </c>
      <c r="BQ30" s="257">
        <f>IF(BQ$7="Actual",i_Actuals!BQ30,c_Calculations!BQ428)</f>
        <v/>
      </c>
      <c r="BR30" s="257">
        <f>IF(BR$7="Actual",i_Actuals!BR30,c_Calculations!BR428)</f>
        <v/>
      </c>
      <c r="BS30" s="257">
        <f>IF(BS$7="Actual",i_Actuals!BS30,c_Calculations!BS428)</f>
        <v/>
      </c>
      <c r="BT30" s="257">
        <f>IF(BT$7="Actual",i_Actuals!BT30,c_Calculations!BT428)</f>
        <v/>
      </c>
      <c r="BU30" s="257">
        <f>IF(BU$7="Actual",i_Actuals!BU30,c_Calculations!BU428)</f>
        <v/>
      </c>
      <c r="BV30" s="257">
        <f>IF(BV$7="Actual",i_Actuals!BV30,c_Calculations!BV428)</f>
        <v/>
      </c>
      <c r="BW30" s="257">
        <f>IF(BW$7="Actual",i_Actuals!BW30,c_Calculations!BW428)</f>
        <v/>
      </c>
      <c r="BX30" s="257">
        <f>IF(BX$7="Actual",i_Actuals!BX30,c_Calculations!BX428)</f>
        <v/>
      </c>
      <c r="BY30" s="257">
        <f>IF(BY$7="Actual",i_Actuals!BY30,c_Calculations!BY428)</f>
        <v/>
      </c>
      <c r="BZ30" s="257">
        <f>IF(BZ$7="Actual",i_Actuals!BZ30,c_Calculations!BZ428)</f>
        <v/>
      </c>
      <c r="CA30" s="257">
        <f>IF(CA$7="Actual",i_Actuals!CA30,c_Calculations!CA428)</f>
        <v/>
      </c>
    </row>
    <row r="31" ht="12" customHeight="1" s="227">
      <c r="A31" s="244" t="n"/>
      <c r="B31" s="244" t="n"/>
      <c r="C31" s="244" t="n"/>
      <c r="G31" s="222" t="n"/>
      <c r="H31" s="4">
        <f>i_Setup!U50</f>
        <v/>
      </c>
      <c r="I31" s="27">
        <f> i_Setup!$M$16</f>
        <v/>
      </c>
      <c r="K31" s="27" t="n"/>
      <c r="M31" s="245">
        <f>SUMIF($T$4:$CA$4,M$4,$T31:$CA31)</f>
        <v/>
      </c>
      <c r="N31" s="245">
        <f>SUMIF($T$4:$CA$4,N$4,$T31:$CA31)</f>
        <v/>
      </c>
      <c r="O31" s="245">
        <f>SUMIF($T$4:$CA$4,O$4,$T31:$CA31)</f>
        <v/>
      </c>
      <c r="P31" s="245">
        <f>SUMIF($T$4:$CA$4,P$4,$T31:$CA31)</f>
        <v/>
      </c>
      <c r="Q31" s="245">
        <f>SUMIF($T$4:$CA$4,Q$4,$T31:$CA31)</f>
        <v/>
      </c>
      <c r="T31" s="257">
        <f>IF(T$7="Actual",i_Actuals!T31,c_Calculations!T429)</f>
        <v/>
      </c>
      <c r="U31" s="257">
        <f>IF(U$7="Actual",i_Actuals!U31,c_Calculations!U429)</f>
        <v/>
      </c>
      <c r="V31" s="257">
        <f>IF(V$7="Actual",i_Actuals!V31,c_Calculations!V429)</f>
        <v/>
      </c>
      <c r="W31" s="257">
        <f>IF(W$7="Actual",i_Actuals!W31,c_Calculations!W429)</f>
        <v/>
      </c>
      <c r="X31" s="257">
        <f>IF(X$7="Actual",i_Actuals!X31,c_Calculations!X429)</f>
        <v/>
      </c>
      <c r="Y31" s="257">
        <f>IF(Y$7="Actual",i_Actuals!Y31,c_Calculations!Y429)</f>
        <v/>
      </c>
      <c r="Z31" s="257">
        <f>IF(Z$7="Actual",i_Actuals!Z31,c_Calculations!Z429)</f>
        <v/>
      </c>
      <c r="AA31" s="257">
        <f>IF(AA$7="Actual",i_Actuals!AA31,c_Calculations!AA429)</f>
        <v/>
      </c>
      <c r="AB31" s="257">
        <f>IF(AB$7="Actual",i_Actuals!AB31,c_Calculations!AB429)</f>
        <v/>
      </c>
      <c r="AC31" s="257">
        <f>IF(AC$7="Actual",i_Actuals!AC31,c_Calculations!AC429)</f>
        <v/>
      </c>
      <c r="AD31" s="257">
        <f>IF(AD$7="Actual",i_Actuals!AD31,c_Calculations!AD429)</f>
        <v/>
      </c>
      <c r="AE31" s="257">
        <f>IF(AE$7="Actual",i_Actuals!AE31,c_Calculations!AE429)</f>
        <v/>
      </c>
      <c r="AF31" s="257">
        <f>IF(AF$7="Actual",i_Actuals!AF31,c_Calculations!AF429)</f>
        <v/>
      </c>
      <c r="AG31" s="257">
        <f>IF(AG$7="Actual",i_Actuals!AG31,c_Calculations!AG429)</f>
        <v/>
      </c>
      <c r="AH31" s="257">
        <f>IF(AH$7="Actual",i_Actuals!AH31,c_Calculations!AH429)</f>
        <v/>
      </c>
      <c r="AI31" s="257">
        <f>IF(AI$7="Actual",i_Actuals!AI31,c_Calculations!AI429)</f>
        <v/>
      </c>
      <c r="AJ31" s="257">
        <f>IF(AJ$7="Actual",i_Actuals!AJ31,c_Calculations!AJ429)</f>
        <v/>
      </c>
      <c r="AK31" s="257">
        <f>IF(AK$7="Actual",i_Actuals!AK31,c_Calculations!AK429)</f>
        <v/>
      </c>
      <c r="AL31" s="257">
        <f>IF(AL$7="Actual",i_Actuals!AL31,c_Calculations!AL429)</f>
        <v/>
      </c>
      <c r="AM31" s="257">
        <f>IF(AM$7="Actual",i_Actuals!AM31,c_Calculations!AM429)</f>
        <v/>
      </c>
      <c r="AN31" s="257">
        <f>IF(AN$7="Actual",i_Actuals!AN31,c_Calculations!AN429)</f>
        <v/>
      </c>
      <c r="AO31" s="257">
        <f>IF(AO$7="Actual",i_Actuals!AO31,c_Calculations!AO429)</f>
        <v/>
      </c>
      <c r="AP31" s="257">
        <f>IF(AP$7="Actual",i_Actuals!AP31,c_Calculations!AP429)</f>
        <v/>
      </c>
      <c r="AQ31" s="257">
        <f>IF(AQ$7="Actual",i_Actuals!AQ31,c_Calculations!AQ429)</f>
        <v/>
      </c>
      <c r="AR31" s="257">
        <f>IF(AR$7="Actual",i_Actuals!AR31,c_Calculations!AR429)</f>
        <v/>
      </c>
      <c r="AS31" s="257">
        <f>IF(AS$7="Actual",i_Actuals!AS31,c_Calculations!AS429)</f>
        <v/>
      </c>
      <c r="AT31" s="257">
        <f>IF(AT$7="Actual",i_Actuals!AT31,c_Calculations!AT429)</f>
        <v/>
      </c>
      <c r="AU31" s="257">
        <f>IF(AU$7="Actual",i_Actuals!AU31,c_Calculations!AU429)</f>
        <v/>
      </c>
      <c r="AV31" s="257">
        <f>IF(AV$7="Actual",i_Actuals!AV31,c_Calculations!AV429)</f>
        <v/>
      </c>
      <c r="AW31" s="257">
        <f>IF(AW$7="Actual",i_Actuals!AW31,c_Calculations!AW429)</f>
        <v/>
      </c>
      <c r="AX31" s="257">
        <f>IF(AX$7="Actual",i_Actuals!AX31,c_Calculations!AX429)</f>
        <v/>
      </c>
      <c r="AY31" s="257">
        <f>IF(AY$7="Actual",i_Actuals!AY31,c_Calculations!AY429)</f>
        <v/>
      </c>
      <c r="AZ31" s="257">
        <f>IF(AZ$7="Actual",i_Actuals!AZ31,c_Calculations!AZ429)</f>
        <v/>
      </c>
      <c r="BA31" s="257">
        <f>IF(BA$7="Actual",i_Actuals!BA31,c_Calculations!BA429)</f>
        <v/>
      </c>
      <c r="BB31" s="257">
        <f>IF(BB$7="Actual",i_Actuals!BB31,c_Calculations!BB429)</f>
        <v/>
      </c>
      <c r="BC31" s="257">
        <f>IF(BC$7="Actual",i_Actuals!BC31,c_Calculations!BC429)</f>
        <v/>
      </c>
      <c r="BD31" s="257">
        <f>IF(BD$7="Actual",i_Actuals!BD31,c_Calculations!BD429)</f>
        <v/>
      </c>
      <c r="BE31" s="257">
        <f>IF(BE$7="Actual",i_Actuals!BE31,c_Calculations!BE429)</f>
        <v/>
      </c>
      <c r="BF31" s="257">
        <f>IF(BF$7="Actual",i_Actuals!BF31,c_Calculations!BF429)</f>
        <v/>
      </c>
      <c r="BG31" s="257">
        <f>IF(BG$7="Actual",i_Actuals!BG31,c_Calculations!BG429)</f>
        <v/>
      </c>
      <c r="BH31" s="257">
        <f>IF(BH$7="Actual",i_Actuals!BH31,c_Calculations!BH429)</f>
        <v/>
      </c>
      <c r="BI31" s="257">
        <f>IF(BI$7="Actual",i_Actuals!BI31,c_Calculations!BI429)</f>
        <v/>
      </c>
      <c r="BJ31" s="257">
        <f>IF(BJ$7="Actual",i_Actuals!BJ31,c_Calculations!BJ429)</f>
        <v/>
      </c>
      <c r="BK31" s="257">
        <f>IF(BK$7="Actual",i_Actuals!BK31,c_Calculations!BK429)</f>
        <v/>
      </c>
      <c r="BL31" s="257">
        <f>IF(BL$7="Actual",i_Actuals!BL31,c_Calculations!BL429)</f>
        <v/>
      </c>
      <c r="BM31" s="257">
        <f>IF(BM$7="Actual",i_Actuals!BM31,c_Calculations!BM429)</f>
        <v/>
      </c>
      <c r="BN31" s="257">
        <f>IF(BN$7="Actual",i_Actuals!BN31,c_Calculations!BN429)</f>
        <v/>
      </c>
      <c r="BO31" s="257">
        <f>IF(BO$7="Actual",i_Actuals!BO31,c_Calculations!BO429)</f>
        <v/>
      </c>
      <c r="BP31" s="257">
        <f>IF(BP$7="Actual",i_Actuals!BP31,c_Calculations!BP429)</f>
        <v/>
      </c>
      <c r="BQ31" s="257">
        <f>IF(BQ$7="Actual",i_Actuals!BQ31,c_Calculations!BQ429)</f>
        <v/>
      </c>
      <c r="BR31" s="257">
        <f>IF(BR$7="Actual",i_Actuals!BR31,c_Calculations!BR429)</f>
        <v/>
      </c>
      <c r="BS31" s="257">
        <f>IF(BS$7="Actual",i_Actuals!BS31,c_Calculations!BS429)</f>
        <v/>
      </c>
      <c r="BT31" s="257">
        <f>IF(BT$7="Actual",i_Actuals!BT31,c_Calculations!BT429)</f>
        <v/>
      </c>
      <c r="BU31" s="257">
        <f>IF(BU$7="Actual",i_Actuals!BU31,c_Calculations!BU429)</f>
        <v/>
      </c>
      <c r="BV31" s="257">
        <f>IF(BV$7="Actual",i_Actuals!BV31,c_Calculations!BV429)</f>
        <v/>
      </c>
      <c r="BW31" s="257">
        <f>IF(BW$7="Actual",i_Actuals!BW31,c_Calculations!BW429)</f>
        <v/>
      </c>
      <c r="BX31" s="257">
        <f>IF(BX$7="Actual",i_Actuals!BX31,c_Calculations!BX429)</f>
        <v/>
      </c>
      <c r="BY31" s="257">
        <f>IF(BY$7="Actual",i_Actuals!BY31,c_Calculations!BY429)</f>
        <v/>
      </c>
      <c r="BZ31" s="257">
        <f>IF(BZ$7="Actual",i_Actuals!BZ31,c_Calculations!BZ429)</f>
        <v/>
      </c>
      <c r="CA31" s="257">
        <f>IF(CA$7="Actual",i_Actuals!CA31,c_Calculations!CA429)</f>
        <v/>
      </c>
    </row>
    <row r="32" ht="12" customHeight="1" s="227">
      <c r="A32" s="244" t="n"/>
      <c r="B32" s="244" t="n"/>
      <c r="C32" s="244" t="n"/>
      <c r="G32" s="222" t="n"/>
      <c r="H32" s="4">
        <f>i_Setup!U51</f>
        <v/>
      </c>
      <c r="I32" s="27">
        <f> i_Setup!$M$16</f>
        <v/>
      </c>
      <c r="K32" s="27" t="n"/>
      <c r="M32" s="245">
        <f>SUMIF($T$4:$CA$4,M$4,$T32:$CA32)</f>
        <v/>
      </c>
      <c r="N32" s="245">
        <f>SUMIF($T$4:$CA$4,N$4,$T32:$CA32)</f>
        <v/>
      </c>
      <c r="O32" s="245">
        <f>SUMIF($T$4:$CA$4,O$4,$T32:$CA32)</f>
        <v/>
      </c>
      <c r="P32" s="245">
        <f>SUMIF($T$4:$CA$4,P$4,$T32:$CA32)</f>
        <v/>
      </c>
      <c r="Q32" s="245">
        <f>SUMIF($T$4:$CA$4,Q$4,$T32:$CA32)</f>
        <v/>
      </c>
      <c r="T32" s="257">
        <f>IF(T$7="Actual",i_Actuals!T32,c_Calculations!T430)</f>
        <v/>
      </c>
      <c r="U32" s="257">
        <f>IF(U$7="Actual",i_Actuals!U32,c_Calculations!U430)</f>
        <v/>
      </c>
      <c r="V32" s="257">
        <f>IF(V$7="Actual",i_Actuals!V32,c_Calculations!V430)</f>
        <v/>
      </c>
      <c r="W32" s="257">
        <f>IF(W$7="Actual",i_Actuals!W32,c_Calculations!W430)</f>
        <v/>
      </c>
      <c r="X32" s="257">
        <f>IF(X$7="Actual",i_Actuals!X32,c_Calculations!X430)</f>
        <v/>
      </c>
      <c r="Y32" s="257">
        <f>IF(Y$7="Actual",i_Actuals!Y32,c_Calculations!Y430)</f>
        <v/>
      </c>
      <c r="Z32" s="257">
        <f>IF(Z$7="Actual",i_Actuals!Z32,c_Calculations!Z430)</f>
        <v/>
      </c>
      <c r="AA32" s="257">
        <f>IF(AA$7="Actual",i_Actuals!AA32,c_Calculations!AA430)</f>
        <v/>
      </c>
      <c r="AB32" s="257">
        <f>IF(AB$7="Actual",i_Actuals!AB32,c_Calculations!AB430)</f>
        <v/>
      </c>
      <c r="AC32" s="257">
        <f>IF(AC$7="Actual",i_Actuals!AC32,c_Calculations!AC430)</f>
        <v/>
      </c>
      <c r="AD32" s="257">
        <f>IF(AD$7="Actual",i_Actuals!AD32,c_Calculations!AD430)</f>
        <v/>
      </c>
      <c r="AE32" s="257">
        <f>IF(AE$7="Actual",i_Actuals!AE32,c_Calculations!AE430)</f>
        <v/>
      </c>
      <c r="AF32" s="257">
        <f>IF(AF$7="Actual",i_Actuals!AF32,c_Calculations!AF430)</f>
        <v/>
      </c>
      <c r="AG32" s="257">
        <f>IF(AG$7="Actual",i_Actuals!AG32,c_Calculations!AG430)</f>
        <v/>
      </c>
      <c r="AH32" s="257">
        <f>IF(AH$7="Actual",i_Actuals!AH32,c_Calculations!AH430)</f>
        <v/>
      </c>
      <c r="AI32" s="257">
        <f>IF(AI$7="Actual",i_Actuals!AI32,c_Calculations!AI430)</f>
        <v/>
      </c>
      <c r="AJ32" s="257">
        <f>IF(AJ$7="Actual",i_Actuals!AJ32,c_Calculations!AJ430)</f>
        <v/>
      </c>
      <c r="AK32" s="257">
        <f>IF(AK$7="Actual",i_Actuals!AK32,c_Calculations!AK430)</f>
        <v/>
      </c>
      <c r="AL32" s="257">
        <f>IF(AL$7="Actual",i_Actuals!AL32,c_Calculations!AL430)</f>
        <v/>
      </c>
      <c r="AM32" s="257">
        <f>IF(AM$7="Actual",i_Actuals!AM32,c_Calculations!AM430)</f>
        <v/>
      </c>
      <c r="AN32" s="257">
        <f>IF(AN$7="Actual",i_Actuals!AN32,c_Calculations!AN430)</f>
        <v/>
      </c>
      <c r="AO32" s="257">
        <f>IF(AO$7="Actual",i_Actuals!AO32,c_Calculations!AO430)</f>
        <v/>
      </c>
      <c r="AP32" s="257">
        <f>IF(AP$7="Actual",i_Actuals!AP32,c_Calculations!AP430)</f>
        <v/>
      </c>
      <c r="AQ32" s="257">
        <f>IF(AQ$7="Actual",i_Actuals!AQ32,c_Calculations!AQ430)</f>
        <v/>
      </c>
      <c r="AR32" s="257">
        <f>IF(AR$7="Actual",i_Actuals!AR32,c_Calculations!AR430)</f>
        <v/>
      </c>
      <c r="AS32" s="257">
        <f>IF(AS$7="Actual",i_Actuals!AS32,c_Calculations!AS430)</f>
        <v/>
      </c>
      <c r="AT32" s="257">
        <f>IF(AT$7="Actual",i_Actuals!AT32,c_Calculations!AT430)</f>
        <v/>
      </c>
      <c r="AU32" s="257">
        <f>IF(AU$7="Actual",i_Actuals!AU32,c_Calculations!AU430)</f>
        <v/>
      </c>
      <c r="AV32" s="257">
        <f>IF(AV$7="Actual",i_Actuals!AV32,c_Calculations!AV430)</f>
        <v/>
      </c>
      <c r="AW32" s="257">
        <f>IF(AW$7="Actual",i_Actuals!AW32,c_Calculations!AW430)</f>
        <v/>
      </c>
      <c r="AX32" s="257">
        <f>IF(AX$7="Actual",i_Actuals!AX32,c_Calculations!AX430)</f>
        <v/>
      </c>
      <c r="AY32" s="257">
        <f>IF(AY$7="Actual",i_Actuals!AY32,c_Calculations!AY430)</f>
        <v/>
      </c>
      <c r="AZ32" s="257">
        <f>IF(AZ$7="Actual",i_Actuals!AZ32,c_Calculations!AZ430)</f>
        <v/>
      </c>
      <c r="BA32" s="257">
        <f>IF(BA$7="Actual",i_Actuals!BA32,c_Calculations!BA430)</f>
        <v/>
      </c>
      <c r="BB32" s="257">
        <f>IF(BB$7="Actual",i_Actuals!BB32,c_Calculations!BB430)</f>
        <v/>
      </c>
      <c r="BC32" s="257">
        <f>IF(BC$7="Actual",i_Actuals!BC32,c_Calculations!BC430)</f>
        <v/>
      </c>
      <c r="BD32" s="257">
        <f>IF(BD$7="Actual",i_Actuals!BD32,c_Calculations!BD430)</f>
        <v/>
      </c>
      <c r="BE32" s="257">
        <f>IF(BE$7="Actual",i_Actuals!BE32,c_Calculations!BE430)</f>
        <v/>
      </c>
      <c r="BF32" s="257">
        <f>IF(BF$7="Actual",i_Actuals!BF32,c_Calculations!BF430)</f>
        <v/>
      </c>
      <c r="BG32" s="257">
        <f>IF(BG$7="Actual",i_Actuals!BG32,c_Calculations!BG430)</f>
        <v/>
      </c>
      <c r="BH32" s="257">
        <f>IF(BH$7="Actual",i_Actuals!BH32,c_Calculations!BH430)</f>
        <v/>
      </c>
      <c r="BI32" s="257">
        <f>IF(BI$7="Actual",i_Actuals!BI32,c_Calculations!BI430)</f>
        <v/>
      </c>
      <c r="BJ32" s="257">
        <f>IF(BJ$7="Actual",i_Actuals!BJ32,c_Calculations!BJ430)</f>
        <v/>
      </c>
      <c r="BK32" s="257">
        <f>IF(BK$7="Actual",i_Actuals!BK32,c_Calculations!BK430)</f>
        <v/>
      </c>
      <c r="BL32" s="257">
        <f>IF(BL$7="Actual",i_Actuals!BL32,c_Calculations!BL430)</f>
        <v/>
      </c>
      <c r="BM32" s="257">
        <f>IF(BM$7="Actual",i_Actuals!BM32,c_Calculations!BM430)</f>
        <v/>
      </c>
      <c r="BN32" s="257">
        <f>IF(BN$7="Actual",i_Actuals!BN32,c_Calculations!BN430)</f>
        <v/>
      </c>
      <c r="BO32" s="257">
        <f>IF(BO$7="Actual",i_Actuals!BO32,c_Calculations!BO430)</f>
        <v/>
      </c>
      <c r="BP32" s="257">
        <f>IF(BP$7="Actual",i_Actuals!BP32,c_Calculations!BP430)</f>
        <v/>
      </c>
      <c r="BQ32" s="257">
        <f>IF(BQ$7="Actual",i_Actuals!BQ32,c_Calculations!BQ430)</f>
        <v/>
      </c>
      <c r="BR32" s="257">
        <f>IF(BR$7="Actual",i_Actuals!BR32,c_Calculations!BR430)</f>
        <v/>
      </c>
      <c r="BS32" s="257">
        <f>IF(BS$7="Actual",i_Actuals!BS32,c_Calculations!BS430)</f>
        <v/>
      </c>
      <c r="BT32" s="257">
        <f>IF(BT$7="Actual",i_Actuals!BT32,c_Calculations!BT430)</f>
        <v/>
      </c>
      <c r="BU32" s="257">
        <f>IF(BU$7="Actual",i_Actuals!BU32,c_Calculations!BU430)</f>
        <v/>
      </c>
      <c r="BV32" s="257">
        <f>IF(BV$7="Actual",i_Actuals!BV32,c_Calculations!BV430)</f>
        <v/>
      </c>
      <c r="BW32" s="257">
        <f>IF(BW$7="Actual",i_Actuals!BW32,c_Calculations!BW430)</f>
        <v/>
      </c>
      <c r="BX32" s="257">
        <f>IF(BX$7="Actual",i_Actuals!BX32,c_Calculations!BX430)</f>
        <v/>
      </c>
      <c r="BY32" s="257">
        <f>IF(BY$7="Actual",i_Actuals!BY32,c_Calculations!BY430)</f>
        <v/>
      </c>
      <c r="BZ32" s="257">
        <f>IF(BZ$7="Actual",i_Actuals!BZ32,c_Calculations!BZ430)</f>
        <v/>
      </c>
      <c r="CA32" s="257">
        <f>IF(CA$7="Actual",i_Actuals!CA32,c_Calculations!CA430)</f>
        <v/>
      </c>
    </row>
    <row r="33" ht="12" customHeight="1" s="227">
      <c r="A33" s="244" t="n"/>
      <c r="B33" s="244" t="n"/>
      <c r="C33" s="244" t="n"/>
      <c r="G33" s="222" t="n"/>
      <c r="H33" s="4">
        <f>i_Setup!U52</f>
        <v/>
      </c>
      <c r="I33" s="27">
        <f> i_Setup!$M$16</f>
        <v/>
      </c>
      <c r="K33" s="27" t="n"/>
      <c r="M33" s="245">
        <f>SUMIF($T$4:$CA$4,M$4,$T33:$CA33)</f>
        <v/>
      </c>
      <c r="N33" s="245">
        <f>SUMIF($T$4:$CA$4,N$4,$T33:$CA33)</f>
        <v/>
      </c>
      <c r="O33" s="245">
        <f>SUMIF($T$4:$CA$4,O$4,$T33:$CA33)</f>
        <v/>
      </c>
      <c r="P33" s="245">
        <f>SUMIF($T$4:$CA$4,P$4,$T33:$CA33)</f>
        <v/>
      </c>
      <c r="Q33" s="245">
        <f>SUMIF($T$4:$CA$4,Q$4,$T33:$CA33)</f>
        <v/>
      </c>
      <c r="T33" s="257">
        <f>IF(T$7="Actual",i_Actuals!T33,c_Calculations!T431)</f>
        <v/>
      </c>
      <c r="U33" s="257">
        <f>IF(U$7="Actual",i_Actuals!U33,c_Calculations!U431)</f>
        <v/>
      </c>
      <c r="V33" s="257">
        <f>IF(V$7="Actual",i_Actuals!V33,c_Calculations!V431)</f>
        <v/>
      </c>
      <c r="W33" s="257">
        <f>IF(W$7="Actual",i_Actuals!W33,c_Calculations!W431)</f>
        <v/>
      </c>
      <c r="X33" s="257">
        <f>IF(X$7="Actual",i_Actuals!X33,c_Calculations!X431)</f>
        <v/>
      </c>
      <c r="Y33" s="257">
        <f>IF(Y$7="Actual",i_Actuals!Y33,c_Calculations!Y431)</f>
        <v/>
      </c>
      <c r="Z33" s="257">
        <f>IF(Z$7="Actual",i_Actuals!Z33,c_Calculations!Z431)</f>
        <v/>
      </c>
      <c r="AA33" s="257">
        <f>IF(AA$7="Actual",i_Actuals!AA33,c_Calculations!AA431)</f>
        <v/>
      </c>
      <c r="AB33" s="257">
        <f>IF(AB$7="Actual",i_Actuals!AB33,c_Calculations!AB431)</f>
        <v/>
      </c>
      <c r="AC33" s="257">
        <f>IF(AC$7="Actual",i_Actuals!AC33,c_Calculations!AC431)</f>
        <v/>
      </c>
      <c r="AD33" s="257">
        <f>IF(AD$7="Actual",i_Actuals!AD33,c_Calculations!AD431)</f>
        <v/>
      </c>
      <c r="AE33" s="257">
        <f>IF(AE$7="Actual",i_Actuals!AE33,c_Calculations!AE431)</f>
        <v/>
      </c>
      <c r="AF33" s="257">
        <f>IF(AF$7="Actual",i_Actuals!AF33,c_Calculations!AF431)</f>
        <v/>
      </c>
      <c r="AG33" s="257">
        <f>IF(AG$7="Actual",i_Actuals!AG33,c_Calculations!AG431)</f>
        <v/>
      </c>
      <c r="AH33" s="257">
        <f>IF(AH$7="Actual",i_Actuals!AH33,c_Calculations!AH431)</f>
        <v/>
      </c>
      <c r="AI33" s="257">
        <f>IF(AI$7="Actual",i_Actuals!AI33,c_Calculations!AI431)</f>
        <v/>
      </c>
      <c r="AJ33" s="257">
        <f>IF(AJ$7="Actual",i_Actuals!AJ33,c_Calculations!AJ431)</f>
        <v/>
      </c>
      <c r="AK33" s="257">
        <f>IF(AK$7="Actual",i_Actuals!AK33,c_Calculations!AK431)</f>
        <v/>
      </c>
      <c r="AL33" s="257">
        <f>IF(AL$7="Actual",i_Actuals!AL33,c_Calculations!AL431)</f>
        <v/>
      </c>
      <c r="AM33" s="257">
        <f>IF(AM$7="Actual",i_Actuals!AM33,c_Calculations!AM431)</f>
        <v/>
      </c>
      <c r="AN33" s="257">
        <f>IF(AN$7="Actual",i_Actuals!AN33,c_Calculations!AN431)</f>
        <v/>
      </c>
      <c r="AO33" s="257">
        <f>IF(AO$7="Actual",i_Actuals!AO33,c_Calculations!AO431)</f>
        <v/>
      </c>
      <c r="AP33" s="257">
        <f>IF(AP$7="Actual",i_Actuals!AP33,c_Calculations!AP431)</f>
        <v/>
      </c>
      <c r="AQ33" s="257">
        <f>IF(AQ$7="Actual",i_Actuals!AQ33,c_Calculations!AQ431)</f>
        <v/>
      </c>
      <c r="AR33" s="257">
        <f>IF(AR$7="Actual",i_Actuals!AR33,c_Calculations!AR431)</f>
        <v/>
      </c>
      <c r="AS33" s="257">
        <f>IF(AS$7="Actual",i_Actuals!AS33,c_Calculations!AS431)</f>
        <v/>
      </c>
      <c r="AT33" s="257">
        <f>IF(AT$7="Actual",i_Actuals!AT33,c_Calculations!AT431)</f>
        <v/>
      </c>
      <c r="AU33" s="257">
        <f>IF(AU$7="Actual",i_Actuals!AU33,c_Calculations!AU431)</f>
        <v/>
      </c>
      <c r="AV33" s="257">
        <f>IF(AV$7="Actual",i_Actuals!AV33,c_Calculations!AV431)</f>
        <v/>
      </c>
      <c r="AW33" s="257">
        <f>IF(AW$7="Actual",i_Actuals!AW33,c_Calculations!AW431)</f>
        <v/>
      </c>
      <c r="AX33" s="257">
        <f>IF(AX$7="Actual",i_Actuals!AX33,c_Calculations!AX431)</f>
        <v/>
      </c>
      <c r="AY33" s="257">
        <f>IF(AY$7="Actual",i_Actuals!AY33,c_Calculations!AY431)</f>
        <v/>
      </c>
      <c r="AZ33" s="257">
        <f>IF(AZ$7="Actual",i_Actuals!AZ33,c_Calculations!AZ431)</f>
        <v/>
      </c>
      <c r="BA33" s="257">
        <f>IF(BA$7="Actual",i_Actuals!BA33,c_Calculations!BA431)</f>
        <v/>
      </c>
      <c r="BB33" s="257">
        <f>IF(BB$7="Actual",i_Actuals!BB33,c_Calculations!BB431)</f>
        <v/>
      </c>
      <c r="BC33" s="257">
        <f>IF(BC$7="Actual",i_Actuals!BC33,c_Calculations!BC431)</f>
        <v/>
      </c>
      <c r="BD33" s="257">
        <f>IF(BD$7="Actual",i_Actuals!BD33,c_Calculations!BD431)</f>
        <v/>
      </c>
      <c r="BE33" s="257">
        <f>IF(BE$7="Actual",i_Actuals!BE33,c_Calculations!BE431)</f>
        <v/>
      </c>
      <c r="BF33" s="257">
        <f>IF(BF$7="Actual",i_Actuals!BF33,c_Calculations!BF431)</f>
        <v/>
      </c>
      <c r="BG33" s="257">
        <f>IF(BG$7="Actual",i_Actuals!BG33,c_Calculations!BG431)</f>
        <v/>
      </c>
      <c r="BH33" s="257">
        <f>IF(BH$7="Actual",i_Actuals!BH33,c_Calculations!BH431)</f>
        <v/>
      </c>
      <c r="BI33" s="257">
        <f>IF(BI$7="Actual",i_Actuals!BI33,c_Calculations!BI431)</f>
        <v/>
      </c>
      <c r="BJ33" s="257">
        <f>IF(BJ$7="Actual",i_Actuals!BJ33,c_Calculations!BJ431)</f>
        <v/>
      </c>
      <c r="BK33" s="257">
        <f>IF(BK$7="Actual",i_Actuals!BK33,c_Calculations!BK431)</f>
        <v/>
      </c>
      <c r="BL33" s="257">
        <f>IF(BL$7="Actual",i_Actuals!BL33,c_Calculations!BL431)</f>
        <v/>
      </c>
      <c r="BM33" s="257">
        <f>IF(BM$7="Actual",i_Actuals!BM33,c_Calculations!BM431)</f>
        <v/>
      </c>
      <c r="BN33" s="257">
        <f>IF(BN$7="Actual",i_Actuals!BN33,c_Calculations!BN431)</f>
        <v/>
      </c>
      <c r="BO33" s="257">
        <f>IF(BO$7="Actual",i_Actuals!BO33,c_Calculations!BO431)</f>
        <v/>
      </c>
      <c r="BP33" s="257">
        <f>IF(BP$7="Actual",i_Actuals!BP33,c_Calculations!BP431)</f>
        <v/>
      </c>
      <c r="BQ33" s="257">
        <f>IF(BQ$7="Actual",i_Actuals!BQ33,c_Calculations!BQ431)</f>
        <v/>
      </c>
      <c r="BR33" s="257">
        <f>IF(BR$7="Actual",i_Actuals!BR33,c_Calculations!BR431)</f>
        <v/>
      </c>
      <c r="BS33" s="257">
        <f>IF(BS$7="Actual",i_Actuals!BS33,c_Calculations!BS431)</f>
        <v/>
      </c>
      <c r="BT33" s="257">
        <f>IF(BT$7="Actual",i_Actuals!BT33,c_Calculations!BT431)</f>
        <v/>
      </c>
      <c r="BU33" s="257">
        <f>IF(BU$7="Actual",i_Actuals!BU33,c_Calculations!BU431)</f>
        <v/>
      </c>
      <c r="BV33" s="257">
        <f>IF(BV$7="Actual",i_Actuals!BV33,c_Calculations!BV431)</f>
        <v/>
      </c>
      <c r="BW33" s="257">
        <f>IF(BW$7="Actual",i_Actuals!BW33,c_Calculations!BW431)</f>
        <v/>
      </c>
      <c r="BX33" s="257">
        <f>IF(BX$7="Actual",i_Actuals!BX33,c_Calculations!BX431)</f>
        <v/>
      </c>
      <c r="BY33" s="257">
        <f>IF(BY$7="Actual",i_Actuals!BY33,c_Calculations!BY431)</f>
        <v/>
      </c>
      <c r="BZ33" s="257">
        <f>IF(BZ$7="Actual",i_Actuals!BZ33,c_Calculations!BZ431)</f>
        <v/>
      </c>
      <c r="CA33" s="257">
        <f>IF(CA$7="Actual",i_Actuals!CA33,c_Calculations!CA431)</f>
        <v/>
      </c>
    </row>
    <row r="34" ht="12" customHeight="1" s="227">
      <c r="A34" s="244" t="n"/>
      <c r="B34" s="244" t="n"/>
      <c r="C34" s="244" t="n"/>
      <c r="G34" s="222" t="n"/>
      <c r="H34" s="4">
        <f>i_Setup!U53</f>
        <v/>
      </c>
      <c r="I34" s="27">
        <f> i_Setup!$M$16</f>
        <v/>
      </c>
      <c r="K34" s="27" t="n"/>
      <c r="M34" s="245">
        <f>SUMIF($T$4:$CA$4,M$4,$T34:$CA34)</f>
        <v/>
      </c>
      <c r="N34" s="245">
        <f>SUMIF($T$4:$CA$4,N$4,$T34:$CA34)</f>
        <v/>
      </c>
      <c r="O34" s="245">
        <f>SUMIF($T$4:$CA$4,O$4,$T34:$CA34)</f>
        <v/>
      </c>
      <c r="P34" s="245">
        <f>SUMIF($T$4:$CA$4,P$4,$T34:$CA34)</f>
        <v/>
      </c>
      <c r="Q34" s="245">
        <f>SUMIF($T$4:$CA$4,Q$4,$T34:$CA34)</f>
        <v/>
      </c>
      <c r="T34" s="257">
        <f>IF(T$7="Actual",i_Actuals!T34,c_Calculations!T432)</f>
        <v/>
      </c>
      <c r="U34" s="257">
        <f>IF(U$7="Actual",i_Actuals!U34,c_Calculations!U432)</f>
        <v/>
      </c>
      <c r="V34" s="257">
        <f>IF(V$7="Actual",i_Actuals!V34,c_Calculations!V432)</f>
        <v/>
      </c>
      <c r="W34" s="257">
        <f>IF(W$7="Actual",i_Actuals!W34,c_Calculations!W432)</f>
        <v/>
      </c>
      <c r="X34" s="257">
        <f>IF(X$7="Actual",i_Actuals!X34,c_Calculations!X432)</f>
        <v/>
      </c>
      <c r="Y34" s="257">
        <f>IF(Y$7="Actual",i_Actuals!Y34,c_Calculations!Y432)</f>
        <v/>
      </c>
      <c r="Z34" s="257">
        <f>IF(Z$7="Actual",i_Actuals!Z34,c_Calculations!Z432)</f>
        <v/>
      </c>
      <c r="AA34" s="257">
        <f>IF(AA$7="Actual",i_Actuals!AA34,c_Calculations!AA432)</f>
        <v/>
      </c>
      <c r="AB34" s="257">
        <f>IF(AB$7="Actual",i_Actuals!AB34,c_Calculations!AB432)</f>
        <v/>
      </c>
      <c r="AC34" s="257">
        <f>IF(AC$7="Actual",i_Actuals!AC34,c_Calculations!AC432)</f>
        <v/>
      </c>
      <c r="AD34" s="257">
        <f>IF(AD$7="Actual",i_Actuals!AD34,c_Calculations!AD432)</f>
        <v/>
      </c>
      <c r="AE34" s="257">
        <f>IF(AE$7="Actual",i_Actuals!AE34,c_Calculations!AE432)</f>
        <v/>
      </c>
      <c r="AF34" s="257">
        <f>IF(AF$7="Actual",i_Actuals!AF34,c_Calculations!AF432)</f>
        <v/>
      </c>
      <c r="AG34" s="257">
        <f>IF(AG$7="Actual",i_Actuals!AG34,c_Calculations!AG432)</f>
        <v/>
      </c>
      <c r="AH34" s="257">
        <f>IF(AH$7="Actual",i_Actuals!AH34,c_Calculations!AH432)</f>
        <v/>
      </c>
      <c r="AI34" s="257">
        <f>IF(AI$7="Actual",i_Actuals!AI34,c_Calculations!AI432)</f>
        <v/>
      </c>
      <c r="AJ34" s="257">
        <f>IF(AJ$7="Actual",i_Actuals!AJ34,c_Calculations!AJ432)</f>
        <v/>
      </c>
      <c r="AK34" s="257">
        <f>IF(AK$7="Actual",i_Actuals!AK34,c_Calculations!AK432)</f>
        <v/>
      </c>
      <c r="AL34" s="257">
        <f>IF(AL$7="Actual",i_Actuals!AL34,c_Calculations!AL432)</f>
        <v/>
      </c>
      <c r="AM34" s="257">
        <f>IF(AM$7="Actual",i_Actuals!AM34,c_Calculations!AM432)</f>
        <v/>
      </c>
      <c r="AN34" s="257">
        <f>IF(AN$7="Actual",i_Actuals!AN34,c_Calculations!AN432)</f>
        <v/>
      </c>
      <c r="AO34" s="257">
        <f>IF(AO$7="Actual",i_Actuals!AO34,c_Calculations!AO432)</f>
        <v/>
      </c>
      <c r="AP34" s="257">
        <f>IF(AP$7="Actual",i_Actuals!AP34,c_Calculations!AP432)</f>
        <v/>
      </c>
      <c r="AQ34" s="257">
        <f>IF(AQ$7="Actual",i_Actuals!AQ34,c_Calculations!AQ432)</f>
        <v/>
      </c>
      <c r="AR34" s="257">
        <f>IF(AR$7="Actual",i_Actuals!AR34,c_Calculations!AR432)</f>
        <v/>
      </c>
      <c r="AS34" s="257">
        <f>IF(AS$7="Actual",i_Actuals!AS34,c_Calculations!AS432)</f>
        <v/>
      </c>
      <c r="AT34" s="257">
        <f>IF(AT$7="Actual",i_Actuals!AT34,c_Calculations!AT432)</f>
        <v/>
      </c>
      <c r="AU34" s="257">
        <f>IF(AU$7="Actual",i_Actuals!AU34,c_Calculations!AU432)</f>
        <v/>
      </c>
      <c r="AV34" s="257">
        <f>IF(AV$7="Actual",i_Actuals!AV34,c_Calculations!AV432)</f>
        <v/>
      </c>
      <c r="AW34" s="257">
        <f>IF(AW$7="Actual",i_Actuals!AW34,c_Calculations!AW432)</f>
        <v/>
      </c>
      <c r="AX34" s="257">
        <f>IF(AX$7="Actual",i_Actuals!AX34,c_Calculations!AX432)</f>
        <v/>
      </c>
      <c r="AY34" s="257">
        <f>IF(AY$7="Actual",i_Actuals!AY34,c_Calculations!AY432)</f>
        <v/>
      </c>
      <c r="AZ34" s="257">
        <f>IF(AZ$7="Actual",i_Actuals!AZ34,c_Calculations!AZ432)</f>
        <v/>
      </c>
      <c r="BA34" s="257">
        <f>IF(BA$7="Actual",i_Actuals!BA34,c_Calculations!BA432)</f>
        <v/>
      </c>
      <c r="BB34" s="257">
        <f>IF(BB$7="Actual",i_Actuals!BB34,c_Calculations!BB432)</f>
        <v/>
      </c>
      <c r="BC34" s="257">
        <f>IF(BC$7="Actual",i_Actuals!BC34,c_Calculations!BC432)</f>
        <v/>
      </c>
      <c r="BD34" s="257">
        <f>IF(BD$7="Actual",i_Actuals!BD34,c_Calculations!BD432)</f>
        <v/>
      </c>
      <c r="BE34" s="257">
        <f>IF(BE$7="Actual",i_Actuals!BE34,c_Calculations!BE432)</f>
        <v/>
      </c>
      <c r="BF34" s="257">
        <f>IF(BF$7="Actual",i_Actuals!BF34,c_Calculations!BF432)</f>
        <v/>
      </c>
      <c r="BG34" s="257">
        <f>IF(BG$7="Actual",i_Actuals!BG34,c_Calculations!BG432)</f>
        <v/>
      </c>
      <c r="BH34" s="257">
        <f>IF(BH$7="Actual",i_Actuals!BH34,c_Calculations!BH432)</f>
        <v/>
      </c>
      <c r="BI34" s="257">
        <f>IF(BI$7="Actual",i_Actuals!BI34,c_Calculations!BI432)</f>
        <v/>
      </c>
      <c r="BJ34" s="257">
        <f>IF(BJ$7="Actual",i_Actuals!BJ34,c_Calculations!BJ432)</f>
        <v/>
      </c>
      <c r="BK34" s="257">
        <f>IF(BK$7="Actual",i_Actuals!BK34,c_Calculations!BK432)</f>
        <v/>
      </c>
      <c r="BL34" s="257">
        <f>IF(BL$7="Actual",i_Actuals!BL34,c_Calculations!BL432)</f>
        <v/>
      </c>
      <c r="BM34" s="257">
        <f>IF(BM$7="Actual",i_Actuals!BM34,c_Calculations!BM432)</f>
        <v/>
      </c>
      <c r="BN34" s="257">
        <f>IF(BN$7="Actual",i_Actuals!BN34,c_Calculations!BN432)</f>
        <v/>
      </c>
      <c r="BO34" s="257">
        <f>IF(BO$7="Actual",i_Actuals!BO34,c_Calculations!BO432)</f>
        <v/>
      </c>
      <c r="BP34" s="257">
        <f>IF(BP$7="Actual",i_Actuals!BP34,c_Calculations!BP432)</f>
        <v/>
      </c>
      <c r="BQ34" s="257">
        <f>IF(BQ$7="Actual",i_Actuals!BQ34,c_Calculations!BQ432)</f>
        <v/>
      </c>
      <c r="BR34" s="257">
        <f>IF(BR$7="Actual",i_Actuals!BR34,c_Calculations!BR432)</f>
        <v/>
      </c>
      <c r="BS34" s="257">
        <f>IF(BS$7="Actual",i_Actuals!BS34,c_Calculations!BS432)</f>
        <v/>
      </c>
      <c r="BT34" s="257">
        <f>IF(BT$7="Actual",i_Actuals!BT34,c_Calculations!BT432)</f>
        <v/>
      </c>
      <c r="BU34" s="257">
        <f>IF(BU$7="Actual",i_Actuals!BU34,c_Calculations!BU432)</f>
        <v/>
      </c>
      <c r="BV34" s="257">
        <f>IF(BV$7="Actual",i_Actuals!BV34,c_Calculations!BV432)</f>
        <v/>
      </c>
      <c r="BW34" s="257">
        <f>IF(BW$7="Actual",i_Actuals!BW34,c_Calculations!BW432)</f>
        <v/>
      </c>
      <c r="BX34" s="257">
        <f>IF(BX$7="Actual",i_Actuals!BX34,c_Calculations!BX432)</f>
        <v/>
      </c>
      <c r="BY34" s="257">
        <f>IF(BY$7="Actual",i_Actuals!BY34,c_Calculations!BY432)</f>
        <v/>
      </c>
      <c r="BZ34" s="257">
        <f>IF(BZ$7="Actual",i_Actuals!BZ34,c_Calculations!BZ432)</f>
        <v/>
      </c>
      <c r="CA34" s="257">
        <f>IF(CA$7="Actual",i_Actuals!CA34,c_Calculations!CA432)</f>
        <v/>
      </c>
    </row>
    <row r="35" ht="12" customFormat="1" customHeight="1" s="8">
      <c r="A35" s="276" t="n"/>
      <c r="B35" s="276" t="n"/>
      <c r="C35" s="276" t="n"/>
      <c r="G35" s="39" t="inlineStr">
        <is>
          <t>Total Direct Staff Costs</t>
        </is>
      </c>
      <c r="H35" s="39" t="n"/>
      <c r="I35" s="41">
        <f> i_Setup!$M$16</f>
        <v/>
      </c>
      <c r="J35" s="39" t="n"/>
      <c r="K35" s="56" t="n"/>
      <c r="M35" s="249">
        <f>SUM(M27:M34)</f>
        <v/>
      </c>
      <c r="N35" s="249">
        <f>SUM(N27:N34)</f>
        <v/>
      </c>
      <c r="O35" s="249">
        <f>SUM(O27:O34)</f>
        <v/>
      </c>
      <c r="P35" s="249">
        <f>SUM(P27:P34)</f>
        <v/>
      </c>
      <c r="Q35" s="249">
        <f>SUM(Q27:Q34)</f>
        <v/>
      </c>
      <c r="T35" s="249">
        <f>SUM(T27:T34)</f>
        <v/>
      </c>
      <c r="U35" s="249">
        <f>SUM(U27:U34)</f>
        <v/>
      </c>
      <c r="V35" s="249">
        <f>SUM(V27:V34)</f>
        <v/>
      </c>
      <c r="W35" s="249">
        <f>SUM(W27:W34)</f>
        <v/>
      </c>
      <c r="X35" s="249">
        <f>SUM(X27:X34)</f>
        <v/>
      </c>
      <c r="Y35" s="249">
        <f>SUM(Y27:Y34)</f>
        <v/>
      </c>
      <c r="Z35" s="249">
        <f>SUM(Z27:Z34)</f>
        <v/>
      </c>
      <c r="AA35" s="249">
        <f>SUM(AA27:AA34)</f>
        <v/>
      </c>
      <c r="AB35" s="249">
        <f>SUM(AB27:AB34)</f>
        <v/>
      </c>
      <c r="AC35" s="249">
        <f>SUM(AC27:AC34)</f>
        <v/>
      </c>
      <c r="AD35" s="249">
        <f>SUM(AD27:AD34)</f>
        <v/>
      </c>
      <c r="AE35" s="249">
        <f>SUM(AE27:AE34)</f>
        <v/>
      </c>
      <c r="AF35" s="249">
        <f>SUM(AF27:AF34)</f>
        <v/>
      </c>
      <c r="AG35" s="249">
        <f>SUM(AG27:AG34)</f>
        <v/>
      </c>
      <c r="AH35" s="249">
        <f>SUM(AH27:AH34)</f>
        <v/>
      </c>
      <c r="AI35" s="249">
        <f>SUM(AI27:AI34)</f>
        <v/>
      </c>
      <c r="AJ35" s="249">
        <f>SUM(AJ27:AJ34)</f>
        <v/>
      </c>
      <c r="AK35" s="249">
        <f>SUM(AK27:AK34)</f>
        <v/>
      </c>
      <c r="AL35" s="249">
        <f>SUM(AL27:AL34)</f>
        <v/>
      </c>
      <c r="AM35" s="249">
        <f>SUM(AM27:AM34)</f>
        <v/>
      </c>
      <c r="AN35" s="249">
        <f>SUM(AN27:AN34)</f>
        <v/>
      </c>
      <c r="AO35" s="249">
        <f>SUM(AO27:AO34)</f>
        <v/>
      </c>
      <c r="AP35" s="249">
        <f>SUM(AP27:AP34)</f>
        <v/>
      </c>
      <c r="AQ35" s="249">
        <f>SUM(AQ27:AQ34)</f>
        <v/>
      </c>
      <c r="AR35" s="249">
        <f>SUM(AR27:AR34)</f>
        <v/>
      </c>
      <c r="AS35" s="249">
        <f>SUM(AS27:AS34)</f>
        <v/>
      </c>
      <c r="AT35" s="249">
        <f>SUM(AT27:AT34)</f>
        <v/>
      </c>
      <c r="AU35" s="249">
        <f>SUM(AU27:AU34)</f>
        <v/>
      </c>
      <c r="AV35" s="249">
        <f>SUM(AV27:AV34)</f>
        <v/>
      </c>
      <c r="AW35" s="249">
        <f>SUM(AW27:AW34)</f>
        <v/>
      </c>
      <c r="AX35" s="249">
        <f>SUM(AX27:AX34)</f>
        <v/>
      </c>
      <c r="AY35" s="249">
        <f>SUM(AY27:AY34)</f>
        <v/>
      </c>
      <c r="AZ35" s="249">
        <f>SUM(AZ27:AZ34)</f>
        <v/>
      </c>
      <c r="BA35" s="249">
        <f>SUM(BA27:BA34)</f>
        <v/>
      </c>
      <c r="BB35" s="249">
        <f>SUM(BB27:BB34)</f>
        <v/>
      </c>
      <c r="BC35" s="249">
        <f>SUM(BC27:BC34)</f>
        <v/>
      </c>
      <c r="BD35" s="249">
        <f>SUM(BD27:BD34)</f>
        <v/>
      </c>
      <c r="BE35" s="249">
        <f>SUM(BE27:BE34)</f>
        <v/>
      </c>
      <c r="BF35" s="249">
        <f>SUM(BF27:BF34)</f>
        <v/>
      </c>
      <c r="BG35" s="249">
        <f>SUM(BG27:BG34)</f>
        <v/>
      </c>
      <c r="BH35" s="249">
        <f>SUM(BH27:BH34)</f>
        <v/>
      </c>
      <c r="BI35" s="249">
        <f>SUM(BI27:BI34)</f>
        <v/>
      </c>
      <c r="BJ35" s="249">
        <f>SUM(BJ27:BJ34)</f>
        <v/>
      </c>
      <c r="BK35" s="249">
        <f>SUM(BK27:BK34)</f>
        <v/>
      </c>
      <c r="BL35" s="249">
        <f>SUM(BL27:BL34)</f>
        <v/>
      </c>
      <c r="BM35" s="249">
        <f>SUM(BM27:BM34)</f>
        <v/>
      </c>
      <c r="BN35" s="249">
        <f>SUM(BN27:BN34)</f>
        <v/>
      </c>
      <c r="BO35" s="249">
        <f>SUM(BO27:BO34)</f>
        <v/>
      </c>
      <c r="BP35" s="249">
        <f>SUM(BP27:BP34)</f>
        <v/>
      </c>
      <c r="BQ35" s="249">
        <f>SUM(BQ27:BQ34)</f>
        <v/>
      </c>
      <c r="BR35" s="249">
        <f>SUM(BR27:BR34)</f>
        <v/>
      </c>
      <c r="BS35" s="249">
        <f>SUM(BS27:BS34)</f>
        <v/>
      </c>
      <c r="BT35" s="249">
        <f>SUM(BT27:BT34)</f>
        <v/>
      </c>
      <c r="BU35" s="249">
        <f>SUM(BU27:BU34)</f>
        <v/>
      </c>
      <c r="BV35" s="249">
        <f>SUM(BV27:BV34)</f>
        <v/>
      </c>
      <c r="BW35" s="249">
        <f>SUM(BW27:BW34)</f>
        <v/>
      </c>
      <c r="BX35" s="249">
        <f>SUM(BX27:BX34)</f>
        <v/>
      </c>
      <c r="BY35" s="249">
        <f>SUM(BY27:BY34)</f>
        <v/>
      </c>
      <c r="BZ35" s="249">
        <f>SUM(BZ27:BZ34)</f>
        <v/>
      </c>
      <c r="CA35" s="249">
        <f>SUM(CA27:CA34)</f>
        <v/>
      </c>
    </row>
    <row r="36" ht="12" customHeight="1" s="227">
      <c r="A36" s="244" t="n"/>
      <c r="B36" s="244" t="n"/>
      <c r="C36" s="244" t="n"/>
      <c r="G36" s="222" t="n"/>
      <c r="M36" s="245" t="n"/>
      <c r="N36" s="245" t="n"/>
      <c r="O36" s="245" t="n"/>
      <c r="P36" s="245" t="n"/>
      <c r="Q36" s="245" t="n"/>
    </row>
    <row r="37" ht="12.75" customHeight="1" s="227">
      <c r="A37" s="244" t="n"/>
      <c r="B37" s="244" t="n"/>
      <c r="C37" s="244" t="n"/>
      <c r="G37" s="222" t="inlineStr">
        <is>
          <t>Direct Expenses</t>
        </is>
      </c>
      <c r="M37" s="245" t="n"/>
      <c r="N37" s="245" t="n"/>
      <c r="O37" s="245" t="n"/>
      <c r="P37" s="245" t="n"/>
      <c r="Q37" s="245" t="n"/>
    </row>
    <row r="38" ht="12" customHeight="1" s="227">
      <c r="A38" s="244" t="n"/>
      <c r="B38" s="244" t="n"/>
      <c r="C38" s="244" t="n"/>
      <c r="G38" s="222" t="n"/>
      <c r="H38" s="4">
        <f>i_Setup!U75</f>
        <v/>
      </c>
      <c r="I38" s="27">
        <f> i_Setup!$M$16</f>
        <v/>
      </c>
      <c r="K38" s="27" t="n"/>
      <c r="M38" s="245">
        <f>SUMIF($T$4:$CA$4,M$4,$T38:$CA38)</f>
        <v/>
      </c>
      <c r="N38" s="245">
        <f>SUMIF($T$4:$CA$4,N$4,$T38:$CA38)</f>
        <v/>
      </c>
      <c r="O38" s="245">
        <f>SUMIF($T$4:$CA$4,O$4,$T38:$CA38)</f>
        <v/>
      </c>
      <c r="P38" s="245">
        <f>SUMIF($T$4:$CA$4,P$4,$T38:$CA38)</f>
        <v/>
      </c>
      <c r="Q38" s="245">
        <f>SUMIF($T$4:$CA$4,Q$4,$T38:$CA38)</f>
        <v/>
      </c>
      <c r="T38" s="257">
        <f>IF(T$7="Actual",i_Actuals!T38,c_Calculations!T214)</f>
        <v/>
      </c>
      <c r="U38" s="257">
        <f>IF(U$7="Actual",i_Actuals!U38,c_Calculations!U214)</f>
        <v/>
      </c>
      <c r="V38" s="257">
        <f>IF(V$7="Actual",i_Actuals!V38,c_Calculations!V214)</f>
        <v/>
      </c>
      <c r="W38" s="257">
        <f>IF(W$7="Actual",i_Actuals!W38,c_Calculations!W214)</f>
        <v/>
      </c>
      <c r="X38" s="257">
        <f>IF(X$7="Actual",i_Actuals!X38,c_Calculations!X214)</f>
        <v/>
      </c>
      <c r="Y38" s="257">
        <f>IF(Y$7="Actual",i_Actuals!Y38,c_Calculations!Y214)</f>
        <v/>
      </c>
      <c r="Z38" s="257">
        <f>IF(Z$7="Actual",i_Actuals!Z38,c_Calculations!Z214)</f>
        <v/>
      </c>
      <c r="AA38" s="257">
        <f>IF(AA$7="Actual",i_Actuals!AA38,c_Calculations!AA214)</f>
        <v/>
      </c>
      <c r="AB38" s="257">
        <f>IF(AB$7="Actual",i_Actuals!AB38,c_Calculations!AB214)</f>
        <v/>
      </c>
      <c r="AC38" s="257">
        <f>IF(AC$7="Actual",i_Actuals!AC38,c_Calculations!AC214)</f>
        <v/>
      </c>
      <c r="AD38" s="257">
        <f>IF(AD$7="Actual",i_Actuals!AD38,c_Calculations!AD214)</f>
        <v/>
      </c>
      <c r="AE38" s="257">
        <f>IF(AE$7="Actual",i_Actuals!AE38,c_Calculations!AE214)</f>
        <v/>
      </c>
      <c r="AF38" s="257">
        <f>IF(AF$7="Actual",i_Actuals!AF38,c_Calculations!AF214)</f>
        <v/>
      </c>
      <c r="AG38" s="257">
        <f>IF(AG$7="Actual",i_Actuals!AG38,c_Calculations!AG214)</f>
        <v/>
      </c>
      <c r="AH38" s="257">
        <f>IF(AH$7="Actual",i_Actuals!AH38,c_Calculations!AH214)</f>
        <v/>
      </c>
      <c r="AI38" s="257">
        <f>IF(AI$7="Actual",i_Actuals!AI38,c_Calculations!AI214)</f>
        <v/>
      </c>
      <c r="AJ38" s="257">
        <f>IF(AJ$7="Actual",i_Actuals!AJ38,c_Calculations!AJ214)</f>
        <v/>
      </c>
      <c r="AK38" s="257">
        <f>IF(AK$7="Actual",i_Actuals!AK38,c_Calculations!AK214)</f>
        <v/>
      </c>
      <c r="AL38" s="257">
        <f>IF(AL$7="Actual",i_Actuals!AL38,c_Calculations!AL214)</f>
        <v/>
      </c>
      <c r="AM38" s="257">
        <f>IF(AM$7="Actual",i_Actuals!AM38,c_Calculations!AM214)</f>
        <v/>
      </c>
      <c r="AN38" s="257">
        <f>IF(AN$7="Actual",i_Actuals!AN38,c_Calculations!AN214)</f>
        <v/>
      </c>
      <c r="AO38" s="257">
        <f>IF(AO$7="Actual",i_Actuals!AO38,c_Calculations!AO214)</f>
        <v/>
      </c>
      <c r="AP38" s="257">
        <f>IF(AP$7="Actual",i_Actuals!AP38,c_Calculations!AP214)</f>
        <v/>
      </c>
      <c r="AQ38" s="257">
        <f>IF(AQ$7="Actual",i_Actuals!AQ38,c_Calculations!AQ214)</f>
        <v/>
      </c>
      <c r="AR38" s="257">
        <f>IF(AR$7="Actual",i_Actuals!AR38,c_Calculations!AR214)</f>
        <v/>
      </c>
      <c r="AS38" s="257">
        <f>IF(AS$7="Actual",i_Actuals!AS38,c_Calculations!AS214)</f>
        <v/>
      </c>
      <c r="AT38" s="257">
        <f>IF(AT$7="Actual",i_Actuals!AT38,c_Calculations!AT214)</f>
        <v/>
      </c>
      <c r="AU38" s="257">
        <f>IF(AU$7="Actual",i_Actuals!AU38,c_Calculations!AU214)</f>
        <v/>
      </c>
      <c r="AV38" s="257">
        <f>IF(AV$7="Actual",i_Actuals!AV38,c_Calculations!AV214)</f>
        <v/>
      </c>
      <c r="AW38" s="257">
        <f>IF(AW$7="Actual",i_Actuals!AW38,c_Calculations!AW214)</f>
        <v/>
      </c>
      <c r="AX38" s="257">
        <f>IF(AX$7="Actual",i_Actuals!AX38,c_Calculations!AX214)</f>
        <v/>
      </c>
      <c r="AY38" s="257">
        <f>IF(AY$7="Actual",i_Actuals!AY38,c_Calculations!AY214)</f>
        <v/>
      </c>
      <c r="AZ38" s="257">
        <f>IF(AZ$7="Actual",i_Actuals!AZ38,c_Calculations!AZ214)</f>
        <v/>
      </c>
      <c r="BA38" s="257">
        <f>IF(BA$7="Actual",i_Actuals!BA38,c_Calculations!BA214)</f>
        <v/>
      </c>
      <c r="BB38" s="257">
        <f>IF(BB$7="Actual",i_Actuals!BB38,c_Calculations!BB214)</f>
        <v/>
      </c>
      <c r="BC38" s="257">
        <f>IF(BC$7="Actual",i_Actuals!BC38,c_Calculations!BC214)</f>
        <v/>
      </c>
      <c r="BD38" s="257">
        <f>IF(BD$7="Actual",i_Actuals!BD38,c_Calculations!BD214)</f>
        <v/>
      </c>
      <c r="BE38" s="257">
        <f>IF(BE$7="Actual",i_Actuals!BE38,c_Calculations!BE214)</f>
        <v/>
      </c>
      <c r="BF38" s="257">
        <f>IF(BF$7="Actual",i_Actuals!BF38,c_Calculations!BF214)</f>
        <v/>
      </c>
      <c r="BG38" s="257">
        <f>IF(BG$7="Actual",i_Actuals!BG38,c_Calculations!BG214)</f>
        <v/>
      </c>
      <c r="BH38" s="257">
        <f>IF(BH$7="Actual",i_Actuals!BH38,c_Calculations!BH214)</f>
        <v/>
      </c>
      <c r="BI38" s="257">
        <f>IF(BI$7="Actual",i_Actuals!BI38,c_Calculations!BI214)</f>
        <v/>
      </c>
      <c r="BJ38" s="257">
        <f>IF(BJ$7="Actual",i_Actuals!BJ38,c_Calculations!BJ214)</f>
        <v/>
      </c>
      <c r="BK38" s="257">
        <f>IF(BK$7="Actual",i_Actuals!BK38,c_Calculations!BK214)</f>
        <v/>
      </c>
      <c r="BL38" s="257">
        <f>IF(BL$7="Actual",i_Actuals!BL38,c_Calculations!BL214)</f>
        <v/>
      </c>
      <c r="BM38" s="257">
        <f>IF(BM$7="Actual",i_Actuals!BM38,c_Calculations!BM214)</f>
        <v/>
      </c>
      <c r="BN38" s="257">
        <f>IF(BN$7="Actual",i_Actuals!BN38,c_Calculations!BN214)</f>
        <v/>
      </c>
      <c r="BO38" s="257">
        <f>IF(BO$7="Actual",i_Actuals!BO38,c_Calculations!BO214)</f>
        <v/>
      </c>
      <c r="BP38" s="257">
        <f>IF(BP$7="Actual",i_Actuals!BP38,c_Calculations!BP214)</f>
        <v/>
      </c>
      <c r="BQ38" s="257">
        <f>IF(BQ$7="Actual",i_Actuals!BQ38,c_Calculations!BQ214)</f>
        <v/>
      </c>
      <c r="BR38" s="257">
        <f>IF(BR$7="Actual",i_Actuals!BR38,c_Calculations!BR214)</f>
        <v/>
      </c>
      <c r="BS38" s="257">
        <f>IF(BS$7="Actual",i_Actuals!BS38,c_Calculations!BS214)</f>
        <v/>
      </c>
      <c r="BT38" s="257">
        <f>IF(BT$7="Actual",i_Actuals!BT38,c_Calculations!BT214)</f>
        <v/>
      </c>
      <c r="BU38" s="257">
        <f>IF(BU$7="Actual",i_Actuals!BU38,c_Calculations!BU214)</f>
        <v/>
      </c>
      <c r="BV38" s="257">
        <f>IF(BV$7="Actual",i_Actuals!BV38,c_Calculations!BV214)</f>
        <v/>
      </c>
      <c r="BW38" s="257">
        <f>IF(BW$7="Actual",i_Actuals!BW38,c_Calculations!BW214)</f>
        <v/>
      </c>
      <c r="BX38" s="257">
        <f>IF(BX$7="Actual",i_Actuals!BX38,c_Calculations!BX214)</f>
        <v/>
      </c>
      <c r="BY38" s="257">
        <f>IF(BY$7="Actual",i_Actuals!BY38,c_Calculations!BY214)</f>
        <v/>
      </c>
      <c r="BZ38" s="257">
        <f>IF(BZ$7="Actual",i_Actuals!BZ38,c_Calculations!BZ214)</f>
        <v/>
      </c>
      <c r="CA38" s="257">
        <f>IF(CA$7="Actual",i_Actuals!CA38,c_Calculations!CA214)</f>
        <v/>
      </c>
    </row>
    <row r="39" ht="12" customHeight="1" s="227">
      <c r="A39" s="244" t="n"/>
      <c r="B39" s="244" t="n"/>
      <c r="C39" s="244" t="n"/>
      <c r="G39" s="222" t="n"/>
      <c r="H39" s="4">
        <f>i_Setup!U76</f>
        <v/>
      </c>
      <c r="I39" s="27">
        <f> i_Setup!$M$16</f>
        <v/>
      </c>
      <c r="K39" s="27" t="n"/>
      <c r="M39" s="245">
        <f>SUMIF($T$4:$CA$4,M$4,$T39:$CA39)</f>
        <v/>
      </c>
      <c r="N39" s="245">
        <f>SUMIF($T$4:$CA$4,N$4,$T39:$CA39)</f>
        <v/>
      </c>
      <c r="O39" s="245">
        <f>SUMIF($T$4:$CA$4,O$4,$T39:$CA39)</f>
        <v/>
      </c>
      <c r="P39" s="245">
        <f>SUMIF($T$4:$CA$4,P$4,$T39:$CA39)</f>
        <v/>
      </c>
      <c r="Q39" s="245">
        <f>SUMIF($T$4:$CA$4,Q$4,$T39:$CA39)</f>
        <v/>
      </c>
      <c r="T39" s="257">
        <f>IF(T$7="Actual",i_Actuals!T39,c_Calculations!T215)</f>
        <v/>
      </c>
      <c r="U39" s="257">
        <f>IF(U$7="Actual",i_Actuals!U39,c_Calculations!U215)</f>
        <v/>
      </c>
      <c r="V39" s="257">
        <f>IF(V$7="Actual",i_Actuals!V39,c_Calculations!V215)</f>
        <v/>
      </c>
      <c r="W39" s="257">
        <f>IF(W$7="Actual",i_Actuals!W39,c_Calculations!W215)</f>
        <v/>
      </c>
      <c r="X39" s="257">
        <f>IF(X$7="Actual",i_Actuals!X39,c_Calculations!X215)</f>
        <v/>
      </c>
      <c r="Y39" s="257">
        <f>IF(Y$7="Actual",i_Actuals!Y39,c_Calculations!Y215)</f>
        <v/>
      </c>
      <c r="Z39" s="257">
        <f>IF(Z$7="Actual",i_Actuals!Z39,c_Calculations!Z215)</f>
        <v/>
      </c>
      <c r="AA39" s="257">
        <f>IF(AA$7="Actual",i_Actuals!AA39,c_Calculations!AA215)</f>
        <v/>
      </c>
      <c r="AB39" s="257">
        <f>IF(AB$7="Actual",i_Actuals!AB39,c_Calculations!AB215)</f>
        <v/>
      </c>
      <c r="AC39" s="257">
        <f>IF(AC$7="Actual",i_Actuals!AC39,c_Calculations!AC215)</f>
        <v/>
      </c>
      <c r="AD39" s="257">
        <f>IF(AD$7="Actual",i_Actuals!AD39,c_Calculations!AD215)</f>
        <v/>
      </c>
      <c r="AE39" s="257">
        <f>IF(AE$7="Actual",i_Actuals!AE39,c_Calculations!AE215)</f>
        <v/>
      </c>
      <c r="AF39" s="257">
        <f>IF(AF$7="Actual",i_Actuals!AF39,c_Calculations!AF215)</f>
        <v/>
      </c>
      <c r="AG39" s="257">
        <f>IF(AG$7="Actual",i_Actuals!AG39,c_Calculations!AG215)</f>
        <v/>
      </c>
      <c r="AH39" s="257">
        <f>IF(AH$7="Actual",i_Actuals!AH39,c_Calculations!AH215)</f>
        <v/>
      </c>
      <c r="AI39" s="257">
        <f>IF(AI$7="Actual",i_Actuals!AI39,c_Calculations!AI215)</f>
        <v/>
      </c>
      <c r="AJ39" s="257">
        <f>IF(AJ$7="Actual",i_Actuals!AJ39,c_Calculations!AJ215)</f>
        <v/>
      </c>
      <c r="AK39" s="257">
        <f>IF(AK$7="Actual",i_Actuals!AK39,c_Calculations!AK215)</f>
        <v/>
      </c>
      <c r="AL39" s="257">
        <f>IF(AL$7="Actual",i_Actuals!AL39,c_Calculations!AL215)</f>
        <v/>
      </c>
      <c r="AM39" s="257">
        <f>IF(AM$7="Actual",i_Actuals!AM39,c_Calculations!AM215)</f>
        <v/>
      </c>
      <c r="AN39" s="257">
        <f>IF(AN$7="Actual",i_Actuals!AN39,c_Calculations!AN215)</f>
        <v/>
      </c>
      <c r="AO39" s="257">
        <f>IF(AO$7="Actual",i_Actuals!AO39,c_Calculations!AO215)</f>
        <v/>
      </c>
      <c r="AP39" s="257">
        <f>IF(AP$7="Actual",i_Actuals!AP39,c_Calculations!AP215)</f>
        <v/>
      </c>
      <c r="AQ39" s="257">
        <f>IF(AQ$7="Actual",i_Actuals!AQ39,c_Calculations!AQ215)</f>
        <v/>
      </c>
      <c r="AR39" s="257">
        <f>IF(AR$7="Actual",i_Actuals!AR39,c_Calculations!AR215)</f>
        <v/>
      </c>
      <c r="AS39" s="257">
        <f>IF(AS$7="Actual",i_Actuals!AS39,c_Calculations!AS215)</f>
        <v/>
      </c>
      <c r="AT39" s="257">
        <f>IF(AT$7="Actual",i_Actuals!AT39,c_Calculations!AT215)</f>
        <v/>
      </c>
      <c r="AU39" s="257">
        <f>IF(AU$7="Actual",i_Actuals!AU39,c_Calculations!AU215)</f>
        <v/>
      </c>
      <c r="AV39" s="257">
        <f>IF(AV$7="Actual",i_Actuals!AV39,c_Calculations!AV215)</f>
        <v/>
      </c>
      <c r="AW39" s="257">
        <f>IF(AW$7="Actual",i_Actuals!AW39,c_Calculations!AW215)</f>
        <v/>
      </c>
      <c r="AX39" s="257">
        <f>IF(AX$7="Actual",i_Actuals!AX39,c_Calculations!AX215)</f>
        <v/>
      </c>
      <c r="AY39" s="257">
        <f>IF(AY$7="Actual",i_Actuals!AY39,c_Calculations!AY215)</f>
        <v/>
      </c>
      <c r="AZ39" s="257">
        <f>IF(AZ$7="Actual",i_Actuals!AZ39,c_Calculations!AZ215)</f>
        <v/>
      </c>
      <c r="BA39" s="257">
        <f>IF(BA$7="Actual",i_Actuals!BA39,c_Calculations!BA215)</f>
        <v/>
      </c>
      <c r="BB39" s="257">
        <f>IF(BB$7="Actual",i_Actuals!BB39,c_Calculations!BB215)</f>
        <v/>
      </c>
      <c r="BC39" s="257">
        <f>IF(BC$7="Actual",i_Actuals!BC39,c_Calculations!BC215)</f>
        <v/>
      </c>
      <c r="BD39" s="257">
        <f>IF(BD$7="Actual",i_Actuals!BD39,c_Calculations!BD215)</f>
        <v/>
      </c>
      <c r="BE39" s="257">
        <f>IF(BE$7="Actual",i_Actuals!BE39,c_Calculations!BE215)</f>
        <v/>
      </c>
      <c r="BF39" s="257">
        <f>IF(BF$7="Actual",i_Actuals!BF39,c_Calculations!BF215)</f>
        <v/>
      </c>
      <c r="BG39" s="257">
        <f>IF(BG$7="Actual",i_Actuals!BG39,c_Calculations!BG215)</f>
        <v/>
      </c>
      <c r="BH39" s="257">
        <f>IF(BH$7="Actual",i_Actuals!BH39,c_Calculations!BH215)</f>
        <v/>
      </c>
      <c r="BI39" s="257">
        <f>IF(BI$7="Actual",i_Actuals!BI39,c_Calculations!BI215)</f>
        <v/>
      </c>
      <c r="BJ39" s="257">
        <f>IF(BJ$7="Actual",i_Actuals!BJ39,c_Calculations!BJ215)</f>
        <v/>
      </c>
      <c r="BK39" s="257">
        <f>IF(BK$7="Actual",i_Actuals!BK39,c_Calculations!BK215)</f>
        <v/>
      </c>
      <c r="BL39" s="257">
        <f>IF(BL$7="Actual",i_Actuals!BL39,c_Calculations!BL215)</f>
        <v/>
      </c>
      <c r="BM39" s="257">
        <f>IF(BM$7="Actual",i_Actuals!BM39,c_Calculations!BM215)</f>
        <v/>
      </c>
      <c r="BN39" s="257">
        <f>IF(BN$7="Actual",i_Actuals!BN39,c_Calculations!BN215)</f>
        <v/>
      </c>
      <c r="BO39" s="257">
        <f>IF(BO$7="Actual",i_Actuals!BO39,c_Calculations!BO215)</f>
        <v/>
      </c>
      <c r="BP39" s="257">
        <f>IF(BP$7="Actual",i_Actuals!BP39,c_Calculations!BP215)</f>
        <v/>
      </c>
      <c r="BQ39" s="257">
        <f>IF(BQ$7="Actual",i_Actuals!BQ39,c_Calculations!BQ215)</f>
        <v/>
      </c>
      <c r="BR39" s="257">
        <f>IF(BR$7="Actual",i_Actuals!BR39,c_Calculations!BR215)</f>
        <v/>
      </c>
      <c r="BS39" s="257">
        <f>IF(BS$7="Actual",i_Actuals!BS39,c_Calculations!BS215)</f>
        <v/>
      </c>
      <c r="BT39" s="257">
        <f>IF(BT$7="Actual",i_Actuals!BT39,c_Calculations!BT215)</f>
        <v/>
      </c>
      <c r="BU39" s="257">
        <f>IF(BU$7="Actual",i_Actuals!BU39,c_Calculations!BU215)</f>
        <v/>
      </c>
      <c r="BV39" s="257">
        <f>IF(BV$7="Actual",i_Actuals!BV39,c_Calculations!BV215)</f>
        <v/>
      </c>
      <c r="BW39" s="257">
        <f>IF(BW$7="Actual",i_Actuals!BW39,c_Calculations!BW215)</f>
        <v/>
      </c>
      <c r="BX39" s="257">
        <f>IF(BX$7="Actual",i_Actuals!BX39,c_Calculations!BX215)</f>
        <v/>
      </c>
      <c r="BY39" s="257">
        <f>IF(BY$7="Actual",i_Actuals!BY39,c_Calculations!BY215)</f>
        <v/>
      </c>
      <c r="BZ39" s="257">
        <f>IF(BZ$7="Actual",i_Actuals!BZ39,c_Calculations!BZ215)</f>
        <v/>
      </c>
      <c r="CA39" s="257">
        <f>IF(CA$7="Actual",i_Actuals!CA39,c_Calculations!CA215)</f>
        <v/>
      </c>
    </row>
    <row r="40" ht="12" customHeight="1" s="227">
      <c r="A40" s="244" t="n"/>
      <c r="B40" s="244" t="n"/>
      <c r="C40" s="244" t="n"/>
      <c r="G40" s="222" t="n"/>
      <c r="H40" s="4">
        <f>i_Setup!U77</f>
        <v/>
      </c>
      <c r="I40" s="27">
        <f> i_Setup!$M$16</f>
        <v/>
      </c>
      <c r="K40" s="27" t="n"/>
      <c r="M40" s="245">
        <f>SUMIF($T$4:$CA$4,M$4,$T40:$CA40)</f>
        <v/>
      </c>
      <c r="N40" s="245">
        <f>SUMIF($T$4:$CA$4,N$4,$T40:$CA40)</f>
        <v/>
      </c>
      <c r="O40" s="245">
        <f>SUMIF($T$4:$CA$4,O$4,$T40:$CA40)</f>
        <v/>
      </c>
      <c r="P40" s="245">
        <f>SUMIF($T$4:$CA$4,P$4,$T40:$CA40)</f>
        <v/>
      </c>
      <c r="Q40" s="245">
        <f>SUMIF($T$4:$CA$4,Q$4,$T40:$CA40)</f>
        <v/>
      </c>
      <c r="T40" s="257">
        <f>IF(T$7="Actual",i_Actuals!T40,c_Calculations!T216)</f>
        <v/>
      </c>
      <c r="U40" s="257">
        <f>IF(U$7="Actual",i_Actuals!U40,c_Calculations!U216)</f>
        <v/>
      </c>
      <c r="V40" s="257">
        <f>IF(V$7="Actual",i_Actuals!V40,c_Calculations!V216)</f>
        <v/>
      </c>
      <c r="W40" s="257">
        <f>IF(W$7="Actual",i_Actuals!W40,c_Calculations!W216)</f>
        <v/>
      </c>
      <c r="X40" s="257">
        <f>IF(X$7="Actual",i_Actuals!X40,c_Calculations!X216)</f>
        <v/>
      </c>
      <c r="Y40" s="257">
        <f>IF(Y$7="Actual",i_Actuals!Y40,c_Calculations!Y216)</f>
        <v/>
      </c>
      <c r="Z40" s="257">
        <f>IF(Z$7="Actual",i_Actuals!Z40,c_Calculations!Z216)</f>
        <v/>
      </c>
      <c r="AA40" s="257">
        <f>IF(AA$7="Actual",i_Actuals!AA40,c_Calculations!AA216)</f>
        <v/>
      </c>
      <c r="AB40" s="257">
        <f>IF(AB$7="Actual",i_Actuals!AB40,c_Calculations!AB216)</f>
        <v/>
      </c>
      <c r="AC40" s="257">
        <f>IF(AC$7="Actual",i_Actuals!AC40,c_Calculations!AC216)</f>
        <v/>
      </c>
      <c r="AD40" s="257">
        <f>IF(AD$7="Actual",i_Actuals!AD40,c_Calculations!AD216)</f>
        <v/>
      </c>
      <c r="AE40" s="257">
        <f>IF(AE$7="Actual",i_Actuals!AE40,c_Calculations!AE216)</f>
        <v/>
      </c>
      <c r="AF40" s="257">
        <f>IF(AF$7="Actual",i_Actuals!AF40,c_Calculations!AF216)</f>
        <v/>
      </c>
      <c r="AG40" s="257">
        <f>IF(AG$7="Actual",i_Actuals!AG40,c_Calculations!AG216)</f>
        <v/>
      </c>
      <c r="AH40" s="257">
        <f>IF(AH$7="Actual",i_Actuals!AH40,c_Calculations!AH216)</f>
        <v/>
      </c>
      <c r="AI40" s="257">
        <f>IF(AI$7="Actual",i_Actuals!AI40,c_Calculations!AI216)</f>
        <v/>
      </c>
      <c r="AJ40" s="257">
        <f>IF(AJ$7="Actual",i_Actuals!AJ40,c_Calculations!AJ216)</f>
        <v/>
      </c>
      <c r="AK40" s="257">
        <f>IF(AK$7="Actual",i_Actuals!AK40,c_Calculations!AK216)</f>
        <v/>
      </c>
      <c r="AL40" s="257">
        <f>IF(AL$7="Actual",i_Actuals!AL40,c_Calculations!AL216)</f>
        <v/>
      </c>
      <c r="AM40" s="257">
        <f>IF(AM$7="Actual",i_Actuals!AM40,c_Calculations!AM216)</f>
        <v/>
      </c>
      <c r="AN40" s="257">
        <f>IF(AN$7="Actual",i_Actuals!AN40,c_Calculations!AN216)</f>
        <v/>
      </c>
      <c r="AO40" s="257">
        <f>IF(AO$7="Actual",i_Actuals!AO40,c_Calculations!AO216)</f>
        <v/>
      </c>
      <c r="AP40" s="257">
        <f>IF(AP$7="Actual",i_Actuals!AP40,c_Calculations!AP216)</f>
        <v/>
      </c>
      <c r="AQ40" s="257">
        <f>IF(AQ$7="Actual",i_Actuals!AQ40,c_Calculations!AQ216)</f>
        <v/>
      </c>
      <c r="AR40" s="257">
        <f>IF(AR$7="Actual",i_Actuals!AR40,c_Calculations!AR216)</f>
        <v/>
      </c>
      <c r="AS40" s="257">
        <f>IF(AS$7="Actual",i_Actuals!AS40,c_Calculations!AS216)</f>
        <v/>
      </c>
      <c r="AT40" s="257">
        <f>IF(AT$7="Actual",i_Actuals!AT40,c_Calculations!AT216)</f>
        <v/>
      </c>
      <c r="AU40" s="257">
        <f>IF(AU$7="Actual",i_Actuals!AU40,c_Calculations!AU216)</f>
        <v/>
      </c>
      <c r="AV40" s="257">
        <f>IF(AV$7="Actual",i_Actuals!AV40,c_Calculations!AV216)</f>
        <v/>
      </c>
      <c r="AW40" s="257">
        <f>IF(AW$7="Actual",i_Actuals!AW40,c_Calculations!AW216)</f>
        <v/>
      </c>
      <c r="AX40" s="257">
        <f>IF(AX$7="Actual",i_Actuals!AX40,c_Calculations!AX216)</f>
        <v/>
      </c>
      <c r="AY40" s="257">
        <f>IF(AY$7="Actual",i_Actuals!AY40,c_Calculations!AY216)</f>
        <v/>
      </c>
      <c r="AZ40" s="257">
        <f>IF(AZ$7="Actual",i_Actuals!AZ40,c_Calculations!AZ216)</f>
        <v/>
      </c>
      <c r="BA40" s="257">
        <f>IF(BA$7="Actual",i_Actuals!BA40,c_Calculations!BA216)</f>
        <v/>
      </c>
      <c r="BB40" s="257">
        <f>IF(BB$7="Actual",i_Actuals!BB40,c_Calculations!BB216)</f>
        <v/>
      </c>
      <c r="BC40" s="257">
        <f>IF(BC$7="Actual",i_Actuals!BC40,c_Calculations!BC216)</f>
        <v/>
      </c>
      <c r="BD40" s="257">
        <f>IF(BD$7="Actual",i_Actuals!BD40,c_Calculations!BD216)</f>
        <v/>
      </c>
      <c r="BE40" s="257">
        <f>IF(BE$7="Actual",i_Actuals!BE40,c_Calculations!BE216)</f>
        <v/>
      </c>
      <c r="BF40" s="257">
        <f>IF(BF$7="Actual",i_Actuals!BF40,c_Calculations!BF216)</f>
        <v/>
      </c>
      <c r="BG40" s="257">
        <f>IF(BG$7="Actual",i_Actuals!BG40,c_Calculations!BG216)</f>
        <v/>
      </c>
      <c r="BH40" s="257">
        <f>IF(BH$7="Actual",i_Actuals!BH40,c_Calculations!BH216)</f>
        <v/>
      </c>
      <c r="BI40" s="257">
        <f>IF(BI$7="Actual",i_Actuals!BI40,c_Calculations!BI216)</f>
        <v/>
      </c>
      <c r="BJ40" s="257">
        <f>IF(BJ$7="Actual",i_Actuals!BJ40,c_Calculations!BJ216)</f>
        <v/>
      </c>
      <c r="BK40" s="257">
        <f>IF(BK$7="Actual",i_Actuals!BK40,c_Calculations!BK216)</f>
        <v/>
      </c>
      <c r="BL40" s="257">
        <f>IF(BL$7="Actual",i_Actuals!BL40,c_Calculations!BL216)</f>
        <v/>
      </c>
      <c r="BM40" s="257">
        <f>IF(BM$7="Actual",i_Actuals!BM40,c_Calculations!BM216)</f>
        <v/>
      </c>
      <c r="BN40" s="257">
        <f>IF(BN$7="Actual",i_Actuals!BN40,c_Calculations!BN216)</f>
        <v/>
      </c>
      <c r="BO40" s="257">
        <f>IF(BO$7="Actual",i_Actuals!BO40,c_Calculations!BO216)</f>
        <v/>
      </c>
      <c r="BP40" s="257">
        <f>IF(BP$7="Actual",i_Actuals!BP40,c_Calculations!BP216)</f>
        <v/>
      </c>
      <c r="BQ40" s="257">
        <f>IF(BQ$7="Actual",i_Actuals!BQ40,c_Calculations!BQ216)</f>
        <v/>
      </c>
      <c r="BR40" s="257">
        <f>IF(BR$7="Actual",i_Actuals!BR40,c_Calculations!BR216)</f>
        <v/>
      </c>
      <c r="BS40" s="257">
        <f>IF(BS$7="Actual",i_Actuals!BS40,c_Calculations!BS216)</f>
        <v/>
      </c>
      <c r="BT40" s="257">
        <f>IF(BT$7="Actual",i_Actuals!BT40,c_Calculations!BT216)</f>
        <v/>
      </c>
      <c r="BU40" s="257">
        <f>IF(BU$7="Actual",i_Actuals!BU40,c_Calculations!BU216)</f>
        <v/>
      </c>
      <c r="BV40" s="257">
        <f>IF(BV$7="Actual",i_Actuals!BV40,c_Calculations!BV216)</f>
        <v/>
      </c>
      <c r="BW40" s="257">
        <f>IF(BW$7="Actual",i_Actuals!BW40,c_Calculations!BW216)</f>
        <v/>
      </c>
      <c r="BX40" s="257">
        <f>IF(BX$7="Actual",i_Actuals!BX40,c_Calculations!BX216)</f>
        <v/>
      </c>
      <c r="BY40" s="257">
        <f>IF(BY$7="Actual",i_Actuals!BY40,c_Calculations!BY216)</f>
        <v/>
      </c>
      <c r="BZ40" s="257">
        <f>IF(BZ$7="Actual",i_Actuals!BZ40,c_Calculations!BZ216)</f>
        <v/>
      </c>
      <c r="CA40" s="257">
        <f>IF(CA$7="Actual",i_Actuals!CA40,c_Calculations!CA216)</f>
        <v/>
      </c>
    </row>
    <row r="41" ht="12" customHeight="1" s="227">
      <c r="A41" s="244" t="n"/>
      <c r="B41" s="244" t="n"/>
      <c r="C41" s="244" t="n"/>
      <c r="G41" s="222" t="n"/>
      <c r="H41" s="4">
        <f>i_Setup!U78</f>
        <v/>
      </c>
      <c r="I41" s="27">
        <f> i_Setup!$M$16</f>
        <v/>
      </c>
      <c r="K41" s="27" t="n"/>
      <c r="M41" s="245">
        <f>SUMIF($T$4:$CA$4,M$4,$T41:$CA41)</f>
        <v/>
      </c>
      <c r="N41" s="245">
        <f>SUMIF($T$4:$CA$4,N$4,$T41:$CA41)</f>
        <v/>
      </c>
      <c r="O41" s="245">
        <f>SUMIF($T$4:$CA$4,O$4,$T41:$CA41)</f>
        <v/>
      </c>
      <c r="P41" s="245">
        <f>SUMIF($T$4:$CA$4,P$4,$T41:$CA41)</f>
        <v/>
      </c>
      <c r="Q41" s="245">
        <f>SUMIF($T$4:$CA$4,Q$4,$T41:$CA41)</f>
        <v/>
      </c>
      <c r="T41" s="257">
        <f>IF(T$7="Actual",i_Actuals!T41,c_Calculations!T217)</f>
        <v/>
      </c>
      <c r="U41" s="257">
        <f>IF(U$7="Actual",i_Actuals!U41,c_Calculations!U217)</f>
        <v/>
      </c>
      <c r="V41" s="257">
        <f>IF(V$7="Actual",i_Actuals!V41,c_Calculations!V217)</f>
        <v/>
      </c>
      <c r="W41" s="257">
        <f>IF(W$7="Actual",i_Actuals!W41,c_Calculations!W217)</f>
        <v/>
      </c>
      <c r="X41" s="257">
        <f>IF(X$7="Actual",i_Actuals!X41,c_Calculations!X217)</f>
        <v/>
      </c>
      <c r="Y41" s="257">
        <f>IF(Y$7="Actual",i_Actuals!Y41,c_Calculations!Y217)</f>
        <v/>
      </c>
      <c r="Z41" s="257">
        <f>IF(Z$7="Actual",i_Actuals!Z41,c_Calculations!Z217)</f>
        <v/>
      </c>
      <c r="AA41" s="257">
        <f>IF(AA$7="Actual",i_Actuals!AA41,c_Calculations!AA217)</f>
        <v/>
      </c>
      <c r="AB41" s="257">
        <f>IF(AB$7="Actual",i_Actuals!AB41,c_Calculations!AB217)</f>
        <v/>
      </c>
      <c r="AC41" s="257">
        <f>IF(AC$7="Actual",i_Actuals!AC41,c_Calculations!AC217)</f>
        <v/>
      </c>
      <c r="AD41" s="257">
        <f>IF(AD$7="Actual",i_Actuals!AD41,c_Calculations!AD217)</f>
        <v/>
      </c>
      <c r="AE41" s="257">
        <f>IF(AE$7="Actual",i_Actuals!AE41,c_Calculations!AE217)</f>
        <v/>
      </c>
      <c r="AF41" s="257">
        <f>IF(AF$7="Actual",i_Actuals!AF41,c_Calculations!AF217)</f>
        <v/>
      </c>
      <c r="AG41" s="257">
        <f>IF(AG$7="Actual",i_Actuals!AG41,c_Calculations!AG217)</f>
        <v/>
      </c>
      <c r="AH41" s="257">
        <f>IF(AH$7="Actual",i_Actuals!AH41,c_Calculations!AH217)</f>
        <v/>
      </c>
      <c r="AI41" s="257">
        <f>IF(AI$7="Actual",i_Actuals!AI41,c_Calculations!AI217)</f>
        <v/>
      </c>
      <c r="AJ41" s="257">
        <f>IF(AJ$7="Actual",i_Actuals!AJ41,c_Calculations!AJ217)</f>
        <v/>
      </c>
      <c r="AK41" s="257">
        <f>IF(AK$7="Actual",i_Actuals!AK41,c_Calculations!AK217)</f>
        <v/>
      </c>
      <c r="AL41" s="257">
        <f>IF(AL$7="Actual",i_Actuals!AL41,c_Calculations!AL217)</f>
        <v/>
      </c>
      <c r="AM41" s="257">
        <f>IF(AM$7="Actual",i_Actuals!AM41,c_Calculations!AM217)</f>
        <v/>
      </c>
      <c r="AN41" s="257">
        <f>IF(AN$7="Actual",i_Actuals!AN41,c_Calculations!AN217)</f>
        <v/>
      </c>
      <c r="AO41" s="257">
        <f>IF(AO$7="Actual",i_Actuals!AO41,c_Calculations!AO217)</f>
        <v/>
      </c>
      <c r="AP41" s="257">
        <f>IF(AP$7="Actual",i_Actuals!AP41,c_Calculations!AP217)</f>
        <v/>
      </c>
      <c r="AQ41" s="257">
        <f>IF(AQ$7="Actual",i_Actuals!AQ41,c_Calculations!AQ217)</f>
        <v/>
      </c>
      <c r="AR41" s="257">
        <f>IF(AR$7="Actual",i_Actuals!AR41,c_Calculations!AR217)</f>
        <v/>
      </c>
      <c r="AS41" s="257">
        <f>IF(AS$7="Actual",i_Actuals!AS41,c_Calculations!AS217)</f>
        <v/>
      </c>
      <c r="AT41" s="257">
        <f>IF(AT$7="Actual",i_Actuals!AT41,c_Calculations!AT217)</f>
        <v/>
      </c>
      <c r="AU41" s="257">
        <f>IF(AU$7="Actual",i_Actuals!AU41,c_Calculations!AU217)</f>
        <v/>
      </c>
      <c r="AV41" s="257">
        <f>IF(AV$7="Actual",i_Actuals!AV41,c_Calculations!AV217)</f>
        <v/>
      </c>
      <c r="AW41" s="257">
        <f>IF(AW$7="Actual",i_Actuals!AW41,c_Calculations!AW217)</f>
        <v/>
      </c>
      <c r="AX41" s="257">
        <f>IF(AX$7="Actual",i_Actuals!AX41,c_Calculations!AX217)</f>
        <v/>
      </c>
      <c r="AY41" s="257">
        <f>IF(AY$7="Actual",i_Actuals!AY41,c_Calculations!AY217)</f>
        <v/>
      </c>
      <c r="AZ41" s="257">
        <f>IF(AZ$7="Actual",i_Actuals!AZ41,c_Calculations!AZ217)</f>
        <v/>
      </c>
      <c r="BA41" s="257">
        <f>IF(BA$7="Actual",i_Actuals!BA41,c_Calculations!BA217)</f>
        <v/>
      </c>
      <c r="BB41" s="257">
        <f>IF(BB$7="Actual",i_Actuals!BB41,c_Calculations!BB217)</f>
        <v/>
      </c>
      <c r="BC41" s="257">
        <f>IF(BC$7="Actual",i_Actuals!BC41,c_Calculations!BC217)</f>
        <v/>
      </c>
      <c r="BD41" s="257">
        <f>IF(BD$7="Actual",i_Actuals!BD41,c_Calculations!BD217)</f>
        <v/>
      </c>
      <c r="BE41" s="257">
        <f>IF(BE$7="Actual",i_Actuals!BE41,c_Calculations!BE217)</f>
        <v/>
      </c>
      <c r="BF41" s="257">
        <f>IF(BF$7="Actual",i_Actuals!BF41,c_Calculations!BF217)</f>
        <v/>
      </c>
      <c r="BG41" s="257">
        <f>IF(BG$7="Actual",i_Actuals!BG41,c_Calculations!BG217)</f>
        <v/>
      </c>
      <c r="BH41" s="257">
        <f>IF(BH$7="Actual",i_Actuals!BH41,c_Calculations!BH217)</f>
        <v/>
      </c>
      <c r="BI41" s="257">
        <f>IF(BI$7="Actual",i_Actuals!BI41,c_Calculations!BI217)</f>
        <v/>
      </c>
      <c r="BJ41" s="257">
        <f>IF(BJ$7="Actual",i_Actuals!BJ41,c_Calculations!BJ217)</f>
        <v/>
      </c>
      <c r="BK41" s="257">
        <f>IF(BK$7="Actual",i_Actuals!BK41,c_Calculations!BK217)</f>
        <v/>
      </c>
      <c r="BL41" s="257">
        <f>IF(BL$7="Actual",i_Actuals!BL41,c_Calculations!BL217)</f>
        <v/>
      </c>
      <c r="BM41" s="257">
        <f>IF(BM$7="Actual",i_Actuals!BM41,c_Calculations!BM217)</f>
        <v/>
      </c>
      <c r="BN41" s="257">
        <f>IF(BN$7="Actual",i_Actuals!BN41,c_Calculations!BN217)</f>
        <v/>
      </c>
      <c r="BO41" s="257">
        <f>IF(BO$7="Actual",i_Actuals!BO41,c_Calculations!BO217)</f>
        <v/>
      </c>
      <c r="BP41" s="257">
        <f>IF(BP$7="Actual",i_Actuals!BP41,c_Calculations!BP217)</f>
        <v/>
      </c>
      <c r="BQ41" s="257">
        <f>IF(BQ$7="Actual",i_Actuals!BQ41,c_Calculations!BQ217)</f>
        <v/>
      </c>
      <c r="BR41" s="257">
        <f>IF(BR$7="Actual",i_Actuals!BR41,c_Calculations!BR217)</f>
        <v/>
      </c>
      <c r="BS41" s="257">
        <f>IF(BS$7="Actual",i_Actuals!BS41,c_Calculations!BS217)</f>
        <v/>
      </c>
      <c r="BT41" s="257">
        <f>IF(BT$7="Actual",i_Actuals!BT41,c_Calculations!BT217)</f>
        <v/>
      </c>
      <c r="BU41" s="257">
        <f>IF(BU$7="Actual",i_Actuals!BU41,c_Calculations!BU217)</f>
        <v/>
      </c>
      <c r="BV41" s="257">
        <f>IF(BV$7="Actual",i_Actuals!BV41,c_Calculations!BV217)</f>
        <v/>
      </c>
      <c r="BW41" s="257">
        <f>IF(BW$7="Actual",i_Actuals!BW41,c_Calculations!BW217)</f>
        <v/>
      </c>
      <c r="BX41" s="257">
        <f>IF(BX$7="Actual",i_Actuals!BX41,c_Calculations!BX217)</f>
        <v/>
      </c>
      <c r="BY41" s="257">
        <f>IF(BY$7="Actual",i_Actuals!BY41,c_Calculations!BY217)</f>
        <v/>
      </c>
      <c r="BZ41" s="257">
        <f>IF(BZ$7="Actual",i_Actuals!BZ41,c_Calculations!BZ217)</f>
        <v/>
      </c>
      <c r="CA41" s="257">
        <f>IF(CA$7="Actual",i_Actuals!CA41,c_Calculations!CA217)</f>
        <v/>
      </c>
    </row>
    <row r="42" ht="12" customHeight="1" s="227">
      <c r="A42" s="244" t="n"/>
      <c r="B42" s="244" t="n"/>
      <c r="C42" s="244" t="n"/>
      <c r="G42" s="222" t="n"/>
      <c r="H42" s="4">
        <f>i_Setup!U79</f>
        <v/>
      </c>
      <c r="I42" s="27">
        <f> i_Setup!$M$16</f>
        <v/>
      </c>
      <c r="K42" s="27" t="n"/>
      <c r="M42" s="245">
        <f>SUMIF($T$4:$CA$4,M$4,$T42:$CA42)</f>
        <v/>
      </c>
      <c r="N42" s="245">
        <f>SUMIF($T$4:$CA$4,N$4,$T42:$CA42)</f>
        <v/>
      </c>
      <c r="O42" s="245">
        <f>SUMIF($T$4:$CA$4,O$4,$T42:$CA42)</f>
        <v/>
      </c>
      <c r="P42" s="245">
        <f>SUMIF($T$4:$CA$4,P$4,$T42:$CA42)</f>
        <v/>
      </c>
      <c r="Q42" s="245">
        <f>SUMIF($T$4:$CA$4,Q$4,$T42:$CA42)</f>
        <v/>
      </c>
      <c r="T42" s="257">
        <f>IF(T$7="Actual",i_Actuals!T42,c_Calculations!T218)</f>
        <v/>
      </c>
      <c r="U42" s="257">
        <f>IF(U$7="Actual",i_Actuals!U42,c_Calculations!U218)</f>
        <v/>
      </c>
      <c r="V42" s="257">
        <f>IF(V$7="Actual",i_Actuals!V42,c_Calculations!V218)</f>
        <v/>
      </c>
      <c r="W42" s="257">
        <f>IF(W$7="Actual",i_Actuals!W42,c_Calculations!W218)</f>
        <v/>
      </c>
      <c r="X42" s="257">
        <f>IF(X$7="Actual",i_Actuals!X42,c_Calculations!X218)</f>
        <v/>
      </c>
      <c r="Y42" s="257">
        <f>IF(Y$7="Actual",i_Actuals!Y42,c_Calculations!Y218)</f>
        <v/>
      </c>
      <c r="Z42" s="257">
        <f>IF(Z$7="Actual",i_Actuals!Z42,c_Calculations!Z218)</f>
        <v/>
      </c>
      <c r="AA42" s="257">
        <f>IF(AA$7="Actual",i_Actuals!AA42,c_Calculations!AA218)</f>
        <v/>
      </c>
      <c r="AB42" s="257">
        <f>IF(AB$7="Actual",i_Actuals!AB42,c_Calculations!AB218)</f>
        <v/>
      </c>
      <c r="AC42" s="257">
        <f>IF(AC$7="Actual",i_Actuals!AC42,c_Calculations!AC218)</f>
        <v/>
      </c>
      <c r="AD42" s="257">
        <f>IF(AD$7="Actual",i_Actuals!AD42,c_Calculations!AD218)</f>
        <v/>
      </c>
      <c r="AE42" s="257">
        <f>IF(AE$7="Actual",i_Actuals!AE42,c_Calculations!AE218)</f>
        <v/>
      </c>
      <c r="AF42" s="257">
        <f>IF(AF$7="Actual",i_Actuals!AF42,c_Calculations!AF218)</f>
        <v/>
      </c>
      <c r="AG42" s="257">
        <f>IF(AG$7="Actual",i_Actuals!AG42,c_Calculations!AG218)</f>
        <v/>
      </c>
      <c r="AH42" s="257">
        <f>IF(AH$7="Actual",i_Actuals!AH42,c_Calculations!AH218)</f>
        <v/>
      </c>
      <c r="AI42" s="257">
        <f>IF(AI$7="Actual",i_Actuals!AI42,c_Calculations!AI218)</f>
        <v/>
      </c>
      <c r="AJ42" s="257">
        <f>IF(AJ$7="Actual",i_Actuals!AJ42,c_Calculations!AJ218)</f>
        <v/>
      </c>
      <c r="AK42" s="257">
        <f>IF(AK$7="Actual",i_Actuals!AK42,c_Calculations!AK218)</f>
        <v/>
      </c>
      <c r="AL42" s="257">
        <f>IF(AL$7="Actual",i_Actuals!AL42,c_Calculations!AL218)</f>
        <v/>
      </c>
      <c r="AM42" s="257">
        <f>IF(AM$7="Actual",i_Actuals!AM42,c_Calculations!AM218)</f>
        <v/>
      </c>
      <c r="AN42" s="257">
        <f>IF(AN$7="Actual",i_Actuals!AN42,c_Calculations!AN218)</f>
        <v/>
      </c>
      <c r="AO42" s="257">
        <f>IF(AO$7="Actual",i_Actuals!AO42,c_Calculations!AO218)</f>
        <v/>
      </c>
      <c r="AP42" s="257">
        <f>IF(AP$7="Actual",i_Actuals!AP42,c_Calculations!AP218)</f>
        <v/>
      </c>
      <c r="AQ42" s="257">
        <f>IF(AQ$7="Actual",i_Actuals!AQ42,c_Calculations!AQ218)</f>
        <v/>
      </c>
      <c r="AR42" s="257">
        <f>IF(AR$7="Actual",i_Actuals!AR42,c_Calculations!AR218)</f>
        <v/>
      </c>
      <c r="AS42" s="257">
        <f>IF(AS$7="Actual",i_Actuals!AS42,c_Calculations!AS218)</f>
        <v/>
      </c>
      <c r="AT42" s="257">
        <f>IF(AT$7="Actual",i_Actuals!AT42,c_Calculations!AT218)</f>
        <v/>
      </c>
      <c r="AU42" s="257">
        <f>IF(AU$7="Actual",i_Actuals!AU42,c_Calculations!AU218)</f>
        <v/>
      </c>
      <c r="AV42" s="257">
        <f>IF(AV$7="Actual",i_Actuals!AV42,c_Calculations!AV218)</f>
        <v/>
      </c>
      <c r="AW42" s="257">
        <f>IF(AW$7="Actual",i_Actuals!AW42,c_Calculations!AW218)</f>
        <v/>
      </c>
      <c r="AX42" s="257">
        <f>IF(AX$7="Actual",i_Actuals!AX42,c_Calculations!AX218)</f>
        <v/>
      </c>
      <c r="AY42" s="257">
        <f>IF(AY$7="Actual",i_Actuals!AY42,c_Calculations!AY218)</f>
        <v/>
      </c>
      <c r="AZ42" s="257">
        <f>IF(AZ$7="Actual",i_Actuals!AZ42,c_Calculations!AZ218)</f>
        <v/>
      </c>
      <c r="BA42" s="257">
        <f>IF(BA$7="Actual",i_Actuals!BA42,c_Calculations!BA218)</f>
        <v/>
      </c>
      <c r="BB42" s="257">
        <f>IF(BB$7="Actual",i_Actuals!BB42,c_Calculations!BB218)</f>
        <v/>
      </c>
      <c r="BC42" s="257">
        <f>IF(BC$7="Actual",i_Actuals!BC42,c_Calculations!BC218)</f>
        <v/>
      </c>
      <c r="BD42" s="257">
        <f>IF(BD$7="Actual",i_Actuals!BD42,c_Calculations!BD218)</f>
        <v/>
      </c>
      <c r="BE42" s="257">
        <f>IF(BE$7="Actual",i_Actuals!BE42,c_Calculations!BE218)</f>
        <v/>
      </c>
      <c r="BF42" s="257">
        <f>IF(BF$7="Actual",i_Actuals!BF42,c_Calculations!BF218)</f>
        <v/>
      </c>
      <c r="BG42" s="257">
        <f>IF(BG$7="Actual",i_Actuals!BG42,c_Calculations!BG218)</f>
        <v/>
      </c>
      <c r="BH42" s="257">
        <f>IF(BH$7="Actual",i_Actuals!BH42,c_Calculations!BH218)</f>
        <v/>
      </c>
      <c r="BI42" s="257">
        <f>IF(BI$7="Actual",i_Actuals!BI42,c_Calculations!BI218)</f>
        <v/>
      </c>
      <c r="BJ42" s="257">
        <f>IF(BJ$7="Actual",i_Actuals!BJ42,c_Calculations!BJ218)</f>
        <v/>
      </c>
      <c r="BK42" s="257">
        <f>IF(BK$7="Actual",i_Actuals!BK42,c_Calculations!BK218)</f>
        <v/>
      </c>
      <c r="BL42" s="257">
        <f>IF(BL$7="Actual",i_Actuals!BL42,c_Calculations!BL218)</f>
        <v/>
      </c>
      <c r="BM42" s="257">
        <f>IF(BM$7="Actual",i_Actuals!BM42,c_Calculations!BM218)</f>
        <v/>
      </c>
      <c r="BN42" s="257">
        <f>IF(BN$7="Actual",i_Actuals!BN42,c_Calculations!BN218)</f>
        <v/>
      </c>
      <c r="BO42" s="257">
        <f>IF(BO$7="Actual",i_Actuals!BO42,c_Calculations!BO218)</f>
        <v/>
      </c>
      <c r="BP42" s="257">
        <f>IF(BP$7="Actual",i_Actuals!BP42,c_Calculations!BP218)</f>
        <v/>
      </c>
      <c r="BQ42" s="257">
        <f>IF(BQ$7="Actual",i_Actuals!BQ42,c_Calculations!BQ218)</f>
        <v/>
      </c>
      <c r="BR42" s="257">
        <f>IF(BR$7="Actual",i_Actuals!BR42,c_Calculations!BR218)</f>
        <v/>
      </c>
      <c r="BS42" s="257">
        <f>IF(BS$7="Actual",i_Actuals!BS42,c_Calculations!BS218)</f>
        <v/>
      </c>
      <c r="BT42" s="257">
        <f>IF(BT$7="Actual",i_Actuals!BT42,c_Calculations!BT218)</f>
        <v/>
      </c>
      <c r="BU42" s="257">
        <f>IF(BU$7="Actual",i_Actuals!BU42,c_Calculations!BU218)</f>
        <v/>
      </c>
      <c r="BV42" s="257">
        <f>IF(BV$7="Actual",i_Actuals!BV42,c_Calculations!BV218)</f>
        <v/>
      </c>
      <c r="BW42" s="257">
        <f>IF(BW$7="Actual",i_Actuals!BW42,c_Calculations!BW218)</f>
        <v/>
      </c>
      <c r="BX42" s="257">
        <f>IF(BX$7="Actual",i_Actuals!BX42,c_Calculations!BX218)</f>
        <v/>
      </c>
      <c r="BY42" s="257">
        <f>IF(BY$7="Actual",i_Actuals!BY42,c_Calculations!BY218)</f>
        <v/>
      </c>
      <c r="BZ42" s="257">
        <f>IF(BZ$7="Actual",i_Actuals!BZ42,c_Calculations!BZ218)</f>
        <v/>
      </c>
      <c r="CA42" s="257">
        <f>IF(CA$7="Actual",i_Actuals!CA42,c_Calculations!CA218)</f>
        <v/>
      </c>
    </row>
    <row r="43" ht="12" customHeight="1" s="227">
      <c r="A43" s="244" t="n"/>
      <c r="B43" s="244" t="n"/>
      <c r="C43" s="244" t="n"/>
      <c r="G43" s="222" t="n"/>
      <c r="H43" s="4">
        <f>i_Setup!U80</f>
        <v/>
      </c>
      <c r="I43" s="27">
        <f> i_Setup!$M$16</f>
        <v/>
      </c>
      <c r="K43" s="27" t="n"/>
      <c r="M43" s="245">
        <f>SUMIF($T$4:$CA$4,M$4,$T43:$CA43)</f>
        <v/>
      </c>
      <c r="N43" s="245">
        <f>SUMIF($T$4:$CA$4,N$4,$T43:$CA43)</f>
        <v/>
      </c>
      <c r="O43" s="245">
        <f>SUMIF($T$4:$CA$4,O$4,$T43:$CA43)</f>
        <v/>
      </c>
      <c r="P43" s="245">
        <f>SUMIF($T$4:$CA$4,P$4,$T43:$CA43)</f>
        <v/>
      </c>
      <c r="Q43" s="245">
        <f>SUMIF($T$4:$CA$4,Q$4,$T43:$CA43)</f>
        <v/>
      </c>
      <c r="T43" s="257">
        <f>IF(T$7="Actual",i_Actuals!T43,c_Calculations!T219)</f>
        <v/>
      </c>
      <c r="U43" s="257">
        <f>IF(U$7="Actual",i_Actuals!U43,c_Calculations!U219)</f>
        <v/>
      </c>
      <c r="V43" s="257">
        <f>IF(V$7="Actual",i_Actuals!V43,c_Calculations!V219)</f>
        <v/>
      </c>
      <c r="W43" s="257">
        <f>IF(W$7="Actual",i_Actuals!W43,c_Calculations!W219)</f>
        <v/>
      </c>
      <c r="X43" s="257">
        <f>IF(X$7="Actual",i_Actuals!X43,c_Calculations!X219)</f>
        <v/>
      </c>
      <c r="Y43" s="257">
        <f>IF(Y$7="Actual",i_Actuals!Y43,c_Calculations!Y219)</f>
        <v/>
      </c>
      <c r="Z43" s="257">
        <f>IF(Z$7="Actual",i_Actuals!Z43,c_Calculations!Z219)</f>
        <v/>
      </c>
      <c r="AA43" s="257">
        <f>IF(AA$7="Actual",i_Actuals!AA43,c_Calculations!AA219)</f>
        <v/>
      </c>
      <c r="AB43" s="257">
        <f>IF(AB$7="Actual",i_Actuals!AB43,c_Calculations!AB219)</f>
        <v/>
      </c>
      <c r="AC43" s="257">
        <f>IF(AC$7="Actual",i_Actuals!AC43,c_Calculations!AC219)</f>
        <v/>
      </c>
      <c r="AD43" s="257">
        <f>IF(AD$7="Actual",i_Actuals!AD43,c_Calculations!AD219)</f>
        <v/>
      </c>
      <c r="AE43" s="257">
        <f>IF(AE$7="Actual",i_Actuals!AE43,c_Calculations!AE219)</f>
        <v/>
      </c>
      <c r="AF43" s="257">
        <f>IF(AF$7="Actual",i_Actuals!AF43,c_Calculations!AF219)</f>
        <v/>
      </c>
      <c r="AG43" s="257">
        <f>IF(AG$7="Actual",i_Actuals!AG43,c_Calculations!AG219)</f>
        <v/>
      </c>
      <c r="AH43" s="257">
        <f>IF(AH$7="Actual",i_Actuals!AH43,c_Calculations!AH219)</f>
        <v/>
      </c>
      <c r="AI43" s="257">
        <f>IF(AI$7="Actual",i_Actuals!AI43,c_Calculations!AI219)</f>
        <v/>
      </c>
      <c r="AJ43" s="257">
        <f>IF(AJ$7="Actual",i_Actuals!AJ43,c_Calculations!AJ219)</f>
        <v/>
      </c>
      <c r="AK43" s="257">
        <f>IF(AK$7="Actual",i_Actuals!AK43,c_Calculations!AK219)</f>
        <v/>
      </c>
      <c r="AL43" s="257">
        <f>IF(AL$7="Actual",i_Actuals!AL43,c_Calculations!AL219)</f>
        <v/>
      </c>
      <c r="AM43" s="257">
        <f>IF(AM$7="Actual",i_Actuals!AM43,c_Calculations!AM219)</f>
        <v/>
      </c>
      <c r="AN43" s="257">
        <f>IF(AN$7="Actual",i_Actuals!AN43,c_Calculations!AN219)</f>
        <v/>
      </c>
      <c r="AO43" s="257">
        <f>IF(AO$7="Actual",i_Actuals!AO43,c_Calculations!AO219)</f>
        <v/>
      </c>
      <c r="AP43" s="257">
        <f>IF(AP$7="Actual",i_Actuals!AP43,c_Calculations!AP219)</f>
        <v/>
      </c>
      <c r="AQ43" s="257">
        <f>IF(AQ$7="Actual",i_Actuals!AQ43,c_Calculations!AQ219)</f>
        <v/>
      </c>
      <c r="AR43" s="257">
        <f>IF(AR$7="Actual",i_Actuals!AR43,c_Calculations!AR219)</f>
        <v/>
      </c>
      <c r="AS43" s="257">
        <f>IF(AS$7="Actual",i_Actuals!AS43,c_Calculations!AS219)</f>
        <v/>
      </c>
      <c r="AT43" s="257">
        <f>IF(AT$7="Actual",i_Actuals!AT43,c_Calculations!AT219)</f>
        <v/>
      </c>
      <c r="AU43" s="257">
        <f>IF(AU$7="Actual",i_Actuals!AU43,c_Calculations!AU219)</f>
        <v/>
      </c>
      <c r="AV43" s="257">
        <f>IF(AV$7="Actual",i_Actuals!AV43,c_Calculations!AV219)</f>
        <v/>
      </c>
      <c r="AW43" s="257">
        <f>IF(AW$7="Actual",i_Actuals!AW43,c_Calculations!AW219)</f>
        <v/>
      </c>
      <c r="AX43" s="257">
        <f>IF(AX$7="Actual",i_Actuals!AX43,c_Calculations!AX219)</f>
        <v/>
      </c>
      <c r="AY43" s="257">
        <f>IF(AY$7="Actual",i_Actuals!AY43,c_Calculations!AY219)</f>
        <v/>
      </c>
      <c r="AZ43" s="257">
        <f>IF(AZ$7="Actual",i_Actuals!AZ43,c_Calculations!AZ219)</f>
        <v/>
      </c>
      <c r="BA43" s="257">
        <f>IF(BA$7="Actual",i_Actuals!BA43,c_Calculations!BA219)</f>
        <v/>
      </c>
      <c r="BB43" s="257">
        <f>IF(BB$7="Actual",i_Actuals!BB43,c_Calculations!BB219)</f>
        <v/>
      </c>
      <c r="BC43" s="257">
        <f>IF(BC$7="Actual",i_Actuals!BC43,c_Calculations!BC219)</f>
        <v/>
      </c>
      <c r="BD43" s="257">
        <f>IF(BD$7="Actual",i_Actuals!BD43,c_Calculations!BD219)</f>
        <v/>
      </c>
      <c r="BE43" s="257">
        <f>IF(BE$7="Actual",i_Actuals!BE43,c_Calculations!BE219)</f>
        <v/>
      </c>
      <c r="BF43" s="257">
        <f>IF(BF$7="Actual",i_Actuals!BF43,c_Calculations!BF219)</f>
        <v/>
      </c>
      <c r="BG43" s="257">
        <f>IF(BG$7="Actual",i_Actuals!BG43,c_Calculations!BG219)</f>
        <v/>
      </c>
      <c r="BH43" s="257">
        <f>IF(BH$7="Actual",i_Actuals!BH43,c_Calculations!BH219)</f>
        <v/>
      </c>
      <c r="BI43" s="257">
        <f>IF(BI$7="Actual",i_Actuals!BI43,c_Calculations!BI219)</f>
        <v/>
      </c>
      <c r="BJ43" s="257">
        <f>IF(BJ$7="Actual",i_Actuals!BJ43,c_Calculations!BJ219)</f>
        <v/>
      </c>
      <c r="BK43" s="257">
        <f>IF(BK$7="Actual",i_Actuals!BK43,c_Calculations!BK219)</f>
        <v/>
      </c>
      <c r="BL43" s="257">
        <f>IF(BL$7="Actual",i_Actuals!BL43,c_Calculations!BL219)</f>
        <v/>
      </c>
      <c r="BM43" s="257">
        <f>IF(BM$7="Actual",i_Actuals!BM43,c_Calculations!BM219)</f>
        <v/>
      </c>
      <c r="BN43" s="257">
        <f>IF(BN$7="Actual",i_Actuals!BN43,c_Calculations!BN219)</f>
        <v/>
      </c>
      <c r="BO43" s="257">
        <f>IF(BO$7="Actual",i_Actuals!BO43,c_Calculations!BO219)</f>
        <v/>
      </c>
      <c r="BP43" s="257">
        <f>IF(BP$7="Actual",i_Actuals!BP43,c_Calculations!BP219)</f>
        <v/>
      </c>
      <c r="BQ43" s="257">
        <f>IF(BQ$7="Actual",i_Actuals!BQ43,c_Calculations!BQ219)</f>
        <v/>
      </c>
      <c r="BR43" s="257">
        <f>IF(BR$7="Actual",i_Actuals!BR43,c_Calculations!BR219)</f>
        <v/>
      </c>
      <c r="BS43" s="257">
        <f>IF(BS$7="Actual",i_Actuals!BS43,c_Calculations!BS219)</f>
        <v/>
      </c>
      <c r="BT43" s="257">
        <f>IF(BT$7="Actual",i_Actuals!BT43,c_Calculations!BT219)</f>
        <v/>
      </c>
      <c r="BU43" s="257">
        <f>IF(BU$7="Actual",i_Actuals!BU43,c_Calculations!BU219)</f>
        <v/>
      </c>
      <c r="BV43" s="257">
        <f>IF(BV$7="Actual",i_Actuals!BV43,c_Calculations!BV219)</f>
        <v/>
      </c>
      <c r="BW43" s="257">
        <f>IF(BW$7="Actual",i_Actuals!BW43,c_Calculations!BW219)</f>
        <v/>
      </c>
      <c r="BX43" s="257">
        <f>IF(BX$7="Actual",i_Actuals!BX43,c_Calculations!BX219)</f>
        <v/>
      </c>
      <c r="BY43" s="257">
        <f>IF(BY$7="Actual",i_Actuals!BY43,c_Calculations!BY219)</f>
        <v/>
      </c>
      <c r="BZ43" s="257">
        <f>IF(BZ$7="Actual",i_Actuals!BZ43,c_Calculations!BZ219)</f>
        <v/>
      </c>
      <c r="CA43" s="257">
        <f>IF(CA$7="Actual",i_Actuals!CA43,c_Calculations!CA219)</f>
        <v/>
      </c>
    </row>
    <row r="44" ht="12" customHeight="1" s="227">
      <c r="A44" s="244" t="n"/>
      <c r="B44" s="244" t="n"/>
      <c r="C44" s="244" t="n"/>
      <c r="G44" s="222" t="n"/>
      <c r="H44" s="4">
        <f>i_Setup!U81</f>
        <v/>
      </c>
      <c r="I44" s="27">
        <f> i_Setup!$M$16</f>
        <v/>
      </c>
      <c r="K44" s="27" t="n"/>
      <c r="M44" s="245">
        <f>SUMIF($T$4:$CA$4,M$4,$T44:$CA44)</f>
        <v/>
      </c>
      <c r="N44" s="245">
        <f>SUMIF($T$4:$CA$4,N$4,$T44:$CA44)</f>
        <v/>
      </c>
      <c r="O44" s="245">
        <f>SUMIF($T$4:$CA$4,O$4,$T44:$CA44)</f>
        <v/>
      </c>
      <c r="P44" s="245">
        <f>SUMIF($T$4:$CA$4,P$4,$T44:$CA44)</f>
        <v/>
      </c>
      <c r="Q44" s="245">
        <f>SUMIF($T$4:$CA$4,Q$4,$T44:$CA44)</f>
        <v/>
      </c>
      <c r="T44" s="257">
        <f>IF(T$7="Actual",i_Actuals!T44,c_Calculations!T220)</f>
        <v/>
      </c>
      <c r="U44" s="257">
        <f>IF(U$7="Actual",i_Actuals!U44,c_Calculations!U220)</f>
        <v/>
      </c>
      <c r="V44" s="257">
        <f>IF(V$7="Actual",i_Actuals!V44,c_Calculations!V220)</f>
        <v/>
      </c>
      <c r="W44" s="257">
        <f>IF(W$7="Actual",i_Actuals!W44,c_Calculations!W220)</f>
        <v/>
      </c>
      <c r="X44" s="257">
        <f>IF(X$7="Actual",i_Actuals!X44,c_Calculations!X220)</f>
        <v/>
      </c>
      <c r="Y44" s="257">
        <f>IF(Y$7="Actual",i_Actuals!Y44,c_Calculations!Y220)</f>
        <v/>
      </c>
      <c r="Z44" s="257">
        <f>IF(Z$7="Actual",i_Actuals!Z44,c_Calculations!Z220)</f>
        <v/>
      </c>
      <c r="AA44" s="257">
        <f>IF(AA$7="Actual",i_Actuals!AA44,c_Calculations!AA220)</f>
        <v/>
      </c>
      <c r="AB44" s="257">
        <f>IF(AB$7="Actual",i_Actuals!AB44,c_Calculations!AB220)</f>
        <v/>
      </c>
      <c r="AC44" s="257">
        <f>IF(AC$7="Actual",i_Actuals!AC44,c_Calculations!AC220)</f>
        <v/>
      </c>
      <c r="AD44" s="257">
        <f>IF(AD$7="Actual",i_Actuals!AD44,c_Calculations!AD220)</f>
        <v/>
      </c>
      <c r="AE44" s="257">
        <f>IF(AE$7="Actual",i_Actuals!AE44,c_Calculations!AE220)</f>
        <v/>
      </c>
      <c r="AF44" s="257">
        <f>IF(AF$7="Actual",i_Actuals!AF44,c_Calculations!AF220)</f>
        <v/>
      </c>
      <c r="AG44" s="257">
        <f>IF(AG$7="Actual",i_Actuals!AG44,c_Calculations!AG220)</f>
        <v/>
      </c>
      <c r="AH44" s="257">
        <f>IF(AH$7="Actual",i_Actuals!AH44,c_Calculations!AH220)</f>
        <v/>
      </c>
      <c r="AI44" s="257">
        <f>IF(AI$7="Actual",i_Actuals!AI44,c_Calculations!AI220)</f>
        <v/>
      </c>
      <c r="AJ44" s="257">
        <f>IF(AJ$7="Actual",i_Actuals!AJ44,c_Calculations!AJ220)</f>
        <v/>
      </c>
      <c r="AK44" s="257">
        <f>IF(AK$7="Actual",i_Actuals!AK44,c_Calculations!AK220)</f>
        <v/>
      </c>
      <c r="AL44" s="257">
        <f>IF(AL$7="Actual",i_Actuals!AL44,c_Calculations!AL220)</f>
        <v/>
      </c>
      <c r="AM44" s="257">
        <f>IF(AM$7="Actual",i_Actuals!AM44,c_Calculations!AM220)</f>
        <v/>
      </c>
      <c r="AN44" s="257">
        <f>IF(AN$7="Actual",i_Actuals!AN44,c_Calculations!AN220)</f>
        <v/>
      </c>
      <c r="AO44" s="257">
        <f>IF(AO$7="Actual",i_Actuals!AO44,c_Calculations!AO220)</f>
        <v/>
      </c>
      <c r="AP44" s="257">
        <f>IF(AP$7="Actual",i_Actuals!AP44,c_Calculations!AP220)</f>
        <v/>
      </c>
      <c r="AQ44" s="257">
        <f>IF(AQ$7="Actual",i_Actuals!AQ44,c_Calculations!AQ220)</f>
        <v/>
      </c>
      <c r="AR44" s="257">
        <f>IF(AR$7="Actual",i_Actuals!AR44,c_Calculations!AR220)</f>
        <v/>
      </c>
      <c r="AS44" s="257">
        <f>IF(AS$7="Actual",i_Actuals!AS44,c_Calculations!AS220)</f>
        <v/>
      </c>
      <c r="AT44" s="257">
        <f>IF(AT$7="Actual",i_Actuals!AT44,c_Calculations!AT220)</f>
        <v/>
      </c>
      <c r="AU44" s="257">
        <f>IF(AU$7="Actual",i_Actuals!AU44,c_Calculations!AU220)</f>
        <v/>
      </c>
      <c r="AV44" s="257">
        <f>IF(AV$7="Actual",i_Actuals!AV44,c_Calculations!AV220)</f>
        <v/>
      </c>
      <c r="AW44" s="257">
        <f>IF(AW$7="Actual",i_Actuals!AW44,c_Calculations!AW220)</f>
        <v/>
      </c>
      <c r="AX44" s="257">
        <f>IF(AX$7="Actual",i_Actuals!AX44,c_Calculations!AX220)</f>
        <v/>
      </c>
      <c r="AY44" s="257">
        <f>IF(AY$7="Actual",i_Actuals!AY44,c_Calculations!AY220)</f>
        <v/>
      </c>
      <c r="AZ44" s="257">
        <f>IF(AZ$7="Actual",i_Actuals!AZ44,c_Calculations!AZ220)</f>
        <v/>
      </c>
      <c r="BA44" s="257">
        <f>IF(BA$7="Actual",i_Actuals!BA44,c_Calculations!BA220)</f>
        <v/>
      </c>
      <c r="BB44" s="257">
        <f>IF(BB$7="Actual",i_Actuals!BB44,c_Calculations!BB220)</f>
        <v/>
      </c>
      <c r="BC44" s="257">
        <f>IF(BC$7="Actual",i_Actuals!BC44,c_Calculations!BC220)</f>
        <v/>
      </c>
      <c r="BD44" s="257">
        <f>IF(BD$7="Actual",i_Actuals!BD44,c_Calculations!BD220)</f>
        <v/>
      </c>
      <c r="BE44" s="257">
        <f>IF(BE$7="Actual",i_Actuals!BE44,c_Calculations!BE220)</f>
        <v/>
      </c>
      <c r="BF44" s="257">
        <f>IF(BF$7="Actual",i_Actuals!BF44,c_Calculations!BF220)</f>
        <v/>
      </c>
      <c r="BG44" s="257">
        <f>IF(BG$7="Actual",i_Actuals!BG44,c_Calculations!BG220)</f>
        <v/>
      </c>
      <c r="BH44" s="257">
        <f>IF(BH$7="Actual",i_Actuals!BH44,c_Calculations!BH220)</f>
        <v/>
      </c>
      <c r="BI44" s="257">
        <f>IF(BI$7="Actual",i_Actuals!BI44,c_Calculations!BI220)</f>
        <v/>
      </c>
      <c r="BJ44" s="257">
        <f>IF(BJ$7="Actual",i_Actuals!BJ44,c_Calculations!BJ220)</f>
        <v/>
      </c>
      <c r="BK44" s="257">
        <f>IF(BK$7="Actual",i_Actuals!BK44,c_Calculations!BK220)</f>
        <v/>
      </c>
      <c r="BL44" s="257">
        <f>IF(BL$7="Actual",i_Actuals!BL44,c_Calculations!BL220)</f>
        <v/>
      </c>
      <c r="BM44" s="257">
        <f>IF(BM$7="Actual",i_Actuals!BM44,c_Calculations!BM220)</f>
        <v/>
      </c>
      <c r="BN44" s="257">
        <f>IF(BN$7="Actual",i_Actuals!BN44,c_Calculations!BN220)</f>
        <v/>
      </c>
      <c r="BO44" s="257">
        <f>IF(BO$7="Actual",i_Actuals!BO44,c_Calculations!BO220)</f>
        <v/>
      </c>
      <c r="BP44" s="257">
        <f>IF(BP$7="Actual",i_Actuals!BP44,c_Calculations!BP220)</f>
        <v/>
      </c>
      <c r="BQ44" s="257">
        <f>IF(BQ$7="Actual",i_Actuals!BQ44,c_Calculations!BQ220)</f>
        <v/>
      </c>
      <c r="BR44" s="257">
        <f>IF(BR$7="Actual",i_Actuals!BR44,c_Calculations!BR220)</f>
        <v/>
      </c>
      <c r="BS44" s="257">
        <f>IF(BS$7="Actual",i_Actuals!BS44,c_Calculations!BS220)</f>
        <v/>
      </c>
      <c r="BT44" s="257">
        <f>IF(BT$7="Actual",i_Actuals!BT44,c_Calculations!BT220)</f>
        <v/>
      </c>
      <c r="BU44" s="257">
        <f>IF(BU$7="Actual",i_Actuals!BU44,c_Calculations!BU220)</f>
        <v/>
      </c>
      <c r="BV44" s="257">
        <f>IF(BV$7="Actual",i_Actuals!BV44,c_Calculations!BV220)</f>
        <v/>
      </c>
      <c r="BW44" s="257">
        <f>IF(BW$7="Actual",i_Actuals!BW44,c_Calculations!BW220)</f>
        <v/>
      </c>
      <c r="BX44" s="257">
        <f>IF(BX$7="Actual",i_Actuals!BX44,c_Calculations!BX220)</f>
        <v/>
      </c>
      <c r="BY44" s="257">
        <f>IF(BY$7="Actual",i_Actuals!BY44,c_Calculations!BY220)</f>
        <v/>
      </c>
      <c r="BZ44" s="257">
        <f>IF(BZ$7="Actual",i_Actuals!BZ44,c_Calculations!BZ220)</f>
        <v/>
      </c>
      <c r="CA44" s="257">
        <f>IF(CA$7="Actual",i_Actuals!CA44,c_Calculations!CA220)</f>
        <v/>
      </c>
    </row>
    <row r="45" ht="12" customHeight="1" s="227">
      <c r="A45" s="244" t="n"/>
      <c r="B45" s="244" t="n"/>
      <c r="C45" s="244" t="n"/>
      <c r="G45" s="222" t="n"/>
      <c r="H45" s="4">
        <f>i_Setup!U82</f>
        <v/>
      </c>
      <c r="I45" s="27">
        <f> i_Setup!$M$16</f>
        <v/>
      </c>
      <c r="K45" s="27" t="n"/>
      <c r="M45" s="245">
        <f>SUMIF($T$4:$CA$4,M$4,$T45:$CA45)</f>
        <v/>
      </c>
      <c r="N45" s="245">
        <f>SUMIF($T$4:$CA$4,N$4,$T45:$CA45)</f>
        <v/>
      </c>
      <c r="O45" s="245">
        <f>SUMIF($T$4:$CA$4,O$4,$T45:$CA45)</f>
        <v/>
      </c>
      <c r="P45" s="245">
        <f>SUMIF($T$4:$CA$4,P$4,$T45:$CA45)</f>
        <v/>
      </c>
      <c r="Q45" s="245">
        <f>SUMIF($T$4:$CA$4,Q$4,$T45:$CA45)</f>
        <v/>
      </c>
      <c r="T45" s="257">
        <f>IF(T$7="Actual",i_Actuals!T45,c_Calculations!T221)</f>
        <v/>
      </c>
      <c r="U45" s="257">
        <f>IF(U$7="Actual",i_Actuals!U45,c_Calculations!U221)</f>
        <v/>
      </c>
      <c r="V45" s="257">
        <f>IF(V$7="Actual",i_Actuals!V45,c_Calculations!V221)</f>
        <v/>
      </c>
      <c r="W45" s="257">
        <f>IF(W$7="Actual",i_Actuals!W45,c_Calculations!W221)</f>
        <v/>
      </c>
      <c r="X45" s="257">
        <f>IF(X$7="Actual",i_Actuals!X45,c_Calculations!X221)</f>
        <v/>
      </c>
      <c r="Y45" s="257">
        <f>IF(Y$7="Actual",i_Actuals!Y45,c_Calculations!Y221)</f>
        <v/>
      </c>
      <c r="Z45" s="257">
        <f>IF(Z$7="Actual",i_Actuals!Z45,c_Calculations!Z221)</f>
        <v/>
      </c>
      <c r="AA45" s="257">
        <f>IF(AA$7="Actual",i_Actuals!AA45,c_Calculations!AA221)</f>
        <v/>
      </c>
      <c r="AB45" s="257">
        <f>IF(AB$7="Actual",i_Actuals!AB45,c_Calculations!AB221)</f>
        <v/>
      </c>
      <c r="AC45" s="257">
        <f>IF(AC$7="Actual",i_Actuals!AC45,c_Calculations!AC221)</f>
        <v/>
      </c>
      <c r="AD45" s="257">
        <f>IF(AD$7="Actual",i_Actuals!AD45,c_Calculations!AD221)</f>
        <v/>
      </c>
      <c r="AE45" s="257">
        <f>IF(AE$7="Actual",i_Actuals!AE45,c_Calculations!AE221)</f>
        <v/>
      </c>
      <c r="AF45" s="257">
        <f>IF(AF$7="Actual",i_Actuals!AF45,c_Calculations!AF221)</f>
        <v/>
      </c>
      <c r="AG45" s="257">
        <f>IF(AG$7="Actual",i_Actuals!AG45,c_Calculations!AG221)</f>
        <v/>
      </c>
      <c r="AH45" s="257">
        <f>IF(AH$7="Actual",i_Actuals!AH45,c_Calculations!AH221)</f>
        <v/>
      </c>
      <c r="AI45" s="257">
        <f>IF(AI$7="Actual",i_Actuals!AI45,c_Calculations!AI221)</f>
        <v/>
      </c>
      <c r="AJ45" s="257">
        <f>IF(AJ$7="Actual",i_Actuals!AJ45,c_Calculations!AJ221)</f>
        <v/>
      </c>
      <c r="AK45" s="257">
        <f>IF(AK$7="Actual",i_Actuals!AK45,c_Calculations!AK221)</f>
        <v/>
      </c>
      <c r="AL45" s="257">
        <f>IF(AL$7="Actual",i_Actuals!AL45,c_Calculations!AL221)</f>
        <v/>
      </c>
      <c r="AM45" s="257">
        <f>IF(AM$7="Actual",i_Actuals!AM45,c_Calculations!AM221)</f>
        <v/>
      </c>
      <c r="AN45" s="257">
        <f>IF(AN$7="Actual",i_Actuals!AN45,c_Calculations!AN221)</f>
        <v/>
      </c>
      <c r="AO45" s="257">
        <f>IF(AO$7="Actual",i_Actuals!AO45,c_Calculations!AO221)</f>
        <v/>
      </c>
      <c r="AP45" s="257">
        <f>IF(AP$7="Actual",i_Actuals!AP45,c_Calculations!AP221)</f>
        <v/>
      </c>
      <c r="AQ45" s="257">
        <f>IF(AQ$7="Actual",i_Actuals!AQ45,c_Calculations!AQ221)</f>
        <v/>
      </c>
      <c r="AR45" s="257">
        <f>IF(AR$7="Actual",i_Actuals!AR45,c_Calculations!AR221)</f>
        <v/>
      </c>
      <c r="AS45" s="257">
        <f>IF(AS$7="Actual",i_Actuals!AS45,c_Calculations!AS221)</f>
        <v/>
      </c>
      <c r="AT45" s="257">
        <f>IF(AT$7="Actual",i_Actuals!AT45,c_Calculations!AT221)</f>
        <v/>
      </c>
      <c r="AU45" s="257">
        <f>IF(AU$7="Actual",i_Actuals!AU45,c_Calculations!AU221)</f>
        <v/>
      </c>
      <c r="AV45" s="257">
        <f>IF(AV$7="Actual",i_Actuals!AV45,c_Calculations!AV221)</f>
        <v/>
      </c>
      <c r="AW45" s="257">
        <f>IF(AW$7="Actual",i_Actuals!AW45,c_Calculations!AW221)</f>
        <v/>
      </c>
      <c r="AX45" s="257">
        <f>IF(AX$7="Actual",i_Actuals!AX45,c_Calculations!AX221)</f>
        <v/>
      </c>
      <c r="AY45" s="257">
        <f>IF(AY$7="Actual",i_Actuals!AY45,c_Calculations!AY221)</f>
        <v/>
      </c>
      <c r="AZ45" s="257">
        <f>IF(AZ$7="Actual",i_Actuals!AZ45,c_Calculations!AZ221)</f>
        <v/>
      </c>
      <c r="BA45" s="257">
        <f>IF(BA$7="Actual",i_Actuals!BA45,c_Calculations!BA221)</f>
        <v/>
      </c>
      <c r="BB45" s="257">
        <f>IF(BB$7="Actual",i_Actuals!BB45,c_Calculations!BB221)</f>
        <v/>
      </c>
      <c r="BC45" s="257">
        <f>IF(BC$7="Actual",i_Actuals!BC45,c_Calculations!BC221)</f>
        <v/>
      </c>
      <c r="BD45" s="257">
        <f>IF(BD$7="Actual",i_Actuals!BD45,c_Calculations!BD221)</f>
        <v/>
      </c>
      <c r="BE45" s="257">
        <f>IF(BE$7="Actual",i_Actuals!BE45,c_Calculations!BE221)</f>
        <v/>
      </c>
      <c r="BF45" s="257">
        <f>IF(BF$7="Actual",i_Actuals!BF45,c_Calculations!BF221)</f>
        <v/>
      </c>
      <c r="BG45" s="257">
        <f>IF(BG$7="Actual",i_Actuals!BG45,c_Calculations!BG221)</f>
        <v/>
      </c>
      <c r="BH45" s="257">
        <f>IF(BH$7="Actual",i_Actuals!BH45,c_Calculations!BH221)</f>
        <v/>
      </c>
      <c r="BI45" s="257">
        <f>IF(BI$7="Actual",i_Actuals!BI45,c_Calculations!BI221)</f>
        <v/>
      </c>
      <c r="BJ45" s="257">
        <f>IF(BJ$7="Actual",i_Actuals!BJ45,c_Calculations!BJ221)</f>
        <v/>
      </c>
      <c r="BK45" s="257">
        <f>IF(BK$7="Actual",i_Actuals!BK45,c_Calculations!BK221)</f>
        <v/>
      </c>
      <c r="BL45" s="257">
        <f>IF(BL$7="Actual",i_Actuals!BL45,c_Calculations!BL221)</f>
        <v/>
      </c>
      <c r="BM45" s="257">
        <f>IF(BM$7="Actual",i_Actuals!BM45,c_Calculations!BM221)</f>
        <v/>
      </c>
      <c r="BN45" s="257">
        <f>IF(BN$7="Actual",i_Actuals!BN45,c_Calculations!BN221)</f>
        <v/>
      </c>
      <c r="BO45" s="257">
        <f>IF(BO$7="Actual",i_Actuals!BO45,c_Calculations!BO221)</f>
        <v/>
      </c>
      <c r="BP45" s="257">
        <f>IF(BP$7="Actual",i_Actuals!BP45,c_Calculations!BP221)</f>
        <v/>
      </c>
      <c r="BQ45" s="257">
        <f>IF(BQ$7="Actual",i_Actuals!BQ45,c_Calculations!BQ221)</f>
        <v/>
      </c>
      <c r="BR45" s="257">
        <f>IF(BR$7="Actual",i_Actuals!BR45,c_Calculations!BR221)</f>
        <v/>
      </c>
      <c r="BS45" s="257">
        <f>IF(BS$7="Actual",i_Actuals!BS45,c_Calculations!BS221)</f>
        <v/>
      </c>
      <c r="BT45" s="257">
        <f>IF(BT$7="Actual",i_Actuals!BT45,c_Calculations!BT221)</f>
        <v/>
      </c>
      <c r="BU45" s="257">
        <f>IF(BU$7="Actual",i_Actuals!BU45,c_Calculations!BU221)</f>
        <v/>
      </c>
      <c r="BV45" s="257">
        <f>IF(BV$7="Actual",i_Actuals!BV45,c_Calculations!BV221)</f>
        <v/>
      </c>
      <c r="BW45" s="257">
        <f>IF(BW$7="Actual",i_Actuals!BW45,c_Calculations!BW221)</f>
        <v/>
      </c>
      <c r="BX45" s="257">
        <f>IF(BX$7="Actual",i_Actuals!BX45,c_Calculations!BX221)</f>
        <v/>
      </c>
      <c r="BY45" s="257">
        <f>IF(BY$7="Actual",i_Actuals!BY45,c_Calculations!BY221)</f>
        <v/>
      </c>
      <c r="BZ45" s="257">
        <f>IF(BZ$7="Actual",i_Actuals!BZ45,c_Calculations!BZ221)</f>
        <v/>
      </c>
      <c r="CA45" s="257">
        <f>IF(CA$7="Actual",i_Actuals!CA45,c_Calculations!CA221)</f>
        <v/>
      </c>
    </row>
    <row r="46" ht="12" customFormat="1" customHeight="1" s="8">
      <c r="A46" s="276" t="n"/>
      <c r="B46" s="276" t="n"/>
      <c r="C46" s="276" t="n"/>
      <c r="G46" s="39" t="inlineStr">
        <is>
          <t>Total Direct Expenses</t>
        </is>
      </c>
      <c r="H46" s="39" t="n"/>
      <c r="I46" s="41">
        <f> i_Setup!$M$16</f>
        <v/>
      </c>
      <c r="J46" s="39" t="n"/>
      <c r="K46" s="56" t="n"/>
      <c r="M46" s="249">
        <f>SUM(M38:M45)</f>
        <v/>
      </c>
      <c r="N46" s="249">
        <f>SUM(N38:N45)</f>
        <v/>
      </c>
      <c r="O46" s="249">
        <f>SUM(O38:O45)</f>
        <v/>
      </c>
      <c r="P46" s="249">
        <f>SUM(P38:P45)</f>
        <v/>
      </c>
      <c r="Q46" s="249">
        <f>SUM(Q38:Q45)</f>
        <v/>
      </c>
      <c r="T46" s="249">
        <f>SUM(T38:T45)</f>
        <v/>
      </c>
      <c r="U46" s="249">
        <f>SUM(U38:U45)</f>
        <v/>
      </c>
      <c r="V46" s="249">
        <f>SUM(V38:V45)</f>
        <v/>
      </c>
      <c r="W46" s="249">
        <f>SUM(W38:W45)</f>
        <v/>
      </c>
      <c r="X46" s="249">
        <f>SUM(X38:X45)</f>
        <v/>
      </c>
      <c r="Y46" s="249">
        <f>SUM(Y38:Y45)</f>
        <v/>
      </c>
      <c r="Z46" s="249">
        <f>SUM(Z38:Z45)</f>
        <v/>
      </c>
      <c r="AA46" s="249">
        <f>SUM(AA38:AA45)</f>
        <v/>
      </c>
      <c r="AB46" s="249">
        <f>SUM(AB38:AB45)</f>
        <v/>
      </c>
      <c r="AC46" s="249">
        <f>SUM(AC38:AC45)</f>
        <v/>
      </c>
      <c r="AD46" s="249">
        <f>SUM(AD38:AD45)</f>
        <v/>
      </c>
      <c r="AE46" s="249">
        <f>SUM(AE38:AE45)</f>
        <v/>
      </c>
      <c r="AF46" s="249">
        <f>SUM(AF38:AF45)</f>
        <v/>
      </c>
      <c r="AG46" s="249">
        <f>SUM(AG38:AG45)</f>
        <v/>
      </c>
      <c r="AH46" s="249">
        <f>SUM(AH38:AH45)</f>
        <v/>
      </c>
      <c r="AI46" s="249">
        <f>SUM(AI38:AI45)</f>
        <v/>
      </c>
      <c r="AJ46" s="249">
        <f>SUM(AJ38:AJ45)</f>
        <v/>
      </c>
      <c r="AK46" s="249">
        <f>SUM(AK38:AK45)</f>
        <v/>
      </c>
      <c r="AL46" s="249">
        <f>SUM(AL38:AL45)</f>
        <v/>
      </c>
      <c r="AM46" s="249">
        <f>SUM(AM38:AM45)</f>
        <v/>
      </c>
      <c r="AN46" s="249">
        <f>SUM(AN38:AN45)</f>
        <v/>
      </c>
      <c r="AO46" s="249">
        <f>SUM(AO38:AO45)</f>
        <v/>
      </c>
      <c r="AP46" s="249">
        <f>SUM(AP38:AP45)</f>
        <v/>
      </c>
      <c r="AQ46" s="249">
        <f>SUM(AQ38:AQ45)</f>
        <v/>
      </c>
      <c r="AR46" s="249">
        <f>SUM(AR38:AR45)</f>
        <v/>
      </c>
      <c r="AS46" s="249">
        <f>SUM(AS38:AS45)</f>
        <v/>
      </c>
      <c r="AT46" s="249">
        <f>SUM(AT38:AT45)</f>
        <v/>
      </c>
      <c r="AU46" s="249">
        <f>SUM(AU38:AU45)</f>
        <v/>
      </c>
      <c r="AV46" s="249">
        <f>SUM(AV38:AV45)</f>
        <v/>
      </c>
      <c r="AW46" s="249">
        <f>SUM(AW38:AW45)</f>
        <v/>
      </c>
      <c r="AX46" s="249">
        <f>SUM(AX38:AX45)</f>
        <v/>
      </c>
      <c r="AY46" s="249">
        <f>SUM(AY38:AY45)</f>
        <v/>
      </c>
      <c r="AZ46" s="249">
        <f>SUM(AZ38:AZ45)</f>
        <v/>
      </c>
      <c r="BA46" s="249">
        <f>SUM(BA38:BA45)</f>
        <v/>
      </c>
      <c r="BB46" s="249">
        <f>SUM(BB38:BB45)</f>
        <v/>
      </c>
      <c r="BC46" s="249">
        <f>SUM(BC38:BC45)</f>
        <v/>
      </c>
      <c r="BD46" s="249">
        <f>SUM(BD38:BD45)</f>
        <v/>
      </c>
      <c r="BE46" s="249">
        <f>SUM(BE38:BE45)</f>
        <v/>
      </c>
      <c r="BF46" s="249">
        <f>SUM(BF38:BF45)</f>
        <v/>
      </c>
      <c r="BG46" s="249">
        <f>SUM(BG38:BG45)</f>
        <v/>
      </c>
      <c r="BH46" s="249">
        <f>SUM(BH38:BH45)</f>
        <v/>
      </c>
      <c r="BI46" s="249">
        <f>SUM(BI38:BI45)</f>
        <v/>
      </c>
      <c r="BJ46" s="249">
        <f>SUM(BJ38:BJ45)</f>
        <v/>
      </c>
      <c r="BK46" s="249">
        <f>SUM(BK38:BK45)</f>
        <v/>
      </c>
      <c r="BL46" s="249">
        <f>SUM(BL38:BL45)</f>
        <v/>
      </c>
      <c r="BM46" s="249">
        <f>SUM(BM38:BM45)</f>
        <v/>
      </c>
      <c r="BN46" s="249">
        <f>SUM(BN38:BN45)</f>
        <v/>
      </c>
      <c r="BO46" s="249">
        <f>SUM(BO38:BO45)</f>
        <v/>
      </c>
      <c r="BP46" s="249">
        <f>SUM(BP38:BP45)</f>
        <v/>
      </c>
      <c r="BQ46" s="249">
        <f>SUM(BQ38:BQ45)</f>
        <v/>
      </c>
      <c r="BR46" s="249">
        <f>SUM(BR38:BR45)</f>
        <v/>
      </c>
      <c r="BS46" s="249">
        <f>SUM(BS38:BS45)</f>
        <v/>
      </c>
      <c r="BT46" s="249">
        <f>SUM(BT38:BT45)</f>
        <v/>
      </c>
      <c r="BU46" s="249">
        <f>SUM(BU38:BU45)</f>
        <v/>
      </c>
      <c r="BV46" s="249">
        <f>SUM(BV38:BV45)</f>
        <v/>
      </c>
      <c r="BW46" s="249">
        <f>SUM(BW38:BW45)</f>
        <v/>
      </c>
      <c r="BX46" s="249">
        <f>SUM(BX38:BX45)</f>
        <v/>
      </c>
      <c r="BY46" s="249">
        <f>SUM(BY38:BY45)</f>
        <v/>
      </c>
      <c r="BZ46" s="249">
        <f>SUM(BZ38:BZ45)</f>
        <v/>
      </c>
      <c r="CA46" s="249">
        <f>SUM(CA38:CA45)</f>
        <v/>
      </c>
    </row>
    <row r="47" ht="12" customHeight="1" s="227">
      <c r="A47" s="244" t="n"/>
      <c r="B47" s="244" t="n"/>
      <c r="C47" s="244" t="n"/>
      <c r="G47" s="222" t="n"/>
      <c r="M47" s="245" t="n"/>
      <c r="N47" s="245" t="n"/>
      <c r="O47" s="245" t="n"/>
      <c r="P47" s="245" t="n"/>
      <c r="Q47" s="245" t="n"/>
    </row>
    <row r="48" ht="12" customHeight="1" s="227">
      <c r="A48" s="244" t="n"/>
      <c r="B48" s="244" t="n"/>
      <c r="C48" s="244" t="n"/>
      <c r="G48" s="81" t="inlineStr">
        <is>
          <t>Gross Profit</t>
        </is>
      </c>
      <c r="H48" s="74" t="n"/>
      <c r="I48" s="75">
        <f>i_Setup!$M$16</f>
        <v/>
      </c>
      <c r="M48" s="247">
        <f>M24+M35+M46</f>
        <v/>
      </c>
      <c r="N48" s="247">
        <f>N24+N35+N46</f>
        <v/>
      </c>
      <c r="O48" s="247">
        <f>O24+O35+O46</f>
        <v/>
      </c>
      <c r="P48" s="247">
        <f>P24+P35+P46</f>
        <v/>
      </c>
      <c r="Q48" s="247">
        <f>Q24+Q35+Q46</f>
        <v/>
      </c>
      <c r="T48" s="247">
        <f>T24+T35+T46</f>
        <v/>
      </c>
      <c r="U48" s="247">
        <f>U24+U35+U46</f>
        <v/>
      </c>
      <c r="V48" s="247">
        <f>V24+V35+V46</f>
        <v/>
      </c>
      <c r="W48" s="247">
        <f>W24+W35+W46</f>
        <v/>
      </c>
      <c r="X48" s="247">
        <f>X24+X35+X46</f>
        <v/>
      </c>
      <c r="Y48" s="247">
        <f>Y24+Y35+Y46</f>
        <v/>
      </c>
      <c r="Z48" s="247">
        <f>Z24+Z35+Z46</f>
        <v/>
      </c>
      <c r="AA48" s="247">
        <f>AA24+AA35+AA46</f>
        <v/>
      </c>
      <c r="AB48" s="247">
        <f>AB24+AB35+AB46</f>
        <v/>
      </c>
      <c r="AC48" s="247">
        <f>AC24+AC35+AC46</f>
        <v/>
      </c>
      <c r="AD48" s="247">
        <f>AD24+AD35+AD46</f>
        <v/>
      </c>
      <c r="AE48" s="247">
        <f>AE24+AE35+AE46</f>
        <v/>
      </c>
      <c r="AF48" s="247">
        <f>AF24+AF35+AF46</f>
        <v/>
      </c>
      <c r="AG48" s="247">
        <f>AG24+AG35+AG46</f>
        <v/>
      </c>
      <c r="AH48" s="247">
        <f>AH24+AH35+AH46</f>
        <v/>
      </c>
      <c r="AI48" s="247">
        <f>AI24+AI35+AI46</f>
        <v/>
      </c>
      <c r="AJ48" s="247">
        <f>AJ24+AJ35+AJ46</f>
        <v/>
      </c>
      <c r="AK48" s="247">
        <f>AK24+AK35+AK46</f>
        <v/>
      </c>
      <c r="AL48" s="247">
        <f>AL24+AL35+AL46</f>
        <v/>
      </c>
      <c r="AM48" s="247">
        <f>AM24+AM35+AM46</f>
        <v/>
      </c>
      <c r="AN48" s="247">
        <f>AN24+AN35+AN46</f>
        <v/>
      </c>
      <c r="AO48" s="247">
        <f>AO24+AO35+AO46</f>
        <v/>
      </c>
      <c r="AP48" s="247">
        <f>AP24+AP35+AP46</f>
        <v/>
      </c>
      <c r="AQ48" s="247">
        <f>AQ24+AQ35+AQ46</f>
        <v/>
      </c>
      <c r="AR48" s="247">
        <f>AR24+AR35+AR46</f>
        <v/>
      </c>
      <c r="AS48" s="247">
        <f>AS24+AS35+AS46</f>
        <v/>
      </c>
      <c r="AT48" s="247">
        <f>AT24+AT35+AT46</f>
        <v/>
      </c>
      <c r="AU48" s="247">
        <f>AU24+AU35+AU46</f>
        <v/>
      </c>
      <c r="AV48" s="247">
        <f>AV24+AV35+AV46</f>
        <v/>
      </c>
      <c r="AW48" s="247">
        <f>AW24+AW35+AW46</f>
        <v/>
      </c>
      <c r="AX48" s="247">
        <f>AX24+AX35+AX46</f>
        <v/>
      </c>
      <c r="AY48" s="247">
        <f>AY24+AY35+AY46</f>
        <v/>
      </c>
      <c r="AZ48" s="247">
        <f>AZ24+AZ35+AZ46</f>
        <v/>
      </c>
      <c r="BA48" s="247">
        <f>BA24+BA35+BA46</f>
        <v/>
      </c>
      <c r="BB48" s="247">
        <f>BB24+BB35+BB46</f>
        <v/>
      </c>
      <c r="BC48" s="247">
        <f>BC24+BC35+BC46</f>
        <v/>
      </c>
      <c r="BD48" s="247">
        <f>BD24+BD35+BD46</f>
        <v/>
      </c>
      <c r="BE48" s="247">
        <f>BE24+BE35+BE46</f>
        <v/>
      </c>
      <c r="BF48" s="247">
        <f>BF24+BF35+BF46</f>
        <v/>
      </c>
      <c r="BG48" s="247">
        <f>BG24+BG35+BG46</f>
        <v/>
      </c>
      <c r="BH48" s="247">
        <f>BH24+BH35+BH46</f>
        <v/>
      </c>
      <c r="BI48" s="247">
        <f>BI24+BI35+BI46</f>
        <v/>
      </c>
      <c r="BJ48" s="247">
        <f>BJ24+BJ35+BJ46</f>
        <v/>
      </c>
      <c r="BK48" s="247">
        <f>BK24+BK35+BK46</f>
        <v/>
      </c>
      <c r="BL48" s="247">
        <f>BL24+BL35+BL46</f>
        <v/>
      </c>
      <c r="BM48" s="247">
        <f>BM24+BM35+BM46</f>
        <v/>
      </c>
      <c r="BN48" s="247">
        <f>BN24+BN35+BN46</f>
        <v/>
      </c>
      <c r="BO48" s="247">
        <f>BO24+BO35+BO46</f>
        <v/>
      </c>
      <c r="BP48" s="247">
        <f>BP24+BP35+BP46</f>
        <v/>
      </c>
      <c r="BQ48" s="247">
        <f>BQ24+BQ35+BQ46</f>
        <v/>
      </c>
      <c r="BR48" s="247">
        <f>BR24+BR35+BR46</f>
        <v/>
      </c>
      <c r="BS48" s="247">
        <f>BS24+BS35+BS46</f>
        <v/>
      </c>
      <c r="BT48" s="247">
        <f>BT24+BT35+BT46</f>
        <v/>
      </c>
      <c r="BU48" s="247">
        <f>BU24+BU35+BU46</f>
        <v/>
      </c>
      <c r="BV48" s="247">
        <f>BV24+BV35+BV46</f>
        <v/>
      </c>
      <c r="BW48" s="247">
        <f>BW24+BW35+BW46</f>
        <v/>
      </c>
      <c r="BX48" s="247">
        <f>BX24+BX35+BX46</f>
        <v/>
      </c>
      <c r="BY48" s="247">
        <f>BY24+BY35+BY46</f>
        <v/>
      </c>
      <c r="BZ48" s="247">
        <f>BZ24+BZ35+BZ46</f>
        <v/>
      </c>
      <c r="CA48" s="247">
        <f>CA24+CA35+CA46</f>
        <v/>
      </c>
    </row>
    <row r="49" ht="12" customHeight="1" s="227">
      <c r="A49" s="244" t="n"/>
      <c r="B49" s="244" t="n"/>
      <c r="C49" s="244" t="n"/>
      <c r="G49" s="222" t="n"/>
      <c r="M49" s="245" t="n"/>
      <c r="N49" s="245" t="n"/>
      <c r="O49" s="245" t="n"/>
      <c r="P49" s="245" t="n"/>
      <c r="Q49" s="245" t="n"/>
    </row>
    <row r="50" ht="12" customHeight="1" s="227">
      <c r="A50" s="244" t="n"/>
      <c r="B50" s="244" t="n"/>
      <c r="C50" s="244" t="n"/>
      <c r="G50" s="222" t="inlineStr">
        <is>
          <t>Non-Direct Staff Costs</t>
        </is>
      </c>
      <c r="M50" s="245" t="n"/>
      <c r="N50" s="245" t="n"/>
      <c r="O50" s="245" t="n"/>
      <c r="P50" s="245" t="n"/>
      <c r="Q50" s="245" t="n"/>
    </row>
    <row r="51" ht="12" customHeight="1" s="227">
      <c r="A51" s="244" t="n"/>
      <c r="B51" s="244" t="n"/>
      <c r="C51" s="244" t="n"/>
      <c r="G51" s="222" t="n"/>
      <c r="H51" s="4">
        <f>i_Setup!U55</f>
        <v/>
      </c>
      <c r="I51" s="27">
        <f>i_Setup!$M$16</f>
        <v/>
      </c>
      <c r="M51" s="245">
        <f>SUMIF($T$4:$CA$4,M$4,$T51:$CA51)</f>
        <v/>
      </c>
      <c r="N51" s="245">
        <f>SUMIF($T$4:$CA$4,N$4,$T51:$CA51)</f>
        <v/>
      </c>
      <c r="O51" s="245">
        <f>SUMIF($T$4:$CA$4,O$4,$T51:$CA51)</f>
        <v/>
      </c>
      <c r="P51" s="245">
        <f>SUMIF($T$4:$CA$4,P$4,$T51:$CA51)</f>
        <v/>
      </c>
      <c r="Q51" s="245">
        <f>SUMIF($T$4:$CA$4,Q$4,$T51:$CA51)</f>
        <v/>
      </c>
      <c r="T51" s="257">
        <f>IF(T$7="Actual",i_Actuals!T51,c_Calculations!T495)</f>
        <v/>
      </c>
      <c r="U51" s="257">
        <f>IF(U$7="Actual",i_Actuals!U51,c_Calculations!U495)</f>
        <v/>
      </c>
      <c r="V51" s="257">
        <f>IF(V$7="Actual",i_Actuals!V51,c_Calculations!V495)</f>
        <v/>
      </c>
      <c r="W51" s="257">
        <f>IF(W$7="Actual",i_Actuals!W51,c_Calculations!W495)</f>
        <v/>
      </c>
      <c r="X51" s="257">
        <f>IF(X$7="Actual",i_Actuals!X51,c_Calculations!X495)</f>
        <v/>
      </c>
      <c r="Y51" s="257">
        <f>IF(Y$7="Actual",i_Actuals!Y51,c_Calculations!Y495)</f>
        <v/>
      </c>
      <c r="Z51" s="257">
        <f>IF(Z$7="Actual",i_Actuals!Z51,c_Calculations!Z495)</f>
        <v/>
      </c>
      <c r="AA51" s="257">
        <f>IF(AA$7="Actual",i_Actuals!AA51,c_Calculations!AA495)</f>
        <v/>
      </c>
      <c r="AB51" s="257">
        <f>IF(AB$7="Actual",i_Actuals!AB51,c_Calculations!AB495)</f>
        <v/>
      </c>
      <c r="AC51" s="257">
        <f>IF(AC$7="Actual",i_Actuals!AC51,c_Calculations!AC495)</f>
        <v/>
      </c>
      <c r="AD51" s="257">
        <f>IF(AD$7="Actual",i_Actuals!AD51,c_Calculations!AD495)</f>
        <v/>
      </c>
      <c r="AE51" s="257">
        <f>IF(AE$7="Actual",i_Actuals!AE51,c_Calculations!AE495)</f>
        <v/>
      </c>
      <c r="AF51" s="257">
        <f>IF(AF$7="Actual",i_Actuals!AF51,c_Calculations!AF495)</f>
        <v/>
      </c>
      <c r="AG51" s="257">
        <f>IF(AG$7="Actual",i_Actuals!AG51,c_Calculations!AG495)</f>
        <v/>
      </c>
      <c r="AH51" s="257">
        <f>IF(AH$7="Actual",i_Actuals!AH51,c_Calculations!AH495)</f>
        <v/>
      </c>
      <c r="AI51" s="257">
        <f>IF(AI$7="Actual",i_Actuals!AI51,c_Calculations!AI495)</f>
        <v/>
      </c>
      <c r="AJ51" s="257">
        <f>IF(AJ$7="Actual",i_Actuals!AJ51,c_Calculations!AJ495)</f>
        <v/>
      </c>
      <c r="AK51" s="257">
        <f>IF(AK$7="Actual",i_Actuals!AK51,c_Calculations!AK495)</f>
        <v/>
      </c>
      <c r="AL51" s="257">
        <f>IF(AL$7="Actual",i_Actuals!AL51,c_Calculations!AL495)</f>
        <v/>
      </c>
      <c r="AM51" s="257">
        <f>IF(AM$7="Actual",i_Actuals!AM51,c_Calculations!AM495)</f>
        <v/>
      </c>
      <c r="AN51" s="257">
        <f>IF(AN$7="Actual",i_Actuals!AN51,c_Calculations!AN495)</f>
        <v/>
      </c>
      <c r="AO51" s="257">
        <f>IF(AO$7="Actual",i_Actuals!AO51,c_Calculations!AO495)</f>
        <v/>
      </c>
      <c r="AP51" s="257">
        <f>IF(AP$7="Actual",i_Actuals!AP51,c_Calculations!AP495)</f>
        <v/>
      </c>
      <c r="AQ51" s="257">
        <f>IF(AQ$7="Actual",i_Actuals!AQ51,c_Calculations!AQ495)</f>
        <v/>
      </c>
      <c r="AR51" s="257">
        <f>IF(AR$7="Actual",i_Actuals!AR51,c_Calculations!AR495)</f>
        <v/>
      </c>
      <c r="AS51" s="257">
        <f>IF(AS$7="Actual",i_Actuals!AS51,c_Calculations!AS495)</f>
        <v/>
      </c>
      <c r="AT51" s="257">
        <f>IF(AT$7="Actual",i_Actuals!AT51,c_Calculations!AT495)</f>
        <v/>
      </c>
      <c r="AU51" s="257">
        <f>IF(AU$7="Actual",i_Actuals!AU51,c_Calculations!AU495)</f>
        <v/>
      </c>
      <c r="AV51" s="257">
        <f>IF(AV$7="Actual",i_Actuals!AV51,c_Calculations!AV495)</f>
        <v/>
      </c>
      <c r="AW51" s="257">
        <f>IF(AW$7="Actual",i_Actuals!AW51,c_Calculations!AW495)</f>
        <v/>
      </c>
      <c r="AX51" s="257">
        <f>IF(AX$7="Actual",i_Actuals!AX51,c_Calculations!AX495)</f>
        <v/>
      </c>
      <c r="AY51" s="257">
        <f>IF(AY$7="Actual",i_Actuals!AY51,c_Calculations!AY495)</f>
        <v/>
      </c>
      <c r="AZ51" s="257">
        <f>IF(AZ$7="Actual",i_Actuals!AZ51,c_Calculations!AZ495)</f>
        <v/>
      </c>
      <c r="BA51" s="257">
        <f>IF(BA$7="Actual",i_Actuals!BA51,c_Calculations!BA495)</f>
        <v/>
      </c>
      <c r="BB51" s="257">
        <f>IF(BB$7="Actual",i_Actuals!BB51,c_Calculations!BB495)</f>
        <v/>
      </c>
      <c r="BC51" s="257">
        <f>IF(BC$7="Actual",i_Actuals!BC51,c_Calculations!BC495)</f>
        <v/>
      </c>
      <c r="BD51" s="257">
        <f>IF(BD$7="Actual",i_Actuals!BD51,c_Calculations!BD495)</f>
        <v/>
      </c>
      <c r="BE51" s="257">
        <f>IF(BE$7="Actual",i_Actuals!BE51,c_Calculations!BE495)</f>
        <v/>
      </c>
      <c r="BF51" s="257">
        <f>IF(BF$7="Actual",i_Actuals!BF51,c_Calculations!BF495)</f>
        <v/>
      </c>
      <c r="BG51" s="257">
        <f>IF(BG$7="Actual",i_Actuals!BG51,c_Calculations!BG495)</f>
        <v/>
      </c>
      <c r="BH51" s="257">
        <f>IF(BH$7="Actual",i_Actuals!BH51,c_Calculations!BH495)</f>
        <v/>
      </c>
      <c r="BI51" s="257">
        <f>IF(BI$7="Actual",i_Actuals!BI51,c_Calculations!BI495)</f>
        <v/>
      </c>
      <c r="BJ51" s="257">
        <f>IF(BJ$7="Actual",i_Actuals!BJ51,c_Calculations!BJ495)</f>
        <v/>
      </c>
      <c r="BK51" s="257">
        <f>IF(BK$7="Actual",i_Actuals!BK51,c_Calculations!BK495)</f>
        <v/>
      </c>
      <c r="BL51" s="257">
        <f>IF(BL$7="Actual",i_Actuals!BL51,c_Calculations!BL495)</f>
        <v/>
      </c>
      <c r="BM51" s="257">
        <f>IF(BM$7="Actual",i_Actuals!BM51,c_Calculations!BM495)</f>
        <v/>
      </c>
      <c r="BN51" s="257">
        <f>IF(BN$7="Actual",i_Actuals!BN51,c_Calculations!BN495)</f>
        <v/>
      </c>
      <c r="BO51" s="257">
        <f>IF(BO$7="Actual",i_Actuals!BO51,c_Calculations!BO495)</f>
        <v/>
      </c>
      <c r="BP51" s="257">
        <f>IF(BP$7="Actual",i_Actuals!BP51,c_Calculations!BP495)</f>
        <v/>
      </c>
      <c r="BQ51" s="257">
        <f>IF(BQ$7="Actual",i_Actuals!BQ51,c_Calculations!BQ495)</f>
        <v/>
      </c>
      <c r="BR51" s="257">
        <f>IF(BR$7="Actual",i_Actuals!BR51,c_Calculations!BR495)</f>
        <v/>
      </c>
      <c r="BS51" s="257">
        <f>IF(BS$7="Actual",i_Actuals!BS51,c_Calculations!BS495)</f>
        <v/>
      </c>
      <c r="BT51" s="257">
        <f>IF(BT$7="Actual",i_Actuals!BT51,c_Calculations!BT495)</f>
        <v/>
      </c>
      <c r="BU51" s="257">
        <f>IF(BU$7="Actual",i_Actuals!BU51,c_Calculations!BU495)</f>
        <v/>
      </c>
      <c r="BV51" s="257">
        <f>IF(BV$7="Actual",i_Actuals!BV51,c_Calculations!BV495)</f>
        <v/>
      </c>
      <c r="BW51" s="257">
        <f>IF(BW$7="Actual",i_Actuals!BW51,c_Calculations!BW495)</f>
        <v/>
      </c>
      <c r="BX51" s="257">
        <f>IF(BX$7="Actual",i_Actuals!BX51,c_Calculations!BX495)</f>
        <v/>
      </c>
      <c r="BY51" s="257">
        <f>IF(BY$7="Actual",i_Actuals!BY51,c_Calculations!BY495)</f>
        <v/>
      </c>
      <c r="BZ51" s="257">
        <f>IF(BZ$7="Actual",i_Actuals!BZ51,c_Calculations!BZ495)</f>
        <v/>
      </c>
      <c r="CA51" s="257">
        <f>IF(CA$7="Actual",i_Actuals!CA51,c_Calculations!CA495)</f>
        <v/>
      </c>
    </row>
    <row r="52" ht="12" customHeight="1" s="227">
      <c r="A52" s="244" t="n"/>
      <c r="B52" s="244" t="n"/>
      <c r="C52" s="244" t="n"/>
      <c r="G52" s="222" t="n"/>
      <c r="H52" s="4">
        <f>i_Setup!U56</f>
        <v/>
      </c>
      <c r="I52" s="27">
        <f>i_Setup!$M$16</f>
        <v/>
      </c>
      <c r="M52" s="245">
        <f>SUMIF($T$4:$CA$4,M$4,$T52:$CA52)</f>
        <v/>
      </c>
      <c r="N52" s="245">
        <f>SUMIF($T$4:$CA$4,N$4,$T52:$CA52)</f>
        <v/>
      </c>
      <c r="O52" s="245">
        <f>SUMIF($T$4:$CA$4,O$4,$T52:$CA52)</f>
        <v/>
      </c>
      <c r="P52" s="245">
        <f>SUMIF($T$4:$CA$4,P$4,$T52:$CA52)</f>
        <v/>
      </c>
      <c r="Q52" s="245">
        <f>SUMIF($T$4:$CA$4,Q$4,$T52:$CA52)</f>
        <v/>
      </c>
      <c r="T52" s="257">
        <f>IF(T$7="Actual",i_Actuals!T52,c_Calculations!T496)</f>
        <v/>
      </c>
      <c r="U52" s="257">
        <f>IF(U$7="Actual",i_Actuals!U52,c_Calculations!U496)</f>
        <v/>
      </c>
      <c r="V52" s="257">
        <f>IF(V$7="Actual",i_Actuals!V52,c_Calculations!V496)</f>
        <v/>
      </c>
      <c r="W52" s="257">
        <f>IF(W$7="Actual",i_Actuals!W52,c_Calculations!W496)</f>
        <v/>
      </c>
      <c r="X52" s="257">
        <f>IF(X$7="Actual",i_Actuals!X52,c_Calculations!X496)</f>
        <v/>
      </c>
      <c r="Y52" s="257">
        <f>IF(Y$7="Actual",i_Actuals!Y52,c_Calculations!Y496)</f>
        <v/>
      </c>
      <c r="Z52" s="257">
        <f>IF(Z$7="Actual",i_Actuals!Z52,c_Calculations!Z496)</f>
        <v/>
      </c>
      <c r="AA52" s="257">
        <f>IF(AA$7="Actual",i_Actuals!AA52,c_Calculations!AA496)</f>
        <v/>
      </c>
      <c r="AB52" s="257">
        <f>IF(AB$7="Actual",i_Actuals!AB52,c_Calculations!AB496)</f>
        <v/>
      </c>
      <c r="AC52" s="257">
        <f>IF(AC$7="Actual",i_Actuals!AC52,c_Calculations!AC496)</f>
        <v/>
      </c>
      <c r="AD52" s="257">
        <f>IF(AD$7="Actual",i_Actuals!AD52,c_Calculations!AD496)</f>
        <v/>
      </c>
      <c r="AE52" s="257">
        <f>IF(AE$7="Actual",i_Actuals!AE52,c_Calculations!AE496)</f>
        <v/>
      </c>
      <c r="AF52" s="257">
        <f>IF(AF$7="Actual",i_Actuals!AF52,c_Calculations!AF496)</f>
        <v/>
      </c>
      <c r="AG52" s="257">
        <f>IF(AG$7="Actual",i_Actuals!AG52,c_Calculations!AG496)</f>
        <v/>
      </c>
      <c r="AH52" s="257">
        <f>IF(AH$7="Actual",i_Actuals!AH52,c_Calculations!AH496)</f>
        <v/>
      </c>
      <c r="AI52" s="257">
        <f>IF(AI$7="Actual",i_Actuals!AI52,c_Calculations!AI496)</f>
        <v/>
      </c>
      <c r="AJ52" s="257">
        <f>IF(AJ$7="Actual",i_Actuals!AJ52,c_Calculations!AJ496)</f>
        <v/>
      </c>
      <c r="AK52" s="257">
        <f>IF(AK$7="Actual",i_Actuals!AK52,c_Calculations!AK496)</f>
        <v/>
      </c>
      <c r="AL52" s="257">
        <f>IF(AL$7="Actual",i_Actuals!AL52,c_Calculations!AL496)</f>
        <v/>
      </c>
      <c r="AM52" s="257">
        <f>IF(AM$7="Actual",i_Actuals!AM52,c_Calculations!AM496)</f>
        <v/>
      </c>
      <c r="AN52" s="257">
        <f>IF(AN$7="Actual",i_Actuals!AN52,c_Calculations!AN496)</f>
        <v/>
      </c>
      <c r="AO52" s="257">
        <f>IF(AO$7="Actual",i_Actuals!AO52,c_Calculations!AO496)</f>
        <v/>
      </c>
      <c r="AP52" s="257">
        <f>IF(AP$7="Actual",i_Actuals!AP52,c_Calculations!AP496)</f>
        <v/>
      </c>
      <c r="AQ52" s="257">
        <f>IF(AQ$7="Actual",i_Actuals!AQ52,c_Calculations!AQ496)</f>
        <v/>
      </c>
      <c r="AR52" s="257">
        <f>IF(AR$7="Actual",i_Actuals!AR52,c_Calculations!AR496)</f>
        <v/>
      </c>
      <c r="AS52" s="257">
        <f>IF(AS$7="Actual",i_Actuals!AS52,c_Calculations!AS496)</f>
        <v/>
      </c>
      <c r="AT52" s="257">
        <f>IF(AT$7="Actual",i_Actuals!AT52,c_Calculations!AT496)</f>
        <v/>
      </c>
      <c r="AU52" s="257">
        <f>IF(AU$7="Actual",i_Actuals!AU52,c_Calculations!AU496)</f>
        <v/>
      </c>
      <c r="AV52" s="257">
        <f>IF(AV$7="Actual",i_Actuals!AV52,c_Calculations!AV496)</f>
        <v/>
      </c>
      <c r="AW52" s="257">
        <f>IF(AW$7="Actual",i_Actuals!AW52,c_Calculations!AW496)</f>
        <v/>
      </c>
      <c r="AX52" s="257">
        <f>IF(AX$7="Actual",i_Actuals!AX52,c_Calculations!AX496)</f>
        <v/>
      </c>
      <c r="AY52" s="257">
        <f>IF(AY$7="Actual",i_Actuals!AY52,c_Calculations!AY496)</f>
        <v/>
      </c>
      <c r="AZ52" s="257">
        <f>IF(AZ$7="Actual",i_Actuals!AZ52,c_Calculations!AZ496)</f>
        <v/>
      </c>
      <c r="BA52" s="257">
        <f>IF(BA$7="Actual",i_Actuals!BA52,c_Calculations!BA496)</f>
        <v/>
      </c>
      <c r="BB52" s="257">
        <f>IF(BB$7="Actual",i_Actuals!BB52,c_Calculations!BB496)</f>
        <v/>
      </c>
      <c r="BC52" s="257">
        <f>IF(BC$7="Actual",i_Actuals!BC52,c_Calculations!BC496)</f>
        <v/>
      </c>
      <c r="BD52" s="257">
        <f>IF(BD$7="Actual",i_Actuals!BD52,c_Calculations!BD496)</f>
        <v/>
      </c>
      <c r="BE52" s="257">
        <f>IF(BE$7="Actual",i_Actuals!BE52,c_Calculations!BE496)</f>
        <v/>
      </c>
      <c r="BF52" s="257">
        <f>IF(BF$7="Actual",i_Actuals!BF52,c_Calculations!BF496)</f>
        <v/>
      </c>
      <c r="BG52" s="257">
        <f>IF(BG$7="Actual",i_Actuals!BG52,c_Calculations!BG496)</f>
        <v/>
      </c>
      <c r="BH52" s="257">
        <f>IF(BH$7="Actual",i_Actuals!BH52,c_Calculations!BH496)</f>
        <v/>
      </c>
      <c r="BI52" s="257">
        <f>IF(BI$7="Actual",i_Actuals!BI52,c_Calculations!BI496)</f>
        <v/>
      </c>
      <c r="BJ52" s="257">
        <f>IF(BJ$7="Actual",i_Actuals!BJ52,c_Calculations!BJ496)</f>
        <v/>
      </c>
      <c r="BK52" s="257">
        <f>IF(BK$7="Actual",i_Actuals!BK52,c_Calculations!BK496)</f>
        <v/>
      </c>
      <c r="BL52" s="257">
        <f>IF(BL$7="Actual",i_Actuals!BL52,c_Calculations!BL496)</f>
        <v/>
      </c>
      <c r="BM52" s="257">
        <f>IF(BM$7="Actual",i_Actuals!BM52,c_Calculations!BM496)</f>
        <v/>
      </c>
      <c r="BN52" s="257">
        <f>IF(BN$7="Actual",i_Actuals!BN52,c_Calculations!BN496)</f>
        <v/>
      </c>
      <c r="BO52" s="257">
        <f>IF(BO$7="Actual",i_Actuals!BO52,c_Calculations!BO496)</f>
        <v/>
      </c>
      <c r="BP52" s="257">
        <f>IF(BP$7="Actual",i_Actuals!BP52,c_Calculations!BP496)</f>
        <v/>
      </c>
      <c r="BQ52" s="257">
        <f>IF(BQ$7="Actual",i_Actuals!BQ52,c_Calculations!BQ496)</f>
        <v/>
      </c>
      <c r="BR52" s="257">
        <f>IF(BR$7="Actual",i_Actuals!BR52,c_Calculations!BR496)</f>
        <v/>
      </c>
      <c r="BS52" s="257">
        <f>IF(BS$7="Actual",i_Actuals!BS52,c_Calculations!BS496)</f>
        <v/>
      </c>
      <c r="BT52" s="257">
        <f>IF(BT$7="Actual",i_Actuals!BT52,c_Calculations!BT496)</f>
        <v/>
      </c>
      <c r="BU52" s="257">
        <f>IF(BU$7="Actual",i_Actuals!BU52,c_Calculations!BU496)</f>
        <v/>
      </c>
      <c r="BV52" s="257">
        <f>IF(BV$7="Actual",i_Actuals!BV52,c_Calculations!BV496)</f>
        <v/>
      </c>
      <c r="BW52" s="257">
        <f>IF(BW$7="Actual",i_Actuals!BW52,c_Calculations!BW496)</f>
        <v/>
      </c>
      <c r="BX52" s="257">
        <f>IF(BX$7="Actual",i_Actuals!BX52,c_Calculations!BX496)</f>
        <v/>
      </c>
      <c r="BY52" s="257">
        <f>IF(BY$7="Actual",i_Actuals!BY52,c_Calculations!BY496)</f>
        <v/>
      </c>
      <c r="BZ52" s="257">
        <f>IF(BZ$7="Actual",i_Actuals!BZ52,c_Calculations!BZ496)</f>
        <v/>
      </c>
      <c r="CA52" s="257">
        <f>IF(CA$7="Actual",i_Actuals!CA52,c_Calculations!CA496)</f>
        <v/>
      </c>
    </row>
    <row r="53" ht="12" customHeight="1" s="227">
      <c r="A53" s="244" t="n"/>
      <c r="B53" s="244" t="n"/>
      <c r="C53" s="244" t="n"/>
      <c r="G53" s="222" t="n"/>
      <c r="H53" s="4">
        <f>i_Setup!U57</f>
        <v/>
      </c>
      <c r="I53" s="27">
        <f>i_Setup!$M$16</f>
        <v/>
      </c>
      <c r="M53" s="245">
        <f>SUMIF($T$4:$CA$4,M$4,$T53:$CA53)</f>
        <v/>
      </c>
      <c r="N53" s="245">
        <f>SUMIF($T$4:$CA$4,N$4,$T53:$CA53)</f>
        <v/>
      </c>
      <c r="O53" s="245">
        <f>SUMIF($T$4:$CA$4,O$4,$T53:$CA53)</f>
        <v/>
      </c>
      <c r="P53" s="245">
        <f>SUMIF($T$4:$CA$4,P$4,$T53:$CA53)</f>
        <v/>
      </c>
      <c r="Q53" s="245">
        <f>SUMIF($T$4:$CA$4,Q$4,$T53:$CA53)</f>
        <v/>
      </c>
      <c r="T53" s="257">
        <f>IF(T$7="Actual",i_Actuals!T53,c_Calculations!T497)</f>
        <v/>
      </c>
      <c r="U53" s="257">
        <f>IF(U$7="Actual",i_Actuals!U53,c_Calculations!U497)</f>
        <v/>
      </c>
      <c r="V53" s="257">
        <f>IF(V$7="Actual",i_Actuals!V53,c_Calculations!V497)</f>
        <v/>
      </c>
      <c r="W53" s="257">
        <f>IF(W$7="Actual",i_Actuals!W53,c_Calculations!W497)</f>
        <v/>
      </c>
      <c r="X53" s="257">
        <f>IF(X$7="Actual",i_Actuals!X53,c_Calculations!X497)</f>
        <v/>
      </c>
      <c r="Y53" s="257">
        <f>IF(Y$7="Actual",i_Actuals!Y53,c_Calculations!Y497)</f>
        <v/>
      </c>
      <c r="Z53" s="257">
        <f>IF(Z$7="Actual",i_Actuals!Z53,c_Calculations!Z497)</f>
        <v/>
      </c>
      <c r="AA53" s="257">
        <f>IF(AA$7="Actual",i_Actuals!AA53,c_Calculations!AA497)</f>
        <v/>
      </c>
      <c r="AB53" s="257">
        <f>IF(AB$7="Actual",i_Actuals!AB53,c_Calculations!AB497)</f>
        <v/>
      </c>
      <c r="AC53" s="257">
        <f>IF(AC$7="Actual",i_Actuals!AC53,c_Calculations!AC497)</f>
        <v/>
      </c>
      <c r="AD53" s="257">
        <f>IF(AD$7="Actual",i_Actuals!AD53,c_Calculations!AD497)</f>
        <v/>
      </c>
      <c r="AE53" s="257">
        <f>IF(AE$7="Actual",i_Actuals!AE53,c_Calculations!AE497)</f>
        <v/>
      </c>
      <c r="AF53" s="257">
        <f>IF(AF$7="Actual",i_Actuals!AF53,c_Calculations!AF497)</f>
        <v/>
      </c>
      <c r="AG53" s="257">
        <f>IF(AG$7="Actual",i_Actuals!AG53,c_Calculations!AG497)</f>
        <v/>
      </c>
      <c r="AH53" s="257">
        <f>IF(AH$7="Actual",i_Actuals!AH53,c_Calculations!AH497)</f>
        <v/>
      </c>
      <c r="AI53" s="257">
        <f>IF(AI$7="Actual",i_Actuals!AI53,c_Calculations!AI497)</f>
        <v/>
      </c>
      <c r="AJ53" s="257">
        <f>IF(AJ$7="Actual",i_Actuals!AJ53,c_Calculations!AJ497)</f>
        <v/>
      </c>
      <c r="AK53" s="257">
        <f>IF(AK$7="Actual",i_Actuals!AK53,c_Calculations!AK497)</f>
        <v/>
      </c>
      <c r="AL53" s="257">
        <f>IF(AL$7="Actual",i_Actuals!AL53,c_Calculations!AL497)</f>
        <v/>
      </c>
      <c r="AM53" s="257">
        <f>IF(AM$7="Actual",i_Actuals!AM53,c_Calculations!AM497)</f>
        <v/>
      </c>
      <c r="AN53" s="257">
        <f>IF(AN$7="Actual",i_Actuals!AN53,c_Calculations!AN497)</f>
        <v/>
      </c>
      <c r="AO53" s="257">
        <f>IF(AO$7="Actual",i_Actuals!AO53,c_Calculations!AO497)</f>
        <v/>
      </c>
      <c r="AP53" s="257">
        <f>IF(AP$7="Actual",i_Actuals!AP53,c_Calculations!AP497)</f>
        <v/>
      </c>
      <c r="AQ53" s="257">
        <f>IF(AQ$7="Actual",i_Actuals!AQ53,c_Calculations!AQ497)</f>
        <v/>
      </c>
      <c r="AR53" s="257">
        <f>IF(AR$7="Actual",i_Actuals!AR53,c_Calculations!AR497)</f>
        <v/>
      </c>
      <c r="AS53" s="257">
        <f>IF(AS$7="Actual",i_Actuals!AS53,c_Calculations!AS497)</f>
        <v/>
      </c>
      <c r="AT53" s="257">
        <f>IF(AT$7="Actual",i_Actuals!AT53,c_Calculations!AT497)</f>
        <v/>
      </c>
      <c r="AU53" s="257">
        <f>IF(AU$7="Actual",i_Actuals!AU53,c_Calculations!AU497)</f>
        <v/>
      </c>
      <c r="AV53" s="257">
        <f>IF(AV$7="Actual",i_Actuals!AV53,c_Calculations!AV497)</f>
        <v/>
      </c>
      <c r="AW53" s="257">
        <f>IF(AW$7="Actual",i_Actuals!AW53,c_Calculations!AW497)</f>
        <v/>
      </c>
      <c r="AX53" s="257">
        <f>IF(AX$7="Actual",i_Actuals!AX53,c_Calculations!AX497)</f>
        <v/>
      </c>
      <c r="AY53" s="257">
        <f>IF(AY$7="Actual",i_Actuals!AY53,c_Calculations!AY497)</f>
        <v/>
      </c>
      <c r="AZ53" s="257">
        <f>IF(AZ$7="Actual",i_Actuals!AZ53,c_Calculations!AZ497)</f>
        <v/>
      </c>
      <c r="BA53" s="257">
        <f>IF(BA$7="Actual",i_Actuals!BA53,c_Calculations!BA497)</f>
        <v/>
      </c>
      <c r="BB53" s="257">
        <f>IF(BB$7="Actual",i_Actuals!BB53,c_Calculations!BB497)</f>
        <v/>
      </c>
      <c r="BC53" s="257">
        <f>IF(BC$7="Actual",i_Actuals!BC53,c_Calculations!BC497)</f>
        <v/>
      </c>
      <c r="BD53" s="257">
        <f>IF(BD$7="Actual",i_Actuals!BD53,c_Calculations!BD497)</f>
        <v/>
      </c>
      <c r="BE53" s="257">
        <f>IF(BE$7="Actual",i_Actuals!BE53,c_Calculations!BE497)</f>
        <v/>
      </c>
      <c r="BF53" s="257">
        <f>IF(BF$7="Actual",i_Actuals!BF53,c_Calculations!BF497)</f>
        <v/>
      </c>
      <c r="BG53" s="257">
        <f>IF(BG$7="Actual",i_Actuals!BG53,c_Calculations!BG497)</f>
        <v/>
      </c>
      <c r="BH53" s="257">
        <f>IF(BH$7="Actual",i_Actuals!BH53,c_Calculations!BH497)</f>
        <v/>
      </c>
      <c r="BI53" s="257">
        <f>IF(BI$7="Actual",i_Actuals!BI53,c_Calculations!BI497)</f>
        <v/>
      </c>
      <c r="BJ53" s="257">
        <f>IF(BJ$7="Actual",i_Actuals!BJ53,c_Calculations!BJ497)</f>
        <v/>
      </c>
      <c r="BK53" s="257">
        <f>IF(BK$7="Actual",i_Actuals!BK53,c_Calculations!BK497)</f>
        <v/>
      </c>
      <c r="BL53" s="257">
        <f>IF(BL$7="Actual",i_Actuals!BL53,c_Calculations!BL497)</f>
        <v/>
      </c>
      <c r="BM53" s="257">
        <f>IF(BM$7="Actual",i_Actuals!BM53,c_Calculations!BM497)</f>
        <v/>
      </c>
      <c r="BN53" s="257">
        <f>IF(BN$7="Actual",i_Actuals!BN53,c_Calculations!BN497)</f>
        <v/>
      </c>
      <c r="BO53" s="257">
        <f>IF(BO$7="Actual",i_Actuals!BO53,c_Calculations!BO497)</f>
        <v/>
      </c>
      <c r="BP53" s="257">
        <f>IF(BP$7="Actual",i_Actuals!BP53,c_Calculations!BP497)</f>
        <v/>
      </c>
      <c r="BQ53" s="257">
        <f>IF(BQ$7="Actual",i_Actuals!BQ53,c_Calculations!BQ497)</f>
        <v/>
      </c>
      <c r="BR53" s="257">
        <f>IF(BR$7="Actual",i_Actuals!BR53,c_Calculations!BR497)</f>
        <v/>
      </c>
      <c r="BS53" s="257">
        <f>IF(BS$7="Actual",i_Actuals!BS53,c_Calculations!BS497)</f>
        <v/>
      </c>
      <c r="BT53" s="257">
        <f>IF(BT$7="Actual",i_Actuals!BT53,c_Calculations!BT497)</f>
        <v/>
      </c>
      <c r="BU53" s="257">
        <f>IF(BU$7="Actual",i_Actuals!BU53,c_Calculations!BU497)</f>
        <v/>
      </c>
      <c r="BV53" s="257">
        <f>IF(BV$7="Actual",i_Actuals!BV53,c_Calculations!BV497)</f>
        <v/>
      </c>
      <c r="BW53" s="257">
        <f>IF(BW$7="Actual",i_Actuals!BW53,c_Calculations!BW497)</f>
        <v/>
      </c>
      <c r="BX53" s="257">
        <f>IF(BX$7="Actual",i_Actuals!BX53,c_Calculations!BX497)</f>
        <v/>
      </c>
      <c r="BY53" s="257">
        <f>IF(BY$7="Actual",i_Actuals!BY53,c_Calculations!BY497)</f>
        <v/>
      </c>
      <c r="BZ53" s="257">
        <f>IF(BZ$7="Actual",i_Actuals!BZ53,c_Calculations!BZ497)</f>
        <v/>
      </c>
      <c r="CA53" s="257">
        <f>IF(CA$7="Actual",i_Actuals!CA53,c_Calculations!CA497)</f>
        <v/>
      </c>
    </row>
    <row r="54" ht="12" customHeight="1" s="227">
      <c r="A54" s="244" t="n"/>
      <c r="B54" s="244" t="n"/>
      <c r="C54" s="244" t="n"/>
      <c r="G54" s="222" t="n"/>
      <c r="H54" s="4">
        <f>i_Setup!U58</f>
        <v/>
      </c>
      <c r="I54" s="27">
        <f>i_Setup!$M$16</f>
        <v/>
      </c>
      <c r="M54" s="245">
        <f>SUMIF($T$4:$CA$4,M$4,$T54:$CA54)</f>
        <v/>
      </c>
      <c r="N54" s="245">
        <f>SUMIF($T$4:$CA$4,N$4,$T54:$CA54)</f>
        <v/>
      </c>
      <c r="O54" s="245">
        <f>SUMIF($T$4:$CA$4,O$4,$T54:$CA54)</f>
        <v/>
      </c>
      <c r="P54" s="245">
        <f>SUMIF($T$4:$CA$4,P$4,$T54:$CA54)</f>
        <v/>
      </c>
      <c r="Q54" s="245">
        <f>SUMIF($T$4:$CA$4,Q$4,$T54:$CA54)</f>
        <v/>
      </c>
      <c r="T54" s="257">
        <f>IF(T$7="Actual",i_Actuals!T54,c_Calculations!T498)</f>
        <v/>
      </c>
      <c r="U54" s="257">
        <f>IF(U$7="Actual",i_Actuals!U54,c_Calculations!U498)</f>
        <v/>
      </c>
      <c r="V54" s="257">
        <f>IF(V$7="Actual",i_Actuals!V54,c_Calculations!V498)</f>
        <v/>
      </c>
      <c r="W54" s="257">
        <f>IF(W$7="Actual",i_Actuals!W54,c_Calculations!W498)</f>
        <v/>
      </c>
      <c r="X54" s="257">
        <f>IF(X$7="Actual",i_Actuals!X54,c_Calculations!X498)</f>
        <v/>
      </c>
      <c r="Y54" s="257">
        <f>IF(Y$7="Actual",i_Actuals!Y54,c_Calculations!Y498)</f>
        <v/>
      </c>
      <c r="Z54" s="257">
        <f>IF(Z$7="Actual",i_Actuals!Z54,c_Calculations!Z498)</f>
        <v/>
      </c>
      <c r="AA54" s="257">
        <f>IF(AA$7="Actual",i_Actuals!AA54,c_Calculations!AA498)</f>
        <v/>
      </c>
      <c r="AB54" s="257">
        <f>IF(AB$7="Actual",i_Actuals!AB54,c_Calculations!AB498)</f>
        <v/>
      </c>
      <c r="AC54" s="257">
        <f>IF(AC$7="Actual",i_Actuals!AC54,c_Calculations!AC498)</f>
        <v/>
      </c>
      <c r="AD54" s="257">
        <f>IF(AD$7="Actual",i_Actuals!AD54,c_Calculations!AD498)</f>
        <v/>
      </c>
      <c r="AE54" s="257">
        <f>IF(AE$7="Actual",i_Actuals!AE54,c_Calculations!AE498)</f>
        <v/>
      </c>
      <c r="AF54" s="257">
        <f>IF(AF$7="Actual",i_Actuals!AF54,c_Calculations!AF498)</f>
        <v/>
      </c>
      <c r="AG54" s="257">
        <f>IF(AG$7="Actual",i_Actuals!AG54,c_Calculations!AG498)</f>
        <v/>
      </c>
      <c r="AH54" s="257">
        <f>IF(AH$7="Actual",i_Actuals!AH54,c_Calculations!AH498)</f>
        <v/>
      </c>
      <c r="AI54" s="257">
        <f>IF(AI$7="Actual",i_Actuals!AI54,c_Calculations!AI498)</f>
        <v/>
      </c>
      <c r="AJ54" s="257">
        <f>IF(AJ$7="Actual",i_Actuals!AJ54,c_Calculations!AJ498)</f>
        <v/>
      </c>
      <c r="AK54" s="257">
        <f>IF(AK$7="Actual",i_Actuals!AK54,c_Calculations!AK498)</f>
        <v/>
      </c>
      <c r="AL54" s="257">
        <f>IF(AL$7="Actual",i_Actuals!AL54,c_Calculations!AL498)</f>
        <v/>
      </c>
      <c r="AM54" s="257">
        <f>IF(AM$7="Actual",i_Actuals!AM54,c_Calculations!AM498)</f>
        <v/>
      </c>
      <c r="AN54" s="257">
        <f>IF(AN$7="Actual",i_Actuals!AN54,c_Calculations!AN498)</f>
        <v/>
      </c>
      <c r="AO54" s="257">
        <f>IF(AO$7="Actual",i_Actuals!AO54,c_Calculations!AO498)</f>
        <v/>
      </c>
      <c r="AP54" s="257">
        <f>IF(AP$7="Actual",i_Actuals!AP54,c_Calculations!AP498)</f>
        <v/>
      </c>
      <c r="AQ54" s="257">
        <f>IF(AQ$7="Actual",i_Actuals!AQ54,c_Calculations!AQ498)</f>
        <v/>
      </c>
      <c r="AR54" s="257">
        <f>IF(AR$7="Actual",i_Actuals!AR54,c_Calculations!AR498)</f>
        <v/>
      </c>
      <c r="AS54" s="257">
        <f>IF(AS$7="Actual",i_Actuals!AS54,c_Calculations!AS498)</f>
        <v/>
      </c>
      <c r="AT54" s="257">
        <f>IF(AT$7="Actual",i_Actuals!AT54,c_Calculations!AT498)</f>
        <v/>
      </c>
      <c r="AU54" s="257">
        <f>IF(AU$7="Actual",i_Actuals!AU54,c_Calculations!AU498)</f>
        <v/>
      </c>
      <c r="AV54" s="257">
        <f>IF(AV$7="Actual",i_Actuals!AV54,c_Calculations!AV498)</f>
        <v/>
      </c>
      <c r="AW54" s="257">
        <f>IF(AW$7="Actual",i_Actuals!AW54,c_Calculations!AW498)</f>
        <v/>
      </c>
      <c r="AX54" s="257">
        <f>IF(AX$7="Actual",i_Actuals!AX54,c_Calculations!AX498)</f>
        <v/>
      </c>
      <c r="AY54" s="257">
        <f>IF(AY$7="Actual",i_Actuals!AY54,c_Calculations!AY498)</f>
        <v/>
      </c>
      <c r="AZ54" s="257">
        <f>IF(AZ$7="Actual",i_Actuals!AZ54,c_Calculations!AZ498)</f>
        <v/>
      </c>
      <c r="BA54" s="257">
        <f>IF(BA$7="Actual",i_Actuals!BA54,c_Calculations!BA498)</f>
        <v/>
      </c>
      <c r="BB54" s="257">
        <f>IF(BB$7="Actual",i_Actuals!BB54,c_Calculations!BB498)</f>
        <v/>
      </c>
      <c r="BC54" s="257">
        <f>IF(BC$7="Actual",i_Actuals!BC54,c_Calculations!BC498)</f>
        <v/>
      </c>
      <c r="BD54" s="257">
        <f>IF(BD$7="Actual",i_Actuals!BD54,c_Calculations!BD498)</f>
        <v/>
      </c>
      <c r="BE54" s="257">
        <f>IF(BE$7="Actual",i_Actuals!BE54,c_Calculations!BE498)</f>
        <v/>
      </c>
      <c r="BF54" s="257">
        <f>IF(BF$7="Actual",i_Actuals!BF54,c_Calculations!BF498)</f>
        <v/>
      </c>
      <c r="BG54" s="257">
        <f>IF(BG$7="Actual",i_Actuals!BG54,c_Calculations!BG498)</f>
        <v/>
      </c>
      <c r="BH54" s="257">
        <f>IF(BH$7="Actual",i_Actuals!BH54,c_Calculations!BH498)</f>
        <v/>
      </c>
      <c r="BI54" s="257">
        <f>IF(BI$7="Actual",i_Actuals!BI54,c_Calculations!BI498)</f>
        <v/>
      </c>
      <c r="BJ54" s="257">
        <f>IF(BJ$7="Actual",i_Actuals!BJ54,c_Calculations!BJ498)</f>
        <v/>
      </c>
      <c r="BK54" s="257">
        <f>IF(BK$7="Actual",i_Actuals!BK54,c_Calculations!BK498)</f>
        <v/>
      </c>
      <c r="BL54" s="257">
        <f>IF(BL$7="Actual",i_Actuals!BL54,c_Calculations!BL498)</f>
        <v/>
      </c>
      <c r="BM54" s="257">
        <f>IF(BM$7="Actual",i_Actuals!BM54,c_Calculations!BM498)</f>
        <v/>
      </c>
      <c r="BN54" s="257">
        <f>IF(BN$7="Actual",i_Actuals!BN54,c_Calculations!BN498)</f>
        <v/>
      </c>
      <c r="BO54" s="257">
        <f>IF(BO$7="Actual",i_Actuals!BO54,c_Calculations!BO498)</f>
        <v/>
      </c>
      <c r="BP54" s="257">
        <f>IF(BP$7="Actual",i_Actuals!BP54,c_Calculations!BP498)</f>
        <v/>
      </c>
      <c r="BQ54" s="257">
        <f>IF(BQ$7="Actual",i_Actuals!BQ54,c_Calculations!BQ498)</f>
        <v/>
      </c>
      <c r="BR54" s="257">
        <f>IF(BR$7="Actual",i_Actuals!BR54,c_Calculations!BR498)</f>
        <v/>
      </c>
      <c r="BS54" s="257">
        <f>IF(BS$7="Actual",i_Actuals!BS54,c_Calculations!BS498)</f>
        <v/>
      </c>
      <c r="BT54" s="257">
        <f>IF(BT$7="Actual",i_Actuals!BT54,c_Calculations!BT498)</f>
        <v/>
      </c>
      <c r="BU54" s="257">
        <f>IF(BU$7="Actual",i_Actuals!BU54,c_Calculations!BU498)</f>
        <v/>
      </c>
      <c r="BV54" s="257">
        <f>IF(BV$7="Actual",i_Actuals!BV54,c_Calculations!BV498)</f>
        <v/>
      </c>
      <c r="BW54" s="257">
        <f>IF(BW$7="Actual",i_Actuals!BW54,c_Calculations!BW498)</f>
        <v/>
      </c>
      <c r="BX54" s="257">
        <f>IF(BX$7="Actual",i_Actuals!BX54,c_Calculations!BX498)</f>
        <v/>
      </c>
      <c r="BY54" s="257">
        <f>IF(BY$7="Actual",i_Actuals!BY54,c_Calculations!BY498)</f>
        <v/>
      </c>
      <c r="BZ54" s="257">
        <f>IF(BZ$7="Actual",i_Actuals!BZ54,c_Calculations!BZ498)</f>
        <v/>
      </c>
      <c r="CA54" s="257">
        <f>IF(CA$7="Actual",i_Actuals!CA54,c_Calculations!CA498)</f>
        <v/>
      </c>
    </row>
    <row r="55" ht="12" customHeight="1" s="227">
      <c r="A55" s="244" t="n"/>
      <c r="B55" s="244" t="n"/>
      <c r="C55" s="244" t="n"/>
      <c r="G55" s="222" t="n"/>
      <c r="H55" s="4">
        <f>i_Setup!U59</f>
        <v/>
      </c>
      <c r="I55" s="27">
        <f>i_Setup!$M$16</f>
        <v/>
      </c>
      <c r="M55" s="245">
        <f>SUMIF($T$4:$CA$4,M$4,$T55:$CA55)</f>
        <v/>
      </c>
      <c r="N55" s="245">
        <f>SUMIF($T$4:$CA$4,N$4,$T55:$CA55)</f>
        <v/>
      </c>
      <c r="O55" s="245">
        <f>SUMIF($T$4:$CA$4,O$4,$T55:$CA55)</f>
        <v/>
      </c>
      <c r="P55" s="245">
        <f>SUMIF($T$4:$CA$4,P$4,$T55:$CA55)</f>
        <v/>
      </c>
      <c r="Q55" s="245">
        <f>SUMIF($T$4:$CA$4,Q$4,$T55:$CA55)</f>
        <v/>
      </c>
      <c r="T55" s="257">
        <f>IF(T$7="Actual",i_Actuals!T55,c_Calculations!T499)</f>
        <v/>
      </c>
      <c r="U55" s="257">
        <f>IF(U$7="Actual",i_Actuals!U55,c_Calculations!U499)</f>
        <v/>
      </c>
      <c r="V55" s="257">
        <f>IF(V$7="Actual",i_Actuals!V55,c_Calculations!V499)</f>
        <v/>
      </c>
      <c r="W55" s="257">
        <f>IF(W$7="Actual",i_Actuals!W55,c_Calculations!W499)</f>
        <v/>
      </c>
      <c r="X55" s="257">
        <f>IF(X$7="Actual",i_Actuals!X55,c_Calculations!X499)</f>
        <v/>
      </c>
      <c r="Y55" s="257">
        <f>IF(Y$7="Actual",i_Actuals!Y55,c_Calculations!Y499)</f>
        <v/>
      </c>
      <c r="Z55" s="257">
        <f>IF(Z$7="Actual",i_Actuals!Z55,c_Calculations!Z499)</f>
        <v/>
      </c>
      <c r="AA55" s="257">
        <f>IF(AA$7="Actual",i_Actuals!AA55,c_Calculations!AA499)</f>
        <v/>
      </c>
      <c r="AB55" s="257">
        <f>IF(AB$7="Actual",i_Actuals!AB55,c_Calculations!AB499)</f>
        <v/>
      </c>
      <c r="AC55" s="257">
        <f>IF(AC$7="Actual",i_Actuals!AC55,c_Calculations!AC499)</f>
        <v/>
      </c>
      <c r="AD55" s="257">
        <f>IF(AD$7="Actual",i_Actuals!AD55,c_Calculations!AD499)</f>
        <v/>
      </c>
      <c r="AE55" s="257">
        <f>IF(AE$7="Actual",i_Actuals!AE55,c_Calculations!AE499)</f>
        <v/>
      </c>
      <c r="AF55" s="257">
        <f>IF(AF$7="Actual",i_Actuals!AF55,c_Calculations!AF499)</f>
        <v/>
      </c>
      <c r="AG55" s="257">
        <f>IF(AG$7="Actual",i_Actuals!AG55,c_Calculations!AG499)</f>
        <v/>
      </c>
      <c r="AH55" s="257">
        <f>IF(AH$7="Actual",i_Actuals!AH55,c_Calculations!AH499)</f>
        <v/>
      </c>
      <c r="AI55" s="257">
        <f>IF(AI$7="Actual",i_Actuals!AI55,c_Calculations!AI499)</f>
        <v/>
      </c>
      <c r="AJ55" s="257">
        <f>IF(AJ$7="Actual",i_Actuals!AJ55,c_Calculations!AJ499)</f>
        <v/>
      </c>
      <c r="AK55" s="257">
        <f>IF(AK$7="Actual",i_Actuals!AK55,c_Calculations!AK499)</f>
        <v/>
      </c>
      <c r="AL55" s="257">
        <f>IF(AL$7="Actual",i_Actuals!AL55,c_Calculations!AL499)</f>
        <v/>
      </c>
      <c r="AM55" s="257">
        <f>IF(AM$7="Actual",i_Actuals!AM55,c_Calculations!AM499)</f>
        <v/>
      </c>
      <c r="AN55" s="257">
        <f>IF(AN$7="Actual",i_Actuals!AN55,c_Calculations!AN499)</f>
        <v/>
      </c>
      <c r="AO55" s="257">
        <f>IF(AO$7="Actual",i_Actuals!AO55,c_Calculations!AO499)</f>
        <v/>
      </c>
      <c r="AP55" s="257">
        <f>IF(AP$7="Actual",i_Actuals!AP55,c_Calculations!AP499)</f>
        <v/>
      </c>
      <c r="AQ55" s="257">
        <f>IF(AQ$7="Actual",i_Actuals!AQ55,c_Calculations!AQ499)</f>
        <v/>
      </c>
      <c r="AR55" s="257">
        <f>IF(AR$7="Actual",i_Actuals!AR55,c_Calculations!AR499)</f>
        <v/>
      </c>
      <c r="AS55" s="257">
        <f>IF(AS$7="Actual",i_Actuals!AS55,c_Calculations!AS499)</f>
        <v/>
      </c>
      <c r="AT55" s="257">
        <f>IF(AT$7="Actual",i_Actuals!AT55,c_Calculations!AT499)</f>
        <v/>
      </c>
      <c r="AU55" s="257">
        <f>IF(AU$7="Actual",i_Actuals!AU55,c_Calculations!AU499)</f>
        <v/>
      </c>
      <c r="AV55" s="257">
        <f>IF(AV$7="Actual",i_Actuals!AV55,c_Calculations!AV499)</f>
        <v/>
      </c>
      <c r="AW55" s="257">
        <f>IF(AW$7="Actual",i_Actuals!AW55,c_Calculations!AW499)</f>
        <v/>
      </c>
      <c r="AX55" s="257">
        <f>IF(AX$7="Actual",i_Actuals!AX55,c_Calculations!AX499)</f>
        <v/>
      </c>
      <c r="AY55" s="257">
        <f>IF(AY$7="Actual",i_Actuals!AY55,c_Calculations!AY499)</f>
        <v/>
      </c>
      <c r="AZ55" s="257">
        <f>IF(AZ$7="Actual",i_Actuals!AZ55,c_Calculations!AZ499)</f>
        <v/>
      </c>
      <c r="BA55" s="257">
        <f>IF(BA$7="Actual",i_Actuals!BA55,c_Calculations!BA499)</f>
        <v/>
      </c>
      <c r="BB55" s="257">
        <f>IF(BB$7="Actual",i_Actuals!BB55,c_Calculations!BB499)</f>
        <v/>
      </c>
      <c r="BC55" s="257">
        <f>IF(BC$7="Actual",i_Actuals!BC55,c_Calculations!BC499)</f>
        <v/>
      </c>
      <c r="BD55" s="257">
        <f>IF(BD$7="Actual",i_Actuals!BD55,c_Calculations!BD499)</f>
        <v/>
      </c>
      <c r="BE55" s="257">
        <f>IF(BE$7="Actual",i_Actuals!BE55,c_Calculations!BE499)</f>
        <v/>
      </c>
      <c r="BF55" s="257">
        <f>IF(BF$7="Actual",i_Actuals!BF55,c_Calculations!BF499)</f>
        <v/>
      </c>
      <c r="BG55" s="257">
        <f>IF(BG$7="Actual",i_Actuals!BG55,c_Calculations!BG499)</f>
        <v/>
      </c>
      <c r="BH55" s="257">
        <f>IF(BH$7="Actual",i_Actuals!BH55,c_Calculations!BH499)</f>
        <v/>
      </c>
      <c r="BI55" s="257">
        <f>IF(BI$7="Actual",i_Actuals!BI55,c_Calculations!BI499)</f>
        <v/>
      </c>
      <c r="BJ55" s="257">
        <f>IF(BJ$7="Actual",i_Actuals!BJ55,c_Calculations!BJ499)</f>
        <v/>
      </c>
      <c r="BK55" s="257">
        <f>IF(BK$7="Actual",i_Actuals!BK55,c_Calculations!BK499)</f>
        <v/>
      </c>
      <c r="BL55" s="257">
        <f>IF(BL$7="Actual",i_Actuals!BL55,c_Calculations!BL499)</f>
        <v/>
      </c>
      <c r="BM55" s="257">
        <f>IF(BM$7="Actual",i_Actuals!BM55,c_Calculations!BM499)</f>
        <v/>
      </c>
      <c r="BN55" s="257">
        <f>IF(BN$7="Actual",i_Actuals!BN55,c_Calculations!BN499)</f>
        <v/>
      </c>
      <c r="BO55" s="257">
        <f>IF(BO$7="Actual",i_Actuals!BO55,c_Calculations!BO499)</f>
        <v/>
      </c>
      <c r="BP55" s="257">
        <f>IF(BP$7="Actual",i_Actuals!BP55,c_Calculations!BP499)</f>
        <v/>
      </c>
      <c r="BQ55" s="257">
        <f>IF(BQ$7="Actual",i_Actuals!BQ55,c_Calculations!BQ499)</f>
        <v/>
      </c>
      <c r="BR55" s="257">
        <f>IF(BR$7="Actual",i_Actuals!BR55,c_Calculations!BR499)</f>
        <v/>
      </c>
      <c r="BS55" s="257">
        <f>IF(BS$7="Actual",i_Actuals!BS55,c_Calculations!BS499)</f>
        <v/>
      </c>
      <c r="BT55" s="257">
        <f>IF(BT$7="Actual",i_Actuals!BT55,c_Calculations!BT499)</f>
        <v/>
      </c>
      <c r="BU55" s="257">
        <f>IF(BU$7="Actual",i_Actuals!BU55,c_Calculations!BU499)</f>
        <v/>
      </c>
      <c r="BV55" s="257">
        <f>IF(BV$7="Actual",i_Actuals!BV55,c_Calculations!BV499)</f>
        <v/>
      </c>
      <c r="BW55" s="257">
        <f>IF(BW$7="Actual",i_Actuals!BW55,c_Calculations!BW499)</f>
        <v/>
      </c>
      <c r="BX55" s="257">
        <f>IF(BX$7="Actual",i_Actuals!BX55,c_Calculations!BX499)</f>
        <v/>
      </c>
      <c r="BY55" s="257">
        <f>IF(BY$7="Actual",i_Actuals!BY55,c_Calculations!BY499)</f>
        <v/>
      </c>
      <c r="BZ55" s="257">
        <f>IF(BZ$7="Actual",i_Actuals!BZ55,c_Calculations!BZ499)</f>
        <v/>
      </c>
      <c r="CA55" s="257">
        <f>IF(CA$7="Actual",i_Actuals!CA55,c_Calculations!CA499)</f>
        <v/>
      </c>
    </row>
    <row r="56" ht="12" customHeight="1" s="227">
      <c r="A56" s="244" t="n"/>
      <c r="B56" s="244" t="n"/>
      <c r="C56" s="244" t="n"/>
      <c r="G56" s="222" t="n"/>
      <c r="H56" s="4">
        <f>i_Setup!U60</f>
        <v/>
      </c>
      <c r="I56" s="27">
        <f>i_Setup!$M$16</f>
        <v/>
      </c>
      <c r="M56" s="245">
        <f>SUMIF($T$4:$CA$4,M$4,$T56:$CA56)</f>
        <v/>
      </c>
      <c r="N56" s="245">
        <f>SUMIF($T$4:$CA$4,N$4,$T56:$CA56)</f>
        <v/>
      </c>
      <c r="O56" s="245">
        <f>SUMIF($T$4:$CA$4,O$4,$T56:$CA56)</f>
        <v/>
      </c>
      <c r="P56" s="245">
        <f>SUMIF($T$4:$CA$4,P$4,$T56:$CA56)</f>
        <v/>
      </c>
      <c r="Q56" s="245">
        <f>SUMIF($T$4:$CA$4,Q$4,$T56:$CA56)</f>
        <v/>
      </c>
      <c r="T56" s="257">
        <f>IF(T$7="Actual",i_Actuals!T56,c_Calculations!T500)</f>
        <v/>
      </c>
      <c r="U56" s="257">
        <f>IF(U$7="Actual",i_Actuals!U56,c_Calculations!U500)</f>
        <v/>
      </c>
      <c r="V56" s="257">
        <f>IF(V$7="Actual",i_Actuals!V56,c_Calculations!V500)</f>
        <v/>
      </c>
      <c r="W56" s="257">
        <f>IF(W$7="Actual",i_Actuals!W56,c_Calculations!W500)</f>
        <v/>
      </c>
      <c r="X56" s="257">
        <f>IF(X$7="Actual",i_Actuals!X56,c_Calculations!X500)</f>
        <v/>
      </c>
      <c r="Y56" s="257">
        <f>IF(Y$7="Actual",i_Actuals!Y56,c_Calculations!Y500)</f>
        <v/>
      </c>
      <c r="Z56" s="257">
        <f>IF(Z$7="Actual",i_Actuals!Z56,c_Calculations!Z500)</f>
        <v/>
      </c>
      <c r="AA56" s="257">
        <f>IF(AA$7="Actual",i_Actuals!AA56,c_Calculations!AA500)</f>
        <v/>
      </c>
      <c r="AB56" s="257">
        <f>IF(AB$7="Actual",i_Actuals!AB56,c_Calculations!AB500)</f>
        <v/>
      </c>
      <c r="AC56" s="257">
        <f>IF(AC$7="Actual",i_Actuals!AC56,c_Calculations!AC500)</f>
        <v/>
      </c>
      <c r="AD56" s="257">
        <f>IF(AD$7="Actual",i_Actuals!AD56,c_Calculations!AD500)</f>
        <v/>
      </c>
      <c r="AE56" s="257">
        <f>IF(AE$7="Actual",i_Actuals!AE56,c_Calculations!AE500)</f>
        <v/>
      </c>
      <c r="AF56" s="257">
        <f>IF(AF$7="Actual",i_Actuals!AF56,c_Calculations!AF500)</f>
        <v/>
      </c>
      <c r="AG56" s="257">
        <f>IF(AG$7="Actual",i_Actuals!AG56,c_Calculations!AG500)</f>
        <v/>
      </c>
      <c r="AH56" s="257">
        <f>IF(AH$7="Actual",i_Actuals!AH56,c_Calculations!AH500)</f>
        <v/>
      </c>
      <c r="AI56" s="257">
        <f>IF(AI$7="Actual",i_Actuals!AI56,c_Calculations!AI500)</f>
        <v/>
      </c>
      <c r="AJ56" s="257">
        <f>IF(AJ$7="Actual",i_Actuals!AJ56,c_Calculations!AJ500)</f>
        <v/>
      </c>
      <c r="AK56" s="257">
        <f>IF(AK$7="Actual",i_Actuals!AK56,c_Calculations!AK500)</f>
        <v/>
      </c>
      <c r="AL56" s="257">
        <f>IF(AL$7="Actual",i_Actuals!AL56,c_Calculations!AL500)</f>
        <v/>
      </c>
      <c r="AM56" s="257">
        <f>IF(AM$7="Actual",i_Actuals!AM56,c_Calculations!AM500)</f>
        <v/>
      </c>
      <c r="AN56" s="257">
        <f>IF(AN$7="Actual",i_Actuals!AN56,c_Calculations!AN500)</f>
        <v/>
      </c>
      <c r="AO56" s="257">
        <f>IF(AO$7="Actual",i_Actuals!AO56,c_Calculations!AO500)</f>
        <v/>
      </c>
      <c r="AP56" s="257">
        <f>IF(AP$7="Actual",i_Actuals!AP56,c_Calculations!AP500)</f>
        <v/>
      </c>
      <c r="AQ56" s="257">
        <f>IF(AQ$7="Actual",i_Actuals!AQ56,c_Calculations!AQ500)</f>
        <v/>
      </c>
      <c r="AR56" s="257">
        <f>IF(AR$7="Actual",i_Actuals!AR56,c_Calculations!AR500)</f>
        <v/>
      </c>
      <c r="AS56" s="257">
        <f>IF(AS$7="Actual",i_Actuals!AS56,c_Calculations!AS500)</f>
        <v/>
      </c>
      <c r="AT56" s="257">
        <f>IF(AT$7="Actual",i_Actuals!AT56,c_Calculations!AT500)</f>
        <v/>
      </c>
      <c r="AU56" s="257">
        <f>IF(AU$7="Actual",i_Actuals!AU56,c_Calculations!AU500)</f>
        <v/>
      </c>
      <c r="AV56" s="257">
        <f>IF(AV$7="Actual",i_Actuals!AV56,c_Calculations!AV500)</f>
        <v/>
      </c>
      <c r="AW56" s="257">
        <f>IF(AW$7="Actual",i_Actuals!AW56,c_Calculations!AW500)</f>
        <v/>
      </c>
      <c r="AX56" s="257">
        <f>IF(AX$7="Actual",i_Actuals!AX56,c_Calculations!AX500)</f>
        <v/>
      </c>
      <c r="AY56" s="257">
        <f>IF(AY$7="Actual",i_Actuals!AY56,c_Calculations!AY500)</f>
        <v/>
      </c>
      <c r="AZ56" s="257">
        <f>IF(AZ$7="Actual",i_Actuals!AZ56,c_Calculations!AZ500)</f>
        <v/>
      </c>
      <c r="BA56" s="257">
        <f>IF(BA$7="Actual",i_Actuals!BA56,c_Calculations!BA500)</f>
        <v/>
      </c>
      <c r="BB56" s="257">
        <f>IF(BB$7="Actual",i_Actuals!BB56,c_Calculations!BB500)</f>
        <v/>
      </c>
      <c r="BC56" s="257">
        <f>IF(BC$7="Actual",i_Actuals!BC56,c_Calculations!BC500)</f>
        <v/>
      </c>
      <c r="BD56" s="257">
        <f>IF(BD$7="Actual",i_Actuals!BD56,c_Calculations!BD500)</f>
        <v/>
      </c>
      <c r="BE56" s="257">
        <f>IF(BE$7="Actual",i_Actuals!BE56,c_Calculations!BE500)</f>
        <v/>
      </c>
      <c r="BF56" s="257">
        <f>IF(BF$7="Actual",i_Actuals!BF56,c_Calculations!BF500)</f>
        <v/>
      </c>
      <c r="BG56" s="257">
        <f>IF(BG$7="Actual",i_Actuals!BG56,c_Calculations!BG500)</f>
        <v/>
      </c>
      <c r="BH56" s="257">
        <f>IF(BH$7="Actual",i_Actuals!BH56,c_Calculations!BH500)</f>
        <v/>
      </c>
      <c r="BI56" s="257">
        <f>IF(BI$7="Actual",i_Actuals!BI56,c_Calculations!BI500)</f>
        <v/>
      </c>
      <c r="BJ56" s="257">
        <f>IF(BJ$7="Actual",i_Actuals!BJ56,c_Calculations!BJ500)</f>
        <v/>
      </c>
      <c r="BK56" s="257">
        <f>IF(BK$7="Actual",i_Actuals!BK56,c_Calculations!BK500)</f>
        <v/>
      </c>
      <c r="BL56" s="257">
        <f>IF(BL$7="Actual",i_Actuals!BL56,c_Calculations!BL500)</f>
        <v/>
      </c>
      <c r="BM56" s="257">
        <f>IF(BM$7="Actual",i_Actuals!BM56,c_Calculations!BM500)</f>
        <v/>
      </c>
      <c r="BN56" s="257">
        <f>IF(BN$7="Actual",i_Actuals!BN56,c_Calculations!BN500)</f>
        <v/>
      </c>
      <c r="BO56" s="257">
        <f>IF(BO$7="Actual",i_Actuals!BO56,c_Calculations!BO500)</f>
        <v/>
      </c>
      <c r="BP56" s="257">
        <f>IF(BP$7="Actual",i_Actuals!BP56,c_Calculations!BP500)</f>
        <v/>
      </c>
      <c r="BQ56" s="257">
        <f>IF(BQ$7="Actual",i_Actuals!BQ56,c_Calculations!BQ500)</f>
        <v/>
      </c>
      <c r="BR56" s="257">
        <f>IF(BR$7="Actual",i_Actuals!BR56,c_Calculations!BR500)</f>
        <v/>
      </c>
      <c r="BS56" s="257">
        <f>IF(BS$7="Actual",i_Actuals!BS56,c_Calculations!BS500)</f>
        <v/>
      </c>
      <c r="BT56" s="257">
        <f>IF(BT$7="Actual",i_Actuals!BT56,c_Calculations!BT500)</f>
        <v/>
      </c>
      <c r="BU56" s="257">
        <f>IF(BU$7="Actual",i_Actuals!BU56,c_Calculations!BU500)</f>
        <v/>
      </c>
      <c r="BV56" s="257">
        <f>IF(BV$7="Actual",i_Actuals!BV56,c_Calculations!BV500)</f>
        <v/>
      </c>
      <c r="BW56" s="257">
        <f>IF(BW$7="Actual",i_Actuals!BW56,c_Calculations!BW500)</f>
        <v/>
      </c>
      <c r="BX56" s="257">
        <f>IF(BX$7="Actual",i_Actuals!BX56,c_Calculations!BX500)</f>
        <v/>
      </c>
      <c r="BY56" s="257">
        <f>IF(BY$7="Actual",i_Actuals!BY56,c_Calculations!BY500)</f>
        <v/>
      </c>
      <c r="BZ56" s="257">
        <f>IF(BZ$7="Actual",i_Actuals!BZ56,c_Calculations!BZ500)</f>
        <v/>
      </c>
      <c r="CA56" s="257">
        <f>IF(CA$7="Actual",i_Actuals!CA56,c_Calculations!CA500)</f>
        <v/>
      </c>
    </row>
    <row r="57" ht="12" customHeight="1" s="227">
      <c r="A57" s="244" t="n"/>
      <c r="B57" s="244" t="n"/>
      <c r="C57" s="244" t="n"/>
      <c r="G57" s="222" t="n"/>
      <c r="H57" s="4">
        <f>i_Setup!U61</f>
        <v/>
      </c>
      <c r="I57" s="27">
        <f>i_Setup!$M$16</f>
        <v/>
      </c>
      <c r="M57" s="245">
        <f>SUMIF($T$4:$CA$4,M$4,$T57:$CA57)</f>
        <v/>
      </c>
      <c r="N57" s="245">
        <f>SUMIF($T$4:$CA$4,N$4,$T57:$CA57)</f>
        <v/>
      </c>
      <c r="O57" s="245">
        <f>SUMIF($T$4:$CA$4,O$4,$T57:$CA57)</f>
        <v/>
      </c>
      <c r="P57" s="245">
        <f>SUMIF($T$4:$CA$4,P$4,$T57:$CA57)</f>
        <v/>
      </c>
      <c r="Q57" s="245">
        <f>SUMIF($T$4:$CA$4,Q$4,$T57:$CA57)</f>
        <v/>
      </c>
      <c r="T57" s="257">
        <f>IF(T$7="Actual",i_Actuals!T57,c_Calculations!T501)</f>
        <v/>
      </c>
      <c r="U57" s="257">
        <f>IF(U$7="Actual",i_Actuals!U57,c_Calculations!U501)</f>
        <v/>
      </c>
      <c r="V57" s="257">
        <f>IF(V$7="Actual",i_Actuals!V57,c_Calculations!V501)</f>
        <v/>
      </c>
      <c r="W57" s="257">
        <f>IF(W$7="Actual",i_Actuals!W57,c_Calculations!W501)</f>
        <v/>
      </c>
      <c r="X57" s="257">
        <f>IF(X$7="Actual",i_Actuals!X57,c_Calculations!X501)</f>
        <v/>
      </c>
      <c r="Y57" s="257">
        <f>IF(Y$7="Actual",i_Actuals!Y57,c_Calculations!Y501)</f>
        <v/>
      </c>
      <c r="Z57" s="257">
        <f>IF(Z$7="Actual",i_Actuals!Z57,c_Calculations!Z501)</f>
        <v/>
      </c>
      <c r="AA57" s="257">
        <f>IF(AA$7="Actual",i_Actuals!AA57,c_Calculations!AA501)</f>
        <v/>
      </c>
      <c r="AB57" s="257">
        <f>IF(AB$7="Actual",i_Actuals!AB57,c_Calculations!AB501)</f>
        <v/>
      </c>
      <c r="AC57" s="257">
        <f>IF(AC$7="Actual",i_Actuals!AC57,c_Calculations!AC501)</f>
        <v/>
      </c>
      <c r="AD57" s="257">
        <f>IF(AD$7="Actual",i_Actuals!AD57,c_Calculations!AD501)</f>
        <v/>
      </c>
      <c r="AE57" s="257">
        <f>IF(AE$7="Actual",i_Actuals!AE57,c_Calculations!AE501)</f>
        <v/>
      </c>
      <c r="AF57" s="257">
        <f>IF(AF$7="Actual",i_Actuals!AF57,c_Calculations!AF501)</f>
        <v/>
      </c>
      <c r="AG57" s="257">
        <f>IF(AG$7="Actual",i_Actuals!AG57,c_Calculations!AG501)</f>
        <v/>
      </c>
      <c r="AH57" s="257">
        <f>IF(AH$7="Actual",i_Actuals!AH57,c_Calculations!AH501)</f>
        <v/>
      </c>
      <c r="AI57" s="257">
        <f>IF(AI$7="Actual",i_Actuals!AI57,c_Calculations!AI501)</f>
        <v/>
      </c>
      <c r="AJ57" s="257">
        <f>IF(AJ$7="Actual",i_Actuals!AJ57,c_Calculations!AJ501)</f>
        <v/>
      </c>
      <c r="AK57" s="257">
        <f>IF(AK$7="Actual",i_Actuals!AK57,c_Calculations!AK501)</f>
        <v/>
      </c>
      <c r="AL57" s="257">
        <f>IF(AL$7="Actual",i_Actuals!AL57,c_Calculations!AL501)</f>
        <v/>
      </c>
      <c r="AM57" s="257">
        <f>IF(AM$7="Actual",i_Actuals!AM57,c_Calculations!AM501)</f>
        <v/>
      </c>
      <c r="AN57" s="257">
        <f>IF(AN$7="Actual",i_Actuals!AN57,c_Calculations!AN501)</f>
        <v/>
      </c>
      <c r="AO57" s="257">
        <f>IF(AO$7="Actual",i_Actuals!AO57,c_Calculations!AO501)</f>
        <v/>
      </c>
      <c r="AP57" s="257">
        <f>IF(AP$7="Actual",i_Actuals!AP57,c_Calculations!AP501)</f>
        <v/>
      </c>
      <c r="AQ57" s="257">
        <f>IF(AQ$7="Actual",i_Actuals!AQ57,c_Calculations!AQ501)</f>
        <v/>
      </c>
      <c r="AR57" s="257">
        <f>IF(AR$7="Actual",i_Actuals!AR57,c_Calculations!AR501)</f>
        <v/>
      </c>
      <c r="AS57" s="257">
        <f>IF(AS$7="Actual",i_Actuals!AS57,c_Calculations!AS501)</f>
        <v/>
      </c>
      <c r="AT57" s="257">
        <f>IF(AT$7="Actual",i_Actuals!AT57,c_Calculations!AT501)</f>
        <v/>
      </c>
      <c r="AU57" s="257">
        <f>IF(AU$7="Actual",i_Actuals!AU57,c_Calculations!AU501)</f>
        <v/>
      </c>
      <c r="AV57" s="257">
        <f>IF(AV$7="Actual",i_Actuals!AV57,c_Calculations!AV501)</f>
        <v/>
      </c>
      <c r="AW57" s="257">
        <f>IF(AW$7="Actual",i_Actuals!AW57,c_Calculations!AW501)</f>
        <v/>
      </c>
      <c r="AX57" s="257">
        <f>IF(AX$7="Actual",i_Actuals!AX57,c_Calculations!AX501)</f>
        <v/>
      </c>
      <c r="AY57" s="257">
        <f>IF(AY$7="Actual",i_Actuals!AY57,c_Calculations!AY501)</f>
        <v/>
      </c>
      <c r="AZ57" s="257">
        <f>IF(AZ$7="Actual",i_Actuals!AZ57,c_Calculations!AZ501)</f>
        <v/>
      </c>
      <c r="BA57" s="257">
        <f>IF(BA$7="Actual",i_Actuals!BA57,c_Calculations!BA501)</f>
        <v/>
      </c>
      <c r="BB57" s="257">
        <f>IF(BB$7="Actual",i_Actuals!BB57,c_Calculations!BB501)</f>
        <v/>
      </c>
      <c r="BC57" s="257">
        <f>IF(BC$7="Actual",i_Actuals!BC57,c_Calculations!BC501)</f>
        <v/>
      </c>
      <c r="BD57" s="257">
        <f>IF(BD$7="Actual",i_Actuals!BD57,c_Calculations!BD501)</f>
        <v/>
      </c>
      <c r="BE57" s="257">
        <f>IF(BE$7="Actual",i_Actuals!BE57,c_Calculations!BE501)</f>
        <v/>
      </c>
      <c r="BF57" s="257">
        <f>IF(BF$7="Actual",i_Actuals!BF57,c_Calculations!BF501)</f>
        <v/>
      </c>
      <c r="BG57" s="257">
        <f>IF(BG$7="Actual",i_Actuals!BG57,c_Calculations!BG501)</f>
        <v/>
      </c>
      <c r="BH57" s="257">
        <f>IF(BH$7="Actual",i_Actuals!BH57,c_Calculations!BH501)</f>
        <v/>
      </c>
      <c r="BI57" s="257">
        <f>IF(BI$7="Actual",i_Actuals!BI57,c_Calculations!BI501)</f>
        <v/>
      </c>
      <c r="BJ57" s="257">
        <f>IF(BJ$7="Actual",i_Actuals!BJ57,c_Calculations!BJ501)</f>
        <v/>
      </c>
      <c r="BK57" s="257">
        <f>IF(BK$7="Actual",i_Actuals!BK57,c_Calculations!BK501)</f>
        <v/>
      </c>
      <c r="BL57" s="257">
        <f>IF(BL$7="Actual",i_Actuals!BL57,c_Calculations!BL501)</f>
        <v/>
      </c>
      <c r="BM57" s="257">
        <f>IF(BM$7="Actual",i_Actuals!BM57,c_Calculations!BM501)</f>
        <v/>
      </c>
      <c r="BN57" s="257">
        <f>IF(BN$7="Actual",i_Actuals!BN57,c_Calculations!BN501)</f>
        <v/>
      </c>
      <c r="BO57" s="257">
        <f>IF(BO$7="Actual",i_Actuals!BO57,c_Calculations!BO501)</f>
        <v/>
      </c>
      <c r="BP57" s="257">
        <f>IF(BP$7="Actual",i_Actuals!BP57,c_Calculations!BP501)</f>
        <v/>
      </c>
      <c r="BQ57" s="257">
        <f>IF(BQ$7="Actual",i_Actuals!BQ57,c_Calculations!BQ501)</f>
        <v/>
      </c>
      <c r="BR57" s="257">
        <f>IF(BR$7="Actual",i_Actuals!BR57,c_Calculations!BR501)</f>
        <v/>
      </c>
      <c r="BS57" s="257">
        <f>IF(BS$7="Actual",i_Actuals!BS57,c_Calculations!BS501)</f>
        <v/>
      </c>
      <c r="BT57" s="257">
        <f>IF(BT$7="Actual",i_Actuals!BT57,c_Calculations!BT501)</f>
        <v/>
      </c>
      <c r="BU57" s="257">
        <f>IF(BU$7="Actual",i_Actuals!BU57,c_Calculations!BU501)</f>
        <v/>
      </c>
      <c r="BV57" s="257">
        <f>IF(BV$7="Actual",i_Actuals!BV57,c_Calculations!BV501)</f>
        <v/>
      </c>
      <c r="BW57" s="257">
        <f>IF(BW$7="Actual",i_Actuals!BW57,c_Calculations!BW501)</f>
        <v/>
      </c>
      <c r="BX57" s="257">
        <f>IF(BX$7="Actual",i_Actuals!BX57,c_Calculations!BX501)</f>
        <v/>
      </c>
      <c r="BY57" s="257">
        <f>IF(BY$7="Actual",i_Actuals!BY57,c_Calculations!BY501)</f>
        <v/>
      </c>
      <c r="BZ57" s="257">
        <f>IF(BZ$7="Actual",i_Actuals!BZ57,c_Calculations!BZ501)</f>
        <v/>
      </c>
      <c r="CA57" s="257">
        <f>IF(CA$7="Actual",i_Actuals!CA57,c_Calculations!CA501)</f>
        <v/>
      </c>
    </row>
    <row r="58" ht="12" customHeight="1" s="227">
      <c r="A58" s="244" t="n"/>
      <c r="B58" s="244" t="n"/>
      <c r="C58" s="244" t="n"/>
      <c r="G58" s="222" t="n"/>
      <c r="H58" s="4">
        <f>i_Setup!U62</f>
        <v/>
      </c>
      <c r="I58" s="27">
        <f>i_Setup!$M$16</f>
        <v/>
      </c>
      <c r="M58" s="245">
        <f>SUMIF($T$4:$CA$4,M$4,$T58:$CA58)</f>
        <v/>
      </c>
      <c r="N58" s="245">
        <f>SUMIF($T$4:$CA$4,N$4,$T58:$CA58)</f>
        <v/>
      </c>
      <c r="O58" s="245">
        <f>SUMIF($T$4:$CA$4,O$4,$T58:$CA58)</f>
        <v/>
      </c>
      <c r="P58" s="245">
        <f>SUMIF($T$4:$CA$4,P$4,$T58:$CA58)</f>
        <v/>
      </c>
      <c r="Q58" s="245">
        <f>SUMIF($T$4:$CA$4,Q$4,$T58:$CA58)</f>
        <v/>
      </c>
      <c r="T58" s="257">
        <f>IF(T$7="Actual",i_Actuals!T58,c_Calculations!T502)</f>
        <v/>
      </c>
      <c r="U58" s="257">
        <f>IF(U$7="Actual",i_Actuals!U58,c_Calculations!U502)</f>
        <v/>
      </c>
      <c r="V58" s="257">
        <f>IF(V$7="Actual",i_Actuals!V58,c_Calculations!V502)</f>
        <v/>
      </c>
      <c r="W58" s="257">
        <f>IF(W$7="Actual",i_Actuals!W58,c_Calculations!W502)</f>
        <v/>
      </c>
      <c r="X58" s="257">
        <f>IF(X$7="Actual",i_Actuals!X58,c_Calculations!X502)</f>
        <v/>
      </c>
      <c r="Y58" s="257">
        <f>IF(Y$7="Actual",i_Actuals!Y58,c_Calculations!Y502)</f>
        <v/>
      </c>
      <c r="Z58" s="257">
        <f>IF(Z$7="Actual",i_Actuals!Z58,c_Calculations!Z502)</f>
        <v/>
      </c>
      <c r="AA58" s="257">
        <f>IF(AA$7="Actual",i_Actuals!AA58,c_Calculations!AA502)</f>
        <v/>
      </c>
      <c r="AB58" s="257">
        <f>IF(AB$7="Actual",i_Actuals!AB58,c_Calculations!AB502)</f>
        <v/>
      </c>
      <c r="AC58" s="257">
        <f>IF(AC$7="Actual",i_Actuals!AC58,c_Calculations!AC502)</f>
        <v/>
      </c>
      <c r="AD58" s="257">
        <f>IF(AD$7="Actual",i_Actuals!AD58,c_Calculations!AD502)</f>
        <v/>
      </c>
      <c r="AE58" s="257">
        <f>IF(AE$7="Actual",i_Actuals!AE58,c_Calculations!AE502)</f>
        <v/>
      </c>
      <c r="AF58" s="257">
        <f>IF(AF$7="Actual",i_Actuals!AF58,c_Calculations!AF502)</f>
        <v/>
      </c>
      <c r="AG58" s="257">
        <f>IF(AG$7="Actual",i_Actuals!AG58,c_Calculations!AG502)</f>
        <v/>
      </c>
      <c r="AH58" s="257">
        <f>IF(AH$7="Actual",i_Actuals!AH58,c_Calculations!AH502)</f>
        <v/>
      </c>
      <c r="AI58" s="257">
        <f>IF(AI$7="Actual",i_Actuals!AI58,c_Calculations!AI502)</f>
        <v/>
      </c>
      <c r="AJ58" s="257">
        <f>IF(AJ$7="Actual",i_Actuals!AJ58,c_Calculations!AJ502)</f>
        <v/>
      </c>
      <c r="AK58" s="257">
        <f>IF(AK$7="Actual",i_Actuals!AK58,c_Calculations!AK502)</f>
        <v/>
      </c>
      <c r="AL58" s="257">
        <f>IF(AL$7="Actual",i_Actuals!AL58,c_Calculations!AL502)</f>
        <v/>
      </c>
      <c r="AM58" s="257">
        <f>IF(AM$7="Actual",i_Actuals!AM58,c_Calculations!AM502)</f>
        <v/>
      </c>
      <c r="AN58" s="257">
        <f>IF(AN$7="Actual",i_Actuals!AN58,c_Calculations!AN502)</f>
        <v/>
      </c>
      <c r="AO58" s="257">
        <f>IF(AO$7="Actual",i_Actuals!AO58,c_Calculations!AO502)</f>
        <v/>
      </c>
      <c r="AP58" s="257">
        <f>IF(AP$7="Actual",i_Actuals!AP58,c_Calculations!AP502)</f>
        <v/>
      </c>
      <c r="AQ58" s="257">
        <f>IF(AQ$7="Actual",i_Actuals!AQ58,c_Calculations!AQ502)</f>
        <v/>
      </c>
      <c r="AR58" s="257">
        <f>IF(AR$7="Actual",i_Actuals!AR58,c_Calculations!AR502)</f>
        <v/>
      </c>
      <c r="AS58" s="257">
        <f>IF(AS$7="Actual",i_Actuals!AS58,c_Calculations!AS502)</f>
        <v/>
      </c>
      <c r="AT58" s="257">
        <f>IF(AT$7="Actual",i_Actuals!AT58,c_Calculations!AT502)</f>
        <v/>
      </c>
      <c r="AU58" s="257">
        <f>IF(AU$7="Actual",i_Actuals!AU58,c_Calculations!AU502)</f>
        <v/>
      </c>
      <c r="AV58" s="257">
        <f>IF(AV$7="Actual",i_Actuals!AV58,c_Calculations!AV502)</f>
        <v/>
      </c>
      <c r="AW58" s="257">
        <f>IF(AW$7="Actual",i_Actuals!AW58,c_Calculations!AW502)</f>
        <v/>
      </c>
      <c r="AX58" s="257">
        <f>IF(AX$7="Actual",i_Actuals!AX58,c_Calculations!AX502)</f>
        <v/>
      </c>
      <c r="AY58" s="257">
        <f>IF(AY$7="Actual",i_Actuals!AY58,c_Calculations!AY502)</f>
        <v/>
      </c>
      <c r="AZ58" s="257">
        <f>IF(AZ$7="Actual",i_Actuals!AZ58,c_Calculations!AZ502)</f>
        <v/>
      </c>
      <c r="BA58" s="257">
        <f>IF(BA$7="Actual",i_Actuals!BA58,c_Calculations!BA502)</f>
        <v/>
      </c>
      <c r="BB58" s="257">
        <f>IF(BB$7="Actual",i_Actuals!BB58,c_Calculations!BB502)</f>
        <v/>
      </c>
      <c r="BC58" s="257">
        <f>IF(BC$7="Actual",i_Actuals!BC58,c_Calculations!BC502)</f>
        <v/>
      </c>
      <c r="BD58" s="257">
        <f>IF(BD$7="Actual",i_Actuals!BD58,c_Calculations!BD502)</f>
        <v/>
      </c>
      <c r="BE58" s="257">
        <f>IF(BE$7="Actual",i_Actuals!BE58,c_Calculations!BE502)</f>
        <v/>
      </c>
      <c r="BF58" s="257">
        <f>IF(BF$7="Actual",i_Actuals!BF58,c_Calculations!BF502)</f>
        <v/>
      </c>
      <c r="BG58" s="257">
        <f>IF(BG$7="Actual",i_Actuals!BG58,c_Calculations!BG502)</f>
        <v/>
      </c>
      <c r="BH58" s="257">
        <f>IF(BH$7="Actual",i_Actuals!BH58,c_Calculations!BH502)</f>
        <v/>
      </c>
      <c r="BI58" s="257">
        <f>IF(BI$7="Actual",i_Actuals!BI58,c_Calculations!BI502)</f>
        <v/>
      </c>
      <c r="BJ58" s="257">
        <f>IF(BJ$7="Actual",i_Actuals!BJ58,c_Calculations!BJ502)</f>
        <v/>
      </c>
      <c r="BK58" s="257">
        <f>IF(BK$7="Actual",i_Actuals!BK58,c_Calculations!BK502)</f>
        <v/>
      </c>
      <c r="BL58" s="257">
        <f>IF(BL$7="Actual",i_Actuals!BL58,c_Calculations!BL502)</f>
        <v/>
      </c>
      <c r="BM58" s="257">
        <f>IF(BM$7="Actual",i_Actuals!BM58,c_Calculations!BM502)</f>
        <v/>
      </c>
      <c r="BN58" s="257">
        <f>IF(BN$7="Actual",i_Actuals!BN58,c_Calculations!BN502)</f>
        <v/>
      </c>
      <c r="BO58" s="257">
        <f>IF(BO$7="Actual",i_Actuals!BO58,c_Calculations!BO502)</f>
        <v/>
      </c>
      <c r="BP58" s="257">
        <f>IF(BP$7="Actual",i_Actuals!BP58,c_Calculations!BP502)</f>
        <v/>
      </c>
      <c r="BQ58" s="257">
        <f>IF(BQ$7="Actual",i_Actuals!BQ58,c_Calculations!BQ502)</f>
        <v/>
      </c>
      <c r="BR58" s="257">
        <f>IF(BR$7="Actual",i_Actuals!BR58,c_Calculations!BR502)</f>
        <v/>
      </c>
      <c r="BS58" s="257">
        <f>IF(BS$7="Actual",i_Actuals!BS58,c_Calculations!BS502)</f>
        <v/>
      </c>
      <c r="BT58" s="257">
        <f>IF(BT$7="Actual",i_Actuals!BT58,c_Calculations!BT502)</f>
        <v/>
      </c>
      <c r="BU58" s="257">
        <f>IF(BU$7="Actual",i_Actuals!BU58,c_Calculations!BU502)</f>
        <v/>
      </c>
      <c r="BV58" s="257">
        <f>IF(BV$7="Actual",i_Actuals!BV58,c_Calculations!BV502)</f>
        <v/>
      </c>
      <c r="BW58" s="257">
        <f>IF(BW$7="Actual",i_Actuals!BW58,c_Calculations!BW502)</f>
        <v/>
      </c>
      <c r="BX58" s="257">
        <f>IF(BX$7="Actual",i_Actuals!BX58,c_Calculations!BX502)</f>
        <v/>
      </c>
      <c r="BY58" s="257">
        <f>IF(BY$7="Actual",i_Actuals!BY58,c_Calculations!BY502)</f>
        <v/>
      </c>
      <c r="BZ58" s="257">
        <f>IF(BZ$7="Actual",i_Actuals!BZ58,c_Calculations!BZ502)</f>
        <v/>
      </c>
      <c r="CA58" s="257">
        <f>IF(CA$7="Actual",i_Actuals!CA58,c_Calculations!CA502)</f>
        <v/>
      </c>
    </row>
    <row r="59" ht="12" customHeight="1" s="227">
      <c r="A59" s="244" t="n"/>
      <c r="B59" s="244" t="n"/>
      <c r="C59" s="244" t="n"/>
      <c r="G59" s="39" t="inlineStr">
        <is>
          <t>Total Non-Direct Staff Costs</t>
        </is>
      </c>
      <c r="H59" s="39" t="n"/>
      <c r="I59" s="41">
        <f>i_Setup!$M$16</f>
        <v/>
      </c>
      <c r="M59" s="249">
        <f>SUM(M51:M58)</f>
        <v/>
      </c>
      <c r="N59" s="249">
        <f>SUM(N51:N58)</f>
        <v/>
      </c>
      <c r="O59" s="249">
        <f>SUM(O51:O58)</f>
        <v/>
      </c>
      <c r="P59" s="249">
        <f>SUM(P51:P58)</f>
        <v/>
      </c>
      <c r="Q59" s="249">
        <f>SUM(Q51:Q58)</f>
        <v/>
      </c>
      <c r="T59" s="249">
        <f>SUM(T51:T58)</f>
        <v/>
      </c>
      <c r="U59" s="249">
        <f>SUM(U51:U58)</f>
        <v/>
      </c>
      <c r="V59" s="249">
        <f>SUM(V51:V58)</f>
        <v/>
      </c>
      <c r="W59" s="249">
        <f>SUM(W51:W58)</f>
        <v/>
      </c>
      <c r="X59" s="249">
        <f>SUM(X51:X58)</f>
        <v/>
      </c>
      <c r="Y59" s="249">
        <f>SUM(Y51:Y58)</f>
        <v/>
      </c>
      <c r="Z59" s="249">
        <f>SUM(Z51:Z58)</f>
        <v/>
      </c>
      <c r="AA59" s="249">
        <f>SUM(AA51:AA58)</f>
        <v/>
      </c>
      <c r="AB59" s="249">
        <f>SUM(AB51:AB58)</f>
        <v/>
      </c>
      <c r="AC59" s="249">
        <f>SUM(AC51:AC58)</f>
        <v/>
      </c>
      <c r="AD59" s="249">
        <f>SUM(AD51:AD58)</f>
        <v/>
      </c>
      <c r="AE59" s="249">
        <f>SUM(AE51:AE58)</f>
        <v/>
      </c>
      <c r="AF59" s="249">
        <f>SUM(AF51:AF58)</f>
        <v/>
      </c>
      <c r="AG59" s="249">
        <f>SUM(AG51:AG58)</f>
        <v/>
      </c>
      <c r="AH59" s="249">
        <f>SUM(AH51:AH58)</f>
        <v/>
      </c>
      <c r="AI59" s="249">
        <f>SUM(AI51:AI58)</f>
        <v/>
      </c>
      <c r="AJ59" s="249">
        <f>SUM(AJ51:AJ58)</f>
        <v/>
      </c>
      <c r="AK59" s="249">
        <f>SUM(AK51:AK58)</f>
        <v/>
      </c>
      <c r="AL59" s="249">
        <f>SUM(AL51:AL58)</f>
        <v/>
      </c>
      <c r="AM59" s="249">
        <f>SUM(AM51:AM58)</f>
        <v/>
      </c>
      <c r="AN59" s="249">
        <f>SUM(AN51:AN58)</f>
        <v/>
      </c>
      <c r="AO59" s="249">
        <f>SUM(AO51:AO58)</f>
        <v/>
      </c>
      <c r="AP59" s="249">
        <f>SUM(AP51:AP58)</f>
        <v/>
      </c>
      <c r="AQ59" s="249">
        <f>SUM(AQ51:AQ58)</f>
        <v/>
      </c>
      <c r="AR59" s="249">
        <f>SUM(AR51:AR58)</f>
        <v/>
      </c>
      <c r="AS59" s="249">
        <f>SUM(AS51:AS58)</f>
        <v/>
      </c>
      <c r="AT59" s="249">
        <f>SUM(AT51:AT58)</f>
        <v/>
      </c>
      <c r="AU59" s="249">
        <f>SUM(AU51:AU58)</f>
        <v/>
      </c>
      <c r="AV59" s="249">
        <f>SUM(AV51:AV58)</f>
        <v/>
      </c>
      <c r="AW59" s="249">
        <f>SUM(AW51:AW58)</f>
        <v/>
      </c>
      <c r="AX59" s="249">
        <f>SUM(AX51:AX58)</f>
        <v/>
      </c>
      <c r="AY59" s="249">
        <f>SUM(AY51:AY58)</f>
        <v/>
      </c>
      <c r="AZ59" s="249">
        <f>SUM(AZ51:AZ58)</f>
        <v/>
      </c>
      <c r="BA59" s="249">
        <f>SUM(BA51:BA58)</f>
        <v/>
      </c>
      <c r="BB59" s="249">
        <f>SUM(BB51:BB58)</f>
        <v/>
      </c>
      <c r="BC59" s="249">
        <f>SUM(BC51:BC58)</f>
        <v/>
      </c>
      <c r="BD59" s="249">
        <f>SUM(BD51:BD58)</f>
        <v/>
      </c>
      <c r="BE59" s="249">
        <f>SUM(BE51:BE58)</f>
        <v/>
      </c>
      <c r="BF59" s="249">
        <f>SUM(BF51:BF58)</f>
        <v/>
      </c>
      <c r="BG59" s="249">
        <f>SUM(BG51:BG58)</f>
        <v/>
      </c>
      <c r="BH59" s="249">
        <f>SUM(BH51:BH58)</f>
        <v/>
      </c>
      <c r="BI59" s="249">
        <f>SUM(BI51:BI58)</f>
        <v/>
      </c>
      <c r="BJ59" s="249">
        <f>SUM(BJ51:BJ58)</f>
        <v/>
      </c>
      <c r="BK59" s="249">
        <f>SUM(BK51:BK58)</f>
        <v/>
      </c>
      <c r="BL59" s="249">
        <f>SUM(BL51:BL58)</f>
        <v/>
      </c>
      <c r="BM59" s="249">
        <f>SUM(BM51:BM58)</f>
        <v/>
      </c>
      <c r="BN59" s="249">
        <f>SUM(BN51:BN58)</f>
        <v/>
      </c>
      <c r="BO59" s="249">
        <f>SUM(BO51:BO58)</f>
        <v/>
      </c>
      <c r="BP59" s="249">
        <f>SUM(BP51:BP58)</f>
        <v/>
      </c>
      <c r="BQ59" s="249">
        <f>SUM(BQ51:BQ58)</f>
        <v/>
      </c>
      <c r="BR59" s="249">
        <f>SUM(BR51:BR58)</f>
        <v/>
      </c>
      <c r="BS59" s="249">
        <f>SUM(BS51:BS58)</f>
        <v/>
      </c>
      <c r="BT59" s="249">
        <f>SUM(BT51:BT58)</f>
        <v/>
      </c>
      <c r="BU59" s="249">
        <f>SUM(BU51:BU58)</f>
        <v/>
      </c>
      <c r="BV59" s="249">
        <f>SUM(BV51:BV58)</f>
        <v/>
      </c>
      <c r="BW59" s="249">
        <f>SUM(BW51:BW58)</f>
        <v/>
      </c>
      <c r="BX59" s="249">
        <f>SUM(BX51:BX58)</f>
        <v/>
      </c>
      <c r="BY59" s="249">
        <f>SUM(BY51:BY58)</f>
        <v/>
      </c>
      <c r="BZ59" s="249">
        <f>SUM(BZ51:BZ58)</f>
        <v/>
      </c>
      <c r="CA59" s="249">
        <f>SUM(CA51:CA58)</f>
        <v/>
      </c>
    </row>
    <row r="60" ht="12" customHeight="1" s="227">
      <c r="A60" s="244" t="n"/>
      <c r="B60" s="244" t="n"/>
      <c r="C60" s="244" t="n"/>
      <c r="G60" s="222" t="n"/>
      <c r="M60" s="245" t="n"/>
      <c r="N60" s="245" t="n"/>
      <c r="O60" s="245" t="n"/>
      <c r="P60" s="245" t="n"/>
      <c r="Q60" s="245" t="n"/>
    </row>
    <row r="61" ht="12.75" customHeight="1" s="227">
      <c r="A61" s="244" t="n"/>
      <c r="B61" s="244" t="n"/>
      <c r="C61" s="244" t="n"/>
      <c r="G61" s="222" t="inlineStr">
        <is>
          <t>Marketing Costs</t>
        </is>
      </c>
      <c r="M61" s="245" t="n"/>
      <c r="N61" s="245" t="n"/>
      <c r="O61" s="245" t="n"/>
      <c r="P61" s="245" t="n"/>
      <c r="Q61" s="245" t="n"/>
    </row>
    <row r="62" ht="12" customHeight="1" s="227">
      <c r="A62" s="244" t="n"/>
      <c r="B62" s="244" t="n"/>
      <c r="C62" s="244" t="n"/>
      <c r="G62" s="222" t="n"/>
      <c r="H62" s="4">
        <f>i_Setup!U87</f>
        <v/>
      </c>
      <c r="I62" s="27">
        <f> i_Setup!$M$16</f>
        <v/>
      </c>
      <c r="K62" s="27" t="n"/>
      <c r="M62" s="245">
        <f>SUMIF($T$4:$CA$4,M$4,$T62:$CA62)</f>
        <v/>
      </c>
      <c r="N62" s="245">
        <f>SUMIF($T$4:$CA$4,N$4,$T62:$CA62)</f>
        <v/>
      </c>
      <c r="O62" s="245">
        <f>SUMIF($T$4:$CA$4,O$4,$T62:$CA62)</f>
        <v/>
      </c>
      <c r="P62" s="245">
        <f>SUMIF($T$4:$CA$4,P$4,$T62:$CA62)</f>
        <v/>
      </c>
      <c r="Q62" s="245">
        <f>SUMIF($T$4:$CA$4,Q$4,$T62:$CA62)</f>
        <v/>
      </c>
      <c r="T62" s="257">
        <f>IF(T$7="Actual",i_Actuals!T62,c_Calculations!T510)</f>
        <v/>
      </c>
      <c r="U62" s="257">
        <f>IF(U$7="Actual",i_Actuals!U62,c_Calculations!U510)</f>
        <v/>
      </c>
      <c r="V62" s="257">
        <f>IF(V$7="Actual",i_Actuals!V62,c_Calculations!V510)</f>
        <v/>
      </c>
      <c r="W62" s="257">
        <f>IF(W$7="Actual",i_Actuals!W62,c_Calculations!W510)</f>
        <v/>
      </c>
      <c r="X62" s="257">
        <f>IF(X$7="Actual",i_Actuals!X62,c_Calculations!X510)</f>
        <v/>
      </c>
      <c r="Y62" s="257">
        <f>IF(Y$7="Actual",i_Actuals!Y62,c_Calculations!Y510)</f>
        <v/>
      </c>
      <c r="Z62" s="257">
        <f>IF(Z$7="Actual",i_Actuals!Z62,c_Calculations!Z510)</f>
        <v/>
      </c>
      <c r="AA62" s="257">
        <f>IF(AA$7="Actual",i_Actuals!AA62,c_Calculations!AA510)</f>
        <v/>
      </c>
      <c r="AB62" s="257">
        <f>IF(AB$7="Actual",i_Actuals!AB62,c_Calculations!AB510)</f>
        <v/>
      </c>
      <c r="AC62" s="257">
        <f>IF(AC$7="Actual",i_Actuals!AC62,c_Calculations!AC510)</f>
        <v/>
      </c>
      <c r="AD62" s="257">
        <f>IF(AD$7="Actual",i_Actuals!AD62,c_Calculations!AD510)</f>
        <v/>
      </c>
      <c r="AE62" s="257">
        <f>IF(AE$7="Actual",i_Actuals!AE62,c_Calculations!AE510)</f>
        <v/>
      </c>
      <c r="AF62" s="257">
        <f>IF(AF$7="Actual",i_Actuals!AF62,c_Calculations!AF510)</f>
        <v/>
      </c>
      <c r="AG62" s="257">
        <f>IF(AG$7="Actual",i_Actuals!AG62,c_Calculations!AG510)</f>
        <v/>
      </c>
      <c r="AH62" s="257">
        <f>IF(AH$7="Actual",i_Actuals!AH62,c_Calculations!AH510)</f>
        <v/>
      </c>
      <c r="AI62" s="257">
        <f>IF(AI$7="Actual",i_Actuals!AI62,c_Calculations!AI510)</f>
        <v/>
      </c>
      <c r="AJ62" s="257">
        <f>IF(AJ$7="Actual",i_Actuals!AJ62,c_Calculations!AJ510)</f>
        <v/>
      </c>
      <c r="AK62" s="257">
        <f>IF(AK$7="Actual",i_Actuals!AK62,c_Calculations!AK510)</f>
        <v/>
      </c>
      <c r="AL62" s="257">
        <f>IF(AL$7="Actual",i_Actuals!AL62,c_Calculations!AL510)</f>
        <v/>
      </c>
      <c r="AM62" s="257">
        <f>IF(AM$7="Actual",i_Actuals!AM62,c_Calculations!AM510)</f>
        <v/>
      </c>
      <c r="AN62" s="257">
        <f>IF(AN$7="Actual",i_Actuals!AN62,c_Calculations!AN510)</f>
        <v/>
      </c>
      <c r="AO62" s="257">
        <f>IF(AO$7="Actual",i_Actuals!AO62,c_Calculations!AO510)</f>
        <v/>
      </c>
      <c r="AP62" s="257">
        <f>IF(AP$7="Actual",i_Actuals!AP62,c_Calculations!AP510)</f>
        <v/>
      </c>
      <c r="AQ62" s="257">
        <f>IF(AQ$7="Actual",i_Actuals!AQ62,c_Calculations!AQ510)</f>
        <v/>
      </c>
      <c r="AR62" s="257">
        <f>IF(AR$7="Actual",i_Actuals!AR62,c_Calculations!AR510)</f>
        <v/>
      </c>
      <c r="AS62" s="257">
        <f>IF(AS$7="Actual",i_Actuals!AS62,c_Calculations!AS510)</f>
        <v/>
      </c>
      <c r="AT62" s="257">
        <f>IF(AT$7="Actual",i_Actuals!AT62,c_Calculations!AT510)</f>
        <v/>
      </c>
      <c r="AU62" s="257">
        <f>IF(AU$7="Actual",i_Actuals!AU62,c_Calculations!AU510)</f>
        <v/>
      </c>
      <c r="AV62" s="257">
        <f>IF(AV$7="Actual",i_Actuals!AV62,c_Calculations!AV510)</f>
        <v/>
      </c>
      <c r="AW62" s="257">
        <f>IF(AW$7="Actual",i_Actuals!AW62,c_Calculations!AW510)</f>
        <v/>
      </c>
      <c r="AX62" s="257">
        <f>IF(AX$7="Actual",i_Actuals!AX62,c_Calculations!AX510)</f>
        <v/>
      </c>
      <c r="AY62" s="257">
        <f>IF(AY$7="Actual",i_Actuals!AY62,c_Calculations!AY510)</f>
        <v/>
      </c>
      <c r="AZ62" s="257">
        <f>IF(AZ$7="Actual",i_Actuals!AZ62,c_Calculations!AZ510)</f>
        <v/>
      </c>
      <c r="BA62" s="257">
        <f>IF(BA$7="Actual",i_Actuals!BA62,c_Calculations!BA510)</f>
        <v/>
      </c>
      <c r="BB62" s="257">
        <f>IF(BB$7="Actual",i_Actuals!BB62,c_Calculations!BB510)</f>
        <v/>
      </c>
      <c r="BC62" s="257">
        <f>IF(BC$7="Actual",i_Actuals!BC62,c_Calculations!BC510)</f>
        <v/>
      </c>
      <c r="BD62" s="257">
        <f>IF(BD$7="Actual",i_Actuals!BD62,c_Calculations!BD510)</f>
        <v/>
      </c>
      <c r="BE62" s="257">
        <f>IF(BE$7="Actual",i_Actuals!BE62,c_Calculations!BE510)</f>
        <v/>
      </c>
      <c r="BF62" s="257">
        <f>IF(BF$7="Actual",i_Actuals!BF62,c_Calculations!BF510)</f>
        <v/>
      </c>
      <c r="BG62" s="257">
        <f>IF(BG$7="Actual",i_Actuals!BG62,c_Calculations!BG510)</f>
        <v/>
      </c>
      <c r="BH62" s="257">
        <f>IF(BH$7="Actual",i_Actuals!BH62,c_Calculations!BH510)</f>
        <v/>
      </c>
      <c r="BI62" s="257">
        <f>IF(BI$7="Actual",i_Actuals!BI62,c_Calculations!BI510)</f>
        <v/>
      </c>
      <c r="BJ62" s="257">
        <f>IF(BJ$7="Actual",i_Actuals!BJ62,c_Calculations!BJ510)</f>
        <v/>
      </c>
      <c r="BK62" s="257">
        <f>IF(BK$7="Actual",i_Actuals!BK62,c_Calculations!BK510)</f>
        <v/>
      </c>
      <c r="BL62" s="257">
        <f>IF(BL$7="Actual",i_Actuals!BL62,c_Calculations!BL510)</f>
        <v/>
      </c>
      <c r="BM62" s="257">
        <f>IF(BM$7="Actual",i_Actuals!BM62,c_Calculations!BM510)</f>
        <v/>
      </c>
      <c r="BN62" s="257">
        <f>IF(BN$7="Actual",i_Actuals!BN62,c_Calculations!BN510)</f>
        <v/>
      </c>
      <c r="BO62" s="257">
        <f>IF(BO$7="Actual",i_Actuals!BO62,c_Calculations!BO510)</f>
        <v/>
      </c>
      <c r="BP62" s="257">
        <f>IF(BP$7="Actual",i_Actuals!BP62,c_Calculations!BP510)</f>
        <v/>
      </c>
      <c r="BQ62" s="257">
        <f>IF(BQ$7="Actual",i_Actuals!BQ62,c_Calculations!BQ510)</f>
        <v/>
      </c>
      <c r="BR62" s="257">
        <f>IF(BR$7="Actual",i_Actuals!BR62,c_Calculations!BR510)</f>
        <v/>
      </c>
      <c r="BS62" s="257">
        <f>IF(BS$7="Actual",i_Actuals!BS62,c_Calculations!BS510)</f>
        <v/>
      </c>
      <c r="BT62" s="257">
        <f>IF(BT$7="Actual",i_Actuals!BT62,c_Calculations!BT510)</f>
        <v/>
      </c>
      <c r="BU62" s="257">
        <f>IF(BU$7="Actual",i_Actuals!BU62,c_Calculations!BU510)</f>
        <v/>
      </c>
      <c r="BV62" s="257">
        <f>IF(BV$7="Actual",i_Actuals!BV62,c_Calculations!BV510)</f>
        <v/>
      </c>
      <c r="BW62" s="257">
        <f>IF(BW$7="Actual",i_Actuals!BW62,c_Calculations!BW510)</f>
        <v/>
      </c>
      <c r="BX62" s="257">
        <f>IF(BX$7="Actual",i_Actuals!BX62,c_Calculations!BX510)</f>
        <v/>
      </c>
      <c r="BY62" s="257">
        <f>IF(BY$7="Actual",i_Actuals!BY62,c_Calculations!BY510)</f>
        <v/>
      </c>
      <c r="BZ62" s="257">
        <f>IF(BZ$7="Actual",i_Actuals!BZ62,c_Calculations!BZ510)</f>
        <v/>
      </c>
      <c r="CA62" s="257">
        <f>IF(CA$7="Actual",i_Actuals!CA62,c_Calculations!CA510)</f>
        <v/>
      </c>
    </row>
    <row r="63" ht="12" customHeight="1" s="227">
      <c r="A63" s="244" t="n"/>
      <c r="B63" s="244" t="n"/>
      <c r="C63" s="244" t="n"/>
      <c r="G63" s="222" t="n"/>
      <c r="H63" s="4">
        <f>i_Setup!U88</f>
        <v/>
      </c>
      <c r="I63" s="27">
        <f> i_Setup!$M$16</f>
        <v/>
      </c>
      <c r="K63" s="27" t="n"/>
      <c r="M63" s="245">
        <f>SUMIF($T$4:$CA$4,M$4,$T63:$CA63)</f>
        <v/>
      </c>
      <c r="N63" s="245">
        <f>SUMIF($T$4:$CA$4,N$4,$T63:$CA63)</f>
        <v/>
      </c>
      <c r="O63" s="245">
        <f>SUMIF($T$4:$CA$4,O$4,$T63:$CA63)</f>
        <v/>
      </c>
      <c r="P63" s="245">
        <f>SUMIF($T$4:$CA$4,P$4,$T63:$CA63)</f>
        <v/>
      </c>
      <c r="Q63" s="245">
        <f>SUMIF($T$4:$CA$4,Q$4,$T63:$CA63)</f>
        <v/>
      </c>
      <c r="T63" s="257">
        <f>IF(T$7="Actual",i_Actuals!T63,c_Calculations!T511)</f>
        <v/>
      </c>
      <c r="U63" s="257">
        <f>IF(U$7="Actual",i_Actuals!U63,c_Calculations!U511)</f>
        <v/>
      </c>
      <c r="V63" s="257">
        <f>IF(V$7="Actual",i_Actuals!V63,c_Calculations!V511)</f>
        <v/>
      </c>
      <c r="W63" s="257">
        <f>IF(W$7="Actual",i_Actuals!W63,c_Calculations!W511)</f>
        <v/>
      </c>
      <c r="X63" s="257">
        <f>IF(X$7="Actual",i_Actuals!X63,c_Calculations!X511)</f>
        <v/>
      </c>
      <c r="Y63" s="257">
        <f>IF(Y$7="Actual",i_Actuals!Y63,c_Calculations!Y511)</f>
        <v/>
      </c>
      <c r="Z63" s="257">
        <f>IF(Z$7="Actual",i_Actuals!Z63,c_Calculations!Z511)</f>
        <v/>
      </c>
      <c r="AA63" s="257">
        <f>IF(AA$7="Actual",i_Actuals!AA63,c_Calculations!AA511)</f>
        <v/>
      </c>
      <c r="AB63" s="257">
        <f>IF(AB$7="Actual",i_Actuals!AB63,c_Calculations!AB511)</f>
        <v/>
      </c>
      <c r="AC63" s="257">
        <f>IF(AC$7="Actual",i_Actuals!AC63,c_Calculations!AC511)</f>
        <v/>
      </c>
      <c r="AD63" s="257">
        <f>IF(AD$7="Actual",i_Actuals!AD63,c_Calculations!AD511)</f>
        <v/>
      </c>
      <c r="AE63" s="257">
        <f>IF(AE$7="Actual",i_Actuals!AE63,c_Calculations!AE511)</f>
        <v/>
      </c>
      <c r="AF63" s="257">
        <f>IF(AF$7="Actual",i_Actuals!AF63,c_Calculations!AF511)</f>
        <v/>
      </c>
      <c r="AG63" s="257">
        <f>IF(AG$7="Actual",i_Actuals!AG63,c_Calculations!AG511)</f>
        <v/>
      </c>
      <c r="AH63" s="257">
        <f>IF(AH$7="Actual",i_Actuals!AH63,c_Calculations!AH511)</f>
        <v/>
      </c>
      <c r="AI63" s="257">
        <f>IF(AI$7="Actual",i_Actuals!AI63,c_Calculations!AI511)</f>
        <v/>
      </c>
      <c r="AJ63" s="257">
        <f>IF(AJ$7="Actual",i_Actuals!AJ63,c_Calculations!AJ511)</f>
        <v/>
      </c>
      <c r="AK63" s="257">
        <f>IF(AK$7="Actual",i_Actuals!AK63,c_Calculations!AK511)</f>
        <v/>
      </c>
      <c r="AL63" s="257">
        <f>IF(AL$7="Actual",i_Actuals!AL63,c_Calculations!AL511)</f>
        <v/>
      </c>
      <c r="AM63" s="257">
        <f>IF(AM$7="Actual",i_Actuals!AM63,c_Calculations!AM511)</f>
        <v/>
      </c>
      <c r="AN63" s="257">
        <f>IF(AN$7="Actual",i_Actuals!AN63,c_Calculations!AN511)</f>
        <v/>
      </c>
      <c r="AO63" s="257">
        <f>IF(AO$7="Actual",i_Actuals!AO63,c_Calculations!AO511)</f>
        <v/>
      </c>
      <c r="AP63" s="257">
        <f>IF(AP$7="Actual",i_Actuals!AP63,c_Calculations!AP511)</f>
        <v/>
      </c>
      <c r="AQ63" s="257">
        <f>IF(AQ$7="Actual",i_Actuals!AQ63,c_Calculations!AQ511)</f>
        <v/>
      </c>
      <c r="AR63" s="257">
        <f>IF(AR$7="Actual",i_Actuals!AR63,c_Calculations!AR511)</f>
        <v/>
      </c>
      <c r="AS63" s="257">
        <f>IF(AS$7="Actual",i_Actuals!AS63,c_Calculations!AS511)</f>
        <v/>
      </c>
      <c r="AT63" s="257">
        <f>IF(AT$7="Actual",i_Actuals!AT63,c_Calculations!AT511)</f>
        <v/>
      </c>
      <c r="AU63" s="257">
        <f>IF(AU$7="Actual",i_Actuals!AU63,c_Calculations!AU511)</f>
        <v/>
      </c>
      <c r="AV63" s="257">
        <f>IF(AV$7="Actual",i_Actuals!AV63,c_Calculations!AV511)</f>
        <v/>
      </c>
      <c r="AW63" s="257">
        <f>IF(AW$7="Actual",i_Actuals!AW63,c_Calculations!AW511)</f>
        <v/>
      </c>
      <c r="AX63" s="257">
        <f>IF(AX$7="Actual",i_Actuals!AX63,c_Calculations!AX511)</f>
        <v/>
      </c>
      <c r="AY63" s="257">
        <f>IF(AY$7="Actual",i_Actuals!AY63,c_Calculations!AY511)</f>
        <v/>
      </c>
      <c r="AZ63" s="257">
        <f>IF(AZ$7="Actual",i_Actuals!AZ63,c_Calculations!AZ511)</f>
        <v/>
      </c>
      <c r="BA63" s="257">
        <f>IF(BA$7="Actual",i_Actuals!BA63,c_Calculations!BA511)</f>
        <v/>
      </c>
      <c r="BB63" s="257">
        <f>IF(BB$7="Actual",i_Actuals!BB63,c_Calculations!BB511)</f>
        <v/>
      </c>
      <c r="BC63" s="257">
        <f>IF(BC$7="Actual",i_Actuals!BC63,c_Calculations!BC511)</f>
        <v/>
      </c>
      <c r="BD63" s="257">
        <f>IF(BD$7="Actual",i_Actuals!BD63,c_Calculations!BD511)</f>
        <v/>
      </c>
      <c r="BE63" s="257">
        <f>IF(BE$7="Actual",i_Actuals!BE63,c_Calculations!BE511)</f>
        <v/>
      </c>
      <c r="BF63" s="257">
        <f>IF(BF$7="Actual",i_Actuals!BF63,c_Calculations!BF511)</f>
        <v/>
      </c>
      <c r="BG63" s="257">
        <f>IF(BG$7="Actual",i_Actuals!BG63,c_Calculations!BG511)</f>
        <v/>
      </c>
      <c r="BH63" s="257">
        <f>IF(BH$7="Actual",i_Actuals!BH63,c_Calculations!BH511)</f>
        <v/>
      </c>
      <c r="BI63" s="257">
        <f>IF(BI$7="Actual",i_Actuals!BI63,c_Calculations!BI511)</f>
        <v/>
      </c>
      <c r="BJ63" s="257">
        <f>IF(BJ$7="Actual",i_Actuals!BJ63,c_Calculations!BJ511)</f>
        <v/>
      </c>
      <c r="BK63" s="257">
        <f>IF(BK$7="Actual",i_Actuals!BK63,c_Calculations!BK511)</f>
        <v/>
      </c>
      <c r="BL63" s="257">
        <f>IF(BL$7="Actual",i_Actuals!BL63,c_Calculations!BL511)</f>
        <v/>
      </c>
      <c r="BM63" s="257">
        <f>IF(BM$7="Actual",i_Actuals!BM63,c_Calculations!BM511)</f>
        <v/>
      </c>
      <c r="BN63" s="257">
        <f>IF(BN$7="Actual",i_Actuals!BN63,c_Calculations!BN511)</f>
        <v/>
      </c>
      <c r="BO63" s="257">
        <f>IF(BO$7="Actual",i_Actuals!BO63,c_Calculations!BO511)</f>
        <v/>
      </c>
      <c r="BP63" s="257">
        <f>IF(BP$7="Actual",i_Actuals!BP63,c_Calculations!BP511)</f>
        <v/>
      </c>
      <c r="BQ63" s="257">
        <f>IF(BQ$7="Actual",i_Actuals!BQ63,c_Calculations!BQ511)</f>
        <v/>
      </c>
      <c r="BR63" s="257">
        <f>IF(BR$7="Actual",i_Actuals!BR63,c_Calculations!BR511)</f>
        <v/>
      </c>
      <c r="BS63" s="257">
        <f>IF(BS$7="Actual",i_Actuals!BS63,c_Calculations!BS511)</f>
        <v/>
      </c>
      <c r="BT63" s="257">
        <f>IF(BT$7="Actual",i_Actuals!BT63,c_Calculations!BT511)</f>
        <v/>
      </c>
      <c r="BU63" s="257">
        <f>IF(BU$7="Actual",i_Actuals!BU63,c_Calculations!BU511)</f>
        <v/>
      </c>
      <c r="BV63" s="257">
        <f>IF(BV$7="Actual",i_Actuals!BV63,c_Calculations!BV511)</f>
        <v/>
      </c>
      <c r="BW63" s="257">
        <f>IF(BW$7="Actual",i_Actuals!BW63,c_Calculations!BW511)</f>
        <v/>
      </c>
      <c r="BX63" s="257">
        <f>IF(BX$7="Actual",i_Actuals!BX63,c_Calculations!BX511)</f>
        <v/>
      </c>
      <c r="BY63" s="257">
        <f>IF(BY$7="Actual",i_Actuals!BY63,c_Calculations!BY511)</f>
        <v/>
      </c>
      <c r="BZ63" s="257">
        <f>IF(BZ$7="Actual",i_Actuals!BZ63,c_Calculations!BZ511)</f>
        <v/>
      </c>
      <c r="CA63" s="257">
        <f>IF(CA$7="Actual",i_Actuals!CA63,c_Calculations!CA511)</f>
        <v/>
      </c>
    </row>
    <row r="64" ht="12" customHeight="1" s="227">
      <c r="A64" s="244" t="n"/>
      <c r="B64" s="244" t="n"/>
      <c r="C64" s="244" t="n"/>
      <c r="G64" s="222" t="n"/>
      <c r="H64" s="4">
        <f>i_Setup!U89</f>
        <v/>
      </c>
      <c r="I64" s="27">
        <f> i_Setup!$M$16</f>
        <v/>
      </c>
      <c r="K64" s="27" t="n"/>
      <c r="M64" s="245">
        <f>SUMIF($T$4:$CA$4,M$4,$T64:$CA64)</f>
        <v/>
      </c>
      <c r="N64" s="245">
        <f>SUMIF($T$4:$CA$4,N$4,$T64:$CA64)</f>
        <v/>
      </c>
      <c r="O64" s="245">
        <f>SUMIF($T$4:$CA$4,O$4,$T64:$CA64)</f>
        <v/>
      </c>
      <c r="P64" s="245">
        <f>SUMIF($T$4:$CA$4,P$4,$T64:$CA64)</f>
        <v/>
      </c>
      <c r="Q64" s="245">
        <f>SUMIF($T$4:$CA$4,Q$4,$T64:$CA64)</f>
        <v/>
      </c>
      <c r="T64" s="257">
        <f>IF(T$7="Actual",i_Actuals!T64,c_Calculations!T512)</f>
        <v/>
      </c>
      <c r="U64" s="257">
        <f>IF(U$7="Actual",i_Actuals!U64,c_Calculations!U512)</f>
        <v/>
      </c>
      <c r="V64" s="257">
        <f>IF(V$7="Actual",i_Actuals!V64,c_Calculations!V512)</f>
        <v/>
      </c>
      <c r="W64" s="257">
        <f>IF(W$7="Actual",i_Actuals!W64,c_Calculations!W512)</f>
        <v/>
      </c>
      <c r="X64" s="257">
        <f>IF(X$7="Actual",i_Actuals!X64,c_Calculations!X512)</f>
        <v/>
      </c>
      <c r="Y64" s="257">
        <f>IF(Y$7="Actual",i_Actuals!Y64,c_Calculations!Y512)</f>
        <v/>
      </c>
      <c r="Z64" s="257">
        <f>IF(Z$7="Actual",i_Actuals!Z64,c_Calculations!Z512)</f>
        <v/>
      </c>
      <c r="AA64" s="257">
        <f>IF(AA$7="Actual",i_Actuals!AA64,c_Calculations!AA512)</f>
        <v/>
      </c>
      <c r="AB64" s="257">
        <f>IF(AB$7="Actual",i_Actuals!AB64,c_Calculations!AB512)</f>
        <v/>
      </c>
      <c r="AC64" s="257">
        <f>IF(AC$7="Actual",i_Actuals!AC64,c_Calculations!AC512)</f>
        <v/>
      </c>
      <c r="AD64" s="257">
        <f>IF(AD$7="Actual",i_Actuals!AD64,c_Calculations!AD512)</f>
        <v/>
      </c>
      <c r="AE64" s="257">
        <f>IF(AE$7="Actual",i_Actuals!AE64,c_Calculations!AE512)</f>
        <v/>
      </c>
      <c r="AF64" s="257">
        <f>IF(AF$7="Actual",i_Actuals!AF64,c_Calculations!AF512)</f>
        <v/>
      </c>
      <c r="AG64" s="257">
        <f>IF(AG$7="Actual",i_Actuals!AG64,c_Calculations!AG512)</f>
        <v/>
      </c>
      <c r="AH64" s="257">
        <f>IF(AH$7="Actual",i_Actuals!AH64,c_Calculations!AH512)</f>
        <v/>
      </c>
      <c r="AI64" s="257">
        <f>IF(AI$7="Actual",i_Actuals!AI64,c_Calculations!AI512)</f>
        <v/>
      </c>
      <c r="AJ64" s="257">
        <f>IF(AJ$7="Actual",i_Actuals!AJ64,c_Calculations!AJ512)</f>
        <v/>
      </c>
      <c r="AK64" s="257">
        <f>IF(AK$7="Actual",i_Actuals!AK64,c_Calculations!AK512)</f>
        <v/>
      </c>
      <c r="AL64" s="257">
        <f>IF(AL$7="Actual",i_Actuals!AL64,c_Calculations!AL512)</f>
        <v/>
      </c>
      <c r="AM64" s="257">
        <f>IF(AM$7="Actual",i_Actuals!AM64,c_Calculations!AM512)</f>
        <v/>
      </c>
      <c r="AN64" s="257">
        <f>IF(AN$7="Actual",i_Actuals!AN64,c_Calculations!AN512)</f>
        <v/>
      </c>
      <c r="AO64" s="257">
        <f>IF(AO$7="Actual",i_Actuals!AO64,c_Calculations!AO512)</f>
        <v/>
      </c>
      <c r="AP64" s="257">
        <f>IF(AP$7="Actual",i_Actuals!AP64,c_Calculations!AP512)</f>
        <v/>
      </c>
      <c r="AQ64" s="257">
        <f>IF(AQ$7="Actual",i_Actuals!AQ64,c_Calculations!AQ512)</f>
        <v/>
      </c>
      <c r="AR64" s="257">
        <f>IF(AR$7="Actual",i_Actuals!AR64,c_Calculations!AR512)</f>
        <v/>
      </c>
      <c r="AS64" s="257">
        <f>IF(AS$7="Actual",i_Actuals!AS64,c_Calculations!AS512)</f>
        <v/>
      </c>
      <c r="AT64" s="257">
        <f>IF(AT$7="Actual",i_Actuals!AT64,c_Calculations!AT512)</f>
        <v/>
      </c>
      <c r="AU64" s="257">
        <f>IF(AU$7="Actual",i_Actuals!AU64,c_Calculations!AU512)</f>
        <v/>
      </c>
      <c r="AV64" s="257">
        <f>IF(AV$7="Actual",i_Actuals!AV64,c_Calculations!AV512)</f>
        <v/>
      </c>
      <c r="AW64" s="257">
        <f>IF(AW$7="Actual",i_Actuals!AW64,c_Calculations!AW512)</f>
        <v/>
      </c>
      <c r="AX64" s="257">
        <f>IF(AX$7="Actual",i_Actuals!AX64,c_Calculations!AX512)</f>
        <v/>
      </c>
      <c r="AY64" s="257">
        <f>IF(AY$7="Actual",i_Actuals!AY64,c_Calculations!AY512)</f>
        <v/>
      </c>
      <c r="AZ64" s="257">
        <f>IF(AZ$7="Actual",i_Actuals!AZ64,c_Calculations!AZ512)</f>
        <v/>
      </c>
      <c r="BA64" s="257">
        <f>IF(BA$7="Actual",i_Actuals!BA64,c_Calculations!BA512)</f>
        <v/>
      </c>
      <c r="BB64" s="257">
        <f>IF(BB$7="Actual",i_Actuals!BB64,c_Calculations!BB512)</f>
        <v/>
      </c>
      <c r="BC64" s="257">
        <f>IF(BC$7="Actual",i_Actuals!BC64,c_Calculations!BC512)</f>
        <v/>
      </c>
      <c r="BD64" s="257">
        <f>IF(BD$7="Actual",i_Actuals!BD64,c_Calculations!BD512)</f>
        <v/>
      </c>
      <c r="BE64" s="257">
        <f>IF(BE$7="Actual",i_Actuals!BE64,c_Calculations!BE512)</f>
        <v/>
      </c>
      <c r="BF64" s="257">
        <f>IF(BF$7="Actual",i_Actuals!BF64,c_Calculations!BF512)</f>
        <v/>
      </c>
      <c r="BG64" s="257">
        <f>IF(BG$7="Actual",i_Actuals!BG64,c_Calculations!BG512)</f>
        <v/>
      </c>
      <c r="BH64" s="257">
        <f>IF(BH$7="Actual",i_Actuals!BH64,c_Calculations!BH512)</f>
        <v/>
      </c>
      <c r="BI64" s="257">
        <f>IF(BI$7="Actual",i_Actuals!BI64,c_Calculations!BI512)</f>
        <v/>
      </c>
      <c r="BJ64" s="257">
        <f>IF(BJ$7="Actual",i_Actuals!BJ64,c_Calculations!BJ512)</f>
        <v/>
      </c>
      <c r="BK64" s="257">
        <f>IF(BK$7="Actual",i_Actuals!BK64,c_Calculations!BK512)</f>
        <v/>
      </c>
      <c r="BL64" s="257">
        <f>IF(BL$7="Actual",i_Actuals!BL64,c_Calculations!BL512)</f>
        <v/>
      </c>
      <c r="BM64" s="257">
        <f>IF(BM$7="Actual",i_Actuals!BM64,c_Calculations!BM512)</f>
        <v/>
      </c>
      <c r="BN64" s="257">
        <f>IF(BN$7="Actual",i_Actuals!BN64,c_Calculations!BN512)</f>
        <v/>
      </c>
      <c r="BO64" s="257">
        <f>IF(BO$7="Actual",i_Actuals!BO64,c_Calculations!BO512)</f>
        <v/>
      </c>
      <c r="BP64" s="257">
        <f>IF(BP$7="Actual",i_Actuals!BP64,c_Calculations!BP512)</f>
        <v/>
      </c>
      <c r="BQ64" s="257">
        <f>IF(BQ$7="Actual",i_Actuals!BQ64,c_Calculations!BQ512)</f>
        <v/>
      </c>
      <c r="BR64" s="257">
        <f>IF(BR$7="Actual",i_Actuals!BR64,c_Calculations!BR512)</f>
        <v/>
      </c>
      <c r="BS64" s="257">
        <f>IF(BS$7="Actual",i_Actuals!BS64,c_Calculations!BS512)</f>
        <v/>
      </c>
      <c r="BT64" s="257">
        <f>IF(BT$7="Actual",i_Actuals!BT64,c_Calculations!BT512)</f>
        <v/>
      </c>
      <c r="BU64" s="257">
        <f>IF(BU$7="Actual",i_Actuals!BU64,c_Calculations!BU512)</f>
        <v/>
      </c>
      <c r="BV64" s="257">
        <f>IF(BV$7="Actual",i_Actuals!BV64,c_Calculations!BV512)</f>
        <v/>
      </c>
      <c r="BW64" s="257">
        <f>IF(BW$7="Actual",i_Actuals!BW64,c_Calculations!BW512)</f>
        <v/>
      </c>
      <c r="BX64" s="257">
        <f>IF(BX$7="Actual",i_Actuals!BX64,c_Calculations!BX512)</f>
        <v/>
      </c>
      <c r="BY64" s="257">
        <f>IF(BY$7="Actual",i_Actuals!BY64,c_Calculations!BY512)</f>
        <v/>
      </c>
      <c r="BZ64" s="257">
        <f>IF(BZ$7="Actual",i_Actuals!BZ64,c_Calculations!BZ512)</f>
        <v/>
      </c>
      <c r="CA64" s="257">
        <f>IF(CA$7="Actual",i_Actuals!CA64,c_Calculations!CA512)</f>
        <v/>
      </c>
    </row>
    <row r="65" ht="12" customHeight="1" s="227">
      <c r="A65" s="244" t="n"/>
      <c r="B65" s="244" t="n"/>
      <c r="C65" s="244" t="n"/>
      <c r="G65" s="222" t="n"/>
      <c r="H65" s="4">
        <f>i_Setup!U90</f>
        <v/>
      </c>
      <c r="I65" s="27">
        <f> i_Setup!$M$16</f>
        <v/>
      </c>
      <c r="K65" s="27" t="n"/>
      <c r="M65" s="245">
        <f>SUMIF($T$4:$CA$4,M$4,$T65:$CA65)</f>
        <v/>
      </c>
      <c r="N65" s="245">
        <f>SUMIF($T$4:$CA$4,N$4,$T65:$CA65)</f>
        <v/>
      </c>
      <c r="O65" s="245">
        <f>SUMIF($T$4:$CA$4,O$4,$T65:$CA65)</f>
        <v/>
      </c>
      <c r="P65" s="245">
        <f>SUMIF($T$4:$CA$4,P$4,$T65:$CA65)</f>
        <v/>
      </c>
      <c r="Q65" s="245">
        <f>SUMIF($T$4:$CA$4,Q$4,$T65:$CA65)</f>
        <v/>
      </c>
      <c r="T65" s="257">
        <f>IF(T$7="Actual",i_Actuals!T65,c_Calculations!T513)</f>
        <v/>
      </c>
      <c r="U65" s="257">
        <f>IF(U$7="Actual",i_Actuals!U65,c_Calculations!U513)</f>
        <v/>
      </c>
      <c r="V65" s="257">
        <f>IF(V$7="Actual",i_Actuals!V65,c_Calculations!V513)</f>
        <v/>
      </c>
      <c r="W65" s="257">
        <f>IF(W$7="Actual",i_Actuals!W65,c_Calculations!W513)</f>
        <v/>
      </c>
      <c r="X65" s="257">
        <f>IF(X$7="Actual",i_Actuals!X65,c_Calculations!X513)</f>
        <v/>
      </c>
      <c r="Y65" s="257">
        <f>IF(Y$7="Actual",i_Actuals!Y65,c_Calculations!Y513)</f>
        <v/>
      </c>
      <c r="Z65" s="257">
        <f>IF(Z$7="Actual",i_Actuals!Z65,c_Calculations!Z513)</f>
        <v/>
      </c>
      <c r="AA65" s="257">
        <f>IF(AA$7="Actual",i_Actuals!AA65,c_Calculations!AA513)</f>
        <v/>
      </c>
      <c r="AB65" s="257">
        <f>IF(AB$7="Actual",i_Actuals!AB65,c_Calculations!AB513)</f>
        <v/>
      </c>
      <c r="AC65" s="257">
        <f>IF(AC$7="Actual",i_Actuals!AC65,c_Calculations!AC513)</f>
        <v/>
      </c>
      <c r="AD65" s="257">
        <f>IF(AD$7="Actual",i_Actuals!AD65,c_Calculations!AD513)</f>
        <v/>
      </c>
      <c r="AE65" s="257">
        <f>IF(AE$7="Actual",i_Actuals!AE65,c_Calculations!AE513)</f>
        <v/>
      </c>
      <c r="AF65" s="257">
        <f>IF(AF$7="Actual",i_Actuals!AF65,c_Calculations!AF513)</f>
        <v/>
      </c>
      <c r="AG65" s="257">
        <f>IF(AG$7="Actual",i_Actuals!AG65,c_Calculations!AG513)</f>
        <v/>
      </c>
      <c r="AH65" s="257">
        <f>IF(AH$7="Actual",i_Actuals!AH65,c_Calculations!AH513)</f>
        <v/>
      </c>
      <c r="AI65" s="257">
        <f>IF(AI$7="Actual",i_Actuals!AI65,c_Calculations!AI513)</f>
        <v/>
      </c>
      <c r="AJ65" s="257">
        <f>IF(AJ$7="Actual",i_Actuals!AJ65,c_Calculations!AJ513)</f>
        <v/>
      </c>
      <c r="AK65" s="257">
        <f>IF(AK$7="Actual",i_Actuals!AK65,c_Calculations!AK513)</f>
        <v/>
      </c>
      <c r="AL65" s="257">
        <f>IF(AL$7="Actual",i_Actuals!AL65,c_Calculations!AL513)</f>
        <v/>
      </c>
      <c r="AM65" s="257">
        <f>IF(AM$7="Actual",i_Actuals!AM65,c_Calculations!AM513)</f>
        <v/>
      </c>
      <c r="AN65" s="257">
        <f>IF(AN$7="Actual",i_Actuals!AN65,c_Calculations!AN513)</f>
        <v/>
      </c>
      <c r="AO65" s="257">
        <f>IF(AO$7="Actual",i_Actuals!AO65,c_Calculations!AO513)</f>
        <v/>
      </c>
      <c r="AP65" s="257">
        <f>IF(AP$7="Actual",i_Actuals!AP65,c_Calculations!AP513)</f>
        <v/>
      </c>
      <c r="AQ65" s="257">
        <f>IF(AQ$7="Actual",i_Actuals!AQ65,c_Calculations!AQ513)</f>
        <v/>
      </c>
      <c r="AR65" s="257">
        <f>IF(AR$7="Actual",i_Actuals!AR65,c_Calculations!AR513)</f>
        <v/>
      </c>
      <c r="AS65" s="257">
        <f>IF(AS$7="Actual",i_Actuals!AS65,c_Calculations!AS513)</f>
        <v/>
      </c>
      <c r="AT65" s="257">
        <f>IF(AT$7="Actual",i_Actuals!AT65,c_Calculations!AT513)</f>
        <v/>
      </c>
      <c r="AU65" s="257">
        <f>IF(AU$7="Actual",i_Actuals!AU65,c_Calculations!AU513)</f>
        <v/>
      </c>
      <c r="AV65" s="257">
        <f>IF(AV$7="Actual",i_Actuals!AV65,c_Calculations!AV513)</f>
        <v/>
      </c>
      <c r="AW65" s="257">
        <f>IF(AW$7="Actual",i_Actuals!AW65,c_Calculations!AW513)</f>
        <v/>
      </c>
      <c r="AX65" s="257">
        <f>IF(AX$7="Actual",i_Actuals!AX65,c_Calculations!AX513)</f>
        <v/>
      </c>
      <c r="AY65" s="257">
        <f>IF(AY$7="Actual",i_Actuals!AY65,c_Calculations!AY513)</f>
        <v/>
      </c>
      <c r="AZ65" s="257">
        <f>IF(AZ$7="Actual",i_Actuals!AZ65,c_Calculations!AZ513)</f>
        <v/>
      </c>
      <c r="BA65" s="257">
        <f>IF(BA$7="Actual",i_Actuals!BA65,c_Calculations!BA513)</f>
        <v/>
      </c>
      <c r="BB65" s="257">
        <f>IF(BB$7="Actual",i_Actuals!BB65,c_Calculations!BB513)</f>
        <v/>
      </c>
      <c r="BC65" s="257">
        <f>IF(BC$7="Actual",i_Actuals!BC65,c_Calculations!BC513)</f>
        <v/>
      </c>
      <c r="BD65" s="257">
        <f>IF(BD$7="Actual",i_Actuals!BD65,c_Calculations!BD513)</f>
        <v/>
      </c>
      <c r="BE65" s="257">
        <f>IF(BE$7="Actual",i_Actuals!BE65,c_Calculations!BE513)</f>
        <v/>
      </c>
      <c r="BF65" s="257">
        <f>IF(BF$7="Actual",i_Actuals!BF65,c_Calculations!BF513)</f>
        <v/>
      </c>
      <c r="BG65" s="257">
        <f>IF(BG$7="Actual",i_Actuals!BG65,c_Calculations!BG513)</f>
        <v/>
      </c>
      <c r="BH65" s="257">
        <f>IF(BH$7="Actual",i_Actuals!BH65,c_Calculations!BH513)</f>
        <v/>
      </c>
      <c r="BI65" s="257">
        <f>IF(BI$7="Actual",i_Actuals!BI65,c_Calculations!BI513)</f>
        <v/>
      </c>
      <c r="BJ65" s="257">
        <f>IF(BJ$7="Actual",i_Actuals!BJ65,c_Calculations!BJ513)</f>
        <v/>
      </c>
      <c r="BK65" s="257">
        <f>IF(BK$7="Actual",i_Actuals!BK65,c_Calculations!BK513)</f>
        <v/>
      </c>
      <c r="BL65" s="257">
        <f>IF(BL$7="Actual",i_Actuals!BL65,c_Calculations!BL513)</f>
        <v/>
      </c>
      <c r="BM65" s="257">
        <f>IF(BM$7="Actual",i_Actuals!BM65,c_Calculations!BM513)</f>
        <v/>
      </c>
      <c r="BN65" s="257">
        <f>IF(BN$7="Actual",i_Actuals!BN65,c_Calculations!BN513)</f>
        <v/>
      </c>
      <c r="BO65" s="257">
        <f>IF(BO$7="Actual",i_Actuals!BO65,c_Calculations!BO513)</f>
        <v/>
      </c>
      <c r="BP65" s="257">
        <f>IF(BP$7="Actual",i_Actuals!BP65,c_Calculations!BP513)</f>
        <v/>
      </c>
      <c r="BQ65" s="257">
        <f>IF(BQ$7="Actual",i_Actuals!BQ65,c_Calculations!BQ513)</f>
        <v/>
      </c>
      <c r="BR65" s="257">
        <f>IF(BR$7="Actual",i_Actuals!BR65,c_Calculations!BR513)</f>
        <v/>
      </c>
      <c r="BS65" s="257">
        <f>IF(BS$7="Actual",i_Actuals!BS65,c_Calculations!BS513)</f>
        <v/>
      </c>
      <c r="BT65" s="257">
        <f>IF(BT$7="Actual",i_Actuals!BT65,c_Calculations!BT513)</f>
        <v/>
      </c>
      <c r="BU65" s="257">
        <f>IF(BU$7="Actual",i_Actuals!BU65,c_Calculations!BU513)</f>
        <v/>
      </c>
      <c r="BV65" s="257">
        <f>IF(BV$7="Actual",i_Actuals!BV65,c_Calculations!BV513)</f>
        <v/>
      </c>
      <c r="BW65" s="257">
        <f>IF(BW$7="Actual",i_Actuals!BW65,c_Calculations!BW513)</f>
        <v/>
      </c>
      <c r="BX65" s="257">
        <f>IF(BX$7="Actual",i_Actuals!BX65,c_Calculations!BX513)</f>
        <v/>
      </c>
      <c r="BY65" s="257">
        <f>IF(BY$7="Actual",i_Actuals!BY65,c_Calculations!BY513)</f>
        <v/>
      </c>
      <c r="BZ65" s="257">
        <f>IF(BZ$7="Actual",i_Actuals!BZ65,c_Calculations!BZ513)</f>
        <v/>
      </c>
      <c r="CA65" s="257">
        <f>IF(CA$7="Actual",i_Actuals!CA65,c_Calculations!CA513)</f>
        <v/>
      </c>
    </row>
    <row r="66" ht="12" customHeight="1" s="227">
      <c r="A66" s="244" t="n"/>
      <c r="B66" s="244" t="n"/>
      <c r="C66" s="244" t="n"/>
      <c r="G66" s="222" t="n"/>
      <c r="H66" s="4">
        <f>i_Setup!U91</f>
        <v/>
      </c>
      <c r="I66" s="27">
        <f> i_Setup!$M$16</f>
        <v/>
      </c>
      <c r="K66" s="27" t="n"/>
      <c r="M66" s="245">
        <f>SUMIF($T$4:$CA$4,M$4,$T66:$CA66)</f>
        <v/>
      </c>
      <c r="N66" s="245">
        <f>SUMIF($T$4:$CA$4,N$4,$T66:$CA66)</f>
        <v/>
      </c>
      <c r="O66" s="245">
        <f>SUMIF($T$4:$CA$4,O$4,$T66:$CA66)</f>
        <v/>
      </c>
      <c r="P66" s="245">
        <f>SUMIF($T$4:$CA$4,P$4,$T66:$CA66)</f>
        <v/>
      </c>
      <c r="Q66" s="245">
        <f>SUMIF($T$4:$CA$4,Q$4,$T66:$CA66)</f>
        <v/>
      </c>
      <c r="T66" s="257">
        <f>IF(T$7="Actual",i_Actuals!T66,c_Calculations!T514)</f>
        <v/>
      </c>
      <c r="U66" s="257">
        <f>IF(U$7="Actual",i_Actuals!U66,c_Calculations!U514)</f>
        <v/>
      </c>
      <c r="V66" s="257">
        <f>IF(V$7="Actual",i_Actuals!V66,c_Calculations!V514)</f>
        <v/>
      </c>
      <c r="W66" s="257">
        <f>IF(W$7="Actual",i_Actuals!W66,c_Calculations!W514)</f>
        <v/>
      </c>
      <c r="X66" s="257">
        <f>IF(X$7="Actual",i_Actuals!X66,c_Calculations!X514)</f>
        <v/>
      </c>
      <c r="Y66" s="257">
        <f>IF(Y$7="Actual",i_Actuals!Y66,c_Calculations!Y514)</f>
        <v/>
      </c>
      <c r="Z66" s="257">
        <f>IF(Z$7="Actual",i_Actuals!Z66,c_Calculations!Z514)</f>
        <v/>
      </c>
      <c r="AA66" s="257">
        <f>IF(AA$7="Actual",i_Actuals!AA66,c_Calculations!AA514)</f>
        <v/>
      </c>
      <c r="AB66" s="257">
        <f>IF(AB$7="Actual",i_Actuals!AB66,c_Calculations!AB514)</f>
        <v/>
      </c>
      <c r="AC66" s="257">
        <f>IF(AC$7="Actual",i_Actuals!AC66,c_Calculations!AC514)</f>
        <v/>
      </c>
      <c r="AD66" s="257">
        <f>IF(AD$7="Actual",i_Actuals!AD66,c_Calculations!AD514)</f>
        <v/>
      </c>
      <c r="AE66" s="257">
        <f>IF(AE$7="Actual",i_Actuals!AE66,c_Calculations!AE514)</f>
        <v/>
      </c>
      <c r="AF66" s="257">
        <f>IF(AF$7="Actual",i_Actuals!AF66,c_Calculations!AF514)</f>
        <v/>
      </c>
      <c r="AG66" s="257">
        <f>IF(AG$7="Actual",i_Actuals!AG66,c_Calculations!AG514)</f>
        <v/>
      </c>
      <c r="AH66" s="257">
        <f>IF(AH$7="Actual",i_Actuals!AH66,c_Calculations!AH514)</f>
        <v/>
      </c>
      <c r="AI66" s="257">
        <f>IF(AI$7="Actual",i_Actuals!AI66,c_Calculations!AI514)</f>
        <v/>
      </c>
      <c r="AJ66" s="257">
        <f>IF(AJ$7="Actual",i_Actuals!AJ66,c_Calculations!AJ514)</f>
        <v/>
      </c>
      <c r="AK66" s="257">
        <f>IF(AK$7="Actual",i_Actuals!AK66,c_Calculations!AK514)</f>
        <v/>
      </c>
      <c r="AL66" s="257">
        <f>IF(AL$7="Actual",i_Actuals!AL66,c_Calculations!AL514)</f>
        <v/>
      </c>
      <c r="AM66" s="257">
        <f>IF(AM$7="Actual",i_Actuals!AM66,c_Calculations!AM514)</f>
        <v/>
      </c>
      <c r="AN66" s="257">
        <f>IF(AN$7="Actual",i_Actuals!AN66,c_Calculations!AN514)</f>
        <v/>
      </c>
      <c r="AO66" s="257">
        <f>IF(AO$7="Actual",i_Actuals!AO66,c_Calculations!AO514)</f>
        <v/>
      </c>
      <c r="AP66" s="257">
        <f>IF(AP$7="Actual",i_Actuals!AP66,c_Calculations!AP514)</f>
        <v/>
      </c>
      <c r="AQ66" s="257">
        <f>IF(AQ$7="Actual",i_Actuals!AQ66,c_Calculations!AQ514)</f>
        <v/>
      </c>
      <c r="AR66" s="257">
        <f>IF(AR$7="Actual",i_Actuals!AR66,c_Calculations!AR514)</f>
        <v/>
      </c>
      <c r="AS66" s="257">
        <f>IF(AS$7="Actual",i_Actuals!AS66,c_Calculations!AS514)</f>
        <v/>
      </c>
      <c r="AT66" s="257">
        <f>IF(AT$7="Actual",i_Actuals!AT66,c_Calculations!AT514)</f>
        <v/>
      </c>
      <c r="AU66" s="257">
        <f>IF(AU$7="Actual",i_Actuals!AU66,c_Calculations!AU514)</f>
        <v/>
      </c>
      <c r="AV66" s="257">
        <f>IF(AV$7="Actual",i_Actuals!AV66,c_Calculations!AV514)</f>
        <v/>
      </c>
      <c r="AW66" s="257">
        <f>IF(AW$7="Actual",i_Actuals!AW66,c_Calculations!AW514)</f>
        <v/>
      </c>
      <c r="AX66" s="257">
        <f>IF(AX$7="Actual",i_Actuals!AX66,c_Calculations!AX514)</f>
        <v/>
      </c>
      <c r="AY66" s="257">
        <f>IF(AY$7="Actual",i_Actuals!AY66,c_Calculations!AY514)</f>
        <v/>
      </c>
      <c r="AZ66" s="257">
        <f>IF(AZ$7="Actual",i_Actuals!AZ66,c_Calculations!AZ514)</f>
        <v/>
      </c>
      <c r="BA66" s="257">
        <f>IF(BA$7="Actual",i_Actuals!BA66,c_Calculations!BA514)</f>
        <v/>
      </c>
      <c r="BB66" s="257">
        <f>IF(BB$7="Actual",i_Actuals!BB66,c_Calculations!BB514)</f>
        <v/>
      </c>
      <c r="BC66" s="257">
        <f>IF(BC$7="Actual",i_Actuals!BC66,c_Calculations!BC514)</f>
        <v/>
      </c>
      <c r="BD66" s="257">
        <f>IF(BD$7="Actual",i_Actuals!BD66,c_Calculations!BD514)</f>
        <v/>
      </c>
      <c r="BE66" s="257">
        <f>IF(BE$7="Actual",i_Actuals!BE66,c_Calculations!BE514)</f>
        <v/>
      </c>
      <c r="BF66" s="257">
        <f>IF(BF$7="Actual",i_Actuals!BF66,c_Calculations!BF514)</f>
        <v/>
      </c>
      <c r="BG66" s="257">
        <f>IF(BG$7="Actual",i_Actuals!BG66,c_Calculations!BG514)</f>
        <v/>
      </c>
      <c r="BH66" s="257">
        <f>IF(BH$7="Actual",i_Actuals!BH66,c_Calculations!BH514)</f>
        <v/>
      </c>
      <c r="BI66" s="257">
        <f>IF(BI$7="Actual",i_Actuals!BI66,c_Calculations!BI514)</f>
        <v/>
      </c>
      <c r="BJ66" s="257">
        <f>IF(BJ$7="Actual",i_Actuals!BJ66,c_Calculations!BJ514)</f>
        <v/>
      </c>
      <c r="BK66" s="257">
        <f>IF(BK$7="Actual",i_Actuals!BK66,c_Calculations!BK514)</f>
        <v/>
      </c>
      <c r="BL66" s="257">
        <f>IF(BL$7="Actual",i_Actuals!BL66,c_Calculations!BL514)</f>
        <v/>
      </c>
      <c r="BM66" s="257">
        <f>IF(BM$7="Actual",i_Actuals!BM66,c_Calculations!BM514)</f>
        <v/>
      </c>
      <c r="BN66" s="257">
        <f>IF(BN$7="Actual",i_Actuals!BN66,c_Calculations!BN514)</f>
        <v/>
      </c>
      <c r="BO66" s="257">
        <f>IF(BO$7="Actual",i_Actuals!BO66,c_Calculations!BO514)</f>
        <v/>
      </c>
      <c r="BP66" s="257">
        <f>IF(BP$7="Actual",i_Actuals!BP66,c_Calculations!BP514)</f>
        <v/>
      </c>
      <c r="BQ66" s="257">
        <f>IF(BQ$7="Actual",i_Actuals!BQ66,c_Calculations!BQ514)</f>
        <v/>
      </c>
      <c r="BR66" s="257">
        <f>IF(BR$7="Actual",i_Actuals!BR66,c_Calculations!BR514)</f>
        <v/>
      </c>
      <c r="BS66" s="257">
        <f>IF(BS$7="Actual",i_Actuals!BS66,c_Calculations!BS514)</f>
        <v/>
      </c>
      <c r="BT66" s="257">
        <f>IF(BT$7="Actual",i_Actuals!BT66,c_Calculations!BT514)</f>
        <v/>
      </c>
      <c r="BU66" s="257">
        <f>IF(BU$7="Actual",i_Actuals!BU66,c_Calculations!BU514)</f>
        <v/>
      </c>
      <c r="BV66" s="257">
        <f>IF(BV$7="Actual",i_Actuals!BV66,c_Calculations!BV514)</f>
        <v/>
      </c>
      <c r="BW66" s="257">
        <f>IF(BW$7="Actual",i_Actuals!BW66,c_Calculations!BW514)</f>
        <v/>
      </c>
      <c r="BX66" s="257">
        <f>IF(BX$7="Actual",i_Actuals!BX66,c_Calculations!BX514)</f>
        <v/>
      </c>
      <c r="BY66" s="257">
        <f>IF(BY$7="Actual",i_Actuals!BY66,c_Calculations!BY514)</f>
        <v/>
      </c>
      <c r="BZ66" s="257">
        <f>IF(BZ$7="Actual",i_Actuals!BZ66,c_Calculations!BZ514)</f>
        <v/>
      </c>
      <c r="CA66" s="257">
        <f>IF(CA$7="Actual",i_Actuals!CA66,c_Calculations!CA514)</f>
        <v/>
      </c>
    </row>
    <row r="67" ht="12" customFormat="1" customHeight="1" s="8">
      <c r="A67" s="276" t="n"/>
      <c r="B67" s="276" t="n"/>
      <c r="C67" s="276" t="n"/>
      <c r="G67" s="39" t="inlineStr">
        <is>
          <t>Total Marketing Costs</t>
        </is>
      </c>
      <c r="H67" s="39" t="n"/>
      <c r="I67" s="41">
        <f> i_Setup!$M$16</f>
        <v/>
      </c>
      <c r="J67" s="39" t="n"/>
      <c r="K67" s="56" t="n"/>
      <c r="M67" s="249">
        <f>SUM(M62:M66)</f>
        <v/>
      </c>
      <c r="N67" s="249">
        <f>SUM(N62:N66)</f>
        <v/>
      </c>
      <c r="O67" s="249">
        <f>SUM(O62:O66)</f>
        <v/>
      </c>
      <c r="P67" s="249">
        <f>SUM(P62:P66)</f>
        <v/>
      </c>
      <c r="Q67" s="249">
        <f>SUM(Q62:Q66)</f>
        <v/>
      </c>
      <c r="T67" s="249">
        <f>SUM(T62:T66)</f>
        <v/>
      </c>
      <c r="U67" s="249">
        <f>SUM(U62:U66)</f>
        <v/>
      </c>
      <c r="V67" s="249">
        <f>SUM(V62:V66)</f>
        <v/>
      </c>
      <c r="W67" s="249">
        <f>SUM(W62:W66)</f>
        <v/>
      </c>
      <c r="X67" s="249">
        <f>SUM(X62:X66)</f>
        <v/>
      </c>
      <c r="Y67" s="249">
        <f>SUM(Y62:Y66)</f>
        <v/>
      </c>
      <c r="Z67" s="249">
        <f>SUM(Z62:Z66)</f>
        <v/>
      </c>
      <c r="AA67" s="249">
        <f>SUM(AA62:AA66)</f>
        <v/>
      </c>
      <c r="AB67" s="249">
        <f>SUM(AB62:AB66)</f>
        <v/>
      </c>
      <c r="AC67" s="249">
        <f>SUM(AC62:AC66)</f>
        <v/>
      </c>
      <c r="AD67" s="249">
        <f>SUM(AD62:AD66)</f>
        <v/>
      </c>
      <c r="AE67" s="249">
        <f>SUM(AE62:AE66)</f>
        <v/>
      </c>
      <c r="AF67" s="249">
        <f>SUM(AF62:AF66)</f>
        <v/>
      </c>
      <c r="AG67" s="249">
        <f>SUM(AG62:AG66)</f>
        <v/>
      </c>
      <c r="AH67" s="249">
        <f>SUM(AH62:AH66)</f>
        <v/>
      </c>
      <c r="AI67" s="249">
        <f>SUM(AI62:AI66)</f>
        <v/>
      </c>
      <c r="AJ67" s="249">
        <f>SUM(AJ62:AJ66)</f>
        <v/>
      </c>
      <c r="AK67" s="249">
        <f>SUM(AK62:AK66)</f>
        <v/>
      </c>
      <c r="AL67" s="249">
        <f>SUM(AL62:AL66)</f>
        <v/>
      </c>
      <c r="AM67" s="249">
        <f>SUM(AM62:AM66)</f>
        <v/>
      </c>
      <c r="AN67" s="249">
        <f>SUM(AN62:AN66)</f>
        <v/>
      </c>
      <c r="AO67" s="249">
        <f>SUM(AO62:AO66)</f>
        <v/>
      </c>
      <c r="AP67" s="249">
        <f>SUM(AP62:AP66)</f>
        <v/>
      </c>
      <c r="AQ67" s="249">
        <f>SUM(AQ62:AQ66)</f>
        <v/>
      </c>
      <c r="AR67" s="249">
        <f>SUM(AR62:AR66)</f>
        <v/>
      </c>
      <c r="AS67" s="249">
        <f>SUM(AS62:AS66)</f>
        <v/>
      </c>
      <c r="AT67" s="249">
        <f>SUM(AT62:AT66)</f>
        <v/>
      </c>
      <c r="AU67" s="249">
        <f>SUM(AU62:AU66)</f>
        <v/>
      </c>
      <c r="AV67" s="249">
        <f>SUM(AV62:AV66)</f>
        <v/>
      </c>
      <c r="AW67" s="249">
        <f>SUM(AW62:AW66)</f>
        <v/>
      </c>
      <c r="AX67" s="249">
        <f>SUM(AX62:AX66)</f>
        <v/>
      </c>
      <c r="AY67" s="249">
        <f>SUM(AY62:AY66)</f>
        <v/>
      </c>
      <c r="AZ67" s="249">
        <f>SUM(AZ62:AZ66)</f>
        <v/>
      </c>
      <c r="BA67" s="249">
        <f>SUM(BA62:BA66)</f>
        <v/>
      </c>
      <c r="BB67" s="249">
        <f>SUM(BB62:BB66)</f>
        <v/>
      </c>
      <c r="BC67" s="249">
        <f>SUM(BC62:BC66)</f>
        <v/>
      </c>
      <c r="BD67" s="249">
        <f>SUM(BD62:BD66)</f>
        <v/>
      </c>
      <c r="BE67" s="249">
        <f>SUM(BE62:BE66)</f>
        <v/>
      </c>
      <c r="BF67" s="249">
        <f>SUM(BF62:BF66)</f>
        <v/>
      </c>
      <c r="BG67" s="249">
        <f>SUM(BG62:BG66)</f>
        <v/>
      </c>
      <c r="BH67" s="249">
        <f>SUM(BH62:BH66)</f>
        <v/>
      </c>
      <c r="BI67" s="249">
        <f>SUM(BI62:BI66)</f>
        <v/>
      </c>
      <c r="BJ67" s="249">
        <f>SUM(BJ62:BJ66)</f>
        <v/>
      </c>
      <c r="BK67" s="249">
        <f>SUM(BK62:BK66)</f>
        <v/>
      </c>
      <c r="BL67" s="249">
        <f>SUM(BL62:BL66)</f>
        <v/>
      </c>
      <c r="BM67" s="249">
        <f>SUM(BM62:BM66)</f>
        <v/>
      </c>
      <c r="BN67" s="249">
        <f>SUM(BN62:BN66)</f>
        <v/>
      </c>
      <c r="BO67" s="249">
        <f>SUM(BO62:BO66)</f>
        <v/>
      </c>
      <c r="BP67" s="249">
        <f>SUM(BP62:BP66)</f>
        <v/>
      </c>
      <c r="BQ67" s="249">
        <f>SUM(BQ62:BQ66)</f>
        <v/>
      </c>
      <c r="BR67" s="249">
        <f>SUM(BR62:BR66)</f>
        <v/>
      </c>
      <c r="BS67" s="249">
        <f>SUM(BS62:BS66)</f>
        <v/>
      </c>
      <c r="BT67" s="249">
        <f>SUM(BT62:BT66)</f>
        <v/>
      </c>
      <c r="BU67" s="249">
        <f>SUM(BU62:BU66)</f>
        <v/>
      </c>
      <c r="BV67" s="249">
        <f>SUM(BV62:BV66)</f>
        <v/>
      </c>
      <c r="BW67" s="249">
        <f>SUM(BW62:BW66)</f>
        <v/>
      </c>
      <c r="BX67" s="249">
        <f>SUM(BX62:BX66)</f>
        <v/>
      </c>
      <c r="BY67" s="249">
        <f>SUM(BY62:BY66)</f>
        <v/>
      </c>
      <c r="BZ67" s="249">
        <f>SUM(BZ62:BZ66)</f>
        <v/>
      </c>
      <c r="CA67" s="249">
        <f>SUM(CA62:CA66)</f>
        <v/>
      </c>
    </row>
    <row r="68" ht="12" customHeight="1" s="227">
      <c r="A68" s="244" t="n"/>
      <c r="B68" s="244" t="n"/>
      <c r="C68" s="244" t="n"/>
      <c r="G68" s="222" t="n"/>
      <c r="M68" s="245" t="n"/>
      <c r="N68" s="245" t="n"/>
      <c r="O68" s="245" t="n"/>
      <c r="P68" s="245" t="n"/>
      <c r="Q68" s="245" t="n"/>
    </row>
    <row r="69" ht="12.75" customHeight="1" s="227">
      <c r="A69" s="244" t="n"/>
      <c r="B69" s="244" t="n"/>
      <c r="C69" s="244" t="n"/>
      <c r="G69" s="222" t="inlineStr">
        <is>
          <t>Other Expenses</t>
        </is>
      </c>
      <c r="M69" s="245" t="n"/>
      <c r="N69" s="245" t="n"/>
      <c r="O69" s="245" t="n"/>
      <c r="P69" s="245" t="n"/>
      <c r="Q69" s="245" t="n"/>
    </row>
    <row r="70" ht="12" customHeight="1" s="227">
      <c r="A70" s="244" t="n"/>
      <c r="B70" s="244" t="n"/>
      <c r="C70" s="244" t="n"/>
      <c r="G70" s="222" t="n"/>
      <c r="H70" s="4">
        <f>i_Setup!U96</f>
        <v/>
      </c>
      <c r="I70" s="27">
        <f> i_Setup!$M$16</f>
        <v/>
      </c>
      <c r="K70" s="27" t="n"/>
      <c r="M70" s="245">
        <f>SUMIF($T$4:$CA$4,M$4,$T70:$CA70)</f>
        <v/>
      </c>
      <c r="N70" s="245">
        <f>SUMIF($T$4:$CA$4,N$4,$T70:$CA70)</f>
        <v/>
      </c>
      <c r="O70" s="245">
        <f>SUMIF($T$4:$CA$4,O$4,$T70:$CA70)</f>
        <v/>
      </c>
      <c r="P70" s="245">
        <f>SUMIF($T$4:$CA$4,P$4,$T70:$CA70)</f>
        <v/>
      </c>
      <c r="Q70" s="245">
        <f>SUMIF($T$4:$CA$4,Q$4,$T70:$CA70)</f>
        <v/>
      </c>
      <c r="T70" s="257">
        <f>IF(T$7="Actual",i_Actuals!T70,c_Calculations!T532)</f>
        <v/>
      </c>
      <c r="U70" s="257">
        <f>IF(U$7="Actual",i_Actuals!U70,c_Calculations!U532)</f>
        <v/>
      </c>
      <c r="V70" s="257">
        <f>IF(V$7="Actual",i_Actuals!V70,c_Calculations!V532)</f>
        <v/>
      </c>
      <c r="W70" s="257">
        <f>IF(W$7="Actual",i_Actuals!W70,c_Calculations!W532)</f>
        <v/>
      </c>
      <c r="X70" s="257">
        <f>IF(X$7="Actual",i_Actuals!X70,c_Calculations!X532)</f>
        <v/>
      </c>
      <c r="Y70" s="257">
        <f>IF(Y$7="Actual",i_Actuals!Y70,c_Calculations!Y532)</f>
        <v/>
      </c>
      <c r="Z70" s="257">
        <f>IF(Z$7="Actual",i_Actuals!Z70,c_Calculations!Z532)</f>
        <v/>
      </c>
      <c r="AA70" s="257">
        <f>IF(AA$7="Actual",i_Actuals!AA70,c_Calculations!AA532)</f>
        <v/>
      </c>
      <c r="AB70" s="257">
        <f>IF(AB$7="Actual",i_Actuals!AB70,c_Calculations!AB532)</f>
        <v/>
      </c>
      <c r="AC70" s="257">
        <f>IF(AC$7="Actual",i_Actuals!AC70,c_Calculations!AC532)</f>
        <v/>
      </c>
      <c r="AD70" s="257">
        <f>IF(AD$7="Actual",i_Actuals!AD70,c_Calculations!AD532)</f>
        <v/>
      </c>
      <c r="AE70" s="257">
        <f>IF(AE$7="Actual",i_Actuals!AE70,c_Calculations!AE532)</f>
        <v/>
      </c>
      <c r="AF70" s="257">
        <f>IF(AF$7="Actual",i_Actuals!AF70,c_Calculations!AF532)</f>
        <v/>
      </c>
      <c r="AG70" s="257">
        <f>IF(AG$7="Actual",i_Actuals!AG70,c_Calculations!AG532)</f>
        <v/>
      </c>
      <c r="AH70" s="257">
        <f>IF(AH$7="Actual",i_Actuals!AH70,c_Calculations!AH532)</f>
        <v/>
      </c>
      <c r="AI70" s="257">
        <f>IF(AI$7="Actual",i_Actuals!AI70,c_Calculations!AI532)</f>
        <v/>
      </c>
      <c r="AJ70" s="257">
        <f>IF(AJ$7="Actual",i_Actuals!AJ70,c_Calculations!AJ532)</f>
        <v/>
      </c>
      <c r="AK70" s="257">
        <f>IF(AK$7="Actual",i_Actuals!AK70,c_Calculations!AK532)</f>
        <v/>
      </c>
      <c r="AL70" s="257">
        <f>IF(AL$7="Actual",i_Actuals!AL70,c_Calculations!AL532)</f>
        <v/>
      </c>
      <c r="AM70" s="257">
        <f>IF(AM$7="Actual",i_Actuals!AM70,c_Calculations!AM532)</f>
        <v/>
      </c>
      <c r="AN70" s="257">
        <f>IF(AN$7="Actual",i_Actuals!AN70,c_Calculations!AN532)</f>
        <v/>
      </c>
      <c r="AO70" s="257">
        <f>IF(AO$7="Actual",i_Actuals!AO70,c_Calculations!AO532)</f>
        <v/>
      </c>
      <c r="AP70" s="257">
        <f>IF(AP$7="Actual",i_Actuals!AP70,c_Calculations!AP532)</f>
        <v/>
      </c>
      <c r="AQ70" s="257">
        <f>IF(AQ$7="Actual",i_Actuals!AQ70,c_Calculations!AQ532)</f>
        <v/>
      </c>
      <c r="AR70" s="257">
        <f>IF(AR$7="Actual",i_Actuals!AR70,c_Calculations!AR532)</f>
        <v/>
      </c>
      <c r="AS70" s="257">
        <f>IF(AS$7="Actual",i_Actuals!AS70,c_Calculations!AS532)</f>
        <v/>
      </c>
      <c r="AT70" s="257">
        <f>IF(AT$7="Actual",i_Actuals!AT70,c_Calculations!AT532)</f>
        <v/>
      </c>
      <c r="AU70" s="257">
        <f>IF(AU$7="Actual",i_Actuals!AU70,c_Calculations!AU532)</f>
        <v/>
      </c>
      <c r="AV70" s="257">
        <f>IF(AV$7="Actual",i_Actuals!AV70,c_Calculations!AV532)</f>
        <v/>
      </c>
      <c r="AW70" s="257">
        <f>IF(AW$7="Actual",i_Actuals!AW70,c_Calculations!AW532)</f>
        <v/>
      </c>
      <c r="AX70" s="257">
        <f>IF(AX$7="Actual",i_Actuals!AX70,c_Calculations!AX532)</f>
        <v/>
      </c>
      <c r="AY70" s="257">
        <f>IF(AY$7="Actual",i_Actuals!AY70,c_Calculations!AY532)</f>
        <v/>
      </c>
      <c r="AZ70" s="257">
        <f>IF(AZ$7="Actual",i_Actuals!AZ70,c_Calculations!AZ532)</f>
        <v/>
      </c>
      <c r="BA70" s="257">
        <f>IF(BA$7="Actual",i_Actuals!BA70,c_Calculations!BA532)</f>
        <v/>
      </c>
      <c r="BB70" s="257">
        <f>IF(BB$7="Actual",i_Actuals!BB70,c_Calculations!BB532)</f>
        <v/>
      </c>
      <c r="BC70" s="257">
        <f>IF(BC$7="Actual",i_Actuals!BC70,c_Calculations!BC532)</f>
        <v/>
      </c>
      <c r="BD70" s="257">
        <f>IF(BD$7="Actual",i_Actuals!BD70,c_Calculations!BD532)</f>
        <v/>
      </c>
      <c r="BE70" s="257">
        <f>IF(BE$7="Actual",i_Actuals!BE70,c_Calculations!BE532)</f>
        <v/>
      </c>
      <c r="BF70" s="257">
        <f>IF(BF$7="Actual",i_Actuals!BF70,c_Calculations!BF532)</f>
        <v/>
      </c>
      <c r="BG70" s="257">
        <f>IF(BG$7="Actual",i_Actuals!BG70,c_Calculations!BG532)</f>
        <v/>
      </c>
      <c r="BH70" s="257">
        <f>IF(BH$7="Actual",i_Actuals!BH70,c_Calculations!BH532)</f>
        <v/>
      </c>
      <c r="BI70" s="257">
        <f>IF(BI$7="Actual",i_Actuals!BI70,c_Calculations!BI532)</f>
        <v/>
      </c>
      <c r="BJ70" s="257">
        <f>IF(BJ$7="Actual",i_Actuals!BJ70,c_Calculations!BJ532)</f>
        <v/>
      </c>
      <c r="BK70" s="257">
        <f>IF(BK$7="Actual",i_Actuals!BK70,c_Calculations!BK532)</f>
        <v/>
      </c>
      <c r="BL70" s="257">
        <f>IF(BL$7="Actual",i_Actuals!BL70,c_Calculations!BL532)</f>
        <v/>
      </c>
      <c r="BM70" s="257">
        <f>IF(BM$7="Actual",i_Actuals!BM70,c_Calculations!BM532)</f>
        <v/>
      </c>
      <c r="BN70" s="257">
        <f>IF(BN$7="Actual",i_Actuals!BN70,c_Calculations!BN532)</f>
        <v/>
      </c>
      <c r="BO70" s="257">
        <f>IF(BO$7="Actual",i_Actuals!BO70,c_Calculations!BO532)</f>
        <v/>
      </c>
      <c r="BP70" s="257">
        <f>IF(BP$7="Actual",i_Actuals!BP70,c_Calculations!BP532)</f>
        <v/>
      </c>
      <c r="BQ70" s="257">
        <f>IF(BQ$7="Actual",i_Actuals!BQ70,c_Calculations!BQ532)</f>
        <v/>
      </c>
      <c r="BR70" s="257">
        <f>IF(BR$7="Actual",i_Actuals!BR70,c_Calculations!BR532)</f>
        <v/>
      </c>
      <c r="BS70" s="257">
        <f>IF(BS$7="Actual",i_Actuals!BS70,c_Calculations!BS532)</f>
        <v/>
      </c>
      <c r="BT70" s="257">
        <f>IF(BT$7="Actual",i_Actuals!BT70,c_Calculations!BT532)</f>
        <v/>
      </c>
      <c r="BU70" s="257">
        <f>IF(BU$7="Actual",i_Actuals!BU70,c_Calculations!BU532)</f>
        <v/>
      </c>
      <c r="BV70" s="257">
        <f>IF(BV$7="Actual",i_Actuals!BV70,c_Calculations!BV532)</f>
        <v/>
      </c>
      <c r="BW70" s="257">
        <f>IF(BW$7="Actual",i_Actuals!BW70,c_Calculations!BW532)</f>
        <v/>
      </c>
      <c r="BX70" s="257">
        <f>IF(BX$7="Actual",i_Actuals!BX70,c_Calculations!BX532)</f>
        <v/>
      </c>
      <c r="BY70" s="257">
        <f>IF(BY$7="Actual",i_Actuals!BY70,c_Calculations!BY532)</f>
        <v/>
      </c>
      <c r="BZ70" s="257">
        <f>IF(BZ$7="Actual",i_Actuals!BZ70,c_Calculations!BZ532)</f>
        <v/>
      </c>
      <c r="CA70" s="257">
        <f>IF(CA$7="Actual",i_Actuals!CA70,c_Calculations!CA532)</f>
        <v/>
      </c>
    </row>
    <row r="71" ht="12" customHeight="1" s="227">
      <c r="A71" s="244" t="n"/>
      <c r="B71" s="244" t="n"/>
      <c r="C71" s="244" t="n"/>
      <c r="G71" s="222" t="n"/>
      <c r="H71" s="4">
        <f>i_Setup!U97</f>
        <v/>
      </c>
      <c r="I71" s="27">
        <f> i_Setup!$M$16</f>
        <v/>
      </c>
      <c r="K71" s="27" t="n"/>
      <c r="M71" s="245">
        <f>SUMIF($T$4:$CA$4,M$4,$T71:$CA71)</f>
        <v/>
      </c>
      <c r="N71" s="245">
        <f>SUMIF($T$4:$CA$4,N$4,$T71:$CA71)</f>
        <v/>
      </c>
      <c r="O71" s="245">
        <f>SUMIF($T$4:$CA$4,O$4,$T71:$CA71)</f>
        <v/>
      </c>
      <c r="P71" s="245">
        <f>SUMIF($T$4:$CA$4,P$4,$T71:$CA71)</f>
        <v/>
      </c>
      <c r="Q71" s="245">
        <f>SUMIF($T$4:$CA$4,Q$4,$T71:$CA71)</f>
        <v/>
      </c>
      <c r="T71" s="257">
        <f>IF(T$7="Actual",i_Actuals!T71,c_Calculations!T533)</f>
        <v/>
      </c>
      <c r="U71" s="257">
        <f>IF(U$7="Actual",i_Actuals!U71,c_Calculations!U533)</f>
        <v/>
      </c>
      <c r="V71" s="257">
        <f>IF(V$7="Actual",i_Actuals!V71,c_Calculations!V533)</f>
        <v/>
      </c>
      <c r="W71" s="257">
        <f>IF(W$7="Actual",i_Actuals!W71,c_Calculations!W533)</f>
        <v/>
      </c>
      <c r="X71" s="257">
        <f>IF(X$7="Actual",i_Actuals!X71,c_Calculations!X533)</f>
        <v/>
      </c>
      <c r="Y71" s="257">
        <f>IF(Y$7="Actual",i_Actuals!Y71,c_Calculations!Y533)</f>
        <v/>
      </c>
      <c r="Z71" s="257">
        <f>IF(Z$7="Actual",i_Actuals!Z71,c_Calculations!Z533)</f>
        <v/>
      </c>
      <c r="AA71" s="257">
        <f>IF(AA$7="Actual",i_Actuals!AA71,c_Calculations!AA533)</f>
        <v/>
      </c>
      <c r="AB71" s="257">
        <f>IF(AB$7="Actual",i_Actuals!AB71,c_Calculations!AB533)</f>
        <v/>
      </c>
      <c r="AC71" s="257">
        <f>IF(AC$7="Actual",i_Actuals!AC71,c_Calculations!AC533)</f>
        <v/>
      </c>
      <c r="AD71" s="257">
        <f>IF(AD$7="Actual",i_Actuals!AD71,c_Calculations!AD533)</f>
        <v/>
      </c>
      <c r="AE71" s="257">
        <f>IF(AE$7="Actual",i_Actuals!AE71,c_Calculations!AE533)</f>
        <v/>
      </c>
      <c r="AF71" s="257">
        <f>IF(AF$7="Actual",i_Actuals!AF71,c_Calculations!AF533)</f>
        <v/>
      </c>
      <c r="AG71" s="257">
        <f>IF(AG$7="Actual",i_Actuals!AG71,c_Calculations!AG533)</f>
        <v/>
      </c>
      <c r="AH71" s="257">
        <f>IF(AH$7="Actual",i_Actuals!AH71,c_Calculations!AH533)</f>
        <v/>
      </c>
      <c r="AI71" s="257">
        <f>IF(AI$7="Actual",i_Actuals!AI71,c_Calculations!AI533)</f>
        <v/>
      </c>
      <c r="AJ71" s="257">
        <f>IF(AJ$7="Actual",i_Actuals!AJ71,c_Calculations!AJ533)</f>
        <v/>
      </c>
      <c r="AK71" s="257">
        <f>IF(AK$7="Actual",i_Actuals!AK71,c_Calculations!AK533)</f>
        <v/>
      </c>
      <c r="AL71" s="257">
        <f>IF(AL$7="Actual",i_Actuals!AL71,c_Calculations!AL533)</f>
        <v/>
      </c>
      <c r="AM71" s="257">
        <f>IF(AM$7="Actual",i_Actuals!AM71,c_Calculations!AM533)</f>
        <v/>
      </c>
      <c r="AN71" s="257">
        <f>IF(AN$7="Actual",i_Actuals!AN71,c_Calculations!AN533)</f>
        <v/>
      </c>
      <c r="AO71" s="257">
        <f>IF(AO$7="Actual",i_Actuals!AO71,c_Calculations!AO533)</f>
        <v/>
      </c>
      <c r="AP71" s="257">
        <f>IF(AP$7="Actual",i_Actuals!AP71,c_Calculations!AP533)</f>
        <v/>
      </c>
      <c r="AQ71" s="257">
        <f>IF(AQ$7="Actual",i_Actuals!AQ71,c_Calculations!AQ533)</f>
        <v/>
      </c>
      <c r="AR71" s="257">
        <f>IF(AR$7="Actual",i_Actuals!AR71,c_Calculations!AR533)</f>
        <v/>
      </c>
      <c r="AS71" s="257">
        <f>IF(AS$7="Actual",i_Actuals!AS71,c_Calculations!AS533)</f>
        <v/>
      </c>
      <c r="AT71" s="257">
        <f>IF(AT$7="Actual",i_Actuals!AT71,c_Calculations!AT533)</f>
        <v/>
      </c>
      <c r="AU71" s="257">
        <f>IF(AU$7="Actual",i_Actuals!AU71,c_Calculations!AU533)</f>
        <v/>
      </c>
      <c r="AV71" s="257">
        <f>IF(AV$7="Actual",i_Actuals!AV71,c_Calculations!AV533)</f>
        <v/>
      </c>
      <c r="AW71" s="257">
        <f>IF(AW$7="Actual",i_Actuals!AW71,c_Calculations!AW533)</f>
        <v/>
      </c>
      <c r="AX71" s="257">
        <f>IF(AX$7="Actual",i_Actuals!AX71,c_Calculations!AX533)</f>
        <v/>
      </c>
      <c r="AY71" s="257">
        <f>IF(AY$7="Actual",i_Actuals!AY71,c_Calculations!AY533)</f>
        <v/>
      </c>
      <c r="AZ71" s="257">
        <f>IF(AZ$7="Actual",i_Actuals!AZ71,c_Calculations!AZ533)</f>
        <v/>
      </c>
      <c r="BA71" s="257">
        <f>IF(BA$7="Actual",i_Actuals!BA71,c_Calculations!BA533)</f>
        <v/>
      </c>
      <c r="BB71" s="257">
        <f>IF(BB$7="Actual",i_Actuals!BB71,c_Calculations!BB533)</f>
        <v/>
      </c>
      <c r="BC71" s="257">
        <f>IF(BC$7="Actual",i_Actuals!BC71,c_Calculations!BC533)</f>
        <v/>
      </c>
      <c r="BD71" s="257">
        <f>IF(BD$7="Actual",i_Actuals!BD71,c_Calculations!BD533)</f>
        <v/>
      </c>
      <c r="BE71" s="257">
        <f>IF(BE$7="Actual",i_Actuals!BE71,c_Calculations!BE533)</f>
        <v/>
      </c>
      <c r="BF71" s="257">
        <f>IF(BF$7="Actual",i_Actuals!BF71,c_Calculations!BF533)</f>
        <v/>
      </c>
      <c r="BG71" s="257">
        <f>IF(BG$7="Actual",i_Actuals!BG71,c_Calculations!BG533)</f>
        <v/>
      </c>
      <c r="BH71" s="257">
        <f>IF(BH$7="Actual",i_Actuals!BH71,c_Calculations!BH533)</f>
        <v/>
      </c>
      <c r="BI71" s="257">
        <f>IF(BI$7="Actual",i_Actuals!BI71,c_Calculations!BI533)</f>
        <v/>
      </c>
      <c r="BJ71" s="257">
        <f>IF(BJ$7="Actual",i_Actuals!BJ71,c_Calculations!BJ533)</f>
        <v/>
      </c>
      <c r="BK71" s="257">
        <f>IF(BK$7="Actual",i_Actuals!BK71,c_Calculations!BK533)</f>
        <v/>
      </c>
      <c r="BL71" s="257">
        <f>IF(BL$7="Actual",i_Actuals!BL71,c_Calculations!BL533)</f>
        <v/>
      </c>
      <c r="BM71" s="257">
        <f>IF(BM$7="Actual",i_Actuals!BM71,c_Calculations!BM533)</f>
        <v/>
      </c>
      <c r="BN71" s="257">
        <f>IF(BN$7="Actual",i_Actuals!BN71,c_Calculations!BN533)</f>
        <v/>
      </c>
      <c r="BO71" s="257">
        <f>IF(BO$7="Actual",i_Actuals!BO71,c_Calculations!BO533)</f>
        <v/>
      </c>
      <c r="BP71" s="257">
        <f>IF(BP$7="Actual",i_Actuals!BP71,c_Calculations!BP533)</f>
        <v/>
      </c>
      <c r="BQ71" s="257">
        <f>IF(BQ$7="Actual",i_Actuals!BQ71,c_Calculations!BQ533)</f>
        <v/>
      </c>
      <c r="BR71" s="257">
        <f>IF(BR$7="Actual",i_Actuals!BR71,c_Calculations!BR533)</f>
        <v/>
      </c>
      <c r="BS71" s="257">
        <f>IF(BS$7="Actual",i_Actuals!BS71,c_Calculations!BS533)</f>
        <v/>
      </c>
      <c r="BT71" s="257">
        <f>IF(BT$7="Actual",i_Actuals!BT71,c_Calculations!BT533)</f>
        <v/>
      </c>
      <c r="BU71" s="257">
        <f>IF(BU$7="Actual",i_Actuals!BU71,c_Calculations!BU533)</f>
        <v/>
      </c>
      <c r="BV71" s="257">
        <f>IF(BV$7="Actual",i_Actuals!BV71,c_Calculations!BV533)</f>
        <v/>
      </c>
      <c r="BW71" s="257">
        <f>IF(BW$7="Actual",i_Actuals!BW71,c_Calculations!BW533)</f>
        <v/>
      </c>
      <c r="BX71" s="257">
        <f>IF(BX$7="Actual",i_Actuals!BX71,c_Calculations!BX533)</f>
        <v/>
      </c>
      <c r="BY71" s="257">
        <f>IF(BY$7="Actual",i_Actuals!BY71,c_Calculations!BY533)</f>
        <v/>
      </c>
      <c r="BZ71" s="257">
        <f>IF(BZ$7="Actual",i_Actuals!BZ71,c_Calculations!BZ533)</f>
        <v/>
      </c>
      <c r="CA71" s="257">
        <f>IF(CA$7="Actual",i_Actuals!CA71,c_Calculations!CA533)</f>
        <v/>
      </c>
    </row>
    <row r="72" ht="12" customHeight="1" s="227">
      <c r="A72" s="244" t="n"/>
      <c r="B72" s="244" t="n"/>
      <c r="C72" s="244" t="n"/>
      <c r="G72" s="222" t="n"/>
      <c r="H72" s="4">
        <f>i_Setup!U98</f>
        <v/>
      </c>
      <c r="I72" s="27">
        <f> i_Setup!$M$16</f>
        <v/>
      </c>
      <c r="K72" s="27" t="n"/>
      <c r="M72" s="245">
        <f>SUMIF($T$4:$CA$4,M$4,$T72:$CA72)</f>
        <v/>
      </c>
      <c r="N72" s="245">
        <f>SUMIF($T$4:$CA$4,N$4,$T72:$CA72)</f>
        <v/>
      </c>
      <c r="O72" s="245">
        <f>SUMIF($T$4:$CA$4,O$4,$T72:$CA72)</f>
        <v/>
      </c>
      <c r="P72" s="245">
        <f>SUMIF($T$4:$CA$4,P$4,$T72:$CA72)</f>
        <v/>
      </c>
      <c r="Q72" s="245">
        <f>SUMIF($T$4:$CA$4,Q$4,$T72:$CA72)</f>
        <v/>
      </c>
      <c r="T72" s="257">
        <f>IF(T$7="Actual",i_Actuals!T72,c_Calculations!T534)</f>
        <v/>
      </c>
      <c r="U72" s="257">
        <f>IF(U$7="Actual",i_Actuals!U72,c_Calculations!U534)</f>
        <v/>
      </c>
      <c r="V72" s="257">
        <f>IF(V$7="Actual",i_Actuals!V72,c_Calculations!V534)</f>
        <v/>
      </c>
      <c r="W72" s="257">
        <f>IF(W$7="Actual",i_Actuals!W72,c_Calculations!W534)</f>
        <v/>
      </c>
      <c r="X72" s="257">
        <f>IF(X$7="Actual",i_Actuals!X72,c_Calculations!X534)</f>
        <v/>
      </c>
      <c r="Y72" s="257">
        <f>IF(Y$7="Actual",i_Actuals!Y72,c_Calculations!Y534)</f>
        <v/>
      </c>
      <c r="Z72" s="257">
        <f>IF(Z$7="Actual",i_Actuals!Z72,c_Calculations!Z534)</f>
        <v/>
      </c>
      <c r="AA72" s="257">
        <f>IF(AA$7="Actual",i_Actuals!AA72,c_Calculations!AA534)</f>
        <v/>
      </c>
      <c r="AB72" s="257">
        <f>IF(AB$7="Actual",i_Actuals!AB72,c_Calculations!AB534)</f>
        <v/>
      </c>
      <c r="AC72" s="257">
        <f>IF(AC$7="Actual",i_Actuals!AC72,c_Calculations!AC534)</f>
        <v/>
      </c>
      <c r="AD72" s="257">
        <f>IF(AD$7="Actual",i_Actuals!AD72,c_Calculations!AD534)</f>
        <v/>
      </c>
      <c r="AE72" s="257">
        <f>IF(AE$7="Actual",i_Actuals!AE72,c_Calculations!AE534)</f>
        <v/>
      </c>
      <c r="AF72" s="257">
        <f>IF(AF$7="Actual",i_Actuals!AF72,c_Calculations!AF534)</f>
        <v/>
      </c>
      <c r="AG72" s="257">
        <f>IF(AG$7="Actual",i_Actuals!AG72,c_Calculations!AG534)</f>
        <v/>
      </c>
      <c r="AH72" s="257">
        <f>IF(AH$7="Actual",i_Actuals!AH72,c_Calculations!AH534)</f>
        <v/>
      </c>
      <c r="AI72" s="257">
        <f>IF(AI$7="Actual",i_Actuals!AI72,c_Calculations!AI534)</f>
        <v/>
      </c>
      <c r="AJ72" s="257">
        <f>IF(AJ$7="Actual",i_Actuals!AJ72,c_Calculations!AJ534)</f>
        <v/>
      </c>
      <c r="AK72" s="257">
        <f>IF(AK$7="Actual",i_Actuals!AK72,c_Calculations!AK534)</f>
        <v/>
      </c>
      <c r="AL72" s="257">
        <f>IF(AL$7="Actual",i_Actuals!AL72,c_Calculations!AL534)</f>
        <v/>
      </c>
      <c r="AM72" s="257">
        <f>IF(AM$7="Actual",i_Actuals!AM72,c_Calculations!AM534)</f>
        <v/>
      </c>
      <c r="AN72" s="257">
        <f>IF(AN$7="Actual",i_Actuals!AN72,c_Calculations!AN534)</f>
        <v/>
      </c>
      <c r="AO72" s="257">
        <f>IF(AO$7="Actual",i_Actuals!AO72,c_Calculations!AO534)</f>
        <v/>
      </c>
      <c r="AP72" s="257">
        <f>IF(AP$7="Actual",i_Actuals!AP72,c_Calculations!AP534)</f>
        <v/>
      </c>
      <c r="AQ72" s="257">
        <f>IF(AQ$7="Actual",i_Actuals!AQ72,c_Calculations!AQ534)</f>
        <v/>
      </c>
      <c r="AR72" s="257">
        <f>IF(AR$7="Actual",i_Actuals!AR72,c_Calculations!AR534)</f>
        <v/>
      </c>
      <c r="AS72" s="257">
        <f>IF(AS$7="Actual",i_Actuals!AS72,c_Calculations!AS534)</f>
        <v/>
      </c>
      <c r="AT72" s="257">
        <f>IF(AT$7="Actual",i_Actuals!AT72,c_Calculations!AT534)</f>
        <v/>
      </c>
      <c r="AU72" s="257">
        <f>IF(AU$7="Actual",i_Actuals!AU72,c_Calculations!AU534)</f>
        <v/>
      </c>
      <c r="AV72" s="257">
        <f>IF(AV$7="Actual",i_Actuals!AV72,c_Calculations!AV534)</f>
        <v/>
      </c>
      <c r="AW72" s="257">
        <f>IF(AW$7="Actual",i_Actuals!AW72,c_Calculations!AW534)</f>
        <v/>
      </c>
      <c r="AX72" s="257">
        <f>IF(AX$7="Actual",i_Actuals!AX72,c_Calculations!AX534)</f>
        <v/>
      </c>
      <c r="AY72" s="257">
        <f>IF(AY$7="Actual",i_Actuals!AY72,c_Calculations!AY534)</f>
        <v/>
      </c>
      <c r="AZ72" s="257">
        <f>IF(AZ$7="Actual",i_Actuals!AZ72,c_Calculations!AZ534)</f>
        <v/>
      </c>
      <c r="BA72" s="257">
        <f>IF(BA$7="Actual",i_Actuals!BA72,c_Calculations!BA534)</f>
        <v/>
      </c>
      <c r="BB72" s="257">
        <f>IF(BB$7="Actual",i_Actuals!BB72,c_Calculations!BB534)</f>
        <v/>
      </c>
      <c r="BC72" s="257">
        <f>IF(BC$7="Actual",i_Actuals!BC72,c_Calculations!BC534)</f>
        <v/>
      </c>
      <c r="BD72" s="257">
        <f>IF(BD$7="Actual",i_Actuals!BD72,c_Calculations!BD534)</f>
        <v/>
      </c>
      <c r="BE72" s="257">
        <f>IF(BE$7="Actual",i_Actuals!BE72,c_Calculations!BE534)</f>
        <v/>
      </c>
      <c r="BF72" s="257">
        <f>IF(BF$7="Actual",i_Actuals!BF72,c_Calculations!BF534)</f>
        <v/>
      </c>
      <c r="BG72" s="257">
        <f>IF(BG$7="Actual",i_Actuals!BG72,c_Calculations!BG534)</f>
        <v/>
      </c>
      <c r="BH72" s="257">
        <f>IF(BH$7="Actual",i_Actuals!BH72,c_Calculations!BH534)</f>
        <v/>
      </c>
      <c r="BI72" s="257">
        <f>IF(BI$7="Actual",i_Actuals!BI72,c_Calculations!BI534)</f>
        <v/>
      </c>
      <c r="BJ72" s="257">
        <f>IF(BJ$7="Actual",i_Actuals!BJ72,c_Calculations!BJ534)</f>
        <v/>
      </c>
      <c r="BK72" s="257">
        <f>IF(BK$7="Actual",i_Actuals!BK72,c_Calculations!BK534)</f>
        <v/>
      </c>
      <c r="BL72" s="257">
        <f>IF(BL$7="Actual",i_Actuals!BL72,c_Calculations!BL534)</f>
        <v/>
      </c>
      <c r="BM72" s="257">
        <f>IF(BM$7="Actual",i_Actuals!BM72,c_Calculations!BM534)</f>
        <v/>
      </c>
      <c r="BN72" s="257">
        <f>IF(BN$7="Actual",i_Actuals!BN72,c_Calculations!BN534)</f>
        <v/>
      </c>
      <c r="BO72" s="257">
        <f>IF(BO$7="Actual",i_Actuals!BO72,c_Calculations!BO534)</f>
        <v/>
      </c>
      <c r="BP72" s="257">
        <f>IF(BP$7="Actual",i_Actuals!BP72,c_Calculations!BP534)</f>
        <v/>
      </c>
      <c r="BQ72" s="257">
        <f>IF(BQ$7="Actual",i_Actuals!BQ72,c_Calculations!BQ534)</f>
        <v/>
      </c>
      <c r="BR72" s="257">
        <f>IF(BR$7="Actual",i_Actuals!BR72,c_Calculations!BR534)</f>
        <v/>
      </c>
      <c r="BS72" s="257">
        <f>IF(BS$7="Actual",i_Actuals!BS72,c_Calculations!BS534)</f>
        <v/>
      </c>
      <c r="BT72" s="257">
        <f>IF(BT$7="Actual",i_Actuals!BT72,c_Calculations!BT534)</f>
        <v/>
      </c>
      <c r="BU72" s="257">
        <f>IF(BU$7="Actual",i_Actuals!BU72,c_Calculations!BU534)</f>
        <v/>
      </c>
      <c r="BV72" s="257">
        <f>IF(BV$7="Actual",i_Actuals!BV72,c_Calculations!BV534)</f>
        <v/>
      </c>
      <c r="BW72" s="257">
        <f>IF(BW$7="Actual",i_Actuals!BW72,c_Calculations!BW534)</f>
        <v/>
      </c>
      <c r="BX72" s="257">
        <f>IF(BX$7="Actual",i_Actuals!BX72,c_Calculations!BX534)</f>
        <v/>
      </c>
      <c r="BY72" s="257">
        <f>IF(BY$7="Actual",i_Actuals!BY72,c_Calculations!BY534)</f>
        <v/>
      </c>
      <c r="BZ72" s="257">
        <f>IF(BZ$7="Actual",i_Actuals!BZ72,c_Calculations!BZ534)</f>
        <v/>
      </c>
      <c r="CA72" s="257">
        <f>IF(CA$7="Actual",i_Actuals!CA72,c_Calculations!CA534)</f>
        <v/>
      </c>
    </row>
    <row r="73" ht="12" customHeight="1" s="227">
      <c r="A73" s="244" t="n"/>
      <c r="B73" s="244" t="n"/>
      <c r="C73" s="244" t="n"/>
      <c r="G73" s="222" t="n"/>
      <c r="H73" s="4">
        <f>i_Setup!U99</f>
        <v/>
      </c>
      <c r="I73" s="27">
        <f> i_Setup!$M$16</f>
        <v/>
      </c>
      <c r="K73" s="27" t="n"/>
      <c r="M73" s="245">
        <f>SUMIF($T$4:$CA$4,M$4,$T73:$CA73)</f>
        <v/>
      </c>
      <c r="N73" s="245">
        <f>SUMIF($T$4:$CA$4,N$4,$T73:$CA73)</f>
        <v/>
      </c>
      <c r="O73" s="245">
        <f>SUMIF($T$4:$CA$4,O$4,$T73:$CA73)</f>
        <v/>
      </c>
      <c r="P73" s="245">
        <f>SUMIF($T$4:$CA$4,P$4,$T73:$CA73)</f>
        <v/>
      </c>
      <c r="Q73" s="245">
        <f>SUMIF($T$4:$CA$4,Q$4,$T73:$CA73)</f>
        <v/>
      </c>
      <c r="T73" s="257">
        <f>IF(T$7="Actual",i_Actuals!T73,c_Calculations!T535)</f>
        <v/>
      </c>
      <c r="U73" s="257">
        <f>IF(U$7="Actual",i_Actuals!U73,c_Calculations!U535)</f>
        <v/>
      </c>
      <c r="V73" s="257">
        <f>IF(V$7="Actual",i_Actuals!V73,c_Calculations!V535)</f>
        <v/>
      </c>
      <c r="W73" s="257">
        <f>IF(W$7="Actual",i_Actuals!W73,c_Calculations!W535)</f>
        <v/>
      </c>
      <c r="X73" s="257">
        <f>IF(X$7="Actual",i_Actuals!X73,c_Calculations!X535)</f>
        <v/>
      </c>
      <c r="Y73" s="257">
        <f>IF(Y$7="Actual",i_Actuals!Y73,c_Calculations!Y535)</f>
        <v/>
      </c>
      <c r="Z73" s="257">
        <f>IF(Z$7="Actual",i_Actuals!Z73,c_Calculations!Z535)</f>
        <v/>
      </c>
      <c r="AA73" s="257">
        <f>IF(AA$7="Actual",i_Actuals!AA73,c_Calculations!AA535)</f>
        <v/>
      </c>
      <c r="AB73" s="257">
        <f>IF(AB$7="Actual",i_Actuals!AB73,c_Calculations!AB535)</f>
        <v/>
      </c>
      <c r="AC73" s="257">
        <f>IF(AC$7="Actual",i_Actuals!AC73,c_Calculations!AC535)</f>
        <v/>
      </c>
      <c r="AD73" s="257">
        <f>IF(AD$7="Actual",i_Actuals!AD73,c_Calculations!AD535)</f>
        <v/>
      </c>
      <c r="AE73" s="257">
        <f>IF(AE$7="Actual",i_Actuals!AE73,c_Calculations!AE535)</f>
        <v/>
      </c>
      <c r="AF73" s="257">
        <f>IF(AF$7="Actual",i_Actuals!AF73,c_Calculations!AF535)</f>
        <v/>
      </c>
      <c r="AG73" s="257">
        <f>IF(AG$7="Actual",i_Actuals!AG73,c_Calculations!AG535)</f>
        <v/>
      </c>
      <c r="AH73" s="257">
        <f>IF(AH$7="Actual",i_Actuals!AH73,c_Calculations!AH535)</f>
        <v/>
      </c>
      <c r="AI73" s="257">
        <f>IF(AI$7="Actual",i_Actuals!AI73,c_Calculations!AI535)</f>
        <v/>
      </c>
      <c r="AJ73" s="257">
        <f>IF(AJ$7="Actual",i_Actuals!AJ73,c_Calculations!AJ535)</f>
        <v/>
      </c>
      <c r="AK73" s="257">
        <f>IF(AK$7="Actual",i_Actuals!AK73,c_Calculations!AK535)</f>
        <v/>
      </c>
      <c r="AL73" s="257">
        <f>IF(AL$7="Actual",i_Actuals!AL73,c_Calculations!AL535)</f>
        <v/>
      </c>
      <c r="AM73" s="257">
        <f>IF(AM$7="Actual",i_Actuals!AM73,c_Calculations!AM535)</f>
        <v/>
      </c>
      <c r="AN73" s="257">
        <f>IF(AN$7="Actual",i_Actuals!AN73,c_Calculations!AN535)</f>
        <v/>
      </c>
      <c r="AO73" s="257">
        <f>IF(AO$7="Actual",i_Actuals!AO73,c_Calculations!AO535)</f>
        <v/>
      </c>
      <c r="AP73" s="257">
        <f>IF(AP$7="Actual",i_Actuals!AP73,c_Calculations!AP535)</f>
        <v/>
      </c>
      <c r="AQ73" s="257">
        <f>IF(AQ$7="Actual",i_Actuals!AQ73,c_Calculations!AQ535)</f>
        <v/>
      </c>
      <c r="AR73" s="257">
        <f>IF(AR$7="Actual",i_Actuals!AR73,c_Calculations!AR535)</f>
        <v/>
      </c>
      <c r="AS73" s="257">
        <f>IF(AS$7="Actual",i_Actuals!AS73,c_Calculations!AS535)</f>
        <v/>
      </c>
      <c r="AT73" s="257">
        <f>IF(AT$7="Actual",i_Actuals!AT73,c_Calculations!AT535)</f>
        <v/>
      </c>
      <c r="AU73" s="257">
        <f>IF(AU$7="Actual",i_Actuals!AU73,c_Calculations!AU535)</f>
        <v/>
      </c>
      <c r="AV73" s="257">
        <f>IF(AV$7="Actual",i_Actuals!AV73,c_Calculations!AV535)</f>
        <v/>
      </c>
      <c r="AW73" s="257">
        <f>IF(AW$7="Actual",i_Actuals!AW73,c_Calculations!AW535)</f>
        <v/>
      </c>
      <c r="AX73" s="257">
        <f>IF(AX$7="Actual",i_Actuals!AX73,c_Calculations!AX535)</f>
        <v/>
      </c>
      <c r="AY73" s="257">
        <f>IF(AY$7="Actual",i_Actuals!AY73,c_Calculations!AY535)</f>
        <v/>
      </c>
      <c r="AZ73" s="257">
        <f>IF(AZ$7="Actual",i_Actuals!AZ73,c_Calculations!AZ535)</f>
        <v/>
      </c>
      <c r="BA73" s="257">
        <f>IF(BA$7="Actual",i_Actuals!BA73,c_Calculations!BA535)</f>
        <v/>
      </c>
      <c r="BB73" s="257">
        <f>IF(BB$7="Actual",i_Actuals!BB73,c_Calculations!BB535)</f>
        <v/>
      </c>
      <c r="BC73" s="257">
        <f>IF(BC$7="Actual",i_Actuals!BC73,c_Calculations!BC535)</f>
        <v/>
      </c>
      <c r="BD73" s="257">
        <f>IF(BD$7="Actual",i_Actuals!BD73,c_Calculations!BD535)</f>
        <v/>
      </c>
      <c r="BE73" s="257">
        <f>IF(BE$7="Actual",i_Actuals!BE73,c_Calculations!BE535)</f>
        <v/>
      </c>
      <c r="BF73" s="257">
        <f>IF(BF$7="Actual",i_Actuals!BF73,c_Calculations!BF535)</f>
        <v/>
      </c>
      <c r="BG73" s="257">
        <f>IF(BG$7="Actual",i_Actuals!BG73,c_Calculations!BG535)</f>
        <v/>
      </c>
      <c r="BH73" s="257">
        <f>IF(BH$7="Actual",i_Actuals!BH73,c_Calculations!BH535)</f>
        <v/>
      </c>
      <c r="BI73" s="257">
        <f>IF(BI$7="Actual",i_Actuals!BI73,c_Calculations!BI535)</f>
        <v/>
      </c>
      <c r="BJ73" s="257">
        <f>IF(BJ$7="Actual",i_Actuals!BJ73,c_Calculations!BJ535)</f>
        <v/>
      </c>
      <c r="BK73" s="257">
        <f>IF(BK$7="Actual",i_Actuals!BK73,c_Calculations!BK535)</f>
        <v/>
      </c>
      <c r="BL73" s="257">
        <f>IF(BL$7="Actual",i_Actuals!BL73,c_Calculations!BL535)</f>
        <v/>
      </c>
      <c r="BM73" s="257">
        <f>IF(BM$7="Actual",i_Actuals!BM73,c_Calculations!BM535)</f>
        <v/>
      </c>
      <c r="BN73" s="257">
        <f>IF(BN$7="Actual",i_Actuals!BN73,c_Calculations!BN535)</f>
        <v/>
      </c>
      <c r="BO73" s="257">
        <f>IF(BO$7="Actual",i_Actuals!BO73,c_Calculations!BO535)</f>
        <v/>
      </c>
      <c r="BP73" s="257">
        <f>IF(BP$7="Actual",i_Actuals!BP73,c_Calculations!BP535)</f>
        <v/>
      </c>
      <c r="BQ73" s="257">
        <f>IF(BQ$7="Actual",i_Actuals!BQ73,c_Calculations!BQ535)</f>
        <v/>
      </c>
      <c r="BR73" s="257">
        <f>IF(BR$7="Actual",i_Actuals!BR73,c_Calculations!BR535)</f>
        <v/>
      </c>
      <c r="BS73" s="257">
        <f>IF(BS$7="Actual",i_Actuals!BS73,c_Calculations!BS535)</f>
        <v/>
      </c>
      <c r="BT73" s="257">
        <f>IF(BT$7="Actual",i_Actuals!BT73,c_Calculations!BT535)</f>
        <v/>
      </c>
      <c r="BU73" s="257">
        <f>IF(BU$7="Actual",i_Actuals!BU73,c_Calculations!BU535)</f>
        <v/>
      </c>
      <c r="BV73" s="257">
        <f>IF(BV$7="Actual",i_Actuals!BV73,c_Calculations!BV535)</f>
        <v/>
      </c>
      <c r="BW73" s="257">
        <f>IF(BW$7="Actual",i_Actuals!BW73,c_Calculations!BW535)</f>
        <v/>
      </c>
      <c r="BX73" s="257">
        <f>IF(BX$7="Actual",i_Actuals!BX73,c_Calculations!BX535)</f>
        <v/>
      </c>
      <c r="BY73" s="257">
        <f>IF(BY$7="Actual",i_Actuals!BY73,c_Calculations!BY535)</f>
        <v/>
      </c>
      <c r="BZ73" s="257">
        <f>IF(BZ$7="Actual",i_Actuals!BZ73,c_Calculations!BZ535)</f>
        <v/>
      </c>
      <c r="CA73" s="257">
        <f>IF(CA$7="Actual",i_Actuals!CA73,c_Calculations!CA535)</f>
        <v/>
      </c>
    </row>
    <row r="74" ht="12" customHeight="1" s="227">
      <c r="A74" s="244" t="n"/>
      <c r="B74" s="244" t="n"/>
      <c r="C74" s="244" t="n"/>
      <c r="G74" s="222" t="n"/>
      <c r="H74" s="4">
        <f>i_Setup!U100</f>
        <v/>
      </c>
      <c r="I74" s="27">
        <f> i_Setup!$M$16</f>
        <v/>
      </c>
      <c r="K74" s="27" t="n"/>
      <c r="M74" s="245">
        <f>SUMIF($T$4:$CA$4,M$4,$T74:$CA74)</f>
        <v/>
      </c>
      <c r="N74" s="245">
        <f>SUMIF($T$4:$CA$4,N$4,$T74:$CA74)</f>
        <v/>
      </c>
      <c r="O74" s="245">
        <f>SUMIF($T$4:$CA$4,O$4,$T74:$CA74)</f>
        <v/>
      </c>
      <c r="P74" s="245">
        <f>SUMIF($T$4:$CA$4,P$4,$T74:$CA74)</f>
        <v/>
      </c>
      <c r="Q74" s="245">
        <f>SUMIF($T$4:$CA$4,Q$4,$T74:$CA74)</f>
        <v/>
      </c>
      <c r="T74" s="257">
        <f>IF(T$7="Actual",i_Actuals!T74,c_Calculations!T536)</f>
        <v/>
      </c>
      <c r="U74" s="257">
        <f>IF(U$7="Actual",i_Actuals!U74,c_Calculations!U536)</f>
        <v/>
      </c>
      <c r="V74" s="257">
        <f>IF(V$7="Actual",i_Actuals!V74,c_Calculations!V536)</f>
        <v/>
      </c>
      <c r="W74" s="257">
        <f>IF(W$7="Actual",i_Actuals!W74,c_Calculations!W536)</f>
        <v/>
      </c>
      <c r="X74" s="257">
        <f>IF(X$7="Actual",i_Actuals!X74,c_Calculations!X536)</f>
        <v/>
      </c>
      <c r="Y74" s="257">
        <f>IF(Y$7="Actual",i_Actuals!Y74,c_Calculations!Y536)</f>
        <v/>
      </c>
      <c r="Z74" s="257">
        <f>IF(Z$7="Actual",i_Actuals!Z74,c_Calculations!Z536)</f>
        <v/>
      </c>
      <c r="AA74" s="257">
        <f>IF(AA$7="Actual",i_Actuals!AA74,c_Calculations!AA536)</f>
        <v/>
      </c>
      <c r="AB74" s="257">
        <f>IF(AB$7="Actual",i_Actuals!AB74,c_Calculations!AB536)</f>
        <v/>
      </c>
      <c r="AC74" s="257">
        <f>IF(AC$7="Actual",i_Actuals!AC74,c_Calculations!AC536)</f>
        <v/>
      </c>
      <c r="AD74" s="257">
        <f>IF(AD$7="Actual",i_Actuals!AD74,c_Calculations!AD536)</f>
        <v/>
      </c>
      <c r="AE74" s="257">
        <f>IF(AE$7="Actual",i_Actuals!AE74,c_Calculations!AE536)</f>
        <v/>
      </c>
      <c r="AF74" s="257">
        <f>IF(AF$7="Actual",i_Actuals!AF74,c_Calculations!AF536)</f>
        <v/>
      </c>
      <c r="AG74" s="257">
        <f>IF(AG$7="Actual",i_Actuals!AG74,c_Calculations!AG536)</f>
        <v/>
      </c>
      <c r="AH74" s="257">
        <f>IF(AH$7="Actual",i_Actuals!AH74,c_Calculations!AH536)</f>
        <v/>
      </c>
      <c r="AI74" s="257">
        <f>IF(AI$7="Actual",i_Actuals!AI74,c_Calculations!AI536)</f>
        <v/>
      </c>
      <c r="AJ74" s="257">
        <f>IF(AJ$7="Actual",i_Actuals!AJ74,c_Calculations!AJ536)</f>
        <v/>
      </c>
      <c r="AK74" s="257">
        <f>IF(AK$7="Actual",i_Actuals!AK74,c_Calculations!AK536)</f>
        <v/>
      </c>
      <c r="AL74" s="257">
        <f>IF(AL$7="Actual",i_Actuals!AL74,c_Calculations!AL536)</f>
        <v/>
      </c>
      <c r="AM74" s="257">
        <f>IF(AM$7="Actual",i_Actuals!AM74,c_Calculations!AM536)</f>
        <v/>
      </c>
      <c r="AN74" s="257">
        <f>IF(AN$7="Actual",i_Actuals!AN74,c_Calculations!AN536)</f>
        <v/>
      </c>
      <c r="AO74" s="257">
        <f>IF(AO$7="Actual",i_Actuals!AO74,c_Calculations!AO536)</f>
        <v/>
      </c>
      <c r="AP74" s="257">
        <f>IF(AP$7="Actual",i_Actuals!AP74,c_Calculations!AP536)</f>
        <v/>
      </c>
      <c r="AQ74" s="257">
        <f>IF(AQ$7="Actual",i_Actuals!AQ74,c_Calculations!AQ536)</f>
        <v/>
      </c>
      <c r="AR74" s="257">
        <f>IF(AR$7="Actual",i_Actuals!AR74,c_Calculations!AR536)</f>
        <v/>
      </c>
      <c r="AS74" s="257">
        <f>IF(AS$7="Actual",i_Actuals!AS74,c_Calculations!AS536)</f>
        <v/>
      </c>
      <c r="AT74" s="257">
        <f>IF(AT$7="Actual",i_Actuals!AT74,c_Calculations!AT536)</f>
        <v/>
      </c>
      <c r="AU74" s="257">
        <f>IF(AU$7="Actual",i_Actuals!AU74,c_Calculations!AU536)</f>
        <v/>
      </c>
      <c r="AV74" s="257">
        <f>IF(AV$7="Actual",i_Actuals!AV74,c_Calculations!AV536)</f>
        <v/>
      </c>
      <c r="AW74" s="257">
        <f>IF(AW$7="Actual",i_Actuals!AW74,c_Calculations!AW536)</f>
        <v/>
      </c>
      <c r="AX74" s="257">
        <f>IF(AX$7="Actual",i_Actuals!AX74,c_Calculations!AX536)</f>
        <v/>
      </c>
      <c r="AY74" s="257">
        <f>IF(AY$7="Actual",i_Actuals!AY74,c_Calculations!AY536)</f>
        <v/>
      </c>
      <c r="AZ74" s="257">
        <f>IF(AZ$7="Actual",i_Actuals!AZ74,c_Calculations!AZ536)</f>
        <v/>
      </c>
      <c r="BA74" s="257">
        <f>IF(BA$7="Actual",i_Actuals!BA74,c_Calculations!BA536)</f>
        <v/>
      </c>
      <c r="BB74" s="257">
        <f>IF(BB$7="Actual",i_Actuals!BB74,c_Calculations!BB536)</f>
        <v/>
      </c>
      <c r="BC74" s="257">
        <f>IF(BC$7="Actual",i_Actuals!BC74,c_Calculations!BC536)</f>
        <v/>
      </c>
      <c r="BD74" s="257">
        <f>IF(BD$7="Actual",i_Actuals!BD74,c_Calculations!BD536)</f>
        <v/>
      </c>
      <c r="BE74" s="257">
        <f>IF(BE$7="Actual",i_Actuals!BE74,c_Calculations!BE536)</f>
        <v/>
      </c>
      <c r="BF74" s="257">
        <f>IF(BF$7="Actual",i_Actuals!BF74,c_Calculations!BF536)</f>
        <v/>
      </c>
      <c r="BG74" s="257">
        <f>IF(BG$7="Actual",i_Actuals!BG74,c_Calculations!BG536)</f>
        <v/>
      </c>
      <c r="BH74" s="257">
        <f>IF(BH$7="Actual",i_Actuals!BH74,c_Calculations!BH536)</f>
        <v/>
      </c>
      <c r="BI74" s="257">
        <f>IF(BI$7="Actual",i_Actuals!BI74,c_Calculations!BI536)</f>
        <v/>
      </c>
      <c r="BJ74" s="257">
        <f>IF(BJ$7="Actual",i_Actuals!BJ74,c_Calculations!BJ536)</f>
        <v/>
      </c>
      <c r="BK74" s="257">
        <f>IF(BK$7="Actual",i_Actuals!BK74,c_Calculations!BK536)</f>
        <v/>
      </c>
      <c r="BL74" s="257">
        <f>IF(BL$7="Actual",i_Actuals!BL74,c_Calculations!BL536)</f>
        <v/>
      </c>
      <c r="BM74" s="257">
        <f>IF(BM$7="Actual",i_Actuals!BM74,c_Calculations!BM536)</f>
        <v/>
      </c>
      <c r="BN74" s="257">
        <f>IF(BN$7="Actual",i_Actuals!BN74,c_Calculations!BN536)</f>
        <v/>
      </c>
      <c r="BO74" s="257">
        <f>IF(BO$7="Actual",i_Actuals!BO74,c_Calculations!BO536)</f>
        <v/>
      </c>
      <c r="BP74" s="257">
        <f>IF(BP$7="Actual",i_Actuals!BP74,c_Calculations!BP536)</f>
        <v/>
      </c>
      <c r="BQ74" s="257">
        <f>IF(BQ$7="Actual",i_Actuals!BQ74,c_Calculations!BQ536)</f>
        <v/>
      </c>
      <c r="BR74" s="257">
        <f>IF(BR$7="Actual",i_Actuals!BR74,c_Calculations!BR536)</f>
        <v/>
      </c>
      <c r="BS74" s="257">
        <f>IF(BS$7="Actual",i_Actuals!BS74,c_Calculations!BS536)</f>
        <v/>
      </c>
      <c r="BT74" s="257">
        <f>IF(BT$7="Actual",i_Actuals!BT74,c_Calculations!BT536)</f>
        <v/>
      </c>
      <c r="BU74" s="257">
        <f>IF(BU$7="Actual",i_Actuals!BU74,c_Calculations!BU536)</f>
        <v/>
      </c>
      <c r="BV74" s="257">
        <f>IF(BV$7="Actual",i_Actuals!BV74,c_Calculations!BV536)</f>
        <v/>
      </c>
      <c r="BW74" s="257">
        <f>IF(BW$7="Actual",i_Actuals!BW74,c_Calculations!BW536)</f>
        <v/>
      </c>
      <c r="BX74" s="257">
        <f>IF(BX$7="Actual",i_Actuals!BX74,c_Calculations!BX536)</f>
        <v/>
      </c>
      <c r="BY74" s="257">
        <f>IF(BY$7="Actual",i_Actuals!BY74,c_Calculations!BY536)</f>
        <v/>
      </c>
      <c r="BZ74" s="257">
        <f>IF(BZ$7="Actual",i_Actuals!BZ74,c_Calculations!BZ536)</f>
        <v/>
      </c>
      <c r="CA74" s="257">
        <f>IF(CA$7="Actual",i_Actuals!CA74,c_Calculations!CA536)</f>
        <v/>
      </c>
    </row>
    <row r="75" ht="12" customHeight="1" s="227">
      <c r="A75" s="244" t="n"/>
      <c r="B75" s="244" t="n"/>
      <c r="C75" s="244" t="n"/>
      <c r="G75" s="222" t="n"/>
      <c r="H75" s="4">
        <f>i_Setup!U101</f>
        <v/>
      </c>
      <c r="I75" s="27">
        <f> i_Setup!$M$16</f>
        <v/>
      </c>
      <c r="K75" s="27" t="n"/>
      <c r="M75" s="245">
        <f>SUMIF($T$4:$CA$4,M$4,$T75:$CA75)</f>
        <v/>
      </c>
      <c r="N75" s="245">
        <f>SUMIF($T$4:$CA$4,N$4,$T75:$CA75)</f>
        <v/>
      </c>
      <c r="O75" s="245">
        <f>SUMIF($T$4:$CA$4,O$4,$T75:$CA75)</f>
        <v/>
      </c>
      <c r="P75" s="245">
        <f>SUMIF($T$4:$CA$4,P$4,$T75:$CA75)</f>
        <v/>
      </c>
      <c r="Q75" s="245">
        <f>SUMIF($T$4:$CA$4,Q$4,$T75:$CA75)</f>
        <v/>
      </c>
      <c r="T75" s="257">
        <f>IF(T$7="Actual",i_Actuals!T75,c_Calculations!T537)</f>
        <v/>
      </c>
      <c r="U75" s="257">
        <f>IF(U$7="Actual",i_Actuals!U75,c_Calculations!U537)</f>
        <v/>
      </c>
      <c r="V75" s="257">
        <f>IF(V$7="Actual",i_Actuals!V75,c_Calculations!V537)</f>
        <v/>
      </c>
      <c r="W75" s="257">
        <f>IF(W$7="Actual",i_Actuals!W75,c_Calculations!W537)</f>
        <v/>
      </c>
      <c r="X75" s="257">
        <f>IF(X$7="Actual",i_Actuals!X75,c_Calculations!X537)</f>
        <v/>
      </c>
      <c r="Y75" s="257">
        <f>IF(Y$7="Actual",i_Actuals!Y75,c_Calculations!Y537)</f>
        <v/>
      </c>
      <c r="Z75" s="257">
        <f>IF(Z$7="Actual",i_Actuals!Z75,c_Calculations!Z537)</f>
        <v/>
      </c>
      <c r="AA75" s="257">
        <f>IF(AA$7="Actual",i_Actuals!AA75,c_Calculations!AA537)</f>
        <v/>
      </c>
      <c r="AB75" s="257">
        <f>IF(AB$7="Actual",i_Actuals!AB75,c_Calculations!AB537)</f>
        <v/>
      </c>
      <c r="AC75" s="257">
        <f>IF(AC$7="Actual",i_Actuals!AC75,c_Calculations!AC537)</f>
        <v/>
      </c>
      <c r="AD75" s="257">
        <f>IF(AD$7="Actual",i_Actuals!AD75,c_Calculations!AD537)</f>
        <v/>
      </c>
      <c r="AE75" s="257">
        <f>IF(AE$7="Actual",i_Actuals!AE75,c_Calculations!AE537)</f>
        <v/>
      </c>
      <c r="AF75" s="257">
        <f>IF(AF$7="Actual",i_Actuals!AF75,c_Calculations!AF537)</f>
        <v/>
      </c>
      <c r="AG75" s="257">
        <f>IF(AG$7="Actual",i_Actuals!AG75,c_Calculations!AG537)</f>
        <v/>
      </c>
      <c r="AH75" s="257">
        <f>IF(AH$7="Actual",i_Actuals!AH75,c_Calculations!AH537)</f>
        <v/>
      </c>
      <c r="AI75" s="257">
        <f>IF(AI$7="Actual",i_Actuals!AI75,c_Calculations!AI537)</f>
        <v/>
      </c>
      <c r="AJ75" s="257">
        <f>IF(AJ$7="Actual",i_Actuals!AJ75,c_Calculations!AJ537)</f>
        <v/>
      </c>
      <c r="AK75" s="257">
        <f>IF(AK$7="Actual",i_Actuals!AK75,c_Calculations!AK537)</f>
        <v/>
      </c>
      <c r="AL75" s="257">
        <f>IF(AL$7="Actual",i_Actuals!AL75,c_Calculations!AL537)</f>
        <v/>
      </c>
      <c r="AM75" s="257">
        <f>IF(AM$7="Actual",i_Actuals!AM75,c_Calculations!AM537)</f>
        <v/>
      </c>
      <c r="AN75" s="257">
        <f>IF(AN$7="Actual",i_Actuals!AN75,c_Calculations!AN537)</f>
        <v/>
      </c>
      <c r="AO75" s="257">
        <f>IF(AO$7="Actual",i_Actuals!AO75,c_Calculations!AO537)</f>
        <v/>
      </c>
      <c r="AP75" s="257">
        <f>IF(AP$7="Actual",i_Actuals!AP75,c_Calculations!AP537)</f>
        <v/>
      </c>
      <c r="AQ75" s="257">
        <f>IF(AQ$7="Actual",i_Actuals!AQ75,c_Calculations!AQ537)</f>
        <v/>
      </c>
      <c r="AR75" s="257">
        <f>IF(AR$7="Actual",i_Actuals!AR75,c_Calculations!AR537)</f>
        <v/>
      </c>
      <c r="AS75" s="257">
        <f>IF(AS$7="Actual",i_Actuals!AS75,c_Calculations!AS537)</f>
        <v/>
      </c>
      <c r="AT75" s="257">
        <f>IF(AT$7="Actual",i_Actuals!AT75,c_Calculations!AT537)</f>
        <v/>
      </c>
      <c r="AU75" s="257">
        <f>IF(AU$7="Actual",i_Actuals!AU75,c_Calculations!AU537)</f>
        <v/>
      </c>
      <c r="AV75" s="257">
        <f>IF(AV$7="Actual",i_Actuals!AV75,c_Calculations!AV537)</f>
        <v/>
      </c>
      <c r="AW75" s="257">
        <f>IF(AW$7="Actual",i_Actuals!AW75,c_Calculations!AW537)</f>
        <v/>
      </c>
      <c r="AX75" s="257">
        <f>IF(AX$7="Actual",i_Actuals!AX75,c_Calculations!AX537)</f>
        <v/>
      </c>
      <c r="AY75" s="257">
        <f>IF(AY$7="Actual",i_Actuals!AY75,c_Calculations!AY537)</f>
        <v/>
      </c>
      <c r="AZ75" s="257">
        <f>IF(AZ$7="Actual",i_Actuals!AZ75,c_Calculations!AZ537)</f>
        <v/>
      </c>
      <c r="BA75" s="257">
        <f>IF(BA$7="Actual",i_Actuals!BA75,c_Calculations!BA537)</f>
        <v/>
      </c>
      <c r="BB75" s="257">
        <f>IF(BB$7="Actual",i_Actuals!BB75,c_Calculations!BB537)</f>
        <v/>
      </c>
      <c r="BC75" s="257">
        <f>IF(BC$7="Actual",i_Actuals!BC75,c_Calculations!BC537)</f>
        <v/>
      </c>
      <c r="BD75" s="257">
        <f>IF(BD$7="Actual",i_Actuals!BD75,c_Calculations!BD537)</f>
        <v/>
      </c>
      <c r="BE75" s="257">
        <f>IF(BE$7="Actual",i_Actuals!BE75,c_Calculations!BE537)</f>
        <v/>
      </c>
      <c r="BF75" s="257">
        <f>IF(BF$7="Actual",i_Actuals!BF75,c_Calculations!BF537)</f>
        <v/>
      </c>
      <c r="BG75" s="257">
        <f>IF(BG$7="Actual",i_Actuals!BG75,c_Calculations!BG537)</f>
        <v/>
      </c>
      <c r="BH75" s="257">
        <f>IF(BH$7="Actual",i_Actuals!BH75,c_Calculations!BH537)</f>
        <v/>
      </c>
      <c r="BI75" s="257">
        <f>IF(BI$7="Actual",i_Actuals!BI75,c_Calculations!BI537)</f>
        <v/>
      </c>
      <c r="BJ75" s="257">
        <f>IF(BJ$7="Actual",i_Actuals!BJ75,c_Calculations!BJ537)</f>
        <v/>
      </c>
      <c r="BK75" s="257">
        <f>IF(BK$7="Actual",i_Actuals!BK75,c_Calculations!BK537)</f>
        <v/>
      </c>
      <c r="BL75" s="257">
        <f>IF(BL$7="Actual",i_Actuals!BL75,c_Calculations!BL537)</f>
        <v/>
      </c>
      <c r="BM75" s="257">
        <f>IF(BM$7="Actual",i_Actuals!BM75,c_Calculations!BM537)</f>
        <v/>
      </c>
      <c r="BN75" s="257">
        <f>IF(BN$7="Actual",i_Actuals!BN75,c_Calculations!BN537)</f>
        <v/>
      </c>
      <c r="BO75" s="257">
        <f>IF(BO$7="Actual",i_Actuals!BO75,c_Calculations!BO537)</f>
        <v/>
      </c>
      <c r="BP75" s="257">
        <f>IF(BP$7="Actual",i_Actuals!BP75,c_Calculations!BP537)</f>
        <v/>
      </c>
      <c r="BQ75" s="257">
        <f>IF(BQ$7="Actual",i_Actuals!BQ75,c_Calculations!BQ537)</f>
        <v/>
      </c>
      <c r="BR75" s="257">
        <f>IF(BR$7="Actual",i_Actuals!BR75,c_Calculations!BR537)</f>
        <v/>
      </c>
      <c r="BS75" s="257">
        <f>IF(BS$7="Actual",i_Actuals!BS75,c_Calculations!BS537)</f>
        <v/>
      </c>
      <c r="BT75" s="257">
        <f>IF(BT$7="Actual",i_Actuals!BT75,c_Calculations!BT537)</f>
        <v/>
      </c>
      <c r="BU75" s="257">
        <f>IF(BU$7="Actual",i_Actuals!BU75,c_Calculations!BU537)</f>
        <v/>
      </c>
      <c r="BV75" s="257">
        <f>IF(BV$7="Actual",i_Actuals!BV75,c_Calculations!BV537)</f>
        <v/>
      </c>
      <c r="BW75" s="257">
        <f>IF(BW$7="Actual",i_Actuals!BW75,c_Calculations!BW537)</f>
        <v/>
      </c>
      <c r="BX75" s="257">
        <f>IF(BX$7="Actual",i_Actuals!BX75,c_Calculations!BX537)</f>
        <v/>
      </c>
      <c r="BY75" s="257">
        <f>IF(BY$7="Actual",i_Actuals!BY75,c_Calculations!BY537)</f>
        <v/>
      </c>
      <c r="BZ75" s="257">
        <f>IF(BZ$7="Actual",i_Actuals!BZ75,c_Calculations!BZ537)</f>
        <v/>
      </c>
      <c r="CA75" s="257">
        <f>IF(CA$7="Actual",i_Actuals!CA75,c_Calculations!CA537)</f>
        <v/>
      </c>
    </row>
    <row r="76" ht="12" customHeight="1" s="227">
      <c r="A76" s="244" t="n"/>
      <c r="B76" s="244" t="n"/>
      <c r="C76" s="244" t="n"/>
      <c r="G76" s="222" t="n"/>
      <c r="H76" s="4">
        <f>i_Setup!U102</f>
        <v/>
      </c>
      <c r="I76" s="27">
        <f> i_Setup!$M$16</f>
        <v/>
      </c>
      <c r="K76" s="27" t="n"/>
      <c r="M76" s="245">
        <f>SUMIF($T$4:$CA$4,M$4,$T76:$CA76)</f>
        <v/>
      </c>
      <c r="N76" s="245">
        <f>SUMIF($T$4:$CA$4,N$4,$T76:$CA76)</f>
        <v/>
      </c>
      <c r="O76" s="245">
        <f>SUMIF($T$4:$CA$4,O$4,$T76:$CA76)</f>
        <v/>
      </c>
      <c r="P76" s="245">
        <f>SUMIF($T$4:$CA$4,P$4,$T76:$CA76)</f>
        <v/>
      </c>
      <c r="Q76" s="245">
        <f>SUMIF($T$4:$CA$4,Q$4,$T76:$CA76)</f>
        <v/>
      </c>
      <c r="T76" s="257">
        <f>IF(T$7="Actual",i_Actuals!T76,c_Calculations!T538)</f>
        <v/>
      </c>
      <c r="U76" s="257">
        <f>IF(U$7="Actual",i_Actuals!U76,c_Calculations!U538)</f>
        <v/>
      </c>
      <c r="V76" s="257">
        <f>IF(V$7="Actual",i_Actuals!V76,c_Calculations!V538)</f>
        <v/>
      </c>
      <c r="W76" s="257">
        <f>IF(W$7="Actual",i_Actuals!W76,c_Calculations!W538)</f>
        <v/>
      </c>
      <c r="X76" s="257">
        <f>IF(X$7="Actual",i_Actuals!X76,c_Calculations!X538)</f>
        <v/>
      </c>
      <c r="Y76" s="257">
        <f>IF(Y$7="Actual",i_Actuals!Y76,c_Calculations!Y538)</f>
        <v/>
      </c>
      <c r="Z76" s="257">
        <f>IF(Z$7="Actual",i_Actuals!Z76,c_Calculations!Z538)</f>
        <v/>
      </c>
      <c r="AA76" s="257">
        <f>IF(AA$7="Actual",i_Actuals!AA76,c_Calculations!AA538)</f>
        <v/>
      </c>
      <c r="AB76" s="257">
        <f>IF(AB$7="Actual",i_Actuals!AB76,c_Calculations!AB538)</f>
        <v/>
      </c>
      <c r="AC76" s="257">
        <f>IF(AC$7="Actual",i_Actuals!AC76,c_Calculations!AC538)</f>
        <v/>
      </c>
      <c r="AD76" s="257">
        <f>IF(AD$7="Actual",i_Actuals!AD76,c_Calculations!AD538)</f>
        <v/>
      </c>
      <c r="AE76" s="257">
        <f>IF(AE$7="Actual",i_Actuals!AE76,c_Calculations!AE538)</f>
        <v/>
      </c>
      <c r="AF76" s="257">
        <f>IF(AF$7="Actual",i_Actuals!AF76,c_Calculations!AF538)</f>
        <v/>
      </c>
      <c r="AG76" s="257">
        <f>IF(AG$7="Actual",i_Actuals!AG76,c_Calculations!AG538)</f>
        <v/>
      </c>
      <c r="AH76" s="257">
        <f>IF(AH$7="Actual",i_Actuals!AH76,c_Calculations!AH538)</f>
        <v/>
      </c>
      <c r="AI76" s="257">
        <f>IF(AI$7="Actual",i_Actuals!AI76,c_Calculations!AI538)</f>
        <v/>
      </c>
      <c r="AJ76" s="257">
        <f>IF(AJ$7="Actual",i_Actuals!AJ76,c_Calculations!AJ538)</f>
        <v/>
      </c>
      <c r="AK76" s="257">
        <f>IF(AK$7="Actual",i_Actuals!AK76,c_Calculations!AK538)</f>
        <v/>
      </c>
      <c r="AL76" s="257">
        <f>IF(AL$7="Actual",i_Actuals!AL76,c_Calculations!AL538)</f>
        <v/>
      </c>
      <c r="AM76" s="257">
        <f>IF(AM$7="Actual",i_Actuals!AM76,c_Calculations!AM538)</f>
        <v/>
      </c>
      <c r="AN76" s="257">
        <f>IF(AN$7="Actual",i_Actuals!AN76,c_Calculations!AN538)</f>
        <v/>
      </c>
      <c r="AO76" s="257">
        <f>IF(AO$7="Actual",i_Actuals!AO76,c_Calculations!AO538)</f>
        <v/>
      </c>
      <c r="AP76" s="257">
        <f>IF(AP$7="Actual",i_Actuals!AP76,c_Calculations!AP538)</f>
        <v/>
      </c>
      <c r="AQ76" s="257">
        <f>IF(AQ$7="Actual",i_Actuals!AQ76,c_Calculations!AQ538)</f>
        <v/>
      </c>
      <c r="AR76" s="257">
        <f>IF(AR$7="Actual",i_Actuals!AR76,c_Calculations!AR538)</f>
        <v/>
      </c>
      <c r="AS76" s="257">
        <f>IF(AS$7="Actual",i_Actuals!AS76,c_Calculations!AS538)</f>
        <v/>
      </c>
      <c r="AT76" s="257">
        <f>IF(AT$7="Actual",i_Actuals!AT76,c_Calculations!AT538)</f>
        <v/>
      </c>
      <c r="AU76" s="257">
        <f>IF(AU$7="Actual",i_Actuals!AU76,c_Calculations!AU538)</f>
        <v/>
      </c>
      <c r="AV76" s="257">
        <f>IF(AV$7="Actual",i_Actuals!AV76,c_Calculations!AV538)</f>
        <v/>
      </c>
      <c r="AW76" s="257">
        <f>IF(AW$7="Actual",i_Actuals!AW76,c_Calculations!AW538)</f>
        <v/>
      </c>
      <c r="AX76" s="257">
        <f>IF(AX$7="Actual",i_Actuals!AX76,c_Calculations!AX538)</f>
        <v/>
      </c>
      <c r="AY76" s="257">
        <f>IF(AY$7="Actual",i_Actuals!AY76,c_Calculations!AY538)</f>
        <v/>
      </c>
      <c r="AZ76" s="257">
        <f>IF(AZ$7="Actual",i_Actuals!AZ76,c_Calculations!AZ538)</f>
        <v/>
      </c>
      <c r="BA76" s="257">
        <f>IF(BA$7="Actual",i_Actuals!BA76,c_Calculations!BA538)</f>
        <v/>
      </c>
      <c r="BB76" s="257">
        <f>IF(BB$7="Actual",i_Actuals!BB76,c_Calculations!BB538)</f>
        <v/>
      </c>
      <c r="BC76" s="257">
        <f>IF(BC$7="Actual",i_Actuals!BC76,c_Calculations!BC538)</f>
        <v/>
      </c>
      <c r="BD76" s="257">
        <f>IF(BD$7="Actual",i_Actuals!BD76,c_Calculations!BD538)</f>
        <v/>
      </c>
      <c r="BE76" s="257">
        <f>IF(BE$7="Actual",i_Actuals!BE76,c_Calculations!BE538)</f>
        <v/>
      </c>
      <c r="BF76" s="257">
        <f>IF(BF$7="Actual",i_Actuals!BF76,c_Calculations!BF538)</f>
        <v/>
      </c>
      <c r="BG76" s="257">
        <f>IF(BG$7="Actual",i_Actuals!BG76,c_Calculations!BG538)</f>
        <v/>
      </c>
      <c r="BH76" s="257">
        <f>IF(BH$7="Actual",i_Actuals!BH76,c_Calculations!BH538)</f>
        <v/>
      </c>
      <c r="BI76" s="257">
        <f>IF(BI$7="Actual",i_Actuals!BI76,c_Calculations!BI538)</f>
        <v/>
      </c>
      <c r="BJ76" s="257">
        <f>IF(BJ$7="Actual",i_Actuals!BJ76,c_Calculations!BJ538)</f>
        <v/>
      </c>
      <c r="BK76" s="257">
        <f>IF(BK$7="Actual",i_Actuals!BK76,c_Calculations!BK538)</f>
        <v/>
      </c>
      <c r="BL76" s="257">
        <f>IF(BL$7="Actual",i_Actuals!BL76,c_Calculations!BL538)</f>
        <v/>
      </c>
      <c r="BM76" s="257">
        <f>IF(BM$7="Actual",i_Actuals!BM76,c_Calculations!BM538)</f>
        <v/>
      </c>
      <c r="BN76" s="257">
        <f>IF(BN$7="Actual",i_Actuals!BN76,c_Calculations!BN538)</f>
        <v/>
      </c>
      <c r="BO76" s="257">
        <f>IF(BO$7="Actual",i_Actuals!BO76,c_Calculations!BO538)</f>
        <v/>
      </c>
      <c r="BP76" s="257">
        <f>IF(BP$7="Actual",i_Actuals!BP76,c_Calculations!BP538)</f>
        <v/>
      </c>
      <c r="BQ76" s="257">
        <f>IF(BQ$7="Actual",i_Actuals!BQ76,c_Calculations!BQ538)</f>
        <v/>
      </c>
      <c r="BR76" s="257">
        <f>IF(BR$7="Actual",i_Actuals!BR76,c_Calculations!BR538)</f>
        <v/>
      </c>
      <c r="BS76" s="257">
        <f>IF(BS$7="Actual",i_Actuals!BS76,c_Calculations!BS538)</f>
        <v/>
      </c>
      <c r="BT76" s="257">
        <f>IF(BT$7="Actual",i_Actuals!BT76,c_Calculations!BT538)</f>
        <v/>
      </c>
      <c r="BU76" s="257">
        <f>IF(BU$7="Actual",i_Actuals!BU76,c_Calculations!BU538)</f>
        <v/>
      </c>
      <c r="BV76" s="257">
        <f>IF(BV$7="Actual",i_Actuals!BV76,c_Calculations!BV538)</f>
        <v/>
      </c>
      <c r="BW76" s="257">
        <f>IF(BW$7="Actual",i_Actuals!BW76,c_Calculations!BW538)</f>
        <v/>
      </c>
      <c r="BX76" s="257">
        <f>IF(BX$7="Actual",i_Actuals!BX76,c_Calculations!BX538)</f>
        <v/>
      </c>
      <c r="BY76" s="257">
        <f>IF(BY$7="Actual",i_Actuals!BY76,c_Calculations!BY538)</f>
        <v/>
      </c>
      <c r="BZ76" s="257">
        <f>IF(BZ$7="Actual",i_Actuals!BZ76,c_Calculations!BZ538)</f>
        <v/>
      </c>
      <c r="CA76" s="257">
        <f>IF(CA$7="Actual",i_Actuals!CA76,c_Calculations!CA538)</f>
        <v/>
      </c>
    </row>
    <row r="77" ht="12" customHeight="1" s="227">
      <c r="A77" s="244" t="n"/>
      <c r="B77" s="244" t="n"/>
      <c r="C77" s="244" t="n"/>
      <c r="G77" s="222" t="n"/>
      <c r="H77" s="4">
        <f>i_Setup!U103</f>
        <v/>
      </c>
      <c r="I77" s="27">
        <f> i_Setup!$M$16</f>
        <v/>
      </c>
      <c r="K77" s="27" t="n"/>
      <c r="M77" s="245">
        <f>SUMIF($T$4:$CA$4,M$4,$T77:$CA77)</f>
        <v/>
      </c>
      <c r="N77" s="245">
        <f>SUMIF($T$4:$CA$4,N$4,$T77:$CA77)</f>
        <v/>
      </c>
      <c r="O77" s="245">
        <f>SUMIF($T$4:$CA$4,O$4,$T77:$CA77)</f>
        <v/>
      </c>
      <c r="P77" s="245">
        <f>SUMIF($T$4:$CA$4,P$4,$T77:$CA77)</f>
        <v/>
      </c>
      <c r="Q77" s="245">
        <f>SUMIF($T$4:$CA$4,Q$4,$T77:$CA77)</f>
        <v/>
      </c>
      <c r="T77" s="257">
        <f>IF(T$7="Actual",i_Actuals!T77,c_Calculations!T539)</f>
        <v/>
      </c>
      <c r="U77" s="257">
        <f>IF(U$7="Actual",i_Actuals!U77,c_Calculations!U539)</f>
        <v/>
      </c>
      <c r="V77" s="257">
        <f>IF(V$7="Actual",i_Actuals!V77,c_Calculations!V539)</f>
        <v/>
      </c>
      <c r="W77" s="257">
        <f>IF(W$7="Actual",i_Actuals!W77,c_Calculations!W539)</f>
        <v/>
      </c>
      <c r="X77" s="257">
        <f>IF(X$7="Actual",i_Actuals!X77,c_Calculations!X539)</f>
        <v/>
      </c>
      <c r="Y77" s="257">
        <f>IF(Y$7="Actual",i_Actuals!Y77,c_Calculations!Y539)</f>
        <v/>
      </c>
      <c r="Z77" s="257">
        <f>IF(Z$7="Actual",i_Actuals!Z77,c_Calculations!Z539)</f>
        <v/>
      </c>
      <c r="AA77" s="257">
        <f>IF(AA$7="Actual",i_Actuals!AA77,c_Calculations!AA539)</f>
        <v/>
      </c>
      <c r="AB77" s="257">
        <f>IF(AB$7="Actual",i_Actuals!AB77,c_Calculations!AB539)</f>
        <v/>
      </c>
      <c r="AC77" s="257">
        <f>IF(AC$7="Actual",i_Actuals!AC77,c_Calculations!AC539)</f>
        <v/>
      </c>
      <c r="AD77" s="257">
        <f>IF(AD$7="Actual",i_Actuals!AD77,c_Calculations!AD539)</f>
        <v/>
      </c>
      <c r="AE77" s="257">
        <f>IF(AE$7="Actual",i_Actuals!AE77,c_Calculations!AE539)</f>
        <v/>
      </c>
      <c r="AF77" s="257">
        <f>IF(AF$7="Actual",i_Actuals!AF77,c_Calculations!AF539)</f>
        <v/>
      </c>
      <c r="AG77" s="257">
        <f>IF(AG$7="Actual",i_Actuals!AG77,c_Calculations!AG539)</f>
        <v/>
      </c>
      <c r="AH77" s="257">
        <f>IF(AH$7="Actual",i_Actuals!AH77,c_Calculations!AH539)</f>
        <v/>
      </c>
      <c r="AI77" s="257">
        <f>IF(AI$7="Actual",i_Actuals!AI77,c_Calculations!AI539)</f>
        <v/>
      </c>
      <c r="AJ77" s="257">
        <f>IF(AJ$7="Actual",i_Actuals!AJ77,c_Calculations!AJ539)</f>
        <v/>
      </c>
      <c r="AK77" s="257">
        <f>IF(AK$7="Actual",i_Actuals!AK77,c_Calculations!AK539)</f>
        <v/>
      </c>
      <c r="AL77" s="257">
        <f>IF(AL$7="Actual",i_Actuals!AL77,c_Calculations!AL539)</f>
        <v/>
      </c>
      <c r="AM77" s="257">
        <f>IF(AM$7="Actual",i_Actuals!AM77,c_Calculations!AM539)</f>
        <v/>
      </c>
      <c r="AN77" s="257">
        <f>IF(AN$7="Actual",i_Actuals!AN77,c_Calculations!AN539)</f>
        <v/>
      </c>
      <c r="AO77" s="257">
        <f>IF(AO$7="Actual",i_Actuals!AO77,c_Calculations!AO539)</f>
        <v/>
      </c>
      <c r="AP77" s="257">
        <f>IF(AP$7="Actual",i_Actuals!AP77,c_Calculations!AP539)</f>
        <v/>
      </c>
      <c r="AQ77" s="257">
        <f>IF(AQ$7="Actual",i_Actuals!AQ77,c_Calculations!AQ539)</f>
        <v/>
      </c>
      <c r="AR77" s="257">
        <f>IF(AR$7="Actual",i_Actuals!AR77,c_Calculations!AR539)</f>
        <v/>
      </c>
      <c r="AS77" s="257">
        <f>IF(AS$7="Actual",i_Actuals!AS77,c_Calculations!AS539)</f>
        <v/>
      </c>
      <c r="AT77" s="257">
        <f>IF(AT$7="Actual",i_Actuals!AT77,c_Calculations!AT539)</f>
        <v/>
      </c>
      <c r="AU77" s="257">
        <f>IF(AU$7="Actual",i_Actuals!AU77,c_Calculations!AU539)</f>
        <v/>
      </c>
      <c r="AV77" s="257">
        <f>IF(AV$7="Actual",i_Actuals!AV77,c_Calculations!AV539)</f>
        <v/>
      </c>
      <c r="AW77" s="257">
        <f>IF(AW$7="Actual",i_Actuals!AW77,c_Calculations!AW539)</f>
        <v/>
      </c>
      <c r="AX77" s="257">
        <f>IF(AX$7="Actual",i_Actuals!AX77,c_Calculations!AX539)</f>
        <v/>
      </c>
      <c r="AY77" s="257">
        <f>IF(AY$7="Actual",i_Actuals!AY77,c_Calculations!AY539)</f>
        <v/>
      </c>
      <c r="AZ77" s="257">
        <f>IF(AZ$7="Actual",i_Actuals!AZ77,c_Calculations!AZ539)</f>
        <v/>
      </c>
      <c r="BA77" s="257">
        <f>IF(BA$7="Actual",i_Actuals!BA77,c_Calculations!BA539)</f>
        <v/>
      </c>
      <c r="BB77" s="257">
        <f>IF(BB$7="Actual",i_Actuals!BB77,c_Calculations!BB539)</f>
        <v/>
      </c>
      <c r="BC77" s="257">
        <f>IF(BC$7="Actual",i_Actuals!BC77,c_Calculations!BC539)</f>
        <v/>
      </c>
      <c r="BD77" s="257">
        <f>IF(BD$7="Actual",i_Actuals!BD77,c_Calculations!BD539)</f>
        <v/>
      </c>
      <c r="BE77" s="257">
        <f>IF(BE$7="Actual",i_Actuals!BE77,c_Calculations!BE539)</f>
        <v/>
      </c>
      <c r="BF77" s="257">
        <f>IF(BF$7="Actual",i_Actuals!BF77,c_Calculations!BF539)</f>
        <v/>
      </c>
      <c r="BG77" s="257">
        <f>IF(BG$7="Actual",i_Actuals!BG77,c_Calculations!BG539)</f>
        <v/>
      </c>
      <c r="BH77" s="257">
        <f>IF(BH$7="Actual",i_Actuals!BH77,c_Calculations!BH539)</f>
        <v/>
      </c>
      <c r="BI77" s="257">
        <f>IF(BI$7="Actual",i_Actuals!BI77,c_Calculations!BI539)</f>
        <v/>
      </c>
      <c r="BJ77" s="257">
        <f>IF(BJ$7="Actual",i_Actuals!BJ77,c_Calculations!BJ539)</f>
        <v/>
      </c>
      <c r="BK77" s="257">
        <f>IF(BK$7="Actual",i_Actuals!BK77,c_Calculations!BK539)</f>
        <v/>
      </c>
      <c r="BL77" s="257">
        <f>IF(BL$7="Actual",i_Actuals!BL77,c_Calculations!BL539)</f>
        <v/>
      </c>
      <c r="BM77" s="257">
        <f>IF(BM$7="Actual",i_Actuals!BM77,c_Calculations!BM539)</f>
        <v/>
      </c>
      <c r="BN77" s="257">
        <f>IF(BN$7="Actual",i_Actuals!BN77,c_Calculations!BN539)</f>
        <v/>
      </c>
      <c r="BO77" s="257">
        <f>IF(BO$7="Actual",i_Actuals!BO77,c_Calculations!BO539)</f>
        <v/>
      </c>
      <c r="BP77" s="257">
        <f>IF(BP$7="Actual",i_Actuals!BP77,c_Calculations!BP539)</f>
        <v/>
      </c>
      <c r="BQ77" s="257">
        <f>IF(BQ$7="Actual",i_Actuals!BQ77,c_Calculations!BQ539)</f>
        <v/>
      </c>
      <c r="BR77" s="257">
        <f>IF(BR$7="Actual",i_Actuals!BR77,c_Calculations!BR539)</f>
        <v/>
      </c>
      <c r="BS77" s="257">
        <f>IF(BS$7="Actual",i_Actuals!BS77,c_Calculations!BS539)</f>
        <v/>
      </c>
      <c r="BT77" s="257">
        <f>IF(BT$7="Actual",i_Actuals!BT77,c_Calculations!BT539)</f>
        <v/>
      </c>
      <c r="BU77" s="257">
        <f>IF(BU$7="Actual",i_Actuals!BU77,c_Calculations!BU539)</f>
        <v/>
      </c>
      <c r="BV77" s="257">
        <f>IF(BV$7="Actual",i_Actuals!BV77,c_Calculations!BV539)</f>
        <v/>
      </c>
      <c r="BW77" s="257">
        <f>IF(BW$7="Actual",i_Actuals!BW77,c_Calculations!BW539)</f>
        <v/>
      </c>
      <c r="BX77" s="257">
        <f>IF(BX$7="Actual",i_Actuals!BX77,c_Calculations!BX539)</f>
        <v/>
      </c>
      <c r="BY77" s="257">
        <f>IF(BY$7="Actual",i_Actuals!BY77,c_Calculations!BY539)</f>
        <v/>
      </c>
      <c r="BZ77" s="257">
        <f>IF(BZ$7="Actual",i_Actuals!BZ77,c_Calculations!BZ539)</f>
        <v/>
      </c>
      <c r="CA77" s="257">
        <f>IF(CA$7="Actual",i_Actuals!CA77,c_Calculations!CA539)</f>
        <v/>
      </c>
    </row>
    <row r="78" ht="12" customHeight="1" s="227">
      <c r="A78" s="244" t="n"/>
      <c r="B78" s="244" t="n"/>
      <c r="C78" s="244" t="n"/>
      <c r="G78" s="222" t="n"/>
      <c r="H78" s="4">
        <f>i_Setup!U104</f>
        <v/>
      </c>
      <c r="I78" s="27">
        <f> i_Setup!$M$16</f>
        <v/>
      </c>
      <c r="K78" s="27" t="n"/>
      <c r="M78" s="245">
        <f>SUMIF($T$4:$CA$4,M$4,$T78:$CA78)</f>
        <v/>
      </c>
      <c r="N78" s="245">
        <f>SUMIF($T$4:$CA$4,N$4,$T78:$CA78)</f>
        <v/>
      </c>
      <c r="O78" s="245">
        <f>SUMIF($T$4:$CA$4,O$4,$T78:$CA78)</f>
        <v/>
      </c>
      <c r="P78" s="245">
        <f>SUMIF($T$4:$CA$4,P$4,$T78:$CA78)</f>
        <v/>
      </c>
      <c r="Q78" s="245">
        <f>SUMIF($T$4:$CA$4,Q$4,$T78:$CA78)</f>
        <v/>
      </c>
      <c r="T78" s="257">
        <f>IF(T$7="Actual",i_Actuals!T78,c_Calculations!T540)</f>
        <v/>
      </c>
      <c r="U78" s="257">
        <f>IF(U$7="Actual",i_Actuals!U78,c_Calculations!U540)</f>
        <v/>
      </c>
      <c r="V78" s="257">
        <f>IF(V$7="Actual",i_Actuals!V78,c_Calculations!V540)</f>
        <v/>
      </c>
      <c r="W78" s="257">
        <f>IF(W$7="Actual",i_Actuals!W78,c_Calculations!W540)</f>
        <v/>
      </c>
      <c r="X78" s="257">
        <f>IF(X$7="Actual",i_Actuals!X78,c_Calculations!X540)</f>
        <v/>
      </c>
      <c r="Y78" s="257">
        <f>IF(Y$7="Actual",i_Actuals!Y78,c_Calculations!Y540)</f>
        <v/>
      </c>
      <c r="Z78" s="257">
        <f>IF(Z$7="Actual",i_Actuals!Z78,c_Calculations!Z540)</f>
        <v/>
      </c>
      <c r="AA78" s="257">
        <f>IF(AA$7="Actual",i_Actuals!AA78,c_Calculations!AA540)</f>
        <v/>
      </c>
      <c r="AB78" s="257">
        <f>IF(AB$7="Actual",i_Actuals!AB78,c_Calculations!AB540)</f>
        <v/>
      </c>
      <c r="AC78" s="257">
        <f>IF(AC$7="Actual",i_Actuals!AC78,c_Calculations!AC540)</f>
        <v/>
      </c>
      <c r="AD78" s="257">
        <f>IF(AD$7="Actual",i_Actuals!AD78,c_Calculations!AD540)</f>
        <v/>
      </c>
      <c r="AE78" s="257">
        <f>IF(AE$7="Actual",i_Actuals!AE78,c_Calculations!AE540)</f>
        <v/>
      </c>
      <c r="AF78" s="257">
        <f>IF(AF$7="Actual",i_Actuals!AF78,c_Calculations!AF540)</f>
        <v/>
      </c>
      <c r="AG78" s="257">
        <f>IF(AG$7="Actual",i_Actuals!AG78,c_Calculations!AG540)</f>
        <v/>
      </c>
      <c r="AH78" s="257">
        <f>IF(AH$7="Actual",i_Actuals!AH78,c_Calculations!AH540)</f>
        <v/>
      </c>
      <c r="AI78" s="257">
        <f>IF(AI$7="Actual",i_Actuals!AI78,c_Calculations!AI540)</f>
        <v/>
      </c>
      <c r="AJ78" s="257">
        <f>IF(AJ$7="Actual",i_Actuals!AJ78,c_Calculations!AJ540)</f>
        <v/>
      </c>
      <c r="AK78" s="257">
        <f>IF(AK$7="Actual",i_Actuals!AK78,c_Calculations!AK540)</f>
        <v/>
      </c>
      <c r="AL78" s="257">
        <f>IF(AL$7="Actual",i_Actuals!AL78,c_Calculations!AL540)</f>
        <v/>
      </c>
      <c r="AM78" s="257">
        <f>IF(AM$7="Actual",i_Actuals!AM78,c_Calculations!AM540)</f>
        <v/>
      </c>
      <c r="AN78" s="257">
        <f>IF(AN$7="Actual",i_Actuals!AN78,c_Calculations!AN540)</f>
        <v/>
      </c>
      <c r="AO78" s="257">
        <f>IF(AO$7="Actual",i_Actuals!AO78,c_Calculations!AO540)</f>
        <v/>
      </c>
      <c r="AP78" s="257">
        <f>IF(AP$7="Actual",i_Actuals!AP78,c_Calculations!AP540)</f>
        <v/>
      </c>
      <c r="AQ78" s="257">
        <f>IF(AQ$7="Actual",i_Actuals!AQ78,c_Calculations!AQ540)</f>
        <v/>
      </c>
      <c r="AR78" s="257">
        <f>IF(AR$7="Actual",i_Actuals!AR78,c_Calculations!AR540)</f>
        <v/>
      </c>
      <c r="AS78" s="257">
        <f>IF(AS$7="Actual",i_Actuals!AS78,c_Calculations!AS540)</f>
        <v/>
      </c>
      <c r="AT78" s="257">
        <f>IF(AT$7="Actual",i_Actuals!AT78,c_Calculations!AT540)</f>
        <v/>
      </c>
      <c r="AU78" s="257">
        <f>IF(AU$7="Actual",i_Actuals!AU78,c_Calculations!AU540)</f>
        <v/>
      </c>
      <c r="AV78" s="257">
        <f>IF(AV$7="Actual",i_Actuals!AV78,c_Calculations!AV540)</f>
        <v/>
      </c>
      <c r="AW78" s="257">
        <f>IF(AW$7="Actual",i_Actuals!AW78,c_Calculations!AW540)</f>
        <v/>
      </c>
      <c r="AX78" s="257">
        <f>IF(AX$7="Actual",i_Actuals!AX78,c_Calculations!AX540)</f>
        <v/>
      </c>
      <c r="AY78" s="257">
        <f>IF(AY$7="Actual",i_Actuals!AY78,c_Calculations!AY540)</f>
        <v/>
      </c>
      <c r="AZ78" s="257">
        <f>IF(AZ$7="Actual",i_Actuals!AZ78,c_Calculations!AZ540)</f>
        <v/>
      </c>
      <c r="BA78" s="257">
        <f>IF(BA$7="Actual",i_Actuals!BA78,c_Calculations!BA540)</f>
        <v/>
      </c>
      <c r="BB78" s="257">
        <f>IF(BB$7="Actual",i_Actuals!BB78,c_Calculations!BB540)</f>
        <v/>
      </c>
      <c r="BC78" s="257">
        <f>IF(BC$7="Actual",i_Actuals!BC78,c_Calculations!BC540)</f>
        <v/>
      </c>
      <c r="BD78" s="257">
        <f>IF(BD$7="Actual",i_Actuals!BD78,c_Calculations!BD540)</f>
        <v/>
      </c>
      <c r="BE78" s="257">
        <f>IF(BE$7="Actual",i_Actuals!BE78,c_Calculations!BE540)</f>
        <v/>
      </c>
      <c r="BF78" s="257">
        <f>IF(BF$7="Actual",i_Actuals!BF78,c_Calculations!BF540)</f>
        <v/>
      </c>
      <c r="BG78" s="257">
        <f>IF(BG$7="Actual",i_Actuals!BG78,c_Calculations!BG540)</f>
        <v/>
      </c>
      <c r="BH78" s="257">
        <f>IF(BH$7="Actual",i_Actuals!BH78,c_Calculations!BH540)</f>
        <v/>
      </c>
      <c r="BI78" s="257">
        <f>IF(BI$7="Actual",i_Actuals!BI78,c_Calculations!BI540)</f>
        <v/>
      </c>
      <c r="BJ78" s="257">
        <f>IF(BJ$7="Actual",i_Actuals!BJ78,c_Calculations!BJ540)</f>
        <v/>
      </c>
      <c r="BK78" s="257">
        <f>IF(BK$7="Actual",i_Actuals!BK78,c_Calculations!BK540)</f>
        <v/>
      </c>
      <c r="BL78" s="257">
        <f>IF(BL$7="Actual",i_Actuals!BL78,c_Calculations!BL540)</f>
        <v/>
      </c>
      <c r="BM78" s="257">
        <f>IF(BM$7="Actual",i_Actuals!BM78,c_Calculations!BM540)</f>
        <v/>
      </c>
      <c r="BN78" s="257">
        <f>IF(BN$7="Actual",i_Actuals!BN78,c_Calculations!BN540)</f>
        <v/>
      </c>
      <c r="BO78" s="257">
        <f>IF(BO$7="Actual",i_Actuals!BO78,c_Calculations!BO540)</f>
        <v/>
      </c>
      <c r="BP78" s="257">
        <f>IF(BP$7="Actual",i_Actuals!BP78,c_Calculations!BP540)</f>
        <v/>
      </c>
      <c r="BQ78" s="257">
        <f>IF(BQ$7="Actual",i_Actuals!BQ78,c_Calculations!BQ540)</f>
        <v/>
      </c>
      <c r="BR78" s="257">
        <f>IF(BR$7="Actual",i_Actuals!BR78,c_Calculations!BR540)</f>
        <v/>
      </c>
      <c r="BS78" s="257">
        <f>IF(BS$7="Actual",i_Actuals!BS78,c_Calculations!BS540)</f>
        <v/>
      </c>
      <c r="BT78" s="257">
        <f>IF(BT$7="Actual",i_Actuals!BT78,c_Calculations!BT540)</f>
        <v/>
      </c>
      <c r="BU78" s="257">
        <f>IF(BU$7="Actual",i_Actuals!BU78,c_Calculations!BU540)</f>
        <v/>
      </c>
      <c r="BV78" s="257">
        <f>IF(BV$7="Actual",i_Actuals!BV78,c_Calculations!BV540)</f>
        <v/>
      </c>
      <c r="BW78" s="257">
        <f>IF(BW$7="Actual",i_Actuals!BW78,c_Calculations!BW540)</f>
        <v/>
      </c>
      <c r="BX78" s="257">
        <f>IF(BX$7="Actual",i_Actuals!BX78,c_Calculations!BX540)</f>
        <v/>
      </c>
      <c r="BY78" s="257">
        <f>IF(BY$7="Actual",i_Actuals!BY78,c_Calculations!BY540)</f>
        <v/>
      </c>
      <c r="BZ78" s="257">
        <f>IF(BZ$7="Actual",i_Actuals!BZ78,c_Calculations!BZ540)</f>
        <v/>
      </c>
      <c r="CA78" s="257">
        <f>IF(CA$7="Actual",i_Actuals!CA78,c_Calculations!CA540)</f>
        <v/>
      </c>
    </row>
    <row r="79" ht="12" customHeight="1" s="227">
      <c r="A79" s="244" t="n"/>
      <c r="B79" s="244" t="n"/>
      <c r="C79" s="244" t="n"/>
      <c r="G79" s="222" t="n"/>
      <c r="H79" s="4">
        <f>i_Setup!U105</f>
        <v/>
      </c>
      <c r="I79" s="27">
        <f> i_Setup!$M$16</f>
        <v/>
      </c>
      <c r="K79" s="27" t="n"/>
      <c r="M79" s="245">
        <f>SUMIF($T$4:$CA$4,M$4,$T79:$CA79)</f>
        <v/>
      </c>
      <c r="N79" s="245">
        <f>SUMIF($T$4:$CA$4,N$4,$T79:$CA79)</f>
        <v/>
      </c>
      <c r="O79" s="245">
        <f>SUMIF($T$4:$CA$4,O$4,$T79:$CA79)</f>
        <v/>
      </c>
      <c r="P79" s="245">
        <f>SUMIF($T$4:$CA$4,P$4,$T79:$CA79)</f>
        <v/>
      </c>
      <c r="Q79" s="245">
        <f>SUMIF($T$4:$CA$4,Q$4,$T79:$CA79)</f>
        <v/>
      </c>
      <c r="T79" s="257">
        <f>IF(T$7="Actual",i_Actuals!T79,c_Calculations!T541)</f>
        <v/>
      </c>
      <c r="U79" s="257">
        <f>IF(U$7="Actual",i_Actuals!U79,c_Calculations!U541)</f>
        <v/>
      </c>
      <c r="V79" s="257">
        <f>IF(V$7="Actual",i_Actuals!V79,c_Calculations!V541)</f>
        <v/>
      </c>
      <c r="W79" s="257">
        <f>IF(W$7="Actual",i_Actuals!W79,c_Calculations!W541)</f>
        <v/>
      </c>
      <c r="X79" s="257">
        <f>IF(X$7="Actual",i_Actuals!X79,c_Calculations!X541)</f>
        <v/>
      </c>
      <c r="Y79" s="257">
        <f>IF(Y$7="Actual",i_Actuals!Y79,c_Calculations!Y541)</f>
        <v/>
      </c>
      <c r="Z79" s="257">
        <f>IF(Z$7="Actual",i_Actuals!Z79,c_Calculations!Z541)</f>
        <v/>
      </c>
      <c r="AA79" s="257">
        <f>IF(AA$7="Actual",i_Actuals!AA79,c_Calculations!AA541)</f>
        <v/>
      </c>
      <c r="AB79" s="257">
        <f>IF(AB$7="Actual",i_Actuals!AB79,c_Calculations!AB541)</f>
        <v/>
      </c>
      <c r="AC79" s="257">
        <f>IF(AC$7="Actual",i_Actuals!AC79,c_Calculations!AC541)</f>
        <v/>
      </c>
      <c r="AD79" s="257">
        <f>IF(AD$7="Actual",i_Actuals!AD79,c_Calculations!AD541)</f>
        <v/>
      </c>
      <c r="AE79" s="257">
        <f>IF(AE$7="Actual",i_Actuals!AE79,c_Calculations!AE541)</f>
        <v/>
      </c>
      <c r="AF79" s="257">
        <f>IF(AF$7="Actual",i_Actuals!AF79,c_Calculations!AF541)</f>
        <v/>
      </c>
      <c r="AG79" s="257">
        <f>IF(AG$7="Actual",i_Actuals!AG79,c_Calculations!AG541)</f>
        <v/>
      </c>
      <c r="AH79" s="257">
        <f>IF(AH$7="Actual",i_Actuals!AH79,c_Calculations!AH541)</f>
        <v/>
      </c>
      <c r="AI79" s="257">
        <f>IF(AI$7="Actual",i_Actuals!AI79,c_Calculations!AI541)</f>
        <v/>
      </c>
      <c r="AJ79" s="257">
        <f>IF(AJ$7="Actual",i_Actuals!AJ79,c_Calculations!AJ541)</f>
        <v/>
      </c>
      <c r="AK79" s="257">
        <f>IF(AK$7="Actual",i_Actuals!AK79,c_Calculations!AK541)</f>
        <v/>
      </c>
      <c r="AL79" s="257">
        <f>IF(AL$7="Actual",i_Actuals!AL79,c_Calculations!AL541)</f>
        <v/>
      </c>
      <c r="AM79" s="257">
        <f>IF(AM$7="Actual",i_Actuals!AM79,c_Calculations!AM541)</f>
        <v/>
      </c>
      <c r="AN79" s="257">
        <f>IF(AN$7="Actual",i_Actuals!AN79,c_Calculations!AN541)</f>
        <v/>
      </c>
      <c r="AO79" s="257">
        <f>IF(AO$7="Actual",i_Actuals!AO79,c_Calculations!AO541)</f>
        <v/>
      </c>
      <c r="AP79" s="257">
        <f>IF(AP$7="Actual",i_Actuals!AP79,c_Calculations!AP541)</f>
        <v/>
      </c>
      <c r="AQ79" s="257">
        <f>IF(AQ$7="Actual",i_Actuals!AQ79,c_Calculations!AQ541)</f>
        <v/>
      </c>
      <c r="AR79" s="257">
        <f>IF(AR$7="Actual",i_Actuals!AR79,c_Calculations!AR541)</f>
        <v/>
      </c>
      <c r="AS79" s="257">
        <f>IF(AS$7="Actual",i_Actuals!AS79,c_Calculations!AS541)</f>
        <v/>
      </c>
      <c r="AT79" s="257">
        <f>IF(AT$7="Actual",i_Actuals!AT79,c_Calculations!AT541)</f>
        <v/>
      </c>
      <c r="AU79" s="257">
        <f>IF(AU$7="Actual",i_Actuals!AU79,c_Calculations!AU541)</f>
        <v/>
      </c>
      <c r="AV79" s="257">
        <f>IF(AV$7="Actual",i_Actuals!AV79,c_Calculations!AV541)</f>
        <v/>
      </c>
      <c r="AW79" s="257">
        <f>IF(AW$7="Actual",i_Actuals!AW79,c_Calculations!AW541)</f>
        <v/>
      </c>
      <c r="AX79" s="257">
        <f>IF(AX$7="Actual",i_Actuals!AX79,c_Calculations!AX541)</f>
        <v/>
      </c>
      <c r="AY79" s="257">
        <f>IF(AY$7="Actual",i_Actuals!AY79,c_Calculations!AY541)</f>
        <v/>
      </c>
      <c r="AZ79" s="257">
        <f>IF(AZ$7="Actual",i_Actuals!AZ79,c_Calculations!AZ541)</f>
        <v/>
      </c>
      <c r="BA79" s="257">
        <f>IF(BA$7="Actual",i_Actuals!BA79,c_Calculations!BA541)</f>
        <v/>
      </c>
      <c r="BB79" s="257">
        <f>IF(BB$7="Actual",i_Actuals!BB79,c_Calculations!BB541)</f>
        <v/>
      </c>
      <c r="BC79" s="257">
        <f>IF(BC$7="Actual",i_Actuals!BC79,c_Calculations!BC541)</f>
        <v/>
      </c>
      <c r="BD79" s="257">
        <f>IF(BD$7="Actual",i_Actuals!BD79,c_Calculations!BD541)</f>
        <v/>
      </c>
      <c r="BE79" s="257">
        <f>IF(BE$7="Actual",i_Actuals!BE79,c_Calculations!BE541)</f>
        <v/>
      </c>
      <c r="BF79" s="257">
        <f>IF(BF$7="Actual",i_Actuals!BF79,c_Calculations!BF541)</f>
        <v/>
      </c>
      <c r="BG79" s="257">
        <f>IF(BG$7="Actual",i_Actuals!BG79,c_Calculations!BG541)</f>
        <v/>
      </c>
      <c r="BH79" s="257">
        <f>IF(BH$7="Actual",i_Actuals!BH79,c_Calculations!BH541)</f>
        <v/>
      </c>
      <c r="BI79" s="257">
        <f>IF(BI$7="Actual",i_Actuals!BI79,c_Calculations!BI541)</f>
        <v/>
      </c>
      <c r="BJ79" s="257">
        <f>IF(BJ$7="Actual",i_Actuals!BJ79,c_Calculations!BJ541)</f>
        <v/>
      </c>
      <c r="BK79" s="257">
        <f>IF(BK$7="Actual",i_Actuals!BK79,c_Calculations!BK541)</f>
        <v/>
      </c>
      <c r="BL79" s="257">
        <f>IF(BL$7="Actual",i_Actuals!BL79,c_Calculations!BL541)</f>
        <v/>
      </c>
      <c r="BM79" s="257">
        <f>IF(BM$7="Actual",i_Actuals!BM79,c_Calculations!BM541)</f>
        <v/>
      </c>
      <c r="BN79" s="257">
        <f>IF(BN$7="Actual",i_Actuals!BN79,c_Calculations!BN541)</f>
        <v/>
      </c>
      <c r="BO79" s="257">
        <f>IF(BO$7="Actual",i_Actuals!BO79,c_Calculations!BO541)</f>
        <v/>
      </c>
      <c r="BP79" s="257">
        <f>IF(BP$7="Actual",i_Actuals!BP79,c_Calculations!BP541)</f>
        <v/>
      </c>
      <c r="BQ79" s="257">
        <f>IF(BQ$7="Actual",i_Actuals!BQ79,c_Calculations!BQ541)</f>
        <v/>
      </c>
      <c r="BR79" s="257">
        <f>IF(BR$7="Actual",i_Actuals!BR79,c_Calculations!BR541)</f>
        <v/>
      </c>
      <c r="BS79" s="257">
        <f>IF(BS$7="Actual",i_Actuals!BS79,c_Calculations!BS541)</f>
        <v/>
      </c>
      <c r="BT79" s="257">
        <f>IF(BT$7="Actual",i_Actuals!BT79,c_Calculations!BT541)</f>
        <v/>
      </c>
      <c r="BU79" s="257">
        <f>IF(BU$7="Actual",i_Actuals!BU79,c_Calculations!BU541)</f>
        <v/>
      </c>
      <c r="BV79" s="257">
        <f>IF(BV$7="Actual",i_Actuals!BV79,c_Calculations!BV541)</f>
        <v/>
      </c>
      <c r="BW79" s="257">
        <f>IF(BW$7="Actual",i_Actuals!BW79,c_Calculations!BW541)</f>
        <v/>
      </c>
      <c r="BX79" s="257">
        <f>IF(BX$7="Actual",i_Actuals!BX79,c_Calculations!BX541)</f>
        <v/>
      </c>
      <c r="BY79" s="257">
        <f>IF(BY$7="Actual",i_Actuals!BY79,c_Calculations!BY541)</f>
        <v/>
      </c>
      <c r="BZ79" s="257">
        <f>IF(BZ$7="Actual",i_Actuals!BZ79,c_Calculations!BZ541)</f>
        <v/>
      </c>
      <c r="CA79" s="257">
        <f>IF(CA$7="Actual",i_Actuals!CA79,c_Calculations!CA541)</f>
        <v/>
      </c>
    </row>
    <row r="80" ht="12" customHeight="1" s="227">
      <c r="A80" s="244" t="n"/>
      <c r="B80" s="244" t="n"/>
      <c r="C80" s="244" t="n"/>
      <c r="G80" s="222" t="n"/>
      <c r="H80" s="4">
        <f>i_Setup!U106</f>
        <v/>
      </c>
      <c r="I80" s="27">
        <f> i_Setup!$M$16</f>
        <v/>
      </c>
      <c r="K80" s="27" t="n"/>
      <c r="M80" s="245">
        <f>SUMIF($T$4:$CA$4,M$4,$T80:$CA80)</f>
        <v/>
      </c>
      <c r="N80" s="245">
        <f>SUMIF($T$4:$CA$4,N$4,$T80:$CA80)</f>
        <v/>
      </c>
      <c r="O80" s="245">
        <f>SUMIF($T$4:$CA$4,O$4,$T80:$CA80)</f>
        <v/>
      </c>
      <c r="P80" s="245">
        <f>SUMIF($T$4:$CA$4,P$4,$T80:$CA80)</f>
        <v/>
      </c>
      <c r="Q80" s="245">
        <f>SUMIF($T$4:$CA$4,Q$4,$T80:$CA80)</f>
        <v/>
      </c>
      <c r="T80" s="257">
        <f>IF(T$7="Actual",i_Actuals!T80,c_Calculations!T542)</f>
        <v/>
      </c>
      <c r="U80" s="257">
        <f>IF(U$7="Actual",i_Actuals!U80,c_Calculations!U542)</f>
        <v/>
      </c>
      <c r="V80" s="257">
        <f>IF(V$7="Actual",i_Actuals!V80,c_Calculations!V542)</f>
        <v/>
      </c>
      <c r="W80" s="257">
        <f>IF(W$7="Actual",i_Actuals!W80,c_Calculations!W542)</f>
        <v/>
      </c>
      <c r="X80" s="257">
        <f>IF(X$7="Actual",i_Actuals!X80,c_Calculations!X542)</f>
        <v/>
      </c>
      <c r="Y80" s="257">
        <f>IF(Y$7="Actual",i_Actuals!Y80,c_Calculations!Y542)</f>
        <v/>
      </c>
      <c r="Z80" s="257">
        <f>IF(Z$7="Actual",i_Actuals!Z80,c_Calculations!Z542)</f>
        <v/>
      </c>
      <c r="AA80" s="257">
        <f>IF(AA$7="Actual",i_Actuals!AA80,c_Calculations!AA542)</f>
        <v/>
      </c>
      <c r="AB80" s="257">
        <f>IF(AB$7="Actual",i_Actuals!AB80,c_Calculations!AB542)</f>
        <v/>
      </c>
      <c r="AC80" s="257">
        <f>IF(AC$7="Actual",i_Actuals!AC80,c_Calculations!AC542)</f>
        <v/>
      </c>
      <c r="AD80" s="257">
        <f>IF(AD$7="Actual",i_Actuals!AD80,c_Calculations!AD542)</f>
        <v/>
      </c>
      <c r="AE80" s="257">
        <f>IF(AE$7="Actual",i_Actuals!AE80,c_Calculations!AE542)</f>
        <v/>
      </c>
      <c r="AF80" s="257">
        <f>IF(AF$7="Actual",i_Actuals!AF80,c_Calculations!AF542)</f>
        <v/>
      </c>
      <c r="AG80" s="257">
        <f>IF(AG$7="Actual",i_Actuals!AG80,c_Calculations!AG542)</f>
        <v/>
      </c>
      <c r="AH80" s="257">
        <f>IF(AH$7="Actual",i_Actuals!AH80,c_Calculations!AH542)</f>
        <v/>
      </c>
      <c r="AI80" s="257">
        <f>IF(AI$7="Actual",i_Actuals!AI80,c_Calculations!AI542)</f>
        <v/>
      </c>
      <c r="AJ80" s="257">
        <f>IF(AJ$7="Actual",i_Actuals!AJ80,c_Calculations!AJ542)</f>
        <v/>
      </c>
      <c r="AK80" s="257">
        <f>IF(AK$7="Actual",i_Actuals!AK80,c_Calculations!AK542)</f>
        <v/>
      </c>
      <c r="AL80" s="257">
        <f>IF(AL$7="Actual",i_Actuals!AL80,c_Calculations!AL542)</f>
        <v/>
      </c>
      <c r="AM80" s="257">
        <f>IF(AM$7="Actual",i_Actuals!AM80,c_Calculations!AM542)</f>
        <v/>
      </c>
      <c r="AN80" s="257">
        <f>IF(AN$7="Actual",i_Actuals!AN80,c_Calculations!AN542)</f>
        <v/>
      </c>
      <c r="AO80" s="257">
        <f>IF(AO$7="Actual",i_Actuals!AO80,c_Calculations!AO542)</f>
        <v/>
      </c>
      <c r="AP80" s="257">
        <f>IF(AP$7="Actual",i_Actuals!AP80,c_Calculations!AP542)</f>
        <v/>
      </c>
      <c r="AQ80" s="257">
        <f>IF(AQ$7="Actual",i_Actuals!AQ80,c_Calculations!AQ542)</f>
        <v/>
      </c>
      <c r="AR80" s="257">
        <f>IF(AR$7="Actual",i_Actuals!AR80,c_Calculations!AR542)</f>
        <v/>
      </c>
      <c r="AS80" s="257">
        <f>IF(AS$7="Actual",i_Actuals!AS80,c_Calculations!AS542)</f>
        <v/>
      </c>
      <c r="AT80" s="257">
        <f>IF(AT$7="Actual",i_Actuals!AT80,c_Calculations!AT542)</f>
        <v/>
      </c>
      <c r="AU80" s="257">
        <f>IF(AU$7="Actual",i_Actuals!AU80,c_Calculations!AU542)</f>
        <v/>
      </c>
      <c r="AV80" s="257">
        <f>IF(AV$7="Actual",i_Actuals!AV80,c_Calculations!AV542)</f>
        <v/>
      </c>
      <c r="AW80" s="257">
        <f>IF(AW$7="Actual",i_Actuals!AW80,c_Calculations!AW542)</f>
        <v/>
      </c>
      <c r="AX80" s="257">
        <f>IF(AX$7="Actual",i_Actuals!AX80,c_Calculations!AX542)</f>
        <v/>
      </c>
      <c r="AY80" s="257">
        <f>IF(AY$7="Actual",i_Actuals!AY80,c_Calculations!AY542)</f>
        <v/>
      </c>
      <c r="AZ80" s="257">
        <f>IF(AZ$7="Actual",i_Actuals!AZ80,c_Calculations!AZ542)</f>
        <v/>
      </c>
      <c r="BA80" s="257">
        <f>IF(BA$7="Actual",i_Actuals!BA80,c_Calculations!BA542)</f>
        <v/>
      </c>
      <c r="BB80" s="257">
        <f>IF(BB$7="Actual",i_Actuals!BB80,c_Calculations!BB542)</f>
        <v/>
      </c>
      <c r="BC80" s="257">
        <f>IF(BC$7="Actual",i_Actuals!BC80,c_Calculations!BC542)</f>
        <v/>
      </c>
      <c r="BD80" s="257">
        <f>IF(BD$7="Actual",i_Actuals!BD80,c_Calculations!BD542)</f>
        <v/>
      </c>
      <c r="BE80" s="257">
        <f>IF(BE$7="Actual",i_Actuals!BE80,c_Calculations!BE542)</f>
        <v/>
      </c>
      <c r="BF80" s="257">
        <f>IF(BF$7="Actual",i_Actuals!BF80,c_Calculations!BF542)</f>
        <v/>
      </c>
      <c r="BG80" s="257">
        <f>IF(BG$7="Actual",i_Actuals!BG80,c_Calculations!BG542)</f>
        <v/>
      </c>
      <c r="BH80" s="257">
        <f>IF(BH$7="Actual",i_Actuals!BH80,c_Calculations!BH542)</f>
        <v/>
      </c>
      <c r="BI80" s="257">
        <f>IF(BI$7="Actual",i_Actuals!BI80,c_Calculations!BI542)</f>
        <v/>
      </c>
      <c r="BJ80" s="257">
        <f>IF(BJ$7="Actual",i_Actuals!BJ80,c_Calculations!BJ542)</f>
        <v/>
      </c>
      <c r="BK80" s="257">
        <f>IF(BK$7="Actual",i_Actuals!BK80,c_Calculations!BK542)</f>
        <v/>
      </c>
      <c r="BL80" s="257">
        <f>IF(BL$7="Actual",i_Actuals!BL80,c_Calculations!BL542)</f>
        <v/>
      </c>
      <c r="BM80" s="257">
        <f>IF(BM$7="Actual",i_Actuals!BM80,c_Calculations!BM542)</f>
        <v/>
      </c>
      <c r="BN80" s="257">
        <f>IF(BN$7="Actual",i_Actuals!BN80,c_Calculations!BN542)</f>
        <v/>
      </c>
      <c r="BO80" s="257">
        <f>IF(BO$7="Actual",i_Actuals!BO80,c_Calculations!BO542)</f>
        <v/>
      </c>
      <c r="BP80" s="257">
        <f>IF(BP$7="Actual",i_Actuals!BP80,c_Calculations!BP542)</f>
        <v/>
      </c>
      <c r="BQ80" s="257">
        <f>IF(BQ$7="Actual",i_Actuals!BQ80,c_Calculations!BQ542)</f>
        <v/>
      </c>
      <c r="BR80" s="257">
        <f>IF(BR$7="Actual",i_Actuals!BR80,c_Calculations!BR542)</f>
        <v/>
      </c>
      <c r="BS80" s="257">
        <f>IF(BS$7="Actual",i_Actuals!BS80,c_Calculations!BS542)</f>
        <v/>
      </c>
      <c r="BT80" s="257">
        <f>IF(BT$7="Actual",i_Actuals!BT80,c_Calculations!BT542)</f>
        <v/>
      </c>
      <c r="BU80" s="257">
        <f>IF(BU$7="Actual",i_Actuals!BU80,c_Calculations!BU542)</f>
        <v/>
      </c>
      <c r="BV80" s="257">
        <f>IF(BV$7="Actual",i_Actuals!BV80,c_Calculations!BV542)</f>
        <v/>
      </c>
      <c r="BW80" s="257">
        <f>IF(BW$7="Actual",i_Actuals!BW80,c_Calculations!BW542)</f>
        <v/>
      </c>
      <c r="BX80" s="257">
        <f>IF(BX$7="Actual",i_Actuals!BX80,c_Calculations!BX542)</f>
        <v/>
      </c>
      <c r="BY80" s="257">
        <f>IF(BY$7="Actual",i_Actuals!BY80,c_Calculations!BY542)</f>
        <v/>
      </c>
      <c r="BZ80" s="257">
        <f>IF(BZ$7="Actual",i_Actuals!BZ80,c_Calculations!BZ542)</f>
        <v/>
      </c>
      <c r="CA80" s="257">
        <f>IF(CA$7="Actual",i_Actuals!CA80,c_Calculations!CA542)</f>
        <v/>
      </c>
    </row>
    <row r="81" ht="12" customHeight="1" s="227">
      <c r="A81" s="244" t="n"/>
      <c r="B81" s="244" t="n"/>
      <c r="C81" s="244" t="n"/>
      <c r="G81" s="222" t="n"/>
      <c r="H81" s="4">
        <f>i_Setup!U107</f>
        <v/>
      </c>
      <c r="I81" s="27">
        <f> i_Setup!$M$16</f>
        <v/>
      </c>
      <c r="K81" s="27" t="n"/>
      <c r="M81" s="245">
        <f>SUMIF($T$4:$CA$4,M$4,$T81:$CA81)</f>
        <v/>
      </c>
      <c r="N81" s="245">
        <f>SUMIF($T$4:$CA$4,N$4,$T81:$CA81)</f>
        <v/>
      </c>
      <c r="O81" s="245">
        <f>SUMIF($T$4:$CA$4,O$4,$T81:$CA81)</f>
        <v/>
      </c>
      <c r="P81" s="245">
        <f>SUMIF($T$4:$CA$4,P$4,$T81:$CA81)</f>
        <v/>
      </c>
      <c r="Q81" s="245">
        <f>SUMIF($T$4:$CA$4,Q$4,$T81:$CA81)</f>
        <v/>
      </c>
      <c r="T81" s="257">
        <f>IF(T$7="Actual",i_Actuals!T81,c_Calculations!T543)</f>
        <v/>
      </c>
      <c r="U81" s="257">
        <f>IF(U$7="Actual",i_Actuals!U81,c_Calculations!U543)</f>
        <v/>
      </c>
      <c r="V81" s="257">
        <f>IF(V$7="Actual",i_Actuals!V81,c_Calculations!V543)</f>
        <v/>
      </c>
      <c r="W81" s="257">
        <f>IF(W$7="Actual",i_Actuals!W81,c_Calculations!W543)</f>
        <v/>
      </c>
      <c r="X81" s="257">
        <f>IF(X$7="Actual",i_Actuals!X81,c_Calculations!X543)</f>
        <v/>
      </c>
      <c r="Y81" s="257">
        <f>IF(Y$7="Actual",i_Actuals!Y81,c_Calculations!Y543)</f>
        <v/>
      </c>
      <c r="Z81" s="257">
        <f>IF(Z$7="Actual",i_Actuals!Z81,c_Calculations!Z543)</f>
        <v/>
      </c>
      <c r="AA81" s="257">
        <f>IF(AA$7="Actual",i_Actuals!AA81,c_Calculations!AA543)</f>
        <v/>
      </c>
      <c r="AB81" s="257">
        <f>IF(AB$7="Actual",i_Actuals!AB81,c_Calculations!AB543)</f>
        <v/>
      </c>
      <c r="AC81" s="257">
        <f>IF(AC$7="Actual",i_Actuals!AC81,c_Calculations!AC543)</f>
        <v/>
      </c>
      <c r="AD81" s="257">
        <f>IF(AD$7="Actual",i_Actuals!AD81,c_Calculations!AD543)</f>
        <v/>
      </c>
      <c r="AE81" s="257">
        <f>IF(AE$7="Actual",i_Actuals!AE81,c_Calculations!AE543)</f>
        <v/>
      </c>
      <c r="AF81" s="257">
        <f>IF(AF$7="Actual",i_Actuals!AF81,c_Calculations!AF543)</f>
        <v/>
      </c>
      <c r="AG81" s="257">
        <f>IF(AG$7="Actual",i_Actuals!AG81,c_Calculations!AG543)</f>
        <v/>
      </c>
      <c r="AH81" s="257">
        <f>IF(AH$7="Actual",i_Actuals!AH81,c_Calculations!AH543)</f>
        <v/>
      </c>
      <c r="AI81" s="257">
        <f>IF(AI$7="Actual",i_Actuals!AI81,c_Calculations!AI543)</f>
        <v/>
      </c>
      <c r="AJ81" s="257">
        <f>IF(AJ$7="Actual",i_Actuals!AJ81,c_Calculations!AJ543)</f>
        <v/>
      </c>
      <c r="AK81" s="257">
        <f>IF(AK$7="Actual",i_Actuals!AK81,c_Calculations!AK543)</f>
        <v/>
      </c>
      <c r="AL81" s="257">
        <f>IF(AL$7="Actual",i_Actuals!AL81,c_Calculations!AL543)</f>
        <v/>
      </c>
      <c r="AM81" s="257">
        <f>IF(AM$7="Actual",i_Actuals!AM81,c_Calculations!AM543)</f>
        <v/>
      </c>
      <c r="AN81" s="257">
        <f>IF(AN$7="Actual",i_Actuals!AN81,c_Calculations!AN543)</f>
        <v/>
      </c>
      <c r="AO81" s="257">
        <f>IF(AO$7="Actual",i_Actuals!AO81,c_Calculations!AO543)</f>
        <v/>
      </c>
      <c r="AP81" s="257">
        <f>IF(AP$7="Actual",i_Actuals!AP81,c_Calculations!AP543)</f>
        <v/>
      </c>
      <c r="AQ81" s="257">
        <f>IF(AQ$7="Actual",i_Actuals!AQ81,c_Calculations!AQ543)</f>
        <v/>
      </c>
      <c r="AR81" s="257">
        <f>IF(AR$7="Actual",i_Actuals!AR81,c_Calculations!AR543)</f>
        <v/>
      </c>
      <c r="AS81" s="257">
        <f>IF(AS$7="Actual",i_Actuals!AS81,c_Calculations!AS543)</f>
        <v/>
      </c>
      <c r="AT81" s="257">
        <f>IF(AT$7="Actual",i_Actuals!AT81,c_Calculations!AT543)</f>
        <v/>
      </c>
      <c r="AU81" s="257">
        <f>IF(AU$7="Actual",i_Actuals!AU81,c_Calculations!AU543)</f>
        <v/>
      </c>
      <c r="AV81" s="257">
        <f>IF(AV$7="Actual",i_Actuals!AV81,c_Calculations!AV543)</f>
        <v/>
      </c>
      <c r="AW81" s="257">
        <f>IF(AW$7="Actual",i_Actuals!AW81,c_Calculations!AW543)</f>
        <v/>
      </c>
      <c r="AX81" s="257">
        <f>IF(AX$7="Actual",i_Actuals!AX81,c_Calculations!AX543)</f>
        <v/>
      </c>
      <c r="AY81" s="257">
        <f>IF(AY$7="Actual",i_Actuals!AY81,c_Calculations!AY543)</f>
        <v/>
      </c>
      <c r="AZ81" s="257">
        <f>IF(AZ$7="Actual",i_Actuals!AZ81,c_Calculations!AZ543)</f>
        <v/>
      </c>
      <c r="BA81" s="257">
        <f>IF(BA$7="Actual",i_Actuals!BA81,c_Calculations!BA543)</f>
        <v/>
      </c>
      <c r="BB81" s="257">
        <f>IF(BB$7="Actual",i_Actuals!BB81,c_Calculations!BB543)</f>
        <v/>
      </c>
      <c r="BC81" s="257">
        <f>IF(BC$7="Actual",i_Actuals!BC81,c_Calculations!BC543)</f>
        <v/>
      </c>
      <c r="BD81" s="257">
        <f>IF(BD$7="Actual",i_Actuals!BD81,c_Calculations!BD543)</f>
        <v/>
      </c>
      <c r="BE81" s="257">
        <f>IF(BE$7="Actual",i_Actuals!BE81,c_Calculations!BE543)</f>
        <v/>
      </c>
      <c r="BF81" s="257">
        <f>IF(BF$7="Actual",i_Actuals!BF81,c_Calculations!BF543)</f>
        <v/>
      </c>
      <c r="BG81" s="257">
        <f>IF(BG$7="Actual",i_Actuals!BG81,c_Calculations!BG543)</f>
        <v/>
      </c>
      <c r="BH81" s="257">
        <f>IF(BH$7="Actual",i_Actuals!BH81,c_Calculations!BH543)</f>
        <v/>
      </c>
      <c r="BI81" s="257">
        <f>IF(BI$7="Actual",i_Actuals!BI81,c_Calculations!BI543)</f>
        <v/>
      </c>
      <c r="BJ81" s="257">
        <f>IF(BJ$7="Actual",i_Actuals!BJ81,c_Calculations!BJ543)</f>
        <v/>
      </c>
      <c r="BK81" s="257">
        <f>IF(BK$7="Actual",i_Actuals!BK81,c_Calculations!BK543)</f>
        <v/>
      </c>
      <c r="BL81" s="257">
        <f>IF(BL$7="Actual",i_Actuals!BL81,c_Calculations!BL543)</f>
        <v/>
      </c>
      <c r="BM81" s="257">
        <f>IF(BM$7="Actual",i_Actuals!BM81,c_Calculations!BM543)</f>
        <v/>
      </c>
      <c r="BN81" s="257">
        <f>IF(BN$7="Actual",i_Actuals!BN81,c_Calculations!BN543)</f>
        <v/>
      </c>
      <c r="BO81" s="257">
        <f>IF(BO$7="Actual",i_Actuals!BO81,c_Calculations!BO543)</f>
        <v/>
      </c>
      <c r="BP81" s="257">
        <f>IF(BP$7="Actual",i_Actuals!BP81,c_Calculations!BP543)</f>
        <v/>
      </c>
      <c r="BQ81" s="257">
        <f>IF(BQ$7="Actual",i_Actuals!BQ81,c_Calculations!BQ543)</f>
        <v/>
      </c>
      <c r="BR81" s="257">
        <f>IF(BR$7="Actual",i_Actuals!BR81,c_Calculations!BR543)</f>
        <v/>
      </c>
      <c r="BS81" s="257">
        <f>IF(BS$7="Actual",i_Actuals!BS81,c_Calculations!BS543)</f>
        <v/>
      </c>
      <c r="BT81" s="257">
        <f>IF(BT$7="Actual",i_Actuals!BT81,c_Calculations!BT543)</f>
        <v/>
      </c>
      <c r="BU81" s="257">
        <f>IF(BU$7="Actual",i_Actuals!BU81,c_Calculations!BU543)</f>
        <v/>
      </c>
      <c r="BV81" s="257">
        <f>IF(BV$7="Actual",i_Actuals!BV81,c_Calculations!BV543)</f>
        <v/>
      </c>
      <c r="BW81" s="257">
        <f>IF(BW$7="Actual",i_Actuals!BW81,c_Calculations!BW543)</f>
        <v/>
      </c>
      <c r="BX81" s="257">
        <f>IF(BX$7="Actual",i_Actuals!BX81,c_Calculations!BX543)</f>
        <v/>
      </c>
      <c r="BY81" s="257">
        <f>IF(BY$7="Actual",i_Actuals!BY81,c_Calculations!BY543)</f>
        <v/>
      </c>
      <c r="BZ81" s="257">
        <f>IF(BZ$7="Actual",i_Actuals!BZ81,c_Calculations!BZ543)</f>
        <v/>
      </c>
      <c r="CA81" s="257">
        <f>IF(CA$7="Actual",i_Actuals!CA81,c_Calculations!CA543)</f>
        <v/>
      </c>
    </row>
    <row r="82" ht="12" customHeight="1" s="227">
      <c r="A82" s="244" t="n"/>
      <c r="B82" s="244" t="n"/>
      <c r="C82" s="244" t="n"/>
      <c r="G82" s="222" t="n"/>
      <c r="H82" s="4">
        <f>i_Setup!U108</f>
        <v/>
      </c>
      <c r="I82" s="27">
        <f> i_Setup!$M$16</f>
        <v/>
      </c>
      <c r="K82" s="27" t="n"/>
      <c r="M82" s="245">
        <f>SUMIF($T$4:$CA$4,M$4,$T82:$CA82)</f>
        <v/>
      </c>
      <c r="N82" s="245">
        <f>SUMIF($T$4:$CA$4,N$4,$T82:$CA82)</f>
        <v/>
      </c>
      <c r="O82" s="245">
        <f>SUMIF($T$4:$CA$4,O$4,$T82:$CA82)</f>
        <v/>
      </c>
      <c r="P82" s="245">
        <f>SUMIF($T$4:$CA$4,P$4,$T82:$CA82)</f>
        <v/>
      </c>
      <c r="Q82" s="245">
        <f>SUMIF($T$4:$CA$4,Q$4,$T82:$CA82)</f>
        <v/>
      </c>
      <c r="T82" s="257">
        <f>IF(T$7="Actual",i_Actuals!T82,c_Calculations!T544)</f>
        <v/>
      </c>
      <c r="U82" s="257">
        <f>IF(U$7="Actual",i_Actuals!U82,c_Calculations!U544)</f>
        <v/>
      </c>
      <c r="V82" s="257">
        <f>IF(V$7="Actual",i_Actuals!V82,c_Calculations!V544)</f>
        <v/>
      </c>
      <c r="W82" s="257">
        <f>IF(W$7="Actual",i_Actuals!W82,c_Calculations!W544)</f>
        <v/>
      </c>
      <c r="X82" s="257">
        <f>IF(X$7="Actual",i_Actuals!X82,c_Calculations!X544)</f>
        <v/>
      </c>
      <c r="Y82" s="257">
        <f>IF(Y$7="Actual",i_Actuals!Y82,c_Calculations!Y544)</f>
        <v/>
      </c>
      <c r="Z82" s="257">
        <f>IF(Z$7="Actual",i_Actuals!Z82,c_Calculations!Z544)</f>
        <v/>
      </c>
      <c r="AA82" s="257">
        <f>IF(AA$7="Actual",i_Actuals!AA82,c_Calculations!AA544)</f>
        <v/>
      </c>
      <c r="AB82" s="257">
        <f>IF(AB$7="Actual",i_Actuals!AB82,c_Calculations!AB544)</f>
        <v/>
      </c>
      <c r="AC82" s="257">
        <f>IF(AC$7="Actual",i_Actuals!AC82,c_Calculations!AC544)</f>
        <v/>
      </c>
      <c r="AD82" s="257">
        <f>IF(AD$7="Actual",i_Actuals!AD82,c_Calculations!AD544)</f>
        <v/>
      </c>
      <c r="AE82" s="257">
        <f>IF(AE$7="Actual",i_Actuals!AE82,c_Calculations!AE544)</f>
        <v/>
      </c>
      <c r="AF82" s="257">
        <f>IF(AF$7="Actual",i_Actuals!AF82,c_Calculations!AF544)</f>
        <v/>
      </c>
      <c r="AG82" s="257">
        <f>IF(AG$7="Actual",i_Actuals!AG82,c_Calculations!AG544)</f>
        <v/>
      </c>
      <c r="AH82" s="257">
        <f>IF(AH$7="Actual",i_Actuals!AH82,c_Calculations!AH544)</f>
        <v/>
      </c>
      <c r="AI82" s="257">
        <f>IF(AI$7="Actual",i_Actuals!AI82,c_Calculations!AI544)</f>
        <v/>
      </c>
      <c r="AJ82" s="257">
        <f>IF(AJ$7="Actual",i_Actuals!AJ82,c_Calculations!AJ544)</f>
        <v/>
      </c>
      <c r="AK82" s="257">
        <f>IF(AK$7="Actual",i_Actuals!AK82,c_Calculations!AK544)</f>
        <v/>
      </c>
      <c r="AL82" s="257">
        <f>IF(AL$7="Actual",i_Actuals!AL82,c_Calculations!AL544)</f>
        <v/>
      </c>
      <c r="AM82" s="257">
        <f>IF(AM$7="Actual",i_Actuals!AM82,c_Calculations!AM544)</f>
        <v/>
      </c>
      <c r="AN82" s="257">
        <f>IF(AN$7="Actual",i_Actuals!AN82,c_Calculations!AN544)</f>
        <v/>
      </c>
      <c r="AO82" s="257">
        <f>IF(AO$7="Actual",i_Actuals!AO82,c_Calculations!AO544)</f>
        <v/>
      </c>
      <c r="AP82" s="257">
        <f>IF(AP$7="Actual",i_Actuals!AP82,c_Calculations!AP544)</f>
        <v/>
      </c>
      <c r="AQ82" s="257">
        <f>IF(AQ$7="Actual",i_Actuals!AQ82,c_Calculations!AQ544)</f>
        <v/>
      </c>
      <c r="AR82" s="257">
        <f>IF(AR$7="Actual",i_Actuals!AR82,c_Calculations!AR544)</f>
        <v/>
      </c>
      <c r="AS82" s="257">
        <f>IF(AS$7="Actual",i_Actuals!AS82,c_Calculations!AS544)</f>
        <v/>
      </c>
      <c r="AT82" s="257">
        <f>IF(AT$7="Actual",i_Actuals!AT82,c_Calculations!AT544)</f>
        <v/>
      </c>
      <c r="AU82" s="257">
        <f>IF(AU$7="Actual",i_Actuals!AU82,c_Calculations!AU544)</f>
        <v/>
      </c>
      <c r="AV82" s="257">
        <f>IF(AV$7="Actual",i_Actuals!AV82,c_Calculations!AV544)</f>
        <v/>
      </c>
      <c r="AW82" s="257">
        <f>IF(AW$7="Actual",i_Actuals!AW82,c_Calculations!AW544)</f>
        <v/>
      </c>
      <c r="AX82" s="257">
        <f>IF(AX$7="Actual",i_Actuals!AX82,c_Calculations!AX544)</f>
        <v/>
      </c>
      <c r="AY82" s="257">
        <f>IF(AY$7="Actual",i_Actuals!AY82,c_Calculations!AY544)</f>
        <v/>
      </c>
      <c r="AZ82" s="257">
        <f>IF(AZ$7="Actual",i_Actuals!AZ82,c_Calculations!AZ544)</f>
        <v/>
      </c>
      <c r="BA82" s="257">
        <f>IF(BA$7="Actual",i_Actuals!BA82,c_Calculations!BA544)</f>
        <v/>
      </c>
      <c r="BB82" s="257">
        <f>IF(BB$7="Actual",i_Actuals!BB82,c_Calculations!BB544)</f>
        <v/>
      </c>
      <c r="BC82" s="257">
        <f>IF(BC$7="Actual",i_Actuals!BC82,c_Calculations!BC544)</f>
        <v/>
      </c>
      <c r="BD82" s="257">
        <f>IF(BD$7="Actual",i_Actuals!BD82,c_Calculations!BD544)</f>
        <v/>
      </c>
      <c r="BE82" s="257">
        <f>IF(BE$7="Actual",i_Actuals!BE82,c_Calculations!BE544)</f>
        <v/>
      </c>
      <c r="BF82" s="257">
        <f>IF(BF$7="Actual",i_Actuals!BF82,c_Calculations!BF544)</f>
        <v/>
      </c>
      <c r="BG82" s="257">
        <f>IF(BG$7="Actual",i_Actuals!BG82,c_Calculations!BG544)</f>
        <v/>
      </c>
      <c r="BH82" s="257">
        <f>IF(BH$7="Actual",i_Actuals!BH82,c_Calculations!BH544)</f>
        <v/>
      </c>
      <c r="BI82" s="257">
        <f>IF(BI$7="Actual",i_Actuals!BI82,c_Calculations!BI544)</f>
        <v/>
      </c>
      <c r="BJ82" s="257">
        <f>IF(BJ$7="Actual",i_Actuals!BJ82,c_Calculations!BJ544)</f>
        <v/>
      </c>
      <c r="BK82" s="257">
        <f>IF(BK$7="Actual",i_Actuals!BK82,c_Calculations!BK544)</f>
        <v/>
      </c>
      <c r="BL82" s="257">
        <f>IF(BL$7="Actual",i_Actuals!BL82,c_Calculations!BL544)</f>
        <v/>
      </c>
      <c r="BM82" s="257">
        <f>IF(BM$7="Actual",i_Actuals!BM82,c_Calculations!BM544)</f>
        <v/>
      </c>
      <c r="BN82" s="257">
        <f>IF(BN$7="Actual",i_Actuals!BN82,c_Calculations!BN544)</f>
        <v/>
      </c>
      <c r="BO82" s="257">
        <f>IF(BO$7="Actual",i_Actuals!BO82,c_Calculations!BO544)</f>
        <v/>
      </c>
      <c r="BP82" s="257">
        <f>IF(BP$7="Actual",i_Actuals!BP82,c_Calculations!BP544)</f>
        <v/>
      </c>
      <c r="BQ82" s="257">
        <f>IF(BQ$7="Actual",i_Actuals!BQ82,c_Calculations!BQ544)</f>
        <v/>
      </c>
      <c r="BR82" s="257">
        <f>IF(BR$7="Actual",i_Actuals!BR82,c_Calculations!BR544)</f>
        <v/>
      </c>
      <c r="BS82" s="257">
        <f>IF(BS$7="Actual",i_Actuals!BS82,c_Calculations!BS544)</f>
        <v/>
      </c>
      <c r="BT82" s="257">
        <f>IF(BT$7="Actual",i_Actuals!BT82,c_Calculations!BT544)</f>
        <v/>
      </c>
      <c r="BU82" s="257">
        <f>IF(BU$7="Actual",i_Actuals!BU82,c_Calculations!BU544)</f>
        <v/>
      </c>
      <c r="BV82" s="257">
        <f>IF(BV$7="Actual",i_Actuals!BV82,c_Calculations!BV544)</f>
        <v/>
      </c>
      <c r="BW82" s="257">
        <f>IF(BW$7="Actual",i_Actuals!BW82,c_Calculations!BW544)</f>
        <v/>
      </c>
      <c r="BX82" s="257">
        <f>IF(BX$7="Actual",i_Actuals!BX82,c_Calculations!BX544)</f>
        <v/>
      </c>
      <c r="BY82" s="257">
        <f>IF(BY$7="Actual",i_Actuals!BY82,c_Calculations!BY544)</f>
        <v/>
      </c>
      <c r="BZ82" s="257">
        <f>IF(BZ$7="Actual",i_Actuals!BZ82,c_Calculations!BZ544)</f>
        <v/>
      </c>
      <c r="CA82" s="257">
        <f>IF(CA$7="Actual",i_Actuals!CA82,c_Calculations!CA544)</f>
        <v/>
      </c>
    </row>
    <row r="83" ht="12" customHeight="1" s="227">
      <c r="A83" s="244" t="n"/>
      <c r="B83" s="244" t="n"/>
      <c r="C83" s="244" t="n"/>
      <c r="G83" s="222" t="n"/>
      <c r="H83" s="4">
        <f>i_Setup!U109</f>
        <v/>
      </c>
      <c r="I83" s="27">
        <f> i_Setup!$M$16</f>
        <v/>
      </c>
      <c r="K83" s="27" t="n"/>
      <c r="M83" s="245">
        <f>SUMIF($T$4:$CA$4,M$4,$T83:$CA83)</f>
        <v/>
      </c>
      <c r="N83" s="245">
        <f>SUMIF($T$4:$CA$4,N$4,$T83:$CA83)</f>
        <v/>
      </c>
      <c r="O83" s="245">
        <f>SUMIF($T$4:$CA$4,O$4,$T83:$CA83)</f>
        <v/>
      </c>
      <c r="P83" s="245">
        <f>SUMIF($T$4:$CA$4,P$4,$T83:$CA83)</f>
        <v/>
      </c>
      <c r="Q83" s="245">
        <f>SUMIF($T$4:$CA$4,Q$4,$T83:$CA83)</f>
        <v/>
      </c>
      <c r="T83" s="257">
        <f>IF(T$7="Actual",i_Actuals!T83,c_Calculations!T545)</f>
        <v/>
      </c>
      <c r="U83" s="257">
        <f>IF(U$7="Actual",i_Actuals!U83,c_Calculations!U545)</f>
        <v/>
      </c>
      <c r="V83" s="257">
        <f>IF(V$7="Actual",i_Actuals!V83,c_Calculations!V545)</f>
        <v/>
      </c>
      <c r="W83" s="257">
        <f>IF(W$7="Actual",i_Actuals!W83,c_Calculations!W545)</f>
        <v/>
      </c>
      <c r="X83" s="257">
        <f>IF(X$7="Actual",i_Actuals!X83,c_Calculations!X545)</f>
        <v/>
      </c>
      <c r="Y83" s="257">
        <f>IF(Y$7="Actual",i_Actuals!Y83,c_Calculations!Y545)</f>
        <v/>
      </c>
      <c r="Z83" s="257">
        <f>IF(Z$7="Actual",i_Actuals!Z83,c_Calculations!Z545)</f>
        <v/>
      </c>
      <c r="AA83" s="257">
        <f>IF(AA$7="Actual",i_Actuals!AA83,c_Calculations!AA545)</f>
        <v/>
      </c>
      <c r="AB83" s="257">
        <f>IF(AB$7="Actual",i_Actuals!AB83,c_Calculations!AB545)</f>
        <v/>
      </c>
      <c r="AC83" s="257">
        <f>IF(AC$7="Actual",i_Actuals!AC83,c_Calculations!AC545)</f>
        <v/>
      </c>
      <c r="AD83" s="257">
        <f>IF(AD$7="Actual",i_Actuals!AD83,c_Calculations!AD545)</f>
        <v/>
      </c>
      <c r="AE83" s="257">
        <f>IF(AE$7="Actual",i_Actuals!AE83,c_Calculations!AE545)</f>
        <v/>
      </c>
      <c r="AF83" s="257">
        <f>IF(AF$7="Actual",i_Actuals!AF83,c_Calculations!AF545)</f>
        <v/>
      </c>
      <c r="AG83" s="257">
        <f>IF(AG$7="Actual",i_Actuals!AG83,c_Calculations!AG545)</f>
        <v/>
      </c>
      <c r="AH83" s="257">
        <f>IF(AH$7="Actual",i_Actuals!AH83,c_Calculations!AH545)</f>
        <v/>
      </c>
      <c r="AI83" s="257">
        <f>IF(AI$7="Actual",i_Actuals!AI83,c_Calculations!AI545)</f>
        <v/>
      </c>
      <c r="AJ83" s="257">
        <f>IF(AJ$7="Actual",i_Actuals!AJ83,c_Calculations!AJ545)</f>
        <v/>
      </c>
      <c r="AK83" s="257">
        <f>IF(AK$7="Actual",i_Actuals!AK83,c_Calculations!AK545)</f>
        <v/>
      </c>
      <c r="AL83" s="257">
        <f>IF(AL$7="Actual",i_Actuals!AL83,c_Calculations!AL545)</f>
        <v/>
      </c>
      <c r="AM83" s="257">
        <f>IF(AM$7="Actual",i_Actuals!AM83,c_Calculations!AM545)</f>
        <v/>
      </c>
      <c r="AN83" s="257">
        <f>IF(AN$7="Actual",i_Actuals!AN83,c_Calculations!AN545)</f>
        <v/>
      </c>
      <c r="AO83" s="257">
        <f>IF(AO$7="Actual",i_Actuals!AO83,c_Calculations!AO545)</f>
        <v/>
      </c>
      <c r="AP83" s="257">
        <f>IF(AP$7="Actual",i_Actuals!AP83,c_Calculations!AP545)</f>
        <v/>
      </c>
      <c r="AQ83" s="257">
        <f>IF(AQ$7="Actual",i_Actuals!AQ83,c_Calculations!AQ545)</f>
        <v/>
      </c>
      <c r="AR83" s="257">
        <f>IF(AR$7="Actual",i_Actuals!AR83,c_Calculations!AR545)</f>
        <v/>
      </c>
      <c r="AS83" s="257">
        <f>IF(AS$7="Actual",i_Actuals!AS83,c_Calculations!AS545)</f>
        <v/>
      </c>
      <c r="AT83" s="257">
        <f>IF(AT$7="Actual",i_Actuals!AT83,c_Calculations!AT545)</f>
        <v/>
      </c>
      <c r="AU83" s="257">
        <f>IF(AU$7="Actual",i_Actuals!AU83,c_Calculations!AU545)</f>
        <v/>
      </c>
      <c r="AV83" s="257">
        <f>IF(AV$7="Actual",i_Actuals!AV83,c_Calculations!AV545)</f>
        <v/>
      </c>
      <c r="AW83" s="257">
        <f>IF(AW$7="Actual",i_Actuals!AW83,c_Calculations!AW545)</f>
        <v/>
      </c>
      <c r="AX83" s="257">
        <f>IF(AX$7="Actual",i_Actuals!AX83,c_Calculations!AX545)</f>
        <v/>
      </c>
      <c r="AY83" s="257">
        <f>IF(AY$7="Actual",i_Actuals!AY83,c_Calculations!AY545)</f>
        <v/>
      </c>
      <c r="AZ83" s="257">
        <f>IF(AZ$7="Actual",i_Actuals!AZ83,c_Calculations!AZ545)</f>
        <v/>
      </c>
      <c r="BA83" s="257">
        <f>IF(BA$7="Actual",i_Actuals!BA83,c_Calculations!BA545)</f>
        <v/>
      </c>
      <c r="BB83" s="257">
        <f>IF(BB$7="Actual",i_Actuals!BB83,c_Calculations!BB545)</f>
        <v/>
      </c>
      <c r="BC83" s="257">
        <f>IF(BC$7="Actual",i_Actuals!BC83,c_Calculations!BC545)</f>
        <v/>
      </c>
      <c r="BD83" s="257">
        <f>IF(BD$7="Actual",i_Actuals!BD83,c_Calculations!BD545)</f>
        <v/>
      </c>
      <c r="BE83" s="257">
        <f>IF(BE$7="Actual",i_Actuals!BE83,c_Calculations!BE545)</f>
        <v/>
      </c>
      <c r="BF83" s="257">
        <f>IF(BF$7="Actual",i_Actuals!BF83,c_Calculations!BF545)</f>
        <v/>
      </c>
      <c r="BG83" s="257">
        <f>IF(BG$7="Actual",i_Actuals!BG83,c_Calculations!BG545)</f>
        <v/>
      </c>
      <c r="BH83" s="257">
        <f>IF(BH$7="Actual",i_Actuals!BH83,c_Calculations!BH545)</f>
        <v/>
      </c>
      <c r="BI83" s="257">
        <f>IF(BI$7="Actual",i_Actuals!BI83,c_Calculations!BI545)</f>
        <v/>
      </c>
      <c r="BJ83" s="257">
        <f>IF(BJ$7="Actual",i_Actuals!BJ83,c_Calculations!BJ545)</f>
        <v/>
      </c>
      <c r="BK83" s="257">
        <f>IF(BK$7="Actual",i_Actuals!BK83,c_Calculations!BK545)</f>
        <v/>
      </c>
      <c r="BL83" s="257">
        <f>IF(BL$7="Actual",i_Actuals!BL83,c_Calculations!BL545)</f>
        <v/>
      </c>
      <c r="BM83" s="257">
        <f>IF(BM$7="Actual",i_Actuals!BM83,c_Calculations!BM545)</f>
        <v/>
      </c>
      <c r="BN83" s="257">
        <f>IF(BN$7="Actual",i_Actuals!BN83,c_Calculations!BN545)</f>
        <v/>
      </c>
      <c r="BO83" s="257">
        <f>IF(BO$7="Actual",i_Actuals!BO83,c_Calculations!BO545)</f>
        <v/>
      </c>
      <c r="BP83" s="257">
        <f>IF(BP$7="Actual",i_Actuals!BP83,c_Calculations!BP545)</f>
        <v/>
      </c>
      <c r="BQ83" s="257">
        <f>IF(BQ$7="Actual",i_Actuals!BQ83,c_Calculations!BQ545)</f>
        <v/>
      </c>
      <c r="BR83" s="257">
        <f>IF(BR$7="Actual",i_Actuals!BR83,c_Calculations!BR545)</f>
        <v/>
      </c>
      <c r="BS83" s="257">
        <f>IF(BS$7="Actual",i_Actuals!BS83,c_Calculations!BS545)</f>
        <v/>
      </c>
      <c r="BT83" s="257">
        <f>IF(BT$7="Actual",i_Actuals!BT83,c_Calculations!BT545)</f>
        <v/>
      </c>
      <c r="BU83" s="257">
        <f>IF(BU$7="Actual",i_Actuals!BU83,c_Calculations!BU545)</f>
        <v/>
      </c>
      <c r="BV83" s="257">
        <f>IF(BV$7="Actual",i_Actuals!BV83,c_Calculations!BV545)</f>
        <v/>
      </c>
      <c r="BW83" s="257">
        <f>IF(BW$7="Actual",i_Actuals!BW83,c_Calculations!BW545)</f>
        <v/>
      </c>
      <c r="BX83" s="257">
        <f>IF(BX$7="Actual",i_Actuals!BX83,c_Calculations!BX545)</f>
        <v/>
      </c>
      <c r="BY83" s="257">
        <f>IF(BY$7="Actual",i_Actuals!BY83,c_Calculations!BY545)</f>
        <v/>
      </c>
      <c r="BZ83" s="257">
        <f>IF(BZ$7="Actual",i_Actuals!BZ83,c_Calculations!BZ545)</f>
        <v/>
      </c>
      <c r="CA83" s="257">
        <f>IF(CA$7="Actual",i_Actuals!CA83,c_Calculations!CA545)</f>
        <v/>
      </c>
    </row>
    <row r="84" ht="12" customHeight="1" s="227">
      <c r="A84" s="244" t="n"/>
      <c r="B84" s="244" t="n"/>
      <c r="C84" s="244" t="n"/>
      <c r="G84" s="222" t="n"/>
      <c r="H84" s="4">
        <f>i_Setup!U110</f>
        <v/>
      </c>
      <c r="I84" s="27">
        <f> i_Setup!$M$16</f>
        <v/>
      </c>
      <c r="K84" s="27" t="n"/>
      <c r="M84" s="245">
        <f>SUMIF($T$4:$CA$4,M$4,$T84:$CA84)</f>
        <v/>
      </c>
      <c r="N84" s="245">
        <f>SUMIF($T$4:$CA$4,N$4,$T84:$CA84)</f>
        <v/>
      </c>
      <c r="O84" s="245">
        <f>SUMIF($T$4:$CA$4,O$4,$T84:$CA84)</f>
        <v/>
      </c>
      <c r="P84" s="245">
        <f>SUMIF($T$4:$CA$4,P$4,$T84:$CA84)</f>
        <v/>
      </c>
      <c r="Q84" s="245">
        <f>SUMIF($T$4:$CA$4,Q$4,$T84:$CA84)</f>
        <v/>
      </c>
      <c r="T84" s="257">
        <f>IF(T$7="Actual",i_Actuals!T84,c_Calculations!T546)</f>
        <v/>
      </c>
      <c r="U84" s="257">
        <f>IF(U$7="Actual",i_Actuals!U84,c_Calculations!U546)</f>
        <v/>
      </c>
      <c r="V84" s="257">
        <f>IF(V$7="Actual",i_Actuals!V84,c_Calculations!V546)</f>
        <v/>
      </c>
      <c r="W84" s="257">
        <f>IF(W$7="Actual",i_Actuals!W84,c_Calculations!W546)</f>
        <v/>
      </c>
      <c r="X84" s="257">
        <f>IF(X$7="Actual",i_Actuals!X84,c_Calculations!X546)</f>
        <v/>
      </c>
      <c r="Y84" s="257">
        <f>IF(Y$7="Actual",i_Actuals!Y84,c_Calculations!Y546)</f>
        <v/>
      </c>
      <c r="Z84" s="257">
        <f>IF(Z$7="Actual",i_Actuals!Z84,c_Calculations!Z546)</f>
        <v/>
      </c>
      <c r="AA84" s="257">
        <f>IF(AA$7="Actual",i_Actuals!AA84,c_Calculations!AA546)</f>
        <v/>
      </c>
      <c r="AB84" s="257">
        <f>IF(AB$7="Actual",i_Actuals!AB84,c_Calculations!AB546)</f>
        <v/>
      </c>
      <c r="AC84" s="257">
        <f>IF(AC$7="Actual",i_Actuals!AC84,c_Calculations!AC546)</f>
        <v/>
      </c>
      <c r="AD84" s="257">
        <f>IF(AD$7="Actual",i_Actuals!AD84,c_Calculations!AD546)</f>
        <v/>
      </c>
      <c r="AE84" s="257">
        <f>IF(AE$7="Actual",i_Actuals!AE84,c_Calculations!AE546)</f>
        <v/>
      </c>
      <c r="AF84" s="257">
        <f>IF(AF$7="Actual",i_Actuals!AF84,c_Calculations!AF546)</f>
        <v/>
      </c>
      <c r="AG84" s="257">
        <f>IF(AG$7="Actual",i_Actuals!AG84,c_Calculations!AG546)</f>
        <v/>
      </c>
      <c r="AH84" s="257">
        <f>IF(AH$7="Actual",i_Actuals!AH84,c_Calculations!AH546)</f>
        <v/>
      </c>
      <c r="AI84" s="257">
        <f>IF(AI$7="Actual",i_Actuals!AI84,c_Calculations!AI546)</f>
        <v/>
      </c>
      <c r="AJ84" s="257">
        <f>IF(AJ$7="Actual",i_Actuals!AJ84,c_Calculations!AJ546)</f>
        <v/>
      </c>
      <c r="AK84" s="257">
        <f>IF(AK$7="Actual",i_Actuals!AK84,c_Calculations!AK546)</f>
        <v/>
      </c>
      <c r="AL84" s="257">
        <f>IF(AL$7="Actual",i_Actuals!AL84,c_Calculations!AL546)</f>
        <v/>
      </c>
      <c r="AM84" s="257">
        <f>IF(AM$7="Actual",i_Actuals!AM84,c_Calculations!AM546)</f>
        <v/>
      </c>
      <c r="AN84" s="257">
        <f>IF(AN$7="Actual",i_Actuals!AN84,c_Calculations!AN546)</f>
        <v/>
      </c>
      <c r="AO84" s="257">
        <f>IF(AO$7="Actual",i_Actuals!AO84,c_Calculations!AO546)</f>
        <v/>
      </c>
      <c r="AP84" s="257">
        <f>IF(AP$7="Actual",i_Actuals!AP84,c_Calculations!AP546)</f>
        <v/>
      </c>
      <c r="AQ84" s="257">
        <f>IF(AQ$7="Actual",i_Actuals!AQ84,c_Calculations!AQ546)</f>
        <v/>
      </c>
      <c r="AR84" s="257">
        <f>IF(AR$7="Actual",i_Actuals!AR84,c_Calculations!AR546)</f>
        <v/>
      </c>
      <c r="AS84" s="257">
        <f>IF(AS$7="Actual",i_Actuals!AS84,c_Calculations!AS546)</f>
        <v/>
      </c>
      <c r="AT84" s="257">
        <f>IF(AT$7="Actual",i_Actuals!AT84,c_Calculations!AT546)</f>
        <v/>
      </c>
      <c r="AU84" s="257">
        <f>IF(AU$7="Actual",i_Actuals!AU84,c_Calculations!AU546)</f>
        <v/>
      </c>
      <c r="AV84" s="257">
        <f>IF(AV$7="Actual",i_Actuals!AV84,c_Calculations!AV546)</f>
        <v/>
      </c>
      <c r="AW84" s="257">
        <f>IF(AW$7="Actual",i_Actuals!AW84,c_Calculations!AW546)</f>
        <v/>
      </c>
      <c r="AX84" s="257">
        <f>IF(AX$7="Actual",i_Actuals!AX84,c_Calculations!AX546)</f>
        <v/>
      </c>
      <c r="AY84" s="257">
        <f>IF(AY$7="Actual",i_Actuals!AY84,c_Calculations!AY546)</f>
        <v/>
      </c>
      <c r="AZ84" s="257">
        <f>IF(AZ$7="Actual",i_Actuals!AZ84,c_Calculations!AZ546)</f>
        <v/>
      </c>
      <c r="BA84" s="257">
        <f>IF(BA$7="Actual",i_Actuals!BA84,c_Calculations!BA546)</f>
        <v/>
      </c>
      <c r="BB84" s="257">
        <f>IF(BB$7="Actual",i_Actuals!BB84,c_Calculations!BB546)</f>
        <v/>
      </c>
      <c r="BC84" s="257">
        <f>IF(BC$7="Actual",i_Actuals!BC84,c_Calculations!BC546)</f>
        <v/>
      </c>
      <c r="BD84" s="257">
        <f>IF(BD$7="Actual",i_Actuals!BD84,c_Calculations!BD546)</f>
        <v/>
      </c>
      <c r="BE84" s="257">
        <f>IF(BE$7="Actual",i_Actuals!BE84,c_Calculations!BE546)</f>
        <v/>
      </c>
      <c r="BF84" s="257">
        <f>IF(BF$7="Actual",i_Actuals!BF84,c_Calculations!BF546)</f>
        <v/>
      </c>
      <c r="BG84" s="257">
        <f>IF(BG$7="Actual",i_Actuals!BG84,c_Calculations!BG546)</f>
        <v/>
      </c>
      <c r="BH84" s="257">
        <f>IF(BH$7="Actual",i_Actuals!BH84,c_Calculations!BH546)</f>
        <v/>
      </c>
      <c r="BI84" s="257">
        <f>IF(BI$7="Actual",i_Actuals!BI84,c_Calculations!BI546)</f>
        <v/>
      </c>
      <c r="BJ84" s="257">
        <f>IF(BJ$7="Actual",i_Actuals!BJ84,c_Calculations!BJ546)</f>
        <v/>
      </c>
      <c r="BK84" s="257">
        <f>IF(BK$7="Actual",i_Actuals!BK84,c_Calculations!BK546)</f>
        <v/>
      </c>
      <c r="BL84" s="257">
        <f>IF(BL$7="Actual",i_Actuals!BL84,c_Calculations!BL546)</f>
        <v/>
      </c>
      <c r="BM84" s="257">
        <f>IF(BM$7="Actual",i_Actuals!BM84,c_Calculations!BM546)</f>
        <v/>
      </c>
      <c r="BN84" s="257">
        <f>IF(BN$7="Actual",i_Actuals!BN84,c_Calculations!BN546)</f>
        <v/>
      </c>
      <c r="BO84" s="257">
        <f>IF(BO$7="Actual",i_Actuals!BO84,c_Calculations!BO546)</f>
        <v/>
      </c>
      <c r="BP84" s="257">
        <f>IF(BP$7="Actual",i_Actuals!BP84,c_Calculations!BP546)</f>
        <v/>
      </c>
      <c r="BQ84" s="257">
        <f>IF(BQ$7="Actual",i_Actuals!BQ84,c_Calculations!BQ546)</f>
        <v/>
      </c>
      <c r="BR84" s="257">
        <f>IF(BR$7="Actual",i_Actuals!BR84,c_Calculations!BR546)</f>
        <v/>
      </c>
      <c r="BS84" s="257">
        <f>IF(BS$7="Actual",i_Actuals!BS84,c_Calculations!BS546)</f>
        <v/>
      </c>
      <c r="BT84" s="257">
        <f>IF(BT$7="Actual",i_Actuals!BT84,c_Calculations!BT546)</f>
        <v/>
      </c>
      <c r="BU84" s="257">
        <f>IF(BU$7="Actual",i_Actuals!BU84,c_Calculations!BU546)</f>
        <v/>
      </c>
      <c r="BV84" s="257">
        <f>IF(BV$7="Actual",i_Actuals!BV84,c_Calculations!BV546)</f>
        <v/>
      </c>
      <c r="BW84" s="257">
        <f>IF(BW$7="Actual",i_Actuals!BW84,c_Calculations!BW546)</f>
        <v/>
      </c>
      <c r="BX84" s="257">
        <f>IF(BX$7="Actual",i_Actuals!BX84,c_Calculations!BX546)</f>
        <v/>
      </c>
      <c r="BY84" s="257">
        <f>IF(BY$7="Actual",i_Actuals!BY84,c_Calculations!BY546)</f>
        <v/>
      </c>
      <c r="BZ84" s="257">
        <f>IF(BZ$7="Actual",i_Actuals!BZ84,c_Calculations!BZ546)</f>
        <v/>
      </c>
      <c r="CA84" s="257">
        <f>IF(CA$7="Actual",i_Actuals!CA84,c_Calculations!CA546)</f>
        <v/>
      </c>
    </row>
    <row r="85" ht="12" customFormat="1" customHeight="1" s="8">
      <c r="A85" s="276" t="n"/>
      <c r="B85" s="276" t="n"/>
      <c r="C85" s="276" t="n"/>
      <c r="G85" s="39" t="inlineStr">
        <is>
          <t>Other Expenses</t>
        </is>
      </c>
      <c r="H85" s="39" t="n"/>
      <c r="I85" s="41">
        <f> i_Setup!$M$16</f>
        <v/>
      </c>
      <c r="J85" s="39" t="n"/>
      <c r="K85" s="56" t="n"/>
      <c r="M85" s="249">
        <f>SUM(M70:M84)</f>
        <v/>
      </c>
      <c r="N85" s="249">
        <f>SUM(N70:N84)</f>
        <v/>
      </c>
      <c r="O85" s="249">
        <f>SUM(O70:O84)</f>
        <v/>
      </c>
      <c r="P85" s="249">
        <f>SUM(P70:P84)</f>
        <v/>
      </c>
      <c r="Q85" s="249">
        <f>SUM(Q70:Q84)</f>
        <v/>
      </c>
      <c r="T85" s="249">
        <f>SUM(T70:T84)</f>
        <v/>
      </c>
      <c r="U85" s="249">
        <f>SUM(U70:U84)</f>
        <v/>
      </c>
      <c r="V85" s="249">
        <f>SUM(V70:V84)</f>
        <v/>
      </c>
      <c r="W85" s="249">
        <f>SUM(W70:W84)</f>
        <v/>
      </c>
      <c r="X85" s="249">
        <f>SUM(X70:X84)</f>
        <v/>
      </c>
      <c r="Y85" s="249">
        <f>SUM(Y70:Y84)</f>
        <v/>
      </c>
      <c r="Z85" s="249">
        <f>SUM(Z70:Z84)</f>
        <v/>
      </c>
      <c r="AA85" s="249">
        <f>SUM(AA70:AA84)</f>
        <v/>
      </c>
      <c r="AB85" s="249">
        <f>SUM(AB70:AB84)</f>
        <v/>
      </c>
      <c r="AC85" s="249">
        <f>SUM(AC70:AC84)</f>
        <v/>
      </c>
      <c r="AD85" s="249">
        <f>SUM(AD70:AD84)</f>
        <v/>
      </c>
      <c r="AE85" s="249">
        <f>SUM(AE70:AE84)</f>
        <v/>
      </c>
      <c r="AF85" s="249">
        <f>SUM(AF70:AF84)</f>
        <v/>
      </c>
      <c r="AG85" s="249">
        <f>SUM(AG70:AG84)</f>
        <v/>
      </c>
      <c r="AH85" s="249">
        <f>SUM(AH70:AH84)</f>
        <v/>
      </c>
      <c r="AI85" s="249">
        <f>SUM(AI70:AI84)</f>
        <v/>
      </c>
      <c r="AJ85" s="249">
        <f>SUM(AJ70:AJ84)</f>
        <v/>
      </c>
      <c r="AK85" s="249">
        <f>SUM(AK70:AK84)</f>
        <v/>
      </c>
      <c r="AL85" s="249">
        <f>SUM(AL70:AL84)</f>
        <v/>
      </c>
      <c r="AM85" s="249">
        <f>SUM(AM70:AM84)</f>
        <v/>
      </c>
      <c r="AN85" s="249">
        <f>SUM(AN70:AN84)</f>
        <v/>
      </c>
      <c r="AO85" s="249">
        <f>SUM(AO70:AO84)</f>
        <v/>
      </c>
      <c r="AP85" s="249">
        <f>SUM(AP70:AP84)</f>
        <v/>
      </c>
      <c r="AQ85" s="249">
        <f>SUM(AQ70:AQ84)</f>
        <v/>
      </c>
      <c r="AR85" s="249">
        <f>SUM(AR70:AR84)</f>
        <v/>
      </c>
      <c r="AS85" s="249">
        <f>SUM(AS70:AS84)</f>
        <v/>
      </c>
      <c r="AT85" s="249">
        <f>SUM(AT70:AT84)</f>
        <v/>
      </c>
      <c r="AU85" s="249">
        <f>SUM(AU70:AU84)</f>
        <v/>
      </c>
      <c r="AV85" s="249">
        <f>SUM(AV70:AV84)</f>
        <v/>
      </c>
      <c r="AW85" s="249">
        <f>SUM(AW70:AW84)</f>
        <v/>
      </c>
      <c r="AX85" s="249">
        <f>SUM(AX70:AX84)</f>
        <v/>
      </c>
      <c r="AY85" s="249">
        <f>SUM(AY70:AY84)</f>
        <v/>
      </c>
      <c r="AZ85" s="249">
        <f>SUM(AZ70:AZ84)</f>
        <v/>
      </c>
      <c r="BA85" s="249">
        <f>SUM(BA70:BA84)</f>
        <v/>
      </c>
      <c r="BB85" s="249">
        <f>SUM(BB70:BB84)</f>
        <v/>
      </c>
      <c r="BC85" s="249">
        <f>SUM(BC70:BC84)</f>
        <v/>
      </c>
      <c r="BD85" s="249">
        <f>SUM(BD70:BD84)</f>
        <v/>
      </c>
      <c r="BE85" s="249">
        <f>SUM(BE70:BE84)</f>
        <v/>
      </c>
      <c r="BF85" s="249">
        <f>SUM(BF70:BF84)</f>
        <v/>
      </c>
      <c r="BG85" s="249">
        <f>SUM(BG70:BG84)</f>
        <v/>
      </c>
      <c r="BH85" s="249">
        <f>SUM(BH70:BH84)</f>
        <v/>
      </c>
      <c r="BI85" s="249">
        <f>SUM(BI70:BI84)</f>
        <v/>
      </c>
      <c r="BJ85" s="249">
        <f>SUM(BJ70:BJ84)</f>
        <v/>
      </c>
      <c r="BK85" s="249">
        <f>SUM(BK70:BK84)</f>
        <v/>
      </c>
      <c r="BL85" s="249">
        <f>SUM(BL70:BL84)</f>
        <v/>
      </c>
      <c r="BM85" s="249">
        <f>SUM(BM70:BM84)</f>
        <v/>
      </c>
      <c r="BN85" s="249">
        <f>SUM(BN70:BN84)</f>
        <v/>
      </c>
      <c r="BO85" s="249">
        <f>SUM(BO70:BO84)</f>
        <v/>
      </c>
      <c r="BP85" s="249">
        <f>SUM(BP70:BP84)</f>
        <v/>
      </c>
      <c r="BQ85" s="249">
        <f>SUM(BQ70:BQ84)</f>
        <v/>
      </c>
      <c r="BR85" s="249">
        <f>SUM(BR70:BR84)</f>
        <v/>
      </c>
      <c r="BS85" s="249">
        <f>SUM(BS70:BS84)</f>
        <v/>
      </c>
      <c r="BT85" s="249">
        <f>SUM(BT70:BT84)</f>
        <v/>
      </c>
      <c r="BU85" s="249">
        <f>SUM(BU70:BU84)</f>
        <v/>
      </c>
      <c r="BV85" s="249">
        <f>SUM(BV70:BV84)</f>
        <v/>
      </c>
      <c r="BW85" s="249">
        <f>SUM(BW70:BW84)</f>
        <v/>
      </c>
      <c r="BX85" s="249">
        <f>SUM(BX70:BX84)</f>
        <v/>
      </c>
      <c r="BY85" s="249">
        <f>SUM(BY70:BY84)</f>
        <v/>
      </c>
      <c r="BZ85" s="249">
        <f>SUM(BZ70:BZ84)</f>
        <v/>
      </c>
      <c r="CA85" s="249">
        <f>SUM(CA70:CA84)</f>
        <v/>
      </c>
    </row>
    <row r="86" ht="12" customHeight="1" s="227">
      <c r="A86" s="244" t="n"/>
      <c r="B86" s="244" t="n"/>
      <c r="C86" s="244" t="n"/>
      <c r="G86" s="222" t="n"/>
      <c r="H86" s="8" t="n"/>
      <c r="I86" s="27" t="n"/>
      <c r="K86" s="27" t="n"/>
      <c r="M86" s="245" t="n"/>
      <c r="N86" s="245" t="n"/>
      <c r="O86" s="245" t="n"/>
      <c r="P86" s="245" t="n"/>
      <c r="Q86" s="245" t="n"/>
      <c r="T86" s="245" t="n"/>
      <c r="U86" s="245" t="n"/>
      <c r="V86" s="245" t="n"/>
      <c r="W86" s="245" t="n"/>
      <c r="X86" s="245" t="n"/>
      <c r="Y86" s="245" t="n"/>
      <c r="Z86" s="245" t="n"/>
      <c r="AA86" s="245" t="n"/>
      <c r="AB86" s="245" t="n"/>
      <c r="AC86" s="245" t="n"/>
      <c r="AD86" s="245" t="n"/>
      <c r="AE86" s="245" t="n"/>
      <c r="AF86" s="245" t="n"/>
      <c r="AG86" s="245" t="n"/>
      <c r="AH86" s="245" t="n"/>
      <c r="AI86" s="245" t="n"/>
      <c r="AJ86" s="245" t="n"/>
      <c r="AK86" s="245" t="n"/>
      <c r="AL86" s="245" t="n"/>
      <c r="AM86" s="245" t="n"/>
      <c r="AN86" s="245" t="n"/>
      <c r="AO86" s="245" t="n"/>
      <c r="AP86" s="245" t="n"/>
      <c r="AQ86" s="245" t="n"/>
      <c r="AR86" s="245" t="n"/>
      <c r="AS86" s="245" t="n"/>
      <c r="AT86" s="245" t="n"/>
      <c r="AU86" s="245" t="n"/>
      <c r="AV86" s="245" t="n"/>
      <c r="AW86" s="245" t="n"/>
      <c r="AX86" s="245" t="n"/>
      <c r="AY86" s="245" t="n"/>
      <c r="AZ86" s="245" t="n"/>
      <c r="BA86" s="245" t="n"/>
      <c r="BB86" s="245" t="n"/>
      <c r="BC86" s="245" t="n"/>
      <c r="BD86" s="245" t="n"/>
      <c r="BE86" s="245" t="n"/>
      <c r="BF86" s="245" t="n"/>
      <c r="BG86" s="245" t="n"/>
      <c r="BH86" s="245" t="n"/>
      <c r="BI86" s="245" t="n"/>
      <c r="BJ86" s="245" t="n"/>
      <c r="BK86" s="245" t="n"/>
      <c r="BL86" s="245" t="n"/>
      <c r="BM86" s="245" t="n"/>
      <c r="BN86" s="245" t="n"/>
      <c r="BO86" s="245" t="n"/>
      <c r="BP86" s="245" t="n"/>
      <c r="BQ86" s="245" t="n"/>
      <c r="BR86" s="245" t="n"/>
      <c r="BS86" s="245" t="n"/>
      <c r="BT86" s="245" t="n"/>
      <c r="BU86" s="245" t="n"/>
      <c r="BV86" s="245" t="n"/>
      <c r="BW86" s="245" t="n"/>
      <c r="BX86" s="245" t="n"/>
      <c r="BY86" s="245" t="n"/>
      <c r="BZ86" s="245" t="n"/>
      <c r="CA86" s="245" t="n"/>
    </row>
    <row r="87" ht="12" customHeight="1" s="227">
      <c r="A87" s="244" t="n"/>
      <c r="B87" s="244" t="n"/>
      <c r="C87" s="244" t="n"/>
      <c r="G87" s="81" t="inlineStr">
        <is>
          <t>EBITDA</t>
        </is>
      </c>
      <c r="H87" s="74" t="n"/>
      <c r="I87" s="75">
        <f> i_Setup!$M$16</f>
        <v/>
      </c>
      <c r="J87" s="74" t="n"/>
      <c r="K87" s="56" t="n"/>
      <c r="M87" s="247">
        <f>M48+M59+M67+M85</f>
        <v/>
      </c>
      <c r="N87" s="247">
        <f>N48+N59+N67+N85</f>
        <v/>
      </c>
      <c r="O87" s="247">
        <f>O48+O59+O67+O85</f>
        <v/>
      </c>
      <c r="P87" s="247">
        <f>P48+P59+P67+P85</f>
        <v/>
      </c>
      <c r="Q87" s="247">
        <f>Q48+Q59+Q67+Q85</f>
        <v/>
      </c>
      <c r="T87" s="247">
        <f>T48+T59+T67+T85</f>
        <v/>
      </c>
      <c r="U87" s="247">
        <f>U48+U59+U67+U85</f>
        <v/>
      </c>
      <c r="V87" s="247">
        <f>V48+V59+V67+V85</f>
        <v/>
      </c>
      <c r="W87" s="247">
        <f>W48+W59+W67+W85</f>
        <v/>
      </c>
      <c r="X87" s="247">
        <f>X48+X59+X67+X85</f>
        <v/>
      </c>
      <c r="Y87" s="247">
        <f>Y48+Y59+Y67+Y85</f>
        <v/>
      </c>
      <c r="Z87" s="247">
        <f>Z48+Z59+Z67+Z85</f>
        <v/>
      </c>
      <c r="AA87" s="247">
        <f>AA48+AA59+AA67+AA85</f>
        <v/>
      </c>
      <c r="AB87" s="247">
        <f>AB48+AB59+AB67+AB85</f>
        <v/>
      </c>
      <c r="AC87" s="247">
        <f>AC48+AC59+AC67+AC85</f>
        <v/>
      </c>
      <c r="AD87" s="247">
        <f>AD48+AD59+AD67+AD85</f>
        <v/>
      </c>
      <c r="AE87" s="247">
        <f>AE48+AE59+AE67+AE85</f>
        <v/>
      </c>
      <c r="AF87" s="247">
        <f>AF48+AF59+AF67+AF85</f>
        <v/>
      </c>
      <c r="AG87" s="247">
        <f>AG48+AG59+AG67+AG85</f>
        <v/>
      </c>
      <c r="AH87" s="247">
        <f>AH48+AH59+AH67+AH85</f>
        <v/>
      </c>
      <c r="AI87" s="247">
        <f>AI48+AI59+AI67+AI85</f>
        <v/>
      </c>
      <c r="AJ87" s="247">
        <f>AJ48+AJ59+AJ67+AJ85</f>
        <v/>
      </c>
      <c r="AK87" s="247">
        <f>AK48+AK59+AK67+AK85</f>
        <v/>
      </c>
      <c r="AL87" s="247">
        <f>AL48+AL59+AL67+AL85</f>
        <v/>
      </c>
      <c r="AM87" s="247">
        <f>AM48+AM59+AM67+AM85</f>
        <v/>
      </c>
      <c r="AN87" s="247">
        <f>AN48+AN59+AN67+AN85</f>
        <v/>
      </c>
      <c r="AO87" s="247">
        <f>AO48+AO59+AO67+AO85</f>
        <v/>
      </c>
      <c r="AP87" s="247">
        <f>AP48+AP59+AP67+AP85</f>
        <v/>
      </c>
      <c r="AQ87" s="247">
        <f>AQ48+AQ59+AQ67+AQ85</f>
        <v/>
      </c>
      <c r="AR87" s="247">
        <f>AR48+AR59+AR67+AR85</f>
        <v/>
      </c>
      <c r="AS87" s="247">
        <f>AS48+AS59+AS67+AS85</f>
        <v/>
      </c>
      <c r="AT87" s="247">
        <f>AT48+AT59+AT67+AT85</f>
        <v/>
      </c>
      <c r="AU87" s="247">
        <f>AU48+AU59+AU67+AU85</f>
        <v/>
      </c>
      <c r="AV87" s="247">
        <f>AV48+AV59+AV67+AV85</f>
        <v/>
      </c>
      <c r="AW87" s="247">
        <f>AW48+AW59+AW67+AW85</f>
        <v/>
      </c>
      <c r="AX87" s="247">
        <f>AX48+AX59+AX67+AX85</f>
        <v/>
      </c>
      <c r="AY87" s="247">
        <f>AY48+AY59+AY67+AY85</f>
        <v/>
      </c>
      <c r="AZ87" s="247">
        <f>AZ48+AZ59+AZ67+AZ85</f>
        <v/>
      </c>
      <c r="BA87" s="247">
        <f>BA48+BA59+BA67+BA85</f>
        <v/>
      </c>
      <c r="BB87" s="247">
        <f>BB48+BB59+BB67+BB85</f>
        <v/>
      </c>
      <c r="BC87" s="247">
        <f>BC48+BC59+BC67+BC85</f>
        <v/>
      </c>
      <c r="BD87" s="247">
        <f>BD48+BD59+BD67+BD85</f>
        <v/>
      </c>
      <c r="BE87" s="247">
        <f>BE48+BE59+BE67+BE85</f>
        <v/>
      </c>
      <c r="BF87" s="247">
        <f>BF48+BF59+BF67+BF85</f>
        <v/>
      </c>
      <c r="BG87" s="247">
        <f>BG48+BG59+BG67+BG85</f>
        <v/>
      </c>
      <c r="BH87" s="247">
        <f>BH48+BH59+BH67+BH85</f>
        <v/>
      </c>
      <c r="BI87" s="247">
        <f>BI48+BI59+BI67+BI85</f>
        <v/>
      </c>
      <c r="BJ87" s="247">
        <f>BJ48+BJ59+BJ67+BJ85</f>
        <v/>
      </c>
      <c r="BK87" s="247">
        <f>BK48+BK59+BK67+BK85</f>
        <v/>
      </c>
      <c r="BL87" s="247">
        <f>BL48+BL59+BL67+BL85</f>
        <v/>
      </c>
      <c r="BM87" s="247">
        <f>BM48+BM59+BM67+BM85</f>
        <v/>
      </c>
      <c r="BN87" s="247">
        <f>BN48+BN59+BN67+BN85</f>
        <v/>
      </c>
      <c r="BO87" s="247">
        <f>BO48+BO59+BO67+BO85</f>
        <v/>
      </c>
      <c r="BP87" s="247">
        <f>BP48+BP59+BP67+BP85</f>
        <v/>
      </c>
      <c r="BQ87" s="247">
        <f>BQ48+BQ59+BQ67+BQ85</f>
        <v/>
      </c>
      <c r="BR87" s="247">
        <f>BR48+BR59+BR67+BR85</f>
        <v/>
      </c>
      <c r="BS87" s="247">
        <f>BS48+BS59+BS67+BS85</f>
        <v/>
      </c>
      <c r="BT87" s="247">
        <f>BT48+BT59+BT67+BT85</f>
        <v/>
      </c>
      <c r="BU87" s="247">
        <f>BU48+BU59+BU67+BU85</f>
        <v/>
      </c>
      <c r="BV87" s="247">
        <f>BV48+BV59+BV67+BV85</f>
        <v/>
      </c>
      <c r="BW87" s="247">
        <f>BW48+BW59+BW67+BW85</f>
        <v/>
      </c>
      <c r="BX87" s="247">
        <f>BX48+BX59+BX67+BX85</f>
        <v/>
      </c>
      <c r="BY87" s="247">
        <f>BY48+BY59+BY67+BY85</f>
        <v/>
      </c>
      <c r="BZ87" s="247">
        <f>BZ48+BZ59+BZ67+BZ85</f>
        <v/>
      </c>
      <c r="CA87" s="247">
        <f>CA48+CA59+CA67+CA85</f>
        <v/>
      </c>
    </row>
    <row r="88" ht="12" customHeight="1" s="227">
      <c r="A88" s="244" t="n"/>
      <c r="B88" s="244" t="n"/>
      <c r="C88" s="244" t="n"/>
      <c r="G88" s="222" t="n"/>
      <c r="M88" s="245" t="n"/>
      <c r="N88" s="245" t="n"/>
      <c r="O88" s="245" t="n"/>
      <c r="P88" s="245" t="n"/>
      <c r="Q88" s="245" t="n"/>
    </row>
    <row r="89" ht="12.75" customHeight="1" s="227">
      <c r="A89" s="244" t="n"/>
      <c r="B89" s="244" t="n"/>
      <c r="C89" s="244" t="n"/>
      <c r="G89" s="222" t="inlineStr">
        <is>
          <t>Other Income &amp; Expenses</t>
        </is>
      </c>
      <c r="M89" s="245" t="n"/>
      <c r="N89" s="245" t="n"/>
      <c r="O89" s="245" t="n"/>
      <c r="P89" s="245" t="n"/>
      <c r="Q89" s="245" t="n"/>
    </row>
    <row r="90" ht="12" customHeight="1" s="227">
      <c r="A90" s="244" t="n"/>
      <c r="B90" s="244" t="n"/>
      <c r="C90" s="244" t="n"/>
      <c r="G90" s="222" t="n"/>
      <c r="H90" s="4" t="inlineStr">
        <is>
          <t>Depreciation</t>
        </is>
      </c>
      <c r="I90" s="27">
        <f> i_Setup!$M$16</f>
        <v/>
      </c>
      <c r="K90" s="27" t="n"/>
      <c r="M90" s="245">
        <f>SUMIF($T$4:$CA$4,M$4,$T90:$CA90)</f>
        <v/>
      </c>
      <c r="N90" s="245">
        <f>SUMIF($T$4:$CA$4,N$4,$T90:$CA90)</f>
        <v/>
      </c>
      <c r="O90" s="245">
        <f>SUMIF($T$4:$CA$4,O$4,$T90:$CA90)</f>
        <v/>
      </c>
      <c r="P90" s="245">
        <f>SUMIF($T$4:$CA$4,P$4,$T90:$CA90)</f>
        <v/>
      </c>
      <c r="Q90" s="245">
        <f>SUMIF($T$4:$CA$4,Q$4,$T90:$CA90)</f>
        <v/>
      </c>
      <c r="T90" s="257">
        <f>IF(T$7="Actual",i_Actuals!T90,(SUM(c_Calculations!T769:T770,c_Calculations!T785:T786,c_Calculations!T801:T802,c_Calculations!T817:T818,c_Calculations!T833:T834,c_Calculations!T689:T690,c_Calculations!T705:T706,c_Calculations!T721:T722,c_Calculations!T737:T738,c_Calculations!T753:T754)))</f>
        <v/>
      </c>
      <c r="U90" s="257">
        <f>IF(U$7="Actual",i_Actuals!U90,(SUM(c_Calculations!U769:U770,c_Calculations!U785:U786,c_Calculations!U801:U802,c_Calculations!U817:U818,c_Calculations!U833:U834,c_Calculations!U689:U690,c_Calculations!U705:U706,c_Calculations!U721:U722,c_Calculations!U737:U738,c_Calculations!U753:U754)))</f>
        <v/>
      </c>
      <c r="V90" s="257">
        <f>IF(V$7="Actual",i_Actuals!V90,(SUM(c_Calculations!V769:V770,c_Calculations!V785:V786,c_Calculations!V801:V802,c_Calculations!V817:V818,c_Calculations!V833:V834,c_Calculations!V689:V690,c_Calculations!V705:V706,c_Calculations!V721:V722,c_Calculations!V737:V738,c_Calculations!V753:V754)))</f>
        <v/>
      </c>
      <c r="W90" s="257">
        <f>IF(W$7="Actual",i_Actuals!W90,(SUM(c_Calculations!W769:W770,c_Calculations!W785:W786,c_Calculations!W801:W802,c_Calculations!W817:W818,c_Calculations!W833:W834,c_Calculations!W689:W690,c_Calculations!W705:W706,c_Calculations!W721:W722,c_Calculations!W737:W738,c_Calculations!W753:W754)))</f>
        <v/>
      </c>
      <c r="X90" s="257">
        <f>IF(X$7="Actual",i_Actuals!X90,(SUM(c_Calculations!X769:X770,c_Calculations!X785:X786,c_Calculations!X801:X802,c_Calculations!X817:X818,c_Calculations!X833:X834,c_Calculations!X689:X690,c_Calculations!X705:X706,c_Calculations!X721:X722,c_Calculations!X737:X738,c_Calculations!X753:X754)))</f>
        <v/>
      </c>
      <c r="Y90" s="257">
        <f>IF(Y$7="Actual",i_Actuals!Y90,(SUM(c_Calculations!Y769:Y770,c_Calculations!Y785:Y786,c_Calculations!Y801:Y802,c_Calculations!Y817:Y818,c_Calculations!Y833:Y834,c_Calculations!Y689:Y690,c_Calculations!Y705:Y706,c_Calculations!Y721:Y722,c_Calculations!Y737:Y738,c_Calculations!Y753:Y754)))</f>
        <v/>
      </c>
      <c r="Z90" s="257">
        <f>IF(Z$7="Actual",i_Actuals!Z90,(SUM(c_Calculations!Z769:Z770,c_Calculations!Z785:Z786,c_Calculations!Z801:Z802,c_Calculations!Z817:Z818,c_Calculations!Z833:Z834,c_Calculations!Z689:Z690,c_Calculations!Z705:Z706,c_Calculations!Z721:Z722,c_Calculations!Z737:Z738,c_Calculations!Z753:Z754)))</f>
        <v/>
      </c>
      <c r="AA90" s="257">
        <f>IF(AA$7="Actual",i_Actuals!AA90,(SUM(c_Calculations!AA769:AA770,c_Calculations!AA785:AA786,c_Calculations!AA801:AA802,c_Calculations!AA817:AA818,c_Calculations!AA833:AA834,c_Calculations!AA689:AA690,c_Calculations!AA705:AA706,c_Calculations!AA721:AA722,c_Calculations!AA737:AA738,c_Calculations!AA753:AA754)))</f>
        <v/>
      </c>
      <c r="AB90" s="257">
        <f>IF(AB$7="Actual",i_Actuals!AB90,(SUM(c_Calculations!AB769:AB770,c_Calculations!AB785:AB786,c_Calculations!AB801:AB802,c_Calculations!AB817:AB818,c_Calculations!AB833:AB834,c_Calculations!AB689:AB690,c_Calculations!AB705:AB706,c_Calculations!AB721:AB722,c_Calculations!AB737:AB738,c_Calculations!AB753:AB754)))</f>
        <v/>
      </c>
      <c r="AC90" s="257">
        <f>IF(AC$7="Actual",i_Actuals!AC90,(SUM(c_Calculations!AC769:AC770,c_Calculations!AC785:AC786,c_Calculations!AC801:AC802,c_Calculations!AC817:AC818,c_Calculations!AC833:AC834,c_Calculations!AC689:AC690,c_Calculations!AC705:AC706,c_Calculations!AC721:AC722,c_Calculations!AC737:AC738,c_Calculations!AC753:AC754)))</f>
        <v/>
      </c>
      <c r="AD90" s="257">
        <f>IF(AD$7="Actual",i_Actuals!AD90,(SUM(c_Calculations!AD769:AD770,c_Calculations!AD785:AD786,c_Calculations!AD801:AD802,c_Calculations!AD817:AD818,c_Calculations!AD833:AD834,c_Calculations!AD689:AD690,c_Calculations!AD705:AD706,c_Calculations!AD721:AD722,c_Calculations!AD737:AD738,c_Calculations!AD753:AD754)))</f>
        <v/>
      </c>
      <c r="AE90" s="257">
        <f>IF(AE$7="Actual",i_Actuals!AE90,(SUM(c_Calculations!AE769:AE770,c_Calculations!AE785:AE786,c_Calculations!AE801:AE802,c_Calculations!AE817:AE818,c_Calculations!AE833:AE834,c_Calculations!AE689:AE690,c_Calculations!AE705:AE706,c_Calculations!AE721:AE722,c_Calculations!AE737:AE738,c_Calculations!AE753:AE754)))</f>
        <v/>
      </c>
      <c r="AF90" s="257">
        <f>IF(AF$7="Actual",i_Actuals!AF90,(SUM(c_Calculations!AF769:AF770,c_Calculations!AF785:AF786,c_Calculations!AF801:AF802,c_Calculations!AF817:AF818,c_Calculations!AF833:AF834,c_Calculations!AF689:AF690,c_Calculations!AF705:AF706,c_Calculations!AF721:AF722,c_Calculations!AF737:AF738,c_Calculations!AF753:AF754)))</f>
        <v/>
      </c>
      <c r="AG90" s="257">
        <f>IF(AG$7="Actual",i_Actuals!AG90,(SUM(c_Calculations!AG769:AG770,c_Calculations!AG785:AG786,c_Calculations!AG801:AG802,c_Calculations!AG817:AG818,c_Calculations!AG833:AG834,c_Calculations!AG689:AG690,c_Calculations!AG705:AG706,c_Calculations!AG721:AG722,c_Calculations!AG737:AG738,c_Calculations!AG753:AG754)))</f>
        <v/>
      </c>
      <c r="AH90" s="257">
        <f>IF(AH$7="Actual",i_Actuals!AH90,(SUM(c_Calculations!AH769:AH770,c_Calculations!AH785:AH786,c_Calculations!AH801:AH802,c_Calculations!AH817:AH818,c_Calculations!AH833:AH834,c_Calculations!AH689:AH690,c_Calculations!AH705:AH706,c_Calculations!AH721:AH722,c_Calculations!AH737:AH738,c_Calculations!AH753:AH754)))</f>
        <v/>
      </c>
      <c r="AI90" s="257">
        <f>IF(AI$7="Actual",i_Actuals!AI90,(SUM(c_Calculations!AI769:AI770,c_Calculations!AI785:AI786,c_Calculations!AI801:AI802,c_Calculations!AI817:AI818,c_Calculations!AI833:AI834,c_Calculations!AI689:AI690,c_Calculations!AI705:AI706,c_Calculations!AI721:AI722,c_Calculations!AI737:AI738,c_Calculations!AI753:AI754)))</f>
        <v/>
      </c>
      <c r="AJ90" s="257">
        <f>IF(AJ$7="Actual",i_Actuals!AJ90,(SUM(c_Calculations!AJ769:AJ770,c_Calculations!AJ785:AJ786,c_Calculations!AJ801:AJ802,c_Calculations!AJ817:AJ818,c_Calculations!AJ833:AJ834,c_Calculations!AJ689:AJ690,c_Calculations!AJ705:AJ706,c_Calculations!AJ721:AJ722,c_Calculations!AJ737:AJ738,c_Calculations!AJ753:AJ754)))</f>
        <v/>
      </c>
      <c r="AK90" s="257">
        <f>IF(AK$7="Actual",i_Actuals!AK90,(SUM(c_Calculations!AK769:AK770,c_Calculations!AK785:AK786,c_Calculations!AK801:AK802,c_Calculations!AK817:AK818,c_Calculations!AK833:AK834,c_Calculations!AK689:AK690,c_Calculations!AK705:AK706,c_Calculations!AK721:AK722,c_Calculations!AK737:AK738,c_Calculations!AK753:AK754)))</f>
        <v/>
      </c>
      <c r="AL90" s="257">
        <f>IF(AL$7="Actual",i_Actuals!AL90,(SUM(c_Calculations!AL769:AL770,c_Calculations!AL785:AL786,c_Calculations!AL801:AL802,c_Calculations!AL817:AL818,c_Calculations!AL833:AL834,c_Calculations!AL689:AL690,c_Calculations!AL705:AL706,c_Calculations!AL721:AL722,c_Calculations!AL737:AL738,c_Calculations!AL753:AL754)))</f>
        <v/>
      </c>
      <c r="AM90" s="257">
        <f>IF(AM$7="Actual",i_Actuals!AM90,(SUM(c_Calculations!AM769:AM770,c_Calculations!AM785:AM786,c_Calculations!AM801:AM802,c_Calculations!AM817:AM818,c_Calculations!AM833:AM834,c_Calculations!AM689:AM690,c_Calculations!AM705:AM706,c_Calculations!AM721:AM722,c_Calculations!AM737:AM738,c_Calculations!AM753:AM754)))</f>
        <v/>
      </c>
      <c r="AN90" s="257">
        <f>IF(AN$7="Actual",i_Actuals!AN90,(SUM(c_Calculations!AN769:AN770,c_Calculations!AN785:AN786,c_Calculations!AN801:AN802,c_Calculations!AN817:AN818,c_Calculations!AN833:AN834,c_Calculations!AN689:AN690,c_Calculations!AN705:AN706,c_Calculations!AN721:AN722,c_Calculations!AN737:AN738,c_Calculations!AN753:AN754)))</f>
        <v/>
      </c>
      <c r="AO90" s="257">
        <f>IF(AO$7="Actual",i_Actuals!AO90,(SUM(c_Calculations!AO769:AO770,c_Calculations!AO785:AO786,c_Calculations!AO801:AO802,c_Calculations!AO817:AO818,c_Calculations!AO833:AO834,c_Calculations!AO689:AO690,c_Calculations!AO705:AO706,c_Calculations!AO721:AO722,c_Calculations!AO737:AO738,c_Calculations!AO753:AO754)))</f>
        <v/>
      </c>
      <c r="AP90" s="257">
        <f>IF(AP$7="Actual",i_Actuals!AP90,(SUM(c_Calculations!AP769:AP770,c_Calculations!AP785:AP786,c_Calculations!AP801:AP802,c_Calculations!AP817:AP818,c_Calculations!AP833:AP834,c_Calculations!AP689:AP690,c_Calculations!AP705:AP706,c_Calculations!AP721:AP722,c_Calculations!AP737:AP738,c_Calculations!AP753:AP754)))</f>
        <v/>
      </c>
      <c r="AQ90" s="257">
        <f>IF(AQ$7="Actual",i_Actuals!AQ90,(SUM(c_Calculations!AQ769:AQ770,c_Calculations!AQ785:AQ786,c_Calculations!AQ801:AQ802,c_Calculations!AQ817:AQ818,c_Calculations!AQ833:AQ834,c_Calculations!AQ689:AQ690,c_Calculations!AQ705:AQ706,c_Calculations!AQ721:AQ722,c_Calculations!AQ737:AQ738,c_Calculations!AQ753:AQ754)))</f>
        <v/>
      </c>
      <c r="AR90" s="257">
        <f>IF(AR$7="Actual",i_Actuals!AR90,(SUM(c_Calculations!AR769:AR770,c_Calculations!AR785:AR786,c_Calculations!AR801:AR802,c_Calculations!AR817:AR818,c_Calculations!AR833:AR834,c_Calculations!AR689:AR690,c_Calculations!AR705:AR706,c_Calculations!AR721:AR722,c_Calculations!AR737:AR738,c_Calculations!AR753:AR754)))</f>
        <v/>
      </c>
      <c r="AS90" s="257">
        <f>IF(AS$7="Actual",i_Actuals!AS90,(SUM(c_Calculations!AS769:AS770,c_Calculations!AS785:AS786,c_Calculations!AS801:AS802,c_Calculations!AS817:AS818,c_Calculations!AS833:AS834,c_Calculations!AS689:AS690,c_Calculations!AS705:AS706,c_Calculations!AS721:AS722,c_Calculations!AS737:AS738,c_Calculations!AS753:AS754)))</f>
        <v/>
      </c>
      <c r="AT90" s="257">
        <f>IF(AT$7="Actual",i_Actuals!AT90,(SUM(c_Calculations!AT769:AT770,c_Calculations!AT785:AT786,c_Calculations!AT801:AT802,c_Calculations!AT817:AT818,c_Calculations!AT833:AT834,c_Calculations!AT689:AT690,c_Calculations!AT705:AT706,c_Calculations!AT721:AT722,c_Calculations!AT737:AT738,c_Calculations!AT753:AT754)))</f>
        <v/>
      </c>
      <c r="AU90" s="257">
        <f>IF(AU$7="Actual",i_Actuals!AU90,(SUM(c_Calculations!AU769:AU770,c_Calculations!AU785:AU786,c_Calculations!AU801:AU802,c_Calculations!AU817:AU818,c_Calculations!AU833:AU834,c_Calculations!AU689:AU690,c_Calculations!AU705:AU706,c_Calculations!AU721:AU722,c_Calculations!AU737:AU738,c_Calculations!AU753:AU754)))</f>
        <v/>
      </c>
      <c r="AV90" s="257">
        <f>IF(AV$7="Actual",i_Actuals!AV90,(SUM(c_Calculations!AV769:AV770,c_Calculations!AV785:AV786,c_Calculations!AV801:AV802,c_Calculations!AV817:AV818,c_Calculations!AV833:AV834,c_Calculations!AV689:AV690,c_Calculations!AV705:AV706,c_Calculations!AV721:AV722,c_Calculations!AV737:AV738,c_Calculations!AV753:AV754)))</f>
        <v/>
      </c>
      <c r="AW90" s="257">
        <f>IF(AW$7="Actual",i_Actuals!AW90,(SUM(c_Calculations!AW769:AW770,c_Calculations!AW785:AW786,c_Calculations!AW801:AW802,c_Calculations!AW817:AW818,c_Calculations!AW833:AW834,c_Calculations!AW689:AW690,c_Calculations!AW705:AW706,c_Calculations!AW721:AW722,c_Calculations!AW737:AW738,c_Calculations!AW753:AW754)))</f>
        <v/>
      </c>
      <c r="AX90" s="257">
        <f>IF(AX$7="Actual",i_Actuals!AX90,(SUM(c_Calculations!AX769:AX770,c_Calculations!AX785:AX786,c_Calculations!AX801:AX802,c_Calculations!AX817:AX818,c_Calculations!AX833:AX834,c_Calculations!AX689:AX690,c_Calculations!AX705:AX706,c_Calculations!AX721:AX722,c_Calculations!AX737:AX738,c_Calculations!AX753:AX754)))</f>
        <v/>
      </c>
      <c r="AY90" s="257">
        <f>IF(AY$7="Actual",i_Actuals!AY90,(SUM(c_Calculations!AY769:AY770,c_Calculations!AY785:AY786,c_Calculations!AY801:AY802,c_Calculations!AY817:AY818,c_Calculations!AY833:AY834,c_Calculations!AY689:AY690,c_Calculations!AY705:AY706,c_Calculations!AY721:AY722,c_Calculations!AY737:AY738,c_Calculations!AY753:AY754)))</f>
        <v/>
      </c>
      <c r="AZ90" s="257">
        <f>IF(AZ$7="Actual",i_Actuals!AZ90,(SUM(c_Calculations!AZ769:AZ770,c_Calculations!AZ785:AZ786,c_Calculations!AZ801:AZ802,c_Calculations!AZ817:AZ818,c_Calculations!AZ833:AZ834,c_Calculations!AZ689:AZ690,c_Calculations!AZ705:AZ706,c_Calculations!AZ721:AZ722,c_Calculations!AZ737:AZ738,c_Calculations!AZ753:AZ754)))</f>
        <v/>
      </c>
      <c r="BA90" s="257">
        <f>IF(BA$7="Actual",i_Actuals!BA90,(SUM(c_Calculations!BA769:BA770,c_Calculations!BA785:BA786,c_Calculations!BA801:BA802,c_Calculations!BA817:BA818,c_Calculations!BA833:BA834,c_Calculations!BA689:BA690,c_Calculations!BA705:BA706,c_Calculations!BA721:BA722,c_Calculations!BA737:BA738,c_Calculations!BA753:BA754)))</f>
        <v/>
      </c>
      <c r="BB90" s="257">
        <f>IF(BB$7="Actual",i_Actuals!BB90,(SUM(c_Calculations!BB769:BB770,c_Calculations!BB785:BB786,c_Calculations!BB801:BB802,c_Calculations!BB817:BB818,c_Calculations!BB833:BB834,c_Calculations!BB689:BB690,c_Calculations!BB705:BB706,c_Calculations!BB721:BB722,c_Calculations!BB737:BB738,c_Calculations!BB753:BB754)))</f>
        <v/>
      </c>
      <c r="BC90" s="257">
        <f>IF(BC$7="Actual",i_Actuals!BC90,(SUM(c_Calculations!BC769:BC770,c_Calculations!BC785:BC786,c_Calculations!BC801:BC802,c_Calculations!BC817:BC818,c_Calculations!BC833:BC834,c_Calculations!BC689:BC690,c_Calculations!BC705:BC706,c_Calculations!BC721:BC722,c_Calculations!BC737:BC738,c_Calculations!BC753:BC754)))</f>
        <v/>
      </c>
      <c r="BD90" s="257">
        <f>IF(BD$7="Actual",i_Actuals!BD90,(SUM(c_Calculations!BD769:BD770,c_Calculations!BD785:BD786,c_Calculations!BD801:BD802,c_Calculations!BD817:BD818,c_Calculations!BD833:BD834,c_Calculations!BD689:BD690,c_Calculations!BD705:BD706,c_Calculations!BD721:BD722,c_Calculations!BD737:BD738,c_Calculations!BD753:BD754)))</f>
        <v/>
      </c>
      <c r="BE90" s="257">
        <f>IF(BE$7="Actual",i_Actuals!BE90,(SUM(c_Calculations!BE769:BE770,c_Calculations!BE785:BE786,c_Calculations!BE801:BE802,c_Calculations!BE817:BE818,c_Calculations!BE833:BE834,c_Calculations!BE689:BE690,c_Calculations!BE705:BE706,c_Calculations!BE721:BE722,c_Calculations!BE737:BE738,c_Calculations!BE753:BE754)))</f>
        <v/>
      </c>
      <c r="BF90" s="257">
        <f>IF(BF$7="Actual",i_Actuals!BF90,(SUM(c_Calculations!BF769:BF770,c_Calculations!BF785:BF786,c_Calculations!BF801:BF802,c_Calculations!BF817:BF818,c_Calculations!BF833:BF834,c_Calculations!BF689:BF690,c_Calculations!BF705:BF706,c_Calculations!BF721:BF722,c_Calculations!BF737:BF738,c_Calculations!BF753:BF754)))</f>
        <v/>
      </c>
      <c r="BG90" s="257">
        <f>IF(BG$7="Actual",i_Actuals!BG90,(SUM(c_Calculations!BG769:BG770,c_Calculations!BG785:BG786,c_Calculations!BG801:BG802,c_Calculations!BG817:BG818,c_Calculations!BG833:BG834,c_Calculations!BG689:BG690,c_Calculations!BG705:BG706,c_Calculations!BG721:BG722,c_Calculations!BG737:BG738,c_Calculations!BG753:BG754)))</f>
        <v/>
      </c>
      <c r="BH90" s="257">
        <f>IF(BH$7="Actual",i_Actuals!BH90,(SUM(c_Calculations!BH769:BH770,c_Calculations!BH785:BH786,c_Calculations!BH801:BH802,c_Calculations!BH817:BH818,c_Calculations!BH833:BH834,c_Calculations!BH689:BH690,c_Calculations!BH705:BH706,c_Calculations!BH721:BH722,c_Calculations!BH737:BH738,c_Calculations!BH753:BH754)))</f>
        <v/>
      </c>
      <c r="BI90" s="257">
        <f>IF(BI$7="Actual",i_Actuals!BI90,(SUM(c_Calculations!BI769:BI770,c_Calculations!BI785:BI786,c_Calculations!BI801:BI802,c_Calculations!BI817:BI818,c_Calculations!BI833:BI834,c_Calculations!BI689:BI690,c_Calculations!BI705:BI706,c_Calculations!BI721:BI722,c_Calculations!BI737:BI738,c_Calculations!BI753:BI754)))</f>
        <v/>
      </c>
      <c r="BJ90" s="257">
        <f>IF(BJ$7="Actual",i_Actuals!BJ90,(SUM(c_Calculations!BJ769:BJ770,c_Calculations!BJ785:BJ786,c_Calculations!BJ801:BJ802,c_Calculations!BJ817:BJ818,c_Calculations!BJ833:BJ834,c_Calculations!BJ689:BJ690,c_Calculations!BJ705:BJ706,c_Calculations!BJ721:BJ722,c_Calculations!BJ737:BJ738,c_Calculations!BJ753:BJ754)))</f>
        <v/>
      </c>
      <c r="BK90" s="257">
        <f>IF(BK$7="Actual",i_Actuals!BK90,(SUM(c_Calculations!BK769:BK770,c_Calculations!BK785:BK786,c_Calculations!BK801:BK802,c_Calculations!BK817:BK818,c_Calculations!BK833:BK834,c_Calculations!BK689:BK690,c_Calculations!BK705:BK706,c_Calculations!BK721:BK722,c_Calculations!BK737:BK738,c_Calculations!BK753:BK754)))</f>
        <v/>
      </c>
      <c r="BL90" s="257">
        <f>IF(BL$7="Actual",i_Actuals!BL90,(SUM(c_Calculations!BL769:BL770,c_Calculations!BL785:BL786,c_Calculations!BL801:BL802,c_Calculations!BL817:BL818,c_Calculations!BL833:BL834,c_Calculations!BL689:BL690,c_Calculations!BL705:BL706,c_Calculations!BL721:BL722,c_Calculations!BL737:BL738,c_Calculations!BL753:BL754)))</f>
        <v/>
      </c>
      <c r="BM90" s="257">
        <f>IF(BM$7="Actual",i_Actuals!BM90,(SUM(c_Calculations!BM769:BM770,c_Calculations!BM785:BM786,c_Calculations!BM801:BM802,c_Calculations!BM817:BM818,c_Calculations!BM833:BM834,c_Calculations!BM689:BM690,c_Calculations!BM705:BM706,c_Calculations!BM721:BM722,c_Calculations!BM737:BM738,c_Calculations!BM753:BM754)))</f>
        <v/>
      </c>
      <c r="BN90" s="257">
        <f>IF(BN$7="Actual",i_Actuals!BN90,(SUM(c_Calculations!BN769:BN770,c_Calculations!BN785:BN786,c_Calculations!BN801:BN802,c_Calculations!BN817:BN818,c_Calculations!BN833:BN834,c_Calculations!BN689:BN690,c_Calculations!BN705:BN706,c_Calculations!BN721:BN722,c_Calculations!BN737:BN738,c_Calculations!BN753:BN754)))</f>
        <v/>
      </c>
      <c r="BO90" s="257">
        <f>IF(BO$7="Actual",i_Actuals!BO90,(SUM(c_Calculations!BO769:BO770,c_Calculations!BO785:BO786,c_Calculations!BO801:BO802,c_Calculations!BO817:BO818,c_Calculations!BO833:BO834,c_Calculations!BO689:BO690,c_Calculations!BO705:BO706,c_Calculations!BO721:BO722,c_Calculations!BO737:BO738,c_Calculations!BO753:BO754)))</f>
        <v/>
      </c>
      <c r="BP90" s="257">
        <f>IF(BP$7="Actual",i_Actuals!BP90,(SUM(c_Calculations!BP769:BP770,c_Calculations!BP785:BP786,c_Calculations!BP801:BP802,c_Calculations!BP817:BP818,c_Calculations!BP833:BP834,c_Calculations!BP689:BP690,c_Calculations!BP705:BP706,c_Calculations!BP721:BP722,c_Calculations!BP737:BP738,c_Calculations!BP753:BP754)))</f>
        <v/>
      </c>
      <c r="BQ90" s="257">
        <f>IF(BQ$7="Actual",i_Actuals!BQ90,(SUM(c_Calculations!BQ769:BQ770,c_Calculations!BQ785:BQ786,c_Calculations!BQ801:BQ802,c_Calculations!BQ817:BQ818,c_Calculations!BQ833:BQ834,c_Calculations!BQ689:BQ690,c_Calculations!BQ705:BQ706,c_Calculations!BQ721:BQ722,c_Calculations!BQ737:BQ738,c_Calculations!BQ753:BQ754)))</f>
        <v/>
      </c>
      <c r="BR90" s="257">
        <f>IF(BR$7="Actual",i_Actuals!BR90,(SUM(c_Calculations!BR769:BR770,c_Calculations!BR785:BR786,c_Calculations!BR801:BR802,c_Calculations!BR817:BR818,c_Calculations!BR833:BR834,c_Calculations!BR689:BR690,c_Calculations!BR705:BR706,c_Calculations!BR721:BR722,c_Calculations!BR737:BR738,c_Calculations!BR753:BR754)))</f>
        <v/>
      </c>
      <c r="BS90" s="257">
        <f>IF(BS$7="Actual",i_Actuals!BS90,(SUM(c_Calculations!BS769:BS770,c_Calculations!BS785:BS786,c_Calculations!BS801:BS802,c_Calculations!BS817:BS818,c_Calculations!BS833:BS834,c_Calculations!BS689:BS690,c_Calculations!BS705:BS706,c_Calculations!BS721:BS722,c_Calculations!BS737:BS738,c_Calculations!BS753:BS754)))</f>
        <v/>
      </c>
      <c r="BT90" s="257">
        <f>IF(BT$7="Actual",i_Actuals!BT90,(SUM(c_Calculations!BT769:BT770,c_Calculations!BT785:BT786,c_Calculations!BT801:BT802,c_Calculations!BT817:BT818,c_Calculations!BT833:BT834,c_Calculations!BT689:BT690,c_Calculations!BT705:BT706,c_Calculations!BT721:BT722,c_Calculations!BT737:BT738,c_Calculations!BT753:BT754)))</f>
        <v/>
      </c>
      <c r="BU90" s="257">
        <f>IF(BU$7="Actual",i_Actuals!BU90,(SUM(c_Calculations!BU769:BU770,c_Calculations!BU785:BU786,c_Calculations!BU801:BU802,c_Calculations!BU817:BU818,c_Calculations!BU833:BU834,c_Calculations!BU689:BU690,c_Calculations!BU705:BU706,c_Calculations!BU721:BU722,c_Calculations!BU737:BU738,c_Calculations!BU753:BU754)))</f>
        <v/>
      </c>
      <c r="BV90" s="257">
        <f>IF(BV$7="Actual",i_Actuals!BV90,(SUM(c_Calculations!BV769:BV770,c_Calculations!BV785:BV786,c_Calculations!BV801:BV802,c_Calculations!BV817:BV818,c_Calculations!BV833:BV834,c_Calculations!BV689:BV690,c_Calculations!BV705:BV706,c_Calculations!BV721:BV722,c_Calculations!BV737:BV738,c_Calculations!BV753:BV754)))</f>
        <v/>
      </c>
      <c r="BW90" s="257">
        <f>IF(BW$7="Actual",i_Actuals!BW90,(SUM(c_Calculations!BW769:BW770,c_Calculations!BW785:BW786,c_Calculations!BW801:BW802,c_Calculations!BW817:BW818,c_Calculations!BW833:BW834,c_Calculations!BW689:BW690,c_Calculations!BW705:BW706,c_Calculations!BW721:BW722,c_Calculations!BW737:BW738,c_Calculations!BW753:BW754)))</f>
        <v/>
      </c>
      <c r="BX90" s="257">
        <f>IF(BX$7="Actual",i_Actuals!BX90,(SUM(c_Calculations!BX769:BX770,c_Calculations!BX785:BX786,c_Calculations!BX801:BX802,c_Calculations!BX817:BX818,c_Calculations!BX833:BX834,c_Calculations!BX689:BX690,c_Calculations!BX705:BX706,c_Calculations!BX721:BX722,c_Calculations!BX737:BX738,c_Calculations!BX753:BX754)))</f>
        <v/>
      </c>
      <c r="BY90" s="257">
        <f>IF(BY$7="Actual",i_Actuals!BY90,(SUM(c_Calculations!BY769:BY770,c_Calculations!BY785:BY786,c_Calculations!BY801:BY802,c_Calculations!BY817:BY818,c_Calculations!BY833:BY834,c_Calculations!BY689:BY690,c_Calculations!BY705:BY706,c_Calculations!BY721:BY722,c_Calculations!BY737:BY738,c_Calculations!BY753:BY754)))</f>
        <v/>
      </c>
      <c r="BZ90" s="257">
        <f>IF(BZ$7="Actual",i_Actuals!BZ90,(SUM(c_Calculations!BZ769:BZ770,c_Calculations!BZ785:BZ786,c_Calculations!BZ801:BZ802,c_Calculations!BZ817:BZ818,c_Calculations!BZ833:BZ834,c_Calculations!BZ689:BZ690,c_Calculations!BZ705:BZ706,c_Calculations!BZ721:BZ722,c_Calculations!BZ737:BZ738,c_Calculations!BZ753:BZ754)))</f>
        <v/>
      </c>
      <c r="CA90" s="257">
        <f>IF(CA$7="Actual",i_Actuals!CA90,(SUM(c_Calculations!CA769:CA770,c_Calculations!CA785:CA786,c_Calculations!CA801:CA802,c_Calculations!CA817:CA818,c_Calculations!CA833:CA834,c_Calculations!CA689:CA690,c_Calculations!CA705:CA706,c_Calculations!CA721:CA722,c_Calculations!CA737:CA738,c_Calculations!CA753:CA754)))</f>
        <v/>
      </c>
    </row>
    <row r="91" ht="12" customHeight="1" s="227">
      <c r="A91" s="244" t="n"/>
      <c r="B91" s="244" t="n"/>
      <c r="C91" s="244" t="n"/>
      <c r="G91" s="222" t="n"/>
      <c r="H91" s="0" t="inlineStr">
        <is>
          <t>Financing Costs</t>
        </is>
      </c>
      <c r="I91" s="27">
        <f> i_Setup!$M$16</f>
        <v/>
      </c>
      <c r="K91" s="27" t="n"/>
      <c r="M91" s="245">
        <f>SUMIF($T$4:$CA$4,M$4,$T91:$CA91)</f>
        <v/>
      </c>
      <c r="N91" s="245">
        <f>SUMIF($T$4:$CA$4,N$4,$T91:$CA91)</f>
        <v/>
      </c>
      <c r="O91" s="245">
        <f>SUMIF($T$4:$CA$4,O$4,$T91:$CA91)</f>
        <v/>
      </c>
      <c r="P91" s="245">
        <f>SUMIF($T$4:$CA$4,P$4,$T91:$CA91)</f>
        <v/>
      </c>
      <c r="Q91" s="245">
        <f>SUMIF($T$4:$CA$4,Q$4,$T91:$CA91)</f>
        <v/>
      </c>
      <c r="T91" s="257">
        <f>IF(T$7="Actual",i_Actuals!T91,-SUM(c_Calculations!T936,c_Calculations!T958,c_Calculations!T980))</f>
        <v/>
      </c>
      <c r="U91" s="257">
        <f>IF(U$7="Actual",i_Actuals!U91,-SUM(c_Calculations!U936,c_Calculations!U958,c_Calculations!U980))</f>
        <v/>
      </c>
      <c r="V91" s="257">
        <f>IF(V$7="Actual",i_Actuals!V91,-SUM(c_Calculations!V936,c_Calculations!V958,c_Calculations!V980))</f>
        <v/>
      </c>
      <c r="W91" s="257">
        <f>IF(W$7="Actual",i_Actuals!W91,-SUM(c_Calculations!W936,c_Calculations!W958,c_Calculations!W980))</f>
        <v/>
      </c>
      <c r="X91" s="257">
        <f>IF(X$7="Actual",i_Actuals!X91,-SUM(c_Calculations!X936,c_Calculations!X958,c_Calculations!X980))</f>
        <v/>
      </c>
      <c r="Y91" s="257">
        <f>IF(Y$7="Actual",i_Actuals!Y91,-SUM(c_Calculations!Y936,c_Calculations!Y958,c_Calculations!Y980))</f>
        <v/>
      </c>
      <c r="Z91" s="257">
        <f>IF(Z$7="Actual",i_Actuals!Z91,-SUM(c_Calculations!Z936,c_Calculations!Z958,c_Calculations!Z980))</f>
        <v/>
      </c>
      <c r="AA91" s="257">
        <f>IF(AA$7="Actual",i_Actuals!AA91,-SUM(c_Calculations!AA936,c_Calculations!AA958,c_Calculations!AA980))</f>
        <v/>
      </c>
      <c r="AB91" s="257">
        <f>IF(AB$7="Actual",i_Actuals!AB91,-SUM(c_Calculations!AB936,c_Calculations!AB958,c_Calculations!AB980))</f>
        <v/>
      </c>
      <c r="AC91" s="257">
        <f>IF(AC$7="Actual",i_Actuals!AC91,-SUM(c_Calculations!AC936,c_Calculations!AC958,c_Calculations!AC980))</f>
        <v/>
      </c>
      <c r="AD91" s="257">
        <f>IF(AD$7="Actual",i_Actuals!AD91,-SUM(c_Calculations!AD936,c_Calculations!AD958,c_Calculations!AD980))</f>
        <v/>
      </c>
      <c r="AE91" s="257">
        <f>IF(AE$7="Actual",i_Actuals!AE91,-SUM(c_Calculations!AE936,c_Calculations!AE958,c_Calculations!AE980))</f>
        <v/>
      </c>
      <c r="AF91" s="257">
        <f>IF(AF$7="Actual",i_Actuals!AF91,-SUM(c_Calculations!AF936,c_Calculations!AF958,c_Calculations!AF980))</f>
        <v/>
      </c>
      <c r="AG91" s="257">
        <f>IF(AG$7="Actual",i_Actuals!AG91,-SUM(c_Calculations!AG936,c_Calculations!AG958,c_Calculations!AG980))</f>
        <v/>
      </c>
      <c r="AH91" s="257">
        <f>IF(AH$7="Actual",i_Actuals!AH91,-SUM(c_Calculations!AH936,c_Calculations!AH958,c_Calculations!AH980))</f>
        <v/>
      </c>
      <c r="AI91" s="257">
        <f>IF(AI$7="Actual",i_Actuals!AI91,-SUM(c_Calculations!AI936,c_Calculations!AI958,c_Calculations!AI980))</f>
        <v/>
      </c>
      <c r="AJ91" s="257">
        <f>IF(AJ$7="Actual",i_Actuals!AJ91,-SUM(c_Calculations!AJ936,c_Calculations!AJ958,c_Calculations!AJ980))</f>
        <v/>
      </c>
      <c r="AK91" s="257">
        <f>IF(AK$7="Actual",i_Actuals!AK91,-SUM(c_Calculations!AK936,c_Calculations!AK958,c_Calculations!AK980))</f>
        <v/>
      </c>
      <c r="AL91" s="257">
        <f>IF(AL$7="Actual",i_Actuals!AL91,-SUM(c_Calculations!AL936,c_Calculations!AL958,c_Calculations!AL980))</f>
        <v/>
      </c>
      <c r="AM91" s="257">
        <f>IF(AM$7="Actual",i_Actuals!AM91,-SUM(c_Calculations!AM936,c_Calculations!AM958,c_Calculations!AM980))</f>
        <v/>
      </c>
      <c r="AN91" s="257">
        <f>IF(AN$7="Actual",i_Actuals!AN91,-SUM(c_Calculations!AN936,c_Calculations!AN958,c_Calculations!AN980))</f>
        <v/>
      </c>
      <c r="AO91" s="257">
        <f>IF(AO$7="Actual",i_Actuals!AO91,-SUM(c_Calculations!AO936,c_Calculations!AO958,c_Calculations!AO980))</f>
        <v/>
      </c>
      <c r="AP91" s="257">
        <f>IF(AP$7="Actual",i_Actuals!AP91,-SUM(c_Calculations!AP936,c_Calculations!AP958,c_Calculations!AP980))</f>
        <v/>
      </c>
      <c r="AQ91" s="257">
        <f>IF(AQ$7="Actual",i_Actuals!AQ91,-SUM(c_Calculations!AQ936,c_Calculations!AQ958,c_Calculations!AQ980))</f>
        <v/>
      </c>
      <c r="AR91" s="257">
        <f>IF(AR$7="Actual",i_Actuals!AR91,-SUM(c_Calculations!AR936,c_Calculations!AR958,c_Calculations!AR980))</f>
        <v/>
      </c>
      <c r="AS91" s="257">
        <f>IF(AS$7="Actual",i_Actuals!AS91,-SUM(c_Calculations!AS936,c_Calculations!AS958,c_Calculations!AS980))</f>
        <v/>
      </c>
      <c r="AT91" s="257">
        <f>IF(AT$7="Actual",i_Actuals!AT91,-SUM(c_Calculations!AT936,c_Calculations!AT958,c_Calculations!AT980))</f>
        <v/>
      </c>
      <c r="AU91" s="257">
        <f>IF(AU$7="Actual",i_Actuals!AU91,-SUM(c_Calculations!AU936,c_Calculations!AU958,c_Calculations!AU980))</f>
        <v/>
      </c>
      <c r="AV91" s="257">
        <f>IF(AV$7="Actual",i_Actuals!AV91,-SUM(c_Calculations!AV936,c_Calculations!AV958,c_Calculations!AV980))</f>
        <v/>
      </c>
      <c r="AW91" s="257">
        <f>IF(AW$7="Actual",i_Actuals!AW91,-SUM(c_Calculations!AW936,c_Calculations!AW958,c_Calculations!AW980))</f>
        <v/>
      </c>
      <c r="AX91" s="257">
        <f>IF(AX$7="Actual",i_Actuals!AX91,-SUM(c_Calculations!AX936,c_Calculations!AX958,c_Calculations!AX980))</f>
        <v/>
      </c>
      <c r="AY91" s="257">
        <f>IF(AY$7="Actual",i_Actuals!AY91,-SUM(c_Calculations!AY936,c_Calculations!AY958,c_Calculations!AY980))</f>
        <v/>
      </c>
      <c r="AZ91" s="257">
        <f>IF(AZ$7="Actual",i_Actuals!AZ91,-SUM(c_Calculations!AZ936,c_Calculations!AZ958,c_Calculations!AZ980))</f>
        <v/>
      </c>
      <c r="BA91" s="257">
        <f>IF(BA$7="Actual",i_Actuals!BA91,-SUM(c_Calculations!BA936,c_Calculations!BA958,c_Calculations!BA980))</f>
        <v/>
      </c>
      <c r="BB91" s="257">
        <f>IF(BB$7="Actual",i_Actuals!BB91,-SUM(c_Calculations!BB936,c_Calculations!BB958,c_Calculations!BB980))</f>
        <v/>
      </c>
      <c r="BC91" s="257">
        <f>IF(BC$7="Actual",i_Actuals!BC91,-SUM(c_Calculations!BC936,c_Calculations!BC958,c_Calculations!BC980))</f>
        <v/>
      </c>
      <c r="BD91" s="257">
        <f>IF(BD$7="Actual",i_Actuals!BD91,-SUM(c_Calculations!BD936,c_Calculations!BD958,c_Calculations!BD980))</f>
        <v/>
      </c>
      <c r="BE91" s="257">
        <f>IF(BE$7="Actual",i_Actuals!BE91,-SUM(c_Calculations!BE936,c_Calculations!BE958,c_Calculations!BE980))</f>
        <v/>
      </c>
      <c r="BF91" s="257">
        <f>IF(BF$7="Actual",i_Actuals!BF91,-SUM(c_Calculations!BF936,c_Calculations!BF958,c_Calculations!BF980))</f>
        <v/>
      </c>
      <c r="BG91" s="257">
        <f>IF(BG$7="Actual",i_Actuals!BG91,-SUM(c_Calculations!BG936,c_Calculations!BG958,c_Calculations!BG980))</f>
        <v/>
      </c>
      <c r="BH91" s="257">
        <f>IF(BH$7="Actual",i_Actuals!BH91,-SUM(c_Calculations!BH936,c_Calculations!BH958,c_Calculations!BH980))</f>
        <v/>
      </c>
      <c r="BI91" s="257">
        <f>IF(BI$7="Actual",i_Actuals!BI91,-SUM(c_Calculations!BI936,c_Calculations!BI958,c_Calculations!BI980))</f>
        <v/>
      </c>
      <c r="BJ91" s="257">
        <f>IF(BJ$7="Actual",i_Actuals!BJ91,-SUM(c_Calculations!BJ936,c_Calculations!BJ958,c_Calculations!BJ980))</f>
        <v/>
      </c>
      <c r="BK91" s="257">
        <f>IF(BK$7="Actual",i_Actuals!BK91,-SUM(c_Calculations!BK936,c_Calculations!BK958,c_Calculations!BK980))</f>
        <v/>
      </c>
      <c r="BL91" s="257">
        <f>IF(BL$7="Actual",i_Actuals!BL91,-SUM(c_Calculations!BL936,c_Calculations!BL958,c_Calculations!BL980))</f>
        <v/>
      </c>
      <c r="BM91" s="257">
        <f>IF(BM$7="Actual",i_Actuals!BM91,-SUM(c_Calculations!BM936,c_Calculations!BM958,c_Calculations!BM980))</f>
        <v/>
      </c>
      <c r="BN91" s="257">
        <f>IF(BN$7="Actual",i_Actuals!BN91,-SUM(c_Calculations!BN936,c_Calculations!BN958,c_Calculations!BN980))</f>
        <v/>
      </c>
      <c r="BO91" s="257">
        <f>IF(BO$7="Actual",i_Actuals!BO91,-SUM(c_Calculations!BO936,c_Calculations!BO958,c_Calculations!BO980))</f>
        <v/>
      </c>
      <c r="BP91" s="257">
        <f>IF(BP$7="Actual",i_Actuals!BP91,-SUM(c_Calculations!BP936,c_Calculations!BP958,c_Calculations!BP980))</f>
        <v/>
      </c>
      <c r="BQ91" s="257">
        <f>IF(BQ$7="Actual",i_Actuals!BQ91,-SUM(c_Calculations!BQ936,c_Calculations!BQ958,c_Calculations!BQ980))</f>
        <v/>
      </c>
      <c r="BR91" s="257">
        <f>IF(BR$7="Actual",i_Actuals!BR91,-SUM(c_Calculations!BR936,c_Calculations!BR958,c_Calculations!BR980))</f>
        <v/>
      </c>
      <c r="BS91" s="257">
        <f>IF(BS$7="Actual",i_Actuals!BS91,-SUM(c_Calculations!BS936,c_Calculations!BS958,c_Calculations!BS980))</f>
        <v/>
      </c>
      <c r="BT91" s="257">
        <f>IF(BT$7="Actual",i_Actuals!BT91,-SUM(c_Calculations!BT936,c_Calculations!BT958,c_Calculations!BT980))</f>
        <v/>
      </c>
      <c r="BU91" s="257">
        <f>IF(BU$7="Actual",i_Actuals!BU91,-SUM(c_Calculations!BU936,c_Calculations!BU958,c_Calculations!BU980))</f>
        <v/>
      </c>
      <c r="BV91" s="257">
        <f>IF(BV$7="Actual",i_Actuals!BV91,-SUM(c_Calculations!BV936,c_Calculations!BV958,c_Calculations!BV980))</f>
        <v/>
      </c>
      <c r="BW91" s="257">
        <f>IF(BW$7="Actual",i_Actuals!BW91,-SUM(c_Calculations!BW936,c_Calculations!BW958,c_Calculations!BW980))</f>
        <v/>
      </c>
      <c r="BX91" s="257">
        <f>IF(BX$7="Actual",i_Actuals!BX91,-SUM(c_Calculations!BX936,c_Calculations!BX958,c_Calculations!BX980))</f>
        <v/>
      </c>
      <c r="BY91" s="257">
        <f>IF(BY$7="Actual",i_Actuals!BY91,-SUM(c_Calculations!BY936,c_Calculations!BY958,c_Calculations!BY980))</f>
        <v/>
      </c>
      <c r="BZ91" s="257">
        <f>IF(BZ$7="Actual",i_Actuals!BZ91,-SUM(c_Calculations!BZ936,c_Calculations!BZ958,c_Calculations!BZ980))</f>
        <v/>
      </c>
      <c r="CA91" s="257">
        <f>IF(CA$7="Actual",i_Actuals!CA91,-SUM(c_Calculations!CA936,c_Calculations!CA958,c_Calculations!CA980))</f>
        <v/>
      </c>
    </row>
    <row r="92" ht="12" customHeight="1" s="227">
      <c r="A92" s="244" t="n"/>
      <c r="B92" s="244" t="n"/>
      <c r="C92" s="244" t="n"/>
      <c r="G92" s="39" t="inlineStr">
        <is>
          <t>Total Other Income &amp; Expenses</t>
        </is>
      </c>
      <c r="H92" s="39" t="n"/>
      <c r="I92" s="41">
        <f> i_Setup!$M$16</f>
        <v/>
      </c>
      <c r="J92" s="39" t="n"/>
      <c r="K92" s="56" t="n"/>
      <c r="M92" s="249">
        <f>SUM(M90:M91)</f>
        <v/>
      </c>
      <c r="N92" s="249">
        <f>SUM(N90:N91)</f>
        <v/>
      </c>
      <c r="O92" s="249">
        <f>SUM(O90:O91)</f>
        <v/>
      </c>
      <c r="P92" s="249">
        <f>SUM(P90:P91)</f>
        <v/>
      </c>
      <c r="Q92" s="249">
        <f>SUM(Q90:Q91)</f>
        <v/>
      </c>
      <c r="R92" s="8" t="n"/>
      <c r="S92" s="8" t="n"/>
      <c r="T92" s="249">
        <f>SUM(T90:T91)</f>
        <v/>
      </c>
      <c r="U92" s="249">
        <f>SUM(U90:U91)</f>
        <v/>
      </c>
      <c r="V92" s="249">
        <f>SUM(V90:V91)</f>
        <v/>
      </c>
      <c r="W92" s="249">
        <f>SUM(W90:W91)</f>
        <v/>
      </c>
      <c r="X92" s="249">
        <f>SUM(X90:X91)</f>
        <v/>
      </c>
      <c r="Y92" s="249">
        <f>SUM(Y90:Y91)</f>
        <v/>
      </c>
      <c r="Z92" s="249">
        <f>SUM(Z90:Z91)</f>
        <v/>
      </c>
      <c r="AA92" s="249">
        <f>SUM(AA90:AA91)</f>
        <v/>
      </c>
      <c r="AB92" s="249">
        <f>SUM(AB90:AB91)</f>
        <v/>
      </c>
      <c r="AC92" s="249">
        <f>SUM(AC90:AC91)</f>
        <v/>
      </c>
      <c r="AD92" s="249">
        <f>SUM(AD90:AD91)</f>
        <v/>
      </c>
      <c r="AE92" s="249">
        <f>SUM(AE90:AE91)</f>
        <v/>
      </c>
      <c r="AF92" s="249">
        <f>SUM(AF90:AF91)</f>
        <v/>
      </c>
      <c r="AG92" s="249">
        <f>SUM(AG90:AG91)</f>
        <v/>
      </c>
      <c r="AH92" s="249">
        <f>SUM(AH90:AH91)</f>
        <v/>
      </c>
      <c r="AI92" s="249">
        <f>SUM(AI90:AI91)</f>
        <v/>
      </c>
      <c r="AJ92" s="249">
        <f>SUM(AJ90:AJ91)</f>
        <v/>
      </c>
      <c r="AK92" s="249">
        <f>SUM(AK90:AK91)</f>
        <v/>
      </c>
      <c r="AL92" s="249">
        <f>SUM(AL90:AL91)</f>
        <v/>
      </c>
      <c r="AM92" s="249">
        <f>SUM(AM90:AM91)</f>
        <v/>
      </c>
      <c r="AN92" s="249">
        <f>SUM(AN90:AN91)</f>
        <v/>
      </c>
      <c r="AO92" s="249">
        <f>SUM(AO90:AO91)</f>
        <v/>
      </c>
      <c r="AP92" s="249">
        <f>SUM(AP90:AP91)</f>
        <v/>
      </c>
      <c r="AQ92" s="249">
        <f>SUM(AQ90:AQ91)</f>
        <v/>
      </c>
      <c r="AR92" s="249">
        <f>SUM(AR90:AR91)</f>
        <v/>
      </c>
      <c r="AS92" s="249">
        <f>SUM(AS90:AS91)</f>
        <v/>
      </c>
      <c r="AT92" s="249">
        <f>SUM(AT90:AT91)</f>
        <v/>
      </c>
      <c r="AU92" s="249">
        <f>SUM(AU90:AU91)</f>
        <v/>
      </c>
      <c r="AV92" s="249">
        <f>SUM(AV90:AV91)</f>
        <v/>
      </c>
      <c r="AW92" s="249">
        <f>SUM(AW90:AW91)</f>
        <v/>
      </c>
      <c r="AX92" s="249">
        <f>SUM(AX90:AX91)</f>
        <v/>
      </c>
      <c r="AY92" s="249">
        <f>SUM(AY90:AY91)</f>
        <v/>
      </c>
      <c r="AZ92" s="249">
        <f>SUM(AZ90:AZ91)</f>
        <v/>
      </c>
      <c r="BA92" s="249">
        <f>SUM(BA90:BA91)</f>
        <v/>
      </c>
      <c r="BB92" s="249">
        <f>SUM(BB90:BB91)</f>
        <v/>
      </c>
      <c r="BC92" s="249">
        <f>SUM(BC90:BC91)</f>
        <v/>
      </c>
      <c r="BD92" s="249">
        <f>SUM(BD90:BD91)</f>
        <v/>
      </c>
      <c r="BE92" s="249">
        <f>SUM(BE90:BE91)</f>
        <v/>
      </c>
      <c r="BF92" s="249">
        <f>SUM(BF90:BF91)</f>
        <v/>
      </c>
      <c r="BG92" s="249">
        <f>SUM(BG90:BG91)</f>
        <v/>
      </c>
      <c r="BH92" s="249">
        <f>SUM(BH90:BH91)</f>
        <v/>
      </c>
      <c r="BI92" s="249">
        <f>SUM(BI90:BI91)</f>
        <v/>
      </c>
      <c r="BJ92" s="249">
        <f>SUM(BJ90:BJ91)</f>
        <v/>
      </c>
      <c r="BK92" s="249">
        <f>SUM(BK90:BK91)</f>
        <v/>
      </c>
      <c r="BL92" s="249">
        <f>SUM(BL90:BL91)</f>
        <v/>
      </c>
      <c r="BM92" s="249">
        <f>SUM(BM90:BM91)</f>
        <v/>
      </c>
      <c r="BN92" s="249">
        <f>SUM(BN90:BN91)</f>
        <v/>
      </c>
      <c r="BO92" s="249">
        <f>SUM(BO90:BO91)</f>
        <v/>
      </c>
      <c r="BP92" s="249">
        <f>SUM(BP90:BP91)</f>
        <v/>
      </c>
      <c r="BQ92" s="249">
        <f>SUM(BQ90:BQ91)</f>
        <v/>
      </c>
      <c r="BR92" s="249">
        <f>SUM(BR90:BR91)</f>
        <v/>
      </c>
      <c r="BS92" s="249">
        <f>SUM(BS90:BS91)</f>
        <v/>
      </c>
      <c r="BT92" s="249">
        <f>SUM(BT90:BT91)</f>
        <v/>
      </c>
      <c r="BU92" s="249">
        <f>SUM(BU90:BU91)</f>
        <v/>
      </c>
      <c r="BV92" s="249">
        <f>SUM(BV90:BV91)</f>
        <v/>
      </c>
      <c r="BW92" s="249">
        <f>SUM(BW90:BW91)</f>
        <v/>
      </c>
      <c r="BX92" s="249">
        <f>SUM(BX90:BX91)</f>
        <v/>
      </c>
      <c r="BY92" s="249">
        <f>SUM(BY90:BY91)</f>
        <v/>
      </c>
      <c r="BZ92" s="249">
        <f>SUM(BZ90:BZ91)</f>
        <v/>
      </c>
      <c r="CA92" s="249">
        <f>SUM(CA90:CA91)</f>
        <v/>
      </c>
    </row>
    <row r="93" ht="12" customHeight="1" s="227">
      <c r="A93" s="244" t="n"/>
      <c r="B93" s="244" t="n"/>
      <c r="C93" s="244" t="n"/>
      <c r="G93" s="80" t="n"/>
      <c r="M93" s="245" t="n"/>
      <c r="N93" s="245" t="n"/>
      <c r="O93" s="245" t="n"/>
      <c r="P93" s="245" t="n"/>
      <c r="Q93" s="245" t="n"/>
      <c r="T93" s="245" t="n"/>
      <c r="U93" s="245" t="n"/>
      <c r="V93" s="245" t="n"/>
      <c r="W93" s="245" t="n"/>
      <c r="X93" s="245" t="n"/>
      <c r="Y93" s="245" t="n"/>
      <c r="Z93" s="245" t="n"/>
      <c r="AA93" s="245" t="n"/>
      <c r="AB93" s="245" t="n"/>
      <c r="AC93" s="245" t="n"/>
      <c r="AD93" s="245" t="n"/>
      <c r="AE93" s="245" t="n"/>
      <c r="AF93" s="245" t="n"/>
      <c r="AG93" s="245" t="n"/>
      <c r="AH93" s="245" t="n"/>
      <c r="AI93" s="245" t="n"/>
      <c r="AJ93" s="245" t="n"/>
      <c r="AK93" s="245" t="n"/>
      <c r="AL93" s="245" t="n"/>
      <c r="AM93" s="245" t="n"/>
      <c r="AN93" s="245" t="n"/>
      <c r="AO93" s="245" t="n"/>
      <c r="AP93" s="245" t="n"/>
      <c r="AQ93" s="245" t="n"/>
      <c r="AR93" s="245" t="n"/>
      <c r="AS93" s="245" t="n"/>
      <c r="AT93" s="245" t="n"/>
      <c r="AU93" s="245" t="n"/>
      <c r="AV93" s="245" t="n"/>
      <c r="AW93" s="245" t="n"/>
      <c r="AX93" s="245" t="n"/>
      <c r="AY93" s="245" t="n"/>
      <c r="AZ93" s="245" t="n"/>
      <c r="BA93" s="245" t="n"/>
      <c r="BB93" s="245" t="n"/>
      <c r="BC93" s="245" t="n"/>
      <c r="BD93" s="245" t="n"/>
      <c r="BE93" s="245" t="n"/>
      <c r="BF93" s="245" t="n"/>
      <c r="BG93" s="245" t="n"/>
      <c r="BH93" s="245" t="n"/>
      <c r="BI93" s="245" t="n"/>
      <c r="BJ93" s="245" t="n"/>
      <c r="BK93" s="245" t="n"/>
      <c r="BL93" s="245" t="n"/>
      <c r="BM93" s="245" t="n"/>
      <c r="BN93" s="245" t="n"/>
      <c r="BO93" s="245" t="n"/>
      <c r="BP93" s="245" t="n"/>
      <c r="BQ93" s="245" t="n"/>
      <c r="BR93" s="245" t="n"/>
      <c r="BS93" s="245" t="n"/>
      <c r="BT93" s="245" t="n"/>
      <c r="BU93" s="245" t="n"/>
      <c r="BV93" s="245" t="n"/>
      <c r="BW93" s="245" t="n"/>
      <c r="BX93" s="245" t="n"/>
      <c r="BY93" s="245" t="n"/>
      <c r="BZ93" s="245" t="n"/>
      <c r="CA93" s="245" t="n"/>
    </row>
    <row r="94" ht="12" customHeight="1" s="227">
      <c r="A94" s="244" t="n"/>
      <c r="B94" s="244" t="n"/>
      <c r="C94" s="244" t="n"/>
      <c r="G94" s="82" t="inlineStr">
        <is>
          <t>Total Profit Before Tax</t>
        </is>
      </c>
      <c r="H94" s="39" t="n"/>
      <c r="I94" s="41">
        <f> i_Setup!$M$16</f>
        <v/>
      </c>
      <c r="J94" s="39" t="n"/>
      <c r="K94" s="56" t="n"/>
      <c r="M94" s="249">
        <f>M92+M87</f>
        <v/>
      </c>
      <c r="N94" s="249">
        <f>N92+N87</f>
        <v/>
      </c>
      <c r="O94" s="249">
        <f>O92+O87</f>
        <v/>
      </c>
      <c r="P94" s="249">
        <f>P92+P87</f>
        <v/>
      </c>
      <c r="Q94" s="249">
        <f>Q92+Q87</f>
        <v/>
      </c>
      <c r="T94" s="249">
        <f>T92+T87</f>
        <v/>
      </c>
      <c r="U94" s="249">
        <f>U92+U87</f>
        <v/>
      </c>
      <c r="V94" s="249">
        <f>V92+V87</f>
        <v/>
      </c>
      <c r="W94" s="249">
        <f>W92+W87</f>
        <v/>
      </c>
      <c r="X94" s="249">
        <f>X92+X87</f>
        <v/>
      </c>
      <c r="Y94" s="249">
        <f>Y92+Y87</f>
        <v/>
      </c>
      <c r="Z94" s="249">
        <f>Z92+Z87</f>
        <v/>
      </c>
      <c r="AA94" s="249">
        <f>AA92+AA87</f>
        <v/>
      </c>
      <c r="AB94" s="249">
        <f>AB92+AB87</f>
        <v/>
      </c>
      <c r="AC94" s="249">
        <f>AC92+AC87</f>
        <v/>
      </c>
      <c r="AD94" s="249">
        <f>AD92+AD87</f>
        <v/>
      </c>
      <c r="AE94" s="249">
        <f>AE92+AE87</f>
        <v/>
      </c>
      <c r="AF94" s="249">
        <f>AF92+AF87</f>
        <v/>
      </c>
      <c r="AG94" s="249">
        <f>AG92+AG87</f>
        <v/>
      </c>
      <c r="AH94" s="249">
        <f>AH92+AH87</f>
        <v/>
      </c>
      <c r="AI94" s="249">
        <f>AI92+AI87</f>
        <v/>
      </c>
      <c r="AJ94" s="249">
        <f>AJ92+AJ87</f>
        <v/>
      </c>
      <c r="AK94" s="249">
        <f>AK92+AK87</f>
        <v/>
      </c>
      <c r="AL94" s="249">
        <f>AL92+AL87</f>
        <v/>
      </c>
      <c r="AM94" s="249">
        <f>AM92+AM87</f>
        <v/>
      </c>
      <c r="AN94" s="249">
        <f>AN92+AN87</f>
        <v/>
      </c>
      <c r="AO94" s="249">
        <f>AO92+AO87</f>
        <v/>
      </c>
      <c r="AP94" s="249">
        <f>AP92+AP87</f>
        <v/>
      </c>
      <c r="AQ94" s="249">
        <f>AQ92+AQ87</f>
        <v/>
      </c>
      <c r="AR94" s="249">
        <f>AR92+AR87</f>
        <v/>
      </c>
      <c r="AS94" s="249">
        <f>AS92+AS87</f>
        <v/>
      </c>
      <c r="AT94" s="249">
        <f>AT92+AT87</f>
        <v/>
      </c>
      <c r="AU94" s="249">
        <f>AU92+AU87</f>
        <v/>
      </c>
      <c r="AV94" s="249">
        <f>AV92+AV87</f>
        <v/>
      </c>
      <c r="AW94" s="249">
        <f>AW92+AW87</f>
        <v/>
      </c>
      <c r="AX94" s="249">
        <f>AX92+AX87</f>
        <v/>
      </c>
      <c r="AY94" s="249">
        <f>AY92+AY87</f>
        <v/>
      </c>
      <c r="AZ94" s="249">
        <f>AZ92+AZ87</f>
        <v/>
      </c>
      <c r="BA94" s="249">
        <f>BA92+BA87</f>
        <v/>
      </c>
      <c r="BB94" s="249">
        <f>BB92+BB87</f>
        <v/>
      </c>
      <c r="BC94" s="249">
        <f>BC92+BC87</f>
        <v/>
      </c>
      <c r="BD94" s="249">
        <f>BD92+BD87</f>
        <v/>
      </c>
      <c r="BE94" s="249">
        <f>BE92+BE87</f>
        <v/>
      </c>
      <c r="BF94" s="249">
        <f>BF92+BF87</f>
        <v/>
      </c>
      <c r="BG94" s="249">
        <f>BG92+BG87</f>
        <v/>
      </c>
      <c r="BH94" s="249">
        <f>BH92+BH87</f>
        <v/>
      </c>
      <c r="BI94" s="249">
        <f>BI92+BI87</f>
        <v/>
      </c>
      <c r="BJ94" s="249">
        <f>BJ92+BJ87</f>
        <v/>
      </c>
      <c r="BK94" s="249">
        <f>BK92+BK87</f>
        <v/>
      </c>
      <c r="BL94" s="249">
        <f>BL92+BL87</f>
        <v/>
      </c>
      <c r="BM94" s="249">
        <f>BM92+BM87</f>
        <v/>
      </c>
      <c r="BN94" s="249">
        <f>BN92+BN87</f>
        <v/>
      </c>
      <c r="BO94" s="249">
        <f>BO92+BO87</f>
        <v/>
      </c>
      <c r="BP94" s="249">
        <f>BP92+BP87</f>
        <v/>
      </c>
      <c r="BQ94" s="249">
        <f>BQ92+BQ87</f>
        <v/>
      </c>
      <c r="BR94" s="249">
        <f>BR92+BR87</f>
        <v/>
      </c>
      <c r="BS94" s="249">
        <f>BS92+BS87</f>
        <v/>
      </c>
      <c r="BT94" s="249">
        <f>BT92+BT87</f>
        <v/>
      </c>
      <c r="BU94" s="249">
        <f>BU92+BU87</f>
        <v/>
      </c>
      <c r="BV94" s="249">
        <f>BV92+BV87</f>
        <v/>
      </c>
      <c r="BW94" s="249">
        <f>BW92+BW87</f>
        <v/>
      </c>
      <c r="BX94" s="249">
        <f>BX92+BX87</f>
        <v/>
      </c>
      <c r="BY94" s="249">
        <f>BY92+BY87</f>
        <v/>
      </c>
      <c r="BZ94" s="249">
        <f>BZ92+BZ87</f>
        <v/>
      </c>
      <c r="CA94" s="249">
        <f>CA92+CA87</f>
        <v/>
      </c>
    </row>
    <row r="95" ht="12" customHeight="1" s="227">
      <c r="A95" s="244" t="n"/>
      <c r="B95" s="244" t="n"/>
      <c r="C95" s="244" t="n"/>
      <c r="G95" s="222" t="n"/>
      <c r="M95" s="245" t="n"/>
      <c r="N95" s="245" t="n"/>
      <c r="O95" s="245" t="n"/>
      <c r="P95" s="245" t="n"/>
      <c r="Q95" s="245" t="n"/>
    </row>
    <row r="96" ht="12" customHeight="1" s="227">
      <c r="A96" s="244" t="n"/>
      <c r="B96" s="244" t="n"/>
      <c r="C96" s="244" t="n"/>
      <c r="H96" s="0" t="inlineStr">
        <is>
          <t>Taxes</t>
        </is>
      </c>
      <c r="I96" s="27">
        <f> i_Setup!$M$16</f>
        <v/>
      </c>
      <c r="J96" s="0" t="n"/>
      <c r="K96" s="27" t="n"/>
      <c r="M96" s="245">
        <f>SUMIF($T$4:$CA$4,M$4,$T96:$CA96)</f>
        <v/>
      </c>
      <c r="N96" s="245">
        <f>SUMIF($T$4:$CA$4,N$4,$T96:$CA96)</f>
        <v/>
      </c>
      <c r="O96" s="245">
        <f>SUMIF($T$4:$CA$4,O$4,$T96:$CA96)</f>
        <v/>
      </c>
      <c r="P96" s="245">
        <f>SUMIF($T$4:$CA$4,P$4,$T96:$CA96)</f>
        <v/>
      </c>
      <c r="Q96" s="245">
        <f>SUMIF($T$4:$CA$4,Q$4,$T96:$CA96)</f>
        <v/>
      </c>
      <c r="T96" s="257">
        <f>IF(T$7="Actual",i_Actuals!T96,c_Calculations!T581)</f>
        <v/>
      </c>
      <c r="U96" s="257">
        <f>IF(U$7="Actual",i_Actuals!U96,c_Calculations!U581)</f>
        <v/>
      </c>
      <c r="V96" s="257">
        <f>IF(V$7="Actual",i_Actuals!V96,c_Calculations!V581)</f>
        <v/>
      </c>
      <c r="W96" s="257">
        <f>IF(W$7="Actual",i_Actuals!W96,c_Calculations!W581)</f>
        <v/>
      </c>
      <c r="X96" s="257">
        <f>IF(X$7="Actual",i_Actuals!X96,c_Calculations!X581)</f>
        <v/>
      </c>
      <c r="Y96" s="257">
        <f>IF(Y$7="Actual",i_Actuals!Y96,c_Calculations!Y581)</f>
        <v/>
      </c>
      <c r="Z96" s="257">
        <f>IF(Z$7="Actual",i_Actuals!Z96,c_Calculations!Z581)</f>
        <v/>
      </c>
      <c r="AA96" s="257">
        <f>IF(AA$7="Actual",i_Actuals!AA96,c_Calculations!AA581)</f>
        <v/>
      </c>
      <c r="AB96" s="257">
        <f>IF(AB$7="Actual",i_Actuals!AB96,c_Calculations!AB581)</f>
        <v/>
      </c>
      <c r="AC96" s="257">
        <f>IF(AC$7="Actual",i_Actuals!AC96,c_Calculations!AC581)</f>
        <v/>
      </c>
      <c r="AD96" s="257">
        <f>IF(AD$7="Actual",i_Actuals!AD96,c_Calculations!AD581)</f>
        <v/>
      </c>
      <c r="AE96" s="257">
        <f>IF(AE$7="Actual",i_Actuals!AE96,c_Calculations!AE581)</f>
        <v/>
      </c>
      <c r="AF96" s="257">
        <f>IF(AF$7="Actual",i_Actuals!AF96,c_Calculations!AF581)</f>
        <v/>
      </c>
      <c r="AG96" s="257">
        <f>IF(AG$7="Actual",i_Actuals!AG96,c_Calculations!AG581)</f>
        <v/>
      </c>
      <c r="AH96" s="257">
        <f>IF(AH$7="Actual",i_Actuals!AH96,c_Calculations!AH581)</f>
        <v/>
      </c>
      <c r="AI96" s="257">
        <f>IF(AI$7="Actual",i_Actuals!AI96,c_Calculations!AI581)</f>
        <v/>
      </c>
      <c r="AJ96" s="257">
        <f>IF(AJ$7="Actual",i_Actuals!AJ96,c_Calculations!AJ581)</f>
        <v/>
      </c>
      <c r="AK96" s="257">
        <f>IF(AK$7="Actual",i_Actuals!AK96,c_Calculations!AK581)</f>
        <v/>
      </c>
      <c r="AL96" s="257">
        <f>IF(AL$7="Actual",i_Actuals!AL96,c_Calculations!AL581)</f>
        <v/>
      </c>
      <c r="AM96" s="257">
        <f>IF(AM$7="Actual",i_Actuals!AM96,c_Calculations!AM581)</f>
        <v/>
      </c>
      <c r="AN96" s="257">
        <f>IF(AN$7="Actual",i_Actuals!AN96,c_Calculations!AN581)</f>
        <v/>
      </c>
      <c r="AO96" s="257">
        <f>IF(AO$7="Actual",i_Actuals!AO96,c_Calculations!AO581)</f>
        <v/>
      </c>
      <c r="AP96" s="257">
        <f>IF(AP$7="Actual",i_Actuals!AP96,c_Calculations!AP581)</f>
        <v/>
      </c>
      <c r="AQ96" s="257">
        <f>IF(AQ$7="Actual",i_Actuals!AQ96,c_Calculations!AQ581)</f>
        <v/>
      </c>
      <c r="AR96" s="257">
        <f>IF(AR$7="Actual",i_Actuals!AR96,c_Calculations!AR581)</f>
        <v/>
      </c>
      <c r="AS96" s="257">
        <f>IF(AS$7="Actual",i_Actuals!AS96,c_Calculations!AS581)</f>
        <v/>
      </c>
      <c r="AT96" s="257">
        <f>IF(AT$7="Actual",i_Actuals!AT96,c_Calculations!AT581)</f>
        <v/>
      </c>
      <c r="AU96" s="257">
        <f>IF(AU$7="Actual",i_Actuals!AU96,c_Calculations!AU581)</f>
        <v/>
      </c>
      <c r="AV96" s="257">
        <f>IF(AV$7="Actual",i_Actuals!AV96,c_Calculations!AV581)</f>
        <v/>
      </c>
      <c r="AW96" s="257">
        <f>IF(AW$7="Actual",i_Actuals!AW96,c_Calculations!AW581)</f>
        <v/>
      </c>
      <c r="AX96" s="257">
        <f>IF(AX$7="Actual",i_Actuals!AX96,c_Calculations!AX581)</f>
        <v/>
      </c>
      <c r="AY96" s="257">
        <f>IF(AY$7="Actual",i_Actuals!AY96,c_Calculations!AY581)</f>
        <v/>
      </c>
      <c r="AZ96" s="257">
        <f>IF(AZ$7="Actual",i_Actuals!AZ96,c_Calculations!AZ581)</f>
        <v/>
      </c>
      <c r="BA96" s="257">
        <f>IF(BA$7="Actual",i_Actuals!BA96,c_Calculations!BA581)</f>
        <v/>
      </c>
      <c r="BB96" s="257">
        <f>IF(BB$7="Actual",i_Actuals!BB96,c_Calculations!BB581)</f>
        <v/>
      </c>
      <c r="BC96" s="257">
        <f>IF(BC$7="Actual",i_Actuals!BC96,c_Calculations!BC581)</f>
        <v/>
      </c>
      <c r="BD96" s="257">
        <f>IF(BD$7="Actual",i_Actuals!BD96,c_Calculations!BD581)</f>
        <v/>
      </c>
      <c r="BE96" s="257">
        <f>IF(BE$7="Actual",i_Actuals!BE96,c_Calculations!BE581)</f>
        <v/>
      </c>
      <c r="BF96" s="257">
        <f>IF(BF$7="Actual",i_Actuals!BF96,c_Calculations!BF581)</f>
        <v/>
      </c>
      <c r="BG96" s="257">
        <f>IF(BG$7="Actual",i_Actuals!BG96,c_Calculations!BG581)</f>
        <v/>
      </c>
      <c r="BH96" s="257">
        <f>IF(BH$7="Actual",i_Actuals!BH96,c_Calculations!BH581)</f>
        <v/>
      </c>
      <c r="BI96" s="257">
        <f>IF(BI$7="Actual",i_Actuals!BI96,c_Calculations!BI581)</f>
        <v/>
      </c>
      <c r="BJ96" s="257">
        <f>IF(BJ$7="Actual",i_Actuals!BJ96,c_Calculations!BJ581)</f>
        <v/>
      </c>
      <c r="BK96" s="257">
        <f>IF(BK$7="Actual",i_Actuals!BK96,c_Calculations!BK581)</f>
        <v/>
      </c>
      <c r="BL96" s="257">
        <f>IF(BL$7="Actual",i_Actuals!BL96,c_Calculations!BL581)</f>
        <v/>
      </c>
      <c r="BM96" s="257">
        <f>IF(BM$7="Actual",i_Actuals!BM96,c_Calculations!BM581)</f>
        <v/>
      </c>
      <c r="BN96" s="257">
        <f>IF(BN$7="Actual",i_Actuals!BN96,c_Calculations!BN581)</f>
        <v/>
      </c>
      <c r="BO96" s="257">
        <f>IF(BO$7="Actual",i_Actuals!BO96,c_Calculations!BO581)</f>
        <v/>
      </c>
      <c r="BP96" s="257">
        <f>IF(BP$7="Actual",i_Actuals!BP96,c_Calculations!BP581)</f>
        <v/>
      </c>
      <c r="BQ96" s="257">
        <f>IF(BQ$7="Actual",i_Actuals!BQ96,c_Calculations!BQ581)</f>
        <v/>
      </c>
      <c r="BR96" s="257">
        <f>IF(BR$7="Actual",i_Actuals!BR96,c_Calculations!BR581)</f>
        <v/>
      </c>
      <c r="BS96" s="257">
        <f>IF(BS$7="Actual",i_Actuals!BS96,c_Calculations!BS581)</f>
        <v/>
      </c>
      <c r="BT96" s="257">
        <f>IF(BT$7="Actual",i_Actuals!BT96,c_Calculations!BT581)</f>
        <v/>
      </c>
      <c r="BU96" s="257">
        <f>IF(BU$7="Actual",i_Actuals!BU96,c_Calculations!BU581)</f>
        <v/>
      </c>
      <c r="BV96" s="257">
        <f>IF(BV$7="Actual",i_Actuals!BV96,c_Calculations!BV581)</f>
        <v/>
      </c>
      <c r="BW96" s="257">
        <f>IF(BW$7="Actual",i_Actuals!BW96,c_Calculations!BW581)</f>
        <v/>
      </c>
      <c r="BX96" s="257">
        <f>IF(BX$7="Actual",i_Actuals!BX96,c_Calculations!BX581)</f>
        <v/>
      </c>
      <c r="BY96" s="257">
        <f>IF(BY$7="Actual",i_Actuals!BY96,c_Calculations!BY581)</f>
        <v/>
      </c>
      <c r="BZ96" s="257">
        <f>IF(BZ$7="Actual",i_Actuals!BZ96,c_Calculations!BZ581)</f>
        <v/>
      </c>
      <c r="CA96" s="257">
        <f>IF(CA$7="Actual",i_Actuals!CA96,c_Calculations!CA581)</f>
        <v/>
      </c>
    </row>
    <row r="97" ht="12" customHeight="1" s="227">
      <c r="A97" s="244" t="n"/>
      <c r="B97" s="244" t="n"/>
      <c r="C97" s="244" t="n"/>
      <c r="G97" s="222" t="n"/>
      <c r="M97" s="245" t="n"/>
      <c r="N97" s="245" t="n"/>
      <c r="O97" s="245" t="n"/>
      <c r="P97" s="245" t="n"/>
      <c r="Q97" s="245" t="n"/>
    </row>
    <row r="98" ht="12" customHeight="1" s="227">
      <c r="A98" s="244" t="n"/>
      <c r="B98" s="244" t="n"/>
      <c r="C98" s="244" t="n"/>
      <c r="G98" s="81" t="inlineStr">
        <is>
          <t>Total Profit After Tax</t>
        </is>
      </c>
      <c r="H98" s="74" t="n"/>
      <c r="I98" s="75">
        <f> i_Setup!$M$16</f>
        <v/>
      </c>
      <c r="J98" s="74" t="n"/>
      <c r="K98" s="56" t="n"/>
      <c r="M98" s="247">
        <f>M94+M96</f>
        <v/>
      </c>
      <c r="N98" s="247">
        <f>N94+N96</f>
        <v/>
      </c>
      <c r="O98" s="247">
        <f>O94+O96</f>
        <v/>
      </c>
      <c r="P98" s="247">
        <f>P94+P96</f>
        <v/>
      </c>
      <c r="Q98" s="247">
        <f>Q94+Q96</f>
        <v/>
      </c>
      <c r="T98" s="247">
        <f>T94+T96</f>
        <v/>
      </c>
      <c r="U98" s="247">
        <f>U94+U96</f>
        <v/>
      </c>
      <c r="V98" s="247">
        <f>V94+V96</f>
        <v/>
      </c>
      <c r="W98" s="247">
        <f>W94+W96</f>
        <v/>
      </c>
      <c r="X98" s="247">
        <f>X94+X96</f>
        <v/>
      </c>
      <c r="Y98" s="247">
        <f>Y94+Y96</f>
        <v/>
      </c>
      <c r="Z98" s="247">
        <f>Z94+Z96</f>
        <v/>
      </c>
      <c r="AA98" s="247">
        <f>AA94+AA96</f>
        <v/>
      </c>
      <c r="AB98" s="247">
        <f>AB94+AB96</f>
        <v/>
      </c>
      <c r="AC98" s="247">
        <f>AC94+AC96</f>
        <v/>
      </c>
      <c r="AD98" s="247">
        <f>AD94+AD96</f>
        <v/>
      </c>
      <c r="AE98" s="247">
        <f>AE94+AE96</f>
        <v/>
      </c>
      <c r="AF98" s="247">
        <f>AF94+AF96</f>
        <v/>
      </c>
      <c r="AG98" s="247">
        <f>AG94+AG96</f>
        <v/>
      </c>
      <c r="AH98" s="247">
        <f>AH94+AH96</f>
        <v/>
      </c>
      <c r="AI98" s="247">
        <f>AI94+AI96</f>
        <v/>
      </c>
      <c r="AJ98" s="247">
        <f>AJ94+AJ96</f>
        <v/>
      </c>
      <c r="AK98" s="247">
        <f>AK94+AK96</f>
        <v/>
      </c>
      <c r="AL98" s="247">
        <f>AL94+AL96</f>
        <v/>
      </c>
      <c r="AM98" s="247">
        <f>AM94+AM96</f>
        <v/>
      </c>
      <c r="AN98" s="247">
        <f>AN94+AN96</f>
        <v/>
      </c>
      <c r="AO98" s="247">
        <f>AO94+AO96</f>
        <v/>
      </c>
      <c r="AP98" s="247">
        <f>AP94+AP96</f>
        <v/>
      </c>
      <c r="AQ98" s="247">
        <f>AQ94+AQ96</f>
        <v/>
      </c>
      <c r="AR98" s="247">
        <f>AR94+AR96</f>
        <v/>
      </c>
      <c r="AS98" s="247">
        <f>AS94+AS96</f>
        <v/>
      </c>
      <c r="AT98" s="247">
        <f>AT94+AT96</f>
        <v/>
      </c>
      <c r="AU98" s="247">
        <f>AU94+AU96</f>
        <v/>
      </c>
      <c r="AV98" s="247">
        <f>AV94+AV96</f>
        <v/>
      </c>
      <c r="AW98" s="247">
        <f>AW94+AW96</f>
        <v/>
      </c>
      <c r="AX98" s="247">
        <f>AX94+AX96</f>
        <v/>
      </c>
      <c r="AY98" s="247">
        <f>AY94+AY96</f>
        <v/>
      </c>
      <c r="AZ98" s="247">
        <f>AZ94+AZ96</f>
        <v/>
      </c>
      <c r="BA98" s="247">
        <f>BA94+BA96</f>
        <v/>
      </c>
      <c r="BB98" s="247">
        <f>BB94+BB96</f>
        <v/>
      </c>
      <c r="BC98" s="247">
        <f>BC94+BC96</f>
        <v/>
      </c>
      <c r="BD98" s="247">
        <f>BD94+BD96</f>
        <v/>
      </c>
      <c r="BE98" s="247">
        <f>BE94+BE96</f>
        <v/>
      </c>
      <c r="BF98" s="247">
        <f>BF94+BF96</f>
        <v/>
      </c>
      <c r="BG98" s="247">
        <f>BG94+BG96</f>
        <v/>
      </c>
      <c r="BH98" s="247">
        <f>BH94+BH96</f>
        <v/>
      </c>
      <c r="BI98" s="247">
        <f>BI94+BI96</f>
        <v/>
      </c>
      <c r="BJ98" s="247">
        <f>BJ94+BJ96</f>
        <v/>
      </c>
      <c r="BK98" s="247">
        <f>BK94+BK96</f>
        <v/>
      </c>
      <c r="BL98" s="247">
        <f>BL94+BL96</f>
        <v/>
      </c>
      <c r="BM98" s="247">
        <f>BM94+BM96</f>
        <v/>
      </c>
      <c r="BN98" s="247">
        <f>BN94+BN96</f>
        <v/>
      </c>
      <c r="BO98" s="247">
        <f>BO94+BO96</f>
        <v/>
      </c>
      <c r="BP98" s="247">
        <f>BP94+BP96</f>
        <v/>
      </c>
      <c r="BQ98" s="247">
        <f>BQ94+BQ96</f>
        <v/>
      </c>
      <c r="BR98" s="247">
        <f>BR94+BR96</f>
        <v/>
      </c>
      <c r="BS98" s="247">
        <f>BS94+BS96</f>
        <v/>
      </c>
      <c r="BT98" s="247">
        <f>BT94+BT96</f>
        <v/>
      </c>
      <c r="BU98" s="247">
        <f>BU94+BU96</f>
        <v/>
      </c>
      <c r="BV98" s="247">
        <f>BV94+BV96</f>
        <v/>
      </c>
      <c r="BW98" s="247">
        <f>BW94+BW96</f>
        <v/>
      </c>
      <c r="BX98" s="247">
        <f>BX94+BX96</f>
        <v/>
      </c>
      <c r="BY98" s="247">
        <f>BY94+BY96</f>
        <v/>
      </c>
      <c r="BZ98" s="247">
        <f>BZ94+BZ96</f>
        <v/>
      </c>
      <c r="CA98" s="247">
        <f>CA94+CA96</f>
        <v/>
      </c>
    </row>
    <row r="99" ht="12" customHeight="1" s="227">
      <c r="A99" s="244" t="n"/>
      <c r="B99" s="244" t="n"/>
      <c r="C99" s="244" t="n"/>
      <c r="G99" s="222" t="n"/>
      <c r="M99" s="245" t="n"/>
      <c r="N99" s="245" t="n"/>
      <c r="O99" s="245" t="n"/>
      <c r="P99" s="245" t="n"/>
      <c r="Q99" s="245" t="n"/>
    </row>
    <row r="100" ht="12" customHeight="1" s="227">
      <c r="A100" s="244" t="n"/>
      <c r="B100" s="244" t="n"/>
      <c r="C100" s="244" t="n"/>
      <c r="H100" s="0" t="inlineStr">
        <is>
          <t>Dividends Paid</t>
        </is>
      </c>
      <c r="I100" s="27">
        <f> i_Setup!$M$16</f>
        <v/>
      </c>
      <c r="J100" s="0" t="n"/>
      <c r="K100" s="27" t="n"/>
      <c r="M100" s="245">
        <f>SUMIF($T$4:$CA$4,M$4,$T100:$CA100)</f>
        <v/>
      </c>
      <c r="N100" s="245">
        <f>SUMIF($T$4:$CA$4,N$4,$T100:$CA100)</f>
        <v/>
      </c>
      <c r="O100" s="245">
        <f>SUMIF($T$4:$CA$4,O$4,$T100:$CA100)</f>
        <v/>
      </c>
      <c r="P100" s="245">
        <f>SUMIF($T$4:$CA$4,P$4,$T100:$CA100)</f>
        <v/>
      </c>
      <c r="Q100" s="245">
        <f>SUMIF($T$4:$CA$4,Q$4,$T100:$CA100)</f>
        <v/>
      </c>
      <c r="T100" s="257">
        <f>IF(T$7="Actual",i_Actuals!T100,-c_Calculations!T640)</f>
        <v/>
      </c>
      <c r="U100" s="257">
        <f>IF(U$7="Actual",i_Actuals!U100,-c_Calculations!U640)</f>
        <v/>
      </c>
      <c r="V100" s="257">
        <f>IF(V$7="Actual",i_Actuals!V100,-c_Calculations!V640)</f>
        <v/>
      </c>
      <c r="W100" s="257">
        <f>IF(W$7="Actual",i_Actuals!W100,-c_Calculations!W640)</f>
        <v/>
      </c>
      <c r="X100" s="257">
        <f>IF(X$7="Actual",i_Actuals!X100,-c_Calculations!X640)</f>
        <v/>
      </c>
      <c r="Y100" s="257">
        <f>IF(Y$7="Actual",i_Actuals!Y100,-c_Calculations!Y640)</f>
        <v/>
      </c>
      <c r="Z100" s="257">
        <f>IF(Z$7="Actual",i_Actuals!Z100,-c_Calculations!Z640)</f>
        <v/>
      </c>
      <c r="AA100" s="257">
        <f>IF(AA$7="Actual",i_Actuals!AA100,-c_Calculations!AA640)</f>
        <v/>
      </c>
      <c r="AB100" s="257">
        <f>IF(AB$7="Actual",i_Actuals!AB100,-c_Calculations!AB640)</f>
        <v/>
      </c>
      <c r="AC100" s="257">
        <f>IF(AC$7="Actual",i_Actuals!AC100,-c_Calculations!AC640)</f>
        <v/>
      </c>
      <c r="AD100" s="257">
        <f>IF(AD$7="Actual",i_Actuals!AD100,-c_Calculations!AD640)</f>
        <v/>
      </c>
      <c r="AE100" s="257">
        <f>IF(AE$7="Actual",i_Actuals!AE100,-c_Calculations!AE640)</f>
        <v/>
      </c>
      <c r="AF100" s="257">
        <f>IF(AF$7="Actual",i_Actuals!AF100,-c_Calculations!AF640)</f>
        <v/>
      </c>
      <c r="AG100" s="257">
        <f>IF(AG$7="Actual",i_Actuals!AG100,-c_Calculations!AG640)</f>
        <v/>
      </c>
      <c r="AH100" s="257">
        <f>IF(AH$7="Actual",i_Actuals!AH100,-c_Calculations!AH640)</f>
        <v/>
      </c>
      <c r="AI100" s="257">
        <f>IF(AI$7="Actual",i_Actuals!AI100,-c_Calculations!AI640)</f>
        <v/>
      </c>
      <c r="AJ100" s="257">
        <f>IF(AJ$7="Actual",i_Actuals!AJ100,-c_Calculations!AJ640)</f>
        <v/>
      </c>
      <c r="AK100" s="257">
        <f>IF(AK$7="Actual",i_Actuals!AK100,-c_Calculations!AK640)</f>
        <v/>
      </c>
      <c r="AL100" s="257">
        <f>IF(AL$7="Actual",i_Actuals!AL100,-c_Calculations!AL640)</f>
        <v/>
      </c>
      <c r="AM100" s="257">
        <f>IF(AM$7="Actual",i_Actuals!AM100,-c_Calculations!AM640)</f>
        <v/>
      </c>
      <c r="AN100" s="257">
        <f>IF(AN$7="Actual",i_Actuals!AN100,-c_Calculations!AN640)</f>
        <v/>
      </c>
      <c r="AO100" s="257">
        <f>IF(AO$7="Actual",i_Actuals!AO100,-c_Calculations!AO640)</f>
        <v/>
      </c>
      <c r="AP100" s="257">
        <f>IF(AP$7="Actual",i_Actuals!AP100,-c_Calculations!AP640)</f>
        <v/>
      </c>
      <c r="AQ100" s="257">
        <f>IF(AQ$7="Actual",i_Actuals!AQ100,-c_Calculations!AQ640)</f>
        <v/>
      </c>
      <c r="AR100" s="257">
        <f>IF(AR$7="Actual",i_Actuals!AR100,-c_Calculations!AR640)</f>
        <v/>
      </c>
      <c r="AS100" s="257">
        <f>IF(AS$7="Actual",i_Actuals!AS100,-c_Calculations!AS640)</f>
        <v/>
      </c>
      <c r="AT100" s="257">
        <f>IF(AT$7="Actual",i_Actuals!AT100,-c_Calculations!AT640)</f>
        <v/>
      </c>
      <c r="AU100" s="257">
        <f>IF(AU$7="Actual",i_Actuals!AU100,-c_Calculations!AU640)</f>
        <v/>
      </c>
      <c r="AV100" s="257">
        <f>IF(AV$7="Actual",i_Actuals!AV100,-c_Calculations!AV640)</f>
        <v/>
      </c>
      <c r="AW100" s="257">
        <f>IF(AW$7="Actual",i_Actuals!AW100,-c_Calculations!AW640)</f>
        <v/>
      </c>
      <c r="AX100" s="257">
        <f>IF(AX$7="Actual",i_Actuals!AX100,-c_Calculations!AX640)</f>
        <v/>
      </c>
      <c r="AY100" s="257">
        <f>IF(AY$7="Actual",i_Actuals!AY100,-c_Calculations!AY640)</f>
        <v/>
      </c>
      <c r="AZ100" s="257">
        <f>IF(AZ$7="Actual",i_Actuals!AZ100,-c_Calculations!AZ640)</f>
        <v/>
      </c>
      <c r="BA100" s="257">
        <f>IF(BA$7="Actual",i_Actuals!BA100,-c_Calculations!BA640)</f>
        <v/>
      </c>
      <c r="BB100" s="257">
        <f>IF(BB$7="Actual",i_Actuals!BB100,-c_Calculations!BB640)</f>
        <v/>
      </c>
      <c r="BC100" s="257">
        <f>IF(BC$7="Actual",i_Actuals!BC100,-c_Calculations!BC640)</f>
        <v/>
      </c>
      <c r="BD100" s="257">
        <f>IF(BD$7="Actual",i_Actuals!BD100,-c_Calculations!BD640)</f>
        <v/>
      </c>
      <c r="BE100" s="257">
        <f>IF(BE$7="Actual",i_Actuals!BE100,-c_Calculations!BE640)</f>
        <v/>
      </c>
      <c r="BF100" s="257">
        <f>IF(BF$7="Actual",i_Actuals!BF100,-c_Calculations!BF640)</f>
        <v/>
      </c>
      <c r="BG100" s="257">
        <f>IF(BG$7="Actual",i_Actuals!BG100,-c_Calculations!BG640)</f>
        <v/>
      </c>
      <c r="BH100" s="257">
        <f>IF(BH$7="Actual",i_Actuals!BH100,-c_Calculations!BH640)</f>
        <v/>
      </c>
      <c r="BI100" s="257">
        <f>IF(BI$7="Actual",i_Actuals!BI100,-c_Calculations!BI640)</f>
        <v/>
      </c>
      <c r="BJ100" s="257">
        <f>IF(BJ$7="Actual",i_Actuals!BJ100,-c_Calculations!BJ640)</f>
        <v/>
      </c>
      <c r="BK100" s="257">
        <f>IF(BK$7="Actual",i_Actuals!BK100,-c_Calculations!BK640)</f>
        <v/>
      </c>
      <c r="BL100" s="257">
        <f>IF(BL$7="Actual",i_Actuals!BL100,-c_Calculations!BL640)</f>
        <v/>
      </c>
      <c r="BM100" s="257">
        <f>IF(BM$7="Actual",i_Actuals!BM100,-c_Calculations!BM640)</f>
        <v/>
      </c>
      <c r="BN100" s="257">
        <f>IF(BN$7="Actual",i_Actuals!BN100,-c_Calculations!BN640)</f>
        <v/>
      </c>
      <c r="BO100" s="257">
        <f>IF(BO$7="Actual",i_Actuals!BO100,-c_Calculations!BO640)</f>
        <v/>
      </c>
      <c r="BP100" s="257">
        <f>IF(BP$7="Actual",i_Actuals!BP100,-c_Calculations!BP640)</f>
        <v/>
      </c>
      <c r="BQ100" s="257">
        <f>IF(BQ$7="Actual",i_Actuals!BQ100,-c_Calculations!BQ640)</f>
        <v/>
      </c>
      <c r="BR100" s="257">
        <f>IF(BR$7="Actual",i_Actuals!BR100,-c_Calculations!BR640)</f>
        <v/>
      </c>
      <c r="BS100" s="257">
        <f>IF(BS$7="Actual",i_Actuals!BS100,-c_Calculations!BS640)</f>
        <v/>
      </c>
      <c r="BT100" s="257">
        <f>IF(BT$7="Actual",i_Actuals!BT100,-c_Calculations!BT640)</f>
        <v/>
      </c>
      <c r="BU100" s="257">
        <f>IF(BU$7="Actual",i_Actuals!BU100,-c_Calculations!BU640)</f>
        <v/>
      </c>
      <c r="BV100" s="257">
        <f>IF(BV$7="Actual",i_Actuals!BV100,-c_Calculations!BV640)</f>
        <v/>
      </c>
      <c r="BW100" s="257">
        <f>IF(BW$7="Actual",i_Actuals!BW100,-c_Calculations!BW640)</f>
        <v/>
      </c>
      <c r="BX100" s="257">
        <f>IF(BX$7="Actual",i_Actuals!BX100,-c_Calculations!BX640)</f>
        <v/>
      </c>
      <c r="BY100" s="257">
        <f>IF(BY$7="Actual",i_Actuals!BY100,-c_Calculations!BY640)</f>
        <v/>
      </c>
      <c r="BZ100" s="257">
        <f>IF(BZ$7="Actual",i_Actuals!BZ100,-c_Calculations!BZ640)</f>
        <v/>
      </c>
      <c r="CA100" s="257">
        <f>IF(CA$7="Actual",i_Actuals!CA100,-c_Calculations!CA640)</f>
        <v/>
      </c>
    </row>
    <row r="101" ht="12" customHeight="1" s="227">
      <c r="A101" s="244" t="n"/>
      <c r="B101" s="244" t="n"/>
      <c r="C101" s="244" t="n"/>
      <c r="G101" s="222" t="n"/>
      <c r="M101" s="245" t="n"/>
      <c r="N101" s="245" t="n"/>
      <c r="O101" s="245" t="n"/>
      <c r="P101" s="245" t="n"/>
      <c r="Q101" s="245" t="n"/>
    </row>
    <row r="102" ht="12" customFormat="1" customHeight="1" s="8" thickBot="1">
      <c r="A102" s="276" t="n"/>
      <c r="B102" s="276" t="n"/>
      <c r="C102" s="276" t="n"/>
      <c r="G102" s="83" t="inlineStr">
        <is>
          <t>Total Retained Earnings</t>
        </is>
      </c>
      <c r="H102" s="77" t="n"/>
      <c r="I102" s="78">
        <f> i_Setup!$M$16</f>
        <v/>
      </c>
      <c r="J102" s="77" t="n"/>
      <c r="K102" s="56" t="n"/>
      <c r="M102" s="250">
        <f>M98+M100</f>
        <v/>
      </c>
      <c r="N102" s="250">
        <f>N98+N100</f>
        <v/>
      </c>
      <c r="O102" s="250">
        <f>O98+O100</f>
        <v/>
      </c>
      <c r="P102" s="250">
        <f>P98+P100</f>
        <v/>
      </c>
      <c r="Q102" s="250">
        <f>Q98+Q100</f>
        <v/>
      </c>
      <c r="T102" s="250">
        <f>T98+T100</f>
        <v/>
      </c>
      <c r="U102" s="250">
        <f>U98+U100</f>
        <v/>
      </c>
      <c r="V102" s="250">
        <f>V98+V100</f>
        <v/>
      </c>
      <c r="W102" s="250">
        <f>W98+W100</f>
        <v/>
      </c>
      <c r="X102" s="250">
        <f>X98+X100</f>
        <v/>
      </c>
      <c r="Y102" s="250">
        <f>Y98+Y100</f>
        <v/>
      </c>
      <c r="Z102" s="250">
        <f>Z98+Z100</f>
        <v/>
      </c>
      <c r="AA102" s="250">
        <f>AA98+AA100</f>
        <v/>
      </c>
      <c r="AB102" s="250">
        <f>AB98+AB100</f>
        <v/>
      </c>
      <c r="AC102" s="250">
        <f>AC98+AC100</f>
        <v/>
      </c>
      <c r="AD102" s="250">
        <f>AD98+AD100</f>
        <v/>
      </c>
      <c r="AE102" s="250">
        <f>AE98+AE100</f>
        <v/>
      </c>
      <c r="AF102" s="250">
        <f>AF98+AF100</f>
        <v/>
      </c>
      <c r="AG102" s="250">
        <f>AG98+AG100</f>
        <v/>
      </c>
      <c r="AH102" s="250">
        <f>AH98+AH100</f>
        <v/>
      </c>
      <c r="AI102" s="250">
        <f>AI98+AI100</f>
        <v/>
      </c>
      <c r="AJ102" s="250">
        <f>AJ98+AJ100</f>
        <v/>
      </c>
      <c r="AK102" s="250">
        <f>AK98+AK100</f>
        <v/>
      </c>
      <c r="AL102" s="250">
        <f>AL98+AL100</f>
        <v/>
      </c>
      <c r="AM102" s="250">
        <f>AM98+AM100</f>
        <v/>
      </c>
      <c r="AN102" s="250">
        <f>AN98+AN100</f>
        <v/>
      </c>
      <c r="AO102" s="250">
        <f>AO98+AO100</f>
        <v/>
      </c>
      <c r="AP102" s="250">
        <f>AP98+AP100</f>
        <v/>
      </c>
      <c r="AQ102" s="250">
        <f>AQ98+AQ100</f>
        <v/>
      </c>
      <c r="AR102" s="250">
        <f>AR98+AR100</f>
        <v/>
      </c>
      <c r="AS102" s="250">
        <f>AS98+AS100</f>
        <v/>
      </c>
      <c r="AT102" s="250">
        <f>AT98+AT100</f>
        <v/>
      </c>
      <c r="AU102" s="250">
        <f>AU98+AU100</f>
        <v/>
      </c>
      <c r="AV102" s="250">
        <f>AV98+AV100</f>
        <v/>
      </c>
      <c r="AW102" s="250">
        <f>AW98+AW100</f>
        <v/>
      </c>
      <c r="AX102" s="250">
        <f>AX98+AX100</f>
        <v/>
      </c>
      <c r="AY102" s="250">
        <f>AY98+AY100</f>
        <v/>
      </c>
      <c r="AZ102" s="250">
        <f>AZ98+AZ100</f>
        <v/>
      </c>
      <c r="BA102" s="250">
        <f>BA98+BA100</f>
        <v/>
      </c>
      <c r="BB102" s="250">
        <f>BB98+BB100</f>
        <v/>
      </c>
      <c r="BC102" s="250">
        <f>BC98+BC100</f>
        <v/>
      </c>
      <c r="BD102" s="250">
        <f>BD98+BD100</f>
        <v/>
      </c>
      <c r="BE102" s="250">
        <f>BE98+BE100</f>
        <v/>
      </c>
      <c r="BF102" s="250">
        <f>BF98+BF100</f>
        <v/>
      </c>
      <c r="BG102" s="250">
        <f>BG98+BG100</f>
        <v/>
      </c>
      <c r="BH102" s="250">
        <f>BH98+BH100</f>
        <v/>
      </c>
      <c r="BI102" s="250">
        <f>BI98+BI100</f>
        <v/>
      </c>
      <c r="BJ102" s="250">
        <f>BJ98+BJ100</f>
        <v/>
      </c>
      <c r="BK102" s="250">
        <f>BK98+BK100</f>
        <v/>
      </c>
      <c r="BL102" s="250">
        <f>BL98+BL100</f>
        <v/>
      </c>
      <c r="BM102" s="250">
        <f>BM98+BM100</f>
        <v/>
      </c>
      <c r="BN102" s="250">
        <f>BN98+BN100</f>
        <v/>
      </c>
      <c r="BO102" s="250">
        <f>BO98+BO100</f>
        <v/>
      </c>
      <c r="BP102" s="250">
        <f>BP98+BP100</f>
        <v/>
      </c>
      <c r="BQ102" s="250">
        <f>BQ98+BQ100</f>
        <v/>
      </c>
      <c r="BR102" s="250">
        <f>BR98+BR100</f>
        <v/>
      </c>
      <c r="BS102" s="250">
        <f>BS98+BS100</f>
        <v/>
      </c>
      <c r="BT102" s="250">
        <f>BT98+BT100</f>
        <v/>
      </c>
      <c r="BU102" s="250">
        <f>BU98+BU100</f>
        <v/>
      </c>
      <c r="BV102" s="250">
        <f>BV98+BV100</f>
        <v/>
      </c>
      <c r="BW102" s="250">
        <f>BW98+BW100</f>
        <v/>
      </c>
      <c r="BX102" s="250">
        <f>BX98+BX100</f>
        <v/>
      </c>
      <c r="BY102" s="250">
        <f>BY98+BY100</f>
        <v/>
      </c>
      <c r="BZ102" s="250">
        <f>BZ98+BZ100</f>
        <v/>
      </c>
      <c r="CA102" s="250">
        <f>CA98+CA100</f>
        <v/>
      </c>
    </row>
    <row r="103" ht="12" customHeight="1" s="227">
      <c r="A103" s="244" t="n"/>
      <c r="B103" s="244" t="n"/>
      <c r="C103" s="244" t="n"/>
    </row>
    <row r="104" ht="12" customHeight="1" s="227">
      <c r="A104" s="244" t="n"/>
      <c r="B104" s="244" t="n"/>
      <c r="C104" s="244" t="n"/>
    </row>
    <row r="105" ht="12" customHeight="1" s="227">
      <c r="A105" s="244" t="n"/>
      <c r="B105" s="244" t="n"/>
      <c r="C105" s="244" t="n"/>
    </row>
    <row r="106" ht="15.75" customFormat="1" customHeight="1" s="99">
      <c r="D106" s="99">
        <f>Heading1</f>
        <v/>
      </c>
      <c r="E106" s="99" t="inlineStr">
        <is>
          <t>Balance Sheet</t>
        </is>
      </c>
    </row>
    <row r="107" ht="12" customHeight="1" s="227">
      <c r="A107" s="244" t="n"/>
      <c r="B107" s="244" t="n"/>
      <c r="C107" s="244" t="n"/>
    </row>
    <row r="108" ht="13.5" customFormat="1" customHeight="1" s="223" thickBot="1">
      <c r="E108" s="223">
        <f>Heading2</f>
        <v/>
      </c>
      <c r="F108" s="223" t="inlineStr">
        <is>
          <t>Assets</t>
        </is>
      </c>
    </row>
    <row r="109" ht="12" customHeight="1" s="227">
      <c r="A109" s="244" t="n"/>
      <c r="B109" s="244" t="n"/>
      <c r="C109" s="244" t="n"/>
    </row>
    <row r="110" ht="12.75" customHeight="1" s="227">
      <c r="A110" s="244" t="n"/>
      <c r="B110" s="244" t="n"/>
      <c r="C110" s="244" t="n"/>
      <c r="G110" s="222" t="inlineStr">
        <is>
          <t>Non-Current Assets</t>
        </is>
      </c>
    </row>
    <row r="111" ht="12" customHeight="1" s="227">
      <c r="A111" s="244" t="n"/>
      <c r="B111" s="244" t="n"/>
      <c r="C111" s="244" t="n"/>
      <c r="G111" s="222" t="n"/>
      <c r="H111" s="0">
        <f>i_Setup!U68</f>
        <v/>
      </c>
      <c r="I111" s="27">
        <f> i_Setup!$M$16</f>
        <v/>
      </c>
      <c r="K111" s="27" t="n"/>
      <c r="M111" s="245">
        <f>INDEX($T111:$CA111,,MATCH(M$2,$T$2:$CA$2,0))</f>
        <v/>
      </c>
      <c r="N111" s="245">
        <f>INDEX($T111:$CA111,,MATCH(N$2,$T$2:$CA$2,0))</f>
        <v/>
      </c>
      <c r="O111" s="245">
        <f>INDEX($T111:$CA111,,MATCH(O$2,$T$2:$CA$2,0))</f>
        <v/>
      </c>
      <c r="P111" s="245">
        <f>INDEX($T111:$CA111,,MATCH(P$2,$T$2:$CA$2,0))</f>
        <v/>
      </c>
      <c r="Q111" s="245">
        <f>INDEX($T111:$CA111,,MATCH(Q$2,$T$2:$CA$2,0))</f>
        <v/>
      </c>
      <c r="T111" s="257">
        <f>c_Calculations!T691</f>
        <v/>
      </c>
      <c r="U111" s="257">
        <f>c_Calculations!U691</f>
        <v/>
      </c>
      <c r="V111" s="257">
        <f>c_Calculations!V691</f>
        <v/>
      </c>
      <c r="W111" s="257">
        <f>c_Calculations!W691</f>
        <v/>
      </c>
      <c r="X111" s="257">
        <f>c_Calculations!X691</f>
        <v/>
      </c>
      <c r="Y111" s="257">
        <f>c_Calculations!Y691</f>
        <v/>
      </c>
      <c r="Z111" s="257">
        <f>c_Calculations!Z691</f>
        <v/>
      </c>
      <c r="AA111" s="257">
        <f>c_Calculations!AA691</f>
        <v/>
      </c>
      <c r="AB111" s="257">
        <f>c_Calculations!AB691</f>
        <v/>
      </c>
      <c r="AC111" s="257">
        <f>c_Calculations!AC691</f>
        <v/>
      </c>
      <c r="AD111" s="257">
        <f>c_Calculations!AD691</f>
        <v/>
      </c>
      <c r="AE111" s="257">
        <f>c_Calculations!AE691</f>
        <v/>
      </c>
      <c r="AF111" s="257">
        <f>c_Calculations!AF691</f>
        <v/>
      </c>
      <c r="AG111" s="257">
        <f>c_Calculations!AG691</f>
        <v/>
      </c>
      <c r="AH111" s="257">
        <f>c_Calculations!AH691</f>
        <v/>
      </c>
      <c r="AI111" s="257">
        <f>c_Calculations!AI691</f>
        <v/>
      </c>
      <c r="AJ111" s="257">
        <f>c_Calculations!AJ691</f>
        <v/>
      </c>
      <c r="AK111" s="257">
        <f>c_Calculations!AK691</f>
        <v/>
      </c>
      <c r="AL111" s="257">
        <f>c_Calculations!AL691</f>
        <v/>
      </c>
      <c r="AM111" s="257">
        <f>c_Calculations!AM691</f>
        <v/>
      </c>
      <c r="AN111" s="257">
        <f>c_Calculations!AN691</f>
        <v/>
      </c>
      <c r="AO111" s="257">
        <f>c_Calculations!AO691</f>
        <v/>
      </c>
      <c r="AP111" s="257">
        <f>c_Calculations!AP691</f>
        <v/>
      </c>
      <c r="AQ111" s="257">
        <f>c_Calculations!AQ691</f>
        <v/>
      </c>
      <c r="AR111" s="257">
        <f>c_Calculations!AR691</f>
        <v/>
      </c>
      <c r="AS111" s="257">
        <f>c_Calculations!AS691</f>
        <v/>
      </c>
      <c r="AT111" s="257">
        <f>c_Calculations!AT691</f>
        <v/>
      </c>
      <c r="AU111" s="257">
        <f>c_Calculations!AU691</f>
        <v/>
      </c>
      <c r="AV111" s="257">
        <f>c_Calculations!AV691</f>
        <v/>
      </c>
      <c r="AW111" s="257">
        <f>c_Calculations!AW691</f>
        <v/>
      </c>
      <c r="AX111" s="257">
        <f>c_Calculations!AX691</f>
        <v/>
      </c>
      <c r="AY111" s="257">
        <f>c_Calculations!AY691</f>
        <v/>
      </c>
      <c r="AZ111" s="257">
        <f>c_Calculations!AZ691</f>
        <v/>
      </c>
      <c r="BA111" s="257">
        <f>c_Calculations!BA691</f>
        <v/>
      </c>
      <c r="BB111" s="257">
        <f>c_Calculations!BB691</f>
        <v/>
      </c>
      <c r="BC111" s="257">
        <f>c_Calculations!BC691</f>
        <v/>
      </c>
      <c r="BD111" s="257">
        <f>c_Calculations!BD691</f>
        <v/>
      </c>
      <c r="BE111" s="257">
        <f>c_Calculations!BE691</f>
        <v/>
      </c>
      <c r="BF111" s="257">
        <f>c_Calculations!BF691</f>
        <v/>
      </c>
      <c r="BG111" s="257">
        <f>c_Calculations!BG691</f>
        <v/>
      </c>
      <c r="BH111" s="257">
        <f>c_Calculations!BH691</f>
        <v/>
      </c>
      <c r="BI111" s="257">
        <f>c_Calculations!BI691</f>
        <v/>
      </c>
      <c r="BJ111" s="257">
        <f>c_Calculations!BJ691</f>
        <v/>
      </c>
      <c r="BK111" s="257">
        <f>c_Calculations!BK691</f>
        <v/>
      </c>
      <c r="BL111" s="257">
        <f>c_Calculations!BL691</f>
        <v/>
      </c>
      <c r="BM111" s="257">
        <f>c_Calculations!BM691</f>
        <v/>
      </c>
      <c r="BN111" s="257">
        <f>c_Calculations!BN691</f>
        <v/>
      </c>
      <c r="BO111" s="257">
        <f>c_Calculations!BO691</f>
        <v/>
      </c>
      <c r="BP111" s="257">
        <f>c_Calculations!BP691</f>
        <v/>
      </c>
      <c r="BQ111" s="257">
        <f>c_Calculations!BQ691</f>
        <v/>
      </c>
      <c r="BR111" s="257">
        <f>c_Calculations!BR691</f>
        <v/>
      </c>
      <c r="BS111" s="257">
        <f>c_Calculations!BS691</f>
        <v/>
      </c>
      <c r="BT111" s="257">
        <f>c_Calculations!BT691</f>
        <v/>
      </c>
      <c r="BU111" s="257">
        <f>c_Calculations!BU691</f>
        <v/>
      </c>
      <c r="BV111" s="257">
        <f>c_Calculations!BV691</f>
        <v/>
      </c>
      <c r="BW111" s="257">
        <f>c_Calculations!BW691</f>
        <v/>
      </c>
      <c r="BX111" s="257">
        <f>c_Calculations!BX691</f>
        <v/>
      </c>
      <c r="BY111" s="257">
        <f>c_Calculations!BY691</f>
        <v/>
      </c>
      <c r="BZ111" s="257">
        <f>c_Calculations!BZ691</f>
        <v/>
      </c>
      <c r="CA111" s="257">
        <f>c_Calculations!CA691</f>
        <v/>
      </c>
    </row>
    <row r="112" ht="12" customHeight="1" s="227">
      <c r="A112" s="244" t="n"/>
      <c r="B112" s="244" t="n"/>
      <c r="C112" s="244" t="n"/>
      <c r="G112" s="222" t="n"/>
      <c r="H112" s="0">
        <f>i_Setup!U69</f>
        <v/>
      </c>
      <c r="I112" s="27">
        <f> i_Setup!$M$16</f>
        <v/>
      </c>
      <c r="K112" s="27" t="n"/>
      <c r="M112" s="245">
        <f>INDEX($T112:$CA112,,MATCH(M$2,$T$2:$CA$2,0))</f>
        <v/>
      </c>
      <c r="N112" s="245">
        <f>INDEX($T112:$CA112,,MATCH(N$2,$T$2:$CA$2,0))</f>
        <v/>
      </c>
      <c r="O112" s="245">
        <f>INDEX($T112:$CA112,,MATCH(O$2,$T$2:$CA$2,0))</f>
        <v/>
      </c>
      <c r="P112" s="245">
        <f>INDEX($T112:$CA112,,MATCH(P$2,$T$2:$CA$2,0))</f>
        <v/>
      </c>
      <c r="Q112" s="245">
        <f>INDEX($T112:$CA112,,MATCH(Q$2,$T$2:$CA$2,0))</f>
        <v/>
      </c>
      <c r="T112" s="257">
        <f>c_Calculations!T707</f>
        <v/>
      </c>
      <c r="U112" s="257">
        <f>c_Calculations!U707</f>
        <v/>
      </c>
      <c r="V112" s="257">
        <f>c_Calculations!V707</f>
        <v/>
      </c>
      <c r="W112" s="257">
        <f>c_Calculations!W707</f>
        <v/>
      </c>
      <c r="X112" s="257">
        <f>c_Calculations!X707</f>
        <v/>
      </c>
      <c r="Y112" s="257">
        <f>c_Calculations!Y707</f>
        <v/>
      </c>
      <c r="Z112" s="257">
        <f>c_Calculations!Z707</f>
        <v/>
      </c>
      <c r="AA112" s="257">
        <f>c_Calculations!AA707</f>
        <v/>
      </c>
      <c r="AB112" s="257">
        <f>c_Calculations!AB707</f>
        <v/>
      </c>
      <c r="AC112" s="257">
        <f>c_Calculations!AC707</f>
        <v/>
      </c>
      <c r="AD112" s="257">
        <f>c_Calculations!AD707</f>
        <v/>
      </c>
      <c r="AE112" s="257">
        <f>c_Calculations!AE707</f>
        <v/>
      </c>
      <c r="AF112" s="257">
        <f>c_Calculations!AF707</f>
        <v/>
      </c>
      <c r="AG112" s="257">
        <f>c_Calculations!AG707</f>
        <v/>
      </c>
      <c r="AH112" s="257">
        <f>c_Calculations!AH707</f>
        <v/>
      </c>
      <c r="AI112" s="257">
        <f>c_Calculations!AI707</f>
        <v/>
      </c>
      <c r="AJ112" s="257">
        <f>c_Calculations!AJ707</f>
        <v/>
      </c>
      <c r="AK112" s="257">
        <f>c_Calculations!AK707</f>
        <v/>
      </c>
      <c r="AL112" s="257">
        <f>c_Calculations!AL707</f>
        <v/>
      </c>
      <c r="AM112" s="257">
        <f>c_Calculations!AM707</f>
        <v/>
      </c>
      <c r="AN112" s="257">
        <f>c_Calculations!AN707</f>
        <v/>
      </c>
      <c r="AO112" s="257">
        <f>c_Calculations!AO707</f>
        <v/>
      </c>
      <c r="AP112" s="257">
        <f>c_Calculations!AP707</f>
        <v/>
      </c>
      <c r="AQ112" s="257">
        <f>c_Calculations!AQ707</f>
        <v/>
      </c>
      <c r="AR112" s="257">
        <f>c_Calculations!AR707</f>
        <v/>
      </c>
      <c r="AS112" s="257">
        <f>c_Calculations!AS707</f>
        <v/>
      </c>
      <c r="AT112" s="257">
        <f>c_Calculations!AT707</f>
        <v/>
      </c>
      <c r="AU112" s="257">
        <f>c_Calculations!AU707</f>
        <v/>
      </c>
      <c r="AV112" s="257">
        <f>c_Calculations!AV707</f>
        <v/>
      </c>
      <c r="AW112" s="257">
        <f>c_Calculations!AW707</f>
        <v/>
      </c>
      <c r="AX112" s="257">
        <f>c_Calculations!AX707</f>
        <v/>
      </c>
      <c r="AY112" s="257">
        <f>c_Calculations!AY707</f>
        <v/>
      </c>
      <c r="AZ112" s="257">
        <f>c_Calculations!AZ707</f>
        <v/>
      </c>
      <c r="BA112" s="257">
        <f>c_Calculations!BA707</f>
        <v/>
      </c>
      <c r="BB112" s="257">
        <f>c_Calculations!BB707</f>
        <v/>
      </c>
      <c r="BC112" s="257">
        <f>c_Calculations!BC707</f>
        <v/>
      </c>
      <c r="BD112" s="257">
        <f>c_Calculations!BD707</f>
        <v/>
      </c>
      <c r="BE112" s="257">
        <f>c_Calculations!BE707</f>
        <v/>
      </c>
      <c r="BF112" s="257">
        <f>c_Calculations!BF707</f>
        <v/>
      </c>
      <c r="BG112" s="257">
        <f>c_Calculations!BG707</f>
        <v/>
      </c>
      <c r="BH112" s="257">
        <f>c_Calculations!BH707</f>
        <v/>
      </c>
      <c r="BI112" s="257">
        <f>c_Calculations!BI707</f>
        <v/>
      </c>
      <c r="BJ112" s="257">
        <f>c_Calculations!BJ707</f>
        <v/>
      </c>
      <c r="BK112" s="257">
        <f>c_Calculations!BK707</f>
        <v/>
      </c>
      <c r="BL112" s="257">
        <f>c_Calculations!BL707</f>
        <v/>
      </c>
      <c r="BM112" s="257">
        <f>c_Calculations!BM707</f>
        <v/>
      </c>
      <c r="BN112" s="257">
        <f>c_Calculations!BN707</f>
        <v/>
      </c>
      <c r="BO112" s="257">
        <f>c_Calculations!BO707</f>
        <v/>
      </c>
      <c r="BP112" s="257">
        <f>c_Calculations!BP707</f>
        <v/>
      </c>
      <c r="BQ112" s="257">
        <f>c_Calculations!BQ707</f>
        <v/>
      </c>
      <c r="BR112" s="257">
        <f>c_Calculations!BR707</f>
        <v/>
      </c>
      <c r="BS112" s="257">
        <f>c_Calculations!BS707</f>
        <v/>
      </c>
      <c r="BT112" s="257">
        <f>c_Calculations!BT707</f>
        <v/>
      </c>
      <c r="BU112" s="257">
        <f>c_Calculations!BU707</f>
        <v/>
      </c>
      <c r="BV112" s="257">
        <f>c_Calculations!BV707</f>
        <v/>
      </c>
      <c r="BW112" s="257">
        <f>c_Calculations!BW707</f>
        <v/>
      </c>
      <c r="BX112" s="257">
        <f>c_Calculations!BX707</f>
        <v/>
      </c>
      <c r="BY112" s="257">
        <f>c_Calculations!BY707</f>
        <v/>
      </c>
      <c r="BZ112" s="257">
        <f>c_Calculations!BZ707</f>
        <v/>
      </c>
      <c r="CA112" s="257">
        <f>c_Calculations!CA707</f>
        <v/>
      </c>
    </row>
    <row r="113" ht="12" customHeight="1" s="227">
      <c r="A113" s="244" t="n"/>
      <c r="B113" s="244" t="n"/>
      <c r="C113" s="244" t="n"/>
      <c r="G113" s="222" t="n"/>
      <c r="H113" s="0">
        <f>i_Setup!U70</f>
        <v/>
      </c>
      <c r="I113" s="27">
        <f> i_Setup!$M$16</f>
        <v/>
      </c>
      <c r="K113" s="27" t="n"/>
      <c r="M113" s="245">
        <f>INDEX($T113:$CA113,,MATCH(M$2,$T$2:$CA$2,0))</f>
        <v/>
      </c>
      <c r="N113" s="245">
        <f>INDEX($T113:$CA113,,MATCH(N$2,$T$2:$CA$2,0))</f>
        <v/>
      </c>
      <c r="O113" s="245">
        <f>INDEX($T113:$CA113,,MATCH(O$2,$T$2:$CA$2,0))</f>
        <v/>
      </c>
      <c r="P113" s="245">
        <f>INDEX($T113:$CA113,,MATCH(P$2,$T$2:$CA$2,0))</f>
        <v/>
      </c>
      <c r="Q113" s="245">
        <f>INDEX($T113:$CA113,,MATCH(Q$2,$T$2:$CA$2,0))</f>
        <v/>
      </c>
      <c r="T113" s="277">
        <f>c_Calculations!T723</f>
        <v/>
      </c>
      <c r="U113" s="277">
        <f>c_Calculations!U723</f>
        <v/>
      </c>
      <c r="V113" s="277">
        <f>c_Calculations!V723</f>
        <v/>
      </c>
      <c r="W113" s="277">
        <f>c_Calculations!W723</f>
        <v/>
      </c>
      <c r="X113" s="277">
        <f>c_Calculations!X723</f>
        <v/>
      </c>
      <c r="Y113" s="277">
        <f>c_Calculations!Y723</f>
        <v/>
      </c>
      <c r="Z113" s="277">
        <f>c_Calculations!Z723</f>
        <v/>
      </c>
      <c r="AA113" s="277">
        <f>c_Calculations!AA723</f>
        <v/>
      </c>
      <c r="AB113" s="277">
        <f>c_Calculations!AB723</f>
        <v/>
      </c>
      <c r="AC113" s="277">
        <f>c_Calculations!AC723</f>
        <v/>
      </c>
      <c r="AD113" s="277">
        <f>c_Calculations!AD723</f>
        <v/>
      </c>
      <c r="AE113" s="277">
        <f>c_Calculations!AE723</f>
        <v/>
      </c>
      <c r="AF113" s="277">
        <f>c_Calculations!AF723</f>
        <v/>
      </c>
      <c r="AG113" s="277">
        <f>c_Calculations!AG723</f>
        <v/>
      </c>
      <c r="AH113" s="277">
        <f>c_Calculations!AH723</f>
        <v/>
      </c>
      <c r="AI113" s="277">
        <f>c_Calculations!AI723</f>
        <v/>
      </c>
      <c r="AJ113" s="277">
        <f>c_Calculations!AJ723</f>
        <v/>
      </c>
      <c r="AK113" s="277">
        <f>c_Calculations!AK723</f>
        <v/>
      </c>
      <c r="AL113" s="277">
        <f>c_Calculations!AL723</f>
        <v/>
      </c>
      <c r="AM113" s="277">
        <f>c_Calculations!AM723</f>
        <v/>
      </c>
      <c r="AN113" s="277">
        <f>c_Calculations!AN723</f>
        <v/>
      </c>
      <c r="AO113" s="277">
        <f>c_Calculations!AO723</f>
        <v/>
      </c>
      <c r="AP113" s="277">
        <f>c_Calculations!AP723</f>
        <v/>
      </c>
      <c r="AQ113" s="277">
        <f>c_Calculations!AQ723</f>
        <v/>
      </c>
      <c r="AR113" s="277">
        <f>c_Calculations!AR723</f>
        <v/>
      </c>
      <c r="AS113" s="277">
        <f>c_Calculations!AS723</f>
        <v/>
      </c>
      <c r="AT113" s="277">
        <f>c_Calculations!AT723</f>
        <v/>
      </c>
      <c r="AU113" s="277">
        <f>c_Calculations!AU723</f>
        <v/>
      </c>
      <c r="AV113" s="277">
        <f>c_Calculations!AV723</f>
        <v/>
      </c>
      <c r="AW113" s="277">
        <f>c_Calculations!AW723</f>
        <v/>
      </c>
      <c r="AX113" s="277">
        <f>c_Calculations!AX723</f>
        <v/>
      </c>
      <c r="AY113" s="277">
        <f>c_Calculations!AY723</f>
        <v/>
      </c>
      <c r="AZ113" s="277">
        <f>c_Calculations!AZ723</f>
        <v/>
      </c>
      <c r="BA113" s="277">
        <f>c_Calculations!BA723</f>
        <v/>
      </c>
      <c r="BB113" s="277">
        <f>c_Calculations!BB723</f>
        <v/>
      </c>
      <c r="BC113" s="277">
        <f>c_Calculations!BC723</f>
        <v/>
      </c>
      <c r="BD113" s="277">
        <f>c_Calculations!BD723</f>
        <v/>
      </c>
      <c r="BE113" s="277">
        <f>c_Calculations!BE723</f>
        <v/>
      </c>
      <c r="BF113" s="277">
        <f>c_Calculations!BF723</f>
        <v/>
      </c>
      <c r="BG113" s="277">
        <f>c_Calculations!BG723</f>
        <v/>
      </c>
      <c r="BH113" s="277">
        <f>c_Calculations!BH723</f>
        <v/>
      </c>
      <c r="BI113" s="277">
        <f>c_Calculations!BI723</f>
        <v/>
      </c>
      <c r="BJ113" s="277">
        <f>c_Calculations!BJ723</f>
        <v/>
      </c>
      <c r="BK113" s="277">
        <f>c_Calculations!BK723</f>
        <v/>
      </c>
      <c r="BL113" s="277">
        <f>c_Calculations!BL723</f>
        <v/>
      </c>
      <c r="BM113" s="277">
        <f>c_Calculations!BM723</f>
        <v/>
      </c>
      <c r="BN113" s="277">
        <f>c_Calculations!BN723</f>
        <v/>
      </c>
      <c r="BO113" s="277">
        <f>c_Calculations!BO723</f>
        <v/>
      </c>
      <c r="BP113" s="277">
        <f>c_Calculations!BP723</f>
        <v/>
      </c>
      <c r="BQ113" s="277">
        <f>c_Calculations!BQ723</f>
        <v/>
      </c>
      <c r="BR113" s="277">
        <f>c_Calculations!BR723</f>
        <v/>
      </c>
      <c r="BS113" s="277">
        <f>c_Calculations!BS723</f>
        <v/>
      </c>
      <c r="BT113" s="277">
        <f>c_Calculations!BT723</f>
        <v/>
      </c>
      <c r="BU113" s="277">
        <f>c_Calculations!BU723</f>
        <v/>
      </c>
      <c r="BV113" s="277">
        <f>c_Calculations!BV723</f>
        <v/>
      </c>
      <c r="BW113" s="277">
        <f>c_Calculations!BW723</f>
        <v/>
      </c>
      <c r="BX113" s="277">
        <f>c_Calculations!BX723</f>
        <v/>
      </c>
      <c r="BY113" s="277">
        <f>c_Calculations!BY723</f>
        <v/>
      </c>
      <c r="BZ113" s="277">
        <f>c_Calculations!BZ723</f>
        <v/>
      </c>
      <c r="CA113" s="277">
        <f>c_Calculations!CA723</f>
        <v/>
      </c>
    </row>
    <row r="114" ht="12" customHeight="1" s="227">
      <c r="A114" s="244" t="n"/>
      <c r="B114" s="244" t="n"/>
      <c r="C114" s="244" t="n"/>
      <c r="G114" s="222" t="n"/>
      <c r="H114" s="0">
        <f>i_Setup!U71</f>
        <v/>
      </c>
      <c r="I114" s="27">
        <f> i_Setup!$M$16</f>
        <v/>
      </c>
      <c r="K114" s="27" t="n"/>
      <c r="M114" s="245">
        <f>INDEX($T114:$CA114,,MATCH(M$2,$T$2:$CA$2,0))</f>
        <v/>
      </c>
      <c r="N114" s="245">
        <f>INDEX($T114:$CA114,,MATCH(N$2,$T$2:$CA$2,0))</f>
        <v/>
      </c>
      <c r="O114" s="245">
        <f>INDEX($T114:$CA114,,MATCH(O$2,$T$2:$CA$2,0))</f>
        <v/>
      </c>
      <c r="P114" s="245">
        <f>INDEX($T114:$CA114,,MATCH(P$2,$T$2:$CA$2,0))</f>
        <v/>
      </c>
      <c r="Q114" s="245">
        <f>INDEX($T114:$CA114,,MATCH(Q$2,$T$2:$CA$2,0))</f>
        <v/>
      </c>
      <c r="T114" s="277">
        <f>c_Calculations!T739</f>
        <v/>
      </c>
      <c r="U114" s="277">
        <f>c_Calculations!U739</f>
        <v/>
      </c>
      <c r="V114" s="277">
        <f>c_Calculations!V739</f>
        <v/>
      </c>
      <c r="W114" s="277">
        <f>c_Calculations!W739</f>
        <v/>
      </c>
      <c r="X114" s="277">
        <f>c_Calculations!X739</f>
        <v/>
      </c>
      <c r="Y114" s="277">
        <f>c_Calculations!Y739</f>
        <v/>
      </c>
      <c r="Z114" s="277">
        <f>c_Calculations!Z739</f>
        <v/>
      </c>
      <c r="AA114" s="277">
        <f>c_Calculations!AA739</f>
        <v/>
      </c>
      <c r="AB114" s="277">
        <f>c_Calculations!AB739</f>
        <v/>
      </c>
      <c r="AC114" s="277">
        <f>c_Calculations!AC739</f>
        <v/>
      </c>
      <c r="AD114" s="277">
        <f>c_Calculations!AD739</f>
        <v/>
      </c>
      <c r="AE114" s="277">
        <f>c_Calculations!AE739</f>
        <v/>
      </c>
      <c r="AF114" s="277">
        <f>c_Calculations!AF739</f>
        <v/>
      </c>
      <c r="AG114" s="277">
        <f>c_Calculations!AG739</f>
        <v/>
      </c>
      <c r="AH114" s="277">
        <f>c_Calculations!AH739</f>
        <v/>
      </c>
      <c r="AI114" s="277">
        <f>c_Calculations!AI739</f>
        <v/>
      </c>
      <c r="AJ114" s="277">
        <f>c_Calculations!AJ739</f>
        <v/>
      </c>
      <c r="AK114" s="277">
        <f>c_Calculations!AK739</f>
        <v/>
      </c>
      <c r="AL114" s="277">
        <f>c_Calculations!AL739</f>
        <v/>
      </c>
      <c r="AM114" s="277">
        <f>c_Calculations!AM739</f>
        <v/>
      </c>
      <c r="AN114" s="277">
        <f>c_Calculations!AN739</f>
        <v/>
      </c>
      <c r="AO114" s="277">
        <f>c_Calculations!AO739</f>
        <v/>
      </c>
      <c r="AP114" s="277">
        <f>c_Calculations!AP739</f>
        <v/>
      </c>
      <c r="AQ114" s="277">
        <f>c_Calculations!AQ739</f>
        <v/>
      </c>
      <c r="AR114" s="277">
        <f>c_Calculations!AR739</f>
        <v/>
      </c>
      <c r="AS114" s="277">
        <f>c_Calculations!AS739</f>
        <v/>
      </c>
      <c r="AT114" s="277">
        <f>c_Calculations!AT739</f>
        <v/>
      </c>
      <c r="AU114" s="277">
        <f>c_Calculations!AU739</f>
        <v/>
      </c>
      <c r="AV114" s="277">
        <f>c_Calculations!AV739</f>
        <v/>
      </c>
      <c r="AW114" s="277">
        <f>c_Calculations!AW739</f>
        <v/>
      </c>
      <c r="AX114" s="277">
        <f>c_Calculations!AX739</f>
        <v/>
      </c>
      <c r="AY114" s="277">
        <f>c_Calculations!AY739</f>
        <v/>
      </c>
      <c r="AZ114" s="277">
        <f>c_Calculations!AZ739</f>
        <v/>
      </c>
      <c r="BA114" s="277">
        <f>c_Calculations!BA739</f>
        <v/>
      </c>
      <c r="BB114" s="277">
        <f>c_Calculations!BB739</f>
        <v/>
      </c>
      <c r="BC114" s="277">
        <f>c_Calculations!BC739</f>
        <v/>
      </c>
      <c r="BD114" s="277">
        <f>c_Calculations!BD739</f>
        <v/>
      </c>
      <c r="BE114" s="277">
        <f>c_Calculations!BE739</f>
        <v/>
      </c>
      <c r="BF114" s="277">
        <f>c_Calculations!BF739</f>
        <v/>
      </c>
      <c r="BG114" s="277">
        <f>c_Calculations!BG739</f>
        <v/>
      </c>
      <c r="BH114" s="277">
        <f>c_Calculations!BH739</f>
        <v/>
      </c>
      <c r="BI114" s="277">
        <f>c_Calculations!BI739</f>
        <v/>
      </c>
      <c r="BJ114" s="277">
        <f>c_Calculations!BJ739</f>
        <v/>
      </c>
      <c r="BK114" s="277">
        <f>c_Calculations!BK739</f>
        <v/>
      </c>
      <c r="BL114" s="277">
        <f>c_Calculations!BL739</f>
        <v/>
      </c>
      <c r="BM114" s="277">
        <f>c_Calculations!BM739</f>
        <v/>
      </c>
      <c r="BN114" s="277">
        <f>c_Calculations!BN739</f>
        <v/>
      </c>
      <c r="BO114" s="277">
        <f>c_Calculations!BO739</f>
        <v/>
      </c>
      <c r="BP114" s="277">
        <f>c_Calculations!BP739</f>
        <v/>
      </c>
      <c r="BQ114" s="277">
        <f>c_Calculations!BQ739</f>
        <v/>
      </c>
      <c r="BR114" s="277">
        <f>c_Calculations!BR739</f>
        <v/>
      </c>
      <c r="BS114" s="277">
        <f>c_Calculations!BS739</f>
        <v/>
      </c>
      <c r="BT114" s="277">
        <f>c_Calculations!BT739</f>
        <v/>
      </c>
      <c r="BU114" s="277">
        <f>c_Calculations!BU739</f>
        <v/>
      </c>
      <c r="BV114" s="277">
        <f>c_Calculations!BV739</f>
        <v/>
      </c>
      <c r="BW114" s="277">
        <f>c_Calculations!BW739</f>
        <v/>
      </c>
      <c r="BX114" s="277">
        <f>c_Calculations!BX739</f>
        <v/>
      </c>
      <c r="BY114" s="277">
        <f>c_Calculations!BY739</f>
        <v/>
      </c>
      <c r="BZ114" s="277">
        <f>c_Calculations!BZ739</f>
        <v/>
      </c>
      <c r="CA114" s="277">
        <f>c_Calculations!CA739</f>
        <v/>
      </c>
    </row>
    <row r="115" ht="12" customHeight="1" s="227">
      <c r="A115" s="244" t="n"/>
      <c r="B115" s="244" t="n"/>
      <c r="C115" s="244" t="n"/>
      <c r="G115" s="222" t="n"/>
      <c r="H115" s="0">
        <f>i_Setup!U72</f>
        <v/>
      </c>
      <c r="I115" s="27">
        <f> i_Setup!$M$16</f>
        <v/>
      </c>
      <c r="K115" s="27" t="n"/>
      <c r="M115" s="245">
        <f>INDEX($T115:$CA115,,MATCH(M$2,$T$2:$CA$2,0))</f>
        <v/>
      </c>
      <c r="N115" s="245">
        <f>INDEX($T115:$CA115,,MATCH(N$2,$T$2:$CA$2,0))</f>
        <v/>
      </c>
      <c r="O115" s="245">
        <f>INDEX($T115:$CA115,,MATCH(O$2,$T$2:$CA$2,0))</f>
        <v/>
      </c>
      <c r="P115" s="245">
        <f>INDEX($T115:$CA115,,MATCH(P$2,$T$2:$CA$2,0))</f>
        <v/>
      </c>
      <c r="Q115" s="245">
        <f>INDEX($T115:$CA115,,MATCH(Q$2,$T$2:$CA$2,0))</f>
        <v/>
      </c>
      <c r="T115" s="277">
        <f>c_Calculations!T755</f>
        <v/>
      </c>
      <c r="U115" s="277">
        <f>c_Calculations!U755</f>
        <v/>
      </c>
      <c r="V115" s="277">
        <f>c_Calculations!V755</f>
        <v/>
      </c>
      <c r="W115" s="277">
        <f>c_Calculations!W755</f>
        <v/>
      </c>
      <c r="X115" s="277">
        <f>c_Calculations!X755</f>
        <v/>
      </c>
      <c r="Y115" s="277">
        <f>c_Calculations!Y755</f>
        <v/>
      </c>
      <c r="Z115" s="277">
        <f>c_Calculations!Z755</f>
        <v/>
      </c>
      <c r="AA115" s="277">
        <f>c_Calculations!AA755</f>
        <v/>
      </c>
      <c r="AB115" s="277">
        <f>c_Calculations!AB755</f>
        <v/>
      </c>
      <c r="AC115" s="277">
        <f>c_Calculations!AC755</f>
        <v/>
      </c>
      <c r="AD115" s="277">
        <f>c_Calculations!AD755</f>
        <v/>
      </c>
      <c r="AE115" s="277">
        <f>c_Calculations!AE755</f>
        <v/>
      </c>
      <c r="AF115" s="277">
        <f>c_Calculations!AF755</f>
        <v/>
      </c>
      <c r="AG115" s="277">
        <f>c_Calculations!AG755</f>
        <v/>
      </c>
      <c r="AH115" s="277">
        <f>c_Calculations!AH755</f>
        <v/>
      </c>
      <c r="AI115" s="277">
        <f>c_Calculations!AI755</f>
        <v/>
      </c>
      <c r="AJ115" s="277">
        <f>c_Calculations!AJ755</f>
        <v/>
      </c>
      <c r="AK115" s="277">
        <f>c_Calculations!AK755</f>
        <v/>
      </c>
      <c r="AL115" s="277">
        <f>c_Calculations!AL755</f>
        <v/>
      </c>
      <c r="AM115" s="277">
        <f>c_Calculations!AM755</f>
        <v/>
      </c>
      <c r="AN115" s="277">
        <f>c_Calculations!AN755</f>
        <v/>
      </c>
      <c r="AO115" s="277">
        <f>c_Calculations!AO755</f>
        <v/>
      </c>
      <c r="AP115" s="277">
        <f>c_Calculations!AP755</f>
        <v/>
      </c>
      <c r="AQ115" s="277">
        <f>c_Calculations!AQ755</f>
        <v/>
      </c>
      <c r="AR115" s="277">
        <f>c_Calculations!AR755</f>
        <v/>
      </c>
      <c r="AS115" s="277">
        <f>c_Calculations!AS755</f>
        <v/>
      </c>
      <c r="AT115" s="277">
        <f>c_Calculations!AT755</f>
        <v/>
      </c>
      <c r="AU115" s="277">
        <f>c_Calculations!AU755</f>
        <v/>
      </c>
      <c r="AV115" s="277">
        <f>c_Calculations!AV755</f>
        <v/>
      </c>
      <c r="AW115" s="277">
        <f>c_Calculations!AW755</f>
        <v/>
      </c>
      <c r="AX115" s="277">
        <f>c_Calculations!AX755</f>
        <v/>
      </c>
      <c r="AY115" s="277">
        <f>c_Calculations!AY755</f>
        <v/>
      </c>
      <c r="AZ115" s="277">
        <f>c_Calculations!AZ755</f>
        <v/>
      </c>
      <c r="BA115" s="277">
        <f>c_Calculations!BA755</f>
        <v/>
      </c>
      <c r="BB115" s="277">
        <f>c_Calculations!BB755</f>
        <v/>
      </c>
      <c r="BC115" s="277">
        <f>c_Calculations!BC755</f>
        <v/>
      </c>
      <c r="BD115" s="277">
        <f>c_Calculations!BD755</f>
        <v/>
      </c>
      <c r="BE115" s="277">
        <f>c_Calculations!BE755</f>
        <v/>
      </c>
      <c r="BF115" s="277">
        <f>c_Calculations!BF755</f>
        <v/>
      </c>
      <c r="BG115" s="277">
        <f>c_Calculations!BG755</f>
        <v/>
      </c>
      <c r="BH115" s="277">
        <f>c_Calculations!BH755</f>
        <v/>
      </c>
      <c r="BI115" s="277">
        <f>c_Calculations!BI755</f>
        <v/>
      </c>
      <c r="BJ115" s="277">
        <f>c_Calculations!BJ755</f>
        <v/>
      </c>
      <c r="BK115" s="277">
        <f>c_Calculations!BK755</f>
        <v/>
      </c>
      <c r="BL115" s="277">
        <f>c_Calculations!BL755</f>
        <v/>
      </c>
      <c r="BM115" s="277">
        <f>c_Calculations!BM755</f>
        <v/>
      </c>
      <c r="BN115" s="277">
        <f>c_Calculations!BN755</f>
        <v/>
      </c>
      <c r="BO115" s="277">
        <f>c_Calculations!BO755</f>
        <v/>
      </c>
      <c r="BP115" s="277">
        <f>c_Calculations!BP755</f>
        <v/>
      </c>
      <c r="BQ115" s="277">
        <f>c_Calculations!BQ755</f>
        <v/>
      </c>
      <c r="BR115" s="277">
        <f>c_Calculations!BR755</f>
        <v/>
      </c>
      <c r="BS115" s="277">
        <f>c_Calculations!BS755</f>
        <v/>
      </c>
      <c r="BT115" s="277">
        <f>c_Calculations!BT755</f>
        <v/>
      </c>
      <c r="BU115" s="277">
        <f>c_Calculations!BU755</f>
        <v/>
      </c>
      <c r="BV115" s="277">
        <f>c_Calculations!BV755</f>
        <v/>
      </c>
      <c r="BW115" s="277">
        <f>c_Calculations!BW755</f>
        <v/>
      </c>
      <c r="BX115" s="277">
        <f>c_Calculations!BX755</f>
        <v/>
      </c>
      <c r="BY115" s="277">
        <f>c_Calculations!BY755</f>
        <v/>
      </c>
      <c r="BZ115" s="277">
        <f>c_Calculations!BZ755</f>
        <v/>
      </c>
      <c r="CA115" s="277">
        <f>c_Calculations!CA755</f>
        <v/>
      </c>
    </row>
    <row r="116" ht="12" customHeight="1" s="227">
      <c r="A116" s="244" t="n"/>
      <c r="B116" s="244" t="n"/>
      <c r="C116" s="244" t="n"/>
      <c r="G116" s="222" t="n"/>
      <c r="H116" s="0">
        <f>i_Setup!U115</f>
        <v/>
      </c>
      <c r="I116" s="27">
        <f> i_Setup!$M$16</f>
        <v/>
      </c>
      <c r="K116" s="27" t="n"/>
      <c r="M116" s="245">
        <f>INDEX($T116:$CA116,,MATCH(M$2,$T$2:$CA$2,0))</f>
        <v/>
      </c>
      <c r="N116" s="245">
        <f>INDEX($T116:$CA116,,MATCH(N$2,$T$2:$CA$2,0))</f>
        <v/>
      </c>
      <c r="O116" s="245">
        <f>INDEX($T116:$CA116,,MATCH(O$2,$T$2:$CA$2,0))</f>
        <v/>
      </c>
      <c r="P116" s="245">
        <f>INDEX($T116:$CA116,,MATCH(P$2,$T$2:$CA$2,0))</f>
        <v/>
      </c>
      <c r="Q116" s="245">
        <f>INDEX($T116:$CA116,,MATCH(Q$2,$T$2:$CA$2,0))</f>
        <v/>
      </c>
      <c r="T116" s="257">
        <f>c_Calculations!T771</f>
        <v/>
      </c>
      <c r="U116" s="257">
        <f>c_Calculations!U771</f>
        <v/>
      </c>
      <c r="V116" s="257">
        <f>c_Calculations!V771</f>
        <v/>
      </c>
      <c r="W116" s="257">
        <f>c_Calculations!W771</f>
        <v/>
      </c>
      <c r="X116" s="257">
        <f>c_Calculations!X771</f>
        <v/>
      </c>
      <c r="Y116" s="257">
        <f>c_Calculations!Y771</f>
        <v/>
      </c>
      <c r="Z116" s="257">
        <f>c_Calculations!Z771</f>
        <v/>
      </c>
      <c r="AA116" s="257">
        <f>c_Calculations!AA771</f>
        <v/>
      </c>
      <c r="AB116" s="257">
        <f>c_Calculations!AB771</f>
        <v/>
      </c>
      <c r="AC116" s="257">
        <f>c_Calculations!AC771</f>
        <v/>
      </c>
      <c r="AD116" s="257">
        <f>c_Calculations!AD771</f>
        <v/>
      </c>
      <c r="AE116" s="257">
        <f>c_Calculations!AE771</f>
        <v/>
      </c>
      <c r="AF116" s="257">
        <f>c_Calculations!AF771</f>
        <v/>
      </c>
      <c r="AG116" s="257">
        <f>c_Calculations!AG771</f>
        <v/>
      </c>
      <c r="AH116" s="257">
        <f>c_Calculations!AH771</f>
        <v/>
      </c>
      <c r="AI116" s="257">
        <f>c_Calculations!AI771</f>
        <v/>
      </c>
      <c r="AJ116" s="257">
        <f>c_Calculations!AJ771</f>
        <v/>
      </c>
      <c r="AK116" s="257">
        <f>c_Calculations!AK771</f>
        <v/>
      </c>
      <c r="AL116" s="257">
        <f>c_Calculations!AL771</f>
        <v/>
      </c>
      <c r="AM116" s="257">
        <f>c_Calculations!AM771</f>
        <v/>
      </c>
      <c r="AN116" s="257">
        <f>c_Calculations!AN771</f>
        <v/>
      </c>
      <c r="AO116" s="257">
        <f>c_Calculations!AO771</f>
        <v/>
      </c>
      <c r="AP116" s="257">
        <f>c_Calculations!AP771</f>
        <v/>
      </c>
      <c r="AQ116" s="257">
        <f>c_Calculations!AQ771</f>
        <v/>
      </c>
      <c r="AR116" s="257">
        <f>c_Calculations!AR771</f>
        <v/>
      </c>
      <c r="AS116" s="257">
        <f>c_Calculations!AS771</f>
        <v/>
      </c>
      <c r="AT116" s="257">
        <f>c_Calculations!AT771</f>
        <v/>
      </c>
      <c r="AU116" s="257">
        <f>c_Calculations!AU771</f>
        <v/>
      </c>
      <c r="AV116" s="257">
        <f>c_Calculations!AV771</f>
        <v/>
      </c>
      <c r="AW116" s="257">
        <f>c_Calculations!AW771</f>
        <v/>
      </c>
      <c r="AX116" s="257">
        <f>c_Calculations!AX771</f>
        <v/>
      </c>
      <c r="AY116" s="257">
        <f>c_Calculations!AY771</f>
        <v/>
      </c>
      <c r="AZ116" s="257">
        <f>c_Calculations!AZ771</f>
        <v/>
      </c>
      <c r="BA116" s="257">
        <f>c_Calculations!BA771</f>
        <v/>
      </c>
      <c r="BB116" s="257">
        <f>c_Calculations!BB771</f>
        <v/>
      </c>
      <c r="BC116" s="257">
        <f>c_Calculations!BC771</f>
        <v/>
      </c>
      <c r="BD116" s="257">
        <f>c_Calculations!BD771</f>
        <v/>
      </c>
      <c r="BE116" s="257">
        <f>c_Calculations!BE771</f>
        <v/>
      </c>
      <c r="BF116" s="257">
        <f>c_Calculations!BF771</f>
        <v/>
      </c>
      <c r="BG116" s="257">
        <f>c_Calculations!BG771</f>
        <v/>
      </c>
      <c r="BH116" s="257">
        <f>c_Calculations!BH771</f>
        <v/>
      </c>
      <c r="BI116" s="257">
        <f>c_Calculations!BI771</f>
        <v/>
      </c>
      <c r="BJ116" s="257">
        <f>c_Calculations!BJ771</f>
        <v/>
      </c>
      <c r="BK116" s="257">
        <f>c_Calculations!BK771</f>
        <v/>
      </c>
      <c r="BL116" s="257">
        <f>c_Calculations!BL771</f>
        <v/>
      </c>
      <c r="BM116" s="257">
        <f>c_Calculations!BM771</f>
        <v/>
      </c>
      <c r="BN116" s="257">
        <f>c_Calculations!BN771</f>
        <v/>
      </c>
      <c r="BO116" s="257">
        <f>c_Calculations!BO771</f>
        <v/>
      </c>
      <c r="BP116" s="257">
        <f>c_Calculations!BP771</f>
        <v/>
      </c>
      <c r="BQ116" s="257">
        <f>c_Calculations!BQ771</f>
        <v/>
      </c>
      <c r="BR116" s="257">
        <f>c_Calculations!BR771</f>
        <v/>
      </c>
      <c r="BS116" s="257">
        <f>c_Calculations!BS771</f>
        <v/>
      </c>
      <c r="BT116" s="257">
        <f>c_Calculations!BT771</f>
        <v/>
      </c>
      <c r="BU116" s="257">
        <f>c_Calculations!BU771</f>
        <v/>
      </c>
      <c r="BV116" s="257">
        <f>c_Calculations!BV771</f>
        <v/>
      </c>
      <c r="BW116" s="257">
        <f>c_Calculations!BW771</f>
        <v/>
      </c>
      <c r="BX116" s="257">
        <f>c_Calculations!BX771</f>
        <v/>
      </c>
      <c r="BY116" s="257">
        <f>c_Calculations!BY771</f>
        <v/>
      </c>
      <c r="BZ116" s="257">
        <f>c_Calculations!BZ771</f>
        <v/>
      </c>
      <c r="CA116" s="257">
        <f>c_Calculations!CA771</f>
        <v/>
      </c>
    </row>
    <row r="117" ht="12" customHeight="1" s="227">
      <c r="A117" s="244" t="n"/>
      <c r="B117" s="244" t="n"/>
      <c r="C117" s="244" t="n"/>
      <c r="G117" s="222" t="n"/>
      <c r="H117" s="0">
        <f>i_Setup!U116</f>
        <v/>
      </c>
      <c r="I117" s="27">
        <f> i_Setup!$M$16</f>
        <v/>
      </c>
      <c r="K117" s="27" t="n"/>
      <c r="M117" s="245">
        <f>INDEX($T117:$CA117,,MATCH(M$2,$T$2:$CA$2,0))</f>
        <v/>
      </c>
      <c r="N117" s="245">
        <f>INDEX($T117:$CA117,,MATCH(N$2,$T$2:$CA$2,0))</f>
        <v/>
      </c>
      <c r="O117" s="245">
        <f>INDEX($T117:$CA117,,MATCH(O$2,$T$2:$CA$2,0))</f>
        <v/>
      </c>
      <c r="P117" s="245">
        <f>INDEX($T117:$CA117,,MATCH(P$2,$T$2:$CA$2,0))</f>
        <v/>
      </c>
      <c r="Q117" s="245">
        <f>INDEX($T117:$CA117,,MATCH(Q$2,$T$2:$CA$2,0))</f>
        <v/>
      </c>
      <c r="T117" s="257">
        <f>c_Calculations!T787</f>
        <v/>
      </c>
      <c r="U117" s="257">
        <f>c_Calculations!U787</f>
        <v/>
      </c>
      <c r="V117" s="257">
        <f>c_Calculations!V787</f>
        <v/>
      </c>
      <c r="W117" s="257">
        <f>c_Calculations!W787</f>
        <v/>
      </c>
      <c r="X117" s="257">
        <f>c_Calculations!X787</f>
        <v/>
      </c>
      <c r="Y117" s="257">
        <f>c_Calculations!Y787</f>
        <v/>
      </c>
      <c r="Z117" s="257">
        <f>c_Calculations!Z787</f>
        <v/>
      </c>
      <c r="AA117" s="257">
        <f>c_Calculations!AA787</f>
        <v/>
      </c>
      <c r="AB117" s="257">
        <f>c_Calculations!AB787</f>
        <v/>
      </c>
      <c r="AC117" s="257">
        <f>c_Calculations!AC787</f>
        <v/>
      </c>
      <c r="AD117" s="257">
        <f>c_Calculations!AD787</f>
        <v/>
      </c>
      <c r="AE117" s="257">
        <f>c_Calculations!AE787</f>
        <v/>
      </c>
      <c r="AF117" s="257">
        <f>c_Calculations!AF787</f>
        <v/>
      </c>
      <c r="AG117" s="257">
        <f>c_Calculations!AG787</f>
        <v/>
      </c>
      <c r="AH117" s="257">
        <f>c_Calculations!AH787</f>
        <v/>
      </c>
      <c r="AI117" s="257">
        <f>c_Calculations!AI787</f>
        <v/>
      </c>
      <c r="AJ117" s="257">
        <f>c_Calculations!AJ787</f>
        <v/>
      </c>
      <c r="AK117" s="257">
        <f>c_Calculations!AK787</f>
        <v/>
      </c>
      <c r="AL117" s="257">
        <f>c_Calculations!AL787</f>
        <v/>
      </c>
      <c r="AM117" s="257">
        <f>c_Calculations!AM787</f>
        <v/>
      </c>
      <c r="AN117" s="257">
        <f>c_Calculations!AN787</f>
        <v/>
      </c>
      <c r="AO117" s="257">
        <f>c_Calculations!AO787</f>
        <v/>
      </c>
      <c r="AP117" s="257">
        <f>c_Calculations!AP787</f>
        <v/>
      </c>
      <c r="AQ117" s="257">
        <f>c_Calculations!AQ787</f>
        <v/>
      </c>
      <c r="AR117" s="257">
        <f>c_Calculations!AR787</f>
        <v/>
      </c>
      <c r="AS117" s="257">
        <f>c_Calculations!AS787</f>
        <v/>
      </c>
      <c r="AT117" s="257">
        <f>c_Calculations!AT787</f>
        <v/>
      </c>
      <c r="AU117" s="257">
        <f>c_Calculations!AU787</f>
        <v/>
      </c>
      <c r="AV117" s="257">
        <f>c_Calculations!AV787</f>
        <v/>
      </c>
      <c r="AW117" s="257">
        <f>c_Calculations!AW787</f>
        <v/>
      </c>
      <c r="AX117" s="257">
        <f>c_Calculations!AX787</f>
        <v/>
      </c>
      <c r="AY117" s="257">
        <f>c_Calculations!AY787</f>
        <v/>
      </c>
      <c r="AZ117" s="257">
        <f>c_Calculations!AZ787</f>
        <v/>
      </c>
      <c r="BA117" s="257">
        <f>c_Calculations!BA787</f>
        <v/>
      </c>
      <c r="BB117" s="257">
        <f>c_Calculations!BB787</f>
        <v/>
      </c>
      <c r="BC117" s="257">
        <f>c_Calculations!BC787</f>
        <v/>
      </c>
      <c r="BD117" s="257">
        <f>c_Calculations!BD787</f>
        <v/>
      </c>
      <c r="BE117" s="257">
        <f>c_Calculations!BE787</f>
        <v/>
      </c>
      <c r="BF117" s="257">
        <f>c_Calculations!BF787</f>
        <v/>
      </c>
      <c r="BG117" s="257">
        <f>c_Calculations!BG787</f>
        <v/>
      </c>
      <c r="BH117" s="257">
        <f>c_Calculations!BH787</f>
        <v/>
      </c>
      <c r="BI117" s="257">
        <f>c_Calculations!BI787</f>
        <v/>
      </c>
      <c r="BJ117" s="257">
        <f>c_Calculations!BJ787</f>
        <v/>
      </c>
      <c r="BK117" s="257">
        <f>c_Calculations!BK787</f>
        <v/>
      </c>
      <c r="BL117" s="257">
        <f>c_Calculations!BL787</f>
        <v/>
      </c>
      <c r="BM117" s="257">
        <f>c_Calculations!BM787</f>
        <v/>
      </c>
      <c r="BN117" s="257">
        <f>c_Calculations!BN787</f>
        <v/>
      </c>
      <c r="BO117" s="257">
        <f>c_Calculations!BO787</f>
        <v/>
      </c>
      <c r="BP117" s="257">
        <f>c_Calculations!BP787</f>
        <v/>
      </c>
      <c r="BQ117" s="257">
        <f>c_Calculations!BQ787</f>
        <v/>
      </c>
      <c r="BR117" s="257">
        <f>c_Calculations!BR787</f>
        <v/>
      </c>
      <c r="BS117" s="257">
        <f>c_Calculations!BS787</f>
        <v/>
      </c>
      <c r="BT117" s="257">
        <f>c_Calculations!BT787</f>
        <v/>
      </c>
      <c r="BU117" s="257">
        <f>c_Calculations!BU787</f>
        <v/>
      </c>
      <c r="BV117" s="257">
        <f>c_Calculations!BV787</f>
        <v/>
      </c>
      <c r="BW117" s="257">
        <f>c_Calculations!BW787</f>
        <v/>
      </c>
      <c r="BX117" s="257">
        <f>c_Calculations!BX787</f>
        <v/>
      </c>
      <c r="BY117" s="257">
        <f>c_Calculations!BY787</f>
        <v/>
      </c>
      <c r="BZ117" s="257">
        <f>c_Calculations!BZ787</f>
        <v/>
      </c>
      <c r="CA117" s="257">
        <f>c_Calculations!CA787</f>
        <v/>
      </c>
    </row>
    <row r="118" ht="12" customHeight="1" s="227">
      <c r="A118" s="244" t="n"/>
      <c r="B118" s="244" t="n"/>
      <c r="C118" s="244" t="n"/>
      <c r="G118" s="222" t="n"/>
      <c r="H118" s="0">
        <f>i_Setup!U117</f>
        <v/>
      </c>
      <c r="I118" s="27">
        <f> i_Setup!$M$16</f>
        <v/>
      </c>
      <c r="K118" s="27" t="n"/>
      <c r="M118" s="245">
        <f>INDEX($T118:$CA118,,MATCH(M$2,$T$2:$CA$2,0))</f>
        <v/>
      </c>
      <c r="N118" s="245">
        <f>INDEX($T118:$CA118,,MATCH(N$2,$T$2:$CA$2,0))</f>
        <v/>
      </c>
      <c r="O118" s="245">
        <f>INDEX($T118:$CA118,,MATCH(O$2,$T$2:$CA$2,0))</f>
        <v/>
      </c>
      <c r="P118" s="245">
        <f>INDEX($T118:$CA118,,MATCH(P$2,$T$2:$CA$2,0))</f>
        <v/>
      </c>
      <c r="Q118" s="245">
        <f>INDEX($T118:$CA118,,MATCH(Q$2,$T$2:$CA$2,0))</f>
        <v/>
      </c>
      <c r="T118" s="277">
        <f>c_Calculations!T803</f>
        <v/>
      </c>
      <c r="U118" s="277">
        <f>c_Calculations!U803</f>
        <v/>
      </c>
      <c r="V118" s="277">
        <f>c_Calculations!V803</f>
        <v/>
      </c>
      <c r="W118" s="277">
        <f>c_Calculations!W803</f>
        <v/>
      </c>
      <c r="X118" s="277">
        <f>c_Calculations!X803</f>
        <v/>
      </c>
      <c r="Y118" s="277">
        <f>c_Calculations!Y803</f>
        <v/>
      </c>
      <c r="Z118" s="277">
        <f>c_Calculations!Z803</f>
        <v/>
      </c>
      <c r="AA118" s="277">
        <f>c_Calculations!AA803</f>
        <v/>
      </c>
      <c r="AB118" s="277">
        <f>c_Calculations!AB803</f>
        <v/>
      </c>
      <c r="AC118" s="277">
        <f>c_Calculations!AC803</f>
        <v/>
      </c>
      <c r="AD118" s="277">
        <f>c_Calculations!AD803</f>
        <v/>
      </c>
      <c r="AE118" s="277">
        <f>c_Calculations!AE803</f>
        <v/>
      </c>
      <c r="AF118" s="277">
        <f>c_Calculations!AF803</f>
        <v/>
      </c>
      <c r="AG118" s="277">
        <f>c_Calculations!AG803</f>
        <v/>
      </c>
      <c r="AH118" s="277">
        <f>c_Calculations!AH803</f>
        <v/>
      </c>
      <c r="AI118" s="277">
        <f>c_Calculations!AI803</f>
        <v/>
      </c>
      <c r="AJ118" s="277">
        <f>c_Calculations!AJ803</f>
        <v/>
      </c>
      <c r="AK118" s="277">
        <f>c_Calculations!AK803</f>
        <v/>
      </c>
      <c r="AL118" s="277">
        <f>c_Calculations!AL803</f>
        <v/>
      </c>
      <c r="AM118" s="277">
        <f>c_Calculations!AM803</f>
        <v/>
      </c>
      <c r="AN118" s="277">
        <f>c_Calculations!AN803</f>
        <v/>
      </c>
      <c r="AO118" s="277">
        <f>c_Calculations!AO803</f>
        <v/>
      </c>
      <c r="AP118" s="277">
        <f>c_Calculations!AP803</f>
        <v/>
      </c>
      <c r="AQ118" s="277">
        <f>c_Calculations!AQ803</f>
        <v/>
      </c>
      <c r="AR118" s="277">
        <f>c_Calculations!AR803</f>
        <v/>
      </c>
      <c r="AS118" s="277">
        <f>c_Calculations!AS803</f>
        <v/>
      </c>
      <c r="AT118" s="277">
        <f>c_Calculations!AT803</f>
        <v/>
      </c>
      <c r="AU118" s="277">
        <f>c_Calculations!AU803</f>
        <v/>
      </c>
      <c r="AV118" s="277">
        <f>c_Calculations!AV803</f>
        <v/>
      </c>
      <c r="AW118" s="277">
        <f>c_Calculations!AW803</f>
        <v/>
      </c>
      <c r="AX118" s="277">
        <f>c_Calculations!AX803</f>
        <v/>
      </c>
      <c r="AY118" s="277">
        <f>c_Calculations!AY803</f>
        <v/>
      </c>
      <c r="AZ118" s="277">
        <f>c_Calculations!AZ803</f>
        <v/>
      </c>
      <c r="BA118" s="277">
        <f>c_Calculations!BA803</f>
        <v/>
      </c>
      <c r="BB118" s="277">
        <f>c_Calculations!BB803</f>
        <v/>
      </c>
      <c r="BC118" s="277">
        <f>c_Calculations!BC803</f>
        <v/>
      </c>
      <c r="BD118" s="277">
        <f>c_Calculations!BD803</f>
        <v/>
      </c>
      <c r="BE118" s="277">
        <f>c_Calculations!BE803</f>
        <v/>
      </c>
      <c r="BF118" s="277">
        <f>c_Calculations!BF803</f>
        <v/>
      </c>
      <c r="BG118" s="277">
        <f>c_Calculations!BG803</f>
        <v/>
      </c>
      <c r="BH118" s="277">
        <f>c_Calculations!BH803</f>
        <v/>
      </c>
      <c r="BI118" s="277">
        <f>c_Calculations!BI803</f>
        <v/>
      </c>
      <c r="BJ118" s="277">
        <f>c_Calculations!BJ803</f>
        <v/>
      </c>
      <c r="BK118" s="277">
        <f>c_Calculations!BK803</f>
        <v/>
      </c>
      <c r="BL118" s="277">
        <f>c_Calculations!BL803</f>
        <v/>
      </c>
      <c r="BM118" s="277">
        <f>c_Calculations!BM803</f>
        <v/>
      </c>
      <c r="BN118" s="277">
        <f>c_Calculations!BN803</f>
        <v/>
      </c>
      <c r="BO118" s="277">
        <f>c_Calculations!BO803</f>
        <v/>
      </c>
      <c r="BP118" s="277">
        <f>c_Calculations!BP803</f>
        <v/>
      </c>
      <c r="BQ118" s="277">
        <f>c_Calculations!BQ803</f>
        <v/>
      </c>
      <c r="BR118" s="277">
        <f>c_Calculations!BR803</f>
        <v/>
      </c>
      <c r="BS118" s="277">
        <f>c_Calculations!BS803</f>
        <v/>
      </c>
      <c r="BT118" s="277">
        <f>c_Calculations!BT803</f>
        <v/>
      </c>
      <c r="BU118" s="277">
        <f>c_Calculations!BU803</f>
        <v/>
      </c>
      <c r="BV118" s="277">
        <f>c_Calculations!BV803</f>
        <v/>
      </c>
      <c r="BW118" s="277">
        <f>c_Calculations!BW803</f>
        <v/>
      </c>
      <c r="BX118" s="277">
        <f>c_Calculations!BX803</f>
        <v/>
      </c>
      <c r="BY118" s="277">
        <f>c_Calculations!BY803</f>
        <v/>
      </c>
      <c r="BZ118" s="277">
        <f>c_Calculations!BZ803</f>
        <v/>
      </c>
      <c r="CA118" s="277">
        <f>c_Calculations!CA803</f>
        <v/>
      </c>
    </row>
    <row r="119" ht="12" customHeight="1" s="227">
      <c r="A119" s="244" t="n"/>
      <c r="B119" s="244" t="n"/>
      <c r="C119" s="244" t="n"/>
      <c r="G119" s="222" t="n"/>
      <c r="H119" s="0">
        <f>i_Setup!U118</f>
        <v/>
      </c>
      <c r="I119" s="27">
        <f> i_Setup!$M$16</f>
        <v/>
      </c>
      <c r="K119" s="27" t="n"/>
      <c r="M119" s="245">
        <f>INDEX($T119:$CA119,,MATCH(M$2,$T$2:$CA$2,0))</f>
        <v/>
      </c>
      <c r="N119" s="245">
        <f>INDEX($T119:$CA119,,MATCH(N$2,$T$2:$CA$2,0))</f>
        <v/>
      </c>
      <c r="O119" s="245">
        <f>INDEX($T119:$CA119,,MATCH(O$2,$T$2:$CA$2,0))</f>
        <v/>
      </c>
      <c r="P119" s="245">
        <f>INDEX($T119:$CA119,,MATCH(P$2,$T$2:$CA$2,0))</f>
        <v/>
      </c>
      <c r="Q119" s="245">
        <f>INDEX($T119:$CA119,,MATCH(Q$2,$T$2:$CA$2,0))</f>
        <v/>
      </c>
      <c r="T119" s="277">
        <f>c_Calculations!T819</f>
        <v/>
      </c>
      <c r="U119" s="277">
        <f>c_Calculations!U819</f>
        <v/>
      </c>
      <c r="V119" s="277">
        <f>c_Calculations!V819</f>
        <v/>
      </c>
      <c r="W119" s="277">
        <f>c_Calculations!W819</f>
        <v/>
      </c>
      <c r="X119" s="277">
        <f>c_Calculations!X819</f>
        <v/>
      </c>
      <c r="Y119" s="277">
        <f>c_Calculations!Y819</f>
        <v/>
      </c>
      <c r="Z119" s="277">
        <f>c_Calculations!Z819</f>
        <v/>
      </c>
      <c r="AA119" s="277">
        <f>c_Calculations!AA819</f>
        <v/>
      </c>
      <c r="AB119" s="277">
        <f>c_Calculations!AB819</f>
        <v/>
      </c>
      <c r="AC119" s="277">
        <f>c_Calculations!AC819</f>
        <v/>
      </c>
      <c r="AD119" s="277">
        <f>c_Calculations!AD819</f>
        <v/>
      </c>
      <c r="AE119" s="277">
        <f>c_Calculations!AE819</f>
        <v/>
      </c>
      <c r="AF119" s="277">
        <f>c_Calculations!AF819</f>
        <v/>
      </c>
      <c r="AG119" s="277">
        <f>c_Calculations!AG819</f>
        <v/>
      </c>
      <c r="AH119" s="277">
        <f>c_Calculations!AH819</f>
        <v/>
      </c>
      <c r="AI119" s="277">
        <f>c_Calculations!AI819</f>
        <v/>
      </c>
      <c r="AJ119" s="277">
        <f>c_Calculations!AJ819</f>
        <v/>
      </c>
      <c r="AK119" s="277">
        <f>c_Calculations!AK819</f>
        <v/>
      </c>
      <c r="AL119" s="277">
        <f>c_Calculations!AL819</f>
        <v/>
      </c>
      <c r="AM119" s="277">
        <f>c_Calculations!AM819</f>
        <v/>
      </c>
      <c r="AN119" s="277">
        <f>c_Calculations!AN819</f>
        <v/>
      </c>
      <c r="AO119" s="277">
        <f>c_Calculations!AO819</f>
        <v/>
      </c>
      <c r="AP119" s="277">
        <f>c_Calculations!AP819</f>
        <v/>
      </c>
      <c r="AQ119" s="277">
        <f>c_Calculations!AQ819</f>
        <v/>
      </c>
      <c r="AR119" s="277">
        <f>c_Calculations!AR819</f>
        <v/>
      </c>
      <c r="AS119" s="277">
        <f>c_Calculations!AS819</f>
        <v/>
      </c>
      <c r="AT119" s="277">
        <f>c_Calculations!AT819</f>
        <v/>
      </c>
      <c r="AU119" s="277">
        <f>c_Calculations!AU819</f>
        <v/>
      </c>
      <c r="AV119" s="277">
        <f>c_Calculations!AV819</f>
        <v/>
      </c>
      <c r="AW119" s="277">
        <f>c_Calculations!AW819</f>
        <v/>
      </c>
      <c r="AX119" s="277">
        <f>c_Calculations!AX819</f>
        <v/>
      </c>
      <c r="AY119" s="277">
        <f>c_Calculations!AY819</f>
        <v/>
      </c>
      <c r="AZ119" s="277">
        <f>c_Calculations!AZ819</f>
        <v/>
      </c>
      <c r="BA119" s="277">
        <f>c_Calculations!BA819</f>
        <v/>
      </c>
      <c r="BB119" s="277">
        <f>c_Calculations!BB819</f>
        <v/>
      </c>
      <c r="BC119" s="277">
        <f>c_Calculations!BC819</f>
        <v/>
      </c>
      <c r="BD119" s="277">
        <f>c_Calculations!BD819</f>
        <v/>
      </c>
      <c r="BE119" s="277">
        <f>c_Calculations!BE819</f>
        <v/>
      </c>
      <c r="BF119" s="277">
        <f>c_Calculations!BF819</f>
        <v/>
      </c>
      <c r="BG119" s="277">
        <f>c_Calculations!BG819</f>
        <v/>
      </c>
      <c r="BH119" s="277">
        <f>c_Calculations!BH819</f>
        <v/>
      </c>
      <c r="BI119" s="277">
        <f>c_Calculations!BI819</f>
        <v/>
      </c>
      <c r="BJ119" s="277">
        <f>c_Calculations!BJ819</f>
        <v/>
      </c>
      <c r="BK119" s="277">
        <f>c_Calculations!BK819</f>
        <v/>
      </c>
      <c r="BL119" s="277">
        <f>c_Calculations!BL819</f>
        <v/>
      </c>
      <c r="BM119" s="277">
        <f>c_Calculations!BM819</f>
        <v/>
      </c>
      <c r="BN119" s="277">
        <f>c_Calculations!BN819</f>
        <v/>
      </c>
      <c r="BO119" s="277">
        <f>c_Calculations!BO819</f>
        <v/>
      </c>
      <c r="BP119" s="277">
        <f>c_Calculations!BP819</f>
        <v/>
      </c>
      <c r="BQ119" s="277">
        <f>c_Calculations!BQ819</f>
        <v/>
      </c>
      <c r="BR119" s="277">
        <f>c_Calculations!BR819</f>
        <v/>
      </c>
      <c r="BS119" s="277">
        <f>c_Calculations!BS819</f>
        <v/>
      </c>
      <c r="BT119" s="277">
        <f>c_Calculations!BT819</f>
        <v/>
      </c>
      <c r="BU119" s="277">
        <f>c_Calculations!BU819</f>
        <v/>
      </c>
      <c r="BV119" s="277">
        <f>c_Calculations!BV819</f>
        <v/>
      </c>
      <c r="BW119" s="277">
        <f>c_Calculations!BW819</f>
        <v/>
      </c>
      <c r="BX119" s="277">
        <f>c_Calculations!BX819</f>
        <v/>
      </c>
      <c r="BY119" s="277">
        <f>c_Calculations!BY819</f>
        <v/>
      </c>
      <c r="BZ119" s="277">
        <f>c_Calculations!BZ819</f>
        <v/>
      </c>
      <c r="CA119" s="277">
        <f>c_Calculations!CA819</f>
        <v/>
      </c>
    </row>
    <row r="120" ht="12" customHeight="1" s="227">
      <c r="A120" s="244" t="n"/>
      <c r="B120" s="244" t="n"/>
      <c r="C120" s="244" t="n"/>
      <c r="G120" s="222" t="n"/>
      <c r="H120" s="0">
        <f>i_Setup!U119</f>
        <v/>
      </c>
      <c r="I120" s="27">
        <f> i_Setup!$M$16</f>
        <v/>
      </c>
      <c r="K120" s="27" t="n"/>
      <c r="M120" s="245">
        <f>INDEX($T120:$CA120,,MATCH(M$2,$T$2:$CA$2,0))</f>
        <v/>
      </c>
      <c r="N120" s="245">
        <f>INDEX($T120:$CA120,,MATCH(N$2,$T$2:$CA$2,0))</f>
        <v/>
      </c>
      <c r="O120" s="245">
        <f>INDEX($T120:$CA120,,MATCH(O$2,$T$2:$CA$2,0))</f>
        <v/>
      </c>
      <c r="P120" s="245">
        <f>INDEX($T120:$CA120,,MATCH(P$2,$T$2:$CA$2,0))</f>
        <v/>
      </c>
      <c r="Q120" s="245">
        <f>INDEX($T120:$CA120,,MATCH(Q$2,$T$2:$CA$2,0))</f>
        <v/>
      </c>
      <c r="T120" s="277">
        <f>c_Calculations!T835</f>
        <v/>
      </c>
      <c r="U120" s="277">
        <f>c_Calculations!U835</f>
        <v/>
      </c>
      <c r="V120" s="277">
        <f>c_Calculations!V835</f>
        <v/>
      </c>
      <c r="W120" s="277">
        <f>c_Calculations!W835</f>
        <v/>
      </c>
      <c r="X120" s="277">
        <f>c_Calculations!X835</f>
        <v/>
      </c>
      <c r="Y120" s="277">
        <f>c_Calculations!Y835</f>
        <v/>
      </c>
      <c r="Z120" s="277">
        <f>c_Calculations!Z835</f>
        <v/>
      </c>
      <c r="AA120" s="277">
        <f>c_Calculations!AA835</f>
        <v/>
      </c>
      <c r="AB120" s="277">
        <f>c_Calculations!AB835</f>
        <v/>
      </c>
      <c r="AC120" s="277">
        <f>c_Calculations!AC835</f>
        <v/>
      </c>
      <c r="AD120" s="277">
        <f>c_Calculations!AD835</f>
        <v/>
      </c>
      <c r="AE120" s="277">
        <f>c_Calculations!AE835</f>
        <v/>
      </c>
      <c r="AF120" s="277">
        <f>c_Calculations!AF835</f>
        <v/>
      </c>
      <c r="AG120" s="277">
        <f>c_Calculations!AG835</f>
        <v/>
      </c>
      <c r="AH120" s="277">
        <f>c_Calculations!AH835</f>
        <v/>
      </c>
      <c r="AI120" s="277">
        <f>c_Calculations!AI835</f>
        <v/>
      </c>
      <c r="AJ120" s="277">
        <f>c_Calculations!AJ835</f>
        <v/>
      </c>
      <c r="AK120" s="277">
        <f>c_Calculations!AK835</f>
        <v/>
      </c>
      <c r="AL120" s="277">
        <f>c_Calculations!AL835</f>
        <v/>
      </c>
      <c r="AM120" s="277">
        <f>c_Calculations!AM835</f>
        <v/>
      </c>
      <c r="AN120" s="277">
        <f>c_Calculations!AN835</f>
        <v/>
      </c>
      <c r="AO120" s="277">
        <f>c_Calculations!AO835</f>
        <v/>
      </c>
      <c r="AP120" s="277">
        <f>c_Calculations!AP835</f>
        <v/>
      </c>
      <c r="AQ120" s="277">
        <f>c_Calculations!AQ835</f>
        <v/>
      </c>
      <c r="AR120" s="277">
        <f>c_Calculations!AR835</f>
        <v/>
      </c>
      <c r="AS120" s="277">
        <f>c_Calculations!AS835</f>
        <v/>
      </c>
      <c r="AT120" s="277">
        <f>c_Calculations!AT835</f>
        <v/>
      </c>
      <c r="AU120" s="277">
        <f>c_Calculations!AU835</f>
        <v/>
      </c>
      <c r="AV120" s="277">
        <f>c_Calculations!AV835</f>
        <v/>
      </c>
      <c r="AW120" s="277">
        <f>c_Calculations!AW835</f>
        <v/>
      </c>
      <c r="AX120" s="277">
        <f>c_Calculations!AX835</f>
        <v/>
      </c>
      <c r="AY120" s="277">
        <f>c_Calculations!AY835</f>
        <v/>
      </c>
      <c r="AZ120" s="277">
        <f>c_Calculations!AZ835</f>
        <v/>
      </c>
      <c r="BA120" s="277">
        <f>c_Calculations!BA835</f>
        <v/>
      </c>
      <c r="BB120" s="277">
        <f>c_Calculations!BB835</f>
        <v/>
      </c>
      <c r="BC120" s="277">
        <f>c_Calculations!BC835</f>
        <v/>
      </c>
      <c r="BD120" s="277">
        <f>c_Calculations!BD835</f>
        <v/>
      </c>
      <c r="BE120" s="277">
        <f>c_Calculations!BE835</f>
        <v/>
      </c>
      <c r="BF120" s="277">
        <f>c_Calculations!BF835</f>
        <v/>
      </c>
      <c r="BG120" s="277">
        <f>c_Calculations!BG835</f>
        <v/>
      </c>
      <c r="BH120" s="277">
        <f>c_Calculations!BH835</f>
        <v/>
      </c>
      <c r="BI120" s="277">
        <f>c_Calculations!BI835</f>
        <v/>
      </c>
      <c r="BJ120" s="277">
        <f>c_Calculations!BJ835</f>
        <v/>
      </c>
      <c r="BK120" s="277">
        <f>c_Calculations!BK835</f>
        <v/>
      </c>
      <c r="BL120" s="277">
        <f>c_Calculations!BL835</f>
        <v/>
      </c>
      <c r="BM120" s="277">
        <f>c_Calculations!BM835</f>
        <v/>
      </c>
      <c r="BN120" s="277">
        <f>c_Calculations!BN835</f>
        <v/>
      </c>
      <c r="BO120" s="277">
        <f>c_Calculations!BO835</f>
        <v/>
      </c>
      <c r="BP120" s="277">
        <f>c_Calculations!BP835</f>
        <v/>
      </c>
      <c r="BQ120" s="277">
        <f>c_Calculations!BQ835</f>
        <v/>
      </c>
      <c r="BR120" s="277">
        <f>c_Calculations!BR835</f>
        <v/>
      </c>
      <c r="BS120" s="277">
        <f>c_Calculations!BS835</f>
        <v/>
      </c>
      <c r="BT120" s="277">
        <f>c_Calculations!BT835</f>
        <v/>
      </c>
      <c r="BU120" s="277">
        <f>c_Calculations!BU835</f>
        <v/>
      </c>
      <c r="BV120" s="277">
        <f>c_Calculations!BV835</f>
        <v/>
      </c>
      <c r="BW120" s="277">
        <f>c_Calculations!BW835</f>
        <v/>
      </c>
      <c r="BX120" s="277">
        <f>c_Calculations!BX835</f>
        <v/>
      </c>
      <c r="BY120" s="277">
        <f>c_Calculations!BY835</f>
        <v/>
      </c>
      <c r="BZ120" s="277">
        <f>c_Calculations!BZ835</f>
        <v/>
      </c>
      <c r="CA120" s="277">
        <f>c_Calculations!CA835</f>
        <v/>
      </c>
    </row>
    <row r="121" ht="12" customHeight="1" s="227">
      <c r="A121" s="244" t="n"/>
      <c r="B121" s="244" t="n"/>
      <c r="C121" s="244" t="n"/>
      <c r="G121" s="39" t="inlineStr">
        <is>
          <t>Total Non-Current Assets</t>
        </is>
      </c>
      <c r="H121" s="39" t="n"/>
      <c r="I121" s="41">
        <f> i_Setup!$M$16</f>
        <v/>
      </c>
      <c r="J121" s="39" t="n"/>
      <c r="K121" s="56" t="n"/>
      <c r="M121" s="249">
        <f>SUM(M111:M120)</f>
        <v/>
      </c>
      <c r="N121" s="249">
        <f>SUM(N111:N120)</f>
        <v/>
      </c>
      <c r="O121" s="249">
        <f>SUM(O111:O120)</f>
        <v/>
      </c>
      <c r="P121" s="249">
        <f>SUM(P111:P120)</f>
        <v/>
      </c>
      <c r="Q121" s="249">
        <f>SUM(Q111:Q120)</f>
        <v/>
      </c>
      <c r="T121" s="249">
        <f>SUM(T111:T120)</f>
        <v/>
      </c>
      <c r="U121" s="249">
        <f>SUM(U111:U120)</f>
        <v/>
      </c>
      <c r="V121" s="249">
        <f>SUM(V111:V120)</f>
        <v/>
      </c>
      <c r="W121" s="249">
        <f>SUM(W111:W120)</f>
        <v/>
      </c>
      <c r="X121" s="249">
        <f>SUM(X111:X120)</f>
        <v/>
      </c>
      <c r="Y121" s="249">
        <f>SUM(Y111:Y120)</f>
        <v/>
      </c>
      <c r="Z121" s="249">
        <f>SUM(Z111:Z120)</f>
        <v/>
      </c>
      <c r="AA121" s="249">
        <f>SUM(AA111:AA120)</f>
        <v/>
      </c>
      <c r="AB121" s="249">
        <f>SUM(AB111:AB120)</f>
        <v/>
      </c>
      <c r="AC121" s="249">
        <f>SUM(AC111:AC120)</f>
        <v/>
      </c>
      <c r="AD121" s="249">
        <f>SUM(AD111:AD120)</f>
        <v/>
      </c>
      <c r="AE121" s="249">
        <f>SUM(AE111:AE120)</f>
        <v/>
      </c>
      <c r="AF121" s="249">
        <f>SUM(AF111:AF120)</f>
        <v/>
      </c>
      <c r="AG121" s="249">
        <f>SUM(AG111:AG120)</f>
        <v/>
      </c>
      <c r="AH121" s="249">
        <f>SUM(AH111:AH120)</f>
        <v/>
      </c>
      <c r="AI121" s="249">
        <f>SUM(AI111:AI120)</f>
        <v/>
      </c>
      <c r="AJ121" s="249">
        <f>SUM(AJ111:AJ120)</f>
        <v/>
      </c>
      <c r="AK121" s="249">
        <f>SUM(AK111:AK120)</f>
        <v/>
      </c>
      <c r="AL121" s="249">
        <f>SUM(AL111:AL120)</f>
        <v/>
      </c>
      <c r="AM121" s="249">
        <f>SUM(AM111:AM120)</f>
        <v/>
      </c>
      <c r="AN121" s="249">
        <f>SUM(AN111:AN120)</f>
        <v/>
      </c>
      <c r="AO121" s="249">
        <f>SUM(AO111:AO120)</f>
        <v/>
      </c>
      <c r="AP121" s="249">
        <f>SUM(AP111:AP120)</f>
        <v/>
      </c>
      <c r="AQ121" s="249">
        <f>SUM(AQ111:AQ120)</f>
        <v/>
      </c>
      <c r="AR121" s="249">
        <f>SUM(AR111:AR120)</f>
        <v/>
      </c>
      <c r="AS121" s="249">
        <f>SUM(AS111:AS120)</f>
        <v/>
      </c>
      <c r="AT121" s="249">
        <f>SUM(AT111:AT120)</f>
        <v/>
      </c>
      <c r="AU121" s="249">
        <f>SUM(AU111:AU120)</f>
        <v/>
      </c>
      <c r="AV121" s="249">
        <f>SUM(AV111:AV120)</f>
        <v/>
      </c>
      <c r="AW121" s="249">
        <f>SUM(AW111:AW120)</f>
        <v/>
      </c>
      <c r="AX121" s="249">
        <f>SUM(AX111:AX120)</f>
        <v/>
      </c>
      <c r="AY121" s="249">
        <f>SUM(AY111:AY120)</f>
        <v/>
      </c>
      <c r="AZ121" s="249">
        <f>SUM(AZ111:AZ120)</f>
        <v/>
      </c>
      <c r="BA121" s="249">
        <f>SUM(BA111:BA120)</f>
        <v/>
      </c>
      <c r="BB121" s="249">
        <f>SUM(BB111:BB120)</f>
        <v/>
      </c>
      <c r="BC121" s="249">
        <f>SUM(BC111:BC120)</f>
        <v/>
      </c>
      <c r="BD121" s="249">
        <f>SUM(BD111:BD120)</f>
        <v/>
      </c>
      <c r="BE121" s="249">
        <f>SUM(BE111:BE120)</f>
        <v/>
      </c>
      <c r="BF121" s="249">
        <f>SUM(BF111:BF120)</f>
        <v/>
      </c>
      <c r="BG121" s="249">
        <f>SUM(BG111:BG120)</f>
        <v/>
      </c>
      <c r="BH121" s="249">
        <f>SUM(BH111:BH120)</f>
        <v/>
      </c>
      <c r="BI121" s="249">
        <f>SUM(BI111:BI120)</f>
        <v/>
      </c>
      <c r="BJ121" s="249">
        <f>SUM(BJ111:BJ120)</f>
        <v/>
      </c>
      <c r="BK121" s="249">
        <f>SUM(BK111:BK120)</f>
        <v/>
      </c>
      <c r="BL121" s="249">
        <f>SUM(BL111:BL120)</f>
        <v/>
      </c>
      <c r="BM121" s="249">
        <f>SUM(BM111:BM120)</f>
        <v/>
      </c>
      <c r="BN121" s="249">
        <f>SUM(BN111:BN120)</f>
        <v/>
      </c>
      <c r="BO121" s="249">
        <f>SUM(BO111:BO120)</f>
        <v/>
      </c>
      <c r="BP121" s="249">
        <f>SUM(BP111:BP120)</f>
        <v/>
      </c>
      <c r="BQ121" s="249">
        <f>SUM(BQ111:BQ120)</f>
        <v/>
      </c>
      <c r="BR121" s="249">
        <f>SUM(BR111:BR120)</f>
        <v/>
      </c>
      <c r="BS121" s="249">
        <f>SUM(BS111:BS120)</f>
        <v/>
      </c>
      <c r="BT121" s="249">
        <f>SUM(BT111:BT120)</f>
        <v/>
      </c>
      <c r="BU121" s="249">
        <f>SUM(BU111:BU120)</f>
        <v/>
      </c>
      <c r="BV121" s="249">
        <f>SUM(BV111:BV120)</f>
        <v/>
      </c>
      <c r="BW121" s="249">
        <f>SUM(BW111:BW120)</f>
        <v/>
      </c>
      <c r="BX121" s="249">
        <f>SUM(BX111:BX120)</f>
        <v/>
      </c>
      <c r="BY121" s="249">
        <f>SUM(BY111:BY120)</f>
        <v/>
      </c>
      <c r="BZ121" s="249">
        <f>SUM(BZ111:BZ120)</f>
        <v/>
      </c>
      <c r="CA121" s="249">
        <f>SUM(CA111:CA120)</f>
        <v/>
      </c>
      <c r="CB121" s="248" t="n"/>
    </row>
    <row r="122" ht="12" customHeight="1" s="227">
      <c r="A122" s="244" t="n"/>
      <c r="B122" s="244" t="n"/>
      <c r="C122" s="244" t="n"/>
      <c r="G122" s="222" t="n"/>
    </row>
    <row r="123" ht="12" customHeight="1" s="227">
      <c r="A123" s="244" t="n"/>
      <c r="B123" s="244" t="n"/>
      <c r="C123" s="244" t="n"/>
      <c r="G123" s="222" t="inlineStr">
        <is>
          <t>Current Assets</t>
        </is>
      </c>
    </row>
    <row r="124" ht="12" customHeight="1" s="227">
      <c r="A124" s="244" t="n"/>
      <c r="B124" s="244" t="n"/>
      <c r="C124" s="244" t="n"/>
      <c r="G124" s="222" t="n"/>
      <c r="H124" s="0" t="inlineStr">
        <is>
          <t>Cash</t>
        </is>
      </c>
      <c r="I124" s="27">
        <f> i_Setup!$M$16</f>
        <v/>
      </c>
      <c r="K124" s="27" t="n"/>
      <c r="M124" s="245">
        <f>INDEX($T124:$CA124,,MATCH(M$2,$T$2:$CA$2,0))</f>
        <v/>
      </c>
      <c r="N124" s="245">
        <f>INDEX($T124:$CA124,,MATCH(N$2,$T$2:$CA$2,0))</f>
        <v/>
      </c>
      <c r="O124" s="245">
        <f>INDEX($T124:$CA124,,MATCH(O$2,$T$2:$CA$2,0))</f>
        <v/>
      </c>
      <c r="P124" s="245">
        <f>INDEX($T124:$CA124,,MATCH(P$2,$T$2:$CA$2,0))</f>
        <v/>
      </c>
      <c r="Q124" s="245">
        <f>INDEX($T124:$CA124,,MATCH(Q$2,$T$2:$CA$2,0))</f>
        <v/>
      </c>
      <c r="T124" s="277">
        <f>IF(T7="Actual",i_Actuals!T123,T192)</f>
        <v/>
      </c>
      <c r="U124" s="277">
        <f>IF(U7="Actual",i_Actuals!U123,U192)</f>
        <v/>
      </c>
      <c r="V124" s="277">
        <f>IF(V7="Actual",i_Actuals!V123,V192)</f>
        <v/>
      </c>
      <c r="W124" s="277">
        <f>IF(W7="Actual",i_Actuals!W123,W192)</f>
        <v/>
      </c>
      <c r="X124" s="277">
        <f>IF(X7="Actual",i_Actuals!X123,X192)</f>
        <v/>
      </c>
      <c r="Y124" s="277">
        <f>IF(Y7="Actual",i_Actuals!Y123,Y192)</f>
        <v/>
      </c>
      <c r="Z124" s="277">
        <f>IF(Z7="Actual",i_Actuals!Z123,Z192)</f>
        <v/>
      </c>
      <c r="AA124" s="277">
        <f>IF(AA7="Actual",i_Actuals!AA123,AA192)</f>
        <v/>
      </c>
      <c r="AB124" s="277">
        <f>IF(AB7="Actual",i_Actuals!AB123,AB192)</f>
        <v/>
      </c>
      <c r="AC124" s="277">
        <f>IF(AC7="Actual",i_Actuals!AC123,AC192)</f>
        <v/>
      </c>
      <c r="AD124" s="277">
        <f>IF(AD7="Actual",i_Actuals!AD123,AD192)</f>
        <v/>
      </c>
      <c r="AE124" s="277">
        <f>IF(AE7="Actual",i_Actuals!AE123,AE192)</f>
        <v/>
      </c>
      <c r="AF124" s="277">
        <f>IF(AF7="Actual",i_Actuals!AF123,AF192)</f>
        <v/>
      </c>
      <c r="AG124" s="277">
        <f>IF(AG7="Actual",i_Actuals!AG123,AG192)</f>
        <v/>
      </c>
      <c r="AH124" s="277">
        <f>IF(AH7="Actual",i_Actuals!AH123,AH192)</f>
        <v/>
      </c>
      <c r="AI124" s="277">
        <f>IF(AI7="Actual",i_Actuals!AI123,AI192)</f>
        <v/>
      </c>
      <c r="AJ124" s="277">
        <f>IF(AJ7="Actual",i_Actuals!AJ123,AJ192)</f>
        <v/>
      </c>
      <c r="AK124" s="277">
        <f>IF(AK7="Actual",i_Actuals!AK123,AK192)</f>
        <v/>
      </c>
      <c r="AL124" s="277">
        <f>IF(AL7="Actual",i_Actuals!AL123,AL192)</f>
        <v/>
      </c>
      <c r="AM124" s="277">
        <f>IF(AM7="Actual",i_Actuals!AM123,AM192)</f>
        <v/>
      </c>
      <c r="AN124" s="277">
        <f>IF(AN7="Actual",i_Actuals!AN123,AN192)</f>
        <v/>
      </c>
      <c r="AO124" s="277">
        <f>IF(AO7="Actual",i_Actuals!AO123,AO192)</f>
        <v/>
      </c>
      <c r="AP124" s="277">
        <f>IF(AP7="Actual",i_Actuals!AP123,AP192)</f>
        <v/>
      </c>
      <c r="AQ124" s="277">
        <f>IF(AQ7="Actual",i_Actuals!AQ123,AQ192)</f>
        <v/>
      </c>
      <c r="AR124" s="277">
        <f>IF(AR7="Actual",i_Actuals!AR123,AR192)</f>
        <v/>
      </c>
      <c r="AS124" s="277">
        <f>IF(AS7="Actual",i_Actuals!AS123,AS192)</f>
        <v/>
      </c>
      <c r="AT124" s="277">
        <f>IF(AT7="Actual",i_Actuals!AT123,AT192)</f>
        <v/>
      </c>
      <c r="AU124" s="277">
        <f>IF(AU7="Actual",i_Actuals!AU123,AU192)</f>
        <v/>
      </c>
      <c r="AV124" s="277">
        <f>IF(AV7="Actual",i_Actuals!AV123,AV192)</f>
        <v/>
      </c>
      <c r="AW124" s="277">
        <f>IF(AW7="Actual",i_Actuals!AW123,AW192)</f>
        <v/>
      </c>
      <c r="AX124" s="277">
        <f>IF(AX7="Actual",i_Actuals!AX123,AX192)</f>
        <v/>
      </c>
      <c r="AY124" s="277">
        <f>IF(AY7="Actual",i_Actuals!AY123,AY192)</f>
        <v/>
      </c>
      <c r="AZ124" s="277">
        <f>IF(AZ7="Actual",i_Actuals!AZ123,AZ192)</f>
        <v/>
      </c>
      <c r="BA124" s="277">
        <f>IF(BA7="Actual",i_Actuals!BA123,BA192)</f>
        <v/>
      </c>
      <c r="BB124" s="277">
        <f>IF(BB7="Actual",i_Actuals!BB123,BB192)</f>
        <v/>
      </c>
      <c r="BC124" s="277">
        <f>IF(BC7="Actual",i_Actuals!BC123,BC192)</f>
        <v/>
      </c>
      <c r="BD124" s="277">
        <f>IF(BD7="Actual",i_Actuals!BD123,BD192)</f>
        <v/>
      </c>
      <c r="BE124" s="277">
        <f>IF(BE7="Actual",i_Actuals!BE123,BE192)</f>
        <v/>
      </c>
      <c r="BF124" s="277">
        <f>IF(BF7="Actual",i_Actuals!BF123,BF192)</f>
        <v/>
      </c>
      <c r="BG124" s="277">
        <f>IF(BG7="Actual",i_Actuals!BG123,BG192)</f>
        <v/>
      </c>
      <c r="BH124" s="277">
        <f>IF(BH7="Actual",i_Actuals!BH123,BH192)</f>
        <v/>
      </c>
      <c r="BI124" s="277">
        <f>IF(BI7="Actual",i_Actuals!BI123,BI192)</f>
        <v/>
      </c>
      <c r="BJ124" s="277">
        <f>IF(BJ7="Actual",i_Actuals!BJ123,BJ192)</f>
        <v/>
      </c>
      <c r="BK124" s="277">
        <f>IF(BK7="Actual",i_Actuals!BK123,BK192)</f>
        <v/>
      </c>
      <c r="BL124" s="277">
        <f>IF(BL7="Actual",i_Actuals!BL123,BL192)</f>
        <v/>
      </c>
      <c r="BM124" s="277">
        <f>IF(BM7="Actual",i_Actuals!BM123,BM192)</f>
        <v/>
      </c>
      <c r="BN124" s="277">
        <f>IF(BN7="Actual",i_Actuals!BN123,BN192)</f>
        <v/>
      </c>
      <c r="BO124" s="277">
        <f>IF(BO7="Actual",i_Actuals!BO123,BO192)</f>
        <v/>
      </c>
      <c r="BP124" s="277">
        <f>IF(BP7="Actual",i_Actuals!BP123,BP192)</f>
        <v/>
      </c>
      <c r="BQ124" s="277">
        <f>IF(BQ7="Actual",i_Actuals!BQ123,BQ192)</f>
        <v/>
      </c>
      <c r="BR124" s="277">
        <f>IF(BR7="Actual",i_Actuals!BR123,BR192)</f>
        <v/>
      </c>
      <c r="BS124" s="277">
        <f>IF(BS7="Actual",i_Actuals!BS123,BS192)</f>
        <v/>
      </c>
      <c r="BT124" s="277">
        <f>IF(BT7="Actual",i_Actuals!BT123,BT192)</f>
        <v/>
      </c>
      <c r="BU124" s="277">
        <f>IF(BU7="Actual",i_Actuals!BU123,BU192)</f>
        <v/>
      </c>
      <c r="BV124" s="277">
        <f>IF(BV7="Actual",i_Actuals!BV123,BV192)</f>
        <v/>
      </c>
      <c r="BW124" s="277">
        <f>IF(BW7="Actual",i_Actuals!BW123,BW192)</f>
        <v/>
      </c>
      <c r="BX124" s="277">
        <f>IF(BX7="Actual",i_Actuals!BX123,BX192)</f>
        <v/>
      </c>
      <c r="BY124" s="277">
        <f>IF(BY7="Actual",i_Actuals!BY123,BY192)</f>
        <v/>
      </c>
      <c r="BZ124" s="277">
        <f>IF(BZ7="Actual",i_Actuals!BZ123,BZ192)</f>
        <v/>
      </c>
      <c r="CA124" s="277">
        <f>IF(CA7="Actual",i_Actuals!CA123,CA192)</f>
        <v/>
      </c>
    </row>
    <row r="125" ht="12" customHeight="1" s="227">
      <c r="A125" s="244" t="n"/>
      <c r="B125" s="244" t="n"/>
      <c r="C125" s="244" t="n"/>
      <c r="G125" s="222" t="n"/>
      <c r="H125" s="0" t="inlineStr">
        <is>
          <t>Tax Asset</t>
        </is>
      </c>
      <c r="I125" s="27">
        <f> i_Setup!$M$16</f>
        <v/>
      </c>
      <c r="K125" s="27" t="n"/>
      <c r="M125" s="245">
        <f>INDEX($T125:$CA125,,MATCH(M$2,$T$2:$CA$2,0))</f>
        <v/>
      </c>
      <c r="N125" s="245">
        <f>INDEX($T125:$CA125,,MATCH(N$2,$T$2:$CA$2,0))</f>
        <v/>
      </c>
      <c r="O125" s="245">
        <f>INDEX($T125:$CA125,,MATCH(O$2,$T$2:$CA$2,0))</f>
        <v/>
      </c>
      <c r="P125" s="245">
        <f>INDEX($T125:$CA125,,MATCH(P$2,$T$2:$CA$2,0))</f>
        <v/>
      </c>
      <c r="Q125" s="245">
        <f>INDEX($T125:$CA125,,MATCH(Q$2,$T$2:$CA$2,0))</f>
        <v/>
      </c>
      <c r="T125" s="277">
        <f>c_Calculations!T589</f>
        <v/>
      </c>
      <c r="U125" s="277">
        <f>c_Calculations!U589</f>
        <v/>
      </c>
      <c r="V125" s="277">
        <f>c_Calculations!V589</f>
        <v/>
      </c>
      <c r="W125" s="277">
        <f>c_Calculations!W589</f>
        <v/>
      </c>
      <c r="X125" s="277">
        <f>c_Calculations!X589</f>
        <v/>
      </c>
      <c r="Y125" s="277">
        <f>c_Calculations!Y589</f>
        <v/>
      </c>
      <c r="Z125" s="277">
        <f>c_Calculations!Z589</f>
        <v/>
      </c>
      <c r="AA125" s="277">
        <f>c_Calculations!AA589</f>
        <v/>
      </c>
      <c r="AB125" s="277">
        <f>c_Calculations!AB589</f>
        <v/>
      </c>
      <c r="AC125" s="277">
        <f>c_Calculations!AC589</f>
        <v/>
      </c>
      <c r="AD125" s="277">
        <f>c_Calculations!AD589</f>
        <v/>
      </c>
      <c r="AE125" s="277">
        <f>c_Calculations!AE589</f>
        <v/>
      </c>
      <c r="AF125" s="277">
        <f>c_Calculations!AF589</f>
        <v/>
      </c>
      <c r="AG125" s="277">
        <f>c_Calculations!AG589</f>
        <v/>
      </c>
      <c r="AH125" s="277">
        <f>c_Calculations!AH589</f>
        <v/>
      </c>
      <c r="AI125" s="277">
        <f>c_Calculations!AI589</f>
        <v/>
      </c>
      <c r="AJ125" s="277">
        <f>c_Calculations!AJ589</f>
        <v/>
      </c>
      <c r="AK125" s="277">
        <f>c_Calculations!AK589</f>
        <v/>
      </c>
      <c r="AL125" s="277">
        <f>c_Calculations!AL589</f>
        <v/>
      </c>
      <c r="AM125" s="277">
        <f>c_Calculations!AM589</f>
        <v/>
      </c>
      <c r="AN125" s="277">
        <f>c_Calculations!AN589</f>
        <v/>
      </c>
      <c r="AO125" s="277">
        <f>c_Calculations!AO589</f>
        <v/>
      </c>
      <c r="AP125" s="277">
        <f>c_Calculations!AP589</f>
        <v/>
      </c>
      <c r="AQ125" s="277">
        <f>c_Calculations!AQ589</f>
        <v/>
      </c>
      <c r="AR125" s="277">
        <f>c_Calculations!AR589</f>
        <v/>
      </c>
      <c r="AS125" s="277">
        <f>c_Calculations!AS589</f>
        <v/>
      </c>
      <c r="AT125" s="277">
        <f>c_Calculations!AT589</f>
        <v/>
      </c>
      <c r="AU125" s="277">
        <f>c_Calculations!AU589</f>
        <v/>
      </c>
      <c r="AV125" s="277">
        <f>c_Calculations!AV589</f>
        <v/>
      </c>
      <c r="AW125" s="277">
        <f>c_Calculations!AW589</f>
        <v/>
      </c>
      <c r="AX125" s="277">
        <f>c_Calculations!AX589</f>
        <v/>
      </c>
      <c r="AY125" s="277">
        <f>c_Calculations!AY589</f>
        <v/>
      </c>
      <c r="AZ125" s="277">
        <f>c_Calculations!AZ589</f>
        <v/>
      </c>
      <c r="BA125" s="277">
        <f>c_Calculations!BA589</f>
        <v/>
      </c>
      <c r="BB125" s="277">
        <f>c_Calculations!BB589</f>
        <v/>
      </c>
      <c r="BC125" s="277">
        <f>c_Calculations!BC589</f>
        <v/>
      </c>
      <c r="BD125" s="277">
        <f>c_Calculations!BD589</f>
        <v/>
      </c>
      <c r="BE125" s="277">
        <f>c_Calculations!BE589</f>
        <v/>
      </c>
      <c r="BF125" s="277">
        <f>c_Calculations!BF589</f>
        <v/>
      </c>
      <c r="BG125" s="277">
        <f>c_Calculations!BG589</f>
        <v/>
      </c>
      <c r="BH125" s="277">
        <f>c_Calculations!BH589</f>
        <v/>
      </c>
      <c r="BI125" s="277">
        <f>c_Calculations!BI589</f>
        <v/>
      </c>
      <c r="BJ125" s="277">
        <f>c_Calculations!BJ589</f>
        <v/>
      </c>
      <c r="BK125" s="277">
        <f>c_Calculations!BK589</f>
        <v/>
      </c>
      <c r="BL125" s="277">
        <f>c_Calculations!BL589</f>
        <v/>
      </c>
      <c r="BM125" s="277">
        <f>c_Calculations!BM589</f>
        <v/>
      </c>
      <c r="BN125" s="277">
        <f>c_Calculations!BN589</f>
        <v/>
      </c>
      <c r="BO125" s="277">
        <f>c_Calculations!BO589</f>
        <v/>
      </c>
      <c r="BP125" s="277">
        <f>c_Calculations!BP589</f>
        <v/>
      </c>
      <c r="BQ125" s="277">
        <f>c_Calculations!BQ589</f>
        <v/>
      </c>
      <c r="BR125" s="277">
        <f>c_Calculations!BR589</f>
        <v/>
      </c>
      <c r="BS125" s="277">
        <f>c_Calculations!BS589</f>
        <v/>
      </c>
      <c r="BT125" s="277">
        <f>c_Calculations!BT589</f>
        <v/>
      </c>
      <c r="BU125" s="277">
        <f>c_Calculations!BU589</f>
        <v/>
      </c>
      <c r="BV125" s="277">
        <f>c_Calculations!BV589</f>
        <v/>
      </c>
      <c r="BW125" s="277">
        <f>c_Calculations!BW589</f>
        <v/>
      </c>
      <c r="BX125" s="277">
        <f>c_Calculations!BX589</f>
        <v/>
      </c>
      <c r="BY125" s="277">
        <f>c_Calculations!BY589</f>
        <v/>
      </c>
      <c r="BZ125" s="277">
        <f>c_Calculations!BZ589</f>
        <v/>
      </c>
      <c r="CA125" s="277">
        <f>c_Calculations!CA589</f>
        <v/>
      </c>
    </row>
    <row r="126" ht="12" customHeight="1" s="227">
      <c r="A126" s="244" t="n"/>
      <c r="B126" s="244" t="n"/>
      <c r="C126" s="244" t="n"/>
      <c r="G126" s="222" t="n"/>
      <c r="H126" s="0" t="inlineStr">
        <is>
          <t>Accounts Receivables</t>
        </is>
      </c>
      <c r="I126" s="27">
        <f> i_Setup!$M$16</f>
        <v/>
      </c>
      <c r="K126" s="27" t="n"/>
      <c r="M126" s="245">
        <f>INDEX($T126:$CA126,,MATCH(M$2,$T$2:$CA$2,0))</f>
        <v/>
      </c>
      <c r="N126" s="245">
        <f>INDEX($T126:$CA126,,MATCH(N$2,$T$2:$CA$2,0))</f>
        <v/>
      </c>
      <c r="O126" s="245">
        <f>INDEX($T126:$CA126,,MATCH(O$2,$T$2:$CA$2,0))</f>
        <v/>
      </c>
      <c r="P126" s="245">
        <f>INDEX($T126:$CA126,,MATCH(P$2,$T$2:$CA$2,0))</f>
        <v/>
      </c>
      <c r="Q126" s="245">
        <f>INDEX($T126:$CA126,,MATCH(Q$2,$T$2:$CA$2,0))</f>
        <v/>
      </c>
      <c r="T126" s="277">
        <f>c_Calculations!T100</f>
        <v/>
      </c>
      <c r="U126" s="277">
        <f>c_Calculations!U100</f>
        <v/>
      </c>
      <c r="V126" s="277">
        <f>c_Calculations!V100</f>
        <v/>
      </c>
      <c r="W126" s="277">
        <f>c_Calculations!W100</f>
        <v/>
      </c>
      <c r="X126" s="277">
        <f>c_Calculations!X100</f>
        <v/>
      </c>
      <c r="Y126" s="277">
        <f>c_Calculations!Y100</f>
        <v/>
      </c>
      <c r="Z126" s="277">
        <f>c_Calculations!Z100</f>
        <v/>
      </c>
      <c r="AA126" s="277">
        <f>c_Calculations!AA100</f>
        <v/>
      </c>
      <c r="AB126" s="277">
        <f>c_Calculations!AB100</f>
        <v/>
      </c>
      <c r="AC126" s="277">
        <f>c_Calculations!AC100</f>
        <v/>
      </c>
      <c r="AD126" s="277">
        <f>c_Calculations!AD100</f>
        <v/>
      </c>
      <c r="AE126" s="277">
        <f>c_Calculations!AE100</f>
        <v/>
      </c>
      <c r="AF126" s="277">
        <f>c_Calculations!AF100</f>
        <v/>
      </c>
      <c r="AG126" s="277">
        <f>c_Calculations!AG100</f>
        <v/>
      </c>
      <c r="AH126" s="277">
        <f>c_Calculations!AH100</f>
        <v/>
      </c>
      <c r="AI126" s="277">
        <f>c_Calculations!AI100</f>
        <v/>
      </c>
      <c r="AJ126" s="277">
        <f>c_Calculations!AJ100</f>
        <v/>
      </c>
      <c r="AK126" s="277">
        <f>c_Calculations!AK100</f>
        <v/>
      </c>
      <c r="AL126" s="277">
        <f>c_Calculations!AL100</f>
        <v/>
      </c>
      <c r="AM126" s="277">
        <f>c_Calculations!AM100</f>
        <v/>
      </c>
      <c r="AN126" s="277">
        <f>c_Calculations!AN100</f>
        <v/>
      </c>
      <c r="AO126" s="277">
        <f>c_Calculations!AO100</f>
        <v/>
      </c>
      <c r="AP126" s="277">
        <f>c_Calculations!AP100</f>
        <v/>
      </c>
      <c r="AQ126" s="277">
        <f>c_Calculations!AQ100</f>
        <v/>
      </c>
      <c r="AR126" s="277">
        <f>c_Calculations!AR100</f>
        <v/>
      </c>
      <c r="AS126" s="277">
        <f>c_Calculations!AS100</f>
        <v/>
      </c>
      <c r="AT126" s="277">
        <f>c_Calculations!AT100</f>
        <v/>
      </c>
      <c r="AU126" s="277">
        <f>c_Calculations!AU100</f>
        <v/>
      </c>
      <c r="AV126" s="277">
        <f>c_Calculations!AV100</f>
        <v/>
      </c>
      <c r="AW126" s="277">
        <f>c_Calculations!AW100</f>
        <v/>
      </c>
      <c r="AX126" s="277">
        <f>c_Calculations!AX100</f>
        <v/>
      </c>
      <c r="AY126" s="277">
        <f>c_Calculations!AY100</f>
        <v/>
      </c>
      <c r="AZ126" s="277">
        <f>c_Calculations!AZ100</f>
        <v/>
      </c>
      <c r="BA126" s="277">
        <f>c_Calculations!BA100</f>
        <v/>
      </c>
      <c r="BB126" s="277">
        <f>c_Calculations!BB100</f>
        <v/>
      </c>
      <c r="BC126" s="277">
        <f>c_Calculations!BC100</f>
        <v/>
      </c>
      <c r="BD126" s="277">
        <f>c_Calculations!BD100</f>
        <v/>
      </c>
      <c r="BE126" s="277">
        <f>c_Calculations!BE100</f>
        <v/>
      </c>
      <c r="BF126" s="277">
        <f>c_Calculations!BF100</f>
        <v/>
      </c>
      <c r="BG126" s="277">
        <f>c_Calculations!BG100</f>
        <v/>
      </c>
      <c r="BH126" s="277">
        <f>c_Calculations!BH100</f>
        <v/>
      </c>
      <c r="BI126" s="277">
        <f>c_Calculations!BI100</f>
        <v/>
      </c>
      <c r="BJ126" s="277">
        <f>c_Calculations!BJ100</f>
        <v/>
      </c>
      <c r="BK126" s="277">
        <f>c_Calculations!BK100</f>
        <v/>
      </c>
      <c r="BL126" s="277">
        <f>c_Calculations!BL100</f>
        <v/>
      </c>
      <c r="BM126" s="277">
        <f>c_Calculations!BM100</f>
        <v/>
      </c>
      <c r="BN126" s="277">
        <f>c_Calculations!BN100</f>
        <v/>
      </c>
      <c r="BO126" s="277">
        <f>c_Calculations!BO100</f>
        <v/>
      </c>
      <c r="BP126" s="277">
        <f>c_Calculations!BP100</f>
        <v/>
      </c>
      <c r="BQ126" s="277">
        <f>c_Calculations!BQ100</f>
        <v/>
      </c>
      <c r="BR126" s="277">
        <f>c_Calculations!BR100</f>
        <v/>
      </c>
      <c r="BS126" s="277">
        <f>c_Calculations!BS100</f>
        <v/>
      </c>
      <c r="BT126" s="277">
        <f>c_Calculations!BT100</f>
        <v/>
      </c>
      <c r="BU126" s="277">
        <f>c_Calculations!BU100</f>
        <v/>
      </c>
      <c r="BV126" s="277">
        <f>c_Calculations!BV100</f>
        <v/>
      </c>
      <c r="BW126" s="277">
        <f>c_Calculations!BW100</f>
        <v/>
      </c>
      <c r="BX126" s="277">
        <f>c_Calculations!BX100</f>
        <v/>
      </c>
      <c r="BY126" s="277">
        <f>c_Calculations!BY100</f>
        <v/>
      </c>
      <c r="BZ126" s="277">
        <f>c_Calculations!BZ100</f>
        <v/>
      </c>
      <c r="CA126" s="277">
        <f>c_Calculations!CA100</f>
        <v/>
      </c>
    </row>
    <row r="127" ht="12" customHeight="1" s="227">
      <c r="A127" s="244" t="n"/>
      <c r="B127" s="244" t="n"/>
      <c r="C127" s="244" t="n"/>
      <c r="G127" s="222" t="n"/>
      <c r="H127" s="0" t="inlineStr">
        <is>
          <t>Other Assets</t>
        </is>
      </c>
      <c r="I127" s="27">
        <f> i_Setup!$M$16</f>
        <v/>
      </c>
      <c r="K127" s="27" t="n"/>
      <c r="M127" s="245">
        <f>INDEX($T127:$CA127,,MATCH(M$2,$T$2:$CA$2,0))</f>
        <v/>
      </c>
      <c r="N127" s="245">
        <f>INDEX($T127:$CA127,,MATCH(N$2,$T$2:$CA$2,0))</f>
        <v/>
      </c>
      <c r="O127" s="245">
        <f>INDEX($T127:$CA127,,MATCH(O$2,$T$2:$CA$2,0))</f>
        <v/>
      </c>
      <c r="P127" s="245">
        <f>INDEX($T127:$CA127,,MATCH(P$2,$T$2:$CA$2,0))</f>
        <v/>
      </c>
      <c r="Q127" s="245">
        <f>INDEX($T127:$CA127,,MATCH(Q$2,$T$2:$CA$2,0))</f>
        <v/>
      </c>
      <c r="T127" s="257">
        <f>IF(T7="Actual",i_Actuals!T126,S127)</f>
        <v/>
      </c>
      <c r="U127" s="257">
        <f>IF(U7="Actual",i_Actuals!U126,T127)</f>
        <v/>
      </c>
      <c r="V127" s="257">
        <f>IF(V7="Actual",i_Actuals!V126,U127)</f>
        <v/>
      </c>
      <c r="W127" s="257">
        <f>IF(W7="Actual",i_Actuals!W126,V127)</f>
        <v/>
      </c>
      <c r="X127" s="257">
        <f>IF(X7="Actual",i_Actuals!X126,W127)</f>
        <v/>
      </c>
      <c r="Y127" s="257">
        <f>IF(Y7="Actual",i_Actuals!Y126,X127)</f>
        <v/>
      </c>
      <c r="Z127" s="257">
        <f>IF(Z7="Actual",i_Actuals!Z126,Y127)</f>
        <v/>
      </c>
      <c r="AA127" s="257">
        <f>IF(AA7="Actual",i_Actuals!AA126,Z127)</f>
        <v/>
      </c>
      <c r="AB127" s="257">
        <f>IF(AB7="Actual",i_Actuals!AB126,AA127)</f>
        <v/>
      </c>
      <c r="AC127" s="257">
        <f>IF(AC7="Actual",i_Actuals!AC126,AB127)</f>
        <v/>
      </c>
      <c r="AD127" s="257">
        <f>IF(AD7="Actual",i_Actuals!AD126,AC127)</f>
        <v/>
      </c>
      <c r="AE127" s="257">
        <f>IF(AE7="Actual",i_Actuals!AE126,AD127)</f>
        <v/>
      </c>
      <c r="AF127" s="257">
        <f>IF(AF7="Actual",i_Actuals!AF126,AE127)</f>
        <v/>
      </c>
      <c r="AG127" s="257">
        <f>IF(AG7="Actual",i_Actuals!AG126,AF127)</f>
        <v/>
      </c>
      <c r="AH127" s="257">
        <f>IF(AH7="Actual",i_Actuals!AH126,AG127)</f>
        <v/>
      </c>
      <c r="AI127" s="257">
        <f>IF(AI7="Actual",i_Actuals!AI126,AH127)</f>
        <v/>
      </c>
      <c r="AJ127" s="257">
        <f>IF(AJ7="Actual",i_Actuals!AJ126,AI127)</f>
        <v/>
      </c>
      <c r="AK127" s="257">
        <f>IF(AK7="Actual",i_Actuals!AK126,AJ127)</f>
        <v/>
      </c>
      <c r="AL127" s="257">
        <f>IF(AL7="Actual",i_Actuals!AL126,AK127)</f>
        <v/>
      </c>
      <c r="AM127" s="257">
        <f>IF(AM7="Actual",i_Actuals!AM126,AL127)</f>
        <v/>
      </c>
      <c r="AN127" s="257">
        <f>IF(AN7="Actual",i_Actuals!AN126,AM127)</f>
        <v/>
      </c>
      <c r="AO127" s="257">
        <f>IF(AO7="Actual",i_Actuals!AO126,AN127)</f>
        <v/>
      </c>
      <c r="AP127" s="257">
        <f>IF(AP7="Actual",i_Actuals!AP126,AO127)</f>
        <v/>
      </c>
      <c r="AQ127" s="257">
        <f>IF(AQ7="Actual",i_Actuals!AQ126,AP127)</f>
        <v/>
      </c>
      <c r="AR127" s="257">
        <f>IF(AR7="Actual",i_Actuals!AR126,AQ127)</f>
        <v/>
      </c>
      <c r="AS127" s="257">
        <f>IF(AS7="Actual",i_Actuals!AS126,AR127)</f>
        <v/>
      </c>
      <c r="AT127" s="257">
        <f>IF(AT7="Actual",i_Actuals!AT126,AS127)</f>
        <v/>
      </c>
      <c r="AU127" s="257">
        <f>IF(AU7="Actual",i_Actuals!AU126,AT127)</f>
        <v/>
      </c>
      <c r="AV127" s="257">
        <f>IF(AV7="Actual",i_Actuals!AV126,AU127)</f>
        <v/>
      </c>
      <c r="AW127" s="257">
        <f>IF(AW7="Actual",i_Actuals!AW126,AV127)</f>
        <v/>
      </c>
      <c r="AX127" s="257">
        <f>IF(AX7="Actual",i_Actuals!AX126,AW127)</f>
        <v/>
      </c>
      <c r="AY127" s="257">
        <f>IF(AY7="Actual",i_Actuals!AY126,AX127)</f>
        <v/>
      </c>
      <c r="AZ127" s="257">
        <f>IF(AZ7="Actual",i_Actuals!AZ126,AY127)</f>
        <v/>
      </c>
      <c r="BA127" s="257">
        <f>IF(BA7="Actual",i_Actuals!BA126,AZ127)</f>
        <v/>
      </c>
      <c r="BB127" s="257">
        <f>IF(BB7="Actual",i_Actuals!BB126,BA127)</f>
        <v/>
      </c>
      <c r="BC127" s="257">
        <f>IF(BC7="Actual",i_Actuals!BC126,BB127)</f>
        <v/>
      </c>
      <c r="BD127" s="257">
        <f>IF(BD7="Actual",i_Actuals!BD126,BC127)</f>
        <v/>
      </c>
      <c r="BE127" s="257">
        <f>IF(BE7="Actual",i_Actuals!BE126,BD127)</f>
        <v/>
      </c>
      <c r="BF127" s="257">
        <f>IF(BF7="Actual",i_Actuals!BF126,BE127)</f>
        <v/>
      </c>
      <c r="BG127" s="257">
        <f>IF(BG7="Actual",i_Actuals!BG126,BF127)</f>
        <v/>
      </c>
      <c r="BH127" s="257">
        <f>IF(BH7="Actual",i_Actuals!BH126,BG127)</f>
        <v/>
      </c>
      <c r="BI127" s="257">
        <f>IF(BI7="Actual",i_Actuals!BI126,BH127)</f>
        <v/>
      </c>
      <c r="BJ127" s="257">
        <f>IF(BJ7="Actual",i_Actuals!BJ126,BI127)</f>
        <v/>
      </c>
      <c r="BK127" s="257">
        <f>IF(BK7="Actual",i_Actuals!BK126,BJ127)</f>
        <v/>
      </c>
      <c r="BL127" s="257">
        <f>IF(BL7="Actual",i_Actuals!BL126,BK127)</f>
        <v/>
      </c>
      <c r="BM127" s="257">
        <f>IF(BM7="Actual",i_Actuals!BM126,BL127)</f>
        <v/>
      </c>
      <c r="BN127" s="257">
        <f>IF(BN7="Actual",i_Actuals!BN126,BM127)</f>
        <v/>
      </c>
      <c r="BO127" s="257">
        <f>IF(BO7="Actual",i_Actuals!BO126,BN127)</f>
        <v/>
      </c>
      <c r="BP127" s="257">
        <f>IF(BP7="Actual",i_Actuals!BP126,BO127)</f>
        <v/>
      </c>
      <c r="BQ127" s="257">
        <f>IF(BQ7="Actual",i_Actuals!BQ126,BP127)</f>
        <v/>
      </c>
      <c r="BR127" s="257">
        <f>IF(BR7="Actual",i_Actuals!BR126,BQ127)</f>
        <v/>
      </c>
      <c r="BS127" s="257">
        <f>IF(BS7="Actual",i_Actuals!BS126,BR127)</f>
        <v/>
      </c>
      <c r="BT127" s="257">
        <f>IF(BT7="Actual",i_Actuals!BT126,BS127)</f>
        <v/>
      </c>
      <c r="BU127" s="257">
        <f>IF(BU7="Actual",i_Actuals!BU126,BT127)</f>
        <v/>
      </c>
      <c r="BV127" s="257">
        <f>IF(BV7="Actual",i_Actuals!BV126,BU127)</f>
        <v/>
      </c>
      <c r="BW127" s="257">
        <f>IF(BW7="Actual",i_Actuals!BW126,BV127)</f>
        <v/>
      </c>
      <c r="BX127" s="257">
        <f>IF(BX7="Actual",i_Actuals!BX126,BW127)</f>
        <v/>
      </c>
      <c r="BY127" s="257">
        <f>IF(BY7="Actual",i_Actuals!BY126,BX127)</f>
        <v/>
      </c>
      <c r="BZ127" s="257">
        <f>IF(BZ7="Actual",i_Actuals!BZ126,BY127)</f>
        <v/>
      </c>
      <c r="CA127" s="257">
        <f>IF(CA7="Actual",i_Actuals!CA126,BZ127)</f>
        <v/>
      </c>
    </row>
    <row r="128" ht="12" customHeight="1" s="227">
      <c r="A128" s="244" t="n"/>
      <c r="B128" s="244" t="n"/>
      <c r="C128" s="244" t="n"/>
      <c r="G128" s="39" t="inlineStr">
        <is>
          <t>Total Current Assets</t>
        </is>
      </c>
      <c r="H128" s="39" t="n"/>
      <c r="I128" s="41">
        <f> i_Setup!$M$16</f>
        <v/>
      </c>
      <c r="J128" s="39" t="n"/>
      <c r="K128" s="56" t="n"/>
      <c r="M128" s="249">
        <f>SUM(M124:M127)</f>
        <v/>
      </c>
      <c r="N128" s="249">
        <f>SUM(N124:N127)</f>
        <v/>
      </c>
      <c r="O128" s="249">
        <f>SUM(O124:O127)</f>
        <v/>
      </c>
      <c r="P128" s="249">
        <f>SUM(P124:P127)</f>
        <v/>
      </c>
      <c r="Q128" s="249">
        <f>SUM(Q124:Q127)</f>
        <v/>
      </c>
      <c r="T128" s="249">
        <f>SUM(T124:T127)</f>
        <v/>
      </c>
      <c r="U128" s="249">
        <f>SUM(U124:U127)</f>
        <v/>
      </c>
      <c r="V128" s="249">
        <f>SUM(V124:V127)</f>
        <v/>
      </c>
      <c r="W128" s="249">
        <f>SUM(W124:W127)</f>
        <v/>
      </c>
      <c r="X128" s="249">
        <f>SUM(X124:X127)</f>
        <v/>
      </c>
      <c r="Y128" s="249">
        <f>SUM(Y124:Y127)</f>
        <v/>
      </c>
      <c r="Z128" s="249">
        <f>SUM(Z124:Z127)</f>
        <v/>
      </c>
      <c r="AA128" s="249">
        <f>SUM(AA124:AA127)</f>
        <v/>
      </c>
      <c r="AB128" s="249">
        <f>SUM(AB124:AB127)</f>
        <v/>
      </c>
      <c r="AC128" s="249">
        <f>SUM(AC124:AC127)</f>
        <v/>
      </c>
      <c r="AD128" s="249">
        <f>SUM(AD124:AD127)</f>
        <v/>
      </c>
      <c r="AE128" s="249">
        <f>SUM(AE124:AE127)</f>
        <v/>
      </c>
      <c r="AF128" s="249">
        <f>SUM(AF124:AF127)</f>
        <v/>
      </c>
      <c r="AG128" s="249">
        <f>SUM(AG124:AG127)</f>
        <v/>
      </c>
      <c r="AH128" s="249">
        <f>SUM(AH124:AH127)</f>
        <v/>
      </c>
      <c r="AI128" s="249">
        <f>SUM(AI124:AI127)</f>
        <v/>
      </c>
      <c r="AJ128" s="249">
        <f>SUM(AJ124:AJ127)</f>
        <v/>
      </c>
      <c r="AK128" s="249">
        <f>SUM(AK124:AK127)</f>
        <v/>
      </c>
      <c r="AL128" s="249">
        <f>SUM(AL124:AL127)</f>
        <v/>
      </c>
      <c r="AM128" s="249">
        <f>SUM(AM124:AM127)</f>
        <v/>
      </c>
      <c r="AN128" s="249">
        <f>SUM(AN124:AN127)</f>
        <v/>
      </c>
      <c r="AO128" s="249">
        <f>SUM(AO124:AO127)</f>
        <v/>
      </c>
      <c r="AP128" s="249">
        <f>SUM(AP124:AP127)</f>
        <v/>
      </c>
      <c r="AQ128" s="249">
        <f>SUM(AQ124:AQ127)</f>
        <v/>
      </c>
      <c r="AR128" s="249">
        <f>SUM(AR124:AR127)</f>
        <v/>
      </c>
      <c r="AS128" s="249">
        <f>SUM(AS124:AS127)</f>
        <v/>
      </c>
      <c r="AT128" s="249">
        <f>SUM(AT124:AT127)</f>
        <v/>
      </c>
      <c r="AU128" s="249">
        <f>SUM(AU124:AU127)</f>
        <v/>
      </c>
      <c r="AV128" s="249">
        <f>SUM(AV124:AV127)</f>
        <v/>
      </c>
      <c r="AW128" s="249">
        <f>SUM(AW124:AW127)</f>
        <v/>
      </c>
      <c r="AX128" s="249">
        <f>SUM(AX124:AX127)</f>
        <v/>
      </c>
      <c r="AY128" s="249">
        <f>SUM(AY124:AY127)</f>
        <v/>
      </c>
      <c r="AZ128" s="249">
        <f>SUM(AZ124:AZ127)</f>
        <v/>
      </c>
      <c r="BA128" s="249">
        <f>SUM(BA124:BA127)</f>
        <v/>
      </c>
      <c r="BB128" s="249">
        <f>SUM(BB124:BB127)</f>
        <v/>
      </c>
      <c r="BC128" s="249">
        <f>SUM(BC124:BC127)</f>
        <v/>
      </c>
      <c r="BD128" s="249">
        <f>SUM(BD124:BD127)</f>
        <v/>
      </c>
      <c r="BE128" s="249">
        <f>SUM(BE124:BE127)</f>
        <v/>
      </c>
      <c r="BF128" s="249">
        <f>SUM(BF124:BF127)</f>
        <v/>
      </c>
      <c r="BG128" s="249">
        <f>SUM(BG124:BG127)</f>
        <v/>
      </c>
      <c r="BH128" s="249">
        <f>SUM(BH124:BH127)</f>
        <v/>
      </c>
      <c r="BI128" s="249">
        <f>SUM(BI124:BI127)</f>
        <v/>
      </c>
      <c r="BJ128" s="249">
        <f>SUM(BJ124:BJ127)</f>
        <v/>
      </c>
      <c r="BK128" s="249">
        <f>SUM(BK124:BK127)</f>
        <v/>
      </c>
      <c r="BL128" s="249">
        <f>SUM(BL124:BL127)</f>
        <v/>
      </c>
      <c r="BM128" s="249">
        <f>SUM(BM124:BM127)</f>
        <v/>
      </c>
      <c r="BN128" s="249">
        <f>SUM(BN124:BN127)</f>
        <v/>
      </c>
      <c r="BO128" s="249">
        <f>SUM(BO124:BO127)</f>
        <v/>
      </c>
      <c r="BP128" s="249">
        <f>SUM(BP124:BP127)</f>
        <v/>
      </c>
      <c r="BQ128" s="249">
        <f>SUM(BQ124:BQ127)</f>
        <v/>
      </c>
      <c r="BR128" s="249">
        <f>SUM(BR124:BR127)</f>
        <v/>
      </c>
      <c r="BS128" s="249">
        <f>SUM(BS124:BS127)</f>
        <v/>
      </c>
      <c r="BT128" s="249">
        <f>SUM(BT124:BT127)</f>
        <v/>
      </c>
      <c r="BU128" s="249">
        <f>SUM(BU124:BU127)</f>
        <v/>
      </c>
      <c r="BV128" s="249">
        <f>SUM(BV124:BV127)</f>
        <v/>
      </c>
      <c r="BW128" s="249">
        <f>SUM(BW124:BW127)</f>
        <v/>
      </c>
      <c r="BX128" s="249">
        <f>SUM(BX124:BX127)</f>
        <v/>
      </c>
      <c r="BY128" s="249">
        <f>SUM(BY124:BY127)</f>
        <v/>
      </c>
      <c r="BZ128" s="249">
        <f>SUM(BZ124:BZ127)</f>
        <v/>
      </c>
      <c r="CA128" s="249">
        <f>SUM(CA124:CA127)</f>
        <v/>
      </c>
      <c r="CB128" s="248" t="n"/>
    </row>
    <row r="129" ht="12" customHeight="1" s="227">
      <c r="A129" s="244" t="n"/>
      <c r="B129" s="244" t="n"/>
      <c r="C129" s="244" t="n"/>
      <c r="G129" s="222" t="n"/>
    </row>
    <row r="130" ht="12" customHeight="1" s="227" thickBot="1">
      <c r="A130" s="244" t="n"/>
      <c r="B130" s="244" t="n"/>
      <c r="C130" s="244" t="n"/>
      <c r="G130" s="83" t="inlineStr">
        <is>
          <t>Total Assets</t>
        </is>
      </c>
      <c r="H130" s="77" t="n"/>
      <c r="I130" s="78">
        <f> i_Setup!$M$16</f>
        <v/>
      </c>
      <c r="J130" s="77" t="n"/>
      <c r="K130" s="56" t="n"/>
      <c r="M130" s="250">
        <f>M121+M128</f>
        <v/>
      </c>
      <c r="N130" s="250">
        <f>N121+N128</f>
        <v/>
      </c>
      <c r="O130" s="250">
        <f>O121+O128</f>
        <v/>
      </c>
      <c r="P130" s="250">
        <f>P121+P128</f>
        <v/>
      </c>
      <c r="Q130" s="250">
        <f>Q121+Q128</f>
        <v/>
      </c>
      <c r="T130" s="250">
        <f>T121+T128</f>
        <v/>
      </c>
      <c r="U130" s="250">
        <f>U121+U128</f>
        <v/>
      </c>
      <c r="V130" s="250">
        <f>V121+V128</f>
        <v/>
      </c>
      <c r="W130" s="250">
        <f>W121+W128</f>
        <v/>
      </c>
      <c r="X130" s="250">
        <f>X121+X128</f>
        <v/>
      </c>
      <c r="Y130" s="250">
        <f>Y121+Y128</f>
        <v/>
      </c>
      <c r="Z130" s="250">
        <f>Z121+Z128</f>
        <v/>
      </c>
      <c r="AA130" s="250">
        <f>AA121+AA128</f>
        <v/>
      </c>
      <c r="AB130" s="250">
        <f>AB121+AB128</f>
        <v/>
      </c>
      <c r="AC130" s="250">
        <f>AC121+AC128</f>
        <v/>
      </c>
      <c r="AD130" s="250">
        <f>AD121+AD128</f>
        <v/>
      </c>
      <c r="AE130" s="250">
        <f>AE121+AE128</f>
        <v/>
      </c>
      <c r="AF130" s="250">
        <f>AF121+AF128</f>
        <v/>
      </c>
      <c r="AG130" s="250">
        <f>AG121+AG128</f>
        <v/>
      </c>
      <c r="AH130" s="250">
        <f>AH121+AH128</f>
        <v/>
      </c>
      <c r="AI130" s="250">
        <f>AI121+AI128</f>
        <v/>
      </c>
      <c r="AJ130" s="250">
        <f>AJ121+AJ128</f>
        <v/>
      </c>
      <c r="AK130" s="250">
        <f>AK121+AK128</f>
        <v/>
      </c>
      <c r="AL130" s="250">
        <f>AL121+AL128</f>
        <v/>
      </c>
      <c r="AM130" s="250">
        <f>AM121+AM128</f>
        <v/>
      </c>
      <c r="AN130" s="250">
        <f>AN121+AN128</f>
        <v/>
      </c>
      <c r="AO130" s="250">
        <f>AO121+AO128</f>
        <v/>
      </c>
      <c r="AP130" s="250">
        <f>AP121+AP128</f>
        <v/>
      </c>
      <c r="AQ130" s="250">
        <f>AQ121+AQ128</f>
        <v/>
      </c>
      <c r="AR130" s="250">
        <f>AR121+AR128</f>
        <v/>
      </c>
      <c r="AS130" s="250">
        <f>AS121+AS128</f>
        <v/>
      </c>
      <c r="AT130" s="250">
        <f>AT121+AT128</f>
        <v/>
      </c>
      <c r="AU130" s="250">
        <f>AU121+AU128</f>
        <v/>
      </c>
      <c r="AV130" s="250">
        <f>AV121+AV128</f>
        <v/>
      </c>
      <c r="AW130" s="250">
        <f>AW121+AW128</f>
        <v/>
      </c>
      <c r="AX130" s="250">
        <f>AX121+AX128</f>
        <v/>
      </c>
      <c r="AY130" s="250">
        <f>AY121+AY128</f>
        <v/>
      </c>
      <c r="AZ130" s="250">
        <f>AZ121+AZ128</f>
        <v/>
      </c>
      <c r="BA130" s="250">
        <f>BA121+BA128</f>
        <v/>
      </c>
      <c r="BB130" s="250">
        <f>BB121+BB128</f>
        <v/>
      </c>
      <c r="BC130" s="250">
        <f>BC121+BC128</f>
        <v/>
      </c>
      <c r="BD130" s="250">
        <f>BD121+BD128</f>
        <v/>
      </c>
      <c r="BE130" s="250">
        <f>BE121+BE128</f>
        <v/>
      </c>
      <c r="BF130" s="250">
        <f>BF121+BF128</f>
        <v/>
      </c>
      <c r="BG130" s="250">
        <f>BG121+BG128</f>
        <v/>
      </c>
      <c r="BH130" s="250">
        <f>BH121+BH128</f>
        <v/>
      </c>
      <c r="BI130" s="250">
        <f>BI121+BI128</f>
        <v/>
      </c>
      <c r="BJ130" s="250">
        <f>BJ121+BJ128</f>
        <v/>
      </c>
      <c r="BK130" s="250">
        <f>BK121+BK128</f>
        <v/>
      </c>
      <c r="BL130" s="250">
        <f>BL121+BL128</f>
        <v/>
      </c>
      <c r="BM130" s="250">
        <f>BM121+BM128</f>
        <v/>
      </c>
      <c r="BN130" s="250">
        <f>BN121+BN128</f>
        <v/>
      </c>
      <c r="BO130" s="250">
        <f>BO121+BO128</f>
        <v/>
      </c>
      <c r="BP130" s="250">
        <f>BP121+BP128</f>
        <v/>
      </c>
      <c r="BQ130" s="250">
        <f>BQ121+BQ128</f>
        <v/>
      </c>
      <c r="BR130" s="250">
        <f>BR121+BR128</f>
        <v/>
      </c>
      <c r="BS130" s="250">
        <f>BS121+BS128</f>
        <v/>
      </c>
      <c r="BT130" s="250">
        <f>BT121+BT128</f>
        <v/>
      </c>
      <c r="BU130" s="250">
        <f>BU121+BU128</f>
        <v/>
      </c>
      <c r="BV130" s="250">
        <f>BV121+BV128</f>
        <v/>
      </c>
      <c r="BW130" s="250">
        <f>BW121+BW128</f>
        <v/>
      </c>
      <c r="BX130" s="250">
        <f>BX121+BX128</f>
        <v/>
      </c>
      <c r="BY130" s="250">
        <f>BY121+BY128</f>
        <v/>
      </c>
      <c r="BZ130" s="250">
        <f>BZ121+BZ128</f>
        <v/>
      </c>
      <c r="CA130" s="250">
        <f>CA121+CA128</f>
        <v/>
      </c>
    </row>
    <row r="131" ht="12" customHeight="1" s="227">
      <c r="A131" s="244" t="n"/>
      <c r="B131" s="244" t="n"/>
      <c r="C131" s="244" t="n"/>
    </row>
    <row r="132" ht="12" customHeight="1" s="227">
      <c r="A132" s="244" t="n"/>
      <c r="B132" s="244" t="n"/>
      <c r="C132" s="244" t="n"/>
    </row>
    <row r="133" ht="13.5" customFormat="1" customHeight="1" s="223" thickBot="1">
      <c r="E133" s="223">
        <f>Heading2</f>
        <v/>
      </c>
      <c r="F133" s="223" t="inlineStr">
        <is>
          <t>Liabilities &amp; Equity</t>
        </is>
      </c>
    </row>
    <row r="134" ht="12" customHeight="1" s="227">
      <c r="A134" s="244" t="n"/>
      <c r="B134" s="244" t="n"/>
      <c r="C134" s="244" t="n"/>
    </row>
    <row r="135" ht="12.75" customHeight="1" s="227">
      <c r="A135" s="244" t="n"/>
      <c r="B135" s="244" t="n"/>
      <c r="C135" s="244" t="n"/>
      <c r="G135" s="222" t="inlineStr">
        <is>
          <t>Liabilities</t>
        </is>
      </c>
    </row>
    <row r="136" ht="12" customHeight="1" s="227">
      <c r="A136" s="244" t="n"/>
      <c r="B136" s="244" t="n"/>
      <c r="C136" s="244" t="n"/>
      <c r="G136" s="222" t="n"/>
      <c r="H136" s="4" t="inlineStr">
        <is>
          <t>Borrowings</t>
        </is>
      </c>
      <c r="I136" s="27" t="n"/>
      <c r="K136" s="27" t="n"/>
      <c r="M136" s="245" t="n"/>
      <c r="N136" s="245" t="n"/>
      <c r="O136" s="245" t="n"/>
      <c r="P136" s="245" t="n"/>
      <c r="Q136" s="245" t="n"/>
    </row>
    <row r="137" ht="12" customHeight="1" s="227">
      <c r="A137" s="244" t="n"/>
      <c r="B137" s="244" t="n"/>
      <c r="C137" s="244" t="n"/>
      <c r="G137" s="222" t="n"/>
      <c r="H137" s="185">
        <f>i_Setup!U124</f>
        <v/>
      </c>
      <c r="I137" s="27">
        <f> i_Setup!$M$16</f>
        <v/>
      </c>
      <c r="K137" s="27" t="n"/>
      <c r="M137" s="245">
        <f>INDEX($T137:$CA137,,MATCH(M$2,$T$2:$CA$2,0))</f>
        <v/>
      </c>
      <c r="N137" s="245">
        <f>INDEX($T137:$CA137,,MATCH(N$2,$T$2:$CA$2,0))</f>
        <v/>
      </c>
      <c r="O137" s="245">
        <f>INDEX($T137:$CA137,,MATCH(O$2,$T$2:$CA$2,0))</f>
        <v/>
      </c>
      <c r="P137" s="245">
        <f>INDEX($T137:$CA137,,MATCH(P$2,$T$2:$CA$2,0))</f>
        <v/>
      </c>
      <c r="Q137" s="245">
        <f>INDEX($T137:$CA137,,MATCH(Q$2,$T$2:$CA$2,0))</f>
        <v/>
      </c>
      <c r="T137" s="257">
        <f>-c_Calculations!T941</f>
        <v/>
      </c>
      <c r="U137" s="257">
        <f>-c_Calculations!U941</f>
        <v/>
      </c>
      <c r="V137" s="257">
        <f>-c_Calculations!V941</f>
        <v/>
      </c>
      <c r="W137" s="257">
        <f>-c_Calculations!W941</f>
        <v/>
      </c>
      <c r="X137" s="257">
        <f>-c_Calculations!X941</f>
        <v/>
      </c>
      <c r="Y137" s="257">
        <f>-c_Calculations!Y941</f>
        <v/>
      </c>
      <c r="Z137" s="257">
        <f>-c_Calculations!Z941</f>
        <v/>
      </c>
      <c r="AA137" s="257">
        <f>-c_Calculations!AA941</f>
        <v/>
      </c>
      <c r="AB137" s="257">
        <f>-c_Calculations!AB941</f>
        <v/>
      </c>
      <c r="AC137" s="257">
        <f>-c_Calculations!AC941</f>
        <v/>
      </c>
      <c r="AD137" s="257">
        <f>-c_Calculations!AD941</f>
        <v/>
      </c>
      <c r="AE137" s="257">
        <f>-c_Calculations!AE941</f>
        <v/>
      </c>
      <c r="AF137" s="257">
        <f>-c_Calculations!AF941</f>
        <v/>
      </c>
      <c r="AG137" s="257">
        <f>-c_Calculations!AG941</f>
        <v/>
      </c>
      <c r="AH137" s="257">
        <f>-c_Calculations!AH941</f>
        <v/>
      </c>
      <c r="AI137" s="257">
        <f>-c_Calculations!AI941</f>
        <v/>
      </c>
      <c r="AJ137" s="257">
        <f>-c_Calculations!AJ941</f>
        <v/>
      </c>
      <c r="AK137" s="257">
        <f>-c_Calculations!AK941</f>
        <v/>
      </c>
      <c r="AL137" s="257">
        <f>-c_Calculations!AL941</f>
        <v/>
      </c>
      <c r="AM137" s="257">
        <f>-c_Calculations!AM941</f>
        <v/>
      </c>
      <c r="AN137" s="257">
        <f>-c_Calculations!AN941</f>
        <v/>
      </c>
      <c r="AO137" s="257">
        <f>-c_Calculations!AO941</f>
        <v/>
      </c>
      <c r="AP137" s="257">
        <f>-c_Calculations!AP941</f>
        <v/>
      </c>
      <c r="AQ137" s="257">
        <f>-c_Calculations!AQ941</f>
        <v/>
      </c>
      <c r="AR137" s="257">
        <f>-c_Calculations!AR941</f>
        <v/>
      </c>
      <c r="AS137" s="257">
        <f>-c_Calculations!AS941</f>
        <v/>
      </c>
      <c r="AT137" s="257">
        <f>-c_Calculations!AT941</f>
        <v/>
      </c>
      <c r="AU137" s="257">
        <f>-c_Calculations!AU941</f>
        <v/>
      </c>
      <c r="AV137" s="257">
        <f>-c_Calculations!AV941</f>
        <v/>
      </c>
      <c r="AW137" s="257">
        <f>-c_Calculations!AW941</f>
        <v/>
      </c>
      <c r="AX137" s="257">
        <f>-c_Calculations!AX941</f>
        <v/>
      </c>
      <c r="AY137" s="257">
        <f>-c_Calculations!AY941</f>
        <v/>
      </c>
      <c r="AZ137" s="257">
        <f>-c_Calculations!AZ941</f>
        <v/>
      </c>
      <c r="BA137" s="257">
        <f>-c_Calculations!BA941</f>
        <v/>
      </c>
      <c r="BB137" s="257">
        <f>-c_Calculations!BB941</f>
        <v/>
      </c>
      <c r="BC137" s="257">
        <f>-c_Calculations!BC941</f>
        <v/>
      </c>
      <c r="BD137" s="257">
        <f>-c_Calculations!BD941</f>
        <v/>
      </c>
      <c r="BE137" s="257">
        <f>-c_Calculations!BE941</f>
        <v/>
      </c>
      <c r="BF137" s="257">
        <f>-c_Calculations!BF941</f>
        <v/>
      </c>
      <c r="BG137" s="257">
        <f>-c_Calculations!BG941</f>
        <v/>
      </c>
      <c r="BH137" s="257">
        <f>-c_Calculations!BH941</f>
        <v/>
      </c>
      <c r="BI137" s="257">
        <f>-c_Calculations!BI941</f>
        <v/>
      </c>
      <c r="BJ137" s="257">
        <f>-c_Calculations!BJ941</f>
        <v/>
      </c>
      <c r="BK137" s="257">
        <f>-c_Calculations!BK941</f>
        <v/>
      </c>
      <c r="BL137" s="257">
        <f>-c_Calculations!BL941</f>
        <v/>
      </c>
      <c r="BM137" s="257">
        <f>-c_Calculations!BM941</f>
        <v/>
      </c>
      <c r="BN137" s="257">
        <f>-c_Calculations!BN941</f>
        <v/>
      </c>
      <c r="BO137" s="257">
        <f>-c_Calculations!BO941</f>
        <v/>
      </c>
      <c r="BP137" s="257">
        <f>-c_Calculations!BP941</f>
        <v/>
      </c>
      <c r="BQ137" s="257">
        <f>-c_Calculations!BQ941</f>
        <v/>
      </c>
      <c r="BR137" s="257">
        <f>-c_Calculations!BR941</f>
        <v/>
      </c>
      <c r="BS137" s="257">
        <f>-c_Calculations!BS941</f>
        <v/>
      </c>
      <c r="BT137" s="257">
        <f>-c_Calculations!BT941</f>
        <v/>
      </c>
      <c r="BU137" s="257">
        <f>-c_Calculations!BU941</f>
        <v/>
      </c>
      <c r="BV137" s="257">
        <f>-c_Calculations!BV941</f>
        <v/>
      </c>
      <c r="BW137" s="257">
        <f>-c_Calculations!BW941</f>
        <v/>
      </c>
      <c r="BX137" s="257">
        <f>-c_Calculations!BX941</f>
        <v/>
      </c>
      <c r="BY137" s="257">
        <f>-c_Calculations!BY941</f>
        <v/>
      </c>
      <c r="BZ137" s="257">
        <f>-c_Calculations!BZ941</f>
        <v/>
      </c>
      <c r="CA137" s="257">
        <f>-c_Calculations!CA941</f>
        <v/>
      </c>
    </row>
    <row r="138" ht="12" customHeight="1" s="227">
      <c r="A138" s="244" t="n"/>
      <c r="B138" s="244" t="n"/>
      <c r="C138" s="244" t="n"/>
      <c r="G138" s="222" t="n"/>
      <c r="H138" s="185">
        <f>i_Setup!U125</f>
        <v/>
      </c>
      <c r="I138" s="27">
        <f> i_Setup!$M$16</f>
        <v/>
      </c>
      <c r="K138" s="27" t="n"/>
      <c r="M138" s="245">
        <f>INDEX($T138:$CA138,,MATCH(M$2,$T$2:$CA$2,0))</f>
        <v/>
      </c>
      <c r="N138" s="245">
        <f>INDEX($T138:$CA138,,MATCH(N$2,$T$2:$CA$2,0))</f>
        <v/>
      </c>
      <c r="O138" s="245">
        <f>INDEX($T138:$CA138,,MATCH(O$2,$T$2:$CA$2,0))</f>
        <v/>
      </c>
      <c r="P138" s="245">
        <f>INDEX($T138:$CA138,,MATCH(P$2,$T$2:$CA$2,0))</f>
        <v/>
      </c>
      <c r="Q138" s="245">
        <f>INDEX($T138:$CA138,,MATCH(Q$2,$T$2:$CA$2,0))</f>
        <v/>
      </c>
      <c r="T138" s="257">
        <f>-c_Calculations!T963</f>
        <v/>
      </c>
      <c r="U138" s="257">
        <f>-c_Calculations!U963</f>
        <v/>
      </c>
      <c r="V138" s="257">
        <f>-c_Calculations!V963</f>
        <v/>
      </c>
      <c r="W138" s="257">
        <f>-c_Calculations!W963</f>
        <v/>
      </c>
      <c r="X138" s="257">
        <f>-c_Calculations!X963</f>
        <v/>
      </c>
      <c r="Y138" s="257">
        <f>-c_Calculations!Y963</f>
        <v/>
      </c>
      <c r="Z138" s="257">
        <f>-c_Calculations!Z963</f>
        <v/>
      </c>
      <c r="AA138" s="257">
        <f>-c_Calculations!AA963</f>
        <v/>
      </c>
      <c r="AB138" s="257">
        <f>-c_Calculations!AB963</f>
        <v/>
      </c>
      <c r="AC138" s="257">
        <f>-c_Calculations!AC963</f>
        <v/>
      </c>
      <c r="AD138" s="257">
        <f>-c_Calculations!AD963</f>
        <v/>
      </c>
      <c r="AE138" s="257">
        <f>-c_Calculations!AE963</f>
        <v/>
      </c>
      <c r="AF138" s="257">
        <f>-c_Calculations!AF963</f>
        <v/>
      </c>
      <c r="AG138" s="257">
        <f>-c_Calculations!AG963</f>
        <v/>
      </c>
      <c r="AH138" s="257">
        <f>-c_Calculations!AH963</f>
        <v/>
      </c>
      <c r="AI138" s="257">
        <f>-c_Calculations!AI963</f>
        <v/>
      </c>
      <c r="AJ138" s="257">
        <f>-c_Calculations!AJ963</f>
        <v/>
      </c>
      <c r="AK138" s="257">
        <f>-c_Calculations!AK963</f>
        <v/>
      </c>
      <c r="AL138" s="257">
        <f>-c_Calculations!AL963</f>
        <v/>
      </c>
      <c r="AM138" s="257">
        <f>-c_Calculations!AM963</f>
        <v/>
      </c>
      <c r="AN138" s="257">
        <f>-c_Calculations!AN963</f>
        <v/>
      </c>
      <c r="AO138" s="257">
        <f>-c_Calculations!AO963</f>
        <v/>
      </c>
      <c r="AP138" s="257">
        <f>-c_Calculations!AP963</f>
        <v/>
      </c>
      <c r="AQ138" s="257">
        <f>-c_Calculations!AQ963</f>
        <v/>
      </c>
      <c r="AR138" s="257">
        <f>-c_Calculations!AR963</f>
        <v/>
      </c>
      <c r="AS138" s="257">
        <f>-c_Calculations!AS963</f>
        <v/>
      </c>
      <c r="AT138" s="257">
        <f>-c_Calculations!AT963</f>
        <v/>
      </c>
      <c r="AU138" s="257">
        <f>-c_Calculations!AU963</f>
        <v/>
      </c>
      <c r="AV138" s="257">
        <f>-c_Calculations!AV963</f>
        <v/>
      </c>
      <c r="AW138" s="257">
        <f>-c_Calculations!AW963</f>
        <v/>
      </c>
      <c r="AX138" s="257">
        <f>-c_Calculations!AX963</f>
        <v/>
      </c>
      <c r="AY138" s="257">
        <f>-c_Calculations!AY963</f>
        <v/>
      </c>
      <c r="AZ138" s="257">
        <f>-c_Calculations!AZ963</f>
        <v/>
      </c>
      <c r="BA138" s="257">
        <f>-c_Calculations!BA963</f>
        <v/>
      </c>
      <c r="BB138" s="257">
        <f>-c_Calculations!BB963</f>
        <v/>
      </c>
      <c r="BC138" s="257">
        <f>-c_Calculations!BC963</f>
        <v/>
      </c>
      <c r="BD138" s="257">
        <f>-c_Calculations!BD963</f>
        <v/>
      </c>
      <c r="BE138" s="257">
        <f>-c_Calculations!BE963</f>
        <v/>
      </c>
      <c r="BF138" s="257">
        <f>-c_Calculations!BF963</f>
        <v/>
      </c>
      <c r="BG138" s="257">
        <f>-c_Calculations!BG963</f>
        <v/>
      </c>
      <c r="BH138" s="257">
        <f>-c_Calculations!BH963</f>
        <v/>
      </c>
      <c r="BI138" s="257">
        <f>-c_Calculations!BI963</f>
        <v/>
      </c>
      <c r="BJ138" s="257">
        <f>-c_Calculations!BJ963</f>
        <v/>
      </c>
      <c r="BK138" s="257">
        <f>-c_Calculations!BK963</f>
        <v/>
      </c>
      <c r="BL138" s="257">
        <f>-c_Calculations!BL963</f>
        <v/>
      </c>
      <c r="BM138" s="257">
        <f>-c_Calculations!BM963</f>
        <v/>
      </c>
      <c r="BN138" s="257">
        <f>-c_Calculations!BN963</f>
        <v/>
      </c>
      <c r="BO138" s="257">
        <f>-c_Calculations!BO963</f>
        <v/>
      </c>
      <c r="BP138" s="257">
        <f>-c_Calculations!BP963</f>
        <v/>
      </c>
      <c r="BQ138" s="257">
        <f>-c_Calculations!BQ963</f>
        <v/>
      </c>
      <c r="BR138" s="257">
        <f>-c_Calculations!BR963</f>
        <v/>
      </c>
      <c r="BS138" s="257">
        <f>-c_Calculations!BS963</f>
        <v/>
      </c>
      <c r="BT138" s="257">
        <f>-c_Calculations!BT963</f>
        <v/>
      </c>
      <c r="BU138" s="257">
        <f>-c_Calculations!BU963</f>
        <v/>
      </c>
      <c r="BV138" s="257">
        <f>-c_Calculations!BV963</f>
        <v/>
      </c>
      <c r="BW138" s="257">
        <f>-c_Calculations!BW963</f>
        <v/>
      </c>
      <c r="BX138" s="257">
        <f>-c_Calculations!BX963</f>
        <v/>
      </c>
      <c r="BY138" s="257">
        <f>-c_Calculations!BY963</f>
        <v/>
      </c>
      <c r="BZ138" s="257">
        <f>-c_Calculations!BZ963</f>
        <v/>
      </c>
      <c r="CA138" s="257">
        <f>-c_Calculations!CA963</f>
        <v/>
      </c>
    </row>
    <row r="139" ht="12" customHeight="1" s="227">
      <c r="A139" s="244" t="n"/>
      <c r="B139" s="244" t="n"/>
      <c r="C139" s="244" t="n"/>
      <c r="G139" s="222" t="n"/>
      <c r="H139" s="185">
        <f>i_Setup!U126</f>
        <v/>
      </c>
      <c r="I139" s="27">
        <f> i_Setup!$M$16</f>
        <v/>
      </c>
      <c r="K139" s="27" t="n"/>
      <c r="M139" s="245">
        <f>INDEX($T139:$CA139,,MATCH(M$2,$T$2:$CA$2,0))</f>
        <v/>
      </c>
      <c r="N139" s="245">
        <f>INDEX($T139:$CA139,,MATCH(N$2,$T$2:$CA$2,0))</f>
        <v/>
      </c>
      <c r="O139" s="245">
        <f>INDEX($T139:$CA139,,MATCH(O$2,$T$2:$CA$2,0))</f>
        <v/>
      </c>
      <c r="P139" s="245">
        <f>INDEX($T139:$CA139,,MATCH(P$2,$T$2:$CA$2,0))</f>
        <v/>
      </c>
      <c r="Q139" s="245">
        <f>INDEX($T139:$CA139,,MATCH(Q$2,$T$2:$CA$2,0))</f>
        <v/>
      </c>
      <c r="T139" s="257">
        <f>-c_Calculations!T985</f>
        <v/>
      </c>
      <c r="U139" s="257">
        <f>-c_Calculations!U985</f>
        <v/>
      </c>
      <c r="V139" s="257">
        <f>-c_Calculations!V985</f>
        <v/>
      </c>
      <c r="W139" s="257">
        <f>-c_Calculations!W985</f>
        <v/>
      </c>
      <c r="X139" s="257">
        <f>-c_Calculations!X985</f>
        <v/>
      </c>
      <c r="Y139" s="257">
        <f>-c_Calculations!Y985</f>
        <v/>
      </c>
      <c r="Z139" s="257">
        <f>-c_Calculations!Z985</f>
        <v/>
      </c>
      <c r="AA139" s="257">
        <f>-c_Calculations!AA985</f>
        <v/>
      </c>
      <c r="AB139" s="257">
        <f>-c_Calculations!AB985</f>
        <v/>
      </c>
      <c r="AC139" s="257">
        <f>-c_Calculations!AC985</f>
        <v/>
      </c>
      <c r="AD139" s="257">
        <f>-c_Calculations!AD985</f>
        <v/>
      </c>
      <c r="AE139" s="257">
        <f>-c_Calculations!AE985</f>
        <v/>
      </c>
      <c r="AF139" s="257">
        <f>-c_Calculations!AF985</f>
        <v/>
      </c>
      <c r="AG139" s="257">
        <f>-c_Calculations!AG985</f>
        <v/>
      </c>
      <c r="AH139" s="257">
        <f>-c_Calculations!AH985</f>
        <v/>
      </c>
      <c r="AI139" s="257">
        <f>-c_Calculations!AI985</f>
        <v/>
      </c>
      <c r="AJ139" s="257">
        <f>-c_Calculations!AJ985</f>
        <v/>
      </c>
      <c r="AK139" s="257">
        <f>-c_Calculations!AK985</f>
        <v/>
      </c>
      <c r="AL139" s="257">
        <f>-c_Calculations!AL985</f>
        <v/>
      </c>
      <c r="AM139" s="257">
        <f>-c_Calculations!AM985</f>
        <v/>
      </c>
      <c r="AN139" s="257">
        <f>-c_Calculations!AN985</f>
        <v/>
      </c>
      <c r="AO139" s="257">
        <f>-c_Calculations!AO985</f>
        <v/>
      </c>
      <c r="AP139" s="257">
        <f>-c_Calculations!AP985</f>
        <v/>
      </c>
      <c r="AQ139" s="257">
        <f>-c_Calculations!AQ985</f>
        <v/>
      </c>
      <c r="AR139" s="257">
        <f>-c_Calculations!AR985</f>
        <v/>
      </c>
      <c r="AS139" s="257">
        <f>-c_Calculations!AS985</f>
        <v/>
      </c>
      <c r="AT139" s="257">
        <f>-c_Calculations!AT985</f>
        <v/>
      </c>
      <c r="AU139" s="257">
        <f>-c_Calculations!AU985</f>
        <v/>
      </c>
      <c r="AV139" s="257">
        <f>-c_Calculations!AV985</f>
        <v/>
      </c>
      <c r="AW139" s="257">
        <f>-c_Calculations!AW985</f>
        <v/>
      </c>
      <c r="AX139" s="257">
        <f>-c_Calculations!AX985</f>
        <v/>
      </c>
      <c r="AY139" s="257">
        <f>-c_Calculations!AY985</f>
        <v/>
      </c>
      <c r="AZ139" s="257">
        <f>-c_Calculations!AZ985</f>
        <v/>
      </c>
      <c r="BA139" s="257">
        <f>-c_Calculations!BA985</f>
        <v/>
      </c>
      <c r="BB139" s="257">
        <f>-c_Calculations!BB985</f>
        <v/>
      </c>
      <c r="BC139" s="257">
        <f>-c_Calculations!BC985</f>
        <v/>
      </c>
      <c r="BD139" s="257">
        <f>-c_Calculations!BD985</f>
        <v/>
      </c>
      <c r="BE139" s="257">
        <f>-c_Calculations!BE985</f>
        <v/>
      </c>
      <c r="BF139" s="257">
        <f>-c_Calculations!BF985</f>
        <v/>
      </c>
      <c r="BG139" s="257">
        <f>-c_Calculations!BG985</f>
        <v/>
      </c>
      <c r="BH139" s="257">
        <f>-c_Calculations!BH985</f>
        <v/>
      </c>
      <c r="BI139" s="257">
        <f>-c_Calculations!BI985</f>
        <v/>
      </c>
      <c r="BJ139" s="257">
        <f>-c_Calculations!BJ985</f>
        <v/>
      </c>
      <c r="BK139" s="257">
        <f>-c_Calculations!BK985</f>
        <v/>
      </c>
      <c r="BL139" s="257">
        <f>-c_Calculations!BL985</f>
        <v/>
      </c>
      <c r="BM139" s="257">
        <f>-c_Calculations!BM985</f>
        <v/>
      </c>
      <c r="BN139" s="257">
        <f>-c_Calculations!BN985</f>
        <v/>
      </c>
      <c r="BO139" s="257">
        <f>-c_Calculations!BO985</f>
        <v/>
      </c>
      <c r="BP139" s="257">
        <f>-c_Calculations!BP985</f>
        <v/>
      </c>
      <c r="BQ139" s="257">
        <f>-c_Calculations!BQ985</f>
        <v/>
      </c>
      <c r="BR139" s="257">
        <f>-c_Calculations!BR985</f>
        <v/>
      </c>
      <c r="BS139" s="257">
        <f>-c_Calculations!BS985</f>
        <v/>
      </c>
      <c r="BT139" s="257">
        <f>-c_Calculations!BT985</f>
        <v/>
      </c>
      <c r="BU139" s="257">
        <f>-c_Calculations!BU985</f>
        <v/>
      </c>
      <c r="BV139" s="257">
        <f>-c_Calculations!BV985</f>
        <v/>
      </c>
      <c r="BW139" s="257">
        <f>-c_Calculations!BW985</f>
        <v/>
      </c>
      <c r="BX139" s="257">
        <f>-c_Calculations!BX985</f>
        <v/>
      </c>
      <c r="BY139" s="257">
        <f>-c_Calculations!BY985</f>
        <v/>
      </c>
      <c r="BZ139" s="257">
        <f>-c_Calculations!BZ985</f>
        <v/>
      </c>
      <c r="CA139" s="257">
        <f>-c_Calculations!CA985</f>
        <v/>
      </c>
    </row>
    <row r="140" ht="12" customHeight="1" s="227">
      <c r="A140" s="244" t="n"/>
      <c r="B140" s="244" t="n"/>
      <c r="C140" s="244" t="n"/>
      <c r="G140" s="222" t="n"/>
      <c r="I140" s="27" t="n"/>
      <c r="K140" s="27" t="n"/>
      <c r="M140" s="245" t="n"/>
      <c r="N140" s="245" t="n"/>
      <c r="O140" s="245" t="n"/>
      <c r="P140" s="245" t="n"/>
      <c r="Q140" s="245" t="n"/>
      <c r="T140" s="245" t="n"/>
      <c r="U140" s="245" t="n"/>
      <c r="V140" s="245" t="n"/>
      <c r="W140" s="245" t="n"/>
      <c r="X140" s="245" t="n"/>
      <c r="Y140" s="245" t="n"/>
      <c r="Z140" s="245" t="n"/>
      <c r="AA140" s="245" t="n"/>
      <c r="AB140" s="245" t="n"/>
      <c r="AC140" s="245" t="n"/>
      <c r="AD140" s="245" t="n"/>
      <c r="AE140" s="245" t="n"/>
      <c r="AF140" s="245" t="n"/>
      <c r="AG140" s="245" t="n"/>
      <c r="AH140" s="245" t="n"/>
      <c r="AI140" s="245" t="n"/>
      <c r="AJ140" s="245" t="n"/>
      <c r="AK140" s="245" t="n"/>
      <c r="AL140" s="245" t="n"/>
      <c r="AM140" s="245" t="n"/>
      <c r="AN140" s="245" t="n"/>
      <c r="AO140" s="245" t="n"/>
      <c r="AP140" s="245" t="n"/>
      <c r="AQ140" s="245" t="n"/>
      <c r="AR140" s="245" t="n"/>
      <c r="AS140" s="245" t="n"/>
      <c r="AT140" s="245" t="n"/>
      <c r="AU140" s="245" t="n"/>
      <c r="AV140" s="245" t="n"/>
      <c r="AW140" s="245" t="n"/>
      <c r="AX140" s="245" t="n"/>
      <c r="AY140" s="245" t="n"/>
      <c r="AZ140" s="245" t="n"/>
      <c r="BA140" s="245" t="n"/>
      <c r="BB140" s="245" t="n"/>
      <c r="BC140" s="245" t="n"/>
      <c r="BD140" s="245" t="n"/>
      <c r="BE140" s="245" t="n"/>
      <c r="BF140" s="245" t="n"/>
      <c r="BG140" s="245" t="n"/>
      <c r="BH140" s="245" t="n"/>
      <c r="BI140" s="245" t="n"/>
      <c r="BJ140" s="245" t="n"/>
      <c r="BK140" s="245" t="n"/>
      <c r="BL140" s="245" t="n"/>
      <c r="BM140" s="245" t="n"/>
      <c r="BN140" s="245" t="n"/>
      <c r="BO140" s="245" t="n"/>
      <c r="BP140" s="245" t="n"/>
      <c r="BQ140" s="245" t="n"/>
      <c r="BR140" s="245" t="n"/>
      <c r="BS140" s="245" t="n"/>
      <c r="BT140" s="245" t="n"/>
      <c r="BU140" s="245" t="n"/>
      <c r="BV140" s="245" t="n"/>
      <c r="BW140" s="245" t="n"/>
      <c r="BX140" s="245" t="n"/>
      <c r="BY140" s="245" t="n"/>
      <c r="BZ140" s="245" t="n"/>
      <c r="CA140" s="245" t="n"/>
    </row>
    <row r="141" ht="12" customHeight="1" s="227">
      <c r="A141" s="244" t="n"/>
      <c r="B141" s="244" t="n"/>
      <c r="C141" s="244" t="n"/>
      <c r="G141" s="222" t="n"/>
      <c r="H141" s="4" t="inlineStr">
        <is>
          <t>Sales Tax Liability</t>
        </is>
      </c>
      <c r="I141" s="27">
        <f> i_Setup!$M$16</f>
        <v/>
      </c>
      <c r="K141" s="27" t="n"/>
      <c r="M141" s="245">
        <f>INDEX($T141:$CA141,,MATCH(M$2,$T$2:$CA$2,0))</f>
        <v/>
      </c>
      <c r="N141" s="245">
        <f>INDEX($T141:$CA141,,MATCH(N$2,$T$2:$CA$2,0))</f>
        <v/>
      </c>
      <c r="O141" s="245">
        <f>INDEX($T141:$CA141,,MATCH(O$2,$T$2:$CA$2,0))</f>
        <v/>
      </c>
      <c r="P141" s="245">
        <f>INDEX($T141:$CA141,,MATCH(P$2,$T$2:$CA$2,0))</f>
        <v/>
      </c>
      <c r="Q141" s="245">
        <f>INDEX($T141:$CA141,,MATCH(Q$2,$T$2:$CA$2,0))</f>
        <v/>
      </c>
      <c r="T141" s="257">
        <f>c_Calculations!T919</f>
        <v/>
      </c>
      <c r="U141" s="257">
        <f>c_Calculations!U919</f>
        <v/>
      </c>
      <c r="V141" s="257">
        <f>c_Calculations!V919</f>
        <v/>
      </c>
      <c r="W141" s="257">
        <f>c_Calculations!W919</f>
        <v/>
      </c>
      <c r="X141" s="257">
        <f>c_Calculations!X919</f>
        <v/>
      </c>
      <c r="Y141" s="257">
        <f>c_Calculations!Y919</f>
        <v/>
      </c>
      <c r="Z141" s="257">
        <f>c_Calculations!Z919</f>
        <v/>
      </c>
      <c r="AA141" s="257">
        <f>c_Calculations!AA919</f>
        <v/>
      </c>
      <c r="AB141" s="257">
        <f>c_Calculations!AB919</f>
        <v/>
      </c>
      <c r="AC141" s="257">
        <f>c_Calculations!AC919</f>
        <v/>
      </c>
      <c r="AD141" s="257">
        <f>c_Calculations!AD919</f>
        <v/>
      </c>
      <c r="AE141" s="257">
        <f>c_Calculations!AE919</f>
        <v/>
      </c>
      <c r="AF141" s="257">
        <f>c_Calculations!AF919</f>
        <v/>
      </c>
      <c r="AG141" s="257">
        <f>c_Calculations!AG919</f>
        <v/>
      </c>
      <c r="AH141" s="257">
        <f>c_Calculations!AH919</f>
        <v/>
      </c>
      <c r="AI141" s="257">
        <f>c_Calculations!AI919</f>
        <v/>
      </c>
      <c r="AJ141" s="257">
        <f>c_Calculations!AJ919</f>
        <v/>
      </c>
      <c r="AK141" s="257">
        <f>c_Calculations!AK919</f>
        <v/>
      </c>
      <c r="AL141" s="257">
        <f>c_Calculations!AL919</f>
        <v/>
      </c>
      <c r="AM141" s="257">
        <f>c_Calculations!AM919</f>
        <v/>
      </c>
      <c r="AN141" s="257">
        <f>c_Calculations!AN919</f>
        <v/>
      </c>
      <c r="AO141" s="257">
        <f>c_Calculations!AO919</f>
        <v/>
      </c>
      <c r="AP141" s="257">
        <f>c_Calculations!AP919</f>
        <v/>
      </c>
      <c r="AQ141" s="257">
        <f>c_Calculations!AQ919</f>
        <v/>
      </c>
      <c r="AR141" s="257">
        <f>c_Calculations!AR919</f>
        <v/>
      </c>
      <c r="AS141" s="257">
        <f>c_Calculations!AS919</f>
        <v/>
      </c>
      <c r="AT141" s="257">
        <f>c_Calculations!AT919</f>
        <v/>
      </c>
      <c r="AU141" s="257">
        <f>c_Calculations!AU919</f>
        <v/>
      </c>
      <c r="AV141" s="257">
        <f>c_Calculations!AV919</f>
        <v/>
      </c>
      <c r="AW141" s="257">
        <f>c_Calculations!AW919</f>
        <v/>
      </c>
      <c r="AX141" s="257">
        <f>c_Calculations!AX919</f>
        <v/>
      </c>
      <c r="AY141" s="257">
        <f>c_Calculations!AY919</f>
        <v/>
      </c>
      <c r="AZ141" s="257">
        <f>c_Calculations!AZ919</f>
        <v/>
      </c>
      <c r="BA141" s="257">
        <f>c_Calculations!BA919</f>
        <v/>
      </c>
      <c r="BB141" s="257">
        <f>c_Calculations!BB919</f>
        <v/>
      </c>
      <c r="BC141" s="257">
        <f>c_Calculations!BC919</f>
        <v/>
      </c>
      <c r="BD141" s="257">
        <f>c_Calculations!BD919</f>
        <v/>
      </c>
      <c r="BE141" s="257">
        <f>c_Calculations!BE919</f>
        <v/>
      </c>
      <c r="BF141" s="257">
        <f>c_Calculations!BF919</f>
        <v/>
      </c>
      <c r="BG141" s="257">
        <f>c_Calculations!BG919</f>
        <v/>
      </c>
      <c r="BH141" s="257">
        <f>c_Calculations!BH919</f>
        <v/>
      </c>
      <c r="BI141" s="257">
        <f>c_Calculations!BI919</f>
        <v/>
      </c>
      <c r="BJ141" s="257">
        <f>c_Calculations!BJ919</f>
        <v/>
      </c>
      <c r="BK141" s="257">
        <f>c_Calculations!BK919</f>
        <v/>
      </c>
      <c r="BL141" s="257">
        <f>c_Calculations!BL919</f>
        <v/>
      </c>
      <c r="BM141" s="257">
        <f>c_Calculations!BM919</f>
        <v/>
      </c>
      <c r="BN141" s="257">
        <f>c_Calculations!BN919</f>
        <v/>
      </c>
      <c r="BO141" s="257">
        <f>c_Calculations!BO919</f>
        <v/>
      </c>
      <c r="BP141" s="257">
        <f>c_Calculations!BP919</f>
        <v/>
      </c>
      <c r="BQ141" s="257">
        <f>c_Calculations!BQ919</f>
        <v/>
      </c>
      <c r="BR141" s="257">
        <f>c_Calculations!BR919</f>
        <v/>
      </c>
      <c r="BS141" s="257">
        <f>c_Calculations!BS919</f>
        <v/>
      </c>
      <c r="BT141" s="257">
        <f>c_Calculations!BT919</f>
        <v/>
      </c>
      <c r="BU141" s="257">
        <f>c_Calculations!BU919</f>
        <v/>
      </c>
      <c r="BV141" s="257">
        <f>c_Calculations!BV919</f>
        <v/>
      </c>
      <c r="BW141" s="257">
        <f>c_Calculations!BW919</f>
        <v/>
      </c>
      <c r="BX141" s="257">
        <f>c_Calculations!BX919</f>
        <v/>
      </c>
      <c r="BY141" s="257">
        <f>c_Calculations!BY919</f>
        <v/>
      </c>
      <c r="BZ141" s="257">
        <f>c_Calculations!BZ919</f>
        <v/>
      </c>
      <c r="CA141" s="257">
        <f>c_Calculations!CA919</f>
        <v/>
      </c>
    </row>
    <row r="142" ht="12" customHeight="1" s="227">
      <c r="A142" s="244" t="n"/>
      <c r="B142" s="244" t="n"/>
      <c r="C142" s="244" t="n"/>
      <c r="G142" s="222" t="n"/>
      <c r="H142" s="0" t="inlineStr">
        <is>
          <t>Corporate Tax Liability</t>
        </is>
      </c>
      <c r="I142" s="27">
        <f> i_Setup!$M$16</f>
        <v/>
      </c>
      <c r="K142" s="27" t="n"/>
      <c r="M142" s="245">
        <f>INDEX($T142:$CA142,,MATCH(M$2,$T$2:$CA$2,0))</f>
        <v/>
      </c>
      <c r="N142" s="245">
        <f>INDEX($T142:$CA142,,MATCH(N$2,$T$2:$CA$2,0))</f>
        <v/>
      </c>
      <c r="O142" s="245">
        <f>INDEX($T142:$CA142,,MATCH(O$2,$T$2:$CA$2,0))</f>
        <v/>
      </c>
      <c r="P142" s="245">
        <f>INDEX($T142:$CA142,,MATCH(P$2,$T$2:$CA$2,0))</f>
        <v/>
      </c>
      <c r="Q142" s="245">
        <f>INDEX($T142:$CA142,,MATCH(Q$2,$T$2:$CA$2,0))</f>
        <v/>
      </c>
      <c r="T142" s="257">
        <f>c_Calculations!T612</f>
        <v/>
      </c>
      <c r="U142" s="257">
        <f>c_Calculations!U612</f>
        <v/>
      </c>
      <c r="V142" s="257">
        <f>c_Calculations!V612</f>
        <v/>
      </c>
      <c r="W142" s="257">
        <f>c_Calculations!W612</f>
        <v/>
      </c>
      <c r="X142" s="257">
        <f>c_Calculations!X612</f>
        <v/>
      </c>
      <c r="Y142" s="257">
        <f>c_Calculations!Y612</f>
        <v/>
      </c>
      <c r="Z142" s="257">
        <f>c_Calculations!Z612</f>
        <v/>
      </c>
      <c r="AA142" s="257">
        <f>c_Calculations!AA612</f>
        <v/>
      </c>
      <c r="AB142" s="257">
        <f>c_Calculations!AB612</f>
        <v/>
      </c>
      <c r="AC142" s="257">
        <f>c_Calculations!AC612</f>
        <v/>
      </c>
      <c r="AD142" s="257">
        <f>c_Calculations!AD612</f>
        <v/>
      </c>
      <c r="AE142" s="257">
        <f>c_Calculations!AE612</f>
        <v/>
      </c>
      <c r="AF142" s="257">
        <f>c_Calculations!AF612</f>
        <v/>
      </c>
      <c r="AG142" s="257">
        <f>c_Calculations!AG612</f>
        <v/>
      </c>
      <c r="AH142" s="257">
        <f>c_Calculations!AH612</f>
        <v/>
      </c>
      <c r="AI142" s="257">
        <f>c_Calculations!AI612</f>
        <v/>
      </c>
      <c r="AJ142" s="257">
        <f>c_Calculations!AJ612</f>
        <v/>
      </c>
      <c r="AK142" s="257">
        <f>c_Calculations!AK612</f>
        <v/>
      </c>
      <c r="AL142" s="257">
        <f>c_Calculations!AL612</f>
        <v/>
      </c>
      <c r="AM142" s="257">
        <f>c_Calculations!AM612</f>
        <v/>
      </c>
      <c r="AN142" s="257">
        <f>c_Calculations!AN612</f>
        <v/>
      </c>
      <c r="AO142" s="257">
        <f>c_Calculations!AO612</f>
        <v/>
      </c>
      <c r="AP142" s="257">
        <f>c_Calculations!AP612</f>
        <v/>
      </c>
      <c r="AQ142" s="257">
        <f>c_Calculations!AQ612</f>
        <v/>
      </c>
      <c r="AR142" s="257">
        <f>c_Calculations!AR612</f>
        <v/>
      </c>
      <c r="AS142" s="257">
        <f>c_Calculations!AS612</f>
        <v/>
      </c>
      <c r="AT142" s="257">
        <f>c_Calculations!AT612</f>
        <v/>
      </c>
      <c r="AU142" s="257">
        <f>c_Calculations!AU612</f>
        <v/>
      </c>
      <c r="AV142" s="257">
        <f>c_Calculations!AV612</f>
        <v/>
      </c>
      <c r="AW142" s="257">
        <f>c_Calculations!AW612</f>
        <v/>
      </c>
      <c r="AX142" s="257">
        <f>c_Calculations!AX612</f>
        <v/>
      </c>
      <c r="AY142" s="257">
        <f>c_Calculations!AY612</f>
        <v/>
      </c>
      <c r="AZ142" s="257">
        <f>c_Calculations!AZ612</f>
        <v/>
      </c>
      <c r="BA142" s="257">
        <f>c_Calculations!BA612</f>
        <v/>
      </c>
      <c r="BB142" s="257">
        <f>c_Calculations!BB612</f>
        <v/>
      </c>
      <c r="BC142" s="257">
        <f>c_Calculations!BC612</f>
        <v/>
      </c>
      <c r="BD142" s="257">
        <f>c_Calculations!BD612</f>
        <v/>
      </c>
      <c r="BE142" s="257">
        <f>c_Calculations!BE612</f>
        <v/>
      </c>
      <c r="BF142" s="257">
        <f>c_Calculations!BF612</f>
        <v/>
      </c>
      <c r="BG142" s="257">
        <f>c_Calculations!BG612</f>
        <v/>
      </c>
      <c r="BH142" s="257">
        <f>c_Calculations!BH612</f>
        <v/>
      </c>
      <c r="BI142" s="257">
        <f>c_Calculations!BI612</f>
        <v/>
      </c>
      <c r="BJ142" s="257">
        <f>c_Calculations!BJ612</f>
        <v/>
      </c>
      <c r="BK142" s="257">
        <f>c_Calculations!BK612</f>
        <v/>
      </c>
      <c r="BL142" s="257">
        <f>c_Calculations!BL612</f>
        <v/>
      </c>
      <c r="BM142" s="257">
        <f>c_Calculations!BM612</f>
        <v/>
      </c>
      <c r="BN142" s="257">
        <f>c_Calculations!BN612</f>
        <v/>
      </c>
      <c r="BO142" s="257">
        <f>c_Calculations!BO612</f>
        <v/>
      </c>
      <c r="BP142" s="257">
        <f>c_Calculations!BP612</f>
        <v/>
      </c>
      <c r="BQ142" s="257">
        <f>c_Calculations!BQ612</f>
        <v/>
      </c>
      <c r="BR142" s="257">
        <f>c_Calculations!BR612</f>
        <v/>
      </c>
      <c r="BS142" s="257">
        <f>c_Calculations!BS612</f>
        <v/>
      </c>
      <c r="BT142" s="257">
        <f>c_Calculations!BT612</f>
        <v/>
      </c>
      <c r="BU142" s="257">
        <f>c_Calculations!BU612</f>
        <v/>
      </c>
      <c r="BV142" s="257">
        <f>c_Calculations!BV612</f>
        <v/>
      </c>
      <c r="BW142" s="257">
        <f>c_Calculations!BW612</f>
        <v/>
      </c>
      <c r="BX142" s="257">
        <f>c_Calculations!BX612</f>
        <v/>
      </c>
      <c r="BY142" s="257">
        <f>c_Calculations!BY612</f>
        <v/>
      </c>
      <c r="BZ142" s="257">
        <f>c_Calculations!BZ612</f>
        <v/>
      </c>
      <c r="CA142" s="257">
        <f>c_Calculations!CA612</f>
        <v/>
      </c>
    </row>
    <row r="143" ht="12" customHeight="1" s="227">
      <c r="A143" s="244" t="n"/>
      <c r="B143" s="244" t="n"/>
      <c r="C143" s="244" t="n"/>
      <c r="G143" s="222" t="n"/>
      <c r="H143" s="0" t="inlineStr">
        <is>
          <t>Accounts Payable</t>
        </is>
      </c>
      <c r="I143" s="27">
        <f> i_Setup!$M$16</f>
        <v/>
      </c>
      <c r="K143" s="27" t="n"/>
      <c r="M143" s="245">
        <f>INDEX($T143:$CA143,,MATCH(M$2,$T$2:$CA$2,0))</f>
        <v/>
      </c>
      <c r="N143" s="245">
        <f>INDEX($T143:$CA143,,MATCH(N$2,$T$2:$CA$2,0))</f>
        <v/>
      </c>
      <c r="O143" s="245">
        <f>INDEX($T143:$CA143,,MATCH(O$2,$T$2:$CA$2,0))</f>
        <v/>
      </c>
      <c r="P143" s="245">
        <f>INDEX($T143:$CA143,,MATCH(P$2,$T$2:$CA$2,0))</f>
        <v/>
      </c>
      <c r="Q143" s="245">
        <f>INDEX($T143:$CA143,,MATCH(Q$2,$T$2:$CA$2,0))</f>
        <v/>
      </c>
      <c r="T143" s="257">
        <f>c_Calculations!T259</f>
        <v/>
      </c>
      <c r="U143" s="257">
        <f>c_Calculations!U259</f>
        <v/>
      </c>
      <c r="V143" s="257">
        <f>c_Calculations!V259</f>
        <v/>
      </c>
      <c r="W143" s="257">
        <f>c_Calculations!W259</f>
        <v/>
      </c>
      <c r="X143" s="257">
        <f>c_Calculations!X259</f>
        <v/>
      </c>
      <c r="Y143" s="257">
        <f>c_Calculations!Y259</f>
        <v/>
      </c>
      <c r="Z143" s="257">
        <f>c_Calculations!Z259</f>
        <v/>
      </c>
      <c r="AA143" s="257">
        <f>c_Calculations!AA259</f>
        <v/>
      </c>
      <c r="AB143" s="257">
        <f>c_Calculations!AB259</f>
        <v/>
      </c>
      <c r="AC143" s="257">
        <f>c_Calculations!AC259</f>
        <v/>
      </c>
      <c r="AD143" s="257">
        <f>c_Calculations!AD259</f>
        <v/>
      </c>
      <c r="AE143" s="257">
        <f>c_Calculations!AE259</f>
        <v/>
      </c>
      <c r="AF143" s="257">
        <f>c_Calculations!AF259</f>
        <v/>
      </c>
      <c r="AG143" s="257">
        <f>c_Calculations!AG259</f>
        <v/>
      </c>
      <c r="AH143" s="257">
        <f>c_Calculations!AH259</f>
        <v/>
      </c>
      <c r="AI143" s="257">
        <f>c_Calculations!AI259</f>
        <v/>
      </c>
      <c r="AJ143" s="257">
        <f>c_Calculations!AJ259</f>
        <v/>
      </c>
      <c r="AK143" s="257">
        <f>c_Calculations!AK259</f>
        <v/>
      </c>
      <c r="AL143" s="257">
        <f>c_Calculations!AL259</f>
        <v/>
      </c>
      <c r="AM143" s="257">
        <f>c_Calculations!AM259</f>
        <v/>
      </c>
      <c r="AN143" s="257">
        <f>c_Calculations!AN259</f>
        <v/>
      </c>
      <c r="AO143" s="257">
        <f>c_Calculations!AO259</f>
        <v/>
      </c>
      <c r="AP143" s="257">
        <f>c_Calculations!AP259</f>
        <v/>
      </c>
      <c r="AQ143" s="257">
        <f>c_Calculations!AQ259</f>
        <v/>
      </c>
      <c r="AR143" s="257">
        <f>c_Calculations!AR259</f>
        <v/>
      </c>
      <c r="AS143" s="257">
        <f>c_Calculations!AS259</f>
        <v/>
      </c>
      <c r="AT143" s="257">
        <f>c_Calculations!AT259</f>
        <v/>
      </c>
      <c r="AU143" s="257">
        <f>c_Calculations!AU259</f>
        <v/>
      </c>
      <c r="AV143" s="257">
        <f>c_Calculations!AV259</f>
        <v/>
      </c>
      <c r="AW143" s="257">
        <f>c_Calculations!AW259</f>
        <v/>
      </c>
      <c r="AX143" s="257">
        <f>c_Calculations!AX259</f>
        <v/>
      </c>
      <c r="AY143" s="257">
        <f>c_Calculations!AY259</f>
        <v/>
      </c>
      <c r="AZ143" s="257">
        <f>c_Calculations!AZ259</f>
        <v/>
      </c>
      <c r="BA143" s="257">
        <f>c_Calculations!BA259</f>
        <v/>
      </c>
      <c r="BB143" s="257">
        <f>c_Calculations!BB259</f>
        <v/>
      </c>
      <c r="BC143" s="257">
        <f>c_Calculations!BC259</f>
        <v/>
      </c>
      <c r="BD143" s="257">
        <f>c_Calculations!BD259</f>
        <v/>
      </c>
      <c r="BE143" s="257">
        <f>c_Calculations!BE259</f>
        <v/>
      </c>
      <c r="BF143" s="257">
        <f>c_Calculations!BF259</f>
        <v/>
      </c>
      <c r="BG143" s="257">
        <f>c_Calculations!BG259</f>
        <v/>
      </c>
      <c r="BH143" s="257">
        <f>c_Calculations!BH259</f>
        <v/>
      </c>
      <c r="BI143" s="257">
        <f>c_Calculations!BI259</f>
        <v/>
      </c>
      <c r="BJ143" s="257">
        <f>c_Calculations!BJ259</f>
        <v/>
      </c>
      <c r="BK143" s="257">
        <f>c_Calculations!BK259</f>
        <v/>
      </c>
      <c r="BL143" s="257">
        <f>c_Calculations!BL259</f>
        <v/>
      </c>
      <c r="BM143" s="257">
        <f>c_Calculations!BM259</f>
        <v/>
      </c>
      <c r="BN143" s="257">
        <f>c_Calculations!BN259</f>
        <v/>
      </c>
      <c r="BO143" s="257">
        <f>c_Calculations!BO259</f>
        <v/>
      </c>
      <c r="BP143" s="257">
        <f>c_Calculations!BP259</f>
        <v/>
      </c>
      <c r="BQ143" s="257">
        <f>c_Calculations!BQ259</f>
        <v/>
      </c>
      <c r="BR143" s="257">
        <f>c_Calculations!BR259</f>
        <v/>
      </c>
      <c r="BS143" s="257">
        <f>c_Calculations!BS259</f>
        <v/>
      </c>
      <c r="BT143" s="257">
        <f>c_Calculations!BT259</f>
        <v/>
      </c>
      <c r="BU143" s="257">
        <f>c_Calculations!BU259</f>
        <v/>
      </c>
      <c r="BV143" s="257">
        <f>c_Calculations!BV259</f>
        <v/>
      </c>
      <c r="BW143" s="257">
        <f>c_Calculations!BW259</f>
        <v/>
      </c>
      <c r="BX143" s="257">
        <f>c_Calculations!BX259</f>
        <v/>
      </c>
      <c r="BY143" s="257">
        <f>c_Calculations!BY259</f>
        <v/>
      </c>
      <c r="BZ143" s="257">
        <f>c_Calculations!BZ259</f>
        <v/>
      </c>
      <c r="CA143" s="257">
        <f>c_Calculations!CA259</f>
        <v/>
      </c>
    </row>
    <row r="144" ht="12" customHeight="1" s="227">
      <c r="A144" s="244" t="n"/>
      <c r="B144" s="244" t="n"/>
      <c r="C144" s="244" t="n"/>
      <c r="G144" s="222" t="n"/>
      <c r="H144" s="0" t="inlineStr">
        <is>
          <t>Other Liabilities</t>
        </is>
      </c>
      <c r="I144" s="27">
        <f> i_Setup!$M$16</f>
        <v/>
      </c>
      <c r="K144" s="27" t="n"/>
      <c r="M144" s="245">
        <f>INDEX($T144:$CA144,,MATCH(M$2,$T$2:$CA$2,0))</f>
        <v/>
      </c>
      <c r="N144" s="245">
        <f>INDEX($T144:$CA144,,MATCH(N$2,$T$2:$CA$2,0))</f>
        <v/>
      </c>
      <c r="O144" s="245">
        <f>INDEX($T144:$CA144,,MATCH(O$2,$T$2:$CA$2,0))</f>
        <v/>
      </c>
      <c r="P144" s="245">
        <f>INDEX($T144:$CA144,,MATCH(P$2,$T$2:$CA$2,0))</f>
        <v/>
      </c>
      <c r="Q144" s="245">
        <f>INDEX($T144:$CA144,,MATCH(Q$2,$T$2:$CA$2,0))</f>
        <v/>
      </c>
      <c r="T144" s="257">
        <f>IF(T7="Actual",i_Actuals!T140,S144)</f>
        <v/>
      </c>
      <c r="U144" s="257">
        <f>IF(U7="Actual",i_Actuals!U140,T144)</f>
        <v/>
      </c>
      <c r="V144" s="257">
        <f>IF(V7="Actual",i_Actuals!V140,U144)</f>
        <v/>
      </c>
      <c r="W144" s="257">
        <f>IF(W7="Actual",i_Actuals!W140,V144)</f>
        <v/>
      </c>
      <c r="X144" s="257">
        <f>IF(X7="Actual",i_Actuals!X140,W144)</f>
        <v/>
      </c>
      <c r="Y144" s="257">
        <f>IF(Y7="Actual",i_Actuals!Y140,X144)</f>
        <v/>
      </c>
      <c r="Z144" s="257">
        <f>IF(Z7="Actual",i_Actuals!Z140,Y144)</f>
        <v/>
      </c>
      <c r="AA144" s="257">
        <f>IF(AA7="Actual",i_Actuals!AA140,Z144)</f>
        <v/>
      </c>
      <c r="AB144" s="257">
        <f>IF(AB7="Actual",i_Actuals!AB140,AA144)</f>
        <v/>
      </c>
      <c r="AC144" s="257">
        <f>IF(AC7="Actual",i_Actuals!AC140,AB144)</f>
        <v/>
      </c>
      <c r="AD144" s="257">
        <f>IF(AD7="Actual",i_Actuals!AD140,AC144)</f>
        <v/>
      </c>
      <c r="AE144" s="257">
        <f>IF(AE7="Actual",i_Actuals!AE140,AD144)</f>
        <v/>
      </c>
      <c r="AF144" s="257">
        <f>IF(AF7="Actual",i_Actuals!AF140,AE144)</f>
        <v/>
      </c>
      <c r="AG144" s="257">
        <f>IF(AG7="Actual",i_Actuals!AG140,AF144)</f>
        <v/>
      </c>
      <c r="AH144" s="257">
        <f>IF(AH7="Actual",i_Actuals!AH140,AG144)</f>
        <v/>
      </c>
      <c r="AI144" s="257">
        <f>IF(AI7="Actual",i_Actuals!AI140,AH144)</f>
        <v/>
      </c>
      <c r="AJ144" s="257">
        <f>IF(AJ7="Actual",i_Actuals!AJ140,AI144)</f>
        <v/>
      </c>
      <c r="AK144" s="257">
        <f>IF(AK7="Actual",i_Actuals!AK140,AJ144)</f>
        <v/>
      </c>
      <c r="AL144" s="257">
        <f>IF(AL7="Actual",i_Actuals!AL140,AK144)</f>
        <v/>
      </c>
      <c r="AM144" s="257">
        <f>IF(AM7="Actual",i_Actuals!AM140,AL144)</f>
        <v/>
      </c>
      <c r="AN144" s="257">
        <f>IF(AN7="Actual",i_Actuals!AN140,AM144)</f>
        <v/>
      </c>
      <c r="AO144" s="257">
        <f>IF(AO7="Actual",i_Actuals!AO140,AN144)</f>
        <v/>
      </c>
      <c r="AP144" s="257">
        <f>IF(AP7="Actual",i_Actuals!AP140,AO144)</f>
        <v/>
      </c>
      <c r="AQ144" s="257">
        <f>IF(AQ7="Actual",i_Actuals!AQ140,AP144)</f>
        <v/>
      </c>
      <c r="AR144" s="257">
        <f>IF(AR7="Actual",i_Actuals!AR140,AQ144)</f>
        <v/>
      </c>
      <c r="AS144" s="257">
        <f>IF(AS7="Actual",i_Actuals!AS140,AR144)</f>
        <v/>
      </c>
      <c r="AT144" s="257">
        <f>IF(AT7="Actual",i_Actuals!AT140,AS144)</f>
        <v/>
      </c>
      <c r="AU144" s="257">
        <f>IF(AU7="Actual",i_Actuals!AU140,AT144)</f>
        <v/>
      </c>
      <c r="AV144" s="257">
        <f>IF(AV7="Actual",i_Actuals!AV140,AU144)</f>
        <v/>
      </c>
      <c r="AW144" s="257">
        <f>IF(AW7="Actual",i_Actuals!AW140,AV144)</f>
        <v/>
      </c>
      <c r="AX144" s="257">
        <f>IF(AX7="Actual",i_Actuals!AX140,AW144)</f>
        <v/>
      </c>
      <c r="AY144" s="257">
        <f>IF(AY7="Actual",i_Actuals!AY140,AX144)</f>
        <v/>
      </c>
      <c r="AZ144" s="257">
        <f>IF(AZ7="Actual",i_Actuals!AZ140,AY144)</f>
        <v/>
      </c>
      <c r="BA144" s="257">
        <f>IF(BA7="Actual",i_Actuals!BA140,AZ144)</f>
        <v/>
      </c>
      <c r="BB144" s="257">
        <f>IF(BB7="Actual",i_Actuals!BB140,BA144)</f>
        <v/>
      </c>
      <c r="BC144" s="257">
        <f>IF(BC7="Actual",i_Actuals!BC140,BB144)</f>
        <v/>
      </c>
      <c r="BD144" s="257">
        <f>IF(BD7="Actual",i_Actuals!BD140,BC144)</f>
        <v/>
      </c>
      <c r="BE144" s="257">
        <f>IF(BE7="Actual",i_Actuals!BE140,BD144)</f>
        <v/>
      </c>
      <c r="BF144" s="257">
        <f>IF(BF7="Actual",i_Actuals!BF140,BE144)</f>
        <v/>
      </c>
      <c r="BG144" s="257">
        <f>IF(BG7="Actual",i_Actuals!BG140,BF144)</f>
        <v/>
      </c>
      <c r="BH144" s="257">
        <f>IF(BH7="Actual",i_Actuals!BH140,BG144)</f>
        <v/>
      </c>
      <c r="BI144" s="257">
        <f>IF(BI7="Actual",i_Actuals!BI140,BH144)</f>
        <v/>
      </c>
      <c r="BJ144" s="257">
        <f>IF(BJ7="Actual",i_Actuals!BJ140,BI144)</f>
        <v/>
      </c>
      <c r="BK144" s="257">
        <f>IF(BK7="Actual",i_Actuals!BK140,BJ144)</f>
        <v/>
      </c>
      <c r="BL144" s="257">
        <f>IF(BL7="Actual",i_Actuals!BL140,BK144)</f>
        <v/>
      </c>
      <c r="BM144" s="257">
        <f>IF(BM7="Actual",i_Actuals!BM140,BL144)</f>
        <v/>
      </c>
      <c r="BN144" s="257">
        <f>IF(BN7="Actual",i_Actuals!BN140,BM144)</f>
        <v/>
      </c>
      <c r="BO144" s="257">
        <f>IF(BO7="Actual",i_Actuals!BO140,BN144)</f>
        <v/>
      </c>
      <c r="BP144" s="257">
        <f>IF(BP7="Actual",i_Actuals!BP140,BO144)</f>
        <v/>
      </c>
      <c r="BQ144" s="257">
        <f>IF(BQ7="Actual",i_Actuals!BQ140,BP144)</f>
        <v/>
      </c>
      <c r="BR144" s="257">
        <f>IF(BR7="Actual",i_Actuals!BR140,BQ144)</f>
        <v/>
      </c>
      <c r="BS144" s="257">
        <f>IF(BS7="Actual",i_Actuals!BS140,BR144)</f>
        <v/>
      </c>
      <c r="BT144" s="257">
        <f>IF(BT7="Actual",i_Actuals!BT140,BS144)</f>
        <v/>
      </c>
      <c r="BU144" s="257">
        <f>IF(BU7="Actual",i_Actuals!BU140,BT144)</f>
        <v/>
      </c>
      <c r="BV144" s="257">
        <f>IF(BV7="Actual",i_Actuals!BV140,BU144)</f>
        <v/>
      </c>
      <c r="BW144" s="257">
        <f>IF(BW7="Actual",i_Actuals!BW140,BV144)</f>
        <v/>
      </c>
      <c r="BX144" s="257">
        <f>IF(BX7="Actual",i_Actuals!BX140,BW144)</f>
        <v/>
      </c>
      <c r="BY144" s="257">
        <f>IF(BY7="Actual",i_Actuals!BY140,BX144)</f>
        <v/>
      </c>
      <c r="BZ144" s="257">
        <f>IF(BZ7="Actual",i_Actuals!BZ140,BY144)</f>
        <v/>
      </c>
      <c r="CA144" s="257">
        <f>IF(CA7="Actual",i_Actuals!CA140,BZ144)</f>
        <v/>
      </c>
    </row>
    <row r="145" ht="12" customHeight="1" s="227">
      <c r="A145" s="244" t="n"/>
      <c r="B145" s="244" t="n"/>
      <c r="C145" s="244" t="n"/>
      <c r="G145" s="39" t="inlineStr">
        <is>
          <t>Total Liabilities</t>
        </is>
      </c>
      <c r="H145" s="39" t="n"/>
      <c r="I145" s="41">
        <f> i_Setup!$M$16</f>
        <v/>
      </c>
      <c r="J145" s="39" t="n"/>
      <c r="K145" s="56" t="n"/>
      <c r="M145" s="249">
        <f>SUM(M136:M144)</f>
        <v/>
      </c>
      <c r="N145" s="249">
        <f>SUM(N136:N144)</f>
        <v/>
      </c>
      <c r="O145" s="249">
        <f>SUM(O136:O144)</f>
        <v/>
      </c>
      <c r="P145" s="249">
        <f>SUM(P136:P144)</f>
        <v/>
      </c>
      <c r="Q145" s="249">
        <f>SUM(Q136:Q144)</f>
        <v/>
      </c>
      <c r="T145" s="249">
        <f>SUM(T136:T144)</f>
        <v/>
      </c>
      <c r="U145" s="249">
        <f>SUM(U136:U144)</f>
        <v/>
      </c>
      <c r="V145" s="249">
        <f>SUM(V136:V144)</f>
        <v/>
      </c>
      <c r="W145" s="249">
        <f>SUM(W136:W144)</f>
        <v/>
      </c>
      <c r="X145" s="249">
        <f>SUM(X136:X144)</f>
        <v/>
      </c>
      <c r="Y145" s="249">
        <f>SUM(Y136:Y144)</f>
        <v/>
      </c>
      <c r="Z145" s="249">
        <f>SUM(Z136:Z144)</f>
        <v/>
      </c>
      <c r="AA145" s="249">
        <f>SUM(AA136:AA144)</f>
        <v/>
      </c>
      <c r="AB145" s="249">
        <f>SUM(AB136:AB144)</f>
        <v/>
      </c>
      <c r="AC145" s="249">
        <f>SUM(AC136:AC144)</f>
        <v/>
      </c>
      <c r="AD145" s="249">
        <f>SUM(AD136:AD144)</f>
        <v/>
      </c>
      <c r="AE145" s="249">
        <f>SUM(AE136:AE144)</f>
        <v/>
      </c>
      <c r="AF145" s="249">
        <f>SUM(AF136:AF144)</f>
        <v/>
      </c>
      <c r="AG145" s="249">
        <f>SUM(AG136:AG144)</f>
        <v/>
      </c>
      <c r="AH145" s="249">
        <f>SUM(AH136:AH144)</f>
        <v/>
      </c>
      <c r="AI145" s="249">
        <f>SUM(AI136:AI144)</f>
        <v/>
      </c>
      <c r="AJ145" s="249">
        <f>SUM(AJ136:AJ144)</f>
        <v/>
      </c>
      <c r="AK145" s="249">
        <f>SUM(AK136:AK144)</f>
        <v/>
      </c>
      <c r="AL145" s="249">
        <f>SUM(AL136:AL144)</f>
        <v/>
      </c>
      <c r="AM145" s="249">
        <f>SUM(AM136:AM144)</f>
        <v/>
      </c>
      <c r="AN145" s="249">
        <f>SUM(AN136:AN144)</f>
        <v/>
      </c>
      <c r="AO145" s="249">
        <f>SUM(AO136:AO144)</f>
        <v/>
      </c>
      <c r="AP145" s="249">
        <f>SUM(AP136:AP144)</f>
        <v/>
      </c>
      <c r="AQ145" s="249">
        <f>SUM(AQ136:AQ144)</f>
        <v/>
      </c>
      <c r="AR145" s="249">
        <f>SUM(AR136:AR144)</f>
        <v/>
      </c>
      <c r="AS145" s="249">
        <f>SUM(AS136:AS144)</f>
        <v/>
      </c>
      <c r="AT145" s="249">
        <f>SUM(AT136:AT144)</f>
        <v/>
      </c>
      <c r="AU145" s="249">
        <f>SUM(AU136:AU144)</f>
        <v/>
      </c>
      <c r="AV145" s="249">
        <f>SUM(AV136:AV144)</f>
        <v/>
      </c>
      <c r="AW145" s="249">
        <f>SUM(AW136:AW144)</f>
        <v/>
      </c>
      <c r="AX145" s="249">
        <f>SUM(AX136:AX144)</f>
        <v/>
      </c>
      <c r="AY145" s="249">
        <f>SUM(AY136:AY144)</f>
        <v/>
      </c>
      <c r="AZ145" s="249">
        <f>SUM(AZ136:AZ144)</f>
        <v/>
      </c>
      <c r="BA145" s="249">
        <f>SUM(BA136:BA144)</f>
        <v/>
      </c>
      <c r="BB145" s="249">
        <f>SUM(BB136:BB144)</f>
        <v/>
      </c>
      <c r="BC145" s="249">
        <f>SUM(BC136:BC144)</f>
        <v/>
      </c>
      <c r="BD145" s="249">
        <f>SUM(BD136:BD144)</f>
        <v/>
      </c>
      <c r="BE145" s="249">
        <f>SUM(BE136:BE144)</f>
        <v/>
      </c>
      <c r="BF145" s="249">
        <f>SUM(BF136:BF144)</f>
        <v/>
      </c>
      <c r="BG145" s="249">
        <f>SUM(BG136:BG144)</f>
        <v/>
      </c>
      <c r="BH145" s="249">
        <f>SUM(BH136:BH144)</f>
        <v/>
      </c>
      <c r="BI145" s="249">
        <f>SUM(BI136:BI144)</f>
        <v/>
      </c>
      <c r="BJ145" s="249">
        <f>SUM(BJ136:BJ144)</f>
        <v/>
      </c>
      <c r="BK145" s="249">
        <f>SUM(BK136:BK144)</f>
        <v/>
      </c>
      <c r="BL145" s="249">
        <f>SUM(BL136:BL144)</f>
        <v/>
      </c>
      <c r="BM145" s="249">
        <f>SUM(BM136:BM144)</f>
        <v/>
      </c>
      <c r="BN145" s="249">
        <f>SUM(BN136:BN144)</f>
        <v/>
      </c>
      <c r="BO145" s="249">
        <f>SUM(BO136:BO144)</f>
        <v/>
      </c>
      <c r="BP145" s="249">
        <f>SUM(BP136:BP144)</f>
        <v/>
      </c>
      <c r="BQ145" s="249">
        <f>SUM(BQ136:BQ144)</f>
        <v/>
      </c>
      <c r="BR145" s="249">
        <f>SUM(BR136:BR144)</f>
        <v/>
      </c>
      <c r="BS145" s="249">
        <f>SUM(BS136:BS144)</f>
        <v/>
      </c>
      <c r="BT145" s="249">
        <f>SUM(BT136:BT144)</f>
        <v/>
      </c>
      <c r="BU145" s="249">
        <f>SUM(BU136:BU144)</f>
        <v/>
      </c>
      <c r="BV145" s="249">
        <f>SUM(BV136:BV144)</f>
        <v/>
      </c>
      <c r="BW145" s="249">
        <f>SUM(BW136:BW144)</f>
        <v/>
      </c>
      <c r="BX145" s="249">
        <f>SUM(BX136:BX144)</f>
        <v/>
      </c>
      <c r="BY145" s="249">
        <f>SUM(BY136:BY144)</f>
        <v/>
      </c>
      <c r="BZ145" s="249">
        <f>SUM(BZ136:BZ144)</f>
        <v/>
      </c>
      <c r="CA145" s="249">
        <f>SUM(CA136:CA144)</f>
        <v/>
      </c>
    </row>
    <row r="146" ht="12" customHeight="1" s="227">
      <c r="A146" s="244" t="n"/>
      <c r="B146" s="244" t="n"/>
      <c r="C146" s="244" t="n"/>
      <c r="G146" s="222" t="n"/>
    </row>
    <row r="147" ht="12" customHeight="1" s="227">
      <c r="A147" s="244" t="n"/>
      <c r="B147" s="244" t="n"/>
      <c r="C147" s="244" t="n"/>
      <c r="G147" s="222" t="n"/>
    </row>
    <row r="148" ht="12.75" customHeight="1" s="227">
      <c r="A148" s="244" t="n"/>
      <c r="B148" s="244" t="n"/>
      <c r="C148" s="244" t="n"/>
      <c r="G148" s="222" t="inlineStr">
        <is>
          <t>Equity</t>
        </is>
      </c>
      <c r="M148" s="245" t="n"/>
      <c r="N148" s="245" t="n"/>
      <c r="O148" s="245" t="n"/>
      <c r="P148" s="245" t="n"/>
      <c r="Q148" s="245" t="n"/>
    </row>
    <row r="149" ht="12" customHeight="1" s="227">
      <c r="A149" s="244" t="n"/>
      <c r="B149" s="244" t="n"/>
      <c r="C149" s="244" t="n"/>
      <c r="G149" s="222" t="n"/>
      <c r="H149" s="0" t="inlineStr">
        <is>
          <t>Share Capital</t>
        </is>
      </c>
      <c r="I149" s="27">
        <f> i_Setup!$M$16</f>
        <v/>
      </c>
      <c r="K149" s="27" t="n"/>
      <c r="M149" s="245">
        <f>INDEX($T149:$CA149,,MATCH(M$2,$T$2:$CA$2,0))</f>
        <v/>
      </c>
      <c r="N149" s="245">
        <f>INDEX($T149:$CA149,,MATCH(N$2,$T$2:$CA$2,0))</f>
        <v/>
      </c>
      <c r="O149" s="245">
        <f>INDEX($T149:$CA149,,MATCH(O$2,$T$2:$CA$2,0))</f>
        <v/>
      </c>
      <c r="P149" s="245">
        <f>INDEX($T149:$CA149,,MATCH(P$2,$T$2:$CA$2,0))</f>
        <v/>
      </c>
      <c r="Q149" s="245">
        <f>INDEX($T149:$CA149,,MATCH(Q$2,$T$2:$CA$2,0))</f>
        <v/>
      </c>
      <c r="T149" s="257">
        <f>c_Calculations!T996</f>
        <v/>
      </c>
      <c r="U149" s="257">
        <f>c_Calculations!U996</f>
        <v/>
      </c>
      <c r="V149" s="257">
        <f>c_Calculations!V996</f>
        <v/>
      </c>
      <c r="W149" s="257">
        <f>c_Calculations!W996</f>
        <v/>
      </c>
      <c r="X149" s="257">
        <f>c_Calculations!X996</f>
        <v/>
      </c>
      <c r="Y149" s="257">
        <f>c_Calculations!Y996</f>
        <v/>
      </c>
      <c r="Z149" s="257">
        <f>c_Calculations!Z996</f>
        <v/>
      </c>
      <c r="AA149" s="257">
        <f>c_Calculations!AA996</f>
        <v/>
      </c>
      <c r="AB149" s="257">
        <f>c_Calculations!AB996</f>
        <v/>
      </c>
      <c r="AC149" s="257">
        <f>c_Calculations!AC996</f>
        <v/>
      </c>
      <c r="AD149" s="257">
        <f>c_Calculations!AD996</f>
        <v/>
      </c>
      <c r="AE149" s="257">
        <f>c_Calculations!AE996</f>
        <v/>
      </c>
      <c r="AF149" s="257">
        <f>c_Calculations!AF996</f>
        <v/>
      </c>
      <c r="AG149" s="257">
        <f>c_Calculations!AG996</f>
        <v/>
      </c>
      <c r="AH149" s="257">
        <f>c_Calculations!AH996</f>
        <v/>
      </c>
      <c r="AI149" s="257">
        <f>c_Calculations!AI996</f>
        <v/>
      </c>
      <c r="AJ149" s="257">
        <f>c_Calculations!AJ996</f>
        <v/>
      </c>
      <c r="AK149" s="257">
        <f>c_Calculations!AK996</f>
        <v/>
      </c>
      <c r="AL149" s="257">
        <f>c_Calculations!AL996</f>
        <v/>
      </c>
      <c r="AM149" s="257">
        <f>c_Calculations!AM996</f>
        <v/>
      </c>
      <c r="AN149" s="257">
        <f>c_Calculations!AN996</f>
        <v/>
      </c>
      <c r="AO149" s="257">
        <f>c_Calculations!AO996</f>
        <v/>
      </c>
      <c r="AP149" s="257">
        <f>c_Calculations!AP996</f>
        <v/>
      </c>
      <c r="AQ149" s="257">
        <f>c_Calculations!AQ996</f>
        <v/>
      </c>
      <c r="AR149" s="257">
        <f>c_Calculations!AR996</f>
        <v/>
      </c>
      <c r="AS149" s="257">
        <f>c_Calculations!AS996</f>
        <v/>
      </c>
      <c r="AT149" s="257">
        <f>c_Calculations!AT996</f>
        <v/>
      </c>
      <c r="AU149" s="257">
        <f>c_Calculations!AU996</f>
        <v/>
      </c>
      <c r="AV149" s="257">
        <f>c_Calculations!AV996</f>
        <v/>
      </c>
      <c r="AW149" s="257">
        <f>c_Calculations!AW996</f>
        <v/>
      </c>
      <c r="AX149" s="257">
        <f>c_Calculations!AX996</f>
        <v/>
      </c>
      <c r="AY149" s="257">
        <f>c_Calculations!AY996</f>
        <v/>
      </c>
      <c r="AZ149" s="257">
        <f>c_Calculations!AZ996</f>
        <v/>
      </c>
      <c r="BA149" s="257">
        <f>c_Calculations!BA996</f>
        <v/>
      </c>
      <c r="BB149" s="257">
        <f>c_Calculations!BB996</f>
        <v/>
      </c>
      <c r="BC149" s="257">
        <f>c_Calculations!BC996</f>
        <v/>
      </c>
      <c r="BD149" s="257">
        <f>c_Calculations!BD996</f>
        <v/>
      </c>
      <c r="BE149" s="257">
        <f>c_Calculations!BE996</f>
        <v/>
      </c>
      <c r="BF149" s="257">
        <f>c_Calculations!BF996</f>
        <v/>
      </c>
      <c r="BG149" s="257">
        <f>c_Calculations!BG996</f>
        <v/>
      </c>
      <c r="BH149" s="257">
        <f>c_Calculations!BH996</f>
        <v/>
      </c>
      <c r="BI149" s="257">
        <f>c_Calculations!BI996</f>
        <v/>
      </c>
      <c r="BJ149" s="257">
        <f>c_Calculations!BJ996</f>
        <v/>
      </c>
      <c r="BK149" s="257">
        <f>c_Calculations!BK996</f>
        <v/>
      </c>
      <c r="BL149" s="257">
        <f>c_Calculations!BL996</f>
        <v/>
      </c>
      <c r="BM149" s="257">
        <f>c_Calculations!BM996</f>
        <v/>
      </c>
      <c r="BN149" s="257">
        <f>c_Calculations!BN996</f>
        <v/>
      </c>
      <c r="BO149" s="257">
        <f>c_Calculations!BO996</f>
        <v/>
      </c>
      <c r="BP149" s="257">
        <f>c_Calculations!BP996</f>
        <v/>
      </c>
      <c r="BQ149" s="257">
        <f>c_Calculations!BQ996</f>
        <v/>
      </c>
      <c r="BR149" s="257">
        <f>c_Calculations!BR996</f>
        <v/>
      </c>
      <c r="BS149" s="257">
        <f>c_Calculations!BS996</f>
        <v/>
      </c>
      <c r="BT149" s="257">
        <f>c_Calculations!BT996</f>
        <v/>
      </c>
      <c r="BU149" s="257">
        <f>c_Calculations!BU996</f>
        <v/>
      </c>
      <c r="BV149" s="257">
        <f>c_Calculations!BV996</f>
        <v/>
      </c>
      <c r="BW149" s="257">
        <f>c_Calculations!BW996</f>
        <v/>
      </c>
      <c r="BX149" s="257">
        <f>c_Calculations!BX996</f>
        <v/>
      </c>
      <c r="BY149" s="257">
        <f>c_Calculations!BY996</f>
        <v/>
      </c>
      <c r="BZ149" s="257">
        <f>c_Calculations!BZ996</f>
        <v/>
      </c>
      <c r="CA149" s="257">
        <f>c_Calculations!CA996</f>
        <v/>
      </c>
    </row>
    <row r="150" ht="12" customHeight="1" s="227">
      <c r="A150" s="244" t="n"/>
      <c r="B150" s="244" t="n"/>
      <c r="C150" s="244" t="n"/>
      <c r="G150" s="222" t="n"/>
      <c r="H150" s="4" t="inlineStr">
        <is>
          <t>Retained Earnings</t>
        </is>
      </c>
      <c r="I150" s="27">
        <f> i_Setup!$M$16</f>
        <v/>
      </c>
      <c r="K150" s="27" t="n"/>
      <c r="M150" s="245">
        <f>INDEX($T150:$CA150,,MATCH(M$2,$T$2:$CA$2,0))</f>
        <v/>
      </c>
      <c r="N150" s="245">
        <f>INDEX($T150:$CA150,,MATCH(N$2,$T$2:$CA$2,0))</f>
        <v/>
      </c>
      <c r="O150" s="245">
        <f>INDEX($T150:$CA150,,MATCH(O$2,$T$2:$CA$2,0))</f>
        <v/>
      </c>
      <c r="P150" s="245">
        <f>INDEX($T150:$CA150,,MATCH(P$2,$T$2:$CA$2,0))</f>
        <v/>
      </c>
      <c r="Q150" s="245">
        <f>INDEX($T150:$CA150,,MATCH(Q$2,$T$2:$CA$2,0))</f>
        <v/>
      </c>
      <c r="T150" s="278">
        <f>c_Calculations!T1006</f>
        <v/>
      </c>
      <c r="U150" s="278">
        <f>c_Calculations!U1006</f>
        <v/>
      </c>
      <c r="V150" s="278">
        <f>c_Calculations!V1006</f>
        <v/>
      </c>
      <c r="W150" s="278">
        <f>c_Calculations!W1006</f>
        <v/>
      </c>
      <c r="X150" s="278">
        <f>c_Calculations!X1006</f>
        <v/>
      </c>
      <c r="Y150" s="278">
        <f>c_Calculations!Y1006</f>
        <v/>
      </c>
      <c r="Z150" s="278">
        <f>c_Calculations!Z1006</f>
        <v/>
      </c>
      <c r="AA150" s="278">
        <f>c_Calculations!AA1006</f>
        <v/>
      </c>
      <c r="AB150" s="278">
        <f>c_Calculations!AB1006</f>
        <v/>
      </c>
      <c r="AC150" s="278">
        <f>c_Calculations!AC1006</f>
        <v/>
      </c>
      <c r="AD150" s="278">
        <f>c_Calculations!AD1006</f>
        <v/>
      </c>
      <c r="AE150" s="278">
        <f>c_Calculations!AE1006</f>
        <v/>
      </c>
      <c r="AF150" s="278">
        <f>c_Calculations!AF1006</f>
        <v/>
      </c>
      <c r="AG150" s="278">
        <f>c_Calculations!AG1006</f>
        <v/>
      </c>
      <c r="AH150" s="278">
        <f>c_Calculations!AH1006</f>
        <v/>
      </c>
      <c r="AI150" s="278">
        <f>c_Calculations!AI1006</f>
        <v/>
      </c>
      <c r="AJ150" s="278">
        <f>c_Calculations!AJ1006</f>
        <v/>
      </c>
      <c r="AK150" s="278">
        <f>c_Calculations!AK1006</f>
        <v/>
      </c>
      <c r="AL150" s="278">
        <f>c_Calculations!AL1006</f>
        <v/>
      </c>
      <c r="AM150" s="278">
        <f>c_Calculations!AM1006</f>
        <v/>
      </c>
      <c r="AN150" s="278">
        <f>c_Calculations!AN1006</f>
        <v/>
      </c>
      <c r="AO150" s="278">
        <f>c_Calculations!AO1006</f>
        <v/>
      </c>
      <c r="AP150" s="278">
        <f>c_Calculations!AP1006</f>
        <v/>
      </c>
      <c r="AQ150" s="278">
        <f>c_Calculations!AQ1006</f>
        <v/>
      </c>
      <c r="AR150" s="278">
        <f>c_Calculations!AR1006</f>
        <v/>
      </c>
      <c r="AS150" s="278">
        <f>c_Calculations!AS1006</f>
        <v/>
      </c>
      <c r="AT150" s="278">
        <f>c_Calculations!AT1006</f>
        <v/>
      </c>
      <c r="AU150" s="278">
        <f>c_Calculations!AU1006</f>
        <v/>
      </c>
      <c r="AV150" s="278">
        <f>c_Calculations!AV1006</f>
        <v/>
      </c>
      <c r="AW150" s="278">
        <f>c_Calculations!AW1006</f>
        <v/>
      </c>
      <c r="AX150" s="278">
        <f>c_Calculations!AX1006</f>
        <v/>
      </c>
      <c r="AY150" s="278">
        <f>c_Calculations!AY1006</f>
        <v/>
      </c>
      <c r="AZ150" s="278">
        <f>c_Calculations!AZ1006</f>
        <v/>
      </c>
      <c r="BA150" s="278">
        <f>c_Calculations!BA1006</f>
        <v/>
      </c>
      <c r="BB150" s="278">
        <f>c_Calculations!BB1006</f>
        <v/>
      </c>
      <c r="BC150" s="278">
        <f>c_Calculations!BC1006</f>
        <v/>
      </c>
      <c r="BD150" s="278">
        <f>c_Calculations!BD1006</f>
        <v/>
      </c>
      <c r="BE150" s="278">
        <f>c_Calculations!BE1006</f>
        <v/>
      </c>
      <c r="BF150" s="278">
        <f>c_Calculations!BF1006</f>
        <v/>
      </c>
      <c r="BG150" s="278">
        <f>c_Calculations!BG1006</f>
        <v/>
      </c>
      <c r="BH150" s="278">
        <f>c_Calculations!BH1006</f>
        <v/>
      </c>
      <c r="BI150" s="278">
        <f>c_Calculations!BI1006</f>
        <v/>
      </c>
      <c r="BJ150" s="278">
        <f>c_Calculations!BJ1006</f>
        <v/>
      </c>
      <c r="BK150" s="278">
        <f>c_Calculations!BK1006</f>
        <v/>
      </c>
      <c r="BL150" s="278">
        <f>c_Calculations!BL1006</f>
        <v/>
      </c>
      <c r="BM150" s="278">
        <f>c_Calculations!BM1006</f>
        <v/>
      </c>
      <c r="BN150" s="278">
        <f>c_Calculations!BN1006</f>
        <v/>
      </c>
      <c r="BO150" s="278">
        <f>c_Calculations!BO1006</f>
        <v/>
      </c>
      <c r="BP150" s="278">
        <f>c_Calculations!BP1006</f>
        <v/>
      </c>
      <c r="BQ150" s="278">
        <f>c_Calculations!BQ1006</f>
        <v/>
      </c>
      <c r="BR150" s="278">
        <f>c_Calculations!BR1006</f>
        <v/>
      </c>
      <c r="BS150" s="278">
        <f>c_Calculations!BS1006</f>
        <v/>
      </c>
      <c r="BT150" s="278">
        <f>c_Calculations!BT1006</f>
        <v/>
      </c>
      <c r="BU150" s="278">
        <f>c_Calculations!BU1006</f>
        <v/>
      </c>
      <c r="BV150" s="278">
        <f>c_Calculations!BV1006</f>
        <v/>
      </c>
      <c r="BW150" s="278">
        <f>c_Calculations!BW1006</f>
        <v/>
      </c>
      <c r="BX150" s="278">
        <f>c_Calculations!BX1006</f>
        <v/>
      </c>
      <c r="BY150" s="278">
        <f>c_Calculations!BY1006</f>
        <v/>
      </c>
      <c r="BZ150" s="278">
        <f>c_Calculations!BZ1006</f>
        <v/>
      </c>
      <c r="CA150" s="278">
        <f>c_Calculations!CA1006</f>
        <v/>
      </c>
    </row>
    <row r="151" ht="12" customHeight="1" s="227">
      <c r="A151" s="244" t="n"/>
      <c r="B151" s="244" t="n"/>
      <c r="C151" s="244" t="n"/>
      <c r="G151" s="39" t="inlineStr">
        <is>
          <t>Total Equity</t>
        </is>
      </c>
      <c r="H151" s="39" t="n"/>
      <c r="I151" s="41">
        <f> i_Setup!$M$16</f>
        <v/>
      </c>
      <c r="J151" s="39" t="n"/>
      <c r="K151" s="56" t="n"/>
      <c r="M151" s="249">
        <f>SUM(M149:M150)</f>
        <v/>
      </c>
      <c r="N151" s="249">
        <f>SUM(N149:N150)</f>
        <v/>
      </c>
      <c r="O151" s="249">
        <f>SUM(O149:O150)</f>
        <v/>
      </c>
      <c r="P151" s="249">
        <f>SUM(P149:P150)</f>
        <v/>
      </c>
      <c r="Q151" s="249">
        <f>SUM(Q149:Q150)</f>
        <v/>
      </c>
      <c r="T151" s="248">
        <f>SUM(T149:T150)</f>
        <v/>
      </c>
      <c r="U151" s="248">
        <f>SUM(U149:U150)</f>
        <v/>
      </c>
      <c r="V151" s="248">
        <f>SUM(V149:V150)</f>
        <v/>
      </c>
      <c r="W151" s="248">
        <f>SUM(W149:W150)</f>
        <v/>
      </c>
      <c r="X151" s="248">
        <f>SUM(X149:X150)</f>
        <v/>
      </c>
      <c r="Y151" s="248">
        <f>SUM(Y149:Y150)</f>
        <v/>
      </c>
      <c r="Z151" s="248">
        <f>SUM(Z149:Z150)</f>
        <v/>
      </c>
      <c r="AA151" s="248">
        <f>SUM(AA149:AA150)</f>
        <v/>
      </c>
      <c r="AB151" s="248">
        <f>SUM(AB149:AB150)</f>
        <v/>
      </c>
      <c r="AC151" s="248">
        <f>SUM(AC149:AC150)</f>
        <v/>
      </c>
      <c r="AD151" s="248">
        <f>SUM(AD149:AD150)</f>
        <v/>
      </c>
      <c r="AE151" s="248">
        <f>SUM(AE149:AE150)</f>
        <v/>
      </c>
      <c r="AF151" s="248">
        <f>SUM(AF149:AF150)</f>
        <v/>
      </c>
      <c r="AG151" s="248">
        <f>SUM(AG149:AG150)</f>
        <v/>
      </c>
      <c r="AH151" s="248">
        <f>SUM(AH149:AH150)</f>
        <v/>
      </c>
      <c r="AI151" s="248">
        <f>SUM(AI149:AI150)</f>
        <v/>
      </c>
      <c r="AJ151" s="248">
        <f>SUM(AJ149:AJ150)</f>
        <v/>
      </c>
      <c r="AK151" s="248">
        <f>SUM(AK149:AK150)</f>
        <v/>
      </c>
      <c r="AL151" s="248">
        <f>SUM(AL149:AL150)</f>
        <v/>
      </c>
      <c r="AM151" s="248">
        <f>SUM(AM149:AM150)</f>
        <v/>
      </c>
      <c r="AN151" s="248">
        <f>SUM(AN149:AN150)</f>
        <v/>
      </c>
      <c r="AO151" s="248">
        <f>SUM(AO149:AO150)</f>
        <v/>
      </c>
      <c r="AP151" s="248">
        <f>SUM(AP149:AP150)</f>
        <v/>
      </c>
      <c r="AQ151" s="248">
        <f>SUM(AQ149:AQ150)</f>
        <v/>
      </c>
      <c r="AR151" s="248">
        <f>SUM(AR149:AR150)</f>
        <v/>
      </c>
      <c r="AS151" s="248">
        <f>SUM(AS149:AS150)</f>
        <v/>
      </c>
      <c r="AT151" s="248">
        <f>SUM(AT149:AT150)</f>
        <v/>
      </c>
      <c r="AU151" s="248">
        <f>SUM(AU149:AU150)</f>
        <v/>
      </c>
      <c r="AV151" s="248">
        <f>SUM(AV149:AV150)</f>
        <v/>
      </c>
      <c r="AW151" s="248">
        <f>SUM(AW149:AW150)</f>
        <v/>
      </c>
      <c r="AX151" s="248">
        <f>SUM(AX149:AX150)</f>
        <v/>
      </c>
      <c r="AY151" s="248">
        <f>SUM(AY149:AY150)</f>
        <v/>
      </c>
      <c r="AZ151" s="248">
        <f>SUM(AZ149:AZ150)</f>
        <v/>
      </c>
      <c r="BA151" s="248">
        <f>SUM(BA149:BA150)</f>
        <v/>
      </c>
      <c r="BB151" s="248">
        <f>SUM(BB149:BB150)</f>
        <v/>
      </c>
      <c r="BC151" s="248">
        <f>SUM(BC149:BC150)</f>
        <v/>
      </c>
      <c r="BD151" s="248">
        <f>SUM(BD149:BD150)</f>
        <v/>
      </c>
      <c r="BE151" s="248">
        <f>SUM(BE149:BE150)</f>
        <v/>
      </c>
      <c r="BF151" s="248">
        <f>SUM(BF149:BF150)</f>
        <v/>
      </c>
      <c r="BG151" s="248">
        <f>SUM(BG149:BG150)</f>
        <v/>
      </c>
      <c r="BH151" s="248">
        <f>SUM(BH149:BH150)</f>
        <v/>
      </c>
      <c r="BI151" s="248">
        <f>SUM(BI149:BI150)</f>
        <v/>
      </c>
      <c r="BJ151" s="248">
        <f>SUM(BJ149:BJ150)</f>
        <v/>
      </c>
      <c r="BK151" s="248">
        <f>SUM(BK149:BK150)</f>
        <v/>
      </c>
      <c r="BL151" s="248">
        <f>SUM(BL149:BL150)</f>
        <v/>
      </c>
      <c r="BM151" s="248">
        <f>SUM(BM149:BM150)</f>
        <v/>
      </c>
      <c r="BN151" s="248">
        <f>SUM(BN149:BN150)</f>
        <v/>
      </c>
      <c r="BO151" s="248">
        <f>SUM(BO149:BO150)</f>
        <v/>
      </c>
      <c r="BP151" s="248">
        <f>SUM(BP149:BP150)</f>
        <v/>
      </c>
      <c r="BQ151" s="248">
        <f>SUM(BQ149:BQ150)</f>
        <v/>
      </c>
      <c r="BR151" s="248">
        <f>SUM(BR149:BR150)</f>
        <v/>
      </c>
      <c r="BS151" s="248">
        <f>SUM(BS149:BS150)</f>
        <v/>
      </c>
      <c r="BT151" s="248">
        <f>SUM(BT149:BT150)</f>
        <v/>
      </c>
      <c r="BU151" s="248">
        <f>SUM(BU149:BU150)</f>
        <v/>
      </c>
      <c r="BV151" s="248">
        <f>SUM(BV149:BV150)</f>
        <v/>
      </c>
      <c r="BW151" s="248">
        <f>SUM(BW149:BW150)</f>
        <v/>
      </c>
      <c r="BX151" s="248">
        <f>SUM(BX149:BX150)</f>
        <v/>
      </c>
      <c r="BY151" s="248">
        <f>SUM(BY149:BY150)</f>
        <v/>
      </c>
      <c r="BZ151" s="248">
        <f>SUM(BZ149:BZ150)</f>
        <v/>
      </c>
      <c r="CA151" s="248">
        <f>SUM(CA149:CA150)</f>
        <v/>
      </c>
      <c r="CB151" s="248" t="n"/>
    </row>
    <row r="152" ht="12" customHeight="1" s="227">
      <c r="A152" s="244" t="n"/>
      <c r="B152" s="244" t="n"/>
      <c r="C152" s="244" t="n"/>
      <c r="G152" s="222" t="n"/>
    </row>
    <row r="153" ht="12" customHeight="1" s="227" thickBot="1">
      <c r="A153" s="244" t="n"/>
      <c r="B153" s="244" t="n"/>
      <c r="C153" s="244" t="n"/>
      <c r="G153" s="83" t="inlineStr">
        <is>
          <t>Total Liabilities &amp; Equity</t>
        </is>
      </c>
      <c r="H153" s="77" t="n"/>
      <c r="I153" s="78">
        <f> i_Setup!$M$16</f>
        <v/>
      </c>
      <c r="J153" s="77" t="n"/>
      <c r="K153" s="56" t="n"/>
      <c r="M153" s="250">
        <f>M145+M151</f>
        <v/>
      </c>
      <c r="N153" s="250">
        <f>N145+N151</f>
        <v/>
      </c>
      <c r="O153" s="250">
        <f>O145+O151</f>
        <v/>
      </c>
      <c r="P153" s="250">
        <f>P145+P151</f>
        <v/>
      </c>
      <c r="Q153" s="250">
        <f>Q145+Q151</f>
        <v/>
      </c>
      <c r="T153" s="250">
        <f>T145+T151</f>
        <v/>
      </c>
      <c r="U153" s="250">
        <f>U145+U151</f>
        <v/>
      </c>
      <c r="V153" s="250">
        <f>V145+V151</f>
        <v/>
      </c>
      <c r="W153" s="250">
        <f>W145+W151</f>
        <v/>
      </c>
      <c r="X153" s="250">
        <f>X145+X151</f>
        <v/>
      </c>
      <c r="Y153" s="250">
        <f>Y145+Y151</f>
        <v/>
      </c>
      <c r="Z153" s="250">
        <f>Z145+Z151</f>
        <v/>
      </c>
      <c r="AA153" s="250">
        <f>AA145+AA151</f>
        <v/>
      </c>
      <c r="AB153" s="250">
        <f>AB145+AB151</f>
        <v/>
      </c>
      <c r="AC153" s="250">
        <f>AC145+AC151</f>
        <v/>
      </c>
      <c r="AD153" s="250">
        <f>AD145+AD151</f>
        <v/>
      </c>
      <c r="AE153" s="250">
        <f>AE145+AE151</f>
        <v/>
      </c>
      <c r="AF153" s="250">
        <f>AF145+AF151</f>
        <v/>
      </c>
      <c r="AG153" s="250">
        <f>AG145+AG151</f>
        <v/>
      </c>
      <c r="AH153" s="250">
        <f>AH145+AH151</f>
        <v/>
      </c>
      <c r="AI153" s="250">
        <f>AI145+AI151</f>
        <v/>
      </c>
      <c r="AJ153" s="250">
        <f>AJ145+AJ151</f>
        <v/>
      </c>
      <c r="AK153" s="250">
        <f>AK145+AK151</f>
        <v/>
      </c>
      <c r="AL153" s="250">
        <f>AL145+AL151</f>
        <v/>
      </c>
      <c r="AM153" s="250">
        <f>AM145+AM151</f>
        <v/>
      </c>
      <c r="AN153" s="250">
        <f>AN145+AN151</f>
        <v/>
      </c>
      <c r="AO153" s="250">
        <f>AO145+AO151</f>
        <v/>
      </c>
      <c r="AP153" s="250">
        <f>AP145+AP151</f>
        <v/>
      </c>
      <c r="AQ153" s="250">
        <f>AQ145+AQ151</f>
        <v/>
      </c>
      <c r="AR153" s="250">
        <f>AR145+AR151</f>
        <v/>
      </c>
      <c r="AS153" s="250">
        <f>AS145+AS151</f>
        <v/>
      </c>
      <c r="AT153" s="250">
        <f>AT145+AT151</f>
        <v/>
      </c>
      <c r="AU153" s="250">
        <f>AU145+AU151</f>
        <v/>
      </c>
      <c r="AV153" s="250">
        <f>AV145+AV151</f>
        <v/>
      </c>
      <c r="AW153" s="250">
        <f>AW145+AW151</f>
        <v/>
      </c>
      <c r="AX153" s="250">
        <f>AX145+AX151</f>
        <v/>
      </c>
      <c r="AY153" s="250">
        <f>AY145+AY151</f>
        <v/>
      </c>
      <c r="AZ153" s="250">
        <f>AZ145+AZ151</f>
        <v/>
      </c>
      <c r="BA153" s="250">
        <f>BA145+BA151</f>
        <v/>
      </c>
      <c r="BB153" s="250">
        <f>BB145+BB151</f>
        <v/>
      </c>
      <c r="BC153" s="250">
        <f>BC145+BC151</f>
        <v/>
      </c>
      <c r="BD153" s="250">
        <f>BD145+BD151</f>
        <v/>
      </c>
      <c r="BE153" s="250">
        <f>BE145+BE151</f>
        <v/>
      </c>
      <c r="BF153" s="250">
        <f>BF145+BF151</f>
        <v/>
      </c>
      <c r="BG153" s="250">
        <f>BG145+BG151</f>
        <v/>
      </c>
      <c r="BH153" s="250">
        <f>BH145+BH151</f>
        <v/>
      </c>
      <c r="BI153" s="250">
        <f>BI145+BI151</f>
        <v/>
      </c>
      <c r="BJ153" s="250">
        <f>BJ145+BJ151</f>
        <v/>
      </c>
      <c r="BK153" s="250">
        <f>BK145+BK151</f>
        <v/>
      </c>
      <c r="BL153" s="250">
        <f>BL145+BL151</f>
        <v/>
      </c>
      <c r="BM153" s="250">
        <f>BM145+BM151</f>
        <v/>
      </c>
      <c r="BN153" s="250">
        <f>BN145+BN151</f>
        <v/>
      </c>
      <c r="BO153" s="250">
        <f>BO145+BO151</f>
        <v/>
      </c>
      <c r="BP153" s="250">
        <f>BP145+BP151</f>
        <v/>
      </c>
      <c r="BQ153" s="250">
        <f>BQ145+BQ151</f>
        <v/>
      </c>
      <c r="BR153" s="250">
        <f>BR145+BR151</f>
        <v/>
      </c>
      <c r="BS153" s="250">
        <f>BS145+BS151</f>
        <v/>
      </c>
      <c r="BT153" s="250">
        <f>BT145+BT151</f>
        <v/>
      </c>
      <c r="BU153" s="250">
        <f>BU145+BU151</f>
        <v/>
      </c>
      <c r="BV153" s="250">
        <f>BV145+BV151</f>
        <v/>
      </c>
      <c r="BW153" s="250">
        <f>BW145+BW151</f>
        <v/>
      </c>
      <c r="BX153" s="250">
        <f>BX145+BX151</f>
        <v/>
      </c>
      <c r="BY153" s="250">
        <f>BY145+BY151</f>
        <v/>
      </c>
      <c r="BZ153" s="250">
        <f>BZ145+BZ151</f>
        <v/>
      </c>
      <c r="CA153" s="250">
        <f>CA145+CA151</f>
        <v/>
      </c>
    </row>
    <row r="154" ht="12" customHeight="1" s="227">
      <c r="A154" s="244" t="n"/>
      <c r="B154" s="244" t="n"/>
      <c r="C154" s="244" t="n"/>
      <c r="Y154" s="270" t="n"/>
      <c r="Z154" s="270" t="n"/>
      <c r="AA154" s="270" t="n"/>
      <c r="AB154" s="270" t="n"/>
      <c r="AC154" s="270" t="n"/>
      <c r="AD154" s="270" t="n"/>
      <c r="AE154" s="270" t="n"/>
      <c r="AF154" s="270" t="n"/>
      <c r="AG154" s="270" t="n"/>
      <c r="AH154" s="270" t="n"/>
    </row>
    <row r="155" ht="12" customHeight="1" s="227">
      <c r="A155" s="244" t="n"/>
      <c r="B155" s="244" t="n"/>
      <c r="C155" s="244" t="n"/>
      <c r="Y155" s="270" t="n"/>
      <c r="Z155" s="270" t="n"/>
      <c r="AA155" s="270" t="n"/>
      <c r="AB155" s="270" t="n"/>
      <c r="AC155" s="270" t="n"/>
      <c r="AD155" s="270" t="n"/>
      <c r="AE155" s="270" t="n"/>
      <c r="AK155" s="270" t="n"/>
    </row>
    <row r="156" ht="12" customHeight="1" s="227">
      <c r="A156" s="244" t="n"/>
      <c r="B156" s="244">
        <f>SUM(L156:CA156)</f>
        <v/>
      </c>
      <c r="C156" s="244" t="n"/>
      <c r="H156" s="0" t="inlineStr">
        <is>
          <t>Balance Sheet Balances</t>
        </is>
      </c>
      <c r="M156" s="254">
        <f>IF(M$7&lt;&gt;"",IF(ROUND(M130+M153,0)=0,0,1),"")</f>
        <v/>
      </c>
      <c r="N156" s="254">
        <f>IF(N$7&lt;&gt;"",IF(ROUND(N130+N153,0)=0,0,1),"")</f>
        <v/>
      </c>
      <c r="O156" s="254">
        <f>IF(O$7&lt;&gt;"",IF(ROUND(O130+O153,0)=0,0,1),"")</f>
        <v/>
      </c>
      <c r="P156" s="254">
        <f>IF(P$7&lt;&gt;"",IF(ROUND(P130+P153,0)=0,0,1),"")</f>
        <v/>
      </c>
      <c r="Q156" s="254">
        <f>IF(Q$7&lt;&gt;"",IF(ROUND(Q130+Q153,0)=0,0,1),"")</f>
        <v/>
      </c>
      <c r="R156" s="254" t="n"/>
      <c r="S156" s="254" t="n"/>
      <c r="T156" s="254">
        <f>IF(T$7&lt;&gt;"",IF(ROUND(T130+T153,0)=0,0,1),"")</f>
        <v/>
      </c>
      <c r="U156" s="254">
        <f>IF(U$7&lt;&gt;"",IF(ROUND(U130+U153,0)=0,0,1),"")</f>
        <v/>
      </c>
      <c r="V156" s="254">
        <f>IF(V$7&lt;&gt;"",IF(ROUND(V130+V153,0)=0,0,1),"")</f>
        <v/>
      </c>
      <c r="W156" s="254">
        <f>IF(W$7&lt;&gt;"",IF(ROUND(W130+W153,0)=0,0,1),"")</f>
        <v/>
      </c>
      <c r="X156" s="254">
        <f>IF(X$7&lt;&gt;"",IF(ROUND(X130+X153,0)=0,0,1),"")</f>
        <v/>
      </c>
      <c r="Y156" s="254">
        <f>IF(Y$7&lt;&gt;"",IF(ROUND(Y130+Y153,0)=0,0,1),"")</f>
        <v/>
      </c>
      <c r="Z156" s="254">
        <f>IF(Z$7&lt;&gt;"",IF(ROUND(Z130+Z153,0)=0,0,1),"")</f>
        <v/>
      </c>
      <c r="AA156" s="254">
        <f>IF(AA$7&lt;&gt;"",IF(ROUND(AA130+AA153,0)=0,0,1),"")</f>
        <v/>
      </c>
      <c r="AB156" s="254">
        <f>IF(AB$7&lt;&gt;"",IF(ROUND(AB130+AB153,0)=0,0,1),"")</f>
        <v/>
      </c>
      <c r="AC156" s="254">
        <f>IF(AC$7&lt;&gt;"",IF(ROUND(AC130+AC153,0)=0,0,1),"")</f>
        <v/>
      </c>
      <c r="AD156" s="254">
        <f>IF(AD$7&lt;&gt;"",IF(ROUND(AD130+AD153,0)=0,0,1),"")</f>
        <v/>
      </c>
      <c r="AE156" s="254">
        <f>IF(AE$7&lt;&gt;"",IF(ROUND(AE130+AE153,0)=0,0,1),"")</f>
        <v/>
      </c>
      <c r="AF156" s="254">
        <f>IF(AF$7&lt;&gt;"",IF(ROUND(AF130+AF153,0)=0,0,1),"")</f>
        <v/>
      </c>
      <c r="AG156" s="254">
        <f>IF(AG$7&lt;&gt;"",IF(ROUND(AG130+AG153,0)=0,0,1),"")</f>
        <v/>
      </c>
      <c r="AH156" s="254">
        <f>IF(AH$7&lt;&gt;"",IF(ROUND(AH130+AH153,0)=0,0,1),"")</f>
        <v/>
      </c>
      <c r="AI156" s="254">
        <f>IF(AI$7&lt;&gt;"",IF(ROUND(AI130+AI153,0)=0,0,1),"")</f>
        <v/>
      </c>
      <c r="AJ156" s="254">
        <f>IF(AJ$7&lt;&gt;"",IF(ROUND(AJ130+AJ153,0)=0,0,1),"")</f>
        <v/>
      </c>
      <c r="AK156" s="254">
        <f>IF(AK$7&lt;&gt;"",IF(ROUND(AK130+AK153,0)=0,0,1),"")</f>
        <v/>
      </c>
      <c r="AL156" s="254">
        <f>IF(AL$7&lt;&gt;"",IF(ROUND(AL130+AL153,0)=0,0,1),"")</f>
        <v/>
      </c>
      <c r="AM156" s="254">
        <f>IF(AM$7&lt;&gt;"",IF(ROUND(AM130+AM153,0)=0,0,1),"")</f>
        <v/>
      </c>
      <c r="AN156" s="254">
        <f>IF(AN$7&lt;&gt;"",IF(ROUND(AN130+AN153,0)=0,0,1),"")</f>
        <v/>
      </c>
      <c r="AO156" s="254">
        <f>IF(AO$7&lt;&gt;"",IF(ROUND(AO130+AO153,0)=0,0,1),"")</f>
        <v/>
      </c>
      <c r="AP156" s="254">
        <f>IF(AP$7&lt;&gt;"",IF(ROUND(AP130+AP153,0)=0,0,1),"")</f>
        <v/>
      </c>
      <c r="AQ156" s="254">
        <f>IF(AQ$7&lt;&gt;"",IF(ROUND(AQ130+AQ153,0)=0,0,1),"")</f>
        <v/>
      </c>
      <c r="AR156" s="254">
        <f>IF(AR$7&lt;&gt;"",IF(ROUND(AR130+AR153,0)=0,0,1),"")</f>
        <v/>
      </c>
      <c r="AS156" s="254">
        <f>IF(AS$7&lt;&gt;"",IF(ROUND(AS130+AS153,0)=0,0,1),"")</f>
        <v/>
      </c>
      <c r="AT156" s="254">
        <f>IF(AT$7&lt;&gt;"",IF(ROUND(AT130+AT153,0)=0,0,1),"")</f>
        <v/>
      </c>
      <c r="AU156" s="254">
        <f>IF(AU$7&lt;&gt;"",IF(ROUND(AU130+AU153,0)=0,0,1),"")</f>
        <v/>
      </c>
      <c r="AV156" s="254">
        <f>IF(AV$7&lt;&gt;"",IF(ROUND(AV130+AV153,0)=0,0,1),"")</f>
        <v/>
      </c>
      <c r="AW156" s="254">
        <f>IF(AW$7&lt;&gt;"",IF(ROUND(AW130+AW153,0)=0,0,1),"")</f>
        <v/>
      </c>
      <c r="AX156" s="254">
        <f>IF(AX$7&lt;&gt;"",IF(ROUND(AX130+AX153,0)=0,0,1),"")</f>
        <v/>
      </c>
      <c r="AY156" s="254">
        <f>IF(AY$7&lt;&gt;"",IF(ROUND(AY130+AY153,0)=0,0,1),"")</f>
        <v/>
      </c>
      <c r="AZ156" s="254">
        <f>IF(AZ$7&lt;&gt;"",IF(ROUND(AZ130+AZ153,0)=0,0,1),"")</f>
        <v/>
      </c>
      <c r="BA156" s="254">
        <f>IF(BA$7&lt;&gt;"",IF(ROUND(BA130+BA153,0)=0,0,1),"")</f>
        <v/>
      </c>
      <c r="BB156" s="254">
        <f>IF(BB$7&lt;&gt;"",IF(ROUND(BB130+BB153,0)=0,0,1),"")</f>
        <v/>
      </c>
      <c r="BC156" s="254">
        <f>IF(BC$7&lt;&gt;"",IF(ROUND(BC130+BC153,0)=0,0,1),"")</f>
        <v/>
      </c>
      <c r="BD156" s="254">
        <f>IF(BD$7&lt;&gt;"",IF(ROUND(BD130+BD153,0)=0,0,1),"")</f>
        <v/>
      </c>
      <c r="BE156" s="254">
        <f>IF(BE$7&lt;&gt;"",IF(ROUND(BE130+BE153,0)=0,0,1),"")</f>
        <v/>
      </c>
      <c r="BF156" s="254">
        <f>IF(BF$7&lt;&gt;"",IF(ROUND(BF130+BF153,0)=0,0,1),"")</f>
        <v/>
      </c>
      <c r="BG156" s="254">
        <f>IF(BG$7&lt;&gt;"",IF(ROUND(BG130+BG153,0)=0,0,1),"")</f>
        <v/>
      </c>
      <c r="BH156" s="254">
        <f>IF(BH$7&lt;&gt;"",IF(ROUND(BH130+BH153,0)=0,0,1),"")</f>
        <v/>
      </c>
      <c r="BI156" s="254">
        <f>IF(BI$7&lt;&gt;"",IF(ROUND(BI130+BI153,0)=0,0,1),"")</f>
        <v/>
      </c>
      <c r="BJ156" s="254">
        <f>IF(BJ$7&lt;&gt;"",IF(ROUND(BJ130+BJ153,0)=0,0,1),"")</f>
        <v/>
      </c>
      <c r="BK156" s="254">
        <f>IF(BK$7&lt;&gt;"",IF(ROUND(BK130+BK153,0)=0,0,1),"")</f>
        <v/>
      </c>
      <c r="BL156" s="254">
        <f>IF(BL$7&lt;&gt;"",IF(ROUND(BL130+BL153,0)=0,0,1),"")</f>
        <v/>
      </c>
      <c r="BM156" s="254">
        <f>IF(BM$7&lt;&gt;"",IF(ROUND(BM130+BM153,0)=0,0,1),"")</f>
        <v/>
      </c>
      <c r="BN156" s="254">
        <f>IF(BN$7&lt;&gt;"",IF(ROUND(BN130+BN153,0)=0,0,1),"")</f>
        <v/>
      </c>
      <c r="BO156" s="254">
        <f>IF(BO$7&lt;&gt;"",IF(ROUND(BO130+BO153,0)=0,0,1),"")</f>
        <v/>
      </c>
      <c r="BP156" s="254">
        <f>IF(BP$7&lt;&gt;"",IF(ROUND(BP130+BP153,0)=0,0,1),"")</f>
        <v/>
      </c>
      <c r="BQ156" s="254">
        <f>IF(BQ$7&lt;&gt;"",IF(ROUND(BQ130+BQ153,0)=0,0,1),"")</f>
        <v/>
      </c>
      <c r="BR156" s="254">
        <f>IF(BR$7&lt;&gt;"",IF(ROUND(BR130+BR153,0)=0,0,1),"")</f>
        <v/>
      </c>
      <c r="BS156" s="254">
        <f>IF(BS$7&lt;&gt;"",IF(ROUND(BS130+BS153,0)=0,0,1),"")</f>
        <v/>
      </c>
      <c r="BT156" s="254">
        <f>IF(BT$7&lt;&gt;"",IF(ROUND(BT130+BT153,0)=0,0,1),"")</f>
        <v/>
      </c>
      <c r="BU156" s="254">
        <f>IF(BU$7&lt;&gt;"",IF(ROUND(BU130+BU153,0)=0,0,1),"")</f>
        <v/>
      </c>
      <c r="BV156" s="254">
        <f>IF(BV$7&lt;&gt;"",IF(ROUND(BV130+BV153,0)=0,0,1),"")</f>
        <v/>
      </c>
      <c r="BW156" s="254">
        <f>IF(BW$7&lt;&gt;"",IF(ROUND(BW130+BW153,0)=0,0,1),"")</f>
        <v/>
      </c>
      <c r="BX156" s="254">
        <f>IF(BX$7&lt;&gt;"",IF(ROUND(BX130+BX153,0)=0,0,1),"")</f>
        <v/>
      </c>
      <c r="BY156" s="254">
        <f>IF(BY$7&lt;&gt;"",IF(ROUND(BY130+BY153,0)=0,0,1),"")</f>
        <v/>
      </c>
      <c r="BZ156" s="254">
        <f>IF(BZ$7&lt;&gt;"",IF(ROUND(BZ130+BZ153,0)=0,0,1),"")</f>
        <v/>
      </c>
      <c r="CA156" s="254">
        <f>IF(CA$7&lt;&gt;"",IF(ROUND(CA130+CA153,0)=0,0,1),"")</f>
        <v/>
      </c>
    </row>
    <row r="157" ht="12" customFormat="1" customHeight="1" s="8">
      <c r="A157" s="244" t="n"/>
      <c r="B157" s="244" t="n"/>
      <c r="C157" s="244" t="n"/>
      <c r="D157" s="4" t="n"/>
      <c r="E157" s="4" t="n"/>
      <c r="F157" s="4" t="n"/>
      <c r="G157" s="4" t="n"/>
      <c r="J157" s="4" t="n"/>
      <c r="Y157" s="279" t="n"/>
      <c r="Z157" s="279" t="n"/>
      <c r="AA157" s="279" t="n"/>
    </row>
    <row r="158" ht="12" customFormat="1" customHeight="1" s="8">
      <c r="A158" s="244" t="n"/>
      <c r="B158" s="244" t="n"/>
      <c r="C158" s="244" t="n"/>
      <c r="D158" s="4" t="n"/>
      <c r="E158" s="4" t="n"/>
      <c r="F158" s="4" t="n"/>
      <c r="G158" s="4" t="n"/>
      <c r="J158" s="4" t="n"/>
      <c r="Y158" s="279" t="n"/>
      <c r="Z158" s="279" t="n"/>
      <c r="AA158" s="279" t="n"/>
      <c r="AB158" s="279" t="n"/>
      <c r="AC158" s="279" t="n"/>
      <c r="AD158" s="279" t="n"/>
      <c r="AE158" s="279" t="n"/>
      <c r="AF158" s="279" t="n"/>
      <c r="AG158" s="279" t="n"/>
      <c r="AH158" s="279" t="n"/>
      <c r="AI158" s="279" t="n"/>
      <c r="AJ158" s="279" t="n"/>
      <c r="AK158" s="279" t="n"/>
      <c r="AL158" s="279" t="n"/>
      <c r="AM158" s="279" t="n"/>
      <c r="AN158" s="279" t="n"/>
      <c r="AO158" s="279" t="n"/>
      <c r="AP158" s="279" t="n"/>
      <c r="AQ158" s="279" t="n"/>
      <c r="AR158" s="279" t="n"/>
      <c r="AS158" s="279" t="n"/>
      <c r="AT158" s="279" t="n"/>
      <c r="AU158" s="279" t="n"/>
      <c r="AV158" s="279" t="n"/>
      <c r="AW158" s="279" t="n"/>
      <c r="AX158" s="279" t="n"/>
      <c r="AY158" s="279" t="n"/>
      <c r="AZ158" s="279" t="n"/>
      <c r="BA158" s="279" t="n"/>
      <c r="BB158" s="279" t="n"/>
      <c r="BC158" s="279" t="n"/>
      <c r="BD158" s="279" t="n"/>
      <c r="BE158" s="279" t="n"/>
      <c r="BF158" s="279" t="n"/>
      <c r="BG158" s="279" t="n"/>
      <c r="BH158" s="279" t="n"/>
      <c r="BI158" s="279" t="n"/>
      <c r="BJ158" s="279" t="n"/>
      <c r="BK158" s="279" t="n"/>
      <c r="BL158" s="279" t="n"/>
      <c r="BM158" s="279" t="n"/>
      <c r="BN158" s="279" t="n"/>
      <c r="BO158" s="279" t="n"/>
      <c r="BP158" s="279" t="n"/>
      <c r="BQ158" s="279" t="n"/>
      <c r="BR158" s="279" t="n"/>
      <c r="BS158" s="279" t="n"/>
      <c r="BT158" s="279" t="n"/>
      <c r="BU158" s="279" t="n"/>
      <c r="BV158" s="279" t="n"/>
      <c r="BW158" s="279" t="n"/>
      <c r="BX158" s="279" t="n"/>
      <c r="BY158" s="279" t="n"/>
      <c r="BZ158" s="279" t="n"/>
      <c r="CA158" s="279" t="n"/>
    </row>
    <row r="159" ht="12" customFormat="1" customHeight="1" s="8">
      <c r="A159" s="244" t="n"/>
      <c r="B159" s="244" t="n"/>
      <c r="C159" s="244" t="n"/>
      <c r="D159" s="4" t="n"/>
      <c r="E159" s="4" t="n"/>
      <c r="F159" s="4" t="n"/>
      <c r="G159" s="4" t="n"/>
      <c r="J159" s="4" t="n"/>
    </row>
    <row r="160" ht="15.75" customFormat="1" customHeight="1" s="99">
      <c r="D160" s="99">
        <f>Heading1</f>
        <v/>
      </c>
      <c r="E160" s="99" t="inlineStr">
        <is>
          <t>Cash Flow</t>
        </is>
      </c>
    </row>
    <row r="161" ht="12" customHeight="1" s="227">
      <c r="A161" s="244" t="n"/>
      <c r="B161" s="244" t="n"/>
      <c r="C161" s="244" t="n"/>
    </row>
    <row r="162" ht="13.5" customFormat="1" customHeight="1" s="223" thickBot="1">
      <c r="E162" s="223">
        <f>Heading2</f>
        <v/>
      </c>
      <c r="F162" s="223" t="inlineStr">
        <is>
          <t>Cash Flow Statement</t>
        </is>
      </c>
    </row>
    <row r="163" ht="12" customHeight="1" s="227">
      <c r="A163" s="244" t="n"/>
      <c r="B163" s="244" t="n"/>
      <c r="C163" s="244" t="n"/>
    </row>
    <row r="164" ht="12.75" customHeight="1" s="227">
      <c r="A164" s="244" t="n"/>
      <c r="B164" s="244" t="n"/>
      <c r="C164" s="244" t="n"/>
      <c r="G164" s="222" t="inlineStr">
        <is>
          <t>Cash Flows from Operating Activities</t>
        </is>
      </c>
    </row>
    <row r="165" ht="12" customHeight="1" s="227">
      <c r="A165" s="244" t="n"/>
      <c r="B165" s="244" t="n"/>
      <c r="C165" s="244" t="n"/>
      <c r="H165" s="0" t="inlineStr">
        <is>
          <t>Revenue Receipts</t>
        </is>
      </c>
      <c r="I165" s="27">
        <f> i_Setup!$M$16</f>
        <v/>
      </c>
      <c r="M165" s="245">
        <f>SUMIF($T$4:$CA$4,M$4,$T165:$CA165)</f>
        <v/>
      </c>
      <c r="N165" s="245">
        <f>SUMIF($T$4:$CA$4,N$4,$T165:$CA165)</f>
        <v/>
      </c>
      <c r="O165" s="245">
        <f>SUMIF($T$4:$CA$4,O$4,$T165:$CA165)</f>
        <v/>
      </c>
      <c r="P165" s="245">
        <f>SUMIF($T$4:$CA$4,P$4,$T165:$CA165)</f>
        <v/>
      </c>
      <c r="Q165" s="245">
        <f>SUMIF($T$4:$CA$4,Q$4,$T165:$CA165)</f>
        <v/>
      </c>
      <c r="T165" s="257">
        <f>IF(T$7="Actual","",c_Calculations!T92)</f>
        <v/>
      </c>
      <c r="U165" s="257">
        <f>IF(U$7="Actual","",c_Calculations!U92)</f>
        <v/>
      </c>
      <c r="V165" s="257">
        <f>IF(V$7="Actual","",c_Calculations!V92)</f>
        <v/>
      </c>
      <c r="W165" s="257">
        <f>IF(W$7="Actual","",c_Calculations!W92)</f>
        <v/>
      </c>
      <c r="X165" s="257">
        <f>IF(X$7="Actual","",c_Calculations!X92)</f>
        <v/>
      </c>
      <c r="Y165" s="257">
        <f>IF(Y$7="Actual","",c_Calculations!Y92)</f>
        <v/>
      </c>
      <c r="Z165" s="257">
        <f>IF(Z$7="Actual","",c_Calculations!Z92)</f>
        <v/>
      </c>
      <c r="AA165" s="257">
        <f>IF(AA$7="Actual","",c_Calculations!AA92)</f>
        <v/>
      </c>
      <c r="AB165" s="257">
        <f>IF(AB$7="Actual","",c_Calculations!AB92)</f>
        <v/>
      </c>
      <c r="AC165" s="257">
        <f>IF(AC$7="Actual","",c_Calculations!AC92)</f>
        <v/>
      </c>
      <c r="AD165" s="257">
        <f>IF(AD$7="Actual","",c_Calculations!AD92)</f>
        <v/>
      </c>
      <c r="AE165" s="257">
        <f>IF(AE$7="Actual","",c_Calculations!AE92)</f>
        <v/>
      </c>
      <c r="AF165" s="257">
        <f>IF(AF$7="Actual","",c_Calculations!AF92)</f>
        <v/>
      </c>
      <c r="AG165" s="257">
        <f>IF(AG$7="Actual","",c_Calculations!AG92)</f>
        <v/>
      </c>
      <c r="AH165" s="257">
        <f>IF(AH$7="Actual","",c_Calculations!AH92)</f>
        <v/>
      </c>
      <c r="AI165" s="257">
        <f>IF(AI$7="Actual","",c_Calculations!AI92)</f>
        <v/>
      </c>
      <c r="AJ165" s="257">
        <f>IF(AJ$7="Actual","",c_Calculations!AJ92)</f>
        <v/>
      </c>
      <c r="AK165" s="257">
        <f>IF(AK$7="Actual","",c_Calculations!AK92)</f>
        <v/>
      </c>
      <c r="AL165" s="257">
        <f>IF(AL$7="Actual","",c_Calculations!AL92)</f>
        <v/>
      </c>
      <c r="AM165" s="257">
        <f>IF(AM$7="Actual","",c_Calculations!AM92)</f>
        <v/>
      </c>
      <c r="AN165" s="257">
        <f>IF(AN$7="Actual","",c_Calculations!AN92)</f>
        <v/>
      </c>
      <c r="AO165" s="257">
        <f>IF(AO$7="Actual","",c_Calculations!AO92)</f>
        <v/>
      </c>
      <c r="AP165" s="257">
        <f>IF(AP$7="Actual","",c_Calculations!AP92)</f>
        <v/>
      </c>
      <c r="AQ165" s="257">
        <f>IF(AQ$7="Actual","",c_Calculations!AQ92)</f>
        <v/>
      </c>
      <c r="AR165" s="257">
        <f>IF(AR$7="Actual","",c_Calculations!AR92)</f>
        <v/>
      </c>
      <c r="AS165" s="257">
        <f>IF(AS$7="Actual","",c_Calculations!AS92)</f>
        <v/>
      </c>
      <c r="AT165" s="257">
        <f>IF(AT$7="Actual","",c_Calculations!AT92)</f>
        <v/>
      </c>
      <c r="AU165" s="257">
        <f>IF(AU$7="Actual","",c_Calculations!AU92)</f>
        <v/>
      </c>
      <c r="AV165" s="257">
        <f>IF(AV$7="Actual","",c_Calculations!AV92)</f>
        <v/>
      </c>
      <c r="AW165" s="257">
        <f>IF(AW$7="Actual","",c_Calculations!AW92)</f>
        <v/>
      </c>
      <c r="AX165" s="257">
        <f>IF(AX$7="Actual","",c_Calculations!AX92)</f>
        <v/>
      </c>
      <c r="AY165" s="257">
        <f>IF(AY$7="Actual","",c_Calculations!AY92)</f>
        <v/>
      </c>
      <c r="AZ165" s="257">
        <f>IF(AZ$7="Actual","",c_Calculations!AZ92)</f>
        <v/>
      </c>
      <c r="BA165" s="257">
        <f>IF(BA$7="Actual","",c_Calculations!BA92)</f>
        <v/>
      </c>
      <c r="BB165" s="257">
        <f>IF(BB$7="Actual","",c_Calculations!BB92)</f>
        <v/>
      </c>
      <c r="BC165" s="257">
        <f>IF(BC$7="Actual","",c_Calculations!BC92)</f>
        <v/>
      </c>
      <c r="BD165" s="257">
        <f>IF(BD$7="Actual","",c_Calculations!BD92)</f>
        <v/>
      </c>
      <c r="BE165" s="257">
        <f>IF(BE$7="Actual","",c_Calculations!BE92)</f>
        <v/>
      </c>
      <c r="BF165" s="257">
        <f>IF(BF$7="Actual","",c_Calculations!BF92)</f>
        <v/>
      </c>
      <c r="BG165" s="257">
        <f>IF(BG$7="Actual","",c_Calculations!BG92)</f>
        <v/>
      </c>
      <c r="BH165" s="257">
        <f>IF(BH$7="Actual","",c_Calculations!BH92)</f>
        <v/>
      </c>
      <c r="BI165" s="257">
        <f>IF(BI$7="Actual","",c_Calculations!BI92)</f>
        <v/>
      </c>
      <c r="BJ165" s="257">
        <f>IF(BJ$7="Actual","",c_Calculations!BJ92)</f>
        <v/>
      </c>
      <c r="BK165" s="257">
        <f>IF(BK$7="Actual","",c_Calculations!BK92)</f>
        <v/>
      </c>
      <c r="BL165" s="257">
        <f>IF(BL$7="Actual","",c_Calculations!BL92)</f>
        <v/>
      </c>
      <c r="BM165" s="257">
        <f>IF(BM$7="Actual","",c_Calculations!BM92)</f>
        <v/>
      </c>
      <c r="BN165" s="257">
        <f>IF(BN$7="Actual","",c_Calculations!BN92)</f>
        <v/>
      </c>
      <c r="BO165" s="257">
        <f>IF(BO$7="Actual","",c_Calculations!BO92)</f>
        <v/>
      </c>
      <c r="BP165" s="257">
        <f>IF(BP$7="Actual","",c_Calculations!BP92)</f>
        <v/>
      </c>
      <c r="BQ165" s="257">
        <f>IF(BQ$7="Actual","",c_Calculations!BQ92)</f>
        <v/>
      </c>
      <c r="BR165" s="257">
        <f>IF(BR$7="Actual","",c_Calculations!BR92)</f>
        <v/>
      </c>
      <c r="BS165" s="257">
        <f>IF(BS$7="Actual","",c_Calculations!BS92)</f>
        <v/>
      </c>
      <c r="BT165" s="257">
        <f>IF(BT$7="Actual","",c_Calculations!BT92)</f>
        <v/>
      </c>
      <c r="BU165" s="257">
        <f>IF(BU$7="Actual","",c_Calculations!BU92)</f>
        <v/>
      </c>
      <c r="BV165" s="257">
        <f>IF(BV$7="Actual","",c_Calculations!BV92)</f>
        <v/>
      </c>
      <c r="BW165" s="257">
        <f>IF(BW$7="Actual","",c_Calculations!BW92)</f>
        <v/>
      </c>
      <c r="BX165" s="257">
        <f>IF(BX$7="Actual","",c_Calculations!BX92)</f>
        <v/>
      </c>
      <c r="BY165" s="257">
        <f>IF(BY$7="Actual","",c_Calculations!BY92)</f>
        <v/>
      </c>
      <c r="BZ165" s="257">
        <f>IF(BZ$7="Actual","",c_Calculations!BZ92)</f>
        <v/>
      </c>
      <c r="CA165" s="257">
        <f>IF(CA$7="Actual","",c_Calculations!CA92)</f>
        <v/>
      </c>
    </row>
    <row r="166" ht="12" customHeight="1" s="227">
      <c r="A166" s="244" t="n"/>
      <c r="B166" s="244" t="n"/>
      <c r="C166" s="244" t="n"/>
      <c r="H166" s="0" t="inlineStr">
        <is>
          <t>Direct Staff Costs</t>
        </is>
      </c>
      <c r="I166" s="27">
        <f> i_Setup!$M$16</f>
        <v/>
      </c>
      <c r="M166" s="245">
        <f>SUMIF($T$4:$CA$4,M$4,$T166:$CA166)</f>
        <v/>
      </c>
      <c r="N166" s="245">
        <f>SUMIF($T$4:$CA$4,N$4,$T166:$CA166)</f>
        <v/>
      </c>
      <c r="O166" s="245">
        <f>SUMIF($T$4:$CA$4,O$4,$T166:$CA166)</f>
        <v/>
      </c>
      <c r="P166" s="245">
        <f>SUMIF($T$4:$CA$4,P$4,$T166:$CA166)</f>
        <v/>
      </c>
      <c r="Q166" s="245">
        <f>SUMIF($T$4:$CA$4,Q$4,$T166:$CA166)</f>
        <v/>
      </c>
      <c r="T166" s="257">
        <f>IF(T$7="Actual","",c_Calculations!T433)</f>
        <v/>
      </c>
      <c r="U166" s="257">
        <f>IF(U$7="Actual","",c_Calculations!U433)</f>
        <v/>
      </c>
      <c r="V166" s="257">
        <f>IF(V$7="Actual","",c_Calculations!V433)</f>
        <v/>
      </c>
      <c r="W166" s="257">
        <f>IF(W$7="Actual","",c_Calculations!W433)</f>
        <v/>
      </c>
      <c r="X166" s="257">
        <f>IF(X$7="Actual","",c_Calculations!X433)</f>
        <v/>
      </c>
      <c r="Y166" s="257">
        <f>IF(Y$7="Actual","",c_Calculations!Y433)</f>
        <v/>
      </c>
      <c r="Z166" s="257">
        <f>IF(Z$7="Actual","",c_Calculations!Z433)</f>
        <v/>
      </c>
      <c r="AA166" s="257">
        <f>IF(AA$7="Actual","",c_Calculations!AA433)</f>
        <v/>
      </c>
      <c r="AB166" s="257">
        <f>IF(AB$7="Actual","",c_Calculations!AB433)</f>
        <v/>
      </c>
      <c r="AC166" s="257">
        <f>IF(AC$7="Actual","",c_Calculations!AC433)</f>
        <v/>
      </c>
      <c r="AD166" s="257">
        <f>IF(AD$7="Actual","",c_Calculations!AD433)</f>
        <v/>
      </c>
      <c r="AE166" s="257">
        <f>IF(AE$7="Actual","",c_Calculations!AE433)</f>
        <v/>
      </c>
      <c r="AF166" s="257">
        <f>IF(AF$7="Actual","",c_Calculations!AF433)</f>
        <v/>
      </c>
      <c r="AG166" s="257">
        <f>IF(AG$7="Actual","",c_Calculations!AG433)</f>
        <v/>
      </c>
      <c r="AH166" s="257">
        <f>IF(AH$7="Actual","",c_Calculations!AH433)</f>
        <v/>
      </c>
      <c r="AI166" s="257">
        <f>IF(AI$7="Actual","",c_Calculations!AI433)</f>
        <v/>
      </c>
      <c r="AJ166" s="257">
        <f>IF(AJ$7="Actual","",c_Calculations!AJ433)</f>
        <v/>
      </c>
      <c r="AK166" s="257">
        <f>IF(AK$7="Actual","",c_Calculations!AK433)</f>
        <v/>
      </c>
      <c r="AL166" s="257">
        <f>IF(AL$7="Actual","",c_Calculations!AL433)</f>
        <v/>
      </c>
      <c r="AM166" s="257">
        <f>IF(AM$7="Actual","",c_Calculations!AM433)</f>
        <v/>
      </c>
      <c r="AN166" s="257">
        <f>IF(AN$7="Actual","",c_Calculations!AN433)</f>
        <v/>
      </c>
      <c r="AO166" s="257">
        <f>IF(AO$7="Actual","",c_Calculations!AO433)</f>
        <v/>
      </c>
      <c r="AP166" s="257">
        <f>IF(AP$7="Actual","",c_Calculations!AP433)</f>
        <v/>
      </c>
      <c r="AQ166" s="257">
        <f>IF(AQ$7="Actual","",c_Calculations!AQ433)</f>
        <v/>
      </c>
      <c r="AR166" s="257">
        <f>IF(AR$7="Actual","",c_Calculations!AR433)</f>
        <v/>
      </c>
      <c r="AS166" s="257">
        <f>IF(AS$7="Actual","",c_Calculations!AS433)</f>
        <v/>
      </c>
      <c r="AT166" s="257">
        <f>IF(AT$7="Actual","",c_Calculations!AT433)</f>
        <v/>
      </c>
      <c r="AU166" s="257">
        <f>IF(AU$7="Actual","",c_Calculations!AU433)</f>
        <v/>
      </c>
      <c r="AV166" s="257">
        <f>IF(AV$7="Actual","",c_Calculations!AV433)</f>
        <v/>
      </c>
      <c r="AW166" s="257">
        <f>IF(AW$7="Actual","",c_Calculations!AW433)</f>
        <v/>
      </c>
      <c r="AX166" s="257">
        <f>IF(AX$7="Actual","",c_Calculations!AX433)</f>
        <v/>
      </c>
      <c r="AY166" s="257">
        <f>IF(AY$7="Actual","",c_Calculations!AY433)</f>
        <v/>
      </c>
      <c r="AZ166" s="257">
        <f>IF(AZ$7="Actual","",c_Calculations!AZ433)</f>
        <v/>
      </c>
      <c r="BA166" s="257">
        <f>IF(BA$7="Actual","",c_Calculations!BA433)</f>
        <v/>
      </c>
      <c r="BB166" s="257">
        <f>IF(BB$7="Actual","",c_Calculations!BB433)</f>
        <v/>
      </c>
      <c r="BC166" s="257">
        <f>IF(BC$7="Actual","",c_Calculations!BC433)</f>
        <v/>
      </c>
      <c r="BD166" s="257">
        <f>IF(BD$7="Actual","",c_Calculations!BD433)</f>
        <v/>
      </c>
      <c r="BE166" s="257">
        <f>IF(BE$7="Actual","",c_Calculations!BE433)</f>
        <v/>
      </c>
      <c r="BF166" s="257">
        <f>IF(BF$7="Actual","",c_Calculations!BF433)</f>
        <v/>
      </c>
      <c r="BG166" s="257">
        <f>IF(BG$7="Actual","",c_Calculations!BG433)</f>
        <v/>
      </c>
      <c r="BH166" s="257">
        <f>IF(BH$7="Actual","",c_Calculations!BH433)</f>
        <v/>
      </c>
      <c r="BI166" s="257">
        <f>IF(BI$7="Actual","",c_Calculations!BI433)</f>
        <v/>
      </c>
      <c r="BJ166" s="257">
        <f>IF(BJ$7="Actual","",c_Calculations!BJ433)</f>
        <v/>
      </c>
      <c r="BK166" s="257">
        <f>IF(BK$7="Actual","",c_Calculations!BK433)</f>
        <v/>
      </c>
      <c r="BL166" s="257">
        <f>IF(BL$7="Actual","",c_Calculations!BL433)</f>
        <v/>
      </c>
      <c r="BM166" s="257">
        <f>IF(BM$7="Actual","",c_Calculations!BM433)</f>
        <v/>
      </c>
      <c r="BN166" s="257">
        <f>IF(BN$7="Actual","",c_Calculations!BN433)</f>
        <v/>
      </c>
      <c r="BO166" s="257">
        <f>IF(BO$7="Actual","",c_Calculations!BO433)</f>
        <v/>
      </c>
      <c r="BP166" s="257">
        <f>IF(BP$7="Actual","",c_Calculations!BP433)</f>
        <v/>
      </c>
      <c r="BQ166" s="257">
        <f>IF(BQ$7="Actual","",c_Calculations!BQ433)</f>
        <v/>
      </c>
      <c r="BR166" s="257">
        <f>IF(BR$7="Actual","",c_Calculations!BR433)</f>
        <v/>
      </c>
      <c r="BS166" s="257">
        <f>IF(BS$7="Actual","",c_Calculations!BS433)</f>
        <v/>
      </c>
      <c r="BT166" s="257">
        <f>IF(BT$7="Actual","",c_Calculations!BT433)</f>
        <v/>
      </c>
      <c r="BU166" s="257">
        <f>IF(BU$7="Actual","",c_Calculations!BU433)</f>
        <v/>
      </c>
      <c r="BV166" s="257">
        <f>IF(BV$7="Actual","",c_Calculations!BV433)</f>
        <v/>
      </c>
      <c r="BW166" s="257">
        <f>IF(BW$7="Actual","",c_Calculations!BW433)</f>
        <v/>
      </c>
      <c r="BX166" s="257">
        <f>IF(BX$7="Actual","",c_Calculations!BX433)</f>
        <v/>
      </c>
      <c r="BY166" s="257">
        <f>IF(BY$7="Actual","",c_Calculations!BY433)</f>
        <v/>
      </c>
      <c r="BZ166" s="257">
        <f>IF(BZ$7="Actual","",c_Calculations!BZ433)</f>
        <v/>
      </c>
      <c r="CA166" s="257">
        <f>IF(CA$7="Actual","",c_Calculations!CA433)</f>
        <v/>
      </c>
    </row>
    <row r="167" ht="12" customHeight="1" s="227">
      <c r="A167" s="244" t="n"/>
      <c r="B167" s="244" t="n"/>
      <c r="C167" s="244" t="n"/>
      <c r="H167" s="0" t="inlineStr">
        <is>
          <t>Direct Expenses</t>
        </is>
      </c>
      <c r="I167" s="27">
        <f> i_Setup!$M$16</f>
        <v/>
      </c>
      <c r="M167" s="245">
        <f>SUMIF($T$4:$CA$4,M$4,$T167:$CA167)</f>
        <v/>
      </c>
      <c r="N167" s="245">
        <f>SUMIF($T$4:$CA$4,N$4,$T167:$CA167)</f>
        <v/>
      </c>
      <c r="O167" s="245">
        <f>SUMIF($T$4:$CA$4,O$4,$T167:$CA167)</f>
        <v/>
      </c>
      <c r="P167" s="245">
        <f>SUMIF($T$4:$CA$4,P$4,$T167:$CA167)</f>
        <v/>
      </c>
      <c r="Q167" s="245">
        <f>SUMIF($T$4:$CA$4,Q$4,$T167:$CA167)</f>
        <v/>
      </c>
      <c r="T167" s="257">
        <f>IF(T$7="Actual","",-c_Calculations!T258)</f>
        <v/>
      </c>
      <c r="U167" s="257">
        <f>IF(U$7="Actual","",-c_Calculations!U258)</f>
        <v/>
      </c>
      <c r="V167" s="257">
        <f>IF(V$7="Actual","",-c_Calculations!V258)</f>
        <v/>
      </c>
      <c r="W167" s="257">
        <f>IF(W$7="Actual","",-c_Calculations!W258)</f>
        <v/>
      </c>
      <c r="X167" s="257">
        <f>IF(X$7="Actual","",-c_Calculations!X258)</f>
        <v/>
      </c>
      <c r="Y167" s="257">
        <f>IF(Y$7="Actual","",-c_Calculations!Y258)</f>
        <v/>
      </c>
      <c r="Z167" s="257">
        <f>IF(Z$7="Actual","",-c_Calculations!Z258)</f>
        <v/>
      </c>
      <c r="AA167" s="257">
        <f>IF(AA$7="Actual","",-c_Calculations!AA258)</f>
        <v/>
      </c>
      <c r="AB167" s="257">
        <f>IF(AB$7="Actual","",-c_Calculations!AB258)</f>
        <v/>
      </c>
      <c r="AC167" s="257">
        <f>IF(AC$7="Actual","",-c_Calculations!AC258)</f>
        <v/>
      </c>
      <c r="AD167" s="257">
        <f>IF(AD$7="Actual","",-c_Calculations!AD258)</f>
        <v/>
      </c>
      <c r="AE167" s="257">
        <f>IF(AE$7="Actual","",-c_Calculations!AE258)</f>
        <v/>
      </c>
      <c r="AF167" s="257">
        <f>IF(AF$7="Actual","",-c_Calculations!AF258)</f>
        <v/>
      </c>
      <c r="AG167" s="257">
        <f>IF(AG$7="Actual","",-c_Calculations!AG258)</f>
        <v/>
      </c>
      <c r="AH167" s="257">
        <f>IF(AH$7="Actual","",-c_Calculations!AH258)</f>
        <v/>
      </c>
      <c r="AI167" s="257">
        <f>IF(AI$7="Actual","",-c_Calculations!AI258)</f>
        <v/>
      </c>
      <c r="AJ167" s="257">
        <f>IF(AJ$7="Actual","",-c_Calculations!AJ258)</f>
        <v/>
      </c>
      <c r="AK167" s="257">
        <f>IF(AK$7="Actual","",-c_Calculations!AK258)</f>
        <v/>
      </c>
      <c r="AL167" s="257">
        <f>IF(AL$7="Actual","",-c_Calculations!AL258)</f>
        <v/>
      </c>
      <c r="AM167" s="257">
        <f>IF(AM$7="Actual","",-c_Calculations!AM258)</f>
        <v/>
      </c>
      <c r="AN167" s="257">
        <f>IF(AN$7="Actual","",-c_Calculations!AN258)</f>
        <v/>
      </c>
      <c r="AO167" s="257">
        <f>IF(AO$7="Actual","",-c_Calculations!AO258)</f>
        <v/>
      </c>
      <c r="AP167" s="257">
        <f>IF(AP$7="Actual","",-c_Calculations!AP258)</f>
        <v/>
      </c>
      <c r="AQ167" s="257">
        <f>IF(AQ$7="Actual","",-c_Calculations!AQ258)</f>
        <v/>
      </c>
      <c r="AR167" s="257">
        <f>IF(AR$7="Actual","",-c_Calculations!AR258)</f>
        <v/>
      </c>
      <c r="AS167" s="257">
        <f>IF(AS$7="Actual","",-c_Calculations!AS258)</f>
        <v/>
      </c>
      <c r="AT167" s="257">
        <f>IF(AT$7="Actual","",-c_Calculations!AT258)</f>
        <v/>
      </c>
      <c r="AU167" s="257">
        <f>IF(AU$7="Actual","",-c_Calculations!AU258)</f>
        <v/>
      </c>
      <c r="AV167" s="257">
        <f>IF(AV$7="Actual","",-c_Calculations!AV258)</f>
        <v/>
      </c>
      <c r="AW167" s="257">
        <f>IF(AW$7="Actual","",-c_Calculations!AW258)</f>
        <v/>
      </c>
      <c r="AX167" s="257">
        <f>IF(AX$7="Actual","",-c_Calculations!AX258)</f>
        <v/>
      </c>
      <c r="AY167" s="257">
        <f>IF(AY$7="Actual","",-c_Calculations!AY258)</f>
        <v/>
      </c>
      <c r="AZ167" s="257">
        <f>IF(AZ$7="Actual","",-c_Calculations!AZ258)</f>
        <v/>
      </c>
      <c r="BA167" s="257">
        <f>IF(BA$7="Actual","",-c_Calculations!BA258)</f>
        <v/>
      </c>
      <c r="BB167" s="257">
        <f>IF(BB$7="Actual","",-c_Calculations!BB258)</f>
        <v/>
      </c>
      <c r="BC167" s="257">
        <f>IF(BC$7="Actual","",-c_Calculations!BC258)</f>
        <v/>
      </c>
      <c r="BD167" s="257">
        <f>IF(BD$7="Actual","",-c_Calculations!BD258)</f>
        <v/>
      </c>
      <c r="BE167" s="257">
        <f>IF(BE$7="Actual","",-c_Calculations!BE258)</f>
        <v/>
      </c>
      <c r="BF167" s="257">
        <f>IF(BF$7="Actual","",-c_Calculations!BF258)</f>
        <v/>
      </c>
      <c r="BG167" s="257">
        <f>IF(BG$7="Actual","",-c_Calculations!BG258)</f>
        <v/>
      </c>
      <c r="BH167" s="257">
        <f>IF(BH$7="Actual","",-c_Calculations!BH258)</f>
        <v/>
      </c>
      <c r="BI167" s="257">
        <f>IF(BI$7="Actual","",-c_Calculations!BI258)</f>
        <v/>
      </c>
      <c r="BJ167" s="257">
        <f>IF(BJ$7="Actual","",-c_Calculations!BJ258)</f>
        <v/>
      </c>
      <c r="BK167" s="257">
        <f>IF(BK$7="Actual","",-c_Calculations!BK258)</f>
        <v/>
      </c>
      <c r="BL167" s="257">
        <f>IF(BL$7="Actual","",-c_Calculations!BL258)</f>
        <v/>
      </c>
      <c r="BM167" s="257">
        <f>IF(BM$7="Actual","",-c_Calculations!BM258)</f>
        <v/>
      </c>
      <c r="BN167" s="257">
        <f>IF(BN$7="Actual","",-c_Calculations!BN258)</f>
        <v/>
      </c>
      <c r="BO167" s="257">
        <f>IF(BO$7="Actual","",-c_Calculations!BO258)</f>
        <v/>
      </c>
      <c r="BP167" s="257">
        <f>IF(BP$7="Actual","",-c_Calculations!BP258)</f>
        <v/>
      </c>
      <c r="BQ167" s="257">
        <f>IF(BQ$7="Actual","",-c_Calculations!BQ258)</f>
        <v/>
      </c>
      <c r="BR167" s="257">
        <f>IF(BR$7="Actual","",-c_Calculations!BR258)</f>
        <v/>
      </c>
      <c r="BS167" s="257">
        <f>IF(BS$7="Actual","",-c_Calculations!BS258)</f>
        <v/>
      </c>
      <c r="BT167" s="257">
        <f>IF(BT$7="Actual","",-c_Calculations!BT258)</f>
        <v/>
      </c>
      <c r="BU167" s="257">
        <f>IF(BU$7="Actual","",-c_Calculations!BU258)</f>
        <v/>
      </c>
      <c r="BV167" s="257">
        <f>IF(BV$7="Actual","",-c_Calculations!BV258)</f>
        <v/>
      </c>
      <c r="BW167" s="257">
        <f>IF(BW$7="Actual","",-c_Calculations!BW258)</f>
        <v/>
      </c>
      <c r="BX167" s="257">
        <f>IF(BX$7="Actual","",-c_Calculations!BX258)</f>
        <v/>
      </c>
      <c r="BY167" s="257">
        <f>IF(BY$7="Actual","",-c_Calculations!BY258)</f>
        <v/>
      </c>
      <c r="BZ167" s="257">
        <f>IF(BZ$7="Actual","",-c_Calculations!BZ258)</f>
        <v/>
      </c>
      <c r="CA167" s="257">
        <f>IF(CA$7="Actual","",-c_Calculations!CA258)</f>
        <v/>
      </c>
    </row>
    <row r="168" ht="12" customHeight="1" s="227">
      <c r="A168" s="244" t="n"/>
      <c r="B168" s="244" t="n"/>
      <c r="C168" s="244" t="n"/>
      <c r="H168" s="0" t="inlineStr">
        <is>
          <t>Non-Direct Staff Costs</t>
        </is>
      </c>
      <c r="I168" s="27">
        <f> i_Setup!$M$16</f>
        <v/>
      </c>
      <c r="M168" s="245">
        <f>SUMIF($T$4:$CA$4,M$4,$T168:$CA168)</f>
        <v/>
      </c>
      <c r="N168" s="245">
        <f>SUMIF($T$4:$CA$4,N$4,$T168:$CA168)</f>
        <v/>
      </c>
      <c r="O168" s="245">
        <f>SUMIF($T$4:$CA$4,O$4,$T168:$CA168)</f>
        <v/>
      </c>
      <c r="P168" s="245">
        <f>SUMIF($T$4:$CA$4,P$4,$T168:$CA168)</f>
        <v/>
      </c>
      <c r="Q168" s="245">
        <f>SUMIF($T$4:$CA$4,Q$4,$T168:$CA168)</f>
        <v/>
      </c>
      <c r="T168" s="257">
        <f>IF(T$7="Actual","",c_Calculations!T503)</f>
        <v/>
      </c>
      <c r="U168" s="257">
        <f>IF(U$7="Actual","",c_Calculations!U503)</f>
        <v/>
      </c>
      <c r="V168" s="257">
        <f>IF(V$7="Actual","",c_Calculations!V503)</f>
        <v/>
      </c>
      <c r="W168" s="257">
        <f>IF(W$7="Actual","",c_Calculations!W503)</f>
        <v/>
      </c>
      <c r="X168" s="257">
        <f>IF(X$7="Actual","",c_Calculations!X503)</f>
        <v/>
      </c>
      <c r="Y168" s="257">
        <f>IF(Y$7="Actual","",c_Calculations!Y503)</f>
        <v/>
      </c>
      <c r="Z168" s="257">
        <f>IF(Z$7="Actual","",c_Calculations!Z503)</f>
        <v/>
      </c>
      <c r="AA168" s="257">
        <f>IF(AA$7="Actual","",c_Calculations!AA503)</f>
        <v/>
      </c>
      <c r="AB168" s="257">
        <f>IF(AB$7="Actual","",c_Calculations!AB503)</f>
        <v/>
      </c>
      <c r="AC168" s="257">
        <f>IF(AC$7="Actual","",c_Calculations!AC503)</f>
        <v/>
      </c>
      <c r="AD168" s="257">
        <f>IF(AD$7="Actual","",c_Calculations!AD503)</f>
        <v/>
      </c>
      <c r="AE168" s="257">
        <f>IF(AE$7="Actual","",c_Calculations!AE503)</f>
        <v/>
      </c>
      <c r="AF168" s="257">
        <f>IF(AF$7="Actual","",c_Calculations!AF503)</f>
        <v/>
      </c>
      <c r="AG168" s="257">
        <f>IF(AG$7="Actual","",c_Calculations!AG503)</f>
        <v/>
      </c>
      <c r="AH168" s="257">
        <f>IF(AH$7="Actual","",c_Calculations!AH503)</f>
        <v/>
      </c>
      <c r="AI168" s="257">
        <f>IF(AI$7="Actual","",c_Calculations!AI503)</f>
        <v/>
      </c>
      <c r="AJ168" s="257">
        <f>IF(AJ$7="Actual","",c_Calculations!AJ503)</f>
        <v/>
      </c>
      <c r="AK168" s="257">
        <f>IF(AK$7="Actual","",c_Calculations!AK503)</f>
        <v/>
      </c>
      <c r="AL168" s="257">
        <f>IF(AL$7="Actual","",c_Calculations!AL503)</f>
        <v/>
      </c>
      <c r="AM168" s="257">
        <f>IF(AM$7="Actual","",c_Calculations!AM503)</f>
        <v/>
      </c>
      <c r="AN168" s="257">
        <f>IF(AN$7="Actual","",c_Calculations!AN503)</f>
        <v/>
      </c>
      <c r="AO168" s="257">
        <f>IF(AO$7="Actual","",c_Calculations!AO503)</f>
        <v/>
      </c>
      <c r="AP168" s="257">
        <f>IF(AP$7="Actual","",c_Calculations!AP503)</f>
        <v/>
      </c>
      <c r="AQ168" s="257">
        <f>IF(AQ$7="Actual","",c_Calculations!AQ503)</f>
        <v/>
      </c>
      <c r="AR168" s="257">
        <f>IF(AR$7="Actual","",c_Calculations!AR503)</f>
        <v/>
      </c>
      <c r="AS168" s="257">
        <f>IF(AS$7="Actual","",c_Calculations!AS503)</f>
        <v/>
      </c>
      <c r="AT168" s="257">
        <f>IF(AT$7="Actual","",c_Calculations!AT503)</f>
        <v/>
      </c>
      <c r="AU168" s="257">
        <f>IF(AU$7="Actual","",c_Calculations!AU503)</f>
        <v/>
      </c>
      <c r="AV168" s="257">
        <f>IF(AV$7="Actual","",c_Calculations!AV503)</f>
        <v/>
      </c>
      <c r="AW168" s="257">
        <f>IF(AW$7="Actual","",c_Calculations!AW503)</f>
        <v/>
      </c>
      <c r="AX168" s="257">
        <f>IF(AX$7="Actual","",c_Calculations!AX503)</f>
        <v/>
      </c>
      <c r="AY168" s="257">
        <f>IF(AY$7="Actual","",c_Calculations!AY503)</f>
        <v/>
      </c>
      <c r="AZ168" s="257">
        <f>IF(AZ$7="Actual","",c_Calculations!AZ503)</f>
        <v/>
      </c>
      <c r="BA168" s="257">
        <f>IF(BA$7="Actual","",c_Calculations!BA503)</f>
        <v/>
      </c>
      <c r="BB168" s="257">
        <f>IF(BB$7="Actual","",c_Calculations!BB503)</f>
        <v/>
      </c>
      <c r="BC168" s="257">
        <f>IF(BC$7="Actual","",c_Calculations!BC503)</f>
        <v/>
      </c>
      <c r="BD168" s="257">
        <f>IF(BD$7="Actual","",c_Calculations!BD503)</f>
        <v/>
      </c>
      <c r="BE168" s="257">
        <f>IF(BE$7="Actual","",c_Calculations!BE503)</f>
        <v/>
      </c>
      <c r="BF168" s="257">
        <f>IF(BF$7="Actual","",c_Calculations!BF503)</f>
        <v/>
      </c>
      <c r="BG168" s="257">
        <f>IF(BG$7="Actual","",c_Calculations!BG503)</f>
        <v/>
      </c>
      <c r="BH168" s="257">
        <f>IF(BH$7="Actual","",c_Calculations!BH503)</f>
        <v/>
      </c>
      <c r="BI168" s="257">
        <f>IF(BI$7="Actual","",c_Calculations!BI503)</f>
        <v/>
      </c>
      <c r="BJ168" s="257">
        <f>IF(BJ$7="Actual","",c_Calculations!BJ503)</f>
        <v/>
      </c>
      <c r="BK168" s="257">
        <f>IF(BK$7="Actual","",c_Calculations!BK503)</f>
        <v/>
      </c>
      <c r="BL168" s="257">
        <f>IF(BL$7="Actual","",c_Calculations!BL503)</f>
        <v/>
      </c>
      <c r="BM168" s="257">
        <f>IF(BM$7="Actual","",c_Calculations!BM503)</f>
        <v/>
      </c>
      <c r="BN168" s="257">
        <f>IF(BN$7="Actual","",c_Calculations!BN503)</f>
        <v/>
      </c>
      <c r="BO168" s="257">
        <f>IF(BO$7="Actual","",c_Calculations!BO503)</f>
        <v/>
      </c>
      <c r="BP168" s="257">
        <f>IF(BP$7="Actual","",c_Calculations!BP503)</f>
        <v/>
      </c>
      <c r="BQ168" s="257">
        <f>IF(BQ$7="Actual","",c_Calculations!BQ503)</f>
        <v/>
      </c>
      <c r="BR168" s="257">
        <f>IF(BR$7="Actual","",c_Calculations!BR503)</f>
        <v/>
      </c>
      <c r="BS168" s="257">
        <f>IF(BS$7="Actual","",c_Calculations!BS503)</f>
        <v/>
      </c>
      <c r="BT168" s="257">
        <f>IF(BT$7="Actual","",c_Calculations!BT503)</f>
        <v/>
      </c>
      <c r="BU168" s="257">
        <f>IF(BU$7="Actual","",c_Calculations!BU503)</f>
        <v/>
      </c>
      <c r="BV168" s="257">
        <f>IF(BV$7="Actual","",c_Calculations!BV503)</f>
        <v/>
      </c>
      <c r="BW168" s="257">
        <f>IF(BW$7="Actual","",c_Calculations!BW503)</f>
        <v/>
      </c>
      <c r="BX168" s="257">
        <f>IF(BX$7="Actual","",c_Calculations!BX503)</f>
        <v/>
      </c>
      <c r="BY168" s="257">
        <f>IF(BY$7="Actual","",c_Calculations!BY503)</f>
        <v/>
      </c>
      <c r="BZ168" s="257">
        <f>IF(BZ$7="Actual","",c_Calculations!BZ503)</f>
        <v/>
      </c>
      <c r="CA168" s="257">
        <f>IF(CA$7="Actual","",c_Calculations!CA503)</f>
        <v/>
      </c>
    </row>
    <row r="169" ht="12" customHeight="1" s="227">
      <c r="A169" s="244" t="n"/>
      <c r="B169" s="244" t="n"/>
      <c r="C169" s="244" t="n"/>
      <c r="H169" s="0" t="inlineStr">
        <is>
          <t>Marketing Costs</t>
        </is>
      </c>
      <c r="I169" s="27">
        <f> i_Setup!$M$16</f>
        <v/>
      </c>
      <c r="M169" s="245">
        <f>SUMIF($T$4:$CA$4,M$4,$T169:$CA169)</f>
        <v/>
      </c>
      <c r="N169" s="245">
        <f>SUMIF($T$4:$CA$4,N$4,$T169:$CA169)</f>
        <v/>
      </c>
      <c r="O169" s="245">
        <f>SUMIF($T$4:$CA$4,O$4,$T169:$CA169)</f>
        <v/>
      </c>
      <c r="P169" s="245">
        <f>SUMIF($T$4:$CA$4,P$4,$T169:$CA169)</f>
        <v/>
      </c>
      <c r="Q169" s="245">
        <f>SUMIF($T$4:$CA$4,Q$4,$T169:$CA169)</f>
        <v/>
      </c>
      <c r="T169" s="257">
        <f>IF(T$7="Actual","",c_Calculations!T525)</f>
        <v/>
      </c>
      <c r="U169" s="257">
        <f>IF(U$7="Actual","",c_Calculations!U525)</f>
        <v/>
      </c>
      <c r="V169" s="257">
        <f>IF(V$7="Actual","",c_Calculations!V525)</f>
        <v/>
      </c>
      <c r="W169" s="257">
        <f>IF(W$7="Actual","",c_Calculations!W525)</f>
        <v/>
      </c>
      <c r="X169" s="257">
        <f>IF(X$7="Actual","",c_Calculations!X525)</f>
        <v/>
      </c>
      <c r="Y169" s="257">
        <f>IF(Y$7="Actual","",c_Calculations!Y525)</f>
        <v/>
      </c>
      <c r="Z169" s="257">
        <f>IF(Z$7="Actual","",c_Calculations!Z525)</f>
        <v/>
      </c>
      <c r="AA169" s="257">
        <f>IF(AA$7="Actual","",c_Calculations!AA525)</f>
        <v/>
      </c>
      <c r="AB169" s="257">
        <f>IF(AB$7="Actual","",c_Calculations!AB525)</f>
        <v/>
      </c>
      <c r="AC169" s="257">
        <f>IF(AC$7="Actual","",c_Calculations!AC525)</f>
        <v/>
      </c>
      <c r="AD169" s="257">
        <f>IF(AD$7="Actual","",c_Calculations!AD525)</f>
        <v/>
      </c>
      <c r="AE169" s="257">
        <f>IF(AE$7="Actual","",c_Calculations!AE525)</f>
        <v/>
      </c>
      <c r="AF169" s="257">
        <f>IF(AF$7="Actual","",c_Calculations!AF525)</f>
        <v/>
      </c>
      <c r="AG169" s="257">
        <f>IF(AG$7="Actual","",c_Calculations!AG525)</f>
        <v/>
      </c>
      <c r="AH169" s="257">
        <f>IF(AH$7="Actual","",c_Calculations!AH525)</f>
        <v/>
      </c>
      <c r="AI169" s="257">
        <f>IF(AI$7="Actual","",c_Calculations!AI525)</f>
        <v/>
      </c>
      <c r="AJ169" s="257">
        <f>IF(AJ$7="Actual","",c_Calculations!AJ525)</f>
        <v/>
      </c>
      <c r="AK169" s="257">
        <f>IF(AK$7="Actual","",c_Calculations!AK525)</f>
        <v/>
      </c>
      <c r="AL169" s="257">
        <f>IF(AL$7="Actual","",c_Calculations!AL525)</f>
        <v/>
      </c>
      <c r="AM169" s="257">
        <f>IF(AM$7="Actual","",c_Calculations!AM525)</f>
        <v/>
      </c>
      <c r="AN169" s="257">
        <f>IF(AN$7="Actual","",c_Calculations!AN525)</f>
        <v/>
      </c>
      <c r="AO169" s="257">
        <f>IF(AO$7="Actual","",c_Calculations!AO525)</f>
        <v/>
      </c>
      <c r="AP169" s="257">
        <f>IF(AP$7="Actual","",c_Calculations!AP525)</f>
        <v/>
      </c>
      <c r="AQ169" s="257">
        <f>IF(AQ$7="Actual","",c_Calculations!AQ525)</f>
        <v/>
      </c>
      <c r="AR169" s="257">
        <f>IF(AR$7="Actual","",c_Calculations!AR525)</f>
        <v/>
      </c>
      <c r="AS169" s="257">
        <f>IF(AS$7="Actual","",c_Calculations!AS525)</f>
        <v/>
      </c>
      <c r="AT169" s="257">
        <f>IF(AT$7="Actual","",c_Calculations!AT525)</f>
        <v/>
      </c>
      <c r="AU169" s="257">
        <f>IF(AU$7="Actual","",c_Calculations!AU525)</f>
        <v/>
      </c>
      <c r="AV169" s="257">
        <f>IF(AV$7="Actual","",c_Calculations!AV525)</f>
        <v/>
      </c>
      <c r="AW169" s="257">
        <f>IF(AW$7="Actual","",c_Calculations!AW525)</f>
        <v/>
      </c>
      <c r="AX169" s="257">
        <f>IF(AX$7="Actual","",c_Calculations!AX525)</f>
        <v/>
      </c>
      <c r="AY169" s="257">
        <f>IF(AY$7="Actual","",c_Calculations!AY525)</f>
        <v/>
      </c>
      <c r="AZ169" s="257">
        <f>IF(AZ$7="Actual","",c_Calculations!AZ525)</f>
        <v/>
      </c>
      <c r="BA169" s="257">
        <f>IF(BA$7="Actual","",c_Calculations!BA525)</f>
        <v/>
      </c>
      <c r="BB169" s="257">
        <f>IF(BB$7="Actual","",c_Calculations!BB525)</f>
        <v/>
      </c>
      <c r="BC169" s="257">
        <f>IF(BC$7="Actual","",c_Calculations!BC525)</f>
        <v/>
      </c>
      <c r="BD169" s="257">
        <f>IF(BD$7="Actual","",c_Calculations!BD525)</f>
        <v/>
      </c>
      <c r="BE169" s="257">
        <f>IF(BE$7="Actual","",c_Calculations!BE525)</f>
        <v/>
      </c>
      <c r="BF169" s="257">
        <f>IF(BF$7="Actual","",c_Calculations!BF525)</f>
        <v/>
      </c>
      <c r="BG169" s="257">
        <f>IF(BG$7="Actual","",c_Calculations!BG525)</f>
        <v/>
      </c>
      <c r="BH169" s="257">
        <f>IF(BH$7="Actual","",c_Calculations!BH525)</f>
        <v/>
      </c>
      <c r="BI169" s="257">
        <f>IF(BI$7="Actual","",c_Calculations!BI525)</f>
        <v/>
      </c>
      <c r="BJ169" s="257">
        <f>IF(BJ$7="Actual","",c_Calculations!BJ525)</f>
        <v/>
      </c>
      <c r="BK169" s="257">
        <f>IF(BK$7="Actual","",c_Calculations!BK525)</f>
        <v/>
      </c>
      <c r="BL169" s="257">
        <f>IF(BL$7="Actual","",c_Calculations!BL525)</f>
        <v/>
      </c>
      <c r="BM169" s="257">
        <f>IF(BM$7="Actual","",c_Calculations!BM525)</f>
        <v/>
      </c>
      <c r="BN169" s="257">
        <f>IF(BN$7="Actual","",c_Calculations!BN525)</f>
        <v/>
      </c>
      <c r="BO169" s="257">
        <f>IF(BO$7="Actual","",c_Calculations!BO525)</f>
        <v/>
      </c>
      <c r="BP169" s="257">
        <f>IF(BP$7="Actual","",c_Calculations!BP525)</f>
        <v/>
      </c>
      <c r="BQ169" s="257">
        <f>IF(BQ$7="Actual","",c_Calculations!BQ525)</f>
        <v/>
      </c>
      <c r="BR169" s="257">
        <f>IF(BR$7="Actual","",c_Calculations!BR525)</f>
        <v/>
      </c>
      <c r="BS169" s="257">
        <f>IF(BS$7="Actual","",c_Calculations!BS525)</f>
        <v/>
      </c>
      <c r="BT169" s="257">
        <f>IF(BT$7="Actual","",c_Calculations!BT525)</f>
        <v/>
      </c>
      <c r="BU169" s="257">
        <f>IF(BU$7="Actual","",c_Calculations!BU525)</f>
        <v/>
      </c>
      <c r="BV169" s="257">
        <f>IF(BV$7="Actual","",c_Calculations!BV525)</f>
        <v/>
      </c>
      <c r="BW169" s="257">
        <f>IF(BW$7="Actual","",c_Calculations!BW525)</f>
        <v/>
      </c>
      <c r="BX169" s="257">
        <f>IF(BX$7="Actual","",c_Calculations!BX525)</f>
        <v/>
      </c>
      <c r="BY169" s="257">
        <f>IF(BY$7="Actual","",c_Calculations!BY525)</f>
        <v/>
      </c>
      <c r="BZ169" s="257">
        <f>IF(BZ$7="Actual","",c_Calculations!BZ525)</f>
        <v/>
      </c>
      <c r="CA169" s="257">
        <f>IF(CA$7="Actual","",c_Calculations!CA525)</f>
        <v/>
      </c>
    </row>
    <row r="170" ht="12" customHeight="1" s="227">
      <c r="A170" s="244" t="n"/>
      <c r="B170" s="244" t="n"/>
      <c r="C170" s="244" t="n"/>
      <c r="H170" s="0" t="inlineStr">
        <is>
          <t>Other Expenses</t>
        </is>
      </c>
      <c r="I170" s="27">
        <f> i_Setup!$M$16</f>
        <v/>
      </c>
      <c r="M170" s="245">
        <f>SUMIF($T$4:$CA$4,M$4,$T170:$CA170)</f>
        <v/>
      </c>
      <c r="N170" s="245">
        <f>SUMIF($T$4:$CA$4,N$4,$T170:$CA170)</f>
        <v/>
      </c>
      <c r="O170" s="245">
        <f>SUMIF($T$4:$CA$4,O$4,$T170:$CA170)</f>
        <v/>
      </c>
      <c r="P170" s="245">
        <f>SUMIF($T$4:$CA$4,P$4,$T170:$CA170)</f>
        <v/>
      </c>
      <c r="Q170" s="245">
        <f>SUMIF($T$4:$CA$4,Q$4,$T170:$CA170)</f>
        <v/>
      </c>
      <c r="T170" s="257">
        <f>IF(T$7="Actual","",c_Calculations!T567)</f>
        <v/>
      </c>
      <c r="U170" s="257">
        <f>IF(U$7="Actual","",c_Calculations!U567)</f>
        <v/>
      </c>
      <c r="V170" s="257">
        <f>IF(V$7="Actual","",c_Calculations!V567)</f>
        <v/>
      </c>
      <c r="W170" s="257">
        <f>IF(W$7="Actual","",c_Calculations!W567)</f>
        <v/>
      </c>
      <c r="X170" s="257">
        <f>IF(X$7="Actual","",c_Calculations!X567)</f>
        <v/>
      </c>
      <c r="Y170" s="257">
        <f>IF(Y$7="Actual","",c_Calculations!Y567)</f>
        <v/>
      </c>
      <c r="Z170" s="257">
        <f>IF(Z$7="Actual","",c_Calculations!Z567)</f>
        <v/>
      </c>
      <c r="AA170" s="257">
        <f>IF(AA$7="Actual","",c_Calculations!AA567)</f>
        <v/>
      </c>
      <c r="AB170" s="257">
        <f>IF(AB$7="Actual","",c_Calculations!AB567)</f>
        <v/>
      </c>
      <c r="AC170" s="257">
        <f>IF(AC$7="Actual","",c_Calculations!AC567)</f>
        <v/>
      </c>
      <c r="AD170" s="257">
        <f>IF(AD$7="Actual","",c_Calculations!AD567)</f>
        <v/>
      </c>
      <c r="AE170" s="257">
        <f>IF(AE$7="Actual","",c_Calculations!AE567)</f>
        <v/>
      </c>
      <c r="AF170" s="257">
        <f>IF(AF$7="Actual","",c_Calculations!AF567)</f>
        <v/>
      </c>
      <c r="AG170" s="257">
        <f>IF(AG$7="Actual","",c_Calculations!AG567)</f>
        <v/>
      </c>
      <c r="AH170" s="257">
        <f>IF(AH$7="Actual","",c_Calculations!AH567)</f>
        <v/>
      </c>
      <c r="AI170" s="257">
        <f>IF(AI$7="Actual","",c_Calculations!AI567)</f>
        <v/>
      </c>
      <c r="AJ170" s="257">
        <f>IF(AJ$7="Actual","",c_Calculations!AJ567)</f>
        <v/>
      </c>
      <c r="AK170" s="257">
        <f>IF(AK$7="Actual","",c_Calculations!AK567)</f>
        <v/>
      </c>
      <c r="AL170" s="257">
        <f>IF(AL$7="Actual","",c_Calculations!AL567)</f>
        <v/>
      </c>
      <c r="AM170" s="257">
        <f>IF(AM$7="Actual","",c_Calculations!AM567)</f>
        <v/>
      </c>
      <c r="AN170" s="257">
        <f>IF(AN$7="Actual","",c_Calculations!AN567)</f>
        <v/>
      </c>
      <c r="AO170" s="257">
        <f>IF(AO$7="Actual","",c_Calculations!AO567)</f>
        <v/>
      </c>
      <c r="AP170" s="257">
        <f>IF(AP$7="Actual","",c_Calculations!AP567)</f>
        <v/>
      </c>
      <c r="AQ170" s="257">
        <f>IF(AQ$7="Actual","",c_Calculations!AQ567)</f>
        <v/>
      </c>
      <c r="AR170" s="257">
        <f>IF(AR$7="Actual","",c_Calculations!AR567)</f>
        <v/>
      </c>
      <c r="AS170" s="257">
        <f>IF(AS$7="Actual","",c_Calculations!AS567)</f>
        <v/>
      </c>
      <c r="AT170" s="257">
        <f>IF(AT$7="Actual","",c_Calculations!AT567)</f>
        <v/>
      </c>
      <c r="AU170" s="257">
        <f>IF(AU$7="Actual","",c_Calculations!AU567)</f>
        <v/>
      </c>
      <c r="AV170" s="257">
        <f>IF(AV$7="Actual","",c_Calculations!AV567)</f>
        <v/>
      </c>
      <c r="AW170" s="257">
        <f>IF(AW$7="Actual","",c_Calculations!AW567)</f>
        <v/>
      </c>
      <c r="AX170" s="257">
        <f>IF(AX$7="Actual","",c_Calculations!AX567)</f>
        <v/>
      </c>
      <c r="AY170" s="257">
        <f>IF(AY$7="Actual","",c_Calculations!AY567)</f>
        <v/>
      </c>
      <c r="AZ170" s="257">
        <f>IF(AZ$7="Actual","",c_Calculations!AZ567)</f>
        <v/>
      </c>
      <c r="BA170" s="257">
        <f>IF(BA$7="Actual","",c_Calculations!BA567)</f>
        <v/>
      </c>
      <c r="BB170" s="257">
        <f>IF(BB$7="Actual","",c_Calculations!BB567)</f>
        <v/>
      </c>
      <c r="BC170" s="257">
        <f>IF(BC$7="Actual","",c_Calculations!BC567)</f>
        <v/>
      </c>
      <c r="BD170" s="257">
        <f>IF(BD$7="Actual","",c_Calculations!BD567)</f>
        <v/>
      </c>
      <c r="BE170" s="257">
        <f>IF(BE$7="Actual","",c_Calculations!BE567)</f>
        <v/>
      </c>
      <c r="BF170" s="257">
        <f>IF(BF$7="Actual","",c_Calculations!BF567)</f>
        <v/>
      </c>
      <c r="BG170" s="257">
        <f>IF(BG$7="Actual","",c_Calculations!BG567)</f>
        <v/>
      </c>
      <c r="BH170" s="257">
        <f>IF(BH$7="Actual","",c_Calculations!BH567)</f>
        <v/>
      </c>
      <c r="BI170" s="257">
        <f>IF(BI$7="Actual","",c_Calculations!BI567)</f>
        <v/>
      </c>
      <c r="BJ170" s="257">
        <f>IF(BJ$7="Actual","",c_Calculations!BJ567)</f>
        <v/>
      </c>
      <c r="BK170" s="257">
        <f>IF(BK$7="Actual","",c_Calculations!BK567)</f>
        <v/>
      </c>
      <c r="BL170" s="257">
        <f>IF(BL$7="Actual","",c_Calculations!BL567)</f>
        <v/>
      </c>
      <c r="BM170" s="257">
        <f>IF(BM$7="Actual","",c_Calculations!BM567)</f>
        <v/>
      </c>
      <c r="BN170" s="257">
        <f>IF(BN$7="Actual","",c_Calculations!BN567)</f>
        <v/>
      </c>
      <c r="BO170" s="257">
        <f>IF(BO$7="Actual","",c_Calculations!BO567)</f>
        <v/>
      </c>
      <c r="BP170" s="257">
        <f>IF(BP$7="Actual","",c_Calculations!BP567)</f>
        <v/>
      </c>
      <c r="BQ170" s="257">
        <f>IF(BQ$7="Actual","",c_Calculations!BQ567)</f>
        <v/>
      </c>
      <c r="BR170" s="257">
        <f>IF(BR$7="Actual","",c_Calculations!BR567)</f>
        <v/>
      </c>
      <c r="BS170" s="257">
        <f>IF(BS$7="Actual","",c_Calculations!BS567)</f>
        <v/>
      </c>
      <c r="BT170" s="257">
        <f>IF(BT$7="Actual","",c_Calculations!BT567)</f>
        <v/>
      </c>
      <c r="BU170" s="257">
        <f>IF(BU$7="Actual","",c_Calculations!BU567)</f>
        <v/>
      </c>
      <c r="BV170" s="257">
        <f>IF(BV$7="Actual","",c_Calculations!BV567)</f>
        <v/>
      </c>
      <c r="BW170" s="257">
        <f>IF(BW$7="Actual","",c_Calculations!BW567)</f>
        <v/>
      </c>
      <c r="BX170" s="257">
        <f>IF(BX$7="Actual","",c_Calculations!BX567)</f>
        <v/>
      </c>
      <c r="BY170" s="257">
        <f>IF(BY$7="Actual","",c_Calculations!BY567)</f>
        <v/>
      </c>
      <c r="BZ170" s="257">
        <f>IF(BZ$7="Actual","",c_Calculations!BZ567)</f>
        <v/>
      </c>
      <c r="CA170" s="257">
        <f>IF(CA$7="Actual","",c_Calculations!CA567)</f>
        <v/>
      </c>
    </row>
    <row r="171" ht="12" customHeight="1" s="227">
      <c r="A171" s="244" t="n"/>
      <c r="B171" s="244" t="n"/>
      <c r="C171" s="244" t="n"/>
      <c r="H171" s="0" t="inlineStr">
        <is>
          <t>Sales Tax Payments / Refunds</t>
        </is>
      </c>
      <c r="I171" s="27">
        <f> i_Setup!$M$16</f>
        <v/>
      </c>
      <c r="M171" s="245">
        <f>SUMIF($T$4:$CA$4,M$4,$T171:$CA171)</f>
        <v/>
      </c>
      <c r="N171" s="245">
        <f>SUMIF($T$4:$CA$4,N$4,$T171:$CA171)</f>
        <v/>
      </c>
      <c r="O171" s="245">
        <f>SUMIF($T$4:$CA$4,O$4,$T171:$CA171)</f>
        <v/>
      </c>
      <c r="P171" s="245">
        <f>SUMIF($T$4:$CA$4,P$4,$T171:$CA171)</f>
        <v/>
      </c>
      <c r="Q171" s="245">
        <f>SUMIF($T$4:$CA$4,Q$4,$T171:$CA171)</f>
        <v/>
      </c>
      <c r="T171" s="257">
        <f>IF(T$7="Actual","",-SUM(c_Calculations!T917:T918))</f>
        <v/>
      </c>
      <c r="U171" s="257">
        <f>IF(U$7="Actual","",-SUM(c_Calculations!U917:U918))</f>
        <v/>
      </c>
      <c r="V171" s="257">
        <f>IF(V$7="Actual","",-SUM(c_Calculations!V917:V918))</f>
        <v/>
      </c>
      <c r="W171" s="257">
        <f>IF(W$7="Actual","",-SUM(c_Calculations!W917:W918))</f>
        <v/>
      </c>
      <c r="X171" s="257">
        <f>IF(X$7="Actual","",-SUM(c_Calculations!X917:X918))</f>
        <v/>
      </c>
      <c r="Y171" s="257">
        <f>IF(Y$7="Actual","",-SUM(c_Calculations!Y917:Y918))</f>
        <v/>
      </c>
      <c r="Z171" s="257">
        <f>IF(Z$7="Actual","",-SUM(c_Calculations!Z917:Z918))</f>
        <v/>
      </c>
      <c r="AA171" s="257">
        <f>IF(AA$7="Actual","",-SUM(c_Calculations!AA917:AA918))</f>
        <v/>
      </c>
      <c r="AB171" s="257">
        <f>IF(AB$7="Actual","",-SUM(c_Calculations!AB917:AB918))</f>
        <v/>
      </c>
      <c r="AC171" s="257">
        <f>IF(AC$7="Actual","",-SUM(c_Calculations!AC917:AC918))</f>
        <v/>
      </c>
      <c r="AD171" s="257">
        <f>IF(AD$7="Actual","",-SUM(c_Calculations!AD917:AD918))</f>
        <v/>
      </c>
      <c r="AE171" s="257">
        <f>IF(AE$7="Actual","",-SUM(c_Calculations!AE917:AE918))</f>
        <v/>
      </c>
      <c r="AF171" s="257">
        <f>IF(AF$7="Actual","",-SUM(c_Calculations!AF917:AF918))</f>
        <v/>
      </c>
      <c r="AG171" s="257">
        <f>IF(AG$7="Actual","",-SUM(c_Calculations!AG917:AG918))</f>
        <v/>
      </c>
      <c r="AH171" s="257">
        <f>IF(AH$7="Actual","",-SUM(c_Calculations!AH917:AH918))</f>
        <v/>
      </c>
      <c r="AI171" s="257">
        <f>IF(AI$7="Actual","",-SUM(c_Calculations!AI917:AI918))</f>
        <v/>
      </c>
      <c r="AJ171" s="257">
        <f>IF(AJ$7="Actual","",-SUM(c_Calculations!AJ917:AJ918))</f>
        <v/>
      </c>
      <c r="AK171" s="257">
        <f>IF(AK$7="Actual","",-SUM(c_Calculations!AK917:AK918))</f>
        <v/>
      </c>
      <c r="AL171" s="257">
        <f>IF(AL$7="Actual","",-SUM(c_Calculations!AL917:AL918))</f>
        <v/>
      </c>
      <c r="AM171" s="257">
        <f>IF(AM$7="Actual","",-SUM(c_Calculations!AM917:AM918))</f>
        <v/>
      </c>
      <c r="AN171" s="257">
        <f>IF(AN$7="Actual","",-SUM(c_Calculations!AN917:AN918))</f>
        <v/>
      </c>
      <c r="AO171" s="257">
        <f>IF(AO$7="Actual","",-SUM(c_Calculations!AO917:AO918))</f>
        <v/>
      </c>
      <c r="AP171" s="257">
        <f>IF(AP$7="Actual","",-SUM(c_Calculations!AP917:AP918))</f>
        <v/>
      </c>
      <c r="AQ171" s="257">
        <f>IF(AQ$7="Actual","",-SUM(c_Calculations!AQ917:AQ918))</f>
        <v/>
      </c>
      <c r="AR171" s="257">
        <f>IF(AR$7="Actual","",-SUM(c_Calculations!AR917:AR918))</f>
        <v/>
      </c>
      <c r="AS171" s="257">
        <f>IF(AS$7="Actual","",-SUM(c_Calculations!AS917:AS918))</f>
        <v/>
      </c>
      <c r="AT171" s="257">
        <f>IF(AT$7="Actual","",-SUM(c_Calculations!AT917:AT918))</f>
        <v/>
      </c>
      <c r="AU171" s="257">
        <f>IF(AU$7="Actual","",-SUM(c_Calculations!AU917:AU918))</f>
        <v/>
      </c>
      <c r="AV171" s="257">
        <f>IF(AV$7="Actual","",-SUM(c_Calculations!AV917:AV918))</f>
        <v/>
      </c>
      <c r="AW171" s="257">
        <f>IF(AW$7="Actual","",-SUM(c_Calculations!AW917:AW918))</f>
        <v/>
      </c>
      <c r="AX171" s="257">
        <f>IF(AX$7="Actual","",-SUM(c_Calculations!AX917:AX918))</f>
        <v/>
      </c>
      <c r="AY171" s="257">
        <f>IF(AY$7="Actual","",-SUM(c_Calculations!AY917:AY918))</f>
        <v/>
      </c>
      <c r="AZ171" s="257">
        <f>IF(AZ$7="Actual","",-SUM(c_Calculations!AZ917:AZ918))</f>
        <v/>
      </c>
      <c r="BA171" s="257">
        <f>IF(BA$7="Actual","",-SUM(c_Calculations!BA917:BA918))</f>
        <v/>
      </c>
      <c r="BB171" s="257">
        <f>IF(BB$7="Actual","",-SUM(c_Calculations!BB917:BB918))</f>
        <v/>
      </c>
      <c r="BC171" s="257">
        <f>IF(BC$7="Actual","",-SUM(c_Calculations!BC917:BC918))</f>
        <v/>
      </c>
      <c r="BD171" s="257">
        <f>IF(BD$7="Actual","",-SUM(c_Calculations!BD917:BD918))</f>
        <v/>
      </c>
      <c r="BE171" s="257">
        <f>IF(BE$7="Actual","",-SUM(c_Calculations!BE917:BE918))</f>
        <v/>
      </c>
      <c r="BF171" s="257">
        <f>IF(BF$7="Actual","",-SUM(c_Calculations!BF917:BF918))</f>
        <v/>
      </c>
      <c r="BG171" s="257">
        <f>IF(BG$7="Actual","",-SUM(c_Calculations!BG917:BG918))</f>
        <v/>
      </c>
      <c r="BH171" s="257">
        <f>IF(BH$7="Actual","",-SUM(c_Calculations!BH917:BH918))</f>
        <v/>
      </c>
      <c r="BI171" s="257">
        <f>IF(BI$7="Actual","",-SUM(c_Calculations!BI917:BI918))</f>
        <v/>
      </c>
      <c r="BJ171" s="257">
        <f>IF(BJ$7="Actual","",-SUM(c_Calculations!BJ917:BJ918))</f>
        <v/>
      </c>
      <c r="BK171" s="257">
        <f>IF(BK$7="Actual","",-SUM(c_Calculations!BK917:BK918))</f>
        <v/>
      </c>
      <c r="BL171" s="257">
        <f>IF(BL$7="Actual","",-SUM(c_Calculations!BL917:BL918))</f>
        <v/>
      </c>
      <c r="BM171" s="257">
        <f>IF(BM$7="Actual","",-SUM(c_Calculations!BM917:BM918))</f>
        <v/>
      </c>
      <c r="BN171" s="257">
        <f>IF(BN$7="Actual","",-SUM(c_Calculations!BN917:BN918))</f>
        <v/>
      </c>
      <c r="BO171" s="257">
        <f>IF(BO$7="Actual","",-SUM(c_Calculations!BO917:BO918))</f>
        <v/>
      </c>
      <c r="BP171" s="257">
        <f>IF(BP$7="Actual","",-SUM(c_Calculations!BP917:BP918))</f>
        <v/>
      </c>
      <c r="BQ171" s="257">
        <f>IF(BQ$7="Actual","",-SUM(c_Calculations!BQ917:BQ918))</f>
        <v/>
      </c>
      <c r="BR171" s="257">
        <f>IF(BR$7="Actual","",-SUM(c_Calculations!BR917:BR918))</f>
        <v/>
      </c>
      <c r="BS171" s="257">
        <f>IF(BS$7="Actual","",-SUM(c_Calculations!BS917:BS918))</f>
        <v/>
      </c>
      <c r="BT171" s="257">
        <f>IF(BT$7="Actual","",-SUM(c_Calculations!BT917:BT918))</f>
        <v/>
      </c>
      <c r="BU171" s="257">
        <f>IF(BU$7="Actual","",-SUM(c_Calculations!BU917:BU918))</f>
        <v/>
      </c>
      <c r="BV171" s="257">
        <f>IF(BV$7="Actual","",-SUM(c_Calculations!BV917:BV918))</f>
        <v/>
      </c>
      <c r="BW171" s="257">
        <f>IF(BW$7="Actual","",-SUM(c_Calculations!BW917:BW918))</f>
        <v/>
      </c>
      <c r="BX171" s="257">
        <f>IF(BX$7="Actual","",-SUM(c_Calculations!BX917:BX918))</f>
        <v/>
      </c>
      <c r="BY171" s="257">
        <f>IF(BY$7="Actual","",-SUM(c_Calculations!BY917:BY918))</f>
        <v/>
      </c>
      <c r="BZ171" s="257">
        <f>IF(BZ$7="Actual","",-SUM(c_Calculations!BZ917:BZ918))</f>
        <v/>
      </c>
      <c r="CA171" s="257">
        <f>IF(CA$7="Actual","",-SUM(c_Calculations!CA917:CA918))</f>
        <v/>
      </c>
    </row>
    <row r="172" ht="12" customHeight="1" s="227">
      <c r="A172" s="244" t="n"/>
      <c r="B172" s="244" t="n"/>
      <c r="C172" s="244" t="n"/>
      <c r="H172" s="0" t="inlineStr">
        <is>
          <t>Corporate Tax Payments</t>
        </is>
      </c>
      <c r="I172" s="27">
        <f> i_Setup!$M$16</f>
        <v/>
      </c>
      <c r="M172" s="245">
        <f>SUMIF($T$4:$CA$4,M$4,$T172:$CA172)</f>
        <v/>
      </c>
      <c r="N172" s="245">
        <f>SUMIF($T$4:$CA$4,N$4,$T172:$CA172)</f>
        <v/>
      </c>
      <c r="O172" s="245">
        <f>SUMIF($T$4:$CA$4,O$4,$T172:$CA172)</f>
        <v/>
      </c>
      <c r="P172" s="245">
        <f>SUMIF($T$4:$CA$4,P$4,$T172:$CA172)</f>
        <v/>
      </c>
      <c r="Q172" s="245">
        <f>SUMIF($T$4:$CA$4,Q$4,$T172:$CA172)</f>
        <v/>
      </c>
      <c r="T172" s="257">
        <f>IF(T$7="Actual","",-SUM(c_Calculations!T610:T611))</f>
        <v/>
      </c>
      <c r="U172" s="257">
        <f>IF(U$7="Actual","",-SUM(c_Calculations!U610:U611))</f>
        <v/>
      </c>
      <c r="V172" s="257">
        <f>IF(V$7="Actual","",-SUM(c_Calculations!V610:V611))</f>
        <v/>
      </c>
      <c r="W172" s="257">
        <f>IF(W$7="Actual","",-SUM(c_Calculations!W610:W611))</f>
        <v/>
      </c>
      <c r="X172" s="257">
        <f>IF(X$7="Actual","",-SUM(c_Calculations!X610:X611))</f>
        <v/>
      </c>
      <c r="Y172" s="257">
        <f>IF(Y$7="Actual","",-SUM(c_Calculations!Y610:Y611))</f>
        <v/>
      </c>
      <c r="Z172" s="257">
        <f>IF(Z$7="Actual","",-SUM(c_Calculations!Z610:Z611))</f>
        <v/>
      </c>
      <c r="AA172" s="257">
        <f>IF(AA$7="Actual","",-SUM(c_Calculations!AA610:AA611))</f>
        <v/>
      </c>
      <c r="AB172" s="257">
        <f>IF(AB$7="Actual","",-SUM(c_Calculations!AB610:AB611))</f>
        <v/>
      </c>
      <c r="AC172" s="257">
        <f>IF(AC$7="Actual","",-SUM(c_Calculations!AC610:AC611))</f>
        <v/>
      </c>
      <c r="AD172" s="257">
        <f>IF(AD$7="Actual","",-SUM(c_Calculations!AD610:AD611))</f>
        <v/>
      </c>
      <c r="AE172" s="257">
        <f>IF(AE$7="Actual","",-SUM(c_Calculations!AE610:AE611))</f>
        <v/>
      </c>
      <c r="AF172" s="257">
        <f>IF(AF$7="Actual","",-SUM(c_Calculations!AF610:AF611))</f>
        <v/>
      </c>
      <c r="AG172" s="257">
        <f>IF(AG$7="Actual","",-SUM(c_Calculations!AG610:AG611))</f>
        <v/>
      </c>
      <c r="AH172" s="257">
        <f>IF(AH$7="Actual","",-SUM(c_Calculations!AH610:AH611))</f>
        <v/>
      </c>
      <c r="AI172" s="257">
        <f>IF(AI$7="Actual","",-SUM(c_Calculations!AI610:AI611))</f>
        <v/>
      </c>
      <c r="AJ172" s="257">
        <f>IF(AJ$7="Actual","",-SUM(c_Calculations!AJ610:AJ611))</f>
        <v/>
      </c>
      <c r="AK172" s="257">
        <f>IF(AK$7="Actual","",-SUM(c_Calculations!AK610:AK611))</f>
        <v/>
      </c>
      <c r="AL172" s="257">
        <f>IF(AL$7="Actual","",-SUM(c_Calculations!AL610:AL611))</f>
        <v/>
      </c>
      <c r="AM172" s="257">
        <f>IF(AM$7="Actual","",-SUM(c_Calculations!AM610:AM611))</f>
        <v/>
      </c>
      <c r="AN172" s="257">
        <f>IF(AN$7="Actual","",-SUM(c_Calculations!AN610:AN611))</f>
        <v/>
      </c>
      <c r="AO172" s="257">
        <f>IF(AO$7="Actual","",-SUM(c_Calculations!AO610:AO611))</f>
        <v/>
      </c>
      <c r="AP172" s="257">
        <f>IF(AP$7="Actual","",-SUM(c_Calculations!AP610:AP611))</f>
        <v/>
      </c>
      <c r="AQ172" s="257">
        <f>IF(AQ$7="Actual","",-SUM(c_Calculations!AQ610:AQ611))</f>
        <v/>
      </c>
      <c r="AR172" s="257">
        <f>IF(AR$7="Actual","",-SUM(c_Calculations!AR610:AR611))</f>
        <v/>
      </c>
      <c r="AS172" s="257">
        <f>IF(AS$7="Actual","",-SUM(c_Calculations!AS610:AS611))</f>
        <v/>
      </c>
      <c r="AT172" s="257">
        <f>IF(AT$7="Actual","",-SUM(c_Calculations!AT610:AT611))</f>
        <v/>
      </c>
      <c r="AU172" s="257">
        <f>IF(AU$7="Actual","",-SUM(c_Calculations!AU610:AU611))</f>
        <v/>
      </c>
      <c r="AV172" s="257">
        <f>IF(AV$7="Actual","",-SUM(c_Calculations!AV610:AV611))</f>
        <v/>
      </c>
      <c r="AW172" s="257">
        <f>IF(AW$7="Actual","",-SUM(c_Calculations!AW610:AW611))</f>
        <v/>
      </c>
      <c r="AX172" s="257">
        <f>IF(AX$7="Actual","",-SUM(c_Calculations!AX610:AX611))</f>
        <v/>
      </c>
      <c r="AY172" s="257">
        <f>IF(AY$7="Actual","",-SUM(c_Calculations!AY610:AY611))</f>
        <v/>
      </c>
      <c r="AZ172" s="257">
        <f>IF(AZ$7="Actual","",-SUM(c_Calculations!AZ610:AZ611))</f>
        <v/>
      </c>
      <c r="BA172" s="257">
        <f>IF(BA$7="Actual","",-SUM(c_Calculations!BA610:BA611))</f>
        <v/>
      </c>
      <c r="BB172" s="257">
        <f>IF(BB$7="Actual","",-SUM(c_Calculations!BB610:BB611))</f>
        <v/>
      </c>
      <c r="BC172" s="257">
        <f>IF(BC$7="Actual","",-SUM(c_Calculations!BC610:BC611))</f>
        <v/>
      </c>
      <c r="BD172" s="257">
        <f>IF(BD$7="Actual","",-SUM(c_Calculations!BD610:BD611))</f>
        <v/>
      </c>
      <c r="BE172" s="257">
        <f>IF(BE$7="Actual","",-SUM(c_Calculations!BE610:BE611))</f>
        <v/>
      </c>
      <c r="BF172" s="257">
        <f>IF(BF$7="Actual","",-SUM(c_Calculations!BF610:BF611))</f>
        <v/>
      </c>
      <c r="BG172" s="257">
        <f>IF(BG$7="Actual","",-SUM(c_Calculations!BG610:BG611))</f>
        <v/>
      </c>
      <c r="BH172" s="257">
        <f>IF(BH$7="Actual","",-SUM(c_Calculations!BH610:BH611))</f>
        <v/>
      </c>
      <c r="BI172" s="257">
        <f>IF(BI$7="Actual","",-SUM(c_Calculations!BI610:BI611))</f>
        <v/>
      </c>
      <c r="BJ172" s="257">
        <f>IF(BJ$7="Actual","",-SUM(c_Calculations!BJ610:BJ611))</f>
        <v/>
      </c>
      <c r="BK172" s="257">
        <f>IF(BK$7="Actual","",-SUM(c_Calculations!BK610:BK611))</f>
        <v/>
      </c>
      <c r="BL172" s="257">
        <f>IF(BL$7="Actual","",-SUM(c_Calculations!BL610:BL611))</f>
        <v/>
      </c>
      <c r="BM172" s="257">
        <f>IF(BM$7="Actual","",-SUM(c_Calculations!BM610:BM611))</f>
        <v/>
      </c>
      <c r="BN172" s="257">
        <f>IF(BN$7="Actual","",-SUM(c_Calculations!BN610:BN611))</f>
        <v/>
      </c>
      <c r="BO172" s="257">
        <f>IF(BO$7="Actual","",-SUM(c_Calculations!BO610:BO611))</f>
        <v/>
      </c>
      <c r="BP172" s="257">
        <f>IF(BP$7="Actual","",-SUM(c_Calculations!BP610:BP611))</f>
        <v/>
      </c>
      <c r="BQ172" s="257">
        <f>IF(BQ$7="Actual","",-SUM(c_Calculations!BQ610:BQ611))</f>
        <v/>
      </c>
      <c r="BR172" s="257">
        <f>IF(BR$7="Actual","",-SUM(c_Calculations!BR610:BR611))</f>
        <v/>
      </c>
      <c r="BS172" s="257">
        <f>IF(BS$7="Actual","",-SUM(c_Calculations!BS610:BS611))</f>
        <v/>
      </c>
      <c r="BT172" s="257">
        <f>IF(BT$7="Actual","",-SUM(c_Calculations!BT610:BT611))</f>
        <v/>
      </c>
      <c r="BU172" s="257">
        <f>IF(BU$7="Actual","",-SUM(c_Calculations!BU610:BU611))</f>
        <v/>
      </c>
      <c r="BV172" s="257">
        <f>IF(BV$7="Actual","",-SUM(c_Calculations!BV610:BV611))</f>
        <v/>
      </c>
      <c r="BW172" s="257">
        <f>IF(BW$7="Actual","",-SUM(c_Calculations!BW610:BW611))</f>
        <v/>
      </c>
      <c r="BX172" s="257">
        <f>IF(BX$7="Actual","",-SUM(c_Calculations!BX610:BX611))</f>
        <v/>
      </c>
      <c r="BY172" s="257">
        <f>IF(BY$7="Actual","",-SUM(c_Calculations!BY610:BY611))</f>
        <v/>
      </c>
      <c r="BZ172" s="257">
        <f>IF(BZ$7="Actual","",-SUM(c_Calculations!BZ610:BZ611))</f>
        <v/>
      </c>
      <c r="CA172" s="257">
        <f>IF(CA$7="Actual","",-SUM(c_Calculations!CA610:CA611))</f>
        <v/>
      </c>
    </row>
    <row r="173" ht="12" customHeight="1" s="227">
      <c r="A173" s="244" t="n"/>
      <c r="B173" s="244" t="n"/>
      <c r="C173" s="244" t="n"/>
      <c r="G173" s="39" t="inlineStr">
        <is>
          <t>Total CF from Operating Activities</t>
        </is>
      </c>
      <c r="H173" s="39" t="n"/>
      <c r="I173" s="41">
        <f> i_Setup!$M$16</f>
        <v/>
      </c>
      <c r="J173" s="39" t="n"/>
      <c r="K173" s="56" t="n"/>
      <c r="M173" s="249">
        <f>SUM(M165:M172)</f>
        <v/>
      </c>
      <c r="N173" s="249">
        <f>SUM(N165:N172)</f>
        <v/>
      </c>
      <c r="O173" s="249">
        <f>SUM(O165:O172)</f>
        <v/>
      </c>
      <c r="P173" s="249">
        <f>SUM(P165:P172)</f>
        <v/>
      </c>
      <c r="Q173" s="249">
        <f>SUM(Q165:Q172)</f>
        <v/>
      </c>
      <c r="T173" s="249">
        <f>SUM(T165:T172)</f>
        <v/>
      </c>
      <c r="U173" s="249">
        <f>SUM(U165:U172)</f>
        <v/>
      </c>
      <c r="V173" s="249">
        <f>SUM(V165:V172)</f>
        <v/>
      </c>
      <c r="W173" s="249">
        <f>SUM(W165:W172)</f>
        <v/>
      </c>
      <c r="X173" s="249">
        <f>SUM(X165:X172)</f>
        <v/>
      </c>
      <c r="Y173" s="249">
        <f>SUM(Y165:Y172)</f>
        <v/>
      </c>
      <c r="Z173" s="249">
        <f>SUM(Z165:Z172)</f>
        <v/>
      </c>
      <c r="AA173" s="249">
        <f>SUM(AA165:AA172)</f>
        <v/>
      </c>
      <c r="AB173" s="249">
        <f>SUM(AB165:AB172)</f>
        <v/>
      </c>
      <c r="AC173" s="249">
        <f>SUM(AC165:AC172)</f>
        <v/>
      </c>
      <c r="AD173" s="249">
        <f>SUM(AD165:AD172)</f>
        <v/>
      </c>
      <c r="AE173" s="249">
        <f>SUM(AE165:AE172)</f>
        <v/>
      </c>
      <c r="AF173" s="249">
        <f>SUM(AF165:AF172)</f>
        <v/>
      </c>
      <c r="AG173" s="249">
        <f>SUM(AG165:AG172)</f>
        <v/>
      </c>
      <c r="AH173" s="249">
        <f>SUM(AH165:AH172)</f>
        <v/>
      </c>
      <c r="AI173" s="249">
        <f>SUM(AI165:AI172)</f>
        <v/>
      </c>
      <c r="AJ173" s="249">
        <f>SUM(AJ165:AJ172)</f>
        <v/>
      </c>
      <c r="AK173" s="249">
        <f>SUM(AK165:AK172)</f>
        <v/>
      </c>
      <c r="AL173" s="249">
        <f>SUM(AL165:AL172)</f>
        <v/>
      </c>
      <c r="AM173" s="249">
        <f>SUM(AM165:AM172)</f>
        <v/>
      </c>
      <c r="AN173" s="249">
        <f>SUM(AN165:AN172)</f>
        <v/>
      </c>
      <c r="AO173" s="249">
        <f>SUM(AO165:AO172)</f>
        <v/>
      </c>
      <c r="AP173" s="249">
        <f>SUM(AP165:AP172)</f>
        <v/>
      </c>
      <c r="AQ173" s="249">
        <f>SUM(AQ165:AQ172)</f>
        <v/>
      </c>
      <c r="AR173" s="249">
        <f>SUM(AR165:AR172)</f>
        <v/>
      </c>
      <c r="AS173" s="249">
        <f>SUM(AS165:AS172)</f>
        <v/>
      </c>
      <c r="AT173" s="249">
        <f>SUM(AT165:AT172)</f>
        <v/>
      </c>
      <c r="AU173" s="249">
        <f>SUM(AU165:AU172)</f>
        <v/>
      </c>
      <c r="AV173" s="249">
        <f>SUM(AV165:AV172)</f>
        <v/>
      </c>
      <c r="AW173" s="249">
        <f>SUM(AW165:AW172)</f>
        <v/>
      </c>
      <c r="AX173" s="249">
        <f>SUM(AX165:AX172)</f>
        <v/>
      </c>
      <c r="AY173" s="249">
        <f>SUM(AY165:AY172)</f>
        <v/>
      </c>
      <c r="AZ173" s="249">
        <f>SUM(AZ165:AZ172)</f>
        <v/>
      </c>
      <c r="BA173" s="249">
        <f>SUM(BA165:BA172)</f>
        <v/>
      </c>
      <c r="BB173" s="249">
        <f>SUM(BB165:BB172)</f>
        <v/>
      </c>
      <c r="BC173" s="249">
        <f>SUM(BC165:BC172)</f>
        <v/>
      </c>
      <c r="BD173" s="249">
        <f>SUM(BD165:BD172)</f>
        <v/>
      </c>
      <c r="BE173" s="249">
        <f>SUM(BE165:BE172)</f>
        <v/>
      </c>
      <c r="BF173" s="249">
        <f>SUM(BF165:BF172)</f>
        <v/>
      </c>
      <c r="BG173" s="249">
        <f>SUM(BG165:BG172)</f>
        <v/>
      </c>
      <c r="BH173" s="249">
        <f>SUM(BH165:BH172)</f>
        <v/>
      </c>
      <c r="BI173" s="249">
        <f>SUM(BI165:BI172)</f>
        <v/>
      </c>
      <c r="BJ173" s="249">
        <f>SUM(BJ165:BJ172)</f>
        <v/>
      </c>
      <c r="BK173" s="249">
        <f>SUM(BK165:BK172)</f>
        <v/>
      </c>
      <c r="BL173" s="249">
        <f>SUM(BL165:BL172)</f>
        <v/>
      </c>
      <c r="BM173" s="249">
        <f>SUM(BM165:BM172)</f>
        <v/>
      </c>
      <c r="BN173" s="249">
        <f>SUM(BN165:BN172)</f>
        <v/>
      </c>
      <c r="BO173" s="249">
        <f>SUM(BO165:BO172)</f>
        <v/>
      </c>
      <c r="BP173" s="249">
        <f>SUM(BP165:BP172)</f>
        <v/>
      </c>
      <c r="BQ173" s="249">
        <f>SUM(BQ165:BQ172)</f>
        <v/>
      </c>
      <c r="BR173" s="249">
        <f>SUM(BR165:BR172)</f>
        <v/>
      </c>
      <c r="BS173" s="249">
        <f>SUM(BS165:BS172)</f>
        <v/>
      </c>
      <c r="BT173" s="249">
        <f>SUM(BT165:BT172)</f>
        <v/>
      </c>
      <c r="BU173" s="249">
        <f>SUM(BU165:BU172)</f>
        <v/>
      </c>
      <c r="BV173" s="249">
        <f>SUM(BV165:BV172)</f>
        <v/>
      </c>
      <c r="BW173" s="249">
        <f>SUM(BW165:BW172)</f>
        <v/>
      </c>
      <c r="BX173" s="249">
        <f>SUM(BX165:BX172)</f>
        <v/>
      </c>
      <c r="BY173" s="249">
        <f>SUM(BY165:BY172)</f>
        <v/>
      </c>
      <c r="BZ173" s="249">
        <f>SUM(BZ165:BZ172)</f>
        <v/>
      </c>
      <c r="CA173" s="249">
        <f>SUM(CA165:CA172)</f>
        <v/>
      </c>
    </row>
    <row r="174" ht="12" customHeight="1" s="227">
      <c r="A174" s="244" t="n"/>
      <c r="B174" s="244" t="n"/>
      <c r="C174" s="244" t="n"/>
    </row>
    <row r="175" ht="12" customHeight="1" s="227">
      <c r="A175" s="244" t="n"/>
      <c r="B175" s="244" t="n"/>
      <c r="C175" s="244" t="n"/>
    </row>
    <row r="176" ht="12.75" customHeight="1" s="227">
      <c r="A176" s="244" t="n"/>
      <c r="B176" s="244" t="n"/>
      <c r="C176" s="244" t="n"/>
      <c r="G176" s="222" t="inlineStr">
        <is>
          <t>Cash Flows from Investing Activities</t>
        </is>
      </c>
    </row>
    <row r="177" ht="12" customHeight="1" s="227">
      <c r="A177" s="244" t="n"/>
      <c r="B177" s="244" t="n"/>
      <c r="C177" s="244" t="n"/>
      <c r="H177" s="0" t="inlineStr">
        <is>
          <t>Fixed Asset Additions</t>
        </is>
      </c>
      <c r="I177" s="27">
        <f> i_Setup!$M$16</f>
        <v/>
      </c>
      <c r="M177" s="245">
        <f>SUMIF($T$4:$CA$4,M$4,$T177:$CA177)</f>
        <v/>
      </c>
      <c r="N177" s="245">
        <f>SUMIF($T$4:$CA$4,N$4,$T177:$CA177)</f>
        <v/>
      </c>
      <c r="O177" s="245">
        <f>SUMIF($T$4:$CA$4,O$4,$T177:$CA177)</f>
        <v/>
      </c>
      <c r="P177" s="245">
        <f>SUMIF($T$4:$CA$4,P$4,$T177:$CA177)</f>
        <v/>
      </c>
      <c r="Q177" s="245">
        <f>SUMIF($T$4:$CA$4,Q$4,$T177:$CA177)</f>
        <v/>
      </c>
      <c r="T177" s="257">
        <f>IF(T7="Actual","",-c_Calculations!T677)</f>
        <v/>
      </c>
      <c r="U177" s="257">
        <f>IF(U7="Actual","",-c_Calculations!U677)</f>
        <v/>
      </c>
      <c r="V177" s="257">
        <f>IF(V7="Actual","",-c_Calculations!V677)</f>
        <v/>
      </c>
      <c r="W177" s="257">
        <f>IF(W7="Actual","",-c_Calculations!W677)</f>
        <v/>
      </c>
      <c r="X177" s="257">
        <f>IF(X7="Actual","",-c_Calculations!X677)</f>
        <v/>
      </c>
      <c r="Y177" s="257">
        <f>IF(Y7="Actual","",-c_Calculations!Y677)</f>
        <v/>
      </c>
      <c r="Z177" s="257">
        <f>IF(Z7="Actual","",-c_Calculations!Z677)</f>
        <v/>
      </c>
      <c r="AA177" s="257">
        <f>IF(AA7="Actual","",-c_Calculations!AA677)</f>
        <v/>
      </c>
      <c r="AB177" s="257">
        <f>IF(AB7="Actual","",-c_Calculations!AB677)</f>
        <v/>
      </c>
      <c r="AC177" s="257">
        <f>IF(AC7="Actual","",-c_Calculations!AC677)</f>
        <v/>
      </c>
      <c r="AD177" s="257">
        <f>IF(AD7="Actual","",-c_Calculations!AD677)</f>
        <v/>
      </c>
      <c r="AE177" s="257">
        <f>IF(AE7="Actual","",-c_Calculations!AE677)</f>
        <v/>
      </c>
      <c r="AF177" s="257">
        <f>IF(AF7="Actual","",-c_Calculations!AF677)</f>
        <v/>
      </c>
      <c r="AG177" s="257">
        <f>IF(AG7="Actual","",-c_Calculations!AG677)</f>
        <v/>
      </c>
      <c r="AH177" s="257">
        <f>IF(AH7="Actual","",-c_Calculations!AH677)</f>
        <v/>
      </c>
      <c r="AI177" s="257">
        <f>IF(AI7="Actual","",-c_Calculations!AI677)</f>
        <v/>
      </c>
      <c r="AJ177" s="257">
        <f>IF(AJ7="Actual","",-c_Calculations!AJ677)</f>
        <v/>
      </c>
      <c r="AK177" s="257">
        <f>IF(AK7="Actual","",-c_Calculations!AK677)</f>
        <v/>
      </c>
      <c r="AL177" s="257">
        <f>IF(AL7="Actual","",-c_Calculations!AL677)</f>
        <v/>
      </c>
      <c r="AM177" s="257">
        <f>IF(AM7="Actual","",-c_Calculations!AM677)</f>
        <v/>
      </c>
      <c r="AN177" s="257">
        <f>IF(AN7="Actual","",-c_Calculations!AN677)</f>
        <v/>
      </c>
      <c r="AO177" s="257">
        <f>IF(AO7="Actual","",-c_Calculations!AO677)</f>
        <v/>
      </c>
      <c r="AP177" s="257">
        <f>IF(AP7="Actual","",-c_Calculations!AP677)</f>
        <v/>
      </c>
      <c r="AQ177" s="257">
        <f>IF(AQ7="Actual","",-c_Calculations!AQ677)</f>
        <v/>
      </c>
      <c r="AR177" s="257">
        <f>IF(AR7="Actual","",-c_Calculations!AR677)</f>
        <v/>
      </c>
      <c r="AS177" s="257">
        <f>IF(AS7="Actual","",-c_Calculations!AS677)</f>
        <v/>
      </c>
      <c r="AT177" s="257">
        <f>IF(AT7="Actual","",-c_Calculations!AT677)</f>
        <v/>
      </c>
      <c r="AU177" s="257">
        <f>IF(AU7="Actual","",-c_Calculations!AU677)</f>
        <v/>
      </c>
      <c r="AV177" s="257">
        <f>IF(AV7="Actual","",-c_Calculations!AV677)</f>
        <v/>
      </c>
      <c r="AW177" s="257">
        <f>IF(AW7="Actual","",-c_Calculations!AW677)</f>
        <v/>
      </c>
      <c r="AX177" s="257">
        <f>IF(AX7="Actual","",-c_Calculations!AX677)</f>
        <v/>
      </c>
      <c r="AY177" s="257">
        <f>IF(AY7="Actual","",-c_Calculations!AY677)</f>
        <v/>
      </c>
      <c r="AZ177" s="257">
        <f>IF(AZ7="Actual","",-c_Calculations!AZ677)</f>
        <v/>
      </c>
      <c r="BA177" s="257">
        <f>IF(BA7="Actual","",-c_Calculations!BA677)</f>
        <v/>
      </c>
      <c r="BB177" s="257">
        <f>IF(BB7="Actual","",-c_Calculations!BB677)</f>
        <v/>
      </c>
      <c r="BC177" s="257">
        <f>IF(BC7="Actual","",-c_Calculations!BC677)</f>
        <v/>
      </c>
      <c r="BD177" s="257">
        <f>IF(BD7="Actual","",-c_Calculations!BD677)</f>
        <v/>
      </c>
      <c r="BE177" s="257">
        <f>IF(BE7="Actual","",-c_Calculations!BE677)</f>
        <v/>
      </c>
      <c r="BF177" s="257">
        <f>IF(BF7="Actual","",-c_Calculations!BF677)</f>
        <v/>
      </c>
      <c r="BG177" s="257">
        <f>IF(BG7="Actual","",-c_Calculations!BG677)</f>
        <v/>
      </c>
      <c r="BH177" s="257">
        <f>IF(BH7="Actual","",-c_Calculations!BH677)</f>
        <v/>
      </c>
      <c r="BI177" s="257">
        <f>IF(BI7="Actual","",-c_Calculations!BI677)</f>
        <v/>
      </c>
      <c r="BJ177" s="257">
        <f>IF(BJ7="Actual","",-c_Calculations!BJ677)</f>
        <v/>
      </c>
      <c r="BK177" s="257">
        <f>IF(BK7="Actual","",-c_Calculations!BK677)</f>
        <v/>
      </c>
      <c r="BL177" s="257">
        <f>IF(BL7="Actual","",-c_Calculations!BL677)</f>
        <v/>
      </c>
      <c r="BM177" s="257">
        <f>IF(BM7="Actual","",-c_Calculations!BM677)</f>
        <v/>
      </c>
      <c r="BN177" s="257">
        <f>IF(BN7="Actual","",-c_Calculations!BN677)</f>
        <v/>
      </c>
      <c r="BO177" s="257">
        <f>IF(BO7="Actual","",-c_Calculations!BO677)</f>
        <v/>
      </c>
      <c r="BP177" s="257">
        <f>IF(BP7="Actual","",-c_Calculations!BP677)</f>
        <v/>
      </c>
      <c r="BQ177" s="257">
        <f>IF(BQ7="Actual","",-c_Calculations!BQ677)</f>
        <v/>
      </c>
      <c r="BR177" s="257">
        <f>IF(BR7="Actual","",-c_Calculations!BR677)</f>
        <v/>
      </c>
      <c r="BS177" s="257">
        <f>IF(BS7="Actual","",-c_Calculations!BS677)</f>
        <v/>
      </c>
      <c r="BT177" s="257">
        <f>IF(BT7="Actual","",-c_Calculations!BT677)</f>
        <v/>
      </c>
      <c r="BU177" s="257">
        <f>IF(BU7="Actual","",-c_Calculations!BU677)</f>
        <v/>
      </c>
      <c r="BV177" s="257">
        <f>IF(BV7="Actual","",-c_Calculations!BV677)</f>
        <v/>
      </c>
      <c r="BW177" s="257">
        <f>IF(BW7="Actual","",-c_Calculations!BW677)</f>
        <v/>
      </c>
      <c r="BX177" s="257">
        <f>IF(BX7="Actual","",-c_Calculations!BX677)</f>
        <v/>
      </c>
      <c r="BY177" s="257">
        <f>IF(BY7="Actual","",-c_Calculations!BY677)</f>
        <v/>
      </c>
      <c r="BZ177" s="257">
        <f>IF(BZ7="Actual","",-c_Calculations!BZ677)</f>
        <v/>
      </c>
      <c r="CA177" s="257">
        <f>IF(CA7="Actual","",-c_Calculations!CA677)</f>
        <v/>
      </c>
    </row>
    <row r="178" ht="12" customHeight="1" s="227">
      <c r="A178" s="244" t="n"/>
      <c r="B178" s="244" t="n"/>
      <c r="C178" s="244" t="n"/>
      <c r="G178" s="39" t="inlineStr">
        <is>
          <t>Total CF from Investing Activities</t>
        </is>
      </c>
      <c r="H178" s="39" t="n"/>
      <c r="I178" s="41">
        <f> i_Setup!$M$16</f>
        <v/>
      </c>
      <c r="J178" s="39" t="n"/>
      <c r="K178" s="56" t="n"/>
      <c r="M178" s="249">
        <f>M177</f>
        <v/>
      </c>
      <c r="N178" s="249">
        <f>N177</f>
        <v/>
      </c>
      <c r="O178" s="249">
        <f>O177</f>
        <v/>
      </c>
      <c r="P178" s="249">
        <f>P177</f>
        <v/>
      </c>
      <c r="Q178" s="249">
        <f>Q177</f>
        <v/>
      </c>
      <c r="T178" s="249">
        <f>SUM(T177:T177)</f>
        <v/>
      </c>
      <c r="U178" s="249">
        <f>SUM(U177:U177)</f>
        <v/>
      </c>
      <c r="V178" s="249">
        <f>SUM(V177:V177)</f>
        <v/>
      </c>
      <c r="W178" s="249">
        <f>SUM(W177:W177)</f>
        <v/>
      </c>
      <c r="X178" s="249">
        <f>SUM(X177:X177)</f>
        <v/>
      </c>
      <c r="Y178" s="249">
        <f>SUM(Y177:Y177)</f>
        <v/>
      </c>
      <c r="Z178" s="249">
        <f>SUM(Z177:Z177)</f>
        <v/>
      </c>
      <c r="AA178" s="249">
        <f>SUM(AA177:AA177)</f>
        <v/>
      </c>
      <c r="AB178" s="249">
        <f>SUM(AB177:AB177)</f>
        <v/>
      </c>
      <c r="AC178" s="249">
        <f>SUM(AC177:AC177)</f>
        <v/>
      </c>
      <c r="AD178" s="249">
        <f>SUM(AD177:AD177)</f>
        <v/>
      </c>
      <c r="AE178" s="249">
        <f>SUM(AE177:AE177)</f>
        <v/>
      </c>
      <c r="AF178" s="249">
        <f>SUM(AF177:AF177)</f>
        <v/>
      </c>
      <c r="AG178" s="249">
        <f>SUM(AG177:AG177)</f>
        <v/>
      </c>
      <c r="AH178" s="249">
        <f>SUM(AH177:AH177)</f>
        <v/>
      </c>
      <c r="AI178" s="249">
        <f>SUM(AI177:AI177)</f>
        <v/>
      </c>
      <c r="AJ178" s="249">
        <f>SUM(AJ177:AJ177)</f>
        <v/>
      </c>
      <c r="AK178" s="249">
        <f>SUM(AK177:AK177)</f>
        <v/>
      </c>
      <c r="AL178" s="249">
        <f>SUM(AL177:AL177)</f>
        <v/>
      </c>
      <c r="AM178" s="249">
        <f>SUM(AM177:AM177)</f>
        <v/>
      </c>
      <c r="AN178" s="249">
        <f>SUM(AN177:AN177)</f>
        <v/>
      </c>
      <c r="AO178" s="249">
        <f>SUM(AO177:AO177)</f>
        <v/>
      </c>
      <c r="AP178" s="249">
        <f>SUM(AP177:AP177)</f>
        <v/>
      </c>
      <c r="AQ178" s="249">
        <f>SUM(AQ177:AQ177)</f>
        <v/>
      </c>
      <c r="AR178" s="249">
        <f>SUM(AR177:AR177)</f>
        <v/>
      </c>
      <c r="AS178" s="249">
        <f>SUM(AS177:AS177)</f>
        <v/>
      </c>
      <c r="AT178" s="249">
        <f>SUM(AT177:AT177)</f>
        <v/>
      </c>
      <c r="AU178" s="249">
        <f>SUM(AU177:AU177)</f>
        <v/>
      </c>
      <c r="AV178" s="249">
        <f>SUM(AV177:AV177)</f>
        <v/>
      </c>
      <c r="AW178" s="249">
        <f>SUM(AW177:AW177)</f>
        <v/>
      </c>
      <c r="AX178" s="249">
        <f>SUM(AX177:AX177)</f>
        <v/>
      </c>
      <c r="AY178" s="249">
        <f>SUM(AY177:AY177)</f>
        <v/>
      </c>
      <c r="AZ178" s="249">
        <f>SUM(AZ177:AZ177)</f>
        <v/>
      </c>
      <c r="BA178" s="249">
        <f>SUM(BA177:BA177)</f>
        <v/>
      </c>
      <c r="BB178" s="249">
        <f>SUM(BB177:BB177)</f>
        <v/>
      </c>
      <c r="BC178" s="249">
        <f>SUM(BC177:BC177)</f>
        <v/>
      </c>
      <c r="BD178" s="249">
        <f>SUM(BD177:BD177)</f>
        <v/>
      </c>
      <c r="BE178" s="249">
        <f>SUM(BE177:BE177)</f>
        <v/>
      </c>
      <c r="BF178" s="249">
        <f>SUM(BF177:BF177)</f>
        <v/>
      </c>
      <c r="BG178" s="249">
        <f>SUM(BG177:BG177)</f>
        <v/>
      </c>
      <c r="BH178" s="249">
        <f>SUM(BH177:BH177)</f>
        <v/>
      </c>
      <c r="BI178" s="249">
        <f>SUM(BI177:BI177)</f>
        <v/>
      </c>
      <c r="BJ178" s="249">
        <f>SUM(BJ177:BJ177)</f>
        <v/>
      </c>
      <c r="BK178" s="249">
        <f>SUM(BK177:BK177)</f>
        <v/>
      </c>
      <c r="BL178" s="249">
        <f>SUM(BL177:BL177)</f>
        <v/>
      </c>
      <c r="BM178" s="249">
        <f>SUM(BM177:BM177)</f>
        <v/>
      </c>
      <c r="BN178" s="249">
        <f>SUM(BN177:BN177)</f>
        <v/>
      </c>
      <c r="BO178" s="249">
        <f>SUM(BO177:BO177)</f>
        <v/>
      </c>
      <c r="BP178" s="249">
        <f>SUM(BP177:BP177)</f>
        <v/>
      </c>
      <c r="BQ178" s="249">
        <f>SUM(BQ177:BQ177)</f>
        <v/>
      </c>
      <c r="BR178" s="249">
        <f>SUM(BR177:BR177)</f>
        <v/>
      </c>
      <c r="BS178" s="249">
        <f>SUM(BS177:BS177)</f>
        <v/>
      </c>
      <c r="BT178" s="249">
        <f>SUM(BT177:BT177)</f>
        <v/>
      </c>
      <c r="BU178" s="249">
        <f>SUM(BU177:BU177)</f>
        <v/>
      </c>
      <c r="BV178" s="249">
        <f>SUM(BV177:BV177)</f>
        <v/>
      </c>
      <c r="BW178" s="249">
        <f>SUM(BW177:BW177)</f>
        <v/>
      </c>
      <c r="BX178" s="249">
        <f>SUM(BX177:BX177)</f>
        <v/>
      </c>
      <c r="BY178" s="249">
        <f>SUM(BY177:BY177)</f>
        <v/>
      </c>
      <c r="BZ178" s="249">
        <f>SUM(BZ177:BZ177)</f>
        <v/>
      </c>
      <c r="CA178" s="249">
        <f>SUM(CA177:CA177)</f>
        <v/>
      </c>
    </row>
    <row r="179" ht="12" customHeight="1" s="227">
      <c r="A179" s="244" t="n"/>
      <c r="B179" s="244" t="n"/>
      <c r="C179" s="244" t="n"/>
      <c r="G179" s="8" t="n"/>
      <c r="H179" s="8" t="n"/>
      <c r="I179" s="56" t="n"/>
      <c r="J179" s="8" t="n"/>
      <c r="K179" s="56" t="n"/>
      <c r="M179" s="248" t="n"/>
      <c r="N179" s="248" t="n"/>
      <c r="O179" s="248" t="n"/>
      <c r="P179" s="248" t="n"/>
      <c r="Q179" s="248" t="n"/>
      <c r="T179" s="248" t="n"/>
      <c r="U179" s="248" t="n"/>
      <c r="V179" s="248" t="n"/>
      <c r="W179" s="248" t="n"/>
      <c r="X179" s="248" t="n"/>
      <c r="Y179" s="248" t="n"/>
      <c r="Z179" s="248" t="n"/>
      <c r="AA179" s="248" t="n"/>
      <c r="AB179" s="248" t="n"/>
      <c r="AC179" s="248" t="n"/>
      <c r="AD179" s="248" t="n"/>
      <c r="AE179" s="248" t="n"/>
      <c r="AF179" s="248" t="n"/>
      <c r="AG179" s="248" t="n"/>
      <c r="AH179" s="248" t="n"/>
      <c r="AI179" s="248" t="n"/>
      <c r="AJ179" s="248" t="n"/>
      <c r="AK179" s="248" t="n"/>
      <c r="AL179" s="248" t="n"/>
      <c r="AM179" s="248" t="n"/>
      <c r="AN179" s="248" t="n"/>
      <c r="AO179" s="248" t="n"/>
      <c r="AP179" s="248" t="n"/>
      <c r="AQ179" s="248" t="n"/>
      <c r="AR179" s="248" t="n"/>
      <c r="AS179" s="248" t="n"/>
      <c r="AT179" s="248" t="n"/>
      <c r="AU179" s="248" t="n"/>
      <c r="AV179" s="248" t="n"/>
      <c r="AW179" s="248" t="n"/>
      <c r="AX179" s="248" t="n"/>
      <c r="AY179" s="248" t="n"/>
      <c r="AZ179" s="248" t="n"/>
      <c r="BA179" s="248" t="n"/>
      <c r="BB179" s="248" t="n"/>
      <c r="BC179" s="248" t="n"/>
      <c r="BD179" s="248" t="n"/>
      <c r="BE179" s="248" t="n"/>
      <c r="BF179" s="248" t="n"/>
      <c r="BG179" s="248" t="n"/>
      <c r="BH179" s="248" t="n"/>
      <c r="BI179" s="248" t="n"/>
      <c r="BJ179" s="248" t="n"/>
      <c r="BK179" s="248" t="n"/>
      <c r="BL179" s="248" t="n"/>
      <c r="BM179" s="248" t="n"/>
      <c r="BN179" s="248" t="n"/>
      <c r="BO179" s="248" t="n"/>
      <c r="BP179" s="248" t="n"/>
      <c r="BQ179" s="248" t="n"/>
      <c r="BR179" s="248" t="n"/>
      <c r="BS179" s="248" t="n"/>
      <c r="BT179" s="248" t="n"/>
      <c r="BU179" s="248" t="n"/>
      <c r="BV179" s="248" t="n"/>
      <c r="BW179" s="248" t="n"/>
      <c r="BX179" s="248" t="n"/>
      <c r="BY179" s="248" t="n"/>
      <c r="BZ179" s="248" t="n"/>
      <c r="CA179" s="248" t="n"/>
    </row>
    <row r="180" ht="12" customHeight="1" s="227">
      <c r="A180" s="244" t="n"/>
      <c r="B180" s="244" t="n"/>
      <c r="C180" s="244" t="n"/>
      <c r="G180" s="8" t="n"/>
      <c r="H180" s="8" t="n"/>
      <c r="I180" s="56" t="n"/>
      <c r="J180" s="8" t="n"/>
      <c r="K180" s="56" t="n"/>
      <c r="M180" s="248" t="n"/>
      <c r="N180" s="248" t="n"/>
      <c r="O180" s="248" t="n"/>
      <c r="P180" s="248" t="n"/>
      <c r="Q180" s="248" t="n"/>
      <c r="T180" s="248" t="n"/>
      <c r="U180" s="248" t="n"/>
      <c r="V180" s="248" t="n"/>
      <c r="W180" s="248" t="n"/>
      <c r="X180" s="248" t="n"/>
      <c r="Y180" s="248" t="n"/>
      <c r="Z180" s="248" t="n"/>
      <c r="AA180" s="248" t="n"/>
      <c r="AB180" s="248" t="n"/>
      <c r="AC180" s="248" t="n"/>
      <c r="AD180" s="248" t="n"/>
      <c r="AE180" s="248" t="n"/>
      <c r="AF180" s="248" t="n"/>
      <c r="AG180" s="248" t="n"/>
      <c r="AH180" s="248" t="n"/>
      <c r="AI180" s="248" t="n"/>
      <c r="AJ180" s="248" t="n"/>
      <c r="AK180" s="248" t="n"/>
      <c r="AL180" s="248" t="n"/>
      <c r="AM180" s="248" t="n"/>
      <c r="AN180" s="248" t="n"/>
      <c r="AO180" s="248" t="n"/>
      <c r="AP180" s="248" t="n"/>
      <c r="AQ180" s="248" t="n"/>
      <c r="AR180" s="248" t="n"/>
      <c r="AS180" s="248" t="n"/>
      <c r="AT180" s="248" t="n"/>
      <c r="AU180" s="248" t="n"/>
      <c r="AV180" s="248" t="n"/>
      <c r="AW180" s="248" t="n"/>
      <c r="AX180" s="248" t="n"/>
      <c r="AY180" s="248" t="n"/>
      <c r="AZ180" s="248" t="n"/>
      <c r="BA180" s="248" t="n"/>
      <c r="BB180" s="248" t="n"/>
      <c r="BC180" s="248" t="n"/>
      <c r="BD180" s="248" t="n"/>
      <c r="BE180" s="248" t="n"/>
      <c r="BF180" s="248" t="n"/>
      <c r="BG180" s="248" t="n"/>
      <c r="BH180" s="248" t="n"/>
      <c r="BI180" s="248" t="n"/>
      <c r="BJ180" s="248" t="n"/>
      <c r="BK180" s="248" t="n"/>
      <c r="BL180" s="248" t="n"/>
      <c r="BM180" s="248" t="n"/>
      <c r="BN180" s="248" t="n"/>
      <c r="BO180" s="248" t="n"/>
      <c r="BP180" s="248" t="n"/>
      <c r="BQ180" s="248" t="n"/>
      <c r="BR180" s="248" t="n"/>
      <c r="BS180" s="248" t="n"/>
      <c r="BT180" s="248" t="n"/>
      <c r="BU180" s="248" t="n"/>
      <c r="BV180" s="248" t="n"/>
      <c r="BW180" s="248" t="n"/>
      <c r="BX180" s="248" t="n"/>
      <c r="BY180" s="248" t="n"/>
      <c r="BZ180" s="248" t="n"/>
      <c r="CA180" s="248" t="n"/>
    </row>
    <row r="181" ht="12.75" customHeight="1" s="227">
      <c r="A181" s="244" t="n"/>
      <c r="B181" s="244" t="n"/>
      <c r="C181" s="244" t="n"/>
      <c r="G181" s="222" t="inlineStr">
        <is>
          <t>Cash Flows from Financing Activities</t>
        </is>
      </c>
    </row>
    <row r="182" ht="12" customHeight="1" s="227">
      <c r="A182" s="244" t="n"/>
      <c r="B182" s="244" t="n"/>
      <c r="C182" s="244" t="n"/>
      <c r="H182" s="0" t="inlineStr">
        <is>
          <t>Borrowings additional/(repayments)</t>
        </is>
      </c>
      <c r="I182" s="27">
        <f> i_Setup!$M$16</f>
        <v/>
      </c>
      <c r="M182" s="245">
        <f>SUMIF($T$4:$CA$4,M$4,$T182:$CA182)</f>
        <v/>
      </c>
      <c r="N182" s="245">
        <f>SUMIF($T$4:$CA$4,N$4,$T182:$CA182)</f>
        <v/>
      </c>
      <c r="O182" s="245">
        <f>SUMIF($T$4:$CA$4,O$4,$T182:$CA182)</f>
        <v/>
      </c>
      <c r="P182" s="245">
        <f>SUMIF($T$4:$CA$4,P$4,$T182:$CA182)</f>
        <v/>
      </c>
      <c r="Q182" s="245">
        <f>SUMIF($T$4:$CA$4,Q$4,$T182:$CA182)</f>
        <v/>
      </c>
      <c r="T182" s="257">
        <f>IF(T7="Actual","",SUM(c_Calculations!T982:T984,c_Calculations!T960:T962,c_Calculations!T938:T940))</f>
        <v/>
      </c>
      <c r="U182" s="257">
        <f>IF(U7="Actual","",SUM(c_Calculations!U982:U984,c_Calculations!U960:U962,c_Calculations!U938:U940))</f>
        <v/>
      </c>
      <c r="V182" s="257">
        <f>IF(V7="Actual","",SUM(c_Calculations!V982:V984,c_Calculations!V960:V962,c_Calculations!V938:V940))</f>
        <v/>
      </c>
      <c r="W182" s="257">
        <f>IF(W7="Actual","",SUM(c_Calculations!W982:W984,c_Calculations!W960:W962,c_Calculations!W938:W940))</f>
        <v/>
      </c>
      <c r="X182" s="257">
        <f>IF(X7="Actual","",SUM(c_Calculations!X982:X984,c_Calculations!X960:X962,c_Calculations!X938:X940))</f>
        <v/>
      </c>
      <c r="Y182" s="257">
        <f>IF(Y7="Actual","",SUM(c_Calculations!Y982:Y984,c_Calculations!Y960:Y962,c_Calculations!Y938:Y940))</f>
        <v/>
      </c>
      <c r="Z182" s="257">
        <f>IF(Z7="Actual","",SUM(c_Calculations!Z982:Z984,c_Calculations!Z960:Z962,c_Calculations!Z938:Z940))</f>
        <v/>
      </c>
      <c r="AA182" s="257">
        <f>IF(AA7="Actual","",SUM(c_Calculations!AA982:AA984,c_Calculations!AA960:AA962,c_Calculations!AA938:AA940))</f>
        <v/>
      </c>
      <c r="AB182" s="257">
        <f>IF(AB7="Actual","",SUM(c_Calculations!AB982:AB984,c_Calculations!AB960:AB962,c_Calculations!AB938:AB940))</f>
        <v/>
      </c>
      <c r="AC182" s="257">
        <f>IF(AC7="Actual","",SUM(c_Calculations!AC982:AC984,c_Calculations!AC960:AC962,c_Calculations!AC938:AC940))</f>
        <v/>
      </c>
      <c r="AD182" s="257">
        <f>IF(AD7="Actual","",SUM(c_Calculations!AD982:AD984,c_Calculations!AD960:AD962,c_Calculations!AD938:AD940))</f>
        <v/>
      </c>
      <c r="AE182" s="257">
        <f>IF(AE7="Actual","",SUM(c_Calculations!AE982:AE984,c_Calculations!AE960:AE962,c_Calculations!AE938:AE940))</f>
        <v/>
      </c>
      <c r="AF182" s="257">
        <f>IF(AF7="Actual","",SUM(c_Calculations!AF982:AF984,c_Calculations!AF960:AF962,c_Calculations!AF938:AF940))</f>
        <v/>
      </c>
      <c r="AG182" s="257">
        <f>IF(AG7="Actual","",SUM(c_Calculations!AG982:AG984,c_Calculations!AG960:AG962,c_Calculations!AG938:AG940))</f>
        <v/>
      </c>
      <c r="AH182" s="257">
        <f>IF(AH7="Actual","",SUM(c_Calculations!AH982:AH984,c_Calculations!AH960:AH962,c_Calculations!AH938:AH940))</f>
        <v/>
      </c>
      <c r="AI182" s="257">
        <f>IF(AI7="Actual","",SUM(c_Calculations!AI982:AI984,c_Calculations!AI960:AI962,c_Calculations!AI938:AI940))</f>
        <v/>
      </c>
      <c r="AJ182" s="257">
        <f>IF(AJ7="Actual","",SUM(c_Calculations!AJ982:AJ984,c_Calculations!AJ960:AJ962,c_Calculations!AJ938:AJ940))</f>
        <v/>
      </c>
      <c r="AK182" s="257">
        <f>IF(AK7="Actual","",SUM(c_Calculations!AK982:AK984,c_Calculations!AK960:AK962,c_Calculations!AK938:AK940))</f>
        <v/>
      </c>
      <c r="AL182" s="257">
        <f>IF(AL7="Actual","",SUM(c_Calculations!AL982:AL984,c_Calculations!AL960:AL962,c_Calculations!AL938:AL940))</f>
        <v/>
      </c>
      <c r="AM182" s="257">
        <f>IF(AM7="Actual","",SUM(c_Calculations!AM982:AM984,c_Calculations!AM960:AM962,c_Calculations!AM938:AM940))</f>
        <v/>
      </c>
      <c r="AN182" s="257">
        <f>IF(AN7="Actual","",SUM(c_Calculations!AN982:AN984,c_Calculations!AN960:AN962,c_Calculations!AN938:AN940))</f>
        <v/>
      </c>
      <c r="AO182" s="257">
        <f>IF(AO7="Actual","",SUM(c_Calculations!AO982:AO984,c_Calculations!AO960:AO962,c_Calculations!AO938:AO940))</f>
        <v/>
      </c>
      <c r="AP182" s="257">
        <f>IF(AP7="Actual","",SUM(c_Calculations!AP982:AP984,c_Calculations!AP960:AP962,c_Calculations!AP938:AP940))</f>
        <v/>
      </c>
      <c r="AQ182" s="257">
        <f>IF(AQ7="Actual","",SUM(c_Calculations!AQ982:AQ984,c_Calculations!AQ960:AQ962,c_Calculations!AQ938:AQ940))</f>
        <v/>
      </c>
      <c r="AR182" s="257">
        <f>IF(AR7="Actual","",SUM(c_Calculations!AR982:AR984,c_Calculations!AR960:AR962,c_Calculations!AR938:AR940))</f>
        <v/>
      </c>
      <c r="AS182" s="257">
        <f>IF(AS7="Actual","",SUM(c_Calculations!AS982:AS984,c_Calculations!AS960:AS962,c_Calculations!AS938:AS940))</f>
        <v/>
      </c>
      <c r="AT182" s="257">
        <f>IF(AT7="Actual","",SUM(c_Calculations!AT982:AT984,c_Calculations!AT960:AT962,c_Calculations!AT938:AT940))</f>
        <v/>
      </c>
      <c r="AU182" s="257">
        <f>IF(AU7="Actual","",SUM(c_Calculations!AU982:AU984,c_Calculations!AU960:AU962,c_Calculations!AU938:AU940))</f>
        <v/>
      </c>
      <c r="AV182" s="257">
        <f>IF(AV7="Actual","",SUM(c_Calculations!AV982:AV984,c_Calculations!AV960:AV962,c_Calculations!AV938:AV940))</f>
        <v/>
      </c>
      <c r="AW182" s="257">
        <f>IF(AW7="Actual","",SUM(c_Calculations!AW982:AW984,c_Calculations!AW960:AW962,c_Calculations!AW938:AW940))</f>
        <v/>
      </c>
      <c r="AX182" s="257">
        <f>IF(AX7="Actual","",SUM(c_Calculations!AX982:AX984,c_Calculations!AX960:AX962,c_Calculations!AX938:AX940))</f>
        <v/>
      </c>
      <c r="AY182" s="257">
        <f>IF(AY7="Actual","",SUM(c_Calculations!AY982:AY984,c_Calculations!AY960:AY962,c_Calculations!AY938:AY940))</f>
        <v/>
      </c>
      <c r="AZ182" s="257">
        <f>IF(AZ7="Actual","",SUM(c_Calculations!AZ982:AZ984,c_Calculations!AZ960:AZ962,c_Calculations!AZ938:AZ940))</f>
        <v/>
      </c>
      <c r="BA182" s="257">
        <f>IF(BA7="Actual","",SUM(c_Calculations!BA982:BA984,c_Calculations!BA960:BA962,c_Calculations!BA938:BA940))</f>
        <v/>
      </c>
      <c r="BB182" s="257">
        <f>IF(BB7="Actual","",SUM(c_Calculations!BB982:BB984,c_Calculations!BB960:BB962,c_Calculations!BB938:BB940))</f>
        <v/>
      </c>
      <c r="BC182" s="257">
        <f>IF(BC7="Actual","",SUM(c_Calculations!BC982:BC984,c_Calculations!BC960:BC962,c_Calculations!BC938:BC940))</f>
        <v/>
      </c>
      <c r="BD182" s="257">
        <f>IF(BD7="Actual","",SUM(c_Calculations!BD982:BD984,c_Calculations!BD960:BD962,c_Calculations!BD938:BD940))</f>
        <v/>
      </c>
      <c r="BE182" s="257">
        <f>IF(BE7="Actual","",SUM(c_Calculations!BE982:BE984,c_Calculations!BE960:BE962,c_Calculations!BE938:BE940))</f>
        <v/>
      </c>
      <c r="BF182" s="257">
        <f>IF(BF7="Actual","",SUM(c_Calculations!BF982:BF984,c_Calculations!BF960:BF962,c_Calculations!BF938:BF940))</f>
        <v/>
      </c>
      <c r="BG182" s="257">
        <f>IF(BG7="Actual","",SUM(c_Calculations!BG982:BG984,c_Calculations!BG960:BG962,c_Calculations!BG938:BG940))</f>
        <v/>
      </c>
      <c r="BH182" s="257">
        <f>IF(BH7="Actual","",SUM(c_Calculations!BH982:BH984,c_Calculations!BH960:BH962,c_Calculations!BH938:BH940))</f>
        <v/>
      </c>
      <c r="BI182" s="257">
        <f>IF(BI7="Actual","",SUM(c_Calculations!BI982:BI984,c_Calculations!BI960:BI962,c_Calculations!BI938:BI940))</f>
        <v/>
      </c>
      <c r="BJ182" s="257">
        <f>IF(BJ7="Actual","",SUM(c_Calculations!BJ982:BJ984,c_Calculations!BJ960:BJ962,c_Calculations!BJ938:BJ940))</f>
        <v/>
      </c>
      <c r="BK182" s="257">
        <f>IF(BK7="Actual","",SUM(c_Calculations!BK982:BK984,c_Calculations!BK960:BK962,c_Calculations!BK938:BK940))</f>
        <v/>
      </c>
      <c r="BL182" s="257">
        <f>IF(BL7="Actual","",SUM(c_Calculations!BL982:BL984,c_Calculations!BL960:BL962,c_Calculations!BL938:BL940))</f>
        <v/>
      </c>
      <c r="BM182" s="257">
        <f>IF(BM7="Actual","",SUM(c_Calculations!BM982:BM984,c_Calculations!BM960:BM962,c_Calculations!BM938:BM940))</f>
        <v/>
      </c>
      <c r="BN182" s="257">
        <f>IF(BN7="Actual","",SUM(c_Calculations!BN982:BN984,c_Calculations!BN960:BN962,c_Calculations!BN938:BN940))</f>
        <v/>
      </c>
      <c r="BO182" s="257">
        <f>IF(BO7="Actual","",SUM(c_Calculations!BO982:BO984,c_Calculations!BO960:BO962,c_Calculations!BO938:BO940))</f>
        <v/>
      </c>
      <c r="BP182" s="257">
        <f>IF(BP7="Actual","",SUM(c_Calculations!BP982:BP984,c_Calculations!BP960:BP962,c_Calculations!BP938:BP940))</f>
        <v/>
      </c>
      <c r="BQ182" s="257">
        <f>IF(BQ7="Actual","",SUM(c_Calculations!BQ982:BQ984,c_Calculations!BQ960:BQ962,c_Calculations!BQ938:BQ940))</f>
        <v/>
      </c>
      <c r="BR182" s="257">
        <f>IF(BR7="Actual","",SUM(c_Calculations!BR982:BR984,c_Calculations!BR960:BR962,c_Calculations!BR938:BR940))</f>
        <v/>
      </c>
      <c r="BS182" s="257">
        <f>IF(BS7="Actual","",SUM(c_Calculations!BS982:BS984,c_Calculations!BS960:BS962,c_Calculations!BS938:BS940))</f>
        <v/>
      </c>
      <c r="BT182" s="257">
        <f>IF(BT7="Actual","",SUM(c_Calculations!BT982:BT984,c_Calculations!BT960:BT962,c_Calculations!BT938:BT940))</f>
        <v/>
      </c>
      <c r="BU182" s="257">
        <f>IF(BU7="Actual","",SUM(c_Calculations!BU982:BU984,c_Calculations!BU960:BU962,c_Calculations!BU938:BU940))</f>
        <v/>
      </c>
      <c r="BV182" s="257">
        <f>IF(BV7="Actual","",SUM(c_Calculations!BV982:BV984,c_Calculations!BV960:BV962,c_Calculations!BV938:BV940))</f>
        <v/>
      </c>
      <c r="BW182" s="257">
        <f>IF(BW7="Actual","",SUM(c_Calculations!BW982:BW984,c_Calculations!BW960:BW962,c_Calculations!BW938:BW940))</f>
        <v/>
      </c>
      <c r="BX182" s="257">
        <f>IF(BX7="Actual","",SUM(c_Calculations!BX982:BX984,c_Calculations!BX960:BX962,c_Calculations!BX938:BX940))</f>
        <v/>
      </c>
      <c r="BY182" s="257">
        <f>IF(BY7="Actual","",SUM(c_Calculations!BY982:BY984,c_Calculations!BY960:BY962,c_Calculations!BY938:BY940))</f>
        <v/>
      </c>
      <c r="BZ182" s="257">
        <f>IF(BZ7="Actual","",SUM(c_Calculations!BZ982:BZ984,c_Calculations!BZ960:BZ962,c_Calculations!BZ938:BZ940))</f>
        <v/>
      </c>
      <c r="CA182" s="257">
        <f>IF(CA7="Actual","",SUM(c_Calculations!CA982:CA984,c_Calculations!CA960:CA962,c_Calculations!CA938:CA940))</f>
        <v/>
      </c>
    </row>
    <row r="183" ht="12" customHeight="1" s="227">
      <c r="A183" s="244" t="n"/>
      <c r="B183" s="244" t="n"/>
      <c r="C183" s="244" t="n"/>
      <c r="H183" s="0" t="inlineStr">
        <is>
          <t>Interest Paid</t>
        </is>
      </c>
      <c r="I183" s="27">
        <f> i_Setup!$M$16</f>
        <v/>
      </c>
      <c r="M183" s="245">
        <f>SUMIF($T$4:$CA$4,M$4,$T183:$CA183)</f>
        <v/>
      </c>
      <c r="N183" s="245">
        <f>SUMIF($T$4:$CA$4,N$4,$T183:$CA183)</f>
        <v/>
      </c>
      <c r="O183" s="245">
        <f>SUMIF($T$4:$CA$4,O$4,$T183:$CA183)</f>
        <v/>
      </c>
      <c r="P183" s="245">
        <f>SUMIF($T$4:$CA$4,P$4,$T183:$CA183)</f>
        <v/>
      </c>
      <c r="Q183" s="245">
        <f>SUMIF($T$4:$CA$4,Q$4,$T183:$CA183)</f>
        <v/>
      </c>
      <c r="T183" s="257">
        <f>IF(T7="Actual","",SUM(c_Calculations!T937,c_Calculations!T959,c_Calculations!T981))</f>
        <v/>
      </c>
      <c r="U183" s="257">
        <f>IF(U7="Actual","",SUM(c_Calculations!U937,c_Calculations!U959,c_Calculations!U981))</f>
        <v/>
      </c>
      <c r="V183" s="257">
        <f>IF(V7="Actual","",SUM(c_Calculations!V937,c_Calculations!V959,c_Calculations!V981))</f>
        <v/>
      </c>
      <c r="W183" s="257">
        <f>IF(W7="Actual","",SUM(c_Calculations!W937,c_Calculations!W959,c_Calculations!W981))</f>
        <v/>
      </c>
      <c r="X183" s="257">
        <f>IF(X7="Actual","",SUM(c_Calculations!X937,c_Calculations!X959,c_Calculations!X981))</f>
        <v/>
      </c>
      <c r="Y183" s="257">
        <f>IF(Y7="Actual","",SUM(c_Calculations!Y937,c_Calculations!Y959,c_Calculations!Y981))</f>
        <v/>
      </c>
      <c r="Z183" s="257">
        <f>IF(Z7="Actual","",SUM(c_Calculations!Z937,c_Calculations!Z959,c_Calculations!Z981))</f>
        <v/>
      </c>
      <c r="AA183" s="257">
        <f>IF(AA7="Actual","",SUM(c_Calculations!AA937,c_Calculations!AA959,c_Calculations!AA981))</f>
        <v/>
      </c>
      <c r="AB183" s="257">
        <f>IF(AB7="Actual","",SUM(c_Calculations!AB937,c_Calculations!AB959,c_Calculations!AB981))</f>
        <v/>
      </c>
      <c r="AC183" s="257">
        <f>IF(AC7="Actual","",SUM(c_Calculations!AC937,c_Calculations!AC959,c_Calculations!AC981))</f>
        <v/>
      </c>
      <c r="AD183" s="257">
        <f>IF(AD7="Actual","",SUM(c_Calculations!AD937,c_Calculations!AD959,c_Calculations!AD981))</f>
        <v/>
      </c>
      <c r="AE183" s="257">
        <f>IF(AE7="Actual","",SUM(c_Calculations!AE937,c_Calculations!AE959,c_Calculations!AE981))</f>
        <v/>
      </c>
      <c r="AF183" s="257">
        <f>IF(AF7="Actual","",SUM(c_Calculations!AF937,c_Calculations!AF959,c_Calculations!AF981))</f>
        <v/>
      </c>
      <c r="AG183" s="257">
        <f>IF(AG7="Actual","",SUM(c_Calculations!AG937,c_Calculations!AG959,c_Calculations!AG981))</f>
        <v/>
      </c>
      <c r="AH183" s="257">
        <f>IF(AH7="Actual","",SUM(c_Calculations!AH937,c_Calculations!AH959,c_Calculations!AH981))</f>
        <v/>
      </c>
      <c r="AI183" s="257">
        <f>IF(AI7="Actual","",SUM(c_Calculations!AI937,c_Calculations!AI959,c_Calculations!AI981))</f>
        <v/>
      </c>
      <c r="AJ183" s="257">
        <f>IF(AJ7="Actual","",SUM(c_Calculations!AJ937,c_Calculations!AJ959,c_Calculations!AJ981))</f>
        <v/>
      </c>
      <c r="AK183" s="257">
        <f>IF(AK7="Actual","",SUM(c_Calculations!AK937,c_Calculations!AK959,c_Calculations!AK981))</f>
        <v/>
      </c>
      <c r="AL183" s="257">
        <f>IF(AL7="Actual","",SUM(c_Calculations!AL937,c_Calculations!AL959,c_Calculations!AL981))</f>
        <v/>
      </c>
      <c r="AM183" s="257">
        <f>IF(AM7="Actual","",SUM(c_Calculations!AM937,c_Calculations!AM959,c_Calculations!AM981))</f>
        <v/>
      </c>
      <c r="AN183" s="257">
        <f>IF(AN7="Actual","",SUM(c_Calculations!AN937,c_Calculations!AN959,c_Calculations!AN981))</f>
        <v/>
      </c>
      <c r="AO183" s="257">
        <f>IF(AO7="Actual","",SUM(c_Calculations!AO937,c_Calculations!AO959,c_Calculations!AO981))</f>
        <v/>
      </c>
      <c r="AP183" s="257">
        <f>IF(AP7="Actual","",SUM(c_Calculations!AP937,c_Calculations!AP959,c_Calculations!AP981))</f>
        <v/>
      </c>
      <c r="AQ183" s="257">
        <f>IF(AQ7="Actual","",SUM(c_Calculations!AQ937,c_Calculations!AQ959,c_Calculations!AQ981))</f>
        <v/>
      </c>
      <c r="AR183" s="257">
        <f>IF(AR7="Actual","",SUM(c_Calculations!AR937,c_Calculations!AR959,c_Calculations!AR981))</f>
        <v/>
      </c>
      <c r="AS183" s="257">
        <f>IF(AS7="Actual","",SUM(c_Calculations!AS937,c_Calculations!AS959,c_Calculations!AS981))</f>
        <v/>
      </c>
      <c r="AT183" s="257">
        <f>IF(AT7="Actual","",SUM(c_Calculations!AT937,c_Calculations!AT959,c_Calculations!AT981))</f>
        <v/>
      </c>
      <c r="AU183" s="257">
        <f>IF(AU7="Actual","",SUM(c_Calculations!AU937,c_Calculations!AU959,c_Calculations!AU981))</f>
        <v/>
      </c>
      <c r="AV183" s="257">
        <f>IF(AV7="Actual","",SUM(c_Calculations!AV937,c_Calculations!AV959,c_Calculations!AV981))</f>
        <v/>
      </c>
      <c r="AW183" s="257">
        <f>IF(AW7="Actual","",SUM(c_Calculations!AW937,c_Calculations!AW959,c_Calculations!AW981))</f>
        <v/>
      </c>
      <c r="AX183" s="257">
        <f>IF(AX7="Actual","",SUM(c_Calculations!AX937,c_Calculations!AX959,c_Calculations!AX981))</f>
        <v/>
      </c>
      <c r="AY183" s="257">
        <f>IF(AY7="Actual","",SUM(c_Calculations!AY937,c_Calculations!AY959,c_Calculations!AY981))</f>
        <v/>
      </c>
      <c r="AZ183" s="257">
        <f>IF(AZ7="Actual","",SUM(c_Calculations!AZ937,c_Calculations!AZ959,c_Calculations!AZ981))</f>
        <v/>
      </c>
      <c r="BA183" s="257">
        <f>IF(BA7="Actual","",SUM(c_Calculations!BA937,c_Calculations!BA959,c_Calculations!BA981))</f>
        <v/>
      </c>
      <c r="BB183" s="257">
        <f>IF(BB7="Actual","",SUM(c_Calculations!BB937,c_Calculations!BB959,c_Calculations!BB981))</f>
        <v/>
      </c>
      <c r="BC183" s="257">
        <f>IF(BC7="Actual","",SUM(c_Calculations!BC937,c_Calculations!BC959,c_Calculations!BC981))</f>
        <v/>
      </c>
      <c r="BD183" s="257">
        <f>IF(BD7="Actual","",SUM(c_Calculations!BD937,c_Calculations!BD959,c_Calculations!BD981))</f>
        <v/>
      </c>
      <c r="BE183" s="257">
        <f>IF(BE7="Actual","",SUM(c_Calculations!BE937,c_Calculations!BE959,c_Calculations!BE981))</f>
        <v/>
      </c>
      <c r="BF183" s="257">
        <f>IF(BF7="Actual","",SUM(c_Calculations!BF937,c_Calculations!BF959,c_Calculations!BF981))</f>
        <v/>
      </c>
      <c r="BG183" s="257">
        <f>IF(BG7="Actual","",SUM(c_Calculations!BG937,c_Calculations!BG959,c_Calculations!BG981))</f>
        <v/>
      </c>
      <c r="BH183" s="257">
        <f>IF(BH7="Actual","",SUM(c_Calculations!BH937,c_Calculations!BH959,c_Calculations!BH981))</f>
        <v/>
      </c>
      <c r="BI183" s="257">
        <f>IF(BI7="Actual","",SUM(c_Calculations!BI937,c_Calculations!BI959,c_Calculations!BI981))</f>
        <v/>
      </c>
      <c r="BJ183" s="257">
        <f>IF(BJ7="Actual","",SUM(c_Calculations!BJ937,c_Calculations!BJ959,c_Calculations!BJ981))</f>
        <v/>
      </c>
      <c r="BK183" s="257">
        <f>IF(BK7="Actual","",SUM(c_Calculations!BK937,c_Calculations!BK959,c_Calculations!BK981))</f>
        <v/>
      </c>
      <c r="BL183" s="257">
        <f>IF(BL7="Actual","",SUM(c_Calculations!BL937,c_Calculations!BL959,c_Calculations!BL981))</f>
        <v/>
      </c>
      <c r="BM183" s="257">
        <f>IF(BM7="Actual","",SUM(c_Calculations!BM937,c_Calculations!BM959,c_Calculations!BM981))</f>
        <v/>
      </c>
      <c r="BN183" s="257">
        <f>IF(BN7="Actual","",SUM(c_Calculations!BN937,c_Calculations!BN959,c_Calculations!BN981))</f>
        <v/>
      </c>
      <c r="BO183" s="257">
        <f>IF(BO7="Actual","",SUM(c_Calculations!BO937,c_Calculations!BO959,c_Calculations!BO981))</f>
        <v/>
      </c>
      <c r="BP183" s="257">
        <f>IF(BP7="Actual","",SUM(c_Calculations!BP937,c_Calculations!BP959,c_Calculations!BP981))</f>
        <v/>
      </c>
      <c r="BQ183" s="257">
        <f>IF(BQ7="Actual","",SUM(c_Calculations!BQ937,c_Calculations!BQ959,c_Calculations!BQ981))</f>
        <v/>
      </c>
      <c r="BR183" s="257">
        <f>IF(BR7="Actual","",SUM(c_Calculations!BR937,c_Calculations!BR959,c_Calculations!BR981))</f>
        <v/>
      </c>
      <c r="BS183" s="257">
        <f>IF(BS7="Actual","",SUM(c_Calculations!BS937,c_Calculations!BS959,c_Calculations!BS981))</f>
        <v/>
      </c>
      <c r="BT183" s="257">
        <f>IF(BT7="Actual","",SUM(c_Calculations!BT937,c_Calculations!BT959,c_Calculations!BT981))</f>
        <v/>
      </c>
      <c r="BU183" s="257">
        <f>IF(BU7="Actual","",SUM(c_Calculations!BU937,c_Calculations!BU959,c_Calculations!BU981))</f>
        <v/>
      </c>
      <c r="BV183" s="257">
        <f>IF(BV7="Actual","",SUM(c_Calculations!BV937,c_Calculations!BV959,c_Calculations!BV981))</f>
        <v/>
      </c>
      <c r="BW183" s="257">
        <f>IF(BW7="Actual","",SUM(c_Calculations!BW937,c_Calculations!BW959,c_Calculations!BW981))</f>
        <v/>
      </c>
      <c r="BX183" s="257">
        <f>IF(BX7="Actual","",SUM(c_Calculations!BX937,c_Calculations!BX959,c_Calculations!BX981))</f>
        <v/>
      </c>
      <c r="BY183" s="257">
        <f>IF(BY7="Actual","",SUM(c_Calculations!BY937,c_Calculations!BY959,c_Calculations!BY981))</f>
        <v/>
      </c>
      <c r="BZ183" s="257">
        <f>IF(BZ7="Actual","",SUM(c_Calculations!BZ937,c_Calculations!BZ959,c_Calculations!BZ981))</f>
        <v/>
      </c>
      <c r="CA183" s="257">
        <f>IF(CA7="Actual","",SUM(c_Calculations!CA937,c_Calculations!CA959,c_Calculations!CA981))</f>
        <v/>
      </c>
    </row>
    <row r="184" ht="12" customHeight="1" s="227">
      <c r="A184" s="244" t="n"/>
      <c r="B184" s="244" t="n"/>
      <c r="C184" s="244" t="n"/>
      <c r="H184" s="0" t="inlineStr">
        <is>
          <t>Dividend Payments</t>
        </is>
      </c>
      <c r="I184" s="27">
        <f> i_Setup!$M$16</f>
        <v/>
      </c>
      <c r="M184" s="245">
        <f>SUMIF($T$4:$CA$4,M$4,$T184:$CA184)</f>
        <v/>
      </c>
      <c r="N184" s="245">
        <f>SUMIF($T$4:$CA$4,N$4,$T184:$CA184)</f>
        <v/>
      </c>
      <c r="O184" s="245">
        <f>SUMIF($T$4:$CA$4,O$4,$T184:$CA184)</f>
        <v/>
      </c>
      <c r="P184" s="245">
        <f>SUMIF($T$4:$CA$4,P$4,$T184:$CA184)</f>
        <v/>
      </c>
      <c r="Q184" s="245">
        <f>SUMIF($T$4:$CA$4,Q$4,$T184:$CA184)</f>
        <v/>
      </c>
      <c r="T184" s="257">
        <f>IF(T7="Actual","",-c_Calculations!T640)</f>
        <v/>
      </c>
      <c r="U184" s="257">
        <f>IF(U7="Actual","",-c_Calculations!U640)</f>
        <v/>
      </c>
      <c r="V184" s="257">
        <f>IF(V7="Actual","",-c_Calculations!V640)</f>
        <v/>
      </c>
      <c r="W184" s="257">
        <f>IF(W7="Actual","",-c_Calculations!W640)</f>
        <v/>
      </c>
      <c r="X184" s="257">
        <f>IF(X7="Actual","",-c_Calculations!X640)</f>
        <v/>
      </c>
      <c r="Y184" s="257">
        <f>IF(Y7="Actual","",-c_Calculations!Y640)</f>
        <v/>
      </c>
      <c r="Z184" s="257">
        <f>IF(Z7="Actual","",-c_Calculations!Z640)</f>
        <v/>
      </c>
      <c r="AA184" s="257">
        <f>IF(AA7="Actual","",-c_Calculations!AA640)</f>
        <v/>
      </c>
      <c r="AB184" s="257">
        <f>IF(AB7="Actual","",-c_Calculations!AB640)</f>
        <v/>
      </c>
      <c r="AC184" s="257">
        <f>IF(AC7="Actual","",-c_Calculations!AC640)</f>
        <v/>
      </c>
      <c r="AD184" s="257">
        <f>IF(AD7="Actual","",-c_Calculations!AD640)</f>
        <v/>
      </c>
      <c r="AE184" s="257">
        <f>IF(AE7="Actual","",-c_Calculations!AE640)</f>
        <v/>
      </c>
      <c r="AF184" s="257">
        <f>IF(AF7="Actual","",-c_Calculations!AF640)</f>
        <v/>
      </c>
      <c r="AG184" s="257">
        <f>IF(AG7="Actual","",-c_Calculations!AG640)</f>
        <v/>
      </c>
      <c r="AH184" s="257">
        <f>IF(AH7="Actual","",-c_Calculations!AH640)</f>
        <v/>
      </c>
      <c r="AI184" s="257">
        <f>IF(AI7="Actual","",-c_Calculations!AI640)</f>
        <v/>
      </c>
      <c r="AJ184" s="257">
        <f>IF(AJ7="Actual","",-c_Calculations!AJ640)</f>
        <v/>
      </c>
      <c r="AK184" s="257">
        <f>IF(AK7="Actual","",-c_Calculations!AK640)</f>
        <v/>
      </c>
      <c r="AL184" s="257">
        <f>IF(AL7="Actual","",-c_Calculations!AL640)</f>
        <v/>
      </c>
      <c r="AM184" s="257">
        <f>IF(AM7="Actual","",-c_Calculations!AM640)</f>
        <v/>
      </c>
      <c r="AN184" s="257">
        <f>IF(AN7="Actual","",-c_Calculations!AN640)</f>
        <v/>
      </c>
      <c r="AO184" s="257">
        <f>IF(AO7="Actual","",-c_Calculations!AO640)</f>
        <v/>
      </c>
      <c r="AP184" s="257">
        <f>IF(AP7="Actual","",-c_Calculations!AP640)</f>
        <v/>
      </c>
      <c r="AQ184" s="257">
        <f>IF(AQ7="Actual","",-c_Calculations!AQ640)</f>
        <v/>
      </c>
      <c r="AR184" s="257">
        <f>IF(AR7="Actual","",-c_Calculations!AR640)</f>
        <v/>
      </c>
      <c r="AS184" s="257">
        <f>IF(AS7="Actual","",-c_Calculations!AS640)</f>
        <v/>
      </c>
      <c r="AT184" s="257">
        <f>IF(AT7="Actual","",-c_Calculations!AT640)</f>
        <v/>
      </c>
      <c r="AU184" s="257">
        <f>IF(AU7="Actual","",-c_Calculations!AU640)</f>
        <v/>
      </c>
      <c r="AV184" s="257">
        <f>IF(AV7="Actual","",-c_Calculations!AV640)</f>
        <v/>
      </c>
      <c r="AW184" s="257">
        <f>IF(AW7="Actual","",-c_Calculations!AW640)</f>
        <v/>
      </c>
      <c r="AX184" s="257">
        <f>IF(AX7="Actual","",-c_Calculations!AX640)</f>
        <v/>
      </c>
      <c r="AY184" s="257">
        <f>IF(AY7="Actual","",-c_Calculations!AY640)</f>
        <v/>
      </c>
      <c r="AZ184" s="257">
        <f>IF(AZ7="Actual","",-c_Calculations!AZ640)</f>
        <v/>
      </c>
      <c r="BA184" s="257">
        <f>IF(BA7="Actual","",-c_Calculations!BA640)</f>
        <v/>
      </c>
      <c r="BB184" s="257">
        <f>IF(BB7="Actual","",-c_Calculations!BB640)</f>
        <v/>
      </c>
      <c r="BC184" s="257">
        <f>IF(BC7="Actual","",-c_Calculations!BC640)</f>
        <v/>
      </c>
      <c r="BD184" s="257">
        <f>IF(BD7="Actual","",-c_Calculations!BD640)</f>
        <v/>
      </c>
      <c r="BE184" s="257">
        <f>IF(BE7="Actual","",-c_Calculations!BE640)</f>
        <v/>
      </c>
      <c r="BF184" s="257">
        <f>IF(BF7="Actual","",-c_Calculations!BF640)</f>
        <v/>
      </c>
      <c r="BG184" s="257">
        <f>IF(BG7="Actual","",-c_Calculations!BG640)</f>
        <v/>
      </c>
      <c r="BH184" s="257">
        <f>IF(BH7="Actual","",-c_Calculations!BH640)</f>
        <v/>
      </c>
      <c r="BI184" s="257">
        <f>IF(BI7="Actual","",-c_Calculations!BI640)</f>
        <v/>
      </c>
      <c r="BJ184" s="257">
        <f>IF(BJ7="Actual","",-c_Calculations!BJ640)</f>
        <v/>
      </c>
      <c r="BK184" s="257">
        <f>IF(BK7="Actual","",-c_Calculations!BK640)</f>
        <v/>
      </c>
      <c r="BL184" s="257">
        <f>IF(BL7="Actual","",-c_Calculations!BL640)</f>
        <v/>
      </c>
      <c r="BM184" s="257">
        <f>IF(BM7="Actual","",-c_Calculations!BM640)</f>
        <v/>
      </c>
      <c r="BN184" s="257">
        <f>IF(BN7="Actual","",-c_Calculations!BN640)</f>
        <v/>
      </c>
      <c r="BO184" s="257">
        <f>IF(BO7="Actual","",-c_Calculations!BO640)</f>
        <v/>
      </c>
      <c r="BP184" s="257">
        <f>IF(BP7="Actual","",-c_Calculations!BP640)</f>
        <v/>
      </c>
      <c r="BQ184" s="257">
        <f>IF(BQ7="Actual","",-c_Calculations!BQ640)</f>
        <v/>
      </c>
      <c r="BR184" s="257">
        <f>IF(BR7="Actual","",-c_Calculations!BR640)</f>
        <v/>
      </c>
      <c r="BS184" s="257">
        <f>IF(BS7="Actual","",-c_Calculations!BS640)</f>
        <v/>
      </c>
      <c r="BT184" s="257">
        <f>IF(BT7="Actual","",-c_Calculations!BT640)</f>
        <v/>
      </c>
      <c r="BU184" s="257">
        <f>IF(BU7="Actual","",-c_Calculations!BU640)</f>
        <v/>
      </c>
      <c r="BV184" s="257">
        <f>IF(BV7="Actual","",-c_Calculations!BV640)</f>
        <v/>
      </c>
      <c r="BW184" s="257">
        <f>IF(BW7="Actual","",-c_Calculations!BW640)</f>
        <v/>
      </c>
      <c r="BX184" s="257">
        <f>IF(BX7="Actual","",-c_Calculations!BX640)</f>
        <v/>
      </c>
      <c r="BY184" s="257">
        <f>IF(BY7="Actual","",-c_Calculations!BY640)</f>
        <v/>
      </c>
      <c r="BZ184" s="257">
        <f>IF(BZ7="Actual","",-c_Calculations!BZ640)</f>
        <v/>
      </c>
      <c r="CA184" s="257">
        <f>IF(CA7="Actual","",-c_Calculations!CA640)</f>
        <v/>
      </c>
    </row>
    <row r="185" ht="12" customHeight="1" s="227">
      <c r="A185" s="244" t="n"/>
      <c r="B185" s="244" t="n"/>
      <c r="C185" s="244" t="n"/>
      <c r="H185" s="0" t="inlineStr">
        <is>
          <t>Share Capital Additions</t>
        </is>
      </c>
      <c r="I185" s="27">
        <f> i_Setup!$M$16</f>
        <v/>
      </c>
      <c r="M185" s="245">
        <f>SUMIF($T$4:$CA$4,M$4,$T185:$CA185)</f>
        <v/>
      </c>
      <c r="N185" s="245">
        <f>SUMIF($T$4:$CA$4,N$4,$T185:$CA185)</f>
        <v/>
      </c>
      <c r="O185" s="245">
        <f>SUMIF($T$4:$CA$4,O$4,$T185:$CA185)</f>
        <v/>
      </c>
      <c r="P185" s="245">
        <f>SUMIF($T$4:$CA$4,P$4,$T185:$CA185)</f>
        <v/>
      </c>
      <c r="Q185" s="245">
        <f>SUMIF($T$4:$CA$4,Q$4,$T185:$CA185)</f>
        <v/>
      </c>
      <c r="T185" s="257">
        <f>IF(T$7="Actual","",-c_Calculations!T995)</f>
        <v/>
      </c>
      <c r="U185" s="257">
        <f>IF(U$7="Actual","",-c_Calculations!U995)</f>
        <v/>
      </c>
      <c r="V185" s="257">
        <f>IF(V$7="Actual","",-c_Calculations!V995)</f>
        <v/>
      </c>
      <c r="W185" s="257">
        <f>IF(W$7="Actual","",-c_Calculations!W995)</f>
        <v/>
      </c>
      <c r="X185" s="257">
        <f>IF(X$7="Actual","",-c_Calculations!X995)</f>
        <v/>
      </c>
      <c r="Y185" s="257">
        <f>IF(Y$7="Actual","",-c_Calculations!Y995)</f>
        <v/>
      </c>
      <c r="Z185" s="257">
        <f>IF(Z$7="Actual","",-c_Calculations!Z995)</f>
        <v/>
      </c>
      <c r="AA185" s="257">
        <f>IF(AA$7="Actual","",-c_Calculations!AA995)</f>
        <v/>
      </c>
      <c r="AB185" s="257">
        <f>IF(AB$7="Actual","",-c_Calculations!AB995)</f>
        <v/>
      </c>
      <c r="AC185" s="257">
        <f>IF(AC$7="Actual","",-c_Calculations!AC995)</f>
        <v/>
      </c>
      <c r="AD185" s="257">
        <f>IF(AD$7="Actual","",-c_Calculations!AD995)</f>
        <v/>
      </c>
      <c r="AE185" s="257">
        <f>IF(AE$7="Actual","",-c_Calculations!AE995)</f>
        <v/>
      </c>
      <c r="AF185" s="257">
        <f>IF(AF$7="Actual","",-c_Calculations!AF995)</f>
        <v/>
      </c>
      <c r="AG185" s="257">
        <f>IF(AG$7="Actual","",-c_Calculations!AG995)</f>
        <v/>
      </c>
      <c r="AH185" s="257">
        <f>IF(AH$7="Actual","",-c_Calculations!AH995)</f>
        <v/>
      </c>
      <c r="AI185" s="257">
        <f>IF(AI$7="Actual","",-c_Calculations!AI995)</f>
        <v/>
      </c>
      <c r="AJ185" s="257">
        <f>IF(AJ$7="Actual","",-c_Calculations!AJ995)</f>
        <v/>
      </c>
      <c r="AK185" s="257">
        <f>IF(AK$7="Actual","",-c_Calculations!AK995)</f>
        <v/>
      </c>
      <c r="AL185" s="257">
        <f>IF(AL$7="Actual","",-c_Calculations!AL995)</f>
        <v/>
      </c>
      <c r="AM185" s="257">
        <f>IF(AM$7="Actual","",-c_Calculations!AM995)</f>
        <v/>
      </c>
      <c r="AN185" s="257">
        <f>IF(AN$7="Actual","",-c_Calculations!AN995)</f>
        <v/>
      </c>
      <c r="AO185" s="257">
        <f>IF(AO$7="Actual","",-c_Calculations!AO995)</f>
        <v/>
      </c>
      <c r="AP185" s="257">
        <f>IF(AP$7="Actual","",-c_Calculations!AP995)</f>
        <v/>
      </c>
      <c r="AQ185" s="257">
        <f>IF(AQ$7="Actual","",-c_Calculations!AQ995)</f>
        <v/>
      </c>
      <c r="AR185" s="257">
        <f>IF(AR$7="Actual","",-c_Calculations!AR995)</f>
        <v/>
      </c>
      <c r="AS185" s="257">
        <f>IF(AS$7="Actual","",-c_Calculations!AS995)</f>
        <v/>
      </c>
      <c r="AT185" s="257">
        <f>IF(AT$7="Actual","",-c_Calculations!AT995)</f>
        <v/>
      </c>
      <c r="AU185" s="257">
        <f>IF(AU$7="Actual","",-c_Calculations!AU995)</f>
        <v/>
      </c>
      <c r="AV185" s="257">
        <f>IF(AV$7="Actual","",-c_Calculations!AV995)</f>
        <v/>
      </c>
      <c r="AW185" s="257">
        <f>IF(AW$7="Actual","",-c_Calculations!AW995)</f>
        <v/>
      </c>
      <c r="AX185" s="257">
        <f>IF(AX$7="Actual","",-c_Calculations!AX995)</f>
        <v/>
      </c>
      <c r="AY185" s="257">
        <f>IF(AY$7="Actual","",-c_Calculations!AY995)</f>
        <v/>
      </c>
      <c r="AZ185" s="257">
        <f>IF(AZ$7="Actual","",-c_Calculations!AZ995)</f>
        <v/>
      </c>
      <c r="BA185" s="257">
        <f>IF(BA$7="Actual","",-c_Calculations!BA995)</f>
        <v/>
      </c>
      <c r="BB185" s="257">
        <f>IF(BB$7="Actual","",-c_Calculations!BB995)</f>
        <v/>
      </c>
      <c r="BC185" s="257">
        <f>IF(BC$7="Actual","",-c_Calculations!BC995)</f>
        <v/>
      </c>
      <c r="BD185" s="257">
        <f>IF(BD$7="Actual","",-c_Calculations!BD995)</f>
        <v/>
      </c>
      <c r="BE185" s="257">
        <f>IF(BE$7="Actual","",-c_Calculations!BE995)</f>
        <v/>
      </c>
      <c r="BF185" s="257">
        <f>IF(BF$7="Actual","",-c_Calculations!BF995)</f>
        <v/>
      </c>
      <c r="BG185" s="257">
        <f>IF(BG$7="Actual","",-c_Calculations!BG995)</f>
        <v/>
      </c>
      <c r="BH185" s="257">
        <f>IF(BH$7="Actual","",-c_Calculations!BH995)</f>
        <v/>
      </c>
      <c r="BI185" s="257">
        <f>IF(BI$7="Actual","",-c_Calculations!BI995)</f>
        <v/>
      </c>
      <c r="BJ185" s="257">
        <f>IF(BJ$7="Actual","",-c_Calculations!BJ995)</f>
        <v/>
      </c>
      <c r="BK185" s="257">
        <f>IF(BK$7="Actual","",-c_Calculations!BK995)</f>
        <v/>
      </c>
      <c r="BL185" s="257">
        <f>IF(BL$7="Actual","",-c_Calculations!BL995)</f>
        <v/>
      </c>
      <c r="BM185" s="257">
        <f>IF(BM$7="Actual","",-c_Calculations!BM995)</f>
        <v/>
      </c>
      <c r="BN185" s="257">
        <f>IF(BN$7="Actual","",-c_Calculations!BN995)</f>
        <v/>
      </c>
      <c r="BO185" s="257">
        <f>IF(BO$7="Actual","",-c_Calculations!BO995)</f>
        <v/>
      </c>
      <c r="BP185" s="257">
        <f>IF(BP$7="Actual","",-c_Calculations!BP995)</f>
        <v/>
      </c>
      <c r="BQ185" s="257">
        <f>IF(BQ$7="Actual","",-c_Calculations!BQ995)</f>
        <v/>
      </c>
      <c r="BR185" s="257">
        <f>IF(BR$7="Actual","",-c_Calculations!BR995)</f>
        <v/>
      </c>
      <c r="BS185" s="257">
        <f>IF(BS$7="Actual","",-c_Calculations!BS995)</f>
        <v/>
      </c>
      <c r="BT185" s="257">
        <f>IF(BT$7="Actual","",-c_Calculations!BT995)</f>
        <v/>
      </c>
      <c r="BU185" s="257">
        <f>IF(BU$7="Actual","",-c_Calculations!BU995)</f>
        <v/>
      </c>
      <c r="BV185" s="257">
        <f>IF(BV$7="Actual","",-c_Calculations!BV995)</f>
        <v/>
      </c>
      <c r="BW185" s="257">
        <f>IF(BW$7="Actual","",-c_Calculations!BW995)</f>
        <v/>
      </c>
      <c r="BX185" s="257">
        <f>IF(BX$7="Actual","",-c_Calculations!BX995)</f>
        <v/>
      </c>
      <c r="BY185" s="257">
        <f>IF(BY$7="Actual","",-c_Calculations!BY995)</f>
        <v/>
      </c>
      <c r="BZ185" s="257">
        <f>IF(BZ$7="Actual","",-c_Calculations!BZ995)</f>
        <v/>
      </c>
      <c r="CA185" s="257">
        <f>IF(CA$7="Actual","",-c_Calculations!CA995)</f>
        <v/>
      </c>
    </row>
    <row r="186" ht="12" customHeight="1" s="227">
      <c r="A186" s="244" t="n"/>
      <c r="B186" s="244" t="n"/>
      <c r="C186" s="244" t="n"/>
      <c r="G186" s="39" t="inlineStr">
        <is>
          <t>Total CF from Financing Activities</t>
        </is>
      </c>
      <c r="H186" s="39" t="n"/>
      <c r="I186" s="41">
        <f> i_Setup!$M$16</f>
        <v/>
      </c>
      <c r="J186" s="39" t="n"/>
      <c r="K186" s="56" t="n"/>
      <c r="M186" s="249">
        <f>SUM(M182:M185)</f>
        <v/>
      </c>
      <c r="N186" s="249">
        <f>SUM(N182:N185)</f>
        <v/>
      </c>
      <c r="O186" s="249">
        <f>SUM(O182:O185)</f>
        <v/>
      </c>
      <c r="P186" s="249">
        <f>SUM(P182:P185)</f>
        <v/>
      </c>
      <c r="Q186" s="249">
        <f>SUM(Q182:Q185)</f>
        <v/>
      </c>
      <c r="T186" s="249">
        <f>SUM(T182:T185)</f>
        <v/>
      </c>
      <c r="U186" s="249">
        <f>SUM(U182:U185)</f>
        <v/>
      </c>
      <c r="V186" s="249">
        <f>SUM(V182:V185)</f>
        <v/>
      </c>
      <c r="W186" s="249">
        <f>SUM(W182:W185)</f>
        <v/>
      </c>
      <c r="X186" s="249">
        <f>SUM(X182:X185)</f>
        <v/>
      </c>
      <c r="Y186" s="249">
        <f>SUM(Y182:Y185)</f>
        <v/>
      </c>
      <c r="Z186" s="249">
        <f>SUM(Z182:Z185)</f>
        <v/>
      </c>
      <c r="AA186" s="249">
        <f>SUM(AA182:AA185)</f>
        <v/>
      </c>
      <c r="AB186" s="249">
        <f>SUM(AB182:AB185)</f>
        <v/>
      </c>
      <c r="AC186" s="249">
        <f>SUM(AC182:AC185)</f>
        <v/>
      </c>
      <c r="AD186" s="249">
        <f>SUM(AD182:AD185)</f>
        <v/>
      </c>
      <c r="AE186" s="249">
        <f>SUM(AE182:AE185)</f>
        <v/>
      </c>
      <c r="AF186" s="249">
        <f>SUM(AF182:AF185)</f>
        <v/>
      </c>
      <c r="AG186" s="249">
        <f>SUM(AG182:AG185)</f>
        <v/>
      </c>
      <c r="AH186" s="249">
        <f>SUM(AH182:AH185)</f>
        <v/>
      </c>
      <c r="AI186" s="249">
        <f>SUM(AI182:AI185)</f>
        <v/>
      </c>
      <c r="AJ186" s="249">
        <f>SUM(AJ182:AJ185)</f>
        <v/>
      </c>
      <c r="AK186" s="249">
        <f>SUM(AK182:AK185)</f>
        <v/>
      </c>
      <c r="AL186" s="249">
        <f>SUM(AL182:AL185)</f>
        <v/>
      </c>
      <c r="AM186" s="249">
        <f>SUM(AM182:AM185)</f>
        <v/>
      </c>
      <c r="AN186" s="249">
        <f>SUM(AN182:AN185)</f>
        <v/>
      </c>
      <c r="AO186" s="249">
        <f>SUM(AO182:AO185)</f>
        <v/>
      </c>
      <c r="AP186" s="249">
        <f>SUM(AP182:AP185)</f>
        <v/>
      </c>
      <c r="AQ186" s="249">
        <f>SUM(AQ182:AQ185)</f>
        <v/>
      </c>
      <c r="AR186" s="249">
        <f>SUM(AR182:AR185)</f>
        <v/>
      </c>
      <c r="AS186" s="249">
        <f>SUM(AS182:AS185)</f>
        <v/>
      </c>
      <c r="AT186" s="249">
        <f>SUM(AT182:AT185)</f>
        <v/>
      </c>
      <c r="AU186" s="249">
        <f>SUM(AU182:AU185)</f>
        <v/>
      </c>
      <c r="AV186" s="249">
        <f>SUM(AV182:AV185)</f>
        <v/>
      </c>
      <c r="AW186" s="249">
        <f>SUM(AW182:AW185)</f>
        <v/>
      </c>
      <c r="AX186" s="249">
        <f>SUM(AX182:AX185)</f>
        <v/>
      </c>
      <c r="AY186" s="249">
        <f>SUM(AY182:AY185)</f>
        <v/>
      </c>
      <c r="AZ186" s="249">
        <f>SUM(AZ182:AZ185)</f>
        <v/>
      </c>
      <c r="BA186" s="249">
        <f>SUM(BA182:BA185)</f>
        <v/>
      </c>
      <c r="BB186" s="249">
        <f>SUM(BB182:BB185)</f>
        <v/>
      </c>
      <c r="BC186" s="249">
        <f>SUM(BC182:BC185)</f>
        <v/>
      </c>
      <c r="BD186" s="249">
        <f>SUM(BD182:BD185)</f>
        <v/>
      </c>
      <c r="BE186" s="249">
        <f>SUM(BE182:BE185)</f>
        <v/>
      </c>
      <c r="BF186" s="249">
        <f>SUM(BF182:BF185)</f>
        <v/>
      </c>
      <c r="BG186" s="249">
        <f>SUM(BG182:BG185)</f>
        <v/>
      </c>
      <c r="BH186" s="249">
        <f>SUM(BH182:BH185)</f>
        <v/>
      </c>
      <c r="BI186" s="249">
        <f>SUM(BI182:BI185)</f>
        <v/>
      </c>
      <c r="BJ186" s="249">
        <f>SUM(BJ182:BJ185)</f>
        <v/>
      </c>
      <c r="BK186" s="249">
        <f>SUM(BK182:BK185)</f>
        <v/>
      </c>
      <c r="BL186" s="249">
        <f>SUM(BL182:BL185)</f>
        <v/>
      </c>
      <c r="BM186" s="249">
        <f>SUM(BM182:BM185)</f>
        <v/>
      </c>
      <c r="BN186" s="249">
        <f>SUM(BN182:BN185)</f>
        <v/>
      </c>
      <c r="BO186" s="249">
        <f>SUM(BO182:BO185)</f>
        <v/>
      </c>
      <c r="BP186" s="249">
        <f>SUM(BP182:BP185)</f>
        <v/>
      </c>
      <c r="BQ186" s="249">
        <f>SUM(BQ182:BQ185)</f>
        <v/>
      </c>
      <c r="BR186" s="249">
        <f>SUM(BR182:BR185)</f>
        <v/>
      </c>
      <c r="BS186" s="249">
        <f>SUM(BS182:BS185)</f>
        <v/>
      </c>
      <c r="BT186" s="249">
        <f>SUM(BT182:BT185)</f>
        <v/>
      </c>
      <c r="BU186" s="249">
        <f>SUM(BU182:BU185)</f>
        <v/>
      </c>
      <c r="BV186" s="249">
        <f>SUM(BV182:BV185)</f>
        <v/>
      </c>
      <c r="BW186" s="249">
        <f>SUM(BW182:BW185)</f>
        <v/>
      </c>
      <c r="BX186" s="249">
        <f>SUM(BX182:BX185)</f>
        <v/>
      </c>
      <c r="BY186" s="249">
        <f>SUM(BY182:BY185)</f>
        <v/>
      </c>
      <c r="BZ186" s="249">
        <f>SUM(BZ182:BZ185)</f>
        <v/>
      </c>
      <c r="CA186" s="249">
        <f>SUM(CA182:CA185)</f>
        <v/>
      </c>
    </row>
    <row r="187" ht="12" customHeight="1" s="227">
      <c r="A187" s="244" t="n"/>
      <c r="B187" s="244" t="n"/>
      <c r="C187" s="244" t="n"/>
    </row>
    <row r="188" ht="12" customHeight="1" s="227">
      <c r="A188" s="244" t="n"/>
      <c r="B188" s="244" t="n"/>
      <c r="C188" s="244" t="n"/>
    </row>
    <row r="189" ht="12.75" customHeight="1" s="227">
      <c r="A189" s="244" t="n"/>
      <c r="B189" s="244" t="n"/>
      <c r="C189" s="244" t="n"/>
      <c r="G189" s="222" t="inlineStr">
        <is>
          <t>Cash Balance</t>
        </is>
      </c>
    </row>
    <row r="190" ht="12" customHeight="1" s="227">
      <c r="A190" s="244" t="n"/>
      <c r="B190" s="244" t="n"/>
      <c r="C190" s="244" t="n"/>
      <c r="H190" s="0" t="inlineStr">
        <is>
          <t>Total Net Cash flow movement</t>
        </is>
      </c>
      <c r="I190" s="27">
        <f> i_Setup!$M$16</f>
        <v/>
      </c>
      <c r="M190" s="280">
        <f>M173+M178+M186</f>
        <v/>
      </c>
      <c r="N190" s="280">
        <f>N173+N178+N186</f>
        <v/>
      </c>
      <c r="O190" s="280">
        <f>O173+O178+O186</f>
        <v/>
      </c>
      <c r="P190" s="280">
        <f>P173+P178+P186</f>
        <v/>
      </c>
      <c r="Q190" s="280">
        <f>Q173+Q178+Q186</f>
        <v/>
      </c>
      <c r="T190" s="280">
        <f>T173+T178+T186</f>
        <v/>
      </c>
      <c r="U190" s="280">
        <f>U173+U178+U186</f>
        <v/>
      </c>
      <c r="V190" s="280">
        <f>V173+V178+V186</f>
        <v/>
      </c>
      <c r="W190" s="280">
        <f>W173+W178+W186</f>
        <v/>
      </c>
      <c r="X190" s="280">
        <f>X173+X178+X186</f>
        <v/>
      </c>
      <c r="Y190" s="280">
        <f>Y173+Y178+Y186</f>
        <v/>
      </c>
      <c r="Z190" s="280">
        <f>Z173+Z178+Z186</f>
        <v/>
      </c>
      <c r="AA190" s="280">
        <f>AA173+AA178+AA186</f>
        <v/>
      </c>
      <c r="AB190" s="280">
        <f>AB173+AB178+AB186</f>
        <v/>
      </c>
      <c r="AC190" s="280">
        <f>AC173+AC178+AC186</f>
        <v/>
      </c>
      <c r="AD190" s="280">
        <f>AD173+AD178+AD186</f>
        <v/>
      </c>
      <c r="AE190" s="280">
        <f>AE173+AE178+AE186</f>
        <v/>
      </c>
      <c r="AF190" s="280">
        <f>AF173+AF178+AF186</f>
        <v/>
      </c>
      <c r="AG190" s="280">
        <f>AG173+AG178+AG186</f>
        <v/>
      </c>
      <c r="AH190" s="280">
        <f>AH173+AH178+AH186</f>
        <v/>
      </c>
      <c r="AI190" s="280">
        <f>AI173+AI178+AI186</f>
        <v/>
      </c>
      <c r="AJ190" s="280">
        <f>AJ173+AJ178+AJ186</f>
        <v/>
      </c>
      <c r="AK190" s="280">
        <f>AK173+AK178+AK186</f>
        <v/>
      </c>
      <c r="AL190" s="280">
        <f>AL173+AL178+AL186</f>
        <v/>
      </c>
      <c r="AM190" s="280">
        <f>AM173+AM178+AM186</f>
        <v/>
      </c>
      <c r="AN190" s="280">
        <f>AN173+AN178+AN186</f>
        <v/>
      </c>
      <c r="AO190" s="280">
        <f>AO173+AO178+AO186</f>
        <v/>
      </c>
      <c r="AP190" s="280">
        <f>AP173+AP178+AP186</f>
        <v/>
      </c>
      <c r="AQ190" s="280">
        <f>AQ173+AQ178+AQ186</f>
        <v/>
      </c>
      <c r="AR190" s="280">
        <f>AR173+AR178+AR186</f>
        <v/>
      </c>
      <c r="AS190" s="280">
        <f>AS173+AS178+AS186</f>
        <v/>
      </c>
      <c r="AT190" s="280">
        <f>AT173+AT178+AT186</f>
        <v/>
      </c>
      <c r="AU190" s="280">
        <f>AU173+AU178+AU186</f>
        <v/>
      </c>
      <c r="AV190" s="280">
        <f>AV173+AV178+AV186</f>
        <v/>
      </c>
      <c r="AW190" s="280">
        <f>AW173+AW178+AW186</f>
        <v/>
      </c>
      <c r="AX190" s="280">
        <f>AX173+AX178+AX186</f>
        <v/>
      </c>
      <c r="AY190" s="280">
        <f>AY173+AY178+AY186</f>
        <v/>
      </c>
      <c r="AZ190" s="280">
        <f>AZ173+AZ178+AZ186</f>
        <v/>
      </c>
      <c r="BA190" s="280">
        <f>BA173+BA178+BA186</f>
        <v/>
      </c>
      <c r="BB190" s="280">
        <f>BB173+BB178+BB186</f>
        <v/>
      </c>
      <c r="BC190" s="280">
        <f>BC173+BC178+BC186</f>
        <v/>
      </c>
      <c r="BD190" s="280">
        <f>BD173+BD178+BD186</f>
        <v/>
      </c>
      <c r="BE190" s="280">
        <f>BE173+BE178+BE186</f>
        <v/>
      </c>
      <c r="BF190" s="280">
        <f>BF173+BF178+BF186</f>
        <v/>
      </c>
      <c r="BG190" s="280">
        <f>BG173+BG178+BG186</f>
        <v/>
      </c>
      <c r="BH190" s="280">
        <f>BH173+BH178+BH186</f>
        <v/>
      </c>
      <c r="BI190" s="280">
        <f>BI173+BI178+BI186</f>
        <v/>
      </c>
      <c r="BJ190" s="280">
        <f>BJ173+BJ178+BJ186</f>
        <v/>
      </c>
      <c r="BK190" s="280">
        <f>BK173+BK178+BK186</f>
        <v/>
      </c>
      <c r="BL190" s="280">
        <f>BL173+BL178+BL186</f>
        <v/>
      </c>
      <c r="BM190" s="280">
        <f>BM173+BM178+BM186</f>
        <v/>
      </c>
      <c r="BN190" s="280">
        <f>BN173+BN178+BN186</f>
        <v/>
      </c>
      <c r="BO190" s="280">
        <f>BO173+BO178+BO186</f>
        <v/>
      </c>
      <c r="BP190" s="280">
        <f>BP173+BP178+BP186</f>
        <v/>
      </c>
      <c r="BQ190" s="280">
        <f>BQ173+BQ178+BQ186</f>
        <v/>
      </c>
      <c r="BR190" s="280">
        <f>BR173+BR178+BR186</f>
        <v/>
      </c>
      <c r="BS190" s="280">
        <f>BS173+BS178+BS186</f>
        <v/>
      </c>
      <c r="BT190" s="280">
        <f>BT173+BT178+BT186</f>
        <v/>
      </c>
      <c r="BU190" s="280">
        <f>BU173+BU178+BU186</f>
        <v/>
      </c>
      <c r="BV190" s="280">
        <f>BV173+BV178+BV186</f>
        <v/>
      </c>
      <c r="BW190" s="280">
        <f>BW173+BW178+BW186</f>
        <v/>
      </c>
      <c r="BX190" s="280">
        <f>BX173+BX178+BX186</f>
        <v/>
      </c>
      <c r="BY190" s="280">
        <f>BY173+BY178+BY186</f>
        <v/>
      </c>
      <c r="BZ190" s="280">
        <f>BZ173+BZ178+BZ186</f>
        <v/>
      </c>
      <c r="CA190" s="280">
        <f>CA173+CA178+CA186</f>
        <v/>
      </c>
    </row>
    <row r="191" ht="12" customHeight="1" s="227">
      <c r="A191" s="244" t="n"/>
      <c r="B191" s="244" t="n"/>
      <c r="C191" s="244" t="n"/>
      <c r="H191" s="0" t="inlineStr">
        <is>
          <t>Opening Cash Balance</t>
        </is>
      </c>
      <c r="I191" s="27">
        <f> i_Setup!$M$16</f>
        <v/>
      </c>
      <c r="J191" s="8" t="n"/>
      <c r="K191" s="8" t="n"/>
      <c r="L191" s="8" t="n"/>
      <c r="M191" s="245">
        <f>INDEX($T191:$CA191,,MATCH(M$1,$T$1:$CA$1,0))</f>
        <v/>
      </c>
      <c r="N191" s="245">
        <f>INDEX($T191:$CA191,,MATCH(N$1,$T$1:$CA$1,0))</f>
        <v/>
      </c>
      <c r="O191" s="245">
        <f>INDEX($T191:$CA191,,MATCH(O$1,$T$1:$CA$1,0))</f>
        <v/>
      </c>
      <c r="P191" s="245">
        <f>INDEX($T191:$CA191,,MATCH(P$1,$T$1:$CA$1,0))</f>
        <v/>
      </c>
      <c r="Q191" s="245">
        <f>INDEX($T191:$CA191,,MATCH(Q$1,$T$1:$CA$1,0))</f>
        <v/>
      </c>
      <c r="R191" s="8" t="n"/>
      <c r="S191" s="8" t="n"/>
      <c r="T191" s="257">
        <f>S192</f>
        <v/>
      </c>
      <c r="U191" s="257">
        <f>T192</f>
        <v/>
      </c>
      <c r="V191" s="257">
        <f>U192</f>
        <v/>
      </c>
      <c r="W191" s="257">
        <f>V192</f>
        <v/>
      </c>
      <c r="X191" s="257">
        <f>W192</f>
        <v/>
      </c>
      <c r="Y191" s="257">
        <f>X192</f>
        <v/>
      </c>
      <c r="Z191" s="257">
        <f>Y192</f>
        <v/>
      </c>
      <c r="AA191" s="257">
        <f>Z192</f>
        <v/>
      </c>
      <c r="AB191" s="257">
        <f>AA192</f>
        <v/>
      </c>
      <c r="AC191" s="257">
        <f>AB192</f>
        <v/>
      </c>
      <c r="AD191" s="257">
        <f>AC192</f>
        <v/>
      </c>
      <c r="AE191" s="257">
        <f>AD192</f>
        <v/>
      </c>
      <c r="AF191" s="257">
        <f>AE192</f>
        <v/>
      </c>
      <c r="AG191" s="257">
        <f>AF192</f>
        <v/>
      </c>
      <c r="AH191" s="257">
        <f>AG192</f>
        <v/>
      </c>
      <c r="AI191" s="257">
        <f>AH192</f>
        <v/>
      </c>
      <c r="AJ191" s="257">
        <f>AI192</f>
        <v/>
      </c>
      <c r="AK191" s="257">
        <f>AJ192</f>
        <v/>
      </c>
      <c r="AL191" s="257">
        <f>AK192</f>
        <v/>
      </c>
      <c r="AM191" s="257">
        <f>AL192</f>
        <v/>
      </c>
      <c r="AN191" s="257">
        <f>AM192</f>
        <v/>
      </c>
      <c r="AO191" s="257">
        <f>AN192</f>
        <v/>
      </c>
      <c r="AP191" s="257">
        <f>AO192</f>
        <v/>
      </c>
      <c r="AQ191" s="257">
        <f>AP192</f>
        <v/>
      </c>
      <c r="AR191" s="257">
        <f>AQ192</f>
        <v/>
      </c>
      <c r="AS191" s="257">
        <f>AR192</f>
        <v/>
      </c>
      <c r="AT191" s="257">
        <f>AS192</f>
        <v/>
      </c>
      <c r="AU191" s="257">
        <f>AT192</f>
        <v/>
      </c>
      <c r="AV191" s="257">
        <f>AU192</f>
        <v/>
      </c>
      <c r="AW191" s="257">
        <f>AV192</f>
        <v/>
      </c>
      <c r="AX191" s="257">
        <f>AW192</f>
        <v/>
      </c>
      <c r="AY191" s="257">
        <f>AX192</f>
        <v/>
      </c>
      <c r="AZ191" s="257">
        <f>AY192</f>
        <v/>
      </c>
      <c r="BA191" s="257">
        <f>AZ192</f>
        <v/>
      </c>
      <c r="BB191" s="257">
        <f>BA192</f>
        <v/>
      </c>
      <c r="BC191" s="257">
        <f>BB192</f>
        <v/>
      </c>
      <c r="BD191" s="257">
        <f>BC192</f>
        <v/>
      </c>
      <c r="BE191" s="257">
        <f>BD192</f>
        <v/>
      </c>
      <c r="BF191" s="257">
        <f>BE192</f>
        <v/>
      </c>
      <c r="BG191" s="257">
        <f>BF192</f>
        <v/>
      </c>
      <c r="BH191" s="257">
        <f>BG192</f>
        <v/>
      </c>
      <c r="BI191" s="257">
        <f>BH192</f>
        <v/>
      </c>
      <c r="BJ191" s="257">
        <f>BI192</f>
        <v/>
      </c>
      <c r="BK191" s="257">
        <f>BJ192</f>
        <v/>
      </c>
      <c r="BL191" s="257">
        <f>BK192</f>
        <v/>
      </c>
      <c r="BM191" s="257">
        <f>BL192</f>
        <v/>
      </c>
      <c r="BN191" s="257">
        <f>BM192</f>
        <v/>
      </c>
      <c r="BO191" s="257">
        <f>BN192</f>
        <v/>
      </c>
      <c r="BP191" s="257">
        <f>BO192</f>
        <v/>
      </c>
      <c r="BQ191" s="257">
        <f>BP192</f>
        <v/>
      </c>
      <c r="BR191" s="257">
        <f>BQ192</f>
        <v/>
      </c>
      <c r="BS191" s="257">
        <f>BR192</f>
        <v/>
      </c>
      <c r="BT191" s="257">
        <f>BS192</f>
        <v/>
      </c>
      <c r="BU191" s="257">
        <f>BT192</f>
        <v/>
      </c>
      <c r="BV191" s="257">
        <f>BU192</f>
        <v/>
      </c>
      <c r="BW191" s="257">
        <f>BV192</f>
        <v/>
      </c>
      <c r="BX191" s="257">
        <f>BW192</f>
        <v/>
      </c>
      <c r="BY191" s="257">
        <f>BX192</f>
        <v/>
      </c>
      <c r="BZ191" s="257">
        <f>BY192</f>
        <v/>
      </c>
      <c r="CA191" s="257">
        <f>BZ192</f>
        <v/>
      </c>
      <c r="CB191" s="8" t="n"/>
    </row>
    <row r="192" ht="12" customFormat="1" customHeight="1" s="8" thickBot="1">
      <c r="A192" s="244" t="n"/>
      <c r="B192" s="244" t="n"/>
      <c r="C192" s="244" t="n"/>
      <c r="D192" s="4" t="n"/>
      <c r="E192" s="4" t="n"/>
      <c r="F192" s="4" t="n"/>
      <c r="G192" s="77" t="inlineStr">
        <is>
          <t>Closing Cash Balance</t>
        </is>
      </c>
      <c r="H192" s="77" t="n"/>
      <c r="I192" s="78">
        <f> i_Setup!$M$16</f>
        <v/>
      </c>
      <c r="J192" s="77" t="n"/>
      <c r="M192" s="250">
        <f>INDEX($T192:$CA192,,MATCH(M$2,$T$2:$CA$2,0))</f>
        <v/>
      </c>
      <c r="N192" s="250">
        <f>INDEX($T192:$CA192,,MATCH(N$2,$T$2:$CA$2,0))</f>
        <v/>
      </c>
      <c r="O192" s="250">
        <f>INDEX($T192:$CA192,,MATCH(O$2,$T$2:$CA$2,0))</f>
        <v/>
      </c>
      <c r="P192" s="250">
        <f>INDEX($T192:$CA192,,MATCH(P$2,$T$2:$CA$2,0))</f>
        <v/>
      </c>
      <c r="Q192" s="250">
        <f>INDEX($T192:$CA192,,MATCH(Q$2,$T$2:$CA$2,0))</f>
        <v/>
      </c>
      <c r="T192" s="281">
        <f>IF(T7="Actual",i_Actuals!T123,SUM(T190:T191))</f>
        <v/>
      </c>
      <c r="U192" s="281">
        <f>IF(U7="Actual",i_Actuals!U123,SUM(U190:U191))</f>
        <v/>
      </c>
      <c r="V192" s="281">
        <f>IF(V7="Actual",i_Actuals!V123,SUM(V190:V191))</f>
        <v/>
      </c>
      <c r="W192" s="281">
        <f>IF(W7="Actual",i_Actuals!W123,SUM(W190:W191))</f>
        <v/>
      </c>
      <c r="X192" s="281">
        <f>IF(X7="Actual",i_Actuals!X123,SUM(X190:X191))</f>
        <v/>
      </c>
      <c r="Y192" s="281">
        <f>IF(Y7="Actual",i_Actuals!Y123,SUM(Y190:Y191))</f>
        <v/>
      </c>
      <c r="Z192" s="281">
        <f>IF(Z7="Actual",i_Actuals!Z123,SUM(Z190:Z191))</f>
        <v/>
      </c>
      <c r="AA192" s="281">
        <f>IF(AA7="Actual",i_Actuals!AA123,SUM(AA190:AA191))</f>
        <v/>
      </c>
      <c r="AB192" s="281">
        <f>IF(AB7="Actual",i_Actuals!AB123,SUM(AB190:AB191))</f>
        <v/>
      </c>
      <c r="AC192" s="281">
        <f>IF(AC7="Actual",i_Actuals!AC123,SUM(AC190:AC191))</f>
        <v/>
      </c>
      <c r="AD192" s="281">
        <f>IF(AD7="Actual",i_Actuals!AD123,SUM(AD190:AD191))</f>
        <v/>
      </c>
      <c r="AE192" s="281">
        <f>IF(AE7="Actual",i_Actuals!AE123,SUM(AE190:AE191))</f>
        <v/>
      </c>
      <c r="AF192" s="281">
        <f>IF(AF7="Actual",i_Actuals!AF123,SUM(AF190:AF191))</f>
        <v/>
      </c>
      <c r="AG192" s="281">
        <f>IF(AG7="Actual",i_Actuals!AG123,SUM(AG190:AG191))</f>
        <v/>
      </c>
      <c r="AH192" s="281">
        <f>IF(AH7="Actual",i_Actuals!AH123,SUM(AH190:AH191))</f>
        <v/>
      </c>
      <c r="AI192" s="281">
        <f>IF(AI7="Actual",i_Actuals!AI123,SUM(AI190:AI191))</f>
        <v/>
      </c>
      <c r="AJ192" s="281">
        <f>IF(AJ7="Actual",i_Actuals!AJ123,SUM(AJ190:AJ191))</f>
        <v/>
      </c>
      <c r="AK192" s="281">
        <f>IF(AK7="Actual",i_Actuals!AK123,SUM(AK190:AK191))</f>
        <v/>
      </c>
      <c r="AL192" s="281">
        <f>IF(AL7="Actual",i_Actuals!AL123,SUM(AL190:AL191))</f>
        <v/>
      </c>
      <c r="AM192" s="281">
        <f>IF(AM7="Actual",i_Actuals!AM123,SUM(AM190:AM191))</f>
        <v/>
      </c>
      <c r="AN192" s="281">
        <f>IF(AN7="Actual",i_Actuals!AN123,SUM(AN190:AN191))</f>
        <v/>
      </c>
      <c r="AO192" s="281">
        <f>IF(AO7="Actual",i_Actuals!AO123,SUM(AO190:AO191))</f>
        <v/>
      </c>
      <c r="AP192" s="281">
        <f>IF(AP7="Actual",i_Actuals!AP123,SUM(AP190:AP191))</f>
        <v/>
      </c>
      <c r="AQ192" s="281">
        <f>IF(AQ7="Actual",i_Actuals!AQ123,SUM(AQ190:AQ191))</f>
        <v/>
      </c>
      <c r="AR192" s="281">
        <f>IF(AR7="Actual",i_Actuals!AR123,SUM(AR190:AR191))</f>
        <v/>
      </c>
      <c r="AS192" s="281">
        <f>IF(AS7="Actual",i_Actuals!AS123,SUM(AS190:AS191))</f>
        <v/>
      </c>
      <c r="AT192" s="281">
        <f>IF(AT7="Actual",i_Actuals!AT123,SUM(AT190:AT191))</f>
        <v/>
      </c>
      <c r="AU192" s="281">
        <f>IF(AU7="Actual",i_Actuals!AU123,SUM(AU190:AU191))</f>
        <v/>
      </c>
      <c r="AV192" s="281">
        <f>IF(AV7="Actual",i_Actuals!AV123,SUM(AV190:AV191))</f>
        <v/>
      </c>
      <c r="AW192" s="281">
        <f>IF(AW7="Actual",i_Actuals!AW123,SUM(AW190:AW191))</f>
        <v/>
      </c>
      <c r="AX192" s="281">
        <f>IF(AX7="Actual",i_Actuals!AX123,SUM(AX190:AX191))</f>
        <v/>
      </c>
      <c r="AY192" s="281">
        <f>IF(AY7="Actual",i_Actuals!AY123,SUM(AY190:AY191))</f>
        <v/>
      </c>
      <c r="AZ192" s="281">
        <f>IF(AZ7="Actual",i_Actuals!AZ123,SUM(AZ190:AZ191))</f>
        <v/>
      </c>
      <c r="BA192" s="281">
        <f>IF(BA7="Actual",i_Actuals!BA123,SUM(BA190:BA191))</f>
        <v/>
      </c>
      <c r="BB192" s="281">
        <f>IF(BB7="Actual",i_Actuals!BB123,SUM(BB190:BB191))</f>
        <v/>
      </c>
      <c r="BC192" s="281">
        <f>IF(BC7="Actual",i_Actuals!BC123,SUM(BC190:BC191))</f>
        <v/>
      </c>
      <c r="BD192" s="281">
        <f>IF(BD7="Actual",i_Actuals!BD123,SUM(BD190:BD191))</f>
        <v/>
      </c>
      <c r="BE192" s="281">
        <f>IF(BE7="Actual",i_Actuals!BE123,SUM(BE190:BE191))</f>
        <v/>
      </c>
      <c r="BF192" s="281">
        <f>IF(BF7="Actual",i_Actuals!BF123,SUM(BF190:BF191))</f>
        <v/>
      </c>
      <c r="BG192" s="281">
        <f>IF(BG7="Actual",i_Actuals!BG123,SUM(BG190:BG191))</f>
        <v/>
      </c>
      <c r="BH192" s="281">
        <f>IF(BH7="Actual",i_Actuals!BH123,SUM(BH190:BH191))</f>
        <v/>
      </c>
      <c r="BI192" s="281">
        <f>IF(BI7="Actual",i_Actuals!BI123,SUM(BI190:BI191))</f>
        <v/>
      </c>
      <c r="BJ192" s="281">
        <f>IF(BJ7="Actual",i_Actuals!BJ123,SUM(BJ190:BJ191))</f>
        <v/>
      </c>
      <c r="BK192" s="281">
        <f>IF(BK7="Actual",i_Actuals!BK123,SUM(BK190:BK191))</f>
        <v/>
      </c>
      <c r="BL192" s="281">
        <f>IF(BL7="Actual",i_Actuals!BL123,SUM(BL190:BL191))</f>
        <v/>
      </c>
      <c r="BM192" s="281">
        <f>IF(BM7="Actual",i_Actuals!BM123,SUM(BM190:BM191))</f>
        <v/>
      </c>
      <c r="BN192" s="281">
        <f>IF(BN7="Actual",i_Actuals!BN123,SUM(BN190:BN191))</f>
        <v/>
      </c>
      <c r="BO192" s="281">
        <f>IF(BO7="Actual",i_Actuals!BO123,SUM(BO190:BO191))</f>
        <v/>
      </c>
      <c r="BP192" s="281">
        <f>IF(BP7="Actual",i_Actuals!BP123,SUM(BP190:BP191))</f>
        <v/>
      </c>
      <c r="BQ192" s="281">
        <f>IF(BQ7="Actual",i_Actuals!BQ123,SUM(BQ190:BQ191))</f>
        <v/>
      </c>
      <c r="BR192" s="281">
        <f>IF(BR7="Actual",i_Actuals!BR123,SUM(BR190:BR191))</f>
        <v/>
      </c>
      <c r="BS192" s="281">
        <f>IF(BS7="Actual",i_Actuals!BS123,SUM(BS190:BS191))</f>
        <v/>
      </c>
      <c r="BT192" s="281">
        <f>IF(BT7="Actual",i_Actuals!BT123,SUM(BT190:BT191))</f>
        <v/>
      </c>
      <c r="BU192" s="281">
        <f>IF(BU7="Actual",i_Actuals!BU123,SUM(BU190:BU191))</f>
        <v/>
      </c>
      <c r="BV192" s="281">
        <f>IF(BV7="Actual",i_Actuals!BV123,SUM(BV190:BV191))</f>
        <v/>
      </c>
      <c r="BW192" s="281">
        <f>IF(BW7="Actual",i_Actuals!BW123,SUM(BW190:BW191))</f>
        <v/>
      </c>
      <c r="BX192" s="281">
        <f>IF(BX7="Actual",i_Actuals!BX123,SUM(BX190:BX191))</f>
        <v/>
      </c>
      <c r="BY192" s="281">
        <f>IF(BY7="Actual",i_Actuals!BY123,SUM(BY190:BY191))</f>
        <v/>
      </c>
      <c r="BZ192" s="281">
        <f>IF(BZ7="Actual",i_Actuals!BZ123,SUM(BZ190:BZ191))</f>
        <v/>
      </c>
      <c r="CA192" s="281">
        <f>IF(CA7="Actual",i_Actuals!CA123,SUM(CA190:CA191))</f>
        <v/>
      </c>
    </row>
    <row r="193" ht="12" customFormat="1" customHeight="1" s="8">
      <c r="A193" s="244" t="n"/>
      <c r="B193" s="244" t="n"/>
      <c r="C193" s="244" t="n"/>
      <c r="D193" s="4" t="n"/>
      <c r="E193" s="4" t="n"/>
      <c r="F193" s="4" t="n"/>
      <c r="G193" s="4" t="n"/>
      <c r="J193" s="4" t="n"/>
    </row>
    <row r="194" ht="12" customFormat="1" customHeight="1" s="8">
      <c r="A194" s="244" t="n"/>
      <c r="B194" s="244">
        <f>SUM(L194:CA194)</f>
        <v/>
      </c>
      <c r="C194" s="244" t="n"/>
      <c r="D194" s="4" t="n"/>
      <c r="E194" s="4" t="n"/>
      <c r="F194" s="4" t="n"/>
      <c r="G194" s="4" t="n"/>
      <c r="H194" s="0" t="inlineStr">
        <is>
          <t>Cash Flow Check</t>
        </is>
      </c>
      <c r="I194" s="4" t="n"/>
      <c r="J194" s="4" t="n"/>
      <c r="K194" s="4" t="n"/>
      <c r="L194" s="4" t="n"/>
      <c r="M194" s="244">
        <f>IF(M$7&lt;&gt;"",IF(ROUND(M192,0)=ROUND(M124,0),0,1),"")</f>
        <v/>
      </c>
      <c r="N194" s="244">
        <f>IF(N$7&lt;&gt;"",IF(ROUND(N192,0)=ROUND(N124,0),0,1),"")</f>
        <v/>
      </c>
      <c r="O194" s="244">
        <f>IF(O$7&lt;&gt;"",IF(ROUND(O192,0)=ROUND(O124,0),0,1),"")</f>
        <v/>
      </c>
      <c r="P194" s="244">
        <f>IF(P$7&lt;&gt;"",IF(ROUND(P192,0)=ROUND(P124,0),0,1),"")</f>
        <v/>
      </c>
      <c r="Q194" s="244">
        <f>IF(Q$7&lt;&gt;"",IF(ROUND(Q192,0)=ROUND(Q124,0),0,1),"")</f>
        <v/>
      </c>
      <c r="R194" s="244" t="n"/>
      <c r="S194" s="244" t="n"/>
      <c r="T194" s="244">
        <f>IF(T$7&lt;&gt;"",IF(ROUND(T192,0)=ROUND(T124,0),0,1),"")</f>
        <v/>
      </c>
      <c r="U194" s="244">
        <f>IF(U$7&lt;&gt;"",IF(ROUND(U192,0)=ROUND(U124,0),0,1),"")</f>
        <v/>
      </c>
      <c r="V194" s="244">
        <f>IF(V$7&lt;&gt;"",IF(ROUND(V192,0)=ROUND(V124,0),0,1),"")</f>
        <v/>
      </c>
      <c r="W194" s="244">
        <f>IF(W$7&lt;&gt;"",IF(ROUND(W192,0)=ROUND(W124,0),0,1),"")</f>
        <v/>
      </c>
      <c r="X194" s="244">
        <f>IF(X$7&lt;&gt;"",IF(ROUND(X192,0)=ROUND(X124,0),0,1),"")</f>
        <v/>
      </c>
      <c r="Y194" s="244">
        <f>IF(Y$7&lt;&gt;"",IF(ROUND(Y192,0)=ROUND(Y124,0),0,1),"")</f>
        <v/>
      </c>
      <c r="Z194" s="244">
        <f>IF(Z$7&lt;&gt;"",IF(ROUND(Z192,0)=ROUND(Z124,0),0,1),"")</f>
        <v/>
      </c>
      <c r="AA194" s="244">
        <f>IF(AA$7&lt;&gt;"",IF(ROUND(AA192,0)=ROUND(AA124,0),0,1),"")</f>
        <v/>
      </c>
      <c r="AB194" s="244">
        <f>IF(AB$7&lt;&gt;"",IF(ROUND(AB192,0)=ROUND(AB124,0),0,1),"")</f>
        <v/>
      </c>
      <c r="AC194" s="244">
        <f>IF(AC$7&lt;&gt;"",IF(ROUND(AC192,0)=ROUND(AC124,0),0,1),"")</f>
        <v/>
      </c>
      <c r="AD194" s="244">
        <f>IF(AD$7&lt;&gt;"",IF(ROUND(AD192,0)=ROUND(AD124,0),0,1),"")</f>
        <v/>
      </c>
      <c r="AE194" s="244">
        <f>IF(AE$7&lt;&gt;"",IF(ROUND(AE192,0)=ROUND(AE124,0),0,1),"")</f>
        <v/>
      </c>
      <c r="AF194" s="244">
        <f>IF(AF$7&lt;&gt;"",IF(ROUND(AF192,0)=ROUND(AF124,0),0,1),"")</f>
        <v/>
      </c>
      <c r="AG194" s="244">
        <f>IF(AG$7&lt;&gt;"",IF(ROUND(AG192,0)=ROUND(AG124,0),0,1),"")</f>
        <v/>
      </c>
      <c r="AH194" s="244">
        <f>IF(AH$7&lt;&gt;"",IF(ROUND(AH192,0)=ROUND(AH124,0),0,1),"")</f>
        <v/>
      </c>
      <c r="AI194" s="244">
        <f>IF(AI$7&lt;&gt;"",IF(ROUND(AI192,0)=ROUND(AI124,0),0,1),"")</f>
        <v/>
      </c>
      <c r="AJ194" s="244">
        <f>IF(AJ$7&lt;&gt;"",IF(ROUND(AJ192,0)=ROUND(AJ124,0),0,1),"")</f>
        <v/>
      </c>
      <c r="AK194" s="244">
        <f>IF(AK$7&lt;&gt;"",IF(ROUND(AK192,0)=ROUND(AK124,0),0,1),"")</f>
        <v/>
      </c>
      <c r="AL194" s="244">
        <f>IF(AL$7&lt;&gt;"",IF(ROUND(AL192,0)=ROUND(AL124,0),0,1),"")</f>
        <v/>
      </c>
      <c r="AM194" s="244">
        <f>IF(AM$7&lt;&gt;"",IF(ROUND(AM192,0)=ROUND(AM124,0),0,1),"")</f>
        <v/>
      </c>
      <c r="AN194" s="244">
        <f>IF(AN$7&lt;&gt;"",IF(ROUND(AN192,0)=ROUND(AN124,0),0,1),"")</f>
        <v/>
      </c>
      <c r="AO194" s="244">
        <f>IF(AO$7&lt;&gt;"",IF(ROUND(AO192,0)=ROUND(AO124,0),0,1),"")</f>
        <v/>
      </c>
      <c r="AP194" s="244">
        <f>IF(AP$7&lt;&gt;"",IF(ROUND(AP192,0)=ROUND(AP124,0),0,1),"")</f>
        <v/>
      </c>
      <c r="AQ194" s="244">
        <f>IF(AQ$7&lt;&gt;"",IF(ROUND(AQ192,0)=ROUND(AQ124,0),0,1),"")</f>
        <v/>
      </c>
      <c r="AR194" s="244">
        <f>IF(AR$7&lt;&gt;"",IF(ROUND(AR192,0)=ROUND(AR124,0),0,1),"")</f>
        <v/>
      </c>
      <c r="AS194" s="244">
        <f>IF(AS$7&lt;&gt;"",IF(ROUND(AS192,0)=ROUND(AS124,0),0,1),"")</f>
        <v/>
      </c>
      <c r="AT194" s="244">
        <f>IF(AT$7&lt;&gt;"",IF(ROUND(AT192,0)=ROUND(AT124,0),0,1),"")</f>
        <v/>
      </c>
      <c r="AU194" s="244">
        <f>IF(AU$7&lt;&gt;"",IF(ROUND(AU192,0)=ROUND(AU124,0),0,1),"")</f>
        <v/>
      </c>
      <c r="AV194" s="244">
        <f>IF(AV$7&lt;&gt;"",IF(ROUND(AV192,0)=ROUND(AV124,0),0,1),"")</f>
        <v/>
      </c>
      <c r="AW194" s="244">
        <f>IF(AW$7&lt;&gt;"",IF(ROUND(AW192,0)=ROUND(AW124,0),0,1),"")</f>
        <v/>
      </c>
      <c r="AX194" s="244">
        <f>IF(AX$7&lt;&gt;"",IF(ROUND(AX192,0)=ROUND(AX124,0),0,1),"")</f>
        <v/>
      </c>
      <c r="AY194" s="244">
        <f>IF(AY$7&lt;&gt;"",IF(ROUND(AY192,0)=ROUND(AY124,0),0,1),"")</f>
        <v/>
      </c>
      <c r="AZ194" s="244">
        <f>IF(AZ$7&lt;&gt;"",IF(ROUND(AZ192,0)=ROUND(AZ124,0),0,1),"")</f>
        <v/>
      </c>
      <c r="BA194" s="244">
        <f>IF(BA$7&lt;&gt;"",IF(ROUND(BA192,0)=ROUND(BA124,0),0,1),"")</f>
        <v/>
      </c>
      <c r="BB194" s="244">
        <f>IF(BB$7&lt;&gt;"",IF(ROUND(BB192,0)=ROUND(BB124,0),0,1),"")</f>
        <v/>
      </c>
      <c r="BC194" s="244">
        <f>IF(BC$7&lt;&gt;"",IF(ROUND(BC192,0)=ROUND(BC124,0),0,1),"")</f>
        <v/>
      </c>
      <c r="BD194" s="244">
        <f>IF(BD$7&lt;&gt;"",IF(ROUND(BD192,0)=ROUND(BD124,0),0,1),"")</f>
        <v/>
      </c>
      <c r="BE194" s="244">
        <f>IF(BE$7&lt;&gt;"",IF(ROUND(BE192,0)=ROUND(BE124,0),0,1),"")</f>
        <v/>
      </c>
      <c r="BF194" s="244">
        <f>IF(BF$7&lt;&gt;"",IF(ROUND(BF192,0)=ROUND(BF124,0),0,1),"")</f>
        <v/>
      </c>
      <c r="BG194" s="244">
        <f>IF(BG$7&lt;&gt;"",IF(ROUND(BG192,0)=ROUND(BG124,0),0,1),"")</f>
        <v/>
      </c>
      <c r="BH194" s="244">
        <f>IF(BH$7&lt;&gt;"",IF(ROUND(BH192,0)=ROUND(BH124,0),0,1),"")</f>
        <v/>
      </c>
      <c r="BI194" s="244">
        <f>IF(BI$7&lt;&gt;"",IF(ROUND(BI192,0)=ROUND(BI124,0),0,1),"")</f>
        <v/>
      </c>
      <c r="BJ194" s="244">
        <f>IF(BJ$7&lt;&gt;"",IF(ROUND(BJ192,0)=ROUND(BJ124,0),0,1),"")</f>
        <v/>
      </c>
      <c r="BK194" s="244">
        <f>IF(BK$7&lt;&gt;"",IF(ROUND(BK192,0)=ROUND(BK124,0),0,1),"")</f>
        <v/>
      </c>
      <c r="BL194" s="244">
        <f>IF(BL$7&lt;&gt;"",IF(ROUND(BL192,0)=ROUND(BL124,0),0,1),"")</f>
        <v/>
      </c>
      <c r="BM194" s="244">
        <f>IF(BM$7&lt;&gt;"",IF(ROUND(BM192,0)=ROUND(BM124,0),0,1),"")</f>
        <v/>
      </c>
      <c r="BN194" s="244">
        <f>IF(BN$7&lt;&gt;"",IF(ROUND(BN192,0)=ROUND(BN124,0),0,1),"")</f>
        <v/>
      </c>
      <c r="BO194" s="244">
        <f>IF(BO$7&lt;&gt;"",IF(ROUND(BO192,0)=ROUND(BO124,0),0,1),"")</f>
        <v/>
      </c>
      <c r="BP194" s="244">
        <f>IF(BP$7&lt;&gt;"",IF(ROUND(BP192,0)=ROUND(BP124,0),0,1),"")</f>
        <v/>
      </c>
      <c r="BQ194" s="244">
        <f>IF(BQ$7&lt;&gt;"",IF(ROUND(BQ192,0)=ROUND(BQ124,0),0,1),"")</f>
        <v/>
      </c>
      <c r="BR194" s="244">
        <f>IF(BR$7&lt;&gt;"",IF(ROUND(BR192,0)=ROUND(BR124,0),0,1),"")</f>
        <v/>
      </c>
      <c r="BS194" s="244">
        <f>IF(BS$7&lt;&gt;"",IF(ROUND(BS192,0)=ROUND(BS124,0),0,1),"")</f>
        <v/>
      </c>
      <c r="BT194" s="244">
        <f>IF(BT$7&lt;&gt;"",IF(ROUND(BT192,0)=ROUND(BT124,0),0,1),"")</f>
        <v/>
      </c>
      <c r="BU194" s="244">
        <f>IF(BU$7&lt;&gt;"",IF(ROUND(BU192,0)=ROUND(BU124,0),0,1),"")</f>
        <v/>
      </c>
      <c r="BV194" s="244">
        <f>IF(BV$7&lt;&gt;"",IF(ROUND(BV192,0)=ROUND(BV124,0),0,1),"")</f>
        <v/>
      </c>
      <c r="BW194" s="244">
        <f>IF(BW$7&lt;&gt;"",IF(ROUND(BW192,0)=ROUND(BW124,0),0,1),"")</f>
        <v/>
      </c>
      <c r="BX194" s="244">
        <f>IF(BX$7&lt;&gt;"",IF(ROUND(BX192,0)=ROUND(BX124,0),0,1),"")</f>
        <v/>
      </c>
      <c r="BY194" s="244">
        <f>IF(BY$7&lt;&gt;"",IF(ROUND(BY192,0)=ROUND(BY124,0),0,1),"")</f>
        <v/>
      </c>
      <c r="BZ194" s="244">
        <f>IF(BZ$7&lt;&gt;"",IF(ROUND(BZ192,0)=ROUND(BZ124,0),0,1),"")</f>
        <v/>
      </c>
      <c r="CA194" s="244">
        <f>IF(CA$7&lt;&gt;"",IF(ROUND(CA192,0)=ROUND(CA124,0),0,1),"")</f>
        <v/>
      </c>
    </row>
    <row r="195" ht="12" customFormat="1" customHeight="1" s="8">
      <c r="A195" s="244" t="n"/>
      <c r="B195" s="244" t="n"/>
      <c r="C195" s="244" t="n"/>
      <c r="D195" s="4" t="n"/>
      <c r="E195" s="4" t="n"/>
      <c r="F195" s="4" t="n"/>
      <c r="G195" s="4" t="n"/>
      <c r="J195" s="4" t="n"/>
    </row>
    <row r="196" ht="15.75" customFormat="1" customHeight="1" s="99">
      <c r="D196" s="99">
        <f>Heading1</f>
        <v/>
      </c>
      <c r="E196" s="99" t="inlineStr">
        <is>
          <t>Metrics</t>
        </is>
      </c>
    </row>
    <row r="197" ht="12" customHeight="1" s="227">
      <c r="A197" s="244" t="n"/>
      <c r="B197" s="244" t="n"/>
      <c r="C197" s="244" t="n"/>
    </row>
    <row r="198" ht="13.5" customFormat="1" customHeight="1" s="223" thickBot="1">
      <c r="E198" s="223">
        <f>Heading2</f>
        <v/>
      </c>
      <c r="F198" s="223" t="inlineStr">
        <is>
          <t>Breakeven Analysis</t>
        </is>
      </c>
    </row>
    <row r="199" ht="12" customFormat="1" customHeight="1" s="8">
      <c r="A199" s="244" t="n"/>
      <c r="B199" s="244" t="n"/>
      <c r="C199" s="244" t="n"/>
      <c r="D199" s="4" t="n"/>
      <c r="E199" s="4" t="n"/>
      <c r="F199" s="4" t="n"/>
      <c r="G199" s="4" t="n"/>
      <c r="J199" s="4" t="n"/>
    </row>
    <row r="200" ht="12" customFormat="1" customHeight="1" s="8">
      <c r="A200" s="244" t="n"/>
      <c r="B200" s="244" t="n"/>
      <c r="C200" s="244" t="n"/>
      <c r="D200" s="4" t="n"/>
      <c r="E200" s="4" t="n"/>
      <c r="F200" s="4" t="n"/>
      <c r="G200" s="222" t="inlineStr">
        <is>
          <t>Break-Even</t>
        </is>
      </c>
      <c r="J200" s="4" t="n"/>
    </row>
    <row r="201" ht="12" customFormat="1" customHeight="1" s="8">
      <c r="A201" s="244" t="n"/>
      <c r="B201" s="244" t="n"/>
      <c r="C201" s="244" t="n"/>
      <c r="D201" s="4" t="n"/>
      <c r="E201" s="4" t="n"/>
      <c r="F201" s="4" t="n"/>
      <c r="G201" s="4" t="n"/>
      <c r="J201" s="4" t="n"/>
    </row>
    <row r="202" ht="12" customFormat="1" customHeight="1" s="8">
      <c r="A202" s="244" t="n"/>
      <c r="B202" s="244" t="n"/>
      <c r="C202" s="244" t="n"/>
      <c r="D202" s="4" t="n"/>
      <c r="E202" s="4" t="n"/>
      <c r="F202" s="4" t="n"/>
      <c r="G202" s="4" t="n"/>
      <c r="H202" s="0" t="inlineStr">
        <is>
          <t>Forecast Period</t>
        </is>
      </c>
      <c r="I202" s="27" t="inlineStr">
        <is>
          <t>no</t>
        </is>
      </c>
      <c r="J202" s="0" t="n"/>
      <c r="K202" s="0" t="n"/>
      <c r="M202" s="0">
        <f>IF(M$7="Forecast",1+L202,0)</f>
        <v/>
      </c>
      <c r="N202" s="0">
        <f>IF(N$7="Forecast",1+M202,0)</f>
        <v/>
      </c>
      <c r="O202" s="0">
        <f>IF(O$7="Forecast",1+N202,0)</f>
        <v/>
      </c>
      <c r="P202" s="0">
        <f>IF(P$7="Forecast",1+O202,0)</f>
        <v/>
      </c>
      <c r="Q202" s="0">
        <f>IF(Q$7="Forecast",1+P202,0)</f>
        <v/>
      </c>
    </row>
    <row r="203" ht="12" customFormat="1" customHeight="1" s="8">
      <c r="A203" s="244" t="n"/>
      <c r="B203" s="244" t="n"/>
      <c r="C203" s="244" t="n"/>
      <c r="D203" s="4" t="n"/>
      <c r="E203" s="4" t="n"/>
      <c r="F203" s="4" t="n"/>
      <c r="G203" s="4" t="n"/>
      <c r="H203" s="0" t="inlineStr">
        <is>
          <t>Accounting Break-even period</t>
        </is>
      </c>
      <c r="I203" s="27" t="inlineStr">
        <is>
          <t>Years</t>
        </is>
      </c>
      <c r="J203" s="0" t="n"/>
      <c r="K203" s="282">
        <f>MIN(M203:AC203)</f>
        <v/>
      </c>
      <c r="M203" s="282">
        <f>IF(AND(L98&lt;0,M98&gt;0),-L98/(-L98+M98)+L202,"")</f>
        <v/>
      </c>
      <c r="N203" s="282">
        <f>IF(AND(M98&lt;0,N98&gt;0),-M98/(-M98+N98)+M202,"")</f>
        <v/>
      </c>
      <c r="O203" s="282">
        <f>IF(AND(N98&lt;0,O98&gt;0),-N98/(-N98+O98)+N202,"")</f>
        <v/>
      </c>
      <c r="P203" s="282">
        <f>IF(AND(O98&lt;0,P98&gt;0),-O98/(-O98+P98)+O202,"")</f>
        <v/>
      </c>
      <c r="Q203" s="282">
        <f>IF(AND(P98&lt;0,Q98&gt;0),-P98/(-P98+Q98)+P202,"")</f>
        <v/>
      </c>
    </row>
    <row r="204" ht="12" customFormat="1" customHeight="1" s="8">
      <c r="A204" s="244" t="n"/>
      <c r="B204" s="244" t="n"/>
      <c r="C204" s="244" t="n"/>
      <c r="D204" s="4" t="n"/>
      <c r="E204" s="4" t="n"/>
      <c r="F204" s="4" t="n"/>
      <c r="G204" s="4" t="n"/>
      <c r="J204" s="4" t="n"/>
    </row>
    <row r="205" ht="12" customFormat="1" customHeight="1" s="8">
      <c r="A205" s="244" t="n"/>
      <c r="B205" s="244" t="n"/>
      <c r="C205" s="244" t="n"/>
      <c r="D205" s="4" t="n"/>
      <c r="E205" s="4" t="n"/>
      <c r="F205" s="4" t="n"/>
      <c r="G205" s="4" t="n"/>
      <c r="J205" s="4" t="n"/>
    </row>
    <row r="206" ht="12" customFormat="1" customHeight="1" s="8">
      <c r="A206" s="244" t="n"/>
      <c r="B206" s="244" t="n"/>
      <c r="C206" s="244" t="n"/>
      <c r="D206" s="4" t="n"/>
      <c r="E206" s="4" t="n"/>
      <c r="F206" s="4" t="n"/>
      <c r="G206" s="4" t="n"/>
      <c r="J206" s="4" t="n"/>
    </row>
    <row r="207" ht="15.75" customFormat="1" customHeight="1" s="99">
      <c r="D207" s="99" t="inlineStr">
        <is>
          <t>END OF WORKSHEET</t>
        </is>
      </c>
    </row>
    <row r="210" hidden="1" s="227">
      <c r="H210" s="29" t="n"/>
    </row>
    <row r="211" hidden="1" ht="12" customHeight="1" s="227"/>
    <row r="219" hidden="1" customFormat="1" s="6">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c r="AC219" s="4" t="n"/>
      <c r="AD219" s="4" t="n"/>
      <c r="AE219" s="4" t="n"/>
      <c r="AF219" s="4" t="n"/>
      <c r="AG219" s="4" t="n"/>
      <c r="AH219" s="4" t="n"/>
      <c r="AI219" s="4" t="n"/>
      <c r="AJ219" s="4" t="n"/>
      <c r="AK219" s="4" t="n"/>
      <c r="AL219" s="4" t="n"/>
      <c r="AM219" s="4" t="n"/>
      <c r="AN219" s="4" t="n"/>
      <c r="AO219" s="4" t="n"/>
      <c r="AP219" s="4" t="n"/>
      <c r="AQ219" s="4" t="n"/>
      <c r="AR219" s="4" t="n"/>
      <c r="AS219" s="4" t="n"/>
      <c r="AT219" s="4" t="n"/>
      <c r="AU219" s="4" t="n"/>
      <c r="AV219" s="4" t="n"/>
      <c r="AW219" s="4" t="n"/>
      <c r="AX219" s="4" t="n"/>
      <c r="AY219" s="4" t="n"/>
      <c r="AZ219" s="4" t="n"/>
      <c r="BA219" s="4" t="n"/>
      <c r="BB219" s="4" t="n"/>
      <c r="BC219" s="4" t="n"/>
      <c r="BD219" s="4" t="n"/>
      <c r="BE219" s="4" t="n"/>
      <c r="BF219" s="4" t="n"/>
      <c r="BG219" s="4" t="n"/>
      <c r="BH219" s="4" t="n"/>
      <c r="BI219" s="4" t="n"/>
      <c r="BJ219" s="4" t="n"/>
      <c r="BK219" s="4" t="n"/>
      <c r="BL219" s="4" t="n"/>
      <c r="BM219" s="4" t="n"/>
      <c r="BN219" s="4" t="n"/>
      <c r="BO219" s="4" t="n"/>
      <c r="BP219" s="4" t="n"/>
      <c r="BQ219" s="4" t="n"/>
      <c r="BR219" s="4" t="n"/>
      <c r="BS219" s="4" t="n"/>
      <c r="BT219" s="4" t="n"/>
      <c r="BU219" s="4" t="n"/>
      <c r="BV219" s="4" t="n"/>
      <c r="BW219" s="4" t="n"/>
      <c r="BX219" s="4" t="n"/>
      <c r="BY219" s="4" t="n"/>
      <c r="BZ219" s="4" t="n"/>
      <c r="CA219" s="4" t="n"/>
      <c r="CB219" s="4" t="n"/>
      <c r="CC219" s="4" t="n"/>
      <c r="CD219" s="4" t="n"/>
      <c r="CE219" s="4" t="n"/>
      <c r="CF219" s="4" t="n"/>
      <c r="CG219" s="4" t="n"/>
      <c r="CH219" s="4" t="n"/>
      <c r="CI219" s="4" t="n"/>
      <c r="CJ219" s="4" t="n"/>
      <c r="CK219" s="4" t="n"/>
      <c r="CL219" s="4" t="n"/>
      <c r="CM219" s="4" t="n"/>
      <c r="CN219" s="4" t="n"/>
      <c r="CO219" s="4" t="n"/>
      <c r="CP219" s="4" t="n"/>
      <c r="CQ219" s="4" t="n"/>
      <c r="CR219" s="4" t="n"/>
      <c r="CS219" s="4" t="n"/>
      <c r="CT219" s="4" t="n"/>
      <c r="CU219" s="4" t="n"/>
      <c r="CV219" s="4" t="n"/>
      <c r="CW219" s="4" t="n"/>
      <c r="CX219" s="4" t="n"/>
      <c r="CY219" s="4" t="n"/>
      <c r="CZ219" s="4" t="n"/>
      <c r="DA219" s="4" t="n"/>
      <c r="DB219" s="4" t="n"/>
      <c r="DC219" s="4" t="n"/>
      <c r="DD219" s="4" t="n"/>
      <c r="DE219" s="4" t="n"/>
      <c r="DF219" s="4" t="n"/>
      <c r="DG219" s="4" t="n"/>
      <c r="DH219" s="4" t="n"/>
      <c r="DI219" s="4" t="n"/>
      <c r="DJ219" s="4" t="n"/>
      <c r="DK219" s="4" t="n"/>
      <c r="DL219" s="4" t="n"/>
      <c r="DM219" s="4" t="n"/>
      <c r="DN219" s="4" t="n"/>
      <c r="DO219" s="4" t="n"/>
      <c r="DP219" s="4" t="n"/>
      <c r="DQ219" s="4" t="n"/>
      <c r="DR219" s="4" t="n"/>
      <c r="DS219" s="4" t="n"/>
      <c r="DT219" s="4" t="n"/>
      <c r="DU219" s="4" t="n"/>
      <c r="DV219" s="4" t="n"/>
      <c r="DW219" s="4" t="n"/>
      <c r="DX219" s="4" t="n"/>
      <c r="DY219" s="4" t="n"/>
      <c r="DZ219" s="4" t="n"/>
      <c r="EA219" s="4" t="n"/>
      <c r="EB219" s="4" t="n"/>
      <c r="EC219" s="4" t="n"/>
      <c r="ED219" s="4" t="n"/>
      <c r="EE219" s="4" t="n"/>
      <c r="EF219" s="4" t="n"/>
      <c r="EG219" s="4" t="n"/>
      <c r="EH219" s="4" t="n"/>
      <c r="EI219" s="4" t="n"/>
      <c r="EJ219" s="4" t="n"/>
      <c r="EK219" s="4" t="n"/>
    </row>
    <row r="220" hidden="1" customFormat="1" s="6">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c r="AC220" s="4" t="n"/>
      <c r="AD220" s="4" t="n"/>
      <c r="AE220" s="4" t="n"/>
      <c r="AF220" s="4" t="n"/>
      <c r="AG220" s="4" t="n"/>
      <c r="AH220" s="4" t="n"/>
      <c r="AI220" s="4" t="n"/>
      <c r="AJ220" s="4" t="n"/>
      <c r="AK220" s="4" t="n"/>
      <c r="AL220" s="4" t="n"/>
      <c r="AM220" s="4" t="n"/>
      <c r="AN220" s="4" t="n"/>
      <c r="AO220" s="4" t="n"/>
      <c r="AP220" s="4" t="n"/>
      <c r="AQ220" s="4" t="n"/>
      <c r="AR220" s="4" t="n"/>
      <c r="AS220" s="4" t="n"/>
      <c r="AT220" s="4" t="n"/>
      <c r="AU220" s="4" t="n"/>
      <c r="AV220" s="4" t="n"/>
      <c r="AW220" s="4" t="n"/>
      <c r="AX220" s="4" t="n"/>
      <c r="AY220" s="4" t="n"/>
      <c r="AZ220" s="4" t="n"/>
      <c r="BA220" s="4" t="n"/>
      <c r="BB220" s="4" t="n"/>
      <c r="BC220" s="4" t="n"/>
      <c r="BD220" s="4" t="n"/>
      <c r="BE220" s="4" t="n"/>
      <c r="BF220" s="4" t="n"/>
      <c r="BG220" s="4" t="n"/>
      <c r="BH220" s="4" t="n"/>
      <c r="BI220" s="4" t="n"/>
      <c r="BJ220" s="4" t="n"/>
      <c r="BK220" s="4" t="n"/>
      <c r="BL220" s="4" t="n"/>
      <c r="BM220" s="4" t="n"/>
      <c r="BN220" s="4" t="n"/>
      <c r="BO220" s="4" t="n"/>
      <c r="BP220" s="4" t="n"/>
      <c r="BQ220" s="4" t="n"/>
      <c r="BR220" s="4" t="n"/>
      <c r="BS220" s="4" t="n"/>
      <c r="BT220" s="4" t="n"/>
      <c r="BU220" s="4" t="n"/>
      <c r="BV220" s="4" t="n"/>
      <c r="BW220" s="4" t="n"/>
      <c r="BX220" s="4" t="n"/>
      <c r="BY220" s="4" t="n"/>
      <c r="BZ220" s="4" t="n"/>
      <c r="CA220" s="4" t="n"/>
      <c r="CB220" s="4" t="n"/>
      <c r="CC220" s="4" t="n"/>
      <c r="CD220" s="4" t="n"/>
      <c r="CE220" s="4" t="n"/>
      <c r="CF220" s="4" t="n"/>
      <c r="CG220" s="4" t="n"/>
      <c r="CH220" s="4" t="n"/>
      <c r="CI220" s="4" t="n"/>
      <c r="CJ220" s="4" t="n"/>
      <c r="CK220" s="4" t="n"/>
      <c r="CL220" s="4" t="n"/>
      <c r="CM220" s="4" t="n"/>
      <c r="CN220" s="4" t="n"/>
      <c r="CO220" s="4" t="n"/>
      <c r="CP220" s="4" t="n"/>
      <c r="CQ220" s="4" t="n"/>
      <c r="CR220" s="4" t="n"/>
      <c r="CS220" s="4" t="n"/>
      <c r="CT220" s="4" t="n"/>
      <c r="CU220" s="4" t="n"/>
      <c r="CV220" s="4" t="n"/>
      <c r="CW220" s="4" t="n"/>
      <c r="CX220" s="4" t="n"/>
      <c r="CY220" s="4" t="n"/>
      <c r="CZ220" s="4" t="n"/>
      <c r="DA220" s="4" t="n"/>
      <c r="DB220" s="4" t="n"/>
      <c r="DC220" s="4" t="n"/>
      <c r="DD220" s="4" t="n"/>
      <c r="DE220" s="4" t="n"/>
      <c r="DF220" s="4" t="n"/>
      <c r="DG220" s="4" t="n"/>
      <c r="DH220" s="4" t="n"/>
      <c r="DI220" s="4" t="n"/>
      <c r="DJ220" s="4" t="n"/>
      <c r="DK220" s="4" t="n"/>
      <c r="DL220" s="4" t="n"/>
      <c r="DM220" s="4" t="n"/>
      <c r="DN220" s="4" t="n"/>
      <c r="DO220" s="4" t="n"/>
      <c r="DP220" s="4" t="n"/>
      <c r="DQ220" s="4" t="n"/>
      <c r="DR220" s="4" t="n"/>
      <c r="DS220" s="4" t="n"/>
      <c r="DT220" s="4" t="n"/>
      <c r="DU220" s="4" t="n"/>
      <c r="DV220" s="4" t="n"/>
      <c r="DW220" s="4" t="n"/>
      <c r="DX220" s="4" t="n"/>
      <c r="DY220" s="4" t="n"/>
      <c r="DZ220" s="4" t="n"/>
      <c r="EA220" s="4" t="n"/>
      <c r="EB220" s="4" t="n"/>
      <c r="EC220" s="4" t="n"/>
      <c r="ED220" s="4" t="n"/>
      <c r="EE220" s="4" t="n"/>
      <c r="EF220" s="4" t="n"/>
      <c r="EG220" s="4" t="n"/>
      <c r="EH220" s="4" t="n"/>
      <c r="EI220" s="4" t="n"/>
      <c r="EJ220" s="4" t="n"/>
      <c r="EK220" s="4" t="n"/>
    </row>
    <row r="221" hidden="1" customFormat="1" s="6">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c r="AC221" s="4" t="n"/>
      <c r="AD221" s="4" t="n"/>
      <c r="AE221" s="4" t="n"/>
      <c r="AF221" s="4" t="n"/>
      <c r="AG221" s="4" t="n"/>
      <c r="AH221" s="4" t="n"/>
      <c r="AI221" s="4" t="n"/>
      <c r="AJ221" s="4" t="n"/>
      <c r="AK221" s="4" t="n"/>
      <c r="AL221" s="4" t="n"/>
      <c r="AM221" s="4" t="n"/>
      <c r="AN221" s="4" t="n"/>
      <c r="AO221" s="4" t="n"/>
      <c r="AP221" s="4" t="n"/>
      <c r="AQ221" s="4" t="n"/>
      <c r="AR221" s="4" t="n"/>
      <c r="AS221" s="4" t="n"/>
      <c r="AT221" s="4" t="n"/>
      <c r="AU221" s="4" t="n"/>
      <c r="AV221" s="4" t="n"/>
      <c r="AW221" s="4" t="n"/>
      <c r="AX221" s="4" t="n"/>
      <c r="AY221" s="4" t="n"/>
      <c r="AZ221" s="4" t="n"/>
      <c r="BA221" s="4" t="n"/>
      <c r="BB221" s="4" t="n"/>
      <c r="BC221" s="4" t="n"/>
      <c r="BD221" s="4" t="n"/>
      <c r="BE221" s="4" t="n"/>
      <c r="BF221" s="4" t="n"/>
      <c r="BG221" s="4" t="n"/>
      <c r="BH221" s="4" t="n"/>
      <c r="BI221" s="4" t="n"/>
      <c r="BJ221" s="4" t="n"/>
      <c r="BK221" s="4" t="n"/>
      <c r="BL221" s="4" t="n"/>
      <c r="BM221" s="4" t="n"/>
      <c r="BN221" s="4" t="n"/>
      <c r="BO221" s="4" t="n"/>
      <c r="BP221" s="4" t="n"/>
      <c r="BQ221" s="4" t="n"/>
      <c r="BR221" s="4" t="n"/>
      <c r="BS221" s="4" t="n"/>
      <c r="BT221" s="4" t="n"/>
      <c r="BU221" s="4" t="n"/>
      <c r="BV221" s="4" t="n"/>
      <c r="BW221" s="4" t="n"/>
      <c r="BX221" s="4" t="n"/>
      <c r="BY221" s="4" t="n"/>
      <c r="BZ221" s="4" t="n"/>
      <c r="CA221" s="4" t="n"/>
      <c r="CB221" s="4" t="n"/>
      <c r="CC221" s="4" t="n"/>
      <c r="CD221" s="4" t="n"/>
      <c r="CE221" s="4" t="n"/>
      <c r="CF221" s="4" t="n"/>
      <c r="CG221" s="4" t="n"/>
      <c r="CH221" s="4" t="n"/>
      <c r="CI221" s="4" t="n"/>
      <c r="CJ221" s="4" t="n"/>
      <c r="CK221" s="4" t="n"/>
      <c r="CL221" s="4" t="n"/>
      <c r="CM221" s="4" t="n"/>
      <c r="CN221" s="4" t="n"/>
      <c r="CO221" s="4" t="n"/>
      <c r="CP221" s="4" t="n"/>
      <c r="CQ221" s="4" t="n"/>
      <c r="CR221" s="4" t="n"/>
      <c r="CS221" s="4" t="n"/>
      <c r="CT221" s="4" t="n"/>
      <c r="CU221" s="4" t="n"/>
      <c r="CV221" s="4" t="n"/>
      <c r="CW221" s="4" t="n"/>
      <c r="CX221" s="4" t="n"/>
      <c r="CY221" s="4" t="n"/>
      <c r="CZ221" s="4" t="n"/>
      <c r="DA221" s="4" t="n"/>
      <c r="DB221" s="4" t="n"/>
      <c r="DC221" s="4" t="n"/>
      <c r="DD221" s="4" t="n"/>
      <c r="DE221" s="4" t="n"/>
      <c r="DF221" s="4" t="n"/>
      <c r="DG221" s="4" t="n"/>
      <c r="DH221" s="4" t="n"/>
      <c r="DI221" s="4" t="n"/>
      <c r="DJ221" s="4" t="n"/>
      <c r="DK221" s="4" t="n"/>
      <c r="DL221" s="4" t="n"/>
      <c r="DM221" s="4" t="n"/>
      <c r="DN221" s="4" t="n"/>
      <c r="DO221" s="4" t="n"/>
      <c r="DP221" s="4" t="n"/>
      <c r="DQ221" s="4" t="n"/>
      <c r="DR221" s="4" t="n"/>
      <c r="DS221" s="4" t="n"/>
      <c r="DT221" s="4" t="n"/>
      <c r="DU221" s="4" t="n"/>
      <c r="DV221" s="4" t="n"/>
      <c r="DW221" s="4" t="n"/>
      <c r="DX221" s="4" t="n"/>
      <c r="DY221" s="4" t="n"/>
      <c r="DZ221" s="4" t="n"/>
      <c r="EA221" s="4" t="n"/>
      <c r="EB221" s="4" t="n"/>
      <c r="EC221" s="4" t="n"/>
      <c r="ED221" s="4" t="n"/>
      <c r="EE221" s="4" t="n"/>
      <c r="EF221" s="4" t="n"/>
      <c r="EG221" s="4" t="n"/>
      <c r="EH221" s="4" t="n"/>
      <c r="EI221" s="4" t="n"/>
      <c r="EJ221" s="4" t="n"/>
      <c r="EK221" s="4" t="n"/>
    </row>
    <row r="222" hidden="1" customFormat="1" s="6">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c r="AC222" s="4" t="n"/>
      <c r="AD222" s="4" t="n"/>
      <c r="AE222" s="4" t="n"/>
      <c r="AF222" s="4" t="n"/>
      <c r="AG222" s="4" t="n"/>
      <c r="AH222" s="4" t="n"/>
      <c r="AI222" s="4" t="n"/>
      <c r="AJ222" s="4" t="n"/>
      <c r="AK222" s="4" t="n"/>
      <c r="AL222" s="4" t="n"/>
      <c r="AM222" s="4" t="n"/>
      <c r="AN222" s="4" t="n"/>
      <c r="AO222" s="4" t="n"/>
      <c r="AP222" s="4" t="n"/>
      <c r="AQ222" s="4" t="n"/>
      <c r="AR222" s="4" t="n"/>
      <c r="AS222" s="4" t="n"/>
      <c r="AT222" s="4" t="n"/>
      <c r="AU222" s="4" t="n"/>
      <c r="AV222" s="4" t="n"/>
      <c r="AW222" s="4" t="n"/>
      <c r="AX222" s="4" t="n"/>
      <c r="AY222" s="4" t="n"/>
      <c r="AZ222" s="4" t="n"/>
      <c r="BA222" s="4" t="n"/>
      <c r="BB222" s="4" t="n"/>
      <c r="BC222" s="4" t="n"/>
      <c r="BD222" s="4" t="n"/>
      <c r="BE222" s="4" t="n"/>
      <c r="BF222" s="4" t="n"/>
      <c r="BG222" s="4" t="n"/>
      <c r="BH222" s="4" t="n"/>
      <c r="BI222" s="4" t="n"/>
      <c r="BJ222" s="4" t="n"/>
      <c r="BK222" s="4" t="n"/>
      <c r="BL222" s="4" t="n"/>
      <c r="BM222" s="4" t="n"/>
      <c r="BN222" s="4" t="n"/>
      <c r="BO222" s="4" t="n"/>
      <c r="BP222" s="4" t="n"/>
      <c r="BQ222" s="4" t="n"/>
      <c r="BR222" s="4" t="n"/>
      <c r="BS222" s="4" t="n"/>
      <c r="BT222" s="4" t="n"/>
      <c r="BU222" s="4" t="n"/>
      <c r="BV222" s="4" t="n"/>
      <c r="BW222" s="4" t="n"/>
      <c r="BX222" s="4" t="n"/>
      <c r="BY222" s="4" t="n"/>
      <c r="BZ222" s="4" t="n"/>
      <c r="CA222" s="4" t="n"/>
      <c r="CB222" s="4" t="n"/>
      <c r="CC222" s="4" t="n"/>
      <c r="CD222" s="4" t="n"/>
      <c r="CE222" s="4" t="n"/>
      <c r="CF222" s="4" t="n"/>
      <c r="CG222" s="4" t="n"/>
      <c r="CH222" s="4" t="n"/>
      <c r="CI222" s="4" t="n"/>
      <c r="CJ222" s="4" t="n"/>
      <c r="CK222" s="4" t="n"/>
      <c r="CL222" s="4" t="n"/>
      <c r="CM222" s="4" t="n"/>
      <c r="CN222" s="4" t="n"/>
      <c r="CO222" s="4" t="n"/>
      <c r="CP222" s="4" t="n"/>
      <c r="CQ222" s="4" t="n"/>
      <c r="CR222" s="4" t="n"/>
      <c r="CS222" s="4" t="n"/>
      <c r="CT222" s="4" t="n"/>
      <c r="CU222" s="4" t="n"/>
      <c r="CV222" s="4" t="n"/>
      <c r="CW222" s="4" t="n"/>
      <c r="CX222" s="4" t="n"/>
      <c r="CY222" s="4" t="n"/>
      <c r="CZ222" s="4" t="n"/>
      <c r="DA222" s="4" t="n"/>
      <c r="DB222" s="4" t="n"/>
      <c r="DC222" s="4" t="n"/>
      <c r="DD222" s="4" t="n"/>
      <c r="DE222" s="4" t="n"/>
      <c r="DF222" s="4" t="n"/>
      <c r="DG222" s="4" t="n"/>
      <c r="DH222" s="4" t="n"/>
      <c r="DI222" s="4" t="n"/>
      <c r="DJ222" s="4" t="n"/>
      <c r="DK222" s="4" t="n"/>
      <c r="DL222" s="4" t="n"/>
      <c r="DM222" s="4" t="n"/>
      <c r="DN222" s="4" t="n"/>
      <c r="DO222" s="4" t="n"/>
      <c r="DP222" s="4" t="n"/>
      <c r="DQ222" s="4" t="n"/>
      <c r="DR222" s="4" t="n"/>
      <c r="DS222" s="4" t="n"/>
      <c r="DT222" s="4" t="n"/>
      <c r="DU222" s="4" t="n"/>
      <c r="DV222" s="4" t="n"/>
      <c r="DW222" s="4" t="n"/>
      <c r="DX222" s="4" t="n"/>
      <c r="DY222" s="4" t="n"/>
      <c r="DZ222" s="4" t="n"/>
      <c r="EA222" s="4" t="n"/>
      <c r="EB222" s="4" t="n"/>
      <c r="EC222" s="4" t="n"/>
      <c r="ED222" s="4" t="n"/>
      <c r="EE222" s="4" t="n"/>
      <c r="EF222" s="4" t="n"/>
      <c r="EG222" s="4" t="n"/>
      <c r="EH222" s="4" t="n"/>
      <c r="EI222" s="4" t="n"/>
      <c r="EJ222" s="4" t="n"/>
      <c r="EK222" s="4" t="n"/>
    </row>
    <row r="223" hidden="1" customFormat="1" s="6">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c r="AC223" s="4" t="n"/>
      <c r="AD223" s="4" t="n"/>
      <c r="AE223" s="4" t="n"/>
      <c r="AF223" s="4" t="n"/>
      <c r="AG223" s="4" t="n"/>
      <c r="AH223" s="4" t="n"/>
      <c r="AI223" s="4" t="n"/>
      <c r="AJ223" s="4" t="n"/>
      <c r="AK223" s="4" t="n"/>
      <c r="AL223" s="4" t="n"/>
      <c r="AM223" s="4" t="n"/>
      <c r="AN223" s="4" t="n"/>
      <c r="AO223" s="4" t="n"/>
      <c r="AP223" s="4" t="n"/>
      <c r="AQ223" s="4" t="n"/>
      <c r="AR223" s="4" t="n"/>
      <c r="AS223" s="4" t="n"/>
      <c r="AT223" s="4" t="n"/>
      <c r="AU223" s="4" t="n"/>
      <c r="AV223" s="4" t="n"/>
      <c r="AW223" s="4" t="n"/>
      <c r="AX223" s="4" t="n"/>
      <c r="AY223" s="4" t="n"/>
      <c r="AZ223" s="4" t="n"/>
      <c r="BA223" s="4" t="n"/>
      <c r="BB223" s="4" t="n"/>
      <c r="BC223" s="4" t="n"/>
      <c r="BD223" s="4" t="n"/>
      <c r="BE223" s="4" t="n"/>
      <c r="BF223" s="4" t="n"/>
      <c r="BG223" s="4" t="n"/>
      <c r="BH223" s="4" t="n"/>
      <c r="BI223" s="4" t="n"/>
      <c r="BJ223" s="4" t="n"/>
      <c r="BK223" s="4" t="n"/>
      <c r="BL223" s="4" t="n"/>
      <c r="BM223" s="4" t="n"/>
      <c r="BN223" s="4" t="n"/>
      <c r="BO223" s="4" t="n"/>
      <c r="BP223" s="4" t="n"/>
      <c r="BQ223" s="4" t="n"/>
      <c r="BR223" s="4" t="n"/>
      <c r="BS223" s="4" t="n"/>
      <c r="BT223" s="4" t="n"/>
      <c r="BU223" s="4" t="n"/>
      <c r="BV223" s="4" t="n"/>
      <c r="BW223" s="4" t="n"/>
      <c r="BX223" s="4" t="n"/>
      <c r="BY223" s="4" t="n"/>
      <c r="BZ223" s="4" t="n"/>
      <c r="CA223" s="4" t="n"/>
      <c r="CB223" s="4" t="n"/>
      <c r="CC223" s="4" t="n"/>
      <c r="CD223" s="4" t="n"/>
      <c r="CE223" s="4" t="n"/>
      <c r="CF223" s="4" t="n"/>
      <c r="CG223" s="4" t="n"/>
      <c r="CH223" s="4" t="n"/>
      <c r="CI223" s="4" t="n"/>
      <c r="CJ223" s="4" t="n"/>
      <c r="CK223" s="4" t="n"/>
      <c r="CL223" s="4" t="n"/>
      <c r="CM223" s="4" t="n"/>
      <c r="CN223" s="4" t="n"/>
      <c r="CO223" s="4" t="n"/>
      <c r="CP223" s="4" t="n"/>
      <c r="CQ223" s="4" t="n"/>
      <c r="CR223" s="4" t="n"/>
      <c r="CS223" s="4" t="n"/>
      <c r="CT223" s="4" t="n"/>
      <c r="CU223" s="4" t="n"/>
      <c r="CV223" s="4" t="n"/>
      <c r="CW223" s="4" t="n"/>
      <c r="CX223" s="4" t="n"/>
      <c r="CY223" s="4" t="n"/>
      <c r="CZ223" s="4" t="n"/>
      <c r="DA223" s="4" t="n"/>
      <c r="DB223" s="4" t="n"/>
      <c r="DC223" s="4" t="n"/>
      <c r="DD223" s="4" t="n"/>
      <c r="DE223" s="4" t="n"/>
      <c r="DF223" s="4" t="n"/>
      <c r="DG223" s="4" t="n"/>
      <c r="DH223" s="4" t="n"/>
      <c r="DI223" s="4" t="n"/>
      <c r="DJ223" s="4" t="n"/>
      <c r="DK223" s="4" t="n"/>
      <c r="DL223" s="4" t="n"/>
      <c r="DM223" s="4" t="n"/>
      <c r="DN223" s="4" t="n"/>
      <c r="DO223" s="4" t="n"/>
      <c r="DP223" s="4" t="n"/>
      <c r="DQ223" s="4" t="n"/>
      <c r="DR223" s="4" t="n"/>
      <c r="DS223" s="4" t="n"/>
      <c r="DT223" s="4" t="n"/>
      <c r="DU223" s="4" t="n"/>
      <c r="DV223" s="4" t="n"/>
      <c r="DW223" s="4" t="n"/>
      <c r="DX223" s="4" t="n"/>
      <c r="DY223" s="4" t="n"/>
      <c r="DZ223" s="4" t="n"/>
      <c r="EA223" s="4" t="n"/>
      <c r="EB223" s="4" t="n"/>
      <c r="EC223" s="4" t="n"/>
      <c r="ED223" s="4" t="n"/>
      <c r="EE223" s="4" t="n"/>
      <c r="EF223" s="4" t="n"/>
      <c r="EG223" s="4" t="n"/>
      <c r="EH223" s="4" t="n"/>
      <c r="EI223" s="4" t="n"/>
      <c r="EJ223" s="4" t="n"/>
      <c r="EK223" s="4" t="n"/>
    </row>
    <row r="224" hidden="1" customFormat="1" s="6">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c r="AD224" s="4" t="n"/>
      <c r="AE224" s="4" t="n"/>
      <c r="AF224" s="4" t="n"/>
      <c r="AG224" s="4" t="n"/>
      <c r="AH224" s="4" t="n"/>
      <c r="AI224" s="4" t="n"/>
      <c r="AJ224" s="4" t="n"/>
      <c r="AK224" s="4" t="n"/>
      <c r="AL224" s="4" t="n"/>
      <c r="AM224" s="4" t="n"/>
      <c r="AN224" s="4" t="n"/>
      <c r="AO224" s="4" t="n"/>
      <c r="AP224" s="4" t="n"/>
      <c r="AQ224" s="4" t="n"/>
      <c r="AR224" s="4" t="n"/>
      <c r="AS224" s="4" t="n"/>
      <c r="AT224" s="4" t="n"/>
      <c r="AU224" s="4" t="n"/>
      <c r="AV224" s="4" t="n"/>
      <c r="AW224" s="4" t="n"/>
      <c r="AX224" s="4" t="n"/>
      <c r="AY224" s="4" t="n"/>
      <c r="AZ224" s="4" t="n"/>
      <c r="BA224" s="4" t="n"/>
      <c r="BB224" s="4" t="n"/>
      <c r="BC224" s="4" t="n"/>
      <c r="BD224" s="4" t="n"/>
      <c r="BE224" s="4" t="n"/>
      <c r="BF224" s="4" t="n"/>
      <c r="BG224" s="4" t="n"/>
      <c r="BH224" s="4" t="n"/>
      <c r="BI224" s="4" t="n"/>
      <c r="BJ224" s="4" t="n"/>
      <c r="BK224" s="4" t="n"/>
      <c r="BL224" s="4" t="n"/>
      <c r="BM224" s="4" t="n"/>
      <c r="BN224" s="4" t="n"/>
      <c r="BO224" s="4" t="n"/>
      <c r="BP224" s="4" t="n"/>
      <c r="BQ224" s="4" t="n"/>
      <c r="BR224" s="4" t="n"/>
      <c r="BS224" s="4" t="n"/>
      <c r="BT224" s="4" t="n"/>
      <c r="BU224" s="4" t="n"/>
      <c r="BV224" s="4" t="n"/>
      <c r="BW224" s="4" t="n"/>
      <c r="BX224" s="4" t="n"/>
      <c r="BY224" s="4" t="n"/>
      <c r="BZ224" s="4" t="n"/>
      <c r="CA224" s="4" t="n"/>
      <c r="CB224" s="4" t="n"/>
      <c r="CC224" s="4" t="n"/>
      <c r="CD224" s="4" t="n"/>
      <c r="CE224" s="4" t="n"/>
      <c r="CF224" s="4" t="n"/>
      <c r="CG224" s="4" t="n"/>
      <c r="CH224" s="4" t="n"/>
      <c r="CI224" s="4" t="n"/>
      <c r="CJ224" s="4" t="n"/>
      <c r="CK224" s="4" t="n"/>
      <c r="CL224" s="4" t="n"/>
      <c r="CM224" s="4" t="n"/>
      <c r="CN224" s="4" t="n"/>
      <c r="CO224" s="4" t="n"/>
      <c r="CP224" s="4" t="n"/>
      <c r="CQ224" s="4" t="n"/>
      <c r="CR224" s="4" t="n"/>
      <c r="CS224" s="4" t="n"/>
      <c r="CT224" s="4" t="n"/>
      <c r="CU224" s="4" t="n"/>
      <c r="CV224" s="4" t="n"/>
      <c r="CW224" s="4" t="n"/>
      <c r="CX224" s="4" t="n"/>
      <c r="CY224" s="4" t="n"/>
      <c r="CZ224" s="4" t="n"/>
      <c r="DA224" s="4" t="n"/>
      <c r="DB224" s="4" t="n"/>
      <c r="DC224" s="4" t="n"/>
      <c r="DD224" s="4" t="n"/>
      <c r="DE224" s="4" t="n"/>
      <c r="DF224" s="4" t="n"/>
      <c r="DG224" s="4" t="n"/>
      <c r="DH224" s="4" t="n"/>
      <c r="DI224" s="4" t="n"/>
      <c r="DJ224" s="4" t="n"/>
      <c r="DK224" s="4" t="n"/>
      <c r="DL224" s="4" t="n"/>
      <c r="DM224" s="4" t="n"/>
      <c r="DN224" s="4" t="n"/>
      <c r="DO224" s="4" t="n"/>
      <c r="DP224" s="4" t="n"/>
      <c r="DQ224" s="4" t="n"/>
      <c r="DR224" s="4" t="n"/>
      <c r="DS224" s="4" t="n"/>
      <c r="DT224" s="4" t="n"/>
      <c r="DU224" s="4" t="n"/>
      <c r="DV224" s="4" t="n"/>
      <c r="DW224" s="4" t="n"/>
      <c r="DX224" s="4" t="n"/>
      <c r="DY224" s="4" t="n"/>
      <c r="DZ224" s="4" t="n"/>
      <c r="EA224" s="4" t="n"/>
      <c r="EB224" s="4" t="n"/>
      <c r="EC224" s="4" t="n"/>
      <c r="ED224" s="4" t="n"/>
      <c r="EE224" s="4" t="n"/>
      <c r="EF224" s="4" t="n"/>
      <c r="EG224" s="4" t="n"/>
      <c r="EH224" s="4" t="n"/>
      <c r="EI224" s="4" t="n"/>
      <c r="EJ224" s="4" t="n"/>
      <c r="EK224" s="4" t="n"/>
    </row>
    <row r="225" hidden="1" customFormat="1" s="6">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c r="AC225" s="4" t="n"/>
      <c r="AD225" s="4" t="n"/>
      <c r="AE225" s="4" t="n"/>
      <c r="AF225" s="4" t="n"/>
      <c r="AG225" s="4" t="n"/>
      <c r="AH225" s="4" t="n"/>
      <c r="AI225" s="4" t="n"/>
      <c r="AJ225" s="4" t="n"/>
      <c r="AK225" s="4" t="n"/>
      <c r="AL225" s="4" t="n"/>
      <c r="AM225" s="4" t="n"/>
      <c r="AN225" s="4" t="n"/>
      <c r="AO225" s="4" t="n"/>
      <c r="AP225" s="4" t="n"/>
      <c r="AQ225" s="4" t="n"/>
      <c r="AR225" s="4" t="n"/>
      <c r="AS225" s="4" t="n"/>
      <c r="AT225" s="4" t="n"/>
      <c r="AU225" s="4" t="n"/>
      <c r="AV225" s="4" t="n"/>
      <c r="AW225" s="4" t="n"/>
      <c r="AX225" s="4" t="n"/>
      <c r="AY225" s="4" t="n"/>
      <c r="AZ225" s="4" t="n"/>
      <c r="BA225" s="4" t="n"/>
      <c r="BB225" s="4" t="n"/>
      <c r="BC225" s="4" t="n"/>
      <c r="BD225" s="4" t="n"/>
      <c r="BE225" s="4" t="n"/>
      <c r="BF225" s="4" t="n"/>
      <c r="BG225" s="4" t="n"/>
      <c r="BH225" s="4" t="n"/>
      <c r="BI225" s="4" t="n"/>
      <c r="BJ225" s="4" t="n"/>
      <c r="BK225" s="4" t="n"/>
      <c r="BL225" s="4" t="n"/>
      <c r="BM225" s="4" t="n"/>
      <c r="BN225" s="4" t="n"/>
      <c r="BO225" s="4" t="n"/>
      <c r="BP225" s="4" t="n"/>
      <c r="BQ225" s="4" t="n"/>
      <c r="BR225" s="4" t="n"/>
      <c r="BS225" s="4" t="n"/>
      <c r="BT225" s="4" t="n"/>
      <c r="BU225" s="4" t="n"/>
      <c r="BV225" s="4" t="n"/>
      <c r="BW225" s="4" t="n"/>
      <c r="BX225" s="4" t="n"/>
      <c r="BY225" s="4" t="n"/>
      <c r="BZ225" s="4" t="n"/>
      <c r="CA225" s="4" t="n"/>
      <c r="CB225" s="4" t="n"/>
      <c r="CC225" s="4" t="n"/>
      <c r="CD225" s="4" t="n"/>
      <c r="CE225" s="4" t="n"/>
      <c r="CF225" s="4" t="n"/>
      <c r="CG225" s="4" t="n"/>
      <c r="CH225" s="4" t="n"/>
      <c r="CI225" s="4" t="n"/>
      <c r="CJ225" s="4" t="n"/>
      <c r="CK225" s="4" t="n"/>
      <c r="CL225" s="4" t="n"/>
      <c r="CM225" s="4" t="n"/>
      <c r="CN225" s="4" t="n"/>
      <c r="CO225" s="4" t="n"/>
      <c r="CP225" s="4" t="n"/>
      <c r="CQ225" s="4" t="n"/>
      <c r="CR225" s="4" t="n"/>
      <c r="CS225" s="4" t="n"/>
      <c r="CT225" s="4" t="n"/>
      <c r="CU225" s="4" t="n"/>
      <c r="CV225" s="4" t="n"/>
      <c r="CW225" s="4" t="n"/>
      <c r="CX225" s="4" t="n"/>
      <c r="CY225" s="4" t="n"/>
      <c r="CZ225" s="4" t="n"/>
      <c r="DA225" s="4" t="n"/>
      <c r="DB225" s="4" t="n"/>
      <c r="DC225" s="4" t="n"/>
      <c r="DD225" s="4" t="n"/>
      <c r="DE225" s="4" t="n"/>
      <c r="DF225" s="4" t="n"/>
      <c r="DG225" s="4" t="n"/>
      <c r="DH225" s="4" t="n"/>
      <c r="DI225" s="4" t="n"/>
      <c r="DJ225" s="4" t="n"/>
      <c r="DK225" s="4" t="n"/>
      <c r="DL225" s="4" t="n"/>
      <c r="DM225" s="4" t="n"/>
      <c r="DN225" s="4" t="n"/>
      <c r="DO225" s="4" t="n"/>
      <c r="DP225" s="4" t="n"/>
      <c r="DQ225" s="4" t="n"/>
      <c r="DR225" s="4" t="n"/>
      <c r="DS225" s="4" t="n"/>
      <c r="DT225" s="4" t="n"/>
      <c r="DU225" s="4" t="n"/>
      <c r="DV225" s="4" t="n"/>
      <c r="DW225" s="4" t="n"/>
      <c r="DX225" s="4" t="n"/>
      <c r="DY225" s="4" t="n"/>
      <c r="DZ225" s="4" t="n"/>
      <c r="EA225" s="4" t="n"/>
      <c r="EB225" s="4" t="n"/>
      <c r="EC225" s="4" t="n"/>
      <c r="ED225" s="4" t="n"/>
      <c r="EE225" s="4" t="n"/>
      <c r="EF225" s="4" t="n"/>
      <c r="EG225" s="4" t="n"/>
      <c r="EH225" s="4" t="n"/>
      <c r="EI225" s="4" t="n"/>
      <c r="EJ225" s="4" t="n"/>
      <c r="EK225" s="4" t="n"/>
    </row>
    <row r="226" hidden="1" customFormat="1" s="6">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c r="AC226" s="4" t="n"/>
      <c r="AD226" s="4" t="n"/>
      <c r="AE226" s="4" t="n"/>
      <c r="AF226" s="4" t="n"/>
      <c r="AG226" s="4" t="n"/>
      <c r="AH226" s="4" t="n"/>
      <c r="AI226" s="4" t="n"/>
      <c r="AJ226" s="4" t="n"/>
      <c r="AK226" s="4" t="n"/>
      <c r="AL226" s="4" t="n"/>
      <c r="AM226" s="4" t="n"/>
      <c r="AN226" s="4" t="n"/>
      <c r="AO226" s="4" t="n"/>
      <c r="AP226" s="4" t="n"/>
      <c r="AQ226" s="4" t="n"/>
      <c r="AR226" s="4" t="n"/>
      <c r="AS226" s="4" t="n"/>
      <c r="AT226" s="4" t="n"/>
      <c r="AU226" s="4" t="n"/>
      <c r="AV226" s="4" t="n"/>
      <c r="AW226" s="4" t="n"/>
      <c r="AX226" s="4" t="n"/>
      <c r="AY226" s="4" t="n"/>
      <c r="AZ226" s="4" t="n"/>
      <c r="BA226" s="4" t="n"/>
      <c r="BB226" s="4" t="n"/>
      <c r="BC226" s="4" t="n"/>
      <c r="BD226" s="4" t="n"/>
      <c r="BE226" s="4" t="n"/>
      <c r="BF226" s="4" t="n"/>
      <c r="BG226" s="4" t="n"/>
      <c r="BH226" s="4" t="n"/>
      <c r="BI226" s="4" t="n"/>
      <c r="BJ226" s="4" t="n"/>
      <c r="BK226" s="4" t="n"/>
      <c r="BL226" s="4" t="n"/>
      <c r="BM226" s="4" t="n"/>
      <c r="BN226" s="4" t="n"/>
      <c r="BO226" s="4" t="n"/>
      <c r="BP226" s="4" t="n"/>
      <c r="BQ226" s="4" t="n"/>
      <c r="BR226" s="4" t="n"/>
      <c r="BS226" s="4" t="n"/>
      <c r="BT226" s="4" t="n"/>
      <c r="BU226" s="4" t="n"/>
      <c r="BV226" s="4" t="n"/>
      <c r="BW226" s="4" t="n"/>
      <c r="BX226" s="4" t="n"/>
      <c r="BY226" s="4" t="n"/>
      <c r="BZ226" s="4" t="n"/>
      <c r="CA226" s="4" t="n"/>
      <c r="CB226" s="4" t="n"/>
      <c r="CC226" s="4" t="n"/>
      <c r="CD226" s="4" t="n"/>
      <c r="CE226" s="4" t="n"/>
      <c r="CF226" s="4" t="n"/>
      <c r="CG226" s="4" t="n"/>
      <c r="CH226" s="4" t="n"/>
      <c r="CI226" s="4" t="n"/>
      <c r="CJ226" s="4" t="n"/>
      <c r="CK226" s="4" t="n"/>
      <c r="CL226" s="4" t="n"/>
      <c r="CM226" s="4" t="n"/>
      <c r="CN226" s="4" t="n"/>
      <c r="CO226" s="4" t="n"/>
      <c r="CP226" s="4" t="n"/>
      <c r="CQ226" s="4" t="n"/>
      <c r="CR226" s="4" t="n"/>
      <c r="CS226" s="4" t="n"/>
      <c r="CT226" s="4" t="n"/>
      <c r="CU226" s="4" t="n"/>
      <c r="CV226" s="4" t="n"/>
      <c r="CW226" s="4" t="n"/>
      <c r="CX226" s="4" t="n"/>
      <c r="CY226" s="4" t="n"/>
      <c r="CZ226" s="4" t="n"/>
      <c r="DA226" s="4" t="n"/>
      <c r="DB226" s="4" t="n"/>
      <c r="DC226" s="4" t="n"/>
      <c r="DD226" s="4" t="n"/>
      <c r="DE226" s="4" t="n"/>
      <c r="DF226" s="4" t="n"/>
      <c r="DG226" s="4" t="n"/>
      <c r="DH226" s="4" t="n"/>
      <c r="DI226" s="4" t="n"/>
      <c r="DJ226" s="4" t="n"/>
      <c r="DK226" s="4" t="n"/>
      <c r="DL226" s="4" t="n"/>
      <c r="DM226" s="4" t="n"/>
      <c r="DN226" s="4" t="n"/>
      <c r="DO226" s="4" t="n"/>
      <c r="DP226" s="4" t="n"/>
      <c r="DQ226" s="4" t="n"/>
      <c r="DR226" s="4" t="n"/>
      <c r="DS226" s="4" t="n"/>
      <c r="DT226" s="4" t="n"/>
      <c r="DU226" s="4" t="n"/>
      <c r="DV226" s="4" t="n"/>
      <c r="DW226" s="4" t="n"/>
      <c r="DX226" s="4" t="n"/>
      <c r="DY226" s="4" t="n"/>
      <c r="DZ226" s="4" t="n"/>
      <c r="EA226" s="4" t="n"/>
      <c r="EB226" s="4" t="n"/>
      <c r="EC226" s="4" t="n"/>
      <c r="ED226" s="4" t="n"/>
      <c r="EE226" s="4" t="n"/>
      <c r="EF226" s="4" t="n"/>
      <c r="EG226" s="4" t="n"/>
      <c r="EH226" s="4" t="n"/>
      <c r="EI226" s="4" t="n"/>
      <c r="EJ226" s="4" t="n"/>
      <c r="EK226" s="4" t="n"/>
    </row>
    <row r="227" hidden="1" customFormat="1" s="6">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c r="AD227" s="4" t="n"/>
      <c r="AE227" s="4" t="n"/>
      <c r="AF227" s="4" t="n"/>
      <c r="AG227" s="4" t="n"/>
      <c r="AH227" s="4" t="n"/>
      <c r="AI227" s="4" t="n"/>
      <c r="AJ227" s="4" t="n"/>
      <c r="AK227" s="4" t="n"/>
      <c r="AL227" s="4" t="n"/>
      <c r="AM227" s="4" t="n"/>
      <c r="AN227" s="4" t="n"/>
      <c r="AO227" s="4" t="n"/>
      <c r="AP227" s="4" t="n"/>
      <c r="AQ227" s="4" t="n"/>
      <c r="AR227" s="4" t="n"/>
      <c r="AS227" s="4" t="n"/>
      <c r="AT227" s="4" t="n"/>
      <c r="AU227" s="4" t="n"/>
      <c r="AV227" s="4" t="n"/>
      <c r="AW227" s="4" t="n"/>
      <c r="AX227" s="4" t="n"/>
      <c r="AY227" s="4" t="n"/>
      <c r="AZ227" s="4" t="n"/>
      <c r="BA227" s="4" t="n"/>
      <c r="BB227" s="4" t="n"/>
      <c r="BC227" s="4" t="n"/>
      <c r="BD227" s="4" t="n"/>
      <c r="BE227" s="4" t="n"/>
      <c r="BF227" s="4" t="n"/>
      <c r="BG227" s="4" t="n"/>
      <c r="BH227" s="4" t="n"/>
      <c r="BI227" s="4" t="n"/>
      <c r="BJ227" s="4" t="n"/>
      <c r="BK227" s="4" t="n"/>
      <c r="BL227" s="4" t="n"/>
      <c r="BM227" s="4" t="n"/>
      <c r="BN227" s="4" t="n"/>
      <c r="BO227" s="4" t="n"/>
      <c r="BP227" s="4" t="n"/>
      <c r="BQ227" s="4" t="n"/>
      <c r="BR227" s="4" t="n"/>
      <c r="BS227" s="4" t="n"/>
      <c r="BT227" s="4" t="n"/>
      <c r="BU227" s="4" t="n"/>
      <c r="BV227" s="4" t="n"/>
      <c r="BW227" s="4" t="n"/>
      <c r="BX227" s="4" t="n"/>
      <c r="BY227" s="4" t="n"/>
      <c r="BZ227" s="4" t="n"/>
      <c r="CA227" s="4" t="n"/>
      <c r="CB227" s="4" t="n"/>
      <c r="CC227" s="4" t="n"/>
      <c r="CD227" s="4" t="n"/>
      <c r="CE227" s="4" t="n"/>
      <c r="CF227" s="4" t="n"/>
      <c r="CG227" s="4" t="n"/>
      <c r="CH227" s="4" t="n"/>
      <c r="CI227" s="4" t="n"/>
      <c r="CJ227" s="4" t="n"/>
      <c r="CK227" s="4" t="n"/>
      <c r="CL227" s="4" t="n"/>
      <c r="CM227" s="4" t="n"/>
      <c r="CN227" s="4" t="n"/>
      <c r="CO227" s="4" t="n"/>
      <c r="CP227" s="4" t="n"/>
      <c r="CQ227" s="4" t="n"/>
      <c r="CR227" s="4" t="n"/>
      <c r="CS227" s="4" t="n"/>
      <c r="CT227" s="4" t="n"/>
      <c r="CU227" s="4" t="n"/>
      <c r="CV227" s="4" t="n"/>
      <c r="CW227" s="4" t="n"/>
      <c r="CX227" s="4" t="n"/>
      <c r="CY227" s="4" t="n"/>
      <c r="CZ227" s="4" t="n"/>
      <c r="DA227" s="4" t="n"/>
      <c r="DB227" s="4" t="n"/>
      <c r="DC227" s="4" t="n"/>
      <c r="DD227" s="4" t="n"/>
      <c r="DE227" s="4" t="n"/>
      <c r="DF227" s="4" t="n"/>
      <c r="DG227" s="4" t="n"/>
      <c r="DH227" s="4" t="n"/>
      <c r="DI227" s="4" t="n"/>
      <c r="DJ227" s="4" t="n"/>
      <c r="DK227" s="4" t="n"/>
      <c r="DL227" s="4" t="n"/>
      <c r="DM227" s="4" t="n"/>
      <c r="DN227" s="4" t="n"/>
      <c r="DO227" s="4" t="n"/>
      <c r="DP227" s="4" t="n"/>
      <c r="DQ227" s="4" t="n"/>
      <c r="DR227" s="4" t="n"/>
      <c r="DS227" s="4" t="n"/>
      <c r="DT227" s="4" t="n"/>
      <c r="DU227" s="4" t="n"/>
      <c r="DV227" s="4" t="n"/>
      <c r="DW227" s="4" t="n"/>
      <c r="DX227" s="4" t="n"/>
      <c r="DY227" s="4" t="n"/>
      <c r="DZ227" s="4" t="n"/>
      <c r="EA227" s="4" t="n"/>
      <c r="EB227" s="4" t="n"/>
      <c r="EC227" s="4" t="n"/>
      <c r="ED227" s="4" t="n"/>
      <c r="EE227" s="4" t="n"/>
      <c r="EF227" s="4" t="n"/>
      <c r="EG227" s="4" t="n"/>
      <c r="EH227" s="4" t="n"/>
      <c r="EI227" s="4" t="n"/>
      <c r="EJ227" s="4" t="n"/>
      <c r="EK227" s="4" t="n"/>
    </row>
    <row r="228" hidden="1" customFormat="1" s="6">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c r="AD228" s="4" t="n"/>
      <c r="AE228" s="4" t="n"/>
      <c r="AF228" s="4" t="n"/>
      <c r="AG228" s="4" t="n"/>
      <c r="AH228" s="4" t="n"/>
      <c r="AI228" s="4" t="n"/>
      <c r="AJ228" s="4" t="n"/>
      <c r="AK228" s="4" t="n"/>
      <c r="AL228" s="4" t="n"/>
      <c r="AM228" s="4" t="n"/>
      <c r="AN228" s="4" t="n"/>
      <c r="AO228" s="4" t="n"/>
      <c r="AP228" s="4" t="n"/>
      <c r="AQ228" s="4" t="n"/>
      <c r="AR228" s="4" t="n"/>
      <c r="AS228" s="4" t="n"/>
      <c r="AT228" s="4" t="n"/>
      <c r="AU228" s="4" t="n"/>
      <c r="AV228" s="4" t="n"/>
      <c r="AW228" s="4" t="n"/>
      <c r="AX228" s="4" t="n"/>
      <c r="AY228" s="4" t="n"/>
      <c r="AZ228" s="4" t="n"/>
      <c r="BA228" s="4" t="n"/>
      <c r="BB228" s="4" t="n"/>
      <c r="BC228" s="4" t="n"/>
      <c r="BD228" s="4" t="n"/>
      <c r="BE228" s="4" t="n"/>
      <c r="BF228" s="4" t="n"/>
      <c r="BG228" s="4" t="n"/>
      <c r="BH228" s="4" t="n"/>
      <c r="BI228" s="4" t="n"/>
      <c r="BJ228" s="4" t="n"/>
      <c r="BK228" s="4" t="n"/>
      <c r="BL228" s="4" t="n"/>
      <c r="BM228" s="4" t="n"/>
      <c r="BN228" s="4" t="n"/>
      <c r="BO228" s="4" t="n"/>
      <c r="BP228" s="4" t="n"/>
      <c r="BQ228" s="4" t="n"/>
      <c r="BR228" s="4" t="n"/>
      <c r="BS228" s="4" t="n"/>
      <c r="BT228" s="4" t="n"/>
      <c r="BU228" s="4" t="n"/>
      <c r="BV228" s="4" t="n"/>
      <c r="BW228" s="4" t="n"/>
      <c r="BX228" s="4" t="n"/>
      <c r="BY228" s="4" t="n"/>
      <c r="BZ228" s="4" t="n"/>
      <c r="CA228" s="4" t="n"/>
      <c r="CB228" s="4" t="n"/>
      <c r="CC228" s="4" t="n"/>
      <c r="CD228" s="4" t="n"/>
      <c r="CE228" s="4" t="n"/>
      <c r="CF228" s="4" t="n"/>
      <c r="CG228" s="4" t="n"/>
      <c r="CH228" s="4" t="n"/>
      <c r="CI228" s="4" t="n"/>
      <c r="CJ228" s="4" t="n"/>
      <c r="CK228" s="4" t="n"/>
      <c r="CL228" s="4" t="n"/>
      <c r="CM228" s="4" t="n"/>
      <c r="CN228" s="4" t="n"/>
      <c r="CO228" s="4" t="n"/>
      <c r="CP228" s="4" t="n"/>
      <c r="CQ228" s="4" t="n"/>
      <c r="CR228" s="4" t="n"/>
      <c r="CS228" s="4" t="n"/>
      <c r="CT228" s="4" t="n"/>
      <c r="CU228" s="4" t="n"/>
      <c r="CV228" s="4" t="n"/>
      <c r="CW228" s="4" t="n"/>
      <c r="CX228" s="4" t="n"/>
      <c r="CY228" s="4" t="n"/>
      <c r="CZ228" s="4" t="n"/>
      <c r="DA228" s="4" t="n"/>
      <c r="DB228" s="4" t="n"/>
      <c r="DC228" s="4" t="n"/>
      <c r="DD228" s="4" t="n"/>
      <c r="DE228" s="4" t="n"/>
      <c r="DF228" s="4" t="n"/>
      <c r="DG228" s="4" t="n"/>
      <c r="DH228" s="4" t="n"/>
      <c r="DI228" s="4" t="n"/>
      <c r="DJ228" s="4" t="n"/>
      <c r="DK228" s="4" t="n"/>
      <c r="DL228" s="4" t="n"/>
      <c r="DM228" s="4" t="n"/>
      <c r="DN228" s="4" t="n"/>
      <c r="DO228" s="4" t="n"/>
      <c r="DP228" s="4" t="n"/>
      <c r="DQ228" s="4" t="n"/>
      <c r="DR228" s="4" t="n"/>
      <c r="DS228" s="4" t="n"/>
      <c r="DT228" s="4" t="n"/>
      <c r="DU228" s="4" t="n"/>
      <c r="DV228" s="4" t="n"/>
      <c r="DW228" s="4" t="n"/>
      <c r="DX228" s="4" t="n"/>
      <c r="DY228" s="4" t="n"/>
      <c r="DZ228" s="4" t="n"/>
      <c r="EA228" s="4" t="n"/>
      <c r="EB228" s="4" t="n"/>
      <c r="EC228" s="4" t="n"/>
      <c r="ED228" s="4" t="n"/>
      <c r="EE228" s="4" t="n"/>
      <c r="EF228" s="4" t="n"/>
      <c r="EG228" s="4" t="n"/>
      <c r="EH228" s="4" t="n"/>
      <c r="EI228" s="4" t="n"/>
      <c r="EJ228" s="4" t="n"/>
      <c r="EK228" s="4" t="n"/>
    </row>
    <row r="229" hidden="1" customFormat="1" s="6">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c r="AD229" s="4" t="n"/>
      <c r="AE229" s="4" t="n"/>
      <c r="AF229" s="4" t="n"/>
      <c r="AG229" s="4" t="n"/>
      <c r="AH229" s="4" t="n"/>
      <c r="AI229" s="4" t="n"/>
      <c r="AJ229" s="4" t="n"/>
      <c r="AK229" s="4" t="n"/>
      <c r="AL229" s="4" t="n"/>
      <c r="AM229" s="4" t="n"/>
      <c r="AN229" s="4" t="n"/>
      <c r="AO229" s="4" t="n"/>
      <c r="AP229" s="4" t="n"/>
      <c r="AQ229" s="4" t="n"/>
      <c r="AR229" s="4" t="n"/>
      <c r="AS229" s="4" t="n"/>
      <c r="AT229" s="4" t="n"/>
      <c r="AU229" s="4" t="n"/>
      <c r="AV229" s="4" t="n"/>
      <c r="AW229" s="4" t="n"/>
      <c r="AX229" s="4" t="n"/>
      <c r="AY229" s="4" t="n"/>
      <c r="AZ229" s="4" t="n"/>
      <c r="BA229" s="4" t="n"/>
      <c r="BB229" s="4" t="n"/>
      <c r="BC229" s="4" t="n"/>
      <c r="BD229" s="4" t="n"/>
      <c r="BE229" s="4" t="n"/>
      <c r="BF229" s="4" t="n"/>
      <c r="BG229" s="4" t="n"/>
      <c r="BH229" s="4" t="n"/>
      <c r="BI229" s="4" t="n"/>
      <c r="BJ229" s="4" t="n"/>
      <c r="BK229" s="4" t="n"/>
      <c r="BL229" s="4" t="n"/>
      <c r="BM229" s="4" t="n"/>
      <c r="BN229" s="4" t="n"/>
      <c r="BO229" s="4" t="n"/>
      <c r="BP229" s="4" t="n"/>
      <c r="BQ229" s="4" t="n"/>
      <c r="BR229" s="4" t="n"/>
      <c r="BS229" s="4" t="n"/>
      <c r="BT229" s="4" t="n"/>
      <c r="BU229" s="4" t="n"/>
      <c r="BV229" s="4" t="n"/>
      <c r="BW229" s="4" t="n"/>
      <c r="BX229" s="4" t="n"/>
      <c r="BY229" s="4" t="n"/>
      <c r="BZ229" s="4" t="n"/>
      <c r="CA229" s="4" t="n"/>
      <c r="CB229" s="4" t="n"/>
      <c r="CC229" s="4" t="n"/>
      <c r="CD229" s="4" t="n"/>
      <c r="CE229" s="4" t="n"/>
      <c r="CF229" s="4" t="n"/>
      <c r="CG229" s="4" t="n"/>
      <c r="CH229" s="4" t="n"/>
      <c r="CI229" s="4" t="n"/>
      <c r="CJ229" s="4" t="n"/>
      <c r="CK229" s="4" t="n"/>
      <c r="CL229" s="4" t="n"/>
      <c r="CM229" s="4" t="n"/>
      <c r="CN229" s="4" t="n"/>
      <c r="CO229" s="4" t="n"/>
      <c r="CP229" s="4" t="n"/>
      <c r="CQ229" s="4" t="n"/>
      <c r="CR229" s="4" t="n"/>
      <c r="CS229" s="4" t="n"/>
      <c r="CT229" s="4" t="n"/>
      <c r="CU229" s="4" t="n"/>
      <c r="CV229" s="4" t="n"/>
      <c r="CW229" s="4" t="n"/>
      <c r="CX229" s="4" t="n"/>
      <c r="CY229" s="4" t="n"/>
      <c r="CZ229" s="4" t="n"/>
      <c r="DA229" s="4" t="n"/>
      <c r="DB229" s="4" t="n"/>
      <c r="DC229" s="4" t="n"/>
      <c r="DD229" s="4" t="n"/>
      <c r="DE229" s="4" t="n"/>
      <c r="DF229" s="4" t="n"/>
      <c r="DG229" s="4" t="n"/>
      <c r="DH229" s="4" t="n"/>
      <c r="DI229" s="4" t="n"/>
      <c r="DJ229" s="4" t="n"/>
      <c r="DK229" s="4" t="n"/>
      <c r="DL229" s="4" t="n"/>
      <c r="DM229" s="4" t="n"/>
      <c r="DN229" s="4" t="n"/>
      <c r="DO229" s="4" t="n"/>
      <c r="DP229" s="4" t="n"/>
      <c r="DQ229" s="4" t="n"/>
      <c r="DR229" s="4" t="n"/>
      <c r="DS229" s="4" t="n"/>
      <c r="DT229" s="4" t="n"/>
      <c r="DU229" s="4" t="n"/>
      <c r="DV229" s="4" t="n"/>
      <c r="DW229" s="4" t="n"/>
      <c r="DX229" s="4" t="n"/>
      <c r="DY229" s="4" t="n"/>
      <c r="DZ229" s="4" t="n"/>
      <c r="EA229" s="4" t="n"/>
      <c r="EB229" s="4" t="n"/>
      <c r="EC229" s="4" t="n"/>
      <c r="ED229" s="4" t="n"/>
      <c r="EE229" s="4" t="n"/>
      <c r="EF229" s="4" t="n"/>
      <c r="EG229" s="4" t="n"/>
      <c r="EH229" s="4" t="n"/>
      <c r="EI229" s="4" t="n"/>
      <c r="EJ229" s="4" t="n"/>
      <c r="EK229" s="4" t="n"/>
    </row>
    <row r="230" hidden="1" customFormat="1" s="6">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c r="AD230" s="4" t="n"/>
      <c r="AE230" s="4" t="n"/>
      <c r="AF230" s="4" t="n"/>
      <c r="AG230" s="4" t="n"/>
      <c r="AH230" s="4" t="n"/>
      <c r="AI230" s="4" t="n"/>
      <c r="AJ230" s="4" t="n"/>
      <c r="AK230" s="4" t="n"/>
      <c r="AL230" s="4" t="n"/>
      <c r="AM230" s="4" t="n"/>
      <c r="AN230" s="4" t="n"/>
      <c r="AO230" s="4" t="n"/>
      <c r="AP230" s="4" t="n"/>
      <c r="AQ230" s="4" t="n"/>
      <c r="AR230" s="4" t="n"/>
      <c r="AS230" s="4" t="n"/>
      <c r="AT230" s="4" t="n"/>
      <c r="AU230" s="4" t="n"/>
      <c r="AV230" s="4" t="n"/>
      <c r="AW230" s="4" t="n"/>
      <c r="AX230" s="4" t="n"/>
      <c r="AY230" s="4" t="n"/>
      <c r="AZ230" s="4" t="n"/>
      <c r="BA230" s="4" t="n"/>
      <c r="BB230" s="4" t="n"/>
      <c r="BC230" s="4" t="n"/>
      <c r="BD230" s="4" t="n"/>
      <c r="BE230" s="4" t="n"/>
      <c r="BF230" s="4" t="n"/>
      <c r="BG230" s="4" t="n"/>
      <c r="BH230" s="4" t="n"/>
      <c r="BI230" s="4" t="n"/>
      <c r="BJ230" s="4" t="n"/>
      <c r="BK230" s="4" t="n"/>
      <c r="BL230" s="4" t="n"/>
      <c r="BM230" s="4" t="n"/>
      <c r="BN230" s="4" t="n"/>
      <c r="BO230" s="4" t="n"/>
      <c r="BP230" s="4" t="n"/>
      <c r="BQ230" s="4" t="n"/>
      <c r="BR230" s="4" t="n"/>
      <c r="BS230" s="4" t="n"/>
      <c r="BT230" s="4" t="n"/>
      <c r="BU230" s="4" t="n"/>
      <c r="BV230" s="4" t="n"/>
      <c r="BW230" s="4" t="n"/>
      <c r="BX230" s="4" t="n"/>
      <c r="BY230" s="4" t="n"/>
      <c r="BZ230" s="4" t="n"/>
      <c r="CA230" s="4" t="n"/>
      <c r="CB230" s="4" t="n"/>
      <c r="CC230" s="4" t="n"/>
      <c r="CD230" s="4" t="n"/>
      <c r="CE230" s="4" t="n"/>
      <c r="CF230" s="4" t="n"/>
      <c r="CG230" s="4" t="n"/>
      <c r="CH230" s="4" t="n"/>
      <c r="CI230" s="4" t="n"/>
      <c r="CJ230" s="4" t="n"/>
      <c r="CK230" s="4" t="n"/>
      <c r="CL230" s="4" t="n"/>
      <c r="CM230" s="4" t="n"/>
      <c r="CN230" s="4" t="n"/>
      <c r="CO230" s="4" t="n"/>
      <c r="CP230" s="4" t="n"/>
      <c r="CQ230" s="4" t="n"/>
      <c r="CR230" s="4" t="n"/>
      <c r="CS230" s="4" t="n"/>
      <c r="CT230" s="4" t="n"/>
      <c r="CU230" s="4" t="n"/>
      <c r="CV230" s="4" t="n"/>
      <c r="CW230" s="4" t="n"/>
      <c r="CX230" s="4" t="n"/>
      <c r="CY230" s="4" t="n"/>
      <c r="CZ230" s="4" t="n"/>
      <c r="DA230" s="4" t="n"/>
      <c r="DB230" s="4" t="n"/>
      <c r="DC230" s="4" t="n"/>
      <c r="DD230" s="4" t="n"/>
      <c r="DE230" s="4" t="n"/>
      <c r="DF230" s="4" t="n"/>
      <c r="DG230" s="4" t="n"/>
      <c r="DH230" s="4" t="n"/>
      <c r="DI230" s="4" t="n"/>
      <c r="DJ230" s="4" t="n"/>
      <c r="DK230" s="4" t="n"/>
      <c r="DL230" s="4" t="n"/>
      <c r="DM230" s="4" t="n"/>
      <c r="DN230" s="4" t="n"/>
      <c r="DO230" s="4" t="n"/>
      <c r="DP230" s="4" t="n"/>
      <c r="DQ230" s="4" t="n"/>
      <c r="DR230" s="4" t="n"/>
      <c r="DS230" s="4" t="n"/>
      <c r="DT230" s="4" t="n"/>
      <c r="DU230" s="4" t="n"/>
      <c r="DV230" s="4" t="n"/>
      <c r="DW230" s="4" t="n"/>
      <c r="DX230" s="4" t="n"/>
      <c r="DY230" s="4" t="n"/>
      <c r="DZ230" s="4" t="n"/>
      <c r="EA230" s="4" t="n"/>
      <c r="EB230" s="4" t="n"/>
      <c r="EC230" s="4" t="n"/>
      <c r="ED230" s="4" t="n"/>
      <c r="EE230" s="4" t="n"/>
      <c r="EF230" s="4" t="n"/>
      <c r="EG230" s="4" t="n"/>
      <c r="EH230" s="4" t="n"/>
      <c r="EI230" s="4" t="n"/>
      <c r="EJ230" s="4" t="n"/>
      <c r="EK230" s="4" t="n"/>
    </row>
    <row r="231" hidden="1" customFormat="1" s="6">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c r="AD231" s="4" t="n"/>
      <c r="AE231" s="4" t="n"/>
      <c r="AF231" s="4" t="n"/>
      <c r="AG231" s="4" t="n"/>
      <c r="AH231" s="4" t="n"/>
      <c r="AI231" s="4" t="n"/>
      <c r="AJ231" s="4" t="n"/>
      <c r="AK231" s="4" t="n"/>
      <c r="AL231" s="4" t="n"/>
      <c r="AM231" s="4" t="n"/>
      <c r="AN231" s="4" t="n"/>
      <c r="AO231" s="4" t="n"/>
      <c r="AP231" s="4" t="n"/>
      <c r="AQ231" s="4" t="n"/>
      <c r="AR231" s="4" t="n"/>
      <c r="AS231" s="4" t="n"/>
      <c r="AT231" s="4" t="n"/>
      <c r="AU231" s="4" t="n"/>
      <c r="AV231" s="4" t="n"/>
      <c r="AW231" s="4" t="n"/>
      <c r="AX231" s="4" t="n"/>
      <c r="AY231" s="4" t="n"/>
      <c r="AZ231" s="4" t="n"/>
      <c r="BA231" s="4" t="n"/>
      <c r="BB231" s="4" t="n"/>
      <c r="BC231" s="4" t="n"/>
      <c r="BD231" s="4" t="n"/>
      <c r="BE231" s="4" t="n"/>
      <c r="BF231" s="4" t="n"/>
      <c r="BG231" s="4" t="n"/>
      <c r="BH231" s="4" t="n"/>
      <c r="BI231" s="4" t="n"/>
      <c r="BJ231" s="4" t="n"/>
      <c r="BK231" s="4" t="n"/>
      <c r="BL231" s="4" t="n"/>
      <c r="BM231" s="4" t="n"/>
      <c r="BN231" s="4" t="n"/>
      <c r="BO231" s="4" t="n"/>
      <c r="BP231" s="4" t="n"/>
      <c r="BQ231" s="4" t="n"/>
      <c r="BR231" s="4" t="n"/>
      <c r="BS231" s="4" t="n"/>
      <c r="BT231" s="4" t="n"/>
      <c r="BU231" s="4" t="n"/>
      <c r="BV231" s="4" t="n"/>
      <c r="BW231" s="4" t="n"/>
      <c r="BX231" s="4" t="n"/>
      <c r="BY231" s="4" t="n"/>
      <c r="BZ231" s="4" t="n"/>
      <c r="CA231" s="4" t="n"/>
      <c r="CB231" s="4" t="n"/>
      <c r="CC231" s="4" t="n"/>
      <c r="CD231" s="4" t="n"/>
      <c r="CE231" s="4" t="n"/>
      <c r="CF231" s="4" t="n"/>
      <c r="CG231" s="4" t="n"/>
      <c r="CH231" s="4" t="n"/>
      <c r="CI231" s="4" t="n"/>
      <c r="CJ231" s="4" t="n"/>
      <c r="CK231" s="4" t="n"/>
      <c r="CL231" s="4" t="n"/>
      <c r="CM231" s="4" t="n"/>
      <c r="CN231" s="4" t="n"/>
      <c r="CO231" s="4" t="n"/>
      <c r="CP231" s="4" t="n"/>
      <c r="CQ231" s="4" t="n"/>
      <c r="CR231" s="4" t="n"/>
      <c r="CS231" s="4" t="n"/>
      <c r="CT231" s="4" t="n"/>
      <c r="CU231" s="4" t="n"/>
      <c r="CV231" s="4" t="n"/>
      <c r="CW231" s="4" t="n"/>
      <c r="CX231" s="4" t="n"/>
      <c r="CY231" s="4" t="n"/>
      <c r="CZ231" s="4" t="n"/>
      <c r="DA231" s="4" t="n"/>
      <c r="DB231" s="4" t="n"/>
      <c r="DC231" s="4" t="n"/>
      <c r="DD231" s="4" t="n"/>
      <c r="DE231" s="4" t="n"/>
      <c r="DF231" s="4" t="n"/>
      <c r="DG231" s="4" t="n"/>
      <c r="DH231" s="4" t="n"/>
      <c r="DI231" s="4" t="n"/>
      <c r="DJ231" s="4" t="n"/>
      <c r="DK231" s="4" t="n"/>
      <c r="DL231" s="4" t="n"/>
      <c r="DM231" s="4" t="n"/>
      <c r="DN231" s="4" t="n"/>
      <c r="DO231" s="4" t="n"/>
      <c r="DP231" s="4" t="n"/>
      <c r="DQ231" s="4" t="n"/>
      <c r="DR231" s="4" t="n"/>
      <c r="DS231" s="4" t="n"/>
      <c r="DT231" s="4" t="n"/>
      <c r="DU231" s="4" t="n"/>
      <c r="DV231" s="4" t="n"/>
      <c r="DW231" s="4" t="n"/>
      <c r="DX231" s="4" t="n"/>
      <c r="DY231" s="4" t="n"/>
      <c r="DZ231" s="4" t="n"/>
      <c r="EA231" s="4" t="n"/>
      <c r="EB231" s="4" t="n"/>
      <c r="EC231" s="4" t="n"/>
      <c r="ED231" s="4" t="n"/>
      <c r="EE231" s="4" t="n"/>
      <c r="EF231" s="4" t="n"/>
      <c r="EG231" s="4" t="n"/>
      <c r="EH231" s="4" t="n"/>
      <c r="EI231" s="4" t="n"/>
      <c r="EJ231" s="4" t="n"/>
      <c r="EK231" s="4" t="n"/>
    </row>
    <row r="232" hidden="1" customFormat="1" s="6">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c r="AC232" s="4" t="n"/>
      <c r="AD232" s="4" t="n"/>
      <c r="AE232" s="4" t="n"/>
      <c r="AF232" s="4" t="n"/>
      <c r="AG232" s="4" t="n"/>
      <c r="AH232" s="4" t="n"/>
      <c r="AI232" s="4" t="n"/>
      <c r="AJ232" s="4" t="n"/>
      <c r="AK232" s="4" t="n"/>
      <c r="AL232" s="4" t="n"/>
      <c r="AM232" s="4" t="n"/>
      <c r="AN232" s="4" t="n"/>
      <c r="AO232" s="4" t="n"/>
      <c r="AP232" s="4" t="n"/>
      <c r="AQ232" s="4" t="n"/>
      <c r="AR232" s="4" t="n"/>
      <c r="AS232" s="4" t="n"/>
      <c r="AT232" s="4" t="n"/>
      <c r="AU232" s="4" t="n"/>
      <c r="AV232" s="4" t="n"/>
      <c r="AW232" s="4" t="n"/>
      <c r="AX232" s="4" t="n"/>
      <c r="AY232" s="4" t="n"/>
      <c r="AZ232" s="4" t="n"/>
      <c r="BA232" s="4" t="n"/>
      <c r="BB232" s="4" t="n"/>
      <c r="BC232" s="4" t="n"/>
      <c r="BD232" s="4" t="n"/>
      <c r="BE232" s="4" t="n"/>
      <c r="BF232" s="4" t="n"/>
      <c r="BG232" s="4" t="n"/>
      <c r="BH232" s="4" t="n"/>
      <c r="BI232" s="4" t="n"/>
      <c r="BJ232" s="4" t="n"/>
      <c r="BK232" s="4" t="n"/>
      <c r="BL232" s="4" t="n"/>
      <c r="BM232" s="4" t="n"/>
      <c r="BN232" s="4" t="n"/>
      <c r="BO232" s="4" t="n"/>
      <c r="BP232" s="4" t="n"/>
      <c r="BQ232" s="4" t="n"/>
      <c r="BR232" s="4" t="n"/>
      <c r="BS232" s="4" t="n"/>
      <c r="BT232" s="4" t="n"/>
      <c r="BU232" s="4" t="n"/>
      <c r="BV232" s="4" t="n"/>
      <c r="BW232" s="4" t="n"/>
      <c r="BX232" s="4" t="n"/>
      <c r="BY232" s="4" t="n"/>
      <c r="BZ232" s="4" t="n"/>
      <c r="CA232" s="4" t="n"/>
      <c r="CB232" s="4" t="n"/>
      <c r="CC232" s="4" t="n"/>
      <c r="CD232" s="4" t="n"/>
      <c r="CE232" s="4" t="n"/>
      <c r="CF232" s="4" t="n"/>
      <c r="CG232" s="4" t="n"/>
      <c r="CH232" s="4" t="n"/>
      <c r="CI232" s="4" t="n"/>
      <c r="CJ232" s="4" t="n"/>
      <c r="CK232" s="4" t="n"/>
      <c r="CL232" s="4" t="n"/>
      <c r="CM232" s="4" t="n"/>
      <c r="CN232" s="4" t="n"/>
      <c r="CO232" s="4" t="n"/>
      <c r="CP232" s="4" t="n"/>
      <c r="CQ232" s="4" t="n"/>
      <c r="CR232" s="4" t="n"/>
      <c r="CS232" s="4" t="n"/>
      <c r="CT232" s="4" t="n"/>
      <c r="CU232" s="4" t="n"/>
      <c r="CV232" s="4" t="n"/>
      <c r="CW232" s="4" t="n"/>
      <c r="CX232" s="4" t="n"/>
      <c r="CY232" s="4" t="n"/>
      <c r="CZ232" s="4" t="n"/>
      <c r="DA232" s="4" t="n"/>
      <c r="DB232" s="4" t="n"/>
      <c r="DC232" s="4" t="n"/>
      <c r="DD232" s="4" t="n"/>
      <c r="DE232" s="4" t="n"/>
      <c r="DF232" s="4" t="n"/>
      <c r="DG232" s="4" t="n"/>
      <c r="DH232" s="4" t="n"/>
      <c r="DI232" s="4" t="n"/>
      <c r="DJ232" s="4" t="n"/>
      <c r="DK232" s="4" t="n"/>
      <c r="DL232" s="4" t="n"/>
      <c r="DM232" s="4" t="n"/>
      <c r="DN232" s="4" t="n"/>
      <c r="DO232" s="4" t="n"/>
      <c r="DP232" s="4" t="n"/>
      <c r="DQ232" s="4" t="n"/>
      <c r="DR232" s="4" t="n"/>
      <c r="DS232" s="4" t="n"/>
      <c r="DT232" s="4" t="n"/>
      <c r="DU232" s="4" t="n"/>
      <c r="DV232" s="4" t="n"/>
      <c r="DW232" s="4" t="n"/>
      <c r="DX232" s="4" t="n"/>
      <c r="DY232" s="4" t="n"/>
      <c r="DZ232" s="4" t="n"/>
      <c r="EA232" s="4" t="n"/>
      <c r="EB232" s="4" t="n"/>
      <c r="EC232" s="4" t="n"/>
      <c r="ED232" s="4" t="n"/>
      <c r="EE232" s="4" t="n"/>
      <c r="EF232" s="4" t="n"/>
      <c r="EG232" s="4" t="n"/>
      <c r="EH232" s="4" t="n"/>
      <c r="EI232" s="4" t="n"/>
      <c r="EJ232" s="4" t="n"/>
      <c r="EK232" s="4" t="n"/>
    </row>
    <row r="233" hidden="1" customFormat="1" s="6">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c r="AC233" s="4" t="n"/>
      <c r="AD233" s="4" t="n"/>
      <c r="AE233" s="4" t="n"/>
      <c r="AF233" s="4" t="n"/>
      <c r="AG233" s="4" t="n"/>
      <c r="AH233" s="4" t="n"/>
      <c r="AI233" s="4" t="n"/>
      <c r="AJ233" s="4" t="n"/>
      <c r="AK233" s="4" t="n"/>
      <c r="AL233" s="4" t="n"/>
      <c r="AM233" s="4" t="n"/>
      <c r="AN233" s="4" t="n"/>
      <c r="AO233" s="4" t="n"/>
      <c r="AP233" s="4" t="n"/>
      <c r="AQ233" s="4" t="n"/>
      <c r="AR233" s="4" t="n"/>
      <c r="AS233" s="4" t="n"/>
      <c r="AT233" s="4" t="n"/>
      <c r="AU233" s="4" t="n"/>
      <c r="AV233" s="4" t="n"/>
      <c r="AW233" s="4" t="n"/>
      <c r="AX233" s="4" t="n"/>
      <c r="AY233" s="4" t="n"/>
      <c r="AZ233" s="4" t="n"/>
      <c r="BA233" s="4" t="n"/>
      <c r="BB233" s="4" t="n"/>
      <c r="BC233" s="4" t="n"/>
      <c r="BD233" s="4" t="n"/>
      <c r="BE233" s="4" t="n"/>
      <c r="BF233" s="4" t="n"/>
      <c r="BG233" s="4" t="n"/>
      <c r="BH233" s="4" t="n"/>
      <c r="BI233" s="4" t="n"/>
      <c r="BJ233" s="4" t="n"/>
      <c r="BK233" s="4" t="n"/>
      <c r="BL233" s="4" t="n"/>
      <c r="BM233" s="4" t="n"/>
      <c r="BN233" s="4" t="n"/>
      <c r="BO233" s="4" t="n"/>
      <c r="BP233" s="4" t="n"/>
      <c r="BQ233" s="4" t="n"/>
      <c r="BR233" s="4" t="n"/>
      <c r="BS233" s="4" t="n"/>
      <c r="BT233" s="4" t="n"/>
      <c r="BU233" s="4" t="n"/>
      <c r="BV233" s="4" t="n"/>
      <c r="BW233" s="4" t="n"/>
      <c r="BX233" s="4" t="n"/>
      <c r="BY233" s="4" t="n"/>
      <c r="BZ233" s="4" t="n"/>
      <c r="CA233" s="4" t="n"/>
      <c r="CB233" s="4" t="n"/>
      <c r="CC233" s="4" t="n"/>
      <c r="CD233" s="4" t="n"/>
      <c r="CE233" s="4" t="n"/>
      <c r="CF233" s="4" t="n"/>
      <c r="CG233" s="4" t="n"/>
      <c r="CH233" s="4" t="n"/>
      <c r="CI233" s="4" t="n"/>
      <c r="CJ233" s="4" t="n"/>
      <c r="CK233" s="4" t="n"/>
      <c r="CL233" s="4" t="n"/>
      <c r="CM233" s="4" t="n"/>
      <c r="CN233" s="4" t="n"/>
      <c r="CO233" s="4" t="n"/>
      <c r="CP233" s="4" t="n"/>
      <c r="CQ233" s="4" t="n"/>
      <c r="CR233" s="4" t="n"/>
      <c r="CS233" s="4" t="n"/>
      <c r="CT233" s="4" t="n"/>
      <c r="CU233" s="4" t="n"/>
      <c r="CV233" s="4" t="n"/>
      <c r="CW233" s="4" t="n"/>
      <c r="CX233" s="4" t="n"/>
      <c r="CY233" s="4" t="n"/>
      <c r="CZ233" s="4" t="n"/>
      <c r="DA233" s="4" t="n"/>
      <c r="DB233" s="4" t="n"/>
      <c r="DC233" s="4" t="n"/>
      <c r="DD233" s="4" t="n"/>
      <c r="DE233" s="4" t="n"/>
      <c r="DF233" s="4" t="n"/>
      <c r="DG233" s="4" t="n"/>
      <c r="DH233" s="4" t="n"/>
      <c r="DI233" s="4" t="n"/>
      <c r="DJ233" s="4" t="n"/>
      <c r="DK233" s="4" t="n"/>
      <c r="DL233" s="4" t="n"/>
      <c r="DM233" s="4" t="n"/>
      <c r="DN233" s="4" t="n"/>
      <c r="DO233" s="4" t="n"/>
      <c r="DP233" s="4" t="n"/>
      <c r="DQ233" s="4" t="n"/>
      <c r="DR233" s="4" t="n"/>
      <c r="DS233" s="4" t="n"/>
      <c r="DT233" s="4" t="n"/>
      <c r="DU233" s="4" t="n"/>
      <c r="DV233" s="4" t="n"/>
      <c r="DW233" s="4" t="n"/>
      <c r="DX233" s="4" t="n"/>
      <c r="DY233" s="4" t="n"/>
      <c r="DZ233" s="4" t="n"/>
      <c r="EA233" s="4" t="n"/>
      <c r="EB233" s="4" t="n"/>
      <c r="EC233" s="4" t="n"/>
      <c r="ED233" s="4" t="n"/>
      <c r="EE233" s="4" t="n"/>
      <c r="EF233" s="4" t="n"/>
      <c r="EG233" s="4" t="n"/>
      <c r="EH233" s="4" t="n"/>
      <c r="EI233" s="4" t="n"/>
      <c r="EJ233" s="4" t="n"/>
      <c r="EK233" s="4" t="n"/>
    </row>
    <row r="234" hidden="1" customFormat="1" s="6">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c r="AC234" s="4" t="n"/>
      <c r="AD234" s="4" t="n"/>
      <c r="AE234" s="4" t="n"/>
      <c r="AF234" s="4" t="n"/>
      <c r="AG234" s="4" t="n"/>
      <c r="AH234" s="4" t="n"/>
      <c r="AI234" s="4" t="n"/>
      <c r="AJ234" s="4" t="n"/>
      <c r="AK234" s="4" t="n"/>
      <c r="AL234" s="4" t="n"/>
      <c r="AM234" s="4" t="n"/>
      <c r="AN234" s="4" t="n"/>
      <c r="AO234" s="4" t="n"/>
      <c r="AP234" s="4" t="n"/>
      <c r="AQ234" s="4" t="n"/>
      <c r="AR234" s="4" t="n"/>
      <c r="AS234" s="4" t="n"/>
      <c r="AT234" s="4" t="n"/>
      <c r="AU234" s="4" t="n"/>
      <c r="AV234" s="4" t="n"/>
      <c r="AW234" s="4" t="n"/>
      <c r="AX234" s="4" t="n"/>
      <c r="AY234" s="4" t="n"/>
      <c r="AZ234" s="4" t="n"/>
      <c r="BA234" s="4" t="n"/>
      <c r="BB234" s="4" t="n"/>
      <c r="BC234" s="4" t="n"/>
      <c r="BD234" s="4" t="n"/>
      <c r="BE234" s="4" t="n"/>
      <c r="BF234" s="4" t="n"/>
      <c r="BG234" s="4" t="n"/>
      <c r="BH234" s="4" t="n"/>
      <c r="BI234" s="4" t="n"/>
      <c r="BJ234" s="4" t="n"/>
      <c r="BK234" s="4" t="n"/>
      <c r="BL234" s="4" t="n"/>
      <c r="BM234" s="4" t="n"/>
      <c r="BN234" s="4" t="n"/>
      <c r="BO234" s="4" t="n"/>
      <c r="BP234" s="4" t="n"/>
      <c r="BQ234" s="4" t="n"/>
      <c r="BR234" s="4" t="n"/>
      <c r="BS234" s="4" t="n"/>
      <c r="BT234" s="4" t="n"/>
      <c r="BU234" s="4" t="n"/>
      <c r="BV234" s="4" t="n"/>
      <c r="BW234" s="4" t="n"/>
      <c r="BX234" s="4" t="n"/>
      <c r="BY234" s="4" t="n"/>
      <c r="BZ234" s="4" t="n"/>
      <c r="CA234" s="4" t="n"/>
      <c r="CB234" s="4" t="n"/>
      <c r="CC234" s="4" t="n"/>
      <c r="CD234" s="4" t="n"/>
      <c r="CE234" s="4" t="n"/>
      <c r="CF234" s="4" t="n"/>
      <c r="CG234" s="4" t="n"/>
      <c r="CH234" s="4" t="n"/>
      <c r="CI234" s="4" t="n"/>
      <c r="CJ234" s="4" t="n"/>
      <c r="CK234" s="4" t="n"/>
      <c r="CL234" s="4" t="n"/>
      <c r="CM234" s="4" t="n"/>
      <c r="CN234" s="4" t="n"/>
      <c r="CO234" s="4" t="n"/>
      <c r="CP234" s="4" t="n"/>
      <c r="CQ234" s="4" t="n"/>
      <c r="CR234" s="4" t="n"/>
      <c r="CS234" s="4" t="n"/>
      <c r="CT234" s="4" t="n"/>
      <c r="CU234" s="4" t="n"/>
      <c r="CV234" s="4" t="n"/>
      <c r="CW234" s="4" t="n"/>
      <c r="CX234" s="4" t="n"/>
      <c r="CY234" s="4" t="n"/>
      <c r="CZ234" s="4" t="n"/>
      <c r="DA234" s="4" t="n"/>
      <c r="DB234" s="4" t="n"/>
      <c r="DC234" s="4" t="n"/>
      <c r="DD234" s="4" t="n"/>
      <c r="DE234" s="4" t="n"/>
      <c r="DF234" s="4" t="n"/>
      <c r="DG234" s="4" t="n"/>
      <c r="DH234" s="4" t="n"/>
      <c r="DI234" s="4" t="n"/>
      <c r="DJ234" s="4" t="n"/>
      <c r="DK234" s="4" t="n"/>
      <c r="DL234" s="4" t="n"/>
      <c r="DM234" s="4" t="n"/>
      <c r="DN234" s="4" t="n"/>
      <c r="DO234" s="4" t="n"/>
      <c r="DP234" s="4" t="n"/>
      <c r="DQ234" s="4" t="n"/>
      <c r="DR234" s="4" t="n"/>
      <c r="DS234" s="4" t="n"/>
      <c r="DT234" s="4" t="n"/>
      <c r="DU234" s="4" t="n"/>
      <c r="DV234" s="4" t="n"/>
      <c r="DW234" s="4" t="n"/>
      <c r="DX234" s="4" t="n"/>
      <c r="DY234" s="4" t="n"/>
      <c r="DZ234" s="4" t="n"/>
      <c r="EA234" s="4" t="n"/>
      <c r="EB234" s="4" t="n"/>
      <c r="EC234" s="4" t="n"/>
      <c r="ED234" s="4" t="n"/>
      <c r="EE234" s="4" t="n"/>
      <c r="EF234" s="4" t="n"/>
      <c r="EG234" s="4" t="n"/>
      <c r="EH234" s="4" t="n"/>
      <c r="EI234" s="4" t="n"/>
      <c r="EJ234" s="4" t="n"/>
      <c r="EK234" s="4" t="n"/>
    </row>
    <row r="235" hidden="1" customFormat="1" s="6">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c r="AD235" s="4" t="n"/>
      <c r="AE235" s="4" t="n"/>
      <c r="AF235" s="4" t="n"/>
      <c r="AG235" s="4" t="n"/>
      <c r="AH235" s="4" t="n"/>
      <c r="AI235" s="4" t="n"/>
      <c r="AJ235" s="4" t="n"/>
      <c r="AK235" s="4" t="n"/>
      <c r="AL235" s="4" t="n"/>
      <c r="AM235" s="4" t="n"/>
      <c r="AN235" s="4" t="n"/>
      <c r="AO235" s="4" t="n"/>
      <c r="AP235" s="4" t="n"/>
      <c r="AQ235" s="4" t="n"/>
      <c r="AR235" s="4" t="n"/>
      <c r="AS235" s="4" t="n"/>
      <c r="AT235" s="4" t="n"/>
      <c r="AU235" s="4" t="n"/>
      <c r="AV235" s="4" t="n"/>
      <c r="AW235" s="4" t="n"/>
      <c r="AX235" s="4" t="n"/>
      <c r="AY235" s="4" t="n"/>
      <c r="AZ235" s="4" t="n"/>
      <c r="BA235" s="4" t="n"/>
      <c r="BB235" s="4" t="n"/>
      <c r="BC235" s="4" t="n"/>
      <c r="BD235" s="4" t="n"/>
      <c r="BE235" s="4" t="n"/>
      <c r="BF235" s="4" t="n"/>
      <c r="BG235" s="4" t="n"/>
      <c r="BH235" s="4" t="n"/>
      <c r="BI235" s="4" t="n"/>
      <c r="BJ235" s="4" t="n"/>
      <c r="BK235" s="4" t="n"/>
      <c r="BL235" s="4" t="n"/>
      <c r="BM235" s="4" t="n"/>
      <c r="BN235" s="4" t="n"/>
      <c r="BO235" s="4" t="n"/>
      <c r="BP235" s="4" t="n"/>
      <c r="BQ235" s="4" t="n"/>
      <c r="BR235" s="4" t="n"/>
      <c r="BS235" s="4" t="n"/>
      <c r="BT235" s="4" t="n"/>
      <c r="BU235" s="4" t="n"/>
      <c r="BV235" s="4" t="n"/>
      <c r="BW235" s="4" t="n"/>
      <c r="BX235" s="4" t="n"/>
      <c r="BY235" s="4" t="n"/>
      <c r="BZ235" s="4" t="n"/>
      <c r="CA235" s="4" t="n"/>
      <c r="CB235" s="4" t="n"/>
      <c r="CC235" s="4" t="n"/>
      <c r="CD235" s="4" t="n"/>
      <c r="CE235" s="4" t="n"/>
      <c r="CF235" s="4" t="n"/>
      <c r="CG235" s="4" t="n"/>
      <c r="CH235" s="4" t="n"/>
      <c r="CI235" s="4" t="n"/>
      <c r="CJ235" s="4" t="n"/>
      <c r="CK235" s="4" t="n"/>
      <c r="CL235" s="4" t="n"/>
      <c r="CM235" s="4" t="n"/>
      <c r="CN235" s="4" t="n"/>
      <c r="CO235" s="4" t="n"/>
      <c r="CP235" s="4" t="n"/>
      <c r="CQ235" s="4" t="n"/>
      <c r="CR235" s="4" t="n"/>
      <c r="CS235" s="4" t="n"/>
      <c r="CT235" s="4" t="n"/>
      <c r="CU235" s="4" t="n"/>
      <c r="CV235" s="4" t="n"/>
      <c r="CW235" s="4" t="n"/>
      <c r="CX235" s="4" t="n"/>
      <c r="CY235" s="4" t="n"/>
      <c r="CZ235" s="4" t="n"/>
      <c r="DA235" s="4" t="n"/>
      <c r="DB235" s="4" t="n"/>
      <c r="DC235" s="4" t="n"/>
      <c r="DD235" s="4" t="n"/>
      <c r="DE235" s="4" t="n"/>
      <c r="DF235" s="4" t="n"/>
      <c r="DG235" s="4" t="n"/>
      <c r="DH235" s="4" t="n"/>
      <c r="DI235" s="4" t="n"/>
      <c r="DJ235" s="4" t="n"/>
      <c r="DK235" s="4" t="n"/>
      <c r="DL235" s="4" t="n"/>
      <c r="DM235" s="4" t="n"/>
      <c r="DN235" s="4" t="n"/>
      <c r="DO235" s="4" t="n"/>
      <c r="DP235" s="4" t="n"/>
      <c r="DQ235" s="4" t="n"/>
      <c r="DR235" s="4" t="n"/>
      <c r="DS235" s="4" t="n"/>
      <c r="DT235" s="4" t="n"/>
      <c r="DU235" s="4" t="n"/>
      <c r="DV235" s="4" t="n"/>
      <c r="DW235" s="4" t="n"/>
      <c r="DX235" s="4" t="n"/>
      <c r="DY235" s="4" t="n"/>
      <c r="DZ235" s="4" t="n"/>
      <c r="EA235" s="4" t="n"/>
      <c r="EB235" s="4" t="n"/>
      <c r="EC235" s="4" t="n"/>
      <c r="ED235" s="4" t="n"/>
      <c r="EE235" s="4" t="n"/>
      <c r="EF235" s="4" t="n"/>
      <c r="EG235" s="4" t="n"/>
      <c r="EH235" s="4" t="n"/>
      <c r="EI235" s="4" t="n"/>
      <c r="EJ235" s="4" t="n"/>
      <c r="EK235" s="4" t="n"/>
    </row>
    <row r="236" hidden="1" customFormat="1" s="6">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c r="AC236" s="4" t="n"/>
      <c r="AD236" s="4" t="n"/>
      <c r="AE236" s="4" t="n"/>
      <c r="AF236" s="4" t="n"/>
      <c r="AG236" s="4" t="n"/>
      <c r="AH236" s="4" t="n"/>
      <c r="AI236" s="4" t="n"/>
      <c r="AJ236" s="4" t="n"/>
      <c r="AK236" s="4" t="n"/>
      <c r="AL236" s="4" t="n"/>
      <c r="AM236" s="4" t="n"/>
      <c r="AN236" s="4" t="n"/>
      <c r="AO236" s="4" t="n"/>
      <c r="AP236" s="4" t="n"/>
      <c r="AQ236" s="4" t="n"/>
      <c r="AR236" s="4" t="n"/>
      <c r="AS236" s="4" t="n"/>
      <c r="AT236" s="4" t="n"/>
      <c r="AU236" s="4" t="n"/>
      <c r="AV236" s="4" t="n"/>
      <c r="AW236" s="4" t="n"/>
      <c r="AX236" s="4" t="n"/>
      <c r="AY236" s="4" t="n"/>
      <c r="AZ236" s="4" t="n"/>
      <c r="BA236" s="4" t="n"/>
      <c r="BB236" s="4" t="n"/>
      <c r="BC236" s="4" t="n"/>
      <c r="BD236" s="4" t="n"/>
      <c r="BE236" s="4" t="n"/>
      <c r="BF236" s="4" t="n"/>
      <c r="BG236" s="4" t="n"/>
      <c r="BH236" s="4" t="n"/>
      <c r="BI236" s="4" t="n"/>
      <c r="BJ236" s="4" t="n"/>
      <c r="BK236" s="4" t="n"/>
      <c r="BL236" s="4" t="n"/>
      <c r="BM236" s="4" t="n"/>
      <c r="BN236" s="4" t="n"/>
      <c r="BO236" s="4" t="n"/>
      <c r="BP236" s="4" t="n"/>
      <c r="BQ236" s="4" t="n"/>
      <c r="BR236" s="4" t="n"/>
      <c r="BS236" s="4" t="n"/>
      <c r="BT236" s="4" t="n"/>
      <c r="BU236" s="4" t="n"/>
      <c r="BV236" s="4" t="n"/>
      <c r="BW236" s="4" t="n"/>
      <c r="BX236" s="4" t="n"/>
      <c r="BY236" s="4" t="n"/>
      <c r="BZ236" s="4" t="n"/>
      <c r="CA236" s="4" t="n"/>
      <c r="CB236" s="4" t="n"/>
      <c r="CC236" s="4" t="n"/>
      <c r="CD236" s="4" t="n"/>
      <c r="CE236" s="4" t="n"/>
      <c r="CF236" s="4" t="n"/>
      <c r="CG236" s="4" t="n"/>
      <c r="CH236" s="4" t="n"/>
      <c r="CI236" s="4" t="n"/>
      <c r="CJ236" s="4" t="n"/>
      <c r="CK236" s="4" t="n"/>
      <c r="CL236" s="4" t="n"/>
      <c r="CM236" s="4" t="n"/>
      <c r="CN236" s="4" t="n"/>
      <c r="CO236" s="4" t="n"/>
      <c r="CP236" s="4" t="n"/>
      <c r="CQ236" s="4" t="n"/>
      <c r="CR236" s="4" t="n"/>
      <c r="CS236" s="4" t="n"/>
      <c r="CT236" s="4" t="n"/>
      <c r="CU236" s="4" t="n"/>
      <c r="CV236" s="4" t="n"/>
      <c r="CW236" s="4" t="n"/>
      <c r="CX236" s="4" t="n"/>
      <c r="CY236" s="4" t="n"/>
      <c r="CZ236" s="4" t="n"/>
      <c r="DA236" s="4" t="n"/>
      <c r="DB236" s="4" t="n"/>
      <c r="DC236" s="4" t="n"/>
      <c r="DD236" s="4" t="n"/>
      <c r="DE236" s="4" t="n"/>
      <c r="DF236" s="4" t="n"/>
      <c r="DG236" s="4" t="n"/>
      <c r="DH236" s="4" t="n"/>
      <c r="DI236" s="4" t="n"/>
      <c r="DJ236" s="4" t="n"/>
      <c r="DK236" s="4" t="n"/>
      <c r="DL236" s="4" t="n"/>
      <c r="DM236" s="4" t="n"/>
      <c r="DN236" s="4" t="n"/>
      <c r="DO236" s="4" t="n"/>
      <c r="DP236" s="4" t="n"/>
      <c r="DQ236" s="4" t="n"/>
      <c r="DR236" s="4" t="n"/>
      <c r="DS236" s="4" t="n"/>
      <c r="DT236" s="4" t="n"/>
      <c r="DU236" s="4" t="n"/>
      <c r="DV236" s="4" t="n"/>
      <c r="DW236" s="4" t="n"/>
      <c r="DX236" s="4" t="n"/>
      <c r="DY236" s="4" t="n"/>
      <c r="DZ236" s="4" t="n"/>
      <c r="EA236" s="4" t="n"/>
      <c r="EB236" s="4" t="n"/>
      <c r="EC236" s="4" t="n"/>
      <c r="ED236" s="4" t="n"/>
      <c r="EE236" s="4" t="n"/>
      <c r="EF236" s="4" t="n"/>
      <c r="EG236" s="4" t="n"/>
      <c r="EH236" s="4" t="n"/>
      <c r="EI236" s="4" t="n"/>
      <c r="EJ236" s="4" t="n"/>
      <c r="EK236" s="4" t="n"/>
    </row>
    <row r="237" hidden="1" customFormat="1" s="6">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c r="AC237" s="4" t="n"/>
      <c r="AD237" s="4" t="n"/>
      <c r="AE237" s="4" t="n"/>
      <c r="AF237" s="4" t="n"/>
      <c r="AG237" s="4" t="n"/>
      <c r="AH237" s="4" t="n"/>
      <c r="AI237" s="4" t="n"/>
      <c r="AJ237" s="4" t="n"/>
      <c r="AK237" s="4" t="n"/>
      <c r="AL237" s="4" t="n"/>
      <c r="AM237" s="4" t="n"/>
      <c r="AN237" s="4" t="n"/>
      <c r="AO237" s="4" t="n"/>
      <c r="AP237" s="4" t="n"/>
      <c r="AQ237" s="4" t="n"/>
      <c r="AR237" s="4" t="n"/>
      <c r="AS237" s="4" t="n"/>
      <c r="AT237" s="4" t="n"/>
      <c r="AU237" s="4" t="n"/>
      <c r="AV237" s="4" t="n"/>
      <c r="AW237" s="4" t="n"/>
      <c r="AX237" s="4" t="n"/>
      <c r="AY237" s="4" t="n"/>
      <c r="AZ237" s="4" t="n"/>
      <c r="BA237" s="4" t="n"/>
      <c r="BB237" s="4" t="n"/>
      <c r="BC237" s="4" t="n"/>
      <c r="BD237" s="4" t="n"/>
      <c r="BE237" s="4" t="n"/>
      <c r="BF237" s="4" t="n"/>
      <c r="BG237" s="4" t="n"/>
      <c r="BH237" s="4" t="n"/>
      <c r="BI237" s="4" t="n"/>
      <c r="BJ237" s="4" t="n"/>
      <c r="BK237" s="4" t="n"/>
      <c r="BL237" s="4" t="n"/>
      <c r="BM237" s="4" t="n"/>
      <c r="BN237" s="4" t="n"/>
      <c r="BO237" s="4" t="n"/>
      <c r="BP237" s="4" t="n"/>
      <c r="BQ237" s="4" t="n"/>
      <c r="BR237" s="4" t="n"/>
      <c r="BS237" s="4" t="n"/>
      <c r="BT237" s="4" t="n"/>
      <c r="BU237" s="4" t="n"/>
      <c r="BV237" s="4" t="n"/>
      <c r="BW237" s="4" t="n"/>
      <c r="BX237" s="4" t="n"/>
      <c r="BY237" s="4" t="n"/>
      <c r="BZ237" s="4" t="n"/>
      <c r="CA237" s="4" t="n"/>
      <c r="CB237" s="4" t="n"/>
      <c r="CC237" s="4" t="n"/>
      <c r="CD237" s="4" t="n"/>
      <c r="CE237" s="4" t="n"/>
      <c r="CF237" s="4" t="n"/>
      <c r="CG237" s="4" t="n"/>
      <c r="CH237" s="4" t="n"/>
      <c r="CI237" s="4" t="n"/>
      <c r="CJ237" s="4" t="n"/>
      <c r="CK237" s="4" t="n"/>
      <c r="CL237" s="4" t="n"/>
      <c r="CM237" s="4" t="n"/>
      <c r="CN237" s="4" t="n"/>
      <c r="CO237" s="4" t="n"/>
      <c r="CP237" s="4" t="n"/>
      <c r="CQ237" s="4" t="n"/>
      <c r="CR237" s="4" t="n"/>
      <c r="CS237" s="4" t="n"/>
      <c r="CT237" s="4" t="n"/>
      <c r="CU237" s="4" t="n"/>
      <c r="CV237" s="4" t="n"/>
      <c r="CW237" s="4" t="n"/>
      <c r="CX237" s="4" t="n"/>
      <c r="CY237" s="4" t="n"/>
      <c r="CZ237" s="4" t="n"/>
      <c r="DA237" s="4" t="n"/>
      <c r="DB237" s="4" t="n"/>
      <c r="DC237" s="4" t="n"/>
      <c r="DD237" s="4" t="n"/>
      <c r="DE237" s="4" t="n"/>
      <c r="DF237" s="4" t="n"/>
      <c r="DG237" s="4" t="n"/>
      <c r="DH237" s="4" t="n"/>
      <c r="DI237" s="4" t="n"/>
      <c r="DJ237" s="4" t="n"/>
      <c r="DK237" s="4" t="n"/>
      <c r="DL237" s="4" t="n"/>
      <c r="DM237" s="4" t="n"/>
      <c r="DN237" s="4" t="n"/>
      <c r="DO237" s="4" t="n"/>
      <c r="DP237" s="4" t="n"/>
      <c r="DQ237" s="4" t="n"/>
      <c r="DR237" s="4" t="n"/>
      <c r="DS237" s="4" t="n"/>
      <c r="DT237" s="4" t="n"/>
      <c r="DU237" s="4" t="n"/>
      <c r="DV237" s="4" t="n"/>
      <c r="DW237" s="4" t="n"/>
      <c r="DX237" s="4" t="n"/>
      <c r="DY237" s="4" t="n"/>
      <c r="DZ237" s="4" t="n"/>
      <c r="EA237" s="4" t="n"/>
      <c r="EB237" s="4" t="n"/>
      <c r="EC237" s="4" t="n"/>
      <c r="ED237" s="4" t="n"/>
      <c r="EE237" s="4" t="n"/>
      <c r="EF237" s="4" t="n"/>
      <c r="EG237" s="4" t="n"/>
      <c r="EH237" s="4" t="n"/>
      <c r="EI237" s="4" t="n"/>
      <c r="EJ237" s="4" t="n"/>
      <c r="EK237" s="4" t="n"/>
    </row>
    <row r="238" hidden="1" customFormat="1" s="6">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c r="AC238" s="4" t="n"/>
      <c r="AD238" s="4" t="n"/>
      <c r="AE238" s="4" t="n"/>
      <c r="AF238" s="4" t="n"/>
      <c r="AG238" s="4" t="n"/>
      <c r="AH238" s="4" t="n"/>
      <c r="AI238" s="4" t="n"/>
      <c r="AJ238" s="4" t="n"/>
      <c r="AK238" s="4" t="n"/>
      <c r="AL238" s="4" t="n"/>
      <c r="AM238" s="4" t="n"/>
      <c r="AN238" s="4" t="n"/>
      <c r="AO238" s="4" t="n"/>
      <c r="AP238" s="4" t="n"/>
      <c r="AQ238" s="4" t="n"/>
      <c r="AR238" s="4" t="n"/>
      <c r="AS238" s="4" t="n"/>
      <c r="AT238" s="4" t="n"/>
      <c r="AU238" s="4" t="n"/>
      <c r="AV238" s="4" t="n"/>
      <c r="AW238" s="4" t="n"/>
      <c r="AX238" s="4" t="n"/>
      <c r="AY238" s="4" t="n"/>
      <c r="AZ238" s="4" t="n"/>
      <c r="BA238" s="4" t="n"/>
      <c r="BB238" s="4" t="n"/>
      <c r="BC238" s="4" t="n"/>
      <c r="BD238" s="4" t="n"/>
      <c r="BE238" s="4" t="n"/>
      <c r="BF238" s="4" t="n"/>
      <c r="BG238" s="4" t="n"/>
      <c r="BH238" s="4" t="n"/>
      <c r="BI238" s="4" t="n"/>
      <c r="BJ238" s="4" t="n"/>
      <c r="BK238" s="4" t="n"/>
      <c r="BL238" s="4" t="n"/>
      <c r="BM238" s="4" t="n"/>
      <c r="BN238" s="4" t="n"/>
      <c r="BO238" s="4" t="n"/>
      <c r="BP238" s="4" t="n"/>
      <c r="BQ238" s="4" t="n"/>
      <c r="BR238" s="4" t="n"/>
      <c r="BS238" s="4" t="n"/>
      <c r="BT238" s="4" t="n"/>
      <c r="BU238" s="4" t="n"/>
      <c r="BV238" s="4" t="n"/>
      <c r="BW238" s="4" t="n"/>
      <c r="BX238" s="4" t="n"/>
      <c r="BY238" s="4" t="n"/>
      <c r="BZ238" s="4" t="n"/>
      <c r="CA238" s="4" t="n"/>
      <c r="CB238" s="4" t="n"/>
      <c r="CC238" s="4" t="n"/>
      <c r="CD238" s="4" t="n"/>
      <c r="CE238" s="4" t="n"/>
      <c r="CF238" s="4" t="n"/>
      <c r="CG238" s="4" t="n"/>
      <c r="CH238" s="4" t="n"/>
      <c r="CI238" s="4" t="n"/>
      <c r="CJ238" s="4" t="n"/>
      <c r="CK238" s="4" t="n"/>
      <c r="CL238" s="4" t="n"/>
      <c r="CM238" s="4" t="n"/>
      <c r="CN238" s="4" t="n"/>
      <c r="CO238" s="4" t="n"/>
      <c r="CP238" s="4" t="n"/>
      <c r="CQ238" s="4" t="n"/>
      <c r="CR238" s="4" t="n"/>
      <c r="CS238" s="4" t="n"/>
      <c r="CT238" s="4" t="n"/>
      <c r="CU238" s="4" t="n"/>
      <c r="CV238" s="4" t="n"/>
      <c r="CW238" s="4" t="n"/>
      <c r="CX238" s="4" t="n"/>
      <c r="CY238" s="4" t="n"/>
      <c r="CZ238" s="4" t="n"/>
      <c r="DA238" s="4" t="n"/>
      <c r="DB238" s="4" t="n"/>
      <c r="DC238" s="4" t="n"/>
      <c r="DD238" s="4" t="n"/>
      <c r="DE238" s="4" t="n"/>
      <c r="DF238" s="4" t="n"/>
      <c r="DG238" s="4" t="n"/>
      <c r="DH238" s="4" t="n"/>
      <c r="DI238" s="4" t="n"/>
      <c r="DJ238" s="4" t="n"/>
      <c r="DK238" s="4" t="n"/>
      <c r="DL238" s="4" t="n"/>
      <c r="DM238" s="4" t="n"/>
      <c r="DN238" s="4" t="n"/>
      <c r="DO238" s="4" t="n"/>
      <c r="DP238" s="4" t="n"/>
      <c r="DQ238" s="4" t="n"/>
      <c r="DR238" s="4" t="n"/>
      <c r="DS238" s="4" t="n"/>
      <c r="DT238" s="4" t="n"/>
      <c r="DU238" s="4" t="n"/>
      <c r="DV238" s="4" t="n"/>
      <c r="DW238" s="4" t="n"/>
      <c r="DX238" s="4" t="n"/>
      <c r="DY238" s="4" t="n"/>
      <c r="DZ238" s="4" t="n"/>
      <c r="EA238" s="4" t="n"/>
      <c r="EB238" s="4" t="n"/>
      <c r="EC238" s="4" t="n"/>
      <c r="ED238" s="4" t="n"/>
      <c r="EE238" s="4" t="n"/>
      <c r="EF238" s="4" t="n"/>
      <c r="EG238" s="4" t="n"/>
      <c r="EH238" s="4" t="n"/>
      <c r="EI238" s="4" t="n"/>
      <c r="EJ238" s="4" t="n"/>
      <c r="EK238" s="4" t="n"/>
    </row>
    <row r="239" hidden="1" customFormat="1" s="6">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c r="AC239" s="4" t="n"/>
      <c r="AD239" s="4" t="n"/>
      <c r="AE239" s="4" t="n"/>
      <c r="AF239" s="4" t="n"/>
      <c r="AG239" s="4" t="n"/>
      <c r="AH239" s="4" t="n"/>
      <c r="AI239" s="4" t="n"/>
      <c r="AJ239" s="4" t="n"/>
      <c r="AK239" s="4" t="n"/>
      <c r="AL239" s="4" t="n"/>
      <c r="AM239" s="4" t="n"/>
      <c r="AN239" s="4" t="n"/>
      <c r="AO239" s="4" t="n"/>
      <c r="AP239" s="4" t="n"/>
      <c r="AQ239" s="4" t="n"/>
      <c r="AR239" s="4" t="n"/>
      <c r="AS239" s="4" t="n"/>
      <c r="AT239" s="4" t="n"/>
      <c r="AU239" s="4" t="n"/>
      <c r="AV239" s="4" t="n"/>
      <c r="AW239" s="4" t="n"/>
      <c r="AX239" s="4" t="n"/>
      <c r="AY239" s="4" t="n"/>
      <c r="AZ239" s="4" t="n"/>
      <c r="BA239" s="4" t="n"/>
      <c r="BB239" s="4" t="n"/>
      <c r="BC239" s="4" t="n"/>
      <c r="BD239" s="4" t="n"/>
      <c r="BE239" s="4" t="n"/>
      <c r="BF239" s="4" t="n"/>
      <c r="BG239" s="4" t="n"/>
      <c r="BH239" s="4" t="n"/>
      <c r="BI239" s="4" t="n"/>
      <c r="BJ239" s="4" t="n"/>
      <c r="BK239" s="4" t="n"/>
      <c r="BL239" s="4" t="n"/>
      <c r="BM239" s="4" t="n"/>
      <c r="BN239" s="4" t="n"/>
      <c r="BO239" s="4" t="n"/>
      <c r="BP239" s="4" t="n"/>
      <c r="BQ239" s="4" t="n"/>
      <c r="BR239" s="4" t="n"/>
      <c r="BS239" s="4" t="n"/>
      <c r="BT239" s="4" t="n"/>
      <c r="BU239" s="4" t="n"/>
      <c r="BV239" s="4" t="n"/>
      <c r="BW239" s="4" t="n"/>
      <c r="BX239" s="4" t="n"/>
      <c r="BY239" s="4" t="n"/>
      <c r="BZ239" s="4" t="n"/>
      <c r="CA239" s="4" t="n"/>
      <c r="CB239" s="4" t="n"/>
      <c r="CC239" s="4" t="n"/>
      <c r="CD239" s="4" t="n"/>
      <c r="CE239" s="4" t="n"/>
      <c r="CF239" s="4" t="n"/>
      <c r="CG239" s="4" t="n"/>
      <c r="CH239" s="4" t="n"/>
      <c r="CI239" s="4" t="n"/>
      <c r="CJ239" s="4" t="n"/>
      <c r="CK239" s="4" t="n"/>
      <c r="CL239" s="4" t="n"/>
      <c r="CM239" s="4" t="n"/>
      <c r="CN239" s="4" t="n"/>
      <c r="CO239" s="4" t="n"/>
      <c r="CP239" s="4" t="n"/>
      <c r="CQ239" s="4" t="n"/>
      <c r="CR239" s="4" t="n"/>
      <c r="CS239" s="4" t="n"/>
      <c r="CT239" s="4" t="n"/>
      <c r="CU239" s="4" t="n"/>
      <c r="CV239" s="4" t="n"/>
      <c r="CW239" s="4" t="n"/>
      <c r="CX239" s="4" t="n"/>
      <c r="CY239" s="4" t="n"/>
      <c r="CZ239" s="4" t="n"/>
      <c r="DA239" s="4" t="n"/>
      <c r="DB239" s="4" t="n"/>
      <c r="DC239" s="4" t="n"/>
      <c r="DD239" s="4" t="n"/>
      <c r="DE239" s="4" t="n"/>
      <c r="DF239" s="4" t="n"/>
      <c r="DG239" s="4" t="n"/>
      <c r="DH239" s="4" t="n"/>
      <c r="DI239" s="4" t="n"/>
      <c r="DJ239" s="4" t="n"/>
      <c r="DK239" s="4" t="n"/>
      <c r="DL239" s="4" t="n"/>
      <c r="DM239" s="4" t="n"/>
      <c r="DN239" s="4" t="n"/>
      <c r="DO239" s="4" t="n"/>
      <c r="DP239" s="4" t="n"/>
      <c r="DQ239" s="4" t="n"/>
      <c r="DR239" s="4" t="n"/>
      <c r="DS239" s="4" t="n"/>
      <c r="DT239" s="4" t="n"/>
      <c r="DU239" s="4" t="n"/>
      <c r="DV239" s="4" t="n"/>
      <c r="DW239" s="4" t="n"/>
      <c r="DX239" s="4" t="n"/>
      <c r="DY239" s="4" t="n"/>
      <c r="DZ239" s="4" t="n"/>
      <c r="EA239" s="4" t="n"/>
      <c r="EB239" s="4" t="n"/>
      <c r="EC239" s="4" t="n"/>
      <c r="ED239" s="4" t="n"/>
      <c r="EE239" s="4" t="n"/>
      <c r="EF239" s="4" t="n"/>
      <c r="EG239" s="4" t="n"/>
      <c r="EH239" s="4" t="n"/>
      <c r="EI239" s="4" t="n"/>
      <c r="EJ239" s="4" t="n"/>
      <c r="EK239" s="4" t="n"/>
    </row>
    <row r="240" hidden="1" customFormat="1" s="6">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c r="AD240" s="4" t="n"/>
      <c r="AE240" s="4" t="n"/>
      <c r="AF240" s="4" t="n"/>
      <c r="AG240" s="4" t="n"/>
      <c r="AH240" s="4" t="n"/>
      <c r="AI240" s="4" t="n"/>
      <c r="AJ240" s="4" t="n"/>
      <c r="AK240" s="4" t="n"/>
      <c r="AL240" s="4" t="n"/>
      <c r="AM240" s="4" t="n"/>
      <c r="AN240" s="4" t="n"/>
      <c r="AO240" s="4" t="n"/>
      <c r="AP240" s="4" t="n"/>
      <c r="AQ240" s="4" t="n"/>
      <c r="AR240" s="4" t="n"/>
      <c r="AS240" s="4" t="n"/>
      <c r="AT240" s="4" t="n"/>
      <c r="AU240" s="4" t="n"/>
      <c r="AV240" s="4" t="n"/>
      <c r="AW240" s="4" t="n"/>
      <c r="AX240" s="4" t="n"/>
      <c r="AY240" s="4" t="n"/>
      <c r="AZ240" s="4" t="n"/>
      <c r="BA240" s="4" t="n"/>
      <c r="BB240" s="4" t="n"/>
      <c r="BC240" s="4" t="n"/>
      <c r="BD240" s="4" t="n"/>
      <c r="BE240" s="4" t="n"/>
      <c r="BF240" s="4" t="n"/>
      <c r="BG240" s="4" t="n"/>
      <c r="BH240" s="4" t="n"/>
      <c r="BI240" s="4" t="n"/>
      <c r="BJ240" s="4" t="n"/>
      <c r="BK240" s="4" t="n"/>
      <c r="BL240" s="4" t="n"/>
      <c r="BM240" s="4" t="n"/>
      <c r="BN240" s="4" t="n"/>
      <c r="BO240" s="4" t="n"/>
      <c r="BP240" s="4" t="n"/>
      <c r="BQ240" s="4" t="n"/>
      <c r="BR240" s="4" t="n"/>
      <c r="BS240" s="4" t="n"/>
      <c r="BT240" s="4" t="n"/>
      <c r="BU240" s="4" t="n"/>
      <c r="BV240" s="4" t="n"/>
      <c r="BW240" s="4" t="n"/>
      <c r="BX240" s="4" t="n"/>
      <c r="BY240" s="4" t="n"/>
      <c r="BZ240" s="4" t="n"/>
      <c r="CA240" s="4" t="n"/>
      <c r="CB240" s="4" t="n"/>
      <c r="CC240" s="4" t="n"/>
      <c r="CD240" s="4" t="n"/>
      <c r="CE240" s="4" t="n"/>
      <c r="CF240" s="4" t="n"/>
      <c r="CG240" s="4" t="n"/>
      <c r="CH240" s="4" t="n"/>
      <c r="CI240" s="4" t="n"/>
      <c r="CJ240" s="4" t="n"/>
      <c r="CK240" s="4" t="n"/>
      <c r="CL240" s="4" t="n"/>
      <c r="CM240" s="4" t="n"/>
      <c r="CN240" s="4" t="n"/>
      <c r="CO240" s="4" t="n"/>
      <c r="CP240" s="4" t="n"/>
      <c r="CQ240" s="4" t="n"/>
      <c r="CR240" s="4" t="n"/>
      <c r="CS240" s="4" t="n"/>
      <c r="CT240" s="4" t="n"/>
      <c r="CU240" s="4" t="n"/>
      <c r="CV240" s="4" t="n"/>
      <c r="CW240" s="4" t="n"/>
      <c r="CX240" s="4" t="n"/>
      <c r="CY240" s="4" t="n"/>
      <c r="CZ240" s="4" t="n"/>
      <c r="DA240" s="4" t="n"/>
      <c r="DB240" s="4" t="n"/>
      <c r="DC240" s="4" t="n"/>
      <c r="DD240" s="4" t="n"/>
      <c r="DE240" s="4" t="n"/>
      <c r="DF240" s="4" t="n"/>
      <c r="DG240" s="4" t="n"/>
      <c r="DH240" s="4" t="n"/>
      <c r="DI240" s="4" t="n"/>
      <c r="DJ240" s="4" t="n"/>
      <c r="DK240" s="4" t="n"/>
      <c r="DL240" s="4" t="n"/>
      <c r="DM240" s="4" t="n"/>
      <c r="DN240" s="4" t="n"/>
      <c r="DO240" s="4" t="n"/>
      <c r="DP240" s="4" t="n"/>
      <c r="DQ240" s="4" t="n"/>
      <c r="DR240" s="4" t="n"/>
      <c r="DS240" s="4" t="n"/>
      <c r="DT240" s="4" t="n"/>
      <c r="DU240" s="4" t="n"/>
      <c r="DV240" s="4" t="n"/>
      <c r="DW240" s="4" t="n"/>
      <c r="DX240" s="4" t="n"/>
      <c r="DY240" s="4" t="n"/>
      <c r="DZ240" s="4" t="n"/>
      <c r="EA240" s="4" t="n"/>
      <c r="EB240" s="4" t="n"/>
      <c r="EC240" s="4" t="n"/>
      <c r="ED240" s="4" t="n"/>
      <c r="EE240" s="4" t="n"/>
      <c r="EF240" s="4" t="n"/>
      <c r="EG240" s="4" t="n"/>
      <c r="EH240" s="4" t="n"/>
      <c r="EI240" s="4" t="n"/>
      <c r="EJ240" s="4" t="n"/>
      <c r="EK240" s="4" t="n"/>
    </row>
    <row r="241" hidden="1" customFormat="1" s="6">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c r="AE241" s="4" t="n"/>
      <c r="AF241" s="4" t="n"/>
      <c r="AG241" s="4" t="n"/>
      <c r="AH241" s="4" t="n"/>
      <c r="AI241" s="4" t="n"/>
      <c r="AJ241" s="4" t="n"/>
      <c r="AK241" s="4" t="n"/>
      <c r="AL241" s="4" t="n"/>
      <c r="AM241" s="4" t="n"/>
      <c r="AN241" s="4" t="n"/>
      <c r="AO241" s="4" t="n"/>
      <c r="AP241" s="4" t="n"/>
      <c r="AQ241" s="4" t="n"/>
      <c r="AR241" s="4" t="n"/>
      <c r="AS241" s="4" t="n"/>
      <c r="AT241" s="4" t="n"/>
      <c r="AU241" s="4" t="n"/>
      <c r="AV241" s="4" t="n"/>
      <c r="AW241" s="4" t="n"/>
      <c r="AX241" s="4" t="n"/>
      <c r="AY241" s="4" t="n"/>
      <c r="AZ241" s="4" t="n"/>
      <c r="BA241" s="4" t="n"/>
      <c r="BB241" s="4" t="n"/>
      <c r="BC241" s="4" t="n"/>
      <c r="BD241" s="4" t="n"/>
      <c r="BE241" s="4" t="n"/>
      <c r="BF241" s="4" t="n"/>
      <c r="BG241" s="4" t="n"/>
      <c r="BH241" s="4" t="n"/>
      <c r="BI241" s="4" t="n"/>
      <c r="BJ241" s="4" t="n"/>
      <c r="BK241" s="4" t="n"/>
      <c r="BL241" s="4" t="n"/>
      <c r="BM241" s="4" t="n"/>
      <c r="BN241" s="4" t="n"/>
      <c r="BO241" s="4" t="n"/>
      <c r="BP241" s="4" t="n"/>
      <c r="BQ241" s="4" t="n"/>
      <c r="BR241" s="4" t="n"/>
      <c r="BS241" s="4" t="n"/>
      <c r="BT241" s="4" t="n"/>
      <c r="BU241" s="4" t="n"/>
      <c r="BV241" s="4" t="n"/>
      <c r="BW241" s="4" t="n"/>
      <c r="BX241" s="4" t="n"/>
      <c r="BY241" s="4" t="n"/>
      <c r="BZ241" s="4" t="n"/>
      <c r="CA241" s="4" t="n"/>
      <c r="CB241" s="4" t="n"/>
      <c r="CC241" s="4" t="n"/>
      <c r="CD241" s="4" t="n"/>
      <c r="CE241" s="4" t="n"/>
      <c r="CF241" s="4" t="n"/>
      <c r="CG241" s="4" t="n"/>
      <c r="CH241" s="4" t="n"/>
      <c r="CI241" s="4" t="n"/>
      <c r="CJ241" s="4" t="n"/>
      <c r="CK241" s="4" t="n"/>
      <c r="CL241" s="4" t="n"/>
      <c r="CM241" s="4" t="n"/>
      <c r="CN241" s="4" t="n"/>
      <c r="CO241" s="4" t="n"/>
      <c r="CP241" s="4" t="n"/>
      <c r="CQ241" s="4" t="n"/>
      <c r="CR241" s="4" t="n"/>
      <c r="CS241" s="4" t="n"/>
      <c r="CT241" s="4" t="n"/>
      <c r="CU241" s="4" t="n"/>
      <c r="CV241" s="4" t="n"/>
      <c r="CW241" s="4" t="n"/>
      <c r="CX241" s="4" t="n"/>
      <c r="CY241" s="4" t="n"/>
      <c r="CZ241" s="4" t="n"/>
      <c r="DA241" s="4" t="n"/>
      <c r="DB241" s="4" t="n"/>
      <c r="DC241" s="4" t="n"/>
      <c r="DD241" s="4" t="n"/>
      <c r="DE241" s="4" t="n"/>
      <c r="DF241" s="4" t="n"/>
      <c r="DG241" s="4" t="n"/>
      <c r="DH241" s="4" t="n"/>
      <c r="DI241" s="4" t="n"/>
      <c r="DJ241" s="4" t="n"/>
      <c r="DK241" s="4" t="n"/>
      <c r="DL241" s="4" t="n"/>
      <c r="DM241" s="4" t="n"/>
      <c r="DN241" s="4" t="n"/>
      <c r="DO241" s="4" t="n"/>
      <c r="DP241" s="4" t="n"/>
      <c r="DQ241" s="4" t="n"/>
      <c r="DR241" s="4" t="n"/>
      <c r="DS241" s="4" t="n"/>
      <c r="DT241" s="4" t="n"/>
      <c r="DU241" s="4" t="n"/>
      <c r="DV241" s="4" t="n"/>
      <c r="DW241" s="4" t="n"/>
      <c r="DX241" s="4" t="n"/>
      <c r="DY241" s="4" t="n"/>
      <c r="DZ241" s="4" t="n"/>
      <c r="EA241" s="4" t="n"/>
      <c r="EB241" s="4" t="n"/>
      <c r="EC241" s="4" t="n"/>
      <c r="ED241" s="4" t="n"/>
      <c r="EE241" s="4" t="n"/>
      <c r="EF241" s="4" t="n"/>
      <c r="EG241" s="4" t="n"/>
      <c r="EH241" s="4" t="n"/>
      <c r="EI241" s="4" t="n"/>
      <c r="EJ241" s="4" t="n"/>
      <c r="EK241" s="4" t="n"/>
    </row>
    <row r="242" hidden="1" customFormat="1" s="6">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c r="AC242" s="4" t="n"/>
      <c r="AD242" s="4" t="n"/>
      <c r="AE242" s="4" t="n"/>
      <c r="AF242" s="4" t="n"/>
      <c r="AG242" s="4" t="n"/>
      <c r="AH242" s="4" t="n"/>
      <c r="AI242" s="4" t="n"/>
      <c r="AJ242" s="4" t="n"/>
      <c r="AK242" s="4" t="n"/>
      <c r="AL242" s="4" t="n"/>
      <c r="AM242" s="4" t="n"/>
      <c r="AN242" s="4" t="n"/>
      <c r="AO242" s="4" t="n"/>
      <c r="AP242" s="4" t="n"/>
      <c r="AQ242" s="4" t="n"/>
      <c r="AR242" s="4" t="n"/>
      <c r="AS242" s="4" t="n"/>
      <c r="AT242" s="4" t="n"/>
      <c r="AU242" s="4" t="n"/>
      <c r="AV242" s="4" t="n"/>
      <c r="AW242" s="4" t="n"/>
      <c r="AX242" s="4" t="n"/>
      <c r="AY242" s="4" t="n"/>
      <c r="AZ242" s="4" t="n"/>
      <c r="BA242" s="4" t="n"/>
      <c r="BB242" s="4" t="n"/>
      <c r="BC242" s="4" t="n"/>
      <c r="BD242" s="4" t="n"/>
      <c r="BE242" s="4" t="n"/>
      <c r="BF242" s="4" t="n"/>
      <c r="BG242" s="4" t="n"/>
      <c r="BH242" s="4" t="n"/>
      <c r="BI242" s="4" t="n"/>
      <c r="BJ242" s="4" t="n"/>
      <c r="BK242" s="4" t="n"/>
      <c r="BL242" s="4" t="n"/>
      <c r="BM242" s="4" t="n"/>
      <c r="BN242" s="4" t="n"/>
      <c r="BO242" s="4" t="n"/>
      <c r="BP242" s="4" t="n"/>
      <c r="BQ242" s="4" t="n"/>
      <c r="BR242" s="4" t="n"/>
      <c r="BS242" s="4" t="n"/>
      <c r="BT242" s="4" t="n"/>
      <c r="BU242" s="4" t="n"/>
      <c r="BV242" s="4" t="n"/>
      <c r="BW242" s="4" t="n"/>
      <c r="BX242" s="4" t="n"/>
      <c r="BY242" s="4" t="n"/>
      <c r="BZ242" s="4" t="n"/>
      <c r="CA242" s="4" t="n"/>
      <c r="CB242" s="4" t="n"/>
      <c r="CC242" s="4" t="n"/>
      <c r="CD242" s="4" t="n"/>
      <c r="CE242" s="4" t="n"/>
      <c r="CF242" s="4" t="n"/>
      <c r="CG242" s="4" t="n"/>
      <c r="CH242" s="4" t="n"/>
      <c r="CI242" s="4" t="n"/>
      <c r="CJ242" s="4" t="n"/>
      <c r="CK242" s="4" t="n"/>
      <c r="CL242" s="4" t="n"/>
      <c r="CM242" s="4" t="n"/>
      <c r="CN242" s="4" t="n"/>
      <c r="CO242" s="4" t="n"/>
      <c r="CP242" s="4" t="n"/>
      <c r="CQ242" s="4" t="n"/>
      <c r="CR242" s="4" t="n"/>
      <c r="CS242" s="4" t="n"/>
      <c r="CT242" s="4" t="n"/>
      <c r="CU242" s="4" t="n"/>
      <c r="CV242" s="4" t="n"/>
      <c r="CW242" s="4" t="n"/>
      <c r="CX242" s="4" t="n"/>
      <c r="CY242" s="4" t="n"/>
      <c r="CZ242" s="4" t="n"/>
      <c r="DA242" s="4" t="n"/>
      <c r="DB242" s="4" t="n"/>
      <c r="DC242" s="4" t="n"/>
      <c r="DD242" s="4" t="n"/>
      <c r="DE242" s="4" t="n"/>
      <c r="DF242" s="4" t="n"/>
      <c r="DG242" s="4" t="n"/>
      <c r="DH242" s="4" t="n"/>
      <c r="DI242" s="4" t="n"/>
      <c r="DJ242" s="4" t="n"/>
      <c r="DK242" s="4" t="n"/>
      <c r="DL242" s="4" t="n"/>
      <c r="DM242" s="4" t="n"/>
      <c r="DN242" s="4" t="n"/>
      <c r="DO242" s="4" t="n"/>
      <c r="DP242" s="4" t="n"/>
      <c r="DQ242" s="4" t="n"/>
      <c r="DR242" s="4" t="n"/>
      <c r="DS242" s="4" t="n"/>
      <c r="DT242" s="4" t="n"/>
      <c r="DU242" s="4" t="n"/>
      <c r="DV242" s="4" t="n"/>
      <c r="DW242" s="4" t="n"/>
      <c r="DX242" s="4" t="n"/>
      <c r="DY242" s="4" t="n"/>
      <c r="DZ242" s="4" t="n"/>
      <c r="EA242" s="4" t="n"/>
      <c r="EB242" s="4" t="n"/>
      <c r="EC242" s="4" t="n"/>
      <c r="ED242" s="4" t="n"/>
      <c r="EE242" s="4" t="n"/>
      <c r="EF242" s="4" t="n"/>
      <c r="EG242" s="4" t="n"/>
      <c r="EH242" s="4" t="n"/>
      <c r="EI242" s="4" t="n"/>
      <c r="EJ242" s="4" t="n"/>
      <c r="EK242" s="4" t="n"/>
    </row>
    <row r="243" hidden="1" customFormat="1" s="6">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c r="AC243" s="4" t="n"/>
      <c r="AD243" s="4" t="n"/>
      <c r="AE243" s="4" t="n"/>
      <c r="AF243" s="4" t="n"/>
      <c r="AG243" s="4" t="n"/>
      <c r="AH243" s="4" t="n"/>
      <c r="AI243" s="4" t="n"/>
      <c r="AJ243" s="4" t="n"/>
      <c r="AK243" s="4" t="n"/>
      <c r="AL243" s="4" t="n"/>
      <c r="AM243" s="4" t="n"/>
      <c r="AN243" s="4" t="n"/>
      <c r="AO243" s="4" t="n"/>
      <c r="AP243" s="4" t="n"/>
      <c r="AQ243" s="4" t="n"/>
      <c r="AR243" s="4" t="n"/>
      <c r="AS243" s="4" t="n"/>
      <c r="AT243" s="4" t="n"/>
      <c r="AU243" s="4" t="n"/>
      <c r="AV243" s="4" t="n"/>
      <c r="AW243" s="4" t="n"/>
      <c r="AX243" s="4" t="n"/>
      <c r="AY243" s="4" t="n"/>
      <c r="AZ243" s="4" t="n"/>
      <c r="BA243" s="4" t="n"/>
      <c r="BB243" s="4" t="n"/>
      <c r="BC243" s="4" t="n"/>
      <c r="BD243" s="4" t="n"/>
      <c r="BE243" s="4" t="n"/>
      <c r="BF243" s="4" t="n"/>
      <c r="BG243" s="4" t="n"/>
      <c r="BH243" s="4" t="n"/>
      <c r="BI243" s="4" t="n"/>
      <c r="BJ243" s="4" t="n"/>
      <c r="BK243" s="4" t="n"/>
      <c r="BL243" s="4" t="n"/>
      <c r="BM243" s="4" t="n"/>
      <c r="BN243" s="4" t="n"/>
      <c r="BO243" s="4" t="n"/>
      <c r="BP243" s="4" t="n"/>
      <c r="BQ243" s="4" t="n"/>
      <c r="BR243" s="4" t="n"/>
      <c r="BS243" s="4" t="n"/>
      <c r="BT243" s="4" t="n"/>
      <c r="BU243" s="4" t="n"/>
      <c r="BV243" s="4" t="n"/>
      <c r="BW243" s="4" t="n"/>
      <c r="BX243" s="4" t="n"/>
      <c r="BY243" s="4" t="n"/>
      <c r="BZ243" s="4" t="n"/>
      <c r="CA243" s="4" t="n"/>
      <c r="CB243" s="4" t="n"/>
      <c r="CC243" s="4" t="n"/>
      <c r="CD243" s="4" t="n"/>
      <c r="CE243" s="4" t="n"/>
      <c r="CF243" s="4" t="n"/>
      <c r="CG243" s="4" t="n"/>
      <c r="CH243" s="4" t="n"/>
      <c r="CI243" s="4" t="n"/>
      <c r="CJ243" s="4" t="n"/>
      <c r="CK243" s="4" t="n"/>
      <c r="CL243" s="4" t="n"/>
      <c r="CM243" s="4" t="n"/>
      <c r="CN243" s="4" t="n"/>
      <c r="CO243" s="4" t="n"/>
      <c r="CP243" s="4" t="n"/>
      <c r="CQ243" s="4" t="n"/>
      <c r="CR243" s="4" t="n"/>
      <c r="CS243" s="4" t="n"/>
      <c r="CT243" s="4" t="n"/>
      <c r="CU243" s="4" t="n"/>
      <c r="CV243" s="4" t="n"/>
      <c r="CW243" s="4" t="n"/>
      <c r="CX243" s="4" t="n"/>
      <c r="CY243" s="4" t="n"/>
      <c r="CZ243" s="4" t="n"/>
      <c r="DA243" s="4" t="n"/>
      <c r="DB243" s="4" t="n"/>
      <c r="DC243" s="4" t="n"/>
      <c r="DD243" s="4" t="n"/>
      <c r="DE243" s="4" t="n"/>
      <c r="DF243" s="4" t="n"/>
      <c r="DG243" s="4" t="n"/>
      <c r="DH243" s="4" t="n"/>
      <c r="DI243" s="4" t="n"/>
      <c r="DJ243" s="4" t="n"/>
      <c r="DK243" s="4" t="n"/>
      <c r="DL243" s="4" t="n"/>
      <c r="DM243" s="4" t="n"/>
      <c r="DN243" s="4" t="n"/>
      <c r="DO243" s="4" t="n"/>
      <c r="DP243" s="4" t="n"/>
      <c r="DQ243" s="4" t="n"/>
      <c r="DR243" s="4" t="n"/>
      <c r="DS243" s="4" t="n"/>
      <c r="DT243" s="4" t="n"/>
      <c r="DU243" s="4" t="n"/>
      <c r="DV243" s="4" t="n"/>
      <c r="DW243" s="4" t="n"/>
      <c r="DX243" s="4" t="n"/>
      <c r="DY243" s="4" t="n"/>
      <c r="DZ243" s="4" t="n"/>
      <c r="EA243" s="4" t="n"/>
      <c r="EB243" s="4" t="n"/>
      <c r="EC243" s="4" t="n"/>
      <c r="ED243" s="4" t="n"/>
      <c r="EE243" s="4" t="n"/>
      <c r="EF243" s="4" t="n"/>
      <c r="EG243" s="4" t="n"/>
      <c r="EH243" s="4" t="n"/>
      <c r="EI243" s="4" t="n"/>
      <c r="EJ243" s="4" t="n"/>
      <c r="EK243" s="4" t="n"/>
    </row>
    <row r="244" hidden="1" customFormat="1" s="6">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c r="AD244" s="4" t="n"/>
      <c r="AE244" s="4" t="n"/>
      <c r="AF244" s="4" t="n"/>
      <c r="AG244" s="4" t="n"/>
      <c r="AH244" s="4" t="n"/>
      <c r="AI244" s="4" t="n"/>
      <c r="AJ244" s="4" t="n"/>
      <c r="AK244" s="4" t="n"/>
      <c r="AL244" s="4" t="n"/>
      <c r="AM244" s="4" t="n"/>
      <c r="AN244" s="4" t="n"/>
      <c r="AO244" s="4" t="n"/>
      <c r="AP244" s="4" t="n"/>
      <c r="AQ244" s="4" t="n"/>
      <c r="AR244" s="4" t="n"/>
      <c r="AS244" s="4" t="n"/>
      <c r="AT244" s="4" t="n"/>
      <c r="AU244" s="4" t="n"/>
      <c r="AV244" s="4" t="n"/>
      <c r="AW244" s="4" t="n"/>
      <c r="AX244" s="4" t="n"/>
      <c r="AY244" s="4" t="n"/>
      <c r="AZ244" s="4" t="n"/>
      <c r="BA244" s="4" t="n"/>
      <c r="BB244" s="4" t="n"/>
      <c r="BC244" s="4" t="n"/>
      <c r="BD244" s="4" t="n"/>
      <c r="BE244" s="4" t="n"/>
      <c r="BF244" s="4" t="n"/>
      <c r="BG244" s="4" t="n"/>
      <c r="BH244" s="4" t="n"/>
      <c r="BI244" s="4" t="n"/>
      <c r="BJ244" s="4" t="n"/>
      <c r="BK244" s="4" t="n"/>
      <c r="BL244" s="4" t="n"/>
      <c r="BM244" s="4" t="n"/>
      <c r="BN244" s="4" t="n"/>
      <c r="BO244" s="4" t="n"/>
      <c r="BP244" s="4" t="n"/>
      <c r="BQ244" s="4" t="n"/>
      <c r="BR244" s="4" t="n"/>
      <c r="BS244" s="4" t="n"/>
      <c r="BT244" s="4" t="n"/>
      <c r="BU244" s="4" t="n"/>
      <c r="BV244" s="4" t="n"/>
      <c r="BW244" s="4" t="n"/>
      <c r="BX244" s="4" t="n"/>
      <c r="BY244" s="4" t="n"/>
      <c r="BZ244" s="4" t="n"/>
      <c r="CA244" s="4" t="n"/>
      <c r="CB244" s="4" t="n"/>
      <c r="CC244" s="4" t="n"/>
      <c r="CD244" s="4" t="n"/>
      <c r="CE244" s="4" t="n"/>
      <c r="CF244" s="4" t="n"/>
      <c r="CG244" s="4" t="n"/>
      <c r="CH244" s="4" t="n"/>
      <c r="CI244" s="4" t="n"/>
      <c r="CJ244" s="4" t="n"/>
      <c r="CK244" s="4" t="n"/>
      <c r="CL244" s="4" t="n"/>
      <c r="CM244" s="4" t="n"/>
      <c r="CN244" s="4" t="n"/>
      <c r="CO244" s="4" t="n"/>
      <c r="CP244" s="4" t="n"/>
      <c r="CQ244" s="4" t="n"/>
      <c r="CR244" s="4" t="n"/>
      <c r="CS244" s="4" t="n"/>
      <c r="CT244" s="4" t="n"/>
      <c r="CU244" s="4" t="n"/>
      <c r="CV244" s="4" t="n"/>
      <c r="CW244" s="4" t="n"/>
      <c r="CX244" s="4" t="n"/>
      <c r="CY244" s="4" t="n"/>
      <c r="CZ244" s="4" t="n"/>
      <c r="DA244" s="4" t="n"/>
      <c r="DB244" s="4" t="n"/>
      <c r="DC244" s="4" t="n"/>
      <c r="DD244" s="4" t="n"/>
      <c r="DE244" s="4" t="n"/>
      <c r="DF244" s="4" t="n"/>
      <c r="DG244" s="4" t="n"/>
      <c r="DH244" s="4" t="n"/>
      <c r="DI244" s="4" t="n"/>
      <c r="DJ244" s="4" t="n"/>
      <c r="DK244" s="4" t="n"/>
      <c r="DL244" s="4" t="n"/>
      <c r="DM244" s="4" t="n"/>
      <c r="DN244" s="4" t="n"/>
      <c r="DO244" s="4" t="n"/>
      <c r="DP244" s="4" t="n"/>
      <c r="DQ244" s="4" t="n"/>
      <c r="DR244" s="4" t="n"/>
      <c r="DS244" s="4" t="n"/>
      <c r="DT244" s="4" t="n"/>
      <c r="DU244" s="4" t="n"/>
      <c r="DV244" s="4" t="n"/>
      <c r="DW244" s="4" t="n"/>
      <c r="DX244" s="4" t="n"/>
      <c r="DY244" s="4" t="n"/>
      <c r="DZ244" s="4" t="n"/>
      <c r="EA244" s="4" t="n"/>
      <c r="EB244" s="4" t="n"/>
      <c r="EC244" s="4" t="n"/>
      <c r="ED244" s="4" t="n"/>
      <c r="EE244" s="4" t="n"/>
      <c r="EF244" s="4" t="n"/>
      <c r="EG244" s="4" t="n"/>
      <c r="EH244" s="4" t="n"/>
      <c r="EI244" s="4" t="n"/>
      <c r="EJ244" s="4" t="n"/>
      <c r="EK244" s="4" t="n"/>
    </row>
    <row r="245" hidden="1" customFormat="1" s="6">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c r="AC245" s="4" t="n"/>
      <c r="AD245" s="4" t="n"/>
      <c r="AE245" s="4" t="n"/>
      <c r="AF245" s="4" t="n"/>
      <c r="AG245" s="4" t="n"/>
      <c r="AH245" s="4" t="n"/>
      <c r="AI245" s="4" t="n"/>
      <c r="AJ245" s="4" t="n"/>
      <c r="AK245" s="4" t="n"/>
      <c r="AL245" s="4" t="n"/>
      <c r="AM245" s="4" t="n"/>
      <c r="AN245" s="4" t="n"/>
      <c r="AO245" s="4" t="n"/>
      <c r="AP245" s="4" t="n"/>
      <c r="AQ245" s="4" t="n"/>
      <c r="AR245" s="4" t="n"/>
      <c r="AS245" s="4" t="n"/>
      <c r="AT245" s="4" t="n"/>
      <c r="AU245" s="4" t="n"/>
      <c r="AV245" s="4" t="n"/>
      <c r="AW245" s="4" t="n"/>
      <c r="AX245" s="4" t="n"/>
      <c r="AY245" s="4" t="n"/>
      <c r="AZ245" s="4" t="n"/>
      <c r="BA245" s="4" t="n"/>
      <c r="BB245" s="4" t="n"/>
      <c r="BC245" s="4" t="n"/>
      <c r="BD245" s="4" t="n"/>
      <c r="BE245" s="4" t="n"/>
      <c r="BF245" s="4" t="n"/>
      <c r="BG245" s="4" t="n"/>
      <c r="BH245" s="4" t="n"/>
      <c r="BI245" s="4" t="n"/>
      <c r="BJ245" s="4" t="n"/>
      <c r="BK245" s="4" t="n"/>
      <c r="BL245" s="4" t="n"/>
      <c r="BM245" s="4" t="n"/>
      <c r="BN245" s="4" t="n"/>
      <c r="BO245" s="4" t="n"/>
      <c r="BP245" s="4" t="n"/>
      <c r="BQ245" s="4" t="n"/>
      <c r="BR245" s="4" t="n"/>
      <c r="BS245" s="4" t="n"/>
      <c r="BT245" s="4" t="n"/>
      <c r="BU245" s="4" t="n"/>
      <c r="BV245" s="4" t="n"/>
      <c r="BW245" s="4" t="n"/>
      <c r="BX245" s="4" t="n"/>
      <c r="BY245" s="4" t="n"/>
      <c r="BZ245" s="4" t="n"/>
      <c r="CA245" s="4" t="n"/>
      <c r="CB245" s="4" t="n"/>
      <c r="CC245" s="4" t="n"/>
      <c r="CD245" s="4" t="n"/>
      <c r="CE245" s="4" t="n"/>
      <c r="CF245" s="4" t="n"/>
      <c r="CG245" s="4" t="n"/>
      <c r="CH245" s="4" t="n"/>
      <c r="CI245" s="4" t="n"/>
      <c r="CJ245" s="4" t="n"/>
      <c r="CK245" s="4" t="n"/>
      <c r="CL245" s="4" t="n"/>
      <c r="CM245" s="4" t="n"/>
      <c r="CN245" s="4" t="n"/>
      <c r="CO245" s="4" t="n"/>
      <c r="CP245" s="4" t="n"/>
      <c r="CQ245" s="4" t="n"/>
      <c r="CR245" s="4" t="n"/>
      <c r="CS245" s="4" t="n"/>
      <c r="CT245" s="4" t="n"/>
      <c r="CU245" s="4" t="n"/>
      <c r="CV245" s="4" t="n"/>
      <c r="CW245" s="4" t="n"/>
      <c r="CX245" s="4" t="n"/>
      <c r="CY245" s="4" t="n"/>
      <c r="CZ245" s="4" t="n"/>
      <c r="DA245" s="4" t="n"/>
      <c r="DB245" s="4" t="n"/>
      <c r="DC245" s="4" t="n"/>
      <c r="DD245" s="4" t="n"/>
      <c r="DE245" s="4" t="n"/>
      <c r="DF245" s="4" t="n"/>
      <c r="DG245" s="4" t="n"/>
      <c r="DH245" s="4" t="n"/>
      <c r="DI245" s="4" t="n"/>
      <c r="DJ245" s="4" t="n"/>
      <c r="DK245" s="4" t="n"/>
      <c r="DL245" s="4" t="n"/>
      <c r="DM245" s="4" t="n"/>
      <c r="DN245" s="4" t="n"/>
      <c r="DO245" s="4" t="n"/>
      <c r="DP245" s="4" t="n"/>
      <c r="DQ245" s="4" t="n"/>
      <c r="DR245" s="4" t="n"/>
      <c r="DS245" s="4" t="n"/>
      <c r="DT245" s="4" t="n"/>
      <c r="DU245" s="4" t="n"/>
      <c r="DV245" s="4" t="n"/>
      <c r="DW245" s="4" t="n"/>
      <c r="DX245" s="4" t="n"/>
      <c r="DY245" s="4" t="n"/>
      <c r="DZ245" s="4" t="n"/>
      <c r="EA245" s="4" t="n"/>
      <c r="EB245" s="4" t="n"/>
      <c r="EC245" s="4" t="n"/>
      <c r="ED245" s="4" t="n"/>
      <c r="EE245" s="4" t="n"/>
      <c r="EF245" s="4" t="n"/>
      <c r="EG245" s="4" t="n"/>
      <c r="EH245" s="4" t="n"/>
      <c r="EI245" s="4" t="n"/>
      <c r="EJ245" s="4" t="n"/>
      <c r="EK245" s="4" t="n"/>
    </row>
    <row r="246" hidden="1" customFormat="1" s="6">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c r="AC246" s="4" t="n"/>
      <c r="AD246" s="4" t="n"/>
      <c r="AE246" s="4" t="n"/>
      <c r="AF246" s="4" t="n"/>
      <c r="AG246" s="4" t="n"/>
      <c r="AH246" s="4" t="n"/>
      <c r="AI246" s="4" t="n"/>
      <c r="AJ246" s="4" t="n"/>
      <c r="AK246" s="4" t="n"/>
      <c r="AL246" s="4" t="n"/>
      <c r="AM246" s="4" t="n"/>
      <c r="AN246" s="4" t="n"/>
      <c r="AO246" s="4" t="n"/>
      <c r="AP246" s="4" t="n"/>
      <c r="AQ246" s="4" t="n"/>
      <c r="AR246" s="4" t="n"/>
      <c r="AS246" s="4" t="n"/>
      <c r="AT246" s="4" t="n"/>
      <c r="AU246" s="4" t="n"/>
      <c r="AV246" s="4" t="n"/>
      <c r="AW246" s="4" t="n"/>
      <c r="AX246" s="4" t="n"/>
      <c r="AY246" s="4" t="n"/>
      <c r="AZ246" s="4" t="n"/>
      <c r="BA246" s="4" t="n"/>
      <c r="BB246" s="4" t="n"/>
      <c r="BC246" s="4" t="n"/>
      <c r="BD246" s="4" t="n"/>
      <c r="BE246" s="4" t="n"/>
      <c r="BF246" s="4" t="n"/>
      <c r="BG246" s="4" t="n"/>
      <c r="BH246" s="4" t="n"/>
      <c r="BI246" s="4" t="n"/>
      <c r="BJ246" s="4" t="n"/>
      <c r="BK246" s="4" t="n"/>
      <c r="BL246" s="4" t="n"/>
      <c r="BM246" s="4" t="n"/>
      <c r="BN246" s="4" t="n"/>
      <c r="BO246" s="4" t="n"/>
      <c r="BP246" s="4" t="n"/>
      <c r="BQ246" s="4" t="n"/>
      <c r="BR246" s="4" t="n"/>
      <c r="BS246" s="4" t="n"/>
      <c r="BT246" s="4" t="n"/>
      <c r="BU246" s="4" t="n"/>
      <c r="BV246" s="4" t="n"/>
      <c r="BW246" s="4" t="n"/>
      <c r="BX246" s="4" t="n"/>
      <c r="BY246" s="4" t="n"/>
      <c r="BZ246" s="4" t="n"/>
      <c r="CA246" s="4" t="n"/>
      <c r="CB246" s="4" t="n"/>
      <c r="CC246" s="4" t="n"/>
      <c r="CD246" s="4" t="n"/>
      <c r="CE246" s="4" t="n"/>
      <c r="CF246" s="4" t="n"/>
      <c r="CG246" s="4" t="n"/>
      <c r="CH246" s="4" t="n"/>
      <c r="CI246" s="4" t="n"/>
      <c r="CJ246" s="4" t="n"/>
      <c r="CK246" s="4" t="n"/>
      <c r="CL246" s="4" t="n"/>
      <c r="CM246" s="4" t="n"/>
      <c r="CN246" s="4" t="n"/>
      <c r="CO246" s="4" t="n"/>
      <c r="CP246" s="4" t="n"/>
      <c r="CQ246" s="4" t="n"/>
      <c r="CR246" s="4" t="n"/>
      <c r="CS246" s="4" t="n"/>
      <c r="CT246" s="4" t="n"/>
      <c r="CU246" s="4" t="n"/>
      <c r="CV246" s="4" t="n"/>
      <c r="CW246" s="4" t="n"/>
      <c r="CX246" s="4" t="n"/>
      <c r="CY246" s="4" t="n"/>
      <c r="CZ246" s="4" t="n"/>
      <c r="DA246" s="4" t="n"/>
      <c r="DB246" s="4" t="n"/>
      <c r="DC246" s="4" t="n"/>
      <c r="DD246" s="4" t="n"/>
      <c r="DE246" s="4" t="n"/>
      <c r="DF246" s="4" t="n"/>
      <c r="DG246" s="4" t="n"/>
      <c r="DH246" s="4" t="n"/>
      <c r="DI246" s="4" t="n"/>
      <c r="DJ246" s="4" t="n"/>
      <c r="DK246" s="4" t="n"/>
      <c r="DL246" s="4" t="n"/>
      <c r="DM246" s="4" t="n"/>
      <c r="DN246" s="4" t="n"/>
      <c r="DO246" s="4" t="n"/>
      <c r="DP246" s="4" t="n"/>
      <c r="DQ246" s="4" t="n"/>
      <c r="DR246" s="4" t="n"/>
      <c r="DS246" s="4" t="n"/>
      <c r="DT246" s="4" t="n"/>
      <c r="DU246" s="4" t="n"/>
      <c r="DV246" s="4" t="n"/>
      <c r="DW246" s="4" t="n"/>
      <c r="DX246" s="4" t="n"/>
      <c r="DY246" s="4" t="n"/>
      <c r="DZ246" s="4" t="n"/>
      <c r="EA246" s="4" t="n"/>
      <c r="EB246" s="4" t="n"/>
      <c r="EC246" s="4" t="n"/>
      <c r="ED246" s="4" t="n"/>
      <c r="EE246" s="4" t="n"/>
      <c r="EF246" s="4" t="n"/>
      <c r="EG246" s="4" t="n"/>
      <c r="EH246" s="4" t="n"/>
      <c r="EI246" s="4" t="n"/>
      <c r="EJ246" s="4" t="n"/>
      <c r="EK246" s="4" t="n"/>
    </row>
    <row r="247" hidden="1" customFormat="1" s="6">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c r="AE247" s="4" t="n"/>
      <c r="AF247" s="4" t="n"/>
      <c r="AG247" s="4" t="n"/>
      <c r="AH247" s="4" t="n"/>
      <c r="AI247" s="4" t="n"/>
      <c r="AJ247" s="4" t="n"/>
      <c r="AK247" s="4" t="n"/>
      <c r="AL247" s="4" t="n"/>
      <c r="AM247" s="4" t="n"/>
      <c r="AN247" s="4" t="n"/>
      <c r="AO247" s="4" t="n"/>
      <c r="AP247" s="4" t="n"/>
      <c r="AQ247" s="4" t="n"/>
      <c r="AR247" s="4" t="n"/>
      <c r="AS247" s="4" t="n"/>
      <c r="AT247" s="4" t="n"/>
      <c r="AU247" s="4" t="n"/>
      <c r="AV247" s="4" t="n"/>
      <c r="AW247" s="4" t="n"/>
      <c r="AX247" s="4" t="n"/>
      <c r="AY247" s="4" t="n"/>
      <c r="AZ247" s="4" t="n"/>
      <c r="BA247" s="4" t="n"/>
      <c r="BB247" s="4" t="n"/>
      <c r="BC247" s="4" t="n"/>
      <c r="BD247" s="4" t="n"/>
      <c r="BE247" s="4" t="n"/>
      <c r="BF247" s="4" t="n"/>
      <c r="BG247" s="4" t="n"/>
      <c r="BH247" s="4" t="n"/>
      <c r="BI247" s="4" t="n"/>
      <c r="BJ247" s="4" t="n"/>
      <c r="BK247" s="4" t="n"/>
      <c r="BL247" s="4" t="n"/>
      <c r="BM247" s="4" t="n"/>
      <c r="BN247" s="4" t="n"/>
      <c r="BO247" s="4" t="n"/>
      <c r="BP247" s="4" t="n"/>
      <c r="BQ247" s="4" t="n"/>
      <c r="BR247" s="4" t="n"/>
      <c r="BS247" s="4" t="n"/>
      <c r="BT247" s="4" t="n"/>
      <c r="BU247" s="4" t="n"/>
      <c r="BV247" s="4" t="n"/>
      <c r="BW247" s="4" t="n"/>
      <c r="BX247" s="4" t="n"/>
      <c r="BY247" s="4" t="n"/>
      <c r="BZ247" s="4" t="n"/>
      <c r="CA247" s="4" t="n"/>
      <c r="CB247" s="4" t="n"/>
      <c r="CC247" s="4" t="n"/>
      <c r="CD247" s="4" t="n"/>
      <c r="CE247" s="4" t="n"/>
      <c r="CF247" s="4" t="n"/>
      <c r="CG247" s="4" t="n"/>
      <c r="CH247" s="4" t="n"/>
      <c r="CI247" s="4" t="n"/>
      <c r="CJ247" s="4" t="n"/>
      <c r="CK247" s="4" t="n"/>
      <c r="CL247" s="4" t="n"/>
      <c r="CM247" s="4" t="n"/>
      <c r="CN247" s="4" t="n"/>
      <c r="CO247" s="4" t="n"/>
      <c r="CP247" s="4" t="n"/>
      <c r="CQ247" s="4" t="n"/>
      <c r="CR247" s="4" t="n"/>
      <c r="CS247" s="4" t="n"/>
      <c r="CT247" s="4" t="n"/>
      <c r="CU247" s="4" t="n"/>
      <c r="CV247" s="4" t="n"/>
      <c r="CW247" s="4" t="n"/>
      <c r="CX247" s="4" t="n"/>
      <c r="CY247" s="4" t="n"/>
      <c r="CZ247" s="4" t="n"/>
      <c r="DA247" s="4" t="n"/>
      <c r="DB247" s="4" t="n"/>
      <c r="DC247" s="4" t="n"/>
      <c r="DD247" s="4" t="n"/>
      <c r="DE247" s="4" t="n"/>
      <c r="DF247" s="4" t="n"/>
      <c r="DG247" s="4" t="n"/>
      <c r="DH247" s="4" t="n"/>
      <c r="DI247" s="4" t="n"/>
      <c r="DJ247" s="4" t="n"/>
      <c r="DK247" s="4" t="n"/>
      <c r="DL247" s="4" t="n"/>
      <c r="DM247" s="4" t="n"/>
      <c r="DN247" s="4" t="n"/>
      <c r="DO247" s="4" t="n"/>
      <c r="DP247" s="4" t="n"/>
      <c r="DQ247" s="4" t="n"/>
      <c r="DR247" s="4" t="n"/>
      <c r="DS247" s="4" t="n"/>
      <c r="DT247" s="4" t="n"/>
      <c r="DU247" s="4" t="n"/>
      <c r="DV247" s="4" t="n"/>
      <c r="DW247" s="4" t="n"/>
      <c r="DX247" s="4" t="n"/>
      <c r="DY247" s="4" t="n"/>
      <c r="DZ247" s="4" t="n"/>
      <c r="EA247" s="4" t="n"/>
      <c r="EB247" s="4" t="n"/>
      <c r="EC247" s="4" t="n"/>
      <c r="ED247" s="4" t="n"/>
      <c r="EE247" s="4" t="n"/>
      <c r="EF247" s="4" t="n"/>
      <c r="EG247" s="4" t="n"/>
      <c r="EH247" s="4" t="n"/>
      <c r="EI247" s="4" t="n"/>
      <c r="EJ247" s="4" t="n"/>
      <c r="EK247" s="4" t="n"/>
    </row>
    <row r="248" hidden="1" customFormat="1" s="6">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c r="AE248" s="4" t="n"/>
      <c r="AF248" s="4" t="n"/>
      <c r="AG248" s="4" t="n"/>
      <c r="AH248" s="4" t="n"/>
      <c r="AI248" s="4" t="n"/>
      <c r="AJ248" s="4" t="n"/>
      <c r="AK248" s="4" t="n"/>
      <c r="AL248" s="4" t="n"/>
      <c r="AM248" s="4" t="n"/>
      <c r="AN248" s="4" t="n"/>
      <c r="AO248" s="4" t="n"/>
      <c r="AP248" s="4" t="n"/>
      <c r="AQ248" s="4" t="n"/>
      <c r="AR248" s="4" t="n"/>
      <c r="AS248" s="4" t="n"/>
      <c r="AT248" s="4" t="n"/>
      <c r="AU248" s="4" t="n"/>
      <c r="AV248" s="4" t="n"/>
      <c r="AW248" s="4" t="n"/>
      <c r="AX248" s="4" t="n"/>
      <c r="AY248" s="4" t="n"/>
      <c r="AZ248" s="4" t="n"/>
      <c r="BA248" s="4" t="n"/>
      <c r="BB248" s="4" t="n"/>
      <c r="BC248" s="4" t="n"/>
      <c r="BD248" s="4" t="n"/>
      <c r="BE248" s="4" t="n"/>
      <c r="BF248" s="4" t="n"/>
      <c r="BG248" s="4" t="n"/>
      <c r="BH248" s="4" t="n"/>
      <c r="BI248" s="4" t="n"/>
      <c r="BJ248" s="4" t="n"/>
      <c r="BK248" s="4" t="n"/>
      <c r="BL248" s="4" t="n"/>
      <c r="BM248" s="4" t="n"/>
      <c r="BN248" s="4" t="n"/>
      <c r="BO248" s="4" t="n"/>
      <c r="BP248" s="4" t="n"/>
      <c r="BQ248" s="4" t="n"/>
      <c r="BR248" s="4" t="n"/>
      <c r="BS248" s="4" t="n"/>
      <c r="BT248" s="4" t="n"/>
      <c r="BU248" s="4" t="n"/>
      <c r="BV248" s="4" t="n"/>
      <c r="BW248" s="4" t="n"/>
      <c r="BX248" s="4" t="n"/>
      <c r="BY248" s="4" t="n"/>
      <c r="BZ248" s="4" t="n"/>
      <c r="CA248" s="4" t="n"/>
      <c r="CB248" s="4" t="n"/>
      <c r="CC248" s="4" t="n"/>
      <c r="CD248" s="4" t="n"/>
      <c r="CE248" s="4" t="n"/>
      <c r="CF248" s="4" t="n"/>
      <c r="CG248" s="4" t="n"/>
      <c r="CH248" s="4" t="n"/>
      <c r="CI248" s="4" t="n"/>
      <c r="CJ248" s="4" t="n"/>
      <c r="CK248" s="4" t="n"/>
      <c r="CL248" s="4" t="n"/>
      <c r="CM248" s="4" t="n"/>
      <c r="CN248" s="4" t="n"/>
      <c r="CO248" s="4" t="n"/>
      <c r="CP248" s="4" t="n"/>
      <c r="CQ248" s="4" t="n"/>
      <c r="CR248" s="4" t="n"/>
      <c r="CS248" s="4" t="n"/>
      <c r="CT248" s="4" t="n"/>
      <c r="CU248" s="4" t="n"/>
      <c r="CV248" s="4" t="n"/>
      <c r="CW248" s="4" t="n"/>
      <c r="CX248" s="4" t="n"/>
      <c r="CY248" s="4" t="n"/>
      <c r="CZ248" s="4" t="n"/>
      <c r="DA248" s="4" t="n"/>
      <c r="DB248" s="4" t="n"/>
      <c r="DC248" s="4" t="n"/>
      <c r="DD248" s="4" t="n"/>
      <c r="DE248" s="4" t="n"/>
      <c r="DF248" s="4" t="n"/>
      <c r="DG248" s="4" t="n"/>
      <c r="DH248" s="4" t="n"/>
      <c r="DI248" s="4" t="n"/>
      <c r="DJ248" s="4" t="n"/>
      <c r="DK248" s="4" t="n"/>
      <c r="DL248" s="4" t="n"/>
      <c r="DM248" s="4" t="n"/>
      <c r="DN248" s="4" t="n"/>
      <c r="DO248" s="4" t="n"/>
      <c r="DP248" s="4" t="n"/>
      <c r="DQ248" s="4" t="n"/>
      <c r="DR248" s="4" t="n"/>
      <c r="DS248" s="4" t="n"/>
      <c r="DT248" s="4" t="n"/>
      <c r="DU248" s="4" t="n"/>
      <c r="DV248" s="4" t="n"/>
      <c r="DW248" s="4" t="n"/>
      <c r="DX248" s="4" t="n"/>
      <c r="DY248" s="4" t="n"/>
      <c r="DZ248" s="4" t="n"/>
      <c r="EA248" s="4" t="n"/>
      <c r="EB248" s="4" t="n"/>
      <c r="EC248" s="4" t="n"/>
      <c r="ED248" s="4" t="n"/>
      <c r="EE248" s="4" t="n"/>
      <c r="EF248" s="4" t="n"/>
      <c r="EG248" s="4" t="n"/>
      <c r="EH248" s="4" t="n"/>
      <c r="EI248" s="4" t="n"/>
      <c r="EJ248" s="4" t="n"/>
      <c r="EK248" s="4" t="n"/>
    </row>
    <row r="249" hidden="1" customFormat="1" s="6">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c r="AE249" s="4" t="n"/>
      <c r="AF249" s="4" t="n"/>
      <c r="AG249" s="4" t="n"/>
      <c r="AH249" s="4" t="n"/>
      <c r="AI249" s="4" t="n"/>
      <c r="AJ249" s="4" t="n"/>
      <c r="AK249" s="4" t="n"/>
      <c r="AL249" s="4" t="n"/>
      <c r="AM249" s="4" t="n"/>
      <c r="AN249" s="4" t="n"/>
      <c r="AO249" s="4" t="n"/>
      <c r="AP249" s="4" t="n"/>
      <c r="AQ249" s="4" t="n"/>
      <c r="AR249" s="4" t="n"/>
      <c r="AS249" s="4" t="n"/>
      <c r="AT249" s="4" t="n"/>
      <c r="AU249" s="4" t="n"/>
      <c r="AV249" s="4" t="n"/>
      <c r="AW249" s="4" t="n"/>
      <c r="AX249" s="4" t="n"/>
      <c r="AY249" s="4" t="n"/>
      <c r="AZ249" s="4" t="n"/>
      <c r="BA249" s="4" t="n"/>
      <c r="BB249" s="4" t="n"/>
      <c r="BC249" s="4" t="n"/>
      <c r="BD249" s="4" t="n"/>
      <c r="BE249" s="4" t="n"/>
      <c r="BF249" s="4" t="n"/>
      <c r="BG249" s="4" t="n"/>
      <c r="BH249" s="4" t="n"/>
      <c r="BI249" s="4" t="n"/>
      <c r="BJ249" s="4" t="n"/>
      <c r="BK249" s="4" t="n"/>
      <c r="BL249" s="4" t="n"/>
      <c r="BM249" s="4" t="n"/>
      <c r="BN249" s="4" t="n"/>
      <c r="BO249" s="4" t="n"/>
      <c r="BP249" s="4" t="n"/>
      <c r="BQ249" s="4" t="n"/>
      <c r="BR249" s="4" t="n"/>
      <c r="BS249" s="4" t="n"/>
      <c r="BT249" s="4" t="n"/>
      <c r="BU249" s="4" t="n"/>
      <c r="BV249" s="4" t="n"/>
      <c r="BW249" s="4" t="n"/>
      <c r="BX249" s="4" t="n"/>
      <c r="BY249" s="4" t="n"/>
      <c r="BZ249" s="4" t="n"/>
      <c r="CA249" s="4" t="n"/>
      <c r="CB249" s="4" t="n"/>
      <c r="CC249" s="4" t="n"/>
      <c r="CD249" s="4" t="n"/>
      <c r="CE249" s="4" t="n"/>
      <c r="CF249" s="4" t="n"/>
      <c r="CG249" s="4" t="n"/>
      <c r="CH249" s="4" t="n"/>
      <c r="CI249" s="4" t="n"/>
      <c r="CJ249" s="4" t="n"/>
      <c r="CK249" s="4" t="n"/>
      <c r="CL249" s="4" t="n"/>
      <c r="CM249" s="4" t="n"/>
      <c r="CN249" s="4" t="n"/>
      <c r="CO249" s="4" t="n"/>
      <c r="CP249" s="4" t="n"/>
      <c r="CQ249" s="4" t="n"/>
      <c r="CR249" s="4" t="n"/>
      <c r="CS249" s="4" t="n"/>
      <c r="CT249" s="4" t="n"/>
      <c r="CU249" s="4" t="n"/>
      <c r="CV249" s="4" t="n"/>
      <c r="CW249" s="4" t="n"/>
      <c r="CX249" s="4" t="n"/>
      <c r="CY249" s="4" t="n"/>
      <c r="CZ249" s="4" t="n"/>
      <c r="DA249" s="4" t="n"/>
      <c r="DB249" s="4" t="n"/>
      <c r="DC249" s="4" t="n"/>
      <c r="DD249" s="4" t="n"/>
      <c r="DE249" s="4" t="n"/>
      <c r="DF249" s="4" t="n"/>
      <c r="DG249" s="4" t="n"/>
      <c r="DH249" s="4" t="n"/>
      <c r="DI249" s="4" t="n"/>
      <c r="DJ249" s="4" t="n"/>
      <c r="DK249" s="4" t="n"/>
      <c r="DL249" s="4" t="n"/>
      <c r="DM249" s="4" t="n"/>
      <c r="DN249" s="4" t="n"/>
      <c r="DO249" s="4" t="n"/>
      <c r="DP249" s="4" t="n"/>
      <c r="DQ249" s="4" t="n"/>
      <c r="DR249" s="4" t="n"/>
      <c r="DS249" s="4" t="n"/>
      <c r="DT249" s="4" t="n"/>
      <c r="DU249" s="4" t="n"/>
      <c r="DV249" s="4" t="n"/>
      <c r="DW249" s="4" t="n"/>
      <c r="DX249" s="4" t="n"/>
      <c r="DY249" s="4" t="n"/>
      <c r="DZ249" s="4" t="n"/>
      <c r="EA249" s="4" t="n"/>
      <c r="EB249" s="4" t="n"/>
      <c r="EC249" s="4" t="n"/>
      <c r="ED249" s="4" t="n"/>
      <c r="EE249" s="4" t="n"/>
      <c r="EF249" s="4" t="n"/>
      <c r="EG249" s="4" t="n"/>
      <c r="EH249" s="4" t="n"/>
      <c r="EI249" s="4" t="n"/>
      <c r="EJ249" s="4" t="n"/>
      <c r="EK249" s="4" t="n"/>
    </row>
    <row r="250" hidden="1" customFormat="1" s="6">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c r="AD250" s="4" t="n"/>
      <c r="AE250" s="4" t="n"/>
      <c r="AF250" s="4" t="n"/>
      <c r="AG250" s="4" t="n"/>
      <c r="AH250" s="4" t="n"/>
      <c r="AI250" s="4" t="n"/>
      <c r="AJ250" s="4" t="n"/>
      <c r="AK250" s="4" t="n"/>
      <c r="AL250" s="4" t="n"/>
      <c r="AM250" s="4" t="n"/>
      <c r="AN250" s="4" t="n"/>
      <c r="AO250" s="4" t="n"/>
      <c r="AP250" s="4" t="n"/>
      <c r="AQ250" s="4" t="n"/>
      <c r="AR250" s="4" t="n"/>
      <c r="AS250" s="4" t="n"/>
      <c r="AT250" s="4" t="n"/>
      <c r="AU250" s="4" t="n"/>
      <c r="AV250" s="4" t="n"/>
      <c r="AW250" s="4" t="n"/>
      <c r="AX250" s="4" t="n"/>
      <c r="AY250" s="4" t="n"/>
      <c r="AZ250" s="4" t="n"/>
      <c r="BA250" s="4" t="n"/>
      <c r="BB250" s="4" t="n"/>
      <c r="BC250" s="4" t="n"/>
      <c r="BD250" s="4" t="n"/>
      <c r="BE250" s="4" t="n"/>
      <c r="BF250" s="4" t="n"/>
      <c r="BG250" s="4" t="n"/>
      <c r="BH250" s="4" t="n"/>
      <c r="BI250" s="4" t="n"/>
      <c r="BJ250" s="4" t="n"/>
      <c r="BK250" s="4" t="n"/>
      <c r="BL250" s="4" t="n"/>
      <c r="BM250" s="4" t="n"/>
      <c r="BN250" s="4" t="n"/>
      <c r="BO250" s="4" t="n"/>
      <c r="BP250" s="4" t="n"/>
      <c r="BQ250" s="4" t="n"/>
      <c r="BR250" s="4" t="n"/>
      <c r="BS250" s="4" t="n"/>
      <c r="BT250" s="4" t="n"/>
      <c r="BU250" s="4" t="n"/>
      <c r="BV250" s="4" t="n"/>
      <c r="BW250" s="4" t="n"/>
      <c r="BX250" s="4" t="n"/>
      <c r="BY250" s="4" t="n"/>
      <c r="BZ250" s="4" t="n"/>
      <c r="CA250" s="4" t="n"/>
      <c r="CB250" s="4" t="n"/>
      <c r="CC250" s="4" t="n"/>
      <c r="CD250" s="4" t="n"/>
      <c r="CE250" s="4" t="n"/>
      <c r="CF250" s="4" t="n"/>
      <c r="CG250" s="4" t="n"/>
      <c r="CH250" s="4" t="n"/>
      <c r="CI250" s="4" t="n"/>
      <c r="CJ250" s="4" t="n"/>
      <c r="CK250" s="4" t="n"/>
      <c r="CL250" s="4" t="n"/>
      <c r="CM250" s="4" t="n"/>
      <c r="CN250" s="4" t="n"/>
      <c r="CO250" s="4" t="n"/>
      <c r="CP250" s="4" t="n"/>
      <c r="CQ250" s="4" t="n"/>
      <c r="CR250" s="4" t="n"/>
      <c r="CS250" s="4" t="n"/>
      <c r="CT250" s="4" t="n"/>
      <c r="CU250" s="4" t="n"/>
      <c r="CV250" s="4" t="n"/>
      <c r="CW250" s="4" t="n"/>
      <c r="CX250" s="4" t="n"/>
      <c r="CY250" s="4" t="n"/>
      <c r="CZ250" s="4" t="n"/>
      <c r="DA250" s="4" t="n"/>
      <c r="DB250" s="4" t="n"/>
      <c r="DC250" s="4" t="n"/>
      <c r="DD250" s="4" t="n"/>
      <c r="DE250" s="4" t="n"/>
      <c r="DF250" s="4" t="n"/>
      <c r="DG250" s="4" t="n"/>
      <c r="DH250" s="4" t="n"/>
      <c r="DI250" s="4" t="n"/>
      <c r="DJ250" s="4" t="n"/>
      <c r="DK250" s="4" t="n"/>
      <c r="DL250" s="4" t="n"/>
      <c r="DM250" s="4" t="n"/>
      <c r="DN250" s="4" t="n"/>
      <c r="DO250" s="4" t="n"/>
      <c r="DP250" s="4" t="n"/>
      <c r="DQ250" s="4" t="n"/>
      <c r="DR250" s="4" t="n"/>
      <c r="DS250" s="4" t="n"/>
      <c r="DT250" s="4" t="n"/>
      <c r="DU250" s="4" t="n"/>
      <c r="DV250" s="4" t="n"/>
      <c r="DW250" s="4" t="n"/>
      <c r="DX250" s="4" t="n"/>
      <c r="DY250" s="4" t="n"/>
      <c r="DZ250" s="4" t="n"/>
      <c r="EA250" s="4" t="n"/>
      <c r="EB250" s="4" t="n"/>
      <c r="EC250" s="4" t="n"/>
      <c r="ED250" s="4" t="n"/>
      <c r="EE250" s="4" t="n"/>
      <c r="EF250" s="4" t="n"/>
      <c r="EG250" s="4" t="n"/>
      <c r="EH250" s="4" t="n"/>
      <c r="EI250" s="4" t="n"/>
      <c r="EJ250" s="4" t="n"/>
      <c r="EK250" s="4" t="n"/>
    </row>
    <row r="251" hidden="1" customFormat="1" s="6">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c r="AD251" s="4" t="n"/>
      <c r="AE251" s="4" t="n"/>
      <c r="AF251" s="4" t="n"/>
      <c r="AG251" s="4" t="n"/>
      <c r="AH251" s="4" t="n"/>
      <c r="AI251" s="4" t="n"/>
      <c r="AJ251" s="4" t="n"/>
      <c r="AK251" s="4" t="n"/>
      <c r="AL251" s="4" t="n"/>
      <c r="AM251" s="4" t="n"/>
      <c r="AN251" s="4" t="n"/>
      <c r="AO251" s="4" t="n"/>
      <c r="AP251" s="4" t="n"/>
      <c r="AQ251" s="4" t="n"/>
      <c r="AR251" s="4" t="n"/>
      <c r="AS251" s="4" t="n"/>
      <c r="AT251" s="4" t="n"/>
      <c r="AU251" s="4" t="n"/>
      <c r="AV251" s="4" t="n"/>
      <c r="AW251" s="4" t="n"/>
      <c r="AX251" s="4" t="n"/>
      <c r="AY251" s="4" t="n"/>
      <c r="AZ251" s="4" t="n"/>
      <c r="BA251" s="4" t="n"/>
      <c r="BB251" s="4" t="n"/>
      <c r="BC251" s="4" t="n"/>
      <c r="BD251" s="4" t="n"/>
      <c r="BE251" s="4" t="n"/>
      <c r="BF251" s="4" t="n"/>
      <c r="BG251" s="4" t="n"/>
      <c r="BH251" s="4" t="n"/>
      <c r="BI251" s="4" t="n"/>
      <c r="BJ251" s="4" t="n"/>
      <c r="BK251" s="4" t="n"/>
      <c r="BL251" s="4" t="n"/>
      <c r="BM251" s="4" t="n"/>
      <c r="BN251" s="4" t="n"/>
      <c r="BO251" s="4" t="n"/>
      <c r="BP251" s="4" t="n"/>
      <c r="BQ251" s="4" t="n"/>
      <c r="BR251" s="4" t="n"/>
      <c r="BS251" s="4" t="n"/>
      <c r="BT251" s="4" t="n"/>
      <c r="BU251" s="4" t="n"/>
      <c r="BV251" s="4" t="n"/>
      <c r="BW251" s="4" t="n"/>
      <c r="BX251" s="4" t="n"/>
      <c r="BY251" s="4" t="n"/>
      <c r="BZ251" s="4" t="n"/>
      <c r="CA251" s="4" t="n"/>
      <c r="CB251" s="4" t="n"/>
      <c r="CC251" s="4" t="n"/>
      <c r="CD251" s="4" t="n"/>
      <c r="CE251" s="4" t="n"/>
      <c r="CF251" s="4" t="n"/>
      <c r="CG251" s="4" t="n"/>
      <c r="CH251" s="4" t="n"/>
      <c r="CI251" s="4" t="n"/>
      <c r="CJ251" s="4" t="n"/>
      <c r="CK251" s="4" t="n"/>
      <c r="CL251" s="4" t="n"/>
      <c r="CM251" s="4" t="n"/>
      <c r="CN251" s="4" t="n"/>
      <c r="CO251" s="4" t="n"/>
      <c r="CP251" s="4" t="n"/>
      <c r="CQ251" s="4" t="n"/>
      <c r="CR251" s="4" t="n"/>
      <c r="CS251" s="4" t="n"/>
      <c r="CT251" s="4" t="n"/>
      <c r="CU251" s="4" t="n"/>
      <c r="CV251" s="4" t="n"/>
      <c r="CW251" s="4" t="n"/>
      <c r="CX251" s="4" t="n"/>
      <c r="CY251" s="4" t="n"/>
      <c r="CZ251" s="4" t="n"/>
      <c r="DA251" s="4" t="n"/>
      <c r="DB251" s="4" t="n"/>
      <c r="DC251" s="4" t="n"/>
      <c r="DD251" s="4" t="n"/>
      <c r="DE251" s="4" t="n"/>
      <c r="DF251" s="4" t="n"/>
      <c r="DG251" s="4" t="n"/>
      <c r="DH251" s="4" t="n"/>
      <c r="DI251" s="4" t="n"/>
      <c r="DJ251" s="4" t="n"/>
      <c r="DK251" s="4" t="n"/>
      <c r="DL251" s="4" t="n"/>
      <c r="DM251" s="4" t="n"/>
      <c r="DN251" s="4" t="n"/>
      <c r="DO251" s="4" t="n"/>
      <c r="DP251" s="4" t="n"/>
      <c r="DQ251" s="4" t="n"/>
      <c r="DR251" s="4" t="n"/>
      <c r="DS251" s="4" t="n"/>
      <c r="DT251" s="4" t="n"/>
      <c r="DU251" s="4" t="n"/>
      <c r="DV251" s="4" t="n"/>
      <c r="DW251" s="4" t="n"/>
      <c r="DX251" s="4" t="n"/>
      <c r="DY251" s="4" t="n"/>
      <c r="DZ251" s="4" t="n"/>
      <c r="EA251" s="4" t="n"/>
      <c r="EB251" s="4" t="n"/>
      <c r="EC251" s="4" t="n"/>
      <c r="ED251" s="4" t="n"/>
      <c r="EE251" s="4" t="n"/>
      <c r="EF251" s="4" t="n"/>
      <c r="EG251" s="4" t="n"/>
      <c r="EH251" s="4" t="n"/>
      <c r="EI251" s="4" t="n"/>
      <c r="EJ251" s="4" t="n"/>
      <c r="EK251" s="4" t="n"/>
    </row>
    <row r="252" hidden="1" customFormat="1" s="6">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c r="AD252" s="4" t="n"/>
      <c r="AE252" s="4" t="n"/>
      <c r="AF252" s="4" t="n"/>
      <c r="AG252" s="4" t="n"/>
      <c r="AH252" s="4" t="n"/>
      <c r="AI252" s="4" t="n"/>
      <c r="AJ252" s="4" t="n"/>
      <c r="AK252" s="4" t="n"/>
      <c r="AL252" s="4" t="n"/>
      <c r="AM252" s="4" t="n"/>
      <c r="AN252" s="4" t="n"/>
      <c r="AO252" s="4" t="n"/>
      <c r="AP252" s="4" t="n"/>
      <c r="AQ252" s="4" t="n"/>
      <c r="AR252" s="4" t="n"/>
      <c r="AS252" s="4" t="n"/>
      <c r="AT252" s="4" t="n"/>
      <c r="AU252" s="4" t="n"/>
      <c r="AV252" s="4" t="n"/>
      <c r="AW252" s="4" t="n"/>
      <c r="AX252" s="4" t="n"/>
      <c r="AY252" s="4" t="n"/>
      <c r="AZ252" s="4" t="n"/>
      <c r="BA252" s="4" t="n"/>
      <c r="BB252" s="4" t="n"/>
      <c r="BC252" s="4" t="n"/>
      <c r="BD252" s="4" t="n"/>
      <c r="BE252" s="4" t="n"/>
      <c r="BF252" s="4" t="n"/>
      <c r="BG252" s="4" t="n"/>
      <c r="BH252" s="4" t="n"/>
      <c r="BI252" s="4" t="n"/>
      <c r="BJ252" s="4" t="n"/>
      <c r="BK252" s="4" t="n"/>
      <c r="BL252" s="4" t="n"/>
      <c r="BM252" s="4" t="n"/>
      <c r="BN252" s="4" t="n"/>
      <c r="BO252" s="4" t="n"/>
      <c r="BP252" s="4" t="n"/>
      <c r="BQ252" s="4" t="n"/>
      <c r="BR252" s="4" t="n"/>
      <c r="BS252" s="4" t="n"/>
      <c r="BT252" s="4" t="n"/>
      <c r="BU252" s="4" t="n"/>
      <c r="BV252" s="4" t="n"/>
      <c r="BW252" s="4" t="n"/>
      <c r="BX252" s="4" t="n"/>
      <c r="BY252" s="4" t="n"/>
      <c r="BZ252" s="4" t="n"/>
      <c r="CA252" s="4" t="n"/>
      <c r="CB252" s="4" t="n"/>
      <c r="CC252" s="4" t="n"/>
      <c r="CD252" s="4" t="n"/>
      <c r="CE252" s="4" t="n"/>
      <c r="CF252" s="4" t="n"/>
      <c r="CG252" s="4" t="n"/>
      <c r="CH252" s="4" t="n"/>
      <c r="CI252" s="4" t="n"/>
      <c r="CJ252" s="4" t="n"/>
      <c r="CK252" s="4" t="n"/>
      <c r="CL252" s="4" t="n"/>
      <c r="CM252" s="4" t="n"/>
      <c r="CN252" s="4" t="n"/>
      <c r="CO252" s="4" t="n"/>
      <c r="CP252" s="4" t="n"/>
      <c r="CQ252" s="4" t="n"/>
      <c r="CR252" s="4" t="n"/>
      <c r="CS252" s="4" t="n"/>
      <c r="CT252" s="4" t="n"/>
      <c r="CU252" s="4" t="n"/>
      <c r="CV252" s="4" t="n"/>
      <c r="CW252" s="4" t="n"/>
      <c r="CX252" s="4" t="n"/>
      <c r="CY252" s="4" t="n"/>
      <c r="CZ252" s="4" t="n"/>
      <c r="DA252" s="4" t="n"/>
      <c r="DB252" s="4" t="n"/>
      <c r="DC252" s="4" t="n"/>
      <c r="DD252" s="4" t="n"/>
      <c r="DE252" s="4" t="n"/>
      <c r="DF252" s="4" t="n"/>
      <c r="DG252" s="4" t="n"/>
      <c r="DH252" s="4" t="n"/>
      <c r="DI252" s="4" t="n"/>
      <c r="DJ252" s="4" t="n"/>
      <c r="DK252" s="4" t="n"/>
      <c r="DL252" s="4" t="n"/>
      <c r="DM252" s="4" t="n"/>
      <c r="DN252" s="4" t="n"/>
      <c r="DO252" s="4" t="n"/>
      <c r="DP252" s="4" t="n"/>
      <c r="DQ252" s="4" t="n"/>
      <c r="DR252" s="4" t="n"/>
      <c r="DS252" s="4" t="n"/>
      <c r="DT252" s="4" t="n"/>
      <c r="DU252" s="4" t="n"/>
      <c r="DV252" s="4" t="n"/>
      <c r="DW252" s="4" t="n"/>
      <c r="DX252" s="4" t="n"/>
      <c r="DY252" s="4" t="n"/>
      <c r="DZ252" s="4" t="n"/>
      <c r="EA252" s="4" t="n"/>
      <c r="EB252" s="4" t="n"/>
      <c r="EC252" s="4" t="n"/>
      <c r="ED252" s="4" t="n"/>
      <c r="EE252" s="4" t="n"/>
      <c r="EF252" s="4" t="n"/>
      <c r="EG252" s="4" t="n"/>
      <c r="EH252" s="4" t="n"/>
      <c r="EI252" s="4" t="n"/>
      <c r="EJ252" s="4" t="n"/>
      <c r="EK252" s="4" t="n"/>
    </row>
    <row r="253" hidden="1" customFormat="1" s="6">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c r="AE253" s="4" t="n"/>
      <c r="AF253" s="4" t="n"/>
      <c r="AG253" s="4" t="n"/>
      <c r="AH253" s="4" t="n"/>
      <c r="AI253" s="4" t="n"/>
      <c r="AJ253" s="4" t="n"/>
      <c r="AK253" s="4" t="n"/>
      <c r="AL253" s="4" t="n"/>
      <c r="AM253" s="4" t="n"/>
      <c r="AN253" s="4" t="n"/>
      <c r="AO253" s="4" t="n"/>
      <c r="AP253" s="4" t="n"/>
      <c r="AQ253" s="4" t="n"/>
      <c r="AR253" s="4" t="n"/>
      <c r="AS253" s="4" t="n"/>
      <c r="AT253" s="4" t="n"/>
      <c r="AU253" s="4" t="n"/>
      <c r="AV253" s="4" t="n"/>
      <c r="AW253" s="4" t="n"/>
      <c r="AX253" s="4" t="n"/>
      <c r="AY253" s="4" t="n"/>
      <c r="AZ253" s="4" t="n"/>
      <c r="BA253" s="4" t="n"/>
      <c r="BB253" s="4" t="n"/>
      <c r="BC253" s="4" t="n"/>
      <c r="BD253" s="4" t="n"/>
      <c r="BE253" s="4" t="n"/>
      <c r="BF253" s="4" t="n"/>
      <c r="BG253" s="4" t="n"/>
      <c r="BH253" s="4" t="n"/>
      <c r="BI253" s="4" t="n"/>
      <c r="BJ253" s="4" t="n"/>
      <c r="BK253" s="4" t="n"/>
      <c r="BL253" s="4" t="n"/>
      <c r="BM253" s="4" t="n"/>
      <c r="BN253" s="4" t="n"/>
      <c r="BO253" s="4" t="n"/>
      <c r="BP253" s="4" t="n"/>
      <c r="BQ253" s="4" t="n"/>
      <c r="BR253" s="4" t="n"/>
      <c r="BS253" s="4" t="n"/>
      <c r="BT253" s="4" t="n"/>
      <c r="BU253" s="4" t="n"/>
      <c r="BV253" s="4" t="n"/>
      <c r="BW253" s="4" t="n"/>
      <c r="BX253" s="4" t="n"/>
      <c r="BY253" s="4" t="n"/>
      <c r="BZ253" s="4" t="n"/>
      <c r="CA253" s="4" t="n"/>
      <c r="CB253" s="4" t="n"/>
      <c r="CC253" s="4" t="n"/>
      <c r="CD253" s="4" t="n"/>
      <c r="CE253" s="4" t="n"/>
      <c r="CF253" s="4" t="n"/>
      <c r="CG253" s="4" t="n"/>
      <c r="CH253" s="4" t="n"/>
      <c r="CI253" s="4" t="n"/>
      <c r="CJ253" s="4" t="n"/>
      <c r="CK253" s="4" t="n"/>
      <c r="CL253" s="4" t="n"/>
      <c r="CM253" s="4" t="n"/>
      <c r="CN253" s="4" t="n"/>
      <c r="CO253" s="4" t="n"/>
      <c r="CP253" s="4" t="n"/>
      <c r="CQ253" s="4" t="n"/>
      <c r="CR253" s="4" t="n"/>
      <c r="CS253" s="4" t="n"/>
      <c r="CT253" s="4" t="n"/>
      <c r="CU253" s="4" t="n"/>
      <c r="CV253" s="4" t="n"/>
      <c r="CW253" s="4" t="n"/>
      <c r="CX253" s="4" t="n"/>
      <c r="CY253" s="4" t="n"/>
      <c r="CZ253" s="4" t="n"/>
      <c r="DA253" s="4" t="n"/>
      <c r="DB253" s="4" t="n"/>
      <c r="DC253" s="4" t="n"/>
      <c r="DD253" s="4" t="n"/>
      <c r="DE253" s="4" t="n"/>
      <c r="DF253" s="4" t="n"/>
      <c r="DG253" s="4" t="n"/>
      <c r="DH253" s="4" t="n"/>
      <c r="DI253" s="4" t="n"/>
      <c r="DJ253" s="4" t="n"/>
      <c r="DK253" s="4" t="n"/>
      <c r="DL253" s="4" t="n"/>
      <c r="DM253" s="4" t="n"/>
      <c r="DN253" s="4" t="n"/>
      <c r="DO253" s="4" t="n"/>
      <c r="DP253" s="4" t="n"/>
      <c r="DQ253" s="4" t="n"/>
      <c r="DR253" s="4" t="n"/>
      <c r="DS253" s="4" t="n"/>
      <c r="DT253" s="4" t="n"/>
      <c r="DU253" s="4" t="n"/>
      <c r="DV253" s="4" t="n"/>
      <c r="DW253" s="4" t="n"/>
      <c r="DX253" s="4" t="n"/>
      <c r="DY253" s="4" t="n"/>
      <c r="DZ253" s="4" t="n"/>
      <c r="EA253" s="4" t="n"/>
      <c r="EB253" s="4" t="n"/>
      <c r="EC253" s="4" t="n"/>
      <c r="ED253" s="4" t="n"/>
      <c r="EE253" s="4" t="n"/>
      <c r="EF253" s="4" t="n"/>
      <c r="EG253" s="4" t="n"/>
      <c r="EH253" s="4" t="n"/>
      <c r="EI253" s="4" t="n"/>
      <c r="EJ253" s="4" t="n"/>
      <c r="EK253" s="4" t="n"/>
    </row>
    <row r="254" hidden="1" customFormat="1" s="6">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c r="AD254" s="4" t="n"/>
      <c r="AE254" s="4" t="n"/>
      <c r="AF254" s="4" t="n"/>
      <c r="AG254" s="4" t="n"/>
      <c r="AH254" s="4" t="n"/>
      <c r="AI254" s="4" t="n"/>
      <c r="AJ254" s="4" t="n"/>
      <c r="AK254" s="4" t="n"/>
      <c r="AL254" s="4" t="n"/>
      <c r="AM254" s="4" t="n"/>
      <c r="AN254" s="4" t="n"/>
      <c r="AO254" s="4" t="n"/>
      <c r="AP254" s="4" t="n"/>
      <c r="AQ254" s="4" t="n"/>
      <c r="AR254" s="4" t="n"/>
      <c r="AS254" s="4" t="n"/>
      <c r="AT254" s="4" t="n"/>
      <c r="AU254" s="4" t="n"/>
      <c r="AV254" s="4" t="n"/>
      <c r="AW254" s="4" t="n"/>
      <c r="AX254" s="4" t="n"/>
      <c r="AY254" s="4" t="n"/>
      <c r="AZ254" s="4" t="n"/>
      <c r="BA254" s="4" t="n"/>
      <c r="BB254" s="4" t="n"/>
      <c r="BC254" s="4" t="n"/>
      <c r="BD254" s="4" t="n"/>
      <c r="BE254" s="4" t="n"/>
      <c r="BF254" s="4" t="n"/>
      <c r="BG254" s="4" t="n"/>
      <c r="BH254" s="4" t="n"/>
      <c r="BI254" s="4" t="n"/>
      <c r="BJ254" s="4" t="n"/>
      <c r="BK254" s="4" t="n"/>
      <c r="BL254" s="4" t="n"/>
      <c r="BM254" s="4" t="n"/>
      <c r="BN254" s="4" t="n"/>
      <c r="BO254" s="4" t="n"/>
      <c r="BP254" s="4" t="n"/>
      <c r="BQ254" s="4" t="n"/>
      <c r="BR254" s="4" t="n"/>
      <c r="BS254" s="4" t="n"/>
      <c r="BT254" s="4" t="n"/>
      <c r="BU254" s="4" t="n"/>
      <c r="BV254" s="4" t="n"/>
      <c r="BW254" s="4" t="n"/>
      <c r="BX254" s="4" t="n"/>
      <c r="BY254" s="4" t="n"/>
      <c r="BZ254" s="4" t="n"/>
      <c r="CA254" s="4" t="n"/>
      <c r="CB254" s="4" t="n"/>
      <c r="CC254" s="4" t="n"/>
      <c r="CD254" s="4" t="n"/>
      <c r="CE254" s="4" t="n"/>
      <c r="CF254" s="4" t="n"/>
      <c r="CG254" s="4" t="n"/>
      <c r="CH254" s="4" t="n"/>
      <c r="CI254" s="4" t="n"/>
      <c r="CJ254" s="4" t="n"/>
      <c r="CK254" s="4" t="n"/>
      <c r="CL254" s="4" t="n"/>
      <c r="CM254" s="4" t="n"/>
      <c r="CN254" s="4" t="n"/>
      <c r="CO254" s="4" t="n"/>
      <c r="CP254" s="4" t="n"/>
      <c r="CQ254" s="4" t="n"/>
      <c r="CR254" s="4" t="n"/>
      <c r="CS254" s="4" t="n"/>
      <c r="CT254" s="4" t="n"/>
      <c r="CU254" s="4" t="n"/>
      <c r="CV254" s="4" t="n"/>
      <c r="CW254" s="4" t="n"/>
      <c r="CX254" s="4" t="n"/>
      <c r="CY254" s="4" t="n"/>
      <c r="CZ254" s="4" t="n"/>
      <c r="DA254" s="4" t="n"/>
      <c r="DB254" s="4" t="n"/>
      <c r="DC254" s="4" t="n"/>
      <c r="DD254" s="4" t="n"/>
      <c r="DE254" s="4" t="n"/>
      <c r="DF254" s="4" t="n"/>
      <c r="DG254" s="4" t="n"/>
      <c r="DH254" s="4" t="n"/>
      <c r="DI254" s="4" t="n"/>
      <c r="DJ254" s="4" t="n"/>
      <c r="DK254" s="4" t="n"/>
      <c r="DL254" s="4" t="n"/>
      <c r="DM254" s="4" t="n"/>
      <c r="DN254" s="4" t="n"/>
      <c r="DO254" s="4" t="n"/>
      <c r="DP254" s="4" t="n"/>
      <c r="DQ254" s="4" t="n"/>
      <c r="DR254" s="4" t="n"/>
      <c r="DS254" s="4" t="n"/>
      <c r="DT254" s="4" t="n"/>
      <c r="DU254" s="4" t="n"/>
      <c r="DV254" s="4" t="n"/>
      <c r="DW254" s="4" t="n"/>
      <c r="DX254" s="4" t="n"/>
      <c r="DY254" s="4" t="n"/>
      <c r="DZ254" s="4" t="n"/>
      <c r="EA254" s="4" t="n"/>
      <c r="EB254" s="4" t="n"/>
      <c r="EC254" s="4" t="n"/>
      <c r="ED254" s="4" t="n"/>
      <c r="EE254" s="4" t="n"/>
      <c r="EF254" s="4" t="n"/>
      <c r="EG254" s="4" t="n"/>
      <c r="EH254" s="4" t="n"/>
      <c r="EI254" s="4" t="n"/>
      <c r="EJ254" s="4" t="n"/>
      <c r="EK254" s="4" t="n"/>
    </row>
    <row r="255" hidden="1" customFormat="1" s="6">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c r="AC255" s="4" t="n"/>
      <c r="AD255" s="4" t="n"/>
      <c r="AE255" s="4" t="n"/>
      <c r="AF255" s="4" t="n"/>
      <c r="AG255" s="4" t="n"/>
      <c r="AH255" s="4" t="n"/>
      <c r="AI255" s="4" t="n"/>
      <c r="AJ255" s="4" t="n"/>
      <c r="AK255" s="4" t="n"/>
      <c r="AL255" s="4" t="n"/>
      <c r="AM255" s="4" t="n"/>
      <c r="AN255" s="4" t="n"/>
      <c r="AO255" s="4" t="n"/>
      <c r="AP255" s="4" t="n"/>
      <c r="AQ255" s="4" t="n"/>
      <c r="AR255" s="4" t="n"/>
      <c r="AS255" s="4" t="n"/>
      <c r="AT255" s="4" t="n"/>
      <c r="AU255" s="4" t="n"/>
      <c r="AV255" s="4" t="n"/>
      <c r="AW255" s="4" t="n"/>
      <c r="AX255" s="4" t="n"/>
      <c r="AY255" s="4" t="n"/>
      <c r="AZ255" s="4" t="n"/>
      <c r="BA255" s="4" t="n"/>
      <c r="BB255" s="4" t="n"/>
      <c r="BC255" s="4" t="n"/>
      <c r="BD255" s="4" t="n"/>
      <c r="BE255" s="4" t="n"/>
      <c r="BF255" s="4" t="n"/>
      <c r="BG255" s="4" t="n"/>
      <c r="BH255" s="4" t="n"/>
      <c r="BI255" s="4" t="n"/>
      <c r="BJ255" s="4" t="n"/>
      <c r="BK255" s="4" t="n"/>
      <c r="BL255" s="4" t="n"/>
      <c r="BM255" s="4" t="n"/>
      <c r="BN255" s="4" t="n"/>
      <c r="BO255" s="4" t="n"/>
      <c r="BP255" s="4" t="n"/>
      <c r="BQ255" s="4" t="n"/>
      <c r="BR255" s="4" t="n"/>
      <c r="BS255" s="4" t="n"/>
      <c r="BT255" s="4" t="n"/>
      <c r="BU255" s="4" t="n"/>
      <c r="BV255" s="4" t="n"/>
      <c r="BW255" s="4" t="n"/>
      <c r="BX255" s="4" t="n"/>
      <c r="BY255" s="4" t="n"/>
      <c r="BZ255" s="4" t="n"/>
      <c r="CA255" s="4" t="n"/>
      <c r="CB255" s="4" t="n"/>
      <c r="CC255" s="4" t="n"/>
      <c r="CD255" s="4" t="n"/>
      <c r="CE255" s="4" t="n"/>
      <c r="CF255" s="4" t="n"/>
      <c r="CG255" s="4" t="n"/>
      <c r="CH255" s="4" t="n"/>
      <c r="CI255" s="4" t="n"/>
      <c r="CJ255" s="4" t="n"/>
      <c r="CK255" s="4" t="n"/>
      <c r="CL255" s="4" t="n"/>
      <c r="CM255" s="4" t="n"/>
      <c r="CN255" s="4" t="n"/>
      <c r="CO255" s="4" t="n"/>
      <c r="CP255" s="4" t="n"/>
      <c r="CQ255" s="4" t="n"/>
      <c r="CR255" s="4" t="n"/>
      <c r="CS255" s="4" t="n"/>
      <c r="CT255" s="4" t="n"/>
      <c r="CU255" s="4" t="n"/>
      <c r="CV255" s="4" t="n"/>
      <c r="CW255" s="4" t="n"/>
      <c r="CX255" s="4" t="n"/>
      <c r="CY255" s="4" t="n"/>
      <c r="CZ255" s="4" t="n"/>
      <c r="DA255" s="4" t="n"/>
      <c r="DB255" s="4" t="n"/>
      <c r="DC255" s="4" t="n"/>
      <c r="DD255" s="4" t="n"/>
      <c r="DE255" s="4" t="n"/>
      <c r="DF255" s="4" t="n"/>
      <c r="DG255" s="4" t="n"/>
      <c r="DH255" s="4" t="n"/>
      <c r="DI255" s="4" t="n"/>
      <c r="DJ255" s="4" t="n"/>
      <c r="DK255" s="4" t="n"/>
      <c r="DL255" s="4" t="n"/>
      <c r="DM255" s="4" t="n"/>
      <c r="DN255" s="4" t="n"/>
      <c r="DO255" s="4" t="n"/>
      <c r="DP255" s="4" t="n"/>
      <c r="DQ255" s="4" t="n"/>
      <c r="DR255" s="4" t="n"/>
      <c r="DS255" s="4" t="n"/>
      <c r="DT255" s="4" t="n"/>
      <c r="DU255" s="4" t="n"/>
      <c r="DV255" s="4" t="n"/>
      <c r="DW255" s="4" t="n"/>
      <c r="DX255" s="4" t="n"/>
      <c r="DY255" s="4" t="n"/>
      <c r="DZ255" s="4" t="n"/>
      <c r="EA255" s="4" t="n"/>
      <c r="EB255" s="4" t="n"/>
      <c r="EC255" s="4" t="n"/>
      <c r="ED255" s="4" t="n"/>
      <c r="EE255" s="4" t="n"/>
      <c r="EF255" s="4" t="n"/>
      <c r="EG255" s="4" t="n"/>
      <c r="EH255" s="4" t="n"/>
      <c r="EI255" s="4" t="n"/>
      <c r="EJ255" s="4" t="n"/>
      <c r="EK255" s="4" t="n"/>
    </row>
    <row r="256" hidden="1" customFormat="1" s="6">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c r="AC256" s="4" t="n"/>
      <c r="AD256" s="4" t="n"/>
      <c r="AE256" s="4" t="n"/>
      <c r="AF256" s="4" t="n"/>
      <c r="AG256" s="4" t="n"/>
      <c r="AH256" s="4" t="n"/>
      <c r="AI256" s="4" t="n"/>
      <c r="AJ256" s="4" t="n"/>
      <c r="AK256" s="4" t="n"/>
      <c r="AL256" s="4" t="n"/>
      <c r="AM256" s="4" t="n"/>
      <c r="AN256" s="4" t="n"/>
      <c r="AO256" s="4" t="n"/>
      <c r="AP256" s="4" t="n"/>
      <c r="AQ256" s="4" t="n"/>
      <c r="AR256" s="4" t="n"/>
      <c r="AS256" s="4" t="n"/>
      <c r="AT256" s="4" t="n"/>
      <c r="AU256" s="4" t="n"/>
      <c r="AV256" s="4" t="n"/>
      <c r="AW256" s="4" t="n"/>
      <c r="AX256" s="4" t="n"/>
      <c r="AY256" s="4" t="n"/>
      <c r="AZ256" s="4" t="n"/>
      <c r="BA256" s="4" t="n"/>
      <c r="BB256" s="4" t="n"/>
      <c r="BC256" s="4" t="n"/>
      <c r="BD256" s="4" t="n"/>
      <c r="BE256" s="4" t="n"/>
      <c r="BF256" s="4" t="n"/>
      <c r="BG256" s="4" t="n"/>
      <c r="BH256" s="4" t="n"/>
      <c r="BI256" s="4" t="n"/>
      <c r="BJ256" s="4" t="n"/>
      <c r="BK256" s="4" t="n"/>
      <c r="BL256" s="4" t="n"/>
      <c r="BM256" s="4" t="n"/>
      <c r="BN256" s="4" t="n"/>
      <c r="BO256" s="4" t="n"/>
      <c r="BP256" s="4" t="n"/>
      <c r="BQ256" s="4" t="n"/>
      <c r="BR256" s="4" t="n"/>
      <c r="BS256" s="4" t="n"/>
      <c r="BT256" s="4" t="n"/>
      <c r="BU256" s="4" t="n"/>
      <c r="BV256" s="4" t="n"/>
      <c r="BW256" s="4" t="n"/>
      <c r="BX256" s="4" t="n"/>
      <c r="BY256" s="4" t="n"/>
      <c r="BZ256" s="4" t="n"/>
      <c r="CA256" s="4" t="n"/>
      <c r="CB256" s="4" t="n"/>
      <c r="CC256" s="4" t="n"/>
      <c r="CD256" s="4" t="n"/>
      <c r="CE256" s="4" t="n"/>
      <c r="CF256" s="4" t="n"/>
      <c r="CG256" s="4" t="n"/>
      <c r="CH256" s="4" t="n"/>
      <c r="CI256" s="4" t="n"/>
      <c r="CJ256" s="4" t="n"/>
      <c r="CK256" s="4" t="n"/>
      <c r="CL256" s="4" t="n"/>
      <c r="CM256" s="4" t="n"/>
      <c r="CN256" s="4" t="n"/>
      <c r="CO256" s="4" t="n"/>
      <c r="CP256" s="4" t="n"/>
      <c r="CQ256" s="4" t="n"/>
      <c r="CR256" s="4" t="n"/>
      <c r="CS256" s="4" t="n"/>
      <c r="CT256" s="4" t="n"/>
      <c r="CU256" s="4" t="n"/>
      <c r="CV256" s="4" t="n"/>
      <c r="CW256" s="4" t="n"/>
      <c r="CX256" s="4" t="n"/>
      <c r="CY256" s="4" t="n"/>
      <c r="CZ256" s="4" t="n"/>
      <c r="DA256" s="4" t="n"/>
      <c r="DB256" s="4" t="n"/>
      <c r="DC256" s="4" t="n"/>
      <c r="DD256" s="4" t="n"/>
      <c r="DE256" s="4" t="n"/>
      <c r="DF256" s="4" t="n"/>
      <c r="DG256" s="4" t="n"/>
      <c r="DH256" s="4" t="n"/>
      <c r="DI256" s="4" t="n"/>
      <c r="DJ256" s="4" t="n"/>
      <c r="DK256" s="4" t="n"/>
      <c r="DL256" s="4" t="n"/>
      <c r="DM256" s="4" t="n"/>
      <c r="DN256" s="4" t="n"/>
      <c r="DO256" s="4" t="n"/>
      <c r="DP256" s="4" t="n"/>
      <c r="DQ256" s="4" t="n"/>
      <c r="DR256" s="4" t="n"/>
      <c r="DS256" s="4" t="n"/>
      <c r="DT256" s="4" t="n"/>
      <c r="DU256" s="4" t="n"/>
      <c r="DV256" s="4" t="n"/>
      <c r="DW256" s="4" t="n"/>
      <c r="DX256" s="4" t="n"/>
      <c r="DY256" s="4" t="n"/>
      <c r="DZ256" s="4" t="n"/>
      <c r="EA256" s="4" t="n"/>
      <c r="EB256" s="4" t="n"/>
      <c r="EC256" s="4" t="n"/>
      <c r="ED256" s="4" t="n"/>
      <c r="EE256" s="4" t="n"/>
      <c r="EF256" s="4" t="n"/>
      <c r="EG256" s="4" t="n"/>
      <c r="EH256" s="4" t="n"/>
      <c r="EI256" s="4" t="n"/>
      <c r="EJ256" s="4" t="n"/>
      <c r="EK256" s="4" t="n"/>
    </row>
    <row r="257" hidden="1" customFormat="1" s="6">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c r="AD257" s="4" t="n"/>
      <c r="AE257" s="4" t="n"/>
      <c r="AF257" s="4" t="n"/>
      <c r="AG257" s="4" t="n"/>
      <c r="AH257" s="4" t="n"/>
      <c r="AI257" s="4" t="n"/>
      <c r="AJ257" s="4" t="n"/>
      <c r="AK257" s="4" t="n"/>
      <c r="AL257" s="4" t="n"/>
      <c r="AM257" s="4" t="n"/>
      <c r="AN257" s="4" t="n"/>
      <c r="AO257" s="4" t="n"/>
      <c r="AP257" s="4" t="n"/>
      <c r="AQ257" s="4" t="n"/>
      <c r="AR257" s="4" t="n"/>
      <c r="AS257" s="4" t="n"/>
      <c r="AT257" s="4" t="n"/>
      <c r="AU257" s="4" t="n"/>
      <c r="AV257" s="4" t="n"/>
      <c r="AW257" s="4" t="n"/>
      <c r="AX257" s="4" t="n"/>
      <c r="AY257" s="4" t="n"/>
      <c r="AZ257" s="4" t="n"/>
      <c r="BA257" s="4" t="n"/>
      <c r="BB257" s="4" t="n"/>
      <c r="BC257" s="4" t="n"/>
      <c r="BD257" s="4" t="n"/>
      <c r="BE257" s="4" t="n"/>
      <c r="BF257" s="4" t="n"/>
      <c r="BG257" s="4" t="n"/>
      <c r="BH257" s="4" t="n"/>
      <c r="BI257" s="4" t="n"/>
      <c r="BJ257" s="4" t="n"/>
      <c r="BK257" s="4" t="n"/>
      <c r="BL257" s="4" t="n"/>
      <c r="BM257" s="4" t="n"/>
      <c r="BN257" s="4" t="n"/>
      <c r="BO257" s="4" t="n"/>
      <c r="BP257" s="4" t="n"/>
      <c r="BQ257" s="4" t="n"/>
      <c r="BR257" s="4" t="n"/>
      <c r="BS257" s="4" t="n"/>
      <c r="BT257" s="4" t="n"/>
      <c r="BU257" s="4" t="n"/>
      <c r="BV257" s="4" t="n"/>
      <c r="BW257" s="4" t="n"/>
      <c r="BX257" s="4" t="n"/>
      <c r="BY257" s="4" t="n"/>
      <c r="BZ257" s="4" t="n"/>
      <c r="CA257" s="4" t="n"/>
      <c r="CB257" s="4" t="n"/>
      <c r="CC257" s="4" t="n"/>
      <c r="CD257" s="4" t="n"/>
      <c r="CE257" s="4" t="n"/>
      <c r="CF257" s="4" t="n"/>
      <c r="CG257" s="4" t="n"/>
      <c r="CH257" s="4" t="n"/>
      <c r="CI257" s="4" t="n"/>
      <c r="CJ257" s="4" t="n"/>
      <c r="CK257" s="4" t="n"/>
      <c r="CL257" s="4" t="n"/>
      <c r="CM257" s="4" t="n"/>
      <c r="CN257" s="4" t="n"/>
      <c r="CO257" s="4" t="n"/>
      <c r="CP257" s="4" t="n"/>
      <c r="CQ257" s="4" t="n"/>
      <c r="CR257" s="4" t="n"/>
      <c r="CS257" s="4" t="n"/>
      <c r="CT257" s="4" t="n"/>
      <c r="CU257" s="4" t="n"/>
      <c r="CV257" s="4" t="n"/>
      <c r="CW257" s="4" t="n"/>
      <c r="CX257" s="4" t="n"/>
      <c r="CY257" s="4" t="n"/>
      <c r="CZ257" s="4" t="n"/>
      <c r="DA257" s="4" t="n"/>
      <c r="DB257" s="4" t="n"/>
      <c r="DC257" s="4" t="n"/>
      <c r="DD257" s="4" t="n"/>
      <c r="DE257" s="4" t="n"/>
      <c r="DF257" s="4" t="n"/>
      <c r="DG257" s="4" t="n"/>
      <c r="DH257" s="4" t="n"/>
      <c r="DI257" s="4" t="n"/>
      <c r="DJ257" s="4" t="n"/>
      <c r="DK257" s="4" t="n"/>
      <c r="DL257" s="4" t="n"/>
      <c r="DM257" s="4" t="n"/>
      <c r="DN257" s="4" t="n"/>
      <c r="DO257" s="4" t="n"/>
      <c r="DP257" s="4" t="n"/>
      <c r="DQ257" s="4" t="n"/>
      <c r="DR257" s="4" t="n"/>
      <c r="DS257" s="4" t="n"/>
      <c r="DT257" s="4" t="n"/>
      <c r="DU257" s="4" t="n"/>
      <c r="DV257" s="4" t="n"/>
      <c r="DW257" s="4" t="n"/>
      <c r="DX257" s="4" t="n"/>
      <c r="DY257" s="4" t="n"/>
      <c r="DZ257" s="4" t="n"/>
      <c r="EA257" s="4" t="n"/>
      <c r="EB257" s="4" t="n"/>
      <c r="EC257" s="4" t="n"/>
      <c r="ED257" s="4" t="n"/>
      <c r="EE257" s="4" t="n"/>
      <c r="EF257" s="4" t="n"/>
      <c r="EG257" s="4" t="n"/>
      <c r="EH257" s="4" t="n"/>
      <c r="EI257" s="4" t="n"/>
      <c r="EJ257" s="4" t="n"/>
      <c r="EK257" s="4" t="n"/>
    </row>
    <row r="258" hidden="1" customFormat="1" s="6">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c r="AE258" s="4" t="n"/>
      <c r="AF258" s="4" t="n"/>
      <c r="AG258" s="4" t="n"/>
      <c r="AH258" s="4" t="n"/>
      <c r="AI258" s="4" t="n"/>
      <c r="AJ258" s="4" t="n"/>
      <c r="AK258" s="4" t="n"/>
      <c r="AL258" s="4" t="n"/>
      <c r="AM258" s="4" t="n"/>
      <c r="AN258" s="4" t="n"/>
      <c r="AO258" s="4" t="n"/>
      <c r="AP258" s="4" t="n"/>
      <c r="AQ258" s="4" t="n"/>
      <c r="AR258" s="4" t="n"/>
      <c r="AS258" s="4" t="n"/>
      <c r="AT258" s="4" t="n"/>
      <c r="AU258" s="4" t="n"/>
      <c r="AV258" s="4" t="n"/>
      <c r="AW258" s="4" t="n"/>
      <c r="AX258" s="4" t="n"/>
      <c r="AY258" s="4" t="n"/>
      <c r="AZ258" s="4" t="n"/>
      <c r="BA258" s="4" t="n"/>
      <c r="BB258" s="4" t="n"/>
      <c r="BC258" s="4" t="n"/>
      <c r="BD258" s="4" t="n"/>
      <c r="BE258" s="4" t="n"/>
      <c r="BF258" s="4" t="n"/>
      <c r="BG258" s="4" t="n"/>
      <c r="BH258" s="4" t="n"/>
      <c r="BI258" s="4" t="n"/>
      <c r="BJ258" s="4" t="n"/>
      <c r="BK258" s="4" t="n"/>
      <c r="BL258" s="4" t="n"/>
      <c r="BM258" s="4" t="n"/>
      <c r="BN258" s="4" t="n"/>
      <c r="BO258" s="4" t="n"/>
      <c r="BP258" s="4" t="n"/>
      <c r="BQ258" s="4" t="n"/>
      <c r="BR258" s="4" t="n"/>
      <c r="BS258" s="4" t="n"/>
      <c r="BT258" s="4" t="n"/>
      <c r="BU258" s="4" t="n"/>
      <c r="BV258" s="4" t="n"/>
      <c r="BW258" s="4" t="n"/>
      <c r="BX258" s="4" t="n"/>
      <c r="BY258" s="4" t="n"/>
      <c r="BZ258" s="4" t="n"/>
      <c r="CA258" s="4" t="n"/>
      <c r="CB258" s="4" t="n"/>
      <c r="CC258" s="4" t="n"/>
      <c r="CD258" s="4" t="n"/>
      <c r="CE258" s="4" t="n"/>
      <c r="CF258" s="4" t="n"/>
      <c r="CG258" s="4" t="n"/>
      <c r="CH258" s="4" t="n"/>
      <c r="CI258" s="4" t="n"/>
      <c r="CJ258" s="4" t="n"/>
      <c r="CK258" s="4" t="n"/>
      <c r="CL258" s="4" t="n"/>
      <c r="CM258" s="4" t="n"/>
      <c r="CN258" s="4" t="n"/>
      <c r="CO258" s="4" t="n"/>
      <c r="CP258" s="4" t="n"/>
      <c r="CQ258" s="4" t="n"/>
      <c r="CR258" s="4" t="n"/>
      <c r="CS258" s="4" t="n"/>
      <c r="CT258" s="4" t="n"/>
      <c r="CU258" s="4" t="n"/>
      <c r="CV258" s="4" t="n"/>
      <c r="CW258" s="4" t="n"/>
      <c r="CX258" s="4" t="n"/>
      <c r="CY258" s="4" t="n"/>
      <c r="CZ258" s="4" t="n"/>
      <c r="DA258" s="4" t="n"/>
      <c r="DB258" s="4" t="n"/>
      <c r="DC258" s="4" t="n"/>
      <c r="DD258" s="4" t="n"/>
      <c r="DE258" s="4" t="n"/>
      <c r="DF258" s="4" t="n"/>
      <c r="DG258" s="4" t="n"/>
      <c r="DH258" s="4" t="n"/>
      <c r="DI258" s="4" t="n"/>
      <c r="DJ258" s="4" t="n"/>
      <c r="DK258" s="4" t="n"/>
      <c r="DL258" s="4" t="n"/>
      <c r="DM258" s="4" t="n"/>
      <c r="DN258" s="4" t="n"/>
      <c r="DO258" s="4" t="n"/>
      <c r="DP258" s="4" t="n"/>
      <c r="DQ258" s="4" t="n"/>
      <c r="DR258" s="4" t="n"/>
      <c r="DS258" s="4" t="n"/>
      <c r="DT258" s="4" t="n"/>
      <c r="DU258" s="4" t="n"/>
      <c r="DV258" s="4" t="n"/>
      <c r="DW258" s="4" t="n"/>
      <c r="DX258" s="4" t="n"/>
      <c r="DY258" s="4" t="n"/>
      <c r="DZ258" s="4" t="n"/>
      <c r="EA258" s="4" t="n"/>
      <c r="EB258" s="4" t="n"/>
      <c r="EC258" s="4" t="n"/>
      <c r="ED258" s="4" t="n"/>
      <c r="EE258" s="4" t="n"/>
      <c r="EF258" s="4" t="n"/>
      <c r="EG258" s="4" t="n"/>
      <c r="EH258" s="4" t="n"/>
      <c r="EI258" s="4" t="n"/>
      <c r="EJ258" s="4" t="n"/>
      <c r="EK258" s="4" t="n"/>
    </row>
    <row r="259" hidden="1" customFormat="1" s="6">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c r="AD259" s="4" t="n"/>
      <c r="AE259" s="4" t="n"/>
      <c r="AF259" s="4" t="n"/>
      <c r="AG259" s="4" t="n"/>
      <c r="AH259" s="4" t="n"/>
      <c r="AI259" s="4" t="n"/>
      <c r="AJ259" s="4" t="n"/>
      <c r="AK259" s="4" t="n"/>
      <c r="AL259" s="4" t="n"/>
      <c r="AM259" s="4" t="n"/>
      <c r="AN259" s="4" t="n"/>
      <c r="AO259" s="4" t="n"/>
      <c r="AP259" s="4" t="n"/>
      <c r="AQ259" s="4" t="n"/>
      <c r="AR259" s="4" t="n"/>
      <c r="AS259" s="4" t="n"/>
      <c r="AT259" s="4" t="n"/>
      <c r="AU259" s="4" t="n"/>
      <c r="AV259" s="4" t="n"/>
      <c r="AW259" s="4" t="n"/>
      <c r="AX259" s="4" t="n"/>
      <c r="AY259" s="4" t="n"/>
      <c r="AZ259" s="4" t="n"/>
      <c r="BA259" s="4" t="n"/>
      <c r="BB259" s="4" t="n"/>
      <c r="BC259" s="4" t="n"/>
      <c r="BD259" s="4" t="n"/>
      <c r="BE259" s="4" t="n"/>
      <c r="BF259" s="4" t="n"/>
      <c r="BG259" s="4" t="n"/>
      <c r="BH259" s="4" t="n"/>
      <c r="BI259" s="4" t="n"/>
      <c r="BJ259" s="4" t="n"/>
      <c r="BK259" s="4" t="n"/>
      <c r="BL259" s="4" t="n"/>
      <c r="BM259" s="4" t="n"/>
      <c r="BN259" s="4" t="n"/>
      <c r="BO259" s="4" t="n"/>
      <c r="BP259" s="4" t="n"/>
      <c r="BQ259" s="4" t="n"/>
      <c r="BR259" s="4" t="n"/>
      <c r="BS259" s="4" t="n"/>
      <c r="BT259" s="4" t="n"/>
      <c r="BU259" s="4" t="n"/>
      <c r="BV259" s="4" t="n"/>
      <c r="BW259" s="4" t="n"/>
      <c r="BX259" s="4" t="n"/>
      <c r="BY259" s="4" t="n"/>
      <c r="BZ259" s="4" t="n"/>
      <c r="CA259" s="4" t="n"/>
      <c r="CB259" s="4" t="n"/>
      <c r="CC259" s="4" t="n"/>
      <c r="CD259" s="4" t="n"/>
      <c r="CE259" s="4" t="n"/>
      <c r="CF259" s="4" t="n"/>
      <c r="CG259" s="4" t="n"/>
      <c r="CH259" s="4" t="n"/>
      <c r="CI259" s="4" t="n"/>
      <c r="CJ259" s="4" t="n"/>
      <c r="CK259" s="4" t="n"/>
      <c r="CL259" s="4" t="n"/>
      <c r="CM259" s="4" t="n"/>
      <c r="CN259" s="4" t="n"/>
      <c r="CO259" s="4" t="n"/>
      <c r="CP259" s="4" t="n"/>
      <c r="CQ259" s="4" t="n"/>
      <c r="CR259" s="4" t="n"/>
      <c r="CS259" s="4" t="n"/>
      <c r="CT259" s="4" t="n"/>
      <c r="CU259" s="4" t="n"/>
      <c r="CV259" s="4" t="n"/>
      <c r="CW259" s="4" t="n"/>
      <c r="CX259" s="4" t="n"/>
      <c r="CY259" s="4" t="n"/>
      <c r="CZ259" s="4" t="n"/>
      <c r="DA259" s="4" t="n"/>
      <c r="DB259" s="4" t="n"/>
      <c r="DC259" s="4" t="n"/>
      <c r="DD259" s="4" t="n"/>
      <c r="DE259" s="4" t="n"/>
      <c r="DF259" s="4" t="n"/>
      <c r="DG259" s="4" t="n"/>
      <c r="DH259" s="4" t="n"/>
      <c r="DI259" s="4" t="n"/>
      <c r="DJ259" s="4" t="n"/>
      <c r="DK259" s="4" t="n"/>
      <c r="DL259" s="4" t="n"/>
      <c r="DM259" s="4" t="n"/>
      <c r="DN259" s="4" t="n"/>
      <c r="DO259" s="4" t="n"/>
      <c r="DP259" s="4" t="n"/>
      <c r="DQ259" s="4" t="n"/>
      <c r="DR259" s="4" t="n"/>
      <c r="DS259" s="4" t="n"/>
      <c r="DT259" s="4" t="n"/>
      <c r="DU259" s="4" t="n"/>
      <c r="DV259" s="4" t="n"/>
      <c r="DW259" s="4" t="n"/>
      <c r="DX259" s="4" t="n"/>
      <c r="DY259" s="4" t="n"/>
      <c r="DZ259" s="4" t="n"/>
      <c r="EA259" s="4" t="n"/>
      <c r="EB259" s="4" t="n"/>
      <c r="EC259" s="4" t="n"/>
      <c r="ED259" s="4" t="n"/>
      <c r="EE259" s="4" t="n"/>
      <c r="EF259" s="4" t="n"/>
      <c r="EG259" s="4" t="n"/>
      <c r="EH259" s="4" t="n"/>
      <c r="EI259" s="4" t="n"/>
      <c r="EJ259" s="4" t="n"/>
      <c r="EK259" s="4" t="n"/>
    </row>
    <row r="260" hidden="1" customFormat="1" s="6">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c r="AD260" s="4" t="n"/>
      <c r="AE260" s="4" t="n"/>
      <c r="AF260" s="4" t="n"/>
      <c r="AG260" s="4" t="n"/>
      <c r="AH260" s="4" t="n"/>
      <c r="AI260" s="4" t="n"/>
      <c r="AJ260" s="4" t="n"/>
      <c r="AK260" s="4" t="n"/>
      <c r="AL260" s="4" t="n"/>
      <c r="AM260" s="4" t="n"/>
      <c r="AN260" s="4" t="n"/>
      <c r="AO260" s="4" t="n"/>
      <c r="AP260" s="4" t="n"/>
      <c r="AQ260" s="4" t="n"/>
      <c r="AR260" s="4" t="n"/>
      <c r="AS260" s="4" t="n"/>
      <c r="AT260" s="4" t="n"/>
      <c r="AU260" s="4" t="n"/>
      <c r="AV260" s="4" t="n"/>
      <c r="AW260" s="4" t="n"/>
      <c r="AX260" s="4" t="n"/>
      <c r="AY260" s="4" t="n"/>
      <c r="AZ260" s="4" t="n"/>
      <c r="BA260" s="4" t="n"/>
      <c r="BB260" s="4" t="n"/>
      <c r="BC260" s="4" t="n"/>
      <c r="BD260" s="4" t="n"/>
      <c r="BE260" s="4" t="n"/>
      <c r="BF260" s="4" t="n"/>
      <c r="BG260" s="4" t="n"/>
      <c r="BH260" s="4" t="n"/>
      <c r="BI260" s="4" t="n"/>
      <c r="BJ260" s="4" t="n"/>
      <c r="BK260" s="4" t="n"/>
      <c r="BL260" s="4" t="n"/>
      <c r="BM260" s="4" t="n"/>
      <c r="BN260" s="4" t="n"/>
      <c r="BO260" s="4" t="n"/>
      <c r="BP260" s="4" t="n"/>
      <c r="BQ260" s="4" t="n"/>
      <c r="BR260" s="4" t="n"/>
      <c r="BS260" s="4" t="n"/>
      <c r="BT260" s="4" t="n"/>
      <c r="BU260" s="4" t="n"/>
      <c r="BV260" s="4" t="n"/>
      <c r="BW260" s="4" t="n"/>
      <c r="BX260" s="4" t="n"/>
      <c r="BY260" s="4" t="n"/>
      <c r="BZ260" s="4" t="n"/>
      <c r="CA260" s="4" t="n"/>
      <c r="CB260" s="4" t="n"/>
      <c r="CC260" s="4" t="n"/>
      <c r="CD260" s="4" t="n"/>
      <c r="CE260" s="4" t="n"/>
      <c r="CF260" s="4" t="n"/>
      <c r="CG260" s="4" t="n"/>
      <c r="CH260" s="4" t="n"/>
      <c r="CI260" s="4" t="n"/>
      <c r="CJ260" s="4" t="n"/>
      <c r="CK260" s="4" t="n"/>
      <c r="CL260" s="4" t="n"/>
      <c r="CM260" s="4" t="n"/>
      <c r="CN260" s="4" t="n"/>
      <c r="CO260" s="4" t="n"/>
      <c r="CP260" s="4" t="n"/>
      <c r="CQ260" s="4" t="n"/>
      <c r="CR260" s="4" t="n"/>
      <c r="CS260" s="4" t="n"/>
      <c r="CT260" s="4" t="n"/>
      <c r="CU260" s="4" t="n"/>
      <c r="CV260" s="4" t="n"/>
      <c r="CW260" s="4" t="n"/>
      <c r="CX260" s="4" t="n"/>
      <c r="CY260" s="4" t="n"/>
      <c r="CZ260" s="4" t="n"/>
      <c r="DA260" s="4" t="n"/>
      <c r="DB260" s="4" t="n"/>
      <c r="DC260" s="4" t="n"/>
      <c r="DD260" s="4" t="n"/>
      <c r="DE260" s="4" t="n"/>
      <c r="DF260" s="4" t="n"/>
      <c r="DG260" s="4" t="n"/>
      <c r="DH260" s="4" t="n"/>
      <c r="DI260" s="4" t="n"/>
      <c r="DJ260" s="4" t="n"/>
      <c r="DK260" s="4" t="n"/>
      <c r="DL260" s="4" t="n"/>
      <c r="DM260" s="4" t="n"/>
      <c r="DN260" s="4" t="n"/>
      <c r="DO260" s="4" t="n"/>
      <c r="DP260" s="4" t="n"/>
      <c r="DQ260" s="4" t="n"/>
      <c r="DR260" s="4" t="n"/>
      <c r="DS260" s="4" t="n"/>
      <c r="DT260" s="4" t="n"/>
      <c r="DU260" s="4" t="n"/>
      <c r="DV260" s="4" t="n"/>
      <c r="DW260" s="4" t="n"/>
      <c r="DX260" s="4" t="n"/>
      <c r="DY260" s="4" t="n"/>
      <c r="DZ260" s="4" t="n"/>
      <c r="EA260" s="4" t="n"/>
      <c r="EB260" s="4" t="n"/>
      <c r="EC260" s="4" t="n"/>
      <c r="ED260" s="4" t="n"/>
      <c r="EE260" s="4" t="n"/>
      <c r="EF260" s="4" t="n"/>
      <c r="EG260" s="4" t="n"/>
      <c r="EH260" s="4" t="n"/>
      <c r="EI260" s="4" t="n"/>
      <c r="EJ260" s="4" t="n"/>
      <c r="EK260" s="4" t="n"/>
    </row>
    <row r="261" hidden="1" customFormat="1" s="6">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c r="AD261" s="4" t="n"/>
      <c r="AE261" s="4" t="n"/>
      <c r="AF261" s="4" t="n"/>
      <c r="AG261" s="4" t="n"/>
      <c r="AH261" s="4" t="n"/>
      <c r="AI261" s="4" t="n"/>
      <c r="AJ261" s="4" t="n"/>
      <c r="AK261" s="4" t="n"/>
      <c r="AL261" s="4" t="n"/>
      <c r="AM261" s="4" t="n"/>
      <c r="AN261" s="4" t="n"/>
      <c r="AO261" s="4" t="n"/>
      <c r="AP261" s="4" t="n"/>
      <c r="AQ261" s="4" t="n"/>
      <c r="AR261" s="4" t="n"/>
      <c r="AS261" s="4" t="n"/>
      <c r="AT261" s="4" t="n"/>
      <c r="AU261" s="4" t="n"/>
      <c r="AV261" s="4" t="n"/>
      <c r="AW261" s="4" t="n"/>
      <c r="AX261" s="4" t="n"/>
      <c r="AY261" s="4" t="n"/>
      <c r="AZ261" s="4" t="n"/>
      <c r="BA261" s="4" t="n"/>
      <c r="BB261" s="4" t="n"/>
      <c r="BC261" s="4" t="n"/>
      <c r="BD261" s="4" t="n"/>
      <c r="BE261" s="4" t="n"/>
      <c r="BF261" s="4" t="n"/>
      <c r="BG261" s="4" t="n"/>
      <c r="BH261" s="4" t="n"/>
      <c r="BI261" s="4" t="n"/>
      <c r="BJ261" s="4" t="n"/>
      <c r="BK261" s="4" t="n"/>
      <c r="BL261" s="4" t="n"/>
      <c r="BM261" s="4" t="n"/>
      <c r="BN261" s="4" t="n"/>
      <c r="BO261" s="4" t="n"/>
      <c r="BP261" s="4" t="n"/>
      <c r="BQ261" s="4" t="n"/>
      <c r="BR261" s="4" t="n"/>
      <c r="BS261" s="4" t="n"/>
      <c r="BT261" s="4" t="n"/>
      <c r="BU261" s="4" t="n"/>
      <c r="BV261" s="4" t="n"/>
      <c r="BW261" s="4" t="n"/>
      <c r="BX261" s="4" t="n"/>
      <c r="BY261" s="4" t="n"/>
      <c r="BZ261" s="4" t="n"/>
      <c r="CA261" s="4" t="n"/>
      <c r="CB261" s="4" t="n"/>
      <c r="CC261" s="4" t="n"/>
      <c r="CD261" s="4" t="n"/>
      <c r="CE261" s="4" t="n"/>
      <c r="CF261" s="4" t="n"/>
      <c r="CG261" s="4" t="n"/>
      <c r="CH261" s="4" t="n"/>
      <c r="CI261" s="4" t="n"/>
      <c r="CJ261" s="4" t="n"/>
      <c r="CK261" s="4" t="n"/>
      <c r="CL261" s="4" t="n"/>
      <c r="CM261" s="4" t="n"/>
      <c r="CN261" s="4" t="n"/>
      <c r="CO261" s="4" t="n"/>
      <c r="CP261" s="4" t="n"/>
      <c r="CQ261" s="4" t="n"/>
      <c r="CR261" s="4" t="n"/>
      <c r="CS261" s="4" t="n"/>
      <c r="CT261" s="4" t="n"/>
      <c r="CU261" s="4" t="n"/>
      <c r="CV261" s="4" t="n"/>
      <c r="CW261" s="4" t="n"/>
      <c r="CX261" s="4" t="n"/>
      <c r="CY261" s="4" t="n"/>
      <c r="CZ261" s="4" t="n"/>
      <c r="DA261" s="4" t="n"/>
      <c r="DB261" s="4" t="n"/>
      <c r="DC261" s="4" t="n"/>
      <c r="DD261" s="4" t="n"/>
      <c r="DE261" s="4" t="n"/>
      <c r="DF261" s="4" t="n"/>
      <c r="DG261" s="4" t="n"/>
      <c r="DH261" s="4" t="n"/>
      <c r="DI261" s="4" t="n"/>
      <c r="DJ261" s="4" t="n"/>
      <c r="DK261" s="4" t="n"/>
      <c r="DL261" s="4" t="n"/>
      <c r="DM261" s="4" t="n"/>
      <c r="DN261" s="4" t="n"/>
      <c r="DO261" s="4" t="n"/>
      <c r="DP261" s="4" t="n"/>
      <c r="DQ261" s="4" t="n"/>
      <c r="DR261" s="4" t="n"/>
      <c r="DS261" s="4" t="n"/>
      <c r="DT261" s="4" t="n"/>
      <c r="DU261" s="4" t="n"/>
      <c r="DV261" s="4" t="n"/>
      <c r="DW261" s="4" t="n"/>
      <c r="DX261" s="4" t="n"/>
      <c r="DY261" s="4" t="n"/>
      <c r="DZ261" s="4" t="n"/>
      <c r="EA261" s="4" t="n"/>
      <c r="EB261" s="4" t="n"/>
      <c r="EC261" s="4" t="n"/>
      <c r="ED261" s="4" t="n"/>
      <c r="EE261" s="4" t="n"/>
      <c r="EF261" s="4" t="n"/>
      <c r="EG261" s="4" t="n"/>
      <c r="EH261" s="4" t="n"/>
      <c r="EI261" s="4" t="n"/>
      <c r="EJ261" s="4" t="n"/>
      <c r="EK261" s="4" t="n"/>
    </row>
    <row r="262" hidden="1" customFormat="1" s="6">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c r="AE262" s="4" t="n"/>
      <c r="AF262" s="4" t="n"/>
      <c r="AG262" s="4" t="n"/>
      <c r="AH262" s="4" t="n"/>
      <c r="AI262" s="4" t="n"/>
      <c r="AJ262" s="4" t="n"/>
      <c r="AK262" s="4" t="n"/>
      <c r="AL262" s="4" t="n"/>
      <c r="AM262" s="4" t="n"/>
      <c r="AN262" s="4" t="n"/>
      <c r="AO262" s="4" t="n"/>
      <c r="AP262" s="4" t="n"/>
      <c r="AQ262" s="4" t="n"/>
      <c r="AR262" s="4" t="n"/>
      <c r="AS262" s="4" t="n"/>
      <c r="AT262" s="4" t="n"/>
      <c r="AU262" s="4" t="n"/>
      <c r="AV262" s="4" t="n"/>
      <c r="AW262" s="4" t="n"/>
      <c r="AX262" s="4" t="n"/>
      <c r="AY262" s="4" t="n"/>
      <c r="AZ262" s="4" t="n"/>
      <c r="BA262" s="4" t="n"/>
      <c r="BB262" s="4" t="n"/>
      <c r="BC262" s="4" t="n"/>
      <c r="BD262" s="4" t="n"/>
      <c r="BE262" s="4" t="n"/>
      <c r="BF262" s="4" t="n"/>
      <c r="BG262" s="4" t="n"/>
      <c r="BH262" s="4" t="n"/>
      <c r="BI262" s="4" t="n"/>
      <c r="BJ262" s="4" t="n"/>
      <c r="BK262" s="4" t="n"/>
      <c r="BL262" s="4" t="n"/>
      <c r="BM262" s="4" t="n"/>
      <c r="BN262" s="4" t="n"/>
      <c r="BO262" s="4" t="n"/>
      <c r="BP262" s="4" t="n"/>
      <c r="BQ262" s="4" t="n"/>
      <c r="BR262" s="4" t="n"/>
      <c r="BS262" s="4" t="n"/>
      <c r="BT262" s="4" t="n"/>
      <c r="BU262" s="4" t="n"/>
      <c r="BV262" s="4" t="n"/>
      <c r="BW262" s="4" t="n"/>
      <c r="BX262" s="4" t="n"/>
      <c r="BY262" s="4" t="n"/>
      <c r="BZ262" s="4" t="n"/>
      <c r="CA262" s="4" t="n"/>
      <c r="CB262" s="4" t="n"/>
      <c r="CC262" s="4" t="n"/>
      <c r="CD262" s="4" t="n"/>
      <c r="CE262" s="4" t="n"/>
      <c r="CF262" s="4" t="n"/>
      <c r="CG262" s="4" t="n"/>
      <c r="CH262" s="4" t="n"/>
      <c r="CI262" s="4" t="n"/>
      <c r="CJ262" s="4" t="n"/>
      <c r="CK262" s="4" t="n"/>
      <c r="CL262" s="4" t="n"/>
      <c r="CM262" s="4" t="n"/>
      <c r="CN262" s="4" t="n"/>
      <c r="CO262" s="4" t="n"/>
      <c r="CP262" s="4" t="n"/>
      <c r="CQ262" s="4" t="n"/>
      <c r="CR262" s="4" t="n"/>
      <c r="CS262" s="4" t="n"/>
      <c r="CT262" s="4" t="n"/>
      <c r="CU262" s="4" t="n"/>
      <c r="CV262" s="4" t="n"/>
      <c r="CW262" s="4" t="n"/>
      <c r="CX262" s="4" t="n"/>
      <c r="CY262" s="4" t="n"/>
      <c r="CZ262" s="4" t="n"/>
      <c r="DA262" s="4" t="n"/>
      <c r="DB262" s="4" t="n"/>
      <c r="DC262" s="4" t="n"/>
      <c r="DD262" s="4" t="n"/>
      <c r="DE262" s="4" t="n"/>
      <c r="DF262" s="4" t="n"/>
      <c r="DG262" s="4" t="n"/>
      <c r="DH262" s="4" t="n"/>
      <c r="DI262" s="4" t="n"/>
      <c r="DJ262" s="4" t="n"/>
      <c r="DK262" s="4" t="n"/>
      <c r="DL262" s="4" t="n"/>
      <c r="DM262" s="4" t="n"/>
      <c r="DN262" s="4" t="n"/>
      <c r="DO262" s="4" t="n"/>
      <c r="DP262" s="4" t="n"/>
      <c r="DQ262" s="4" t="n"/>
      <c r="DR262" s="4" t="n"/>
      <c r="DS262" s="4" t="n"/>
      <c r="DT262" s="4" t="n"/>
      <c r="DU262" s="4" t="n"/>
      <c r="DV262" s="4" t="n"/>
      <c r="DW262" s="4" t="n"/>
      <c r="DX262" s="4" t="n"/>
      <c r="DY262" s="4" t="n"/>
      <c r="DZ262" s="4" t="n"/>
      <c r="EA262" s="4" t="n"/>
      <c r="EB262" s="4" t="n"/>
      <c r="EC262" s="4" t="n"/>
      <c r="ED262" s="4" t="n"/>
      <c r="EE262" s="4" t="n"/>
      <c r="EF262" s="4" t="n"/>
      <c r="EG262" s="4" t="n"/>
      <c r="EH262" s="4" t="n"/>
      <c r="EI262" s="4" t="n"/>
      <c r="EJ262" s="4" t="n"/>
      <c r="EK262" s="4" t="n"/>
    </row>
    <row r="263" hidden="1" customFormat="1" s="6">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c r="AD263" s="4" t="n"/>
      <c r="AE263" s="4" t="n"/>
      <c r="AF263" s="4" t="n"/>
      <c r="AG263" s="4" t="n"/>
      <c r="AH263" s="4" t="n"/>
      <c r="AI263" s="4" t="n"/>
      <c r="AJ263" s="4" t="n"/>
      <c r="AK263" s="4" t="n"/>
      <c r="AL263" s="4" t="n"/>
      <c r="AM263" s="4" t="n"/>
      <c r="AN263" s="4" t="n"/>
      <c r="AO263" s="4" t="n"/>
      <c r="AP263" s="4" t="n"/>
      <c r="AQ263" s="4" t="n"/>
      <c r="AR263" s="4" t="n"/>
      <c r="AS263" s="4" t="n"/>
      <c r="AT263" s="4" t="n"/>
      <c r="AU263" s="4" t="n"/>
      <c r="AV263" s="4" t="n"/>
      <c r="AW263" s="4" t="n"/>
      <c r="AX263" s="4" t="n"/>
      <c r="AY263" s="4" t="n"/>
      <c r="AZ263" s="4" t="n"/>
      <c r="BA263" s="4" t="n"/>
      <c r="BB263" s="4" t="n"/>
      <c r="BC263" s="4" t="n"/>
      <c r="BD263" s="4" t="n"/>
      <c r="BE263" s="4" t="n"/>
      <c r="BF263" s="4" t="n"/>
      <c r="BG263" s="4" t="n"/>
      <c r="BH263" s="4" t="n"/>
      <c r="BI263" s="4" t="n"/>
      <c r="BJ263" s="4" t="n"/>
      <c r="BK263" s="4" t="n"/>
      <c r="BL263" s="4" t="n"/>
      <c r="BM263" s="4" t="n"/>
      <c r="BN263" s="4" t="n"/>
      <c r="BO263" s="4" t="n"/>
      <c r="BP263" s="4" t="n"/>
      <c r="BQ263" s="4" t="n"/>
      <c r="BR263" s="4" t="n"/>
      <c r="BS263" s="4" t="n"/>
      <c r="BT263" s="4" t="n"/>
      <c r="BU263" s="4" t="n"/>
      <c r="BV263" s="4" t="n"/>
      <c r="BW263" s="4" t="n"/>
      <c r="BX263" s="4" t="n"/>
      <c r="BY263" s="4" t="n"/>
      <c r="BZ263" s="4" t="n"/>
      <c r="CA263" s="4" t="n"/>
      <c r="CB263" s="4" t="n"/>
      <c r="CC263" s="4" t="n"/>
      <c r="CD263" s="4" t="n"/>
      <c r="CE263" s="4" t="n"/>
      <c r="CF263" s="4" t="n"/>
      <c r="CG263" s="4" t="n"/>
      <c r="CH263" s="4" t="n"/>
      <c r="CI263" s="4" t="n"/>
      <c r="CJ263" s="4" t="n"/>
      <c r="CK263" s="4" t="n"/>
      <c r="CL263" s="4" t="n"/>
      <c r="CM263" s="4" t="n"/>
      <c r="CN263" s="4" t="n"/>
      <c r="CO263" s="4" t="n"/>
      <c r="CP263" s="4" t="n"/>
      <c r="CQ263" s="4" t="n"/>
      <c r="CR263" s="4" t="n"/>
      <c r="CS263" s="4" t="n"/>
      <c r="CT263" s="4" t="n"/>
      <c r="CU263" s="4" t="n"/>
      <c r="CV263" s="4" t="n"/>
      <c r="CW263" s="4" t="n"/>
      <c r="CX263" s="4" t="n"/>
      <c r="CY263" s="4" t="n"/>
      <c r="CZ263" s="4" t="n"/>
      <c r="DA263" s="4" t="n"/>
      <c r="DB263" s="4" t="n"/>
      <c r="DC263" s="4" t="n"/>
      <c r="DD263" s="4" t="n"/>
      <c r="DE263" s="4" t="n"/>
      <c r="DF263" s="4" t="n"/>
      <c r="DG263" s="4" t="n"/>
      <c r="DH263" s="4" t="n"/>
      <c r="DI263" s="4" t="n"/>
      <c r="DJ263" s="4" t="n"/>
      <c r="DK263" s="4" t="n"/>
      <c r="DL263" s="4" t="n"/>
      <c r="DM263" s="4" t="n"/>
      <c r="DN263" s="4" t="n"/>
      <c r="DO263" s="4" t="n"/>
      <c r="DP263" s="4" t="n"/>
      <c r="DQ263" s="4" t="n"/>
      <c r="DR263" s="4" t="n"/>
      <c r="DS263" s="4" t="n"/>
      <c r="DT263" s="4" t="n"/>
      <c r="DU263" s="4" t="n"/>
      <c r="DV263" s="4" t="n"/>
      <c r="DW263" s="4" t="n"/>
      <c r="DX263" s="4" t="n"/>
      <c r="DY263" s="4" t="n"/>
      <c r="DZ263" s="4" t="n"/>
      <c r="EA263" s="4" t="n"/>
      <c r="EB263" s="4" t="n"/>
      <c r="EC263" s="4" t="n"/>
      <c r="ED263" s="4" t="n"/>
      <c r="EE263" s="4" t="n"/>
      <c r="EF263" s="4" t="n"/>
      <c r="EG263" s="4" t="n"/>
      <c r="EH263" s="4" t="n"/>
      <c r="EI263" s="4" t="n"/>
      <c r="EJ263" s="4" t="n"/>
      <c r="EK263" s="4" t="n"/>
    </row>
    <row r="264" hidden="1" customFormat="1" s="6">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c r="AE264" s="4" t="n"/>
      <c r="AF264" s="4" t="n"/>
      <c r="AG264" s="4" t="n"/>
      <c r="AH264" s="4" t="n"/>
      <c r="AI264" s="4" t="n"/>
      <c r="AJ264" s="4" t="n"/>
      <c r="AK264" s="4" t="n"/>
      <c r="AL264" s="4" t="n"/>
      <c r="AM264" s="4" t="n"/>
      <c r="AN264" s="4" t="n"/>
      <c r="AO264" s="4" t="n"/>
      <c r="AP264" s="4" t="n"/>
      <c r="AQ264" s="4" t="n"/>
      <c r="AR264" s="4" t="n"/>
      <c r="AS264" s="4" t="n"/>
      <c r="AT264" s="4" t="n"/>
      <c r="AU264" s="4" t="n"/>
      <c r="AV264" s="4" t="n"/>
      <c r="AW264" s="4" t="n"/>
      <c r="AX264" s="4" t="n"/>
      <c r="AY264" s="4" t="n"/>
      <c r="AZ264" s="4" t="n"/>
      <c r="BA264" s="4" t="n"/>
      <c r="BB264" s="4" t="n"/>
      <c r="BC264" s="4" t="n"/>
      <c r="BD264" s="4" t="n"/>
      <c r="BE264" s="4" t="n"/>
      <c r="BF264" s="4" t="n"/>
      <c r="BG264" s="4" t="n"/>
      <c r="BH264" s="4" t="n"/>
      <c r="BI264" s="4" t="n"/>
      <c r="BJ264" s="4" t="n"/>
      <c r="BK264" s="4" t="n"/>
      <c r="BL264" s="4" t="n"/>
      <c r="BM264" s="4" t="n"/>
      <c r="BN264" s="4" t="n"/>
      <c r="BO264" s="4" t="n"/>
      <c r="BP264" s="4" t="n"/>
      <c r="BQ264" s="4" t="n"/>
      <c r="BR264" s="4" t="n"/>
      <c r="BS264" s="4" t="n"/>
      <c r="BT264" s="4" t="n"/>
      <c r="BU264" s="4" t="n"/>
      <c r="BV264" s="4" t="n"/>
      <c r="BW264" s="4" t="n"/>
      <c r="BX264" s="4" t="n"/>
      <c r="BY264" s="4" t="n"/>
      <c r="BZ264" s="4" t="n"/>
      <c r="CA264" s="4" t="n"/>
      <c r="CB264" s="4" t="n"/>
      <c r="CC264" s="4" t="n"/>
      <c r="CD264" s="4" t="n"/>
      <c r="CE264" s="4" t="n"/>
      <c r="CF264" s="4" t="n"/>
      <c r="CG264" s="4" t="n"/>
      <c r="CH264" s="4" t="n"/>
      <c r="CI264" s="4" t="n"/>
      <c r="CJ264" s="4" t="n"/>
      <c r="CK264" s="4" t="n"/>
      <c r="CL264" s="4" t="n"/>
      <c r="CM264" s="4" t="n"/>
      <c r="CN264" s="4" t="n"/>
      <c r="CO264" s="4" t="n"/>
      <c r="CP264" s="4" t="n"/>
      <c r="CQ264" s="4" t="n"/>
      <c r="CR264" s="4" t="n"/>
      <c r="CS264" s="4" t="n"/>
      <c r="CT264" s="4" t="n"/>
      <c r="CU264" s="4" t="n"/>
      <c r="CV264" s="4" t="n"/>
      <c r="CW264" s="4" t="n"/>
      <c r="CX264" s="4" t="n"/>
      <c r="CY264" s="4" t="n"/>
      <c r="CZ264" s="4" t="n"/>
      <c r="DA264" s="4" t="n"/>
      <c r="DB264" s="4" t="n"/>
      <c r="DC264" s="4" t="n"/>
      <c r="DD264" s="4" t="n"/>
      <c r="DE264" s="4" t="n"/>
      <c r="DF264" s="4" t="n"/>
      <c r="DG264" s="4" t="n"/>
      <c r="DH264" s="4" t="n"/>
      <c r="DI264" s="4" t="n"/>
      <c r="DJ264" s="4" t="n"/>
      <c r="DK264" s="4" t="n"/>
      <c r="DL264" s="4" t="n"/>
      <c r="DM264" s="4" t="n"/>
      <c r="DN264" s="4" t="n"/>
      <c r="DO264" s="4" t="n"/>
      <c r="DP264" s="4" t="n"/>
      <c r="DQ264" s="4" t="n"/>
      <c r="DR264" s="4" t="n"/>
      <c r="DS264" s="4" t="n"/>
      <c r="DT264" s="4" t="n"/>
      <c r="DU264" s="4" t="n"/>
      <c r="DV264" s="4" t="n"/>
      <c r="DW264" s="4" t="n"/>
      <c r="DX264" s="4" t="n"/>
      <c r="DY264" s="4" t="n"/>
      <c r="DZ264" s="4" t="n"/>
      <c r="EA264" s="4" t="n"/>
      <c r="EB264" s="4" t="n"/>
      <c r="EC264" s="4" t="n"/>
      <c r="ED264" s="4" t="n"/>
      <c r="EE264" s="4" t="n"/>
      <c r="EF264" s="4" t="n"/>
      <c r="EG264" s="4" t="n"/>
      <c r="EH264" s="4" t="n"/>
      <c r="EI264" s="4" t="n"/>
      <c r="EJ264" s="4" t="n"/>
      <c r="EK264" s="4" t="n"/>
    </row>
    <row r="265" hidden="1" customFormat="1" s="6">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c r="AD265" s="4" t="n"/>
      <c r="AE265" s="4" t="n"/>
      <c r="AF265" s="4" t="n"/>
      <c r="AG265" s="4" t="n"/>
      <c r="AH265" s="4" t="n"/>
      <c r="AI265" s="4" t="n"/>
      <c r="AJ265" s="4" t="n"/>
      <c r="AK265" s="4" t="n"/>
      <c r="AL265" s="4" t="n"/>
      <c r="AM265" s="4" t="n"/>
      <c r="AN265" s="4" t="n"/>
      <c r="AO265" s="4" t="n"/>
      <c r="AP265" s="4" t="n"/>
      <c r="AQ265" s="4" t="n"/>
      <c r="AR265" s="4" t="n"/>
      <c r="AS265" s="4" t="n"/>
      <c r="AT265" s="4" t="n"/>
      <c r="AU265" s="4" t="n"/>
      <c r="AV265" s="4" t="n"/>
      <c r="AW265" s="4" t="n"/>
      <c r="AX265" s="4" t="n"/>
      <c r="AY265" s="4" t="n"/>
      <c r="AZ265" s="4" t="n"/>
      <c r="BA265" s="4" t="n"/>
      <c r="BB265" s="4" t="n"/>
      <c r="BC265" s="4" t="n"/>
      <c r="BD265" s="4" t="n"/>
      <c r="BE265" s="4" t="n"/>
      <c r="BF265" s="4" t="n"/>
      <c r="BG265" s="4" t="n"/>
      <c r="BH265" s="4" t="n"/>
      <c r="BI265" s="4" t="n"/>
      <c r="BJ265" s="4" t="n"/>
      <c r="BK265" s="4" t="n"/>
      <c r="BL265" s="4" t="n"/>
      <c r="BM265" s="4" t="n"/>
      <c r="BN265" s="4" t="n"/>
      <c r="BO265" s="4" t="n"/>
      <c r="BP265" s="4" t="n"/>
      <c r="BQ265" s="4" t="n"/>
      <c r="BR265" s="4" t="n"/>
      <c r="BS265" s="4" t="n"/>
      <c r="BT265" s="4" t="n"/>
      <c r="BU265" s="4" t="n"/>
      <c r="BV265" s="4" t="n"/>
      <c r="BW265" s="4" t="n"/>
      <c r="BX265" s="4" t="n"/>
      <c r="BY265" s="4" t="n"/>
      <c r="BZ265" s="4" t="n"/>
      <c r="CA265" s="4" t="n"/>
      <c r="CB265" s="4" t="n"/>
      <c r="CC265" s="4" t="n"/>
      <c r="CD265" s="4" t="n"/>
      <c r="CE265" s="4" t="n"/>
      <c r="CF265" s="4" t="n"/>
      <c r="CG265" s="4" t="n"/>
      <c r="CH265" s="4" t="n"/>
      <c r="CI265" s="4" t="n"/>
      <c r="CJ265" s="4" t="n"/>
      <c r="CK265" s="4" t="n"/>
      <c r="CL265" s="4" t="n"/>
      <c r="CM265" s="4" t="n"/>
      <c r="CN265" s="4" t="n"/>
      <c r="CO265" s="4" t="n"/>
      <c r="CP265" s="4" t="n"/>
      <c r="CQ265" s="4" t="n"/>
      <c r="CR265" s="4" t="n"/>
      <c r="CS265" s="4" t="n"/>
      <c r="CT265" s="4" t="n"/>
      <c r="CU265" s="4" t="n"/>
      <c r="CV265" s="4" t="n"/>
      <c r="CW265" s="4" t="n"/>
      <c r="CX265" s="4" t="n"/>
      <c r="CY265" s="4" t="n"/>
      <c r="CZ265" s="4" t="n"/>
      <c r="DA265" s="4" t="n"/>
      <c r="DB265" s="4" t="n"/>
      <c r="DC265" s="4" t="n"/>
      <c r="DD265" s="4" t="n"/>
      <c r="DE265" s="4" t="n"/>
      <c r="DF265" s="4" t="n"/>
      <c r="DG265" s="4" t="n"/>
      <c r="DH265" s="4" t="n"/>
      <c r="DI265" s="4" t="n"/>
      <c r="DJ265" s="4" t="n"/>
      <c r="DK265" s="4" t="n"/>
      <c r="DL265" s="4" t="n"/>
      <c r="DM265" s="4" t="n"/>
      <c r="DN265" s="4" t="n"/>
      <c r="DO265" s="4" t="n"/>
      <c r="DP265" s="4" t="n"/>
      <c r="DQ265" s="4" t="n"/>
      <c r="DR265" s="4" t="n"/>
      <c r="DS265" s="4" t="n"/>
      <c r="DT265" s="4" t="n"/>
      <c r="DU265" s="4" t="n"/>
      <c r="DV265" s="4" t="n"/>
      <c r="DW265" s="4" t="n"/>
      <c r="DX265" s="4" t="n"/>
      <c r="DY265" s="4" t="n"/>
      <c r="DZ265" s="4" t="n"/>
      <c r="EA265" s="4" t="n"/>
      <c r="EB265" s="4" t="n"/>
      <c r="EC265" s="4" t="n"/>
      <c r="ED265" s="4" t="n"/>
      <c r="EE265" s="4" t="n"/>
      <c r="EF265" s="4" t="n"/>
      <c r="EG265" s="4" t="n"/>
      <c r="EH265" s="4" t="n"/>
      <c r="EI265" s="4" t="n"/>
      <c r="EJ265" s="4" t="n"/>
      <c r="EK265" s="4" t="n"/>
    </row>
    <row r="266" hidden="1" customFormat="1" s="6">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c r="AD266" s="4" t="n"/>
      <c r="AE266" s="4" t="n"/>
      <c r="AF266" s="4" t="n"/>
      <c r="AG266" s="4" t="n"/>
      <c r="AH266" s="4" t="n"/>
      <c r="AI266" s="4" t="n"/>
      <c r="AJ266" s="4" t="n"/>
      <c r="AK266" s="4" t="n"/>
      <c r="AL266" s="4" t="n"/>
      <c r="AM266" s="4" t="n"/>
      <c r="AN266" s="4" t="n"/>
      <c r="AO266" s="4" t="n"/>
      <c r="AP266" s="4" t="n"/>
      <c r="AQ266" s="4" t="n"/>
      <c r="AR266" s="4" t="n"/>
      <c r="AS266" s="4" t="n"/>
      <c r="AT266" s="4" t="n"/>
      <c r="AU266" s="4" t="n"/>
      <c r="AV266" s="4" t="n"/>
      <c r="AW266" s="4" t="n"/>
      <c r="AX266" s="4" t="n"/>
      <c r="AY266" s="4" t="n"/>
      <c r="AZ266" s="4" t="n"/>
      <c r="BA266" s="4" t="n"/>
      <c r="BB266" s="4" t="n"/>
      <c r="BC266" s="4" t="n"/>
      <c r="BD266" s="4" t="n"/>
      <c r="BE266" s="4" t="n"/>
      <c r="BF266" s="4" t="n"/>
      <c r="BG266" s="4" t="n"/>
      <c r="BH266" s="4" t="n"/>
      <c r="BI266" s="4" t="n"/>
      <c r="BJ266" s="4" t="n"/>
      <c r="BK266" s="4" t="n"/>
      <c r="BL266" s="4" t="n"/>
      <c r="BM266" s="4" t="n"/>
      <c r="BN266" s="4" t="n"/>
      <c r="BO266" s="4" t="n"/>
      <c r="BP266" s="4" t="n"/>
      <c r="BQ266" s="4" t="n"/>
      <c r="BR266" s="4" t="n"/>
      <c r="BS266" s="4" t="n"/>
      <c r="BT266" s="4" t="n"/>
      <c r="BU266" s="4" t="n"/>
      <c r="BV266" s="4" t="n"/>
      <c r="BW266" s="4" t="n"/>
      <c r="BX266" s="4" t="n"/>
      <c r="BY266" s="4" t="n"/>
      <c r="BZ266" s="4" t="n"/>
      <c r="CA266" s="4" t="n"/>
      <c r="CB266" s="4" t="n"/>
      <c r="CC266" s="4" t="n"/>
      <c r="CD266" s="4" t="n"/>
      <c r="CE266" s="4" t="n"/>
      <c r="CF266" s="4" t="n"/>
      <c r="CG266" s="4" t="n"/>
      <c r="CH266" s="4" t="n"/>
      <c r="CI266" s="4" t="n"/>
      <c r="CJ266" s="4" t="n"/>
      <c r="CK266" s="4" t="n"/>
      <c r="CL266" s="4" t="n"/>
      <c r="CM266" s="4" t="n"/>
      <c r="CN266" s="4" t="n"/>
      <c r="CO266" s="4" t="n"/>
      <c r="CP266" s="4" t="n"/>
      <c r="CQ266" s="4" t="n"/>
      <c r="CR266" s="4" t="n"/>
      <c r="CS266" s="4" t="n"/>
      <c r="CT266" s="4" t="n"/>
      <c r="CU266" s="4" t="n"/>
      <c r="CV266" s="4" t="n"/>
      <c r="CW266" s="4" t="n"/>
      <c r="CX266" s="4" t="n"/>
      <c r="CY266" s="4" t="n"/>
      <c r="CZ266" s="4" t="n"/>
      <c r="DA266" s="4" t="n"/>
      <c r="DB266" s="4" t="n"/>
      <c r="DC266" s="4" t="n"/>
      <c r="DD266" s="4" t="n"/>
      <c r="DE266" s="4" t="n"/>
      <c r="DF266" s="4" t="n"/>
      <c r="DG266" s="4" t="n"/>
      <c r="DH266" s="4" t="n"/>
      <c r="DI266" s="4" t="n"/>
      <c r="DJ266" s="4" t="n"/>
      <c r="DK266" s="4" t="n"/>
      <c r="DL266" s="4" t="n"/>
      <c r="DM266" s="4" t="n"/>
      <c r="DN266" s="4" t="n"/>
      <c r="DO266" s="4" t="n"/>
      <c r="DP266" s="4" t="n"/>
      <c r="DQ266" s="4" t="n"/>
      <c r="DR266" s="4" t="n"/>
      <c r="DS266" s="4" t="n"/>
      <c r="DT266" s="4" t="n"/>
      <c r="DU266" s="4" t="n"/>
      <c r="DV266" s="4" t="n"/>
      <c r="DW266" s="4" t="n"/>
      <c r="DX266" s="4" t="n"/>
      <c r="DY266" s="4" t="n"/>
      <c r="DZ266" s="4" t="n"/>
      <c r="EA266" s="4" t="n"/>
      <c r="EB266" s="4" t="n"/>
      <c r="EC266" s="4" t="n"/>
      <c r="ED266" s="4" t="n"/>
      <c r="EE266" s="4" t="n"/>
      <c r="EF266" s="4" t="n"/>
      <c r="EG266" s="4" t="n"/>
      <c r="EH266" s="4" t="n"/>
      <c r="EI266" s="4" t="n"/>
      <c r="EJ266" s="4" t="n"/>
      <c r="EK266" s="4" t="n"/>
    </row>
    <row r="267" hidden="1" customFormat="1" s="6">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c r="AC267" s="4" t="n"/>
      <c r="AD267" s="4" t="n"/>
      <c r="AE267" s="4" t="n"/>
      <c r="AF267" s="4" t="n"/>
      <c r="AG267" s="4" t="n"/>
      <c r="AH267" s="4" t="n"/>
      <c r="AI267" s="4" t="n"/>
      <c r="AJ267" s="4" t="n"/>
      <c r="AK267" s="4" t="n"/>
      <c r="AL267" s="4" t="n"/>
      <c r="AM267" s="4" t="n"/>
      <c r="AN267" s="4" t="n"/>
      <c r="AO267" s="4" t="n"/>
      <c r="AP267" s="4" t="n"/>
      <c r="AQ267" s="4" t="n"/>
      <c r="AR267" s="4" t="n"/>
      <c r="AS267" s="4" t="n"/>
      <c r="AT267" s="4" t="n"/>
      <c r="AU267" s="4" t="n"/>
      <c r="AV267" s="4" t="n"/>
      <c r="AW267" s="4" t="n"/>
      <c r="AX267" s="4" t="n"/>
      <c r="AY267" s="4" t="n"/>
      <c r="AZ267" s="4" t="n"/>
      <c r="BA267" s="4" t="n"/>
      <c r="BB267" s="4" t="n"/>
      <c r="BC267" s="4" t="n"/>
      <c r="BD267" s="4" t="n"/>
      <c r="BE267" s="4" t="n"/>
      <c r="BF267" s="4" t="n"/>
      <c r="BG267" s="4" t="n"/>
      <c r="BH267" s="4" t="n"/>
      <c r="BI267" s="4" t="n"/>
      <c r="BJ267" s="4" t="n"/>
      <c r="BK267" s="4" t="n"/>
      <c r="BL267" s="4" t="n"/>
      <c r="BM267" s="4" t="n"/>
      <c r="BN267" s="4" t="n"/>
      <c r="BO267" s="4" t="n"/>
      <c r="BP267" s="4" t="n"/>
      <c r="BQ267" s="4" t="n"/>
      <c r="BR267" s="4" t="n"/>
      <c r="BS267" s="4" t="n"/>
      <c r="BT267" s="4" t="n"/>
      <c r="BU267" s="4" t="n"/>
      <c r="BV267" s="4" t="n"/>
      <c r="BW267" s="4" t="n"/>
      <c r="BX267" s="4" t="n"/>
      <c r="BY267" s="4" t="n"/>
      <c r="BZ267" s="4" t="n"/>
      <c r="CA267" s="4" t="n"/>
      <c r="CB267" s="4" t="n"/>
      <c r="CC267" s="4" t="n"/>
      <c r="CD267" s="4" t="n"/>
      <c r="CE267" s="4" t="n"/>
      <c r="CF267" s="4" t="n"/>
      <c r="CG267" s="4" t="n"/>
      <c r="CH267" s="4" t="n"/>
      <c r="CI267" s="4" t="n"/>
      <c r="CJ267" s="4" t="n"/>
      <c r="CK267" s="4" t="n"/>
      <c r="CL267" s="4" t="n"/>
      <c r="CM267" s="4" t="n"/>
      <c r="CN267" s="4" t="n"/>
      <c r="CO267" s="4" t="n"/>
      <c r="CP267" s="4" t="n"/>
      <c r="CQ267" s="4" t="n"/>
      <c r="CR267" s="4" t="n"/>
      <c r="CS267" s="4" t="n"/>
      <c r="CT267" s="4" t="n"/>
      <c r="CU267" s="4" t="n"/>
      <c r="CV267" s="4" t="n"/>
      <c r="CW267" s="4" t="n"/>
      <c r="CX267" s="4" t="n"/>
      <c r="CY267" s="4" t="n"/>
      <c r="CZ267" s="4" t="n"/>
      <c r="DA267" s="4" t="n"/>
      <c r="DB267" s="4" t="n"/>
      <c r="DC267" s="4" t="n"/>
      <c r="DD267" s="4" t="n"/>
      <c r="DE267" s="4" t="n"/>
      <c r="DF267" s="4" t="n"/>
      <c r="DG267" s="4" t="n"/>
      <c r="DH267" s="4" t="n"/>
      <c r="DI267" s="4" t="n"/>
      <c r="DJ267" s="4" t="n"/>
      <c r="DK267" s="4" t="n"/>
      <c r="DL267" s="4" t="n"/>
      <c r="DM267" s="4" t="n"/>
      <c r="DN267" s="4" t="n"/>
      <c r="DO267" s="4" t="n"/>
      <c r="DP267" s="4" t="n"/>
      <c r="DQ267" s="4" t="n"/>
      <c r="DR267" s="4" t="n"/>
      <c r="DS267" s="4" t="n"/>
      <c r="DT267" s="4" t="n"/>
      <c r="DU267" s="4" t="n"/>
      <c r="DV267" s="4" t="n"/>
      <c r="DW267" s="4" t="n"/>
      <c r="DX267" s="4" t="n"/>
      <c r="DY267" s="4" t="n"/>
      <c r="DZ267" s="4" t="n"/>
      <c r="EA267" s="4" t="n"/>
      <c r="EB267" s="4" t="n"/>
      <c r="EC267" s="4" t="n"/>
      <c r="ED267" s="4" t="n"/>
      <c r="EE267" s="4" t="n"/>
      <c r="EF267" s="4" t="n"/>
      <c r="EG267" s="4" t="n"/>
      <c r="EH267" s="4" t="n"/>
      <c r="EI267" s="4" t="n"/>
      <c r="EJ267" s="4" t="n"/>
      <c r="EK267" s="4" t="n"/>
    </row>
    <row r="268" hidden="1" customFormat="1" s="6">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c r="AE268" s="4" t="n"/>
      <c r="AF268" s="4" t="n"/>
      <c r="AG268" s="4" t="n"/>
      <c r="AH268" s="4" t="n"/>
      <c r="AI268" s="4" t="n"/>
      <c r="AJ268" s="4" t="n"/>
      <c r="AK268" s="4" t="n"/>
      <c r="AL268" s="4" t="n"/>
      <c r="AM268" s="4" t="n"/>
      <c r="AN268" s="4" t="n"/>
      <c r="AO268" s="4" t="n"/>
      <c r="AP268" s="4" t="n"/>
      <c r="AQ268" s="4" t="n"/>
      <c r="AR268" s="4" t="n"/>
      <c r="AS268" s="4" t="n"/>
      <c r="AT268" s="4" t="n"/>
      <c r="AU268" s="4" t="n"/>
      <c r="AV268" s="4" t="n"/>
      <c r="AW268" s="4" t="n"/>
      <c r="AX268" s="4" t="n"/>
      <c r="AY268" s="4" t="n"/>
      <c r="AZ268" s="4" t="n"/>
      <c r="BA268" s="4" t="n"/>
      <c r="BB268" s="4" t="n"/>
      <c r="BC268" s="4" t="n"/>
      <c r="BD268" s="4" t="n"/>
      <c r="BE268" s="4" t="n"/>
      <c r="BF268" s="4" t="n"/>
      <c r="BG268" s="4" t="n"/>
      <c r="BH268" s="4" t="n"/>
      <c r="BI268" s="4" t="n"/>
      <c r="BJ268" s="4" t="n"/>
      <c r="BK268" s="4" t="n"/>
      <c r="BL268" s="4" t="n"/>
      <c r="BM268" s="4" t="n"/>
      <c r="BN268" s="4" t="n"/>
      <c r="BO268" s="4" t="n"/>
      <c r="BP268" s="4" t="n"/>
      <c r="BQ268" s="4" t="n"/>
      <c r="BR268" s="4" t="n"/>
      <c r="BS268" s="4" t="n"/>
      <c r="BT268" s="4" t="n"/>
      <c r="BU268" s="4" t="n"/>
      <c r="BV268" s="4" t="n"/>
      <c r="BW268" s="4" t="n"/>
      <c r="BX268" s="4" t="n"/>
      <c r="BY268" s="4" t="n"/>
      <c r="BZ268" s="4" t="n"/>
      <c r="CA268" s="4" t="n"/>
      <c r="CB268" s="4" t="n"/>
      <c r="CC268" s="4" t="n"/>
      <c r="CD268" s="4" t="n"/>
      <c r="CE268" s="4" t="n"/>
      <c r="CF268" s="4" t="n"/>
      <c r="CG268" s="4" t="n"/>
      <c r="CH268" s="4" t="n"/>
      <c r="CI268" s="4" t="n"/>
      <c r="CJ268" s="4" t="n"/>
      <c r="CK268" s="4" t="n"/>
      <c r="CL268" s="4" t="n"/>
      <c r="CM268" s="4" t="n"/>
      <c r="CN268" s="4" t="n"/>
      <c r="CO268" s="4" t="n"/>
      <c r="CP268" s="4" t="n"/>
      <c r="CQ268" s="4" t="n"/>
      <c r="CR268" s="4" t="n"/>
      <c r="CS268" s="4" t="n"/>
      <c r="CT268" s="4" t="n"/>
      <c r="CU268" s="4" t="n"/>
      <c r="CV268" s="4" t="n"/>
      <c r="CW268" s="4" t="n"/>
      <c r="CX268" s="4" t="n"/>
      <c r="CY268" s="4" t="n"/>
      <c r="CZ268" s="4" t="n"/>
      <c r="DA268" s="4" t="n"/>
      <c r="DB268" s="4" t="n"/>
      <c r="DC268" s="4" t="n"/>
      <c r="DD268" s="4" t="n"/>
      <c r="DE268" s="4" t="n"/>
      <c r="DF268" s="4" t="n"/>
      <c r="DG268" s="4" t="n"/>
      <c r="DH268" s="4" t="n"/>
      <c r="DI268" s="4" t="n"/>
      <c r="DJ268" s="4" t="n"/>
      <c r="DK268" s="4" t="n"/>
      <c r="DL268" s="4" t="n"/>
      <c r="DM268" s="4" t="n"/>
      <c r="DN268" s="4" t="n"/>
      <c r="DO268" s="4" t="n"/>
      <c r="DP268" s="4" t="n"/>
      <c r="DQ268" s="4" t="n"/>
      <c r="DR268" s="4" t="n"/>
      <c r="DS268" s="4" t="n"/>
      <c r="DT268" s="4" t="n"/>
      <c r="DU268" s="4" t="n"/>
      <c r="DV268" s="4" t="n"/>
      <c r="DW268" s="4" t="n"/>
      <c r="DX268" s="4" t="n"/>
      <c r="DY268" s="4" t="n"/>
      <c r="DZ268" s="4" t="n"/>
      <c r="EA268" s="4" t="n"/>
      <c r="EB268" s="4" t="n"/>
      <c r="EC268" s="4" t="n"/>
      <c r="ED268" s="4" t="n"/>
      <c r="EE268" s="4" t="n"/>
      <c r="EF268" s="4" t="n"/>
      <c r="EG268" s="4" t="n"/>
      <c r="EH268" s="4" t="n"/>
      <c r="EI268" s="4" t="n"/>
      <c r="EJ268" s="4" t="n"/>
      <c r="EK268" s="4" t="n"/>
    </row>
    <row r="269" hidden="1" customFormat="1" s="6">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c r="AE269" s="4" t="n"/>
      <c r="AF269" s="4" t="n"/>
      <c r="AG269" s="4" t="n"/>
      <c r="AH269" s="4" t="n"/>
      <c r="AI269" s="4" t="n"/>
      <c r="AJ269" s="4" t="n"/>
      <c r="AK269" s="4" t="n"/>
      <c r="AL269" s="4" t="n"/>
      <c r="AM269" s="4" t="n"/>
      <c r="AN269" s="4" t="n"/>
      <c r="AO269" s="4" t="n"/>
      <c r="AP269" s="4" t="n"/>
      <c r="AQ269" s="4" t="n"/>
      <c r="AR269" s="4" t="n"/>
      <c r="AS269" s="4" t="n"/>
      <c r="AT269" s="4" t="n"/>
      <c r="AU269" s="4" t="n"/>
      <c r="AV269" s="4" t="n"/>
      <c r="AW269" s="4" t="n"/>
      <c r="AX269" s="4" t="n"/>
      <c r="AY269" s="4" t="n"/>
      <c r="AZ269" s="4" t="n"/>
      <c r="BA269" s="4" t="n"/>
      <c r="BB269" s="4" t="n"/>
      <c r="BC269" s="4" t="n"/>
      <c r="BD269" s="4" t="n"/>
      <c r="BE269" s="4" t="n"/>
      <c r="BF269" s="4" t="n"/>
      <c r="BG269" s="4" t="n"/>
      <c r="BH269" s="4" t="n"/>
      <c r="BI269" s="4" t="n"/>
      <c r="BJ269" s="4" t="n"/>
      <c r="BK269" s="4" t="n"/>
      <c r="BL269" s="4" t="n"/>
      <c r="BM269" s="4" t="n"/>
      <c r="BN269" s="4" t="n"/>
      <c r="BO269" s="4" t="n"/>
      <c r="BP269" s="4" t="n"/>
      <c r="BQ269" s="4" t="n"/>
      <c r="BR269" s="4" t="n"/>
      <c r="BS269" s="4" t="n"/>
      <c r="BT269" s="4" t="n"/>
      <c r="BU269" s="4" t="n"/>
      <c r="BV269" s="4" t="n"/>
      <c r="BW269" s="4" t="n"/>
      <c r="BX269" s="4" t="n"/>
      <c r="BY269" s="4" t="n"/>
      <c r="BZ269" s="4" t="n"/>
      <c r="CA269" s="4" t="n"/>
      <c r="CB269" s="4" t="n"/>
      <c r="CC269" s="4" t="n"/>
      <c r="CD269" s="4" t="n"/>
      <c r="CE269" s="4" t="n"/>
      <c r="CF269" s="4" t="n"/>
      <c r="CG269" s="4" t="n"/>
      <c r="CH269" s="4" t="n"/>
      <c r="CI269" s="4" t="n"/>
      <c r="CJ269" s="4" t="n"/>
      <c r="CK269" s="4" t="n"/>
      <c r="CL269" s="4" t="n"/>
      <c r="CM269" s="4" t="n"/>
      <c r="CN269" s="4" t="n"/>
      <c r="CO269" s="4" t="n"/>
      <c r="CP269" s="4" t="n"/>
      <c r="CQ269" s="4" t="n"/>
      <c r="CR269" s="4" t="n"/>
      <c r="CS269" s="4" t="n"/>
      <c r="CT269" s="4" t="n"/>
      <c r="CU269" s="4" t="n"/>
      <c r="CV269" s="4" t="n"/>
      <c r="CW269" s="4" t="n"/>
      <c r="CX269" s="4" t="n"/>
      <c r="CY269" s="4" t="n"/>
      <c r="CZ269" s="4" t="n"/>
      <c r="DA269" s="4" t="n"/>
      <c r="DB269" s="4" t="n"/>
      <c r="DC269" s="4" t="n"/>
      <c r="DD269" s="4" t="n"/>
      <c r="DE269" s="4" t="n"/>
      <c r="DF269" s="4" t="n"/>
      <c r="DG269" s="4" t="n"/>
      <c r="DH269" s="4" t="n"/>
      <c r="DI269" s="4" t="n"/>
      <c r="DJ269" s="4" t="n"/>
      <c r="DK269" s="4" t="n"/>
      <c r="DL269" s="4" t="n"/>
      <c r="DM269" s="4" t="n"/>
      <c r="DN269" s="4" t="n"/>
      <c r="DO269" s="4" t="n"/>
      <c r="DP269" s="4" t="n"/>
      <c r="DQ269" s="4" t="n"/>
      <c r="DR269" s="4" t="n"/>
      <c r="DS269" s="4" t="n"/>
      <c r="DT269" s="4" t="n"/>
      <c r="DU269" s="4" t="n"/>
      <c r="DV269" s="4" t="n"/>
      <c r="DW269" s="4" t="n"/>
      <c r="DX269" s="4" t="n"/>
      <c r="DY269" s="4" t="n"/>
      <c r="DZ269" s="4" t="n"/>
      <c r="EA269" s="4" t="n"/>
      <c r="EB269" s="4" t="n"/>
      <c r="EC269" s="4" t="n"/>
      <c r="ED269" s="4" t="n"/>
      <c r="EE269" s="4" t="n"/>
      <c r="EF269" s="4" t="n"/>
      <c r="EG269" s="4" t="n"/>
      <c r="EH269" s="4" t="n"/>
      <c r="EI269" s="4" t="n"/>
      <c r="EJ269" s="4" t="n"/>
      <c r="EK269" s="4" t="n"/>
    </row>
    <row r="270" hidden="1" customFormat="1" s="6">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c r="AE270" s="4" t="n"/>
      <c r="AF270" s="4" t="n"/>
      <c r="AG270" s="4" t="n"/>
      <c r="AH270" s="4" t="n"/>
      <c r="AI270" s="4" t="n"/>
      <c r="AJ270" s="4" t="n"/>
      <c r="AK270" s="4" t="n"/>
      <c r="AL270" s="4" t="n"/>
      <c r="AM270" s="4" t="n"/>
      <c r="AN270" s="4" t="n"/>
      <c r="AO270" s="4" t="n"/>
      <c r="AP270" s="4" t="n"/>
      <c r="AQ270" s="4" t="n"/>
      <c r="AR270" s="4" t="n"/>
      <c r="AS270" s="4" t="n"/>
      <c r="AT270" s="4" t="n"/>
      <c r="AU270" s="4" t="n"/>
      <c r="AV270" s="4" t="n"/>
      <c r="AW270" s="4" t="n"/>
      <c r="AX270" s="4" t="n"/>
      <c r="AY270" s="4" t="n"/>
      <c r="AZ270" s="4" t="n"/>
      <c r="BA270" s="4" t="n"/>
      <c r="BB270" s="4" t="n"/>
      <c r="BC270" s="4" t="n"/>
      <c r="BD270" s="4" t="n"/>
      <c r="BE270" s="4" t="n"/>
      <c r="BF270" s="4" t="n"/>
      <c r="BG270" s="4" t="n"/>
      <c r="BH270" s="4" t="n"/>
      <c r="BI270" s="4" t="n"/>
      <c r="BJ270" s="4" t="n"/>
      <c r="BK270" s="4" t="n"/>
      <c r="BL270" s="4" t="n"/>
      <c r="BM270" s="4" t="n"/>
      <c r="BN270" s="4" t="n"/>
      <c r="BO270" s="4" t="n"/>
      <c r="BP270" s="4" t="n"/>
      <c r="BQ270" s="4" t="n"/>
      <c r="BR270" s="4" t="n"/>
      <c r="BS270" s="4" t="n"/>
      <c r="BT270" s="4" t="n"/>
      <c r="BU270" s="4" t="n"/>
      <c r="BV270" s="4" t="n"/>
      <c r="BW270" s="4" t="n"/>
      <c r="BX270" s="4" t="n"/>
      <c r="BY270" s="4" t="n"/>
      <c r="BZ270" s="4" t="n"/>
      <c r="CA270" s="4" t="n"/>
      <c r="CB270" s="4" t="n"/>
      <c r="CC270" s="4" t="n"/>
      <c r="CD270" s="4" t="n"/>
      <c r="CE270" s="4" t="n"/>
      <c r="CF270" s="4" t="n"/>
      <c r="CG270" s="4" t="n"/>
      <c r="CH270" s="4" t="n"/>
      <c r="CI270" s="4" t="n"/>
      <c r="CJ270" s="4" t="n"/>
      <c r="CK270" s="4" t="n"/>
      <c r="CL270" s="4" t="n"/>
      <c r="CM270" s="4" t="n"/>
      <c r="CN270" s="4" t="n"/>
      <c r="CO270" s="4" t="n"/>
      <c r="CP270" s="4" t="n"/>
      <c r="CQ270" s="4" t="n"/>
      <c r="CR270" s="4" t="n"/>
      <c r="CS270" s="4" t="n"/>
      <c r="CT270" s="4" t="n"/>
      <c r="CU270" s="4" t="n"/>
      <c r="CV270" s="4" t="n"/>
      <c r="CW270" s="4" t="n"/>
      <c r="CX270" s="4" t="n"/>
      <c r="CY270" s="4" t="n"/>
      <c r="CZ270" s="4" t="n"/>
      <c r="DA270" s="4" t="n"/>
      <c r="DB270" s="4" t="n"/>
      <c r="DC270" s="4" t="n"/>
      <c r="DD270" s="4" t="n"/>
      <c r="DE270" s="4" t="n"/>
      <c r="DF270" s="4" t="n"/>
      <c r="DG270" s="4" t="n"/>
      <c r="DH270" s="4" t="n"/>
      <c r="DI270" s="4" t="n"/>
      <c r="DJ270" s="4" t="n"/>
      <c r="DK270" s="4" t="n"/>
      <c r="DL270" s="4" t="n"/>
      <c r="DM270" s="4" t="n"/>
      <c r="DN270" s="4" t="n"/>
      <c r="DO270" s="4" t="n"/>
      <c r="DP270" s="4" t="n"/>
      <c r="DQ270" s="4" t="n"/>
      <c r="DR270" s="4" t="n"/>
      <c r="DS270" s="4" t="n"/>
      <c r="DT270" s="4" t="n"/>
      <c r="DU270" s="4" t="n"/>
      <c r="DV270" s="4" t="n"/>
      <c r="DW270" s="4" t="n"/>
      <c r="DX270" s="4" t="n"/>
      <c r="DY270" s="4" t="n"/>
      <c r="DZ270" s="4" t="n"/>
      <c r="EA270" s="4" t="n"/>
      <c r="EB270" s="4" t="n"/>
      <c r="EC270" s="4" t="n"/>
      <c r="ED270" s="4" t="n"/>
      <c r="EE270" s="4" t="n"/>
      <c r="EF270" s="4" t="n"/>
      <c r="EG270" s="4" t="n"/>
      <c r="EH270" s="4" t="n"/>
      <c r="EI270" s="4" t="n"/>
      <c r="EJ270" s="4" t="n"/>
      <c r="EK270" s="4" t="n"/>
    </row>
    <row r="271" hidden="1" customFormat="1" s="6">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c r="AE271" s="4" t="n"/>
      <c r="AF271" s="4" t="n"/>
      <c r="AG271" s="4" t="n"/>
      <c r="AH271" s="4" t="n"/>
      <c r="AI271" s="4" t="n"/>
      <c r="AJ271" s="4" t="n"/>
      <c r="AK271" s="4" t="n"/>
      <c r="AL271" s="4" t="n"/>
      <c r="AM271" s="4" t="n"/>
      <c r="AN271" s="4" t="n"/>
      <c r="AO271" s="4" t="n"/>
      <c r="AP271" s="4" t="n"/>
      <c r="AQ271" s="4" t="n"/>
      <c r="AR271" s="4" t="n"/>
      <c r="AS271" s="4" t="n"/>
      <c r="AT271" s="4" t="n"/>
      <c r="AU271" s="4" t="n"/>
      <c r="AV271" s="4" t="n"/>
      <c r="AW271" s="4" t="n"/>
      <c r="AX271" s="4" t="n"/>
      <c r="AY271" s="4" t="n"/>
      <c r="AZ271" s="4" t="n"/>
      <c r="BA271" s="4" t="n"/>
      <c r="BB271" s="4" t="n"/>
      <c r="BC271" s="4" t="n"/>
      <c r="BD271" s="4" t="n"/>
      <c r="BE271" s="4" t="n"/>
      <c r="BF271" s="4" t="n"/>
      <c r="BG271" s="4" t="n"/>
      <c r="BH271" s="4" t="n"/>
      <c r="BI271" s="4" t="n"/>
      <c r="BJ271" s="4" t="n"/>
      <c r="BK271" s="4" t="n"/>
      <c r="BL271" s="4" t="n"/>
      <c r="BM271" s="4" t="n"/>
      <c r="BN271" s="4" t="n"/>
      <c r="BO271" s="4" t="n"/>
      <c r="BP271" s="4" t="n"/>
      <c r="BQ271" s="4" t="n"/>
      <c r="BR271" s="4" t="n"/>
      <c r="BS271" s="4" t="n"/>
      <c r="BT271" s="4" t="n"/>
      <c r="BU271" s="4" t="n"/>
      <c r="BV271" s="4" t="n"/>
      <c r="BW271" s="4" t="n"/>
      <c r="BX271" s="4" t="n"/>
      <c r="BY271" s="4" t="n"/>
      <c r="BZ271" s="4" t="n"/>
      <c r="CA271" s="4" t="n"/>
      <c r="CB271" s="4" t="n"/>
      <c r="CC271" s="4" t="n"/>
      <c r="CD271" s="4" t="n"/>
      <c r="CE271" s="4" t="n"/>
      <c r="CF271" s="4" t="n"/>
      <c r="CG271" s="4" t="n"/>
      <c r="CH271" s="4" t="n"/>
      <c r="CI271" s="4" t="n"/>
      <c r="CJ271" s="4" t="n"/>
      <c r="CK271" s="4" t="n"/>
      <c r="CL271" s="4" t="n"/>
      <c r="CM271" s="4" t="n"/>
      <c r="CN271" s="4" t="n"/>
      <c r="CO271" s="4" t="n"/>
      <c r="CP271" s="4" t="n"/>
      <c r="CQ271" s="4" t="n"/>
      <c r="CR271" s="4" t="n"/>
      <c r="CS271" s="4" t="n"/>
      <c r="CT271" s="4" t="n"/>
      <c r="CU271" s="4" t="n"/>
      <c r="CV271" s="4" t="n"/>
      <c r="CW271" s="4" t="n"/>
      <c r="CX271" s="4" t="n"/>
      <c r="CY271" s="4" t="n"/>
      <c r="CZ271" s="4" t="n"/>
      <c r="DA271" s="4" t="n"/>
      <c r="DB271" s="4" t="n"/>
      <c r="DC271" s="4" t="n"/>
      <c r="DD271" s="4" t="n"/>
      <c r="DE271" s="4" t="n"/>
      <c r="DF271" s="4" t="n"/>
      <c r="DG271" s="4" t="n"/>
      <c r="DH271" s="4" t="n"/>
      <c r="DI271" s="4" t="n"/>
      <c r="DJ271" s="4" t="n"/>
      <c r="DK271" s="4" t="n"/>
      <c r="DL271" s="4" t="n"/>
      <c r="DM271" s="4" t="n"/>
      <c r="DN271" s="4" t="n"/>
      <c r="DO271" s="4" t="n"/>
      <c r="DP271" s="4" t="n"/>
      <c r="DQ271" s="4" t="n"/>
      <c r="DR271" s="4" t="n"/>
      <c r="DS271" s="4" t="n"/>
      <c r="DT271" s="4" t="n"/>
      <c r="DU271" s="4" t="n"/>
      <c r="DV271" s="4" t="n"/>
      <c r="DW271" s="4" t="n"/>
      <c r="DX271" s="4" t="n"/>
      <c r="DY271" s="4" t="n"/>
      <c r="DZ271" s="4" t="n"/>
      <c r="EA271" s="4" t="n"/>
      <c r="EB271" s="4" t="n"/>
      <c r="EC271" s="4" t="n"/>
      <c r="ED271" s="4" t="n"/>
      <c r="EE271" s="4" t="n"/>
      <c r="EF271" s="4" t="n"/>
      <c r="EG271" s="4" t="n"/>
      <c r="EH271" s="4" t="n"/>
      <c r="EI271" s="4" t="n"/>
      <c r="EJ271" s="4" t="n"/>
      <c r="EK271" s="4" t="n"/>
    </row>
    <row r="272" hidden="1" customFormat="1" s="6">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c r="AD272" s="4" t="n"/>
      <c r="AE272" s="4" t="n"/>
      <c r="AF272" s="4" t="n"/>
      <c r="AG272" s="4" t="n"/>
      <c r="AH272" s="4" t="n"/>
      <c r="AI272" s="4" t="n"/>
      <c r="AJ272" s="4" t="n"/>
      <c r="AK272" s="4" t="n"/>
      <c r="AL272" s="4" t="n"/>
      <c r="AM272" s="4" t="n"/>
      <c r="AN272" s="4" t="n"/>
      <c r="AO272" s="4" t="n"/>
      <c r="AP272" s="4" t="n"/>
      <c r="AQ272" s="4" t="n"/>
      <c r="AR272" s="4" t="n"/>
      <c r="AS272" s="4" t="n"/>
      <c r="AT272" s="4" t="n"/>
      <c r="AU272" s="4" t="n"/>
      <c r="AV272" s="4" t="n"/>
      <c r="AW272" s="4" t="n"/>
      <c r="AX272" s="4" t="n"/>
      <c r="AY272" s="4" t="n"/>
      <c r="AZ272" s="4" t="n"/>
      <c r="BA272" s="4" t="n"/>
      <c r="BB272" s="4" t="n"/>
      <c r="BC272" s="4" t="n"/>
      <c r="BD272" s="4" t="n"/>
      <c r="BE272" s="4" t="n"/>
      <c r="BF272" s="4" t="n"/>
      <c r="BG272" s="4" t="n"/>
      <c r="BH272" s="4" t="n"/>
      <c r="BI272" s="4" t="n"/>
      <c r="BJ272" s="4" t="n"/>
      <c r="BK272" s="4" t="n"/>
      <c r="BL272" s="4" t="n"/>
      <c r="BM272" s="4" t="n"/>
      <c r="BN272" s="4" t="n"/>
      <c r="BO272" s="4" t="n"/>
      <c r="BP272" s="4" t="n"/>
      <c r="BQ272" s="4" t="n"/>
      <c r="BR272" s="4" t="n"/>
      <c r="BS272" s="4" t="n"/>
      <c r="BT272" s="4" t="n"/>
      <c r="BU272" s="4" t="n"/>
      <c r="BV272" s="4" t="n"/>
      <c r="BW272" s="4" t="n"/>
      <c r="BX272" s="4" t="n"/>
      <c r="BY272" s="4" t="n"/>
      <c r="BZ272" s="4" t="n"/>
      <c r="CA272" s="4" t="n"/>
      <c r="CB272" s="4" t="n"/>
      <c r="CC272" s="4" t="n"/>
      <c r="CD272" s="4" t="n"/>
      <c r="CE272" s="4" t="n"/>
      <c r="CF272" s="4" t="n"/>
      <c r="CG272" s="4" t="n"/>
      <c r="CH272" s="4" t="n"/>
      <c r="CI272" s="4" t="n"/>
      <c r="CJ272" s="4" t="n"/>
      <c r="CK272" s="4" t="n"/>
      <c r="CL272" s="4" t="n"/>
      <c r="CM272" s="4" t="n"/>
      <c r="CN272" s="4" t="n"/>
      <c r="CO272" s="4" t="n"/>
      <c r="CP272" s="4" t="n"/>
      <c r="CQ272" s="4" t="n"/>
      <c r="CR272" s="4" t="n"/>
      <c r="CS272" s="4" t="n"/>
      <c r="CT272" s="4" t="n"/>
      <c r="CU272" s="4" t="n"/>
      <c r="CV272" s="4" t="n"/>
      <c r="CW272" s="4" t="n"/>
      <c r="CX272" s="4" t="n"/>
      <c r="CY272" s="4" t="n"/>
      <c r="CZ272" s="4" t="n"/>
      <c r="DA272" s="4" t="n"/>
      <c r="DB272" s="4" t="n"/>
      <c r="DC272" s="4" t="n"/>
      <c r="DD272" s="4" t="n"/>
      <c r="DE272" s="4" t="n"/>
      <c r="DF272" s="4" t="n"/>
      <c r="DG272" s="4" t="n"/>
      <c r="DH272" s="4" t="n"/>
      <c r="DI272" s="4" t="n"/>
      <c r="DJ272" s="4" t="n"/>
      <c r="DK272" s="4" t="n"/>
      <c r="DL272" s="4" t="n"/>
      <c r="DM272" s="4" t="n"/>
      <c r="DN272" s="4" t="n"/>
      <c r="DO272" s="4" t="n"/>
      <c r="DP272" s="4" t="n"/>
      <c r="DQ272" s="4" t="n"/>
      <c r="DR272" s="4" t="n"/>
      <c r="DS272" s="4" t="n"/>
      <c r="DT272" s="4" t="n"/>
      <c r="DU272" s="4" t="n"/>
      <c r="DV272" s="4" t="n"/>
      <c r="DW272" s="4" t="n"/>
      <c r="DX272" s="4" t="n"/>
      <c r="DY272" s="4" t="n"/>
      <c r="DZ272" s="4" t="n"/>
      <c r="EA272" s="4" t="n"/>
      <c r="EB272" s="4" t="n"/>
      <c r="EC272" s="4" t="n"/>
      <c r="ED272" s="4" t="n"/>
      <c r="EE272" s="4" t="n"/>
      <c r="EF272" s="4" t="n"/>
      <c r="EG272" s="4" t="n"/>
      <c r="EH272" s="4" t="n"/>
      <c r="EI272" s="4" t="n"/>
      <c r="EJ272" s="4" t="n"/>
      <c r="EK272" s="4" t="n"/>
    </row>
    <row r="273" hidden="1" customFormat="1" s="6">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c r="AE273" s="4" t="n"/>
      <c r="AF273" s="4" t="n"/>
      <c r="AG273" s="4" t="n"/>
      <c r="AH273" s="4" t="n"/>
      <c r="AI273" s="4" t="n"/>
      <c r="AJ273" s="4" t="n"/>
      <c r="AK273" s="4" t="n"/>
      <c r="AL273" s="4" t="n"/>
      <c r="AM273" s="4" t="n"/>
      <c r="AN273" s="4" t="n"/>
      <c r="AO273" s="4" t="n"/>
      <c r="AP273" s="4" t="n"/>
      <c r="AQ273" s="4" t="n"/>
      <c r="AR273" s="4" t="n"/>
      <c r="AS273" s="4" t="n"/>
      <c r="AT273" s="4" t="n"/>
      <c r="AU273" s="4" t="n"/>
      <c r="AV273" s="4" t="n"/>
      <c r="AW273" s="4" t="n"/>
      <c r="AX273" s="4" t="n"/>
      <c r="AY273" s="4" t="n"/>
      <c r="AZ273" s="4" t="n"/>
      <c r="BA273" s="4" t="n"/>
      <c r="BB273" s="4" t="n"/>
      <c r="BC273" s="4" t="n"/>
      <c r="BD273" s="4" t="n"/>
      <c r="BE273" s="4" t="n"/>
      <c r="BF273" s="4" t="n"/>
      <c r="BG273" s="4" t="n"/>
      <c r="BH273" s="4" t="n"/>
      <c r="BI273" s="4" t="n"/>
      <c r="BJ273" s="4" t="n"/>
      <c r="BK273" s="4" t="n"/>
      <c r="BL273" s="4" t="n"/>
      <c r="BM273" s="4" t="n"/>
      <c r="BN273" s="4" t="n"/>
      <c r="BO273" s="4" t="n"/>
      <c r="BP273" s="4" t="n"/>
      <c r="BQ273" s="4" t="n"/>
      <c r="BR273" s="4" t="n"/>
      <c r="BS273" s="4" t="n"/>
      <c r="BT273" s="4" t="n"/>
      <c r="BU273" s="4" t="n"/>
      <c r="BV273" s="4" t="n"/>
      <c r="BW273" s="4" t="n"/>
      <c r="BX273" s="4" t="n"/>
      <c r="BY273" s="4" t="n"/>
      <c r="BZ273" s="4" t="n"/>
      <c r="CA273" s="4" t="n"/>
      <c r="CB273" s="4" t="n"/>
      <c r="CC273" s="4" t="n"/>
      <c r="CD273" s="4" t="n"/>
      <c r="CE273" s="4" t="n"/>
      <c r="CF273" s="4" t="n"/>
      <c r="CG273" s="4" t="n"/>
      <c r="CH273" s="4" t="n"/>
      <c r="CI273" s="4" t="n"/>
      <c r="CJ273" s="4" t="n"/>
      <c r="CK273" s="4" t="n"/>
      <c r="CL273" s="4" t="n"/>
      <c r="CM273" s="4" t="n"/>
      <c r="CN273" s="4" t="n"/>
      <c r="CO273" s="4" t="n"/>
      <c r="CP273" s="4" t="n"/>
      <c r="CQ273" s="4" t="n"/>
      <c r="CR273" s="4" t="n"/>
      <c r="CS273" s="4" t="n"/>
      <c r="CT273" s="4" t="n"/>
      <c r="CU273" s="4" t="n"/>
      <c r="CV273" s="4" t="n"/>
      <c r="CW273" s="4" t="n"/>
      <c r="CX273" s="4" t="n"/>
      <c r="CY273" s="4" t="n"/>
      <c r="CZ273" s="4" t="n"/>
      <c r="DA273" s="4" t="n"/>
      <c r="DB273" s="4" t="n"/>
      <c r="DC273" s="4" t="n"/>
      <c r="DD273" s="4" t="n"/>
      <c r="DE273" s="4" t="n"/>
      <c r="DF273" s="4" t="n"/>
      <c r="DG273" s="4" t="n"/>
      <c r="DH273" s="4" t="n"/>
      <c r="DI273" s="4" t="n"/>
      <c r="DJ273" s="4" t="n"/>
      <c r="DK273" s="4" t="n"/>
      <c r="DL273" s="4" t="n"/>
      <c r="DM273" s="4" t="n"/>
      <c r="DN273" s="4" t="n"/>
      <c r="DO273" s="4" t="n"/>
      <c r="DP273" s="4" t="n"/>
      <c r="DQ273" s="4" t="n"/>
      <c r="DR273" s="4" t="n"/>
      <c r="DS273" s="4" t="n"/>
      <c r="DT273" s="4" t="n"/>
      <c r="DU273" s="4" t="n"/>
      <c r="DV273" s="4" t="n"/>
      <c r="DW273" s="4" t="n"/>
      <c r="DX273" s="4" t="n"/>
      <c r="DY273" s="4" t="n"/>
      <c r="DZ273" s="4" t="n"/>
      <c r="EA273" s="4" t="n"/>
      <c r="EB273" s="4" t="n"/>
      <c r="EC273" s="4" t="n"/>
      <c r="ED273" s="4" t="n"/>
      <c r="EE273" s="4" t="n"/>
      <c r="EF273" s="4" t="n"/>
      <c r="EG273" s="4" t="n"/>
      <c r="EH273" s="4" t="n"/>
      <c r="EI273" s="4" t="n"/>
      <c r="EJ273" s="4" t="n"/>
      <c r="EK273" s="4" t="n"/>
    </row>
    <row r="274" hidden="1" customFormat="1" s="6">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c r="AC274" s="4" t="n"/>
      <c r="AD274" s="4" t="n"/>
      <c r="AE274" s="4" t="n"/>
      <c r="AF274" s="4" t="n"/>
      <c r="AG274" s="4" t="n"/>
      <c r="AH274" s="4" t="n"/>
      <c r="AI274" s="4" t="n"/>
      <c r="AJ274" s="4" t="n"/>
      <c r="AK274" s="4" t="n"/>
      <c r="AL274" s="4" t="n"/>
      <c r="AM274" s="4" t="n"/>
      <c r="AN274" s="4" t="n"/>
      <c r="AO274" s="4" t="n"/>
      <c r="AP274" s="4" t="n"/>
      <c r="AQ274" s="4" t="n"/>
      <c r="AR274" s="4" t="n"/>
      <c r="AS274" s="4" t="n"/>
      <c r="AT274" s="4" t="n"/>
      <c r="AU274" s="4" t="n"/>
      <c r="AV274" s="4" t="n"/>
      <c r="AW274" s="4" t="n"/>
      <c r="AX274" s="4" t="n"/>
      <c r="AY274" s="4" t="n"/>
      <c r="AZ274" s="4" t="n"/>
      <c r="BA274" s="4" t="n"/>
      <c r="BB274" s="4" t="n"/>
      <c r="BC274" s="4" t="n"/>
      <c r="BD274" s="4" t="n"/>
      <c r="BE274" s="4" t="n"/>
      <c r="BF274" s="4" t="n"/>
      <c r="BG274" s="4" t="n"/>
      <c r="BH274" s="4" t="n"/>
      <c r="BI274" s="4" t="n"/>
      <c r="BJ274" s="4" t="n"/>
      <c r="BK274" s="4" t="n"/>
      <c r="BL274" s="4" t="n"/>
      <c r="BM274" s="4" t="n"/>
      <c r="BN274" s="4" t="n"/>
      <c r="BO274" s="4" t="n"/>
      <c r="BP274" s="4" t="n"/>
      <c r="BQ274" s="4" t="n"/>
      <c r="BR274" s="4" t="n"/>
      <c r="BS274" s="4" t="n"/>
      <c r="BT274" s="4" t="n"/>
      <c r="BU274" s="4" t="n"/>
      <c r="BV274" s="4" t="n"/>
      <c r="BW274" s="4" t="n"/>
      <c r="BX274" s="4" t="n"/>
      <c r="BY274" s="4" t="n"/>
      <c r="BZ274" s="4" t="n"/>
      <c r="CA274" s="4" t="n"/>
      <c r="CB274" s="4" t="n"/>
      <c r="CC274" s="4" t="n"/>
      <c r="CD274" s="4" t="n"/>
      <c r="CE274" s="4" t="n"/>
      <c r="CF274" s="4" t="n"/>
      <c r="CG274" s="4" t="n"/>
      <c r="CH274" s="4" t="n"/>
      <c r="CI274" s="4" t="n"/>
      <c r="CJ274" s="4" t="n"/>
      <c r="CK274" s="4" t="n"/>
      <c r="CL274" s="4" t="n"/>
      <c r="CM274" s="4" t="n"/>
      <c r="CN274" s="4" t="n"/>
      <c r="CO274" s="4" t="n"/>
      <c r="CP274" s="4" t="n"/>
      <c r="CQ274" s="4" t="n"/>
      <c r="CR274" s="4" t="n"/>
      <c r="CS274" s="4" t="n"/>
      <c r="CT274" s="4" t="n"/>
      <c r="CU274" s="4" t="n"/>
      <c r="CV274" s="4" t="n"/>
      <c r="CW274" s="4" t="n"/>
      <c r="CX274" s="4" t="n"/>
      <c r="CY274" s="4" t="n"/>
      <c r="CZ274" s="4" t="n"/>
      <c r="DA274" s="4" t="n"/>
      <c r="DB274" s="4" t="n"/>
      <c r="DC274" s="4" t="n"/>
      <c r="DD274" s="4" t="n"/>
      <c r="DE274" s="4" t="n"/>
      <c r="DF274" s="4" t="n"/>
      <c r="DG274" s="4" t="n"/>
      <c r="DH274" s="4" t="n"/>
      <c r="DI274" s="4" t="n"/>
      <c r="DJ274" s="4" t="n"/>
      <c r="DK274" s="4" t="n"/>
      <c r="DL274" s="4" t="n"/>
      <c r="DM274" s="4" t="n"/>
      <c r="DN274" s="4" t="n"/>
      <c r="DO274" s="4" t="n"/>
      <c r="DP274" s="4" t="n"/>
      <c r="DQ274" s="4" t="n"/>
      <c r="DR274" s="4" t="n"/>
      <c r="DS274" s="4" t="n"/>
      <c r="DT274" s="4" t="n"/>
      <c r="DU274" s="4" t="n"/>
      <c r="DV274" s="4" t="n"/>
      <c r="DW274" s="4" t="n"/>
      <c r="DX274" s="4" t="n"/>
      <c r="DY274" s="4" t="n"/>
      <c r="DZ274" s="4" t="n"/>
      <c r="EA274" s="4" t="n"/>
      <c r="EB274" s="4" t="n"/>
      <c r="EC274" s="4" t="n"/>
      <c r="ED274" s="4" t="n"/>
      <c r="EE274" s="4" t="n"/>
      <c r="EF274" s="4" t="n"/>
      <c r="EG274" s="4" t="n"/>
      <c r="EH274" s="4" t="n"/>
      <c r="EI274" s="4" t="n"/>
      <c r="EJ274" s="4" t="n"/>
      <c r="EK274" s="4" t="n"/>
    </row>
    <row r="275" hidden="1" customFormat="1" s="6">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c r="AE275" s="4" t="n"/>
      <c r="AF275" s="4" t="n"/>
      <c r="AG275" s="4" t="n"/>
      <c r="AH275" s="4" t="n"/>
      <c r="AI275" s="4" t="n"/>
      <c r="AJ275" s="4" t="n"/>
      <c r="AK275" s="4" t="n"/>
      <c r="AL275" s="4" t="n"/>
      <c r="AM275" s="4" t="n"/>
      <c r="AN275" s="4" t="n"/>
      <c r="AO275" s="4" t="n"/>
      <c r="AP275" s="4" t="n"/>
      <c r="AQ275" s="4" t="n"/>
      <c r="AR275" s="4" t="n"/>
      <c r="AS275" s="4" t="n"/>
      <c r="AT275" s="4" t="n"/>
      <c r="AU275" s="4" t="n"/>
      <c r="AV275" s="4" t="n"/>
      <c r="AW275" s="4" t="n"/>
      <c r="AX275" s="4" t="n"/>
      <c r="AY275" s="4" t="n"/>
      <c r="AZ275" s="4" t="n"/>
      <c r="BA275" s="4" t="n"/>
      <c r="BB275" s="4" t="n"/>
      <c r="BC275" s="4" t="n"/>
      <c r="BD275" s="4" t="n"/>
      <c r="BE275" s="4" t="n"/>
      <c r="BF275" s="4" t="n"/>
      <c r="BG275" s="4" t="n"/>
      <c r="BH275" s="4" t="n"/>
      <c r="BI275" s="4" t="n"/>
      <c r="BJ275" s="4" t="n"/>
      <c r="BK275" s="4" t="n"/>
      <c r="BL275" s="4" t="n"/>
      <c r="BM275" s="4" t="n"/>
      <c r="BN275" s="4" t="n"/>
      <c r="BO275" s="4" t="n"/>
      <c r="BP275" s="4" t="n"/>
      <c r="BQ275" s="4" t="n"/>
      <c r="BR275" s="4" t="n"/>
      <c r="BS275" s="4" t="n"/>
      <c r="BT275" s="4" t="n"/>
      <c r="BU275" s="4" t="n"/>
      <c r="BV275" s="4" t="n"/>
      <c r="BW275" s="4" t="n"/>
      <c r="BX275" s="4" t="n"/>
      <c r="BY275" s="4" t="n"/>
      <c r="BZ275" s="4" t="n"/>
      <c r="CA275" s="4" t="n"/>
      <c r="CB275" s="4" t="n"/>
      <c r="CC275" s="4" t="n"/>
      <c r="CD275" s="4" t="n"/>
      <c r="CE275" s="4" t="n"/>
      <c r="CF275" s="4" t="n"/>
      <c r="CG275" s="4" t="n"/>
      <c r="CH275" s="4" t="n"/>
      <c r="CI275" s="4" t="n"/>
      <c r="CJ275" s="4" t="n"/>
      <c r="CK275" s="4" t="n"/>
      <c r="CL275" s="4" t="n"/>
      <c r="CM275" s="4" t="n"/>
      <c r="CN275" s="4" t="n"/>
      <c r="CO275" s="4" t="n"/>
      <c r="CP275" s="4" t="n"/>
      <c r="CQ275" s="4" t="n"/>
      <c r="CR275" s="4" t="n"/>
      <c r="CS275" s="4" t="n"/>
      <c r="CT275" s="4" t="n"/>
      <c r="CU275" s="4" t="n"/>
      <c r="CV275" s="4" t="n"/>
      <c r="CW275" s="4" t="n"/>
      <c r="CX275" s="4" t="n"/>
      <c r="CY275" s="4" t="n"/>
      <c r="CZ275" s="4" t="n"/>
      <c r="DA275" s="4" t="n"/>
      <c r="DB275" s="4" t="n"/>
      <c r="DC275" s="4" t="n"/>
      <c r="DD275" s="4" t="n"/>
      <c r="DE275" s="4" t="n"/>
      <c r="DF275" s="4" t="n"/>
      <c r="DG275" s="4" t="n"/>
      <c r="DH275" s="4" t="n"/>
      <c r="DI275" s="4" t="n"/>
      <c r="DJ275" s="4" t="n"/>
      <c r="DK275" s="4" t="n"/>
      <c r="DL275" s="4" t="n"/>
      <c r="DM275" s="4" t="n"/>
      <c r="DN275" s="4" t="n"/>
      <c r="DO275" s="4" t="n"/>
      <c r="DP275" s="4" t="n"/>
      <c r="DQ275" s="4" t="n"/>
      <c r="DR275" s="4" t="n"/>
      <c r="DS275" s="4" t="n"/>
      <c r="DT275" s="4" t="n"/>
      <c r="DU275" s="4" t="n"/>
      <c r="DV275" s="4" t="n"/>
      <c r="DW275" s="4" t="n"/>
      <c r="DX275" s="4" t="n"/>
      <c r="DY275" s="4" t="n"/>
      <c r="DZ275" s="4" t="n"/>
      <c r="EA275" s="4" t="n"/>
      <c r="EB275" s="4" t="n"/>
      <c r="EC275" s="4" t="n"/>
      <c r="ED275" s="4" t="n"/>
      <c r="EE275" s="4" t="n"/>
      <c r="EF275" s="4" t="n"/>
      <c r="EG275" s="4" t="n"/>
      <c r="EH275" s="4" t="n"/>
      <c r="EI275" s="4" t="n"/>
      <c r="EJ275" s="4" t="n"/>
      <c r="EK275" s="4" t="n"/>
    </row>
    <row r="276" hidden="1" customFormat="1" s="6">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c r="AE276" s="4" t="n"/>
      <c r="AF276" s="4" t="n"/>
      <c r="AG276" s="4" t="n"/>
      <c r="AH276" s="4" t="n"/>
      <c r="AI276" s="4" t="n"/>
      <c r="AJ276" s="4" t="n"/>
      <c r="AK276" s="4" t="n"/>
      <c r="AL276" s="4" t="n"/>
      <c r="AM276" s="4" t="n"/>
      <c r="AN276" s="4" t="n"/>
      <c r="AO276" s="4" t="n"/>
      <c r="AP276" s="4" t="n"/>
      <c r="AQ276" s="4" t="n"/>
      <c r="AR276" s="4" t="n"/>
      <c r="AS276" s="4" t="n"/>
      <c r="AT276" s="4" t="n"/>
      <c r="AU276" s="4" t="n"/>
      <c r="AV276" s="4" t="n"/>
      <c r="AW276" s="4" t="n"/>
      <c r="AX276" s="4" t="n"/>
      <c r="AY276" s="4" t="n"/>
      <c r="AZ276" s="4" t="n"/>
      <c r="BA276" s="4" t="n"/>
      <c r="BB276" s="4" t="n"/>
      <c r="BC276" s="4" t="n"/>
      <c r="BD276" s="4" t="n"/>
      <c r="BE276" s="4" t="n"/>
      <c r="BF276" s="4" t="n"/>
      <c r="BG276" s="4" t="n"/>
      <c r="BH276" s="4" t="n"/>
      <c r="BI276" s="4" t="n"/>
      <c r="BJ276" s="4" t="n"/>
      <c r="BK276" s="4" t="n"/>
      <c r="BL276" s="4" t="n"/>
      <c r="BM276" s="4" t="n"/>
      <c r="BN276" s="4" t="n"/>
      <c r="BO276" s="4" t="n"/>
      <c r="BP276" s="4" t="n"/>
      <c r="BQ276" s="4" t="n"/>
      <c r="BR276" s="4" t="n"/>
      <c r="BS276" s="4" t="n"/>
      <c r="BT276" s="4" t="n"/>
      <c r="BU276" s="4" t="n"/>
      <c r="BV276" s="4" t="n"/>
      <c r="BW276" s="4" t="n"/>
      <c r="BX276" s="4" t="n"/>
      <c r="BY276" s="4" t="n"/>
      <c r="BZ276" s="4" t="n"/>
      <c r="CA276" s="4" t="n"/>
      <c r="CB276" s="4" t="n"/>
      <c r="CC276" s="4" t="n"/>
      <c r="CD276" s="4" t="n"/>
      <c r="CE276" s="4" t="n"/>
      <c r="CF276" s="4" t="n"/>
      <c r="CG276" s="4" t="n"/>
      <c r="CH276" s="4" t="n"/>
      <c r="CI276" s="4" t="n"/>
      <c r="CJ276" s="4" t="n"/>
      <c r="CK276" s="4" t="n"/>
      <c r="CL276" s="4" t="n"/>
      <c r="CM276" s="4" t="n"/>
      <c r="CN276" s="4" t="n"/>
      <c r="CO276" s="4" t="n"/>
      <c r="CP276" s="4" t="n"/>
      <c r="CQ276" s="4" t="n"/>
      <c r="CR276" s="4" t="n"/>
      <c r="CS276" s="4" t="n"/>
      <c r="CT276" s="4" t="n"/>
      <c r="CU276" s="4" t="n"/>
      <c r="CV276" s="4" t="n"/>
      <c r="CW276" s="4" t="n"/>
      <c r="CX276" s="4" t="n"/>
      <c r="CY276" s="4" t="n"/>
      <c r="CZ276" s="4" t="n"/>
      <c r="DA276" s="4" t="n"/>
      <c r="DB276" s="4" t="n"/>
      <c r="DC276" s="4" t="n"/>
      <c r="DD276" s="4" t="n"/>
      <c r="DE276" s="4" t="n"/>
      <c r="DF276" s="4" t="n"/>
      <c r="DG276" s="4" t="n"/>
      <c r="DH276" s="4" t="n"/>
      <c r="DI276" s="4" t="n"/>
      <c r="DJ276" s="4" t="n"/>
      <c r="DK276" s="4" t="n"/>
      <c r="DL276" s="4" t="n"/>
      <c r="DM276" s="4" t="n"/>
      <c r="DN276" s="4" t="n"/>
      <c r="DO276" s="4" t="n"/>
      <c r="DP276" s="4" t="n"/>
      <c r="DQ276" s="4" t="n"/>
      <c r="DR276" s="4" t="n"/>
      <c r="DS276" s="4" t="n"/>
      <c r="DT276" s="4" t="n"/>
      <c r="DU276" s="4" t="n"/>
      <c r="DV276" s="4" t="n"/>
      <c r="DW276" s="4" t="n"/>
      <c r="DX276" s="4" t="n"/>
      <c r="DY276" s="4" t="n"/>
      <c r="DZ276" s="4" t="n"/>
      <c r="EA276" s="4" t="n"/>
      <c r="EB276" s="4" t="n"/>
      <c r="EC276" s="4" t="n"/>
      <c r="ED276" s="4" t="n"/>
      <c r="EE276" s="4" t="n"/>
      <c r="EF276" s="4" t="n"/>
      <c r="EG276" s="4" t="n"/>
      <c r="EH276" s="4" t="n"/>
      <c r="EI276" s="4" t="n"/>
      <c r="EJ276" s="4" t="n"/>
      <c r="EK276" s="4" t="n"/>
    </row>
    <row r="277" hidden="1" customFormat="1" s="6">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c r="AE277" s="4" t="n"/>
      <c r="AF277" s="4" t="n"/>
      <c r="AG277" s="4" t="n"/>
      <c r="AH277" s="4" t="n"/>
      <c r="AI277" s="4" t="n"/>
      <c r="AJ277" s="4" t="n"/>
      <c r="AK277" s="4" t="n"/>
      <c r="AL277" s="4" t="n"/>
      <c r="AM277" s="4" t="n"/>
      <c r="AN277" s="4" t="n"/>
      <c r="AO277" s="4" t="n"/>
      <c r="AP277" s="4" t="n"/>
      <c r="AQ277" s="4" t="n"/>
      <c r="AR277" s="4" t="n"/>
      <c r="AS277" s="4" t="n"/>
      <c r="AT277" s="4" t="n"/>
      <c r="AU277" s="4" t="n"/>
      <c r="AV277" s="4" t="n"/>
      <c r="AW277" s="4" t="n"/>
      <c r="AX277" s="4" t="n"/>
      <c r="AY277" s="4" t="n"/>
      <c r="AZ277" s="4" t="n"/>
      <c r="BA277" s="4" t="n"/>
      <c r="BB277" s="4" t="n"/>
      <c r="BC277" s="4" t="n"/>
      <c r="BD277" s="4" t="n"/>
      <c r="BE277" s="4" t="n"/>
      <c r="BF277" s="4" t="n"/>
      <c r="BG277" s="4" t="n"/>
      <c r="BH277" s="4" t="n"/>
      <c r="BI277" s="4" t="n"/>
      <c r="BJ277" s="4" t="n"/>
      <c r="BK277" s="4" t="n"/>
      <c r="BL277" s="4" t="n"/>
      <c r="BM277" s="4" t="n"/>
      <c r="BN277" s="4" t="n"/>
      <c r="BO277" s="4" t="n"/>
      <c r="BP277" s="4" t="n"/>
      <c r="BQ277" s="4" t="n"/>
      <c r="BR277" s="4" t="n"/>
      <c r="BS277" s="4" t="n"/>
      <c r="BT277" s="4" t="n"/>
      <c r="BU277" s="4" t="n"/>
      <c r="BV277" s="4" t="n"/>
      <c r="BW277" s="4" t="n"/>
      <c r="BX277" s="4" t="n"/>
      <c r="BY277" s="4" t="n"/>
      <c r="BZ277" s="4" t="n"/>
      <c r="CA277" s="4" t="n"/>
      <c r="CB277" s="4" t="n"/>
      <c r="CC277" s="4" t="n"/>
      <c r="CD277" s="4" t="n"/>
      <c r="CE277" s="4" t="n"/>
      <c r="CF277" s="4" t="n"/>
      <c r="CG277" s="4" t="n"/>
      <c r="CH277" s="4" t="n"/>
      <c r="CI277" s="4" t="n"/>
      <c r="CJ277" s="4" t="n"/>
      <c r="CK277" s="4" t="n"/>
      <c r="CL277" s="4" t="n"/>
      <c r="CM277" s="4" t="n"/>
      <c r="CN277" s="4" t="n"/>
      <c r="CO277" s="4" t="n"/>
      <c r="CP277" s="4" t="n"/>
      <c r="CQ277" s="4" t="n"/>
      <c r="CR277" s="4" t="n"/>
      <c r="CS277" s="4" t="n"/>
      <c r="CT277" s="4" t="n"/>
      <c r="CU277" s="4" t="n"/>
      <c r="CV277" s="4" t="n"/>
      <c r="CW277" s="4" t="n"/>
      <c r="CX277" s="4" t="n"/>
      <c r="CY277" s="4" t="n"/>
      <c r="CZ277" s="4" t="n"/>
      <c r="DA277" s="4" t="n"/>
      <c r="DB277" s="4" t="n"/>
      <c r="DC277" s="4" t="n"/>
      <c r="DD277" s="4" t="n"/>
      <c r="DE277" s="4" t="n"/>
      <c r="DF277" s="4" t="n"/>
      <c r="DG277" s="4" t="n"/>
      <c r="DH277" s="4" t="n"/>
      <c r="DI277" s="4" t="n"/>
      <c r="DJ277" s="4" t="n"/>
      <c r="DK277" s="4" t="n"/>
      <c r="DL277" s="4" t="n"/>
      <c r="DM277" s="4" t="n"/>
      <c r="DN277" s="4" t="n"/>
      <c r="DO277" s="4" t="n"/>
      <c r="DP277" s="4" t="n"/>
      <c r="DQ277" s="4" t="n"/>
      <c r="DR277" s="4" t="n"/>
      <c r="DS277" s="4" t="n"/>
      <c r="DT277" s="4" t="n"/>
      <c r="DU277" s="4" t="n"/>
      <c r="DV277" s="4" t="n"/>
      <c r="DW277" s="4" t="n"/>
      <c r="DX277" s="4" t="n"/>
      <c r="DY277" s="4" t="n"/>
      <c r="DZ277" s="4" t="n"/>
      <c r="EA277" s="4" t="n"/>
      <c r="EB277" s="4" t="n"/>
      <c r="EC277" s="4" t="n"/>
      <c r="ED277" s="4" t="n"/>
      <c r="EE277" s="4" t="n"/>
      <c r="EF277" s="4" t="n"/>
      <c r="EG277" s="4" t="n"/>
      <c r="EH277" s="4" t="n"/>
      <c r="EI277" s="4" t="n"/>
      <c r="EJ277" s="4" t="n"/>
      <c r="EK277" s="4" t="n"/>
    </row>
    <row r="278" hidden="1" customFormat="1" s="6">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c r="AD278" s="4" t="n"/>
      <c r="AE278" s="4" t="n"/>
      <c r="AF278" s="4" t="n"/>
      <c r="AG278" s="4" t="n"/>
      <c r="AH278" s="4" t="n"/>
      <c r="AI278" s="4" t="n"/>
      <c r="AJ278" s="4" t="n"/>
      <c r="AK278" s="4" t="n"/>
      <c r="AL278" s="4" t="n"/>
      <c r="AM278" s="4" t="n"/>
      <c r="AN278" s="4" t="n"/>
      <c r="AO278" s="4" t="n"/>
      <c r="AP278" s="4" t="n"/>
      <c r="AQ278" s="4" t="n"/>
      <c r="AR278" s="4" t="n"/>
      <c r="AS278" s="4" t="n"/>
      <c r="AT278" s="4" t="n"/>
      <c r="AU278" s="4" t="n"/>
      <c r="AV278" s="4" t="n"/>
      <c r="AW278" s="4" t="n"/>
      <c r="AX278" s="4" t="n"/>
      <c r="AY278" s="4" t="n"/>
      <c r="AZ278" s="4" t="n"/>
      <c r="BA278" s="4" t="n"/>
      <c r="BB278" s="4" t="n"/>
      <c r="BC278" s="4" t="n"/>
      <c r="BD278" s="4" t="n"/>
      <c r="BE278" s="4" t="n"/>
      <c r="BF278" s="4" t="n"/>
      <c r="BG278" s="4" t="n"/>
      <c r="BH278" s="4" t="n"/>
      <c r="BI278" s="4" t="n"/>
      <c r="BJ278" s="4" t="n"/>
      <c r="BK278" s="4" t="n"/>
      <c r="BL278" s="4" t="n"/>
      <c r="BM278" s="4" t="n"/>
      <c r="BN278" s="4" t="n"/>
      <c r="BO278" s="4" t="n"/>
      <c r="BP278" s="4" t="n"/>
      <c r="BQ278" s="4" t="n"/>
      <c r="BR278" s="4" t="n"/>
      <c r="BS278" s="4" t="n"/>
      <c r="BT278" s="4" t="n"/>
      <c r="BU278" s="4" t="n"/>
      <c r="BV278" s="4" t="n"/>
      <c r="BW278" s="4" t="n"/>
      <c r="BX278" s="4" t="n"/>
      <c r="BY278" s="4" t="n"/>
      <c r="BZ278" s="4" t="n"/>
      <c r="CA278" s="4" t="n"/>
      <c r="CB278" s="4" t="n"/>
      <c r="CC278" s="4" t="n"/>
      <c r="CD278" s="4" t="n"/>
      <c r="CE278" s="4" t="n"/>
      <c r="CF278" s="4" t="n"/>
      <c r="CG278" s="4" t="n"/>
      <c r="CH278" s="4" t="n"/>
      <c r="CI278" s="4" t="n"/>
      <c r="CJ278" s="4" t="n"/>
      <c r="CK278" s="4" t="n"/>
      <c r="CL278" s="4" t="n"/>
      <c r="CM278" s="4" t="n"/>
      <c r="CN278" s="4" t="n"/>
      <c r="CO278" s="4" t="n"/>
      <c r="CP278" s="4" t="n"/>
      <c r="CQ278" s="4" t="n"/>
      <c r="CR278" s="4" t="n"/>
      <c r="CS278" s="4" t="n"/>
      <c r="CT278" s="4" t="n"/>
      <c r="CU278" s="4" t="n"/>
      <c r="CV278" s="4" t="n"/>
      <c r="CW278" s="4" t="n"/>
      <c r="CX278" s="4" t="n"/>
      <c r="CY278" s="4" t="n"/>
      <c r="CZ278" s="4" t="n"/>
      <c r="DA278" s="4" t="n"/>
      <c r="DB278" s="4" t="n"/>
      <c r="DC278" s="4" t="n"/>
      <c r="DD278" s="4" t="n"/>
      <c r="DE278" s="4" t="n"/>
      <c r="DF278" s="4" t="n"/>
      <c r="DG278" s="4" t="n"/>
      <c r="DH278" s="4" t="n"/>
      <c r="DI278" s="4" t="n"/>
      <c r="DJ278" s="4" t="n"/>
      <c r="DK278" s="4" t="n"/>
      <c r="DL278" s="4" t="n"/>
      <c r="DM278" s="4" t="n"/>
      <c r="DN278" s="4" t="n"/>
      <c r="DO278" s="4" t="n"/>
      <c r="DP278" s="4" t="n"/>
      <c r="DQ278" s="4" t="n"/>
      <c r="DR278" s="4" t="n"/>
      <c r="DS278" s="4" t="n"/>
      <c r="DT278" s="4" t="n"/>
      <c r="DU278" s="4" t="n"/>
      <c r="DV278" s="4" t="n"/>
      <c r="DW278" s="4" t="n"/>
      <c r="DX278" s="4" t="n"/>
      <c r="DY278" s="4" t="n"/>
      <c r="DZ278" s="4" t="n"/>
      <c r="EA278" s="4" t="n"/>
      <c r="EB278" s="4" t="n"/>
      <c r="EC278" s="4" t="n"/>
      <c r="ED278" s="4" t="n"/>
      <c r="EE278" s="4" t="n"/>
      <c r="EF278" s="4" t="n"/>
      <c r="EG278" s="4" t="n"/>
      <c r="EH278" s="4" t="n"/>
      <c r="EI278" s="4" t="n"/>
      <c r="EJ278" s="4" t="n"/>
      <c r="EK278" s="4" t="n"/>
    </row>
    <row r="279" hidden="1" customFormat="1" s="6">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c r="AC279" s="4" t="n"/>
      <c r="AD279" s="4" t="n"/>
      <c r="AE279" s="4" t="n"/>
      <c r="AF279" s="4" t="n"/>
      <c r="AG279" s="4" t="n"/>
      <c r="AH279" s="4" t="n"/>
      <c r="AI279" s="4" t="n"/>
      <c r="AJ279" s="4" t="n"/>
      <c r="AK279" s="4" t="n"/>
      <c r="AL279" s="4" t="n"/>
      <c r="AM279" s="4" t="n"/>
      <c r="AN279" s="4" t="n"/>
      <c r="AO279" s="4" t="n"/>
      <c r="AP279" s="4" t="n"/>
      <c r="AQ279" s="4" t="n"/>
      <c r="AR279" s="4" t="n"/>
      <c r="AS279" s="4" t="n"/>
      <c r="AT279" s="4" t="n"/>
      <c r="AU279" s="4" t="n"/>
      <c r="AV279" s="4" t="n"/>
      <c r="AW279" s="4" t="n"/>
      <c r="AX279" s="4" t="n"/>
      <c r="AY279" s="4" t="n"/>
      <c r="AZ279" s="4" t="n"/>
      <c r="BA279" s="4" t="n"/>
      <c r="BB279" s="4" t="n"/>
      <c r="BC279" s="4" t="n"/>
      <c r="BD279" s="4" t="n"/>
      <c r="BE279" s="4" t="n"/>
      <c r="BF279" s="4" t="n"/>
      <c r="BG279" s="4" t="n"/>
      <c r="BH279" s="4" t="n"/>
      <c r="BI279" s="4" t="n"/>
      <c r="BJ279" s="4" t="n"/>
      <c r="BK279" s="4" t="n"/>
      <c r="BL279" s="4" t="n"/>
      <c r="BM279" s="4" t="n"/>
      <c r="BN279" s="4" t="n"/>
      <c r="BO279" s="4" t="n"/>
      <c r="BP279" s="4" t="n"/>
      <c r="BQ279" s="4" t="n"/>
      <c r="BR279" s="4" t="n"/>
      <c r="BS279" s="4" t="n"/>
      <c r="BT279" s="4" t="n"/>
      <c r="BU279" s="4" t="n"/>
      <c r="BV279" s="4" t="n"/>
      <c r="BW279" s="4" t="n"/>
      <c r="BX279" s="4" t="n"/>
      <c r="BY279" s="4" t="n"/>
      <c r="BZ279" s="4" t="n"/>
      <c r="CA279" s="4" t="n"/>
      <c r="CB279" s="4" t="n"/>
      <c r="CC279" s="4" t="n"/>
      <c r="CD279" s="4" t="n"/>
      <c r="CE279" s="4" t="n"/>
      <c r="CF279" s="4" t="n"/>
      <c r="CG279" s="4" t="n"/>
      <c r="CH279" s="4" t="n"/>
      <c r="CI279" s="4" t="n"/>
      <c r="CJ279" s="4" t="n"/>
      <c r="CK279" s="4" t="n"/>
      <c r="CL279" s="4" t="n"/>
      <c r="CM279" s="4" t="n"/>
      <c r="CN279" s="4" t="n"/>
      <c r="CO279" s="4" t="n"/>
      <c r="CP279" s="4" t="n"/>
      <c r="CQ279" s="4" t="n"/>
      <c r="CR279" s="4" t="n"/>
      <c r="CS279" s="4" t="n"/>
      <c r="CT279" s="4" t="n"/>
      <c r="CU279" s="4" t="n"/>
      <c r="CV279" s="4" t="n"/>
      <c r="CW279" s="4" t="n"/>
      <c r="CX279" s="4" t="n"/>
      <c r="CY279" s="4" t="n"/>
      <c r="CZ279" s="4" t="n"/>
      <c r="DA279" s="4" t="n"/>
      <c r="DB279" s="4" t="n"/>
      <c r="DC279" s="4" t="n"/>
      <c r="DD279" s="4" t="n"/>
      <c r="DE279" s="4" t="n"/>
      <c r="DF279" s="4" t="n"/>
      <c r="DG279" s="4" t="n"/>
      <c r="DH279" s="4" t="n"/>
      <c r="DI279" s="4" t="n"/>
      <c r="DJ279" s="4" t="n"/>
      <c r="DK279" s="4" t="n"/>
      <c r="DL279" s="4" t="n"/>
      <c r="DM279" s="4" t="n"/>
      <c r="DN279" s="4" t="n"/>
      <c r="DO279" s="4" t="n"/>
      <c r="DP279" s="4" t="n"/>
      <c r="DQ279" s="4" t="n"/>
      <c r="DR279" s="4" t="n"/>
      <c r="DS279" s="4" t="n"/>
      <c r="DT279" s="4" t="n"/>
      <c r="DU279" s="4" t="n"/>
      <c r="DV279" s="4" t="n"/>
      <c r="DW279" s="4" t="n"/>
      <c r="DX279" s="4" t="n"/>
      <c r="DY279" s="4" t="n"/>
      <c r="DZ279" s="4" t="n"/>
      <c r="EA279" s="4" t="n"/>
      <c r="EB279" s="4" t="n"/>
      <c r="EC279" s="4" t="n"/>
      <c r="ED279" s="4" t="n"/>
      <c r="EE279" s="4" t="n"/>
      <c r="EF279" s="4" t="n"/>
      <c r="EG279" s="4" t="n"/>
      <c r="EH279" s="4" t="n"/>
      <c r="EI279" s="4" t="n"/>
      <c r="EJ279" s="4" t="n"/>
      <c r="EK279" s="4" t="n"/>
    </row>
    <row r="280" hidden="1" customFormat="1" s="6">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c r="AE280" s="4" t="n"/>
      <c r="AF280" s="4" t="n"/>
      <c r="AG280" s="4" t="n"/>
      <c r="AH280" s="4" t="n"/>
      <c r="AI280" s="4" t="n"/>
      <c r="AJ280" s="4" t="n"/>
      <c r="AK280" s="4" t="n"/>
      <c r="AL280" s="4" t="n"/>
      <c r="AM280" s="4" t="n"/>
      <c r="AN280" s="4" t="n"/>
      <c r="AO280" s="4" t="n"/>
      <c r="AP280" s="4" t="n"/>
      <c r="AQ280" s="4" t="n"/>
      <c r="AR280" s="4" t="n"/>
      <c r="AS280" s="4" t="n"/>
      <c r="AT280" s="4" t="n"/>
      <c r="AU280" s="4" t="n"/>
      <c r="AV280" s="4" t="n"/>
      <c r="AW280" s="4" t="n"/>
      <c r="AX280" s="4" t="n"/>
      <c r="AY280" s="4" t="n"/>
      <c r="AZ280" s="4" t="n"/>
      <c r="BA280" s="4" t="n"/>
      <c r="BB280" s="4" t="n"/>
      <c r="BC280" s="4" t="n"/>
      <c r="BD280" s="4" t="n"/>
      <c r="BE280" s="4" t="n"/>
      <c r="BF280" s="4" t="n"/>
      <c r="BG280" s="4" t="n"/>
      <c r="BH280" s="4" t="n"/>
      <c r="BI280" s="4" t="n"/>
      <c r="BJ280" s="4" t="n"/>
      <c r="BK280" s="4" t="n"/>
      <c r="BL280" s="4" t="n"/>
      <c r="BM280" s="4" t="n"/>
      <c r="BN280" s="4" t="n"/>
      <c r="BO280" s="4" t="n"/>
      <c r="BP280" s="4" t="n"/>
      <c r="BQ280" s="4" t="n"/>
      <c r="BR280" s="4" t="n"/>
      <c r="BS280" s="4" t="n"/>
      <c r="BT280" s="4" t="n"/>
      <c r="BU280" s="4" t="n"/>
      <c r="BV280" s="4" t="n"/>
      <c r="BW280" s="4" t="n"/>
      <c r="BX280" s="4" t="n"/>
      <c r="BY280" s="4" t="n"/>
      <c r="BZ280" s="4" t="n"/>
      <c r="CA280" s="4" t="n"/>
      <c r="CB280" s="4" t="n"/>
      <c r="CC280" s="4" t="n"/>
      <c r="CD280" s="4" t="n"/>
      <c r="CE280" s="4" t="n"/>
      <c r="CF280" s="4" t="n"/>
      <c r="CG280" s="4" t="n"/>
      <c r="CH280" s="4" t="n"/>
      <c r="CI280" s="4" t="n"/>
      <c r="CJ280" s="4" t="n"/>
      <c r="CK280" s="4" t="n"/>
      <c r="CL280" s="4" t="n"/>
      <c r="CM280" s="4" t="n"/>
      <c r="CN280" s="4" t="n"/>
      <c r="CO280" s="4" t="n"/>
      <c r="CP280" s="4" t="n"/>
      <c r="CQ280" s="4" t="n"/>
      <c r="CR280" s="4" t="n"/>
      <c r="CS280" s="4" t="n"/>
      <c r="CT280" s="4" t="n"/>
      <c r="CU280" s="4" t="n"/>
      <c r="CV280" s="4" t="n"/>
      <c r="CW280" s="4" t="n"/>
      <c r="CX280" s="4" t="n"/>
      <c r="CY280" s="4" t="n"/>
      <c r="CZ280" s="4" t="n"/>
      <c r="DA280" s="4" t="n"/>
      <c r="DB280" s="4" t="n"/>
      <c r="DC280" s="4" t="n"/>
      <c r="DD280" s="4" t="n"/>
      <c r="DE280" s="4" t="n"/>
      <c r="DF280" s="4" t="n"/>
      <c r="DG280" s="4" t="n"/>
      <c r="DH280" s="4" t="n"/>
      <c r="DI280" s="4" t="n"/>
      <c r="DJ280" s="4" t="n"/>
      <c r="DK280" s="4" t="n"/>
      <c r="DL280" s="4" t="n"/>
      <c r="DM280" s="4" t="n"/>
      <c r="DN280" s="4" t="n"/>
      <c r="DO280" s="4" t="n"/>
      <c r="DP280" s="4" t="n"/>
      <c r="DQ280" s="4" t="n"/>
      <c r="DR280" s="4" t="n"/>
      <c r="DS280" s="4" t="n"/>
      <c r="DT280" s="4" t="n"/>
      <c r="DU280" s="4" t="n"/>
      <c r="DV280" s="4" t="n"/>
      <c r="DW280" s="4" t="n"/>
      <c r="DX280" s="4" t="n"/>
      <c r="DY280" s="4" t="n"/>
      <c r="DZ280" s="4" t="n"/>
      <c r="EA280" s="4" t="n"/>
      <c r="EB280" s="4" t="n"/>
      <c r="EC280" s="4" t="n"/>
      <c r="ED280" s="4" t="n"/>
      <c r="EE280" s="4" t="n"/>
      <c r="EF280" s="4" t="n"/>
      <c r="EG280" s="4" t="n"/>
      <c r="EH280" s="4" t="n"/>
      <c r="EI280" s="4" t="n"/>
      <c r="EJ280" s="4" t="n"/>
      <c r="EK280" s="4" t="n"/>
    </row>
    <row r="281" hidden="1" customFormat="1" s="6">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c r="AE281" s="4" t="n"/>
      <c r="AF281" s="4" t="n"/>
      <c r="AG281" s="4" t="n"/>
      <c r="AH281" s="4" t="n"/>
      <c r="AI281" s="4" t="n"/>
      <c r="AJ281" s="4" t="n"/>
      <c r="AK281" s="4" t="n"/>
      <c r="AL281" s="4" t="n"/>
      <c r="AM281" s="4" t="n"/>
      <c r="AN281" s="4" t="n"/>
      <c r="AO281" s="4" t="n"/>
      <c r="AP281" s="4" t="n"/>
      <c r="AQ281" s="4" t="n"/>
      <c r="AR281" s="4" t="n"/>
      <c r="AS281" s="4" t="n"/>
      <c r="AT281" s="4" t="n"/>
      <c r="AU281" s="4" t="n"/>
      <c r="AV281" s="4" t="n"/>
      <c r="AW281" s="4" t="n"/>
      <c r="AX281" s="4" t="n"/>
      <c r="AY281" s="4" t="n"/>
      <c r="AZ281" s="4" t="n"/>
      <c r="BA281" s="4" t="n"/>
      <c r="BB281" s="4" t="n"/>
      <c r="BC281" s="4" t="n"/>
      <c r="BD281" s="4" t="n"/>
      <c r="BE281" s="4" t="n"/>
      <c r="BF281" s="4" t="n"/>
      <c r="BG281" s="4" t="n"/>
      <c r="BH281" s="4" t="n"/>
      <c r="BI281" s="4" t="n"/>
      <c r="BJ281" s="4" t="n"/>
      <c r="BK281" s="4" t="n"/>
      <c r="BL281" s="4" t="n"/>
      <c r="BM281" s="4" t="n"/>
      <c r="BN281" s="4" t="n"/>
      <c r="BO281" s="4" t="n"/>
      <c r="BP281" s="4" t="n"/>
      <c r="BQ281" s="4" t="n"/>
      <c r="BR281" s="4" t="n"/>
      <c r="BS281" s="4" t="n"/>
      <c r="BT281" s="4" t="n"/>
      <c r="BU281" s="4" t="n"/>
      <c r="BV281" s="4" t="n"/>
      <c r="BW281" s="4" t="n"/>
      <c r="BX281" s="4" t="n"/>
      <c r="BY281" s="4" t="n"/>
      <c r="BZ281" s="4" t="n"/>
      <c r="CA281" s="4" t="n"/>
      <c r="CB281" s="4" t="n"/>
      <c r="CC281" s="4" t="n"/>
      <c r="CD281" s="4" t="n"/>
      <c r="CE281" s="4" t="n"/>
      <c r="CF281" s="4" t="n"/>
      <c r="CG281" s="4" t="n"/>
      <c r="CH281" s="4" t="n"/>
      <c r="CI281" s="4" t="n"/>
      <c r="CJ281" s="4" t="n"/>
      <c r="CK281" s="4" t="n"/>
      <c r="CL281" s="4" t="n"/>
      <c r="CM281" s="4" t="n"/>
      <c r="CN281" s="4" t="n"/>
      <c r="CO281" s="4" t="n"/>
      <c r="CP281" s="4" t="n"/>
      <c r="CQ281" s="4" t="n"/>
      <c r="CR281" s="4" t="n"/>
      <c r="CS281" s="4" t="n"/>
      <c r="CT281" s="4" t="n"/>
      <c r="CU281" s="4" t="n"/>
      <c r="CV281" s="4" t="n"/>
      <c r="CW281" s="4" t="n"/>
      <c r="CX281" s="4" t="n"/>
      <c r="CY281" s="4" t="n"/>
      <c r="CZ281" s="4" t="n"/>
      <c r="DA281" s="4" t="n"/>
      <c r="DB281" s="4" t="n"/>
      <c r="DC281" s="4" t="n"/>
      <c r="DD281" s="4" t="n"/>
      <c r="DE281" s="4" t="n"/>
      <c r="DF281" s="4" t="n"/>
      <c r="DG281" s="4" t="n"/>
      <c r="DH281" s="4" t="n"/>
      <c r="DI281" s="4" t="n"/>
      <c r="DJ281" s="4" t="n"/>
      <c r="DK281" s="4" t="n"/>
      <c r="DL281" s="4" t="n"/>
      <c r="DM281" s="4" t="n"/>
      <c r="DN281" s="4" t="n"/>
      <c r="DO281" s="4" t="n"/>
      <c r="DP281" s="4" t="n"/>
      <c r="DQ281" s="4" t="n"/>
      <c r="DR281" s="4" t="n"/>
      <c r="DS281" s="4" t="n"/>
      <c r="DT281" s="4" t="n"/>
      <c r="DU281" s="4" t="n"/>
      <c r="DV281" s="4" t="n"/>
      <c r="DW281" s="4" t="n"/>
      <c r="DX281" s="4" t="n"/>
      <c r="DY281" s="4" t="n"/>
      <c r="DZ281" s="4" t="n"/>
      <c r="EA281" s="4" t="n"/>
      <c r="EB281" s="4" t="n"/>
      <c r="EC281" s="4" t="n"/>
      <c r="ED281" s="4" t="n"/>
      <c r="EE281" s="4" t="n"/>
      <c r="EF281" s="4" t="n"/>
      <c r="EG281" s="4" t="n"/>
      <c r="EH281" s="4" t="n"/>
      <c r="EI281" s="4" t="n"/>
      <c r="EJ281" s="4" t="n"/>
      <c r="EK281" s="4" t="n"/>
    </row>
    <row r="282" hidden="1" customFormat="1" s="6">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c r="AC282" s="4" t="n"/>
      <c r="AD282" s="4" t="n"/>
      <c r="AE282" s="4" t="n"/>
      <c r="AF282" s="4" t="n"/>
      <c r="AG282" s="4" t="n"/>
      <c r="AH282" s="4" t="n"/>
      <c r="AI282" s="4" t="n"/>
      <c r="AJ282" s="4" t="n"/>
      <c r="AK282" s="4" t="n"/>
      <c r="AL282" s="4" t="n"/>
      <c r="AM282" s="4" t="n"/>
      <c r="AN282" s="4" t="n"/>
      <c r="AO282" s="4" t="n"/>
      <c r="AP282" s="4" t="n"/>
      <c r="AQ282" s="4" t="n"/>
      <c r="AR282" s="4" t="n"/>
      <c r="AS282" s="4" t="n"/>
      <c r="AT282" s="4" t="n"/>
      <c r="AU282" s="4" t="n"/>
      <c r="AV282" s="4" t="n"/>
      <c r="AW282" s="4" t="n"/>
      <c r="AX282" s="4" t="n"/>
      <c r="AY282" s="4" t="n"/>
      <c r="AZ282" s="4" t="n"/>
      <c r="BA282" s="4" t="n"/>
      <c r="BB282" s="4" t="n"/>
      <c r="BC282" s="4" t="n"/>
      <c r="BD282" s="4" t="n"/>
      <c r="BE282" s="4" t="n"/>
      <c r="BF282" s="4" t="n"/>
      <c r="BG282" s="4" t="n"/>
      <c r="BH282" s="4" t="n"/>
      <c r="BI282" s="4" t="n"/>
      <c r="BJ282" s="4" t="n"/>
      <c r="BK282" s="4" t="n"/>
      <c r="BL282" s="4" t="n"/>
      <c r="BM282" s="4" t="n"/>
      <c r="BN282" s="4" t="n"/>
      <c r="BO282" s="4" t="n"/>
      <c r="BP282" s="4" t="n"/>
      <c r="BQ282" s="4" t="n"/>
      <c r="BR282" s="4" t="n"/>
      <c r="BS282" s="4" t="n"/>
      <c r="BT282" s="4" t="n"/>
      <c r="BU282" s="4" t="n"/>
      <c r="BV282" s="4" t="n"/>
      <c r="BW282" s="4" t="n"/>
      <c r="BX282" s="4" t="n"/>
      <c r="BY282" s="4" t="n"/>
      <c r="BZ282" s="4" t="n"/>
      <c r="CA282" s="4" t="n"/>
      <c r="CB282" s="4" t="n"/>
      <c r="CC282" s="4" t="n"/>
      <c r="CD282" s="4" t="n"/>
      <c r="CE282" s="4" t="n"/>
      <c r="CF282" s="4" t="n"/>
      <c r="CG282" s="4" t="n"/>
      <c r="CH282" s="4" t="n"/>
      <c r="CI282" s="4" t="n"/>
      <c r="CJ282" s="4" t="n"/>
      <c r="CK282" s="4" t="n"/>
      <c r="CL282" s="4" t="n"/>
      <c r="CM282" s="4" t="n"/>
      <c r="CN282" s="4" t="n"/>
      <c r="CO282" s="4" t="n"/>
      <c r="CP282" s="4" t="n"/>
      <c r="CQ282" s="4" t="n"/>
      <c r="CR282" s="4" t="n"/>
      <c r="CS282" s="4" t="n"/>
      <c r="CT282" s="4" t="n"/>
      <c r="CU282" s="4" t="n"/>
      <c r="CV282" s="4" t="n"/>
      <c r="CW282" s="4" t="n"/>
      <c r="CX282" s="4" t="n"/>
      <c r="CY282" s="4" t="n"/>
      <c r="CZ282" s="4" t="n"/>
      <c r="DA282" s="4" t="n"/>
      <c r="DB282" s="4" t="n"/>
      <c r="DC282" s="4" t="n"/>
      <c r="DD282" s="4" t="n"/>
      <c r="DE282" s="4" t="n"/>
      <c r="DF282" s="4" t="n"/>
      <c r="DG282" s="4" t="n"/>
      <c r="DH282" s="4" t="n"/>
      <c r="DI282" s="4" t="n"/>
      <c r="DJ282" s="4" t="n"/>
      <c r="DK282" s="4" t="n"/>
      <c r="DL282" s="4" t="n"/>
      <c r="DM282" s="4" t="n"/>
      <c r="DN282" s="4" t="n"/>
      <c r="DO282" s="4" t="n"/>
      <c r="DP282" s="4" t="n"/>
      <c r="DQ282" s="4" t="n"/>
      <c r="DR282" s="4" t="n"/>
      <c r="DS282" s="4" t="n"/>
      <c r="DT282" s="4" t="n"/>
      <c r="DU282" s="4" t="n"/>
      <c r="DV282" s="4" t="n"/>
      <c r="DW282" s="4" t="n"/>
      <c r="DX282" s="4" t="n"/>
      <c r="DY282" s="4" t="n"/>
      <c r="DZ282" s="4" t="n"/>
      <c r="EA282" s="4" t="n"/>
      <c r="EB282" s="4" t="n"/>
      <c r="EC282" s="4" t="n"/>
      <c r="ED282" s="4" t="n"/>
      <c r="EE282" s="4" t="n"/>
      <c r="EF282" s="4" t="n"/>
      <c r="EG282" s="4" t="n"/>
      <c r="EH282" s="4" t="n"/>
      <c r="EI282" s="4" t="n"/>
      <c r="EJ282" s="4" t="n"/>
      <c r="EK282" s="4" t="n"/>
    </row>
    <row r="283" hidden="1" customFormat="1" s="6">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c r="AE283" s="4" t="n"/>
      <c r="AF283" s="4" t="n"/>
      <c r="AG283" s="4" t="n"/>
      <c r="AH283" s="4" t="n"/>
      <c r="AI283" s="4" t="n"/>
      <c r="AJ283" s="4" t="n"/>
      <c r="AK283" s="4" t="n"/>
      <c r="AL283" s="4" t="n"/>
      <c r="AM283" s="4" t="n"/>
      <c r="AN283" s="4" t="n"/>
      <c r="AO283" s="4" t="n"/>
      <c r="AP283" s="4" t="n"/>
      <c r="AQ283" s="4" t="n"/>
      <c r="AR283" s="4" t="n"/>
      <c r="AS283" s="4" t="n"/>
      <c r="AT283" s="4" t="n"/>
      <c r="AU283" s="4" t="n"/>
      <c r="AV283" s="4" t="n"/>
      <c r="AW283" s="4" t="n"/>
      <c r="AX283" s="4" t="n"/>
      <c r="AY283" s="4" t="n"/>
      <c r="AZ283" s="4" t="n"/>
      <c r="BA283" s="4" t="n"/>
      <c r="BB283" s="4" t="n"/>
      <c r="BC283" s="4" t="n"/>
      <c r="BD283" s="4" t="n"/>
      <c r="BE283" s="4" t="n"/>
      <c r="BF283" s="4" t="n"/>
      <c r="BG283" s="4" t="n"/>
      <c r="BH283" s="4" t="n"/>
      <c r="BI283" s="4" t="n"/>
      <c r="BJ283" s="4" t="n"/>
      <c r="BK283" s="4" t="n"/>
      <c r="BL283" s="4" t="n"/>
      <c r="BM283" s="4" t="n"/>
      <c r="BN283" s="4" t="n"/>
      <c r="BO283" s="4" t="n"/>
      <c r="BP283" s="4" t="n"/>
      <c r="BQ283" s="4" t="n"/>
      <c r="BR283" s="4" t="n"/>
      <c r="BS283" s="4" t="n"/>
      <c r="BT283" s="4" t="n"/>
      <c r="BU283" s="4" t="n"/>
      <c r="BV283" s="4" t="n"/>
      <c r="BW283" s="4" t="n"/>
      <c r="BX283" s="4" t="n"/>
      <c r="BY283" s="4" t="n"/>
      <c r="BZ283" s="4" t="n"/>
      <c r="CA283" s="4" t="n"/>
      <c r="CB283" s="4" t="n"/>
      <c r="CC283" s="4" t="n"/>
      <c r="CD283" s="4" t="n"/>
      <c r="CE283" s="4" t="n"/>
      <c r="CF283" s="4" t="n"/>
      <c r="CG283" s="4" t="n"/>
      <c r="CH283" s="4" t="n"/>
      <c r="CI283" s="4" t="n"/>
      <c r="CJ283" s="4" t="n"/>
      <c r="CK283" s="4" t="n"/>
      <c r="CL283" s="4" t="n"/>
      <c r="CM283" s="4" t="n"/>
      <c r="CN283" s="4" t="n"/>
      <c r="CO283" s="4" t="n"/>
      <c r="CP283" s="4" t="n"/>
      <c r="CQ283" s="4" t="n"/>
      <c r="CR283" s="4" t="n"/>
      <c r="CS283" s="4" t="n"/>
      <c r="CT283" s="4" t="n"/>
      <c r="CU283" s="4" t="n"/>
      <c r="CV283" s="4" t="n"/>
      <c r="CW283" s="4" t="n"/>
      <c r="CX283" s="4" t="n"/>
      <c r="CY283" s="4" t="n"/>
      <c r="CZ283" s="4" t="n"/>
      <c r="DA283" s="4" t="n"/>
      <c r="DB283" s="4" t="n"/>
      <c r="DC283" s="4" t="n"/>
      <c r="DD283" s="4" t="n"/>
      <c r="DE283" s="4" t="n"/>
      <c r="DF283" s="4" t="n"/>
      <c r="DG283" s="4" t="n"/>
      <c r="DH283" s="4" t="n"/>
      <c r="DI283" s="4" t="n"/>
      <c r="DJ283" s="4" t="n"/>
      <c r="DK283" s="4" t="n"/>
      <c r="DL283" s="4" t="n"/>
      <c r="DM283" s="4" t="n"/>
      <c r="DN283" s="4" t="n"/>
      <c r="DO283" s="4" t="n"/>
      <c r="DP283" s="4" t="n"/>
      <c r="DQ283" s="4" t="n"/>
      <c r="DR283" s="4" t="n"/>
      <c r="DS283" s="4" t="n"/>
      <c r="DT283" s="4" t="n"/>
      <c r="DU283" s="4" t="n"/>
      <c r="DV283" s="4" t="n"/>
      <c r="DW283" s="4" t="n"/>
      <c r="DX283" s="4" t="n"/>
      <c r="DY283" s="4" t="n"/>
      <c r="DZ283" s="4" t="n"/>
      <c r="EA283" s="4" t="n"/>
      <c r="EB283" s="4" t="n"/>
      <c r="EC283" s="4" t="n"/>
      <c r="ED283" s="4" t="n"/>
      <c r="EE283" s="4" t="n"/>
      <c r="EF283" s="4" t="n"/>
      <c r="EG283" s="4" t="n"/>
      <c r="EH283" s="4" t="n"/>
      <c r="EI283" s="4" t="n"/>
      <c r="EJ283" s="4" t="n"/>
      <c r="EK283" s="4" t="n"/>
    </row>
    <row r="284" hidden="1" customFormat="1" s="6">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c r="AE284" s="4" t="n"/>
      <c r="AF284" s="4" t="n"/>
      <c r="AG284" s="4" t="n"/>
      <c r="AH284" s="4" t="n"/>
      <c r="AI284" s="4" t="n"/>
      <c r="AJ284" s="4" t="n"/>
      <c r="AK284" s="4" t="n"/>
      <c r="AL284" s="4" t="n"/>
      <c r="AM284" s="4" t="n"/>
      <c r="AN284" s="4" t="n"/>
      <c r="AO284" s="4" t="n"/>
      <c r="AP284" s="4" t="n"/>
      <c r="AQ284" s="4" t="n"/>
      <c r="AR284" s="4" t="n"/>
      <c r="AS284" s="4" t="n"/>
      <c r="AT284" s="4" t="n"/>
      <c r="AU284" s="4" t="n"/>
      <c r="AV284" s="4" t="n"/>
      <c r="AW284" s="4" t="n"/>
      <c r="AX284" s="4" t="n"/>
      <c r="AY284" s="4" t="n"/>
      <c r="AZ284" s="4" t="n"/>
      <c r="BA284" s="4" t="n"/>
      <c r="BB284" s="4" t="n"/>
      <c r="BC284" s="4" t="n"/>
      <c r="BD284" s="4" t="n"/>
      <c r="BE284" s="4" t="n"/>
      <c r="BF284" s="4" t="n"/>
      <c r="BG284" s="4" t="n"/>
      <c r="BH284" s="4" t="n"/>
      <c r="BI284" s="4" t="n"/>
      <c r="BJ284" s="4" t="n"/>
      <c r="BK284" s="4" t="n"/>
      <c r="BL284" s="4" t="n"/>
      <c r="BM284" s="4" t="n"/>
      <c r="BN284" s="4" t="n"/>
      <c r="BO284" s="4" t="n"/>
      <c r="BP284" s="4" t="n"/>
      <c r="BQ284" s="4" t="n"/>
      <c r="BR284" s="4" t="n"/>
      <c r="BS284" s="4" t="n"/>
      <c r="BT284" s="4" t="n"/>
      <c r="BU284" s="4" t="n"/>
      <c r="BV284" s="4" t="n"/>
      <c r="BW284" s="4" t="n"/>
      <c r="BX284" s="4" t="n"/>
      <c r="BY284" s="4" t="n"/>
      <c r="BZ284" s="4" t="n"/>
      <c r="CA284" s="4" t="n"/>
      <c r="CB284" s="4" t="n"/>
      <c r="CC284" s="4" t="n"/>
      <c r="CD284" s="4" t="n"/>
      <c r="CE284" s="4" t="n"/>
      <c r="CF284" s="4" t="n"/>
      <c r="CG284" s="4" t="n"/>
      <c r="CH284" s="4" t="n"/>
      <c r="CI284" s="4" t="n"/>
      <c r="CJ284" s="4" t="n"/>
      <c r="CK284" s="4" t="n"/>
      <c r="CL284" s="4" t="n"/>
      <c r="CM284" s="4" t="n"/>
      <c r="CN284" s="4" t="n"/>
      <c r="CO284" s="4" t="n"/>
      <c r="CP284" s="4" t="n"/>
      <c r="CQ284" s="4" t="n"/>
      <c r="CR284" s="4" t="n"/>
      <c r="CS284" s="4" t="n"/>
      <c r="CT284" s="4" t="n"/>
      <c r="CU284" s="4" t="n"/>
      <c r="CV284" s="4" t="n"/>
      <c r="CW284" s="4" t="n"/>
      <c r="CX284" s="4" t="n"/>
      <c r="CY284" s="4" t="n"/>
      <c r="CZ284" s="4" t="n"/>
      <c r="DA284" s="4" t="n"/>
      <c r="DB284" s="4" t="n"/>
      <c r="DC284" s="4" t="n"/>
      <c r="DD284" s="4" t="n"/>
      <c r="DE284" s="4" t="n"/>
      <c r="DF284" s="4" t="n"/>
      <c r="DG284" s="4" t="n"/>
      <c r="DH284" s="4" t="n"/>
      <c r="DI284" s="4" t="n"/>
      <c r="DJ284" s="4" t="n"/>
      <c r="DK284" s="4" t="n"/>
      <c r="DL284" s="4" t="n"/>
      <c r="DM284" s="4" t="n"/>
      <c r="DN284" s="4" t="n"/>
      <c r="DO284" s="4" t="n"/>
      <c r="DP284" s="4" t="n"/>
      <c r="DQ284" s="4" t="n"/>
      <c r="DR284" s="4" t="n"/>
      <c r="DS284" s="4" t="n"/>
      <c r="DT284" s="4" t="n"/>
      <c r="DU284" s="4" t="n"/>
      <c r="DV284" s="4" t="n"/>
      <c r="DW284" s="4" t="n"/>
      <c r="DX284" s="4" t="n"/>
      <c r="DY284" s="4" t="n"/>
      <c r="DZ284" s="4" t="n"/>
      <c r="EA284" s="4" t="n"/>
      <c r="EB284" s="4" t="n"/>
      <c r="EC284" s="4" t="n"/>
      <c r="ED284" s="4" t="n"/>
      <c r="EE284" s="4" t="n"/>
      <c r="EF284" s="4" t="n"/>
      <c r="EG284" s="4" t="n"/>
      <c r="EH284" s="4" t="n"/>
      <c r="EI284" s="4" t="n"/>
      <c r="EJ284" s="4" t="n"/>
      <c r="EK284" s="4" t="n"/>
    </row>
    <row r="285" hidden="1" customFormat="1" s="6">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c r="AE285" s="4" t="n"/>
      <c r="AF285" s="4" t="n"/>
      <c r="AG285" s="4" t="n"/>
      <c r="AH285" s="4" t="n"/>
      <c r="AI285" s="4" t="n"/>
      <c r="AJ285" s="4" t="n"/>
      <c r="AK285" s="4" t="n"/>
      <c r="AL285" s="4" t="n"/>
      <c r="AM285" s="4" t="n"/>
      <c r="AN285" s="4" t="n"/>
      <c r="AO285" s="4" t="n"/>
      <c r="AP285" s="4" t="n"/>
      <c r="AQ285" s="4" t="n"/>
      <c r="AR285" s="4" t="n"/>
      <c r="AS285" s="4" t="n"/>
      <c r="AT285" s="4" t="n"/>
      <c r="AU285" s="4" t="n"/>
      <c r="AV285" s="4" t="n"/>
      <c r="AW285" s="4" t="n"/>
      <c r="AX285" s="4" t="n"/>
      <c r="AY285" s="4" t="n"/>
      <c r="AZ285" s="4" t="n"/>
      <c r="BA285" s="4" t="n"/>
      <c r="BB285" s="4" t="n"/>
      <c r="BC285" s="4" t="n"/>
      <c r="BD285" s="4" t="n"/>
      <c r="BE285" s="4" t="n"/>
      <c r="BF285" s="4" t="n"/>
      <c r="BG285" s="4" t="n"/>
      <c r="BH285" s="4" t="n"/>
      <c r="BI285" s="4" t="n"/>
      <c r="BJ285" s="4" t="n"/>
      <c r="BK285" s="4" t="n"/>
      <c r="BL285" s="4" t="n"/>
      <c r="BM285" s="4" t="n"/>
      <c r="BN285" s="4" t="n"/>
      <c r="BO285" s="4" t="n"/>
      <c r="BP285" s="4" t="n"/>
      <c r="BQ285" s="4" t="n"/>
      <c r="BR285" s="4" t="n"/>
      <c r="BS285" s="4" t="n"/>
      <c r="BT285" s="4" t="n"/>
      <c r="BU285" s="4" t="n"/>
      <c r="BV285" s="4" t="n"/>
      <c r="BW285" s="4" t="n"/>
      <c r="BX285" s="4" t="n"/>
      <c r="BY285" s="4" t="n"/>
      <c r="BZ285" s="4" t="n"/>
      <c r="CA285" s="4" t="n"/>
      <c r="CB285" s="4" t="n"/>
      <c r="CC285" s="4" t="n"/>
      <c r="CD285" s="4" t="n"/>
      <c r="CE285" s="4" t="n"/>
      <c r="CF285" s="4" t="n"/>
      <c r="CG285" s="4" t="n"/>
      <c r="CH285" s="4" t="n"/>
      <c r="CI285" s="4" t="n"/>
      <c r="CJ285" s="4" t="n"/>
      <c r="CK285" s="4" t="n"/>
      <c r="CL285" s="4" t="n"/>
      <c r="CM285" s="4" t="n"/>
      <c r="CN285" s="4" t="n"/>
      <c r="CO285" s="4" t="n"/>
      <c r="CP285" s="4" t="n"/>
      <c r="CQ285" s="4" t="n"/>
      <c r="CR285" s="4" t="n"/>
      <c r="CS285" s="4" t="n"/>
      <c r="CT285" s="4" t="n"/>
      <c r="CU285" s="4" t="n"/>
      <c r="CV285" s="4" t="n"/>
      <c r="CW285" s="4" t="n"/>
      <c r="CX285" s="4" t="n"/>
      <c r="CY285" s="4" t="n"/>
      <c r="CZ285" s="4" t="n"/>
      <c r="DA285" s="4" t="n"/>
      <c r="DB285" s="4" t="n"/>
      <c r="DC285" s="4" t="n"/>
      <c r="DD285" s="4" t="n"/>
      <c r="DE285" s="4" t="n"/>
      <c r="DF285" s="4" t="n"/>
      <c r="DG285" s="4" t="n"/>
      <c r="DH285" s="4" t="n"/>
      <c r="DI285" s="4" t="n"/>
      <c r="DJ285" s="4" t="n"/>
      <c r="DK285" s="4" t="n"/>
      <c r="DL285" s="4" t="n"/>
      <c r="DM285" s="4" t="n"/>
      <c r="DN285" s="4" t="n"/>
      <c r="DO285" s="4" t="n"/>
      <c r="DP285" s="4" t="n"/>
      <c r="DQ285" s="4" t="n"/>
      <c r="DR285" s="4" t="n"/>
      <c r="DS285" s="4" t="n"/>
      <c r="DT285" s="4" t="n"/>
      <c r="DU285" s="4" t="n"/>
      <c r="DV285" s="4" t="n"/>
      <c r="DW285" s="4" t="n"/>
      <c r="DX285" s="4" t="n"/>
      <c r="DY285" s="4" t="n"/>
      <c r="DZ285" s="4" t="n"/>
      <c r="EA285" s="4" t="n"/>
      <c r="EB285" s="4" t="n"/>
      <c r="EC285" s="4" t="n"/>
      <c r="ED285" s="4" t="n"/>
      <c r="EE285" s="4" t="n"/>
      <c r="EF285" s="4" t="n"/>
      <c r="EG285" s="4" t="n"/>
      <c r="EH285" s="4" t="n"/>
      <c r="EI285" s="4" t="n"/>
      <c r="EJ285" s="4" t="n"/>
      <c r="EK285" s="4" t="n"/>
    </row>
    <row r="286" hidden="1" customFormat="1" s="6">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c r="AE286" s="4" t="n"/>
      <c r="AF286" s="4" t="n"/>
      <c r="AG286" s="4" t="n"/>
      <c r="AH286" s="4" t="n"/>
      <c r="AI286" s="4" t="n"/>
      <c r="AJ286" s="4" t="n"/>
      <c r="AK286" s="4" t="n"/>
      <c r="AL286" s="4" t="n"/>
      <c r="AM286" s="4" t="n"/>
      <c r="AN286" s="4" t="n"/>
      <c r="AO286" s="4" t="n"/>
      <c r="AP286" s="4" t="n"/>
      <c r="AQ286" s="4" t="n"/>
      <c r="AR286" s="4" t="n"/>
      <c r="AS286" s="4" t="n"/>
      <c r="AT286" s="4" t="n"/>
      <c r="AU286" s="4" t="n"/>
      <c r="AV286" s="4" t="n"/>
      <c r="AW286" s="4" t="n"/>
      <c r="AX286" s="4" t="n"/>
      <c r="AY286" s="4" t="n"/>
      <c r="AZ286" s="4" t="n"/>
      <c r="BA286" s="4" t="n"/>
      <c r="BB286" s="4" t="n"/>
      <c r="BC286" s="4" t="n"/>
      <c r="BD286" s="4" t="n"/>
      <c r="BE286" s="4" t="n"/>
      <c r="BF286" s="4" t="n"/>
      <c r="BG286" s="4" t="n"/>
      <c r="BH286" s="4" t="n"/>
      <c r="BI286" s="4" t="n"/>
      <c r="BJ286" s="4" t="n"/>
      <c r="BK286" s="4" t="n"/>
      <c r="BL286" s="4" t="n"/>
      <c r="BM286" s="4" t="n"/>
      <c r="BN286" s="4" t="n"/>
      <c r="BO286" s="4" t="n"/>
      <c r="BP286" s="4" t="n"/>
      <c r="BQ286" s="4" t="n"/>
      <c r="BR286" s="4" t="n"/>
      <c r="BS286" s="4" t="n"/>
      <c r="BT286" s="4" t="n"/>
      <c r="BU286" s="4" t="n"/>
      <c r="BV286" s="4" t="n"/>
      <c r="BW286" s="4" t="n"/>
      <c r="BX286" s="4" t="n"/>
      <c r="BY286" s="4" t="n"/>
      <c r="BZ286" s="4" t="n"/>
      <c r="CA286" s="4" t="n"/>
      <c r="CB286" s="4" t="n"/>
      <c r="CC286" s="4" t="n"/>
      <c r="CD286" s="4" t="n"/>
      <c r="CE286" s="4" t="n"/>
      <c r="CF286" s="4" t="n"/>
      <c r="CG286" s="4" t="n"/>
      <c r="CH286" s="4" t="n"/>
      <c r="CI286" s="4" t="n"/>
      <c r="CJ286" s="4" t="n"/>
      <c r="CK286" s="4" t="n"/>
      <c r="CL286" s="4" t="n"/>
      <c r="CM286" s="4" t="n"/>
      <c r="CN286" s="4" t="n"/>
      <c r="CO286" s="4" t="n"/>
      <c r="CP286" s="4" t="n"/>
      <c r="CQ286" s="4" t="n"/>
      <c r="CR286" s="4" t="n"/>
      <c r="CS286" s="4" t="n"/>
      <c r="CT286" s="4" t="n"/>
      <c r="CU286" s="4" t="n"/>
      <c r="CV286" s="4" t="n"/>
      <c r="CW286" s="4" t="n"/>
      <c r="CX286" s="4" t="n"/>
      <c r="CY286" s="4" t="n"/>
      <c r="CZ286" s="4" t="n"/>
      <c r="DA286" s="4" t="n"/>
      <c r="DB286" s="4" t="n"/>
      <c r="DC286" s="4" t="n"/>
      <c r="DD286" s="4" t="n"/>
      <c r="DE286" s="4" t="n"/>
      <c r="DF286" s="4" t="n"/>
      <c r="DG286" s="4" t="n"/>
      <c r="DH286" s="4" t="n"/>
      <c r="DI286" s="4" t="n"/>
      <c r="DJ286" s="4" t="n"/>
      <c r="DK286" s="4" t="n"/>
      <c r="DL286" s="4" t="n"/>
      <c r="DM286" s="4" t="n"/>
      <c r="DN286" s="4" t="n"/>
      <c r="DO286" s="4" t="n"/>
      <c r="DP286" s="4" t="n"/>
      <c r="DQ286" s="4" t="n"/>
      <c r="DR286" s="4" t="n"/>
      <c r="DS286" s="4" t="n"/>
      <c r="DT286" s="4" t="n"/>
      <c r="DU286" s="4" t="n"/>
      <c r="DV286" s="4" t="n"/>
      <c r="DW286" s="4" t="n"/>
      <c r="DX286" s="4" t="n"/>
      <c r="DY286" s="4" t="n"/>
      <c r="DZ286" s="4" t="n"/>
      <c r="EA286" s="4" t="n"/>
      <c r="EB286" s="4" t="n"/>
      <c r="EC286" s="4" t="n"/>
      <c r="ED286" s="4" t="n"/>
      <c r="EE286" s="4" t="n"/>
      <c r="EF286" s="4" t="n"/>
      <c r="EG286" s="4" t="n"/>
      <c r="EH286" s="4" t="n"/>
      <c r="EI286" s="4" t="n"/>
      <c r="EJ286" s="4" t="n"/>
      <c r="EK286" s="4" t="n"/>
    </row>
    <row r="287" hidden="1" customFormat="1" s="6">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c r="AC287" s="4" t="n"/>
      <c r="AD287" s="4" t="n"/>
      <c r="AE287" s="4" t="n"/>
      <c r="AF287" s="4" t="n"/>
      <c r="AG287" s="4" t="n"/>
      <c r="AH287" s="4" t="n"/>
      <c r="AI287" s="4" t="n"/>
      <c r="AJ287" s="4" t="n"/>
      <c r="AK287" s="4" t="n"/>
      <c r="AL287" s="4" t="n"/>
      <c r="AM287" s="4" t="n"/>
      <c r="AN287" s="4" t="n"/>
      <c r="AO287" s="4" t="n"/>
      <c r="AP287" s="4" t="n"/>
      <c r="AQ287" s="4" t="n"/>
      <c r="AR287" s="4" t="n"/>
      <c r="AS287" s="4" t="n"/>
      <c r="AT287" s="4" t="n"/>
      <c r="AU287" s="4" t="n"/>
      <c r="AV287" s="4" t="n"/>
      <c r="AW287" s="4" t="n"/>
      <c r="AX287" s="4" t="n"/>
      <c r="AY287" s="4" t="n"/>
      <c r="AZ287" s="4" t="n"/>
      <c r="BA287" s="4" t="n"/>
      <c r="BB287" s="4" t="n"/>
      <c r="BC287" s="4" t="n"/>
      <c r="BD287" s="4" t="n"/>
      <c r="BE287" s="4" t="n"/>
      <c r="BF287" s="4" t="n"/>
      <c r="BG287" s="4" t="n"/>
      <c r="BH287" s="4" t="n"/>
      <c r="BI287" s="4" t="n"/>
      <c r="BJ287" s="4" t="n"/>
      <c r="BK287" s="4" t="n"/>
      <c r="BL287" s="4" t="n"/>
      <c r="BM287" s="4" t="n"/>
      <c r="BN287" s="4" t="n"/>
      <c r="BO287" s="4" t="n"/>
      <c r="BP287" s="4" t="n"/>
      <c r="BQ287" s="4" t="n"/>
      <c r="BR287" s="4" t="n"/>
      <c r="BS287" s="4" t="n"/>
      <c r="BT287" s="4" t="n"/>
      <c r="BU287" s="4" t="n"/>
      <c r="BV287" s="4" t="n"/>
      <c r="BW287" s="4" t="n"/>
      <c r="BX287" s="4" t="n"/>
      <c r="BY287" s="4" t="n"/>
      <c r="BZ287" s="4" t="n"/>
      <c r="CA287" s="4" t="n"/>
      <c r="CB287" s="4" t="n"/>
      <c r="CC287" s="4" t="n"/>
      <c r="CD287" s="4" t="n"/>
      <c r="CE287" s="4" t="n"/>
      <c r="CF287" s="4" t="n"/>
      <c r="CG287" s="4" t="n"/>
      <c r="CH287" s="4" t="n"/>
      <c r="CI287" s="4" t="n"/>
      <c r="CJ287" s="4" t="n"/>
      <c r="CK287" s="4" t="n"/>
      <c r="CL287" s="4" t="n"/>
      <c r="CM287" s="4" t="n"/>
      <c r="CN287" s="4" t="n"/>
      <c r="CO287" s="4" t="n"/>
      <c r="CP287" s="4" t="n"/>
      <c r="CQ287" s="4" t="n"/>
      <c r="CR287" s="4" t="n"/>
      <c r="CS287" s="4" t="n"/>
      <c r="CT287" s="4" t="n"/>
      <c r="CU287" s="4" t="n"/>
      <c r="CV287" s="4" t="n"/>
      <c r="CW287" s="4" t="n"/>
      <c r="CX287" s="4" t="n"/>
      <c r="CY287" s="4" t="n"/>
      <c r="CZ287" s="4" t="n"/>
      <c r="DA287" s="4" t="n"/>
      <c r="DB287" s="4" t="n"/>
      <c r="DC287" s="4" t="n"/>
      <c r="DD287" s="4" t="n"/>
      <c r="DE287" s="4" t="n"/>
      <c r="DF287" s="4" t="n"/>
      <c r="DG287" s="4" t="n"/>
      <c r="DH287" s="4" t="n"/>
      <c r="DI287" s="4" t="n"/>
      <c r="DJ287" s="4" t="n"/>
      <c r="DK287" s="4" t="n"/>
      <c r="DL287" s="4" t="n"/>
      <c r="DM287" s="4" t="n"/>
      <c r="DN287" s="4" t="n"/>
      <c r="DO287" s="4" t="n"/>
      <c r="DP287" s="4" t="n"/>
      <c r="DQ287" s="4" t="n"/>
      <c r="DR287" s="4" t="n"/>
      <c r="DS287" s="4" t="n"/>
      <c r="DT287" s="4" t="n"/>
      <c r="DU287" s="4" t="n"/>
      <c r="DV287" s="4" t="n"/>
      <c r="DW287" s="4" t="n"/>
      <c r="DX287" s="4" t="n"/>
      <c r="DY287" s="4" t="n"/>
      <c r="DZ287" s="4" t="n"/>
      <c r="EA287" s="4" t="n"/>
      <c r="EB287" s="4" t="n"/>
      <c r="EC287" s="4" t="n"/>
      <c r="ED287" s="4" t="n"/>
      <c r="EE287" s="4" t="n"/>
      <c r="EF287" s="4" t="n"/>
      <c r="EG287" s="4" t="n"/>
      <c r="EH287" s="4" t="n"/>
      <c r="EI287" s="4" t="n"/>
      <c r="EJ287" s="4" t="n"/>
      <c r="EK287" s="4" t="n"/>
    </row>
    <row r="288" hidden="1" customFormat="1" s="6">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c r="AD288" s="4" t="n"/>
      <c r="AE288" s="4" t="n"/>
      <c r="AF288" s="4" t="n"/>
      <c r="AG288" s="4" t="n"/>
      <c r="AH288" s="4" t="n"/>
      <c r="AI288" s="4" t="n"/>
      <c r="AJ288" s="4" t="n"/>
      <c r="AK288" s="4" t="n"/>
      <c r="AL288" s="4" t="n"/>
      <c r="AM288" s="4" t="n"/>
      <c r="AN288" s="4" t="n"/>
      <c r="AO288" s="4" t="n"/>
      <c r="AP288" s="4" t="n"/>
      <c r="AQ288" s="4" t="n"/>
      <c r="AR288" s="4" t="n"/>
      <c r="AS288" s="4" t="n"/>
      <c r="AT288" s="4" t="n"/>
      <c r="AU288" s="4" t="n"/>
      <c r="AV288" s="4" t="n"/>
      <c r="AW288" s="4" t="n"/>
      <c r="AX288" s="4" t="n"/>
      <c r="AY288" s="4" t="n"/>
      <c r="AZ288" s="4" t="n"/>
      <c r="BA288" s="4" t="n"/>
      <c r="BB288" s="4" t="n"/>
      <c r="BC288" s="4" t="n"/>
      <c r="BD288" s="4" t="n"/>
      <c r="BE288" s="4" t="n"/>
      <c r="BF288" s="4" t="n"/>
      <c r="BG288" s="4" t="n"/>
      <c r="BH288" s="4" t="n"/>
      <c r="BI288" s="4" t="n"/>
      <c r="BJ288" s="4" t="n"/>
      <c r="BK288" s="4" t="n"/>
      <c r="BL288" s="4" t="n"/>
      <c r="BM288" s="4" t="n"/>
      <c r="BN288" s="4" t="n"/>
      <c r="BO288" s="4" t="n"/>
      <c r="BP288" s="4" t="n"/>
      <c r="BQ288" s="4" t="n"/>
      <c r="BR288" s="4" t="n"/>
      <c r="BS288" s="4" t="n"/>
      <c r="BT288" s="4" t="n"/>
      <c r="BU288" s="4" t="n"/>
      <c r="BV288" s="4" t="n"/>
      <c r="BW288" s="4" t="n"/>
      <c r="BX288" s="4" t="n"/>
      <c r="BY288" s="4" t="n"/>
      <c r="BZ288" s="4" t="n"/>
      <c r="CA288" s="4" t="n"/>
      <c r="CB288" s="4" t="n"/>
      <c r="CC288" s="4" t="n"/>
      <c r="CD288" s="4" t="n"/>
      <c r="CE288" s="4" t="n"/>
      <c r="CF288" s="4" t="n"/>
      <c r="CG288" s="4" t="n"/>
      <c r="CH288" s="4" t="n"/>
      <c r="CI288" s="4" t="n"/>
      <c r="CJ288" s="4" t="n"/>
      <c r="CK288" s="4" t="n"/>
      <c r="CL288" s="4" t="n"/>
      <c r="CM288" s="4" t="n"/>
      <c r="CN288" s="4" t="n"/>
      <c r="CO288" s="4" t="n"/>
      <c r="CP288" s="4" t="n"/>
      <c r="CQ288" s="4" t="n"/>
      <c r="CR288" s="4" t="n"/>
      <c r="CS288" s="4" t="n"/>
      <c r="CT288" s="4" t="n"/>
      <c r="CU288" s="4" t="n"/>
      <c r="CV288" s="4" t="n"/>
      <c r="CW288" s="4" t="n"/>
      <c r="CX288" s="4" t="n"/>
      <c r="CY288" s="4" t="n"/>
      <c r="CZ288" s="4" t="n"/>
      <c r="DA288" s="4" t="n"/>
      <c r="DB288" s="4" t="n"/>
      <c r="DC288" s="4" t="n"/>
      <c r="DD288" s="4" t="n"/>
      <c r="DE288" s="4" t="n"/>
      <c r="DF288" s="4" t="n"/>
      <c r="DG288" s="4" t="n"/>
      <c r="DH288" s="4" t="n"/>
      <c r="DI288" s="4" t="n"/>
      <c r="DJ288" s="4" t="n"/>
      <c r="DK288" s="4" t="n"/>
      <c r="DL288" s="4" t="n"/>
      <c r="DM288" s="4" t="n"/>
      <c r="DN288" s="4" t="n"/>
      <c r="DO288" s="4" t="n"/>
      <c r="DP288" s="4" t="n"/>
      <c r="DQ288" s="4" t="n"/>
      <c r="DR288" s="4" t="n"/>
      <c r="DS288" s="4" t="n"/>
      <c r="DT288" s="4" t="n"/>
      <c r="DU288" s="4" t="n"/>
      <c r="DV288" s="4" t="n"/>
      <c r="DW288" s="4" t="n"/>
      <c r="DX288" s="4" t="n"/>
      <c r="DY288" s="4" t="n"/>
      <c r="DZ288" s="4" t="n"/>
      <c r="EA288" s="4" t="n"/>
      <c r="EB288" s="4" t="n"/>
      <c r="EC288" s="4" t="n"/>
      <c r="ED288" s="4" t="n"/>
      <c r="EE288" s="4" t="n"/>
      <c r="EF288" s="4" t="n"/>
      <c r="EG288" s="4" t="n"/>
      <c r="EH288" s="4" t="n"/>
      <c r="EI288" s="4" t="n"/>
      <c r="EJ288" s="4" t="n"/>
      <c r="EK288" s="4" t="n"/>
    </row>
    <row r="289" hidden="1" customFormat="1" s="6">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c r="AE289" s="4" t="n"/>
      <c r="AF289" s="4" t="n"/>
      <c r="AG289" s="4" t="n"/>
      <c r="AH289" s="4" t="n"/>
      <c r="AI289" s="4" t="n"/>
      <c r="AJ289" s="4" t="n"/>
      <c r="AK289" s="4" t="n"/>
      <c r="AL289" s="4" t="n"/>
      <c r="AM289" s="4" t="n"/>
      <c r="AN289" s="4" t="n"/>
      <c r="AO289" s="4" t="n"/>
      <c r="AP289" s="4" t="n"/>
      <c r="AQ289" s="4" t="n"/>
      <c r="AR289" s="4" t="n"/>
      <c r="AS289" s="4" t="n"/>
      <c r="AT289" s="4" t="n"/>
      <c r="AU289" s="4" t="n"/>
      <c r="AV289" s="4" t="n"/>
      <c r="AW289" s="4" t="n"/>
      <c r="AX289" s="4" t="n"/>
      <c r="AY289" s="4" t="n"/>
      <c r="AZ289" s="4" t="n"/>
      <c r="BA289" s="4" t="n"/>
      <c r="BB289" s="4" t="n"/>
      <c r="BC289" s="4" t="n"/>
      <c r="BD289" s="4" t="n"/>
      <c r="BE289" s="4" t="n"/>
      <c r="BF289" s="4" t="n"/>
      <c r="BG289" s="4" t="n"/>
      <c r="BH289" s="4" t="n"/>
      <c r="BI289" s="4" t="n"/>
      <c r="BJ289" s="4" t="n"/>
      <c r="BK289" s="4" t="n"/>
      <c r="BL289" s="4" t="n"/>
      <c r="BM289" s="4" t="n"/>
      <c r="BN289" s="4" t="n"/>
      <c r="BO289" s="4" t="n"/>
      <c r="BP289" s="4" t="n"/>
      <c r="BQ289" s="4" t="n"/>
      <c r="BR289" s="4" t="n"/>
      <c r="BS289" s="4" t="n"/>
      <c r="BT289" s="4" t="n"/>
      <c r="BU289" s="4" t="n"/>
      <c r="BV289" s="4" t="n"/>
      <c r="BW289" s="4" t="n"/>
      <c r="BX289" s="4" t="n"/>
      <c r="BY289" s="4" t="n"/>
      <c r="BZ289" s="4" t="n"/>
      <c r="CA289" s="4" t="n"/>
      <c r="CB289" s="4" t="n"/>
      <c r="CC289" s="4" t="n"/>
      <c r="CD289" s="4" t="n"/>
      <c r="CE289" s="4" t="n"/>
      <c r="CF289" s="4" t="n"/>
      <c r="CG289" s="4" t="n"/>
      <c r="CH289" s="4" t="n"/>
      <c r="CI289" s="4" t="n"/>
      <c r="CJ289" s="4" t="n"/>
      <c r="CK289" s="4" t="n"/>
      <c r="CL289" s="4" t="n"/>
      <c r="CM289" s="4" t="n"/>
      <c r="CN289" s="4" t="n"/>
      <c r="CO289" s="4" t="n"/>
      <c r="CP289" s="4" t="n"/>
      <c r="CQ289" s="4" t="n"/>
      <c r="CR289" s="4" t="n"/>
      <c r="CS289" s="4" t="n"/>
      <c r="CT289" s="4" t="n"/>
      <c r="CU289" s="4" t="n"/>
      <c r="CV289" s="4" t="n"/>
      <c r="CW289" s="4" t="n"/>
      <c r="CX289" s="4" t="n"/>
      <c r="CY289" s="4" t="n"/>
      <c r="CZ289" s="4" t="n"/>
      <c r="DA289" s="4" t="n"/>
      <c r="DB289" s="4" t="n"/>
      <c r="DC289" s="4" t="n"/>
      <c r="DD289" s="4" t="n"/>
      <c r="DE289" s="4" t="n"/>
      <c r="DF289" s="4" t="n"/>
      <c r="DG289" s="4" t="n"/>
      <c r="DH289" s="4" t="n"/>
      <c r="DI289" s="4" t="n"/>
      <c r="DJ289" s="4" t="n"/>
      <c r="DK289" s="4" t="n"/>
      <c r="DL289" s="4" t="n"/>
      <c r="DM289" s="4" t="n"/>
      <c r="DN289" s="4" t="n"/>
      <c r="DO289" s="4" t="n"/>
      <c r="DP289" s="4" t="n"/>
      <c r="DQ289" s="4" t="n"/>
      <c r="DR289" s="4" t="n"/>
      <c r="DS289" s="4" t="n"/>
      <c r="DT289" s="4" t="n"/>
      <c r="DU289" s="4" t="n"/>
      <c r="DV289" s="4" t="n"/>
      <c r="DW289" s="4" t="n"/>
      <c r="DX289" s="4" t="n"/>
      <c r="DY289" s="4" t="n"/>
      <c r="DZ289" s="4" t="n"/>
      <c r="EA289" s="4" t="n"/>
      <c r="EB289" s="4" t="n"/>
      <c r="EC289" s="4" t="n"/>
      <c r="ED289" s="4" t="n"/>
      <c r="EE289" s="4" t="n"/>
      <c r="EF289" s="4" t="n"/>
      <c r="EG289" s="4" t="n"/>
      <c r="EH289" s="4" t="n"/>
      <c r="EI289" s="4" t="n"/>
      <c r="EJ289" s="4" t="n"/>
      <c r="EK289" s="4" t="n"/>
    </row>
    <row r="290" hidden="1" customFormat="1" s="6">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c r="AE290" s="4" t="n"/>
      <c r="AF290" s="4" t="n"/>
      <c r="AG290" s="4" t="n"/>
      <c r="AH290" s="4" t="n"/>
      <c r="AI290" s="4" t="n"/>
      <c r="AJ290" s="4" t="n"/>
      <c r="AK290" s="4" t="n"/>
      <c r="AL290" s="4" t="n"/>
      <c r="AM290" s="4" t="n"/>
      <c r="AN290" s="4" t="n"/>
      <c r="AO290" s="4" t="n"/>
      <c r="AP290" s="4" t="n"/>
      <c r="AQ290" s="4" t="n"/>
      <c r="AR290" s="4" t="n"/>
      <c r="AS290" s="4" t="n"/>
      <c r="AT290" s="4" t="n"/>
      <c r="AU290" s="4" t="n"/>
      <c r="AV290" s="4" t="n"/>
      <c r="AW290" s="4" t="n"/>
      <c r="AX290" s="4" t="n"/>
      <c r="AY290" s="4" t="n"/>
      <c r="AZ290" s="4" t="n"/>
      <c r="BA290" s="4" t="n"/>
      <c r="BB290" s="4" t="n"/>
      <c r="BC290" s="4" t="n"/>
      <c r="BD290" s="4" t="n"/>
      <c r="BE290" s="4" t="n"/>
      <c r="BF290" s="4" t="n"/>
      <c r="BG290" s="4" t="n"/>
      <c r="BH290" s="4" t="n"/>
      <c r="BI290" s="4" t="n"/>
      <c r="BJ290" s="4" t="n"/>
      <c r="BK290" s="4" t="n"/>
      <c r="BL290" s="4" t="n"/>
      <c r="BM290" s="4" t="n"/>
      <c r="BN290" s="4" t="n"/>
      <c r="BO290" s="4" t="n"/>
      <c r="BP290" s="4" t="n"/>
      <c r="BQ290" s="4" t="n"/>
      <c r="BR290" s="4" t="n"/>
      <c r="BS290" s="4" t="n"/>
      <c r="BT290" s="4" t="n"/>
      <c r="BU290" s="4" t="n"/>
      <c r="BV290" s="4" t="n"/>
      <c r="BW290" s="4" t="n"/>
      <c r="BX290" s="4" t="n"/>
      <c r="BY290" s="4" t="n"/>
      <c r="BZ290" s="4" t="n"/>
      <c r="CA290" s="4" t="n"/>
      <c r="CB290" s="4" t="n"/>
      <c r="CC290" s="4" t="n"/>
      <c r="CD290" s="4" t="n"/>
      <c r="CE290" s="4" t="n"/>
      <c r="CF290" s="4" t="n"/>
      <c r="CG290" s="4" t="n"/>
      <c r="CH290" s="4" t="n"/>
      <c r="CI290" s="4" t="n"/>
      <c r="CJ290" s="4" t="n"/>
      <c r="CK290" s="4" t="n"/>
      <c r="CL290" s="4" t="n"/>
      <c r="CM290" s="4" t="n"/>
      <c r="CN290" s="4" t="n"/>
      <c r="CO290" s="4" t="n"/>
      <c r="CP290" s="4" t="n"/>
      <c r="CQ290" s="4" t="n"/>
      <c r="CR290" s="4" t="n"/>
      <c r="CS290" s="4" t="n"/>
      <c r="CT290" s="4" t="n"/>
      <c r="CU290" s="4" t="n"/>
      <c r="CV290" s="4" t="n"/>
      <c r="CW290" s="4" t="n"/>
      <c r="CX290" s="4" t="n"/>
      <c r="CY290" s="4" t="n"/>
      <c r="CZ290" s="4" t="n"/>
      <c r="DA290" s="4" t="n"/>
      <c r="DB290" s="4" t="n"/>
      <c r="DC290" s="4" t="n"/>
      <c r="DD290" s="4" t="n"/>
      <c r="DE290" s="4" t="n"/>
      <c r="DF290" s="4" t="n"/>
      <c r="DG290" s="4" t="n"/>
      <c r="DH290" s="4" t="n"/>
      <c r="DI290" s="4" t="n"/>
      <c r="DJ290" s="4" t="n"/>
      <c r="DK290" s="4" t="n"/>
      <c r="DL290" s="4" t="n"/>
      <c r="DM290" s="4" t="n"/>
      <c r="DN290" s="4" t="n"/>
      <c r="DO290" s="4" t="n"/>
      <c r="DP290" s="4" t="n"/>
      <c r="DQ290" s="4" t="n"/>
      <c r="DR290" s="4" t="n"/>
      <c r="DS290" s="4" t="n"/>
      <c r="DT290" s="4" t="n"/>
      <c r="DU290" s="4" t="n"/>
      <c r="DV290" s="4" t="n"/>
      <c r="DW290" s="4" t="n"/>
      <c r="DX290" s="4" t="n"/>
      <c r="DY290" s="4" t="n"/>
      <c r="DZ290" s="4" t="n"/>
      <c r="EA290" s="4" t="n"/>
      <c r="EB290" s="4" t="n"/>
      <c r="EC290" s="4" t="n"/>
      <c r="ED290" s="4" t="n"/>
      <c r="EE290" s="4" t="n"/>
      <c r="EF290" s="4" t="n"/>
      <c r="EG290" s="4" t="n"/>
      <c r="EH290" s="4" t="n"/>
      <c r="EI290" s="4" t="n"/>
      <c r="EJ290" s="4" t="n"/>
      <c r="EK290" s="4" t="n"/>
    </row>
  </sheetData>
  <conditionalFormatting sqref="B5">
    <cfRule type="cellIs" priority="10" operator="notEqual" dxfId="1">
      <formula>0</formula>
    </cfRule>
    <cfRule type="expression" priority="11" dxfId="1">
      <formula>"$B$6&lt;&gt;0"</formula>
    </cfRule>
  </conditionalFormatting>
  <conditionalFormatting sqref="B5:C5">
    <cfRule type="cellIs" priority="12" operator="equal" dxfId="5">
      <formula>0</formula>
    </cfRule>
  </conditionalFormatting>
  <conditionalFormatting sqref="C5">
    <cfRule type="cellIs" priority="13" operator="notEqual" dxfId="0">
      <formula>0</formula>
    </cfRule>
  </conditionalFormatting>
  <conditionalFormatting sqref="H5">
    <cfRule type="expression" priority="6" dxfId="1">
      <formula>sysCheck&lt;&gt;0</formula>
    </cfRule>
    <cfRule type="expression" priority="7" dxfId="0">
      <formula>sysAlert&lt;&gt;0</formula>
    </cfRule>
    <cfRule type="expression" priority="8" dxfId="1">
      <formula>sysCheck&lt;&gt;0</formula>
    </cfRule>
    <cfRule type="expression" priority="9" dxfId="0">
      <formula>sysAlert&lt;&gt;0</formula>
    </cfRule>
  </conditionalFormatting>
  <conditionalFormatting sqref="M7:Q7">
    <cfRule type="containsText" priority="3" operator="containsText" dxfId="9" text="Forecast">
      <formula>NOT(ISERROR(SEARCH("Forecast",M7)))</formula>
    </cfRule>
    <cfRule type="containsText" priority="4" operator="containsText" dxfId="8" text="Actual">
      <formula>NOT(ISERROR(SEARCH("Actual",M7)))</formula>
    </cfRule>
  </conditionalFormatting>
  <conditionalFormatting sqref="T7:CA7">
    <cfRule type="containsText" priority="1" operator="containsText" dxfId="9" text="Forecast">
      <formula>NOT(ISERROR(SEARCH("Forecast",T7)))</formula>
    </cfRule>
    <cfRule type="containsText" priority="2" operator="containsText" dxfId="8" text="Actual">
      <formula>NOT(ISERROR(SEARCH("Actual",T7)))</formula>
    </cfRule>
  </conditionalFormatting>
  <dataValidations disablePrompts="1" count="2">
    <dataValidation sqref="E106" showDropDown="0" showInputMessage="1" showErrorMessage="1" allowBlank="1" promptTitle="Balance Sheet" prompt=" Statement of the financial position of a business. It summarises the business's assets, liabilities and shareholder's equity at a particular point in time. It gives investors an idea of what the business owns, owes and shareholder investments."/>
    <dataValidation sqref="E9" showDropDown="0" showInputMessage="1" showErrorMessage="1" allowBlank="1" promptTitle="Income Statement" prompt="Financial statement that reports abusiness's financial performance over a specific accounting period. Financial performance is assessed by giving a summary of how the business incurs its revenues and expenses through both operating and other activities._x000a_"/>
  </dataValidations>
  <hyperlinks>
    <hyperlink ref="H4" location="'Front Sheet'!A1" display="LINK TO FRONT SHEET"/>
    <hyperlink ref="H5" location="sht_sysCheck" display="sht_sysCheck"/>
  </hyperlinks>
  <pageMargins left="0.2362204724409449" right="0.2362204724409449" top="0.7480314960629921" bottom="0.7480314960629921" header="0.3149606299212598" footer="0.3149606299212598"/>
  <pageSetup orientation="landscape" paperSize="8" scale="32" fitToHeight="0"/>
  <headerFooter>
    <oddHeader>&amp;L&amp;C&amp;R</oddHeader>
    <oddFooter>&amp;L&amp;F&amp;CPage &amp;P of &amp;N&amp;RPrinted on: &amp;D &amp;T</oddFooter>
    <evenHeader/>
    <evenFooter/>
    <firstHeader/>
    <firstFooter/>
  </headerFooter>
  <rowBreaks count="1" manualBreakCount="1">
    <brk id="159" min="0" max="54" man="1"/>
  </rowBreaks>
</worksheet>
</file>

<file path=xl/worksheets/sheet8.xml><?xml version="1.0" encoding="utf-8"?>
<worksheet xmlns="http://schemas.openxmlformats.org/spreadsheetml/2006/main">
  <sheetPr>
    <tabColor rgb="FF002060"/>
    <outlinePr summaryBelow="1" summaryRight="1"/>
    <pageSetUpPr fitToPage="1"/>
  </sheetPr>
  <dimension ref="A1:CW89"/>
  <sheetViews>
    <sheetView showGridLines="0" zoomScale="70" zoomScaleNormal="70" workbookViewId="0">
      <pane xSplit="11" ySplit="7" topLeftCell="P8" activePane="bottomRight" state="frozen"/>
      <selection activeCell="P48" sqref="P48"/>
      <selection pane="topRight" activeCell="P48" sqref="P48"/>
      <selection pane="bottomLeft" activeCell="P48" sqref="P48"/>
      <selection pane="bottomRight" activeCell="V18" sqref="V18"/>
    </sheetView>
  </sheetViews>
  <sheetFormatPr baseColWidth="8" defaultColWidth="0" defaultRowHeight="0" customHeight="1" zeroHeight="1"/>
  <cols>
    <col width="1.5703125" customWidth="1" style="4" min="1" max="1"/>
    <col width="4.140625" customWidth="1" style="4" min="2" max="3"/>
    <col width="4.42578125" customWidth="1" style="4" min="4" max="4"/>
    <col width="5.140625" customWidth="1" style="4" min="5" max="5"/>
    <col width="3.5703125" customWidth="1" style="4" min="6" max="6"/>
    <col width="4.7109375" customWidth="1" style="4" min="7" max="7"/>
    <col width="44.140625" customWidth="1" style="4" min="8" max="8"/>
    <col width="9" customWidth="1" style="4" min="9" max="9"/>
    <col width="2.5703125" customWidth="1" style="4" min="10" max="10"/>
    <col width="14.42578125" customWidth="1" style="4" min="11" max="11"/>
    <col width="3.85546875" customWidth="1" style="4" min="12" max="12"/>
    <col width="14.42578125" customWidth="1" style="4" min="13" max="72"/>
    <col width="16.28515625" customWidth="1" style="4" min="73" max="73"/>
    <col width="3.85546875" customWidth="1" style="4" min="74" max="74"/>
    <col width="14.42578125" customWidth="1" style="4" min="75" max="75"/>
    <col width="4.28515625" customWidth="1" style="4" min="76" max="76"/>
    <col width="4.85546875" customWidth="1" style="4" min="77" max="77"/>
    <col hidden="1" width="14.42578125" customWidth="1" style="4" min="78" max="82"/>
    <col hidden="1" width="14.140625" customWidth="1" style="4" min="83" max="83"/>
    <col hidden="1" width="4" customWidth="1" style="4" min="84" max="84"/>
    <col hidden="1" width="13" customWidth="1" style="4" min="85" max="87"/>
    <col hidden="1" width="14.42578125" customWidth="1" style="4" min="88" max="101"/>
    <col hidden="1" width="13" customWidth="1" style="4" min="102" max="109"/>
    <col hidden="1" width="14.42578125" customWidth="1" style="4" min="110" max="114"/>
    <col hidden="1" width="14.140625" customWidth="1" style="4" min="115" max="115"/>
    <col hidden="1" width="4" customWidth="1" style="4" min="116" max="116"/>
    <col hidden="1" width="13" customWidth="1" style="4" min="117" max="119"/>
    <col hidden="1" width="14.42578125" customWidth="1" style="4" min="120" max="16384"/>
  </cols>
  <sheetData>
    <row r="1" ht="17.65" customFormat="1" customHeight="1" s="2">
      <c r="A1" s="99" t="n"/>
      <c r="B1" s="99">
        <f>i_Setup!$M$13&amp;" Financial Projection"</f>
        <v/>
      </c>
      <c r="C1" s="99" t="n"/>
      <c r="D1" s="99" t="n"/>
      <c r="E1" s="99" t="n"/>
      <c r="F1" s="99" t="n"/>
      <c r="G1" s="99" t="n"/>
      <c r="H1" s="99" t="n"/>
      <c r="I1" s="97" t="n"/>
      <c r="J1" s="97" t="n"/>
      <c r="K1" s="127" t="inlineStr">
        <is>
          <t>Start date</t>
        </is>
      </c>
      <c r="L1" s="128" t="n"/>
      <c r="M1" s="138">
        <f>'o_Fin Stats'!T1</f>
        <v/>
      </c>
      <c r="N1" s="138">
        <f>'o_Fin Stats'!U1</f>
        <v/>
      </c>
      <c r="O1" s="138">
        <f>'o_Fin Stats'!V1</f>
        <v/>
      </c>
      <c r="P1" s="138">
        <f>'o_Fin Stats'!W1</f>
        <v/>
      </c>
      <c r="Q1" s="138">
        <f>'o_Fin Stats'!X1</f>
        <v/>
      </c>
      <c r="R1" s="138">
        <f>'o_Fin Stats'!Y1</f>
        <v/>
      </c>
      <c r="S1" s="138">
        <f>'o_Fin Stats'!Z1</f>
        <v/>
      </c>
      <c r="T1" s="138">
        <f>'o_Fin Stats'!AA1</f>
        <v/>
      </c>
      <c r="U1" s="138">
        <f>'o_Fin Stats'!AB1</f>
        <v/>
      </c>
      <c r="V1" s="138">
        <f>'o_Fin Stats'!AC1</f>
        <v/>
      </c>
      <c r="W1" s="138">
        <f>'o_Fin Stats'!AD1</f>
        <v/>
      </c>
      <c r="X1" s="138">
        <f>'o_Fin Stats'!AE1</f>
        <v/>
      </c>
      <c r="Y1" s="138">
        <f>'o_Fin Stats'!AF1</f>
        <v/>
      </c>
      <c r="Z1" s="138">
        <f>'o_Fin Stats'!AG1</f>
        <v/>
      </c>
      <c r="AA1" s="138">
        <f>'o_Fin Stats'!AH1</f>
        <v/>
      </c>
      <c r="AB1" s="138">
        <f>'o_Fin Stats'!AI1</f>
        <v/>
      </c>
      <c r="AC1" s="138">
        <f>'o_Fin Stats'!AJ1</f>
        <v/>
      </c>
      <c r="AD1" s="138">
        <f>'o_Fin Stats'!AK1</f>
        <v/>
      </c>
      <c r="AE1" s="138">
        <f>'o_Fin Stats'!AL1</f>
        <v/>
      </c>
      <c r="AF1" s="138">
        <f>'o_Fin Stats'!AM1</f>
        <v/>
      </c>
      <c r="AG1" s="138">
        <f>'o_Fin Stats'!AN1</f>
        <v/>
      </c>
      <c r="AH1" s="138">
        <f>'o_Fin Stats'!AO1</f>
        <v/>
      </c>
      <c r="AI1" s="138">
        <f>'o_Fin Stats'!AP1</f>
        <v/>
      </c>
      <c r="AJ1" s="138">
        <f>'o_Fin Stats'!AQ1</f>
        <v/>
      </c>
      <c r="AK1" s="138">
        <f>'o_Fin Stats'!AR1</f>
        <v/>
      </c>
      <c r="AL1" s="138">
        <f>'o_Fin Stats'!AS1</f>
        <v/>
      </c>
      <c r="AM1" s="138">
        <f>'o_Fin Stats'!AT1</f>
        <v/>
      </c>
      <c r="AN1" s="138">
        <f>'o_Fin Stats'!AU1</f>
        <v/>
      </c>
      <c r="AO1" s="138">
        <f>'o_Fin Stats'!AV1</f>
        <v/>
      </c>
      <c r="AP1" s="138">
        <f>'o_Fin Stats'!AW1</f>
        <v/>
      </c>
      <c r="AQ1" s="138">
        <f>'o_Fin Stats'!AX1</f>
        <v/>
      </c>
      <c r="AR1" s="138">
        <f>'o_Fin Stats'!AY1</f>
        <v/>
      </c>
      <c r="AS1" s="138">
        <f>'o_Fin Stats'!AZ1</f>
        <v/>
      </c>
      <c r="AT1" s="138">
        <f>'o_Fin Stats'!BA1</f>
        <v/>
      </c>
      <c r="AU1" s="138">
        <f>'o_Fin Stats'!BB1</f>
        <v/>
      </c>
      <c r="AV1" s="138">
        <f>'o_Fin Stats'!BC1</f>
        <v/>
      </c>
      <c r="AW1" s="138">
        <f>'o_Fin Stats'!BD1</f>
        <v/>
      </c>
      <c r="AX1" s="138">
        <f>'o_Fin Stats'!BE1</f>
        <v/>
      </c>
      <c r="AY1" s="138">
        <f>'o_Fin Stats'!BF1</f>
        <v/>
      </c>
      <c r="AZ1" s="138">
        <f>'o_Fin Stats'!BG1</f>
        <v/>
      </c>
      <c r="BA1" s="138">
        <f>'o_Fin Stats'!BH1</f>
        <v/>
      </c>
      <c r="BB1" s="138">
        <f>'o_Fin Stats'!BI1</f>
        <v/>
      </c>
      <c r="BC1" s="138">
        <f>'o_Fin Stats'!BJ1</f>
        <v/>
      </c>
      <c r="BD1" s="138">
        <f>'o_Fin Stats'!BK1</f>
        <v/>
      </c>
      <c r="BE1" s="138">
        <f>'o_Fin Stats'!BL1</f>
        <v/>
      </c>
      <c r="BF1" s="138">
        <f>'o_Fin Stats'!BM1</f>
        <v/>
      </c>
      <c r="BG1" s="138">
        <f>'o_Fin Stats'!BN1</f>
        <v/>
      </c>
      <c r="BH1" s="138">
        <f>'o_Fin Stats'!BO1</f>
        <v/>
      </c>
      <c r="BI1" s="138">
        <f>'o_Fin Stats'!BP1</f>
        <v/>
      </c>
      <c r="BJ1" s="138">
        <f>'o_Fin Stats'!BQ1</f>
        <v/>
      </c>
      <c r="BK1" s="138">
        <f>'o_Fin Stats'!BR1</f>
        <v/>
      </c>
      <c r="BL1" s="138">
        <f>'o_Fin Stats'!BS1</f>
        <v/>
      </c>
      <c r="BM1" s="138">
        <f>'o_Fin Stats'!BT1</f>
        <v/>
      </c>
      <c r="BN1" s="138">
        <f>'o_Fin Stats'!BU1</f>
        <v/>
      </c>
      <c r="BO1" s="138">
        <f>'o_Fin Stats'!BV1</f>
        <v/>
      </c>
      <c r="BP1" s="138">
        <f>'o_Fin Stats'!BW1</f>
        <v/>
      </c>
      <c r="BQ1" s="138">
        <f>'o_Fin Stats'!BX1</f>
        <v/>
      </c>
      <c r="BR1" s="138">
        <f>'o_Fin Stats'!BY1</f>
        <v/>
      </c>
      <c r="BS1" s="138">
        <f>'o_Fin Stats'!BZ1</f>
        <v/>
      </c>
      <c r="BT1" s="138">
        <f>'o_Fin Stats'!CA1</f>
        <v/>
      </c>
      <c r="BU1" s="138">
        <f>BT2+1</f>
        <v/>
      </c>
      <c r="BV1" s="128" t="n"/>
      <c r="BW1" s="128" t="n"/>
      <c r="BX1" s="128" t="n"/>
      <c r="BY1" s="128" t="n"/>
      <c r="BZ1" s="128" t="n"/>
      <c r="CA1" s="128" t="n"/>
      <c r="CB1" s="128" t="n"/>
      <c r="CC1" s="128" t="n"/>
      <c r="CD1" s="128" t="n"/>
      <c r="CE1" s="128" t="n"/>
      <c r="CF1" s="128" t="n"/>
    </row>
    <row r="2" ht="17.65" customFormat="1" customHeight="1" s="1">
      <c r="A2" s="99" t="n"/>
      <c r="B2" s="98">
        <f>MID(CELL("filename",C1),FIND("]",CELL("filename",C1))+1,256)</f>
        <v/>
      </c>
      <c r="C2" s="99" t="n"/>
      <c r="D2" s="99" t="n"/>
      <c r="E2" s="99" t="n"/>
      <c r="F2" s="99" t="n"/>
      <c r="G2" s="99" t="n"/>
      <c r="H2" s="99" t="n"/>
      <c r="I2" s="97" t="n"/>
      <c r="J2" s="100" t="n"/>
      <c r="K2" s="127" t="inlineStr">
        <is>
          <t>End date</t>
        </is>
      </c>
      <c r="L2" s="134">
        <f>M1-1</f>
        <v/>
      </c>
      <c r="M2" s="138">
        <f>'o_Fin Stats'!T2</f>
        <v/>
      </c>
      <c r="N2" s="138">
        <f>'o_Fin Stats'!U2</f>
        <v/>
      </c>
      <c r="O2" s="138">
        <f>'o_Fin Stats'!V2</f>
        <v/>
      </c>
      <c r="P2" s="138">
        <f>'o_Fin Stats'!W2</f>
        <v/>
      </c>
      <c r="Q2" s="138">
        <f>'o_Fin Stats'!X2</f>
        <v/>
      </c>
      <c r="R2" s="138">
        <f>'o_Fin Stats'!Y2</f>
        <v/>
      </c>
      <c r="S2" s="138">
        <f>'o_Fin Stats'!Z2</f>
        <v/>
      </c>
      <c r="T2" s="138">
        <f>'o_Fin Stats'!AA2</f>
        <v/>
      </c>
      <c r="U2" s="138">
        <f>'o_Fin Stats'!AB2</f>
        <v/>
      </c>
      <c r="V2" s="138">
        <f>'o_Fin Stats'!AC2</f>
        <v/>
      </c>
      <c r="W2" s="138">
        <f>'o_Fin Stats'!AD2</f>
        <v/>
      </c>
      <c r="X2" s="138">
        <f>'o_Fin Stats'!AE2</f>
        <v/>
      </c>
      <c r="Y2" s="138">
        <f>'o_Fin Stats'!AF2</f>
        <v/>
      </c>
      <c r="Z2" s="138">
        <f>'o_Fin Stats'!AG2</f>
        <v/>
      </c>
      <c r="AA2" s="138">
        <f>'o_Fin Stats'!AH2</f>
        <v/>
      </c>
      <c r="AB2" s="138">
        <f>'o_Fin Stats'!AI2</f>
        <v/>
      </c>
      <c r="AC2" s="138">
        <f>'o_Fin Stats'!AJ2</f>
        <v/>
      </c>
      <c r="AD2" s="138">
        <f>'o_Fin Stats'!AK2</f>
        <v/>
      </c>
      <c r="AE2" s="138">
        <f>'o_Fin Stats'!AL2</f>
        <v/>
      </c>
      <c r="AF2" s="138">
        <f>'o_Fin Stats'!AM2</f>
        <v/>
      </c>
      <c r="AG2" s="138">
        <f>'o_Fin Stats'!AN2</f>
        <v/>
      </c>
      <c r="AH2" s="138">
        <f>'o_Fin Stats'!AO2</f>
        <v/>
      </c>
      <c r="AI2" s="138">
        <f>'o_Fin Stats'!AP2</f>
        <v/>
      </c>
      <c r="AJ2" s="138">
        <f>'o_Fin Stats'!AQ2</f>
        <v/>
      </c>
      <c r="AK2" s="138">
        <f>'o_Fin Stats'!AR2</f>
        <v/>
      </c>
      <c r="AL2" s="138">
        <f>'o_Fin Stats'!AS2</f>
        <v/>
      </c>
      <c r="AM2" s="138">
        <f>'o_Fin Stats'!AT2</f>
        <v/>
      </c>
      <c r="AN2" s="138">
        <f>'o_Fin Stats'!AU2</f>
        <v/>
      </c>
      <c r="AO2" s="138">
        <f>'o_Fin Stats'!AV2</f>
        <v/>
      </c>
      <c r="AP2" s="138">
        <f>'o_Fin Stats'!AW2</f>
        <v/>
      </c>
      <c r="AQ2" s="138">
        <f>'o_Fin Stats'!AX2</f>
        <v/>
      </c>
      <c r="AR2" s="138">
        <f>'o_Fin Stats'!AY2</f>
        <v/>
      </c>
      <c r="AS2" s="138">
        <f>'o_Fin Stats'!AZ2</f>
        <v/>
      </c>
      <c r="AT2" s="138">
        <f>'o_Fin Stats'!BA2</f>
        <v/>
      </c>
      <c r="AU2" s="138">
        <f>'o_Fin Stats'!BB2</f>
        <v/>
      </c>
      <c r="AV2" s="138">
        <f>'o_Fin Stats'!BC2</f>
        <v/>
      </c>
      <c r="AW2" s="138">
        <f>'o_Fin Stats'!BD2</f>
        <v/>
      </c>
      <c r="AX2" s="138">
        <f>'o_Fin Stats'!BE2</f>
        <v/>
      </c>
      <c r="AY2" s="138">
        <f>'o_Fin Stats'!BF2</f>
        <v/>
      </c>
      <c r="AZ2" s="138">
        <f>'o_Fin Stats'!BG2</f>
        <v/>
      </c>
      <c r="BA2" s="138">
        <f>'o_Fin Stats'!BH2</f>
        <v/>
      </c>
      <c r="BB2" s="138">
        <f>'o_Fin Stats'!BI2</f>
        <v/>
      </c>
      <c r="BC2" s="138">
        <f>'o_Fin Stats'!BJ2</f>
        <v/>
      </c>
      <c r="BD2" s="138">
        <f>'o_Fin Stats'!BK2</f>
        <v/>
      </c>
      <c r="BE2" s="138">
        <f>'o_Fin Stats'!BL2</f>
        <v/>
      </c>
      <c r="BF2" s="138">
        <f>'o_Fin Stats'!BM2</f>
        <v/>
      </c>
      <c r="BG2" s="138">
        <f>'o_Fin Stats'!BN2</f>
        <v/>
      </c>
      <c r="BH2" s="138">
        <f>'o_Fin Stats'!BO2</f>
        <v/>
      </c>
      <c r="BI2" s="138">
        <f>'o_Fin Stats'!BP2</f>
        <v/>
      </c>
      <c r="BJ2" s="138">
        <f>'o_Fin Stats'!BQ2</f>
        <v/>
      </c>
      <c r="BK2" s="138">
        <f>'o_Fin Stats'!BR2</f>
        <v/>
      </c>
      <c r="BL2" s="138">
        <f>'o_Fin Stats'!BS2</f>
        <v/>
      </c>
      <c r="BM2" s="138">
        <f>'o_Fin Stats'!BT2</f>
        <v/>
      </c>
      <c r="BN2" s="138">
        <f>'o_Fin Stats'!BU2</f>
        <v/>
      </c>
      <c r="BO2" s="138">
        <f>'o_Fin Stats'!BV2</f>
        <v/>
      </c>
      <c r="BP2" s="138">
        <f>'o_Fin Stats'!BW2</f>
        <v/>
      </c>
      <c r="BQ2" s="138">
        <f>'o_Fin Stats'!BX2</f>
        <v/>
      </c>
      <c r="BR2" s="138">
        <f>'o_Fin Stats'!BY2</f>
        <v/>
      </c>
      <c r="BS2" s="138">
        <f>'o_Fin Stats'!BZ2</f>
        <v/>
      </c>
      <c r="BT2" s="138">
        <f>'o_Fin Stats'!CA2</f>
        <v/>
      </c>
      <c r="BU2" s="138" t="inlineStr">
        <is>
          <t>Onwards</t>
        </is>
      </c>
      <c r="BV2" s="129" t="n"/>
      <c r="BW2" s="129" t="n"/>
      <c r="BX2" s="129" t="n"/>
      <c r="BY2" s="129" t="n"/>
      <c r="BZ2" s="129" t="n"/>
      <c r="CA2" s="129" t="n"/>
      <c r="CB2" s="129" t="n"/>
      <c r="CC2" s="129" t="n"/>
      <c r="CD2" s="129" t="n"/>
      <c r="CE2" s="129" t="n"/>
      <c r="CF2" s="129" t="n"/>
    </row>
    <row r="3" ht="17.65" customHeight="1" s="227">
      <c r="A3" s="99" t="n"/>
      <c r="B3" s="99" t="n"/>
      <c r="C3" s="99" t="n"/>
      <c r="D3" s="99" t="n"/>
      <c r="E3" s="99" t="n"/>
      <c r="F3" s="99" t="n"/>
      <c r="G3" s="99" t="n"/>
      <c r="H3" s="99" t="n"/>
      <c r="I3" s="100" t="n"/>
      <c r="J3" s="124" t="n"/>
      <c r="K3" s="127" t="inlineStr">
        <is>
          <t>Timeline</t>
        </is>
      </c>
      <c r="L3" s="130" t="n"/>
      <c r="M3" s="139">
        <f>'o_Fin Stats'!T3</f>
        <v/>
      </c>
      <c r="N3" s="139">
        <f>'o_Fin Stats'!U3</f>
        <v/>
      </c>
      <c r="O3" s="139">
        <f>'o_Fin Stats'!V3</f>
        <v/>
      </c>
      <c r="P3" s="139">
        <f>'o_Fin Stats'!W3</f>
        <v/>
      </c>
      <c r="Q3" s="139">
        <f>'o_Fin Stats'!X3</f>
        <v/>
      </c>
      <c r="R3" s="139">
        <f>'o_Fin Stats'!Y3</f>
        <v/>
      </c>
      <c r="S3" s="139">
        <f>'o_Fin Stats'!Z3</f>
        <v/>
      </c>
      <c r="T3" s="139">
        <f>'o_Fin Stats'!AA3</f>
        <v/>
      </c>
      <c r="U3" s="139">
        <f>'o_Fin Stats'!AB3</f>
        <v/>
      </c>
      <c r="V3" s="139">
        <f>'o_Fin Stats'!AC3</f>
        <v/>
      </c>
      <c r="W3" s="139">
        <f>'o_Fin Stats'!AD3</f>
        <v/>
      </c>
      <c r="X3" s="139">
        <f>'o_Fin Stats'!AE3</f>
        <v/>
      </c>
      <c r="Y3" s="139">
        <f>'o_Fin Stats'!AF3</f>
        <v/>
      </c>
      <c r="Z3" s="139">
        <f>'o_Fin Stats'!AG3</f>
        <v/>
      </c>
      <c r="AA3" s="139">
        <f>'o_Fin Stats'!AH3</f>
        <v/>
      </c>
      <c r="AB3" s="139">
        <f>'o_Fin Stats'!AI3</f>
        <v/>
      </c>
      <c r="AC3" s="139">
        <f>'o_Fin Stats'!AJ3</f>
        <v/>
      </c>
      <c r="AD3" s="139">
        <f>'o_Fin Stats'!AK3</f>
        <v/>
      </c>
      <c r="AE3" s="139">
        <f>'o_Fin Stats'!AL3</f>
        <v/>
      </c>
      <c r="AF3" s="139">
        <f>'o_Fin Stats'!AM3</f>
        <v/>
      </c>
      <c r="AG3" s="139">
        <f>'o_Fin Stats'!AN3</f>
        <v/>
      </c>
      <c r="AH3" s="139">
        <f>'o_Fin Stats'!AO3</f>
        <v/>
      </c>
      <c r="AI3" s="139">
        <f>'o_Fin Stats'!AP3</f>
        <v/>
      </c>
      <c r="AJ3" s="139">
        <f>'o_Fin Stats'!AQ3</f>
        <v/>
      </c>
      <c r="AK3" s="139">
        <f>'o_Fin Stats'!AR3</f>
        <v/>
      </c>
      <c r="AL3" s="139">
        <f>'o_Fin Stats'!AS3</f>
        <v/>
      </c>
      <c r="AM3" s="139">
        <f>'o_Fin Stats'!AT3</f>
        <v/>
      </c>
      <c r="AN3" s="139">
        <f>'o_Fin Stats'!AU3</f>
        <v/>
      </c>
      <c r="AO3" s="139">
        <f>'o_Fin Stats'!AV3</f>
        <v/>
      </c>
      <c r="AP3" s="139">
        <f>'o_Fin Stats'!AW3</f>
        <v/>
      </c>
      <c r="AQ3" s="139">
        <f>'o_Fin Stats'!AX3</f>
        <v/>
      </c>
      <c r="AR3" s="139">
        <f>'o_Fin Stats'!AY3</f>
        <v/>
      </c>
      <c r="AS3" s="139">
        <f>'o_Fin Stats'!AZ3</f>
        <v/>
      </c>
      <c r="AT3" s="139">
        <f>'o_Fin Stats'!BA3</f>
        <v/>
      </c>
      <c r="AU3" s="139">
        <f>'o_Fin Stats'!BB3</f>
        <v/>
      </c>
      <c r="AV3" s="139">
        <f>'o_Fin Stats'!BC3</f>
        <v/>
      </c>
      <c r="AW3" s="139">
        <f>'o_Fin Stats'!BD3</f>
        <v/>
      </c>
      <c r="AX3" s="139">
        <f>'o_Fin Stats'!BE3</f>
        <v/>
      </c>
      <c r="AY3" s="139">
        <f>'o_Fin Stats'!BF3</f>
        <v/>
      </c>
      <c r="AZ3" s="139">
        <f>'o_Fin Stats'!BG3</f>
        <v/>
      </c>
      <c r="BA3" s="139">
        <f>'o_Fin Stats'!BH3</f>
        <v/>
      </c>
      <c r="BB3" s="139">
        <f>'o_Fin Stats'!BI3</f>
        <v/>
      </c>
      <c r="BC3" s="139">
        <f>'o_Fin Stats'!BJ3</f>
        <v/>
      </c>
      <c r="BD3" s="139">
        <f>'o_Fin Stats'!BK3</f>
        <v/>
      </c>
      <c r="BE3" s="139">
        <f>'o_Fin Stats'!BL3</f>
        <v/>
      </c>
      <c r="BF3" s="139">
        <f>'o_Fin Stats'!BM3</f>
        <v/>
      </c>
      <c r="BG3" s="139">
        <f>'o_Fin Stats'!BN3</f>
        <v/>
      </c>
      <c r="BH3" s="139">
        <f>'o_Fin Stats'!BO3</f>
        <v/>
      </c>
      <c r="BI3" s="139">
        <f>'o_Fin Stats'!BP3</f>
        <v/>
      </c>
      <c r="BJ3" s="139">
        <f>'o_Fin Stats'!BQ3</f>
        <v/>
      </c>
      <c r="BK3" s="139">
        <f>'o_Fin Stats'!BR3</f>
        <v/>
      </c>
      <c r="BL3" s="139">
        <f>'o_Fin Stats'!BS3</f>
        <v/>
      </c>
      <c r="BM3" s="139">
        <f>'o_Fin Stats'!BT3</f>
        <v/>
      </c>
      <c r="BN3" s="139">
        <f>'o_Fin Stats'!BU3</f>
        <v/>
      </c>
      <c r="BO3" s="139">
        <f>'o_Fin Stats'!BV3</f>
        <v/>
      </c>
      <c r="BP3" s="139">
        <f>'o_Fin Stats'!BW3</f>
        <v/>
      </c>
      <c r="BQ3" s="139">
        <f>'o_Fin Stats'!BX3</f>
        <v/>
      </c>
      <c r="BR3" s="139">
        <f>'o_Fin Stats'!BY3</f>
        <v/>
      </c>
      <c r="BS3" s="139">
        <f>'o_Fin Stats'!BZ3</f>
        <v/>
      </c>
      <c r="BT3" s="139">
        <f>'o_Fin Stats'!CA3</f>
        <v/>
      </c>
      <c r="BU3" s="139" t="inlineStr">
        <is>
          <t>MULTIPLE</t>
        </is>
      </c>
      <c r="BV3" s="101" t="n"/>
      <c r="BW3" s="101" t="n"/>
      <c r="BX3" s="101" t="n"/>
      <c r="BY3" s="101" t="n"/>
      <c r="BZ3" s="101" t="n"/>
      <c r="CA3" s="101" t="n"/>
      <c r="CB3" s="101" t="n"/>
      <c r="CC3" s="101" t="n"/>
      <c r="CD3" s="101" t="n"/>
      <c r="CE3" s="101" t="n"/>
      <c r="CF3" s="101" t="n"/>
    </row>
    <row r="4" ht="17.65" customHeight="1" s="227">
      <c r="A4" s="101" t="n"/>
      <c r="B4" s="105" t="inlineStr">
        <is>
          <t>Tab Check</t>
        </is>
      </c>
      <c r="C4" s="106" t="n"/>
      <c r="D4" s="107" t="n"/>
      <c r="E4" s="99" t="n"/>
      <c r="F4" s="101" t="n"/>
      <c r="G4" s="101" t="n"/>
      <c r="H4" s="26" t="inlineStr">
        <is>
          <t>LINK TO FRONT SHEET</t>
        </is>
      </c>
      <c r="I4" s="101" t="n"/>
      <c r="J4" s="101" t="n"/>
      <c r="K4" s="127" t="inlineStr">
        <is>
          <t>Year index</t>
        </is>
      </c>
      <c r="L4" s="130" t="n"/>
      <c r="M4" s="241">
        <f>'o_Fin Stats'!T4</f>
        <v/>
      </c>
      <c r="N4" s="241">
        <f>'o_Fin Stats'!U4</f>
        <v/>
      </c>
      <c r="O4" s="241">
        <f>'o_Fin Stats'!V4</f>
        <v/>
      </c>
      <c r="P4" s="241">
        <f>'o_Fin Stats'!W4</f>
        <v/>
      </c>
      <c r="Q4" s="241">
        <f>'o_Fin Stats'!X4</f>
        <v/>
      </c>
      <c r="R4" s="241">
        <f>'o_Fin Stats'!Y4</f>
        <v/>
      </c>
      <c r="S4" s="241">
        <f>'o_Fin Stats'!Z4</f>
        <v/>
      </c>
      <c r="T4" s="241">
        <f>'o_Fin Stats'!AA4</f>
        <v/>
      </c>
      <c r="U4" s="241">
        <f>'o_Fin Stats'!AB4</f>
        <v/>
      </c>
      <c r="V4" s="241">
        <f>'o_Fin Stats'!AC4</f>
        <v/>
      </c>
      <c r="W4" s="241">
        <f>'o_Fin Stats'!AD4</f>
        <v/>
      </c>
      <c r="X4" s="241">
        <f>'o_Fin Stats'!AE4</f>
        <v/>
      </c>
      <c r="Y4" s="241">
        <f>'o_Fin Stats'!AF4</f>
        <v/>
      </c>
      <c r="Z4" s="241">
        <f>'o_Fin Stats'!AG4</f>
        <v/>
      </c>
      <c r="AA4" s="241">
        <f>'o_Fin Stats'!AH4</f>
        <v/>
      </c>
      <c r="AB4" s="241">
        <f>'o_Fin Stats'!AI4</f>
        <v/>
      </c>
      <c r="AC4" s="241">
        <f>'o_Fin Stats'!AJ4</f>
        <v/>
      </c>
      <c r="AD4" s="241">
        <f>'o_Fin Stats'!AK4</f>
        <v/>
      </c>
      <c r="AE4" s="241">
        <f>'o_Fin Stats'!AL4</f>
        <v/>
      </c>
      <c r="AF4" s="241">
        <f>'o_Fin Stats'!AM4</f>
        <v/>
      </c>
      <c r="AG4" s="241">
        <f>'o_Fin Stats'!AN4</f>
        <v/>
      </c>
      <c r="AH4" s="241">
        <f>'o_Fin Stats'!AO4</f>
        <v/>
      </c>
      <c r="AI4" s="241">
        <f>'o_Fin Stats'!AP4</f>
        <v/>
      </c>
      <c r="AJ4" s="241">
        <f>'o_Fin Stats'!AQ4</f>
        <v/>
      </c>
      <c r="AK4" s="241">
        <f>'o_Fin Stats'!AR4</f>
        <v/>
      </c>
      <c r="AL4" s="241">
        <f>'o_Fin Stats'!AS4</f>
        <v/>
      </c>
      <c r="AM4" s="241">
        <f>'o_Fin Stats'!AT4</f>
        <v/>
      </c>
      <c r="AN4" s="241">
        <f>'o_Fin Stats'!AU4</f>
        <v/>
      </c>
      <c r="AO4" s="241">
        <f>'o_Fin Stats'!AV4</f>
        <v/>
      </c>
      <c r="AP4" s="241">
        <f>'o_Fin Stats'!AW4</f>
        <v/>
      </c>
      <c r="AQ4" s="241">
        <f>'o_Fin Stats'!AX4</f>
        <v/>
      </c>
      <c r="AR4" s="241">
        <f>'o_Fin Stats'!AY4</f>
        <v/>
      </c>
      <c r="AS4" s="241">
        <f>'o_Fin Stats'!AZ4</f>
        <v/>
      </c>
      <c r="AT4" s="241">
        <f>'o_Fin Stats'!BA4</f>
        <v/>
      </c>
      <c r="AU4" s="241">
        <f>'o_Fin Stats'!BB4</f>
        <v/>
      </c>
      <c r="AV4" s="241">
        <f>'o_Fin Stats'!BC4</f>
        <v/>
      </c>
      <c r="AW4" s="241">
        <f>'o_Fin Stats'!BD4</f>
        <v/>
      </c>
      <c r="AX4" s="241">
        <f>'o_Fin Stats'!BE4</f>
        <v/>
      </c>
      <c r="AY4" s="241">
        <f>'o_Fin Stats'!BF4</f>
        <v/>
      </c>
      <c r="AZ4" s="241">
        <f>'o_Fin Stats'!BG4</f>
        <v/>
      </c>
      <c r="BA4" s="241">
        <f>'o_Fin Stats'!BH4</f>
        <v/>
      </c>
      <c r="BB4" s="241">
        <f>'o_Fin Stats'!BI4</f>
        <v/>
      </c>
      <c r="BC4" s="241">
        <f>'o_Fin Stats'!BJ4</f>
        <v/>
      </c>
      <c r="BD4" s="241">
        <f>'o_Fin Stats'!BK4</f>
        <v/>
      </c>
      <c r="BE4" s="241">
        <f>'o_Fin Stats'!BL4</f>
        <v/>
      </c>
      <c r="BF4" s="241">
        <f>'o_Fin Stats'!BM4</f>
        <v/>
      </c>
      <c r="BG4" s="241">
        <f>'o_Fin Stats'!BN4</f>
        <v/>
      </c>
      <c r="BH4" s="241">
        <f>'o_Fin Stats'!BO4</f>
        <v/>
      </c>
      <c r="BI4" s="241">
        <f>'o_Fin Stats'!BP4</f>
        <v/>
      </c>
      <c r="BJ4" s="241">
        <f>'o_Fin Stats'!BQ4</f>
        <v/>
      </c>
      <c r="BK4" s="241">
        <f>'o_Fin Stats'!BR4</f>
        <v/>
      </c>
      <c r="BL4" s="241">
        <f>'o_Fin Stats'!BS4</f>
        <v/>
      </c>
      <c r="BM4" s="241">
        <f>'o_Fin Stats'!BT4</f>
        <v/>
      </c>
      <c r="BN4" s="241">
        <f>'o_Fin Stats'!BU4</f>
        <v/>
      </c>
      <c r="BO4" s="241">
        <f>'o_Fin Stats'!BV4</f>
        <v/>
      </c>
      <c r="BP4" s="241">
        <f>'o_Fin Stats'!BW4</f>
        <v/>
      </c>
      <c r="BQ4" s="241">
        <f>'o_Fin Stats'!BX4</f>
        <v/>
      </c>
      <c r="BR4" s="241">
        <f>'o_Fin Stats'!BY4</f>
        <v/>
      </c>
      <c r="BS4" s="241">
        <f>'o_Fin Stats'!BZ4</f>
        <v/>
      </c>
      <c r="BT4" s="241">
        <f>'o_Fin Stats'!CA4</f>
        <v/>
      </c>
      <c r="BU4" s="241" t="n"/>
      <c r="BV4" s="101" t="n"/>
      <c r="BW4" s="101" t="n"/>
      <c r="BX4" s="101" t="n"/>
      <c r="BY4" s="101" t="n"/>
      <c r="BZ4" s="101" t="n"/>
      <c r="CA4" s="101" t="n"/>
      <c r="CB4" s="101" t="n"/>
      <c r="CC4" s="101" t="n"/>
      <c r="CD4" s="101" t="n"/>
      <c r="CE4" s="101" t="n"/>
      <c r="CF4" s="101" t="n"/>
    </row>
    <row r="5" ht="17.65" customHeight="1" s="227">
      <c r="A5" s="101" t="n"/>
      <c r="B5" s="228">
        <f>SUM(B$9:B89)</f>
        <v/>
      </c>
      <c r="C5" s="229">
        <f>SUM(C$9:C89)</f>
        <v/>
      </c>
      <c r="D5" s="104" t="n"/>
      <c r="E5" s="99" t="n"/>
      <c r="F5" s="101" t="n"/>
      <c r="G5" s="101" t="n"/>
      <c r="H5" s="28">
        <f>sysCheckText</f>
        <v/>
      </c>
      <c r="I5" s="101" t="n"/>
      <c r="J5" s="101" t="n"/>
      <c r="K5" s="127" t="inlineStr">
        <is>
          <t>Relative period</t>
        </is>
      </c>
      <c r="L5" s="130" t="n"/>
      <c r="M5" s="241">
        <f>'o_Fin Stats'!T5</f>
        <v/>
      </c>
      <c r="N5" s="241">
        <f>'o_Fin Stats'!U5</f>
        <v/>
      </c>
      <c r="O5" s="241">
        <f>'o_Fin Stats'!V5</f>
        <v/>
      </c>
      <c r="P5" s="241">
        <f>'o_Fin Stats'!W5</f>
        <v/>
      </c>
      <c r="Q5" s="241">
        <f>'o_Fin Stats'!X5</f>
        <v/>
      </c>
      <c r="R5" s="241">
        <f>'o_Fin Stats'!Y5</f>
        <v/>
      </c>
      <c r="S5" s="241">
        <f>'o_Fin Stats'!Z5</f>
        <v/>
      </c>
      <c r="T5" s="241">
        <f>'o_Fin Stats'!AA5</f>
        <v/>
      </c>
      <c r="U5" s="241">
        <f>'o_Fin Stats'!AB5</f>
        <v/>
      </c>
      <c r="V5" s="241">
        <f>'o_Fin Stats'!AC5</f>
        <v/>
      </c>
      <c r="W5" s="241">
        <f>'o_Fin Stats'!AD5</f>
        <v/>
      </c>
      <c r="X5" s="241">
        <f>'o_Fin Stats'!AE5</f>
        <v/>
      </c>
      <c r="Y5" s="241">
        <f>'o_Fin Stats'!AF5</f>
        <v/>
      </c>
      <c r="Z5" s="241">
        <f>'o_Fin Stats'!AG5</f>
        <v/>
      </c>
      <c r="AA5" s="241">
        <f>'o_Fin Stats'!AH5</f>
        <v/>
      </c>
      <c r="AB5" s="241">
        <f>'o_Fin Stats'!AI5</f>
        <v/>
      </c>
      <c r="AC5" s="241">
        <f>'o_Fin Stats'!AJ5</f>
        <v/>
      </c>
      <c r="AD5" s="241">
        <f>'o_Fin Stats'!AK5</f>
        <v/>
      </c>
      <c r="AE5" s="241">
        <f>'o_Fin Stats'!AL5</f>
        <v/>
      </c>
      <c r="AF5" s="241">
        <f>'o_Fin Stats'!AM5</f>
        <v/>
      </c>
      <c r="AG5" s="241">
        <f>'o_Fin Stats'!AN5</f>
        <v/>
      </c>
      <c r="AH5" s="241">
        <f>'o_Fin Stats'!AO5</f>
        <v/>
      </c>
      <c r="AI5" s="241">
        <f>'o_Fin Stats'!AP5</f>
        <v/>
      </c>
      <c r="AJ5" s="241">
        <f>'o_Fin Stats'!AQ5</f>
        <v/>
      </c>
      <c r="AK5" s="241">
        <f>'o_Fin Stats'!AR5</f>
        <v/>
      </c>
      <c r="AL5" s="241">
        <f>'o_Fin Stats'!AS5</f>
        <v/>
      </c>
      <c r="AM5" s="241">
        <f>'o_Fin Stats'!AT5</f>
        <v/>
      </c>
      <c r="AN5" s="241">
        <f>'o_Fin Stats'!AU5</f>
        <v/>
      </c>
      <c r="AO5" s="241">
        <f>'o_Fin Stats'!AV5</f>
        <v/>
      </c>
      <c r="AP5" s="241">
        <f>'o_Fin Stats'!AW5</f>
        <v/>
      </c>
      <c r="AQ5" s="241">
        <f>'o_Fin Stats'!AX5</f>
        <v/>
      </c>
      <c r="AR5" s="241">
        <f>'o_Fin Stats'!AY5</f>
        <v/>
      </c>
      <c r="AS5" s="241">
        <f>'o_Fin Stats'!AZ5</f>
        <v/>
      </c>
      <c r="AT5" s="241">
        <f>'o_Fin Stats'!BA5</f>
        <v/>
      </c>
      <c r="AU5" s="241">
        <f>'o_Fin Stats'!BB5</f>
        <v/>
      </c>
      <c r="AV5" s="241">
        <f>'o_Fin Stats'!BC5</f>
        <v/>
      </c>
      <c r="AW5" s="241">
        <f>'o_Fin Stats'!BD5</f>
        <v/>
      </c>
      <c r="AX5" s="241">
        <f>'o_Fin Stats'!BE5</f>
        <v/>
      </c>
      <c r="AY5" s="241">
        <f>'o_Fin Stats'!BF5</f>
        <v/>
      </c>
      <c r="AZ5" s="241">
        <f>'o_Fin Stats'!BG5</f>
        <v/>
      </c>
      <c r="BA5" s="241">
        <f>'o_Fin Stats'!BH5</f>
        <v/>
      </c>
      <c r="BB5" s="241">
        <f>'o_Fin Stats'!BI5</f>
        <v/>
      </c>
      <c r="BC5" s="241">
        <f>'o_Fin Stats'!BJ5</f>
        <v/>
      </c>
      <c r="BD5" s="241">
        <f>'o_Fin Stats'!BK5</f>
        <v/>
      </c>
      <c r="BE5" s="241">
        <f>'o_Fin Stats'!BL5</f>
        <v/>
      </c>
      <c r="BF5" s="241">
        <f>'o_Fin Stats'!BM5</f>
        <v/>
      </c>
      <c r="BG5" s="241">
        <f>'o_Fin Stats'!BN5</f>
        <v/>
      </c>
      <c r="BH5" s="241">
        <f>'o_Fin Stats'!BO5</f>
        <v/>
      </c>
      <c r="BI5" s="241">
        <f>'o_Fin Stats'!BP5</f>
        <v/>
      </c>
      <c r="BJ5" s="241">
        <f>'o_Fin Stats'!BQ5</f>
        <v/>
      </c>
      <c r="BK5" s="241">
        <f>'o_Fin Stats'!BR5</f>
        <v/>
      </c>
      <c r="BL5" s="241">
        <f>'o_Fin Stats'!BS5</f>
        <v/>
      </c>
      <c r="BM5" s="241">
        <f>'o_Fin Stats'!BT5</f>
        <v/>
      </c>
      <c r="BN5" s="241">
        <f>'o_Fin Stats'!BU5</f>
        <v/>
      </c>
      <c r="BO5" s="241">
        <f>'o_Fin Stats'!BV5</f>
        <v/>
      </c>
      <c r="BP5" s="241">
        <f>'o_Fin Stats'!BW5</f>
        <v/>
      </c>
      <c r="BQ5" s="241">
        <f>'o_Fin Stats'!BX5</f>
        <v/>
      </c>
      <c r="BR5" s="241">
        <f>'o_Fin Stats'!BY5</f>
        <v/>
      </c>
      <c r="BS5" s="241">
        <f>'o_Fin Stats'!BZ5</f>
        <v/>
      </c>
      <c r="BT5" s="241">
        <f>'o_Fin Stats'!CA5</f>
        <v/>
      </c>
      <c r="BU5" s="241" t="n"/>
      <c r="BV5" s="101" t="n"/>
      <c r="BW5" s="101" t="n"/>
      <c r="BX5" s="101" t="n"/>
      <c r="BY5" s="101" t="n"/>
      <c r="BZ5" s="101" t="n"/>
      <c r="CA5" s="101" t="n"/>
      <c r="CB5" s="101" t="n"/>
      <c r="CC5" s="101" t="n"/>
      <c r="CD5" s="101" t="n"/>
      <c r="CE5" s="101" t="n"/>
      <c r="CF5" s="101" t="n"/>
    </row>
    <row r="6" ht="17.65" customHeight="1" s="227">
      <c r="A6" s="101" t="n"/>
      <c r="B6" s="116" t="inlineStr">
        <is>
          <t>Err</t>
        </is>
      </c>
      <c r="C6" s="117" t="inlineStr">
        <is>
          <t>Alert</t>
        </is>
      </c>
      <c r="D6" s="118" t="n"/>
      <c r="E6" s="99" t="n"/>
      <c r="F6" s="101" t="n"/>
      <c r="G6" s="101" t="n"/>
      <c r="H6" s="101" t="n"/>
      <c r="I6" s="101" t="n"/>
      <c r="J6" s="101" t="n"/>
      <c r="K6" s="127" t="inlineStr">
        <is>
          <t>Period index</t>
        </is>
      </c>
      <c r="L6" s="101" t="n"/>
      <c r="M6" s="241">
        <f>'o_Fin Stats'!T6</f>
        <v/>
      </c>
      <c r="N6" s="241">
        <f>'o_Fin Stats'!U6</f>
        <v/>
      </c>
      <c r="O6" s="241">
        <f>'o_Fin Stats'!V6</f>
        <v/>
      </c>
      <c r="P6" s="241">
        <f>'o_Fin Stats'!W6</f>
        <v/>
      </c>
      <c r="Q6" s="241">
        <f>'o_Fin Stats'!X6</f>
        <v/>
      </c>
      <c r="R6" s="241">
        <f>'o_Fin Stats'!Y6</f>
        <v/>
      </c>
      <c r="S6" s="241">
        <f>'o_Fin Stats'!Z6</f>
        <v/>
      </c>
      <c r="T6" s="241">
        <f>'o_Fin Stats'!AA6</f>
        <v/>
      </c>
      <c r="U6" s="241">
        <f>'o_Fin Stats'!AB6</f>
        <v/>
      </c>
      <c r="V6" s="241">
        <f>'o_Fin Stats'!AC6</f>
        <v/>
      </c>
      <c r="W6" s="241">
        <f>'o_Fin Stats'!AD6</f>
        <v/>
      </c>
      <c r="X6" s="241">
        <f>'o_Fin Stats'!AE6</f>
        <v/>
      </c>
      <c r="Y6" s="241">
        <f>'o_Fin Stats'!AF6</f>
        <v/>
      </c>
      <c r="Z6" s="241">
        <f>'o_Fin Stats'!AG6</f>
        <v/>
      </c>
      <c r="AA6" s="241">
        <f>'o_Fin Stats'!AH6</f>
        <v/>
      </c>
      <c r="AB6" s="241">
        <f>'o_Fin Stats'!AI6</f>
        <v/>
      </c>
      <c r="AC6" s="241">
        <f>'o_Fin Stats'!AJ6</f>
        <v/>
      </c>
      <c r="AD6" s="241">
        <f>'o_Fin Stats'!AK6</f>
        <v/>
      </c>
      <c r="AE6" s="241">
        <f>'o_Fin Stats'!AL6</f>
        <v/>
      </c>
      <c r="AF6" s="241">
        <f>'o_Fin Stats'!AM6</f>
        <v/>
      </c>
      <c r="AG6" s="241">
        <f>'o_Fin Stats'!AN6</f>
        <v/>
      </c>
      <c r="AH6" s="241">
        <f>'o_Fin Stats'!AO6</f>
        <v/>
      </c>
      <c r="AI6" s="241">
        <f>'o_Fin Stats'!AP6</f>
        <v/>
      </c>
      <c r="AJ6" s="241">
        <f>'o_Fin Stats'!AQ6</f>
        <v/>
      </c>
      <c r="AK6" s="241">
        <f>'o_Fin Stats'!AR6</f>
        <v/>
      </c>
      <c r="AL6" s="241">
        <f>'o_Fin Stats'!AS6</f>
        <v/>
      </c>
      <c r="AM6" s="241">
        <f>'o_Fin Stats'!AT6</f>
        <v/>
      </c>
      <c r="AN6" s="241">
        <f>'o_Fin Stats'!AU6</f>
        <v/>
      </c>
      <c r="AO6" s="241">
        <f>'o_Fin Stats'!AV6</f>
        <v/>
      </c>
      <c r="AP6" s="241">
        <f>'o_Fin Stats'!AW6</f>
        <v/>
      </c>
      <c r="AQ6" s="241">
        <f>'o_Fin Stats'!AX6</f>
        <v/>
      </c>
      <c r="AR6" s="241">
        <f>'o_Fin Stats'!AY6</f>
        <v/>
      </c>
      <c r="AS6" s="241">
        <f>'o_Fin Stats'!AZ6</f>
        <v/>
      </c>
      <c r="AT6" s="241">
        <f>'o_Fin Stats'!BA6</f>
        <v/>
      </c>
      <c r="AU6" s="241">
        <f>'o_Fin Stats'!BB6</f>
        <v/>
      </c>
      <c r="AV6" s="241">
        <f>'o_Fin Stats'!BC6</f>
        <v/>
      </c>
      <c r="AW6" s="241">
        <f>'o_Fin Stats'!BD6</f>
        <v/>
      </c>
      <c r="AX6" s="241">
        <f>'o_Fin Stats'!BE6</f>
        <v/>
      </c>
      <c r="AY6" s="241">
        <f>'o_Fin Stats'!BF6</f>
        <v/>
      </c>
      <c r="AZ6" s="241">
        <f>'o_Fin Stats'!BG6</f>
        <v/>
      </c>
      <c r="BA6" s="241">
        <f>'o_Fin Stats'!BH6</f>
        <v/>
      </c>
      <c r="BB6" s="241">
        <f>'o_Fin Stats'!BI6</f>
        <v/>
      </c>
      <c r="BC6" s="241">
        <f>'o_Fin Stats'!BJ6</f>
        <v/>
      </c>
      <c r="BD6" s="241">
        <f>'o_Fin Stats'!BK6</f>
        <v/>
      </c>
      <c r="BE6" s="241">
        <f>'o_Fin Stats'!BL6</f>
        <v/>
      </c>
      <c r="BF6" s="241">
        <f>'o_Fin Stats'!BM6</f>
        <v/>
      </c>
      <c r="BG6" s="241">
        <f>'o_Fin Stats'!BN6</f>
        <v/>
      </c>
      <c r="BH6" s="241">
        <f>'o_Fin Stats'!BO6</f>
        <v/>
      </c>
      <c r="BI6" s="241">
        <f>'o_Fin Stats'!BP6</f>
        <v/>
      </c>
      <c r="BJ6" s="241">
        <f>'o_Fin Stats'!BQ6</f>
        <v/>
      </c>
      <c r="BK6" s="241">
        <f>'o_Fin Stats'!BR6</f>
        <v/>
      </c>
      <c r="BL6" s="241">
        <f>'o_Fin Stats'!BS6</f>
        <v/>
      </c>
      <c r="BM6" s="241">
        <f>'o_Fin Stats'!BT6</f>
        <v/>
      </c>
      <c r="BN6" s="241">
        <f>'o_Fin Stats'!BU6</f>
        <v/>
      </c>
      <c r="BO6" s="241">
        <f>'o_Fin Stats'!BV6</f>
        <v/>
      </c>
      <c r="BP6" s="241">
        <f>'o_Fin Stats'!BW6</f>
        <v/>
      </c>
      <c r="BQ6" s="241">
        <f>'o_Fin Stats'!BX6</f>
        <v/>
      </c>
      <c r="BR6" s="241">
        <f>'o_Fin Stats'!BY6</f>
        <v/>
      </c>
      <c r="BS6" s="241">
        <f>'o_Fin Stats'!BZ6</f>
        <v/>
      </c>
      <c r="BT6" s="241">
        <f>'o_Fin Stats'!CA6</f>
        <v/>
      </c>
      <c r="BU6" s="241" t="n"/>
      <c r="BV6" s="101" t="n"/>
      <c r="BW6" s="101" t="n"/>
      <c r="BX6" s="101" t="n"/>
      <c r="BY6" s="101" t="n"/>
      <c r="BZ6" s="101" t="n"/>
      <c r="CA6" s="101" t="n"/>
      <c r="CB6" s="101" t="n"/>
      <c r="CC6" s="101" t="n"/>
      <c r="CD6" s="101" t="n"/>
      <c r="CE6" s="101" t="n"/>
      <c r="CF6" s="101" t="n"/>
    </row>
    <row r="7" ht="17.65" customHeight="1" s="227">
      <c r="A7" s="101" t="n"/>
      <c r="B7" s="117" t="n"/>
      <c r="C7" s="117" t="n"/>
      <c r="D7" s="122" t="n"/>
      <c r="E7" s="99" t="n"/>
      <c r="F7" s="101" t="n"/>
      <c r="G7" s="101" t="n"/>
      <c r="H7" s="101" t="n"/>
      <c r="I7" s="101" t="n"/>
      <c r="J7" s="101" t="n"/>
      <c r="K7" s="127" t="inlineStr">
        <is>
          <t>Status</t>
        </is>
      </c>
      <c r="L7" s="101" t="n"/>
      <c r="M7" s="242">
        <f>'o_Fin Stats'!T7</f>
        <v/>
      </c>
      <c r="N7" s="242">
        <f>'o_Fin Stats'!U7</f>
        <v/>
      </c>
      <c r="O7" s="242">
        <f>'o_Fin Stats'!V7</f>
        <v/>
      </c>
      <c r="P7" s="242">
        <f>'o_Fin Stats'!W7</f>
        <v/>
      </c>
      <c r="Q7" s="242">
        <f>'o_Fin Stats'!X7</f>
        <v/>
      </c>
      <c r="R7" s="242">
        <f>'o_Fin Stats'!Y7</f>
        <v/>
      </c>
      <c r="S7" s="242">
        <f>'o_Fin Stats'!Z7</f>
        <v/>
      </c>
      <c r="T7" s="242">
        <f>'o_Fin Stats'!AA7</f>
        <v/>
      </c>
      <c r="U7" s="242">
        <f>'o_Fin Stats'!AB7</f>
        <v/>
      </c>
      <c r="V7" s="242">
        <f>'o_Fin Stats'!AC7</f>
        <v/>
      </c>
      <c r="W7" s="242">
        <f>'o_Fin Stats'!AD7</f>
        <v/>
      </c>
      <c r="X7" s="242">
        <f>'o_Fin Stats'!AE7</f>
        <v/>
      </c>
      <c r="Y7" s="242">
        <f>'o_Fin Stats'!AF7</f>
        <v/>
      </c>
      <c r="Z7" s="242">
        <f>'o_Fin Stats'!AG7</f>
        <v/>
      </c>
      <c r="AA7" s="242">
        <f>'o_Fin Stats'!AH7</f>
        <v/>
      </c>
      <c r="AB7" s="242">
        <f>'o_Fin Stats'!AI7</f>
        <v/>
      </c>
      <c r="AC7" s="242">
        <f>'o_Fin Stats'!AJ7</f>
        <v/>
      </c>
      <c r="AD7" s="242">
        <f>'o_Fin Stats'!AK7</f>
        <v/>
      </c>
      <c r="AE7" s="242">
        <f>'o_Fin Stats'!AL7</f>
        <v/>
      </c>
      <c r="AF7" s="242">
        <f>'o_Fin Stats'!AM7</f>
        <v/>
      </c>
      <c r="AG7" s="242">
        <f>'o_Fin Stats'!AN7</f>
        <v/>
      </c>
      <c r="AH7" s="242">
        <f>'o_Fin Stats'!AO7</f>
        <v/>
      </c>
      <c r="AI7" s="242">
        <f>'o_Fin Stats'!AP7</f>
        <v/>
      </c>
      <c r="AJ7" s="242">
        <f>'o_Fin Stats'!AQ7</f>
        <v/>
      </c>
      <c r="AK7" s="242">
        <f>'o_Fin Stats'!AR7</f>
        <v/>
      </c>
      <c r="AL7" s="242">
        <f>'o_Fin Stats'!AS7</f>
        <v/>
      </c>
      <c r="AM7" s="242">
        <f>'o_Fin Stats'!AT7</f>
        <v/>
      </c>
      <c r="AN7" s="242">
        <f>'o_Fin Stats'!AU7</f>
        <v/>
      </c>
      <c r="AO7" s="242">
        <f>'o_Fin Stats'!AV7</f>
        <v/>
      </c>
      <c r="AP7" s="242">
        <f>'o_Fin Stats'!AW7</f>
        <v/>
      </c>
      <c r="AQ7" s="242">
        <f>'o_Fin Stats'!AX7</f>
        <v/>
      </c>
      <c r="AR7" s="242">
        <f>'o_Fin Stats'!AY7</f>
        <v/>
      </c>
      <c r="AS7" s="242">
        <f>'o_Fin Stats'!AZ7</f>
        <v/>
      </c>
      <c r="AT7" s="242">
        <f>'o_Fin Stats'!BA7</f>
        <v/>
      </c>
      <c r="AU7" s="242">
        <f>'o_Fin Stats'!BB7</f>
        <v/>
      </c>
      <c r="AV7" s="242">
        <f>'o_Fin Stats'!BC7</f>
        <v/>
      </c>
      <c r="AW7" s="242">
        <f>'o_Fin Stats'!BD7</f>
        <v/>
      </c>
      <c r="AX7" s="242">
        <f>'o_Fin Stats'!BE7</f>
        <v/>
      </c>
      <c r="AY7" s="242">
        <f>'o_Fin Stats'!BF7</f>
        <v/>
      </c>
      <c r="AZ7" s="242">
        <f>'o_Fin Stats'!BG7</f>
        <v/>
      </c>
      <c r="BA7" s="242">
        <f>'o_Fin Stats'!BH7</f>
        <v/>
      </c>
      <c r="BB7" s="242">
        <f>'o_Fin Stats'!BI7</f>
        <v/>
      </c>
      <c r="BC7" s="242">
        <f>'o_Fin Stats'!BJ7</f>
        <v/>
      </c>
      <c r="BD7" s="242">
        <f>'o_Fin Stats'!BK7</f>
        <v/>
      </c>
      <c r="BE7" s="242">
        <f>'o_Fin Stats'!BL7</f>
        <v/>
      </c>
      <c r="BF7" s="242">
        <f>'o_Fin Stats'!BM7</f>
        <v/>
      </c>
      <c r="BG7" s="242">
        <f>'o_Fin Stats'!BN7</f>
        <v/>
      </c>
      <c r="BH7" s="242">
        <f>'o_Fin Stats'!BO7</f>
        <v/>
      </c>
      <c r="BI7" s="242">
        <f>'o_Fin Stats'!BP7</f>
        <v/>
      </c>
      <c r="BJ7" s="242">
        <f>'o_Fin Stats'!BQ7</f>
        <v/>
      </c>
      <c r="BK7" s="242">
        <f>'o_Fin Stats'!BR7</f>
        <v/>
      </c>
      <c r="BL7" s="242">
        <f>'o_Fin Stats'!BS7</f>
        <v/>
      </c>
      <c r="BM7" s="242">
        <f>'o_Fin Stats'!BT7</f>
        <v/>
      </c>
      <c r="BN7" s="242">
        <f>'o_Fin Stats'!BU7</f>
        <v/>
      </c>
      <c r="BO7" s="242">
        <f>'o_Fin Stats'!BV7</f>
        <v/>
      </c>
      <c r="BP7" s="242">
        <f>'o_Fin Stats'!BW7</f>
        <v/>
      </c>
      <c r="BQ7" s="242">
        <f>'o_Fin Stats'!BX7</f>
        <v/>
      </c>
      <c r="BR7" s="242">
        <f>'o_Fin Stats'!BY7</f>
        <v/>
      </c>
      <c r="BS7" s="242">
        <f>'o_Fin Stats'!BZ7</f>
        <v/>
      </c>
      <c r="BT7" s="242">
        <f>'o_Fin Stats'!CA7</f>
        <v/>
      </c>
      <c r="BU7" s="283" t="inlineStr">
        <is>
          <t>Terminal Year</t>
        </is>
      </c>
      <c r="BV7" s="101" t="n"/>
      <c r="BW7" s="101" t="n"/>
      <c r="BX7" s="101" t="n"/>
      <c r="BY7" s="101" t="n"/>
      <c r="BZ7" s="101" t="n"/>
      <c r="CA7" s="101" t="n"/>
      <c r="CB7" s="101" t="n"/>
      <c r="CC7" s="101" t="n"/>
      <c r="CD7" s="101" t="n"/>
      <c r="CE7" s="101" t="n"/>
      <c r="CF7" s="101" t="n"/>
    </row>
    <row r="8" ht="17.65" customHeight="1" s="227"/>
    <row r="9" ht="15.75" customFormat="1" customHeight="1" s="99">
      <c r="D9" s="99">
        <f>Heading1</f>
        <v/>
      </c>
      <c r="E9" s="99" t="inlineStr">
        <is>
          <t>DCF</t>
        </is>
      </c>
    </row>
    <row r="10" ht="12" customHeight="1" s="227"/>
    <row r="11" ht="13.5" customFormat="1" customHeight="1" s="223" thickBot="1">
      <c r="E11" s="223">
        <f>Heading2</f>
        <v/>
      </c>
      <c r="F11" s="223" t="inlineStr">
        <is>
          <t>Discount Rate Inputs</t>
        </is>
      </c>
      <c r="CV11" s="47" t="n"/>
      <c r="CW11" s="47" t="n"/>
    </row>
    <row r="12" ht="12" customHeight="1" s="227"/>
    <row r="13" ht="12.75" customHeight="1" s="227">
      <c r="G13" s="222" t="inlineStr">
        <is>
          <t>General Inputs</t>
        </is>
      </c>
      <c r="N13" s="57" t="n"/>
    </row>
    <row r="14" ht="12" customHeight="1" s="227">
      <c r="N14" s="57" t="n"/>
    </row>
    <row r="15" ht="12" customHeight="1" s="227">
      <c r="H15" s="0" t="inlineStr">
        <is>
          <t>Valuation Date</t>
        </is>
      </c>
      <c r="I15" s="27" t="inlineStr">
        <is>
          <t>Date</t>
        </is>
      </c>
      <c r="K15" s="179">
        <f>i_Setup!U26</f>
        <v/>
      </c>
      <c r="N15" s="245" t="n"/>
    </row>
    <row r="16" ht="12" customHeight="1" s="227">
      <c r="H16" s="0" t="inlineStr">
        <is>
          <t>Terminal Value Growth Rate</t>
        </is>
      </c>
      <c r="I16" s="27" t="inlineStr">
        <is>
          <t>%</t>
        </is>
      </c>
      <c r="K16" s="284" t="n">
        <v>0.015</v>
      </c>
      <c r="M16" s="285" t="n"/>
      <c r="N16" s="245" t="n"/>
    </row>
    <row r="17" ht="12" customHeight="1" s="227">
      <c r="H17" s="0" t="inlineStr">
        <is>
          <t>Discount for Lack of Marketability</t>
        </is>
      </c>
      <c r="I17" s="27" t="inlineStr">
        <is>
          <t>%</t>
        </is>
      </c>
      <c r="K17" s="284" t="n">
        <v>0.03</v>
      </c>
      <c r="M17" s="285" t="n"/>
      <c r="N17" s="286" t="n"/>
      <c r="S17" s="4" t="inlineStr">
        <is>
          <t> </t>
        </is>
      </c>
    </row>
    <row r="18" ht="12" customHeight="1" s="227">
      <c r="H18" s="8" t="n"/>
      <c r="I18" s="8" t="n"/>
      <c r="K18" s="8" t="n"/>
      <c r="M18" s="8" t="n"/>
    </row>
    <row r="19" ht="12" customHeight="1" s="227">
      <c r="H19" s="8" t="n"/>
      <c r="I19" s="8" t="n"/>
      <c r="K19" s="8" t="n"/>
      <c r="M19" s="8" t="n"/>
      <c r="N19" s="245" t="n"/>
    </row>
    <row r="20" ht="12.75" customHeight="1" s="227">
      <c r="G20" s="222" t="inlineStr">
        <is>
          <t>Cost of Equity Inputs</t>
        </is>
      </c>
      <c r="H20" s="8" t="n"/>
      <c r="I20" s="8" t="n"/>
      <c r="K20" s="8" t="n"/>
      <c r="M20" s="8" t="n"/>
      <c r="N20" s="245" t="n"/>
    </row>
    <row r="21" ht="12" customHeight="1" s="227">
      <c r="H21" s="8" t="n"/>
      <c r="I21" s="8" t="n"/>
      <c r="K21" s="8" t="n"/>
      <c r="M21" s="8" t="n"/>
      <c r="N21" s="286" t="n"/>
    </row>
    <row r="22" ht="12" customHeight="1" s="227">
      <c r="H22" s="0" t="inlineStr">
        <is>
          <t>Risk-Free Rate</t>
        </is>
      </c>
      <c r="I22" s="27" t="inlineStr">
        <is>
          <t>%</t>
        </is>
      </c>
      <c r="K22" s="284" t="n">
        <v>0.02</v>
      </c>
      <c r="M22" s="285" t="n"/>
    </row>
    <row r="23" ht="12" customHeight="1" s="227">
      <c r="H23" s="0" t="inlineStr">
        <is>
          <t>Expected Market Return</t>
        </is>
      </c>
      <c r="I23" s="27" t="inlineStr">
        <is>
          <t>%</t>
        </is>
      </c>
      <c r="K23" s="284" t="n">
        <v>0.04</v>
      </c>
      <c r="M23" s="285" t="n"/>
    </row>
    <row r="24" ht="12" customHeight="1" s="227">
      <c r="H24" s="0" t="inlineStr">
        <is>
          <t>Average Industry Beta</t>
        </is>
      </c>
      <c r="I24" s="27" t="inlineStr">
        <is>
          <t xml:space="preserve">no. </t>
        </is>
      </c>
      <c r="K24" s="287" t="n">
        <v>1.7</v>
      </c>
      <c r="M24" s="285" t="n"/>
    </row>
    <row r="25" ht="12" customHeight="1" s="227">
      <c r="H25" s="0" t="inlineStr">
        <is>
          <t>Small Company Premium</t>
        </is>
      </c>
      <c r="I25" s="27" t="inlineStr">
        <is>
          <t>%</t>
        </is>
      </c>
      <c r="K25" s="284" t="n">
        <v>0.02</v>
      </c>
      <c r="M25" s="285" t="n"/>
    </row>
    <row r="26" ht="12" customHeight="1" s="227">
      <c r="I26" s="0" t="n"/>
      <c r="J26" s="0" t="n"/>
      <c r="K26" s="286" t="n"/>
      <c r="L26" s="286" t="n"/>
      <c r="M26" s="0" t="n"/>
    </row>
    <row r="27" ht="12" customHeight="1" s="227">
      <c r="H27" s="4" t="inlineStr">
        <is>
          <t>Equity Share</t>
        </is>
      </c>
      <c r="I27" s="27" t="inlineStr">
        <is>
          <t>%</t>
        </is>
      </c>
      <c r="J27" s="0" t="n"/>
      <c r="K27" s="260" t="n">
        <v>0.8</v>
      </c>
      <c r="L27" s="286" t="n"/>
      <c r="M27" s="0" t="n"/>
    </row>
    <row r="28" ht="12.75" customHeight="1" s="227">
      <c r="G28" s="222" t="n"/>
      <c r="I28" s="0" t="n"/>
      <c r="J28" s="0" t="n"/>
      <c r="K28" s="286" t="n"/>
      <c r="L28" s="286" t="n"/>
      <c r="M28" s="0" t="n"/>
    </row>
    <row r="29" ht="12.75" customHeight="1" s="227">
      <c r="G29" s="222" t="inlineStr">
        <is>
          <t>Cost of Debt Inputs</t>
        </is>
      </c>
      <c r="I29" s="0" t="n"/>
      <c r="J29" s="0" t="n"/>
      <c r="K29" s="286" t="n"/>
      <c r="L29" s="286" t="n"/>
      <c r="M29" s="0" t="n"/>
    </row>
    <row r="30" ht="12" customHeight="1" s="227">
      <c r="I30" s="0" t="n"/>
      <c r="J30" s="0" t="n"/>
      <c r="K30" s="286" t="n"/>
      <c r="L30" s="286" t="n"/>
      <c r="M30" s="0" t="n"/>
    </row>
    <row r="31" ht="12" customHeight="1" s="227">
      <c r="H31" s="4" t="inlineStr">
        <is>
          <t>Interest Rate</t>
        </is>
      </c>
      <c r="I31" s="27" t="inlineStr">
        <is>
          <t>%</t>
        </is>
      </c>
      <c r="K31" s="284" t="n">
        <v>0.05</v>
      </c>
      <c r="L31" s="286" t="n"/>
      <c r="M31" s="0" t="n"/>
    </row>
    <row r="32" ht="12" customHeight="1" s="227">
      <c r="H32" s="4" t="inlineStr">
        <is>
          <t>Corporate Tax Rate</t>
        </is>
      </c>
      <c r="I32" s="27" t="inlineStr">
        <is>
          <t>%</t>
        </is>
      </c>
      <c r="J32" s="0" t="n"/>
      <c r="K32" s="284" t="n">
        <v>0.2</v>
      </c>
      <c r="L32" s="286" t="n"/>
      <c r="M32" s="0" t="n"/>
    </row>
    <row r="33" ht="12" customHeight="1" s="227">
      <c r="I33" s="0" t="n"/>
      <c r="J33" s="0" t="n"/>
      <c r="K33" s="286" t="n"/>
      <c r="L33" s="286" t="n"/>
      <c r="M33" s="0" t="n"/>
    </row>
    <row r="34" ht="12" customHeight="1" s="227">
      <c r="H34" s="4" t="inlineStr">
        <is>
          <t>Debt Share</t>
        </is>
      </c>
      <c r="I34" s="27" t="inlineStr">
        <is>
          <t>%</t>
        </is>
      </c>
      <c r="J34" s="0" t="n"/>
      <c r="K34" s="288">
        <f>1-K27</f>
        <v/>
      </c>
      <c r="L34" s="286" t="n"/>
      <c r="M34" s="0" t="n"/>
    </row>
    <row r="35" ht="12" customHeight="1" s="227">
      <c r="I35" s="0" t="n"/>
      <c r="J35" s="0" t="n"/>
      <c r="K35" s="286" t="n"/>
      <c r="L35" s="286" t="n"/>
      <c r="M35" s="0" t="n"/>
    </row>
    <row r="36" ht="12" customHeight="1" s="227">
      <c r="I36" s="0" t="n"/>
      <c r="J36" s="0" t="n"/>
      <c r="K36" s="286" t="n"/>
      <c r="L36" s="286" t="n"/>
      <c r="M36" s="0" t="n"/>
    </row>
    <row r="37" ht="13.5" customFormat="1" customHeight="1" s="223" thickBot="1">
      <c r="E37" s="223">
        <f>Heading2</f>
        <v/>
      </c>
      <c r="F37" s="223" t="inlineStr">
        <is>
          <t>WACC</t>
        </is>
      </c>
      <c r="CV37" s="47" t="n"/>
      <c r="CW37" s="47" t="n"/>
    </row>
    <row r="38" ht="12" customHeight="1" s="227">
      <c r="I38" s="0" t="n"/>
      <c r="J38" s="0" t="n"/>
      <c r="K38" s="286" t="n"/>
      <c r="L38" s="286" t="n"/>
      <c r="M38" s="0" t="n"/>
    </row>
    <row r="39" ht="12" customHeight="1" s="227">
      <c r="I39" s="0" t="n"/>
      <c r="J39" s="0" t="n"/>
      <c r="K39" s="286" t="n"/>
      <c r="L39" s="286" t="n"/>
      <c r="M39" s="0" t="n"/>
    </row>
    <row r="40" ht="12.75" customHeight="1" s="227">
      <c r="G40" s="222" t="inlineStr">
        <is>
          <t>WACC</t>
        </is>
      </c>
      <c r="I40" s="0" t="n"/>
      <c r="J40" s="0" t="n"/>
      <c r="K40" s="286" t="n"/>
      <c r="L40" s="286" t="n"/>
      <c r="M40" s="0" t="n"/>
    </row>
    <row r="41" ht="12" customHeight="1" s="227">
      <c r="I41" s="0" t="n"/>
      <c r="J41" s="0" t="n"/>
      <c r="K41" s="286" t="n"/>
      <c r="L41" s="286" t="n"/>
      <c r="M41" s="0" t="n"/>
    </row>
    <row r="42" ht="12" customHeight="1" s="227">
      <c r="H42" s="4" t="inlineStr">
        <is>
          <t>Cost of Equity</t>
        </is>
      </c>
      <c r="I42" s="27" t="inlineStr">
        <is>
          <t>%</t>
        </is>
      </c>
      <c r="J42" s="0" t="n"/>
      <c r="K42" s="190">
        <f>(K22+(K24*(K23-K16)))+K25</f>
        <v/>
      </c>
      <c r="L42" s="286" t="n"/>
      <c r="M42" s="0" t="n"/>
    </row>
    <row r="43" ht="12" customHeight="1" s="227">
      <c r="H43" s="4" t="inlineStr">
        <is>
          <t>Cost of Debt after tax</t>
        </is>
      </c>
      <c r="I43" s="27" t="inlineStr">
        <is>
          <t>%</t>
        </is>
      </c>
      <c r="J43" s="0" t="n"/>
      <c r="K43" s="190">
        <f>K31*(1-K32)</f>
        <v/>
      </c>
      <c r="L43" s="286" t="n"/>
      <c r="M43" s="0" t="n"/>
    </row>
    <row r="44" ht="12" customHeight="1" s="227">
      <c r="H44" s="8" t="inlineStr">
        <is>
          <t>WACC</t>
        </is>
      </c>
      <c r="I44" s="56" t="inlineStr">
        <is>
          <t>%</t>
        </is>
      </c>
      <c r="J44" s="8" t="n"/>
      <c r="K44" s="289">
        <f>K27*K42+K34*K43</f>
        <v/>
      </c>
      <c r="L44" s="286" t="n"/>
      <c r="M44" s="0" t="n"/>
    </row>
    <row r="45" ht="12" customHeight="1" s="227">
      <c r="I45" s="0" t="n"/>
      <c r="J45" s="0" t="n"/>
      <c r="K45" s="286" t="n"/>
      <c r="L45" s="286" t="n"/>
      <c r="M45" s="0" t="n"/>
    </row>
    <row r="46" ht="12" customHeight="1" s="227">
      <c r="I46" s="0" t="n"/>
      <c r="J46" s="0" t="n"/>
      <c r="K46" s="286" t="n"/>
      <c r="L46" s="286" t="n"/>
      <c r="M46" s="0" t="n"/>
    </row>
    <row r="47" ht="13.5" customFormat="1" customHeight="1" s="223" thickBot="1">
      <c r="E47" s="223">
        <f>Heading2</f>
        <v/>
      </c>
      <c r="F47" s="223" t="inlineStr">
        <is>
          <t>Valuation Calculation</t>
        </is>
      </c>
      <c r="CV47" s="47" t="n"/>
      <c r="CW47" s="47" t="n"/>
    </row>
    <row r="48" ht="12" customHeight="1" s="227">
      <c r="I48" s="0" t="n"/>
      <c r="J48" s="0" t="n"/>
      <c r="K48" s="286" t="n"/>
      <c r="L48" s="286" t="n"/>
      <c r="M48" s="0" t="n"/>
    </row>
    <row r="49" ht="12.75" customHeight="1" s="227">
      <c r="G49" s="222" t="inlineStr">
        <is>
          <t>Income Method</t>
        </is>
      </c>
    </row>
    <row r="50" ht="12" customHeight="1" s="227"/>
    <row r="51" ht="12" customHeight="1" s="227">
      <c r="H51" s="0" t="inlineStr">
        <is>
          <t>Cash Flow from Operating activities</t>
        </is>
      </c>
      <c r="I51" s="27">
        <f>i_Setup!$M$16</f>
        <v/>
      </c>
      <c r="M51" s="257">
        <f>IF(M7="Actual","",'o_Fin Stats'!T173)</f>
        <v/>
      </c>
      <c r="N51" s="257">
        <f>IF(N7="Actual","",'o_Fin Stats'!U173)</f>
        <v/>
      </c>
      <c r="O51" s="257">
        <f>IF(O7="Actual","",'o_Fin Stats'!V173)</f>
        <v/>
      </c>
      <c r="P51" s="257">
        <f>IF(P7="Actual","",'o_Fin Stats'!W173)</f>
        <v/>
      </c>
      <c r="Q51" s="257">
        <f>IF(Q7="Actual","",'o_Fin Stats'!X173)</f>
        <v/>
      </c>
      <c r="R51" s="257">
        <f>IF(R7="Actual","",'o_Fin Stats'!Y173)</f>
        <v/>
      </c>
      <c r="S51" s="257">
        <f>IF(S7="Actual","",'o_Fin Stats'!Z173)</f>
        <v/>
      </c>
      <c r="T51" s="257">
        <f>IF(T7="Actual","",'o_Fin Stats'!AA173)</f>
        <v/>
      </c>
      <c r="U51" s="257">
        <f>IF(U7="Actual","",'o_Fin Stats'!AB173)</f>
        <v/>
      </c>
      <c r="V51" s="257">
        <f>IF(V7="Actual","",'o_Fin Stats'!AC173)</f>
        <v/>
      </c>
      <c r="W51" s="257">
        <f>IF(W7="Actual","",'o_Fin Stats'!AD173)</f>
        <v/>
      </c>
      <c r="X51" s="257">
        <f>IF(X7="Actual","",'o_Fin Stats'!AE173)</f>
        <v/>
      </c>
      <c r="Y51" s="257">
        <f>IF(Y7="Actual","",'o_Fin Stats'!AF173)</f>
        <v/>
      </c>
      <c r="Z51" s="257">
        <f>IF(Z7="Actual","",'o_Fin Stats'!AG173)</f>
        <v/>
      </c>
      <c r="AA51" s="257">
        <f>IF(AA7="Actual","",'o_Fin Stats'!AH173)</f>
        <v/>
      </c>
      <c r="AB51" s="257">
        <f>IF(AB7="Actual","",'o_Fin Stats'!AI173)</f>
        <v/>
      </c>
      <c r="AC51" s="257">
        <f>IF(AC7="Actual","",'o_Fin Stats'!AJ173)</f>
        <v/>
      </c>
      <c r="AD51" s="257">
        <f>IF(AD7="Actual","",'o_Fin Stats'!AK173)</f>
        <v/>
      </c>
      <c r="AE51" s="257">
        <f>IF(AE7="Actual","",'o_Fin Stats'!AL173)</f>
        <v/>
      </c>
      <c r="AF51" s="257">
        <f>IF(AF7="Actual","",'o_Fin Stats'!AM173)</f>
        <v/>
      </c>
      <c r="AG51" s="257">
        <f>IF(AG7="Actual","",'o_Fin Stats'!AN173)</f>
        <v/>
      </c>
      <c r="AH51" s="257">
        <f>IF(AH7="Actual","",'o_Fin Stats'!AO173)</f>
        <v/>
      </c>
      <c r="AI51" s="257">
        <f>IF(AI7="Actual","",'o_Fin Stats'!AP173)</f>
        <v/>
      </c>
      <c r="AJ51" s="257">
        <f>IF(AJ7="Actual","",'o_Fin Stats'!AQ173)</f>
        <v/>
      </c>
      <c r="AK51" s="257">
        <f>IF(AK7="Actual","",'o_Fin Stats'!AR173)</f>
        <v/>
      </c>
      <c r="AL51" s="257">
        <f>IF(AL7="Actual","",'o_Fin Stats'!AS173)</f>
        <v/>
      </c>
      <c r="AM51" s="257">
        <f>IF(AM7="Actual","",'o_Fin Stats'!AT173)</f>
        <v/>
      </c>
      <c r="AN51" s="257">
        <f>IF(AN7="Actual","",'o_Fin Stats'!AU173)</f>
        <v/>
      </c>
      <c r="AO51" s="257">
        <f>IF(AO7="Actual","",'o_Fin Stats'!AV173)</f>
        <v/>
      </c>
      <c r="AP51" s="257">
        <f>IF(AP7="Actual","",'o_Fin Stats'!AW173)</f>
        <v/>
      </c>
      <c r="AQ51" s="257">
        <f>IF(AQ7="Actual","",'o_Fin Stats'!AX173)</f>
        <v/>
      </c>
      <c r="AR51" s="257">
        <f>IF(AR7="Actual","",'o_Fin Stats'!AY173)</f>
        <v/>
      </c>
      <c r="AS51" s="257">
        <f>IF(AS7="Actual","",'o_Fin Stats'!AZ173)</f>
        <v/>
      </c>
      <c r="AT51" s="257">
        <f>IF(AT7="Actual","",'o_Fin Stats'!BA173)</f>
        <v/>
      </c>
      <c r="AU51" s="257">
        <f>IF(AU7="Actual","",'o_Fin Stats'!BB173)</f>
        <v/>
      </c>
      <c r="AV51" s="257">
        <f>IF(AV7="Actual","",'o_Fin Stats'!BC173)</f>
        <v/>
      </c>
      <c r="AW51" s="257">
        <f>IF(AW7="Actual","",'o_Fin Stats'!BD173)</f>
        <v/>
      </c>
      <c r="AX51" s="257">
        <f>IF(AX7="Actual","",'o_Fin Stats'!BE173)</f>
        <v/>
      </c>
      <c r="AY51" s="257">
        <f>IF(AY7="Actual","",'o_Fin Stats'!BF173)</f>
        <v/>
      </c>
      <c r="AZ51" s="257">
        <f>IF(AZ7="Actual","",'o_Fin Stats'!BG173)</f>
        <v/>
      </c>
      <c r="BA51" s="257">
        <f>IF(BA7="Actual","",'o_Fin Stats'!BH173)</f>
        <v/>
      </c>
      <c r="BB51" s="257">
        <f>IF(BB7="Actual","",'o_Fin Stats'!BI173)</f>
        <v/>
      </c>
      <c r="BC51" s="257">
        <f>IF(BC7="Actual","",'o_Fin Stats'!BJ173)</f>
        <v/>
      </c>
      <c r="BD51" s="257">
        <f>IF(BD7="Actual","",'o_Fin Stats'!BK173)</f>
        <v/>
      </c>
      <c r="BE51" s="257">
        <f>IF(BE7="Actual","",'o_Fin Stats'!BL173)</f>
        <v/>
      </c>
      <c r="BF51" s="257">
        <f>IF(BF7="Actual","",'o_Fin Stats'!BM173)</f>
        <v/>
      </c>
      <c r="BG51" s="257">
        <f>IF(BG7="Actual","",'o_Fin Stats'!BN173)</f>
        <v/>
      </c>
      <c r="BH51" s="257">
        <f>IF(BH7="Actual","",'o_Fin Stats'!BO173)</f>
        <v/>
      </c>
      <c r="BI51" s="257">
        <f>IF(BI7="Actual","",'o_Fin Stats'!BP173)</f>
        <v/>
      </c>
      <c r="BJ51" s="257">
        <f>IF(BJ7="Actual","",'o_Fin Stats'!BQ173)</f>
        <v/>
      </c>
      <c r="BK51" s="257">
        <f>IF(BK7="Actual","",'o_Fin Stats'!BR173)</f>
        <v/>
      </c>
      <c r="BL51" s="257">
        <f>IF(BL7="Actual","",'o_Fin Stats'!BS173)</f>
        <v/>
      </c>
      <c r="BM51" s="257">
        <f>IF(BM7="Actual","",'o_Fin Stats'!BT173)</f>
        <v/>
      </c>
      <c r="BN51" s="257">
        <f>IF(BN7="Actual","",'o_Fin Stats'!BU173)</f>
        <v/>
      </c>
      <c r="BO51" s="257">
        <f>IF(BO7="Actual","",'o_Fin Stats'!BV173)</f>
        <v/>
      </c>
      <c r="BP51" s="257">
        <f>IF(BP7="Actual","",'o_Fin Stats'!BW173)</f>
        <v/>
      </c>
      <c r="BQ51" s="257">
        <f>IF(BQ7="Actual","",'o_Fin Stats'!BX173)</f>
        <v/>
      </c>
      <c r="BR51" s="257">
        <f>IF(BR7="Actual","",'o_Fin Stats'!BY173)</f>
        <v/>
      </c>
      <c r="BS51" s="257">
        <f>IF(BS7="Actual","",'o_Fin Stats'!BZ173)</f>
        <v/>
      </c>
      <c r="BT51" s="257">
        <f>IF(BT7="Actual","",'o_Fin Stats'!CA173)</f>
        <v/>
      </c>
      <c r="BU51" s="257">
        <f>AVERAGE(BI51:BT51)</f>
        <v/>
      </c>
    </row>
    <row r="52" ht="12" customHeight="1" s="227">
      <c r="H52" s="0" t="inlineStr">
        <is>
          <t>Cash flow from Investing Activities</t>
        </is>
      </c>
      <c r="I52" s="27">
        <f>i_Setup!$M$16</f>
        <v/>
      </c>
      <c r="M52" s="257">
        <f>IF(M7="Actual","",'o_Fin Stats'!T178)</f>
        <v/>
      </c>
      <c r="N52" s="257">
        <f>IF(N7="Actual","",'o_Fin Stats'!U178)</f>
        <v/>
      </c>
      <c r="O52" s="257">
        <f>IF(O7="Actual","",'o_Fin Stats'!V178)</f>
        <v/>
      </c>
      <c r="P52" s="257">
        <f>IF(P7="Actual","",'o_Fin Stats'!W178)</f>
        <v/>
      </c>
      <c r="Q52" s="257">
        <f>IF(Q7="Actual","",'o_Fin Stats'!X178)</f>
        <v/>
      </c>
      <c r="R52" s="257">
        <f>IF(R7="Actual","",'o_Fin Stats'!Y178)</f>
        <v/>
      </c>
      <c r="S52" s="257">
        <f>IF(S7="Actual","",'o_Fin Stats'!Z178)</f>
        <v/>
      </c>
      <c r="T52" s="257">
        <f>IF(T7="Actual","",'o_Fin Stats'!AA178)</f>
        <v/>
      </c>
      <c r="U52" s="257">
        <f>IF(U7="Actual","",'o_Fin Stats'!AB178)</f>
        <v/>
      </c>
      <c r="V52" s="257">
        <f>IF(V7="Actual","",'o_Fin Stats'!AC178)</f>
        <v/>
      </c>
      <c r="W52" s="257">
        <f>IF(W7="Actual","",'o_Fin Stats'!AD178)</f>
        <v/>
      </c>
      <c r="X52" s="257">
        <f>IF(X7="Actual","",'o_Fin Stats'!AE178)</f>
        <v/>
      </c>
      <c r="Y52" s="257">
        <f>IF(Y7="Actual","",'o_Fin Stats'!AF178)</f>
        <v/>
      </c>
      <c r="Z52" s="257">
        <f>IF(Z7="Actual","",'o_Fin Stats'!AG178)</f>
        <v/>
      </c>
      <c r="AA52" s="257">
        <f>IF(AA7="Actual","",'o_Fin Stats'!AH178)</f>
        <v/>
      </c>
      <c r="AB52" s="257">
        <f>IF(AB7="Actual","",'o_Fin Stats'!AI178)</f>
        <v/>
      </c>
      <c r="AC52" s="257">
        <f>IF(AC7="Actual","",'o_Fin Stats'!AJ178)</f>
        <v/>
      </c>
      <c r="AD52" s="257">
        <f>IF(AD7="Actual","",'o_Fin Stats'!AK178)</f>
        <v/>
      </c>
      <c r="AE52" s="257">
        <f>IF(AE7="Actual","",'o_Fin Stats'!AL178)</f>
        <v/>
      </c>
      <c r="AF52" s="257">
        <f>IF(AF7="Actual","",'o_Fin Stats'!AM178)</f>
        <v/>
      </c>
      <c r="AG52" s="257">
        <f>IF(AG7="Actual","",'o_Fin Stats'!AN178)</f>
        <v/>
      </c>
      <c r="AH52" s="257">
        <f>IF(AH7="Actual","",'o_Fin Stats'!AO178)</f>
        <v/>
      </c>
      <c r="AI52" s="257">
        <f>IF(AI7="Actual","",'o_Fin Stats'!AP178)</f>
        <v/>
      </c>
      <c r="AJ52" s="257">
        <f>IF(AJ7="Actual","",'o_Fin Stats'!AQ178)</f>
        <v/>
      </c>
      <c r="AK52" s="257">
        <f>IF(AK7="Actual","",'o_Fin Stats'!AR178)</f>
        <v/>
      </c>
      <c r="AL52" s="257">
        <f>IF(AL7="Actual","",'o_Fin Stats'!AS178)</f>
        <v/>
      </c>
      <c r="AM52" s="257">
        <f>IF(AM7="Actual","",'o_Fin Stats'!AT178)</f>
        <v/>
      </c>
      <c r="AN52" s="257">
        <f>IF(AN7="Actual","",'o_Fin Stats'!AU178)</f>
        <v/>
      </c>
      <c r="AO52" s="257">
        <f>IF(AO7="Actual","",'o_Fin Stats'!AV178)</f>
        <v/>
      </c>
      <c r="AP52" s="257">
        <f>IF(AP7="Actual","",'o_Fin Stats'!AW178)</f>
        <v/>
      </c>
      <c r="AQ52" s="257">
        <f>IF(AQ7="Actual","",'o_Fin Stats'!AX178)</f>
        <v/>
      </c>
      <c r="AR52" s="257">
        <f>IF(AR7="Actual","",'o_Fin Stats'!AY178)</f>
        <v/>
      </c>
      <c r="AS52" s="257">
        <f>IF(AS7="Actual","",'o_Fin Stats'!AZ178)</f>
        <v/>
      </c>
      <c r="AT52" s="257">
        <f>IF(AT7="Actual","",'o_Fin Stats'!BA178)</f>
        <v/>
      </c>
      <c r="AU52" s="257">
        <f>IF(AU7="Actual","",'o_Fin Stats'!BB178)</f>
        <v/>
      </c>
      <c r="AV52" s="257">
        <f>IF(AV7="Actual","",'o_Fin Stats'!BC178)</f>
        <v/>
      </c>
      <c r="AW52" s="257">
        <f>IF(AW7="Actual","",'o_Fin Stats'!BD178)</f>
        <v/>
      </c>
      <c r="AX52" s="257">
        <f>IF(AX7="Actual","",'o_Fin Stats'!BE178)</f>
        <v/>
      </c>
      <c r="AY52" s="257">
        <f>IF(AY7="Actual","",'o_Fin Stats'!BF178)</f>
        <v/>
      </c>
      <c r="AZ52" s="257">
        <f>IF(AZ7="Actual","",'o_Fin Stats'!BG178)</f>
        <v/>
      </c>
      <c r="BA52" s="257">
        <f>IF(BA7="Actual","",'o_Fin Stats'!BH178)</f>
        <v/>
      </c>
      <c r="BB52" s="257">
        <f>IF(BB7="Actual","",'o_Fin Stats'!BI178)</f>
        <v/>
      </c>
      <c r="BC52" s="257">
        <f>IF(BC7="Actual","",'o_Fin Stats'!BJ178)</f>
        <v/>
      </c>
      <c r="BD52" s="257">
        <f>IF(BD7="Actual","",'o_Fin Stats'!BK178)</f>
        <v/>
      </c>
      <c r="BE52" s="257">
        <f>IF(BE7="Actual","",'o_Fin Stats'!BL178)</f>
        <v/>
      </c>
      <c r="BF52" s="257">
        <f>IF(BF7="Actual","",'o_Fin Stats'!BM178)</f>
        <v/>
      </c>
      <c r="BG52" s="257">
        <f>IF(BG7="Actual","",'o_Fin Stats'!BN178)</f>
        <v/>
      </c>
      <c r="BH52" s="257">
        <f>IF(BH7="Actual","",'o_Fin Stats'!BO178)</f>
        <v/>
      </c>
      <c r="BI52" s="257">
        <f>IF(BI7="Actual","",'o_Fin Stats'!BP178)</f>
        <v/>
      </c>
      <c r="BJ52" s="257">
        <f>IF(BJ7="Actual","",'o_Fin Stats'!BQ178)</f>
        <v/>
      </c>
      <c r="BK52" s="257">
        <f>IF(BK7="Actual","",'o_Fin Stats'!BR178)</f>
        <v/>
      </c>
      <c r="BL52" s="257">
        <f>IF(BL7="Actual","",'o_Fin Stats'!BS178)</f>
        <v/>
      </c>
      <c r="BM52" s="257">
        <f>IF(BM7="Actual","",'o_Fin Stats'!BT178)</f>
        <v/>
      </c>
      <c r="BN52" s="257">
        <f>IF(BN7="Actual","",'o_Fin Stats'!BU178)</f>
        <v/>
      </c>
      <c r="BO52" s="257">
        <f>IF(BO7="Actual","",'o_Fin Stats'!BV178)</f>
        <v/>
      </c>
      <c r="BP52" s="257">
        <f>IF(BP7="Actual","",'o_Fin Stats'!BW178)</f>
        <v/>
      </c>
      <c r="BQ52" s="257">
        <f>IF(BQ7="Actual","",'o_Fin Stats'!BX178)</f>
        <v/>
      </c>
      <c r="BR52" s="257">
        <f>IF(BR7="Actual","",'o_Fin Stats'!BY178)</f>
        <v/>
      </c>
      <c r="BS52" s="257">
        <f>IF(BS7="Actual","",'o_Fin Stats'!BZ178)</f>
        <v/>
      </c>
      <c r="BT52" s="257">
        <f>IF(BT7="Actual","",'o_Fin Stats'!CA178)</f>
        <v/>
      </c>
      <c r="BU52" s="257">
        <f>AVERAGE(BI52:BT52)</f>
        <v/>
      </c>
    </row>
    <row r="53" ht="12" customHeight="1" s="227">
      <c r="H53" s="39" t="inlineStr">
        <is>
          <t>Cash Flow before Terminal Value</t>
        </is>
      </c>
      <c r="I53" s="41">
        <f>i_Setup!$M$16</f>
        <v/>
      </c>
      <c r="M53" s="290">
        <f>SUM(M51:M52)</f>
        <v/>
      </c>
      <c r="N53" s="290">
        <f>SUM(N51:N52)</f>
        <v/>
      </c>
      <c r="O53" s="290">
        <f>SUM(O51:O52)</f>
        <v/>
      </c>
      <c r="P53" s="290">
        <f>SUM(P51:P52)</f>
        <v/>
      </c>
      <c r="Q53" s="290">
        <f>SUM(Q51:Q52)</f>
        <v/>
      </c>
      <c r="R53" s="290">
        <f>SUM(R51:R52)</f>
        <v/>
      </c>
      <c r="S53" s="290">
        <f>SUM(S51:S52)</f>
        <v/>
      </c>
      <c r="T53" s="290">
        <f>SUM(T51:T52)</f>
        <v/>
      </c>
      <c r="U53" s="290">
        <f>SUM(U51:U52)</f>
        <v/>
      </c>
      <c r="V53" s="290">
        <f>SUM(V51:V52)</f>
        <v/>
      </c>
      <c r="W53" s="290">
        <f>SUM(W51:W52)</f>
        <v/>
      </c>
      <c r="X53" s="290">
        <f>SUM(X51:X52)</f>
        <v/>
      </c>
      <c r="Y53" s="290">
        <f>SUM(Y51:Y52)</f>
        <v/>
      </c>
      <c r="Z53" s="290">
        <f>SUM(Z51:Z52)</f>
        <v/>
      </c>
      <c r="AA53" s="290">
        <f>SUM(AA51:AA52)</f>
        <v/>
      </c>
      <c r="AB53" s="290">
        <f>SUM(AB51:AB52)</f>
        <v/>
      </c>
      <c r="AC53" s="290">
        <f>SUM(AC51:AC52)</f>
        <v/>
      </c>
      <c r="AD53" s="290">
        <f>SUM(AD51:AD52)</f>
        <v/>
      </c>
      <c r="AE53" s="290">
        <f>SUM(AE51:AE52)</f>
        <v/>
      </c>
      <c r="AF53" s="290">
        <f>SUM(AF51:AF52)</f>
        <v/>
      </c>
      <c r="AG53" s="290">
        <f>SUM(AG51:AG52)</f>
        <v/>
      </c>
      <c r="AH53" s="290">
        <f>SUM(AH51:AH52)</f>
        <v/>
      </c>
      <c r="AI53" s="290">
        <f>SUM(AI51:AI52)</f>
        <v/>
      </c>
      <c r="AJ53" s="290">
        <f>SUM(AJ51:AJ52)</f>
        <v/>
      </c>
      <c r="AK53" s="290">
        <f>SUM(AK51:AK52)</f>
        <v/>
      </c>
      <c r="AL53" s="290">
        <f>SUM(AL51:AL52)</f>
        <v/>
      </c>
      <c r="AM53" s="290">
        <f>SUM(AM51:AM52)</f>
        <v/>
      </c>
      <c r="AN53" s="290">
        <f>SUM(AN51:AN52)</f>
        <v/>
      </c>
      <c r="AO53" s="290">
        <f>SUM(AO51:AO52)</f>
        <v/>
      </c>
      <c r="AP53" s="290">
        <f>SUM(AP51:AP52)</f>
        <v/>
      </c>
      <c r="AQ53" s="290">
        <f>SUM(AQ51:AQ52)</f>
        <v/>
      </c>
      <c r="AR53" s="290">
        <f>SUM(AR51:AR52)</f>
        <v/>
      </c>
      <c r="AS53" s="290">
        <f>SUM(AS51:AS52)</f>
        <v/>
      </c>
      <c r="AT53" s="290">
        <f>SUM(AT51:AT52)</f>
        <v/>
      </c>
      <c r="AU53" s="290">
        <f>SUM(AU51:AU52)</f>
        <v/>
      </c>
      <c r="AV53" s="290">
        <f>SUM(AV51:AV52)</f>
        <v/>
      </c>
      <c r="AW53" s="290">
        <f>SUM(AW51:AW52)</f>
        <v/>
      </c>
      <c r="AX53" s="290">
        <f>SUM(AX51:AX52)</f>
        <v/>
      </c>
      <c r="AY53" s="290">
        <f>SUM(AY51:AY52)</f>
        <v/>
      </c>
      <c r="AZ53" s="290">
        <f>SUM(AZ51:AZ52)</f>
        <v/>
      </c>
      <c r="BA53" s="290">
        <f>SUM(BA51:BA52)</f>
        <v/>
      </c>
      <c r="BB53" s="290">
        <f>SUM(BB51:BB52)</f>
        <v/>
      </c>
      <c r="BC53" s="290">
        <f>SUM(BC51:BC52)</f>
        <v/>
      </c>
      <c r="BD53" s="290">
        <f>SUM(BD51:BD52)</f>
        <v/>
      </c>
      <c r="BE53" s="290">
        <f>SUM(BE51:BE52)</f>
        <v/>
      </c>
      <c r="BF53" s="290">
        <f>SUM(BF51:BF52)</f>
        <v/>
      </c>
      <c r="BG53" s="290">
        <f>SUM(BG51:BG52)</f>
        <v/>
      </c>
      <c r="BH53" s="290">
        <f>SUM(BH51:BH52)</f>
        <v/>
      </c>
      <c r="BI53" s="290">
        <f>SUM(BI51:BI52)</f>
        <v/>
      </c>
      <c r="BJ53" s="290">
        <f>SUM(BJ51:BJ52)</f>
        <v/>
      </c>
      <c r="BK53" s="290">
        <f>SUM(BK51:BK52)</f>
        <v/>
      </c>
      <c r="BL53" s="290">
        <f>SUM(BL51:BL52)</f>
        <v/>
      </c>
      <c r="BM53" s="290">
        <f>SUM(BM51:BM52)</f>
        <v/>
      </c>
      <c r="BN53" s="290">
        <f>SUM(BN51:BN52)</f>
        <v/>
      </c>
      <c r="BO53" s="290">
        <f>SUM(BO51:BO52)</f>
        <v/>
      </c>
      <c r="BP53" s="290">
        <f>SUM(BP51:BP52)</f>
        <v/>
      </c>
      <c r="BQ53" s="290">
        <f>SUM(BQ51:BQ52)</f>
        <v/>
      </c>
      <c r="BR53" s="290">
        <f>SUM(BR51:BR52)</f>
        <v/>
      </c>
      <c r="BS53" s="290">
        <f>SUM(BS51:BS52)</f>
        <v/>
      </c>
      <c r="BT53" s="290">
        <f>SUM(BT51:BT52)</f>
        <v/>
      </c>
      <c r="BU53" s="290">
        <f>SUM(BU51:BU52)</f>
        <v/>
      </c>
    </row>
    <row r="54" ht="12" customHeight="1" s="227">
      <c r="H54" s="8" t="n"/>
      <c r="I54" s="56" t="n"/>
      <c r="M54" s="291" t="n"/>
      <c r="N54" s="291" t="n"/>
      <c r="O54" s="291" t="n"/>
      <c r="P54" s="291" t="n"/>
      <c r="Q54" s="291" t="n"/>
      <c r="R54" s="291" t="n"/>
      <c r="S54" s="291" t="n"/>
      <c r="T54" s="291" t="n"/>
      <c r="U54" s="291" t="n"/>
      <c r="V54" s="291" t="n"/>
      <c r="W54" s="291" t="n"/>
      <c r="X54" s="291" t="n"/>
      <c r="Y54" s="291" t="n"/>
      <c r="Z54" s="291" t="n"/>
      <c r="AA54" s="291" t="n"/>
      <c r="AB54" s="291" t="n"/>
      <c r="AC54" s="291" t="n"/>
      <c r="AD54" s="291" t="n"/>
      <c r="AE54" s="291" t="n"/>
      <c r="AF54" s="291" t="n"/>
      <c r="AG54" s="291" t="n"/>
      <c r="AH54" s="291" t="n"/>
      <c r="AI54" s="291" t="n"/>
      <c r="AJ54" s="291" t="n"/>
      <c r="AK54" s="291" t="n"/>
      <c r="AL54" s="291" t="n"/>
      <c r="AM54" s="291" t="n"/>
      <c r="AN54" s="291" t="n"/>
      <c r="AO54" s="291" t="n"/>
      <c r="AP54" s="291" t="n"/>
      <c r="AQ54" s="291" t="n"/>
      <c r="AR54" s="291" t="n"/>
      <c r="AS54" s="291" t="n"/>
      <c r="AT54" s="291" t="n"/>
      <c r="AU54" s="291" t="n"/>
      <c r="AV54" s="291" t="n"/>
      <c r="AW54" s="291" t="n"/>
      <c r="AX54" s="291" t="n"/>
      <c r="AY54" s="291" t="n"/>
      <c r="AZ54" s="291" t="n"/>
      <c r="BA54" s="291" t="n"/>
      <c r="BB54" s="291" t="n"/>
      <c r="BC54" s="291" t="n"/>
      <c r="BD54" s="291" t="n"/>
      <c r="BE54" s="291" t="n"/>
      <c r="BF54" s="291" t="n"/>
      <c r="BG54" s="291" t="n"/>
      <c r="BH54" s="291" t="n"/>
      <c r="BI54" s="291" t="n"/>
      <c r="BJ54" s="291" t="n"/>
      <c r="BK54" s="291" t="n"/>
      <c r="BL54" s="291" t="n"/>
      <c r="BM54" s="291" t="n"/>
      <c r="BN54" s="291" t="n"/>
      <c r="BO54" s="291" t="n"/>
      <c r="BP54" s="291" t="n"/>
      <c r="BQ54" s="291" t="n"/>
      <c r="BR54" s="291" t="n"/>
      <c r="BS54" s="291" t="n"/>
      <c r="BT54" s="291" t="n"/>
    </row>
    <row r="55" ht="12" customHeight="1" s="227">
      <c r="H55" s="0" t="inlineStr">
        <is>
          <t>Terminal Value</t>
        </is>
      </c>
      <c r="I55" s="27">
        <f>i_Setup!$M$16</f>
        <v/>
      </c>
      <c r="N55" s="245" t="n"/>
      <c r="O55" s="245" t="n"/>
      <c r="P55" s="245" t="n"/>
      <c r="Q55" s="245" t="n"/>
      <c r="R55" s="245" t="n"/>
      <c r="S55" s="245" t="n"/>
      <c r="T55" s="245" t="n"/>
      <c r="U55" s="245" t="n"/>
      <c r="V55" s="245" t="n"/>
      <c r="W55" s="245" t="n"/>
      <c r="X55" s="245" t="n"/>
      <c r="Y55" s="245" t="n"/>
      <c r="Z55" s="245" t="n"/>
      <c r="AA55" s="245" t="n"/>
      <c r="AB55" s="245" t="n"/>
      <c r="AC55" s="245" t="n"/>
      <c r="AD55" s="245" t="n"/>
      <c r="AE55" s="245" t="n"/>
      <c r="AF55" s="245" t="n"/>
      <c r="AG55" s="245" t="n"/>
      <c r="AH55" s="245" t="n"/>
      <c r="AI55" s="245" t="n"/>
      <c r="AJ55" s="245" t="n"/>
      <c r="AK55" s="245" t="n"/>
      <c r="AL55" s="245" t="n"/>
      <c r="AM55" s="245" t="n"/>
      <c r="AN55" s="245" t="n"/>
      <c r="AO55" s="245" t="n"/>
      <c r="AP55" s="245" t="n"/>
      <c r="AQ55" s="245" t="n"/>
      <c r="AR55" s="245" t="n"/>
      <c r="AS55" s="245" t="n"/>
      <c r="AT55" s="245" t="n"/>
      <c r="AU55" s="245" t="n"/>
      <c r="AV55" s="245" t="n"/>
      <c r="AW55" s="245" t="n"/>
      <c r="AX55" s="245" t="n"/>
      <c r="AY55" s="245" t="n"/>
      <c r="AZ55" s="245" t="n"/>
      <c r="BA55" s="245" t="n"/>
      <c r="BB55" s="245" t="n"/>
      <c r="BC55" s="245" t="n"/>
      <c r="BD55" s="245" t="n"/>
      <c r="BE55" s="245" t="n"/>
      <c r="BF55" s="245" t="n"/>
      <c r="BG55" s="245" t="n"/>
      <c r="BH55" s="245" t="n"/>
      <c r="BI55" s="245" t="n"/>
      <c r="BJ55" s="245" t="n"/>
      <c r="BK55" s="245" t="n"/>
      <c r="BL55" s="245" t="n"/>
      <c r="BM55" s="245" t="n"/>
      <c r="BN55" s="245" t="n"/>
      <c r="BO55" s="245" t="n"/>
      <c r="BP55" s="245" t="n"/>
      <c r="BQ55" s="245" t="n"/>
      <c r="BR55" s="245" t="n"/>
      <c r="BS55" s="245" t="n"/>
      <c r="BT55" s="245" t="n"/>
      <c r="BU55" s="245">
        <f>IFERROR(BU53/(K60/12-K16/12),0)</f>
        <v/>
      </c>
    </row>
    <row r="56" ht="12" customHeight="1" s="227">
      <c r="H56" s="39" t="inlineStr">
        <is>
          <t>Cash Flow before Discounting</t>
        </is>
      </c>
      <c r="I56" s="41">
        <f>i_Setup!$M$16</f>
        <v/>
      </c>
      <c r="M56" s="290">
        <f>SUM(M53:M55)</f>
        <v/>
      </c>
      <c r="N56" s="290">
        <f>SUM(N53:N55)</f>
        <v/>
      </c>
      <c r="O56" s="290">
        <f>SUM(O53:O55)</f>
        <v/>
      </c>
      <c r="P56" s="290">
        <f>SUM(P53:P55)</f>
        <v/>
      </c>
      <c r="Q56" s="290">
        <f>SUM(Q53:Q55)</f>
        <v/>
      </c>
      <c r="R56" s="290">
        <f>SUM(R53:R55)</f>
        <v/>
      </c>
      <c r="S56" s="290">
        <f>SUM(S53:S55)</f>
        <v/>
      </c>
      <c r="T56" s="290">
        <f>SUM(T53:T55)</f>
        <v/>
      </c>
      <c r="U56" s="290">
        <f>SUM(U53:U55)</f>
        <v/>
      </c>
      <c r="V56" s="290">
        <f>SUM(V53:V55)</f>
        <v/>
      </c>
      <c r="W56" s="290">
        <f>SUM(W53:W55)</f>
        <v/>
      </c>
      <c r="X56" s="290">
        <f>SUM(X53:X55)</f>
        <v/>
      </c>
      <c r="Y56" s="290">
        <f>SUM(Y53:Y55)</f>
        <v/>
      </c>
      <c r="Z56" s="290">
        <f>SUM(Z53:Z55)</f>
        <v/>
      </c>
      <c r="AA56" s="290">
        <f>SUM(AA53:AA55)</f>
        <v/>
      </c>
      <c r="AB56" s="290">
        <f>SUM(AB53:AB55)</f>
        <v/>
      </c>
      <c r="AC56" s="290">
        <f>SUM(AC53:AC55)</f>
        <v/>
      </c>
      <c r="AD56" s="290">
        <f>SUM(AD53:AD55)</f>
        <v/>
      </c>
      <c r="AE56" s="290">
        <f>SUM(AE53:AE55)</f>
        <v/>
      </c>
      <c r="AF56" s="290">
        <f>SUM(AF53:AF55)</f>
        <v/>
      </c>
      <c r="AG56" s="290">
        <f>SUM(AG53:AG55)</f>
        <v/>
      </c>
      <c r="AH56" s="290">
        <f>SUM(AH53:AH55)</f>
        <v/>
      </c>
      <c r="AI56" s="290">
        <f>SUM(AI53:AI55)</f>
        <v/>
      </c>
      <c r="AJ56" s="290">
        <f>SUM(AJ53:AJ55)</f>
        <v/>
      </c>
      <c r="AK56" s="290">
        <f>SUM(AK53:AK55)</f>
        <v/>
      </c>
      <c r="AL56" s="290">
        <f>SUM(AL53:AL55)</f>
        <v/>
      </c>
      <c r="AM56" s="290">
        <f>SUM(AM53:AM55)</f>
        <v/>
      </c>
      <c r="AN56" s="290">
        <f>SUM(AN53:AN55)</f>
        <v/>
      </c>
      <c r="AO56" s="290">
        <f>SUM(AO53:AO55)</f>
        <v/>
      </c>
      <c r="AP56" s="290">
        <f>SUM(AP53:AP55)</f>
        <v/>
      </c>
      <c r="AQ56" s="290">
        <f>SUM(AQ53:AQ55)</f>
        <v/>
      </c>
      <c r="AR56" s="290">
        <f>SUM(AR53:AR55)</f>
        <v/>
      </c>
      <c r="AS56" s="290">
        <f>SUM(AS53:AS55)</f>
        <v/>
      </c>
      <c r="AT56" s="290">
        <f>SUM(AT53:AT55)</f>
        <v/>
      </c>
      <c r="AU56" s="290">
        <f>SUM(AU53:AU55)</f>
        <v/>
      </c>
      <c r="AV56" s="290">
        <f>SUM(AV53:AV55)</f>
        <v/>
      </c>
      <c r="AW56" s="290">
        <f>SUM(AW53:AW55)</f>
        <v/>
      </c>
      <c r="AX56" s="290">
        <f>SUM(AX53:AX55)</f>
        <v/>
      </c>
      <c r="AY56" s="290">
        <f>SUM(AY53:AY55)</f>
        <v/>
      </c>
      <c r="AZ56" s="290">
        <f>SUM(AZ53:AZ55)</f>
        <v/>
      </c>
      <c r="BA56" s="290">
        <f>SUM(BA53:BA55)</f>
        <v/>
      </c>
      <c r="BB56" s="290">
        <f>SUM(BB53:BB55)</f>
        <v/>
      </c>
      <c r="BC56" s="290">
        <f>SUM(BC53:BC55)</f>
        <v/>
      </c>
      <c r="BD56" s="290">
        <f>SUM(BD53:BD55)</f>
        <v/>
      </c>
      <c r="BE56" s="290">
        <f>SUM(BE53:BE55)</f>
        <v/>
      </c>
      <c r="BF56" s="290">
        <f>SUM(BF53:BF55)</f>
        <v/>
      </c>
      <c r="BG56" s="290">
        <f>SUM(BG53:BG55)</f>
        <v/>
      </c>
      <c r="BH56" s="290">
        <f>SUM(BH53:BH55)</f>
        <v/>
      </c>
      <c r="BI56" s="290">
        <f>SUM(BI53:BI55)</f>
        <v/>
      </c>
      <c r="BJ56" s="290">
        <f>SUM(BJ53:BJ55)</f>
        <v/>
      </c>
      <c r="BK56" s="290">
        <f>SUM(BK53:BK55)</f>
        <v/>
      </c>
      <c r="BL56" s="290">
        <f>SUM(BL53:BL55)</f>
        <v/>
      </c>
      <c r="BM56" s="290">
        <f>SUM(BM53:BM55)</f>
        <v/>
      </c>
      <c r="BN56" s="290">
        <f>SUM(BN53:BN55)</f>
        <v/>
      </c>
      <c r="BO56" s="290">
        <f>SUM(BO53:BO55)</f>
        <v/>
      </c>
      <c r="BP56" s="290">
        <f>SUM(BP53:BP55)</f>
        <v/>
      </c>
      <c r="BQ56" s="290">
        <f>SUM(BQ53:BQ55)</f>
        <v/>
      </c>
      <c r="BR56" s="290">
        <f>SUM(BR53:BR55)</f>
        <v/>
      </c>
      <c r="BS56" s="290">
        <f>SUM(BS53:BS55)</f>
        <v/>
      </c>
      <c r="BT56" s="290">
        <f>SUM(BT53:BT55)</f>
        <v/>
      </c>
      <c r="BU56" s="290">
        <f>SUM(BU53:BU55)</f>
        <v/>
      </c>
      <c r="BW56" s="290">
        <f>SUM(M56:BU56)</f>
        <v/>
      </c>
    </row>
    <row r="57" ht="12" customHeight="1" s="227">
      <c r="N57" s="245" t="n"/>
      <c r="O57" s="245" t="n"/>
      <c r="P57" s="245" t="n"/>
      <c r="Q57" s="245" t="n"/>
      <c r="R57" s="245" t="n"/>
      <c r="S57" s="245" t="n"/>
      <c r="T57" s="245" t="n"/>
      <c r="U57" s="245" t="n"/>
      <c r="V57" s="245" t="n"/>
      <c r="W57" s="245" t="n"/>
      <c r="X57" s="245" t="n"/>
      <c r="Y57" s="245" t="n"/>
      <c r="Z57" s="245" t="n"/>
      <c r="AA57" s="245" t="n"/>
      <c r="AB57" s="245" t="n"/>
      <c r="AC57" s="245" t="n"/>
      <c r="AD57" s="245" t="n"/>
      <c r="AE57" s="245" t="n"/>
      <c r="AF57" s="245" t="n"/>
      <c r="AG57" s="245" t="n"/>
      <c r="AH57" s="245" t="n"/>
      <c r="AI57" s="245" t="n"/>
      <c r="AJ57" s="245" t="n"/>
      <c r="AK57" s="245" t="n"/>
      <c r="AL57" s="245" t="n"/>
      <c r="AM57" s="245" t="n"/>
      <c r="AN57" s="245" t="n"/>
      <c r="AO57" s="245" t="n"/>
      <c r="AP57" s="245" t="n"/>
      <c r="AQ57" s="245" t="n"/>
      <c r="AR57" s="245" t="n"/>
      <c r="AS57" s="245" t="n"/>
      <c r="AT57" s="245" t="n"/>
      <c r="AU57" s="245" t="n"/>
      <c r="AV57" s="245" t="n"/>
      <c r="AW57" s="245" t="n"/>
      <c r="AX57" s="245" t="n"/>
      <c r="AY57" s="245" t="n"/>
      <c r="AZ57" s="245" t="n"/>
      <c r="BA57" s="245" t="n"/>
      <c r="BB57" s="245" t="n"/>
      <c r="BC57" s="245" t="n"/>
      <c r="BD57" s="245" t="n"/>
      <c r="BE57" s="245" t="n"/>
      <c r="BF57" s="245" t="n"/>
      <c r="BG57" s="245" t="n"/>
      <c r="BH57" s="245" t="n"/>
      <c r="BI57" s="245" t="n"/>
      <c r="BJ57" s="245" t="n"/>
      <c r="BK57" s="245" t="n"/>
      <c r="BL57" s="245" t="n"/>
      <c r="BM57" s="245" t="n"/>
      <c r="BN57" s="245" t="n"/>
      <c r="BO57" s="245" t="n"/>
      <c r="BP57" s="245" t="n"/>
      <c r="BQ57" s="245" t="n"/>
      <c r="BR57" s="245" t="n"/>
      <c r="BS57" s="245" t="n"/>
      <c r="BT57" s="245" t="n"/>
    </row>
    <row r="58" ht="12" customHeight="1" s="227">
      <c r="H58" s="0" t="inlineStr">
        <is>
          <t>Discounting Period</t>
        </is>
      </c>
      <c r="I58" s="27" t="inlineStr">
        <is>
          <t>Months</t>
        </is>
      </c>
      <c r="M58" s="292">
        <f>IF(M7="actual",0,1/12)</f>
        <v/>
      </c>
      <c r="N58" s="292">
        <f>IF(N7="actual",0,1/12)</f>
        <v/>
      </c>
      <c r="O58" s="292">
        <f>IF(O7="actual",0,1/12)</f>
        <v/>
      </c>
      <c r="P58" s="292">
        <f>IF(P7="actual",0,1/12)</f>
        <v/>
      </c>
      <c r="Q58" s="292">
        <f>IF(Q7="actual",0,1/12)</f>
        <v/>
      </c>
      <c r="R58" s="292">
        <f>IF(R7="actual",0,1/12)</f>
        <v/>
      </c>
      <c r="S58" s="292">
        <f>IF(S7="actual",0,1/12)</f>
        <v/>
      </c>
      <c r="T58" s="292">
        <f>IF(T7="actual",0,1/12)</f>
        <v/>
      </c>
      <c r="U58" s="292">
        <f>IF(U7="actual",0,1/12)</f>
        <v/>
      </c>
      <c r="V58" s="292">
        <f>IF(V7="actual",0,1/12)</f>
        <v/>
      </c>
      <c r="W58" s="292">
        <f>IF(W7="actual",0,1/12)</f>
        <v/>
      </c>
      <c r="X58" s="292">
        <f>IF(X7="actual",0,1/12)</f>
        <v/>
      </c>
      <c r="Y58" s="292">
        <f>IF(Y7="actual",0,1/12)</f>
        <v/>
      </c>
      <c r="Z58" s="292">
        <f>IF(Z7="actual",0,1/12)</f>
        <v/>
      </c>
      <c r="AA58" s="292">
        <f>IF(AA7="actual",0,1/12)</f>
        <v/>
      </c>
      <c r="AB58" s="292">
        <f>IF(AB7="actual",0,1/12)</f>
        <v/>
      </c>
      <c r="AC58" s="292">
        <f>IF(AC7="actual",0,1/12)</f>
        <v/>
      </c>
      <c r="AD58" s="292">
        <f>IF(AD7="actual",0,1/12)</f>
        <v/>
      </c>
      <c r="AE58" s="292">
        <f>IF(AE7="actual",0,1/12)</f>
        <v/>
      </c>
      <c r="AF58" s="292">
        <f>IF(AF7="actual",0,1/12)</f>
        <v/>
      </c>
      <c r="AG58" s="292">
        <f>IF(AG7="actual",0,1/12)</f>
        <v/>
      </c>
      <c r="AH58" s="292">
        <f>IF(AH7="actual",0,1/12)</f>
        <v/>
      </c>
      <c r="AI58" s="292">
        <f>IF(AI7="actual",0,1/12)</f>
        <v/>
      </c>
      <c r="AJ58" s="292">
        <f>IF(AJ7="actual",0,1/12)</f>
        <v/>
      </c>
      <c r="AK58" s="292">
        <f>IF(AK7="actual",0,1/12)</f>
        <v/>
      </c>
      <c r="AL58" s="292">
        <f>IF(AL7="actual",0,1/12)</f>
        <v/>
      </c>
      <c r="AM58" s="292">
        <f>IF(AM7="actual",0,1/12)</f>
        <v/>
      </c>
      <c r="AN58" s="292">
        <f>IF(AN7="actual",0,1/12)</f>
        <v/>
      </c>
      <c r="AO58" s="292">
        <f>IF(AO7="actual",0,1/12)</f>
        <v/>
      </c>
      <c r="AP58" s="292">
        <f>IF(AP7="actual",0,1/12)</f>
        <v/>
      </c>
      <c r="AQ58" s="292">
        <f>IF(AQ7="actual",0,1/12)</f>
        <v/>
      </c>
      <c r="AR58" s="292">
        <f>IF(AR7="actual",0,1/12)</f>
        <v/>
      </c>
      <c r="AS58" s="292">
        <f>IF(AS7="actual",0,1/12)</f>
        <v/>
      </c>
      <c r="AT58" s="292">
        <f>IF(AT7="actual",0,1/12)</f>
        <v/>
      </c>
      <c r="AU58" s="292">
        <f>IF(AU7="actual",0,1/12)</f>
        <v/>
      </c>
      <c r="AV58" s="292">
        <f>IF(AV7="actual",0,1/12)</f>
        <v/>
      </c>
      <c r="AW58" s="292">
        <f>IF(AW7="actual",0,1/12)</f>
        <v/>
      </c>
      <c r="AX58" s="292">
        <f>IF(AX7="actual",0,1/12)</f>
        <v/>
      </c>
      <c r="AY58" s="292">
        <f>IF(AY7="actual",0,1/12)</f>
        <v/>
      </c>
      <c r="AZ58" s="292">
        <f>IF(AZ7="actual",0,1/12)</f>
        <v/>
      </c>
      <c r="BA58" s="292">
        <f>IF(BA7="actual",0,1/12)</f>
        <v/>
      </c>
      <c r="BB58" s="292">
        <f>IF(BB7="actual",0,1/12)</f>
        <v/>
      </c>
      <c r="BC58" s="292">
        <f>IF(BC7="actual",0,1/12)</f>
        <v/>
      </c>
      <c r="BD58" s="292">
        <f>IF(BD7="actual",0,1/12)</f>
        <v/>
      </c>
      <c r="BE58" s="292">
        <f>IF(BE7="actual",0,1/12)</f>
        <v/>
      </c>
      <c r="BF58" s="292">
        <f>IF(BF7="actual",0,1/12)</f>
        <v/>
      </c>
      <c r="BG58" s="292">
        <f>IF(BG7="actual",0,1/12)</f>
        <v/>
      </c>
      <c r="BH58" s="292">
        <f>IF(BH7="actual",0,1/12)</f>
        <v/>
      </c>
      <c r="BI58" s="292">
        <f>IF(BI7="actual",0,1/12)</f>
        <v/>
      </c>
      <c r="BJ58" s="292">
        <f>IF(BJ7="actual",0,1/12)</f>
        <v/>
      </c>
      <c r="BK58" s="292">
        <f>IF(BK7="actual",0,1/12)</f>
        <v/>
      </c>
      <c r="BL58" s="292">
        <f>IF(BL7="actual",0,1/12)</f>
        <v/>
      </c>
      <c r="BM58" s="292">
        <f>IF(BM7="actual",0,1/12)</f>
        <v/>
      </c>
      <c r="BN58" s="292">
        <f>IF(BN7="actual",0,1/12)</f>
        <v/>
      </c>
      <c r="BO58" s="292">
        <f>IF(BO7="actual",0,1/12)</f>
        <v/>
      </c>
      <c r="BP58" s="292">
        <f>IF(BP7="actual",0,1/12)</f>
        <v/>
      </c>
      <c r="BQ58" s="292">
        <f>IF(BQ7="actual",0,1/12)</f>
        <v/>
      </c>
      <c r="BR58" s="292">
        <f>IF(BR7="actual",0,1/12)</f>
        <v/>
      </c>
      <c r="BS58" s="292">
        <f>IF(BS7="actual",0,1/12)</f>
        <v/>
      </c>
      <c r="BT58" s="292">
        <f>IF(BT7="actual",0,1/12)</f>
        <v/>
      </c>
      <c r="BU58" s="293">
        <f>INDEX($M58:$BT58,,COUNT($M$6:$BT$6))</f>
        <v/>
      </c>
    </row>
    <row r="59" ht="12" customHeight="1" s="227">
      <c r="H59" s="0" t="inlineStr">
        <is>
          <t>Discounting Period Cumulative</t>
        </is>
      </c>
      <c r="I59" s="27" t="inlineStr">
        <is>
          <t>Months</t>
        </is>
      </c>
      <c r="M59" s="292">
        <f>SUM($M58:M$58)</f>
        <v/>
      </c>
      <c r="N59" s="292">
        <f>SUM($M58:N$58)</f>
        <v/>
      </c>
      <c r="O59" s="292">
        <f>SUM($M58:O$58)</f>
        <v/>
      </c>
      <c r="P59" s="292">
        <f>SUM($M58:P$58)</f>
        <v/>
      </c>
      <c r="Q59" s="292">
        <f>SUM($M58:Q$58)</f>
        <v/>
      </c>
      <c r="R59" s="292">
        <f>SUM($M58:R$58)</f>
        <v/>
      </c>
      <c r="S59" s="292">
        <f>SUM($M58:S$58)</f>
        <v/>
      </c>
      <c r="T59" s="292">
        <f>SUM($M58:T$58)</f>
        <v/>
      </c>
      <c r="U59" s="292">
        <f>SUM($M58:U$58)</f>
        <v/>
      </c>
      <c r="V59" s="292">
        <f>SUM($M58:V$58)</f>
        <v/>
      </c>
      <c r="W59" s="292">
        <f>SUM($M58:W$58)</f>
        <v/>
      </c>
      <c r="X59" s="292">
        <f>SUM($M58:X$58)</f>
        <v/>
      </c>
      <c r="Y59" s="292">
        <f>SUM($M58:Y$58)</f>
        <v/>
      </c>
      <c r="Z59" s="292">
        <f>SUM($M58:Z$58)</f>
        <v/>
      </c>
      <c r="AA59" s="292">
        <f>SUM($M58:AA$58)</f>
        <v/>
      </c>
      <c r="AB59" s="292">
        <f>SUM($M58:AB$58)</f>
        <v/>
      </c>
      <c r="AC59" s="292">
        <f>SUM($M58:AC$58)</f>
        <v/>
      </c>
      <c r="AD59" s="292">
        <f>SUM($M58:AD$58)</f>
        <v/>
      </c>
      <c r="AE59" s="292">
        <f>SUM($M58:AE$58)</f>
        <v/>
      </c>
      <c r="AF59" s="292">
        <f>SUM($M58:AF$58)</f>
        <v/>
      </c>
      <c r="AG59" s="292">
        <f>SUM($M58:AG$58)</f>
        <v/>
      </c>
      <c r="AH59" s="292">
        <f>SUM($M58:AH$58)</f>
        <v/>
      </c>
      <c r="AI59" s="292">
        <f>SUM($M58:AI$58)</f>
        <v/>
      </c>
      <c r="AJ59" s="292">
        <f>SUM($M58:AJ$58)</f>
        <v/>
      </c>
      <c r="AK59" s="292">
        <f>SUM($M58:AK$58)</f>
        <v/>
      </c>
      <c r="AL59" s="292">
        <f>SUM($M58:AL$58)</f>
        <v/>
      </c>
      <c r="AM59" s="292">
        <f>SUM($M58:AM$58)</f>
        <v/>
      </c>
      <c r="AN59" s="292">
        <f>SUM($M58:AN$58)</f>
        <v/>
      </c>
      <c r="AO59" s="292">
        <f>SUM($M58:AO$58)</f>
        <v/>
      </c>
      <c r="AP59" s="292">
        <f>SUM($M58:AP$58)</f>
        <v/>
      </c>
      <c r="AQ59" s="292">
        <f>SUM($M58:AQ$58)</f>
        <v/>
      </c>
      <c r="AR59" s="292">
        <f>SUM($M58:AR$58)</f>
        <v/>
      </c>
      <c r="AS59" s="292">
        <f>SUM($M58:AS$58)</f>
        <v/>
      </c>
      <c r="AT59" s="292">
        <f>SUM($M58:AT$58)</f>
        <v/>
      </c>
      <c r="AU59" s="292">
        <f>SUM($M58:AU$58)</f>
        <v/>
      </c>
      <c r="AV59" s="292">
        <f>SUM($M58:AV$58)</f>
        <v/>
      </c>
      <c r="AW59" s="292">
        <f>SUM($M58:AW$58)</f>
        <v/>
      </c>
      <c r="AX59" s="292">
        <f>SUM($M58:AX$58)</f>
        <v/>
      </c>
      <c r="AY59" s="292">
        <f>SUM($M58:AY$58)</f>
        <v/>
      </c>
      <c r="AZ59" s="292">
        <f>SUM($M58:AZ$58)</f>
        <v/>
      </c>
      <c r="BA59" s="292">
        <f>SUM($M58:BA$58)</f>
        <v/>
      </c>
      <c r="BB59" s="292">
        <f>SUM($M58:BB$58)</f>
        <v/>
      </c>
      <c r="BC59" s="292">
        <f>SUM($M58:BC$58)</f>
        <v/>
      </c>
      <c r="BD59" s="292">
        <f>SUM($M58:BD$58)</f>
        <v/>
      </c>
      <c r="BE59" s="292">
        <f>SUM($M58:BE$58)</f>
        <v/>
      </c>
      <c r="BF59" s="292">
        <f>SUM($M58:BF$58)</f>
        <v/>
      </c>
      <c r="BG59" s="292">
        <f>SUM($M58:BG$58)</f>
        <v/>
      </c>
      <c r="BH59" s="292">
        <f>SUM($M58:BH$58)</f>
        <v/>
      </c>
      <c r="BI59" s="292">
        <f>SUM($M58:BI$58)</f>
        <v/>
      </c>
      <c r="BJ59" s="292">
        <f>SUM($M58:BJ$58)</f>
        <v/>
      </c>
      <c r="BK59" s="292">
        <f>SUM($M58:BK$58)</f>
        <v/>
      </c>
      <c r="BL59" s="292">
        <f>SUM($M58:BL$58)</f>
        <v/>
      </c>
      <c r="BM59" s="292">
        <f>SUM($M58:BM$58)</f>
        <v/>
      </c>
      <c r="BN59" s="292">
        <f>SUM($M58:BN$58)</f>
        <v/>
      </c>
      <c r="BO59" s="292">
        <f>SUM($M58:BO$58)</f>
        <v/>
      </c>
      <c r="BP59" s="292">
        <f>SUM($M58:BP$58)</f>
        <v/>
      </c>
      <c r="BQ59" s="292">
        <f>SUM($M58:BQ$58)</f>
        <v/>
      </c>
      <c r="BR59" s="292">
        <f>SUM($M58:BR$58)</f>
        <v/>
      </c>
      <c r="BS59" s="292">
        <f>SUM($M58:BS$58)</f>
        <v/>
      </c>
      <c r="BT59" s="292">
        <f>SUM($M58:BT$58)</f>
        <v/>
      </c>
      <c r="BU59" s="292">
        <f>SUM($M58:BU$58)</f>
        <v/>
      </c>
    </row>
    <row r="60" ht="12" customHeight="1" s="227">
      <c r="H60" s="0" t="inlineStr">
        <is>
          <t>Discounting Factor</t>
        </is>
      </c>
      <c r="I60" s="27" t="inlineStr">
        <is>
          <t>%</t>
        </is>
      </c>
      <c r="K60" s="294">
        <f>K44</f>
        <v/>
      </c>
      <c r="M60" s="295">
        <f>1/(1+$K60)^M59</f>
        <v/>
      </c>
      <c r="N60" s="295">
        <f>1/(1+$K60)^N59</f>
        <v/>
      </c>
      <c r="O60" s="295">
        <f>1/(1+$K60)^O59</f>
        <v/>
      </c>
      <c r="P60" s="295">
        <f>1/(1+$K60)^P59</f>
        <v/>
      </c>
      <c r="Q60" s="295">
        <f>1/(1+$K60)^Q59</f>
        <v/>
      </c>
      <c r="R60" s="295">
        <f>1/(1+$K60)^R59</f>
        <v/>
      </c>
      <c r="S60" s="295">
        <f>1/(1+$K60)^S59</f>
        <v/>
      </c>
      <c r="T60" s="295">
        <f>1/(1+$K60)^T59</f>
        <v/>
      </c>
      <c r="U60" s="295">
        <f>1/(1+$K60)^U59</f>
        <v/>
      </c>
      <c r="V60" s="295">
        <f>1/(1+$K60)^V59</f>
        <v/>
      </c>
      <c r="W60" s="295">
        <f>1/(1+$K60)^W59</f>
        <v/>
      </c>
      <c r="X60" s="295">
        <f>1/(1+$K60)^X59</f>
        <v/>
      </c>
      <c r="Y60" s="295">
        <f>1/(1+$K60)^Y59</f>
        <v/>
      </c>
      <c r="Z60" s="295">
        <f>1/(1+$K60)^Z59</f>
        <v/>
      </c>
      <c r="AA60" s="295">
        <f>1/(1+$K60)^AA59</f>
        <v/>
      </c>
      <c r="AB60" s="295">
        <f>1/(1+$K60)^AB59</f>
        <v/>
      </c>
      <c r="AC60" s="295">
        <f>1/(1+$K60)^AC59</f>
        <v/>
      </c>
      <c r="AD60" s="295">
        <f>1/(1+$K60)^AD59</f>
        <v/>
      </c>
      <c r="AE60" s="295">
        <f>1/(1+$K60)^AE59</f>
        <v/>
      </c>
      <c r="AF60" s="295">
        <f>1/(1+$K60)^AF59</f>
        <v/>
      </c>
      <c r="AG60" s="295">
        <f>1/(1+$K60)^AG59</f>
        <v/>
      </c>
      <c r="AH60" s="295">
        <f>1/(1+$K60)^AH59</f>
        <v/>
      </c>
      <c r="AI60" s="295">
        <f>1/(1+$K60)^AI59</f>
        <v/>
      </c>
      <c r="AJ60" s="295">
        <f>1/(1+$K60)^AJ59</f>
        <v/>
      </c>
      <c r="AK60" s="295">
        <f>1/(1+$K60)^AK59</f>
        <v/>
      </c>
      <c r="AL60" s="295">
        <f>1/(1+$K60)^AL59</f>
        <v/>
      </c>
      <c r="AM60" s="295">
        <f>1/(1+$K60)^AM59</f>
        <v/>
      </c>
      <c r="AN60" s="295">
        <f>1/(1+$K60)^AN59</f>
        <v/>
      </c>
      <c r="AO60" s="295">
        <f>1/(1+$K60)^AO59</f>
        <v/>
      </c>
      <c r="AP60" s="295">
        <f>1/(1+$K60)^AP59</f>
        <v/>
      </c>
      <c r="AQ60" s="295">
        <f>1/(1+$K60)^AQ59</f>
        <v/>
      </c>
      <c r="AR60" s="295">
        <f>1/(1+$K60)^AR59</f>
        <v/>
      </c>
      <c r="AS60" s="295">
        <f>1/(1+$K60)^AS59</f>
        <v/>
      </c>
      <c r="AT60" s="295">
        <f>1/(1+$K60)^AT59</f>
        <v/>
      </c>
      <c r="AU60" s="295">
        <f>1/(1+$K60)^AU59</f>
        <v/>
      </c>
      <c r="AV60" s="295">
        <f>1/(1+$K60)^AV59</f>
        <v/>
      </c>
      <c r="AW60" s="295">
        <f>1/(1+$K60)^AW59</f>
        <v/>
      </c>
      <c r="AX60" s="295">
        <f>1/(1+$K60)^AX59</f>
        <v/>
      </c>
      <c r="AY60" s="295">
        <f>1/(1+$K60)^AY59</f>
        <v/>
      </c>
      <c r="AZ60" s="295">
        <f>1/(1+$K60)^AZ59</f>
        <v/>
      </c>
      <c r="BA60" s="295">
        <f>1/(1+$K60)^BA59</f>
        <v/>
      </c>
      <c r="BB60" s="295">
        <f>1/(1+$K60)^BB59</f>
        <v/>
      </c>
      <c r="BC60" s="295">
        <f>1/(1+$K60)^BC59</f>
        <v/>
      </c>
      <c r="BD60" s="295">
        <f>1/(1+$K60)^BD59</f>
        <v/>
      </c>
      <c r="BE60" s="295">
        <f>1/(1+$K60)^BE59</f>
        <v/>
      </c>
      <c r="BF60" s="295">
        <f>1/(1+$K60)^BF59</f>
        <v/>
      </c>
      <c r="BG60" s="295">
        <f>1/(1+$K60)^BG59</f>
        <v/>
      </c>
      <c r="BH60" s="295">
        <f>1/(1+$K60)^BH59</f>
        <v/>
      </c>
      <c r="BI60" s="295">
        <f>1/(1+$K60)^BI59</f>
        <v/>
      </c>
      <c r="BJ60" s="295">
        <f>1/(1+$K60)^BJ59</f>
        <v/>
      </c>
      <c r="BK60" s="295">
        <f>1/(1+$K60)^BK59</f>
        <v/>
      </c>
      <c r="BL60" s="295">
        <f>1/(1+$K60)^BL59</f>
        <v/>
      </c>
      <c r="BM60" s="295">
        <f>1/(1+$K60)^BM59</f>
        <v/>
      </c>
      <c r="BN60" s="295">
        <f>1/(1+$K60)^BN59</f>
        <v/>
      </c>
      <c r="BO60" s="295">
        <f>1/(1+$K60)^BO59</f>
        <v/>
      </c>
      <c r="BP60" s="295">
        <f>1/(1+$K60)^BP59</f>
        <v/>
      </c>
      <c r="BQ60" s="295">
        <f>1/(1+$K60)^BQ59</f>
        <v/>
      </c>
      <c r="BR60" s="295">
        <f>1/(1+$K60)^BR59</f>
        <v/>
      </c>
      <c r="BS60" s="295">
        <f>1/(1+$K60)^BS59</f>
        <v/>
      </c>
      <c r="BT60" s="295">
        <f>1/(1+$K60)^BT59</f>
        <v/>
      </c>
      <c r="BU60" s="295">
        <f>1/(1+$K60)^BU59</f>
        <v/>
      </c>
    </row>
    <row r="61" ht="12" customHeight="1" s="227"/>
    <row r="62" ht="12" customHeight="1" s="227">
      <c r="H62" s="39" t="inlineStr">
        <is>
          <t>Discounted Cash Flow</t>
        </is>
      </c>
      <c r="I62" s="41">
        <f>i_Setup!$M$16</f>
        <v/>
      </c>
      <c r="M62" s="249">
        <f>M56*M60</f>
        <v/>
      </c>
      <c r="N62" s="249">
        <f>N56*N60</f>
        <v/>
      </c>
      <c r="O62" s="249">
        <f>O56*O60</f>
        <v/>
      </c>
      <c r="P62" s="249">
        <f>P56*P60</f>
        <v/>
      </c>
      <c r="Q62" s="249">
        <f>Q56*Q60</f>
        <v/>
      </c>
      <c r="R62" s="249">
        <f>R56*R60</f>
        <v/>
      </c>
      <c r="S62" s="249">
        <f>S56*S60</f>
        <v/>
      </c>
      <c r="T62" s="249">
        <f>T56*T60</f>
        <v/>
      </c>
      <c r="U62" s="249">
        <f>U56*U60</f>
        <v/>
      </c>
      <c r="V62" s="249">
        <f>V56*V60</f>
        <v/>
      </c>
      <c r="W62" s="249">
        <f>W56*W60</f>
        <v/>
      </c>
      <c r="X62" s="249">
        <f>X56*X60</f>
        <v/>
      </c>
      <c r="Y62" s="249">
        <f>Y56*Y60</f>
        <v/>
      </c>
      <c r="Z62" s="249">
        <f>Z56*Z60</f>
        <v/>
      </c>
      <c r="AA62" s="249">
        <f>AA56*AA60</f>
        <v/>
      </c>
      <c r="AB62" s="249">
        <f>AB56*AB60</f>
        <v/>
      </c>
      <c r="AC62" s="249">
        <f>AC56*AC60</f>
        <v/>
      </c>
      <c r="AD62" s="249">
        <f>AD56*AD60</f>
        <v/>
      </c>
      <c r="AE62" s="249">
        <f>AE56*AE60</f>
        <v/>
      </c>
      <c r="AF62" s="249">
        <f>AF56*AF60</f>
        <v/>
      </c>
      <c r="AG62" s="249">
        <f>AG56*AG60</f>
        <v/>
      </c>
      <c r="AH62" s="249">
        <f>AH56*AH60</f>
        <v/>
      </c>
      <c r="AI62" s="249">
        <f>AI56*AI60</f>
        <v/>
      </c>
      <c r="AJ62" s="249">
        <f>AJ56*AJ60</f>
        <v/>
      </c>
      <c r="AK62" s="249">
        <f>AK56*AK60</f>
        <v/>
      </c>
      <c r="AL62" s="249">
        <f>AL56*AL60</f>
        <v/>
      </c>
      <c r="AM62" s="249">
        <f>AM56*AM60</f>
        <v/>
      </c>
      <c r="AN62" s="249">
        <f>AN56*AN60</f>
        <v/>
      </c>
      <c r="AO62" s="249">
        <f>AO56*AO60</f>
        <v/>
      </c>
      <c r="AP62" s="249">
        <f>AP56*AP60</f>
        <v/>
      </c>
      <c r="AQ62" s="249">
        <f>AQ56*AQ60</f>
        <v/>
      </c>
      <c r="AR62" s="249">
        <f>AR56*AR60</f>
        <v/>
      </c>
      <c r="AS62" s="249">
        <f>AS56*AS60</f>
        <v/>
      </c>
      <c r="AT62" s="249">
        <f>AT56*AT60</f>
        <v/>
      </c>
      <c r="AU62" s="249">
        <f>AU56*AU60</f>
        <v/>
      </c>
      <c r="AV62" s="249">
        <f>AV56*AV60</f>
        <v/>
      </c>
      <c r="AW62" s="249">
        <f>AW56*AW60</f>
        <v/>
      </c>
      <c r="AX62" s="249">
        <f>AX56*AX60</f>
        <v/>
      </c>
      <c r="AY62" s="249">
        <f>AY56*AY60</f>
        <v/>
      </c>
      <c r="AZ62" s="249">
        <f>AZ56*AZ60</f>
        <v/>
      </c>
      <c r="BA62" s="249">
        <f>BA56*BA60</f>
        <v/>
      </c>
      <c r="BB62" s="249">
        <f>BB56*BB60</f>
        <v/>
      </c>
      <c r="BC62" s="249">
        <f>BC56*BC60</f>
        <v/>
      </c>
      <c r="BD62" s="249">
        <f>BD56*BD60</f>
        <v/>
      </c>
      <c r="BE62" s="249">
        <f>BE56*BE60</f>
        <v/>
      </c>
      <c r="BF62" s="249">
        <f>BF56*BF60</f>
        <v/>
      </c>
      <c r="BG62" s="249">
        <f>BG56*BG60</f>
        <v/>
      </c>
      <c r="BH62" s="249">
        <f>BH56*BH60</f>
        <v/>
      </c>
      <c r="BI62" s="249">
        <f>BI56*BI60</f>
        <v/>
      </c>
      <c r="BJ62" s="249">
        <f>BJ56*BJ60</f>
        <v/>
      </c>
      <c r="BK62" s="249">
        <f>BK56*BK60</f>
        <v/>
      </c>
      <c r="BL62" s="249">
        <f>BL56*BL60</f>
        <v/>
      </c>
      <c r="BM62" s="249">
        <f>BM56*BM60</f>
        <v/>
      </c>
      <c r="BN62" s="249">
        <f>BN56*BN60</f>
        <v/>
      </c>
      <c r="BO62" s="249">
        <f>BO56*BO60</f>
        <v/>
      </c>
      <c r="BP62" s="249">
        <f>BP56*BP60</f>
        <v/>
      </c>
      <c r="BQ62" s="249">
        <f>BQ56*BQ60</f>
        <v/>
      </c>
      <c r="BR62" s="249">
        <f>BR56*BR60</f>
        <v/>
      </c>
      <c r="BS62" s="249">
        <f>BS56*BS60</f>
        <v/>
      </c>
      <c r="BT62" s="249">
        <f>BT56*BT60</f>
        <v/>
      </c>
      <c r="BU62" s="249">
        <f>BU56*BU60</f>
        <v/>
      </c>
      <c r="BW62" s="249">
        <f>SUM(M62:BU62)</f>
        <v/>
      </c>
    </row>
    <row r="63" ht="12" customHeight="1" s="227"/>
    <row r="64" ht="12" customHeight="1" s="227">
      <c r="H64" s="0" t="inlineStr">
        <is>
          <t>Discount for Lack of Marketability</t>
        </is>
      </c>
      <c r="I64" s="27">
        <f>i_Setup!$M$16</f>
        <v/>
      </c>
      <c r="K64" s="296">
        <f>K17</f>
        <v/>
      </c>
      <c r="BW64" s="245">
        <f>BW62*-K64</f>
        <v/>
      </c>
    </row>
    <row r="65" ht="12" customHeight="1" s="227">
      <c r="H65" s="39" t="inlineStr">
        <is>
          <t>Estimated Discounted Cash Flow Valuation</t>
        </is>
      </c>
      <c r="I65" s="41">
        <f>i_Setup!$M$16</f>
        <v/>
      </c>
      <c r="BW65" s="249">
        <f>SUM(BW62:BW64)</f>
        <v/>
      </c>
    </row>
    <row r="66" ht="12" customHeight="1" s="227">
      <c r="H66" s="8" t="inlineStr">
        <is>
          <t>(Enterprise Value)</t>
        </is>
      </c>
    </row>
    <row r="67" ht="12" customHeight="1" s="227"/>
    <row r="68" ht="12" customHeight="1" s="227">
      <c r="H68" s="0" t="inlineStr">
        <is>
          <t>Less Market Value of Debt</t>
        </is>
      </c>
      <c r="I68" s="27">
        <f>i_Setup!$M$16</f>
        <v/>
      </c>
      <c r="BW68" s="230">
        <f>'o_Fin Stats'!M137</f>
        <v/>
      </c>
    </row>
    <row r="69" ht="12" customHeight="1" s="227">
      <c r="H69" s="0" t="inlineStr">
        <is>
          <t>Add Cash</t>
        </is>
      </c>
      <c r="I69" s="27">
        <f>i_Setup!$M$16</f>
        <v/>
      </c>
      <c r="BW69" s="230">
        <f>'o_Fin Stats'!M124</f>
        <v/>
      </c>
    </row>
    <row r="70" ht="12.75" customHeight="1" s="227" thickBot="1">
      <c r="H70" s="42" t="inlineStr">
        <is>
          <t>Equity Value</t>
        </is>
      </c>
      <c r="I70" s="43">
        <f>i_Setup!$M$16</f>
        <v/>
      </c>
      <c r="BW70" s="264">
        <f>SUM(BW65:BW69)</f>
        <v/>
      </c>
    </row>
    <row r="71" ht="12" customHeight="1" s="227"/>
    <row r="72" ht="12.75" customHeight="1" s="227">
      <c r="G72" s="60" t="inlineStr">
        <is>
          <t>Ratios</t>
        </is>
      </c>
      <c r="H72" s="61" t="n"/>
      <c r="I72" s="62" t="n"/>
      <c r="J72" s="62" t="n"/>
      <c r="K72" s="63" t="n"/>
      <c r="L72" s="63" t="n"/>
      <c r="M72" s="63" t="n"/>
      <c r="N72" s="63" t="n"/>
      <c r="O72" s="63" t="n"/>
      <c r="P72" s="63" t="n"/>
      <c r="Q72" s="63" t="n"/>
      <c r="R72" s="63" t="n"/>
      <c r="S72" s="63" t="n"/>
      <c r="T72" s="63" t="n"/>
      <c r="U72" s="63" t="n"/>
      <c r="V72" s="63" t="n"/>
      <c r="W72" s="63" t="n"/>
      <c r="X72" s="63" t="n"/>
      <c r="Y72" s="63" t="n"/>
      <c r="Z72" s="63" t="n"/>
      <c r="AA72" s="63" t="n"/>
      <c r="AB72" s="63" t="n"/>
      <c r="AC72" s="63" t="n"/>
      <c r="AD72" s="63" t="n"/>
      <c r="AE72" s="63" t="n"/>
      <c r="AF72" s="63" t="n"/>
      <c r="AG72" s="63" t="n"/>
      <c r="AH72" s="63" t="n"/>
      <c r="AI72" s="63" t="n"/>
      <c r="AJ72" s="63" t="n"/>
      <c r="AK72" s="63" t="n"/>
      <c r="AL72" s="63" t="n"/>
      <c r="AM72" s="63" t="n"/>
      <c r="AN72" s="63" t="n"/>
      <c r="AO72" s="63" t="n"/>
      <c r="AP72" s="63" t="n"/>
      <c r="AQ72" s="63" t="n"/>
      <c r="AR72" s="63" t="n"/>
      <c r="AS72" s="63" t="n"/>
      <c r="AT72" s="63" t="n"/>
      <c r="AU72" s="63" t="n"/>
      <c r="AV72" s="63" t="n"/>
      <c r="AW72" s="63" t="n"/>
      <c r="AX72" s="63" t="n"/>
      <c r="AY72" s="63" t="n"/>
      <c r="AZ72" s="63" t="n"/>
      <c r="BA72" s="63" t="n"/>
      <c r="BB72" s="63" t="n"/>
      <c r="BC72" s="63" t="n"/>
      <c r="BD72" s="63" t="n"/>
      <c r="BE72" s="63" t="n"/>
      <c r="BF72" s="63" t="n"/>
      <c r="BG72" s="63" t="n"/>
      <c r="BH72" s="63" t="n"/>
      <c r="BI72" s="63" t="n"/>
      <c r="BJ72" s="63" t="n"/>
      <c r="BK72" s="63" t="n"/>
      <c r="BL72" s="63" t="n"/>
      <c r="BM72" s="63" t="n"/>
      <c r="BN72" s="63" t="n"/>
      <c r="BO72" s="63" t="n"/>
      <c r="BP72" s="63" t="n"/>
      <c r="BQ72" s="63" t="n"/>
      <c r="BR72" s="63" t="n"/>
      <c r="BS72" s="63" t="n"/>
      <c r="BT72" s="63" t="n"/>
      <c r="BU72" s="63" t="n"/>
      <c r="BV72" s="63" t="n"/>
      <c r="BW72" s="63" t="n"/>
      <c r="BX72" s="93" t="n"/>
    </row>
    <row r="73" ht="12.75" customHeight="1" s="227">
      <c r="G73" s="64" t="n"/>
      <c r="H73" s="180" t="n"/>
      <c r="I73" s="58" t="n"/>
      <c r="J73" s="58" t="n"/>
      <c r="K73" s="181" t="n"/>
      <c r="L73" s="181" t="n"/>
      <c r="M73" s="181" t="n"/>
      <c r="N73" s="181" t="n"/>
      <c r="O73" s="181" t="n"/>
      <c r="P73" s="181" t="n"/>
      <c r="Q73" s="181" t="n"/>
      <c r="R73" s="181" t="n"/>
      <c r="S73" s="181" t="n"/>
      <c r="T73" s="181" t="n"/>
      <c r="U73" s="181" t="n"/>
      <c r="V73" s="181" t="n"/>
      <c r="W73" s="181" t="n"/>
      <c r="X73" s="181" t="n"/>
      <c r="Y73" s="181" t="n"/>
      <c r="Z73" s="181" t="n"/>
      <c r="AA73" s="181" t="n"/>
      <c r="AB73" s="181" t="n"/>
      <c r="AC73" s="181" t="n"/>
      <c r="AD73" s="181" t="n"/>
      <c r="AE73" s="181" t="n"/>
      <c r="AF73" s="181" t="n"/>
      <c r="AG73" s="181" t="n"/>
      <c r="AH73" s="181" t="n"/>
      <c r="AI73" s="181" t="n"/>
      <c r="AJ73" s="181" t="n"/>
      <c r="AK73" s="181" t="n"/>
      <c r="AL73" s="181" t="n"/>
      <c r="AM73" s="181" t="n"/>
      <c r="AN73" s="181" t="n"/>
      <c r="AO73" s="181" t="n"/>
      <c r="AP73" s="181" t="n"/>
      <c r="AQ73" s="181" t="n"/>
      <c r="AR73" s="181" t="n"/>
      <c r="AS73" s="181" t="n"/>
      <c r="AT73" s="181" t="n"/>
      <c r="AU73" s="181" t="n"/>
      <c r="AV73" s="181" t="n"/>
      <c r="AW73" s="181" t="n"/>
      <c r="AX73" s="181" t="n"/>
      <c r="AY73" s="181" t="n"/>
      <c r="AZ73" s="181" t="n"/>
      <c r="BA73" s="181" t="n"/>
      <c r="BB73" s="181" t="n"/>
      <c r="BC73" s="181" t="n"/>
      <c r="BD73" s="181" t="n"/>
      <c r="BE73" s="181" t="n"/>
      <c r="BF73" s="181" t="n"/>
      <c r="BG73" s="181" t="n"/>
      <c r="BH73" s="181" t="n"/>
      <c r="BI73" s="181" t="n"/>
      <c r="BJ73" s="181" t="n"/>
      <c r="BK73" s="181" t="n"/>
      <c r="BL73" s="181" t="n"/>
      <c r="BM73" s="181" t="n"/>
      <c r="BN73" s="181" t="n"/>
      <c r="BO73" s="181" t="n"/>
      <c r="BP73" s="181" t="n"/>
      <c r="BQ73" s="181" t="n"/>
      <c r="BR73" s="181" t="n"/>
      <c r="BS73" s="181" t="n"/>
      <c r="BT73" s="181" t="n"/>
      <c r="BU73" s="181" t="n"/>
      <c r="BV73" s="181" t="n"/>
      <c r="BW73" s="181" t="n"/>
      <c r="BX73" s="94" t="n"/>
    </row>
    <row r="74" ht="12.75" customHeight="1" s="227">
      <c r="G74" s="64" t="n"/>
      <c r="H74" s="58" t="inlineStr">
        <is>
          <t>Price / Current EBITDA</t>
        </is>
      </c>
      <c r="I74" s="170" t="inlineStr">
        <is>
          <t>x.</t>
        </is>
      </c>
      <c r="J74" s="58" t="n"/>
      <c r="K74" s="297" t="n"/>
      <c r="L74" s="297" t="n"/>
      <c r="M74" s="297" t="n"/>
      <c r="N74" s="297" t="n"/>
      <c r="O74" s="297" t="n"/>
      <c r="P74" s="297" t="n"/>
      <c r="Q74" s="297" t="n"/>
      <c r="R74" s="297" t="n"/>
      <c r="S74" s="297" t="n"/>
      <c r="T74" s="297" t="n"/>
      <c r="U74" s="297" t="n"/>
      <c r="V74" s="297" t="n"/>
      <c r="W74" s="297" t="n"/>
      <c r="X74" s="297" t="n"/>
      <c r="Y74" s="297" t="n"/>
      <c r="Z74" s="297" t="n"/>
      <c r="AA74" s="297" t="n"/>
      <c r="AB74" s="297" t="n"/>
      <c r="AC74" s="297" t="n"/>
      <c r="AD74" s="297" t="n"/>
      <c r="AE74" s="297" t="n"/>
      <c r="AF74" s="297" t="n"/>
      <c r="AG74" s="297" t="n"/>
      <c r="AH74" s="297" t="n"/>
      <c r="AI74" s="297" t="n"/>
      <c r="AJ74" s="297" t="n"/>
      <c r="AK74" s="297" t="n"/>
      <c r="AL74" s="297" t="n"/>
      <c r="AM74" s="297" t="n"/>
      <c r="AN74" s="297" t="n"/>
      <c r="AO74" s="297" t="n"/>
      <c r="AP74" s="297" t="n"/>
      <c r="AQ74" s="297" t="n"/>
      <c r="AR74" s="297" t="n"/>
      <c r="AS74" s="297" t="n"/>
      <c r="AT74" s="297" t="n"/>
      <c r="AU74" s="297" t="n"/>
      <c r="AV74" s="297" t="n"/>
      <c r="AW74" s="297" t="n"/>
      <c r="AX74" s="297" t="n"/>
      <c r="AY74" s="297" t="n"/>
      <c r="AZ74" s="297" t="n"/>
      <c r="BA74" s="297" t="n"/>
      <c r="BB74" s="297" t="n"/>
      <c r="BC74" s="297" t="n"/>
      <c r="BD74" s="297" t="n"/>
      <c r="BE74" s="297" t="n"/>
      <c r="BF74" s="297" t="n"/>
      <c r="BG74" s="297" t="n"/>
      <c r="BH74" s="297" t="n"/>
      <c r="BI74" s="297" t="n"/>
      <c r="BJ74" s="297" t="n"/>
      <c r="BK74" s="297" t="n"/>
      <c r="BL74" s="297" t="n"/>
      <c r="BM74" s="297" t="n"/>
      <c r="BN74" s="297" t="n"/>
      <c r="BO74" s="297" t="n"/>
      <c r="BP74" s="297" t="n"/>
      <c r="BQ74" s="297" t="n"/>
      <c r="BR74" s="297" t="n"/>
      <c r="BS74" s="297" t="n"/>
      <c r="BT74" s="297" t="n"/>
      <c r="BU74" s="297" t="n"/>
      <c r="BV74" s="297" t="n"/>
      <c r="BW74" s="298">
        <f>IFERROR(BW70/'o_Fin Stats'!M87,0)</f>
        <v/>
      </c>
      <c r="BX74" s="94" t="n"/>
    </row>
    <row r="75" ht="12.75" customHeight="1" s="227">
      <c r="G75" s="64" t="n"/>
      <c r="H75" s="58" t="inlineStr">
        <is>
          <t>Price / Forward EBITDA</t>
        </is>
      </c>
      <c r="I75" s="170" t="inlineStr">
        <is>
          <t>x.</t>
        </is>
      </c>
      <c r="J75" s="58" t="n"/>
      <c r="K75" s="297" t="n"/>
      <c r="L75" s="297" t="n"/>
      <c r="M75" s="297" t="n"/>
      <c r="N75" s="297" t="n"/>
      <c r="O75" s="297" t="n"/>
      <c r="P75" s="297" t="n"/>
      <c r="Q75" s="297" t="n"/>
      <c r="R75" s="297" t="n"/>
      <c r="S75" s="297" t="n"/>
      <c r="T75" s="297" t="n"/>
      <c r="U75" s="297" t="n"/>
      <c r="V75" s="297" t="n"/>
      <c r="W75" s="297" t="n"/>
      <c r="X75" s="297" t="n"/>
      <c r="Y75" s="297" t="n"/>
      <c r="Z75" s="297" t="n"/>
      <c r="AA75" s="297" t="n"/>
      <c r="AB75" s="297" t="n"/>
      <c r="AC75" s="297" t="n"/>
      <c r="AD75" s="297" t="n"/>
      <c r="AE75" s="297" t="n"/>
      <c r="AF75" s="297" t="n"/>
      <c r="AG75" s="297" t="n"/>
      <c r="AH75" s="297" t="n"/>
      <c r="AI75" s="297" t="n"/>
      <c r="AJ75" s="297" t="n"/>
      <c r="AK75" s="297" t="n"/>
      <c r="AL75" s="297" t="n"/>
      <c r="AM75" s="297" t="n"/>
      <c r="AN75" s="297" t="n"/>
      <c r="AO75" s="297" t="n"/>
      <c r="AP75" s="297" t="n"/>
      <c r="AQ75" s="297" t="n"/>
      <c r="AR75" s="297" t="n"/>
      <c r="AS75" s="297" t="n"/>
      <c r="AT75" s="297" t="n"/>
      <c r="AU75" s="297" t="n"/>
      <c r="AV75" s="297" t="n"/>
      <c r="AW75" s="297" t="n"/>
      <c r="AX75" s="297" t="n"/>
      <c r="AY75" s="297" t="n"/>
      <c r="AZ75" s="297" t="n"/>
      <c r="BA75" s="297" t="n"/>
      <c r="BB75" s="297" t="n"/>
      <c r="BC75" s="297" t="n"/>
      <c r="BD75" s="297" t="n"/>
      <c r="BE75" s="297" t="n"/>
      <c r="BF75" s="297" t="n"/>
      <c r="BG75" s="297" t="n"/>
      <c r="BH75" s="297" t="n"/>
      <c r="BI75" s="297" t="n"/>
      <c r="BJ75" s="297" t="n"/>
      <c r="BK75" s="297" t="n"/>
      <c r="BL75" s="297" t="n"/>
      <c r="BM75" s="297" t="n"/>
      <c r="BN75" s="297" t="n"/>
      <c r="BO75" s="297" t="n"/>
      <c r="BP75" s="297" t="n"/>
      <c r="BQ75" s="297" t="n"/>
      <c r="BR75" s="297" t="n"/>
      <c r="BS75" s="297" t="n"/>
      <c r="BT75" s="297" t="n"/>
      <c r="BU75" s="297" t="n"/>
      <c r="BV75" s="297" t="n"/>
      <c r="BW75" s="298">
        <f>IFERROR(BW70/'o_Fin Stats'!N87,0)</f>
        <v/>
      </c>
      <c r="BX75" s="94" t="n"/>
    </row>
    <row r="76" ht="12.75" customHeight="1" s="227">
      <c r="G76" s="173" t="n"/>
      <c r="H76" s="70" t="n"/>
      <c r="I76" s="71" t="n"/>
      <c r="J76" s="71" t="n"/>
      <c r="K76" s="299" t="n"/>
      <c r="L76" s="299" t="n"/>
      <c r="M76" s="299" t="n"/>
      <c r="N76" s="299" t="n"/>
      <c r="O76" s="299" t="n"/>
      <c r="P76" s="299" t="n"/>
      <c r="Q76" s="299" t="n"/>
      <c r="R76" s="299" t="n"/>
      <c r="S76" s="299" t="n"/>
      <c r="T76" s="299" t="n"/>
      <c r="U76" s="299" t="n"/>
      <c r="V76" s="299" t="n"/>
      <c r="W76" s="299" t="n"/>
      <c r="X76" s="299" t="n"/>
      <c r="Y76" s="299" t="n"/>
      <c r="Z76" s="299" t="n"/>
      <c r="AA76" s="299" t="n"/>
      <c r="AB76" s="299" t="n"/>
      <c r="AC76" s="299" t="n"/>
      <c r="AD76" s="299" t="n"/>
      <c r="AE76" s="299" t="n"/>
      <c r="AF76" s="299" t="n"/>
      <c r="AG76" s="299" t="n"/>
      <c r="AH76" s="299" t="n"/>
      <c r="AI76" s="299" t="n"/>
      <c r="AJ76" s="299" t="n"/>
      <c r="AK76" s="299" t="n"/>
      <c r="AL76" s="299" t="n"/>
      <c r="AM76" s="299" t="n"/>
      <c r="AN76" s="299" t="n"/>
      <c r="AO76" s="299" t="n"/>
      <c r="AP76" s="299" t="n"/>
      <c r="AQ76" s="299" t="n"/>
      <c r="AR76" s="299" t="n"/>
      <c r="AS76" s="299" t="n"/>
      <c r="AT76" s="299" t="n"/>
      <c r="AU76" s="299" t="n"/>
      <c r="AV76" s="299" t="n"/>
      <c r="AW76" s="299" t="n"/>
      <c r="AX76" s="299" t="n"/>
      <c r="AY76" s="299" t="n"/>
      <c r="AZ76" s="299" t="n"/>
      <c r="BA76" s="299" t="n"/>
      <c r="BB76" s="299" t="n"/>
      <c r="BC76" s="299" t="n"/>
      <c r="BD76" s="299" t="n"/>
      <c r="BE76" s="299" t="n"/>
      <c r="BF76" s="299" t="n"/>
      <c r="BG76" s="299" t="n"/>
      <c r="BH76" s="299" t="n"/>
      <c r="BI76" s="299" t="n"/>
      <c r="BJ76" s="299" t="n"/>
      <c r="BK76" s="299" t="n"/>
      <c r="BL76" s="299" t="n"/>
      <c r="BM76" s="299" t="n"/>
      <c r="BN76" s="299" t="n"/>
      <c r="BO76" s="299" t="n"/>
      <c r="BP76" s="299" t="n"/>
      <c r="BQ76" s="299" t="n"/>
      <c r="BR76" s="299" t="n"/>
      <c r="BS76" s="299" t="n"/>
      <c r="BT76" s="299" t="n"/>
      <c r="BU76" s="299" t="n"/>
      <c r="BV76" s="299" t="n"/>
      <c r="BW76" s="299" t="n"/>
      <c r="BX76" s="95" t="n"/>
    </row>
    <row r="77" ht="12" customHeight="1" s="227">
      <c r="I77" s="0" t="n"/>
      <c r="J77" s="0" t="n"/>
      <c r="K77" s="286" t="n"/>
      <c r="L77" s="286" t="n"/>
      <c r="M77" s="0" t="n"/>
    </row>
    <row r="78" ht="12" customHeight="1" s="227"/>
    <row r="79" ht="13.5" customFormat="1" customHeight="1" s="223" thickBot="1">
      <c r="E79" s="223">
        <f>Heading2</f>
        <v/>
      </c>
      <c r="F79" s="223" t="inlineStr">
        <is>
          <t>IRR &amp; NPV</t>
        </is>
      </c>
      <c r="CV79" s="47" t="n"/>
      <c r="CW79" s="47" t="n"/>
    </row>
    <row r="80" ht="12" customHeight="1" s="227">
      <c r="I80" s="0" t="n"/>
      <c r="J80" s="0" t="n"/>
      <c r="K80" s="286" t="n"/>
      <c r="L80" s="286" t="n"/>
      <c r="M80" s="0" t="n"/>
    </row>
    <row r="81" ht="12" customHeight="1" s="227">
      <c r="G81" s="222" t="inlineStr">
        <is>
          <t>IRR &amp; NPV</t>
        </is>
      </c>
    </row>
    <row r="82" ht="12" customHeight="1" s="227"/>
    <row r="83" ht="12" customHeight="1" s="227">
      <c r="H83" s="4" t="inlineStr">
        <is>
          <t>Total Operating &amp; Investing Cash Flows</t>
        </is>
      </c>
      <c r="I83" s="27">
        <f>i_Setup!$M$16</f>
        <v/>
      </c>
      <c r="L83" s="214" t="n">
        <v>-1e-07</v>
      </c>
      <c r="M83" s="257">
        <f>'o_Fin Stats'!T173+'o_Fin Stats'!T178</f>
        <v/>
      </c>
      <c r="N83" s="257">
        <f>'o_Fin Stats'!U173+'o_Fin Stats'!U178</f>
        <v/>
      </c>
      <c r="O83" s="257">
        <f>'o_Fin Stats'!V173+'o_Fin Stats'!V178</f>
        <v/>
      </c>
      <c r="P83" s="257">
        <f>'o_Fin Stats'!W173+'o_Fin Stats'!W178</f>
        <v/>
      </c>
      <c r="Q83" s="257">
        <f>'o_Fin Stats'!X173+'o_Fin Stats'!X178</f>
        <v/>
      </c>
      <c r="R83" s="257">
        <f>'o_Fin Stats'!Y173+'o_Fin Stats'!Y178</f>
        <v/>
      </c>
      <c r="S83" s="257">
        <f>'o_Fin Stats'!Z173+'o_Fin Stats'!Z178</f>
        <v/>
      </c>
      <c r="T83" s="257">
        <f>'o_Fin Stats'!AA173+'o_Fin Stats'!AA178</f>
        <v/>
      </c>
      <c r="U83" s="257">
        <f>'o_Fin Stats'!AB173+'o_Fin Stats'!AB178</f>
        <v/>
      </c>
      <c r="V83" s="257">
        <f>'o_Fin Stats'!AC173+'o_Fin Stats'!AC178</f>
        <v/>
      </c>
      <c r="W83" s="257">
        <f>'o_Fin Stats'!AD173+'o_Fin Stats'!AD178</f>
        <v/>
      </c>
      <c r="X83" s="257">
        <f>'o_Fin Stats'!AE173+'o_Fin Stats'!AE178</f>
        <v/>
      </c>
      <c r="Y83" s="257">
        <f>'o_Fin Stats'!AF173+'o_Fin Stats'!AF178</f>
        <v/>
      </c>
      <c r="Z83" s="257">
        <f>'o_Fin Stats'!AG173+'o_Fin Stats'!AG178</f>
        <v/>
      </c>
      <c r="AA83" s="257">
        <f>'o_Fin Stats'!AH173+'o_Fin Stats'!AH178</f>
        <v/>
      </c>
      <c r="AB83" s="257">
        <f>'o_Fin Stats'!AI173+'o_Fin Stats'!AI178</f>
        <v/>
      </c>
      <c r="AC83" s="257">
        <f>'o_Fin Stats'!AJ173+'o_Fin Stats'!AJ178</f>
        <v/>
      </c>
      <c r="AD83" s="257">
        <f>'o_Fin Stats'!AK173+'o_Fin Stats'!AK178</f>
        <v/>
      </c>
      <c r="AE83" s="257">
        <f>'o_Fin Stats'!AL173+'o_Fin Stats'!AL178</f>
        <v/>
      </c>
      <c r="AF83" s="257">
        <f>'o_Fin Stats'!AM173+'o_Fin Stats'!AM178</f>
        <v/>
      </c>
      <c r="AG83" s="257">
        <f>'o_Fin Stats'!AN173+'o_Fin Stats'!AN178</f>
        <v/>
      </c>
      <c r="AH83" s="257">
        <f>'o_Fin Stats'!AO173+'o_Fin Stats'!AO178</f>
        <v/>
      </c>
      <c r="AI83" s="257">
        <f>'o_Fin Stats'!AP173+'o_Fin Stats'!AP178</f>
        <v/>
      </c>
      <c r="AJ83" s="257">
        <f>'o_Fin Stats'!AQ173+'o_Fin Stats'!AQ178</f>
        <v/>
      </c>
      <c r="AK83" s="257">
        <f>'o_Fin Stats'!AR173+'o_Fin Stats'!AR178</f>
        <v/>
      </c>
      <c r="AL83" s="257">
        <f>'o_Fin Stats'!AS173+'o_Fin Stats'!AS178</f>
        <v/>
      </c>
      <c r="AM83" s="257">
        <f>'o_Fin Stats'!AT173+'o_Fin Stats'!AT178</f>
        <v/>
      </c>
      <c r="AN83" s="257">
        <f>'o_Fin Stats'!AU173+'o_Fin Stats'!AU178</f>
        <v/>
      </c>
      <c r="AO83" s="257">
        <f>'o_Fin Stats'!AV173+'o_Fin Stats'!AV178</f>
        <v/>
      </c>
      <c r="AP83" s="257">
        <f>'o_Fin Stats'!AW173+'o_Fin Stats'!AW178</f>
        <v/>
      </c>
      <c r="AQ83" s="257">
        <f>'o_Fin Stats'!AX173+'o_Fin Stats'!AX178</f>
        <v/>
      </c>
      <c r="AR83" s="257">
        <f>'o_Fin Stats'!AY173+'o_Fin Stats'!AY178</f>
        <v/>
      </c>
      <c r="AS83" s="257">
        <f>'o_Fin Stats'!AZ173+'o_Fin Stats'!AZ178</f>
        <v/>
      </c>
      <c r="AT83" s="257">
        <f>'o_Fin Stats'!BA173+'o_Fin Stats'!BA178</f>
        <v/>
      </c>
      <c r="AU83" s="257">
        <f>'o_Fin Stats'!BB173+'o_Fin Stats'!BB178</f>
        <v/>
      </c>
      <c r="AV83" s="257">
        <f>'o_Fin Stats'!BC173+'o_Fin Stats'!BC178</f>
        <v/>
      </c>
      <c r="AW83" s="257">
        <f>'o_Fin Stats'!BD173+'o_Fin Stats'!BD178</f>
        <v/>
      </c>
      <c r="AX83" s="257">
        <f>'o_Fin Stats'!BE173+'o_Fin Stats'!BE178</f>
        <v/>
      </c>
      <c r="AY83" s="257">
        <f>'o_Fin Stats'!BF173+'o_Fin Stats'!BF178</f>
        <v/>
      </c>
      <c r="AZ83" s="257">
        <f>'o_Fin Stats'!BG173+'o_Fin Stats'!BG178</f>
        <v/>
      </c>
      <c r="BA83" s="257">
        <f>'o_Fin Stats'!BH173+'o_Fin Stats'!BH178</f>
        <v/>
      </c>
      <c r="BB83" s="257">
        <f>'o_Fin Stats'!BI173+'o_Fin Stats'!BI178</f>
        <v/>
      </c>
      <c r="BC83" s="257">
        <f>'o_Fin Stats'!BJ173+'o_Fin Stats'!BJ178</f>
        <v/>
      </c>
      <c r="BD83" s="257">
        <f>'o_Fin Stats'!BK173+'o_Fin Stats'!BK178</f>
        <v/>
      </c>
      <c r="BE83" s="257">
        <f>'o_Fin Stats'!BL173+'o_Fin Stats'!BL178</f>
        <v/>
      </c>
      <c r="BF83" s="257">
        <f>'o_Fin Stats'!BM173+'o_Fin Stats'!BM178</f>
        <v/>
      </c>
      <c r="BG83" s="257">
        <f>'o_Fin Stats'!BN173+'o_Fin Stats'!BN178</f>
        <v/>
      </c>
      <c r="BH83" s="257">
        <f>'o_Fin Stats'!BO173+'o_Fin Stats'!BO178</f>
        <v/>
      </c>
      <c r="BI83" s="257">
        <f>'o_Fin Stats'!BP173+'o_Fin Stats'!BP178</f>
        <v/>
      </c>
      <c r="BJ83" s="257">
        <f>'o_Fin Stats'!BQ173+'o_Fin Stats'!BQ178</f>
        <v/>
      </c>
      <c r="BK83" s="257">
        <f>'o_Fin Stats'!BR173+'o_Fin Stats'!BR178</f>
        <v/>
      </c>
      <c r="BL83" s="257">
        <f>'o_Fin Stats'!BS173+'o_Fin Stats'!BS178</f>
        <v/>
      </c>
      <c r="BM83" s="257">
        <f>'o_Fin Stats'!BT173+'o_Fin Stats'!BT178</f>
        <v/>
      </c>
      <c r="BN83" s="257">
        <f>'o_Fin Stats'!BU173+'o_Fin Stats'!BU178</f>
        <v/>
      </c>
      <c r="BO83" s="257">
        <f>'o_Fin Stats'!BV173+'o_Fin Stats'!BV178</f>
        <v/>
      </c>
      <c r="BP83" s="257">
        <f>'o_Fin Stats'!BW173+'o_Fin Stats'!BW178</f>
        <v/>
      </c>
      <c r="BQ83" s="257">
        <f>'o_Fin Stats'!BX173+'o_Fin Stats'!BX178</f>
        <v/>
      </c>
      <c r="BR83" s="257">
        <f>'o_Fin Stats'!BY173+'o_Fin Stats'!BY178</f>
        <v/>
      </c>
      <c r="BS83" s="257">
        <f>'o_Fin Stats'!BZ173+'o_Fin Stats'!BZ178</f>
        <v/>
      </c>
      <c r="BT83" s="257">
        <f>'o_Fin Stats'!CA173+'o_Fin Stats'!CA178</f>
        <v/>
      </c>
    </row>
    <row r="84" ht="12" customHeight="1" s="227"/>
    <row r="85" ht="12" customHeight="1" s="227">
      <c r="H85" s="4" t="inlineStr">
        <is>
          <t>IRR</t>
        </is>
      </c>
      <c r="I85" s="27" t="inlineStr">
        <is>
          <t>%</t>
        </is>
      </c>
      <c r="K85" s="300">
        <f>IFERROR(XIRR(L83:BT83,$L$2:$BT$2),"")</f>
        <v/>
      </c>
    </row>
    <row r="86" ht="12" customHeight="1" s="227">
      <c r="G86" s="222" t="n"/>
      <c r="H86" s="4" t="inlineStr">
        <is>
          <t>NPV</t>
        </is>
      </c>
      <c r="I86" s="27">
        <f>i_Setup!$M$16</f>
        <v/>
      </c>
      <c r="K86" s="301">
        <f>IFERROR(XNPV($K$44,L83:BT83,$L$2:$BT$2),"")</f>
        <v/>
      </c>
    </row>
    <row r="87" ht="12.4" customHeight="1" s="227"/>
    <row r="88" ht="12.4" customHeight="1" s="227"/>
    <row r="89" ht="15.75" customFormat="1" customHeight="1" s="99">
      <c r="D89" s="99" t="inlineStr">
        <is>
          <t>END OF WORKSHEET</t>
        </is>
      </c>
    </row>
    <row r="90" ht="12" customHeight="1" s="227"/>
    <row r="91" hidden="1" ht="12" customHeight="1" s="227"/>
    <row r="92" hidden="1" ht="12" customHeight="1" s="227"/>
    <row r="93" hidden="1" ht="12" customHeight="1" s="227"/>
    <row r="94" hidden="1" ht="12" customHeight="1" s="227"/>
    <row r="95" hidden="1" ht="12" customHeight="1" s="227"/>
    <row r="96" hidden="1" ht="12" customHeight="1" s="227"/>
    <row r="97" hidden="1" ht="12" customHeight="1" s="227"/>
    <row r="98" hidden="1" ht="12" customHeight="1" s="227"/>
    <row r="99" hidden="1" ht="12" customHeight="1" s="227"/>
    <row r="100" hidden="1" ht="12" customHeight="1" s="227"/>
    <row r="101" hidden="1" ht="12" customHeight="1" s="227"/>
    <row r="102" hidden="1" ht="12" customHeight="1" s="227"/>
    <row r="103" hidden="1" ht="12" customHeight="1" s="227"/>
    <row r="104" hidden="1" ht="12" customHeight="1" s="227"/>
    <row r="105" hidden="1" ht="12" customHeight="1" s="227"/>
    <row r="106" hidden="1" ht="12" customHeight="1" s="227"/>
    <row r="107" hidden="1" ht="12" customHeight="1" s="227"/>
    <row r="108" hidden="1" ht="12" customHeight="1" s="227"/>
    <row r="109" hidden="1" ht="12" customHeight="1" s="227"/>
    <row r="110" hidden="1" ht="12" customHeight="1" s="227"/>
    <row r="111" hidden="1" ht="12" customHeight="1" s="227"/>
    <row r="112" hidden="1" ht="12" customHeight="1" s="227"/>
    <row r="113" hidden="1" ht="12" customHeight="1" s="227"/>
    <row r="114" hidden="1" ht="12" customHeight="1" s="227"/>
    <row r="115" hidden="1" ht="12" customHeight="1" s="227"/>
    <row r="116" hidden="1" ht="12" customHeight="1" s="227"/>
    <row r="117" hidden="1" ht="12" customHeight="1" s="227"/>
    <row r="118" hidden="1" ht="12" customHeight="1" s="227"/>
    <row r="119" hidden="1" ht="12" customHeight="1" s="227"/>
    <row r="120" hidden="1" ht="12" customHeight="1" s="227"/>
    <row r="121" hidden="1" ht="12" customHeight="1" s="227"/>
    <row r="122" hidden="1" ht="12" customHeight="1" s="227"/>
    <row r="123" hidden="1" ht="12" customHeight="1" s="227"/>
    <row r="124" hidden="1" ht="12" customHeight="1" s="227"/>
    <row r="125" hidden="1" ht="12" customHeight="1" s="227"/>
    <row r="126" hidden="1" ht="12" customHeight="1" s="227"/>
    <row r="127" hidden="1" ht="12" customHeight="1" s="227"/>
    <row r="128" hidden="1" ht="12" customHeight="1" s="227"/>
    <row r="129" hidden="1" ht="11.45" customHeight="1" s="227"/>
    <row r="130" hidden="1" ht="11.45" customHeight="1" s="227"/>
    <row r="131" hidden="1" ht="11.45" customHeight="1" s="227"/>
    <row r="132" hidden="1" ht="11.45" customHeight="1" s="227"/>
    <row r="133" hidden="1" ht="11.45" customHeight="1" s="227"/>
    <row r="134" hidden="1" ht="11.45" customHeight="1" s="227"/>
    <row r="135" hidden="1" ht="11.45" customHeight="1" s="227"/>
    <row r="136" hidden="1" ht="11.45" customHeight="1" s="227"/>
    <row r="137" hidden="1" ht="11.45" customHeight="1" s="227"/>
    <row r="138" hidden="1" ht="11.45" customHeight="1" s="227"/>
    <row r="139" hidden="1" ht="11.45" customHeight="1" s="227"/>
    <row r="140" hidden="1" ht="11.45" customHeight="1" s="227"/>
    <row r="141" hidden="1" ht="11.45" customHeight="1" s="227"/>
    <row r="142" hidden="1" ht="11.45" customHeight="1" s="227"/>
    <row r="143" hidden="1" ht="11.45" customHeight="1" s="227"/>
    <row r="144" hidden="1" ht="11.45" customHeight="1" s="227"/>
    <row r="145" hidden="1" ht="11.45" customHeight="1" s="227"/>
    <row r="146" hidden="1" ht="11.45" customHeight="1" s="227"/>
    <row r="147" hidden="1" ht="11.45" customHeight="1" s="227"/>
    <row r="148" hidden="1" ht="11.45" customHeight="1" s="227"/>
    <row r="149" hidden="1" ht="11.45" customHeight="1" s="227"/>
    <row r="150" hidden="1" ht="11.45" customHeight="1" s="227"/>
    <row r="151" hidden="1" ht="11.45" customHeight="1" s="227"/>
    <row r="152" hidden="1" ht="11.45" customHeight="1" s="227"/>
    <row r="153" hidden="1" ht="11.45" customHeight="1" s="227"/>
    <row r="154" hidden="1" ht="11.45" customHeight="1" s="227"/>
    <row r="155" hidden="1" ht="11.45" customHeight="1" s="227"/>
    <row r="156" hidden="1" ht="11.45" customHeight="1" s="227"/>
    <row r="157" hidden="1" ht="11.45" customHeight="1" s="227"/>
    <row r="158" hidden="1" ht="11.45" customHeight="1" s="227"/>
    <row r="159" hidden="1" ht="11.45" customHeight="1" s="227"/>
    <row r="160" hidden="1" ht="11.45" customHeight="1" s="227"/>
    <row r="161" hidden="1" ht="11.45" customHeight="1" s="227"/>
    <row r="162" hidden="1" ht="11.45" customHeight="1" s="227"/>
    <row r="163" hidden="1" ht="11.45" customHeight="1" s="227"/>
    <row r="164" hidden="1" ht="11.45" customHeight="1" s="227"/>
    <row r="165" hidden="1" ht="11.45" customHeight="1" s="227"/>
    <row r="166" hidden="1" ht="11.45" customHeight="1" s="227"/>
    <row r="167" hidden="1" ht="11.45" customHeight="1" s="227"/>
    <row r="168" hidden="1" ht="11.45" customHeight="1" s="227"/>
    <row r="169" hidden="1" ht="11.45" customHeight="1" s="227"/>
    <row r="170" hidden="1" ht="11.45" customHeight="1" s="227"/>
    <row r="171" hidden="1" ht="11.45" customHeight="1" s="227"/>
    <row r="172" hidden="1" ht="11.45" customHeight="1" s="227"/>
    <row r="173" hidden="1" ht="11.45" customHeight="1" s="227"/>
    <row r="174" hidden="1" ht="11.45" customHeight="1" s="227"/>
    <row r="175" hidden="1" ht="11.45" customHeight="1" s="227"/>
    <row r="176" hidden="1" ht="11.45" customHeight="1" s="227"/>
    <row r="177" hidden="1" ht="11.45" customHeight="1" s="227"/>
    <row r="178" hidden="1" ht="11.45" customHeight="1" s="227"/>
    <row r="179" hidden="1" ht="11.45" customHeight="1" s="227"/>
    <row r="180" hidden="1" ht="11.45" customHeight="1" s="227"/>
    <row r="181" hidden="1" ht="11.45" customHeight="1" s="227"/>
    <row r="182" hidden="1" ht="11.45" customHeight="1" s="227"/>
    <row r="183" hidden="1" ht="11.45" customHeight="1" s="227"/>
    <row r="184" hidden="1" ht="11.45" customHeight="1" s="227"/>
    <row r="185" hidden="1" ht="11.45" customHeight="1" s="227"/>
    <row r="186" hidden="1" ht="11.45" customHeight="1" s="227"/>
    <row r="187" hidden="1" ht="11.45" customHeight="1" s="227"/>
    <row r="188" hidden="1" ht="11.45" customHeight="1" s="227"/>
    <row r="189" hidden="1" ht="11.45" customHeight="1" s="227"/>
    <row r="190" hidden="1" ht="11.45" customHeight="1" s="227"/>
    <row r="191" hidden="1" ht="11.45" customHeight="1" s="227"/>
    <row r="192" hidden="1" ht="11.45" customHeight="1" s="227"/>
    <row r="193" hidden="1" ht="11.45" customHeight="1" s="227"/>
    <row r="194" hidden="1" ht="11.45" customHeight="1" s="227"/>
    <row r="195" hidden="1" ht="11.45" customHeight="1" s="227"/>
    <row r="196" hidden="1" ht="11.45" customHeight="1" s="227"/>
    <row r="197" hidden="1" ht="11.45" customHeight="1" s="227"/>
    <row r="198" hidden="1" ht="11.45" customHeight="1" s="227"/>
    <row r="199" hidden="1" ht="11.45" customHeight="1" s="227"/>
    <row r="200" hidden="1" ht="11.45" customHeight="1" s="227"/>
    <row r="201" hidden="1" ht="11.45" customHeight="1" s="227"/>
    <row r="202" hidden="1" ht="11.45" customHeight="1" s="227"/>
    <row r="203" hidden="1" ht="11.45" customHeight="1" s="227"/>
    <row r="204" hidden="1" ht="11.45" customHeight="1" s="227"/>
    <row r="205" hidden="1" ht="11.45" customHeight="1" s="227"/>
    <row r="206" hidden="1" ht="11.45" customHeight="1" s="227"/>
    <row r="207" hidden="1" ht="11.45" customHeight="1" s="227"/>
    <row r="208" hidden="1" ht="11.45" customHeight="1" s="227"/>
    <row r="209" hidden="1" ht="11.45" customHeight="1" s="227"/>
    <row r="210" hidden="1" ht="11.45" customHeight="1" s="227"/>
    <row r="211" hidden="1" ht="11.45" customHeight="1" s="227"/>
    <row r="212" hidden="1" ht="11.45" customHeight="1" s="227"/>
    <row r="213" hidden="1" ht="11.45" customHeight="1" s="227"/>
    <row r="214" hidden="1" ht="11.45" customHeight="1" s="227"/>
    <row r="215" hidden="1" ht="11.45" customHeight="1" s="227"/>
    <row r="216" hidden="1" ht="11.45" customHeight="1" s="227"/>
    <row r="217" hidden="1" ht="11.45" customHeight="1" s="227"/>
    <row r="218" hidden="1" ht="11.45" customHeight="1" s="227"/>
    <row r="219" hidden="1" ht="11.45" customHeight="1" s="227"/>
    <row r="220" hidden="1" ht="11.45" customHeight="1" s="227"/>
    <row r="221" hidden="1" ht="11.45" customHeight="1" s="227"/>
    <row r="222" hidden="1" ht="11.45" customHeight="1" s="227"/>
    <row r="223" hidden="1" ht="11.45" customHeight="1" s="227"/>
    <row r="224" hidden="1" ht="11.45" customHeight="1" s="227"/>
    <row r="225" hidden="1" ht="11.45" customHeight="1" s="227"/>
    <row r="226" hidden="1" ht="11.45" customHeight="1" s="227"/>
    <row r="227" hidden="1" ht="11.45" customHeight="1" s="227"/>
    <row r="228" hidden="1" ht="11.45" customHeight="1" s="227"/>
    <row r="229" hidden="1" ht="11.45" customHeight="1" s="227"/>
    <row r="230" hidden="1" ht="11.45" customHeight="1" s="227"/>
    <row r="231" hidden="1" ht="11.45" customHeight="1" s="227"/>
    <row r="232" hidden="1" ht="11.45" customHeight="1" s="227"/>
    <row r="233" hidden="1" ht="11.45" customHeight="1" s="227"/>
    <row r="234" hidden="1" ht="11.45" customHeight="1" s="227"/>
    <row r="235" hidden="1" ht="11.45" customHeight="1" s="227"/>
    <row r="236" hidden="1" ht="11.45" customHeight="1" s="227"/>
    <row r="237" hidden="1" ht="11.45" customHeight="1" s="227"/>
    <row r="238" hidden="1" ht="11.45" customHeight="1" s="227"/>
    <row r="239" hidden="1" ht="11.45" customHeight="1" s="227"/>
    <row r="240" hidden="1" ht="11.45" customHeight="1" s="227"/>
    <row r="241" hidden="1" ht="11.45" customHeight="1" s="227"/>
    <row r="242" hidden="1" ht="11.45" customHeight="1" s="227"/>
    <row r="243" hidden="1" ht="11.45" customHeight="1" s="227"/>
    <row r="244" hidden="1" ht="11.45" customHeight="1" s="227"/>
    <row r="245" hidden="1" ht="11.45" customHeight="1" s="227"/>
    <row r="246" hidden="1" ht="11.45" customHeight="1" s="227"/>
    <row r="247" hidden="1" ht="11.45" customHeight="1" s="227"/>
    <row r="248" hidden="1" ht="11.45" customHeight="1" s="227"/>
    <row r="249" hidden="1" ht="11.45" customHeight="1" s="227"/>
    <row r="250" hidden="1" ht="11.45" customHeight="1" s="227"/>
    <row r="251" hidden="1" ht="11.45" customHeight="1" s="227"/>
    <row r="252" hidden="1" ht="11.45" customHeight="1" s="227"/>
    <row r="253" hidden="1" ht="11.45" customHeight="1" s="227"/>
    <row r="254" hidden="1" ht="11.45" customHeight="1" s="227"/>
    <row r="255" hidden="1" ht="11.45" customHeight="1" s="227"/>
    <row r="256" hidden="1" ht="11.45" customHeight="1" s="227"/>
    <row r="257" hidden="1" ht="11.45" customHeight="1" s="227"/>
    <row r="258" hidden="1" ht="11.45" customHeight="1" s="227"/>
    <row r="259" hidden="1" ht="11.45" customHeight="1" s="227"/>
    <row r="260" hidden="1" ht="11.45" customHeight="1" s="227"/>
    <row r="261" hidden="1" ht="11.45" customHeight="1" s="227"/>
    <row r="262" hidden="1" ht="11.45" customHeight="1" s="227"/>
    <row r="263" hidden="1" ht="11.45" customHeight="1" s="227"/>
    <row r="264" hidden="1" ht="11.45" customHeight="1" s="227"/>
    <row r="265" hidden="1" ht="11.45" customHeight="1" s="227"/>
    <row r="266" hidden="1" ht="11.45" customHeight="1" s="227"/>
    <row r="267" hidden="1" ht="11.45" customHeight="1" s="227"/>
    <row r="268" hidden="1" ht="11.45" customHeight="1" s="227"/>
    <row r="269" hidden="1" ht="11.45" customHeight="1" s="227"/>
    <row r="270" hidden="1" ht="11.45" customHeight="1" s="227"/>
    <row r="271" hidden="1" ht="11.45" customHeight="1" s="227"/>
    <row r="272" hidden="1" ht="11.45" customHeight="1" s="227"/>
    <row r="273" hidden="1" ht="11.45" customHeight="1" s="227"/>
    <row r="274" hidden="1" ht="11.45" customHeight="1" s="227"/>
    <row r="275" hidden="1" ht="11.45" customHeight="1" s="227"/>
    <row r="276" hidden="1" ht="11.45" customHeight="1" s="227"/>
    <row r="277" hidden="1" ht="11.45" customHeight="1" s="227"/>
    <row r="278" hidden="1" ht="11.45" customHeight="1" s="227"/>
    <row r="279" hidden="1" ht="11.45" customHeight="1" s="227"/>
    <row r="280" hidden="1" ht="11.45" customHeight="1" s="227"/>
    <row r="281" hidden="1" ht="11.45" customHeight="1" s="227"/>
    <row r="282" hidden="1" ht="11.45" customHeight="1" s="227"/>
    <row r="283" hidden="1" ht="11.45" customHeight="1" s="227"/>
    <row r="284" hidden="1" ht="11.45" customHeight="1" s="227"/>
    <row r="285" hidden="1" ht="11.45" customHeight="1" s="227"/>
    <row r="286" hidden="1" ht="11.45" customHeight="1" s="227"/>
    <row r="287" hidden="1" ht="11.45" customHeight="1" s="227"/>
    <row r="288" hidden="1" ht="11.45" customHeight="1" s="227"/>
    <row r="289" hidden="1" ht="11.45" customHeight="1" s="227"/>
    <row r="290" hidden="1" ht="11.45" customHeight="1" s="227"/>
    <row r="291" hidden="1" ht="11.45" customHeight="1" s="227"/>
    <row r="292" hidden="1" ht="11.45" customHeight="1" s="227"/>
    <row r="293" hidden="1" ht="11.45" customHeight="1" s="227"/>
    <row r="294" hidden="1" ht="11.45" customHeight="1" s="227"/>
    <row r="295" hidden="1" ht="11.45" customHeight="1" s="227"/>
    <row r="296" hidden="1" ht="11.45" customHeight="1" s="227"/>
    <row r="297" hidden="1" ht="11.45" customHeight="1" s="227"/>
    <row r="298" hidden="1" ht="11.45" customHeight="1" s="227"/>
    <row r="299" hidden="1" ht="11.45" customHeight="1" s="227"/>
    <row r="300" hidden="1" ht="11.45" customHeight="1" s="227"/>
    <row r="301" hidden="1" ht="11.45" customHeight="1" s="227"/>
    <row r="302" hidden="1" ht="11.45" customHeight="1" s="227"/>
    <row r="303" hidden="1" ht="11.45" customHeight="1" s="227"/>
    <row r="304" hidden="1" ht="11.45" customHeight="1" s="227"/>
    <row r="305" hidden="1" ht="11.45" customHeight="1" s="227"/>
    <row r="306" hidden="1" ht="11.45" customHeight="1" s="227"/>
    <row r="307" hidden="1" ht="11.45" customHeight="1" s="227"/>
    <row r="308" hidden="1" ht="11.45" customHeight="1" s="227"/>
    <row r="309" hidden="1" ht="11.45" customHeight="1" s="227"/>
    <row r="310" hidden="1" ht="11.45" customHeight="1" s="227"/>
    <row r="311" hidden="1" ht="11.45" customHeight="1" s="227"/>
    <row r="312" hidden="1" ht="11.45" customHeight="1" s="227"/>
    <row r="313" hidden="1" ht="11.45" customHeight="1" s="227"/>
    <row r="314" hidden="1" ht="11.45" customHeight="1" s="227"/>
    <row r="315" hidden="1" ht="11.45" customHeight="1" s="227"/>
    <row r="316" hidden="1" ht="11.45" customHeight="1" s="227"/>
    <row r="317" hidden="1" ht="11.45" customHeight="1" s="227"/>
    <row r="318" hidden="1" ht="11.45" customHeight="1" s="227"/>
    <row r="319" hidden="1" ht="11.45" customHeight="1" s="227"/>
    <row r="320" hidden="1" ht="11.45" customHeight="1" s="227"/>
    <row r="321" hidden="1" ht="11.45" customHeight="1" s="227"/>
    <row r="322" hidden="1" ht="11.45" customHeight="1" s="227"/>
    <row r="323" hidden="1" ht="11.45" customHeight="1" s="227"/>
    <row r="324" hidden="1" ht="11.45" customHeight="1" s="227"/>
    <row r="325" hidden="1" ht="11.45" customHeight="1" s="227"/>
    <row r="326" hidden="1" ht="11.45" customHeight="1" s="227"/>
    <row r="327" hidden="1" ht="11.45" customHeight="1" s="227"/>
    <row r="328" hidden="1" ht="11.45" customHeight="1" s="227"/>
    <row r="329" hidden="1" ht="11.45" customHeight="1" s="227"/>
    <row r="330" hidden="1" ht="11.45" customHeight="1" s="227"/>
    <row r="331" hidden="1" ht="11.45" customHeight="1" s="227"/>
    <row r="332" hidden="1" ht="11.45" customHeight="1" s="227"/>
    <row r="333" hidden="1" ht="11.45" customHeight="1" s="227"/>
    <row r="334" hidden="1" ht="11.45" customHeight="1" s="227"/>
    <row r="335" hidden="1" ht="11.45" customHeight="1" s="227"/>
    <row r="336" hidden="1" ht="11.45" customHeight="1" s="227"/>
    <row r="337" hidden="1" ht="11.45" customHeight="1" s="227"/>
  </sheetData>
  <conditionalFormatting sqref="B5">
    <cfRule type="cellIs" priority="9" operator="notEqual" dxfId="1">
      <formula>0</formula>
    </cfRule>
    <cfRule type="expression" priority="10" dxfId="1">
      <formula>"$B$6&lt;&gt;0"</formula>
    </cfRule>
  </conditionalFormatting>
  <conditionalFormatting sqref="B5:C5">
    <cfRule type="cellIs" priority="11" operator="equal" dxfId="5">
      <formula>0</formula>
    </cfRule>
  </conditionalFormatting>
  <conditionalFormatting sqref="C5">
    <cfRule type="cellIs" priority="12" operator="notEqual" dxfId="0">
      <formula>0</formula>
    </cfRule>
  </conditionalFormatting>
  <conditionalFormatting sqref="H5">
    <cfRule type="expression" priority="5" dxfId="1">
      <formula>sysCheck&lt;&gt;0</formula>
    </cfRule>
    <cfRule type="expression" priority="6" dxfId="0">
      <formula>sysAlert&lt;&gt;0</formula>
    </cfRule>
    <cfRule type="expression" priority="7" dxfId="1">
      <formula>sysCheck&lt;&gt;0</formula>
    </cfRule>
    <cfRule type="expression" priority="8" dxfId="0">
      <formula>sysAlert&lt;&gt;0</formula>
    </cfRule>
  </conditionalFormatting>
  <conditionalFormatting sqref="M7:BU7">
    <cfRule type="containsText" priority="1" operator="containsText" dxfId="9" text="Forecast">
      <formula>NOT(ISERROR(SEARCH("Forecast",M7)))</formula>
    </cfRule>
    <cfRule type="containsText" priority="2" operator="containsText" dxfId="8" text="Actual">
      <formula>NOT(ISERROR(SEARCH("Actual",M7)))</formula>
    </cfRule>
  </conditionalFormatting>
  <dataValidations disablePrompts="1" count="3">
    <dataValidation sqref="K27 K34" showDropDown="0" showInputMessage="1" showErrorMessage="1" allowBlank="1" errorTitle="Incorrect Input" error="Only percentages between 0% and 100% are expected in this cell" prompt="Percentage between 0% and 100%" type="decimal">
      <formula1>0</formula1>
      <formula2>1</formula2>
    </dataValidation>
    <dataValidation sqref="BW68" showDropDown="0" showInputMessage="1" showErrorMessage="1" allowBlank="1" errorTitle="Incorrect Signage" error="Only Negative amounts, zero or blanks are expected" prompt="Negative amount, zero or blank" type="decimal" operator="lessThanOrEqual">
      <formula1>0</formula1>
    </dataValidation>
    <dataValidation sqref="BW69" showDropDown="0" showInputMessage="1" showErrorMessage="1" allowBlank="1" errorTitle="Incorrect Signage" error="Only Positive amounts, zero or blanks are expected" prompt="Positive amount, zero or blank" type="decimal" operator="greaterThanOrEqual">
      <formula1>0</formula1>
    </dataValidation>
  </dataValidations>
  <hyperlinks>
    <hyperlink ref="H4" location="'Front Sheet'!A1" display="LINK TO FRONT SHEET"/>
    <hyperlink ref="H5" location="sht_sysCheck" display="sht_sysCheck"/>
  </hyperlinks>
  <pageMargins left="0.2362204724409449" right="0.2362204724409449" top="0.7480314960629921" bottom="0.7480314960629921" header="0.3149606299212598" footer="0.3149606299212598"/>
  <pageSetup orientation="landscape" paperSize="9" scale="15" fitToHeight="0"/>
  <headerFooter>
    <oddHeader>&amp;L&amp;C&amp;R</oddHeader>
    <oddFooter>&amp;L&amp;F&amp;CPage &amp;P of &amp;N&amp;RPrinted on: &amp;D &amp;T</oddFooter>
    <evenHeader/>
    <evenFooter/>
    <firstHeader/>
    <firstFooter/>
  </headerFooter>
</worksheet>
</file>

<file path=xl/worksheets/sheet9.xml><?xml version="1.0" encoding="utf-8"?>
<worksheet xmlns="http://schemas.openxmlformats.org/spreadsheetml/2006/main">
  <sheetPr>
    <tabColor rgb="FF002060"/>
    <outlinePr summaryBelow="1" summaryRight="1"/>
    <pageSetUpPr/>
  </sheetPr>
  <dimension ref="A1:AU306"/>
  <sheetViews>
    <sheetView showGridLines="0" zoomScale="70" zoomScaleNormal="70" zoomScaleSheetLayoutView="40" workbookViewId="0">
      <pane ySplit="7" topLeftCell="A8" activePane="bottomLeft" state="frozen"/>
      <selection activeCell="P48" sqref="P48"/>
      <selection pane="bottomLeft" activeCell="P48" sqref="P48"/>
    </sheetView>
  </sheetViews>
  <sheetFormatPr baseColWidth="8" defaultColWidth="0" defaultRowHeight="12" zeroHeight="1" outlineLevelRow="1"/>
  <cols>
    <col width="1.5703125" customWidth="1" style="4" min="1" max="1"/>
    <col width="4.140625" customWidth="1" style="4" min="2" max="3"/>
    <col width="4.42578125" customWidth="1" style="4" min="4" max="4"/>
    <col width="5.140625" customWidth="1" style="4" min="5" max="5"/>
    <col width="3.5703125" customWidth="1" style="4" min="6" max="6"/>
    <col width="4.7109375" customWidth="1" style="4" min="7" max="7"/>
    <col width="36.5703125" customWidth="1" style="4" min="8" max="8"/>
    <col width="18" customWidth="1" style="4" min="9" max="9"/>
    <col width="2.5703125" customWidth="1" style="4" min="10" max="10"/>
    <col width="14.28515625" customWidth="1" style="4" min="11" max="15"/>
    <col width="5" customWidth="1" style="4" min="16" max="16"/>
    <col width="14.42578125" customWidth="1" style="4" min="17" max="28"/>
    <col width="14.140625" customWidth="1" style="4" min="29" max="29"/>
    <col width="4" customWidth="1" style="4" min="30" max="30"/>
    <col hidden="1" width="13" customWidth="1" style="4" min="31" max="33"/>
    <col hidden="1" width="14.42578125" customWidth="1" style="4" min="34" max="16384"/>
  </cols>
  <sheetData>
    <row r="1" ht="18" customFormat="1" customHeight="1" s="2">
      <c r="A1" s="99" t="n"/>
      <c r="B1" s="99">
        <f>i_Setup!$M$13&amp;" Financial Projection"</f>
        <v/>
      </c>
      <c r="C1" s="99" t="n"/>
      <c r="D1" s="99" t="n"/>
      <c r="E1" s="99" t="n"/>
      <c r="F1" s="99" t="n"/>
      <c r="G1" s="99" t="n"/>
      <c r="H1" s="99" t="n"/>
      <c r="I1" s="97" t="n"/>
      <c r="J1" s="97" t="n"/>
      <c r="K1" s="97" t="n"/>
      <c r="L1" s="128" t="n"/>
      <c r="M1" s="128" t="n"/>
      <c r="N1" s="128" t="n"/>
      <c r="O1" s="128" t="n"/>
      <c r="P1" s="128" t="n"/>
      <c r="Q1" s="128" t="n"/>
      <c r="R1" s="128" t="n"/>
      <c r="S1" s="128" t="n"/>
      <c r="T1" s="128" t="n"/>
      <c r="U1" s="128" t="n"/>
      <c r="V1" s="128" t="n"/>
      <c r="W1" s="128" t="n"/>
      <c r="X1" s="128" t="n"/>
      <c r="Y1" s="128" t="n"/>
      <c r="Z1" s="128" t="n"/>
      <c r="AA1" s="128" t="n"/>
      <c r="AB1" s="128" t="n"/>
      <c r="AC1" s="128" t="n"/>
      <c r="AD1" s="128" t="n"/>
    </row>
    <row r="2" ht="18" customFormat="1" customHeight="1" s="1">
      <c r="A2" s="99" t="n"/>
      <c r="B2" s="98">
        <f>MID(CELL("filename",C1),FIND("]",CELL("filename",C1))+1,256)</f>
        <v/>
      </c>
      <c r="C2" s="99" t="n"/>
      <c r="D2" s="99" t="n"/>
      <c r="E2" s="99" t="n"/>
      <c r="F2" s="99" t="n"/>
      <c r="G2" s="99" t="n"/>
      <c r="H2" s="99" t="n"/>
      <c r="I2" s="97" t="n"/>
      <c r="J2" s="100" t="n"/>
      <c r="K2" s="100" t="n"/>
      <c r="L2" s="129" t="n"/>
      <c r="M2" s="129" t="n"/>
      <c r="N2" s="129" t="n"/>
      <c r="O2" s="129" t="n"/>
      <c r="P2" s="129" t="n"/>
      <c r="Q2" s="129" t="n"/>
      <c r="R2" s="129" t="n"/>
      <c r="S2" s="129" t="n"/>
      <c r="T2" s="129" t="n"/>
      <c r="U2" s="129" t="n"/>
      <c r="V2" s="129" t="n"/>
      <c r="W2" s="129" t="n"/>
      <c r="X2" s="129" t="n"/>
      <c r="Y2" s="129" t="n"/>
      <c r="Z2" s="129" t="n"/>
      <c r="AA2" s="129" t="n"/>
      <c r="AB2" s="129" t="n"/>
      <c r="AC2" s="129" t="n"/>
      <c r="AD2" s="129" t="n"/>
    </row>
    <row r="3" ht="15.75" customHeight="1" s="227">
      <c r="A3" s="99" t="n"/>
      <c r="B3" s="99" t="n"/>
      <c r="C3" s="99" t="n"/>
      <c r="D3" s="99" t="n"/>
      <c r="E3" s="99" t="n"/>
      <c r="F3" s="99" t="n"/>
      <c r="G3" s="99" t="n"/>
      <c r="H3" s="99" t="n"/>
      <c r="I3" s="100" t="n"/>
      <c r="J3" s="124" t="n"/>
      <c r="K3" s="124" t="n"/>
      <c r="L3" s="130" t="n"/>
      <c r="M3" s="101" t="n"/>
      <c r="N3" s="101" t="n"/>
      <c r="O3" s="101" t="n"/>
      <c r="P3" s="101" t="n"/>
      <c r="Q3" s="101" t="n"/>
      <c r="R3" s="101" t="n"/>
      <c r="S3" s="101" t="n"/>
      <c r="T3" s="101" t="n"/>
      <c r="U3" s="101" t="n"/>
      <c r="V3" s="101" t="n"/>
      <c r="W3" s="101" t="n"/>
      <c r="X3" s="101" t="n"/>
      <c r="Y3" s="101" t="n"/>
      <c r="Z3" s="101" t="n"/>
      <c r="AA3" s="101" t="n"/>
      <c r="AB3" s="101" t="n"/>
      <c r="AC3" s="101" t="n"/>
      <c r="AD3" s="101" t="n"/>
    </row>
    <row r="4" ht="15.75" customHeight="1" s="227">
      <c r="A4" s="101" t="n"/>
      <c r="B4" s="105" t="inlineStr">
        <is>
          <t>Tab Check</t>
        </is>
      </c>
      <c r="C4" s="106" t="n"/>
      <c r="D4" s="107" t="n"/>
      <c r="E4" s="99" t="n"/>
      <c r="F4" s="101" t="n"/>
      <c r="G4" s="101" t="n"/>
      <c r="H4" s="26" t="inlineStr">
        <is>
          <t>LINK TO FRONT SHEET</t>
        </is>
      </c>
      <c r="I4" s="101" t="n"/>
      <c r="J4" s="101" t="n"/>
      <c r="K4" s="124" t="n"/>
      <c r="L4" s="130" t="n"/>
      <c r="M4" s="101" t="n"/>
      <c r="N4" s="101" t="n"/>
      <c r="O4" s="101" t="n"/>
      <c r="P4" s="101" t="n"/>
      <c r="Q4" s="101" t="n"/>
      <c r="R4" s="101" t="n"/>
      <c r="S4" s="101" t="n"/>
      <c r="T4" s="101" t="n"/>
      <c r="U4" s="101" t="n"/>
      <c r="V4" s="101" t="n"/>
      <c r="W4" s="101" t="n"/>
      <c r="X4" s="101" t="n"/>
      <c r="Y4" s="101" t="n"/>
      <c r="Z4" s="101" t="n"/>
      <c r="AA4" s="101" t="n"/>
      <c r="AB4" s="101" t="n"/>
      <c r="AC4" s="101" t="n"/>
      <c r="AD4" s="101" t="n"/>
    </row>
    <row r="5" ht="15.75" customHeight="1" s="227">
      <c r="A5" s="101" t="n"/>
      <c r="B5" s="228">
        <f>SUM(B$8:B306)</f>
        <v/>
      </c>
      <c r="C5" s="229">
        <f>SUM(C$8:C306)</f>
        <v/>
      </c>
      <c r="D5" s="104" t="n"/>
      <c r="E5" s="99" t="n"/>
      <c r="F5" s="101" t="n"/>
      <c r="G5" s="101" t="n"/>
      <c r="H5" s="28">
        <f>sysCheckText</f>
        <v/>
      </c>
      <c r="I5" s="101" t="n"/>
      <c r="J5" s="101" t="n"/>
      <c r="K5" s="124" t="n"/>
      <c r="L5" s="130" t="n"/>
      <c r="M5" s="101" t="n"/>
      <c r="N5" s="101" t="n"/>
      <c r="O5" s="101" t="n"/>
      <c r="P5" s="101" t="n"/>
      <c r="Q5" s="101" t="n"/>
      <c r="R5" s="101" t="n"/>
      <c r="S5" s="101" t="n"/>
      <c r="T5" s="101" t="n"/>
      <c r="U5" s="101" t="n"/>
      <c r="V5" s="101" t="n"/>
      <c r="W5" s="101" t="n"/>
      <c r="X5" s="101" t="n"/>
      <c r="Y5" s="101" t="n"/>
      <c r="Z5" s="101" t="n"/>
      <c r="AA5" s="101" t="n"/>
      <c r="AB5" s="101" t="n"/>
      <c r="AC5" s="101" t="n"/>
      <c r="AD5" s="101" t="n"/>
    </row>
    <row r="6" ht="15.75" customHeight="1" s="227">
      <c r="A6" s="101" t="n"/>
      <c r="B6" s="116" t="inlineStr">
        <is>
          <t>Err</t>
        </is>
      </c>
      <c r="C6" s="117" t="inlineStr">
        <is>
          <t>Alert</t>
        </is>
      </c>
      <c r="D6" s="118" t="n"/>
      <c r="E6" s="99" t="n"/>
      <c r="F6" s="101" t="n"/>
      <c r="G6" s="101" t="n"/>
      <c r="H6" s="101" t="n"/>
      <c r="I6" s="101" t="n"/>
      <c r="J6" s="101" t="n"/>
      <c r="K6" s="101" t="n"/>
      <c r="L6" s="101" t="n"/>
      <c r="M6" s="101" t="n"/>
      <c r="N6" s="101" t="n"/>
      <c r="O6" s="101" t="n"/>
      <c r="P6" s="101" t="n"/>
      <c r="Q6" s="101" t="n"/>
      <c r="R6" s="101" t="n"/>
      <c r="S6" s="101" t="n"/>
      <c r="T6" s="101" t="n"/>
      <c r="U6" s="101" t="n"/>
      <c r="V6" s="101" t="n"/>
      <c r="W6" s="101" t="n"/>
      <c r="X6" s="101" t="n"/>
      <c r="Y6" s="101" t="n"/>
      <c r="Z6" s="101" t="n"/>
      <c r="AA6" s="101" t="n"/>
      <c r="AB6" s="101" t="n"/>
      <c r="AC6" s="101" t="n"/>
      <c r="AD6" s="101" t="n"/>
    </row>
    <row r="8" ht="15.75" customFormat="1" customHeight="1" s="99">
      <c r="D8" s="99">
        <f>Heading1</f>
        <v/>
      </c>
      <c r="E8" s="99" t="inlineStr">
        <is>
          <t>Dashboard Workings</t>
        </is>
      </c>
    </row>
    <row r="9" hidden="1" outlineLevel="1" s="227"/>
    <row r="10" hidden="1" outlineLevel="1" ht="13.5" customFormat="1" customHeight="1" s="223" thickBot="1">
      <c r="E10" s="223">
        <f>Heading2</f>
        <v/>
      </c>
      <c r="F10" s="223" t="inlineStr">
        <is>
          <t>Financial Statements</t>
        </is>
      </c>
      <c r="AT10" s="47" t="n"/>
      <c r="AU10" s="47" t="n"/>
    </row>
    <row r="11" hidden="1" outlineLevel="1" s="227"/>
    <row r="12" hidden="1" outlineLevel="1" s="227">
      <c r="H12" s="0" t="n"/>
      <c r="I12" s="0" t="n"/>
      <c r="J12" s="0" t="n"/>
      <c r="K12" s="57">
        <f>YEAR('o_Fin Stats'!M2)</f>
        <v/>
      </c>
      <c r="L12" s="57">
        <f>YEAR('o_Fin Stats'!N2)</f>
        <v/>
      </c>
      <c r="M12" s="57">
        <f>YEAR('o_Fin Stats'!O2)</f>
        <v/>
      </c>
      <c r="N12" s="57">
        <f>YEAR('o_Fin Stats'!P2)</f>
        <v/>
      </c>
      <c r="O12" s="57">
        <f>YEAR('o_Fin Stats'!Q2)</f>
        <v/>
      </c>
    </row>
    <row r="13" hidden="1" outlineLevel="1" s="227">
      <c r="H13" s="0" t="n"/>
      <c r="I13" s="0" t="n"/>
      <c r="J13" s="0" t="n"/>
      <c r="K13" s="57">
        <f>'o_Fin Stats'!M7</f>
        <v/>
      </c>
      <c r="L13" s="57">
        <f>'o_Fin Stats'!N7</f>
        <v/>
      </c>
      <c r="M13" s="57">
        <f>'o_Fin Stats'!O7</f>
        <v/>
      </c>
      <c r="N13" s="57">
        <f>'o_Fin Stats'!P7</f>
        <v/>
      </c>
      <c r="O13" s="57">
        <f>'o_Fin Stats'!Q7</f>
        <v/>
      </c>
    </row>
    <row r="14" hidden="1" outlineLevel="1" s="227">
      <c r="H14" s="0" t="inlineStr">
        <is>
          <t>Revenue</t>
        </is>
      </c>
      <c r="I14" s="0" t="n"/>
      <c r="J14" s="0" t="n"/>
      <c r="K14" s="245">
        <f>'o_Fin Stats'!M24</f>
        <v/>
      </c>
      <c r="L14" s="245">
        <f>'o_Fin Stats'!N24</f>
        <v/>
      </c>
      <c r="M14" s="245">
        <f>'o_Fin Stats'!O24</f>
        <v/>
      </c>
      <c r="N14" s="245">
        <f>'o_Fin Stats'!P24</f>
        <v/>
      </c>
      <c r="O14" s="245">
        <f>'o_Fin Stats'!Q24</f>
        <v/>
      </c>
    </row>
    <row r="15" hidden="1" outlineLevel="1" s="227">
      <c r="H15" s="0" t="inlineStr">
        <is>
          <t>Net Profit</t>
        </is>
      </c>
      <c r="I15" s="0" t="n"/>
      <c r="J15" s="0" t="n"/>
      <c r="K15" s="245">
        <f>'o_Fin Stats'!M98</f>
        <v/>
      </c>
      <c r="L15" s="245">
        <f>'o_Fin Stats'!N98</f>
        <v/>
      </c>
      <c r="M15" s="245">
        <f>'o_Fin Stats'!O98</f>
        <v/>
      </c>
      <c r="N15" s="245">
        <f>'o_Fin Stats'!P98</f>
        <v/>
      </c>
      <c r="O15" s="245">
        <f>'o_Fin Stats'!Q98</f>
        <v/>
      </c>
    </row>
    <row r="16" hidden="1" outlineLevel="1" s="227">
      <c r="H16" s="0" t="inlineStr">
        <is>
          <t>Profit Margin</t>
        </is>
      </c>
      <c r="I16" s="0" t="n"/>
      <c r="J16" s="0" t="n"/>
      <c r="K16" s="286">
        <f>IFERROR(K15/K14,0)</f>
        <v/>
      </c>
      <c r="L16" s="286">
        <f>IFERROR(L15/L14,0)</f>
        <v/>
      </c>
      <c r="M16" s="286">
        <f>IFERROR(M15/M14,0)</f>
        <v/>
      </c>
      <c r="N16" s="286">
        <f>IFERROR(N15/N14,0)</f>
        <v/>
      </c>
      <c r="O16" s="286">
        <f>IFERROR(O15/O14,0)</f>
        <v/>
      </c>
    </row>
    <row r="17" hidden="1" outlineLevel="1" s="227">
      <c r="H17" s="0" t="n"/>
      <c r="I17" s="0" t="n"/>
      <c r="J17" s="0" t="n"/>
      <c r="K17" s="245" t="n"/>
      <c r="L17" s="245" t="n"/>
      <c r="M17" s="245" t="n"/>
      <c r="N17" s="0" t="n"/>
    </row>
    <row r="18" hidden="1" outlineLevel="1" s="227">
      <c r="H18" s="0" t="inlineStr">
        <is>
          <t>Total Assets</t>
        </is>
      </c>
      <c r="I18" s="0" t="n"/>
      <c r="J18" s="0" t="n"/>
      <c r="K18" s="245">
        <f>'o_Fin Stats'!M130</f>
        <v/>
      </c>
      <c r="L18" s="245">
        <f>'o_Fin Stats'!N130</f>
        <v/>
      </c>
      <c r="M18" s="245">
        <f>'o_Fin Stats'!O130</f>
        <v/>
      </c>
      <c r="N18" s="245">
        <f>'o_Fin Stats'!P130</f>
        <v/>
      </c>
      <c r="O18" s="245">
        <f>'o_Fin Stats'!Q130</f>
        <v/>
      </c>
    </row>
    <row r="19" hidden="1" outlineLevel="1" s="227">
      <c r="H19" s="0" t="inlineStr">
        <is>
          <t>Total Liabilities</t>
        </is>
      </c>
      <c r="I19" s="0" t="n"/>
      <c r="J19" s="0" t="n"/>
      <c r="K19" s="245">
        <f>-'o_Fin Stats'!M145</f>
        <v/>
      </c>
      <c r="L19" s="245">
        <f>-'o_Fin Stats'!N145</f>
        <v/>
      </c>
      <c r="M19" s="245">
        <f>-'o_Fin Stats'!O145</f>
        <v/>
      </c>
      <c r="N19" s="245">
        <f>-'o_Fin Stats'!P145</f>
        <v/>
      </c>
      <c r="O19" s="245">
        <f>-'o_Fin Stats'!Q145</f>
        <v/>
      </c>
    </row>
    <row r="20" hidden="1" outlineLevel="1" s="227">
      <c r="H20" s="0" t="inlineStr">
        <is>
          <t>Borrowings to Assets</t>
        </is>
      </c>
      <c r="I20" s="0" t="n"/>
      <c r="J20" s="0" t="n"/>
      <c r="K20" s="286">
        <f>IFERROR(-K112/K18,0)</f>
        <v/>
      </c>
      <c r="L20" s="286">
        <f>IFERROR(-L112/L18,0)</f>
        <v/>
      </c>
      <c r="M20" s="286">
        <f>IFERROR(-M112/M18,0)</f>
        <v/>
      </c>
      <c r="N20" s="286">
        <f>IFERROR(-N112/N18,0)</f>
        <v/>
      </c>
      <c r="O20" s="286">
        <f>IFERROR(-O112/O18,0)</f>
        <v/>
      </c>
    </row>
    <row r="21" hidden="1" outlineLevel="1" s="227">
      <c r="I21" s="0" t="n"/>
      <c r="J21" s="0" t="n"/>
      <c r="K21" s="286" t="n"/>
      <c r="L21" s="286" t="n"/>
      <c r="M21" s="286" t="n"/>
      <c r="N21" s="0" t="n"/>
    </row>
    <row r="22" hidden="1" outlineLevel="1" ht="13.5" customFormat="1" customHeight="1" s="223" thickBot="1">
      <c r="E22" s="223">
        <f>Heading2</f>
        <v/>
      </c>
      <c r="F22" s="223" t="inlineStr">
        <is>
          <t>Services</t>
        </is>
      </c>
      <c r="AT22" s="47" t="n"/>
      <c r="AU22" s="47" t="n"/>
    </row>
    <row r="23" hidden="1" outlineLevel="1" s="227">
      <c r="H23" s="0" t="n"/>
      <c r="I23" s="0" t="n"/>
      <c r="J23" s="0" t="n"/>
      <c r="K23" s="245" t="n"/>
      <c r="L23" s="245" t="n"/>
      <c r="M23" s="245" t="n"/>
      <c r="N23" s="0" t="n"/>
    </row>
    <row r="24" hidden="1" outlineLevel="1" s="227">
      <c r="G24" s="0" t="n"/>
      <c r="H24" s="0" t="n"/>
      <c r="I24" s="0" t="n"/>
      <c r="J24" s="0" t="n"/>
      <c r="K24" s="57">
        <f>K12</f>
        <v/>
      </c>
      <c r="L24" s="57">
        <f>L12</f>
        <v/>
      </c>
      <c r="M24" s="57">
        <f>M12</f>
        <v/>
      </c>
      <c r="N24" s="57">
        <f>N12</f>
        <v/>
      </c>
      <c r="O24" s="57">
        <f>O12</f>
        <v/>
      </c>
      <c r="Q24" s="57" t="inlineStr">
        <is>
          <t>Avg</t>
        </is>
      </c>
      <c r="R24" s="8" t="n"/>
    </row>
    <row r="25" hidden="1" outlineLevel="1" s="227">
      <c r="G25" s="0" t="n"/>
      <c r="H25" s="0" t="n"/>
      <c r="I25" s="0" t="n"/>
      <c r="J25" s="0" t="n"/>
      <c r="K25" s="302">
        <f>K13</f>
        <v/>
      </c>
      <c r="L25" s="302">
        <f>L13</f>
        <v/>
      </c>
      <c r="M25" s="302">
        <f>M13</f>
        <v/>
      </c>
      <c r="N25" s="302">
        <f>N13</f>
        <v/>
      </c>
      <c r="O25" s="302">
        <f>O13</f>
        <v/>
      </c>
      <c r="Q25" s="0" t="n"/>
    </row>
    <row r="26" hidden="1" outlineLevel="1" s="227">
      <c r="G26" s="0" t="n"/>
      <c r="H26" s="0" t="n"/>
      <c r="I26" s="0" t="n"/>
      <c r="J26" s="0" t="n"/>
      <c r="K26" s="302" t="n">
        <v>1</v>
      </c>
      <c r="L26" s="302" t="n">
        <v>2</v>
      </c>
      <c r="M26" s="302" t="n">
        <v>3</v>
      </c>
      <c r="N26" s="302" t="n">
        <v>4</v>
      </c>
      <c r="O26" s="302" t="n">
        <v>5</v>
      </c>
      <c r="Q26" s="0" t="n"/>
    </row>
    <row r="27" hidden="1" outlineLevel="1" s="227">
      <c r="G27" s="8" t="inlineStr">
        <is>
          <t>Volume</t>
        </is>
      </c>
      <c r="H27" s="0" t="n"/>
      <c r="I27" s="0" t="n"/>
      <c r="J27" s="0" t="n"/>
      <c r="K27" s="302" t="n"/>
      <c r="L27" s="302" t="n"/>
      <c r="M27" s="302" t="n"/>
      <c r="N27" s="302" t="n"/>
      <c r="O27" s="302" t="n"/>
      <c r="Q27" s="0" t="n"/>
    </row>
    <row r="28" hidden="1" outlineLevel="1" s="227">
      <c r="G28" s="0" t="n"/>
      <c r="H28" s="0">
        <f>i_Setup!U32</f>
        <v/>
      </c>
      <c r="I28" s="0" t="n"/>
      <c r="J28" s="0" t="n"/>
      <c r="K28" s="245">
        <f>SUMIF(c_Calculations!$T$4:$CA$4,K$26,c_Calculations!$T15:$CA15)</f>
        <v/>
      </c>
      <c r="L28" s="245">
        <f>SUMIF(c_Calculations!$T$4:$CA$4,L$26,c_Calculations!$T15:$CA15)</f>
        <v/>
      </c>
      <c r="M28" s="245">
        <f>SUMIF(c_Calculations!$T$4:$CA$4,M$26,c_Calculations!$T15:$CA15)</f>
        <v/>
      </c>
      <c r="N28" s="245">
        <f>SUMIF(c_Calculations!$T$4:$CA$4,N$26,c_Calculations!$T15:$CA15)</f>
        <v/>
      </c>
      <c r="O28" s="245">
        <f>SUMIF(c_Calculations!$T$4:$CA$4,O$26,c_Calculations!$T15:$CA15)</f>
        <v/>
      </c>
      <c r="Q28" s="280">
        <f>AVERAGE(K28:O28)</f>
        <v/>
      </c>
      <c r="R28" s="280" t="n"/>
    </row>
    <row r="29" hidden="1" outlineLevel="1" s="227">
      <c r="G29" s="0" t="n"/>
      <c r="H29" s="0">
        <f>i_Setup!U33</f>
        <v/>
      </c>
      <c r="I29" s="0" t="n"/>
      <c r="J29" s="0" t="n"/>
      <c r="K29" s="245">
        <f>SUMIF(c_Calculations!$T$4:$CA$4,K$26,c_Calculations!$T16:$CA16)</f>
        <v/>
      </c>
      <c r="L29" s="245">
        <f>SUMIF(c_Calculations!$T$4:$CA$4,L$26,c_Calculations!$T16:$CA16)</f>
        <v/>
      </c>
      <c r="M29" s="245">
        <f>SUMIF(c_Calculations!$T$4:$CA$4,M$26,c_Calculations!$T16:$CA16)</f>
        <v/>
      </c>
      <c r="N29" s="245">
        <f>SUMIF(c_Calculations!$T$4:$CA$4,N$26,c_Calculations!$T16:$CA16)</f>
        <v/>
      </c>
      <c r="O29" s="245">
        <f>SUMIF(c_Calculations!$T$4:$CA$4,O$26,c_Calculations!$T16:$CA16)</f>
        <v/>
      </c>
      <c r="Q29" s="280">
        <f>AVERAGE(K29:O29)</f>
        <v/>
      </c>
      <c r="R29" s="280" t="n"/>
    </row>
    <row r="30" hidden="1" outlineLevel="1" s="227">
      <c r="G30" s="0" t="n"/>
      <c r="H30" s="0">
        <f>i_Setup!U34</f>
        <v/>
      </c>
      <c r="I30" s="0" t="n"/>
      <c r="J30" s="0" t="n"/>
      <c r="K30" s="245">
        <f>SUMIF(c_Calculations!$T$4:$CA$4,K$26,c_Calculations!$T17:$CA17)</f>
        <v/>
      </c>
      <c r="L30" s="245">
        <f>SUMIF(c_Calculations!$T$4:$CA$4,L$26,c_Calculations!$T17:$CA17)</f>
        <v/>
      </c>
      <c r="M30" s="245">
        <f>SUMIF(c_Calculations!$T$4:$CA$4,M$26,c_Calculations!$T17:$CA17)</f>
        <v/>
      </c>
      <c r="N30" s="245">
        <f>SUMIF(c_Calculations!$T$4:$CA$4,N$26,c_Calculations!$T17:$CA17)</f>
        <v/>
      </c>
      <c r="O30" s="245">
        <f>SUMIF(c_Calculations!$T$4:$CA$4,O$26,c_Calculations!$T17:$CA17)</f>
        <v/>
      </c>
      <c r="Q30" s="280">
        <f>AVERAGE(K30:O30)</f>
        <v/>
      </c>
      <c r="R30" s="280" t="n"/>
    </row>
    <row r="31" hidden="1" outlineLevel="1" s="227">
      <c r="G31" s="0" t="n"/>
      <c r="H31" s="0">
        <f>i_Setup!U35</f>
        <v/>
      </c>
      <c r="I31" s="0" t="n"/>
      <c r="J31" s="0" t="n"/>
      <c r="K31" s="245">
        <f>SUMIF(c_Calculations!$T$4:$CA$4,K$26,c_Calculations!$T18:$CA18)</f>
        <v/>
      </c>
      <c r="L31" s="245">
        <f>SUMIF(c_Calculations!$T$4:$CA$4,L$26,c_Calculations!$T18:$CA18)</f>
        <v/>
      </c>
      <c r="M31" s="245">
        <f>SUMIF(c_Calculations!$T$4:$CA$4,M$26,c_Calculations!$T18:$CA18)</f>
        <v/>
      </c>
      <c r="N31" s="245">
        <f>SUMIF(c_Calculations!$T$4:$CA$4,N$26,c_Calculations!$T18:$CA18)</f>
        <v/>
      </c>
      <c r="O31" s="245">
        <f>SUMIF(c_Calculations!$T$4:$CA$4,O$26,c_Calculations!$T18:$CA18)</f>
        <v/>
      </c>
      <c r="Q31" s="280">
        <f>AVERAGE(K31:O31)</f>
        <v/>
      </c>
      <c r="R31" s="280" t="n"/>
    </row>
    <row r="32" hidden="1" outlineLevel="1" s="227">
      <c r="G32" s="0" t="n"/>
      <c r="H32" s="0">
        <f>i_Setup!U36</f>
        <v/>
      </c>
      <c r="I32" s="0" t="n"/>
      <c r="J32" s="0" t="n"/>
      <c r="K32" s="245">
        <f>SUMIF(c_Calculations!$T$4:$CA$4,K$26,c_Calculations!$T19:$CA19)</f>
        <v/>
      </c>
      <c r="L32" s="245">
        <f>SUMIF(c_Calculations!$T$4:$CA$4,L$26,c_Calculations!$T19:$CA19)</f>
        <v/>
      </c>
      <c r="M32" s="245">
        <f>SUMIF(c_Calculations!$T$4:$CA$4,M$26,c_Calculations!$T19:$CA19)</f>
        <v/>
      </c>
      <c r="N32" s="245">
        <f>SUMIF(c_Calculations!$T$4:$CA$4,N$26,c_Calculations!$T19:$CA19)</f>
        <v/>
      </c>
      <c r="O32" s="245">
        <f>SUMIF(c_Calculations!$T$4:$CA$4,O$26,c_Calculations!$T19:$CA19)</f>
        <v/>
      </c>
      <c r="Q32" s="280">
        <f>AVERAGE(K32:O32)</f>
        <v/>
      </c>
      <c r="R32" s="280" t="n"/>
    </row>
    <row r="33" hidden="1" outlineLevel="1" s="227">
      <c r="G33" s="0" t="n"/>
      <c r="H33" s="0">
        <f>i_Setup!U37</f>
        <v/>
      </c>
      <c r="I33" s="0" t="n"/>
      <c r="J33" s="0" t="n"/>
      <c r="K33" s="245">
        <f>SUMIF(c_Calculations!$T$4:$CA$4,K$26,c_Calculations!$T20:$CA20)</f>
        <v/>
      </c>
      <c r="L33" s="245">
        <f>SUMIF(c_Calculations!$T$4:$CA$4,L$26,c_Calculations!$T20:$CA20)</f>
        <v/>
      </c>
      <c r="M33" s="245">
        <f>SUMIF(c_Calculations!$T$4:$CA$4,M$26,c_Calculations!$T20:$CA20)</f>
        <v/>
      </c>
      <c r="N33" s="245">
        <f>SUMIF(c_Calculations!$T$4:$CA$4,N$26,c_Calculations!$T20:$CA20)</f>
        <v/>
      </c>
      <c r="O33" s="245">
        <f>SUMIF(c_Calculations!$T$4:$CA$4,O$26,c_Calculations!$T20:$CA20)</f>
        <v/>
      </c>
      <c r="Q33" s="280">
        <f>AVERAGE(K33:O33)</f>
        <v/>
      </c>
      <c r="R33" s="280" t="n"/>
    </row>
    <row r="34" hidden="1" outlineLevel="1" s="227">
      <c r="G34" s="0" t="n"/>
      <c r="H34" s="0">
        <f>i_Setup!U38</f>
        <v/>
      </c>
      <c r="I34" s="0" t="n"/>
      <c r="J34" s="0" t="n"/>
      <c r="K34" s="245">
        <f>SUMIF(c_Calculations!$T$4:$CA$4,K$26,c_Calculations!$T21:$CA21)</f>
        <v/>
      </c>
      <c r="L34" s="245">
        <f>SUMIF(c_Calculations!$T$4:$CA$4,L$26,c_Calculations!$T21:$CA21)</f>
        <v/>
      </c>
      <c r="M34" s="245">
        <f>SUMIF(c_Calculations!$T$4:$CA$4,M$26,c_Calculations!$T21:$CA21)</f>
        <v/>
      </c>
      <c r="N34" s="245">
        <f>SUMIF(c_Calculations!$T$4:$CA$4,N$26,c_Calculations!$T21:$CA21)</f>
        <v/>
      </c>
      <c r="O34" s="245">
        <f>SUMIF(c_Calculations!$T$4:$CA$4,O$26,c_Calculations!$T21:$CA21)</f>
        <v/>
      </c>
      <c r="Q34" s="280">
        <f>AVERAGE(K34:O34)</f>
        <v/>
      </c>
      <c r="R34" s="280" t="n"/>
    </row>
    <row r="35" hidden="1" outlineLevel="1" s="227">
      <c r="G35" s="0" t="n"/>
      <c r="H35" s="0">
        <f>i_Setup!U39</f>
        <v/>
      </c>
      <c r="I35" s="0" t="n"/>
      <c r="J35" s="0" t="n"/>
      <c r="K35" s="245">
        <f>SUMIF(c_Calculations!$T$4:$CA$4,K$26,c_Calculations!$T22:$CA22)</f>
        <v/>
      </c>
      <c r="L35" s="245">
        <f>SUMIF(c_Calculations!$T$4:$CA$4,L$26,c_Calculations!$T22:$CA22)</f>
        <v/>
      </c>
      <c r="M35" s="245">
        <f>SUMIF(c_Calculations!$T$4:$CA$4,M$26,c_Calculations!$T22:$CA22)</f>
        <v/>
      </c>
      <c r="N35" s="245">
        <f>SUMIF(c_Calculations!$T$4:$CA$4,N$26,c_Calculations!$T22:$CA22)</f>
        <v/>
      </c>
      <c r="O35" s="245">
        <f>SUMIF(c_Calculations!$T$4:$CA$4,O$26,c_Calculations!$T22:$CA22)</f>
        <v/>
      </c>
      <c r="Q35" s="280">
        <f>AVERAGE(K35:O35)</f>
        <v/>
      </c>
      <c r="R35" s="280" t="n"/>
    </row>
    <row r="36" hidden="1" outlineLevel="1" s="227">
      <c r="G36" s="0" t="n"/>
      <c r="H36" s="0">
        <f>i_Setup!U40</f>
        <v/>
      </c>
      <c r="I36" s="0" t="n"/>
      <c r="J36" s="0" t="n"/>
      <c r="K36" s="245">
        <f>SUMIF(c_Calculations!$T$4:$CA$4,K$26,c_Calculations!$T23:$CA23)</f>
        <v/>
      </c>
      <c r="L36" s="245">
        <f>SUMIF(c_Calculations!$T$4:$CA$4,L$26,c_Calculations!$T23:$CA23)</f>
        <v/>
      </c>
      <c r="M36" s="245">
        <f>SUMIF(c_Calculations!$T$4:$CA$4,M$26,c_Calculations!$T23:$CA23)</f>
        <v/>
      </c>
      <c r="N36" s="245">
        <f>SUMIF(c_Calculations!$T$4:$CA$4,N$26,c_Calculations!$T23:$CA23)</f>
        <v/>
      </c>
      <c r="O36" s="245">
        <f>SUMIF(c_Calculations!$T$4:$CA$4,O$26,c_Calculations!$T23:$CA23)</f>
        <v/>
      </c>
      <c r="Q36" s="280">
        <f>AVERAGE(K36:O36)</f>
        <v/>
      </c>
      <c r="R36" s="280" t="n"/>
    </row>
    <row r="37" hidden="1" outlineLevel="1" s="227">
      <c r="G37" s="0" t="n"/>
      <c r="H37" s="0">
        <f>i_Setup!U41</f>
        <v/>
      </c>
      <c r="I37" s="0" t="n"/>
      <c r="J37" s="0" t="n"/>
      <c r="K37" s="245">
        <f>SUMIF(c_Calculations!$T$4:$CA$4,K$26,c_Calculations!$T24:$CA24)</f>
        <v/>
      </c>
      <c r="L37" s="245">
        <f>SUMIF(c_Calculations!$T$4:$CA$4,L$26,c_Calculations!$T24:$CA24)</f>
        <v/>
      </c>
      <c r="M37" s="245">
        <f>SUMIF(c_Calculations!$T$4:$CA$4,M$26,c_Calculations!$T24:$CA24)</f>
        <v/>
      </c>
      <c r="N37" s="245">
        <f>SUMIF(c_Calculations!$T$4:$CA$4,N$26,c_Calculations!$T24:$CA24)</f>
        <v/>
      </c>
      <c r="O37" s="245">
        <f>SUMIF(c_Calculations!$T$4:$CA$4,O$26,c_Calculations!$T24:$CA24)</f>
        <v/>
      </c>
      <c r="Q37" s="280">
        <f>AVERAGE(K37:O37)</f>
        <v/>
      </c>
      <c r="R37" s="280" t="n"/>
    </row>
    <row r="38" hidden="1" outlineLevel="1" s="227">
      <c r="G38" s="0" t="n"/>
      <c r="H38" s="0" t="n"/>
      <c r="I38" s="0" t="n"/>
      <c r="J38" s="0" t="n"/>
      <c r="K38" s="302" t="n"/>
      <c r="L38" s="302" t="n"/>
      <c r="M38" s="302" t="n"/>
      <c r="N38" s="302" t="n"/>
      <c r="O38" s="302" t="n"/>
      <c r="Q38" s="0" t="n"/>
    </row>
    <row r="39" hidden="1" outlineLevel="1" s="227">
      <c r="G39" s="8" t="inlineStr">
        <is>
          <t>Revenue</t>
        </is>
      </c>
      <c r="H39" s="0" t="n"/>
      <c r="I39" s="0" t="n"/>
      <c r="J39" s="0" t="n"/>
      <c r="K39" s="245" t="n"/>
      <c r="L39" s="245" t="n"/>
      <c r="M39" s="245" t="n"/>
      <c r="Q39" s="0" t="n"/>
    </row>
    <row r="40" hidden="1" outlineLevel="1" s="227">
      <c r="G40" s="0" t="n"/>
      <c r="H40" s="0">
        <f>H28</f>
        <v/>
      </c>
      <c r="I40" s="0" t="n"/>
      <c r="J40" s="0" t="n"/>
      <c r="K40" s="245">
        <f>'o_Fin Stats'!M14</f>
        <v/>
      </c>
      <c r="L40" s="245">
        <f>'o_Fin Stats'!N14</f>
        <v/>
      </c>
      <c r="M40" s="245">
        <f>'o_Fin Stats'!O14</f>
        <v/>
      </c>
      <c r="N40" s="245">
        <f>'o_Fin Stats'!P14</f>
        <v/>
      </c>
      <c r="O40" s="245">
        <f>'o_Fin Stats'!Q14</f>
        <v/>
      </c>
      <c r="Q40" s="280">
        <f>AVERAGE(K40:O40)</f>
        <v/>
      </c>
      <c r="R40" s="280" t="n"/>
    </row>
    <row r="41" hidden="1" outlineLevel="1" s="227">
      <c r="G41" s="0" t="n"/>
      <c r="H41" s="0">
        <f>H29</f>
        <v/>
      </c>
      <c r="I41" s="0" t="n"/>
      <c r="J41" s="0" t="n"/>
      <c r="K41" s="245">
        <f>'o_Fin Stats'!M15</f>
        <v/>
      </c>
      <c r="L41" s="245">
        <f>'o_Fin Stats'!N15</f>
        <v/>
      </c>
      <c r="M41" s="245">
        <f>'o_Fin Stats'!O15</f>
        <v/>
      </c>
      <c r="N41" s="245">
        <f>'o_Fin Stats'!P15</f>
        <v/>
      </c>
      <c r="O41" s="245">
        <f>'o_Fin Stats'!Q15</f>
        <v/>
      </c>
      <c r="Q41" s="280">
        <f>AVERAGE(K41:O41)</f>
        <v/>
      </c>
      <c r="R41" s="280" t="n"/>
    </row>
    <row r="42" hidden="1" outlineLevel="1" s="227">
      <c r="G42" s="0" t="n"/>
      <c r="H42" s="0">
        <f>H30</f>
        <v/>
      </c>
      <c r="I42" s="0" t="n"/>
      <c r="J42" s="0" t="n"/>
      <c r="K42" s="245">
        <f>'o_Fin Stats'!M16</f>
        <v/>
      </c>
      <c r="L42" s="245">
        <f>'o_Fin Stats'!N16</f>
        <v/>
      </c>
      <c r="M42" s="245">
        <f>'o_Fin Stats'!O16</f>
        <v/>
      </c>
      <c r="N42" s="245">
        <f>'o_Fin Stats'!P16</f>
        <v/>
      </c>
      <c r="O42" s="245">
        <f>'o_Fin Stats'!Q16</f>
        <v/>
      </c>
      <c r="Q42" s="280">
        <f>AVERAGE(K42:O42)</f>
        <v/>
      </c>
      <c r="R42" s="280" t="n"/>
    </row>
    <row r="43" hidden="1" outlineLevel="1" s="227">
      <c r="G43" s="0" t="n"/>
      <c r="H43" s="0">
        <f>H31</f>
        <v/>
      </c>
      <c r="I43" s="0" t="n"/>
      <c r="J43" s="0" t="n"/>
      <c r="K43" s="245">
        <f>'o_Fin Stats'!M17</f>
        <v/>
      </c>
      <c r="L43" s="245">
        <f>'o_Fin Stats'!N17</f>
        <v/>
      </c>
      <c r="M43" s="245">
        <f>'o_Fin Stats'!O17</f>
        <v/>
      </c>
      <c r="N43" s="245">
        <f>'o_Fin Stats'!P17</f>
        <v/>
      </c>
      <c r="O43" s="245">
        <f>'o_Fin Stats'!Q17</f>
        <v/>
      </c>
      <c r="Q43" s="280">
        <f>AVERAGE(K43:O43)</f>
        <v/>
      </c>
      <c r="R43" s="280" t="n"/>
    </row>
    <row r="44" hidden="1" outlineLevel="1" s="227">
      <c r="G44" s="0" t="n"/>
      <c r="H44" s="0">
        <f>H32</f>
        <v/>
      </c>
      <c r="I44" s="0" t="n"/>
      <c r="J44" s="0" t="n"/>
      <c r="K44" s="245">
        <f>'o_Fin Stats'!M18</f>
        <v/>
      </c>
      <c r="L44" s="245">
        <f>'o_Fin Stats'!N18</f>
        <v/>
      </c>
      <c r="M44" s="245">
        <f>'o_Fin Stats'!O18</f>
        <v/>
      </c>
      <c r="N44" s="245">
        <f>'o_Fin Stats'!P18</f>
        <v/>
      </c>
      <c r="O44" s="245">
        <f>'o_Fin Stats'!Q18</f>
        <v/>
      </c>
      <c r="Q44" s="280">
        <f>AVERAGE(K44:O44)</f>
        <v/>
      </c>
      <c r="R44" s="280" t="n"/>
    </row>
    <row r="45" hidden="1" outlineLevel="1" s="227">
      <c r="H45" s="0">
        <f>H33</f>
        <v/>
      </c>
      <c r="K45" s="245">
        <f>'o_Fin Stats'!M19</f>
        <v/>
      </c>
      <c r="L45" s="245">
        <f>'o_Fin Stats'!N19</f>
        <v/>
      </c>
      <c r="M45" s="245">
        <f>'o_Fin Stats'!O19</f>
        <v/>
      </c>
      <c r="N45" s="245">
        <f>'o_Fin Stats'!P19</f>
        <v/>
      </c>
      <c r="O45" s="245">
        <f>'o_Fin Stats'!Q19</f>
        <v/>
      </c>
      <c r="Q45" s="280">
        <f>AVERAGE(K45:O45)</f>
        <v/>
      </c>
      <c r="R45" s="280" t="n"/>
    </row>
    <row r="46" hidden="1" outlineLevel="1" s="227">
      <c r="H46" s="0">
        <f>H34</f>
        <v/>
      </c>
      <c r="K46" s="245">
        <f>'o_Fin Stats'!M20</f>
        <v/>
      </c>
      <c r="L46" s="245">
        <f>'o_Fin Stats'!N20</f>
        <v/>
      </c>
      <c r="M46" s="245">
        <f>'o_Fin Stats'!O20</f>
        <v/>
      </c>
      <c r="N46" s="245">
        <f>'o_Fin Stats'!P20</f>
        <v/>
      </c>
      <c r="O46" s="245">
        <f>'o_Fin Stats'!Q20</f>
        <v/>
      </c>
      <c r="Q46" s="280">
        <f>AVERAGE(K46:O46)</f>
        <v/>
      </c>
      <c r="R46" s="280" t="n"/>
    </row>
    <row r="47" hidden="1" outlineLevel="1" s="227">
      <c r="H47" s="0">
        <f>H35</f>
        <v/>
      </c>
      <c r="K47" s="245">
        <f>'o_Fin Stats'!M21</f>
        <v/>
      </c>
      <c r="L47" s="245">
        <f>'o_Fin Stats'!N21</f>
        <v/>
      </c>
      <c r="M47" s="245">
        <f>'o_Fin Stats'!O21</f>
        <v/>
      </c>
      <c r="N47" s="245">
        <f>'o_Fin Stats'!P21</f>
        <v/>
      </c>
      <c r="O47" s="245">
        <f>'o_Fin Stats'!Q21</f>
        <v/>
      </c>
      <c r="Q47" s="280">
        <f>AVERAGE(K47:O47)</f>
        <v/>
      </c>
      <c r="R47" s="280" t="n"/>
    </row>
    <row r="48" hidden="1" outlineLevel="1" s="227">
      <c r="H48" s="0">
        <f>H36</f>
        <v/>
      </c>
      <c r="K48" s="245">
        <f>'o_Fin Stats'!M22</f>
        <v/>
      </c>
      <c r="L48" s="245">
        <f>'o_Fin Stats'!N22</f>
        <v/>
      </c>
      <c r="M48" s="245">
        <f>'o_Fin Stats'!O22</f>
        <v/>
      </c>
      <c r="N48" s="245">
        <f>'o_Fin Stats'!P22</f>
        <v/>
      </c>
      <c r="O48" s="245">
        <f>'o_Fin Stats'!Q22</f>
        <v/>
      </c>
      <c r="Q48" s="280">
        <f>AVERAGE(K48:O48)</f>
        <v/>
      </c>
      <c r="R48" s="280" t="n"/>
    </row>
    <row r="49" hidden="1" outlineLevel="1" s="227">
      <c r="H49" s="0">
        <f>H37</f>
        <v/>
      </c>
      <c r="K49" s="245">
        <f>'o_Fin Stats'!M23</f>
        <v/>
      </c>
      <c r="L49" s="245">
        <f>'o_Fin Stats'!N23</f>
        <v/>
      </c>
      <c r="M49" s="245">
        <f>'o_Fin Stats'!O23</f>
        <v/>
      </c>
      <c r="N49" s="245">
        <f>'o_Fin Stats'!P23</f>
        <v/>
      </c>
      <c r="O49" s="245">
        <f>'o_Fin Stats'!Q23</f>
        <v/>
      </c>
      <c r="Q49" s="280">
        <f>AVERAGE(K49:O49)</f>
        <v/>
      </c>
      <c r="R49" s="280" t="n"/>
    </row>
    <row r="50" hidden="1" outlineLevel="1" s="227">
      <c r="H50" s="0" t="n"/>
      <c r="I50" s="0" t="n"/>
      <c r="J50" s="0" t="n"/>
      <c r="K50" s="245" t="n"/>
      <c r="L50" s="245" t="n"/>
      <c r="M50" s="245" t="n"/>
      <c r="N50" s="0" t="n"/>
    </row>
    <row r="51" hidden="1" outlineLevel="1" s="227">
      <c r="H51" s="0" t="n"/>
      <c r="I51" s="0" t="n"/>
      <c r="J51" s="0" t="n"/>
      <c r="K51" s="245" t="n"/>
      <c r="L51" s="245" t="n"/>
      <c r="M51" s="245" t="n"/>
      <c r="N51" s="0" t="n"/>
    </row>
    <row r="52" hidden="1" outlineLevel="1" ht="13.5" customFormat="1" customHeight="1" s="223" thickBot="1">
      <c r="E52" s="223">
        <f>Heading2</f>
        <v/>
      </c>
      <c r="F52" s="223" t="inlineStr">
        <is>
          <t>Other Charts</t>
        </is>
      </c>
      <c r="AT52" s="47" t="n"/>
      <c r="AU52" s="47" t="n"/>
    </row>
    <row r="53" hidden="1" outlineLevel="1" s="227">
      <c r="H53" s="0" t="n"/>
      <c r="I53" s="0" t="n"/>
      <c r="J53" s="0" t="n"/>
      <c r="K53" s="245" t="n"/>
      <c r="L53" s="245" t="n"/>
      <c r="M53" s="245" t="n"/>
      <c r="N53" s="0" t="n"/>
    </row>
    <row r="54" hidden="1" outlineLevel="1" s="227">
      <c r="H54" s="0" t="n"/>
      <c r="I54" s="0" t="n"/>
      <c r="J54" s="0" t="n"/>
      <c r="K54" s="57">
        <f>K24</f>
        <v/>
      </c>
      <c r="L54" s="57">
        <f>L24</f>
        <v/>
      </c>
      <c r="M54" s="57">
        <f>M24</f>
        <v/>
      </c>
      <c r="N54" s="57">
        <f>N24</f>
        <v/>
      </c>
      <c r="O54" s="57">
        <f>O24</f>
        <v/>
      </c>
    </row>
    <row r="55" hidden="1" outlineLevel="1" s="227">
      <c r="H55" s="0" t="n"/>
      <c r="I55" s="0" t="n"/>
      <c r="J55" s="0" t="n"/>
      <c r="K55" s="303">
        <f>K25</f>
        <v/>
      </c>
      <c r="L55" s="303">
        <f>L25</f>
        <v/>
      </c>
      <c r="M55" s="303">
        <f>M25</f>
        <v/>
      </c>
      <c r="N55" s="303">
        <f>N25</f>
        <v/>
      </c>
      <c r="O55" s="303">
        <f>O25</f>
        <v/>
      </c>
    </row>
    <row r="56" hidden="1" outlineLevel="1" s="227">
      <c r="H56" s="0" t="n"/>
      <c r="I56" s="0" t="n"/>
      <c r="J56" s="0" t="n"/>
      <c r="K56" s="302" t="n">
        <v>1</v>
      </c>
      <c r="L56" s="302" t="n">
        <v>2</v>
      </c>
      <c r="M56" s="302" t="n">
        <v>3</v>
      </c>
      <c r="N56" s="302" t="n">
        <v>4</v>
      </c>
      <c r="O56" s="302" t="n">
        <v>5</v>
      </c>
    </row>
    <row r="57" hidden="1" outlineLevel="1" s="227">
      <c r="H57" s="0" t="inlineStr">
        <is>
          <t>Free Cash Flow Generation</t>
        </is>
      </c>
      <c r="I57" s="0" t="n"/>
      <c r="J57" s="0" t="n"/>
      <c r="K57" s="245">
        <f>SUMIF(o_DCF!$M$4:$BT$4,K$56,o_DCF!I56:BP56)</f>
        <v/>
      </c>
      <c r="L57" s="245">
        <f>SUMIF(o_DCF!$M$4:$BT$4,L$56,o_DCF!J56:BQ56)</f>
        <v/>
      </c>
      <c r="M57" s="245">
        <f>SUMIF(o_DCF!$M$4:$BT$4,M$56,o_DCF!K56:BR56)</f>
        <v/>
      </c>
      <c r="N57" s="245">
        <f>SUMIF(o_DCF!$M$4:$BT$4,N$56,o_DCF!L56:BS56)</f>
        <v/>
      </c>
      <c r="O57" s="245">
        <f>SUMIF(o_DCF!$M$4:$BT$4,O$56,o_DCF!M56:BT56)</f>
        <v/>
      </c>
    </row>
    <row r="58" hidden="1" outlineLevel="1" s="227">
      <c r="H58" s="0" t="n"/>
      <c r="I58" s="0" t="n"/>
      <c r="J58" s="0" t="n"/>
      <c r="K58" s="245" t="n"/>
      <c r="L58" s="245" t="n"/>
      <c r="M58" s="245" t="n"/>
      <c r="N58" s="0" t="n"/>
    </row>
    <row r="59" hidden="1" outlineLevel="1" s="227">
      <c r="H59" s="0" t="inlineStr">
        <is>
          <t>Net Income After Tax</t>
        </is>
      </c>
      <c r="I59" s="0" t="n"/>
      <c r="J59" s="0" t="n"/>
      <c r="K59" s="245">
        <f>K101</f>
        <v/>
      </c>
      <c r="L59" s="245">
        <f>L101</f>
        <v/>
      </c>
      <c r="M59" s="245">
        <f>M101</f>
        <v/>
      </c>
      <c r="N59" s="245">
        <f>N101</f>
        <v/>
      </c>
      <c r="O59" s="245">
        <f>O101</f>
        <v/>
      </c>
    </row>
    <row r="60" hidden="1" outlineLevel="1" s="227">
      <c r="H60" s="0" t="inlineStr">
        <is>
          <t>Net Operating &amp; Investing Cash Flow</t>
        </is>
      </c>
      <c r="I60" s="0" t="n"/>
      <c r="J60" s="0" t="n"/>
      <c r="K60" s="245">
        <f>'o_Fin Stats'!M173+'o_Fin Stats'!M178</f>
        <v/>
      </c>
      <c r="L60" s="245">
        <f>'o_Fin Stats'!N173+'o_Fin Stats'!N178</f>
        <v/>
      </c>
      <c r="M60" s="245">
        <f>'o_Fin Stats'!O173+'o_Fin Stats'!O178</f>
        <v/>
      </c>
      <c r="N60" s="245">
        <f>'o_Fin Stats'!P173+'o_Fin Stats'!P178</f>
        <v/>
      </c>
      <c r="O60" s="245">
        <f>'o_Fin Stats'!Q173+'o_Fin Stats'!Q178</f>
        <v/>
      </c>
    </row>
    <row r="61" hidden="1" outlineLevel="1" s="227">
      <c r="H61" s="0" t="n"/>
      <c r="I61" s="0" t="n"/>
      <c r="J61" s="0" t="n"/>
      <c r="K61" s="245" t="n"/>
      <c r="L61" s="245" t="n"/>
      <c r="M61" s="245" t="n"/>
      <c r="N61" s="0" t="n"/>
    </row>
    <row r="62" hidden="1" outlineLevel="1" s="227">
      <c r="H62" s="0" t="inlineStr">
        <is>
          <t>Revenue</t>
        </is>
      </c>
      <c r="I62" s="0" t="n"/>
      <c r="J62" s="0" t="n"/>
      <c r="K62" s="245">
        <f>K90</f>
        <v/>
      </c>
      <c r="L62" s="245">
        <f>L90</f>
        <v/>
      </c>
      <c r="M62" s="245">
        <f>M90</f>
        <v/>
      </c>
      <c r="N62" s="245">
        <f>N90</f>
        <v/>
      </c>
      <c r="O62" s="245">
        <f>O90</f>
        <v/>
      </c>
    </row>
    <row r="63" hidden="1" outlineLevel="1" s="227">
      <c r="H63" s="0" t="inlineStr">
        <is>
          <t>Direct Expenses</t>
        </is>
      </c>
      <c r="I63" s="0" t="n"/>
      <c r="J63" s="0" t="n"/>
      <c r="K63" s="245">
        <f>-SUM(K91:K92)</f>
        <v/>
      </c>
      <c r="L63" s="245">
        <f>-SUM(L91:L92)</f>
        <v/>
      </c>
      <c r="M63" s="245">
        <f>-SUM(M91:M92)</f>
        <v/>
      </c>
      <c r="N63" s="245">
        <f>-SUM(N91:N92)</f>
        <v/>
      </c>
      <c r="O63" s="245">
        <f>-SUM(O91:O92)</f>
        <v/>
      </c>
    </row>
    <row r="64" hidden="1" outlineLevel="1" s="227">
      <c r="H64" s="0" t="inlineStr">
        <is>
          <t>Non-Direct Expenses</t>
        </is>
      </c>
      <c r="I64" s="0" t="n"/>
      <c r="J64" s="0" t="n"/>
      <c r="K64" s="245">
        <f>-SUM(K93:K95)</f>
        <v/>
      </c>
      <c r="L64" s="245">
        <f>-SUM(L93:L95)</f>
        <v/>
      </c>
      <c r="M64" s="245">
        <f>-SUM(M93:M95)</f>
        <v/>
      </c>
      <c r="N64" s="245">
        <f>-SUM(N93:N95)</f>
        <v/>
      </c>
      <c r="O64" s="245">
        <f>-SUM(O93:O95)</f>
        <v/>
      </c>
    </row>
    <row r="65" hidden="1" outlineLevel="1" s="227">
      <c r="H65" s="0" t="inlineStr">
        <is>
          <t>Finance Charges &amp; Depreciation</t>
        </is>
      </c>
      <c r="I65" s="0" t="n"/>
      <c r="J65" s="0" t="n"/>
      <c r="K65" s="245">
        <f>-SUM(K97:K98)</f>
        <v/>
      </c>
      <c r="L65" s="245">
        <f>-SUM(L97:L98)</f>
        <v/>
      </c>
      <c r="M65" s="245">
        <f>-SUM(M97:M98)</f>
        <v/>
      </c>
      <c r="N65" s="245">
        <f>-SUM(N97:N98)</f>
        <v/>
      </c>
      <c r="O65" s="245">
        <f>-SUM(O97:O98)</f>
        <v/>
      </c>
    </row>
    <row r="66" hidden="1" outlineLevel="1" s="227">
      <c r="H66" s="0" t="inlineStr">
        <is>
          <t>Net Profit Before Tax</t>
        </is>
      </c>
      <c r="I66" s="0" t="n"/>
      <c r="J66" s="0" t="n"/>
      <c r="K66" s="245">
        <f>K62-SUM(K63:K65)</f>
        <v/>
      </c>
      <c r="L66" s="245">
        <f>L62-SUM(L63:L65)</f>
        <v/>
      </c>
      <c r="M66" s="245">
        <f>M62-SUM(M63:M65)</f>
        <v/>
      </c>
      <c r="N66" s="245">
        <f>N62-SUM(N63:N65)</f>
        <v/>
      </c>
      <c r="O66" s="245">
        <f>O62-SUM(O63:O65)</f>
        <v/>
      </c>
    </row>
    <row r="67" hidden="1" outlineLevel="1" s="227">
      <c r="H67" s="0" t="n"/>
      <c r="I67" s="0" t="n"/>
      <c r="J67" s="0" t="n"/>
      <c r="K67" s="245" t="n"/>
      <c r="L67" s="245" t="n"/>
      <c r="M67" s="245" t="n"/>
      <c r="N67" s="0" t="n"/>
    </row>
    <row r="68" hidden="1" outlineLevel="1" s="227">
      <c r="H68" s="0" t="inlineStr">
        <is>
          <t>Current Assets</t>
        </is>
      </c>
      <c r="I68" s="0" t="n"/>
      <c r="J68" s="0" t="n"/>
      <c r="K68" s="245">
        <f>SUM(K107:K109)</f>
        <v/>
      </c>
      <c r="L68" s="245">
        <f>SUM(L107:L109)</f>
        <v/>
      </c>
      <c r="M68" s="245">
        <f>SUM(M107:M109)</f>
        <v/>
      </c>
      <c r="N68" s="245">
        <f>SUM(N107:N109)</f>
        <v/>
      </c>
      <c r="O68" s="245">
        <f>SUM(O107:O109)</f>
        <v/>
      </c>
    </row>
    <row r="69" hidden="1" outlineLevel="1" s="227">
      <c r="H69" s="0" t="inlineStr">
        <is>
          <t>Current Liabilities</t>
        </is>
      </c>
      <c r="I69" s="0" t="n"/>
      <c r="J69" s="0" t="n"/>
      <c r="K69" s="245">
        <f>-SUM(K113:K114)</f>
        <v/>
      </c>
      <c r="L69" s="245">
        <f>-SUM(L113:L114)</f>
        <v/>
      </c>
      <c r="M69" s="245">
        <f>-SUM(M113:M114)</f>
        <v/>
      </c>
      <c r="N69" s="245">
        <f>-SUM(N113:N114)</f>
        <v/>
      </c>
      <c r="O69" s="245">
        <f>-SUM(O113:O114)</f>
        <v/>
      </c>
    </row>
    <row r="70" hidden="1" outlineLevel="1" s="227">
      <c r="H70" s="0" t="inlineStr">
        <is>
          <t>Working Capital Ratio</t>
        </is>
      </c>
      <c r="I70" s="0" t="n"/>
      <c r="J70" s="0" t="n"/>
      <c r="K70" s="266">
        <f>K68/K69</f>
        <v/>
      </c>
      <c r="L70" s="266">
        <f>L68/L69</f>
        <v/>
      </c>
      <c r="M70" s="266">
        <f>M68/M69</f>
        <v/>
      </c>
      <c r="N70" s="266">
        <f>N68/N69</f>
        <v/>
      </c>
      <c r="O70" s="266">
        <f>O68/O69</f>
        <v/>
      </c>
    </row>
    <row r="71" hidden="1" outlineLevel="1" s="227">
      <c r="H71" s="0" t="n"/>
      <c r="I71" s="0" t="n"/>
      <c r="J71" s="0" t="n"/>
      <c r="K71" s="245" t="n"/>
      <c r="L71" s="245" t="n"/>
      <c r="M71" s="245" t="n"/>
      <c r="N71" s="0" t="n"/>
    </row>
    <row r="72" hidden="1" outlineLevel="1" s="227">
      <c r="H72" s="0" t="inlineStr">
        <is>
          <t>Equity &amp; Retained Earning</t>
        </is>
      </c>
      <c r="I72" s="0" t="n"/>
      <c r="J72" s="0" t="n"/>
      <c r="K72" s="245">
        <f>-K117</f>
        <v/>
      </c>
      <c r="L72" s="245">
        <f>-L117</f>
        <v/>
      </c>
      <c r="M72" s="245">
        <f>-M117</f>
        <v/>
      </c>
      <c r="N72" s="245">
        <f>-N117</f>
        <v/>
      </c>
      <c r="O72" s="245">
        <f>-O117</f>
        <v/>
      </c>
    </row>
    <row r="73" hidden="1" outlineLevel="1" s="227">
      <c r="H73" s="0" t="inlineStr">
        <is>
          <t>Borrowings</t>
        </is>
      </c>
      <c r="I73" s="0" t="n"/>
      <c r="J73" s="0" t="n"/>
      <c r="K73" s="245">
        <f>-SUM('o_Fin Stats'!M137:M139)</f>
        <v/>
      </c>
      <c r="L73" s="245">
        <f>-SUM('o_Fin Stats'!N137:N139)</f>
        <v/>
      </c>
      <c r="M73" s="245">
        <f>-SUM('o_Fin Stats'!O137:O139)</f>
        <v/>
      </c>
      <c r="N73" s="245">
        <f>-SUM('o_Fin Stats'!P137:P139)</f>
        <v/>
      </c>
      <c r="O73" s="245">
        <f>-SUM('o_Fin Stats'!Q137:Q139)</f>
        <v/>
      </c>
    </row>
    <row r="74" hidden="1" outlineLevel="1" s="227">
      <c r="H74" s="0" t="inlineStr">
        <is>
          <t>Debt to Equity Ratio</t>
        </is>
      </c>
      <c r="I74" s="0" t="n"/>
      <c r="J74" s="0" t="n"/>
      <c r="K74" s="286">
        <f>IFERROR(K73/K72,0)</f>
        <v/>
      </c>
      <c r="L74" s="286">
        <f>IFERROR(L73/L72,0)</f>
        <v/>
      </c>
      <c r="M74" s="286">
        <f>IFERROR(M73/M72,0)</f>
        <v/>
      </c>
      <c r="N74" s="286">
        <f>IFERROR(N73/N72,0)</f>
        <v/>
      </c>
      <c r="O74" s="286">
        <f>IFERROR(O73/O72,0)</f>
        <v/>
      </c>
    </row>
    <row r="75" hidden="1" outlineLevel="1" s="227">
      <c r="H75" s="0" t="n"/>
      <c r="I75" s="0" t="n"/>
      <c r="J75" s="0" t="n"/>
      <c r="K75" s="245" t="n"/>
      <c r="L75" s="245" t="n"/>
      <c r="M75" s="245" t="n"/>
      <c r="N75" s="0" t="n"/>
    </row>
    <row r="76" hidden="1" outlineLevel="1" s="227">
      <c r="H76" s="0" t="inlineStr">
        <is>
          <t>Enterprise Value</t>
        </is>
      </c>
      <c r="I76" s="0" t="n"/>
      <c r="J76" s="0" t="n"/>
      <c r="K76" s="245">
        <f>o_DCF!BW65</f>
        <v/>
      </c>
      <c r="L76" s="245" t="n"/>
      <c r="M76" s="245" t="n"/>
      <c r="N76" s="0" t="n"/>
    </row>
    <row r="77" hidden="1" outlineLevel="1" s="227">
      <c r="H77" s="0" t="inlineStr">
        <is>
          <t>Equity Value</t>
        </is>
      </c>
      <c r="I77" s="0" t="n"/>
      <c r="J77" s="0" t="n"/>
      <c r="K77" s="245">
        <f>o_DCF!BW70</f>
        <v/>
      </c>
      <c r="L77" s="245" t="n"/>
      <c r="M77" s="245" t="n"/>
      <c r="N77" s="0" t="n"/>
    </row>
    <row r="78" hidden="1" outlineLevel="1" s="227">
      <c r="H78" s="0" t="inlineStr">
        <is>
          <t>Book Value</t>
        </is>
      </c>
      <c r="I78" s="0" t="n"/>
      <c r="J78" s="0" t="n"/>
      <c r="K78" s="245">
        <f t="array" ref="K78">IFERROR(-INDEX('o_Fin Stats'!$T$153:$CA$153,,MATCH(i_Setup!$U$26,'o_Fin Stats'!$T$2:$CA$2,0)),0)</f>
        <v/>
      </c>
      <c r="L78" s="245" t="n"/>
      <c r="M78" s="245" t="n"/>
      <c r="N78" s="0" t="n"/>
    </row>
    <row r="79" hidden="1" outlineLevel="1" s="227">
      <c r="H79" s="0" t="n"/>
      <c r="I79" s="0" t="n"/>
      <c r="J79" s="0" t="n"/>
      <c r="K79" s="245" t="n"/>
      <c r="L79" s="245" t="n"/>
      <c r="M79" s="245" t="n"/>
      <c r="N79" s="0" t="n"/>
    </row>
    <row r="80" hidden="1" outlineLevel="1" s="227">
      <c r="H80" s="0" t="n"/>
      <c r="I80" s="0" t="n"/>
      <c r="J80" s="0" t="n"/>
      <c r="K80" s="245" t="n"/>
      <c r="L80" s="245" t="n"/>
      <c r="M80" s="245" t="n"/>
      <c r="N80" s="0" t="n"/>
    </row>
    <row r="81" collapsed="1" ht="15.75" customFormat="1" customHeight="1" s="99">
      <c r="D81" s="99">
        <f>Heading1</f>
        <v/>
      </c>
      <c r="E81" s="99" t="inlineStr">
        <is>
          <t>Dashboard</t>
        </is>
      </c>
    </row>
    <row r="83" ht="13.5" customFormat="1" customHeight="1" s="223" thickBot="1">
      <c r="E83" s="223">
        <f>Heading2</f>
        <v/>
      </c>
      <c r="F83" s="223" t="inlineStr">
        <is>
          <t>Financial Statements</t>
        </is>
      </c>
      <c r="AR83" s="47" t="n"/>
      <c r="AS83" s="47" t="n"/>
    </row>
    <row r="85">
      <c r="G85" s="108">
        <f>i_Setup!M13</f>
        <v/>
      </c>
      <c r="H85" s="109" t="n"/>
      <c r="I85" s="108" t="n"/>
      <c r="J85" s="108" t="n"/>
      <c r="K85" s="110">
        <f>YEAR('o_Fin Stats'!M2)</f>
        <v/>
      </c>
      <c r="L85" s="110">
        <f>YEAR('o_Fin Stats'!N2)</f>
        <v/>
      </c>
      <c r="M85" s="110">
        <f>YEAR('o_Fin Stats'!O2)</f>
        <v/>
      </c>
      <c r="N85" s="110">
        <f>YEAR('o_Fin Stats'!P2)</f>
        <v/>
      </c>
      <c r="O85" s="110">
        <f>YEAR('o_Fin Stats'!Q2)</f>
        <v/>
      </c>
      <c r="P85" s="35" t="n"/>
      <c r="Q85" s="113" t="inlineStr">
        <is>
          <t>CAGR</t>
        </is>
      </c>
      <c r="R85" s="35" t="n"/>
      <c r="T85" s="0" t="n"/>
      <c r="U85" s="0" t="n"/>
    </row>
    <row r="86">
      <c r="G86" s="108" t="n"/>
      <c r="H86" s="109" t="n"/>
      <c r="I86" s="108" t="n"/>
      <c r="J86" s="108" t="n"/>
      <c r="K86" s="111">
        <f>'o_Fin Stats'!M7</f>
        <v/>
      </c>
      <c r="L86" s="111">
        <f>'o_Fin Stats'!N7</f>
        <v/>
      </c>
      <c r="M86" s="111">
        <f>'o_Fin Stats'!O7</f>
        <v/>
      </c>
      <c r="N86" s="111">
        <f>'o_Fin Stats'!P7</f>
        <v/>
      </c>
      <c r="O86" s="111">
        <f>'o_Fin Stats'!Q7</f>
        <v/>
      </c>
      <c r="P86" s="35" t="n"/>
      <c r="Q86" s="111" t="inlineStr">
        <is>
          <t>Forecast</t>
        </is>
      </c>
      <c r="R86" s="35" t="n"/>
      <c r="T86" s="0" t="n"/>
      <c r="U86" s="0" t="n"/>
    </row>
    <row r="87">
      <c r="G87" s="112" t="n"/>
      <c r="H87" s="109" t="n"/>
      <c r="I87" s="112" t="n"/>
      <c r="J87" s="112" t="n"/>
      <c r="K87" s="113">
        <f>i_Setup!$M$16</f>
        <v/>
      </c>
      <c r="L87" s="113">
        <f>i_Setup!$M$16</f>
        <v/>
      </c>
      <c r="M87" s="113">
        <f>i_Setup!$M$16</f>
        <v/>
      </c>
      <c r="N87" s="113">
        <f>i_Setup!$M$16</f>
        <v/>
      </c>
      <c r="O87" s="113">
        <f>i_Setup!$M$16</f>
        <v/>
      </c>
      <c r="P87" s="35" t="n"/>
      <c r="Q87" s="113" t="inlineStr">
        <is>
          <t>%</t>
        </is>
      </c>
      <c r="R87" s="35" t="n"/>
      <c r="T87" s="0" t="n"/>
      <c r="U87" s="0" t="n"/>
    </row>
    <row r="88">
      <c r="G88" s="0" t="n"/>
      <c r="H88" s="37" t="n"/>
      <c r="I88" s="0" t="n"/>
      <c r="J88" s="0" t="n"/>
      <c r="K88" s="57" t="n"/>
      <c r="L88" s="57" t="n"/>
      <c r="M88" s="57" t="n"/>
      <c r="N88" s="57" t="n"/>
      <c r="O88" s="57" t="n"/>
      <c r="P88" s="35" t="n"/>
      <c r="Q88" s="35" t="n"/>
      <c r="R88" s="35" t="n"/>
      <c r="S88" s="224" t="inlineStr">
        <is>
          <t>Avg Revenue Growth</t>
        </is>
      </c>
    </row>
    <row r="89" ht="12.75" customHeight="1" s="227">
      <c r="G89" s="222" t="inlineStr">
        <is>
          <t>Income Statement</t>
        </is>
      </c>
      <c r="H89" s="0" t="n"/>
      <c r="I89" s="0" t="n"/>
      <c r="J89" s="0" t="n"/>
      <c r="K89" s="57" t="n"/>
      <c r="L89" s="57" t="n"/>
      <c r="M89" s="57" t="n"/>
      <c r="N89" s="57" t="n"/>
      <c r="O89" s="57" t="n"/>
      <c r="P89" s="35" t="n"/>
      <c r="Q89" s="35" t="n"/>
      <c r="R89" s="35" t="n"/>
    </row>
    <row r="90">
      <c r="G90" s="0" t="n"/>
      <c r="H90" s="59" t="inlineStr">
        <is>
          <t>Revenue</t>
        </is>
      </c>
      <c r="I90" s="0" t="n"/>
      <c r="J90" s="0" t="n"/>
      <c r="K90" s="245">
        <f>'o_Fin Stats'!M24</f>
        <v/>
      </c>
      <c r="L90" s="245">
        <f>'o_Fin Stats'!N24</f>
        <v/>
      </c>
      <c r="M90" s="245">
        <f>'o_Fin Stats'!O24</f>
        <v/>
      </c>
      <c r="N90" s="245">
        <f>'o_Fin Stats'!P24</f>
        <v/>
      </c>
      <c r="O90" s="245">
        <f>'o_Fin Stats'!Q24</f>
        <v/>
      </c>
      <c r="P90" s="35" t="n"/>
      <c r="Q90" s="286">
        <f>IFERROR(((INDEX($K90:$O90,,COUNT($K$85:$O$85))/K90)^(1/COUNT($L$85:$O$85)))-1,0)</f>
        <v/>
      </c>
      <c r="R90" s="35" t="n"/>
    </row>
    <row r="91">
      <c r="H91" s="59" t="inlineStr">
        <is>
          <t>Direct Staff Costs</t>
        </is>
      </c>
      <c r="K91" s="245">
        <f>'o_Fin Stats'!M35</f>
        <v/>
      </c>
      <c r="L91" s="245">
        <f>'o_Fin Stats'!N35</f>
        <v/>
      </c>
      <c r="M91" s="245">
        <f>'o_Fin Stats'!O35</f>
        <v/>
      </c>
      <c r="N91" s="245">
        <f>'o_Fin Stats'!P35</f>
        <v/>
      </c>
      <c r="O91" s="245">
        <f>'o_Fin Stats'!Q35</f>
        <v/>
      </c>
      <c r="Q91" s="286">
        <f>IFERROR(((INDEX($K91:$O91,,COUNT($K$85:$O$85))/K91)^(1/COUNT($L$85:$O$85)))-1,0)</f>
        <v/>
      </c>
      <c r="R91" s="35" t="n"/>
      <c r="S91" s="224">
        <f>$K$85&amp;" - "&amp;MAX($K$85:$O$85)</f>
        <v/>
      </c>
      <c r="U91" s="304">
        <f>AVERAGE(K124:O124)</f>
        <v/>
      </c>
    </row>
    <row r="92">
      <c r="H92" s="59" t="inlineStr">
        <is>
          <t>Direct Expenses</t>
        </is>
      </c>
      <c r="K92" s="245">
        <f>'o_Fin Stats'!M46</f>
        <v/>
      </c>
      <c r="L92" s="245">
        <f>'o_Fin Stats'!N46</f>
        <v/>
      </c>
      <c r="M92" s="245">
        <f>'o_Fin Stats'!O46</f>
        <v/>
      </c>
      <c r="N92" s="245">
        <f>'o_Fin Stats'!P46</f>
        <v/>
      </c>
      <c r="O92" s="245">
        <f>'o_Fin Stats'!Q46</f>
        <v/>
      </c>
      <c r="Q92" s="286">
        <f>IFERROR(((INDEX($K92:$O92,,COUNT($K$85:$O$85))/K92)^(1/COUNT($L$85:$O$85)))-1,0)</f>
        <v/>
      </c>
      <c r="R92" s="35" t="n"/>
    </row>
    <row r="93">
      <c r="G93" s="0" t="n"/>
      <c r="H93" s="59" t="inlineStr">
        <is>
          <t>Non-Direct Staff Costs</t>
        </is>
      </c>
      <c r="I93" s="0" t="n"/>
      <c r="J93" s="0" t="n"/>
      <c r="K93" s="245">
        <f>'o_Fin Stats'!M59</f>
        <v/>
      </c>
      <c r="L93" s="245">
        <f>'o_Fin Stats'!N59</f>
        <v/>
      </c>
      <c r="M93" s="245">
        <f>'o_Fin Stats'!O59</f>
        <v/>
      </c>
      <c r="N93" s="245">
        <f>'o_Fin Stats'!P59</f>
        <v/>
      </c>
      <c r="O93" s="245">
        <f>'o_Fin Stats'!Q59</f>
        <v/>
      </c>
      <c r="P93" s="35" t="n"/>
      <c r="Q93" s="286">
        <f>IFERROR(((INDEX($K93:$O93,,COUNT($K$85:$O$85))/K93)^(1/COUNT($L$85:$O$85)))-1,0)</f>
        <v/>
      </c>
      <c r="R93" s="35" t="n"/>
      <c r="T93" s="0" t="n"/>
      <c r="U93" s="0" t="n"/>
    </row>
    <row r="94">
      <c r="G94" s="0" t="n"/>
      <c r="H94" s="59" t="inlineStr">
        <is>
          <t>Marketing Costs</t>
        </is>
      </c>
      <c r="I94" s="0" t="n"/>
      <c r="J94" s="0" t="n"/>
      <c r="K94" s="245">
        <f>'o_Fin Stats'!M67</f>
        <v/>
      </c>
      <c r="L94" s="245">
        <f>'o_Fin Stats'!N67</f>
        <v/>
      </c>
      <c r="M94" s="245">
        <f>'o_Fin Stats'!O67</f>
        <v/>
      </c>
      <c r="N94" s="245">
        <f>'o_Fin Stats'!P67</f>
        <v/>
      </c>
      <c r="O94" s="245">
        <f>'o_Fin Stats'!Q67</f>
        <v/>
      </c>
      <c r="P94" s="35" t="n"/>
      <c r="Q94" s="286">
        <f>IFERROR(((INDEX($K94:$O94,,COUNT($K$85:$O$85))/K94)^(1/COUNT($L$85:$O$85)))-1,0)</f>
        <v/>
      </c>
      <c r="R94" s="35" t="n"/>
      <c r="T94" s="0" t="n"/>
      <c r="U94" s="0" t="n"/>
    </row>
    <row r="95">
      <c r="G95" s="0" t="n"/>
      <c r="H95" s="59" t="inlineStr">
        <is>
          <t>Other Operating Expenses</t>
        </is>
      </c>
      <c r="I95" s="0" t="n"/>
      <c r="J95" s="0" t="n"/>
      <c r="K95" s="245">
        <f>'o_Fin Stats'!M85</f>
        <v/>
      </c>
      <c r="L95" s="245">
        <f>'o_Fin Stats'!N85</f>
        <v/>
      </c>
      <c r="M95" s="245">
        <f>'o_Fin Stats'!O85</f>
        <v/>
      </c>
      <c r="N95" s="245">
        <f>'o_Fin Stats'!P85</f>
        <v/>
      </c>
      <c r="O95" s="245">
        <f>'o_Fin Stats'!Q85</f>
        <v/>
      </c>
      <c r="P95" s="35" t="n"/>
      <c r="Q95" s="286">
        <f>IFERROR(((INDEX($K95:$O95,,COUNT($K$85:$O$85))/K95)^(1/COUNT($L$85:$O$85)))-1,0)</f>
        <v/>
      </c>
      <c r="R95" s="35" t="n"/>
      <c r="S95" s="224" t="inlineStr">
        <is>
          <t>Avg Gross Profit Margin</t>
        </is>
      </c>
    </row>
    <row r="96">
      <c r="G96" s="0" t="n"/>
      <c r="H96" s="74" t="inlineStr">
        <is>
          <t>EBITDA</t>
        </is>
      </c>
      <c r="I96" s="88" t="n"/>
      <c r="J96" s="88" t="n"/>
      <c r="K96" s="247">
        <f>SUM(K90:K95)</f>
        <v/>
      </c>
      <c r="L96" s="247">
        <f>SUM(L90:L95)</f>
        <v/>
      </c>
      <c r="M96" s="247">
        <f>SUM(M90:M95)</f>
        <v/>
      </c>
      <c r="N96" s="247">
        <f>SUM(N90:N95)</f>
        <v/>
      </c>
      <c r="O96" s="247">
        <f>SUM(O90:O95)</f>
        <v/>
      </c>
      <c r="P96" s="35" t="n"/>
      <c r="Q96" s="305">
        <f>IFERROR(((INDEX($K96:$O96,,COUNT($K$85:$O$85))/K96)^(1/COUNT($L$85:$O$85)))-1,0)</f>
        <v/>
      </c>
      <c r="R96" s="35" t="n"/>
    </row>
    <row r="97">
      <c r="G97" s="0" t="n"/>
      <c r="H97" s="59" t="inlineStr">
        <is>
          <t>Finance Charge</t>
        </is>
      </c>
      <c r="I97" s="0" t="n"/>
      <c r="J97" s="0" t="n"/>
      <c r="K97" s="245">
        <f>'o_Fin Stats'!M91</f>
        <v/>
      </c>
      <c r="L97" s="245">
        <f>'o_Fin Stats'!N91</f>
        <v/>
      </c>
      <c r="M97" s="245">
        <f>'o_Fin Stats'!O91</f>
        <v/>
      </c>
      <c r="N97" s="245">
        <f>'o_Fin Stats'!P91</f>
        <v/>
      </c>
      <c r="O97" s="245">
        <f>'o_Fin Stats'!Q91</f>
        <v/>
      </c>
      <c r="P97" s="35" t="n"/>
      <c r="Q97" s="286">
        <f>IFERROR(((INDEX($K97:$O97,,COUNT($K$85:$O$85))/K97)^(1/COUNT($L$85:$O$85)))-1,0)</f>
        <v/>
      </c>
      <c r="R97" s="35" t="n"/>
    </row>
    <row r="98">
      <c r="G98" s="0" t="n"/>
      <c r="H98" s="59" t="inlineStr">
        <is>
          <t>Depreciation</t>
        </is>
      </c>
      <c r="I98" s="0" t="n"/>
      <c r="J98" s="0" t="n"/>
      <c r="K98" s="245">
        <f>'o_Fin Stats'!M90</f>
        <v/>
      </c>
      <c r="L98" s="245">
        <f>'o_Fin Stats'!N90</f>
        <v/>
      </c>
      <c r="M98" s="245">
        <f>'o_Fin Stats'!O90</f>
        <v/>
      </c>
      <c r="N98" s="245">
        <f>'o_Fin Stats'!P90</f>
        <v/>
      </c>
      <c r="O98" s="245">
        <f>'o_Fin Stats'!Q90</f>
        <v/>
      </c>
      <c r="P98" s="35" t="n"/>
      <c r="Q98" s="286">
        <f>IFERROR(((INDEX($K98:$O98,,COUNT($K$85:$O$85))/K98)^(1/COUNT($L$85:$O$85)))-1,0)</f>
        <v/>
      </c>
      <c r="R98" s="35" t="n"/>
      <c r="S98" s="224">
        <f>$K$85&amp;" - "&amp;MAX($K$85:$O$85)</f>
        <v/>
      </c>
      <c r="U98" s="304">
        <f>AVERAGE(K125:O125)</f>
        <v/>
      </c>
    </row>
    <row r="99">
      <c r="G99" s="0" t="n"/>
      <c r="H99" s="74" t="inlineStr">
        <is>
          <t>Profit Before Tax</t>
        </is>
      </c>
      <c r="I99" s="88" t="n"/>
      <c r="J99" s="88" t="n"/>
      <c r="K99" s="247">
        <f>SUM(K96:K98)</f>
        <v/>
      </c>
      <c r="L99" s="247">
        <f>SUM(L96:L98)</f>
        <v/>
      </c>
      <c r="M99" s="247">
        <f>SUM(M96:M98)</f>
        <v/>
      </c>
      <c r="N99" s="247">
        <f>SUM(N96:N98)</f>
        <v/>
      </c>
      <c r="O99" s="247">
        <f>SUM(O96:O98)</f>
        <v/>
      </c>
      <c r="P99" s="35" t="n"/>
      <c r="Q99" s="305">
        <f>IFERROR(((INDEX($K99:$O99,,COUNT($K$85:$O$85))/K99)^(1/COUNT($L$85:$O$85)))-1,0)</f>
        <v/>
      </c>
      <c r="R99" s="35" t="n"/>
    </row>
    <row r="100">
      <c r="H100" s="59" t="inlineStr">
        <is>
          <t>Tax</t>
        </is>
      </c>
      <c r="I100" s="0" t="n"/>
      <c r="J100" s="0" t="n"/>
      <c r="K100" s="245">
        <f>'o_Fin Stats'!M96</f>
        <v/>
      </c>
      <c r="L100" s="245">
        <f>'o_Fin Stats'!N96</f>
        <v/>
      </c>
      <c r="M100" s="245">
        <f>'o_Fin Stats'!O96</f>
        <v/>
      </c>
      <c r="N100" s="245">
        <f>'o_Fin Stats'!P96</f>
        <v/>
      </c>
      <c r="O100" s="245">
        <f>'o_Fin Stats'!Q96</f>
        <v/>
      </c>
      <c r="P100" s="35" t="n"/>
      <c r="Q100" s="286">
        <f>IFERROR(((INDEX($K100:$O100,,COUNT($K$85:$O$85))/K100)^(1/COUNT($L$85:$O$85)))-1,0)</f>
        <v/>
      </c>
      <c r="R100" s="35" t="n"/>
      <c r="T100" s="0" t="n"/>
      <c r="U100" s="0" t="n"/>
    </row>
    <row r="101">
      <c r="G101" s="0" t="n"/>
      <c r="H101" s="74" t="inlineStr">
        <is>
          <t>Net Profit / (Loss)</t>
        </is>
      </c>
      <c r="I101" s="88" t="n"/>
      <c r="J101" s="88" t="n"/>
      <c r="K101" s="247">
        <f>SUM(K99:K100)</f>
        <v/>
      </c>
      <c r="L101" s="247">
        <f>SUM(L99:L100)</f>
        <v/>
      </c>
      <c r="M101" s="247">
        <f>SUM(M99:M100)</f>
        <v/>
      </c>
      <c r="N101" s="247">
        <f>SUM(N99:N100)</f>
        <v/>
      </c>
      <c r="O101" s="247">
        <f>SUM(O99:O100)</f>
        <v/>
      </c>
      <c r="P101" s="35" t="n"/>
      <c r="Q101" s="305">
        <f>IFERROR(((INDEX($K101:$O101,,COUNT($K$85:$O$85))/K101)^(1/COUNT($L$85:$O$85)))-1,0)</f>
        <v/>
      </c>
      <c r="R101" s="35" t="n"/>
      <c r="T101" s="0" t="n"/>
      <c r="U101" s="0" t="n"/>
    </row>
    <row r="102">
      <c r="G102" s="0" t="n"/>
      <c r="H102" s="59" t="inlineStr">
        <is>
          <t>Dividends</t>
        </is>
      </c>
      <c r="I102" s="0" t="n"/>
      <c r="J102" s="0" t="n"/>
      <c r="K102" s="245">
        <f>'o_Fin Stats'!M100</f>
        <v/>
      </c>
      <c r="L102" s="245">
        <f>'o_Fin Stats'!N100</f>
        <v/>
      </c>
      <c r="M102" s="245">
        <f>'o_Fin Stats'!O100</f>
        <v/>
      </c>
      <c r="N102" s="245">
        <f>'o_Fin Stats'!P100</f>
        <v/>
      </c>
      <c r="O102" s="245">
        <f>'o_Fin Stats'!Q100</f>
        <v/>
      </c>
      <c r="P102" s="35" t="n"/>
      <c r="Q102" s="286">
        <f>IFERROR(((INDEX($K102:$O102,,COUNT($K$85:$O$85))/K102)^(1/COUNT($L$85:$O$85)))-1,0)</f>
        <v/>
      </c>
      <c r="R102" s="35" t="n"/>
      <c r="S102" s="224" t="inlineStr">
        <is>
          <t>Avg Net Profit Margin</t>
        </is>
      </c>
    </row>
    <row r="103" ht="12.75" customHeight="1" s="227" thickBot="1">
      <c r="G103" s="0" t="n"/>
      <c r="H103" s="85" t="inlineStr">
        <is>
          <t>Retained Profit for the Year</t>
        </is>
      </c>
      <c r="I103" s="85" t="n"/>
      <c r="J103" s="85" t="n"/>
      <c r="K103" s="306">
        <f>SUM(K101:K102)</f>
        <v/>
      </c>
      <c r="L103" s="306">
        <f>SUM(L101:L102)</f>
        <v/>
      </c>
      <c r="M103" s="306">
        <f>SUM(M101:M102)</f>
        <v/>
      </c>
      <c r="N103" s="306">
        <f>SUM(N101:N102)</f>
        <v/>
      </c>
      <c r="O103" s="306">
        <f>SUM(O101:O102)</f>
        <v/>
      </c>
      <c r="P103" s="35" t="n"/>
      <c r="Q103" s="307">
        <f>IFERROR(((INDEX($K103:$O103,,COUNT($K$85:$O$85))/K103)^(1/COUNT($L$85:$O$85)))-1,0)</f>
        <v/>
      </c>
      <c r="R103" s="35" t="n"/>
    </row>
    <row r="104" ht="12.75" customHeight="1" s="227" thickTop="1">
      <c r="G104" s="0" t="n"/>
      <c r="H104" s="0" t="n"/>
      <c r="I104" s="0" t="n"/>
      <c r="J104" s="0" t="n"/>
      <c r="K104" s="57" t="n"/>
      <c r="L104" s="57" t="n"/>
      <c r="M104" s="57" t="n"/>
      <c r="N104" s="57" t="n"/>
      <c r="O104" s="57" t="n"/>
      <c r="P104" s="35" t="n"/>
      <c r="Q104" s="35" t="n"/>
      <c r="R104" s="35" t="n"/>
    </row>
    <row r="105" ht="12.75" customHeight="1" s="227">
      <c r="G105" s="222" t="inlineStr">
        <is>
          <t>Balance Sheet</t>
        </is>
      </c>
      <c r="H105" s="0" t="n"/>
      <c r="I105" s="0" t="n"/>
      <c r="J105" s="0" t="n"/>
      <c r="K105" s="57" t="n"/>
      <c r="L105" s="57" t="n"/>
      <c r="M105" s="57" t="n"/>
      <c r="N105" s="57" t="n"/>
      <c r="O105" s="57" t="n"/>
      <c r="P105" s="35" t="n"/>
      <c r="Q105" s="35" t="n"/>
      <c r="R105" s="35" t="n"/>
      <c r="S105" s="224">
        <f>$K$85&amp;" - "&amp;MAX($K$85:$O$85)</f>
        <v/>
      </c>
      <c r="U105" s="304">
        <f>AVERAGE(K127:O127)</f>
        <v/>
      </c>
    </row>
    <row r="106">
      <c r="G106" s="0" t="n"/>
      <c r="H106" s="59" t="inlineStr">
        <is>
          <t>Fixed Assets</t>
        </is>
      </c>
      <c r="I106" s="0" t="n"/>
      <c r="J106" s="0" t="n"/>
      <c r="K106" s="245">
        <f>'o_Fin Stats'!M121</f>
        <v/>
      </c>
      <c r="L106" s="245">
        <f>'o_Fin Stats'!N121</f>
        <v/>
      </c>
      <c r="M106" s="245">
        <f>'o_Fin Stats'!O121</f>
        <v/>
      </c>
      <c r="N106" s="245">
        <f>'o_Fin Stats'!P121</f>
        <v/>
      </c>
      <c r="O106" s="245">
        <f>'o_Fin Stats'!Q121</f>
        <v/>
      </c>
      <c r="P106" s="35" t="n"/>
      <c r="Q106" s="286">
        <f>IFERROR(((INDEX($K106:$O106,,COUNT($K$85:$O$85))/K106)^(1/COUNT($L$85:$O$85)))-1,0)</f>
        <v/>
      </c>
      <c r="R106" s="35" t="n"/>
    </row>
    <row r="107">
      <c r="G107" s="0" t="n"/>
      <c r="H107" s="59" t="inlineStr">
        <is>
          <t>Receivables &amp; Other Assets</t>
        </is>
      </c>
      <c r="I107" s="0" t="n"/>
      <c r="J107" s="0" t="n"/>
      <c r="K107" s="245">
        <f>'o_Fin Stats'!M127+'o_Fin Stats'!M126</f>
        <v/>
      </c>
      <c r="L107" s="245">
        <f>'o_Fin Stats'!N127+'o_Fin Stats'!N126</f>
        <v/>
      </c>
      <c r="M107" s="245">
        <f>'o_Fin Stats'!O127+'o_Fin Stats'!O126</f>
        <v/>
      </c>
      <c r="N107" s="245">
        <f>'o_Fin Stats'!P127+'o_Fin Stats'!P126</f>
        <v/>
      </c>
      <c r="O107" s="245">
        <f>'o_Fin Stats'!Q127+'o_Fin Stats'!Q126</f>
        <v/>
      </c>
      <c r="P107" s="35" t="n"/>
      <c r="Q107" s="286">
        <f>IFERROR(((INDEX($K107:$O107,,COUNT($K$85:$O$85))/K107)^(1/COUNT($L$85:$O$85)))-1,0)</f>
        <v/>
      </c>
      <c r="R107" s="35" t="n"/>
      <c r="S107" s="0" t="n"/>
      <c r="T107" s="0" t="n"/>
      <c r="U107" s="0" t="n"/>
    </row>
    <row r="108">
      <c r="G108" s="0" t="n"/>
      <c r="H108" s="59" t="inlineStr">
        <is>
          <t>Tax Assets</t>
        </is>
      </c>
      <c r="I108" s="0" t="n"/>
      <c r="J108" s="0" t="n"/>
      <c r="K108" s="245">
        <f>'o_Fin Stats'!M125</f>
        <v/>
      </c>
      <c r="L108" s="245">
        <f>'o_Fin Stats'!N125</f>
        <v/>
      </c>
      <c r="M108" s="245">
        <f>'o_Fin Stats'!O125</f>
        <v/>
      </c>
      <c r="N108" s="245">
        <f>'o_Fin Stats'!P125</f>
        <v/>
      </c>
      <c r="O108" s="245">
        <f>'o_Fin Stats'!Q125</f>
        <v/>
      </c>
      <c r="P108" s="35" t="n"/>
      <c r="Q108" s="286">
        <f>IFERROR(((INDEX($K108:$O108,,COUNT($K$85:$O$85))/K108)^(1/COUNT($L$85:$O$85)))-1,0)</f>
        <v/>
      </c>
      <c r="R108" s="35" t="n"/>
      <c r="T108" s="0" t="n"/>
      <c r="U108" s="0" t="n"/>
    </row>
    <row r="109">
      <c r="G109" s="0" t="n"/>
      <c r="H109" s="59" t="inlineStr">
        <is>
          <t>Cash</t>
        </is>
      </c>
      <c r="I109" s="0" t="n"/>
      <c r="J109" s="0" t="n"/>
      <c r="K109" s="245">
        <f>'o_Fin Stats'!M124</f>
        <v/>
      </c>
      <c r="L109" s="245">
        <f>'o_Fin Stats'!N124</f>
        <v/>
      </c>
      <c r="M109" s="245">
        <f>'o_Fin Stats'!O124</f>
        <v/>
      </c>
      <c r="N109" s="245">
        <f>'o_Fin Stats'!P124</f>
        <v/>
      </c>
      <c r="O109" s="245">
        <f>'o_Fin Stats'!Q124</f>
        <v/>
      </c>
      <c r="P109" s="35" t="n"/>
      <c r="Q109" s="286">
        <f>IFERROR(((INDEX($K109:$O109,,COUNT($K$85:$O$85))/K109)^(1/COUNT($L$85:$O$85)))-1,0)</f>
        <v/>
      </c>
      <c r="R109" s="35" t="n"/>
      <c r="S109" s="226" t="inlineStr">
        <is>
          <t xml:space="preserve">Avg Debt to Equity </t>
        </is>
      </c>
    </row>
    <row r="110" ht="12.75" customHeight="1" s="227" thickBot="1">
      <c r="G110" s="0" t="n"/>
      <c r="H110" s="85" t="inlineStr">
        <is>
          <t>Total Assets</t>
        </is>
      </c>
      <c r="I110" s="86" t="n"/>
      <c r="J110" s="86" t="n"/>
      <c r="K110" s="306">
        <f>SUM(K106:K109)</f>
        <v/>
      </c>
      <c r="L110" s="306">
        <f>SUM(L106:L109)</f>
        <v/>
      </c>
      <c r="M110" s="306">
        <f>SUM(M106:M109)</f>
        <v/>
      </c>
      <c r="N110" s="306">
        <f>SUM(N106:N109)</f>
        <v/>
      </c>
      <c r="O110" s="306">
        <f>SUM(O106:O109)</f>
        <v/>
      </c>
      <c r="P110" s="35" t="n"/>
      <c r="Q110" s="307">
        <f>IFERROR(((INDEX($K110:$O110,,COUNT($K$85:$O$85))/K110)^(1/COUNT($L$85:$O$85)))-1,0)</f>
        <v/>
      </c>
      <c r="R110" s="35" t="n"/>
    </row>
    <row r="111" ht="12.75" customHeight="1" s="227" thickTop="1">
      <c r="G111" s="0" t="n"/>
      <c r="H111" s="0" t="n"/>
      <c r="I111" s="0" t="n"/>
      <c r="J111" s="0" t="n"/>
      <c r="K111" s="57" t="n"/>
      <c r="L111" s="57" t="n"/>
      <c r="M111" s="57" t="n"/>
      <c r="N111" s="57" t="n"/>
      <c r="O111" s="57" t="n"/>
      <c r="P111" s="35" t="n"/>
      <c r="Q111" s="35" t="n"/>
      <c r="R111" s="35" t="n"/>
    </row>
    <row r="112">
      <c r="G112" s="0" t="n"/>
      <c r="H112" s="59" t="inlineStr">
        <is>
          <t>Borrowings</t>
        </is>
      </c>
      <c r="I112" s="0" t="n"/>
      <c r="J112" s="0" t="n"/>
      <c r="K112" s="245">
        <f>SUM('o_Fin Stats'!M137:M139)</f>
        <v/>
      </c>
      <c r="L112" s="245">
        <f>SUM('o_Fin Stats'!N137:N139)</f>
        <v/>
      </c>
      <c r="M112" s="245">
        <f>SUM('o_Fin Stats'!O137:O139)</f>
        <v/>
      </c>
      <c r="N112" s="245">
        <f>SUM('o_Fin Stats'!P137:P139)</f>
        <v/>
      </c>
      <c r="O112" s="245">
        <f>SUM('o_Fin Stats'!Q137:Q139)</f>
        <v/>
      </c>
      <c r="P112" s="35" t="n"/>
      <c r="Q112" s="286">
        <f>IFERROR(((INDEX($K112:$O112,,COUNT($K$85:$O$85))/K112)^(1/COUNT($L$85:$O$85)))-1,0)</f>
        <v/>
      </c>
      <c r="R112" s="35" t="n"/>
      <c r="S112" s="224">
        <f>$K$85&amp;" - "&amp;MAX($K$85:$O$85)</f>
        <v/>
      </c>
      <c r="U112" s="304">
        <f>AVERAGE(K133:O133)</f>
        <v/>
      </c>
    </row>
    <row r="113">
      <c r="G113" s="0" t="n"/>
      <c r="H113" s="59" t="inlineStr">
        <is>
          <t>Accounts Payable &amp; Other Liabilities</t>
        </is>
      </c>
      <c r="I113" s="0" t="n"/>
      <c r="J113" s="0" t="n"/>
      <c r="K113" s="245">
        <f>'o_Fin Stats'!M143+'o_Fin Stats'!M144</f>
        <v/>
      </c>
      <c r="L113" s="245">
        <f>'o_Fin Stats'!N143+'o_Fin Stats'!N144</f>
        <v/>
      </c>
      <c r="M113" s="245">
        <f>'o_Fin Stats'!O143+'o_Fin Stats'!O144</f>
        <v/>
      </c>
      <c r="N113" s="245">
        <f>'o_Fin Stats'!P143+'o_Fin Stats'!P144</f>
        <v/>
      </c>
      <c r="O113" s="245">
        <f>'o_Fin Stats'!Q143+'o_Fin Stats'!Q144</f>
        <v/>
      </c>
      <c r="P113" s="35" t="n"/>
      <c r="Q113" s="286">
        <f>IFERROR(((INDEX($K113:$O113,,COUNT($K$85:$O$85))/K113)^(1/COUNT($L$85:$O$85)))-1,0)</f>
        <v/>
      </c>
      <c r="R113" s="35" t="n"/>
    </row>
    <row r="114">
      <c r="G114" s="0" t="n"/>
      <c r="H114" s="59" t="inlineStr">
        <is>
          <t>Tax Liabilities</t>
        </is>
      </c>
      <c r="I114" s="0" t="n"/>
      <c r="J114" s="0" t="n"/>
      <c r="K114" s="245">
        <f>'o_Fin Stats'!M141+'o_Fin Stats'!M142</f>
        <v/>
      </c>
      <c r="L114" s="245">
        <f>'o_Fin Stats'!N141+'o_Fin Stats'!N142</f>
        <v/>
      </c>
      <c r="M114" s="245">
        <f>'o_Fin Stats'!O141+'o_Fin Stats'!O142</f>
        <v/>
      </c>
      <c r="N114" s="245">
        <f>'o_Fin Stats'!P141+'o_Fin Stats'!P142</f>
        <v/>
      </c>
      <c r="O114" s="245">
        <f>'o_Fin Stats'!Q141+'o_Fin Stats'!Q142</f>
        <v/>
      </c>
      <c r="P114" s="35" t="n"/>
      <c r="Q114" s="286">
        <f>IFERROR(((INDEX($K114:$O114,,COUNT($K$85:$O$85))/K114)^(1/COUNT($L$85:$O$85)))-1,0)</f>
        <v/>
      </c>
      <c r="R114" s="35" t="n"/>
      <c r="S114" s="0" t="n"/>
      <c r="T114" s="0" t="n"/>
      <c r="U114" s="0" t="n"/>
    </row>
    <row r="115" ht="12.75" customHeight="1" s="227" thickBot="1">
      <c r="G115" s="0" t="n"/>
      <c r="H115" s="85" t="inlineStr">
        <is>
          <t>Total Liabilities</t>
        </is>
      </c>
      <c r="I115" s="85" t="n"/>
      <c r="J115" s="85" t="n"/>
      <c r="K115" s="306">
        <f>SUM(K112:K114)</f>
        <v/>
      </c>
      <c r="L115" s="306">
        <f>SUM(L112:L114)</f>
        <v/>
      </c>
      <c r="M115" s="306">
        <f>SUM(M112:M114)</f>
        <v/>
      </c>
      <c r="N115" s="306">
        <f>SUM(N112:N114)</f>
        <v/>
      </c>
      <c r="O115" s="306">
        <f>SUM(O112:O114)</f>
        <v/>
      </c>
      <c r="P115" s="35" t="n"/>
      <c r="Q115" s="307">
        <f>IFERROR(((INDEX($K115:$O115,,COUNT($K$85:$O$85))/K115)^(1/COUNT($L$85:$O$85)))-1,0)</f>
        <v/>
      </c>
      <c r="R115" s="35" t="n"/>
      <c r="S115" s="0" t="n"/>
      <c r="T115" s="0" t="n"/>
      <c r="U115" s="0" t="n"/>
    </row>
    <row r="116" ht="12.75" customHeight="1" s="227" thickTop="1">
      <c r="G116" s="0" t="n"/>
      <c r="H116" s="0" t="n"/>
      <c r="I116" s="0" t="n"/>
      <c r="J116" s="0" t="n"/>
      <c r="K116" s="57" t="n"/>
      <c r="L116" s="57" t="n"/>
      <c r="M116" s="57" t="n"/>
      <c r="N116" s="57" t="n"/>
      <c r="O116" s="57" t="n"/>
      <c r="P116" s="35" t="n"/>
      <c r="Q116" s="0" t="n"/>
      <c r="R116" s="35" t="n"/>
      <c r="S116" s="226" t="inlineStr">
        <is>
          <t>Avg Return on Assets</t>
        </is>
      </c>
    </row>
    <row r="117" ht="12.75" customHeight="1" s="227" thickBot="1">
      <c r="G117" s="0" t="n"/>
      <c r="H117" s="85" t="inlineStr">
        <is>
          <t>Share Capital and Reserves</t>
        </is>
      </c>
      <c r="I117" s="85" t="n"/>
      <c r="J117" s="85" t="n"/>
      <c r="K117" s="306">
        <f>'o_Fin Stats'!M151</f>
        <v/>
      </c>
      <c r="L117" s="306">
        <f>'o_Fin Stats'!N151</f>
        <v/>
      </c>
      <c r="M117" s="306">
        <f>'o_Fin Stats'!O151</f>
        <v/>
      </c>
      <c r="N117" s="306">
        <f>'o_Fin Stats'!P151</f>
        <v/>
      </c>
      <c r="O117" s="306">
        <f>'o_Fin Stats'!Q151</f>
        <v/>
      </c>
      <c r="P117" s="35" t="n"/>
      <c r="Q117" s="307">
        <f>IFERROR(((INDEX($K117:$O117,,COUNT($K$85:$O$85))/K117)^(1/COUNT($L$85:$O$85)))-1,0)</f>
        <v/>
      </c>
      <c r="R117" s="35" t="n"/>
    </row>
    <row r="118" ht="12.75" customHeight="1" s="227" thickTop="1">
      <c r="G118" s="0" t="n"/>
      <c r="H118" s="0" t="n"/>
      <c r="I118" s="0" t="n"/>
      <c r="J118" s="0" t="n"/>
      <c r="K118" s="57" t="n"/>
      <c r="L118" s="57" t="n"/>
      <c r="M118" s="57" t="n"/>
      <c r="N118" s="57" t="n"/>
      <c r="O118" s="57" t="n"/>
      <c r="P118" s="35" t="n"/>
      <c r="Q118" s="8" t="n"/>
      <c r="R118" s="35" t="n"/>
    </row>
    <row r="119">
      <c r="G119" s="0" t="n"/>
      <c r="H119" s="25" t="inlineStr">
        <is>
          <t>Balance Sheet Check</t>
        </is>
      </c>
      <c r="I119" s="8" t="n"/>
      <c r="K119" s="308">
        <f>IF(ROUND((K110+K115),0)+ROUND(K117,0)=0,0,1)</f>
        <v/>
      </c>
      <c r="L119" s="308">
        <f>IF(ROUND((L110+L115),0)+ROUND(L117,0)=0,0,1)</f>
        <v/>
      </c>
      <c r="M119" s="308">
        <f>IF(ROUND((M110+M115),0)+ROUND(M117,0)=0,0,1)</f>
        <v/>
      </c>
      <c r="N119" s="308">
        <f>IF(ROUND((N110+N115),0)+ROUND(N117,0)=0,0,1)</f>
        <v/>
      </c>
      <c r="O119" s="308">
        <f>IF(ROUND((O110+O115),0)+ROUND(O117,0)=0,0,1)</f>
        <v/>
      </c>
      <c r="P119" s="35" t="n"/>
      <c r="Q119" s="0" t="n"/>
      <c r="R119" s="35" t="n"/>
      <c r="S119" s="224">
        <f>$K$85&amp;" - "&amp;MAX($K$85:$O$85)</f>
        <v/>
      </c>
      <c r="U119" s="304">
        <f>AVERAGE(K129:O129)</f>
        <v/>
      </c>
    </row>
    <row r="120">
      <c r="B120" s="244">
        <f>SUM(K119:O119)</f>
        <v/>
      </c>
      <c r="G120" s="0" t="n"/>
      <c r="H120" s="25" t="inlineStr">
        <is>
          <t>IS Consistency Check</t>
        </is>
      </c>
      <c r="I120" s="8" t="n"/>
      <c r="K120" s="308">
        <f>IF(ROUND(K103,0)=ROUND('o_Fin Stats'!M102,0),0,1)</f>
        <v/>
      </c>
      <c r="L120" s="308">
        <f>IF(ROUND(L103,0)=ROUND('o_Fin Stats'!N102,0),0,1)</f>
        <v/>
      </c>
      <c r="M120" s="308">
        <f>IF(ROUND(M103,0)=ROUND('o_Fin Stats'!O102,0),0,1)</f>
        <v/>
      </c>
      <c r="N120" s="308">
        <f>IF(ROUND(N103,0)=ROUND('o_Fin Stats'!P102,0),0,1)</f>
        <v/>
      </c>
      <c r="O120" s="308">
        <f>IF(ROUND(O103,0)=ROUND('o_Fin Stats'!Q102,0),0,1)</f>
        <v/>
      </c>
      <c r="P120" s="35" t="n"/>
      <c r="Q120" s="0" t="n"/>
      <c r="R120" s="35" t="n"/>
    </row>
    <row r="121">
      <c r="B121" s="244">
        <f>SUM(K120:O120)</f>
        <v/>
      </c>
      <c r="G121" s="0" t="n"/>
      <c r="H121" s="25" t="inlineStr">
        <is>
          <t>BS Consistency Check</t>
        </is>
      </c>
      <c r="I121" s="8" t="n"/>
      <c r="K121" s="308">
        <f>IF(ROUND(K110,0)=ROUND('o_Fin Stats'!M130,0),0,1)</f>
        <v/>
      </c>
      <c r="L121" s="308">
        <f>IF(ROUND(L110,0)=ROUND('o_Fin Stats'!N130,0),0,1)</f>
        <v/>
      </c>
      <c r="M121" s="308">
        <f>IF(ROUND(M110,0)=ROUND('o_Fin Stats'!O130,0),0,1)</f>
        <v/>
      </c>
      <c r="N121" s="308">
        <f>IF(ROUND(N110,0)=ROUND('o_Fin Stats'!P130,0),0,1)</f>
        <v/>
      </c>
      <c r="O121" s="308">
        <f>IF(ROUND(O110,0)=ROUND('o_Fin Stats'!Q130,0),0,1)</f>
        <v/>
      </c>
      <c r="P121" s="35" t="n"/>
      <c r="Q121" s="0" t="n"/>
      <c r="R121" s="35" t="n"/>
      <c r="S121" s="0" t="n"/>
      <c r="T121" s="0" t="n"/>
      <c r="U121" s="0" t="n"/>
    </row>
    <row r="122">
      <c r="B122" s="244">
        <f>SUM(K121:O121)</f>
        <v/>
      </c>
      <c r="G122" s="0" t="n"/>
      <c r="H122" s="59" t="n"/>
      <c r="I122" s="0" t="n"/>
      <c r="J122" s="0" t="n"/>
      <c r="K122" s="245" t="n"/>
      <c r="L122" s="245" t="n"/>
      <c r="M122" s="245" t="n"/>
      <c r="N122" s="35" t="n"/>
      <c r="P122" s="35" t="n"/>
      <c r="Q122" s="286" t="n"/>
      <c r="R122" s="35" t="n"/>
      <c r="S122" s="0" t="n"/>
      <c r="T122" s="0" t="n"/>
      <c r="U122" s="0" t="n"/>
    </row>
    <row r="123" ht="12.75" customHeight="1" s="227">
      <c r="G123" s="60" t="inlineStr">
        <is>
          <t>Ratios</t>
        </is>
      </c>
      <c r="H123" s="61" t="n"/>
      <c r="I123" s="62" t="n"/>
      <c r="J123" s="62" t="n"/>
      <c r="K123" s="63" t="n"/>
      <c r="L123" s="63" t="n"/>
      <c r="M123" s="63" t="n"/>
      <c r="N123" s="63" t="n"/>
      <c r="O123" s="63" t="n"/>
      <c r="P123" s="62" t="n"/>
      <c r="Q123" s="93" t="n"/>
      <c r="R123" s="35" t="n"/>
      <c r="S123" s="226" t="inlineStr">
        <is>
          <t>Avg Return on Equity</t>
        </is>
      </c>
    </row>
    <row r="124" ht="12.75" customHeight="1" s="227">
      <c r="G124" s="64" t="n"/>
      <c r="H124" s="65" t="inlineStr">
        <is>
          <t>Revenue Growth</t>
        </is>
      </c>
      <c r="I124" s="58" t="n"/>
      <c r="J124" s="58" t="n"/>
      <c r="K124" s="297" t="n"/>
      <c r="L124" s="297">
        <f>IFERROR((L90/K90-1),0)</f>
        <v/>
      </c>
      <c r="M124" s="297">
        <f>IFERROR((M90/L90-1),0)</f>
        <v/>
      </c>
      <c r="N124" s="297">
        <f>IFERROR((N90/M90-1),0)</f>
        <v/>
      </c>
      <c r="O124" s="297">
        <f>IFERROR((O90/N90-1),0)</f>
        <v/>
      </c>
      <c r="P124" s="58" t="n"/>
      <c r="Q124" s="94" t="n"/>
      <c r="R124" s="35" t="n"/>
    </row>
    <row r="125" ht="12.75" customHeight="1" s="227">
      <c r="G125" s="64" t="n"/>
      <c r="H125" s="65" t="inlineStr">
        <is>
          <t>Gross Profit Margin</t>
        </is>
      </c>
      <c r="I125" s="58" t="n"/>
      <c r="J125" s="58" t="n"/>
      <c r="K125" s="297">
        <f>IFERROR((K90+K91+K92)/K90,0)</f>
        <v/>
      </c>
      <c r="L125" s="297">
        <f>IFERROR((L90+L91+L92)/L90,0)</f>
        <v/>
      </c>
      <c r="M125" s="297">
        <f>IFERROR((M90+M91+M92)/M90,0)</f>
        <v/>
      </c>
      <c r="N125" s="297">
        <f>IFERROR((N90+N91+N92)/N90,0)</f>
        <v/>
      </c>
      <c r="O125" s="297">
        <f>IFERROR((O90+O91+O92)/O90,0)</f>
        <v/>
      </c>
      <c r="P125" s="58" t="n"/>
      <c r="Q125" s="94" t="n"/>
      <c r="R125" s="35" t="n"/>
    </row>
    <row r="126" ht="12.75" customHeight="1" s="227">
      <c r="G126" s="64" t="n"/>
      <c r="H126" s="65" t="inlineStr">
        <is>
          <t>EBITDA Margin</t>
        </is>
      </c>
      <c r="I126" s="58" t="n"/>
      <c r="J126" s="58" t="n"/>
      <c r="K126" s="297">
        <f>IFERROR((K96)/K90,0)</f>
        <v/>
      </c>
      <c r="L126" s="297">
        <f>IFERROR((L96)/L90,0)</f>
        <v/>
      </c>
      <c r="M126" s="297">
        <f>IFERROR((M96)/M90,0)</f>
        <v/>
      </c>
      <c r="N126" s="297">
        <f>IFERROR((N96)/N90,0)</f>
        <v/>
      </c>
      <c r="O126" s="297">
        <f>IFERROR((O96)/O90,0)</f>
        <v/>
      </c>
      <c r="P126" s="58" t="n"/>
      <c r="Q126" s="94" t="n"/>
      <c r="R126" s="35" t="n"/>
      <c r="S126" s="224">
        <f>$K$85&amp;" - "&amp;MAX($K$85:$O$85)</f>
        <v/>
      </c>
      <c r="U126" s="304">
        <f>AVERAGE(K130:O130)</f>
        <v/>
      </c>
    </row>
    <row r="127" ht="12.75" customHeight="1" s="227">
      <c r="G127" s="64" t="n"/>
      <c r="H127" s="65" t="inlineStr">
        <is>
          <t>Net Profit Margin</t>
        </is>
      </c>
      <c r="I127" s="58" t="n"/>
      <c r="J127" s="58" t="n"/>
      <c r="K127" s="297">
        <f>IFERROR(K101/K90,0)</f>
        <v/>
      </c>
      <c r="L127" s="297">
        <f>IFERROR(L101/L90,0)</f>
        <v/>
      </c>
      <c r="M127" s="297">
        <f>IFERROR(M101/M90,0)</f>
        <v/>
      </c>
      <c r="N127" s="297">
        <f>IFERROR(N101/N90,0)</f>
        <v/>
      </c>
      <c r="O127" s="297">
        <f>IFERROR(O101/O90,0)</f>
        <v/>
      </c>
      <c r="P127" s="58" t="n"/>
      <c r="Q127" s="94" t="n"/>
      <c r="R127" s="35" t="n"/>
    </row>
    <row r="128" ht="12.75" customHeight="1" s="227">
      <c r="G128" s="64" t="n"/>
      <c r="H128" s="65" t="inlineStr">
        <is>
          <t>Effective Tax rate</t>
        </is>
      </c>
      <c r="I128" s="58" t="n"/>
      <c r="J128" s="58" t="n"/>
      <c r="K128" s="297">
        <f>IFERROR(-K100/SUM(K96:K98),0)</f>
        <v/>
      </c>
      <c r="L128" s="297">
        <f>IFERROR(-L100/SUM(L96:L98),0)</f>
        <v/>
      </c>
      <c r="M128" s="297">
        <f>IFERROR(-M100/SUM(M96:M98),0)</f>
        <v/>
      </c>
      <c r="N128" s="297">
        <f>IFERROR(-N100/SUM(N96:N98),0)</f>
        <v/>
      </c>
      <c r="O128" s="297">
        <f>IFERROR(-O100/SUM(O96:O98),0)</f>
        <v/>
      </c>
      <c r="P128" s="58" t="n"/>
      <c r="Q128" s="94" t="n"/>
      <c r="R128" s="0" t="n"/>
    </row>
    <row r="129" ht="12.75" customHeight="1" s="227">
      <c r="G129" s="64" t="n"/>
      <c r="H129" s="65" t="inlineStr">
        <is>
          <t>Return on Assets</t>
        </is>
      </c>
      <c r="I129" s="58" t="n"/>
      <c r="J129" s="58" t="n"/>
      <c r="K129" s="68">
        <f>IFERROR(K101/K110,0)</f>
        <v/>
      </c>
      <c r="L129" s="68">
        <f>IFERROR(L101/L110,0)</f>
        <v/>
      </c>
      <c r="M129" s="68">
        <f>IFERROR(M101/M110,0)</f>
        <v/>
      </c>
      <c r="N129" s="68">
        <f>IFERROR(N101/N110,0)</f>
        <v/>
      </c>
      <c r="O129" s="68">
        <f>IFERROR(O101/O110,0)</f>
        <v/>
      </c>
      <c r="P129" s="58" t="n"/>
      <c r="Q129" s="94" t="n"/>
      <c r="R129" s="0" t="n"/>
    </row>
    <row r="130" ht="12.75" customHeight="1" s="227">
      <c r="G130" s="64" t="n"/>
      <c r="H130" s="65" t="inlineStr">
        <is>
          <t>Return on Equity</t>
        </is>
      </c>
      <c r="I130" s="58" t="n"/>
      <c r="J130" s="58" t="n"/>
      <c r="K130" s="68">
        <f>IFERROR(K101/-K117,0)</f>
        <v/>
      </c>
      <c r="L130" s="68">
        <f>IFERROR(L101/-L117,0)</f>
        <v/>
      </c>
      <c r="M130" s="68">
        <f>IFERROR(M101/-M117,0)</f>
        <v/>
      </c>
      <c r="N130" s="68">
        <f>IFERROR(N101/-N117,0)</f>
        <v/>
      </c>
      <c r="O130" s="68">
        <f>IFERROR(O101/-O117,0)</f>
        <v/>
      </c>
      <c r="P130" s="58" t="n"/>
      <c r="Q130" s="94" t="n"/>
      <c r="R130" s="0" t="n"/>
    </row>
    <row r="131">
      <c r="G131" s="67" t="n"/>
      <c r="H131" s="65" t="inlineStr">
        <is>
          <t>Avg Debtor Days</t>
        </is>
      </c>
      <c r="I131" s="58" t="n"/>
      <c r="J131" s="58" t="n"/>
      <c r="K131" s="90">
        <f>IFERROR((K107/K90)*365,0)</f>
        <v/>
      </c>
      <c r="L131" s="90">
        <f>IFERROR((L107/L90)*365,0)</f>
        <v/>
      </c>
      <c r="M131" s="90">
        <f>IFERROR((M107/M90)*365,0)</f>
        <v/>
      </c>
      <c r="N131" s="90">
        <f>IFERROR((N107/N90)*365,0)</f>
        <v/>
      </c>
      <c r="O131" s="90">
        <f>IFERROR((O107/O90)*365,0)</f>
        <v/>
      </c>
      <c r="P131" s="58" t="n"/>
      <c r="Q131" s="94" t="n"/>
    </row>
    <row r="132">
      <c r="G132" s="67" t="n"/>
      <c r="H132" s="65" t="inlineStr">
        <is>
          <t>Avg Creditor Days</t>
        </is>
      </c>
      <c r="I132" s="58" t="n"/>
      <c r="J132" s="58" t="n"/>
      <c r="K132" s="90">
        <f>IFERROR((K113/K92)*365,0)</f>
        <v/>
      </c>
      <c r="L132" s="90">
        <f>IFERROR((L113/L92)*365,0)</f>
        <v/>
      </c>
      <c r="M132" s="90">
        <f>IFERROR((M113/M92)*365,0)</f>
        <v/>
      </c>
      <c r="N132" s="90">
        <f>IFERROR((N113/N92)*365,0)</f>
        <v/>
      </c>
      <c r="O132" s="90">
        <f>IFERROR((O113/O92)*365,0)</f>
        <v/>
      </c>
      <c r="P132" s="58" t="n"/>
      <c r="Q132" s="94" t="n"/>
    </row>
    <row r="133">
      <c r="G133" s="69" t="n"/>
      <c r="H133" s="70" t="inlineStr">
        <is>
          <t>Debt to Equity Ratio</t>
        </is>
      </c>
      <c r="I133" s="71" t="n"/>
      <c r="J133" s="71" t="n"/>
      <c r="K133" s="309">
        <f>IFERROR(K112/K117,0)</f>
        <v/>
      </c>
      <c r="L133" s="309">
        <f>IFERROR(L112/L117,0)</f>
        <v/>
      </c>
      <c r="M133" s="309">
        <f>IFERROR(M112/M117,0)</f>
        <v/>
      </c>
      <c r="N133" s="309">
        <f>IFERROR(N112/N117,0)</f>
        <v/>
      </c>
      <c r="O133" s="309">
        <f>IFERROR(O112/O117,0)</f>
        <v/>
      </c>
      <c r="P133" s="71" t="n"/>
      <c r="Q133" s="95" t="n"/>
    </row>
    <row r="138" ht="13.5" customFormat="1" customHeight="1" s="223" thickBot="1">
      <c r="E138" s="223">
        <f>Heading2</f>
        <v/>
      </c>
      <c r="F138" s="223" t="inlineStr">
        <is>
          <t>Service Revenue</t>
        </is>
      </c>
      <c r="AR138" s="47" t="n"/>
      <c r="AS138" s="47" t="n"/>
    </row>
    <row r="141" ht="11.45" customHeight="1" s="227"/>
    <row r="142" ht="11.45" customHeight="1" s="227"/>
    <row r="143" ht="11.45" customHeight="1" s="227"/>
    <row r="144" ht="11.45" customHeight="1" s="227"/>
    <row r="145" ht="11.45" customHeight="1" s="227"/>
    <row r="146" ht="11.45" customHeight="1" s="227"/>
    <row r="147" ht="11.45" customHeight="1" s="227"/>
    <row r="148" ht="11.45" customHeight="1" s="227"/>
    <row r="149" ht="11.45" customHeight="1" s="227"/>
    <row r="150" ht="11.45" customHeight="1" s="227"/>
    <row r="151" ht="11.45" customHeight="1" s="227"/>
    <row r="152" ht="11.45" customHeight="1" s="227"/>
    <row r="153" ht="11.45" customHeight="1" s="227"/>
    <row r="154" ht="11.45" customHeight="1" s="227"/>
    <row r="155" ht="11.45" customHeight="1" s="227"/>
    <row r="156" ht="11.45" customHeight="1" s="227"/>
    <row r="157" ht="11.45" customHeight="1" s="227"/>
    <row r="158" ht="11.45" customHeight="1" s="227"/>
    <row r="159" ht="11.45" customHeight="1" s="227"/>
    <row r="160" ht="11.45" customHeight="1" s="227"/>
    <row r="161" ht="11.45" customHeight="1" s="227"/>
    <row r="162" ht="11.45" customHeight="1" s="227"/>
    <row r="163" ht="11.45" customHeight="1" s="227"/>
    <row r="164" ht="11.45" customHeight="1" s="227"/>
    <row r="165" ht="11.45" customHeight="1" s="227"/>
    <row r="166" ht="11.45" customHeight="1" s="227"/>
    <row r="167" ht="11.45" customHeight="1" s="227"/>
    <row r="168" ht="11.45" customHeight="1" s="227"/>
    <row r="169" ht="11.45" customHeight="1" s="227"/>
    <row r="170" ht="11.45" customHeight="1" s="227"/>
    <row r="171" ht="11.45" customHeight="1" s="227"/>
    <row r="172" ht="11.45" customHeight="1" s="227"/>
    <row r="173" ht="11.45" customHeight="1" s="227"/>
    <row r="174" ht="11.45" customHeight="1" s="227"/>
    <row r="175" ht="11.45" customHeight="1" s="227"/>
    <row r="176" ht="11.45" customHeight="1" s="227"/>
    <row r="177" ht="11.45" customHeight="1" s="227"/>
    <row r="178" ht="11.45" customHeight="1" s="227"/>
    <row r="179" ht="11.45" customHeight="1" s="227"/>
    <row r="180" ht="11.45" customHeight="1" s="227"/>
    <row r="181" ht="11.45" customHeight="1" s="227"/>
    <row r="182" ht="11.45" customHeight="1" s="227"/>
    <row r="183" ht="11.45" customHeight="1" s="227"/>
    <row r="184" ht="11.45" customHeight="1" s="227"/>
    <row r="185" ht="11.45" customHeight="1" s="227"/>
    <row r="186" ht="11.45" customHeight="1" s="227"/>
    <row r="187" ht="11.45" customHeight="1" s="227"/>
    <row r="188" ht="11.45" customHeight="1" s="227"/>
    <row r="189" ht="11.45" customHeight="1" s="227"/>
    <row r="191" ht="13.5" customFormat="1" customHeight="1" s="223" thickBot="1">
      <c r="E191" s="223">
        <f>Heading2</f>
        <v/>
      </c>
      <c r="F191" s="223" t="inlineStr">
        <is>
          <t>Cash Flow Charts</t>
        </is>
      </c>
      <c r="AR191" s="47" t="n"/>
      <c r="AS191" s="47" t="n"/>
    </row>
    <row r="231" ht="13.5" customFormat="1" customHeight="1" s="223" thickBot="1">
      <c r="E231" s="223">
        <f>Heading2</f>
        <v/>
      </c>
      <c r="F231" s="223" t="inlineStr">
        <is>
          <t>Financial Performance Charts</t>
        </is>
      </c>
      <c r="AR231" s="47" t="n"/>
      <c r="AS231" s="47" t="n"/>
    </row>
    <row r="270" ht="13.5" customFormat="1" customHeight="1" s="223" thickBot="1">
      <c r="E270" s="223">
        <f>Heading2</f>
        <v/>
      </c>
      <c r="F270" s="223" t="inlineStr">
        <is>
          <t>Balance Sheet Charts</t>
        </is>
      </c>
      <c r="AR270" s="47" t="n"/>
      <c r="AS270" s="47" t="n"/>
    </row>
    <row r="306" ht="15.75" customFormat="1" customHeight="1" s="99">
      <c r="D306" s="99" t="inlineStr">
        <is>
          <t>END OF WORKSHEET</t>
        </is>
      </c>
    </row>
  </sheetData>
  <mergeCells count="18">
    <mergeCell ref="S98:T99"/>
    <mergeCell ref="S95:U97"/>
    <mergeCell ref="S126:T127"/>
    <mergeCell ref="U119:U120"/>
    <mergeCell ref="S123:U125"/>
    <mergeCell ref="U105:U106"/>
    <mergeCell ref="S112:T113"/>
    <mergeCell ref="U91:U92"/>
    <mergeCell ref="S102:U104"/>
    <mergeCell ref="S91:T92"/>
    <mergeCell ref="U126:U127"/>
    <mergeCell ref="U112:U113"/>
    <mergeCell ref="S88:U90"/>
    <mergeCell ref="S119:T120"/>
    <mergeCell ref="U98:U99"/>
    <mergeCell ref="S116:U118"/>
    <mergeCell ref="S105:T106"/>
    <mergeCell ref="S109:U111"/>
  </mergeCells>
  <conditionalFormatting sqref="B5">
    <cfRule type="cellIs" priority="5" operator="notEqual" dxfId="1">
      <formula>0</formula>
    </cfRule>
    <cfRule type="expression" priority="6" dxfId="1">
      <formula>"$B$6&lt;&gt;0"</formula>
    </cfRule>
  </conditionalFormatting>
  <conditionalFormatting sqref="B5:C5">
    <cfRule type="cellIs" priority="7" operator="equal" dxfId="5">
      <formula>0</formula>
    </cfRule>
  </conditionalFormatting>
  <conditionalFormatting sqref="C5">
    <cfRule type="cellIs" priority="8" operator="notEqual" dxfId="0">
      <formula>0</formula>
    </cfRule>
  </conditionalFormatting>
  <conditionalFormatting sqref="H5">
    <cfRule type="expression" priority="1" dxfId="1">
      <formula>sysCheck&lt;&gt;0</formula>
    </cfRule>
    <cfRule type="expression" priority="2" dxfId="0">
      <formula>sysAlert&lt;&gt;0</formula>
    </cfRule>
    <cfRule type="expression" priority="3" dxfId="1">
      <formula>sysCheck&lt;&gt;0</formula>
    </cfRule>
    <cfRule type="expression" priority="4" dxfId="0">
      <formula>sysAlert&lt;&gt;0</formula>
    </cfRule>
  </conditionalFormatting>
  <hyperlinks>
    <hyperlink ref="H4" location="'Front Sheet'!A1" display="LINK TO FRONT SHEET"/>
    <hyperlink ref="H5" location="sht_sysCheck" display="sht_sysCheck"/>
  </hyperlinks>
  <pageMargins left="0.2362204724409449" right="0.2362204724409449" top="0.3543307086614174" bottom="0.3543307086614174" header="0.3149606299212598" footer="0.3149606299212598"/>
  <pageSetup orientation="portrait" paperSize="9" scale="32" fitToHeight="3"/>
  <headerFooter>
    <oddHeader>&amp;L&amp;C&amp;R</oddHeader>
    <oddFooter>&amp;L&amp;F&amp;CPage &amp;P of &amp;N&amp;RPrinted on: &amp;D &amp;T</oddFooter>
    <evenHeader/>
    <evenFooter/>
    <firstHeader/>
    <firstFooter/>
  </headerFooter>
  <rowBreaks count="1" manualBreakCount="1">
    <brk id="269" min="0" max="29"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2015-10-23T12:49:56Z</dcterms:created>
  <dcterms:modified xsi:type="dcterms:W3CDTF">2025-11-18T16:30:18Z</dcterms:modified>
  <cp:lastModifiedBy>Raja Rajendran</cp:lastModifiedBy>
  <cp:lastPrinted>2024-02-11T16:49:30Z</cp:lastPrinted>
</cp:coreProperties>
</file>